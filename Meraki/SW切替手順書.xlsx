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機器一覧" sheetId="2" state="visible" r:id="rId4"/>
    <sheet name="ポート振替表" sheetId="3" state="visible" r:id="rId5"/>
    <sheet name="SW別シート" sheetId="4" state="visible" r:id="rId6"/>
    <sheet name="ケーブルタグ表" sheetId="5" state="visible" r:id="rId7"/>
    <sheet name="リスト" sheetId="6" state="visible" r:id="rId8"/>
  </sheets>
  <definedNames>
    <definedName function="false" hidden="false" localSheetId="3" name="_xlnm.Print_Area" vbProcedure="false">SW別シート!$A$1:$N$66</definedName>
    <definedName function="false" hidden="false" localSheetId="4" name="_xlnm.Print_Area" vbProcedure="false">ケーブルタグ表!$A$1:$J$3507</definedName>
    <definedName function="false" hidden="false" localSheetId="4" name="_xlnm.Print_Titles" vbProcedure="false">ケーブルタグ表!$3:$4</definedName>
    <definedName function="false" hidden="true" localSheetId="4" name="_xlnm._FilterDatabase" vbProcedure="false">ケーブルタグ表!$A$4:$L$3507</definedName>
    <definedName function="false" hidden="false" localSheetId="2" name="_xlnm.Print_Titles" vbProcedure="false">ポート振替表!$3:$4</definedName>
    <definedName function="false" hidden="true" localSheetId="2" name="_xlnm._FilterDatabase" vbProcedure="false">ポート振替表!$A$4:$W$3507</definedName>
    <definedName function="false" hidden="false" localSheetId="1" name="_xlnm.Print_Titles" vbProcedure="false">機器一覧!$4:$4</definedName>
    <definedName function="false" hidden="true" localSheetId="1" name="_xlnm._FilterDatabase" vbProcedure="false">機器一覧!$A$4:$P$75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<sst xmlns="http://schemas.openxmlformats.org/spreadsheetml/2006/main" count="7308" uniqueCount="192">
  <si>
    <r>
      <rPr>
        <b val="true"/>
        <sz val="18"/>
        <color rgb="FF1F3864"/>
        <rFont val="Noto Sans CJK SC"/>
        <family val="2"/>
      </rPr>
      <t xml:space="preserve">ポート振替表</t>
    </r>
    <r>
      <rPr>
        <b val="true"/>
        <sz val="18"/>
        <color rgb="FF1F3864"/>
        <rFont val="Meiryo UI"/>
        <family val="0"/>
        <charset val="1"/>
      </rPr>
      <t xml:space="preserve">(</t>
    </r>
    <r>
      <rPr>
        <b val="true"/>
        <sz val="18"/>
        <color rgb="FF1F3864"/>
        <rFont val="Noto Sans CJK SC"/>
        <family val="2"/>
      </rPr>
      <t xml:space="preserve">スイッチ更改用</t>
    </r>
    <r>
      <rPr>
        <b val="true"/>
        <sz val="18"/>
        <color rgb="FF1F3864"/>
        <rFont val="Meiryo UI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</si>
  <si>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旧スイッチ → 新スイッチのポート対応を、誰が見ても分かる形で管理・引き継ぐためのテンプレートです</t>
    </r>
    <r>
      <rPr>
        <sz val="10"/>
        <color rgb="FF595959"/>
        <rFont val="Meiryo UI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機器台数</t>
    </r>
    <r>
      <rPr>
        <sz val="10"/>
        <color rgb="FF595959"/>
        <rFont val="Meiryo UI"/>
        <family val="0"/>
        <charset val="1"/>
      </rPr>
      <t xml:space="preserve">70</t>
    </r>
    <r>
      <rPr>
        <sz val="10"/>
        <color rgb="FF595959"/>
        <rFont val="Noto Sans CJK SC"/>
        <family val="2"/>
      </rPr>
      <t xml:space="preserve">台前提・企業を問わず利用可</t>
    </r>
    <r>
      <rPr>
        <sz val="10"/>
        <color rgb="FF595959"/>
        <rFont val="Meiryo UI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。</t>
    </r>
  </si>
  <si>
    <t xml:space="preserve">■ シート構成</t>
  </si>
  <si>
    <t xml:space="preserve">機器一覧</t>
  </si>
  <si>
    <r>
      <rPr>
        <sz val="10"/>
        <color rgb="FF000000"/>
        <rFont val="Noto Sans CJK SC"/>
        <family val="2"/>
      </rPr>
      <t xml:space="preserve">更改対象の全</t>
    </r>
    <r>
      <rPr>
        <sz val="10"/>
        <color rgb="FF000000"/>
        <rFont val="Meiryo UI"/>
        <family val="0"/>
        <charset val="1"/>
      </rPr>
      <t xml:space="preserve">SW(70</t>
    </r>
    <r>
      <rPr>
        <sz val="10"/>
        <color rgb="FF000000"/>
        <rFont val="Noto Sans CJK SC"/>
        <family val="2"/>
      </rPr>
      <t xml:space="preserve">台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を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行ずつ登録。旧→新の機器名・</t>
    </r>
    <r>
      <rPr>
        <sz val="10"/>
        <color rgb="FF000000"/>
        <rFont val="Meiryo UI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・担当・予定日を管理。登録ポート数</t>
    </r>
    <r>
      <rPr>
        <sz val="10"/>
        <color rgb="FF000000"/>
        <rFont val="Meiryo U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完了ポート数</t>
    </r>
    <r>
      <rPr>
        <sz val="10"/>
        <color rgb="FF000000"/>
        <rFont val="Meiryo U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進捗率は自動集計。</t>
    </r>
  </si>
  <si>
    <t xml:space="preserve">ポート振替表</t>
  </si>
  <si>
    <r>
      <rPr>
        <sz val="10"/>
        <color rgb="FF000000"/>
        <rFont val="Noto Sans CJK SC"/>
        <family val="2"/>
      </rPr>
      <t xml:space="preserve">メインのシート。旧</t>
    </r>
    <r>
      <rPr>
        <sz val="10"/>
        <color rgb="FF000000"/>
        <rFont val="Meiryo UI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の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ポート</t>
    </r>
    <r>
      <rPr>
        <sz val="10"/>
        <color rgb="FF000000"/>
        <rFont val="Meiryo UI"/>
        <family val="0"/>
        <charset val="1"/>
      </rPr>
      <t xml:space="preserve">=1</t>
    </r>
    <r>
      <rPr>
        <sz val="10"/>
        <color rgb="FF000000"/>
        <rFont val="Noto Sans CJK SC"/>
        <family val="2"/>
      </rPr>
      <t xml:space="preserve">行で、接続先・設定・新</t>
    </r>
    <r>
      <rPr>
        <sz val="10"/>
        <color rgb="FF000000"/>
        <rFont val="Meiryo UI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の割当ポート・ケーブル・作業状況まで記録。</t>
    </r>
  </si>
  <si>
    <r>
      <rPr>
        <b val="true"/>
        <sz val="10"/>
        <color rgb="FF000000"/>
        <rFont val="Meiryo UI"/>
        <family val="0"/>
        <charset val="1"/>
      </rPr>
      <t xml:space="preserve">SW</t>
    </r>
    <r>
      <rPr>
        <b val="true"/>
        <sz val="10"/>
        <color rgb="FF000000"/>
        <rFont val="Noto Sans CJK SC"/>
        <family val="2"/>
      </rPr>
      <t xml:space="preserve">別シート</t>
    </r>
  </si>
  <si>
    <r>
      <rPr>
        <sz val="10"/>
        <color rgb="FF000000"/>
        <rFont val="Noto Sans CJK SC"/>
        <family val="2"/>
      </rPr>
      <t xml:space="preserve">旧</t>
    </r>
    <r>
      <rPr>
        <sz val="10"/>
        <color rgb="FF000000"/>
        <rFont val="Meiryo UI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名を選ぶだけで、その</t>
    </r>
    <r>
      <rPr>
        <sz val="10"/>
        <color rgb="FF000000"/>
        <rFont val="Meiryo UI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分のポート一覧を自動表示。現地作業・印刷用</t>
    </r>
    <r>
      <rPr>
        <sz val="10"/>
        <color rgb="FF000000"/>
        <rFont val="Meiryo UI"/>
        <family val="0"/>
        <charset val="1"/>
      </rPr>
      <t xml:space="preserve">(A4</t>
    </r>
    <r>
      <rPr>
        <sz val="10"/>
        <color rgb="FF000000"/>
        <rFont val="Noto Sans CJK SC"/>
        <family val="2"/>
      </rPr>
      <t xml:space="preserve">横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</t>
    </r>
  </si>
  <si>
    <t xml:space="preserve">ケーブルタグ表</t>
  </si>
  <si>
    <r>
      <rPr>
        <sz val="10"/>
        <color rgb="FF000000"/>
        <rFont val="Noto Sans CJK SC"/>
        <family val="2"/>
      </rPr>
      <t xml:space="preserve">旧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既設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タグと新タグを左右に並べて自動一覧化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入力不要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。旧タグは撤去確認、新タグは印字・貼付確認に使う。旧ラベルはポート振替表の</t>
    </r>
    <r>
      <rPr>
        <sz val="10"/>
        <color rgb="FF000000"/>
        <rFont val="Meiryo UI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列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任意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、新ラベルは</t>
    </r>
    <r>
      <rPr>
        <sz val="10"/>
        <color rgb="FF000000"/>
        <rFont val="Meiryo UI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列に入力。</t>
    </r>
  </si>
  <si>
    <t xml:space="preserve">リスト</t>
  </si>
  <si>
    <t xml:space="preserve">プルダウンの選択肢。自社の用語に合わせて編集可。</t>
  </si>
  <si>
    <t xml:space="preserve">■ 記入の流れ</t>
  </si>
  <si>
    <t xml:space="preserve">①機器一覧</t>
  </si>
  <si>
    <r>
      <rPr>
        <sz val="10"/>
        <color rgb="FF000000"/>
        <rFont val="Noto Sans CJK SC"/>
        <family val="2"/>
      </rPr>
      <t xml:space="preserve">旧機器名を全台分登録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機器名は他シートのプルダウンに使われるため、重複しない名前にする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。新機器名・新</t>
    </r>
    <r>
      <rPr>
        <sz val="10"/>
        <color rgb="FF000000"/>
        <rFont val="Meiryo UI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は決まり次第入力。</t>
    </r>
  </si>
  <si>
    <t xml:space="preserve">②ポート棚卸</t>
  </si>
  <si>
    <r>
      <rPr>
        <sz val="10"/>
        <color rgb="FF000000"/>
        <rFont val="Noto Sans CJK SC"/>
        <family val="2"/>
      </rPr>
      <t xml:space="preserve">現行</t>
    </r>
    <r>
      <rPr>
        <sz val="10"/>
        <color rgb="FF000000"/>
        <rFont val="Meiryo UI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や実機から、使用中ポートを「ポート振替表」に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ポート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行で転記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旧</t>
    </r>
    <r>
      <rPr>
        <sz val="10"/>
        <color rgb="FF000000"/>
        <rFont val="Meiryo UI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名はプルダウンで選択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。未使用ポートも空き管理のため行を作り、モードを「未使用</t>
    </r>
    <r>
      <rPr>
        <sz val="10"/>
        <color rgb="FF000000"/>
        <rFont val="Meiryo UI"/>
        <family val="0"/>
        <charset val="1"/>
      </rPr>
      <t xml:space="preserve">(Shutdown)</t>
    </r>
    <r>
      <rPr>
        <sz val="10"/>
        <color rgb="FF000000"/>
        <rFont val="Noto Sans CJK SC"/>
        <family val="2"/>
      </rPr>
      <t xml:space="preserve">」にする。</t>
    </r>
  </si>
  <si>
    <t xml:space="preserve">③新ポート割当</t>
  </si>
  <si>
    <r>
      <rPr>
        <sz val="10"/>
        <color rgb="FF000000"/>
        <rFont val="Noto Sans CJK SC"/>
        <family val="2"/>
      </rPr>
      <t xml:space="preserve">新</t>
    </r>
    <r>
      <rPr>
        <sz val="10"/>
        <color rgb="FF000000"/>
        <rFont val="Meiryo UI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名・新ポートを入力。旧ポート番号と新ポート番号が同じなら「ポート変更」列が自動で「同一」、違えば「変更」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オレンジ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になる。</t>
    </r>
  </si>
  <si>
    <t xml:space="preserve">④ケーブル準備</t>
  </si>
  <si>
    <r>
      <rPr>
        <sz val="10"/>
        <color rgb="FF000000"/>
        <rFont val="Noto Sans CJK SC"/>
        <family val="2"/>
      </rPr>
      <t xml:space="preserve">ケーブル種別・ケーブルラベルを記入。ラベルは旧</t>
    </r>
    <r>
      <rPr>
        <sz val="10"/>
        <color rgb="FF000000"/>
        <rFont val="Meiryo U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新で同じ番号にすると現場で迷わない。</t>
    </r>
  </si>
  <si>
    <t xml:space="preserve">⑤切替作業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</si>
  <si>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Meiryo UI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別シート」を印刷して現地へ。作業状況を 未着手 → 準備済 → 切替済 → 疎通確認済 と更新し、作業日・作業者を記入。</t>
    </r>
  </si>
  <si>
    <t xml:space="preserve">⑥完了確認</t>
  </si>
  <si>
    <r>
      <rPr>
        <sz val="10"/>
        <color rgb="FF000000"/>
        <rFont val="Noto Sans CJK SC"/>
        <family val="2"/>
      </rPr>
      <t xml:space="preserve">機器一覧の進捗率が</t>
    </r>
    <r>
      <rPr>
        <sz val="10"/>
        <color rgb="FF000000"/>
        <rFont val="Meiryo UI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、切替状況が「完了」になれば終了。保留はオレンジで残るので申し送りに使える。</t>
    </r>
  </si>
  <si>
    <t xml:space="preserve">■ セルの色の意味</t>
  </si>
  <si>
    <t xml:space="preserve">白</t>
  </si>
  <si>
    <r>
      <rPr>
        <sz val="10"/>
        <color rgb="FF000000"/>
        <rFont val="Noto Sans CJK SC"/>
        <family val="2"/>
      </rPr>
      <t xml:space="preserve">入力欄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自由に記入</t>
    </r>
    <r>
      <rPr>
        <sz val="10"/>
        <color rgb="FF000000"/>
        <rFont val="Meiryo UI"/>
        <family val="0"/>
        <charset val="1"/>
      </rPr>
      <t xml:space="preserve">)</t>
    </r>
  </si>
  <si>
    <t xml:space="preserve">薄グレー</t>
  </si>
  <si>
    <r>
      <rPr>
        <sz val="10"/>
        <color rgb="FF000000"/>
        <rFont val="Noto Sans CJK SC"/>
        <family val="2"/>
      </rPr>
      <t xml:space="preserve">自動計算セル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数式が入っているので入力しない</t>
    </r>
    <r>
      <rPr>
        <sz val="10"/>
        <color rgb="FF000000"/>
        <rFont val="Meiryo UI"/>
        <family val="0"/>
        <charset val="1"/>
      </rPr>
      <t xml:space="preserve">)</t>
    </r>
  </si>
  <si>
    <t xml:space="preserve">薄青・斜体</t>
  </si>
  <si>
    <r>
      <rPr>
        <sz val="10"/>
        <color rgb="FF000000"/>
        <rFont val="Noto Sans CJK SC"/>
        <family val="2"/>
      </rPr>
      <t xml:space="preserve">記入例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「例</t>
    </r>
    <r>
      <rPr>
        <sz val="10"/>
        <color rgb="FF000000"/>
        <rFont val="Meiryo UI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」で始まる行</t>
    </r>
    <r>
      <rPr>
        <sz val="10"/>
        <color rgb="FF000000"/>
        <rFont val="Meiryo UI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。不要になったら内容を消すか上書きして</t>
    </r>
    <r>
      <rPr>
        <sz val="10"/>
        <color rgb="FF000000"/>
        <rFont val="Meiryo UI"/>
        <family val="0"/>
        <charset val="1"/>
      </rPr>
      <t xml:space="preserve">OK</t>
    </r>
    <r>
      <rPr>
        <sz val="10"/>
        <color rgb="FF000000"/>
        <rFont val="Noto Sans CJK SC"/>
        <family val="2"/>
      </rPr>
      <t xml:space="preserve">。</t>
    </r>
  </si>
  <si>
    <t xml:space="preserve">薄黄</t>
  </si>
  <si>
    <r>
      <rPr>
        <sz val="10"/>
        <color rgb="FF000000"/>
        <rFont val="Meiryo UI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別シートで対象</t>
    </r>
    <r>
      <rPr>
        <sz val="10"/>
        <color rgb="FF000000"/>
        <rFont val="Meiryo UI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を選ぶセル</t>
    </r>
  </si>
  <si>
    <t xml:space="preserve">■ 作業状況の定義</t>
  </si>
  <si>
    <t xml:space="preserve">未着手</t>
  </si>
  <si>
    <t xml:space="preserve">ケーブル・設定とも未準備</t>
  </si>
  <si>
    <t xml:space="preserve">準備済</t>
  </si>
  <si>
    <r>
      <rPr>
        <sz val="10"/>
        <color rgb="FF000000"/>
        <rFont val="Noto Sans CJK SC"/>
        <family val="2"/>
      </rPr>
      <t xml:space="preserve">新</t>
    </r>
    <r>
      <rPr>
        <sz val="10"/>
        <color rgb="FF000000"/>
        <rFont val="Meiryo UI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設定投入済み、ケーブルラベル貼付済み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切替前の状態</t>
    </r>
    <r>
      <rPr>
        <sz val="10"/>
        <color rgb="FF000000"/>
        <rFont val="Meiryo UI"/>
        <family val="0"/>
        <charset val="1"/>
      </rPr>
      <t xml:space="preserve">)</t>
    </r>
  </si>
  <si>
    <t xml:space="preserve">切替済</t>
  </si>
  <si>
    <r>
      <rPr>
        <sz val="10"/>
        <color rgb="FF000000"/>
        <rFont val="Noto Sans CJK SC"/>
        <family val="2"/>
      </rPr>
      <t xml:space="preserve">新</t>
    </r>
    <r>
      <rPr>
        <sz val="10"/>
        <color rgb="FF000000"/>
        <rFont val="Meiryo UI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のポートに差し替え完了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疎通は未確認</t>
    </r>
    <r>
      <rPr>
        <sz val="10"/>
        <color rgb="FF000000"/>
        <rFont val="Meiryo UI"/>
        <family val="0"/>
        <charset val="1"/>
      </rPr>
      <t xml:space="preserve">)</t>
    </r>
  </si>
  <si>
    <t xml:space="preserve">疎通確認済</t>
  </si>
  <si>
    <r>
      <rPr>
        <sz val="10"/>
        <color rgb="FF000000"/>
        <rFont val="Noto Sans CJK SC"/>
        <family val="2"/>
      </rPr>
      <t xml:space="preserve">接続先との疎通・リンクアップ・</t>
    </r>
    <r>
      <rPr>
        <sz val="10"/>
        <color rgb="FF000000"/>
        <rFont val="Meiryo UI"/>
        <family val="0"/>
        <charset val="1"/>
      </rPr>
      <t xml:space="preserve">VLAN</t>
    </r>
    <r>
      <rPr>
        <sz val="10"/>
        <color rgb="FF000000"/>
        <rFont val="Noto Sans CJK SC"/>
        <family val="2"/>
      </rPr>
      <t xml:space="preserve">所属を確認済 </t>
    </r>
    <r>
      <rPr>
        <sz val="10"/>
        <color rgb="FF000000"/>
        <rFont val="Meiryo UI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完了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進捗率に集計</t>
    </r>
    <r>
      <rPr>
        <sz val="10"/>
        <color rgb="FF000000"/>
        <rFont val="Meiryo UI"/>
        <family val="0"/>
        <charset val="1"/>
      </rPr>
      <t xml:space="preserve">)</t>
    </r>
  </si>
  <si>
    <t xml:space="preserve">保留</t>
  </si>
  <si>
    <t xml:space="preserve">接続先都合・機器停止不可などで未実施。備考に理由と再実施予定を書く</t>
  </si>
  <si>
    <t xml:space="preserve">■ 運用のコツ</t>
  </si>
  <si>
    <t xml:space="preserve">命名ルール</t>
  </si>
  <si>
    <r>
      <rPr>
        <sz val="10"/>
        <color rgb="FF000000"/>
        <rFont val="Meiryo UI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名・ポート表記は</t>
    </r>
    <r>
      <rPr>
        <sz val="10"/>
        <color rgb="FF000000"/>
        <rFont val="Meiryo UI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の表記</t>
    </r>
    <r>
      <rPr>
        <sz val="10"/>
        <color rgb="FF000000"/>
        <rFont val="Meiryo UI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例</t>
    </r>
    <r>
      <rPr>
        <sz val="10"/>
        <color rgb="FF000000"/>
        <rFont val="Meiryo UI"/>
        <family val="0"/>
        <charset val="1"/>
      </rPr>
      <t xml:space="preserve">: Gi1/0/1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eiryo UI"/>
        <family val="0"/>
        <charset val="1"/>
      </rPr>
      <t xml:space="preserve">Ten-GigabitEthernet1/0/1)</t>
    </r>
    <r>
      <rPr>
        <sz val="10"/>
        <color rgb="FF000000"/>
        <rFont val="Noto Sans CJK SC"/>
        <family val="2"/>
      </rPr>
      <t xml:space="preserve">をそのままコピーして揃えると、検索・フィルタが確実。</t>
    </r>
  </si>
  <si>
    <t xml:space="preserve">フィルタ</t>
  </si>
  <si>
    <r>
      <rPr>
        <sz val="10"/>
        <color rgb="FF000000"/>
        <rFont val="Noto Sans CJK SC"/>
        <family val="2"/>
      </rPr>
      <t xml:space="preserve">ポート振替表は見出し行にオートフィルタ設定済み。旧</t>
    </r>
    <r>
      <rPr>
        <sz val="10"/>
        <color rgb="FF000000"/>
        <rFont val="Meiryo UI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名・作業状況・ポート変更</t>
    </r>
    <r>
      <rPr>
        <sz val="10"/>
        <color rgb="FF000000"/>
        <rFont val="Meiryo UI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「変更」で絞り込める。</t>
    </r>
  </si>
  <si>
    <t xml:space="preserve">共有</t>
  </si>
  <si>
    <r>
      <rPr>
        <sz val="10"/>
        <color rgb="FF000000"/>
        <rFont val="Noto Sans CJK SC"/>
        <family val="2"/>
      </rPr>
      <t xml:space="preserve">複数人で同時に編集する場合は、</t>
    </r>
    <r>
      <rPr>
        <sz val="10"/>
        <color rgb="FF000000"/>
        <rFont val="Meiryo UI"/>
        <family val="0"/>
        <charset val="1"/>
      </rPr>
      <t xml:space="preserve">SW</t>
    </r>
    <r>
      <rPr>
        <sz val="10"/>
        <color rgb="FF000000"/>
        <rFont val="Noto Sans CJK SC"/>
        <family val="2"/>
      </rPr>
      <t xml:space="preserve">単位で担当を分け、担当者列を埋めておく。</t>
    </r>
  </si>
  <si>
    <r>
      <rPr>
        <b val="true"/>
        <sz val="16"/>
        <color rgb="FF1F3864"/>
        <rFont val="Noto Sans CJK SC"/>
        <family val="2"/>
      </rPr>
      <t xml:space="preserve">機器一覧</t>
    </r>
    <r>
      <rPr>
        <b val="true"/>
        <sz val="16"/>
        <color rgb="FF1F3864"/>
        <rFont val="Meiryo UI"/>
        <family val="0"/>
        <charset val="1"/>
      </rPr>
      <t xml:space="preserve">(</t>
    </r>
    <r>
      <rPr>
        <b val="true"/>
        <sz val="16"/>
        <color rgb="FF1F3864"/>
        <rFont val="Noto Sans CJK SC"/>
        <family val="2"/>
      </rPr>
      <t xml:space="preserve">更改対象</t>
    </r>
    <r>
      <rPr>
        <b val="true"/>
        <sz val="16"/>
        <color rgb="FF1F3864"/>
        <rFont val="Meiryo UI"/>
        <family val="0"/>
        <charset val="1"/>
      </rPr>
      <t xml:space="preserve">SW 70</t>
    </r>
    <r>
      <rPr>
        <b val="true"/>
        <sz val="16"/>
        <color rgb="FF1F3864"/>
        <rFont val="Noto Sans CJK SC"/>
        <family val="2"/>
      </rPr>
      <t xml:space="preserve">台</t>
    </r>
    <r>
      <rPr>
        <b val="true"/>
        <sz val="16"/>
        <color rgb="FF1F3864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</si>
  <si>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対象</t>
    </r>
    <r>
      <rPr>
        <b val="true"/>
        <sz val="10"/>
        <color rgb="FFFFFFFF"/>
        <rFont val="Meiryo UI"/>
        <family val="0"/>
        <charset val="1"/>
      </rPr>
      <t xml:space="preserve">SW</t>
    </r>
    <r>
      <rPr>
        <b val="true"/>
        <sz val="10"/>
        <color rgb="FFFFFFFF"/>
        <rFont val="Noto Sans CJK SC"/>
        <family val="2"/>
      </rPr>
      <t xml:space="preserve">数</t>
    </r>
  </si>
  <si>
    <t xml:space="preserve">登録ポート数</t>
  </si>
  <si>
    <t xml:space="preserve">完了ポート数</t>
  </si>
  <si>
    <t xml:space="preserve">進捗率</t>
  </si>
  <si>
    <t xml:space="preserve">▼自動集計</t>
  </si>
  <si>
    <t xml:space="preserve">No.</t>
  </si>
  <si>
    <r>
      <rPr>
        <b val="true"/>
        <sz val="10"/>
        <color rgb="FFFFFFFF"/>
        <rFont val="Noto Sans CJK SC"/>
        <family val="2"/>
      </rPr>
      <t xml:space="preserve">拠点 </t>
    </r>
    <r>
      <rPr>
        <b val="true"/>
        <sz val="10"/>
        <color rgb="FFFFFFFF"/>
        <rFont val="Meiryo UI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設置場所</t>
    </r>
  </si>
  <si>
    <r>
      <rPr>
        <b val="true"/>
        <sz val="10"/>
        <color rgb="FFFFFFFF"/>
        <rFont val="Noto Sans CJK SC"/>
        <family val="2"/>
      </rPr>
      <t xml:space="preserve">ラック </t>
    </r>
    <r>
      <rPr>
        <b val="true"/>
        <sz val="10"/>
        <color rgb="FFFFFFFF"/>
        <rFont val="Meiryo UI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位置</t>
    </r>
  </si>
  <si>
    <t xml:space="preserve">旧機器名</t>
  </si>
  <si>
    <t xml:space="preserve">旧機種</t>
  </si>
  <si>
    <r>
      <rPr>
        <b val="true"/>
        <sz val="10"/>
        <color rgb="FFFFFFFF"/>
        <rFont val="Noto Sans CJK SC"/>
        <family val="2"/>
      </rPr>
      <t xml:space="preserve">旧管理</t>
    </r>
    <r>
      <rPr>
        <b val="true"/>
        <sz val="10"/>
        <color rgb="FFFFFFFF"/>
        <rFont val="Meiryo UI"/>
        <family val="0"/>
        <charset val="1"/>
      </rPr>
      <t xml:space="preserve">IP</t>
    </r>
  </si>
  <si>
    <t xml:space="preserve">新機器名</t>
  </si>
  <si>
    <t xml:space="preserve">新機種</t>
  </si>
  <si>
    <r>
      <rPr>
        <b val="true"/>
        <sz val="10"/>
        <color rgb="FFFFFFFF"/>
        <rFont val="Noto Sans CJK SC"/>
        <family val="2"/>
      </rPr>
      <t xml:space="preserve">新管理</t>
    </r>
    <r>
      <rPr>
        <b val="true"/>
        <sz val="10"/>
        <color rgb="FFFFFFFF"/>
        <rFont val="Meiryo UI"/>
        <family val="0"/>
        <charset val="1"/>
      </rPr>
      <t xml:space="preserve">IP</t>
    </r>
  </si>
  <si>
    <t xml:space="preserve">切替予定日</t>
  </si>
  <si>
    <t xml:space="preserve">担当者</t>
  </si>
  <si>
    <t xml:space="preserve">切替状況</t>
  </si>
  <si>
    <t xml:space="preserve">備考</t>
  </si>
  <si>
    <t xml:space="preserve">例</t>
  </si>
  <si>
    <r>
      <rPr>
        <i val="true"/>
        <sz val="10"/>
        <color rgb="FF000000"/>
        <rFont val="Noto Sans CJK SC"/>
        <family val="2"/>
      </rPr>
      <t xml:space="preserve">本社 </t>
    </r>
    <r>
      <rPr>
        <i val="true"/>
        <sz val="10"/>
        <color rgb="FF000000"/>
        <rFont val="Meiryo UI"/>
        <family val="0"/>
        <charset val="1"/>
      </rPr>
      <t xml:space="preserve">3F</t>
    </r>
  </si>
  <si>
    <t xml:space="preserve">Rack-A / 12U</t>
  </si>
  <si>
    <r>
      <rPr>
        <i val="true"/>
        <sz val="10"/>
        <color rgb="FF000000"/>
        <rFont val="Noto Sans CJK SC"/>
        <family val="2"/>
      </rPr>
      <t xml:space="preserve">例</t>
    </r>
    <r>
      <rPr>
        <i val="true"/>
        <sz val="10"/>
        <color rgb="FF000000"/>
        <rFont val="Meiryo UI"/>
        <family val="0"/>
        <charset val="1"/>
      </rPr>
      <t xml:space="preserve">_</t>
    </r>
    <r>
      <rPr>
        <i val="true"/>
        <sz val="10"/>
        <color rgb="FF000000"/>
        <rFont val="Noto Sans CJK SC"/>
        <family val="2"/>
      </rPr>
      <t xml:space="preserve">旧</t>
    </r>
    <r>
      <rPr>
        <i val="true"/>
        <sz val="10"/>
        <color rgb="FF000000"/>
        <rFont val="Meiryo UI"/>
        <family val="0"/>
        <charset val="1"/>
      </rPr>
      <t xml:space="preserve">SW01</t>
    </r>
  </si>
  <si>
    <t xml:space="preserve">Catalyst 2960</t>
  </si>
  <si>
    <t xml:space="preserve">192.0.2.11</t>
  </si>
  <si>
    <r>
      <rPr>
        <i val="true"/>
        <sz val="10"/>
        <color rgb="FF000000"/>
        <rFont val="Noto Sans CJK SC"/>
        <family val="2"/>
      </rPr>
      <t xml:space="preserve">例</t>
    </r>
    <r>
      <rPr>
        <i val="true"/>
        <sz val="10"/>
        <color rgb="FF000000"/>
        <rFont val="Meiryo UI"/>
        <family val="0"/>
        <charset val="1"/>
      </rPr>
      <t xml:space="preserve">_</t>
    </r>
    <r>
      <rPr>
        <i val="true"/>
        <sz val="10"/>
        <color rgb="FF000000"/>
        <rFont val="Noto Sans CJK SC"/>
        <family val="2"/>
      </rPr>
      <t xml:space="preserve">新</t>
    </r>
    <r>
      <rPr>
        <i val="true"/>
        <sz val="10"/>
        <color rgb="FF000000"/>
        <rFont val="Meiryo UI"/>
        <family val="0"/>
        <charset val="1"/>
      </rPr>
      <t xml:space="preserve">SW01</t>
    </r>
  </si>
  <si>
    <r>
      <rPr>
        <i val="true"/>
        <sz val="10"/>
        <color rgb="FF000000"/>
        <rFont val="Noto Sans CJK SC"/>
        <family val="2"/>
      </rPr>
      <t xml:space="preserve">新機種 </t>
    </r>
    <r>
      <rPr>
        <i val="true"/>
        <sz val="10"/>
        <color rgb="FF000000"/>
        <rFont val="Meiryo UI"/>
        <family val="0"/>
        <charset val="1"/>
      </rPr>
      <t xml:space="preserve">48P PoE</t>
    </r>
  </si>
  <si>
    <t xml:space="preserve">192.0.2.111</t>
  </si>
  <si>
    <t xml:space="preserve">山田</t>
  </si>
  <si>
    <r>
      <rPr>
        <i val="true"/>
        <sz val="10"/>
        <color rgb="FF000000"/>
        <rFont val="Noto Sans CJK SC"/>
        <family val="2"/>
      </rPr>
      <t xml:space="preserve">記入例</t>
    </r>
    <r>
      <rPr>
        <i val="true"/>
        <sz val="10"/>
        <color rgb="FF000000"/>
        <rFont val="Meiryo UI"/>
        <family val="0"/>
        <charset val="1"/>
      </rPr>
      <t xml:space="preserve">(</t>
    </r>
    <r>
      <rPr>
        <i val="true"/>
        <sz val="10"/>
        <color rgb="FF000000"/>
        <rFont val="Noto Sans CJK SC"/>
        <family val="2"/>
      </rPr>
      <t xml:space="preserve">上書き可</t>
    </r>
    <r>
      <rPr>
        <i val="true"/>
        <sz val="10"/>
        <color rgb="FF000000"/>
        <rFont val="Meiryo UI"/>
        <family val="0"/>
        <charset val="1"/>
      </rPr>
      <t xml:space="preserve">)</t>
    </r>
  </si>
  <si>
    <r>
      <rPr>
        <sz val="10"/>
        <color rgb="FF595959"/>
        <rFont val="Meiryo UI"/>
        <family val="0"/>
        <charset val="1"/>
      </rPr>
      <t xml:space="preserve">※ 1</t>
    </r>
    <r>
      <rPr>
        <sz val="10"/>
        <color rgb="FF595959"/>
        <rFont val="Noto Sans CJK SC"/>
        <family val="2"/>
      </rPr>
      <t xml:space="preserve">ポート</t>
    </r>
    <r>
      <rPr>
        <sz val="10"/>
        <color rgb="FF595959"/>
        <rFont val="Meiryo UI"/>
        <family val="0"/>
        <charset val="1"/>
      </rPr>
      <t xml:space="preserve">=1</t>
    </r>
    <r>
      <rPr>
        <sz val="10"/>
        <color rgb="FF595959"/>
        <rFont val="Noto Sans CJK SC"/>
        <family val="2"/>
      </rPr>
      <t xml:space="preserve">行。薄グレーの列は自動計算。「例</t>
    </r>
    <r>
      <rPr>
        <sz val="10"/>
        <color rgb="FF595959"/>
        <rFont val="Meiryo UI"/>
        <family val="0"/>
        <charset val="1"/>
      </rPr>
      <t xml:space="preserve">_</t>
    </r>
    <r>
      <rPr>
        <sz val="10"/>
        <color rgb="FF595959"/>
        <rFont val="Noto Sans CJK SC"/>
        <family val="2"/>
      </rPr>
      <t xml:space="preserve">」の行は記入例</t>
    </r>
    <r>
      <rPr>
        <sz val="10"/>
        <color rgb="FF595959"/>
        <rFont val="Meiryo UI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上書き可</t>
    </r>
    <r>
      <rPr>
        <sz val="10"/>
        <color rgb="FF595959"/>
        <rFont val="Meiryo UI"/>
        <family val="0"/>
        <charset val="1"/>
      </rPr>
      <t xml:space="preserve">)</t>
    </r>
  </si>
  <si>
    <r>
      <rPr>
        <sz val="9"/>
        <color rgb="FFC00000"/>
        <rFont val="Noto Sans CJK SC"/>
        <family val="2"/>
      </rPr>
      <t xml:space="preserve">赤</t>
    </r>
    <r>
      <rPr>
        <sz val="9"/>
        <color rgb="FFC00000"/>
        <rFont val="Meiryo UI"/>
        <family val="0"/>
        <charset val="1"/>
      </rPr>
      <t xml:space="preserve">=</t>
    </r>
    <r>
      <rPr>
        <sz val="9"/>
        <color rgb="FFC00000"/>
        <rFont val="Noto Sans CJK SC"/>
        <family val="2"/>
      </rPr>
      <t xml:space="preserve">新</t>
    </r>
    <r>
      <rPr>
        <sz val="9"/>
        <color rgb="FFC00000"/>
        <rFont val="Meiryo UI"/>
        <family val="0"/>
        <charset val="1"/>
      </rPr>
      <t xml:space="preserve">SW</t>
    </r>
    <r>
      <rPr>
        <sz val="9"/>
        <color rgb="FFC00000"/>
        <rFont val="Noto Sans CJK SC"/>
        <family val="2"/>
      </rPr>
      <t xml:space="preserve">・新ポートが重複 </t>
    </r>
    <r>
      <rPr>
        <sz val="9"/>
        <color rgb="FFC00000"/>
        <rFont val="Meiryo UI"/>
        <family val="0"/>
        <charset val="1"/>
      </rPr>
      <t xml:space="preserve">/ </t>
    </r>
    <r>
      <rPr>
        <sz val="9"/>
        <color rgb="FFC00000"/>
        <rFont val="Noto Sans CJK SC"/>
        <family val="2"/>
      </rPr>
      <t xml:space="preserve">黄</t>
    </r>
    <r>
      <rPr>
        <sz val="9"/>
        <color rgb="FFC00000"/>
        <rFont val="Meiryo UI"/>
        <family val="0"/>
        <charset val="1"/>
      </rPr>
      <t xml:space="preserve">=</t>
    </r>
    <r>
      <rPr>
        <sz val="9"/>
        <color rgb="FFC00000"/>
        <rFont val="Noto Sans CJK SC"/>
        <family val="2"/>
      </rPr>
      <t xml:space="preserve">旧</t>
    </r>
    <r>
      <rPr>
        <sz val="9"/>
        <color rgb="FFC00000"/>
        <rFont val="Meiryo UI"/>
        <family val="0"/>
        <charset val="1"/>
      </rPr>
      <t xml:space="preserve">SW</t>
    </r>
    <r>
      <rPr>
        <sz val="9"/>
        <color rgb="FFC00000"/>
        <rFont val="Noto Sans CJK SC"/>
        <family val="2"/>
      </rPr>
      <t xml:space="preserve">は入力済で新</t>
    </r>
    <r>
      <rPr>
        <sz val="9"/>
        <color rgb="FFC00000"/>
        <rFont val="Meiryo UI"/>
        <family val="0"/>
        <charset val="1"/>
      </rPr>
      <t xml:space="preserve">SW</t>
    </r>
    <r>
      <rPr>
        <sz val="9"/>
        <color rgb="FFC00000"/>
        <rFont val="Noto Sans CJK SC"/>
        <family val="2"/>
      </rPr>
      <t xml:space="preserve">未入力</t>
    </r>
  </si>
  <si>
    <r>
      <rPr>
        <b val="true"/>
        <sz val="11"/>
        <color rgb="FFFFFFFF"/>
        <rFont val="Noto Sans CJK SC"/>
        <family val="2"/>
      </rPr>
      <t xml:space="preserve">【旧】現行</t>
    </r>
    <r>
      <rPr>
        <b val="true"/>
        <sz val="11"/>
        <color rgb="FFFFFFFF"/>
        <rFont val="Meiryo UI"/>
        <family val="0"/>
        <charset val="1"/>
      </rPr>
      <t xml:space="preserve">SW</t>
    </r>
    <r>
      <rPr>
        <b val="true"/>
        <sz val="11"/>
        <color rgb="FFFFFFFF"/>
        <rFont val="Noto Sans CJK SC"/>
        <family val="2"/>
      </rPr>
      <t xml:space="preserve">・接続情報</t>
    </r>
  </si>
  <si>
    <r>
      <rPr>
        <b val="true"/>
        <sz val="11"/>
        <color rgb="FFFFFFFF"/>
        <rFont val="Noto Sans CJK SC"/>
        <family val="2"/>
      </rPr>
      <t xml:space="preserve">【新】更改後</t>
    </r>
    <r>
      <rPr>
        <b val="true"/>
        <sz val="11"/>
        <color rgb="FFFFFFFF"/>
        <rFont val="Meiryo UI"/>
        <family val="0"/>
        <charset val="1"/>
      </rPr>
      <t xml:space="preserve">SW</t>
    </r>
    <r>
      <rPr>
        <b val="true"/>
        <sz val="11"/>
        <color rgb="FFFFFFFF"/>
        <rFont val="Noto Sans CJK SC"/>
        <family val="2"/>
      </rPr>
      <t xml:space="preserve">・配線</t>
    </r>
  </si>
  <si>
    <t xml:space="preserve">作業管理</t>
  </si>
  <si>
    <t xml:space="preserve">【旧】</t>
  </si>
  <si>
    <r>
      <rPr>
        <b val="true"/>
        <sz val="10"/>
        <color rgb="FFFFFFFF"/>
        <rFont val="Noto Sans CJK SC"/>
        <family val="2"/>
      </rPr>
      <t xml:space="preserve">旧</t>
    </r>
    <r>
      <rPr>
        <b val="true"/>
        <sz val="10"/>
        <color rgb="FFFFFFFF"/>
        <rFont val="Meiryo UI"/>
        <family val="0"/>
        <charset val="1"/>
      </rPr>
      <t xml:space="preserve">SW</t>
    </r>
    <r>
      <rPr>
        <b val="true"/>
        <sz val="10"/>
        <color rgb="FFFFFFFF"/>
        <rFont val="Noto Sans CJK SC"/>
        <family val="2"/>
      </rPr>
      <t xml:space="preserve">名</t>
    </r>
  </si>
  <si>
    <t xml:space="preserve">旧ポート</t>
  </si>
  <si>
    <t xml:space="preserve">モード</t>
  </si>
  <si>
    <t xml:space="preserve">VLAN
(Access/Native)</t>
  </si>
  <si>
    <r>
      <rPr>
        <b val="true"/>
        <sz val="10"/>
        <color rgb="FFFFFFFF"/>
        <rFont val="Meiryo UI"/>
        <family val="0"/>
        <charset val="1"/>
      </rPr>
      <t xml:space="preserve">Trunk</t>
    </r>
    <r>
      <rPr>
        <b val="true"/>
        <sz val="10"/>
        <color rgb="FFFFFFFF"/>
        <rFont val="Noto Sans CJK SC"/>
        <family val="2"/>
      </rPr>
      <t xml:space="preserve">許可</t>
    </r>
    <r>
      <rPr>
        <b val="true"/>
        <sz val="10"/>
        <color rgb="FFFFFFFF"/>
        <rFont val="Meiryo UI"/>
        <family val="0"/>
        <charset val="1"/>
      </rPr>
      <t xml:space="preserve">VLAN</t>
    </r>
  </si>
  <si>
    <r>
      <rPr>
        <b val="true"/>
        <sz val="10"/>
        <color rgb="FFFFFFFF"/>
        <rFont val="Noto Sans CJK SC"/>
        <family val="2"/>
      </rPr>
      <t xml:space="preserve">速度</t>
    </r>
    <r>
      <rPr>
        <b val="true"/>
        <sz val="10"/>
        <color rgb="FFFFFFFF"/>
        <rFont val="Meiryo UI"/>
        <family val="0"/>
        <charset val="1"/>
      </rPr>
      <t xml:space="preserve">/Duplex</t>
    </r>
  </si>
  <si>
    <t xml:space="preserve">接続先 機器名</t>
  </si>
  <si>
    <r>
      <rPr>
        <b val="true"/>
        <sz val="10"/>
        <color rgb="FFFFFFFF"/>
        <rFont val="Noto Sans CJK SC"/>
        <family val="2"/>
      </rPr>
      <t xml:space="preserve">接続先 ポート</t>
    </r>
    <r>
      <rPr>
        <b val="true"/>
        <sz val="10"/>
        <color rgb="FFFFFFFF"/>
        <rFont val="Meiryo UI"/>
        <family val="0"/>
        <charset val="1"/>
      </rPr>
      <t xml:space="preserve">/NIC</t>
    </r>
  </si>
  <si>
    <t xml:space="preserve">用途・設置場所メモ</t>
  </si>
  <si>
    <r>
      <rPr>
        <b val="true"/>
        <sz val="10"/>
        <color rgb="FFFFFFFF"/>
        <rFont val="Noto Sans CJK SC"/>
        <family val="2"/>
      </rPr>
      <t xml:space="preserve">新</t>
    </r>
    <r>
      <rPr>
        <b val="true"/>
        <sz val="10"/>
        <color rgb="FFFFFFFF"/>
        <rFont val="Meiryo UI"/>
        <family val="0"/>
        <charset val="1"/>
      </rPr>
      <t xml:space="preserve">SW</t>
    </r>
    <r>
      <rPr>
        <b val="true"/>
        <sz val="10"/>
        <color rgb="FFFFFFFF"/>
        <rFont val="Noto Sans CJK SC"/>
        <family val="2"/>
      </rPr>
      <t xml:space="preserve">名</t>
    </r>
  </si>
  <si>
    <t xml:space="preserve">新ポート</t>
  </si>
  <si>
    <t xml:space="preserve">ポート変更</t>
  </si>
  <si>
    <t xml:space="preserve">ケーブル種別</t>
  </si>
  <si>
    <t xml:space="preserve">ケーブルラベル</t>
  </si>
  <si>
    <t xml:space="preserve">作業状況</t>
  </si>
  <si>
    <t xml:space="preserve">作業日</t>
  </si>
  <si>
    <t xml:space="preserve">作業者</t>
  </si>
  <si>
    <t xml:space="preserve">確認者</t>
  </si>
  <si>
    <r>
      <rPr>
        <b val="true"/>
        <sz val="10"/>
        <color rgb="FFFFFFFF"/>
        <rFont val="Noto Sans CJK SC"/>
        <family val="2"/>
      </rPr>
      <t xml:space="preserve">作業用
</t>
    </r>
    <r>
      <rPr>
        <b val="true"/>
        <sz val="10"/>
        <color rgb="FFFFFFFF"/>
        <rFont val="Meiryo UI"/>
        <family val="0"/>
        <charset val="1"/>
      </rPr>
      <t xml:space="preserve">(SW</t>
    </r>
    <r>
      <rPr>
        <b val="true"/>
        <sz val="10"/>
        <color rgb="FFFFFFFF"/>
        <rFont val="Noto Sans CJK SC"/>
        <family val="2"/>
      </rPr>
      <t xml:space="preserve">別連番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</si>
  <si>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タグ連番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自動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</si>
  <si>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旧ラベル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既設・任意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</si>
  <si>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Gi1/0/1</t>
  </si>
  <si>
    <t xml:space="preserve">Access</t>
  </si>
  <si>
    <t xml:space="preserve">10</t>
  </si>
  <si>
    <t xml:space="preserve">1G/Full</t>
  </si>
  <si>
    <t xml:space="preserve">PC-0123</t>
  </si>
  <si>
    <t xml:space="preserve">LAN</t>
  </si>
  <si>
    <r>
      <rPr>
        <i val="true"/>
        <sz val="10"/>
        <color rgb="FF000000"/>
        <rFont val="Noto Sans CJK SC"/>
        <family val="2"/>
      </rPr>
      <t xml:space="preserve">事務エリア 席</t>
    </r>
    <r>
      <rPr>
        <i val="true"/>
        <sz val="10"/>
        <color rgb="FF000000"/>
        <rFont val="Meiryo UI"/>
        <family val="0"/>
        <charset val="1"/>
      </rPr>
      <t xml:space="preserve">A-12</t>
    </r>
  </si>
  <si>
    <t xml:space="preserve">UTP Cat6</t>
  </si>
  <si>
    <t xml:space="preserve">L-0001</t>
  </si>
  <si>
    <t xml:space="preserve">佐藤</t>
  </si>
  <si>
    <r>
      <rPr>
        <i val="true"/>
        <sz val="10"/>
        <color rgb="FF000000"/>
        <rFont val="Noto Sans CJK SC"/>
        <family val="2"/>
      </rPr>
      <t xml:space="preserve">記入例</t>
    </r>
    <r>
      <rPr>
        <i val="true"/>
        <sz val="10"/>
        <color rgb="FF000000"/>
        <rFont val="Meiryo UI"/>
        <family val="0"/>
        <charset val="1"/>
      </rPr>
      <t xml:space="preserve">: </t>
    </r>
    <r>
      <rPr>
        <i val="true"/>
        <sz val="10"/>
        <color rgb="FF000000"/>
        <rFont val="Noto Sans CJK SC"/>
        <family val="2"/>
      </rPr>
      <t xml:space="preserve">新旧同一ポート</t>
    </r>
  </si>
  <si>
    <t xml:space="preserve">OLD-0001</t>
  </si>
  <si>
    <t xml:space="preserve">Gi1/0/2</t>
  </si>
  <si>
    <t xml:space="preserve">20</t>
  </si>
  <si>
    <t xml:space="preserve">Auto</t>
  </si>
  <si>
    <t xml:space="preserve">AP-3F-01</t>
  </si>
  <si>
    <t xml:space="preserve">eth0</t>
  </si>
  <si>
    <r>
      <rPr>
        <i val="true"/>
        <sz val="10"/>
        <color rgb="FF000000"/>
        <rFont val="Meiryo UI"/>
        <family val="0"/>
        <charset val="1"/>
      </rPr>
      <t xml:space="preserve">3F </t>
    </r>
    <r>
      <rPr>
        <i val="true"/>
        <sz val="10"/>
        <color rgb="FF000000"/>
        <rFont val="Noto Sans CJK SC"/>
        <family val="2"/>
      </rPr>
      <t xml:space="preserve">無線</t>
    </r>
    <r>
      <rPr>
        <i val="true"/>
        <sz val="10"/>
        <color rgb="FF000000"/>
        <rFont val="Meiryo UI"/>
        <family val="0"/>
        <charset val="1"/>
      </rPr>
      <t xml:space="preserve">AP</t>
    </r>
  </si>
  <si>
    <t xml:space="preserve">Gi1/0/3</t>
  </si>
  <si>
    <t xml:space="preserve">UTP Cat6A</t>
  </si>
  <si>
    <t xml:space="preserve">L-0002</t>
  </si>
  <si>
    <r>
      <rPr>
        <i val="true"/>
        <sz val="10"/>
        <color rgb="FF000000"/>
        <rFont val="Noto Sans CJK SC"/>
        <family val="2"/>
      </rPr>
      <t xml:space="preserve">記入例</t>
    </r>
    <r>
      <rPr>
        <i val="true"/>
        <sz val="10"/>
        <color rgb="FF000000"/>
        <rFont val="Meiryo UI"/>
        <family val="0"/>
        <charset val="1"/>
      </rPr>
      <t xml:space="preserve">: </t>
    </r>
    <r>
      <rPr>
        <i val="true"/>
        <sz val="10"/>
        <color rgb="FF000000"/>
        <rFont val="Noto Sans CJK SC"/>
        <family val="2"/>
      </rPr>
      <t xml:space="preserve">ポート番号が変わる</t>
    </r>
    <r>
      <rPr>
        <i val="true"/>
        <sz val="10"/>
        <color rgb="FF000000"/>
        <rFont val="Meiryo UI"/>
        <family val="0"/>
        <charset val="1"/>
      </rPr>
      <t xml:space="preserve">(PoE</t>
    </r>
    <r>
      <rPr>
        <i val="true"/>
        <sz val="10"/>
        <color rgb="FF000000"/>
        <rFont val="Noto Sans CJK SC"/>
        <family val="2"/>
      </rPr>
      <t xml:space="preserve">要確認</t>
    </r>
    <r>
      <rPr>
        <i val="true"/>
        <sz val="10"/>
        <color rgb="FF000000"/>
        <rFont val="Meiryo UI"/>
        <family val="0"/>
        <charset val="1"/>
      </rPr>
      <t xml:space="preserve">)</t>
    </r>
  </si>
  <si>
    <t xml:space="preserve">OLD-0002</t>
  </si>
  <si>
    <t xml:space="preserve">Gi1/0/48</t>
  </si>
  <si>
    <t xml:space="preserve">Trunk</t>
  </si>
  <si>
    <t xml:space="preserve">1</t>
  </si>
  <si>
    <t xml:space="preserve">10,20,100</t>
  </si>
  <si>
    <t xml:space="preserve">CORE-SW01</t>
  </si>
  <si>
    <t xml:space="preserve">Te1/0/5</t>
  </si>
  <si>
    <r>
      <rPr>
        <i val="true"/>
        <sz val="10"/>
        <color rgb="FF000000"/>
        <rFont val="Noto Sans CJK SC"/>
        <family val="2"/>
      </rPr>
      <t xml:space="preserve">上位接続</t>
    </r>
    <r>
      <rPr>
        <i val="true"/>
        <sz val="10"/>
        <color rgb="FF000000"/>
        <rFont val="Meiryo UI"/>
        <family val="0"/>
        <charset val="1"/>
      </rPr>
      <t xml:space="preserve">(</t>
    </r>
    <r>
      <rPr>
        <i val="true"/>
        <sz val="10"/>
        <color rgb="FF000000"/>
        <rFont val="Noto Sans CJK SC"/>
        <family val="2"/>
      </rPr>
      <t xml:space="preserve">アップリンク</t>
    </r>
    <r>
      <rPr>
        <i val="true"/>
        <sz val="10"/>
        <color rgb="FF000000"/>
        <rFont val="Meiryo UI"/>
        <family val="0"/>
        <charset val="1"/>
      </rPr>
      <t xml:space="preserve">)</t>
    </r>
  </si>
  <si>
    <t xml:space="preserve">Te1/0/49</t>
  </si>
  <si>
    <r>
      <rPr>
        <i val="true"/>
        <sz val="10"/>
        <color rgb="FF000000"/>
        <rFont val="Noto Sans CJK SC"/>
        <family val="2"/>
      </rPr>
      <t xml:space="preserve">光 </t>
    </r>
    <r>
      <rPr>
        <i val="true"/>
        <sz val="10"/>
        <color rgb="FF000000"/>
        <rFont val="Meiryo UI"/>
        <family val="0"/>
        <charset val="1"/>
      </rPr>
      <t xml:space="preserve">MMF</t>
    </r>
  </si>
  <si>
    <t xml:space="preserve">L-0048</t>
  </si>
  <si>
    <r>
      <rPr>
        <i val="true"/>
        <sz val="10"/>
        <color rgb="FF000000"/>
        <rFont val="Noto Sans CJK SC"/>
        <family val="2"/>
      </rPr>
      <t xml:space="preserve">記入例</t>
    </r>
    <r>
      <rPr>
        <i val="true"/>
        <sz val="10"/>
        <color rgb="FF000000"/>
        <rFont val="Meiryo UI"/>
        <family val="0"/>
        <charset val="1"/>
      </rPr>
      <t xml:space="preserve">: </t>
    </r>
    <r>
      <rPr>
        <i val="true"/>
        <sz val="10"/>
        <color rgb="FF000000"/>
        <rFont val="Noto Sans CJK SC"/>
        <family val="2"/>
      </rPr>
      <t xml:space="preserve">アップリンク</t>
    </r>
  </si>
  <si>
    <t xml:space="preserve">OLD-0048</t>
  </si>
  <si>
    <r>
      <rPr>
        <b val="true"/>
        <sz val="16"/>
        <color rgb="FF1F3864"/>
        <rFont val="Meiryo UI"/>
        <family val="0"/>
        <charset val="1"/>
      </rPr>
      <t xml:space="preserve">SW</t>
    </r>
    <r>
      <rPr>
        <b val="true"/>
        <sz val="16"/>
        <color rgb="FF1F3864"/>
        <rFont val="Noto Sans CJK SC"/>
        <family val="2"/>
      </rPr>
      <t xml:space="preserve">別 ポート振替シート</t>
    </r>
    <r>
      <rPr>
        <b val="true"/>
        <sz val="16"/>
        <color rgb="FF1F3864"/>
        <rFont val="Meiryo UI"/>
        <family val="0"/>
        <charset val="1"/>
      </rPr>
      <t xml:space="preserve">(</t>
    </r>
    <r>
      <rPr>
        <b val="true"/>
        <sz val="16"/>
        <color rgb="FF1F3864"/>
        <rFont val="Noto Sans CJK SC"/>
        <family val="2"/>
      </rPr>
      <t xml:space="preserve">現地作業・印刷用</t>
    </r>
    <r>
      <rPr>
        <b val="true"/>
        <sz val="16"/>
        <color rgb="FF1F3864"/>
        <rFont val="Meiryo UI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</si>
  <si>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旧</t>
    </r>
    <r>
      <rPr>
        <b val="true"/>
        <sz val="10"/>
        <color rgb="FF000000"/>
        <rFont val="Meiryo UI"/>
        <family val="0"/>
        <charset val="1"/>
      </rPr>
      <t xml:space="preserve">SW</t>
    </r>
    <r>
      <rPr>
        <b val="true"/>
        <sz val="10"/>
        <color rgb="FF000000"/>
        <rFont val="Noto Sans CJK SC"/>
        <family val="2"/>
      </rPr>
      <t xml:space="preserve">名 ▶</t>
    </r>
  </si>
  <si>
    <r>
      <rPr>
        <b val="true"/>
        <sz val="12"/>
        <color rgb="FF000000"/>
        <rFont val="Noto Sans CJK SC"/>
        <family val="2"/>
      </rPr>
      <t xml:space="preserve">例</t>
    </r>
    <r>
      <rPr>
        <b val="true"/>
        <sz val="12"/>
        <color rgb="FF000000"/>
        <rFont val="Meiryo UI"/>
        <family val="0"/>
        <charset val="1"/>
      </rPr>
      <t xml:space="preserve">_</t>
    </r>
    <r>
      <rPr>
        <b val="true"/>
        <sz val="12"/>
        <color rgb="FF000000"/>
        <rFont val="Noto Sans CJK SC"/>
        <family val="2"/>
      </rPr>
      <t xml:space="preserve">旧</t>
    </r>
    <r>
      <rPr>
        <b val="true"/>
        <sz val="12"/>
        <color rgb="FF000000"/>
        <rFont val="Meiryo UI"/>
        <family val="0"/>
        <charset val="1"/>
      </rPr>
      <t xml:space="preserve">SW01</t>
    </r>
  </si>
  <si>
    <t xml:space="preserve">◀ プルダウンで選択すると、下の表が自動で切り替わります</t>
  </si>
  <si>
    <r>
      <rPr>
        <b val="true"/>
        <sz val="10"/>
        <color rgb="FFFFFFFF"/>
        <rFont val="Noto Sans CJK SC"/>
        <family val="2"/>
      </rPr>
      <t xml:space="preserve">拠点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設置場所</t>
    </r>
  </si>
  <si>
    <t xml:space="preserve">進捗</t>
  </si>
  <si>
    <r>
      <rPr>
        <b val="true"/>
        <sz val="10"/>
        <color rgb="FFFFFFFF"/>
        <rFont val="Noto Sans CJK SC"/>
        <family val="2"/>
      </rPr>
      <t xml:space="preserve">ラック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位置</t>
    </r>
  </si>
  <si>
    <r>
      <rPr>
        <b val="true"/>
        <sz val="10"/>
        <color rgb="FFFFFFFF"/>
        <rFont val="Noto Sans CJK SC"/>
        <family val="2"/>
      </rPr>
      <t xml:space="preserve">新機種 </t>
    </r>
    <r>
      <rPr>
        <b val="true"/>
        <sz val="10"/>
        <color rgb="FFFFFFFF"/>
        <rFont val="Meiryo UI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新</t>
    </r>
    <r>
      <rPr>
        <b val="true"/>
        <sz val="10"/>
        <color rgb="FFFFFFFF"/>
        <rFont val="Meiryo UI"/>
        <family val="0"/>
        <charset val="1"/>
      </rPr>
      <t xml:space="preserve">IP</t>
    </r>
  </si>
  <si>
    <r>
      <rPr>
        <b val="true"/>
        <sz val="10"/>
        <color rgb="FFFFFFFF"/>
        <rFont val="Noto Sans CJK SC"/>
        <family val="2"/>
      </rPr>
      <t xml:space="preserve">旧機種 </t>
    </r>
    <r>
      <rPr>
        <b val="true"/>
        <sz val="10"/>
        <color rgb="FFFFFFFF"/>
        <rFont val="Meiryo UI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旧</t>
    </r>
    <r>
      <rPr>
        <b val="true"/>
        <sz val="10"/>
        <color rgb="FFFFFFFF"/>
        <rFont val="Meiryo UI"/>
        <family val="0"/>
        <charset val="1"/>
      </rPr>
      <t xml:space="preserve">IP</t>
    </r>
  </si>
  <si>
    <r>
      <rPr>
        <b val="true"/>
        <sz val="10"/>
        <color rgb="FFFFFFFF"/>
        <rFont val="Noto Sans CJK SC"/>
        <family val="2"/>
      </rPr>
      <t xml:space="preserve">予定日 </t>
    </r>
    <r>
      <rPr>
        <b val="true"/>
        <sz val="10"/>
        <color rgb="FFFFFFFF"/>
        <rFont val="Meiryo UI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担当</t>
    </r>
  </si>
  <si>
    <t xml:space="preserve">VLAN</t>
  </si>
  <si>
    <t xml:space="preserve">用途・設置場所</t>
  </si>
  <si>
    <t xml:space="preserve">確認✓</t>
  </si>
  <si>
    <t xml:space="preserve">□</t>
  </si>
  <si>
    <r>
      <rPr>
        <sz val="9"/>
        <color rgb="FFC00000"/>
        <rFont val="Noto Sans CJK SC"/>
        <family val="2"/>
      </rPr>
      <t xml:space="preserve">※ オレンジ行 </t>
    </r>
    <r>
      <rPr>
        <sz val="9"/>
        <color rgb="FFC00000"/>
        <rFont val="Meiryo UI"/>
        <family val="0"/>
        <charset val="1"/>
      </rPr>
      <t xml:space="preserve">= </t>
    </r>
    <r>
      <rPr>
        <sz val="9"/>
        <color rgb="FFC00000"/>
        <rFont val="Noto Sans CJK SC"/>
        <family val="2"/>
      </rPr>
      <t xml:space="preserve">旧ポートと新ポートの番号が異なる</t>
    </r>
    <r>
      <rPr>
        <sz val="9"/>
        <color rgb="FFC00000"/>
        <rFont val="Meiryo UI"/>
        <family val="0"/>
        <charset val="1"/>
      </rPr>
      <t xml:space="preserve">(</t>
    </r>
    <r>
      <rPr>
        <sz val="9"/>
        <color rgb="FFC00000"/>
        <rFont val="Noto Sans CJK SC"/>
        <family val="2"/>
      </rPr>
      <t xml:space="preserve">差し替え時に要注意</t>
    </r>
    <r>
      <rPr>
        <sz val="9"/>
        <color rgb="FFC00000"/>
        <rFont val="Meiryo UI"/>
        <family val="0"/>
        <charset val="1"/>
      </rPr>
      <t xml:space="preserve">)</t>
    </r>
    <r>
      <rPr>
        <sz val="9"/>
        <color rgb="FFC00000"/>
        <rFont val="Noto Sans CJK SC"/>
        <family val="2"/>
      </rPr>
      <t xml:space="preserve">。最大</t>
    </r>
    <r>
      <rPr>
        <sz val="9"/>
        <color rgb="FFC00000"/>
        <rFont val="Meiryo UI"/>
        <family val="0"/>
        <charset val="1"/>
      </rPr>
      <t xml:space="preserve">56</t>
    </r>
    <r>
      <rPr>
        <sz val="9"/>
        <color rgb="FFC00000"/>
        <rFont val="Noto Sans CJK SC"/>
        <family val="2"/>
      </rPr>
      <t xml:space="preserve">ポート分を表示します。</t>
    </r>
  </si>
  <si>
    <r>
      <rPr>
        <b val="true"/>
        <sz val="16"/>
        <color rgb="FF1F3864"/>
        <rFont val="Noto Sans CJK SC"/>
        <family val="2"/>
      </rPr>
      <t xml:space="preserve">ケーブルタグ</t>
    </r>
    <r>
      <rPr>
        <b val="true"/>
        <sz val="16"/>
        <color rgb="FF1F3864"/>
        <rFont val="Meiryo UI"/>
        <family val="0"/>
        <charset val="1"/>
      </rPr>
      <t xml:space="preserve">(</t>
    </r>
    <r>
      <rPr>
        <b val="true"/>
        <sz val="16"/>
        <color rgb="FF1F3864"/>
        <rFont val="Noto Sans CJK SC"/>
        <family val="2"/>
      </rPr>
      <t xml:space="preserve">ラベル</t>
    </r>
    <r>
      <rPr>
        <b val="true"/>
        <sz val="16"/>
        <color rgb="FF1F3864"/>
        <rFont val="Meiryo UI"/>
        <family val="0"/>
        <charset val="1"/>
      </rPr>
      <t xml:space="preserve">)</t>
    </r>
    <r>
      <rPr>
        <b val="true"/>
        <sz val="16"/>
        <color rgb="FF1F3864"/>
        <rFont val="Noto Sans CJK SC"/>
        <family val="2"/>
      </rPr>
      <t xml:space="preserve">表  旧 ⇒ 新</t>
    </r>
  </si>
  <si>
    <r>
      <rPr>
        <sz val="10"/>
        <color rgb="FF595959"/>
        <rFont val="Noto Sans CJK SC"/>
        <family val="2"/>
      </rPr>
      <t xml:space="preserve">「ポート振替表」でラベルを入力した行が自動で並びます</t>
    </r>
    <r>
      <rPr>
        <sz val="10"/>
        <color rgb="FF595959"/>
        <rFont val="Meiryo UI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入力不要</t>
    </r>
    <r>
      <rPr>
        <sz val="10"/>
        <color rgb="FF595959"/>
        <rFont val="Meiryo UI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。旧タグ</t>
    </r>
    <r>
      <rPr>
        <sz val="10"/>
        <color rgb="FF595959"/>
        <rFont val="Meiryo UI"/>
        <family val="0"/>
        <charset val="1"/>
      </rPr>
      <t xml:space="preserve">=</t>
    </r>
    <r>
      <rPr>
        <sz val="10"/>
        <color rgb="FF595959"/>
        <rFont val="Noto Sans CJK SC"/>
        <family val="2"/>
      </rPr>
      <t xml:space="preserve">撤去</t>
    </r>
    <r>
      <rPr>
        <sz val="10"/>
        <color rgb="FF595959"/>
        <rFont val="Meiryo UI"/>
        <family val="0"/>
        <charset val="1"/>
      </rPr>
      <t xml:space="preserve">/</t>
    </r>
    <r>
      <rPr>
        <sz val="10"/>
        <color rgb="FF595959"/>
        <rFont val="Noto Sans CJK SC"/>
        <family val="2"/>
      </rPr>
      <t xml:space="preserve">確認用、新タグ</t>
    </r>
    <r>
      <rPr>
        <sz val="10"/>
        <color rgb="FF595959"/>
        <rFont val="Meiryo UI"/>
        <family val="0"/>
        <charset val="1"/>
      </rPr>
      <t xml:space="preserve">=</t>
    </r>
    <r>
      <rPr>
        <sz val="10"/>
        <color rgb="FF595959"/>
        <rFont val="Noto Sans CJK SC"/>
        <family val="2"/>
      </rPr>
      <t xml:space="preserve">印字・貼付用。</t>
    </r>
  </si>
  <si>
    <r>
      <rPr>
        <b val="true"/>
        <sz val="11"/>
        <color rgb="FFFFFFFF"/>
        <rFont val="Noto Sans CJK SC"/>
        <family val="2"/>
      </rPr>
      <t xml:space="preserve">【旧】既設タグ</t>
    </r>
    <r>
      <rPr>
        <b val="true"/>
        <sz val="11"/>
        <color rgb="FFFFFFFF"/>
        <rFont val="Meiryo U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撤去・確認</t>
    </r>
    <r>
      <rPr>
        <b val="true"/>
        <sz val="11"/>
        <color rgb="FFFFFFFF"/>
        <rFont val="Meiryo U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</si>
  <si>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【新】新設タグ</t>
    </r>
    <r>
      <rPr>
        <b val="true"/>
        <sz val="11"/>
        <color rgb="FFFFFFFF"/>
        <rFont val="Meiryo U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印字・貼付</t>
    </r>
    <r>
      <rPr>
        <b val="true"/>
        <sz val="11"/>
        <color rgb="FFFFFFFF"/>
        <rFont val="Meiryo UI"/>
        <family val="0"/>
        <charset val="1"/>
      </rPr>
      <t xml:space="preserve">)</t>
    </r>
  </si>
  <si>
    <t xml:space="preserve">旧ラベル</t>
  </si>
  <si>
    <r>
      <rPr>
        <b val="true"/>
        <sz val="10"/>
        <color rgb="FFFFFFFF"/>
        <rFont val="Noto Sans CJK SC"/>
        <family val="2"/>
      </rPr>
      <t xml:space="preserve">旧タグ内容
旧</t>
    </r>
    <r>
      <rPr>
        <b val="true"/>
        <sz val="10"/>
        <color rgb="FFFFFFFF"/>
        <rFont val="Meiryo UI"/>
        <family val="0"/>
        <charset val="1"/>
      </rPr>
      <t xml:space="preserve">SW/</t>
    </r>
    <r>
      <rPr>
        <b val="true"/>
        <sz val="10"/>
        <color rgb="FFFFFFFF"/>
        <rFont val="Noto Sans CJK SC"/>
        <family val="2"/>
      </rPr>
      <t xml:space="preserve">ポート ⇔ 接続先</t>
    </r>
  </si>
  <si>
    <t xml:space="preserve">旧タグ
撤去✓</t>
  </si>
  <si>
    <t xml:space="preserve">新ラベル</t>
  </si>
  <si>
    <r>
      <rPr>
        <b val="true"/>
        <sz val="10"/>
        <color rgb="FFFFFFFF"/>
        <rFont val="Noto Sans CJK SC"/>
        <family val="2"/>
      </rPr>
      <t xml:space="preserve">新タグ内容
新</t>
    </r>
    <r>
      <rPr>
        <b val="true"/>
        <sz val="10"/>
        <color rgb="FFFFFFFF"/>
        <rFont val="Meiryo UI"/>
        <family val="0"/>
        <charset val="1"/>
      </rPr>
      <t xml:space="preserve">SW/</t>
    </r>
    <r>
      <rPr>
        <b val="true"/>
        <sz val="10"/>
        <color rgb="FFFFFFFF"/>
        <rFont val="Noto Sans CJK SC"/>
        <family val="2"/>
      </rPr>
      <t xml:space="preserve">ポート ⇔ 接続先</t>
    </r>
  </si>
  <si>
    <t xml:space="preserve">新タグ
貼付✓</t>
  </si>
  <si>
    <r>
      <rPr>
        <b val="true"/>
        <sz val="10"/>
        <color rgb="FFFFFFFF"/>
        <rFont val="Noto Sans CJK SC"/>
        <family val="2"/>
      </rPr>
      <t xml:space="preserve">新ラベル印字用テキスト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コピー用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</si>
  <si>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参照行</t>
  </si>
  <si>
    <r>
      <rPr>
        <b val="true"/>
        <sz val="11"/>
        <color rgb="FF000000"/>
        <rFont val="Noto Sans CJK SC"/>
        <family val="2"/>
      </rPr>
      <t xml:space="preserve">プルダウン用リスト</t>
    </r>
    <r>
      <rPr>
        <b val="true"/>
        <sz val="11"/>
        <color rgb="FF000000"/>
        <rFont val="Meiryo UI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自社の運用に合わせて自由に編集できます。行の追加はリスト範囲内で</t>
    </r>
    <r>
      <rPr>
        <b val="true"/>
        <sz val="11"/>
        <color rgb="FF000000"/>
        <rFont val="Meiryo UI"/>
        <family val="0"/>
        <charset val="1"/>
      </rPr>
      <t xml:space="preserve">)</t>
    </r>
  </si>
  <si>
    <t xml:space="preserve">ポートモード</t>
  </si>
  <si>
    <r>
      <rPr>
        <sz val="10"/>
        <color rgb="FFC00000"/>
        <rFont val="Noto Sans CJK SC"/>
        <family val="2"/>
      </rPr>
      <t xml:space="preserve">※「疎通確認済」</t>
    </r>
    <r>
      <rPr>
        <sz val="10"/>
        <color rgb="FFC00000"/>
        <rFont val="Meiryo UI"/>
        <family val="0"/>
        <charset val="1"/>
      </rPr>
      <t xml:space="preserve">= </t>
    </r>
    <r>
      <rPr>
        <sz val="10"/>
        <color rgb="FFC00000"/>
        <rFont val="Noto Sans CJK SC"/>
        <family val="2"/>
      </rPr>
      <t xml:space="preserve">完了として進捗率に集計されます</t>
    </r>
  </si>
  <si>
    <t xml:space="preserve">UTP Cat5e</t>
  </si>
  <si>
    <t xml:space="preserve">10M/Full</t>
  </si>
  <si>
    <t xml:space="preserve">Hybrid</t>
  </si>
  <si>
    <t xml:space="preserve">100M/Full</t>
  </si>
  <si>
    <t xml:space="preserve">Routed</t>
  </si>
  <si>
    <r>
      <rPr>
        <sz val="10"/>
        <color rgb="FF000000"/>
        <rFont val="Noto Sans CJK SC"/>
        <family val="2"/>
      </rPr>
      <t xml:space="preserve">光 </t>
    </r>
    <r>
      <rPr>
        <sz val="10"/>
        <color rgb="FF000000"/>
        <rFont val="Meiryo UI"/>
        <family val="0"/>
        <charset val="1"/>
      </rPr>
      <t xml:space="preserve">SMF</t>
    </r>
  </si>
  <si>
    <r>
      <rPr>
        <sz val="10"/>
        <color rgb="FF000000"/>
        <rFont val="Meiryo UI"/>
        <family val="0"/>
        <charset val="1"/>
      </rPr>
      <t xml:space="preserve">LAG(</t>
    </r>
    <r>
      <rPr>
        <sz val="10"/>
        <color rgb="FF000000"/>
        <rFont val="Noto Sans CJK SC"/>
        <family val="2"/>
      </rPr>
      <t xml:space="preserve">メンバー</t>
    </r>
    <r>
      <rPr>
        <sz val="10"/>
        <color rgb="FF000000"/>
        <rFont val="Meiryo UI"/>
        <family val="0"/>
        <charset val="1"/>
      </rPr>
      <t xml:space="preserve">)</t>
    </r>
  </si>
  <si>
    <t xml:space="preserve">10G/Full</t>
  </si>
  <si>
    <r>
      <rPr>
        <sz val="10"/>
        <color rgb="FF000000"/>
        <rFont val="Noto Sans CJK SC"/>
        <family val="2"/>
      </rPr>
      <t xml:space="preserve">光 </t>
    </r>
    <r>
      <rPr>
        <sz val="10"/>
        <color rgb="FF000000"/>
        <rFont val="Meiryo UI"/>
        <family val="0"/>
        <charset val="1"/>
      </rPr>
      <t xml:space="preserve">MMF</t>
    </r>
  </si>
  <si>
    <t xml:space="preserve">ミラー</t>
  </si>
  <si>
    <t xml:space="preserve">25G/Full</t>
  </si>
  <si>
    <t xml:space="preserve">DAC</t>
  </si>
  <si>
    <r>
      <rPr>
        <sz val="10"/>
        <color rgb="FF000000"/>
        <rFont val="Noto Sans CJK SC"/>
        <family val="2"/>
      </rPr>
      <t xml:space="preserve">未使用</t>
    </r>
    <r>
      <rPr>
        <sz val="10"/>
        <color rgb="FF000000"/>
        <rFont val="Meiryo UI"/>
        <family val="0"/>
        <charset val="1"/>
      </rPr>
      <t xml:space="preserve">(Shutdown)</t>
    </r>
  </si>
  <si>
    <t xml:space="preserve">40G/Full</t>
  </si>
  <si>
    <t xml:space="preserve">AOC</t>
  </si>
  <si>
    <t xml:space="preserve">100M/Half</t>
  </si>
  <si>
    <t xml:space="preserve">既設流用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</si>
</sst>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"/>
    <numFmt numFmtId="167" formatCode="0.0%"/>
    <numFmt numFmtId="168" formatCode="yyyy/mm/dd"/>
    <numFmt numFmtId="169" formatCode="0%"/>
    <numFmt numFmtId="170" formatCode="General"/>
  </numFmts>
  <fonts count="36">
    <font>
      <sz val="10"/>
      <name val="Meiryo U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Noto Sans CJK SC"/>
      <family val="2"/>
    </font>
    <font>
      <b val="true"/>
      <sz val="18"/>
      <color rgb="FF1F3864"/>
      <name val="Meiryo UI"/>
      <family val="0"/>
      <charset val="1"/>
    </font>
    <font>
      <sz val="10"/>
      <color rgb="FF595959"/>
      <name val="Noto Sans CJK SC"/>
      <family val="2"/>
    </font>
    <font>
      <sz val="10"/>
      <color rgb="FF595959"/>
      <name val="Meiryo UI"/>
      <family val="0"/>
      <charset val="1"/>
    </font>
    <font>
      <b val="true"/>
      <sz val="11"/>
      <color rgb="FFFFFFFF"/>
      <name val="Noto Sans CJK SC"/>
      <family val="2"/>
    </font>
    <font>
      <sz val="11"/>
      <color theme="1"/>
      <name val="Calibri"/>
      <family val="2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Meiryo UI"/>
      <family val="0"/>
      <charset val="1"/>
    </font>
    <font>
      <b val="true"/>
      <sz val="10"/>
      <color rgb="FF000000"/>
      <name val="Meiryo UI"/>
      <family val="0"/>
      <charset val="1"/>
    </font>
    <font>
      <b val="true"/>
      <i val="true"/>
      <sz val="10"/>
      <color rgb="FF000000"/>
      <name val="Noto Sans CJK SC"/>
      <family val="2"/>
    </font>
    <font>
      <b val="true"/>
      <sz val="16"/>
      <color rgb="FF1F3864"/>
      <name val="Noto Sans CJK SC"/>
      <family val="2"/>
    </font>
    <font>
      <b val="true"/>
      <sz val="16"/>
      <color rgb="FF1F3864"/>
      <name val="Meiryo UI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Meiryo UI"/>
      <family val="0"/>
      <charset val="1"/>
    </font>
    <font>
      <b val="true"/>
      <sz val="12"/>
      <color rgb="FF000000"/>
      <name val="Meiryo UI"/>
      <family val="0"/>
      <charset val="1"/>
    </font>
    <font>
      <sz val="9"/>
      <color rgb="FF7F7F7F"/>
      <name val="Noto Sans CJK SC"/>
      <family val="2"/>
    </font>
    <font>
      <i val="true"/>
      <sz val="10"/>
      <color rgb="FF000000"/>
      <name val="Noto Sans CJK SC"/>
      <family val="2"/>
    </font>
    <font>
      <i val="true"/>
      <sz val="10"/>
      <color rgb="FF000000"/>
      <name val="Meiryo UI"/>
      <family val="0"/>
      <charset val="1"/>
    </font>
    <font>
      <sz val="9"/>
      <color rgb="FFC00000"/>
      <name val="Noto Sans CJK SC"/>
      <family val="2"/>
    </font>
    <font>
      <sz val="9"/>
      <color rgb="FFC00000"/>
      <name val="Meiryo UI"/>
      <family val="0"/>
      <charset val="1"/>
    </font>
    <font>
      <b val="true"/>
      <sz val="11"/>
      <color rgb="FFFFFFFF"/>
      <name val="Meiryo UI"/>
      <family val="0"/>
      <charset val="1"/>
    </font>
    <font>
      <sz val="9"/>
      <color rgb="FF7F7F7F"/>
      <name val="Meiryo UI"/>
      <family val="0"/>
      <charset val="1"/>
    </font>
    <font>
      <b val="true"/>
      <sz val="12"/>
      <color rgb="FF000000"/>
      <name val="Noto Sans CJK SC"/>
      <family val="2"/>
    </font>
    <font>
      <sz val="10"/>
      <color rgb="FFC00000"/>
      <name val="Noto Sans CJK SC"/>
      <family val="2"/>
    </font>
    <font>
      <sz val="10"/>
      <color rgb="FF7F7F7F"/>
      <name val="Meiryo UI"/>
      <family val="0"/>
      <charset val="1"/>
    </font>
    <font>
      <sz val="12"/>
      <color rgb="FF000000"/>
      <name val="Meiryo UI"/>
      <family val="0"/>
      <charset val="1"/>
    </font>
    <font>
      <b val="true"/>
      <sz val="10"/>
      <color rgb="FF7F6000"/>
      <name val="Meiryo UI"/>
      <family val="0"/>
      <charset val="1"/>
    </font>
    <font>
      <b val="true"/>
      <sz val="10"/>
      <color rgb="FF375623"/>
      <name val="Meiryo UI"/>
      <family val="0"/>
      <charset val="1"/>
    </font>
    <font>
      <b val="true"/>
      <sz val="11"/>
      <color rgb="FF000000"/>
      <name val="Noto Sans CJK SC"/>
      <family val="2"/>
    </font>
    <font>
      <b val="true"/>
      <sz val="11"/>
      <color rgb="FF000000"/>
      <name val="Meiryo UI"/>
      <family val="0"/>
      <charset val="1"/>
    </font>
    <font>
      <sz val="10"/>
      <color rgb="FFC00000"/>
      <name val="Meiryo U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FFFFFF"/>
        <bgColor rgb="FFE8F1FB"/>
      </patternFill>
    </fill>
    <fill>
      <patternFill patternType="solid">
        <fgColor rgb="FFEDEDED"/>
        <bgColor rgb="FFE8F1FB"/>
      </patternFill>
    </fill>
    <fill>
      <patternFill patternType="solid">
        <fgColor rgb="FFE8F1FB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2F5597"/>
        <bgColor rgb="FF1F3864"/>
      </patternFill>
    </fill>
    <fill>
      <patternFill patternType="solid">
        <fgColor rgb="FF7F7F7F"/>
        <bgColor rgb="FF595959"/>
      </patternFill>
    </fill>
    <fill>
      <patternFill patternType="solid">
        <fgColor rgb="FF7F6000"/>
        <bgColor rgb="FF595959"/>
      </patternFill>
    </fill>
    <fill>
      <patternFill patternType="solid">
        <fgColor rgb="FF375623"/>
        <bgColor rgb="FF595959"/>
      </patternFill>
    </fill>
    <fill>
      <patternFill patternType="solid">
        <fgColor rgb="FF595959"/>
        <bgColor rgb="FF37562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8F1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Meiryo UI"/>
        <charset val="1"/>
        <family val="0"/>
        <b val="1"/>
        <color rgb="FFC00000"/>
      </font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FFF2CC"/>
        </patternFill>
      </fill>
    </dxf>
    <dxf>
      <fill>
        <patternFill>
          <bgColor rgb="FFF4B183"/>
        </patternFill>
      </fill>
    </dxf>
    <dxf>
      <fill>
        <patternFill>
          <bgColor rgb="FFFFFF99"/>
        </patternFill>
      </fill>
    </dxf>
    <dxf>
      <font>
        <name val="Meiryo UI"/>
        <charset val="1"/>
        <family val="0"/>
        <b val="1"/>
        <color rgb="FFFFFFFF"/>
      </font>
      <fill>
        <patternFill>
          <bgColor rgb="FFFF7C80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6E0B4"/>
      <rgbColor rgb="FF7F7F7F"/>
      <rgbColor rgb="FF9999FF"/>
      <rgbColor rgb="FF993366"/>
      <rgbColor rgb="FFFFF2CC"/>
      <rgbColor rgb="FFE8F1FB"/>
      <rgbColor rgb="FF660066"/>
      <rgbColor rgb="FFFF7C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FCE4D6"/>
      <rgbColor rgb="FFFFFF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0"/>
  </cols>
  <sheetData>
    <row r="2" customFormat="false" ht="27.6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29.85" hidden="false" customHeight="false" outlineLevel="0" collapsed="false">
      <c r="B6" s="5" t="s">
        <v>3</v>
      </c>
      <c r="C6" s="6" t="s">
        <v>4</v>
      </c>
    </row>
    <row r="7" customFormat="false" ht="15" hidden="false" customHeight="false" outlineLevel="0" collapsed="false">
      <c r="B7" s="5" t="s">
        <v>5</v>
      </c>
      <c r="C7" s="6" t="s">
        <v>6</v>
      </c>
    </row>
    <row r="8" customFormat="false" ht="15" hidden="false" customHeight="false" outlineLevel="0" collapsed="false">
      <c r="B8" s="7" t="s">
        <v>7</v>
      </c>
      <c r="C8" s="6" t="s">
        <v>8</v>
      </c>
    </row>
    <row r="9" customFormat="false" ht="29.85" hidden="false" customHeight="false" outlineLevel="0" collapsed="false">
      <c r="B9" s="5" t="s">
        <v>9</v>
      </c>
      <c r="C9" s="6" t="s">
        <v>10</v>
      </c>
    </row>
    <row r="10" customFormat="false" ht="15" hidden="false" customHeight="false" outlineLevel="0" collapsed="false">
      <c r="B10" s="5" t="s">
        <v>11</v>
      </c>
      <c r="C10" s="6" t="s">
        <v>12</v>
      </c>
    </row>
    <row r="12" customFormat="false" ht="15" hidden="false" customHeight="false" outlineLevel="0" collapsed="false">
      <c r="B12" s="3" t="s">
        <v>13</v>
      </c>
      <c r="C12" s="4"/>
    </row>
    <row r="13" customFormat="false" ht="29.85" hidden="false" customHeight="false" outlineLevel="0" collapsed="false">
      <c r="B13" s="5" t="s">
        <v>14</v>
      </c>
      <c r="C13" s="6" t="s">
        <v>15</v>
      </c>
    </row>
    <row r="14" customFormat="false" ht="29.85" hidden="false" customHeight="false" outlineLevel="0" collapsed="false">
      <c r="B14" s="5" t="s">
        <v>16</v>
      </c>
      <c r="C14" s="6" t="s">
        <v>17</v>
      </c>
    </row>
    <row r="15" customFormat="false" ht="29.85" hidden="false" customHeight="false" outlineLevel="0" collapsed="false">
      <c r="B15" s="5" t="s">
        <v>18</v>
      </c>
      <c r="C15" s="6" t="s">
        <v>19</v>
      </c>
    </row>
    <row r="16" customFormat="false" ht="15" hidden="false" customHeight="false" outlineLevel="0" collapsed="false">
      <c r="B16" s="5" t="s">
        <v>20</v>
      </c>
      <c r="C16" s="6" t="s">
        <v>21</v>
      </c>
    </row>
    <row r="17" customFormat="false" ht="15" hidden="false" customHeight="false" outlineLevel="0" collapsed="false">
      <c r="B17" s="5" t="s">
        <v>22</v>
      </c>
      <c r="C17" s="6" t="s">
        <v>23</v>
      </c>
    </row>
    <row r="18" customFormat="false" ht="15" hidden="false" customHeight="false" outlineLevel="0" collapsed="false">
      <c r="B18" s="5" t="s">
        <v>24</v>
      </c>
      <c r="C18" s="6" t="s">
        <v>25</v>
      </c>
    </row>
    <row r="20" customFormat="false" ht="15" hidden="false" customHeight="false" outlineLevel="0" collapsed="false">
      <c r="B20" s="3" t="s">
        <v>26</v>
      </c>
      <c r="C20" s="4"/>
    </row>
    <row r="21" customFormat="false" ht="15" hidden="false" customHeight="false" outlineLevel="0" collapsed="false">
      <c r="B21" s="8" t="s">
        <v>27</v>
      </c>
      <c r="C21" s="9" t="s">
        <v>28</v>
      </c>
    </row>
    <row r="22" customFormat="false" ht="15" hidden="false" customHeight="false" outlineLevel="0" collapsed="false">
      <c r="B22" s="10" t="s">
        <v>29</v>
      </c>
      <c r="C22" s="9" t="s">
        <v>30</v>
      </c>
    </row>
    <row r="23" customFormat="false" ht="15" hidden="false" customHeight="false" outlineLevel="0" collapsed="false">
      <c r="B23" s="11" t="s">
        <v>31</v>
      </c>
      <c r="C23" s="9" t="s">
        <v>32</v>
      </c>
    </row>
    <row r="24" customFormat="false" ht="15" hidden="false" customHeight="false" outlineLevel="0" collapsed="false">
      <c r="B24" s="12" t="s">
        <v>33</v>
      </c>
      <c r="C24" s="13" t="s">
        <v>34</v>
      </c>
    </row>
    <row r="26" customFormat="false" ht="15" hidden="false" customHeight="false" outlineLevel="0" collapsed="false">
      <c r="B26" s="3" t="s">
        <v>35</v>
      </c>
      <c r="C26" s="4"/>
    </row>
    <row r="27" customFormat="false" ht="15" hidden="false" customHeight="false" outlineLevel="0" collapsed="false">
      <c r="B27" s="5" t="s">
        <v>36</v>
      </c>
      <c r="C27" s="6" t="s">
        <v>37</v>
      </c>
    </row>
    <row r="28" customFormat="false" ht="15" hidden="false" customHeight="false" outlineLevel="0" collapsed="false">
      <c r="B28" s="5" t="s">
        <v>38</v>
      </c>
      <c r="C28" s="6" t="s">
        <v>39</v>
      </c>
    </row>
    <row r="29" customFormat="false" ht="15" hidden="false" customHeight="false" outlineLevel="0" collapsed="false">
      <c r="B29" s="5" t="s">
        <v>40</v>
      </c>
      <c r="C29" s="6" t="s">
        <v>41</v>
      </c>
    </row>
    <row r="30" customFormat="false" ht="15" hidden="false" customHeight="false" outlineLevel="0" collapsed="false">
      <c r="B30" s="5" t="s">
        <v>42</v>
      </c>
      <c r="C30" s="6" t="s">
        <v>43</v>
      </c>
    </row>
    <row r="31" customFormat="false" ht="15" hidden="false" customHeight="false" outlineLevel="0" collapsed="false">
      <c r="B31" s="5" t="s">
        <v>44</v>
      </c>
      <c r="C31" s="6" t="s">
        <v>45</v>
      </c>
    </row>
    <row r="33" customFormat="false" ht="15" hidden="false" customHeight="false" outlineLevel="0" collapsed="false">
      <c r="B33" s="3" t="s">
        <v>46</v>
      </c>
      <c r="C33" s="4"/>
    </row>
    <row r="34" customFormat="false" ht="29.85" hidden="false" customHeight="false" outlineLevel="0" collapsed="false">
      <c r="B34" s="5" t="s">
        <v>47</v>
      </c>
      <c r="C34" s="14" t="s">
        <v>48</v>
      </c>
    </row>
    <row r="35" customFormat="false" ht="15" hidden="false" customHeight="false" outlineLevel="0" collapsed="false">
      <c r="B35" s="5" t="s">
        <v>49</v>
      </c>
      <c r="C35" s="6" t="s">
        <v>50</v>
      </c>
    </row>
    <row r="36" customFormat="false" ht="15" hidden="false" customHeight="false" outlineLevel="0" collapsed="false">
      <c r="B36" s="5" t="s">
        <v>51</v>
      </c>
      <c r="C36" s="6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true"/>
  </sheetPr>
  <dimension ref="A1:P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9" min="4" style="0" width="16"/>
    <col collapsed="false" customWidth="true" hidden="false" outlineLevel="0" max="11" min="10" style="0" width="12"/>
    <col collapsed="false" customWidth="true" hidden="false" outlineLevel="0" max="13" min="12" style="0" width="11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28"/>
  </cols>
  <sheetData>
    <row r="1" customFormat="false" ht="23.85" hidden="false" customHeight="false" outlineLevel="0" collapsed="false">
      <c r="A1" s="15" t="s">
        <v>53</v>
      </c>
    </row>
    <row r="2" customFormat="false" ht="24" hidden="false" customHeight="true" outlineLevel="0" collapsed="false">
      <c r="B2" s="16" t="s">
        <v>54</v>
      </c>
      <c r="C2" s="17" t="n">
        <f aca="false">COUNTA(D6:D75)</f>
        <v>0</v>
      </c>
      <c r="D2" s="16" t="s">
        <v>55</v>
      </c>
      <c r="E2" s="18" t="n">
        <f aca="false">SUM(L6:L75)</f>
        <v>0</v>
      </c>
      <c r="F2" s="16" t="s">
        <v>56</v>
      </c>
      <c r="G2" s="18" t="n">
        <f aca="false">SUM(M6:M75)</f>
        <v>0</v>
      </c>
      <c r="H2" s="16" t="s">
        <v>57</v>
      </c>
      <c r="I2" s="19" t="n">
        <f aca="false">IF(E2=0,0,G2/E2)</f>
        <v>0</v>
      </c>
    </row>
    <row r="3" customFormat="false" ht="15" hidden="false" customHeight="false" outlineLevel="0" collapsed="false">
      <c r="L3" s="20" t="s">
        <v>58</v>
      </c>
    </row>
    <row r="4" customFormat="false" ht="30" hidden="false" customHeight="true" outlineLevel="0" collapsed="false">
      <c r="A4" s="21" t="s">
        <v>59</v>
      </c>
      <c r="B4" s="22" t="s">
        <v>60</v>
      </c>
      <c r="C4" s="22" t="s">
        <v>61</v>
      </c>
      <c r="D4" s="22" t="s">
        <v>62</v>
      </c>
      <c r="E4" s="22" t="s">
        <v>63</v>
      </c>
      <c r="F4" s="22" t="s">
        <v>64</v>
      </c>
      <c r="G4" s="22" t="s">
        <v>65</v>
      </c>
      <c r="H4" s="22" t="s">
        <v>66</v>
      </c>
      <c r="I4" s="22" t="s">
        <v>67</v>
      </c>
      <c r="J4" s="22" t="s">
        <v>68</v>
      </c>
      <c r="K4" s="22" t="s">
        <v>69</v>
      </c>
      <c r="L4" s="23" t="s">
        <v>55</v>
      </c>
      <c r="M4" s="23" t="s">
        <v>56</v>
      </c>
      <c r="N4" s="23" t="s">
        <v>57</v>
      </c>
      <c r="O4" s="23" t="s">
        <v>70</v>
      </c>
      <c r="P4" s="22" t="s">
        <v>71</v>
      </c>
    </row>
    <row r="5" customFormat="false" ht="15" hidden="false" customHeight="false" outlineLevel="0" collapsed="false">
      <c r="A5" s="24" t="s">
        <v>72</v>
      </c>
      <c r="B5" s="25" t="s">
        <v>73</v>
      </c>
      <c r="C5" s="26" t="s">
        <v>74</v>
      </c>
      <c r="D5" s="25" t="s">
        <v>75</v>
      </c>
      <c r="E5" s="26" t="s">
        <v>76</v>
      </c>
      <c r="F5" s="26" t="s">
        <v>77</v>
      </c>
      <c r="G5" s="25" t="s">
        <v>78</v>
      </c>
      <c r="H5" s="25" t="s">
        <v>79</v>
      </c>
      <c r="I5" s="26" t="s">
        <v>80</v>
      </c>
      <c r="J5" s="27" t="n">
        <v>46340</v>
      </c>
      <c r="K5" s="24" t="s">
        <v>81</v>
      </c>
      <c r="L5" s="24" t="n">
        <f aca="false">IF(D5="","",COUNTIF(ポート振替表!$B$5:$B$3507,D5))</f>
        <v>3</v>
      </c>
      <c r="M5" s="24" t="n">
        <f aca="false">IF(D5="","",COUNTIFS(ポート振替表!$B$5:$B$3507,D5,ポート振替表!$P$5:$P$3507,"疎通確認済"))</f>
        <v>1</v>
      </c>
      <c r="N5" s="28" t="n">
        <f aca="false">IF(OR(D5="",L5=0),"",M5/L5)</f>
        <v>0.333333333333333</v>
      </c>
      <c r="O5" s="24" t="str">
        <f aca="false">IF(OR(D5="",L5=0),"",IF(M5=L5,"完了",IF(M5&gt;0,"作業中","未着手")))</f>
        <v>作業中</v>
      </c>
      <c r="P5" s="25" t="s">
        <v>82</v>
      </c>
    </row>
    <row r="6" customFormat="false" ht="15" hidden="false" customHeight="false" outlineLevel="0" collapsed="false">
      <c r="A6" s="29" t="n">
        <v>1</v>
      </c>
      <c r="B6" s="30"/>
      <c r="C6" s="30"/>
      <c r="D6" s="30"/>
      <c r="E6" s="30"/>
      <c r="F6" s="30"/>
      <c r="G6" s="30"/>
      <c r="H6" s="30"/>
      <c r="I6" s="30"/>
      <c r="J6" s="31"/>
      <c r="K6" s="29"/>
      <c r="L6" s="32" t="str">
        <f aca="false">IF(D6="","",COUNTIF(ポート振替表!$B$5:$B$3507,D6))</f>
        <v/>
      </c>
      <c r="M6" s="32" t="str">
        <f aca="false">IF(D6="","",COUNTIFS(ポート振替表!$B$5:$B$3507,D6,ポート振替表!$P$5:$P$3507,"疎通確認済"))</f>
        <v/>
      </c>
      <c r="N6" s="33" t="str">
        <f aca="false">IF(OR(D6="",L6=0),"",M6/L6)</f>
        <v/>
      </c>
      <c r="O6" s="32" t="str">
        <f aca="false">IF(OR(D6="",L6=0),"",IF(M6=L6,"完了",IF(M6&gt;0,"作業中","未着手")))</f>
        <v/>
      </c>
      <c r="P6" s="30"/>
    </row>
    <row r="7" customFormat="false" ht="15" hidden="false" customHeight="false" outlineLevel="0" collapsed="false">
      <c r="A7" s="29" t="n">
        <v>2</v>
      </c>
      <c r="B7" s="30"/>
      <c r="C7" s="30"/>
      <c r="D7" s="30"/>
      <c r="E7" s="30"/>
      <c r="F7" s="30"/>
      <c r="G7" s="30"/>
      <c r="H7" s="30"/>
      <c r="I7" s="30"/>
      <c r="J7" s="31"/>
      <c r="K7" s="29"/>
      <c r="L7" s="32" t="str">
        <f aca="false">IF(D7="","",COUNTIF(ポート振替表!$B$5:$B$3507,D7))</f>
        <v/>
      </c>
      <c r="M7" s="32" t="str">
        <f aca="false">IF(D7="","",COUNTIFS(ポート振替表!$B$5:$B$3507,D7,ポート振替表!$P$5:$P$3507,"疎通確認済"))</f>
        <v/>
      </c>
      <c r="N7" s="33" t="str">
        <f aca="false">IF(OR(D7="",L7=0),"",M7/L7)</f>
        <v/>
      </c>
      <c r="O7" s="32" t="str">
        <f aca="false">IF(OR(D7="",L7=0),"",IF(M7=L7,"完了",IF(M7&gt;0,"作業中","未着手")))</f>
        <v/>
      </c>
      <c r="P7" s="30"/>
    </row>
    <row r="8" customFormat="false" ht="15" hidden="false" customHeight="false" outlineLevel="0" collapsed="false">
      <c r="A8" s="29" t="n">
        <v>3</v>
      </c>
      <c r="B8" s="30"/>
      <c r="C8" s="30"/>
      <c r="D8" s="30"/>
      <c r="E8" s="30"/>
      <c r="F8" s="30"/>
      <c r="G8" s="30"/>
      <c r="H8" s="30"/>
      <c r="I8" s="30"/>
      <c r="J8" s="31"/>
      <c r="K8" s="29"/>
      <c r="L8" s="32" t="str">
        <f aca="false">IF(D8="","",COUNTIF(ポート振替表!$B$5:$B$3507,D8))</f>
        <v/>
      </c>
      <c r="M8" s="32" t="str">
        <f aca="false">IF(D8="","",COUNTIFS(ポート振替表!$B$5:$B$3507,D8,ポート振替表!$P$5:$P$3507,"疎通確認済"))</f>
        <v/>
      </c>
      <c r="N8" s="33" t="str">
        <f aca="false">IF(OR(D8="",L8=0),"",M8/L8)</f>
        <v/>
      </c>
      <c r="O8" s="32" t="str">
        <f aca="false">IF(OR(D8="",L8=0),"",IF(M8=L8,"完了",IF(M8&gt;0,"作業中","未着手")))</f>
        <v/>
      </c>
      <c r="P8" s="30"/>
    </row>
    <row r="9" customFormat="false" ht="15" hidden="false" customHeight="false" outlineLevel="0" collapsed="false">
      <c r="A9" s="29" t="n">
        <v>4</v>
      </c>
      <c r="B9" s="30"/>
      <c r="C9" s="30"/>
      <c r="D9" s="30"/>
      <c r="E9" s="30"/>
      <c r="F9" s="30"/>
      <c r="G9" s="30"/>
      <c r="H9" s="30"/>
      <c r="I9" s="30"/>
      <c r="J9" s="31"/>
      <c r="K9" s="29"/>
      <c r="L9" s="32" t="str">
        <f aca="false">IF(D9="","",COUNTIF(ポート振替表!$B$5:$B$3507,D9))</f>
        <v/>
      </c>
      <c r="M9" s="32" t="str">
        <f aca="false">IF(D9="","",COUNTIFS(ポート振替表!$B$5:$B$3507,D9,ポート振替表!$P$5:$P$3507,"疎通確認済"))</f>
        <v/>
      </c>
      <c r="N9" s="33" t="str">
        <f aca="false">IF(OR(D9="",L9=0),"",M9/L9)</f>
        <v/>
      </c>
      <c r="O9" s="32" t="str">
        <f aca="false">IF(OR(D9="",L9=0),"",IF(M9=L9,"完了",IF(M9&gt;0,"作業中","未着手")))</f>
        <v/>
      </c>
      <c r="P9" s="30"/>
    </row>
    <row r="10" customFormat="false" ht="15" hidden="false" customHeight="false" outlineLevel="0" collapsed="false">
      <c r="A10" s="29" t="n">
        <v>5</v>
      </c>
      <c r="B10" s="30"/>
      <c r="C10" s="30"/>
      <c r="D10" s="30"/>
      <c r="E10" s="30"/>
      <c r="F10" s="30"/>
      <c r="G10" s="30"/>
      <c r="H10" s="30"/>
      <c r="I10" s="30"/>
      <c r="J10" s="31"/>
      <c r="K10" s="29"/>
      <c r="L10" s="32" t="str">
        <f aca="false">IF(D10="","",COUNTIF(ポート振替表!$B$5:$B$3507,D10))</f>
        <v/>
      </c>
      <c r="M10" s="32" t="str">
        <f aca="false">IF(D10="","",COUNTIFS(ポート振替表!$B$5:$B$3507,D10,ポート振替表!$P$5:$P$3507,"疎通確認済"))</f>
        <v/>
      </c>
      <c r="N10" s="33" t="str">
        <f aca="false">IF(OR(D10="",L10=0),"",M10/L10)</f>
        <v/>
      </c>
      <c r="O10" s="32" t="str">
        <f aca="false">IF(OR(D10="",L10=0),"",IF(M10=L10,"完了",IF(M10&gt;0,"作業中","未着手")))</f>
        <v/>
      </c>
      <c r="P10" s="30"/>
    </row>
    <row r="11" customFormat="false" ht="15" hidden="false" customHeight="false" outlineLevel="0" collapsed="false">
      <c r="A11" s="29" t="n">
        <v>6</v>
      </c>
      <c r="B11" s="30"/>
      <c r="C11" s="30"/>
      <c r="D11" s="30"/>
      <c r="E11" s="30"/>
      <c r="F11" s="30"/>
      <c r="G11" s="30"/>
      <c r="H11" s="30"/>
      <c r="I11" s="30"/>
      <c r="J11" s="31"/>
      <c r="K11" s="29"/>
      <c r="L11" s="32" t="str">
        <f aca="false">IF(D11="","",COUNTIF(ポート振替表!$B$5:$B$3507,D11))</f>
        <v/>
      </c>
      <c r="M11" s="32" t="str">
        <f aca="false">IF(D11="","",COUNTIFS(ポート振替表!$B$5:$B$3507,D11,ポート振替表!$P$5:$P$3507,"疎通確認済"))</f>
        <v/>
      </c>
      <c r="N11" s="33" t="str">
        <f aca="false">IF(OR(D11="",L11=0),"",M11/L11)</f>
        <v/>
      </c>
      <c r="O11" s="32" t="str">
        <f aca="false">IF(OR(D11="",L11=0),"",IF(M11=L11,"完了",IF(M11&gt;0,"作業中","未着手")))</f>
        <v/>
      </c>
      <c r="P11" s="30"/>
    </row>
    <row r="12" customFormat="false" ht="15" hidden="false" customHeight="false" outlineLevel="0" collapsed="false">
      <c r="A12" s="29" t="n">
        <v>7</v>
      </c>
      <c r="B12" s="30"/>
      <c r="C12" s="30"/>
      <c r="D12" s="30"/>
      <c r="E12" s="30"/>
      <c r="F12" s="30"/>
      <c r="G12" s="30"/>
      <c r="H12" s="30"/>
      <c r="I12" s="30"/>
      <c r="J12" s="31"/>
      <c r="K12" s="29"/>
      <c r="L12" s="32" t="str">
        <f aca="false">IF(D12="","",COUNTIF(ポート振替表!$B$5:$B$3507,D12))</f>
        <v/>
      </c>
      <c r="M12" s="32" t="str">
        <f aca="false">IF(D12="","",COUNTIFS(ポート振替表!$B$5:$B$3507,D12,ポート振替表!$P$5:$P$3507,"疎通確認済"))</f>
        <v/>
      </c>
      <c r="N12" s="33" t="str">
        <f aca="false">IF(OR(D12="",L12=0),"",M12/L12)</f>
        <v/>
      </c>
      <c r="O12" s="32" t="str">
        <f aca="false">IF(OR(D12="",L12=0),"",IF(M12=L12,"完了",IF(M12&gt;0,"作業中","未着手")))</f>
        <v/>
      </c>
      <c r="P12" s="30"/>
    </row>
    <row r="13" customFormat="false" ht="15" hidden="false" customHeight="false" outlineLevel="0" collapsed="false">
      <c r="A13" s="29" t="n">
        <v>8</v>
      </c>
      <c r="B13" s="30"/>
      <c r="C13" s="30"/>
      <c r="D13" s="30"/>
      <c r="E13" s="30"/>
      <c r="F13" s="30"/>
      <c r="G13" s="30"/>
      <c r="H13" s="30"/>
      <c r="I13" s="30"/>
      <c r="J13" s="31"/>
      <c r="K13" s="29"/>
      <c r="L13" s="32" t="str">
        <f aca="false">IF(D13="","",COUNTIF(ポート振替表!$B$5:$B$3507,D13))</f>
        <v/>
      </c>
      <c r="M13" s="32" t="str">
        <f aca="false">IF(D13="","",COUNTIFS(ポート振替表!$B$5:$B$3507,D13,ポート振替表!$P$5:$P$3507,"疎通確認済"))</f>
        <v/>
      </c>
      <c r="N13" s="33" t="str">
        <f aca="false">IF(OR(D13="",L13=0),"",M13/L13)</f>
        <v/>
      </c>
      <c r="O13" s="32" t="str">
        <f aca="false">IF(OR(D13="",L13=0),"",IF(M13=L13,"完了",IF(M13&gt;0,"作業中","未着手")))</f>
        <v/>
      </c>
      <c r="P13" s="30"/>
    </row>
    <row r="14" customFormat="false" ht="15" hidden="false" customHeight="false" outlineLevel="0" collapsed="false">
      <c r="A14" s="29" t="n">
        <v>9</v>
      </c>
      <c r="B14" s="30"/>
      <c r="C14" s="30"/>
      <c r="D14" s="30"/>
      <c r="E14" s="30"/>
      <c r="F14" s="30"/>
      <c r="G14" s="30"/>
      <c r="H14" s="30"/>
      <c r="I14" s="30"/>
      <c r="J14" s="31"/>
      <c r="K14" s="29"/>
      <c r="L14" s="32" t="str">
        <f aca="false">IF(D14="","",COUNTIF(ポート振替表!$B$5:$B$3507,D14))</f>
        <v/>
      </c>
      <c r="M14" s="32" t="str">
        <f aca="false">IF(D14="","",COUNTIFS(ポート振替表!$B$5:$B$3507,D14,ポート振替表!$P$5:$P$3507,"疎通確認済"))</f>
        <v/>
      </c>
      <c r="N14" s="33" t="str">
        <f aca="false">IF(OR(D14="",L14=0),"",M14/L14)</f>
        <v/>
      </c>
      <c r="O14" s="32" t="str">
        <f aca="false">IF(OR(D14="",L14=0),"",IF(M14=L14,"完了",IF(M14&gt;0,"作業中","未着手")))</f>
        <v/>
      </c>
      <c r="P14" s="30"/>
    </row>
    <row r="15" customFormat="false" ht="15" hidden="false" customHeight="false" outlineLevel="0" collapsed="false">
      <c r="A15" s="29" t="n">
        <v>10</v>
      </c>
      <c r="B15" s="30"/>
      <c r="C15" s="30"/>
      <c r="D15" s="30"/>
      <c r="E15" s="30"/>
      <c r="F15" s="30"/>
      <c r="G15" s="30"/>
      <c r="H15" s="30"/>
      <c r="I15" s="30"/>
      <c r="J15" s="31"/>
      <c r="K15" s="29"/>
      <c r="L15" s="32" t="str">
        <f aca="false">IF(D15="","",COUNTIF(ポート振替表!$B$5:$B$3507,D15))</f>
        <v/>
      </c>
      <c r="M15" s="32" t="str">
        <f aca="false">IF(D15="","",COUNTIFS(ポート振替表!$B$5:$B$3507,D15,ポート振替表!$P$5:$P$3507,"疎通確認済"))</f>
        <v/>
      </c>
      <c r="N15" s="33" t="str">
        <f aca="false">IF(OR(D15="",L15=0),"",M15/L15)</f>
        <v/>
      </c>
      <c r="O15" s="32" t="str">
        <f aca="false">IF(OR(D15="",L15=0),"",IF(M15=L15,"完了",IF(M15&gt;0,"作業中","未着手")))</f>
        <v/>
      </c>
      <c r="P15" s="30"/>
    </row>
    <row r="16" customFormat="false" ht="15" hidden="false" customHeight="false" outlineLevel="0" collapsed="false">
      <c r="A16" s="29" t="n">
        <v>11</v>
      </c>
      <c r="B16" s="30"/>
      <c r="C16" s="30"/>
      <c r="D16" s="30"/>
      <c r="E16" s="30"/>
      <c r="F16" s="30"/>
      <c r="G16" s="30"/>
      <c r="H16" s="30"/>
      <c r="I16" s="30"/>
      <c r="J16" s="31"/>
      <c r="K16" s="29"/>
      <c r="L16" s="32" t="str">
        <f aca="false">IF(D16="","",COUNTIF(ポート振替表!$B$5:$B$3507,D16))</f>
        <v/>
      </c>
      <c r="M16" s="32" t="str">
        <f aca="false">IF(D16="","",COUNTIFS(ポート振替表!$B$5:$B$3507,D16,ポート振替表!$P$5:$P$3507,"疎通確認済"))</f>
        <v/>
      </c>
      <c r="N16" s="33" t="str">
        <f aca="false">IF(OR(D16="",L16=0),"",M16/L16)</f>
        <v/>
      </c>
      <c r="O16" s="32" t="str">
        <f aca="false">IF(OR(D16="",L16=0),"",IF(M16=L16,"完了",IF(M16&gt;0,"作業中","未着手")))</f>
        <v/>
      </c>
      <c r="P16" s="30"/>
    </row>
    <row r="17" customFormat="false" ht="15" hidden="false" customHeight="false" outlineLevel="0" collapsed="false">
      <c r="A17" s="29" t="n">
        <v>12</v>
      </c>
      <c r="B17" s="30"/>
      <c r="C17" s="30"/>
      <c r="D17" s="30"/>
      <c r="E17" s="30"/>
      <c r="F17" s="30"/>
      <c r="G17" s="30"/>
      <c r="H17" s="30"/>
      <c r="I17" s="30"/>
      <c r="J17" s="31"/>
      <c r="K17" s="29"/>
      <c r="L17" s="32" t="str">
        <f aca="false">IF(D17="","",COUNTIF(ポート振替表!$B$5:$B$3507,D17))</f>
        <v/>
      </c>
      <c r="M17" s="32" t="str">
        <f aca="false">IF(D17="","",COUNTIFS(ポート振替表!$B$5:$B$3507,D17,ポート振替表!$P$5:$P$3507,"疎通確認済"))</f>
        <v/>
      </c>
      <c r="N17" s="33" t="str">
        <f aca="false">IF(OR(D17="",L17=0),"",M17/L17)</f>
        <v/>
      </c>
      <c r="O17" s="32" t="str">
        <f aca="false">IF(OR(D17="",L17=0),"",IF(M17=L17,"完了",IF(M17&gt;0,"作業中","未着手")))</f>
        <v/>
      </c>
      <c r="P17" s="30"/>
    </row>
    <row r="18" customFormat="false" ht="15" hidden="false" customHeight="false" outlineLevel="0" collapsed="false">
      <c r="A18" s="29" t="n">
        <v>13</v>
      </c>
      <c r="B18" s="30"/>
      <c r="C18" s="30"/>
      <c r="D18" s="30"/>
      <c r="E18" s="30"/>
      <c r="F18" s="30"/>
      <c r="G18" s="30"/>
      <c r="H18" s="30"/>
      <c r="I18" s="30"/>
      <c r="J18" s="31"/>
      <c r="K18" s="29"/>
      <c r="L18" s="32" t="str">
        <f aca="false">IF(D18="","",COUNTIF(ポート振替表!$B$5:$B$3507,D18))</f>
        <v/>
      </c>
      <c r="M18" s="32" t="str">
        <f aca="false">IF(D18="","",COUNTIFS(ポート振替表!$B$5:$B$3507,D18,ポート振替表!$P$5:$P$3507,"疎通確認済"))</f>
        <v/>
      </c>
      <c r="N18" s="33" t="str">
        <f aca="false">IF(OR(D18="",L18=0),"",M18/L18)</f>
        <v/>
      </c>
      <c r="O18" s="32" t="str">
        <f aca="false">IF(OR(D18="",L18=0),"",IF(M18=L18,"完了",IF(M18&gt;0,"作業中","未着手")))</f>
        <v/>
      </c>
      <c r="P18" s="30"/>
    </row>
    <row r="19" customFormat="false" ht="15" hidden="false" customHeight="false" outlineLevel="0" collapsed="false">
      <c r="A19" s="29" t="n">
        <v>14</v>
      </c>
      <c r="B19" s="30"/>
      <c r="C19" s="30"/>
      <c r="D19" s="30"/>
      <c r="E19" s="30"/>
      <c r="F19" s="30"/>
      <c r="G19" s="30"/>
      <c r="H19" s="30"/>
      <c r="I19" s="30"/>
      <c r="J19" s="31"/>
      <c r="K19" s="29"/>
      <c r="L19" s="32" t="str">
        <f aca="false">IF(D19="","",COUNTIF(ポート振替表!$B$5:$B$3507,D19))</f>
        <v/>
      </c>
      <c r="M19" s="32" t="str">
        <f aca="false">IF(D19="","",COUNTIFS(ポート振替表!$B$5:$B$3507,D19,ポート振替表!$P$5:$P$3507,"疎通確認済"))</f>
        <v/>
      </c>
      <c r="N19" s="33" t="str">
        <f aca="false">IF(OR(D19="",L19=0),"",M19/L19)</f>
        <v/>
      </c>
      <c r="O19" s="32" t="str">
        <f aca="false">IF(OR(D19="",L19=0),"",IF(M19=L19,"完了",IF(M19&gt;0,"作業中","未着手")))</f>
        <v/>
      </c>
      <c r="P19" s="30"/>
    </row>
    <row r="20" customFormat="false" ht="15" hidden="false" customHeight="false" outlineLevel="0" collapsed="false">
      <c r="A20" s="29" t="n">
        <v>15</v>
      </c>
      <c r="B20" s="30"/>
      <c r="C20" s="30"/>
      <c r="D20" s="30"/>
      <c r="E20" s="30"/>
      <c r="F20" s="30"/>
      <c r="G20" s="30"/>
      <c r="H20" s="30"/>
      <c r="I20" s="30"/>
      <c r="J20" s="31"/>
      <c r="K20" s="29"/>
      <c r="L20" s="32" t="str">
        <f aca="false">IF(D20="","",COUNTIF(ポート振替表!$B$5:$B$3507,D20))</f>
        <v/>
      </c>
      <c r="M20" s="32" t="str">
        <f aca="false">IF(D20="","",COUNTIFS(ポート振替表!$B$5:$B$3507,D20,ポート振替表!$P$5:$P$3507,"疎通確認済"))</f>
        <v/>
      </c>
      <c r="N20" s="33" t="str">
        <f aca="false">IF(OR(D20="",L20=0),"",M20/L20)</f>
        <v/>
      </c>
      <c r="O20" s="32" t="str">
        <f aca="false">IF(OR(D20="",L20=0),"",IF(M20=L20,"完了",IF(M20&gt;0,"作業中","未着手")))</f>
        <v/>
      </c>
      <c r="P20" s="30"/>
    </row>
    <row r="21" customFormat="false" ht="15" hidden="false" customHeight="false" outlineLevel="0" collapsed="false">
      <c r="A21" s="29" t="n">
        <v>16</v>
      </c>
      <c r="B21" s="30"/>
      <c r="C21" s="30"/>
      <c r="D21" s="30"/>
      <c r="E21" s="30"/>
      <c r="F21" s="30"/>
      <c r="G21" s="30"/>
      <c r="H21" s="30"/>
      <c r="I21" s="30"/>
      <c r="J21" s="31"/>
      <c r="K21" s="29"/>
      <c r="L21" s="32" t="str">
        <f aca="false">IF(D21="","",COUNTIF(ポート振替表!$B$5:$B$3507,D21))</f>
        <v/>
      </c>
      <c r="M21" s="32" t="str">
        <f aca="false">IF(D21="","",COUNTIFS(ポート振替表!$B$5:$B$3507,D21,ポート振替表!$P$5:$P$3507,"疎通確認済"))</f>
        <v/>
      </c>
      <c r="N21" s="33" t="str">
        <f aca="false">IF(OR(D21="",L21=0),"",M21/L21)</f>
        <v/>
      </c>
      <c r="O21" s="32" t="str">
        <f aca="false">IF(OR(D21="",L21=0),"",IF(M21=L21,"完了",IF(M21&gt;0,"作業中","未着手")))</f>
        <v/>
      </c>
      <c r="P21" s="30"/>
    </row>
    <row r="22" customFormat="false" ht="15" hidden="false" customHeight="false" outlineLevel="0" collapsed="false">
      <c r="A22" s="29" t="n">
        <v>17</v>
      </c>
      <c r="B22" s="30"/>
      <c r="C22" s="30"/>
      <c r="D22" s="30"/>
      <c r="E22" s="30"/>
      <c r="F22" s="30"/>
      <c r="G22" s="30"/>
      <c r="H22" s="30"/>
      <c r="I22" s="30"/>
      <c r="J22" s="31"/>
      <c r="K22" s="29"/>
      <c r="L22" s="32" t="str">
        <f aca="false">IF(D22="","",COUNTIF(ポート振替表!$B$5:$B$3507,D22))</f>
        <v/>
      </c>
      <c r="M22" s="32" t="str">
        <f aca="false">IF(D22="","",COUNTIFS(ポート振替表!$B$5:$B$3507,D22,ポート振替表!$P$5:$P$3507,"疎通確認済"))</f>
        <v/>
      </c>
      <c r="N22" s="33" t="str">
        <f aca="false">IF(OR(D22="",L22=0),"",M22/L22)</f>
        <v/>
      </c>
      <c r="O22" s="32" t="str">
        <f aca="false">IF(OR(D22="",L22=0),"",IF(M22=L22,"完了",IF(M22&gt;0,"作業中","未着手")))</f>
        <v/>
      </c>
      <c r="P22" s="30"/>
    </row>
    <row r="23" customFormat="false" ht="15" hidden="false" customHeight="false" outlineLevel="0" collapsed="false">
      <c r="A23" s="29" t="n">
        <v>18</v>
      </c>
      <c r="B23" s="30"/>
      <c r="C23" s="30"/>
      <c r="D23" s="30"/>
      <c r="E23" s="30"/>
      <c r="F23" s="30"/>
      <c r="G23" s="30"/>
      <c r="H23" s="30"/>
      <c r="I23" s="30"/>
      <c r="J23" s="31"/>
      <c r="K23" s="29"/>
      <c r="L23" s="32" t="str">
        <f aca="false">IF(D23="","",COUNTIF(ポート振替表!$B$5:$B$3507,D23))</f>
        <v/>
      </c>
      <c r="M23" s="32" t="str">
        <f aca="false">IF(D23="","",COUNTIFS(ポート振替表!$B$5:$B$3507,D23,ポート振替表!$P$5:$P$3507,"疎通確認済"))</f>
        <v/>
      </c>
      <c r="N23" s="33" t="str">
        <f aca="false">IF(OR(D23="",L23=0),"",M23/L23)</f>
        <v/>
      </c>
      <c r="O23" s="32" t="str">
        <f aca="false">IF(OR(D23="",L23=0),"",IF(M23=L23,"完了",IF(M23&gt;0,"作業中","未着手")))</f>
        <v/>
      </c>
      <c r="P23" s="30"/>
    </row>
    <row r="24" customFormat="false" ht="15" hidden="false" customHeight="false" outlineLevel="0" collapsed="false">
      <c r="A24" s="29" t="n">
        <v>19</v>
      </c>
      <c r="B24" s="30"/>
      <c r="C24" s="30"/>
      <c r="D24" s="30"/>
      <c r="E24" s="30"/>
      <c r="F24" s="30"/>
      <c r="G24" s="30"/>
      <c r="H24" s="30"/>
      <c r="I24" s="30"/>
      <c r="J24" s="31"/>
      <c r="K24" s="29"/>
      <c r="L24" s="32" t="str">
        <f aca="false">IF(D24="","",COUNTIF(ポート振替表!$B$5:$B$3507,D24))</f>
        <v/>
      </c>
      <c r="M24" s="32" t="str">
        <f aca="false">IF(D24="","",COUNTIFS(ポート振替表!$B$5:$B$3507,D24,ポート振替表!$P$5:$P$3507,"疎通確認済"))</f>
        <v/>
      </c>
      <c r="N24" s="33" t="str">
        <f aca="false">IF(OR(D24="",L24=0),"",M24/L24)</f>
        <v/>
      </c>
      <c r="O24" s="32" t="str">
        <f aca="false">IF(OR(D24="",L24=0),"",IF(M24=L24,"完了",IF(M24&gt;0,"作業中","未着手")))</f>
        <v/>
      </c>
      <c r="P24" s="30"/>
    </row>
    <row r="25" customFormat="false" ht="15" hidden="false" customHeight="false" outlineLevel="0" collapsed="false">
      <c r="A25" s="29" t="n">
        <v>20</v>
      </c>
      <c r="B25" s="30"/>
      <c r="C25" s="30"/>
      <c r="D25" s="30"/>
      <c r="E25" s="30"/>
      <c r="F25" s="30"/>
      <c r="G25" s="30"/>
      <c r="H25" s="30"/>
      <c r="I25" s="30"/>
      <c r="J25" s="31"/>
      <c r="K25" s="29"/>
      <c r="L25" s="32" t="str">
        <f aca="false">IF(D25="","",COUNTIF(ポート振替表!$B$5:$B$3507,D25))</f>
        <v/>
      </c>
      <c r="M25" s="32" t="str">
        <f aca="false">IF(D25="","",COUNTIFS(ポート振替表!$B$5:$B$3507,D25,ポート振替表!$P$5:$P$3507,"疎通確認済"))</f>
        <v/>
      </c>
      <c r="N25" s="33" t="str">
        <f aca="false">IF(OR(D25="",L25=0),"",M25/L25)</f>
        <v/>
      </c>
      <c r="O25" s="32" t="str">
        <f aca="false">IF(OR(D25="",L25=0),"",IF(M25=L25,"完了",IF(M25&gt;0,"作業中","未着手")))</f>
        <v/>
      </c>
      <c r="P25" s="30"/>
    </row>
    <row r="26" customFormat="false" ht="15" hidden="false" customHeight="false" outlineLevel="0" collapsed="false">
      <c r="A26" s="29" t="n">
        <v>21</v>
      </c>
      <c r="B26" s="30"/>
      <c r="C26" s="30"/>
      <c r="D26" s="30"/>
      <c r="E26" s="30"/>
      <c r="F26" s="30"/>
      <c r="G26" s="30"/>
      <c r="H26" s="30"/>
      <c r="I26" s="30"/>
      <c r="J26" s="31"/>
      <c r="K26" s="29"/>
      <c r="L26" s="32" t="str">
        <f aca="false">IF(D26="","",COUNTIF(ポート振替表!$B$5:$B$3507,D26))</f>
        <v/>
      </c>
      <c r="M26" s="32" t="str">
        <f aca="false">IF(D26="","",COUNTIFS(ポート振替表!$B$5:$B$3507,D26,ポート振替表!$P$5:$P$3507,"疎通確認済"))</f>
        <v/>
      </c>
      <c r="N26" s="33" t="str">
        <f aca="false">IF(OR(D26="",L26=0),"",M26/L26)</f>
        <v/>
      </c>
      <c r="O26" s="32" t="str">
        <f aca="false">IF(OR(D26="",L26=0),"",IF(M26=L26,"完了",IF(M26&gt;0,"作業中","未着手")))</f>
        <v/>
      </c>
      <c r="P26" s="30"/>
    </row>
    <row r="27" customFormat="false" ht="15" hidden="false" customHeight="false" outlineLevel="0" collapsed="false">
      <c r="A27" s="29" t="n">
        <v>22</v>
      </c>
      <c r="B27" s="30"/>
      <c r="C27" s="30"/>
      <c r="D27" s="30"/>
      <c r="E27" s="30"/>
      <c r="F27" s="30"/>
      <c r="G27" s="30"/>
      <c r="H27" s="30"/>
      <c r="I27" s="30"/>
      <c r="J27" s="31"/>
      <c r="K27" s="29"/>
      <c r="L27" s="32" t="str">
        <f aca="false">IF(D27="","",COUNTIF(ポート振替表!$B$5:$B$3507,D27))</f>
        <v/>
      </c>
      <c r="M27" s="32" t="str">
        <f aca="false">IF(D27="","",COUNTIFS(ポート振替表!$B$5:$B$3507,D27,ポート振替表!$P$5:$P$3507,"疎通確認済"))</f>
        <v/>
      </c>
      <c r="N27" s="33" t="str">
        <f aca="false">IF(OR(D27="",L27=0),"",M27/L27)</f>
        <v/>
      </c>
      <c r="O27" s="32" t="str">
        <f aca="false">IF(OR(D27="",L27=0),"",IF(M27=L27,"完了",IF(M27&gt;0,"作業中","未着手")))</f>
        <v/>
      </c>
      <c r="P27" s="30"/>
    </row>
    <row r="28" customFormat="false" ht="15" hidden="false" customHeight="false" outlineLevel="0" collapsed="false">
      <c r="A28" s="29" t="n">
        <v>23</v>
      </c>
      <c r="B28" s="30"/>
      <c r="C28" s="30"/>
      <c r="D28" s="30"/>
      <c r="E28" s="30"/>
      <c r="F28" s="30"/>
      <c r="G28" s="30"/>
      <c r="H28" s="30"/>
      <c r="I28" s="30"/>
      <c r="J28" s="31"/>
      <c r="K28" s="29"/>
      <c r="L28" s="32" t="str">
        <f aca="false">IF(D28="","",COUNTIF(ポート振替表!$B$5:$B$3507,D28))</f>
        <v/>
      </c>
      <c r="M28" s="32" t="str">
        <f aca="false">IF(D28="","",COUNTIFS(ポート振替表!$B$5:$B$3507,D28,ポート振替表!$P$5:$P$3507,"疎通確認済"))</f>
        <v/>
      </c>
      <c r="N28" s="33" t="str">
        <f aca="false">IF(OR(D28="",L28=0),"",M28/L28)</f>
        <v/>
      </c>
      <c r="O28" s="32" t="str">
        <f aca="false">IF(OR(D28="",L28=0),"",IF(M28=L28,"完了",IF(M28&gt;0,"作業中","未着手")))</f>
        <v/>
      </c>
      <c r="P28" s="30"/>
    </row>
    <row r="29" customFormat="false" ht="15" hidden="false" customHeight="false" outlineLevel="0" collapsed="false">
      <c r="A29" s="29" t="n">
        <v>24</v>
      </c>
      <c r="B29" s="30"/>
      <c r="C29" s="30"/>
      <c r="D29" s="30"/>
      <c r="E29" s="30"/>
      <c r="F29" s="30"/>
      <c r="G29" s="30"/>
      <c r="H29" s="30"/>
      <c r="I29" s="30"/>
      <c r="J29" s="31"/>
      <c r="K29" s="29"/>
      <c r="L29" s="32" t="str">
        <f aca="false">IF(D29="","",COUNTIF(ポート振替表!$B$5:$B$3507,D29))</f>
        <v/>
      </c>
      <c r="M29" s="32" t="str">
        <f aca="false">IF(D29="","",COUNTIFS(ポート振替表!$B$5:$B$3507,D29,ポート振替表!$P$5:$P$3507,"疎通確認済"))</f>
        <v/>
      </c>
      <c r="N29" s="33" t="str">
        <f aca="false">IF(OR(D29="",L29=0),"",M29/L29)</f>
        <v/>
      </c>
      <c r="O29" s="32" t="str">
        <f aca="false">IF(OR(D29="",L29=0),"",IF(M29=L29,"完了",IF(M29&gt;0,"作業中","未着手")))</f>
        <v/>
      </c>
      <c r="P29" s="30"/>
    </row>
    <row r="30" customFormat="false" ht="15" hidden="false" customHeight="false" outlineLevel="0" collapsed="false">
      <c r="A30" s="29" t="n">
        <v>25</v>
      </c>
      <c r="B30" s="30"/>
      <c r="C30" s="30"/>
      <c r="D30" s="30"/>
      <c r="E30" s="30"/>
      <c r="F30" s="30"/>
      <c r="G30" s="30"/>
      <c r="H30" s="30"/>
      <c r="I30" s="30"/>
      <c r="J30" s="31"/>
      <c r="K30" s="29"/>
      <c r="L30" s="32" t="str">
        <f aca="false">IF(D30="","",COUNTIF(ポート振替表!$B$5:$B$3507,D30))</f>
        <v/>
      </c>
      <c r="M30" s="32" t="str">
        <f aca="false">IF(D30="","",COUNTIFS(ポート振替表!$B$5:$B$3507,D30,ポート振替表!$P$5:$P$3507,"疎通確認済"))</f>
        <v/>
      </c>
      <c r="N30" s="33" t="str">
        <f aca="false">IF(OR(D30="",L30=0),"",M30/L30)</f>
        <v/>
      </c>
      <c r="O30" s="32" t="str">
        <f aca="false">IF(OR(D30="",L30=0),"",IF(M30=L30,"完了",IF(M30&gt;0,"作業中","未着手")))</f>
        <v/>
      </c>
      <c r="P30" s="30"/>
    </row>
    <row r="31" customFormat="false" ht="15" hidden="false" customHeight="false" outlineLevel="0" collapsed="false">
      <c r="A31" s="29" t="n">
        <v>26</v>
      </c>
      <c r="B31" s="30"/>
      <c r="C31" s="30"/>
      <c r="D31" s="30"/>
      <c r="E31" s="30"/>
      <c r="F31" s="30"/>
      <c r="G31" s="30"/>
      <c r="H31" s="30"/>
      <c r="I31" s="30"/>
      <c r="J31" s="31"/>
      <c r="K31" s="29"/>
      <c r="L31" s="32" t="str">
        <f aca="false">IF(D31="","",COUNTIF(ポート振替表!$B$5:$B$3507,D31))</f>
        <v/>
      </c>
      <c r="M31" s="32" t="str">
        <f aca="false">IF(D31="","",COUNTIFS(ポート振替表!$B$5:$B$3507,D31,ポート振替表!$P$5:$P$3507,"疎通確認済"))</f>
        <v/>
      </c>
      <c r="N31" s="33" t="str">
        <f aca="false">IF(OR(D31="",L31=0),"",M31/L31)</f>
        <v/>
      </c>
      <c r="O31" s="32" t="str">
        <f aca="false">IF(OR(D31="",L31=0),"",IF(M31=L31,"完了",IF(M31&gt;0,"作業中","未着手")))</f>
        <v/>
      </c>
      <c r="P31" s="30"/>
    </row>
    <row r="32" customFormat="false" ht="15" hidden="false" customHeight="false" outlineLevel="0" collapsed="false">
      <c r="A32" s="29" t="n">
        <v>27</v>
      </c>
      <c r="B32" s="30"/>
      <c r="C32" s="30"/>
      <c r="D32" s="30"/>
      <c r="E32" s="30"/>
      <c r="F32" s="30"/>
      <c r="G32" s="30"/>
      <c r="H32" s="30"/>
      <c r="I32" s="30"/>
      <c r="J32" s="31"/>
      <c r="K32" s="29"/>
      <c r="L32" s="32" t="str">
        <f aca="false">IF(D32="","",COUNTIF(ポート振替表!$B$5:$B$3507,D32))</f>
        <v/>
      </c>
      <c r="M32" s="32" t="str">
        <f aca="false">IF(D32="","",COUNTIFS(ポート振替表!$B$5:$B$3507,D32,ポート振替表!$P$5:$P$3507,"疎通確認済"))</f>
        <v/>
      </c>
      <c r="N32" s="33" t="str">
        <f aca="false">IF(OR(D32="",L32=0),"",M32/L32)</f>
        <v/>
      </c>
      <c r="O32" s="32" t="str">
        <f aca="false">IF(OR(D32="",L32=0),"",IF(M32=L32,"完了",IF(M32&gt;0,"作業中","未着手")))</f>
        <v/>
      </c>
      <c r="P32" s="30"/>
    </row>
    <row r="33" customFormat="false" ht="15" hidden="false" customHeight="false" outlineLevel="0" collapsed="false">
      <c r="A33" s="29" t="n">
        <v>28</v>
      </c>
      <c r="B33" s="30"/>
      <c r="C33" s="30"/>
      <c r="D33" s="30"/>
      <c r="E33" s="30"/>
      <c r="F33" s="30"/>
      <c r="G33" s="30"/>
      <c r="H33" s="30"/>
      <c r="I33" s="30"/>
      <c r="J33" s="31"/>
      <c r="K33" s="29"/>
      <c r="L33" s="32" t="str">
        <f aca="false">IF(D33="","",COUNTIF(ポート振替表!$B$5:$B$3507,D33))</f>
        <v/>
      </c>
      <c r="M33" s="32" t="str">
        <f aca="false">IF(D33="","",COUNTIFS(ポート振替表!$B$5:$B$3507,D33,ポート振替表!$P$5:$P$3507,"疎通確認済"))</f>
        <v/>
      </c>
      <c r="N33" s="33" t="str">
        <f aca="false">IF(OR(D33="",L33=0),"",M33/L33)</f>
        <v/>
      </c>
      <c r="O33" s="32" t="str">
        <f aca="false">IF(OR(D33="",L33=0),"",IF(M33=L33,"完了",IF(M33&gt;0,"作業中","未着手")))</f>
        <v/>
      </c>
      <c r="P33" s="30"/>
    </row>
    <row r="34" customFormat="false" ht="15" hidden="false" customHeight="false" outlineLevel="0" collapsed="false">
      <c r="A34" s="29" t="n">
        <v>29</v>
      </c>
      <c r="B34" s="30"/>
      <c r="C34" s="30"/>
      <c r="D34" s="30"/>
      <c r="E34" s="30"/>
      <c r="F34" s="30"/>
      <c r="G34" s="30"/>
      <c r="H34" s="30"/>
      <c r="I34" s="30"/>
      <c r="J34" s="31"/>
      <c r="K34" s="29"/>
      <c r="L34" s="32" t="str">
        <f aca="false">IF(D34="","",COUNTIF(ポート振替表!$B$5:$B$3507,D34))</f>
        <v/>
      </c>
      <c r="M34" s="32" t="str">
        <f aca="false">IF(D34="","",COUNTIFS(ポート振替表!$B$5:$B$3507,D34,ポート振替表!$P$5:$P$3507,"疎通確認済"))</f>
        <v/>
      </c>
      <c r="N34" s="33" t="str">
        <f aca="false">IF(OR(D34="",L34=0),"",M34/L34)</f>
        <v/>
      </c>
      <c r="O34" s="32" t="str">
        <f aca="false">IF(OR(D34="",L34=0),"",IF(M34=L34,"完了",IF(M34&gt;0,"作業中","未着手")))</f>
        <v/>
      </c>
      <c r="P34" s="30"/>
    </row>
    <row r="35" customFormat="false" ht="15" hidden="false" customHeight="false" outlineLevel="0" collapsed="false">
      <c r="A35" s="29" t="n">
        <v>30</v>
      </c>
      <c r="B35" s="30"/>
      <c r="C35" s="30"/>
      <c r="D35" s="30"/>
      <c r="E35" s="30"/>
      <c r="F35" s="30"/>
      <c r="G35" s="30"/>
      <c r="H35" s="30"/>
      <c r="I35" s="30"/>
      <c r="J35" s="31"/>
      <c r="K35" s="29"/>
      <c r="L35" s="32" t="str">
        <f aca="false">IF(D35="","",COUNTIF(ポート振替表!$B$5:$B$3507,D35))</f>
        <v/>
      </c>
      <c r="M35" s="32" t="str">
        <f aca="false">IF(D35="","",COUNTIFS(ポート振替表!$B$5:$B$3507,D35,ポート振替表!$P$5:$P$3507,"疎通確認済"))</f>
        <v/>
      </c>
      <c r="N35" s="33" t="str">
        <f aca="false">IF(OR(D35="",L35=0),"",M35/L35)</f>
        <v/>
      </c>
      <c r="O35" s="32" t="str">
        <f aca="false">IF(OR(D35="",L35=0),"",IF(M35=L35,"完了",IF(M35&gt;0,"作業中","未着手")))</f>
        <v/>
      </c>
      <c r="P35" s="30"/>
    </row>
    <row r="36" customFormat="false" ht="15" hidden="false" customHeight="false" outlineLevel="0" collapsed="false">
      <c r="A36" s="29" t="n">
        <v>31</v>
      </c>
      <c r="B36" s="30"/>
      <c r="C36" s="30"/>
      <c r="D36" s="30"/>
      <c r="E36" s="30"/>
      <c r="F36" s="30"/>
      <c r="G36" s="30"/>
      <c r="H36" s="30"/>
      <c r="I36" s="30"/>
      <c r="J36" s="31"/>
      <c r="K36" s="29"/>
      <c r="L36" s="32" t="str">
        <f aca="false">IF(D36="","",COUNTIF(ポート振替表!$B$5:$B$3507,D36))</f>
        <v/>
      </c>
      <c r="M36" s="32" t="str">
        <f aca="false">IF(D36="","",COUNTIFS(ポート振替表!$B$5:$B$3507,D36,ポート振替表!$P$5:$P$3507,"疎通確認済"))</f>
        <v/>
      </c>
      <c r="N36" s="33" t="str">
        <f aca="false">IF(OR(D36="",L36=0),"",M36/L36)</f>
        <v/>
      </c>
      <c r="O36" s="32" t="str">
        <f aca="false">IF(OR(D36="",L36=0),"",IF(M36=L36,"完了",IF(M36&gt;0,"作業中","未着手")))</f>
        <v/>
      </c>
      <c r="P36" s="30"/>
    </row>
    <row r="37" customFormat="false" ht="15" hidden="false" customHeight="false" outlineLevel="0" collapsed="false">
      <c r="A37" s="29" t="n">
        <v>32</v>
      </c>
      <c r="B37" s="30"/>
      <c r="C37" s="30"/>
      <c r="D37" s="30"/>
      <c r="E37" s="30"/>
      <c r="F37" s="30"/>
      <c r="G37" s="30"/>
      <c r="H37" s="30"/>
      <c r="I37" s="30"/>
      <c r="J37" s="31"/>
      <c r="K37" s="29"/>
      <c r="L37" s="32" t="str">
        <f aca="false">IF(D37="","",COUNTIF(ポート振替表!$B$5:$B$3507,D37))</f>
        <v/>
      </c>
      <c r="M37" s="32" t="str">
        <f aca="false">IF(D37="","",COUNTIFS(ポート振替表!$B$5:$B$3507,D37,ポート振替表!$P$5:$P$3507,"疎通確認済"))</f>
        <v/>
      </c>
      <c r="N37" s="33" t="str">
        <f aca="false">IF(OR(D37="",L37=0),"",M37/L37)</f>
        <v/>
      </c>
      <c r="O37" s="32" t="str">
        <f aca="false">IF(OR(D37="",L37=0),"",IF(M37=L37,"完了",IF(M37&gt;0,"作業中","未着手")))</f>
        <v/>
      </c>
      <c r="P37" s="30"/>
    </row>
    <row r="38" customFormat="false" ht="15" hidden="false" customHeight="false" outlineLevel="0" collapsed="false">
      <c r="A38" s="29" t="n">
        <v>33</v>
      </c>
      <c r="B38" s="30"/>
      <c r="C38" s="30"/>
      <c r="D38" s="30"/>
      <c r="E38" s="30"/>
      <c r="F38" s="30"/>
      <c r="G38" s="30"/>
      <c r="H38" s="30"/>
      <c r="I38" s="30"/>
      <c r="J38" s="31"/>
      <c r="K38" s="29"/>
      <c r="L38" s="32" t="str">
        <f aca="false">IF(D38="","",COUNTIF(ポート振替表!$B$5:$B$3507,D38))</f>
        <v/>
      </c>
      <c r="M38" s="32" t="str">
        <f aca="false">IF(D38="","",COUNTIFS(ポート振替表!$B$5:$B$3507,D38,ポート振替表!$P$5:$P$3507,"疎通確認済"))</f>
        <v/>
      </c>
      <c r="N38" s="33" t="str">
        <f aca="false">IF(OR(D38="",L38=0),"",M38/L38)</f>
        <v/>
      </c>
      <c r="O38" s="32" t="str">
        <f aca="false">IF(OR(D38="",L38=0),"",IF(M38=L38,"完了",IF(M38&gt;0,"作業中","未着手")))</f>
        <v/>
      </c>
      <c r="P38" s="30"/>
    </row>
    <row r="39" customFormat="false" ht="15" hidden="false" customHeight="false" outlineLevel="0" collapsed="false">
      <c r="A39" s="29" t="n">
        <v>34</v>
      </c>
      <c r="B39" s="30"/>
      <c r="C39" s="30"/>
      <c r="D39" s="30"/>
      <c r="E39" s="30"/>
      <c r="F39" s="30"/>
      <c r="G39" s="30"/>
      <c r="H39" s="30"/>
      <c r="I39" s="30"/>
      <c r="J39" s="31"/>
      <c r="K39" s="29"/>
      <c r="L39" s="32" t="str">
        <f aca="false">IF(D39="","",COUNTIF(ポート振替表!$B$5:$B$3507,D39))</f>
        <v/>
      </c>
      <c r="M39" s="32" t="str">
        <f aca="false">IF(D39="","",COUNTIFS(ポート振替表!$B$5:$B$3507,D39,ポート振替表!$P$5:$P$3507,"疎通確認済"))</f>
        <v/>
      </c>
      <c r="N39" s="33" t="str">
        <f aca="false">IF(OR(D39="",L39=0),"",M39/L39)</f>
        <v/>
      </c>
      <c r="O39" s="32" t="str">
        <f aca="false">IF(OR(D39="",L39=0),"",IF(M39=L39,"完了",IF(M39&gt;0,"作業中","未着手")))</f>
        <v/>
      </c>
      <c r="P39" s="30"/>
    </row>
    <row r="40" customFormat="false" ht="15" hidden="false" customHeight="false" outlineLevel="0" collapsed="false">
      <c r="A40" s="29" t="n">
        <v>35</v>
      </c>
      <c r="B40" s="30"/>
      <c r="C40" s="30"/>
      <c r="D40" s="30"/>
      <c r="E40" s="30"/>
      <c r="F40" s="30"/>
      <c r="G40" s="30"/>
      <c r="H40" s="30"/>
      <c r="I40" s="30"/>
      <c r="J40" s="31"/>
      <c r="K40" s="29"/>
      <c r="L40" s="32" t="str">
        <f aca="false">IF(D40="","",COUNTIF(ポート振替表!$B$5:$B$3507,D40))</f>
        <v/>
      </c>
      <c r="M40" s="32" t="str">
        <f aca="false">IF(D40="","",COUNTIFS(ポート振替表!$B$5:$B$3507,D40,ポート振替表!$P$5:$P$3507,"疎通確認済"))</f>
        <v/>
      </c>
      <c r="N40" s="33" t="str">
        <f aca="false">IF(OR(D40="",L40=0),"",M40/L40)</f>
        <v/>
      </c>
      <c r="O40" s="32" t="str">
        <f aca="false">IF(OR(D40="",L40=0),"",IF(M40=L40,"完了",IF(M40&gt;0,"作業中","未着手")))</f>
        <v/>
      </c>
      <c r="P40" s="30"/>
    </row>
    <row r="41" customFormat="false" ht="15" hidden="false" customHeight="false" outlineLevel="0" collapsed="false">
      <c r="A41" s="29" t="n">
        <v>36</v>
      </c>
      <c r="B41" s="30"/>
      <c r="C41" s="30"/>
      <c r="D41" s="30"/>
      <c r="E41" s="30"/>
      <c r="F41" s="30"/>
      <c r="G41" s="30"/>
      <c r="H41" s="30"/>
      <c r="I41" s="30"/>
      <c r="J41" s="31"/>
      <c r="K41" s="29"/>
      <c r="L41" s="32" t="str">
        <f aca="false">IF(D41="","",COUNTIF(ポート振替表!$B$5:$B$3507,D41))</f>
        <v/>
      </c>
      <c r="M41" s="32" t="str">
        <f aca="false">IF(D41="","",COUNTIFS(ポート振替表!$B$5:$B$3507,D41,ポート振替表!$P$5:$P$3507,"疎通確認済"))</f>
        <v/>
      </c>
      <c r="N41" s="33" t="str">
        <f aca="false">IF(OR(D41="",L41=0),"",M41/L41)</f>
        <v/>
      </c>
      <c r="O41" s="32" t="str">
        <f aca="false">IF(OR(D41="",L41=0),"",IF(M41=L41,"完了",IF(M41&gt;0,"作業中","未着手")))</f>
        <v/>
      </c>
      <c r="P41" s="30"/>
    </row>
    <row r="42" customFormat="false" ht="15" hidden="false" customHeight="false" outlineLevel="0" collapsed="false">
      <c r="A42" s="29" t="n">
        <v>37</v>
      </c>
      <c r="B42" s="30"/>
      <c r="C42" s="30"/>
      <c r="D42" s="30"/>
      <c r="E42" s="30"/>
      <c r="F42" s="30"/>
      <c r="G42" s="30"/>
      <c r="H42" s="30"/>
      <c r="I42" s="30"/>
      <c r="J42" s="31"/>
      <c r="K42" s="29"/>
      <c r="L42" s="32" t="str">
        <f aca="false">IF(D42="","",COUNTIF(ポート振替表!$B$5:$B$3507,D42))</f>
        <v/>
      </c>
      <c r="M42" s="32" t="str">
        <f aca="false">IF(D42="","",COUNTIFS(ポート振替表!$B$5:$B$3507,D42,ポート振替表!$P$5:$P$3507,"疎通確認済"))</f>
        <v/>
      </c>
      <c r="N42" s="33" t="str">
        <f aca="false">IF(OR(D42="",L42=0),"",M42/L42)</f>
        <v/>
      </c>
      <c r="O42" s="32" t="str">
        <f aca="false">IF(OR(D42="",L42=0),"",IF(M42=L42,"完了",IF(M42&gt;0,"作業中","未着手")))</f>
        <v/>
      </c>
      <c r="P42" s="30"/>
    </row>
    <row r="43" customFormat="false" ht="15" hidden="false" customHeight="false" outlineLevel="0" collapsed="false">
      <c r="A43" s="29" t="n">
        <v>38</v>
      </c>
      <c r="B43" s="30"/>
      <c r="C43" s="30"/>
      <c r="D43" s="30"/>
      <c r="E43" s="30"/>
      <c r="F43" s="30"/>
      <c r="G43" s="30"/>
      <c r="H43" s="30"/>
      <c r="I43" s="30"/>
      <c r="J43" s="31"/>
      <c r="K43" s="29"/>
      <c r="L43" s="32" t="str">
        <f aca="false">IF(D43="","",COUNTIF(ポート振替表!$B$5:$B$3507,D43))</f>
        <v/>
      </c>
      <c r="M43" s="32" t="str">
        <f aca="false">IF(D43="","",COUNTIFS(ポート振替表!$B$5:$B$3507,D43,ポート振替表!$P$5:$P$3507,"疎通確認済"))</f>
        <v/>
      </c>
      <c r="N43" s="33" t="str">
        <f aca="false">IF(OR(D43="",L43=0),"",M43/L43)</f>
        <v/>
      </c>
      <c r="O43" s="32" t="str">
        <f aca="false">IF(OR(D43="",L43=0),"",IF(M43=L43,"完了",IF(M43&gt;0,"作業中","未着手")))</f>
        <v/>
      </c>
      <c r="P43" s="30"/>
    </row>
    <row r="44" customFormat="false" ht="15" hidden="false" customHeight="false" outlineLevel="0" collapsed="false">
      <c r="A44" s="29" t="n">
        <v>39</v>
      </c>
      <c r="B44" s="30"/>
      <c r="C44" s="30"/>
      <c r="D44" s="30"/>
      <c r="E44" s="30"/>
      <c r="F44" s="30"/>
      <c r="G44" s="30"/>
      <c r="H44" s="30"/>
      <c r="I44" s="30"/>
      <c r="J44" s="31"/>
      <c r="K44" s="29"/>
      <c r="L44" s="32" t="str">
        <f aca="false">IF(D44="","",COUNTIF(ポート振替表!$B$5:$B$3507,D44))</f>
        <v/>
      </c>
      <c r="M44" s="32" t="str">
        <f aca="false">IF(D44="","",COUNTIFS(ポート振替表!$B$5:$B$3507,D44,ポート振替表!$P$5:$P$3507,"疎通確認済"))</f>
        <v/>
      </c>
      <c r="N44" s="33" t="str">
        <f aca="false">IF(OR(D44="",L44=0),"",M44/L44)</f>
        <v/>
      </c>
      <c r="O44" s="32" t="str">
        <f aca="false">IF(OR(D44="",L44=0),"",IF(M44=L44,"完了",IF(M44&gt;0,"作業中","未着手")))</f>
        <v/>
      </c>
      <c r="P44" s="30"/>
    </row>
    <row r="45" customFormat="false" ht="15" hidden="false" customHeight="false" outlineLevel="0" collapsed="false">
      <c r="A45" s="29" t="n">
        <v>40</v>
      </c>
      <c r="B45" s="30"/>
      <c r="C45" s="30"/>
      <c r="D45" s="30"/>
      <c r="E45" s="30"/>
      <c r="F45" s="30"/>
      <c r="G45" s="30"/>
      <c r="H45" s="30"/>
      <c r="I45" s="30"/>
      <c r="J45" s="31"/>
      <c r="K45" s="29"/>
      <c r="L45" s="32" t="str">
        <f aca="false">IF(D45="","",COUNTIF(ポート振替表!$B$5:$B$3507,D45))</f>
        <v/>
      </c>
      <c r="M45" s="32" t="str">
        <f aca="false">IF(D45="","",COUNTIFS(ポート振替表!$B$5:$B$3507,D45,ポート振替表!$P$5:$P$3507,"疎通確認済"))</f>
        <v/>
      </c>
      <c r="N45" s="33" t="str">
        <f aca="false">IF(OR(D45="",L45=0),"",M45/L45)</f>
        <v/>
      </c>
      <c r="O45" s="32" t="str">
        <f aca="false">IF(OR(D45="",L45=0),"",IF(M45=L45,"完了",IF(M45&gt;0,"作業中","未着手")))</f>
        <v/>
      </c>
      <c r="P45" s="30"/>
    </row>
    <row r="46" customFormat="false" ht="15" hidden="false" customHeight="false" outlineLevel="0" collapsed="false">
      <c r="A46" s="29" t="n">
        <v>41</v>
      </c>
      <c r="B46" s="30"/>
      <c r="C46" s="30"/>
      <c r="D46" s="30"/>
      <c r="E46" s="30"/>
      <c r="F46" s="30"/>
      <c r="G46" s="30"/>
      <c r="H46" s="30"/>
      <c r="I46" s="30"/>
      <c r="J46" s="31"/>
      <c r="K46" s="29"/>
      <c r="L46" s="32" t="str">
        <f aca="false">IF(D46="","",COUNTIF(ポート振替表!$B$5:$B$3507,D46))</f>
        <v/>
      </c>
      <c r="M46" s="32" t="str">
        <f aca="false">IF(D46="","",COUNTIFS(ポート振替表!$B$5:$B$3507,D46,ポート振替表!$P$5:$P$3507,"疎通確認済"))</f>
        <v/>
      </c>
      <c r="N46" s="33" t="str">
        <f aca="false">IF(OR(D46="",L46=0),"",M46/L46)</f>
        <v/>
      </c>
      <c r="O46" s="32" t="str">
        <f aca="false">IF(OR(D46="",L46=0),"",IF(M46=L46,"完了",IF(M46&gt;0,"作業中","未着手")))</f>
        <v/>
      </c>
      <c r="P46" s="30"/>
    </row>
    <row r="47" customFormat="false" ht="15" hidden="false" customHeight="false" outlineLevel="0" collapsed="false">
      <c r="A47" s="29" t="n">
        <v>42</v>
      </c>
      <c r="B47" s="30"/>
      <c r="C47" s="30"/>
      <c r="D47" s="30"/>
      <c r="E47" s="30"/>
      <c r="F47" s="30"/>
      <c r="G47" s="30"/>
      <c r="H47" s="30"/>
      <c r="I47" s="30"/>
      <c r="J47" s="31"/>
      <c r="K47" s="29"/>
      <c r="L47" s="32" t="str">
        <f aca="false">IF(D47="","",COUNTIF(ポート振替表!$B$5:$B$3507,D47))</f>
        <v/>
      </c>
      <c r="M47" s="32" t="str">
        <f aca="false">IF(D47="","",COUNTIFS(ポート振替表!$B$5:$B$3507,D47,ポート振替表!$P$5:$P$3507,"疎通確認済"))</f>
        <v/>
      </c>
      <c r="N47" s="33" t="str">
        <f aca="false">IF(OR(D47="",L47=0),"",M47/L47)</f>
        <v/>
      </c>
      <c r="O47" s="32" t="str">
        <f aca="false">IF(OR(D47="",L47=0),"",IF(M47=L47,"完了",IF(M47&gt;0,"作業中","未着手")))</f>
        <v/>
      </c>
      <c r="P47" s="30"/>
    </row>
    <row r="48" customFormat="false" ht="15" hidden="false" customHeight="false" outlineLevel="0" collapsed="false">
      <c r="A48" s="29" t="n">
        <v>43</v>
      </c>
      <c r="B48" s="30"/>
      <c r="C48" s="30"/>
      <c r="D48" s="30"/>
      <c r="E48" s="30"/>
      <c r="F48" s="30"/>
      <c r="G48" s="30"/>
      <c r="H48" s="30"/>
      <c r="I48" s="30"/>
      <c r="J48" s="31"/>
      <c r="K48" s="29"/>
      <c r="L48" s="32" t="str">
        <f aca="false">IF(D48="","",COUNTIF(ポート振替表!$B$5:$B$3507,D48))</f>
        <v/>
      </c>
      <c r="M48" s="32" t="str">
        <f aca="false">IF(D48="","",COUNTIFS(ポート振替表!$B$5:$B$3507,D48,ポート振替表!$P$5:$P$3507,"疎通確認済"))</f>
        <v/>
      </c>
      <c r="N48" s="33" t="str">
        <f aca="false">IF(OR(D48="",L48=0),"",M48/L48)</f>
        <v/>
      </c>
      <c r="O48" s="32" t="str">
        <f aca="false">IF(OR(D48="",L48=0),"",IF(M48=L48,"完了",IF(M48&gt;0,"作業中","未着手")))</f>
        <v/>
      </c>
      <c r="P48" s="30"/>
    </row>
    <row r="49" customFormat="false" ht="15" hidden="false" customHeight="false" outlineLevel="0" collapsed="false">
      <c r="A49" s="29" t="n">
        <v>44</v>
      </c>
      <c r="B49" s="30"/>
      <c r="C49" s="30"/>
      <c r="D49" s="30"/>
      <c r="E49" s="30"/>
      <c r="F49" s="30"/>
      <c r="G49" s="30"/>
      <c r="H49" s="30"/>
      <c r="I49" s="30"/>
      <c r="J49" s="31"/>
      <c r="K49" s="29"/>
      <c r="L49" s="32" t="str">
        <f aca="false">IF(D49="","",COUNTIF(ポート振替表!$B$5:$B$3507,D49))</f>
        <v/>
      </c>
      <c r="M49" s="32" t="str">
        <f aca="false">IF(D49="","",COUNTIFS(ポート振替表!$B$5:$B$3507,D49,ポート振替表!$P$5:$P$3507,"疎通確認済"))</f>
        <v/>
      </c>
      <c r="N49" s="33" t="str">
        <f aca="false">IF(OR(D49="",L49=0),"",M49/L49)</f>
        <v/>
      </c>
      <c r="O49" s="32" t="str">
        <f aca="false">IF(OR(D49="",L49=0),"",IF(M49=L49,"完了",IF(M49&gt;0,"作業中","未着手")))</f>
        <v/>
      </c>
      <c r="P49" s="30"/>
    </row>
    <row r="50" customFormat="false" ht="15" hidden="false" customHeight="false" outlineLevel="0" collapsed="false">
      <c r="A50" s="29" t="n">
        <v>45</v>
      </c>
      <c r="B50" s="30"/>
      <c r="C50" s="30"/>
      <c r="D50" s="30"/>
      <c r="E50" s="30"/>
      <c r="F50" s="30"/>
      <c r="G50" s="30"/>
      <c r="H50" s="30"/>
      <c r="I50" s="30"/>
      <c r="J50" s="31"/>
      <c r="K50" s="29"/>
      <c r="L50" s="32" t="str">
        <f aca="false">IF(D50="","",COUNTIF(ポート振替表!$B$5:$B$3507,D50))</f>
        <v/>
      </c>
      <c r="M50" s="32" t="str">
        <f aca="false">IF(D50="","",COUNTIFS(ポート振替表!$B$5:$B$3507,D50,ポート振替表!$P$5:$P$3507,"疎通確認済"))</f>
        <v/>
      </c>
      <c r="N50" s="33" t="str">
        <f aca="false">IF(OR(D50="",L50=0),"",M50/L50)</f>
        <v/>
      </c>
      <c r="O50" s="32" t="str">
        <f aca="false">IF(OR(D50="",L50=0),"",IF(M50=L50,"完了",IF(M50&gt;0,"作業中","未着手")))</f>
        <v/>
      </c>
      <c r="P50" s="30"/>
    </row>
    <row r="51" customFormat="false" ht="15" hidden="false" customHeight="false" outlineLevel="0" collapsed="false">
      <c r="A51" s="29" t="n">
        <v>46</v>
      </c>
      <c r="B51" s="30"/>
      <c r="C51" s="30"/>
      <c r="D51" s="30"/>
      <c r="E51" s="30"/>
      <c r="F51" s="30"/>
      <c r="G51" s="30"/>
      <c r="H51" s="30"/>
      <c r="I51" s="30"/>
      <c r="J51" s="31"/>
      <c r="K51" s="29"/>
      <c r="L51" s="32" t="str">
        <f aca="false">IF(D51="","",COUNTIF(ポート振替表!$B$5:$B$3507,D51))</f>
        <v/>
      </c>
      <c r="M51" s="32" t="str">
        <f aca="false">IF(D51="","",COUNTIFS(ポート振替表!$B$5:$B$3507,D51,ポート振替表!$P$5:$P$3507,"疎通確認済"))</f>
        <v/>
      </c>
      <c r="N51" s="33" t="str">
        <f aca="false">IF(OR(D51="",L51=0),"",M51/L51)</f>
        <v/>
      </c>
      <c r="O51" s="32" t="str">
        <f aca="false">IF(OR(D51="",L51=0),"",IF(M51=L51,"完了",IF(M51&gt;0,"作業中","未着手")))</f>
        <v/>
      </c>
      <c r="P51" s="30"/>
    </row>
    <row r="52" customFormat="false" ht="15" hidden="false" customHeight="false" outlineLevel="0" collapsed="false">
      <c r="A52" s="29" t="n">
        <v>47</v>
      </c>
      <c r="B52" s="30"/>
      <c r="C52" s="30"/>
      <c r="D52" s="30"/>
      <c r="E52" s="30"/>
      <c r="F52" s="30"/>
      <c r="G52" s="30"/>
      <c r="H52" s="30"/>
      <c r="I52" s="30"/>
      <c r="J52" s="31"/>
      <c r="K52" s="29"/>
      <c r="L52" s="32" t="str">
        <f aca="false">IF(D52="","",COUNTIF(ポート振替表!$B$5:$B$3507,D52))</f>
        <v/>
      </c>
      <c r="M52" s="32" t="str">
        <f aca="false">IF(D52="","",COUNTIFS(ポート振替表!$B$5:$B$3507,D52,ポート振替表!$P$5:$P$3507,"疎通確認済"))</f>
        <v/>
      </c>
      <c r="N52" s="33" t="str">
        <f aca="false">IF(OR(D52="",L52=0),"",M52/L52)</f>
        <v/>
      </c>
      <c r="O52" s="32" t="str">
        <f aca="false">IF(OR(D52="",L52=0),"",IF(M52=L52,"完了",IF(M52&gt;0,"作業中","未着手")))</f>
        <v/>
      </c>
      <c r="P52" s="30"/>
    </row>
    <row r="53" customFormat="false" ht="15" hidden="false" customHeight="false" outlineLevel="0" collapsed="false">
      <c r="A53" s="29" t="n">
        <v>48</v>
      </c>
      <c r="B53" s="30"/>
      <c r="C53" s="30"/>
      <c r="D53" s="30"/>
      <c r="E53" s="30"/>
      <c r="F53" s="30"/>
      <c r="G53" s="30"/>
      <c r="H53" s="30"/>
      <c r="I53" s="30"/>
      <c r="J53" s="31"/>
      <c r="K53" s="29"/>
      <c r="L53" s="32" t="str">
        <f aca="false">IF(D53="","",COUNTIF(ポート振替表!$B$5:$B$3507,D53))</f>
        <v/>
      </c>
      <c r="M53" s="32" t="str">
        <f aca="false">IF(D53="","",COUNTIFS(ポート振替表!$B$5:$B$3507,D53,ポート振替表!$P$5:$P$3507,"疎通確認済"))</f>
        <v/>
      </c>
      <c r="N53" s="33" t="str">
        <f aca="false">IF(OR(D53="",L53=0),"",M53/L53)</f>
        <v/>
      </c>
      <c r="O53" s="32" t="str">
        <f aca="false">IF(OR(D53="",L53=0),"",IF(M53=L53,"完了",IF(M53&gt;0,"作業中","未着手")))</f>
        <v/>
      </c>
      <c r="P53" s="30"/>
    </row>
    <row r="54" customFormat="false" ht="15" hidden="false" customHeight="false" outlineLevel="0" collapsed="false">
      <c r="A54" s="29" t="n">
        <v>49</v>
      </c>
      <c r="B54" s="30"/>
      <c r="C54" s="30"/>
      <c r="D54" s="30"/>
      <c r="E54" s="30"/>
      <c r="F54" s="30"/>
      <c r="G54" s="30"/>
      <c r="H54" s="30"/>
      <c r="I54" s="30"/>
      <c r="J54" s="31"/>
      <c r="K54" s="29"/>
      <c r="L54" s="32" t="str">
        <f aca="false">IF(D54="","",COUNTIF(ポート振替表!$B$5:$B$3507,D54))</f>
        <v/>
      </c>
      <c r="M54" s="32" t="str">
        <f aca="false">IF(D54="","",COUNTIFS(ポート振替表!$B$5:$B$3507,D54,ポート振替表!$P$5:$P$3507,"疎通確認済"))</f>
        <v/>
      </c>
      <c r="N54" s="33" t="str">
        <f aca="false">IF(OR(D54="",L54=0),"",M54/L54)</f>
        <v/>
      </c>
      <c r="O54" s="32" t="str">
        <f aca="false">IF(OR(D54="",L54=0),"",IF(M54=L54,"完了",IF(M54&gt;0,"作業中","未着手")))</f>
        <v/>
      </c>
      <c r="P54" s="30"/>
    </row>
    <row r="55" customFormat="false" ht="15" hidden="false" customHeight="false" outlineLevel="0" collapsed="false">
      <c r="A55" s="29" t="n">
        <v>50</v>
      </c>
      <c r="B55" s="30"/>
      <c r="C55" s="30"/>
      <c r="D55" s="30"/>
      <c r="E55" s="30"/>
      <c r="F55" s="30"/>
      <c r="G55" s="30"/>
      <c r="H55" s="30"/>
      <c r="I55" s="30"/>
      <c r="J55" s="31"/>
      <c r="K55" s="29"/>
      <c r="L55" s="32" t="str">
        <f aca="false">IF(D55="","",COUNTIF(ポート振替表!$B$5:$B$3507,D55))</f>
        <v/>
      </c>
      <c r="M55" s="32" t="str">
        <f aca="false">IF(D55="","",COUNTIFS(ポート振替表!$B$5:$B$3507,D55,ポート振替表!$P$5:$P$3507,"疎通確認済"))</f>
        <v/>
      </c>
      <c r="N55" s="33" t="str">
        <f aca="false">IF(OR(D55="",L55=0),"",M55/L55)</f>
        <v/>
      </c>
      <c r="O55" s="32" t="str">
        <f aca="false">IF(OR(D55="",L55=0),"",IF(M55=L55,"完了",IF(M55&gt;0,"作業中","未着手")))</f>
        <v/>
      </c>
      <c r="P55" s="30"/>
    </row>
    <row r="56" customFormat="false" ht="15" hidden="false" customHeight="false" outlineLevel="0" collapsed="false">
      <c r="A56" s="29" t="n">
        <v>51</v>
      </c>
      <c r="B56" s="30"/>
      <c r="C56" s="30"/>
      <c r="D56" s="30"/>
      <c r="E56" s="30"/>
      <c r="F56" s="30"/>
      <c r="G56" s="30"/>
      <c r="H56" s="30"/>
      <c r="I56" s="30"/>
      <c r="J56" s="31"/>
      <c r="K56" s="29"/>
      <c r="L56" s="32" t="str">
        <f aca="false">IF(D56="","",COUNTIF(ポート振替表!$B$5:$B$3507,D56))</f>
        <v/>
      </c>
      <c r="M56" s="32" t="str">
        <f aca="false">IF(D56="","",COUNTIFS(ポート振替表!$B$5:$B$3507,D56,ポート振替表!$P$5:$P$3507,"疎通確認済"))</f>
        <v/>
      </c>
      <c r="N56" s="33" t="str">
        <f aca="false">IF(OR(D56="",L56=0),"",M56/L56)</f>
        <v/>
      </c>
      <c r="O56" s="32" t="str">
        <f aca="false">IF(OR(D56="",L56=0),"",IF(M56=L56,"完了",IF(M56&gt;0,"作業中","未着手")))</f>
        <v/>
      </c>
      <c r="P56" s="30"/>
    </row>
    <row r="57" customFormat="false" ht="15" hidden="false" customHeight="false" outlineLevel="0" collapsed="false">
      <c r="A57" s="29" t="n">
        <v>52</v>
      </c>
      <c r="B57" s="30"/>
      <c r="C57" s="30"/>
      <c r="D57" s="30"/>
      <c r="E57" s="30"/>
      <c r="F57" s="30"/>
      <c r="G57" s="30"/>
      <c r="H57" s="30"/>
      <c r="I57" s="30"/>
      <c r="J57" s="31"/>
      <c r="K57" s="29"/>
      <c r="L57" s="32" t="str">
        <f aca="false">IF(D57="","",COUNTIF(ポート振替表!$B$5:$B$3507,D57))</f>
        <v/>
      </c>
      <c r="M57" s="32" t="str">
        <f aca="false">IF(D57="","",COUNTIFS(ポート振替表!$B$5:$B$3507,D57,ポート振替表!$P$5:$P$3507,"疎通確認済"))</f>
        <v/>
      </c>
      <c r="N57" s="33" t="str">
        <f aca="false">IF(OR(D57="",L57=0),"",M57/L57)</f>
        <v/>
      </c>
      <c r="O57" s="32" t="str">
        <f aca="false">IF(OR(D57="",L57=0),"",IF(M57=L57,"完了",IF(M57&gt;0,"作業中","未着手")))</f>
        <v/>
      </c>
      <c r="P57" s="30"/>
    </row>
    <row r="58" customFormat="false" ht="15" hidden="false" customHeight="false" outlineLevel="0" collapsed="false">
      <c r="A58" s="29" t="n">
        <v>53</v>
      </c>
      <c r="B58" s="30"/>
      <c r="C58" s="30"/>
      <c r="D58" s="30"/>
      <c r="E58" s="30"/>
      <c r="F58" s="30"/>
      <c r="G58" s="30"/>
      <c r="H58" s="30"/>
      <c r="I58" s="30"/>
      <c r="J58" s="31"/>
      <c r="K58" s="29"/>
      <c r="L58" s="32" t="str">
        <f aca="false">IF(D58="","",COUNTIF(ポート振替表!$B$5:$B$3507,D58))</f>
        <v/>
      </c>
      <c r="M58" s="32" t="str">
        <f aca="false">IF(D58="","",COUNTIFS(ポート振替表!$B$5:$B$3507,D58,ポート振替表!$P$5:$P$3507,"疎通確認済"))</f>
        <v/>
      </c>
      <c r="N58" s="33" t="str">
        <f aca="false">IF(OR(D58="",L58=0),"",M58/L58)</f>
        <v/>
      </c>
      <c r="O58" s="32" t="str">
        <f aca="false">IF(OR(D58="",L58=0),"",IF(M58=L58,"完了",IF(M58&gt;0,"作業中","未着手")))</f>
        <v/>
      </c>
      <c r="P58" s="30"/>
    </row>
    <row r="59" customFormat="false" ht="15" hidden="false" customHeight="false" outlineLevel="0" collapsed="false">
      <c r="A59" s="29" t="n">
        <v>54</v>
      </c>
      <c r="B59" s="30"/>
      <c r="C59" s="30"/>
      <c r="D59" s="30"/>
      <c r="E59" s="30"/>
      <c r="F59" s="30"/>
      <c r="G59" s="30"/>
      <c r="H59" s="30"/>
      <c r="I59" s="30"/>
      <c r="J59" s="31"/>
      <c r="K59" s="29"/>
      <c r="L59" s="32" t="str">
        <f aca="false">IF(D59="","",COUNTIF(ポート振替表!$B$5:$B$3507,D59))</f>
        <v/>
      </c>
      <c r="M59" s="32" t="str">
        <f aca="false">IF(D59="","",COUNTIFS(ポート振替表!$B$5:$B$3507,D59,ポート振替表!$P$5:$P$3507,"疎通確認済"))</f>
        <v/>
      </c>
      <c r="N59" s="33" t="str">
        <f aca="false">IF(OR(D59="",L59=0),"",M59/L59)</f>
        <v/>
      </c>
      <c r="O59" s="32" t="str">
        <f aca="false">IF(OR(D59="",L59=0),"",IF(M59=L59,"完了",IF(M59&gt;0,"作業中","未着手")))</f>
        <v/>
      </c>
      <c r="P59" s="30"/>
    </row>
    <row r="60" customFormat="false" ht="15" hidden="false" customHeight="false" outlineLevel="0" collapsed="false">
      <c r="A60" s="29" t="n">
        <v>55</v>
      </c>
      <c r="B60" s="30"/>
      <c r="C60" s="30"/>
      <c r="D60" s="30"/>
      <c r="E60" s="30"/>
      <c r="F60" s="30"/>
      <c r="G60" s="30"/>
      <c r="H60" s="30"/>
      <c r="I60" s="30"/>
      <c r="J60" s="31"/>
      <c r="K60" s="29"/>
      <c r="L60" s="32" t="str">
        <f aca="false">IF(D60="","",COUNTIF(ポート振替表!$B$5:$B$3507,D60))</f>
        <v/>
      </c>
      <c r="M60" s="32" t="str">
        <f aca="false">IF(D60="","",COUNTIFS(ポート振替表!$B$5:$B$3507,D60,ポート振替表!$P$5:$P$3507,"疎通確認済"))</f>
        <v/>
      </c>
      <c r="N60" s="33" t="str">
        <f aca="false">IF(OR(D60="",L60=0),"",M60/L60)</f>
        <v/>
      </c>
      <c r="O60" s="32" t="str">
        <f aca="false">IF(OR(D60="",L60=0),"",IF(M60=L60,"完了",IF(M60&gt;0,"作業中","未着手")))</f>
        <v/>
      </c>
      <c r="P60" s="30"/>
    </row>
    <row r="61" customFormat="false" ht="15" hidden="false" customHeight="false" outlineLevel="0" collapsed="false">
      <c r="A61" s="29" t="n">
        <v>56</v>
      </c>
      <c r="B61" s="30"/>
      <c r="C61" s="30"/>
      <c r="D61" s="30"/>
      <c r="E61" s="30"/>
      <c r="F61" s="30"/>
      <c r="G61" s="30"/>
      <c r="H61" s="30"/>
      <c r="I61" s="30"/>
      <c r="J61" s="31"/>
      <c r="K61" s="29"/>
      <c r="L61" s="32" t="str">
        <f aca="false">IF(D61="","",COUNTIF(ポート振替表!$B$5:$B$3507,D61))</f>
        <v/>
      </c>
      <c r="M61" s="32" t="str">
        <f aca="false">IF(D61="","",COUNTIFS(ポート振替表!$B$5:$B$3507,D61,ポート振替表!$P$5:$P$3507,"疎通確認済"))</f>
        <v/>
      </c>
      <c r="N61" s="33" t="str">
        <f aca="false">IF(OR(D61="",L61=0),"",M61/L61)</f>
        <v/>
      </c>
      <c r="O61" s="32" t="str">
        <f aca="false">IF(OR(D61="",L61=0),"",IF(M61=L61,"完了",IF(M61&gt;0,"作業中","未着手")))</f>
        <v/>
      </c>
      <c r="P61" s="30"/>
    </row>
    <row r="62" customFormat="false" ht="15" hidden="false" customHeight="false" outlineLevel="0" collapsed="false">
      <c r="A62" s="29" t="n">
        <v>57</v>
      </c>
      <c r="B62" s="30"/>
      <c r="C62" s="30"/>
      <c r="D62" s="30"/>
      <c r="E62" s="30"/>
      <c r="F62" s="30"/>
      <c r="G62" s="30"/>
      <c r="H62" s="30"/>
      <c r="I62" s="30"/>
      <c r="J62" s="31"/>
      <c r="K62" s="29"/>
      <c r="L62" s="32" t="str">
        <f aca="false">IF(D62="","",COUNTIF(ポート振替表!$B$5:$B$3507,D62))</f>
        <v/>
      </c>
      <c r="M62" s="32" t="str">
        <f aca="false">IF(D62="","",COUNTIFS(ポート振替表!$B$5:$B$3507,D62,ポート振替表!$P$5:$P$3507,"疎通確認済"))</f>
        <v/>
      </c>
      <c r="N62" s="33" t="str">
        <f aca="false">IF(OR(D62="",L62=0),"",M62/L62)</f>
        <v/>
      </c>
      <c r="O62" s="32" t="str">
        <f aca="false">IF(OR(D62="",L62=0),"",IF(M62=L62,"完了",IF(M62&gt;0,"作業中","未着手")))</f>
        <v/>
      </c>
      <c r="P62" s="30"/>
    </row>
    <row r="63" customFormat="false" ht="15" hidden="false" customHeight="false" outlineLevel="0" collapsed="false">
      <c r="A63" s="29" t="n">
        <v>58</v>
      </c>
      <c r="B63" s="30"/>
      <c r="C63" s="30"/>
      <c r="D63" s="30"/>
      <c r="E63" s="30"/>
      <c r="F63" s="30"/>
      <c r="G63" s="30"/>
      <c r="H63" s="30"/>
      <c r="I63" s="30"/>
      <c r="J63" s="31"/>
      <c r="K63" s="29"/>
      <c r="L63" s="32" t="str">
        <f aca="false">IF(D63="","",COUNTIF(ポート振替表!$B$5:$B$3507,D63))</f>
        <v/>
      </c>
      <c r="M63" s="32" t="str">
        <f aca="false">IF(D63="","",COUNTIFS(ポート振替表!$B$5:$B$3507,D63,ポート振替表!$P$5:$P$3507,"疎通確認済"))</f>
        <v/>
      </c>
      <c r="N63" s="33" t="str">
        <f aca="false">IF(OR(D63="",L63=0),"",M63/L63)</f>
        <v/>
      </c>
      <c r="O63" s="32" t="str">
        <f aca="false">IF(OR(D63="",L63=0),"",IF(M63=L63,"完了",IF(M63&gt;0,"作業中","未着手")))</f>
        <v/>
      </c>
      <c r="P63" s="30"/>
    </row>
    <row r="64" customFormat="false" ht="15" hidden="false" customHeight="false" outlineLevel="0" collapsed="false">
      <c r="A64" s="29" t="n">
        <v>59</v>
      </c>
      <c r="B64" s="30"/>
      <c r="C64" s="30"/>
      <c r="D64" s="30"/>
      <c r="E64" s="30"/>
      <c r="F64" s="30"/>
      <c r="G64" s="30"/>
      <c r="H64" s="30"/>
      <c r="I64" s="30"/>
      <c r="J64" s="31"/>
      <c r="K64" s="29"/>
      <c r="L64" s="32" t="str">
        <f aca="false">IF(D64="","",COUNTIF(ポート振替表!$B$5:$B$3507,D64))</f>
        <v/>
      </c>
      <c r="M64" s="32" t="str">
        <f aca="false">IF(D64="","",COUNTIFS(ポート振替表!$B$5:$B$3507,D64,ポート振替表!$P$5:$P$3507,"疎通確認済"))</f>
        <v/>
      </c>
      <c r="N64" s="33" t="str">
        <f aca="false">IF(OR(D64="",L64=0),"",M64/L64)</f>
        <v/>
      </c>
      <c r="O64" s="32" t="str">
        <f aca="false">IF(OR(D64="",L64=0),"",IF(M64=L64,"完了",IF(M64&gt;0,"作業中","未着手")))</f>
        <v/>
      </c>
      <c r="P64" s="30"/>
    </row>
    <row r="65" customFormat="false" ht="15" hidden="false" customHeight="false" outlineLevel="0" collapsed="false">
      <c r="A65" s="29" t="n">
        <v>60</v>
      </c>
      <c r="B65" s="30"/>
      <c r="C65" s="30"/>
      <c r="D65" s="30"/>
      <c r="E65" s="30"/>
      <c r="F65" s="30"/>
      <c r="G65" s="30"/>
      <c r="H65" s="30"/>
      <c r="I65" s="30"/>
      <c r="J65" s="31"/>
      <c r="K65" s="29"/>
      <c r="L65" s="32" t="str">
        <f aca="false">IF(D65="","",COUNTIF(ポート振替表!$B$5:$B$3507,D65))</f>
        <v/>
      </c>
      <c r="M65" s="32" t="str">
        <f aca="false">IF(D65="","",COUNTIFS(ポート振替表!$B$5:$B$3507,D65,ポート振替表!$P$5:$P$3507,"疎通確認済"))</f>
        <v/>
      </c>
      <c r="N65" s="33" t="str">
        <f aca="false">IF(OR(D65="",L65=0),"",M65/L65)</f>
        <v/>
      </c>
      <c r="O65" s="32" t="str">
        <f aca="false">IF(OR(D65="",L65=0),"",IF(M65=L65,"完了",IF(M65&gt;0,"作業中","未着手")))</f>
        <v/>
      </c>
      <c r="P65" s="30"/>
    </row>
    <row r="66" customFormat="false" ht="15" hidden="false" customHeight="false" outlineLevel="0" collapsed="false">
      <c r="A66" s="29" t="n">
        <v>61</v>
      </c>
      <c r="B66" s="30"/>
      <c r="C66" s="30"/>
      <c r="D66" s="30"/>
      <c r="E66" s="30"/>
      <c r="F66" s="30"/>
      <c r="G66" s="30"/>
      <c r="H66" s="30"/>
      <c r="I66" s="30"/>
      <c r="J66" s="31"/>
      <c r="K66" s="29"/>
      <c r="L66" s="32" t="str">
        <f aca="false">IF(D66="","",COUNTIF(ポート振替表!$B$5:$B$3507,D66))</f>
        <v/>
      </c>
      <c r="M66" s="32" t="str">
        <f aca="false">IF(D66="","",COUNTIFS(ポート振替表!$B$5:$B$3507,D66,ポート振替表!$P$5:$P$3507,"疎通確認済"))</f>
        <v/>
      </c>
      <c r="N66" s="33" t="str">
        <f aca="false">IF(OR(D66="",L66=0),"",M66/L66)</f>
        <v/>
      </c>
      <c r="O66" s="32" t="str">
        <f aca="false">IF(OR(D66="",L66=0),"",IF(M66=L66,"完了",IF(M66&gt;0,"作業中","未着手")))</f>
        <v/>
      </c>
      <c r="P66" s="30"/>
    </row>
    <row r="67" customFormat="false" ht="15" hidden="false" customHeight="false" outlineLevel="0" collapsed="false">
      <c r="A67" s="29" t="n">
        <v>62</v>
      </c>
      <c r="B67" s="30"/>
      <c r="C67" s="30"/>
      <c r="D67" s="30"/>
      <c r="E67" s="30"/>
      <c r="F67" s="30"/>
      <c r="G67" s="30"/>
      <c r="H67" s="30"/>
      <c r="I67" s="30"/>
      <c r="J67" s="31"/>
      <c r="K67" s="29"/>
      <c r="L67" s="32" t="str">
        <f aca="false">IF(D67="","",COUNTIF(ポート振替表!$B$5:$B$3507,D67))</f>
        <v/>
      </c>
      <c r="M67" s="32" t="str">
        <f aca="false">IF(D67="","",COUNTIFS(ポート振替表!$B$5:$B$3507,D67,ポート振替表!$P$5:$P$3507,"疎通確認済"))</f>
        <v/>
      </c>
      <c r="N67" s="33" t="str">
        <f aca="false">IF(OR(D67="",L67=0),"",M67/L67)</f>
        <v/>
      </c>
      <c r="O67" s="32" t="str">
        <f aca="false">IF(OR(D67="",L67=0),"",IF(M67=L67,"完了",IF(M67&gt;0,"作業中","未着手")))</f>
        <v/>
      </c>
      <c r="P67" s="30"/>
    </row>
    <row r="68" customFormat="false" ht="15" hidden="false" customHeight="false" outlineLevel="0" collapsed="false">
      <c r="A68" s="29" t="n">
        <v>63</v>
      </c>
      <c r="B68" s="30"/>
      <c r="C68" s="30"/>
      <c r="D68" s="30"/>
      <c r="E68" s="30"/>
      <c r="F68" s="30"/>
      <c r="G68" s="30"/>
      <c r="H68" s="30"/>
      <c r="I68" s="30"/>
      <c r="J68" s="31"/>
      <c r="K68" s="29"/>
      <c r="L68" s="32" t="str">
        <f aca="false">IF(D68="","",COUNTIF(ポート振替表!$B$5:$B$3507,D68))</f>
        <v/>
      </c>
      <c r="M68" s="32" t="str">
        <f aca="false">IF(D68="","",COUNTIFS(ポート振替表!$B$5:$B$3507,D68,ポート振替表!$P$5:$P$3507,"疎通確認済"))</f>
        <v/>
      </c>
      <c r="N68" s="33" t="str">
        <f aca="false">IF(OR(D68="",L68=0),"",M68/L68)</f>
        <v/>
      </c>
      <c r="O68" s="32" t="str">
        <f aca="false">IF(OR(D68="",L68=0),"",IF(M68=L68,"完了",IF(M68&gt;0,"作業中","未着手")))</f>
        <v/>
      </c>
      <c r="P68" s="30"/>
    </row>
    <row r="69" customFormat="false" ht="15" hidden="false" customHeight="false" outlineLevel="0" collapsed="false">
      <c r="A69" s="29" t="n">
        <v>64</v>
      </c>
      <c r="B69" s="30"/>
      <c r="C69" s="30"/>
      <c r="D69" s="30"/>
      <c r="E69" s="30"/>
      <c r="F69" s="30"/>
      <c r="G69" s="30"/>
      <c r="H69" s="30"/>
      <c r="I69" s="30"/>
      <c r="J69" s="31"/>
      <c r="K69" s="29"/>
      <c r="L69" s="32" t="str">
        <f aca="false">IF(D69="","",COUNTIF(ポート振替表!$B$5:$B$3507,D69))</f>
        <v/>
      </c>
      <c r="M69" s="32" t="str">
        <f aca="false">IF(D69="","",COUNTIFS(ポート振替表!$B$5:$B$3507,D69,ポート振替表!$P$5:$P$3507,"疎通確認済"))</f>
        <v/>
      </c>
      <c r="N69" s="33" t="str">
        <f aca="false">IF(OR(D69="",L69=0),"",M69/L69)</f>
        <v/>
      </c>
      <c r="O69" s="32" t="str">
        <f aca="false">IF(OR(D69="",L69=0),"",IF(M69=L69,"完了",IF(M69&gt;0,"作業中","未着手")))</f>
        <v/>
      </c>
      <c r="P69" s="30"/>
    </row>
    <row r="70" customFormat="false" ht="15" hidden="false" customHeight="false" outlineLevel="0" collapsed="false">
      <c r="A70" s="29" t="n">
        <v>65</v>
      </c>
      <c r="B70" s="30"/>
      <c r="C70" s="30"/>
      <c r="D70" s="30"/>
      <c r="E70" s="30"/>
      <c r="F70" s="30"/>
      <c r="G70" s="30"/>
      <c r="H70" s="30"/>
      <c r="I70" s="30"/>
      <c r="J70" s="31"/>
      <c r="K70" s="29"/>
      <c r="L70" s="32" t="str">
        <f aca="false">IF(D70="","",COUNTIF(ポート振替表!$B$5:$B$3507,D70))</f>
        <v/>
      </c>
      <c r="M70" s="32" t="str">
        <f aca="false">IF(D70="","",COUNTIFS(ポート振替表!$B$5:$B$3507,D70,ポート振替表!$P$5:$P$3507,"疎通確認済"))</f>
        <v/>
      </c>
      <c r="N70" s="33" t="str">
        <f aca="false">IF(OR(D70="",L70=0),"",M70/L70)</f>
        <v/>
      </c>
      <c r="O70" s="32" t="str">
        <f aca="false">IF(OR(D70="",L70=0),"",IF(M70=L70,"完了",IF(M70&gt;0,"作業中","未着手")))</f>
        <v/>
      </c>
      <c r="P70" s="30"/>
    </row>
    <row r="71" customFormat="false" ht="15" hidden="false" customHeight="false" outlineLevel="0" collapsed="false">
      <c r="A71" s="29" t="n">
        <v>66</v>
      </c>
      <c r="B71" s="30"/>
      <c r="C71" s="30"/>
      <c r="D71" s="30"/>
      <c r="E71" s="30"/>
      <c r="F71" s="30"/>
      <c r="G71" s="30"/>
      <c r="H71" s="30"/>
      <c r="I71" s="30"/>
      <c r="J71" s="31"/>
      <c r="K71" s="29"/>
      <c r="L71" s="32" t="str">
        <f aca="false">IF(D71="","",COUNTIF(ポート振替表!$B$5:$B$3507,D71))</f>
        <v/>
      </c>
      <c r="M71" s="32" t="str">
        <f aca="false">IF(D71="","",COUNTIFS(ポート振替表!$B$5:$B$3507,D71,ポート振替表!$P$5:$P$3507,"疎通確認済"))</f>
        <v/>
      </c>
      <c r="N71" s="33" t="str">
        <f aca="false">IF(OR(D71="",L71=0),"",M71/L71)</f>
        <v/>
      </c>
      <c r="O71" s="32" t="str">
        <f aca="false">IF(OR(D71="",L71=0),"",IF(M71=L71,"完了",IF(M71&gt;0,"作業中","未着手")))</f>
        <v/>
      </c>
      <c r="P71" s="30"/>
    </row>
    <row r="72" customFormat="false" ht="15" hidden="false" customHeight="false" outlineLevel="0" collapsed="false">
      <c r="A72" s="29" t="n">
        <v>67</v>
      </c>
      <c r="B72" s="30"/>
      <c r="C72" s="30"/>
      <c r="D72" s="30"/>
      <c r="E72" s="30"/>
      <c r="F72" s="30"/>
      <c r="G72" s="30"/>
      <c r="H72" s="30"/>
      <c r="I72" s="30"/>
      <c r="J72" s="31"/>
      <c r="K72" s="29"/>
      <c r="L72" s="32" t="str">
        <f aca="false">IF(D72="","",COUNTIF(ポート振替表!$B$5:$B$3507,D72))</f>
        <v/>
      </c>
      <c r="M72" s="32" t="str">
        <f aca="false">IF(D72="","",COUNTIFS(ポート振替表!$B$5:$B$3507,D72,ポート振替表!$P$5:$P$3507,"疎通確認済"))</f>
        <v/>
      </c>
      <c r="N72" s="33" t="str">
        <f aca="false">IF(OR(D72="",L72=0),"",M72/L72)</f>
        <v/>
      </c>
      <c r="O72" s="32" t="str">
        <f aca="false">IF(OR(D72="",L72=0),"",IF(M72=L72,"完了",IF(M72&gt;0,"作業中","未着手")))</f>
        <v/>
      </c>
      <c r="P72" s="30"/>
    </row>
    <row r="73" customFormat="false" ht="15" hidden="false" customHeight="false" outlineLevel="0" collapsed="false">
      <c r="A73" s="29" t="n">
        <v>68</v>
      </c>
      <c r="B73" s="30"/>
      <c r="C73" s="30"/>
      <c r="D73" s="30"/>
      <c r="E73" s="30"/>
      <c r="F73" s="30"/>
      <c r="G73" s="30"/>
      <c r="H73" s="30"/>
      <c r="I73" s="30"/>
      <c r="J73" s="31"/>
      <c r="K73" s="29"/>
      <c r="L73" s="32" t="str">
        <f aca="false">IF(D73="","",COUNTIF(ポート振替表!$B$5:$B$3507,D73))</f>
        <v/>
      </c>
      <c r="M73" s="32" t="str">
        <f aca="false">IF(D73="","",COUNTIFS(ポート振替表!$B$5:$B$3507,D73,ポート振替表!$P$5:$P$3507,"疎通確認済"))</f>
        <v/>
      </c>
      <c r="N73" s="33" t="str">
        <f aca="false">IF(OR(D73="",L73=0),"",M73/L73)</f>
        <v/>
      </c>
      <c r="O73" s="32" t="str">
        <f aca="false">IF(OR(D73="",L73=0),"",IF(M73=L73,"完了",IF(M73&gt;0,"作業中","未着手")))</f>
        <v/>
      </c>
      <c r="P73" s="30"/>
    </row>
    <row r="74" customFormat="false" ht="15" hidden="false" customHeight="false" outlineLevel="0" collapsed="false">
      <c r="A74" s="29" t="n">
        <v>69</v>
      </c>
      <c r="B74" s="30"/>
      <c r="C74" s="30"/>
      <c r="D74" s="30"/>
      <c r="E74" s="30"/>
      <c r="F74" s="30"/>
      <c r="G74" s="30"/>
      <c r="H74" s="30"/>
      <c r="I74" s="30"/>
      <c r="J74" s="31"/>
      <c r="K74" s="29"/>
      <c r="L74" s="32" t="str">
        <f aca="false">IF(D74="","",COUNTIF(ポート振替表!$B$5:$B$3507,D74))</f>
        <v/>
      </c>
      <c r="M74" s="32" t="str">
        <f aca="false">IF(D74="","",COUNTIFS(ポート振替表!$B$5:$B$3507,D74,ポート振替表!$P$5:$P$3507,"疎通確認済"))</f>
        <v/>
      </c>
      <c r="N74" s="33" t="str">
        <f aca="false">IF(OR(D74="",L74=0),"",M74/L74)</f>
        <v/>
      </c>
      <c r="O74" s="32" t="str">
        <f aca="false">IF(OR(D74="",L74=0),"",IF(M74=L74,"完了",IF(M74&gt;0,"作業中","未着手")))</f>
        <v/>
      </c>
      <c r="P74" s="30"/>
    </row>
    <row r="75" customFormat="false" ht="15" hidden="false" customHeight="false" outlineLevel="0" collapsed="false">
      <c r="A75" s="29" t="n">
        <v>70</v>
      </c>
      <c r="B75" s="30"/>
      <c r="C75" s="30"/>
      <c r="D75" s="30"/>
      <c r="E75" s="30"/>
      <c r="F75" s="30"/>
      <c r="G75" s="30"/>
      <c r="H75" s="30"/>
      <c r="I75" s="30"/>
      <c r="J75" s="31"/>
      <c r="K75" s="29"/>
      <c r="L75" s="32" t="str">
        <f aca="false">IF(D75="","",COUNTIF(ポート振替表!$B$5:$B$3507,D75))</f>
        <v/>
      </c>
      <c r="M75" s="32" t="str">
        <f aca="false">IF(D75="","",COUNTIFS(ポート振替表!$B$5:$B$3507,D75,ポート振替表!$P$5:$P$3507,"疎通確認済"))</f>
        <v/>
      </c>
      <c r="N75" s="33" t="str">
        <f aca="false">IF(OR(D75="",L75=0),"",M75/L75)</f>
        <v/>
      </c>
      <c r="O75" s="32" t="str">
        <f aca="false">IF(OR(D75="",L75=0),"",IF(M75=L75,"完了",IF(M75&gt;0,"作業中","未着手")))</f>
        <v/>
      </c>
      <c r="P75" s="30"/>
    </row>
  </sheetData>
  <autoFilter ref="A4:P75"/>
  <conditionalFormatting sqref="O5:O75">
    <cfRule type="cellIs" priority="2" operator="equal" aboveAverage="0" equalAverage="0" bottom="0" percent="0" rank="0" text="" dxfId="8">
      <formula>"完了"</formula>
    </cfRule>
    <cfRule type="cellIs" priority="3" operator="equal" aboveAverage="0" equalAverage="0" bottom="0" percent="0" rank="0" text="" dxfId="9">
      <formula>"作業中"</formula>
    </cfRule>
  </conditionalFormatting>
  <dataValidations count="1">
    <dataValidation allowBlank="true" error="日付(例: 2026/11/14)を入力してください" errorStyle="warning" operator="greaterThan" showDropDown="false" showErrorMessage="false" showInputMessage="false" sqref="J5:J7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W35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9" min="18" style="0" width="10"/>
    <col collapsed="false" customWidth="true" hidden="false" outlineLevel="0" max="20" min="20" style="0" width="26"/>
    <col collapsed="false" customWidth="true" hidden="false" outlineLevel="0" max="22" min="21" style="0" width="9"/>
    <col collapsed="false" customWidth="true" hidden="false" outlineLevel="0" max="23" min="23" style="0" width="13"/>
  </cols>
  <sheetData>
    <row r="1" customFormat="false" ht="19.7" hidden="false" customHeight="false" outlineLevel="0" collapsed="false">
      <c r="A1" s="15" t="s">
        <v>5</v>
      </c>
      <c r="F1" s="34" t="s">
        <v>83</v>
      </c>
    </row>
    <row r="2" customFormat="false" ht="15" hidden="false" customHeight="false" outlineLevel="0" collapsed="false">
      <c r="K2" s="35" t="s">
        <v>84</v>
      </c>
    </row>
    <row r="3" customFormat="false" ht="17.15" hidden="false" customHeight="true" outlineLevel="0" collapsed="false">
      <c r="A3" s="36"/>
      <c r="B3" s="37" t="s">
        <v>85</v>
      </c>
      <c r="C3" s="37"/>
      <c r="D3" s="37"/>
      <c r="E3" s="37"/>
      <c r="F3" s="37"/>
      <c r="G3" s="37"/>
      <c r="H3" s="37"/>
      <c r="I3" s="37"/>
      <c r="J3" s="37"/>
      <c r="K3" s="38" t="s">
        <v>86</v>
      </c>
      <c r="L3" s="38"/>
      <c r="M3" s="38"/>
      <c r="N3" s="38"/>
      <c r="O3" s="38"/>
      <c r="P3" s="39" t="s">
        <v>87</v>
      </c>
      <c r="Q3" s="39"/>
      <c r="R3" s="39"/>
      <c r="S3" s="39"/>
      <c r="T3" s="39"/>
      <c r="U3" s="40"/>
      <c r="W3" s="41" t="s">
        <v>88</v>
      </c>
    </row>
    <row r="4" customFormat="false" ht="31.5" hidden="false" customHeight="true" outlineLevel="0" collapsed="false">
      <c r="A4" s="21" t="s">
        <v>59</v>
      </c>
      <c r="B4" s="41" t="s">
        <v>89</v>
      </c>
      <c r="C4" s="41" t="s">
        <v>90</v>
      </c>
      <c r="D4" s="41" t="s">
        <v>91</v>
      </c>
      <c r="E4" s="42" t="s">
        <v>92</v>
      </c>
      <c r="F4" s="42" t="s">
        <v>93</v>
      </c>
      <c r="G4" s="41" t="s">
        <v>94</v>
      </c>
      <c r="H4" s="41" t="s">
        <v>95</v>
      </c>
      <c r="I4" s="41" t="s">
        <v>96</v>
      </c>
      <c r="J4" s="41" t="s">
        <v>97</v>
      </c>
      <c r="K4" s="43" t="s">
        <v>98</v>
      </c>
      <c r="L4" s="43" t="s">
        <v>99</v>
      </c>
      <c r="M4" s="44" t="s">
        <v>100</v>
      </c>
      <c r="N4" s="43" t="s">
        <v>101</v>
      </c>
      <c r="O4" s="43" t="s">
        <v>102</v>
      </c>
      <c r="P4" s="16" t="s">
        <v>103</v>
      </c>
      <c r="Q4" s="16" t="s">
        <v>104</v>
      </c>
      <c r="R4" s="16" t="s">
        <v>105</v>
      </c>
      <c r="S4" s="16" t="s">
        <v>106</v>
      </c>
      <c r="T4" s="16" t="s">
        <v>71</v>
      </c>
      <c r="U4" s="23" t="s">
        <v>107</v>
      </c>
      <c r="V4" s="23" t="s">
        <v>108</v>
      </c>
      <c r="W4" s="41" t="s">
        <v>109</v>
      </c>
    </row>
    <row r="5" customFormat="false" ht="15" hidden="false" customHeight="false" outlineLevel="0" collapsed="false">
      <c r="A5" s="24" t="s">
        <v>72</v>
      </c>
      <c r="B5" s="25" t="s">
        <v>75</v>
      </c>
      <c r="C5" s="45" t="s">
        <v>110</v>
      </c>
      <c r="D5" s="45" t="s">
        <v>111</v>
      </c>
      <c r="E5" s="45" t="s">
        <v>112</v>
      </c>
      <c r="F5" s="25"/>
      <c r="G5" s="45" t="s">
        <v>113</v>
      </c>
      <c r="H5" s="26" t="s">
        <v>114</v>
      </c>
      <c r="I5" s="45" t="s">
        <v>115</v>
      </c>
      <c r="J5" s="25" t="s">
        <v>116</v>
      </c>
      <c r="K5" s="25" t="s">
        <v>78</v>
      </c>
      <c r="L5" s="45" t="s">
        <v>110</v>
      </c>
      <c r="M5" s="24" t="str">
        <f aca="false">IF(OR(C5="",L5=""),"",IF(C5=L5,"同一","変更"))</f>
        <v>同一</v>
      </c>
      <c r="N5" s="45" t="s">
        <v>117</v>
      </c>
      <c r="O5" s="26" t="s">
        <v>118</v>
      </c>
      <c r="P5" s="24" t="s">
        <v>42</v>
      </c>
      <c r="Q5" s="27" t="n">
        <v>46340</v>
      </c>
      <c r="R5" s="24" t="s">
        <v>81</v>
      </c>
      <c r="S5" s="24" t="s">
        <v>119</v>
      </c>
      <c r="T5" s="25" t="s">
        <v>120</v>
      </c>
      <c r="U5" s="46" t="n">
        <f aca="false">IF(AND(B5&lt;&gt;"",B5=SW別シート!$C$3),COUNTIF(B$5:B5,B5),"")</f>
        <v>1</v>
      </c>
      <c r="V5" s="47" t="n">
        <f aca="false">IF(OR(O5&lt;&gt;"",W5&lt;&gt;""),1,0)</f>
        <v>1</v>
      </c>
      <c r="W5" s="45" t="s">
        <v>121</v>
      </c>
    </row>
    <row r="6" customFormat="false" ht="29.85" hidden="false" customHeight="false" outlineLevel="0" collapsed="false">
      <c r="A6" s="24" t="s">
        <v>72</v>
      </c>
      <c r="B6" s="25" t="s">
        <v>75</v>
      </c>
      <c r="C6" s="45" t="s">
        <v>122</v>
      </c>
      <c r="D6" s="45" t="s">
        <v>111</v>
      </c>
      <c r="E6" s="45" t="s">
        <v>123</v>
      </c>
      <c r="F6" s="25"/>
      <c r="G6" s="45" t="s">
        <v>124</v>
      </c>
      <c r="H6" s="26" t="s">
        <v>125</v>
      </c>
      <c r="I6" s="45" t="s">
        <v>126</v>
      </c>
      <c r="J6" s="26" t="s">
        <v>127</v>
      </c>
      <c r="K6" s="25" t="s">
        <v>78</v>
      </c>
      <c r="L6" s="45" t="s">
        <v>128</v>
      </c>
      <c r="M6" s="24" t="str">
        <f aca="false">IF(OR(C6="",L6=""),"",IF(C6=L6,"同一","変更"))</f>
        <v>変更</v>
      </c>
      <c r="N6" s="45" t="s">
        <v>129</v>
      </c>
      <c r="O6" s="26" t="s">
        <v>130</v>
      </c>
      <c r="P6" s="24" t="s">
        <v>40</v>
      </c>
      <c r="Q6" s="27" t="n">
        <v>46340</v>
      </c>
      <c r="R6" s="24" t="s">
        <v>81</v>
      </c>
      <c r="S6" s="24"/>
      <c r="T6" s="25" t="s">
        <v>131</v>
      </c>
      <c r="U6" s="46" t="n">
        <f aca="false">IF(AND(B6&lt;&gt;"",B6=SW別シート!$C$3),COUNTIF(B$5:B6,B6),"")</f>
        <v>2</v>
      </c>
      <c r="V6" s="47" t="n">
        <f aca="false">V5+IF(OR(O6&lt;&gt;"",W6&lt;&gt;""),1,0)</f>
        <v>2</v>
      </c>
      <c r="W6" s="45" t="s">
        <v>132</v>
      </c>
    </row>
    <row r="7" customFormat="false" ht="15" hidden="false" customHeight="false" outlineLevel="0" collapsed="false">
      <c r="A7" s="24" t="s">
        <v>72</v>
      </c>
      <c r="B7" s="25" t="s">
        <v>75</v>
      </c>
      <c r="C7" s="45" t="s">
        <v>133</v>
      </c>
      <c r="D7" s="45" t="s">
        <v>134</v>
      </c>
      <c r="E7" s="45" t="s">
        <v>135</v>
      </c>
      <c r="F7" s="26" t="s">
        <v>136</v>
      </c>
      <c r="G7" s="45" t="s">
        <v>113</v>
      </c>
      <c r="H7" s="26" t="s">
        <v>137</v>
      </c>
      <c r="I7" s="45" t="s">
        <v>138</v>
      </c>
      <c r="J7" s="25" t="s">
        <v>139</v>
      </c>
      <c r="K7" s="25" t="s">
        <v>78</v>
      </c>
      <c r="L7" s="45" t="s">
        <v>140</v>
      </c>
      <c r="M7" s="24" t="str">
        <f aca="false">IF(OR(C7="",L7=""),"",IF(C7=L7,"同一","変更"))</f>
        <v>変更</v>
      </c>
      <c r="N7" s="24" t="s">
        <v>141</v>
      </c>
      <c r="O7" s="26" t="s">
        <v>142</v>
      </c>
      <c r="P7" s="24" t="s">
        <v>38</v>
      </c>
      <c r="Q7" s="27"/>
      <c r="R7" s="24" t="s">
        <v>81</v>
      </c>
      <c r="S7" s="24"/>
      <c r="T7" s="25" t="s">
        <v>143</v>
      </c>
      <c r="U7" s="46" t="n">
        <f aca="false">IF(AND(B7&lt;&gt;"",B7=SW別シート!$C$3),COUNTIF(B$5:B7,B7),"")</f>
        <v>3</v>
      </c>
      <c r="V7" s="47" t="n">
        <f aca="false">V6+IF(OR(O7&lt;&gt;"",W7&lt;&gt;""),1,0)</f>
        <v>3</v>
      </c>
      <c r="W7" s="45" t="s">
        <v>144</v>
      </c>
    </row>
    <row r="8" customFormat="false" ht="15" hidden="false" customHeight="false" outlineLevel="0" collapsed="false">
      <c r="A8" s="32" t="str">
        <f aca="false">IF(B8="","",ROW()-7)</f>
        <v/>
      </c>
      <c r="B8" s="30"/>
      <c r="C8" s="29"/>
      <c r="D8" s="29"/>
      <c r="E8" s="29"/>
      <c r="F8" s="30"/>
      <c r="G8" s="29"/>
      <c r="H8" s="30"/>
      <c r="I8" s="29"/>
      <c r="J8" s="30"/>
      <c r="K8" s="30"/>
      <c r="L8" s="29"/>
      <c r="M8" s="32" t="str">
        <f aca="false">IF(OR(C8="",L8=""),"",IF(C8=L8,"同一","変更"))</f>
        <v/>
      </c>
      <c r="N8" s="29"/>
      <c r="O8" s="30"/>
      <c r="P8" s="29"/>
      <c r="Q8" s="31"/>
      <c r="R8" s="29"/>
      <c r="S8" s="29"/>
      <c r="T8" s="30"/>
      <c r="U8" s="47" t="str">
        <f aca="false">IF(AND(B8&lt;&gt;"",B8=SW別シート!$C$3),COUNTIF(B$5:B8,B8),"")</f>
        <v/>
      </c>
      <c r="V8" s="47" t="n">
        <f aca="false">V7+IF(OR(O8&lt;&gt;"",W8&lt;&gt;""),1,0)</f>
        <v>3</v>
      </c>
      <c r="W8" s="29"/>
    </row>
    <row r="9" customFormat="false" ht="15" hidden="false" customHeight="false" outlineLevel="0" collapsed="false">
      <c r="A9" s="32" t="str">
        <f aca="false">IF(B9="","",ROW()-7)</f>
        <v/>
      </c>
      <c r="B9" s="30"/>
      <c r="C9" s="29"/>
      <c r="D9" s="29"/>
      <c r="E9" s="29"/>
      <c r="F9" s="30"/>
      <c r="G9" s="29"/>
      <c r="H9" s="30"/>
      <c r="I9" s="29"/>
      <c r="J9" s="30"/>
      <c r="K9" s="30"/>
      <c r="L9" s="29"/>
      <c r="M9" s="32" t="str">
        <f aca="false">IF(OR(C9="",L9=""),"",IF(C9=L9,"同一","変更"))</f>
        <v/>
      </c>
      <c r="N9" s="29"/>
      <c r="O9" s="30"/>
      <c r="P9" s="29"/>
      <c r="Q9" s="31"/>
      <c r="R9" s="29"/>
      <c r="S9" s="29"/>
      <c r="T9" s="30"/>
      <c r="U9" s="47" t="str">
        <f aca="false">IF(AND(B9&lt;&gt;"",B9=SW別シート!$C$3),COUNTIF(B$5:B9,B9),"")</f>
        <v/>
      </c>
      <c r="V9" s="47" t="n">
        <f aca="false">V8+IF(OR(O9&lt;&gt;"",W9&lt;&gt;""),1,0)</f>
        <v>3</v>
      </c>
      <c r="W9" s="29"/>
    </row>
    <row r="10" customFormat="false" ht="15" hidden="false" customHeight="false" outlineLevel="0" collapsed="false">
      <c r="A10" s="32" t="str">
        <f aca="false">IF(B10="","",ROW()-7)</f>
        <v/>
      </c>
      <c r="B10" s="30"/>
      <c r="C10" s="29"/>
      <c r="D10" s="29"/>
      <c r="E10" s="29"/>
      <c r="F10" s="30"/>
      <c r="G10" s="29"/>
      <c r="H10" s="30"/>
      <c r="I10" s="29"/>
      <c r="J10" s="30"/>
      <c r="K10" s="30"/>
      <c r="L10" s="29"/>
      <c r="M10" s="32" t="str">
        <f aca="false">IF(OR(C10="",L10=""),"",IF(C10=L10,"同一","変更"))</f>
        <v/>
      </c>
      <c r="N10" s="29"/>
      <c r="O10" s="30"/>
      <c r="P10" s="29"/>
      <c r="Q10" s="31"/>
      <c r="R10" s="29"/>
      <c r="S10" s="29"/>
      <c r="T10" s="30"/>
      <c r="U10" s="47" t="str">
        <f aca="false">IF(AND(B10&lt;&gt;"",B10=SW別シート!$C$3),COUNTIF(B$5:B10,B10),"")</f>
        <v/>
      </c>
      <c r="V10" s="47" t="n">
        <f aca="false">V9+IF(OR(O10&lt;&gt;"",W10&lt;&gt;""),1,0)</f>
        <v>3</v>
      </c>
      <c r="W10" s="29"/>
    </row>
    <row r="11" customFormat="false" ht="15" hidden="false" customHeight="false" outlineLevel="0" collapsed="false">
      <c r="A11" s="32" t="str">
        <f aca="false">IF(B11="","",ROW()-7)</f>
        <v/>
      </c>
      <c r="B11" s="30"/>
      <c r="C11" s="29"/>
      <c r="D11" s="29"/>
      <c r="E11" s="29"/>
      <c r="F11" s="30"/>
      <c r="G11" s="29"/>
      <c r="H11" s="30"/>
      <c r="I11" s="29"/>
      <c r="J11" s="30"/>
      <c r="K11" s="30"/>
      <c r="L11" s="29"/>
      <c r="M11" s="32" t="str">
        <f aca="false">IF(OR(C11="",L11=""),"",IF(C11=L11,"同一","変更"))</f>
        <v/>
      </c>
      <c r="N11" s="29"/>
      <c r="O11" s="30"/>
      <c r="P11" s="29"/>
      <c r="Q11" s="31"/>
      <c r="R11" s="29"/>
      <c r="S11" s="29"/>
      <c r="T11" s="30"/>
      <c r="U11" s="47" t="str">
        <f aca="false">IF(AND(B11&lt;&gt;"",B11=SW別シート!$C$3),COUNTIF(B$5:B11,B11),"")</f>
        <v/>
      </c>
      <c r="V11" s="47" t="n">
        <f aca="false">V10+IF(OR(O11&lt;&gt;"",W11&lt;&gt;""),1,0)</f>
        <v>3</v>
      </c>
      <c r="W11" s="29"/>
    </row>
    <row r="12" customFormat="false" ht="15" hidden="false" customHeight="false" outlineLevel="0" collapsed="false">
      <c r="A12" s="32" t="str">
        <f aca="false">IF(B12="","",ROW()-7)</f>
        <v/>
      </c>
      <c r="B12" s="30"/>
      <c r="C12" s="29"/>
      <c r="D12" s="29"/>
      <c r="E12" s="29"/>
      <c r="F12" s="30"/>
      <c r="G12" s="29"/>
      <c r="H12" s="30"/>
      <c r="I12" s="29"/>
      <c r="J12" s="30"/>
      <c r="K12" s="30"/>
      <c r="L12" s="29"/>
      <c r="M12" s="32" t="str">
        <f aca="false">IF(OR(C12="",L12=""),"",IF(C12=L12,"同一","変更"))</f>
        <v/>
      </c>
      <c r="N12" s="29"/>
      <c r="O12" s="30"/>
      <c r="P12" s="29"/>
      <c r="Q12" s="31"/>
      <c r="R12" s="29"/>
      <c r="S12" s="29"/>
      <c r="T12" s="30"/>
      <c r="U12" s="47" t="str">
        <f aca="false">IF(AND(B12&lt;&gt;"",B12=SW別シート!$C$3),COUNTIF(B$5:B12,B12),"")</f>
        <v/>
      </c>
      <c r="V12" s="47" t="n">
        <f aca="false">V11+IF(OR(O12&lt;&gt;"",W12&lt;&gt;""),1,0)</f>
        <v>3</v>
      </c>
      <c r="W12" s="29"/>
    </row>
    <row r="13" customFormat="false" ht="15" hidden="false" customHeight="false" outlineLevel="0" collapsed="false">
      <c r="A13" s="32" t="str">
        <f aca="false">IF(B13="","",ROW()-7)</f>
        <v/>
      </c>
      <c r="B13" s="30"/>
      <c r="C13" s="29"/>
      <c r="D13" s="29"/>
      <c r="E13" s="29"/>
      <c r="F13" s="30"/>
      <c r="G13" s="29"/>
      <c r="H13" s="30"/>
      <c r="I13" s="29"/>
      <c r="J13" s="30"/>
      <c r="K13" s="30"/>
      <c r="L13" s="29"/>
      <c r="M13" s="32" t="str">
        <f aca="false">IF(OR(C13="",L13=""),"",IF(C13=L13,"同一","変更"))</f>
        <v/>
      </c>
      <c r="N13" s="29"/>
      <c r="O13" s="30"/>
      <c r="P13" s="29"/>
      <c r="Q13" s="31"/>
      <c r="R13" s="29"/>
      <c r="S13" s="29"/>
      <c r="T13" s="30"/>
      <c r="U13" s="47" t="str">
        <f aca="false">IF(AND(B13&lt;&gt;"",B13=SW別シート!$C$3),COUNTIF(B$5:B13,B13),"")</f>
        <v/>
      </c>
      <c r="V13" s="47" t="n">
        <f aca="false">V12+IF(OR(O13&lt;&gt;"",W13&lt;&gt;""),1,0)</f>
        <v>3</v>
      </c>
      <c r="W13" s="29"/>
    </row>
    <row r="14" customFormat="false" ht="15" hidden="false" customHeight="false" outlineLevel="0" collapsed="false">
      <c r="A14" s="32" t="str">
        <f aca="false">IF(B14="","",ROW()-7)</f>
        <v/>
      </c>
      <c r="B14" s="30"/>
      <c r="C14" s="29"/>
      <c r="D14" s="29"/>
      <c r="E14" s="29"/>
      <c r="F14" s="30"/>
      <c r="G14" s="29"/>
      <c r="H14" s="30"/>
      <c r="I14" s="29"/>
      <c r="J14" s="30"/>
      <c r="K14" s="30"/>
      <c r="L14" s="29"/>
      <c r="M14" s="32" t="str">
        <f aca="false">IF(OR(C14="",L14=""),"",IF(C14=L14,"同一","変更"))</f>
        <v/>
      </c>
      <c r="N14" s="29"/>
      <c r="O14" s="30"/>
      <c r="P14" s="29"/>
      <c r="Q14" s="31"/>
      <c r="R14" s="29"/>
      <c r="S14" s="29"/>
      <c r="T14" s="30"/>
      <c r="U14" s="47" t="str">
        <f aca="false">IF(AND(B14&lt;&gt;"",B14=SW別シート!$C$3),COUNTIF(B$5:B14,B14),"")</f>
        <v/>
      </c>
      <c r="V14" s="47" t="n">
        <f aca="false">V13+IF(OR(O14&lt;&gt;"",W14&lt;&gt;""),1,0)</f>
        <v>3</v>
      </c>
      <c r="W14" s="29"/>
    </row>
    <row r="15" customFormat="false" ht="15" hidden="false" customHeight="false" outlineLevel="0" collapsed="false">
      <c r="A15" s="32" t="str">
        <f aca="false">IF(B15="","",ROW()-7)</f>
        <v/>
      </c>
      <c r="B15" s="30"/>
      <c r="C15" s="29"/>
      <c r="D15" s="29"/>
      <c r="E15" s="29"/>
      <c r="F15" s="30"/>
      <c r="G15" s="29"/>
      <c r="H15" s="30"/>
      <c r="I15" s="29"/>
      <c r="J15" s="30"/>
      <c r="K15" s="30"/>
      <c r="L15" s="29"/>
      <c r="M15" s="32" t="str">
        <f aca="false">IF(OR(C15="",L15=""),"",IF(C15=L15,"同一","変更"))</f>
        <v/>
      </c>
      <c r="N15" s="29"/>
      <c r="O15" s="30"/>
      <c r="P15" s="29"/>
      <c r="Q15" s="31"/>
      <c r="R15" s="29"/>
      <c r="S15" s="29"/>
      <c r="T15" s="30"/>
      <c r="U15" s="47" t="str">
        <f aca="false">IF(AND(B15&lt;&gt;"",B15=SW別シート!$C$3),COUNTIF(B$5:B15,B15),"")</f>
        <v/>
      </c>
      <c r="V15" s="47" t="n">
        <f aca="false">V14+IF(OR(O15&lt;&gt;"",W15&lt;&gt;""),1,0)</f>
        <v>3</v>
      </c>
      <c r="W15" s="29"/>
    </row>
    <row r="16" customFormat="false" ht="15" hidden="false" customHeight="false" outlineLevel="0" collapsed="false">
      <c r="A16" s="32" t="str">
        <f aca="false">IF(B16="","",ROW()-7)</f>
        <v/>
      </c>
      <c r="B16" s="30"/>
      <c r="C16" s="29"/>
      <c r="D16" s="29"/>
      <c r="E16" s="29"/>
      <c r="F16" s="30"/>
      <c r="G16" s="29"/>
      <c r="H16" s="30"/>
      <c r="I16" s="29"/>
      <c r="J16" s="30"/>
      <c r="K16" s="30"/>
      <c r="L16" s="29"/>
      <c r="M16" s="32" t="str">
        <f aca="false">IF(OR(C16="",L16=""),"",IF(C16=L16,"同一","変更"))</f>
        <v/>
      </c>
      <c r="N16" s="29"/>
      <c r="O16" s="30"/>
      <c r="P16" s="29"/>
      <c r="Q16" s="31"/>
      <c r="R16" s="29"/>
      <c r="S16" s="29"/>
      <c r="T16" s="30"/>
      <c r="U16" s="47" t="str">
        <f aca="false">IF(AND(B16&lt;&gt;"",B16=SW別シート!$C$3),COUNTIF(B$5:B16,B16),"")</f>
        <v/>
      </c>
      <c r="V16" s="47" t="n">
        <f aca="false">V15+IF(OR(O16&lt;&gt;"",W16&lt;&gt;""),1,0)</f>
        <v>3</v>
      </c>
      <c r="W16" s="29"/>
    </row>
    <row r="17" customFormat="false" ht="15" hidden="false" customHeight="false" outlineLevel="0" collapsed="false">
      <c r="A17" s="32" t="str">
        <f aca="false">IF(B17="","",ROW()-7)</f>
        <v/>
      </c>
      <c r="B17" s="30"/>
      <c r="C17" s="29"/>
      <c r="D17" s="29"/>
      <c r="E17" s="29"/>
      <c r="F17" s="30"/>
      <c r="G17" s="29"/>
      <c r="H17" s="30"/>
      <c r="I17" s="29"/>
      <c r="J17" s="30"/>
      <c r="K17" s="30"/>
      <c r="L17" s="29"/>
      <c r="M17" s="32" t="str">
        <f aca="false">IF(OR(C17="",L17=""),"",IF(C17=L17,"同一","変更"))</f>
        <v/>
      </c>
      <c r="N17" s="29"/>
      <c r="O17" s="30"/>
      <c r="P17" s="29"/>
      <c r="Q17" s="31"/>
      <c r="R17" s="29"/>
      <c r="S17" s="29"/>
      <c r="T17" s="30"/>
      <c r="U17" s="47" t="str">
        <f aca="false">IF(AND(B17&lt;&gt;"",B17=SW別シート!$C$3),COUNTIF(B$5:B17,B17),"")</f>
        <v/>
      </c>
      <c r="V17" s="47" t="n">
        <f aca="false">V16+IF(OR(O17&lt;&gt;"",W17&lt;&gt;""),1,0)</f>
        <v>3</v>
      </c>
      <c r="W17" s="29"/>
    </row>
    <row r="18" customFormat="false" ht="15" hidden="false" customHeight="false" outlineLevel="0" collapsed="false">
      <c r="A18" s="32" t="str">
        <f aca="false">IF(B18="","",ROW()-7)</f>
        <v/>
      </c>
      <c r="B18" s="30"/>
      <c r="C18" s="29"/>
      <c r="D18" s="29"/>
      <c r="E18" s="29"/>
      <c r="F18" s="30"/>
      <c r="G18" s="29"/>
      <c r="H18" s="30"/>
      <c r="I18" s="29"/>
      <c r="J18" s="30"/>
      <c r="K18" s="30"/>
      <c r="L18" s="29"/>
      <c r="M18" s="32" t="str">
        <f aca="false">IF(OR(C18="",L18=""),"",IF(C18=L18,"同一","変更"))</f>
        <v/>
      </c>
      <c r="N18" s="29"/>
      <c r="O18" s="30"/>
      <c r="P18" s="29"/>
      <c r="Q18" s="31"/>
      <c r="R18" s="29"/>
      <c r="S18" s="29"/>
      <c r="T18" s="30"/>
      <c r="U18" s="47" t="str">
        <f aca="false">IF(AND(B18&lt;&gt;"",B18=SW別シート!$C$3),COUNTIF(B$5:B18,B18),"")</f>
        <v/>
      </c>
      <c r="V18" s="47" t="n">
        <f aca="false">V17+IF(OR(O18&lt;&gt;"",W18&lt;&gt;""),1,0)</f>
        <v>3</v>
      </c>
      <c r="W18" s="29"/>
    </row>
    <row r="19" customFormat="false" ht="15" hidden="false" customHeight="false" outlineLevel="0" collapsed="false">
      <c r="A19" s="32" t="str">
        <f aca="false">IF(B19="","",ROW()-7)</f>
        <v/>
      </c>
      <c r="B19" s="30"/>
      <c r="C19" s="29"/>
      <c r="D19" s="29"/>
      <c r="E19" s="29"/>
      <c r="F19" s="30"/>
      <c r="G19" s="29"/>
      <c r="H19" s="30"/>
      <c r="I19" s="29"/>
      <c r="J19" s="30"/>
      <c r="K19" s="30"/>
      <c r="L19" s="29"/>
      <c r="M19" s="32" t="str">
        <f aca="false">IF(OR(C19="",L19=""),"",IF(C19=L19,"同一","変更"))</f>
        <v/>
      </c>
      <c r="N19" s="29"/>
      <c r="O19" s="30"/>
      <c r="P19" s="29"/>
      <c r="Q19" s="31"/>
      <c r="R19" s="29"/>
      <c r="S19" s="29"/>
      <c r="T19" s="30"/>
      <c r="U19" s="47" t="str">
        <f aca="false">IF(AND(B19&lt;&gt;"",B19=SW別シート!$C$3),COUNTIF(B$5:B19,B19),"")</f>
        <v/>
      </c>
      <c r="V19" s="47" t="n">
        <f aca="false">V18+IF(OR(O19&lt;&gt;"",W19&lt;&gt;""),1,0)</f>
        <v>3</v>
      </c>
      <c r="W19" s="29"/>
    </row>
    <row r="20" customFormat="false" ht="15" hidden="false" customHeight="false" outlineLevel="0" collapsed="false">
      <c r="A20" s="32" t="str">
        <f aca="false">IF(B20="","",ROW()-7)</f>
        <v/>
      </c>
      <c r="B20" s="30"/>
      <c r="C20" s="29"/>
      <c r="D20" s="29"/>
      <c r="E20" s="29"/>
      <c r="F20" s="30"/>
      <c r="G20" s="29"/>
      <c r="H20" s="30"/>
      <c r="I20" s="29"/>
      <c r="J20" s="30"/>
      <c r="K20" s="30"/>
      <c r="L20" s="29"/>
      <c r="M20" s="32" t="str">
        <f aca="false">IF(OR(C20="",L20=""),"",IF(C20=L20,"同一","変更"))</f>
        <v/>
      </c>
      <c r="N20" s="29"/>
      <c r="O20" s="30"/>
      <c r="P20" s="29"/>
      <c r="Q20" s="31"/>
      <c r="R20" s="29"/>
      <c r="S20" s="29"/>
      <c r="T20" s="30"/>
      <c r="U20" s="47" t="str">
        <f aca="false">IF(AND(B20&lt;&gt;"",B20=SW別シート!$C$3),COUNTIF(B$5:B20,B20),"")</f>
        <v/>
      </c>
      <c r="V20" s="47" t="n">
        <f aca="false">V19+IF(OR(O20&lt;&gt;"",W20&lt;&gt;""),1,0)</f>
        <v>3</v>
      </c>
      <c r="W20" s="29"/>
    </row>
    <row r="21" customFormat="false" ht="15" hidden="false" customHeight="false" outlineLevel="0" collapsed="false">
      <c r="A21" s="32" t="str">
        <f aca="false">IF(B21="","",ROW()-7)</f>
        <v/>
      </c>
      <c r="B21" s="30"/>
      <c r="C21" s="29"/>
      <c r="D21" s="29"/>
      <c r="E21" s="29"/>
      <c r="F21" s="30"/>
      <c r="G21" s="29"/>
      <c r="H21" s="30"/>
      <c r="I21" s="29"/>
      <c r="J21" s="30"/>
      <c r="K21" s="30"/>
      <c r="L21" s="29"/>
      <c r="M21" s="32" t="str">
        <f aca="false">IF(OR(C21="",L21=""),"",IF(C21=L21,"同一","変更"))</f>
        <v/>
      </c>
      <c r="N21" s="29"/>
      <c r="O21" s="30"/>
      <c r="P21" s="29"/>
      <c r="Q21" s="31"/>
      <c r="R21" s="29"/>
      <c r="S21" s="29"/>
      <c r="T21" s="30"/>
      <c r="U21" s="47" t="str">
        <f aca="false">IF(AND(B21&lt;&gt;"",B21=SW別シート!$C$3),COUNTIF(B$5:B21,B21),"")</f>
        <v/>
      </c>
      <c r="V21" s="47" t="n">
        <f aca="false">V20+IF(OR(O21&lt;&gt;"",W21&lt;&gt;""),1,0)</f>
        <v>3</v>
      </c>
      <c r="W21" s="29"/>
    </row>
    <row r="22" customFormat="false" ht="15" hidden="false" customHeight="false" outlineLevel="0" collapsed="false">
      <c r="A22" s="32" t="str">
        <f aca="false">IF(B22="","",ROW()-7)</f>
        <v/>
      </c>
      <c r="B22" s="30"/>
      <c r="C22" s="29"/>
      <c r="D22" s="29"/>
      <c r="E22" s="29"/>
      <c r="F22" s="30"/>
      <c r="G22" s="29"/>
      <c r="H22" s="30"/>
      <c r="I22" s="29"/>
      <c r="J22" s="30"/>
      <c r="K22" s="30"/>
      <c r="L22" s="29"/>
      <c r="M22" s="32" t="str">
        <f aca="false">IF(OR(C22="",L22=""),"",IF(C22=L22,"同一","変更"))</f>
        <v/>
      </c>
      <c r="N22" s="29"/>
      <c r="O22" s="30"/>
      <c r="P22" s="29"/>
      <c r="Q22" s="31"/>
      <c r="R22" s="29"/>
      <c r="S22" s="29"/>
      <c r="T22" s="30"/>
      <c r="U22" s="47" t="str">
        <f aca="false">IF(AND(B22&lt;&gt;"",B22=SW別シート!$C$3),COUNTIF(B$5:B22,B22),"")</f>
        <v/>
      </c>
      <c r="V22" s="47" t="n">
        <f aca="false">V21+IF(OR(O22&lt;&gt;"",W22&lt;&gt;""),1,0)</f>
        <v>3</v>
      </c>
      <c r="W22" s="29"/>
    </row>
    <row r="23" customFormat="false" ht="15" hidden="false" customHeight="false" outlineLevel="0" collapsed="false">
      <c r="A23" s="32" t="str">
        <f aca="false">IF(B23="","",ROW()-7)</f>
        <v/>
      </c>
      <c r="B23" s="30"/>
      <c r="C23" s="29"/>
      <c r="D23" s="29"/>
      <c r="E23" s="29"/>
      <c r="F23" s="30"/>
      <c r="G23" s="29"/>
      <c r="H23" s="30"/>
      <c r="I23" s="29"/>
      <c r="J23" s="30"/>
      <c r="K23" s="30"/>
      <c r="L23" s="29"/>
      <c r="M23" s="32" t="str">
        <f aca="false">IF(OR(C23="",L23=""),"",IF(C23=L23,"同一","変更"))</f>
        <v/>
      </c>
      <c r="N23" s="29"/>
      <c r="O23" s="30"/>
      <c r="P23" s="29"/>
      <c r="Q23" s="31"/>
      <c r="R23" s="29"/>
      <c r="S23" s="29"/>
      <c r="T23" s="30"/>
      <c r="U23" s="47" t="str">
        <f aca="false">IF(AND(B23&lt;&gt;"",B23=SW別シート!$C$3),COUNTIF(B$5:B23,B23),"")</f>
        <v/>
      </c>
      <c r="V23" s="47" t="n">
        <f aca="false">V22+IF(OR(O23&lt;&gt;"",W23&lt;&gt;""),1,0)</f>
        <v>3</v>
      </c>
      <c r="W23" s="29"/>
    </row>
    <row r="24" customFormat="false" ht="15" hidden="false" customHeight="false" outlineLevel="0" collapsed="false">
      <c r="A24" s="32" t="str">
        <f aca="false">IF(B24="","",ROW()-7)</f>
        <v/>
      </c>
      <c r="B24" s="30"/>
      <c r="C24" s="29"/>
      <c r="D24" s="29"/>
      <c r="E24" s="29"/>
      <c r="F24" s="30"/>
      <c r="G24" s="29"/>
      <c r="H24" s="30"/>
      <c r="I24" s="29"/>
      <c r="J24" s="30"/>
      <c r="K24" s="30"/>
      <c r="L24" s="29"/>
      <c r="M24" s="32" t="str">
        <f aca="false">IF(OR(C24="",L24=""),"",IF(C24=L24,"同一","変更"))</f>
        <v/>
      </c>
      <c r="N24" s="29"/>
      <c r="O24" s="30"/>
      <c r="P24" s="29"/>
      <c r="Q24" s="31"/>
      <c r="R24" s="29"/>
      <c r="S24" s="29"/>
      <c r="T24" s="30"/>
      <c r="U24" s="47" t="str">
        <f aca="false">IF(AND(B24&lt;&gt;"",B24=SW別シート!$C$3),COUNTIF(B$5:B24,B24),"")</f>
        <v/>
      </c>
      <c r="V24" s="47" t="n">
        <f aca="false">V23+IF(OR(O24&lt;&gt;"",W24&lt;&gt;""),1,0)</f>
        <v>3</v>
      </c>
      <c r="W24" s="29"/>
    </row>
    <row r="25" customFormat="false" ht="15" hidden="false" customHeight="false" outlineLevel="0" collapsed="false">
      <c r="A25" s="32" t="str">
        <f aca="false">IF(B25="","",ROW()-7)</f>
        <v/>
      </c>
      <c r="B25" s="30"/>
      <c r="C25" s="29"/>
      <c r="D25" s="29"/>
      <c r="E25" s="29"/>
      <c r="F25" s="30"/>
      <c r="G25" s="29"/>
      <c r="H25" s="30"/>
      <c r="I25" s="29"/>
      <c r="J25" s="30"/>
      <c r="K25" s="30"/>
      <c r="L25" s="29"/>
      <c r="M25" s="32" t="str">
        <f aca="false">IF(OR(C25="",L25=""),"",IF(C25=L25,"同一","変更"))</f>
        <v/>
      </c>
      <c r="N25" s="29"/>
      <c r="O25" s="30"/>
      <c r="P25" s="29"/>
      <c r="Q25" s="31"/>
      <c r="R25" s="29"/>
      <c r="S25" s="29"/>
      <c r="T25" s="30"/>
      <c r="U25" s="47" t="str">
        <f aca="false">IF(AND(B25&lt;&gt;"",B25=SW別シート!$C$3),COUNTIF(B$5:B25,B25),"")</f>
        <v/>
      </c>
      <c r="V25" s="47" t="n">
        <f aca="false">V24+IF(OR(O25&lt;&gt;"",W25&lt;&gt;""),1,0)</f>
        <v>3</v>
      </c>
      <c r="W25" s="29"/>
    </row>
    <row r="26" customFormat="false" ht="15" hidden="false" customHeight="false" outlineLevel="0" collapsed="false">
      <c r="A26" s="32" t="str">
        <f aca="false">IF(B26="","",ROW()-7)</f>
        <v/>
      </c>
      <c r="B26" s="30"/>
      <c r="C26" s="29"/>
      <c r="D26" s="29"/>
      <c r="E26" s="29"/>
      <c r="F26" s="30"/>
      <c r="G26" s="29"/>
      <c r="H26" s="30"/>
      <c r="I26" s="29"/>
      <c r="J26" s="30"/>
      <c r="K26" s="30"/>
      <c r="L26" s="29"/>
      <c r="M26" s="32" t="str">
        <f aca="false">IF(OR(C26="",L26=""),"",IF(C26=L26,"同一","変更"))</f>
        <v/>
      </c>
      <c r="N26" s="29"/>
      <c r="O26" s="30"/>
      <c r="P26" s="29"/>
      <c r="Q26" s="31"/>
      <c r="R26" s="29"/>
      <c r="S26" s="29"/>
      <c r="T26" s="30"/>
      <c r="U26" s="47" t="str">
        <f aca="false">IF(AND(B26&lt;&gt;"",B26=SW別シート!$C$3),COUNTIF(B$5:B26,B26),"")</f>
        <v/>
      </c>
      <c r="V26" s="47" t="n">
        <f aca="false">V25+IF(OR(O26&lt;&gt;"",W26&lt;&gt;""),1,0)</f>
        <v>3</v>
      </c>
      <c r="W26" s="29"/>
    </row>
    <row r="27" customFormat="false" ht="15" hidden="false" customHeight="false" outlineLevel="0" collapsed="false">
      <c r="A27" s="32" t="str">
        <f aca="false">IF(B27="","",ROW()-7)</f>
        <v/>
      </c>
      <c r="B27" s="30"/>
      <c r="C27" s="29"/>
      <c r="D27" s="29"/>
      <c r="E27" s="29"/>
      <c r="F27" s="30"/>
      <c r="G27" s="29"/>
      <c r="H27" s="30"/>
      <c r="I27" s="29"/>
      <c r="J27" s="30"/>
      <c r="K27" s="30"/>
      <c r="L27" s="29"/>
      <c r="M27" s="32" t="str">
        <f aca="false">IF(OR(C27="",L27=""),"",IF(C27=L27,"同一","変更"))</f>
        <v/>
      </c>
      <c r="N27" s="29"/>
      <c r="O27" s="30"/>
      <c r="P27" s="29"/>
      <c r="Q27" s="31"/>
      <c r="R27" s="29"/>
      <c r="S27" s="29"/>
      <c r="T27" s="30"/>
      <c r="U27" s="47" t="str">
        <f aca="false">IF(AND(B27&lt;&gt;"",B27=SW別シート!$C$3),COUNTIF(B$5:B27,B27),"")</f>
        <v/>
      </c>
      <c r="V27" s="47" t="n">
        <f aca="false">V26+IF(OR(O27&lt;&gt;"",W27&lt;&gt;""),1,0)</f>
        <v>3</v>
      </c>
      <c r="W27" s="29"/>
    </row>
    <row r="28" customFormat="false" ht="15" hidden="false" customHeight="false" outlineLevel="0" collapsed="false">
      <c r="A28" s="32" t="str">
        <f aca="false">IF(B28="","",ROW()-7)</f>
        <v/>
      </c>
      <c r="B28" s="30"/>
      <c r="C28" s="29"/>
      <c r="D28" s="29"/>
      <c r="E28" s="29"/>
      <c r="F28" s="30"/>
      <c r="G28" s="29"/>
      <c r="H28" s="30"/>
      <c r="I28" s="29"/>
      <c r="J28" s="30"/>
      <c r="K28" s="30"/>
      <c r="L28" s="29"/>
      <c r="M28" s="32" t="str">
        <f aca="false">IF(OR(C28="",L28=""),"",IF(C28=L28,"同一","変更"))</f>
        <v/>
      </c>
      <c r="N28" s="29"/>
      <c r="O28" s="30"/>
      <c r="P28" s="29"/>
      <c r="Q28" s="31"/>
      <c r="R28" s="29"/>
      <c r="S28" s="29"/>
      <c r="T28" s="30"/>
      <c r="U28" s="47" t="str">
        <f aca="false">IF(AND(B28&lt;&gt;"",B28=SW別シート!$C$3),COUNTIF(B$5:B28,B28),"")</f>
        <v/>
      </c>
      <c r="V28" s="47" t="n">
        <f aca="false">V27+IF(OR(O28&lt;&gt;"",W28&lt;&gt;""),1,0)</f>
        <v>3</v>
      </c>
      <c r="W28" s="29"/>
    </row>
    <row r="29" customFormat="false" ht="15" hidden="false" customHeight="false" outlineLevel="0" collapsed="false">
      <c r="A29" s="32" t="str">
        <f aca="false">IF(B29="","",ROW()-7)</f>
        <v/>
      </c>
      <c r="B29" s="30"/>
      <c r="C29" s="29"/>
      <c r="D29" s="29"/>
      <c r="E29" s="29"/>
      <c r="F29" s="30"/>
      <c r="G29" s="29"/>
      <c r="H29" s="30"/>
      <c r="I29" s="29"/>
      <c r="J29" s="30"/>
      <c r="K29" s="30"/>
      <c r="L29" s="29"/>
      <c r="M29" s="32" t="str">
        <f aca="false">IF(OR(C29="",L29=""),"",IF(C29=L29,"同一","変更"))</f>
        <v/>
      </c>
      <c r="N29" s="29"/>
      <c r="O29" s="30"/>
      <c r="P29" s="29"/>
      <c r="Q29" s="31"/>
      <c r="R29" s="29"/>
      <c r="S29" s="29"/>
      <c r="T29" s="30"/>
      <c r="U29" s="47" t="str">
        <f aca="false">IF(AND(B29&lt;&gt;"",B29=SW別シート!$C$3),COUNTIF(B$5:B29,B29),"")</f>
        <v/>
      </c>
      <c r="V29" s="47" t="n">
        <f aca="false">V28+IF(OR(O29&lt;&gt;"",W29&lt;&gt;""),1,0)</f>
        <v>3</v>
      </c>
      <c r="W29" s="29"/>
    </row>
    <row r="30" customFormat="false" ht="15" hidden="false" customHeight="false" outlineLevel="0" collapsed="false">
      <c r="A30" s="32" t="str">
        <f aca="false">IF(B30="","",ROW()-7)</f>
        <v/>
      </c>
      <c r="B30" s="30"/>
      <c r="C30" s="29"/>
      <c r="D30" s="29"/>
      <c r="E30" s="29"/>
      <c r="F30" s="30"/>
      <c r="G30" s="29"/>
      <c r="H30" s="30"/>
      <c r="I30" s="29"/>
      <c r="J30" s="30"/>
      <c r="K30" s="30"/>
      <c r="L30" s="29"/>
      <c r="M30" s="32" t="str">
        <f aca="false">IF(OR(C30="",L30=""),"",IF(C30=L30,"同一","変更"))</f>
        <v/>
      </c>
      <c r="N30" s="29"/>
      <c r="O30" s="30"/>
      <c r="P30" s="29"/>
      <c r="Q30" s="31"/>
      <c r="R30" s="29"/>
      <c r="S30" s="29"/>
      <c r="T30" s="30"/>
      <c r="U30" s="47" t="str">
        <f aca="false">IF(AND(B30&lt;&gt;"",B30=SW別シート!$C$3),COUNTIF(B$5:B30,B30),"")</f>
        <v/>
      </c>
      <c r="V30" s="47" t="n">
        <f aca="false">V29+IF(OR(O30&lt;&gt;"",W30&lt;&gt;""),1,0)</f>
        <v>3</v>
      </c>
      <c r="W30" s="29"/>
    </row>
    <row r="31" customFormat="false" ht="15" hidden="false" customHeight="false" outlineLevel="0" collapsed="false">
      <c r="A31" s="32" t="str">
        <f aca="false">IF(B31="","",ROW()-7)</f>
        <v/>
      </c>
      <c r="B31" s="30"/>
      <c r="C31" s="29"/>
      <c r="D31" s="29"/>
      <c r="E31" s="29"/>
      <c r="F31" s="30"/>
      <c r="G31" s="29"/>
      <c r="H31" s="30"/>
      <c r="I31" s="29"/>
      <c r="J31" s="30"/>
      <c r="K31" s="30"/>
      <c r="L31" s="29"/>
      <c r="M31" s="32" t="str">
        <f aca="false">IF(OR(C31="",L31=""),"",IF(C31=L31,"同一","変更"))</f>
        <v/>
      </c>
      <c r="N31" s="29"/>
      <c r="O31" s="30"/>
      <c r="P31" s="29"/>
      <c r="Q31" s="31"/>
      <c r="R31" s="29"/>
      <c r="S31" s="29"/>
      <c r="T31" s="30"/>
      <c r="U31" s="47" t="str">
        <f aca="false">IF(AND(B31&lt;&gt;"",B31=SW別シート!$C$3),COUNTIF(B$5:B31,B31),"")</f>
        <v/>
      </c>
      <c r="V31" s="47" t="n">
        <f aca="false">V30+IF(OR(O31&lt;&gt;"",W31&lt;&gt;""),1,0)</f>
        <v>3</v>
      </c>
      <c r="W31" s="29"/>
    </row>
    <row r="32" customFormat="false" ht="15" hidden="false" customHeight="false" outlineLevel="0" collapsed="false">
      <c r="A32" s="32" t="str">
        <f aca="false">IF(B32="","",ROW()-7)</f>
        <v/>
      </c>
      <c r="B32" s="30"/>
      <c r="C32" s="29"/>
      <c r="D32" s="29"/>
      <c r="E32" s="29"/>
      <c r="F32" s="30"/>
      <c r="G32" s="29"/>
      <c r="H32" s="30"/>
      <c r="I32" s="29"/>
      <c r="J32" s="30"/>
      <c r="K32" s="30"/>
      <c r="L32" s="29"/>
      <c r="M32" s="32" t="str">
        <f aca="false">IF(OR(C32="",L32=""),"",IF(C32=L32,"同一","変更"))</f>
        <v/>
      </c>
      <c r="N32" s="29"/>
      <c r="O32" s="30"/>
      <c r="P32" s="29"/>
      <c r="Q32" s="31"/>
      <c r="R32" s="29"/>
      <c r="S32" s="29"/>
      <c r="T32" s="30"/>
      <c r="U32" s="47" t="str">
        <f aca="false">IF(AND(B32&lt;&gt;"",B32=SW別シート!$C$3),COUNTIF(B$5:B32,B32),"")</f>
        <v/>
      </c>
      <c r="V32" s="47" t="n">
        <f aca="false">V31+IF(OR(O32&lt;&gt;"",W32&lt;&gt;""),1,0)</f>
        <v>3</v>
      </c>
      <c r="W32" s="29"/>
    </row>
    <row r="33" customFormat="false" ht="15" hidden="false" customHeight="false" outlineLevel="0" collapsed="false">
      <c r="A33" s="32" t="str">
        <f aca="false">IF(B33="","",ROW()-7)</f>
        <v/>
      </c>
      <c r="B33" s="30"/>
      <c r="C33" s="29"/>
      <c r="D33" s="29"/>
      <c r="E33" s="29"/>
      <c r="F33" s="30"/>
      <c r="G33" s="29"/>
      <c r="H33" s="30"/>
      <c r="I33" s="29"/>
      <c r="J33" s="30"/>
      <c r="K33" s="30"/>
      <c r="L33" s="29"/>
      <c r="M33" s="32" t="str">
        <f aca="false">IF(OR(C33="",L33=""),"",IF(C33=L33,"同一","変更"))</f>
        <v/>
      </c>
      <c r="N33" s="29"/>
      <c r="O33" s="30"/>
      <c r="P33" s="29"/>
      <c r="Q33" s="31"/>
      <c r="R33" s="29"/>
      <c r="S33" s="29"/>
      <c r="T33" s="30"/>
      <c r="U33" s="47" t="str">
        <f aca="false">IF(AND(B33&lt;&gt;"",B33=SW別シート!$C$3),COUNTIF(B$5:B33,B33),"")</f>
        <v/>
      </c>
      <c r="V33" s="47" t="n">
        <f aca="false">V32+IF(OR(O33&lt;&gt;"",W33&lt;&gt;""),1,0)</f>
        <v>3</v>
      </c>
      <c r="W33" s="29"/>
    </row>
    <row r="34" customFormat="false" ht="15" hidden="false" customHeight="false" outlineLevel="0" collapsed="false">
      <c r="A34" s="32" t="str">
        <f aca="false">IF(B34="","",ROW()-7)</f>
        <v/>
      </c>
      <c r="B34" s="30"/>
      <c r="C34" s="29"/>
      <c r="D34" s="29"/>
      <c r="E34" s="29"/>
      <c r="F34" s="30"/>
      <c r="G34" s="29"/>
      <c r="H34" s="30"/>
      <c r="I34" s="29"/>
      <c r="J34" s="30"/>
      <c r="K34" s="30"/>
      <c r="L34" s="29"/>
      <c r="M34" s="32" t="str">
        <f aca="false">IF(OR(C34="",L34=""),"",IF(C34=L34,"同一","変更"))</f>
        <v/>
      </c>
      <c r="N34" s="29"/>
      <c r="O34" s="30"/>
      <c r="P34" s="29"/>
      <c r="Q34" s="31"/>
      <c r="R34" s="29"/>
      <c r="S34" s="29"/>
      <c r="T34" s="30"/>
      <c r="U34" s="47" t="str">
        <f aca="false">IF(AND(B34&lt;&gt;"",B34=SW別シート!$C$3),COUNTIF(B$5:B34,B34),"")</f>
        <v/>
      </c>
      <c r="V34" s="47" t="n">
        <f aca="false">V33+IF(OR(O34&lt;&gt;"",W34&lt;&gt;""),1,0)</f>
        <v>3</v>
      </c>
      <c r="W34" s="29"/>
    </row>
    <row r="35" customFormat="false" ht="15" hidden="false" customHeight="false" outlineLevel="0" collapsed="false">
      <c r="A35" s="32" t="str">
        <f aca="false">IF(B35="","",ROW()-7)</f>
        <v/>
      </c>
      <c r="B35" s="30"/>
      <c r="C35" s="29"/>
      <c r="D35" s="29"/>
      <c r="E35" s="29"/>
      <c r="F35" s="30"/>
      <c r="G35" s="29"/>
      <c r="H35" s="30"/>
      <c r="I35" s="29"/>
      <c r="J35" s="30"/>
      <c r="K35" s="30"/>
      <c r="L35" s="29"/>
      <c r="M35" s="32" t="str">
        <f aca="false">IF(OR(C35="",L35=""),"",IF(C35=L35,"同一","変更"))</f>
        <v/>
      </c>
      <c r="N35" s="29"/>
      <c r="O35" s="30"/>
      <c r="P35" s="29"/>
      <c r="Q35" s="31"/>
      <c r="R35" s="29"/>
      <c r="S35" s="29"/>
      <c r="T35" s="30"/>
      <c r="U35" s="47" t="str">
        <f aca="false">IF(AND(B35&lt;&gt;"",B35=SW別シート!$C$3),COUNTIF(B$5:B35,B35),"")</f>
        <v/>
      </c>
      <c r="V35" s="47" t="n">
        <f aca="false">V34+IF(OR(O35&lt;&gt;"",W35&lt;&gt;""),1,0)</f>
        <v>3</v>
      </c>
      <c r="W35" s="29"/>
    </row>
    <row r="36" customFormat="false" ht="15" hidden="false" customHeight="false" outlineLevel="0" collapsed="false">
      <c r="A36" s="32" t="str">
        <f aca="false">IF(B36="","",ROW()-7)</f>
        <v/>
      </c>
      <c r="B36" s="30"/>
      <c r="C36" s="29"/>
      <c r="D36" s="29"/>
      <c r="E36" s="29"/>
      <c r="F36" s="30"/>
      <c r="G36" s="29"/>
      <c r="H36" s="30"/>
      <c r="I36" s="29"/>
      <c r="J36" s="30"/>
      <c r="K36" s="30"/>
      <c r="L36" s="29"/>
      <c r="M36" s="32" t="str">
        <f aca="false">IF(OR(C36="",L36=""),"",IF(C36=L36,"同一","変更"))</f>
        <v/>
      </c>
      <c r="N36" s="29"/>
      <c r="O36" s="30"/>
      <c r="P36" s="29"/>
      <c r="Q36" s="31"/>
      <c r="R36" s="29"/>
      <c r="S36" s="29"/>
      <c r="T36" s="30"/>
      <c r="U36" s="47" t="str">
        <f aca="false">IF(AND(B36&lt;&gt;"",B36=SW別シート!$C$3),COUNTIF(B$5:B36,B36),"")</f>
        <v/>
      </c>
      <c r="V36" s="47" t="n">
        <f aca="false">V35+IF(OR(O36&lt;&gt;"",W36&lt;&gt;""),1,0)</f>
        <v>3</v>
      </c>
      <c r="W36" s="29"/>
    </row>
    <row r="37" customFormat="false" ht="15" hidden="false" customHeight="false" outlineLevel="0" collapsed="false">
      <c r="A37" s="32" t="str">
        <f aca="false">IF(B37="","",ROW()-7)</f>
        <v/>
      </c>
      <c r="B37" s="30"/>
      <c r="C37" s="29"/>
      <c r="D37" s="29"/>
      <c r="E37" s="29"/>
      <c r="F37" s="30"/>
      <c r="G37" s="29"/>
      <c r="H37" s="30"/>
      <c r="I37" s="29"/>
      <c r="J37" s="30"/>
      <c r="K37" s="30"/>
      <c r="L37" s="29"/>
      <c r="M37" s="32" t="str">
        <f aca="false">IF(OR(C37="",L37=""),"",IF(C37=L37,"同一","変更"))</f>
        <v/>
      </c>
      <c r="N37" s="29"/>
      <c r="O37" s="30"/>
      <c r="P37" s="29"/>
      <c r="Q37" s="31"/>
      <c r="R37" s="29"/>
      <c r="S37" s="29"/>
      <c r="T37" s="30"/>
      <c r="U37" s="47" t="str">
        <f aca="false">IF(AND(B37&lt;&gt;"",B37=SW別シート!$C$3),COUNTIF(B$5:B37,B37),"")</f>
        <v/>
      </c>
      <c r="V37" s="47" t="n">
        <f aca="false">V36+IF(OR(O37&lt;&gt;"",W37&lt;&gt;""),1,0)</f>
        <v>3</v>
      </c>
      <c r="W37" s="29"/>
    </row>
    <row r="38" customFormat="false" ht="15" hidden="false" customHeight="false" outlineLevel="0" collapsed="false">
      <c r="A38" s="32" t="str">
        <f aca="false">IF(B38="","",ROW()-7)</f>
        <v/>
      </c>
      <c r="B38" s="30"/>
      <c r="C38" s="29"/>
      <c r="D38" s="29"/>
      <c r="E38" s="29"/>
      <c r="F38" s="30"/>
      <c r="G38" s="29"/>
      <c r="H38" s="30"/>
      <c r="I38" s="29"/>
      <c r="J38" s="30"/>
      <c r="K38" s="30"/>
      <c r="L38" s="29"/>
      <c r="M38" s="32" t="str">
        <f aca="false">IF(OR(C38="",L38=""),"",IF(C38=L38,"同一","変更"))</f>
        <v/>
      </c>
      <c r="N38" s="29"/>
      <c r="O38" s="30"/>
      <c r="P38" s="29"/>
      <c r="Q38" s="31"/>
      <c r="R38" s="29"/>
      <c r="S38" s="29"/>
      <c r="T38" s="30"/>
      <c r="U38" s="47" t="str">
        <f aca="false">IF(AND(B38&lt;&gt;"",B38=SW別シート!$C$3),COUNTIF(B$5:B38,B38),"")</f>
        <v/>
      </c>
      <c r="V38" s="47" t="n">
        <f aca="false">V37+IF(OR(O38&lt;&gt;"",W38&lt;&gt;""),1,0)</f>
        <v>3</v>
      </c>
      <c r="W38" s="29"/>
    </row>
    <row r="39" customFormat="false" ht="15" hidden="false" customHeight="false" outlineLevel="0" collapsed="false">
      <c r="A39" s="32" t="str">
        <f aca="false">IF(B39="","",ROW()-7)</f>
        <v/>
      </c>
      <c r="B39" s="30"/>
      <c r="C39" s="29"/>
      <c r="D39" s="29"/>
      <c r="E39" s="29"/>
      <c r="F39" s="30"/>
      <c r="G39" s="29"/>
      <c r="H39" s="30"/>
      <c r="I39" s="29"/>
      <c r="J39" s="30"/>
      <c r="K39" s="30"/>
      <c r="L39" s="29"/>
      <c r="M39" s="32" t="str">
        <f aca="false">IF(OR(C39="",L39=""),"",IF(C39=L39,"同一","変更"))</f>
        <v/>
      </c>
      <c r="N39" s="29"/>
      <c r="O39" s="30"/>
      <c r="P39" s="29"/>
      <c r="Q39" s="31"/>
      <c r="R39" s="29"/>
      <c r="S39" s="29"/>
      <c r="T39" s="30"/>
      <c r="U39" s="47" t="str">
        <f aca="false">IF(AND(B39&lt;&gt;"",B39=SW別シート!$C$3),COUNTIF(B$5:B39,B39),"")</f>
        <v/>
      </c>
      <c r="V39" s="47" t="n">
        <f aca="false">V38+IF(OR(O39&lt;&gt;"",W39&lt;&gt;""),1,0)</f>
        <v>3</v>
      </c>
      <c r="W39" s="29"/>
    </row>
    <row r="40" customFormat="false" ht="15" hidden="false" customHeight="false" outlineLevel="0" collapsed="false">
      <c r="A40" s="32" t="str">
        <f aca="false">IF(B40="","",ROW()-7)</f>
        <v/>
      </c>
      <c r="B40" s="30"/>
      <c r="C40" s="29"/>
      <c r="D40" s="29"/>
      <c r="E40" s="29"/>
      <c r="F40" s="30"/>
      <c r="G40" s="29"/>
      <c r="H40" s="30"/>
      <c r="I40" s="29"/>
      <c r="J40" s="30"/>
      <c r="K40" s="30"/>
      <c r="L40" s="29"/>
      <c r="M40" s="32" t="str">
        <f aca="false">IF(OR(C40="",L40=""),"",IF(C40=L40,"同一","変更"))</f>
        <v/>
      </c>
      <c r="N40" s="29"/>
      <c r="O40" s="30"/>
      <c r="P40" s="29"/>
      <c r="Q40" s="31"/>
      <c r="R40" s="29"/>
      <c r="S40" s="29"/>
      <c r="T40" s="30"/>
      <c r="U40" s="47" t="str">
        <f aca="false">IF(AND(B40&lt;&gt;"",B40=SW別シート!$C$3),COUNTIF(B$5:B40,B40),"")</f>
        <v/>
      </c>
      <c r="V40" s="47" t="n">
        <f aca="false">V39+IF(OR(O40&lt;&gt;"",W40&lt;&gt;""),1,0)</f>
        <v>3</v>
      </c>
      <c r="W40" s="29"/>
    </row>
    <row r="41" customFormat="false" ht="15" hidden="false" customHeight="false" outlineLevel="0" collapsed="false">
      <c r="A41" s="32" t="str">
        <f aca="false">IF(B41="","",ROW()-7)</f>
        <v/>
      </c>
      <c r="B41" s="30"/>
      <c r="C41" s="29"/>
      <c r="D41" s="29"/>
      <c r="E41" s="29"/>
      <c r="F41" s="30"/>
      <c r="G41" s="29"/>
      <c r="H41" s="30"/>
      <c r="I41" s="29"/>
      <c r="J41" s="30"/>
      <c r="K41" s="30"/>
      <c r="L41" s="29"/>
      <c r="M41" s="32" t="str">
        <f aca="false">IF(OR(C41="",L41=""),"",IF(C41=L41,"同一","変更"))</f>
        <v/>
      </c>
      <c r="N41" s="29"/>
      <c r="O41" s="30"/>
      <c r="P41" s="29"/>
      <c r="Q41" s="31"/>
      <c r="R41" s="29"/>
      <c r="S41" s="29"/>
      <c r="T41" s="30"/>
      <c r="U41" s="47" t="str">
        <f aca="false">IF(AND(B41&lt;&gt;"",B41=SW別シート!$C$3),COUNTIF(B$5:B41,B41),"")</f>
        <v/>
      </c>
      <c r="V41" s="47" t="n">
        <f aca="false">V40+IF(OR(O41&lt;&gt;"",W41&lt;&gt;""),1,0)</f>
        <v>3</v>
      </c>
      <c r="W41" s="29"/>
    </row>
    <row r="42" customFormat="false" ht="15" hidden="false" customHeight="false" outlineLevel="0" collapsed="false">
      <c r="A42" s="32" t="str">
        <f aca="false">IF(B42="","",ROW()-7)</f>
        <v/>
      </c>
      <c r="B42" s="30"/>
      <c r="C42" s="29"/>
      <c r="D42" s="29"/>
      <c r="E42" s="29"/>
      <c r="F42" s="30"/>
      <c r="G42" s="29"/>
      <c r="H42" s="30"/>
      <c r="I42" s="29"/>
      <c r="J42" s="30"/>
      <c r="K42" s="30"/>
      <c r="L42" s="29"/>
      <c r="M42" s="32" t="str">
        <f aca="false">IF(OR(C42="",L42=""),"",IF(C42=L42,"同一","変更"))</f>
        <v/>
      </c>
      <c r="N42" s="29"/>
      <c r="O42" s="30"/>
      <c r="P42" s="29"/>
      <c r="Q42" s="31"/>
      <c r="R42" s="29"/>
      <c r="S42" s="29"/>
      <c r="T42" s="30"/>
      <c r="U42" s="47" t="str">
        <f aca="false">IF(AND(B42&lt;&gt;"",B42=SW別シート!$C$3),COUNTIF(B$5:B42,B42),"")</f>
        <v/>
      </c>
      <c r="V42" s="47" t="n">
        <f aca="false">V41+IF(OR(O42&lt;&gt;"",W42&lt;&gt;""),1,0)</f>
        <v>3</v>
      </c>
      <c r="W42" s="29"/>
    </row>
    <row r="43" customFormat="false" ht="15" hidden="false" customHeight="false" outlineLevel="0" collapsed="false">
      <c r="A43" s="32" t="str">
        <f aca="false">IF(B43="","",ROW()-7)</f>
        <v/>
      </c>
      <c r="B43" s="30"/>
      <c r="C43" s="29"/>
      <c r="D43" s="29"/>
      <c r="E43" s="29"/>
      <c r="F43" s="30"/>
      <c r="G43" s="29"/>
      <c r="H43" s="30"/>
      <c r="I43" s="29"/>
      <c r="J43" s="30"/>
      <c r="K43" s="30"/>
      <c r="L43" s="29"/>
      <c r="M43" s="32" t="str">
        <f aca="false">IF(OR(C43="",L43=""),"",IF(C43=L43,"同一","変更"))</f>
        <v/>
      </c>
      <c r="N43" s="29"/>
      <c r="O43" s="30"/>
      <c r="P43" s="29"/>
      <c r="Q43" s="31"/>
      <c r="R43" s="29"/>
      <c r="S43" s="29"/>
      <c r="T43" s="30"/>
      <c r="U43" s="47" t="str">
        <f aca="false">IF(AND(B43&lt;&gt;"",B43=SW別シート!$C$3),COUNTIF(B$5:B43,B43),"")</f>
        <v/>
      </c>
      <c r="V43" s="47" t="n">
        <f aca="false">V42+IF(OR(O43&lt;&gt;"",W43&lt;&gt;""),1,0)</f>
        <v>3</v>
      </c>
      <c r="W43" s="29"/>
    </row>
    <row r="44" customFormat="false" ht="15" hidden="false" customHeight="false" outlineLevel="0" collapsed="false">
      <c r="A44" s="32" t="str">
        <f aca="false">IF(B44="","",ROW()-7)</f>
        <v/>
      </c>
      <c r="B44" s="30"/>
      <c r="C44" s="29"/>
      <c r="D44" s="29"/>
      <c r="E44" s="29"/>
      <c r="F44" s="30"/>
      <c r="G44" s="29"/>
      <c r="H44" s="30"/>
      <c r="I44" s="29"/>
      <c r="J44" s="30"/>
      <c r="K44" s="30"/>
      <c r="L44" s="29"/>
      <c r="M44" s="32" t="str">
        <f aca="false">IF(OR(C44="",L44=""),"",IF(C44=L44,"同一","変更"))</f>
        <v/>
      </c>
      <c r="N44" s="29"/>
      <c r="O44" s="30"/>
      <c r="P44" s="29"/>
      <c r="Q44" s="31"/>
      <c r="R44" s="29"/>
      <c r="S44" s="29"/>
      <c r="T44" s="30"/>
      <c r="U44" s="47" t="str">
        <f aca="false">IF(AND(B44&lt;&gt;"",B44=SW別シート!$C$3),COUNTIF(B$5:B44,B44),"")</f>
        <v/>
      </c>
      <c r="V44" s="47" t="n">
        <f aca="false">V43+IF(OR(O44&lt;&gt;"",W44&lt;&gt;""),1,0)</f>
        <v>3</v>
      </c>
      <c r="W44" s="29"/>
    </row>
    <row r="45" customFormat="false" ht="15" hidden="false" customHeight="false" outlineLevel="0" collapsed="false">
      <c r="A45" s="32" t="str">
        <f aca="false">IF(B45="","",ROW()-7)</f>
        <v/>
      </c>
      <c r="B45" s="30"/>
      <c r="C45" s="29"/>
      <c r="D45" s="29"/>
      <c r="E45" s="29"/>
      <c r="F45" s="30"/>
      <c r="G45" s="29"/>
      <c r="H45" s="30"/>
      <c r="I45" s="29"/>
      <c r="J45" s="30"/>
      <c r="K45" s="30"/>
      <c r="L45" s="29"/>
      <c r="M45" s="32" t="str">
        <f aca="false">IF(OR(C45="",L45=""),"",IF(C45=L45,"同一","変更"))</f>
        <v/>
      </c>
      <c r="N45" s="29"/>
      <c r="O45" s="30"/>
      <c r="P45" s="29"/>
      <c r="Q45" s="31"/>
      <c r="R45" s="29"/>
      <c r="S45" s="29"/>
      <c r="T45" s="30"/>
      <c r="U45" s="47" t="str">
        <f aca="false">IF(AND(B45&lt;&gt;"",B45=SW別シート!$C$3),COUNTIF(B$5:B45,B45),"")</f>
        <v/>
      </c>
      <c r="V45" s="47" t="n">
        <f aca="false">V44+IF(OR(O45&lt;&gt;"",W45&lt;&gt;""),1,0)</f>
        <v>3</v>
      </c>
      <c r="W45" s="29"/>
    </row>
    <row r="46" customFormat="false" ht="15" hidden="false" customHeight="false" outlineLevel="0" collapsed="false">
      <c r="A46" s="32" t="str">
        <f aca="false">IF(B46="","",ROW()-7)</f>
        <v/>
      </c>
      <c r="B46" s="30"/>
      <c r="C46" s="29"/>
      <c r="D46" s="29"/>
      <c r="E46" s="29"/>
      <c r="F46" s="30"/>
      <c r="G46" s="29"/>
      <c r="H46" s="30"/>
      <c r="I46" s="29"/>
      <c r="J46" s="30"/>
      <c r="K46" s="30"/>
      <c r="L46" s="29"/>
      <c r="M46" s="32" t="str">
        <f aca="false">IF(OR(C46="",L46=""),"",IF(C46=L46,"同一","変更"))</f>
        <v/>
      </c>
      <c r="N46" s="29"/>
      <c r="O46" s="30"/>
      <c r="P46" s="29"/>
      <c r="Q46" s="31"/>
      <c r="R46" s="29"/>
      <c r="S46" s="29"/>
      <c r="T46" s="30"/>
      <c r="U46" s="47" t="str">
        <f aca="false">IF(AND(B46&lt;&gt;"",B46=SW別シート!$C$3),COUNTIF(B$5:B46,B46),"")</f>
        <v/>
      </c>
      <c r="V46" s="47" t="n">
        <f aca="false">V45+IF(OR(O46&lt;&gt;"",W46&lt;&gt;""),1,0)</f>
        <v>3</v>
      </c>
      <c r="W46" s="29"/>
    </row>
    <row r="47" customFormat="false" ht="15" hidden="false" customHeight="false" outlineLevel="0" collapsed="false">
      <c r="A47" s="32" t="str">
        <f aca="false">IF(B47="","",ROW()-7)</f>
        <v/>
      </c>
      <c r="B47" s="30"/>
      <c r="C47" s="29"/>
      <c r="D47" s="29"/>
      <c r="E47" s="29"/>
      <c r="F47" s="30"/>
      <c r="G47" s="29"/>
      <c r="H47" s="30"/>
      <c r="I47" s="29"/>
      <c r="J47" s="30"/>
      <c r="K47" s="30"/>
      <c r="L47" s="29"/>
      <c r="M47" s="32" t="str">
        <f aca="false">IF(OR(C47="",L47=""),"",IF(C47=L47,"同一","変更"))</f>
        <v/>
      </c>
      <c r="N47" s="29"/>
      <c r="O47" s="30"/>
      <c r="P47" s="29"/>
      <c r="Q47" s="31"/>
      <c r="R47" s="29"/>
      <c r="S47" s="29"/>
      <c r="T47" s="30"/>
      <c r="U47" s="47" t="str">
        <f aca="false">IF(AND(B47&lt;&gt;"",B47=SW別シート!$C$3),COUNTIF(B$5:B47,B47),"")</f>
        <v/>
      </c>
      <c r="V47" s="47" t="n">
        <f aca="false">V46+IF(OR(O47&lt;&gt;"",W47&lt;&gt;""),1,0)</f>
        <v>3</v>
      </c>
      <c r="W47" s="29"/>
    </row>
    <row r="48" customFormat="false" ht="15" hidden="false" customHeight="false" outlineLevel="0" collapsed="false">
      <c r="A48" s="32" t="str">
        <f aca="false">IF(B48="","",ROW()-7)</f>
        <v/>
      </c>
      <c r="B48" s="30"/>
      <c r="C48" s="29"/>
      <c r="D48" s="29"/>
      <c r="E48" s="29"/>
      <c r="F48" s="30"/>
      <c r="G48" s="29"/>
      <c r="H48" s="30"/>
      <c r="I48" s="29"/>
      <c r="J48" s="30"/>
      <c r="K48" s="30"/>
      <c r="L48" s="29"/>
      <c r="M48" s="32" t="str">
        <f aca="false">IF(OR(C48="",L48=""),"",IF(C48=L48,"同一","変更"))</f>
        <v/>
      </c>
      <c r="N48" s="29"/>
      <c r="O48" s="30"/>
      <c r="P48" s="29"/>
      <c r="Q48" s="31"/>
      <c r="R48" s="29"/>
      <c r="S48" s="29"/>
      <c r="T48" s="30"/>
      <c r="U48" s="47" t="str">
        <f aca="false">IF(AND(B48&lt;&gt;"",B48=SW別シート!$C$3),COUNTIF(B$5:B48,B48),"")</f>
        <v/>
      </c>
      <c r="V48" s="47" t="n">
        <f aca="false">V47+IF(OR(O48&lt;&gt;"",W48&lt;&gt;""),1,0)</f>
        <v>3</v>
      </c>
      <c r="W48" s="29"/>
    </row>
    <row r="49" customFormat="false" ht="15" hidden="false" customHeight="false" outlineLevel="0" collapsed="false">
      <c r="A49" s="32" t="str">
        <f aca="false">IF(B49="","",ROW()-7)</f>
        <v/>
      </c>
      <c r="B49" s="30"/>
      <c r="C49" s="29"/>
      <c r="D49" s="29"/>
      <c r="E49" s="29"/>
      <c r="F49" s="30"/>
      <c r="G49" s="29"/>
      <c r="H49" s="30"/>
      <c r="I49" s="29"/>
      <c r="J49" s="30"/>
      <c r="K49" s="30"/>
      <c r="L49" s="29"/>
      <c r="M49" s="32" t="str">
        <f aca="false">IF(OR(C49="",L49=""),"",IF(C49=L49,"同一","変更"))</f>
        <v/>
      </c>
      <c r="N49" s="29"/>
      <c r="O49" s="30"/>
      <c r="P49" s="29"/>
      <c r="Q49" s="31"/>
      <c r="R49" s="29"/>
      <c r="S49" s="29"/>
      <c r="T49" s="30"/>
      <c r="U49" s="47" t="str">
        <f aca="false">IF(AND(B49&lt;&gt;"",B49=SW別シート!$C$3),COUNTIF(B$5:B49,B49),"")</f>
        <v/>
      </c>
      <c r="V49" s="47" t="n">
        <f aca="false">V48+IF(OR(O49&lt;&gt;"",W49&lt;&gt;""),1,0)</f>
        <v>3</v>
      </c>
      <c r="W49" s="29"/>
    </row>
    <row r="50" customFormat="false" ht="15" hidden="false" customHeight="false" outlineLevel="0" collapsed="false">
      <c r="A50" s="32" t="str">
        <f aca="false">IF(B50="","",ROW()-7)</f>
        <v/>
      </c>
      <c r="B50" s="30"/>
      <c r="C50" s="29"/>
      <c r="D50" s="29"/>
      <c r="E50" s="29"/>
      <c r="F50" s="30"/>
      <c r="G50" s="29"/>
      <c r="H50" s="30"/>
      <c r="I50" s="29"/>
      <c r="J50" s="30"/>
      <c r="K50" s="30"/>
      <c r="L50" s="29"/>
      <c r="M50" s="32" t="str">
        <f aca="false">IF(OR(C50="",L50=""),"",IF(C50=L50,"同一","変更"))</f>
        <v/>
      </c>
      <c r="N50" s="29"/>
      <c r="O50" s="30"/>
      <c r="P50" s="29"/>
      <c r="Q50" s="31"/>
      <c r="R50" s="29"/>
      <c r="S50" s="29"/>
      <c r="T50" s="30"/>
      <c r="U50" s="47" t="str">
        <f aca="false">IF(AND(B50&lt;&gt;"",B50=SW別シート!$C$3),COUNTIF(B$5:B50,B50),"")</f>
        <v/>
      </c>
      <c r="V50" s="47" t="n">
        <f aca="false">V49+IF(OR(O50&lt;&gt;"",W50&lt;&gt;""),1,0)</f>
        <v>3</v>
      </c>
      <c r="W50" s="29"/>
    </row>
    <row r="51" customFormat="false" ht="15" hidden="false" customHeight="false" outlineLevel="0" collapsed="false">
      <c r="A51" s="32" t="str">
        <f aca="false">IF(B51="","",ROW()-7)</f>
        <v/>
      </c>
      <c r="B51" s="30"/>
      <c r="C51" s="29"/>
      <c r="D51" s="29"/>
      <c r="E51" s="29"/>
      <c r="F51" s="30"/>
      <c r="G51" s="29"/>
      <c r="H51" s="30"/>
      <c r="I51" s="29"/>
      <c r="J51" s="30"/>
      <c r="K51" s="30"/>
      <c r="L51" s="29"/>
      <c r="M51" s="32" t="str">
        <f aca="false">IF(OR(C51="",L51=""),"",IF(C51=L51,"同一","変更"))</f>
        <v/>
      </c>
      <c r="N51" s="29"/>
      <c r="O51" s="30"/>
      <c r="P51" s="29"/>
      <c r="Q51" s="31"/>
      <c r="R51" s="29"/>
      <c r="S51" s="29"/>
      <c r="T51" s="30"/>
      <c r="U51" s="47" t="str">
        <f aca="false">IF(AND(B51&lt;&gt;"",B51=SW別シート!$C$3),COUNTIF(B$5:B51,B51),"")</f>
        <v/>
      </c>
      <c r="V51" s="47" t="n">
        <f aca="false">V50+IF(OR(O51&lt;&gt;"",W51&lt;&gt;""),1,0)</f>
        <v>3</v>
      </c>
      <c r="W51" s="29"/>
    </row>
    <row r="52" customFormat="false" ht="15" hidden="false" customHeight="false" outlineLevel="0" collapsed="false">
      <c r="A52" s="32" t="str">
        <f aca="false">IF(B52="","",ROW()-7)</f>
        <v/>
      </c>
      <c r="B52" s="30"/>
      <c r="C52" s="29"/>
      <c r="D52" s="29"/>
      <c r="E52" s="29"/>
      <c r="F52" s="30"/>
      <c r="G52" s="29"/>
      <c r="H52" s="30"/>
      <c r="I52" s="29"/>
      <c r="J52" s="30"/>
      <c r="K52" s="30"/>
      <c r="L52" s="29"/>
      <c r="M52" s="32" t="str">
        <f aca="false">IF(OR(C52="",L52=""),"",IF(C52=L52,"同一","変更"))</f>
        <v/>
      </c>
      <c r="N52" s="29"/>
      <c r="O52" s="30"/>
      <c r="P52" s="29"/>
      <c r="Q52" s="31"/>
      <c r="R52" s="29"/>
      <c r="S52" s="29"/>
      <c r="T52" s="30"/>
      <c r="U52" s="47" t="str">
        <f aca="false">IF(AND(B52&lt;&gt;"",B52=SW別シート!$C$3),COUNTIF(B$5:B52,B52),"")</f>
        <v/>
      </c>
      <c r="V52" s="47" t="n">
        <f aca="false">V51+IF(OR(O52&lt;&gt;"",W52&lt;&gt;""),1,0)</f>
        <v>3</v>
      </c>
      <c r="W52" s="29"/>
    </row>
    <row r="53" customFormat="false" ht="15" hidden="false" customHeight="false" outlineLevel="0" collapsed="false">
      <c r="A53" s="32" t="str">
        <f aca="false">IF(B53="","",ROW()-7)</f>
        <v/>
      </c>
      <c r="B53" s="30"/>
      <c r="C53" s="29"/>
      <c r="D53" s="29"/>
      <c r="E53" s="29"/>
      <c r="F53" s="30"/>
      <c r="G53" s="29"/>
      <c r="H53" s="30"/>
      <c r="I53" s="29"/>
      <c r="J53" s="30"/>
      <c r="K53" s="30"/>
      <c r="L53" s="29"/>
      <c r="M53" s="32" t="str">
        <f aca="false">IF(OR(C53="",L53=""),"",IF(C53=L53,"同一","変更"))</f>
        <v/>
      </c>
      <c r="N53" s="29"/>
      <c r="O53" s="30"/>
      <c r="P53" s="29"/>
      <c r="Q53" s="31"/>
      <c r="R53" s="29"/>
      <c r="S53" s="29"/>
      <c r="T53" s="30"/>
      <c r="U53" s="47" t="str">
        <f aca="false">IF(AND(B53&lt;&gt;"",B53=SW別シート!$C$3),COUNTIF(B$5:B53,B53),"")</f>
        <v/>
      </c>
      <c r="V53" s="47" t="n">
        <f aca="false">V52+IF(OR(O53&lt;&gt;"",W53&lt;&gt;""),1,0)</f>
        <v>3</v>
      </c>
      <c r="W53" s="29"/>
    </row>
    <row r="54" customFormat="false" ht="15" hidden="false" customHeight="false" outlineLevel="0" collapsed="false">
      <c r="A54" s="32" t="str">
        <f aca="false">IF(B54="","",ROW()-7)</f>
        <v/>
      </c>
      <c r="B54" s="30"/>
      <c r="C54" s="29"/>
      <c r="D54" s="29"/>
      <c r="E54" s="29"/>
      <c r="F54" s="30"/>
      <c r="G54" s="29"/>
      <c r="H54" s="30"/>
      <c r="I54" s="29"/>
      <c r="J54" s="30"/>
      <c r="K54" s="30"/>
      <c r="L54" s="29"/>
      <c r="M54" s="32" t="str">
        <f aca="false">IF(OR(C54="",L54=""),"",IF(C54=L54,"同一","変更"))</f>
        <v/>
      </c>
      <c r="N54" s="29"/>
      <c r="O54" s="30"/>
      <c r="P54" s="29"/>
      <c r="Q54" s="31"/>
      <c r="R54" s="29"/>
      <c r="S54" s="29"/>
      <c r="T54" s="30"/>
      <c r="U54" s="47" t="str">
        <f aca="false">IF(AND(B54&lt;&gt;"",B54=SW別シート!$C$3),COUNTIF(B$5:B54,B54),"")</f>
        <v/>
      </c>
      <c r="V54" s="47" t="n">
        <f aca="false">V53+IF(OR(O54&lt;&gt;"",W54&lt;&gt;""),1,0)</f>
        <v>3</v>
      </c>
      <c r="W54" s="29"/>
    </row>
    <row r="55" customFormat="false" ht="15" hidden="false" customHeight="false" outlineLevel="0" collapsed="false">
      <c r="A55" s="32" t="str">
        <f aca="false">IF(B55="","",ROW()-7)</f>
        <v/>
      </c>
      <c r="B55" s="30"/>
      <c r="C55" s="29"/>
      <c r="D55" s="29"/>
      <c r="E55" s="29"/>
      <c r="F55" s="30"/>
      <c r="G55" s="29"/>
      <c r="H55" s="30"/>
      <c r="I55" s="29"/>
      <c r="J55" s="30"/>
      <c r="K55" s="30"/>
      <c r="L55" s="29"/>
      <c r="M55" s="32" t="str">
        <f aca="false">IF(OR(C55="",L55=""),"",IF(C55=L55,"同一","変更"))</f>
        <v/>
      </c>
      <c r="N55" s="29"/>
      <c r="O55" s="30"/>
      <c r="P55" s="29"/>
      <c r="Q55" s="31"/>
      <c r="R55" s="29"/>
      <c r="S55" s="29"/>
      <c r="T55" s="30"/>
      <c r="U55" s="47" t="str">
        <f aca="false">IF(AND(B55&lt;&gt;"",B55=SW別シート!$C$3),COUNTIF(B$5:B55,B55),"")</f>
        <v/>
      </c>
      <c r="V55" s="47" t="n">
        <f aca="false">V54+IF(OR(O55&lt;&gt;"",W55&lt;&gt;""),1,0)</f>
        <v>3</v>
      </c>
      <c r="W55" s="29"/>
    </row>
    <row r="56" customFormat="false" ht="15" hidden="false" customHeight="false" outlineLevel="0" collapsed="false">
      <c r="A56" s="32" t="str">
        <f aca="false">IF(B56="","",ROW()-7)</f>
        <v/>
      </c>
      <c r="B56" s="30"/>
      <c r="C56" s="29"/>
      <c r="D56" s="29"/>
      <c r="E56" s="29"/>
      <c r="F56" s="30"/>
      <c r="G56" s="29"/>
      <c r="H56" s="30"/>
      <c r="I56" s="29"/>
      <c r="J56" s="30"/>
      <c r="K56" s="30"/>
      <c r="L56" s="29"/>
      <c r="M56" s="32" t="str">
        <f aca="false">IF(OR(C56="",L56=""),"",IF(C56=L56,"同一","変更"))</f>
        <v/>
      </c>
      <c r="N56" s="29"/>
      <c r="O56" s="30"/>
      <c r="P56" s="29"/>
      <c r="Q56" s="31"/>
      <c r="R56" s="29"/>
      <c r="S56" s="29"/>
      <c r="T56" s="30"/>
      <c r="U56" s="47" t="str">
        <f aca="false">IF(AND(B56&lt;&gt;"",B56=SW別シート!$C$3),COUNTIF(B$5:B56,B56),"")</f>
        <v/>
      </c>
      <c r="V56" s="47" t="n">
        <f aca="false">V55+IF(OR(O56&lt;&gt;"",W56&lt;&gt;""),1,0)</f>
        <v>3</v>
      </c>
      <c r="W56" s="29"/>
    </row>
    <row r="57" customFormat="false" ht="15" hidden="false" customHeight="false" outlineLevel="0" collapsed="false">
      <c r="A57" s="32" t="str">
        <f aca="false">IF(B57="","",ROW()-7)</f>
        <v/>
      </c>
      <c r="B57" s="30"/>
      <c r="C57" s="29"/>
      <c r="D57" s="29"/>
      <c r="E57" s="29"/>
      <c r="F57" s="30"/>
      <c r="G57" s="29"/>
      <c r="H57" s="30"/>
      <c r="I57" s="29"/>
      <c r="J57" s="30"/>
      <c r="K57" s="30"/>
      <c r="L57" s="29"/>
      <c r="M57" s="32" t="str">
        <f aca="false">IF(OR(C57="",L57=""),"",IF(C57=L57,"同一","変更"))</f>
        <v/>
      </c>
      <c r="N57" s="29"/>
      <c r="O57" s="30"/>
      <c r="P57" s="29"/>
      <c r="Q57" s="31"/>
      <c r="R57" s="29"/>
      <c r="S57" s="29"/>
      <c r="T57" s="30"/>
      <c r="U57" s="47" t="str">
        <f aca="false">IF(AND(B57&lt;&gt;"",B57=SW別シート!$C$3),COUNTIF(B$5:B57,B57),"")</f>
        <v/>
      </c>
      <c r="V57" s="47" t="n">
        <f aca="false">V56+IF(OR(O57&lt;&gt;"",W57&lt;&gt;""),1,0)</f>
        <v>3</v>
      </c>
      <c r="W57" s="29"/>
    </row>
    <row r="58" customFormat="false" ht="15" hidden="false" customHeight="false" outlineLevel="0" collapsed="false">
      <c r="A58" s="32" t="str">
        <f aca="false">IF(B58="","",ROW()-7)</f>
        <v/>
      </c>
      <c r="B58" s="30"/>
      <c r="C58" s="29"/>
      <c r="D58" s="29"/>
      <c r="E58" s="29"/>
      <c r="F58" s="30"/>
      <c r="G58" s="29"/>
      <c r="H58" s="30"/>
      <c r="I58" s="29"/>
      <c r="J58" s="30"/>
      <c r="K58" s="30"/>
      <c r="L58" s="29"/>
      <c r="M58" s="32" t="str">
        <f aca="false">IF(OR(C58="",L58=""),"",IF(C58=L58,"同一","変更"))</f>
        <v/>
      </c>
      <c r="N58" s="29"/>
      <c r="O58" s="30"/>
      <c r="P58" s="29"/>
      <c r="Q58" s="31"/>
      <c r="R58" s="29"/>
      <c r="S58" s="29"/>
      <c r="T58" s="30"/>
      <c r="U58" s="47" t="str">
        <f aca="false">IF(AND(B58&lt;&gt;"",B58=SW別シート!$C$3),COUNTIF(B$5:B58,B58),"")</f>
        <v/>
      </c>
      <c r="V58" s="47" t="n">
        <f aca="false">V57+IF(OR(O58&lt;&gt;"",W58&lt;&gt;""),1,0)</f>
        <v>3</v>
      </c>
      <c r="W58" s="29"/>
    </row>
    <row r="59" customFormat="false" ht="15" hidden="false" customHeight="false" outlineLevel="0" collapsed="false">
      <c r="A59" s="32" t="str">
        <f aca="false">IF(B59="","",ROW()-7)</f>
        <v/>
      </c>
      <c r="B59" s="30"/>
      <c r="C59" s="29"/>
      <c r="D59" s="29"/>
      <c r="E59" s="29"/>
      <c r="F59" s="30"/>
      <c r="G59" s="29"/>
      <c r="H59" s="30"/>
      <c r="I59" s="29"/>
      <c r="J59" s="30"/>
      <c r="K59" s="30"/>
      <c r="L59" s="29"/>
      <c r="M59" s="32" t="str">
        <f aca="false">IF(OR(C59="",L59=""),"",IF(C59=L59,"同一","変更"))</f>
        <v/>
      </c>
      <c r="N59" s="29"/>
      <c r="O59" s="30"/>
      <c r="P59" s="29"/>
      <c r="Q59" s="31"/>
      <c r="R59" s="29"/>
      <c r="S59" s="29"/>
      <c r="T59" s="30"/>
      <c r="U59" s="47" t="str">
        <f aca="false">IF(AND(B59&lt;&gt;"",B59=SW別シート!$C$3),COUNTIF(B$5:B59,B59),"")</f>
        <v/>
      </c>
      <c r="V59" s="47" t="n">
        <f aca="false">V58+IF(OR(O59&lt;&gt;"",W59&lt;&gt;""),1,0)</f>
        <v>3</v>
      </c>
      <c r="W59" s="29"/>
    </row>
    <row r="60" customFormat="false" ht="15" hidden="false" customHeight="false" outlineLevel="0" collapsed="false">
      <c r="A60" s="32" t="str">
        <f aca="false">IF(B60="","",ROW()-7)</f>
        <v/>
      </c>
      <c r="B60" s="30"/>
      <c r="C60" s="29"/>
      <c r="D60" s="29"/>
      <c r="E60" s="29"/>
      <c r="F60" s="30"/>
      <c r="G60" s="29"/>
      <c r="H60" s="30"/>
      <c r="I60" s="29"/>
      <c r="J60" s="30"/>
      <c r="K60" s="30"/>
      <c r="L60" s="29"/>
      <c r="M60" s="32" t="str">
        <f aca="false">IF(OR(C60="",L60=""),"",IF(C60=L60,"同一","変更"))</f>
        <v/>
      </c>
      <c r="N60" s="29"/>
      <c r="O60" s="30"/>
      <c r="P60" s="29"/>
      <c r="Q60" s="31"/>
      <c r="R60" s="29"/>
      <c r="S60" s="29"/>
      <c r="T60" s="30"/>
      <c r="U60" s="47" t="str">
        <f aca="false">IF(AND(B60&lt;&gt;"",B60=SW別シート!$C$3),COUNTIF(B$5:B60,B60),"")</f>
        <v/>
      </c>
      <c r="V60" s="47" t="n">
        <f aca="false">V59+IF(OR(O60&lt;&gt;"",W60&lt;&gt;""),1,0)</f>
        <v>3</v>
      </c>
      <c r="W60" s="29"/>
    </row>
    <row r="61" customFormat="false" ht="15" hidden="false" customHeight="false" outlineLevel="0" collapsed="false">
      <c r="A61" s="32" t="str">
        <f aca="false">IF(B61="","",ROW()-7)</f>
        <v/>
      </c>
      <c r="B61" s="30"/>
      <c r="C61" s="29"/>
      <c r="D61" s="29"/>
      <c r="E61" s="29"/>
      <c r="F61" s="30"/>
      <c r="G61" s="29"/>
      <c r="H61" s="30"/>
      <c r="I61" s="29"/>
      <c r="J61" s="30"/>
      <c r="K61" s="30"/>
      <c r="L61" s="29"/>
      <c r="M61" s="32" t="str">
        <f aca="false">IF(OR(C61="",L61=""),"",IF(C61=L61,"同一","変更"))</f>
        <v/>
      </c>
      <c r="N61" s="29"/>
      <c r="O61" s="30"/>
      <c r="P61" s="29"/>
      <c r="Q61" s="31"/>
      <c r="R61" s="29"/>
      <c r="S61" s="29"/>
      <c r="T61" s="30"/>
      <c r="U61" s="47" t="str">
        <f aca="false">IF(AND(B61&lt;&gt;"",B61=SW別シート!$C$3),COUNTIF(B$5:B61,B61),"")</f>
        <v/>
      </c>
      <c r="V61" s="47" t="n">
        <f aca="false">V60+IF(OR(O61&lt;&gt;"",W61&lt;&gt;""),1,0)</f>
        <v>3</v>
      </c>
      <c r="W61" s="29"/>
    </row>
    <row r="62" customFormat="false" ht="15" hidden="false" customHeight="false" outlineLevel="0" collapsed="false">
      <c r="A62" s="32" t="str">
        <f aca="false">IF(B62="","",ROW()-7)</f>
        <v/>
      </c>
      <c r="B62" s="30"/>
      <c r="C62" s="29"/>
      <c r="D62" s="29"/>
      <c r="E62" s="29"/>
      <c r="F62" s="30"/>
      <c r="G62" s="29"/>
      <c r="H62" s="30"/>
      <c r="I62" s="29"/>
      <c r="J62" s="30"/>
      <c r="K62" s="30"/>
      <c r="L62" s="29"/>
      <c r="M62" s="32" t="str">
        <f aca="false">IF(OR(C62="",L62=""),"",IF(C62=L62,"同一","変更"))</f>
        <v/>
      </c>
      <c r="N62" s="29"/>
      <c r="O62" s="30"/>
      <c r="P62" s="29"/>
      <c r="Q62" s="31"/>
      <c r="R62" s="29"/>
      <c r="S62" s="29"/>
      <c r="T62" s="30"/>
      <c r="U62" s="47" t="str">
        <f aca="false">IF(AND(B62&lt;&gt;"",B62=SW別シート!$C$3),COUNTIF(B$5:B62,B62),"")</f>
        <v/>
      </c>
      <c r="V62" s="47" t="n">
        <f aca="false">V61+IF(OR(O62&lt;&gt;"",W62&lt;&gt;""),1,0)</f>
        <v>3</v>
      </c>
      <c r="W62" s="29"/>
    </row>
    <row r="63" customFormat="false" ht="15" hidden="false" customHeight="false" outlineLevel="0" collapsed="false">
      <c r="A63" s="32" t="str">
        <f aca="false">IF(B63="","",ROW()-7)</f>
        <v/>
      </c>
      <c r="B63" s="30"/>
      <c r="C63" s="29"/>
      <c r="D63" s="29"/>
      <c r="E63" s="29"/>
      <c r="F63" s="30"/>
      <c r="G63" s="29"/>
      <c r="H63" s="30"/>
      <c r="I63" s="29"/>
      <c r="J63" s="30"/>
      <c r="K63" s="30"/>
      <c r="L63" s="29"/>
      <c r="M63" s="32" t="str">
        <f aca="false">IF(OR(C63="",L63=""),"",IF(C63=L63,"同一","変更"))</f>
        <v/>
      </c>
      <c r="N63" s="29"/>
      <c r="O63" s="30"/>
      <c r="P63" s="29"/>
      <c r="Q63" s="31"/>
      <c r="R63" s="29"/>
      <c r="S63" s="29"/>
      <c r="T63" s="30"/>
      <c r="U63" s="47" t="str">
        <f aca="false">IF(AND(B63&lt;&gt;"",B63=SW別シート!$C$3),COUNTIF(B$5:B63,B63),"")</f>
        <v/>
      </c>
      <c r="V63" s="47" t="n">
        <f aca="false">V62+IF(OR(O63&lt;&gt;"",W63&lt;&gt;""),1,0)</f>
        <v>3</v>
      </c>
      <c r="W63" s="29"/>
    </row>
    <row r="64" customFormat="false" ht="15" hidden="false" customHeight="false" outlineLevel="0" collapsed="false">
      <c r="A64" s="32" t="str">
        <f aca="false">IF(B64="","",ROW()-7)</f>
        <v/>
      </c>
      <c r="B64" s="30"/>
      <c r="C64" s="29"/>
      <c r="D64" s="29"/>
      <c r="E64" s="29"/>
      <c r="F64" s="30"/>
      <c r="G64" s="29"/>
      <c r="H64" s="30"/>
      <c r="I64" s="29"/>
      <c r="J64" s="30"/>
      <c r="K64" s="30"/>
      <c r="L64" s="29"/>
      <c r="M64" s="32" t="str">
        <f aca="false">IF(OR(C64="",L64=""),"",IF(C64=L64,"同一","変更"))</f>
        <v/>
      </c>
      <c r="N64" s="29"/>
      <c r="O64" s="30"/>
      <c r="P64" s="29"/>
      <c r="Q64" s="31"/>
      <c r="R64" s="29"/>
      <c r="S64" s="29"/>
      <c r="T64" s="30"/>
      <c r="U64" s="47" t="str">
        <f aca="false">IF(AND(B64&lt;&gt;"",B64=SW別シート!$C$3),COUNTIF(B$5:B64,B64),"")</f>
        <v/>
      </c>
      <c r="V64" s="47" t="n">
        <f aca="false">V63+IF(OR(O64&lt;&gt;"",W64&lt;&gt;""),1,0)</f>
        <v>3</v>
      </c>
      <c r="W64" s="29"/>
    </row>
    <row r="65" customFormat="false" ht="15" hidden="false" customHeight="false" outlineLevel="0" collapsed="false">
      <c r="A65" s="32" t="str">
        <f aca="false">IF(B65="","",ROW()-7)</f>
        <v/>
      </c>
      <c r="B65" s="30"/>
      <c r="C65" s="29"/>
      <c r="D65" s="29"/>
      <c r="E65" s="29"/>
      <c r="F65" s="30"/>
      <c r="G65" s="29"/>
      <c r="H65" s="30"/>
      <c r="I65" s="29"/>
      <c r="J65" s="30"/>
      <c r="K65" s="30"/>
      <c r="L65" s="29"/>
      <c r="M65" s="32" t="str">
        <f aca="false">IF(OR(C65="",L65=""),"",IF(C65=L65,"同一","変更"))</f>
        <v/>
      </c>
      <c r="N65" s="29"/>
      <c r="O65" s="30"/>
      <c r="P65" s="29"/>
      <c r="Q65" s="31"/>
      <c r="R65" s="29"/>
      <c r="S65" s="29"/>
      <c r="T65" s="30"/>
      <c r="U65" s="47" t="str">
        <f aca="false">IF(AND(B65&lt;&gt;"",B65=SW別シート!$C$3),COUNTIF(B$5:B65,B65),"")</f>
        <v/>
      </c>
      <c r="V65" s="47" t="n">
        <f aca="false">V64+IF(OR(O65&lt;&gt;"",W65&lt;&gt;""),1,0)</f>
        <v>3</v>
      </c>
      <c r="W65" s="29"/>
    </row>
    <row r="66" customFormat="false" ht="15" hidden="false" customHeight="false" outlineLevel="0" collapsed="false">
      <c r="A66" s="32" t="str">
        <f aca="false">IF(B66="","",ROW()-7)</f>
        <v/>
      </c>
      <c r="B66" s="30"/>
      <c r="C66" s="29"/>
      <c r="D66" s="29"/>
      <c r="E66" s="29"/>
      <c r="F66" s="30"/>
      <c r="G66" s="29"/>
      <c r="H66" s="30"/>
      <c r="I66" s="29"/>
      <c r="J66" s="30"/>
      <c r="K66" s="30"/>
      <c r="L66" s="29"/>
      <c r="M66" s="32" t="str">
        <f aca="false">IF(OR(C66="",L66=""),"",IF(C66=L66,"同一","変更"))</f>
        <v/>
      </c>
      <c r="N66" s="29"/>
      <c r="O66" s="30"/>
      <c r="P66" s="29"/>
      <c r="Q66" s="31"/>
      <c r="R66" s="29"/>
      <c r="S66" s="29"/>
      <c r="T66" s="30"/>
      <c r="U66" s="47" t="str">
        <f aca="false">IF(AND(B66&lt;&gt;"",B66=SW別シート!$C$3),COUNTIF(B$5:B66,B66),"")</f>
        <v/>
      </c>
      <c r="V66" s="47" t="n">
        <f aca="false">V65+IF(OR(O66&lt;&gt;"",W66&lt;&gt;""),1,0)</f>
        <v>3</v>
      </c>
      <c r="W66" s="29"/>
    </row>
    <row r="67" customFormat="false" ht="15" hidden="false" customHeight="false" outlineLevel="0" collapsed="false">
      <c r="A67" s="32" t="str">
        <f aca="false">IF(B67="","",ROW()-7)</f>
        <v/>
      </c>
      <c r="B67" s="30"/>
      <c r="C67" s="29"/>
      <c r="D67" s="29"/>
      <c r="E67" s="29"/>
      <c r="F67" s="30"/>
      <c r="G67" s="29"/>
      <c r="H67" s="30"/>
      <c r="I67" s="29"/>
      <c r="J67" s="30"/>
      <c r="K67" s="30"/>
      <c r="L67" s="29"/>
      <c r="M67" s="32" t="str">
        <f aca="false">IF(OR(C67="",L67=""),"",IF(C67=L67,"同一","変更"))</f>
        <v/>
      </c>
      <c r="N67" s="29"/>
      <c r="O67" s="30"/>
      <c r="P67" s="29"/>
      <c r="Q67" s="31"/>
      <c r="R67" s="29"/>
      <c r="S67" s="29"/>
      <c r="T67" s="30"/>
      <c r="U67" s="47" t="str">
        <f aca="false">IF(AND(B67&lt;&gt;"",B67=SW別シート!$C$3),COUNTIF(B$5:B67,B67),"")</f>
        <v/>
      </c>
      <c r="V67" s="47" t="n">
        <f aca="false">V66+IF(OR(O67&lt;&gt;"",W67&lt;&gt;""),1,0)</f>
        <v>3</v>
      </c>
      <c r="W67" s="29"/>
    </row>
    <row r="68" customFormat="false" ht="15" hidden="false" customHeight="false" outlineLevel="0" collapsed="false">
      <c r="A68" s="32" t="str">
        <f aca="false">IF(B68="","",ROW()-7)</f>
        <v/>
      </c>
      <c r="B68" s="30"/>
      <c r="C68" s="29"/>
      <c r="D68" s="29"/>
      <c r="E68" s="29"/>
      <c r="F68" s="30"/>
      <c r="G68" s="29"/>
      <c r="H68" s="30"/>
      <c r="I68" s="29"/>
      <c r="J68" s="30"/>
      <c r="K68" s="30"/>
      <c r="L68" s="29"/>
      <c r="M68" s="32" t="str">
        <f aca="false">IF(OR(C68="",L68=""),"",IF(C68=L68,"同一","変更"))</f>
        <v/>
      </c>
      <c r="N68" s="29"/>
      <c r="O68" s="30"/>
      <c r="P68" s="29"/>
      <c r="Q68" s="31"/>
      <c r="R68" s="29"/>
      <c r="S68" s="29"/>
      <c r="T68" s="30"/>
      <c r="U68" s="47" t="str">
        <f aca="false">IF(AND(B68&lt;&gt;"",B68=SW別シート!$C$3),COUNTIF(B$5:B68,B68),"")</f>
        <v/>
      </c>
      <c r="V68" s="47" t="n">
        <f aca="false">V67+IF(OR(O68&lt;&gt;"",W68&lt;&gt;""),1,0)</f>
        <v>3</v>
      </c>
      <c r="W68" s="29"/>
    </row>
    <row r="69" customFormat="false" ht="15" hidden="false" customHeight="false" outlineLevel="0" collapsed="false">
      <c r="A69" s="32" t="str">
        <f aca="false">IF(B69="","",ROW()-7)</f>
        <v/>
      </c>
      <c r="B69" s="30"/>
      <c r="C69" s="29"/>
      <c r="D69" s="29"/>
      <c r="E69" s="29"/>
      <c r="F69" s="30"/>
      <c r="G69" s="29"/>
      <c r="H69" s="30"/>
      <c r="I69" s="29"/>
      <c r="J69" s="30"/>
      <c r="K69" s="30"/>
      <c r="L69" s="29"/>
      <c r="M69" s="32" t="str">
        <f aca="false">IF(OR(C69="",L69=""),"",IF(C69=L69,"同一","変更"))</f>
        <v/>
      </c>
      <c r="N69" s="29"/>
      <c r="O69" s="30"/>
      <c r="P69" s="29"/>
      <c r="Q69" s="31"/>
      <c r="R69" s="29"/>
      <c r="S69" s="29"/>
      <c r="T69" s="30"/>
      <c r="U69" s="47" t="str">
        <f aca="false">IF(AND(B69&lt;&gt;"",B69=SW別シート!$C$3),COUNTIF(B$5:B69,B69),"")</f>
        <v/>
      </c>
      <c r="V69" s="47" t="n">
        <f aca="false">V68+IF(OR(O69&lt;&gt;"",W69&lt;&gt;""),1,0)</f>
        <v>3</v>
      </c>
      <c r="W69" s="29"/>
    </row>
    <row r="70" customFormat="false" ht="15" hidden="false" customHeight="false" outlineLevel="0" collapsed="false">
      <c r="A70" s="32" t="str">
        <f aca="false">IF(B70="","",ROW()-7)</f>
        <v/>
      </c>
      <c r="B70" s="30"/>
      <c r="C70" s="29"/>
      <c r="D70" s="29"/>
      <c r="E70" s="29"/>
      <c r="F70" s="30"/>
      <c r="G70" s="29"/>
      <c r="H70" s="30"/>
      <c r="I70" s="29"/>
      <c r="J70" s="30"/>
      <c r="K70" s="30"/>
      <c r="L70" s="29"/>
      <c r="M70" s="32" t="str">
        <f aca="false">IF(OR(C70="",L70=""),"",IF(C70=L70,"同一","変更"))</f>
        <v/>
      </c>
      <c r="N70" s="29"/>
      <c r="O70" s="30"/>
      <c r="P70" s="29"/>
      <c r="Q70" s="31"/>
      <c r="R70" s="29"/>
      <c r="S70" s="29"/>
      <c r="T70" s="30"/>
      <c r="U70" s="47" t="str">
        <f aca="false">IF(AND(B70&lt;&gt;"",B70=SW別シート!$C$3),COUNTIF(B$5:B70,B70),"")</f>
        <v/>
      </c>
      <c r="V70" s="47" t="n">
        <f aca="false">V69+IF(OR(O70&lt;&gt;"",W70&lt;&gt;""),1,0)</f>
        <v>3</v>
      </c>
      <c r="W70" s="29"/>
    </row>
    <row r="71" customFormat="false" ht="15" hidden="false" customHeight="false" outlineLevel="0" collapsed="false">
      <c r="A71" s="32" t="str">
        <f aca="false">IF(B71="","",ROW()-7)</f>
        <v/>
      </c>
      <c r="B71" s="30"/>
      <c r="C71" s="29"/>
      <c r="D71" s="29"/>
      <c r="E71" s="29"/>
      <c r="F71" s="30"/>
      <c r="G71" s="29"/>
      <c r="H71" s="30"/>
      <c r="I71" s="29"/>
      <c r="J71" s="30"/>
      <c r="K71" s="30"/>
      <c r="L71" s="29"/>
      <c r="M71" s="32" t="str">
        <f aca="false">IF(OR(C71="",L71=""),"",IF(C71=L71,"同一","変更"))</f>
        <v/>
      </c>
      <c r="N71" s="29"/>
      <c r="O71" s="30"/>
      <c r="P71" s="29"/>
      <c r="Q71" s="31"/>
      <c r="R71" s="29"/>
      <c r="S71" s="29"/>
      <c r="T71" s="30"/>
      <c r="U71" s="47" t="str">
        <f aca="false">IF(AND(B71&lt;&gt;"",B71=SW別シート!$C$3),COUNTIF(B$5:B71,B71),"")</f>
        <v/>
      </c>
      <c r="V71" s="47" t="n">
        <f aca="false">V70+IF(OR(O71&lt;&gt;"",W71&lt;&gt;""),1,0)</f>
        <v>3</v>
      </c>
      <c r="W71" s="29"/>
    </row>
    <row r="72" customFormat="false" ht="15" hidden="false" customHeight="false" outlineLevel="0" collapsed="false">
      <c r="A72" s="32" t="str">
        <f aca="false">IF(B72="","",ROW()-7)</f>
        <v/>
      </c>
      <c r="B72" s="30"/>
      <c r="C72" s="29"/>
      <c r="D72" s="29"/>
      <c r="E72" s="29"/>
      <c r="F72" s="30"/>
      <c r="G72" s="29"/>
      <c r="H72" s="30"/>
      <c r="I72" s="29"/>
      <c r="J72" s="30"/>
      <c r="K72" s="30"/>
      <c r="L72" s="29"/>
      <c r="M72" s="32" t="str">
        <f aca="false">IF(OR(C72="",L72=""),"",IF(C72=L72,"同一","変更"))</f>
        <v/>
      </c>
      <c r="N72" s="29"/>
      <c r="O72" s="30"/>
      <c r="P72" s="29"/>
      <c r="Q72" s="31"/>
      <c r="R72" s="29"/>
      <c r="S72" s="29"/>
      <c r="T72" s="30"/>
      <c r="U72" s="47" t="str">
        <f aca="false">IF(AND(B72&lt;&gt;"",B72=SW別シート!$C$3),COUNTIF(B$5:B72,B72),"")</f>
        <v/>
      </c>
      <c r="V72" s="47" t="n">
        <f aca="false">V71+IF(OR(O72&lt;&gt;"",W72&lt;&gt;""),1,0)</f>
        <v>3</v>
      </c>
      <c r="W72" s="29"/>
    </row>
    <row r="73" customFormat="false" ht="15" hidden="false" customHeight="false" outlineLevel="0" collapsed="false">
      <c r="A73" s="32" t="str">
        <f aca="false">IF(B73="","",ROW()-7)</f>
        <v/>
      </c>
      <c r="B73" s="30"/>
      <c r="C73" s="29"/>
      <c r="D73" s="29"/>
      <c r="E73" s="29"/>
      <c r="F73" s="30"/>
      <c r="G73" s="29"/>
      <c r="H73" s="30"/>
      <c r="I73" s="29"/>
      <c r="J73" s="30"/>
      <c r="K73" s="30"/>
      <c r="L73" s="29"/>
      <c r="M73" s="32" t="str">
        <f aca="false">IF(OR(C73="",L73=""),"",IF(C73=L73,"同一","変更"))</f>
        <v/>
      </c>
      <c r="N73" s="29"/>
      <c r="O73" s="30"/>
      <c r="P73" s="29"/>
      <c r="Q73" s="31"/>
      <c r="R73" s="29"/>
      <c r="S73" s="29"/>
      <c r="T73" s="30"/>
      <c r="U73" s="47" t="str">
        <f aca="false">IF(AND(B73&lt;&gt;"",B73=SW別シート!$C$3),COUNTIF(B$5:B73,B73),"")</f>
        <v/>
      </c>
      <c r="V73" s="47" t="n">
        <f aca="false">V72+IF(OR(O73&lt;&gt;"",W73&lt;&gt;""),1,0)</f>
        <v>3</v>
      </c>
      <c r="W73" s="29"/>
    </row>
    <row r="74" customFormat="false" ht="15" hidden="false" customHeight="false" outlineLevel="0" collapsed="false">
      <c r="A74" s="32" t="str">
        <f aca="false">IF(B74="","",ROW()-7)</f>
        <v/>
      </c>
      <c r="B74" s="30"/>
      <c r="C74" s="29"/>
      <c r="D74" s="29"/>
      <c r="E74" s="29"/>
      <c r="F74" s="30"/>
      <c r="G74" s="29"/>
      <c r="H74" s="30"/>
      <c r="I74" s="29"/>
      <c r="J74" s="30"/>
      <c r="K74" s="30"/>
      <c r="L74" s="29"/>
      <c r="M74" s="32" t="str">
        <f aca="false">IF(OR(C74="",L74=""),"",IF(C74=L74,"同一","変更"))</f>
        <v/>
      </c>
      <c r="N74" s="29"/>
      <c r="O74" s="30"/>
      <c r="P74" s="29"/>
      <c r="Q74" s="31"/>
      <c r="R74" s="29"/>
      <c r="S74" s="29"/>
      <c r="T74" s="30"/>
      <c r="U74" s="47" t="str">
        <f aca="false">IF(AND(B74&lt;&gt;"",B74=SW別シート!$C$3),COUNTIF(B$5:B74,B74),"")</f>
        <v/>
      </c>
      <c r="V74" s="47" t="n">
        <f aca="false">V73+IF(OR(O74&lt;&gt;"",W74&lt;&gt;""),1,0)</f>
        <v>3</v>
      </c>
      <c r="W74" s="29"/>
    </row>
    <row r="75" customFormat="false" ht="15" hidden="false" customHeight="false" outlineLevel="0" collapsed="false">
      <c r="A75" s="32" t="str">
        <f aca="false">IF(B75="","",ROW()-7)</f>
        <v/>
      </c>
      <c r="B75" s="30"/>
      <c r="C75" s="29"/>
      <c r="D75" s="29"/>
      <c r="E75" s="29"/>
      <c r="F75" s="30"/>
      <c r="G75" s="29"/>
      <c r="H75" s="30"/>
      <c r="I75" s="29"/>
      <c r="J75" s="30"/>
      <c r="K75" s="30"/>
      <c r="L75" s="29"/>
      <c r="M75" s="32" t="str">
        <f aca="false">IF(OR(C75="",L75=""),"",IF(C75=L75,"同一","変更"))</f>
        <v/>
      </c>
      <c r="N75" s="29"/>
      <c r="O75" s="30"/>
      <c r="P75" s="29"/>
      <c r="Q75" s="31"/>
      <c r="R75" s="29"/>
      <c r="S75" s="29"/>
      <c r="T75" s="30"/>
      <c r="U75" s="47" t="str">
        <f aca="false">IF(AND(B75&lt;&gt;"",B75=SW別シート!$C$3),COUNTIF(B$5:B75,B75),"")</f>
        <v/>
      </c>
      <c r="V75" s="47" t="n">
        <f aca="false">V74+IF(OR(O75&lt;&gt;"",W75&lt;&gt;""),1,0)</f>
        <v>3</v>
      </c>
      <c r="W75" s="29"/>
    </row>
    <row r="76" customFormat="false" ht="15" hidden="false" customHeight="false" outlineLevel="0" collapsed="false">
      <c r="A76" s="32" t="str">
        <f aca="false">IF(B76="","",ROW()-7)</f>
        <v/>
      </c>
      <c r="B76" s="30"/>
      <c r="C76" s="29"/>
      <c r="D76" s="29"/>
      <c r="E76" s="29"/>
      <c r="F76" s="30"/>
      <c r="G76" s="29"/>
      <c r="H76" s="30"/>
      <c r="I76" s="29"/>
      <c r="J76" s="30"/>
      <c r="K76" s="30"/>
      <c r="L76" s="29"/>
      <c r="M76" s="32" t="str">
        <f aca="false">IF(OR(C76="",L76=""),"",IF(C76=L76,"同一","変更"))</f>
        <v/>
      </c>
      <c r="N76" s="29"/>
      <c r="O76" s="30"/>
      <c r="P76" s="29"/>
      <c r="Q76" s="31"/>
      <c r="R76" s="29"/>
      <c r="S76" s="29"/>
      <c r="T76" s="30"/>
      <c r="U76" s="47" t="str">
        <f aca="false">IF(AND(B76&lt;&gt;"",B76=SW別シート!$C$3),COUNTIF(B$5:B76,B76),"")</f>
        <v/>
      </c>
      <c r="V76" s="47" t="n">
        <f aca="false">V75+IF(OR(O76&lt;&gt;"",W76&lt;&gt;""),1,0)</f>
        <v>3</v>
      </c>
      <c r="W76" s="29"/>
    </row>
    <row r="77" customFormat="false" ht="15" hidden="false" customHeight="false" outlineLevel="0" collapsed="false">
      <c r="A77" s="32" t="str">
        <f aca="false">IF(B77="","",ROW()-7)</f>
        <v/>
      </c>
      <c r="B77" s="30"/>
      <c r="C77" s="29"/>
      <c r="D77" s="29"/>
      <c r="E77" s="29"/>
      <c r="F77" s="30"/>
      <c r="G77" s="29"/>
      <c r="H77" s="30"/>
      <c r="I77" s="29"/>
      <c r="J77" s="30"/>
      <c r="K77" s="30"/>
      <c r="L77" s="29"/>
      <c r="M77" s="32" t="str">
        <f aca="false">IF(OR(C77="",L77=""),"",IF(C77=L77,"同一","変更"))</f>
        <v/>
      </c>
      <c r="N77" s="29"/>
      <c r="O77" s="30"/>
      <c r="P77" s="29"/>
      <c r="Q77" s="31"/>
      <c r="R77" s="29"/>
      <c r="S77" s="29"/>
      <c r="T77" s="30"/>
      <c r="U77" s="47" t="str">
        <f aca="false">IF(AND(B77&lt;&gt;"",B77=SW別シート!$C$3),COUNTIF(B$5:B77,B77),"")</f>
        <v/>
      </c>
      <c r="V77" s="47" t="n">
        <f aca="false">V76+IF(OR(O77&lt;&gt;"",W77&lt;&gt;""),1,0)</f>
        <v>3</v>
      </c>
      <c r="W77" s="29"/>
    </row>
    <row r="78" customFormat="false" ht="15" hidden="false" customHeight="false" outlineLevel="0" collapsed="false">
      <c r="A78" s="32" t="str">
        <f aca="false">IF(B78="","",ROW()-7)</f>
        <v/>
      </c>
      <c r="B78" s="30"/>
      <c r="C78" s="29"/>
      <c r="D78" s="29"/>
      <c r="E78" s="29"/>
      <c r="F78" s="30"/>
      <c r="G78" s="29"/>
      <c r="H78" s="30"/>
      <c r="I78" s="29"/>
      <c r="J78" s="30"/>
      <c r="K78" s="30"/>
      <c r="L78" s="29"/>
      <c r="M78" s="32" t="str">
        <f aca="false">IF(OR(C78="",L78=""),"",IF(C78=L78,"同一","変更"))</f>
        <v/>
      </c>
      <c r="N78" s="29"/>
      <c r="O78" s="30"/>
      <c r="P78" s="29"/>
      <c r="Q78" s="31"/>
      <c r="R78" s="29"/>
      <c r="S78" s="29"/>
      <c r="T78" s="30"/>
      <c r="U78" s="47" t="str">
        <f aca="false">IF(AND(B78&lt;&gt;"",B78=SW別シート!$C$3),COUNTIF(B$5:B78,B78),"")</f>
        <v/>
      </c>
      <c r="V78" s="47" t="n">
        <f aca="false">V77+IF(OR(O78&lt;&gt;"",W78&lt;&gt;""),1,0)</f>
        <v>3</v>
      </c>
      <c r="W78" s="29"/>
    </row>
    <row r="79" customFormat="false" ht="15" hidden="false" customHeight="false" outlineLevel="0" collapsed="false">
      <c r="A79" s="32" t="str">
        <f aca="false">IF(B79="","",ROW()-7)</f>
        <v/>
      </c>
      <c r="B79" s="30"/>
      <c r="C79" s="29"/>
      <c r="D79" s="29"/>
      <c r="E79" s="29"/>
      <c r="F79" s="30"/>
      <c r="G79" s="29"/>
      <c r="H79" s="30"/>
      <c r="I79" s="29"/>
      <c r="J79" s="30"/>
      <c r="K79" s="30"/>
      <c r="L79" s="29"/>
      <c r="M79" s="32" t="str">
        <f aca="false">IF(OR(C79="",L79=""),"",IF(C79=L79,"同一","変更"))</f>
        <v/>
      </c>
      <c r="N79" s="29"/>
      <c r="O79" s="30"/>
      <c r="P79" s="29"/>
      <c r="Q79" s="31"/>
      <c r="R79" s="29"/>
      <c r="S79" s="29"/>
      <c r="T79" s="30"/>
      <c r="U79" s="47" t="str">
        <f aca="false">IF(AND(B79&lt;&gt;"",B79=SW別シート!$C$3),COUNTIF(B$5:B79,B79),"")</f>
        <v/>
      </c>
      <c r="V79" s="47" t="n">
        <f aca="false">V78+IF(OR(O79&lt;&gt;"",W79&lt;&gt;""),1,0)</f>
        <v>3</v>
      </c>
      <c r="W79" s="29"/>
    </row>
    <row r="80" customFormat="false" ht="15" hidden="false" customHeight="false" outlineLevel="0" collapsed="false">
      <c r="A80" s="32" t="str">
        <f aca="false">IF(B80="","",ROW()-7)</f>
        <v/>
      </c>
      <c r="B80" s="30"/>
      <c r="C80" s="29"/>
      <c r="D80" s="29"/>
      <c r="E80" s="29"/>
      <c r="F80" s="30"/>
      <c r="G80" s="29"/>
      <c r="H80" s="30"/>
      <c r="I80" s="29"/>
      <c r="J80" s="30"/>
      <c r="K80" s="30"/>
      <c r="L80" s="29"/>
      <c r="M80" s="32" t="str">
        <f aca="false">IF(OR(C80="",L80=""),"",IF(C80=L80,"同一","変更"))</f>
        <v/>
      </c>
      <c r="N80" s="29"/>
      <c r="O80" s="30"/>
      <c r="P80" s="29"/>
      <c r="Q80" s="31"/>
      <c r="R80" s="29"/>
      <c r="S80" s="29"/>
      <c r="T80" s="30"/>
      <c r="U80" s="47" t="str">
        <f aca="false">IF(AND(B80&lt;&gt;"",B80=SW別シート!$C$3),COUNTIF(B$5:B80,B80),"")</f>
        <v/>
      </c>
      <c r="V80" s="47" t="n">
        <f aca="false">V79+IF(OR(O80&lt;&gt;"",W80&lt;&gt;""),1,0)</f>
        <v>3</v>
      </c>
      <c r="W80" s="29"/>
    </row>
    <row r="81" customFormat="false" ht="15" hidden="false" customHeight="false" outlineLevel="0" collapsed="false">
      <c r="A81" s="32" t="str">
        <f aca="false">IF(B81="","",ROW()-7)</f>
        <v/>
      </c>
      <c r="B81" s="30"/>
      <c r="C81" s="29"/>
      <c r="D81" s="29"/>
      <c r="E81" s="29"/>
      <c r="F81" s="30"/>
      <c r="G81" s="29"/>
      <c r="H81" s="30"/>
      <c r="I81" s="29"/>
      <c r="J81" s="30"/>
      <c r="K81" s="30"/>
      <c r="L81" s="29"/>
      <c r="M81" s="32" t="str">
        <f aca="false">IF(OR(C81="",L81=""),"",IF(C81=L81,"同一","変更"))</f>
        <v/>
      </c>
      <c r="N81" s="29"/>
      <c r="O81" s="30"/>
      <c r="P81" s="29"/>
      <c r="Q81" s="31"/>
      <c r="R81" s="29"/>
      <c r="S81" s="29"/>
      <c r="T81" s="30"/>
      <c r="U81" s="47" t="str">
        <f aca="false">IF(AND(B81&lt;&gt;"",B81=SW別シート!$C$3),COUNTIF(B$5:B81,B81),"")</f>
        <v/>
      </c>
      <c r="V81" s="47" t="n">
        <f aca="false">V80+IF(OR(O81&lt;&gt;"",W81&lt;&gt;""),1,0)</f>
        <v>3</v>
      </c>
      <c r="W81" s="29"/>
    </row>
    <row r="82" customFormat="false" ht="15" hidden="false" customHeight="false" outlineLevel="0" collapsed="false">
      <c r="A82" s="32" t="str">
        <f aca="false">IF(B82="","",ROW()-7)</f>
        <v/>
      </c>
      <c r="B82" s="30"/>
      <c r="C82" s="29"/>
      <c r="D82" s="29"/>
      <c r="E82" s="29"/>
      <c r="F82" s="30"/>
      <c r="G82" s="29"/>
      <c r="H82" s="30"/>
      <c r="I82" s="29"/>
      <c r="J82" s="30"/>
      <c r="K82" s="30"/>
      <c r="L82" s="29"/>
      <c r="M82" s="32" t="str">
        <f aca="false">IF(OR(C82="",L82=""),"",IF(C82=L82,"同一","変更"))</f>
        <v/>
      </c>
      <c r="N82" s="29"/>
      <c r="O82" s="30"/>
      <c r="P82" s="29"/>
      <c r="Q82" s="31"/>
      <c r="R82" s="29"/>
      <c r="S82" s="29"/>
      <c r="T82" s="30"/>
      <c r="U82" s="47" t="str">
        <f aca="false">IF(AND(B82&lt;&gt;"",B82=SW別シート!$C$3),COUNTIF(B$5:B82,B82),"")</f>
        <v/>
      </c>
      <c r="V82" s="47" t="n">
        <f aca="false">V81+IF(OR(O82&lt;&gt;"",W82&lt;&gt;""),1,0)</f>
        <v>3</v>
      </c>
      <c r="W82" s="29"/>
    </row>
    <row r="83" customFormat="false" ht="15" hidden="false" customHeight="false" outlineLevel="0" collapsed="false">
      <c r="A83" s="32" t="str">
        <f aca="false">IF(B83="","",ROW()-7)</f>
        <v/>
      </c>
      <c r="B83" s="30"/>
      <c r="C83" s="29"/>
      <c r="D83" s="29"/>
      <c r="E83" s="29"/>
      <c r="F83" s="30"/>
      <c r="G83" s="29"/>
      <c r="H83" s="30"/>
      <c r="I83" s="29"/>
      <c r="J83" s="30"/>
      <c r="K83" s="30"/>
      <c r="L83" s="29"/>
      <c r="M83" s="32" t="str">
        <f aca="false">IF(OR(C83="",L83=""),"",IF(C83=L83,"同一","変更"))</f>
        <v/>
      </c>
      <c r="N83" s="29"/>
      <c r="O83" s="30"/>
      <c r="P83" s="29"/>
      <c r="Q83" s="31"/>
      <c r="R83" s="29"/>
      <c r="S83" s="29"/>
      <c r="T83" s="30"/>
      <c r="U83" s="47" t="str">
        <f aca="false">IF(AND(B83&lt;&gt;"",B83=SW別シート!$C$3),COUNTIF(B$5:B83,B83),"")</f>
        <v/>
      </c>
      <c r="V83" s="47" t="n">
        <f aca="false">V82+IF(OR(O83&lt;&gt;"",W83&lt;&gt;""),1,0)</f>
        <v>3</v>
      </c>
      <c r="W83" s="29"/>
    </row>
    <row r="84" customFormat="false" ht="15" hidden="false" customHeight="false" outlineLevel="0" collapsed="false">
      <c r="A84" s="32" t="str">
        <f aca="false">IF(B84="","",ROW()-7)</f>
        <v/>
      </c>
      <c r="B84" s="30"/>
      <c r="C84" s="29"/>
      <c r="D84" s="29"/>
      <c r="E84" s="29"/>
      <c r="F84" s="30"/>
      <c r="G84" s="29"/>
      <c r="H84" s="30"/>
      <c r="I84" s="29"/>
      <c r="J84" s="30"/>
      <c r="K84" s="30"/>
      <c r="L84" s="29"/>
      <c r="M84" s="32" t="str">
        <f aca="false">IF(OR(C84="",L84=""),"",IF(C84=L84,"同一","変更"))</f>
        <v/>
      </c>
      <c r="N84" s="29"/>
      <c r="O84" s="30"/>
      <c r="P84" s="29"/>
      <c r="Q84" s="31"/>
      <c r="R84" s="29"/>
      <c r="S84" s="29"/>
      <c r="T84" s="30"/>
      <c r="U84" s="47" t="str">
        <f aca="false">IF(AND(B84&lt;&gt;"",B84=SW別シート!$C$3),COUNTIF(B$5:B84,B84),"")</f>
        <v/>
      </c>
      <c r="V84" s="47" t="n">
        <f aca="false">V83+IF(OR(O84&lt;&gt;"",W84&lt;&gt;""),1,0)</f>
        <v>3</v>
      </c>
      <c r="W84" s="29"/>
    </row>
    <row r="85" customFormat="false" ht="15" hidden="false" customHeight="false" outlineLevel="0" collapsed="false">
      <c r="A85" s="32" t="str">
        <f aca="false">IF(B85="","",ROW()-7)</f>
        <v/>
      </c>
      <c r="B85" s="30"/>
      <c r="C85" s="29"/>
      <c r="D85" s="29"/>
      <c r="E85" s="29"/>
      <c r="F85" s="30"/>
      <c r="G85" s="29"/>
      <c r="H85" s="30"/>
      <c r="I85" s="29"/>
      <c r="J85" s="30"/>
      <c r="K85" s="30"/>
      <c r="L85" s="29"/>
      <c r="M85" s="32" t="str">
        <f aca="false">IF(OR(C85="",L85=""),"",IF(C85=L85,"同一","変更"))</f>
        <v/>
      </c>
      <c r="N85" s="29"/>
      <c r="O85" s="30"/>
      <c r="P85" s="29"/>
      <c r="Q85" s="31"/>
      <c r="R85" s="29"/>
      <c r="S85" s="29"/>
      <c r="T85" s="30"/>
      <c r="U85" s="47" t="str">
        <f aca="false">IF(AND(B85&lt;&gt;"",B85=SW別シート!$C$3),COUNTIF(B$5:B85,B85),"")</f>
        <v/>
      </c>
      <c r="V85" s="47" t="n">
        <f aca="false">V84+IF(OR(O85&lt;&gt;"",W85&lt;&gt;""),1,0)</f>
        <v>3</v>
      </c>
      <c r="W85" s="29"/>
    </row>
    <row r="86" customFormat="false" ht="15" hidden="false" customHeight="false" outlineLevel="0" collapsed="false">
      <c r="A86" s="32" t="str">
        <f aca="false">IF(B86="","",ROW()-7)</f>
        <v/>
      </c>
      <c r="B86" s="30"/>
      <c r="C86" s="29"/>
      <c r="D86" s="29"/>
      <c r="E86" s="29"/>
      <c r="F86" s="30"/>
      <c r="G86" s="29"/>
      <c r="H86" s="30"/>
      <c r="I86" s="29"/>
      <c r="J86" s="30"/>
      <c r="K86" s="30"/>
      <c r="L86" s="29"/>
      <c r="M86" s="32" t="str">
        <f aca="false">IF(OR(C86="",L86=""),"",IF(C86=L86,"同一","変更"))</f>
        <v/>
      </c>
      <c r="N86" s="29"/>
      <c r="O86" s="30"/>
      <c r="P86" s="29"/>
      <c r="Q86" s="31"/>
      <c r="R86" s="29"/>
      <c r="S86" s="29"/>
      <c r="T86" s="30"/>
      <c r="U86" s="47" t="str">
        <f aca="false">IF(AND(B86&lt;&gt;"",B86=SW別シート!$C$3),COUNTIF(B$5:B86,B86),"")</f>
        <v/>
      </c>
      <c r="V86" s="47" t="n">
        <f aca="false">V85+IF(OR(O86&lt;&gt;"",W86&lt;&gt;""),1,0)</f>
        <v>3</v>
      </c>
      <c r="W86" s="29"/>
    </row>
    <row r="87" customFormat="false" ht="15" hidden="false" customHeight="false" outlineLevel="0" collapsed="false">
      <c r="A87" s="32" t="str">
        <f aca="false">IF(B87="","",ROW()-7)</f>
        <v/>
      </c>
      <c r="B87" s="30"/>
      <c r="C87" s="29"/>
      <c r="D87" s="29"/>
      <c r="E87" s="29"/>
      <c r="F87" s="30"/>
      <c r="G87" s="29"/>
      <c r="H87" s="30"/>
      <c r="I87" s="29"/>
      <c r="J87" s="30"/>
      <c r="K87" s="30"/>
      <c r="L87" s="29"/>
      <c r="M87" s="32" t="str">
        <f aca="false">IF(OR(C87="",L87=""),"",IF(C87=L87,"同一","変更"))</f>
        <v/>
      </c>
      <c r="N87" s="29"/>
      <c r="O87" s="30"/>
      <c r="P87" s="29"/>
      <c r="Q87" s="31"/>
      <c r="R87" s="29"/>
      <c r="S87" s="29"/>
      <c r="T87" s="30"/>
      <c r="U87" s="47" t="str">
        <f aca="false">IF(AND(B87&lt;&gt;"",B87=SW別シート!$C$3),COUNTIF(B$5:B87,B87),"")</f>
        <v/>
      </c>
      <c r="V87" s="47" t="n">
        <f aca="false">V86+IF(OR(O87&lt;&gt;"",W87&lt;&gt;""),1,0)</f>
        <v>3</v>
      </c>
      <c r="W87" s="29"/>
    </row>
    <row r="88" customFormat="false" ht="15" hidden="false" customHeight="false" outlineLevel="0" collapsed="false">
      <c r="A88" s="32" t="str">
        <f aca="false">IF(B88="","",ROW()-7)</f>
        <v/>
      </c>
      <c r="B88" s="30"/>
      <c r="C88" s="29"/>
      <c r="D88" s="29"/>
      <c r="E88" s="29"/>
      <c r="F88" s="30"/>
      <c r="G88" s="29"/>
      <c r="H88" s="30"/>
      <c r="I88" s="29"/>
      <c r="J88" s="30"/>
      <c r="K88" s="30"/>
      <c r="L88" s="29"/>
      <c r="M88" s="32" t="str">
        <f aca="false">IF(OR(C88="",L88=""),"",IF(C88=L88,"同一","変更"))</f>
        <v/>
      </c>
      <c r="N88" s="29"/>
      <c r="O88" s="30"/>
      <c r="P88" s="29"/>
      <c r="Q88" s="31"/>
      <c r="R88" s="29"/>
      <c r="S88" s="29"/>
      <c r="T88" s="30"/>
      <c r="U88" s="47" t="str">
        <f aca="false">IF(AND(B88&lt;&gt;"",B88=SW別シート!$C$3),COUNTIF(B$5:B88,B88),"")</f>
        <v/>
      </c>
      <c r="V88" s="47" t="n">
        <f aca="false">V87+IF(OR(O88&lt;&gt;"",W88&lt;&gt;""),1,0)</f>
        <v>3</v>
      </c>
      <c r="W88" s="29"/>
    </row>
    <row r="89" customFormat="false" ht="15" hidden="false" customHeight="false" outlineLevel="0" collapsed="false">
      <c r="A89" s="32" t="str">
        <f aca="false">IF(B89="","",ROW()-7)</f>
        <v/>
      </c>
      <c r="B89" s="30"/>
      <c r="C89" s="29"/>
      <c r="D89" s="29"/>
      <c r="E89" s="29"/>
      <c r="F89" s="30"/>
      <c r="G89" s="29"/>
      <c r="H89" s="30"/>
      <c r="I89" s="29"/>
      <c r="J89" s="30"/>
      <c r="K89" s="30"/>
      <c r="L89" s="29"/>
      <c r="M89" s="32" t="str">
        <f aca="false">IF(OR(C89="",L89=""),"",IF(C89=L89,"同一","変更"))</f>
        <v/>
      </c>
      <c r="N89" s="29"/>
      <c r="O89" s="30"/>
      <c r="P89" s="29"/>
      <c r="Q89" s="31"/>
      <c r="R89" s="29"/>
      <c r="S89" s="29"/>
      <c r="T89" s="30"/>
      <c r="U89" s="47" t="str">
        <f aca="false">IF(AND(B89&lt;&gt;"",B89=SW別シート!$C$3),COUNTIF(B$5:B89,B89),"")</f>
        <v/>
      </c>
      <c r="V89" s="47" t="n">
        <f aca="false">V88+IF(OR(O89&lt;&gt;"",W89&lt;&gt;""),1,0)</f>
        <v>3</v>
      </c>
      <c r="W89" s="29"/>
    </row>
    <row r="90" customFormat="false" ht="15" hidden="false" customHeight="false" outlineLevel="0" collapsed="false">
      <c r="A90" s="32" t="str">
        <f aca="false">IF(B90="","",ROW()-7)</f>
        <v/>
      </c>
      <c r="B90" s="30"/>
      <c r="C90" s="29"/>
      <c r="D90" s="29"/>
      <c r="E90" s="29"/>
      <c r="F90" s="30"/>
      <c r="G90" s="29"/>
      <c r="H90" s="30"/>
      <c r="I90" s="29"/>
      <c r="J90" s="30"/>
      <c r="K90" s="30"/>
      <c r="L90" s="29"/>
      <c r="M90" s="32" t="str">
        <f aca="false">IF(OR(C90="",L90=""),"",IF(C90=L90,"同一","変更"))</f>
        <v/>
      </c>
      <c r="N90" s="29"/>
      <c r="O90" s="30"/>
      <c r="P90" s="29"/>
      <c r="Q90" s="31"/>
      <c r="R90" s="29"/>
      <c r="S90" s="29"/>
      <c r="T90" s="30"/>
      <c r="U90" s="47" t="str">
        <f aca="false">IF(AND(B90&lt;&gt;"",B90=SW別シート!$C$3),COUNTIF(B$5:B90,B90),"")</f>
        <v/>
      </c>
      <c r="V90" s="47" t="n">
        <f aca="false">V89+IF(OR(O90&lt;&gt;"",W90&lt;&gt;""),1,0)</f>
        <v>3</v>
      </c>
      <c r="W90" s="29"/>
    </row>
    <row r="91" customFormat="false" ht="15" hidden="false" customHeight="false" outlineLevel="0" collapsed="false">
      <c r="A91" s="32" t="str">
        <f aca="false">IF(B91="","",ROW()-7)</f>
        <v/>
      </c>
      <c r="B91" s="30"/>
      <c r="C91" s="29"/>
      <c r="D91" s="29"/>
      <c r="E91" s="29"/>
      <c r="F91" s="30"/>
      <c r="G91" s="29"/>
      <c r="H91" s="30"/>
      <c r="I91" s="29"/>
      <c r="J91" s="30"/>
      <c r="K91" s="30"/>
      <c r="L91" s="29"/>
      <c r="M91" s="32" t="str">
        <f aca="false">IF(OR(C91="",L91=""),"",IF(C91=L91,"同一","変更"))</f>
        <v/>
      </c>
      <c r="N91" s="29"/>
      <c r="O91" s="30"/>
      <c r="P91" s="29"/>
      <c r="Q91" s="31"/>
      <c r="R91" s="29"/>
      <c r="S91" s="29"/>
      <c r="T91" s="30"/>
      <c r="U91" s="47" t="str">
        <f aca="false">IF(AND(B91&lt;&gt;"",B91=SW別シート!$C$3),COUNTIF(B$5:B91,B91),"")</f>
        <v/>
      </c>
      <c r="V91" s="47" t="n">
        <f aca="false">V90+IF(OR(O91&lt;&gt;"",W91&lt;&gt;""),1,0)</f>
        <v>3</v>
      </c>
      <c r="W91" s="29"/>
    </row>
    <row r="92" customFormat="false" ht="15" hidden="false" customHeight="false" outlineLevel="0" collapsed="false">
      <c r="A92" s="32" t="str">
        <f aca="false">IF(B92="","",ROW()-7)</f>
        <v/>
      </c>
      <c r="B92" s="30"/>
      <c r="C92" s="29"/>
      <c r="D92" s="29"/>
      <c r="E92" s="29"/>
      <c r="F92" s="30"/>
      <c r="G92" s="29"/>
      <c r="H92" s="30"/>
      <c r="I92" s="29"/>
      <c r="J92" s="30"/>
      <c r="K92" s="30"/>
      <c r="L92" s="29"/>
      <c r="M92" s="32" t="str">
        <f aca="false">IF(OR(C92="",L92=""),"",IF(C92=L92,"同一","変更"))</f>
        <v/>
      </c>
      <c r="N92" s="29"/>
      <c r="O92" s="30"/>
      <c r="P92" s="29"/>
      <c r="Q92" s="31"/>
      <c r="R92" s="29"/>
      <c r="S92" s="29"/>
      <c r="T92" s="30"/>
      <c r="U92" s="47" t="str">
        <f aca="false">IF(AND(B92&lt;&gt;"",B92=SW別シート!$C$3),COUNTIF(B$5:B92,B92),"")</f>
        <v/>
      </c>
      <c r="V92" s="47" t="n">
        <f aca="false">V91+IF(OR(O92&lt;&gt;"",W92&lt;&gt;""),1,0)</f>
        <v>3</v>
      </c>
      <c r="W92" s="29"/>
    </row>
    <row r="93" customFormat="false" ht="15" hidden="false" customHeight="false" outlineLevel="0" collapsed="false">
      <c r="A93" s="32" t="str">
        <f aca="false">IF(B93="","",ROW()-7)</f>
        <v/>
      </c>
      <c r="B93" s="30"/>
      <c r="C93" s="29"/>
      <c r="D93" s="29"/>
      <c r="E93" s="29"/>
      <c r="F93" s="30"/>
      <c r="G93" s="29"/>
      <c r="H93" s="30"/>
      <c r="I93" s="29"/>
      <c r="J93" s="30"/>
      <c r="K93" s="30"/>
      <c r="L93" s="29"/>
      <c r="M93" s="32" t="str">
        <f aca="false">IF(OR(C93="",L93=""),"",IF(C93=L93,"同一","変更"))</f>
        <v/>
      </c>
      <c r="N93" s="29"/>
      <c r="O93" s="30"/>
      <c r="P93" s="29"/>
      <c r="Q93" s="31"/>
      <c r="R93" s="29"/>
      <c r="S93" s="29"/>
      <c r="T93" s="30"/>
      <c r="U93" s="47" t="str">
        <f aca="false">IF(AND(B93&lt;&gt;"",B93=SW別シート!$C$3),COUNTIF(B$5:B93,B93),"")</f>
        <v/>
      </c>
      <c r="V93" s="47" t="n">
        <f aca="false">V92+IF(OR(O93&lt;&gt;"",W93&lt;&gt;""),1,0)</f>
        <v>3</v>
      </c>
      <c r="W93" s="29"/>
    </row>
    <row r="94" customFormat="false" ht="15" hidden="false" customHeight="false" outlineLevel="0" collapsed="false">
      <c r="A94" s="32" t="str">
        <f aca="false">IF(B94="","",ROW()-7)</f>
        <v/>
      </c>
      <c r="B94" s="30"/>
      <c r="C94" s="29"/>
      <c r="D94" s="29"/>
      <c r="E94" s="29"/>
      <c r="F94" s="30"/>
      <c r="G94" s="29"/>
      <c r="H94" s="30"/>
      <c r="I94" s="29"/>
      <c r="J94" s="30"/>
      <c r="K94" s="30"/>
      <c r="L94" s="29"/>
      <c r="M94" s="32" t="str">
        <f aca="false">IF(OR(C94="",L94=""),"",IF(C94=L94,"同一","変更"))</f>
        <v/>
      </c>
      <c r="N94" s="29"/>
      <c r="O94" s="30"/>
      <c r="P94" s="29"/>
      <c r="Q94" s="31"/>
      <c r="R94" s="29"/>
      <c r="S94" s="29"/>
      <c r="T94" s="30"/>
      <c r="U94" s="47" t="str">
        <f aca="false">IF(AND(B94&lt;&gt;"",B94=SW別シート!$C$3),COUNTIF(B$5:B94,B94),"")</f>
        <v/>
      </c>
      <c r="V94" s="47" t="n">
        <f aca="false">V93+IF(OR(O94&lt;&gt;"",W94&lt;&gt;""),1,0)</f>
        <v>3</v>
      </c>
      <c r="W94" s="29"/>
    </row>
    <row r="95" customFormat="false" ht="15" hidden="false" customHeight="false" outlineLevel="0" collapsed="false">
      <c r="A95" s="32" t="str">
        <f aca="false">IF(B95="","",ROW()-7)</f>
        <v/>
      </c>
      <c r="B95" s="30"/>
      <c r="C95" s="29"/>
      <c r="D95" s="29"/>
      <c r="E95" s="29"/>
      <c r="F95" s="30"/>
      <c r="G95" s="29"/>
      <c r="H95" s="30"/>
      <c r="I95" s="29"/>
      <c r="J95" s="30"/>
      <c r="K95" s="30"/>
      <c r="L95" s="29"/>
      <c r="M95" s="32" t="str">
        <f aca="false">IF(OR(C95="",L95=""),"",IF(C95=L95,"同一","変更"))</f>
        <v/>
      </c>
      <c r="N95" s="29"/>
      <c r="O95" s="30"/>
      <c r="P95" s="29"/>
      <c r="Q95" s="31"/>
      <c r="R95" s="29"/>
      <c r="S95" s="29"/>
      <c r="T95" s="30"/>
      <c r="U95" s="47" t="str">
        <f aca="false">IF(AND(B95&lt;&gt;"",B95=SW別シート!$C$3),COUNTIF(B$5:B95,B95),"")</f>
        <v/>
      </c>
      <c r="V95" s="47" t="n">
        <f aca="false">V94+IF(OR(O95&lt;&gt;"",W95&lt;&gt;""),1,0)</f>
        <v>3</v>
      </c>
      <c r="W95" s="29"/>
    </row>
    <row r="96" customFormat="false" ht="15" hidden="false" customHeight="false" outlineLevel="0" collapsed="false">
      <c r="A96" s="32" t="str">
        <f aca="false">IF(B96="","",ROW()-7)</f>
        <v/>
      </c>
      <c r="B96" s="30"/>
      <c r="C96" s="29"/>
      <c r="D96" s="29"/>
      <c r="E96" s="29"/>
      <c r="F96" s="30"/>
      <c r="G96" s="29"/>
      <c r="H96" s="30"/>
      <c r="I96" s="29"/>
      <c r="J96" s="30"/>
      <c r="K96" s="30"/>
      <c r="L96" s="29"/>
      <c r="M96" s="32" t="str">
        <f aca="false">IF(OR(C96="",L96=""),"",IF(C96=L96,"同一","変更"))</f>
        <v/>
      </c>
      <c r="N96" s="29"/>
      <c r="O96" s="30"/>
      <c r="P96" s="29"/>
      <c r="Q96" s="31"/>
      <c r="R96" s="29"/>
      <c r="S96" s="29"/>
      <c r="T96" s="30"/>
      <c r="U96" s="47" t="str">
        <f aca="false">IF(AND(B96&lt;&gt;"",B96=SW別シート!$C$3),COUNTIF(B$5:B96,B96),"")</f>
        <v/>
      </c>
      <c r="V96" s="47" t="n">
        <f aca="false">V95+IF(OR(O96&lt;&gt;"",W96&lt;&gt;""),1,0)</f>
        <v>3</v>
      </c>
      <c r="W96" s="29"/>
    </row>
    <row r="97" customFormat="false" ht="15" hidden="false" customHeight="false" outlineLevel="0" collapsed="false">
      <c r="A97" s="32" t="str">
        <f aca="false">IF(B97="","",ROW()-7)</f>
        <v/>
      </c>
      <c r="B97" s="30"/>
      <c r="C97" s="29"/>
      <c r="D97" s="29"/>
      <c r="E97" s="29"/>
      <c r="F97" s="30"/>
      <c r="G97" s="29"/>
      <c r="H97" s="30"/>
      <c r="I97" s="29"/>
      <c r="J97" s="30"/>
      <c r="K97" s="30"/>
      <c r="L97" s="29"/>
      <c r="M97" s="32" t="str">
        <f aca="false">IF(OR(C97="",L97=""),"",IF(C97=L97,"同一","変更"))</f>
        <v/>
      </c>
      <c r="N97" s="29"/>
      <c r="O97" s="30"/>
      <c r="P97" s="29"/>
      <c r="Q97" s="31"/>
      <c r="R97" s="29"/>
      <c r="S97" s="29"/>
      <c r="T97" s="30"/>
      <c r="U97" s="47" t="str">
        <f aca="false">IF(AND(B97&lt;&gt;"",B97=SW別シート!$C$3),COUNTIF(B$5:B97,B97),"")</f>
        <v/>
      </c>
      <c r="V97" s="47" t="n">
        <f aca="false">V96+IF(OR(O97&lt;&gt;"",W97&lt;&gt;""),1,0)</f>
        <v>3</v>
      </c>
      <c r="W97" s="29"/>
    </row>
    <row r="98" customFormat="false" ht="15" hidden="false" customHeight="false" outlineLevel="0" collapsed="false">
      <c r="A98" s="32" t="str">
        <f aca="false">IF(B98="","",ROW()-7)</f>
        <v/>
      </c>
      <c r="B98" s="30"/>
      <c r="C98" s="29"/>
      <c r="D98" s="29"/>
      <c r="E98" s="29"/>
      <c r="F98" s="30"/>
      <c r="G98" s="29"/>
      <c r="H98" s="30"/>
      <c r="I98" s="29"/>
      <c r="J98" s="30"/>
      <c r="K98" s="30"/>
      <c r="L98" s="29"/>
      <c r="M98" s="32" t="str">
        <f aca="false">IF(OR(C98="",L98=""),"",IF(C98=L98,"同一","変更"))</f>
        <v/>
      </c>
      <c r="N98" s="29"/>
      <c r="O98" s="30"/>
      <c r="P98" s="29"/>
      <c r="Q98" s="31"/>
      <c r="R98" s="29"/>
      <c r="S98" s="29"/>
      <c r="T98" s="30"/>
      <c r="U98" s="47" t="str">
        <f aca="false">IF(AND(B98&lt;&gt;"",B98=SW別シート!$C$3),COUNTIF(B$5:B98,B98),"")</f>
        <v/>
      </c>
      <c r="V98" s="47" t="n">
        <f aca="false">V97+IF(OR(O98&lt;&gt;"",W98&lt;&gt;""),1,0)</f>
        <v>3</v>
      </c>
      <c r="W98" s="29"/>
    </row>
    <row r="99" customFormat="false" ht="15" hidden="false" customHeight="false" outlineLevel="0" collapsed="false">
      <c r="A99" s="32" t="str">
        <f aca="false">IF(B99="","",ROW()-7)</f>
        <v/>
      </c>
      <c r="B99" s="30"/>
      <c r="C99" s="29"/>
      <c r="D99" s="29"/>
      <c r="E99" s="29"/>
      <c r="F99" s="30"/>
      <c r="G99" s="29"/>
      <c r="H99" s="30"/>
      <c r="I99" s="29"/>
      <c r="J99" s="30"/>
      <c r="K99" s="30"/>
      <c r="L99" s="29"/>
      <c r="M99" s="32" t="str">
        <f aca="false">IF(OR(C99="",L99=""),"",IF(C99=L99,"同一","変更"))</f>
        <v/>
      </c>
      <c r="N99" s="29"/>
      <c r="O99" s="30"/>
      <c r="P99" s="29"/>
      <c r="Q99" s="31"/>
      <c r="R99" s="29"/>
      <c r="S99" s="29"/>
      <c r="T99" s="30"/>
      <c r="U99" s="47" t="str">
        <f aca="false">IF(AND(B99&lt;&gt;"",B99=SW別シート!$C$3),COUNTIF(B$5:B99,B99),"")</f>
        <v/>
      </c>
      <c r="V99" s="47" t="n">
        <f aca="false">V98+IF(OR(O99&lt;&gt;"",W99&lt;&gt;""),1,0)</f>
        <v>3</v>
      </c>
      <c r="W99" s="29"/>
    </row>
    <row r="100" customFormat="false" ht="15" hidden="false" customHeight="false" outlineLevel="0" collapsed="false">
      <c r="A100" s="32" t="str">
        <f aca="false">IF(B100="","",ROW()-7)</f>
        <v/>
      </c>
      <c r="B100" s="30"/>
      <c r="C100" s="29"/>
      <c r="D100" s="29"/>
      <c r="E100" s="29"/>
      <c r="F100" s="30"/>
      <c r="G100" s="29"/>
      <c r="H100" s="30"/>
      <c r="I100" s="29"/>
      <c r="J100" s="30"/>
      <c r="K100" s="30"/>
      <c r="L100" s="29"/>
      <c r="M100" s="32" t="str">
        <f aca="false">IF(OR(C100="",L100=""),"",IF(C100=L100,"同一","変更"))</f>
        <v/>
      </c>
      <c r="N100" s="29"/>
      <c r="O100" s="30"/>
      <c r="P100" s="29"/>
      <c r="Q100" s="31"/>
      <c r="R100" s="29"/>
      <c r="S100" s="29"/>
      <c r="T100" s="30"/>
      <c r="U100" s="47" t="str">
        <f aca="false">IF(AND(B100&lt;&gt;"",B100=SW別シート!$C$3),COUNTIF(B$5:B100,B100),"")</f>
        <v/>
      </c>
      <c r="V100" s="47" t="n">
        <f aca="false">V99+IF(OR(O100&lt;&gt;"",W100&lt;&gt;""),1,0)</f>
        <v>3</v>
      </c>
      <c r="W100" s="29"/>
    </row>
    <row r="101" customFormat="false" ht="15" hidden="false" customHeight="false" outlineLevel="0" collapsed="false">
      <c r="A101" s="32" t="str">
        <f aca="false">IF(B101="","",ROW()-7)</f>
        <v/>
      </c>
      <c r="B101" s="30"/>
      <c r="C101" s="29"/>
      <c r="D101" s="29"/>
      <c r="E101" s="29"/>
      <c r="F101" s="30"/>
      <c r="G101" s="29"/>
      <c r="H101" s="30"/>
      <c r="I101" s="29"/>
      <c r="J101" s="30"/>
      <c r="K101" s="30"/>
      <c r="L101" s="29"/>
      <c r="M101" s="32" t="str">
        <f aca="false">IF(OR(C101="",L101=""),"",IF(C101=L101,"同一","変更"))</f>
        <v/>
      </c>
      <c r="N101" s="29"/>
      <c r="O101" s="30"/>
      <c r="P101" s="29"/>
      <c r="Q101" s="31"/>
      <c r="R101" s="29"/>
      <c r="S101" s="29"/>
      <c r="T101" s="30"/>
      <c r="U101" s="47" t="str">
        <f aca="false">IF(AND(B101&lt;&gt;"",B101=SW別シート!$C$3),COUNTIF(B$5:B101,B101),"")</f>
        <v/>
      </c>
      <c r="V101" s="47" t="n">
        <f aca="false">V100+IF(OR(O101&lt;&gt;"",W101&lt;&gt;""),1,0)</f>
        <v>3</v>
      </c>
      <c r="W101" s="29"/>
    </row>
    <row r="102" customFormat="false" ht="15" hidden="false" customHeight="false" outlineLevel="0" collapsed="false">
      <c r="A102" s="32" t="str">
        <f aca="false">IF(B102="","",ROW()-7)</f>
        <v/>
      </c>
      <c r="B102" s="30"/>
      <c r="C102" s="29"/>
      <c r="D102" s="29"/>
      <c r="E102" s="29"/>
      <c r="F102" s="30"/>
      <c r="G102" s="29"/>
      <c r="H102" s="30"/>
      <c r="I102" s="29"/>
      <c r="J102" s="30"/>
      <c r="K102" s="30"/>
      <c r="L102" s="29"/>
      <c r="M102" s="32" t="str">
        <f aca="false">IF(OR(C102="",L102=""),"",IF(C102=L102,"同一","変更"))</f>
        <v/>
      </c>
      <c r="N102" s="29"/>
      <c r="O102" s="30"/>
      <c r="P102" s="29"/>
      <c r="Q102" s="31"/>
      <c r="R102" s="29"/>
      <c r="S102" s="29"/>
      <c r="T102" s="30"/>
      <c r="U102" s="47" t="str">
        <f aca="false">IF(AND(B102&lt;&gt;"",B102=SW別シート!$C$3),COUNTIF(B$5:B102,B102),"")</f>
        <v/>
      </c>
      <c r="V102" s="47" t="n">
        <f aca="false">V101+IF(OR(O102&lt;&gt;"",W102&lt;&gt;""),1,0)</f>
        <v>3</v>
      </c>
      <c r="W102" s="29"/>
    </row>
    <row r="103" customFormat="false" ht="15" hidden="false" customHeight="false" outlineLevel="0" collapsed="false">
      <c r="A103" s="32" t="str">
        <f aca="false">IF(B103="","",ROW()-7)</f>
        <v/>
      </c>
      <c r="B103" s="30"/>
      <c r="C103" s="29"/>
      <c r="D103" s="29"/>
      <c r="E103" s="29"/>
      <c r="F103" s="30"/>
      <c r="G103" s="29"/>
      <c r="H103" s="30"/>
      <c r="I103" s="29"/>
      <c r="J103" s="30"/>
      <c r="K103" s="30"/>
      <c r="L103" s="29"/>
      <c r="M103" s="32" t="str">
        <f aca="false">IF(OR(C103="",L103=""),"",IF(C103=L103,"同一","変更"))</f>
        <v/>
      </c>
      <c r="N103" s="29"/>
      <c r="O103" s="30"/>
      <c r="P103" s="29"/>
      <c r="Q103" s="31"/>
      <c r="R103" s="29"/>
      <c r="S103" s="29"/>
      <c r="T103" s="30"/>
      <c r="U103" s="47" t="str">
        <f aca="false">IF(AND(B103&lt;&gt;"",B103=SW別シート!$C$3),COUNTIF(B$5:B103,B103),"")</f>
        <v/>
      </c>
      <c r="V103" s="47" t="n">
        <f aca="false">V102+IF(OR(O103&lt;&gt;"",W103&lt;&gt;""),1,0)</f>
        <v>3</v>
      </c>
      <c r="W103" s="29"/>
    </row>
    <row r="104" customFormat="false" ht="15" hidden="false" customHeight="false" outlineLevel="0" collapsed="false">
      <c r="A104" s="32" t="str">
        <f aca="false">IF(B104="","",ROW()-7)</f>
        <v/>
      </c>
      <c r="B104" s="30"/>
      <c r="C104" s="29"/>
      <c r="D104" s="29"/>
      <c r="E104" s="29"/>
      <c r="F104" s="30"/>
      <c r="G104" s="29"/>
      <c r="H104" s="30"/>
      <c r="I104" s="29"/>
      <c r="J104" s="30"/>
      <c r="K104" s="30"/>
      <c r="L104" s="29"/>
      <c r="M104" s="32" t="str">
        <f aca="false">IF(OR(C104="",L104=""),"",IF(C104=L104,"同一","変更"))</f>
        <v/>
      </c>
      <c r="N104" s="29"/>
      <c r="O104" s="30"/>
      <c r="P104" s="29"/>
      <c r="Q104" s="31"/>
      <c r="R104" s="29"/>
      <c r="S104" s="29"/>
      <c r="T104" s="30"/>
      <c r="U104" s="47" t="str">
        <f aca="false">IF(AND(B104&lt;&gt;"",B104=SW別シート!$C$3),COUNTIF(B$5:B104,B104),"")</f>
        <v/>
      </c>
      <c r="V104" s="47" t="n">
        <f aca="false">V103+IF(OR(O104&lt;&gt;"",W104&lt;&gt;""),1,0)</f>
        <v>3</v>
      </c>
      <c r="W104" s="29"/>
    </row>
    <row r="105" customFormat="false" ht="15" hidden="false" customHeight="false" outlineLevel="0" collapsed="false">
      <c r="A105" s="32" t="str">
        <f aca="false">IF(B105="","",ROW()-7)</f>
        <v/>
      </c>
      <c r="B105" s="30"/>
      <c r="C105" s="29"/>
      <c r="D105" s="29"/>
      <c r="E105" s="29"/>
      <c r="F105" s="30"/>
      <c r="G105" s="29"/>
      <c r="H105" s="30"/>
      <c r="I105" s="29"/>
      <c r="J105" s="30"/>
      <c r="K105" s="30"/>
      <c r="L105" s="29"/>
      <c r="M105" s="32" t="str">
        <f aca="false">IF(OR(C105="",L105=""),"",IF(C105=L105,"同一","変更"))</f>
        <v/>
      </c>
      <c r="N105" s="29"/>
      <c r="O105" s="30"/>
      <c r="P105" s="29"/>
      <c r="Q105" s="31"/>
      <c r="R105" s="29"/>
      <c r="S105" s="29"/>
      <c r="T105" s="30"/>
      <c r="U105" s="47" t="str">
        <f aca="false">IF(AND(B105&lt;&gt;"",B105=SW別シート!$C$3),COUNTIF(B$5:B105,B105),"")</f>
        <v/>
      </c>
      <c r="V105" s="47" t="n">
        <f aca="false">V104+IF(OR(O105&lt;&gt;"",W105&lt;&gt;""),1,0)</f>
        <v>3</v>
      </c>
      <c r="W105" s="29"/>
    </row>
    <row r="106" customFormat="false" ht="15" hidden="false" customHeight="false" outlineLevel="0" collapsed="false">
      <c r="A106" s="32" t="str">
        <f aca="false">IF(B106="","",ROW()-7)</f>
        <v/>
      </c>
      <c r="B106" s="30"/>
      <c r="C106" s="29"/>
      <c r="D106" s="29"/>
      <c r="E106" s="29"/>
      <c r="F106" s="30"/>
      <c r="G106" s="29"/>
      <c r="H106" s="30"/>
      <c r="I106" s="29"/>
      <c r="J106" s="30"/>
      <c r="K106" s="30"/>
      <c r="L106" s="29"/>
      <c r="M106" s="32" t="str">
        <f aca="false">IF(OR(C106="",L106=""),"",IF(C106=L106,"同一","変更"))</f>
        <v/>
      </c>
      <c r="N106" s="29"/>
      <c r="O106" s="30"/>
      <c r="P106" s="29"/>
      <c r="Q106" s="31"/>
      <c r="R106" s="29"/>
      <c r="S106" s="29"/>
      <c r="T106" s="30"/>
      <c r="U106" s="47" t="str">
        <f aca="false">IF(AND(B106&lt;&gt;"",B106=SW別シート!$C$3),COUNTIF(B$5:B106,B106),"")</f>
        <v/>
      </c>
      <c r="V106" s="47" t="n">
        <f aca="false">V105+IF(OR(O106&lt;&gt;"",W106&lt;&gt;""),1,0)</f>
        <v>3</v>
      </c>
      <c r="W106" s="29"/>
    </row>
    <row r="107" customFormat="false" ht="15" hidden="false" customHeight="false" outlineLevel="0" collapsed="false">
      <c r="A107" s="32" t="str">
        <f aca="false">IF(B107="","",ROW()-7)</f>
        <v/>
      </c>
      <c r="B107" s="30"/>
      <c r="C107" s="29"/>
      <c r="D107" s="29"/>
      <c r="E107" s="29"/>
      <c r="F107" s="30"/>
      <c r="G107" s="29"/>
      <c r="H107" s="30"/>
      <c r="I107" s="29"/>
      <c r="J107" s="30"/>
      <c r="K107" s="30"/>
      <c r="L107" s="29"/>
      <c r="M107" s="32" t="str">
        <f aca="false">IF(OR(C107="",L107=""),"",IF(C107=L107,"同一","変更"))</f>
        <v/>
      </c>
      <c r="N107" s="29"/>
      <c r="O107" s="30"/>
      <c r="P107" s="29"/>
      <c r="Q107" s="31"/>
      <c r="R107" s="29"/>
      <c r="S107" s="29"/>
      <c r="T107" s="30"/>
      <c r="U107" s="47" t="str">
        <f aca="false">IF(AND(B107&lt;&gt;"",B107=SW別シート!$C$3),COUNTIF(B$5:B107,B107),"")</f>
        <v/>
      </c>
      <c r="V107" s="47" t="n">
        <f aca="false">V106+IF(OR(O107&lt;&gt;"",W107&lt;&gt;""),1,0)</f>
        <v>3</v>
      </c>
      <c r="W107" s="29"/>
    </row>
    <row r="108" customFormat="false" ht="15" hidden="false" customHeight="false" outlineLevel="0" collapsed="false">
      <c r="A108" s="32" t="str">
        <f aca="false">IF(B108="","",ROW()-7)</f>
        <v/>
      </c>
      <c r="B108" s="30"/>
      <c r="C108" s="29"/>
      <c r="D108" s="29"/>
      <c r="E108" s="29"/>
      <c r="F108" s="30"/>
      <c r="G108" s="29"/>
      <c r="H108" s="30"/>
      <c r="I108" s="29"/>
      <c r="J108" s="30"/>
      <c r="K108" s="30"/>
      <c r="L108" s="29"/>
      <c r="M108" s="32" t="str">
        <f aca="false">IF(OR(C108="",L108=""),"",IF(C108=L108,"同一","変更"))</f>
        <v/>
      </c>
      <c r="N108" s="29"/>
      <c r="O108" s="30"/>
      <c r="P108" s="29"/>
      <c r="Q108" s="31"/>
      <c r="R108" s="29"/>
      <c r="S108" s="29"/>
      <c r="T108" s="30"/>
      <c r="U108" s="47" t="str">
        <f aca="false">IF(AND(B108&lt;&gt;"",B108=SW別シート!$C$3),COUNTIF(B$5:B108,B108),"")</f>
        <v/>
      </c>
      <c r="V108" s="47" t="n">
        <f aca="false">V107+IF(OR(O108&lt;&gt;"",W108&lt;&gt;""),1,0)</f>
        <v>3</v>
      </c>
      <c r="W108" s="29"/>
    </row>
    <row r="109" customFormat="false" ht="15" hidden="false" customHeight="false" outlineLevel="0" collapsed="false">
      <c r="A109" s="32" t="str">
        <f aca="false">IF(B109="","",ROW()-7)</f>
        <v/>
      </c>
      <c r="B109" s="30"/>
      <c r="C109" s="29"/>
      <c r="D109" s="29"/>
      <c r="E109" s="29"/>
      <c r="F109" s="30"/>
      <c r="G109" s="29"/>
      <c r="H109" s="30"/>
      <c r="I109" s="29"/>
      <c r="J109" s="30"/>
      <c r="K109" s="30"/>
      <c r="L109" s="29"/>
      <c r="M109" s="32" t="str">
        <f aca="false">IF(OR(C109="",L109=""),"",IF(C109=L109,"同一","変更"))</f>
        <v/>
      </c>
      <c r="N109" s="29"/>
      <c r="O109" s="30"/>
      <c r="P109" s="29"/>
      <c r="Q109" s="31"/>
      <c r="R109" s="29"/>
      <c r="S109" s="29"/>
      <c r="T109" s="30"/>
      <c r="U109" s="47" t="str">
        <f aca="false">IF(AND(B109&lt;&gt;"",B109=SW別シート!$C$3),COUNTIF(B$5:B109,B109),"")</f>
        <v/>
      </c>
      <c r="V109" s="47" t="n">
        <f aca="false">V108+IF(OR(O109&lt;&gt;"",W109&lt;&gt;""),1,0)</f>
        <v>3</v>
      </c>
      <c r="W109" s="29"/>
    </row>
    <row r="110" customFormat="false" ht="15" hidden="false" customHeight="false" outlineLevel="0" collapsed="false">
      <c r="A110" s="32" t="str">
        <f aca="false">IF(B110="","",ROW()-7)</f>
        <v/>
      </c>
      <c r="B110" s="30"/>
      <c r="C110" s="29"/>
      <c r="D110" s="29"/>
      <c r="E110" s="29"/>
      <c r="F110" s="30"/>
      <c r="G110" s="29"/>
      <c r="H110" s="30"/>
      <c r="I110" s="29"/>
      <c r="J110" s="30"/>
      <c r="K110" s="30"/>
      <c r="L110" s="29"/>
      <c r="M110" s="32" t="str">
        <f aca="false">IF(OR(C110="",L110=""),"",IF(C110=L110,"同一","変更"))</f>
        <v/>
      </c>
      <c r="N110" s="29"/>
      <c r="O110" s="30"/>
      <c r="P110" s="29"/>
      <c r="Q110" s="31"/>
      <c r="R110" s="29"/>
      <c r="S110" s="29"/>
      <c r="T110" s="30"/>
      <c r="U110" s="47" t="str">
        <f aca="false">IF(AND(B110&lt;&gt;"",B110=SW別シート!$C$3),COUNTIF(B$5:B110,B110),"")</f>
        <v/>
      </c>
      <c r="V110" s="47" t="n">
        <f aca="false">V109+IF(OR(O110&lt;&gt;"",W110&lt;&gt;""),1,0)</f>
        <v>3</v>
      </c>
      <c r="W110" s="29"/>
    </row>
    <row r="111" customFormat="false" ht="15" hidden="false" customHeight="false" outlineLevel="0" collapsed="false">
      <c r="A111" s="32" t="str">
        <f aca="false">IF(B111="","",ROW()-7)</f>
        <v/>
      </c>
      <c r="B111" s="30"/>
      <c r="C111" s="29"/>
      <c r="D111" s="29"/>
      <c r="E111" s="29"/>
      <c r="F111" s="30"/>
      <c r="G111" s="29"/>
      <c r="H111" s="30"/>
      <c r="I111" s="29"/>
      <c r="J111" s="30"/>
      <c r="K111" s="30"/>
      <c r="L111" s="29"/>
      <c r="M111" s="32" t="str">
        <f aca="false">IF(OR(C111="",L111=""),"",IF(C111=L111,"同一","変更"))</f>
        <v/>
      </c>
      <c r="N111" s="29"/>
      <c r="O111" s="30"/>
      <c r="P111" s="29"/>
      <c r="Q111" s="31"/>
      <c r="R111" s="29"/>
      <c r="S111" s="29"/>
      <c r="T111" s="30"/>
      <c r="U111" s="47" t="str">
        <f aca="false">IF(AND(B111&lt;&gt;"",B111=SW別シート!$C$3),COUNTIF(B$5:B111,B111),"")</f>
        <v/>
      </c>
      <c r="V111" s="47" t="n">
        <f aca="false">V110+IF(OR(O111&lt;&gt;"",W111&lt;&gt;""),1,0)</f>
        <v>3</v>
      </c>
      <c r="W111" s="29"/>
    </row>
    <row r="112" customFormat="false" ht="15" hidden="false" customHeight="false" outlineLevel="0" collapsed="false">
      <c r="A112" s="32" t="str">
        <f aca="false">IF(B112="","",ROW()-7)</f>
        <v/>
      </c>
      <c r="B112" s="30"/>
      <c r="C112" s="29"/>
      <c r="D112" s="29"/>
      <c r="E112" s="29"/>
      <c r="F112" s="30"/>
      <c r="G112" s="29"/>
      <c r="H112" s="30"/>
      <c r="I112" s="29"/>
      <c r="J112" s="30"/>
      <c r="K112" s="30"/>
      <c r="L112" s="29"/>
      <c r="M112" s="32" t="str">
        <f aca="false">IF(OR(C112="",L112=""),"",IF(C112=L112,"同一","変更"))</f>
        <v/>
      </c>
      <c r="N112" s="29"/>
      <c r="O112" s="30"/>
      <c r="P112" s="29"/>
      <c r="Q112" s="31"/>
      <c r="R112" s="29"/>
      <c r="S112" s="29"/>
      <c r="T112" s="30"/>
      <c r="U112" s="47" t="str">
        <f aca="false">IF(AND(B112&lt;&gt;"",B112=SW別シート!$C$3),COUNTIF(B$5:B112,B112),"")</f>
        <v/>
      </c>
      <c r="V112" s="47" t="n">
        <f aca="false">V111+IF(OR(O112&lt;&gt;"",W112&lt;&gt;""),1,0)</f>
        <v>3</v>
      </c>
      <c r="W112" s="29"/>
    </row>
    <row r="113" customFormat="false" ht="15" hidden="false" customHeight="false" outlineLevel="0" collapsed="false">
      <c r="A113" s="32" t="str">
        <f aca="false">IF(B113="","",ROW()-7)</f>
        <v/>
      </c>
      <c r="B113" s="30"/>
      <c r="C113" s="29"/>
      <c r="D113" s="29"/>
      <c r="E113" s="29"/>
      <c r="F113" s="30"/>
      <c r="G113" s="29"/>
      <c r="H113" s="30"/>
      <c r="I113" s="29"/>
      <c r="J113" s="30"/>
      <c r="K113" s="30"/>
      <c r="L113" s="29"/>
      <c r="M113" s="32" t="str">
        <f aca="false">IF(OR(C113="",L113=""),"",IF(C113=L113,"同一","変更"))</f>
        <v/>
      </c>
      <c r="N113" s="29"/>
      <c r="O113" s="30"/>
      <c r="P113" s="29"/>
      <c r="Q113" s="31"/>
      <c r="R113" s="29"/>
      <c r="S113" s="29"/>
      <c r="T113" s="30"/>
      <c r="U113" s="47" t="str">
        <f aca="false">IF(AND(B113&lt;&gt;"",B113=SW別シート!$C$3),COUNTIF(B$5:B113,B113),"")</f>
        <v/>
      </c>
      <c r="V113" s="47" t="n">
        <f aca="false">V112+IF(OR(O113&lt;&gt;"",W113&lt;&gt;""),1,0)</f>
        <v>3</v>
      </c>
      <c r="W113" s="29"/>
    </row>
    <row r="114" customFormat="false" ht="15" hidden="false" customHeight="false" outlineLevel="0" collapsed="false">
      <c r="A114" s="32" t="str">
        <f aca="false">IF(B114="","",ROW()-7)</f>
        <v/>
      </c>
      <c r="B114" s="30"/>
      <c r="C114" s="29"/>
      <c r="D114" s="29"/>
      <c r="E114" s="29"/>
      <c r="F114" s="30"/>
      <c r="G114" s="29"/>
      <c r="H114" s="30"/>
      <c r="I114" s="29"/>
      <c r="J114" s="30"/>
      <c r="K114" s="30"/>
      <c r="L114" s="29"/>
      <c r="M114" s="32" t="str">
        <f aca="false">IF(OR(C114="",L114=""),"",IF(C114=L114,"同一","変更"))</f>
        <v/>
      </c>
      <c r="N114" s="29"/>
      <c r="O114" s="30"/>
      <c r="P114" s="29"/>
      <c r="Q114" s="31"/>
      <c r="R114" s="29"/>
      <c r="S114" s="29"/>
      <c r="T114" s="30"/>
      <c r="U114" s="47" t="str">
        <f aca="false">IF(AND(B114&lt;&gt;"",B114=SW別シート!$C$3),COUNTIF(B$5:B114,B114),"")</f>
        <v/>
      </c>
      <c r="V114" s="47" t="n">
        <f aca="false">V113+IF(OR(O114&lt;&gt;"",W114&lt;&gt;""),1,0)</f>
        <v>3</v>
      </c>
      <c r="W114" s="29"/>
    </row>
    <row r="115" customFormat="false" ht="15" hidden="false" customHeight="false" outlineLevel="0" collapsed="false">
      <c r="A115" s="32" t="str">
        <f aca="false">IF(B115="","",ROW()-7)</f>
        <v/>
      </c>
      <c r="B115" s="30"/>
      <c r="C115" s="29"/>
      <c r="D115" s="29"/>
      <c r="E115" s="29"/>
      <c r="F115" s="30"/>
      <c r="G115" s="29"/>
      <c r="H115" s="30"/>
      <c r="I115" s="29"/>
      <c r="J115" s="30"/>
      <c r="K115" s="30"/>
      <c r="L115" s="29"/>
      <c r="M115" s="32" t="str">
        <f aca="false">IF(OR(C115="",L115=""),"",IF(C115=L115,"同一","変更"))</f>
        <v/>
      </c>
      <c r="N115" s="29"/>
      <c r="O115" s="30"/>
      <c r="P115" s="29"/>
      <c r="Q115" s="31"/>
      <c r="R115" s="29"/>
      <c r="S115" s="29"/>
      <c r="T115" s="30"/>
      <c r="U115" s="47" t="str">
        <f aca="false">IF(AND(B115&lt;&gt;"",B115=SW別シート!$C$3),COUNTIF(B$5:B115,B115),"")</f>
        <v/>
      </c>
      <c r="V115" s="47" t="n">
        <f aca="false">V114+IF(OR(O115&lt;&gt;"",W115&lt;&gt;""),1,0)</f>
        <v>3</v>
      </c>
      <c r="W115" s="29"/>
    </row>
    <row r="116" customFormat="false" ht="15" hidden="false" customHeight="false" outlineLevel="0" collapsed="false">
      <c r="A116" s="32" t="str">
        <f aca="false">IF(B116="","",ROW()-7)</f>
        <v/>
      </c>
      <c r="B116" s="30"/>
      <c r="C116" s="29"/>
      <c r="D116" s="29"/>
      <c r="E116" s="29"/>
      <c r="F116" s="30"/>
      <c r="G116" s="29"/>
      <c r="H116" s="30"/>
      <c r="I116" s="29"/>
      <c r="J116" s="30"/>
      <c r="K116" s="30"/>
      <c r="L116" s="29"/>
      <c r="M116" s="32" t="str">
        <f aca="false">IF(OR(C116="",L116=""),"",IF(C116=L116,"同一","変更"))</f>
        <v/>
      </c>
      <c r="N116" s="29"/>
      <c r="O116" s="30"/>
      <c r="P116" s="29"/>
      <c r="Q116" s="31"/>
      <c r="R116" s="29"/>
      <c r="S116" s="29"/>
      <c r="T116" s="30"/>
      <c r="U116" s="47" t="str">
        <f aca="false">IF(AND(B116&lt;&gt;"",B116=SW別シート!$C$3),COUNTIF(B$5:B116,B116),"")</f>
        <v/>
      </c>
      <c r="V116" s="47" t="n">
        <f aca="false">V115+IF(OR(O116&lt;&gt;"",W116&lt;&gt;""),1,0)</f>
        <v>3</v>
      </c>
      <c r="W116" s="29"/>
    </row>
    <row r="117" customFormat="false" ht="15" hidden="false" customHeight="false" outlineLevel="0" collapsed="false">
      <c r="A117" s="32" t="str">
        <f aca="false">IF(B117="","",ROW()-7)</f>
        <v/>
      </c>
      <c r="B117" s="30"/>
      <c r="C117" s="29"/>
      <c r="D117" s="29"/>
      <c r="E117" s="29"/>
      <c r="F117" s="30"/>
      <c r="G117" s="29"/>
      <c r="H117" s="30"/>
      <c r="I117" s="29"/>
      <c r="J117" s="30"/>
      <c r="K117" s="30"/>
      <c r="L117" s="29"/>
      <c r="M117" s="32" t="str">
        <f aca="false">IF(OR(C117="",L117=""),"",IF(C117=L117,"同一","変更"))</f>
        <v/>
      </c>
      <c r="N117" s="29"/>
      <c r="O117" s="30"/>
      <c r="P117" s="29"/>
      <c r="Q117" s="31"/>
      <c r="R117" s="29"/>
      <c r="S117" s="29"/>
      <c r="T117" s="30"/>
      <c r="U117" s="47" t="str">
        <f aca="false">IF(AND(B117&lt;&gt;"",B117=SW別シート!$C$3),COUNTIF(B$5:B117,B117),"")</f>
        <v/>
      </c>
      <c r="V117" s="47" t="n">
        <f aca="false">V116+IF(OR(O117&lt;&gt;"",W117&lt;&gt;""),1,0)</f>
        <v>3</v>
      </c>
      <c r="W117" s="29"/>
    </row>
    <row r="118" customFormat="false" ht="15" hidden="false" customHeight="false" outlineLevel="0" collapsed="false">
      <c r="A118" s="32" t="str">
        <f aca="false">IF(B118="","",ROW()-7)</f>
        <v/>
      </c>
      <c r="B118" s="30"/>
      <c r="C118" s="29"/>
      <c r="D118" s="29"/>
      <c r="E118" s="29"/>
      <c r="F118" s="30"/>
      <c r="G118" s="29"/>
      <c r="H118" s="30"/>
      <c r="I118" s="29"/>
      <c r="J118" s="30"/>
      <c r="K118" s="30"/>
      <c r="L118" s="29"/>
      <c r="M118" s="32" t="str">
        <f aca="false">IF(OR(C118="",L118=""),"",IF(C118=L118,"同一","変更"))</f>
        <v/>
      </c>
      <c r="N118" s="29"/>
      <c r="O118" s="30"/>
      <c r="P118" s="29"/>
      <c r="Q118" s="31"/>
      <c r="R118" s="29"/>
      <c r="S118" s="29"/>
      <c r="T118" s="30"/>
      <c r="U118" s="47" t="str">
        <f aca="false">IF(AND(B118&lt;&gt;"",B118=SW別シート!$C$3),COUNTIF(B$5:B118,B118),"")</f>
        <v/>
      </c>
      <c r="V118" s="47" t="n">
        <f aca="false">V117+IF(OR(O118&lt;&gt;"",W118&lt;&gt;""),1,0)</f>
        <v>3</v>
      </c>
      <c r="W118" s="29"/>
    </row>
    <row r="119" customFormat="false" ht="15" hidden="false" customHeight="false" outlineLevel="0" collapsed="false">
      <c r="A119" s="32" t="str">
        <f aca="false">IF(B119="","",ROW()-7)</f>
        <v/>
      </c>
      <c r="B119" s="30"/>
      <c r="C119" s="29"/>
      <c r="D119" s="29"/>
      <c r="E119" s="29"/>
      <c r="F119" s="30"/>
      <c r="G119" s="29"/>
      <c r="H119" s="30"/>
      <c r="I119" s="29"/>
      <c r="J119" s="30"/>
      <c r="K119" s="30"/>
      <c r="L119" s="29"/>
      <c r="M119" s="32" t="str">
        <f aca="false">IF(OR(C119="",L119=""),"",IF(C119=L119,"同一","変更"))</f>
        <v/>
      </c>
      <c r="N119" s="29"/>
      <c r="O119" s="30"/>
      <c r="P119" s="29"/>
      <c r="Q119" s="31"/>
      <c r="R119" s="29"/>
      <c r="S119" s="29"/>
      <c r="T119" s="30"/>
      <c r="U119" s="47" t="str">
        <f aca="false">IF(AND(B119&lt;&gt;"",B119=SW別シート!$C$3),COUNTIF(B$5:B119,B119),"")</f>
        <v/>
      </c>
      <c r="V119" s="47" t="n">
        <f aca="false">V118+IF(OR(O119&lt;&gt;"",W119&lt;&gt;""),1,0)</f>
        <v>3</v>
      </c>
      <c r="W119" s="29"/>
    </row>
    <row r="120" customFormat="false" ht="15" hidden="false" customHeight="false" outlineLevel="0" collapsed="false">
      <c r="A120" s="32" t="str">
        <f aca="false">IF(B120="","",ROW()-7)</f>
        <v/>
      </c>
      <c r="B120" s="30"/>
      <c r="C120" s="29"/>
      <c r="D120" s="29"/>
      <c r="E120" s="29"/>
      <c r="F120" s="30"/>
      <c r="G120" s="29"/>
      <c r="H120" s="30"/>
      <c r="I120" s="29"/>
      <c r="J120" s="30"/>
      <c r="K120" s="30"/>
      <c r="L120" s="29"/>
      <c r="M120" s="32" t="str">
        <f aca="false">IF(OR(C120="",L120=""),"",IF(C120=L120,"同一","変更"))</f>
        <v/>
      </c>
      <c r="N120" s="29"/>
      <c r="O120" s="30"/>
      <c r="P120" s="29"/>
      <c r="Q120" s="31"/>
      <c r="R120" s="29"/>
      <c r="S120" s="29"/>
      <c r="T120" s="30"/>
      <c r="U120" s="47" t="str">
        <f aca="false">IF(AND(B120&lt;&gt;"",B120=SW別シート!$C$3),COUNTIF(B$5:B120,B120),"")</f>
        <v/>
      </c>
      <c r="V120" s="47" t="n">
        <f aca="false">V119+IF(OR(O120&lt;&gt;"",W120&lt;&gt;""),1,0)</f>
        <v>3</v>
      </c>
      <c r="W120" s="29"/>
    </row>
    <row r="121" customFormat="false" ht="15" hidden="false" customHeight="false" outlineLevel="0" collapsed="false">
      <c r="A121" s="32" t="str">
        <f aca="false">IF(B121="","",ROW()-7)</f>
        <v/>
      </c>
      <c r="B121" s="30"/>
      <c r="C121" s="29"/>
      <c r="D121" s="29"/>
      <c r="E121" s="29"/>
      <c r="F121" s="30"/>
      <c r="G121" s="29"/>
      <c r="H121" s="30"/>
      <c r="I121" s="29"/>
      <c r="J121" s="30"/>
      <c r="K121" s="30"/>
      <c r="L121" s="29"/>
      <c r="M121" s="32" t="str">
        <f aca="false">IF(OR(C121="",L121=""),"",IF(C121=L121,"同一","変更"))</f>
        <v/>
      </c>
      <c r="N121" s="29"/>
      <c r="O121" s="30"/>
      <c r="P121" s="29"/>
      <c r="Q121" s="31"/>
      <c r="R121" s="29"/>
      <c r="S121" s="29"/>
      <c r="T121" s="30"/>
      <c r="U121" s="47" t="str">
        <f aca="false">IF(AND(B121&lt;&gt;"",B121=SW別シート!$C$3),COUNTIF(B$5:B121,B121),"")</f>
        <v/>
      </c>
      <c r="V121" s="47" t="n">
        <f aca="false">V120+IF(OR(O121&lt;&gt;"",W121&lt;&gt;""),1,0)</f>
        <v>3</v>
      </c>
      <c r="W121" s="29"/>
    </row>
    <row r="122" customFormat="false" ht="15" hidden="false" customHeight="false" outlineLevel="0" collapsed="false">
      <c r="A122" s="32" t="str">
        <f aca="false">IF(B122="","",ROW()-7)</f>
        <v/>
      </c>
      <c r="B122" s="30"/>
      <c r="C122" s="29"/>
      <c r="D122" s="29"/>
      <c r="E122" s="29"/>
      <c r="F122" s="30"/>
      <c r="G122" s="29"/>
      <c r="H122" s="30"/>
      <c r="I122" s="29"/>
      <c r="J122" s="30"/>
      <c r="K122" s="30"/>
      <c r="L122" s="29"/>
      <c r="M122" s="32" t="str">
        <f aca="false">IF(OR(C122="",L122=""),"",IF(C122=L122,"同一","変更"))</f>
        <v/>
      </c>
      <c r="N122" s="29"/>
      <c r="O122" s="30"/>
      <c r="P122" s="29"/>
      <c r="Q122" s="31"/>
      <c r="R122" s="29"/>
      <c r="S122" s="29"/>
      <c r="T122" s="30"/>
      <c r="U122" s="47" t="str">
        <f aca="false">IF(AND(B122&lt;&gt;"",B122=SW別シート!$C$3),COUNTIF(B$5:B122,B122),"")</f>
        <v/>
      </c>
      <c r="V122" s="47" t="n">
        <f aca="false">V121+IF(OR(O122&lt;&gt;"",W122&lt;&gt;""),1,0)</f>
        <v>3</v>
      </c>
      <c r="W122" s="29"/>
    </row>
    <row r="123" customFormat="false" ht="15" hidden="false" customHeight="false" outlineLevel="0" collapsed="false">
      <c r="A123" s="32" t="str">
        <f aca="false">IF(B123="","",ROW()-7)</f>
        <v/>
      </c>
      <c r="B123" s="30"/>
      <c r="C123" s="29"/>
      <c r="D123" s="29"/>
      <c r="E123" s="29"/>
      <c r="F123" s="30"/>
      <c r="G123" s="29"/>
      <c r="H123" s="30"/>
      <c r="I123" s="29"/>
      <c r="J123" s="30"/>
      <c r="K123" s="30"/>
      <c r="L123" s="29"/>
      <c r="M123" s="32" t="str">
        <f aca="false">IF(OR(C123="",L123=""),"",IF(C123=L123,"同一","変更"))</f>
        <v/>
      </c>
      <c r="N123" s="29"/>
      <c r="O123" s="30"/>
      <c r="P123" s="29"/>
      <c r="Q123" s="31"/>
      <c r="R123" s="29"/>
      <c r="S123" s="29"/>
      <c r="T123" s="30"/>
      <c r="U123" s="47" t="str">
        <f aca="false">IF(AND(B123&lt;&gt;"",B123=SW別シート!$C$3),COUNTIF(B$5:B123,B123),"")</f>
        <v/>
      </c>
      <c r="V123" s="47" t="n">
        <f aca="false">V122+IF(OR(O123&lt;&gt;"",W123&lt;&gt;""),1,0)</f>
        <v>3</v>
      </c>
      <c r="W123" s="29"/>
    </row>
    <row r="124" customFormat="false" ht="15" hidden="false" customHeight="false" outlineLevel="0" collapsed="false">
      <c r="A124" s="32" t="str">
        <f aca="false">IF(B124="","",ROW()-7)</f>
        <v/>
      </c>
      <c r="B124" s="30"/>
      <c r="C124" s="29"/>
      <c r="D124" s="29"/>
      <c r="E124" s="29"/>
      <c r="F124" s="30"/>
      <c r="G124" s="29"/>
      <c r="H124" s="30"/>
      <c r="I124" s="29"/>
      <c r="J124" s="30"/>
      <c r="K124" s="30"/>
      <c r="L124" s="29"/>
      <c r="M124" s="32" t="str">
        <f aca="false">IF(OR(C124="",L124=""),"",IF(C124=L124,"同一","変更"))</f>
        <v/>
      </c>
      <c r="N124" s="29"/>
      <c r="O124" s="30"/>
      <c r="P124" s="29"/>
      <c r="Q124" s="31"/>
      <c r="R124" s="29"/>
      <c r="S124" s="29"/>
      <c r="T124" s="30"/>
      <c r="U124" s="47" t="str">
        <f aca="false">IF(AND(B124&lt;&gt;"",B124=SW別シート!$C$3),COUNTIF(B$5:B124,B124),"")</f>
        <v/>
      </c>
      <c r="V124" s="47" t="n">
        <f aca="false">V123+IF(OR(O124&lt;&gt;"",W124&lt;&gt;""),1,0)</f>
        <v>3</v>
      </c>
      <c r="W124" s="29"/>
    </row>
    <row r="125" customFormat="false" ht="15" hidden="false" customHeight="false" outlineLevel="0" collapsed="false">
      <c r="A125" s="32" t="str">
        <f aca="false">IF(B125="","",ROW()-7)</f>
        <v/>
      </c>
      <c r="B125" s="30"/>
      <c r="C125" s="29"/>
      <c r="D125" s="29"/>
      <c r="E125" s="29"/>
      <c r="F125" s="30"/>
      <c r="G125" s="29"/>
      <c r="H125" s="30"/>
      <c r="I125" s="29"/>
      <c r="J125" s="30"/>
      <c r="K125" s="30"/>
      <c r="L125" s="29"/>
      <c r="M125" s="32" t="str">
        <f aca="false">IF(OR(C125="",L125=""),"",IF(C125=L125,"同一","変更"))</f>
        <v/>
      </c>
      <c r="N125" s="29"/>
      <c r="O125" s="30"/>
      <c r="P125" s="29"/>
      <c r="Q125" s="31"/>
      <c r="R125" s="29"/>
      <c r="S125" s="29"/>
      <c r="T125" s="30"/>
      <c r="U125" s="47" t="str">
        <f aca="false">IF(AND(B125&lt;&gt;"",B125=SW別シート!$C$3),COUNTIF(B$5:B125,B125),"")</f>
        <v/>
      </c>
      <c r="V125" s="47" t="n">
        <f aca="false">V124+IF(OR(O125&lt;&gt;"",W125&lt;&gt;""),1,0)</f>
        <v>3</v>
      </c>
      <c r="W125" s="29"/>
    </row>
    <row r="126" customFormat="false" ht="15" hidden="false" customHeight="false" outlineLevel="0" collapsed="false">
      <c r="A126" s="32" t="str">
        <f aca="false">IF(B126="","",ROW()-7)</f>
        <v/>
      </c>
      <c r="B126" s="30"/>
      <c r="C126" s="29"/>
      <c r="D126" s="29"/>
      <c r="E126" s="29"/>
      <c r="F126" s="30"/>
      <c r="G126" s="29"/>
      <c r="H126" s="30"/>
      <c r="I126" s="29"/>
      <c r="J126" s="30"/>
      <c r="K126" s="30"/>
      <c r="L126" s="29"/>
      <c r="M126" s="32" t="str">
        <f aca="false">IF(OR(C126="",L126=""),"",IF(C126=L126,"同一","変更"))</f>
        <v/>
      </c>
      <c r="N126" s="29"/>
      <c r="O126" s="30"/>
      <c r="P126" s="29"/>
      <c r="Q126" s="31"/>
      <c r="R126" s="29"/>
      <c r="S126" s="29"/>
      <c r="T126" s="30"/>
      <c r="U126" s="47" t="str">
        <f aca="false">IF(AND(B126&lt;&gt;"",B126=SW別シート!$C$3),COUNTIF(B$5:B126,B126),"")</f>
        <v/>
      </c>
      <c r="V126" s="47" t="n">
        <f aca="false">V125+IF(OR(O126&lt;&gt;"",W126&lt;&gt;""),1,0)</f>
        <v>3</v>
      </c>
      <c r="W126" s="29"/>
    </row>
    <row r="127" customFormat="false" ht="15" hidden="false" customHeight="false" outlineLevel="0" collapsed="false">
      <c r="A127" s="32" t="str">
        <f aca="false">IF(B127="","",ROW()-7)</f>
        <v/>
      </c>
      <c r="B127" s="30"/>
      <c r="C127" s="29"/>
      <c r="D127" s="29"/>
      <c r="E127" s="29"/>
      <c r="F127" s="30"/>
      <c r="G127" s="29"/>
      <c r="H127" s="30"/>
      <c r="I127" s="29"/>
      <c r="J127" s="30"/>
      <c r="K127" s="30"/>
      <c r="L127" s="29"/>
      <c r="M127" s="32" t="str">
        <f aca="false">IF(OR(C127="",L127=""),"",IF(C127=L127,"同一","変更"))</f>
        <v/>
      </c>
      <c r="N127" s="29"/>
      <c r="O127" s="30"/>
      <c r="P127" s="29"/>
      <c r="Q127" s="31"/>
      <c r="R127" s="29"/>
      <c r="S127" s="29"/>
      <c r="T127" s="30"/>
      <c r="U127" s="47" t="str">
        <f aca="false">IF(AND(B127&lt;&gt;"",B127=SW別シート!$C$3),COUNTIF(B$5:B127,B127),"")</f>
        <v/>
      </c>
      <c r="V127" s="47" t="n">
        <f aca="false">V126+IF(OR(O127&lt;&gt;"",W127&lt;&gt;""),1,0)</f>
        <v>3</v>
      </c>
      <c r="W127" s="29"/>
    </row>
    <row r="128" customFormat="false" ht="15" hidden="false" customHeight="false" outlineLevel="0" collapsed="false">
      <c r="A128" s="32" t="str">
        <f aca="false">IF(B128="","",ROW()-7)</f>
        <v/>
      </c>
      <c r="B128" s="30"/>
      <c r="C128" s="29"/>
      <c r="D128" s="29"/>
      <c r="E128" s="29"/>
      <c r="F128" s="30"/>
      <c r="G128" s="29"/>
      <c r="H128" s="30"/>
      <c r="I128" s="29"/>
      <c r="J128" s="30"/>
      <c r="K128" s="30"/>
      <c r="L128" s="29"/>
      <c r="M128" s="32" t="str">
        <f aca="false">IF(OR(C128="",L128=""),"",IF(C128=L128,"同一","変更"))</f>
        <v/>
      </c>
      <c r="N128" s="29"/>
      <c r="O128" s="30"/>
      <c r="P128" s="29"/>
      <c r="Q128" s="31"/>
      <c r="R128" s="29"/>
      <c r="S128" s="29"/>
      <c r="T128" s="30"/>
      <c r="U128" s="47" t="str">
        <f aca="false">IF(AND(B128&lt;&gt;"",B128=SW別シート!$C$3),COUNTIF(B$5:B128,B128),"")</f>
        <v/>
      </c>
      <c r="V128" s="47" t="n">
        <f aca="false">V127+IF(OR(O128&lt;&gt;"",W128&lt;&gt;""),1,0)</f>
        <v>3</v>
      </c>
      <c r="W128" s="29"/>
    </row>
    <row r="129" customFormat="false" ht="15" hidden="false" customHeight="false" outlineLevel="0" collapsed="false">
      <c r="A129" s="32" t="str">
        <f aca="false">IF(B129="","",ROW()-7)</f>
        <v/>
      </c>
      <c r="B129" s="30"/>
      <c r="C129" s="29"/>
      <c r="D129" s="29"/>
      <c r="E129" s="29"/>
      <c r="F129" s="30"/>
      <c r="G129" s="29"/>
      <c r="H129" s="30"/>
      <c r="I129" s="29"/>
      <c r="J129" s="30"/>
      <c r="K129" s="30"/>
      <c r="L129" s="29"/>
      <c r="M129" s="32" t="str">
        <f aca="false">IF(OR(C129="",L129=""),"",IF(C129=L129,"同一","変更"))</f>
        <v/>
      </c>
      <c r="N129" s="29"/>
      <c r="O129" s="30"/>
      <c r="P129" s="29"/>
      <c r="Q129" s="31"/>
      <c r="R129" s="29"/>
      <c r="S129" s="29"/>
      <c r="T129" s="30"/>
      <c r="U129" s="47" t="str">
        <f aca="false">IF(AND(B129&lt;&gt;"",B129=SW別シート!$C$3),COUNTIF(B$5:B129,B129),"")</f>
        <v/>
      </c>
      <c r="V129" s="47" t="n">
        <f aca="false">V128+IF(OR(O129&lt;&gt;"",W129&lt;&gt;""),1,0)</f>
        <v>3</v>
      </c>
      <c r="W129" s="29"/>
    </row>
    <row r="130" customFormat="false" ht="15" hidden="false" customHeight="false" outlineLevel="0" collapsed="false">
      <c r="A130" s="32" t="str">
        <f aca="false">IF(B130="","",ROW()-7)</f>
        <v/>
      </c>
      <c r="B130" s="30"/>
      <c r="C130" s="29"/>
      <c r="D130" s="29"/>
      <c r="E130" s="29"/>
      <c r="F130" s="30"/>
      <c r="G130" s="29"/>
      <c r="H130" s="30"/>
      <c r="I130" s="29"/>
      <c r="J130" s="30"/>
      <c r="K130" s="30"/>
      <c r="L130" s="29"/>
      <c r="M130" s="32" t="str">
        <f aca="false">IF(OR(C130="",L130=""),"",IF(C130=L130,"同一","変更"))</f>
        <v/>
      </c>
      <c r="N130" s="29"/>
      <c r="O130" s="30"/>
      <c r="P130" s="29"/>
      <c r="Q130" s="31"/>
      <c r="R130" s="29"/>
      <c r="S130" s="29"/>
      <c r="T130" s="30"/>
      <c r="U130" s="47" t="str">
        <f aca="false">IF(AND(B130&lt;&gt;"",B130=SW別シート!$C$3),COUNTIF(B$5:B130,B130),"")</f>
        <v/>
      </c>
      <c r="V130" s="47" t="n">
        <f aca="false">V129+IF(OR(O130&lt;&gt;"",W130&lt;&gt;""),1,0)</f>
        <v>3</v>
      </c>
      <c r="W130" s="29"/>
    </row>
    <row r="131" customFormat="false" ht="15" hidden="false" customHeight="false" outlineLevel="0" collapsed="false">
      <c r="A131" s="32" t="str">
        <f aca="false">IF(B131="","",ROW()-7)</f>
        <v/>
      </c>
      <c r="B131" s="30"/>
      <c r="C131" s="29"/>
      <c r="D131" s="29"/>
      <c r="E131" s="29"/>
      <c r="F131" s="30"/>
      <c r="G131" s="29"/>
      <c r="H131" s="30"/>
      <c r="I131" s="29"/>
      <c r="J131" s="30"/>
      <c r="K131" s="30"/>
      <c r="L131" s="29"/>
      <c r="M131" s="32" t="str">
        <f aca="false">IF(OR(C131="",L131=""),"",IF(C131=L131,"同一","変更"))</f>
        <v/>
      </c>
      <c r="N131" s="29"/>
      <c r="O131" s="30"/>
      <c r="P131" s="29"/>
      <c r="Q131" s="31"/>
      <c r="R131" s="29"/>
      <c r="S131" s="29"/>
      <c r="T131" s="30"/>
      <c r="U131" s="47" t="str">
        <f aca="false">IF(AND(B131&lt;&gt;"",B131=SW別シート!$C$3),COUNTIF(B$5:B131,B131),"")</f>
        <v/>
      </c>
      <c r="V131" s="47" t="n">
        <f aca="false">V130+IF(OR(O131&lt;&gt;"",W131&lt;&gt;""),1,0)</f>
        <v>3</v>
      </c>
      <c r="W131" s="29"/>
    </row>
    <row r="132" customFormat="false" ht="15" hidden="false" customHeight="false" outlineLevel="0" collapsed="false">
      <c r="A132" s="32" t="str">
        <f aca="false">IF(B132="","",ROW()-7)</f>
        <v/>
      </c>
      <c r="B132" s="30"/>
      <c r="C132" s="29"/>
      <c r="D132" s="29"/>
      <c r="E132" s="29"/>
      <c r="F132" s="30"/>
      <c r="G132" s="29"/>
      <c r="H132" s="30"/>
      <c r="I132" s="29"/>
      <c r="J132" s="30"/>
      <c r="K132" s="30"/>
      <c r="L132" s="29"/>
      <c r="M132" s="32" t="str">
        <f aca="false">IF(OR(C132="",L132=""),"",IF(C132=L132,"同一","変更"))</f>
        <v/>
      </c>
      <c r="N132" s="29"/>
      <c r="O132" s="30"/>
      <c r="P132" s="29"/>
      <c r="Q132" s="31"/>
      <c r="R132" s="29"/>
      <c r="S132" s="29"/>
      <c r="T132" s="30"/>
      <c r="U132" s="47" t="str">
        <f aca="false">IF(AND(B132&lt;&gt;"",B132=SW別シート!$C$3),COUNTIF(B$5:B132,B132),"")</f>
        <v/>
      </c>
      <c r="V132" s="47" t="n">
        <f aca="false">V131+IF(OR(O132&lt;&gt;"",W132&lt;&gt;""),1,0)</f>
        <v>3</v>
      </c>
      <c r="W132" s="29"/>
    </row>
    <row r="133" customFormat="false" ht="15" hidden="false" customHeight="false" outlineLevel="0" collapsed="false">
      <c r="A133" s="32" t="str">
        <f aca="false">IF(B133="","",ROW()-7)</f>
        <v/>
      </c>
      <c r="B133" s="30"/>
      <c r="C133" s="29"/>
      <c r="D133" s="29"/>
      <c r="E133" s="29"/>
      <c r="F133" s="30"/>
      <c r="G133" s="29"/>
      <c r="H133" s="30"/>
      <c r="I133" s="29"/>
      <c r="J133" s="30"/>
      <c r="K133" s="30"/>
      <c r="L133" s="29"/>
      <c r="M133" s="32" t="str">
        <f aca="false">IF(OR(C133="",L133=""),"",IF(C133=L133,"同一","変更"))</f>
        <v/>
      </c>
      <c r="N133" s="29"/>
      <c r="O133" s="30"/>
      <c r="P133" s="29"/>
      <c r="Q133" s="31"/>
      <c r="R133" s="29"/>
      <c r="S133" s="29"/>
      <c r="T133" s="30"/>
      <c r="U133" s="47" t="str">
        <f aca="false">IF(AND(B133&lt;&gt;"",B133=SW別シート!$C$3),COUNTIF(B$5:B133,B133),"")</f>
        <v/>
      </c>
      <c r="V133" s="47" t="n">
        <f aca="false">V132+IF(OR(O133&lt;&gt;"",W133&lt;&gt;""),1,0)</f>
        <v>3</v>
      </c>
      <c r="W133" s="29"/>
    </row>
    <row r="134" customFormat="false" ht="15" hidden="false" customHeight="false" outlineLevel="0" collapsed="false">
      <c r="A134" s="32" t="str">
        <f aca="false">IF(B134="","",ROW()-7)</f>
        <v/>
      </c>
      <c r="B134" s="30"/>
      <c r="C134" s="29"/>
      <c r="D134" s="29"/>
      <c r="E134" s="29"/>
      <c r="F134" s="30"/>
      <c r="G134" s="29"/>
      <c r="H134" s="30"/>
      <c r="I134" s="29"/>
      <c r="J134" s="30"/>
      <c r="K134" s="30"/>
      <c r="L134" s="29"/>
      <c r="M134" s="32" t="str">
        <f aca="false">IF(OR(C134="",L134=""),"",IF(C134=L134,"同一","変更"))</f>
        <v/>
      </c>
      <c r="N134" s="29"/>
      <c r="O134" s="30"/>
      <c r="P134" s="29"/>
      <c r="Q134" s="31"/>
      <c r="R134" s="29"/>
      <c r="S134" s="29"/>
      <c r="T134" s="30"/>
      <c r="U134" s="47" t="str">
        <f aca="false">IF(AND(B134&lt;&gt;"",B134=SW別シート!$C$3),COUNTIF(B$5:B134,B134),"")</f>
        <v/>
      </c>
      <c r="V134" s="47" t="n">
        <f aca="false">V133+IF(OR(O134&lt;&gt;"",W134&lt;&gt;""),1,0)</f>
        <v>3</v>
      </c>
      <c r="W134" s="29"/>
    </row>
    <row r="135" customFormat="false" ht="15" hidden="false" customHeight="false" outlineLevel="0" collapsed="false">
      <c r="A135" s="32" t="str">
        <f aca="false">IF(B135="","",ROW()-7)</f>
        <v/>
      </c>
      <c r="B135" s="30"/>
      <c r="C135" s="29"/>
      <c r="D135" s="29"/>
      <c r="E135" s="29"/>
      <c r="F135" s="30"/>
      <c r="G135" s="29"/>
      <c r="H135" s="30"/>
      <c r="I135" s="29"/>
      <c r="J135" s="30"/>
      <c r="K135" s="30"/>
      <c r="L135" s="29"/>
      <c r="M135" s="32" t="str">
        <f aca="false">IF(OR(C135="",L135=""),"",IF(C135=L135,"同一","変更"))</f>
        <v/>
      </c>
      <c r="N135" s="29"/>
      <c r="O135" s="30"/>
      <c r="P135" s="29"/>
      <c r="Q135" s="31"/>
      <c r="R135" s="29"/>
      <c r="S135" s="29"/>
      <c r="T135" s="30"/>
      <c r="U135" s="47" t="str">
        <f aca="false">IF(AND(B135&lt;&gt;"",B135=SW別シート!$C$3),COUNTIF(B$5:B135,B135),"")</f>
        <v/>
      </c>
      <c r="V135" s="47" t="n">
        <f aca="false">V134+IF(OR(O135&lt;&gt;"",W135&lt;&gt;""),1,0)</f>
        <v>3</v>
      </c>
      <c r="W135" s="29"/>
    </row>
    <row r="136" customFormat="false" ht="15" hidden="false" customHeight="false" outlineLevel="0" collapsed="false">
      <c r="A136" s="32" t="str">
        <f aca="false">IF(B136="","",ROW()-7)</f>
        <v/>
      </c>
      <c r="B136" s="30"/>
      <c r="C136" s="29"/>
      <c r="D136" s="29"/>
      <c r="E136" s="29"/>
      <c r="F136" s="30"/>
      <c r="G136" s="29"/>
      <c r="H136" s="30"/>
      <c r="I136" s="29"/>
      <c r="J136" s="30"/>
      <c r="K136" s="30"/>
      <c r="L136" s="29"/>
      <c r="M136" s="32" t="str">
        <f aca="false">IF(OR(C136="",L136=""),"",IF(C136=L136,"同一","変更"))</f>
        <v/>
      </c>
      <c r="N136" s="29"/>
      <c r="O136" s="30"/>
      <c r="P136" s="29"/>
      <c r="Q136" s="31"/>
      <c r="R136" s="29"/>
      <c r="S136" s="29"/>
      <c r="T136" s="30"/>
      <c r="U136" s="47" t="str">
        <f aca="false">IF(AND(B136&lt;&gt;"",B136=SW別シート!$C$3),COUNTIF(B$5:B136,B136),"")</f>
        <v/>
      </c>
      <c r="V136" s="47" t="n">
        <f aca="false">V135+IF(OR(O136&lt;&gt;"",W136&lt;&gt;""),1,0)</f>
        <v>3</v>
      </c>
      <c r="W136" s="29"/>
    </row>
    <row r="137" customFormat="false" ht="15" hidden="false" customHeight="false" outlineLevel="0" collapsed="false">
      <c r="A137" s="32" t="str">
        <f aca="false">IF(B137="","",ROW()-7)</f>
        <v/>
      </c>
      <c r="B137" s="30"/>
      <c r="C137" s="29"/>
      <c r="D137" s="29"/>
      <c r="E137" s="29"/>
      <c r="F137" s="30"/>
      <c r="G137" s="29"/>
      <c r="H137" s="30"/>
      <c r="I137" s="29"/>
      <c r="J137" s="30"/>
      <c r="K137" s="30"/>
      <c r="L137" s="29"/>
      <c r="M137" s="32" t="str">
        <f aca="false">IF(OR(C137="",L137=""),"",IF(C137=L137,"同一","変更"))</f>
        <v/>
      </c>
      <c r="N137" s="29"/>
      <c r="O137" s="30"/>
      <c r="P137" s="29"/>
      <c r="Q137" s="31"/>
      <c r="R137" s="29"/>
      <c r="S137" s="29"/>
      <c r="T137" s="30"/>
      <c r="U137" s="47" t="str">
        <f aca="false">IF(AND(B137&lt;&gt;"",B137=SW別シート!$C$3),COUNTIF(B$5:B137,B137),"")</f>
        <v/>
      </c>
      <c r="V137" s="47" t="n">
        <f aca="false">V136+IF(OR(O137&lt;&gt;"",W137&lt;&gt;""),1,0)</f>
        <v>3</v>
      </c>
      <c r="W137" s="29"/>
    </row>
    <row r="138" customFormat="false" ht="15" hidden="false" customHeight="false" outlineLevel="0" collapsed="false">
      <c r="A138" s="32" t="str">
        <f aca="false">IF(B138="","",ROW()-7)</f>
        <v/>
      </c>
      <c r="B138" s="30"/>
      <c r="C138" s="29"/>
      <c r="D138" s="29"/>
      <c r="E138" s="29"/>
      <c r="F138" s="30"/>
      <c r="G138" s="29"/>
      <c r="H138" s="30"/>
      <c r="I138" s="29"/>
      <c r="J138" s="30"/>
      <c r="K138" s="30"/>
      <c r="L138" s="29"/>
      <c r="M138" s="32" t="str">
        <f aca="false">IF(OR(C138="",L138=""),"",IF(C138=L138,"同一","変更"))</f>
        <v/>
      </c>
      <c r="N138" s="29"/>
      <c r="O138" s="30"/>
      <c r="P138" s="29"/>
      <c r="Q138" s="31"/>
      <c r="R138" s="29"/>
      <c r="S138" s="29"/>
      <c r="T138" s="30"/>
      <c r="U138" s="47" t="str">
        <f aca="false">IF(AND(B138&lt;&gt;"",B138=SW別シート!$C$3),COUNTIF(B$5:B138,B138),"")</f>
        <v/>
      </c>
      <c r="V138" s="47" t="n">
        <f aca="false">V137+IF(OR(O138&lt;&gt;"",W138&lt;&gt;""),1,0)</f>
        <v>3</v>
      </c>
      <c r="W138" s="29"/>
    </row>
    <row r="139" customFormat="false" ht="15" hidden="false" customHeight="false" outlineLevel="0" collapsed="false">
      <c r="A139" s="32" t="str">
        <f aca="false">IF(B139="","",ROW()-7)</f>
        <v/>
      </c>
      <c r="B139" s="30"/>
      <c r="C139" s="29"/>
      <c r="D139" s="29"/>
      <c r="E139" s="29"/>
      <c r="F139" s="30"/>
      <c r="G139" s="29"/>
      <c r="H139" s="30"/>
      <c r="I139" s="29"/>
      <c r="J139" s="30"/>
      <c r="K139" s="30"/>
      <c r="L139" s="29"/>
      <c r="M139" s="32" t="str">
        <f aca="false">IF(OR(C139="",L139=""),"",IF(C139=L139,"同一","変更"))</f>
        <v/>
      </c>
      <c r="N139" s="29"/>
      <c r="O139" s="30"/>
      <c r="P139" s="29"/>
      <c r="Q139" s="31"/>
      <c r="R139" s="29"/>
      <c r="S139" s="29"/>
      <c r="T139" s="30"/>
      <c r="U139" s="47" t="str">
        <f aca="false">IF(AND(B139&lt;&gt;"",B139=SW別シート!$C$3),COUNTIF(B$5:B139,B139),"")</f>
        <v/>
      </c>
      <c r="V139" s="47" t="n">
        <f aca="false">V138+IF(OR(O139&lt;&gt;"",W139&lt;&gt;""),1,0)</f>
        <v>3</v>
      </c>
      <c r="W139" s="29"/>
    </row>
    <row r="140" customFormat="false" ht="15" hidden="false" customHeight="false" outlineLevel="0" collapsed="false">
      <c r="A140" s="32" t="str">
        <f aca="false">IF(B140="","",ROW()-7)</f>
        <v/>
      </c>
      <c r="B140" s="30"/>
      <c r="C140" s="29"/>
      <c r="D140" s="29"/>
      <c r="E140" s="29"/>
      <c r="F140" s="30"/>
      <c r="G140" s="29"/>
      <c r="H140" s="30"/>
      <c r="I140" s="29"/>
      <c r="J140" s="30"/>
      <c r="K140" s="30"/>
      <c r="L140" s="29"/>
      <c r="M140" s="32" t="str">
        <f aca="false">IF(OR(C140="",L140=""),"",IF(C140=L140,"同一","変更"))</f>
        <v/>
      </c>
      <c r="N140" s="29"/>
      <c r="O140" s="30"/>
      <c r="P140" s="29"/>
      <c r="Q140" s="31"/>
      <c r="R140" s="29"/>
      <c r="S140" s="29"/>
      <c r="T140" s="30"/>
      <c r="U140" s="47" t="str">
        <f aca="false">IF(AND(B140&lt;&gt;"",B140=SW別シート!$C$3),COUNTIF(B$5:B140,B140),"")</f>
        <v/>
      </c>
      <c r="V140" s="47" t="n">
        <f aca="false">V139+IF(OR(O140&lt;&gt;"",W140&lt;&gt;""),1,0)</f>
        <v>3</v>
      </c>
      <c r="W140" s="29"/>
    </row>
    <row r="141" customFormat="false" ht="15" hidden="false" customHeight="false" outlineLevel="0" collapsed="false">
      <c r="A141" s="32" t="str">
        <f aca="false">IF(B141="","",ROW()-7)</f>
        <v/>
      </c>
      <c r="B141" s="30"/>
      <c r="C141" s="29"/>
      <c r="D141" s="29"/>
      <c r="E141" s="29"/>
      <c r="F141" s="30"/>
      <c r="G141" s="29"/>
      <c r="H141" s="30"/>
      <c r="I141" s="29"/>
      <c r="J141" s="30"/>
      <c r="K141" s="30"/>
      <c r="L141" s="29"/>
      <c r="M141" s="32" t="str">
        <f aca="false">IF(OR(C141="",L141=""),"",IF(C141=L141,"同一","変更"))</f>
        <v/>
      </c>
      <c r="N141" s="29"/>
      <c r="O141" s="30"/>
      <c r="P141" s="29"/>
      <c r="Q141" s="31"/>
      <c r="R141" s="29"/>
      <c r="S141" s="29"/>
      <c r="T141" s="30"/>
      <c r="U141" s="47" t="str">
        <f aca="false">IF(AND(B141&lt;&gt;"",B141=SW別シート!$C$3),COUNTIF(B$5:B141,B141),"")</f>
        <v/>
      </c>
      <c r="V141" s="47" t="n">
        <f aca="false">V140+IF(OR(O141&lt;&gt;"",W141&lt;&gt;""),1,0)</f>
        <v>3</v>
      </c>
      <c r="W141" s="29"/>
    </row>
    <row r="142" customFormat="false" ht="15" hidden="false" customHeight="false" outlineLevel="0" collapsed="false">
      <c r="A142" s="32" t="str">
        <f aca="false">IF(B142="","",ROW()-7)</f>
        <v/>
      </c>
      <c r="B142" s="30"/>
      <c r="C142" s="29"/>
      <c r="D142" s="29"/>
      <c r="E142" s="29"/>
      <c r="F142" s="30"/>
      <c r="G142" s="29"/>
      <c r="H142" s="30"/>
      <c r="I142" s="29"/>
      <c r="J142" s="30"/>
      <c r="K142" s="30"/>
      <c r="L142" s="29"/>
      <c r="M142" s="32" t="str">
        <f aca="false">IF(OR(C142="",L142=""),"",IF(C142=L142,"同一","変更"))</f>
        <v/>
      </c>
      <c r="N142" s="29"/>
      <c r="O142" s="30"/>
      <c r="P142" s="29"/>
      <c r="Q142" s="31"/>
      <c r="R142" s="29"/>
      <c r="S142" s="29"/>
      <c r="T142" s="30"/>
      <c r="U142" s="47" t="str">
        <f aca="false">IF(AND(B142&lt;&gt;"",B142=SW別シート!$C$3),COUNTIF(B$5:B142,B142),"")</f>
        <v/>
      </c>
      <c r="V142" s="47" t="n">
        <f aca="false">V141+IF(OR(O142&lt;&gt;"",W142&lt;&gt;""),1,0)</f>
        <v>3</v>
      </c>
      <c r="W142" s="29"/>
    </row>
    <row r="143" customFormat="false" ht="15" hidden="false" customHeight="false" outlineLevel="0" collapsed="false">
      <c r="A143" s="32" t="str">
        <f aca="false">IF(B143="","",ROW()-7)</f>
        <v/>
      </c>
      <c r="B143" s="30"/>
      <c r="C143" s="29"/>
      <c r="D143" s="29"/>
      <c r="E143" s="29"/>
      <c r="F143" s="30"/>
      <c r="G143" s="29"/>
      <c r="H143" s="30"/>
      <c r="I143" s="29"/>
      <c r="J143" s="30"/>
      <c r="K143" s="30"/>
      <c r="L143" s="29"/>
      <c r="M143" s="32" t="str">
        <f aca="false">IF(OR(C143="",L143=""),"",IF(C143=L143,"同一","変更"))</f>
        <v/>
      </c>
      <c r="N143" s="29"/>
      <c r="O143" s="30"/>
      <c r="P143" s="29"/>
      <c r="Q143" s="31"/>
      <c r="R143" s="29"/>
      <c r="S143" s="29"/>
      <c r="T143" s="30"/>
      <c r="U143" s="47" t="str">
        <f aca="false">IF(AND(B143&lt;&gt;"",B143=SW別シート!$C$3),COUNTIF(B$5:B143,B143),"")</f>
        <v/>
      </c>
      <c r="V143" s="47" t="n">
        <f aca="false">V142+IF(OR(O143&lt;&gt;"",W143&lt;&gt;""),1,0)</f>
        <v>3</v>
      </c>
      <c r="W143" s="29"/>
    </row>
    <row r="144" customFormat="false" ht="15" hidden="false" customHeight="false" outlineLevel="0" collapsed="false">
      <c r="A144" s="32" t="str">
        <f aca="false">IF(B144="","",ROW()-7)</f>
        <v/>
      </c>
      <c r="B144" s="30"/>
      <c r="C144" s="29"/>
      <c r="D144" s="29"/>
      <c r="E144" s="29"/>
      <c r="F144" s="30"/>
      <c r="G144" s="29"/>
      <c r="H144" s="30"/>
      <c r="I144" s="29"/>
      <c r="J144" s="30"/>
      <c r="K144" s="30"/>
      <c r="L144" s="29"/>
      <c r="M144" s="32" t="str">
        <f aca="false">IF(OR(C144="",L144=""),"",IF(C144=L144,"同一","変更"))</f>
        <v/>
      </c>
      <c r="N144" s="29"/>
      <c r="O144" s="30"/>
      <c r="P144" s="29"/>
      <c r="Q144" s="31"/>
      <c r="R144" s="29"/>
      <c r="S144" s="29"/>
      <c r="T144" s="30"/>
      <c r="U144" s="47" t="str">
        <f aca="false">IF(AND(B144&lt;&gt;"",B144=SW別シート!$C$3),COUNTIF(B$5:B144,B144),"")</f>
        <v/>
      </c>
      <c r="V144" s="47" t="n">
        <f aca="false">V143+IF(OR(O144&lt;&gt;"",W144&lt;&gt;""),1,0)</f>
        <v>3</v>
      </c>
      <c r="W144" s="29"/>
    </row>
    <row r="145" customFormat="false" ht="15" hidden="false" customHeight="false" outlineLevel="0" collapsed="false">
      <c r="A145" s="32" t="str">
        <f aca="false">IF(B145="","",ROW()-7)</f>
        <v/>
      </c>
      <c r="B145" s="30"/>
      <c r="C145" s="29"/>
      <c r="D145" s="29"/>
      <c r="E145" s="29"/>
      <c r="F145" s="30"/>
      <c r="G145" s="29"/>
      <c r="H145" s="30"/>
      <c r="I145" s="29"/>
      <c r="J145" s="30"/>
      <c r="K145" s="30"/>
      <c r="L145" s="29"/>
      <c r="M145" s="32" t="str">
        <f aca="false">IF(OR(C145="",L145=""),"",IF(C145=L145,"同一","変更"))</f>
        <v/>
      </c>
      <c r="N145" s="29"/>
      <c r="O145" s="30"/>
      <c r="P145" s="29"/>
      <c r="Q145" s="31"/>
      <c r="R145" s="29"/>
      <c r="S145" s="29"/>
      <c r="T145" s="30"/>
      <c r="U145" s="47" t="str">
        <f aca="false">IF(AND(B145&lt;&gt;"",B145=SW別シート!$C$3),COUNTIF(B$5:B145,B145),"")</f>
        <v/>
      </c>
      <c r="V145" s="47" t="n">
        <f aca="false">V144+IF(OR(O145&lt;&gt;"",W145&lt;&gt;""),1,0)</f>
        <v>3</v>
      </c>
      <c r="W145" s="29"/>
    </row>
    <row r="146" customFormat="false" ht="15" hidden="false" customHeight="false" outlineLevel="0" collapsed="false">
      <c r="A146" s="32" t="str">
        <f aca="false">IF(B146="","",ROW()-7)</f>
        <v/>
      </c>
      <c r="B146" s="30"/>
      <c r="C146" s="29"/>
      <c r="D146" s="29"/>
      <c r="E146" s="29"/>
      <c r="F146" s="30"/>
      <c r="G146" s="29"/>
      <c r="H146" s="30"/>
      <c r="I146" s="29"/>
      <c r="J146" s="30"/>
      <c r="K146" s="30"/>
      <c r="L146" s="29"/>
      <c r="M146" s="32" t="str">
        <f aca="false">IF(OR(C146="",L146=""),"",IF(C146=L146,"同一","変更"))</f>
        <v/>
      </c>
      <c r="N146" s="29"/>
      <c r="O146" s="30"/>
      <c r="P146" s="29"/>
      <c r="Q146" s="31"/>
      <c r="R146" s="29"/>
      <c r="S146" s="29"/>
      <c r="T146" s="30"/>
      <c r="U146" s="47" t="str">
        <f aca="false">IF(AND(B146&lt;&gt;"",B146=SW別シート!$C$3),COUNTIF(B$5:B146,B146),"")</f>
        <v/>
      </c>
      <c r="V146" s="47" t="n">
        <f aca="false">V145+IF(OR(O146&lt;&gt;"",W146&lt;&gt;""),1,0)</f>
        <v>3</v>
      </c>
      <c r="W146" s="29"/>
    </row>
    <row r="147" customFormat="false" ht="15" hidden="false" customHeight="false" outlineLevel="0" collapsed="false">
      <c r="A147" s="32" t="str">
        <f aca="false">IF(B147="","",ROW()-7)</f>
        <v/>
      </c>
      <c r="B147" s="30"/>
      <c r="C147" s="29"/>
      <c r="D147" s="29"/>
      <c r="E147" s="29"/>
      <c r="F147" s="30"/>
      <c r="G147" s="29"/>
      <c r="H147" s="30"/>
      <c r="I147" s="29"/>
      <c r="J147" s="30"/>
      <c r="K147" s="30"/>
      <c r="L147" s="29"/>
      <c r="M147" s="32" t="str">
        <f aca="false">IF(OR(C147="",L147=""),"",IF(C147=L147,"同一","変更"))</f>
        <v/>
      </c>
      <c r="N147" s="29"/>
      <c r="O147" s="30"/>
      <c r="P147" s="29"/>
      <c r="Q147" s="31"/>
      <c r="R147" s="29"/>
      <c r="S147" s="29"/>
      <c r="T147" s="30"/>
      <c r="U147" s="47" t="str">
        <f aca="false">IF(AND(B147&lt;&gt;"",B147=SW別シート!$C$3),COUNTIF(B$5:B147,B147),"")</f>
        <v/>
      </c>
      <c r="V147" s="47" t="n">
        <f aca="false">V146+IF(OR(O147&lt;&gt;"",W147&lt;&gt;""),1,0)</f>
        <v>3</v>
      </c>
      <c r="W147" s="29"/>
    </row>
    <row r="148" customFormat="false" ht="15" hidden="false" customHeight="false" outlineLevel="0" collapsed="false">
      <c r="A148" s="32" t="str">
        <f aca="false">IF(B148="","",ROW()-7)</f>
        <v/>
      </c>
      <c r="B148" s="30"/>
      <c r="C148" s="29"/>
      <c r="D148" s="29"/>
      <c r="E148" s="29"/>
      <c r="F148" s="30"/>
      <c r="G148" s="29"/>
      <c r="H148" s="30"/>
      <c r="I148" s="29"/>
      <c r="J148" s="30"/>
      <c r="K148" s="30"/>
      <c r="L148" s="29"/>
      <c r="M148" s="32" t="str">
        <f aca="false">IF(OR(C148="",L148=""),"",IF(C148=L148,"同一","変更"))</f>
        <v/>
      </c>
      <c r="N148" s="29"/>
      <c r="O148" s="30"/>
      <c r="P148" s="29"/>
      <c r="Q148" s="31"/>
      <c r="R148" s="29"/>
      <c r="S148" s="29"/>
      <c r="T148" s="30"/>
      <c r="U148" s="47" t="str">
        <f aca="false">IF(AND(B148&lt;&gt;"",B148=SW別シート!$C$3),COUNTIF(B$5:B148,B148),"")</f>
        <v/>
      </c>
      <c r="V148" s="47" t="n">
        <f aca="false">V147+IF(OR(O148&lt;&gt;"",W148&lt;&gt;""),1,0)</f>
        <v>3</v>
      </c>
      <c r="W148" s="29"/>
    </row>
    <row r="149" customFormat="false" ht="15" hidden="false" customHeight="false" outlineLevel="0" collapsed="false">
      <c r="A149" s="32" t="str">
        <f aca="false">IF(B149="","",ROW()-7)</f>
        <v/>
      </c>
      <c r="B149" s="30"/>
      <c r="C149" s="29"/>
      <c r="D149" s="29"/>
      <c r="E149" s="29"/>
      <c r="F149" s="30"/>
      <c r="G149" s="29"/>
      <c r="H149" s="30"/>
      <c r="I149" s="29"/>
      <c r="J149" s="30"/>
      <c r="K149" s="30"/>
      <c r="L149" s="29"/>
      <c r="M149" s="32" t="str">
        <f aca="false">IF(OR(C149="",L149=""),"",IF(C149=L149,"同一","変更"))</f>
        <v/>
      </c>
      <c r="N149" s="29"/>
      <c r="O149" s="30"/>
      <c r="P149" s="29"/>
      <c r="Q149" s="31"/>
      <c r="R149" s="29"/>
      <c r="S149" s="29"/>
      <c r="T149" s="30"/>
      <c r="U149" s="47" t="str">
        <f aca="false">IF(AND(B149&lt;&gt;"",B149=SW別シート!$C$3),COUNTIF(B$5:B149,B149),"")</f>
        <v/>
      </c>
      <c r="V149" s="47" t="n">
        <f aca="false">V148+IF(OR(O149&lt;&gt;"",W149&lt;&gt;""),1,0)</f>
        <v>3</v>
      </c>
      <c r="W149" s="29"/>
    </row>
    <row r="150" customFormat="false" ht="15" hidden="false" customHeight="false" outlineLevel="0" collapsed="false">
      <c r="A150" s="32" t="str">
        <f aca="false">IF(B150="","",ROW()-7)</f>
        <v/>
      </c>
      <c r="B150" s="30"/>
      <c r="C150" s="29"/>
      <c r="D150" s="29"/>
      <c r="E150" s="29"/>
      <c r="F150" s="30"/>
      <c r="G150" s="29"/>
      <c r="H150" s="30"/>
      <c r="I150" s="29"/>
      <c r="J150" s="30"/>
      <c r="K150" s="30"/>
      <c r="L150" s="29"/>
      <c r="M150" s="32" t="str">
        <f aca="false">IF(OR(C150="",L150=""),"",IF(C150=L150,"同一","変更"))</f>
        <v/>
      </c>
      <c r="N150" s="29"/>
      <c r="O150" s="30"/>
      <c r="P150" s="29"/>
      <c r="Q150" s="31"/>
      <c r="R150" s="29"/>
      <c r="S150" s="29"/>
      <c r="T150" s="30"/>
      <c r="U150" s="47" t="str">
        <f aca="false">IF(AND(B150&lt;&gt;"",B150=SW別シート!$C$3),COUNTIF(B$5:B150,B150),"")</f>
        <v/>
      </c>
      <c r="V150" s="47" t="n">
        <f aca="false">V149+IF(OR(O150&lt;&gt;"",W150&lt;&gt;""),1,0)</f>
        <v>3</v>
      </c>
      <c r="W150" s="29"/>
    </row>
    <row r="151" customFormat="false" ht="15" hidden="false" customHeight="false" outlineLevel="0" collapsed="false">
      <c r="A151" s="32" t="str">
        <f aca="false">IF(B151="","",ROW()-7)</f>
        <v/>
      </c>
      <c r="B151" s="30"/>
      <c r="C151" s="29"/>
      <c r="D151" s="29"/>
      <c r="E151" s="29"/>
      <c r="F151" s="30"/>
      <c r="G151" s="29"/>
      <c r="H151" s="30"/>
      <c r="I151" s="29"/>
      <c r="J151" s="30"/>
      <c r="K151" s="30"/>
      <c r="L151" s="29"/>
      <c r="M151" s="32" t="str">
        <f aca="false">IF(OR(C151="",L151=""),"",IF(C151=L151,"同一","変更"))</f>
        <v/>
      </c>
      <c r="N151" s="29"/>
      <c r="O151" s="30"/>
      <c r="P151" s="29"/>
      <c r="Q151" s="31"/>
      <c r="R151" s="29"/>
      <c r="S151" s="29"/>
      <c r="T151" s="30"/>
      <c r="U151" s="47" t="str">
        <f aca="false">IF(AND(B151&lt;&gt;"",B151=SW別シート!$C$3),COUNTIF(B$5:B151,B151),"")</f>
        <v/>
      </c>
      <c r="V151" s="47" t="n">
        <f aca="false">V150+IF(OR(O151&lt;&gt;"",W151&lt;&gt;""),1,0)</f>
        <v>3</v>
      </c>
      <c r="W151" s="29"/>
    </row>
    <row r="152" customFormat="false" ht="15" hidden="false" customHeight="false" outlineLevel="0" collapsed="false">
      <c r="A152" s="32" t="str">
        <f aca="false">IF(B152="","",ROW()-7)</f>
        <v/>
      </c>
      <c r="B152" s="30"/>
      <c r="C152" s="29"/>
      <c r="D152" s="29"/>
      <c r="E152" s="29"/>
      <c r="F152" s="30"/>
      <c r="G152" s="29"/>
      <c r="H152" s="30"/>
      <c r="I152" s="29"/>
      <c r="J152" s="30"/>
      <c r="K152" s="30"/>
      <c r="L152" s="29"/>
      <c r="M152" s="32" t="str">
        <f aca="false">IF(OR(C152="",L152=""),"",IF(C152=L152,"同一","変更"))</f>
        <v/>
      </c>
      <c r="N152" s="29"/>
      <c r="O152" s="30"/>
      <c r="P152" s="29"/>
      <c r="Q152" s="31"/>
      <c r="R152" s="29"/>
      <c r="S152" s="29"/>
      <c r="T152" s="30"/>
      <c r="U152" s="47" t="str">
        <f aca="false">IF(AND(B152&lt;&gt;"",B152=SW別シート!$C$3),COUNTIF(B$5:B152,B152),"")</f>
        <v/>
      </c>
      <c r="V152" s="47" t="n">
        <f aca="false">V151+IF(OR(O152&lt;&gt;"",W152&lt;&gt;""),1,0)</f>
        <v>3</v>
      </c>
      <c r="W152" s="29"/>
    </row>
    <row r="153" customFormat="false" ht="15" hidden="false" customHeight="false" outlineLevel="0" collapsed="false">
      <c r="A153" s="32" t="str">
        <f aca="false">IF(B153="","",ROW()-7)</f>
        <v/>
      </c>
      <c r="B153" s="30"/>
      <c r="C153" s="29"/>
      <c r="D153" s="29"/>
      <c r="E153" s="29"/>
      <c r="F153" s="30"/>
      <c r="G153" s="29"/>
      <c r="H153" s="30"/>
      <c r="I153" s="29"/>
      <c r="J153" s="30"/>
      <c r="K153" s="30"/>
      <c r="L153" s="29"/>
      <c r="M153" s="32" t="str">
        <f aca="false">IF(OR(C153="",L153=""),"",IF(C153=L153,"同一","変更"))</f>
        <v/>
      </c>
      <c r="N153" s="29"/>
      <c r="O153" s="30"/>
      <c r="P153" s="29"/>
      <c r="Q153" s="31"/>
      <c r="R153" s="29"/>
      <c r="S153" s="29"/>
      <c r="T153" s="30"/>
      <c r="U153" s="47" t="str">
        <f aca="false">IF(AND(B153&lt;&gt;"",B153=SW別シート!$C$3),COUNTIF(B$5:B153,B153),"")</f>
        <v/>
      </c>
      <c r="V153" s="47" t="n">
        <f aca="false">V152+IF(OR(O153&lt;&gt;"",W153&lt;&gt;""),1,0)</f>
        <v>3</v>
      </c>
      <c r="W153" s="29"/>
    </row>
    <row r="154" customFormat="false" ht="15" hidden="false" customHeight="false" outlineLevel="0" collapsed="false">
      <c r="A154" s="32" t="str">
        <f aca="false">IF(B154="","",ROW()-7)</f>
        <v/>
      </c>
      <c r="B154" s="30"/>
      <c r="C154" s="29"/>
      <c r="D154" s="29"/>
      <c r="E154" s="29"/>
      <c r="F154" s="30"/>
      <c r="G154" s="29"/>
      <c r="H154" s="30"/>
      <c r="I154" s="29"/>
      <c r="J154" s="30"/>
      <c r="K154" s="30"/>
      <c r="L154" s="29"/>
      <c r="M154" s="32" t="str">
        <f aca="false">IF(OR(C154="",L154=""),"",IF(C154=L154,"同一","変更"))</f>
        <v/>
      </c>
      <c r="N154" s="29"/>
      <c r="O154" s="30"/>
      <c r="P154" s="29"/>
      <c r="Q154" s="31"/>
      <c r="R154" s="29"/>
      <c r="S154" s="29"/>
      <c r="T154" s="30"/>
      <c r="U154" s="47" t="str">
        <f aca="false">IF(AND(B154&lt;&gt;"",B154=SW別シート!$C$3),COUNTIF(B$5:B154,B154),"")</f>
        <v/>
      </c>
      <c r="V154" s="47" t="n">
        <f aca="false">V153+IF(OR(O154&lt;&gt;"",W154&lt;&gt;""),1,0)</f>
        <v>3</v>
      </c>
      <c r="W154" s="29"/>
    </row>
    <row r="155" customFormat="false" ht="15" hidden="false" customHeight="false" outlineLevel="0" collapsed="false">
      <c r="A155" s="32" t="str">
        <f aca="false">IF(B155="","",ROW()-7)</f>
        <v/>
      </c>
      <c r="B155" s="30"/>
      <c r="C155" s="29"/>
      <c r="D155" s="29"/>
      <c r="E155" s="29"/>
      <c r="F155" s="30"/>
      <c r="G155" s="29"/>
      <c r="H155" s="30"/>
      <c r="I155" s="29"/>
      <c r="J155" s="30"/>
      <c r="K155" s="30"/>
      <c r="L155" s="29"/>
      <c r="M155" s="32" t="str">
        <f aca="false">IF(OR(C155="",L155=""),"",IF(C155=L155,"同一","変更"))</f>
        <v/>
      </c>
      <c r="N155" s="29"/>
      <c r="O155" s="30"/>
      <c r="P155" s="29"/>
      <c r="Q155" s="31"/>
      <c r="R155" s="29"/>
      <c r="S155" s="29"/>
      <c r="T155" s="30"/>
      <c r="U155" s="47" t="str">
        <f aca="false">IF(AND(B155&lt;&gt;"",B155=SW別シート!$C$3),COUNTIF(B$5:B155,B155),"")</f>
        <v/>
      </c>
      <c r="V155" s="47" t="n">
        <f aca="false">V154+IF(OR(O155&lt;&gt;"",W155&lt;&gt;""),1,0)</f>
        <v>3</v>
      </c>
      <c r="W155" s="29"/>
    </row>
    <row r="156" customFormat="false" ht="15" hidden="false" customHeight="false" outlineLevel="0" collapsed="false">
      <c r="A156" s="32" t="str">
        <f aca="false">IF(B156="","",ROW()-7)</f>
        <v/>
      </c>
      <c r="B156" s="30"/>
      <c r="C156" s="29"/>
      <c r="D156" s="29"/>
      <c r="E156" s="29"/>
      <c r="F156" s="30"/>
      <c r="G156" s="29"/>
      <c r="H156" s="30"/>
      <c r="I156" s="29"/>
      <c r="J156" s="30"/>
      <c r="K156" s="30"/>
      <c r="L156" s="29"/>
      <c r="M156" s="32" t="str">
        <f aca="false">IF(OR(C156="",L156=""),"",IF(C156=L156,"同一","変更"))</f>
        <v/>
      </c>
      <c r="N156" s="29"/>
      <c r="O156" s="30"/>
      <c r="P156" s="29"/>
      <c r="Q156" s="31"/>
      <c r="R156" s="29"/>
      <c r="S156" s="29"/>
      <c r="T156" s="30"/>
      <c r="U156" s="47" t="str">
        <f aca="false">IF(AND(B156&lt;&gt;"",B156=SW別シート!$C$3),COUNTIF(B$5:B156,B156),"")</f>
        <v/>
      </c>
      <c r="V156" s="47" t="n">
        <f aca="false">V155+IF(OR(O156&lt;&gt;"",W156&lt;&gt;""),1,0)</f>
        <v>3</v>
      </c>
      <c r="W156" s="29"/>
    </row>
    <row r="157" customFormat="false" ht="15" hidden="false" customHeight="false" outlineLevel="0" collapsed="false">
      <c r="A157" s="32" t="str">
        <f aca="false">IF(B157="","",ROW()-7)</f>
        <v/>
      </c>
      <c r="B157" s="30"/>
      <c r="C157" s="29"/>
      <c r="D157" s="29"/>
      <c r="E157" s="29"/>
      <c r="F157" s="30"/>
      <c r="G157" s="29"/>
      <c r="H157" s="30"/>
      <c r="I157" s="29"/>
      <c r="J157" s="30"/>
      <c r="K157" s="30"/>
      <c r="L157" s="29"/>
      <c r="M157" s="32" t="str">
        <f aca="false">IF(OR(C157="",L157=""),"",IF(C157=L157,"同一","変更"))</f>
        <v/>
      </c>
      <c r="N157" s="29"/>
      <c r="O157" s="30"/>
      <c r="P157" s="29"/>
      <c r="Q157" s="31"/>
      <c r="R157" s="29"/>
      <c r="S157" s="29"/>
      <c r="T157" s="30"/>
      <c r="U157" s="47" t="str">
        <f aca="false">IF(AND(B157&lt;&gt;"",B157=SW別シート!$C$3),COUNTIF(B$5:B157,B157),"")</f>
        <v/>
      </c>
      <c r="V157" s="47" t="n">
        <f aca="false">V156+IF(OR(O157&lt;&gt;"",W157&lt;&gt;""),1,0)</f>
        <v>3</v>
      </c>
      <c r="W157" s="29"/>
    </row>
    <row r="158" customFormat="false" ht="15" hidden="false" customHeight="false" outlineLevel="0" collapsed="false">
      <c r="A158" s="32" t="str">
        <f aca="false">IF(B158="","",ROW()-7)</f>
        <v/>
      </c>
      <c r="B158" s="30"/>
      <c r="C158" s="29"/>
      <c r="D158" s="29"/>
      <c r="E158" s="29"/>
      <c r="F158" s="30"/>
      <c r="G158" s="29"/>
      <c r="H158" s="30"/>
      <c r="I158" s="29"/>
      <c r="J158" s="30"/>
      <c r="K158" s="30"/>
      <c r="L158" s="29"/>
      <c r="M158" s="32" t="str">
        <f aca="false">IF(OR(C158="",L158=""),"",IF(C158=L158,"同一","変更"))</f>
        <v/>
      </c>
      <c r="N158" s="29"/>
      <c r="O158" s="30"/>
      <c r="P158" s="29"/>
      <c r="Q158" s="31"/>
      <c r="R158" s="29"/>
      <c r="S158" s="29"/>
      <c r="T158" s="30"/>
      <c r="U158" s="47" t="str">
        <f aca="false">IF(AND(B158&lt;&gt;"",B158=SW別シート!$C$3),COUNTIF(B$5:B158,B158),"")</f>
        <v/>
      </c>
      <c r="V158" s="47" t="n">
        <f aca="false">V157+IF(OR(O158&lt;&gt;"",W158&lt;&gt;""),1,0)</f>
        <v>3</v>
      </c>
      <c r="W158" s="29"/>
    </row>
    <row r="159" customFormat="false" ht="15" hidden="false" customHeight="false" outlineLevel="0" collapsed="false">
      <c r="A159" s="32" t="str">
        <f aca="false">IF(B159="","",ROW()-7)</f>
        <v/>
      </c>
      <c r="B159" s="30"/>
      <c r="C159" s="29"/>
      <c r="D159" s="29"/>
      <c r="E159" s="29"/>
      <c r="F159" s="30"/>
      <c r="G159" s="29"/>
      <c r="H159" s="30"/>
      <c r="I159" s="29"/>
      <c r="J159" s="30"/>
      <c r="K159" s="30"/>
      <c r="L159" s="29"/>
      <c r="M159" s="32" t="str">
        <f aca="false">IF(OR(C159="",L159=""),"",IF(C159=L159,"同一","変更"))</f>
        <v/>
      </c>
      <c r="N159" s="29"/>
      <c r="O159" s="30"/>
      <c r="P159" s="29"/>
      <c r="Q159" s="31"/>
      <c r="R159" s="29"/>
      <c r="S159" s="29"/>
      <c r="T159" s="30"/>
      <c r="U159" s="47" t="str">
        <f aca="false">IF(AND(B159&lt;&gt;"",B159=SW別シート!$C$3),COUNTIF(B$5:B159,B159),"")</f>
        <v/>
      </c>
      <c r="V159" s="47" t="n">
        <f aca="false">V158+IF(OR(O159&lt;&gt;"",W159&lt;&gt;""),1,0)</f>
        <v>3</v>
      </c>
      <c r="W159" s="29"/>
    </row>
    <row r="160" customFormat="false" ht="15" hidden="false" customHeight="false" outlineLevel="0" collapsed="false">
      <c r="A160" s="32" t="str">
        <f aca="false">IF(B160="","",ROW()-7)</f>
        <v/>
      </c>
      <c r="B160" s="30"/>
      <c r="C160" s="29"/>
      <c r="D160" s="29"/>
      <c r="E160" s="29"/>
      <c r="F160" s="30"/>
      <c r="G160" s="29"/>
      <c r="H160" s="30"/>
      <c r="I160" s="29"/>
      <c r="J160" s="30"/>
      <c r="K160" s="30"/>
      <c r="L160" s="29"/>
      <c r="M160" s="32" t="str">
        <f aca="false">IF(OR(C160="",L160=""),"",IF(C160=L160,"同一","変更"))</f>
        <v/>
      </c>
      <c r="N160" s="29"/>
      <c r="O160" s="30"/>
      <c r="P160" s="29"/>
      <c r="Q160" s="31"/>
      <c r="R160" s="29"/>
      <c r="S160" s="29"/>
      <c r="T160" s="30"/>
      <c r="U160" s="47" t="str">
        <f aca="false">IF(AND(B160&lt;&gt;"",B160=SW別シート!$C$3),COUNTIF(B$5:B160,B160),"")</f>
        <v/>
      </c>
      <c r="V160" s="47" t="n">
        <f aca="false">V159+IF(OR(O160&lt;&gt;"",W160&lt;&gt;""),1,0)</f>
        <v>3</v>
      </c>
      <c r="W160" s="29"/>
    </row>
    <row r="161" customFormat="false" ht="15" hidden="false" customHeight="false" outlineLevel="0" collapsed="false">
      <c r="A161" s="32" t="str">
        <f aca="false">IF(B161="","",ROW()-7)</f>
        <v/>
      </c>
      <c r="B161" s="30"/>
      <c r="C161" s="29"/>
      <c r="D161" s="29"/>
      <c r="E161" s="29"/>
      <c r="F161" s="30"/>
      <c r="G161" s="29"/>
      <c r="H161" s="30"/>
      <c r="I161" s="29"/>
      <c r="J161" s="30"/>
      <c r="K161" s="30"/>
      <c r="L161" s="29"/>
      <c r="M161" s="32" t="str">
        <f aca="false">IF(OR(C161="",L161=""),"",IF(C161=L161,"同一","変更"))</f>
        <v/>
      </c>
      <c r="N161" s="29"/>
      <c r="O161" s="30"/>
      <c r="P161" s="29"/>
      <c r="Q161" s="31"/>
      <c r="R161" s="29"/>
      <c r="S161" s="29"/>
      <c r="T161" s="30"/>
      <c r="U161" s="47" t="str">
        <f aca="false">IF(AND(B161&lt;&gt;"",B161=SW別シート!$C$3),COUNTIF(B$5:B161,B161),"")</f>
        <v/>
      </c>
      <c r="V161" s="47" t="n">
        <f aca="false">V160+IF(OR(O161&lt;&gt;"",W161&lt;&gt;""),1,0)</f>
        <v>3</v>
      </c>
      <c r="W161" s="29"/>
    </row>
    <row r="162" customFormat="false" ht="15" hidden="false" customHeight="false" outlineLevel="0" collapsed="false">
      <c r="A162" s="32" t="str">
        <f aca="false">IF(B162="","",ROW()-7)</f>
        <v/>
      </c>
      <c r="B162" s="30"/>
      <c r="C162" s="29"/>
      <c r="D162" s="29"/>
      <c r="E162" s="29"/>
      <c r="F162" s="30"/>
      <c r="G162" s="29"/>
      <c r="H162" s="30"/>
      <c r="I162" s="29"/>
      <c r="J162" s="30"/>
      <c r="K162" s="30"/>
      <c r="L162" s="29"/>
      <c r="M162" s="32" t="str">
        <f aca="false">IF(OR(C162="",L162=""),"",IF(C162=L162,"同一","変更"))</f>
        <v/>
      </c>
      <c r="N162" s="29"/>
      <c r="O162" s="30"/>
      <c r="P162" s="29"/>
      <c r="Q162" s="31"/>
      <c r="R162" s="29"/>
      <c r="S162" s="29"/>
      <c r="T162" s="30"/>
      <c r="U162" s="47" t="str">
        <f aca="false">IF(AND(B162&lt;&gt;"",B162=SW別シート!$C$3),COUNTIF(B$5:B162,B162),"")</f>
        <v/>
      </c>
      <c r="V162" s="47" t="n">
        <f aca="false">V161+IF(OR(O162&lt;&gt;"",W162&lt;&gt;""),1,0)</f>
        <v>3</v>
      </c>
      <c r="W162" s="29"/>
    </row>
    <row r="163" customFormat="false" ht="15" hidden="false" customHeight="false" outlineLevel="0" collapsed="false">
      <c r="A163" s="32" t="str">
        <f aca="false">IF(B163="","",ROW()-7)</f>
        <v/>
      </c>
      <c r="B163" s="30"/>
      <c r="C163" s="29"/>
      <c r="D163" s="29"/>
      <c r="E163" s="29"/>
      <c r="F163" s="30"/>
      <c r="G163" s="29"/>
      <c r="H163" s="30"/>
      <c r="I163" s="29"/>
      <c r="J163" s="30"/>
      <c r="K163" s="30"/>
      <c r="L163" s="29"/>
      <c r="M163" s="32" t="str">
        <f aca="false">IF(OR(C163="",L163=""),"",IF(C163=L163,"同一","変更"))</f>
        <v/>
      </c>
      <c r="N163" s="29"/>
      <c r="O163" s="30"/>
      <c r="P163" s="29"/>
      <c r="Q163" s="31"/>
      <c r="R163" s="29"/>
      <c r="S163" s="29"/>
      <c r="T163" s="30"/>
      <c r="U163" s="47" t="str">
        <f aca="false">IF(AND(B163&lt;&gt;"",B163=SW別シート!$C$3),COUNTIF(B$5:B163,B163),"")</f>
        <v/>
      </c>
      <c r="V163" s="47" t="n">
        <f aca="false">V162+IF(OR(O163&lt;&gt;"",W163&lt;&gt;""),1,0)</f>
        <v>3</v>
      </c>
      <c r="W163" s="29"/>
    </row>
    <row r="164" customFormat="false" ht="15" hidden="false" customHeight="false" outlineLevel="0" collapsed="false">
      <c r="A164" s="32" t="str">
        <f aca="false">IF(B164="","",ROW()-7)</f>
        <v/>
      </c>
      <c r="B164" s="30"/>
      <c r="C164" s="29"/>
      <c r="D164" s="29"/>
      <c r="E164" s="29"/>
      <c r="F164" s="30"/>
      <c r="G164" s="29"/>
      <c r="H164" s="30"/>
      <c r="I164" s="29"/>
      <c r="J164" s="30"/>
      <c r="K164" s="30"/>
      <c r="L164" s="29"/>
      <c r="M164" s="32" t="str">
        <f aca="false">IF(OR(C164="",L164=""),"",IF(C164=L164,"同一","変更"))</f>
        <v/>
      </c>
      <c r="N164" s="29"/>
      <c r="O164" s="30"/>
      <c r="P164" s="29"/>
      <c r="Q164" s="31"/>
      <c r="R164" s="29"/>
      <c r="S164" s="29"/>
      <c r="T164" s="30"/>
      <c r="U164" s="47" t="str">
        <f aca="false">IF(AND(B164&lt;&gt;"",B164=SW別シート!$C$3),COUNTIF(B$5:B164,B164),"")</f>
        <v/>
      </c>
      <c r="V164" s="47" t="n">
        <f aca="false">V163+IF(OR(O164&lt;&gt;"",W164&lt;&gt;""),1,0)</f>
        <v>3</v>
      </c>
      <c r="W164" s="29"/>
    </row>
    <row r="165" customFormat="false" ht="15" hidden="false" customHeight="false" outlineLevel="0" collapsed="false">
      <c r="A165" s="32" t="str">
        <f aca="false">IF(B165="","",ROW()-7)</f>
        <v/>
      </c>
      <c r="B165" s="30"/>
      <c r="C165" s="29"/>
      <c r="D165" s="29"/>
      <c r="E165" s="29"/>
      <c r="F165" s="30"/>
      <c r="G165" s="29"/>
      <c r="H165" s="30"/>
      <c r="I165" s="29"/>
      <c r="J165" s="30"/>
      <c r="K165" s="30"/>
      <c r="L165" s="29"/>
      <c r="M165" s="32" t="str">
        <f aca="false">IF(OR(C165="",L165=""),"",IF(C165=L165,"同一","変更"))</f>
        <v/>
      </c>
      <c r="N165" s="29"/>
      <c r="O165" s="30"/>
      <c r="P165" s="29"/>
      <c r="Q165" s="31"/>
      <c r="R165" s="29"/>
      <c r="S165" s="29"/>
      <c r="T165" s="30"/>
      <c r="U165" s="47" t="str">
        <f aca="false">IF(AND(B165&lt;&gt;"",B165=SW別シート!$C$3),COUNTIF(B$5:B165,B165),"")</f>
        <v/>
      </c>
      <c r="V165" s="47" t="n">
        <f aca="false">V164+IF(OR(O165&lt;&gt;"",W165&lt;&gt;""),1,0)</f>
        <v>3</v>
      </c>
      <c r="W165" s="29"/>
    </row>
    <row r="166" customFormat="false" ht="15" hidden="false" customHeight="false" outlineLevel="0" collapsed="false">
      <c r="A166" s="32" t="str">
        <f aca="false">IF(B166="","",ROW()-7)</f>
        <v/>
      </c>
      <c r="B166" s="30"/>
      <c r="C166" s="29"/>
      <c r="D166" s="29"/>
      <c r="E166" s="29"/>
      <c r="F166" s="30"/>
      <c r="G166" s="29"/>
      <c r="H166" s="30"/>
      <c r="I166" s="29"/>
      <c r="J166" s="30"/>
      <c r="K166" s="30"/>
      <c r="L166" s="29"/>
      <c r="M166" s="32" t="str">
        <f aca="false">IF(OR(C166="",L166=""),"",IF(C166=L166,"同一","変更"))</f>
        <v/>
      </c>
      <c r="N166" s="29"/>
      <c r="O166" s="30"/>
      <c r="P166" s="29"/>
      <c r="Q166" s="31"/>
      <c r="R166" s="29"/>
      <c r="S166" s="29"/>
      <c r="T166" s="30"/>
      <c r="U166" s="47" t="str">
        <f aca="false">IF(AND(B166&lt;&gt;"",B166=SW別シート!$C$3),COUNTIF(B$5:B166,B166),"")</f>
        <v/>
      </c>
      <c r="V166" s="47" t="n">
        <f aca="false">V165+IF(OR(O166&lt;&gt;"",W166&lt;&gt;""),1,0)</f>
        <v>3</v>
      </c>
      <c r="W166" s="29"/>
    </row>
    <row r="167" customFormat="false" ht="15" hidden="false" customHeight="false" outlineLevel="0" collapsed="false">
      <c r="A167" s="32" t="str">
        <f aca="false">IF(B167="","",ROW()-7)</f>
        <v/>
      </c>
      <c r="B167" s="30"/>
      <c r="C167" s="29"/>
      <c r="D167" s="29"/>
      <c r="E167" s="29"/>
      <c r="F167" s="30"/>
      <c r="G167" s="29"/>
      <c r="H167" s="30"/>
      <c r="I167" s="29"/>
      <c r="J167" s="30"/>
      <c r="K167" s="30"/>
      <c r="L167" s="29"/>
      <c r="M167" s="32" t="str">
        <f aca="false">IF(OR(C167="",L167=""),"",IF(C167=L167,"同一","変更"))</f>
        <v/>
      </c>
      <c r="N167" s="29"/>
      <c r="O167" s="30"/>
      <c r="P167" s="29"/>
      <c r="Q167" s="31"/>
      <c r="R167" s="29"/>
      <c r="S167" s="29"/>
      <c r="T167" s="30"/>
      <c r="U167" s="47" t="str">
        <f aca="false">IF(AND(B167&lt;&gt;"",B167=SW別シート!$C$3),COUNTIF(B$5:B167,B167),"")</f>
        <v/>
      </c>
      <c r="V167" s="47" t="n">
        <f aca="false">V166+IF(OR(O167&lt;&gt;"",W167&lt;&gt;""),1,0)</f>
        <v>3</v>
      </c>
      <c r="W167" s="29"/>
    </row>
    <row r="168" customFormat="false" ht="15" hidden="false" customHeight="false" outlineLevel="0" collapsed="false">
      <c r="A168" s="32" t="str">
        <f aca="false">IF(B168="","",ROW()-7)</f>
        <v/>
      </c>
      <c r="B168" s="30"/>
      <c r="C168" s="29"/>
      <c r="D168" s="29"/>
      <c r="E168" s="29"/>
      <c r="F168" s="30"/>
      <c r="G168" s="29"/>
      <c r="H168" s="30"/>
      <c r="I168" s="29"/>
      <c r="J168" s="30"/>
      <c r="K168" s="30"/>
      <c r="L168" s="29"/>
      <c r="M168" s="32" t="str">
        <f aca="false">IF(OR(C168="",L168=""),"",IF(C168=L168,"同一","変更"))</f>
        <v/>
      </c>
      <c r="N168" s="29"/>
      <c r="O168" s="30"/>
      <c r="P168" s="29"/>
      <c r="Q168" s="31"/>
      <c r="R168" s="29"/>
      <c r="S168" s="29"/>
      <c r="T168" s="30"/>
      <c r="U168" s="47" t="str">
        <f aca="false">IF(AND(B168&lt;&gt;"",B168=SW別シート!$C$3),COUNTIF(B$5:B168,B168),"")</f>
        <v/>
      </c>
      <c r="V168" s="47" t="n">
        <f aca="false">V167+IF(OR(O168&lt;&gt;"",W168&lt;&gt;""),1,0)</f>
        <v>3</v>
      </c>
      <c r="W168" s="29"/>
    </row>
    <row r="169" customFormat="false" ht="15" hidden="false" customHeight="false" outlineLevel="0" collapsed="false">
      <c r="A169" s="32" t="str">
        <f aca="false">IF(B169="","",ROW()-7)</f>
        <v/>
      </c>
      <c r="B169" s="30"/>
      <c r="C169" s="29"/>
      <c r="D169" s="29"/>
      <c r="E169" s="29"/>
      <c r="F169" s="30"/>
      <c r="G169" s="29"/>
      <c r="H169" s="30"/>
      <c r="I169" s="29"/>
      <c r="J169" s="30"/>
      <c r="K169" s="30"/>
      <c r="L169" s="29"/>
      <c r="M169" s="32" t="str">
        <f aca="false">IF(OR(C169="",L169=""),"",IF(C169=L169,"同一","変更"))</f>
        <v/>
      </c>
      <c r="N169" s="29"/>
      <c r="O169" s="30"/>
      <c r="P169" s="29"/>
      <c r="Q169" s="31"/>
      <c r="R169" s="29"/>
      <c r="S169" s="29"/>
      <c r="T169" s="30"/>
      <c r="U169" s="47" t="str">
        <f aca="false">IF(AND(B169&lt;&gt;"",B169=SW別シート!$C$3),COUNTIF(B$5:B169,B169),"")</f>
        <v/>
      </c>
      <c r="V169" s="47" t="n">
        <f aca="false">V168+IF(OR(O169&lt;&gt;"",W169&lt;&gt;""),1,0)</f>
        <v>3</v>
      </c>
      <c r="W169" s="29"/>
    </row>
    <row r="170" customFormat="false" ht="15" hidden="false" customHeight="false" outlineLevel="0" collapsed="false">
      <c r="A170" s="32" t="str">
        <f aca="false">IF(B170="","",ROW()-7)</f>
        <v/>
      </c>
      <c r="B170" s="30"/>
      <c r="C170" s="29"/>
      <c r="D170" s="29"/>
      <c r="E170" s="29"/>
      <c r="F170" s="30"/>
      <c r="G170" s="29"/>
      <c r="H170" s="30"/>
      <c r="I170" s="29"/>
      <c r="J170" s="30"/>
      <c r="K170" s="30"/>
      <c r="L170" s="29"/>
      <c r="M170" s="32" t="str">
        <f aca="false">IF(OR(C170="",L170=""),"",IF(C170=L170,"同一","変更"))</f>
        <v/>
      </c>
      <c r="N170" s="29"/>
      <c r="O170" s="30"/>
      <c r="P170" s="29"/>
      <c r="Q170" s="31"/>
      <c r="R170" s="29"/>
      <c r="S170" s="29"/>
      <c r="T170" s="30"/>
      <c r="U170" s="47" t="str">
        <f aca="false">IF(AND(B170&lt;&gt;"",B170=SW別シート!$C$3),COUNTIF(B$5:B170,B170),"")</f>
        <v/>
      </c>
      <c r="V170" s="47" t="n">
        <f aca="false">V169+IF(OR(O170&lt;&gt;"",W170&lt;&gt;""),1,0)</f>
        <v>3</v>
      </c>
      <c r="W170" s="29"/>
    </row>
    <row r="171" customFormat="false" ht="15" hidden="false" customHeight="false" outlineLevel="0" collapsed="false">
      <c r="A171" s="32" t="str">
        <f aca="false">IF(B171="","",ROW()-7)</f>
        <v/>
      </c>
      <c r="B171" s="30"/>
      <c r="C171" s="29"/>
      <c r="D171" s="29"/>
      <c r="E171" s="29"/>
      <c r="F171" s="30"/>
      <c r="G171" s="29"/>
      <c r="H171" s="30"/>
      <c r="I171" s="29"/>
      <c r="J171" s="30"/>
      <c r="K171" s="30"/>
      <c r="L171" s="29"/>
      <c r="M171" s="32" t="str">
        <f aca="false">IF(OR(C171="",L171=""),"",IF(C171=L171,"同一","変更"))</f>
        <v/>
      </c>
      <c r="N171" s="29"/>
      <c r="O171" s="30"/>
      <c r="P171" s="29"/>
      <c r="Q171" s="31"/>
      <c r="R171" s="29"/>
      <c r="S171" s="29"/>
      <c r="T171" s="30"/>
      <c r="U171" s="47" t="str">
        <f aca="false">IF(AND(B171&lt;&gt;"",B171=SW別シート!$C$3),COUNTIF(B$5:B171,B171),"")</f>
        <v/>
      </c>
      <c r="V171" s="47" t="n">
        <f aca="false">V170+IF(OR(O171&lt;&gt;"",W171&lt;&gt;""),1,0)</f>
        <v>3</v>
      </c>
      <c r="W171" s="29"/>
    </row>
    <row r="172" customFormat="false" ht="15" hidden="false" customHeight="false" outlineLevel="0" collapsed="false">
      <c r="A172" s="32" t="str">
        <f aca="false">IF(B172="","",ROW()-7)</f>
        <v/>
      </c>
      <c r="B172" s="30"/>
      <c r="C172" s="29"/>
      <c r="D172" s="29"/>
      <c r="E172" s="29"/>
      <c r="F172" s="30"/>
      <c r="G172" s="29"/>
      <c r="H172" s="30"/>
      <c r="I172" s="29"/>
      <c r="J172" s="30"/>
      <c r="K172" s="30"/>
      <c r="L172" s="29"/>
      <c r="M172" s="32" t="str">
        <f aca="false">IF(OR(C172="",L172=""),"",IF(C172=L172,"同一","変更"))</f>
        <v/>
      </c>
      <c r="N172" s="29"/>
      <c r="O172" s="30"/>
      <c r="P172" s="29"/>
      <c r="Q172" s="31"/>
      <c r="R172" s="29"/>
      <c r="S172" s="29"/>
      <c r="T172" s="30"/>
      <c r="U172" s="47" t="str">
        <f aca="false">IF(AND(B172&lt;&gt;"",B172=SW別シート!$C$3),COUNTIF(B$5:B172,B172),"")</f>
        <v/>
      </c>
      <c r="V172" s="47" t="n">
        <f aca="false">V171+IF(OR(O172&lt;&gt;"",W172&lt;&gt;""),1,0)</f>
        <v>3</v>
      </c>
      <c r="W172" s="29"/>
    </row>
    <row r="173" customFormat="false" ht="15" hidden="false" customHeight="false" outlineLevel="0" collapsed="false">
      <c r="A173" s="32" t="str">
        <f aca="false">IF(B173="","",ROW()-7)</f>
        <v/>
      </c>
      <c r="B173" s="30"/>
      <c r="C173" s="29"/>
      <c r="D173" s="29"/>
      <c r="E173" s="29"/>
      <c r="F173" s="30"/>
      <c r="G173" s="29"/>
      <c r="H173" s="30"/>
      <c r="I173" s="29"/>
      <c r="J173" s="30"/>
      <c r="K173" s="30"/>
      <c r="L173" s="29"/>
      <c r="M173" s="32" t="str">
        <f aca="false">IF(OR(C173="",L173=""),"",IF(C173=L173,"同一","変更"))</f>
        <v/>
      </c>
      <c r="N173" s="29"/>
      <c r="O173" s="30"/>
      <c r="P173" s="29"/>
      <c r="Q173" s="31"/>
      <c r="R173" s="29"/>
      <c r="S173" s="29"/>
      <c r="T173" s="30"/>
      <c r="U173" s="47" t="str">
        <f aca="false">IF(AND(B173&lt;&gt;"",B173=SW別シート!$C$3),COUNTIF(B$5:B173,B173),"")</f>
        <v/>
      </c>
      <c r="V173" s="47" t="n">
        <f aca="false">V172+IF(OR(O173&lt;&gt;"",W173&lt;&gt;""),1,0)</f>
        <v>3</v>
      </c>
      <c r="W173" s="29"/>
    </row>
    <row r="174" customFormat="false" ht="15" hidden="false" customHeight="false" outlineLevel="0" collapsed="false">
      <c r="A174" s="32" t="str">
        <f aca="false">IF(B174="","",ROW()-7)</f>
        <v/>
      </c>
      <c r="B174" s="30"/>
      <c r="C174" s="29"/>
      <c r="D174" s="29"/>
      <c r="E174" s="29"/>
      <c r="F174" s="30"/>
      <c r="G174" s="29"/>
      <c r="H174" s="30"/>
      <c r="I174" s="29"/>
      <c r="J174" s="30"/>
      <c r="K174" s="30"/>
      <c r="L174" s="29"/>
      <c r="M174" s="32" t="str">
        <f aca="false">IF(OR(C174="",L174=""),"",IF(C174=L174,"同一","変更"))</f>
        <v/>
      </c>
      <c r="N174" s="29"/>
      <c r="O174" s="30"/>
      <c r="P174" s="29"/>
      <c r="Q174" s="31"/>
      <c r="R174" s="29"/>
      <c r="S174" s="29"/>
      <c r="T174" s="30"/>
      <c r="U174" s="47" t="str">
        <f aca="false">IF(AND(B174&lt;&gt;"",B174=SW別シート!$C$3),COUNTIF(B$5:B174,B174),"")</f>
        <v/>
      </c>
      <c r="V174" s="47" t="n">
        <f aca="false">V173+IF(OR(O174&lt;&gt;"",W174&lt;&gt;""),1,0)</f>
        <v>3</v>
      </c>
      <c r="W174" s="29"/>
    </row>
    <row r="175" customFormat="false" ht="15" hidden="false" customHeight="false" outlineLevel="0" collapsed="false">
      <c r="A175" s="32" t="str">
        <f aca="false">IF(B175="","",ROW()-7)</f>
        <v/>
      </c>
      <c r="B175" s="30"/>
      <c r="C175" s="29"/>
      <c r="D175" s="29"/>
      <c r="E175" s="29"/>
      <c r="F175" s="30"/>
      <c r="G175" s="29"/>
      <c r="H175" s="30"/>
      <c r="I175" s="29"/>
      <c r="J175" s="30"/>
      <c r="K175" s="30"/>
      <c r="L175" s="29"/>
      <c r="M175" s="32" t="str">
        <f aca="false">IF(OR(C175="",L175=""),"",IF(C175=L175,"同一","変更"))</f>
        <v/>
      </c>
      <c r="N175" s="29"/>
      <c r="O175" s="30"/>
      <c r="P175" s="29"/>
      <c r="Q175" s="31"/>
      <c r="R175" s="29"/>
      <c r="S175" s="29"/>
      <c r="T175" s="30"/>
      <c r="U175" s="47" t="str">
        <f aca="false">IF(AND(B175&lt;&gt;"",B175=SW別シート!$C$3),COUNTIF(B$5:B175,B175),"")</f>
        <v/>
      </c>
      <c r="V175" s="47" t="n">
        <f aca="false">V174+IF(OR(O175&lt;&gt;"",W175&lt;&gt;""),1,0)</f>
        <v>3</v>
      </c>
      <c r="W175" s="29"/>
    </row>
    <row r="176" customFormat="false" ht="15" hidden="false" customHeight="false" outlineLevel="0" collapsed="false">
      <c r="A176" s="32" t="str">
        <f aca="false">IF(B176="","",ROW()-7)</f>
        <v/>
      </c>
      <c r="B176" s="30"/>
      <c r="C176" s="29"/>
      <c r="D176" s="29"/>
      <c r="E176" s="29"/>
      <c r="F176" s="30"/>
      <c r="G176" s="29"/>
      <c r="H176" s="30"/>
      <c r="I176" s="29"/>
      <c r="J176" s="30"/>
      <c r="K176" s="30"/>
      <c r="L176" s="29"/>
      <c r="M176" s="32" t="str">
        <f aca="false">IF(OR(C176="",L176=""),"",IF(C176=L176,"同一","変更"))</f>
        <v/>
      </c>
      <c r="N176" s="29"/>
      <c r="O176" s="30"/>
      <c r="P176" s="29"/>
      <c r="Q176" s="31"/>
      <c r="R176" s="29"/>
      <c r="S176" s="29"/>
      <c r="T176" s="30"/>
      <c r="U176" s="47" t="str">
        <f aca="false">IF(AND(B176&lt;&gt;"",B176=SW別シート!$C$3),COUNTIF(B$5:B176,B176),"")</f>
        <v/>
      </c>
      <c r="V176" s="47" t="n">
        <f aca="false">V175+IF(OR(O176&lt;&gt;"",W176&lt;&gt;""),1,0)</f>
        <v>3</v>
      </c>
      <c r="W176" s="29"/>
    </row>
    <row r="177" customFormat="false" ht="15" hidden="false" customHeight="false" outlineLevel="0" collapsed="false">
      <c r="A177" s="32" t="str">
        <f aca="false">IF(B177="","",ROW()-7)</f>
        <v/>
      </c>
      <c r="B177" s="30"/>
      <c r="C177" s="29"/>
      <c r="D177" s="29"/>
      <c r="E177" s="29"/>
      <c r="F177" s="30"/>
      <c r="G177" s="29"/>
      <c r="H177" s="30"/>
      <c r="I177" s="29"/>
      <c r="J177" s="30"/>
      <c r="K177" s="30"/>
      <c r="L177" s="29"/>
      <c r="M177" s="32" t="str">
        <f aca="false">IF(OR(C177="",L177=""),"",IF(C177=L177,"同一","変更"))</f>
        <v/>
      </c>
      <c r="N177" s="29"/>
      <c r="O177" s="30"/>
      <c r="P177" s="29"/>
      <c r="Q177" s="31"/>
      <c r="R177" s="29"/>
      <c r="S177" s="29"/>
      <c r="T177" s="30"/>
      <c r="U177" s="47" t="str">
        <f aca="false">IF(AND(B177&lt;&gt;"",B177=SW別シート!$C$3),COUNTIF(B$5:B177,B177),"")</f>
        <v/>
      </c>
      <c r="V177" s="47" t="n">
        <f aca="false">V176+IF(OR(O177&lt;&gt;"",W177&lt;&gt;""),1,0)</f>
        <v>3</v>
      </c>
      <c r="W177" s="29"/>
    </row>
    <row r="178" customFormat="false" ht="15" hidden="false" customHeight="false" outlineLevel="0" collapsed="false">
      <c r="A178" s="32" t="str">
        <f aca="false">IF(B178="","",ROW()-7)</f>
        <v/>
      </c>
      <c r="B178" s="30"/>
      <c r="C178" s="29"/>
      <c r="D178" s="29"/>
      <c r="E178" s="29"/>
      <c r="F178" s="30"/>
      <c r="G178" s="29"/>
      <c r="H178" s="30"/>
      <c r="I178" s="29"/>
      <c r="J178" s="30"/>
      <c r="K178" s="30"/>
      <c r="L178" s="29"/>
      <c r="M178" s="32" t="str">
        <f aca="false">IF(OR(C178="",L178=""),"",IF(C178=L178,"同一","変更"))</f>
        <v/>
      </c>
      <c r="N178" s="29"/>
      <c r="O178" s="30"/>
      <c r="P178" s="29"/>
      <c r="Q178" s="31"/>
      <c r="R178" s="29"/>
      <c r="S178" s="29"/>
      <c r="T178" s="30"/>
      <c r="U178" s="47" t="str">
        <f aca="false">IF(AND(B178&lt;&gt;"",B178=SW別シート!$C$3),COUNTIF(B$5:B178,B178),"")</f>
        <v/>
      </c>
      <c r="V178" s="47" t="n">
        <f aca="false">V177+IF(OR(O178&lt;&gt;"",W178&lt;&gt;""),1,0)</f>
        <v>3</v>
      </c>
      <c r="W178" s="29"/>
    </row>
    <row r="179" customFormat="false" ht="15" hidden="false" customHeight="false" outlineLevel="0" collapsed="false">
      <c r="A179" s="32" t="str">
        <f aca="false">IF(B179="","",ROW()-7)</f>
        <v/>
      </c>
      <c r="B179" s="30"/>
      <c r="C179" s="29"/>
      <c r="D179" s="29"/>
      <c r="E179" s="29"/>
      <c r="F179" s="30"/>
      <c r="G179" s="29"/>
      <c r="H179" s="30"/>
      <c r="I179" s="29"/>
      <c r="J179" s="30"/>
      <c r="K179" s="30"/>
      <c r="L179" s="29"/>
      <c r="M179" s="32" t="str">
        <f aca="false">IF(OR(C179="",L179=""),"",IF(C179=L179,"同一","変更"))</f>
        <v/>
      </c>
      <c r="N179" s="29"/>
      <c r="O179" s="30"/>
      <c r="P179" s="29"/>
      <c r="Q179" s="31"/>
      <c r="R179" s="29"/>
      <c r="S179" s="29"/>
      <c r="T179" s="30"/>
      <c r="U179" s="47" t="str">
        <f aca="false">IF(AND(B179&lt;&gt;"",B179=SW別シート!$C$3),COUNTIF(B$5:B179,B179),"")</f>
        <v/>
      </c>
      <c r="V179" s="47" t="n">
        <f aca="false">V178+IF(OR(O179&lt;&gt;"",W179&lt;&gt;""),1,0)</f>
        <v>3</v>
      </c>
      <c r="W179" s="29"/>
    </row>
    <row r="180" customFormat="false" ht="15" hidden="false" customHeight="false" outlineLevel="0" collapsed="false">
      <c r="A180" s="32" t="str">
        <f aca="false">IF(B180="","",ROW()-7)</f>
        <v/>
      </c>
      <c r="B180" s="30"/>
      <c r="C180" s="29"/>
      <c r="D180" s="29"/>
      <c r="E180" s="29"/>
      <c r="F180" s="30"/>
      <c r="G180" s="29"/>
      <c r="H180" s="30"/>
      <c r="I180" s="29"/>
      <c r="J180" s="30"/>
      <c r="K180" s="30"/>
      <c r="L180" s="29"/>
      <c r="M180" s="32" t="str">
        <f aca="false">IF(OR(C180="",L180=""),"",IF(C180=L180,"同一","変更"))</f>
        <v/>
      </c>
      <c r="N180" s="29"/>
      <c r="O180" s="30"/>
      <c r="P180" s="29"/>
      <c r="Q180" s="31"/>
      <c r="R180" s="29"/>
      <c r="S180" s="29"/>
      <c r="T180" s="30"/>
      <c r="U180" s="47" t="str">
        <f aca="false">IF(AND(B180&lt;&gt;"",B180=SW別シート!$C$3),COUNTIF(B$5:B180,B180),"")</f>
        <v/>
      </c>
      <c r="V180" s="47" t="n">
        <f aca="false">V179+IF(OR(O180&lt;&gt;"",W180&lt;&gt;""),1,0)</f>
        <v>3</v>
      </c>
      <c r="W180" s="29"/>
    </row>
    <row r="181" customFormat="false" ht="15" hidden="false" customHeight="false" outlineLevel="0" collapsed="false">
      <c r="A181" s="32" t="str">
        <f aca="false">IF(B181="","",ROW()-7)</f>
        <v/>
      </c>
      <c r="B181" s="30"/>
      <c r="C181" s="29"/>
      <c r="D181" s="29"/>
      <c r="E181" s="29"/>
      <c r="F181" s="30"/>
      <c r="G181" s="29"/>
      <c r="H181" s="30"/>
      <c r="I181" s="29"/>
      <c r="J181" s="30"/>
      <c r="K181" s="30"/>
      <c r="L181" s="29"/>
      <c r="M181" s="32" t="str">
        <f aca="false">IF(OR(C181="",L181=""),"",IF(C181=L181,"同一","変更"))</f>
        <v/>
      </c>
      <c r="N181" s="29"/>
      <c r="O181" s="30"/>
      <c r="P181" s="29"/>
      <c r="Q181" s="31"/>
      <c r="R181" s="29"/>
      <c r="S181" s="29"/>
      <c r="T181" s="30"/>
      <c r="U181" s="47" t="str">
        <f aca="false">IF(AND(B181&lt;&gt;"",B181=SW別シート!$C$3),COUNTIF(B$5:B181,B181),"")</f>
        <v/>
      </c>
      <c r="V181" s="47" t="n">
        <f aca="false">V180+IF(OR(O181&lt;&gt;"",W181&lt;&gt;""),1,0)</f>
        <v>3</v>
      </c>
      <c r="W181" s="29"/>
    </row>
    <row r="182" customFormat="false" ht="15" hidden="false" customHeight="false" outlineLevel="0" collapsed="false">
      <c r="A182" s="32" t="str">
        <f aca="false">IF(B182="","",ROW()-7)</f>
        <v/>
      </c>
      <c r="B182" s="30"/>
      <c r="C182" s="29"/>
      <c r="D182" s="29"/>
      <c r="E182" s="29"/>
      <c r="F182" s="30"/>
      <c r="G182" s="29"/>
      <c r="H182" s="30"/>
      <c r="I182" s="29"/>
      <c r="J182" s="30"/>
      <c r="K182" s="30"/>
      <c r="L182" s="29"/>
      <c r="M182" s="32" t="str">
        <f aca="false">IF(OR(C182="",L182=""),"",IF(C182=L182,"同一","変更"))</f>
        <v/>
      </c>
      <c r="N182" s="29"/>
      <c r="O182" s="30"/>
      <c r="P182" s="29"/>
      <c r="Q182" s="31"/>
      <c r="R182" s="29"/>
      <c r="S182" s="29"/>
      <c r="T182" s="30"/>
      <c r="U182" s="47" t="str">
        <f aca="false">IF(AND(B182&lt;&gt;"",B182=SW別シート!$C$3),COUNTIF(B$5:B182,B182),"")</f>
        <v/>
      </c>
      <c r="V182" s="47" t="n">
        <f aca="false">V181+IF(OR(O182&lt;&gt;"",W182&lt;&gt;""),1,0)</f>
        <v>3</v>
      </c>
      <c r="W182" s="29"/>
    </row>
    <row r="183" customFormat="false" ht="15" hidden="false" customHeight="false" outlineLevel="0" collapsed="false">
      <c r="A183" s="32" t="str">
        <f aca="false">IF(B183="","",ROW()-7)</f>
        <v/>
      </c>
      <c r="B183" s="30"/>
      <c r="C183" s="29"/>
      <c r="D183" s="29"/>
      <c r="E183" s="29"/>
      <c r="F183" s="30"/>
      <c r="G183" s="29"/>
      <c r="H183" s="30"/>
      <c r="I183" s="29"/>
      <c r="J183" s="30"/>
      <c r="K183" s="30"/>
      <c r="L183" s="29"/>
      <c r="M183" s="32" t="str">
        <f aca="false">IF(OR(C183="",L183=""),"",IF(C183=L183,"同一","変更"))</f>
        <v/>
      </c>
      <c r="N183" s="29"/>
      <c r="O183" s="30"/>
      <c r="P183" s="29"/>
      <c r="Q183" s="31"/>
      <c r="R183" s="29"/>
      <c r="S183" s="29"/>
      <c r="T183" s="30"/>
      <c r="U183" s="47" t="str">
        <f aca="false">IF(AND(B183&lt;&gt;"",B183=SW別シート!$C$3),COUNTIF(B$5:B183,B183),"")</f>
        <v/>
      </c>
      <c r="V183" s="47" t="n">
        <f aca="false">V182+IF(OR(O183&lt;&gt;"",W183&lt;&gt;""),1,0)</f>
        <v>3</v>
      </c>
      <c r="W183" s="29"/>
    </row>
    <row r="184" customFormat="false" ht="15" hidden="false" customHeight="false" outlineLevel="0" collapsed="false">
      <c r="A184" s="32" t="str">
        <f aca="false">IF(B184="","",ROW()-7)</f>
        <v/>
      </c>
      <c r="B184" s="30"/>
      <c r="C184" s="29"/>
      <c r="D184" s="29"/>
      <c r="E184" s="29"/>
      <c r="F184" s="30"/>
      <c r="G184" s="29"/>
      <c r="H184" s="30"/>
      <c r="I184" s="29"/>
      <c r="J184" s="30"/>
      <c r="K184" s="30"/>
      <c r="L184" s="29"/>
      <c r="M184" s="32" t="str">
        <f aca="false">IF(OR(C184="",L184=""),"",IF(C184=L184,"同一","変更"))</f>
        <v/>
      </c>
      <c r="N184" s="29"/>
      <c r="O184" s="30"/>
      <c r="P184" s="29"/>
      <c r="Q184" s="31"/>
      <c r="R184" s="29"/>
      <c r="S184" s="29"/>
      <c r="T184" s="30"/>
      <c r="U184" s="47" t="str">
        <f aca="false">IF(AND(B184&lt;&gt;"",B184=SW別シート!$C$3),COUNTIF(B$5:B184,B184),"")</f>
        <v/>
      </c>
      <c r="V184" s="47" t="n">
        <f aca="false">V183+IF(OR(O184&lt;&gt;"",W184&lt;&gt;""),1,0)</f>
        <v>3</v>
      </c>
      <c r="W184" s="29"/>
    </row>
    <row r="185" customFormat="false" ht="15" hidden="false" customHeight="false" outlineLevel="0" collapsed="false">
      <c r="A185" s="32" t="str">
        <f aca="false">IF(B185="","",ROW()-7)</f>
        <v/>
      </c>
      <c r="B185" s="30"/>
      <c r="C185" s="29"/>
      <c r="D185" s="29"/>
      <c r="E185" s="29"/>
      <c r="F185" s="30"/>
      <c r="G185" s="29"/>
      <c r="H185" s="30"/>
      <c r="I185" s="29"/>
      <c r="J185" s="30"/>
      <c r="K185" s="30"/>
      <c r="L185" s="29"/>
      <c r="M185" s="32" t="str">
        <f aca="false">IF(OR(C185="",L185=""),"",IF(C185=L185,"同一","変更"))</f>
        <v/>
      </c>
      <c r="N185" s="29"/>
      <c r="O185" s="30"/>
      <c r="P185" s="29"/>
      <c r="Q185" s="31"/>
      <c r="R185" s="29"/>
      <c r="S185" s="29"/>
      <c r="T185" s="30"/>
      <c r="U185" s="47" t="str">
        <f aca="false">IF(AND(B185&lt;&gt;"",B185=SW別シート!$C$3),COUNTIF(B$5:B185,B185),"")</f>
        <v/>
      </c>
      <c r="V185" s="47" t="n">
        <f aca="false">V184+IF(OR(O185&lt;&gt;"",W185&lt;&gt;""),1,0)</f>
        <v>3</v>
      </c>
      <c r="W185" s="29"/>
    </row>
    <row r="186" customFormat="false" ht="15" hidden="false" customHeight="false" outlineLevel="0" collapsed="false">
      <c r="A186" s="32" t="str">
        <f aca="false">IF(B186="","",ROW()-7)</f>
        <v/>
      </c>
      <c r="B186" s="30"/>
      <c r="C186" s="29"/>
      <c r="D186" s="29"/>
      <c r="E186" s="29"/>
      <c r="F186" s="30"/>
      <c r="G186" s="29"/>
      <c r="H186" s="30"/>
      <c r="I186" s="29"/>
      <c r="J186" s="30"/>
      <c r="K186" s="30"/>
      <c r="L186" s="29"/>
      <c r="M186" s="32" t="str">
        <f aca="false">IF(OR(C186="",L186=""),"",IF(C186=L186,"同一","変更"))</f>
        <v/>
      </c>
      <c r="N186" s="29"/>
      <c r="O186" s="30"/>
      <c r="P186" s="29"/>
      <c r="Q186" s="31"/>
      <c r="R186" s="29"/>
      <c r="S186" s="29"/>
      <c r="T186" s="30"/>
      <c r="U186" s="47" t="str">
        <f aca="false">IF(AND(B186&lt;&gt;"",B186=SW別シート!$C$3),COUNTIF(B$5:B186,B186),"")</f>
        <v/>
      </c>
      <c r="V186" s="47" t="n">
        <f aca="false">V185+IF(OR(O186&lt;&gt;"",W186&lt;&gt;""),1,0)</f>
        <v>3</v>
      </c>
      <c r="W186" s="29"/>
    </row>
    <row r="187" customFormat="false" ht="15" hidden="false" customHeight="false" outlineLevel="0" collapsed="false">
      <c r="A187" s="32" t="str">
        <f aca="false">IF(B187="","",ROW()-7)</f>
        <v/>
      </c>
      <c r="B187" s="30"/>
      <c r="C187" s="29"/>
      <c r="D187" s="29"/>
      <c r="E187" s="29"/>
      <c r="F187" s="30"/>
      <c r="G187" s="29"/>
      <c r="H187" s="30"/>
      <c r="I187" s="29"/>
      <c r="J187" s="30"/>
      <c r="K187" s="30"/>
      <c r="L187" s="29"/>
      <c r="M187" s="32" t="str">
        <f aca="false">IF(OR(C187="",L187=""),"",IF(C187=L187,"同一","変更"))</f>
        <v/>
      </c>
      <c r="N187" s="29"/>
      <c r="O187" s="30"/>
      <c r="P187" s="29"/>
      <c r="Q187" s="31"/>
      <c r="R187" s="29"/>
      <c r="S187" s="29"/>
      <c r="T187" s="30"/>
      <c r="U187" s="47" t="str">
        <f aca="false">IF(AND(B187&lt;&gt;"",B187=SW別シート!$C$3),COUNTIF(B$5:B187,B187),"")</f>
        <v/>
      </c>
      <c r="V187" s="47" t="n">
        <f aca="false">V186+IF(OR(O187&lt;&gt;"",W187&lt;&gt;""),1,0)</f>
        <v>3</v>
      </c>
      <c r="W187" s="29"/>
    </row>
    <row r="188" customFormat="false" ht="15" hidden="false" customHeight="false" outlineLevel="0" collapsed="false">
      <c r="A188" s="32" t="str">
        <f aca="false">IF(B188="","",ROW()-7)</f>
        <v/>
      </c>
      <c r="B188" s="30"/>
      <c r="C188" s="29"/>
      <c r="D188" s="29"/>
      <c r="E188" s="29"/>
      <c r="F188" s="30"/>
      <c r="G188" s="29"/>
      <c r="H188" s="30"/>
      <c r="I188" s="29"/>
      <c r="J188" s="30"/>
      <c r="K188" s="30"/>
      <c r="L188" s="29"/>
      <c r="M188" s="32" t="str">
        <f aca="false">IF(OR(C188="",L188=""),"",IF(C188=L188,"同一","変更"))</f>
        <v/>
      </c>
      <c r="N188" s="29"/>
      <c r="O188" s="30"/>
      <c r="P188" s="29"/>
      <c r="Q188" s="31"/>
      <c r="R188" s="29"/>
      <c r="S188" s="29"/>
      <c r="T188" s="30"/>
      <c r="U188" s="47" t="str">
        <f aca="false">IF(AND(B188&lt;&gt;"",B188=SW別シート!$C$3),COUNTIF(B$5:B188,B188),"")</f>
        <v/>
      </c>
      <c r="V188" s="47" t="n">
        <f aca="false">V187+IF(OR(O188&lt;&gt;"",W188&lt;&gt;""),1,0)</f>
        <v>3</v>
      </c>
      <c r="W188" s="29"/>
    </row>
    <row r="189" customFormat="false" ht="15" hidden="false" customHeight="false" outlineLevel="0" collapsed="false">
      <c r="A189" s="32" t="str">
        <f aca="false">IF(B189="","",ROW()-7)</f>
        <v/>
      </c>
      <c r="B189" s="30"/>
      <c r="C189" s="29"/>
      <c r="D189" s="29"/>
      <c r="E189" s="29"/>
      <c r="F189" s="30"/>
      <c r="G189" s="29"/>
      <c r="H189" s="30"/>
      <c r="I189" s="29"/>
      <c r="J189" s="30"/>
      <c r="K189" s="30"/>
      <c r="L189" s="29"/>
      <c r="M189" s="32" t="str">
        <f aca="false">IF(OR(C189="",L189=""),"",IF(C189=L189,"同一","変更"))</f>
        <v/>
      </c>
      <c r="N189" s="29"/>
      <c r="O189" s="30"/>
      <c r="P189" s="29"/>
      <c r="Q189" s="31"/>
      <c r="R189" s="29"/>
      <c r="S189" s="29"/>
      <c r="T189" s="30"/>
      <c r="U189" s="47" t="str">
        <f aca="false">IF(AND(B189&lt;&gt;"",B189=SW別シート!$C$3),COUNTIF(B$5:B189,B189),"")</f>
        <v/>
      </c>
      <c r="V189" s="47" t="n">
        <f aca="false">V188+IF(OR(O189&lt;&gt;"",W189&lt;&gt;""),1,0)</f>
        <v>3</v>
      </c>
      <c r="W189" s="29"/>
    </row>
    <row r="190" customFormat="false" ht="15" hidden="false" customHeight="false" outlineLevel="0" collapsed="false">
      <c r="A190" s="32" t="str">
        <f aca="false">IF(B190="","",ROW()-7)</f>
        <v/>
      </c>
      <c r="B190" s="30"/>
      <c r="C190" s="29"/>
      <c r="D190" s="29"/>
      <c r="E190" s="29"/>
      <c r="F190" s="30"/>
      <c r="G190" s="29"/>
      <c r="H190" s="30"/>
      <c r="I190" s="29"/>
      <c r="J190" s="30"/>
      <c r="K190" s="30"/>
      <c r="L190" s="29"/>
      <c r="M190" s="32" t="str">
        <f aca="false">IF(OR(C190="",L190=""),"",IF(C190=L190,"同一","変更"))</f>
        <v/>
      </c>
      <c r="N190" s="29"/>
      <c r="O190" s="30"/>
      <c r="P190" s="29"/>
      <c r="Q190" s="31"/>
      <c r="R190" s="29"/>
      <c r="S190" s="29"/>
      <c r="T190" s="30"/>
      <c r="U190" s="47" t="str">
        <f aca="false">IF(AND(B190&lt;&gt;"",B190=SW別シート!$C$3),COUNTIF(B$5:B190,B190),"")</f>
        <v/>
      </c>
      <c r="V190" s="47" t="n">
        <f aca="false">V189+IF(OR(O190&lt;&gt;"",W190&lt;&gt;""),1,0)</f>
        <v>3</v>
      </c>
      <c r="W190" s="29"/>
    </row>
    <row r="191" customFormat="false" ht="15" hidden="false" customHeight="false" outlineLevel="0" collapsed="false">
      <c r="A191" s="32" t="str">
        <f aca="false">IF(B191="","",ROW()-7)</f>
        <v/>
      </c>
      <c r="B191" s="30"/>
      <c r="C191" s="29"/>
      <c r="D191" s="29"/>
      <c r="E191" s="29"/>
      <c r="F191" s="30"/>
      <c r="G191" s="29"/>
      <c r="H191" s="30"/>
      <c r="I191" s="29"/>
      <c r="J191" s="30"/>
      <c r="K191" s="30"/>
      <c r="L191" s="29"/>
      <c r="M191" s="32" t="str">
        <f aca="false">IF(OR(C191="",L191=""),"",IF(C191=L191,"同一","変更"))</f>
        <v/>
      </c>
      <c r="N191" s="29"/>
      <c r="O191" s="30"/>
      <c r="P191" s="29"/>
      <c r="Q191" s="31"/>
      <c r="R191" s="29"/>
      <c r="S191" s="29"/>
      <c r="T191" s="30"/>
      <c r="U191" s="47" t="str">
        <f aca="false">IF(AND(B191&lt;&gt;"",B191=SW別シート!$C$3),COUNTIF(B$5:B191,B191),"")</f>
        <v/>
      </c>
      <c r="V191" s="47" t="n">
        <f aca="false">V190+IF(OR(O191&lt;&gt;"",W191&lt;&gt;""),1,0)</f>
        <v>3</v>
      </c>
      <c r="W191" s="29"/>
    </row>
    <row r="192" customFormat="false" ht="15" hidden="false" customHeight="false" outlineLevel="0" collapsed="false">
      <c r="A192" s="32" t="str">
        <f aca="false">IF(B192="","",ROW()-7)</f>
        <v/>
      </c>
      <c r="B192" s="30"/>
      <c r="C192" s="29"/>
      <c r="D192" s="29"/>
      <c r="E192" s="29"/>
      <c r="F192" s="30"/>
      <c r="G192" s="29"/>
      <c r="H192" s="30"/>
      <c r="I192" s="29"/>
      <c r="J192" s="30"/>
      <c r="K192" s="30"/>
      <c r="L192" s="29"/>
      <c r="M192" s="32" t="str">
        <f aca="false">IF(OR(C192="",L192=""),"",IF(C192=L192,"同一","変更"))</f>
        <v/>
      </c>
      <c r="N192" s="29"/>
      <c r="O192" s="30"/>
      <c r="P192" s="29"/>
      <c r="Q192" s="31"/>
      <c r="R192" s="29"/>
      <c r="S192" s="29"/>
      <c r="T192" s="30"/>
      <c r="U192" s="47" t="str">
        <f aca="false">IF(AND(B192&lt;&gt;"",B192=SW別シート!$C$3),COUNTIF(B$5:B192,B192),"")</f>
        <v/>
      </c>
      <c r="V192" s="47" t="n">
        <f aca="false">V191+IF(OR(O192&lt;&gt;"",W192&lt;&gt;""),1,0)</f>
        <v>3</v>
      </c>
      <c r="W192" s="29"/>
    </row>
    <row r="193" customFormat="false" ht="15" hidden="false" customHeight="false" outlineLevel="0" collapsed="false">
      <c r="A193" s="32" t="str">
        <f aca="false">IF(B193="","",ROW()-7)</f>
        <v/>
      </c>
      <c r="B193" s="30"/>
      <c r="C193" s="29"/>
      <c r="D193" s="29"/>
      <c r="E193" s="29"/>
      <c r="F193" s="30"/>
      <c r="G193" s="29"/>
      <c r="H193" s="30"/>
      <c r="I193" s="29"/>
      <c r="J193" s="30"/>
      <c r="K193" s="30"/>
      <c r="L193" s="29"/>
      <c r="M193" s="32" t="str">
        <f aca="false">IF(OR(C193="",L193=""),"",IF(C193=L193,"同一","変更"))</f>
        <v/>
      </c>
      <c r="N193" s="29"/>
      <c r="O193" s="30"/>
      <c r="P193" s="29"/>
      <c r="Q193" s="31"/>
      <c r="R193" s="29"/>
      <c r="S193" s="29"/>
      <c r="T193" s="30"/>
      <c r="U193" s="47" t="str">
        <f aca="false">IF(AND(B193&lt;&gt;"",B193=SW別シート!$C$3),COUNTIF(B$5:B193,B193),"")</f>
        <v/>
      </c>
      <c r="V193" s="47" t="n">
        <f aca="false">V192+IF(OR(O193&lt;&gt;"",W193&lt;&gt;""),1,0)</f>
        <v>3</v>
      </c>
      <c r="W193" s="29"/>
    </row>
    <row r="194" customFormat="false" ht="15" hidden="false" customHeight="false" outlineLevel="0" collapsed="false">
      <c r="A194" s="32" t="str">
        <f aca="false">IF(B194="","",ROW()-7)</f>
        <v/>
      </c>
      <c r="B194" s="30"/>
      <c r="C194" s="29"/>
      <c r="D194" s="29"/>
      <c r="E194" s="29"/>
      <c r="F194" s="30"/>
      <c r="G194" s="29"/>
      <c r="H194" s="30"/>
      <c r="I194" s="29"/>
      <c r="J194" s="30"/>
      <c r="K194" s="30"/>
      <c r="L194" s="29"/>
      <c r="M194" s="32" t="str">
        <f aca="false">IF(OR(C194="",L194=""),"",IF(C194=L194,"同一","変更"))</f>
        <v/>
      </c>
      <c r="N194" s="29"/>
      <c r="O194" s="30"/>
      <c r="P194" s="29"/>
      <c r="Q194" s="31"/>
      <c r="R194" s="29"/>
      <c r="S194" s="29"/>
      <c r="T194" s="30"/>
      <c r="U194" s="47" t="str">
        <f aca="false">IF(AND(B194&lt;&gt;"",B194=SW別シート!$C$3),COUNTIF(B$5:B194,B194),"")</f>
        <v/>
      </c>
      <c r="V194" s="47" t="n">
        <f aca="false">V193+IF(OR(O194&lt;&gt;"",W194&lt;&gt;""),1,0)</f>
        <v>3</v>
      </c>
      <c r="W194" s="29"/>
    </row>
    <row r="195" customFormat="false" ht="15" hidden="false" customHeight="false" outlineLevel="0" collapsed="false">
      <c r="A195" s="32" t="str">
        <f aca="false">IF(B195="","",ROW()-7)</f>
        <v/>
      </c>
      <c r="B195" s="30"/>
      <c r="C195" s="29"/>
      <c r="D195" s="29"/>
      <c r="E195" s="29"/>
      <c r="F195" s="30"/>
      <c r="G195" s="29"/>
      <c r="H195" s="30"/>
      <c r="I195" s="29"/>
      <c r="J195" s="30"/>
      <c r="K195" s="30"/>
      <c r="L195" s="29"/>
      <c r="M195" s="32" t="str">
        <f aca="false">IF(OR(C195="",L195=""),"",IF(C195=L195,"同一","変更"))</f>
        <v/>
      </c>
      <c r="N195" s="29"/>
      <c r="O195" s="30"/>
      <c r="P195" s="29"/>
      <c r="Q195" s="31"/>
      <c r="R195" s="29"/>
      <c r="S195" s="29"/>
      <c r="T195" s="30"/>
      <c r="U195" s="47" t="str">
        <f aca="false">IF(AND(B195&lt;&gt;"",B195=SW別シート!$C$3),COUNTIF(B$5:B195,B195),"")</f>
        <v/>
      </c>
      <c r="V195" s="47" t="n">
        <f aca="false">V194+IF(OR(O195&lt;&gt;"",W195&lt;&gt;""),1,0)</f>
        <v>3</v>
      </c>
      <c r="W195" s="29"/>
    </row>
    <row r="196" customFormat="false" ht="15" hidden="false" customHeight="false" outlineLevel="0" collapsed="false">
      <c r="A196" s="32" t="str">
        <f aca="false">IF(B196="","",ROW()-7)</f>
        <v/>
      </c>
      <c r="B196" s="30"/>
      <c r="C196" s="29"/>
      <c r="D196" s="29"/>
      <c r="E196" s="29"/>
      <c r="F196" s="30"/>
      <c r="G196" s="29"/>
      <c r="H196" s="30"/>
      <c r="I196" s="29"/>
      <c r="J196" s="30"/>
      <c r="K196" s="30"/>
      <c r="L196" s="29"/>
      <c r="M196" s="32" t="str">
        <f aca="false">IF(OR(C196="",L196=""),"",IF(C196=L196,"同一","変更"))</f>
        <v/>
      </c>
      <c r="N196" s="29"/>
      <c r="O196" s="30"/>
      <c r="P196" s="29"/>
      <c r="Q196" s="31"/>
      <c r="R196" s="29"/>
      <c r="S196" s="29"/>
      <c r="T196" s="30"/>
      <c r="U196" s="47" t="str">
        <f aca="false">IF(AND(B196&lt;&gt;"",B196=SW別シート!$C$3),COUNTIF(B$5:B196,B196),"")</f>
        <v/>
      </c>
      <c r="V196" s="47" t="n">
        <f aca="false">V195+IF(OR(O196&lt;&gt;"",W196&lt;&gt;""),1,0)</f>
        <v>3</v>
      </c>
      <c r="W196" s="29"/>
    </row>
    <row r="197" customFormat="false" ht="15" hidden="false" customHeight="false" outlineLevel="0" collapsed="false">
      <c r="A197" s="32" t="str">
        <f aca="false">IF(B197="","",ROW()-7)</f>
        <v/>
      </c>
      <c r="B197" s="30"/>
      <c r="C197" s="29"/>
      <c r="D197" s="29"/>
      <c r="E197" s="29"/>
      <c r="F197" s="30"/>
      <c r="G197" s="29"/>
      <c r="H197" s="30"/>
      <c r="I197" s="29"/>
      <c r="J197" s="30"/>
      <c r="K197" s="30"/>
      <c r="L197" s="29"/>
      <c r="M197" s="32" t="str">
        <f aca="false">IF(OR(C197="",L197=""),"",IF(C197=L197,"同一","変更"))</f>
        <v/>
      </c>
      <c r="N197" s="29"/>
      <c r="O197" s="30"/>
      <c r="P197" s="29"/>
      <c r="Q197" s="31"/>
      <c r="R197" s="29"/>
      <c r="S197" s="29"/>
      <c r="T197" s="30"/>
      <c r="U197" s="47" t="str">
        <f aca="false">IF(AND(B197&lt;&gt;"",B197=SW別シート!$C$3),COUNTIF(B$5:B197,B197),"")</f>
        <v/>
      </c>
      <c r="V197" s="47" t="n">
        <f aca="false">V196+IF(OR(O197&lt;&gt;"",W197&lt;&gt;""),1,0)</f>
        <v>3</v>
      </c>
      <c r="W197" s="29"/>
    </row>
    <row r="198" customFormat="false" ht="15" hidden="false" customHeight="false" outlineLevel="0" collapsed="false">
      <c r="A198" s="32" t="str">
        <f aca="false">IF(B198="","",ROW()-7)</f>
        <v/>
      </c>
      <c r="B198" s="30"/>
      <c r="C198" s="29"/>
      <c r="D198" s="29"/>
      <c r="E198" s="29"/>
      <c r="F198" s="30"/>
      <c r="G198" s="29"/>
      <c r="H198" s="30"/>
      <c r="I198" s="29"/>
      <c r="J198" s="30"/>
      <c r="K198" s="30"/>
      <c r="L198" s="29"/>
      <c r="M198" s="32" t="str">
        <f aca="false">IF(OR(C198="",L198=""),"",IF(C198=L198,"同一","変更"))</f>
        <v/>
      </c>
      <c r="N198" s="29"/>
      <c r="O198" s="30"/>
      <c r="P198" s="29"/>
      <c r="Q198" s="31"/>
      <c r="R198" s="29"/>
      <c r="S198" s="29"/>
      <c r="T198" s="30"/>
      <c r="U198" s="47" t="str">
        <f aca="false">IF(AND(B198&lt;&gt;"",B198=SW別シート!$C$3),COUNTIF(B$5:B198,B198),"")</f>
        <v/>
      </c>
      <c r="V198" s="47" t="n">
        <f aca="false">V197+IF(OR(O198&lt;&gt;"",W198&lt;&gt;""),1,0)</f>
        <v>3</v>
      </c>
      <c r="W198" s="29"/>
    </row>
    <row r="199" customFormat="false" ht="15" hidden="false" customHeight="false" outlineLevel="0" collapsed="false">
      <c r="A199" s="32" t="str">
        <f aca="false">IF(B199="","",ROW()-7)</f>
        <v/>
      </c>
      <c r="B199" s="30"/>
      <c r="C199" s="29"/>
      <c r="D199" s="29"/>
      <c r="E199" s="29"/>
      <c r="F199" s="30"/>
      <c r="G199" s="29"/>
      <c r="H199" s="30"/>
      <c r="I199" s="29"/>
      <c r="J199" s="30"/>
      <c r="K199" s="30"/>
      <c r="L199" s="29"/>
      <c r="M199" s="32" t="str">
        <f aca="false">IF(OR(C199="",L199=""),"",IF(C199=L199,"同一","変更"))</f>
        <v/>
      </c>
      <c r="N199" s="29"/>
      <c r="O199" s="30"/>
      <c r="P199" s="29"/>
      <c r="Q199" s="31"/>
      <c r="R199" s="29"/>
      <c r="S199" s="29"/>
      <c r="T199" s="30"/>
      <c r="U199" s="47" t="str">
        <f aca="false">IF(AND(B199&lt;&gt;"",B199=SW別シート!$C$3),COUNTIF(B$5:B199,B199),"")</f>
        <v/>
      </c>
      <c r="V199" s="47" t="n">
        <f aca="false">V198+IF(OR(O199&lt;&gt;"",W199&lt;&gt;""),1,0)</f>
        <v>3</v>
      </c>
      <c r="W199" s="29"/>
    </row>
    <row r="200" customFormat="false" ht="15" hidden="false" customHeight="false" outlineLevel="0" collapsed="false">
      <c r="A200" s="32" t="str">
        <f aca="false">IF(B200="","",ROW()-7)</f>
        <v/>
      </c>
      <c r="B200" s="30"/>
      <c r="C200" s="29"/>
      <c r="D200" s="29"/>
      <c r="E200" s="29"/>
      <c r="F200" s="30"/>
      <c r="G200" s="29"/>
      <c r="H200" s="30"/>
      <c r="I200" s="29"/>
      <c r="J200" s="30"/>
      <c r="K200" s="30"/>
      <c r="L200" s="29"/>
      <c r="M200" s="32" t="str">
        <f aca="false">IF(OR(C200="",L200=""),"",IF(C200=L200,"同一","変更"))</f>
        <v/>
      </c>
      <c r="N200" s="29"/>
      <c r="O200" s="30"/>
      <c r="P200" s="29"/>
      <c r="Q200" s="31"/>
      <c r="R200" s="29"/>
      <c r="S200" s="29"/>
      <c r="T200" s="30"/>
      <c r="U200" s="47" t="str">
        <f aca="false">IF(AND(B200&lt;&gt;"",B200=SW別シート!$C$3),COUNTIF(B$5:B200,B200),"")</f>
        <v/>
      </c>
      <c r="V200" s="47" t="n">
        <f aca="false">V199+IF(OR(O200&lt;&gt;"",W200&lt;&gt;""),1,0)</f>
        <v>3</v>
      </c>
      <c r="W200" s="29"/>
    </row>
    <row r="201" customFormat="false" ht="15" hidden="false" customHeight="false" outlineLevel="0" collapsed="false">
      <c r="A201" s="32" t="str">
        <f aca="false">IF(B201="","",ROW()-7)</f>
        <v/>
      </c>
      <c r="B201" s="30"/>
      <c r="C201" s="29"/>
      <c r="D201" s="29"/>
      <c r="E201" s="29"/>
      <c r="F201" s="30"/>
      <c r="G201" s="29"/>
      <c r="H201" s="30"/>
      <c r="I201" s="29"/>
      <c r="J201" s="30"/>
      <c r="K201" s="30"/>
      <c r="L201" s="29"/>
      <c r="M201" s="32" t="str">
        <f aca="false">IF(OR(C201="",L201=""),"",IF(C201=L201,"同一","変更"))</f>
        <v/>
      </c>
      <c r="N201" s="29"/>
      <c r="O201" s="30"/>
      <c r="P201" s="29"/>
      <c r="Q201" s="31"/>
      <c r="R201" s="29"/>
      <c r="S201" s="29"/>
      <c r="T201" s="30"/>
      <c r="U201" s="47" t="str">
        <f aca="false">IF(AND(B201&lt;&gt;"",B201=SW別シート!$C$3),COUNTIF(B$5:B201,B201),"")</f>
        <v/>
      </c>
      <c r="V201" s="47" t="n">
        <f aca="false">V200+IF(OR(O201&lt;&gt;"",W201&lt;&gt;""),1,0)</f>
        <v>3</v>
      </c>
      <c r="W201" s="29"/>
    </row>
    <row r="202" customFormat="false" ht="15" hidden="false" customHeight="false" outlineLevel="0" collapsed="false">
      <c r="A202" s="32" t="str">
        <f aca="false">IF(B202="","",ROW()-7)</f>
        <v/>
      </c>
      <c r="B202" s="30"/>
      <c r="C202" s="29"/>
      <c r="D202" s="29"/>
      <c r="E202" s="29"/>
      <c r="F202" s="30"/>
      <c r="G202" s="29"/>
      <c r="H202" s="30"/>
      <c r="I202" s="29"/>
      <c r="J202" s="30"/>
      <c r="K202" s="30"/>
      <c r="L202" s="29"/>
      <c r="M202" s="32" t="str">
        <f aca="false">IF(OR(C202="",L202=""),"",IF(C202=L202,"同一","変更"))</f>
        <v/>
      </c>
      <c r="N202" s="29"/>
      <c r="O202" s="30"/>
      <c r="P202" s="29"/>
      <c r="Q202" s="31"/>
      <c r="R202" s="29"/>
      <c r="S202" s="29"/>
      <c r="T202" s="30"/>
      <c r="U202" s="47" t="str">
        <f aca="false">IF(AND(B202&lt;&gt;"",B202=SW別シート!$C$3),COUNTIF(B$5:B202,B202),"")</f>
        <v/>
      </c>
      <c r="V202" s="47" t="n">
        <f aca="false">V201+IF(OR(O202&lt;&gt;"",W202&lt;&gt;""),1,0)</f>
        <v>3</v>
      </c>
      <c r="W202" s="29"/>
    </row>
    <row r="203" customFormat="false" ht="15" hidden="false" customHeight="false" outlineLevel="0" collapsed="false">
      <c r="A203" s="32" t="str">
        <f aca="false">IF(B203="","",ROW()-7)</f>
        <v/>
      </c>
      <c r="B203" s="30"/>
      <c r="C203" s="29"/>
      <c r="D203" s="29"/>
      <c r="E203" s="29"/>
      <c r="F203" s="30"/>
      <c r="G203" s="29"/>
      <c r="H203" s="30"/>
      <c r="I203" s="29"/>
      <c r="J203" s="30"/>
      <c r="K203" s="30"/>
      <c r="L203" s="29"/>
      <c r="M203" s="32" t="str">
        <f aca="false">IF(OR(C203="",L203=""),"",IF(C203=L203,"同一","変更"))</f>
        <v/>
      </c>
      <c r="N203" s="29"/>
      <c r="O203" s="30"/>
      <c r="P203" s="29"/>
      <c r="Q203" s="31"/>
      <c r="R203" s="29"/>
      <c r="S203" s="29"/>
      <c r="T203" s="30"/>
      <c r="U203" s="47" t="str">
        <f aca="false">IF(AND(B203&lt;&gt;"",B203=SW別シート!$C$3),COUNTIF(B$5:B203,B203),"")</f>
        <v/>
      </c>
      <c r="V203" s="47" t="n">
        <f aca="false">V202+IF(OR(O203&lt;&gt;"",W203&lt;&gt;""),1,0)</f>
        <v>3</v>
      </c>
      <c r="W203" s="29"/>
    </row>
    <row r="204" customFormat="false" ht="15" hidden="false" customHeight="false" outlineLevel="0" collapsed="false">
      <c r="A204" s="32" t="str">
        <f aca="false">IF(B204="","",ROW()-7)</f>
        <v/>
      </c>
      <c r="B204" s="30"/>
      <c r="C204" s="29"/>
      <c r="D204" s="29"/>
      <c r="E204" s="29"/>
      <c r="F204" s="30"/>
      <c r="G204" s="29"/>
      <c r="H204" s="30"/>
      <c r="I204" s="29"/>
      <c r="J204" s="30"/>
      <c r="K204" s="30"/>
      <c r="L204" s="29"/>
      <c r="M204" s="32" t="str">
        <f aca="false">IF(OR(C204="",L204=""),"",IF(C204=L204,"同一","変更"))</f>
        <v/>
      </c>
      <c r="N204" s="29"/>
      <c r="O204" s="30"/>
      <c r="P204" s="29"/>
      <c r="Q204" s="31"/>
      <c r="R204" s="29"/>
      <c r="S204" s="29"/>
      <c r="T204" s="30"/>
      <c r="U204" s="47" t="str">
        <f aca="false">IF(AND(B204&lt;&gt;"",B204=SW別シート!$C$3),COUNTIF(B$5:B204,B204),"")</f>
        <v/>
      </c>
      <c r="V204" s="47" t="n">
        <f aca="false">V203+IF(OR(O204&lt;&gt;"",W204&lt;&gt;""),1,0)</f>
        <v>3</v>
      </c>
      <c r="W204" s="29"/>
    </row>
    <row r="205" customFormat="false" ht="15" hidden="false" customHeight="false" outlineLevel="0" collapsed="false">
      <c r="A205" s="32" t="str">
        <f aca="false">IF(B205="","",ROW()-7)</f>
        <v/>
      </c>
      <c r="B205" s="30"/>
      <c r="C205" s="29"/>
      <c r="D205" s="29"/>
      <c r="E205" s="29"/>
      <c r="F205" s="30"/>
      <c r="G205" s="29"/>
      <c r="H205" s="30"/>
      <c r="I205" s="29"/>
      <c r="J205" s="30"/>
      <c r="K205" s="30"/>
      <c r="L205" s="29"/>
      <c r="M205" s="32" t="str">
        <f aca="false">IF(OR(C205="",L205=""),"",IF(C205=L205,"同一","変更"))</f>
        <v/>
      </c>
      <c r="N205" s="29"/>
      <c r="O205" s="30"/>
      <c r="P205" s="29"/>
      <c r="Q205" s="31"/>
      <c r="R205" s="29"/>
      <c r="S205" s="29"/>
      <c r="T205" s="30"/>
      <c r="U205" s="47" t="str">
        <f aca="false">IF(AND(B205&lt;&gt;"",B205=SW別シート!$C$3),COUNTIF(B$5:B205,B205),"")</f>
        <v/>
      </c>
      <c r="V205" s="47" t="n">
        <f aca="false">V204+IF(OR(O205&lt;&gt;"",W205&lt;&gt;""),1,0)</f>
        <v>3</v>
      </c>
      <c r="W205" s="29"/>
    </row>
    <row r="206" customFormat="false" ht="15" hidden="false" customHeight="false" outlineLevel="0" collapsed="false">
      <c r="A206" s="32" t="str">
        <f aca="false">IF(B206="","",ROW()-7)</f>
        <v/>
      </c>
      <c r="B206" s="30"/>
      <c r="C206" s="29"/>
      <c r="D206" s="29"/>
      <c r="E206" s="29"/>
      <c r="F206" s="30"/>
      <c r="G206" s="29"/>
      <c r="H206" s="30"/>
      <c r="I206" s="29"/>
      <c r="J206" s="30"/>
      <c r="K206" s="30"/>
      <c r="L206" s="29"/>
      <c r="M206" s="32" t="str">
        <f aca="false">IF(OR(C206="",L206=""),"",IF(C206=L206,"同一","変更"))</f>
        <v/>
      </c>
      <c r="N206" s="29"/>
      <c r="O206" s="30"/>
      <c r="P206" s="29"/>
      <c r="Q206" s="31"/>
      <c r="R206" s="29"/>
      <c r="S206" s="29"/>
      <c r="T206" s="30"/>
      <c r="U206" s="47" t="str">
        <f aca="false">IF(AND(B206&lt;&gt;"",B206=SW別シート!$C$3),COUNTIF(B$5:B206,B206),"")</f>
        <v/>
      </c>
      <c r="V206" s="47" t="n">
        <f aca="false">V205+IF(OR(O206&lt;&gt;"",W206&lt;&gt;""),1,0)</f>
        <v>3</v>
      </c>
      <c r="W206" s="29"/>
    </row>
    <row r="207" customFormat="false" ht="15" hidden="false" customHeight="false" outlineLevel="0" collapsed="false">
      <c r="A207" s="32" t="str">
        <f aca="false">IF(B207="","",ROW()-7)</f>
        <v/>
      </c>
      <c r="B207" s="30"/>
      <c r="C207" s="29"/>
      <c r="D207" s="29"/>
      <c r="E207" s="29"/>
      <c r="F207" s="30"/>
      <c r="G207" s="29"/>
      <c r="H207" s="30"/>
      <c r="I207" s="29"/>
      <c r="J207" s="30"/>
      <c r="K207" s="30"/>
      <c r="L207" s="29"/>
      <c r="M207" s="32" t="str">
        <f aca="false">IF(OR(C207="",L207=""),"",IF(C207=L207,"同一","変更"))</f>
        <v/>
      </c>
      <c r="N207" s="29"/>
      <c r="O207" s="30"/>
      <c r="P207" s="29"/>
      <c r="Q207" s="31"/>
      <c r="R207" s="29"/>
      <c r="S207" s="29"/>
      <c r="T207" s="30"/>
      <c r="U207" s="47" t="str">
        <f aca="false">IF(AND(B207&lt;&gt;"",B207=SW別シート!$C$3),COUNTIF(B$5:B207,B207),"")</f>
        <v/>
      </c>
      <c r="V207" s="47" t="n">
        <f aca="false">V206+IF(OR(O207&lt;&gt;"",W207&lt;&gt;""),1,0)</f>
        <v>3</v>
      </c>
      <c r="W207" s="29"/>
    </row>
    <row r="208" customFormat="false" ht="15" hidden="false" customHeight="false" outlineLevel="0" collapsed="false">
      <c r="A208" s="32" t="str">
        <f aca="false">IF(B208="","",ROW()-7)</f>
        <v/>
      </c>
      <c r="B208" s="30"/>
      <c r="C208" s="29"/>
      <c r="D208" s="29"/>
      <c r="E208" s="29"/>
      <c r="F208" s="30"/>
      <c r="G208" s="29"/>
      <c r="H208" s="30"/>
      <c r="I208" s="29"/>
      <c r="J208" s="30"/>
      <c r="K208" s="30"/>
      <c r="L208" s="29"/>
      <c r="M208" s="32" t="str">
        <f aca="false">IF(OR(C208="",L208=""),"",IF(C208=L208,"同一","変更"))</f>
        <v/>
      </c>
      <c r="N208" s="29"/>
      <c r="O208" s="30"/>
      <c r="P208" s="29"/>
      <c r="Q208" s="31"/>
      <c r="R208" s="29"/>
      <c r="S208" s="29"/>
      <c r="T208" s="30"/>
      <c r="U208" s="47" t="str">
        <f aca="false">IF(AND(B208&lt;&gt;"",B208=SW別シート!$C$3),COUNTIF(B$5:B208,B208),"")</f>
        <v/>
      </c>
      <c r="V208" s="47" t="n">
        <f aca="false">V207+IF(OR(O208&lt;&gt;"",W208&lt;&gt;""),1,0)</f>
        <v>3</v>
      </c>
      <c r="W208" s="29"/>
    </row>
    <row r="209" customFormat="false" ht="15" hidden="false" customHeight="false" outlineLevel="0" collapsed="false">
      <c r="A209" s="32" t="str">
        <f aca="false">IF(B209="","",ROW()-7)</f>
        <v/>
      </c>
      <c r="B209" s="30"/>
      <c r="C209" s="29"/>
      <c r="D209" s="29"/>
      <c r="E209" s="29"/>
      <c r="F209" s="30"/>
      <c r="G209" s="29"/>
      <c r="H209" s="30"/>
      <c r="I209" s="29"/>
      <c r="J209" s="30"/>
      <c r="K209" s="30"/>
      <c r="L209" s="29"/>
      <c r="M209" s="32" t="str">
        <f aca="false">IF(OR(C209="",L209=""),"",IF(C209=L209,"同一","変更"))</f>
        <v/>
      </c>
      <c r="N209" s="29"/>
      <c r="O209" s="30"/>
      <c r="P209" s="29"/>
      <c r="Q209" s="31"/>
      <c r="R209" s="29"/>
      <c r="S209" s="29"/>
      <c r="T209" s="30"/>
      <c r="U209" s="47" t="str">
        <f aca="false">IF(AND(B209&lt;&gt;"",B209=SW別シート!$C$3),COUNTIF(B$5:B209,B209),"")</f>
        <v/>
      </c>
      <c r="V209" s="47" t="n">
        <f aca="false">V208+IF(OR(O209&lt;&gt;"",W209&lt;&gt;""),1,0)</f>
        <v>3</v>
      </c>
      <c r="W209" s="29"/>
    </row>
    <row r="210" customFormat="false" ht="15" hidden="false" customHeight="false" outlineLevel="0" collapsed="false">
      <c r="A210" s="32" t="str">
        <f aca="false">IF(B210="","",ROW()-7)</f>
        <v/>
      </c>
      <c r="B210" s="30"/>
      <c r="C210" s="29"/>
      <c r="D210" s="29"/>
      <c r="E210" s="29"/>
      <c r="F210" s="30"/>
      <c r="G210" s="29"/>
      <c r="H210" s="30"/>
      <c r="I210" s="29"/>
      <c r="J210" s="30"/>
      <c r="K210" s="30"/>
      <c r="L210" s="29"/>
      <c r="M210" s="32" t="str">
        <f aca="false">IF(OR(C210="",L210=""),"",IF(C210=L210,"同一","変更"))</f>
        <v/>
      </c>
      <c r="N210" s="29"/>
      <c r="O210" s="30"/>
      <c r="P210" s="29"/>
      <c r="Q210" s="31"/>
      <c r="R210" s="29"/>
      <c r="S210" s="29"/>
      <c r="T210" s="30"/>
      <c r="U210" s="47" t="str">
        <f aca="false">IF(AND(B210&lt;&gt;"",B210=SW別シート!$C$3),COUNTIF(B$5:B210,B210),"")</f>
        <v/>
      </c>
      <c r="V210" s="47" t="n">
        <f aca="false">V209+IF(OR(O210&lt;&gt;"",W210&lt;&gt;""),1,0)</f>
        <v>3</v>
      </c>
      <c r="W210" s="29"/>
    </row>
    <row r="211" customFormat="false" ht="15" hidden="false" customHeight="false" outlineLevel="0" collapsed="false">
      <c r="A211" s="32" t="str">
        <f aca="false">IF(B211="","",ROW()-7)</f>
        <v/>
      </c>
      <c r="B211" s="30"/>
      <c r="C211" s="29"/>
      <c r="D211" s="29"/>
      <c r="E211" s="29"/>
      <c r="F211" s="30"/>
      <c r="G211" s="29"/>
      <c r="H211" s="30"/>
      <c r="I211" s="29"/>
      <c r="J211" s="30"/>
      <c r="K211" s="30"/>
      <c r="L211" s="29"/>
      <c r="M211" s="32" t="str">
        <f aca="false">IF(OR(C211="",L211=""),"",IF(C211=L211,"同一","変更"))</f>
        <v/>
      </c>
      <c r="N211" s="29"/>
      <c r="O211" s="30"/>
      <c r="P211" s="29"/>
      <c r="Q211" s="31"/>
      <c r="R211" s="29"/>
      <c r="S211" s="29"/>
      <c r="T211" s="30"/>
      <c r="U211" s="47" t="str">
        <f aca="false">IF(AND(B211&lt;&gt;"",B211=SW別シート!$C$3),COUNTIF(B$5:B211,B211),"")</f>
        <v/>
      </c>
      <c r="V211" s="47" t="n">
        <f aca="false">V210+IF(OR(O211&lt;&gt;"",W211&lt;&gt;""),1,0)</f>
        <v>3</v>
      </c>
      <c r="W211" s="29"/>
    </row>
    <row r="212" customFormat="false" ht="15" hidden="false" customHeight="false" outlineLevel="0" collapsed="false">
      <c r="A212" s="32" t="str">
        <f aca="false">IF(B212="","",ROW()-7)</f>
        <v/>
      </c>
      <c r="B212" s="30"/>
      <c r="C212" s="29"/>
      <c r="D212" s="29"/>
      <c r="E212" s="29"/>
      <c r="F212" s="30"/>
      <c r="G212" s="29"/>
      <c r="H212" s="30"/>
      <c r="I212" s="29"/>
      <c r="J212" s="30"/>
      <c r="K212" s="30"/>
      <c r="L212" s="29"/>
      <c r="M212" s="32" t="str">
        <f aca="false">IF(OR(C212="",L212=""),"",IF(C212=L212,"同一","変更"))</f>
        <v/>
      </c>
      <c r="N212" s="29"/>
      <c r="O212" s="30"/>
      <c r="P212" s="29"/>
      <c r="Q212" s="31"/>
      <c r="R212" s="29"/>
      <c r="S212" s="29"/>
      <c r="T212" s="30"/>
      <c r="U212" s="47" t="str">
        <f aca="false">IF(AND(B212&lt;&gt;"",B212=SW別シート!$C$3),COUNTIF(B$5:B212,B212),"")</f>
        <v/>
      </c>
      <c r="V212" s="47" t="n">
        <f aca="false">V211+IF(OR(O212&lt;&gt;"",W212&lt;&gt;""),1,0)</f>
        <v>3</v>
      </c>
      <c r="W212" s="29"/>
    </row>
    <row r="213" customFormat="false" ht="15" hidden="false" customHeight="false" outlineLevel="0" collapsed="false">
      <c r="A213" s="32" t="str">
        <f aca="false">IF(B213="","",ROW()-7)</f>
        <v/>
      </c>
      <c r="B213" s="30"/>
      <c r="C213" s="29"/>
      <c r="D213" s="29"/>
      <c r="E213" s="29"/>
      <c r="F213" s="30"/>
      <c r="G213" s="29"/>
      <c r="H213" s="30"/>
      <c r="I213" s="29"/>
      <c r="J213" s="30"/>
      <c r="K213" s="30"/>
      <c r="L213" s="29"/>
      <c r="M213" s="32" t="str">
        <f aca="false">IF(OR(C213="",L213=""),"",IF(C213=L213,"同一","変更"))</f>
        <v/>
      </c>
      <c r="N213" s="29"/>
      <c r="O213" s="30"/>
      <c r="P213" s="29"/>
      <c r="Q213" s="31"/>
      <c r="R213" s="29"/>
      <c r="S213" s="29"/>
      <c r="T213" s="30"/>
      <c r="U213" s="47" t="str">
        <f aca="false">IF(AND(B213&lt;&gt;"",B213=SW別シート!$C$3),COUNTIF(B$5:B213,B213),"")</f>
        <v/>
      </c>
      <c r="V213" s="47" t="n">
        <f aca="false">V212+IF(OR(O213&lt;&gt;"",W213&lt;&gt;""),1,0)</f>
        <v>3</v>
      </c>
      <c r="W213" s="29"/>
    </row>
    <row r="214" customFormat="false" ht="15" hidden="false" customHeight="false" outlineLevel="0" collapsed="false">
      <c r="A214" s="32" t="str">
        <f aca="false">IF(B214="","",ROW()-7)</f>
        <v/>
      </c>
      <c r="B214" s="30"/>
      <c r="C214" s="29"/>
      <c r="D214" s="29"/>
      <c r="E214" s="29"/>
      <c r="F214" s="30"/>
      <c r="G214" s="29"/>
      <c r="H214" s="30"/>
      <c r="I214" s="29"/>
      <c r="J214" s="30"/>
      <c r="K214" s="30"/>
      <c r="L214" s="29"/>
      <c r="M214" s="32" t="str">
        <f aca="false">IF(OR(C214="",L214=""),"",IF(C214=L214,"同一","変更"))</f>
        <v/>
      </c>
      <c r="N214" s="29"/>
      <c r="O214" s="30"/>
      <c r="P214" s="29"/>
      <c r="Q214" s="31"/>
      <c r="R214" s="29"/>
      <c r="S214" s="29"/>
      <c r="T214" s="30"/>
      <c r="U214" s="47" t="str">
        <f aca="false">IF(AND(B214&lt;&gt;"",B214=SW別シート!$C$3),COUNTIF(B$5:B214,B214),"")</f>
        <v/>
      </c>
      <c r="V214" s="47" t="n">
        <f aca="false">V213+IF(OR(O214&lt;&gt;"",W214&lt;&gt;""),1,0)</f>
        <v>3</v>
      </c>
      <c r="W214" s="29"/>
    </row>
    <row r="215" customFormat="false" ht="15" hidden="false" customHeight="false" outlineLevel="0" collapsed="false">
      <c r="A215" s="32" t="str">
        <f aca="false">IF(B215="","",ROW()-7)</f>
        <v/>
      </c>
      <c r="B215" s="30"/>
      <c r="C215" s="29"/>
      <c r="D215" s="29"/>
      <c r="E215" s="29"/>
      <c r="F215" s="30"/>
      <c r="G215" s="29"/>
      <c r="H215" s="30"/>
      <c r="I215" s="29"/>
      <c r="J215" s="30"/>
      <c r="K215" s="30"/>
      <c r="L215" s="29"/>
      <c r="M215" s="32" t="str">
        <f aca="false">IF(OR(C215="",L215=""),"",IF(C215=L215,"同一","変更"))</f>
        <v/>
      </c>
      <c r="N215" s="29"/>
      <c r="O215" s="30"/>
      <c r="P215" s="29"/>
      <c r="Q215" s="31"/>
      <c r="R215" s="29"/>
      <c r="S215" s="29"/>
      <c r="T215" s="30"/>
      <c r="U215" s="47" t="str">
        <f aca="false">IF(AND(B215&lt;&gt;"",B215=SW別シート!$C$3),COUNTIF(B$5:B215,B215),"")</f>
        <v/>
      </c>
      <c r="V215" s="47" t="n">
        <f aca="false">V214+IF(OR(O215&lt;&gt;"",W215&lt;&gt;""),1,0)</f>
        <v>3</v>
      </c>
      <c r="W215" s="29"/>
    </row>
    <row r="216" customFormat="false" ht="15" hidden="false" customHeight="false" outlineLevel="0" collapsed="false">
      <c r="A216" s="32" t="str">
        <f aca="false">IF(B216="","",ROW()-7)</f>
        <v/>
      </c>
      <c r="B216" s="30"/>
      <c r="C216" s="29"/>
      <c r="D216" s="29"/>
      <c r="E216" s="29"/>
      <c r="F216" s="30"/>
      <c r="G216" s="29"/>
      <c r="H216" s="30"/>
      <c r="I216" s="29"/>
      <c r="J216" s="30"/>
      <c r="K216" s="30"/>
      <c r="L216" s="29"/>
      <c r="M216" s="32" t="str">
        <f aca="false">IF(OR(C216="",L216=""),"",IF(C216=L216,"同一","変更"))</f>
        <v/>
      </c>
      <c r="N216" s="29"/>
      <c r="O216" s="30"/>
      <c r="P216" s="29"/>
      <c r="Q216" s="31"/>
      <c r="R216" s="29"/>
      <c r="S216" s="29"/>
      <c r="T216" s="30"/>
      <c r="U216" s="47" t="str">
        <f aca="false">IF(AND(B216&lt;&gt;"",B216=SW別シート!$C$3),COUNTIF(B$5:B216,B216),"")</f>
        <v/>
      </c>
      <c r="V216" s="47" t="n">
        <f aca="false">V215+IF(OR(O216&lt;&gt;"",W216&lt;&gt;""),1,0)</f>
        <v>3</v>
      </c>
      <c r="W216" s="29"/>
    </row>
    <row r="217" customFormat="false" ht="15" hidden="false" customHeight="false" outlineLevel="0" collapsed="false">
      <c r="A217" s="32" t="str">
        <f aca="false">IF(B217="","",ROW()-7)</f>
        <v/>
      </c>
      <c r="B217" s="30"/>
      <c r="C217" s="29"/>
      <c r="D217" s="29"/>
      <c r="E217" s="29"/>
      <c r="F217" s="30"/>
      <c r="G217" s="29"/>
      <c r="H217" s="30"/>
      <c r="I217" s="29"/>
      <c r="J217" s="30"/>
      <c r="K217" s="30"/>
      <c r="L217" s="29"/>
      <c r="M217" s="32" t="str">
        <f aca="false">IF(OR(C217="",L217=""),"",IF(C217=L217,"同一","変更"))</f>
        <v/>
      </c>
      <c r="N217" s="29"/>
      <c r="O217" s="30"/>
      <c r="P217" s="29"/>
      <c r="Q217" s="31"/>
      <c r="R217" s="29"/>
      <c r="S217" s="29"/>
      <c r="T217" s="30"/>
      <c r="U217" s="47" t="str">
        <f aca="false">IF(AND(B217&lt;&gt;"",B217=SW別シート!$C$3),COUNTIF(B$5:B217,B217),"")</f>
        <v/>
      </c>
      <c r="V217" s="47" t="n">
        <f aca="false">V216+IF(OR(O217&lt;&gt;"",W217&lt;&gt;""),1,0)</f>
        <v>3</v>
      </c>
      <c r="W217" s="29"/>
    </row>
    <row r="218" customFormat="false" ht="15" hidden="false" customHeight="false" outlineLevel="0" collapsed="false">
      <c r="A218" s="32" t="str">
        <f aca="false">IF(B218="","",ROW()-7)</f>
        <v/>
      </c>
      <c r="B218" s="30"/>
      <c r="C218" s="29"/>
      <c r="D218" s="29"/>
      <c r="E218" s="29"/>
      <c r="F218" s="30"/>
      <c r="G218" s="29"/>
      <c r="H218" s="30"/>
      <c r="I218" s="29"/>
      <c r="J218" s="30"/>
      <c r="K218" s="30"/>
      <c r="L218" s="29"/>
      <c r="M218" s="32" t="str">
        <f aca="false">IF(OR(C218="",L218=""),"",IF(C218=L218,"同一","変更"))</f>
        <v/>
      </c>
      <c r="N218" s="29"/>
      <c r="O218" s="30"/>
      <c r="P218" s="29"/>
      <c r="Q218" s="31"/>
      <c r="R218" s="29"/>
      <c r="S218" s="29"/>
      <c r="T218" s="30"/>
      <c r="U218" s="47" t="str">
        <f aca="false">IF(AND(B218&lt;&gt;"",B218=SW別シート!$C$3),COUNTIF(B$5:B218,B218),"")</f>
        <v/>
      </c>
      <c r="V218" s="47" t="n">
        <f aca="false">V217+IF(OR(O218&lt;&gt;"",W218&lt;&gt;""),1,0)</f>
        <v>3</v>
      </c>
      <c r="W218" s="29"/>
    </row>
    <row r="219" customFormat="false" ht="15" hidden="false" customHeight="false" outlineLevel="0" collapsed="false">
      <c r="A219" s="32" t="str">
        <f aca="false">IF(B219="","",ROW()-7)</f>
        <v/>
      </c>
      <c r="B219" s="30"/>
      <c r="C219" s="29"/>
      <c r="D219" s="29"/>
      <c r="E219" s="29"/>
      <c r="F219" s="30"/>
      <c r="G219" s="29"/>
      <c r="H219" s="30"/>
      <c r="I219" s="29"/>
      <c r="J219" s="30"/>
      <c r="K219" s="30"/>
      <c r="L219" s="29"/>
      <c r="M219" s="32" t="str">
        <f aca="false">IF(OR(C219="",L219=""),"",IF(C219=L219,"同一","変更"))</f>
        <v/>
      </c>
      <c r="N219" s="29"/>
      <c r="O219" s="30"/>
      <c r="P219" s="29"/>
      <c r="Q219" s="31"/>
      <c r="R219" s="29"/>
      <c r="S219" s="29"/>
      <c r="T219" s="30"/>
      <c r="U219" s="47" t="str">
        <f aca="false">IF(AND(B219&lt;&gt;"",B219=SW別シート!$C$3),COUNTIF(B$5:B219,B219),"")</f>
        <v/>
      </c>
      <c r="V219" s="47" t="n">
        <f aca="false">V218+IF(OR(O219&lt;&gt;"",W219&lt;&gt;""),1,0)</f>
        <v>3</v>
      </c>
      <c r="W219" s="29"/>
    </row>
    <row r="220" customFormat="false" ht="15" hidden="false" customHeight="false" outlineLevel="0" collapsed="false">
      <c r="A220" s="32" t="str">
        <f aca="false">IF(B220="","",ROW()-7)</f>
        <v/>
      </c>
      <c r="B220" s="30"/>
      <c r="C220" s="29"/>
      <c r="D220" s="29"/>
      <c r="E220" s="29"/>
      <c r="F220" s="30"/>
      <c r="G220" s="29"/>
      <c r="H220" s="30"/>
      <c r="I220" s="29"/>
      <c r="J220" s="30"/>
      <c r="K220" s="30"/>
      <c r="L220" s="29"/>
      <c r="M220" s="32" t="str">
        <f aca="false">IF(OR(C220="",L220=""),"",IF(C220=L220,"同一","変更"))</f>
        <v/>
      </c>
      <c r="N220" s="29"/>
      <c r="O220" s="30"/>
      <c r="P220" s="29"/>
      <c r="Q220" s="31"/>
      <c r="R220" s="29"/>
      <c r="S220" s="29"/>
      <c r="T220" s="30"/>
      <c r="U220" s="47" t="str">
        <f aca="false">IF(AND(B220&lt;&gt;"",B220=SW別シート!$C$3),COUNTIF(B$5:B220,B220),"")</f>
        <v/>
      </c>
      <c r="V220" s="47" t="n">
        <f aca="false">V219+IF(OR(O220&lt;&gt;"",W220&lt;&gt;""),1,0)</f>
        <v>3</v>
      </c>
      <c r="W220" s="29"/>
    </row>
    <row r="221" customFormat="false" ht="15" hidden="false" customHeight="false" outlineLevel="0" collapsed="false">
      <c r="A221" s="32" t="str">
        <f aca="false">IF(B221="","",ROW()-7)</f>
        <v/>
      </c>
      <c r="B221" s="30"/>
      <c r="C221" s="29"/>
      <c r="D221" s="29"/>
      <c r="E221" s="29"/>
      <c r="F221" s="30"/>
      <c r="G221" s="29"/>
      <c r="H221" s="30"/>
      <c r="I221" s="29"/>
      <c r="J221" s="30"/>
      <c r="K221" s="30"/>
      <c r="L221" s="29"/>
      <c r="M221" s="32" t="str">
        <f aca="false">IF(OR(C221="",L221=""),"",IF(C221=L221,"同一","変更"))</f>
        <v/>
      </c>
      <c r="N221" s="29"/>
      <c r="O221" s="30"/>
      <c r="P221" s="29"/>
      <c r="Q221" s="31"/>
      <c r="R221" s="29"/>
      <c r="S221" s="29"/>
      <c r="T221" s="30"/>
      <c r="U221" s="47" t="str">
        <f aca="false">IF(AND(B221&lt;&gt;"",B221=SW別シート!$C$3),COUNTIF(B$5:B221,B221),"")</f>
        <v/>
      </c>
      <c r="V221" s="47" t="n">
        <f aca="false">V220+IF(OR(O221&lt;&gt;"",W221&lt;&gt;""),1,0)</f>
        <v>3</v>
      </c>
      <c r="W221" s="29"/>
    </row>
    <row r="222" customFormat="false" ht="15" hidden="false" customHeight="false" outlineLevel="0" collapsed="false">
      <c r="A222" s="32" t="str">
        <f aca="false">IF(B222="","",ROW()-7)</f>
        <v/>
      </c>
      <c r="B222" s="30"/>
      <c r="C222" s="29"/>
      <c r="D222" s="29"/>
      <c r="E222" s="29"/>
      <c r="F222" s="30"/>
      <c r="G222" s="29"/>
      <c r="H222" s="30"/>
      <c r="I222" s="29"/>
      <c r="J222" s="30"/>
      <c r="K222" s="30"/>
      <c r="L222" s="29"/>
      <c r="M222" s="32" t="str">
        <f aca="false">IF(OR(C222="",L222=""),"",IF(C222=L222,"同一","変更"))</f>
        <v/>
      </c>
      <c r="N222" s="29"/>
      <c r="O222" s="30"/>
      <c r="P222" s="29"/>
      <c r="Q222" s="31"/>
      <c r="R222" s="29"/>
      <c r="S222" s="29"/>
      <c r="T222" s="30"/>
      <c r="U222" s="47" t="str">
        <f aca="false">IF(AND(B222&lt;&gt;"",B222=SW別シート!$C$3),COUNTIF(B$5:B222,B222),"")</f>
        <v/>
      </c>
      <c r="V222" s="47" t="n">
        <f aca="false">V221+IF(OR(O222&lt;&gt;"",W222&lt;&gt;""),1,0)</f>
        <v>3</v>
      </c>
      <c r="W222" s="29"/>
    </row>
    <row r="223" customFormat="false" ht="15" hidden="false" customHeight="false" outlineLevel="0" collapsed="false">
      <c r="A223" s="32" t="str">
        <f aca="false">IF(B223="","",ROW()-7)</f>
        <v/>
      </c>
      <c r="B223" s="30"/>
      <c r="C223" s="29"/>
      <c r="D223" s="29"/>
      <c r="E223" s="29"/>
      <c r="F223" s="30"/>
      <c r="G223" s="29"/>
      <c r="H223" s="30"/>
      <c r="I223" s="29"/>
      <c r="J223" s="30"/>
      <c r="K223" s="30"/>
      <c r="L223" s="29"/>
      <c r="M223" s="32" t="str">
        <f aca="false">IF(OR(C223="",L223=""),"",IF(C223=L223,"同一","変更"))</f>
        <v/>
      </c>
      <c r="N223" s="29"/>
      <c r="O223" s="30"/>
      <c r="P223" s="29"/>
      <c r="Q223" s="31"/>
      <c r="R223" s="29"/>
      <c r="S223" s="29"/>
      <c r="T223" s="30"/>
      <c r="U223" s="47" t="str">
        <f aca="false">IF(AND(B223&lt;&gt;"",B223=SW別シート!$C$3),COUNTIF(B$5:B223,B223),"")</f>
        <v/>
      </c>
      <c r="V223" s="47" t="n">
        <f aca="false">V222+IF(OR(O223&lt;&gt;"",W223&lt;&gt;""),1,0)</f>
        <v>3</v>
      </c>
      <c r="W223" s="29"/>
    </row>
    <row r="224" customFormat="false" ht="15" hidden="false" customHeight="false" outlineLevel="0" collapsed="false">
      <c r="A224" s="32" t="str">
        <f aca="false">IF(B224="","",ROW()-7)</f>
        <v/>
      </c>
      <c r="B224" s="30"/>
      <c r="C224" s="29"/>
      <c r="D224" s="29"/>
      <c r="E224" s="29"/>
      <c r="F224" s="30"/>
      <c r="G224" s="29"/>
      <c r="H224" s="30"/>
      <c r="I224" s="29"/>
      <c r="J224" s="30"/>
      <c r="K224" s="30"/>
      <c r="L224" s="29"/>
      <c r="M224" s="32" t="str">
        <f aca="false">IF(OR(C224="",L224=""),"",IF(C224=L224,"同一","変更"))</f>
        <v/>
      </c>
      <c r="N224" s="29"/>
      <c r="O224" s="30"/>
      <c r="P224" s="29"/>
      <c r="Q224" s="31"/>
      <c r="R224" s="29"/>
      <c r="S224" s="29"/>
      <c r="T224" s="30"/>
      <c r="U224" s="47" t="str">
        <f aca="false">IF(AND(B224&lt;&gt;"",B224=SW別シート!$C$3),COUNTIF(B$5:B224,B224),"")</f>
        <v/>
      </c>
      <c r="V224" s="47" t="n">
        <f aca="false">V223+IF(OR(O224&lt;&gt;"",W224&lt;&gt;""),1,0)</f>
        <v>3</v>
      </c>
      <c r="W224" s="29"/>
    </row>
    <row r="225" customFormat="false" ht="15" hidden="false" customHeight="false" outlineLevel="0" collapsed="false">
      <c r="A225" s="32" t="str">
        <f aca="false">IF(B225="","",ROW()-7)</f>
        <v/>
      </c>
      <c r="B225" s="30"/>
      <c r="C225" s="29"/>
      <c r="D225" s="29"/>
      <c r="E225" s="29"/>
      <c r="F225" s="30"/>
      <c r="G225" s="29"/>
      <c r="H225" s="30"/>
      <c r="I225" s="29"/>
      <c r="J225" s="30"/>
      <c r="K225" s="30"/>
      <c r="L225" s="29"/>
      <c r="M225" s="32" t="str">
        <f aca="false">IF(OR(C225="",L225=""),"",IF(C225=L225,"同一","変更"))</f>
        <v/>
      </c>
      <c r="N225" s="29"/>
      <c r="O225" s="30"/>
      <c r="P225" s="29"/>
      <c r="Q225" s="31"/>
      <c r="R225" s="29"/>
      <c r="S225" s="29"/>
      <c r="T225" s="30"/>
      <c r="U225" s="47" t="str">
        <f aca="false">IF(AND(B225&lt;&gt;"",B225=SW別シート!$C$3),COUNTIF(B$5:B225,B225),"")</f>
        <v/>
      </c>
      <c r="V225" s="47" t="n">
        <f aca="false">V224+IF(OR(O225&lt;&gt;"",W225&lt;&gt;""),1,0)</f>
        <v>3</v>
      </c>
      <c r="W225" s="29"/>
    </row>
    <row r="226" customFormat="false" ht="15" hidden="false" customHeight="false" outlineLevel="0" collapsed="false">
      <c r="A226" s="32" t="str">
        <f aca="false">IF(B226="","",ROW()-7)</f>
        <v/>
      </c>
      <c r="B226" s="30"/>
      <c r="C226" s="29"/>
      <c r="D226" s="29"/>
      <c r="E226" s="29"/>
      <c r="F226" s="30"/>
      <c r="G226" s="29"/>
      <c r="H226" s="30"/>
      <c r="I226" s="29"/>
      <c r="J226" s="30"/>
      <c r="K226" s="30"/>
      <c r="L226" s="29"/>
      <c r="M226" s="32" t="str">
        <f aca="false">IF(OR(C226="",L226=""),"",IF(C226=L226,"同一","変更"))</f>
        <v/>
      </c>
      <c r="N226" s="29"/>
      <c r="O226" s="30"/>
      <c r="P226" s="29"/>
      <c r="Q226" s="31"/>
      <c r="R226" s="29"/>
      <c r="S226" s="29"/>
      <c r="T226" s="30"/>
      <c r="U226" s="47" t="str">
        <f aca="false">IF(AND(B226&lt;&gt;"",B226=SW別シート!$C$3),COUNTIF(B$5:B226,B226),"")</f>
        <v/>
      </c>
      <c r="V226" s="47" t="n">
        <f aca="false">V225+IF(OR(O226&lt;&gt;"",W226&lt;&gt;""),1,0)</f>
        <v>3</v>
      </c>
      <c r="W226" s="29"/>
    </row>
    <row r="227" customFormat="false" ht="15" hidden="false" customHeight="false" outlineLevel="0" collapsed="false">
      <c r="A227" s="32" t="str">
        <f aca="false">IF(B227="","",ROW()-7)</f>
        <v/>
      </c>
      <c r="B227" s="30"/>
      <c r="C227" s="29"/>
      <c r="D227" s="29"/>
      <c r="E227" s="29"/>
      <c r="F227" s="30"/>
      <c r="G227" s="29"/>
      <c r="H227" s="30"/>
      <c r="I227" s="29"/>
      <c r="J227" s="30"/>
      <c r="K227" s="30"/>
      <c r="L227" s="29"/>
      <c r="M227" s="32" t="str">
        <f aca="false">IF(OR(C227="",L227=""),"",IF(C227=L227,"同一","変更"))</f>
        <v/>
      </c>
      <c r="N227" s="29"/>
      <c r="O227" s="30"/>
      <c r="P227" s="29"/>
      <c r="Q227" s="31"/>
      <c r="R227" s="29"/>
      <c r="S227" s="29"/>
      <c r="T227" s="30"/>
      <c r="U227" s="47" t="str">
        <f aca="false">IF(AND(B227&lt;&gt;"",B227=SW別シート!$C$3),COUNTIF(B$5:B227,B227),"")</f>
        <v/>
      </c>
      <c r="V227" s="47" t="n">
        <f aca="false">V226+IF(OR(O227&lt;&gt;"",W227&lt;&gt;""),1,0)</f>
        <v>3</v>
      </c>
      <c r="W227" s="29"/>
    </row>
    <row r="228" customFormat="false" ht="15" hidden="false" customHeight="false" outlineLevel="0" collapsed="false">
      <c r="A228" s="32" t="str">
        <f aca="false">IF(B228="","",ROW()-7)</f>
        <v/>
      </c>
      <c r="B228" s="30"/>
      <c r="C228" s="29"/>
      <c r="D228" s="29"/>
      <c r="E228" s="29"/>
      <c r="F228" s="30"/>
      <c r="G228" s="29"/>
      <c r="H228" s="30"/>
      <c r="I228" s="29"/>
      <c r="J228" s="30"/>
      <c r="K228" s="30"/>
      <c r="L228" s="29"/>
      <c r="M228" s="32" t="str">
        <f aca="false">IF(OR(C228="",L228=""),"",IF(C228=L228,"同一","変更"))</f>
        <v/>
      </c>
      <c r="N228" s="29"/>
      <c r="O228" s="30"/>
      <c r="P228" s="29"/>
      <c r="Q228" s="31"/>
      <c r="R228" s="29"/>
      <c r="S228" s="29"/>
      <c r="T228" s="30"/>
      <c r="U228" s="47" t="str">
        <f aca="false">IF(AND(B228&lt;&gt;"",B228=SW別シート!$C$3),COUNTIF(B$5:B228,B228),"")</f>
        <v/>
      </c>
      <c r="V228" s="47" t="n">
        <f aca="false">V227+IF(OR(O228&lt;&gt;"",W228&lt;&gt;""),1,0)</f>
        <v>3</v>
      </c>
      <c r="W228" s="29"/>
    </row>
    <row r="229" customFormat="false" ht="15" hidden="false" customHeight="false" outlineLevel="0" collapsed="false">
      <c r="A229" s="32" t="str">
        <f aca="false">IF(B229="","",ROW()-7)</f>
        <v/>
      </c>
      <c r="B229" s="30"/>
      <c r="C229" s="29"/>
      <c r="D229" s="29"/>
      <c r="E229" s="29"/>
      <c r="F229" s="30"/>
      <c r="G229" s="29"/>
      <c r="H229" s="30"/>
      <c r="I229" s="29"/>
      <c r="J229" s="30"/>
      <c r="K229" s="30"/>
      <c r="L229" s="29"/>
      <c r="M229" s="32" t="str">
        <f aca="false">IF(OR(C229="",L229=""),"",IF(C229=L229,"同一","変更"))</f>
        <v/>
      </c>
      <c r="N229" s="29"/>
      <c r="O229" s="30"/>
      <c r="P229" s="29"/>
      <c r="Q229" s="31"/>
      <c r="R229" s="29"/>
      <c r="S229" s="29"/>
      <c r="T229" s="30"/>
      <c r="U229" s="47" t="str">
        <f aca="false">IF(AND(B229&lt;&gt;"",B229=SW別シート!$C$3),COUNTIF(B$5:B229,B229),"")</f>
        <v/>
      </c>
      <c r="V229" s="47" t="n">
        <f aca="false">V228+IF(OR(O229&lt;&gt;"",W229&lt;&gt;""),1,0)</f>
        <v>3</v>
      </c>
      <c r="W229" s="29"/>
    </row>
    <row r="230" customFormat="false" ht="15" hidden="false" customHeight="false" outlineLevel="0" collapsed="false">
      <c r="A230" s="32" t="str">
        <f aca="false">IF(B230="","",ROW()-7)</f>
        <v/>
      </c>
      <c r="B230" s="30"/>
      <c r="C230" s="29"/>
      <c r="D230" s="29"/>
      <c r="E230" s="29"/>
      <c r="F230" s="30"/>
      <c r="G230" s="29"/>
      <c r="H230" s="30"/>
      <c r="I230" s="29"/>
      <c r="J230" s="30"/>
      <c r="K230" s="30"/>
      <c r="L230" s="29"/>
      <c r="M230" s="32" t="str">
        <f aca="false">IF(OR(C230="",L230=""),"",IF(C230=L230,"同一","変更"))</f>
        <v/>
      </c>
      <c r="N230" s="29"/>
      <c r="O230" s="30"/>
      <c r="P230" s="29"/>
      <c r="Q230" s="31"/>
      <c r="R230" s="29"/>
      <c r="S230" s="29"/>
      <c r="T230" s="30"/>
      <c r="U230" s="47" t="str">
        <f aca="false">IF(AND(B230&lt;&gt;"",B230=SW別シート!$C$3),COUNTIF(B$5:B230,B230),"")</f>
        <v/>
      </c>
      <c r="V230" s="47" t="n">
        <f aca="false">V229+IF(OR(O230&lt;&gt;"",W230&lt;&gt;""),1,0)</f>
        <v>3</v>
      </c>
      <c r="W230" s="29"/>
    </row>
    <row r="231" customFormat="false" ht="15" hidden="false" customHeight="false" outlineLevel="0" collapsed="false">
      <c r="A231" s="32" t="str">
        <f aca="false">IF(B231="","",ROW()-7)</f>
        <v/>
      </c>
      <c r="B231" s="30"/>
      <c r="C231" s="29"/>
      <c r="D231" s="29"/>
      <c r="E231" s="29"/>
      <c r="F231" s="30"/>
      <c r="G231" s="29"/>
      <c r="H231" s="30"/>
      <c r="I231" s="29"/>
      <c r="J231" s="30"/>
      <c r="K231" s="30"/>
      <c r="L231" s="29"/>
      <c r="M231" s="32" t="str">
        <f aca="false">IF(OR(C231="",L231=""),"",IF(C231=L231,"同一","変更"))</f>
        <v/>
      </c>
      <c r="N231" s="29"/>
      <c r="O231" s="30"/>
      <c r="P231" s="29"/>
      <c r="Q231" s="31"/>
      <c r="R231" s="29"/>
      <c r="S231" s="29"/>
      <c r="T231" s="30"/>
      <c r="U231" s="47" t="str">
        <f aca="false">IF(AND(B231&lt;&gt;"",B231=SW別シート!$C$3),COUNTIF(B$5:B231,B231),"")</f>
        <v/>
      </c>
      <c r="V231" s="47" t="n">
        <f aca="false">V230+IF(OR(O231&lt;&gt;"",W231&lt;&gt;""),1,0)</f>
        <v>3</v>
      </c>
      <c r="W231" s="29"/>
    </row>
    <row r="232" customFormat="false" ht="15" hidden="false" customHeight="false" outlineLevel="0" collapsed="false">
      <c r="A232" s="32" t="str">
        <f aca="false">IF(B232="","",ROW()-7)</f>
        <v/>
      </c>
      <c r="B232" s="30"/>
      <c r="C232" s="29"/>
      <c r="D232" s="29"/>
      <c r="E232" s="29"/>
      <c r="F232" s="30"/>
      <c r="G232" s="29"/>
      <c r="H232" s="30"/>
      <c r="I232" s="29"/>
      <c r="J232" s="30"/>
      <c r="K232" s="30"/>
      <c r="L232" s="29"/>
      <c r="M232" s="32" t="str">
        <f aca="false">IF(OR(C232="",L232=""),"",IF(C232=L232,"同一","変更"))</f>
        <v/>
      </c>
      <c r="N232" s="29"/>
      <c r="O232" s="30"/>
      <c r="P232" s="29"/>
      <c r="Q232" s="31"/>
      <c r="R232" s="29"/>
      <c r="S232" s="29"/>
      <c r="T232" s="30"/>
      <c r="U232" s="47" t="str">
        <f aca="false">IF(AND(B232&lt;&gt;"",B232=SW別シート!$C$3),COUNTIF(B$5:B232,B232),"")</f>
        <v/>
      </c>
      <c r="V232" s="47" t="n">
        <f aca="false">V231+IF(OR(O232&lt;&gt;"",W232&lt;&gt;""),1,0)</f>
        <v>3</v>
      </c>
      <c r="W232" s="29"/>
    </row>
    <row r="233" customFormat="false" ht="15" hidden="false" customHeight="false" outlineLevel="0" collapsed="false">
      <c r="A233" s="32" t="str">
        <f aca="false">IF(B233="","",ROW()-7)</f>
        <v/>
      </c>
      <c r="B233" s="30"/>
      <c r="C233" s="29"/>
      <c r="D233" s="29"/>
      <c r="E233" s="29"/>
      <c r="F233" s="30"/>
      <c r="G233" s="29"/>
      <c r="H233" s="30"/>
      <c r="I233" s="29"/>
      <c r="J233" s="30"/>
      <c r="K233" s="30"/>
      <c r="L233" s="29"/>
      <c r="M233" s="32" t="str">
        <f aca="false">IF(OR(C233="",L233=""),"",IF(C233=L233,"同一","変更"))</f>
        <v/>
      </c>
      <c r="N233" s="29"/>
      <c r="O233" s="30"/>
      <c r="P233" s="29"/>
      <c r="Q233" s="31"/>
      <c r="R233" s="29"/>
      <c r="S233" s="29"/>
      <c r="T233" s="30"/>
      <c r="U233" s="47" t="str">
        <f aca="false">IF(AND(B233&lt;&gt;"",B233=SW別シート!$C$3),COUNTIF(B$5:B233,B233),"")</f>
        <v/>
      </c>
      <c r="V233" s="47" t="n">
        <f aca="false">V232+IF(OR(O233&lt;&gt;"",W233&lt;&gt;""),1,0)</f>
        <v>3</v>
      </c>
      <c r="W233" s="29"/>
    </row>
    <row r="234" customFormat="false" ht="15" hidden="false" customHeight="false" outlineLevel="0" collapsed="false">
      <c r="A234" s="32" t="str">
        <f aca="false">IF(B234="","",ROW()-7)</f>
        <v/>
      </c>
      <c r="B234" s="30"/>
      <c r="C234" s="29"/>
      <c r="D234" s="29"/>
      <c r="E234" s="29"/>
      <c r="F234" s="30"/>
      <c r="G234" s="29"/>
      <c r="H234" s="30"/>
      <c r="I234" s="29"/>
      <c r="J234" s="30"/>
      <c r="K234" s="30"/>
      <c r="L234" s="29"/>
      <c r="M234" s="32" t="str">
        <f aca="false">IF(OR(C234="",L234=""),"",IF(C234=L234,"同一","変更"))</f>
        <v/>
      </c>
      <c r="N234" s="29"/>
      <c r="O234" s="30"/>
      <c r="P234" s="29"/>
      <c r="Q234" s="31"/>
      <c r="R234" s="29"/>
      <c r="S234" s="29"/>
      <c r="T234" s="30"/>
      <c r="U234" s="47" t="str">
        <f aca="false">IF(AND(B234&lt;&gt;"",B234=SW別シート!$C$3),COUNTIF(B$5:B234,B234),"")</f>
        <v/>
      </c>
      <c r="V234" s="47" t="n">
        <f aca="false">V233+IF(OR(O234&lt;&gt;"",W234&lt;&gt;""),1,0)</f>
        <v>3</v>
      </c>
      <c r="W234" s="29"/>
    </row>
    <row r="235" customFormat="false" ht="15" hidden="false" customHeight="false" outlineLevel="0" collapsed="false">
      <c r="A235" s="32" t="str">
        <f aca="false">IF(B235="","",ROW()-7)</f>
        <v/>
      </c>
      <c r="B235" s="30"/>
      <c r="C235" s="29"/>
      <c r="D235" s="29"/>
      <c r="E235" s="29"/>
      <c r="F235" s="30"/>
      <c r="G235" s="29"/>
      <c r="H235" s="30"/>
      <c r="I235" s="29"/>
      <c r="J235" s="30"/>
      <c r="K235" s="30"/>
      <c r="L235" s="29"/>
      <c r="M235" s="32" t="str">
        <f aca="false">IF(OR(C235="",L235=""),"",IF(C235=L235,"同一","変更"))</f>
        <v/>
      </c>
      <c r="N235" s="29"/>
      <c r="O235" s="30"/>
      <c r="P235" s="29"/>
      <c r="Q235" s="31"/>
      <c r="R235" s="29"/>
      <c r="S235" s="29"/>
      <c r="T235" s="30"/>
      <c r="U235" s="47" t="str">
        <f aca="false">IF(AND(B235&lt;&gt;"",B235=SW別シート!$C$3),COUNTIF(B$5:B235,B235),"")</f>
        <v/>
      </c>
      <c r="V235" s="47" t="n">
        <f aca="false">V234+IF(OR(O235&lt;&gt;"",W235&lt;&gt;""),1,0)</f>
        <v>3</v>
      </c>
      <c r="W235" s="29"/>
    </row>
    <row r="236" customFormat="false" ht="15" hidden="false" customHeight="false" outlineLevel="0" collapsed="false">
      <c r="A236" s="32" t="str">
        <f aca="false">IF(B236="","",ROW()-7)</f>
        <v/>
      </c>
      <c r="B236" s="30"/>
      <c r="C236" s="29"/>
      <c r="D236" s="29"/>
      <c r="E236" s="29"/>
      <c r="F236" s="30"/>
      <c r="G236" s="29"/>
      <c r="H236" s="30"/>
      <c r="I236" s="29"/>
      <c r="J236" s="30"/>
      <c r="K236" s="30"/>
      <c r="L236" s="29"/>
      <c r="M236" s="32" t="str">
        <f aca="false">IF(OR(C236="",L236=""),"",IF(C236=L236,"同一","変更"))</f>
        <v/>
      </c>
      <c r="N236" s="29"/>
      <c r="O236" s="30"/>
      <c r="P236" s="29"/>
      <c r="Q236" s="31"/>
      <c r="R236" s="29"/>
      <c r="S236" s="29"/>
      <c r="T236" s="30"/>
      <c r="U236" s="47" t="str">
        <f aca="false">IF(AND(B236&lt;&gt;"",B236=SW別シート!$C$3),COUNTIF(B$5:B236,B236),"")</f>
        <v/>
      </c>
      <c r="V236" s="47" t="n">
        <f aca="false">V235+IF(OR(O236&lt;&gt;"",W236&lt;&gt;""),1,0)</f>
        <v>3</v>
      </c>
      <c r="W236" s="29"/>
    </row>
    <row r="237" customFormat="false" ht="15" hidden="false" customHeight="false" outlineLevel="0" collapsed="false">
      <c r="A237" s="32" t="str">
        <f aca="false">IF(B237="","",ROW()-7)</f>
        <v/>
      </c>
      <c r="B237" s="30"/>
      <c r="C237" s="29"/>
      <c r="D237" s="29"/>
      <c r="E237" s="29"/>
      <c r="F237" s="30"/>
      <c r="G237" s="29"/>
      <c r="H237" s="30"/>
      <c r="I237" s="29"/>
      <c r="J237" s="30"/>
      <c r="K237" s="30"/>
      <c r="L237" s="29"/>
      <c r="M237" s="32" t="str">
        <f aca="false">IF(OR(C237="",L237=""),"",IF(C237=L237,"同一","変更"))</f>
        <v/>
      </c>
      <c r="N237" s="29"/>
      <c r="O237" s="30"/>
      <c r="P237" s="29"/>
      <c r="Q237" s="31"/>
      <c r="R237" s="29"/>
      <c r="S237" s="29"/>
      <c r="T237" s="30"/>
      <c r="U237" s="47" t="str">
        <f aca="false">IF(AND(B237&lt;&gt;"",B237=SW別シート!$C$3),COUNTIF(B$5:B237,B237),"")</f>
        <v/>
      </c>
      <c r="V237" s="47" t="n">
        <f aca="false">V236+IF(OR(O237&lt;&gt;"",W237&lt;&gt;""),1,0)</f>
        <v>3</v>
      </c>
      <c r="W237" s="29"/>
    </row>
    <row r="238" customFormat="false" ht="15" hidden="false" customHeight="false" outlineLevel="0" collapsed="false">
      <c r="A238" s="32" t="str">
        <f aca="false">IF(B238="","",ROW()-7)</f>
        <v/>
      </c>
      <c r="B238" s="30"/>
      <c r="C238" s="29"/>
      <c r="D238" s="29"/>
      <c r="E238" s="29"/>
      <c r="F238" s="30"/>
      <c r="G238" s="29"/>
      <c r="H238" s="30"/>
      <c r="I238" s="29"/>
      <c r="J238" s="30"/>
      <c r="K238" s="30"/>
      <c r="L238" s="29"/>
      <c r="M238" s="32" t="str">
        <f aca="false">IF(OR(C238="",L238=""),"",IF(C238=L238,"同一","変更"))</f>
        <v/>
      </c>
      <c r="N238" s="29"/>
      <c r="O238" s="30"/>
      <c r="P238" s="29"/>
      <c r="Q238" s="31"/>
      <c r="R238" s="29"/>
      <c r="S238" s="29"/>
      <c r="T238" s="30"/>
      <c r="U238" s="47" t="str">
        <f aca="false">IF(AND(B238&lt;&gt;"",B238=SW別シート!$C$3),COUNTIF(B$5:B238,B238),"")</f>
        <v/>
      </c>
      <c r="V238" s="47" t="n">
        <f aca="false">V237+IF(OR(O238&lt;&gt;"",W238&lt;&gt;""),1,0)</f>
        <v>3</v>
      </c>
      <c r="W238" s="29"/>
    </row>
    <row r="239" customFormat="false" ht="15" hidden="false" customHeight="false" outlineLevel="0" collapsed="false">
      <c r="A239" s="32" t="str">
        <f aca="false">IF(B239="","",ROW()-7)</f>
        <v/>
      </c>
      <c r="B239" s="30"/>
      <c r="C239" s="29"/>
      <c r="D239" s="29"/>
      <c r="E239" s="29"/>
      <c r="F239" s="30"/>
      <c r="G239" s="29"/>
      <c r="H239" s="30"/>
      <c r="I239" s="29"/>
      <c r="J239" s="30"/>
      <c r="K239" s="30"/>
      <c r="L239" s="29"/>
      <c r="M239" s="32" t="str">
        <f aca="false">IF(OR(C239="",L239=""),"",IF(C239=L239,"同一","変更"))</f>
        <v/>
      </c>
      <c r="N239" s="29"/>
      <c r="O239" s="30"/>
      <c r="P239" s="29"/>
      <c r="Q239" s="31"/>
      <c r="R239" s="29"/>
      <c r="S239" s="29"/>
      <c r="T239" s="30"/>
      <c r="U239" s="47" t="str">
        <f aca="false">IF(AND(B239&lt;&gt;"",B239=SW別シート!$C$3),COUNTIF(B$5:B239,B239),"")</f>
        <v/>
      </c>
      <c r="V239" s="47" t="n">
        <f aca="false">V238+IF(OR(O239&lt;&gt;"",W239&lt;&gt;""),1,0)</f>
        <v>3</v>
      </c>
      <c r="W239" s="29"/>
    </row>
    <row r="240" customFormat="false" ht="15" hidden="false" customHeight="false" outlineLevel="0" collapsed="false">
      <c r="A240" s="32" t="str">
        <f aca="false">IF(B240="","",ROW()-7)</f>
        <v/>
      </c>
      <c r="B240" s="30"/>
      <c r="C240" s="29"/>
      <c r="D240" s="29"/>
      <c r="E240" s="29"/>
      <c r="F240" s="30"/>
      <c r="G240" s="29"/>
      <c r="H240" s="30"/>
      <c r="I240" s="29"/>
      <c r="J240" s="30"/>
      <c r="K240" s="30"/>
      <c r="L240" s="29"/>
      <c r="M240" s="32" t="str">
        <f aca="false">IF(OR(C240="",L240=""),"",IF(C240=L240,"同一","変更"))</f>
        <v/>
      </c>
      <c r="N240" s="29"/>
      <c r="O240" s="30"/>
      <c r="P240" s="29"/>
      <c r="Q240" s="31"/>
      <c r="R240" s="29"/>
      <c r="S240" s="29"/>
      <c r="T240" s="30"/>
      <c r="U240" s="47" t="str">
        <f aca="false">IF(AND(B240&lt;&gt;"",B240=SW別シート!$C$3),COUNTIF(B$5:B240,B240),"")</f>
        <v/>
      </c>
      <c r="V240" s="47" t="n">
        <f aca="false">V239+IF(OR(O240&lt;&gt;"",W240&lt;&gt;""),1,0)</f>
        <v>3</v>
      </c>
      <c r="W240" s="29"/>
    </row>
    <row r="241" customFormat="false" ht="15" hidden="false" customHeight="false" outlineLevel="0" collapsed="false">
      <c r="A241" s="32" t="str">
        <f aca="false">IF(B241="","",ROW()-7)</f>
        <v/>
      </c>
      <c r="B241" s="30"/>
      <c r="C241" s="29"/>
      <c r="D241" s="29"/>
      <c r="E241" s="29"/>
      <c r="F241" s="30"/>
      <c r="G241" s="29"/>
      <c r="H241" s="30"/>
      <c r="I241" s="29"/>
      <c r="J241" s="30"/>
      <c r="K241" s="30"/>
      <c r="L241" s="29"/>
      <c r="M241" s="32" t="str">
        <f aca="false">IF(OR(C241="",L241=""),"",IF(C241=L241,"同一","変更"))</f>
        <v/>
      </c>
      <c r="N241" s="29"/>
      <c r="O241" s="30"/>
      <c r="P241" s="29"/>
      <c r="Q241" s="31"/>
      <c r="R241" s="29"/>
      <c r="S241" s="29"/>
      <c r="T241" s="30"/>
      <c r="U241" s="47" t="str">
        <f aca="false">IF(AND(B241&lt;&gt;"",B241=SW別シート!$C$3),COUNTIF(B$5:B241,B241),"")</f>
        <v/>
      </c>
      <c r="V241" s="47" t="n">
        <f aca="false">V240+IF(OR(O241&lt;&gt;"",W241&lt;&gt;""),1,0)</f>
        <v>3</v>
      </c>
      <c r="W241" s="29"/>
    </row>
    <row r="242" customFormat="false" ht="15" hidden="false" customHeight="false" outlineLevel="0" collapsed="false">
      <c r="A242" s="32" t="str">
        <f aca="false">IF(B242="","",ROW()-7)</f>
        <v/>
      </c>
      <c r="B242" s="30"/>
      <c r="C242" s="29"/>
      <c r="D242" s="29"/>
      <c r="E242" s="29"/>
      <c r="F242" s="30"/>
      <c r="G242" s="29"/>
      <c r="H242" s="30"/>
      <c r="I242" s="29"/>
      <c r="J242" s="30"/>
      <c r="K242" s="30"/>
      <c r="L242" s="29"/>
      <c r="M242" s="32" t="str">
        <f aca="false">IF(OR(C242="",L242=""),"",IF(C242=L242,"同一","変更"))</f>
        <v/>
      </c>
      <c r="N242" s="29"/>
      <c r="O242" s="30"/>
      <c r="P242" s="29"/>
      <c r="Q242" s="31"/>
      <c r="R242" s="29"/>
      <c r="S242" s="29"/>
      <c r="T242" s="30"/>
      <c r="U242" s="47" t="str">
        <f aca="false">IF(AND(B242&lt;&gt;"",B242=SW別シート!$C$3),COUNTIF(B$5:B242,B242),"")</f>
        <v/>
      </c>
      <c r="V242" s="47" t="n">
        <f aca="false">V241+IF(OR(O242&lt;&gt;"",W242&lt;&gt;""),1,0)</f>
        <v>3</v>
      </c>
      <c r="W242" s="29"/>
    </row>
    <row r="243" customFormat="false" ht="15" hidden="false" customHeight="false" outlineLevel="0" collapsed="false">
      <c r="A243" s="32" t="str">
        <f aca="false">IF(B243="","",ROW()-7)</f>
        <v/>
      </c>
      <c r="B243" s="30"/>
      <c r="C243" s="29"/>
      <c r="D243" s="29"/>
      <c r="E243" s="29"/>
      <c r="F243" s="30"/>
      <c r="G243" s="29"/>
      <c r="H243" s="30"/>
      <c r="I243" s="29"/>
      <c r="J243" s="30"/>
      <c r="K243" s="30"/>
      <c r="L243" s="29"/>
      <c r="M243" s="32" t="str">
        <f aca="false">IF(OR(C243="",L243=""),"",IF(C243=L243,"同一","変更"))</f>
        <v/>
      </c>
      <c r="N243" s="29"/>
      <c r="O243" s="30"/>
      <c r="P243" s="29"/>
      <c r="Q243" s="31"/>
      <c r="R243" s="29"/>
      <c r="S243" s="29"/>
      <c r="T243" s="30"/>
      <c r="U243" s="47" t="str">
        <f aca="false">IF(AND(B243&lt;&gt;"",B243=SW別シート!$C$3),COUNTIF(B$5:B243,B243),"")</f>
        <v/>
      </c>
      <c r="V243" s="47" t="n">
        <f aca="false">V242+IF(OR(O243&lt;&gt;"",W243&lt;&gt;""),1,0)</f>
        <v>3</v>
      </c>
      <c r="W243" s="29"/>
    </row>
    <row r="244" customFormat="false" ht="15" hidden="false" customHeight="false" outlineLevel="0" collapsed="false">
      <c r="A244" s="32" t="str">
        <f aca="false">IF(B244="","",ROW()-7)</f>
        <v/>
      </c>
      <c r="B244" s="30"/>
      <c r="C244" s="29"/>
      <c r="D244" s="29"/>
      <c r="E244" s="29"/>
      <c r="F244" s="30"/>
      <c r="G244" s="29"/>
      <c r="H244" s="30"/>
      <c r="I244" s="29"/>
      <c r="J244" s="30"/>
      <c r="K244" s="30"/>
      <c r="L244" s="29"/>
      <c r="M244" s="32" t="str">
        <f aca="false">IF(OR(C244="",L244=""),"",IF(C244=L244,"同一","変更"))</f>
        <v/>
      </c>
      <c r="N244" s="29"/>
      <c r="O244" s="30"/>
      <c r="P244" s="29"/>
      <c r="Q244" s="31"/>
      <c r="R244" s="29"/>
      <c r="S244" s="29"/>
      <c r="T244" s="30"/>
      <c r="U244" s="47" t="str">
        <f aca="false">IF(AND(B244&lt;&gt;"",B244=SW別シート!$C$3),COUNTIF(B$5:B244,B244),"")</f>
        <v/>
      </c>
      <c r="V244" s="47" t="n">
        <f aca="false">V243+IF(OR(O244&lt;&gt;"",W244&lt;&gt;""),1,0)</f>
        <v>3</v>
      </c>
      <c r="W244" s="29"/>
    </row>
    <row r="245" customFormat="false" ht="15" hidden="false" customHeight="false" outlineLevel="0" collapsed="false">
      <c r="A245" s="32" t="str">
        <f aca="false">IF(B245="","",ROW()-7)</f>
        <v/>
      </c>
      <c r="B245" s="30"/>
      <c r="C245" s="29"/>
      <c r="D245" s="29"/>
      <c r="E245" s="29"/>
      <c r="F245" s="30"/>
      <c r="G245" s="29"/>
      <c r="H245" s="30"/>
      <c r="I245" s="29"/>
      <c r="J245" s="30"/>
      <c r="K245" s="30"/>
      <c r="L245" s="29"/>
      <c r="M245" s="32" t="str">
        <f aca="false">IF(OR(C245="",L245=""),"",IF(C245=L245,"同一","変更"))</f>
        <v/>
      </c>
      <c r="N245" s="29"/>
      <c r="O245" s="30"/>
      <c r="P245" s="29"/>
      <c r="Q245" s="31"/>
      <c r="R245" s="29"/>
      <c r="S245" s="29"/>
      <c r="T245" s="30"/>
      <c r="U245" s="47" t="str">
        <f aca="false">IF(AND(B245&lt;&gt;"",B245=SW別シート!$C$3),COUNTIF(B$5:B245,B245),"")</f>
        <v/>
      </c>
      <c r="V245" s="47" t="n">
        <f aca="false">V244+IF(OR(O245&lt;&gt;"",W245&lt;&gt;""),1,0)</f>
        <v>3</v>
      </c>
      <c r="W245" s="29"/>
    </row>
    <row r="246" customFormat="false" ht="15" hidden="false" customHeight="false" outlineLevel="0" collapsed="false">
      <c r="A246" s="32" t="str">
        <f aca="false">IF(B246="","",ROW()-7)</f>
        <v/>
      </c>
      <c r="B246" s="30"/>
      <c r="C246" s="29"/>
      <c r="D246" s="29"/>
      <c r="E246" s="29"/>
      <c r="F246" s="30"/>
      <c r="G246" s="29"/>
      <c r="H246" s="30"/>
      <c r="I246" s="29"/>
      <c r="J246" s="30"/>
      <c r="K246" s="30"/>
      <c r="L246" s="29"/>
      <c r="M246" s="32" t="str">
        <f aca="false">IF(OR(C246="",L246=""),"",IF(C246=L246,"同一","変更"))</f>
        <v/>
      </c>
      <c r="N246" s="29"/>
      <c r="O246" s="30"/>
      <c r="P246" s="29"/>
      <c r="Q246" s="31"/>
      <c r="R246" s="29"/>
      <c r="S246" s="29"/>
      <c r="T246" s="30"/>
      <c r="U246" s="47" t="str">
        <f aca="false">IF(AND(B246&lt;&gt;"",B246=SW別シート!$C$3),COUNTIF(B$5:B246,B246),"")</f>
        <v/>
      </c>
      <c r="V246" s="47" t="n">
        <f aca="false">V245+IF(OR(O246&lt;&gt;"",W246&lt;&gt;""),1,0)</f>
        <v>3</v>
      </c>
      <c r="W246" s="29"/>
    </row>
    <row r="247" customFormat="false" ht="15" hidden="false" customHeight="false" outlineLevel="0" collapsed="false">
      <c r="A247" s="32" t="str">
        <f aca="false">IF(B247="","",ROW()-7)</f>
        <v/>
      </c>
      <c r="B247" s="30"/>
      <c r="C247" s="29"/>
      <c r="D247" s="29"/>
      <c r="E247" s="29"/>
      <c r="F247" s="30"/>
      <c r="G247" s="29"/>
      <c r="H247" s="30"/>
      <c r="I247" s="29"/>
      <c r="J247" s="30"/>
      <c r="K247" s="30"/>
      <c r="L247" s="29"/>
      <c r="M247" s="32" t="str">
        <f aca="false">IF(OR(C247="",L247=""),"",IF(C247=L247,"同一","変更"))</f>
        <v/>
      </c>
      <c r="N247" s="29"/>
      <c r="O247" s="30"/>
      <c r="P247" s="29"/>
      <c r="Q247" s="31"/>
      <c r="R247" s="29"/>
      <c r="S247" s="29"/>
      <c r="T247" s="30"/>
      <c r="U247" s="47" t="str">
        <f aca="false">IF(AND(B247&lt;&gt;"",B247=SW別シート!$C$3),COUNTIF(B$5:B247,B247),"")</f>
        <v/>
      </c>
      <c r="V247" s="47" t="n">
        <f aca="false">V246+IF(OR(O247&lt;&gt;"",W247&lt;&gt;""),1,0)</f>
        <v>3</v>
      </c>
      <c r="W247" s="29"/>
    </row>
    <row r="248" customFormat="false" ht="15" hidden="false" customHeight="false" outlineLevel="0" collapsed="false">
      <c r="A248" s="32" t="str">
        <f aca="false">IF(B248="","",ROW()-7)</f>
        <v/>
      </c>
      <c r="B248" s="30"/>
      <c r="C248" s="29"/>
      <c r="D248" s="29"/>
      <c r="E248" s="29"/>
      <c r="F248" s="30"/>
      <c r="G248" s="29"/>
      <c r="H248" s="30"/>
      <c r="I248" s="29"/>
      <c r="J248" s="30"/>
      <c r="K248" s="30"/>
      <c r="L248" s="29"/>
      <c r="M248" s="32" t="str">
        <f aca="false">IF(OR(C248="",L248=""),"",IF(C248=L248,"同一","変更"))</f>
        <v/>
      </c>
      <c r="N248" s="29"/>
      <c r="O248" s="30"/>
      <c r="P248" s="29"/>
      <c r="Q248" s="31"/>
      <c r="R248" s="29"/>
      <c r="S248" s="29"/>
      <c r="T248" s="30"/>
      <c r="U248" s="47" t="str">
        <f aca="false">IF(AND(B248&lt;&gt;"",B248=SW別シート!$C$3),COUNTIF(B$5:B248,B248),"")</f>
        <v/>
      </c>
      <c r="V248" s="47" t="n">
        <f aca="false">V247+IF(OR(O248&lt;&gt;"",W248&lt;&gt;""),1,0)</f>
        <v>3</v>
      </c>
      <c r="W248" s="29"/>
    </row>
    <row r="249" customFormat="false" ht="15" hidden="false" customHeight="false" outlineLevel="0" collapsed="false">
      <c r="A249" s="32" t="str">
        <f aca="false">IF(B249="","",ROW()-7)</f>
        <v/>
      </c>
      <c r="B249" s="30"/>
      <c r="C249" s="29"/>
      <c r="D249" s="29"/>
      <c r="E249" s="29"/>
      <c r="F249" s="30"/>
      <c r="G249" s="29"/>
      <c r="H249" s="30"/>
      <c r="I249" s="29"/>
      <c r="J249" s="30"/>
      <c r="K249" s="30"/>
      <c r="L249" s="29"/>
      <c r="M249" s="32" t="str">
        <f aca="false">IF(OR(C249="",L249=""),"",IF(C249=L249,"同一","変更"))</f>
        <v/>
      </c>
      <c r="N249" s="29"/>
      <c r="O249" s="30"/>
      <c r="P249" s="29"/>
      <c r="Q249" s="31"/>
      <c r="R249" s="29"/>
      <c r="S249" s="29"/>
      <c r="T249" s="30"/>
      <c r="U249" s="47" t="str">
        <f aca="false">IF(AND(B249&lt;&gt;"",B249=SW別シート!$C$3),COUNTIF(B$5:B249,B249),"")</f>
        <v/>
      </c>
      <c r="V249" s="47" t="n">
        <f aca="false">V248+IF(OR(O249&lt;&gt;"",W249&lt;&gt;""),1,0)</f>
        <v>3</v>
      </c>
      <c r="W249" s="29"/>
    </row>
    <row r="250" customFormat="false" ht="15" hidden="false" customHeight="false" outlineLevel="0" collapsed="false">
      <c r="A250" s="32" t="str">
        <f aca="false">IF(B250="","",ROW()-7)</f>
        <v/>
      </c>
      <c r="B250" s="30"/>
      <c r="C250" s="29"/>
      <c r="D250" s="29"/>
      <c r="E250" s="29"/>
      <c r="F250" s="30"/>
      <c r="G250" s="29"/>
      <c r="H250" s="30"/>
      <c r="I250" s="29"/>
      <c r="J250" s="30"/>
      <c r="K250" s="30"/>
      <c r="L250" s="29"/>
      <c r="M250" s="32" t="str">
        <f aca="false">IF(OR(C250="",L250=""),"",IF(C250=L250,"同一","変更"))</f>
        <v/>
      </c>
      <c r="N250" s="29"/>
      <c r="O250" s="30"/>
      <c r="P250" s="29"/>
      <c r="Q250" s="31"/>
      <c r="R250" s="29"/>
      <c r="S250" s="29"/>
      <c r="T250" s="30"/>
      <c r="U250" s="47" t="str">
        <f aca="false">IF(AND(B250&lt;&gt;"",B250=SW別シート!$C$3),COUNTIF(B$5:B250,B250),"")</f>
        <v/>
      </c>
      <c r="V250" s="47" t="n">
        <f aca="false">V249+IF(OR(O250&lt;&gt;"",W250&lt;&gt;""),1,0)</f>
        <v>3</v>
      </c>
      <c r="W250" s="29"/>
    </row>
    <row r="251" customFormat="false" ht="15" hidden="false" customHeight="false" outlineLevel="0" collapsed="false">
      <c r="A251" s="32" t="str">
        <f aca="false">IF(B251="","",ROW()-7)</f>
        <v/>
      </c>
      <c r="B251" s="30"/>
      <c r="C251" s="29"/>
      <c r="D251" s="29"/>
      <c r="E251" s="29"/>
      <c r="F251" s="30"/>
      <c r="G251" s="29"/>
      <c r="H251" s="30"/>
      <c r="I251" s="29"/>
      <c r="J251" s="30"/>
      <c r="K251" s="30"/>
      <c r="L251" s="29"/>
      <c r="M251" s="32" t="str">
        <f aca="false">IF(OR(C251="",L251=""),"",IF(C251=L251,"同一","変更"))</f>
        <v/>
      </c>
      <c r="N251" s="29"/>
      <c r="O251" s="30"/>
      <c r="P251" s="29"/>
      <c r="Q251" s="31"/>
      <c r="R251" s="29"/>
      <c r="S251" s="29"/>
      <c r="T251" s="30"/>
      <c r="U251" s="47" t="str">
        <f aca="false">IF(AND(B251&lt;&gt;"",B251=SW別シート!$C$3),COUNTIF(B$5:B251,B251),"")</f>
        <v/>
      </c>
      <c r="V251" s="47" t="n">
        <f aca="false">V250+IF(OR(O251&lt;&gt;"",W251&lt;&gt;""),1,0)</f>
        <v>3</v>
      </c>
      <c r="W251" s="29"/>
    </row>
    <row r="252" customFormat="false" ht="15" hidden="false" customHeight="false" outlineLevel="0" collapsed="false">
      <c r="A252" s="32" t="str">
        <f aca="false">IF(B252="","",ROW()-7)</f>
        <v/>
      </c>
      <c r="B252" s="30"/>
      <c r="C252" s="29"/>
      <c r="D252" s="29"/>
      <c r="E252" s="29"/>
      <c r="F252" s="30"/>
      <c r="G252" s="29"/>
      <c r="H252" s="30"/>
      <c r="I252" s="29"/>
      <c r="J252" s="30"/>
      <c r="K252" s="30"/>
      <c r="L252" s="29"/>
      <c r="M252" s="32" t="str">
        <f aca="false">IF(OR(C252="",L252=""),"",IF(C252=L252,"同一","変更"))</f>
        <v/>
      </c>
      <c r="N252" s="29"/>
      <c r="O252" s="30"/>
      <c r="P252" s="29"/>
      <c r="Q252" s="31"/>
      <c r="R252" s="29"/>
      <c r="S252" s="29"/>
      <c r="T252" s="30"/>
      <c r="U252" s="47" t="str">
        <f aca="false">IF(AND(B252&lt;&gt;"",B252=SW別シート!$C$3),COUNTIF(B$5:B252,B252),"")</f>
        <v/>
      </c>
      <c r="V252" s="47" t="n">
        <f aca="false">V251+IF(OR(O252&lt;&gt;"",W252&lt;&gt;""),1,0)</f>
        <v>3</v>
      </c>
      <c r="W252" s="29"/>
    </row>
    <row r="253" customFormat="false" ht="15" hidden="false" customHeight="false" outlineLevel="0" collapsed="false">
      <c r="A253" s="32" t="str">
        <f aca="false">IF(B253="","",ROW()-7)</f>
        <v/>
      </c>
      <c r="B253" s="30"/>
      <c r="C253" s="29"/>
      <c r="D253" s="29"/>
      <c r="E253" s="29"/>
      <c r="F253" s="30"/>
      <c r="G253" s="29"/>
      <c r="H253" s="30"/>
      <c r="I253" s="29"/>
      <c r="J253" s="30"/>
      <c r="K253" s="30"/>
      <c r="L253" s="29"/>
      <c r="M253" s="32" t="str">
        <f aca="false">IF(OR(C253="",L253=""),"",IF(C253=L253,"同一","変更"))</f>
        <v/>
      </c>
      <c r="N253" s="29"/>
      <c r="O253" s="30"/>
      <c r="P253" s="29"/>
      <c r="Q253" s="31"/>
      <c r="R253" s="29"/>
      <c r="S253" s="29"/>
      <c r="T253" s="30"/>
      <c r="U253" s="47" t="str">
        <f aca="false">IF(AND(B253&lt;&gt;"",B253=SW別シート!$C$3),COUNTIF(B$5:B253,B253),"")</f>
        <v/>
      </c>
      <c r="V253" s="47" t="n">
        <f aca="false">V252+IF(OR(O253&lt;&gt;"",W253&lt;&gt;""),1,0)</f>
        <v>3</v>
      </c>
      <c r="W253" s="29"/>
    </row>
    <row r="254" customFormat="false" ht="15" hidden="false" customHeight="false" outlineLevel="0" collapsed="false">
      <c r="A254" s="32" t="str">
        <f aca="false">IF(B254="","",ROW()-7)</f>
        <v/>
      </c>
      <c r="B254" s="30"/>
      <c r="C254" s="29"/>
      <c r="D254" s="29"/>
      <c r="E254" s="29"/>
      <c r="F254" s="30"/>
      <c r="G254" s="29"/>
      <c r="H254" s="30"/>
      <c r="I254" s="29"/>
      <c r="J254" s="30"/>
      <c r="K254" s="30"/>
      <c r="L254" s="29"/>
      <c r="M254" s="32" t="str">
        <f aca="false">IF(OR(C254="",L254=""),"",IF(C254=L254,"同一","変更"))</f>
        <v/>
      </c>
      <c r="N254" s="29"/>
      <c r="O254" s="30"/>
      <c r="P254" s="29"/>
      <c r="Q254" s="31"/>
      <c r="R254" s="29"/>
      <c r="S254" s="29"/>
      <c r="T254" s="30"/>
      <c r="U254" s="47" t="str">
        <f aca="false">IF(AND(B254&lt;&gt;"",B254=SW別シート!$C$3),COUNTIF(B$5:B254,B254),"")</f>
        <v/>
      </c>
      <c r="V254" s="47" t="n">
        <f aca="false">V253+IF(OR(O254&lt;&gt;"",W254&lt;&gt;""),1,0)</f>
        <v>3</v>
      </c>
      <c r="W254" s="29"/>
    </row>
    <row r="255" customFormat="false" ht="15" hidden="false" customHeight="false" outlineLevel="0" collapsed="false">
      <c r="A255" s="32" t="str">
        <f aca="false">IF(B255="","",ROW()-7)</f>
        <v/>
      </c>
      <c r="B255" s="30"/>
      <c r="C255" s="29"/>
      <c r="D255" s="29"/>
      <c r="E255" s="29"/>
      <c r="F255" s="30"/>
      <c r="G255" s="29"/>
      <c r="H255" s="30"/>
      <c r="I255" s="29"/>
      <c r="J255" s="30"/>
      <c r="K255" s="30"/>
      <c r="L255" s="29"/>
      <c r="M255" s="32" t="str">
        <f aca="false">IF(OR(C255="",L255=""),"",IF(C255=L255,"同一","変更"))</f>
        <v/>
      </c>
      <c r="N255" s="29"/>
      <c r="O255" s="30"/>
      <c r="P255" s="29"/>
      <c r="Q255" s="31"/>
      <c r="R255" s="29"/>
      <c r="S255" s="29"/>
      <c r="T255" s="30"/>
      <c r="U255" s="47" t="str">
        <f aca="false">IF(AND(B255&lt;&gt;"",B255=SW別シート!$C$3),COUNTIF(B$5:B255,B255),"")</f>
        <v/>
      </c>
      <c r="V255" s="47" t="n">
        <f aca="false">V254+IF(OR(O255&lt;&gt;"",W255&lt;&gt;""),1,0)</f>
        <v>3</v>
      </c>
      <c r="W255" s="29"/>
    </row>
    <row r="256" customFormat="false" ht="15" hidden="false" customHeight="false" outlineLevel="0" collapsed="false">
      <c r="A256" s="32" t="str">
        <f aca="false">IF(B256="","",ROW()-7)</f>
        <v/>
      </c>
      <c r="B256" s="30"/>
      <c r="C256" s="29"/>
      <c r="D256" s="29"/>
      <c r="E256" s="29"/>
      <c r="F256" s="30"/>
      <c r="G256" s="29"/>
      <c r="H256" s="30"/>
      <c r="I256" s="29"/>
      <c r="J256" s="30"/>
      <c r="K256" s="30"/>
      <c r="L256" s="29"/>
      <c r="M256" s="32" t="str">
        <f aca="false">IF(OR(C256="",L256=""),"",IF(C256=L256,"同一","変更"))</f>
        <v/>
      </c>
      <c r="N256" s="29"/>
      <c r="O256" s="30"/>
      <c r="P256" s="29"/>
      <c r="Q256" s="31"/>
      <c r="R256" s="29"/>
      <c r="S256" s="29"/>
      <c r="T256" s="30"/>
      <c r="U256" s="47" t="str">
        <f aca="false">IF(AND(B256&lt;&gt;"",B256=SW別シート!$C$3),COUNTIF(B$5:B256,B256),"")</f>
        <v/>
      </c>
      <c r="V256" s="47" t="n">
        <f aca="false">V255+IF(OR(O256&lt;&gt;"",W256&lt;&gt;""),1,0)</f>
        <v>3</v>
      </c>
      <c r="W256" s="29"/>
    </row>
    <row r="257" customFormat="false" ht="15" hidden="false" customHeight="false" outlineLevel="0" collapsed="false">
      <c r="A257" s="32" t="str">
        <f aca="false">IF(B257="","",ROW()-7)</f>
        <v/>
      </c>
      <c r="B257" s="30"/>
      <c r="C257" s="29"/>
      <c r="D257" s="29"/>
      <c r="E257" s="29"/>
      <c r="F257" s="30"/>
      <c r="G257" s="29"/>
      <c r="H257" s="30"/>
      <c r="I257" s="29"/>
      <c r="J257" s="30"/>
      <c r="K257" s="30"/>
      <c r="L257" s="29"/>
      <c r="M257" s="32" t="str">
        <f aca="false">IF(OR(C257="",L257=""),"",IF(C257=L257,"同一","変更"))</f>
        <v/>
      </c>
      <c r="N257" s="29"/>
      <c r="O257" s="30"/>
      <c r="P257" s="29"/>
      <c r="Q257" s="31"/>
      <c r="R257" s="29"/>
      <c r="S257" s="29"/>
      <c r="T257" s="30"/>
      <c r="U257" s="47" t="str">
        <f aca="false">IF(AND(B257&lt;&gt;"",B257=SW別シート!$C$3),COUNTIF(B$5:B257,B257),"")</f>
        <v/>
      </c>
      <c r="V257" s="47" t="n">
        <f aca="false">V256+IF(OR(O257&lt;&gt;"",W257&lt;&gt;""),1,0)</f>
        <v>3</v>
      </c>
      <c r="W257" s="29"/>
    </row>
    <row r="258" customFormat="false" ht="15" hidden="false" customHeight="false" outlineLevel="0" collapsed="false">
      <c r="A258" s="32" t="str">
        <f aca="false">IF(B258="","",ROW()-7)</f>
        <v/>
      </c>
      <c r="B258" s="30"/>
      <c r="C258" s="29"/>
      <c r="D258" s="29"/>
      <c r="E258" s="29"/>
      <c r="F258" s="30"/>
      <c r="G258" s="29"/>
      <c r="H258" s="30"/>
      <c r="I258" s="29"/>
      <c r="J258" s="30"/>
      <c r="K258" s="30"/>
      <c r="L258" s="29"/>
      <c r="M258" s="32" t="str">
        <f aca="false">IF(OR(C258="",L258=""),"",IF(C258=L258,"同一","変更"))</f>
        <v/>
      </c>
      <c r="N258" s="29"/>
      <c r="O258" s="30"/>
      <c r="P258" s="29"/>
      <c r="Q258" s="31"/>
      <c r="R258" s="29"/>
      <c r="S258" s="29"/>
      <c r="T258" s="30"/>
      <c r="U258" s="47" t="str">
        <f aca="false">IF(AND(B258&lt;&gt;"",B258=SW別シート!$C$3),COUNTIF(B$5:B258,B258),"")</f>
        <v/>
      </c>
      <c r="V258" s="47" t="n">
        <f aca="false">V257+IF(OR(O258&lt;&gt;"",W258&lt;&gt;""),1,0)</f>
        <v>3</v>
      </c>
      <c r="W258" s="29"/>
    </row>
    <row r="259" customFormat="false" ht="15" hidden="false" customHeight="false" outlineLevel="0" collapsed="false">
      <c r="A259" s="32" t="str">
        <f aca="false">IF(B259="","",ROW()-7)</f>
        <v/>
      </c>
      <c r="B259" s="30"/>
      <c r="C259" s="29"/>
      <c r="D259" s="29"/>
      <c r="E259" s="29"/>
      <c r="F259" s="30"/>
      <c r="G259" s="29"/>
      <c r="H259" s="30"/>
      <c r="I259" s="29"/>
      <c r="J259" s="30"/>
      <c r="K259" s="30"/>
      <c r="L259" s="29"/>
      <c r="M259" s="32" t="str">
        <f aca="false">IF(OR(C259="",L259=""),"",IF(C259=L259,"同一","変更"))</f>
        <v/>
      </c>
      <c r="N259" s="29"/>
      <c r="O259" s="30"/>
      <c r="P259" s="29"/>
      <c r="Q259" s="31"/>
      <c r="R259" s="29"/>
      <c r="S259" s="29"/>
      <c r="T259" s="30"/>
      <c r="U259" s="47" t="str">
        <f aca="false">IF(AND(B259&lt;&gt;"",B259=SW別シート!$C$3),COUNTIF(B$5:B259,B259),"")</f>
        <v/>
      </c>
      <c r="V259" s="47" t="n">
        <f aca="false">V258+IF(OR(O259&lt;&gt;"",W259&lt;&gt;""),1,0)</f>
        <v>3</v>
      </c>
      <c r="W259" s="29"/>
    </row>
    <row r="260" customFormat="false" ht="15" hidden="false" customHeight="false" outlineLevel="0" collapsed="false">
      <c r="A260" s="32" t="str">
        <f aca="false">IF(B260="","",ROW()-7)</f>
        <v/>
      </c>
      <c r="B260" s="30"/>
      <c r="C260" s="29"/>
      <c r="D260" s="29"/>
      <c r="E260" s="29"/>
      <c r="F260" s="30"/>
      <c r="G260" s="29"/>
      <c r="H260" s="30"/>
      <c r="I260" s="29"/>
      <c r="J260" s="30"/>
      <c r="K260" s="30"/>
      <c r="L260" s="29"/>
      <c r="M260" s="32" t="str">
        <f aca="false">IF(OR(C260="",L260=""),"",IF(C260=L260,"同一","変更"))</f>
        <v/>
      </c>
      <c r="N260" s="29"/>
      <c r="O260" s="30"/>
      <c r="P260" s="29"/>
      <c r="Q260" s="31"/>
      <c r="R260" s="29"/>
      <c r="S260" s="29"/>
      <c r="T260" s="30"/>
      <c r="U260" s="47" t="str">
        <f aca="false">IF(AND(B260&lt;&gt;"",B260=SW別シート!$C$3),COUNTIF(B$5:B260,B260),"")</f>
        <v/>
      </c>
      <c r="V260" s="47" t="n">
        <f aca="false">V259+IF(OR(O260&lt;&gt;"",W260&lt;&gt;""),1,0)</f>
        <v>3</v>
      </c>
      <c r="W260" s="29"/>
    </row>
    <row r="261" customFormat="false" ht="15" hidden="false" customHeight="false" outlineLevel="0" collapsed="false">
      <c r="A261" s="32" t="str">
        <f aca="false">IF(B261="","",ROW()-7)</f>
        <v/>
      </c>
      <c r="B261" s="30"/>
      <c r="C261" s="29"/>
      <c r="D261" s="29"/>
      <c r="E261" s="29"/>
      <c r="F261" s="30"/>
      <c r="G261" s="29"/>
      <c r="H261" s="30"/>
      <c r="I261" s="29"/>
      <c r="J261" s="30"/>
      <c r="K261" s="30"/>
      <c r="L261" s="29"/>
      <c r="M261" s="32" t="str">
        <f aca="false">IF(OR(C261="",L261=""),"",IF(C261=L261,"同一","変更"))</f>
        <v/>
      </c>
      <c r="N261" s="29"/>
      <c r="O261" s="30"/>
      <c r="P261" s="29"/>
      <c r="Q261" s="31"/>
      <c r="R261" s="29"/>
      <c r="S261" s="29"/>
      <c r="T261" s="30"/>
      <c r="U261" s="47" t="str">
        <f aca="false">IF(AND(B261&lt;&gt;"",B261=SW別シート!$C$3),COUNTIF(B$5:B261,B261),"")</f>
        <v/>
      </c>
      <c r="V261" s="47" t="n">
        <f aca="false">V260+IF(OR(O261&lt;&gt;"",W261&lt;&gt;""),1,0)</f>
        <v>3</v>
      </c>
      <c r="W261" s="29"/>
    </row>
    <row r="262" customFormat="false" ht="15" hidden="false" customHeight="false" outlineLevel="0" collapsed="false">
      <c r="A262" s="32" t="str">
        <f aca="false">IF(B262="","",ROW()-7)</f>
        <v/>
      </c>
      <c r="B262" s="30"/>
      <c r="C262" s="29"/>
      <c r="D262" s="29"/>
      <c r="E262" s="29"/>
      <c r="F262" s="30"/>
      <c r="G262" s="29"/>
      <c r="H262" s="30"/>
      <c r="I262" s="29"/>
      <c r="J262" s="30"/>
      <c r="K262" s="30"/>
      <c r="L262" s="29"/>
      <c r="M262" s="32" t="str">
        <f aca="false">IF(OR(C262="",L262=""),"",IF(C262=L262,"同一","変更"))</f>
        <v/>
      </c>
      <c r="N262" s="29"/>
      <c r="O262" s="30"/>
      <c r="P262" s="29"/>
      <c r="Q262" s="31"/>
      <c r="R262" s="29"/>
      <c r="S262" s="29"/>
      <c r="T262" s="30"/>
      <c r="U262" s="47" t="str">
        <f aca="false">IF(AND(B262&lt;&gt;"",B262=SW別シート!$C$3),COUNTIF(B$5:B262,B262),"")</f>
        <v/>
      </c>
      <c r="V262" s="47" t="n">
        <f aca="false">V261+IF(OR(O262&lt;&gt;"",W262&lt;&gt;""),1,0)</f>
        <v>3</v>
      </c>
      <c r="W262" s="29"/>
    </row>
    <row r="263" customFormat="false" ht="15" hidden="false" customHeight="false" outlineLevel="0" collapsed="false">
      <c r="A263" s="32" t="str">
        <f aca="false">IF(B263="","",ROW()-7)</f>
        <v/>
      </c>
      <c r="B263" s="30"/>
      <c r="C263" s="29"/>
      <c r="D263" s="29"/>
      <c r="E263" s="29"/>
      <c r="F263" s="30"/>
      <c r="G263" s="29"/>
      <c r="H263" s="30"/>
      <c r="I263" s="29"/>
      <c r="J263" s="30"/>
      <c r="K263" s="30"/>
      <c r="L263" s="29"/>
      <c r="M263" s="32" t="str">
        <f aca="false">IF(OR(C263="",L263=""),"",IF(C263=L263,"同一","変更"))</f>
        <v/>
      </c>
      <c r="N263" s="29"/>
      <c r="O263" s="30"/>
      <c r="P263" s="29"/>
      <c r="Q263" s="31"/>
      <c r="R263" s="29"/>
      <c r="S263" s="29"/>
      <c r="T263" s="30"/>
      <c r="U263" s="47" t="str">
        <f aca="false">IF(AND(B263&lt;&gt;"",B263=SW別シート!$C$3),COUNTIF(B$5:B263,B263),"")</f>
        <v/>
      </c>
      <c r="V263" s="47" t="n">
        <f aca="false">V262+IF(OR(O263&lt;&gt;"",W263&lt;&gt;""),1,0)</f>
        <v>3</v>
      </c>
      <c r="W263" s="29"/>
    </row>
    <row r="264" customFormat="false" ht="15" hidden="false" customHeight="false" outlineLevel="0" collapsed="false">
      <c r="A264" s="32" t="str">
        <f aca="false">IF(B264="","",ROW()-7)</f>
        <v/>
      </c>
      <c r="B264" s="30"/>
      <c r="C264" s="29"/>
      <c r="D264" s="29"/>
      <c r="E264" s="29"/>
      <c r="F264" s="30"/>
      <c r="G264" s="29"/>
      <c r="H264" s="30"/>
      <c r="I264" s="29"/>
      <c r="J264" s="30"/>
      <c r="K264" s="30"/>
      <c r="L264" s="29"/>
      <c r="M264" s="32" t="str">
        <f aca="false">IF(OR(C264="",L264=""),"",IF(C264=L264,"同一","変更"))</f>
        <v/>
      </c>
      <c r="N264" s="29"/>
      <c r="O264" s="30"/>
      <c r="P264" s="29"/>
      <c r="Q264" s="31"/>
      <c r="R264" s="29"/>
      <c r="S264" s="29"/>
      <c r="T264" s="30"/>
      <c r="U264" s="47" t="str">
        <f aca="false">IF(AND(B264&lt;&gt;"",B264=SW別シート!$C$3),COUNTIF(B$5:B264,B264),"")</f>
        <v/>
      </c>
      <c r="V264" s="47" t="n">
        <f aca="false">V263+IF(OR(O264&lt;&gt;"",W264&lt;&gt;""),1,0)</f>
        <v>3</v>
      </c>
      <c r="W264" s="29"/>
    </row>
    <row r="265" customFormat="false" ht="15" hidden="false" customHeight="false" outlineLevel="0" collapsed="false">
      <c r="A265" s="32" t="str">
        <f aca="false">IF(B265="","",ROW()-7)</f>
        <v/>
      </c>
      <c r="B265" s="30"/>
      <c r="C265" s="29"/>
      <c r="D265" s="29"/>
      <c r="E265" s="29"/>
      <c r="F265" s="30"/>
      <c r="G265" s="29"/>
      <c r="H265" s="30"/>
      <c r="I265" s="29"/>
      <c r="J265" s="30"/>
      <c r="K265" s="30"/>
      <c r="L265" s="29"/>
      <c r="M265" s="32" t="str">
        <f aca="false">IF(OR(C265="",L265=""),"",IF(C265=L265,"同一","変更"))</f>
        <v/>
      </c>
      <c r="N265" s="29"/>
      <c r="O265" s="30"/>
      <c r="P265" s="29"/>
      <c r="Q265" s="31"/>
      <c r="R265" s="29"/>
      <c r="S265" s="29"/>
      <c r="T265" s="30"/>
      <c r="U265" s="47" t="str">
        <f aca="false">IF(AND(B265&lt;&gt;"",B265=SW別シート!$C$3),COUNTIF(B$5:B265,B265),"")</f>
        <v/>
      </c>
      <c r="V265" s="47" t="n">
        <f aca="false">V264+IF(OR(O265&lt;&gt;"",W265&lt;&gt;""),1,0)</f>
        <v>3</v>
      </c>
      <c r="W265" s="29"/>
    </row>
    <row r="266" customFormat="false" ht="15" hidden="false" customHeight="false" outlineLevel="0" collapsed="false">
      <c r="A266" s="32" t="str">
        <f aca="false">IF(B266="","",ROW()-7)</f>
        <v/>
      </c>
      <c r="B266" s="30"/>
      <c r="C266" s="29"/>
      <c r="D266" s="29"/>
      <c r="E266" s="29"/>
      <c r="F266" s="30"/>
      <c r="G266" s="29"/>
      <c r="H266" s="30"/>
      <c r="I266" s="29"/>
      <c r="J266" s="30"/>
      <c r="K266" s="30"/>
      <c r="L266" s="29"/>
      <c r="M266" s="32" t="str">
        <f aca="false">IF(OR(C266="",L266=""),"",IF(C266=L266,"同一","変更"))</f>
        <v/>
      </c>
      <c r="N266" s="29"/>
      <c r="O266" s="30"/>
      <c r="P266" s="29"/>
      <c r="Q266" s="31"/>
      <c r="R266" s="29"/>
      <c r="S266" s="29"/>
      <c r="T266" s="30"/>
      <c r="U266" s="47" t="str">
        <f aca="false">IF(AND(B266&lt;&gt;"",B266=SW別シート!$C$3),COUNTIF(B$5:B266,B266),"")</f>
        <v/>
      </c>
      <c r="V266" s="47" t="n">
        <f aca="false">V265+IF(OR(O266&lt;&gt;"",W266&lt;&gt;""),1,0)</f>
        <v>3</v>
      </c>
      <c r="W266" s="29"/>
    </row>
    <row r="267" customFormat="false" ht="15" hidden="false" customHeight="false" outlineLevel="0" collapsed="false">
      <c r="A267" s="32" t="str">
        <f aca="false">IF(B267="","",ROW()-7)</f>
        <v/>
      </c>
      <c r="B267" s="30"/>
      <c r="C267" s="29"/>
      <c r="D267" s="29"/>
      <c r="E267" s="29"/>
      <c r="F267" s="30"/>
      <c r="G267" s="29"/>
      <c r="H267" s="30"/>
      <c r="I267" s="29"/>
      <c r="J267" s="30"/>
      <c r="K267" s="30"/>
      <c r="L267" s="29"/>
      <c r="M267" s="32" t="str">
        <f aca="false">IF(OR(C267="",L267=""),"",IF(C267=L267,"同一","変更"))</f>
        <v/>
      </c>
      <c r="N267" s="29"/>
      <c r="O267" s="30"/>
      <c r="P267" s="29"/>
      <c r="Q267" s="31"/>
      <c r="R267" s="29"/>
      <c r="S267" s="29"/>
      <c r="T267" s="30"/>
      <c r="U267" s="47" t="str">
        <f aca="false">IF(AND(B267&lt;&gt;"",B267=SW別シート!$C$3),COUNTIF(B$5:B267,B267),"")</f>
        <v/>
      </c>
      <c r="V267" s="47" t="n">
        <f aca="false">V266+IF(OR(O267&lt;&gt;"",W267&lt;&gt;""),1,0)</f>
        <v>3</v>
      </c>
      <c r="W267" s="29"/>
    </row>
    <row r="268" customFormat="false" ht="15" hidden="false" customHeight="false" outlineLevel="0" collapsed="false">
      <c r="A268" s="32" t="str">
        <f aca="false">IF(B268="","",ROW()-7)</f>
        <v/>
      </c>
      <c r="B268" s="30"/>
      <c r="C268" s="29"/>
      <c r="D268" s="29"/>
      <c r="E268" s="29"/>
      <c r="F268" s="30"/>
      <c r="G268" s="29"/>
      <c r="H268" s="30"/>
      <c r="I268" s="29"/>
      <c r="J268" s="30"/>
      <c r="K268" s="30"/>
      <c r="L268" s="29"/>
      <c r="M268" s="32" t="str">
        <f aca="false">IF(OR(C268="",L268=""),"",IF(C268=L268,"同一","変更"))</f>
        <v/>
      </c>
      <c r="N268" s="29"/>
      <c r="O268" s="30"/>
      <c r="P268" s="29"/>
      <c r="Q268" s="31"/>
      <c r="R268" s="29"/>
      <c r="S268" s="29"/>
      <c r="T268" s="30"/>
      <c r="U268" s="47" t="str">
        <f aca="false">IF(AND(B268&lt;&gt;"",B268=SW別シート!$C$3),COUNTIF(B$5:B268,B268),"")</f>
        <v/>
      </c>
      <c r="V268" s="47" t="n">
        <f aca="false">V267+IF(OR(O268&lt;&gt;"",W268&lt;&gt;""),1,0)</f>
        <v>3</v>
      </c>
      <c r="W268" s="29"/>
    </row>
    <row r="269" customFormat="false" ht="15" hidden="false" customHeight="false" outlineLevel="0" collapsed="false">
      <c r="A269" s="32" t="str">
        <f aca="false">IF(B269="","",ROW()-7)</f>
        <v/>
      </c>
      <c r="B269" s="30"/>
      <c r="C269" s="29"/>
      <c r="D269" s="29"/>
      <c r="E269" s="29"/>
      <c r="F269" s="30"/>
      <c r="G269" s="29"/>
      <c r="H269" s="30"/>
      <c r="I269" s="29"/>
      <c r="J269" s="30"/>
      <c r="K269" s="30"/>
      <c r="L269" s="29"/>
      <c r="M269" s="32" t="str">
        <f aca="false">IF(OR(C269="",L269=""),"",IF(C269=L269,"同一","変更"))</f>
        <v/>
      </c>
      <c r="N269" s="29"/>
      <c r="O269" s="30"/>
      <c r="P269" s="29"/>
      <c r="Q269" s="31"/>
      <c r="R269" s="29"/>
      <c r="S269" s="29"/>
      <c r="T269" s="30"/>
      <c r="U269" s="47" t="str">
        <f aca="false">IF(AND(B269&lt;&gt;"",B269=SW別シート!$C$3),COUNTIF(B$5:B269,B269),"")</f>
        <v/>
      </c>
      <c r="V269" s="47" t="n">
        <f aca="false">V268+IF(OR(O269&lt;&gt;"",W269&lt;&gt;""),1,0)</f>
        <v>3</v>
      </c>
      <c r="W269" s="29"/>
    </row>
    <row r="270" customFormat="false" ht="15" hidden="false" customHeight="false" outlineLevel="0" collapsed="false">
      <c r="A270" s="32" t="str">
        <f aca="false">IF(B270="","",ROW()-7)</f>
        <v/>
      </c>
      <c r="B270" s="30"/>
      <c r="C270" s="29"/>
      <c r="D270" s="29"/>
      <c r="E270" s="29"/>
      <c r="F270" s="30"/>
      <c r="G270" s="29"/>
      <c r="H270" s="30"/>
      <c r="I270" s="29"/>
      <c r="J270" s="30"/>
      <c r="K270" s="30"/>
      <c r="L270" s="29"/>
      <c r="M270" s="32" t="str">
        <f aca="false">IF(OR(C270="",L270=""),"",IF(C270=L270,"同一","変更"))</f>
        <v/>
      </c>
      <c r="N270" s="29"/>
      <c r="O270" s="30"/>
      <c r="P270" s="29"/>
      <c r="Q270" s="31"/>
      <c r="R270" s="29"/>
      <c r="S270" s="29"/>
      <c r="T270" s="30"/>
      <c r="U270" s="47" t="str">
        <f aca="false">IF(AND(B270&lt;&gt;"",B270=SW別シート!$C$3),COUNTIF(B$5:B270,B270),"")</f>
        <v/>
      </c>
      <c r="V270" s="47" t="n">
        <f aca="false">V269+IF(OR(O270&lt;&gt;"",W270&lt;&gt;""),1,0)</f>
        <v>3</v>
      </c>
      <c r="W270" s="29"/>
    </row>
    <row r="271" customFormat="false" ht="15" hidden="false" customHeight="false" outlineLevel="0" collapsed="false">
      <c r="A271" s="32" t="str">
        <f aca="false">IF(B271="","",ROW()-7)</f>
        <v/>
      </c>
      <c r="B271" s="30"/>
      <c r="C271" s="29"/>
      <c r="D271" s="29"/>
      <c r="E271" s="29"/>
      <c r="F271" s="30"/>
      <c r="G271" s="29"/>
      <c r="H271" s="30"/>
      <c r="I271" s="29"/>
      <c r="J271" s="30"/>
      <c r="K271" s="30"/>
      <c r="L271" s="29"/>
      <c r="M271" s="32" t="str">
        <f aca="false">IF(OR(C271="",L271=""),"",IF(C271=L271,"同一","変更"))</f>
        <v/>
      </c>
      <c r="N271" s="29"/>
      <c r="O271" s="30"/>
      <c r="P271" s="29"/>
      <c r="Q271" s="31"/>
      <c r="R271" s="29"/>
      <c r="S271" s="29"/>
      <c r="T271" s="30"/>
      <c r="U271" s="47" t="str">
        <f aca="false">IF(AND(B271&lt;&gt;"",B271=SW別シート!$C$3),COUNTIF(B$5:B271,B271),"")</f>
        <v/>
      </c>
      <c r="V271" s="47" t="n">
        <f aca="false">V270+IF(OR(O271&lt;&gt;"",W271&lt;&gt;""),1,0)</f>
        <v>3</v>
      </c>
      <c r="W271" s="29"/>
    </row>
    <row r="272" customFormat="false" ht="15" hidden="false" customHeight="false" outlineLevel="0" collapsed="false">
      <c r="A272" s="32" t="str">
        <f aca="false">IF(B272="","",ROW()-7)</f>
        <v/>
      </c>
      <c r="B272" s="30"/>
      <c r="C272" s="29"/>
      <c r="D272" s="29"/>
      <c r="E272" s="29"/>
      <c r="F272" s="30"/>
      <c r="G272" s="29"/>
      <c r="H272" s="30"/>
      <c r="I272" s="29"/>
      <c r="J272" s="30"/>
      <c r="K272" s="30"/>
      <c r="L272" s="29"/>
      <c r="M272" s="32" t="str">
        <f aca="false">IF(OR(C272="",L272=""),"",IF(C272=L272,"同一","変更"))</f>
        <v/>
      </c>
      <c r="N272" s="29"/>
      <c r="O272" s="30"/>
      <c r="P272" s="29"/>
      <c r="Q272" s="31"/>
      <c r="R272" s="29"/>
      <c r="S272" s="29"/>
      <c r="T272" s="30"/>
      <c r="U272" s="47" t="str">
        <f aca="false">IF(AND(B272&lt;&gt;"",B272=SW別シート!$C$3),COUNTIF(B$5:B272,B272),"")</f>
        <v/>
      </c>
      <c r="V272" s="47" t="n">
        <f aca="false">V271+IF(OR(O272&lt;&gt;"",W272&lt;&gt;""),1,0)</f>
        <v>3</v>
      </c>
      <c r="W272" s="29"/>
    </row>
    <row r="273" customFormat="false" ht="15" hidden="false" customHeight="false" outlineLevel="0" collapsed="false">
      <c r="A273" s="32" t="str">
        <f aca="false">IF(B273="","",ROW()-7)</f>
        <v/>
      </c>
      <c r="B273" s="30"/>
      <c r="C273" s="29"/>
      <c r="D273" s="29"/>
      <c r="E273" s="29"/>
      <c r="F273" s="30"/>
      <c r="G273" s="29"/>
      <c r="H273" s="30"/>
      <c r="I273" s="29"/>
      <c r="J273" s="30"/>
      <c r="K273" s="30"/>
      <c r="L273" s="29"/>
      <c r="M273" s="32" t="str">
        <f aca="false">IF(OR(C273="",L273=""),"",IF(C273=L273,"同一","変更"))</f>
        <v/>
      </c>
      <c r="N273" s="29"/>
      <c r="O273" s="30"/>
      <c r="P273" s="29"/>
      <c r="Q273" s="31"/>
      <c r="R273" s="29"/>
      <c r="S273" s="29"/>
      <c r="T273" s="30"/>
      <c r="U273" s="47" t="str">
        <f aca="false">IF(AND(B273&lt;&gt;"",B273=SW別シート!$C$3),COUNTIF(B$5:B273,B273),"")</f>
        <v/>
      </c>
      <c r="V273" s="47" t="n">
        <f aca="false">V272+IF(OR(O273&lt;&gt;"",W273&lt;&gt;""),1,0)</f>
        <v>3</v>
      </c>
      <c r="W273" s="29"/>
    </row>
    <row r="274" customFormat="false" ht="15" hidden="false" customHeight="false" outlineLevel="0" collapsed="false">
      <c r="A274" s="32" t="str">
        <f aca="false">IF(B274="","",ROW()-7)</f>
        <v/>
      </c>
      <c r="B274" s="30"/>
      <c r="C274" s="29"/>
      <c r="D274" s="29"/>
      <c r="E274" s="29"/>
      <c r="F274" s="30"/>
      <c r="G274" s="29"/>
      <c r="H274" s="30"/>
      <c r="I274" s="29"/>
      <c r="J274" s="30"/>
      <c r="K274" s="30"/>
      <c r="L274" s="29"/>
      <c r="M274" s="32" t="str">
        <f aca="false">IF(OR(C274="",L274=""),"",IF(C274=L274,"同一","変更"))</f>
        <v/>
      </c>
      <c r="N274" s="29"/>
      <c r="O274" s="30"/>
      <c r="P274" s="29"/>
      <c r="Q274" s="31"/>
      <c r="R274" s="29"/>
      <c r="S274" s="29"/>
      <c r="T274" s="30"/>
      <c r="U274" s="47" t="str">
        <f aca="false">IF(AND(B274&lt;&gt;"",B274=SW別シート!$C$3),COUNTIF(B$5:B274,B274),"")</f>
        <v/>
      </c>
      <c r="V274" s="47" t="n">
        <f aca="false">V273+IF(OR(O274&lt;&gt;"",W274&lt;&gt;""),1,0)</f>
        <v>3</v>
      </c>
      <c r="W274" s="29"/>
    </row>
    <row r="275" customFormat="false" ht="15" hidden="false" customHeight="false" outlineLevel="0" collapsed="false">
      <c r="A275" s="32" t="str">
        <f aca="false">IF(B275="","",ROW()-7)</f>
        <v/>
      </c>
      <c r="B275" s="30"/>
      <c r="C275" s="29"/>
      <c r="D275" s="29"/>
      <c r="E275" s="29"/>
      <c r="F275" s="30"/>
      <c r="G275" s="29"/>
      <c r="H275" s="30"/>
      <c r="I275" s="29"/>
      <c r="J275" s="30"/>
      <c r="K275" s="30"/>
      <c r="L275" s="29"/>
      <c r="M275" s="32" t="str">
        <f aca="false">IF(OR(C275="",L275=""),"",IF(C275=L275,"同一","変更"))</f>
        <v/>
      </c>
      <c r="N275" s="29"/>
      <c r="O275" s="30"/>
      <c r="P275" s="29"/>
      <c r="Q275" s="31"/>
      <c r="R275" s="29"/>
      <c r="S275" s="29"/>
      <c r="T275" s="30"/>
      <c r="U275" s="47" t="str">
        <f aca="false">IF(AND(B275&lt;&gt;"",B275=SW別シート!$C$3),COUNTIF(B$5:B275,B275),"")</f>
        <v/>
      </c>
      <c r="V275" s="47" t="n">
        <f aca="false">V274+IF(OR(O275&lt;&gt;"",W275&lt;&gt;""),1,0)</f>
        <v>3</v>
      </c>
      <c r="W275" s="29"/>
    </row>
    <row r="276" customFormat="false" ht="15" hidden="false" customHeight="false" outlineLevel="0" collapsed="false">
      <c r="A276" s="32" t="str">
        <f aca="false">IF(B276="","",ROW()-7)</f>
        <v/>
      </c>
      <c r="B276" s="30"/>
      <c r="C276" s="29"/>
      <c r="D276" s="29"/>
      <c r="E276" s="29"/>
      <c r="F276" s="30"/>
      <c r="G276" s="29"/>
      <c r="H276" s="30"/>
      <c r="I276" s="29"/>
      <c r="J276" s="30"/>
      <c r="K276" s="30"/>
      <c r="L276" s="29"/>
      <c r="M276" s="32" t="str">
        <f aca="false">IF(OR(C276="",L276=""),"",IF(C276=L276,"同一","変更"))</f>
        <v/>
      </c>
      <c r="N276" s="29"/>
      <c r="O276" s="30"/>
      <c r="P276" s="29"/>
      <c r="Q276" s="31"/>
      <c r="R276" s="29"/>
      <c r="S276" s="29"/>
      <c r="T276" s="30"/>
      <c r="U276" s="47" t="str">
        <f aca="false">IF(AND(B276&lt;&gt;"",B276=SW別シート!$C$3),COUNTIF(B$5:B276,B276),"")</f>
        <v/>
      </c>
      <c r="V276" s="47" t="n">
        <f aca="false">V275+IF(OR(O276&lt;&gt;"",W276&lt;&gt;""),1,0)</f>
        <v>3</v>
      </c>
      <c r="W276" s="29"/>
    </row>
    <row r="277" customFormat="false" ht="15" hidden="false" customHeight="false" outlineLevel="0" collapsed="false">
      <c r="A277" s="32" t="str">
        <f aca="false">IF(B277="","",ROW()-7)</f>
        <v/>
      </c>
      <c r="B277" s="30"/>
      <c r="C277" s="29"/>
      <c r="D277" s="29"/>
      <c r="E277" s="29"/>
      <c r="F277" s="30"/>
      <c r="G277" s="29"/>
      <c r="H277" s="30"/>
      <c r="I277" s="29"/>
      <c r="J277" s="30"/>
      <c r="K277" s="30"/>
      <c r="L277" s="29"/>
      <c r="M277" s="32" t="str">
        <f aca="false">IF(OR(C277="",L277=""),"",IF(C277=L277,"同一","変更"))</f>
        <v/>
      </c>
      <c r="N277" s="29"/>
      <c r="O277" s="30"/>
      <c r="P277" s="29"/>
      <c r="Q277" s="31"/>
      <c r="R277" s="29"/>
      <c r="S277" s="29"/>
      <c r="T277" s="30"/>
      <c r="U277" s="47" t="str">
        <f aca="false">IF(AND(B277&lt;&gt;"",B277=SW別シート!$C$3),COUNTIF(B$5:B277,B277),"")</f>
        <v/>
      </c>
      <c r="V277" s="47" t="n">
        <f aca="false">V276+IF(OR(O277&lt;&gt;"",W277&lt;&gt;""),1,0)</f>
        <v>3</v>
      </c>
      <c r="W277" s="29"/>
    </row>
    <row r="278" customFormat="false" ht="15" hidden="false" customHeight="false" outlineLevel="0" collapsed="false">
      <c r="A278" s="32" t="str">
        <f aca="false">IF(B278="","",ROW()-7)</f>
        <v/>
      </c>
      <c r="B278" s="30"/>
      <c r="C278" s="29"/>
      <c r="D278" s="29"/>
      <c r="E278" s="29"/>
      <c r="F278" s="30"/>
      <c r="G278" s="29"/>
      <c r="H278" s="30"/>
      <c r="I278" s="29"/>
      <c r="J278" s="30"/>
      <c r="K278" s="30"/>
      <c r="L278" s="29"/>
      <c r="M278" s="32" t="str">
        <f aca="false">IF(OR(C278="",L278=""),"",IF(C278=L278,"同一","変更"))</f>
        <v/>
      </c>
      <c r="N278" s="29"/>
      <c r="O278" s="30"/>
      <c r="P278" s="29"/>
      <c r="Q278" s="31"/>
      <c r="R278" s="29"/>
      <c r="S278" s="29"/>
      <c r="T278" s="30"/>
      <c r="U278" s="47" t="str">
        <f aca="false">IF(AND(B278&lt;&gt;"",B278=SW別シート!$C$3),COUNTIF(B$5:B278,B278),"")</f>
        <v/>
      </c>
      <c r="V278" s="47" t="n">
        <f aca="false">V277+IF(OR(O278&lt;&gt;"",W278&lt;&gt;""),1,0)</f>
        <v>3</v>
      </c>
      <c r="W278" s="29"/>
    </row>
    <row r="279" customFormat="false" ht="15" hidden="false" customHeight="false" outlineLevel="0" collapsed="false">
      <c r="A279" s="32" t="str">
        <f aca="false">IF(B279="","",ROW()-7)</f>
        <v/>
      </c>
      <c r="B279" s="30"/>
      <c r="C279" s="29"/>
      <c r="D279" s="29"/>
      <c r="E279" s="29"/>
      <c r="F279" s="30"/>
      <c r="G279" s="29"/>
      <c r="H279" s="30"/>
      <c r="I279" s="29"/>
      <c r="J279" s="30"/>
      <c r="K279" s="30"/>
      <c r="L279" s="29"/>
      <c r="M279" s="32" t="str">
        <f aca="false">IF(OR(C279="",L279=""),"",IF(C279=L279,"同一","変更"))</f>
        <v/>
      </c>
      <c r="N279" s="29"/>
      <c r="O279" s="30"/>
      <c r="P279" s="29"/>
      <c r="Q279" s="31"/>
      <c r="R279" s="29"/>
      <c r="S279" s="29"/>
      <c r="T279" s="30"/>
      <c r="U279" s="47" t="str">
        <f aca="false">IF(AND(B279&lt;&gt;"",B279=SW別シート!$C$3),COUNTIF(B$5:B279,B279),"")</f>
        <v/>
      </c>
      <c r="V279" s="47" t="n">
        <f aca="false">V278+IF(OR(O279&lt;&gt;"",W279&lt;&gt;""),1,0)</f>
        <v>3</v>
      </c>
      <c r="W279" s="29"/>
    </row>
    <row r="280" customFormat="false" ht="15" hidden="false" customHeight="false" outlineLevel="0" collapsed="false">
      <c r="A280" s="32" t="str">
        <f aca="false">IF(B280="","",ROW()-7)</f>
        <v/>
      </c>
      <c r="B280" s="30"/>
      <c r="C280" s="29"/>
      <c r="D280" s="29"/>
      <c r="E280" s="29"/>
      <c r="F280" s="30"/>
      <c r="G280" s="29"/>
      <c r="H280" s="30"/>
      <c r="I280" s="29"/>
      <c r="J280" s="30"/>
      <c r="K280" s="30"/>
      <c r="L280" s="29"/>
      <c r="M280" s="32" t="str">
        <f aca="false">IF(OR(C280="",L280=""),"",IF(C280=L280,"同一","変更"))</f>
        <v/>
      </c>
      <c r="N280" s="29"/>
      <c r="O280" s="30"/>
      <c r="P280" s="29"/>
      <c r="Q280" s="31"/>
      <c r="R280" s="29"/>
      <c r="S280" s="29"/>
      <c r="T280" s="30"/>
      <c r="U280" s="47" t="str">
        <f aca="false">IF(AND(B280&lt;&gt;"",B280=SW別シート!$C$3),COUNTIF(B$5:B280,B280),"")</f>
        <v/>
      </c>
      <c r="V280" s="47" t="n">
        <f aca="false">V279+IF(OR(O280&lt;&gt;"",W280&lt;&gt;""),1,0)</f>
        <v>3</v>
      </c>
      <c r="W280" s="29"/>
    </row>
    <row r="281" customFormat="false" ht="15" hidden="false" customHeight="false" outlineLevel="0" collapsed="false">
      <c r="A281" s="32" t="str">
        <f aca="false">IF(B281="","",ROW()-7)</f>
        <v/>
      </c>
      <c r="B281" s="30"/>
      <c r="C281" s="29"/>
      <c r="D281" s="29"/>
      <c r="E281" s="29"/>
      <c r="F281" s="30"/>
      <c r="G281" s="29"/>
      <c r="H281" s="30"/>
      <c r="I281" s="29"/>
      <c r="J281" s="30"/>
      <c r="K281" s="30"/>
      <c r="L281" s="29"/>
      <c r="M281" s="32" t="str">
        <f aca="false">IF(OR(C281="",L281=""),"",IF(C281=L281,"同一","変更"))</f>
        <v/>
      </c>
      <c r="N281" s="29"/>
      <c r="O281" s="30"/>
      <c r="P281" s="29"/>
      <c r="Q281" s="31"/>
      <c r="R281" s="29"/>
      <c r="S281" s="29"/>
      <c r="T281" s="30"/>
      <c r="U281" s="47" t="str">
        <f aca="false">IF(AND(B281&lt;&gt;"",B281=SW別シート!$C$3),COUNTIF(B$5:B281,B281),"")</f>
        <v/>
      </c>
      <c r="V281" s="47" t="n">
        <f aca="false">V280+IF(OR(O281&lt;&gt;"",W281&lt;&gt;""),1,0)</f>
        <v>3</v>
      </c>
      <c r="W281" s="29"/>
    </row>
    <row r="282" customFormat="false" ht="15" hidden="false" customHeight="false" outlineLevel="0" collapsed="false">
      <c r="A282" s="32" t="str">
        <f aca="false">IF(B282="","",ROW()-7)</f>
        <v/>
      </c>
      <c r="B282" s="30"/>
      <c r="C282" s="29"/>
      <c r="D282" s="29"/>
      <c r="E282" s="29"/>
      <c r="F282" s="30"/>
      <c r="G282" s="29"/>
      <c r="H282" s="30"/>
      <c r="I282" s="29"/>
      <c r="J282" s="30"/>
      <c r="K282" s="30"/>
      <c r="L282" s="29"/>
      <c r="M282" s="32" t="str">
        <f aca="false">IF(OR(C282="",L282=""),"",IF(C282=L282,"同一","変更"))</f>
        <v/>
      </c>
      <c r="N282" s="29"/>
      <c r="O282" s="30"/>
      <c r="P282" s="29"/>
      <c r="Q282" s="31"/>
      <c r="R282" s="29"/>
      <c r="S282" s="29"/>
      <c r="T282" s="30"/>
      <c r="U282" s="47" t="str">
        <f aca="false">IF(AND(B282&lt;&gt;"",B282=SW別シート!$C$3),COUNTIF(B$5:B282,B282),"")</f>
        <v/>
      </c>
      <c r="V282" s="47" t="n">
        <f aca="false">V281+IF(OR(O282&lt;&gt;"",W282&lt;&gt;""),1,0)</f>
        <v>3</v>
      </c>
      <c r="W282" s="29"/>
    </row>
    <row r="283" customFormat="false" ht="15" hidden="false" customHeight="false" outlineLevel="0" collapsed="false">
      <c r="A283" s="32" t="str">
        <f aca="false">IF(B283="","",ROW()-7)</f>
        <v/>
      </c>
      <c r="B283" s="30"/>
      <c r="C283" s="29"/>
      <c r="D283" s="29"/>
      <c r="E283" s="29"/>
      <c r="F283" s="30"/>
      <c r="G283" s="29"/>
      <c r="H283" s="30"/>
      <c r="I283" s="29"/>
      <c r="J283" s="30"/>
      <c r="K283" s="30"/>
      <c r="L283" s="29"/>
      <c r="M283" s="32" t="str">
        <f aca="false">IF(OR(C283="",L283=""),"",IF(C283=L283,"同一","変更"))</f>
        <v/>
      </c>
      <c r="N283" s="29"/>
      <c r="O283" s="30"/>
      <c r="P283" s="29"/>
      <c r="Q283" s="31"/>
      <c r="R283" s="29"/>
      <c r="S283" s="29"/>
      <c r="T283" s="30"/>
      <c r="U283" s="47" t="str">
        <f aca="false">IF(AND(B283&lt;&gt;"",B283=SW別シート!$C$3),COUNTIF(B$5:B283,B283),"")</f>
        <v/>
      </c>
      <c r="V283" s="47" t="n">
        <f aca="false">V282+IF(OR(O283&lt;&gt;"",W283&lt;&gt;""),1,0)</f>
        <v>3</v>
      </c>
      <c r="W283" s="29"/>
    </row>
    <row r="284" customFormat="false" ht="15" hidden="false" customHeight="false" outlineLevel="0" collapsed="false">
      <c r="A284" s="32" t="str">
        <f aca="false">IF(B284="","",ROW()-7)</f>
        <v/>
      </c>
      <c r="B284" s="30"/>
      <c r="C284" s="29"/>
      <c r="D284" s="29"/>
      <c r="E284" s="29"/>
      <c r="F284" s="30"/>
      <c r="G284" s="29"/>
      <c r="H284" s="30"/>
      <c r="I284" s="29"/>
      <c r="J284" s="30"/>
      <c r="K284" s="30"/>
      <c r="L284" s="29"/>
      <c r="M284" s="32" t="str">
        <f aca="false">IF(OR(C284="",L284=""),"",IF(C284=L284,"同一","変更"))</f>
        <v/>
      </c>
      <c r="N284" s="29"/>
      <c r="O284" s="30"/>
      <c r="P284" s="29"/>
      <c r="Q284" s="31"/>
      <c r="R284" s="29"/>
      <c r="S284" s="29"/>
      <c r="T284" s="30"/>
      <c r="U284" s="47" t="str">
        <f aca="false">IF(AND(B284&lt;&gt;"",B284=SW別シート!$C$3),COUNTIF(B$5:B284,B284),"")</f>
        <v/>
      </c>
      <c r="V284" s="47" t="n">
        <f aca="false">V283+IF(OR(O284&lt;&gt;"",W284&lt;&gt;""),1,0)</f>
        <v>3</v>
      </c>
      <c r="W284" s="29"/>
    </row>
    <row r="285" customFormat="false" ht="15" hidden="false" customHeight="false" outlineLevel="0" collapsed="false">
      <c r="A285" s="32" t="str">
        <f aca="false">IF(B285="","",ROW()-7)</f>
        <v/>
      </c>
      <c r="B285" s="30"/>
      <c r="C285" s="29"/>
      <c r="D285" s="29"/>
      <c r="E285" s="29"/>
      <c r="F285" s="30"/>
      <c r="G285" s="29"/>
      <c r="H285" s="30"/>
      <c r="I285" s="29"/>
      <c r="J285" s="30"/>
      <c r="K285" s="30"/>
      <c r="L285" s="29"/>
      <c r="M285" s="32" t="str">
        <f aca="false">IF(OR(C285="",L285=""),"",IF(C285=L285,"同一","変更"))</f>
        <v/>
      </c>
      <c r="N285" s="29"/>
      <c r="O285" s="30"/>
      <c r="P285" s="29"/>
      <c r="Q285" s="31"/>
      <c r="R285" s="29"/>
      <c r="S285" s="29"/>
      <c r="T285" s="30"/>
      <c r="U285" s="47" t="str">
        <f aca="false">IF(AND(B285&lt;&gt;"",B285=SW別シート!$C$3),COUNTIF(B$5:B285,B285),"")</f>
        <v/>
      </c>
      <c r="V285" s="47" t="n">
        <f aca="false">V284+IF(OR(O285&lt;&gt;"",W285&lt;&gt;""),1,0)</f>
        <v>3</v>
      </c>
      <c r="W285" s="29"/>
    </row>
    <row r="286" customFormat="false" ht="15" hidden="false" customHeight="false" outlineLevel="0" collapsed="false">
      <c r="A286" s="32" t="str">
        <f aca="false">IF(B286="","",ROW()-7)</f>
        <v/>
      </c>
      <c r="B286" s="30"/>
      <c r="C286" s="29"/>
      <c r="D286" s="29"/>
      <c r="E286" s="29"/>
      <c r="F286" s="30"/>
      <c r="G286" s="29"/>
      <c r="H286" s="30"/>
      <c r="I286" s="29"/>
      <c r="J286" s="30"/>
      <c r="K286" s="30"/>
      <c r="L286" s="29"/>
      <c r="M286" s="32" t="str">
        <f aca="false">IF(OR(C286="",L286=""),"",IF(C286=L286,"同一","変更"))</f>
        <v/>
      </c>
      <c r="N286" s="29"/>
      <c r="O286" s="30"/>
      <c r="P286" s="29"/>
      <c r="Q286" s="31"/>
      <c r="R286" s="29"/>
      <c r="S286" s="29"/>
      <c r="T286" s="30"/>
      <c r="U286" s="47" t="str">
        <f aca="false">IF(AND(B286&lt;&gt;"",B286=SW別シート!$C$3),COUNTIF(B$5:B286,B286),"")</f>
        <v/>
      </c>
      <c r="V286" s="47" t="n">
        <f aca="false">V285+IF(OR(O286&lt;&gt;"",W286&lt;&gt;""),1,0)</f>
        <v>3</v>
      </c>
      <c r="W286" s="29"/>
    </row>
    <row r="287" customFormat="false" ht="15" hidden="false" customHeight="false" outlineLevel="0" collapsed="false">
      <c r="A287" s="32" t="str">
        <f aca="false">IF(B287="","",ROW()-7)</f>
        <v/>
      </c>
      <c r="B287" s="30"/>
      <c r="C287" s="29"/>
      <c r="D287" s="29"/>
      <c r="E287" s="29"/>
      <c r="F287" s="30"/>
      <c r="G287" s="29"/>
      <c r="H287" s="30"/>
      <c r="I287" s="29"/>
      <c r="J287" s="30"/>
      <c r="K287" s="30"/>
      <c r="L287" s="29"/>
      <c r="M287" s="32" t="str">
        <f aca="false">IF(OR(C287="",L287=""),"",IF(C287=L287,"同一","変更"))</f>
        <v/>
      </c>
      <c r="N287" s="29"/>
      <c r="O287" s="30"/>
      <c r="P287" s="29"/>
      <c r="Q287" s="31"/>
      <c r="R287" s="29"/>
      <c r="S287" s="29"/>
      <c r="T287" s="30"/>
      <c r="U287" s="47" t="str">
        <f aca="false">IF(AND(B287&lt;&gt;"",B287=SW別シート!$C$3),COUNTIF(B$5:B287,B287),"")</f>
        <v/>
      </c>
      <c r="V287" s="47" t="n">
        <f aca="false">V286+IF(OR(O287&lt;&gt;"",W287&lt;&gt;""),1,0)</f>
        <v>3</v>
      </c>
      <c r="W287" s="29"/>
    </row>
    <row r="288" customFormat="false" ht="15" hidden="false" customHeight="false" outlineLevel="0" collapsed="false">
      <c r="A288" s="32" t="str">
        <f aca="false">IF(B288="","",ROW()-7)</f>
        <v/>
      </c>
      <c r="B288" s="30"/>
      <c r="C288" s="29"/>
      <c r="D288" s="29"/>
      <c r="E288" s="29"/>
      <c r="F288" s="30"/>
      <c r="G288" s="29"/>
      <c r="H288" s="30"/>
      <c r="I288" s="29"/>
      <c r="J288" s="30"/>
      <c r="K288" s="30"/>
      <c r="L288" s="29"/>
      <c r="M288" s="32" t="str">
        <f aca="false">IF(OR(C288="",L288=""),"",IF(C288=L288,"同一","変更"))</f>
        <v/>
      </c>
      <c r="N288" s="29"/>
      <c r="O288" s="30"/>
      <c r="P288" s="29"/>
      <c r="Q288" s="31"/>
      <c r="R288" s="29"/>
      <c r="S288" s="29"/>
      <c r="T288" s="30"/>
      <c r="U288" s="47" t="str">
        <f aca="false">IF(AND(B288&lt;&gt;"",B288=SW別シート!$C$3),COUNTIF(B$5:B288,B288),"")</f>
        <v/>
      </c>
      <c r="V288" s="47" t="n">
        <f aca="false">V287+IF(OR(O288&lt;&gt;"",W288&lt;&gt;""),1,0)</f>
        <v>3</v>
      </c>
      <c r="W288" s="29"/>
    </row>
    <row r="289" customFormat="false" ht="15" hidden="false" customHeight="false" outlineLevel="0" collapsed="false">
      <c r="A289" s="32" t="str">
        <f aca="false">IF(B289="","",ROW()-7)</f>
        <v/>
      </c>
      <c r="B289" s="30"/>
      <c r="C289" s="29"/>
      <c r="D289" s="29"/>
      <c r="E289" s="29"/>
      <c r="F289" s="30"/>
      <c r="G289" s="29"/>
      <c r="H289" s="30"/>
      <c r="I289" s="29"/>
      <c r="J289" s="30"/>
      <c r="K289" s="30"/>
      <c r="L289" s="29"/>
      <c r="M289" s="32" t="str">
        <f aca="false">IF(OR(C289="",L289=""),"",IF(C289=L289,"同一","変更"))</f>
        <v/>
      </c>
      <c r="N289" s="29"/>
      <c r="O289" s="30"/>
      <c r="P289" s="29"/>
      <c r="Q289" s="31"/>
      <c r="R289" s="29"/>
      <c r="S289" s="29"/>
      <c r="T289" s="30"/>
      <c r="U289" s="47" t="str">
        <f aca="false">IF(AND(B289&lt;&gt;"",B289=SW別シート!$C$3),COUNTIF(B$5:B289,B289),"")</f>
        <v/>
      </c>
      <c r="V289" s="47" t="n">
        <f aca="false">V288+IF(OR(O289&lt;&gt;"",W289&lt;&gt;""),1,0)</f>
        <v>3</v>
      </c>
      <c r="W289" s="29"/>
    </row>
    <row r="290" customFormat="false" ht="15" hidden="false" customHeight="false" outlineLevel="0" collapsed="false">
      <c r="A290" s="32" t="str">
        <f aca="false">IF(B290="","",ROW()-7)</f>
        <v/>
      </c>
      <c r="B290" s="30"/>
      <c r="C290" s="29"/>
      <c r="D290" s="29"/>
      <c r="E290" s="29"/>
      <c r="F290" s="30"/>
      <c r="G290" s="29"/>
      <c r="H290" s="30"/>
      <c r="I290" s="29"/>
      <c r="J290" s="30"/>
      <c r="K290" s="30"/>
      <c r="L290" s="29"/>
      <c r="M290" s="32" t="str">
        <f aca="false">IF(OR(C290="",L290=""),"",IF(C290=L290,"同一","変更"))</f>
        <v/>
      </c>
      <c r="N290" s="29"/>
      <c r="O290" s="30"/>
      <c r="P290" s="29"/>
      <c r="Q290" s="31"/>
      <c r="R290" s="29"/>
      <c r="S290" s="29"/>
      <c r="T290" s="30"/>
      <c r="U290" s="47" t="str">
        <f aca="false">IF(AND(B290&lt;&gt;"",B290=SW別シート!$C$3),COUNTIF(B$5:B290,B290),"")</f>
        <v/>
      </c>
      <c r="V290" s="47" t="n">
        <f aca="false">V289+IF(OR(O290&lt;&gt;"",W290&lt;&gt;""),1,0)</f>
        <v>3</v>
      </c>
      <c r="W290" s="29"/>
    </row>
    <row r="291" customFormat="false" ht="15" hidden="false" customHeight="false" outlineLevel="0" collapsed="false">
      <c r="A291" s="32" t="str">
        <f aca="false">IF(B291="","",ROW()-7)</f>
        <v/>
      </c>
      <c r="B291" s="30"/>
      <c r="C291" s="29"/>
      <c r="D291" s="29"/>
      <c r="E291" s="29"/>
      <c r="F291" s="30"/>
      <c r="G291" s="29"/>
      <c r="H291" s="30"/>
      <c r="I291" s="29"/>
      <c r="J291" s="30"/>
      <c r="K291" s="30"/>
      <c r="L291" s="29"/>
      <c r="M291" s="32" t="str">
        <f aca="false">IF(OR(C291="",L291=""),"",IF(C291=L291,"同一","変更"))</f>
        <v/>
      </c>
      <c r="N291" s="29"/>
      <c r="O291" s="30"/>
      <c r="P291" s="29"/>
      <c r="Q291" s="31"/>
      <c r="R291" s="29"/>
      <c r="S291" s="29"/>
      <c r="T291" s="30"/>
      <c r="U291" s="47" t="str">
        <f aca="false">IF(AND(B291&lt;&gt;"",B291=SW別シート!$C$3),COUNTIF(B$5:B291,B291),"")</f>
        <v/>
      </c>
      <c r="V291" s="47" t="n">
        <f aca="false">V290+IF(OR(O291&lt;&gt;"",W291&lt;&gt;""),1,0)</f>
        <v>3</v>
      </c>
      <c r="W291" s="29"/>
    </row>
    <row r="292" customFormat="false" ht="15" hidden="false" customHeight="false" outlineLevel="0" collapsed="false">
      <c r="A292" s="32" t="str">
        <f aca="false">IF(B292="","",ROW()-7)</f>
        <v/>
      </c>
      <c r="B292" s="30"/>
      <c r="C292" s="29"/>
      <c r="D292" s="29"/>
      <c r="E292" s="29"/>
      <c r="F292" s="30"/>
      <c r="G292" s="29"/>
      <c r="H292" s="30"/>
      <c r="I292" s="29"/>
      <c r="J292" s="30"/>
      <c r="K292" s="30"/>
      <c r="L292" s="29"/>
      <c r="M292" s="32" t="str">
        <f aca="false">IF(OR(C292="",L292=""),"",IF(C292=L292,"同一","変更"))</f>
        <v/>
      </c>
      <c r="N292" s="29"/>
      <c r="O292" s="30"/>
      <c r="P292" s="29"/>
      <c r="Q292" s="31"/>
      <c r="R292" s="29"/>
      <c r="S292" s="29"/>
      <c r="T292" s="30"/>
      <c r="U292" s="47" t="str">
        <f aca="false">IF(AND(B292&lt;&gt;"",B292=SW別シート!$C$3),COUNTIF(B$5:B292,B292),"")</f>
        <v/>
      </c>
      <c r="V292" s="47" t="n">
        <f aca="false">V291+IF(OR(O292&lt;&gt;"",W292&lt;&gt;""),1,0)</f>
        <v>3</v>
      </c>
      <c r="W292" s="29"/>
    </row>
    <row r="293" customFormat="false" ht="15" hidden="false" customHeight="false" outlineLevel="0" collapsed="false">
      <c r="A293" s="32" t="str">
        <f aca="false">IF(B293="","",ROW()-7)</f>
        <v/>
      </c>
      <c r="B293" s="30"/>
      <c r="C293" s="29"/>
      <c r="D293" s="29"/>
      <c r="E293" s="29"/>
      <c r="F293" s="30"/>
      <c r="G293" s="29"/>
      <c r="H293" s="30"/>
      <c r="I293" s="29"/>
      <c r="J293" s="30"/>
      <c r="K293" s="30"/>
      <c r="L293" s="29"/>
      <c r="M293" s="32" t="str">
        <f aca="false">IF(OR(C293="",L293=""),"",IF(C293=L293,"同一","変更"))</f>
        <v/>
      </c>
      <c r="N293" s="29"/>
      <c r="O293" s="30"/>
      <c r="P293" s="29"/>
      <c r="Q293" s="31"/>
      <c r="R293" s="29"/>
      <c r="S293" s="29"/>
      <c r="T293" s="30"/>
      <c r="U293" s="47" t="str">
        <f aca="false">IF(AND(B293&lt;&gt;"",B293=SW別シート!$C$3),COUNTIF(B$5:B293,B293),"")</f>
        <v/>
      </c>
      <c r="V293" s="47" t="n">
        <f aca="false">V292+IF(OR(O293&lt;&gt;"",W293&lt;&gt;""),1,0)</f>
        <v>3</v>
      </c>
      <c r="W293" s="29"/>
    </row>
    <row r="294" customFormat="false" ht="15" hidden="false" customHeight="false" outlineLevel="0" collapsed="false">
      <c r="A294" s="32" t="str">
        <f aca="false">IF(B294="","",ROW()-7)</f>
        <v/>
      </c>
      <c r="B294" s="30"/>
      <c r="C294" s="29"/>
      <c r="D294" s="29"/>
      <c r="E294" s="29"/>
      <c r="F294" s="30"/>
      <c r="G294" s="29"/>
      <c r="H294" s="30"/>
      <c r="I294" s="29"/>
      <c r="J294" s="30"/>
      <c r="K294" s="30"/>
      <c r="L294" s="29"/>
      <c r="M294" s="32" t="str">
        <f aca="false">IF(OR(C294="",L294=""),"",IF(C294=L294,"同一","変更"))</f>
        <v/>
      </c>
      <c r="N294" s="29"/>
      <c r="O294" s="30"/>
      <c r="P294" s="29"/>
      <c r="Q294" s="31"/>
      <c r="R294" s="29"/>
      <c r="S294" s="29"/>
      <c r="T294" s="30"/>
      <c r="U294" s="47" t="str">
        <f aca="false">IF(AND(B294&lt;&gt;"",B294=SW別シート!$C$3),COUNTIF(B$5:B294,B294),"")</f>
        <v/>
      </c>
      <c r="V294" s="47" t="n">
        <f aca="false">V293+IF(OR(O294&lt;&gt;"",W294&lt;&gt;""),1,0)</f>
        <v>3</v>
      </c>
      <c r="W294" s="29"/>
    </row>
    <row r="295" customFormat="false" ht="15" hidden="false" customHeight="false" outlineLevel="0" collapsed="false">
      <c r="A295" s="32" t="str">
        <f aca="false">IF(B295="","",ROW()-7)</f>
        <v/>
      </c>
      <c r="B295" s="30"/>
      <c r="C295" s="29"/>
      <c r="D295" s="29"/>
      <c r="E295" s="29"/>
      <c r="F295" s="30"/>
      <c r="G295" s="29"/>
      <c r="H295" s="30"/>
      <c r="I295" s="29"/>
      <c r="J295" s="30"/>
      <c r="K295" s="30"/>
      <c r="L295" s="29"/>
      <c r="M295" s="32" t="str">
        <f aca="false">IF(OR(C295="",L295=""),"",IF(C295=L295,"同一","変更"))</f>
        <v/>
      </c>
      <c r="N295" s="29"/>
      <c r="O295" s="30"/>
      <c r="P295" s="29"/>
      <c r="Q295" s="31"/>
      <c r="R295" s="29"/>
      <c r="S295" s="29"/>
      <c r="T295" s="30"/>
      <c r="U295" s="47" t="str">
        <f aca="false">IF(AND(B295&lt;&gt;"",B295=SW別シート!$C$3),COUNTIF(B$5:B295,B295),"")</f>
        <v/>
      </c>
      <c r="V295" s="47" t="n">
        <f aca="false">V294+IF(OR(O295&lt;&gt;"",W295&lt;&gt;""),1,0)</f>
        <v>3</v>
      </c>
      <c r="W295" s="29"/>
    </row>
    <row r="296" customFormat="false" ht="15" hidden="false" customHeight="false" outlineLevel="0" collapsed="false">
      <c r="A296" s="32" t="str">
        <f aca="false">IF(B296="","",ROW()-7)</f>
        <v/>
      </c>
      <c r="B296" s="30"/>
      <c r="C296" s="29"/>
      <c r="D296" s="29"/>
      <c r="E296" s="29"/>
      <c r="F296" s="30"/>
      <c r="G296" s="29"/>
      <c r="H296" s="30"/>
      <c r="I296" s="29"/>
      <c r="J296" s="30"/>
      <c r="K296" s="30"/>
      <c r="L296" s="29"/>
      <c r="M296" s="32" t="str">
        <f aca="false">IF(OR(C296="",L296=""),"",IF(C296=L296,"同一","変更"))</f>
        <v/>
      </c>
      <c r="N296" s="29"/>
      <c r="O296" s="30"/>
      <c r="P296" s="29"/>
      <c r="Q296" s="31"/>
      <c r="R296" s="29"/>
      <c r="S296" s="29"/>
      <c r="T296" s="30"/>
      <c r="U296" s="47" t="str">
        <f aca="false">IF(AND(B296&lt;&gt;"",B296=SW別シート!$C$3),COUNTIF(B$5:B296,B296),"")</f>
        <v/>
      </c>
      <c r="V296" s="47" t="n">
        <f aca="false">V295+IF(OR(O296&lt;&gt;"",W296&lt;&gt;""),1,0)</f>
        <v>3</v>
      </c>
      <c r="W296" s="29"/>
    </row>
    <row r="297" customFormat="false" ht="15" hidden="false" customHeight="false" outlineLevel="0" collapsed="false">
      <c r="A297" s="32" t="str">
        <f aca="false">IF(B297="","",ROW()-7)</f>
        <v/>
      </c>
      <c r="B297" s="30"/>
      <c r="C297" s="29"/>
      <c r="D297" s="29"/>
      <c r="E297" s="29"/>
      <c r="F297" s="30"/>
      <c r="G297" s="29"/>
      <c r="H297" s="30"/>
      <c r="I297" s="29"/>
      <c r="J297" s="30"/>
      <c r="K297" s="30"/>
      <c r="L297" s="29"/>
      <c r="M297" s="32" t="str">
        <f aca="false">IF(OR(C297="",L297=""),"",IF(C297=L297,"同一","変更"))</f>
        <v/>
      </c>
      <c r="N297" s="29"/>
      <c r="O297" s="30"/>
      <c r="P297" s="29"/>
      <c r="Q297" s="31"/>
      <c r="R297" s="29"/>
      <c r="S297" s="29"/>
      <c r="T297" s="30"/>
      <c r="U297" s="47" t="str">
        <f aca="false">IF(AND(B297&lt;&gt;"",B297=SW別シート!$C$3),COUNTIF(B$5:B297,B297),"")</f>
        <v/>
      </c>
      <c r="V297" s="47" t="n">
        <f aca="false">V296+IF(OR(O297&lt;&gt;"",W297&lt;&gt;""),1,0)</f>
        <v>3</v>
      </c>
      <c r="W297" s="29"/>
    </row>
    <row r="298" customFormat="false" ht="15" hidden="false" customHeight="false" outlineLevel="0" collapsed="false">
      <c r="A298" s="32" t="str">
        <f aca="false">IF(B298="","",ROW()-7)</f>
        <v/>
      </c>
      <c r="B298" s="30"/>
      <c r="C298" s="29"/>
      <c r="D298" s="29"/>
      <c r="E298" s="29"/>
      <c r="F298" s="30"/>
      <c r="G298" s="29"/>
      <c r="H298" s="30"/>
      <c r="I298" s="29"/>
      <c r="J298" s="30"/>
      <c r="K298" s="30"/>
      <c r="L298" s="29"/>
      <c r="M298" s="32" t="str">
        <f aca="false">IF(OR(C298="",L298=""),"",IF(C298=L298,"同一","変更"))</f>
        <v/>
      </c>
      <c r="N298" s="29"/>
      <c r="O298" s="30"/>
      <c r="P298" s="29"/>
      <c r="Q298" s="31"/>
      <c r="R298" s="29"/>
      <c r="S298" s="29"/>
      <c r="T298" s="30"/>
      <c r="U298" s="47" t="str">
        <f aca="false">IF(AND(B298&lt;&gt;"",B298=SW別シート!$C$3),COUNTIF(B$5:B298,B298),"")</f>
        <v/>
      </c>
      <c r="V298" s="47" t="n">
        <f aca="false">V297+IF(OR(O298&lt;&gt;"",W298&lt;&gt;""),1,0)</f>
        <v>3</v>
      </c>
      <c r="W298" s="29"/>
    </row>
    <row r="299" customFormat="false" ht="15" hidden="false" customHeight="false" outlineLevel="0" collapsed="false">
      <c r="A299" s="32" t="str">
        <f aca="false">IF(B299="","",ROW()-7)</f>
        <v/>
      </c>
      <c r="B299" s="30"/>
      <c r="C299" s="29"/>
      <c r="D299" s="29"/>
      <c r="E299" s="29"/>
      <c r="F299" s="30"/>
      <c r="G299" s="29"/>
      <c r="H299" s="30"/>
      <c r="I299" s="29"/>
      <c r="J299" s="30"/>
      <c r="K299" s="30"/>
      <c r="L299" s="29"/>
      <c r="M299" s="32" t="str">
        <f aca="false">IF(OR(C299="",L299=""),"",IF(C299=L299,"同一","変更"))</f>
        <v/>
      </c>
      <c r="N299" s="29"/>
      <c r="O299" s="30"/>
      <c r="P299" s="29"/>
      <c r="Q299" s="31"/>
      <c r="R299" s="29"/>
      <c r="S299" s="29"/>
      <c r="T299" s="30"/>
      <c r="U299" s="47" t="str">
        <f aca="false">IF(AND(B299&lt;&gt;"",B299=SW別シート!$C$3),COUNTIF(B$5:B299,B299),"")</f>
        <v/>
      </c>
      <c r="V299" s="47" t="n">
        <f aca="false">V298+IF(OR(O299&lt;&gt;"",W299&lt;&gt;""),1,0)</f>
        <v>3</v>
      </c>
      <c r="W299" s="29"/>
    </row>
    <row r="300" customFormat="false" ht="15" hidden="false" customHeight="false" outlineLevel="0" collapsed="false">
      <c r="A300" s="32" t="str">
        <f aca="false">IF(B300="","",ROW()-7)</f>
        <v/>
      </c>
      <c r="B300" s="30"/>
      <c r="C300" s="29"/>
      <c r="D300" s="29"/>
      <c r="E300" s="29"/>
      <c r="F300" s="30"/>
      <c r="G300" s="29"/>
      <c r="H300" s="30"/>
      <c r="I300" s="29"/>
      <c r="J300" s="30"/>
      <c r="K300" s="30"/>
      <c r="L300" s="29"/>
      <c r="M300" s="32" t="str">
        <f aca="false">IF(OR(C300="",L300=""),"",IF(C300=L300,"同一","変更"))</f>
        <v/>
      </c>
      <c r="N300" s="29"/>
      <c r="O300" s="30"/>
      <c r="P300" s="29"/>
      <c r="Q300" s="31"/>
      <c r="R300" s="29"/>
      <c r="S300" s="29"/>
      <c r="T300" s="30"/>
      <c r="U300" s="47" t="str">
        <f aca="false">IF(AND(B300&lt;&gt;"",B300=SW別シート!$C$3),COUNTIF(B$5:B300,B300),"")</f>
        <v/>
      </c>
      <c r="V300" s="47" t="n">
        <f aca="false">V299+IF(OR(O300&lt;&gt;"",W300&lt;&gt;""),1,0)</f>
        <v>3</v>
      </c>
      <c r="W300" s="29"/>
    </row>
    <row r="301" customFormat="false" ht="15" hidden="false" customHeight="false" outlineLevel="0" collapsed="false">
      <c r="A301" s="32" t="str">
        <f aca="false">IF(B301="","",ROW()-7)</f>
        <v/>
      </c>
      <c r="B301" s="30"/>
      <c r="C301" s="29"/>
      <c r="D301" s="29"/>
      <c r="E301" s="29"/>
      <c r="F301" s="30"/>
      <c r="G301" s="29"/>
      <c r="H301" s="30"/>
      <c r="I301" s="29"/>
      <c r="J301" s="30"/>
      <c r="K301" s="30"/>
      <c r="L301" s="29"/>
      <c r="M301" s="32" t="str">
        <f aca="false">IF(OR(C301="",L301=""),"",IF(C301=L301,"同一","変更"))</f>
        <v/>
      </c>
      <c r="N301" s="29"/>
      <c r="O301" s="30"/>
      <c r="P301" s="29"/>
      <c r="Q301" s="31"/>
      <c r="R301" s="29"/>
      <c r="S301" s="29"/>
      <c r="T301" s="30"/>
      <c r="U301" s="47" t="str">
        <f aca="false">IF(AND(B301&lt;&gt;"",B301=SW別シート!$C$3),COUNTIF(B$5:B301,B301),"")</f>
        <v/>
      </c>
      <c r="V301" s="47" t="n">
        <f aca="false">V300+IF(OR(O301&lt;&gt;"",W301&lt;&gt;""),1,0)</f>
        <v>3</v>
      </c>
      <c r="W301" s="29"/>
    </row>
    <row r="302" customFormat="false" ht="15" hidden="false" customHeight="false" outlineLevel="0" collapsed="false">
      <c r="A302" s="32" t="str">
        <f aca="false">IF(B302="","",ROW()-7)</f>
        <v/>
      </c>
      <c r="B302" s="30"/>
      <c r="C302" s="29"/>
      <c r="D302" s="29"/>
      <c r="E302" s="29"/>
      <c r="F302" s="30"/>
      <c r="G302" s="29"/>
      <c r="H302" s="30"/>
      <c r="I302" s="29"/>
      <c r="J302" s="30"/>
      <c r="K302" s="30"/>
      <c r="L302" s="29"/>
      <c r="M302" s="32" t="str">
        <f aca="false">IF(OR(C302="",L302=""),"",IF(C302=L302,"同一","変更"))</f>
        <v/>
      </c>
      <c r="N302" s="29"/>
      <c r="O302" s="30"/>
      <c r="P302" s="29"/>
      <c r="Q302" s="31"/>
      <c r="R302" s="29"/>
      <c r="S302" s="29"/>
      <c r="T302" s="30"/>
      <c r="U302" s="47" t="str">
        <f aca="false">IF(AND(B302&lt;&gt;"",B302=SW別シート!$C$3),COUNTIF(B$5:B302,B302),"")</f>
        <v/>
      </c>
      <c r="V302" s="47" t="n">
        <f aca="false">V301+IF(OR(O302&lt;&gt;"",W302&lt;&gt;""),1,0)</f>
        <v>3</v>
      </c>
      <c r="W302" s="29"/>
    </row>
    <row r="303" customFormat="false" ht="15" hidden="false" customHeight="false" outlineLevel="0" collapsed="false">
      <c r="A303" s="32" t="str">
        <f aca="false">IF(B303="","",ROW()-7)</f>
        <v/>
      </c>
      <c r="B303" s="30"/>
      <c r="C303" s="29"/>
      <c r="D303" s="29"/>
      <c r="E303" s="29"/>
      <c r="F303" s="30"/>
      <c r="G303" s="29"/>
      <c r="H303" s="30"/>
      <c r="I303" s="29"/>
      <c r="J303" s="30"/>
      <c r="K303" s="30"/>
      <c r="L303" s="29"/>
      <c r="M303" s="32" t="str">
        <f aca="false">IF(OR(C303="",L303=""),"",IF(C303=L303,"同一","変更"))</f>
        <v/>
      </c>
      <c r="N303" s="29"/>
      <c r="O303" s="30"/>
      <c r="P303" s="29"/>
      <c r="Q303" s="31"/>
      <c r="R303" s="29"/>
      <c r="S303" s="29"/>
      <c r="T303" s="30"/>
      <c r="U303" s="47" t="str">
        <f aca="false">IF(AND(B303&lt;&gt;"",B303=SW別シート!$C$3),COUNTIF(B$5:B303,B303),"")</f>
        <v/>
      </c>
      <c r="V303" s="47" t="n">
        <f aca="false">V302+IF(OR(O303&lt;&gt;"",W303&lt;&gt;""),1,0)</f>
        <v>3</v>
      </c>
      <c r="W303" s="29"/>
    </row>
    <row r="304" customFormat="false" ht="15" hidden="false" customHeight="false" outlineLevel="0" collapsed="false">
      <c r="A304" s="32" t="str">
        <f aca="false">IF(B304="","",ROW()-7)</f>
        <v/>
      </c>
      <c r="B304" s="30"/>
      <c r="C304" s="29"/>
      <c r="D304" s="29"/>
      <c r="E304" s="29"/>
      <c r="F304" s="30"/>
      <c r="G304" s="29"/>
      <c r="H304" s="30"/>
      <c r="I304" s="29"/>
      <c r="J304" s="30"/>
      <c r="K304" s="30"/>
      <c r="L304" s="29"/>
      <c r="M304" s="32" t="str">
        <f aca="false">IF(OR(C304="",L304=""),"",IF(C304=L304,"同一","変更"))</f>
        <v/>
      </c>
      <c r="N304" s="29"/>
      <c r="O304" s="30"/>
      <c r="P304" s="29"/>
      <c r="Q304" s="31"/>
      <c r="R304" s="29"/>
      <c r="S304" s="29"/>
      <c r="T304" s="30"/>
      <c r="U304" s="47" t="str">
        <f aca="false">IF(AND(B304&lt;&gt;"",B304=SW別シート!$C$3),COUNTIF(B$5:B304,B304),"")</f>
        <v/>
      </c>
      <c r="V304" s="47" t="n">
        <f aca="false">V303+IF(OR(O304&lt;&gt;"",W304&lt;&gt;""),1,0)</f>
        <v>3</v>
      </c>
      <c r="W304" s="29"/>
    </row>
    <row r="305" customFormat="false" ht="15" hidden="false" customHeight="false" outlineLevel="0" collapsed="false">
      <c r="A305" s="32" t="str">
        <f aca="false">IF(B305="","",ROW()-7)</f>
        <v/>
      </c>
      <c r="B305" s="30"/>
      <c r="C305" s="29"/>
      <c r="D305" s="29"/>
      <c r="E305" s="29"/>
      <c r="F305" s="30"/>
      <c r="G305" s="29"/>
      <c r="H305" s="30"/>
      <c r="I305" s="29"/>
      <c r="J305" s="30"/>
      <c r="K305" s="30"/>
      <c r="L305" s="29"/>
      <c r="M305" s="32" t="str">
        <f aca="false">IF(OR(C305="",L305=""),"",IF(C305=L305,"同一","変更"))</f>
        <v/>
      </c>
      <c r="N305" s="29"/>
      <c r="O305" s="30"/>
      <c r="P305" s="29"/>
      <c r="Q305" s="31"/>
      <c r="R305" s="29"/>
      <c r="S305" s="29"/>
      <c r="T305" s="30"/>
      <c r="U305" s="47" t="str">
        <f aca="false">IF(AND(B305&lt;&gt;"",B305=SW別シート!$C$3),COUNTIF(B$5:B305,B305),"")</f>
        <v/>
      </c>
      <c r="V305" s="47" t="n">
        <f aca="false">V304+IF(OR(O305&lt;&gt;"",W305&lt;&gt;""),1,0)</f>
        <v>3</v>
      </c>
      <c r="W305" s="29"/>
    </row>
    <row r="306" customFormat="false" ht="15" hidden="false" customHeight="false" outlineLevel="0" collapsed="false">
      <c r="A306" s="32" t="str">
        <f aca="false">IF(B306="","",ROW()-7)</f>
        <v/>
      </c>
      <c r="B306" s="30"/>
      <c r="C306" s="29"/>
      <c r="D306" s="29"/>
      <c r="E306" s="29"/>
      <c r="F306" s="30"/>
      <c r="G306" s="29"/>
      <c r="H306" s="30"/>
      <c r="I306" s="29"/>
      <c r="J306" s="30"/>
      <c r="K306" s="30"/>
      <c r="L306" s="29"/>
      <c r="M306" s="32" t="str">
        <f aca="false">IF(OR(C306="",L306=""),"",IF(C306=L306,"同一","変更"))</f>
        <v/>
      </c>
      <c r="N306" s="29"/>
      <c r="O306" s="30"/>
      <c r="P306" s="29"/>
      <c r="Q306" s="31"/>
      <c r="R306" s="29"/>
      <c r="S306" s="29"/>
      <c r="T306" s="30"/>
      <c r="U306" s="47" t="str">
        <f aca="false">IF(AND(B306&lt;&gt;"",B306=SW別シート!$C$3),COUNTIF(B$5:B306,B306),"")</f>
        <v/>
      </c>
      <c r="V306" s="47" t="n">
        <f aca="false">V305+IF(OR(O306&lt;&gt;"",W306&lt;&gt;""),1,0)</f>
        <v>3</v>
      </c>
      <c r="W306" s="29"/>
    </row>
    <row r="307" customFormat="false" ht="15" hidden="false" customHeight="false" outlineLevel="0" collapsed="false">
      <c r="A307" s="32" t="str">
        <f aca="false">IF(B307="","",ROW()-7)</f>
        <v/>
      </c>
      <c r="B307" s="30"/>
      <c r="C307" s="29"/>
      <c r="D307" s="29"/>
      <c r="E307" s="29"/>
      <c r="F307" s="30"/>
      <c r="G307" s="29"/>
      <c r="H307" s="30"/>
      <c r="I307" s="29"/>
      <c r="J307" s="30"/>
      <c r="K307" s="30"/>
      <c r="L307" s="29"/>
      <c r="M307" s="32" t="str">
        <f aca="false">IF(OR(C307="",L307=""),"",IF(C307=L307,"同一","変更"))</f>
        <v/>
      </c>
      <c r="N307" s="29"/>
      <c r="O307" s="30"/>
      <c r="P307" s="29"/>
      <c r="Q307" s="31"/>
      <c r="R307" s="29"/>
      <c r="S307" s="29"/>
      <c r="T307" s="30"/>
      <c r="U307" s="47" t="str">
        <f aca="false">IF(AND(B307&lt;&gt;"",B307=SW別シート!$C$3),COUNTIF(B$5:B307,B307),"")</f>
        <v/>
      </c>
      <c r="V307" s="47" t="n">
        <f aca="false">V306+IF(OR(O307&lt;&gt;"",W307&lt;&gt;""),1,0)</f>
        <v>3</v>
      </c>
      <c r="W307" s="29"/>
    </row>
    <row r="308" customFormat="false" ht="15" hidden="false" customHeight="false" outlineLevel="0" collapsed="false">
      <c r="A308" s="32" t="str">
        <f aca="false">IF(B308="","",ROW()-7)</f>
        <v/>
      </c>
      <c r="B308" s="30"/>
      <c r="C308" s="29"/>
      <c r="D308" s="29"/>
      <c r="E308" s="29"/>
      <c r="F308" s="30"/>
      <c r="G308" s="29"/>
      <c r="H308" s="30"/>
      <c r="I308" s="29"/>
      <c r="J308" s="30"/>
      <c r="K308" s="30"/>
      <c r="L308" s="29"/>
      <c r="M308" s="32" t="str">
        <f aca="false">IF(OR(C308="",L308=""),"",IF(C308=L308,"同一","変更"))</f>
        <v/>
      </c>
      <c r="N308" s="29"/>
      <c r="O308" s="30"/>
      <c r="P308" s="29"/>
      <c r="Q308" s="31"/>
      <c r="R308" s="29"/>
      <c r="S308" s="29"/>
      <c r="T308" s="30"/>
      <c r="U308" s="47" t="str">
        <f aca="false">IF(AND(B308&lt;&gt;"",B308=SW別シート!$C$3),COUNTIF(B$5:B308,B308),"")</f>
        <v/>
      </c>
      <c r="V308" s="47" t="n">
        <f aca="false">V307+IF(OR(O308&lt;&gt;"",W308&lt;&gt;""),1,0)</f>
        <v>3</v>
      </c>
      <c r="W308" s="29"/>
    </row>
    <row r="309" customFormat="false" ht="15" hidden="false" customHeight="false" outlineLevel="0" collapsed="false">
      <c r="A309" s="32" t="str">
        <f aca="false">IF(B309="","",ROW()-7)</f>
        <v/>
      </c>
      <c r="B309" s="30"/>
      <c r="C309" s="29"/>
      <c r="D309" s="29"/>
      <c r="E309" s="29"/>
      <c r="F309" s="30"/>
      <c r="G309" s="29"/>
      <c r="H309" s="30"/>
      <c r="I309" s="29"/>
      <c r="J309" s="30"/>
      <c r="K309" s="30"/>
      <c r="L309" s="29"/>
      <c r="M309" s="32" t="str">
        <f aca="false">IF(OR(C309="",L309=""),"",IF(C309=L309,"同一","変更"))</f>
        <v/>
      </c>
      <c r="N309" s="29"/>
      <c r="O309" s="30"/>
      <c r="P309" s="29"/>
      <c r="Q309" s="31"/>
      <c r="R309" s="29"/>
      <c r="S309" s="29"/>
      <c r="T309" s="30"/>
      <c r="U309" s="47" t="str">
        <f aca="false">IF(AND(B309&lt;&gt;"",B309=SW別シート!$C$3),COUNTIF(B$5:B309,B309),"")</f>
        <v/>
      </c>
      <c r="V309" s="47" t="n">
        <f aca="false">V308+IF(OR(O309&lt;&gt;"",W309&lt;&gt;""),1,0)</f>
        <v>3</v>
      </c>
      <c r="W309" s="29"/>
    </row>
    <row r="310" customFormat="false" ht="15" hidden="false" customHeight="false" outlineLevel="0" collapsed="false">
      <c r="A310" s="32" t="str">
        <f aca="false">IF(B310="","",ROW()-7)</f>
        <v/>
      </c>
      <c r="B310" s="30"/>
      <c r="C310" s="29"/>
      <c r="D310" s="29"/>
      <c r="E310" s="29"/>
      <c r="F310" s="30"/>
      <c r="G310" s="29"/>
      <c r="H310" s="30"/>
      <c r="I310" s="29"/>
      <c r="J310" s="30"/>
      <c r="K310" s="30"/>
      <c r="L310" s="29"/>
      <c r="M310" s="32" t="str">
        <f aca="false">IF(OR(C310="",L310=""),"",IF(C310=L310,"同一","変更"))</f>
        <v/>
      </c>
      <c r="N310" s="29"/>
      <c r="O310" s="30"/>
      <c r="P310" s="29"/>
      <c r="Q310" s="31"/>
      <c r="R310" s="29"/>
      <c r="S310" s="29"/>
      <c r="T310" s="30"/>
      <c r="U310" s="47" t="str">
        <f aca="false">IF(AND(B310&lt;&gt;"",B310=SW別シート!$C$3),COUNTIF(B$5:B310,B310),"")</f>
        <v/>
      </c>
      <c r="V310" s="47" t="n">
        <f aca="false">V309+IF(OR(O310&lt;&gt;"",W310&lt;&gt;""),1,0)</f>
        <v>3</v>
      </c>
      <c r="W310" s="29"/>
    </row>
    <row r="311" customFormat="false" ht="15" hidden="false" customHeight="false" outlineLevel="0" collapsed="false">
      <c r="A311" s="32" t="str">
        <f aca="false">IF(B311="","",ROW()-7)</f>
        <v/>
      </c>
      <c r="B311" s="30"/>
      <c r="C311" s="29"/>
      <c r="D311" s="29"/>
      <c r="E311" s="29"/>
      <c r="F311" s="30"/>
      <c r="G311" s="29"/>
      <c r="H311" s="30"/>
      <c r="I311" s="29"/>
      <c r="J311" s="30"/>
      <c r="K311" s="30"/>
      <c r="L311" s="29"/>
      <c r="M311" s="32" t="str">
        <f aca="false">IF(OR(C311="",L311=""),"",IF(C311=L311,"同一","変更"))</f>
        <v/>
      </c>
      <c r="N311" s="29"/>
      <c r="O311" s="30"/>
      <c r="P311" s="29"/>
      <c r="Q311" s="31"/>
      <c r="R311" s="29"/>
      <c r="S311" s="29"/>
      <c r="T311" s="30"/>
      <c r="U311" s="47" t="str">
        <f aca="false">IF(AND(B311&lt;&gt;"",B311=SW別シート!$C$3),COUNTIF(B$5:B311,B311),"")</f>
        <v/>
      </c>
      <c r="V311" s="47" t="n">
        <f aca="false">V310+IF(OR(O311&lt;&gt;"",W311&lt;&gt;""),1,0)</f>
        <v>3</v>
      </c>
      <c r="W311" s="29"/>
    </row>
    <row r="312" customFormat="false" ht="15" hidden="false" customHeight="false" outlineLevel="0" collapsed="false">
      <c r="A312" s="32" t="str">
        <f aca="false">IF(B312="","",ROW()-7)</f>
        <v/>
      </c>
      <c r="B312" s="30"/>
      <c r="C312" s="29"/>
      <c r="D312" s="29"/>
      <c r="E312" s="29"/>
      <c r="F312" s="30"/>
      <c r="G312" s="29"/>
      <c r="H312" s="30"/>
      <c r="I312" s="29"/>
      <c r="J312" s="30"/>
      <c r="K312" s="30"/>
      <c r="L312" s="29"/>
      <c r="M312" s="32" t="str">
        <f aca="false">IF(OR(C312="",L312=""),"",IF(C312=L312,"同一","変更"))</f>
        <v/>
      </c>
      <c r="N312" s="29"/>
      <c r="O312" s="30"/>
      <c r="P312" s="29"/>
      <c r="Q312" s="31"/>
      <c r="R312" s="29"/>
      <c r="S312" s="29"/>
      <c r="T312" s="30"/>
      <c r="U312" s="47" t="str">
        <f aca="false">IF(AND(B312&lt;&gt;"",B312=SW別シート!$C$3),COUNTIF(B$5:B312,B312),"")</f>
        <v/>
      </c>
      <c r="V312" s="47" t="n">
        <f aca="false">V311+IF(OR(O312&lt;&gt;"",W312&lt;&gt;""),1,0)</f>
        <v>3</v>
      </c>
      <c r="W312" s="29"/>
    </row>
    <row r="313" customFormat="false" ht="15" hidden="false" customHeight="false" outlineLevel="0" collapsed="false">
      <c r="A313" s="32" t="str">
        <f aca="false">IF(B313="","",ROW()-7)</f>
        <v/>
      </c>
      <c r="B313" s="30"/>
      <c r="C313" s="29"/>
      <c r="D313" s="29"/>
      <c r="E313" s="29"/>
      <c r="F313" s="30"/>
      <c r="G313" s="29"/>
      <c r="H313" s="30"/>
      <c r="I313" s="29"/>
      <c r="J313" s="30"/>
      <c r="K313" s="30"/>
      <c r="L313" s="29"/>
      <c r="M313" s="32" t="str">
        <f aca="false">IF(OR(C313="",L313=""),"",IF(C313=L313,"同一","変更"))</f>
        <v/>
      </c>
      <c r="N313" s="29"/>
      <c r="O313" s="30"/>
      <c r="P313" s="29"/>
      <c r="Q313" s="31"/>
      <c r="R313" s="29"/>
      <c r="S313" s="29"/>
      <c r="T313" s="30"/>
      <c r="U313" s="47" t="str">
        <f aca="false">IF(AND(B313&lt;&gt;"",B313=SW別シート!$C$3),COUNTIF(B$5:B313,B313),"")</f>
        <v/>
      </c>
      <c r="V313" s="47" t="n">
        <f aca="false">V312+IF(OR(O313&lt;&gt;"",W313&lt;&gt;""),1,0)</f>
        <v>3</v>
      </c>
      <c r="W313" s="29"/>
    </row>
    <row r="314" customFormat="false" ht="15" hidden="false" customHeight="false" outlineLevel="0" collapsed="false">
      <c r="A314" s="32" t="str">
        <f aca="false">IF(B314="","",ROW()-7)</f>
        <v/>
      </c>
      <c r="B314" s="30"/>
      <c r="C314" s="29"/>
      <c r="D314" s="29"/>
      <c r="E314" s="29"/>
      <c r="F314" s="30"/>
      <c r="G314" s="29"/>
      <c r="H314" s="30"/>
      <c r="I314" s="29"/>
      <c r="J314" s="30"/>
      <c r="K314" s="30"/>
      <c r="L314" s="29"/>
      <c r="M314" s="32" t="str">
        <f aca="false">IF(OR(C314="",L314=""),"",IF(C314=L314,"同一","変更"))</f>
        <v/>
      </c>
      <c r="N314" s="29"/>
      <c r="O314" s="30"/>
      <c r="P314" s="29"/>
      <c r="Q314" s="31"/>
      <c r="R314" s="29"/>
      <c r="S314" s="29"/>
      <c r="T314" s="30"/>
      <c r="U314" s="47" t="str">
        <f aca="false">IF(AND(B314&lt;&gt;"",B314=SW別シート!$C$3),COUNTIF(B$5:B314,B314),"")</f>
        <v/>
      </c>
      <c r="V314" s="47" t="n">
        <f aca="false">V313+IF(OR(O314&lt;&gt;"",W314&lt;&gt;""),1,0)</f>
        <v>3</v>
      </c>
      <c r="W314" s="29"/>
    </row>
    <row r="315" customFormat="false" ht="15" hidden="false" customHeight="false" outlineLevel="0" collapsed="false">
      <c r="A315" s="32" t="str">
        <f aca="false">IF(B315="","",ROW()-7)</f>
        <v/>
      </c>
      <c r="B315" s="30"/>
      <c r="C315" s="29"/>
      <c r="D315" s="29"/>
      <c r="E315" s="29"/>
      <c r="F315" s="30"/>
      <c r="G315" s="29"/>
      <c r="H315" s="30"/>
      <c r="I315" s="29"/>
      <c r="J315" s="30"/>
      <c r="K315" s="30"/>
      <c r="L315" s="29"/>
      <c r="M315" s="32" t="str">
        <f aca="false">IF(OR(C315="",L315=""),"",IF(C315=L315,"同一","変更"))</f>
        <v/>
      </c>
      <c r="N315" s="29"/>
      <c r="O315" s="30"/>
      <c r="P315" s="29"/>
      <c r="Q315" s="31"/>
      <c r="R315" s="29"/>
      <c r="S315" s="29"/>
      <c r="T315" s="30"/>
      <c r="U315" s="47" t="str">
        <f aca="false">IF(AND(B315&lt;&gt;"",B315=SW別シート!$C$3),COUNTIF(B$5:B315,B315),"")</f>
        <v/>
      </c>
      <c r="V315" s="47" t="n">
        <f aca="false">V314+IF(OR(O315&lt;&gt;"",W315&lt;&gt;""),1,0)</f>
        <v>3</v>
      </c>
      <c r="W315" s="29"/>
    </row>
    <row r="316" customFormat="false" ht="15" hidden="false" customHeight="false" outlineLevel="0" collapsed="false">
      <c r="A316" s="32" t="str">
        <f aca="false">IF(B316="","",ROW()-7)</f>
        <v/>
      </c>
      <c r="B316" s="30"/>
      <c r="C316" s="29"/>
      <c r="D316" s="29"/>
      <c r="E316" s="29"/>
      <c r="F316" s="30"/>
      <c r="G316" s="29"/>
      <c r="H316" s="30"/>
      <c r="I316" s="29"/>
      <c r="J316" s="30"/>
      <c r="K316" s="30"/>
      <c r="L316" s="29"/>
      <c r="M316" s="32" t="str">
        <f aca="false">IF(OR(C316="",L316=""),"",IF(C316=L316,"同一","変更"))</f>
        <v/>
      </c>
      <c r="N316" s="29"/>
      <c r="O316" s="30"/>
      <c r="P316" s="29"/>
      <c r="Q316" s="31"/>
      <c r="R316" s="29"/>
      <c r="S316" s="29"/>
      <c r="T316" s="30"/>
      <c r="U316" s="47" t="str">
        <f aca="false">IF(AND(B316&lt;&gt;"",B316=SW別シート!$C$3),COUNTIF(B$5:B316,B316),"")</f>
        <v/>
      </c>
      <c r="V316" s="47" t="n">
        <f aca="false">V315+IF(OR(O316&lt;&gt;"",W316&lt;&gt;""),1,0)</f>
        <v>3</v>
      </c>
      <c r="W316" s="29"/>
    </row>
    <row r="317" customFormat="false" ht="15" hidden="false" customHeight="false" outlineLevel="0" collapsed="false">
      <c r="A317" s="32" t="str">
        <f aca="false">IF(B317="","",ROW()-7)</f>
        <v/>
      </c>
      <c r="B317" s="30"/>
      <c r="C317" s="29"/>
      <c r="D317" s="29"/>
      <c r="E317" s="29"/>
      <c r="F317" s="30"/>
      <c r="G317" s="29"/>
      <c r="H317" s="30"/>
      <c r="I317" s="29"/>
      <c r="J317" s="30"/>
      <c r="K317" s="30"/>
      <c r="L317" s="29"/>
      <c r="M317" s="32" t="str">
        <f aca="false">IF(OR(C317="",L317=""),"",IF(C317=L317,"同一","変更"))</f>
        <v/>
      </c>
      <c r="N317" s="29"/>
      <c r="O317" s="30"/>
      <c r="P317" s="29"/>
      <c r="Q317" s="31"/>
      <c r="R317" s="29"/>
      <c r="S317" s="29"/>
      <c r="T317" s="30"/>
      <c r="U317" s="47" t="str">
        <f aca="false">IF(AND(B317&lt;&gt;"",B317=SW別シート!$C$3),COUNTIF(B$5:B317,B317),"")</f>
        <v/>
      </c>
      <c r="V317" s="47" t="n">
        <f aca="false">V316+IF(OR(O317&lt;&gt;"",W317&lt;&gt;""),1,0)</f>
        <v>3</v>
      </c>
      <c r="W317" s="29"/>
    </row>
    <row r="318" customFormat="false" ht="15" hidden="false" customHeight="false" outlineLevel="0" collapsed="false">
      <c r="A318" s="32" t="str">
        <f aca="false">IF(B318="","",ROW()-7)</f>
        <v/>
      </c>
      <c r="B318" s="30"/>
      <c r="C318" s="29"/>
      <c r="D318" s="29"/>
      <c r="E318" s="29"/>
      <c r="F318" s="30"/>
      <c r="G318" s="29"/>
      <c r="H318" s="30"/>
      <c r="I318" s="29"/>
      <c r="J318" s="30"/>
      <c r="K318" s="30"/>
      <c r="L318" s="29"/>
      <c r="M318" s="32" t="str">
        <f aca="false">IF(OR(C318="",L318=""),"",IF(C318=L318,"同一","変更"))</f>
        <v/>
      </c>
      <c r="N318" s="29"/>
      <c r="O318" s="30"/>
      <c r="P318" s="29"/>
      <c r="Q318" s="31"/>
      <c r="R318" s="29"/>
      <c r="S318" s="29"/>
      <c r="T318" s="30"/>
      <c r="U318" s="47" t="str">
        <f aca="false">IF(AND(B318&lt;&gt;"",B318=SW別シート!$C$3),COUNTIF(B$5:B318,B318),"")</f>
        <v/>
      </c>
      <c r="V318" s="47" t="n">
        <f aca="false">V317+IF(OR(O318&lt;&gt;"",W318&lt;&gt;""),1,0)</f>
        <v>3</v>
      </c>
      <c r="W318" s="29"/>
    </row>
    <row r="319" customFormat="false" ht="15" hidden="false" customHeight="false" outlineLevel="0" collapsed="false">
      <c r="A319" s="32" t="str">
        <f aca="false">IF(B319="","",ROW()-7)</f>
        <v/>
      </c>
      <c r="B319" s="30"/>
      <c r="C319" s="29"/>
      <c r="D319" s="29"/>
      <c r="E319" s="29"/>
      <c r="F319" s="30"/>
      <c r="G319" s="29"/>
      <c r="H319" s="30"/>
      <c r="I319" s="29"/>
      <c r="J319" s="30"/>
      <c r="K319" s="30"/>
      <c r="L319" s="29"/>
      <c r="M319" s="32" t="str">
        <f aca="false">IF(OR(C319="",L319=""),"",IF(C319=L319,"同一","変更"))</f>
        <v/>
      </c>
      <c r="N319" s="29"/>
      <c r="O319" s="30"/>
      <c r="P319" s="29"/>
      <c r="Q319" s="31"/>
      <c r="R319" s="29"/>
      <c r="S319" s="29"/>
      <c r="T319" s="30"/>
      <c r="U319" s="47" t="str">
        <f aca="false">IF(AND(B319&lt;&gt;"",B319=SW別シート!$C$3),COUNTIF(B$5:B319,B319),"")</f>
        <v/>
      </c>
      <c r="V319" s="47" t="n">
        <f aca="false">V318+IF(OR(O319&lt;&gt;"",W319&lt;&gt;""),1,0)</f>
        <v>3</v>
      </c>
      <c r="W319" s="29"/>
    </row>
    <row r="320" customFormat="false" ht="15" hidden="false" customHeight="false" outlineLevel="0" collapsed="false">
      <c r="A320" s="32" t="str">
        <f aca="false">IF(B320="","",ROW()-7)</f>
        <v/>
      </c>
      <c r="B320" s="30"/>
      <c r="C320" s="29"/>
      <c r="D320" s="29"/>
      <c r="E320" s="29"/>
      <c r="F320" s="30"/>
      <c r="G320" s="29"/>
      <c r="H320" s="30"/>
      <c r="I320" s="29"/>
      <c r="J320" s="30"/>
      <c r="K320" s="30"/>
      <c r="L320" s="29"/>
      <c r="M320" s="32" t="str">
        <f aca="false">IF(OR(C320="",L320=""),"",IF(C320=L320,"同一","変更"))</f>
        <v/>
      </c>
      <c r="N320" s="29"/>
      <c r="O320" s="30"/>
      <c r="P320" s="29"/>
      <c r="Q320" s="31"/>
      <c r="R320" s="29"/>
      <c r="S320" s="29"/>
      <c r="T320" s="30"/>
      <c r="U320" s="47" t="str">
        <f aca="false">IF(AND(B320&lt;&gt;"",B320=SW別シート!$C$3),COUNTIF(B$5:B320,B320),"")</f>
        <v/>
      </c>
      <c r="V320" s="47" t="n">
        <f aca="false">V319+IF(OR(O320&lt;&gt;"",W320&lt;&gt;""),1,0)</f>
        <v>3</v>
      </c>
      <c r="W320" s="29"/>
    </row>
    <row r="321" customFormat="false" ht="15" hidden="false" customHeight="false" outlineLevel="0" collapsed="false">
      <c r="A321" s="32" t="str">
        <f aca="false">IF(B321="","",ROW()-7)</f>
        <v/>
      </c>
      <c r="B321" s="30"/>
      <c r="C321" s="29"/>
      <c r="D321" s="29"/>
      <c r="E321" s="29"/>
      <c r="F321" s="30"/>
      <c r="G321" s="29"/>
      <c r="H321" s="30"/>
      <c r="I321" s="29"/>
      <c r="J321" s="30"/>
      <c r="K321" s="30"/>
      <c r="L321" s="29"/>
      <c r="M321" s="32" t="str">
        <f aca="false">IF(OR(C321="",L321=""),"",IF(C321=L321,"同一","変更"))</f>
        <v/>
      </c>
      <c r="N321" s="29"/>
      <c r="O321" s="30"/>
      <c r="P321" s="29"/>
      <c r="Q321" s="31"/>
      <c r="R321" s="29"/>
      <c r="S321" s="29"/>
      <c r="T321" s="30"/>
      <c r="U321" s="47" t="str">
        <f aca="false">IF(AND(B321&lt;&gt;"",B321=SW別シート!$C$3),COUNTIF(B$5:B321,B321),"")</f>
        <v/>
      </c>
      <c r="V321" s="47" t="n">
        <f aca="false">V320+IF(OR(O321&lt;&gt;"",W321&lt;&gt;""),1,0)</f>
        <v>3</v>
      </c>
      <c r="W321" s="29"/>
    </row>
    <row r="322" customFormat="false" ht="15" hidden="false" customHeight="false" outlineLevel="0" collapsed="false">
      <c r="A322" s="32" t="str">
        <f aca="false">IF(B322="","",ROW()-7)</f>
        <v/>
      </c>
      <c r="B322" s="30"/>
      <c r="C322" s="29"/>
      <c r="D322" s="29"/>
      <c r="E322" s="29"/>
      <c r="F322" s="30"/>
      <c r="G322" s="29"/>
      <c r="H322" s="30"/>
      <c r="I322" s="29"/>
      <c r="J322" s="30"/>
      <c r="K322" s="30"/>
      <c r="L322" s="29"/>
      <c r="M322" s="32" t="str">
        <f aca="false">IF(OR(C322="",L322=""),"",IF(C322=L322,"同一","変更"))</f>
        <v/>
      </c>
      <c r="N322" s="29"/>
      <c r="O322" s="30"/>
      <c r="P322" s="29"/>
      <c r="Q322" s="31"/>
      <c r="R322" s="29"/>
      <c r="S322" s="29"/>
      <c r="T322" s="30"/>
      <c r="U322" s="47" t="str">
        <f aca="false">IF(AND(B322&lt;&gt;"",B322=SW別シート!$C$3),COUNTIF(B$5:B322,B322),"")</f>
        <v/>
      </c>
      <c r="V322" s="47" t="n">
        <f aca="false">V321+IF(OR(O322&lt;&gt;"",W322&lt;&gt;""),1,0)</f>
        <v>3</v>
      </c>
      <c r="W322" s="29"/>
    </row>
    <row r="323" customFormat="false" ht="15" hidden="false" customHeight="false" outlineLevel="0" collapsed="false">
      <c r="A323" s="32" t="str">
        <f aca="false">IF(B323="","",ROW()-7)</f>
        <v/>
      </c>
      <c r="B323" s="30"/>
      <c r="C323" s="29"/>
      <c r="D323" s="29"/>
      <c r="E323" s="29"/>
      <c r="F323" s="30"/>
      <c r="G323" s="29"/>
      <c r="H323" s="30"/>
      <c r="I323" s="29"/>
      <c r="J323" s="30"/>
      <c r="K323" s="30"/>
      <c r="L323" s="29"/>
      <c r="M323" s="32" t="str">
        <f aca="false">IF(OR(C323="",L323=""),"",IF(C323=L323,"同一","変更"))</f>
        <v/>
      </c>
      <c r="N323" s="29"/>
      <c r="O323" s="30"/>
      <c r="P323" s="29"/>
      <c r="Q323" s="31"/>
      <c r="R323" s="29"/>
      <c r="S323" s="29"/>
      <c r="T323" s="30"/>
      <c r="U323" s="47" t="str">
        <f aca="false">IF(AND(B323&lt;&gt;"",B323=SW別シート!$C$3),COUNTIF(B$5:B323,B323),"")</f>
        <v/>
      </c>
      <c r="V323" s="47" t="n">
        <f aca="false">V322+IF(OR(O323&lt;&gt;"",W323&lt;&gt;""),1,0)</f>
        <v>3</v>
      </c>
      <c r="W323" s="29"/>
    </row>
    <row r="324" customFormat="false" ht="15" hidden="false" customHeight="false" outlineLevel="0" collapsed="false">
      <c r="A324" s="32" t="str">
        <f aca="false">IF(B324="","",ROW()-7)</f>
        <v/>
      </c>
      <c r="B324" s="30"/>
      <c r="C324" s="29"/>
      <c r="D324" s="29"/>
      <c r="E324" s="29"/>
      <c r="F324" s="30"/>
      <c r="G324" s="29"/>
      <c r="H324" s="30"/>
      <c r="I324" s="29"/>
      <c r="J324" s="30"/>
      <c r="K324" s="30"/>
      <c r="L324" s="29"/>
      <c r="M324" s="32" t="str">
        <f aca="false">IF(OR(C324="",L324=""),"",IF(C324=L324,"同一","変更"))</f>
        <v/>
      </c>
      <c r="N324" s="29"/>
      <c r="O324" s="30"/>
      <c r="P324" s="29"/>
      <c r="Q324" s="31"/>
      <c r="R324" s="29"/>
      <c r="S324" s="29"/>
      <c r="T324" s="30"/>
      <c r="U324" s="47" t="str">
        <f aca="false">IF(AND(B324&lt;&gt;"",B324=SW別シート!$C$3),COUNTIF(B$5:B324,B324),"")</f>
        <v/>
      </c>
      <c r="V324" s="47" t="n">
        <f aca="false">V323+IF(OR(O324&lt;&gt;"",W324&lt;&gt;""),1,0)</f>
        <v>3</v>
      </c>
      <c r="W324" s="29"/>
    </row>
    <row r="325" customFormat="false" ht="15" hidden="false" customHeight="false" outlineLevel="0" collapsed="false">
      <c r="A325" s="32" t="str">
        <f aca="false">IF(B325="","",ROW()-7)</f>
        <v/>
      </c>
      <c r="B325" s="30"/>
      <c r="C325" s="29"/>
      <c r="D325" s="29"/>
      <c r="E325" s="29"/>
      <c r="F325" s="30"/>
      <c r="G325" s="29"/>
      <c r="H325" s="30"/>
      <c r="I325" s="29"/>
      <c r="J325" s="30"/>
      <c r="K325" s="30"/>
      <c r="L325" s="29"/>
      <c r="M325" s="32" t="str">
        <f aca="false">IF(OR(C325="",L325=""),"",IF(C325=L325,"同一","変更"))</f>
        <v/>
      </c>
      <c r="N325" s="29"/>
      <c r="O325" s="30"/>
      <c r="P325" s="29"/>
      <c r="Q325" s="31"/>
      <c r="R325" s="29"/>
      <c r="S325" s="29"/>
      <c r="T325" s="30"/>
      <c r="U325" s="47" t="str">
        <f aca="false">IF(AND(B325&lt;&gt;"",B325=SW別シート!$C$3),COUNTIF(B$5:B325,B325),"")</f>
        <v/>
      </c>
      <c r="V325" s="47" t="n">
        <f aca="false">V324+IF(OR(O325&lt;&gt;"",W325&lt;&gt;""),1,0)</f>
        <v>3</v>
      </c>
      <c r="W325" s="29"/>
    </row>
    <row r="326" customFormat="false" ht="15" hidden="false" customHeight="false" outlineLevel="0" collapsed="false">
      <c r="A326" s="32" t="str">
        <f aca="false">IF(B326="","",ROW()-7)</f>
        <v/>
      </c>
      <c r="B326" s="30"/>
      <c r="C326" s="29"/>
      <c r="D326" s="29"/>
      <c r="E326" s="29"/>
      <c r="F326" s="30"/>
      <c r="G326" s="29"/>
      <c r="H326" s="30"/>
      <c r="I326" s="29"/>
      <c r="J326" s="30"/>
      <c r="K326" s="30"/>
      <c r="L326" s="29"/>
      <c r="M326" s="32" t="str">
        <f aca="false">IF(OR(C326="",L326=""),"",IF(C326=L326,"同一","変更"))</f>
        <v/>
      </c>
      <c r="N326" s="29"/>
      <c r="O326" s="30"/>
      <c r="P326" s="29"/>
      <c r="Q326" s="31"/>
      <c r="R326" s="29"/>
      <c r="S326" s="29"/>
      <c r="T326" s="30"/>
      <c r="U326" s="47" t="str">
        <f aca="false">IF(AND(B326&lt;&gt;"",B326=SW別シート!$C$3),COUNTIF(B$5:B326,B326),"")</f>
        <v/>
      </c>
      <c r="V326" s="47" t="n">
        <f aca="false">V325+IF(OR(O326&lt;&gt;"",W326&lt;&gt;""),1,0)</f>
        <v>3</v>
      </c>
      <c r="W326" s="29"/>
    </row>
    <row r="327" customFormat="false" ht="15" hidden="false" customHeight="false" outlineLevel="0" collapsed="false">
      <c r="A327" s="32" t="str">
        <f aca="false">IF(B327="","",ROW()-7)</f>
        <v/>
      </c>
      <c r="B327" s="30"/>
      <c r="C327" s="29"/>
      <c r="D327" s="29"/>
      <c r="E327" s="29"/>
      <c r="F327" s="30"/>
      <c r="G327" s="29"/>
      <c r="H327" s="30"/>
      <c r="I327" s="29"/>
      <c r="J327" s="30"/>
      <c r="K327" s="30"/>
      <c r="L327" s="29"/>
      <c r="M327" s="32" t="str">
        <f aca="false">IF(OR(C327="",L327=""),"",IF(C327=L327,"同一","変更"))</f>
        <v/>
      </c>
      <c r="N327" s="29"/>
      <c r="O327" s="30"/>
      <c r="P327" s="29"/>
      <c r="Q327" s="31"/>
      <c r="R327" s="29"/>
      <c r="S327" s="29"/>
      <c r="T327" s="30"/>
      <c r="U327" s="47" t="str">
        <f aca="false">IF(AND(B327&lt;&gt;"",B327=SW別シート!$C$3),COUNTIF(B$5:B327,B327),"")</f>
        <v/>
      </c>
      <c r="V327" s="47" t="n">
        <f aca="false">V326+IF(OR(O327&lt;&gt;"",W327&lt;&gt;""),1,0)</f>
        <v>3</v>
      </c>
      <c r="W327" s="29"/>
    </row>
    <row r="328" customFormat="false" ht="15" hidden="false" customHeight="false" outlineLevel="0" collapsed="false">
      <c r="A328" s="32" t="str">
        <f aca="false">IF(B328="","",ROW()-7)</f>
        <v/>
      </c>
      <c r="B328" s="30"/>
      <c r="C328" s="29"/>
      <c r="D328" s="29"/>
      <c r="E328" s="29"/>
      <c r="F328" s="30"/>
      <c r="G328" s="29"/>
      <c r="H328" s="30"/>
      <c r="I328" s="29"/>
      <c r="J328" s="30"/>
      <c r="K328" s="30"/>
      <c r="L328" s="29"/>
      <c r="M328" s="32" t="str">
        <f aca="false">IF(OR(C328="",L328=""),"",IF(C328=L328,"同一","変更"))</f>
        <v/>
      </c>
      <c r="N328" s="29"/>
      <c r="O328" s="30"/>
      <c r="P328" s="29"/>
      <c r="Q328" s="31"/>
      <c r="R328" s="29"/>
      <c r="S328" s="29"/>
      <c r="T328" s="30"/>
      <c r="U328" s="47" t="str">
        <f aca="false">IF(AND(B328&lt;&gt;"",B328=SW別シート!$C$3),COUNTIF(B$5:B328,B328),"")</f>
        <v/>
      </c>
      <c r="V328" s="47" t="n">
        <f aca="false">V327+IF(OR(O328&lt;&gt;"",W328&lt;&gt;""),1,0)</f>
        <v>3</v>
      </c>
      <c r="W328" s="29"/>
    </row>
    <row r="329" customFormat="false" ht="15" hidden="false" customHeight="false" outlineLevel="0" collapsed="false">
      <c r="A329" s="32" t="str">
        <f aca="false">IF(B329="","",ROW()-7)</f>
        <v/>
      </c>
      <c r="B329" s="30"/>
      <c r="C329" s="29"/>
      <c r="D329" s="29"/>
      <c r="E329" s="29"/>
      <c r="F329" s="30"/>
      <c r="G329" s="29"/>
      <c r="H329" s="30"/>
      <c r="I329" s="29"/>
      <c r="J329" s="30"/>
      <c r="K329" s="30"/>
      <c r="L329" s="29"/>
      <c r="M329" s="32" t="str">
        <f aca="false">IF(OR(C329="",L329=""),"",IF(C329=L329,"同一","変更"))</f>
        <v/>
      </c>
      <c r="N329" s="29"/>
      <c r="O329" s="30"/>
      <c r="P329" s="29"/>
      <c r="Q329" s="31"/>
      <c r="R329" s="29"/>
      <c r="S329" s="29"/>
      <c r="T329" s="30"/>
      <c r="U329" s="47" t="str">
        <f aca="false">IF(AND(B329&lt;&gt;"",B329=SW別シート!$C$3),COUNTIF(B$5:B329,B329),"")</f>
        <v/>
      </c>
      <c r="V329" s="47" t="n">
        <f aca="false">V328+IF(OR(O329&lt;&gt;"",W329&lt;&gt;""),1,0)</f>
        <v>3</v>
      </c>
      <c r="W329" s="29"/>
    </row>
    <row r="330" customFormat="false" ht="15" hidden="false" customHeight="false" outlineLevel="0" collapsed="false">
      <c r="A330" s="32" t="str">
        <f aca="false">IF(B330="","",ROW()-7)</f>
        <v/>
      </c>
      <c r="B330" s="30"/>
      <c r="C330" s="29"/>
      <c r="D330" s="29"/>
      <c r="E330" s="29"/>
      <c r="F330" s="30"/>
      <c r="G330" s="29"/>
      <c r="H330" s="30"/>
      <c r="I330" s="29"/>
      <c r="J330" s="30"/>
      <c r="K330" s="30"/>
      <c r="L330" s="29"/>
      <c r="M330" s="32" t="str">
        <f aca="false">IF(OR(C330="",L330=""),"",IF(C330=L330,"同一","変更"))</f>
        <v/>
      </c>
      <c r="N330" s="29"/>
      <c r="O330" s="30"/>
      <c r="P330" s="29"/>
      <c r="Q330" s="31"/>
      <c r="R330" s="29"/>
      <c r="S330" s="29"/>
      <c r="T330" s="30"/>
      <c r="U330" s="47" t="str">
        <f aca="false">IF(AND(B330&lt;&gt;"",B330=SW別シート!$C$3),COUNTIF(B$5:B330,B330),"")</f>
        <v/>
      </c>
      <c r="V330" s="47" t="n">
        <f aca="false">V329+IF(OR(O330&lt;&gt;"",W330&lt;&gt;""),1,0)</f>
        <v>3</v>
      </c>
      <c r="W330" s="29"/>
    </row>
    <row r="331" customFormat="false" ht="15" hidden="false" customHeight="false" outlineLevel="0" collapsed="false">
      <c r="A331" s="32" t="str">
        <f aca="false">IF(B331="","",ROW()-7)</f>
        <v/>
      </c>
      <c r="B331" s="30"/>
      <c r="C331" s="29"/>
      <c r="D331" s="29"/>
      <c r="E331" s="29"/>
      <c r="F331" s="30"/>
      <c r="G331" s="29"/>
      <c r="H331" s="30"/>
      <c r="I331" s="29"/>
      <c r="J331" s="30"/>
      <c r="K331" s="30"/>
      <c r="L331" s="29"/>
      <c r="M331" s="32" t="str">
        <f aca="false">IF(OR(C331="",L331=""),"",IF(C331=L331,"同一","変更"))</f>
        <v/>
      </c>
      <c r="N331" s="29"/>
      <c r="O331" s="30"/>
      <c r="P331" s="29"/>
      <c r="Q331" s="31"/>
      <c r="R331" s="29"/>
      <c r="S331" s="29"/>
      <c r="T331" s="30"/>
      <c r="U331" s="47" t="str">
        <f aca="false">IF(AND(B331&lt;&gt;"",B331=SW別シート!$C$3),COUNTIF(B$5:B331,B331),"")</f>
        <v/>
      </c>
      <c r="V331" s="47" t="n">
        <f aca="false">V330+IF(OR(O331&lt;&gt;"",W331&lt;&gt;""),1,0)</f>
        <v>3</v>
      </c>
      <c r="W331" s="29"/>
    </row>
    <row r="332" customFormat="false" ht="15" hidden="false" customHeight="false" outlineLevel="0" collapsed="false">
      <c r="A332" s="32" t="str">
        <f aca="false">IF(B332="","",ROW()-7)</f>
        <v/>
      </c>
      <c r="B332" s="30"/>
      <c r="C332" s="29"/>
      <c r="D332" s="29"/>
      <c r="E332" s="29"/>
      <c r="F332" s="30"/>
      <c r="G332" s="29"/>
      <c r="H332" s="30"/>
      <c r="I332" s="29"/>
      <c r="J332" s="30"/>
      <c r="K332" s="30"/>
      <c r="L332" s="29"/>
      <c r="M332" s="32" t="str">
        <f aca="false">IF(OR(C332="",L332=""),"",IF(C332=L332,"同一","変更"))</f>
        <v/>
      </c>
      <c r="N332" s="29"/>
      <c r="O332" s="30"/>
      <c r="P332" s="29"/>
      <c r="Q332" s="31"/>
      <c r="R332" s="29"/>
      <c r="S332" s="29"/>
      <c r="T332" s="30"/>
      <c r="U332" s="47" t="str">
        <f aca="false">IF(AND(B332&lt;&gt;"",B332=SW別シート!$C$3),COUNTIF(B$5:B332,B332),"")</f>
        <v/>
      </c>
      <c r="V332" s="47" t="n">
        <f aca="false">V331+IF(OR(O332&lt;&gt;"",W332&lt;&gt;""),1,0)</f>
        <v>3</v>
      </c>
      <c r="W332" s="29"/>
    </row>
    <row r="333" customFormat="false" ht="15" hidden="false" customHeight="false" outlineLevel="0" collapsed="false">
      <c r="A333" s="32" t="str">
        <f aca="false">IF(B333="","",ROW()-7)</f>
        <v/>
      </c>
      <c r="B333" s="30"/>
      <c r="C333" s="29"/>
      <c r="D333" s="29"/>
      <c r="E333" s="29"/>
      <c r="F333" s="30"/>
      <c r="G333" s="29"/>
      <c r="H333" s="30"/>
      <c r="I333" s="29"/>
      <c r="J333" s="30"/>
      <c r="K333" s="30"/>
      <c r="L333" s="29"/>
      <c r="M333" s="32" t="str">
        <f aca="false">IF(OR(C333="",L333=""),"",IF(C333=L333,"同一","変更"))</f>
        <v/>
      </c>
      <c r="N333" s="29"/>
      <c r="O333" s="30"/>
      <c r="P333" s="29"/>
      <c r="Q333" s="31"/>
      <c r="R333" s="29"/>
      <c r="S333" s="29"/>
      <c r="T333" s="30"/>
      <c r="U333" s="47" t="str">
        <f aca="false">IF(AND(B333&lt;&gt;"",B333=SW別シート!$C$3),COUNTIF(B$5:B333,B333),"")</f>
        <v/>
      </c>
      <c r="V333" s="47" t="n">
        <f aca="false">V332+IF(OR(O333&lt;&gt;"",W333&lt;&gt;""),1,0)</f>
        <v>3</v>
      </c>
      <c r="W333" s="29"/>
    </row>
    <row r="334" customFormat="false" ht="15" hidden="false" customHeight="false" outlineLevel="0" collapsed="false">
      <c r="A334" s="32" t="str">
        <f aca="false">IF(B334="","",ROW()-7)</f>
        <v/>
      </c>
      <c r="B334" s="30"/>
      <c r="C334" s="29"/>
      <c r="D334" s="29"/>
      <c r="E334" s="29"/>
      <c r="F334" s="30"/>
      <c r="G334" s="29"/>
      <c r="H334" s="30"/>
      <c r="I334" s="29"/>
      <c r="J334" s="30"/>
      <c r="K334" s="30"/>
      <c r="L334" s="29"/>
      <c r="M334" s="32" t="str">
        <f aca="false">IF(OR(C334="",L334=""),"",IF(C334=L334,"同一","変更"))</f>
        <v/>
      </c>
      <c r="N334" s="29"/>
      <c r="O334" s="30"/>
      <c r="P334" s="29"/>
      <c r="Q334" s="31"/>
      <c r="R334" s="29"/>
      <c r="S334" s="29"/>
      <c r="T334" s="30"/>
      <c r="U334" s="47" t="str">
        <f aca="false">IF(AND(B334&lt;&gt;"",B334=SW別シート!$C$3),COUNTIF(B$5:B334,B334),"")</f>
        <v/>
      </c>
      <c r="V334" s="47" t="n">
        <f aca="false">V333+IF(OR(O334&lt;&gt;"",W334&lt;&gt;""),1,0)</f>
        <v>3</v>
      </c>
      <c r="W334" s="29"/>
    </row>
    <row r="335" customFormat="false" ht="15" hidden="false" customHeight="false" outlineLevel="0" collapsed="false">
      <c r="A335" s="32" t="str">
        <f aca="false">IF(B335="","",ROW()-7)</f>
        <v/>
      </c>
      <c r="B335" s="30"/>
      <c r="C335" s="29"/>
      <c r="D335" s="29"/>
      <c r="E335" s="29"/>
      <c r="F335" s="30"/>
      <c r="G335" s="29"/>
      <c r="H335" s="30"/>
      <c r="I335" s="29"/>
      <c r="J335" s="30"/>
      <c r="K335" s="30"/>
      <c r="L335" s="29"/>
      <c r="M335" s="32" t="str">
        <f aca="false">IF(OR(C335="",L335=""),"",IF(C335=L335,"同一","変更"))</f>
        <v/>
      </c>
      <c r="N335" s="29"/>
      <c r="O335" s="30"/>
      <c r="P335" s="29"/>
      <c r="Q335" s="31"/>
      <c r="R335" s="29"/>
      <c r="S335" s="29"/>
      <c r="T335" s="30"/>
      <c r="U335" s="47" t="str">
        <f aca="false">IF(AND(B335&lt;&gt;"",B335=SW別シート!$C$3),COUNTIF(B$5:B335,B335),"")</f>
        <v/>
      </c>
      <c r="V335" s="47" t="n">
        <f aca="false">V334+IF(OR(O335&lt;&gt;"",W335&lt;&gt;""),1,0)</f>
        <v>3</v>
      </c>
      <c r="W335" s="29"/>
    </row>
    <row r="336" customFormat="false" ht="15" hidden="false" customHeight="false" outlineLevel="0" collapsed="false">
      <c r="A336" s="32" t="str">
        <f aca="false">IF(B336="","",ROW()-7)</f>
        <v/>
      </c>
      <c r="B336" s="30"/>
      <c r="C336" s="29"/>
      <c r="D336" s="29"/>
      <c r="E336" s="29"/>
      <c r="F336" s="30"/>
      <c r="G336" s="29"/>
      <c r="H336" s="30"/>
      <c r="I336" s="29"/>
      <c r="J336" s="30"/>
      <c r="K336" s="30"/>
      <c r="L336" s="29"/>
      <c r="M336" s="32" t="str">
        <f aca="false">IF(OR(C336="",L336=""),"",IF(C336=L336,"同一","変更"))</f>
        <v/>
      </c>
      <c r="N336" s="29"/>
      <c r="O336" s="30"/>
      <c r="P336" s="29"/>
      <c r="Q336" s="31"/>
      <c r="R336" s="29"/>
      <c r="S336" s="29"/>
      <c r="T336" s="30"/>
      <c r="U336" s="47" t="str">
        <f aca="false">IF(AND(B336&lt;&gt;"",B336=SW別シート!$C$3),COUNTIF(B$5:B336,B336),"")</f>
        <v/>
      </c>
      <c r="V336" s="47" t="n">
        <f aca="false">V335+IF(OR(O336&lt;&gt;"",W336&lt;&gt;""),1,0)</f>
        <v>3</v>
      </c>
      <c r="W336" s="29"/>
    </row>
    <row r="337" customFormat="false" ht="15" hidden="false" customHeight="false" outlineLevel="0" collapsed="false">
      <c r="A337" s="32" t="str">
        <f aca="false">IF(B337="","",ROW()-7)</f>
        <v/>
      </c>
      <c r="B337" s="30"/>
      <c r="C337" s="29"/>
      <c r="D337" s="29"/>
      <c r="E337" s="29"/>
      <c r="F337" s="30"/>
      <c r="G337" s="29"/>
      <c r="H337" s="30"/>
      <c r="I337" s="29"/>
      <c r="J337" s="30"/>
      <c r="K337" s="30"/>
      <c r="L337" s="29"/>
      <c r="M337" s="32" t="str">
        <f aca="false">IF(OR(C337="",L337=""),"",IF(C337=L337,"同一","変更"))</f>
        <v/>
      </c>
      <c r="N337" s="29"/>
      <c r="O337" s="30"/>
      <c r="P337" s="29"/>
      <c r="Q337" s="31"/>
      <c r="R337" s="29"/>
      <c r="S337" s="29"/>
      <c r="T337" s="30"/>
      <c r="U337" s="47" t="str">
        <f aca="false">IF(AND(B337&lt;&gt;"",B337=SW別シート!$C$3),COUNTIF(B$5:B337,B337),"")</f>
        <v/>
      </c>
      <c r="V337" s="47" t="n">
        <f aca="false">V336+IF(OR(O337&lt;&gt;"",W337&lt;&gt;""),1,0)</f>
        <v>3</v>
      </c>
      <c r="W337" s="29"/>
    </row>
    <row r="338" customFormat="false" ht="15" hidden="false" customHeight="false" outlineLevel="0" collapsed="false">
      <c r="A338" s="32" t="str">
        <f aca="false">IF(B338="","",ROW()-7)</f>
        <v/>
      </c>
      <c r="B338" s="30"/>
      <c r="C338" s="29"/>
      <c r="D338" s="29"/>
      <c r="E338" s="29"/>
      <c r="F338" s="30"/>
      <c r="G338" s="29"/>
      <c r="H338" s="30"/>
      <c r="I338" s="29"/>
      <c r="J338" s="30"/>
      <c r="K338" s="30"/>
      <c r="L338" s="29"/>
      <c r="M338" s="32" t="str">
        <f aca="false">IF(OR(C338="",L338=""),"",IF(C338=L338,"同一","変更"))</f>
        <v/>
      </c>
      <c r="N338" s="29"/>
      <c r="O338" s="30"/>
      <c r="P338" s="29"/>
      <c r="Q338" s="31"/>
      <c r="R338" s="29"/>
      <c r="S338" s="29"/>
      <c r="T338" s="30"/>
      <c r="U338" s="47" t="str">
        <f aca="false">IF(AND(B338&lt;&gt;"",B338=SW別シート!$C$3),COUNTIF(B$5:B338,B338),"")</f>
        <v/>
      </c>
      <c r="V338" s="47" t="n">
        <f aca="false">V337+IF(OR(O338&lt;&gt;"",W338&lt;&gt;""),1,0)</f>
        <v>3</v>
      </c>
      <c r="W338" s="29"/>
    </row>
    <row r="339" customFormat="false" ht="15" hidden="false" customHeight="false" outlineLevel="0" collapsed="false">
      <c r="A339" s="32" t="str">
        <f aca="false">IF(B339="","",ROW()-7)</f>
        <v/>
      </c>
      <c r="B339" s="30"/>
      <c r="C339" s="29"/>
      <c r="D339" s="29"/>
      <c r="E339" s="29"/>
      <c r="F339" s="30"/>
      <c r="G339" s="29"/>
      <c r="H339" s="30"/>
      <c r="I339" s="29"/>
      <c r="J339" s="30"/>
      <c r="K339" s="30"/>
      <c r="L339" s="29"/>
      <c r="M339" s="32" t="str">
        <f aca="false">IF(OR(C339="",L339=""),"",IF(C339=L339,"同一","変更"))</f>
        <v/>
      </c>
      <c r="N339" s="29"/>
      <c r="O339" s="30"/>
      <c r="P339" s="29"/>
      <c r="Q339" s="31"/>
      <c r="R339" s="29"/>
      <c r="S339" s="29"/>
      <c r="T339" s="30"/>
      <c r="U339" s="47" t="str">
        <f aca="false">IF(AND(B339&lt;&gt;"",B339=SW別シート!$C$3),COUNTIF(B$5:B339,B339),"")</f>
        <v/>
      </c>
      <c r="V339" s="47" t="n">
        <f aca="false">V338+IF(OR(O339&lt;&gt;"",W339&lt;&gt;""),1,0)</f>
        <v>3</v>
      </c>
      <c r="W339" s="29"/>
    </row>
    <row r="340" customFormat="false" ht="15" hidden="false" customHeight="false" outlineLevel="0" collapsed="false">
      <c r="A340" s="32" t="str">
        <f aca="false">IF(B340="","",ROW()-7)</f>
        <v/>
      </c>
      <c r="B340" s="30"/>
      <c r="C340" s="29"/>
      <c r="D340" s="29"/>
      <c r="E340" s="29"/>
      <c r="F340" s="30"/>
      <c r="G340" s="29"/>
      <c r="H340" s="30"/>
      <c r="I340" s="29"/>
      <c r="J340" s="30"/>
      <c r="K340" s="30"/>
      <c r="L340" s="29"/>
      <c r="M340" s="32" t="str">
        <f aca="false">IF(OR(C340="",L340=""),"",IF(C340=L340,"同一","変更"))</f>
        <v/>
      </c>
      <c r="N340" s="29"/>
      <c r="O340" s="30"/>
      <c r="P340" s="29"/>
      <c r="Q340" s="31"/>
      <c r="R340" s="29"/>
      <c r="S340" s="29"/>
      <c r="T340" s="30"/>
      <c r="U340" s="47" t="str">
        <f aca="false">IF(AND(B340&lt;&gt;"",B340=SW別シート!$C$3),COUNTIF(B$5:B340,B340),"")</f>
        <v/>
      </c>
      <c r="V340" s="47" t="n">
        <f aca="false">V339+IF(OR(O340&lt;&gt;"",W340&lt;&gt;""),1,0)</f>
        <v>3</v>
      </c>
      <c r="W340" s="29"/>
    </row>
    <row r="341" customFormat="false" ht="15" hidden="false" customHeight="false" outlineLevel="0" collapsed="false">
      <c r="A341" s="32" t="str">
        <f aca="false">IF(B341="","",ROW()-7)</f>
        <v/>
      </c>
      <c r="B341" s="30"/>
      <c r="C341" s="29"/>
      <c r="D341" s="29"/>
      <c r="E341" s="29"/>
      <c r="F341" s="30"/>
      <c r="G341" s="29"/>
      <c r="H341" s="30"/>
      <c r="I341" s="29"/>
      <c r="J341" s="30"/>
      <c r="K341" s="30"/>
      <c r="L341" s="29"/>
      <c r="M341" s="32" t="str">
        <f aca="false">IF(OR(C341="",L341=""),"",IF(C341=L341,"同一","変更"))</f>
        <v/>
      </c>
      <c r="N341" s="29"/>
      <c r="O341" s="30"/>
      <c r="P341" s="29"/>
      <c r="Q341" s="31"/>
      <c r="R341" s="29"/>
      <c r="S341" s="29"/>
      <c r="T341" s="30"/>
      <c r="U341" s="47" t="str">
        <f aca="false">IF(AND(B341&lt;&gt;"",B341=SW別シート!$C$3),COUNTIF(B$5:B341,B341),"")</f>
        <v/>
      </c>
      <c r="V341" s="47" t="n">
        <f aca="false">V340+IF(OR(O341&lt;&gt;"",W341&lt;&gt;""),1,0)</f>
        <v>3</v>
      </c>
      <c r="W341" s="29"/>
    </row>
    <row r="342" customFormat="false" ht="15" hidden="false" customHeight="false" outlineLevel="0" collapsed="false">
      <c r="A342" s="32" t="str">
        <f aca="false">IF(B342="","",ROW()-7)</f>
        <v/>
      </c>
      <c r="B342" s="30"/>
      <c r="C342" s="29"/>
      <c r="D342" s="29"/>
      <c r="E342" s="29"/>
      <c r="F342" s="30"/>
      <c r="G342" s="29"/>
      <c r="H342" s="30"/>
      <c r="I342" s="29"/>
      <c r="J342" s="30"/>
      <c r="K342" s="30"/>
      <c r="L342" s="29"/>
      <c r="M342" s="32" t="str">
        <f aca="false">IF(OR(C342="",L342=""),"",IF(C342=L342,"同一","変更"))</f>
        <v/>
      </c>
      <c r="N342" s="29"/>
      <c r="O342" s="30"/>
      <c r="P342" s="29"/>
      <c r="Q342" s="31"/>
      <c r="R342" s="29"/>
      <c r="S342" s="29"/>
      <c r="T342" s="30"/>
      <c r="U342" s="47" t="str">
        <f aca="false">IF(AND(B342&lt;&gt;"",B342=SW別シート!$C$3),COUNTIF(B$5:B342,B342),"")</f>
        <v/>
      </c>
      <c r="V342" s="47" t="n">
        <f aca="false">V341+IF(OR(O342&lt;&gt;"",W342&lt;&gt;""),1,0)</f>
        <v>3</v>
      </c>
      <c r="W342" s="29"/>
    </row>
    <row r="343" customFormat="false" ht="15" hidden="false" customHeight="false" outlineLevel="0" collapsed="false">
      <c r="A343" s="32" t="str">
        <f aca="false">IF(B343="","",ROW()-7)</f>
        <v/>
      </c>
      <c r="B343" s="30"/>
      <c r="C343" s="29"/>
      <c r="D343" s="29"/>
      <c r="E343" s="29"/>
      <c r="F343" s="30"/>
      <c r="G343" s="29"/>
      <c r="H343" s="30"/>
      <c r="I343" s="29"/>
      <c r="J343" s="30"/>
      <c r="K343" s="30"/>
      <c r="L343" s="29"/>
      <c r="M343" s="32" t="str">
        <f aca="false">IF(OR(C343="",L343=""),"",IF(C343=L343,"同一","変更"))</f>
        <v/>
      </c>
      <c r="N343" s="29"/>
      <c r="O343" s="30"/>
      <c r="P343" s="29"/>
      <c r="Q343" s="31"/>
      <c r="R343" s="29"/>
      <c r="S343" s="29"/>
      <c r="T343" s="30"/>
      <c r="U343" s="47" t="str">
        <f aca="false">IF(AND(B343&lt;&gt;"",B343=SW別シート!$C$3),COUNTIF(B$5:B343,B343),"")</f>
        <v/>
      </c>
      <c r="V343" s="47" t="n">
        <f aca="false">V342+IF(OR(O343&lt;&gt;"",W343&lt;&gt;""),1,0)</f>
        <v>3</v>
      </c>
      <c r="W343" s="29"/>
    </row>
    <row r="344" customFormat="false" ht="15" hidden="false" customHeight="false" outlineLevel="0" collapsed="false">
      <c r="A344" s="32" t="str">
        <f aca="false">IF(B344="","",ROW()-7)</f>
        <v/>
      </c>
      <c r="B344" s="30"/>
      <c r="C344" s="29"/>
      <c r="D344" s="29"/>
      <c r="E344" s="29"/>
      <c r="F344" s="30"/>
      <c r="G344" s="29"/>
      <c r="H344" s="30"/>
      <c r="I344" s="29"/>
      <c r="J344" s="30"/>
      <c r="K344" s="30"/>
      <c r="L344" s="29"/>
      <c r="M344" s="32" t="str">
        <f aca="false">IF(OR(C344="",L344=""),"",IF(C344=L344,"同一","変更"))</f>
        <v/>
      </c>
      <c r="N344" s="29"/>
      <c r="O344" s="30"/>
      <c r="P344" s="29"/>
      <c r="Q344" s="31"/>
      <c r="R344" s="29"/>
      <c r="S344" s="29"/>
      <c r="T344" s="30"/>
      <c r="U344" s="47" t="str">
        <f aca="false">IF(AND(B344&lt;&gt;"",B344=SW別シート!$C$3),COUNTIF(B$5:B344,B344),"")</f>
        <v/>
      </c>
      <c r="V344" s="47" t="n">
        <f aca="false">V343+IF(OR(O344&lt;&gt;"",W344&lt;&gt;""),1,0)</f>
        <v>3</v>
      </c>
      <c r="W344" s="29"/>
    </row>
    <row r="345" customFormat="false" ht="15" hidden="false" customHeight="false" outlineLevel="0" collapsed="false">
      <c r="A345" s="32" t="str">
        <f aca="false">IF(B345="","",ROW()-7)</f>
        <v/>
      </c>
      <c r="B345" s="30"/>
      <c r="C345" s="29"/>
      <c r="D345" s="29"/>
      <c r="E345" s="29"/>
      <c r="F345" s="30"/>
      <c r="G345" s="29"/>
      <c r="H345" s="30"/>
      <c r="I345" s="29"/>
      <c r="J345" s="30"/>
      <c r="K345" s="30"/>
      <c r="L345" s="29"/>
      <c r="M345" s="32" t="str">
        <f aca="false">IF(OR(C345="",L345=""),"",IF(C345=L345,"同一","変更"))</f>
        <v/>
      </c>
      <c r="N345" s="29"/>
      <c r="O345" s="30"/>
      <c r="P345" s="29"/>
      <c r="Q345" s="31"/>
      <c r="R345" s="29"/>
      <c r="S345" s="29"/>
      <c r="T345" s="30"/>
      <c r="U345" s="47" t="str">
        <f aca="false">IF(AND(B345&lt;&gt;"",B345=SW別シート!$C$3),COUNTIF(B$5:B345,B345),"")</f>
        <v/>
      </c>
      <c r="V345" s="47" t="n">
        <f aca="false">V344+IF(OR(O345&lt;&gt;"",W345&lt;&gt;""),1,0)</f>
        <v>3</v>
      </c>
      <c r="W345" s="29"/>
    </row>
    <row r="346" customFormat="false" ht="15" hidden="false" customHeight="false" outlineLevel="0" collapsed="false">
      <c r="A346" s="32" t="str">
        <f aca="false">IF(B346="","",ROW()-7)</f>
        <v/>
      </c>
      <c r="B346" s="30"/>
      <c r="C346" s="29"/>
      <c r="D346" s="29"/>
      <c r="E346" s="29"/>
      <c r="F346" s="30"/>
      <c r="G346" s="29"/>
      <c r="H346" s="30"/>
      <c r="I346" s="29"/>
      <c r="J346" s="30"/>
      <c r="K346" s="30"/>
      <c r="L346" s="29"/>
      <c r="M346" s="32" t="str">
        <f aca="false">IF(OR(C346="",L346=""),"",IF(C346=L346,"同一","変更"))</f>
        <v/>
      </c>
      <c r="N346" s="29"/>
      <c r="O346" s="30"/>
      <c r="P346" s="29"/>
      <c r="Q346" s="31"/>
      <c r="R346" s="29"/>
      <c r="S346" s="29"/>
      <c r="T346" s="30"/>
      <c r="U346" s="47" t="str">
        <f aca="false">IF(AND(B346&lt;&gt;"",B346=SW別シート!$C$3),COUNTIF(B$5:B346,B346),"")</f>
        <v/>
      </c>
      <c r="V346" s="47" t="n">
        <f aca="false">V345+IF(OR(O346&lt;&gt;"",W346&lt;&gt;""),1,0)</f>
        <v>3</v>
      </c>
      <c r="W346" s="29"/>
    </row>
    <row r="347" customFormat="false" ht="15" hidden="false" customHeight="false" outlineLevel="0" collapsed="false">
      <c r="A347" s="32" t="str">
        <f aca="false">IF(B347="","",ROW()-7)</f>
        <v/>
      </c>
      <c r="B347" s="30"/>
      <c r="C347" s="29"/>
      <c r="D347" s="29"/>
      <c r="E347" s="29"/>
      <c r="F347" s="30"/>
      <c r="G347" s="29"/>
      <c r="H347" s="30"/>
      <c r="I347" s="29"/>
      <c r="J347" s="30"/>
      <c r="K347" s="30"/>
      <c r="L347" s="29"/>
      <c r="M347" s="32" t="str">
        <f aca="false">IF(OR(C347="",L347=""),"",IF(C347=L347,"同一","変更"))</f>
        <v/>
      </c>
      <c r="N347" s="29"/>
      <c r="O347" s="30"/>
      <c r="P347" s="29"/>
      <c r="Q347" s="31"/>
      <c r="R347" s="29"/>
      <c r="S347" s="29"/>
      <c r="T347" s="30"/>
      <c r="U347" s="47" t="str">
        <f aca="false">IF(AND(B347&lt;&gt;"",B347=SW別シート!$C$3),COUNTIF(B$5:B347,B347),"")</f>
        <v/>
      </c>
      <c r="V347" s="47" t="n">
        <f aca="false">V346+IF(OR(O347&lt;&gt;"",W347&lt;&gt;""),1,0)</f>
        <v>3</v>
      </c>
      <c r="W347" s="29"/>
    </row>
    <row r="348" customFormat="false" ht="15" hidden="false" customHeight="false" outlineLevel="0" collapsed="false">
      <c r="A348" s="32" t="str">
        <f aca="false">IF(B348="","",ROW()-7)</f>
        <v/>
      </c>
      <c r="B348" s="30"/>
      <c r="C348" s="29"/>
      <c r="D348" s="29"/>
      <c r="E348" s="29"/>
      <c r="F348" s="30"/>
      <c r="G348" s="29"/>
      <c r="H348" s="30"/>
      <c r="I348" s="29"/>
      <c r="J348" s="30"/>
      <c r="K348" s="30"/>
      <c r="L348" s="29"/>
      <c r="M348" s="32" t="str">
        <f aca="false">IF(OR(C348="",L348=""),"",IF(C348=L348,"同一","変更"))</f>
        <v/>
      </c>
      <c r="N348" s="29"/>
      <c r="O348" s="30"/>
      <c r="P348" s="29"/>
      <c r="Q348" s="31"/>
      <c r="R348" s="29"/>
      <c r="S348" s="29"/>
      <c r="T348" s="30"/>
      <c r="U348" s="47" t="str">
        <f aca="false">IF(AND(B348&lt;&gt;"",B348=SW別シート!$C$3),COUNTIF(B$5:B348,B348),"")</f>
        <v/>
      </c>
      <c r="V348" s="47" t="n">
        <f aca="false">V347+IF(OR(O348&lt;&gt;"",W348&lt;&gt;""),1,0)</f>
        <v>3</v>
      </c>
      <c r="W348" s="29"/>
    </row>
    <row r="349" customFormat="false" ht="15" hidden="false" customHeight="false" outlineLevel="0" collapsed="false">
      <c r="A349" s="32" t="str">
        <f aca="false">IF(B349="","",ROW()-7)</f>
        <v/>
      </c>
      <c r="B349" s="30"/>
      <c r="C349" s="29"/>
      <c r="D349" s="29"/>
      <c r="E349" s="29"/>
      <c r="F349" s="30"/>
      <c r="G349" s="29"/>
      <c r="H349" s="30"/>
      <c r="I349" s="29"/>
      <c r="J349" s="30"/>
      <c r="K349" s="30"/>
      <c r="L349" s="29"/>
      <c r="M349" s="32" t="str">
        <f aca="false">IF(OR(C349="",L349=""),"",IF(C349=L349,"同一","変更"))</f>
        <v/>
      </c>
      <c r="N349" s="29"/>
      <c r="O349" s="30"/>
      <c r="P349" s="29"/>
      <c r="Q349" s="31"/>
      <c r="R349" s="29"/>
      <c r="S349" s="29"/>
      <c r="T349" s="30"/>
      <c r="U349" s="47" t="str">
        <f aca="false">IF(AND(B349&lt;&gt;"",B349=SW別シート!$C$3),COUNTIF(B$5:B349,B349),"")</f>
        <v/>
      </c>
      <c r="V349" s="47" t="n">
        <f aca="false">V348+IF(OR(O349&lt;&gt;"",W349&lt;&gt;""),1,0)</f>
        <v>3</v>
      </c>
      <c r="W349" s="29"/>
    </row>
    <row r="350" customFormat="false" ht="15" hidden="false" customHeight="false" outlineLevel="0" collapsed="false">
      <c r="A350" s="32" t="str">
        <f aca="false">IF(B350="","",ROW()-7)</f>
        <v/>
      </c>
      <c r="B350" s="30"/>
      <c r="C350" s="29"/>
      <c r="D350" s="29"/>
      <c r="E350" s="29"/>
      <c r="F350" s="30"/>
      <c r="G350" s="29"/>
      <c r="H350" s="30"/>
      <c r="I350" s="29"/>
      <c r="J350" s="30"/>
      <c r="K350" s="30"/>
      <c r="L350" s="29"/>
      <c r="M350" s="32" t="str">
        <f aca="false">IF(OR(C350="",L350=""),"",IF(C350=L350,"同一","変更"))</f>
        <v/>
      </c>
      <c r="N350" s="29"/>
      <c r="O350" s="30"/>
      <c r="P350" s="29"/>
      <c r="Q350" s="31"/>
      <c r="R350" s="29"/>
      <c r="S350" s="29"/>
      <c r="T350" s="30"/>
      <c r="U350" s="47" t="str">
        <f aca="false">IF(AND(B350&lt;&gt;"",B350=SW別シート!$C$3),COUNTIF(B$5:B350,B350),"")</f>
        <v/>
      </c>
      <c r="V350" s="47" t="n">
        <f aca="false">V349+IF(OR(O350&lt;&gt;"",W350&lt;&gt;""),1,0)</f>
        <v>3</v>
      </c>
      <c r="W350" s="29"/>
    </row>
    <row r="351" customFormat="false" ht="15" hidden="false" customHeight="false" outlineLevel="0" collapsed="false">
      <c r="A351" s="32" t="str">
        <f aca="false">IF(B351="","",ROW()-7)</f>
        <v/>
      </c>
      <c r="B351" s="30"/>
      <c r="C351" s="29"/>
      <c r="D351" s="29"/>
      <c r="E351" s="29"/>
      <c r="F351" s="30"/>
      <c r="G351" s="29"/>
      <c r="H351" s="30"/>
      <c r="I351" s="29"/>
      <c r="J351" s="30"/>
      <c r="K351" s="30"/>
      <c r="L351" s="29"/>
      <c r="M351" s="32" t="str">
        <f aca="false">IF(OR(C351="",L351=""),"",IF(C351=L351,"同一","変更"))</f>
        <v/>
      </c>
      <c r="N351" s="29"/>
      <c r="O351" s="30"/>
      <c r="P351" s="29"/>
      <c r="Q351" s="31"/>
      <c r="R351" s="29"/>
      <c r="S351" s="29"/>
      <c r="T351" s="30"/>
      <c r="U351" s="47" t="str">
        <f aca="false">IF(AND(B351&lt;&gt;"",B351=SW別シート!$C$3),COUNTIF(B$5:B351,B351),"")</f>
        <v/>
      </c>
      <c r="V351" s="47" t="n">
        <f aca="false">V350+IF(OR(O351&lt;&gt;"",W351&lt;&gt;""),1,0)</f>
        <v>3</v>
      </c>
      <c r="W351" s="29"/>
    </row>
    <row r="352" customFormat="false" ht="15" hidden="false" customHeight="false" outlineLevel="0" collapsed="false">
      <c r="A352" s="32" t="str">
        <f aca="false">IF(B352="","",ROW()-7)</f>
        <v/>
      </c>
      <c r="B352" s="30"/>
      <c r="C352" s="29"/>
      <c r="D352" s="29"/>
      <c r="E352" s="29"/>
      <c r="F352" s="30"/>
      <c r="G352" s="29"/>
      <c r="H352" s="30"/>
      <c r="I352" s="29"/>
      <c r="J352" s="30"/>
      <c r="K352" s="30"/>
      <c r="L352" s="29"/>
      <c r="M352" s="32" t="str">
        <f aca="false">IF(OR(C352="",L352=""),"",IF(C352=L352,"同一","変更"))</f>
        <v/>
      </c>
      <c r="N352" s="29"/>
      <c r="O352" s="30"/>
      <c r="P352" s="29"/>
      <c r="Q352" s="31"/>
      <c r="R352" s="29"/>
      <c r="S352" s="29"/>
      <c r="T352" s="30"/>
      <c r="U352" s="47" t="str">
        <f aca="false">IF(AND(B352&lt;&gt;"",B352=SW別シート!$C$3),COUNTIF(B$5:B352,B352),"")</f>
        <v/>
      </c>
      <c r="V352" s="47" t="n">
        <f aca="false">V351+IF(OR(O352&lt;&gt;"",W352&lt;&gt;""),1,0)</f>
        <v>3</v>
      </c>
      <c r="W352" s="29"/>
    </row>
    <row r="353" customFormat="false" ht="15" hidden="false" customHeight="false" outlineLevel="0" collapsed="false">
      <c r="A353" s="32" t="str">
        <f aca="false">IF(B353="","",ROW()-7)</f>
        <v/>
      </c>
      <c r="B353" s="30"/>
      <c r="C353" s="29"/>
      <c r="D353" s="29"/>
      <c r="E353" s="29"/>
      <c r="F353" s="30"/>
      <c r="G353" s="29"/>
      <c r="H353" s="30"/>
      <c r="I353" s="29"/>
      <c r="J353" s="30"/>
      <c r="K353" s="30"/>
      <c r="L353" s="29"/>
      <c r="M353" s="32" t="str">
        <f aca="false">IF(OR(C353="",L353=""),"",IF(C353=L353,"同一","変更"))</f>
        <v/>
      </c>
      <c r="N353" s="29"/>
      <c r="O353" s="30"/>
      <c r="P353" s="29"/>
      <c r="Q353" s="31"/>
      <c r="R353" s="29"/>
      <c r="S353" s="29"/>
      <c r="T353" s="30"/>
      <c r="U353" s="47" t="str">
        <f aca="false">IF(AND(B353&lt;&gt;"",B353=SW別シート!$C$3),COUNTIF(B$5:B353,B353),"")</f>
        <v/>
      </c>
      <c r="V353" s="47" t="n">
        <f aca="false">V352+IF(OR(O353&lt;&gt;"",W353&lt;&gt;""),1,0)</f>
        <v>3</v>
      </c>
      <c r="W353" s="29"/>
    </row>
    <row r="354" customFormat="false" ht="15" hidden="false" customHeight="false" outlineLevel="0" collapsed="false">
      <c r="A354" s="32" t="str">
        <f aca="false">IF(B354="","",ROW()-7)</f>
        <v/>
      </c>
      <c r="B354" s="30"/>
      <c r="C354" s="29"/>
      <c r="D354" s="29"/>
      <c r="E354" s="29"/>
      <c r="F354" s="30"/>
      <c r="G354" s="29"/>
      <c r="H354" s="30"/>
      <c r="I354" s="29"/>
      <c r="J354" s="30"/>
      <c r="K354" s="30"/>
      <c r="L354" s="29"/>
      <c r="M354" s="32" t="str">
        <f aca="false">IF(OR(C354="",L354=""),"",IF(C354=L354,"同一","変更"))</f>
        <v/>
      </c>
      <c r="N354" s="29"/>
      <c r="O354" s="30"/>
      <c r="P354" s="29"/>
      <c r="Q354" s="31"/>
      <c r="R354" s="29"/>
      <c r="S354" s="29"/>
      <c r="T354" s="30"/>
      <c r="U354" s="47" t="str">
        <f aca="false">IF(AND(B354&lt;&gt;"",B354=SW別シート!$C$3),COUNTIF(B$5:B354,B354),"")</f>
        <v/>
      </c>
      <c r="V354" s="47" t="n">
        <f aca="false">V353+IF(OR(O354&lt;&gt;"",W354&lt;&gt;""),1,0)</f>
        <v>3</v>
      </c>
      <c r="W354" s="29"/>
    </row>
    <row r="355" customFormat="false" ht="15" hidden="false" customHeight="false" outlineLevel="0" collapsed="false">
      <c r="A355" s="32" t="str">
        <f aca="false">IF(B355="","",ROW()-7)</f>
        <v/>
      </c>
      <c r="B355" s="30"/>
      <c r="C355" s="29"/>
      <c r="D355" s="29"/>
      <c r="E355" s="29"/>
      <c r="F355" s="30"/>
      <c r="G355" s="29"/>
      <c r="H355" s="30"/>
      <c r="I355" s="29"/>
      <c r="J355" s="30"/>
      <c r="K355" s="30"/>
      <c r="L355" s="29"/>
      <c r="M355" s="32" t="str">
        <f aca="false">IF(OR(C355="",L355=""),"",IF(C355=L355,"同一","変更"))</f>
        <v/>
      </c>
      <c r="N355" s="29"/>
      <c r="O355" s="30"/>
      <c r="P355" s="29"/>
      <c r="Q355" s="31"/>
      <c r="R355" s="29"/>
      <c r="S355" s="29"/>
      <c r="T355" s="30"/>
      <c r="U355" s="47" t="str">
        <f aca="false">IF(AND(B355&lt;&gt;"",B355=SW別シート!$C$3),COUNTIF(B$5:B355,B355),"")</f>
        <v/>
      </c>
      <c r="V355" s="47" t="n">
        <f aca="false">V354+IF(OR(O355&lt;&gt;"",W355&lt;&gt;""),1,0)</f>
        <v>3</v>
      </c>
      <c r="W355" s="29"/>
    </row>
    <row r="356" customFormat="false" ht="15" hidden="false" customHeight="false" outlineLevel="0" collapsed="false">
      <c r="A356" s="32" t="str">
        <f aca="false">IF(B356="","",ROW()-7)</f>
        <v/>
      </c>
      <c r="B356" s="30"/>
      <c r="C356" s="29"/>
      <c r="D356" s="29"/>
      <c r="E356" s="29"/>
      <c r="F356" s="30"/>
      <c r="G356" s="29"/>
      <c r="H356" s="30"/>
      <c r="I356" s="29"/>
      <c r="J356" s="30"/>
      <c r="K356" s="30"/>
      <c r="L356" s="29"/>
      <c r="M356" s="32" t="str">
        <f aca="false">IF(OR(C356="",L356=""),"",IF(C356=L356,"同一","変更"))</f>
        <v/>
      </c>
      <c r="N356" s="29"/>
      <c r="O356" s="30"/>
      <c r="P356" s="29"/>
      <c r="Q356" s="31"/>
      <c r="R356" s="29"/>
      <c r="S356" s="29"/>
      <c r="T356" s="30"/>
      <c r="U356" s="47" t="str">
        <f aca="false">IF(AND(B356&lt;&gt;"",B356=SW別シート!$C$3),COUNTIF(B$5:B356,B356),"")</f>
        <v/>
      </c>
      <c r="V356" s="47" t="n">
        <f aca="false">V355+IF(OR(O356&lt;&gt;"",W356&lt;&gt;""),1,0)</f>
        <v>3</v>
      </c>
      <c r="W356" s="29"/>
    </row>
    <row r="357" customFormat="false" ht="15" hidden="false" customHeight="false" outlineLevel="0" collapsed="false">
      <c r="A357" s="32" t="str">
        <f aca="false">IF(B357="","",ROW()-7)</f>
        <v/>
      </c>
      <c r="B357" s="30"/>
      <c r="C357" s="29"/>
      <c r="D357" s="29"/>
      <c r="E357" s="29"/>
      <c r="F357" s="30"/>
      <c r="G357" s="29"/>
      <c r="H357" s="30"/>
      <c r="I357" s="29"/>
      <c r="J357" s="30"/>
      <c r="K357" s="30"/>
      <c r="L357" s="29"/>
      <c r="M357" s="32" t="str">
        <f aca="false">IF(OR(C357="",L357=""),"",IF(C357=L357,"同一","変更"))</f>
        <v/>
      </c>
      <c r="N357" s="29"/>
      <c r="O357" s="30"/>
      <c r="P357" s="29"/>
      <c r="Q357" s="31"/>
      <c r="R357" s="29"/>
      <c r="S357" s="29"/>
      <c r="T357" s="30"/>
      <c r="U357" s="47" t="str">
        <f aca="false">IF(AND(B357&lt;&gt;"",B357=SW別シート!$C$3),COUNTIF(B$5:B357,B357),"")</f>
        <v/>
      </c>
      <c r="V357" s="47" t="n">
        <f aca="false">V356+IF(OR(O357&lt;&gt;"",W357&lt;&gt;""),1,0)</f>
        <v>3</v>
      </c>
      <c r="W357" s="29"/>
    </row>
    <row r="358" customFormat="false" ht="15" hidden="false" customHeight="false" outlineLevel="0" collapsed="false">
      <c r="A358" s="32" t="str">
        <f aca="false">IF(B358="","",ROW()-7)</f>
        <v/>
      </c>
      <c r="B358" s="30"/>
      <c r="C358" s="29"/>
      <c r="D358" s="29"/>
      <c r="E358" s="29"/>
      <c r="F358" s="30"/>
      <c r="G358" s="29"/>
      <c r="H358" s="30"/>
      <c r="I358" s="29"/>
      <c r="J358" s="30"/>
      <c r="K358" s="30"/>
      <c r="L358" s="29"/>
      <c r="M358" s="32" t="str">
        <f aca="false">IF(OR(C358="",L358=""),"",IF(C358=L358,"同一","変更"))</f>
        <v/>
      </c>
      <c r="N358" s="29"/>
      <c r="O358" s="30"/>
      <c r="P358" s="29"/>
      <c r="Q358" s="31"/>
      <c r="R358" s="29"/>
      <c r="S358" s="29"/>
      <c r="T358" s="30"/>
      <c r="U358" s="47" t="str">
        <f aca="false">IF(AND(B358&lt;&gt;"",B358=SW別シート!$C$3),COUNTIF(B$5:B358,B358),"")</f>
        <v/>
      </c>
      <c r="V358" s="47" t="n">
        <f aca="false">V357+IF(OR(O358&lt;&gt;"",W358&lt;&gt;""),1,0)</f>
        <v>3</v>
      </c>
      <c r="W358" s="29"/>
    </row>
    <row r="359" customFormat="false" ht="15" hidden="false" customHeight="false" outlineLevel="0" collapsed="false">
      <c r="A359" s="32" t="str">
        <f aca="false">IF(B359="","",ROW()-7)</f>
        <v/>
      </c>
      <c r="B359" s="30"/>
      <c r="C359" s="29"/>
      <c r="D359" s="29"/>
      <c r="E359" s="29"/>
      <c r="F359" s="30"/>
      <c r="G359" s="29"/>
      <c r="H359" s="30"/>
      <c r="I359" s="29"/>
      <c r="J359" s="30"/>
      <c r="K359" s="30"/>
      <c r="L359" s="29"/>
      <c r="M359" s="32" t="str">
        <f aca="false">IF(OR(C359="",L359=""),"",IF(C359=L359,"同一","変更"))</f>
        <v/>
      </c>
      <c r="N359" s="29"/>
      <c r="O359" s="30"/>
      <c r="P359" s="29"/>
      <c r="Q359" s="31"/>
      <c r="R359" s="29"/>
      <c r="S359" s="29"/>
      <c r="T359" s="30"/>
      <c r="U359" s="47" t="str">
        <f aca="false">IF(AND(B359&lt;&gt;"",B359=SW別シート!$C$3),COUNTIF(B$5:B359,B359),"")</f>
        <v/>
      </c>
      <c r="V359" s="47" t="n">
        <f aca="false">V358+IF(OR(O359&lt;&gt;"",W359&lt;&gt;""),1,0)</f>
        <v>3</v>
      </c>
      <c r="W359" s="29"/>
    </row>
    <row r="360" customFormat="false" ht="15" hidden="false" customHeight="false" outlineLevel="0" collapsed="false">
      <c r="A360" s="32" t="str">
        <f aca="false">IF(B360="","",ROW()-7)</f>
        <v/>
      </c>
      <c r="B360" s="30"/>
      <c r="C360" s="29"/>
      <c r="D360" s="29"/>
      <c r="E360" s="29"/>
      <c r="F360" s="30"/>
      <c r="G360" s="29"/>
      <c r="H360" s="30"/>
      <c r="I360" s="29"/>
      <c r="J360" s="30"/>
      <c r="K360" s="30"/>
      <c r="L360" s="29"/>
      <c r="M360" s="32" t="str">
        <f aca="false">IF(OR(C360="",L360=""),"",IF(C360=L360,"同一","変更"))</f>
        <v/>
      </c>
      <c r="N360" s="29"/>
      <c r="O360" s="30"/>
      <c r="P360" s="29"/>
      <c r="Q360" s="31"/>
      <c r="R360" s="29"/>
      <c r="S360" s="29"/>
      <c r="T360" s="30"/>
      <c r="U360" s="47" t="str">
        <f aca="false">IF(AND(B360&lt;&gt;"",B360=SW別シート!$C$3),COUNTIF(B$5:B360,B360),"")</f>
        <v/>
      </c>
      <c r="V360" s="47" t="n">
        <f aca="false">V359+IF(OR(O360&lt;&gt;"",W360&lt;&gt;""),1,0)</f>
        <v>3</v>
      </c>
      <c r="W360" s="29"/>
    </row>
    <row r="361" customFormat="false" ht="15" hidden="false" customHeight="false" outlineLevel="0" collapsed="false">
      <c r="A361" s="32" t="str">
        <f aca="false">IF(B361="","",ROW()-7)</f>
        <v/>
      </c>
      <c r="B361" s="30"/>
      <c r="C361" s="29"/>
      <c r="D361" s="29"/>
      <c r="E361" s="29"/>
      <c r="F361" s="30"/>
      <c r="G361" s="29"/>
      <c r="H361" s="30"/>
      <c r="I361" s="29"/>
      <c r="J361" s="30"/>
      <c r="K361" s="30"/>
      <c r="L361" s="29"/>
      <c r="M361" s="32" t="str">
        <f aca="false">IF(OR(C361="",L361=""),"",IF(C361=L361,"同一","変更"))</f>
        <v/>
      </c>
      <c r="N361" s="29"/>
      <c r="O361" s="30"/>
      <c r="P361" s="29"/>
      <c r="Q361" s="31"/>
      <c r="R361" s="29"/>
      <c r="S361" s="29"/>
      <c r="T361" s="30"/>
      <c r="U361" s="47" t="str">
        <f aca="false">IF(AND(B361&lt;&gt;"",B361=SW別シート!$C$3),COUNTIF(B$5:B361,B361),"")</f>
        <v/>
      </c>
      <c r="V361" s="47" t="n">
        <f aca="false">V360+IF(OR(O361&lt;&gt;"",W361&lt;&gt;""),1,0)</f>
        <v>3</v>
      </c>
      <c r="W361" s="29"/>
    </row>
    <row r="362" customFormat="false" ht="15" hidden="false" customHeight="false" outlineLevel="0" collapsed="false">
      <c r="A362" s="32" t="str">
        <f aca="false">IF(B362="","",ROW()-7)</f>
        <v/>
      </c>
      <c r="B362" s="30"/>
      <c r="C362" s="29"/>
      <c r="D362" s="29"/>
      <c r="E362" s="29"/>
      <c r="F362" s="30"/>
      <c r="G362" s="29"/>
      <c r="H362" s="30"/>
      <c r="I362" s="29"/>
      <c r="J362" s="30"/>
      <c r="K362" s="30"/>
      <c r="L362" s="29"/>
      <c r="M362" s="32" t="str">
        <f aca="false">IF(OR(C362="",L362=""),"",IF(C362=L362,"同一","変更"))</f>
        <v/>
      </c>
      <c r="N362" s="29"/>
      <c r="O362" s="30"/>
      <c r="P362" s="29"/>
      <c r="Q362" s="31"/>
      <c r="R362" s="29"/>
      <c r="S362" s="29"/>
      <c r="T362" s="30"/>
      <c r="U362" s="47" t="str">
        <f aca="false">IF(AND(B362&lt;&gt;"",B362=SW別シート!$C$3),COUNTIF(B$5:B362,B362),"")</f>
        <v/>
      </c>
      <c r="V362" s="47" t="n">
        <f aca="false">V361+IF(OR(O362&lt;&gt;"",W362&lt;&gt;""),1,0)</f>
        <v>3</v>
      </c>
      <c r="W362" s="29"/>
    </row>
    <row r="363" customFormat="false" ht="15" hidden="false" customHeight="false" outlineLevel="0" collapsed="false">
      <c r="A363" s="32" t="str">
        <f aca="false">IF(B363="","",ROW()-7)</f>
        <v/>
      </c>
      <c r="B363" s="30"/>
      <c r="C363" s="29"/>
      <c r="D363" s="29"/>
      <c r="E363" s="29"/>
      <c r="F363" s="30"/>
      <c r="G363" s="29"/>
      <c r="H363" s="30"/>
      <c r="I363" s="29"/>
      <c r="J363" s="30"/>
      <c r="K363" s="30"/>
      <c r="L363" s="29"/>
      <c r="M363" s="32" t="str">
        <f aca="false">IF(OR(C363="",L363=""),"",IF(C363=L363,"同一","変更"))</f>
        <v/>
      </c>
      <c r="N363" s="29"/>
      <c r="O363" s="30"/>
      <c r="P363" s="29"/>
      <c r="Q363" s="31"/>
      <c r="R363" s="29"/>
      <c r="S363" s="29"/>
      <c r="T363" s="30"/>
      <c r="U363" s="47" t="str">
        <f aca="false">IF(AND(B363&lt;&gt;"",B363=SW別シート!$C$3),COUNTIF(B$5:B363,B363),"")</f>
        <v/>
      </c>
      <c r="V363" s="47" t="n">
        <f aca="false">V362+IF(OR(O363&lt;&gt;"",W363&lt;&gt;""),1,0)</f>
        <v>3</v>
      </c>
      <c r="W363" s="29"/>
    </row>
    <row r="364" customFormat="false" ht="15" hidden="false" customHeight="false" outlineLevel="0" collapsed="false">
      <c r="A364" s="32" t="str">
        <f aca="false">IF(B364="","",ROW()-7)</f>
        <v/>
      </c>
      <c r="B364" s="30"/>
      <c r="C364" s="29"/>
      <c r="D364" s="29"/>
      <c r="E364" s="29"/>
      <c r="F364" s="30"/>
      <c r="G364" s="29"/>
      <c r="H364" s="30"/>
      <c r="I364" s="29"/>
      <c r="J364" s="30"/>
      <c r="K364" s="30"/>
      <c r="L364" s="29"/>
      <c r="M364" s="32" t="str">
        <f aca="false">IF(OR(C364="",L364=""),"",IF(C364=L364,"同一","変更"))</f>
        <v/>
      </c>
      <c r="N364" s="29"/>
      <c r="O364" s="30"/>
      <c r="P364" s="29"/>
      <c r="Q364" s="31"/>
      <c r="R364" s="29"/>
      <c r="S364" s="29"/>
      <c r="T364" s="30"/>
      <c r="U364" s="47" t="str">
        <f aca="false">IF(AND(B364&lt;&gt;"",B364=SW別シート!$C$3),COUNTIF(B$5:B364,B364),"")</f>
        <v/>
      </c>
      <c r="V364" s="47" t="n">
        <f aca="false">V363+IF(OR(O364&lt;&gt;"",W364&lt;&gt;""),1,0)</f>
        <v>3</v>
      </c>
      <c r="W364" s="29"/>
    </row>
    <row r="365" customFormat="false" ht="15" hidden="false" customHeight="false" outlineLevel="0" collapsed="false">
      <c r="A365" s="32" t="str">
        <f aca="false">IF(B365="","",ROW()-7)</f>
        <v/>
      </c>
      <c r="B365" s="30"/>
      <c r="C365" s="29"/>
      <c r="D365" s="29"/>
      <c r="E365" s="29"/>
      <c r="F365" s="30"/>
      <c r="G365" s="29"/>
      <c r="H365" s="30"/>
      <c r="I365" s="29"/>
      <c r="J365" s="30"/>
      <c r="K365" s="30"/>
      <c r="L365" s="29"/>
      <c r="M365" s="32" t="str">
        <f aca="false">IF(OR(C365="",L365=""),"",IF(C365=L365,"同一","変更"))</f>
        <v/>
      </c>
      <c r="N365" s="29"/>
      <c r="O365" s="30"/>
      <c r="P365" s="29"/>
      <c r="Q365" s="31"/>
      <c r="R365" s="29"/>
      <c r="S365" s="29"/>
      <c r="T365" s="30"/>
      <c r="U365" s="47" t="str">
        <f aca="false">IF(AND(B365&lt;&gt;"",B365=SW別シート!$C$3),COUNTIF(B$5:B365,B365),"")</f>
        <v/>
      </c>
      <c r="V365" s="47" t="n">
        <f aca="false">V364+IF(OR(O365&lt;&gt;"",W365&lt;&gt;""),1,0)</f>
        <v>3</v>
      </c>
      <c r="W365" s="29"/>
    </row>
    <row r="366" customFormat="false" ht="15" hidden="false" customHeight="false" outlineLevel="0" collapsed="false">
      <c r="A366" s="32" t="str">
        <f aca="false">IF(B366="","",ROW()-7)</f>
        <v/>
      </c>
      <c r="B366" s="30"/>
      <c r="C366" s="29"/>
      <c r="D366" s="29"/>
      <c r="E366" s="29"/>
      <c r="F366" s="30"/>
      <c r="G366" s="29"/>
      <c r="H366" s="30"/>
      <c r="I366" s="29"/>
      <c r="J366" s="30"/>
      <c r="K366" s="30"/>
      <c r="L366" s="29"/>
      <c r="M366" s="32" t="str">
        <f aca="false">IF(OR(C366="",L366=""),"",IF(C366=L366,"同一","変更"))</f>
        <v/>
      </c>
      <c r="N366" s="29"/>
      <c r="O366" s="30"/>
      <c r="P366" s="29"/>
      <c r="Q366" s="31"/>
      <c r="R366" s="29"/>
      <c r="S366" s="29"/>
      <c r="T366" s="30"/>
      <c r="U366" s="47" t="str">
        <f aca="false">IF(AND(B366&lt;&gt;"",B366=SW別シート!$C$3),COUNTIF(B$5:B366,B366),"")</f>
        <v/>
      </c>
      <c r="V366" s="47" t="n">
        <f aca="false">V365+IF(OR(O366&lt;&gt;"",W366&lt;&gt;""),1,0)</f>
        <v>3</v>
      </c>
      <c r="W366" s="29"/>
    </row>
    <row r="367" customFormat="false" ht="15" hidden="false" customHeight="false" outlineLevel="0" collapsed="false">
      <c r="A367" s="32" t="str">
        <f aca="false">IF(B367="","",ROW()-7)</f>
        <v/>
      </c>
      <c r="B367" s="30"/>
      <c r="C367" s="29"/>
      <c r="D367" s="29"/>
      <c r="E367" s="29"/>
      <c r="F367" s="30"/>
      <c r="G367" s="29"/>
      <c r="H367" s="30"/>
      <c r="I367" s="29"/>
      <c r="J367" s="30"/>
      <c r="K367" s="30"/>
      <c r="L367" s="29"/>
      <c r="M367" s="32" t="str">
        <f aca="false">IF(OR(C367="",L367=""),"",IF(C367=L367,"同一","変更"))</f>
        <v/>
      </c>
      <c r="N367" s="29"/>
      <c r="O367" s="30"/>
      <c r="P367" s="29"/>
      <c r="Q367" s="31"/>
      <c r="R367" s="29"/>
      <c r="S367" s="29"/>
      <c r="T367" s="30"/>
      <c r="U367" s="47" t="str">
        <f aca="false">IF(AND(B367&lt;&gt;"",B367=SW別シート!$C$3),COUNTIF(B$5:B367,B367),"")</f>
        <v/>
      </c>
      <c r="V367" s="47" t="n">
        <f aca="false">V366+IF(OR(O367&lt;&gt;"",W367&lt;&gt;""),1,0)</f>
        <v>3</v>
      </c>
      <c r="W367" s="29"/>
    </row>
    <row r="368" customFormat="false" ht="15" hidden="false" customHeight="false" outlineLevel="0" collapsed="false">
      <c r="A368" s="32" t="str">
        <f aca="false">IF(B368="","",ROW()-7)</f>
        <v/>
      </c>
      <c r="B368" s="30"/>
      <c r="C368" s="29"/>
      <c r="D368" s="29"/>
      <c r="E368" s="29"/>
      <c r="F368" s="30"/>
      <c r="G368" s="29"/>
      <c r="H368" s="30"/>
      <c r="I368" s="29"/>
      <c r="J368" s="30"/>
      <c r="K368" s="30"/>
      <c r="L368" s="29"/>
      <c r="M368" s="32" t="str">
        <f aca="false">IF(OR(C368="",L368=""),"",IF(C368=L368,"同一","変更"))</f>
        <v/>
      </c>
      <c r="N368" s="29"/>
      <c r="O368" s="30"/>
      <c r="P368" s="29"/>
      <c r="Q368" s="31"/>
      <c r="R368" s="29"/>
      <c r="S368" s="29"/>
      <c r="T368" s="30"/>
      <c r="U368" s="47" t="str">
        <f aca="false">IF(AND(B368&lt;&gt;"",B368=SW別シート!$C$3),COUNTIF(B$5:B368,B368),"")</f>
        <v/>
      </c>
      <c r="V368" s="47" t="n">
        <f aca="false">V367+IF(OR(O368&lt;&gt;"",W368&lt;&gt;""),1,0)</f>
        <v>3</v>
      </c>
      <c r="W368" s="29"/>
    </row>
    <row r="369" customFormat="false" ht="15" hidden="false" customHeight="false" outlineLevel="0" collapsed="false">
      <c r="A369" s="32" t="str">
        <f aca="false">IF(B369="","",ROW()-7)</f>
        <v/>
      </c>
      <c r="B369" s="30"/>
      <c r="C369" s="29"/>
      <c r="D369" s="29"/>
      <c r="E369" s="29"/>
      <c r="F369" s="30"/>
      <c r="G369" s="29"/>
      <c r="H369" s="30"/>
      <c r="I369" s="29"/>
      <c r="J369" s="30"/>
      <c r="K369" s="30"/>
      <c r="L369" s="29"/>
      <c r="M369" s="32" t="str">
        <f aca="false">IF(OR(C369="",L369=""),"",IF(C369=L369,"同一","変更"))</f>
        <v/>
      </c>
      <c r="N369" s="29"/>
      <c r="O369" s="30"/>
      <c r="P369" s="29"/>
      <c r="Q369" s="31"/>
      <c r="R369" s="29"/>
      <c r="S369" s="29"/>
      <c r="T369" s="30"/>
      <c r="U369" s="47" t="str">
        <f aca="false">IF(AND(B369&lt;&gt;"",B369=SW別シート!$C$3),COUNTIF(B$5:B369,B369),"")</f>
        <v/>
      </c>
      <c r="V369" s="47" t="n">
        <f aca="false">V368+IF(OR(O369&lt;&gt;"",W369&lt;&gt;""),1,0)</f>
        <v>3</v>
      </c>
      <c r="W369" s="29"/>
    </row>
    <row r="370" customFormat="false" ht="15" hidden="false" customHeight="false" outlineLevel="0" collapsed="false">
      <c r="A370" s="32" t="str">
        <f aca="false">IF(B370="","",ROW()-7)</f>
        <v/>
      </c>
      <c r="B370" s="30"/>
      <c r="C370" s="29"/>
      <c r="D370" s="29"/>
      <c r="E370" s="29"/>
      <c r="F370" s="30"/>
      <c r="G370" s="29"/>
      <c r="H370" s="30"/>
      <c r="I370" s="29"/>
      <c r="J370" s="30"/>
      <c r="K370" s="30"/>
      <c r="L370" s="29"/>
      <c r="M370" s="32" t="str">
        <f aca="false">IF(OR(C370="",L370=""),"",IF(C370=L370,"同一","変更"))</f>
        <v/>
      </c>
      <c r="N370" s="29"/>
      <c r="O370" s="30"/>
      <c r="P370" s="29"/>
      <c r="Q370" s="31"/>
      <c r="R370" s="29"/>
      <c r="S370" s="29"/>
      <c r="T370" s="30"/>
      <c r="U370" s="47" t="str">
        <f aca="false">IF(AND(B370&lt;&gt;"",B370=SW別シート!$C$3),COUNTIF(B$5:B370,B370),"")</f>
        <v/>
      </c>
      <c r="V370" s="47" t="n">
        <f aca="false">V369+IF(OR(O370&lt;&gt;"",W370&lt;&gt;""),1,0)</f>
        <v>3</v>
      </c>
      <c r="W370" s="29"/>
    </row>
    <row r="371" customFormat="false" ht="15" hidden="false" customHeight="false" outlineLevel="0" collapsed="false">
      <c r="A371" s="32" t="str">
        <f aca="false">IF(B371="","",ROW()-7)</f>
        <v/>
      </c>
      <c r="B371" s="30"/>
      <c r="C371" s="29"/>
      <c r="D371" s="29"/>
      <c r="E371" s="29"/>
      <c r="F371" s="30"/>
      <c r="G371" s="29"/>
      <c r="H371" s="30"/>
      <c r="I371" s="29"/>
      <c r="J371" s="30"/>
      <c r="K371" s="30"/>
      <c r="L371" s="29"/>
      <c r="M371" s="32" t="str">
        <f aca="false">IF(OR(C371="",L371=""),"",IF(C371=L371,"同一","変更"))</f>
        <v/>
      </c>
      <c r="N371" s="29"/>
      <c r="O371" s="30"/>
      <c r="P371" s="29"/>
      <c r="Q371" s="31"/>
      <c r="R371" s="29"/>
      <c r="S371" s="29"/>
      <c r="T371" s="30"/>
      <c r="U371" s="47" t="str">
        <f aca="false">IF(AND(B371&lt;&gt;"",B371=SW別シート!$C$3),COUNTIF(B$5:B371,B371),"")</f>
        <v/>
      </c>
      <c r="V371" s="47" t="n">
        <f aca="false">V370+IF(OR(O371&lt;&gt;"",W371&lt;&gt;""),1,0)</f>
        <v>3</v>
      </c>
      <c r="W371" s="29"/>
    </row>
    <row r="372" customFormat="false" ht="15" hidden="false" customHeight="false" outlineLevel="0" collapsed="false">
      <c r="A372" s="32" t="str">
        <f aca="false">IF(B372="","",ROW()-7)</f>
        <v/>
      </c>
      <c r="B372" s="30"/>
      <c r="C372" s="29"/>
      <c r="D372" s="29"/>
      <c r="E372" s="29"/>
      <c r="F372" s="30"/>
      <c r="G372" s="29"/>
      <c r="H372" s="30"/>
      <c r="I372" s="29"/>
      <c r="J372" s="30"/>
      <c r="K372" s="30"/>
      <c r="L372" s="29"/>
      <c r="M372" s="32" t="str">
        <f aca="false">IF(OR(C372="",L372=""),"",IF(C372=L372,"同一","変更"))</f>
        <v/>
      </c>
      <c r="N372" s="29"/>
      <c r="O372" s="30"/>
      <c r="P372" s="29"/>
      <c r="Q372" s="31"/>
      <c r="R372" s="29"/>
      <c r="S372" s="29"/>
      <c r="T372" s="30"/>
      <c r="U372" s="47" t="str">
        <f aca="false">IF(AND(B372&lt;&gt;"",B372=SW別シート!$C$3),COUNTIF(B$5:B372,B372),"")</f>
        <v/>
      </c>
      <c r="V372" s="47" t="n">
        <f aca="false">V371+IF(OR(O372&lt;&gt;"",W372&lt;&gt;""),1,0)</f>
        <v>3</v>
      </c>
      <c r="W372" s="29"/>
    </row>
    <row r="373" customFormat="false" ht="15" hidden="false" customHeight="false" outlineLevel="0" collapsed="false">
      <c r="A373" s="32" t="str">
        <f aca="false">IF(B373="","",ROW()-7)</f>
        <v/>
      </c>
      <c r="B373" s="30"/>
      <c r="C373" s="29"/>
      <c r="D373" s="29"/>
      <c r="E373" s="29"/>
      <c r="F373" s="30"/>
      <c r="G373" s="29"/>
      <c r="H373" s="30"/>
      <c r="I373" s="29"/>
      <c r="J373" s="30"/>
      <c r="K373" s="30"/>
      <c r="L373" s="29"/>
      <c r="M373" s="32" t="str">
        <f aca="false">IF(OR(C373="",L373=""),"",IF(C373=L373,"同一","変更"))</f>
        <v/>
      </c>
      <c r="N373" s="29"/>
      <c r="O373" s="30"/>
      <c r="P373" s="29"/>
      <c r="Q373" s="31"/>
      <c r="R373" s="29"/>
      <c r="S373" s="29"/>
      <c r="T373" s="30"/>
      <c r="U373" s="47" t="str">
        <f aca="false">IF(AND(B373&lt;&gt;"",B373=SW別シート!$C$3),COUNTIF(B$5:B373,B373),"")</f>
        <v/>
      </c>
      <c r="V373" s="47" t="n">
        <f aca="false">V372+IF(OR(O373&lt;&gt;"",W373&lt;&gt;""),1,0)</f>
        <v>3</v>
      </c>
      <c r="W373" s="29"/>
    </row>
    <row r="374" customFormat="false" ht="15" hidden="false" customHeight="false" outlineLevel="0" collapsed="false">
      <c r="A374" s="32" t="str">
        <f aca="false">IF(B374="","",ROW()-7)</f>
        <v/>
      </c>
      <c r="B374" s="30"/>
      <c r="C374" s="29"/>
      <c r="D374" s="29"/>
      <c r="E374" s="29"/>
      <c r="F374" s="30"/>
      <c r="G374" s="29"/>
      <c r="H374" s="30"/>
      <c r="I374" s="29"/>
      <c r="J374" s="30"/>
      <c r="K374" s="30"/>
      <c r="L374" s="29"/>
      <c r="M374" s="32" t="str">
        <f aca="false">IF(OR(C374="",L374=""),"",IF(C374=L374,"同一","変更"))</f>
        <v/>
      </c>
      <c r="N374" s="29"/>
      <c r="O374" s="30"/>
      <c r="P374" s="29"/>
      <c r="Q374" s="31"/>
      <c r="R374" s="29"/>
      <c r="S374" s="29"/>
      <c r="T374" s="30"/>
      <c r="U374" s="47" t="str">
        <f aca="false">IF(AND(B374&lt;&gt;"",B374=SW別シート!$C$3),COUNTIF(B$5:B374,B374),"")</f>
        <v/>
      </c>
      <c r="V374" s="47" t="n">
        <f aca="false">V373+IF(OR(O374&lt;&gt;"",W374&lt;&gt;""),1,0)</f>
        <v>3</v>
      </c>
      <c r="W374" s="29"/>
    </row>
    <row r="375" customFormat="false" ht="15" hidden="false" customHeight="false" outlineLevel="0" collapsed="false">
      <c r="A375" s="32" t="str">
        <f aca="false">IF(B375="","",ROW()-7)</f>
        <v/>
      </c>
      <c r="B375" s="30"/>
      <c r="C375" s="29"/>
      <c r="D375" s="29"/>
      <c r="E375" s="29"/>
      <c r="F375" s="30"/>
      <c r="G375" s="29"/>
      <c r="H375" s="30"/>
      <c r="I375" s="29"/>
      <c r="J375" s="30"/>
      <c r="K375" s="30"/>
      <c r="L375" s="29"/>
      <c r="M375" s="32" t="str">
        <f aca="false">IF(OR(C375="",L375=""),"",IF(C375=L375,"同一","変更"))</f>
        <v/>
      </c>
      <c r="N375" s="29"/>
      <c r="O375" s="30"/>
      <c r="P375" s="29"/>
      <c r="Q375" s="31"/>
      <c r="R375" s="29"/>
      <c r="S375" s="29"/>
      <c r="T375" s="30"/>
      <c r="U375" s="47" t="str">
        <f aca="false">IF(AND(B375&lt;&gt;"",B375=SW別シート!$C$3),COUNTIF(B$5:B375,B375),"")</f>
        <v/>
      </c>
      <c r="V375" s="47" t="n">
        <f aca="false">V374+IF(OR(O375&lt;&gt;"",W375&lt;&gt;""),1,0)</f>
        <v>3</v>
      </c>
      <c r="W375" s="29"/>
    </row>
    <row r="376" customFormat="false" ht="15" hidden="false" customHeight="false" outlineLevel="0" collapsed="false">
      <c r="A376" s="32" t="str">
        <f aca="false">IF(B376="","",ROW()-7)</f>
        <v/>
      </c>
      <c r="B376" s="30"/>
      <c r="C376" s="29"/>
      <c r="D376" s="29"/>
      <c r="E376" s="29"/>
      <c r="F376" s="30"/>
      <c r="G376" s="29"/>
      <c r="H376" s="30"/>
      <c r="I376" s="29"/>
      <c r="J376" s="30"/>
      <c r="K376" s="30"/>
      <c r="L376" s="29"/>
      <c r="M376" s="32" t="str">
        <f aca="false">IF(OR(C376="",L376=""),"",IF(C376=L376,"同一","変更"))</f>
        <v/>
      </c>
      <c r="N376" s="29"/>
      <c r="O376" s="30"/>
      <c r="P376" s="29"/>
      <c r="Q376" s="31"/>
      <c r="R376" s="29"/>
      <c r="S376" s="29"/>
      <c r="T376" s="30"/>
      <c r="U376" s="47" t="str">
        <f aca="false">IF(AND(B376&lt;&gt;"",B376=SW別シート!$C$3),COUNTIF(B$5:B376,B376),"")</f>
        <v/>
      </c>
      <c r="V376" s="47" t="n">
        <f aca="false">V375+IF(OR(O376&lt;&gt;"",W376&lt;&gt;""),1,0)</f>
        <v>3</v>
      </c>
      <c r="W376" s="29"/>
    </row>
    <row r="377" customFormat="false" ht="15" hidden="false" customHeight="false" outlineLevel="0" collapsed="false">
      <c r="A377" s="32" t="str">
        <f aca="false">IF(B377="","",ROW()-7)</f>
        <v/>
      </c>
      <c r="B377" s="30"/>
      <c r="C377" s="29"/>
      <c r="D377" s="29"/>
      <c r="E377" s="29"/>
      <c r="F377" s="30"/>
      <c r="G377" s="29"/>
      <c r="H377" s="30"/>
      <c r="I377" s="29"/>
      <c r="J377" s="30"/>
      <c r="K377" s="30"/>
      <c r="L377" s="29"/>
      <c r="M377" s="32" t="str">
        <f aca="false">IF(OR(C377="",L377=""),"",IF(C377=L377,"同一","変更"))</f>
        <v/>
      </c>
      <c r="N377" s="29"/>
      <c r="O377" s="30"/>
      <c r="P377" s="29"/>
      <c r="Q377" s="31"/>
      <c r="R377" s="29"/>
      <c r="S377" s="29"/>
      <c r="T377" s="30"/>
      <c r="U377" s="47" t="str">
        <f aca="false">IF(AND(B377&lt;&gt;"",B377=SW別シート!$C$3),COUNTIF(B$5:B377,B377),"")</f>
        <v/>
      </c>
      <c r="V377" s="47" t="n">
        <f aca="false">V376+IF(OR(O377&lt;&gt;"",W377&lt;&gt;""),1,0)</f>
        <v>3</v>
      </c>
      <c r="W377" s="29"/>
    </row>
    <row r="378" customFormat="false" ht="15" hidden="false" customHeight="false" outlineLevel="0" collapsed="false">
      <c r="A378" s="32" t="str">
        <f aca="false">IF(B378="","",ROW()-7)</f>
        <v/>
      </c>
      <c r="B378" s="30"/>
      <c r="C378" s="29"/>
      <c r="D378" s="29"/>
      <c r="E378" s="29"/>
      <c r="F378" s="30"/>
      <c r="G378" s="29"/>
      <c r="H378" s="30"/>
      <c r="I378" s="29"/>
      <c r="J378" s="30"/>
      <c r="K378" s="30"/>
      <c r="L378" s="29"/>
      <c r="M378" s="32" t="str">
        <f aca="false">IF(OR(C378="",L378=""),"",IF(C378=L378,"同一","変更"))</f>
        <v/>
      </c>
      <c r="N378" s="29"/>
      <c r="O378" s="30"/>
      <c r="P378" s="29"/>
      <c r="Q378" s="31"/>
      <c r="R378" s="29"/>
      <c r="S378" s="29"/>
      <c r="T378" s="30"/>
      <c r="U378" s="47" t="str">
        <f aca="false">IF(AND(B378&lt;&gt;"",B378=SW別シート!$C$3),COUNTIF(B$5:B378,B378),"")</f>
        <v/>
      </c>
      <c r="V378" s="47" t="n">
        <f aca="false">V377+IF(OR(O378&lt;&gt;"",W378&lt;&gt;""),1,0)</f>
        <v>3</v>
      </c>
      <c r="W378" s="29"/>
    </row>
    <row r="379" customFormat="false" ht="15" hidden="false" customHeight="false" outlineLevel="0" collapsed="false">
      <c r="A379" s="32" t="str">
        <f aca="false">IF(B379="","",ROW()-7)</f>
        <v/>
      </c>
      <c r="B379" s="30"/>
      <c r="C379" s="29"/>
      <c r="D379" s="29"/>
      <c r="E379" s="29"/>
      <c r="F379" s="30"/>
      <c r="G379" s="29"/>
      <c r="H379" s="30"/>
      <c r="I379" s="29"/>
      <c r="J379" s="30"/>
      <c r="K379" s="30"/>
      <c r="L379" s="29"/>
      <c r="M379" s="32" t="str">
        <f aca="false">IF(OR(C379="",L379=""),"",IF(C379=L379,"同一","変更"))</f>
        <v/>
      </c>
      <c r="N379" s="29"/>
      <c r="O379" s="30"/>
      <c r="P379" s="29"/>
      <c r="Q379" s="31"/>
      <c r="R379" s="29"/>
      <c r="S379" s="29"/>
      <c r="T379" s="30"/>
      <c r="U379" s="47" t="str">
        <f aca="false">IF(AND(B379&lt;&gt;"",B379=SW別シート!$C$3),COUNTIF(B$5:B379,B379),"")</f>
        <v/>
      </c>
      <c r="V379" s="47" t="n">
        <f aca="false">V378+IF(OR(O379&lt;&gt;"",W379&lt;&gt;""),1,0)</f>
        <v>3</v>
      </c>
      <c r="W379" s="29"/>
    </row>
    <row r="380" customFormat="false" ht="15" hidden="false" customHeight="false" outlineLevel="0" collapsed="false">
      <c r="A380" s="32" t="str">
        <f aca="false">IF(B380="","",ROW()-7)</f>
        <v/>
      </c>
      <c r="B380" s="30"/>
      <c r="C380" s="29"/>
      <c r="D380" s="29"/>
      <c r="E380" s="29"/>
      <c r="F380" s="30"/>
      <c r="G380" s="29"/>
      <c r="H380" s="30"/>
      <c r="I380" s="29"/>
      <c r="J380" s="30"/>
      <c r="K380" s="30"/>
      <c r="L380" s="29"/>
      <c r="M380" s="32" t="str">
        <f aca="false">IF(OR(C380="",L380=""),"",IF(C380=L380,"同一","変更"))</f>
        <v/>
      </c>
      <c r="N380" s="29"/>
      <c r="O380" s="30"/>
      <c r="P380" s="29"/>
      <c r="Q380" s="31"/>
      <c r="R380" s="29"/>
      <c r="S380" s="29"/>
      <c r="T380" s="30"/>
      <c r="U380" s="47" t="str">
        <f aca="false">IF(AND(B380&lt;&gt;"",B380=SW別シート!$C$3),COUNTIF(B$5:B380,B380),"")</f>
        <v/>
      </c>
      <c r="V380" s="47" t="n">
        <f aca="false">V379+IF(OR(O380&lt;&gt;"",W380&lt;&gt;""),1,0)</f>
        <v>3</v>
      </c>
      <c r="W380" s="29"/>
    </row>
    <row r="381" customFormat="false" ht="15" hidden="false" customHeight="false" outlineLevel="0" collapsed="false">
      <c r="A381" s="32" t="str">
        <f aca="false">IF(B381="","",ROW()-7)</f>
        <v/>
      </c>
      <c r="B381" s="30"/>
      <c r="C381" s="29"/>
      <c r="D381" s="29"/>
      <c r="E381" s="29"/>
      <c r="F381" s="30"/>
      <c r="G381" s="29"/>
      <c r="H381" s="30"/>
      <c r="I381" s="29"/>
      <c r="J381" s="30"/>
      <c r="K381" s="30"/>
      <c r="L381" s="29"/>
      <c r="M381" s="32" t="str">
        <f aca="false">IF(OR(C381="",L381=""),"",IF(C381=L381,"同一","変更"))</f>
        <v/>
      </c>
      <c r="N381" s="29"/>
      <c r="O381" s="30"/>
      <c r="P381" s="29"/>
      <c r="Q381" s="31"/>
      <c r="R381" s="29"/>
      <c r="S381" s="29"/>
      <c r="T381" s="30"/>
      <c r="U381" s="47" t="str">
        <f aca="false">IF(AND(B381&lt;&gt;"",B381=SW別シート!$C$3),COUNTIF(B$5:B381,B381),"")</f>
        <v/>
      </c>
      <c r="V381" s="47" t="n">
        <f aca="false">V380+IF(OR(O381&lt;&gt;"",W381&lt;&gt;""),1,0)</f>
        <v>3</v>
      </c>
      <c r="W381" s="29"/>
    </row>
    <row r="382" customFormat="false" ht="15" hidden="false" customHeight="false" outlineLevel="0" collapsed="false">
      <c r="A382" s="32" t="str">
        <f aca="false">IF(B382="","",ROW()-7)</f>
        <v/>
      </c>
      <c r="B382" s="30"/>
      <c r="C382" s="29"/>
      <c r="D382" s="29"/>
      <c r="E382" s="29"/>
      <c r="F382" s="30"/>
      <c r="G382" s="29"/>
      <c r="H382" s="30"/>
      <c r="I382" s="29"/>
      <c r="J382" s="30"/>
      <c r="K382" s="30"/>
      <c r="L382" s="29"/>
      <c r="M382" s="32" t="str">
        <f aca="false">IF(OR(C382="",L382=""),"",IF(C382=L382,"同一","変更"))</f>
        <v/>
      </c>
      <c r="N382" s="29"/>
      <c r="O382" s="30"/>
      <c r="P382" s="29"/>
      <c r="Q382" s="31"/>
      <c r="R382" s="29"/>
      <c r="S382" s="29"/>
      <c r="T382" s="30"/>
      <c r="U382" s="47" t="str">
        <f aca="false">IF(AND(B382&lt;&gt;"",B382=SW別シート!$C$3),COUNTIF(B$5:B382,B382),"")</f>
        <v/>
      </c>
      <c r="V382" s="47" t="n">
        <f aca="false">V381+IF(OR(O382&lt;&gt;"",W382&lt;&gt;""),1,0)</f>
        <v>3</v>
      </c>
      <c r="W382" s="29"/>
    </row>
    <row r="383" customFormat="false" ht="15" hidden="false" customHeight="false" outlineLevel="0" collapsed="false">
      <c r="A383" s="32" t="str">
        <f aca="false">IF(B383="","",ROW()-7)</f>
        <v/>
      </c>
      <c r="B383" s="30"/>
      <c r="C383" s="29"/>
      <c r="D383" s="29"/>
      <c r="E383" s="29"/>
      <c r="F383" s="30"/>
      <c r="G383" s="29"/>
      <c r="H383" s="30"/>
      <c r="I383" s="29"/>
      <c r="J383" s="30"/>
      <c r="K383" s="30"/>
      <c r="L383" s="29"/>
      <c r="M383" s="32" t="str">
        <f aca="false">IF(OR(C383="",L383=""),"",IF(C383=L383,"同一","変更"))</f>
        <v/>
      </c>
      <c r="N383" s="29"/>
      <c r="O383" s="30"/>
      <c r="P383" s="29"/>
      <c r="Q383" s="31"/>
      <c r="R383" s="29"/>
      <c r="S383" s="29"/>
      <c r="T383" s="30"/>
      <c r="U383" s="47" t="str">
        <f aca="false">IF(AND(B383&lt;&gt;"",B383=SW別シート!$C$3),COUNTIF(B$5:B383,B383),"")</f>
        <v/>
      </c>
      <c r="V383" s="47" t="n">
        <f aca="false">V382+IF(OR(O383&lt;&gt;"",W383&lt;&gt;""),1,0)</f>
        <v>3</v>
      </c>
      <c r="W383" s="29"/>
    </row>
    <row r="384" customFormat="false" ht="15" hidden="false" customHeight="false" outlineLevel="0" collapsed="false">
      <c r="A384" s="32" t="str">
        <f aca="false">IF(B384="","",ROW()-7)</f>
        <v/>
      </c>
      <c r="B384" s="30"/>
      <c r="C384" s="29"/>
      <c r="D384" s="29"/>
      <c r="E384" s="29"/>
      <c r="F384" s="30"/>
      <c r="G384" s="29"/>
      <c r="H384" s="30"/>
      <c r="I384" s="29"/>
      <c r="J384" s="30"/>
      <c r="K384" s="30"/>
      <c r="L384" s="29"/>
      <c r="M384" s="32" t="str">
        <f aca="false">IF(OR(C384="",L384=""),"",IF(C384=L384,"同一","変更"))</f>
        <v/>
      </c>
      <c r="N384" s="29"/>
      <c r="O384" s="30"/>
      <c r="P384" s="29"/>
      <c r="Q384" s="31"/>
      <c r="R384" s="29"/>
      <c r="S384" s="29"/>
      <c r="T384" s="30"/>
      <c r="U384" s="47" t="str">
        <f aca="false">IF(AND(B384&lt;&gt;"",B384=SW別シート!$C$3),COUNTIF(B$5:B384,B384),"")</f>
        <v/>
      </c>
      <c r="V384" s="47" t="n">
        <f aca="false">V383+IF(OR(O384&lt;&gt;"",W384&lt;&gt;""),1,0)</f>
        <v>3</v>
      </c>
      <c r="W384" s="29"/>
    </row>
    <row r="385" customFormat="false" ht="15" hidden="false" customHeight="false" outlineLevel="0" collapsed="false">
      <c r="A385" s="32" t="str">
        <f aca="false">IF(B385="","",ROW()-7)</f>
        <v/>
      </c>
      <c r="B385" s="30"/>
      <c r="C385" s="29"/>
      <c r="D385" s="29"/>
      <c r="E385" s="29"/>
      <c r="F385" s="30"/>
      <c r="G385" s="29"/>
      <c r="H385" s="30"/>
      <c r="I385" s="29"/>
      <c r="J385" s="30"/>
      <c r="K385" s="30"/>
      <c r="L385" s="29"/>
      <c r="M385" s="32" t="str">
        <f aca="false">IF(OR(C385="",L385=""),"",IF(C385=L385,"同一","変更"))</f>
        <v/>
      </c>
      <c r="N385" s="29"/>
      <c r="O385" s="30"/>
      <c r="P385" s="29"/>
      <c r="Q385" s="31"/>
      <c r="R385" s="29"/>
      <c r="S385" s="29"/>
      <c r="T385" s="30"/>
      <c r="U385" s="47" t="str">
        <f aca="false">IF(AND(B385&lt;&gt;"",B385=SW別シート!$C$3),COUNTIF(B$5:B385,B385),"")</f>
        <v/>
      </c>
      <c r="V385" s="47" t="n">
        <f aca="false">V384+IF(OR(O385&lt;&gt;"",W385&lt;&gt;""),1,0)</f>
        <v>3</v>
      </c>
      <c r="W385" s="29"/>
    </row>
    <row r="386" customFormat="false" ht="15" hidden="false" customHeight="false" outlineLevel="0" collapsed="false">
      <c r="A386" s="32" t="str">
        <f aca="false">IF(B386="","",ROW()-7)</f>
        <v/>
      </c>
      <c r="B386" s="30"/>
      <c r="C386" s="29"/>
      <c r="D386" s="29"/>
      <c r="E386" s="29"/>
      <c r="F386" s="30"/>
      <c r="G386" s="29"/>
      <c r="H386" s="30"/>
      <c r="I386" s="29"/>
      <c r="J386" s="30"/>
      <c r="K386" s="30"/>
      <c r="L386" s="29"/>
      <c r="M386" s="32" t="str">
        <f aca="false">IF(OR(C386="",L386=""),"",IF(C386=L386,"同一","変更"))</f>
        <v/>
      </c>
      <c r="N386" s="29"/>
      <c r="O386" s="30"/>
      <c r="P386" s="29"/>
      <c r="Q386" s="31"/>
      <c r="R386" s="29"/>
      <c r="S386" s="29"/>
      <c r="T386" s="30"/>
      <c r="U386" s="47" t="str">
        <f aca="false">IF(AND(B386&lt;&gt;"",B386=SW別シート!$C$3),COUNTIF(B$5:B386,B386),"")</f>
        <v/>
      </c>
      <c r="V386" s="47" t="n">
        <f aca="false">V385+IF(OR(O386&lt;&gt;"",W386&lt;&gt;""),1,0)</f>
        <v>3</v>
      </c>
      <c r="W386" s="29"/>
    </row>
    <row r="387" customFormat="false" ht="15" hidden="false" customHeight="false" outlineLevel="0" collapsed="false">
      <c r="A387" s="32" t="str">
        <f aca="false">IF(B387="","",ROW()-7)</f>
        <v/>
      </c>
      <c r="B387" s="30"/>
      <c r="C387" s="29"/>
      <c r="D387" s="29"/>
      <c r="E387" s="29"/>
      <c r="F387" s="30"/>
      <c r="G387" s="29"/>
      <c r="H387" s="30"/>
      <c r="I387" s="29"/>
      <c r="J387" s="30"/>
      <c r="K387" s="30"/>
      <c r="L387" s="29"/>
      <c r="M387" s="32" t="str">
        <f aca="false">IF(OR(C387="",L387=""),"",IF(C387=L387,"同一","変更"))</f>
        <v/>
      </c>
      <c r="N387" s="29"/>
      <c r="O387" s="30"/>
      <c r="P387" s="29"/>
      <c r="Q387" s="31"/>
      <c r="R387" s="29"/>
      <c r="S387" s="29"/>
      <c r="T387" s="30"/>
      <c r="U387" s="47" t="str">
        <f aca="false">IF(AND(B387&lt;&gt;"",B387=SW別シート!$C$3),COUNTIF(B$5:B387,B387),"")</f>
        <v/>
      </c>
      <c r="V387" s="47" t="n">
        <f aca="false">V386+IF(OR(O387&lt;&gt;"",W387&lt;&gt;""),1,0)</f>
        <v>3</v>
      </c>
      <c r="W387" s="29"/>
    </row>
    <row r="388" customFormat="false" ht="15" hidden="false" customHeight="false" outlineLevel="0" collapsed="false">
      <c r="A388" s="32" t="str">
        <f aca="false">IF(B388="","",ROW()-7)</f>
        <v/>
      </c>
      <c r="B388" s="30"/>
      <c r="C388" s="29"/>
      <c r="D388" s="29"/>
      <c r="E388" s="29"/>
      <c r="F388" s="30"/>
      <c r="G388" s="29"/>
      <c r="H388" s="30"/>
      <c r="I388" s="29"/>
      <c r="J388" s="30"/>
      <c r="K388" s="30"/>
      <c r="L388" s="29"/>
      <c r="M388" s="32" t="str">
        <f aca="false">IF(OR(C388="",L388=""),"",IF(C388=L388,"同一","変更"))</f>
        <v/>
      </c>
      <c r="N388" s="29"/>
      <c r="O388" s="30"/>
      <c r="P388" s="29"/>
      <c r="Q388" s="31"/>
      <c r="R388" s="29"/>
      <c r="S388" s="29"/>
      <c r="T388" s="30"/>
      <c r="U388" s="47" t="str">
        <f aca="false">IF(AND(B388&lt;&gt;"",B388=SW別シート!$C$3),COUNTIF(B$5:B388,B388),"")</f>
        <v/>
      </c>
      <c r="V388" s="47" t="n">
        <f aca="false">V387+IF(OR(O388&lt;&gt;"",W388&lt;&gt;""),1,0)</f>
        <v>3</v>
      </c>
      <c r="W388" s="29"/>
    </row>
    <row r="389" customFormat="false" ht="15" hidden="false" customHeight="false" outlineLevel="0" collapsed="false">
      <c r="A389" s="32" t="str">
        <f aca="false">IF(B389="","",ROW()-7)</f>
        <v/>
      </c>
      <c r="B389" s="30"/>
      <c r="C389" s="29"/>
      <c r="D389" s="29"/>
      <c r="E389" s="29"/>
      <c r="F389" s="30"/>
      <c r="G389" s="29"/>
      <c r="H389" s="30"/>
      <c r="I389" s="29"/>
      <c r="J389" s="30"/>
      <c r="K389" s="30"/>
      <c r="L389" s="29"/>
      <c r="M389" s="32" t="str">
        <f aca="false">IF(OR(C389="",L389=""),"",IF(C389=L389,"同一","変更"))</f>
        <v/>
      </c>
      <c r="N389" s="29"/>
      <c r="O389" s="30"/>
      <c r="P389" s="29"/>
      <c r="Q389" s="31"/>
      <c r="R389" s="29"/>
      <c r="S389" s="29"/>
      <c r="T389" s="30"/>
      <c r="U389" s="47" t="str">
        <f aca="false">IF(AND(B389&lt;&gt;"",B389=SW別シート!$C$3),COUNTIF(B$5:B389,B389),"")</f>
        <v/>
      </c>
      <c r="V389" s="47" t="n">
        <f aca="false">V388+IF(OR(O389&lt;&gt;"",W389&lt;&gt;""),1,0)</f>
        <v>3</v>
      </c>
      <c r="W389" s="29"/>
    </row>
    <row r="390" customFormat="false" ht="15" hidden="false" customHeight="false" outlineLevel="0" collapsed="false">
      <c r="A390" s="32" t="str">
        <f aca="false">IF(B390="","",ROW()-7)</f>
        <v/>
      </c>
      <c r="B390" s="30"/>
      <c r="C390" s="29"/>
      <c r="D390" s="29"/>
      <c r="E390" s="29"/>
      <c r="F390" s="30"/>
      <c r="G390" s="29"/>
      <c r="H390" s="30"/>
      <c r="I390" s="29"/>
      <c r="J390" s="30"/>
      <c r="K390" s="30"/>
      <c r="L390" s="29"/>
      <c r="M390" s="32" t="str">
        <f aca="false">IF(OR(C390="",L390=""),"",IF(C390=L390,"同一","変更"))</f>
        <v/>
      </c>
      <c r="N390" s="29"/>
      <c r="O390" s="30"/>
      <c r="P390" s="29"/>
      <c r="Q390" s="31"/>
      <c r="R390" s="29"/>
      <c r="S390" s="29"/>
      <c r="T390" s="30"/>
      <c r="U390" s="47" t="str">
        <f aca="false">IF(AND(B390&lt;&gt;"",B390=SW別シート!$C$3),COUNTIF(B$5:B390,B390),"")</f>
        <v/>
      </c>
      <c r="V390" s="47" t="n">
        <f aca="false">V389+IF(OR(O390&lt;&gt;"",W390&lt;&gt;""),1,0)</f>
        <v>3</v>
      </c>
      <c r="W390" s="29"/>
    </row>
    <row r="391" customFormat="false" ht="15" hidden="false" customHeight="false" outlineLevel="0" collapsed="false">
      <c r="A391" s="32" t="str">
        <f aca="false">IF(B391="","",ROW()-7)</f>
        <v/>
      </c>
      <c r="B391" s="30"/>
      <c r="C391" s="29"/>
      <c r="D391" s="29"/>
      <c r="E391" s="29"/>
      <c r="F391" s="30"/>
      <c r="G391" s="29"/>
      <c r="H391" s="30"/>
      <c r="I391" s="29"/>
      <c r="J391" s="30"/>
      <c r="K391" s="30"/>
      <c r="L391" s="29"/>
      <c r="M391" s="32" t="str">
        <f aca="false">IF(OR(C391="",L391=""),"",IF(C391=L391,"同一","変更"))</f>
        <v/>
      </c>
      <c r="N391" s="29"/>
      <c r="O391" s="30"/>
      <c r="P391" s="29"/>
      <c r="Q391" s="31"/>
      <c r="R391" s="29"/>
      <c r="S391" s="29"/>
      <c r="T391" s="30"/>
      <c r="U391" s="47" t="str">
        <f aca="false">IF(AND(B391&lt;&gt;"",B391=SW別シート!$C$3),COUNTIF(B$5:B391,B391),"")</f>
        <v/>
      </c>
      <c r="V391" s="47" t="n">
        <f aca="false">V390+IF(OR(O391&lt;&gt;"",W391&lt;&gt;""),1,0)</f>
        <v>3</v>
      </c>
      <c r="W391" s="29"/>
    </row>
    <row r="392" customFormat="false" ht="15" hidden="false" customHeight="false" outlineLevel="0" collapsed="false">
      <c r="A392" s="32" t="str">
        <f aca="false">IF(B392="","",ROW()-7)</f>
        <v/>
      </c>
      <c r="B392" s="30"/>
      <c r="C392" s="29"/>
      <c r="D392" s="29"/>
      <c r="E392" s="29"/>
      <c r="F392" s="30"/>
      <c r="G392" s="29"/>
      <c r="H392" s="30"/>
      <c r="I392" s="29"/>
      <c r="J392" s="30"/>
      <c r="K392" s="30"/>
      <c r="L392" s="29"/>
      <c r="M392" s="32" t="str">
        <f aca="false">IF(OR(C392="",L392=""),"",IF(C392=L392,"同一","変更"))</f>
        <v/>
      </c>
      <c r="N392" s="29"/>
      <c r="O392" s="30"/>
      <c r="P392" s="29"/>
      <c r="Q392" s="31"/>
      <c r="R392" s="29"/>
      <c r="S392" s="29"/>
      <c r="T392" s="30"/>
      <c r="U392" s="47" t="str">
        <f aca="false">IF(AND(B392&lt;&gt;"",B392=SW別シート!$C$3),COUNTIF(B$5:B392,B392),"")</f>
        <v/>
      </c>
      <c r="V392" s="47" t="n">
        <f aca="false">V391+IF(OR(O392&lt;&gt;"",W392&lt;&gt;""),1,0)</f>
        <v>3</v>
      </c>
      <c r="W392" s="29"/>
    </row>
    <row r="393" customFormat="false" ht="15" hidden="false" customHeight="false" outlineLevel="0" collapsed="false">
      <c r="A393" s="32" t="str">
        <f aca="false">IF(B393="","",ROW()-7)</f>
        <v/>
      </c>
      <c r="B393" s="30"/>
      <c r="C393" s="29"/>
      <c r="D393" s="29"/>
      <c r="E393" s="29"/>
      <c r="F393" s="30"/>
      <c r="G393" s="29"/>
      <c r="H393" s="30"/>
      <c r="I393" s="29"/>
      <c r="J393" s="30"/>
      <c r="K393" s="30"/>
      <c r="L393" s="29"/>
      <c r="M393" s="32" t="str">
        <f aca="false">IF(OR(C393="",L393=""),"",IF(C393=L393,"同一","変更"))</f>
        <v/>
      </c>
      <c r="N393" s="29"/>
      <c r="O393" s="30"/>
      <c r="P393" s="29"/>
      <c r="Q393" s="31"/>
      <c r="R393" s="29"/>
      <c r="S393" s="29"/>
      <c r="T393" s="30"/>
      <c r="U393" s="47" t="str">
        <f aca="false">IF(AND(B393&lt;&gt;"",B393=SW別シート!$C$3),COUNTIF(B$5:B393,B393),"")</f>
        <v/>
      </c>
      <c r="V393" s="47" t="n">
        <f aca="false">V392+IF(OR(O393&lt;&gt;"",W393&lt;&gt;""),1,0)</f>
        <v>3</v>
      </c>
      <c r="W393" s="29"/>
    </row>
    <row r="394" customFormat="false" ht="15" hidden="false" customHeight="false" outlineLevel="0" collapsed="false">
      <c r="A394" s="32" t="str">
        <f aca="false">IF(B394="","",ROW()-7)</f>
        <v/>
      </c>
      <c r="B394" s="30"/>
      <c r="C394" s="29"/>
      <c r="D394" s="29"/>
      <c r="E394" s="29"/>
      <c r="F394" s="30"/>
      <c r="G394" s="29"/>
      <c r="H394" s="30"/>
      <c r="I394" s="29"/>
      <c r="J394" s="30"/>
      <c r="K394" s="30"/>
      <c r="L394" s="29"/>
      <c r="M394" s="32" t="str">
        <f aca="false">IF(OR(C394="",L394=""),"",IF(C394=L394,"同一","変更"))</f>
        <v/>
      </c>
      <c r="N394" s="29"/>
      <c r="O394" s="30"/>
      <c r="P394" s="29"/>
      <c r="Q394" s="31"/>
      <c r="R394" s="29"/>
      <c r="S394" s="29"/>
      <c r="T394" s="30"/>
      <c r="U394" s="47" t="str">
        <f aca="false">IF(AND(B394&lt;&gt;"",B394=SW別シート!$C$3),COUNTIF(B$5:B394,B394),"")</f>
        <v/>
      </c>
      <c r="V394" s="47" t="n">
        <f aca="false">V393+IF(OR(O394&lt;&gt;"",W394&lt;&gt;""),1,0)</f>
        <v>3</v>
      </c>
      <c r="W394" s="29"/>
    </row>
    <row r="395" customFormat="false" ht="15" hidden="false" customHeight="false" outlineLevel="0" collapsed="false">
      <c r="A395" s="32" t="str">
        <f aca="false">IF(B395="","",ROW()-7)</f>
        <v/>
      </c>
      <c r="B395" s="30"/>
      <c r="C395" s="29"/>
      <c r="D395" s="29"/>
      <c r="E395" s="29"/>
      <c r="F395" s="30"/>
      <c r="G395" s="29"/>
      <c r="H395" s="30"/>
      <c r="I395" s="29"/>
      <c r="J395" s="30"/>
      <c r="K395" s="30"/>
      <c r="L395" s="29"/>
      <c r="M395" s="32" t="str">
        <f aca="false">IF(OR(C395="",L395=""),"",IF(C395=L395,"同一","変更"))</f>
        <v/>
      </c>
      <c r="N395" s="29"/>
      <c r="O395" s="30"/>
      <c r="P395" s="29"/>
      <c r="Q395" s="31"/>
      <c r="R395" s="29"/>
      <c r="S395" s="29"/>
      <c r="T395" s="30"/>
      <c r="U395" s="47" t="str">
        <f aca="false">IF(AND(B395&lt;&gt;"",B395=SW別シート!$C$3),COUNTIF(B$5:B395,B395),"")</f>
        <v/>
      </c>
      <c r="V395" s="47" t="n">
        <f aca="false">V394+IF(OR(O395&lt;&gt;"",W395&lt;&gt;""),1,0)</f>
        <v>3</v>
      </c>
      <c r="W395" s="29"/>
    </row>
    <row r="396" customFormat="false" ht="15" hidden="false" customHeight="false" outlineLevel="0" collapsed="false">
      <c r="A396" s="32" t="str">
        <f aca="false">IF(B396="","",ROW()-7)</f>
        <v/>
      </c>
      <c r="B396" s="30"/>
      <c r="C396" s="29"/>
      <c r="D396" s="29"/>
      <c r="E396" s="29"/>
      <c r="F396" s="30"/>
      <c r="G396" s="29"/>
      <c r="H396" s="30"/>
      <c r="I396" s="29"/>
      <c r="J396" s="30"/>
      <c r="K396" s="30"/>
      <c r="L396" s="29"/>
      <c r="M396" s="32" t="str">
        <f aca="false">IF(OR(C396="",L396=""),"",IF(C396=L396,"同一","変更"))</f>
        <v/>
      </c>
      <c r="N396" s="29"/>
      <c r="O396" s="30"/>
      <c r="P396" s="29"/>
      <c r="Q396" s="31"/>
      <c r="R396" s="29"/>
      <c r="S396" s="29"/>
      <c r="T396" s="30"/>
      <c r="U396" s="47" t="str">
        <f aca="false">IF(AND(B396&lt;&gt;"",B396=SW別シート!$C$3),COUNTIF(B$5:B396,B396),"")</f>
        <v/>
      </c>
      <c r="V396" s="47" t="n">
        <f aca="false">V395+IF(OR(O396&lt;&gt;"",W396&lt;&gt;""),1,0)</f>
        <v>3</v>
      </c>
      <c r="W396" s="29"/>
    </row>
    <row r="397" customFormat="false" ht="15" hidden="false" customHeight="false" outlineLevel="0" collapsed="false">
      <c r="A397" s="32" t="str">
        <f aca="false">IF(B397="","",ROW()-7)</f>
        <v/>
      </c>
      <c r="B397" s="30"/>
      <c r="C397" s="29"/>
      <c r="D397" s="29"/>
      <c r="E397" s="29"/>
      <c r="F397" s="30"/>
      <c r="G397" s="29"/>
      <c r="H397" s="30"/>
      <c r="I397" s="29"/>
      <c r="J397" s="30"/>
      <c r="K397" s="30"/>
      <c r="L397" s="29"/>
      <c r="M397" s="32" t="str">
        <f aca="false">IF(OR(C397="",L397=""),"",IF(C397=L397,"同一","変更"))</f>
        <v/>
      </c>
      <c r="N397" s="29"/>
      <c r="O397" s="30"/>
      <c r="P397" s="29"/>
      <c r="Q397" s="31"/>
      <c r="R397" s="29"/>
      <c r="S397" s="29"/>
      <c r="T397" s="30"/>
      <c r="U397" s="47" t="str">
        <f aca="false">IF(AND(B397&lt;&gt;"",B397=SW別シート!$C$3),COUNTIF(B$5:B397,B397),"")</f>
        <v/>
      </c>
      <c r="V397" s="47" t="n">
        <f aca="false">V396+IF(OR(O397&lt;&gt;"",W397&lt;&gt;""),1,0)</f>
        <v>3</v>
      </c>
      <c r="W397" s="29"/>
    </row>
    <row r="398" customFormat="false" ht="15" hidden="false" customHeight="false" outlineLevel="0" collapsed="false">
      <c r="A398" s="32" t="str">
        <f aca="false">IF(B398="","",ROW()-7)</f>
        <v/>
      </c>
      <c r="B398" s="30"/>
      <c r="C398" s="29"/>
      <c r="D398" s="29"/>
      <c r="E398" s="29"/>
      <c r="F398" s="30"/>
      <c r="G398" s="29"/>
      <c r="H398" s="30"/>
      <c r="I398" s="29"/>
      <c r="J398" s="30"/>
      <c r="K398" s="30"/>
      <c r="L398" s="29"/>
      <c r="M398" s="32" t="str">
        <f aca="false">IF(OR(C398="",L398=""),"",IF(C398=L398,"同一","変更"))</f>
        <v/>
      </c>
      <c r="N398" s="29"/>
      <c r="O398" s="30"/>
      <c r="P398" s="29"/>
      <c r="Q398" s="31"/>
      <c r="R398" s="29"/>
      <c r="S398" s="29"/>
      <c r="T398" s="30"/>
      <c r="U398" s="47" t="str">
        <f aca="false">IF(AND(B398&lt;&gt;"",B398=SW別シート!$C$3),COUNTIF(B$5:B398,B398),"")</f>
        <v/>
      </c>
      <c r="V398" s="47" t="n">
        <f aca="false">V397+IF(OR(O398&lt;&gt;"",W398&lt;&gt;""),1,0)</f>
        <v>3</v>
      </c>
      <c r="W398" s="29"/>
    </row>
    <row r="399" customFormat="false" ht="15" hidden="false" customHeight="false" outlineLevel="0" collapsed="false">
      <c r="A399" s="32" t="str">
        <f aca="false">IF(B399="","",ROW()-7)</f>
        <v/>
      </c>
      <c r="B399" s="30"/>
      <c r="C399" s="29"/>
      <c r="D399" s="29"/>
      <c r="E399" s="29"/>
      <c r="F399" s="30"/>
      <c r="G399" s="29"/>
      <c r="H399" s="30"/>
      <c r="I399" s="29"/>
      <c r="J399" s="30"/>
      <c r="K399" s="30"/>
      <c r="L399" s="29"/>
      <c r="M399" s="32" t="str">
        <f aca="false">IF(OR(C399="",L399=""),"",IF(C399=L399,"同一","変更"))</f>
        <v/>
      </c>
      <c r="N399" s="29"/>
      <c r="O399" s="30"/>
      <c r="P399" s="29"/>
      <c r="Q399" s="31"/>
      <c r="R399" s="29"/>
      <c r="S399" s="29"/>
      <c r="T399" s="30"/>
      <c r="U399" s="47" t="str">
        <f aca="false">IF(AND(B399&lt;&gt;"",B399=SW別シート!$C$3),COUNTIF(B$5:B399,B399),"")</f>
        <v/>
      </c>
      <c r="V399" s="47" t="n">
        <f aca="false">V398+IF(OR(O399&lt;&gt;"",W399&lt;&gt;""),1,0)</f>
        <v>3</v>
      </c>
      <c r="W399" s="29"/>
    </row>
    <row r="400" customFormat="false" ht="15" hidden="false" customHeight="false" outlineLevel="0" collapsed="false">
      <c r="A400" s="32" t="str">
        <f aca="false">IF(B400="","",ROW()-7)</f>
        <v/>
      </c>
      <c r="B400" s="30"/>
      <c r="C400" s="29"/>
      <c r="D400" s="29"/>
      <c r="E400" s="29"/>
      <c r="F400" s="30"/>
      <c r="G400" s="29"/>
      <c r="H400" s="30"/>
      <c r="I400" s="29"/>
      <c r="J400" s="30"/>
      <c r="K400" s="30"/>
      <c r="L400" s="29"/>
      <c r="M400" s="32" t="str">
        <f aca="false">IF(OR(C400="",L400=""),"",IF(C400=L400,"同一","変更"))</f>
        <v/>
      </c>
      <c r="N400" s="29"/>
      <c r="O400" s="30"/>
      <c r="P400" s="29"/>
      <c r="Q400" s="31"/>
      <c r="R400" s="29"/>
      <c r="S400" s="29"/>
      <c r="T400" s="30"/>
      <c r="U400" s="47" t="str">
        <f aca="false">IF(AND(B400&lt;&gt;"",B400=SW別シート!$C$3),COUNTIF(B$5:B400,B400),"")</f>
        <v/>
      </c>
      <c r="V400" s="47" t="n">
        <f aca="false">V399+IF(OR(O400&lt;&gt;"",W400&lt;&gt;""),1,0)</f>
        <v>3</v>
      </c>
      <c r="W400" s="29"/>
    </row>
    <row r="401" customFormat="false" ht="15" hidden="false" customHeight="false" outlineLevel="0" collapsed="false">
      <c r="A401" s="32" t="str">
        <f aca="false">IF(B401="","",ROW()-7)</f>
        <v/>
      </c>
      <c r="B401" s="30"/>
      <c r="C401" s="29"/>
      <c r="D401" s="29"/>
      <c r="E401" s="29"/>
      <c r="F401" s="30"/>
      <c r="G401" s="29"/>
      <c r="H401" s="30"/>
      <c r="I401" s="29"/>
      <c r="J401" s="30"/>
      <c r="K401" s="30"/>
      <c r="L401" s="29"/>
      <c r="M401" s="32" t="str">
        <f aca="false">IF(OR(C401="",L401=""),"",IF(C401=L401,"同一","変更"))</f>
        <v/>
      </c>
      <c r="N401" s="29"/>
      <c r="O401" s="30"/>
      <c r="P401" s="29"/>
      <c r="Q401" s="31"/>
      <c r="R401" s="29"/>
      <c r="S401" s="29"/>
      <c r="T401" s="30"/>
      <c r="U401" s="47" t="str">
        <f aca="false">IF(AND(B401&lt;&gt;"",B401=SW別シート!$C$3),COUNTIF(B$5:B401,B401),"")</f>
        <v/>
      </c>
      <c r="V401" s="47" t="n">
        <f aca="false">V400+IF(OR(O401&lt;&gt;"",W401&lt;&gt;""),1,0)</f>
        <v>3</v>
      </c>
      <c r="W401" s="29"/>
    </row>
    <row r="402" customFormat="false" ht="15" hidden="false" customHeight="false" outlineLevel="0" collapsed="false">
      <c r="A402" s="32" t="str">
        <f aca="false">IF(B402="","",ROW()-7)</f>
        <v/>
      </c>
      <c r="B402" s="30"/>
      <c r="C402" s="29"/>
      <c r="D402" s="29"/>
      <c r="E402" s="29"/>
      <c r="F402" s="30"/>
      <c r="G402" s="29"/>
      <c r="H402" s="30"/>
      <c r="I402" s="29"/>
      <c r="J402" s="30"/>
      <c r="K402" s="30"/>
      <c r="L402" s="29"/>
      <c r="M402" s="32" t="str">
        <f aca="false">IF(OR(C402="",L402=""),"",IF(C402=L402,"同一","変更"))</f>
        <v/>
      </c>
      <c r="N402" s="29"/>
      <c r="O402" s="30"/>
      <c r="P402" s="29"/>
      <c r="Q402" s="31"/>
      <c r="R402" s="29"/>
      <c r="S402" s="29"/>
      <c r="T402" s="30"/>
      <c r="U402" s="47" t="str">
        <f aca="false">IF(AND(B402&lt;&gt;"",B402=SW別シート!$C$3),COUNTIF(B$5:B402,B402),"")</f>
        <v/>
      </c>
      <c r="V402" s="47" t="n">
        <f aca="false">V401+IF(OR(O402&lt;&gt;"",W402&lt;&gt;""),1,0)</f>
        <v>3</v>
      </c>
      <c r="W402" s="29"/>
    </row>
    <row r="403" customFormat="false" ht="15" hidden="false" customHeight="false" outlineLevel="0" collapsed="false">
      <c r="A403" s="32" t="str">
        <f aca="false">IF(B403="","",ROW()-7)</f>
        <v/>
      </c>
      <c r="B403" s="30"/>
      <c r="C403" s="29"/>
      <c r="D403" s="29"/>
      <c r="E403" s="29"/>
      <c r="F403" s="30"/>
      <c r="G403" s="29"/>
      <c r="H403" s="30"/>
      <c r="I403" s="29"/>
      <c r="J403" s="30"/>
      <c r="K403" s="30"/>
      <c r="L403" s="29"/>
      <c r="M403" s="32" t="str">
        <f aca="false">IF(OR(C403="",L403=""),"",IF(C403=L403,"同一","変更"))</f>
        <v/>
      </c>
      <c r="N403" s="29"/>
      <c r="O403" s="30"/>
      <c r="P403" s="29"/>
      <c r="Q403" s="31"/>
      <c r="R403" s="29"/>
      <c r="S403" s="29"/>
      <c r="T403" s="30"/>
      <c r="U403" s="47" t="str">
        <f aca="false">IF(AND(B403&lt;&gt;"",B403=SW別シート!$C$3),COUNTIF(B$5:B403,B403),"")</f>
        <v/>
      </c>
      <c r="V403" s="47" t="n">
        <f aca="false">V402+IF(OR(O403&lt;&gt;"",W403&lt;&gt;""),1,0)</f>
        <v>3</v>
      </c>
      <c r="W403" s="29"/>
    </row>
    <row r="404" customFormat="false" ht="15" hidden="false" customHeight="false" outlineLevel="0" collapsed="false">
      <c r="A404" s="32" t="str">
        <f aca="false">IF(B404="","",ROW()-7)</f>
        <v/>
      </c>
      <c r="B404" s="30"/>
      <c r="C404" s="29"/>
      <c r="D404" s="29"/>
      <c r="E404" s="29"/>
      <c r="F404" s="30"/>
      <c r="G404" s="29"/>
      <c r="H404" s="30"/>
      <c r="I404" s="29"/>
      <c r="J404" s="30"/>
      <c r="K404" s="30"/>
      <c r="L404" s="29"/>
      <c r="M404" s="32" t="str">
        <f aca="false">IF(OR(C404="",L404=""),"",IF(C404=L404,"同一","変更"))</f>
        <v/>
      </c>
      <c r="N404" s="29"/>
      <c r="O404" s="30"/>
      <c r="P404" s="29"/>
      <c r="Q404" s="31"/>
      <c r="R404" s="29"/>
      <c r="S404" s="29"/>
      <c r="T404" s="30"/>
      <c r="U404" s="47" t="str">
        <f aca="false">IF(AND(B404&lt;&gt;"",B404=SW別シート!$C$3),COUNTIF(B$5:B404,B404),"")</f>
        <v/>
      </c>
      <c r="V404" s="47" t="n">
        <f aca="false">V403+IF(OR(O404&lt;&gt;"",W404&lt;&gt;""),1,0)</f>
        <v>3</v>
      </c>
      <c r="W404" s="29"/>
    </row>
    <row r="405" customFormat="false" ht="15" hidden="false" customHeight="false" outlineLevel="0" collapsed="false">
      <c r="A405" s="32" t="str">
        <f aca="false">IF(B405="","",ROW()-7)</f>
        <v/>
      </c>
      <c r="B405" s="30"/>
      <c r="C405" s="29"/>
      <c r="D405" s="29"/>
      <c r="E405" s="29"/>
      <c r="F405" s="30"/>
      <c r="G405" s="29"/>
      <c r="H405" s="30"/>
      <c r="I405" s="29"/>
      <c r="J405" s="30"/>
      <c r="K405" s="30"/>
      <c r="L405" s="29"/>
      <c r="M405" s="32" t="str">
        <f aca="false">IF(OR(C405="",L405=""),"",IF(C405=L405,"同一","変更"))</f>
        <v/>
      </c>
      <c r="N405" s="29"/>
      <c r="O405" s="30"/>
      <c r="P405" s="29"/>
      <c r="Q405" s="31"/>
      <c r="R405" s="29"/>
      <c r="S405" s="29"/>
      <c r="T405" s="30"/>
      <c r="U405" s="47" t="str">
        <f aca="false">IF(AND(B405&lt;&gt;"",B405=SW別シート!$C$3),COUNTIF(B$5:B405,B405),"")</f>
        <v/>
      </c>
      <c r="V405" s="47" t="n">
        <f aca="false">V404+IF(OR(O405&lt;&gt;"",W405&lt;&gt;""),1,0)</f>
        <v>3</v>
      </c>
      <c r="W405" s="29"/>
    </row>
    <row r="406" customFormat="false" ht="15" hidden="false" customHeight="false" outlineLevel="0" collapsed="false">
      <c r="A406" s="32" t="str">
        <f aca="false">IF(B406="","",ROW()-7)</f>
        <v/>
      </c>
      <c r="B406" s="30"/>
      <c r="C406" s="29"/>
      <c r="D406" s="29"/>
      <c r="E406" s="29"/>
      <c r="F406" s="30"/>
      <c r="G406" s="29"/>
      <c r="H406" s="30"/>
      <c r="I406" s="29"/>
      <c r="J406" s="30"/>
      <c r="K406" s="30"/>
      <c r="L406" s="29"/>
      <c r="M406" s="32" t="str">
        <f aca="false">IF(OR(C406="",L406=""),"",IF(C406=L406,"同一","変更"))</f>
        <v/>
      </c>
      <c r="N406" s="29"/>
      <c r="O406" s="30"/>
      <c r="P406" s="29"/>
      <c r="Q406" s="31"/>
      <c r="R406" s="29"/>
      <c r="S406" s="29"/>
      <c r="T406" s="30"/>
      <c r="U406" s="47" t="str">
        <f aca="false">IF(AND(B406&lt;&gt;"",B406=SW別シート!$C$3),COUNTIF(B$5:B406,B406),"")</f>
        <v/>
      </c>
      <c r="V406" s="47" t="n">
        <f aca="false">V405+IF(OR(O406&lt;&gt;"",W406&lt;&gt;""),1,0)</f>
        <v>3</v>
      </c>
      <c r="W406" s="29"/>
    </row>
    <row r="407" customFormat="false" ht="15" hidden="false" customHeight="false" outlineLevel="0" collapsed="false">
      <c r="A407" s="32" t="str">
        <f aca="false">IF(B407="","",ROW()-7)</f>
        <v/>
      </c>
      <c r="B407" s="30"/>
      <c r="C407" s="29"/>
      <c r="D407" s="29"/>
      <c r="E407" s="29"/>
      <c r="F407" s="30"/>
      <c r="G407" s="29"/>
      <c r="H407" s="30"/>
      <c r="I407" s="29"/>
      <c r="J407" s="30"/>
      <c r="K407" s="30"/>
      <c r="L407" s="29"/>
      <c r="M407" s="32" t="str">
        <f aca="false">IF(OR(C407="",L407=""),"",IF(C407=L407,"同一","変更"))</f>
        <v/>
      </c>
      <c r="N407" s="29"/>
      <c r="O407" s="30"/>
      <c r="P407" s="29"/>
      <c r="Q407" s="31"/>
      <c r="R407" s="29"/>
      <c r="S407" s="29"/>
      <c r="T407" s="30"/>
      <c r="U407" s="47" t="str">
        <f aca="false">IF(AND(B407&lt;&gt;"",B407=SW別シート!$C$3),COUNTIF(B$5:B407,B407),"")</f>
        <v/>
      </c>
      <c r="V407" s="47" t="n">
        <f aca="false">V406+IF(OR(O407&lt;&gt;"",W407&lt;&gt;""),1,0)</f>
        <v>3</v>
      </c>
      <c r="W407" s="29"/>
    </row>
    <row r="408" customFormat="false" ht="15" hidden="false" customHeight="false" outlineLevel="0" collapsed="false">
      <c r="A408" s="32" t="str">
        <f aca="false">IF(B408="","",ROW()-7)</f>
        <v/>
      </c>
      <c r="B408" s="30"/>
      <c r="C408" s="29"/>
      <c r="D408" s="29"/>
      <c r="E408" s="29"/>
      <c r="F408" s="30"/>
      <c r="G408" s="29"/>
      <c r="H408" s="30"/>
      <c r="I408" s="29"/>
      <c r="J408" s="30"/>
      <c r="K408" s="30"/>
      <c r="L408" s="29"/>
      <c r="M408" s="32" t="str">
        <f aca="false">IF(OR(C408="",L408=""),"",IF(C408=L408,"同一","変更"))</f>
        <v/>
      </c>
      <c r="N408" s="29"/>
      <c r="O408" s="30"/>
      <c r="P408" s="29"/>
      <c r="Q408" s="31"/>
      <c r="R408" s="29"/>
      <c r="S408" s="29"/>
      <c r="T408" s="30"/>
      <c r="U408" s="47" t="str">
        <f aca="false">IF(AND(B408&lt;&gt;"",B408=SW別シート!$C$3),COUNTIF(B$5:B408,B408),"")</f>
        <v/>
      </c>
      <c r="V408" s="47" t="n">
        <f aca="false">V407+IF(OR(O408&lt;&gt;"",W408&lt;&gt;""),1,0)</f>
        <v>3</v>
      </c>
      <c r="W408" s="29"/>
    </row>
    <row r="409" customFormat="false" ht="15" hidden="false" customHeight="false" outlineLevel="0" collapsed="false">
      <c r="A409" s="32" t="str">
        <f aca="false">IF(B409="","",ROW()-7)</f>
        <v/>
      </c>
      <c r="B409" s="30"/>
      <c r="C409" s="29"/>
      <c r="D409" s="29"/>
      <c r="E409" s="29"/>
      <c r="F409" s="30"/>
      <c r="G409" s="29"/>
      <c r="H409" s="30"/>
      <c r="I409" s="29"/>
      <c r="J409" s="30"/>
      <c r="K409" s="30"/>
      <c r="L409" s="29"/>
      <c r="M409" s="32" t="str">
        <f aca="false">IF(OR(C409="",L409=""),"",IF(C409=L409,"同一","変更"))</f>
        <v/>
      </c>
      <c r="N409" s="29"/>
      <c r="O409" s="30"/>
      <c r="P409" s="29"/>
      <c r="Q409" s="31"/>
      <c r="R409" s="29"/>
      <c r="S409" s="29"/>
      <c r="T409" s="30"/>
      <c r="U409" s="47" t="str">
        <f aca="false">IF(AND(B409&lt;&gt;"",B409=SW別シート!$C$3),COUNTIF(B$5:B409,B409),"")</f>
        <v/>
      </c>
      <c r="V409" s="47" t="n">
        <f aca="false">V408+IF(OR(O409&lt;&gt;"",W409&lt;&gt;""),1,0)</f>
        <v>3</v>
      </c>
      <c r="W409" s="29"/>
    </row>
    <row r="410" customFormat="false" ht="15" hidden="false" customHeight="false" outlineLevel="0" collapsed="false">
      <c r="A410" s="32" t="str">
        <f aca="false">IF(B410="","",ROW()-7)</f>
        <v/>
      </c>
      <c r="B410" s="30"/>
      <c r="C410" s="29"/>
      <c r="D410" s="29"/>
      <c r="E410" s="29"/>
      <c r="F410" s="30"/>
      <c r="G410" s="29"/>
      <c r="H410" s="30"/>
      <c r="I410" s="29"/>
      <c r="J410" s="30"/>
      <c r="K410" s="30"/>
      <c r="L410" s="29"/>
      <c r="M410" s="32" t="str">
        <f aca="false">IF(OR(C410="",L410=""),"",IF(C410=L410,"同一","変更"))</f>
        <v/>
      </c>
      <c r="N410" s="29"/>
      <c r="O410" s="30"/>
      <c r="P410" s="29"/>
      <c r="Q410" s="31"/>
      <c r="R410" s="29"/>
      <c r="S410" s="29"/>
      <c r="T410" s="30"/>
      <c r="U410" s="47" t="str">
        <f aca="false">IF(AND(B410&lt;&gt;"",B410=SW別シート!$C$3),COUNTIF(B$5:B410,B410),"")</f>
        <v/>
      </c>
      <c r="V410" s="47" t="n">
        <f aca="false">V409+IF(OR(O410&lt;&gt;"",W410&lt;&gt;""),1,0)</f>
        <v>3</v>
      </c>
      <c r="W410" s="29"/>
    </row>
    <row r="411" customFormat="false" ht="15" hidden="false" customHeight="false" outlineLevel="0" collapsed="false">
      <c r="A411" s="32" t="str">
        <f aca="false">IF(B411="","",ROW()-7)</f>
        <v/>
      </c>
      <c r="B411" s="30"/>
      <c r="C411" s="29"/>
      <c r="D411" s="29"/>
      <c r="E411" s="29"/>
      <c r="F411" s="30"/>
      <c r="G411" s="29"/>
      <c r="H411" s="30"/>
      <c r="I411" s="29"/>
      <c r="J411" s="30"/>
      <c r="K411" s="30"/>
      <c r="L411" s="29"/>
      <c r="M411" s="32" t="str">
        <f aca="false">IF(OR(C411="",L411=""),"",IF(C411=L411,"同一","変更"))</f>
        <v/>
      </c>
      <c r="N411" s="29"/>
      <c r="O411" s="30"/>
      <c r="P411" s="29"/>
      <c r="Q411" s="31"/>
      <c r="R411" s="29"/>
      <c r="S411" s="29"/>
      <c r="T411" s="30"/>
      <c r="U411" s="47" t="str">
        <f aca="false">IF(AND(B411&lt;&gt;"",B411=SW別シート!$C$3),COUNTIF(B$5:B411,B411),"")</f>
        <v/>
      </c>
      <c r="V411" s="47" t="n">
        <f aca="false">V410+IF(OR(O411&lt;&gt;"",W411&lt;&gt;""),1,0)</f>
        <v>3</v>
      </c>
      <c r="W411" s="29"/>
    </row>
    <row r="412" customFormat="false" ht="15" hidden="false" customHeight="false" outlineLevel="0" collapsed="false">
      <c r="A412" s="32" t="str">
        <f aca="false">IF(B412="","",ROW()-7)</f>
        <v/>
      </c>
      <c r="B412" s="30"/>
      <c r="C412" s="29"/>
      <c r="D412" s="29"/>
      <c r="E412" s="29"/>
      <c r="F412" s="30"/>
      <c r="G412" s="29"/>
      <c r="H412" s="30"/>
      <c r="I412" s="29"/>
      <c r="J412" s="30"/>
      <c r="K412" s="30"/>
      <c r="L412" s="29"/>
      <c r="M412" s="32" t="str">
        <f aca="false">IF(OR(C412="",L412=""),"",IF(C412=L412,"同一","変更"))</f>
        <v/>
      </c>
      <c r="N412" s="29"/>
      <c r="O412" s="30"/>
      <c r="P412" s="29"/>
      <c r="Q412" s="31"/>
      <c r="R412" s="29"/>
      <c r="S412" s="29"/>
      <c r="T412" s="30"/>
      <c r="U412" s="47" t="str">
        <f aca="false">IF(AND(B412&lt;&gt;"",B412=SW別シート!$C$3),COUNTIF(B$5:B412,B412),"")</f>
        <v/>
      </c>
      <c r="V412" s="47" t="n">
        <f aca="false">V411+IF(OR(O412&lt;&gt;"",W412&lt;&gt;""),1,0)</f>
        <v>3</v>
      </c>
      <c r="W412" s="29"/>
    </row>
    <row r="413" customFormat="false" ht="15" hidden="false" customHeight="false" outlineLevel="0" collapsed="false">
      <c r="A413" s="32" t="str">
        <f aca="false">IF(B413="","",ROW()-7)</f>
        <v/>
      </c>
      <c r="B413" s="30"/>
      <c r="C413" s="29"/>
      <c r="D413" s="29"/>
      <c r="E413" s="29"/>
      <c r="F413" s="30"/>
      <c r="G413" s="29"/>
      <c r="H413" s="30"/>
      <c r="I413" s="29"/>
      <c r="J413" s="30"/>
      <c r="K413" s="30"/>
      <c r="L413" s="29"/>
      <c r="M413" s="32" t="str">
        <f aca="false">IF(OR(C413="",L413=""),"",IF(C413=L413,"同一","変更"))</f>
        <v/>
      </c>
      <c r="N413" s="29"/>
      <c r="O413" s="30"/>
      <c r="P413" s="29"/>
      <c r="Q413" s="31"/>
      <c r="R413" s="29"/>
      <c r="S413" s="29"/>
      <c r="T413" s="30"/>
      <c r="U413" s="47" t="str">
        <f aca="false">IF(AND(B413&lt;&gt;"",B413=SW別シート!$C$3),COUNTIF(B$5:B413,B413),"")</f>
        <v/>
      </c>
      <c r="V413" s="47" t="n">
        <f aca="false">V412+IF(OR(O413&lt;&gt;"",W413&lt;&gt;""),1,0)</f>
        <v>3</v>
      </c>
      <c r="W413" s="29"/>
    </row>
    <row r="414" customFormat="false" ht="15" hidden="false" customHeight="false" outlineLevel="0" collapsed="false">
      <c r="A414" s="32" t="str">
        <f aca="false">IF(B414="","",ROW()-7)</f>
        <v/>
      </c>
      <c r="B414" s="30"/>
      <c r="C414" s="29"/>
      <c r="D414" s="29"/>
      <c r="E414" s="29"/>
      <c r="F414" s="30"/>
      <c r="G414" s="29"/>
      <c r="H414" s="30"/>
      <c r="I414" s="29"/>
      <c r="J414" s="30"/>
      <c r="K414" s="30"/>
      <c r="L414" s="29"/>
      <c r="M414" s="32" t="str">
        <f aca="false">IF(OR(C414="",L414=""),"",IF(C414=L414,"同一","変更"))</f>
        <v/>
      </c>
      <c r="N414" s="29"/>
      <c r="O414" s="30"/>
      <c r="P414" s="29"/>
      <c r="Q414" s="31"/>
      <c r="R414" s="29"/>
      <c r="S414" s="29"/>
      <c r="T414" s="30"/>
      <c r="U414" s="47" t="str">
        <f aca="false">IF(AND(B414&lt;&gt;"",B414=SW別シート!$C$3),COUNTIF(B$5:B414,B414),"")</f>
        <v/>
      </c>
      <c r="V414" s="47" t="n">
        <f aca="false">V413+IF(OR(O414&lt;&gt;"",W414&lt;&gt;""),1,0)</f>
        <v>3</v>
      </c>
      <c r="W414" s="29"/>
    </row>
    <row r="415" customFormat="false" ht="15" hidden="false" customHeight="false" outlineLevel="0" collapsed="false">
      <c r="A415" s="32" t="str">
        <f aca="false">IF(B415="","",ROW()-7)</f>
        <v/>
      </c>
      <c r="B415" s="30"/>
      <c r="C415" s="29"/>
      <c r="D415" s="29"/>
      <c r="E415" s="29"/>
      <c r="F415" s="30"/>
      <c r="G415" s="29"/>
      <c r="H415" s="30"/>
      <c r="I415" s="29"/>
      <c r="J415" s="30"/>
      <c r="K415" s="30"/>
      <c r="L415" s="29"/>
      <c r="M415" s="32" t="str">
        <f aca="false">IF(OR(C415="",L415=""),"",IF(C415=L415,"同一","変更"))</f>
        <v/>
      </c>
      <c r="N415" s="29"/>
      <c r="O415" s="30"/>
      <c r="P415" s="29"/>
      <c r="Q415" s="31"/>
      <c r="R415" s="29"/>
      <c r="S415" s="29"/>
      <c r="T415" s="30"/>
      <c r="U415" s="47" t="str">
        <f aca="false">IF(AND(B415&lt;&gt;"",B415=SW別シート!$C$3),COUNTIF(B$5:B415,B415),"")</f>
        <v/>
      </c>
      <c r="V415" s="47" t="n">
        <f aca="false">V414+IF(OR(O415&lt;&gt;"",W415&lt;&gt;""),1,0)</f>
        <v>3</v>
      </c>
      <c r="W415" s="29"/>
    </row>
    <row r="416" customFormat="false" ht="15" hidden="false" customHeight="false" outlineLevel="0" collapsed="false">
      <c r="A416" s="32" t="str">
        <f aca="false">IF(B416="","",ROW()-7)</f>
        <v/>
      </c>
      <c r="B416" s="30"/>
      <c r="C416" s="29"/>
      <c r="D416" s="29"/>
      <c r="E416" s="29"/>
      <c r="F416" s="30"/>
      <c r="G416" s="29"/>
      <c r="H416" s="30"/>
      <c r="I416" s="29"/>
      <c r="J416" s="30"/>
      <c r="K416" s="30"/>
      <c r="L416" s="29"/>
      <c r="M416" s="32" t="str">
        <f aca="false">IF(OR(C416="",L416=""),"",IF(C416=L416,"同一","変更"))</f>
        <v/>
      </c>
      <c r="N416" s="29"/>
      <c r="O416" s="30"/>
      <c r="P416" s="29"/>
      <c r="Q416" s="31"/>
      <c r="R416" s="29"/>
      <c r="S416" s="29"/>
      <c r="T416" s="30"/>
      <c r="U416" s="47" t="str">
        <f aca="false">IF(AND(B416&lt;&gt;"",B416=SW別シート!$C$3),COUNTIF(B$5:B416,B416),"")</f>
        <v/>
      </c>
      <c r="V416" s="47" t="n">
        <f aca="false">V415+IF(OR(O416&lt;&gt;"",W416&lt;&gt;""),1,0)</f>
        <v>3</v>
      </c>
      <c r="W416" s="29"/>
    </row>
    <row r="417" customFormat="false" ht="15" hidden="false" customHeight="false" outlineLevel="0" collapsed="false">
      <c r="A417" s="32" t="str">
        <f aca="false">IF(B417="","",ROW()-7)</f>
        <v/>
      </c>
      <c r="B417" s="30"/>
      <c r="C417" s="29"/>
      <c r="D417" s="29"/>
      <c r="E417" s="29"/>
      <c r="F417" s="30"/>
      <c r="G417" s="29"/>
      <c r="H417" s="30"/>
      <c r="I417" s="29"/>
      <c r="J417" s="30"/>
      <c r="K417" s="30"/>
      <c r="L417" s="29"/>
      <c r="M417" s="32" t="str">
        <f aca="false">IF(OR(C417="",L417=""),"",IF(C417=L417,"同一","変更"))</f>
        <v/>
      </c>
      <c r="N417" s="29"/>
      <c r="O417" s="30"/>
      <c r="P417" s="29"/>
      <c r="Q417" s="31"/>
      <c r="R417" s="29"/>
      <c r="S417" s="29"/>
      <c r="T417" s="30"/>
      <c r="U417" s="47" t="str">
        <f aca="false">IF(AND(B417&lt;&gt;"",B417=SW別シート!$C$3),COUNTIF(B$5:B417,B417),"")</f>
        <v/>
      </c>
      <c r="V417" s="47" t="n">
        <f aca="false">V416+IF(OR(O417&lt;&gt;"",W417&lt;&gt;""),1,0)</f>
        <v>3</v>
      </c>
      <c r="W417" s="29"/>
    </row>
    <row r="418" customFormat="false" ht="15" hidden="false" customHeight="false" outlineLevel="0" collapsed="false">
      <c r="A418" s="32" t="str">
        <f aca="false">IF(B418="","",ROW()-7)</f>
        <v/>
      </c>
      <c r="B418" s="30"/>
      <c r="C418" s="29"/>
      <c r="D418" s="29"/>
      <c r="E418" s="29"/>
      <c r="F418" s="30"/>
      <c r="G418" s="29"/>
      <c r="H418" s="30"/>
      <c r="I418" s="29"/>
      <c r="J418" s="30"/>
      <c r="K418" s="30"/>
      <c r="L418" s="29"/>
      <c r="M418" s="32" t="str">
        <f aca="false">IF(OR(C418="",L418=""),"",IF(C418=L418,"同一","変更"))</f>
        <v/>
      </c>
      <c r="N418" s="29"/>
      <c r="O418" s="30"/>
      <c r="P418" s="29"/>
      <c r="Q418" s="31"/>
      <c r="R418" s="29"/>
      <c r="S418" s="29"/>
      <c r="T418" s="30"/>
      <c r="U418" s="47" t="str">
        <f aca="false">IF(AND(B418&lt;&gt;"",B418=SW別シート!$C$3),COUNTIF(B$5:B418,B418),"")</f>
        <v/>
      </c>
      <c r="V418" s="47" t="n">
        <f aca="false">V417+IF(OR(O418&lt;&gt;"",W418&lt;&gt;""),1,0)</f>
        <v>3</v>
      </c>
      <c r="W418" s="29"/>
    </row>
    <row r="419" customFormat="false" ht="15" hidden="false" customHeight="false" outlineLevel="0" collapsed="false">
      <c r="A419" s="32" t="str">
        <f aca="false">IF(B419="","",ROW()-7)</f>
        <v/>
      </c>
      <c r="B419" s="30"/>
      <c r="C419" s="29"/>
      <c r="D419" s="29"/>
      <c r="E419" s="29"/>
      <c r="F419" s="30"/>
      <c r="G419" s="29"/>
      <c r="H419" s="30"/>
      <c r="I419" s="29"/>
      <c r="J419" s="30"/>
      <c r="K419" s="30"/>
      <c r="L419" s="29"/>
      <c r="M419" s="32" t="str">
        <f aca="false">IF(OR(C419="",L419=""),"",IF(C419=L419,"同一","変更"))</f>
        <v/>
      </c>
      <c r="N419" s="29"/>
      <c r="O419" s="30"/>
      <c r="P419" s="29"/>
      <c r="Q419" s="31"/>
      <c r="R419" s="29"/>
      <c r="S419" s="29"/>
      <c r="T419" s="30"/>
      <c r="U419" s="47" t="str">
        <f aca="false">IF(AND(B419&lt;&gt;"",B419=SW別シート!$C$3),COUNTIF(B$5:B419,B419),"")</f>
        <v/>
      </c>
      <c r="V419" s="47" t="n">
        <f aca="false">V418+IF(OR(O419&lt;&gt;"",W419&lt;&gt;""),1,0)</f>
        <v>3</v>
      </c>
      <c r="W419" s="29"/>
    </row>
    <row r="420" customFormat="false" ht="15" hidden="false" customHeight="false" outlineLevel="0" collapsed="false">
      <c r="A420" s="32" t="str">
        <f aca="false">IF(B420="","",ROW()-7)</f>
        <v/>
      </c>
      <c r="B420" s="30"/>
      <c r="C420" s="29"/>
      <c r="D420" s="29"/>
      <c r="E420" s="29"/>
      <c r="F420" s="30"/>
      <c r="G420" s="29"/>
      <c r="H420" s="30"/>
      <c r="I420" s="29"/>
      <c r="J420" s="30"/>
      <c r="K420" s="30"/>
      <c r="L420" s="29"/>
      <c r="M420" s="32" t="str">
        <f aca="false">IF(OR(C420="",L420=""),"",IF(C420=L420,"同一","変更"))</f>
        <v/>
      </c>
      <c r="N420" s="29"/>
      <c r="O420" s="30"/>
      <c r="P420" s="29"/>
      <c r="Q420" s="31"/>
      <c r="R420" s="29"/>
      <c r="S420" s="29"/>
      <c r="T420" s="30"/>
      <c r="U420" s="47" t="str">
        <f aca="false">IF(AND(B420&lt;&gt;"",B420=SW別シート!$C$3),COUNTIF(B$5:B420,B420),"")</f>
        <v/>
      </c>
      <c r="V420" s="47" t="n">
        <f aca="false">V419+IF(OR(O420&lt;&gt;"",W420&lt;&gt;""),1,0)</f>
        <v>3</v>
      </c>
      <c r="W420" s="29"/>
    </row>
    <row r="421" customFormat="false" ht="15" hidden="false" customHeight="false" outlineLevel="0" collapsed="false">
      <c r="A421" s="32" t="str">
        <f aca="false">IF(B421="","",ROW()-7)</f>
        <v/>
      </c>
      <c r="B421" s="30"/>
      <c r="C421" s="29"/>
      <c r="D421" s="29"/>
      <c r="E421" s="29"/>
      <c r="F421" s="30"/>
      <c r="G421" s="29"/>
      <c r="H421" s="30"/>
      <c r="I421" s="29"/>
      <c r="J421" s="30"/>
      <c r="K421" s="30"/>
      <c r="L421" s="29"/>
      <c r="M421" s="32" t="str">
        <f aca="false">IF(OR(C421="",L421=""),"",IF(C421=L421,"同一","変更"))</f>
        <v/>
      </c>
      <c r="N421" s="29"/>
      <c r="O421" s="30"/>
      <c r="P421" s="29"/>
      <c r="Q421" s="31"/>
      <c r="R421" s="29"/>
      <c r="S421" s="29"/>
      <c r="T421" s="30"/>
      <c r="U421" s="47" t="str">
        <f aca="false">IF(AND(B421&lt;&gt;"",B421=SW別シート!$C$3),COUNTIF(B$5:B421,B421),"")</f>
        <v/>
      </c>
      <c r="V421" s="47" t="n">
        <f aca="false">V420+IF(OR(O421&lt;&gt;"",W421&lt;&gt;""),1,0)</f>
        <v>3</v>
      </c>
      <c r="W421" s="29"/>
    </row>
    <row r="422" customFormat="false" ht="15" hidden="false" customHeight="false" outlineLevel="0" collapsed="false">
      <c r="A422" s="32" t="str">
        <f aca="false">IF(B422="","",ROW()-7)</f>
        <v/>
      </c>
      <c r="B422" s="30"/>
      <c r="C422" s="29"/>
      <c r="D422" s="29"/>
      <c r="E422" s="29"/>
      <c r="F422" s="30"/>
      <c r="G422" s="29"/>
      <c r="H422" s="30"/>
      <c r="I422" s="29"/>
      <c r="J422" s="30"/>
      <c r="K422" s="30"/>
      <c r="L422" s="29"/>
      <c r="M422" s="32" t="str">
        <f aca="false">IF(OR(C422="",L422=""),"",IF(C422=L422,"同一","変更"))</f>
        <v/>
      </c>
      <c r="N422" s="29"/>
      <c r="O422" s="30"/>
      <c r="P422" s="29"/>
      <c r="Q422" s="31"/>
      <c r="R422" s="29"/>
      <c r="S422" s="29"/>
      <c r="T422" s="30"/>
      <c r="U422" s="47" t="str">
        <f aca="false">IF(AND(B422&lt;&gt;"",B422=SW別シート!$C$3),COUNTIF(B$5:B422,B422),"")</f>
        <v/>
      </c>
      <c r="V422" s="47" t="n">
        <f aca="false">V421+IF(OR(O422&lt;&gt;"",W422&lt;&gt;""),1,0)</f>
        <v>3</v>
      </c>
      <c r="W422" s="29"/>
    </row>
    <row r="423" customFormat="false" ht="15" hidden="false" customHeight="false" outlineLevel="0" collapsed="false">
      <c r="A423" s="32" t="str">
        <f aca="false">IF(B423="","",ROW()-7)</f>
        <v/>
      </c>
      <c r="B423" s="30"/>
      <c r="C423" s="29"/>
      <c r="D423" s="29"/>
      <c r="E423" s="29"/>
      <c r="F423" s="30"/>
      <c r="G423" s="29"/>
      <c r="H423" s="30"/>
      <c r="I423" s="29"/>
      <c r="J423" s="30"/>
      <c r="K423" s="30"/>
      <c r="L423" s="29"/>
      <c r="M423" s="32" t="str">
        <f aca="false">IF(OR(C423="",L423=""),"",IF(C423=L423,"同一","変更"))</f>
        <v/>
      </c>
      <c r="N423" s="29"/>
      <c r="O423" s="30"/>
      <c r="P423" s="29"/>
      <c r="Q423" s="31"/>
      <c r="R423" s="29"/>
      <c r="S423" s="29"/>
      <c r="T423" s="30"/>
      <c r="U423" s="47" t="str">
        <f aca="false">IF(AND(B423&lt;&gt;"",B423=SW別シート!$C$3),COUNTIF(B$5:B423,B423),"")</f>
        <v/>
      </c>
      <c r="V423" s="47" t="n">
        <f aca="false">V422+IF(OR(O423&lt;&gt;"",W423&lt;&gt;""),1,0)</f>
        <v>3</v>
      </c>
      <c r="W423" s="29"/>
    </row>
    <row r="424" customFormat="false" ht="15" hidden="false" customHeight="false" outlineLevel="0" collapsed="false">
      <c r="A424" s="32" t="str">
        <f aca="false">IF(B424="","",ROW()-7)</f>
        <v/>
      </c>
      <c r="B424" s="30"/>
      <c r="C424" s="29"/>
      <c r="D424" s="29"/>
      <c r="E424" s="29"/>
      <c r="F424" s="30"/>
      <c r="G424" s="29"/>
      <c r="H424" s="30"/>
      <c r="I424" s="29"/>
      <c r="J424" s="30"/>
      <c r="K424" s="30"/>
      <c r="L424" s="29"/>
      <c r="M424" s="32" t="str">
        <f aca="false">IF(OR(C424="",L424=""),"",IF(C424=L424,"同一","変更"))</f>
        <v/>
      </c>
      <c r="N424" s="29"/>
      <c r="O424" s="30"/>
      <c r="P424" s="29"/>
      <c r="Q424" s="31"/>
      <c r="R424" s="29"/>
      <c r="S424" s="29"/>
      <c r="T424" s="30"/>
      <c r="U424" s="47" t="str">
        <f aca="false">IF(AND(B424&lt;&gt;"",B424=SW別シート!$C$3),COUNTIF(B$5:B424,B424),"")</f>
        <v/>
      </c>
      <c r="V424" s="47" t="n">
        <f aca="false">V423+IF(OR(O424&lt;&gt;"",W424&lt;&gt;""),1,0)</f>
        <v>3</v>
      </c>
      <c r="W424" s="29"/>
    </row>
    <row r="425" customFormat="false" ht="15" hidden="false" customHeight="false" outlineLevel="0" collapsed="false">
      <c r="A425" s="32" t="str">
        <f aca="false">IF(B425="","",ROW()-7)</f>
        <v/>
      </c>
      <c r="B425" s="30"/>
      <c r="C425" s="29"/>
      <c r="D425" s="29"/>
      <c r="E425" s="29"/>
      <c r="F425" s="30"/>
      <c r="G425" s="29"/>
      <c r="H425" s="30"/>
      <c r="I425" s="29"/>
      <c r="J425" s="30"/>
      <c r="K425" s="30"/>
      <c r="L425" s="29"/>
      <c r="M425" s="32" t="str">
        <f aca="false">IF(OR(C425="",L425=""),"",IF(C425=L425,"同一","変更"))</f>
        <v/>
      </c>
      <c r="N425" s="29"/>
      <c r="O425" s="30"/>
      <c r="P425" s="29"/>
      <c r="Q425" s="31"/>
      <c r="R425" s="29"/>
      <c r="S425" s="29"/>
      <c r="T425" s="30"/>
      <c r="U425" s="47" t="str">
        <f aca="false">IF(AND(B425&lt;&gt;"",B425=SW別シート!$C$3),COUNTIF(B$5:B425,B425),"")</f>
        <v/>
      </c>
      <c r="V425" s="47" t="n">
        <f aca="false">V424+IF(OR(O425&lt;&gt;"",W425&lt;&gt;""),1,0)</f>
        <v>3</v>
      </c>
      <c r="W425" s="29"/>
    </row>
    <row r="426" customFormat="false" ht="15" hidden="false" customHeight="false" outlineLevel="0" collapsed="false">
      <c r="A426" s="32" t="str">
        <f aca="false">IF(B426="","",ROW()-7)</f>
        <v/>
      </c>
      <c r="B426" s="30"/>
      <c r="C426" s="29"/>
      <c r="D426" s="29"/>
      <c r="E426" s="29"/>
      <c r="F426" s="30"/>
      <c r="G426" s="29"/>
      <c r="H426" s="30"/>
      <c r="I426" s="29"/>
      <c r="J426" s="30"/>
      <c r="K426" s="30"/>
      <c r="L426" s="29"/>
      <c r="M426" s="32" t="str">
        <f aca="false">IF(OR(C426="",L426=""),"",IF(C426=L426,"同一","変更"))</f>
        <v/>
      </c>
      <c r="N426" s="29"/>
      <c r="O426" s="30"/>
      <c r="P426" s="29"/>
      <c r="Q426" s="31"/>
      <c r="R426" s="29"/>
      <c r="S426" s="29"/>
      <c r="T426" s="30"/>
      <c r="U426" s="47" t="str">
        <f aca="false">IF(AND(B426&lt;&gt;"",B426=SW別シート!$C$3),COUNTIF(B$5:B426,B426),"")</f>
        <v/>
      </c>
      <c r="V426" s="47" t="n">
        <f aca="false">V425+IF(OR(O426&lt;&gt;"",W426&lt;&gt;""),1,0)</f>
        <v>3</v>
      </c>
      <c r="W426" s="29"/>
    </row>
    <row r="427" customFormat="false" ht="15" hidden="false" customHeight="false" outlineLevel="0" collapsed="false">
      <c r="A427" s="32" t="str">
        <f aca="false">IF(B427="","",ROW()-7)</f>
        <v/>
      </c>
      <c r="B427" s="30"/>
      <c r="C427" s="29"/>
      <c r="D427" s="29"/>
      <c r="E427" s="29"/>
      <c r="F427" s="30"/>
      <c r="G427" s="29"/>
      <c r="H427" s="30"/>
      <c r="I427" s="29"/>
      <c r="J427" s="30"/>
      <c r="K427" s="30"/>
      <c r="L427" s="29"/>
      <c r="M427" s="32" t="str">
        <f aca="false">IF(OR(C427="",L427=""),"",IF(C427=L427,"同一","変更"))</f>
        <v/>
      </c>
      <c r="N427" s="29"/>
      <c r="O427" s="30"/>
      <c r="P427" s="29"/>
      <c r="Q427" s="31"/>
      <c r="R427" s="29"/>
      <c r="S427" s="29"/>
      <c r="T427" s="30"/>
      <c r="U427" s="47" t="str">
        <f aca="false">IF(AND(B427&lt;&gt;"",B427=SW別シート!$C$3),COUNTIF(B$5:B427,B427),"")</f>
        <v/>
      </c>
      <c r="V427" s="47" t="n">
        <f aca="false">V426+IF(OR(O427&lt;&gt;"",W427&lt;&gt;""),1,0)</f>
        <v>3</v>
      </c>
      <c r="W427" s="29"/>
    </row>
    <row r="428" customFormat="false" ht="15" hidden="false" customHeight="false" outlineLevel="0" collapsed="false">
      <c r="A428" s="32" t="str">
        <f aca="false">IF(B428="","",ROW()-7)</f>
        <v/>
      </c>
      <c r="B428" s="30"/>
      <c r="C428" s="29"/>
      <c r="D428" s="29"/>
      <c r="E428" s="29"/>
      <c r="F428" s="30"/>
      <c r="G428" s="29"/>
      <c r="H428" s="30"/>
      <c r="I428" s="29"/>
      <c r="J428" s="30"/>
      <c r="K428" s="30"/>
      <c r="L428" s="29"/>
      <c r="M428" s="32" t="str">
        <f aca="false">IF(OR(C428="",L428=""),"",IF(C428=L428,"同一","変更"))</f>
        <v/>
      </c>
      <c r="N428" s="29"/>
      <c r="O428" s="30"/>
      <c r="P428" s="29"/>
      <c r="Q428" s="31"/>
      <c r="R428" s="29"/>
      <c r="S428" s="29"/>
      <c r="T428" s="30"/>
      <c r="U428" s="47" t="str">
        <f aca="false">IF(AND(B428&lt;&gt;"",B428=SW別シート!$C$3),COUNTIF(B$5:B428,B428),"")</f>
        <v/>
      </c>
      <c r="V428" s="47" t="n">
        <f aca="false">V427+IF(OR(O428&lt;&gt;"",W428&lt;&gt;""),1,0)</f>
        <v>3</v>
      </c>
      <c r="W428" s="29"/>
    </row>
    <row r="429" customFormat="false" ht="15" hidden="false" customHeight="false" outlineLevel="0" collapsed="false">
      <c r="A429" s="32" t="str">
        <f aca="false">IF(B429="","",ROW()-7)</f>
        <v/>
      </c>
      <c r="B429" s="30"/>
      <c r="C429" s="29"/>
      <c r="D429" s="29"/>
      <c r="E429" s="29"/>
      <c r="F429" s="30"/>
      <c r="G429" s="29"/>
      <c r="H429" s="30"/>
      <c r="I429" s="29"/>
      <c r="J429" s="30"/>
      <c r="K429" s="30"/>
      <c r="L429" s="29"/>
      <c r="M429" s="32" t="str">
        <f aca="false">IF(OR(C429="",L429=""),"",IF(C429=L429,"同一","変更"))</f>
        <v/>
      </c>
      <c r="N429" s="29"/>
      <c r="O429" s="30"/>
      <c r="P429" s="29"/>
      <c r="Q429" s="31"/>
      <c r="R429" s="29"/>
      <c r="S429" s="29"/>
      <c r="T429" s="30"/>
      <c r="U429" s="47" t="str">
        <f aca="false">IF(AND(B429&lt;&gt;"",B429=SW別シート!$C$3),COUNTIF(B$5:B429,B429),"")</f>
        <v/>
      </c>
      <c r="V429" s="47" t="n">
        <f aca="false">V428+IF(OR(O429&lt;&gt;"",W429&lt;&gt;""),1,0)</f>
        <v>3</v>
      </c>
      <c r="W429" s="29"/>
    </row>
    <row r="430" customFormat="false" ht="15" hidden="false" customHeight="false" outlineLevel="0" collapsed="false">
      <c r="A430" s="32" t="str">
        <f aca="false">IF(B430="","",ROW()-7)</f>
        <v/>
      </c>
      <c r="B430" s="30"/>
      <c r="C430" s="29"/>
      <c r="D430" s="29"/>
      <c r="E430" s="29"/>
      <c r="F430" s="30"/>
      <c r="G430" s="29"/>
      <c r="H430" s="30"/>
      <c r="I430" s="29"/>
      <c r="J430" s="30"/>
      <c r="K430" s="30"/>
      <c r="L430" s="29"/>
      <c r="M430" s="32" t="str">
        <f aca="false">IF(OR(C430="",L430=""),"",IF(C430=L430,"同一","変更"))</f>
        <v/>
      </c>
      <c r="N430" s="29"/>
      <c r="O430" s="30"/>
      <c r="P430" s="29"/>
      <c r="Q430" s="31"/>
      <c r="R430" s="29"/>
      <c r="S430" s="29"/>
      <c r="T430" s="30"/>
      <c r="U430" s="47" t="str">
        <f aca="false">IF(AND(B430&lt;&gt;"",B430=SW別シート!$C$3),COUNTIF(B$5:B430,B430),"")</f>
        <v/>
      </c>
      <c r="V430" s="47" t="n">
        <f aca="false">V429+IF(OR(O430&lt;&gt;"",W430&lt;&gt;""),1,0)</f>
        <v>3</v>
      </c>
      <c r="W430" s="29"/>
    </row>
    <row r="431" customFormat="false" ht="15" hidden="false" customHeight="false" outlineLevel="0" collapsed="false">
      <c r="A431" s="32" t="str">
        <f aca="false">IF(B431="","",ROW()-7)</f>
        <v/>
      </c>
      <c r="B431" s="30"/>
      <c r="C431" s="29"/>
      <c r="D431" s="29"/>
      <c r="E431" s="29"/>
      <c r="F431" s="30"/>
      <c r="G431" s="29"/>
      <c r="H431" s="30"/>
      <c r="I431" s="29"/>
      <c r="J431" s="30"/>
      <c r="K431" s="30"/>
      <c r="L431" s="29"/>
      <c r="M431" s="32" t="str">
        <f aca="false">IF(OR(C431="",L431=""),"",IF(C431=L431,"同一","変更"))</f>
        <v/>
      </c>
      <c r="N431" s="29"/>
      <c r="O431" s="30"/>
      <c r="P431" s="29"/>
      <c r="Q431" s="31"/>
      <c r="R431" s="29"/>
      <c r="S431" s="29"/>
      <c r="T431" s="30"/>
      <c r="U431" s="47" t="str">
        <f aca="false">IF(AND(B431&lt;&gt;"",B431=SW別シート!$C$3),COUNTIF(B$5:B431,B431),"")</f>
        <v/>
      </c>
      <c r="V431" s="47" t="n">
        <f aca="false">V430+IF(OR(O431&lt;&gt;"",W431&lt;&gt;""),1,0)</f>
        <v>3</v>
      </c>
      <c r="W431" s="29"/>
    </row>
    <row r="432" customFormat="false" ht="15" hidden="false" customHeight="false" outlineLevel="0" collapsed="false">
      <c r="A432" s="32" t="str">
        <f aca="false">IF(B432="","",ROW()-7)</f>
        <v/>
      </c>
      <c r="B432" s="30"/>
      <c r="C432" s="29"/>
      <c r="D432" s="29"/>
      <c r="E432" s="29"/>
      <c r="F432" s="30"/>
      <c r="G432" s="29"/>
      <c r="H432" s="30"/>
      <c r="I432" s="29"/>
      <c r="J432" s="30"/>
      <c r="K432" s="30"/>
      <c r="L432" s="29"/>
      <c r="M432" s="32" t="str">
        <f aca="false">IF(OR(C432="",L432=""),"",IF(C432=L432,"同一","変更"))</f>
        <v/>
      </c>
      <c r="N432" s="29"/>
      <c r="O432" s="30"/>
      <c r="P432" s="29"/>
      <c r="Q432" s="31"/>
      <c r="R432" s="29"/>
      <c r="S432" s="29"/>
      <c r="T432" s="30"/>
      <c r="U432" s="47" t="str">
        <f aca="false">IF(AND(B432&lt;&gt;"",B432=SW別シート!$C$3),COUNTIF(B$5:B432,B432),"")</f>
        <v/>
      </c>
      <c r="V432" s="47" t="n">
        <f aca="false">V431+IF(OR(O432&lt;&gt;"",W432&lt;&gt;""),1,0)</f>
        <v>3</v>
      </c>
      <c r="W432" s="29"/>
    </row>
    <row r="433" customFormat="false" ht="15" hidden="false" customHeight="false" outlineLevel="0" collapsed="false">
      <c r="A433" s="32" t="str">
        <f aca="false">IF(B433="","",ROW()-7)</f>
        <v/>
      </c>
      <c r="B433" s="30"/>
      <c r="C433" s="29"/>
      <c r="D433" s="29"/>
      <c r="E433" s="29"/>
      <c r="F433" s="30"/>
      <c r="G433" s="29"/>
      <c r="H433" s="30"/>
      <c r="I433" s="29"/>
      <c r="J433" s="30"/>
      <c r="K433" s="30"/>
      <c r="L433" s="29"/>
      <c r="M433" s="32" t="str">
        <f aca="false">IF(OR(C433="",L433=""),"",IF(C433=L433,"同一","変更"))</f>
        <v/>
      </c>
      <c r="N433" s="29"/>
      <c r="O433" s="30"/>
      <c r="P433" s="29"/>
      <c r="Q433" s="31"/>
      <c r="R433" s="29"/>
      <c r="S433" s="29"/>
      <c r="T433" s="30"/>
      <c r="U433" s="47" t="str">
        <f aca="false">IF(AND(B433&lt;&gt;"",B433=SW別シート!$C$3),COUNTIF(B$5:B433,B433),"")</f>
        <v/>
      </c>
      <c r="V433" s="47" t="n">
        <f aca="false">V432+IF(OR(O433&lt;&gt;"",W433&lt;&gt;""),1,0)</f>
        <v>3</v>
      </c>
      <c r="W433" s="29"/>
    </row>
    <row r="434" customFormat="false" ht="15" hidden="false" customHeight="false" outlineLevel="0" collapsed="false">
      <c r="A434" s="32" t="str">
        <f aca="false">IF(B434="","",ROW()-7)</f>
        <v/>
      </c>
      <c r="B434" s="30"/>
      <c r="C434" s="29"/>
      <c r="D434" s="29"/>
      <c r="E434" s="29"/>
      <c r="F434" s="30"/>
      <c r="G434" s="29"/>
      <c r="H434" s="30"/>
      <c r="I434" s="29"/>
      <c r="J434" s="30"/>
      <c r="K434" s="30"/>
      <c r="L434" s="29"/>
      <c r="M434" s="32" t="str">
        <f aca="false">IF(OR(C434="",L434=""),"",IF(C434=L434,"同一","変更"))</f>
        <v/>
      </c>
      <c r="N434" s="29"/>
      <c r="O434" s="30"/>
      <c r="P434" s="29"/>
      <c r="Q434" s="31"/>
      <c r="R434" s="29"/>
      <c r="S434" s="29"/>
      <c r="T434" s="30"/>
      <c r="U434" s="47" t="str">
        <f aca="false">IF(AND(B434&lt;&gt;"",B434=SW別シート!$C$3),COUNTIF(B$5:B434,B434),"")</f>
        <v/>
      </c>
      <c r="V434" s="47" t="n">
        <f aca="false">V433+IF(OR(O434&lt;&gt;"",W434&lt;&gt;""),1,0)</f>
        <v>3</v>
      </c>
      <c r="W434" s="29"/>
    </row>
    <row r="435" customFormat="false" ht="15" hidden="false" customHeight="false" outlineLevel="0" collapsed="false">
      <c r="A435" s="32" t="str">
        <f aca="false">IF(B435="","",ROW()-7)</f>
        <v/>
      </c>
      <c r="B435" s="30"/>
      <c r="C435" s="29"/>
      <c r="D435" s="29"/>
      <c r="E435" s="29"/>
      <c r="F435" s="30"/>
      <c r="G435" s="29"/>
      <c r="H435" s="30"/>
      <c r="I435" s="29"/>
      <c r="J435" s="30"/>
      <c r="K435" s="30"/>
      <c r="L435" s="29"/>
      <c r="M435" s="32" t="str">
        <f aca="false">IF(OR(C435="",L435=""),"",IF(C435=L435,"同一","変更"))</f>
        <v/>
      </c>
      <c r="N435" s="29"/>
      <c r="O435" s="30"/>
      <c r="P435" s="29"/>
      <c r="Q435" s="31"/>
      <c r="R435" s="29"/>
      <c r="S435" s="29"/>
      <c r="T435" s="30"/>
      <c r="U435" s="47" t="str">
        <f aca="false">IF(AND(B435&lt;&gt;"",B435=SW別シート!$C$3),COUNTIF(B$5:B435,B435),"")</f>
        <v/>
      </c>
      <c r="V435" s="47" t="n">
        <f aca="false">V434+IF(OR(O435&lt;&gt;"",W435&lt;&gt;""),1,0)</f>
        <v>3</v>
      </c>
      <c r="W435" s="29"/>
    </row>
    <row r="436" customFormat="false" ht="15" hidden="false" customHeight="false" outlineLevel="0" collapsed="false">
      <c r="A436" s="32" t="str">
        <f aca="false">IF(B436="","",ROW()-7)</f>
        <v/>
      </c>
      <c r="B436" s="30"/>
      <c r="C436" s="29"/>
      <c r="D436" s="29"/>
      <c r="E436" s="29"/>
      <c r="F436" s="30"/>
      <c r="G436" s="29"/>
      <c r="H436" s="30"/>
      <c r="I436" s="29"/>
      <c r="J436" s="30"/>
      <c r="K436" s="30"/>
      <c r="L436" s="29"/>
      <c r="M436" s="32" t="str">
        <f aca="false">IF(OR(C436="",L436=""),"",IF(C436=L436,"同一","変更"))</f>
        <v/>
      </c>
      <c r="N436" s="29"/>
      <c r="O436" s="30"/>
      <c r="P436" s="29"/>
      <c r="Q436" s="31"/>
      <c r="R436" s="29"/>
      <c r="S436" s="29"/>
      <c r="T436" s="30"/>
      <c r="U436" s="47" t="str">
        <f aca="false">IF(AND(B436&lt;&gt;"",B436=SW別シート!$C$3),COUNTIF(B$5:B436,B436),"")</f>
        <v/>
      </c>
      <c r="V436" s="47" t="n">
        <f aca="false">V435+IF(OR(O436&lt;&gt;"",W436&lt;&gt;""),1,0)</f>
        <v>3</v>
      </c>
      <c r="W436" s="29"/>
    </row>
    <row r="437" customFormat="false" ht="15" hidden="false" customHeight="false" outlineLevel="0" collapsed="false">
      <c r="A437" s="32" t="str">
        <f aca="false">IF(B437="","",ROW()-7)</f>
        <v/>
      </c>
      <c r="B437" s="30"/>
      <c r="C437" s="29"/>
      <c r="D437" s="29"/>
      <c r="E437" s="29"/>
      <c r="F437" s="30"/>
      <c r="G437" s="29"/>
      <c r="H437" s="30"/>
      <c r="I437" s="29"/>
      <c r="J437" s="30"/>
      <c r="K437" s="30"/>
      <c r="L437" s="29"/>
      <c r="M437" s="32" t="str">
        <f aca="false">IF(OR(C437="",L437=""),"",IF(C437=L437,"同一","変更"))</f>
        <v/>
      </c>
      <c r="N437" s="29"/>
      <c r="O437" s="30"/>
      <c r="P437" s="29"/>
      <c r="Q437" s="31"/>
      <c r="R437" s="29"/>
      <c r="S437" s="29"/>
      <c r="T437" s="30"/>
      <c r="U437" s="47" t="str">
        <f aca="false">IF(AND(B437&lt;&gt;"",B437=SW別シート!$C$3),COUNTIF(B$5:B437,B437),"")</f>
        <v/>
      </c>
      <c r="V437" s="47" t="n">
        <f aca="false">V436+IF(OR(O437&lt;&gt;"",W437&lt;&gt;""),1,0)</f>
        <v>3</v>
      </c>
      <c r="W437" s="29"/>
    </row>
    <row r="438" customFormat="false" ht="15" hidden="false" customHeight="false" outlineLevel="0" collapsed="false">
      <c r="A438" s="32" t="str">
        <f aca="false">IF(B438="","",ROW()-7)</f>
        <v/>
      </c>
      <c r="B438" s="30"/>
      <c r="C438" s="29"/>
      <c r="D438" s="29"/>
      <c r="E438" s="29"/>
      <c r="F438" s="30"/>
      <c r="G438" s="29"/>
      <c r="H438" s="30"/>
      <c r="I438" s="29"/>
      <c r="J438" s="30"/>
      <c r="K438" s="30"/>
      <c r="L438" s="29"/>
      <c r="M438" s="32" t="str">
        <f aca="false">IF(OR(C438="",L438=""),"",IF(C438=L438,"同一","変更"))</f>
        <v/>
      </c>
      <c r="N438" s="29"/>
      <c r="O438" s="30"/>
      <c r="P438" s="29"/>
      <c r="Q438" s="31"/>
      <c r="R438" s="29"/>
      <c r="S438" s="29"/>
      <c r="T438" s="30"/>
      <c r="U438" s="47" t="str">
        <f aca="false">IF(AND(B438&lt;&gt;"",B438=SW別シート!$C$3),COUNTIF(B$5:B438,B438),"")</f>
        <v/>
      </c>
      <c r="V438" s="47" t="n">
        <f aca="false">V437+IF(OR(O438&lt;&gt;"",W438&lt;&gt;""),1,0)</f>
        <v>3</v>
      </c>
      <c r="W438" s="29"/>
    </row>
    <row r="439" customFormat="false" ht="15" hidden="false" customHeight="false" outlineLevel="0" collapsed="false">
      <c r="A439" s="32" t="str">
        <f aca="false">IF(B439="","",ROW()-7)</f>
        <v/>
      </c>
      <c r="B439" s="30"/>
      <c r="C439" s="29"/>
      <c r="D439" s="29"/>
      <c r="E439" s="29"/>
      <c r="F439" s="30"/>
      <c r="G439" s="29"/>
      <c r="H439" s="30"/>
      <c r="I439" s="29"/>
      <c r="J439" s="30"/>
      <c r="K439" s="30"/>
      <c r="L439" s="29"/>
      <c r="M439" s="32" t="str">
        <f aca="false">IF(OR(C439="",L439=""),"",IF(C439=L439,"同一","変更"))</f>
        <v/>
      </c>
      <c r="N439" s="29"/>
      <c r="O439" s="30"/>
      <c r="P439" s="29"/>
      <c r="Q439" s="31"/>
      <c r="R439" s="29"/>
      <c r="S439" s="29"/>
      <c r="T439" s="30"/>
      <c r="U439" s="47" t="str">
        <f aca="false">IF(AND(B439&lt;&gt;"",B439=SW別シート!$C$3),COUNTIF(B$5:B439,B439),"")</f>
        <v/>
      </c>
      <c r="V439" s="47" t="n">
        <f aca="false">V438+IF(OR(O439&lt;&gt;"",W439&lt;&gt;""),1,0)</f>
        <v>3</v>
      </c>
      <c r="W439" s="29"/>
    </row>
    <row r="440" customFormat="false" ht="15" hidden="false" customHeight="false" outlineLevel="0" collapsed="false">
      <c r="A440" s="32" t="str">
        <f aca="false">IF(B440="","",ROW()-7)</f>
        <v/>
      </c>
      <c r="B440" s="30"/>
      <c r="C440" s="29"/>
      <c r="D440" s="29"/>
      <c r="E440" s="29"/>
      <c r="F440" s="30"/>
      <c r="G440" s="29"/>
      <c r="H440" s="30"/>
      <c r="I440" s="29"/>
      <c r="J440" s="30"/>
      <c r="K440" s="30"/>
      <c r="L440" s="29"/>
      <c r="M440" s="32" t="str">
        <f aca="false">IF(OR(C440="",L440=""),"",IF(C440=L440,"同一","変更"))</f>
        <v/>
      </c>
      <c r="N440" s="29"/>
      <c r="O440" s="30"/>
      <c r="P440" s="29"/>
      <c r="Q440" s="31"/>
      <c r="R440" s="29"/>
      <c r="S440" s="29"/>
      <c r="T440" s="30"/>
      <c r="U440" s="47" t="str">
        <f aca="false">IF(AND(B440&lt;&gt;"",B440=SW別シート!$C$3),COUNTIF(B$5:B440,B440),"")</f>
        <v/>
      </c>
      <c r="V440" s="47" t="n">
        <f aca="false">V439+IF(OR(O440&lt;&gt;"",W440&lt;&gt;""),1,0)</f>
        <v>3</v>
      </c>
      <c r="W440" s="29"/>
    </row>
    <row r="441" customFormat="false" ht="15" hidden="false" customHeight="false" outlineLevel="0" collapsed="false">
      <c r="A441" s="32" t="str">
        <f aca="false">IF(B441="","",ROW()-7)</f>
        <v/>
      </c>
      <c r="B441" s="30"/>
      <c r="C441" s="29"/>
      <c r="D441" s="29"/>
      <c r="E441" s="29"/>
      <c r="F441" s="30"/>
      <c r="G441" s="29"/>
      <c r="H441" s="30"/>
      <c r="I441" s="29"/>
      <c r="J441" s="30"/>
      <c r="K441" s="30"/>
      <c r="L441" s="29"/>
      <c r="M441" s="32" t="str">
        <f aca="false">IF(OR(C441="",L441=""),"",IF(C441=L441,"同一","変更"))</f>
        <v/>
      </c>
      <c r="N441" s="29"/>
      <c r="O441" s="30"/>
      <c r="P441" s="29"/>
      <c r="Q441" s="31"/>
      <c r="R441" s="29"/>
      <c r="S441" s="29"/>
      <c r="T441" s="30"/>
      <c r="U441" s="47" t="str">
        <f aca="false">IF(AND(B441&lt;&gt;"",B441=SW別シート!$C$3),COUNTIF(B$5:B441,B441),"")</f>
        <v/>
      </c>
      <c r="V441" s="47" t="n">
        <f aca="false">V440+IF(OR(O441&lt;&gt;"",W441&lt;&gt;""),1,0)</f>
        <v>3</v>
      </c>
      <c r="W441" s="29"/>
    </row>
    <row r="442" customFormat="false" ht="15" hidden="false" customHeight="false" outlineLevel="0" collapsed="false">
      <c r="A442" s="32" t="str">
        <f aca="false">IF(B442="","",ROW()-7)</f>
        <v/>
      </c>
      <c r="B442" s="30"/>
      <c r="C442" s="29"/>
      <c r="D442" s="29"/>
      <c r="E442" s="29"/>
      <c r="F442" s="30"/>
      <c r="G442" s="29"/>
      <c r="H442" s="30"/>
      <c r="I442" s="29"/>
      <c r="J442" s="30"/>
      <c r="K442" s="30"/>
      <c r="L442" s="29"/>
      <c r="M442" s="32" t="str">
        <f aca="false">IF(OR(C442="",L442=""),"",IF(C442=L442,"同一","変更"))</f>
        <v/>
      </c>
      <c r="N442" s="29"/>
      <c r="O442" s="30"/>
      <c r="P442" s="29"/>
      <c r="Q442" s="31"/>
      <c r="R442" s="29"/>
      <c r="S442" s="29"/>
      <c r="T442" s="30"/>
      <c r="U442" s="47" t="str">
        <f aca="false">IF(AND(B442&lt;&gt;"",B442=SW別シート!$C$3),COUNTIF(B$5:B442,B442),"")</f>
        <v/>
      </c>
      <c r="V442" s="47" t="n">
        <f aca="false">V441+IF(OR(O442&lt;&gt;"",W442&lt;&gt;""),1,0)</f>
        <v>3</v>
      </c>
      <c r="W442" s="29"/>
    </row>
    <row r="443" customFormat="false" ht="15" hidden="false" customHeight="false" outlineLevel="0" collapsed="false">
      <c r="A443" s="32" t="str">
        <f aca="false">IF(B443="","",ROW()-7)</f>
        <v/>
      </c>
      <c r="B443" s="30"/>
      <c r="C443" s="29"/>
      <c r="D443" s="29"/>
      <c r="E443" s="29"/>
      <c r="F443" s="30"/>
      <c r="G443" s="29"/>
      <c r="H443" s="30"/>
      <c r="I443" s="29"/>
      <c r="J443" s="30"/>
      <c r="K443" s="30"/>
      <c r="L443" s="29"/>
      <c r="M443" s="32" t="str">
        <f aca="false">IF(OR(C443="",L443=""),"",IF(C443=L443,"同一","変更"))</f>
        <v/>
      </c>
      <c r="N443" s="29"/>
      <c r="O443" s="30"/>
      <c r="P443" s="29"/>
      <c r="Q443" s="31"/>
      <c r="R443" s="29"/>
      <c r="S443" s="29"/>
      <c r="T443" s="30"/>
      <c r="U443" s="47" t="str">
        <f aca="false">IF(AND(B443&lt;&gt;"",B443=SW別シート!$C$3),COUNTIF(B$5:B443,B443),"")</f>
        <v/>
      </c>
      <c r="V443" s="47" t="n">
        <f aca="false">V442+IF(OR(O443&lt;&gt;"",W443&lt;&gt;""),1,0)</f>
        <v>3</v>
      </c>
      <c r="W443" s="29"/>
    </row>
    <row r="444" customFormat="false" ht="15" hidden="false" customHeight="false" outlineLevel="0" collapsed="false">
      <c r="A444" s="32" t="str">
        <f aca="false">IF(B444="","",ROW()-7)</f>
        <v/>
      </c>
      <c r="B444" s="30"/>
      <c r="C444" s="29"/>
      <c r="D444" s="29"/>
      <c r="E444" s="29"/>
      <c r="F444" s="30"/>
      <c r="G444" s="29"/>
      <c r="H444" s="30"/>
      <c r="I444" s="29"/>
      <c r="J444" s="30"/>
      <c r="K444" s="30"/>
      <c r="L444" s="29"/>
      <c r="M444" s="32" t="str">
        <f aca="false">IF(OR(C444="",L444=""),"",IF(C444=L444,"同一","変更"))</f>
        <v/>
      </c>
      <c r="N444" s="29"/>
      <c r="O444" s="30"/>
      <c r="P444" s="29"/>
      <c r="Q444" s="31"/>
      <c r="R444" s="29"/>
      <c r="S444" s="29"/>
      <c r="T444" s="30"/>
      <c r="U444" s="47" t="str">
        <f aca="false">IF(AND(B444&lt;&gt;"",B444=SW別シート!$C$3),COUNTIF(B$5:B444,B444),"")</f>
        <v/>
      </c>
      <c r="V444" s="47" t="n">
        <f aca="false">V443+IF(OR(O444&lt;&gt;"",W444&lt;&gt;""),1,0)</f>
        <v>3</v>
      </c>
      <c r="W444" s="29"/>
    </row>
    <row r="445" customFormat="false" ht="15" hidden="false" customHeight="false" outlineLevel="0" collapsed="false">
      <c r="A445" s="32" t="str">
        <f aca="false">IF(B445="","",ROW()-7)</f>
        <v/>
      </c>
      <c r="B445" s="30"/>
      <c r="C445" s="29"/>
      <c r="D445" s="29"/>
      <c r="E445" s="29"/>
      <c r="F445" s="30"/>
      <c r="G445" s="29"/>
      <c r="H445" s="30"/>
      <c r="I445" s="29"/>
      <c r="J445" s="30"/>
      <c r="K445" s="30"/>
      <c r="L445" s="29"/>
      <c r="M445" s="32" t="str">
        <f aca="false">IF(OR(C445="",L445=""),"",IF(C445=L445,"同一","変更"))</f>
        <v/>
      </c>
      <c r="N445" s="29"/>
      <c r="O445" s="30"/>
      <c r="P445" s="29"/>
      <c r="Q445" s="31"/>
      <c r="R445" s="29"/>
      <c r="S445" s="29"/>
      <c r="T445" s="30"/>
      <c r="U445" s="47" t="str">
        <f aca="false">IF(AND(B445&lt;&gt;"",B445=SW別シート!$C$3),COUNTIF(B$5:B445,B445),"")</f>
        <v/>
      </c>
      <c r="V445" s="47" t="n">
        <f aca="false">V444+IF(OR(O445&lt;&gt;"",W445&lt;&gt;""),1,0)</f>
        <v>3</v>
      </c>
      <c r="W445" s="29"/>
    </row>
    <row r="446" customFormat="false" ht="15" hidden="false" customHeight="false" outlineLevel="0" collapsed="false">
      <c r="A446" s="32" t="str">
        <f aca="false">IF(B446="","",ROW()-7)</f>
        <v/>
      </c>
      <c r="B446" s="30"/>
      <c r="C446" s="29"/>
      <c r="D446" s="29"/>
      <c r="E446" s="29"/>
      <c r="F446" s="30"/>
      <c r="G446" s="29"/>
      <c r="H446" s="30"/>
      <c r="I446" s="29"/>
      <c r="J446" s="30"/>
      <c r="K446" s="30"/>
      <c r="L446" s="29"/>
      <c r="M446" s="32" t="str">
        <f aca="false">IF(OR(C446="",L446=""),"",IF(C446=L446,"同一","変更"))</f>
        <v/>
      </c>
      <c r="N446" s="29"/>
      <c r="O446" s="30"/>
      <c r="P446" s="29"/>
      <c r="Q446" s="31"/>
      <c r="R446" s="29"/>
      <c r="S446" s="29"/>
      <c r="T446" s="30"/>
      <c r="U446" s="47" t="str">
        <f aca="false">IF(AND(B446&lt;&gt;"",B446=SW別シート!$C$3),COUNTIF(B$5:B446,B446),"")</f>
        <v/>
      </c>
      <c r="V446" s="47" t="n">
        <f aca="false">V445+IF(OR(O446&lt;&gt;"",W446&lt;&gt;""),1,0)</f>
        <v>3</v>
      </c>
      <c r="W446" s="29"/>
    </row>
    <row r="447" customFormat="false" ht="15" hidden="false" customHeight="false" outlineLevel="0" collapsed="false">
      <c r="A447" s="32" t="str">
        <f aca="false">IF(B447="","",ROW()-7)</f>
        <v/>
      </c>
      <c r="B447" s="30"/>
      <c r="C447" s="29"/>
      <c r="D447" s="29"/>
      <c r="E447" s="29"/>
      <c r="F447" s="30"/>
      <c r="G447" s="29"/>
      <c r="H447" s="30"/>
      <c r="I447" s="29"/>
      <c r="J447" s="30"/>
      <c r="K447" s="30"/>
      <c r="L447" s="29"/>
      <c r="M447" s="32" t="str">
        <f aca="false">IF(OR(C447="",L447=""),"",IF(C447=L447,"同一","変更"))</f>
        <v/>
      </c>
      <c r="N447" s="29"/>
      <c r="O447" s="30"/>
      <c r="P447" s="29"/>
      <c r="Q447" s="31"/>
      <c r="R447" s="29"/>
      <c r="S447" s="29"/>
      <c r="T447" s="30"/>
      <c r="U447" s="47" t="str">
        <f aca="false">IF(AND(B447&lt;&gt;"",B447=SW別シート!$C$3),COUNTIF(B$5:B447,B447),"")</f>
        <v/>
      </c>
      <c r="V447" s="47" t="n">
        <f aca="false">V446+IF(OR(O447&lt;&gt;"",W447&lt;&gt;""),1,0)</f>
        <v>3</v>
      </c>
      <c r="W447" s="29"/>
    </row>
    <row r="448" customFormat="false" ht="15" hidden="false" customHeight="false" outlineLevel="0" collapsed="false">
      <c r="A448" s="32" t="str">
        <f aca="false">IF(B448="","",ROW()-7)</f>
        <v/>
      </c>
      <c r="B448" s="30"/>
      <c r="C448" s="29"/>
      <c r="D448" s="29"/>
      <c r="E448" s="29"/>
      <c r="F448" s="30"/>
      <c r="G448" s="29"/>
      <c r="H448" s="30"/>
      <c r="I448" s="29"/>
      <c r="J448" s="30"/>
      <c r="K448" s="30"/>
      <c r="L448" s="29"/>
      <c r="M448" s="32" t="str">
        <f aca="false">IF(OR(C448="",L448=""),"",IF(C448=L448,"同一","変更"))</f>
        <v/>
      </c>
      <c r="N448" s="29"/>
      <c r="O448" s="30"/>
      <c r="P448" s="29"/>
      <c r="Q448" s="31"/>
      <c r="R448" s="29"/>
      <c r="S448" s="29"/>
      <c r="T448" s="30"/>
      <c r="U448" s="47" t="str">
        <f aca="false">IF(AND(B448&lt;&gt;"",B448=SW別シート!$C$3),COUNTIF(B$5:B448,B448),"")</f>
        <v/>
      </c>
      <c r="V448" s="47" t="n">
        <f aca="false">V447+IF(OR(O448&lt;&gt;"",W448&lt;&gt;""),1,0)</f>
        <v>3</v>
      </c>
      <c r="W448" s="29"/>
    </row>
    <row r="449" customFormat="false" ht="15" hidden="false" customHeight="false" outlineLevel="0" collapsed="false">
      <c r="A449" s="32" t="str">
        <f aca="false">IF(B449="","",ROW()-7)</f>
        <v/>
      </c>
      <c r="B449" s="30"/>
      <c r="C449" s="29"/>
      <c r="D449" s="29"/>
      <c r="E449" s="29"/>
      <c r="F449" s="30"/>
      <c r="G449" s="29"/>
      <c r="H449" s="30"/>
      <c r="I449" s="29"/>
      <c r="J449" s="30"/>
      <c r="K449" s="30"/>
      <c r="L449" s="29"/>
      <c r="M449" s="32" t="str">
        <f aca="false">IF(OR(C449="",L449=""),"",IF(C449=L449,"同一","変更"))</f>
        <v/>
      </c>
      <c r="N449" s="29"/>
      <c r="O449" s="30"/>
      <c r="P449" s="29"/>
      <c r="Q449" s="31"/>
      <c r="R449" s="29"/>
      <c r="S449" s="29"/>
      <c r="T449" s="30"/>
      <c r="U449" s="47" t="str">
        <f aca="false">IF(AND(B449&lt;&gt;"",B449=SW別シート!$C$3),COUNTIF(B$5:B449,B449),"")</f>
        <v/>
      </c>
      <c r="V449" s="47" t="n">
        <f aca="false">V448+IF(OR(O449&lt;&gt;"",W449&lt;&gt;""),1,0)</f>
        <v>3</v>
      </c>
      <c r="W449" s="29"/>
    </row>
    <row r="450" customFormat="false" ht="15" hidden="false" customHeight="false" outlineLevel="0" collapsed="false">
      <c r="A450" s="32" t="str">
        <f aca="false">IF(B450="","",ROW()-7)</f>
        <v/>
      </c>
      <c r="B450" s="30"/>
      <c r="C450" s="29"/>
      <c r="D450" s="29"/>
      <c r="E450" s="29"/>
      <c r="F450" s="30"/>
      <c r="G450" s="29"/>
      <c r="H450" s="30"/>
      <c r="I450" s="29"/>
      <c r="J450" s="30"/>
      <c r="K450" s="30"/>
      <c r="L450" s="29"/>
      <c r="M450" s="32" t="str">
        <f aca="false">IF(OR(C450="",L450=""),"",IF(C450=L450,"同一","変更"))</f>
        <v/>
      </c>
      <c r="N450" s="29"/>
      <c r="O450" s="30"/>
      <c r="P450" s="29"/>
      <c r="Q450" s="31"/>
      <c r="R450" s="29"/>
      <c r="S450" s="29"/>
      <c r="T450" s="30"/>
      <c r="U450" s="47" t="str">
        <f aca="false">IF(AND(B450&lt;&gt;"",B450=SW別シート!$C$3),COUNTIF(B$5:B450,B450),"")</f>
        <v/>
      </c>
      <c r="V450" s="47" t="n">
        <f aca="false">V449+IF(OR(O450&lt;&gt;"",W450&lt;&gt;""),1,0)</f>
        <v>3</v>
      </c>
      <c r="W450" s="29"/>
    </row>
    <row r="451" customFormat="false" ht="15" hidden="false" customHeight="false" outlineLevel="0" collapsed="false">
      <c r="A451" s="32" t="str">
        <f aca="false">IF(B451="","",ROW()-7)</f>
        <v/>
      </c>
      <c r="B451" s="30"/>
      <c r="C451" s="29"/>
      <c r="D451" s="29"/>
      <c r="E451" s="29"/>
      <c r="F451" s="30"/>
      <c r="G451" s="29"/>
      <c r="H451" s="30"/>
      <c r="I451" s="29"/>
      <c r="J451" s="30"/>
      <c r="K451" s="30"/>
      <c r="L451" s="29"/>
      <c r="M451" s="32" t="str">
        <f aca="false">IF(OR(C451="",L451=""),"",IF(C451=L451,"同一","変更"))</f>
        <v/>
      </c>
      <c r="N451" s="29"/>
      <c r="O451" s="30"/>
      <c r="P451" s="29"/>
      <c r="Q451" s="31"/>
      <c r="R451" s="29"/>
      <c r="S451" s="29"/>
      <c r="T451" s="30"/>
      <c r="U451" s="47" t="str">
        <f aca="false">IF(AND(B451&lt;&gt;"",B451=SW別シート!$C$3),COUNTIF(B$5:B451,B451),"")</f>
        <v/>
      </c>
      <c r="V451" s="47" t="n">
        <f aca="false">V450+IF(OR(O451&lt;&gt;"",W451&lt;&gt;""),1,0)</f>
        <v>3</v>
      </c>
      <c r="W451" s="29"/>
    </row>
    <row r="452" customFormat="false" ht="15" hidden="false" customHeight="false" outlineLevel="0" collapsed="false">
      <c r="A452" s="32" t="str">
        <f aca="false">IF(B452="","",ROW()-7)</f>
        <v/>
      </c>
      <c r="B452" s="30"/>
      <c r="C452" s="29"/>
      <c r="D452" s="29"/>
      <c r="E452" s="29"/>
      <c r="F452" s="30"/>
      <c r="G452" s="29"/>
      <c r="H452" s="30"/>
      <c r="I452" s="29"/>
      <c r="J452" s="30"/>
      <c r="K452" s="30"/>
      <c r="L452" s="29"/>
      <c r="M452" s="32" t="str">
        <f aca="false">IF(OR(C452="",L452=""),"",IF(C452=L452,"同一","変更"))</f>
        <v/>
      </c>
      <c r="N452" s="29"/>
      <c r="O452" s="30"/>
      <c r="P452" s="29"/>
      <c r="Q452" s="31"/>
      <c r="R452" s="29"/>
      <c r="S452" s="29"/>
      <c r="T452" s="30"/>
      <c r="U452" s="47" t="str">
        <f aca="false">IF(AND(B452&lt;&gt;"",B452=SW別シート!$C$3),COUNTIF(B$5:B452,B452),"")</f>
        <v/>
      </c>
      <c r="V452" s="47" t="n">
        <f aca="false">V451+IF(OR(O452&lt;&gt;"",W452&lt;&gt;""),1,0)</f>
        <v>3</v>
      </c>
      <c r="W452" s="29"/>
    </row>
    <row r="453" customFormat="false" ht="15" hidden="false" customHeight="false" outlineLevel="0" collapsed="false">
      <c r="A453" s="32" t="str">
        <f aca="false">IF(B453="","",ROW()-7)</f>
        <v/>
      </c>
      <c r="B453" s="30"/>
      <c r="C453" s="29"/>
      <c r="D453" s="29"/>
      <c r="E453" s="29"/>
      <c r="F453" s="30"/>
      <c r="G453" s="29"/>
      <c r="H453" s="30"/>
      <c r="I453" s="29"/>
      <c r="J453" s="30"/>
      <c r="K453" s="30"/>
      <c r="L453" s="29"/>
      <c r="M453" s="32" t="str">
        <f aca="false">IF(OR(C453="",L453=""),"",IF(C453=L453,"同一","変更"))</f>
        <v/>
      </c>
      <c r="N453" s="29"/>
      <c r="O453" s="30"/>
      <c r="P453" s="29"/>
      <c r="Q453" s="31"/>
      <c r="R453" s="29"/>
      <c r="S453" s="29"/>
      <c r="T453" s="30"/>
      <c r="U453" s="47" t="str">
        <f aca="false">IF(AND(B453&lt;&gt;"",B453=SW別シート!$C$3),COUNTIF(B$5:B453,B453),"")</f>
        <v/>
      </c>
      <c r="V453" s="47" t="n">
        <f aca="false">V452+IF(OR(O453&lt;&gt;"",W453&lt;&gt;""),1,0)</f>
        <v>3</v>
      </c>
      <c r="W453" s="29"/>
    </row>
    <row r="454" customFormat="false" ht="15" hidden="false" customHeight="false" outlineLevel="0" collapsed="false">
      <c r="A454" s="32" t="str">
        <f aca="false">IF(B454="","",ROW()-7)</f>
        <v/>
      </c>
      <c r="B454" s="30"/>
      <c r="C454" s="29"/>
      <c r="D454" s="29"/>
      <c r="E454" s="29"/>
      <c r="F454" s="30"/>
      <c r="G454" s="29"/>
      <c r="H454" s="30"/>
      <c r="I454" s="29"/>
      <c r="J454" s="30"/>
      <c r="K454" s="30"/>
      <c r="L454" s="29"/>
      <c r="M454" s="32" t="str">
        <f aca="false">IF(OR(C454="",L454=""),"",IF(C454=L454,"同一","変更"))</f>
        <v/>
      </c>
      <c r="N454" s="29"/>
      <c r="O454" s="30"/>
      <c r="P454" s="29"/>
      <c r="Q454" s="31"/>
      <c r="R454" s="29"/>
      <c r="S454" s="29"/>
      <c r="T454" s="30"/>
      <c r="U454" s="47" t="str">
        <f aca="false">IF(AND(B454&lt;&gt;"",B454=SW別シート!$C$3),COUNTIF(B$5:B454,B454),"")</f>
        <v/>
      </c>
      <c r="V454" s="47" t="n">
        <f aca="false">V453+IF(OR(O454&lt;&gt;"",W454&lt;&gt;""),1,0)</f>
        <v>3</v>
      </c>
      <c r="W454" s="29"/>
    </row>
    <row r="455" customFormat="false" ht="15" hidden="false" customHeight="false" outlineLevel="0" collapsed="false">
      <c r="A455" s="32" t="str">
        <f aca="false">IF(B455="","",ROW()-7)</f>
        <v/>
      </c>
      <c r="B455" s="30"/>
      <c r="C455" s="29"/>
      <c r="D455" s="29"/>
      <c r="E455" s="29"/>
      <c r="F455" s="30"/>
      <c r="G455" s="29"/>
      <c r="H455" s="30"/>
      <c r="I455" s="29"/>
      <c r="J455" s="30"/>
      <c r="K455" s="30"/>
      <c r="L455" s="29"/>
      <c r="M455" s="32" t="str">
        <f aca="false">IF(OR(C455="",L455=""),"",IF(C455=L455,"同一","変更"))</f>
        <v/>
      </c>
      <c r="N455" s="29"/>
      <c r="O455" s="30"/>
      <c r="P455" s="29"/>
      <c r="Q455" s="31"/>
      <c r="R455" s="29"/>
      <c r="S455" s="29"/>
      <c r="T455" s="30"/>
      <c r="U455" s="47" t="str">
        <f aca="false">IF(AND(B455&lt;&gt;"",B455=SW別シート!$C$3),COUNTIF(B$5:B455,B455),"")</f>
        <v/>
      </c>
      <c r="V455" s="47" t="n">
        <f aca="false">V454+IF(OR(O455&lt;&gt;"",W455&lt;&gt;""),1,0)</f>
        <v>3</v>
      </c>
      <c r="W455" s="29"/>
    </row>
    <row r="456" customFormat="false" ht="15" hidden="false" customHeight="false" outlineLevel="0" collapsed="false">
      <c r="A456" s="32" t="str">
        <f aca="false">IF(B456="","",ROW()-7)</f>
        <v/>
      </c>
      <c r="B456" s="30"/>
      <c r="C456" s="29"/>
      <c r="D456" s="29"/>
      <c r="E456" s="29"/>
      <c r="F456" s="30"/>
      <c r="G456" s="29"/>
      <c r="H456" s="30"/>
      <c r="I456" s="29"/>
      <c r="J456" s="30"/>
      <c r="K456" s="30"/>
      <c r="L456" s="29"/>
      <c r="M456" s="32" t="str">
        <f aca="false">IF(OR(C456="",L456=""),"",IF(C456=L456,"同一","変更"))</f>
        <v/>
      </c>
      <c r="N456" s="29"/>
      <c r="O456" s="30"/>
      <c r="P456" s="29"/>
      <c r="Q456" s="31"/>
      <c r="R456" s="29"/>
      <c r="S456" s="29"/>
      <c r="T456" s="30"/>
      <c r="U456" s="47" t="str">
        <f aca="false">IF(AND(B456&lt;&gt;"",B456=SW別シート!$C$3),COUNTIF(B$5:B456,B456),"")</f>
        <v/>
      </c>
      <c r="V456" s="47" t="n">
        <f aca="false">V455+IF(OR(O456&lt;&gt;"",W456&lt;&gt;""),1,0)</f>
        <v>3</v>
      </c>
      <c r="W456" s="29"/>
    </row>
    <row r="457" customFormat="false" ht="15" hidden="false" customHeight="false" outlineLevel="0" collapsed="false">
      <c r="A457" s="32" t="str">
        <f aca="false">IF(B457="","",ROW()-7)</f>
        <v/>
      </c>
      <c r="B457" s="30"/>
      <c r="C457" s="29"/>
      <c r="D457" s="29"/>
      <c r="E457" s="29"/>
      <c r="F457" s="30"/>
      <c r="G457" s="29"/>
      <c r="H457" s="30"/>
      <c r="I457" s="29"/>
      <c r="J457" s="30"/>
      <c r="K457" s="30"/>
      <c r="L457" s="29"/>
      <c r="M457" s="32" t="str">
        <f aca="false">IF(OR(C457="",L457=""),"",IF(C457=L457,"同一","変更"))</f>
        <v/>
      </c>
      <c r="N457" s="29"/>
      <c r="O457" s="30"/>
      <c r="P457" s="29"/>
      <c r="Q457" s="31"/>
      <c r="R457" s="29"/>
      <c r="S457" s="29"/>
      <c r="T457" s="30"/>
      <c r="U457" s="47" t="str">
        <f aca="false">IF(AND(B457&lt;&gt;"",B457=SW別シート!$C$3),COUNTIF(B$5:B457,B457),"")</f>
        <v/>
      </c>
      <c r="V457" s="47" t="n">
        <f aca="false">V456+IF(OR(O457&lt;&gt;"",W457&lt;&gt;""),1,0)</f>
        <v>3</v>
      </c>
      <c r="W457" s="29"/>
    </row>
    <row r="458" customFormat="false" ht="15" hidden="false" customHeight="false" outlineLevel="0" collapsed="false">
      <c r="A458" s="32" t="str">
        <f aca="false">IF(B458="","",ROW()-7)</f>
        <v/>
      </c>
      <c r="B458" s="30"/>
      <c r="C458" s="29"/>
      <c r="D458" s="29"/>
      <c r="E458" s="29"/>
      <c r="F458" s="30"/>
      <c r="G458" s="29"/>
      <c r="H458" s="30"/>
      <c r="I458" s="29"/>
      <c r="J458" s="30"/>
      <c r="K458" s="30"/>
      <c r="L458" s="29"/>
      <c r="M458" s="32" t="str">
        <f aca="false">IF(OR(C458="",L458=""),"",IF(C458=L458,"同一","変更"))</f>
        <v/>
      </c>
      <c r="N458" s="29"/>
      <c r="O458" s="30"/>
      <c r="P458" s="29"/>
      <c r="Q458" s="31"/>
      <c r="R458" s="29"/>
      <c r="S458" s="29"/>
      <c r="T458" s="30"/>
      <c r="U458" s="47" t="str">
        <f aca="false">IF(AND(B458&lt;&gt;"",B458=SW別シート!$C$3),COUNTIF(B$5:B458,B458),"")</f>
        <v/>
      </c>
      <c r="V458" s="47" t="n">
        <f aca="false">V457+IF(OR(O458&lt;&gt;"",W458&lt;&gt;""),1,0)</f>
        <v>3</v>
      </c>
      <c r="W458" s="29"/>
    </row>
    <row r="459" customFormat="false" ht="15" hidden="false" customHeight="false" outlineLevel="0" collapsed="false">
      <c r="A459" s="32" t="str">
        <f aca="false">IF(B459="","",ROW()-7)</f>
        <v/>
      </c>
      <c r="B459" s="30"/>
      <c r="C459" s="29"/>
      <c r="D459" s="29"/>
      <c r="E459" s="29"/>
      <c r="F459" s="30"/>
      <c r="G459" s="29"/>
      <c r="H459" s="30"/>
      <c r="I459" s="29"/>
      <c r="J459" s="30"/>
      <c r="K459" s="30"/>
      <c r="L459" s="29"/>
      <c r="M459" s="32" t="str">
        <f aca="false">IF(OR(C459="",L459=""),"",IF(C459=L459,"同一","変更"))</f>
        <v/>
      </c>
      <c r="N459" s="29"/>
      <c r="O459" s="30"/>
      <c r="P459" s="29"/>
      <c r="Q459" s="31"/>
      <c r="R459" s="29"/>
      <c r="S459" s="29"/>
      <c r="T459" s="30"/>
      <c r="U459" s="47" t="str">
        <f aca="false">IF(AND(B459&lt;&gt;"",B459=SW別シート!$C$3),COUNTIF(B$5:B459,B459),"")</f>
        <v/>
      </c>
      <c r="V459" s="47" t="n">
        <f aca="false">V458+IF(OR(O459&lt;&gt;"",W459&lt;&gt;""),1,0)</f>
        <v>3</v>
      </c>
      <c r="W459" s="29"/>
    </row>
    <row r="460" customFormat="false" ht="15" hidden="false" customHeight="false" outlineLevel="0" collapsed="false">
      <c r="A460" s="32" t="str">
        <f aca="false">IF(B460="","",ROW()-7)</f>
        <v/>
      </c>
      <c r="B460" s="30"/>
      <c r="C460" s="29"/>
      <c r="D460" s="29"/>
      <c r="E460" s="29"/>
      <c r="F460" s="30"/>
      <c r="G460" s="29"/>
      <c r="H460" s="30"/>
      <c r="I460" s="29"/>
      <c r="J460" s="30"/>
      <c r="K460" s="30"/>
      <c r="L460" s="29"/>
      <c r="M460" s="32" t="str">
        <f aca="false">IF(OR(C460="",L460=""),"",IF(C460=L460,"同一","変更"))</f>
        <v/>
      </c>
      <c r="N460" s="29"/>
      <c r="O460" s="30"/>
      <c r="P460" s="29"/>
      <c r="Q460" s="31"/>
      <c r="R460" s="29"/>
      <c r="S460" s="29"/>
      <c r="T460" s="30"/>
      <c r="U460" s="47" t="str">
        <f aca="false">IF(AND(B460&lt;&gt;"",B460=SW別シート!$C$3),COUNTIF(B$5:B460,B460),"")</f>
        <v/>
      </c>
      <c r="V460" s="47" t="n">
        <f aca="false">V459+IF(OR(O460&lt;&gt;"",W460&lt;&gt;""),1,0)</f>
        <v>3</v>
      </c>
      <c r="W460" s="29"/>
    </row>
    <row r="461" customFormat="false" ht="15" hidden="false" customHeight="false" outlineLevel="0" collapsed="false">
      <c r="A461" s="32" t="str">
        <f aca="false">IF(B461="","",ROW()-7)</f>
        <v/>
      </c>
      <c r="B461" s="30"/>
      <c r="C461" s="29"/>
      <c r="D461" s="29"/>
      <c r="E461" s="29"/>
      <c r="F461" s="30"/>
      <c r="G461" s="29"/>
      <c r="H461" s="30"/>
      <c r="I461" s="29"/>
      <c r="J461" s="30"/>
      <c r="K461" s="30"/>
      <c r="L461" s="29"/>
      <c r="M461" s="32" t="str">
        <f aca="false">IF(OR(C461="",L461=""),"",IF(C461=L461,"同一","変更"))</f>
        <v/>
      </c>
      <c r="N461" s="29"/>
      <c r="O461" s="30"/>
      <c r="P461" s="29"/>
      <c r="Q461" s="31"/>
      <c r="R461" s="29"/>
      <c r="S461" s="29"/>
      <c r="T461" s="30"/>
      <c r="U461" s="47" t="str">
        <f aca="false">IF(AND(B461&lt;&gt;"",B461=SW別シート!$C$3),COUNTIF(B$5:B461,B461),"")</f>
        <v/>
      </c>
      <c r="V461" s="47" t="n">
        <f aca="false">V460+IF(OR(O461&lt;&gt;"",W461&lt;&gt;""),1,0)</f>
        <v>3</v>
      </c>
      <c r="W461" s="29"/>
    </row>
    <row r="462" customFormat="false" ht="15" hidden="false" customHeight="false" outlineLevel="0" collapsed="false">
      <c r="A462" s="32" t="str">
        <f aca="false">IF(B462="","",ROW()-7)</f>
        <v/>
      </c>
      <c r="B462" s="30"/>
      <c r="C462" s="29"/>
      <c r="D462" s="29"/>
      <c r="E462" s="29"/>
      <c r="F462" s="30"/>
      <c r="G462" s="29"/>
      <c r="H462" s="30"/>
      <c r="I462" s="29"/>
      <c r="J462" s="30"/>
      <c r="K462" s="30"/>
      <c r="L462" s="29"/>
      <c r="M462" s="32" t="str">
        <f aca="false">IF(OR(C462="",L462=""),"",IF(C462=L462,"同一","変更"))</f>
        <v/>
      </c>
      <c r="N462" s="29"/>
      <c r="O462" s="30"/>
      <c r="P462" s="29"/>
      <c r="Q462" s="31"/>
      <c r="R462" s="29"/>
      <c r="S462" s="29"/>
      <c r="T462" s="30"/>
      <c r="U462" s="47" t="str">
        <f aca="false">IF(AND(B462&lt;&gt;"",B462=SW別シート!$C$3),COUNTIF(B$5:B462,B462),"")</f>
        <v/>
      </c>
      <c r="V462" s="47" t="n">
        <f aca="false">V461+IF(OR(O462&lt;&gt;"",W462&lt;&gt;""),1,0)</f>
        <v>3</v>
      </c>
      <c r="W462" s="29"/>
    </row>
    <row r="463" customFormat="false" ht="15" hidden="false" customHeight="false" outlineLevel="0" collapsed="false">
      <c r="A463" s="32" t="str">
        <f aca="false">IF(B463="","",ROW()-7)</f>
        <v/>
      </c>
      <c r="B463" s="30"/>
      <c r="C463" s="29"/>
      <c r="D463" s="29"/>
      <c r="E463" s="29"/>
      <c r="F463" s="30"/>
      <c r="G463" s="29"/>
      <c r="H463" s="30"/>
      <c r="I463" s="29"/>
      <c r="J463" s="30"/>
      <c r="K463" s="30"/>
      <c r="L463" s="29"/>
      <c r="M463" s="32" t="str">
        <f aca="false">IF(OR(C463="",L463=""),"",IF(C463=L463,"同一","変更"))</f>
        <v/>
      </c>
      <c r="N463" s="29"/>
      <c r="O463" s="30"/>
      <c r="P463" s="29"/>
      <c r="Q463" s="31"/>
      <c r="R463" s="29"/>
      <c r="S463" s="29"/>
      <c r="T463" s="30"/>
      <c r="U463" s="47" t="str">
        <f aca="false">IF(AND(B463&lt;&gt;"",B463=SW別シート!$C$3),COUNTIF(B$5:B463,B463),"")</f>
        <v/>
      </c>
      <c r="V463" s="47" t="n">
        <f aca="false">V462+IF(OR(O463&lt;&gt;"",W463&lt;&gt;""),1,0)</f>
        <v>3</v>
      </c>
      <c r="W463" s="29"/>
    </row>
    <row r="464" customFormat="false" ht="15" hidden="false" customHeight="false" outlineLevel="0" collapsed="false">
      <c r="A464" s="32" t="str">
        <f aca="false">IF(B464="","",ROW()-7)</f>
        <v/>
      </c>
      <c r="B464" s="30"/>
      <c r="C464" s="29"/>
      <c r="D464" s="29"/>
      <c r="E464" s="29"/>
      <c r="F464" s="30"/>
      <c r="G464" s="29"/>
      <c r="H464" s="30"/>
      <c r="I464" s="29"/>
      <c r="J464" s="30"/>
      <c r="K464" s="30"/>
      <c r="L464" s="29"/>
      <c r="M464" s="32" t="str">
        <f aca="false">IF(OR(C464="",L464=""),"",IF(C464=L464,"同一","変更"))</f>
        <v/>
      </c>
      <c r="N464" s="29"/>
      <c r="O464" s="30"/>
      <c r="P464" s="29"/>
      <c r="Q464" s="31"/>
      <c r="R464" s="29"/>
      <c r="S464" s="29"/>
      <c r="T464" s="30"/>
      <c r="U464" s="47" t="str">
        <f aca="false">IF(AND(B464&lt;&gt;"",B464=SW別シート!$C$3),COUNTIF(B$5:B464,B464),"")</f>
        <v/>
      </c>
      <c r="V464" s="47" t="n">
        <f aca="false">V463+IF(OR(O464&lt;&gt;"",W464&lt;&gt;""),1,0)</f>
        <v>3</v>
      </c>
      <c r="W464" s="29"/>
    </row>
    <row r="465" customFormat="false" ht="15" hidden="false" customHeight="false" outlineLevel="0" collapsed="false">
      <c r="A465" s="32" t="str">
        <f aca="false">IF(B465="","",ROW()-7)</f>
        <v/>
      </c>
      <c r="B465" s="30"/>
      <c r="C465" s="29"/>
      <c r="D465" s="29"/>
      <c r="E465" s="29"/>
      <c r="F465" s="30"/>
      <c r="G465" s="29"/>
      <c r="H465" s="30"/>
      <c r="I465" s="29"/>
      <c r="J465" s="30"/>
      <c r="K465" s="30"/>
      <c r="L465" s="29"/>
      <c r="M465" s="32" t="str">
        <f aca="false">IF(OR(C465="",L465=""),"",IF(C465=L465,"同一","変更"))</f>
        <v/>
      </c>
      <c r="N465" s="29"/>
      <c r="O465" s="30"/>
      <c r="P465" s="29"/>
      <c r="Q465" s="31"/>
      <c r="R465" s="29"/>
      <c r="S465" s="29"/>
      <c r="T465" s="30"/>
      <c r="U465" s="47" t="str">
        <f aca="false">IF(AND(B465&lt;&gt;"",B465=SW別シート!$C$3),COUNTIF(B$5:B465,B465),"")</f>
        <v/>
      </c>
      <c r="V465" s="47" t="n">
        <f aca="false">V464+IF(OR(O465&lt;&gt;"",W465&lt;&gt;""),1,0)</f>
        <v>3</v>
      </c>
      <c r="W465" s="29"/>
    </row>
    <row r="466" customFormat="false" ht="15" hidden="false" customHeight="false" outlineLevel="0" collapsed="false">
      <c r="A466" s="32" t="str">
        <f aca="false">IF(B466="","",ROW()-7)</f>
        <v/>
      </c>
      <c r="B466" s="30"/>
      <c r="C466" s="29"/>
      <c r="D466" s="29"/>
      <c r="E466" s="29"/>
      <c r="F466" s="30"/>
      <c r="G466" s="29"/>
      <c r="H466" s="30"/>
      <c r="I466" s="29"/>
      <c r="J466" s="30"/>
      <c r="K466" s="30"/>
      <c r="L466" s="29"/>
      <c r="M466" s="32" t="str">
        <f aca="false">IF(OR(C466="",L466=""),"",IF(C466=L466,"同一","変更"))</f>
        <v/>
      </c>
      <c r="N466" s="29"/>
      <c r="O466" s="30"/>
      <c r="P466" s="29"/>
      <c r="Q466" s="31"/>
      <c r="R466" s="29"/>
      <c r="S466" s="29"/>
      <c r="T466" s="30"/>
      <c r="U466" s="47" t="str">
        <f aca="false">IF(AND(B466&lt;&gt;"",B466=SW別シート!$C$3),COUNTIF(B$5:B466,B466),"")</f>
        <v/>
      </c>
      <c r="V466" s="47" t="n">
        <f aca="false">V465+IF(OR(O466&lt;&gt;"",W466&lt;&gt;""),1,0)</f>
        <v>3</v>
      </c>
      <c r="W466" s="29"/>
    </row>
    <row r="467" customFormat="false" ht="15" hidden="false" customHeight="false" outlineLevel="0" collapsed="false">
      <c r="A467" s="32" t="str">
        <f aca="false">IF(B467="","",ROW()-7)</f>
        <v/>
      </c>
      <c r="B467" s="30"/>
      <c r="C467" s="29"/>
      <c r="D467" s="29"/>
      <c r="E467" s="29"/>
      <c r="F467" s="30"/>
      <c r="G467" s="29"/>
      <c r="H467" s="30"/>
      <c r="I467" s="29"/>
      <c r="J467" s="30"/>
      <c r="K467" s="30"/>
      <c r="L467" s="29"/>
      <c r="M467" s="32" t="str">
        <f aca="false">IF(OR(C467="",L467=""),"",IF(C467=L467,"同一","変更"))</f>
        <v/>
      </c>
      <c r="N467" s="29"/>
      <c r="O467" s="30"/>
      <c r="P467" s="29"/>
      <c r="Q467" s="31"/>
      <c r="R467" s="29"/>
      <c r="S467" s="29"/>
      <c r="T467" s="30"/>
      <c r="U467" s="47" t="str">
        <f aca="false">IF(AND(B467&lt;&gt;"",B467=SW別シート!$C$3),COUNTIF(B$5:B467,B467),"")</f>
        <v/>
      </c>
      <c r="V467" s="47" t="n">
        <f aca="false">V466+IF(OR(O467&lt;&gt;"",W467&lt;&gt;""),1,0)</f>
        <v>3</v>
      </c>
      <c r="W467" s="29"/>
    </row>
    <row r="468" customFormat="false" ht="15" hidden="false" customHeight="false" outlineLevel="0" collapsed="false">
      <c r="A468" s="32" t="str">
        <f aca="false">IF(B468="","",ROW()-7)</f>
        <v/>
      </c>
      <c r="B468" s="30"/>
      <c r="C468" s="29"/>
      <c r="D468" s="29"/>
      <c r="E468" s="29"/>
      <c r="F468" s="30"/>
      <c r="G468" s="29"/>
      <c r="H468" s="30"/>
      <c r="I468" s="29"/>
      <c r="J468" s="30"/>
      <c r="K468" s="30"/>
      <c r="L468" s="29"/>
      <c r="M468" s="32" t="str">
        <f aca="false">IF(OR(C468="",L468=""),"",IF(C468=L468,"同一","変更"))</f>
        <v/>
      </c>
      <c r="N468" s="29"/>
      <c r="O468" s="30"/>
      <c r="P468" s="29"/>
      <c r="Q468" s="31"/>
      <c r="R468" s="29"/>
      <c r="S468" s="29"/>
      <c r="T468" s="30"/>
      <c r="U468" s="47" t="str">
        <f aca="false">IF(AND(B468&lt;&gt;"",B468=SW別シート!$C$3),COUNTIF(B$5:B468,B468),"")</f>
        <v/>
      </c>
      <c r="V468" s="47" t="n">
        <f aca="false">V467+IF(OR(O468&lt;&gt;"",W468&lt;&gt;""),1,0)</f>
        <v>3</v>
      </c>
      <c r="W468" s="29"/>
    </row>
    <row r="469" customFormat="false" ht="15" hidden="false" customHeight="false" outlineLevel="0" collapsed="false">
      <c r="A469" s="32" t="str">
        <f aca="false">IF(B469="","",ROW()-7)</f>
        <v/>
      </c>
      <c r="B469" s="30"/>
      <c r="C469" s="29"/>
      <c r="D469" s="29"/>
      <c r="E469" s="29"/>
      <c r="F469" s="30"/>
      <c r="G469" s="29"/>
      <c r="H469" s="30"/>
      <c r="I469" s="29"/>
      <c r="J469" s="30"/>
      <c r="K469" s="30"/>
      <c r="L469" s="29"/>
      <c r="M469" s="32" t="str">
        <f aca="false">IF(OR(C469="",L469=""),"",IF(C469=L469,"同一","変更"))</f>
        <v/>
      </c>
      <c r="N469" s="29"/>
      <c r="O469" s="30"/>
      <c r="P469" s="29"/>
      <c r="Q469" s="31"/>
      <c r="R469" s="29"/>
      <c r="S469" s="29"/>
      <c r="T469" s="30"/>
      <c r="U469" s="47" t="str">
        <f aca="false">IF(AND(B469&lt;&gt;"",B469=SW別シート!$C$3),COUNTIF(B$5:B469,B469),"")</f>
        <v/>
      </c>
      <c r="V469" s="47" t="n">
        <f aca="false">V468+IF(OR(O469&lt;&gt;"",W469&lt;&gt;""),1,0)</f>
        <v>3</v>
      </c>
      <c r="W469" s="29"/>
    </row>
    <row r="470" customFormat="false" ht="15" hidden="false" customHeight="false" outlineLevel="0" collapsed="false">
      <c r="A470" s="32" t="str">
        <f aca="false">IF(B470="","",ROW()-7)</f>
        <v/>
      </c>
      <c r="B470" s="30"/>
      <c r="C470" s="29"/>
      <c r="D470" s="29"/>
      <c r="E470" s="29"/>
      <c r="F470" s="30"/>
      <c r="G470" s="29"/>
      <c r="H470" s="30"/>
      <c r="I470" s="29"/>
      <c r="J470" s="30"/>
      <c r="K470" s="30"/>
      <c r="L470" s="29"/>
      <c r="M470" s="32" t="str">
        <f aca="false">IF(OR(C470="",L470=""),"",IF(C470=L470,"同一","変更"))</f>
        <v/>
      </c>
      <c r="N470" s="29"/>
      <c r="O470" s="30"/>
      <c r="P470" s="29"/>
      <c r="Q470" s="31"/>
      <c r="R470" s="29"/>
      <c r="S470" s="29"/>
      <c r="T470" s="30"/>
      <c r="U470" s="47" t="str">
        <f aca="false">IF(AND(B470&lt;&gt;"",B470=SW別シート!$C$3),COUNTIF(B$5:B470,B470),"")</f>
        <v/>
      </c>
      <c r="V470" s="47" t="n">
        <f aca="false">V469+IF(OR(O470&lt;&gt;"",W470&lt;&gt;""),1,0)</f>
        <v>3</v>
      </c>
      <c r="W470" s="29"/>
    </row>
    <row r="471" customFormat="false" ht="15" hidden="false" customHeight="false" outlineLevel="0" collapsed="false">
      <c r="A471" s="32" t="str">
        <f aca="false">IF(B471="","",ROW()-7)</f>
        <v/>
      </c>
      <c r="B471" s="30"/>
      <c r="C471" s="29"/>
      <c r="D471" s="29"/>
      <c r="E471" s="29"/>
      <c r="F471" s="30"/>
      <c r="G471" s="29"/>
      <c r="H471" s="30"/>
      <c r="I471" s="29"/>
      <c r="J471" s="30"/>
      <c r="K471" s="30"/>
      <c r="L471" s="29"/>
      <c r="M471" s="32" t="str">
        <f aca="false">IF(OR(C471="",L471=""),"",IF(C471=L471,"同一","変更"))</f>
        <v/>
      </c>
      <c r="N471" s="29"/>
      <c r="O471" s="30"/>
      <c r="P471" s="29"/>
      <c r="Q471" s="31"/>
      <c r="R471" s="29"/>
      <c r="S471" s="29"/>
      <c r="T471" s="30"/>
      <c r="U471" s="47" t="str">
        <f aca="false">IF(AND(B471&lt;&gt;"",B471=SW別シート!$C$3),COUNTIF(B$5:B471,B471),"")</f>
        <v/>
      </c>
      <c r="V471" s="47" t="n">
        <f aca="false">V470+IF(OR(O471&lt;&gt;"",W471&lt;&gt;""),1,0)</f>
        <v>3</v>
      </c>
      <c r="W471" s="29"/>
    </row>
    <row r="472" customFormat="false" ht="15" hidden="false" customHeight="false" outlineLevel="0" collapsed="false">
      <c r="A472" s="32" t="str">
        <f aca="false">IF(B472="","",ROW()-7)</f>
        <v/>
      </c>
      <c r="B472" s="30"/>
      <c r="C472" s="29"/>
      <c r="D472" s="29"/>
      <c r="E472" s="29"/>
      <c r="F472" s="30"/>
      <c r="G472" s="29"/>
      <c r="H472" s="30"/>
      <c r="I472" s="29"/>
      <c r="J472" s="30"/>
      <c r="K472" s="30"/>
      <c r="L472" s="29"/>
      <c r="M472" s="32" t="str">
        <f aca="false">IF(OR(C472="",L472=""),"",IF(C472=L472,"同一","変更"))</f>
        <v/>
      </c>
      <c r="N472" s="29"/>
      <c r="O472" s="30"/>
      <c r="P472" s="29"/>
      <c r="Q472" s="31"/>
      <c r="R472" s="29"/>
      <c r="S472" s="29"/>
      <c r="T472" s="30"/>
      <c r="U472" s="47" t="str">
        <f aca="false">IF(AND(B472&lt;&gt;"",B472=SW別シート!$C$3),COUNTIF(B$5:B472,B472),"")</f>
        <v/>
      </c>
      <c r="V472" s="47" t="n">
        <f aca="false">V471+IF(OR(O472&lt;&gt;"",W472&lt;&gt;""),1,0)</f>
        <v>3</v>
      </c>
      <c r="W472" s="29"/>
    </row>
    <row r="473" customFormat="false" ht="15" hidden="false" customHeight="false" outlineLevel="0" collapsed="false">
      <c r="A473" s="32" t="str">
        <f aca="false">IF(B473="","",ROW()-7)</f>
        <v/>
      </c>
      <c r="B473" s="30"/>
      <c r="C473" s="29"/>
      <c r="D473" s="29"/>
      <c r="E473" s="29"/>
      <c r="F473" s="30"/>
      <c r="G473" s="29"/>
      <c r="H473" s="30"/>
      <c r="I473" s="29"/>
      <c r="J473" s="30"/>
      <c r="K473" s="30"/>
      <c r="L473" s="29"/>
      <c r="M473" s="32" t="str">
        <f aca="false">IF(OR(C473="",L473=""),"",IF(C473=L473,"同一","変更"))</f>
        <v/>
      </c>
      <c r="N473" s="29"/>
      <c r="O473" s="30"/>
      <c r="P473" s="29"/>
      <c r="Q473" s="31"/>
      <c r="R473" s="29"/>
      <c r="S473" s="29"/>
      <c r="T473" s="30"/>
      <c r="U473" s="47" t="str">
        <f aca="false">IF(AND(B473&lt;&gt;"",B473=SW別シート!$C$3),COUNTIF(B$5:B473,B473),"")</f>
        <v/>
      </c>
      <c r="V473" s="47" t="n">
        <f aca="false">V472+IF(OR(O473&lt;&gt;"",W473&lt;&gt;""),1,0)</f>
        <v>3</v>
      </c>
      <c r="W473" s="29"/>
    </row>
    <row r="474" customFormat="false" ht="15" hidden="false" customHeight="false" outlineLevel="0" collapsed="false">
      <c r="A474" s="32" t="str">
        <f aca="false">IF(B474="","",ROW()-7)</f>
        <v/>
      </c>
      <c r="B474" s="30"/>
      <c r="C474" s="29"/>
      <c r="D474" s="29"/>
      <c r="E474" s="29"/>
      <c r="F474" s="30"/>
      <c r="G474" s="29"/>
      <c r="H474" s="30"/>
      <c r="I474" s="29"/>
      <c r="J474" s="30"/>
      <c r="K474" s="30"/>
      <c r="L474" s="29"/>
      <c r="M474" s="32" t="str">
        <f aca="false">IF(OR(C474="",L474=""),"",IF(C474=L474,"同一","変更"))</f>
        <v/>
      </c>
      <c r="N474" s="29"/>
      <c r="O474" s="30"/>
      <c r="P474" s="29"/>
      <c r="Q474" s="31"/>
      <c r="R474" s="29"/>
      <c r="S474" s="29"/>
      <c r="T474" s="30"/>
      <c r="U474" s="47" t="str">
        <f aca="false">IF(AND(B474&lt;&gt;"",B474=SW別シート!$C$3),COUNTIF(B$5:B474,B474),"")</f>
        <v/>
      </c>
      <c r="V474" s="47" t="n">
        <f aca="false">V473+IF(OR(O474&lt;&gt;"",W474&lt;&gt;""),1,0)</f>
        <v>3</v>
      </c>
      <c r="W474" s="29"/>
    </row>
    <row r="475" customFormat="false" ht="15" hidden="false" customHeight="false" outlineLevel="0" collapsed="false">
      <c r="A475" s="32" t="str">
        <f aca="false">IF(B475="","",ROW()-7)</f>
        <v/>
      </c>
      <c r="B475" s="30"/>
      <c r="C475" s="29"/>
      <c r="D475" s="29"/>
      <c r="E475" s="29"/>
      <c r="F475" s="30"/>
      <c r="G475" s="29"/>
      <c r="H475" s="30"/>
      <c r="I475" s="29"/>
      <c r="J475" s="30"/>
      <c r="K475" s="30"/>
      <c r="L475" s="29"/>
      <c r="M475" s="32" t="str">
        <f aca="false">IF(OR(C475="",L475=""),"",IF(C475=L475,"同一","変更"))</f>
        <v/>
      </c>
      <c r="N475" s="29"/>
      <c r="O475" s="30"/>
      <c r="P475" s="29"/>
      <c r="Q475" s="31"/>
      <c r="R475" s="29"/>
      <c r="S475" s="29"/>
      <c r="T475" s="30"/>
      <c r="U475" s="47" t="str">
        <f aca="false">IF(AND(B475&lt;&gt;"",B475=SW別シート!$C$3),COUNTIF(B$5:B475,B475),"")</f>
        <v/>
      </c>
      <c r="V475" s="47" t="n">
        <f aca="false">V474+IF(OR(O475&lt;&gt;"",W475&lt;&gt;""),1,0)</f>
        <v>3</v>
      </c>
      <c r="W475" s="29"/>
    </row>
    <row r="476" customFormat="false" ht="15" hidden="false" customHeight="false" outlineLevel="0" collapsed="false">
      <c r="A476" s="32" t="str">
        <f aca="false">IF(B476="","",ROW()-7)</f>
        <v/>
      </c>
      <c r="B476" s="30"/>
      <c r="C476" s="29"/>
      <c r="D476" s="29"/>
      <c r="E476" s="29"/>
      <c r="F476" s="30"/>
      <c r="G476" s="29"/>
      <c r="H476" s="30"/>
      <c r="I476" s="29"/>
      <c r="J476" s="30"/>
      <c r="K476" s="30"/>
      <c r="L476" s="29"/>
      <c r="M476" s="32" t="str">
        <f aca="false">IF(OR(C476="",L476=""),"",IF(C476=L476,"同一","変更"))</f>
        <v/>
      </c>
      <c r="N476" s="29"/>
      <c r="O476" s="30"/>
      <c r="P476" s="29"/>
      <c r="Q476" s="31"/>
      <c r="R476" s="29"/>
      <c r="S476" s="29"/>
      <c r="T476" s="30"/>
      <c r="U476" s="47" t="str">
        <f aca="false">IF(AND(B476&lt;&gt;"",B476=SW別シート!$C$3),COUNTIF(B$5:B476,B476),"")</f>
        <v/>
      </c>
      <c r="V476" s="47" t="n">
        <f aca="false">V475+IF(OR(O476&lt;&gt;"",W476&lt;&gt;""),1,0)</f>
        <v>3</v>
      </c>
      <c r="W476" s="29"/>
    </row>
    <row r="477" customFormat="false" ht="15" hidden="false" customHeight="false" outlineLevel="0" collapsed="false">
      <c r="A477" s="32" t="str">
        <f aca="false">IF(B477="","",ROW()-7)</f>
        <v/>
      </c>
      <c r="B477" s="30"/>
      <c r="C477" s="29"/>
      <c r="D477" s="29"/>
      <c r="E477" s="29"/>
      <c r="F477" s="30"/>
      <c r="G477" s="29"/>
      <c r="H477" s="30"/>
      <c r="I477" s="29"/>
      <c r="J477" s="30"/>
      <c r="K477" s="30"/>
      <c r="L477" s="29"/>
      <c r="M477" s="32" t="str">
        <f aca="false">IF(OR(C477="",L477=""),"",IF(C477=L477,"同一","変更"))</f>
        <v/>
      </c>
      <c r="N477" s="29"/>
      <c r="O477" s="30"/>
      <c r="P477" s="29"/>
      <c r="Q477" s="31"/>
      <c r="R477" s="29"/>
      <c r="S477" s="29"/>
      <c r="T477" s="30"/>
      <c r="U477" s="47" t="str">
        <f aca="false">IF(AND(B477&lt;&gt;"",B477=SW別シート!$C$3),COUNTIF(B$5:B477,B477),"")</f>
        <v/>
      </c>
      <c r="V477" s="47" t="n">
        <f aca="false">V476+IF(OR(O477&lt;&gt;"",W477&lt;&gt;""),1,0)</f>
        <v>3</v>
      </c>
      <c r="W477" s="29"/>
    </row>
    <row r="478" customFormat="false" ht="15" hidden="false" customHeight="false" outlineLevel="0" collapsed="false">
      <c r="A478" s="32" t="str">
        <f aca="false">IF(B478="","",ROW()-7)</f>
        <v/>
      </c>
      <c r="B478" s="30"/>
      <c r="C478" s="29"/>
      <c r="D478" s="29"/>
      <c r="E478" s="29"/>
      <c r="F478" s="30"/>
      <c r="G478" s="29"/>
      <c r="H478" s="30"/>
      <c r="I478" s="29"/>
      <c r="J478" s="30"/>
      <c r="K478" s="30"/>
      <c r="L478" s="29"/>
      <c r="M478" s="32" t="str">
        <f aca="false">IF(OR(C478="",L478=""),"",IF(C478=L478,"同一","変更"))</f>
        <v/>
      </c>
      <c r="N478" s="29"/>
      <c r="O478" s="30"/>
      <c r="P478" s="29"/>
      <c r="Q478" s="31"/>
      <c r="R478" s="29"/>
      <c r="S478" s="29"/>
      <c r="T478" s="30"/>
      <c r="U478" s="47" t="str">
        <f aca="false">IF(AND(B478&lt;&gt;"",B478=SW別シート!$C$3),COUNTIF(B$5:B478,B478),"")</f>
        <v/>
      </c>
      <c r="V478" s="47" t="n">
        <f aca="false">V477+IF(OR(O478&lt;&gt;"",W478&lt;&gt;""),1,0)</f>
        <v>3</v>
      </c>
      <c r="W478" s="29"/>
    </row>
    <row r="479" customFormat="false" ht="15" hidden="false" customHeight="false" outlineLevel="0" collapsed="false">
      <c r="A479" s="32" t="str">
        <f aca="false">IF(B479="","",ROW()-7)</f>
        <v/>
      </c>
      <c r="B479" s="30"/>
      <c r="C479" s="29"/>
      <c r="D479" s="29"/>
      <c r="E479" s="29"/>
      <c r="F479" s="30"/>
      <c r="G479" s="29"/>
      <c r="H479" s="30"/>
      <c r="I479" s="29"/>
      <c r="J479" s="30"/>
      <c r="K479" s="30"/>
      <c r="L479" s="29"/>
      <c r="M479" s="32" t="str">
        <f aca="false">IF(OR(C479="",L479=""),"",IF(C479=L479,"同一","変更"))</f>
        <v/>
      </c>
      <c r="N479" s="29"/>
      <c r="O479" s="30"/>
      <c r="P479" s="29"/>
      <c r="Q479" s="31"/>
      <c r="R479" s="29"/>
      <c r="S479" s="29"/>
      <c r="T479" s="30"/>
      <c r="U479" s="47" t="str">
        <f aca="false">IF(AND(B479&lt;&gt;"",B479=SW別シート!$C$3),COUNTIF(B$5:B479,B479),"")</f>
        <v/>
      </c>
      <c r="V479" s="47" t="n">
        <f aca="false">V478+IF(OR(O479&lt;&gt;"",W479&lt;&gt;""),1,0)</f>
        <v>3</v>
      </c>
      <c r="W479" s="29"/>
    </row>
    <row r="480" customFormat="false" ht="15" hidden="false" customHeight="false" outlineLevel="0" collapsed="false">
      <c r="A480" s="32" t="str">
        <f aca="false">IF(B480="","",ROW()-7)</f>
        <v/>
      </c>
      <c r="B480" s="30"/>
      <c r="C480" s="29"/>
      <c r="D480" s="29"/>
      <c r="E480" s="29"/>
      <c r="F480" s="30"/>
      <c r="G480" s="29"/>
      <c r="H480" s="30"/>
      <c r="I480" s="29"/>
      <c r="J480" s="30"/>
      <c r="K480" s="30"/>
      <c r="L480" s="29"/>
      <c r="M480" s="32" t="str">
        <f aca="false">IF(OR(C480="",L480=""),"",IF(C480=L480,"同一","変更"))</f>
        <v/>
      </c>
      <c r="N480" s="29"/>
      <c r="O480" s="30"/>
      <c r="P480" s="29"/>
      <c r="Q480" s="31"/>
      <c r="R480" s="29"/>
      <c r="S480" s="29"/>
      <c r="T480" s="30"/>
      <c r="U480" s="47" t="str">
        <f aca="false">IF(AND(B480&lt;&gt;"",B480=SW別シート!$C$3),COUNTIF(B$5:B480,B480),"")</f>
        <v/>
      </c>
      <c r="V480" s="47" t="n">
        <f aca="false">V479+IF(OR(O480&lt;&gt;"",W480&lt;&gt;""),1,0)</f>
        <v>3</v>
      </c>
      <c r="W480" s="29"/>
    </row>
    <row r="481" customFormat="false" ht="15" hidden="false" customHeight="false" outlineLevel="0" collapsed="false">
      <c r="A481" s="32" t="str">
        <f aca="false">IF(B481="","",ROW()-7)</f>
        <v/>
      </c>
      <c r="B481" s="30"/>
      <c r="C481" s="29"/>
      <c r="D481" s="29"/>
      <c r="E481" s="29"/>
      <c r="F481" s="30"/>
      <c r="G481" s="29"/>
      <c r="H481" s="30"/>
      <c r="I481" s="29"/>
      <c r="J481" s="30"/>
      <c r="K481" s="30"/>
      <c r="L481" s="29"/>
      <c r="M481" s="32" t="str">
        <f aca="false">IF(OR(C481="",L481=""),"",IF(C481=L481,"同一","変更"))</f>
        <v/>
      </c>
      <c r="N481" s="29"/>
      <c r="O481" s="30"/>
      <c r="P481" s="29"/>
      <c r="Q481" s="31"/>
      <c r="R481" s="29"/>
      <c r="S481" s="29"/>
      <c r="T481" s="30"/>
      <c r="U481" s="47" t="str">
        <f aca="false">IF(AND(B481&lt;&gt;"",B481=SW別シート!$C$3),COUNTIF(B$5:B481,B481),"")</f>
        <v/>
      </c>
      <c r="V481" s="47" t="n">
        <f aca="false">V480+IF(OR(O481&lt;&gt;"",W481&lt;&gt;""),1,0)</f>
        <v>3</v>
      </c>
      <c r="W481" s="29"/>
    </row>
    <row r="482" customFormat="false" ht="15" hidden="false" customHeight="false" outlineLevel="0" collapsed="false">
      <c r="A482" s="32" t="str">
        <f aca="false">IF(B482="","",ROW()-7)</f>
        <v/>
      </c>
      <c r="B482" s="30"/>
      <c r="C482" s="29"/>
      <c r="D482" s="29"/>
      <c r="E482" s="29"/>
      <c r="F482" s="30"/>
      <c r="G482" s="29"/>
      <c r="H482" s="30"/>
      <c r="I482" s="29"/>
      <c r="J482" s="30"/>
      <c r="K482" s="30"/>
      <c r="L482" s="29"/>
      <c r="M482" s="32" t="str">
        <f aca="false">IF(OR(C482="",L482=""),"",IF(C482=L482,"同一","変更"))</f>
        <v/>
      </c>
      <c r="N482" s="29"/>
      <c r="O482" s="30"/>
      <c r="P482" s="29"/>
      <c r="Q482" s="31"/>
      <c r="R482" s="29"/>
      <c r="S482" s="29"/>
      <c r="T482" s="30"/>
      <c r="U482" s="47" t="str">
        <f aca="false">IF(AND(B482&lt;&gt;"",B482=SW別シート!$C$3),COUNTIF(B$5:B482,B482),"")</f>
        <v/>
      </c>
      <c r="V482" s="47" t="n">
        <f aca="false">V481+IF(OR(O482&lt;&gt;"",W482&lt;&gt;""),1,0)</f>
        <v>3</v>
      </c>
      <c r="W482" s="29"/>
    </row>
    <row r="483" customFormat="false" ht="15" hidden="false" customHeight="false" outlineLevel="0" collapsed="false">
      <c r="A483" s="32" t="str">
        <f aca="false">IF(B483="","",ROW()-7)</f>
        <v/>
      </c>
      <c r="B483" s="30"/>
      <c r="C483" s="29"/>
      <c r="D483" s="29"/>
      <c r="E483" s="29"/>
      <c r="F483" s="30"/>
      <c r="G483" s="29"/>
      <c r="H483" s="30"/>
      <c r="I483" s="29"/>
      <c r="J483" s="30"/>
      <c r="K483" s="30"/>
      <c r="L483" s="29"/>
      <c r="M483" s="32" t="str">
        <f aca="false">IF(OR(C483="",L483=""),"",IF(C483=L483,"同一","変更"))</f>
        <v/>
      </c>
      <c r="N483" s="29"/>
      <c r="O483" s="30"/>
      <c r="P483" s="29"/>
      <c r="Q483" s="31"/>
      <c r="R483" s="29"/>
      <c r="S483" s="29"/>
      <c r="T483" s="30"/>
      <c r="U483" s="47" t="str">
        <f aca="false">IF(AND(B483&lt;&gt;"",B483=SW別シート!$C$3),COUNTIF(B$5:B483,B483),"")</f>
        <v/>
      </c>
      <c r="V483" s="47" t="n">
        <f aca="false">V482+IF(OR(O483&lt;&gt;"",W483&lt;&gt;""),1,0)</f>
        <v>3</v>
      </c>
      <c r="W483" s="29"/>
    </row>
    <row r="484" customFormat="false" ht="15" hidden="false" customHeight="false" outlineLevel="0" collapsed="false">
      <c r="A484" s="32" t="str">
        <f aca="false">IF(B484="","",ROW()-7)</f>
        <v/>
      </c>
      <c r="B484" s="30"/>
      <c r="C484" s="29"/>
      <c r="D484" s="29"/>
      <c r="E484" s="29"/>
      <c r="F484" s="30"/>
      <c r="G484" s="29"/>
      <c r="H484" s="30"/>
      <c r="I484" s="29"/>
      <c r="J484" s="30"/>
      <c r="K484" s="30"/>
      <c r="L484" s="29"/>
      <c r="M484" s="32" t="str">
        <f aca="false">IF(OR(C484="",L484=""),"",IF(C484=L484,"同一","変更"))</f>
        <v/>
      </c>
      <c r="N484" s="29"/>
      <c r="O484" s="30"/>
      <c r="P484" s="29"/>
      <c r="Q484" s="31"/>
      <c r="R484" s="29"/>
      <c r="S484" s="29"/>
      <c r="T484" s="30"/>
      <c r="U484" s="47" t="str">
        <f aca="false">IF(AND(B484&lt;&gt;"",B484=SW別シート!$C$3),COUNTIF(B$5:B484,B484),"")</f>
        <v/>
      </c>
      <c r="V484" s="47" t="n">
        <f aca="false">V483+IF(OR(O484&lt;&gt;"",W484&lt;&gt;""),1,0)</f>
        <v>3</v>
      </c>
      <c r="W484" s="29"/>
    </row>
    <row r="485" customFormat="false" ht="15" hidden="false" customHeight="false" outlineLevel="0" collapsed="false">
      <c r="A485" s="32" t="str">
        <f aca="false">IF(B485="","",ROW()-7)</f>
        <v/>
      </c>
      <c r="B485" s="30"/>
      <c r="C485" s="29"/>
      <c r="D485" s="29"/>
      <c r="E485" s="29"/>
      <c r="F485" s="30"/>
      <c r="G485" s="29"/>
      <c r="H485" s="30"/>
      <c r="I485" s="29"/>
      <c r="J485" s="30"/>
      <c r="K485" s="30"/>
      <c r="L485" s="29"/>
      <c r="M485" s="32" t="str">
        <f aca="false">IF(OR(C485="",L485=""),"",IF(C485=L485,"同一","変更"))</f>
        <v/>
      </c>
      <c r="N485" s="29"/>
      <c r="O485" s="30"/>
      <c r="P485" s="29"/>
      <c r="Q485" s="31"/>
      <c r="R485" s="29"/>
      <c r="S485" s="29"/>
      <c r="T485" s="30"/>
      <c r="U485" s="47" t="str">
        <f aca="false">IF(AND(B485&lt;&gt;"",B485=SW別シート!$C$3),COUNTIF(B$5:B485,B485),"")</f>
        <v/>
      </c>
      <c r="V485" s="47" t="n">
        <f aca="false">V484+IF(OR(O485&lt;&gt;"",W485&lt;&gt;""),1,0)</f>
        <v>3</v>
      </c>
      <c r="W485" s="29"/>
    </row>
    <row r="486" customFormat="false" ht="15" hidden="false" customHeight="false" outlineLevel="0" collapsed="false">
      <c r="A486" s="32" t="str">
        <f aca="false">IF(B486="","",ROW()-7)</f>
        <v/>
      </c>
      <c r="B486" s="30"/>
      <c r="C486" s="29"/>
      <c r="D486" s="29"/>
      <c r="E486" s="29"/>
      <c r="F486" s="30"/>
      <c r="G486" s="29"/>
      <c r="H486" s="30"/>
      <c r="I486" s="29"/>
      <c r="J486" s="30"/>
      <c r="K486" s="30"/>
      <c r="L486" s="29"/>
      <c r="M486" s="32" t="str">
        <f aca="false">IF(OR(C486="",L486=""),"",IF(C486=L486,"同一","変更"))</f>
        <v/>
      </c>
      <c r="N486" s="29"/>
      <c r="O486" s="30"/>
      <c r="P486" s="29"/>
      <c r="Q486" s="31"/>
      <c r="R486" s="29"/>
      <c r="S486" s="29"/>
      <c r="T486" s="30"/>
      <c r="U486" s="47" t="str">
        <f aca="false">IF(AND(B486&lt;&gt;"",B486=SW別シート!$C$3),COUNTIF(B$5:B486,B486),"")</f>
        <v/>
      </c>
      <c r="V486" s="47" t="n">
        <f aca="false">V485+IF(OR(O486&lt;&gt;"",W486&lt;&gt;""),1,0)</f>
        <v>3</v>
      </c>
      <c r="W486" s="29"/>
    </row>
    <row r="487" customFormat="false" ht="15" hidden="false" customHeight="false" outlineLevel="0" collapsed="false">
      <c r="A487" s="32" t="str">
        <f aca="false">IF(B487="","",ROW()-7)</f>
        <v/>
      </c>
      <c r="B487" s="30"/>
      <c r="C487" s="29"/>
      <c r="D487" s="29"/>
      <c r="E487" s="29"/>
      <c r="F487" s="30"/>
      <c r="G487" s="29"/>
      <c r="H487" s="30"/>
      <c r="I487" s="29"/>
      <c r="J487" s="30"/>
      <c r="K487" s="30"/>
      <c r="L487" s="29"/>
      <c r="M487" s="32" t="str">
        <f aca="false">IF(OR(C487="",L487=""),"",IF(C487=L487,"同一","変更"))</f>
        <v/>
      </c>
      <c r="N487" s="29"/>
      <c r="O487" s="30"/>
      <c r="P487" s="29"/>
      <c r="Q487" s="31"/>
      <c r="R487" s="29"/>
      <c r="S487" s="29"/>
      <c r="T487" s="30"/>
      <c r="U487" s="47" t="str">
        <f aca="false">IF(AND(B487&lt;&gt;"",B487=SW別シート!$C$3),COUNTIF(B$5:B487,B487),"")</f>
        <v/>
      </c>
      <c r="V487" s="47" t="n">
        <f aca="false">V486+IF(OR(O487&lt;&gt;"",W487&lt;&gt;""),1,0)</f>
        <v>3</v>
      </c>
      <c r="W487" s="29"/>
    </row>
    <row r="488" customFormat="false" ht="15" hidden="false" customHeight="false" outlineLevel="0" collapsed="false">
      <c r="A488" s="32" t="str">
        <f aca="false">IF(B488="","",ROW()-7)</f>
        <v/>
      </c>
      <c r="B488" s="30"/>
      <c r="C488" s="29"/>
      <c r="D488" s="29"/>
      <c r="E488" s="29"/>
      <c r="F488" s="30"/>
      <c r="G488" s="29"/>
      <c r="H488" s="30"/>
      <c r="I488" s="29"/>
      <c r="J488" s="30"/>
      <c r="K488" s="30"/>
      <c r="L488" s="29"/>
      <c r="M488" s="32" t="str">
        <f aca="false">IF(OR(C488="",L488=""),"",IF(C488=L488,"同一","変更"))</f>
        <v/>
      </c>
      <c r="N488" s="29"/>
      <c r="O488" s="30"/>
      <c r="P488" s="29"/>
      <c r="Q488" s="31"/>
      <c r="R488" s="29"/>
      <c r="S488" s="29"/>
      <c r="T488" s="30"/>
      <c r="U488" s="47" t="str">
        <f aca="false">IF(AND(B488&lt;&gt;"",B488=SW別シート!$C$3),COUNTIF(B$5:B488,B488),"")</f>
        <v/>
      </c>
      <c r="V488" s="47" t="n">
        <f aca="false">V487+IF(OR(O488&lt;&gt;"",W488&lt;&gt;""),1,0)</f>
        <v>3</v>
      </c>
      <c r="W488" s="29"/>
    </row>
    <row r="489" customFormat="false" ht="15" hidden="false" customHeight="false" outlineLevel="0" collapsed="false">
      <c r="A489" s="32" t="str">
        <f aca="false">IF(B489="","",ROW()-7)</f>
        <v/>
      </c>
      <c r="B489" s="30"/>
      <c r="C489" s="29"/>
      <c r="D489" s="29"/>
      <c r="E489" s="29"/>
      <c r="F489" s="30"/>
      <c r="G489" s="29"/>
      <c r="H489" s="30"/>
      <c r="I489" s="29"/>
      <c r="J489" s="30"/>
      <c r="K489" s="30"/>
      <c r="L489" s="29"/>
      <c r="M489" s="32" t="str">
        <f aca="false">IF(OR(C489="",L489=""),"",IF(C489=L489,"同一","変更"))</f>
        <v/>
      </c>
      <c r="N489" s="29"/>
      <c r="O489" s="30"/>
      <c r="P489" s="29"/>
      <c r="Q489" s="31"/>
      <c r="R489" s="29"/>
      <c r="S489" s="29"/>
      <c r="T489" s="30"/>
      <c r="U489" s="47" t="str">
        <f aca="false">IF(AND(B489&lt;&gt;"",B489=SW別シート!$C$3),COUNTIF(B$5:B489,B489),"")</f>
        <v/>
      </c>
      <c r="V489" s="47" t="n">
        <f aca="false">V488+IF(OR(O489&lt;&gt;"",W489&lt;&gt;""),1,0)</f>
        <v>3</v>
      </c>
      <c r="W489" s="29"/>
    </row>
    <row r="490" customFormat="false" ht="15" hidden="false" customHeight="false" outlineLevel="0" collapsed="false">
      <c r="A490" s="32" t="str">
        <f aca="false">IF(B490="","",ROW()-7)</f>
        <v/>
      </c>
      <c r="B490" s="30"/>
      <c r="C490" s="29"/>
      <c r="D490" s="29"/>
      <c r="E490" s="29"/>
      <c r="F490" s="30"/>
      <c r="G490" s="29"/>
      <c r="H490" s="30"/>
      <c r="I490" s="29"/>
      <c r="J490" s="30"/>
      <c r="K490" s="30"/>
      <c r="L490" s="29"/>
      <c r="M490" s="32" t="str">
        <f aca="false">IF(OR(C490="",L490=""),"",IF(C490=L490,"同一","変更"))</f>
        <v/>
      </c>
      <c r="N490" s="29"/>
      <c r="O490" s="30"/>
      <c r="P490" s="29"/>
      <c r="Q490" s="31"/>
      <c r="R490" s="29"/>
      <c r="S490" s="29"/>
      <c r="T490" s="30"/>
      <c r="U490" s="47" t="str">
        <f aca="false">IF(AND(B490&lt;&gt;"",B490=SW別シート!$C$3),COUNTIF(B$5:B490,B490),"")</f>
        <v/>
      </c>
      <c r="V490" s="47" t="n">
        <f aca="false">V489+IF(OR(O490&lt;&gt;"",W490&lt;&gt;""),1,0)</f>
        <v>3</v>
      </c>
      <c r="W490" s="29"/>
    </row>
    <row r="491" customFormat="false" ht="15" hidden="false" customHeight="false" outlineLevel="0" collapsed="false">
      <c r="A491" s="32" t="str">
        <f aca="false">IF(B491="","",ROW()-7)</f>
        <v/>
      </c>
      <c r="B491" s="30"/>
      <c r="C491" s="29"/>
      <c r="D491" s="29"/>
      <c r="E491" s="29"/>
      <c r="F491" s="30"/>
      <c r="G491" s="29"/>
      <c r="H491" s="30"/>
      <c r="I491" s="29"/>
      <c r="J491" s="30"/>
      <c r="K491" s="30"/>
      <c r="L491" s="29"/>
      <c r="M491" s="32" t="str">
        <f aca="false">IF(OR(C491="",L491=""),"",IF(C491=L491,"同一","変更"))</f>
        <v/>
      </c>
      <c r="N491" s="29"/>
      <c r="O491" s="30"/>
      <c r="P491" s="29"/>
      <c r="Q491" s="31"/>
      <c r="R491" s="29"/>
      <c r="S491" s="29"/>
      <c r="T491" s="30"/>
      <c r="U491" s="47" t="str">
        <f aca="false">IF(AND(B491&lt;&gt;"",B491=SW別シート!$C$3),COUNTIF(B$5:B491,B491),"")</f>
        <v/>
      </c>
      <c r="V491" s="47" t="n">
        <f aca="false">V490+IF(OR(O491&lt;&gt;"",W491&lt;&gt;""),1,0)</f>
        <v>3</v>
      </c>
      <c r="W491" s="29"/>
    </row>
    <row r="492" customFormat="false" ht="15" hidden="false" customHeight="false" outlineLevel="0" collapsed="false">
      <c r="A492" s="32" t="str">
        <f aca="false">IF(B492="","",ROW()-7)</f>
        <v/>
      </c>
      <c r="B492" s="30"/>
      <c r="C492" s="29"/>
      <c r="D492" s="29"/>
      <c r="E492" s="29"/>
      <c r="F492" s="30"/>
      <c r="G492" s="29"/>
      <c r="H492" s="30"/>
      <c r="I492" s="29"/>
      <c r="J492" s="30"/>
      <c r="K492" s="30"/>
      <c r="L492" s="29"/>
      <c r="M492" s="32" t="str">
        <f aca="false">IF(OR(C492="",L492=""),"",IF(C492=L492,"同一","変更"))</f>
        <v/>
      </c>
      <c r="N492" s="29"/>
      <c r="O492" s="30"/>
      <c r="P492" s="29"/>
      <c r="Q492" s="31"/>
      <c r="R492" s="29"/>
      <c r="S492" s="29"/>
      <c r="T492" s="30"/>
      <c r="U492" s="47" t="str">
        <f aca="false">IF(AND(B492&lt;&gt;"",B492=SW別シート!$C$3),COUNTIF(B$5:B492,B492),"")</f>
        <v/>
      </c>
      <c r="V492" s="47" t="n">
        <f aca="false">V491+IF(OR(O492&lt;&gt;"",W492&lt;&gt;""),1,0)</f>
        <v>3</v>
      </c>
      <c r="W492" s="29"/>
    </row>
    <row r="493" customFormat="false" ht="15" hidden="false" customHeight="false" outlineLevel="0" collapsed="false">
      <c r="A493" s="32" t="str">
        <f aca="false">IF(B493="","",ROW()-7)</f>
        <v/>
      </c>
      <c r="B493" s="30"/>
      <c r="C493" s="29"/>
      <c r="D493" s="29"/>
      <c r="E493" s="29"/>
      <c r="F493" s="30"/>
      <c r="G493" s="29"/>
      <c r="H493" s="30"/>
      <c r="I493" s="29"/>
      <c r="J493" s="30"/>
      <c r="K493" s="30"/>
      <c r="L493" s="29"/>
      <c r="M493" s="32" t="str">
        <f aca="false">IF(OR(C493="",L493=""),"",IF(C493=L493,"同一","変更"))</f>
        <v/>
      </c>
      <c r="N493" s="29"/>
      <c r="O493" s="30"/>
      <c r="P493" s="29"/>
      <c r="Q493" s="31"/>
      <c r="R493" s="29"/>
      <c r="S493" s="29"/>
      <c r="T493" s="30"/>
      <c r="U493" s="47" t="str">
        <f aca="false">IF(AND(B493&lt;&gt;"",B493=SW別シート!$C$3),COUNTIF(B$5:B493,B493),"")</f>
        <v/>
      </c>
      <c r="V493" s="47" t="n">
        <f aca="false">V492+IF(OR(O493&lt;&gt;"",W493&lt;&gt;""),1,0)</f>
        <v>3</v>
      </c>
      <c r="W493" s="29"/>
    </row>
    <row r="494" customFormat="false" ht="15" hidden="false" customHeight="false" outlineLevel="0" collapsed="false">
      <c r="A494" s="32" t="str">
        <f aca="false">IF(B494="","",ROW()-7)</f>
        <v/>
      </c>
      <c r="B494" s="30"/>
      <c r="C494" s="29"/>
      <c r="D494" s="29"/>
      <c r="E494" s="29"/>
      <c r="F494" s="30"/>
      <c r="G494" s="29"/>
      <c r="H494" s="30"/>
      <c r="I494" s="29"/>
      <c r="J494" s="30"/>
      <c r="K494" s="30"/>
      <c r="L494" s="29"/>
      <c r="M494" s="32" t="str">
        <f aca="false">IF(OR(C494="",L494=""),"",IF(C494=L494,"同一","変更"))</f>
        <v/>
      </c>
      <c r="N494" s="29"/>
      <c r="O494" s="30"/>
      <c r="P494" s="29"/>
      <c r="Q494" s="31"/>
      <c r="R494" s="29"/>
      <c r="S494" s="29"/>
      <c r="T494" s="30"/>
      <c r="U494" s="47" t="str">
        <f aca="false">IF(AND(B494&lt;&gt;"",B494=SW別シート!$C$3),COUNTIF(B$5:B494,B494),"")</f>
        <v/>
      </c>
      <c r="V494" s="47" t="n">
        <f aca="false">V493+IF(OR(O494&lt;&gt;"",W494&lt;&gt;""),1,0)</f>
        <v>3</v>
      </c>
      <c r="W494" s="29"/>
    </row>
    <row r="495" customFormat="false" ht="15" hidden="false" customHeight="false" outlineLevel="0" collapsed="false">
      <c r="A495" s="32" t="str">
        <f aca="false">IF(B495="","",ROW()-7)</f>
        <v/>
      </c>
      <c r="B495" s="30"/>
      <c r="C495" s="29"/>
      <c r="D495" s="29"/>
      <c r="E495" s="29"/>
      <c r="F495" s="30"/>
      <c r="G495" s="29"/>
      <c r="H495" s="30"/>
      <c r="I495" s="29"/>
      <c r="J495" s="30"/>
      <c r="K495" s="30"/>
      <c r="L495" s="29"/>
      <c r="M495" s="32" t="str">
        <f aca="false">IF(OR(C495="",L495=""),"",IF(C495=L495,"同一","変更"))</f>
        <v/>
      </c>
      <c r="N495" s="29"/>
      <c r="O495" s="30"/>
      <c r="P495" s="29"/>
      <c r="Q495" s="31"/>
      <c r="R495" s="29"/>
      <c r="S495" s="29"/>
      <c r="T495" s="30"/>
      <c r="U495" s="47" t="str">
        <f aca="false">IF(AND(B495&lt;&gt;"",B495=SW別シート!$C$3),COUNTIF(B$5:B495,B495),"")</f>
        <v/>
      </c>
      <c r="V495" s="47" t="n">
        <f aca="false">V494+IF(OR(O495&lt;&gt;"",W495&lt;&gt;""),1,0)</f>
        <v>3</v>
      </c>
      <c r="W495" s="29"/>
    </row>
    <row r="496" customFormat="false" ht="15" hidden="false" customHeight="false" outlineLevel="0" collapsed="false">
      <c r="A496" s="32" t="str">
        <f aca="false">IF(B496="","",ROW()-7)</f>
        <v/>
      </c>
      <c r="B496" s="30"/>
      <c r="C496" s="29"/>
      <c r="D496" s="29"/>
      <c r="E496" s="29"/>
      <c r="F496" s="30"/>
      <c r="G496" s="29"/>
      <c r="H496" s="30"/>
      <c r="I496" s="29"/>
      <c r="J496" s="30"/>
      <c r="K496" s="30"/>
      <c r="L496" s="29"/>
      <c r="M496" s="32" t="str">
        <f aca="false">IF(OR(C496="",L496=""),"",IF(C496=L496,"同一","変更"))</f>
        <v/>
      </c>
      <c r="N496" s="29"/>
      <c r="O496" s="30"/>
      <c r="P496" s="29"/>
      <c r="Q496" s="31"/>
      <c r="R496" s="29"/>
      <c r="S496" s="29"/>
      <c r="T496" s="30"/>
      <c r="U496" s="47" t="str">
        <f aca="false">IF(AND(B496&lt;&gt;"",B496=SW別シート!$C$3),COUNTIF(B$5:B496,B496),"")</f>
        <v/>
      </c>
      <c r="V496" s="47" t="n">
        <f aca="false">V495+IF(OR(O496&lt;&gt;"",W496&lt;&gt;""),1,0)</f>
        <v>3</v>
      </c>
      <c r="W496" s="29"/>
    </row>
    <row r="497" customFormat="false" ht="15" hidden="false" customHeight="false" outlineLevel="0" collapsed="false">
      <c r="A497" s="32" t="str">
        <f aca="false">IF(B497="","",ROW()-7)</f>
        <v/>
      </c>
      <c r="B497" s="30"/>
      <c r="C497" s="29"/>
      <c r="D497" s="29"/>
      <c r="E497" s="29"/>
      <c r="F497" s="30"/>
      <c r="G497" s="29"/>
      <c r="H497" s="30"/>
      <c r="I497" s="29"/>
      <c r="J497" s="30"/>
      <c r="K497" s="30"/>
      <c r="L497" s="29"/>
      <c r="M497" s="32" t="str">
        <f aca="false">IF(OR(C497="",L497=""),"",IF(C497=L497,"同一","変更"))</f>
        <v/>
      </c>
      <c r="N497" s="29"/>
      <c r="O497" s="30"/>
      <c r="P497" s="29"/>
      <c r="Q497" s="31"/>
      <c r="R497" s="29"/>
      <c r="S497" s="29"/>
      <c r="T497" s="30"/>
      <c r="U497" s="47" t="str">
        <f aca="false">IF(AND(B497&lt;&gt;"",B497=SW別シート!$C$3),COUNTIF(B$5:B497,B497),"")</f>
        <v/>
      </c>
      <c r="V497" s="47" t="n">
        <f aca="false">V496+IF(OR(O497&lt;&gt;"",W497&lt;&gt;""),1,0)</f>
        <v>3</v>
      </c>
      <c r="W497" s="29"/>
    </row>
    <row r="498" customFormat="false" ht="15" hidden="false" customHeight="false" outlineLevel="0" collapsed="false">
      <c r="A498" s="32" t="str">
        <f aca="false">IF(B498="","",ROW()-7)</f>
        <v/>
      </c>
      <c r="B498" s="30"/>
      <c r="C498" s="29"/>
      <c r="D498" s="29"/>
      <c r="E498" s="29"/>
      <c r="F498" s="30"/>
      <c r="G498" s="29"/>
      <c r="H498" s="30"/>
      <c r="I498" s="29"/>
      <c r="J498" s="30"/>
      <c r="K498" s="30"/>
      <c r="L498" s="29"/>
      <c r="M498" s="32" t="str">
        <f aca="false">IF(OR(C498="",L498=""),"",IF(C498=L498,"同一","変更"))</f>
        <v/>
      </c>
      <c r="N498" s="29"/>
      <c r="O498" s="30"/>
      <c r="P498" s="29"/>
      <c r="Q498" s="31"/>
      <c r="R498" s="29"/>
      <c r="S498" s="29"/>
      <c r="T498" s="30"/>
      <c r="U498" s="47" t="str">
        <f aca="false">IF(AND(B498&lt;&gt;"",B498=SW別シート!$C$3),COUNTIF(B$5:B498,B498),"")</f>
        <v/>
      </c>
      <c r="V498" s="47" t="n">
        <f aca="false">V497+IF(OR(O498&lt;&gt;"",W498&lt;&gt;""),1,0)</f>
        <v>3</v>
      </c>
      <c r="W498" s="29"/>
    </row>
    <row r="499" customFormat="false" ht="15" hidden="false" customHeight="false" outlineLevel="0" collapsed="false">
      <c r="A499" s="32" t="str">
        <f aca="false">IF(B499="","",ROW()-7)</f>
        <v/>
      </c>
      <c r="B499" s="30"/>
      <c r="C499" s="29"/>
      <c r="D499" s="29"/>
      <c r="E499" s="29"/>
      <c r="F499" s="30"/>
      <c r="G499" s="29"/>
      <c r="H499" s="30"/>
      <c r="I499" s="29"/>
      <c r="J499" s="30"/>
      <c r="K499" s="30"/>
      <c r="L499" s="29"/>
      <c r="M499" s="32" t="str">
        <f aca="false">IF(OR(C499="",L499=""),"",IF(C499=L499,"同一","変更"))</f>
        <v/>
      </c>
      <c r="N499" s="29"/>
      <c r="O499" s="30"/>
      <c r="P499" s="29"/>
      <c r="Q499" s="31"/>
      <c r="R499" s="29"/>
      <c r="S499" s="29"/>
      <c r="T499" s="30"/>
      <c r="U499" s="47" t="str">
        <f aca="false">IF(AND(B499&lt;&gt;"",B499=SW別シート!$C$3),COUNTIF(B$5:B499,B499),"")</f>
        <v/>
      </c>
      <c r="V499" s="47" t="n">
        <f aca="false">V498+IF(OR(O499&lt;&gt;"",W499&lt;&gt;""),1,0)</f>
        <v>3</v>
      </c>
      <c r="W499" s="29"/>
    </row>
    <row r="500" customFormat="false" ht="15" hidden="false" customHeight="false" outlineLevel="0" collapsed="false">
      <c r="A500" s="32" t="str">
        <f aca="false">IF(B500="","",ROW()-7)</f>
        <v/>
      </c>
      <c r="B500" s="30"/>
      <c r="C500" s="29"/>
      <c r="D500" s="29"/>
      <c r="E500" s="29"/>
      <c r="F500" s="30"/>
      <c r="G500" s="29"/>
      <c r="H500" s="30"/>
      <c r="I500" s="29"/>
      <c r="J500" s="30"/>
      <c r="K500" s="30"/>
      <c r="L500" s="29"/>
      <c r="M500" s="32" t="str">
        <f aca="false">IF(OR(C500="",L500=""),"",IF(C500=L500,"同一","変更"))</f>
        <v/>
      </c>
      <c r="N500" s="29"/>
      <c r="O500" s="30"/>
      <c r="P500" s="29"/>
      <c r="Q500" s="31"/>
      <c r="R500" s="29"/>
      <c r="S500" s="29"/>
      <c r="T500" s="30"/>
      <c r="U500" s="47" t="str">
        <f aca="false">IF(AND(B500&lt;&gt;"",B500=SW別シート!$C$3),COUNTIF(B$5:B500,B500),"")</f>
        <v/>
      </c>
      <c r="V500" s="47" t="n">
        <f aca="false">V499+IF(OR(O500&lt;&gt;"",W500&lt;&gt;""),1,0)</f>
        <v>3</v>
      </c>
      <c r="W500" s="29"/>
    </row>
    <row r="501" customFormat="false" ht="15" hidden="false" customHeight="false" outlineLevel="0" collapsed="false">
      <c r="A501" s="32" t="str">
        <f aca="false">IF(B501="","",ROW()-7)</f>
        <v/>
      </c>
      <c r="B501" s="30"/>
      <c r="C501" s="29"/>
      <c r="D501" s="29"/>
      <c r="E501" s="29"/>
      <c r="F501" s="30"/>
      <c r="G501" s="29"/>
      <c r="H501" s="30"/>
      <c r="I501" s="29"/>
      <c r="J501" s="30"/>
      <c r="K501" s="30"/>
      <c r="L501" s="29"/>
      <c r="M501" s="32" t="str">
        <f aca="false">IF(OR(C501="",L501=""),"",IF(C501=L501,"同一","変更"))</f>
        <v/>
      </c>
      <c r="N501" s="29"/>
      <c r="O501" s="30"/>
      <c r="P501" s="29"/>
      <c r="Q501" s="31"/>
      <c r="R501" s="29"/>
      <c r="S501" s="29"/>
      <c r="T501" s="30"/>
      <c r="U501" s="47" t="str">
        <f aca="false">IF(AND(B501&lt;&gt;"",B501=SW別シート!$C$3),COUNTIF(B$5:B501,B501),"")</f>
        <v/>
      </c>
      <c r="V501" s="47" t="n">
        <f aca="false">V500+IF(OR(O501&lt;&gt;"",W501&lt;&gt;""),1,0)</f>
        <v>3</v>
      </c>
      <c r="W501" s="29"/>
    </row>
    <row r="502" customFormat="false" ht="15" hidden="false" customHeight="false" outlineLevel="0" collapsed="false">
      <c r="A502" s="32" t="str">
        <f aca="false">IF(B502="","",ROW()-7)</f>
        <v/>
      </c>
      <c r="B502" s="30"/>
      <c r="C502" s="29"/>
      <c r="D502" s="29"/>
      <c r="E502" s="29"/>
      <c r="F502" s="30"/>
      <c r="G502" s="29"/>
      <c r="H502" s="30"/>
      <c r="I502" s="29"/>
      <c r="J502" s="30"/>
      <c r="K502" s="30"/>
      <c r="L502" s="29"/>
      <c r="M502" s="32" t="str">
        <f aca="false">IF(OR(C502="",L502=""),"",IF(C502=L502,"同一","変更"))</f>
        <v/>
      </c>
      <c r="N502" s="29"/>
      <c r="O502" s="30"/>
      <c r="P502" s="29"/>
      <c r="Q502" s="31"/>
      <c r="R502" s="29"/>
      <c r="S502" s="29"/>
      <c r="T502" s="30"/>
      <c r="U502" s="47" t="str">
        <f aca="false">IF(AND(B502&lt;&gt;"",B502=SW別シート!$C$3),COUNTIF(B$5:B502,B502),"")</f>
        <v/>
      </c>
      <c r="V502" s="47" t="n">
        <f aca="false">V501+IF(OR(O502&lt;&gt;"",W502&lt;&gt;""),1,0)</f>
        <v>3</v>
      </c>
      <c r="W502" s="29"/>
    </row>
    <row r="503" customFormat="false" ht="15" hidden="false" customHeight="false" outlineLevel="0" collapsed="false">
      <c r="A503" s="32" t="str">
        <f aca="false">IF(B503="","",ROW()-7)</f>
        <v/>
      </c>
      <c r="B503" s="30"/>
      <c r="C503" s="29"/>
      <c r="D503" s="29"/>
      <c r="E503" s="29"/>
      <c r="F503" s="30"/>
      <c r="G503" s="29"/>
      <c r="H503" s="30"/>
      <c r="I503" s="29"/>
      <c r="J503" s="30"/>
      <c r="K503" s="30"/>
      <c r="L503" s="29"/>
      <c r="M503" s="32" t="str">
        <f aca="false">IF(OR(C503="",L503=""),"",IF(C503=L503,"同一","変更"))</f>
        <v/>
      </c>
      <c r="N503" s="29"/>
      <c r="O503" s="30"/>
      <c r="P503" s="29"/>
      <c r="Q503" s="31"/>
      <c r="R503" s="29"/>
      <c r="S503" s="29"/>
      <c r="T503" s="30"/>
      <c r="U503" s="47" t="str">
        <f aca="false">IF(AND(B503&lt;&gt;"",B503=SW別シート!$C$3),COUNTIF(B$5:B503,B503),"")</f>
        <v/>
      </c>
      <c r="V503" s="47" t="n">
        <f aca="false">V502+IF(OR(O503&lt;&gt;"",W503&lt;&gt;""),1,0)</f>
        <v>3</v>
      </c>
      <c r="W503" s="29"/>
    </row>
    <row r="504" customFormat="false" ht="15" hidden="false" customHeight="false" outlineLevel="0" collapsed="false">
      <c r="A504" s="32" t="str">
        <f aca="false">IF(B504="","",ROW()-7)</f>
        <v/>
      </c>
      <c r="B504" s="30"/>
      <c r="C504" s="29"/>
      <c r="D504" s="29"/>
      <c r="E504" s="29"/>
      <c r="F504" s="30"/>
      <c r="G504" s="29"/>
      <c r="H504" s="30"/>
      <c r="I504" s="29"/>
      <c r="J504" s="30"/>
      <c r="K504" s="30"/>
      <c r="L504" s="29"/>
      <c r="M504" s="32" t="str">
        <f aca="false">IF(OR(C504="",L504=""),"",IF(C504=L504,"同一","変更"))</f>
        <v/>
      </c>
      <c r="N504" s="29"/>
      <c r="O504" s="30"/>
      <c r="P504" s="29"/>
      <c r="Q504" s="31"/>
      <c r="R504" s="29"/>
      <c r="S504" s="29"/>
      <c r="T504" s="30"/>
      <c r="U504" s="47" t="str">
        <f aca="false">IF(AND(B504&lt;&gt;"",B504=SW別シート!$C$3),COUNTIF(B$5:B504,B504),"")</f>
        <v/>
      </c>
      <c r="V504" s="47" t="n">
        <f aca="false">V503+IF(OR(O504&lt;&gt;"",W504&lt;&gt;""),1,0)</f>
        <v>3</v>
      </c>
      <c r="W504" s="29"/>
    </row>
    <row r="505" customFormat="false" ht="15" hidden="false" customHeight="false" outlineLevel="0" collapsed="false">
      <c r="A505" s="32" t="str">
        <f aca="false">IF(B505="","",ROW()-7)</f>
        <v/>
      </c>
      <c r="B505" s="30"/>
      <c r="C505" s="29"/>
      <c r="D505" s="29"/>
      <c r="E505" s="29"/>
      <c r="F505" s="30"/>
      <c r="G505" s="29"/>
      <c r="H505" s="30"/>
      <c r="I505" s="29"/>
      <c r="J505" s="30"/>
      <c r="K505" s="30"/>
      <c r="L505" s="29"/>
      <c r="M505" s="32" t="str">
        <f aca="false">IF(OR(C505="",L505=""),"",IF(C505=L505,"同一","変更"))</f>
        <v/>
      </c>
      <c r="N505" s="29"/>
      <c r="O505" s="30"/>
      <c r="P505" s="29"/>
      <c r="Q505" s="31"/>
      <c r="R505" s="29"/>
      <c r="S505" s="29"/>
      <c r="T505" s="30"/>
      <c r="U505" s="47" t="str">
        <f aca="false">IF(AND(B505&lt;&gt;"",B505=SW別シート!$C$3),COUNTIF(B$5:B505,B505),"")</f>
        <v/>
      </c>
      <c r="V505" s="47" t="n">
        <f aca="false">V504+IF(OR(O505&lt;&gt;"",W505&lt;&gt;""),1,0)</f>
        <v>3</v>
      </c>
      <c r="W505" s="29"/>
    </row>
    <row r="506" customFormat="false" ht="15" hidden="false" customHeight="false" outlineLevel="0" collapsed="false">
      <c r="A506" s="32" t="str">
        <f aca="false">IF(B506="","",ROW()-7)</f>
        <v/>
      </c>
      <c r="B506" s="30"/>
      <c r="C506" s="29"/>
      <c r="D506" s="29"/>
      <c r="E506" s="29"/>
      <c r="F506" s="30"/>
      <c r="G506" s="29"/>
      <c r="H506" s="30"/>
      <c r="I506" s="29"/>
      <c r="J506" s="30"/>
      <c r="K506" s="30"/>
      <c r="L506" s="29"/>
      <c r="M506" s="32" t="str">
        <f aca="false">IF(OR(C506="",L506=""),"",IF(C506=L506,"同一","変更"))</f>
        <v/>
      </c>
      <c r="N506" s="29"/>
      <c r="O506" s="30"/>
      <c r="P506" s="29"/>
      <c r="Q506" s="31"/>
      <c r="R506" s="29"/>
      <c r="S506" s="29"/>
      <c r="T506" s="30"/>
      <c r="U506" s="47" t="str">
        <f aca="false">IF(AND(B506&lt;&gt;"",B506=SW別シート!$C$3),COUNTIF(B$5:B506,B506),"")</f>
        <v/>
      </c>
      <c r="V506" s="47" t="n">
        <f aca="false">V505+IF(OR(O506&lt;&gt;"",W506&lt;&gt;""),1,0)</f>
        <v>3</v>
      </c>
      <c r="W506" s="29"/>
    </row>
    <row r="507" customFormat="false" ht="15" hidden="false" customHeight="false" outlineLevel="0" collapsed="false">
      <c r="A507" s="32" t="str">
        <f aca="false">IF(B507="","",ROW()-7)</f>
        <v/>
      </c>
      <c r="B507" s="30"/>
      <c r="C507" s="29"/>
      <c r="D507" s="29"/>
      <c r="E507" s="29"/>
      <c r="F507" s="30"/>
      <c r="G507" s="29"/>
      <c r="H507" s="30"/>
      <c r="I507" s="29"/>
      <c r="J507" s="30"/>
      <c r="K507" s="30"/>
      <c r="L507" s="29"/>
      <c r="M507" s="32" t="str">
        <f aca="false">IF(OR(C507="",L507=""),"",IF(C507=L507,"同一","変更"))</f>
        <v/>
      </c>
      <c r="N507" s="29"/>
      <c r="O507" s="30"/>
      <c r="P507" s="29"/>
      <c r="Q507" s="31"/>
      <c r="R507" s="29"/>
      <c r="S507" s="29"/>
      <c r="T507" s="30"/>
      <c r="U507" s="47" t="str">
        <f aca="false">IF(AND(B507&lt;&gt;"",B507=SW別シート!$C$3),COUNTIF(B$5:B507,B507),"")</f>
        <v/>
      </c>
      <c r="V507" s="47" t="n">
        <f aca="false">V506+IF(OR(O507&lt;&gt;"",W507&lt;&gt;""),1,0)</f>
        <v>3</v>
      </c>
      <c r="W507" s="29"/>
    </row>
    <row r="508" customFormat="false" ht="15" hidden="false" customHeight="false" outlineLevel="0" collapsed="false">
      <c r="A508" s="32" t="str">
        <f aca="false">IF(B508="","",ROW()-7)</f>
        <v/>
      </c>
      <c r="B508" s="30"/>
      <c r="C508" s="29"/>
      <c r="D508" s="29"/>
      <c r="E508" s="29"/>
      <c r="F508" s="30"/>
      <c r="G508" s="29"/>
      <c r="H508" s="30"/>
      <c r="I508" s="29"/>
      <c r="J508" s="30"/>
      <c r="K508" s="30"/>
      <c r="L508" s="29"/>
      <c r="M508" s="32" t="str">
        <f aca="false">IF(OR(C508="",L508=""),"",IF(C508=L508,"同一","変更"))</f>
        <v/>
      </c>
      <c r="N508" s="29"/>
      <c r="O508" s="30"/>
      <c r="P508" s="29"/>
      <c r="Q508" s="31"/>
      <c r="R508" s="29"/>
      <c r="S508" s="29"/>
      <c r="T508" s="30"/>
      <c r="U508" s="47" t="str">
        <f aca="false">IF(AND(B508&lt;&gt;"",B508=SW別シート!$C$3),COUNTIF(B$5:B508,B508),"")</f>
        <v/>
      </c>
      <c r="V508" s="47" t="n">
        <f aca="false">V507+IF(OR(O508&lt;&gt;"",W508&lt;&gt;""),1,0)</f>
        <v>3</v>
      </c>
      <c r="W508" s="29"/>
    </row>
    <row r="509" customFormat="false" ht="15" hidden="false" customHeight="false" outlineLevel="0" collapsed="false">
      <c r="A509" s="32" t="str">
        <f aca="false">IF(B509="","",ROW()-7)</f>
        <v/>
      </c>
      <c r="B509" s="30"/>
      <c r="C509" s="29"/>
      <c r="D509" s="29"/>
      <c r="E509" s="29"/>
      <c r="F509" s="30"/>
      <c r="G509" s="29"/>
      <c r="H509" s="30"/>
      <c r="I509" s="29"/>
      <c r="J509" s="30"/>
      <c r="K509" s="30"/>
      <c r="L509" s="29"/>
      <c r="M509" s="32" t="str">
        <f aca="false">IF(OR(C509="",L509=""),"",IF(C509=L509,"同一","変更"))</f>
        <v/>
      </c>
      <c r="N509" s="29"/>
      <c r="O509" s="30"/>
      <c r="P509" s="29"/>
      <c r="Q509" s="31"/>
      <c r="R509" s="29"/>
      <c r="S509" s="29"/>
      <c r="T509" s="30"/>
      <c r="U509" s="47" t="str">
        <f aca="false">IF(AND(B509&lt;&gt;"",B509=SW別シート!$C$3),COUNTIF(B$5:B509,B509),"")</f>
        <v/>
      </c>
      <c r="V509" s="47" t="n">
        <f aca="false">V508+IF(OR(O509&lt;&gt;"",W509&lt;&gt;""),1,0)</f>
        <v>3</v>
      </c>
      <c r="W509" s="29"/>
    </row>
    <row r="510" customFormat="false" ht="15" hidden="false" customHeight="false" outlineLevel="0" collapsed="false">
      <c r="A510" s="32" t="str">
        <f aca="false">IF(B510="","",ROW()-7)</f>
        <v/>
      </c>
      <c r="B510" s="30"/>
      <c r="C510" s="29"/>
      <c r="D510" s="29"/>
      <c r="E510" s="29"/>
      <c r="F510" s="30"/>
      <c r="G510" s="29"/>
      <c r="H510" s="30"/>
      <c r="I510" s="29"/>
      <c r="J510" s="30"/>
      <c r="K510" s="30"/>
      <c r="L510" s="29"/>
      <c r="M510" s="32" t="str">
        <f aca="false">IF(OR(C510="",L510=""),"",IF(C510=L510,"同一","変更"))</f>
        <v/>
      </c>
      <c r="N510" s="29"/>
      <c r="O510" s="30"/>
      <c r="P510" s="29"/>
      <c r="Q510" s="31"/>
      <c r="R510" s="29"/>
      <c r="S510" s="29"/>
      <c r="T510" s="30"/>
      <c r="U510" s="47" t="str">
        <f aca="false">IF(AND(B510&lt;&gt;"",B510=SW別シート!$C$3),COUNTIF(B$5:B510,B510),"")</f>
        <v/>
      </c>
      <c r="V510" s="47" t="n">
        <f aca="false">V509+IF(OR(O510&lt;&gt;"",W510&lt;&gt;""),1,0)</f>
        <v>3</v>
      </c>
      <c r="W510" s="29"/>
    </row>
    <row r="511" customFormat="false" ht="15" hidden="false" customHeight="false" outlineLevel="0" collapsed="false">
      <c r="A511" s="32" t="str">
        <f aca="false">IF(B511="","",ROW()-7)</f>
        <v/>
      </c>
      <c r="B511" s="30"/>
      <c r="C511" s="29"/>
      <c r="D511" s="29"/>
      <c r="E511" s="29"/>
      <c r="F511" s="30"/>
      <c r="G511" s="29"/>
      <c r="H511" s="30"/>
      <c r="I511" s="29"/>
      <c r="J511" s="30"/>
      <c r="K511" s="30"/>
      <c r="L511" s="29"/>
      <c r="M511" s="32" t="str">
        <f aca="false">IF(OR(C511="",L511=""),"",IF(C511=L511,"同一","変更"))</f>
        <v/>
      </c>
      <c r="N511" s="29"/>
      <c r="O511" s="30"/>
      <c r="P511" s="29"/>
      <c r="Q511" s="31"/>
      <c r="R511" s="29"/>
      <c r="S511" s="29"/>
      <c r="T511" s="30"/>
      <c r="U511" s="47" t="str">
        <f aca="false">IF(AND(B511&lt;&gt;"",B511=SW別シート!$C$3),COUNTIF(B$5:B511,B511),"")</f>
        <v/>
      </c>
      <c r="V511" s="47" t="n">
        <f aca="false">V510+IF(OR(O511&lt;&gt;"",W511&lt;&gt;""),1,0)</f>
        <v>3</v>
      </c>
      <c r="W511" s="29"/>
    </row>
    <row r="512" customFormat="false" ht="15" hidden="false" customHeight="false" outlineLevel="0" collapsed="false">
      <c r="A512" s="32" t="str">
        <f aca="false">IF(B512="","",ROW()-7)</f>
        <v/>
      </c>
      <c r="B512" s="30"/>
      <c r="C512" s="29"/>
      <c r="D512" s="29"/>
      <c r="E512" s="29"/>
      <c r="F512" s="30"/>
      <c r="G512" s="29"/>
      <c r="H512" s="30"/>
      <c r="I512" s="29"/>
      <c r="J512" s="30"/>
      <c r="K512" s="30"/>
      <c r="L512" s="29"/>
      <c r="M512" s="32" t="str">
        <f aca="false">IF(OR(C512="",L512=""),"",IF(C512=L512,"同一","変更"))</f>
        <v/>
      </c>
      <c r="N512" s="29"/>
      <c r="O512" s="30"/>
      <c r="P512" s="29"/>
      <c r="Q512" s="31"/>
      <c r="R512" s="29"/>
      <c r="S512" s="29"/>
      <c r="T512" s="30"/>
      <c r="U512" s="47" t="str">
        <f aca="false">IF(AND(B512&lt;&gt;"",B512=SW別シート!$C$3),COUNTIF(B$5:B512,B512),"")</f>
        <v/>
      </c>
      <c r="V512" s="47" t="n">
        <f aca="false">V511+IF(OR(O512&lt;&gt;"",W512&lt;&gt;""),1,0)</f>
        <v>3</v>
      </c>
      <c r="W512" s="29"/>
    </row>
    <row r="513" customFormat="false" ht="15" hidden="false" customHeight="false" outlineLevel="0" collapsed="false">
      <c r="A513" s="32" t="str">
        <f aca="false">IF(B513="","",ROW()-7)</f>
        <v/>
      </c>
      <c r="B513" s="30"/>
      <c r="C513" s="29"/>
      <c r="D513" s="29"/>
      <c r="E513" s="29"/>
      <c r="F513" s="30"/>
      <c r="G513" s="29"/>
      <c r="H513" s="30"/>
      <c r="I513" s="29"/>
      <c r="J513" s="30"/>
      <c r="K513" s="30"/>
      <c r="L513" s="29"/>
      <c r="M513" s="32" t="str">
        <f aca="false">IF(OR(C513="",L513=""),"",IF(C513=L513,"同一","変更"))</f>
        <v/>
      </c>
      <c r="N513" s="29"/>
      <c r="O513" s="30"/>
      <c r="P513" s="29"/>
      <c r="Q513" s="31"/>
      <c r="R513" s="29"/>
      <c r="S513" s="29"/>
      <c r="T513" s="30"/>
      <c r="U513" s="47" t="str">
        <f aca="false">IF(AND(B513&lt;&gt;"",B513=SW別シート!$C$3),COUNTIF(B$5:B513,B513),"")</f>
        <v/>
      </c>
      <c r="V513" s="47" t="n">
        <f aca="false">V512+IF(OR(O513&lt;&gt;"",W513&lt;&gt;""),1,0)</f>
        <v>3</v>
      </c>
      <c r="W513" s="29"/>
    </row>
    <row r="514" customFormat="false" ht="15" hidden="false" customHeight="false" outlineLevel="0" collapsed="false">
      <c r="A514" s="32" t="str">
        <f aca="false">IF(B514="","",ROW()-7)</f>
        <v/>
      </c>
      <c r="B514" s="30"/>
      <c r="C514" s="29"/>
      <c r="D514" s="29"/>
      <c r="E514" s="29"/>
      <c r="F514" s="30"/>
      <c r="G514" s="29"/>
      <c r="H514" s="30"/>
      <c r="I514" s="29"/>
      <c r="J514" s="30"/>
      <c r="K514" s="30"/>
      <c r="L514" s="29"/>
      <c r="M514" s="32" t="str">
        <f aca="false">IF(OR(C514="",L514=""),"",IF(C514=L514,"同一","変更"))</f>
        <v/>
      </c>
      <c r="N514" s="29"/>
      <c r="O514" s="30"/>
      <c r="P514" s="29"/>
      <c r="Q514" s="31"/>
      <c r="R514" s="29"/>
      <c r="S514" s="29"/>
      <c r="T514" s="30"/>
      <c r="U514" s="47" t="str">
        <f aca="false">IF(AND(B514&lt;&gt;"",B514=SW別シート!$C$3),COUNTIF(B$5:B514,B514),"")</f>
        <v/>
      </c>
      <c r="V514" s="47" t="n">
        <f aca="false">V513+IF(OR(O514&lt;&gt;"",W514&lt;&gt;""),1,0)</f>
        <v>3</v>
      </c>
      <c r="W514" s="29"/>
    </row>
    <row r="515" customFormat="false" ht="15" hidden="false" customHeight="false" outlineLevel="0" collapsed="false">
      <c r="A515" s="32" t="str">
        <f aca="false">IF(B515="","",ROW()-7)</f>
        <v/>
      </c>
      <c r="B515" s="30"/>
      <c r="C515" s="29"/>
      <c r="D515" s="29"/>
      <c r="E515" s="29"/>
      <c r="F515" s="30"/>
      <c r="G515" s="29"/>
      <c r="H515" s="30"/>
      <c r="I515" s="29"/>
      <c r="J515" s="30"/>
      <c r="K515" s="30"/>
      <c r="L515" s="29"/>
      <c r="M515" s="32" t="str">
        <f aca="false">IF(OR(C515="",L515=""),"",IF(C515=L515,"同一","変更"))</f>
        <v/>
      </c>
      <c r="N515" s="29"/>
      <c r="O515" s="30"/>
      <c r="P515" s="29"/>
      <c r="Q515" s="31"/>
      <c r="R515" s="29"/>
      <c r="S515" s="29"/>
      <c r="T515" s="30"/>
      <c r="U515" s="47" t="str">
        <f aca="false">IF(AND(B515&lt;&gt;"",B515=SW別シート!$C$3),COUNTIF(B$5:B515,B515),"")</f>
        <v/>
      </c>
      <c r="V515" s="47" t="n">
        <f aca="false">V514+IF(OR(O515&lt;&gt;"",W515&lt;&gt;""),1,0)</f>
        <v>3</v>
      </c>
      <c r="W515" s="29"/>
    </row>
    <row r="516" customFormat="false" ht="15" hidden="false" customHeight="false" outlineLevel="0" collapsed="false">
      <c r="A516" s="32" t="str">
        <f aca="false">IF(B516="","",ROW()-7)</f>
        <v/>
      </c>
      <c r="B516" s="30"/>
      <c r="C516" s="29"/>
      <c r="D516" s="29"/>
      <c r="E516" s="29"/>
      <c r="F516" s="30"/>
      <c r="G516" s="29"/>
      <c r="H516" s="30"/>
      <c r="I516" s="29"/>
      <c r="J516" s="30"/>
      <c r="K516" s="30"/>
      <c r="L516" s="29"/>
      <c r="M516" s="32" t="str">
        <f aca="false">IF(OR(C516="",L516=""),"",IF(C516=L516,"同一","変更"))</f>
        <v/>
      </c>
      <c r="N516" s="29"/>
      <c r="O516" s="30"/>
      <c r="P516" s="29"/>
      <c r="Q516" s="31"/>
      <c r="R516" s="29"/>
      <c r="S516" s="29"/>
      <c r="T516" s="30"/>
      <c r="U516" s="47" t="str">
        <f aca="false">IF(AND(B516&lt;&gt;"",B516=SW別シート!$C$3),COUNTIF(B$5:B516,B516),"")</f>
        <v/>
      </c>
      <c r="V516" s="47" t="n">
        <f aca="false">V515+IF(OR(O516&lt;&gt;"",W516&lt;&gt;""),1,0)</f>
        <v>3</v>
      </c>
      <c r="W516" s="29"/>
    </row>
    <row r="517" customFormat="false" ht="15" hidden="false" customHeight="false" outlineLevel="0" collapsed="false">
      <c r="A517" s="32" t="str">
        <f aca="false">IF(B517="","",ROW()-7)</f>
        <v/>
      </c>
      <c r="B517" s="30"/>
      <c r="C517" s="29"/>
      <c r="D517" s="29"/>
      <c r="E517" s="29"/>
      <c r="F517" s="30"/>
      <c r="G517" s="29"/>
      <c r="H517" s="30"/>
      <c r="I517" s="29"/>
      <c r="J517" s="30"/>
      <c r="K517" s="30"/>
      <c r="L517" s="29"/>
      <c r="M517" s="32" t="str">
        <f aca="false">IF(OR(C517="",L517=""),"",IF(C517=L517,"同一","変更"))</f>
        <v/>
      </c>
      <c r="N517" s="29"/>
      <c r="O517" s="30"/>
      <c r="P517" s="29"/>
      <c r="Q517" s="31"/>
      <c r="R517" s="29"/>
      <c r="S517" s="29"/>
      <c r="T517" s="30"/>
      <c r="U517" s="47" t="str">
        <f aca="false">IF(AND(B517&lt;&gt;"",B517=SW別シート!$C$3),COUNTIF(B$5:B517,B517),"")</f>
        <v/>
      </c>
      <c r="V517" s="47" t="n">
        <f aca="false">V516+IF(OR(O517&lt;&gt;"",W517&lt;&gt;""),1,0)</f>
        <v>3</v>
      </c>
      <c r="W517" s="29"/>
    </row>
    <row r="518" customFormat="false" ht="15" hidden="false" customHeight="false" outlineLevel="0" collapsed="false">
      <c r="A518" s="32" t="str">
        <f aca="false">IF(B518="","",ROW()-7)</f>
        <v/>
      </c>
      <c r="B518" s="30"/>
      <c r="C518" s="29"/>
      <c r="D518" s="29"/>
      <c r="E518" s="29"/>
      <c r="F518" s="30"/>
      <c r="G518" s="29"/>
      <c r="H518" s="30"/>
      <c r="I518" s="29"/>
      <c r="J518" s="30"/>
      <c r="K518" s="30"/>
      <c r="L518" s="29"/>
      <c r="M518" s="32" t="str">
        <f aca="false">IF(OR(C518="",L518=""),"",IF(C518=L518,"同一","変更"))</f>
        <v/>
      </c>
      <c r="N518" s="29"/>
      <c r="O518" s="30"/>
      <c r="P518" s="29"/>
      <c r="Q518" s="31"/>
      <c r="R518" s="29"/>
      <c r="S518" s="29"/>
      <c r="T518" s="30"/>
      <c r="U518" s="47" t="str">
        <f aca="false">IF(AND(B518&lt;&gt;"",B518=SW別シート!$C$3),COUNTIF(B$5:B518,B518),"")</f>
        <v/>
      </c>
      <c r="V518" s="47" t="n">
        <f aca="false">V517+IF(OR(O518&lt;&gt;"",W518&lt;&gt;""),1,0)</f>
        <v>3</v>
      </c>
      <c r="W518" s="29"/>
    </row>
    <row r="519" customFormat="false" ht="15" hidden="false" customHeight="false" outlineLevel="0" collapsed="false">
      <c r="A519" s="32" t="str">
        <f aca="false">IF(B519="","",ROW()-7)</f>
        <v/>
      </c>
      <c r="B519" s="30"/>
      <c r="C519" s="29"/>
      <c r="D519" s="29"/>
      <c r="E519" s="29"/>
      <c r="F519" s="30"/>
      <c r="G519" s="29"/>
      <c r="H519" s="30"/>
      <c r="I519" s="29"/>
      <c r="J519" s="30"/>
      <c r="K519" s="30"/>
      <c r="L519" s="29"/>
      <c r="M519" s="32" t="str">
        <f aca="false">IF(OR(C519="",L519=""),"",IF(C519=L519,"同一","変更"))</f>
        <v/>
      </c>
      <c r="N519" s="29"/>
      <c r="O519" s="30"/>
      <c r="P519" s="29"/>
      <c r="Q519" s="31"/>
      <c r="R519" s="29"/>
      <c r="S519" s="29"/>
      <c r="T519" s="30"/>
      <c r="U519" s="47" t="str">
        <f aca="false">IF(AND(B519&lt;&gt;"",B519=SW別シート!$C$3),COUNTIF(B$5:B519,B519),"")</f>
        <v/>
      </c>
      <c r="V519" s="47" t="n">
        <f aca="false">V518+IF(OR(O519&lt;&gt;"",W519&lt;&gt;""),1,0)</f>
        <v>3</v>
      </c>
      <c r="W519" s="29"/>
    </row>
    <row r="520" customFormat="false" ht="15" hidden="false" customHeight="false" outlineLevel="0" collapsed="false">
      <c r="A520" s="32" t="str">
        <f aca="false">IF(B520="","",ROW()-7)</f>
        <v/>
      </c>
      <c r="B520" s="30"/>
      <c r="C520" s="29"/>
      <c r="D520" s="29"/>
      <c r="E520" s="29"/>
      <c r="F520" s="30"/>
      <c r="G520" s="29"/>
      <c r="H520" s="30"/>
      <c r="I520" s="29"/>
      <c r="J520" s="30"/>
      <c r="K520" s="30"/>
      <c r="L520" s="29"/>
      <c r="M520" s="32" t="str">
        <f aca="false">IF(OR(C520="",L520=""),"",IF(C520=L520,"同一","変更"))</f>
        <v/>
      </c>
      <c r="N520" s="29"/>
      <c r="O520" s="30"/>
      <c r="P520" s="29"/>
      <c r="Q520" s="31"/>
      <c r="R520" s="29"/>
      <c r="S520" s="29"/>
      <c r="T520" s="30"/>
      <c r="U520" s="47" t="str">
        <f aca="false">IF(AND(B520&lt;&gt;"",B520=SW別シート!$C$3),COUNTIF(B$5:B520,B520),"")</f>
        <v/>
      </c>
      <c r="V520" s="47" t="n">
        <f aca="false">V519+IF(OR(O520&lt;&gt;"",W520&lt;&gt;""),1,0)</f>
        <v>3</v>
      </c>
      <c r="W520" s="29"/>
    </row>
    <row r="521" customFormat="false" ht="15" hidden="false" customHeight="false" outlineLevel="0" collapsed="false">
      <c r="A521" s="32" t="str">
        <f aca="false">IF(B521="","",ROW()-7)</f>
        <v/>
      </c>
      <c r="B521" s="30"/>
      <c r="C521" s="29"/>
      <c r="D521" s="29"/>
      <c r="E521" s="29"/>
      <c r="F521" s="30"/>
      <c r="G521" s="29"/>
      <c r="H521" s="30"/>
      <c r="I521" s="29"/>
      <c r="J521" s="30"/>
      <c r="K521" s="30"/>
      <c r="L521" s="29"/>
      <c r="M521" s="32" t="str">
        <f aca="false">IF(OR(C521="",L521=""),"",IF(C521=L521,"同一","変更"))</f>
        <v/>
      </c>
      <c r="N521" s="29"/>
      <c r="O521" s="30"/>
      <c r="P521" s="29"/>
      <c r="Q521" s="31"/>
      <c r="R521" s="29"/>
      <c r="S521" s="29"/>
      <c r="T521" s="30"/>
      <c r="U521" s="47" t="str">
        <f aca="false">IF(AND(B521&lt;&gt;"",B521=SW別シート!$C$3),COUNTIF(B$5:B521,B521),"")</f>
        <v/>
      </c>
      <c r="V521" s="47" t="n">
        <f aca="false">V520+IF(OR(O521&lt;&gt;"",W521&lt;&gt;""),1,0)</f>
        <v>3</v>
      </c>
      <c r="W521" s="29"/>
    </row>
    <row r="522" customFormat="false" ht="15" hidden="false" customHeight="false" outlineLevel="0" collapsed="false">
      <c r="A522" s="32" t="str">
        <f aca="false">IF(B522="","",ROW()-7)</f>
        <v/>
      </c>
      <c r="B522" s="30"/>
      <c r="C522" s="29"/>
      <c r="D522" s="29"/>
      <c r="E522" s="29"/>
      <c r="F522" s="30"/>
      <c r="G522" s="29"/>
      <c r="H522" s="30"/>
      <c r="I522" s="29"/>
      <c r="J522" s="30"/>
      <c r="K522" s="30"/>
      <c r="L522" s="29"/>
      <c r="M522" s="32" t="str">
        <f aca="false">IF(OR(C522="",L522=""),"",IF(C522=L522,"同一","変更"))</f>
        <v/>
      </c>
      <c r="N522" s="29"/>
      <c r="O522" s="30"/>
      <c r="P522" s="29"/>
      <c r="Q522" s="31"/>
      <c r="R522" s="29"/>
      <c r="S522" s="29"/>
      <c r="T522" s="30"/>
      <c r="U522" s="47" t="str">
        <f aca="false">IF(AND(B522&lt;&gt;"",B522=SW別シート!$C$3),COUNTIF(B$5:B522,B522),"")</f>
        <v/>
      </c>
      <c r="V522" s="47" t="n">
        <f aca="false">V521+IF(OR(O522&lt;&gt;"",W522&lt;&gt;""),1,0)</f>
        <v>3</v>
      </c>
      <c r="W522" s="29"/>
    </row>
    <row r="523" customFormat="false" ht="15" hidden="false" customHeight="false" outlineLevel="0" collapsed="false">
      <c r="A523" s="32" t="str">
        <f aca="false">IF(B523="","",ROW()-7)</f>
        <v/>
      </c>
      <c r="B523" s="30"/>
      <c r="C523" s="29"/>
      <c r="D523" s="29"/>
      <c r="E523" s="29"/>
      <c r="F523" s="30"/>
      <c r="G523" s="29"/>
      <c r="H523" s="30"/>
      <c r="I523" s="29"/>
      <c r="J523" s="30"/>
      <c r="K523" s="30"/>
      <c r="L523" s="29"/>
      <c r="M523" s="32" t="str">
        <f aca="false">IF(OR(C523="",L523=""),"",IF(C523=L523,"同一","変更"))</f>
        <v/>
      </c>
      <c r="N523" s="29"/>
      <c r="O523" s="30"/>
      <c r="P523" s="29"/>
      <c r="Q523" s="31"/>
      <c r="R523" s="29"/>
      <c r="S523" s="29"/>
      <c r="T523" s="30"/>
      <c r="U523" s="47" t="str">
        <f aca="false">IF(AND(B523&lt;&gt;"",B523=SW別シート!$C$3),COUNTIF(B$5:B523,B523),"")</f>
        <v/>
      </c>
      <c r="V523" s="47" t="n">
        <f aca="false">V522+IF(OR(O523&lt;&gt;"",W523&lt;&gt;""),1,0)</f>
        <v>3</v>
      </c>
      <c r="W523" s="29"/>
    </row>
    <row r="524" customFormat="false" ht="15" hidden="false" customHeight="false" outlineLevel="0" collapsed="false">
      <c r="A524" s="32" t="str">
        <f aca="false">IF(B524="","",ROW()-7)</f>
        <v/>
      </c>
      <c r="B524" s="30"/>
      <c r="C524" s="29"/>
      <c r="D524" s="29"/>
      <c r="E524" s="29"/>
      <c r="F524" s="30"/>
      <c r="G524" s="29"/>
      <c r="H524" s="30"/>
      <c r="I524" s="29"/>
      <c r="J524" s="30"/>
      <c r="K524" s="30"/>
      <c r="L524" s="29"/>
      <c r="M524" s="32" t="str">
        <f aca="false">IF(OR(C524="",L524=""),"",IF(C524=L524,"同一","変更"))</f>
        <v/>
      </c>
      <c r="N524" s="29"/>
      <c r="O524" s="30"/>
      <c r="P524" s="29"/>
      <c r="Q524" s="31"/>
      <c r="R524" s="29"/>
      <c r="S524" s="29"/>
      <c r="T524" s="30"/>
      <c r="U524" s="47" t="str">
        <f aca="false">IF(AND(B524&lt;&gt;"",B524=SW別シート!$C$3),COUNTIF(B$5:B524,B524),"")</f>
        <v/>
      </c>
      <c r="V524" s="47" t="n">
        <f aca="false">V523+IF(OR(O524&lt;&gt;"",W524&lt;&gt;""),1,0)</f>
        <v>3</v>
      </c>
      <c r="W524" s="29"/>
    </row>
    <row r="525" customFormat="false" ht="15" hidden="false" customHeight="false" outlineLevel="0" collapsed="false">
      <c r="A525" s="32" t="str">
        <f aca="false">IF(B525="","",ROW()-7)</f>
        <v/>
      </c>
      <c r="B525" s="30"/>
      <c r="C525" s="29"/>
      <c r="D525" s="29"/>
      <c r="E525" s="29"/>
      <c r="F525" s="30"/>
      <c r="G525" s="29"/>
      <c r="H525" s="30"/>
      <c r="I525" s="29"/>
      <c r="J525" s="30"/>
      <c r="K525" s="30"/>
      <c r="L525" s="29"/>
      <c r="M525" s="32" t="str">
        <f aca="false">IF(OR(C525="",L525=""),"",IF(C525=L525,"同一","変更"))</f>
        <v/>
      </c>
      <c r="N525" s="29"/>
      <c r="O525" s="30"/>
      <c r="P525" s="29"/>
      <c r="Q525" s="31"/>
      <c r="R525" s="29"/>
      <c r="S525" s="29"/>
      <c r="T525" s="30"/>
      <c r="U525" s="47" t="str">
        <f aca="false">IF(AND(B525&lt;&gt;"",B525=SW別シート!$C$3),COUNTIF(B$5:B525,B525),"")</f>
        <v/>
      </c>
      <c r="V525" s="47" t="n">
        <f aca="false">V524+IF(OR(O525&lt;&gt;"",W525&lt;&gt;""),1,0)</f>
        <v>3</v>
      </c>
      <c r="W525" s="29"/>
    </row>
    <row r="526" customFormat="false" ht="15" hidden="false" customHeight="false" outlineLevel="0" collapsed="false">
      <c r="A526" s="32" t="str">
        <f aca="false">IF(B526="","",ROW()-7)</f>
        <v/>
      </c>
      <c r="B526" s="30"/>
      <c r="C526" s="29"/>
      <c r="D526" s="29"/>
      <c r="E526" s="29"/>
      <c r="F526" s="30"/>
      <c r="G526" s="29"/>
      <c r="H526" s="30"/>
      <c r="I526" s="29"/>
      <c r="J526" s="30"/>
      <c r="K526" s="30"/>
      <c r="L526" s="29"/>
      <c r="M526" s="32" t="str">
        <f aca="false">IF(OR(C526="",L526=""),"",IF(C526=L526,"同一","変更"))</f>
        <v/>
      </c>
      <c r="N526" s="29"/>
      <c r="O526" s="30"/>
      <c r="P526" s="29"/>
      <c r="Q526" s="31"/>
      <c r="R526" s="29"/>
      <c r="S526" s="29"/>
      <c r="T526" s="30"/>
      <c r="U526" s="47" t="str">
        <f aca="false">IF(AND(B526&lt;&gt;"",B526=SW別シート!$C$3),COUNTIF(B$5:B526,B526),"")</f>
        <v/>
      </c>
      <c r="V526" s="47" t="n">
        <f aca="false">V525+IF(OR(O526&lt;&gt;"",W526&lt;&gt;""),1,0)</f>
        <v>3</v>
      </c>
      <c r="W526" s="29"/>
    </row>
    <row r="527" customFormat="false" ht="15" hidden="false" customHeight="false" outlineLevel="0" collapsed="false">
      <c r="A527" s="32" t="str">
        <f aca="false">IF(B527="","",ROW()-7)</f>
        <v/>
      </c>
      <c r="B527" s="30"/>
      <c r="C527" s="29"/>
      <c r="D527" s="29"/>
      <c r="E527" s="29"/>
      <c r="F527" s="30"/>
      <c r="G527" s="29"/>
      <c r="H527" s="30"/>
      <c r="I527" s="29"/>
      <c r="J527" s="30"/>
      <c r="K527" s="30"/>
      <c r="L527" s="29"/>
      <c r="M527" s="32" t="str">
        <f aca="false">IF(OR(C527="",L527=""),"",IF(C527=L527,"同一","変更"))</f>
        <v/>
      </c>
      <c r="N527" s="29"/>
      <c r="O527" s="30"/>
      <c r="P527" s="29"/>
      <c r="Q527" s="31"/>
      <c r="R527" s="29"/>
      <c r="S527" s="29"/>
      <c r="T527" s="30"/>
      <c r="U527" s="47" t="str">
        <f aca="false">IF(AND(B527&lt;&gt;"",B527=SW別シート!$C$3),COUNTIF(B$5:B527,B527),"")</f>
        <v/>
      </c>
      <c r="V527" s="47" t="n">
        <f aca="false">V526+IF(OR(O527&lt;&gt;"",W527&lt;&gt;""),1,0)</f>
        <v>3</v>
      </c>
      <c r="W527" s="29"/>
    </row>
    <row r="528" customFormat="false" ht="15" hidden="false" customHeight="false" outlineLevel="0" collapsed="false">
      <c r="A528" s="32" t="str">
        <f aca="false">IF(B528="","",ROW()-7)</f>
        <v/>
      </c>
      <c r="B528" s="30"/>
      <c r="C528" s="29"/>
      <c r="D528" s="29"/>
      <c r="E528" s="29"/>
      <c r="F528" s="30"/>
      <c r="G528" s="29"/>
      <c r="H528" s="30"/>
      <c r="I528" s="29"/>
      <c r="J528" s="30"/>
      <c r="K528" s="30"/>
      <c r="L528" s="29"/>
      <c r="M528" s="32" t="str">
        <f aca="false">IF(OR(C528="",L528=""),"",IF(C528=L528,"同一","変更"))</f>
        <v/>
      </c>
      <c r="N528" s="29"/>
      <c r="O528" s="30"/>
      <c r="P528" s="29"/>
      <c r="Q528" s="31"/>
      <c r="R528" s="29"/>
      <c r="S528" s="29"/>
      <c r="T528" s="30"/>
      <c r="U528" s="47" t="str">
        <f aca="false">IF(AND(B528&lt;&gt;"",B528=SW別シート!$C$3),COUNTIF(B$5:B528,B528),"")</f>
        <v/>
      </c>
      <c r="V528" s="47" t="n">
        <f aca="false">V527+IF(OR(O528&lt;&gt;"",W528&lt;&gt;""),1,0)</f>
        <v>3</v>
      </c>
      <c r="W528" s="29"/>
    </row>
    <row r="529" customFormat="false" ht="15" hidden="false" customHeight="false" outlineLevel="0" collapsed="false">
      <c r="A529" s="32" t="str">
        <f aca="false">IF(B529="","",ROW()-7)</f>
        <v/>
      </c>
      <c r="B529" s="30"/>
      <c r="C529" s="29"/>
      <c r="D529" s="29"/>
      <c r="E529" s="29"/>
      <c r="F529" s="30"/>
      <c r="G529" s="29"/>
      <c r="H529" s="30"/>
      <c r="I529" s="29"/>
      <c r="J529" s="30"/>
      <c r="K529" s="30"/>
      <c r="L529" s="29"/>
      <c r="M529" s="32" t="str">
        <f aca="false">IF(OR(C529="",L529=""),"",IF(C529=L529,"同一","変更"))</f>
        <v/>
      </c>
      <c r="N529" s="29"/>
      <c r="O529" s="30"/>
      <c r="P529" s="29"/>
      <c r="Q529" s="31"/>
      <c r="R529" s="29"/>
      <c r="S529" s="29"/>
      <c r="T529" s="30"/>
      <c r="U529" s="47" t="str">
        <f aca="false">IF(AND(B529&lt;&gt;"",B529=SW別シート!$C$3),COUNTIF(B$5:B529,B529),"")</f>
        <v/>
      </c>
      <c r="V529" s="47" t="n">
        <f aca="false">V528+IF(OR(O529&lt;&gt;"",W529&lt;&gt;""),1,0)</f>
        <v>3</v>
      </c>
      <c r="W529" s="29"/>
    </row>
    <row r="530" customFormat="false" ht="15" hidden="false" customHeight="false" outlineLevel="0" collapsed="false">
      <c r="A530" s="32" t="str">
        <f aca="false">IF(B530="","",ROW()-7)</f>
        <v/>
      </c>
      <c r="B530" s="30"/>
      <c r="C530" s="29"/>
      <c r="D530" s="29"/>
      <c r="E530" s="29"/>
      <c r="F530" s="30"/>
      <c r="G530" s="29"/>
      <c r="H530" s="30"/>
      <c r="I530" s="29"/>
      <c r="J530" s="30"/>
      <c r="K530" s="30"/>
      <c r="L530" s="29"/>
      <c r="M530" s="32" t="str">
        <f aca="false">IF(OR(C530="",L530=""),"",IF(C530=L530,"同一","変更"))</f>
        <v/>
      </c>
      <c r="N530" s="29"/>
      <c r="O530" s="30"/>
      <c r="P530" s="29"/>
      <c r="Q530" s="31"/>
      <c r="R530" s="29"/>
      <c r="S530" s="29"/>
      <c r="T530" s="30"/>
      <c r="U530" s="47" t="str">
        <f aca="false">IF(AND(B530&lt;&gt;"",B530=SW別シート!$C$3),COUNTIF(B$5:B530,B530),"")</f>
        <v/>
      </c>
      <c r="V530" s="47" t="n">
        <f aca="false">V529+IF(OR(O530&lt;&gt;"",W530&lt;&gt;""),1,0)</f>
        <v>3</v>
      </c>
      <c r="W530" s="29"/>
    </row>
    <row r="531" customFormat="false" ht="15" hidden="false" customHeight="false" outlineLevel="0" collapsed="false">
      <c r="A531" s="32" t="str">
        <f aca="false">IF(B531="","",ROW()-7)</f>
        <v/>
      </c>
      <c r="B531" s="30"/>
      <c r="C531" s="29"/>
      <c r="D531" s="29"/>
      <c r="E531" s="29"/>
      <c r="F531" s="30"/>
      <c r="G531" s="29"/>
      <c r="H531" s="30"/>
      <c r="I531" s="29"/>
      <c r="J531" s="30"/>
      <c r="K531" s="30"/>
      <c r="L531" s="29"/>
      <c r="M531" s="32" t="str">
        <f aca="false">IF(OR(C531="",L531=""),"",IF(C531=L531,"同一","変更"))</f>
        <v/>
      </c>
      <c r="N531" s="29"/>
      <c r="O531" s="30"/>
      <c r="P531" s="29"/>
      <c r="Q531" s="31"/>
      <c r="R531" s="29"/>
      <c r="S531" s="29"/>
      <c r="T531" s="30"/>
      <c r="U531" s="47" t="str">
        <f aca="false">IF(AND(B531&lt;&gt;"",B531=SW別シート!$C$3),COUNTIF(B$5:B531,B531),"")</f>
        <v/>
      </c>
      <c r="V531" s="47" t="n">
        <f aca="false">V530+IF(OR(O531&lt;&gt;"",W531&lt;&gt;""),1,0)</f>
        <v>3</v>
      </c>
      <c r="W531" s="29"/>
    </row>
    <row r="532" customFormat="false" ht="15" hidden="false" customHeight="false" outlineLevel="0" collapsed="false">
      <c r="A532" s="32" t="str">
        <f aca="false">IF(B532="","",ROW()-7)</f>
        <v/>
      </c>
      <c r="B532" s="30"/>
      <c r="C532" s="29"/>
      <c r="D532" s="29"/>
      <c r="E532" s="29"/>
      <c r="F532" s="30"/>
      <c r="G532" s="29"/>
      <c r="H532" s="30"/>
      <c r="I532" s="29"/>
      <c r="J532" s="30"/>
      <c r="K532" s="30"/>
      <c r="L532" s="29"/>
      <c r="M532" s="32" t="str">
        <f aca="false">IF(OR(C532="",L532=""),"",IF(C532=L532,"同一","変更"))</f>
        <v/>
      </c>
      <c r="N532" s="29"/>
      <c r="O532" s="30"/>
      <c r="P532" s="29"/>
      <c r="Q532" s="31"/>
      <c r="R532" s="29"/>
      <c r="S532" s="29"/>
      <c r="T532" s="30"/>
      <c r="U532" s="47" t="str">
        <f aca="false">IF(AND(B532&lt;&gt;"",B532=SW別シート!$C$3),COUNTIF(B$5:B532,B532),"")</f>
        <v/>
      </c>
      <c r="V532" s="47" t="n">
        <f aca="false">V531+IF(OR(O532&lt;&gt;"",W532&lt;&gt;""),1,0)</f>
        <v>3</v>
      </c>
      <c r="W532" s="29"/>
    </row>
    <row r="533" customFormat="false" ht="15" hidden="false" customHeight="false" outlineLevel="0" collapsed="false">
      <c r="A533" s="32" t="str">
        <f aca="false">IF(B533="","",ROW()-7)</f>
        <v/>
      </c>
      <c r="B533" s="30"/>
      <c r="C533" s="29"/>
      <c r="D533" s="29"/>
      <c r="E533" s="29"/>
      <c r="F533" s="30"/>
      <c r="G533" s="29"/>
      <c r="H533" s="30"/>
      <c r="I533" s="29"/>
      <c r="J533" s="30"/>
      <c r="K533" s="30"/>
      <c r="L533" s="29"/>
      <c r="M533" s="32" t="str">
        <f aca="false">IF(OR(C533="",L533=""),"",IF(C533=L533,"同一","変更"))</f>
        <v/>
      </c>
      <c r="N533" s="29"/>
      <c r="O533" s="30"/>
      <c r="P533" s="29"/>
      <c r="Q533" s="31"/>
      <c r="R533" s="29"/>
      <c r="S533" s="29"/>
      <c r="T533" s="30"/>
      <c r="U533" s="47" t="str">
        <f aca="false">IF(AND(B533&lt;&gt;"",B533=SW別シート!$C$3),COUNTIF(B$5:B533,B533),"")</f>
        <v/>
      </c>
      <c r="V533" s="47" t="n">
        <f aca="false">V532+IF(OR(O533&lt;&gt;"",W533&lt;&gt;""),1,0)</f>
        <v>3</v>
      </c>
      <c r="W533" s="29"/>
    </row>
    <row r="534" customFormat="false" ht="15" hidden="false" customHeight="false" outlineLevel="0" collapsed="false">
      <c r="A534" s="32" t="str">
        <f aca="false">IF(B534="","",ROW()-7)</f>
        <v/>
      </c>
      <c r="B534" s="30"/>
      <c r="C534" s="29"/>
      <c r="D534" s="29"/>
      <c r="E534" s="29"/>
      <c r="F534" s="30"/>
      <c r="G534" s="29"/>
      <c r="H534" s="30"/>
      <c r="I534" s="29"/>
      <c r="J534" s="30"/>
      <c r="K534" s="30"/>
      <c r="L534" s="29"/>
      <c r="M534" s="32" t="str">
        <f aca="false">IF(OR(C534="",L534=""),"",IF(C534=L534,"同一","変更"))</f>
        <v/>
      </c>
      <c r="N534" s="29"/>
      <c r="O534" s="30"/>
      <c r="P534" s="29"/>
      <c r="Q534" s="31"/>
      <c r="R534" s="29"/>
      <c r="S534" s="29"/>
      <c r="T534" s="30"/>
      <c r="U534" s="47" t="str">
        <f aca="false">IF(AND(B534&lt;&gt;"",B534=SW別シート!$C$3),COUNTIF(B$5:B534,B534),"")</f>
        <v/>
      </c>
      <c r="V534" s="47" t="n">
        <f aca="false">V533+IF(OR(O534&lt;&gt;"",W534&lt;&gt;""),1,0)</f>
        <v>3</v>
      </c>
      <c r="W534" s="29"/>
    </row>
    <row r="535" customFormat="false" ht="15" hidden="false" customHeight="false" outlineLevel="0" collapsed="false">
      <c r="A535" s="32" t="str">
        <f aca="false">IF(B535="","",ROW()-7)</f>
        <v/>
      </c>
      <c r="B535" s="30"/>
      <c r="C535" s="29"/>
      <c r="D535" s="29"/>
      <c r="E535" s="29"/>
      <c r="F535" s="30"/>
      <c r="G535" s="29"/>
      <c r="H535" s="30"/>
      <c r="I535" s="29"/>
      <c r="J535" s="30"/>
      <c r="K535" s="30"/>
      <c r="L535" s="29"/>
      <c r="M535" s="32" t="str">
        <f aca="false">IF(OR(C535="",L535=""),"",IF(C535=L535,"同一","変更"))</f>
        <v/>
      </c>
      <c r="N535" s="29"/>
      <c r="O535" s="30"/>
      <c r="P535" s="29"/>
      <c r="Q535" s="31"/>
      <c r="R535" s="29"/>
      <c r="S535" s="29"/>
      <c r="T535" s="30"/>
      <c r="U535" s="47" t="str">
        <f aca="false">IF(AND(B535&lt;&gt;"",B535=SW別シート!$C$3),COUNTIF(B$5:B535,B535),"")</f>
        <v/>
      </c>
      <c r="V535" s="47" t="n">
        <f aca="false">V534+IF(OR(O535&lt;&gt;"",W535&lt;&gt;""),1,0)</f>
        <v>3</v>
      </c>
      <c r="W535" s="29"/>
    </row>
    <row r="536" customFormat="false" ht="15" hidden="false" customHeight="false" outlineLevel="0" collapsed="false">
      <c r="A536" s="32" t="str">
        <f aca="false">IF(B536="","",ROW()-7)</f>
        <v/>
      </c>
      <c r="B536" s="30"/>
      <c r="C536" s="29"/>
      <c r="D536" s="29"/>
      <c r="E536" s="29"/>
      <c r="F536" s="30"/>
      <c r="G536" s="29"/>
      <c r="H536" s="30"/>
      <c r="I536" s="29"/>
      <c r="J536" s="30"/>
      <c r="K536" s="30"/>
      <c r="L536" s="29"/>
      <c r="M536" s="32" t="str">
        <f aca="false">IF(OR(C536="",L536=""),"",IF(C536=L536,"同一","変更"))</f>
        <v/>
      </c>
      <c r="N536" s="29"/>
      <c r="O536" s="30"/>
      <c r="P536" s="29"/>
      <c r="Q536" s="31"/>
      <c r="R536" s="29"/>
      <c r="S536" s="29"/>
      <c r="T536" s="30"/>
      <c r="U536" s="47" t="str">
        <f aca="false">IF(AND(B536&lt;&gt;"",B536=SW別シート!$C$3),COUNTIF(B$5:B536,B536),"")</f>
        <v/>
      </c>
      <c r="V536" s="47" t="n">
        <f aca="false">V535+IF(OR(O536&lt;&gt;"",W536&lt;&gt;""),1,0)</f>
        <v>3</v>
      </c>
      <c r="W536" s="29"/>
    </row>
    <row r="537" customFormat="false" ht="15" hidden="false" customHeight="false" outlineLevel="0" collapsed="false">
      <c r="A537" s="32" t="str">
        <f aca="false">IF(B537="","",ROW()-7)</f>
        <v/>
      </c>
      <c r="B537" s="30"/>
      <c r="C537" s="29"/>
      <c r="D537" s="29"/>
      <c r="E537" s="29"/>
      <c r="F537" s="30"/>
      <c r="G537" s="29"/>
      <c r="H537" s="30"/>
      <c r="I537" s="29"/>
      <c r="J537" s="30"/>
      <c r="K537" s="30"/>
      <c r="L537" s="29"/>
      <c r="M537" s="32" t="str">
        <f aca="false">IF(OR(C537="",L537=""),"",IF(C537=L537,"同一","変更"))</f>
        <v/>
      </c>
      <c r="N537" s="29"/>
      <c r="O537" s="30"/>
      <c r="P537" s="29"/>
      <c r="Q537" s="31"/>
      <c r="R537" s="29"/>
      <c r="S537" s="29"/>
      <c r="T537" s="30"/>
      <c r="U537" s="47" t="str">
        <f aca="false">IF(AND(B537&lt;&gt;"",B537=SW別シート!$C$3),COUNTIF(B$5:B537,B537),"")</f>
        <v/>
      </c>
      <c r="V537" s="47" t="n">
        <f aca="false">V536+IF(OR(O537&lt;&gt;"",W537&lt;&gt;""),1,0)</f>
        <v>3</v>
      </c>
      <c r="W537" s="29"/>
    </row>
    <row r="538" customFormat="false" ht="15" hidden="false" customHeight="false" outlineLevel="0" collapsed="false">
      <c r="A538" s="32" t="str">
        <f aca="false">IF(B538="","",ROW()-7)</f>
        <v/>
      </c>
      <c r="B538" s="30"/>
      <c r="C538" s="29"/>
      <c r="D538" s="29"/>
      <c r="E538" s="29"/>
      <c r="F538" s="30"/>
      <c r="G538" s="29"/>
      <c r="H538" s="30"/>
      <c r="I538" s="29"/>
      <c r="J538" s="30"/>
      <c r="K538" s="30"/>
      <c r="L538" s="29"/>
      <c r="M538" s="32" t="str">
        <f aca="false">IF(OR(C538="",L538=""),"",IF(C538=L538,"同一","変更"))</f>
        <v/>
      </c>
      <c r="N538" s="29"/>
      <c r="O538" s="30"/>
      <c r="P538" s="29"/>
      <c r="Q538" s="31"/>
      <c r="R538" s="29"/>
      <c r="S538" s="29"/>
      <c r="T538" s="30"/>
      <c r="U538" s="47" t="str">
        <f aca="false">IF(AND(B538&lt;&gt;"",B538=SW別シート!$C$3),COUNTIF(B$5:B538,B538),"")</f>
        <v/>
      </c>
      <c r="V538" s="47" t="n">
        <f aca="false">V537+IF(OR(O538&lt;&gt;"",W538&lt;&gt;""),1,0)</f>
        <v>3</v>
      </c>
      <c r="W538" s="29"/>
    </row>
    <row r="539" customFormat="false" ht="15" hidden="false" customHeight="false" outlineLevel="0" collapsed="false">
      <c r="A539" s="32" t="str">
        <f aca="false">IF(B539="","",ROW()-7)</f>
        <v/>
      </c>
      <c r="B539" s="30"/>
      <c r="C539" s="29"/>
      <c r="D539" s="29"/>
      <c r="E539" s="29"/>
      <c r="F539" s="30"/>
      <c r="G539" s="29"/>
      <c r="H539" s="30"/>
      <c r="I539" s="29"/>
      <c r="J539" s="30"/>
      <c r="K539" s="30"/>
      <c r="L539" s="29"/>
      <c r="M539" s="32" t="str">
        <f aca="false">IF(OR(C539="",L539=""),"",IF(C539=L539,"同一","変更"))</f>
        <v/>
      </c>
      <c r="N539" s="29"/>
      <c r="O539" s="30"/>
      <c r="P539" s="29"/>
      <c r="Q539" s="31"/>
      <c r="R539" s="29"/>
      <c r="S539" s="29"/>
      <c r="T539" s="30"/>
      <c r="U539" s="47" t="str">
        <f aca="false">IF(AND(B539&lt;&gt;"",B539=SW別シート!$C$3),COUNTIF(B$5:B539,B539),"")</f>
        <v/>
      </c>
      <c r="V539" s="47" t="n">
        <f aca="false">V538+IF(OR(O539&lt;&gt;"",W539&lt;&gt;""),1,0)</f>
        <v>3</v>
      </c>
      <c r="W539" s="29"/>
    </row>
    <row r="540" customFormat="false" ht="15" hidden="false" customHeight="false" outlineLevel="0" collapsed="false">
      <c r="A540" s="32" t="str">
        <f aca="false">IF(B540="","",ROW()-7)</f>
        <v/>
      </c>
      <c r="B540" s="30"/>
      <c r="C540" s="29"/>
      <c r="D540" s="29"/>
      <c r="E540" s="29"/>
      <c r="F540" s="30"/>
      <c r="G540" s="29"/>
      <c r="H540" s="30"/>
      <c r="I540" s="29"/>
      <c r="J540" s="30"/>
      <c r="K540" s="30"/>
      <c r="L540" s="29"/>
      <c r="M540" s="32" t="str">
        <f aca="false">IF(OR(C540="",L540=""),"",IF(C540=L540,"同一","変更"))</f>
        <v/>
      </c>
      <c r="N540" s="29"/>
      <c r="O540" s="30"/>
      <c r="P540" s="29"/>
      <c r="Q540" s="31"/>
      <c r="R540" s="29"/>
      <c r="S540" s="29"/>
      <c r="T540" s="30"/>
      <c r="U540" s="47" t="str">
        <f aca="false">IF(AND(B540&lt;&gt;"",B540=SW別シート!$C$3),COUNTIF(B$5:B540,B540),"")</f>
        <v/>
      </c>
      <c r="V540" s="47" t="n">
        <f aca="false">V539+IF(OR(O540&lt;&gt;"",W540&lt;&gt;""),1,0)</f>
        <v>3</v>
      </c>
      <c r="W540" s="29"/>
    </row>
    <row r="541" customFormat="false" ht="15" hidden="false" customHeight="false" outlineLevel="0" collapsed="false">
      <c r="A541" s="32" t="str">
        <f aca="false">IF(B541="","",ROW()-7)</f>
        <v/>
      </c>
      <c r="B541" s="30"/>
      <c r="C541" s="29"/>
      <c r="D541" s="29"/>
      <c r="E541" s="29"/>
      <c r="F541" s="30"/>
      <c r="G541" s="29"/>
      <c r="H541" s="30"/>
      <c r="I541" s="29"/>
      <c r="J541" s="30"/>
      <c r="K541" s="30"/>
      <c r="L541" s="29"/>
      <c r="M541" s="32" t="str">
        <f aca="false">IF(OR(C541="",L541=""),"",IF(C541=L541,"同一","変更"))</f>
        <v/>
      </c>
      <c r="N541" s="29"/>
      <c r="O541" s="30"/>
      <c r="P541" s="29"/>
      <c r="Q541" s="31"/>
      <c r="R541" s="29"/>
      <c r="S541" s="29"/>
      <c r="T541" s="30"/>
      <c r="U541" s="47" t="str">
        <f aca="false">IF(AND(B541&lt;&gt;"",B541=SW別シート!$C$3),COUNTIF(B$5:B541,B541),"")</f>
        <v/>
      </c>
      <c r="V541" s="47" t="n">
        <f aca="false">V540+IF(OR(O541&lt;&gt;"",W541&lt;&gt;""),1,0)</f>
        <v>3</v>
      </c>
      <c r="W541" s="29"/>
    </row>
    <row r="542" customFormat="false" ht="15" hidden="false" customHeight="false" outlineLevel="0" collapsed="false">
      <c r="A542" s="32" t="str">
        <f aca="false">IF(B542="","",ROW()-7)</f>
        <v/>
      </c>
      <c r="B542" s="30"/>
      <c r="C542" s="29"/>
      <c r="D542" s="29"/>
      <c r="E542" s="29"/>
      <c r="F542" s="30"/>
      <c r="G542" s="29"/>
      <c r="H542" s="30"/>
      <c r="I542" s="29"/>
      <c r="J542" s="30"/>
      <c r="K542" s="30"/>
      <c r="L542" s="29"/>
      <c r="M542" s="32" t="str">
        <f aca="false">IF(OR(C542="",L542=""),"",IF(C542=L542,"同一","変更"))</f>
        <v/>
      </c>
      <c r="N542" s="29"/>
      <c r="O542" s="30"/>
      <c r="P542" s="29"/>
      <c r="Q542" s="31"/>
      <c r="R542" s="29"/>
      <c r="S542" s="29"/>
      <c r="T542" s="30"/>
      <c r="U542" s="47" t="str">
        <f aca="false">IF(AND(B542&lt;&gt;"",B542=SW別シート!$C$3),COUNTIF(B$5:B542,B542),"")</f>
        <v/>
      </c>
      <c r="V542" s="47" t="n">
        <f aca="false">V541+IF(OR(O542&lt;&gt;"",W542&lt;&gt;""),1,0)</f>
        <v>3</v>
      </c>
      <c r="W542" s="29"/>
    </row>
    <row r="543" customFormat="false" ht="15" hidden="false" customHeight="false" outlineLevel="0" collapsed="false">
      <c r="A543" s="32" t="str">
        <f aca="false">IF(B543="","",ROW()-7)</f>
        <v/>
      </c>
      <c r="B543" s="30"/>
      <c r="C543" s="29"/>
      <c r="D543" s="29"/>
      <c r="E543" s="29"/>
      <c r="F543" s="30"/>
      <c r="G543" s="29"/>
      <c r="H543" s="30"/>
      <c r="I543" s="29"/>
      <c r="J543" s="30"/>
      <c r="K543" s="30"/>
      <c r="L543" s="29"/>
      <c r="M543" s="32" t="str">
        <f aca="false">IF(OR(C543="",L543=""),"",IF(C543=L543,"同一","変更"))</f>
        <v/>
      </c>
      <c r="N543" s="29"/>
      <c r="O543" s="30"/>
      <c r="P543" s="29"/>
      <c r="Q543" s="31"/>
      <c r="R543" s="29"/>
      <c r="S543" s="29"/>
      <c r="T543" s="30"/>
      <c r="U543" s="47" t="str">
        <f aca="false">IF(AND(B543&lt;&gt;"",B543=SW別シート!$C$3),COUNTIF(B$5:B543,B543),"")</f>
        <v/>
      </c>
      <c r="V543" s="47" t="n">
        <f aca="false">V542+IF(OR(O543&lt;&gt;"",W543&lt;&gt;""),1,0)</f>
        <v>3</v>
      </c>
      <c r="W543" s="29"/>
    </row>
    <row r="544" customFormat="false" ht="15" hidden="false" customHeight="false" outlineLevel="0" collapsed="false">
      <c r="A544" s="32" t="str">
        <f aca="false">IF(B544="","",ROW()-7)</f>
        <v/>
      </c>
      <c r="B544" s="30"/>
      <c r="C544" s="29"/>
      <c r="D544" s="29"/>
      <c r="E544" s="29"/>
      <c r="F544" s="30"/>
      <c r="G544" s="29"/>
      <c r="H544" s="30"/>
      <c r="I544" s="29"/>
      <c r="J544" s="30"/>
      <c r="K544" s="30"/>
      <c r="L544" s="29"/>
      <c r="M544" s="32" t="str">
        <f aca="false">IF(OR(C544="",L544=""),"",IF(C544=L544,"同一","変更"))</f>
        <v/>
      </c>
      <c r="N544" s="29"/>
      <c r="O544" s="30"/>
      <c r="P544" s="29"/>
      <c r="Q544" s="31"/>
      <c r="R544" s="29"/>
      <c r="S544" s="29"/>
      <c r="T544" s="30"/>
      <c r="U544" s="47" t="str">
        <f aca="false">IF(AND(B544&lt;&gt;"",B544=SW別シート!$C$3),COUNTIF(B$5:B544,B544),"")</f>
        <v/>
      </c>
      <c r="V544" s="47" t="n">
        <f aca="false">V543+IF(OR(O544&lt;&gt;"",W544&lt;&gt;""),1,0)</f>
        <v>3</v>
      </c>
      <c r="W544" s="29"/>
    </row>
    <row r="545" customFormat="false" ht="15" hidden="false" customHeight="false" outlineLevel="0" collapsed="false">
      <c r="A545" s="32" t="str">
        <f aca="false">IF(B545="","",ROW()-7)</f>
        <v/>
      </c>
      <c r="B545" s="30"/>
      <c r="C545" s="29"/>
      <c r="D545" s="29"/>
      <c r="E545" s="29"/>
      <c r="F545" s="30"/>
      <c r="G545" s="29"/>
      <c r="H545" s="30"/>
      <c r="I545" s="29"/>
      <c r="J545" s="30"/>
      <c r="K545" s="30"/>
      <c r="L545" s="29"/>
      <c r="M545" s="32" t="str">
        <f aca="false">IF(OR(C545="",L545=""),"",IF(C545=L545,"同一","変更"))</f>
        <v/>
      </c>
      <c r="N545" s="29"/>
      <c r="O545" s="30"/>
      <c r="P545" s="29"/>
      <c r="Q545" s="31"/>
      <c r="R545" s="29"/>
      <c r="S545" s="29"/>
      <c r="T545" s="30"/>
      <c r="U545" s="47" t="str">
        <f aca="false">IF(AND(B545&lt;&gt;"",B545=SW別シート!$C$3),COUNTIF(B$5:B545,B545),"")</f>
        <v/>
      </c>
      <c r="V545" s="47" t="n">
        <f aca="false">V544+IF(OR(O545&lt;&gt;"",W545&lt;&gt;""),1,0)</f>
        <v>3</v>
      </c>
      <c r="W545" s="29"/>
    </row>
    <row r="546" customFormat="false" ht="15" hidden="false" customHeight="false" outlineLevel="0" collapsed="false">
      <c r="A546" s="32" t="str">
        <f aca="false">IF(B546="","",ROW()-7)</f>
        <v/>
      </c>
      <c r="B546" s="30"/>
      <c r="C546" s="29"/>
      <c r="D546" s="29"/>
      <c r="E546" s="29"/>
      <c r="F546" s="30"/>
      <c r="G546" s="29"/>
      <c r="H546" s="30"/>
      <c r="I546" s="29"/>
      <c r="J546" s="30"/>
      <c r="K546" s="30"/>
      <c r="L546" s="29"/>
      <c r="M546" s="32" t="str">
        <f aca="false">IF(OR(C546="",L546=""),"",IF(C546=L546,"同一","変更"))</f>
        <v/>
      </c>
      <c r="N546" s="29"/>
      <c r="O546" s="30"/>
      <c r="P546" s="29"/>
      <c r="Q546" s="31"/>
      <c r="R546" s="29"/>
      <c r="S546" s="29"/>
      <c r="T546" s="30"/>
      <c r="U546" s="47" t="str">
        <f aca="false">IF(AND(B546&lt;&gt;"",B546=SW別シート!$C$3),COUNTIF(B$5:B546,B546),"")</f>
        <v/>
      </c>
      <c r="V546" s="47" t="n">
        <f aca="false">V545+IF(OR(O546&lt;&gt;"",W546&lt;&gt;""),1,0)</f>
        <v>3</v>
      </c>
      <c r="W546" s="29"/>
    </row>
    <row r="547" customFormat="false" ht="15" hidden="false" customHeight="false" outlineLevel="0" collapsed="false">
      <c r="A547" s="32" t="str">
        <f aca="false">IF(B547="","",ROW()-7)</f>
        <v/>
      </c>
      <c r="B547" s="30"/>
      <c r="C547" s="29"/>
      <c r="D547" s="29"/>
      <c r="E547" s="29"/>
      <c r="F547" s="30"/>
      <c r="G547" s="29"/>
      <c r="H547" s="30"/>
      <c r="I547" s="29"/>
      <c r="J547" s="30"/>
      <c r="K547" s="30"/>
      <c r="L547" s="29"/>
      <c r="M547" s="32" t="str">
        <f aca="false">IF(OR(C547="",L547=""),"",IF(C547=L547,"同一","変更"))</f>
        <v/>
      </c>
      <c r="N547" s="29"/>
      <c r="O547" s="30"/>
      <c r="P547" s="29"/>
      <c r="Q547" s="31"/>
      <c r="R547" s="29"/>
      <c r="S547" s="29"/>
      <c r="T547" s="30"/>
      <c r="U547" s="47" t="str">
        <f aca="false">IF(AND(B547&lt;&gt;"",B547=SW別シート!$C$3),COUNTIF(B$5:B547,B547),"")</f>
        <v/>
      </c>
      <c r="V547" s="47" t="n">
        <f aca="false">V546+IF(OR(O547&lt;&gt;"",W547&lt;&gt;""),1,0)</f>
        <v>3</v>
      </c>
      <c r="W547" s="29"/>
    </row>
    <row r="548" customFormat="false" ht="15" hidden="false" customHeight="false" outlineLevel="0" collapsed="false">
      <c r="A548" s="32" t="str">
        <f aca="false">IF(B548="","",ROW()-7)</f>
        <v/>
      </c>
      <c r="B548" s="30"/>
      <c r="C548" s="29"/>
      <c r="D548" s="29"/>
      <c r="E548" s="29"/>
      <c r="F548" s="30"/>
      <c r="G548" s="29"/>
      <c r="H548" s="30"/>
      <c r="I548" s="29"/>
      <c r="J548" s="30"/>
      <c r="K548" s="30"/>
      <c r="L548" s="29"/>
      <c r="M548" s="32" t="str">
        <f aca="false">IF(OR(C548="",L548=""),"",IF(C548=L548,"同一","変更"))</f>
        <v/>
      </c>
      <c r="N548" s="29"/>
      <c r="O548" s="30"/>
      <c r="P548" s="29"/>
      <c r="Q548" s="31"/>
      <c r="R548" s="29"/>
      <c r="S548" s="29"/>
      <c r="T548" s="30"/>
      <c r="U548" s="47" t="str">
        <f aca="false">IF(AND(B548&lt;&gt;"",B548=SW別シート!$C$3),COUNTIF(B$5:B548,B548),"")</f>
        <v/>
      </c>
      <c r="V548" s="47" t="n">
        <f aca="false">V547+IF(OR(O548&lt;&gt;"",W548&lt;&gt;""),1,0)</f>
        <v>3</v>
      </c>
      <c r="W548" s="29"/>
    </row>
    <row r="549" customFormat="false" ht="15" hidden="false" customHeight="false" outlineLevel="0" collapsed="false">
      <c r="A549" s="32" t="str">
        <f aca="false">IF(B549="","",ROW()-7)</f>
        <v/>
      </c>
      <c r="B549" s="30"/>
      <c r="C549" s="29"/>
      <c r="D549" s="29"/>
      <c r="E549" s="29"/>
      <c r="F549" s="30"/>
      <c r="G549" s="29"/>
      <c r="H549" s="30"/>
      <c r="I549" s="29"/>
      <c r="J549" s="30"/>
      <c r="K549" s="30"/>
      <c r="L549" s="29"/>
      <c r="M549" s="32" t="str">
        <f aca="false">IF(OR(C549="",L549=""),"",IF(C549=L549,"同一","変更"))</f>
        <v/>
      </c>
      <c r="N549" s="29"/>
      <c r="O549" s="30"/>
      <c r="P549" s="29"/>
      <c r="Q549" s="31"/>
      <c r="R549" s="29"/>
      <c r="S549" s="29"/>
      <c r="T549" s="30"/>
      <c r="U549" s="47" t="str">
        <f aca="false">IF(AND(B549&lt;&gt;"",B549=SW別シート!$C$3),COUNTIF(B$5:B549,B549),"")</f>
        <v/>
      </c>
      <c r="V549" s="47" t="n">
        <f aca="false">V548+IF(OR(O549&lt;&gt;"",W549&lt;&gt;""),1,0)</f>
        <v>3</v>
      </c>
      <c r="W549" s="29"/>
    </row>
    <row r="550" customFormat="false" ht="15" hidden="false" customHeight="false" outlineLevel="0" collapsed="false">
      <c r="A550" s="32" t="str">
        <f aca="false">IF(B550="","",ROW()-7)</f>
        <v/>
      </c>
      <c r="B550" s="30"/>
      <c r="C550" s="29"/>
      <c r="D550" s="29"/>
      <c r="E550" s="29"/>
      <c r="F550" s="30"/>
      <c r="G550" s="29"/>
      <c r="H550" s="30"/>
      <c r="I550" s="29"/>
      <c r="J550" s="30"/>
      <c r="K550" s="30"/>
      <c r="L550" s="29"/>
      <c r="M550" s="32" t="str">
        <f aca="false">IF(OR(C550="",L550=""),"",IF(C550=L550,"同一","変更"))</f>
        <v/>
      </c>
      <c r="N550" s="29"/>
      <c r="O550" s="30"/>
      <c r="P550" s="29"/>
      <c r="Q550" s="31"/>
      <c r="R550" s="29"/>
      <c r="S550" s="29"/>
      <c r="T550" s="30"/>
      <c r="U550" s="47" t="str">
        <f aca="false">IF(AND(B550&lt;&gt;"",B550=SW別シート!$C$3),COUNTIF(B$5:B550,B550),"")</f>
        <v/>
      </c>
      <c r="V550" s="47" t="n">
        <f aca="false">V549+IF(OR(O550&lt;&gt;"",W550&lt;&gt;""),1,0)</f>
        <v>3</v>
      </c>
      <c r="W550" s="29"/>
    </row>
    <row r="551" customFormat="false" ht="15" hidden="false" customHeight="false" outlineLevel="0" collapsed="false">
      <c r="A551" s="32" t="str">
        <f aca="false">IF(B551="","",ROW()-7)</f>
        <v/>
      </c>
      <c r="B551" s="30"/>
      <c r="C551" s="29"/>
      <c r="D551" s="29"/>
      <c r="E551" s="29"/>
      <c r="F551" s="30"/>
      <c r="G551" s="29"/>
      <c r="H551" s="30"/>
      <c r="I551" s="29"/>
      <c r="J551" s="30"/>
      <c r="K551" s="30"/>
      <c r="L551" s="29"/>
      <c r="M551" s="32" t="str">
        <f aca="false">IF(OR(C551="",L551=""),"",IF(C551=L551,"同一","変更"))</f>
        <v/>
      </c>
      <c r="N551" s="29"/>
      <c r="O551" s="30"/>
      <c r="P551" s="29"/>
      <c r="Q551" s="31"/>
      <c r="R551" s="29"/>
      <c r="S551" s="29"/>
      <c r="T551" s="30"/>
      <c r="U551" s="47" t="str">
        <f aca="false">IF(AND(B551&lt;&gt;"",B551=SW別シート!$C$3),COUNTIF(B$5:B551,B551),"")</f>
        <v/>
      </c>
      <c r="V551" s="47" t="n">
        <f aca="false">V550+IF(OR(O551&lt;&gt;"",W551&lt;&gt;""),1,0)</f>
        <v>3</v>
      </c>
      <c r="W551" s="29"/>
    </row>
    <row r="552" customFormat="false" ht="15" hidden="false" customHeight="false" outlineLevel="0" collapsed="false">
      <c r="A552" s="32" t="str">
        <f aca="false">IF(B552="","",ROW()-7)</f>
        <v/>
      </c>
      <c r="B552" s="30"/>
      <c r="C552" s="29"/>
      <c r="D552" s="29"/>
      <c r="E552" s="29"/>
      <c r="F552" s="30"/>
      <c r="G552" s="29"/>
      <c r="H552" s="30"/>
      <c r="I552" s="29"/>
      <c r="J552" s="30"/>
      <c r="K552" s="30"/>
      <c r="L552" s="29"/>
      <c r="M552" s="32" t="str">
        <f aca="false">IF(OR(C552="",L552=""),"",IF(C552=L552,"同一","変更"))</f>
        <v/>
      </c>
      <c r="N552" s="29"/>
      <c r="O552" s="30"/>
      <c r="P552" s="29"/>
      <c r="Q552" s="31"/>
      <c r="R552" s="29"/>
      <c r="S552" s="29"/>
      <c r="T552" s="30"/>
      <c r="U552" s="47" t="str">
        <f aca="false">IF(AND(B552&lt;&gt;"",B552=SW別シート!$C$3),COUNTIF(B$5:B552,B552),"")</f>
        <v/>
      </c>
      <c r="V552" s="47" t="n">
        <f aca="false">V551+IF(OR(O552&lt;&gt;"",W552&lt;&gt;""),1,0)</f>
        <v>3</v>
      </c>
      <c r="W552" s="29"/>
    </row>
    <row r="553" customFormat="false" ht="15" hidden="false" customHeight="false" outlineLevel="0" collapsed="false">
      <c r="A553" s="32" t="str">
        <f aca="false">IF(B553="","",ROW()-7)</f>
        <v/>
      </c>
      <c r="B553" s="30"/>
      <c r="C553" s="29"/>
      <c r="D553" s="29"/>
      <c r="E553" s="29"/>
      <c r="F553" s="30"/>
      <c r="G553" s="29"/>
      <c r="H553" s="30"/>
      <c r="I553" s="29"/>
      <c r="J553" s="30"/>
      <c r="K553" s="30"/>
      <c r="L553" s="29"/>
      <c r="M553" s="32" t="str">
        <f aca="false">IF(OR(C553="",L553=""),"",IF(C553=L553,"同一","変更"))</f>
        <v/>
      </c>
      <c r="N553" s="29"/>
      <c r="O553" s="30"/>
      <c r="P553" s="29"/>
      <c r="Q553" s="31"/>
      <c r="R553" s="29"/>
      <c r="S553" s="29"/>
      <c r="T553" s="30"/>
      <c r="U553" s="47" t="str">
        <f aca="false">IF(AND(B553&lt;&gt;"",B553=SW別シート!$C$3),COUNTIF(B$5:B553,B553),"")</f>
        <v/>
      </c>
      <c r="V553" s="47" t="n">
        <f aca="false">V552+IF(OR(O553&lt;&gt;"",W553&lt;&gt;""),1,0)</f>
        <v>3</v>
      </c>
      <c r="W553" s="29"/>
    </row>
    <row r="554" customFormat="false" ht="15" hidden="false" customHeight="false" outlineLevel="0" collapsed="false">
      <c r="A554" s="32" t="str">
        <f aca="false">IF(B554="","",ROW()-7)</f>
        <v/>
      </c>
      <c r="B554" s="30"/>
      <c r="C554" s="29"/>
      <c r="D554" s="29"/>
      <c r="E554" s="29"/>
      <c r="F554" s="30"/>
      <c r="G554" s="29"/>
      <c r="H554" s="30"/>
      <c r="I554" s="29"/>
      <c r="J554" s="30"/>
      <c r="K554" s="30"/>
      <c r="L554" s="29"/>
      <c r="M554" s="32" t="str">
        <f aca="false">IF(OR(C554="",L554=""),"",IF(C554=L554,"同一","変更"))</f>
        <v/>
      </c>
      <c r="N554" s="29"/>
      <c r="O554" s="30"/>
      <c r="P554" s="29"/>
      <c r="Q554" s="31"/>
      <c r="R554" s="29"/>
      <c r="S554" s="29"/>
      <c r="T554" s="30"/>
      <c r="U554" s="47" t="str">
        <f aca="false">IF(AND(B554&lt;&gt;"",B554=SW別シート!$C$3),COUNTIF(B$5:B554,B554),"")</f>
        <v/>
      </c>
      <c r="V554" s="47" t="n">
        <f aca="false">V553+IF(OR(O554&lt;&gt;"",W554&lt;&gt;""),1,0)</f>
        <v>3</v>
      </c>
      <c r="W554" s="29"/>
    </row>
    <row r="555" customFormat="false" ht="15" hidden="false" customHeight="false" outlineLevel="0" collapsed="false">
      <c r="A555" s="32" t="str">
        <f aca="false">IF(B555="","",ROW()-7)</f>
        <v/>
      </c>
      <c r="B555" s="30"/>
      <c r="C555" s="29"/>
      <c r="D555" s="29"/>
      <c r="E555" s="29"/>
      <c r="F555" s="30"/>
      <c r="G555" s="29"/>
      <c r="H555" s="30"/>
      <c r="I555" s="29"/>
      <c r="J555" s="30"/>
      <c r="K555" s="30"/>
      <c r="L555" s="29"/>
      <c r="M555" s="32" t="str">
        <f aca="false">IF(OR(C555="",L555=""),"",IF(C555=L555,"同一","変更"))</f>
        <v/>
      </c>
      <c r="N555" s="29"/>
      <c r="O555" s="30"/>
      <c r="P555" s="29"/>
      <c r="Q555" s="31"/>
      <c r="R555" s="29"/>
      <c r="S555" s="29"/>
      <c r="T555" s="30"/>
      <c r="U555" s="47" t="str">
        <f aca="false">IF(AND(B555&lt;&gt;"",B555=SW別シート!$C$3),COUNTIF(B$5:B555,B555),"")</f>
        <v/>
      </c>
      <c r="V555" s="47" t="n">
        <f aca="false">V554+IF(OR(O555&lt;&gt;"",W555&lt;&gt;""),1,0)</f>
        <v>3</v>
      </c>
      <c r="W555" s="29"/>
    </row>
    <row r="556" customFormat="false" ht="15" hidden="false" customHeight="false" outlineLevel="0" collapsed="false">
      <c r="A556" s="32" t="str">
        <f aca="false">IF(B556="","",ROW()-7)</f>
        <v/>
      </c>
      <c r="B556" s="30"/>
      <c r="C556" s="29"/>
      <c r="D556" s="29"/>
      <c r="E556" s="29"/>
      <c r="F556" s="30"/>
      <c r="G556" s="29"/>
      <c r="H556" s="30"/>
      <c r="I556" s="29"/>
      <c r="J556" s="30"/>
      <c r="K556" s="30"/>
      <c r="L556" s="29"/>
      <c r="M556" s="32" t="str">
        <f aca="false">IF(OR(C556="",L556=""),"",IF(C556=L556,"同一","変更"))</f>
        <v/>
      </c>
      <c r="N556" s="29"/>
      <c r="O556" s="30"/>
      <c r="P556" s="29"/>
      <c r="Q556" s="31"/>
      <c r="R556" s="29"/>
      <c r="S556" s="29"/>
      <c r="T556" s="30"/>
      <c r="U556" s="47" t="str">
        <f aca="false">IF(AND(B556&lt;&gt;"",B556=SW別シート!$C$3),COUNTIF(B$5:B556,B556),"")</f>
        <v/>
      </c>
      <c r="V556" s="47" t="n">
        <f aca="false">V555+IF(OR(O556&lt;&gt;"",W556&lt;&gt;""),1,0)</f>
        <v>3</v>
      </c>
      <c r="W556" s="29"/>
    </row>
    <row r="557" customFormat="false" ht="15" hidden="false" customHeight="false" outlineLevel="0" collapsed="false">
      <c r="A557" s="32" t="str">
        <f aca="false">IF(B557="","",ROW()-7)</f>
        <v/>
      </c>
      <c r="B557" s="30"/>
      <c r="C557" s="29"/>
      <c r="D557" s="29"/>
      <c r="E557" s="29"/>
      <c r="F557" s="30"/>
      <c r="G557" s="29"/>
      <c r="H557" s="30"/>
      <c r="I557" s="29"/>
      <c r="J557" s="30"/>
      <c r="K557" s="30"/>
      <c r="L557" s="29"/>
      <c r="M557" s="32" t="str">
        <f aca="false">IF(OR(C557="",L557=""),"",IF(C557=L557,"同一","変更"))</f>
        <v/>
      </c>
      <c r="N557" s="29"/>
      <c r="O557" s="30"/>
      <c r="P557" s="29"/>
      <c r="Q557" s="31"/>
      <c r="R557" s="29"/>
      <c r="S557" s="29"/>
      <c r="T557" s="30"/>
      <c r="U557" s="47" t="str">
        <f aca="false">IF(AND(B557&lt;&gt;"",B557=SW別シート!$C$3),COUNTIF(B$5:B557,B557),"")</f>
        <v/>
      </c>
      <c r="V557" s="47" t="n">
        <f aca="false">V556+IF(OR(O557&lt;&gt;"",W557&lt;&gt;""),1,0)</f>
        <v>3</v>
      </c>
      <c r="W557" s="29"/>
    </row>
    <row r="558" customFormat="false" ht="15" hidden="false" customHeight="false" outlineLevel="0" collapsed="false">
      <c r="A558" s="32" t="str">
        <f aca="false">IF(B558="","",ROW()-7)</f>
        <v/>
      </c>
      <c r="B558" s="30"/>
      <c r="C558" s="29"/>
      <c r="D558" s="29"/>
      <c r="E558" s="29"/>
      <c r="F558" s="30"/>
      <c r="G558" s="29"/>
      <c r="H558" s="30"/>
      <c r="I558" s="29"/>
      <c r="J558" s="30"/>
      <c r="K558" s="30"/>
      <c r="L558" s="29"/>
      <c r="M558" s="32" t="str">
        <f aca="false">IF(OR(C558="",L558=""),"",IF(C558=L558,"同一","変更"))</f>
        <v/>
      </c>
      <c r="N558" s="29"/>
      <c r="O558" s="30"/>
      <c r="P558" s="29"/>
      <c r="Q558" s="31"/>
      <c r="R558" s="29"/>
      <c r="S558" s="29"/>
      <c r="T558" s="30"/>
      <c r="U558" s="47" t="str">
        <f aca="false">IF(AND(B558&lt;&gt;"",B558=SW別シート!$C$3),COUNTIF(B$5:B558,B558),"")</f>
        <v/>
      </c>
      <c r="V558" s="47" t="n">
        <f aca="false">V557+IF(OR(O558&lt;&gt;"",W558&lt;&gt;""),1,0)</f>
        <v>3</v>
      </c>
      <c r="W558" s="29"/>
    </row>
    <row r="559" customFormat="false" ht="15" hidden="false" customHeight="false" outlineLevel="0" collapsed="false">
      <c r="A559" s="32" t="str">
        <f aca="false">IF(B559="","",ROW()-7)</f>
        <v/>
      </c>
      <c r="B559" s="30"/>
      <c r="C559" s="29"/>
      <c r="D559" s="29"/>
      <c r="E559" s="29"/>
      <c r="F559" s="30"/>
      <c r="G559" s="29"/>
      <c r="H559" s="30"/>
      <c r="I559" s="29"/>
      <c r="J559" s="30"/>
      <c r="K559" s="30"/>
      <c r="L559" s="29"/>
      <c r="M559" s="32" t="str">
        <f aca="false">IF(OR(C559="",L559=""),"",IF(C559=L559,"同一","変更"))</f>
        <v/>
      </c>
      <c r="N559" s="29"/>
      <c r="O559" s="30"/>
      <c r="P559" s="29"/>
      <c r="Q559" s="31"/>
      <c r="R559" s="29"/>
      <c r="S559" s="29"/>
      <c r="T559" s="30"/>
      <c r="U559" s="47" t="str">
        <f aca="false">IF(AND(B559&lt;&gt;"",B559=SW別シート!$C$3),COUNTIF(B$5:B559,B559),"")</f>
        <v/>
      </c>
      <c r="V559" s="47" t="n">
        <f aca="false">V558+IF(OR(O559&lt;&gt;"",W559&lt;&gt;""),1,0)</f>
        <v>3</v>
      </c>
      <c r="W559" s="29"/>
    </row>
    <row r="560" customFormat="false" ht="15" hidden="false" customHeight="false" outlineLevel="0" collapsed="false">
      <c r="A560" s="32" t="str">
        <f aca="false">IF(B560="","",ROW()-7)</f>
        <v/>
      </c>
      <c r="B560" s="30"/>
      <c r="C560" s="29"/>
      <c r="D560" s="29"/>
      <c r="E560" s="29"/>
      <c r="F560" s="30"/>
      <c r="G560" s="29"/>
      <c r="H560" s="30"/>
      <c r="I560" s="29"/>
      <c r="J560" s="30"/>
      <c r="K560" s="30"/>
      <c r="L560" s="29"/>
      <c r="M560" s="32" t="str">
        <f aca="false">IF(OR(C560="",L560=""),"",IF(C560=L560,"同一","変更"))</f>
        <v/>
      </c>
      <c r="N560" s="29"/>
      <c r="O560" s="30"/>
      <c r="P560" s="29"/>
      <c r="Q560" s="31"/>
      <c r="R560" s="29"/>
      <c r="S560" s="29"/>
      <c r="T560" s="30"/>
      <c r="U560" s="47" t="str">
        <f aca="false">IF(AND(B560&lt;&gt;"",B560=SW別シート!$C$3),COUNTIF(B$5:B560,B560),"")</f>
        <v/>
      </c>
      <c r="V560" s="47" t="n">
        <f aca="false">V559+IF(OR(O560&lt;&gt;"",W560&lt;&gt;""),1,0)</f>
        <v>3</v>
      </c>
      <c r="W560" s="29"/>
    </row>
    <row r="561" customFormat="false" ht="15" hidden="false" customHeight="false" outlineLevel="0" collapsed="false">
      <c r="A561" s="32" t="str">
        <f aca="false">IF(B561="","",ROW()-7)</f>
        <v/>
      </c>
      <c r="B561" s="30"/>
      <c r="C561" s="29"/>
      <c r="D561" s="29"/>
      <c r="E561" s="29"/>
      <c r="F561" s="30"/>
      <c r="G561" s="29"/>
      <c r="H561" s="30"/>
      <c r="I561" s="29"/>
      <c r="J561" s="30"/>
      <c r="K561" s="30"/>
      <c r="L561" s="29"/>
      <c r="M561" s="32" t="str">
        <f aca="false">IF(OR(C561="",L561=""),"",IF(C561=L561,"同一","変更"))</f>
        <v/>
      </c>
      <c r="N561" s="29"/>
      <c r="O561" s="30"/>
      <c r="P561" s="29"/>
      <c r="Q561" s="31"/>
      <c r="R561" s="29"/>
      <c r="S561" s="29"/>
      <c r="T561" s="30"/>
      <c r="U561" s="47" t="str">
        <f aca="false">IF(AND(B561&lt;&gt;"",B561=SW別シート!$C$3),COUNTIF(B$5:B561,B561),"")</f>
        <v/>
      </c>
      <c r="V561" s="47" t="n">
        <f aca="false">V560+IF(OR(O561&lt;&gt;"",W561&lt;&gt;""),1,0)</f>
        <v>3</v>
      </c>
      <c r="W561" s="29"/>
    </row>
    <row r="562" customFormat="false" ht="15" hidden="false" customHeight="false" outlineLevel="0" collapsed="false">
      <c r="A562" s="32" t="str">
        <f aca="false">IF(B562="","",ROW()-7)</f>
        <v/>
      </c>
      <c r="B562" s="30"/>
      <c r="C562" s="29"/>
      <c r="D562" s="29"/>
      <c r="E562" s="29"/>
      <c r="F562" s="30"/>
      <c r="G562" s="29"/>
      <c r="H562" s="30"/>
      <c r="I562" s="29"/>
      <c r="J562" s="30"/>
      <c r="K562" s="30"/>
      <c r="L562" s="29"/>
      <c r="M562" s="32" t="str">
        <f aca="false">IF(OR(C562="",L562=""),"",IF(C562=L562,"同一","変更"))</f>
        <v/>
      </c>
      <c r="N562" s="29"/>
      <c r="O562" s="30"/>
      <c r="P562" s="29"/>
      <c r="Q562" s="31"/>
      <c r="R562" s="29"/>
      <c r="S562" s="29"/>
      <c r="T562" s="30"/>
      <c r="U562" s="47" t="str">
        <f aca="false">IF(AND(B562&lt;&gt;"",B562=SW別シート!$C$3),COUNTIF(B$5:B562,B562),"")</f>
        <v/>
      </c>
      <c r="V562" s="47" t="n">
        <f aca="false">V561+IF(OR(O562&lt;&gt;"",W562&lt;&gt;""),1,0)</f>
        <v>3</v>
      </c>
      <c r="W562" s="29"/>
    </row>
    <row r="563" customFormat="false" ht="15" hidden="false" customHeight="false" outlineLevel="0" collapsed="false">
      <c r="A563" s="32" t="str">
        <f aca="false">IF(B563="","",ROW()-7)</f>
        <v/>
      </c>
      <c r="B563" s="30"/>
      <c r="C563" s="29"/>
      <c r="D563" s="29"/>
      <c r="E563" s="29"/>
      <c r="F563" s="30"/>
      <c r="G563" s="29"/>
      <c r="H563" s="30"/>
      <c r="I563" s="29"/>
      <c r="J563" s="30"/>
      <c r="K563" s="30"/>
      <c r="L563" s="29"/>
      <c r="M563" s="32" t="str">
        <f aca="false">IF(OR(C563="",L563=""),"",IF(C563=L563,"同一","変更"))</f>
        <v/>
      </c>
      <c r="N563" s="29"/>
      <c r="O563" s="30"/>
      <c r="P563" s="29"/>
      <c r="Q563" s="31"/>
      <c r="R563" s="29"/>
      <c r="S563" s="29"/>
      <c r="T563" s="30"/>
      <c r="U563" s="47" t="str">
        <f aca="false">IF(AND(B563&lt;&gt;"",B563=SW別シート!$C$3),COUNTIF(B$5:B563,B563),"")</f>
        <v/>
      </c>
      <c r="V563" s="47" t="n">
        <f aca="false">V562+IF(OR(O563&lt;&gt;"",W563&lt;&gt;""),1,0)</f>
        <v>3</v>
      </c>
      <c r="W563" s="29"/>
    </row>
    <row r="564" customFormat="false" ht="15" hidden="false" customHeight="false" outlineLevel="0" collapsed="false">
      <c r="A564" s="32" t="str">
        <f aca="false">IF(B564="","",ROW()-7)</f>
        <v/>
      </c>
      <c r="B564" s="30"/>
      <c r="C564" s="29"/>
      <c r="D564" s="29"/>
      <c r="E564" s="29"/>
      <c r="F564" s="30"/>
      <c r="G564" s="29"/>
      <c r="H564" s="30"/>
      <c r="I564" s="29"/>
      <c r="J564" s="30"/>
      <c r="K564" s="30"/>
      <c r="L564" s="29"/>
      <c r="M564" s="32" t="str">
        <f aca="false">IF(OR(C564="",L564=""),"",IF(C564=L564,"同一","変更"))</f>
        <v/>
      </c>
      <c r="N564" s="29"/>
      <c r="O564" s="30"/>
      <c r="P564" s="29"/>
      <c r="Q564" s="31"/>
      <c r="R564" s="29"/>
      <c r="S564" s="29"/>
      <c r="T564" s="30"/>
      <c r="U564" s="47" t="str">
        <f aca="false">IF(AND(B564&lt;&gt;"",B564=SW別シート!$C$3),COUNTIF(B$5:B564,B564),"")</f>
        <v/>
      </c>
      <c r="V564" s="47" t="n">
        <f aca="false">V563+IF(OR(O564&lt;&gt;"",W564&lt;&gt;""),1,0)</f>
        <v>3</v>
      </c>
      <c r="W564" s="29"/>
    </row>
    <row r="565" customFormat="false" ht="15" hidden="false" customHeight="false" outlineLevel="0" collapsed="false">
      <c r="A565" s="32" t="str">
        <f aca="false">IF(B565="","",ROW()-7)</f>
        <v/>
      </c>
      <c r="B565" s="30"/>
      <c r="C565" s="29"/>
      <c r="D565" s="29"/>
      <c r="E565" s="29"/>
      <c r="F565" s="30"/>
      <c r="G565" s="29"/>
      <c r="H565" s="30"/>
      <c r="I565" s="29"/>
      <c r="J565" s="30"/>
      <c r="K565" s="30"/>
      <c r="L565" s="29"/>
      <c r="M565" s="32" t="str">
        <f aca="false">IF(OR(C565="",L565=""),"",IF(C565=L565,"同一","変更"))</f>
        <v/>
      </c>
      <c r="N565" s="29"/>
      <c r="O565" s="30"/>
      <c r="P565" s="29"/>
      <c r="Q565" s="31"/>
      <c r="R565" s="29"/>
      <c r="S565" s="29"/>
      <c r="T565" s="30"/>
      <c r="U565" s="47" t="str">
        <f aca="false">IF(AND(B565&lt;&gt;"",B565=SW別シート!$C$3),COUNTIF(B$5:B565,B565),"")</f>
        <v/>
      </c>
      <c r="V565" s="47" t="n">
        <f aca="false">V564+IF(OR(O565&lt;&gt;"",W565&lt;&gt;""),1,0)</f>
        <v>3</v>
      </c>
      <c r="W565" s="29"/>
    </row>
    <row r="566" customFormat="false" ht="15" hidden="false" customHeight="false" outlineLevel="0" collapsed="false">
      <c r="A566" s="32" t="str">
        <f aca="false">IF(B566="","",ROW()-7)</f>
        <v/>
      </c>
      <c r="B566" s="30"/>
      <c r="C566" s="29"/>
      <c r="D566" s="29"/>
      <c r="E566" s="29"/>
      <c r="F566" s="30"/>
      <c r="G566" s="29"/>
      <c r="H566" s="30"/>
      <c r="I566" s="29"/>
      <c r="J566" s="30"/>
      <c r="K566" s="30"/>
      <c r="L566" s="29"/>
      <c r="M566" s="32" t="str">
        <f aca="false">IF(OR(C566="",L566=""),"",IF(C566=L566,"同一","変更"))</f>
        <v/>
      </c>
      <c r="N566" s="29"/>
      <c r="O566" s="30"/>
      <c r="P566" s="29"/>
      <c r="Q566" s="31"/>
      <c r="R566" s="29"/>
      <c r="S566" s="29"/>
      <c r="T566" s="30"/>
      <c r="U566" s="47" t="str">
        <f aca="false">IF(AND(B566&lt;&gt;"",B566=SW別シート!$C$3),COUNTIF(B$5:B566,B566),"")</f>
        <v/>
      </c>
      <c r="V566" s="47" t="n">
        <f aca="false">V565+IF(OR(O566&lt;&gt;"",W566&lt;&gt;""),1,0)</f>
        <v>3</v>
      </c>
      <c r="W566" s="29"/>
    </row>
    <row r="567" customFormat="false" ht="15" hidden="false" customHeight="false" outlineLevel="0" collapsed="false">
      <c r="A567" s="32" t="str">
        <f aca="false">IF(B567="","",ROW()-7)</f>
        <v/>
      </c>
      <c r="B567" s="30"/>
      <c r="C567" s="29"/>
      <c r="D567" s="29"/>
      <c r="E567" s="29"/>
      <c r="F567" s="30"/>
      <c r="G567" s="29"/>
      <c r="H567" s="30"/>
      <c r="I567" s="29"/>
      <c r="J567" s="30"/>
      <c r="K567" s="30"/>
      <c r="L567" s="29"/>
      <c r="M567" s="32" t="str">
        <f aca="false">IF(OR(C567="",L567=""),"",IF(C567=L567,"同一","変更"))</f>
        <v/>
      </c>
      <c r="N567" s="29"/>
      <c r="O567" s="30"/>
      <c r="P567" s="29"/>
      <c r="Q567" s="31"/>
      <c r="R567" s="29"/>
      <c r="S567" s="29"/>
      <c r="T567" s="30"/>
      <c r="U567" s="47" t="str">
        <f aca="false">IF(AND(B567&lt;&gt;"",B567=SW別シート!$C$3),COUNTIF(B$5:B567,B567),"")</f>
        <v/>
      </c>
      <c r="V567" s="47" t="n">
        <f aca="false">V566+IF(OR(O567&lt;&gt;"",W567&lt;&gt;""),1,0)</f>
        <v>3</v>
      </c>
      <c r="W567" s="29"/>
    </row>
    <row r="568" customFormat="false" ht="15" hidden="false" customHeight="false" outlineLevel="0" collapsed="false">
      <c r="A568" s="32" t="str">
        <f aca="false">IF(B568="","",ROW()-7)</f>
        <v/>
      </c>
      <c r="B568" s="30"/>
      <c r="C568" s="29"/>
      <c r="D568" s="29"/>
      <c r="E568" s="29"/>
      <c r="F568" s="30"/>
      <c r="G568" s="29"/>
      <c r="H568" s="30"/>
      <c r="I568" s="29"/>
      <c r="J568" s="30"/>
      <c r="K568" s="30"/>
      <c r="L568" s="29"/>
      <c r="M568" s="32" t="str">
        <f aca="false">IF(OR(C568="",L568=""),"",IF(C568=L568,"同一","変更"))</f>
        <v/>
      </c>
      <c r="N568" s="29"/>
      <c r="O568" s="30"/>
      <c r="P568" s="29"/>
      <c r="Q568" s="31"/>
      <c r="R568" s="29"/>
      <c r="S568" s="29"/>
      <c r="T568" s="30"/>
      <c r="U568" s="47" t="str">
        <f aca="false">IF(AND(B568&lt;&gt;"",B568=SW別シート!$C$3),COUNTIF(B$5:B568,B568),"")</f>
        <v/>
      </c>
      <c r="V568" s="47" t="n">
        <f aca="false">V567+IF(OR(O568&lt;&gt;"",W568&lt;&gt;""),1,0)</f>
        <v>3</v>
      </c>
      <c r="W568" s="29"/>
    </row>
    <row r="569" customFormat="false" ht="15" hidden="false" customHeight="false" outlineLevel="0" collapsed="false">
      <c r="A569" s="32" t="str">
        <f aca="false">IF(B569="","",ROW()-7)</f>
        <v/>
      </c>
      <c r="B569" s="30"/>
      <c r="C569" s="29"/>
      <c r="D569" s="29"/>
      <c r="E569" s="29"/>
      <c r="F569" s="30"/>
      <c r="G569" s="29"/>
      <c r="H569" s="30"/>
      <c r="I569" s="29"/>
      <c r="J569" s="30"/>
      <c r="K569" s="30"/>
      <c r="L569" s="29"/>
      <c r="M569" s="32" t="str">
        <f aca="false">IF(OR(C569="",L569=""),"",IF(C569=L569,"同一","変更"))</f>
        <v/>
      </c>
      <c r="N569" s="29"/>
      <c r="O569" s="30"/>
      <c r="P569" s="29"/>
      <c r="Q569" s="31"/>
      <c r="R569" s="29"/>
      <c r="S569" s="29"/>
      <c r="T569" s="30"/>
      <c r="U569" s="47" t="str">
        <f aca="false">IF(AND(B569&lt;&gt;"",B569=SW別シート!$C$3),COUNTIF(B$5:B569,B569),"")</f>
        <v/>
      </c>
      <c r="V569" s="47" t="n">
        <f aca="false">V568+IF(OR(O569&lt;&gt;"",W569&lt;&gt;""),1,0)</f>
        <v>3</v>
      </c>
      <c r="W569" s="29"/>
    </row>
    <row r="570" customFormat="false" ht="15" hidden="false" customHeight="false" outlineLevel="0" collapsed="false">
      <c r="A570" s="32" t="str">
        <f aca="false">IF(B570="","",ROW()-7)</f>
        <v/>
      </c>
      <c r="B570" s="30"/>
      <c r="C570" s="29"/>
      <c r="D570" s="29"/>
      <c r="E570" s="29"/>
      <c r="F570" s="30"/>
      <c r="G570" s="29"/>
      <c r="H570" s="30"/>
      <c r="I570" s="29"/>
      <c r="J570" s="30"/>
      <c r="K570" s="30"/>
      <c r="L570" s="29"/>
      <c r="M570" s="32" t="str">
        <f aca="false">IF(OR(C570="",L570=""),"",IF(C570=L570,"同一","変更"))</f>
        <v/>
      </c>
      <c r="N570" s="29"/>
      <c r="O570" s="30"/>
      <c r="P570" s="29"/>
      <c r="Q570" s="31"/>
      <c r="R570" s="29"/>
      <c r="S570" s="29"/>
      <c r="T570" s="30"/>
      <c r="U570" s="47" t="str">
        <f aca="false">IF(AND(B570&lt;&gt;"",B570=SW別シート!$C$3),COUNTIF(B$5:B570,B570),"")</f>
        <v/>
      </c>
      <c r="V570" s="47" t="n">
        <f aca="false">V569+IF(OR(O570&lt;&gt;"",W570&lt;&gt;""),1,0)</f>
        <v>3</v>
      </c>
      <c r="W570" s="29"/>
    </row>
    <row r="571" customFormat="false" ht="15" hidden="false" customHeight="false" outlineLevel="0" collapsed="false">
      <c r="A571" s="32" t="str">
        <f aca="false">IF(B571="","",ROW()-7)</f>
        <v/>
      </c>
      <c r="B571" s="30"/>
      <c r="C571" s="29"/>
      <c r="D571" s="29"/>
      <c r="E571" s="29"/>
      <c r="F571" s="30"/>
      <c r="G571" s="29"/>
      <c r="H571" s="30"/>
      <c r="I571" s="29"/>
      <c r="J571" s="30"/>
      <c r="K571" s="30"/>
      <c r="L571" s="29"/>
      <c r="M571" s="32" t="str">
        <f aca="false">IF(OR(C571="",L571=""),"",IF(C571=L571,"同一","変更"))</f>
        <v/>
      </c>
      <c r="N571" s="29"/>
      <c r="O571" s="30"/>
      <c r="P571" s="29"/>
      <c r="Q571" s="31"/>
      <c r="R571" s="29"/>
      <c r="S571" s="29"/>
      <c r="T571" s="30"/>
      <c r="U571" s="47" t="str">
        <f aca="false">IF(AND(B571&lt;&gt;"",B571=SW別シート!$C$3),COUNTIF(B$5:B571,B571),"")</f>
        <v/>
      </c>
      <c r="V571" s="47" t="n">
        <f aca="false">V570+IF(OR(O571&lt;&gt;"",W571&lt;&gt;""),1,0)</f>
        <v>3</v>
      </c>
      <c r="W571" s="29"/>
    </row>
    <row r="572" customFormat="false" ht="15" hidden="false" customHeight="false" outlineLevel="0" collapsed="false">
      <c r="A572" s="32" t="str">
        <f aca="false">IF(B572="","",ROW()-7)</f>
        <v/>
      </c>
      <c r="B572" s="30"/>
      <c r="C572" s="29"/>
      <c r="D572" s="29"/>
      <c r="E572" s="29"/>
      <c r="F572" s="30"/>
      <c r="G572" s="29"/>
      <c r="H572" s="30"/>
      <c r="I572" s="29"/>
      <c r="J572" s="30"/>
      <c r="K572" s="30"/>
      <c r="L572" s="29"/>
      <c r="M572" s="32" t="str">
        <f aca="false">IF(OR(C572="",L572=""),"",IF(C572=L572,"同一","変更"))</f>
        <v/>
      </c>
      <c r="N572" s="29"/>
      <c r="O572" s="30"/>
      <c r="P572" s="29"/>
      <c r="Q572" s="31"/>
      <c r="R572" s="29"/>
      <c r="S572" s="29"/>
      <c r="T572" s="30"/>
      <c r="U572" s="47" t="str">
        <f aca="false">IF(AND(B572&lt;&gt;"",B572=SW別シート!$C$3),COUNTIF(B$5:B572,B572),"")</f>
        <v/>
      </c>
      <c r="V572" s="47" t="n">
        <f aca="false">V571+IF(OR(O572&lt;&gt;"",W572&lt;&gt;""),1,0)</f>
        <v>3</v>
      </c>
      <c r="W572" s="29"/>
    </row>
    <row r="573" customFormat="false" ht="15" hidden="false" customHeight="false" outlineLevel="0" collapsed="false">
      <c r="A573" s="32" t="str">
        <f aca="false">IF(B573="","",ROW()-7)</f>
        <v/>
      </c>
      <c r="B573" s="30"/>
      <c r="C573" s="29"/>
      <c r="D573" s="29"/>
      <c r="E573" s="29"/>
      <c r="F573" s="30"/>
      <c r="G573" s="29"/>
      <c r="H573" s="30"/>
      <c r="I573" s="29"/>
      <c r="J573" s="30"/>
      <c r="K573" s="30"/>
      <c r="L573" s="29"/>
      <c r="M573" s="32" t="str">
        <f aca="false">IF(OR(C573="",L573=""),"",IF(C573=L573,"同一","変更"))</f>
        <v/>
      </c>
      <c r="N573" s="29"/>
      <c r="O573" s="30"/>
      <c r="P573" s="29"/>
      <c r="Q573" s="31"/>
      <c r="R573" s="29"/>
      <c r="S573" s="29"/>
      <c r="T573" s="30"/>
      <c r="U573" s="47" t="str">
        <f aca="false">IF(AND(B573&lt;&gt;"",B573=SW別シート!$C$3),COUNTIF(B$5:B573,B573),"")</f>
        <v/>
      </c>
      <c r="V573" s="47" t="n">
        <f aca="false">V572+IF(OR(O573&lt;&gt;"",W573&lt;&gt;""),1,0)</f>
        <v>3</v>
      </c>
      <c r="W573" s="29"/>
    </row>
    <row r="574" customFormat="false" ht="15" hidden="false" customHeight="false" outlineLevel="0" collapsed="false">
      <c r="A574" s="32" t="str">
        <f aca="false">IF(B574="","",ROW()-7)</f>
        <v/>
      </c>
      <c r="B574" s="30"/>
      <c r="C574" s="29"/>
      <c r="D574" s="29"/>
      <c r="E574" s="29"/>
      <c r="F574" s="30"/>
      <c r="G574" s="29"/>
      <c r="H574" s="30"/>
      <c r="I574" s="29"/>
      <c r="J574" s="30"/>
      <c r="K574" s="30"/>
      <c r="L574" s="29"/>
      <c r="M574" s="32" t="str">
        <f aca="false">IF(OR(C574="",L574=""),"",IF(C574=L574,"同一","変更"))</f>
        <v/>
      </c>
      <c r="N574" s="29"/>
      <c r="O574" s="30"/>
      <c r="P574" s="29"/>
      <c r="Q574" s="31"/>
      <c r="R574" s="29"/>
      <c r="S574" s="29"/>
      <c r="T574" s="30"/>
      <c r="U574" s="47" t="str">
        <f aca="false">IF(AND(B574&lt;&gt;"",B574=SW別シート!$C$3),COUNTIF(B$5:B574,B574),"")</f>
        <v/>
      </c>
      <c r="V574" s="47" t="n">
        <f aca="false">V573+IF(OR(O574&lt;&gt;"",W574&lt;&gt;""),1,0)</f>
        <v>3</v>
      </c>
      <c r="W574" s="29"/>
    </row>
    <row r="575" customFormat="false" ht="15" hidden="false" customHeight="false" outlineLevel="0" collapsed="false">
      <c r="A575" s="32" t="str">
        <f aca="false">IF(B575="","",ROW()-7)</f>
        <v/>
      </c>
      <c r="B575" s="30"/>
      <c r="C575" s="29"/>
      <c r="D575" s="29"/>
      <c r="E575" s="29"/>
      <c r="F575" s="30"/>
      <c r="G575" s="29"/>
      <c r="H575" s="30"/>
      <c r="I575" s="29"/>
      <c r="J575" s="30"/>
      <c r="K575" s="30"/>
      <c r="L575" s="29"/>
      <c r="M575" s="32" t="str">
        <f aca="false">IF(OR(C575="",L575=""),"",IF(C575=L575,"同一","変更"))</f>
        <v/>
      </c>
      <c r="N575" s="29"/>
      <c r="O575" s="30"/>
      <c r="P575" s="29"/>
      <c r="Q575" s="31"/>
      <c r="R575" s="29"/>
      <c r="S575" s="29"/>
      <c r="T575" s="30"/>
      <c r="U575" s="47" t="str">
        <f aca="false">IF(AND(B575&lt;&gt;"",B575=SW別シート!$C$3),COUNTIF(B$5:B575,B575),"")</f>
        <v/>
      </c>
      <c r="V575" s="47" t="n">
        <f aca="false">V574+IF(OR(O575&lt;&gt;"",W575&lt;&gt;""),1,0)</f>
        <v>3</v>
      </c>
      <c r="W575" s="29"/>
    </row>
    <row r="576" customFormat="false" ht="15" hidden="false" customHeight="false" outlineLevel="0" collapsed="false">
      <c r="A576" s="32" t="str">
        <f aca="false">IF(B576="","",ROW()-7)</f>
        <v/>
      </c>
      <c r="B576" s="30"/>
      <c r="C576" s="29"/>
      <c r="D576" s="29"/>
      <c r="E576" s="29"/>
      <c r="F576" s="30"/>
      <c r="G576" s="29"/>
      <c r="H576" s="30"/>
      <c r="I576" s="29"/>
      <c r="J576" s="30"/>
      <c r="K576" s="30"/>
      <c r="L576" s="29"/>
      <c r="M576" s="32" t="str">
        <f aca="false">IF(OR(C576="",L576=""),"",IF(C576=L576,"同一","変更"))</f>
        <v/>
      </c>
      <c r="N576" s="29"/>
      <c r="O576" s="30"/>
      <c r="P576" s="29"/>
      <c r="Q576" s="31"/>
      <c r="R576" s="29"/>
      <c r="S576" s="29"/>
      <c r="T576" s="30"/>
      <c r="U576" s="47" t="str">
        <f aca="false">IF(AND(B576&lt;&gt;"",B576=SW別シート!$C$3),COUNTIF(B$5:B576,B576),"")</f>
        <v/>
      </c>
      <c r="V576" s="47" t="n">
        <f aca="false">V575+IF(OR(O576&lt;&gt;"",W576&lt;&gt;""),1,0)</f>
        <v>3</v>
      </c>
      <c r="W576" s="29"/>
    </row>
    <row r="577" customFormat="false" ht="15" hidden="false" customHeight="false" outlineLevel="0" collapsed="false">
      <c r="A577" s="32" t="str">
        <f aca="false">IF(B577="","",ROW()-7)</f>
        <v/>
      </c>
      <c r="B577" s="30"/>
      <c r="C577" s="29"/>
      <c r="D577" s="29"/>
      <c r="E577" s="29"/>
      <c r="F577" s="30"/>
      <c r="G577" s="29"/>
      <c r="H577" s="30"/>
      <c r="I577" s="29"/>
      <c r="J577" s="30"/>
      <c r="K577" s="30"/>
      <c r="L577" s="29"/>
      <c r="M577" s="32" t="str">
        <f aca="false">IF(OR(C577="",L577=""),"",IF(C577=L577,"同一","変更"))</f>
        <v/>
      </c>
      <c r="N577" s="29"/>
      <c r="O577" s="30"/>
      <c r="P577" s="29"/>
      <c r="Q577" s="31"/>
      <c r="R577" s="29"/>
      <c r="S577" s="29"/>
      <c r="T577" s="30"/>
      <c r="U577" s="47" t="str">
        <f aca="false">IF(AND(B577&lt;&gt;"",B577=SW別シート!$C$3),COUNTIF(B$5:B577,B577),"")</f>
        <v/>
      </c>
      <c r="V577" s="47" t="n">
        <f aca="false">V576+IF(OR(O577&lt;&gt;"",W577&lt;&gt;""),1,0)</f>
        <v>3</v>
      </c>
      <c r="W577" s="29"/>
    </row>
    <row r="578" customFormat="false" ht="15" hidden="false" customHeight="false" outlineLevel="0" collapsed="false">
      <c r="A578" s="32" t="str">
        <f aca="false">IF(B578="","",ROW()-7)</f>
        <v/>
      </c>
      <c r="B578" s="30"/>
      <c r="C578" s="29"/>
      <c r="D578" s="29"/>
      <c r="E578" s="29"/>
      <c r="F578" s="30"/>
      <c r="G578" s="29"/>
      <c r="H578" s="30"/>
      <c r="I578" s="29"/>
      <c r="J578" s="30"/>
      <c r="K578" s="30"/>
      <c r="L578" s="29"/>
      <c r="M578" s="32" t="str">
        <f aca="false">IF(OR(C578="",L578=""),"",IF(C578=L578,"同一","変更"))</f>
        <v/>
      </c>
      <c r="N578" s="29"/>
      <c r="O578" s="30"/>
      <c r="P578" s="29"/>
      <c r="Q578" s="31"/>
      <c r="R578" s="29"/>
      <c r="S578" s="29"/>
      <c r="T578" s="30"/>
      <c r="U578" s="47" t="str">
        <f aca="false">IF(AND(B578&lt;&gt;"",B578=SW別シート!$C$3),COUNTIF(B$5:B578,B578),"")</f>
        <v/>
      </c>
      <c r="V578" s="47" t="n">
        <f aca="false">V577+IF(OR(O578&lt;&gt;"",W578&lt;&gt;""),1,0)</f>
        <v>3</v>
      </c>
      <c r="W578" s="29"/>
    </row>
    <row r="579" customFormat="false" ht="15" hidden="false" customHeight="false" outlineLevel="0" collapsed="false">
      <c r="A579" s="32" t="str">
        <f aca="false">IF(B579="","",ROW()-7)</f>
        <v/>
      </c>
      <c r="B579" s="30"/>
      <c r="C579" s="29"/>
      <c r="D579" s="29"/>
      <c r="E579" s="29"/>
      <c r="F579" s="30"/>
      <c r="G579" s="29"/>
      <c r="H579" s="30"/>
      <c r="I579" s="29"/>
      <c r="J579" s="30"/>
      <c r="K579" s="30"/>
      <c r="L579" s="29"/>
      <c r="M579" s="32" t="str">
        <f aca="false">IF(OR(C579="",L579=""),"",IF(C579=L579,"同一","変更"))</f>
        <v/>
      </c>
      <c r="N579" s="29"/>
      <c r="O579" s="30"/>
      <c r="P579" s="29"/>
      <c r="Q579" s="31"/>
      <c r="R579" s="29"/>
      <c r="S579" s="29"/>
      <c r="T579" s="30"/>
      <c r="U579" s="47" t="str">
        <f aca="false">IF(AND(B579&lt;&gt;"",B579=SW別シート!$C$3),COUNTIF(B$5:B579,B579),"")</f>
        <v/>
      </c>
      <c r="V579" s="47" t="n">
        <f aca="false">V578+IF(OR(O579&lt;&gt;"",W579&lt;&gt;""),1,0)</f>
        <v>3</v>
      </c>
      <c r="W579" s="29"/>
    </row>
    <row r="580" customFormat="false" ht="15" hidden="false" customHeight="false" outlineLevel="0" collapsed="false">
      <c r="A580" s="32" t="str">
        <f aca="false">IF(B580="","",ROW()-7)</f>
        <v/>
      </c>
      <c r="B580" s="30"/>
      <c r="C580" s="29"/>
      <c r="D580" s="29"/>
      <c r="E580" s="29"/>
      <c r="F580" s="30"/>
      <c r="G580" s="29"/>
      <c r="H580" s="30"/>
      <c r="I580" s="29"/>
      <c r="J580" s="30"/>
      <c r="K580" s="30"/>
      <c r="L580" s="29"/>
      <c r="M580" s="32" t="str">
        <f aca="false">IF(OR(C580="",L580=""),"",IF(C580=L580,"同一","変更"))</f>
        <v/>
      </c>
      <c r="N580" s="29"/>
      <c r="O580" s="30"/>
      <c r="P580" s="29"/>
      <c r="Q580" s="31"/>
      <c r="R580" s="29"/>
      <c r="S580" s="29"/>
      <c r="T580" s="30"/>
      <c r="U580" s="47" t="str">
        <f aca="false">IF(AND(B580&lt;&gt;"",B580=SW別シート!$C$3),COUNTIF(B$5:B580,B580),"")</f>
        <v/>
      </c>
      <c r="V580" s="47" t="n">
        <f aca="false">V579+IF(OR(O580&lt;&gt;"",W580&lt;&gt;""),1,0)</f>
        <v>3</v>
      </c>
      <c r="W580" s="29"/>
    </row>
    <row r="581" customFormat="false" ht="15" hidden="false" customHeight="false" outlineLevel="0" collapsed="false">
      <c r="A581" s="32" t="str">
        <f aca="false">IF(B581="","",ROW()-7)</f>
        <v/>
      </c>
      <c r="B581" s="30"/>
      <c r="C581" s="29"/>
      <c r="D581" s="29"/>
      <c r="E581" s="29"/>
      <c r="F581" s="30"/>
      <c r="G581" s="29"/>
      <c r="H581" s="30"/>
      <c r="I581" s="29"/>
      <c r="J581" s="30"/>
      <c r="K581" s="30"/>
      <c r="L581" s="29"/>
      <c r="M581" s="32" t="str">
        <f aca="false">IF(OR(C581="",L581=""),"",IF(C581=L581,"同一","変更"))</f>
        <v/>
      </c>
      <c r="N581" s="29"/>
      <c r="O581" s="30"/>
      <c r="P581" s="29"/>
      <c r="Q581" s="31"/>
      <c r="R581" s="29"/>
      <c r="S581" s="29"/>
      <c r="T581" s="30"/>
      <c r="U581" s="47" t="str">
        <f aca="false">IF(AND(B581&lt;&gt;"",B581=SW別シート!$C$3),COUNTIF(B$5:B581,B581),"")</f>
        <v/>
      </c>
      <c r="V581" s="47" t="n">
        <f aca="false">V580+IF(OR(O581&lt;&gt;"",W581&lt;&gt;""),1,0)</f>
        <v>3</v>
      </c>
      <c r="W581" s="29"/>
    </row>
    <row r="582" customFormat="false" ht="15" hidden="false" customHeight="false" outlineLevel="0" collapsed="false">
      <c r="A582" s="32" t="str">
        <f aca="false">IF(B582="","",ROW()-7)</f>
        <v/>
      </c>
      <c r="B582" s="30"/>
      <c r="C582" s="29"/>
      <c r="D582" s="29"/>
      <c r="E582" s="29"/>
      <c r="F582" s="30"/>
      <c r="G582" s="29"/>
      <c r="H582" s="30"/>
      <c r="I582" s="29"/>
      <c r="J582" s="30"/>
      <c r="K582" s="30"/>
      <c r="L582" s="29"/>
      <c r="M582" s="32" t="str">
        <f aca="false">IF(OR(C582="",L582=""),"",IF(C582=L582,"同一","変更"))</f>
        <v/>
      </c>
      <c r="N582" s="29"/>
      <c r="O582" s="30"/>
      <c r="P582" s="29"/>
      <c r="Q582" s="31"/>
      <c r="R582" s="29"/>
      <c r="S582" s="29"/>
      <c r="T582" s="30"/>
      <c r="U582" s="47" t="str">
        <f aca="false">IF(AND(B582&lt;&gt;"",B582=SW別シート!$C$3),COUNTIF(B$5:B582,B582),"")</f>
        <v/>
      </c>
      <c r="V582" s="47" t="n">
        <f aca="false">V581+IF(OR(O582&lt;&gt;"",W582&lt;&gt;""),1,0)</f>
        <v>3</v>
      </c>
      <c r="W582" s="29"/>
    </row>
    <row r="583" customFormat="false" ht="15" hidden="false" customHeight="false" outlineLevel="0" collapsed="false">
      <c r="A583" s="32" t="str">
        <f aca="false">IF(B583="","",ROW()-7)</f>
        <v/>
      </c>
      <c r="B583" s="30"/>
      <c r="C583" s="29"/>
      <c r="D583" s="29"/>
      <c r="E583" s="29"/>
      <c r="F583" s="30"/>
      <c r="G583" s="29"/>
      <c r="H583" s="30"/>
      <c r="I583" s="29"/>
      <c r="J583" s="30"/>
      <c r="K583" s="30"/>
      <c r="L583" s="29"/>
      <c r="M583" s="32" t="str">
        <f aca="false">IF(OR(C583="",L583=""),"",IF(C583=L583,"同一","変更"))</f>
        <v/>
      </c>
      <c r="N583" s="29"/>
      <c r="O583" s="30"/>
      <c r="P583" s="29"/>
      <c r="Q583" s="31"/>
      <c r="R583" s="29"/>
      <c r="S583" s="29"/>
      <c r="T583" s="30"/>
      <c r="U583" s="47" t="str">
        <f aca="false">IF(AND(B583&lt;&gt;"",B583=SW別シート!$C$3),COUNTIF(B$5:B583,B583),"")</f>
        <v/>
      </c>
      <c r="V583" s="47" t="n">
        <f aca="false">V582+IF(OR(O583&lt;&gt;"",W583&lt;&gt;""),1,0)</f>
        <v>3</v>
      </c>
      <c r="W583" s="29"/>
    </row>
    <row r="584" customFormat="false" ht="15" hidden="false" customHeight="false" outlineLevel="0" collapsed="false">
      <c r="A584" s="32" t="str">
        <f aca="false">IF(B584="","",ROW()-7)</f>
        <v/>
      </c>
      <c r="B584" s="30"/>
      <c r="C584" s="29"/>
      <c r="D584" s="29"/>
      <c r="E584" s="29"/>
      <c r="F584" s="30"/>
      <c r="G584" s="29"/>
      <c r="H584" s="30"/>
      <c r="I584" s="29"/>
      <c r="J584" s="30"/>
      <c r="K584" s="30"/>
      <c r="L584" s="29"/>
      <c r="M584" s="32" t="str">
        <f aca="false">IF(OR(C584="",L584=""),"",IF(C584=L584,"同一","変更"))</f>
        <v/>
      </c>
      <c r="N584" s="29"/>
      <c r="O584" s="30"/>
      <c r="P584" s="29"/>
      <c r="Q584" s="31"/>
      <c r="R584" s="29"/>
      <c r="S584" s="29"/>
      <c r="T584" s="30"/>
      <c r="U584" s="47" t="str">
        <f aca="false">IF(AND(B584&lt;&gt;"",B584=SW別シート!$C$3),COUNTIF(B$5:B584,B584),"")</f>
        <v/>
      </c>
      <c r="V584" s="47" t="n">
        <f aca="false">V583+IF(OR(O584&lt;&gt;"",W584&lt;&gt;""),1,0)</f>
        <v>3</v>
      </c>
      <c r="W584" s="29"/>
    </row>
    <row r="585" customFormat="false" ht="15" hidden="false" customHeight="false" outlineLevel="0" collapsed="false">
      <c r="A585" s="32" t="str">
        <f aca="false">IF(B585="","",ROW()-7)</f>
        <v/>
      </c>
      <c r="B585" s="30"/>
      <c r="C585" s="29"/>
      <c r="D585" s="29"/>
      <c r="E585" s="29"/>
      <c r="F585" s="30"/>
      <c r="G585" s="29"/>
      <c r="H585" s="30"/>
      <c r="I585" s="29"/>
      <c r="J585" s="30"/>
      <c r="K585" s="30"/>
      <c r="L585" s="29"/>
      <c r="M585" s="32" t="str">
        <f aca="false">IF(OR(C585="",L585=""),"",IF(C585=L585,"同一","変更"))</f>
        <v/>
      </c>
      <c r="N585" s="29"/>
      <c r="O585" s="30"/>
      <c r="P585" s="29"/>
      <c r="Q585" s="31"/>
      <c r="R585" s="29"/>
      <c r="S585" s="29"/>
      <c r="T585" s="30"/>
      <c r="U585" s="47" t="str">
        <f aca="false">IF(AND(B585&lt;&gt;"",B585=SW別シート!$C$3),COUNTIF(B$5:B585,B585),"")</f>
        <v/>
      </c>
      <c r="V585" s="47" t="n">
        <f aca="false">V584+IF(OR(O585&lt;&gt;"",W585&lt;&gt;""),1,0)</f>
        <v>3</v>
      </c>
      <c r="W585" s="29"/>
    </row>
    <row r="586" customFormat="false" ht="15" hidden="false" customHeight="false" outlineLevel="0" collapsed="false">
      <c r="A586" s="32" t="str">
        <f aca="false">IF(B586="","",ROW()-7)</f>
        <v/>
      </c>
      <c r="B586" s="30"/>
      <c r="C586" s="29"/>
      <c r="D586" s="29"/>
      <c r="E586" s="29"/>
      <c r="F586" s="30"/>
      <c r="G586" s="29"/>
      <c r="H586" s="30"/>
      <c r="I586" s="29"/>
      <c r="J586" s="30"/>
      <c r="K586" s="30"/>
      <c r="L586" s="29"/>
      <c r="M586" s="32" t="str">
        <f aca="false">IF(OR(C586="",L586=""),"",IF(C586=L586,"同一","変更"))</f>
        <v/>
      </c>
      <c r="N586" s="29"/>
      <c r="O586" s="30"/>
      <c r="P586" s="29"/>
      <c r="Q586" s="31"/>
      <c r="R586" s="29"/>
      <c r="S586" s="29"/>
      <c r="T586" s="30"/>
      <c r="U586" s="47" t="str">
        <f aca="false">IF(AND(B586&lt;&gt;"",B586=SW別シート!$C$3),COUNTIF(B$5:B586,B586),"")</f>
        <v/>
      </c>
      <c r="V586" s="47" t="n">
        <f aca="false">V585+IF(OR(O586&lt;&gt;"",W586&lt;&gt;""),1,0)</f>
        <v>3</v>
      </c>
      <c r="W586" s="29"/>
    </row>
    <row r="587" customFormat="false" ht="15" hidden="false" customHeight="false" outlineLevel="0" collapsed="false">
      <c r="A587" s="32" t="str">
        <f aca="false">IF(B587="","",ROW()-7)</f>
        <v/>
      </c>
      <c r="B587" s="30"/>
      <c r="C587" s="29"/>
      <c r="D587" s="29"/>
      <c r="E587" s="29"/>
      <c r="F587" s="30"/>
      <c r="G587" s="29"/>
      <c r="H587" s="30"/>
      <c r="I587" s="29"/>
      <c r="J587" s="30"/>
      <c r="K587" s="30"/>
      <c r="L587" s="29"/>
      <c r="M587" s="32" t="str">
        <f aca="false">IF(OR(C587="",L587=""),"",IF(C587=L587,"同一","変更"))</f>
        <v/>
      </c>
      <c r="N587" s="29"/>
      <c r="O587" s="30"/>
      <c r="P587" s="29"/>
      <c r="Q587" s="31"/>
      <c r="R587" s="29"/>
      <c r="S587" s="29"/>
      <c r="T587" s="30"/>
      <c r="U587" s="47" t="str">
        <f aca="false">IF(AND(B587&lt;&gt;"",B587=SW別シート!$C$3),COUNTIF(B$5:B587,B587),"")</f>
        <v/>
      </c>
      <c r="V587" s="47" t="n">
        <f aca="false">V586+IF(OR(O587&lt;&gt;"",W587&lt;&gt;""),1,0)</f>
        <v>3</v>
      </c>
      <c r="W587" s="29"/>
    </row>
    <row r="588" customFormat="false" ht="15" hidden="false" customHeight="false" outlineLevel="0" collapsed="false">
      <c r="A588" s="32" t="str">
        <f aca="false">IF(B588="","",ROW()-7)</f>
        <v/>
      </c>
      <c r="B588" s="30"/>
      <c r="C588" s="29"/>
      <c r="D588" s="29"/>
      <c r="E588" s="29"/>
      <c r="F588" s="30"/>
      <c r="G588" s="29"/>
      <c r="H588" s="30"/>
      <c r="I588" s="29"/>
      <c r="J588" s="30"/>
      <c r="K588" s="30"/>
      <c r="L588" s="29"/>
      <c r="M588" s="32" t="str">
        <f aca="false">IF(OR(C588="",L588=""),"",IF(C588=L588,"同一","変更"))</f>
        <v/>
      </c>
      <c r="N588" s="29"/>
      <c r="O588" s="30"/>
      <c r="P588" s="29"/>
      <c r="Q588" s="31"/>
      <c r="R588" s="29"/>
      <c r="S588" s="29"/>
      <c r="T588" s="30"/>
      <c r="U588" s="47" t="str">
        <f aca="false">IF(AND(B588&lt;&gt;"",B588=SW別シート!$C$3),COUNTIF(B$5:B588,B588),"")</f>
        <v/>
      </c>
      <c r="V588" s="47" t="n">
        <f aca="false">V587+IF(OR(O588&lt;&gt;"",W588&lt;&gt;""),1,0)</f>
        <v>3</v>
      </c>
      <c r="W588" s="29"/>
    </row>
    <row r="589" customFormat="false" ht="15" hidden="false" customHeight="false" outlineLevel="0" collapsed="false">
      <c r="A589" s="32" t="str">
        <f aca="false">IF(B589="","",ROW()-7)</f>
        <v/>
      </c>
      <c r="B589" s="30"/>
      <c r="C589" s="29"/>
      <c r="D589" s="29"/>
      <c r="E589" s="29"/>
      <c r="F589" s="30"/>
      <c r="G589" s="29"/>
      <c r="H589" s="30"/>
      <c r="I589" s="29"/>
      <c r="J589" s="30"/>
      <c r="K589" s="30"/>
      <c r="L589" s="29"/>
      <c r="M589" s="32" t="str">
        <f aca="false">IF(OR(C589="",L589=""),"",IF(C589=L589,"同一","変更"))</f>
        <v/>
      </c>
      <c r="N589" s="29"/>
      <c r="O589" s="30"/>
      <c r="P589" s="29"/>
      <c r="Q589" s="31"/>
      <c r="R589" s="29"/>
      <c r="S589" s="29"/>
      <c r="T589" s="30"/>
      <c r="U589" s="47" t="str">
        <f aca="false">IF(AND(B589&lt;&gt;"",B589=SW別シート!$C$3),COUNTIF(B$5:B589,B589),"")</f>
        <v/>
      </c>
      <c r="V589" s="47" t="n">
        <f aca="false">V588+IF(OR(O589&lt;&gt;"",W589&lt;&gt;""),1,0)</f>
        <v>3</v>
      </c>
      <c r="W589" s="29"/>
    </row>
    <row r="590" customFormat="false" ht="15" hidden="false" customHeight="false" outlineLevel="0" collapsed="false">
      <c r="A590" s="32" t="str">
        <f aca="false">IF(B590="","",ROW()-7)</f>
        <v/>
      </c>
      <c r="B590" s="30"/>
      <c r="C590" s="29"/>
      <c r="D590" s="29"/>
      <c r="E590" s="29"/>
      <c r="F590" s="30"/>
      <c r="G590" s="29"/>
      <c r="H590" s="30"/>
      <c r="I590" s="29"/>
      <c r="J590" s="30"/>
      <c r="K590" s="30"/>
      <c r="L590" s="29"/>
      <c r="M590" s="32" t="str">
        <f aca="false">IF(OR(C590="",L590=""),"",IF(C590=L590,"同一","変更"))</f>
        <v/>
      </c>
      <c r="N590" s="29"/>
      <c r="O590" s="30"/>
      <c r="P590" s="29"/>
      <c r="Q590" s="31"/>
      <c r="R590" s="29"/>
      <c r="S590" s="29"/>
      <c r="T590" s="30"/>
      <c r="U590" s="47" t="str">
        <f aca="false">IF(AND(B590&lt;&gt;"",B590=SW別シート!$C$3),COUNTIF(B$5:B590,B590),"")</f>
        <v/>
      </c>
      <c r="V590" s="47" t="n">
        <f aca="false">V589+IF(OR(O590&lt;&gt;"",W590&lt;&gt;""),1,0)</f>
        <v>3</v>
      </c>
      <c r="W590" s="29"/>
    </row>
    <row r="591" customFormat="false" ht="15" hidden="false" customHeight="false" outlineLevel="0" collapsed="false">
      <c r="A591" s="32" t="str">
        <f aca="false">IF(B591="","",ROW()-7)</f>
        <v/>
      </c>
      <c r="B591" s="30"/>
      <c r="C591" s="29"/>
      <c r="D591" s="29"/>
      <c r="E591" s="29"/>
      <c r="F591" s="30"/>
      <c r="G591" s="29"/>
      <c r="H591" s="30"/>
      <c r="I591" s="29"/>
      <c r="J591" s="30"/>
      <c r="K591" s="30"/>
      <c r="L591" s="29"/>
      <c r="M591" s="32" t="str">
        <f aca="false">IF(OR(C591="",L591=""),"",IF(C591=L591,"同一","変更"))</f>
        <v/>
      </c>
      <c r="N591" s="29"/>
      <c r="O591" s="30"/>
      <c r="P591" s="29"/>
      <c r="Q591" s="31"/>
      <c r="R591" s="29"/>
      <c r="S591" s="29"/>
      <c r="T591" s="30"/>
      <c r="U591" s="47" t="str">
        <f aca="false">IF(AND(B591&lt;&gt;"",B591=SW別シート!$C$3),COUNTIF(B$5:B591,B591),"")</f>
        <v/>
      </c>
      <c r="V591" s="47" t="n">
        <f aca="false">V590+IF(OR(O591&lt;&gt;"",W591&lt;&gt;""),1,0)</f>
        <v>3</v>
      </c>
      <c r="W591" s="29"/>
    </row>
    <row r="592" customFormat="false" ht="15" hidden="false" customHeight="false" outlineLevel="0" collapsed="false">
      <c r="A592" s="32" t="str">
        <f aca="false">IF(B592="","",ROW()-7)</f>
        <v/>
      </c>
      <c r="B592" s="30"/>
      <c r="C592" s="29"/>
      <c r="D592" s="29"/>
      <c r="E592" s="29"/>
      <c r="F592" s="30"/>
      <c r="G592" s="29"/>
      <c r="H592" s="30"/>
      <c r="I592" s="29"/>
      <c r="J592" s="30"/>
      <c r="K592" s="30"/>
      <c r="L592" s="29"/>
      <c r="M592" s="32" t="str">
        <f aca="false">IF(OR(C592="",L592=""),"",IF(C592=L592,"同一","変更"))</f>
        <v/>
      </c>
      <c r="N592" s="29"/>
      <c r="O592" s="30"/>
      <c r="P592" s="29"/>
      <c r="Q592" s="31"/>
      <c r="R592" s="29"/>
      <c r="S592" s="29"/>
      <c r="T592" s="30"/>
      <c r="U592" s="47" t="str">
        <f aca="false">IF(AND(B592&lt;&gt;"",B592=SW別シート!$C$3),COUNTIF(B$5:B592,B592),"")</f>
        <v/>
      </c>
      <c r="V592" s="47" t="n">
        <f aca="false">V591+IF(OR(O592&lt;&gt;"",W592&lt;&gt;""),1,0)</f>
        <v>3</v>
      </c>
      <c r="W592" s="29"/>
    </row>
    <row r="593" customFormat="false" ht="15" hidden="false" customHeight="false" outlineLevel="0" collapsed="false">
      <c r="A593" s="32" t="str">
        <f aca="false">IF(B593="","",ROW()-7)</f>
        <v/>
      </c>
      <c r="B593" s="30"/>
      <c r="C593" s="29"/>
      <c r="D593" s="29"/>
      <c r="E593" s="29"/>
      <c r="F593" s="30"/>
      <c r="G593" s="29"/>
      <c r="H593" s="30"/>
      <c r="I593" s="29"/>
      <c r="J593" s="30"/>
      <c r="K593" s="30"/>
      <c r="L593" s="29"/>
      <c r="M593" s="32" t="str">
        <f aca="false">IF(OR(C593="",L593=""),"",IF(C593=L593,"同一","変更"))</f>
        <v/>
      </c>
      <c r="N593" s="29"/>
      <c r="O593" s="30"/>
      <c r="P593" s="29"/>
      <c r="Q593" s="31"/>
      <c r="R593" s="29"/>
      <c r="S593" s="29"/>
      <c r="T593" s="30"/>
      <c r="U593" s="47" t="str">
        <f aca="false">IF(AND(B593&lt;&gt;"",B593=SW別シート!$C$3),COUNTIF(B$5:B593,B593),"")</f>
        <v/>
      </c>
      <c r="V593" s="47" t="n">
        <f aca="false">V592+IF(OR(O593&lt;&gt;"",W593&lt;&gt;""),1,0)</f>
        <v>3</v>
      </c>
      <c r="W593" s="29"/>
    </row>
    <row r="594" customFormat="false" ht="15" hidden="false" customHeight="false" outlineLevel="0" collapsed="false">
      <c r="A594" s="32" t="str">
        <f aca="false">IF(B594="","",ROW()-7)</f>
        <v/>
      </c>
      <c r="B594" s="30"/>
      <c r="C594" s="29"/>
      <c r="D594" s="29"/>
      <c r="E594" s="29"/>
      <c r="F594" s="30"/>
      <c r="G594" s="29"/>
      <c r="H594" s="30"/>
      <c r="I594" s="29"/>
      <c r="J594" s="30"/>
      <c r="K594" s="30"/>
      <c r="L594" s="29"/>
      <c r="M594" s="32" t="str">
        <f aca="false">IF(OR(C594="",L594=""),"",IF(C594=L594,"同一","変更"))</f>
        <v/>
      </c>
      <c r="N594" s="29"/>
      <c r="O594" s="30"/>
      <c r="P594" s="29"/>
      <c r="Q594" s="31"/>
      <c r="R594" s="29"/>
      <c r="S594" s="29"/>
      <c r="T594" s="30"/>
      <c r="U594" s="47" t="str">
        <f aca="false">IF(AND(B594&lt;&gt;"",B594=SW別シート!$C$3),COUNTIF(B$5:B594,B594),"")</f>
        <v/>
      </c>
      <c r="V594" s="47" t="n">
        <f aca="false">V593+IF(OR(O594&lt;&gt;"",W594&lt;&gt;""),1,0)</f>
        <v>3</v>
      </c>
      <c r="W594" s="29"/>
    </row>
    <row r="595" customFormat="false" ht="15" hidden="false" customHeight="false" outlineLevel="0" collapsed="false">
      <c r="A595" s="32" t="str">
        <f aca="false">IF(B595="","",ROW()-7)</f>
        <v/>
      </c>
      <c r="B595" s="30"/>
      <c r="C595" s="29"/>
      <c r="D595" s="29"/>
      <c r="E595" s="29"/>
      <c r="F595" s="30"/>
      <c r="G595" s="29"/>
      <c r="H595" s="30"/>
      <c r="I595" s="29"/>
      <c r="J595" s="30"/>
      <c r="K595" s="30"/>
      <c r="L595" s="29"/>
      <c r="M595" s="32" t="str">
        <f aca="false">IF(OR(C595="",L595=""),"",IF(C595=L595,"同一","変更"))</f>
        <v/>
      </c>
      <c r="N595" s="29"/>
      <c r="O595" s="30"/>
      <c r="P595" s="29"/>
      <c r="Q595" s="31"/>
      <c r="R595" s="29"/>
      <c r="S595" s="29"/>
      <c r="T595" s="30"/>
      <c r="U595" s="47" t="str">
        <f aca="false">IF(AND(B595&lt;&gt;"",B595=SW別シート!$C$3),COUNTIF(B$5:B595,B595),"")</f>
        <v/>
      </c>
      <c r="V595" s="47" t="n">
        <f aca="false">V594+IF(OR(O595&lt;&gt;"",W595&lt;&gt;""),1,0)</f>
        <v>3</v>
      </c>
      <c r="W595" s="29"/>
    </row>
    <row r="596" customFormat="false" ht="15" hidden="false" customHeight="false" outlineLevel="0" collapsed="false">
      <c r="A596" s="32" t="str">
        <f aca="false">IF(B596="","",ROW()-7)</f>
        <v/>
      </c>
      <c r="B596" s="30"/>
      <c r="C596" s="29"/>
      <c r="D596" s="29"/>
      <c r="E596" s="29"/>
      <c r="F596" s="30"/>
      <c r="G596" s="29"/>
      <c r="H596" s="30"/>
      <c r="I596" s="29"/>
      <c r="J596" s="30"/>
      <c r="K596" s="30"/>
      <c r="L596" s="29"/>
      <c r="M596" s="32" t="str">
        <f aca="false">IF(OR(C596="",L596=""),"",IF(C596=L596,"同一","変更"))</f>
        <v/>
      </c>
      <c r="N596" s="29"/>
      <c r="O596" s="30"/>
      <c r="P596" s="29"/>
      <c r="Q596" s="31"/>
      <c r="R596" s="29"/>
      <c r="S596" s="29"/>
      <c r="T596" s="30"/>
      <c r="U596" s="47" t="str">
        <f aca="false">IF(AND(B596&lt;&gt;"",B596=SW別シート!$C$3),COUNTIF(B$5:B596,B596),"")</f>
        <v/>
      </c>
      <c r="V596" s="47" t="n">
        <f aca="false">V595+IF(OR(O596&lt;&gt;"",W596&lt;&gt;""),1,0)</f>
        <v>3</v>
      </c>
      <c r="W596" s="29"/>
    </row>
    <row r="597" customFormat="false" ht="15" hidden="false" customHeight="false" outlineLevel="0" collapsed="false">
      <c r="A597" s="32" t="str">
        <f aca="false">IF(B597="","",ROW()-7)</f>
        <v/>
      </c>
      <c r="B597" s="30"/>
      <c r="C597" s="29"/>
      <c r="D597" s="29"/>
      <c r="E597" s="29"/>
      <c r="F597" s="30"/>
      <c r="G597" s="29"/>
      <c r="H597" s="30"/>
      <c r="I597" s="29"/>
      <c r="J597" s="30"/>
      <c r="K597" s="30"/>
      <c r="L597" s="29"/>
      <c r="M597" s="32" t="str">
        <f aca="false">IF(OR(C597="",L597=""),"",IF(C597=L597,"同一","変更"))</f>
        <v/>
      </c>
      <c r="N597" s="29"/>
      <c r="O597" s="30"/>
      <c r="P597" s="29"/>
      <c r="Q597" s="31"/>
      <c r="R597" s="29"/>
      <c r="S597" s="29"/>
      <c r="T597" s="30"/>
      <c r="U597" s="47" t="str">
        <f aca="false">IF(AND(B597&lt;&gt;"",B597=SW別シート!$C$3),COUNTIF(B$5:B597,B597),"")</f>
        <v/>
      </c>
      <c r="V597" s="47" t="n">
        <f aca="false">V596+IF(OR(O597&lt;&gt;"",W597&lt;&gt;""),1,0)</f>
        <v>3</v>
      </c>
      <c r="W597" s="29"/>
    </row>
    <row r="598" customFormat="false" ht="15" hidden="false" customHeight="false" outlineLevel="0" collapsed="false">
      <c r="A598" s="32" t="str">
        <f aca="false">IF(B598="","",ROW()-7)</f>
        <v/>
      </c>
      <c r="B598" s="30"/>
      <c r="C598" s="29"/>
      <c r="D598" s="29"/>
      <c r="E598" s="29"/>
      <c r="F598" s="30"/>
      <c r="G598" s="29"/>
      <c r="H598" s="30"/>
      <c r="I598" s="29"/>
      <c r="J598" s="30"/>
      <c r="K598" s="30"/>
      <c r="L598" s="29"/>
      <c r="M598" s="32" t="str">
        <f aca="false">IF(OR(C598="",L598=""),"",IF(C598=L598,"同一","変更"))</f>
        <v/>
      </c>
      <c r="N598" s="29"/>
      <c r="O598" s="30"/>
      <c r="P598" s="29"/>
      <c r="Q598" s="31"/>
      <c r="R598" s="29"/>
      <c r="S598" s="29"/>
      <c r="T598" s="30"/>
      <c r="U598" s="47" t="str">
        <f aca="false">IF(AND(B598&lt;&gt;"",B598=SW別シート!$C$3),COUNTIF(B$5:B598,B598),"")</f>
        <v/>
      </c>
      <c r="V598" s="47" t="n">
        <f aca="false">V597+IF(OR(O598&lt;&gt;"",W598&lt;&gt;""),1,0)</f>
        <v>3</v>
      </c>
      <c r="W598" s="29"/>
    </row>
    <row r="599" customFormat="false" ht="15" hidden="false" customHeight="false" outlineLevel="0" collapsed="false">
      <c r="A599" s="32" t="str">
        <f aca="false">IF(B599="","",ROW()-7)</f>
        <v/>
      </c>
      <c r="B599" s="30"/>
      <c r="C599" s="29"/>
      <c r="D599" s="29"/>
      <c r="E599" s="29"/>
      <c r="F599" s="30"/>
      <c r="G599" s="29"/>
      <c r="H599" s="30"/>
      <c r="I599" s="29"/>
      <c r="J599" s="30"/>
      <c r="K599" s="30"/>
      <c r="L599" s="29"/>
      <c r="M599" s="32" t="str">
        <f aca="false">IF(OR(C599="",L599=""),"",IF(C599=L599,"同一","変更"))</f>
        <v/>
      </c>
      <c r="N599" s="29"/>
      <c r="O599" s="30"/>
      <c r="P599" s="29"/>
      <c r="Q599" s="31"/>
      <c r="R599" s="29"/>
      <c r="S599" s="29"/>
      <c r="T599" s="30"/>
      <c r="U599" s="47" t="str">
        <f aca="false">IF(AND(B599&lt;&gt;"",B599=SW別シート!$C$3),COUNTIF(B$5:B599,B599),"")</f>
        <v/>
      </c>
      <c r="V599" s="47" t="n">
        <f aca="false">V598+IF(OR(O599&lt;&gt;"",W599&lt;&gt;""),1,0)</f>
        <v>3</v>
      </c>
      <c r="W599" s="29"/>
    </row>
    <row r="600" customFormat="false" ht="15" hidden="false" customHeight="false" outlineLevel="0" collapsed="false">
      <c r="A600" s="32" t="str">
        <f aca="false">IF(B600="","",ROW()-7)</f>
        <v/>
      </c>
      <c r="B600" s="30"/>
      <c r="C600" s="29"/>
      <c r="D600" s="29"/>
      <c r="E600" s="29"/>
      <c r="F600" s="30"/>
      <c r="G600" s="29"/>
      <c r="H600" s="30"/>
      <c r="I600" s="29"/>
      <c r="J600" s="30"/>
      <c r="K600" s="30"/>
      <c r="L600" s="29"/>
      <c r="M600" s="32" t="str">
        <f aca="false">IF(OR(C600="",L600=""),"",IF(C600=L600,"同一","変更"))</f>
        <v/>
      </c>
      <c r="N600" s="29"/>
      <c r="O600" s="30"/>
      <c r="P600" s="29"/>
      <c r="Q600" s="31"/>
      <c r="R600" s="29"/>
      <c r="S600" s="29"/>
      <c r="T600" s="30"/>
      <c r="U600" s="47" t="str">
        <f aca="false">IF(AND(B600&lt;&gt;"",B600=SW別シート!$C$3),COUNTIF(B$5:B600,B600),"")</f>
        <v/>
      </c>
      <c r="V600" s="47" t="n">
        <f aca="false">V599+IF(OR(O600&lt;&gt;"",W600&lt;&gt;""),1,0)</f>
        <v>3</v>
      </c>
      <c r="W600" s="29"/>
    </row>
    <row r="601" customFormat="false" ht="15" hidden="false" customHeight="false" outlineLevel="0" collapsed="false">
      <c r="A601" s="32" t="str">
        <f aca="false">IF(B601="","",ROW()-7)</f>
        <v/>
      </c>
      <c r="B601" s="30"/>
      <c r="C601" s="29"/>
      <c r="D601" s="29"/>
      <c r="E601" s="29"/>
      <c r="F601" s="30"/>
      <c r="G601" s="29"/>
      <c r="H601" s="30"/>
      <c r="I601" s="29"/>
      <c r="J601" s="30"/>
      <c r="K601" s="30"/>
      <c r="L601" s="29"/>
      <c r="M601" s="32" t="str">
        <f aca="false">IF(OR(C601="",L601=""),"",IF(C601=L601,"同一","変更"))</f>
        <v/>
      </c>
      <c r="N601" s="29"/>
      <c r="O601" s="30"/>
      <c r="P601" s="29"/>
      <c r="Q601" s="31"/>
      <c r="R601" s="29"/>
      <c r="S601" s="29"/>
      <c r="T601" s="30"/>
      <c r="U601" s="47" t="str">
        <f aca="false">IF(AND(B601&lt;&gt;"",B601=SW別シート!$C$3),COUNTIF(B$5:B601,B601),"")</f>
        <v/>
      </c>
      <c r="V601" s="47" t="n">
        <f aca="false">V600+IF(OR(O601&lt;&gt;"",W601&lt;&gt;""),1,0)</f>
        <v>3</v>
      </c>
      <c r="W601" s="29"/>
    </row>
    <row r="602" customFormat="false" ht="15" hidden="false" customHeight="false" outlineLevel="0" collapsed="false">
      <c r="A602" s="32" t="str">
        <f aca="false">IF(B602="","",ROW()-7)</f>
        <v/>
      </c>
      <c r="B602" s="30"/>
      <c r="C602" s="29"/>
      <c r="D602" s="29"/>
      <c r="E602" s="29"/>
      <c r="F602" s="30"/>
      <c r="G602" s="29"/>
      <c r="H602" s="30"/>
      <c r="I602" s="29"/>
      <c r="J602" s="30"/>
      <c r="K602" s="30"/>
      <c r="L602" s="29"/>
      <c r="M602" s="32" t="str">
        <f aca="false">IF(OR(C602="",L602=""),"",IF(C602=L602,"同一","変更"))</f>
        <v/>
      </c>
      <c r="N602" s="29"/>
      <c r="O602" s="30"/>
      <c r="P602" s="29"/>
      <c r="Q602" s="31"/>
      <c r="R602" s="29"/>
      <c r="S602" s="29"/>
      <c r="T602" s="30"/>
      <c r="U602" s="47" t="str">
        <f aca="false">IF(AND(B602&lt;&gt;"",B602=SW別シート!$C$3),COUNTIF(B$5:B602,B602),"")</f>
        <v/>
      </c>
      <c r="V602" s="47" t="n">
        <f aca="false">V601+IF(OR(O602&lt;&gt;"",W602&lt;&gt;""),1,0)</f>
        <v>3</v>
      </c>
      <c r="W602" s="29"/>
    </row>
    <row r="603" customFormat="false" ht="15" hidden="false" customHeight="false" outlineLevel="0" collapsed="false">
      <c r="A603" s="32" t="str">
        <f aca="false">IF(B603="","",ROW()-7)</f>
        <v/>
      </c>
      <c r="B603" s="30"/>
      <c r="C603" s="29"/>
      <c r="D603" s="29"/>
      <c r="E603" s="29"/>
      <c r="F603" s="30"/>
      <c r="G603" s="29"/>
      <c r="H603" s="30"/>
      <c r="I603" s="29"/>
      <c r="J603" s="30"/>
      <c r="K603" s="30"/>
      <c r="L603" s="29"/>
      <c r="M603" s="32" t="str">
        <f aca="false">IF(OR(C603="",L603=""),"",IF(C603=L603,"同一","変更"))</f>
        <v/>
      </c>
      <c r="N603" s="29"/>
      <c r="O603" s="30"/>
      <c r="P603" s="29"/>
      <c r="Q603" s="31"/>
      <c r="R603" s="29"/>
      <c r="S603" s="29"/>
      <c r="T603" s="30"/>
      <c r="U603" s="47" t="str">
        <f aca="false">IF(AND(B603&lt;&gt;"",B603=SW別シート!$C$3),COUNTIF(B$5:B603,B603),"")</f>
        <v/>
      </c>
      <c r="V603" s="47" t="n">
        <f aca="false">V602+IF(OR(O603&lt;&gt;"",W603&lt;&gt;""),1,0)</f>
        <v>3</v>
      </c>
      <c r="W603" s="29"/>
    </row>
    <row r="604" customFormat="false" ht="15" hidden="false" customHeight="false" outlineLevel="0" collapsed="false">
      <c r="A604" s="32" t="str">
        <f aca="false">IF(B604="","",ROW()-7)</f>
        <v/>
      </c>
      <c r="B604" s="30"/>
      <c r="C604" s="29"/>
      <c r="D604" s="29"/>
      <c r="E604" s="29"/>
      <c r="F604" s="30"/>
      <c r="G604" s="29"/>
      <c r="H604" s="30"/>
      <c r="I604" s="29"/>
      <c r="J604" s="30"/>
      <c r="K604" s="30"/>
      <c r="L604" s="29"/>
      <c r="M604" s="32" t="str">
        <f aca="false">IF(OR(C604="",L604=""),"",IF(C604=L604,"同一","変更"))</f>
        <v/>
      </c>
      <c r="N604" s="29"/>
      <c r="O604" s="30"/>
      <c r="P604" s="29"/>
      <c r="Q604" s="31"/>
      <c r="R604" s="29"/>
      <c r="S604" s="29"/>
      <c r="T604" s="30"/>
      <c r="U604" s="47" t="str">
        <f aca="false">IF(AND(B604&lt;&gt;"",B604=SW別シート!$C$3),COUNTIF(B$5:B604,B604),"")</f>
        <v/>
      </c>
      <c r="V604" s="47" t="n">
        <f aca="false">V603+IF(OR(O604&lt;&gt;"",W604&lt;&gt;""),1,0)</f>
        <v>3</v>
      </c>
      <c r="W604" s="29"/>
    </row>
    <row r="605" customFormat="false" ht="15" hidden="false" customHeight="false" outlineLevel="0" collapsed="false">
      <c r="A605" s="32" t="str">
        <f aca="false">IF(B605="","",ROW()-7)</f>
        <v/>
      </c>
      <c r="B605" s="30"/>
      <c r="C605" s="29"/>
      <c r="D605" s="29"/>
      <c r="E605" s="29"/>
      <c r="F605" s="30"/>
      <c r="G605" s="29"/>
      <c r="H605" s="30"/>
      <c r="I605" s="29"/>
      <c r="J605" s="30"/>
      <c r="K605" s="30"/>
      <c r="L605" s="29"/>
      <c r="M605" s="32" t="str">
        <f aca="false">IF(OR(C605="",L605=""),"",IF(C605=L605,"同一","変更"))</f>
        <v/>
      </c>
      <c r="N605" s="29"/>
      <c r="O605" s="30"/>
      <c r="P605" s="29"/>
      <c r="Q605" s="31"/>
      <c r="R605" s="29"/>
      <c r="S605" s="29"/>
      <c r="T605" s="30"/>
      <c r="U605" s="47" t="str">
        <f aca="false">IF(AND(B605&lt;&gt;"",B605=SW別シート!$C$3),COUNTIF(B$5:B605,B605),"")</f>
        <v/>
      </c>
      <c r="V605" s="47" t="n">
        <f aca="false">V604+IF(OR(O605&lt;&gt;"",W605&lt;&gt;""),1,0)</f>
        <v>3</v>
      </c>
      <c r="W605" s="29"/>
    </row>
    <row r="606" customFormat="false" ht="15" hidden="false" customHeight="false" outlineLevel="0" collapsed="false">
      <c r="A606" s="32" t="str">
        <f aca="false">IF(B606="","",ROW()-7)</f>
        <v/>
      </c>
      <c r="B606" s="30"/>
      <c r="C606" s="29"/>
      <c r="D606" s="29"/>
      <c r="E606" s="29"/>
      <c r="F606" s="30"/>
      <c r="G606" s="29"/>
      <c r="H606" s="30"/>
      <c r="I606" s="29"/>
      <c r="J606" s="30"/>
      <c r="K606" s="30"/>
      <c r="L606" s="29"/>
      <c r="M606" s="32" t="str">
        <f aca="false">IF(OR(C606="",L606=""),"",IF(C606=L606,"同一","変更"))</f>
        <v/>
      </c>
      <c r="N606" s="29"/>
      <c r="O606" s="30"/>
      <c r="P606" s="29"/>
      <c r="Q606" s="31"/>
      <c r="R606" s="29"/>
      <c r="S606" s="29"/>
      <c r="T606" s="30"/>
      <c r="U606" s="47" t="str">
        <f aca="false">IF(AND(B606&lt;&gt;"",B606=SW別シート!$C$3),COUNTIF(B$5:B606,B606),"")</f>
        <v/>
      </c>
      <c r="V606" s="47" t="n">
        <f aca="false">V605+IF(OR(O606&lt;&gt;"",W606&lt;&gt;""),1,0)</f>
        <v>3</v>
      </c>
      <c r="W606" s="29"/>
    </row>
    <row r="607" customFormat="false" ht="15" hidden="false" customHeight="false" outlineLevel="0" collapsed="false">
      <c r="A607" s="32" t="str">
        <f aca="false">IF(B607="","",ROW()-7)</f>
        <v/>
      </c>
      <c r="B607" s="30"/>
      <c r="C607" s="29"/>
      <c r="D607" s="29"/>
      <c r="E607" s="29"/>
      <c r="F607" s="30"/>
      <c r="G607" s="29"/>
      <c r="H607" s="30"/>
      <c r="I607" s="29"/>
      <c r="J607" s="30"/>
      <c r="K607" s="30"/>
      <c r="L607" s="29"/>
      <c r="M607" s="32" t="str">
        <f aca="false">IF(OR(C607="",L607=""),"",IF(C607=L607,"同一","変更"))</f>
        <v/>
      </c>
      <c r="N607" s="29"/>
      <c r="O607" s="30"/>
      <c r="P607" s="29"/>
      <c r="Q607" s="31"/>
      <c r="R607" s="29"/>
      <c r="S607" s="29"/>
      <c r="T607" s="30"/>
      <c r="U607" s="47" t="str">
        <f aca="false">IF(AND(B607&lt;&gt;"",B607=SW別シート!$C$3),COUNTIF(B$5:B607,B607),"")</f>
        <v/>
      </c>
      <c r="V607" s="47" t="n">
        <f aca="false">V606+IF(OR(O607&lt;&gt;"",W607&lt;&gt;""),1,0)</f>
        <v>3</v>
      </c>
      <c r="W607" s="29"/>
    </row>
    <row r="608" customFormat="false" ht="15" hidden="false" customHeight="false" outlineLevel="0" collapsed="false">
      <c r="A608" s="32" t="str">
        <f aca="false">IF(B608="","",ROW()-7)</f>
        <v/>
      </c>
      <c r="B608" s="30"/>
      <c r="C608" s="29"/>
      <c r="D608" s="29"/>
      <c r="E608" s="29"/>
      <c r="F608" s="30"/>
      <c r="G608" s="29"/>
      <c r="H608" s="30"/>
      <c r="I608" s="29"/>
      <c r="J608" s="30"/>
      <c r="K608" s="30"/>
      <c r="L608" s="29"/>
      <c r="M608" s="32" t="str">
        <f aca="false">IF(OR(C608="",L608=""),"",IF(C608=L608,"同一","変更"))</f>
        <v/>
      </c>
      <c r="N608" s="29"/>
      <c r="O608" s="30"/>
      <c r="P608" s="29"/>
      <c r="Q608" s="31"/>
      <c r="R608" s="29"/>
      <c r="S608" s="29"/>
      <c r="T608" s="30"/>
      <c r="U608" s="47" t="str">
        <f aca="false">IF(AND(B608&lt;&gt;"",B608=SW別シート!$C$3),COUNTIF(B$5:B608,B608),"")</f>
        <v/>
      </c>
      <c r="V608" s="47" t="n">
        <f aca="false">V607+IF(OR(O608&lt;&gt;"",W608&lt;&gt;""),1,0)</f>
        <v>3</v>
      </c>
      <c r="W608" s="29"/>
    </row>
    <row r="609" customFormat="false" ht="15" hidden="false" customHeight="false" outlineLevel="0" collapsed="false">
      <c r="A609" s="32" t="str">
        <f aca="false">IF(B609="","",ROW()-7)</f>
        <v/>
      </c>
      <c r="B609" s="30"/>
      <c r="C609" s="29"/>
      <c r="D609" s="29"/>
      <c r="E609" s="29"/>
      <c r="F609" s="30"/>
      <c r="G609" s="29"/>
      <c r="H609" s="30"/>
      <c r="I609" s="29"/>
      <c r="J609" s="30"/>
      <c r="K609" s="30"/>
      <c r="L609" s="29"/>
      <c r="M609" s="32" t="str">
        <f aca="false">IF(OR(C609="",L609=""),"",IF(C609=L609,"同一","変更"))</f>
        <v/>
      </c>
      <c r="N609" s="29"/>
      <c r="O609" s="30"/>
      <c r="P609" s="29"/>
      <c r="Q609" s="31"/>
      <c r="R609" s="29"/>
      <c r="S609" s="29"/>
      <c r="T609" s="30"/>
      <c r="U609" s="47" t="str">
        <f aca="false">IF(AND(B609&lt;&gt;"",B609=SW別シート!$C$3),COUNTIF(B$5:B609,B609),"")</f>
        <v/>
      </c>
      <c r="V609" s="47" t="n">
        <f aca="false">V608+IF(OR(O609&lt;&gt;"",W609&lt;&gt;""),1,0)</f>
        <v>3</v>
      </c>
      <c r="W609" s="29"/>
    </row>
    <row r="610" customFormat="false" ht="15" hidden="false" customHeight="false" outlineLevel="0" collapsed="false">
      <c r="A610" s="32" t="str">
        <f aca="false">IF(B610="","",ROW()-7)</f>
        <v/>
      </c>
      <c r="B610" s="30"/>
      <c r="C610" s="29"/>
      <c r="D610" s="29"/>
      <c r="E610" s="29"/>
      <c r="F610" s="30"/>
      <c r="G610" s="29"/>
      <c r="H610" s="30"/>
      <c r="I610" s="29"/>
      <c r="J610" s="30"/>
      <c r="K610" s="30"/>
      <c r="L610" s="29"/>
      <c r="M610" s="32" t="str">
        <f aca="false">IF(OR(C610="",L610=""),"",IF(C610=L610,"同一","変更"))</f>
        <v/>
      </c>
      <c r="N610" s="29"/>
      <c r="O610" s="30"/>
      <c r="P610" s="29"/>
      <c r="Q610" s="31"/>
      <c r="R610" s="29"/>
      <c r="S610" s="29"/>
      <c r="T610" s="30"/>
      <c r="U610" s="47" t="str">
        <f aca="false">IF(AND(B610&lt;&gt;"",B610=SW別シート!$C$3),COUNTIF(B$5:B610,B610),"")</f>
        <v/>
      </c>
      <c r="V610" s="47" t="n">
        <f aca="false">V609+IF(OR(O610&lt;&gt;"",W610&lt;&gt;""),1,0)</f>
        <v>3</v>
      </c>
      <c r="W610" s="29"/>
    </row>
    <row r="611" customFormat="false" ht="15" hidden="false" customHeight="false" outlineLevel="0" collapsed="false">
      <c r="A611" s="32" t="str">
        <f aca="false">IF(B611="","",ROW()-7)</f>
        <v/>
      </c>
      <c r="B611" s="30"/>
      <c r="C611" s="29"/>
      <c r="D611" s="29"/>
      <c r="E611" s="29"/>
      <c r="F611" s="30"/>
      <c r="G611" s="29"/>
      <c r="H611" s="30"/>
      <c r="I611" s="29"/>
      <c r="J611" s="30"/>
      <c r="K611" s="30"/>
      <c r="L611" s="29"/>
      <c r="M611" s="32" t="str">
        <f aca="false">IF(OR(C611="",L611=""),"",IF(C611=L611,"同一","変更"))</f>
        <v/>
      </c>
      <c r="N611" s="29"/>
      <c r="O611" s="30"/>
      <c r="P611" s="29"/>
      <c r="Q611" s="31"/>
      <c r="R611" s="29"/>
      <c r="S611" s="29"/>
      <c r="T611" s="30"/>
      <c r="U611" s="47" t="str">
        <f aca="false">IF(AND(B611&lt;&gt;"",B611=SW別シート!$C$3),COUNTIF(B$5:B611,B611),"")</f>
        <v/>
      </c>
      <c r="V611" s="47" t="n">
        <f aca="false">V610+IF(OR(O611&lt;&gt;"",W611&lt;&gt;""),1,0)</f>
        <v>3</v>
      </c>
      <c r="W611" s="29"/>
    </row>
    <row r="612" customFormat="false" ht="15" hidden="false" customHeight="false" outlineLevel="0" collapsed="false">
      <c r="A612" s="32" t="str">
        <f aca="false">IF(B612="","",ROW()-7)</f>
        <v/>
      </c>
      <c r="B612" s="30"/>
      <c r="C612" s="29"/>
      <c r="D612" s="29"/>
      <c r="E612" s="29"/>
      <c r="F612" s="30"/>
      <c r="G612" s="29"/>
      <c r="H612" s="30"/>
      <c r="I612" s="29"/>
      <c r="J612" s="30"/>
      <c r="K612" s="30"/>
      <c r="L612" s="29"/>
      <c r="M612" s="32" t="str">
        <f aca="false">IF(OR(C612="",L612=""),"",IF(C612=L612,"同一","変更"))</f>
        <v/>
      </c>
      <c r="N612" s="29"/>
      <c r="O612" s="30"/>
      <c r="P612" s="29"/>
      <c r="Q612" s="31"/>
      <c r="R612" s="29"/>
      <c r="S612" s="29"/>
      <c r="T612" s="30"/>
      <c r="U612" s="47" t="str">
        <f aca="false">IF(AND(B612&lt;&gt;"",B612=SW別シート!$C$3),COUNTIF(B$5:B612,B612),"")</f>
        <v/>
      </c>
      <c r="V612" s="47" t="n">
        <f aca="false">V611+IF(OR(O612&lt;&gt;"",W612&lt;&gt;""),1,0)</f>
        <v>3</v>
      </c>
      <c r="W612" s="29"/>
    </row>
    <row r="613" customFormat="false" ht="15" hidden="false" customHeight="false" outlineLevel="0" collapsed="false">
      <c r="A613" s="32" t="str">
        <f aca="false">IF(B613="","",ROW()-7)</f>
        <v/>
      </c>
      <c r="B613" s="30"/>
      <c r="C613" s="29"/>
      <c r="D613" s="29"/>
      <c r="E613" s="29"/>
      <c r="F613" s="30"/>
      <c r="G613" s="29"/>
      <c r="H613" s="30"/>
      <c r="I613" s="29"/>
      <c r="J613" s="30"/>
      <c r="K613" s="30"/>
      <c r="L613" s="29"/>
      <c r="M613" s="32" t="str">
        <f aca="false">IF(OR(C613="",L613=""),"",IF(C613=L613,"同一","変更"))</f>
        <v/>
      </c>
      <c r="N613" s="29"/>
      <c r="O613" s="30"/>
      <c r="P613" s="29"/>
      <c r="Q613" s="31"/>
      <c r="R613" s="29"/>
      <c r="S613" s="29"/>
      <c r="T613" s="30"/>
      <c r="U613" s="47" t="str">
        <f aca="false">IF(AND(B613&lt;&gt;"",B613=SW別シート!$C$3),COUNTIF(B$5:B613,B613),"")</f>
        <v/>
      </c>
      <c r="V613" s="47" t="n">
        <f aca="false">V612+IF(OR(O613&lt;&gt;"",W613&lt;&gt;""),1,0)</f>
        <v>3</v>
      </c>
      <c r="W613" s="29"/>
    </row>
    <row r="614" customFormat="false" ht="15" hidden="false" customHeight="false" outlineLevel="0" collapsed="false">
      <c r="A614" s="32" t="str">
        <f aca="false">IF(B614="","",ROW()-7)</f>
        <v/>
      </c>
      <c r="B614" s="30"/>
      <c r="C614" s="29"/>
      <c r="D614" s="29"/>
      <c r="E614" s="29"/>
      <c r="F614" s="30"/>
      <c r="G614" s="29"/>
      <c r="H614" s="30"/>
      <c r="I614" s="29"/>
      <c r="J614" s="30"/>
      <c r="K614" s="30"/>
      <c r="L614" s="29"/>
      <c r="M614" s="32" t="str">
        <f aca="false">IF(OR(C614="",L614=""),"",IF(C614=L614,"同一","変更"))</f>
        <v/>
      </c>
      <c r="N614" s="29"/>
      <c r="O614" s="30"/>
      <c r="P614" s="29"/>
      <c r="Q614" s="31"/>
      <c r="R614" s="29"/>
      <c r="S614" s="29"/>
      <c r="T614" s="30"/>
      <c r="U614" s="47" t="str">
        <f aca="false">IF(AND(B614&lt;&gt;"",B614=SW別シート!$C$3),COUNTIF(B$5:B614,B614),"")</f>
        <v/>
      </c>
      <c r="V614" s="47" t="n">
        <f aca="false">V613+IF(OR(O614&lt;&gt;"",W614&lt;&gt;""),1,0)</f>
        <v>3</v>
      </c>
      <c r="W614" s="29"/>
    </row>
    <row r="615" customFormat="false" ht="15" hidden="false" customHeight="false" outlineLevel="0" collapsed="false">
      <c r="A615" s="32" t="str">
        <f aca="false">IF(B615="","",ROW()-7)</f>
        <v/>
      </c>
      <c r="B615" s="30"/>
      <c r="C615" s="29"/>
      <c r="D615" s="29"/>
      <c r="E615" s="29"/>
      <c r="F615" s="30"/>
      <c r="G615" s="29"/>
      <c r="H615" s="30"/>
      <c r="I615" s="29"/>
      <c r="J615" s="30"/>
      <c r="K615" s="30"/>
      <c r="L615" s="29"/>
      <c r="M615" s="32" t="str">
        <f aca="false">IF(OR(C615="",L615=""),"",IF(C615=L615,"同一","変更"))</f>
        <v/>
      </c>
      <c r="N615" s="29"/>
      <c r="O615" s="30"/>
      <c r="P615" s="29"/>
      <c r="Q615" s="31"/>
      <c r="R615" s="29"/>
      <c r="S615" s="29"/>
      <c r="T615" s="30"/>
      <c r="U615" s="47" t="str">
        <f aca="false">IF(AND(B615&lt;&gt;"",B615=SW別シート!$C$3),COUNTIF(B$5:B615,B615),"")</f>
        <v/>
      </c>
      <c r="V615" s="47" t="n">
        <f aca="false">V614+IF(OR(O615&lt;&gt;"",W615&lt;&gt;""),1,0)</f>
        <v>3</v>
      </c>
      <c r="W615" s="29"/>
    </row>
    <row r="616" customFormat="false" ht="15" hidden="false" customHeight="false" outlineLevel="0" collapsed="false">
      <c r="A616" s="32" t="str">
        <f aca="false">IF(B616="","",ROW()-7)</f>
        <v/>
      </c>
      <c r="B616" s="30"/>
      <c r="C616" s="29"/>
      <c r="D616" s="29"/>
      <c r="E616" s="29"/>
      <c r="F616" s="30"/>
      <c r="G616" s="29"/>
      <c r="H616" s="30"/>
      <c r="I616" s="29"/>
      <c r="J616" s="30"/>
      <c r="K616" s="30"/>
      <c r="L616" s="29"/>
      <c r="M616" s="32" t="str">
        <f aca="false">IF(OR(C616="",L616=""),"",IF(C616=L616,"同一","変更"))</f>
        <v/>
      </c>
      <c r="N616" s="29"/>
      <c r="O616" s="30"/>
      <c r="P616" s="29"/>
      <c r="Q616" s="31"/>
      <c r="R616" s="29"/>
      <c r="S616" s="29"/>
      <c r="T616" s="30"/>
      <c r="U616" s="47" t="str">
        <f aca="false">IF(AND(B616&lt;&gt;"",B616=SW別シート!$C$3),COUNTIF(B$5:B616,B616),"")</f>
        <v/>
      </c>
      <c r="V616" s="47" t="n">
        <f aca="false">V615+IF(OR(O616&lt;&gt;"",W616&lt;&gt;""),1,0)</f>
        <v>3</v>
      </c>
      <c r="W616" s="29"/>
    </row>
    <row r="617" customFormat="false" ht="15" hidden="false" customHeight="false" outlineLevel="0" collapsed="false">
      <c r="A617" s="32" t="str">
        <f aca="false">IF(B617="","",ROW()-7)</f>
        <v/>
      </c>
      <c r="B617" s="30"/>
      <c r="C617" s="29"/>
      <c r="D617" s="29"/>
      <c r="E617" s="29"/>
      <c r="F617" s="30"/>
      <c r="G617" s="29"/>
      <c r="H617" s="30"/>
      <c r="I617" s="29"/>
      <c r="J617" s="30"/>
      <c r="K617" s="30"/>
      <c r="L617" s="29"/>
      <c r="M617" s="32" t="str">
        <f aca="false">IF(OR(C617="",L617=""),"",IF(C617=L617,"同一","変更"))</f>
        <v/>
      </c>
      <c r="N617" s="29"/>
      <c r="O617" s="30"/>
      <c r="P617" s="29"/>
      <c r="Q617" s="31"/>
      <c r="R617" s="29"/>
      <c r="S617" s="29"/>
      <c r="T617" s="30"/>
      <c r="U617" s="47" t="str">
        <f aca="false">IF(AND(B617&lt;&gt;"",B617=SW別シート!$C$3),COUNTIF(B$5:B617,B617),"")</f>
        <v/>
      </c>
      <c r="V617" s="47" t="n">
        <f aca="false">V616+IF(OR(O617&lt;&gt;"",W617&lt;&gt;""),1,0)</f>
        <v>3</v>
      </c>
      <c r="W617" s="29"/>
    </row>
    <row r="618" customFormat="false" ht="15" hidden="false" customHeight="false" outlineLevel="0" collapsed="false">
      <c r="A618" s="32" t="str">
        <f aca="false">IF(B618="","",ROW()-7)</f>
        <v/>
      </c>
      <c r="B618" s="30"/>
      <c r="C618" s="29"/>
      <c r="D618" s="29"/>
      <c r="E618" s="29"/>
      <c r="F618" s="30"/>
      <c r="G618" s="29"/>
      <c r="H618" s="30"/>
      <c r="I618" s="29"/>
      <c r="J618" s="30"/>
      <c r="K618" s="30"/>
      <c r="L618" s="29"/>
      <c r="M618" s="32" t="str">
        <f aca="false">IF(OR(C618="",L618=""),"",IF(C618=L618,"同一","変更"))</f>
        <v/>
      </c>
      <c r="N618" s="29"/>
      <c r="O618" s="30"/>
      <c r="P618" s="29"/>
      <c r="Q618" s="31"/>
      <c r="R618" s="29"/>
      <c r="S618" s="29"/>
      <c r="T618" s="30"/>
      <c r="U618" s="47" t="str">
        <f aca="false">IF(AND(B618&lt;&gt;"",B618=SW別シート!$C$3),COUNTIF(B$5:B618,B618),"")</f>
        <v/>
      </c>
      <c r="V618" s="47" t="n">
        <f aca="false">V617+IF(OR(O618&lt;&gt;"",W618&lt;&gt;""),1,0)</f>
        <v>3</v>
      </c>
      <c r="W618" s="29"/>
    </row>
    <row r="619" customFormat="false" ht="15" hidden="false" customHeight="false" outlineLevel="0" collapsed="false">
      <c r="A619" s="32" t="str">
        <f aca="false">IF(B619="","",ROW()-7)</f>
        <v/>
      </c>
      <c r="B619" s="30"/>
      <c r="C619" s="29"/>
      <c r="D619" s="29"/>
      <c r="E619" s="29"/>
      <c r="F619" s="30"/>
      <c r="G619" s="29"/>
      <c r="H619" s="30"/>
      <c r="I619" s="29"/>
      <c r="J619" s="30"/>
      <c r="K619" s="30"/>
      <c r="L619" s="29"/>
      <c r="M619" s="32" t="str">
        <f aca="false">IF(OR(C619="",L619=""),"",IF(C619=L619,"同一","変更"))</f>
        <v/>
      </c>
      <c r="N619" s="29"/>
      <c r="O619" s="30"/>
      <c r="P619" s="29"/>
      <c r="Q619" s="31"/>
      <c r="R619" s="29"/>
      <c r="S619" s="29"/>
      <c r="T619" s="30"/>
      <c r="U619" s="47" t="str">
        <f aca="false">IF(AND(B619&lt;&gt;"",B619=SW別シート!$C$3),COUNTIF(B$5:B619,B619),"")</f>
        <v/>
      </c>
      <c r="V619" s="47" t="n">
        <f aca="false">V618+IF(OR(O619&lt;&gt;"",W619&lt;&gt;""),1,0)</f>
        <v>3</v>
      </c>
      <c r="W619" s="29"/>
    </row>
    <row r="620" customFormat="false" ht="15" hidden="false" customHeight="false" outlineLevel="0" collapsed="false">
      <c r="A620" s="32" t="str">
        <f aca="false">IF(B620="","",ROW()-7)</f>
        <v/>
      </c>
      <c r="B620" s="30"/>
      <c r="C620" s="29"/>
      <c r="D620" s="29"/>
      <c r="E620" s="29"/>
      <c r="F620" s="30"/>
      <c r="G620" s="29"/>
      <c r="H620" s="30"/>
      <c r="I620" s="29"/>
      <c r="J620" s="30"/>
      <c r="K620" s="30"/>
      <c r="L620" s="29"/>
      <c r="M620" s="32" t="str">
        <f aca="false">IF(OR(C620="",L620=""),"",IF(C620=L620,"同一","変更"))</f>
        <v/>
      </c>
      <c r="N620" s="29"/>
      <c r="O620" s="30"/>
      <c r="P620" s="29"/>
      <c r="Q620" s="31"/>
      <c r="R620" s="29"/>
      <c r="S620" s="29"/>
      <c r="T620" s="30"/>
      <c r="U620" s="47" t="str">
        <f aca="false">IF(AND(B620&lt;&gt;"",B620=SW別シート!$C$3),COUNTIF(B$5:B620,B620),"")</f>
        <v/>
      </c>
      <c r="V620" s="47" t="n">
        <f aca="false">V619+IF(OR(O620&lt;&gt;"",W620&lt;&gt;""),1,0)</f>
        <v>3</v>
      </c>
      <c r="W620" s="29"/>
    </row>
    <row r="621" customFormat="false" ht="15" hidden="false" customHeight="false" outlineLevel="0" collapsed="false">
      <c r="A621" s="32" t="str">
        <f aca="false">IF(B621="","",ROW()-7)</f>
        <v/>
      </c>
      <c r="B621" s="30"/>
      <c r="C621" s="29"/>
      <c r="D621" s="29"/>
      <c r="E621" s="29"/>
      <c r="F621" s="30"/>
      <c r="G621" s="29"/>
      <c r="H621" s="30"/>
      <c r="I621" s="29"/>
      <c r="J621" s="30"/>
      <c r="K621" s="30"/>
      <c r="L621" s="29"/>
      <c r="M621" s="32" t="str">
        <f aca="false">IF(OR(C621="",L621=""),"",IF(C621=L621,"同一","変更"))</f>
        <v/>
      </c>
      <c r="N621" s="29"/>
      <c r="O621" s="30"/>
      <c r="P621" s="29"/>
      <c r="Q621" s="31"/>
      <c r="R621" s="29"/>
      <c r="S621" s="29"/>
      <c r="T621" s="30"/>
      <c r="U621" s="47" t="str">
        <f aca="false">IF(AND(B621&lt;&gt;"",B621=SW別シート!$C$3),COUNTIF(B$5:B621,B621),"")</f>
        <v/>
      </c>
      <c r="V621" s="47" t="n">
        <f aca="false">V620+IF(OR(O621&lt;&gt;"",W621&lt;&gt;""),1,0)</f>
        <v>3</v>
      </c>
      <c r="W621" s="29"/>
    </row>
    <row r="622" customFormat="false" ht="15" hidden="false" customHeight="false" outlineLevel="0" collapsed="false">
      <c r="A622" s="32" t="str">
        <f aca="false">IF(B622="","",ROW()-7)</f>
        <v/>
      </c>
      <c r="B622" s="30"/>
      <c r="C622" s="29"/>
      <c r="D622" s="29"/>
      <c r="E622" s="29"/>
      <c r="F622" s="30"/>
      <c r="G622" s="29"/>
      <c r="H622" s="30"/>
      <c r="I622" s="29"/>
      <c r="J622" s="30"/>
      <c r="K622" s="30"/>
      <c r="L622" s="29"/>
      <c r="M622" s="32" t="str">
        <f aca="false">IF(OR(C622="",L622=""),"",IF(C622=L622,"同一","変更"))</f>
        <v/>
      </c>
      <c r="N622" s="29"/>
      <c r="O622" s="30"/>
      <c r="P622" s="29"/>
      <c r="Q622" s="31"/>
      <c r="R622" s="29"/>
      <c r="S622" s="29"/>
      <c r="T622" s="30"/>
      <c r="U622" s="47" t="str">
        <f aca="false">IF(AND(B622&lt;&gt;"",B622=SW別シート!$C$3),COUNTIF(B$5:B622,B622),"")</f>
        <v/>
      </c>
      <c r="V622" s="47" t="n">
        <f aca="false">V621+IF(OR(O622&lt;&gt;"",W622&lt;&gt;""),1,0)</f>
        <v>3</v>
      </c>
      <c r="W622" s="29"/>
    </row>
    <row r="623" customFormat="false" ht="15" hidden="false" customHeight="false" outlineLevel="0" collapsed="false">
      <c r="A623" s="32" t="str">
        <f aca="false">IF(B623="","",ROW()-7)</f>
        <v/>
      </c>
      <c r="B623" s="30"/>
      <c r="C623" s="29"/>
      <c r="D623" s="29"/>
      <c r="E623" s="29"/>
      <c r="F623" s="30"/>
      <c r="G623" s="29"/>
      <c r="H623" s="30"/>
      <c r="I623" s="29"/>
      <c r="J623" s="30"/>
      <c r="K623" s="30"/>
      <c r="L623" s="29"/>
      <c r="M623" s="32" t="str">
        <f aca="false">IF(OR(C623="",L623=""),"",IF(C623=L623,"同一","変更"))</f>
        <v/>
      </c>
      <c r="N623" s="29"/>
      <c r="O623" s="30"/>
      <c r="P623" s="29"/>
      <c r="Q623" s="31"/>
      <c r="R623" s="29"/>
      <c r="S623" s="29"/>
      <c r="T623" s="30"/>
      <c r="U623" s="47" t="str">
        <f aca="false">IF(AND(B623&lt;&gt;"",B623=SW別シート!$C$3),COUNTIF(B$5:B623,B623),"")</f>
        <v/>
      </c>
      <c r="V623" s="47" t="n">
        <f aca="false">V622+IF(OR(O623&lt;&gt;"",W623&lt;&gt;""),1,0)</f>
        <v>3</v>
      </c>
      <c r="W623" s="29"/>
    </row>
    <row r="624" customFormat="false" ht="15" hidden="false" customHeight="false" outlineLevel="0" collapsed="false">
      <c r="A624" s="32" t="str">
        <f aca="false">IF(B624="","",ROW()-7)</f>
        <v/>
      </c>
      <c r="B624" s="30"/>
      <c r="C624" s="29"/>
      <c r="D624" s="29"/>
      <c r="E624" s="29"/>
      <c r="F624" s="30"/>
      <c r="G624" s="29"/>
      <c r="H624" s="30"/>
      <c r="I624" s="29"/>
      <c r="J624" s="30"/>
      <c r="K624" s="30"/>
      <c r="L624" s="29"/>
      <c r="M624" s="32" t="str">
        <f aca="false">IF(OR(C624="",L624=""),"",IF(C624=L624,"同一","変更"))</f>
        <v/>
      </c>
      <c r="N624" s="29"/>
      <c r="O624" s="30"/>
      <c r="P624" s="29"/>
      <c r="Q624" s="31"/>
      <c r="R624" s="29"/>
      <c r="S624" s="29"/>
      <c r="T624" s="30"/>
      <c r="U624" s="47" t="str">
        <f aca="false">IF(AND(B624&lt;&gt;"",B624=SW別シート!$C$3),COUNTIF(B$5:B624,B624),"")</f>
        <v/>
      </c>
      <c r="V624" s="47" t="n">
        <f aca="false">V623+IF(OR(O624&lt;&gt;"",W624&lt;&gt;""),1,0)</f>
        <v>3</v>
      </c>
      <c r="W624" s="29"/>
    </row>
    <row r="625" customFormat="false" ht="15" hidden="false" customHeight="false" outlineLevel="0" collapsed="false">
      <c r="A625" s="32" t="str">
        <f aca="false">IF(B625="","",ROW()-7)</f>
        <v/>
      </c>
      <c r="B625" s="30"/>
      <c r="C625" s="29"/>
      <c r="D625" s="29"/>
      <c r="E625" s="29"/>
      <c r="F625" s="30"/>
      <c r="G625" s="29"/>
      <c r="H625" s="30"/>
      <c r="I625" s="29"/>
      <c r="J625" s="30"/>
      <c r="K625" s="30"/>
      <c r="L625" s="29"/>
      <c r="M625" s="32" t="str">
        <f aca="false">IF(OR(C625="",L625=""),"",IF(C625=L625,"同一","変更"))</f>
        <v/>
      </c>
      <c r="N625" s="29"/>
      <c r="O625" s="30"/>
      <c r="P625" s="29"/>
      <c r="Q625" s="31"/>
      <c r="R625" s="29"/>
      <c r="S625" s="29"/>
      <c r="T625" s="30"/>
      <c r="U625" s="47" t="str">
        <f aca="false">IF(AND(B625&lt;&gt;"",B625=SW別シート!$C$3),COUNTIF(B$5:B625,B625),"")</f>
        <v/>
      </c>
      <c r="V625" s="47" t="n">
        <f aca="false">V624+IF(OR(O625&lt;&gt;"",W625&lt;&gt;""),1,0)</f>
        <v>3</v>
      </c>
      <c r="W625" s="29"/>
    </row>
    <row r="626" customFormat="false" ht="15" hidden="false" customHeight="false" outlineLevel="0" collapsed="false">
      <c r="A626" s="32" t="str">
        <f aca="false">IF(B626="","",ROW()-7)</f>
        <v/>
      </c>
      <c r="B626" s="30"/>
      <c r="C626" s="29"/>
      <c r="D626" s="29"/>
      <c r="E626" s="29"/>
      <c r="F626" s="30"/>
      <c r="G626" s="29"/>
      <c r="H626" s="30"/>
      <c r="I626" s="29"/>
      <c r="J626" s="30"/>
      <c r="K626" s="30"/>
      <c r="L626" s="29"/>
      <c r="M626" s="32" t="str">
        <f aca="false">IF(OR(C626="",L626=""),"",IF(C626=L626,"同一","変更"))</f>
        <v/>
      </c>
      <c r="N626" s="29"/>
      <c r="O626" s="30"/>
      <c r="P626" s="29"/>
      <c r="Q626" s="31"/>
      <c r="R626" s="29"/>
      <c r="S626" s="29"/>
      <c r="T626" s="30"/>
      <c r="U626" s="47" t="str">
        <f aca="false">IF(AND(B626&lt;&gt;"",B626=SW別シート!$C$3),COUNTIF(B$5:B626,B626),"")</f>
        <v/>
      </c>
      <c r="V626" s="47" t="n">
        <f aca="false">V625+IF(OR(O626&lt;&gt;"",W626&lt;&gt;""),1,0)</f>
        <v>3</v>
      </c>
      <c r="W626" s="29"/>
    </row>
    <row r="627" customFormat="false" ht="15" hidden="false" customHeight="false" outlineLevel="0" collapsed="false">
      <c r="A627" s="32" t="str">
        <f aca="false">IF(B627="","",ROW()-7)</f>
        <v/>
      </c>
      <c r="B627" s="30"/>
      <c r="C627" s="29"/>
      <c r="D627" s="29"/>
      <c r="E627" s="29"/>
      <c r="F627" s="30"/>
      <c r="G627" s="29"/>
      <c r="H627" s="30"/>
      <c r="I627" s="29"/>
      <c r="J627" s="30"/>
      <c r="K627" s="30"/>
      <c r="L627" s="29"/>
      <c r="M627" s="32" t="str">
        <f aca="false">IF(OR(C627="",L627=""),"",IF(C627=L627,"同一","変更"))</f>
        <v/>
      </c>
      <c r="N627" s="29"/>
      <c r="O627" s="30"/>
      <c r="P627" s="29"/>
      <c r="Q627" s="31"/>
      <c r="R627" s="29"/>
      <c r="S627" s="29"/>
      <c r="T627" s="30"/>
      <c r="U627" s="47" t="str">
        <f aca="false">IF(AND(B627&lt;&gt;"",B627=SW別シート!$C$3),COUNTIF(B$5:B627,B627),"")</f>
        <v/>
      </c>
      <c r="V627" s="47" t="n">
        <f aca="false">V626+IF(OR(O627&lt;&gt;"",W627&lt;&gt;""),1,0)</f>
        <v>3</v>
      </c>
      <c r="W627" s="29"/>
    </row>
    <row r="628" customFormat="false" ht="15" hidden="false" customHeight="false" outlineLevel="0" collapsed="false">
      <c r="A628" s="32" t="str">
        <f aca="false">IF(B628="","",ROW()-7)</f>
        <v/>
      </c>
      <c r="B628" s="30"/>
      <c r="C628" s="29"/>
      <c r="D628" s="29"/>
      <c r="E628" s="29"/>
      <c r="F628" s="30"/>
      <c r="G628" s="29"/>
      <c r="H628" s="30"/>
      <c r="I628" s="29"/>
      <c r="J628" s="30"/>
      <c r="K628" s="30"/>
      <c r="L628" s="29"/>
      <c r="M628" s="32" t="str">
        <f aca="false">IF(OR(C628="",L628=""),"",IF(C628=L628,"同一","変更"))</f>
        <v/>
      </c>
      <c r="N628" s="29"/>
      <c r="O628" s="30"/>
      <c r="P628" s="29"/>
      <c r="Q628" s="31"/>
      <c r="R628" s="29"/>
      <c r="S628" s="29"/>
      <c r="T628" s="30"/>
      <c r="U628" s="47" t="str">
        <f aca="false">IF(AND(B628&lt;&gt;"",B628=SW別シート!$C$3),COUNTIF(B$5:B628,B628),"")</f>
        <v/>
      </c>
      <c r="V628" s="47" t="n">
        <f aca="false">V627+IF(OR(O628&lt;&gt;"",W628&lt;&gt;""),1,0)</f>
        <v>3</v>
      </c>
      <c r="W628" s="29"/>
    </row>
    <row r="629" customFormat="false" ht="15" hidden="false" customHeight="false" outlineLevel="0" collapsed="false">
      <c r="A629" s="32" t="str">
        <f aca="false">IF(B629="","",ROW()-7)</f>
        <v/>
      </c>
      <c r="B629" s="30"/>
      <c r="C629" s="29"/>
      <c r="D629" s="29"/>
      <c r="E629" s="29"/>
      <c r="F629" s="30"/>
      <c r="G629" s="29"/>
      <c r="H629" s="30"/>
      <c r="I629" s="29"/>
      <c r="J629" s="30"/>
      <c r="K629" s="30"/>
      <c r="L629" s="29"/>
      <c r="M629" s="32" t="str">
        <f aca="false">IF(OR(C629="",L629=""),"",IF(C629=L629,"同一","変更"))</f>
        <v/>
      </c>
      <c r="N629" s="29"/>
      <c r="O629" s="30"/>
      <c r="P629" s="29"/>
      <c r="Q629" s="31"/>
      <c r="R629" s="29"/>
      <c r="S629" s="29"/>
      <c r="T629" s="30"/>
      <c r="U629" s="47" t="str">
        <f aca="false">IF(AND(B629&lt;&gt;"",B629=SW別シート!$C$3),COUNTIF(B$5:B629,B629),"")</f>
        <v/>
      </c>
      <c r="V629" s="47" t="n">
        <f aca="false">V628+IF(OR(O629&lt;&gt;"",W629&lt;&gt;""),1,0)</f>
        <v>3</v>
      </c>
      <c r="W629" s="29"/>
    </row>
    <row r="630" customFormat="false" ht="15" hidden="false" customHeight="false" outlineLevel="0" collapsed="false">
      <c r="A630" s="32" t="str">
        <f aca="false">IF(B630="","",ROW()-7)</f>
        <v/>
      </c>
      <c r="B630" s="30"/>
      <c r="C630" s="29"/>
      <c r="D630" s="29"/>
      <c r="E630" s="29"/>
      <c r="F630" s="30"/>
      <c r="G630" s="29"/>
      <c r="H630" s="30"/>
      <c r="I630" s="29"/>
      <c r="J630" s="30"/>
      <c r="K630" s="30"/>
      <c r="L630" s="29"/>
      <c r="M630" s="32" t="str">
        <f aca="false">IF(OR(C630="",L630=""),"",IF(C630=L630,"同一","変更"))</f>
        <v/>
      </c>
      <c r="N630" s="29"/>
      <c r="O630" s="30"/>
      <c r="P630" s="29"/>
      <c r="Q630" s="31"/>
      <c r="R630" s="29"/>
      <c r="S630" s="29"/>
      <c r="T630" s="30"/>
      <c r="U630" s="47" t="str">
        <f aca="false">IF(AND(B630&lt;&gt;"",B630=SW別シート!$C$3),COUNTIF(B$5:B630,B630),"")</f>
        <v/>
      </c>
      <c r="V630" s="47" t="n">
        <f aca="false">V629+IF(OR(O630&lt;&gt;"",W630&lt;&gt;""),1,0)</f>
        <v>3</v>
      </c>
      <c r="W630" s="29"/>
    </row>
    <row r="631" customFormat="false" ht="15" hidden="false" customHeight="false" outlineLevel="0" collapsed="false">
      <c r="A631" s="32" t="str">
        <f aca="false">IF(B631="","",ROW()-7)</f>
        <v/>
      </c>
      <c r="B631" s="30"/>
      <c r="C631" s="29"/>
      <c r="D631" s="29"/>
      <c r="E631" s="29"/>
      <c r="F631" s="30"/>
      <c r="G631" s="29"/>
      <c r="H631" s="30"/>
      <c r="I631" s="29"/>
      <c r="J631" s="30"/>
      <c r="K631" s="30"/>
      <c r="L631" s="29"/>
      <c r="M631" s="32" t="str">
        <f aca="false">IF(OR(C631="",L631=""),"",IF(C631=L631,"同一","変更"))</f>
        <v/>
      </c>
      <c r="N631" s="29"/>
      <c r="O631" s="30"/>
      <c r="P631" s="29"/>
      <c r="Q631" s="31"/>
      <c r="R631" s="29"/>
      <c r="S631" s="29"/>
      <c r="T631" s="30"/>
      <c r="U631" s="47" t="str">
        <f aca="false">IF(AND(B631&lt;&gt;"",B631=SW別シート!$C$3),COUNTIF(B$5:B631,B631),"")</f>
        <v/>
      </c>
      <c r="V631" s="47" t="n">
        <f aca="false">V630+IF(OR(O631&lt;&gt;"",W631&lt;&gt;""),1,0)</f>
        <v>3</v>
      </c>
      <c r="W631" s="29"/>
    </row>
    <row r="632" customFormat="false" ht="15" hidden="false" customHeight="false" outlineLevel="0" collapsed="false">
      <c r="A632" s="32" t="str">
        <f aca="false">IF(B632="","",ROW()-7)</f>
        <v/>
      </c>
      <c r="B632" s="30"/>
      <c r="C632" s="29"/>
      <c r="D632" s="29"/>
      <c r="E632" s="29"/>
      <c r="F632" s="30"/>
      <c r="G632" s="29"/>
      <c r="H632" s="30"/>
      <c r="I632" s="29"/>
      <c r="J632" s="30"/>
      <c r="K632" s="30"/>
      <c r="L632" s="29"/>
      <c r="M632" s="32" t="str">
        <f aca="false">IF(OR(C632="",L632=""),"",IF(C632=L632,"同一","変更"))</f>
        <v/>
      </c>
      <c r="N632" s="29"/>
      <c r="O632" s="30"/>
      <c r="P632" s="29"/>
      <c r="Q632" s="31"/>
      <c r="R632" s="29"/>
      <c r="S632" s="29"/>
      <c r="T632" s="30"/>
      <c r="U632" s="47" t="str">
        <f aca="false">IF(AND(B632&lt;&gt;"",B632=SW別シート!$C$3),COUNTIF(B$5:B632,B632),"")</f>
        <v/>
      </c>
      <c r="V632" s="47" t="n">
        <f aca="false">V631+IF(OR(O632&lt;&gt;"",W632&lt;&gt;""),1,0)</f>
        <v>3</v>
      </c>
      <c r="W632" s="29"/>
    </row>
    <row r="633" customFormat="false" ht="15" hidden="false" customHeight="false" outlineLevel="0" collapsed="false">
      <c r="A633" s="32" t="str">
        <f aca="false">IF(B633="","",ROW()-7)</f>
        <v/>
      </c>
      <c r="B633" s="30"/>
      <c r="C633" s="29"/>
      <c r="D633" s="29"/>
      <c r="E633" s="29"/>
      <c r="F633" s="30"/>
      <c r="G633" s="29"/>
      <c r="H633" s="30"/>
      <c r="I633" s="29"/>
      <c r="J633" s="30"/>
      <c r="K633" s="30"/>
      <c r="L633" s="29"/>
      <c r="M633" s="32" t="str">
        <f aca="false">IF(OR(C633="",L633=""),"",IF(C633=L633,"同一","変更"))</f>
        <v/>
      </c>
      <c r="N633" s="29"/>
      <c r="O633" s="30"/>
      <c r="P633" s="29"/>
      <c r="Q633" s="31"/>
      <c r="R633" s="29"/>
      <c r="S633" s="29"/>
      <c r="T633" s="30"/>
      <c r="U633" s="47" t="str">
        <f aca="false">IF(AND(B633&lt;&gt;"",B633=SW別シート!$C$3),COUNTIF(B$5:B633,B633),"")</f>
        <v/>
      </c>
      <c r="V633" s="47" t="n">
        <f aca="false">V632+IF(OR(O633&lt;&gt;"",W633&lt;&gt;""),1,0)</f>
        <v>3</v>
      </c>
      <c r="W633" s="29"/>
    </row>
    <row r="634" customFormat="false" ht="15" hidden="false" customHeight="false" outlineLevel="0" collapsed="false">
      <c r="A634" s="32" t="str">
        <f aca="false">IF(B634="","",ROW()-7)</f>
        <v/>
      </c>
      <c r="B634" s="30"/>
      <c r="C634" s="29"/>
      <c r="D634" s="29"/>
      <c r="E634" s="29"/>
      <c r="F634" s="30"/>
      <c r="G634" s="29"/>
      <c r="H634" s="30"/>
      <c r="I634" s="29"/>
      <c r="J634" s="30"/>
      <c r="K634" s="30"/>
      <c r="L634" s="29"/>
      <c r="M634" s="32" t="str">
        <f aca="false">IF(OR(C634="",L634=""),"",IF(C634=L634,"同一","変更"))</f>
        <v/>
      </c>
      <c r="N634" s="29"/>
      <c r="O634" s="30"/>
      <c r="P634" s="29"/>
      <c r="Q634" s="31"/>
      <c r="R634" s="29"/>
      <c r="S634" s="29"/>
      <c r="T634" s="30"/>
      <c r="U634" s="47" t="str">
        <f aca="false">IF(AND(B634&lt;&gt;"",B634=SW別シート!$C$3),COUNTIF(B$5:B634,B634),"")</f>
        <v/>
      </c>
      <c r="V634" s="47" t="n">
        <f aca="false">V633+IF(OR(O634&lt;&gt;"",W634&lt;&gt;""),1,0)</f>
        <v>3</v>
      </c>
      <c r="W634" s="29"/>
    </row>
    <row r="635" customFormat="false" ht="15" hidden="false" customHeight="false" outlineLevel="0" collapsed="false">
      <c r="A635" s="32" t="str">
        <f aca="false">IF(B635="","",ROW()-7)</f>
        <v/>
      </c>
      <c r="B635" s="30"/>
      <c r="C635" s="29"/>
      <c r="D635" s="29"/>
      <c r="E635" s="29"/>
      <c r="F635" s="30"/>
      <c r="G635" s="29"/>
      <c r="H635" s="30"/>
      <c r="I635" s="29"/>
      <c r="J635" s="30"/>
      <c r="K635" s="30"/>
      <c r="L635" s="29"/>
      <c r="M635" s="32" t="str">
        <f aca="false">IF(OR(C635="",L635=""),"",IF(C635=L635,"同一","変更"))</f>
        <v/>
      </c>
      <c r="N635" s="29"/>
      <c r="O635" s="30"/>
      <c r="P635" s="29"/>
      <c r="Q635" s="31"/>
      <c r="R635" s="29"/>
      <c r="S635" s="29"/>
      <c r="T635" s="30"/>
      <c r="U635" s="47" t="str">
        <f aca="false">IF(AND(B635&lt;&gt;"",B635=SW別シート!$C$3),COUNTIF(B$5:B635,B635),"")</f>
        <v/>
      </c>
      <c r="V635" s="47" t="n">
        <f aca="false">V634+IF(OR(O635&lt;&gt;"",W635&lt;&gt;""),1,0)</f>
        <v>3</v>
      </c>
      <c r="W635" s="29"/>
    </row>
    <row r="636" customFormat="false" ht="15" hidden="false" customHeight="false" outlineLevel="0" collapsed="false">
      <c r="A636" s="32" t="str">
        <f aca="false">IF(B636="","",ROW()-7)</f>
        <v/>
      </c>
      <c r="B636" s="30"/>
      <c r="C636" s="29"/>
      <c r="D636" s="29"/>
      <c r="E636" s="29"/>
      <c r="F636" s="30"/>
      <c r="G636" s="29"/>
      <c r="H636" s="30"/>
      <c r="I636" s="29"/>
      <c r="J636" s="30"/>
      <c r="K636" s="30"/>
      <c r="L636" s="29"/>
      <c r="M636" s="32" t="str">
        <f aca="false">IF(OR(C636="",L636=""),"",IF(C636=L636,"同一","変更"))</f>
        <v/>
      </c>
      <c r="N636" s="29"/>
      <c r="O636" s="30"/>
      <c r="P636" s="29"/>
      <c r="Q636" s="31"/>
      <c r="R636" s="29"/>
      <c r="S636" s="29"/>
      <c r="T636" s="30"/>
      <c r="U636" s="47" t="str">
        <f aca="false">IF(AND(B636&lt;&gt;"",B636=SW別シート!$C$3),COUNTIF(B$5:B636,B636),"")</f>
        <v/>
      </c>
      <c r="V636" s="47" t="n">
        <f aca="false">V635+IF(OR(O636&lt;&gt;"",W636&lt;&gt;""),1,0)</f>
        <v>3</v>
      </c>
      <c r="W636" s="29"/>
    </row>
    <row r="637" customFormat="false" ht="15" hidden="false" customHeight="false" outlineLevel="0" collapsed="false">
      <c r="A637" s="32" t="str">
        <f aca="false">IF(B637="","",ROW()-7)</f>
        <v/>
      </c>
      <c r="B637" s="30"/>
      <c r="C637" s="29"/>
      <c r="D637" s="29"/>
      <c r="E637" s="29"/>
      <c r="F637" s="30"/>
      <c r="G637" s="29"/>
      <c r="H637" s="30"/>
      <c r="I637" s="29"/>
      <c r="J637" s="30"/>
      <c r="K637" s="30"/>
      <c r="L637" s="29"/>
      <c r="M637" s="32" t="str">
        <f aca="false">IF(OR(C637="",L637=""),"",IF(C637=L637,"同一","変更"))</f>
        <v/>
      </c>
      <c r="N637" s="29"/>
      <c r="O637" s="30"/>
      <c r="P637" s="29"/>
      <c r="Q637" s="31"/>
      <c r="R637" s="29"/>
      <c r="S637" s="29"/>
      <c r="T637" s="30"/>
      <c r="U637" s="47" t="str">
        <f aca="false">IF(AND(B637&lt;&gt;"",B637=SW別シート!$C$3),COUNTIF(B$5:B637,B637),"")</f>
        <v/>
      </c>
      <c r="V637" s="47" t="n">
        <f aca="false">V636+IF(OR(O637&lt;&gt;"",W637&lt;&gt;""),1,0)</f>
        <v>3</v>
      </c>
      <c r="W637" s="29"/>
    </row>
    <row r="638" customFormat="false" ht="15" hidden="false" customHeight="false" outlineLevel="0" collapsed="false">
      <c r="A638" s="32" t="str">
        <f aca="false">IF(B638="","",ROW()-7)</f>
        <v/>
      </c>
      <c r="B638" s="30"/>
      <c r="C638" s="29"/>
      <c r="D638" s="29"/>
      <c r="E638" s="29"/>
      <c r="F638" s="30"/>
      <c r="G638" s="29"/>
      <c r="H638" s="30"/>
      <c r="I638" s="29"/>
      <c r="J638" s="30"/>
      <c r="K638" s="30"/>
      <c r="L638" s="29"/>
      <c r="M638" s="32" t="str">
        <f aca="false">IF(OR(C638="",L638=""),"",IF(C638=L638,"同一","変更"))</f>
        <v/>
      </c>
      <c r="N638" s="29"/>
      <c r="O638" s="30"/>
      <c r="P638" s="29"/>
      <c r="Q638" s="31"/>
      <c r="R638" s="29"/>
      <c r="S638" s="29"/>
      <c r="T638" s="30"/>
      <c r="U638" s="47" t="str">
        <f aca="false">IF(AND(B638&lt;&gt;"",B638=SW別シート!$C$3),COUNTIF(B$5:B638,B638),"")</f>
        <v/>
      </c>
      <c r="V638" s="47" t="n">
        <f aca="false">V637+IF(OR(O638&lt;&gt;"",W638&lt;&gt;""),1,0)</f>
        <v>3</v>
      </c>
      <c r="W638" s="29"/>
    </row>
    <row r="639" customFormat="false" ht="15" hidden="false" customHeight="false" outlineLevel="0" collapsed="false">
      <c r="A639" s="32" t="str">
        <f aca="false">IF(B639="","",ROW()-7)</f>
        <v/>
      </c>
      <c r="B639" s="30"/>
      <c r="C639" s="29"/>
      <c r="D639" s="29"/>
      <c r="E639" s="29"/>
      <c r="F639" s="30"/>
      <c r="G639" s="29"/>
      <c r="H639" s="30"/>
      <c r="I639" s="29"/>
      <c r="J639" s="30"/>
      <c r="K639" s="30"/>
      <c r="L639" s="29"/>
      <c r="M639" s="32" t="str">
        <f aca="false">IF(OR(C639="",L639=""),"",IF(C639=L639,"同一","変更"))</f>
        <v/>
      </c>
      <c r="N639" s="29"/>
      <c r="O639" s="30"/>
      <c r="P639" s="29"/>
      <c r="Q639" s="31"/>
      <c r="R639" s="29"/>
      <c r="S639" s="29"/>
      <c r="T639" s="30"/>
      <c r="U639" s="47" t="str">
        <f aca="false">IF(AND(B639&lt;&gt;"",B639=SW別シート!$C$3),COUNTIF(B$5:B639,B639),"")</f>
        <v/>
      </c>
      <c r="V639" s="47" t="n">
        <f aca="false">V638+IF(OR(O639&lt;&gt;"",W639&lt;&gt;""),1,0)</f>
        <v>3</v>
      </c>
      <c r="W639" s="29"/>
    </row>
    <row r="640" customFormat="false" ht="15" hidden="false" customHeight="false" outlineLevel="0" collapsed="false">
      <c r="A640" s="32" t="str">
        <f aca="false">IF(B640="","",ROW()-7)</f>
        <v/>
      </c>
      <c r="B640" s="30"/>
      <c r="C640" s="29"/>
      <c r="D640" s="29"/>
      <c r="E640" s="29"/>
      <c r="F640" s="30"/>
      <c r="G640" s="29"/>
      <c r="H640" s="30"/>
      <c r="I640" s="29"/>
      <c r="J640" s="30"/>
      <c r="K640" s="30"/>
      <c r="L640" s="29"/>
      <c r="M640" s="32" t="str">
        <f aca="false">IF(OR(C640="",L640=""),"",IF(C640=L640,"同一","変更"))</f>
        <v/>
      </c>
      <c r="N640" s="29"/>
      <c r="O640" s="30"/>
      <c r="P640" s="29"/>
      <c r="Q640" s="31"/>
      <c r="R640" s="29"/>
      <c r="S640" s="29"/>
      <c r="T640" s="30"/>
      <c r="U640" s="47" t="str">
        <f aca="false">IF(AND(B640&lt;&gt;"",B640=SW別シート!$C$3),COUNTIF(B$5:B640,B640),"")</f>
        <v/>
      </c>
      <c r="V640" s="47" t="n">
        <f aca="false">V639+IF(OR(O640&lt;&gt;"",W640&lt;&gt;""),1,0)</f>
        <v>3</v>
      </c>
      <c r="W640" s="29"/>
    </row>
    <row r="641" customFormat="false" ht="15" hidden="false" customHeight="false" outlineLevel="0" collapsed="false">
      <c r="A641" s="32" t="str">
        <f aca="false">IF(B641="","",ROW()-7)</f>
        <v/>
      </c>
      <c r="B641" s="30"/>
      <c r="C641" s="29"/>
      <c r="D641" s="29"/>
      <c r="E641" s="29"/>
      <c r="F641" s="30"/>
      <c r="G641" s="29"/>
      <c r="H641" s="30"/>
      <c r="I641" s="29"/>
      <c r="J641" s="30"/>
      <c r="K641" s="30"/>
      <c r="L641" s="29"/>
      <c r="M641" s="32" t="str">
        <f aca="false">IF(OR(C641="",L641=""),"",IF(C641=L641,"同一","変更"))</f>
        <v/>
      </c>
      <c r="N641" s="29"/>
      <c r="O641" s="30"/>
      <c r="P641" s="29"/>
      <c r="Q641" s="31"/>
      <c r="R641" s="29"/>
      <c r="S641" s="29"/>
      <c r="T641" s="30"/>
      <c r="U641" s="47" t="str">
        <f aca="false">IF(AND(B641&lt;&gt;"",B641=SW別シート!$C$3),COUNTIF(B$5:B641,B641),"")</f>
        <v/>
      </c>
      <c r="V641" s="47" t="n">
        <f aca="false">V640+IF(OR(O641&lt;&gt;"",W641&lt;&gt;""),1,0)</f>
        <v>3</v>
      </c>
      <c r="W641" s="29"/>
    </row>
    <row r="642" customFormat="false" ht="15" hidden="false" customHeight="false" outlineLevel="0" collapsed="false">
      <c r="A642" s="32" t="str">
        <f aca="false">IF(B642="","",ROW()-7)</f>
        <v/>
      </c>
      <c r="B642" s="30"/>
      <c r="C642" s="29"/>
      <c r="D642" s="29"/>
      <c r="E642" s="29"/>
      <c r="F642" s="30"/>
      <c r="G642" s="29"/>
      <c r="H642" s="30"/>
      <c r="I642" s="29"/>
      <c r="J642" s="30"/>
      <c r="K642" s="30"/>
      <c r="L642" s="29"/>
      <c r="M642" s="32" t="str">
        <f aca="false">IF(OR(C642="",L642=""),"",IF(C642=L642,"同一","変更"))</f>
        <v/>
      </c>
      <c r="N642" s="29"/>
      <c r="O642" s="30"/>
      <c r="P642" s="29"/>
      <c r="Q642" s="31"/>
      <c r="R642" s="29"/>
      <c r="S642" s="29"/>
      <c r="T642" s="30"/>
      <c r="U642" s="47" t="str">
        <f aca="false">IF(AND(B642&lt;&gt;"",B642=SW別シート!$C$3),COUNTIF(B$5:B642,B642),"")</f>
        <v/>
      </c>
      <c r="V642" s="47" t="n">
        <f aca="false">V641+IF(OR(O642&lt;&gt;"",W642&lt;&gt;""),1,0)</f>
        <v>3</v>
      </c>
      <c r="W642" s="29"/>
    </row>
    <row r="643" customFormat="false" ht="15" hidden="false" customHeight="false" outlineLevel="0" collapsed="false">
      <c r="A643" s="32" t="str">
        <f aca="false">IF(B643="","",ROW()-7)</f>
        <v/>
      </c>
      <c r="B643" s="30"/>
      <c r="C643" s="29"/>
      <c r="D643" s="29"/>
      <c r="E643" s="29"/>
      <c r="F643" s="30"/>
      <c r="G643" s="29"/>
      <c r="H643" s="30"/>
      <c r="I643" s="29"/>
      <c r="J643" s="30"/>
      <c r="K643" s="30"/>
      <c r="L643" s="29"/>
      <c r="M643" s="32" t="str">
        <f aca="false">IF(OR(C643="",L643=""),"",IF(C643=L643,"同一","変更"))</f>
        <v/>
      </c>
      <c r="N643" s="29"/>
      <c r="O643" s="30"/>
      <c r="P643" s="29"/>
      <c r="Q643" s="31"/>
      <c r="R643" s="29"/>
      <c r="S643" s="29"/>
      <c r="T643" s="30"/>
      <c r="U643" s="47" t="str">
        <f aca="false">IF(AND(B643&lt;&gt;"",B643=SW別シート!$C$3),COUNTIF(B$5:B643,B643),"")</f>
        <v/>
      </c>
      <c r="V643" s="47" t="n">
        <f aca="false">V642+IF(OR(O643&lt;&gt;"",W643&lt;&gt;""),1,0)</f>
        <v>3</v>
      </c>
      <c r="W643" s="29"/>
    </row>
    <row r="644" customFormat="false" ht="15" hidden="false" customHeight="false" outlineLevel="0" collapsed="false">
      <c r="A644" s="32" t="str">
        <f aca="false">IF(B644="","",ROW()-7)</f>
        <v/>
      </c>
      <c r="B644" s="30"/>
      <c r="C644" s="29"/>
      <c r="D644" s="29"/>
      <c r="E644" s="29"/>
      <c r="F644" s="30"/>
      <c r="G644" s="29"/>
      <c r="H644" s="30"/>
      <c r="I644" s="29"/>
      <c r="J644" s="30"/>
      <c r="K644" s="30"/>
      <c r="L644" s="29"/>
      <c r="M644" s="32" t="str">
        <f aca="false">IF(OR(C644="",L644=""),"",IF(C644=L644,"同一","変更"))</f>
        <v/>
      </c>
      <c r="N644" s="29"/>
      <c r="O644" s="30"/>
      <c r="P644" s="29"/>
      <c r="Q644" s="31"/>
      <c r="R644" s="29"/>
      <c r="S644" s="29"/>
      <c r="T644" s="30"/>
      <c r="U644" s="47" t="str">
        <f aca="false">IF(AND(B644&lt;&gt;"",B644=SW別シート!$C$3),COUNTIF(B$5:B644,B644),"")</f>
        <v/>
      </c>
      <c r="V644" s="47" t="n">
        <f aca="false">V643+IF(OR(O644&lt;&gt;"",W644&lt;&gt;""),1,0)</f>
        <v>3</v>
      </c>
      <c r="W644" s="29"/>
    </row>
    <row r="645" customFormat="false" ht="15" hidden="false" customHeight="false" outlineLevel="0" collapsed="false">
      <c r="A645" s="32" t="str">
        <f aca="false">IF(B645="","",ROW()-7)</f>
        <v/>
      </c>
      <c r="B645" s="30"/>
      <c r="C645" s="29"/>
      <c r="D645" s="29"/>
      <c r="E645" s="29"/>
      <c r="F645" s="30"/>
      <c r="G645" s="29"/>
      <c r="H645" s="30"/>
      <c r="I645" s="29"/>
      <c r="J645" s="30"/>
      <c r="K645" s="30"/>
      <c r="L645" s="29"/>
      <c r="M645" s="32" t="str">
        <f aca="false">IF(OR(C645="",L645=""),"",IF(C645=L645,"同一","変更"))</f>
        <v/>
      </c>
      <c r="N645" s="29"/>
      <c r="O645" s="30"/>
      <c r="P645" s="29"/>
      <c r="Q645" s="31"/>
      <c r="R645" s="29"/>
      <c r="S645" s="29"/>
      <c r="T645" s="30"/>
      <c r="U645" s="47" t="str">
        <f aca="false">IF(AND(B645&lt;&gt;"",B645=SW別シート!$C$3),COUNTIF(B$5:B645,B645),"")</f>
        <v/>
      </c>
      <c r="V645" s="47" t="n">
        <f aca="false">V644+IF(OR(O645&lt;&gt;"",W645&lt;&gt;""),1,0)</f>
        <v>3</v>
      </c>
      <c r="W645" s="29"/>
    </row>
    <row r="646" customFormat="false" ht="15" hidden="false" customHeight="false" outlineLevel="0" collapsed="false">
      <c r="A646" s="32" t="str">
        <f aca="false">IF(B646="","",ROW()-7)</f>
        <v/>
      </c>
      <c r="B646" s="30"/>
      <c r="C646" s="29"/>
      <c r="D646" s="29"/>
      <c r="E646" s="29"/>
      <c r="F646" s="30"/>
      <c r="G646" s="29"/>
      <c r="H646" s="30"/>
      <c r="I646" s="29"/>
      <c r="J646" s="30"/>
      <c r="K646" s="30"/>
      <c r="L646" s="29"/>
      <c r="M646" s="32" t="str">
        <f aca="false">IF(OR(C646="",L646=""),"",IF(C646=L646,"同一","変更"))</f>
        <v/>
      </c>
      <c r="N646" s="29"/>
      <c r="O646" s="30"/>
      <c r="P646" s="29"/>
      <c r="Q646" s="31"/>
      <c r="R646" s="29"/>
      <c r="S646" s="29"/>
      <c r="T646" s="30"/>
      <c r="U646" s="47" t="str">
        <f aca="false">IF(AND(B646&lt;&gt;"",B646=SW別シート!$C$3),COUNTIF(B$5:B646,B646),"")</f>
        <v/>
      </c>
      <c r="V646" s="47" t="n">
        <f aca="false">V645+IF(OR(O646&lt;&gt;"",W646&lt;&gt;""),1,0)</f>
        <v>3</v>
      </c>
      <c r="W646" s="29"/>
    </row>
    <row r="647" customFormat="false" ht="15" hidden="false" customHeight="false" outlineLevel="0" collapsed="false">
      <c r="A647" s="32" t="str">
        <f aca="false">IF(B647="","",ROW()-7)</f>
        <v/>
      </c>
      <c r="B647" s="30"/>
      <c r="C647" s="29"/>
      <c r="D647" s="29"/>
      <c r="E647" s="29"/>
      <c r="F647" s="30"/>
      <c r="G647" s="29"/>
      <c r="H647" s="30"/>
      <c r="I647" s="29"/>
      <c r="J647" s="30"/>
      <c r="K647" s="30"/>
      <c r="L647" s="29"/>
      <c r="M647" s="32" t="str">
        <f aca="false">IF(OR(C647="",L647=""),"",IF(C647=L647,"同一","変更"))</f>
        <v/>
      </c>
      <c r="N647" s="29"/>
      <c r="O647" s="30"/>
      <c r="P647" s="29"/>
      <c r="Q647" s="31"/>
      <c r="R647" s="29"/>
      <c r="S647" s="29"/>
      <c r="T647" s="30"/>
      <c r="U647" s="47" t="str">
        <f aca="false">IF(AND(B647&lt;&gt;"",B647=SW別シート!$C$3),COUNTIF(B$5:B647,B647),"")</f>
        <v/>
      </c>
      <c r="V647" s="47" t="n">
        <f aca="false">V646+IF(OR(O647&lt;&gt;"",W647&lt;&gt;""),1,0)</f>
        <v>3</v>
      </c>
      <c r="W647" s="29"/>
    </row>
    <row r="648" customFormat="false" ht="15" hidden="false" customHeight="false" outlineLevel="0" collapsed="false">
      <c r="A648" s="32" t="str">
        <f aca="false">IF(B648="","",ROW()-7)</f>
        <v/>
      </c>
      <c r="B648" s="30"/>
      <c r="C648" s="29"/>
      <c r="D648" s="29"/>
      <c r="E648" s="29"/>
      <c r="F648" s="30"/>
      <c r="G648" s="29"/>
      <c r="H648" s="30"/>
      <c r="I648" s="29"/>
      <c r="J648" s="30"/>
      <c r="K648" s="30"/>
      <c r="L648" s="29"/>
      <c r="M648" s="32" t="str">
        <f aca="false">IF(OR(C648="",L648=""),"",IF(C648=L648,"同一","変更"))</f>
        <v/>
      </c>
      <c r="N648" s="29"/>
      <c r="O648" s="30"/>
      <c r="P648" s="29"/>
      <c r="Q648" s="31"/>
      <c r="R648" s="29"/>
      <c r="S648" s="29"/>
      <c r="T648" s="30"/>
      <c r="U648" s="47" t="str">
        <f aca="false">IF(AND(B648&lt;&gt;"",B648=SW別シート!$C$3),COUNTIF(B$5:B648,B648),"")</f>
        <v/>
      </c>
      <c r="V648" s="47" t="n">
        <f aca="false">V647+IF(OR(O648&lt;&gt;"",W648&lt;&gt;""),1,0)</f>
        <v>3</v>
      </c>
      <c r="W648" s="29"/>
    </row>
    <row r="649" customFormat="false" ht="15" hidden="false" customHeight="false" outlineLevel="0" collapsed="false">
      <c r="A649" s="32" t="str">
        <f aca="false">IF(B649="","",ROW()-7)</f>
        <v/>
      </c>
      <c r="B649" s="30"/>
      <c r="C649" s="29"/>
      <c r="D649" s="29"/>
      <c r="E649" s="29"/>
      <c r="F649" s="30"/>
      <c r="G649" s="29"/>
      <c r="H649" s="30"/>
      <c r="I649" s="29"/>
      <c r="J649" s="30"/>
      <c r="K649" s="30"/>
      <c r="L649" s="29"/>
      <c r="M649" s="32" t="str">
        <f aca="false">IF(OR(C649="",L649=""),"",IF(C649=L649,"同一","変更"))</f>
        <v/>
      </c>
      <c r="N649" s="29"/>
      <c r="O649" s="30"/>
      <c r="P649" s="29"/>
      <c r="Q649" s="31"/>
      <c r="R649" s="29"/>
      <c r="S649" s="29"/>
      <c r="T649" s="30"/>
      <c r="U649" s="47" t="str">
        <f aca="false">IF(AND(B649&lt;&gt;"",B649=SW別シート!$C$3),COUNTIF(B$5:B649,B649),"")</f>
        <v/>
      </c>
      <c r="V649" s="47" t="n">
        <f aca="false">V648+IF(OR(O649&lt;&gt;"",W649&lt;&gt;""),1,0)</f>
        <v>3</v>
      </c>
      <c r="W649" s="29"/>
    </row>
    <row r="650" customFormat="false" ht="15" hidden="false" customHeight="false" outlineLevel="0" collapsed="false">
      <c r="A650" s="32" t="str">
        <f aca="false">IF(B650="","",ROW()-7)</f>
        <v/>
      </c>
      <c r="B650" s="30"/>
      <c r="C650" s="29"/>
      <c r="D650" s="29"/>
      <c r="E650" s="29"/>
      <c r="F650" s="30"/>
      <c r="G650" s="29"/>
      <c r="H650" s="30"/>
      <c r="I650" s="29"/>
      <c r="J650" s="30"/>
      <c r="K650" s="30"/>
      <c r="L650" s="29"/>
      <c r="M650" s="32" t="str">
        <f aca="false">IF(OR(C650="",L650=""),"",IF(C650=L650,"同一","変更"))</f>
        <v/>
      </c>
      <c r="N650" s="29"/>
      <c r="O650" s="30"/>
      <c r="P650" s="29"/>
      <c r="Q650" s="31"/>
      <c r="R650" s="29"/>
      <c r="S650" s="29"/>
      <c r="T650" s="30"/>
      <c r="U650" s="47" t="str">
        <f aca="false">IF(AND(B650&lt;&gt;"",B650=SW別シート!$C$3),COUNTIF(B$5:B650,B650),"")</f>
        <v/>
      </c>
      <c r="V650" s="47" t="n">
        <f aca="false">V649+IF(OR(O650&lt;&gt;"",W650&lt;&gt;""),1,0)</f>
        <v>3</v>
      </c>
      <c r="W650" s="29"/>
    </row>
    <row r="651" customFormat="false" ht="15" hidden="false" customHeight="false" outlineLevel="0" collapsed="false">
      <c r="A651" s="32" t="str">
        <f aca="false">IF(B651="","",ROW()-7)</f>
        <v/>
      </c>
      <c r="B651" s="30"/>
      <c r="C651" s="29"/>
      <c r="D651" s="29"/>
      <c r="E651" s="29"/>
      <c r="F651" s="30"/>
      <c r="G651" s="29"/>
      <c r="H651" s="30"/>
      <c r="I651" s="29"/>
      <c r="J651" s="30"/>
      <c r="K651" s="30"/>
      <c r="L651" s="29"/>
      <c r="M651" s="32" t="str">
        <f aca="false">IF(OR(C651="",L651=""),"",IF(C651=L651,"同一","変更"))</f>
        <v/>
      </c>
      <c r="N651" s="29"/>
      <c r="O651" s="30"/>
      <c r="P651" s="29"/>
      <c r="Q651" s="31"/>
      <c r="R651" s="29"/>
      <c r="S651" s="29"/>
      <c r="T651" s="30"/>
      <c r="U651" s="47" t="str">
        <f aca="false">IF(AND(B651&lt;&gt;"",B651=SW別シート!$C$3),COUNTIF(B$5:B651,B651),"")</f>
        <v/>
      </c>
      <c r="V651" s="47" t="n">
        <f aca="false">V650+IF(OR(O651&lt;&gt;"",W651&lt;&gt;""),1,0)</f>
        <v>3</v>
      </c>
      <c r="W651" s="29"/>
    </row>
    <row r="652" customFormat="false" ht="15" hidden="false" customHeight="false" outlineLevel="0" collapsed="false">
      <c r="A652" s="32" t="str">
        <f aca="false">IF(B652="","",ROW()-7)</f>
        <v/>
      </c>
      <c r="B652" s="30"/>
      <c r="C652" s="29"/>
      <c r="D652" s="29"/>
      <c r="E652" s="29"/>
      <c r="F652" s="30"/>
      <c r="G652" s="29"/>
      <c r="H652" s="30"/>
      <c r="I652" s="29"/>
      <c r="J652" s="30"/>
      <c r="K652" s="30"/>
      <c r="L652" s="29"/>
      <c r="M652" s="32" t="str">
        <f aca="false">IF(OR(C652="",L652=""),"",IF(C652=L652,"同一","変更"))</f>
        <v/>
      </c>
      <c r="N652" s="29"/>
      <c r="O652" s="30"/>
      <c r="P652" s="29"/>
      <c r="Q652" s="31"/>
      <c r="R652" s="29"/>
      <c r="S652" s="29"/>
      <c r="T652" s="30"/>
      <c r="U652" s="47" t="str">
        <f aca="false">IF(AND(B652&lt;&gt;"",B652=SW別シート!$C$3),COUNTIF(B$5:B652,B652),"")</f>
        <v/>
      </c>
      <c r="V652" s="47" t="n">
        <f aca="false">V651+IF(OR(O652&lt;&gt;"",W652&lt;&gt;""),1,0)</f>
        <v>3</v>
      </c>
      <c r="W652" s="29"/>
    </row>
    <row r="653" customFormat="false" ht="15" hidden="false" customHeight="false" outlineLevel="0" collapsed="false">
      <c r="A653" s="32" t="str">
        <f aca="false">IF(B653="","",ROW()-7)</f>
        <v/>
      </c>
      <c r="B653" s="30"/>
      <c r="C653" s="29"/>
      <c r="D653" s="29"/>
      <c r="E653" s="29"/>
      <c r="F653" s="30"/>
      <c r="G653" s="29"/>
      <c r="H653" s="30"/>
      <c r="I653" s="29"/>
      <c r="J653" s="30"/>
      <c r="K653" s="30"/>
      <c r="L653" s="29"/>
      <c r="M653" s="32" t="str">
        <f aca="false">IF(OR(C653="",L653=""),"",IF(C653=L653,"同一","変更"))</f>
        <v/>
      </c>
      <c r="N653" s="29"/>
      <c r="O653" s="30"/>
      <c r="P653" s="29"/>
      <c r="Q653" s="31"/>
      <c r="R653" s="29"/>
      <c r="S653" s="29"/>
      <c r="T653" s="30"/>
      <c r="U653" s="47" t="str">
        <f aca="false">IF(AND(B653&lt;&gt;"",B653=SW別シート!$C$3),COUNTIF(B$5:B653,B653),"")</f>
        <v/>
      </c>
      <c r="V653" s="47" t="n">
        <f aca="false">V652+IF(OR(O653&lt;&gt;"",W653&lt;&gt;""),1,0)</f>
        <v>3</v>
      </c>
      <c r="W653" s="29"/>
    </row>
    <row r="654" customFormat="false" ht="15" hidden="false" customHeight="false" outlineLevel="0" collapsed="false">
      <c r="A654" s="32" t="str">
        <f aca="false">IF(B654="","",ROW()-7)</f>
        <v/>
      </c>
      <c r="B654" s="30"/>
      <c r="C654" s="29"/>
      <c r="D654" s="29"/>
      <c r="E654" s="29"/>
      <c r="F654" s="30"/>
      <c r="G654" s="29"/>
      <c r="H654" s="30"/>
      <c r="I654" s="29"/>
      <c r="J654" s="30"/>
      <c r="K654" s="30"/>
      <c r="L654" s="29"/>
      <c r="M654" s="32" t="str">
        <f aca="false">IF(OR(C654="",L654=""),"",IF(C654=L654,"同一","変更"))</f>
        <v/>
      </c>
      <c r="N654" s="29"/>
      <c r="O654" s="30"/>
      <c r="P654" s="29"/>
      <c r="Q654" s="31"/>
      <c r="R654" s="29"/>
      <c r="S654" s="29"/>
      <c r="T654" s="30"/>
      <c r="U654" s="47" t="str">
        <f aca="false">IF(AND(B654&lt;&gt;"",B654=SW別シート!$C$3),COUNTIF(B$5:B654,B654),"")</f>
        <v/>
      </c>
      <c r="V654" s="47" t="n">
        <f aca="false">V653+IF(OR(O654&lt;&gt;"",W654&lt;&gt;""),1,0)</f>
        <v>3</v>
      </c>
      <c r="W654" s="29"/>
    </row>
    <row r="655" customFormat="false" ht="15" hidden="false" customHeight="false" outlineLevel="0" collapsed="false">
      <c r="A655" s="32" t="str">
        <f aca="false">IF(B655="","",ROW()-7)</f>
        <v/>
      </c>
      <c r="B655" s="30"/>
      <c r="C655" s="29"/>
      <c r="D655" s="29"/>
      <c r="E655" s="29"/>
      <c r="F655" s="30"/>
      <c r="G655" s="29"/>
      <c r="H655" s="30"/>
      <c r="I655" s="29"/>
      <c r="J655" s="30"/>
      <c r="K655" s="30"/>
      <c r="L655" s="29"/>
      <c r="M655" s="32" t="str">
        <f aca="false">IF(OR(C655="",L655=""),"",IF(C655=L655,"同一","変更"))</f>
        <v/>
      </c>
      <c r="N655" s="29"/>
      <c r="O655" s="30"/>
      <c r="P655" s="29"/>
      <c r="Q655" s="31"/>
      <c r="R655" s="29"/>
      <c r="S655" s="29"/>
      <c r="T655" s="30"/>
      <c r="U655" s="47" t="str">
        <f aca="false">IF(AND(B655&lt;&gt;"",B655=SW別シート!$C$3),COUNTIF(B$5:B655,B655),"")</f>
        <v/>
      </c>
      <c r="V655" s="47" t="n">
        <f aca="false">V654+IF(OR(O655&lt;&gt;"",W655&lt;&gt;""),1,0)</f>
        <v>3</v>
      </c>
      <c r="W655" s="29"/>
    </row>
    <row r="656" customFormat="false" ht="15" hidden="false" customHeight="false" outlineLevel="0" collapsed="false">
      <c r="A656" s="32" t="str">
        <f aca="false">IF(B656="","",ROW()-7)</f>
        <v/>
      </c>
      <c r="B656" s="30"/>
      <c r="C656" s="29"/>
      <c r="D656" s="29"/>
      <c r="E656" s="29"/>
      <c r="F656" s="30"/>
      <c r="G656" s="29"/>
      <c r="H656" s="30"/>
      <c r="I656" s="29"/>
      <c r="J656" s="30"/>
      <c r="K656" s="30"/>
      <c r="L656" s="29"/>
      <c r="M656" s="32" t="str">
        <f aca="false">IF(OR(C656="",L656=""),"",IF(C656=L656,"同一","変更"))</f>
        <v/>
      </c>
      <c r="N656" s="29"/>
      <c r="O656" s="30"/>
      <c r="P656" s="29"/>
      <c r="Q656" s="31"/>
      <c r="R656" s="29"/>
      <c r="S656" s="29"/>
      <c r="T656" s="30"/>
      <c r="U656" s="47" t="str">
        <f aca="false">IF(AND(B656&lt;&gt;"",B656=SW別シート!$C$3),COUNTIF(B$5:B656,B656),"")</f>
        <v/>
      </c>
      <c r="V656" s="47" t="n">
        <f aca="false">V655+IF(OR(O656&lt;&gt;"",W656&lt;&gt;""),1,0)</f>
        <v>3</v>
      </c>
      <c r="W656" s="29"/>
    </row>
    <row r="657" customFormat="false" ht="15" hidden="false" customHeight="false" outlineLevel="0" collapsed="false">
      <c r="A657" s="32" t="str">
        <f aca="false">IF(B657="","",ROW()-7)</f>
        <v/>
      </c>
      <c r="B657" s="30"/>
      <c r="C657" s="29"/>
      <c r="D657" s="29"/>
      <c r="E657" s="29"/>
      <c r="F657" s="30"/>
      <c r="G657" s="29"/>
      <c r="H657" s="30"/>
      <c r="I657" s="29"/>
      <c r="J657" s="30"/>
      <c r="K657" s="30"/>
      <c r="L657" s="29"/>
      <c r="M657" s="32" t="str">
        <f aca="false">IF(OR(C657="",L657=""),"",IF(C657=L657,"同一","変更"))</f>
        <v/>
      </c>
      <c r="N657" s="29"/>
      <c r="O657" s="30"/>
      <c r="P657" s="29"/>
      <c r="Q657" s="31"/>
      <c r="R657" s="29"/>
      <c r="S657" s="29"/>
      <c r="T657" s="30"/>
      <c r="U657" s="47" t="str">
        <f aca="false">IF(AND(B657&lt;&gt;"",B657=SW別シート!$C$3),COUNTIF(B$5:B657,B657),"")</f>
        <v/>
      </c>
      <c r="V657" s="47" t="n">
        <f aca="false">V656+IF(OR(O657&lt;&gt;"",W657&lt;&gt;""),1,0)</f>
        <v>3</v>
      </c>
      <c r="W657" s="29"/>
    </row>
    <row r="658" customFormat="false" ht="15" hidden="false" customHeight="false" outlineLevel="0" collapsed="false">
      <c r="A658" s="32" t="str">
        <f aca="false">IF(B658="","",ROW()-7)</f>
        <v/>
      </c>
      <c r="B658" s="30"/>
      <c r="C658" s="29"/>
      <c r="D658" s="29"/>
      <c r="E658" s="29"/>
      <c r="F658" s="30"/>
      <c r="G658" s="29"/>
      <c r="H658" s="30"/>
      <c r="I658" s="29"/>
      <c r="J658" s="30"/>
      <c r="K658" s="30"/>
      <c r="L658" s="29"/>
      <c r="M658" s="32" t="str">
        <f aca="false">IF(OR(C658="",L658=""),"",IF(C658=L658,"同一","変更"))</f>
        <v/>
      </c>
      <c r="N658" s="29"/>
      <c r="O658" s="30"/>
      <c r="P658" s="29"/>
      <c r="Q658" s="31"/>
      <c r="R658" s="29"/>
      <c r="S658" s="29"/>
      <c r="T658" s="30"/>
      <c r="U658" s="47" t="str">
        <f aca="false">IF(AND(B658&lt;&gt;"",B658=SW別シート!$C$3),COUNTIF(B$5:B658,B658),"")</f>
        <v/>
      </c>
      <c r="V658" s="47" t="n">
        <f aca="false">V657+IF(OR(O658&lt;&gt;"",W658&lt;&gt;""),1,0)</f>
        <v>3</v>
      </c>
      <c r="W658" s="29"/>
    </row>
    <row r="659" customFormat="false" ht="15" hidden="false" customHeight="false" outlineLevel="0" collapsed="false">
      <c r="A659" s="32" t="str">
        <f aca="false">IF(B659="","",ROW()-7)</f>
        <v/>
      </c>
      <c r="B659" s="30"/>
      <c r="C659" s="29"/>
      <c r="D659" s="29"/>
      <c r="E659" s="29"/>
      <c r="F659" s="30"/>
      <c r="G659" s="29"/>
      <c r="H659" s="30"/>
      <c r="I659" s="29"/>
      <c r="J659" s="30"/>
      <c r="K659" s="30"/>
      <c r="L659" s="29"/>
      <c r="M659" s="32" t="str">
        <f aca="false">IF(OR(C659="",L659=""),"",IF(C659=L659,"同一","変更"))</f>
        <v/>
      </c>
      <c r="N659" s="29"/>
      <c r="O659" s="30"/>
      <c r="P659" s="29"/>
      <c r="Q659" s="31"/>
      <c r="R659" s="29"/>
      <c r="S659" s="29"/>
      <c r="T659" s="30"/>
      <c r="U659" s="47" t="str">
        <f aca="false">IF(AND(B659&lt;&gt;"",B659=SW別シート!$C$3),COUNTIF(B$5:B659,B659),"")</f>
        <v/>
      </c>
      <c r="V659" s="47" t="n">
        <f aca="false">V658+IF(OR(O659&lt;&gt;"",W659&lt;&gt;""),1,0)</f>
        <v>3</v>
      </c>
      <c r="W659" s="29"/>
    </row>
    <row r="660" customFormat="false" ht="15" hidden="false" customHeight="false" outlineLevel="0" collapsed="false">
      <c r="A660" s="32" t="str">
        <f aca="false">IF(B660="","",ROW()-7)</f>
        <v/>
      </c>
      <c r="B660" s="30"/>
      <c r="C660" s="29"/>
      <c r="D660" s="29"/>
      <c r="E660" s="29"/>
      <c r="F660" s="30"/>
      <c r="G660" s="29"/>
      <c r="H660" s="30"/>
      <c r="I660" s="29"/>
      <c r="J660" s="30"/>
      <c r="K660" s="30"/>
      <c r="L660" s="29"/>
      <c r="M660" s="32" t="str">
        <f aca="false">IF(OR(C660="",L660=""),"",IF(C660=L660,"同一","変更"))</f>
        <v/>
      </c>
      <c r="N660" s="29"/>
      <c r="O660" s="30"/>
      <c r="P660" s="29"/>
      <c r="Q660" s="31"/>
      <c r="R660" s="29"/>
      <c r="S660" s="29"/>
      <c r="T660" s="30"/>
      <c r="U660" s="47" t="str">
        <f aca="false">IF(AND(B660&lt;&gt;"",B660=SW別シート!$C$3),COUNTIF(B$5:B660,B660),"")</f>
        <v/>
      </c>
      <c r="V660" s="47" t="n">
        <f aca="false">V659+IF(OR(O660&lt;&gt;"",W660&lt;&gt;""),1,0)</f>
        <v>3</v>
      </c>
      <c r="W660" s="29"/>
    </row>
    <row r="661" customFormat="false" ht="15" hidden="false" customHeight="false" outlineLevel="0" collapsed="false">
      <c r="A661" s="32" t="str">
        <f aca="false">IF(B661="","",ROW()-7)</f>
        <v/>
      </c>
      <c r="B661" s="30"/>
      <c r="C661" s="29"/>
      <c r="D661" s="29"/>
      <c r="E661" s="29"/>
      <c r="F661" s="30"/>
      <c r="G661" s="29"/>
      <c r="H661" s="30"/>
      <c r="I661" s="29"/>
      <c r="J661" s="30"/>
      <c r="K661" s="30"/>
      <c r="L661" s="29"/>
      <c r="M661" s="32" t="str">
        <f aca="false">IF(OR(C661="",L661=""),"",IF(C661=L661,"同一","変更"))</f>
        <v/>
      </c>
      <c r="N661" s="29"/>
      <c r="O661" s="30"/>
      <c r="P661" s="29"/>
      <c r="Q661" s="31"/>
      <c r="R661" s="29"/>
      <c r="S661" s="29"/>
      <c r="T661" s="30"/>
      <c r="U661" s="47" t="str">
        <f aca="false">IF(AND(B661&lt;&gt;"",B661=SW別シート!$C$3),COUNTIF(B$5:B661,B661),"")</f>
        <v/>
      </c>
      <c r="V661" s="47" t="n">
        <f aca="false">V660+IF(OR(O661&lt;&gt;"",W661&lt;&gt;""),1,0)</f>
        <v>3</v>
      </c>
      <c r="W661" s="29"/>
    </row>
    <row r="662" customFormat="false" ht="15" hidden="false" customHeight="false" outlineLevel="0" collapsed="false">
      <c r="A662" s="32" t="str">
        <f aca="false">IF(B662="","",ROW()-7)</f>
        <v/>
      </c>
      <c r="B662" s="30"/>
      <c r="C662" s="29"/>
      <c r="D662" s="29"/>
      <c r="E662" s="29"/>
      <c r="F662" s="30"/>
      <c r="G662" s="29"/>
      <c r="H662" s="30"/>
      <c r="I662" s="29"/>
      <c r="J662" s="30"/>
      <c r="K662" s="30"/>
      <c r="L662" s="29"/>
      <c r="M662" s="32" t="str">
        <f aca="false">IF(OR(C662="",L662=""),"",IF(C662=L662,"同一","変更"))</f>
        <v/>
      </c>
      <c r="N662" s="29"/>
      <c r="O662" s="30"/>
      <c r="P662" s="29"/>
      <c r="Q662" s="31"/>
      <c r="R662" s="29"/>
      <c r="S662" s="29"/>
      <c r="T662" s="30"/>
      <c r="U662" s="47" t="str">
        <f aca="false">IF(AND(B662&lt;&gt;"",B662=SW別シート!$C$3),COUNTIF(B$5:B662,B662),"")</f>
        <v/>
      </c>
      <c r="V662" s="47" t="n">
        <f aca="false">V661+IF(OR(O662&lt;&gt;"",W662&lt;&gt;""),1,0)</f>
        <v>3</v>
      </c>
      <c r="W662" s="29"/>
    </row>
    <row r="663" customFormat="false" ht="15" hidden="false" customHeight="false" outlineLevel="0" collapsed="false">
      <c r="A663" s="32" t="str">
        <f aca="false">IF(B663="","",ROW()-7)</f>
        <v/>
      </c>
      <c r="B663" s="30"/>
      <c r="C663" s="29"/>
      <c r="D663" s="29"/>
      <c r="E663" s="29"/>
      <c r="F663" s="30"/>
      <c r="G663" s="29"/>
      <c r="H663" s="30"/>
      <c r="I663" s="29"/>
      <c r="J663" s="30"/>
      <c r="K663" s="30"/>
      <c r="L663" s="29"/>
      <c r="M663" s="32" t="str">
        <f aca="false">IF(OR(C663="",L663=""),"",IF(C663=L663,"同一","変更"))</f>
        <v/>
      </c>
      <c r="N663" s="29"/>
      <c r="O663" s="30"/>
      <c r="P663" s="29"/>
      <c r="Q663" s="31"/>
      <c r="R663" s="29"/>
      <c r="S663" s="29"/>
      <c r="T663" s="30"/>
      <c r="U663" s="47" t="str">
        <f aca="false">IF(AND(B663&lt;&gt;"",B663=SW別シート!$C$3),COUNTIF(B$5:B663,B663),"")</f>
        <v/>
      </c>
      <c r="V663" s="47" t="n">
        <f aca="false">V662+IF(OR(O663&lt;&gt;"",W663&lt;&gt;""),1,0)</f>
        <v>3</v>
      </c>
      <c r="W663" s="29"/>
    </row>
    <row r="664" customFormat="false" ht="15" hidden="false" customHeight="false" outlineLevel="0" collapsed="false">
      <c r="A664" s="32" t="str">
        <f aca="false">IF(B664="","",ROW()-7)</f>
        <v/>
      </c>
      <c r="B664" s="30"/>
      <c r="C664" s="29"/>
      <c r="D664" s="29"/>
      <c r="E664" s="29"/>
      <c r="F664" s="30"/>
      <c r="G664" s="29"/>
      <c r="H664" s="30"/>
      <c r="I664" s="29"/>
      <c r="J664" s="30"/>
      <c r="K664" s="30"/>
      <c r="L664" s="29"/>
      <c r="M664" s="32" t="str">
        <f aca="false">IF(OR(C664="",L664=""),"",IF(C664=L664,"同一","変更"))</f>
        <v/>
      </c>
      <c r="N664" s="29"/>
      <c r="O664" s="30"/>
      <c r="P664" s="29"/>
      <c r="Q664" s="31"/>
      <c r="R664" s="29"/>
      <c r="S664" s="29"/>
      <c r="T664" s="30"/>
      <c r="U664" s="47" t="str">
        <f aca="false">IF(AND(B664&lt;&gt;"",B664=SW別シート!$C$3),COUNTIF(B$5:B664,B664),"")</f>
        <v/>
      </c>
      <c r="V664" s="47" t="n">
        <f aca="false">V663+IF(OR(O664&lt;&gt;"",W664&lt;&gt;""),1,0)</f>
        <v>3</v>
      </c>
      <c r="W664" s="29"/>
    </row>
    <row r="665" customFormat="false" ht="15" hidden="false" customHeight="false" outlineLevel="0" collapsed="false">
      <c r="A665" s="32" t="str">
        <f aca="false">IF(B665="","",ROW()-7)</f>
        <v/>
      </c>
      <c r="B665" s="30"/>
      <c r="C665" s="29"/>
      <c r="D665" s="29"/>
      <c r="E665" s="29"/>
      <c r="F665" s="30"/>
      <c r="G665" s="29"/>
      <c r="H665" s="30"/>
      <c r="I665" s="29"/>
      <c r="J665" s="30"/>
      <c r="K665" s="30"/>
      <c r="L665" s="29"/>
      <c r="M665" s="32" t="str">
        <f aca="false">IF(OR(C665="",L665=""),"",IF(C665=L665,"同一","変更"))</f>
        <v/>
      </c>
      <c r="N665" s="29"/>
      <c r="O665" s="30"/>
      <c r="P665" s="29"/>
      <c r="Q665" s="31"/>
      <c r="R665" s="29"/>
      <c r="S665" s="29"/>
      <c r="T665" s="30"/>
      <c r="U665" s="47" t="str">
        <f aca="false">IF(AND(B665&lt;&gt;"",B665=SW別シート!$C$3),COUNTIF(B$5:B665,B665),"")</f>
        <v/>
      </c>
      <c r="V665" s="47" t="n">
        <f aca="false">V664+IF(OR(O665&lt;&gt;"",W665&lt;&gt;""),1,0)</f>
        <v>3</v>
      </c>
      <c r="W665" s="29"/>
    </row>
    <row r="666" customFormat="false" ht="15" hidden="false" customHeight="false" outlineLevel="0" collapsed="false">
      <c r="A666" s="32" t="str">
        <f aca="false">IF(B666="","",ROW()-7)</f>
        <v/>
      </c>
      <c r="B666" s="30"/>
      <c r="C666" s="29"/>
      <c r="D666" s="29"/>
      <c r="E666" s="29"/>
      <c r="F666" s="30"/>
      <c r="G666" s="29"/>
      <c r="H666" s="30"/>
      <c r="I666" s="29"/>
      <c r="J666" s="30"/>
      <c r="K666" s="30"/>
      <c r="L666" s="29"/>
      <c r="M666" s="32" t="str">
        <f aca="false">IF(OR(C666="",L666=""),"",IF(C666=L666,"同一","変更"))</f>
        <v/>
      </c>
      <c r="N666" s="29"/>
      <c r="O666" s="30"/>
      <c r="P666" s="29"/>
      <c r="Q666" s="31"/>
      <c r="R666" s="29"/>
      <c r="S666" s="29"/>
      <c r="T666" s="30"/>
      <c r="U666" s="47" t="str">
        <f aca="false">IF(AND(B666&lt;&gt;"",B666=SW別シート!$C$3),COUNTIF(B$5:B666,B666),"")</f>
        <v/>
      </c>
      <c r="V666" s="47" t="n">
        <f aca="false">V665+IF(OR(O666&lt;&gt;"",W666&lt;&gt;""),1,0)</f>
        <v>3</v>
      </c>
      <c r="W666" s="29"/>
    </row>
    <row r="667" customFormat="false" ht="15" hidden="false" customHeight="false" outlineLevel="0" collapsed="false">
      <c r="A667" s="32" t="str">
        <f aca="false">IF(B667="","",ROW()-7)</f>
        <v/>
      </c>
      <c r="B667" s="30"/>
      <c r="C667" s="29"/>
      <c r="D667" s="29"/>
      <c r="E667" s="29"/>
      <c r="F667" s="30"/>
      <c r="G667" s="29"/>
      <c r="H667" s="30"/>
      <c r="I667" s="29"/>
      <c r="J667" s="30"/>
      <c r="K667" s="30"/>
      <c r="L667" s="29"/>
      <c r="M667" s="32" t="str">
        <f aca="false">IF(OR(C667="",L667=""),"",IF(C667=L667,"同一","変更"))</f>
        <v/>
      </c>
      <c r="N667" s="29"/>
      <c r="O667" s="30"/>
      <c r="P667" s="29"/>
      <c r="Q667" s="31"/>
      <c r="R667" s="29"/>
      <c r="S667" s="29"/>
      <c r="T667" s="30"/>
      <c r="U667" s="47" t="str">
        <f aca="false">IF(AND(B667&lt;&gt;"",B667=SW別シート!$C$3),COUNTIF(B$5:B667,B667),"")</f>
        <v/>
      </c>
      <c r="V667" s="47" t="n">
        <f aca="false">V666+IF(OR(O667&lt;&gt;"",W667&lt;&gt;""),1,0)</f>
        <v>3</v>
      </c>
      <c r="W667" s="29"/>
    </row>
    <row r="668" customFormat="false" ht="15" hidden="false" customHeight="false" outlineLevel="0" collapsed="false">
      <c r="A668" s="32" t="str">
        <f aca="false">IF(B668="","",ROW()-7)</f>
        <v/>
      </c>
      <c r="B668" s="30"/>
      <c r="C668" s="29"/>
      <c r="D668" s="29"/>
      <c r="E668" s="29"/>
      <c r="F668" s="30"/>
      <c r="G668" s="29"/>
      <c r="H668" s="30"/>
      <c r="I668" s="29"/>
      <c r="J668" s="30"/>
      <c r="K668" s="30"/>
      <c r="L668" s="29"/>
      <c r="M668" s="32" t="str">
        <f aca="false">IF(OR(C668="",L668=""),"",IF(C668=L668,"同一","変更"))</f>
        <v/>
      </c>
      <c r="N668" s="29"/>
      <c r="O668" s="30"/>
      <c r="P668" s="29"/>
      <c r="Q668" s="31"/>
      <c r="R668" s="29"/>
      <c r="S668" s="29"/>
      <c r="T668" s="30"/>
      <c r="U668" s="47" t="str">
        <f aca="false">IF(AND(B668&lt;&gt;"",B668=SW別シート!$C$3),COUNTIF(B$5:B668,B668),"")</f>
        <v/>
      </c>
      <c r="V668" s="47" t="n">
        <f aca="false">V667+IF(OR(O668&lt;&gt;"",W668&lt;&gt;""),1,0)</f>
        <v>3</v>
      </c>
      <c r="W668" s="29"/>
    </row>
    <row r="669" customFormat="false" ht="15" hidden="false" customHeight="false" outlineLevel="0" collapsed="false">
      <c r="A669" s="32" t="str">
        <f aca="false">IF(B669="","",ROW()-7)</f>
        <v/>
      </c>
      <c r="B669" s="30"/>
      <c r="C669" s="29"/>
      <c r="D669" s="29"/>
      <c r="E669" s="29"/>
      <c r="F669" s="30"/>
      <c r="G669" s="29"/>
      <c r="H669" s="30"/>
      <c r="I669" s="29"/>
      <c r="J669" s="30"/>
      <c r="K669" s="30"/>
      <c r="L669" s="29"/>
      <c r="M669" s="32" t="str">
        <f aca="false">IF(OR(C669="",L669=""),"",IF(C669=L669,"同一","変更"))</f>
        <v/>
      </c>
      <c r="N669" s="29"/>
      <c r="O669" s="30"/>
      <c r="P669" s="29"/>
      <c r="Q669" s="31"/>
      <c r="R669" s="29"/>
      <c r="S669" s="29"/>
      <c r="T669" s="30"/>
      <c r="U669" s="47" t="str">
        <f aca="false">IF(AND(B669&lt;&gt;"",B669=SW別シート!$C$3),COUNTIF(B$5:B669,B669),"")</f>
        <v/>
      </c>
      <c r="V669" s="47" t="n">
        <f aca="false">V668+IF(OR(O669&lt;&gt;"",W669&lt;&gt;""),1,0)</f>
        <v>3</v>
      </c>
      <c r="W669" s="29"/>
    </row>
    <row r="670" customFormat="false" ht="15" hidden="false" customHeight="false" outlineLevel="0" collapsed="false">
      <c r="A670" s="32" t="str">
        <f aca="false">IF(B670="","",ROW()-7)</f>
        <v/>
      </c>
      <c r="B670" s="30"/>
      <c r="C670" s="29"/>
      <c r="D670" s="29"/>
      <c r="E670" s="29"/>
      <c r="F670" s="30"/>
      <c r="G670" s="29"/>
      <c r="H670" s="30"/>
      <c r="I670" s="29"/>
      <c r="J670" s="30"/>
      <c r="K670" s="30"/>
      <c r="L670" s="29"/>
      <c r="M670" s="32" t="str">
        <f aca="false">IF(OR(C670="",L670=""),"",IF(C670=L670,"同一","変更"))</f>
        <v/>
      </c>
      <c r="N670" s="29"/>
      <c r="O670" s="30"/>
      <c r="P670" s="29"/>
      <c r="Q670" s="31"/>
      <c r="R670" s="29"/>
      <c r="S670" s="29"/>
      <c r="T670" s="30"/>
      <c r="U670" s="47" t="str">
        <f aca="false">IF(AND(B670&lt;&gt;"",B670=SW別シート!$C$3),COUNTIF(B$5:B670,B670),"")</f>
        <v/>
      </c>
      <c r="V670" s="47" t="n">
        <f aca="false">V669+IF(OR(O670&lt;&gt;"",W670&lt;&gt;""),1,0)</f>
        <v>3</v>
      </c>
      <c r="W670" s="29"/>
    </row>
    <row r="671" customFormat="false" ht="15" hidden="false" customHeight="false" outlineLevel="0" collapsed="false">
      <c r="A671" s="32" t="str">
        <f aca="false">IF(B671="","",ROW()-7)</f>
        <v/>
      </c>
      <c r="B671" s="30"/>
      <c r="C671" s="29"/>
      <c r="D671" s="29"/>
      <c r="E671" s="29"/>
      <c r="F671" s="30"/>
      <c r="G671" s="29"/>
      <c r="H671" s="30"/>
      <c r="I671" s="29"/>
      <c r="J671" s="30"/>
      <c r="K671" s="30"/>
      <c r="L671" s="29"/>
      <c r="M671" s="32" t="str">
        <f aca="false">IF(OR(C671="",L671=""),"",IF(C671=L671,"同一","変更"))</f>
        <v/>
      </c>
      <c r="N671" s="29"/>
      <c r="O671" s="30"/>
      <c r="P671" s="29"/>
      <c r="Q671" s="31"/>
      <c r="R671" s="29"/>
      <c r="S671" s="29"/>
      <c r="T671" s="30"/>
      <c r="U671" s="47" t="str">
        <f aca="false">IF(AND(B671&lt;&gt;"",B671=SW別シート!$C$3),COUNTIF(B$5:B671,B671),"")</f>
        <v/>
      </c>
      <c r="V671" s="47" t="n">
        <f aca="false">V670+IF(OR(O671&lt;&gt;"",W671&lt;&gt;""),1,0)</f>
        <v>3</v>
      </c>
      <c r="W671" s="29"/>
    </row>
    <row r="672" customFormat="false" ht="15" hidden="false" customHeight="false" outlineLevel="0" collapsed="false">
      <c r="A672" s="32" t="str">
        <f aca="false">IF(B672="","",ROW()-7)</f>
        <v/>
      </c>
      <c r="B672" s="30"/>
      <c r="C672" s="29"/>
      <c r="D672" s="29"/>
      <c r="E672" s="29"/>
      <c r="F672" s="30"/>
      <c r="G672" s="29"/>
      <c r="H672" s="30"/>
      <c r="I672" s="29"/>
      <c r="J672" s="30"/>
      <c r="K672" s="30"/>
      <c r="L672" s="29"/>
      <c r="M672" s="32" t="str">
        <f aca="false">IF(OR(C672="",L672=""),"",IF(C672=L672,"同一","変更"))</f>
        <v/>
      </c>
      <c r="N672" s="29"/>
      <c r="O672" s="30"/>
      <c r="P672" s="29"/>
      <c r="Q672" s="31"/>
      <c r="R672" s="29"/>
      <c r="S672" s="29"/>
      <c r="T672" s="30"/>
      <c r="U672" s="47" t="str">
        <f aca="false">IF(AND(B672&lt;&gt;"",B672=SW別シート!$C$3),COUNTIF(B$5:B672,B672),"")</f>
        <v/>
      </c>
      <c r="V672" s="47" t="n">
        <f aca="false">V671+IF(OR(O672&lt;&gt;"",W672&lt;&gt;""),1,0)</f>
        <v>3</v>
      </c>
      <c r="W672" s="29"/>
    </row>
    <row r="673" customFormat="false" ht="15" hidden="false" customHeight="false" outlineLevel="0" collapsed="false">
      <c r="A673" s="32" t="str">
        <f aca="false">IF(B673="","",ROW()-7)</f>
        <v/>
      </c>
      <c r="B673" s="30"/>
      <c r="C673" s="29"/>
      <c r="D673" s="29"/>
      <c r="E673" s="29"/>
      <c r="F673" s="30"/>
      <c r="G673" s="29"/>
      <c r="H673" s="30"/>
      <c r="I673" s="29"/>
      <c r="J673" s="30"/>
      <c r="K673" s="30"/>
      <c r="L673" s="29"/>
      <c r="M673" s="32" t="str">
        <f aca="false">IF(OR(C673="",L673=""),"",IF(C673=L673,"同一","変更"))</f>
        <v/>
      </c>
      <c r="N673" s="29"/>
      <c r="O673" s="30"/>
      <c r="P673" s="29"/>
      <c r="Q673" s="31"/>
      <c r="R673" s="29"/>
      <c r="S673" s="29"/>
      <c r="T673" s="30"/>
      <c r="U673" s="47" t="str">
        <f aca="false">IF(AND(B673&lt;&gt;"",B673=SW別シート!$C$3),COUNTIF(B$5:B673,B673),"")</f>
        <v/>
      </c>
      <c r="V673" s="47" t="n">
        <f aca="false">V672+IF(OR(O673&lt;&gt;"",W673&lt;&gt;""),1,0)</f>
        <v>3</v>
      </c>
      <c r="W673" s="29"/>
    </row>
    <row r="674" customFormat="false" ht="15" hidden="false" customHeight="false" outlineLevel="0" collapsed="false">
      <c r="A674" s="32" t="str">
        <f aca="false">IF(B674="","",ROW()-7)</f>
        <v/>
      </c>
      <c r="B674" s="30"/>
      <c r="C674" s="29"/>
      <c r="D674" s="29"/>
      <c r="E674" s="29"/>
      <c r="F674" s="30"/>
      <c r="G674" s="29"/>
      <c r="H674" s="30"/>
      <c r="I674" s="29"/>
      <c r="J674" s="30"/>
      <c r="K674" s="30"/>
      <c r="L674" s="29"/>
      <c r="M674" s="32" t="str">
        <f aca="false">IF(OR(C674="",L674=""),"",IF(C674=L674,"同一","変更"))</f>
        <v/>
      </c>
      <c r="N674" s="29"/>
      <c r="O674" s="30"/>
      <c r="P674" s="29"/>
      <c r="Q674" s="31"/>
      <c r="R674" s="29"/>
      <c r="S674" s="29"/>
      <c r="T674" s="30"/>
      <c r="U674" s="47" t="str">
        <f aca="false">IF(AND(B674&lt;&gt;"",B674=SW別シート!$C$3),COUNTIF(B$5:B674,B674),"")</f>
        <v/>
      </c>
      <c r="V674" s="47" t="n">
        <f aca="false">V673+IF(OR(O674&lt;&gt;"",W674&lt;&gt;""),1,0)</f>
        <v>3</v>
      </c>
      <c r="W674" s="29"/>
    </row>
    <row r="675" customFormat="false" ht="15" hidden="false" customHeight="false" outlineLevel="0" collapsed="false">
      <c r="A675" s="32" t="str">
        <f aca="false">IF(B675="","",ROW()-7)</f>
        <v/>
      </c>
      <c r="B675" s="30"/>
      <c r="C675" s="29"/>
      <c r="D675" s="29"/>
      <c r="E675" s="29"/>
      <c r="F675" s="30"/>
      <c r="G675" s="29"/>
      <c r="H675" s="30"/>
      <c r="I675" s="29"/>
      <c r="J675" s="30"/>
      <c r="K675" s="30"/>
      <c r="L675" s="29"/>
      <c r="M675" s="32" t="str">
        <f aca="false">IF(OR(C675="",L675=""),"",IF(C675=L675,"同一","変更"))</f>
        <v/>
      </c>
      <c r="N675" s="29"/>
      <c r="O675" s="30"/>
      <c r="P675" s="29"/>
      <c r="Q675" s="31"/>
      <c r="R675" s="29"/>
      <c r="S675" s="29"/>
      <c r="T675" s="30"/>
      <c r="U675" s="47" t="str">
        <f aca="false">IF(AND(B675&lt;&gt;"",B675=SW別シート!$C$3),COUNTIF(B$5:B675,B675),"")</f>
        <v/>
      </c>
      <c r="V675" s="47" t="n">
        <f aca="false">V674+IF(OR(O675&lt;&gt;"",W675&lt;&gt;""),1,0)</f>
        <v>3</v>
      </c>
      <c r="W675" s="29"/>
    </row>
    <row r="676" customFormat="false" ht="15" hidden="false" customHeight="false" outlineLevel="0" collapsed="false">
      <c r="A676" s="32" t="str">
        <f aca="false">IF(B676="","",ROW()-7)</f>
        <v/>
      </c>
      <c r="B676" s="30"/>
      <c r="C676" s="29"/>
      <c r="D676" s="29"/>
      <c r="E676" s="29"/>
      <c r="F676" s="30"/>
      <c r="G676" s="29"/>
      <c r="H676" s="30"/>
      <c r="I676" s="29"/>
      <c r="J676" s="30"/>
      <c r="K676" s="30"/>
      <c r="L676" s="29"/>
      <c r="M676" s="32" t="str">
        <f aca="false">IF(OR(C676="",L676=""),"",IF(C676=L676,"同一","変更"))</f>
        <v/>
      </c>
      <c r="N676" s="29"/>
      <c r="O676" s="30"/>
      <c r="P676" s="29"/>
      <c r="Q676" s="31"/>
      <c r="R676" s="29"/>
      <c r="S676" s="29"/>
      <c r="T676" s="30"/>
      <c r="U676" s="47" t="str">
        <f aca="false">IF(AND(B676&lt;&gt;"",B676=SW別シート!$C$3),COUNTIF(B$5:B676,B676),"")</f>
        <v/>
      </c>
      <c r="V676" s="47" t="n">
        <f aca="false">V675+IF(OR(O676&lt;&gt;"",W676&lt;&gt;""),1,0)</f>
        <v>3</v>
      </c>
      <c r="W676" s="29"/>
    </row>
    <row r="677" customFormat="false" ht="15" hidden="false" customHeight="false" outlineLevel="0" collapsed="false">
      <c r="A677" s="32" t="str">
        <f aca="false">IF(B677="","",ROW()-7)</f>
        <v/>
      </c>
      <c r="B677" s="30"/>
      <c r="C677" s="29"/>
      <c r="D677" s="29"/>
      <c r="E677" s="29"/>
      <c r="F677" s="30"/>
      <c r="G677" s="29"/>
      <c r="H677" s="30"/>
      <c r="I677" s="29"/>
      <c r="J677" s="30"/>
      <c r="K677" s="30"/>
      <c r="L677" s="29"/>
      <c r="M677" s="32" t="str">
        <f aca="false">IF(OR(C677="",L677=""),"",IF(C677=L677,"同一","変更"))</f>
        <v/>
      </c>
      <c r="N677" s="29"/>
      <c r="O677" s="30"/>
      <c r="P677" s="29"/>
      <c r="Q677" s="31"/>
      <c r="R677" s="29"/>
      <c r="S677" s="29"/>
      <c r="T677" s="30"/>
      <c r="U677" s="47" t="str">
        <f aca="false">IF(AND(B677&lt;&gt;"",B677=SW別シート!$C$3),COUNTIF(B$5:B677,B677),"")</f>
        <v/>
      </c>
      <c r="V677" s="47" t="n">
        <f aca="false">V676+IF(OR(O677&lt;&gt;"",W677&lt;&gt;""),1,0)</f>
        <v>3</v>
      </c>
      <c r="W677" s="29"/>
    </row>
    <row r="678" customFormat="false" ht="15" hidden="false" customHeight="false" outlineLevel="0" collapsed="false">
      <c r="A678" s="32" t="str">
        <f aca="false">IF(B678="","",ROW()-7)</f>
        <v/>
      </c>
      <c r="B678" s="30"/>
      <c r="C678" s="29"/>
      <c r="D678" s="29"/>
      <c r="E678" s="29"/>
      <c r="F678" s="30"/>
      <c r="G678" s="29"/>
      <c r="H678" s="30"/>
      <c r="I678" s="29"/>
      <c r="J678" s="30"/>
      <c r="K678" s="30"/>
      <c r="L678" s="29"/>
      <c r="M678" s="32" t="str">
        <f aca="false">IF(OR(C678="",L678=""),"",IF(C678=L678,"同一","変更"))</f>
        <v/>
      </c>
      <c r="N678" s="29"/>
      <c r="O678" s="30"/>
      <c r="P678" s="29"/>
      <c r="Q678" s="31"/>
      <c r="R678" s="29"/>
      <c r="S678" s="29"/>
      <c r="T678" s="30"/>
      <c r="U678" s="47" t="str">
        <f aca="false">IF(AND(B678&lt;&gt;"",B678=SW別シート!$C$3),COUNTIF(B$5:B678,B678),"")</f>
        <v/>
      </c>
      <c r="V678" s="47" t="n">
        <f aca="false">V677+IF(OR(O678&lt;&gt;"",W678&lt;&gt;""),1,0)</f>
        <v>3</v>
      </c>
      <c r="W678" s="29"/>
    </row>
    <row r="679" customFormat="false" ht="15" hidden="false" customHeight="false" outlineLevel="0" collapsed="false">
      <c r="A679" s="32" t="str">
        <f aca="false">IF(B679="","",ROW()-7)</f>
        <v/>
      </c>
      <c r="B679" s="30"/>
      <c r="C679" s="29"/>
      <c r="D679" s="29"/>
      <c r="E679" s="29"/>
      <c r="F679" s="30"/>
      <c r="G679" s="29"/>
      <c r="H679" s="30"/>
      <c r="I679" s="29"/>
      <c r="J679" s="30"/>
      <c r="K679" s="30"/>
      <c r="L679" s="29"/>
      <c r="M679" s="32" t="str">
        <f aca="false">IF(OR(C679="",L679=""),"",IF(C679=L679,"同一","変更"))</f>
        <v/>
      </c>
      <c r="N679" s="29"/>
      <c r="O679" s="30"/>
      <c r="P679" s="29"/>
      <c r="Q679" s="31"/>
      <c r="R679" s="29"/>
      <c r="S679" s="29"/>
      <c r="T679" s="30"/>
      <c r="U679" s="47" t="str">
        <f aca="false">IF(AND(B679&lt;&gt;"",B679=SW別シート!$C$3),COUNTIF(B$5:B679,B679),"")</f>
        <v/>
      </c>
      <c r="V679" s="47" t="n">
        <f aca="false">V678+IF(OR(O679&lt;&gt;"",W679&lt;&gt;""),1,0)</f>
        <v>3</v>
      </c>
      <c r="W679" s="29"/>
    </row>
    <row r="680" customFormat="false" ht="15" hidden="false" customHeight="false" outlineLevel="0" collapsed="false">
      <c r="A680" s="32" t="str">
        <f aca="false">IF(B680="","",ROW()-7)</f>
        <v/>
      </c>
      <c r="B680" s="30"/>
      <c r="C680" s="29"/>
      <c r="D680" s="29"/>
      <c r="E680" s="29"/>
      <c r="F680" s="30"/>
      <c r="G680" s="29"/>
      <c r="H680" s="30"/>
      <c r="I680" s="29"/>
      <c r="J680" s="30"/>
      <c r="K680" s="30"/>
      <c r="L680" s="29"/>
      <c r="M680" s="32" t="str">
        <f aca="false">IF(OR(C680="",L680=""),"",IF(C680=L680,"同一","変更"))</f>
        <v/>
      </c>
      <c r="N680" s="29"/>
      <c r="O680" s="30"/>
      <c r="P680" s="29"/>
      <c r="Q680" s="31"/>
      <c r="R680" s="29"/>
      <c r="S680" s="29"/>
      <c r="T680" s="30"/>
      <c r="U680" s="47" t="str">
        <f aca="false">IF(AND(B680&lt;&gt;"",B680=SW別シート!$C$3),COUNTIF(B$5:B680,B680),"")</f>
        <v/>
      </c>
      <c r="V680" s="47" t="n">
        <f aca="false">V679+IF(OR(O680&lt;&gt;"",W680&lt;&gt;""),1,0)</f>
        <v>3</v>
      </c>
      <c r="W680" s="29"/>
    </row>
    <row r="681" customFormat="false" ht="15" hidden="false" customHeight="false" outlineLevel="0" collapsed="false">
      <c r="A681" s="32" t="str">
        <f aca="false">IF(B681="","",ROW()-7)</f>
        <v/>
      </c>
      <c r="B681" s="30"/>
      <c r="C681" s="29"/>
      <c r="D681" s="29"/>
      <c r="E681" s="29"/>
      <c r="F681" s="30"/>
      <c r="G681" s="29"/>
      <c r="H681" s="30"/>
      <c r="I681" s="29"/>
      <c r="J681" s="30"/>
      <c r="K681" s="30"/>
      <c r="L681" s="29"/>
      <c r="M681" s="32" t="str">
        <f aca="false">IF(OR(C681="",L681=""),"",IF(C681=L681,"同一","変更"))</f>
        <v/>
      </c>
      <c r="N681" s="29"/>
      <c r="O681" s="30"/>
      <c r="P681" s="29"/>
      <c r="Q681" s="31"/>
      <c r="R681" s="29"/>
      <c r="S681" s="29"/>
      <c r="T681" s="30"/>
      <c r="U681" s="47" t="str">
        <f aca="false">IF(AND(B681&lt;&gt;"",B681=SW別シート!$C$3),COUNTIF(B$5:B681,B681),"")</f>
        <v/>
      </c>
      <c r="V681" s="47" t="n">
        <f aca="false">V680+IF(OR(O681&lt;&gt;"",W681&lt;&gt;""),1,0)</f>
        <v>3</v>
      </c>
      <c r="W681" s="29"/>
    </row>
    <row r="682" customFormat="false" ht="15" hidden="false" customHeight="false" outlineLevel="0" collapsed="false">
      <c r="A682" s="32" t="str">
        <f aca="false">IF(B682="","",ROW()-7)</f>
        <v/>
      </c>
      <c r="B682" s="30"/>
      <c r="C682" s="29"/>
      <c r="D682" s="29"/>
      <c r="E682" s="29"/>
      <c r="F682" s="30"/>
      <c r="G682" s="29"/>
      <c r="H682" s="30"/>
      <c r="I682" s="29"/>
      <c r="J682" s="30"/>
      <c r="K682" s="30"/>
      <c r="L682" s="29"/>
      <c r="M682" s="32" t="str">
        <f aca="false">IF(OR(C682="",L682=""),"",IF(C682=L682,"同一","変更"))</f>
        <v/>
      </c>
      <c r="N682" s="29"/>
      <c r="O682" s="30"/>
      <c r="P682" s="29"/>
      <c r="Q682" s="31"/>
      <c r="R682" s="29"/>
      <c r="S682" s="29"/>
      <c r="T682" s="30"/>
      <c r="U682" s="47" t="str">
        <f aca="false">IF(AND(B682&lt;&gt;"",B682=SW別シート!$C$3),COUNTIF(B$5:B682,B682),"")</f>
        <v/>
      </c>
      <c r="V682" s="47" t="n">
        <f aca="false">V681+IF(OR(O682&lt;&gt;"",W682&lt;&gt;""),1,0)</f>
        <v>3</v>
      </c>
      <c r="W682" s="29"/>
    </row>
    <row r="683" customFormat="false" ht="15" hidden="false" customHeight="false" outlineLevel="0" collapsed="false">
      <c r="A683" s="32" t="str">
        <f aca="false">IF(B683="","",ROW()-7)</f>
        <v/>
      </c>
      <c r="B683" s="30"/>
      <c r="C683" s="29"/>
      <c r="D683" s="29"/>
      <c r="E683" s="29"/>
      <c r="F683" s="30"/>
      <c r="G683" s="29"/>
      <c r="H683" s="30"/>
      <c r="I683" s="29"/>
      <c r="J683" s="30"/>
      <c r="K683" s="30"/>
      <c r="L683" s="29"/>
      <c r="M683" s="32" t="str">
        <f aca="false">IF(OR(C683="",L683=""),"",IF(C683=L683,"同一","変更"))</f>
        <v/>
      </c>
      <c r="N683" s="29"/>
      <c r="O683" s="30"/>
      <c r="P683" s="29"/>
      <c r="Q683" s="31"/>
      <c r="R683" s="29"/>
      <c r="S683" s="29"/>
      <c r="T683" s="30"/>
      <c r="U683" s="47" t="str">
        <f aca="false">IF(AND(B683&lt;&gt;"",B683=SW別シート!$C$3),COUNTIF(B$5:B683,B683),"")</f>
        <v/>
      </c>
      <c r="V683" s="47" t="n">
        <f aca="false">V682+IF(OR(O683&lt;&gt;"",W683&lt;&gt;""),1,0)</f>
        <v>3</v>
      </c>
      <c r="W683" s="29"/>
    </row>
    <row r="684" customFormat="false" ht="15" hidden="false" customHeight="false" outlineLevel="0" collapsed="false">
      <c r="A684" s="32" t="str">
        <f aca="false">IF(B684="","",ROW()-7)</f>
        <v/>
      </c>
      <c r="B684" s="30"/>
      <c r="C684" s="29"/>
      <c r="D684" s="29"/>
      <c r="E684" s="29"/>
      <c r="F684" s="30"/>
      <c r="G684" s="29"/>
      <c r="H684" s="30"/>
      <c r="I684" s="29"/>
      <c r="J684" s="30"/>
      <c r="K684" s="30"/>
      <c r="L684" s="29"/>
      <c r="M684" s="32" t="str">
        <f aca="false">IF(OR(C684="",L684=""),"",IF(C684=L684,"同一","変更"))</f>
        <v/>
      </c>
      <c r="N684" s="29"/>
      <c r="O684" s="30"/>
      <c r="P684" s="29"/>
      <c r="Q684" s="31"/>
      <c r="R684" s="29"/>
      <c r="S684" s="29"/>
      <c r="T684" s="30"/>
      <c r="U684" s="47" t="str">
        <f aca="false">IF(AND(B684&lt;&gt;"",B684=SW別シート!$C$3),COUNTIF(B$5:B684,B684),"")</f>
        <v/>
      </c>
      <c r="V684" s="47" t="n">
        <f aca="false">V683+IF(OR(O684&lt;&gt;"",W684&lt;&gt;""),1,0)</f>
        <v>3</v>
      </c>
      <c r="W684" s="29"/>
    </row>
    <row r="685" customFormat="false" ht="15" hidden="false" customHeight="false" outlineLevel="0" collapsed="false">
      <c r="A685" s="32" t="str">
        <f aca="false">IF(B685="","",ROW()-7)</f>
        <v/>
      </c>
      <c r="B685" s="30"/>
      <c r="C685" s="29"/>
      <c r="D685" s="29"/>
      <c r="E685" s="29"/>
      <c r="F685" s="30"/>
      <c r="G685" s="29"/>
      <c r="H685" s="30"/>
      <c r="I685" s="29"/>
      <c r="J685" s="30"/>
      <c r="K685" s="30"/>
      <c r="L685" s="29"/>
      <c r="M685" s="32" t="str">
        <f aca="false">IF(OR(C685="",L685=""),"",IF(C685=L685,"同一","変更"))</f>
        <v/>
      </c>
      <c r="N685" s="29"/>
      <c r="O685" s="30"/>
      <c r="P685" s="29"/>
      <c r="Q685" s="31"/>
      <c r="R685" s="29"/>
      <c r="S685" s="29"/>
      <c r="T685" s="30"/>
      <c r="U685" s="47" t="str">
        <f aca="false">IF(AND(B685&lt;&gt;"",B685=SW別シート!$C$3),COUNTIF(B$5:B685,B685),"")</f>
        <v/>
      </c>
      <c r="V685" s="47" t="n">
        <f aca="false">V684+IF(OR(O685&lt;&gt;"",W685&lt;&gt;""),1,0)</f>
        <v>3</v>
      </c>
      <c r="W685" s="29"/>
    </row>
    <row r="686" customFormat="false" ht="15" hidden="false" customHeight="false" outlineLevel="0" collapsed="false">
      <c r="A686" s="32" t="str">
        <f aca="false">IF(B686="","",ROW()-7)</f>
        <v/>
      </c>
      <c r="B686" s="30"/>
      <c r="C686" s="29"/>
      <c r="D686" s="29"/>
      <c r="E686" s="29"/>
      <c r="F686" s="30"/>
      <c r="G686" s="29"/>
      <c r="H686" s="30"/>
      <c r="I686" s="29"/>
      <c r="J686" s="30"/>
      <c r="K686" s="30"/>
      <c r="L686" s="29"/>
      <c r="M686" s="32" t="str">
        <f aca="false">IF(OR(C686="",L686=""),"",IF(C686=L686,"同一","変更"))</f>
        <v/>
      </c>
      <c r="N686" s="29"/>
      <c r="O686" s="30"/>
      <c r="P686" s="29"/>
      <c r="Q686" s="31"/>
      <c r="R686" s="29"/>
      <c r="S686" s="29"/>
      <c r="T686" s="30"/>
      <c r="U686" s="47" t="str">
        <f aca="false">IF(AND(B686&lt;&gt;"",B686=SW別シート!$C$3),COUNTIF(B$5:B686,B686),"")</f>
        <v/>
      </c>
      <c r="V686" s="47" t="n">
        <f aca="false">V685+IF(OR(O686&lt;&gt;"",W686&lt;&gt;""),1,0)</f>
        <v>3</v>
      </c>
      <c r="W686" s="29"/>
    </row>
    <row r="687" customFormat="false" ht="15" hidden="false" customHeight="false" outlineLevel="0" collapsed="false">
      <c r="A687" s="32" t="str">
        <f aca="false">IF(B687="","",ROW()-7)</f>
        <v/>
      </c>
      <c r="B687" s="30"/>
      <c r="C687" s="29"/>
      <c r="D687" s="29"/>
      <c r="E687" s="29"/>
      <c r="F687" s="30"/>
      <c r="G687" s="29"/>
      <c r="H687" s="30"/>
      <c r="I687" s="29"/>
      <c r="J687" s="30"/>
      <c r="K687" s="30"/>
      <c r="L687" s="29"/>
      <c r="M687" s="32" t="str">
        <f aca="false">IF(OR(C687="",L687=""),"",IF(C687=L687,"同一","変更"))</f>
        <v/>
      </c>
      <c r="N687" s="29"/>
      <c r="O687" s="30"/>
      <c r="P687" s="29"/>
      <c r="Q687" s="31"/>
      <c r="R687" s="29"/>
      <c r="S687" s="29"/>
      <c r="T687" s="30"/>
      <c r="U687" s="47" t="str">
        <f aca="false">IF(AND(B687&lt;&gt;"",B687=SW別シート!$C$3),COUNTIF(B$5:B687,B687),"")</f>
        <v/>
      </c>
      <c r="V687" s="47" t="n">
        <f aca="false">V686+IF(OR(O687&lt;&gt;"",W687&lt;&gt;""),1,0)</f>
        <v>3</v>
      </c>
      <c r="W687" s="29"/>
    </row>
    <row r="688" customFormat="false" ht="15" hidden="false" customHeight="false" outlineLevel="0" collapsed="false">
      <c r="A688" s="32" t="str">
        <f aca="false">IF(B688="","",ROW()-7)</f>
        <v/>
      </c>
      <c r="B688" s="30"/>
      <c r="C688" s="29"/>
      <c r="D688" s="29"/>
      <c r="E688" s="29"/>
      <c r="F688" s="30"/>
      <c r="G688" s="29"/>
      <c r="H688" s="30"/>
      <c r="I688" s="29"/>
      <c r="J688" s="30"/>
      <c r="K688" s="30"/>
      <c r="L688" s="29"/>
      <c r="M688" s="32" t="str">
        <f aca="false">IF(OR(C688="",L688=""),"",IF(C688=L688,"同一","変更"))</f>
        <v/>
      </c>
      <c r="N688" s="29"/>
      <c r="O688" s="30"/>
      <c r="P688" s="29"/>
      <c r="Q688" s="31"/>
      <c r="R688" s="29"/>
      <c r="S688" s="29"/>
      <c r="T688" s="30"/>
      <c r="U688" s="47" t="str">
        <f aca="false">IF(AND(B688&lt;&gt;"",B688=SW別シート!$C$3),COUNTIF(B$5:B688,B688),"")</f>
        <v/>
      </c>
      <c r="V688" s="47" t="n">
        <f aca="false">V687+IF(OR(O688&lt;&gt;"",W688&lt;&gt;""),1,0)</f>
        <v>3</v>
      </c>
      <c r="W688" s="29"/>
    </row>
    <row r="689" customFormat="false" ht="15" hidden="false" customHeight="false" outlineLevel="0" collapsed="false">
      <c r="A689" s="32" t="str">
        <f aca="false">IF(B689="","",ROW()-7)</f>
        <v/>
      </c>
      <c r="B689" s="30"/>
      <c r="C689" s="29"/>
      <c r="D689" s="29"/>
      <c r="E689" s="29"/>
      <c r="F689" s="30"/>
      <c r="G689" s="29"/>
      <c r="H689" s="30"/>
      <c r="I689" s="29"/>
      <c r="J689" s="30"/>
      <c r="K689" s="30"/>
      <c r="L689" s="29"/>
      <c r="M689" s="32" t="str">
        <f aca="false">IF(OR(C689="",L689=""),"",IF(C689=L689,"同一","変更"))</f>
        <v/>
      </c>
      <c r="N689" s="29"/>
      <c r="O689" s="30"/>
      <c r="P689" s="29"/>
      <c r="Q689" s="31"/>
      <c r="R689" s="29"/>
      <c r="S689" s="29"/>
      <c r="T689" s="30"/>
      <c r="U689" s="47" t="str">
        <f aca="false">IF(AND(B689&lt;&gt;"",B689=SW別シート!$C$3),COUNTIF(B$5:B689,B689),"")</f>
        <v/>
      </c>
      <c r="V689" s="47" t="n">
        <f aca="false">V688+IF(OR(O689&lt;&gt;"",W689&lt;&gt;""),1,0)</f>
        <v>3</v>
      </c>
      <c r="W689" s="29"/>
    </row>
    <row r="690" customFormat="false" ht="15" hidden="false" customHeight="false" outlineLevel="0" collapsed="false">
      <c r="A690" s="32" t="str">
        <f aca="false">IF(B690="","",ROW()-7)</f>
        <v/>
      </c>
      <c r="B690" s="30"/>
      <c r="C690" s="29"/>
      <c r="D690" s="29"/>
      <c r="E690" s="29"/>
      <c r="F690" s="30"/>
      <c r="G690" s="29"/>
      <c r="H690" s="30"/>
      <c r="I690" s="29"/>
      <c r="J690" s="30"/>
      <c r="K690" s="30"/>
      <c r="L690" s="29"/>
      <c r="M690" s="32" t="str">
        <f aca="false">IF(OR(C690="",L690=""),"",IF(C690=L690,"同一","変更"))</f>
        <v/>
      </c>
      <c r="N690" s="29"/>
      <c r="O690" s="30"/>
      <c r="P690" s="29"/>
      <c r="Q690" s="31"/>
      <c r="R690" s="29"/>
      <c r="S690" s="29"/>
      <c r="T690" s="30"/>
      <c r="U690" s="47" t="str">
        <f aca="false">IF(AND(B690&lt;&gt;"",B690=SW別シート!$C$3),COUNTIF(B$5:B690,B690),"")</f>
        <v/>
      </c>
      <c r="V690" s="47" t="n">
        <f aca="false">V689+IF(OR(O690&lt;&gt;"",W690&lt;&gt;""),1,0)</f>
        <v>3</v>
      </c>
      <c r="W690" s="29"/>
    </row>
    <row r="691" customFormat="false" ht="15" hidden="false" customHeight="false" outlineLevel="0" collapsed="false">
      <c r="A691" s="32" t="str">
        <f aca="false">IF(B691="","",ROW()-7)</f>
        <v/>
      </c>
      <c r="B691" s="30"/>
      <c r="C691" s="29"/>
      <c r="D691" s="29"/>
      <c r="E691" s="29"/>
      <c r="F691" s="30"/>
      <c r="G691" s="29"/>
      <c r="H691" s="30"/>
      <c r="I691" s="29"/>
      <c r="J691" s="30"/>
      <c r="K691" s="30"/>
      <c r="L691" s="29"/>
      <c r="M691" s="32" t="str">
        <f aca="false">IF(OR(C691="",L691=""),"",IF(C691=L691,"同一","変更"))</f>
        <v/>
      </c>
      <c r="N691" s="29"/>
      <c r="O691" s="30"/>
      <c r="P691" s="29"/>
      <c r="Q691" s="31"/>
      <c r="R691" s="29"/>
      <c r="S691" s="29"/>
      <c r="T691" s="30"/>
      <c r="U691" s="47" t="str">
        <f aca="false">IF(AND(B691&lt;&gt;"",B691=SW別シート!$C$3),COUNTIF(B$5:B691,B691),"")</f>
        <v/>
      </c>
      <c r="V691" s="47" t="n">
        <f aca="false">V690+IF(OR(O691&lt;&gt;"",W691&lt;&gt;""),1,0)</f>
        <v>3</v>
      </c>
      <c r="W691" s="29"/>
    </row>
    <row r="692" customFormat="false" ht="15" hidden="false" customHeight="false" outlineLevel="0" collapsed="false">
      <c r="A692" s="32" t="str">
        <f aca="false">IF(B692="","",ROW()-7)</f>
        <v/>
      </c>
      <c r="B692" s="30"/>
      <c r="C692" s="29"/>
      <c r="D692" s="29"/>
      <c r="E692" s="29"/>
      <c r="F692" s="30"/>
      <c r="G692" s="29"/>
      <c r="H692" s="30"/>
      <c r="I692" s="29"/>
      <c r="J692" s="30"/>
      <c r="K692" s="30"/>
      <c r="L692" s="29"/>
      <c r="M692" s="32" t="str">
        <f aca="false">IF(OR(C692="",L692=""),"",IF(C692=L692,"同一","変更"))</f>
        <v/>
      </c>
      <c r="N692" s="29"/>
      <c r="O692" s="30"/>
      <c r="P692" s="29"/>
      <c r="Q692" s="31"/>
      <c r="R692" s="29"/>
      <c r="S692" s="29"/>
      <c r="T692" s="30"/>
      <c r="U692" s="47" t="str">
        <f aca="false">IF(AND(B692&lt;&gt;"",B692=SW別シート!$C$3),COUNTIF(B$5:B692,B692),"")</f>
        <v/>
      </c>
      <c r="V692" s="47" t="n">
        <f aca="false">V691+IF(OR(O692&lt;&gt;"",W692&lt;&gt;""),1,0)</f>
        <v>3</v>
      </c>
      <c r="W692" s="29"/>
    </row>
    <row r="693" customFormat="false" ht="15" hidden="false" customHeight="false" outlineLevel="0" collapsed="false">
      <c r="A693" s="32" t="str">
        <f aca="false">IF(B693="","",ROW()-7)</f>
        <v/>
      </c>
      <c r="B693" s="30"/>
      <c r="C693" s="29"/>
      <c r="D693" s="29"/>
      <c r="E693" s="29"/>
      <c r="F693" s="30"/>
      <c r="G693" s="29"/>
      <c r="H693" s="30"/>
      <c r="I693" s="29"/>
      <c r="J693" s="30"/>
      <c r="K693" s="30"/>
      <c r="L693" s="29"/>
      <c r="M693" s="32" t="str">
        <f aca="false">IF(OR(C693="",L693=""),"",IF(C693=L693,"同一","変更"))</f>
        <v/>
      </c>
      <c r="N693" s="29"/>
      <c r="O693" s="30"/>
      <c r="P693" s="29"/>
      <c r="Q693" s="31"/>
      <c r="R693" s="29"/>
      <c r="S693" s="29"/>
      <c r="T693" s="30"/>
      <c r="U693" s="47" t="str">
        <f aca="false">IF(AND(B693&lt;&gt;"",B693=SW別シート!$C$3),COUNTIF(B$5:B693,B693),"")</f>
        <v/>
      </c>
      <c r="V693" s="47" t="n">
        <f aca="false">V692+IF(OR(O693&lt;&gt;"",W693&lt;&gt;""),1,0)</f>
        <v>3</v>
      </c>
      <c r="W693" s="29"/>
    </row>
    <row r="694" customFormat="false" ht="15" hidden="false" customHeight="false" outlineLevel="0" collapsed="false">
      <c r="A694" s="32" t="str">
        <f aca="false">IF(B694="","",ROW()-7)</f>
        <v/>
      </c>
      <c r="B694" s="30"/>
      <c r="C694" s="29"/>
      <c r="D694" s="29"/>
      <c r="E694" s="29"/>
      <c r="F694" s="30"/>
      <c r="G694" s="29"/>
      <c r="H694" s="30"/>
      <c r="I694" s="29"/>
      <c r="J694" s="30"/>
      <c r="K694" s="30"/>
      <c r="L694" s="29"/>
      <c r="M694" s="32" t="str">
        <f aca="false">IF(OR(C694="",L694=""),"",IF(C694=L694,"同一","変更"))</f>
        <v/>
      </c>
      <c r="N694" s="29"/>
      <c r="O694" s="30"/>
      <c r="P694" s="29"/>
      <c r="Q694" s="31"/>
      <c r="R694" s="29"/>
      <c r="S694" s="29"/>
      <c r="T694" s="30"/>
      <c r="U694" s="47" t="str">
        <f aca="false">IF(AND(B694&lt;&gt;"",B694=SW別シート!$C$3),COUNTIF(B$5:B694,B694),"")</f>
        <v/>
      </c>
      <c r="V694" s="47" t="n">
        <f aca="false">V693+IF(OR(O694&lt;&gt;"",W694&lt;&gt;""),1,0)</f>
        <v>3</v>
      </c>
      <c r="W694" s="29"/>
    </row>
    <row r="695" customFormat="false" ht="15" hidden="false" customHeight="false" outlineLevel="0" collapsed="false">
      <c r="A695" s="32" t="str">
        <f aca="false">IF(B695="","",ROW()-7)</f>
        <v/>
      </c>
      <c r="B695" s="30"/>
      <c r="C695" s="29"/>
      <c r="D695" s="29"/>
      <c r="E695" s="29"/>
      <c r="F695" s="30"/>
      <c r="G695" s="29"/>
      <c r="H695" s="30"/>
      <c r="I695" s="29"/>
      <c r="J695" s="30"/>
      <c r="K695" s="30"/>
      <c r="L695" s="29"/>
      <c r="M695" s="32" t="str">
        <f aca="false">IF(OR(C695="",L695=""),"",IF(C695=L695,"同一","変更"))</f>
        <v/>
      </c>
      <c r="N695" s="29"/>
      <c r="O695" s="30"/>
      <c r="P695" s="29"/>
      <c r="Q695" s="31"/>
      <c r="R695" s="29"/>
      <c r="S695" s="29"/>
      <c r="T695" s="30"/>
      <c r="U695" s="47" t="str">
        <f aca="false">IF(AND(B695&lt;&gt;"",B695=SW別シート!$C$3),COUNTIF(B$5:B695,B695),"")</f>
        <v/>
      </c>
      <c r="V695" s="47" t="n">
        <f aca="false">V694+IF(OR(O695&lt;&gt;"",W695&lt;&gt;""),1,0)</f>
        <v>3</v>
      </c>
      <c r="W695" s="29"/>
    </row>
    <row r="696" customFormat="false" ht="15" hidden="false" customHeight="false" outlineLevel="0" collapsed="false">
      <c r="A696" s="32" t="str">
        <f aca="false">IF(B696="","",ROW()-7)</f>
        <v/>
      </c>
      <c r="B696" s="30"/>
      <c r="C696" s="29"/>
      <c r="D696" s="29"/>
      <c r="E696" s="29"/>
      <c r="F696" s="30"/>
      <c r="G696" s="29"/>
      <c r="H696" s="30"/>
      <c r="I696" s="29"/>
      <c r="J696" s="30"/>
      <c r="K696" s="30"/>
      <c r="L696" s="29"/>
      <c r="M696" s="32" t="str">
        <f aca="false">IF(OR(C696="",L696=""),"",IF(C696=L696,"同一","変更"))</f>
        <v/>
      </c>
      <c r="N696" s="29"/>
      <c r="O696" s="30"/>
      <c r="P696" s="29"/>
      <c r="Q696" s="31"/>
      <c r="R696" s="29"/>
      <c r="S696" s="29"/>
      <c r="T696" s="30"/>
      <c r="U696" s="47" t="str">
        <f aca="false">IF(AND(B696&lt;&gt;"",B696=SW別シート!$C$3),COUNTIF(B$5:B696,B696),"")</f>
        <v/>
      </c>
      <c r="V696" s="47" t="n">
        <f aca="false">V695+IF(OR(O696&lt;&gt;"",W696&lt;&gt;""),1,0)</f>
        <v>3</v>
      </c>
      <c r="W696" s="29"/>
    </row>
    <row r="697" customFormat="false" ht="15" hidden="false" customHeight="false" outlineLevel="0" collapsed="false">
      <c r="A697" s="32" t="str">
        <f aca="false">IF(B697="","",ROW()-7)</f>
        <v/>
      </c>
      <c r="B697" s="30"/>
      <c r="C697" s="29"/>
      <c r="D697" s="29"/>
      <c r="E697" s="29"/>
      <c r="F697" s="30"/>
      <c r="G697" s="29"/>
      <c r="H697" s="30"/>
      <c r="I697" s="29"/>
      <c r="J697" s="30"/>
      <c r="K697" s="30"/>
      <c r="L697" s="29"/>
      <c r="M697" s="32" t="str">
        <f aca="false">IF(OR(C697="",L697=""),"",IF(C697=L697,"同一","変更"))</f>
        <v/>
      </c>
      <c r="N697" s="29"/>
      <c r="O697" s="30"/>
      <c r="P697" s="29"/>
      <c r="Q697" s="31"/>
      <c r="R697" s="29"/>
      <c r="S697" s="29"/>
      <c r="T697" s="30"/>
      <c r="U697" s="47" t="str">
        <f aca="false">IF(AND(B697&lt;&gt;"",B697=SW別シート!$C$3),COUNTIF(B$5:B697,B697),"")</f>
        <v/>
      </c>
      <c r="V697" s="47" t="n">
        <f aca="false">V696+IF(OR(O697&lt;&gt;"",W697&lt;&gt;""),1,0)</f>
        <v>3</v>
      </c>
      <c r="W697" s="29"/>
    </row>
    <row r="698" customFormat="false" ht="15" hidden="false" customHeight="false" outlineLevel="0" collapsed="false">
      <c r="A698" s="32" t="str">
        <f aca="false">IF(B698="","",ROW()-7)</f>
        <v/>
      </c>
      <c r="B698" s="30"/>
      <c r="C698" s="29"/>
      <c r="D698" s="29"/>
      <c r="E698" s="29"/>
      <c r="F698" s="30"/>
      <c r="G698" s="29"/>
      <c r="H698" s="30"/>
      <c r="I698" s="29"/>
      <c r="J698" s="30"/>
      <c r="K698" s="30"/>
      <c r="L698" s="29"/>
      <c r="M698" s="32" t="str">
        <f aca="false">IF(OR(C698="",L698=""),"",IF(C698=L698,"同一","変更"))</f>
        <v/>
      </c>
      <c r="N698" s="29"/>
      <c r="O698" s="30"/>
      <c r="P698" s="29"/>
      <c r="Q698" s="31"/>
      <c r="R698" s="29"/>
      <c r="S698" s="29"/>
      <c r="T698" s="30"/>
      <c r="U698" s="47" t="str">
        <f aca="false">IF(AND(B698&lt;&gt;"",B698=SW別シート!$C$3),COUNTIF(B$5:B698,B698),"")</f>
        <v/>
      </c>
      <c r="V698" s="47" t="n">
        <f aca="false">V697+IF(OR(O698&lt;&gt;"",W698&lt;&gt;""),1,0)</f>
        <v>3</v>
      </c>
      <c r="W698" s="29"/>
    </row>
    <row r="699" customFormat="false" ht="15" hidden="false" customHeight="false" outlineLevel="0" collapsed="false">
      <c r="A699" s="32" t="str">
        <f aca="false">IF(B699="","",ROW()-7)</f>
        <v/>
      </c>
      <c r="B699" s="30"/>
      <c r="C699" s="29"/>
      <c r="D699" s="29"/>
      <c r="E699" s="29"/>
      <c r="F699" s="30"/>
      <c r="G699" s="29"/>
      <c r="H699" s="30"/>
      <c r="I699" s="29"/>
      <c r="J699" s="30"/>
      <c r="K699" s="30"/>
      <c r="L699" s="29"/>
      <c r="M699" s="32" t="str">
        <f aca="false">IF(OR(C699="",L699=""),"",IF(C699=L699,"同一","変更"))</f>
        <v/>
      </c>
      <c r="N699" s="29"/>
      <c r="O699" s="30"/>
      <c r="P699" s="29"/>
      <c r="Q699" s="31"/>
      <c r="R699" s="29"/>
      <c r="S699" s="29"/>
      <c r="T699" s="30"/>
      <c r="U699" s="47" t="str">
        <f aca="false">IF(AND(B699&lt;&gt;"",B699=SW別シート!$C$3),COUNTIF(B$5:B699,B699),"")</f>
        <v/>
      </c>
      <c r="V699" s="47" t="n">
        <f aca="false">V698+IF(OR(O699&lt;&gt;"",W699&lt;&gt;""),1,0)</f>
        <v>3</v>
      </c>
      <c r="W699" s="29"/>
    </row>
    <row r="700" customFormat="false" ht="15" hidden="false" customHeight="false" outlineLevel="0" collapsed="false">
      <c r="A700" s="32" t="str">
        <f aca="false">IF(B700="","",ROW()-7)</f>
        <v/>
      </c>
      <c r="B700" s="30"/>
      <c r="C700" s="29"/>
      <c r="D700" s="29"/>
      <c r="E700" s="29"/>
      <c r="F700" s="30"/>
      <c r="G700" s="29"/>
      <c r="H700" s="30"/>
      <c r="I700" s="29"/>
      <c r="J700" s="30"/>
      <c r="K700" s="30"/>
      <c r="L700" s="29"/>
      <c r="M700" s="32" t="str">
        <f aca="false">IF(OR(C700="",L700=""),"",IF(C700=L700,"同一","変更"))</f>
        <v/>
      </c>
      <c r="N700" s="29"/>
      <c r="O700" s="30"/>
      <c r="P700" s="29"/>
      <c r="Q700" s="31"/>
      <c r="R700" s="29"/>
      <c r="S700" s="29"/>
      <c r="T700" s="30"/>
      <c r="U700" s="47" t="str">
        <f aca="false">IF(AND(B700&lt;&gt;"",B700=SW別シート!$C$3),COUNTIF(B$5:B700,B700),"")</f>
        <v/>
      </c>
      <c r="V700" s="47" t="n">
        <f aca="false">V699+IF(OR(O700&lt;&gt;"",W700&lt;&gt;""),1,0)</f>
        <v>3</v>
      </c>
      <c r="W700" s="29"/>
    </row>
    <row r="701" customFormat="false" ht="15" hidden="false" customHeight="false" outlineLevel="0" collapsed="false">
      <c r="A701" s="32" t="str">
        <f aca="false">IF(B701="","",ROW()-7)</f>
        <v/>
      </c>
      <c r="B701" s="30"/>
      <c r="C701" s="29"/>
      <c r="D701" s="29"/>
      <c r="E701" s="29"/>
      <c r="F701" s="30"/>
      <c r="G701" s="29"/>
      <c r="H701" s="30"/>
      <c r="I701" s="29"/>
      <c r="J701" s="30"/>
      <c r="K701" s="30"/>
      <c r="L701" s="29"/>
      <c r="M701" s="32" t="str">
        <f aca="false">IF(OR(C701="",L701=""),"",IF(C701=L701,"同一","変更"))</f>
        <v/>
      </c>
      <c r="N701" s="29"/>
      <c r="O701" s="30"/>
      <c r="P701" s="29"/>
      <c r="Q701" s="31"/>
      <c r="R701" s="29"/>
      <c r="S701" s="29"/>
      <c r="T701" s="30"/>
      <c r="U701" s="47" t="str">
        <f aca="false">IF(AND(B701&lt;&gt;"",B701=SW別シート!$C$3),COUNTIF(B$5:B701,B701),"")</f>
        <v/>
      </c>
      <c r="V701" s="47" t="n">
        <f aca="false">V700+IF(OR(O701&lt;&gt;"",W701&lt;&gt;""),1,0)</f>
        <v>3</v>
      </c>
      <c r="W701" s="29"/>
    </row>
    <row r="702" customFormat="false" ht="15" hidden="false" customHeight="false" outlineLevel="0" collapsed="false">
      <c r="A702" s="32" t="str">
        <f aca="false">IF(B702="","",ROW()-7)</f>
        <v/>
      </c>
      <c r="B702" s="30"/>
      <c r="C702" s="29"/>
      <c r="D702" s="29"/>
      <c r="E702" s="29"/>
      <c r="F702" s="30"/>
      <c r="G702" s="29"/>
      <c r="H702" s="30"/>
      <c r="I702" s="29"/>
      <c r="J702" s="30"/>
      <c r="K702" s="30"/>
      <c r="L702" s="29"/>
      <c r="M702" s="32" t="str">
        <f aca="false">IF(OR(C702="",L702=""),"",IF(C702=L702,"同一","変更"))</f>
        <v/>
      </c>
      <c r="N702" s="29"/>
      <c r="O702" s="30"/>
      <c r="P702" s="29"/>
      <c r="Q702" s="31"/>
      <c r="R702" s="29"/>
      <c r="S702" s="29"/>
      <c r="T702" s="30"/>
      <c r="U702" s="47" t="str">
        <f aca="false">IF(AND(B702&lt;&gt;"",B702=SW別シート!$C$3),COUNTIF(B$5:B702,B702),"")</f>
        <v/>
      </c>
      <c r="V702" s="47" t="n">
        <f aca="false">V701+IF(OR(O702&lt;&gt;"",W702&lt;&gt;""),1,0)</f>
        <v>3</v>
      </c>
      <c r="W702" s="29"/>
    </row>
    <row r="703" customFormat="false" ht="15" hidden="false" customHeight="false" outlineLevel="0" collapsed="false">
      <c r="A703" s="32" t="str">
        <f aca="false">IF(B703="","",ROW()-7)</f>
        <v/>
      </c>
      <c r="B703" s="30"/>
      <c r="C703" s="29"/>
      <c r="D703" s="29"/>
      <c r="E703" s="29"/>
      <c r="F703" s="30"/>
      <c r="G703" s="29"/>
      <c r="H703" s="30"/>
      <c r="I703" s="29"/>
      <c r="J703" s="30"/>
      <c r="K703" s="30"/>
      <c r="L703" s="29"/>
      <c r="M703" s="32" t="str">
        <f aca="false">IF(OR(C703="",L703=""),"",IF(C703=L703,"同一","変更"))</f>
        <v/>
      </c>
      <c r="N703" s="29"/>
      <c r="O703" s="30"/>
      <c r="P703" s="29"/>
      <c r="Q703" s="31"/>
      <c r="R703" s="29"/>
      <c r="S703" s="29"/>
      <c r="T703" s="30"/>
      <c r="U703" s="47" t="str">
        <f aca="false">IF(AND(B703&lt;&gt;"",B703=SW別シート!$C$3),COUNTIF(B$5:B703,B703),"")</f>
        <v/>
      </c>
      <c r="V703" s="47" t="n">
        <f aca="false">V702+IF(OR(O703&lt;&gt;"",W703&lt;&gt;""),1,0)</f>
        <v>3</v>
      </c>
      <c r="W703" s="29"/>
    </row>
    <row r="704" customFormat="false" ht="15" hidden="false" customHeight="false" outlineLevel="0" collapsed="false">
      <c r="A704" s="32" t="str">
        <f aca="false">IF(B704="","",ROW()-7)</f>
        <v/>
      </c>
      <c r="B704" s="30"/>
      <c r="C704" s="29"/>
      <c r="D704" s="29"/>
      <c r="E704" s="29"/>
      <c r="F704" s="30"/>
      <c r="G704" s="29"/>
      <c r="H704" s="30"/>
      <c r="I704" s="29"/>
      <c r="J704" s="30"/>
      <c r="K704" s="30"/>
      <c r="L704" s="29"/>
      <c r="M704" s="32" t="str">
        <f aca="false">IF(OR(C704="",L704=""),"",IF(C704=L704,"同一","変更"))</f>
        <v/>
      </c>
      <c r="N704" s="29"/>
      <c r="O704" s="30"/>
      <c r="P704" s="29"/>
      <c r="Q704" s="31"/>
      <c r="R704" s="29"/>
      <c r="S704" s="29"/>
      <c r="T704" s="30"/>
      <c r="U704" s="47" t="str">
        <f aca="false">IF(AND(B704&lt;&gt;"",B704=SW別シート!$C$3),COUNTIF(B$5:B704,B704),"")</f>
        <v/>
      </c>
      <c r="V704" s="47" t="n">
        <f aca="false">V703+IF(OR(O704&lt;&gt;"",W704&lt;&gt;""),1,0)</f>
        <v>3</v>
      </c>
      <c r="W704" s="29"/>
    </row>
    <row r="705" customFormat="false" ht="15" hidden="false" customHeight="false" outlineLevel="0" collapsed="false">
      <c r="A705" s="32" t="str">
        <f aca="false">IF(B705="","",ROW()-7)</f>
        <v/>
      </c>
      <c r="B705" s="30"/>
      <c r="C705" s="29"/>
      <c r="D705" s="29"/>
      <c r="E705" s="29"/>
      <c r="F705" s="30"/>
      <c r="G705" s="29"/>
      <c r="H705" s="30"/>
      <c r="I705" s="29"/>
      <c r="J705" s="30"/>
      <c r="K705" s="30"/>
      <c r="L705" s="29"/>
      <c r="M705" s="32" t="str">
        <f aca="false">IF(OR(C705="",L705=""),"",IF(C705=L705,"同一","変更"))</f>
        <v/>
      </c>
      <c r="N705" s="29"/>
      <c r="O705" s="30"/>
      <c r="P705" s="29"/>
      <c r="Q705" s="31"/>
      <c r="R705" s="29"/>
      <c r="S705" s="29"/>
      <c r="T705" s="30"/>
      <c r="U705" s="47" t="str">
        <f aca="false">IF(AND(B705&lt;&gt;"",B705=SW別シート!$C$3),COUNTIF(B$5:B705,B705),"")</f>
        <v/>
      </c>
      <c r="V705" s="47" t="n">
        <f aca="false">V704+IF(OR(O705&lt;&gt;"",W705&lt;&gt;""),1,0)</f>
        <v>3</v>
      </c>
      <c r="W705" s="29"/>
    </row>
    <row r="706" customFormat="false" ht="15" hidden="false" customHeight="false" outlineLevel="0" collapsed="false">
      <c r="A706" s="32" t="str">
        <f aca="false">IF(B706="","",ROW()-7)</f>
        <v/>
      </c>
      <c r="B706" s="30"/>
      <c r="C706" s="29"/>
      <c r="D706" s="29"/>
      <c r="E706" s="29"/>
      <c r="F706" s="30"/>
      <c r="G706" s="29"/>
      <c r="H706" s="30"/>
      <c r="I706" s="29"/>
      <c r="J706" s="30"/>
      <c r="K706" s="30"/>
      <c r="L706" s="29"/>
      <c r="M706" s="32" t="str">
        <f aca="false">IF(OR(C706="",L706=""),"",IF(C706=L706,"同一","変更"))</f>
        <v/>
      </c>
      <c r="N706" s="29"/>
      <c r="O706" s="30"/>
      <c r="P706" s="29"/>
      <c r="Q706" s="31"/>
      <c r="R706" s="29"/>
      <c r="S706" s="29"/>
      <c r="T706" s="30"/>
      <c r="U706" s="47" t="str">
        <f aca="false">IF(AND(B706&lt;&gt;"",B706=SW別シート!$C$3),COUNTIF(B$5:B706,B706),"")</f>
        <v/>
      </c>
      <c r="V706" s="47" t="n">
        <f aca="false">V705+IF(OR(O706&lt;&gt;"",W706&lt;&gt;""),1,0)</f>
        <v>3</v>
      </c>
      <c r="W706" s="29"/>
    </row>
    <row r="707" customFormat="false" ht="15" hidden="false" customHeight="false" outlineLevel="0" collapsed="false">
      <c r="A707" s="32" t="str">
        <f aca="false">IF(B707="","",ROW()-7)</f>
        <v/>
      </c>
      <c r="B707" s="30"/>
      <c r="C707" s="29"/>
      <c r="D707" s="29"/>
      <c r="E707" s="29"/>
      <c r="F707" s="30"/>
      <c r="G707" s="29"/>
      <c r="H707" s="30"/>
      <c r="I707" s="29"/>
      <c r="J707" s="30"/>
      <c r="K707" s="30"/>
      <c r="L707" s="29"/>
      <c r="M707" s="32" t="str">
        <f aca="false">IF(OR(C707="",L707=""),"",IF(C707=L707,"同一","変更"))</f>
        <v/>
      </c>
      <c r="N707" s="29"/>
      <c r="O707" s="30"/>
      <c r="P707" s="29"/>
      <c r="Q707" s="31"/>
      <c r="R707" s="29"/>
      <c r="S707" s="29"/>
      <c r="T707" s="30"/>
      <c r="U707" s="47" t="str">
        <f aca="false">IF(AND(B707&lt;&gt;"",B707=SW別シート!$C$3),COUNTIF(B$5:B707,B707),"")</f>
        <v/>
      </c>
      <c r="V707" s="47" t="n">
        <f aca="false">V706+IF(OR(O707&lt;&gt;"",W707&lt;&gt;""),1,0)</f>
        <v>3</v>
      </c>
      <c r="W707" s="29"/>
    </row>
    <row r="708" customFormat="false" ht="15" hidden="false" customHeight="false" outlineLevel="0" collapsed="false">
      <c r="A708" s="32" t="str">
        <f aca="false">IF(B708="","",ROW()-7)</f>
        <v/>
      </c>
      <c r="B708" s="30"/>
      <c r="C708" s="29"/>
      <c r="D708" s="29"/>
      <c r="E708" s="29"/>
      <c r="F708" s="30"/>
      <c r="G708" s="29"/>
      <c r="H708" s="30"/>
      <c r="I708" s="29"/>
      <c r="J708" s="30"/>
      <c r="K708" s="30"/>
      <c r="L708" s="29"/>
      <c r="M708" s="32" t="str">
        <f aca="false">IF(OR(C708="",L708=""),"",IF(C708=L708,"同一","変更"))</f>
        <v/>
      </c>
      <c r="N708" s="29"/>
      <c r="O708" s="30"/>
      <c r="P708" s="29"/>
      <c r="Q708" s="31"/>
      <c r="R708" s="29"/>
      <c r="S708" s="29"/>
      <c r="T708" s="30"/>
      <c r="U708" s="47" t="str">
        <f aca="false">IF(AND(B708&lt;&gt;"",B708=SW別シート!$C$3),COUNTIF(B$5:B708,B708),"")</f>
        <v/>
      </c>
      <c r="V708" s="47" t="n">
        <f aca="false">V707+IF(OR(O708&lt;&gt;"",W708&lt;&gt;""),1,0)</f>
        <v>3</v>
      </c>
      <c r="W708" s="29"/>
    </row>
    <row r="709" customFormat="false" ht="15" hidden="false" customHeight="false" outlineLevel="0" collapsed="false">
      <c r="A709" s="32" t="str">
        <f aca="false">IF(B709="","",ROW()-7)</f>
        <v/>
      </c>
      <c r="B709" s="30"/>
      <c r="C709" s="29"/>
      <c r="D709" s="29"/>
      <c r="E709" s="29"/>
      <c r="F709" s="30"/>
      <c r="G709" s="29"/>
      <c r="H709" s="30"/>
      <c r="I709" s="29"/>
      <c r="J709" s="30"/>
      <c r="K709" s="30"/>
      <c r="L709" s="29"/>
      <c r="M709" s="32" t="str">
        <f aca="false">IF(OR(C709="",L709=""),"",IF(C709=L709,"同一","変更"))</f>
        <v/>
      </c>
      <c r="N709" s="29"/>
      <c r="O709" s="30"/>
      <c r="P709" s="29"/>
      <c r="Q709" s="31"/>
      <c r="R709" s="29"/>
      <c r="S709" s="29"/>
      <c r="T709" s="30"/>
      <c r="U709" s="47" t="str">
        <f aca="false">IF(AND(B709&lt;&gt;"",B709=SW別シート!$C$3),COUNTIF(B$5:B709,B709),"")</f>
        <v/>
      </c>
      <c r="V709" s="47" t="n">
        <f aca="false">V708+IF(OR(O709&lt;&gt;"",W709&lt;&gt;""),1,0)</f>
        <v>3</v>
      </c>
      <c r="W709" s="29"/>
    </row>
    <row r="710" customFormat="false" ht="15" hidden="false" customHeight="false" outlineLevel="0" collapsed="false">
      <c r="A710" s="32" t="str">
        <f aca="false">IF(B710="","",ROW()-7)</f>
        <v/>
      </c>
      <c r="B710" s="30"/>
      <c r="C710" s="29"/>
      <c r="D710" s="29"/>
      <c r="E710" s="29"/>
      <c r="F710" s="30"/>
      <c r="G710" s="29"/>
      <c r="H710" s="30"/>
      <c r="I710" s="29"/>
      <c r="J710" s="30"/>
      <c r="K710" s="30"/>
      <c r="L710" s="29"/>
      <c r="M710" s="32" t="str">
        <f aca="false">IF(OR(C710="",L710=""),"",IF(C710=L710,"同一","変更"))</f>
        <v/>
      </c>
      <c r="N710" s="29"/>
      <c r="O710" s="30"/>
      <c r="P710" s="29"/>
      <c r="Q710" s="31"/>
      <c r="R710" s="29"/>
      <c r="S710" s="29"/>
      <c r="T710" s="30"/>
      <c r="U710" s="47" t="str">
        <f aca="false">IF(AND(B710&lt;&gt;"",B710=SW別シート!$C$3),COUNTIF(B$5:B710,B710),"")</f>
        <v/>
      </c>
      <c r="V710" s="47" t="n">
        <f aca="false">V709+IF(OR(O710&lt;&gt;"",W710&lt;&gt;""),1,0)</f>
        <v>3</v>
      </c>
      <c r="W710" s="29"/>
    </row>
    <row r="711" customFormat="false" ht="15" hidden="false" customHeight="false" outlineLevel="0" collapsed="false">
      <c r="A711" s="32" t="str">
        <f aca="false">IF(B711="","",ROW()-7)</f>
        <v/>
      </c>
      <c r="B711" s="30"/>
      <c r="C711" s="29"/>
      <c r="D711" s="29"/>
      <c r="E711" s="29"/>
      <c r="F711" s="30"/>
      <c r="G711" s="29"/>
      <c r="H711" s="30"/>
      <c r="I711" s="29"/>
      <c r="J711" s="30"/>
      <c r="K711" s="30"/>
      <c r="L711" s="29"/>
      <c r="M711" s="32" t="str">
        <f aca="false">IF(OR(C711="",L711=""),"",IF(C711=L711,"同一","変更"))</f>
        <v/>
      </c>
      <c r="N711" s="29"/>
      <c r="O711" s="30"/>
      <c r="P711" s="29"/>
      <c r="Q711" s="31"/>
      <c r="R711" s="29"/>
      <c r="S711" s="29"/>
      <c r="T711" s="30"/>
      <c r="U711" s="47" t="str">
        <f aca="false">IF(AND(B711&lt;&gt;"",B711=SW別シート!$C$3),COUNTIF(B$5:B711,B711),"")</f>
        <v/>
      </c>
      <c r="V711" s="47" t="n">
        <f aca="false">V710+IF(OR(O711&lt;&gt;"",W711&lt;&gt;""),1,0)</f>
        <v>3</v>
      </c>
      <c r="W711" s="29"/>
    </row>
    <row r="712" customFormat="false" ht="15" hidden="false" customHeight="false" outlineLevel="0" collapsed="false">
      <c r="A712" s="32" t="str">
        <f aca="false">IF(B712="","",ROW()-7)</f>
        <v/>
      </c>
      <c r="B712" s="30"/>
      <c r="C712" s="29"/>
      <c r="D712" s="29"/>
      <c r="E712" s="29"/>
      <c r="F712" s="30"/>
      <c r="G712" s="29"/>
      <c r="H712" s="30"/>
      <c r="I712" s="29"/>
      <c r="J712" s="30"/>
      <c r="K712" s="30"/>
      <c r="L712" s="29"/>
      <c r="M712" s="32" t="str">
        <f aca="false">IF(OR(C712="",L712=""),"",IF(C712=L712,"同一","変更"))</f>
        <v/>
      </c>
      <c r="N712" s="29"/>
      <c r="O712" s="30"/>
      <c r="P712" s="29"/>
      <c r="Q712" s="31"/>
      <c r="R712" s="29"/>
      <c r="S712" s="29"/>
      <c r="T712" s="30"/>
      <c r="U712" s="47" t="str">
        <f aca="false">IF(AND(B712&lt;&gt;"",B712=SW別シート!$C$3),COUNTIF(B$5:B712,B712),"")</f>
        <v/>
      </c>
      <c r="V712" s="47" t="n">
        <f aca="false">V711+IF(OR(O712&lt;&gt;"",W712&lt;&gt;""),1,0)</f>
        <v>3</v>
      </c>
      <c r="W712" s="29"/>
    </row>
    <row r="713" customFormat="false" ht="15" hidden="false" customHeight="false" outlineLevel="0" collapsed="false">
      <c r="A713" s="32" t="str">
        <f aca="false">IF(B713="","",ROW()-7)</f>
        <v/>
      </c>
      <c r="B713" s="30"/>
      <c r="C713" s="29"/>
      <c r="D713" s="29"/>
      <c r="E713" s="29"/>
      <c r="F713" s="30"/>
      <c r="G713" s="29"/>
      <c r="H713" s="30"/>
      <c r="I713" s="29"/>
      <c r="J713" s="30"/>
      <c r="K713" s="30"/>
      <c r="L713" s="29"/>
      <c r="M713" s="32" t="str">
        <f aca="false">IF(OR(C713="",L713=""),"",IF(C713=L713,"同一","変更"))</f>
        <v/>
      </c>
      <c r="N713" s="29"/>
      <c r="O713" s="30"/>
      <c r="P713" s="29"/>
      <c r="Q713" s="31"/>
      <c r="R713" s="29"/>
      <c r="S713" s="29"/>
      <c r="T713" s="30"/>
      <c r="U713" s="47" t="str">
        <f aca="false">IF(AND(B713&lt;&gt;"",B713=SW別シート!$C$3),COUNTIF(B$5:B713,B713),"")</f>
        <v/>
      </c>
      <c r="V713" s="47" t="n">
        <f aca="false">V712+IF(OR(O713&lt;&gt;"",W713&lt;&gt;""),1,0)</f>
        <v>3</v>
      </c>
      <c r="W713" s="29"/>
    </row>
    <row r="714" customFormat="false" ht="15" hidden="false" customHeight="false" outlineLevel="0" collapsed="false">
      <c r="A714" s="32" t="str">
        <f aca="false">IF(B714="","",ROW()-7)</f>
        <v/>
      </c>
      <c r="B714" s="30"/>
      <c r="C714" s="29"/>
      <c r="D714" s="29"/>
      <c r="E714" s="29"/>
      <c r="F714" s="30"/>
      <c r="G714" s="29"/>
      <c r="H714" s="30"/>
      <c r="I714" s="29"/>
      <c r="J714" s="30"/>
      <c r="K714" s="30"/>
      <c r="L714" s="29"/>
      <c r="M714" s="32" t="str">
        <f aca="false">IF(OR(C714="",L714=""),"",IF(C714=L714,"同一","変更"))</f>
        <v/>
      </c>
      <c r="N714" s="29"/>
      <c r="O714" s="30"/>
      <c r="P714" s="29"/>
      <c r="Q714" s="31"/>
      <c r="R714" s="29"/>
      <c r="S714" s="29"/>
      <c r="T714" s="30"/>
      <c r="U714" s="47" t="str">
        <f aca="false">IF(AND(B714&lt;&gt;"",B714=SW別シート!$C$3),COUNTIF(B$5:B714,B714),"")</f>
        <v/>
      </c>
      <c r="V714" s="47" t="n">
        <f aca="false">V713+IF(OR(O714&lt;&gt;"",W714&lt;&gt;""),1,0)</f>
        <v>3</v>
      </c>
      <c r="W714" s="29"/>
    </row>
    <row r="715" customFormat="false" ht="15" hidden="false" customHeight="false" outlineLevel="0" collapsed="false">
      <c r="A715" s="32" t="str">
        <f aca="false">IF(B715="","",ROW()-7)</f>
        <v/>
      </c>
      <c r="B715" s="30"/>
      <c r="C715" s="29"/>
      <c r="D715" s="29"/>
      <c r="E715" s="29"/>
      <c r="F715" s="30"/>
      <c r="G715" s="29"/>
      <c r="H715" s="30"/>
      <c r="I715" s="29"/>
      <c r="J715" s="30"/>
      <c r="K715" s="30"/>
      <c r="L715" s="29"/>
      <c r="M715" s="32" t="str">
        <f aca="false">IF(OR(C715="",L715=""),"",IF(C715=L715,"同一","変更"))</f>
        <v/>
      </c>
      <c r="N715" s="29"/>
      <c r="O715" s="30"/>
      <c r="P715" s="29"/>
      <c r="Q715" s="31"/>
      <c r="R715" s="29"/>
      <c r="S715" s="29"/>
      <c r="T715" s="30"/>
      <c r="U715" s="47" t="str">
        <f aca="false">IF(AND(B715&lt;&gt;"",B715=SW別シート!$C$3),COUNTIF(B$5:B715,B715),"")</f>
        <v/>
      </c>
      <c r="V715" s="47" t="n">
        <f aca="false">V714+IF(OR(O715&lt;&gt;"",W715&lt;&gt;""),1,0)</f>
        <v>3</v>
      </c>
      <c r="W715" s="29"/>
    </row>
    <row r="716" customFormat="false" ht="15" hidden="false" customHeight="false" outlineLevel="0" collapsed="false">
      <c r="A716" s="32" t="str">
        <f aca="false">IF(B716="","",ROW()-7)</f>
        <v/>
      </c>
      <c r="B716" s="30"/>
      <c r="C716" s="29"/>
      <c r="D716" s="29"/>
      <c r="E716" s="29"/>
      <c r="F716" s="30"/>
      <c r="G716" s="29"/>
      <c r="H716" s="30"/>
      <c r="I716" s="29"/>
      <c r="J716" s="30"/>
      <c r="K716" s="30"/>
      <c r="L716" s="29"/>
      <c r="M716" s="32" t="str">
        <f aca="false">IF(OR(C716="",L716=""),"",IF(C716=L716,"同一","変更"))</f>
        <v/>
      </c>
      <c r="N716" s="29"/>
      <c r="O716" s="30"/>
      <c r="P716" s="29"/>
      <c r="Q716" s="31"/>
      <c r="R716" s="29"/>
      <c r="S716" s="29"/>
      <c r="T716" s="30"/>
      <c r="U716" s="47" t="str">
        <f aca="false">IF(AND(B716&lt;&gt;"",B716=SW別シート!$C$3),COUNTIF(B$5:B716,B716),"")</f>
        <v/>
      </c>
      <c r="V716" s="47" t="n">
        <f aca="false">V715+IF(OR(O716&lt;&gt;"",W716&lt;&gt;""),1,0)</f>
        <v>3</v>
      </c>
      <c r="W716" s="29"/>
    </row>
    <row r="717" customFormat="false" ht="15" hidden="false" customHeight="false" outlineLevel="0" collapsed="false">
      <c r="A717" s="32" t="str">
        <f aca="false">IF(B717="","",ROW()-7)</f>
        <v/>
      </c>
      <c r="B717" s="30"/>
      <c r="C717" s="29"/>
      <c r="D717" s="29"/>
      <c r="E717" s="29"/>
      <c r="F717" s="30"/>
      <c r="G717" s="29"/>
      <c r="H717" s="30"/>
      <c r="I717" s="29"/>
      <c r="J717" s="30"/>
      <c r="K717" s="30"/>
      <c r="L717" s="29"/>
      <c r="M717" s="32" t="str">
        <f aca="false">IF(OR(C717="",L717=""),"",IF(C717=L717,"同一","変更"))</f>
        <v/>
      </c>
      <c r="N717" s="29"/>
      <c r="O717" s="30"/>
      <c r="P717" s="29"/>
      <c r="Q717" s="31"/>
      <c r="R717" s="29"/>
      <c r="S717" s="29"/>
      <c r="T717" s="30"/>
      <c r="U717" s="47" t="str">
        <f aca="false">IF(AND(B717&lt;&gt;"",B717=SW別シート!$C$3),COUNTIF(B$5:B717,B717),"")</f>
        <v/>
      </c>
      <c r="V717" s="47" t="n">
        <f aca="false">V716+IF(OR(O717&lt;&gt;"",W717&lt;&gt;""),1,0)</f>
        <v>3</v>
      </c>
      <c r="W717" s="29"/>
    </row>
    <row r="718" customFormat="false" ht="15" hidden="false" customHeight="false" outlineLevel="0" collapsed="false">
      <c r="A718" s="32" t="str">
        <f aca="false">IF(B718="","",ROW()-7)</f>
        <v/>
      </c>
      <c r="B718" s="30"/>
      <c r="C718" s="29"/>
      <c r="D718" s="29"/>
      <c r="E718" s="29"/>
      <c r="F718" s="30"/>
      <c r="G718" s="29"/>
      <c r="H718" s="30"/>
      <c r="I718" s="29"/>
      <c r="J718" s="30"/>
      <c r="K718" s="30"/>
      <c r="L718" s="29"/>
      <c r="M718" s="32" t="str">
        <f aca="false">IF(OR(C718="",L718=""),"",IF(C718=L718,"同一","変更"))</f>
        <v/>
      </c>
      <c r="N718" s="29"/>
      <c r="O718" s="30"/>
      <c r="P718" s="29"/>
      <c r="Q718" s="31"/>
      <c r="R718" s="29"/>
      <c r="S718" s="29"/>
      <c r="T718" s="30"/>
      <c r="U718" s="47" t="str">
        <f aca="false">IF(AND(B718&lt;&gt;"",B718=SW別シート!$C$3),COUNTIF(B$5:B718,B718),"")</f>
        <v/>
      </c>
      <c r="V718" s="47" t="n">
        <f aca="false">V717+IF(OR(O718&lt;&gt;"",W718&lt;&gt;""),1,0)</f>
        <v>3</v>
      </c>
      <c r="W718" s="29"/>
    </row>
    <row r="719" customFormat="false" ht="15" hidden="false" customHeight="false" outlineLevel="0" collapsed="false">
      <c r="A719" s="32" t="str">
        <f aca="false">IF(B719="","",ROW()-7)</f>
        <v/>
      </c>
      <c r="B719" s="30"/>
      <c r="C719" s="29"/>
      <c r="D719" s="29"/>
      <c r="E719" s="29"/>
      <c r="F719" s="30"/>
      <c r="G719" s="29"/>
      <c r="H719" s="30"/>
      <c r="I719" s="29"/>
      <c r="J719" s="30"/>
      <c r="K719" s="30"/>
      <c r="L719" s="29"/>
      <c r="M719" s="32" t="str">
        <f aca="false">IF(OR(C719="",L719=""),"",IF(C719=L719,"同一","変更"))</f>
        <v/>
      </c>
      <c r="N719" s="29"/>
      <c r="O719" s="30"/>
      <c r="P719" s="29"/>
      <c r="Q719" s="31"/>
      <c r="R719" s="29"/>
      <c r="S719" s="29"/>
      <c r="T719" s="30"/>
      <c r="U719" s="47" t="str">
        <f aca="false">IF(AND(B719&lt;&gt;"",B719=SW別シート!$C$3),COUNTIF(B$5:B719,B719),"")</f>
        <v/>
      </c>
      <c r="V719" s="47" t="n">
        <f aca="false">V718+IF(OR(O719&lt;&gt;"",W719&lt;&gt;""),1,0)</f>
        <v>3</v>
      </c>
      <c r="W719" s="29"/>
    </row>
    <row r="720" customFormat="false" ht="15" hidden="false" customHeight="false" outlineLevel="0" collapsed="false">
      <c r="A720" s="32" t="str">
        <f aca="false">IF(B720="","",ROW()-7)</f>
        <v/>
      </c>
      <c r="B720" s="30"/>
      <c r="C720" s="29"/>
      <c r="D720" s="29"/>
      <c r="E720" s="29"/>
      <c r="F720" s="30"/>
      <c r="G720" s="29"/>
      <c r="H720" s="30"/>
      <c r="I720" s="29"/>
      <c r="J720" s="30"/>
      <c r="K720" s="30"/>
      <c r="L720" s="29"/>
      <c r="M720" s="32" t="str">
        <f aca="false">IF(OR(C720="",L720=""),"",IF(C720=L720,"同一","変更"))</f>
        <v/>
      </c>
      <c r="N720" s="29"/>
      <c r="O720" s="30"/>
      <c r="P720" s="29"/>
      <c r="Q720" s="31"/>
      <c r="R720" s="29"/>
      <c r="S720" s="29"/>
      <c r="T720" s="30"/>
      <c r="U720" s="47" t="str">
        <f aca="false">IF(AND(B720&lt;&gt;"",B720=SW別シート!$C$3),COUNTIF(B$5:B720,B720),"")</f>
        <v/>
      </c>
      <c r="V720" s="47" t="n">
        <f aca="false">V719+IF(OR(O720&lt;&gt;"",W720&lt;&gt;""),1,0)</f>
        <v>3</v>
      </c>
      <c r="W720" s="29"/>
    </row>
    <row r="721" customFormat="false" ht="15" hidden="false" customHeight="false" outlineLevel="0" collapsed="false">
      <c r="A721" s="32" t="str">
        <f aca="false">IF(B721="","",ROW()-7)</f>
        <v/>
      </c>
      <c r="B721" s="30"/>
      <c r="C721" s="29"/>
      <c r="D721" s="29"/>
      <c r="E721" s="29"/>
      <c r="F721" s="30"/>
      <c r="G721" s="29"/>
      <c r="H721" s="30"/>
      <c r="I721" s="29"/>
      <c r="J721" s="30"/>
      <c r="K721" s="30"/>
      <c r="L721" s="29"/>
      <c r="M721" s="32" t="str">
        <f aca="false">IF(OR(C721="",L721=""),"",IF(C721=L721,"同一","変更"))</f>
        <v/>
      </c>
      <c r="N721" s="29"/>
      <c r="O721" s="30"/>
      <c r="P721" s="29"/>
      <c r="Q721" s="31"/>
      <c r="R721" s="29"/>
      <c r="S721" s="29"/>
      <c r="T721" s="30"/>
      <c r="U721" s="47" t="str">
        <f aca="false">IF(AND(B721&lt;&gt;"",B721=SW別シート!$C$3),COUNTIF(B$5:B721,B721),"")</f>
        <v/>
      </c>
      <c r="V721" s="47" t="n">
        <f aca="false">V720+IF(OR(O721&lt;&gt;"",W721&lt;&gt;""),1,0)</f>
        <v>3</v>
      </c>
      <c r="W721" s="29"/>
    </row>
    <row r="722" customFormat="false" ht="15" hidden="false" customHeight="false" outlineLevel="0" collapsed="false">
      <c r="A722" s="32" t="str">
        <f aca="false">IF(B722="","",ROW()-7)</f>
        <v/>
      </c>
      <c r="B722" s="30"/>
      <c r="C722" s="29"/>
      <c r="D722" s="29"/>
      <c r="E722" s="29"/>
      <c r="F722" s="30"/>
      <c r="G722" s="29"/>
      <c r="H722" s="30"/>
      <c r="I722" s="29"/>
      <c r="J722" s="30"/>
      <c r="K722" s="30"/>
      <c r="L722" s="29"/>
      <c r="M722" s="32" t="str">
        <f aca="false">IF(OR(C722="",L722=""),"",IF(C722=L722,"同一","変更"))</f>
        <v/>
      </c>
      <c r="N722" s="29"/>
      <c r="O722" s="30"/>
      <c r="P722" s="29"/>
      <c r="Q722" s="31"/>
      <c r="R722" s="29"/>
      <c r="S722" s="29"/>
      <c r="T722" s="30"/>
      <c r="U722" s="47" t="str">
        <f aca="false">IF(AND(B722&lt;&gt;"",B722=SW別シート!$C$3),COUNTIF(B$5:B722,B722),"")</f>
        <v/>
      </c>
      <c r="V722" s="47" t="n">
        <f aca="false">V721+IF(OR(O722&lt;&gt;"",W722&lt;&gt;""),1,0)</f>
        <v>3</v>
      </c>
      <c r="W722" s="29"/>
    </row>
    <row r="723" customFormat="false" ht="15" hidden="false" customHeight="false" outlineLevel="0" collapsed="false">
      <c r="A723" s="32" t="str">
        <f aca="false">IF(B723="","",ROW()-7)</f>
        <v/>
      </c>
      <c r="B723" s="30"/>
      <c r="C723" s="29"/>
      <c r="D723" s="29"/>
      <c r="E723" s="29"/>
      <c r="F723" s="30"/>
      <c r="G723" s="29"/>
      <c r="H723" s="30"/>
      <c r="I723" s="29"/>
      <c r="J723" s="30"/>
      <c r="K723" s="30"/>
      <c r="L723" s="29"/>
      <c r="M723" s="32" t="str">
        <f aca="false">IF(OR(C723="",L723=""),"",IF(C723=L723,"同一","変更"))</f>
        <v/>
      </c>
      <c r="N723" s="29"/>
      <c r="O723" s="30"/>
      <c r="P723" s="29"/>
      <c r="Q723" s="31"/>
      <c r="R723" s="29"/>
      <c r="S723" s="29"/>
      <c r="T723" s="30"/>
      <c r="U723" s="47" t="str">
        <f aca="false">IF(AND(B723&lt;&gt;"",B723=SW別シート!$C$3),COUNTIF(B$5:B723,B723),"")</f>
        <v/>
      </c>
      <c r="V723" s="47" t="n">
        <f aca="false">V722+IF(OR(O723&lt;&gt;"",W723&lt;&gt;""),1,0)</f>
        <v>3</v>
      </c>
      <c r="W723" s="29"/>
    </row>
    <row r="724" customFormat="false" ht="15" hidden="false" customHeight="false" outlineLevel="0" collapsed="false">
      <c r="A724" s="32" t="str">
        <f aca="false">IF(B724="","",ROW()-7)</f>
        <v/>
      </c>
      <c r="B724" s="30"/>
      <c r="C724" s="29"/>
      <c r="D724" s="29"/>
      <c r="E724" s="29"/>
      <c r="F724" s="30"/>
      <c r="G724" s="29"/>
      <c r="H724" s="30"/>
      <c r="I724" s="29"/>
      <c r="J724" s="30"/>
      <c r="K724" s="30"/>
      <c r="L724" s="29"/>
      <c r="M724" s="32" t="str">
        <f aca="false">IF(OR(C724="",L724=""),"",IF(C724=L724,"同一","変更"))</f>
        <v/>
      </c>
      <c r="N724" s="29"/>
      <c r="O724" s="30"/>
      <c r="P724" s="29"/>
      <c r="Q724" s="31"/>
      <c r="R724" s="29"/>
      <c r="S724" s="29"/>
      <c r="T724" s="30"/>
      <c r="U724" s="47" t="str">
        <f aca="false">IF(AND(B724&lt;&gt;"",B724=SW別シート!$C$3),COUNTIF(B$5:B724,B724),"")</f>
        <v/>
      </c>
      <c r="V724" s="47" t="n">
        <f aca="false">V723+IF(OR(O724&lt;&gt;"",W724&lt;&gt;""),1,0)</f>
        <v>3</v>
      </c>
      <c r="W724" s="29"/>
    </row>
    <row r="725" customFormat="false" ht="15" hidden="false" customHeight="false" outlineLevel="0" collapsed="false">
      <c r="A725" s="32" t="str">
        <f aca="false">IF(B725="","",ROW()-7)</f>
        <v/>
      </c>
      <c r="B725" s="30"/>
      <c r="C725" s="29"/>
      <c r="D725" s="29"/>
      <c r="E725" s="29"/>
      <c r="F725" s="30"/>
      <c r="G725" s="29"/>
      <c r="H725" s="30"/>
      <c r="I725" s="29"/>
      <c r="J725" s="30"/>
      <c r="K725" s="30"/>
      <c r="L725" s="29"/>
      <c r="M725" s="32" t="str">
        <f aca="false">IF(OR(C725="",L725=""),"",IF(C725=L725,"同一","変更"))</f>
        <v/>
      </c>
      <c r="N725" s="29"/>
      <c r="O725" s="30"/>
      <c r="P725" s="29"/>
      <c r="Q725" s="31"/>
      <c r="R725" s="29"/>
      <c r="S725" s="29"/>
      <c r="T725" s="30"/>
      <c r="U725" s="47" t="str">
        <f aca="false">IF(AND(B725&lt;&gt;"",B725=SW別シート!$C$3),COUNTIF(B$5:B725,B725),"")</f>
        <v/>
      </c>
      <c r="V725" s="47" t="n">
        <f aca="false">V724+IF(OR(O725&lt;&gt;"",W725&lt;&gt;""),1,0)</f>
        <v>3</v>
      </c>
      <c r="W725" s="29"/>
    </row>
    <row r="726" customFormat="false" ht="15" hidden="false" customHeight="false" outlineLevel="0" collapsed="false">
      <c r="A726" s="32" t="str">
        <f aca="false">IF(B726="","",ROW()-7)</f>
        <v/>
      </c>
      <c r="B726" s="30"/>
      <c r="C726" s="29"/>
      <c r="D726" s="29"/>
      <c r="E726" s="29"/>
      <c r="F726" s="30"/>
      <c r="G726" s="29"/>
      <c r="H726" s="30"/>
      <c r="I726" s="29"/>
      <c r="J726" s="30"/>
      <c r="K726" s="30"/>
      <c r="L726" s="29"/>
      <c r="M726" s="32" t="str">
        <f aca="false">IF(OR(C726="",L726=""),"",IF(C726=L726,"同一","変更"))</f>
        <v/>
      </c>
      <c r="N726" s="29"/>
      <c r="O726" s="30"/>
      <c r="P726" s="29"/>
      <c r="Q726" s="31"/>
      <c r="R726" s="29"/>
      <c r="S726" s="29"/>
      <c r="T726" s="30"/>
      <c r="U726" s="47" t="str">
        <f aca="false">IF(AND(B726&lt;&gt;"",B726=SW別シート!$C$3),COUNTIF(B$5:B726,B726),"")</f>
        <v/>
      </c>
      <c r="V726" s="47" t="n">
        <f aca="false">V725+IF(OR(O726&lt;&gt;"",W726&lt;&gt;""),1,0)</f>
        <v>3</v>
      </c>
      <c r="W726" s="29"/>
    </row>
    <row r="727" customFormat="false" ht="15" hidden="false" customHeight="false" outlineLevel="0" collapsed="false">
      <c r="A727" s="32" t="str">
        <f aca="false">IF(B727="","",ROW()-7)</f>
        <v/>
      </c>
      <c r="B727" s="30"/>
      <c r="C727" s="29"/>
      <c r="D727" s="29"/>
      <c r="E727" s="29"/>
      <c r="F727" s="30"/>
      <c r="G727" s="29"/>
      <c r="H727" s="30"/>
      <c r="I727" s="29"/>
      <c r="J727" s="30"/>
      <c r="K727" s="30"/>
      <c r="L727" s="29"/>
      <c r="M727" s="32" t="str">
        <f aca="false">IF(OR(C727="",L727=""),"",IF(C727=L727,"同一","変更"))</f>
        <v/>
      </c>
      <c r="N727" s="29"/>
      <c r="O727" s="30"/>
      <c r="P727" s="29"/>
      <c r="Q727" s="31"/>
      <c r="R727" s="29"/>
      <c r="S727" s="29"/>
      <c r="T727" s="30"/>
      <c r="U727" s="47" t="str">
        <f aca="false">IF(AND(B727&lt;&gt;"",B727=SW別シート!$C$3),COUNTIF(B$5:B727,B727),"")</f>
        <v/>
      </c>
      <c r="V727" s="47" t="n">
        <f aca="false">V726+IF(OR(O727&lt;&gt;"",W727&lt;&gt;""),1,0)</f>
        <v>3</v>
      </c>
      <c r="W727" s="29"/>
    </row>
    <row r="728" customFormat="false" ht="15" hidden="false" customHeight="false" outlineLevel="0" collapsed="false">
      <c r="A728" s="32" t="str">
        <f aca="false">IF(B728="","",ROW()-7)</f>
        <v/>
      </c>
      <c r="B728" s="30"/>
      <c r="C728" s="29"/>
      <c r="D728" s="29"/>
      <c r="E728" s="29"/>
      <c r="F728" s="30"/>
      <c r="G728" s="29"/>
      <c r="H728" s="30"/>
      <c r="I728" s="29"/>
      <c r="J728" s="30"/>
      <c r="K728" s="30"/>
      <c r="L728" s="29"/>
      <c r="M728" s="32" t="str">
        <f aca="false">IF(OR(C728="",L728=""),"",IF(C728=L728,"同一","変更"))</f>
        <v/>
      </c>
      <c r="N728" s="29"/>
      <c r="O728" s="30"/>
      <c r="P728" s="29"/>
      <c r="Q728" s="31"/>
      <c r="R728" s="29"/>
      <c r="S728" s="29"/>
      <c r="T728" s="30"/>
      <c r="U728" s="47" t="str">
        <f aca="false">IF(AND(B728&lt;&gt;"",B728=SW別シート!$C$3),COUNTIF(B$5:B728,B728),"")</f>
        <v/>
      </c>
      <c r="V728" s="47" t="n">
        <f aca="false">V727+IF(OR(O728&lt;&gt;"",W728&lt;&gt;""),1,0)</f>
        <v>3</v>
      </c>
      <c r="W728" s="29"/>
    </row>
    <row r="729" customFormat="false" ht="15" hidden="false" customHeight="false" outlineLevel="0" collapsed="false">
      <c r="A729" s="32" t="str">
        <f aca="false">IF(B729="","",ROW()-7)</f>
        <v/>
      </c>
      <c r="B729" s="30"/>
      <c r="C729" s="29"/>
      <c r="D729" s="29"/>
      <c r="E729" s="29"/>
      <c r="F729" s="30"/>
      <c r="G729" s="29"/>
      <c r="H729" s="30"/>
      <c r="I729" s="29"/>
      <c r="J729" s="30"/>
      <c r="K729" s="30"/>
      <c r="L729" s="29"/>
      <c r="M729" s="32" t="str">
        <f aca="false">IF(OR(C729="",L729=""),"",IF(C729=L729,"同一","変更"))</f>
        <v/>
      </c>
      <c r="N729" s="29"/>
      <c r="O729" s="30"/>
      <c r="P729" s="29"/>
      <c r="Q729" s="31"/>
      <c r="R729" s="29"/>
      <c r="S729" s="29"/>
      <c r="T729" s="30"/>
      <c r="U729" s="47" t="str">
        <f aca="false">IF(AND(B729&lt;&gt;"",B729=SW別シート!$C$3),COUNTIF(B$5:B729,B729),"")</f>
        <v/>
      </c>
      <c r="V729" s="47" t="n">
        <f aca="false">V728+IF(OR(O729&lt;&gt;"",W729&lt;&gt;""),1,0)</f>
        <v>3</v>
      </c>
      <c r="W729" s="29"/>
    </row>
    <row r="730" customFormat="false" ht="15" hidden="false" customHeight="false" outlineLevel="0" collapsed="false">
      <c r="A730" s="32" t="str">
        <f aca="false">IF(B730="","",ROW()-7)</f>
        <v/>
      </c>
      <c r="B730" s="30"/>
      <c r="C730" s="29"/>
      <c r="D730" s="29"/>
      <c r="E730" s="29"/>
      <c r="F730" s="30"/>
      <c r="G730" s="29"/>
      <c r="H730" s="30"/>
      <c r="I730" s="29"/>
      <c r="J730" s="30"/>
      <c r="K730" s="30"/>
      <c r="L730" s="29"/>
      <c r="M730" s="32" t="str">
        <f aca="false">IF(OR(C730="",L730=""),"",IF(C730=L730,"同一","変更"))</f>
        <v/>
      </c>
      <c r="N730" s="29"/>
      <c r="O730" s="30"/>
      <c r="P730" s="29"/>
      <c r="Q730" s="31"/>
      <c r="R730" s="29"/>
      <c r="S730" s="29"/>
      <c r="T730" s="30"/>
      <c r="U730" s="47" t="str">
        <f aca="false">IF(AND(B730&lt;&gt;"",B730=SW別シート!$C$3),COUNTIF(B$5:B730,B730),"")</f>
        <v/>
      </c>
      <c r="V730" s="47" t="n">
        <f aca="false">V729+IF(OR(O730&lt;&gt;"",W730&lt;&gt;""),1,0)</f>
        <v>3</v>
      </c>
      <c r="W730" s="29"/>
    </row>
    <row r="731" customFormat="false" ht="15" hidden="false" customHeight="false" outlineLevel="0" collapsed="false">
      <c r="A731" s="32" t="str">
        <f aca="false">IF(B731="","",ROW()-7)</f>
        <v/>
      </c>
      <c r="B731" s="30"/>
      <c r="C731" s="29"/>
      <c r="D731" s="29"/>
      <c r="E731" s="29"/>
      <c r="F731" s="30"/>
      <c r="G731" s="29"/>
      <c r="H731" s="30"/>
      <c r="I731" s="29"/>
      <c r="J731" s="30"/>
      <c r="K731" s="30"/>
      <c r="L731" s="29"/>
      <c r="M731" s="32" t="str">
        <f aca="false">IF(OR(C731="",L731=""),"",IF(C731=L731,"同一","変更"))</f>
        <v/>
      </c>
      <c r="N731" s="29"/>
      <c r="O731" s="30"/>
      <c r="P731" s="29"/>
      <c r="Q731" s="31"/>
      <c r="R731" s="29"/>
      <c r="S731" s="29"/>
      <c r="T731" s="30"/>
      <c r="U731" s="47" t="str">
        <f aca="false">IF(AND(B731&lt;&gt;"",B731=SW別シート!$C$3),COUNTIF(B$5:B731,B731),"")</f>
        <v/>
      </c>
      <c r="V731" s="47" t="n">
        <f aca="false">V730+IF(OR(O731&lt;&gt;"",W731&lt;&gt;""),1,0)</f>
        <v>3</v>
      </c>
      <c r="W731" s="29"/>
    </row>
    <row r="732" customFormat="false" ht="15" hidden="false" customHeight="false" outlineLevel="0" collapsed="false">
      <c r="A732" s="32" t="str">
        <f aca="false">IF(B732="","",ROW()-7)</f>
        <v/>
      </c>
      <c r="B732" s="30"/>
      <c r="C732" s="29"/>
      <c r="D732" s="29"/>
      <c r="E732" s="29"/>
      <c r="F732" s="30"/>
      <c r="G732" s="29"/>
      <c r="H732" s="30"/>
      <c r="I732" s="29"/>
      <c r="J732" s="30"/>
      <c r="K732" s="30"/>
      <c r="L732" s="29"/>
      <c r="M732" s="32" t="str">
        <f aca="false">IF(OR(C732="",L732=""),"",IF(C732=L732,"同一","変更"))</f>
        <v/>
      </c>
      <c r="N732" s="29"/>
      <c r="O732" s="30"/>
      <c r="P732" s="29"/>
      <c r="Q732" s="31"/>
      <c r="R732" s="29"/>
      <c r="S732" s="29"/>
      <c r="T732" s="30"/>
      <c r="U732" s="47" t="str">
        <f aca="false">IF(AND(B732&lt;&gt;"",B732=SW別シート!$C$3),COUNTIF(B$5:B732,B732),"")</f>
        <v/>
      </c>
      <c r="V732" s="47" t="n">
        <f aca="false">V731+IF(OR(O732&lt;&gt;"",W732&lt;&gt;""),1,0)</f>
        <v>3</v>
      </c>
      <c r="W732" s="29"/>
    </row>
    <row r="733" customFormat="false" ht="15" hidden="false" customHeight="false" outlineLevel="0" collapsed="false">
      <c r="A733" s="32" t="str">
        <f aca="false">IF(B733="","",ROW()-7)</f>
        <v/>
      </c>
      <c r="B733" s="30"/>
      <c r="C733" s="29"/>
      <c r="D733" s="29"/>
      <c r="E733" s="29"/>
      <c r="F733" s="30"/>
      <c r="G733" s="29"/>
      <c r="H733" s="30"/>
      <c r="I733" s="29"/>
      <c r="J733" s="30"/>
      <c r="K733" s="30"/>
      <c r="L733" s="29"/>
      <c r="M733" s="32" t="str">
        <f aca="false">IF(OR(C733="",L733=""),"",IF(C733=L733,"同一","変更"))</f>
        <v/>
      </c>
      <c r="N733" s="29"/>
      <c r="O733" s="30"/>
      <c r="P733" s="29"/>
      <c r="Q733" s="31"/>
      <c r="R733" s="29"/>
      <c r="S733" s="29"/>
      <c r="T733" s="30"/>
      <c r="U733" s="47" t="str">
        <f aca="false">IF(AND(B733&lt;&gt;"",B733=SW別シート!$C$3),COUNTIF(B$5:B733,B733),"")</f>
        <v/>
      </c>
      <c r="V733" s="47" t="n">
        <f aca="false">V732+IF(OR(O733&lt;&gt;"",W733&lt;&gt;""),1,0)</f>
        <v>3</v>
      </c>
      <c r="W733" s="29"/>
    </row>
    <row r="734" customFormat="false" ht="15" hidden="false" customHeight="false" outlineLevel="0" collapsed="false">
      <c r="A734" s="32" t="str">
        <f aca="false">IF(B734="","",ROW()-7)</f>
        <v/>
      </c>
      <c r="B734" s="30"/>
      <c r="C734" s="29"/>
      <c r="D734" s="29"/>
      <c r="E734" s="29"/>
      <c r="F734" s="30"/>
      <c r="G734" s="29"/>
      <c r="H734" s="30"/>
      <c r="I734" s="29"/>
      <c r="J734" s="30"/>
      <c r="K734" s="30"/>
      <c r="L734" s="29"/>
      <c r="M734" s="32" t="str">
        <f aca="false">IF(OR(C734="",L734=""),"",IF(C734=L734,"同一","変更"))</f>
        <v/>
      </c>
      <c r="N734" s="29"/>
      <c r="O734" s="30"/>
      <c r="P734" s="29"/>
      <c r="Q734" s="31"/>
      <c r="R734" s="29"/>
      <c r="S734" s="29"/>
      <c r="T734" s="30"/>
      <c r="U734" s="47" t="str">
        <f aca="false">IF(AND(B734&lt;&gt;"",B734=SW別シート!$C$3),COUNTIF(B$5:B734,B734),"")</f>
        <v/>
      </c>
      <c r="V734" s="47" t="n">
        <f aca="false">V733+IF(OR(O734&lt;&gt;"",W734&lt;&gt;""),1,0)</f>
        <v>3</v>
      </c>
      <c r="W734" s="29"/>
    </row>
    <row r="735" customFormat="false" ht="15" hidden="false" customHeight="false" outlineLevel="0" collapsed="false">
      <c r="A735" s="32" t="str">
        <f aca="false">IF(B735="","",ROW()-7)</f>
        <v/>
      </c>
      <c r="B735" s="30"/>
      <c r="C735" s="29"/>
      <c r="D735" s="29"/>
      <c r="E735" s="29"/>
      <c r="F735" s="30"/>
      <c r="G735" s="29"/>
      <c r="H735" s="30"/>
      <c r="I735" s="29"/>
      <c r="J735" s="30"/>
      <c r="K735" s="30"/>
      <c r="L735" s="29"/>
      <c r="M735" s="32" t="str">
        <f aca="false">IF(OR(C735="",L735=""),"",IF(C735=L735,"同一","変更"))</f>
        <v/>
      </c>
      <c r="N735" s="29"/>
      <c r="O735" s="30"/>
      <c r="P735" s="29"/>
      <c r="Q735" s="31"/>
      <c r="R735" s="29"/>
      <c r="S735" s="29"/>
      <c r="T735" s="30"/>
      <c r="U735" s="47" t="str">
        <f aca="false">IF(AND(B735&lt;&gt;"",B735=SW別シート!$C$3),COUNTIF(B$5:B735,B735),"")</f>
        <v/>
      </c>
      <c r="V735" s="47" t="n">
        <f aca="false">V734+IF(OR(O735&lt;&gt;"",W735&lt;&gt;""),1,0)</f>
        <v>3</v>
      </c>
      <c r="W735" s="29"/>
    </row>
    <row r="736" customFormat="false" ht="15" hidden="false" customHeight="false" outlineLevel="0" collapsed="false">
      <c r="A736" s="32" t="str">
        <f aca="false">IF(B736="","",ROW()-7)</f>
        <v/>
      </c>
      <c r="B736" s="30"/>
      <c r="C736" s="29"/>
      <c r="D736" s="29"/>
      <c r="E736" s="29"/>
      <c r="F736" s="30"/>
      <c r="G736" s="29"/>
      <c r="H736" s="30"/>
      <c r="I736" s="29"/>
      <c r="J736" s="30"/>
      <c r="K736" s="30"/>
      <c r="L736" s="29"/>
      <c r="M736" s="32" t="str">
        <f aca="false">IF(OR(C736="",L736=""),"",IF(C736=L736,"同一","変更"))</f>
        <v/>
      </c>
      <c r="N736" s="29"/>
      <c r="O736" s="30"/>
      <c r="P736" s="29"/>
      <c r="Q736" s="31"/>
      <c r="R736" s="29"/>
      <c r="S736" s="29"/>
      <c r="T736" s="30"/>
      <c r="U736" s="47" t="str">
        <f aca="false">IF(AND(B736&lt;&gt;"",B736=SW別シート!$C$3),COUNTIF(B$5:B736,B736),"")</f>
        <v/>
      </c>
      <c r="V736" s="47" t="n">
        <f aca="false">V735+IF(OR(O736&lt;&gt;"",W736&lt;&gt;""),1,0)</f>
        <v>3</v>
      </c>
      <c r="W736" s="29"/>
    </row>
    <row r="737" customFormat="false" ht="15" hidden="false" customHeight="false" outlineLevel="0" collapsed="false">
      <c r="A737" s="32" t="str">
        <f aca="false">IF(B737="","",ROW()-7)</f>
        <v/>
      </c>
      <c r="B737" s="30"/>
      <c r="C737" s="29"/>
      <c r="D737" s="29"/>
      <c r="E737" s="29"/>
      <c r="F737" s="30"/>
      <c r="G737" s="29"/>
      <c r="H737" s="30"/>
      <c r="I737" s="29"/>
      <c r="J737" s="30"/>
      <c r="K737" s="30"/>
      <c r="L737" s="29"/>
      <c r="M737" s="32" t="str">
        <f aca="false">IF(OR(C737="",L737=""),"",IF(C737=L737,"同一","変更"))</f>
        <v/>
      </c>
      <c r="N737" s="29"/>
      <c r="O737" s="30"/>
      <c r="P737" s="29"/>
      <c r="Q737" s="31"/>
      <c r="R737" s="29"/>
      <c r="S737" s="29"/>
      <c r="T737" s="30"/>
      <c r="U737" s="47" t="str">
        <f aca="false">IF(AND(B737&lt;&gt;"",B737=SW別シート!$C$3),COUNTIF(B$5:B737,B737),"")</f>
        <v/>
      </c>
      <c r="V737" s="47" t="n">
        <f aca="false">V736+IF(OR(O737&lt;&gt;"",W737&lt;&gt;""),1,0)</f>
        <v>3</v>
      </c>
      <c r="W737" s="29"/>
    </row>
    <row r="738" customFormat="false" ht="15" hidden="false" customHeight="false" outlineLevel="0" collapsed="false">
      <c r="A738" s="32" t="str">
        <f aca="false">IF(B738="","",ROW()-7)</f>
        <v/>
      </c>
      <c r="B738" s="30"/>
      <c r="C738" s="29"/>
      <c r="D738" s="29"/>
      <c r="E738" s="29"/>
      <c r="F738" s="30"/>
      <c r="G738" s="29"/>
      <c r="H738" s="30"/>
      <c r="I738" s="29"/>
      <c r="J738" s="30"/>
      <c r="K738" s="30"/>
      <c r="L738" s="29"/>
      <c r="M738" s="32" t="str">
        <f aca="false">IF(OR(C738="",L738=""),"",IF(C738=L738,"同一","変更"))</f>
        <v/>
      </c>
      <c r="N738" s="29"/>
      <c r="O738" s="30"/>
      <c r="P738" s="29"/>
      <c r="Q738" s="31"/>
      <c r="R738" s="29"/>
      <c r="S738" s="29"/>
      <c r="T738" s="30"/>
      <c r="U738" s="47" t="str">
        <f aca="false">IF(AND(B738&lt;&gt;"",B738=SW別シート!$C$3),COUNTIF(B$5:B738,B738),"")</f>
        <v/>
      </c>
      <c r="V738" s="47" t="n">
        <f aca="false">V737+IF(OR(O738&lt;&gt;"",W738&lt;&gt;""),1,0)</f>
        <v>3</v>
      </c>
      <c r="W738" s="29"/>
    </row>
    <row r="739" customFormat="false" ht="15" hidden="false" customHeight="false" outlineLevel="0" collapsed="false">
      <c r="A739" s="32" t="str">
        <f aca="false">IF(B739="","",ROW()-7)</f>
        <v/>
      </c>
      <c r="B739" s="30"/>
      <c r="C739" s="29"/>
      <c r="D739" s="29"/>
      <c r="E739" s="29"/>
      <c r="F739" s="30"/>
      <c r="G739" s="29"/>
      <c r="H739" s="30"/>
      <c r="I739" s="29"/>
      <c r="J739" s="30"/>
      <c r="K739" s="30"/>
      <c r="L739" s="29"/>
      <c r="M739" s="32" t="str">
        <f aca="false">IF(OR(C739="",L739=""),"",IF(C739=L739,"同一","変更"))</f>
        <v/>
      </c>
      <c r="N739" s="29"/>
      <c r="O739" s="30"/>
      <c r="P739" s="29"/>
      <c r="Q739" s="31"/>
      <c r="R739" s="29"/>
      <c r="S739" s="29"/>
      <c r="T739" s="30"/>
      <c r="U739" s="47" t="str">
        <f aca="false">IF(AND(B739&lt;&gt;"",B739=SW別シート!$C$3),COUNTIF(B$5:B739,B739),"")</f>
        <v/>
      </c>
      <c r="V739" s="47" t="n">
        <f aca="false">V738+IF(OR(O739&lt;&gt;"",W739&lt;&gt;""),1,0)</f>
        <v>3</v>
      </c>
      <c r="W739" s="29"/>
    </row>
    <row r="740" customFormat="false" ht="15" hidden="false" customHeight="false" outlineLevel="0" collapsed="false">
      <c r="A740" s="32" t="str">
        <f aca="false">IF(B740="","",ROW()-7)</f>
        <v/>
      </c>
      <c r="B740" s="30"/>
      <c r="C740" s="29"/>
      <c r="D740" s="29"/>
      <c r="E740" s="29"/>
      <c r="F740" s="30"/>
      <c r="G740" s="29"/>
      <c r="H740" s="30"/>
      <c r="I740" s="29"/>
      <c r="J740" s="30"/>
      <c r="K740" s="30"/>
      <c r="L740" s="29"/>
      <c r="M740" s="32" t="str">
        <f aca="false">IF(OR(C740="",L740=""),"",IF(C740=L740,"同一","変更"))</f>
        <v/>
      </c>
      <c r="N740" s="29"/>
      <c r="O740" s="30"/>
      <c r="P740" s="29"/>
      <c r="Q740" s="31"/>
      <c r="R740" s="29"/>
      <c r="S740" s="29"/>
      <c r="T740" s="30"/>
      <c r="U740" s="47" t="str">
        <f aca="false">IF(AND(B740&lt;&gt;"",B740=SW別シート!$C$3),COUNTIF(B$5:B740,B740),"")</f>
        <v/>
      </c>
      <c r="V740" s="47" t="n">
        <f aca="false">V739+IF(OR(O740&lt;&gt;"",W740&lt;&gt;""),1,0)</f>
        <v>3</v>
      </c>
      <c r="W740" s="29"/>
    </row>
    <row r="741" customFormat="false" ht="15" hidden="false" customHeight="false" outlineLevel="0" collapsed="false">
      <c r="A741" s="32" t="str">
        <f aca="false">IF(B741="","",ROW()-7)</f>
        <v/>
      </c>
      <c r="B741" s="30"/>
      <c r="C741" s="29"/>
      <c r="D741" s="29"/>
      <c r="E741" s="29"/>
      <c r="F741" s="30"/>
      <c r="G741" s="29"/>
      <c r="H741" s="30"/>
      <c r="I741" s="29"/>
      <c r="J741" s="30"/>
      <c r="K741" s="30"/>
      <c r="L741" s="29"/>
      <c r="M741" s="32" t="str">
        <f aca="false">IF(OR(C741="",L741=""),"",IF(C741=L741,"同一","変更"))</f>
        <v/>
      </c>
      <c r="N741" s="29"/>
      <c r="O741" s="30"/>
      <c r="P741" s="29"/>
      <c r="Q741" s="31"/>
      <c r="R741" s="29"/>
      <c r="S741" s="29"/>
      <c r="T741" s="30"/>
      <c r="U741" s="47" t="str">
        <f aca="false">IF(AND(B741&lt;&gt;"",B741=SW別シート!$C$3),COUNTIF(B$5:B741,B741),"")</f>
        <v/>
      </c>
      <c r="V741" s="47" t="n">
        <f aca="false">V740+IF(OR(O741&lt;&gt;"",W741&lt;&gt;""),1,0)</f>
        <v>3</v>
      </c>
      <c r="W741" s="29"/>
    </row>
    <row r="742" customFormat="false" ht="15" hidden="false" customHeight="false" outlineLevel="0" collapsed="false">
      <c r="A742" s="32" t="str">
        <f aca="false">IF(B742="","",ROW()-7)</f>
        <v/>
      </c>
      <c r="B742" s="30"/>
      <c r="C742" s="29"/>
      <c r="D742" s="29"/>
      <c r="E742" s="29"/>
      <c r="F742" s="30"/>
      <c r="G742" s="29"/>
      <c r="H742" s="30"/>
      <c r="I742" s="29"/>
      <c r="J742" s="30"/>
      <c r="K742" s="30"/>
      <c r="L742" s="29"/>
      <c r="M742" s="32" t="str">
        <f aca="false">IF(OR(C742="",L742=""),"",IF(C742=L742,"同一","変更"))</f>
        <v/>
      </c>
      <c r="N742" s="29"/>
      <c r="O742" s="30"/>
      <c r="P742" s="29"/>
      <c r="Q742" s="31"/>
      <c r="R742" s="29"/>
      <c r="S742" s="29"/>
      <c r="T742" s="30"/>
      <c r="U742" s="47" t="str">
        <f aca="false">IF(AND(B742&lt;&gt;"",B742=SW別シート!$C$3),COUNTIF(B$5:B742,B742),"")</f>
        <v/>
      </c>
      <c r="V742" s="47" t="n">
        <f aca="false">V741+IF(OR(O742&lt;&gt;"",W742&lt;&gt;""),1,0)</f>
        <v>3</v>
      </c>
      <c r="W742" s="29"/>
    </row>
    <row r="743" customFormat="false" ht="15" hidden="false" customHeight="false" outlineLevel="0" collapsed="false">
      <c r="A743" s="32" t="str">
        <f aca="false">IF(B743="","",ROW()-7)</f>
        <v/>
      </c>
      <c r="B743" s="30"/>
      <c r="C743" s="29"/>
      <c r="D743" s="29"/>
      <c r="E743" s="29"/>
      <c r="F743" s="30"/>
      <c r="G743" s="29"/>
      <c r="H743" s="30"/>
      <c r="I743" s="29"/>
      <c r="J743" s="30"/>
      <c r="K743" s="30"/>
      <c r="L743" s="29"/>
      <c r="M743" s="32" t="str">
        <f aca="false">IF(OR(C743="",L743=""),"",IF(C743=L743,"同一","変更"))</f>
        <v/>
      </c>
      <c r="N743" s="29"/>
      <c r="O743" s="30"/>
      <c r="P743" s="29"/>
      <c r="Q743" s="31"/>
      <c r="R743" s="29"/>
      <c r="S743" s="29"/>
      <c r="T743" s="30"/>
      <c r="U743" s="47" t="str">
        <f aca="false">IF(AND(B743&lt;&gt;"",B743=SW別シート!$C$3),COUNTIF(B$5:B743,B743),"")</f>
        <v/>
      </c>
      <c r="V743" s="47" t="n">
        <f aca="false">V742+IF(OR(O743&lt;&gt;"",W743&lt;&gt;""),1,0)</f>
        <v>3</v>
      </c>
      <c r="W743" s="29"/>
    </row>
    <row r="744" customFormat="false" ht="15" hidden="false" customHeight="false" outlineLevel="0" collapsed="false">
      <c r="A744" s="32" t="str">
        <f aca="false">IF(B744="","",ROW()-7)</f>
        <v/>
      </c>
      <c r="B744" s="30"/>
      <c r="C744" s="29"/>
      <c r="D744" s="29"/>
      <c r="E744" s="29"/>
      <c r="F744" s="30"/>
      <c r="G744" s="29"/>
      <c r="H744" s="30"/>
      <c r="I744" s="29"/>
      <c r="J744" s="30"/>
      <c r="K744" s="30"/>
      <c r="L744" s="29"/>
      <c r="M744" s="32" t="str">
        <f aca="false">IF(OR(C744="",L744=""),"",IF(C744=L744,"同一","変更"))</f>
        <v/>
      </c>
      <c r="N744" s="29"/>
      <c r="O744" s="30"/>
      <c r="P744" s="29"/>
      <c r="Q744" s="31"/>
      <c r="R744" s="29"/>
      <c r="S744" s="29"/>
      <c r="T744" s="30"/>
      <c r="U744" s="47" t="str">
        <f aca="false">IF(AND(B744&lt;&gt;"",B744=SW別シート!$C$3),COUNTIF(B$5:B744,B744),"")</f>
        <v/>
      </c>
      <c r="V744" s="47" t="n">
        <f aca="false">V743+IF(OR(O744&lt;&gt;"",W744&lt;&gt;""),1,0)</f>
        <v>3</v>
      </c>
      <c r="W744" s="29"/>
    </row>
    <row r="745" customFormat="false" ht="15" hidden="false" customHeight="false" outlineLevel="0" collapsed="false">
      <c r="A745" s="32" t="str">
        <f aca="false">IF(B745="","",ROW()-7)</f>
        <v/>
      </c>
      <c r="B745" s="30"/>
      <c r="C745" s="29"/>
      <c r="D745" s="29"/>
      <c r="E745" s="29"/>
      <c r="F745" s="30"/>
      <c r="G745" s="29"/>
      <c r="H745" s="30"/>
      <c r="I745" s="29"/>
      <c r="J745" s="30"/>
      <c r="K745" s="30"/>
      <c r="L745" s="29"/>
      <c r="M745" s="32" t="str">
        <f aca="false">IF(OR(C745="",L745=""),"",IF(C745=L745,"同一","変更"))</f>
        <v/>
      </c>
      <c r="N745" s="29"/>
      <c r="O745" s="30"/>
      <c r="P745" s="29"/>
      <c r="Q745" s="31"/>
      <c r="R745" s="29"/>
      <c r="S745" s="29"/>
      <c r="T745" s="30"/>
      <c r="U745" s="47" t="str">
        <f aca="false">IF(AND(B745&lt;&gt;"",B745=SW別シート!$C$3),COUNTIF(B$5:B745,B745),"")</f>
        <v/>
      </c>
      <c r="V745" s="47" t="n">
        <f aca="false">V744+IF(OR(O745&lt;&gt;"",W745&lt;&gt;""),1,0)</f>
        <v>3</v>
      </c>
      <c r="W745" s="29"/>
    </row>
    <row r="746" customFormat="false" ht="15" hidden="false" customHeight="false" outlineLevel="0" collapsed="false">
      <c r="A746" s="32" t="str">
        <f aca="false">IF(B746="","",ROW()-7)</f>
        <v/>
      </c>
      <c r="B746" s="30"/>
      <c r="C746" s="29"/>
      <c r="D746" s="29"/>
      <c r="E746" s="29"/>
      <c r="F746" s="30"/>
      <c r="G746" s="29"/>
      <c r="H746" s="30"/>
      <c r="I746" s="29"/>
      <c r="J746" s="30"/>
      <c r="K746" s="30"/>
      <c r="L746" s="29"/>
      <c r="M746" s="32" t="str">
        <f aca="false">IF(OR(C746="",L746=""),"",IF(C746=L746,"同一","変更"))</f>
        <v/>
      </c>
      <c r="N746" s="29"/>
      <c r="O746" s="30"/>
      <c r="P746" s="29"/>
      <c r="Q746" s="31"/>
      <c r="R746" s="29"/>
      <c r="S746" s="29"/>
      <c r="T746" s="30"/>
      <c r="U746" s="47" t="str">
        <f aca="false">IF(AND(B746&lt;&gt;"",B746=SW別シート!$C$3),COUNTIF(B$5:B746,B746),"")</f>
        <v/>
      </c>
      <c r="V746" s="47" t="n">
        <f aca="false">V745+IF(OR(O746&lt;&gt;"",W746&lt;&gt;""),1,0)</f>
        <v>3</v>
      </c>
      <c r="W746" s="29"/>
    </row>
    <row r="747" customFormat="false" ht="15" hidden="false" customHeight="false" outlineLevel="0" collapsed="false">
      <c r="A747" s="32" t="str">
        <f aca="false">IF(B747="","",ROW()-7)</f>
        <v/>
      </c>
      <c r="B747" s="30"/>
      <c r="C747" s="29"/>
      <c r="D747" s="29"/>
      <c r="E747" s="29"/>
      <c r="F747" s="30"/>
      <c r="G747" s="29"/>
      <c r="H747" s="30"/>
      <c r="I747" s="29"/>
      <c r="J747" s="30"/>
      <c r="K747" s="30"/>
      <c r="L747" s="29"/>
      <c r="M747" s="32" t="str">
        <f aca="false">IF(OR(C747="",L747=""),"",IF(C747=L747,"同一","変更"))</f>
        <v/>
      </c>
      <c r="N747" s="29"/>
      <c r="O747" s="30"/>
      <c r="P747" s="29"/>
      <c r="Q747" s="31"/>
      <c r="R747" s="29"/>
      <c r="S747" s="29"/>
      <c r="T747" s="30"/>
      <c r="U747" s="47" t="str">
        <f aca="false">IF(AND(B747&lt;&gt;"",B747=SW別シート!$C$3),COUNTIF(B$5:B747,B747),"")</f>
        <v/>
      </c>
      <c r="V747" s="47" t="n">
        <f aca="false">V746+IF(OR(O747&lt;&gt;"",W747&lt;&gt;""),1,0)</f>
        <v>3</v>
      </c>
      <c r="W747" s="29"/>
    </row>
    <row r="748" customFormat="false" ht="15" hidden="false" customHeight="false" outlineLevel="0" collapsed="false">
      <c r="A748" s="32" t="str">
        <f aca="false">IF(B748="","",ROW()-7)</f>
        <v/>
      </c>
      <c r="B748" s="30"/>
      <c r="C748" s="29"/>
      <c r="D748" s="29"/>
      <c r="E748" s="29"/>
      <c r="F748" s="30"/>
      <c r="G748" s="29"/>
      <c r="H748" s="30"/>
      <c r="I748" s="29"/>
      <c r="J748" s="30"/>
      <c r="K748" s="30"/>
      <c r="L748" s="29"/>
      <c r="M748" s="32" t="str">
        <f aca="false">IF(OR(C748="",L748=""),"",IF(C748=L748,"同一","変更"))</f>
        <v/>
      </c>
      <c r="N748" s="29"/>
      <c r="O748" s="30"/>
      <c r="P748" s="29"/>
      <c r="Q748" s="31"/>
      <c r="R748" s="29"/>
      <c r="S748" s="29"/>
      <c r="T748" s="30"/>
      <c r="U748" s="47" t="str">
        <f aca="false">IF(AND(B748&lt;&gt;"",B748=SW別シート!$C$3),COUNTIF(B$5:B748,B748),"")</f>
        <v/>
      </c>
      <c r="V748" s="47" t="n">
        <f aca="false">V747+IF(OR(O748&lt;&gt;"",W748&lt;&gt;""),1,0)</f>
        <v>3</v>
      </c>
      <c r="W748" s="29"/>
    </row>
    <row r="749" customFormat="false" ht="15" hidden="false" customHeight="false" outlineLevel="0" collapsed="false">
      <c r="A749" s="32" t="str">
        <f aca="false">IF(B749="","",ROW()-7)</f>
        <v/>
      </c>
      <c r="B749" s="30"/>
      <c r="C749" s="29"/>
      <c r="D749" s="29"/>
      <c r="E749" s="29"/>
      <c r="F749" s="30"/>
      <c r="G749" s="29"/>
      <c r="H749" s="30"/>
      <c r="I749" s="29"/>
      <c r="J749" s="30"/>
      <c r="K749" s="30"/>
      <c r="L749" s="29"/>
      <c r="M749" s="32" t="str">
        <f aca="false">IF(OR(C749="",L749=""),"",IF(C749=L749,"同一","変更"))</f>
        <v/>
      </c>
      <c r="N749" s="29"/>
      <c r="O749" s="30"/>
      <c r="P749" s="29"/>
      <c r="Q749" s="31"/>
      <c r="R749" s="29"/>
      <c r="S749" s="29"/>
      <c r="T749" s="30"/>
      <c r="U749" s="47" t="str">
        <f aca="false">IF(AND(B749&lt;&gt;"",B749=SW別シート!$C$3),COUNTIF(B$5:B749,B749),"")</f>
        <v/>
      </c>
      <c r="V749" s="47" t="n">
        <f aca="false">V748+IF(OR(O749&lt;&gt;"",W749&lt;&gt;""),1,0)</f>
        <v>3</v>
      </c>
      <c r="W749" s="29"/>
    </row>
    <row r="750" customFormat="false" ht="15" hidden="false" customHeight="false" outlineLevel="0" collapsed="false">
      <c r="A750" s="32" t="str">
        <f aca="false">IF(B750="","",ROW()-7)</f>
        <v/>
      </c>
      <c r="B750" s="30"/>
      <c r="C750" s="29"/>
      <c r="D750" s="29"/>
      <c r="E750" s="29"/>
      <c r="F750" s="30"/>
      <c r="G750" s="29"/>
      <c r="H750" s="30"/>
      <c r="I750" s="29"/>
      <c r="J750" s="30"/>
      <c r="K750" s="30"/>
      <c r="L750" s="29"/>
      <c r="M750" s="32" t="str">
        <f aca="false">IF(OR(C750="",L750=""),"",IF(C750=L750,"同一","変更"))</f>
        <v/>
      </c>
      <c r="N750" s="29"/>
      <c r="O750" s="30"/>
      <c r="P750" s="29"/>
      <c r="Q750" s="31"/>
      <c r="R750" s="29"/>
      <c r="S750" s="29"/>
      <c r="T750" s="30"/>
      <c r="U750" s="47" t="str">
        <f aca="false">IF(AND(B750&lt;&gt;"",B750=SW別シート!$C$3),COUNTIF(B$5:B750,B750),"")</f>
        <v/>
      </c>
      <c r="V750" s="47" t="n">
        <f aca="false">V749+IF(OR(O750&lt;&gt;"",W750&lt;&gt;""),1,0)</f>
        <v>3</v>
      </c>
      <c r="W750" s="29"/>
    </row>
    <row r="751" customFormat="false" ht="15" hidden="false" customHeight="false" outlineLevel="0" collapsed="false">
      <c r="A751" s="32" t="str">
        <f aca="false">IF(B751="","",ROW()-7)</f>
        <v/>
      </c>
      <c r="B751" s="30"/>
      <c r="C751" s="29"/>
      <c r="D751" s="29"/>
      <c r="E751" s="29"/>
      <c r="F751" s="30"/>
      <c r="G751" s="29"/>
      <c r="H751" s="30"/>
      <c r="I751" s="29"/>
      <c r="J751" s="30"/>
      <c r="K751" s="30"/>
      <c r="L751" s="29"/>
      <c r="M751" s="32" t="str">
        <f aca="false">IF(OR(C751="",L751=""),"",IF(C751=L751,"同一","変更"))</f>
        <v/>
      </c>
      <c r="N751" s="29"/>
      <c r="O751" s="30"/>
      <c r="P751" s="29"/>
      <c r="Q751" s="31"/>
      <c r="R751" s="29"/>
      <c r="S751" s="29"/>
      <c r="T751" s="30"/>
      <c r="U751" s="47" t="str">
        <f aca="false">IF(AND(B751&lt;&gt;"",B751=SW別シート!$C$3),COUNTIF(B$5:B751,B751),"")</f>
        <v/>
      </c>
      <c r="V751" s="47" t="n">
        <f aca="false">V750+IF(OR(O751&lt;&gt;"",W751&lt;&gt;""),1,0)</f>
        <v>3</v>
      </c>
      <c r="W751" s="29"/>
    </row>
    <row r="752" customFormat="false" ht="15" hidden="false" customHeight="false" outlineLevel="0" collapsed="false">
      <c r="A752" s="32" t="str">
        <f aca="false">IF(B752="","",ROW()-7)</f>
        <v/>
      </c>
      <c r="B752" s="30"/>
      <c r="C752" s="29"/>
      <c r="D752" s="29"/>
      <c r="E752" s="29"/>
      <c r="F752" s="30"/>
      <c r="G752" s="29"/>
      <c r="H752" s="30"/>
      <c r="I752" s="29"/>
      <c r="J752" s="30"/>
      <c r="K752" s="30"/>
      <c r="L752" s="29"/>
      <c r="M752" s="32" t="str">
        <f aca="false">IF(OR(C752="",L752=""),"",IF(C752=L752,"同一","変更"))</f>
        <v/>
      </c>
      <c r="N752" s="29"/>
      <c r="O752" s="30"/>
      <c r="P752" s="29"/>
      <c r="Q752" s="31"/>
      <c r="R752" s="29"/>
      <c r="S752" s="29"/>
      <c r="T752" s="30"/>
      <c r="U752" s="47" t="str">
        <f aca="false">IF(AND(B752&lt;&gt;"",B752=SW別シート!$C$3),COUNTIF(B$5:B752,B752),"")</f>
        <v/>
      </c>
      <c r="V752" s="47" t="n">
        <f aca="false">V751+IF(OR(O752&lt;&gt;"",W752&lt;&gt;""),1,0)</f>
        <v>3</v>
      </c>
      <c r="W752" s="29"/>
    </row>
    <row r="753" customFormat="false" ht="15" hidden="false" customHeight="false" outlineLevel="0" collapsed="false">
      <c r="A753" s="32" t="str">
        <f aca="false">IF(B753="","",ROW()-7)</f>
        <v/>
      </c>
      <c r="B753" s="30"/>
      <c r="C753" s="29"/>
      <c r="D753" s="29"/>
      <c r="E753" s="29"/>
      <c r="F753" s="30"/>
      <c r="G753" s="29"/>
      <c r="H753" s="30"/>
      <c r="I753" s="29"/>
      <c r="J753" s="30"/>
      <c r="K753" s="30"/>
      <c r="L753" s="29"/>
      <c r="M753" s="32" t="str">
        <f aca="false">IF(OR(C753="",L753=""),"",IF(C753=L753,"同一","変更"))</f>
        <v/>
      </c>
      <c r="N753" s="29"/>
      <c r="O753" s="30"/>
      <c r="P753" s="29"/>
      <c r="Q753" s="31"/>
      <c r="R753" s="29"/>
      <c r="S753" s="29"/>
      <c r="T753" s="30"/>
      <c r="U753" s="47" t="str">
        <f aca="false">IF(AND(B753&lt;&gt;"",B753=SW別シート!$C$3),COUNTIF(B$5:B753,B753),"")</f>
        <v/>
      </c>
      <c r="V753" s="47" t="n">
        <f aca="false">V752+IF(OR(O753&lt;&gt;"",W753&lt;&gt;""),1,0)</f>
        <v>3</v>
      </c>
      <c r="W753" s="29"/>
    </row>
    <row r="754" customFormat="false" ht="15" hidden="false" customHeight="false" outlineLevel="0" collapsed="false">
      <c r="A754" s="32" t="str">
        <f aca="false">IF(B754="","",ROW()-7)</f>
        <v/>
      </c>
      <c r="B754" s="30"/>
      <c r="C754" s="29"/>
      <c r="D754" s="29"/>
      <c r="E754" s="29"/>
      <c r="F754" s="30"/>
      <c r="G754" s="29"/>
      <c r="H754" s="30"/>
      <c r="I754" s="29"/>
      <c r="J754" s="30"/>
      <c r="K754" s="30"/>
      <c r="L754" s="29"/>
      <c r="M754" s="32" t="str">
        <f aca="false">IF(OR(C754="",L754=""),"",IF(C754=L754,"同一","変更"))</f>
        <v/>
      </c>
      <c r="N754" s="29"/>
      <c r="O754" s="30"/>
      <c r="P754" s="29"/>
      <c r="Q754" s="31"/>
      <c r="R754" s="29"/>
      <c r="S754" s="29"/>
      <c r="T754" s="30"/>
      <c r="U754" s="47" t="str">
        <f aca="false">IF(AND(B754&lt;&gt;"",B754=SW別シート!$C$3),COUNTIF(B$5:B754,B754),"")</f>
        <v/>
      </c>
      <c r="V754" s="47" t="n">
        <f aca="false">V753+IF(OR(O754&lt;&gt;"",W754&lt;&gt;""),1,0)</f>
        <v>3</v>
      </c>
      <c r="W754" s="29"/>
    </row>
    <row r="755" customFormat="false" ht="15" hidden="false" customHeight="false" outlineLevel="0" collapsed="false">
      <c r="A755" s="32" t="str">
        <f aca="false">IF(B755="","",ROW()-7)</f>
        <v/>
      </c>
      <c r="B755" s="30"/>
      <c r="C755" s="29"/>
      <c r="D755" s="29"/>
      <c r="E755" s="29"/>
      <c r="F755" s="30"/>
      <c r="G755" s="29"/>
      <c r="H755" s="30"/>
      <c r="I755" s="29"/>
      <c r="J755" s="30"/>
      <c r="K755" s="30"/>
      <c r="L755" s="29"/>
      <c r="M755" s="32" t="str">
        <f aca="false">IF(OR(C755="",L755=""),"",IF(C755=L755,"同一","変更"))</f>
        <v/>
      </c>
      <c r="N755" s="29"/>
      <c r="O755" s="30"/>
      <c r="P755" s="29"/>
      <c r="Q755" s="31"/>
      <c r="R755" s="29"/>
      <c r="S755" s="29"/>
      <c r="T755" s="30"/>
      <c r="U755" s="47" t="str">
        <f aca="false">IF(AND(B755&lt;&gt;"",B755=SW別シート!$C$3),COUNTIF(B$5:B755,B755),"")</f>
        <v/>
      </c>
      <c r="V755" s="47" t="n">
        <f aca="false">V754+IF(OR(O755&lt;&gt;"",W755&lt;&gt;""),1,0)</f>
        <v>3</v>
      </c>
      <c r="W755" s="29"/>
    </row>
    <row r="756" customFormat="false" ht="15" hidden="false" customHeight="false" outlineLevel="0" collapsed="false">
      <c r="A756" s="32" t="str">
        <f aca="false">IF(B756="","",ROW()-7)</f>
        <v/>
      </c>
      <c r="B756" s="30"/>
      <c r="C756" s="29"/>
      <c r="D756" s="29"/>
      <c r="E756" s="29"/>
      <c r="F756" s="30"/>
      <c r="G756" s="29"/>
      <c r="H756" s="30"/>
      <c r="I756" s="29"/>
      <c r="J756" s="30"/>
      <c r="K756" s="30"/>
      <c r="L756" s="29"/>
      <c r="M756" s="32" t="str">
        <f aca="false">IF(OR(C756="",L756=""),"",IF(C756=L756,"同一","変更"))</f>
        <v/>
      </c>
      <c r="N756" s="29"/>
      <c r="O756" s="30"/>
      <c r="P756" s="29"/>
      <c r="Q756" s="31"/>
      <c r="R756" s="29"/>
      <c r="S756" s="29"/>
      <c r="T756" s="30"/>
      <c r="U756" s="47" t="str">
        <f aca="false">IF(AND(B756&lt;&gt;"",B756=SW別シート!$C$3),COUNTIF(B$5:B756,B756),"")</f>
        <v/>
      </c>
      <c r="V756" s="47" t="n">
        <f aca="false">V755+IF(OR(O756&lt;&gt;"",W756&lt;&gt;""),1,0)</f>
        <v>3</v>
      </c>
      <c r="W756" s="29"/>
    </row>
    <row r="757" customFormat="false" ht="15" hidden="false" customHeight="false" outlineLevel="0" collapsed="false">
      <c r="A757" s="32" t="str">
        <f aca="false">IF(B757="","",ROW()-7)</f>
        <v/>
      </c>
      <c r="B757" s="30"/>
      <c r="C757" s="29"/>
      <c r="D757" s="29"/>
      <c r="E757" s="29"/>
      <c r="F757" s="30"/>
      <c r="G757" s="29"/>
      <c r="H757" s="30"/>
      <c r="I757" s="29"/>
      <c r="J757" s="30"/>
      <c r="K757" s="30"/>
      <c r="L757" s="29"/>
      <c r="M757" s="32" t="str">
        <f aca="false">IF(OR(C757="",L757=""),"",IF(C757=L757,"同一","変更"))</f>
        <v/>
      </c>
      <c r="N757" s="29"/>
      <c r="O757" s="30"/>
      <c r="P757" s="29"/>
      <c r="Q757" s="31"/>
      <c r="R757" s="29"/>
      <c r="S757" s="29"/>
      <c r="T757" s="30"/>
      <c r="U757" s="47" t="str">
        <f aca="false">IF(AND(B757&lt;&gt;"",B757=SW別シート!$C$3),COUNTIF(B$5:B757,B757),"")</f>
        <v/>
      </c>
      <c r="V757" s="47" t="n">
        <f aca="false">V756+IF(OR(O757&lt;&gt;"",W757&lt;&gt;""),1,0)</f>
        <v>3</v>
      </c>
      <c r="W757" s="29"/>
    </row>
    <row r="758" customFormat="false" ht="15" hidden="false" customHeight="false" outlineLevel="0" collapsed="false">
      <c r="A758" s="32" t="str">
        <f aca="false">IF(B758="","",ROW()-7)</f>
        <v/>
      </c>
      <c r="B758" s="30"/>
      <c r="C758" s="29"/>
      <c r="D758" s="29"/>
      <c r="E758" s="29"/>
      <c r="F758" s="30"/>
      <c r="G758" s="29"/>
      <c r="H758" s="30"/>
      <c r="I758" s="29"/>
      <c r="J758" s="30"/>
      <c r="K758" s="30"/>
      <c r="L758" s="29"/>
      <c r="M758" s="32" t="str">
        <f aca="false">IF(OR(C758="",L758=""),"",IF(C758=L758,"同一","変更"))</f>
        <v/>
      </c>
      <c r="N758" s="29"/>
      <c r="O758" s="30"/>
      <c r="P758" s="29"/>
      <c r="Q758" s="31"/>
      <c r="R758" s="29"/>
      <c r="S758" s="29"/>
      <c r="T758" s="30"/>
      <c r="U758" s="47" t="str">
        <f aca="false">IF(AND(B758&lt;&gt;"",B758=SW別シート!$C$3),COUNTIF(B$5:B758,B758),"")</f>
        <v/>
      </c>
      <c r="V758" s="47" t="n">
        <f aca="false">V757+IF(OR(O758&lt;&gt;"",W758&lt;&gt;""),1,0)</f>
        <v>3</v>
      </c>
      <c r="W758" s="29"/>
    </row>
    <row r="759" customFormat="false" ht="15" hidden="false" customHeight="false" outlineLevel="0" collapsed="false">
      <c r="A759" s="32" t="str">
        <f aca="false">IF(B759="","",ROW()-7)</f>
        <v/>
      </c>
      <c r="B759" s="30"/>
      <c r="C759" s="29"/>
      <c r="D759" s="29"/>
      <c r="E759" s="29"/>
      <c r="F759" s="30"/>
      <c r="G759" s="29"/>
      <c r="H759" s="30"/>
      <c r="I759" s="29"/>
      <c r="J759" s="30"/>
      <c r="K759" s="30"/>
      <c r="L759" s="29"/>
      <c r="M759" s="32" t="str">
        <f aca="false">IF(OR(C759="",L759=""),"",IF(C759=L759,"同一","変更"))</f>
        <v/>
      </c>
      <c r="N759" s="29"/>
      <c r="O759" s="30"/>
      <c r="P759" s="29"/>
      <c r="Q759" s="31"/>
      <c r="R759" s="29"/>
      <c r="S759" s="29"/>
      <c r="T759" s="30"/>
      <c r="U759" s="47" t="str">
        <f aca="false">IF(AND(B759&lt;&gt;"",B759=SW別シート!$C$3),COUNTIF(B$5:B759,B759),"")</f>
        <v/>
      </c>
      <c r="V759" s="47" t="n">
        <f aca="false">V758+IF(OR(O759&lt;&gt;"",W759&lt;&gt;""),1,0)</f>
        <v>3</v>
      </c>
      <c r="W759" s="29"/>
    </row>
    <row r="760" customFormat="false" ht="15" hidden="false" customHeight="false" outlineLevel="0" collapsed="false">
      <c r="A760" s="32" t="str">
        <f aca="false">IF(B760="","",ROW()-7)</f>
        <v/>
      </c>
      <c r="B760" s="30"/>
      <c r="C760" s="29"/>
      <c r="D760" s="29"/>
      <c r="E760" s="29"/>
      <c r="F760" s="30"/>
      <c r="G760" s="29"/>
      <c r="H760" s="30"/>
      <c r="I760" s="29"/>
      <c r="J760" s="30"/>
      <c r="K760" s="30"/>
      <c r="L760" s="29"/>
      <c r="M760" s="32" t="str">
        <f aca="false">IF(OR(C760="",L760=""),"",IF(C760=L760,"同一","変更"))</f>
        <v/>
      </c>
      <c r="N760" s="29"/>
      <c r="O760" s="30"/>
      <c r="P760" s="29"/>
      <c r="Q760" s="31"/>
      <c r="R760" s="29"/>
      <c r="S760" s="29"/>
      <c r="T760" s="30"/>
      <c r="U760" s="47" t="str">
        <f aca="false">IF(AND(B760&lt;&gt;"",B760=SW別シート!$C$3),COUNTIF(B$5:B760,B760),"")</f>
        <v/>
      </c>
      <c r="V760" s="47" t="n">
        <f aca="false">V759+IF(OR(O760&lt;&gt;"",W760&lt;&gt;""),1,0)</f>
        <v>3</v>
      </c>
      <c r="W760" s="29"/>
    </row>
    <row r="761" customFormat="false" ht="15" hidden="false" customHeight="false" outlineLevel="0" collapsed="false">
      <c r="A761" s="32" t="str">
        <f aca="false">IF(B761="","",ROW()-7)</f>
        <v/>
      </c>
      <c r="B761" s="30"/>
      <c r="C761" s="29"/>
      <c r="D761" s="29"/>
      <c r="E761" s="29"/>
      <c r="F761" s="30"/>
      <c r="G761" s="29"/>
      <c r="H761" s="30"/>
      <c r="I761" s="29"/>
      <c r="J761" s="30"/>
      <c r="K761" s="30"/>
      <c r="L761" s="29"/>
      <c r="M761" s="32" t="str">
        <f aca="false">IF(OR(C761="",L761=""),"",IF(C761=L761,"同一","変更"))</f>
        <v/>
      </c>
      <c r="N761" s="29"/>
      <c r="O761" s="30"/>
      <c r="P761" s="29"/>
      <c r="Q761" s="31"/>
      <c r="R761" s="29"/>
      <c r="S761" s="29"/>
      <c r="T761" s="30"/>
      <c r="U761" s="47" t="str">
        <f aca="false">IF(AND(B761&lt;&gt;"",B761=SW別シート!$C$3),COUNTIF(B$5:B761,B761),"")</f>
        <v/>
      </c>
      <c r="V761" s="47" t="n">
        <f aca="false">V760+IF(OR(O761&lt;&gt;"",W761&lt;&gt;""),1,0)</f>
        <v>3</v>
      </c>
      <c r="W761" s="29"/>
    </row>
    <row r="762" customFormat="false" ht="15" hidden="false" customHeight="false" outlineLevel="0" collapsed="false">
      <c r="A762" s="32" t="str">
        <f aca="false">IF(B762="","",ROW()-7)</f>
        <v/>
      </c>
      <c r="B762" s="30"/>
      <c r="C762" s="29"/>
      <c r="D762" s="29"/>
      <c r="E762" s="29"/>
      <c r="F762" s="30"/>
      <c r="G762" s="29"/>
      <c r="H762" s="30"/>
      <c r="I762" s="29"/>
      <c r="J762" s="30"/>
      <c r="K762" s="30"/>
      <c r="L762" s="29"/>
      <c r="M762" s="32" t="str">
        <f aca="false">IF(OR(C762="",L762=""),"",IF(C762=L762,"同一","変更"))</f>
        <v/>
      </c>
      <c r="N762" s="29"/>
      <c r="O762" s="30"/>
      <c r="P762" s="29"/>
      <c r="Q762" s="31"/>
      <c r="R762" s="29"/>
      <c r="S762" s="29"/>
      <c r="T762" s="30"/>
      <c r="U762" s="47" t="str">
        <f aca="false">IF(AND(B762&lt;&gt;"",B762=SW別シート!$C$3),COUNTIF(B$5:B762,B762),"")</f>
        <v/>
      </c>
      <c r="V762" s="47" t="n">
        <f aca="false">V761+IF(OR(O762&lt;&gt;"",W762&lt;&gt;""),1,0)</f>
        <v>3</v>
      </c>
      <c r="W762" s="29"/>
    </row>
    <row r="763" customFormat="false" ht="15" hidden="false" customHeight="false" outlineLevel="0" collapsed="false">
      <c r="A763" s="32" t="str">
        <f aca="false">IF(B763="","",ROW()-7)</f>
        <v/>
      </c>
      <c r="B763" s="30"/>
      <c r="C763" s="29"/>
      <c r="D763" s="29"/>
      <c r="E763" s="29"/>
      <c r="F763" s="30"/>
      <c r="G763" s="29"/>
      <c r="H763" s="30"/>
      <c r="I763" s="29"/>
      <c r="J763" s="30"/>
      <c r="K763" s="30"/>
      <c r="L763" s="29"/>
      <c r="M763" s="32" t="str">
        <f aca="false">IF(OR(C763="",L763=""),"",IF(C763=L763,"同一","変更"))</f>
        <v/>
      </c>
      <c r="N763" s="29"/>
      <c r="O763" s="30"/>
      <c r="P763" s="29"/>
      <c r="Q763" s="31"/>
      <c r="R763" s="29"/>
      <c r="S763" s="29"/>
      <c r="T763" s="30"/>
      <c r="U763" s="47" t="str">
        <f aca="false">IF(AND(B763&lt;&gt;"",B763=SW別シート!$C$3),COUNTIF(B$5:B763,B763),"")</f>
        <v/>
      </c>
      <c r="V763" s="47" t="n">
        <f aca="false">V762+IF(OR(O763&lt;&gt;"",W763&lt;&gt;""),1,0)</f>
        <v>3</v>
      </c>
      <c r="W763" s="29"/>
    </row>
    <row r="764" customFormat="false" ht="15" hidden="false" customHeight="false" outlineLevel="0" collapsed="false">
      <c r="A764" s="32" t="str">
        <f aca="false">IF(B764="","",ROW()-7)</f>
        <v/>
      </c>
      <c r="B764" s="30"/>
      <c r="C764" s="29"/>
      <c r="D764" s="29"/>
      <c r="E764" s="29"/>
      <c r="F764" s="30"/>
      <c r="G764" s="29"/>
      <c r="H764" s="30"/>
      <c r="I764" s="29"/>
      <c r="J764" s="30"/>
      <c r="K764" s="30"/>
      <c r="L764" s="29"/>
      <c r="M764" s="32" t="str">
        <f aca="false">IF(OR(C764="",L764=""),"",IF(C764=L764,"同一","変更"))</f>
        <v/>
      </c>
      <c r="N764" s="29"/>
      <c r="O764" s="30"/>
      <c r="P764" s="29"/>
      <c r="Q764" s="31"/>
      <c r="R764" s="29"/>
      <c r="S764" s="29"/>
      <c r="T764" s="30"/>
      <c r="U764" s="47" t="str">
        <f aca="false">IF(AND(B764&lt;&gt;"",B764=SW別シート!$C$3),COUNTIF(B$5:B764,B764),"")</f>
        <v/>
      </c>
      <c r="V764" s="47" t="n">
        <f aca="false">V763+IF(OR(O764&lt;&gt;"",W764&lt;&gt;""),1,0)</f>
        <v>3</v>
      </c>
      <c r="W764" s="29"/>
    </row>
    <row r="765" customFormat="false" ht="15" hidden="false" customHeight="false" outlineLevel="0" collapsed="false">
      <c r="A765" s="32" t="str">
        <f aca="false">IF(B765="","",ROW()-7)</f>
        <v/>
      </c>
      <c r="B765" s="30"/>
      <c r="C765" s="29"/>
      <c r="D765" s="29"/>
      <c r="E765" s="29"/>
      <c r="F765" s="30"/>
      <c r="G765" s="29"/>
      <c r="H765" s="30"/>
      <c r="I765" s="29"/>
      <c r="J765" s="30"/>
      <c r="K765" s="30"/>
      <c r="L765" s="29"/>
      <c r="M765" s="32" t="str">
        <f aca="false">IF(OR(C765="",L765=""),"",IF(C765=L765,"同一","変更"))</f>
        <v/>
      </c>
      <c r="N765" s="29"/>
      <c r="O765" s="30"/>
      <c r="P765" s="29"/>
      <c r="Q765" s="31"/>
      <c r="R765" s="29"/>
      <c r="S765" s="29"/>
      <c r="T765" s="30"/>
      <c r="U765" s="47" t="str">
        <f aca="false">IF(AND(B765&lt;&gt;"",B765=SW別シート!$C$3),COUNTIF(B$5:B765,B765),"")</f>
        <v/>
      </c>
      <c r="V765" s="47" t="n">
        <f aca="false">V764+IF(OR(O765&lt;&gt;"",W765&lt;&gt;""),1,0)</f>
        <v>3</v>
      </c>
      <c r="W765" s="29"/>
    </row>
    <row r="766" customFormat="false" ht="15" hidden="false" customHeight="false" outlineLevel="0" collapsed="false">
      <c r="A766" s="32" t="str">
        <f aca="false">IF(B766="","",ROW()-7)</f>
        <v/>
      </c>
      <c r="B766" s="30"/>
      <c r="C766" s="29"/>
      <c r="D766" s="29"/>
      <c r="E766" s="29"/>
      <c r="F766" s="30"/>
      <c r="G766" s="29"/>
      <c r="H766" s="30"/>
      <c r="I766" s="29"/>
      <c r="J766" s="30"/>
      <c r="K766" s="30"/>
      <c r="L766" s="29"/>
      <c r="M766" s="32" t="str">
        <f aca="false">IF(OR(C766="",L766=""),"",IF(C766=L766,"同一","変更"))</f>
        <v/>
      </c>
      <c r="N766" s="29"/>
      <c r="O766" s="30"/>
      <c r="P766" s="29"/>
      <c r="Q766" s="31"/>
      <c r="R766" s="29"/>
      <c r="S766" s="29"/>
      <c r="T766" s="30"/>
      <c r="U766" s="47" t="str">
        <f aca="false">IF(AND(B766&lt;&gt;"",B766=SW別シート!$C$3),COUNTIF(B$5:B766,B766),"")</f>
        <v/>
      </c>
      <c r="V766" s="47" t="n">
        <f aca="false">V765+IF(OR(O766&lt;&gt;"",W766&lt;&gt;""),1,0)</f>
        <v>3</v>
      </c>
      <c r="W766" s="29"/>
    </row>
    <row r="767" customFormat="false" ht="15" hidden="false" customHeight="false" outlineLevel="0" collapsed="false">
      <c r="A767" s="32" t="str">
        <f aca="false">IF(B767="","",ROW()-7)</f>
        <v/>
      </c>
      <c r="B767" s="30"/>
      <c r="C767" s="29"/>
      <c r="D767" s="29"/>
      <c r="E767" s="29"/>
      <c r="F767" s="30"/>
      <c r="G767" s="29"/>
      <c r="H767" s="30"/>
      <c r="I767" s="29"/>
      <c r="J767" s="30"/>
      <c r="K767" s="30"/>
      <c r="L767" s="29"/>
      <c r="M767" s="32" t="str">
        <f aca="false">IF(OR(C767="",L767=""),"",IF(C767=L767,"同一","変更"))</f>
        <v/>
      </c>
      <c r="N767" s="29"/>
      <c r="O767" s="30"/>
      <c r="P767" s="29"/>
      <c r="Q767" s="31"/>
      <c r="R767" s="29"/>
      <c r="S767" s="29"/>
      <c r="T767" s="30"/>
      <c r="U767" s="47" t="str">
        <f aca="false">IF(AND(B767&lt;&gt;"",B767=SW別シート!$C$3),COUNTIF(B$5:B767,B767),"")</f>
        <v/>
      </c>
      <c r="V767" s="47" t="n">
        <f aca="false">V766+IF(OR(O767&lt;&gt;"",W767&lt;&gt;""),1,0)</f>
        <v>3</v>
      </c>
      <c r="W767" s="29"/>
    </row>
    <row r="768" customFormat="false" ht="15" hidden="false" customHeight="false" outlineLevel="0" collapsed="false">
      <c r="A768" s="32" t="str">
        <f aca="false">IF(B768="","",ROW()-7)</f>
        <v/>
      </c>
      <c r="B768" s="30"/>
      <c r="C768" s="29"/>
      <c r="D768" s="29"/>
      <c r="E768" s="29"/>
      <c r="F768" s="30"/>
      <c r="G768" s="29"/>
      <c r="H768" s="30"/>
      <c r="I768" s="29"/>
      <c r="J768" s="30"/>
      <c r="K768" s="30"/>
      <c r="L768" s="29"/>
      <c r="M768" s="32" t="str">
        <f aca="false">IF(OR(C768="",L768=""),"",IF(C768=L768,"同一","変更"))</f>
        <v/>
      </c>
      <c r="N768" s="29"/>
      <c r="O768" s="30"/>
      <c r="P768" s="29"/>
      <c r="Q768" s="31"/>
      <c r="R768" s="29"/>
      <c r="S768" s="29"/>
      <c r="T768" s="30"/>
      <c r="U768" s="47" t="str">
        <f aca="false">IF(AND(B768&lt;&gt;"",B768=SW別シート!$C$3),COUNTIF(B$5:B768,B768),"")</f>
        <v/>
      </c>
      <c r="V768" s="47" t="n">
        <f aca="false">V767+IF(OR(O768&lt;&gt;"",W768&lt;&gt;""),1,0)</f>
        <v>3</v>
      </c>
      <c r="W768" s="29"/>
    </row>
    <row r="769" customFormat="false" ht="15" hidden="false" customHeight="false" outlineLevel="0" collapsed="false">
      <c r="A769" s="32" t="str">
        <f aca="false">IF(B769="","",ROW()-7)</f>
        <v/>
      </c>
      <c r="B769" s="30"/>
      <c r="C769" s="29"/>
      <c r="D769" s="29"/>
      <c r="E769" s="29"/>
      <c r="F769" s="30"/>
      <c r="G769" s="29"/>
      <c r="H769" s="30"/>
      <c r="I769" s="29"/>
      <c r="J769" s="30"/>
      <c r="K769" s="30"/>
      <c r="L769" s="29"/>
      <c r="M769" s="32" t="str">
        <f aca="false">IF(OR(C769="",L769=""),"",IF(C769=L769,"同一","変更"))</f>
        <v/>
      </c>
      <c r="N769" s="29"/>
      <c r="O769" s="30"/>
      <c r="P769" s="29"/>
      <c r="Q769" s="31"/>
      <c r="R769" s="29"/>
      <c r="S769" s="29"/>
      <c r="T769" s="30"/>
      <c r="U769" s="47" t="str">
        <f aca="false">IF(AND(B769&lt;&gt;"",B769=SW別シート!$C$3),COUNTIF(B$5:B769,B769),"")</f>
        <v/>
      </c>
      <c r="V769" s="47" t="n">
        <f aca="false">V768+IF(OR(O769&lt;&gt;"",W769&lt;&gt;""),1,0)</f>
        <v>3</v>
      </c>
      <c r="W769" s="29"/>
    </row>
    <row r="770" customFormat="false" ht="15" hidden="false" customHeight="false" outlineLevel="0" collapsed="false">
      <c r="A770" s="32" t="str">
        <f aca="false">IF(B770="","",ROW()-7)</f>
        <v/>
      </c>
      <c r="B770" s="30"/>
      <c r="C770" s="29"/>
      <c r="D770" s="29"/>
      <c r="E770" s="29"/>
      <c r="F770" s="30"/>
      <c r="G770" s="29"/>
      <c r="H770" s="30"/>
      <c r="I770" s="29"/>
      <c r="J770" s="30"/>
      <c r="K770" s="30"/>
      <c r="L770" s="29"/>
      <c r="M770" s="32" t="str">
        <f aca="false">IF(OR(C770="",L770=""),"",IF(C770=L770,"同一","変更"))</f>
        <v/>
      </c>
      <c r="N770" s="29"/>
      <c r="O770" s="30"/>
      <c r="P770" s="29"/>
      <c r="Q770" s="31"/>
      <c r="R770" s="29"/>
      <c r="S770" s="29"/>
      <c r="T770" s="30"/>
      <c r="U770" s="47" t="str">
        <f aca="false">IF(AND(B770&lt;&gt;"",B770=SW別シート!$C$3),COUNTIF(B$5:B770,B770),"")</f>
        <v/>
      </c>
      <c r="V770" s="47" t="n">
        <f aca="false">V769+IF(OR(O770&lt;&gt;"",W770&lt;&gt;""),1,0)</f>
        <v>3</v>
      </c>
      <c r="W770" s="29"/>
    </row>
    <row r="771" customFormat="false" ht="15" hidden="false" customHeight="false" outlineLevel="0" collapsed="false">
      <c r="A771" s="32" t="str">
        <f aca="false">IF(B771="","",ROW()-7)</f>
        <v/>
      </c>
      <c r="B771" s="30"/>
      <c r="C771" s="29"/>
      <c r="D771" s="29"/>
      <c r="E771" s="29"/>
      <c r="F771" s="30"/>
      <c r="G771" s="29"/>
      <c r="H771" s="30"/>
      <c r="I771" s="29"/>
      <c r="J771" s="30"/>
      <c r="K771" s="30"/>
      <c r="L771" s="29"/>
      <c r="M771" s="32" t="str">
        <f aca="false">IF(OR(C771="",L771=""),"",IF(C771=L771,"同一","変更"))</f>
        <v/>
      </c>
      <c r="N771" s="29"/>
      <c r="O771" s="30"/>
      <c r="P771" s="29"/>
      <c r="Q771" s="31"/>
      <c r="R771" s="29"/>
      <c r="S771" s="29"/>
      <c r="T771" s="30"/>
      <c r="U771" s="47" t="str">
        <f aca="false">IF(AND(B771&lt;&gt;"",B771=SW別シート!$C$3),COUNTIF(B$5:B771,B771),"")</f>
        <v/>
      </c>
      <c r="V771" s="47" t="n">
        <f aca="false">V770+IF(OR(O771&lt;&gt;"",W771&lt;&gt;""),1,0)</f>
        <v>3</v>
      </c>
      <c r="W771" s="29"/>
    </row>
    <row r="772" customFormat="false" ht="15" hidden="false" customHeight="false" outlineLevel="0" collapsed="false">
      <c r="A772" s="32" t="str">
        <f aca="false">IF(B772="","",ROW()-7)</f>
        <v/>
      </c>
      <c r="B772" s="30"/>
      <c r="C772" s="29"/>
      <c r="D772" s="29"/>
      <c r="E772" s="29"/>
      <c r="F772" s="30"/>
      <c r="G772" s="29"/>
      <c r="H772" s="30"/>
      <c r="I772" s="29"/>
      <c r="J772" s="30"/>
      <c r="K772" s="30"/>
      <c r="L772" s="29"/>
      <c r="M772" s="32" t="str">
        <f aca="false">IF(OR(C772="",L772=""),"",IF(C772=L772,"同一","変更"))</f>
        <v/>
      </c>
      <c r="N772" s="29"/>
      <c r="O772" s="30"/>
      <c r="P772" s="29"/>
      <c r="Q772" s="31"/>
      <c r="R772" s="29"/>
      <c r="S772" s="29"/>
      <c r="T772" s="30"/>
      <c r="U772" s="47" t="str">
        <f aca="false">IF(AND(B772&lt;&gt;"",B772=SW別シート!$C$3),COUNTIF(B$5:B772,B772),"")</f>
        <v/>
      </c>
      <c r="V772" s="47" t="n">
        <f aca="false">V771+IF(OR(O772&lt;&gt;"",W772&lt;&gt;""),1,0)</f>
        <v>3</v>
      </c>
      <c r="W772" s="29"/>
    </row>
    <row r="773" customFormat="false" ht="15" hidden="false" customHeight="false" outlineLevel="0" collapsed="false">
      <c r="A773" s="32" t="str">
        <f aca="false">IF(B773="","",ROW()-7)</f>
        <v/>
      </c>
      <c r="B773" s="30"/>
      <c r="C773" s="29"/>
      <c r="D773" s="29"/>
      <c r="E773" s="29"/>
      <c r="F773" s="30"/>
      <c r="G773" s="29"/>
      <c r="H773" s="30"/>
      <c r="I773" s="29"/>
      <c r="J773" s="30"/>
      <c r="K773" s="30"/>
      <c r="L773" s="29"/>
      <c r="M773" s="32" t="str">
        <f aca="false">IF(OR(C773="",L773=""),"",IF(C773=L773,"同一","変更"))</f>
        <v/>
      </c>
      <c r="N773" s="29"/>
      <c r="O773" s="30"/>
      <c r="P773" s="29"/>
      <c r="Q773" s="31"/>
      <c r="R773" s="29"/>
      <c r="S773" s="29"/>
      <c r="T773" s="30"/>
      <c r="U773" s="47" t="str">
        <f aca="false">IF(AND(B773&lt;&gt;"",B773=SW別シート!$C$3),COUNTIF(B$5:B773,B773),"")</f>
        <v/>
      </c>
      <c r="V773" s="47" t="n">
        <f aca="false">V772+IF(OR(O773&lt;&gt;"",W773&lt;&gt;""),1,0)</f>
        <v>3</v>
      </c>
      <c r="W773" s="29"/>
    </row>
    <row r="774" customFormat="false" ht="15" hidden="false" customHeight="false" outlineLevel="0" collapsed="false">
      <c r="A774" s="32" t="str">
        <f aca="false">IF(B774="","",ROW()-7)</f>
        <v/>
      </c>
      <c r="B774" s="30"/>
      <c r="C774" s="29"/>
      <c r="D774" s="29"/>
      <c r="E774" s="29"/>
      <c r="F774" s="30"/>
      <c r="G774" s="29"/>
      <c r="H774" s="30"/>
      <c r="I774" s="29"/>
      <c r="J774" s="30"/>
      <c r="K774" s="30"/>
      <c r="L774" s="29"/>
      <c r="M774" s="32" t="str">
        <f aca="false">IF(OR(C774="",L774=""),"",IF(C774=L774,"同一","変更"))</f>
        <v/>
      </c>
      <c r="N774" s="29"/>
      <c r="O774" s="30"/>
      <c r="P774" s="29"/>
      <c r="Q774" s="31"/>
      <c r="R774" s="29"/>
      <c r="S774" s="29"/>
      <c r="T774" s="30"/>
      <c r="U774" s="47" t="str">
        <f aca="false">IF(AND(B774&lt;&gt;"",B774=SW別シート!$C$3),COUNTIF(B$5:B774,B774),"")</f>
        <v/>
      </c>
      <c r="V774" s="47" t="n">
        <f aca="false">V773+IF(OR(O774&lt;&gt;"",W774&lt;&gt;""),1,0)</f>
        <v>3</v>
      </c>
      <c r="W774" s="29"/>
    </row>
    <row r="775" customFormat="false" ht="15" hidden="false" customHeight="false" outlineLevel="0" collapsed="false">
      <c r="A775" s="32" t="str">
        <f aca="false">IF(B775="","",ROW()-7)</f>
        <v/>
      </c>
      <c r="B775" s="30"/>
      <c r="C775" s="29"/>
      <c r="D775" s="29"/>
      <c r="E775" s="29"/>
      <c r="F775" s="30"/>
      <c r="G775" s="29"/>
      <c r="H775" s="30"/>
      <c r="I775" s="29"/>
      <c r="J775" s="30"/>
      <c r="K775" s="30"/>
      <c r="L775" s="29"/>
      <c r="M775" s="32" t="str">
        <f aca="false">IF(OR(C775="",L775=""),"",IF(C775=L775,"同一","変更"))</f>
        <v/>
      </c>
      <c r="N775" s="29"/>
      <c r="O775" s="30"/>
      <c r="P775" s="29"/>
      <c r="Q775" s="31"/>
      <c r="R775" s="29"/>
      <c r="S775" s="29"/>
      <c r="T775" s="30"/>
      <c r="U775" s="47" t="str">
        <f aca="false">IF(AND(B775&lt;&gt;"",B775=SW別シート!$C$3),COUNTIF(B$5:B775,B775),"")</f>
        <v/>
      </c>
      <c r="V775" s="47" t="n">
        <f aca="false">V774+IF(OR(O775&lt;&gt;"",W775&lt;&gt;""),1,0)</f>
        <v>3</v>
      </c>
      <c r="W775" s="29"/>
    </row>
    <row r="776" customFormat="false" ht="15" hidden="false" customHeight="false" outlineLevel="0" collapsed="false">
      <c r="A776" s="32" t="str">
        <f aca="false">IF(B776="","",ROW()-7)</f>
        <v/>
      </c>
      <c r="B776" s="30"/>
      <c r="C776" s="29"/>
      <c r="D776" s="29"/>
      <c r="E776" s="29"/>
      <c r="F776" s="30"/>
      <c r="G776" s="29"/>
      <c r="H776" s="30"/>
      <c r="I776" s="29"/>
      <c r="J776" s="30"/>
      <c r="K776" s="30"/>
      <c r="L776" s="29"/>
      <c r="M776" s="32" t="str">
        <f aca="false">IF(OR(C776="",L776=""),"",IF(C776=L776,"同一","変更"))</f>
        <v/>
      </c>
      <c r="N776" s="29"/>
      <c r="O776" s="30"/>
      <c r="P776" s="29"/>
      <c r="Q776" s="31"/>
      <c r="R776" s="29"/>
      <c r="S776" s="29"/>
      <c r="T776" s="30"/>
      <c r="U776" s="47" t="str">
        <f aca="false">IF(AND(B776&lt;&gt;"",B776=SW別シート!$C$3),COUNTIF(B$5:B776,B776),"")</f>
        <v/>
      </c>
      <c r="V776" s="47" t="n">
        <f aca="false">V775+IF(OR(O776&lt;&gt;"",W776&lt;&gt;""),1,0)</f>
        <v>3</v>
      </c>
      <c r="W776" s="29"/>
    </row>
    <row r="777" customFormat="false" ht="15" hidden="false" customHeight="false" outlineLevel="0" collapsed="false">
      <c r="A777" s="32" t="str">
        <f aca="false">IF(B777="","",ROW()-7)</f>
        <v/>
      </c>
      <c r="B777" s="30"/>
      <c r="C777" s="29"/>
      <c r="D777" s="29"/>
      <c r="E777" s="29"/>
      <c r="F777" s="30"/>
      <c r="G777" s="29"/>
      <c r="H777" s="30"/>
      <c r="I777" s="29"/>
      <c r="J777" s="30"/>
      <c r="K777" s="30"/>
      <c r="L777" s="29"/>
      <c r="M777" s="32" t="str">
        <f aca="false">IF(OR(C777="",L777=""),"",IF(C777=L777,"同一","変更"))</f>
        <v/>
      </c>
      <c r="N777" s="29"/>
      <c r="O777" s="30"/>
      <c r="P777" s="29"/>
      <c r="Q777" s="31"/>
      <c r="R777" s="29"/>
      <c r="S777" s="29"/>
      <c r="T777" s="30"/>
      <c r="U777" s="47" t="str">
        <f aca="false">IF(AND(B777&lt;&gt;"",B777=SW別シート!$C$3),COUNTIF(B$5:B777,B777),"")</f>
        <v/>
      </c>
      <c r="V777" s="47" t="n">
        <f aca="false">V776+IF(OR(O777&lt;&gt;"",W777&lt;&gt;""),1,0)</f>
        <v>3</v>
      </c>
      <c r="W777" s="29"/>
    </row>
    <row r="778" customFormat="false" ht="15" hidden="false" customHeight="false" outlineLevel="0" collapsed="false">
      <c r="A778" s="32" t="str">
        <f aca="false">IF(B778="","",ROW()-7)</f>
        <v/>
      </c>
      <c r="B778" s="30"/>
      <c r="C778" s="29"/>
      <c r="D778" s="29"/>
      <c r="E778" s="29"/>
      <c r="F778" s="30"/>
      <c r="G778" s="29"/>
      <c r="H778" s="30"/>
      <c r="I778" s="29"/>
      <c r="J778" s="30"/>
      <c r="K778" s="30"/>
      <c r="L778" s="29"/>
      <c r="M778" s="32" t="str">
        <f aca="false">IF(OR(C778="",L778=""),"",IF(C778=L778,"同一","変更"))</f>
        <v/>
      </c>
      <c r="N778" s="29"/>
      <c r="O778" s="30"/>
      <c r="P778" s="29"/>
      <c r="Q778" s="31"/>
      <c r="R778" s="29"/>
      <c r="S778" s="29"/>
      <c r="T778" s="30"/>
      <c r="U778" s="47" t="str">
        <f aca="false">IF(AND(B778&lt;&gt;"",B778=SW別シート!$C$3),COUNTIF(B$5:B778,B778),"")</f>
        <v/>
      </c>
      <c r="V778" s="47" t="n">
        <f aca="false">V777+IF(OR(O778&lt;&gt;"",W778&lt;&gt;""),1,0)</f>
        <v>3</v>
      </c>
      <c r="W778" s="29"/>
    </row>
    <row r="779" customFormat="false" ht="15" hidden="false" customHeight="false" outlineLevel="0" collapsed="false">
      <c r="A779" s="32" t="str">
        <f aca="false">IF(B779="","",ROW()-7)</f>
        <v/>
      </c>
      <c r="B779" s="30"/>
      <c r="C779" s="29"/>
      <c r="D779" s="29"/>
      <c r="E779" s="29"/>
      <c r="F779" s="30"/>
      <c r="G779" s="29"/>
      <c r="H779" s="30"/>
      <c r="I779" s="29"/>
      <c r="J779" s="30"/>
      <c r="K779" s="30"/>
      <c r="L779" s="29"/>
      <c r="M779" s="32" t="str">
        <f aca="false">IF(OR(C779="",L779=""),"",IF(C779=L779,"同一","変更"))</f>
        <v/>
      </c>
      <c r="N779" s="29"/>
      <c r="O779" s="30"/>
      <c r="P779" s="29"/>
      <c r="Q779" s="31"/>
      <c r="R779" s="29"/>
      <c r="S779" s="29"/>
      <c r="T779" s="30"/>
      <c r="U779" s="47" t="str">
        <f aca="false">IF(AND(B779&lt;&gt;"",B779=SW別シート!$C$3),COUNTIF(B$5:B779,B779),"")</f>
        <v/>
      </c>
      <c r="V779" s="47" t="n">
        <f aca="false">V778+IF(OR(O779&lt;&gt;"",W779&lt;&gt;""),1,0)</f>
        <v>3</v>
      </c>
      <c r="W779" s="29"/>
    </row>
    <row r="780" customFormat="false" ht="15" hidden="false" customHeight="false" outlineLevel="0" collapsed="false">
      <c r="A780" s="32" t="str">
        <f aca="false">IF(B780="","",ROW()-7)</f>
        <v/>
      </c>
      <c r="B780" s="30"/>
      <c r="C780" s="29"/>
      <c r="D780" s="29"/>
      <c r="E780" s="29"/>
      <c r="F780" s="30"/>
      <c r="G780" s="29"/>
      <c r="H780" s="30"/>
      <c r="I780" s="29"/>
      <c r="J780" s="30"/>
      <c r="K780" s="30"/>
      <c r="L780" s="29"/>
      <c r="M780" s="32" t="str">
        <f aca="false">IF(OR(C780="",L780=""),"",IF(C780=L780,"同一","変更"))</f>
        <v/>
      </c>
      <c r="N780" s="29"/>
      <c r="O780" s="30"/>
      <c r="P780" s="29"/>
      <c r="Q780" s="31"/>
      <c r="R780" s="29"/>
      <c r="S780" s="29"/>
      <c r="T780" s="30"/>
      <c r="U780" s="47" t="str">
        <f aca="false">IF(AND(B780&lt;&gt;"",B780=SW別シート!$C$3),COUNTIF(B$5:B780,B780),"")</f>
        <v/>
      </c>
      <c r="V780" s="47" t="n">
        <f aca="false">V779+IF(OR(O780&lt;&gt;"",W780&lt;&gt;""),1,0)</f>
        <v>3</v>
      </c>
      <c r="W780" s="29"/>
    </row>
    <row r="781" customFormat="false" ht="15" hidden="false" customHeight="false" outlineLevel="0" collapsed="false">
      <c r="A781" s="32" t="str">
        <f aca="false">IF(B781="","",ROW()-7)</f>
        <v/>
      </c>
      <c r="B781" s="30"/>
      <c r="C781" s="29"/>
      <c r="D781" s="29"/>
      <c r="E781" s="29"/>
      <c r="F781" s="30"/>
      <c r="G781" s="29"/>
      <c r="H781" s="30"/>
      <c r="I781" s="29"/>
      <c r="J781" s="30"/>
      <c r="K781" s="30"/>
      <c r="L781" s="29"/>
      <c r="M781" s="32" t="str">
        <f aca="false">IF(OR(C781="",L781=""),"",IF(C781=L781,"同一","変更"))</f>
        <v/>
      </c>
      <c r="N781" s="29"/>
      <c r="O781" s="30"/>
      <c r="P781" s="29"/>
      <c r="Q781" s="31"/>
      <c r="R781" s="29"/>
      <c r="S781" s="29"/>
      <c r="T781" s="30"/>
      <c r="U781" s="47" t="str">
        <f aca="false">IF(AND(B781&lt;&gt;"",B781=SW別シート!$C$3),COUNTIF(B$5:B781,B781),"")</f>
        <v/>
      </c>
      <c r="V781" s="47" t="n">
        <f aca="false">V780+IF(OR(O781&lt;&gt;"",W781&lt;&gt;""),1,0)</f>
        <v>3</v>
      </c>
      <c r="W781" s="29"/>
    </row>
    <row r="782" customFormat="false" ht="15" hidden="false" customHeight="false" outlineLevel="0" collapsed="false">
      <c r="A782" s="32" t="str">
        <f aca="false">IF(B782="","",ROW()-7)</f>
        <v/>
      </c>
      <c r="B782" s="30"/>
      <c r="C782" s="29"/>
      <c r="D782" s="29"/>
      <c r="E782" s="29"/>
      <c r="F782" s="30"/>
      <c r="G782" s="29"/>
      <c r="H782" s="30"/>
      <c r="I782" s="29"/>
      <c r="J782" s="30"/>
      <c r="K782" s="30"/>
      <c r="L782" s="29"/>
      <c r="M782" s="32" t="str">
        <f aca="false">IF(OR(C782="",L782=""),"",IF(C782=L782,"同一","変更"))</f>
        <v/>
      </c>
      <c r="N782" s="29"/>
      <c r="O782" s="30"/>
      <c r="P782" s="29"/>
      <c r="Q782" s="31"/>
      <c r="R782" s="29"/>
      <c r="S782" s="29"/>
      <c r="T782" s="30"/>
      <c r="U782" s="47" t="str">
        <f aca="false">IF(AND(B782&lt;&gt;"",B782=SW別シート!$C$3),COUNTIF(B$5:B782,B782),"")</f>
        <v/>
      </c>
      <c r="V782" s="47" t="n">
        <f aca="false">V781+IF(OR(O782&lt;&gt;"",W782&lt;&gt;""),1,0)</f>
        <v>3</v>
      </c>
      <c r="W782" s="29"/>
    </row>
    <row r="783" customFormat="false" ht="15" hidden="false" customHeight="false" outlineLevel="0" collapsed="false">
      <c r="A783" s="32" t="str">
        <f aca="false">IF(B783="","",ROW()-7)</f>
        <v/>
      </c>
      <c r="B783" s="30"/>
      <c r="C783" s="29"/>
      <c r="D783" s="29"/>
      <c r="E783" s="29"/>
      <c r="F783" s="30"/>
      <c r="G783" s="29"/>
      <c r="H783" s="30"/>
      <c r="I783" s="29"/>
      <c r="J783" s="30"/>
      <c r="K783" s="30"/>
      <c r="L783" s="29"/>
      <c r="M783" s="32" t="str">
        <f aca="false">IF(OR(C783="",L783=""),"",IF(C783=L783,"同一","変更"))</f>
        <v/>
      </c>
      <c r="N783" s="29"/>
      <c r="O783" s="30"/>
      <c r="P783" s="29"/>
      <c r="Q783" s="31"/>
      <c r="R783" s="29"/>
      <c r="S783" s="29"/>
      <c r="T783" s="30"/>
      <c r="U783" s="47" t="str">
        <f aca="false">IF(AND(B783&lt;&gt;"",B783=SW別シート!$C$3),COUNTIF(B$5:B783,B783),"")</f>
        <v/>
      </c>
      <c r="V783" s="47" t="n">
        <f aca="false">V782+IF(OR(O783&lt;&gt;"",W783&lt;&gt;""),1,0)</f>
        <v>3</v>
      </c>
      <c r="W783" s="29"/>
    </row>
    <row r="784" customFormat="false" ht="15" hidden="false" customHeight="false" outlineLevel="0" collapsed="false">
      <c r="A784" s="32" t="str">
        <f aca="false">IF(B784="","",ROW()-7)</f>
        <v/>
      </c>
      <c r="B784" s="30"/>
      <c r="C784" s="29"/>
      <c r="D784" s="29"/>
      <c r="E784" s="29"/>
      <c r="F784" s="30"/>
      <c r="G784" s="29"/>
      <c r="H784" s="30"/>
      <c r="I784" s="29"/>
      <c r="J784" s="30"/>
      <c r="K784" s="30"/>
      <c r="L784" s="29"/>
      <c r="M784" s="32" t="str">
        <f aca="false">IF(OR(C784="",L784=""),"",IF(C784=L784,"同一","変更"))</f>
        <v/>
      </c>
      <c r="N784" s="29"/>
      <c r="O784" s="30"/>
      <c r="P784" s="29"/>
      <c r="Q784" s="31"/>
      <c r="R784" s="29"/>
      <c r="S784" s="29"/>
      <c r="T784" s="30"/>
      <c r="U784" s="47" t="str">
        <f aca="false">IF(AND(B784&lt;&gt;"",B784=SW別シート!$C$3),COUNTIF(B$5:B784,B784),"")</f>
        <v/>
      </c>
      <c r="V784" s="47" t="n">
        <f aca="false">V783+IF(OR(O784&lt;&gt;"",W784&lt;&gt;""),1,0)</f>
        <v>3</v>
      </c>
      <c r="W784" s="29"/>
    </row>
    <row r="785" customFormat="false" ht="15" hidden="false" customHeight="false" outlineLevel="0" collapsed="false">
      <c r="A785" s="32" t="str">
        <f aca="false">IF(B785="","",ROW()-7)</f>
        <v/>
      </c>
      <c r="B785" s="30"/>
      <c r="C785" s="29"/>
      <c r="D785" s="29"/>
      <c r="E785" s="29"/>
      <c r="F785" s="30"/>
      <c r="G785" s="29"/>
      <c r="H785" s="30"/>
      <c r="I785" s="29"/>
      <c r="J785" s="30"/>
      <c r="K785" s="30"/>
      <c r="L785" s="29"/>
      <c r="M785" s="32" t="str">
        <f aca="false">IF(OR(C785="",L785=""),"",IF(C785=L785,"同一","変更"))</f>
        <v/>
      </c>
      <c r="N785" s="29"/>
      <c r="O785" s="30"/>
      <c r="P785" s="29"/>
      <c r="Q785" s="31"/>
      <c r="R785" s="29"/>
      <c r="S785" s="29"/>
      <c r="T785" s="30"/>
      <c r="U785" s="47" t="str">
        <f aca="false">IF(AND(B785&lt;&gt;"",B785=SW別シート!$C$3),COUNTIF(B$5:B785,B785),"")</f>
        <v/>
      </c>
      <c r="V785" s="47" t="n">
        <f aca="false">V784+IF(OR(O785&lt;&gt;"",W785&lt;&gt;""),1,0)</f>
        <v>3</v>
      </c>
      <c r="W785" s="29"/>
    </row>
    <row r="786" customFormat="false" ht="15" hidden="false" customHeight="false" outlineLevel="0" collapsed="false">
      <c r="A786" s="32" t="str">
        <f aca="false">IF(B786="","",ROW()-7)</f>
        <v/>
      </c>
      <c r="B786" s="30"/>
      <c r="C786" s="29"/>
      <c r="D786" s="29"/>
      <c r="E786" s="29"/>
      <c r="F786" s="30"/>
      <c r="G786" s="29"/>
      <c r="H786" s="30"/>
      <c r="I786" s="29"/>
      <c r="J786" s="30"/>
      <c r="K786" s="30"/>
      <c r="L786" s="29"/>
      <c r="M786" s="32" t="str">
        <f aca="false">IF(OR(C786="",L786=""),"",IF(C786=L786,"同一","変更"))</f>
        <v/>
      </c>
      <c r="N786" s="29"/>
      <c r="O786" s="30"/>
      <c r="P786" s="29"/>
      <c r="Q786" s="31"/>
      <c r="R786" s="29"/>
      <c r="S786" s="29"/>
      <c r="T786" s="30"/>
      <c r="U786" s="47" t="str">
        <f aca="false">IF(AND(B786&lt;&gt;"",B786=SW別シート!$C$3),COUNTIF(B$5:B786,B786),"")</f>
        <v/>
      </c>
      <c r="V786" s="47" t="n">
        <f aca="false">V785+IF(OR(O786&lt;&gt;"",W786&lt;&gt;""),1,0)</f>
        <v>3</v>
      </c>
      <c r="W786" s="29"/>
    </row>
    <row r="787" customFormat="false" ht="15" hidden="false" customHeight="false" outlineLevel="0" collapsed="false">
      <c r="A787" s="32" t="str">
        <f aca="false">IF(B787="","",ROW()-7)</f>
        <v/>
      </c>
      <c r="B787" s="30"/>
      <c r="C787" s="29"/>
      <c r="D787" s="29"/>
      <c r="E787" s="29"/>
      <c r="F787" s="30"/>
      <c r="G787" s="29"/>
      <c r="H787" s="30"/>
      <c r="I787" s="29"/>
      <c r="J787" s="30"/>
      <c r="K787" s="30"/>
      <c r="L787" s="29"/>
      <c r="M787" s="32" t="str">
        <f aca="false">IF(OR(C787="",L787=""),"",IF(C787=L787,"同一","変更"))</f>
        <v/>
      </c>
      <c r="N787" s="29"/>
      <c r="O787" s="30"/>
      <c r="P787" s="29"/>
      <c r="Q787" s="31"/>
      <c r="R787" s="29"/>
      <c r="S787" s="29"/>
      <c r="T787" s="30"/>
      <c r="U787" s="47" t="str">
        <f aca="false">IF(AND(B787&lt;&gt;"",B787=SW別シート!$C$3),COUNTIF(B$5:B787,B787),"")</f>
        <v/>
      </c>
      <c r="V787" s="47" t="n">
        <f aca="false">V786+IF(OR(O787&lt;&gt;"",W787&lt;&gt;""),1,0)</f>
        <v>3</v>
      </c>
      <c r="W787" s="29"/>
    </row>
    <row r="788" customFormat="false" ht="15" hidden="false" customHeight="false" outlineLevel="0" collapsed="false">
      <c r="A788" s="32" t="str">
        <f aca="false">IF(B788="","",ROW()-7)</f>
        <v/>
      </c>
      <c r="B788" s="30"/>
      <c r="C788" s="29"/>
      <c r="D788" s="29"/>
      <c r="E788" s="29"/>
      <c r="F788" s="30"/>
      <c r="G788" s="29"/>
      <c r="H788" s="30"/>
      <c r="I788" s="29"/>
      <c r="J788" s="30"/>
      <c r="K788" s="30"/>
      <c r="L788" s="29"/>
      <c r="M788" s="32" t="str">
        <f aca="false">IF(OR(C788="",L788=""),"",IF(C788=L788,"同一","変更"))</f>
        <v/>
      </c>
      <c r="N788" s="29"/>
      <c r="O788" s="30"/>
      <c r="P788" s="29"/>
      <c r="Q788" s="31"/>
      <c r="R788" s="29"/>
      <c r="S788" s="29"/>
      <c r="T788" s="30"/>
      <c r="U788" s="47" t="str">
        <f aca="false">IF(AND(B788&lt;&gt;"",B788=SW別シート!$C$3),COUNTIF(B$5:B788,B788),"")</f>
        <v/>
      </c>
      <c r="V788" s="47" t="n">
        <f aca="false">V787+IF(OR(O788&lt;&gt;"",W788&lt;&gt;""),1,0)</f>
        <v>3</v>
      </c>
      <c r="W788" s="29"/>
    </row>
    <row r="789" customFormat="false" ht="15" hidden="false" customHeight="false" outlineLevel="0" collapsed="false">
      <c r="A789" s="32" t="str">
        <f aca="false">IF(B789="","",ROW()-7)</f>
        <v/>
      </c>
      <c r="B789" s="30"/>
      <c r="C789" s="29"/>
      <c r="D789" s="29"/>
      <c r="E789" s="29"/>
      <c r="F789" s="30"/>
      <c r="G789" s="29"/>
      <c r="H789" s="30"/>
      <c r="I789" s="29"/>
      <c r="J789" s="30"/>
      <c r="K789" s="30"/>
      <c r="L789" s="29"/>
      <c r="M789" s="32" t="str">
        <f aca="false">IF(OR(C789="",L789=""),"",IF(C789=L789,"同一","変更"))</f>
        <v/>
      </c>
      <c r="N789" s="29"/>
      <c r="O789" s="30"/>
      <c r="P789" s="29"/>
      <c r="Q789" s="31"/>
      <c r="R789" s="29"/>
      <c r="S789" s="29"/>
      <c r="T789" s="30"/>
      <c r="U789" s="47" t="str">
        <f aca="false">IF(AND(B789&lt;&gt;"",B789=SW別シート!$C$3),COUNTIF(B$5:B789,B789),"")</f>
        <v/>
      </c>
      <c r="V789" s="47" t="n">
        <f aca="false">V788+IF(OR(O789&lt;&gt;"",W789&lt;&gt;""),1,0)</f>
        <v>3</v>
      </c>
      <c r="W789" s="29"/>
    </row>
    <row r="790" customFormat="false" ht="15" hidden="false" customHeight="false" outlineLevel="0" collapsed="false">
      <c r="A790" s="32" t="str">
        <f aca="false">IF(B790="","",ROW()-7)</f>
        <v/>
      </c>
      <c r="B790" s="30"/>
      <c r="C790" s="29"/>
      <c r="D790" s="29"/>
      <c r="E790" s="29"/>
      <c r="F790" s="30"/>
      <c r="G790" s="29"/>
      <c r="H790" s="30"/>
      <c r="I790" s="29"/>
      <c r="J790" s="30"/>
      <c r="K790" s="30"/>
      <c r="L790" s="29"/>
      <c r="M790" s="32" t="str">
        <f aca="false">IF(OR(C790="",L790=""),"",IF(C790=L790,"同一","変更"))</f>
        <v/>
      </c>
      <c r="N790" s="29"/>
      <c r="O790" s="30"/>
      <c r="P790" s="29"/>
      <c r="Q790" s="31"/>
      <c r="R790" s="29"/>
      <c r="S790" s="29"/>
      <c r="T790" s="30"/>
      <c r="U790" s="47" t="str">
        <f aca="false">IF(AND(B790&lt;&gt;"",B790=SW別シート!$C$3),COUNTIF(B$5:B790,B790),"")</f>
        <v/>
      </c>
      <c r="V790" s="47" t="n">
        <f aca="false">V789+IF(OR(O790&lt;&gt;"",W790&lt;&gt;""),1,0)</f>
        <v>3</v>
      </c>
      <c r="W790" s="29"/>
    </row>
    <row r="791" customFormat="false" ht="15" hidden="false" customHeight="false" outlineLevel="0" collapsed="false">
      <c r="A791" s="32" t="str">
        <f aca="false">IF(B791="","",ROW()-7)</f>
        <v/>
      </c>
      <c r="B791" s="30"/>
      <c r="C791" s="29"/>
      <c r="D791" s="29"/>
      <c r="E791" s="29"/>
      <c r="F791" s="30"/>
      <c r="G791" s="29"/>
      <c r="H791" s="30"/>
      <c r="I791" s="29"/>
      <c r="J791" s="30"/>
      <c r="K791" s="30"/>
      <c r="L791" s="29"/>
      <c r="M791" s="32" t="str">
        <f aca="false">IF(OR(C791="",L791=""),"",IF(C791=L791,"同一","変更"))</f>
        <v/>
      </c>
      <c r="N791" s="29"/>
      <c r="O791" s="30"/>
      <c r="P791" s="29"/>
      <c r="Q791" s="31"/>
      <c r="R791" s="29"/>
      <c r="S791" s="29"/>
      <c r="T791" s="30"/>
      <c r="U791" s="47" t="str">
        <f aca="false">IF(AND(B791&lt;&gt;"",B791=SW別シート!$C$3),COUNTIF(B$5:B791,B791),"")</f>
        <v/>
      </c>
      <c r="V791" s="47" t="n">
        <f aca="false">V790+IF(OR(O791&lt;&gt;"",W791&lt;&gt;""),1,0)</f>
        <v>3</v>
      </c>
      <c r="W791" s="29"/>
    </row>
    <row r="792" customFormat="false" ht="15" hidden="false" customHeight="false" outlineLevel="0" collapsed="false">
      <c r="A792" s="32" t="str">
        <f aca="false">IF(B792="","",ROW()-7)</f>
        <v/>
      </c>
      <c r="B792" s="30"/>
      <c r="C792" s="29"/>
      <c r="D792" s="29"/>
      <c r="E792" s="29"/>
      <c r="F792" s="30"/>
      <c r="G792" s="29"/>
      <c r="H792" s="30"/>
      <c r="I792" s="29"/>
      <c r="J792" s="30"/>
      <c r="K792" s="30"/>
      <c r="L792" s="29"/>
      <c r="M792" s="32" t="str">
        <f aca="false">IF(OR(C792="",L792=""),"",IF(C792=L792,"同一","変更"))</f>
        <v/>
      </c>
      <c r="N792" s="29"/>
      <c r="O792" s="30"/>
      <c r="P792" s="29"/>
      <c r="Q792" s="31"/>
      <c r="R792" s="29"/>
      <c r="S792" s="29"/>
      <c r="T792" s="30"/>
      <c r="U792" s="47" t="str">
        <f aca="false">IF(AND(B792&lt;&gt;"",B792=SW別シート!$C$3),COUNTIF(B$5:B792,B792),"")</f>
        <v/>
      </c>
      <c r="V792" s="47" t="n">
        <f aca="false">V791+IF(OR(O792&lt;&gt;"",W792&lt;&gt;""),1,0)</f>
        <v>3</v>
      </c>
      <c r="W792" s="29"/>
    </row>
    <row r="793" customFormat="false" ht="15" hidden="false" customHeight="false" outlineLevel="0" collapsed="false">
      <c r="A793" s="32" t="str">
        <f aca="false">IF(B793="","",ROW()-7)</f>
        <v/>
      </c>
      <c r="B793" s="30"/>
      <c r="C793" s="29"/>
      <c r="D793" s="29"/>
      <c r="E793" s="29"/>
      <c r="F793" s="30"/>
      <c r="G793" s="29"/>
      <c r="H793" s="30"/>
      <c r="I793" s="29"/>
      <c r="J793" s="30"/>
      <c r="K793" s="30"/>
      <c r="L793" s="29"/>
      <c r="M793" s="32" t="str">
        <f aca="false">IF(OR(C793="",L793=""),"",IF(C793=L793,"同一","変更"))</f>
        <v/>
      </c>
      <c r="N793" s="29"/>
      <c r="O793" s="30"/>
      <c r="P793" s="29"/>
      <c r="Q793" s="31"/>
      <c r="R793" s="29"/>
      <c r="S793" s="29"/>
      <c r="T793" s="30"/>
      <c r="U793" s="47" t="str">
        <f aca="false">IF(AND(B793&lt;&gt;"",B793=SW別シート!$C$3),COUNTIF(B$5:B793,B793),"")</f>
        <v/>
      </c>
      <c r="V793" s="47" t="n">
        <f aca="false">V792+IF(OR(O793&lt;&gt;"",W793&lt;&gt;""),1,0)</f>
        <v>3</v>
      </c>
      <c r="W793" s="29"/>
    </row>
    <row r="794" customFormat="false" ht="15" hidden="false" customHeight="false" outlineLevel="0" collapsed="false">
      <c r="A794" s="32" t="str">
        <f aca="false">IF(B794="","",ROW()-7)</f>
        <v/>
      </c>
      <c r="B794" s="30"/>
      <c r="C794" s="29"/>
      <c r="D794" s="29"/>
      <c r="E794" s="29"/>
      <c r="F794" s="30"/>
      <c r="G794" s="29"/>
      <c r="H794" s="30"/>
      <c r="I794" s="29"/>
      <c r="J794" s="30"/>
      <c r="K794" s="30"/>
      <c r="L794" s="29"/>
      <c r="M794" s="32" t="str">
        <f aca="false">IF(OR(C794="",L794=""),"",IF(C794=L794,"同一","変更"))</f>
        <v/>
      </c>
      <c r="N794" s="29"/>
      <c r="O794" s="30"/>
      <c r="P794" s="29"/>
      <c r="Q794" s="31"/>
      <c r="R794" s="29"/>
      <c r="S794" s="29"/>
      <c r="T794" s="30"/>
      <c r="U794" s="47" t="str">
        <f aca="false">IF(AND(B794&lt;&gt;"",B794=SW別シート!$C$3),COUNTIF(B$5:B794,B794),"")</f>
        <v/>
      </c>
      <c r="V794" s="47" t="n">
        <f aca="false">V793+IF(OR(O794&lt;&gt;"",W794&lt;&gt;""),1,0)</f>
        <v>3</v>
      </c>
      <c r="W794" s="29"/>
    </row>
    <row r="795" customFormat="false" ht="15" hidden="false" customHeight="false" outlineLevel="0" collapsed="false">
      <c r="A795" s="32" t="str">
        <f aca="false">IF(B795="","",ROW()-7)</f>
        <v/>
      </c>
      <c r="B795" s="30"/>
      <c r="C795" s="29"/>
      <c r="D795" s="29"/>
      <c r="E795" s="29"/>
      <c r="F795" s="30"/>
      <c r="G795" s="29"/>
      <c r="H795" s="30"/>
      <c r="I795" s="29"/>
      <c r="J795" s="30"/>
      <c r="K795" s="30"/>
      <c r="L795" s="29"/>
      <c r="M795" s="32" t="str">
        <f aca="false">IF(OR(C795="",L795=""),"",IF(C795=L795,"同一","変更"))</f>
        <v/>
      </c>
      <c r="N795" s="29"/>
      <c r="O795" s="30"/>
      <c r="P795" s="29"/>
      <c r="Q795" s="31"/>
      <c r="R795" s="29"/>
      <c r="S795" s="29"/>
      <c r="T795" s="30"/>
      <c r="U795" s="47" t="str">
        <f aca="false">IF(AND(B795&lt;&gt;"",B795=SW別シート!$C$3),COUNTIF(B$5:B795,B795),"")</f>
        <v/>
      </c>
      <c r="V795" s="47" t="n">
        <f aca="false">V794+IF(OR(O795&lt;&gt;"",W795&lt;&gt;""),1,0)</f>
        <v>3</v>
      </c>
      <c r="W795" s="29"/>
    </row>
    <row r="796" customFormat="false" ht="15" hidden="false" customHeight="false" outlineLevel="0" collapsed="false">
      <c r="A796" s="32" t="str">
        <f aca="false">IF(B796="","",ROW()-7)</f>
        <v/>
      </c>
      <c r="B796" s="30"/>
      <c r="C796" s="29"/>
      <c r="D796" s="29"/>
      <c r="E796" s="29"/>
      <c r="F796" s="30"/>
      <c r="G796" s="29"/>
      <c r="H796" s="30"/>
      <c r="I796" s="29"/>
      <c r="J796" s="30"/>
      <c r="K796" s="30"/>
      <c r="L796" s="29"/>
      <c r="M796" s="32" t="str">
        <f aca="false">IF(OR(C796="",L796=""),"",IF(C796=L796,"同一","変更"))</f>
        <v/>
      </c>
      <c r="N796" s="29"/>
      <c r="O796" s="30"/>
      <c r="P796" s="29"/>
      <c r="Q796" s="31"/>
      <c r="R796" s="29"/>
      <c r="S796" s="29"/>
      <c r="T796" s="30"/>
      <c r="U796" s="47" t="str">
        <f aca="false">IF(AND(B796&lt;&gt;"",B796=SW別シート!$C$3),COUNTIF(B$5:B796,B796),"")</f>
        <v/>
      </c>
      <c r="V796" s="47" t="n">
        <f aca="false">V795+IF(OR(O796&lt;&gt;"",W796&lt;&gt;""),1,0)</f>
        <v>3</v>
      </c>
      <c r="W796" s="29"/>
    </row>
    <row r="797" customFormat="false" ht="15" hidden="false" customHeight="false" outlineLevel="0" collapsed="false">
      <c r="A797" s="32" t="str">
        <f aca="false">IF(B797="","",ROW()-7)</f>
        <v/>
      </c>
      <c r="B797" s="30"/>
      <c r="C797" s="29"/>
      <c r="D797" s="29"/>
      <c r="E797" s="29"/>
      <c r="F797" s="30"/>
      <c r="G797" s="29"/>
      <c r="H797" s="30"/>
      <c r="I797" s="29"/>
      <c r="J797" s="30"/>
      <c r="K797" s="30"/>
      <c r="L797" s="29"/>
      <c r="M797" s="32" t="str">
        <f aca="false">IF(OR(C797="",L797=""),"",IF(C797=L797,"同一","変更"))</f>
        <v/>
      </c>
      <c r="N797" s="29"/>
      <c r="O797" s="30"/>
      <c r="P797" s="29"/>
      <c r="Q797" s="31"/>
      <c r="R797" s="29"/>
      <c r="S797" s="29"/>
      <c r="T797" s="30"/>
      <c r="U797" s="47" t="str">
        <f aca="false">IF(AND(B797&lt;&gt;"",B797=SW別シート!$C$3),COUNTIF(B$5:B797,B797),"")</f>
        <v/>
      </c>
      <c r="V797" s="47" t="n">
        <f aca="false">V796+IF(OR(O797&lt;&gt;"",W797&lt;&gt;""),1,0)</f>
        <v>3</v>
      </c>
      <c r="W797" s="29"/>
    </row>
    <row r="798" customFormat="false" ht="15" hidden="false" customHeight="false" outlineLevel="0" collapsed="false">
      <c r="A798" s="32" t="str">
        <f aca="false">IF(B798="","",ROW()-7)</f>
        <v/>
      </c>
      <c r="B798" s="30"/>
      <c r="C798" s="29"/>
      <c r="D798" s="29"/>
      <c r="E798" s="29"/>
      <c r="F798" s="30"/>
      <c r="G798" s="29"/>
      <c r="H798" s="30"/>
      <c r="I798" s="29"/>
      <c r="J798" s="30"/>
      <c r="K798" s="30"/>
      <c r="L798" s="29"/>
      <c r="M798" s="32" t="str">
        <f aca="false">IF(OR(C798="",L798=""),"",IF(C798=L798,"同一","変更"))</f>
        <v/>
      </c>
      <c r="N798" s="29"/>
      <c r="O798" s="30"/>
      <c r="P798" s="29"/>
      <c r="Q798" s="31"/>
      <c r="R798" s="29"/>
      <c r="S798" s="29"/>
      <c r="T798" s="30"/>
      <c r="U798" s="47" t="str">
        <f aca="false">IF(AND(B798&lt;&gt;"",B798=SW別シート!$C$3),COUNTIF(B$5:B798,B798),"")</f>
        <v/>
      </c>
      <c r="V798" s="47" t="n">
        <f aca="false">V797+IF(OR(O798&lt;&gt;"",W798&lt;&gt;""),1,0)</f>
        <v>3</v>
      </c>
      <c r="W798" s="29"/>
    </row>
    <row r="799" customFormat="false" ht="15" hidden="false" customHeight="false" outlineLevel="0" collapsed="false">
      <c r="A799" s="32" t="str">
        <f aca="false">IF(B799="","",ROW()-7)</f>
        <v/>
      </c>
      <c r="B799" s="30"/>
      <c r="C799" s="29"/>
      <c r="D799" s="29"/>
      <c r="E799" s="29"/>
      <c r="F799" s="30"/>
      <c r="G799" s="29"/>
      <c r="H799" s="30"/>
      <c r="I799" s="29"/>
      <c r="J799" s="30"/>
      <c r="K799" s="30"/>
      <c r="L799" s="29"/>
      <c r="M799" s="32" t="str">
        <f aca="false">IF(OR(C799="",L799=""),"",IF(C799=L799,"同一","変更"))</f>
        <v/>
      </c>
      <c r="N799" s="29"/>
      <c r="O799" s="30"/>
      <c r="P799" s="29"/>
      <c r="Q799" s="31"/>
      <c r="R799" s="29"/>
      <c r="S799" s="29"/>
      <c r="T799" s="30"/>
      <c r="U799" s="47" t="str">
        <f aca="false">IF(AND(B799&lt;&gt;"",B799=SW別シート!$C$3),COUNTIF(B$5:B799,B799),"")</f>
        <v/>
      </c>
      <c r="V799" s="47" t="n">
        <f aca="false">V798+IF(OR(O799&lt;&gt;"",W799&lt;&gt;""),1,0)</f>
        <v>3</v>
      </c>
      <c r="W799" s="29"/>
    </row>
    <row r="800" customFormat="false" ht="15" hidden="false" customHeight="false" outlineLevel="0" collapsed="false">
      <c r="A800" s="32" t="str">
        <f aca="false">IF(B800="","",ROW()-7)</f>
        <v/>
      </c>
      <c r="B800" s="30"/>
      <c r="C800" s="29"/>
      <c r="D800" s="29"/>
      <c r="E800" s="29"/>
      <c r="F800" s="30"/>
      <c r="G800" s="29"/>
      <c r="H800" s="30"/>
      <c r="I800" s="29"/>
      <c r="J800" s="30"/>
      <c r="K800" s="30"/>
      <c r="L800" s="29"/>
      <c r="M800" s="32" t="str">
        <f aca="false">IF(OR(C800="",L800=""),"",IF(C800=L800,"同一","変更"))</f>
        <v/>
      </c>
      <c r="N800" s="29"/>
      <c r="O800" s="30"/>
      <c r="P800" s="29"/>
      <c r="Q800" s="31"/>
      <c r="R800" s="29"/>
      <c r="S800" s="29"/>
      <c r="T800" s="30"/>
      <c r="U800" s="47" t="str">
        <f aca="false">IF(AND(B800&lt;&gt;"",B800=SW別シート!$C$3),COUNTIF(B$5:B800,B800),"")</f>
        <v/>
      </c>
      <c r="V800" s="47" t="n">
        <f aca="false">V799+IF(OR(O800&lt;&gt;"",W800&lt;&gt;""),1,0)</f>
        <v>3</v>
      </c>
      <c r="W800" s="29"/>
    </row>
    <row r="801" customFormat="false" ht="15" hidden="false" customHeight="false" outlineLevel="0" collapsed="false">
      <c r="A801" s="32" t="str">
        <f aca="false">IF(B801="","",ROW()-7)</f>
        <v/>
      </c>
      <c r="B801" s="30"/>
      <c r="C801" s="29"/>
      <c r="D801" s="29"/>
      <c r="E801" s="29"/>
      <c r="F801" s="30"/>
      <c r="G801" s="29"/>
      <c r="H801" s="30"/>
      <c r="I801" s="29"/>
      <c r="J801" s="30"/>
      <c r="K801" s="30"/>
      <c r="L801" s="29"/>
      <c r="M801" s="32" t="str">
        <f aca="false">IF(OR(C801="",L801=""),"",IF(C801=L801,"同一","変更"))</f>
        <v/>
      </c>
      <c r="N801" s="29"/>
      <c r="O801" s="30"/>
      <c r="P801" s="29"/>
      <c r="Q801" s="31"/>
      <c r="R801" s="29"/>
      <c r="S801" s="29"/>
      <c r="T801" s="30"/>
      <c r="U801" s="47" t="str">
        <f aca="false">IF(AND(B801&lt;&gt;"",B801=SW別シート!$C$3),COUNTIF(B$5:B801,B801),"")</f>
        <v/>
      </c>
      <c r="V801" s="47" t="n">
        <f aca="false">V800+IF(OR(O801&lt;&gt;"",W801&lt;&gt;""),1,0)</f>
        <v>3</v>
      </c>
      <c r="W801" s="29"/>
    </row>
    <row r="802" customFormat="false" ht="15" hidden="false" customHeight="false" outlineLevel="0" collapsed="false">
      <c r="A802" s="32" t="str">
        <f aca="false">IF(B802="","",ROW()-7)</f>
        <v/>
      </c>
      <c r="B802" s="30"/>
      <c r="C802" s="29"/>
      <c r="D802" s="29"/>
      <c r="E802" s="29"/>
      <c r="F802" s="30"/>
      <c r="G802" s="29"/>
      <c r="H802" s="30"/>
      <c r="I802" s="29"/>
      <c r="J802" s="30"/>
      <c r="K802" s="30"/>
      <c r="L802" s="29"/>
      <c r="M802" s="32" t="str">
        <f aca="false">IF(OR(C802="",L802=""),"",IF(C802=L802,"同一","変更"))</f>
        <v/>
      </c>
      <c r="N802" s="29"/>
      <c r="O802" s="30"/>
      <c r="P802" s="29"/>
      <c r="Q802" s="31"/>
      <c r="R802" s="29"/>
      <c r="S802" s="29"/>
      <c r="T802" s="30"/>
      <c r="U802" s="47" t="str">
        <f aca="false">IF(AND(B802&lt;&gt;"",B802=SW別シート!$C$3),COUNTIF(B$5:B802,B802),"")</f>
        <v/>
      </c>
      <c r="V802" s="47" t="n">
        <f aca="false">V801+IF(OR(O802&lt;&gt;"",W802&lt;&gt;""),1,0)</f>
        <v>3</v>
      </c>
      <c r="W802" s="29"/>
    </row>
    <row r="803" customFormat="false" ht="15" hidden="false" customHeight="false" outlineLevel="0" collapsed="false">
      <c r="A803" s="32" t="str">
        <f aca="false">IF(B803="","",ROW()-7)</f>
        <v/>
      </c>
      <c r="B803" s="30"/>
      <c r="C803" s="29"/>
      <c r="D803" s="29"/>
      <c r="E803" s="29"/>
      <c r="F803" s="30"/>
      <c r="G803" s="29"/>
      <c r="H803" s="30"/>
      <c r="I803" s="29"/>
      <c r="J803" s="30"/>
      <c r="K803" s="30"/>
      <c r="L803" s="29"/>
      <c r="M803" s="32" t="str">
        <f aca="false">IF(OR(C803="",L803=""),"",IF(C803=L803,"同一","変更"))</f>
        <v/>
      </c>
      <c r="N803" s="29"/>
      <c r="O803" s="30"/>
      <c r="P803" s="29"/>
      <c r="Q803" s="31"/>
      <c r="R803" s="29"/>
      <c r="S803" s="29"/>
      <c r="T803" s="30"/>
      <c r="U803" s="47" t="str">
        <f aca="false">IF(AND(B803&lt;&gt;"",B803=SW別シート!$C$3),COUNTIF(B$5:B803,B803),"")</f>
        <v/>
      </c>
      <c r="V803" s="47" t="n">
        <f aca="false">V802+IF(OR(O803&lt;&gt;"",W803&lt;&gt;""),1,0)</f>
        <v>3</v>
      </c>
      <c r="W803" s="29"/>
    </row>
    <row r="804" customFormat="false" ht="15" hidden="false" customHeight="false" outlineLevel="0" collapsed="false">
      <c r="A804" s="32" t="str">
        <f aca="false">IF(B804="","",ROW()-7)</f>
        <v/>
      </c>
      <c r="B804" s="30"/>
      <c r="C804" s="29"/>
      <c r="D804" s="29"/>
      <c r="E804" s="29"/>
      <c r="F804" s="30"/>
      <c r="G804" s="29"/>
      <c r="H804" s="30"/>
      <c r="I804" s="29"/>
      <c r="J804" s="30"/>
      <c r="K804" s="30"/>
      <c r="L804" s="29"/>
      <c r="M804" s="32" t="str">
        <f aca="false">IF(OR(C804="",L804=""),"",IF(C804=L804,"同一","変更"))</f>
        <v/>
      </c>
      <c r="N804" s="29"/>
      <c r="O804" s="30"/>
      <c r="P804" s="29"/>
      <c r="Q804" s="31"/>
      <c r="R804" s="29"/>
      <c r="S804" s="29"/>
      <c r="T804" s="30"/>
      <c r="U804" s="47" t="str">
        <f aca="false">IF(AND(B804&lt;&gt;"",B804=SW別シート!$C$3),COUNTIF(B$5:B804,B804),"")</f>
        <v/>
      </c>
      <c r="V804" s="47" t="n">
        <f aca="false">V803+IF(OR(O804&lt;&gt;"",W804&lt;&gt;""),1,0)</f>
        <v>3</v>
      </c>
      <c r="W804" s="29"/>
    </row>
    <row r="805" customFormat="false" ht="15" hidden="false" customHeight="false" outlineLevel="0" collapsed="false">
      <c r="A805" s="32" t="str">
        <f aca="false">IF(B805="","",ROW()-7)</f>
        <v/>
      </c>
      <c r="B805" s="30"/>
      <c r="C805" s="29"/>
      <c r="D805" s="29"/>
      <c r="E805" s="29"/>
      <c r="F805" s="30"/>
      <c r="G805" s="29"/>
      <c r="H805" s="30"/>
      <c r="I805" s="29"/>
      <c r="J805" s="30"/>
      <c r="K805" s="30"/>
      <c r="L805" s="29"/>
      <c r="M805" s="32" t="str">
        <f aca="false">IF(OR(C805="",L805=""),"",IF(C805=L805,"同一","変更"))</f>
        <v/>
      </c>
      <c r="N805" s="29"/>
      <c r="O805" s="30"/>
      <c r="P805" s="29"/>
      <c r="Q805" s="31"/>
      <c r="R805" s="29"/>
      <c r="S805" s="29"/>
      <c r="T805" s="30"/>
      <c r="U805" s="47" t="str">
        <f aca="false">IF(AND(B805&lt;&gt;"",B805=SW別シート!$C$3),COUNTIF(B$5:B805,B805),"")</f>
        <v/>
      </c>
      <c r="V805" s="47" t="n">
        <f aca="false">V804+IF(OR(O805&lt;&gt;"",W805&lt;&gt;""),1,0)</f>
        <v>3</v>
      </c>
      <c r="W805" s="29"/>
    </row>
    <row r="806" customFormat="false" ht="15" hidden="false" customHeight="false" outlineLevel="0" collapsed="false">
      <c r="A806" s="32" t="str">
        <f aca="false">IF(B806="","",ROW()-7)</f>
        <v/>
      </c>
      <c r="B806" s="30"/>
      <c r="C806" s="29"/>
      <c r="D806" s="29"/>
      <c r="E806" s="29"/>
      <c r="F806" s="30"/>
      <c r="G806" s="29"/>
      <c r="H806" s="30"/>
      <c r="I806" s="29"/>
      <c r="J806" s="30"/>
      <c r="K806" s="30"/>
      <c r="L806" s="29"/>
      <c r="M806" s="32" t="str">
        <f aca="false">IF(OR(C806="",L806=""),"",IF(C806=L806,"同一","変更"))</f>
        <v/>
      </c>
      <c r="N806" s="29"/>
      <c r="O806" s="30"/>
      <c r="P806" s="29"/>
      <c r="Q806" s="31"/>
      <c r="R806" s="29"/>
      <c r="S806" s="29"/>
      <c r="T806" s="30"/>
      <c r="U806" s="47" t="str">
        <f aca="false">IF(AND(B806&lt;&gt;"",B806=SW別シート!$C$3),COUNTIF(B$5:B806,B806),"")</f>
        <v/>
      </c>
      <c r="V806" s="47" t="n">
        <f aca="false">V805+IF(OR(O806&lt;&gt;"",W806&lt;&gt;""),1,0)</f>
        <v>3</v>
      </c>
      <c r="W806" s="29"/>
    </row>
    <row r="807" customFormat="false" ht="15" hidden="false" customHeight="false" outlineLevel="0" collapsed="false">
      <c r="A807" s="32" t="str">
        <f aca="false">IF(B807="","",ROW()-7)</f>
        <v/>
      </c>
      <c r="B807" s="30"/>
      <c r="C807" s="29"/>
      <c r="D807" s="29"/>
      <c r="E807" s="29"/>
      <c r="F807" s="30"/>
      <c r="G807" s="29"/>
      <c r="H807" s="30"/>
      <c r="I807" s="29"/>
      <c r="J807" s="30"/>
      <c r="K807" s="30"/>
      <c r="L807" s="29"/>
      <c r="M807" s="32" t="str">
        <f aca="false">IF(OR(C807="",L807=""),"",IF(C807=L807,"同一","変更"))</f>
        <v/>
      </c>
      <c r="N807" s="29"/>
      <c r="O807" s="30"/>
      <c r="P807" s="29"/>
      <c r="Q807" s="31"/>
      <c r="R807" s="29"/>
      <c r="S807" s="29"/>
      <c r="T807" s="30"/>
      <c r="U807" s="47" t="str">
        <f aca="false">IF(AND(B807&lt;&gt;"",B807=SW別シート!$C$3),COUNTIF(B$5:B807,B807),"")</f>
        <v/>
      </c>
      <c r="V807" s="47" t="n">
        <f aca="false">V806+IF(OR(O807&lt;&gt;"",W807&lt;&gt;""),1,0)</f>
        <v>3</v>
      </c>
      <c r="W807" s="29"/>
    </row>
    <row r="808" customFormat="false" ht="15" hidden="false" customHeight="false" outlineLevel="0" collapsed="false">
      <c r="A808" s="32" t="str">
        <f aca="false">IF(B808="","",ROW()-7)</f>
        <v/>
      </c>
      <c r="B808" s="30"/>
      <c r="C808" s="29"/>
      <c r="D808" s="29"/>
      <c r="E808" s="29"/>
      <c r="F808" s="30"/>
      <c r="G808" s="29"/>
      <c r="H808" s="30"/>
      <c r="I808" s="29"/>
      <c r="J808" s="30"/>
      <c r="K808" s="30"/>
      <c r="L808" s="29"/>
      <c r="M808" s="32" t="str">
        <f aca="false">IF(OR(C808="",L808=""),"",IF(C808=L808,"同一","変更"))</f>
        <v/>
      </c>
      <c r="N808" s="29"/>
      <c r="O808" s="30"/>
      <c r="P808" s="29"/>
      <c r="Q808" s="31"/>
      <c r="R808" s="29"/>
      <c r="S808" s="29"/>
      <c r="T808" s="30"/>
      <c r="U808" s="47" t="str">
        <f aca="false">IF(AND(B808&lt;&gt;"",B808=SW別シート!$C$3),COUNTIF(B$5:B808,B808),"")</f>
        <v/>
      </c>
      <c r="V808" s="47" t="n">
        <f aca="false">V807+IF(OR(O808&lt;&gt;"",W808&lt;&gt;""),1,0)</f>
        <v>3</v>
      </c>
      <c r="W808" s="29"/>
    </row>
    <row r="809" customFormat="false" ht="15" hidden="false" customHeight="false" outlineLevel="0" collapsed="false">
      <c r="A809" s="32" t="str">
        <f aca="false">IF(B809="","",ROW()-7)</f>
        <v/>
      </c>
      <c r="B809" s="30"/>
      <c r="C809" s="29"/>
      <c r="D809" s="29"/>
      <c r="E809" s="29"/>
      <c r="F809" s="30"/>
      <c r="G809" s="29"/>
      <c r="H809" s="30"/>
      <c r="I809" s="29"/>
      <c r="J809" s="30"/>
      <c r="K809" s="30"/>
      <c r="L809" s="29"/>
      <c r="M809" s="32" t="str">
        <f aca="false">IF(OR(C809="",L809=""),"",IF(C809=L809,"同一","変更"))</f>
        <v/>
      </c>
      <c r="N809" s="29"/>
      <c r="O809" s="30"/>
      <c r="P809" s="29"/>
      <c r="Q809" s="31"/>
      <c r="R809" s="29"/>
      <c r="S809" s="29"/>
      <c r="T809" s="30"/>
      <c r="U809" s="47" t="str">
        <f aca="false">IF(AND(B809&lt;&gt;"",B809=SW別シート!$C$3),COUNTIF(B$5:B809,B809),"")</f>
        <v/>
      </c>
      <c r="V809" s="47" t="n">
        <f aca="false">V808+IF(OR(O809&lt;&gt;"",W809&lt;&gt;""),1,0)</f>
        <v>3</v>
      </c>
      <c r="W809" s="29"/>
    </row>
    <row r="810" customFormat="false" ht="15" hidden="false" customHeight="false" outlineLevel="0" collapsed="false">
      <c r="A810" s="32" t="str">
        <f aca="false">IF(B810="","",ROW()-7)</f>
        <v/>
      </c>
      <c r="B810" s="30"/>
      <c r="C810" s="29"/>
      <c r="D810" s="29"/>
      <c r="E810" s="29"/>
      <c r="F810" s="30"/>
      <c r="G810" s="29"/>
      <c r="H810" s="30"/>
      <c r="I810" s="29"/>
      <c r="J810" s="30"/>
      <c r="K810" s="30"/>
      <c r="L810" s="29"/>
      <c r="M810" s="32" t="str">
        <f aca="false">IF(OR(C810="",L810=""),"",IF(C810=L810,"同一","変更"))</f>
        <v/>
      </c>
      <c r="N810" s="29"/>
      <c r="O810" s="30"/>
      <c r="P810" s="29"/>
      <c r="Q810" s="31"/>
      <c r="R810" s="29"/>
      <c r="S810" s="29"/>
      <c r="T810" s="30"/>
      <c r="U810" s="47" t="str">
        <f aca="false">IF(AND(B810&lt;&gt;"",B810=SW別シート!$C$3),COUNTIF(B$5:B810,B810),"")</f>
        <v/>
      </c>
      <c r="V810" s="47" t="n">
        <f aca="false">V809+IF(OR(O810&lt;&gt;"",W810&lt;&gt;""),1,0)</f>
        <v>3</v>
      </c>
      <c r="W810" s="29"/>
    </row>
    <row r="811" customFormat="false" ht="15" hidden="false" customHeight="false" outlineLevel="0" collapsed="false">
      <c r="A811" s="32" t="str">
        <f aca="false">IF(B811="","",ROW()-7)</f>
        <v/>
      </c>
      <c r="B811" s="30"/>
      <c r="C811" s="29"/>
      <c r="D811" s="29"/>
      <c r="E811" s="29"/>
      <c r="F811" s="30"/>
      <c r="G811" s="29"/>
      <c r="H811" s="30"/>
      <c r="I811" s="29"/>
      <c r="J811" s="30"/>
      <c r="K811" s="30"/>
      <c r="L811" s="29"/>
      <c r="M811" s="32" t="str">
        <f aca="false">IF(OR(C811="",L811=""),"",IF(C811=L811,"同一","変更"))</f>
        <v/>
      </c>
      <c r="N811" s="29"/>
      <c r="O811" s="30"/>
      <c r="P811" s="29"/>
      <c r="Q811" s="31"/>
      <c r="R811" s="29"/>
      <c r="S811" s="29"/>
      <c r="T811" s="30"/>
      <c r="U811" s="47" t="str">
        <f aca="false">IF(AND(B811&lt;&gt;"",B811=SW別シート!$C$3),COUNTIF(B$5:B811,B811),"")</f>
        <v/>
      </c>
      <c r="V811" s="47" t="n">
        <f aca="false">V810+IF(OR(O811&lt;&gt;"",W811&lt;&gt;""),1,0)</f>
        <v>3</v>
      </c>
      <c r="W811" s="29"/>
    </row>
    <row r="812" customFormat="false" ht="15" hidden="false" customHeight="false" outlineLevel="0" collapsed="false">
      <c r="A812" s="32" t="str">
        <f aca="false">IF(B812="","",ROW()-7)</f>
        <v/>
      </c>
      <c r="B812" s="30"/>
      <c r="C812" s="29"/>
      <c r="D812" s="29"/>
      <c r="E812" s="29"/>
      <c r="F812" s="30"/>
      <c r="G812" s="29"/>
      <c r="H812" s="30"/>
      <c r="I812" s="29"/>
      <c r="J812" s="30"/>
      <c r="K812" s="30"/>
      <c r="L812" s="29"/>
      <c r="M812" s="32" t="str">
        <f aca="false">IF(OR(C812="",L812=""),"",IF(C812=L812,"同一","変更"))</f>
        <v/>
      </c>
      <c r="N812" s="29"/>
      <c r="O812" s="30"/>
      <c r="P812" s="29"/>
      <c r="Q812" s="31"/>
      <c r="R812" s="29"/>
      <c r="S812" s="29"/>
      <c r="T812" s="30"/>
      <c r="U812" s="47" t="str">
        <f aca="false">IF(AND(B812&lt;&gt;"",B812=SW別シート!$C$3),COUNTIF(B$5:B812,B812),"")</f>
        <v/>
      </c>
      <c r="V812" s="47" t="n">
        <f aca="false">V811+IF(OR(O812&lt;&gt;"",W812&lt;&gt;""),1,0)</f>
        <v>3</v>
      </c>
      <c r="W812" s="29"/>
    </row>
    <row r="813" customFormat="false" ht="15" hidden="false" customHeight="false" outlineLevel="0" collapsed="false">
      <c r="A813" s="32" t="str">
        <f aca="false">IF(B813="","",ROW()-7)</f>
        <v/>
      </c>
      <c r="B813" s="30"/>
      <c r="C813" s="29"/>
      <c r="D813" s="29"/>
      <c r="E813" s="29"/>
      <c r="F813" s="30"/>
      <c r="G813" s="29"/>
      <c r="H813" s="30"/>
      <c r="I813" s="29"/>
      <c r="J813" s="30"/>
      <c r="K813" s="30"/>
      <c r="L813" s="29"/>
      <c r="M813" s="32" t="str">
        <f aca="false">IF(OR(C813="",L813=""),"",IF(C813=L813,"同一","変更"))</f>
        <v/>
      </c>
      <c r="N813" s="29"/>
      <c r="O813" s="30"/>
      <c r="P813" s="29"/>
      <c r="Q813" s="31"/>
      <c r="R813" s="29"/>
      <c r="S813" s="29"/>
      <c r="T813" s="30"/>
      <c r="U813" s="47" t="str">
        <f aca="false">IF(AND(B813&lt;&gt;"",B813=SW別シート!$C$3),COUNTIF(B$5:B813,B813),"")</f>
        <v/>
      </c>
      <c r="V813" s="47" t="n">
        <f aca="false">V812+IF(OR(O813&lt;&gt;"",W813&lt;&gt;""),1,0)</f>
        <v>3</v>
      </c>
      <c r="W813" s="29"/>
    </row>
    <row r="814" customFormat="false" ht="15" hidden="false" customHeight="false" outlineLevel="0" collapsed="false">
      <c r="A814" s="32" t="str">
        <f aca="false">IF(B814="","",ROW()-7)</f>
        <v/>
      </c>
      <c r="B814" s="30"/>
      <c r="C814" s="29"/>
      <c r="D814" s="29"/>
      <c r="E814" s="29"/>
      <c r="F814" s="30"/>
      <c r="G814" s="29"/>
      <c r="H814" s="30"/>
      <c r="I814" s="29"/>
      <c r="J814" s="30"/>
      <c r="K814" s="30"/>
      <c r="L814" s="29"/>
      <c r="M814" s="32" t="str">
        <f aca="false">IF(OR(C814="",L814=""),"",IF(C814=L814,"同一","変更"))</f>
        <v/>
      </c>
      <c r="N814" s="29"/>
      <c r="O814" s="30"/>
      <c r="P814" s="29"/>
      <c r="Q814" s="31"/>
      <c r="R814" s="29"/>
      <c r="S814" s="29"/>
      <c r="T814" s="30"/>
      <c r="U814" s="47" t="str">
        <f aca="false">IF(AND(B814&lt;&gt;"",B814=SW別シート!$C$3),COUNTIF(B$5:B814,B814),"")</f>
        <v/>
      </c>
      <c r="V814" s="47" t="n">
        <f aca="false">V813+IF(OR(O814&lt;&gt;"",W814&lt;&gt;""),1,0)</f>
        <v>3</v>
      </c>
      <c r="W814" s="29"/>
    </row>
    <row r="815" customFormat="false" ht="15" hidden="false" customHeight="false" outlineLevel="0" collapsed="false">
      <c r="A815" s="32" t="str">
        <f aca="false">IF(B815="","",ROW()-7)</f>
        <v/>
      </c>
      <c r="B815" s="30"/>
      <c r="C815" s="29"/>
      <c r="D815" s="29"/>
      <c r="E815" s="29"/>
      <c r="F815" s="30"/>
      <c r="G815" s="29"/>
      <c r="H815" s="30"/>
      <c r="I815" s="29"/>
      <c r="J815" s="30"/>
      <c r="K815" s="30"/>
      <c r="L815" s="29"/>
      <c r="M815" s="32" t="str">
        <f aca="false">IF(OR(C815="",L815=""),"",IF(C815=L815,"同一","変更"))</f>
        <v/>
      </c>
      <c r="N815" s="29"/>
      <c r="O815" s="30"/>
      <c r="P815" s="29"/>
      <c r="Q815" s="31"/>
      <c r="R815" s="29"/>
      <c r="S815" s="29"/>
      <c r="T815" s="30"/>
      <c r="U815" s="47" t="str">
        <f aca="false">IF(AND(B815&lt;&gt;"",B815=SW別シート!$C$3),COUNTIF(B$5:B815,B815),"")</f>
        <v/>
      </c>
      <c r="V815" s="47" t="n">
        <f aca="false">V814+IF(OR(O815&lt;&gt;"",W815&lt;&gt;""),1,0)</f>
        <v>3</v>
      </c>
      <c r="W815" s="29"/>
    </row>
    <row r="816" customFormat="false" ht="15" hidden="false" customHeight="false" outlineLevel="0" collapsed="false">
      <c r="A816" s="32" t="str">
        <f aca="false">IF(B816="","",ROW()-7)</f>
        <v/>
      </c>
      <c r="B816" s="30"/>
      <c r="C816" s="29"/>
      <c r="D816" s="29"/>
      <c r="E816" s="29"/>
      <c r="F816" s="30"/>
      <c r="G816" s="29"/>
      <c r="H816" s="30"/>
      <c r="I816" s="29"/>
      <c r="J816" s="30"/>
      <c r="K816" s="30"/>
      <c r="L816" s="29"/>
      <c r="M816" s="32" t="str">
        <f aca="false">IF(OR(C816="",L816=""),"",IF(C816=L816,"同一","変更"))</f>
        <v/>
      </c>
      <c r="N816" s="29"/>
      <c r="O816" s="30"/>
      <c r="P816" s="29"/>
      <c r="Q816" s="31"/>
      <c r="R816" s="29"/>
      <c r="S816" s="29"/>
      <c r="T816" s="30"/>
      <c r="U816" s="47" t="str">
        <f aca="false">IF(AND(B816&lt;&gt;"",B816=SW別シート!$C$3),COUNTIF(B$5:B816,B816),"")</f>
        <v/>
      </c>
      <c r="V816" s="47" t="n">
        <f aca="false">V815+IF(OR(O816&lt;&gt;"",W816&lt;&gt;""),1,0)</f>
        <v>3</v>
      </c>
      <c r="W816" s="29"/>
    </row>
    <row r="817" customFormat="false" ht="15" hidden="false" customHeight="false" outlineLevel="0" collapsed="false">
      <c r="A817" s="32" t="str">
        <f aca="false">IF(B817="","",ROW()-7)</f>
        <v/>
      </c>
      <c r="B817" s="30"/>
      <c r="C817" s="29"/>
      <c r="D817" s="29"/>
      <c r="E817" s="29"/>
      <c r="F817" s="30"/>
      <c r="G817" s="29"/>
      <c r="H817" s="30"/>
      <c r="I817" s="29"/>
      <c r="J817" s="30"/>
      <c r="K817" s="30"/>
      <c r="L817" s="29"/>
      <c r="M817" s="32" t="str">
        <f aca="false">IF(OR(C817="",L817=""),"",IF(C817=L817,"同一","変更"))</f>
        <v/>
      </c>
      <c r="N817" s="29"/>
      <c r="O817" s="30"/>
      <c r="P817" s="29"/>
      <c r="Q817" s="31"/>
      <c r="R817" s="29"/>
      <c r="S817" s="29"/>
      <c r="T817" s="30"/>
      <c r="U817" s="47" t="str">
        <f aca="false">IF(AND(B817&lt;&gt;"",B817=SW別シート!$C$3),COUNTIF(B$5:B817,B817),"")</f>
        <v/>
      </c>
      <c r="V817" s="47" t="n">
        <f aca="false">V816+IF(OR(O817&lt;&gt;"",W817&lt;&gt;""),1,0)</f>
        <v>3</v>
      </c>
      <c r="W817" s="29"/>
    </row>
    <row r="818" customFormat="false" ht="15" hidden="false" customHeight="false" outlineLevel="0" collapsed="false">
      <c r="A818" s="32" t="str">
        <f aca="false">IF(B818="","",ROW()-7)</f>
        <v/>
      </c>
      <c r="B818" s="30"/>
      <c r="C818" s="29"/>
      <c r="D818" s="29"/>
      <c r="E818" s="29"/>
      <c r="F818" s="30"/>
      <c r="G818" s="29"/>
      <c r="H818" s="30"/>
      <c r="I818" s="29"/>
      <c r="J818" s="30"/>
      <c r="K818" s="30"/>
      <c r="L818" s="29"/>
      <c r="M818" s="32" t="str">
        <f aca="false">IF(OR(C818="",L818=""),"",IF(C818=L818,"同一","変更"))</f>
        <v/>
      </c>
      <c r="N818" s="29"/>
      <c r="O818" s="30"/>
      <c r="P818" s="29"/>
      <c r="Q818" s="31"/>
      <c r="R818" s="29"/>
      <c r="S818" s="29"/>
      <c r="T818" s="30"/>
      <c r="U818" s="47" t="str">
        <f aca="false">IF(AND(B818&lt;&gt;"",B818=SW別シート!$C$3),COUNTIF(B$5:B818,B818),"")</f>
        <v/>
      </c>
      <c r="V818" s="47" t="n">
        <f aca="false">V817+IF(OR(O818&lt;&gt;"",W818&lt;&gt;""),1,0)</f>
        <v>3</v>
      </c>
      <c r="W818" s="29"/>
    </row>
    <row r="819" customFormat="false" ht="15" hidden="false" customHeight="false" outlineLevel="0" collapsed="false">
      <c r="A819" s="32" t="str">
        <f aca="false">IF(B819="","",ROW()-7)</f>
        <v/>
      </c>
      <c r="B819" s="30"/>
      <c r="C819" s="29"/>
      <c r="D819" s="29"/>
      <c r="E819" s="29"/>
      <c r="F819" s="30"/>
      <c r="G819" s="29"/>
      <c r="H819" s="30"/>
      <c r="I819" s="29"/>
      <c r="J819" s="30"/>
      <c r="K819" s="30"/>
      <c r="L819" s="29"/>
      <c r="M819" s="32" t="str">
        <f aca="false">IF(OR(C819="",L819=""),"",IF(C819=L819,"同一","変更"))</f>
        <v/>
      </c>
      <c r="N819" s="29"/>
      <c r="O819" s="30"/>
      <c r="P819" s="29"/>
      <c r="Q819" s="31"/>
      <c r="R819" s="29"/>
      <c r="S819" s="29"/>
      <c r="T819" s="30"/>
      <c r="U819" s="47" t="str">
        <f aca="false">IF(AND(B819&lt;&gt;"",B819=SW別シート!$C$3),COUNTIF(B$5:B819,B819),"")</f>
        <v/>
      </c>
      <c r="V819" s="47" t="n">
        <f aca="false">V818+IF(OR(O819&lt;&gt;"",W819&lt;&gt;""),1,0)</f>
        <v>3</v>
      </c>
      <c r="W819" s="29"/>
    </row>
    <row r="820" customFormat="false" ht="15" hidden="false" customHeight="false" outlineLevel="0" collapsed="false">
      <c r="A820" s="32" t="str">
        <f aca="false">IF(B820="","",ROW()-7)</f>
        <v/>
      </c>
      <c r="B820" s="30"/>
      <c r="C820" s="29"/>
      <c r="D820" s="29"/>
      <c r="E820" s="29"/>
      <c r="F820" s="30"/>
      <c r="G820" s="29"/>
      <c r="H820" s="30"/>
      <c r="I820" s="29"/>
      <c r="J820" s="30"/>
      <c r="K820" s="30"/>
      <c r="L820" s="29"/>
      <c r="M820" s="32" t="str">
        <f aca="false">IF(OR(C820="",L820=""),"",IF(C820=L820,"同一","変更"))</f>
        <v/>
      </c>
      <c r="N820" s="29"/>
      <c r="O820" s="30"/>
      <c r="P820" s="29"/>
      <c r="Q820" s="31"/>
      <c r="R820" s="29"/>
      <c r="S820" s="29"/>
      <c r="T820" s="30"/>
      <c r="U820" s="47" t="str">
        <f aca="false">IF(AND(B820&lt;&gt;"",B820=SW別シート!$C$3),COUNTIF(B$5:B820,B820),"")</f>
        <v/>
      </c>
      <c r="V820" s="47" t="n">
        <f aca="false">V819+IF(OR(O820&lt;&gt;"",W820&lt;&gt;""),1,0)</f>
        <v>3</v>
      </c>
      <c r="W820" s="29"/>
    </row>
    <row r="821" customFormat="false" ht="15" hidden="false" customHeight="false" outlineLevel="0" collapsed="false">
      <c r="A821" s="32" t="str">
        <f aca="false">IF(B821="","",ROW()-7)</f>
        <v/>
      </c>
      <c r="B821" s="30"/>
      <c r="C821" s="29"/>
      <c r="D821" s="29"/>
      <c r="E821" s="29"/>
      <c r="F821" s="30"/>
      <c r="G821" s="29"/>
      <c r="H821" s="30"/>
      <c r="I821" s="29"/>
      <c r="J821" s="30"/>
      <c r="K821" s="30"/>
      <c r="L821" s="29"/>
      <c r="M821" s="32" t="str">
        <f aca="false">IF(OR(C821="",L821=""),"",IF(C821=L821,"同一","変更"))</f>
        <v/>
      </c>
      <c r="N821" s="29"/>
      <c r="O821" s="30"/>
      <c r="P821" s="29"/>
      <c r="Q821" s="31"/>
      <c r="R821" s="29"/>
      <c r="S821" s="29"/>
      <c r="T821" s="30"/>
      <c r="U821" s="47" t="str">
        <f aca="false">IF(AND(B821&lt;&gt;"",B821=SW別シート!$C$3),COUNTIF(B$5:B821,B821),"")</f>
        <v/>
      </c>
      <c r="V821" s="47" t="n">
        <f aca="false">V820+IF(OR(O821&lt;&gt;"",W821&lt;&gt;""),1,0)</f>
        <v>3</v>
      </c>
      <c r="W821" s="29"/>
    </row>
    <row r="822" customFormat="false" ht="15" hidden="false" customHeight="false" outlineLevel="0" collapsed="false">
      <c r="A822" s="32" t="str">
        <f aca="false">IF(B822="","",ROW()-7)</f>
        <v/>
      </c>
      <c r="B822" s="30"/>
      <c r="C822" s="29"/>
      <c r="D822" s="29"/>
      <c r="E822" s="29"/>
      <c r="F822" s="30"/>
      <c r="G822" s="29"/>
      <c r="H822" s="30"/>
      <c r="I822" s="29"/>
      <c r="J822" s="30"/>
      <c r="K822" s="30"/>
      <c r="L822" s="29"/>
      <c r="M822" s="32" t="str">
        <f aca="false">IF(OR(C822="",L822=""),"",IF(C822=L822,"同一","変更"))</f>
        <v/>
      </c>
      <c r="N822" s="29"/>
      <c r="O822" s="30"/>
      <c r="P822" s="29"/>
      <c r="Q822" s="31"/>
      <c r="R822" s="29"/>
      <c r="S822" s="29"/>
      <c r="T822" s="30"/>
      <c r="U822" s="47" t="str">
        <f aca="false">IF(AND(B822&lt;&gt;"",B822=SW別シート!$C$3),COUNTIF(B$5:B822,B822),"")</f>
        <v/>
      </c>
      <c r="V822" s="47" t="n">
        <f aca="false">V821+IF(OR(O822&lt;&gt;"",W822&lt;&gt;""),1,0)</f>
        <v>3</v>
      </c>
      <c r="W822" s="29"/>
    </row>
    <row r="823" customFormat="false" ht="15" hidden="false" customHeight="false" outlineLevel="0" collapsed="false">
      <c r="A823" s="32" t="str">
        <f aca="false">IF(B823="","",ROW()-7)</f>
        <v/>
      </c>
      <c r="B823" s="30"/>
      <c r="C823" s="29"/>
      <c r="D823" s="29"/>
      <c r="E823" s="29"/>
      <c r="F823" s="30"/>
      <c r="G823" s="29"/>
      <c r="H823" s="30"/>
      <c r="I823" s="29"/>
      <c r="J823" s="30"/>
      <c r="K823" s="30"/>
      <c r="L823" s="29"/>
      <c r="M823" s="32" t="str">
        <f aca="false">IF(OR(C823="",L823=""),"",IF(C823=L823,"同一","変更"))</f>
        <v/>
      </c>
      <c r="N823" s="29"/>
      <c r="O823" s="30"/>
      <c r="P823" s="29"/>
      <c r="Q823" s="31"/>
      <c r="R823" s="29"/>
      <c r="S823" s="29"/>
      <c r="T823" s="30"/>
      <c r="U823" s="47" t="str">
        <f aca="false">IF(AND(B823&lt;&gt;"",B823=SW別シート!$C$3),COUNTIF(B$5:B823,B823),"")</f>
        <v/>
      </c>
      <c r="V823" s="47" t="n">
        <f aca="false">V822+IF(OR(O823&lt;&gt;"",W823&lt;&gt;""),1,0)</f>
        <v>3</v>
      </c>
      <c r="W823" s="29"/>
    </row>
    <row r="824" customFormat="false" ht="15" hidden="false" customHeight="false" outlineLevel="0" collapsed="false">
      <c r="A824" s="32" t="str">
        <f aca="false">IF(B824="","",ROW()-7)</f>
        <v/>
      </c>
      <c r="B824" s="30"/>
      <c r="C824" s="29"/>
      <c r="D824" s="29"/>
      <c r="E824" s="29"/>
      <c r="F824" s="30"/>
      <c r="G824" s="29"/>
      <c r="H824" s="30"/>
      <c r="I824" s="29"/>
      <c r="J824" s="30"/>
      <c r="K824" s="30"/>
      <c r="L824" s="29"/>
      <c r="M824" s="32" t="str">
        <f aca="false">IF(OR(C824="",L824=""),"",IF(C824=L824,"同一","変更"))</f>
        <v/>
      </c>
      <c r="N824" s="29"/>
      <c r="O824" s="30"/>
      <c r="P824" s="29"/>
      <c r="Q824" s="31"/>
      <c r="R824" s="29"/>
      <c r="S824" s="29"/>
      <c r="T824" s="30"/>
      <c r="U824" s="47" t="str">
        <f aca="false">IF(AND(B824&lt;&gt;"",B824=SW別シート!$C$3),COUNTIF(B$5:B824,B824),"")</f>
        <v/>
      </c>
      <c r="V824" s="47" t="n">
        <f aca="false">V823+IF(OR(O824&lt;&gt;"",W824&lt;&gt;""),1,0)</f>
        <v>3</v>
      </c>
      <c r="W824" s="29"/>
    </row>
    <row r="825" customFormat="false" ht="15" hidden="false" customHeight="false" outlineLevel="0" collapsed="false">
      <c r="A825" s="32" t="str">
        <f aca="false">IF(B825="","",ROW()-7)</f>
        <v/>
      </c>
      <c r="B825" s="30"/>
      <c r="C825" s="29"/>
      <c r="D825" s="29"/>
      <c r="E825" s="29"/>
      <c r="F825" s="30"/>
      <c r="G825" s="29"/>
      <c r="H825" s="30"/>
      <c r="I825" s="29"/>
      <c r="J825" s="30"/>
      <c r="K825" s="30"/>
      <c r="L825" s="29"/>
      <c r="M825" s="32" t="str">
        <f aca="false">IF(OR(C825="",L825=""),"",IF(C825=L825,"同一","変更"))</f>
        <v/>
      </c>
      <c r="N825" s="29"/>
      <c r="O825" s="30"/>
      <c r="P825" s="29"/>
      <c r="Q825" s="31"/>
      <c r="R825" s="29"/>
      <c r="S825" s="29"/>
      <c r="T825" s="30"/>
      <c r="U825" s="47" t="str">
        <f aca="false">IF(AND(B825&lt;&gt;"",B825=SW別シート!$C$3),COUNTIF(B$5:B825,B825),"")</f>
        <v/>
      </c>
      <c r="V825" s="47" t="n">
        <f aca="false">V824+IF(OR(O825&lt;&gt;"",W825&lt;&gt;""),1,0)</f>
        <v>3</v>
      </c>
      <c r="W825" s="29"/>
    </row>
    <row r="826" customFormat="false" ht="15" hidden="false" customHeight="false" outlineLevel="0" collapsed="false">
      <c r="A826" s="32" t="str">
        <f aca="false">IF(B826="","",ROW()-7)</f>
        <v/>
      </c>
      <c r="B826" s="30"/>
      <c r="C826" s="29"/>
      <c r="D826" s="29"/>
      <c r="E826" s="29"/>
      <c r="F826" s="30"/>
      <c r="G826" s="29"/>
      <c r="H826" s="30"/>
      <c r="I826" s="29"/>
      <c r="J826" s="30"/>
      <c r="K826" s="30"/>
      <c r="L826" s="29"/>
      <c r="M826" s="32" t="str">
        <f aca="false">IF(OR(C826="",L826=""),"",IF(C826=L826,"同一","変更"))</f>
        <v/>
      </c>
      <c r="N826" s="29"/>
      <c r="O826" s="30"/>
      <c r="P826" s="29"/>
      <c r="Q826" s="31"/>
      <c r="R826" s="29"/>
      <c r="S826" s="29"/>
      <c r="T826" s="30"/>
      <c r="U826" s="47" t="str">
        <f aca="false">IF(AND(B826&lt;&gt;"",B826=SW別シート!$C$3),COUNTIF(B$5:B826,B826),"")</f>
        <v/>
      </c>
      <c r="V826" s="47" t="n">
        <f aca="false">V825+IF(OR(O826&lt;&gt;"",W826&lt;&gt;""),1,0)</f>
        <v>3</v>
      </c>
      <c r="W826" s="29"/>
    </row>
    <row r="827" customFormat="false" ht="15" hidden="false" customHeight="false" outlineLevel="0" collapsed="false">
      <c r="A827" s="32" t="str">
        <f aca="false">IF(B827="","",ROW()-7)</f>
        <v/>
      </c>
      <c r="B827" s="30"/>
      <c r="C827" s="29"/>
      <c r="D827" s="29"/>
      <c r="E827" s="29"/>
      <c r="F827" s="30"/>
      <c r="G827" s="29"/>
      <c r="H827" s="30"/>
      <c r="I827" s="29"/>
      <c r="J827" s="30"/>
      <c r="K827" s="30"/>
      <c r="L827" s="29"/>
      <c r="M827" s="32" t="str">
        <f aca="false">IF(OR(C827="",L827=""),"",IF(C827=L827,"同一","変更"))</f>
        <v/>
      </c>
      <c r="N827" s="29"/>
      <c r="O827" s="30"/>
      <c r="P827" s="29"/>
      <c r="Q827" s="31"/>
      <c r="R827" s="29"/>
      <c r="S827" s="29"/>
      <c r="T827" s="30"/>
      <c r="U827" s="47" t="str">
        <f aca="false">IF(AND(B827&lt;&gt;"",B827=SW別シート!$C$3),COUNTIF(B$5:B827,B827),"")</f>
        <v/>
      </c>
      <c r="V827" s="47" t="n">
        <f aca="false">V826+IF(OR(O827&lt;&gt;"",W827&lt;&gt;""),1,0)</f>
        <v>3</v>
      </c>
      <c r="W827" s="29"/>
    </row>
    <row r="828" customFormat="false" ht="15" hidden="false" customHeight="false" outlineLevel="0" collapsed="false">
      <c r="A828" s="32" t="str">
        <f aca="false">IF(B828="","",ROW()-7)</f>
        <v/>
      </c>
      <c r="B828" s="30"/>
      <c r="C828" s="29"/>
      <c r="D828" s="29"/>
      <c r="E828" s="29"/>
      <c r="F828" s="30"/>
      <c r="G828" s="29"/>
      <c r="H828" s="30"/>
      <c r="I828" s="29"/>
      <c r="J828" s="30"/>
      <c r="K828" s="30"/>
      <c r="L828" s="29"/>
      <c r="M828" s="32" t="str">
        <f aca="false">IF(OR(C828="",L828=""),"",IF(C828=L828,"同一","変更"))</f>
        <v/>
      </c>
      <c r="N828" s="29"/>
      <c r="O828" s="30"/>
      <c r="P828" s="29"/>
      <c r="Q828" s="31"/>
      <c r="R828" s="29"/>
      <c r="S828" s="29"/>
      <c r="T828" s="30"/>
      <c r="U828" s="47" t="str">
        <f aca="false">IF(AND(B828&lt;&gt;"",B828=SW別シート!$C$3),COUNTIF(B$5:B828,B828),"")</f>
        <v/>
      </c>
      <c r="V828" s="47" t="n">
        <f aca="false">V827+IF(OR(O828&lt;&gt;"",W828&lt;&gt;""),1,0)</f>
        <v>3</v>
      </c>
      <c r="W828" s="29"/>
    </row>
    <row r="829" customFormat="false" ht="15" hidden="false" customHeight="false" outlineLevel="0" collapsed="false">
      <c r="A829" s="32" t="str">
        <f aca="false">IF(B829="","",ROW()-7)</f>
        <v/>
      </c>
      <c r="B829" s="30"/>
      <c r="C829" s="29"/>
      <c r="D829" s="29"/>
      <c r="E829" s="29"/>
      <c r="F829" s="30"/>
      <c r="G829" s="29"/>
      <c r="H829" s="30"/>
      <c r="I829" s="29"/>
      <c r="J829" s="30"/>
      <c r="K829" s="30"/>
      <c r="L829" s="29"/>
      <c r="M829" s="32" t="str">
        <f aca="false">IF(OR(C829="",L829=""),"",IF(C829=L829,"同一","変更"))</f>
        <v/>
      </c>
      <c r="N829" s="29"/>
      <c r="O829" s="30"/>
      <c r="P829" s="29"/>
      <c r="Q829" s="31"/>
      <c r="R829" s="29"/>
      <c r="S829" s="29"/>
      <c r="T829" s="30"/>
      <c r="U829" s="47" t="str">
        <f aca="false">IF(AND(B829&lt;&gt;"",B829=SW別シート!$C$3),COUNTIF(B$5:B829,B829),"")</f>
        <v/>
      </c>
      <c r="V829" s="47" t="n">
        <f aca="false">V828+IF(OR(O829&lt;&gt;"",W829&lt;&gt;""),1,0)</f>
        <v>3</v>
      </c>
      <c r="W829" s="29"/>
    </row>
    <row r="830" customFormat="false" ht="15" hidden="false" customHeight="false" outlineLevel="0" collapsed="false">
      <c r="A830" s="32" t="str">
        <f aca="false">IF(B830="","",ROW()-7)</f>
        <v/>
      </c>
      <c r="B830" s="30"/>
      <c r="C830" s="29"/>
      <c r="D830" s="29"/>
      <c r="E830" s="29"/>
      <c r="F830" s="30"/>
      <c r="G830" s="29"/>
      <c r="H830" s="30"/>
      <c r="I830" s="29"/>
      <c r="J830" s="30"/>
      <c r="K830" s="30"/>
      <c r="L830" s="29"/>
      <c r="M830" s="32" t="str">
        <f aca="false">IF(OR(C830="",L830=""),"",IF(C830=L830,"同一","変更"))</f>
        <v/>
      </c>
      <c r="N830" s="29"/>
      <c r="O830" s="30"/>
      <c r="P830" s="29"/>
      <c r="Q830" s="31"/>
      <c r="R830" s="29"/>
      <c r="S830" s="29"/>
      <c r="T830" s="30"/>
      <c r="U830" s="47" t="str">
        <f aca="false">IF(AND(B830&lt;&gt;"",B830=SW別シート!$C$3),COUNTIF(B$5:B830,B830),"")</f>
        <v/>
      </c>
      <c r="V830" s="47" t="n">
        <f aca="false">V829+IF(OR(O830&lt;&gt;"",W830&lt;&gt;""),1,0)</f>
        <v>3</v>
      </c>
      <c r="W830" s="29"/>
    </row>
    <row r="831" customFormat="false" ht="15" hidden="false" customHeight="false" outlineLevel="0" collapsed="false">
      <c r="A831" s="32" t="str">
        <f aca="false">IF(B831="","",ROW()-7)</f>
        <v/>
      </c>
      <c r="B831" s="30"/>
      <c r="C831" s="29"/>
      <c r="D831" s="29"/>
      <c r="E831" s="29"/>
      <c r="F831" s="30"/>
      <c r="G831" s="29"/>
      <c r="H831" s="30"/>
      <c r="I831" s="29"/>
      <c r="J831" s="30"/>
      <c r="K831" s="30"/>
      <c r="L831" s="29"/>
      <c r="M831" s="32" t="str">
        <f aca="false">IF(OR(C831="",L831=""),"",IF(C831=L831,"同一","変更"))</f>
        <v/>
      </c>
      <c r="N831" s="29"/>
      <c r="O831" s="30"/>
      <c r="P831" s="29"/>
      <c r="Q831" s="31"/>
      <c r="R831" s="29"/>
      <c r="S831" s="29"/>
      <c r="T831" s="30"/>
      <c r="U831" s="47" t="str">
        <f aca="false">IF(AND(B831&lt;&gt;"",B831=SW別シート!$C$3),COUNTIF(B$5:B831,B831),"")</f>
        <v/>
      </c>
      <c r="V831" s="47" t="n">
        <f aca="false">V830+IF(OR(O831&lt;&gt;"",W831&lt;&gt;""),1,0)</f>
        <v>3</v>
      </c>
      <c r="W831" s="29"/>
    </row>
    <row r="832" customFormat="false" ht="15" hidden="false" customHeight="false" outlineLevel="0" collapsed="false">
      <c r="A832" s="32" t="str">
        <f aca="false">IF(B832="","",ROW()-7)</f>
        <v/>
      </c>
      <c r="B832" s="30"/>
      <c r="C832" s="29"/>
      <c r="D832" s="29"/>
      <c r="E832" s="29"/>
      <c r="F832" s="30"/>
      <c r="G832" s="29"/>
      <c r="H832" s="30"/>
      <c r="I832" s="29"/>
      <c r="J832" s="30"/>
      <c r="K832" s="30"/>
      <c r="L832" s="29"/>
      <c r="M832" s="32" t="str">
        <f aca="false">IF(OR(C832="",L832=""),"",IF(C832=L832,"同一","変更"))</f>
        <v/>
      </c>
      <c r="N832" s="29"/>
      <c r="O832" s="30"/>
      <c r="P832" s="29"/>
      <c r="Q832" s="31"/>
      <c r="R832" s="29"/>
      <c r="S832" s="29"/>
      <c r="T832" s="30"/>
      <c r="U832" s="47" t="str">
        <f aca="false">IF(AND(B832&lt;&gt;"",B832=SW別シート!$C$3),COUNTIF(B$5:B832,B832),"")</f>
        <v/>
      </c>
      <c r="V832" s="47" t="n">
        <f aca="false">V831+IF(OR(O832&lt;&gt;"",W832&lt;&gt;""),1,0)</f>
        <v>3</v>
      </c>
      <c r="W832" s="29"/>
    </row>
    <row r="833" customFormat="false" ht="15" hidden="false" customHeight="false" outlineLevel="0" collapsed="false">
      <c r="A833" s="32" t="str">
        <f aca="false">IF(B833="","",ROW()-7)</f>
        <v/>
      </c>
      <c r="B833" s="30"/>
      <c r="C833" s="29"/>
      <c r="D833" s="29"/>
      <c r="E833" s="29"/>
      <c r="F833" s="30"/>
      <c r="G833" s="29"/>
      <c r="H833" s="30"/>
      <c r="I833" s="29"/>
      <c r="J833" s="30"/>
      <c r="K833" s="30"/>
      <c r="L833" s="29"/>
      <c r="M833" s="32" t="str">
        <f aca="false">IF(OR(C833="",L833=""),"",IF(C833=L833,"同一","変更"))</f>
        <v/>
      </c>
      <c r="N833" s="29"/>
      <c r="O833" s="30"/>
      <c r="P833" s="29"/>
      <c r="Q833" s="31"/>
      <c r="R833" s="29"/>
      <c r="S833" s="29"/>
      <c r="T833" s="30"/>
      <c r="U833" s="47" t="str">
        <f aca="false">IF(AND(B833&lt;&gt;"",B833=SW別シート!$C$3),COUNTIF(B$5:B833,B833),"")</f>
        <v/>
      </c>
      <c r="V833" s="47" t="n">
        <f aca="false">V832+IF(OR(O833&lt;&gt;"",W833&lt;&gt;""),1,0)</f>
        <v>3</v>
      </c>
      <c r="W833" s="29"/>
    </row>
    <row r="834" customFormat="false" ht="15" hidden="false" customHeight="false" outlineLevel="0" collapsed="false">
      <c r="A834" s="32" t="str">
        <f aca="false">IF(B834="","",ROW()-7)</f>
        <v/>
      </c>
      <c r="B834" s="30"/>
      <c r="C834" s="29"/>
      <c r="D834" s="29"/>
      <c r="E834" s="29"/>
      <c r="F834" s="30"/>
      <c r="G834" s="29"/>
      <c r="H834" s="30"/>
      <c r="I834" s="29"/>
      <c r="J834" s="30"/>
      <c r="K834" s="30"/>
      <c r="L834" s="29"/>
      <c r="M834" s="32" t="str">
        <f aca="false">IF(OR(C834="",L834=""),"",IF(C834=L834,"同一","変更"))</f>
        <v/>
      </c>
      <c r="N834" s="29"/>
      <c r="O834" s="30"/>
      <c r="P834" s="29"/>
      <c r="Q834" s="31"/>
      <c r="R834" s="29"/>
      <c r="S834" s="29"/>
      <c r="T834" s="30"/>
      <c r="U834" s="47" t="str">
        <f aca="false">IF(AND(B834&lt;&gt;"",B834=SW別シート!$C$3),COUNTIF(B$5:B834,B834),"")</f>
        <v/>
      </c>
      <c r="V834" s="47" t="n">
        <f aca="false">V833+IF(OR(O834&lt;&gt;"",W834&lt;&gt;""),1,0)</f>
        <v>3</v>
      </c>
      <c r="W834" s="29"/>
    </row>
    <row r="835" customFormat="false" ht="15" hidden="false" customHeight="false" outlineLevel="0" collapsed="false">
      <c r="A835" s="32" t="str">
        <f aca="false">IF(B835="","",ROW()-7)</f>
        <v/>
      </c>
      <c r="B835" s="30"/>
      <c r="C835" s="29"/>
      <c r="D835" s="29"/>
      <c r="E835" s="29"/>
      <c r="F835" s="30"/>
      <c r="G835" s="29"/>
      <c r="H835" s="30"/>
      <c r="I835" s="29"/>
      <c r="J835" s="30"/>
      <c r="K835" s="30"/>
      <c r="L835" s="29"/>
      <c r="M835" s="32" t="str">
        <f aca="false">IF(OR(C835="",L835=""),"",IF(C835=L835,"同一","変更"))</f>
        <v/>
      </c>
      <c r="N835" s="29"/>
      <c r="O835" s="30"/>
      <c r="P835" s="29"/>
      <c r="Q835" s="31"/>
      <c r="R835" s="29"/>
      <c r="S835" s="29"/>
      <c r="T835" s="30"/>
      <c r="U835" s="47" t="str">
        <f aca="false">IF(AND(B835&lt;&gt;"",B835=SW別シート!$C$3),COUNTIF(B$5:B835,B835),"")</f>
        <v/>
      </c>
      <c r="V835" s="47" t="n">
        <f aca="false">V834+IF(OR(O835&lt;&gt;"",W835&lt;&gt;""),1,0)</f>
        <v>3</v>
      </c>
      <c r="W835" s="29"/>
    </row>
    <row r="836" customFormat="false" ht="15" hidden="false" customHeight="false" outlineLevel="0" collapsed="false">
      <c r="A836" s="32" t="str">
        <f aca="false">IF(B836="","",ROW()-7)</f>
        <v/>
      </c>
      <c r="B836" s="30"/>
      <c r="C836" s="29"/>
      <c r="D836" s="29"/>
      <c r="E836" s="29"/>
      <c r="F836" s="30"/>
      <c r="G836" s="29"/>
      <c r="H836" s="30"/>
      <c r="I836" s="29"/>
      <c r="J836" s="30"/>
      <c r="K836" s="30"/>
      <c r="L836" s="29"/>
      <c r="M836" s="32" t="str">
        <f aca="false">IF(OR(C836="",L836=""),"",IF(C836=L836,"同一","変更"))</f>
        <v/>
      </c>
      <c r="N836" s="29"/>
      <c r="O836" s="30"/>
      <c r="P836" s="29"/>
      <c r="Q836" s="31"/>
      <c r="R836" s="29"/>
      <c r="S836" s="29"/>
      <c r="T836" s="30"/>
      <c r="U836" s="47" t="str">
        <f aca="false">IF(AND(B836&lt;&gt;"",B836=SW別シート!$C$3),COUNTIF(B$5:B836,B836),"")</f>
        <v/>
      </c>
      <c r="V836" s="47" t="n">
        <f aca="false">V835+IF(OR(O836&lt;&gt;"",W836&lt;&gt;""),1,0)</f>
        <v>3</v>
      </c>
      <c r="W836" s="29"/>
    </row>
    <row r="837" customFormat="false" ht="15" hidden="false" customHeight="false" outlineLevel="0" collapsed="false">
      <c r="A837" s="32" t="str">
        <f aca="false">IF(B837="","",ROW()-7)</f>
        <v/>
      </c>
      <c r="B837" s="30"/>
      <c r="C837" s="29"/>
      <c r="D837" s="29"/>
      <c r="E837" s="29"/>
      <c r="F837" s="30"/>
      <c r="G837" s="29"/>
      <c r="H837" s="30"/>
      <c r="I837" s="29"/>
      <c r="J837" s="30"/>
      <c r="K837" s="30"/>
      <c r="L837" s="29"/>
      <c r="M837" s="32" t="str">
        <f aca="false">IF(OR(C837="",L837=""),"",IF(C837=L837,"同一","変更"))</f>
        <v/>
      </c>
      <c r="N837" s="29"/>
      <c r="O837" s="30"/>
      <c r="P837" s="29"/>
      <c r="Q837" s="31"/>
      <c r="R837" s="29"/>
      <c r="S837" s="29"/>
      <c r="T837" s="30"/>
      <c r="U837" s="47" t="str">
        <f aca="false">IF(AND(B837&lt;&gt;"",B837=SW別シート!$C$3),COUNTIF(B$5:B837,B837),"")</f>
        <v/>
      </c>
      <c r="V837" s="47" t="n">
        <f aca="false">V836+IF(OR(O837&lt;&gt;"",W837&lt;&gt;""),1,0)</f>
        <v>3</v>
      </c>
      <c r="W837" s="29"/>
    </row>
    <row r="838" customFormat="false" ht="15" hidden="false" customHeight="false" outlineLevel="0" collapsed="false">
      <c r="A838" s="32" t="str">
        <f aca="false">IF(B838="","",ROW()-7)</f>
        <v/>
      </c>
      <c r="B838" s="30"/>
      <c r="C838" s="29"/>
      <c r="D838" s="29"/>
      <c r="E838" s="29"/>
      <c r="F838" s="30"/>
      <c r="G838" s="29"/>
      <c r="H838" s="30"/>
      <c r="I838" s="29"/>
      <c r="J838" s="30"/>
      <c r="K838" s="30"/>
      <c r="L838" s="29"/>
      <c r="M838" s="32" t="str">
        <f aca="false">IF(OR(C838="",L838=""),"",IF(C838=L838,"同一","変更"))</f>
        <v/>
      </c>
      <c r="N838" s="29"/>
      <c r="O838" s="30"/>
      <c r="P838" s="29"/>
      <c r="Q838" s="31"/>
      <c r="R838" s="29"/>
      <c r="S838" s="29"/>
      <c r="T838" s="30"/>
      <c r="U838" s="47" t="str">
        <f aca="false">IF(AND(B838&lt;&gt;"",B838=SW別シート!$C$3),COUNTIF(B$5:B838,B838),"")</f>
        <v/>
      </c>
      <c r="V838" s="47" t="n">
        <f aca="false">V837+IF(OR(O838&lt;&gt;"",W838&lt;&gt;""),1,0)</f>
        <v>3</v>
      </c>
      <c r="W838" s="29"/>
    </row>
    <row r="839" customFormat="false" ht="15" hidden="false" customHeight="false" outlineLevel="0" collapsed="false">
      <c r="A839" s="32" t="str">
        <f aca="false">IF(B839="","",ROW()-7)</f>
        <v/>
      </c>
      <c r="B839" s="30"/>
      <c r="C839" s="29"/>
      <c r="D839" s="29"/>
      <c r="E839" s="29"/>
      <c r="F839" s="30"/>
      <c r="G839" s="29"/>
      <c r="H839" s="30"/>
      <c r="I839" s="29"/>
      <c r="J839" s="30"/>
      <c r="K839" s="30"/>
      <c r="L839" s="29"/>
      <c r="M839" s="32" t="str">
        <f aca="false">IF(OR(C839="",L839=""),"",IF(C839=L839,"同一","変更"))</f>
        <v/>
      </c>
      <c r="N839" s="29"/>
      <c r="O839" s="30"/>
      <c r="P839" s="29"/>
      <c r="Q839" s="31"/>
      <c r="R839" s="29"/>
      <c r="S839" s="29"/>
      <c r="T839" s="30"/>
      <c r="U839" s="47" t="str">
        <f aca="false">IF(AND(B839&lt;&gt;"",B839=SW別シート!$C$3),COUNTIF(B$5:B839,B839),"")</f>
        <v/>
      </c>
      <c r="V839" s="47" t="n">
        <f aca="false">V838+IF(OR(O839&lt;&gt;"",W839&lt;&gt;""),1,0)</f>
        <v>3</v>
      </c>
      <c r="W839" s="29"/>
    </row>
    <row r="840" customFormat="false" ht="15" hidden="false" customHeight="false" outlineLevel="0" collapsed="false">
      <c r="A840" s="32" t="str">
        <f aca="false">IF(B840="","",ROW()-7)</f>
        <v/>
      </c>
      <c r="B840" s="30"/>
      <c r="C840" s="29"/>
      <c r="D840" s="29"/>
      <c r="E840" s="29"/>
      <c r="F840" s="30"/>
      <c r="G840" s="29"/>
      <c r="H840" s="30"/>
      <c r="I840" s="29"/>
      <c r="J840" s="30"/>
      <c r="K840" s="30"/>
      <c r="L840" s="29"/>
      <c r="M840" s="32" t="str">
        <f aca="false">IF(OR(C840="",L840=""),"",IF(C840=L840,"同一","変更"))</f>
        <v/>
      </c>
      <c r="N840" s="29"/>
      <c r="O840" s="30"/>
      <c r="P840" s="29"/>
      <c r="Q840" s="31"/>
      <c r="R840" s="29"/>
      <c r="S840" s="29"/>
      <c r="T840" s="30"/>
      <c r="U840" s="47" t="str">
        <f aca="false">IF(AND(B840&lt;&gt;"",B840=SW別シート!$C$3),COUNTIF(B$5:B840,B840),"")</f>
        <v/>
      </c>
      <c r="V840" s="47" t="n">
        <f aca="false">V839+IF(OR(O840&lt;&gt;"",W840&lt;&gt;""),1,0)</f>
        <v>3</v>
      </c>
      <c r="W840" s="29"/>
    </row>
    <row r="841" customFormat="false" ht="15" hidden="false" customHeight="false" outlineLevel="0" collapsed="false">
      <c r="A841" s="32" t="str">
        <f aca="false">IF(B841="","",ROW()-7)</f>
        <v/>
      </c>
      <c r="B841" s="30"/>
      <c r="C841" s="29"/>
      <c r="D841" s="29"/>
      <c r="E841" s="29"/>
      <c r="F841" s="30"/>
      <c r="G841" s="29"/>
      <c r="H841" s="30"/>
      <c r="I841" s="29"/>
      <c r="J841" s="30"/>
      <c r="K841" s="30"/>
      <c r="L841" s="29"/>
      <c r="M841" s="32" t="str">
        <f aca="false">IF(OR(C841="",L841=""),"",IF(C841=L841,"同一","変更"))</f>
        <v/>
      </c>
      <c r="N841" s="29"/>
      <c r="O841" s="30"/>
      <c r="P841" s="29"/>
      <c r="Q841" s="31"/>
      <c r="R841" s="29"/>
      <c r="S841" s="29"/>
      <c r="T841" s="30"/>
      <c r="U841" s="47" t="str">
        <f aca="false">IF(AND(B841&lt;&gt;"",B841=SW別シート!$C$3),COUNTIF(B$5:B841,B841),"")</f>
        <v/>
      </c>
      <c r="V841" s="47" t="n">
        <f aca="false">V840+IF(OR(O841&lt;&gt;"",W841&lt;&gt;""),1,0)</f>
        <v>3</v>
      </c>
      <c r="W841" s="29"/>
    </row>
    <row r="842" customFormat="false" ht="15" hidden="false" customHeight="false" outlineLevel="0" collapsed="false">
      <c r="A842" s="32" t="str">
        <f aca="false">IF(B842="","",ROW()-7)</f>
        <v/>
      </c>
      <c r="B842" s="30"/>
      <c r="C842" s="29"/>
      <c r="D842" s="29"/>
      <c r="E842" s="29"/>
      <c r="F842" s="30"/>
      <c r="G842" s="29"/>
      <c r="H842" s="30"/>
      <c r="I842" s="29"/>
      <c r="J842" s="30"/>
      <c r="K842" s="30"/>
      <c r="L842" s="29"/>
      <c r="M842" s="32" t="str">
        <f aca="false">IF(OR(C842="",L842=""),"",IF(C842=L842,"同一","変更"))</f>
        <v/>
      </c>
      <c r="N842" s="29"/>
      <c r="O842" s="30"/>
      <c r="P842" s="29"/>
      <c r="Q842" s="31"/>
      <c r="R842" s="29"/>
      <c r="S842" s="29"/>
      <c r="T842" s="30"/>
      <c r="U842" s="47" t="str">
        <f aca="false">IF(AND(B842&lt;&gt;"",B842=SW別シート!$C$3),COUNTIF(B$5:B842,B842),"")</f>
        <v/>
      </c>
      <c r="V842" s="47" t="n">
        <f aca="false">V841+IF(OR(O842&lt;&gt;"",W842&lt;&gt;""),1,0)</f>
        <v>3</v>
      </c>
      <c r="W842" s="29"/>
    </row>
    <row r="843" customFormat="false" ht="15" hidden="false" customHeight="false" outlineLevel="0" collapsed="false">
      <c r="A843" s="32" t="str">
        <f aca="false">IF(B843="","",ROW()-7)</f>
        <v/>
      </c>
      <c r="B843" s="30"/>
      <c r="C843" s="29"/>
      <c r="D843" s="29"/>
      <c r="E843" s="29"/>
      <c r="F843" s="30"/>
      <c r="G843" s="29"/>
      <c r="H843" s="30"/>
      <c r="I843" s="29"/>
      <c r="J843" s="30"/>
      <c r="K843" s="30"/>
      <c r="L843" s="29"/>
      <c r="M843" s="32" t="str">
        <f aca="false">IF(OR(C843="",L843=""),"",IF(C843=L843,"同一","変更"))</f>
        <v/>
      </c>
      <c r="N843" s="29"/>
      <c r="O843" s="30"/>
      <c r="P843" s="29"/>
      <c r="Q843" s="31"/>
      <c r="R843" s="29"/>
      <c r="S843" s="29"/>
      <c r="T843" s="30"/>
      <c r="U843" s="47" t="str">
        <f aca="false">IF(AND(B843&lt;&gt;"",B843=SW別シート!$C$3),COUNTIF(B$5:B843,B843),"")</f>
        <v/>
      </c>
      <c r="V843" s="47" t="n">
        <f aca="false">V842+IF(OR(O843&lt;&gt;"",W843&lt;&gt;""),1,0)</f>
        <v>3</v>
      </c>
      <c r="W843" s="29"/>
    </row>
    <row r="844" customFormat="false" ht="15" hidden="false" customHeight="false" outlineLevel="0" collapsed="false">
      <c r="A844" s="32" t="str">
        <f aca="false">IF(B844="","",ROW()-7)</f>
        <v/>
      </c>
      <c r="B844" s="30"/>
      <c r="C844" s="29"/>
      <c r="D844" s="29"/>
      <c r="E844" s="29"/>
      <c r="F844" s="30"/>
      <c r="G844" s="29"/>
      <c r="H844" s="30"/>
      <c r="I844" s="29"/>
      <c r="J844" s="30"/>
      <c r="K844" s="30"/>
      <c r="L844" s="29"/>
      <c r="M844" s="32" t="str">
        <f aca="false">IF(OR(C844="",L844=""),"",IF(C844=L844,"同一","変更"))</f>
        <v/>
      </c>
      <c r="N844" s="29"/>
      <c r="O844" s="30"/>
      <c r="P844" s="29"/>
      <c r="Q844" s="31"/>
      <c r="R844" s="29"/>
      <c r="S844" s="29"/>
      <c r="T844" s="30"/>
      <c r="U844" s="47" t="str">
        <f aca="false">IF(AND(B844&lt;&gt;"",B844=SW別シート!$C$3),COUNTIF(B$5:B844,B844),"")</f>
        <v/>
      </c>
      <c r="V844" s="47" t="n">
        <f aca="false">V843+IF(OR(O844&lt;&gt;"",W844&lt;&gt;""),1,0)</f>
        <v>3</v>
      </c>
      <c r="W844" s="29"/>
    </row>
    <row r="845" customFormat="false" ht="15" hidden="false" customHeight="false" outlineLevel="0" collapsed="false">
      <c r="A845" s="32" t="str">
        <f aca="false">IF(B845="","",ROW()-7)</f>
        <v/>
      </c>
      <c r="B845" s="30"/>
      <c r="C845" s="29"/>
      <c r="D845" s="29"/>
      <c r="E845" s="29"/>
      <c r="F845" s="30"/>
      <c r="G845" s="29"/>
      <c r="H845" s="30"/>
      <c r="I845" s="29"/>
      <c r="J845" s="30"/>
      <c r="K845" s="30"/>
      <c r="L845" s="29"/>
      <c r="M845" s="32" t="str">
        <f aca="false">IF(OR(C845="",L845=""),"",IF(C845=L845,"同一","変更"))</f>
        <v/>
      </c>
      <c r="N845" s="29"/>
      <c r="O845" s="30"/>
      <c r="P845" s="29"/>
      <c r="Q845" s="31"/>
      <c r="R845" s="29"/>
      <c r="S845" s="29"/>
      <c r="T845" s="30"/>
      <c r="U845" s="47" t="str">
        <f aca="false">IF(AND(B845&lt;&gt;"",B845=SW別シート!$C$3),COUNTIF(B$5:B845,B845),"")</f>
        <v/>
      </c>
      <c r="V845" s="47" t="n">
        <f aca="false">V844+IF(OR(O845&lt;&gt;"",W845&lt;&gt;""),1,0)</f>
        <v>3</v>
      </c>
      <c r="W845" s="29"/>
    </row>
    <row r="846" customFormat="false" ht="15" hidden="false" customHeight="false" outlineLevel="0" collapsed="false">
      <c r="A846" s="32" t="str">
        <f aca="false">IF(B846="","",ROW()-7)</f>
        <v/>
      </c>
      <c r="B846" s="30"/>
      <c r="C846" s="29"/>
      <c r="D846" s="29"/>
      <c r="E846" s="29"/>
      <c r="F846" s="30"/>
      <c r="G846" s="29"/>
      <c r="H846" s="30"/>
      <c r="I846" s="29"/>
      <c r="J846" s="30"/>
      <c r="K846" s="30"/>
      <c r="L846" s="29"/>
      <c r="M846" s="32" t="str">
        <f aca="false">IF(OR(C846="",L846=""),"",IF(C846=L846,"同一","変更"))</f>
        <v/>
      </c>
      <c r="N846" s="29"/>
      <c r="O846" s="30"/>
      <c r="P846" s="29"/>
      <c r="Q846" s="31"/>
      <c r="R846" s="29"/>
      <c r="S846" s="29"/>
      <c r="T846" s="30"/>
      <c r="U846" s="47" t="str">
        <f aca="false">IF(AND(B846&lt;&gt;"",B846=SW別シート!$C$3),COUNTIF(B$5:B846,B846),"")</f>
        <v/>
      </c>
      <c r="V846" s="47" t="n">
        <f aca="false">V845+IF(OR(O846&lt;&gt;"",W846&lt;&gt;""),1,0)</f>
        <v>3</v>
      </c>
      <c r="W846" s="29"/>
    </row>
    <row r="847" customFormat="false" ht="15" hidden="false" customHeight="false" outlineLevel="0" collapsed="false">
      <c r="A847" s="32" t="str">
        <f aca="false">IF(B847="","",ROW()-7)</f>
        <v/>
      </c>
      <c r="B847" s="30"/>
      <c r="C847" s="29"/>
      <c r="D847" s="29"/>
      <c r="E847" s="29"/>
      <c r="F847" s="30"/>
      <c r="G847" s="29"/>
      <c r="H847" s="30"/>
      <c r="I847" s="29"/>
      <c r="J847" s="30"/>
      <c r="K847" s="30"/>
      <c r="L847" s="29"/>
      <c r="M847" s="32" t="str">
        <f aca="false">IF(OR(C847="",L847=""),"",IF(C847=L847,"同一","変更"))</f>
        <v/>
      </c>
      <c r="N847" s="29"/>
      <c r="O847" s="30"/>
      <c r="P847" s="29"/>
      <c r="Q847" s="31"/>
      <c r="R847" s="29"/>
      <c r="S847" s="29"/>
      <c r="T847" s="30"/>
      <c r="U847" s="47" t="str">
        <f aca="false">IF(AND(B847&lt;&gt;"",B847=SW別シート!$C$3),COUNTIF(B$5:B847,B847),"")</f>
        <v/>
      </c>
      <c r="V847" s="47" t="n">
        <f aca="false">V846+IF(OR(O847&lt;&gt;"",W847&lt;&gt;""),1,0)</f>
        <v>3</v>
      </c>
      <c r="W847" s="29"/>
    </row>
    <row r="848" customFormat="false" ht="15" hidden="false" customHeight="false" outlineLevel="0" collapsed="false">
      <c r="A848" s="32" t="str">
        <f aca="false">IF(B848="","",ROW()-7)</f>
        <v/>
      </c>
      <c r="B848" s="30"/>
      <c r="C848" s="29"/>
      <c r="D848" s="29"/>
      <c r="E848" s="29"/>
      <c r="F848" s="30"/>
      <c r="G848" s="29"/>
      <c r="H848" s="30"/>
      <c r="I848" s="29"/>
      <c r="J848" s="30"/>
      <c r="K848" s="30"/>
      <c r="L848" s="29"/>
      <c r="M848" s="32" t="str">
        <f aca="false">IF(OR(C848="",L848=""),"",IF(C848=L848,"同一","変更"))</f>
        <v/>
      </c>
      <c r="N848" s="29"/>
      <c r="O848" s="30"/>
      <c r="P848" s="29"/>
      <c r="Q848" s="31"/>
      <c r="R848" s="29"/>
      <c r="S848" s="29"/>
      <c r="T848" s="30"/>
      <c r="U848" s="47" t="str">
        <f aca="false">IF(AND(B848&lt;&gt;"",B848=SW別シート!$C$3),COUNTIF(B$5:B848,B848),"")</f>
        <v/>
      </c>
      <c r="V848" s="47" t="n">
        <f aca="false">V847+IF(OR(O848&lt;&gt;"",W848&lt;&gt;""),1,0)</f>
        <v>3</v>
      </c>
      <c r="W848" s="29"/>
    </row>
    <row r="849" customFormat="false" ht="15" hidden="false" customHeight="false" outlineLevel="0" collapsed="false">
      <c r="A849" s="32" t="str">
        <f aca="false">IF(B849="","",ROW()-7)</f>
        <v/>
      </c>
      <c r="B849" s="30"/>
      <c r="C849" s="29"/>
      <c r="D849" s="29"/>
      <c r="E849" s="29"/>
      <c r="F849" s="30"/>
      <c r="G849" s="29"/>
      <c r="H849" s="30"/>
      <c r="I849" s="29"/>
      <c r="J849" s="30"/>
      <c r="K849" s="30"/>
      <c r="L849" s="29"/>
      <c r="M849" s="32" t="str">
        <f aca="false">IF(OR(C849="",L849=""),"",IF(C849=L849,"同一","変更"))</f>
        <v/>
      </c>
      <c r="N849" s="29"/>
      <c r="O849" s="30"/>
      <c r="P849" s="29"/>
      <c r="Q849" s="31"/>
      <c r="R849" s="29"/>
      <c r="S849" s="29"/>
      <c r="T849" s="30"/>
      <c r="U849" s="47" t="str">
        <f aca="false">IF(AND(B849&lt;&gt;"",B849=SW別シート!$C$3),COUNTIF(B$5:B849,B849),"")</f>
        <v/>
      </c>
      <c r="V849" s="47" t="n">
        <f aca="false">V848+IF(OR(O849&lt;&gt;"",W849&lt;&gt;""),1,0)</f>
        <v>3</v>
      </c>
      <c r="W849" s="29"/>
    </row>
    <row r="850" customFormat="false" ht="15" hidden="false" customHeight="false" outlineLevel="0" collapsed="false">
      <c r="A850" s="32" t="str">
        <f aca="false">IF(B850="","",ROW()-7)</f>
        <v/>
      </c>
      <c r="B850" s="30"/>
      <c r="C850" s="29"/>
      <c r="D850" s="29"/>
      <c r="E850" s="29"/>
      <c r="F850" s="30"/>
      <c r="G850" s="29"/>
      <c r="H850" s="30"/>
      <c r="I850" s="29"/>
      <c r="J850" s="30"/>
      <c r="K850" s="30"/>
      <c r="L850" s="29"/>
      <c r="M850" s="32" t="str">
        <f aca="false">IF(OR(C850="",L850=""),"",IF(C850=L850,"同一","変更"))</f>
        <v/>
      </c>
      <c r="N850" s="29"/>
      <c r="O850" s="30"/>
      <c r="P850" s="29"/>
      <c r="Q850" s="31"/>
      <c r="R850" s="29"/>
      <c r="S850" s="29"/>
      <c r="T850" s="30"/>
      <c r="U850" s="47" t="str">
        <f aca="false">IF(AND(B850&lt;&gt;"",B850=SW別シート!$C$3),COUNTIF(B$5:B850,B850),"")</f>
        <v/>
      </c>
      <c r="V850" s="47" t="n">
        <f aca="false">V849+IF(OR(O850&lt;&gt;"",W850&lt;&gt;""),1,0)</f>
        <v>3</v>
      </c>
      <c r="W850" s="29"/>
    </row>
    <row r="851" customFormat="false" ht="15" hidden="false" customHeight="false" outlineLevel="0" collapsed="false">
      <c r="A851" s="32" t="str">
        <f aca="false">IF(B851="","",ROW()-7)</f>
        <v/>
      </c>
      <c r="B851" s="30"/>
      <c r="C851" s="29"/>
      <c r="D851" s="29"/>
      <c r="E851" s="29"/>
      <c r="F851" s="30"/>
      <c r="G851" s="29"/>
      <c r="H851" s="30"/>
      <c r="I851" s="29"/>
      <c r="J851" s="30"/>
      <c r="K851" s="30"/>
      <c r="L851" s="29"/>
      <c r="M851" s="32" t="str">
        <f aca="false">IF(OR(C851="",L851=""),"",IF(C851=L851,"同一","変更"))</f>
        <v/>
      </c>
      <c r="N851" s="29"/>
      <c r="O851" s="30"/>
      <c r="P851" s="29"/>
      <c r="Q851" s="31"/>
      <c r="R851" s="29"/>
      <c r="S851" s="29"/>
      <c r="T851" s="30"/>
      <c r="U851" s="47" t="str">
        <f aca="false">IF(AND(B851&lt;&gt;"",B851=SW別シート!$C$3),COUNTIF(B$5:B851,B851),"")</f>
        <v/>
      </c>
      <c r="V851" s="47" t="n">
        <f aca="false">V850+IF(OR(O851&lt;&gt;"",W851&lt;&gt;""),1,0)</f>
        <v>3</v>
      </c>
      <c r="W851" s="29"/>
    </row>
    <row r="852" customFormat="false" ht="15" hidden="false" customHeight="false" outlineLevel="0" collapsed="false">
      <c r="A852" s="32" t="str">
        <f aca="false">IF(B852="","",ROW()-7)</f>
        <v/>
      </c>
      <c r="B852" s="30"/>
      <c r="C852" s="29"/>
      <c r="D852" s="29"/>
      <c r="E852" s="29"/>
      <c r="F852" s="30"/>
      <c r="G852" s="29"/>
      <c r="H852" s="30"/>
      <c r="I852" s="29"/>
      <c r="J852" s="30"/>
      <c r="K852" s="30"/>
      <c r="L852" s="29"/>
      <c r="M852" s="32" t="str">
        <f aca="false">IF(OR(C852="",L852=""),"",IF(C852=L852,"同一","変更"))</f>
        <v/>
      </c>
      <c r="N852" s="29"/>
      <c r="O852" s="30"/>
      <c r="P852" s="29"/>
      <c r="Q852" s="31"/>
      <c r="R852" s="29"/>
      <c r="S852" s="29"/>
      <c r="T852" s="30"/>
      <c r="U852" s="47" t="str">
        <f aca="false">IF(AND(B852&lt;&gt;"",B852=SW別シート!$C$3),COUNTIF(B$5:B852,B852),"")</f>
        <v/>
      </c>
      <c r="V852" s="47" t="n">
        <f aca="false">V851+IF(OR(O852&lt;&gt;"",W852&lt;&gt;""),1,0)</f>
        <v>3</v>
      </c>
      <c r="W852" s="29"/>
    </row>
    <row r="853" customFormat="false" ht="15" hidden="false" customHeight="false" outlineLevel="0" collapsed="false">
      <c r="A853" s="32" t="str">
        <f aca="false">IF(B853="","",ROW()-7)</f>
        <v/>
      </c>
      <c r="B853" s="30"/>
      <c r="C853" s="29"/>
      <c r="D853" s="29"/>
      <c r="E853" s="29"/>
      <c r="F853" s="30"/>
      <c r="G853" s="29"/>
      <c r="H853" s="30"/>
      <c r="I853" s="29"/>
      <c r="J853" s="30"/>
      <c r="K853" s="30"/>
      <c r="L853" s="29"/>
      <c r="M853" s="32" t="str">
        <f aca="false">IF(OR(C853="",L853=""),"",IF(C853=L853,"同一","変更"))</f>
        <v/>
      </c>
      <c r="N853" s="29"/>
      <c r="O853" s="30"/>
      <c r="P853" s="29"/>
      <c r="Q853" s="31"/>
      <c r="R853" s="29"/>
      <c r="S853" s="29"/>
      <c r="T853" s="30"/>
      <c r="U853" s="47" t="str">
        <f aca="false">IF(AND(B853&lt;&gt;"",B853=SW別シート!$C$3),COUNTIF(B$5:B853,B853),"")</f>
        <v/>
      </c>
      <c r="V853" s="47" t="n">
        <f aca="false">V852+IF(OR(O853&lt;&gt;"",W853&lt;&gt;""),1,0)</f>
        <v>3</v>
      </c>
      <c r="W853" s="29"/>
    </row>
    <row r="854" customFormat="false" ht="15" hidden="false" customHeight="false" outlineLevel="0" collapsed="false">
      <c r="A854" s="32" t="str">
        <f aca="false">IF(B854="","",ROW()-7)</f>
        <v/>
      </c>
      <c r="B854" s="30"/>
      <c r="C854" s="29"/>
      <c r="D854" s="29"/>
      <c r="E854" s="29"/>
      <c r="F854" s="30"/>
      <c r="G854" s="29"/>
      <c r="H854" s="30"/>
      <c r="I854" s="29"/>
      <c r="J854" s="30"/>
      <c r="K854" s="30"/>
      <c r="L854" s="29"/>
      <c r="M854" s="32" t="str">
        <f aca="false">IF(OR(C854="",L854=""),"",IF(C854=L854,"同一","変更"))</f>
        <v/>
      </c>
      <c r="N854" s="29"/>
      <c r="O854" s="30"/>
      <c r="P854" s="29"/>
      <c r="Q854" s="31"/>
      <c r="R854" s="29"/>
      <c r="S854" s="29"/>
      <c r="T854" s="30"/>
      <c r="U854" s="47" t="str">
        <f aca="false">IF(AND(B854&lt;&gt;"",B854=SW別シート!$C$3),COUNTIF(B$5:B854,B854),"")</f>
        <v/>
      </c>
      <c r="V854" s="47" t="n">
        <f aca="false">V853+IF(OR(O854&lt;&gt;"",W854&lt;&gt;""),1,0)</f>
        <v>3</v>
      </c>
      <c r="W854" s="29"/>
    </row>
    <row r="855" customFormat="false" ht="15" hidden="false" customHeight="false" outlineLevel="0" collapsed="false">
      <c r="A855" s="32" t="str">
        <f aca="false">IF(B855="","",ROW()-7)</f>
        <v/>
      </c>
      <c r="B855" s="30"/>
      <c r="C855" s="29"/>
      <c r="D855" s="29"/>
      <c r="E855" s="29"/>
      <c r="F855" s="30"/>
      <c r="G855" s="29"/>
      <c r="H855" s="30"/>
      <c r="I855" s="29"/>
      <c r="J855" s="30"/>
      <c r="K855" s="30"/>
      <c r="L855" s="29"/>
      <c r="M855" s="32" t="str">
        <f aca="false">IF(OR(C855="",L855=""),"",IF(C855=L855,"同一","変更"))</f>
        <v/>
      </c>
      <c r="N855" s="29"/>
      <c r="O855" s="30"/>
      <c r="P855" s="29"/>
      <c r="Q855" s="31"/>
      <c r="R855" s="29"/>
      <c r="S855" s="29"/>
      <c r="T855" s="30"/>
      <c r="U855" s="47" t="str">
        <f aca="false">IF(AND(B855&lt;&gt;"",B855=SW別シート!$C$3),COUNTIF(B$5:B855,B855),"")</f>
        <v/>
      </c>
      <c r="V855" s="47" t="n">
        <f aca="false">V854+IF(OR(O855&lt;&gt;"",W855&lt;&gt;""),1,0)</f>
        <v>3</v>
      </c>
      <c r="W855" s="29"/>
    </row>
    <row r="856" customFormat="false" ht="15" hidden="false" customHeight="false" outlineLevel="0" collapsed="false">
      <c r="A856" s="32" t="str">
        <f aca="false">IF(B856="","",ROW()-7)</f>
        <v/>
      </c>
      <c r="B856" s="30"/>
      <c r="C856" s="29"/>
      <c r="D856" s="29"/>
      <c r="E856" s="29"/>
      <c r="F856" s="30"/>
      <c r="G856" s="29"/>
      <c r="H856" s="30"/>
      <c r="I856" s="29"/>
      <c r="J856" s="30"/>
      <c r="K856" s="30"/>
      <c r="L856" s="29"/>
      <c r="M856" s="32" t="str">
        <f aca="false">IF(OR(C856="",L856=""),"",IF(C856=L856,"同一","変更"))</f>
        <v/>
      </c>
      <c r="N856" s="29"/>
      <c r="O856" s="30"/>
      <c r="P856" s="29"/>
      <c r="Q856" s="31"/>
      <c r="R856" s="29"/>
      <c r="S856" s="29"/>
      <c r="T856" s="30"/>
      <c r="U856" s="47" t="str">
        <f aca="false">IF(AND(B856&lt;&gt;"",B856=SW別シート!$C$3),COUNTIF(B$5:B856,B856),"")</f>
        <v/>
      </c>
      <c r="V856" s="47" t="n">
        <f aca="false">V855+IF(OR(O856&lt;&gt;"",W856&lt;&gt;""),1,0)</f>
        <v>3</v>
      </c>
      <c r="W856" s="29"/>
    </row>
    <row r="857" customFormat="false" ht="15" hidden="false" customHeight="false" outlineLevel="0" collapsed="false">
      <c r="A857" s="32" t="str">
        <f aca="false">IF(B857="","",ROW()-7)</f>
        <v/>
      </c>
      <c r="B857" s="30"/>
      <c r="C857" s="29"/>
      <c r="D857" s="29"/>
      <c r="E857" s="29"/>
      <c r="F857" s="30"/>
      <c r="G857" s="29"/>
      <c r="H857" s="30"/>
      <c r="I857" s="29"/>
      <c r="J857" s="30"/>
      <c r="K857" s="30"/>
      <c r="L857" s="29"/>
      <c r="M857" s="32" t="str">
        <f aca="false">IF(OR(C857="",L857=""),"",IF(C857=L857,"同一","変更"))</f>
        <v/>
      </c>
      <c r="N857" s="29"/>
      <c r="O857" s="30"/>
      <c r="P857" s="29"/>
      <c r="Q857" s="31"/>
      <c r="R857" s="29"/>
      <c r="S857" s="29"/>
      <c r="T857" s="30"/>
      <c r="U857" s="47" t="str">
        <f aca="false">IF(AND(B857&lt;&gt;"",B857=SW別シート!$C$3),COUNTIF(B$5:B857,B857),"")</f>
        <v/>
      </c>
      <c r="V857" s="47" t="n">
        <f aca="false">V856+IF(OR(O857&lt;&gt;"",W857&lt;&gt;""),1,0)</f>
        <v>3</v>
      </c>
      <c r="W857" s="29"/>
    </row>
    <row r="858" customFormat="false" ht="15" hidden="false" customHeight="false" outlineLevel="0" collapsed="false">
      <c r="A858" s="32" t="str">
        <f aca="false">IF(B858="","",ROW()-7)</f>
        <v/>
      </c>
      <c r="B858" s="30"/>
      <c r="C858" s="29"/>
      <c r="D858" s="29"/>
      <c r="E858" s="29"/>
      <c r="F858" s="30"/>
      <c r="G858" s="29"/>
      <c r="H858" s="30"/>
      <c r="I858" s="29"/>
      <c r="J858" s="30"/>
      <c r="K858" s="30"/>
      <c r="L858" s="29"/>
      <c r="M858" s="32" t="str">
        <f aca="false">IF(OR(C858="",L858=""),"",IF(C858=L858,"同一","変更"))</f>
        <v/>
      </c>
      <c r="N858" s="29"/>
      <c r="O858" s="30"/>
      <c r="P858" s="29"/>
      <c r="Q858" s="31"/>
      <c r="R858" s="29"/>
      <c r="S858" s="29"/>
      <c r="T858" s="30"/>
      <c r="U858" s="47" t="str">
        <f aca="false">IF(AND(B858&lt;&gt;"",B858=SW別シート!$C$3),COUNTIF(B$5:B858,B858),"")</f>
        <v/>
      </c>
      <c r="V858" s="47" t="n">
        <f aca="false">V857+IF(OR(O858&lt;&gt;"",W858&lt;&gt;""),1,0)</f>
        <v>3</v>
      </c>
      <c r="W858" s="29"/>
    </row>
    <row r="859" customFormat="false" ht="15" hidden="false" customHeight="false" outlineLevel="0" collapsed="false">
      <c r="A859" s="32" t="str">
        <f aca="false">IF(B859="","",ROW()-7)</f>
        <v/>
      </c>
      <c r="B859" s="30"/>
      <c r="C859" s="29"/>
      <c r="D859" s="29"/>
      <c r="E859" s="29"/>
      <c r="F859" s="30"/>
      <c r="G859" s="29"/>
      <c r="H859" s="30"/>
      <c r="I859" s="29"/>
      <c r="J859" s="30"/>
      <c r="K859" s="30"/>
      <c r="L859" s="29"/>
      <c r="M859" s="32" t="str">
        <f aca="false">IF(OR(C859="",L859=""),"",IF(C859=L859,"同一","変更"))</f>
        <v/>
      </c>
      <c r="N859" s="29"/>
      <c r="O859" s="30"/>
      <c r="P859" s="29"/>
      <c r="Q859" s="31"/>
      <c r="R859" s="29"/>
      <c r="S859" s="29"/>
      <c r="T859" s="30"/>
      <c r="U859" s="47" t="str">
        <f aca="false">IF(AND(B859&lt;&gt;"",B859=SW別シート!$C$3),COUNTIF(B$5:B859,B859),"")</f>
        <v/>
      </c>
      <c r="V859" s="47" t="n">
        <f aca="false">V858+IF(OR(O859&lt;&gt;"",W859&lt;&gt;""),1,0)</f>
        <v>3</v>
      </c>
      <c r="W859" s="29"/>
    </row>
    <row r="860" customFormat="false" ht="15" hidden="false" customHeight="false" outlineLevel="0" collapsed="false">
      <c r="A860" s="32" t="str">
        <f aca="false">IF(B860="","",ROW()-7)</f>
        <v/>
      </c>
      <c r="B860" s="30"/>
      <c r="C860" s="29"/>
      <c r="D860" s="29"/>
      <c r="E860" s="29"/>
      <c r="F860" s="30"/>
      <c r="G860" s="29"/>
      <c r="H860" s="30"/>
      <c r="I860" s="29"/>
      <c r="J860" s="30"/>
      <c r="K860" s="30"/>
      <c r="L860" s="29"/>
      <c r="M860" s="32" t="str">
        <f aca="false">IF(OR(C860="",L860=""),"",IF(C860=L860,"同一","変更"))</f>
        <v/>
      </c>
      <c r="N860" s="29"/>
      <c r="O860" s="30"/>
      <c r="P860" s="29"/>
      <c r="Q860" s="31"/>
      <c r="R860" s="29"/>
      <c r="S860" s="29"/>
      <c r="T860" s="30"/>
      <c r="U860" s="47" t="str">
        <f aca="false">IF(AND(B860&lt;&gt;"",B860=SW別シート!$C$3),COUNTIF(B$5:B860,B860),"")</f>
        <v/>
      </c>
      <c r="V860" s="47" t="n">
        <f aca="false">V859+IF(OR(O860&lt;&gt;"",W860&lt;&gt;""),1,0)</f>
        <v>3</v>
      </c>
      <c r="W860" s="29"/>
    </row>
    <row r="861" customFormat="false" ht="15" hidden="false" customHeight="false" outlineLevel="0" collapsed="false">
      <c r="A861" s="32" t="str">
        <f aca="false">IF(B861="","",ROW()-7)</f>
        <v/>
      </c>
      <c r="B861" s="30"/>
      <c r="C861" s="29"/>
      <c r="D861" s="29"/>
      <c r="E861" s="29"/>
      <c r="F861" s="30"/>
      <c r="G861" s="29"/>
      <c r="H861" s="30"/>
      <c r="I861" s="29"/>
      <c r="J861" s="30"/>
      <c r="K861" s="30"/>
      <c r="L861" s="29"/>
      <c r="M861" s="32" t="str">
        <f aca="false">IF(OR(C861="",L861=""),"",IF(C861=L861,"同一","変更"))</f>
        <v/>
      </c>
      <c r="N861" s="29"/>
      <c r="O861" s="30"/>
      <c r="P861" s="29"/>
      <c r="Q861" s="31"/>
      <c r="R861" s="29"/>
      <c r="S861" s="29"/>
      <c r="T861" s="30"/>
      <c r="U861" s="47" t="str">
        <f aca="false">IF(AND(B861&lt;&gt;"",B861=SW別シート!$C$3),COUNTIF(B$5:B861,B861),"")</f>
        <v/>
      </c>
      <c r="V861" s="47" t="n">
        <f aca="false">V860+IF(OR(O861&lt;&gt;"",W861&lt;&gt;""),1,0)</f>
        <v>3</v>
      </c>
      <c r="W861" s="29"/>
    </row>
    <row r="862" customFormat="false" ht="15" hidden="false" customHeight="false" outlineLevel="0" collapsed="false">
      <c r="A862" s="32" t="str">
        <f aca="false">IF(B862="","",ROW()-7)</f>
        <v/>
      </c>
      <c r="B862" s="30"/>
      <c r="C862" s="29"/>
      <c r="D862" s="29"/>
      <c r="E862" s="29"/>
      <c r="F862" s="30"/>
      <c r="G862" s="29"/>
      <c r="H862" s="30"/>
      <c r="I862" s="29"/>
      <c r="J862" s="30"/>
      <c r="K862" s="30"/>
      <c r="L862" s="29"/>
      <c r="M862" s="32" t="str">
        <f aca="false">IF(OR(C862="",L862=""),"",IF(C862=L862,"同一","変更"))</f>
        <v/>
      </c>
      <c r="N862" s="29"/>
      <c r="O862" s="30"/>
      <c r="P862" s="29"/>
      <c r="Q862" s="31"/>
      <c r="R862" s="29"/>
      <c r="S862" s="29"/>
      <c r="T862" s="30"/>
      <c r="U862" s="47" t="str">
        <f aca="false">IF(AND(B862&lt;&gt;"",B862=SW別シート!$C$3),COUNTIF(B$5:B862,B862),"")</f>
        <v/>
      </c>
      <c r="V862" s="47" t="n">
        <f aca="false">V861+IF(OR(O862&lt;&gt;"",W862&lt;&gt;""),1,0)</f>
        <v>3</v>
      </c>
      <c r="W862" s="29"/>
    </row>
    <row r="863" customFormat="false" ht="15" hidden="false" customHeight="false" outlineLevel="0" collapsed="false">
      <c r="A863" s="32" t="str">
        <f aca="false">IF(B863="","",ROW()-7)</f>
        <v/>
      </c>
      <c r="B863" s="30"/>
      <c r="C863" s="29"/>
      <c r="D863" s="29"/>
      <c r="E863" s="29"/>
      <c r="F863" s="30"/>
      <c r="G863" s="29"/>
      <c r="H863" s="30"/>
      <c r="I863" s="29"/>
      <c r="J863" s="30"/>
      <c r="K863" s="30"/>
      <c r="L863" s="29"/>
      <c r="M863" s="32" t="str">
        <f aca="false">IF(OR(C863="",L863=""),"",IF(C863=L863,"同一","変更"))</f>
        <v/>
      </c>
      <c r="N863" s="29"/>
      <c r="O863" s="30"/>
      <c r="P863" s="29"/>
      <c r="Q863" s="31"/>
      <c r="R863" s="29"/>
      <c r="S863" s="29"/>
      <c r="T863" s="30"/>
      <c r="U863" s="47" t="str">
        <f aca="false">IF(AND(B863&lt;&gt;"",B863=SW別シート!$C$3),COUNTIF(B$5:B863,B863),"")</f>
        <v/>
      </c>
      <c r="V863" s="47" t="n">
        <f aca="false">V862+IF(OR(O863&lt;&gt;"",W863&lt;&gt;""),1,0)</f>
        <v>3</v>
      </c>
      <c r="W863" s="29"/>
    </row>
    <row r="864" customFormat="false" ht="15" hidden="false" customHeight="false" outlineLevel="0" collapsed="false">
      <c r="A864" s="32" t="str">
        <f aca="false">IF(B864="","",ROW()-7)</f>
        <v/>
      </c>
      <c r="B864" s="30"/>
      <c r="C864" s="29"/>
      <c r="D864" s="29"/>
      <c r="E864" s="29"/>
      <c r="F864" s="30"/>
      <c r="G864" s="29"/>
      <c r="H864" s="30"/>
      <c r="I864" s="29"/>
      <c r="J864" s="30"/>
      <c r="K864" s="30"/>
      <c r="L864" s="29"/>
      <c r="M864" s="32" t="str">
        <f aca="false">IF(OR(C864="",L864=""),"",IF(C864=L864,"同一","変更"))</f>
        <v/>
      </c>
      <c r="N864" s="29"/>
      <c r="O864" s="30"/>
      <c r="P864" s="29"/>
      <c r="Q864" s="31"/>
      <c r="R864" s="29"/>
      <c r="S864" s="29"/>
      <c r="T864" s="30"/>
      <c r="U864" s="47" t="str">
        <f aca="false">IF(AND(B864&lt;&gt;"",B864=SW別シート!$C$3),COUNTIF(B$5:B864,B864),"")</f>
        <v/>
      </c>
      <c r="V864" s="47" t="n">
        <f aca="false">V863+IF(OR(O864&lt;&gt;"",W864&lt;&gt;""),1,0)</f>
        <v>3</v>
      </c>
      <c r="W864" s="29"/>
    </row>
    <row r="865" customFormat="false" ht="15" hidden="false" customHeight="false" outlineLevel="0" collapsed="false">
      <c r="A865" s="32" t="str">
        <f aca="false">IF(B865="","",ROW()-7)</f>
        <v/>
      </c>
      <c r="B865" s="30"/>
      <c r="C865" s="29"/>
      <c r="D865" s="29"/>
      <c r="E865" s="29"/>
      <c r="F865" s="30"/>
      <c r="G865" s="29"/>
      <c r="H865" s="30"/>
      <c r="I865" s="29"/>
      <c r="J865" s="30"/>
      <c r="K865" s="30"/>
      <c r="L865" s="29"/>
      <c r="M865" s="32" t="str">
        <f aca="false">IF(OR(C865="",L865=""),"",IF(C865=L865,"同一","変更"))</f>
        <v/>
      </c>
      <c r="N865" s="29"/>
      <c r="O865" s="30"/>
      <c r="P865" s="29"/>
      <c r="Q865" s="31"/>
      <c r="R865" s="29"/>
      <c r="S865" s="29"/>
      <c r="T865" s="30"/>
      <c r="U865" s="47" t="str">
        <f aca="false">IF(AND(B865&lt;&gt;"",B865=SW別シート!$C$3),COUNTIF(B$5:B865,B865),"")</f>
        <v/>
      </c>
      <c r="V865" s="47" t="n">
        <f aca="false">V864+IF(OR(O865&lt;&gt;"",W865&lt;&gt;""),1,0)</f>
        <v>3</v>
      </c>
      <c r="W865" s="29"/>
    </row>
    <row r="866" customFormat="false" ht="15" hidden="false" customHeight="false" outlineLevel="0" collapsed="false">
      <c r="A866" s="32" t="str">
        <f aca="false">IF(B866="","",ROW()-7)</f>
        <v/>
      </c>
      <c r="B866" s="30"/>
      <c r="C866" s="29"/>
      <c r="D866" s="29"/>
      <c r="E866" s="29"/>
      <c r="F866" s="30"/>
      <c r="G866" s="29"/>
      <c r="H866" s="30"/>
      <c r="I866" s="29"/>
      <c r="J866" s="30"/>
      <c r="K866" s="30"/>
      <c r="L866" s="29"/>
      <c r="M866" s="32" t="str">
        <f aca="false">IF(OR(C866="",L866=""),"",IF(C866=L866,"同一","変更"))</f>
        <v/>
      </c>
      <c r="N866" s="29"/>
      <c r="O866" s="30"/>
      <c r="P866" s="29"/>
      <c r="Q866" s="31"/>
      <c r="R866" s="29"/>
      <c r="S866" s="29"/>
      <c r="T866" s="30"/>
      <c r="U866" s="47" t="str">
        <f aca="false">IF(AND(B866&lt;&gt;"",B866=SW別シート!$C$3),COUNTIF(B$5:B866,B866),"")</f>
        <v/>
      </c>
      <c r="V866" s="47" t="n">
        <f aca="false">V865+IF(OR(O866&lt;&gt;"",W866&lt;&gt;""),1,0)</f>
        <v>3</v>
      </c>
      <c r="W866" s="29"/>
    </row>
    <row r="867" customFormat="false" ht="15" hidden="false" customHeight="false" outlineLevel="0" collapsed="false">
      <c r="A867" s="32" t="str">
        <f aca="false">IF(B867="","",ROW()-7)</f>
        <v/>
      </c>
      <c r="B867" s="30"/>
      <c r="C867" s="29"/>
      <c r="D867" s="29"/>
      <c r="E867" s="29"/>
      <c r="F867" s="30"/>
      <c r="G867" s="29"/>
      <c r="H867" s="30"/>
      <c r="I867" s="29"/>
      <c r="J867" s="30"/>
      <c r="K867" s="30"/>
      <c r="L867" s="29"/>
      <c r="M867" s="32" t="str">
        <f aca="false">IF(OR(C867="",L867=""),"",IF(C867=L867,"同一","変更"))</f>
        <v/>
      </c>
      <c r="N867" s="29"/>
      <c r="O867" s="30"/>
      <c r="P867" s="29"/>
      <c r="Q867" s="31"/>
      <c r="R867" s="29"/>
      <c r="S867" s="29"/>
      <c r="T867" s="30"/>
      <c r="U867" s="47" t="str">
        <f aca="false">IF(AND(B867&lt;&gt;"",B867=SW別シート!$C$3),COUNTIF(B$5:B867,B867),"")</f>
        <v/>
      </c>
      <c r="V867" s="47" t="n">
        <f aca="false">V866+IF(OR(O867&lt;&gt;"",W867&lt;&gt;""),1,0)</f>
        <v>3</v>
      </c>
      <c r="W867" s="29"/>
    </row>
    <row r="868" customFormat="false" ht="15" hidden="false" customHeight="false" outlineLevel="0" collapsed="false">
      <c r="A868" s="32" t="str">
        <f aca="false">IF(B868="","",ROW()-7)</f>
        <v/>
      </c>
      <c r="B868" s="30"/>
      <c r="C868" s="29"/>
      <c r="D868" s="29"/>
      <c r="E868" s="29"/>
      <c r="F868" s="30"/>
      <c r="G868" s="29"/>
      <c r="H868" s="30"/>
      <c r="I868" s="29"/>
      <c r="J868" s="30"/>
      <c r="K868" s="30"/>
      <c r="L868" s="29"/>
      <c r="M868" s="32" t="str">
        <f aca="false">IF(OR(C868="",L868=""),"",IF(C868=L868,"同一","変更"))</f>
        <v/>
      </c>
      <c r="N868" s="29"/>
      <c r="O868" s="30"/>
      <c r="P868" s="29"/>
      <c r="Q868" s="31"/>
      <c r="R868" s="29"/>
      <c r="S868" s="29"/>
      <c r="T868" s="30"/>
      <c r="U868" s="47" t="str">
        <f aca="false">IF(AND(B868&lt;&gt;"",B868=SW別シート!$C$3),COUNTIF(B$5:B868,B868),"")</f>
        <v/>
      </c>
      <c r="V868" s="47" t="n">
        <f aca="false">V867+IF(OR(O868&lt;&gt;"",W868&lt;&gt;""),1,0)</f>
        <v>3</v>
      </c>
      <c r="W868" s="29"/>
    </row>
    <row r="869" customFormat="false" ht="15" hidden="false" customHeight="false" outlineLevel="0" collapsed="false">
      <c r="A869" s="32" t="str">
        <f aca="false">IF(B869="","",ROW()-7)</f>
        <v/>
      </c>
      <c r="B869" s="30"/>
      <c r="C869" s="29"/>
      <c r="D869" s="29"/>
      <c r="E869" s="29"/>
      <c r="F869" s="30"/>
      <c r="G869" s="29"/>
      <c r="H869" s="30"/>
      <c r="I869" s="29"/>
      <c r="J869" s="30"/>
      <c r="K869" s="30"/>
      <c r="L869" s="29"/>
      <c r="M869" s="32" t="str">
        <f aca="false">IF(OR(C869="",L869=""),"",IF(C869=L869,"同一","変更"))</f>
        <v/>
      </c>
      <c r="N869" s="29"/>
      <c r="O869" s="30"/>
      <c r="P869" s="29"/>
      <c r="Q869" s="31"/>
      <c r="R869" s="29"/>
      <c r="S869" s="29"/>
      <c r="T869" s="30"/>
      <c r="U869" s="47" t="str">
        <f aca="false">IF(AND(B869&lt;&gt;"",B869=SW別シート!$C$3),COUNTIF(B$5:B869,B869),"")</f>
        <v/>
      </c>
      <c r="V869" s="47" t="n">
        <f aca="false">V868+IF(OR(O869&lt;&gt;"",W869&lt;&gt;""),1,0)</f>
        <v>3</v>
      </c>
      <c r="W869" s="29"/>
    </row>
    <row r="870" customFormat="false" ht="15" hidden="false" customHeight="false" outlineLevel="0" collapsed="false">
      <c r="A870" s="32" t="str">
        <f aca="false">IF(B870="","",ROW()-7)</f>
        <v/>
      </c>
      <c r="B870" s="30"/>
      <c r="C870" s="29"/>
      <c r="D870" s="29"/>
      <c r="E870" s="29"/>
      <c r="F870" s="30"/>
      <c r="G870" s="29"/>
      <c r="H870" s="30"/>
      <c r="I870" s="29"/>
      <c r="J870" s="30"/>
      <c r="K870" s="30"/>
      <c r="L870" s="29"/>
      <c r="M870" s="32" t="str">
        <f aca="false">IF(OR(C870="",L870=""),"",IF(C870=L870,"同一","変更"))</f>
        <v/>
      </c>
      <c r="N870" s="29"/>
      <c r="O870" s="30"/>
      <c r="P870" s="29"/>
      <c r="Q870" s="31"/>
      <c r="R870" s="29"/>
      <c r="S870" s="29"/>
      <c r="T870" s="30"/>
      <c r="U870" s="47" t="str">
        <f aca="false">IF(AND(B870&lt;&gt;"",B870=SW別シート!$C$3),COUNTIF(B$5:B870,B870),"")</f>
        <v/>
      </c>
      <c r="V870" s="47" t="n">
        <f aca="false">V869+IF(OR(O870&lt;&gt;"",W870&lt;&gt;""),1,0)</f>
        <v>3</v>
      </c>
      <c r="W870" s="29"/>
    </row>
    <row r="871" customFormat="false" ht="15" hidden="false" customHeight="false" outlineLevel="0" collapsed="false">
      <c r="A871" s="32" t="str">
        <f aca="false">IF(B871="","",ROW()-7)</f>
        <v/>
      </c>
      <c r="B871" s="30"/>
      <c r="C871" s="29"/>
      <c r="D871" s="29"/>
      <c r="E871" s="29"/>
      <c r="F871" s="30"/>
      <c r="G871" s="29"/>
      <c r="H871" s="30"/>
      <c r="I871" s="29"/>
      <c r="J871" s="30"/>
      <c r="K871" s="30"/>
      <c r="L871" s="29"/>
      <c r="M871" s="32" t="str">
        <f aca="false">IF(OR(C871="",L871=""),"",IF(C871=L871,"同一","変更"))</f>
        <v/>
      </c>
      <c r="N871" s="29"/>
      <c r="O871" s="30"/>
      <c r="P871" s="29"/>
      <c r="Q871" s="31"/>
      <c r="R871" s="29"/>
      <c r="S871" s="29"/>
      <c r="T871" s="30"/>
      <c r="U871" s="47" t="str">
        <f aca="false">IF(AND(B871&lt;&gt;"",B871=SW別シート!$C$3),COUNTIF(B$5:B871,B871),"")</f>
        <v/>
      </c>
      <c r="V871" s="47" t="n">
        <f aca="false">V870+IF(OR(O871&lt;&gt;"",W871&lt;&gt;""),1,0)</f>
        <v>3</v>
      </c>
      <c r="W871" s="29"/>
    </row>
    <row r="872" customFormat="false" ht="15" hidden="false" customHeight="false" outlineLevel="0" collapsed="false">
      <c r="A872" s="32" t="str">
        <f aca="false">IF(B872="","",ROW()-7)</f>
        <v/>
      </c>
      <c r="B872" s="30"/>
      <c r="C872" s="29"/>
      <c r="D872" s="29"/>
      <c r="E872" s="29"/>
      <c r="F872" s="30"/>
      <c r="G872" s="29"/>
      <c r="H872" s="30"/>
      <c r="I872" s="29"/>
      <c r="J872" s="30"/>
      <c r="K872" s="30"/>
      <c r="L872" s="29"/>
      <c r="M872" s="32" t="str">
        <f aca="false">IF(OR(C872="",L872=""),"",IF(C872=L872,"同一","変更"))</f>
        <v/>
      </c>
      <c r="N872" s="29"/>
      <c r="O872" s="30"/>
      <c r="P872" s="29"/>
      <c r="Q872" s="31"/>
      <c r="R872" s="29"/>
      <c r="S872" s="29"/>
      <c r="T872" s="30"/>
      <c r="U872" s="47" t="str">
        <f aca="false">IF(AND(B872&lt;&gt;"",B872=SW別シート!$C$3),COUNTIF(B$5:B872,B872),"")</f>
        <v/>
      </c>
      <c r="V872" s="47" t="n">
        <f aca="false">V871+IF(OR(O872&lt;&gt;"",W872&lt;&gt;""),1,0)</f>
        <v>3</v>
      </c>
      <c r="W872" s="29"/>
    </row>
    <row r="873" customFormat="false" ht="15" hidden="false" customHeight="false" outlineLevel="0" collapsed="false">
      <c r="A873" s="32" t="str">
        <f aca="false">IF(B873="","",ROW()-7)</f>
        <v/>
      </c>
      <c r="B873" s="30"/>
      <c r="C873" s="29"/>
      <c r="D873" s="29"/>
      <c r="E873" s="29"/>
      <c r="F873" s="30"/>
      <c r="G873" s="29"/>
      <c r="H873" s="30"/>
      <c r="I873" s="29"/>
      <c r="J873" s="30"/>
      <c r="K873" s="30"/>
      <c r="L873" s="29"/>
      <c r="M873" s="32" t="str">
        <f aca="false">IF(OR(C873="",L873=""),"",IF(C873=L873,"同一","変更"))</f>
        <v/>
      </c>
      <c r="N873" s="29"/>
      <c r="O873" s="30"/>
      <c r="P873" s="29"/>
      <c r="Q873" s="31"/>
      <c r="R873" s="29"/>
      <c r="S873" s="29"/>
      <c r="T873" s="30"/>
      <c r="U873" s="47" t="str">
        <f aca="false">IF(AND(B873&lt;&gt;"",B873=SW別シート!$C$3),COUNTIF(B$5:B873,B873),"")</f>
        <v/>
      </c>
      <c r="V873" s="47" t="n">
        <f aca="false">V872+IF(OR(O873&lt;&gt;"",W873&lt;&gt;""),1,0)</f>
        <v>3</v>
      </c>
      <c r="W873" s="29"/>
    </row>
    <row r="874" customFormat="false" ht="15" hidden="false" customHeight="false" outlineLevel="0" collapsed="false">
      <c r="A874" s="32" t="str">
        <f aca="false">IF(B874="","",ROW()-7)</f>
        <v/>
      </c>
      <c r="B874" s="30"/>
      <c r="C874" s="29"/>
      <c r="D874" s="29"/>
      <c r="E874" s="29"/>
      <c r="F874" s="30"/>
      <c r="G874" s="29"/>
      <c r="H874" s="30"/>
      <c r="I874" s="29"/>
      <c r="J874" s="30"/>
      <c r="K874" s="30"/>
      <c r="L874" s="29"/>
      <c r="M874" s="32" t="str">
        <f aca="false">IF(OR(C874="",L874=""),"",IF(C874=L874,"同一","変更"))</f>
        <v/>
      </c>
      <c r="N874" s="29"/>
      <c r="O874" s="30"/>
      <c r="P874" s="29"/>
      <c r="Q874" s="31"/>
      <c r="R874" s="29"/>
      <c r="S874" s="29"/>
      <c r="T874" s="30"/>
      <c r="U874" s="47" t="str">
        <f aca="false">IF(AND(B874&lt;&gt;"",B874=SW別シート!$C$3),COUNTIF(B$5:B874,B874),"")</f>
        <v/>
      </c>
      <c r="V874" s="47" t="n">
        <f aca="false">V873+IF(OR(O874&lt;&gt;"",W874&lt;&gt;""),1,0)</f>
        <v>3</v>
      </c>
      <c r="W874" s="29"/>
    </row>
    <row r="875" customFormat="false" ht="15" hidden="false" customHeight="false" outlineLevel="0" collapsed="false">
      <c r="A875" s="32" t="str">
        <f aca="false">IF(B875="","",ROW()-7)</f>
        <v/>
      </c>
      <c r="B875" s="30"/>
      <c r="C875" s="29"/>
      <c r="D875" s="29"/>
      <c r="E875" s="29"/>
      <c r="F875" s="30"/>
      <c r="G875" s="29"/>
      <c r="H875" s="30"/>
      <c r="I875" s="29"/>
      <c r="J875" s="30"/>
      <c r="K875" s="30"/>
      <c r="L875" s="29"/>
      <c r="M875" s="32" t="str">
        <f aca="false">IF(OR(C875="",L875=""),"",IF(C875=L875,"同一","変更"))</f>
        <v/>
      </c>
      <c r="N875" s="29"/>
      <c r="O875" s="30"/>
      <c r="P875" s="29"/>
      <c r="Q875" s="31"/>
      <c r="R875" s="29"/>
      <c r="S875" s="29"/>
      <c r="T875" s="30"/>
      <c r="U875" s="47" t="str">
        <f aca="false">IF(AND(B875&lt;&gt;"",B875=SW別シート!$C$3),COUNTIF(B$5:B875,B875),"")</f>
        <v/>
      </c>
      <c r="V875" s="47" t="n">
        <f aca="false">V874+IF(OR(O875&lt;&gt;"",W875&lt;&gt;""),1,0)</f>
        <v>3</v>
      </c>
      <c r="W875" s="29"/>
    </row>
    <row r="876" customFormat="false" ht="15" hidden="false" customHeight="false" outlineLevel="0" collapsed="false">
      <c r="A876" s="32" t="str">
        <f aca="false">IF(B876="","",ROW()-7)</f>
        <v/>
      </c>
      <c r="B876" s="30"/>
      <c r="C876" s="29"/>
      <c r="D876" s="29"/>
      <c r="E876" s="29"/>
      <c r="F876" s="30"/>
      <c r="G876" s="29"/>
      <c r="H876" s="30"/>
      <c r="I876" s="29"/>
      <c r="J876" s="30"/>
      <c r="K876" s="30"/>
      <c r="L876" s="29"/>
      <c r="M876" s="32" t="str">
        <f aca="false">IF(OR(C876="",L876=""),"",IF(C876=L876,"同一","変更"))</f>
        <v/>
      </c>
      <c r="N876" s="29"/>
      <c r="O876" s="30"/>
      <c r="P876" s="29"/>
      <c r="Q876" s="31"/>
      <c r="R876" s="29"/>
      <c r="S876" s="29"/>
      <c r="T876" s="30"/>
      <c r="U876" s="47" t="str">
        <f aca="false">IF(AND(B876&lt;&gt;"",B876=SW別シート!$C$3),COUNTIF(B$5:B876,B876),"")</f>
        <v/>
      </c>
      <c r="V876" s="47" t="n">
        <f aca="false">V875+IF(OR(O876&lt;&gt;"",W876&lt;&gt;""),1,0)</f>
        <v>3</v>
      </c>
      <c r="W876" s="29"/>
    </row>
    <row r="877" customFormat="false" ht="15" hidden="false" customHeight="false" outlineLevel="0" collapsed="false">
      <c r="A877" s="32" t="str">
        <f aca="false">IF(B877="","",ROW()-7)</f>
        <v/>
      </c>
      <c r="B877" s="30"/>
      <c r="C877" s="29"/>
      <c r="D877" s="29"/>
      <c r="E877" s="29"/>
      <c r="F877" s="30"/>
      <c r="G877" s="29"/>
      <c r="H877" s="30"/>
      <c r="I877" s="29"/>
      <c r="J877" s="30"/>
      <c r="K877" s="30"/>
      <c r="L877" s="29"/>
      <c r="M877" s="32" t="str">
        <f aca="false">IF(OR(C877="",L877=""),"",IF(C877=L877,"同一","変更"))</f>
        <v/>
      </c>
      <c r="N877" s="29"/>
      <c r="O877" s="30"/>
      <c r="P877" s="29"/>
      <c r="Q877" s="31"/>
      <c r="R877" s="29"/>
      <c r="S877" s="29"/>
      <c r="T877" s="30"/>
      <c r="U877" s="47" t="str">
        <f aca="false">IF(AND(B877&lt;&gt;"",B877=SW別シート!$C$3),COUNTIF(B$5:B877,B877),"")</f>
        <v/>
      </c>
      <c r="V877" s="47" t="n">
        <f aca="false">V876+IF(OR(O877&lt;&gt;"",W877&lt;&gt;""),1,0)</f>
        <v>3</v>
      </c>
      <c r="W877" s="29"/>
    </row>
    <row r="878" customFormat="false" ht="15" hidden="false" customHeight="false" outlineLevel="0" collapsed="false">
      <c r="A878" s="32" t="str">
        <f aca="false">IF(B878="","",ROW()-7)</f>
        <v/>
      </c>
      <c r="B878" s="30"/>
      <c r="C878" s="29"/>
      <c r="D878" s="29"/>
      <c r="E878" s="29"/>
      <c r="F878" s="30"/>
      <c r="G878" s="29"/>
      <c r="H878" s="30"/>
      <c r="I878" s="29"/>
      <c r="J878" s="30"/>
      <c r="K878" s="30"/>
      <c r="L878" s="29"/>
      <c r="M878" s="32" t="str">
        <f aca="false">IF(OR(C878="",L878=""),"",IF(C878=L878,"同一","変更"))</f>
        <v/>
      </c>
      <c r="N878" s="29"/>
      <c r="O878" s="30"/>
      <c r="P878" s="29"/>
      <c r="Q878" s="31"/>
      <c r="R878" s="29"/>
      <c r="S878" s="29"/>
      <c r="T878" s="30"/>
      <c r="U878" s="47" t="str">
        <f aca="false">IF(AND(B878&lt;&gt;"",B878=SW別シート!$C$3),COUNTIF(B$5:B878,B878),"")</f>
        <v/>
      </c>
      <c r="V878" s="47" t="n">
        <f aca="false">V877+IF(OR(O878&lt;&gt;"",W878&lt;&gt;""),1,0)</f>
        <v>3</v>
      </c>
      <c r="W878" s="29"/>
    </row>
    <row r="879" customFormat="false" ht="15" hidden="false" customHeight="false" outlineLevel="0" collapsed="false">
      <c r="A879" s="32" t="str">
        <f aca="false">IF(B879="","",ROW()-7)</f>
        <v/>
      </c>
      <c r="B879" s="30"/>
      <c r="C879" s="29"/>
      <c r="D879" s="29"/>
      <c r="E879" s="29"/>
      <c r="F879" s="30"/>
      <c r="G879" s="29"/>
      <c r="H879" s="30"/>
      <c r="I879" s="29"/>
      <c r="J879" s="30"/>
      <c r="K879" s="30"/>
      <c r="L879" s="29"/>
      <c r="M879" s="32" t="str">
        <f aca="false">IF(OR(C879="",L879=""),"",IF(C879=L879,"同一","変更"))</f>
        <v/>
      </c>
      <c r="N879" s="29"/>
      <c r="O879" s="30"/>
      <c r="P879" s="29"/>
      <c r="Q879" s="31"/>
      <c r="R879" s="29"/>
      <c r="S879" s="29"/>
      <c r="T879" s="30"/>
      <c r="U879" s="47" t="str">
        <f aca="false">IF(AND(B879&lt;&gt;"",B879=SW別シート!$C$3),COUNTIF(B$5:B879,B879),"")</f>
        <v/>
      </c>
      <c r="V879" s="47" t="n">
        <f aca="false">V878+IF(OR(O879&lt;&gt;"",W879&lt;&gt;""),1,0)</f>
        <v>3</v>
      </c>
      <c r="W879" s="29"/>
    </row>
    <row r="880" customFormat="false" ht="15" hidden="false" customHeight="false" outlineLevel="0" collapsed="false">
      <c r="A880" s="32" t="str">
        <f aca="false">IF(B880="","",ROW()-7)</f>
        <v/>
      </c>
      <c r="B880" s="30"/>
      <c r="C880" s="29"/>
      <c r="D880" s="29"/>
      <c r="E880" s="29"/>
      <c r="F880" s="30"/>
      <c r="G880" s="29"/>
      <c r="H880" s="30"/>
      <c r="I880" s="29"/>
      <c r="J880" s="30"/>
      <c r="K880" s="30"/>
      <c r="L880" s="29"/>
      <c r="M880" s="32" t="str">
        <f aca="false">IF(OR(C880="",L880=""),"",IF(C880=L880,"同一","変更"))</f>
        <v/>
      </c>
      <c r="N880" s="29"/>
      <c r="O880" s="30"/>
      <c r="P880" s="29"/>
      <c r="Q880" s="31"/>
      <c r="R880" s="29"/>
      <c r="S880" s="29"/>
      <c r="T880" s="30"/>
      <c r="U880" s="47" t="str">
        <f aca="false">IF(AND(B880&lt;&gt;"",B880=SW別シート!$C$3),COUNTIF(B$5:B880,B880),"")</f>
        <v/>
      </c>
      <c r="V880" s="47" t="n">
        <f aca="false">V879+IF(OR(O880&lt;&gt;"",W880&lt;&gt;""),1,0)</f>
        <v>3</v>
      </c>
      <c r="W880" s="29"/>
    </row>
    <row r="881" customFormat="false" ht="15" hidden="false" customHeight="false" outlineLevel="0" collapsed="false">
      <c r="A881" s="32" t="str">
        <f aca="false">IF(B881="","",ROW()-7)</f>
        <v/>
      </c>
      <c r="B881" s="30"/>
      <c r="C881" s="29"/>
      <c r="D881" s="29"/>
      <c r="E881" s="29"/>
      <c r="F881" s="30"/>
      <c r="G881" s="29"/>
      <c r="H881" s="30"/>
      <c r="I881" s="29"/>
      <c r="J881" s="30"/>
      <c r="K881" s="30"/>
      <c r="L881" s="29"/>
      <c r="M881" s="32" t="str">
        <f aca="false">IF(OR(C881="",L881=""),"",IF(C881=L881,"同一","変更"))</f>
        <v/>
      </c>
      <c r="N881" s="29"/>
      <c r="O881" s="30"/>
      <c r="P881" s="29"/>
      <c r="Q881" s="31"/>
      <c r="R881" s="29"/>
      <c r="S881" s="29"/>
      <c r="T881" s="30"/>
      <c r="U881" s="47" t="str">
        <f aca="false">IF(AND(B881&lt;&gt;"",B881=SW別シート!$C$3),COUNTIF(B$5:B881,B881),"")</f>
        <v/>
      </c>
      <c r="V881" s="47" t="n">
        <f aca="false">V880+IF(OR(O881&lt;&gt;"",W881&lt;&gt;""),1,0)</f>
        <v>3</v>
      </c>
      <c r="W881" s="29"/>
    </row>
    <row r="882" customFormat="false" ht="15" hidden="false" customHeight="false" outlineLevel="0" collapsed="false">
      <c r="A882" s="32" t="str">
        <f aca="false">IF(B882="","",ROW()-7)</f>
        <v/>
      </c>
      <c r="B882" s="30"/>
      <c r="C882" s="29"/>
      <c r="D882" s="29"/>
      <c r="E882" s="29"/>
      <c r="F882" s="30"/>
      <c r="G882" s="29"/>
      <c r="H882" s="30"/>
      <c r="I882" s="29"/>
      <c r="J882" s="30"/>
      <c r="K882" s="30"/>
      <c r="L882" s="29"/>
      <c r="M882" s="32" t="str">
        <f aca="false">IF(OR(C882="",L882=""),"",IF(C882=L882,"同一","変更"))</f>
        <v/>
      </c>
      <c r="N882" s="29"/>
      <c r="O882" s="30"/>
      <c r="P882" s="29"/>
      <c r="Q882" s="31"/>
      <c r="R882" s="29"/>
      <c r="S882" s="29"/>
      <c r="T882" s="30"/>
      <c r="U882" s="47" t="str">
        <f aca="false">IF(AND(B882&lt;&gt;"",B882=SW別シート!$C$3),COUNTIF(B$5:B882,B882),"")</f>
        <v/>
      </c>
      <c r="V882" s="47" t="n">
        <f aca="false">V881+IF(OR(O882&lt;&gt;"",W882&lt;&gt;""),1,0)</f>
        <v>3</v>
      </c>
      <c r="W882" s="29"/>
    </row>
    <row r="883" customFormat="false" ht="15" hidden="false" customHeight="false" outlineLevel="0" collapsed="false">
      <c r="A883" s="32" t="str">
        <f aca="false">IF(B883="","",ROW()-7)</f>
        <v/>
      </c>
      <c r="B883" s="30"/>
      <c r="C883" s="29"/>
      <c r="D883" s="29"/>
      <c r="E883" s="29"/>
      <c r="F883" s="30"/>
      <c r="G883" s="29"/>
      <c r="H883" s="30"/>
      <c r="I883" s="29"/>
      <c r="J883" s="30"/>
      <c r="K883" s="30"/>
      <c r="L883" s="29"/>
      <c r="M883" s="32" t="str">
        <f aca="false">IF(OR(C883="",L883=""),"",IF(C883=L883,"同一","変更"))</f>
        <v/>
      </c>
      <c r="N883" s="29"/>
      <c r="O883" s="30"/>
      <c r="P883" s="29"/>
      <c r="Q883" s="31"/>
      <c r="R883" s="29"/>
      <c r="S883" s="29"/>
      <c r="T883" s="30"/>
      <c r="U883" s="47" t="str">
        <f aca="false">IF(AND(B883&lt;&gt;"",B883=SW別シート!$C$3),COUNTIF(B$5:B883,B883),"")</f>
        <v/>
      </c>
      <c r="V883" s="47" t="n">
        <f aca="false">V882+IF(OR(O883&lt;&gt;"",W883&lt;&gt;""),1,0)</f>
        <v>3</v>
      </c>
      <c r="W883" s="29"/>
    </row>
    <row r="884" customFormat="false" ht="15" hidden="false" customHeight="false" outlineLevel="0" collapsed="false">
      <c r="A884" s="32" t="str">
        <f aca="false">IF(B884="","",ROW()-7)</f>
        <v/>
      </c>
      <c r="B884" s="30"/>
      <c r="C884" s="29"/>
      <c r="D884" s="29"/>
      <c r="E884" s="29"/>
      <c r="F884" s="30"/>
      <c r="G884" s="29"/>
      <c r="H884" s="30"/>
      <c r="I884" s="29"/>
      <c r="J884" s="30"/>
      <c r="K884" s="30"/>
      <c r="L884" s="29"/>
      <c r="M884" s="32" t="str">
        <f aca="false">IF(OR(C884="",L884=""),"",IF(C884=L884,"同一","変更"))</f>
        <v/>
      </c>
      <c r="N884" s="29"/>
      <c r="O884" s="30"/>
      <c r="P884" s="29"/>
      <c r="Q884" s="31"/>
      <c r="R884" s="29"/>
      <c r="S884" s="29"/>
      <c r="T884" s="30"/>
      <c r="U884" s="47" t="str">
        <f aca="false">IF(AND(B884&lt;&gt;"",B884=SW別シート!$C$3),COUNTIF(B$5:B884,B884),"")</f>
        <v/>
      </c>
      <c r="V884" s="47" t="n">
        <f aca="false">V883+IF(OR(O884&lt;&gt;"",W884&lt;&gt;""),1,0)</f>
        <v>3</v>
      </c>
      <c r="W884" s="29"/>
    </row>
    <row r="885" customFormat="false" ht="15" hidden="false" customHeight="false" outlineLevel="0" collapsed="false">
      <c r="A885" s="32" t="str">
        <f aca="false">IF(B885="","",ROW()-7)</f>
        <v/>
      </c>
      <c r="B885" s="30"/>
      <c r="C885" s="29"/>
      <c r="D885" s="29"/>
      <c r="E885" s="29"/>
      <c r="F885" s="30"/>
      <c r="G885" s="29"/>
      <c r="H885" s="30"/>
      <c r="I885" s="29"/>
      <c r="J885" s="30"/>
      <c r="K885" s="30"/>
      <c r="L885" s="29"/>
      <c r="M885" s="32" t="str">
        <f aca="false">IF(OR(C885="",L885=""),"",IF(C885=L885,"同一","変更"))</f>
        <v/>
      </c>
      <c r="N885" s="29"/>
      <c r="O885" s="30"/>
      <c r="P885" s="29"/>
      <c r="Q885" s="31"/>
      <c r="R885" s="29"/>
      <c r="S885" s="29"/>
      <c r="T885" s="30"/>
      <c r="U885" s="47" t="str">
        <f aca="false">IF(AND(B885&lt;&gt;"",B885=SW別シート!$C$3),COUNTIF(B$5:B885,B885),"")</f>
        <v/>
      </c>
      <c r="V885" s="47" t="n">
        <f aca="false">V884+IF(OR(O885&lt;&gt;"",W885&lt;&gt;""),1,0)</f>
        <v>3</v>
      </c>
      <c r="W885" s="29"/>
    </row>
    <row r="886" customFormat="false" ht="15" hidden="false" customHeight="false" outlineLevel="0" collapsed="false">
      <c r="A886" s="32" t="str">
        <f aca="false">IF(B886="","",ROW()-7)</f>
        <v/>
      </c>
      <c r="B886" s="30"/>
      <c r="C886" s="29"/>
      <c r="D886" s="29"/>
      <c r="E886" s="29"/>
      <c r="F886" s="30"/>
      <c r="G886" s="29"/>
      <c r="H886" s="30"/>
      <c r="I886" s="29"/>
      <c r="J886" s="30"/>
      <c r="K886" s="30"/>
      <c r="L886" s="29"/>
      <c r="M886" s="32" t="str">
        <f aca="false">IF(OR(C886="",L886=""),"",IF(C886=L886,"同一","変更"))</f>
        <v/>
      </c>
      <c r="N886" s="29"/>
      <c r="O886" s="30"/>
      <c r="P886" s="29"/>
      <c r="Q886" s="31"/>
      <c r="R886" s="29"/>
      <c r="S886" s="29"/>
      <c r="T886" s="30"/>
      <c r="U886" s="47" t="str">
        <f aca="false">IF(AND(B886&lt;&gt;"",B886=SW別シート!$C$3),COUNTIF(B$5:B886,B886),"")</f>
        <v/>
      </c>
      <c r="V886" s="47" t="n">
        <f aca="false">V885+IF(OR(O886&lt;&gt;"",W886&lt;&gt;""),1,0)</f>
        <v>3</v>
      </c>
      <c r="W886" s="29"/>
    </row>
    <row r="887" customFormat="false" ht="15" hidden="false" customHeight="false" outlineLevel="0" collapsed="false">
      <c r="A887" s="32" t="str">
        <f aca="false">IF(B887="","",ROW()-7)</f>
        <v/>
      </c>
      <c r="B887" s="30"/>
      <c r="C887" s="29"/>
      <c r="D887" s="29"/>
      <c r="E887" s="29"/>
      <c r="F887" s="30"/>
      <c r="G887" s="29"/>
      <c r="H887" s="30"/>
      <c r="I887" s="29"/>
      <c r="J887" s="30"/>
      <c r="K887" s="30"/>
      <c r="L887" s="29"/>
      <c r="M887" s="32" t="str">
        <f aca="false">IF(OR(C887="",L887=""),"",IF(C887=L887,"同一","変更"))</f>
        <v/>
      </c>
      <c r="N887" s="29"/>
      <c r="O887" s="30"/>
      <c r="P887" s="29"/>
      <c r="Q887" s="31"/>
      <c r="R887" s="29"/>
      <c r="S887" s="29"/>
      <c r="T887" s="30"/>
      <c r="U887" s="47" t="str">
        <f aca="false">IF(AND(B887&lt;&gt;"",B887=SW別シート!$C$3),COUNTIF(B$5:B887,B887),"")</f>
        <v/>
      </c>
      <c r="V887" s="47" t="n">
        <f aca="false">V886+IF(OR(O887&lt;&gt;"",W887&lt;&gt;""),1,0)</f>
        <v>3</v>
      </c>
      <c r="W887" s="29"/>
    </row>
    <row r="888" customFormat="false" ht="15" hidden="false" customHeight="false" outlineLevel="0" collapsed="false">
      <c r="A888" s="32" t="str">
        <f aca="false">IF(B888="","",ROW()-7)</f>
        <v/>
      </c>
      <c r="B888" s="30"/>
      <c r="C888" s="29"/>
      <c r="D888" s="29"/>
      <c r="E888" s="29"/>
      <c r="F888" s="30"/>
      <c r="G888" s="29"/>
      <c r="H888" s="30"/>
      <c r="I888" s="29"/>
      <c r="J888" s="30"/>
      <c r="K888" s="30"/>
      <c r="L888" s="29"/>
      <c r="M888" s="32" t="str">
        <f aca="false">IF(OR(C888="",L888=""),"",IF(C888=L888,"同一","変更"))</f>
        <v/>
      </c>
      <c r="N888" s="29"/>
      <c r="O888" s="30"/>
      <c r="P888" s="29"/>
      <c r="Q888" s="31"/>
      <c r="R888" s="29"/>
      <c r="S888" s="29"/>
      <c r="T888" s="30"/>
      <c r="U888" s="47" t="str">
        <f aca="false">IF(AND(B888&lt;&gt;"",B888=SW別シート!$C$3),COUNTIF(B$5:B888,B888),"")</f>
        <v/>
      </c>
      <c r="V888" s="47" t="n">
        <f aca="false">V887+IF(OR(O888&lt;&gt;"",W888&lt;&gt;""),1,0)</f>
        <v>3</v>
      </c>
      <c r="W888" s="29"/>
    </row>
    <row r="889" customFormat="false" ht="15" hidden="false" customHeight="false" outlineLevel="0" collapsed="false">
      <c r="A889" s="32" t="str">
        <f aca="false">IF(B889="","",ROW()-7)</f>
        <v/>
      </c>
      <c r="B889" s="30"/>
      <c r="C889" s="29"/>
      <c r="D889" s="29"/>
      <c r="E889" s="29"/>
      <c r="F889" s="30"/>
      <c r="G889" s="29"/>
      <c r="H889" s="30"/>
      <c r="I889" s="29"/>
      <c r="J889" s="30"/>
      <c r="K889" s="30"/>
      <c r="L889" s="29"/>
      <c r="M889" s="32" t="str">
        <f aca="false">IF(OR(C889="",L889=""),"",IF(C889=L889,"同一","変更"))</f>
        <v/>
      </c>
      <c r="N889" s="29"/>
      <c r="O889" s="30"/>
      <c r="P889" s="29"/>
      <c r="Q889" s="31"/>
      <c r="R889" s="29"/>
      <c r="S889" s="29"/>
      <c r="T889" s="30"/>
      <c r="U889" s="47" t="str">
        <f aca="false">IF(AND(B889&lt;&gt;"",B889=SW別シート!$C$3),COUNTIF(B$5:B889,B889),"")</f>
        <v/>
      </c>
      <c r="V889" s="47" t="n">
        <f aca="false">V888+IF(OR(O889&lt;&gt;"",W889&lt;&gt;""),1,0)</f>
        <v>3</v>
      </c>
      <c r="W889" s="29"/>
    </row>
    <row r="890" customFormat="false" ht="15" hidden="false" customHeight="false" outlineLevel="0" collapsed="false">
      <c r="A890" s="32" t="str">
        <f aca="false">IF(B890="","",ROW()-7)</f>
        <v/>
      </c>
      <c r="B890" s="30"/>
      <c r="C890" s="29"/>
      <c r="D890" s="29"/>
      <c r="E890" s="29"/>
      <c r="F890" s="30"/>
      <c r="G890" s="29"/>
      <c r="H890" s="30"/>
      <c r="I890" s="29"/>
      <c r="J890" s="30"/>
      <c r="K890" s="30"/>
      <c r="L890" s="29"/>
      <c r="M890" s="32" t="str">
        <f aca="false">IF(OR(C890="",L890=""),"",IF(C890=L890,"同一","変更"))</f>
        <v/>
      </c>
      <c r="N890" s="29"/>
      <c r="O890" s="30"/>
      <c r="P890" s="29"/>
      <c r="Q890" s="31"/>
      <c r="R890" s="29"/>
      <c r="S890" s="29"/>
      <c r="T890" s="30"/>
      <c r="U890" s="47" t="str">
        <f aca="false">IF(AND(B890&lt;&gt;"",B890=SW別シート!$C$3),COUNTIF(B$5:B890,B890),"")</f>
        <v/>
      </c>
      <c r="V890" s="47" t="n">
        <f aca="false">V889+IF(OR(O890&lt;&gt;"",W890&lt;&gt;""),1,0)</f>
        <v>3</v>
      </c>
      <c r="W890" s="29"/>
    </row>
    <row r="891" customFormat="false" ht="15" hidden="false" customHeight="false" outlineLevel="0" collapsed="false">
      <c r="A891" s="32" t="str">
        <f aca="false">IF(B891="","",ROW()-7)</f>
        <v/>
      </c>
      <c r="B891" s="30"/>
      <c r="C891" s="29"/>
      <c r="D891" s="29"/>
      <c r="E891" s="29"/>
      <c r="F891" s="30"/>
      <c r="G891" s="29"/>
      <c r="H891" s="30"/>
      <c r="I891" s="29"/>
      <c r="J891" s="30"/>
      <c r="K891" s="30"/>
      <c r="L891" s="29"/>
      <c r="M891" s="32" t="str">
        <f aca="false">IF(OR(C891="",L891=""),"",IF(C891=L891,"同一","変更"))</f>
        <v/>
      </c>
      <c r="N891" s="29"/>
      <c r="O891" s="30"/>
      <c r="P891" s="29"/>
      <c r="Q891" s="31"/>
      <c r="R891" s="29"/>
      <c r="S891" s="29"/>
      <c r="T891" s="30"/>
      <c r="U891" s="47" t="str">
        <f aca="false">IF(AND(B891&lt;&gt;"",B891=SW別シート!$C$3),COUNTIF(B$5:B891,B891),"")</f>
        <v/>
      </c>
      <c r="V891" s="47" t="n">
        <f aca="false">V890+IF(OR(O891&lt;&gt;"",W891&lt;&gt;""),1,0)</f>
        <v>3</v>
      </c>
      <c r="W891" s="29"/>
    </row>
    <row r="892" customFormat="false" ht="15" hidden="false" customHeight="false" outlineLevel="0" collapsed="false">
      <c r="A892" s="32" t="str">
        <f aca="false">IF(B892="","",ROW()-7)</f>
        <v/>
      </c>
      <c r="B892" s="30"/>
      <c r="C892" s="29"/>
      <c r="D892" s="29"/>
      <c r="E892" s="29"/>
      <c r="F892" s="30"/>
      <c r="G892" s="29"/>
      <c r="H892" s="30"/>
      <c r="I892" s="29"/>
      <c r="J892" s="30"/>
      <c r="K892" s="30"/>
      <c r="L892" s="29"/>
      <c r="M892" s="32" t="str">
        <f aca="false">IF(OR(C892="",L892=""),"",IF(C892=L892,"同一","変更"))</f>
        <v/>
      </c>
      <c r="N892" s="29"/>
      <c r="O892" s="30"/>
      <c r="P892" s="29"/>
      <c r="Q892" s="31"/>
      <c r="R892" s="29"/>
      <c r="S892" s="29"/>
      <c r="T892" s="30"/>
      <c r="U892" s="47" t="str">
        <f aca="false">IF(AND(B892&lt;&gt;"",B892=SW別シート!$C$3),COUNTIF(B$5:B892,B892),"")</f>
        <v/>
      </c>
      <c r="V892" s="47" t="n">
        <f aca="false">V891+IF(OR(O892&lt;&gt;"",W892&lt;&gt;""),1,0)</f>
        <v>3</v>
      </c>
      <c r="W892" s="29"/>
    </row>
    <row r="893" customFormat="false" ht="15" hidden="false" customHeight="false" outlineLevel="0" collapsed="false">
      <c r="A893" s="32" t="str">
        <f aca="false">IF(B893="","",ROW()-7)</f>
        <v/>
      </c>
      <c r="B893" s="30"/>
      <c r="C893" s="29"/>
      <c r="D893" s="29"/>
      <c r="E893" s="29"/>
      <c r="F893" s="30"/>
      <c r="G893" s="29"/>
      <c r="H893" s="30"/>
      <c r="I893" s="29"/>
      <c r="J893" s="30"/>
      <c r="K893" s="30"/>
      <c r="L893" s="29"/>
      <c r="M893" s="32" t="str">
        <f aca="false">IF(OR(C893="",L893=""),"",IF(C893=L893,"同一","変更"))</f>
        <v/>
      </c>
      <c r="N893" s="29"/>
      <c r="O893" s="30"/>
      <c r="P893" s="29"/>
      <c r="Q893" s="31"/>
      <c r="R893" s="29"/>
      <c r="S893" s="29"/>
      <c r="T893" s="30"/>
      <c r="U893" s="47" t="str">
        <f aca="false">IF(AND(B893&lt;&gt;"",B893=SW別シート!$C$3),COUNTIF(B$5:B893,B893),"")</f>
        <v/>
      </c>
      <c r="V893" s="47" t="n">
        <f aca="false">V892+IF(OR(O893&lt;&gt;"",W893&lt;&gt;""),1,0)</f>
        <v>3</v>
      </c>
      <c r="W893" s="29"/>
    </row>
    <row r="894" customFormat="false" ht="15" hidden="false" customHeight="false" outlineLevel="0" collapsed="false">
      <c r="A894" s="32" t="str">
        <f aca="false">IF(B894="","",ROW()-7)</f>
        <v/>
      </c>
      <c r="B894" s="30"/>
      <c r="C894" s="29"/>
      <c r="D894" s="29"/>
      <c r="E894" s="29"/>
      <c r="F894" s="30"/>
      <c r="G894" s="29"/>
      <c r="H894" s="30"/>
      <c r="I894" s="29"/>
      <c r="J894" s="30"/>
      <c r="K894" s="30"/>
      <c r="L894" s="29"/>
      <c r="M894" s="32" t="str">
        <f aca="false">IF(OR(C894="",L894=""),"",IF(C894=L894,"同一","変更"))</f>
        <v/>
      </c>
      <c r="N894" s="29"/>
      <c r="O894" s="30"/>
      <c r="P894" s="29"/>
      <c r="Q894" s="31"/>
      <c r="R894" s="29"/>
      <c r="S894" s="29"/>
      <c r="T894" s="30"/>
      <c r="U894" s="47" t="str">
        <f aca="false">IF(AND(B894&lt;&gt;"",B894=SW別シート!$C$3),COUNTIF(B$5:B894,B894),"")</f>
        <v/>
      </c>
      <c r="V894" s="47" t="n">
        <f aca="false">V893+IF(OR(O894&lt;&gt;"",W894&lt;&gt;""),1,0)</f>
        <v>3</v>
      </c>
      <c r="W894" s="29"/>
    </row>
    <row r="895" customFormat="false" ht="15" hidden="false" customHeight="false" outlineLevel="0" collapsed="false">
      <c r="A895" s="32" t="str">
        <f aca="false">IF(B895="","",ROW()-7)</f>
        <v/>
      </c>
      <c r="B895" s="30"/>
      <c r="C895" s="29"/>
      <c r="D895" s="29"/>
      <c r="E895" s="29"/>
      <c r="F895" s="30"/>
      <c r="G895" s="29"/>
      <c r="H895" s="30"/>
      <c r="I895" s="29"/>
      <c r="J895" s="30"/>
      <c r="K895" s="30"/>
      <c r="L895" s="29"/>
      <c r="M895" s="32" t="str">
        <f aca="false">IF(OR(C895="",L895=""),"",IF(C895=L895,"同一","変更"))</f>
        <v/>
      </c>
      <c r="N895" s="29"/>
      <c r="O895" s="30"/>
      <c r="P895" s="29"/>
      <c r="Q895" s="31"/>
      <c r="R895" s="29"/>
      <c r="S895" s="29"/>
      <c r="T895" s="30"/>
      <c r="U895" s="47" t="str">
        <f aca="false">IF(AND(B895&lt;&gt;"",B895=SW別シート!$C$3),COUNTIF(B$5:B895,B895),"")</f>
        <v/>
      </c>
      <c r="V895" s="47" t="n">
        <f aca="false">V894+IF(OR(O895&lt;&gt;"",W895&lt;&gt;""),1,0)</f>
        <v>3</v>
      </c>
      <c r="W895" s="29"/>
    </row>
    <row r="896" customFormat="false" ht="15" hidden="false" customHeight="false" outlineLevel="0" collapsed="false">
      <c r="A896" s="32" t="str">
        <f aca="false">IF(B896="","",ROW()-7)</f>
        <v/>
      </c>
      <c r="B896" s="30"/>
      <c r="C896" s="29"/>
      <c r="D896" s="29"/>
      <c r="E896" s="29"/>
      <c r="F896" s="30"/>
      <c r="G896" s="29"/>
      <c r="H896" s="30"/>
      <c r="I896" s="29"/>
      <c r="J896" s="30"/>
      <c r="K896" s="30"/>
      <c r="L896" s="29"/>
      <c r="M896" s="32" t="str">
        <f aca="false">IF(OR(C896="",L896=""),"",IF(C896=L896,"同一","変更"))</f>
        <v/>
      </c>
      <c r="N896" s="29"/>
      <c r="O896" s="30"/>
      <c r="P896" s="29"/>
      <c r="Q896" s="31"/>
      <c r="R896" s="29"/>
      <c r="S896" s="29"/>
      <c r="T896" s="30"/>
      <c r="U896" s="47" t="str">
        <f aca="false">IF(AND(B896&lt;&gt;"",B896=SW別シート!$C$3),COUNTIF(B$5:B896,B896),"")</f>
        <v/>
      </c>
      <c r="V896" s="47" t="n">
        <f aca="false">V895+IF(OR(O896&lt;&gt;"",W896&lt;&gt;""),1,0)</f>
        <v>3</v>
      </c>
      <c r="W896" s="29"/>
    </row>
    <row r="897" customFormat="false" ht="15" hidden="false" customHeight="false" outlineLevel="0" collapsed="false">
      <c r="A897" s="32" t="str">
        <f aca="false">IF(B897="","",ROW()-7)</f>
        <v/>
      </c>
      <c r="B897" s="30"/>
      <c r="C897" s="29"/>
      <c r="D897" s="29"/>
      <c r="E897" s="29"/>
      <c r="F897" s="30"/>
      <c r="G897" s="29"/>
      <c r="H897" s="30"/>
      <c r="I897" s="29"/>
      <c r="J897" s="30"/>
      <c r="K897" s="30"/>
      <c r="L897" s="29"/>
      <c r="M897" s="32" t="str">
        <f aca="false">IF(OR(C897="",L897=""),"",IF(C897=L897,"同一","変更"))</f>
        <v/>
      </c>
      <c r="N897" s="29"/>
      <c r="O897" s="30"/>
      <c r="P897" s="29"/>
      <c r="Q897" s="31"/>
      <c r="R897" s="29"/>
      <c r="S897" s="29"/>
      <c r="T897" s="30"/>
      <c r="U897" s="47" t="str">
        <f aca="false">IF(AND(B897&lt;&gt;"",B897=SW別シート!$C$3),COUNTIF(B$5:B897,B897),"")</f>
        <v/>
      </c>
      <c r="V897" s="47" t="n">
        <f aca="false">V896+IF(OR(O897&lt;&gt;"",W897&lt;&gt;""),1,0)</f>
        <v>3</v>
      </c>
      <c r="W897" s="29"/>
    </row>
    <row r="898" customFormat="false" ht="15" hidden="false" customHeight="false" outlineLevel="0" collapsed="false">
      <c r="A898" s="32" t="str">
        <f aca="false">IF(B898="","",ROW()-7)</f>
        <v/>
      </c>
      <c r="B898" s="30"/>
      <c r="C898" s="29"/>
      <c r="D898" s="29"/>
      <c r="E898" s="29"/>
      <c r="F898" s="30"/>
      <c r="G898" s="29"/>
      <c r="H898" s="30"/>
      <c r="I898" s="29"/>
      <c r="J898" s="30"/>
      <c r="K898" s="30"/>
      <c r="L898" s="29"/>
      <c r="M898" s="32" t="str">
        <f aca="false">IF(OR(C898="",L898=""),"",IF(C898=L898,"同一","変更"))</f>
        <v/>
      </c>
      <c r="N898" s="29"/>
      <c r="O898" s="30"/>
      <c r="P898" s="29"/>
      <c r="Q898" s="31"/>
      <c r="R898" s="29"/>
      <c r="S898" s="29"/>
      <c r="T898" s="30"/>
      <c r="U898" s="47" t="str">
        <f aca="false">IF(AND(B898&lt;&gt;"",B898=SW別シート!$C$3),COUNTIF(B$5:B898,B898),"")</f>
        <v/>
      </c>
      <c r="V898" s="47" t="n">
        <f aca="false">V897+IF(OR(O898&lt;&gt;"",W898&lt;&gt;""),1,0)</f>
        <v>3</v>
      </c>
      <c r="W898" s="29"/>
    </row>
    <row r="899" customFormat="false" ht="15" hidden="false" customHeight="false" outlineLevel="0" collapsed="false">
      <c r="A899" s="32" t="str">
        <f aca="false">IF(B899="","",ROW()-7)</f>
        <v/>
      </c>
      <c r="B899" s="30"/>
      <c r="C899" s="29"/>
      <c r="D899" s="29"/>
      <c r="E899" s="29"/>
      <c r="F899" s="30"/>
      <c r="G899" s="29"/>
      <c r="H899" s="30"/>
      <c r="I899" s="29"/>
      <c r="J899" s="30"/>
      <c r="K899" s="30"/>
      <c r="L899" s="29"/>
      <c r="M899" s="32" t="str">
        <f aca="false">IF(OR(C899="",L899=""),"",IF(C899=L899,"同一","変更"))</f>
        <v/>
      </c>
      <c r="N899" s="29"/>
      <c r="O899" s="30"/>
      <c r="P899" s="29"/>
      <c r="Q899" s="31"/>
      <c r="R899" s="29"/>
      <c r="S899" s="29"/>
      <c r="T899" s="30"/>
      <c r="U899" s="47" t="str">
        <f aca="false">IF(AND(B899&lt;&gt;"",B899=SW別シート!$C$3),COUNTIF(B$5:B899,B899),"")</f>
        <v/>
      </c>
      <c r="V899" s="47" t="n">
        <f aca="false">V898+IF(OR(O899&lt;&gt;"",W899&lt;&gt;""),1,0)</f>
        <v>3</v>
      </c>
      <c r="W899" s="29"/>
    </row>
    <row r="900" customFormat="false" ht="15" hidden="false" customHeight="false" outlineLevel="0" collapsed="false">
      <c r="A900" s="32" t="str">
        <f aca="false">IF(B900="","",ROW()-7)</f>
        <v/>
      </c>
      <c r="B900" s="30"/>
      <c r="C900" s="29"/>
      <c r="D900" s="29"/>
      <c r="E900" s="29"/>
      <c r="F900" s="30"/>
      <c r="G900" s="29"/>
      <c r="H900" s="30"/>
      <c r="I900" s="29"/>
      <c r="J900" s="30"/>
      <c r="K900" s="30"/>
      <c r="L900" s="29"/>
      <c r="M900" s="32" t="str">
        <f aca="false">IF(OR(C900="",L900=""),"",IF(C900=L900,"同一","変更"))</f>
        <v/>
      </c>
      <c r="N900" s="29"/>
      <c r="O900" s="30"/>
      <c r="P900" s="29"/>
      <c r="Q900" s="31"/>
      <c r="R900" s="29"/>
      <c r="S900" s="29"/>
      <c r="T900" s="30"/>
      <c r="U900" s="47" t="str">
        <f aca="false">IF(AND(B900&lt;&gt;"",B900=SW別シート!$C$3),COUNTIF(B$5:B900,B900),"")</f>
        <v/>
      </c>
      <c r="V900" s="47" t="n">
        <f aca="false">V899+IF(OR(O900&lt;&gt;"",W900&lt;&gt;""),1,0)</f>
        <v>3</v>
      </c>
      <c r="W900" s="29"/>
    </row>
    <row r="901" customFormat="false" ht="15" hidden="false" customHeight="false" outlineLevel="0" collapsed="false">
      <c r="A901" s="32" t="str">
        <f aca="false">IF(B901="","",ROW()-7)</f>
        <v/>
      </c>
      <c r="B901" s="30"/>
      <c r="C901" s="29"/>
      <c r="D901" s="29"/>
      <c r="E901" s="29"/>
      <c r="F901" s="30"/>
      <c r="G901" s="29"/>
      <c r="H901" s="30"/>
      <c r="I901" s="29"/>
      <c r="J901" s="30"/>
      <c r="K901" s="30"/>
      <c r="L901" s="29"/>
      <c r="M901" s="32" t="str">
        <f aca="false">IF(OR(C901="",L901=""),"",IF(C901=L901,"同一","変更"))</f>
        <v/>
      </c>
      <c r="N901" s="29"/>
      <c r="O901" s="30"/>
      <c r="P901" s="29"/>
      <c r="Q901" s="31"/>
      <c r="R901" s="29"/>
      <c r="S901" s="29"/>
      <c r="T901" s="30"/>
      <c r="U901" s="47" t="str">
        <f aca="false">IF(AND(B901&lt;&gt;"",B901=SW別シート!$C$3),COUNTIF(B$5:B901,B901),"")</f>
        <v/>
      </c>
      <c r="V901" s="47" t="n">
        <f aca="false">V900+IF(OR(O901&lt;&gt;"",W901&lt;&gt;""),1,0)</f>
        <v>3</v>
      </c>
      <c r="W901" s="29"/>
    </row>
    <row r="902" customFormat="false" ht="15" hidden="false" customHeight="false" outlineLevel="0" collapsed="false">
      <c r="A902" s="32" t="str">
        <f aca="false">IF(B902="","",ROW()-7)</f>
        <v/>
      </c>
      <c r="B902" s="30"/>
      <c r="C902" s="29"/>
      <c r="D902" s="29"/>
      <c r="E902" s="29"/>
      <c r="F902" s="30"/>
      <c r="G902" s="29"/>
      <c r="H902" s="30"/>
      <c r="I902" s="29"/>
      <c r="J902" s="30"/>
      <c r="K902" s="30"/>
      <c r="L902" s="29"/>
      <c r="M902" s="32" t="str">
        <f aca="false">IF(OR(C902="",L902=""),"",IF(C902=L902,"同一","変更"))</f>
        <v/>
      </c>
      <c r="N902" s="29"/>
      <c r="O902" s="30"/>
      <c r="P902" s="29"/>
      <c r="Q902" s="31"/>
      <c r="R902" s="29"/>
      <c r="S902" s="29"/>
      <c r="T902" s="30"/>
      <c r="U902" s="47" t="str">
        <f aca="false">IF(AND(B902&lt;&gt;"",B902=SW別シート!$C$3),COUNTIF(B$5:B902,B902),"")</f>
        <v/>
      </c>
      <c r="V902" s="47" t="n">
        <f aca="false">V901+IF(OR(O902&lt;&gt;"",W902&lt;&gt;""),1,0)</f>
        <v>3</v>
      </c>
      <c r="W902" s="29"/>
    </row>
    <row r="903" customFormat="false" ht="15" hidden="false" customHeight="false" outlineLevel="0" collapsed="false">
      <c r="A903" s="32" t="str">
        <f aca="false">IF(B903="","",ROW()-7)</f>
        <v/>
      </c>
      <c r="B903" s="30"/>
      <c r="C903" s="29"/>
      <c r="D903" s="29"/>
      <c r="E903" s="29"/>
      <c r="F903" s="30"/>
      <c r="G903" s="29"/>
      <c r="H903" s="30"/>
      <c r="I903" s="29"/>
      <c r="J903" s="30"/>
      <c r="K903" s="30"/>
      <c r="L903" s="29"/>
      <c r="M903" s="32" t="str">
        <f aca="false">IF(OR(C903="",L903=""),"",IF(C903=L903,"同一","変更"))</f>
        <v/>
      </c>
      <c r="N903" s="29"/>
      <c r="O903" s="30"/>
      <c r="P903" s="29"/>
      <c r="Q903" s="31"/>
      <c r="R903" s="29"/>
      <c r="S903" s="29"/>
      <c r="T903" s="30"/>
      <c r="U903" s="47" t="str">
        <f aca="false">IF(AND(B903&lt;&gt;"",B903=SW別シート!$C$3),COUNTIF(B$5:B903,B903),"")</f>
        <v/>
      </c>
      <c r="V903" s="47" t="n">
        <f aca="false">V902+IF(OR(O903&lt;&gt;"",W903&lt;&gt;""),1,0)</f>
        <v>3</v>
      </c>
      <c r="W903" s="29"/>
    </row>
    <row r="904" customFormat="false" ht="15" hidden="false" customHeight="false" outlineLevel="0" collapsed="false">
      <c r="A904" s="32" t="str">
        <f aca="false">IF(B904="","",ROW()-7)</f>
        <v/>
      </c>
      <c r="B904" s="30"/>
      <c r="C904" s="29"/>
      <c r="D904" s="29"/>
      <c r="E904" s="29"/>
      <c r="F904" s="30"/>
      <c r="G904" s="29"/>
      <c r="H904" s="30"/>
      <c r="I904" s="29"/>
      <c r="J904" s="30"/>
      <c r="K904" s="30"/>
      <c r="L904" s="29"/>
      <c r="M904" s="32" t="str">
        <f aca="false">IF(OR(C904="",L904=""),"",IF(C904=L904,"同一","変更"))</f>
        <v/>
      </c>
      <c r="N904" s="29"/>
      <c r="O904" s="30"/>
      <c r="P904" s="29"/>
      <c r="Q904" s="31"/>
      <c r="R904" s="29"/>
      <c r="S904" s="29"/>
      <c r="T904" s="30"/>
      <c r="U904" s="47" t="str">
        <f aca="false">IF(AND(B904&lt;&gt;"",B904=SW別シート!$C$3),COUNTIF(B$5:B904,B904),"")</f>
        <v/>
      </c>
      <c r="V904" s="47" t="n">
        <f aca="false">V903+IF(OR(O904&lt;&gt;"",W904&lt;&gt;""),1,0)</f>
        <v>3</v>
      </c>
      <c r="W904" s="29"/>
    </row>
    <row r="905" customFormat="false" ht="15" hidden="false" customHeight="false" outlineLevel="0" collapsed="false">
      <c r="A905" s="32" t="str">
        <f aca="false">IF(B905="","",ROW()-7)</f>
        <v/>
      </c>
      <c r="B905" s="30"/>
      <c r="C905" s="29"/>
      <c r="D905" s="29"/>
      <c r="E905" s="29"/>
      <c r="F905" s="30"/>
      <c r="G905" s="29"/>
      <c r="H905" s="30"/>
      <c r="I905" s="29"/>
      <c r="J905" s="30"/>
      <c r="K905" s="30"/>
      <c r="L905" s="29"/>
      <c r="M905" s="32" t="str">
        <f aca="false">IF(OR(C905="",L905=""),"",IF(C905=L905,"同一","変更"))</f>
        <v/>
      </c>
      <c r="N905" s="29"/>
      <c r="O905" s="30"/>
      <c r="P905" s="29"/>
      <c r="Q905" s="31"/>
      <c r="R905" s="29"/>
      <c r="S905" s="29"/>
      <c r="T905" s="30"/>
      <c r="U905" s="47" t="str">
        <f aca="false">IF(AND(B905&lt;&gt;"",B905=SW別シート!$C$3),COUNTIF(B$5:B905,B905),"")</f>
        <v/>
      </c>
      <c r="V905" s="47" t="n">
        <f aca="false">V904+IF(OR(O905&lt;&gt;"",W905&lt;&gt;""),1,0)</f>
        <v>3</v>
      </c>
      <c r="W905" s="29"/>
    </row>
    <row r="906" customFormat="false" ht="15" hidden="false" customHeight="false" outlineLevel="0" collapsed="false">
      <c r="A906" s="32" t="str">
        <f aca="false">IF(B906="","",ROW()-7)</f>
        <v/>
      </c>
      <c r="B906" s="30"/>
      <c r="C906" s="29"/>
      <c r="D906" s="29"/>
      <c r="E906" s="29"/>
      <c r="F906" s="30"/>
      <c r="G906" s="29"/>
      <c r="H906" s="30"/>
      <c r="I906" s="29"/>
      <c r="J906" s="30"/>
      <c r="K906" s="30"/>
      <c r="L906" s="29"/>
      <c r="M906" s="32" t="str">
        <f aca="false">IF(OR(C906="",L906=""),"",IF(C906=L906,"同一","変更"))</f>
        <v/>
      </c>
      <c r="N906" s="29"/>
      <c r="O906" s="30"/>
      <c r="P906" s="29"/>
      <c r="Q906" s="31"/>
      <c r="R906" s="29"/>
      <c r="S906" s="29"/>
      <c r="T906" s="30"/>
      <c r="U906" s="47" t="str">
        <f aca="false">IF(AND(B906&lt;&gt;"",B906=SW別シート!$C$3),COUNTIF(B$5:B906,B906),"")</f>
        <v/>
      </c>
      <c r="V906" s="47" t="n">
        <f aca="false">V905+IF(OR(O906&lt;&gt;"",W906&lt;&gt;""),1,0)</f>
        <v>3</v>
      </c>
      <c r="W906" s="29"/>
    </row>
    <row r="907" customFormat="false" ht="15" hidden="false" customHeight="false" outlineLevel="0" collapsed="false">
      <c r="A907" s="32" t="str">
        <f aca="false">IF(B907="","",ROW()-7)</f>
        <v/>
      </c>
      <c r="B907" s="30"/>
      <c r="C907" s="29"/>
      <c r="D907" s="29"/>
      <c r="E907" s="29"/>
      <c r="F907" s="30"/>
      <c r="G907" s="29"/>
      <c r="H907" s="30"/>
      <c r="I907" s="29"/>
      <c r="J907" s="30"/>
      <c r="K907" s="30"/>
      <c r="L907" s="29"/>
      <c r="M907" s="32" t="str">
        <f aca="false">IF(OR(C907="",L907=""),"",IF(C907=L907,"同一","変更"))</f>
        <v/>
      </c>
      <c r="N907" s="29"/>
      <c r="O907" s="30"/>
      <c r="P907" s="29"/>
      <c r="Q907" s="31"/>
      <c r="R907" s="29"/>
      <c r="S907" s="29"/>
      <c r="T907" s="30"/>
      <c r="U907" s="47" t="str">
        <f aca="false">IF(AND(B907&lt;&gt;"",B907=SW別シート!$C$3),COUNTIF(B$5:B907,B907),"")</f>
        <v/>
      </c>
      <c r="V907" s="47" t="n">
        <f aca="false">V906+IF(OR(O907&lt;&gt;"",W907&lt;&gt;""),1,0)</f>
        <v>3</v>
      </c>
      <c r="W907" s="29"/>
    </row>
    <row r="908" customFormat="false" ht="15" hidden="false" customHeight="false" outlineLevel="0" collapsed="false">
      <c r="A908" s="32" t="str">
        <f aca="false">IF(B908="","",ROW()-7)</f>
        <v/>
      </c>
      <c r="B908" s="30"/>
      <c r="C908" s="29"/>
      <c r="D908" s="29"/>
      <c r="E908" s="29"/>
      <c r="F908" s="30"/>
      <c r="G908" s="29"/>
      <c r="H908" s="30"/>
      <c r="I908" s="29"/>
      <c r="J908" s="30"/>
      <c r="K908" s="30"/>
      <c r="L908" s="29"/>
      <c r="M908" s="32" t="str">
        <f aca="false">IF(OR(C908="",L908=""),"",IF(C908=L908,"同一","変更"))</f>
        <v/>
      </c>
      <c r="N908" s="29"/>
      <c r="O908" s="30"/>
      <c r="P908" s="29"/>
      <c r="Q908" s="31"/>
      <c r="R908" s="29"/>
      <c r="S908" s="29"/>
      <c r="T908" s="30"/>
      <c r="U908" s="47" t="str">
        <f aca="false">IF(AND(B908&lt;&gt;"",B908=SW別シート!$C$3),COUNTIF(B$5:B908,B908),"")</f>
        <v/>
      </c>
      <c r="V908" s="47" t="n">
        <f aca="false">V907+IF(OR(O908&lt;&gt;"",W908&lt;&gt;""),1,0)</f>
        <v>3</v>
      </c>
      <c r="W908" s="29"/>
    </row>
    <row r="909" customFormat="false" ht="15" hidden="false" customHeight="false" outlineLevel="0" collapsed="false">
      <c r="A909" s="32" t="str">
        <f aca="false">IF(B909="","",ROW()-7)</f>
        <v/>
      </c>
      <c r="B909" s="30"/>
      <c r="C909" s="29"/>
      <c r="D909" s="29"/>
      <c r="E909" s="29"/>
      <c r="F909" s="30"/>
      <c r="G909" s="29"/>
      <c r="H909" s="30"/>
      <c r="I909" s="29"/>
      <c r="J909" s="30"/>
      <c r="K909" s="30"/>
      <c r="L909" s="29"/>
      <c r="M909" s="32" t="str">
        <f aca="false">IF(OR(C909="",L909=""),"",IF(C909=L909,"同一","変更"))</f>
        <v/>
      </c>
      <c r="N909" s="29"/>
      <c r="O909" s="30"/>
      <c r="P909" s="29"/>
      <c r="Q909" s="31"/>
      <c r="R909" s="29"/>
      <c r="S909" s="29"/>
      <c r="T909" s="30"/>
      <c r="U909" s="47" t="str">
        <f aca="false">IF(AND(B909&lt;&gt;"",B909=SW別シート!$C$3),COUNTIF(B$5:B909,B909),"")</f>
        <v/>
      </c>
      <c r="V909" s="47" t="n">
        <f aca="false">V908+IF(OR(O909&lt;&gt;"",W909&lt;&gt;""),1,0)</f>
        <v>3</v>
      </c>
      <c r="W909" s="29"/>
    </row>
    <row r="910" customFormat="false" ht="15" hidden="false" customHeight="false" outlineLevel="0" collapsed="false">
      <c r="A910" s="32" t="str">
        <f aca="false">IF(B910="","",ROW()-7)</f>
        <v/>
      </c>
      <c r="B910" s="30"/>
      <c r="C910" s="29"/>
      <c r="D910" s="29"/>
      <c r="E910" s="29"/>
      <c r="F910" s="30"/>
      <c r="G910" s="29"/>
      <c r="H910" s="30"/>
      <c r="I910" s="29"/>
      <c r="J910" s="30"/>
      <c r="K910" s="30"/>
      <c r="L910" s="29"/>
      <c r="M910" s="32" t="str">
        <f aca="false">IF(OR(C910="",L910=""),"",IF(C910=L910,"同一","変更"))</f>
        <v/>
      </c>
      <c r="N910" s="29"/>
      <c r="O910" s="30"/>
      <c r="P910" s="29"/>
      <c r="Q910" s="31"/>
      <c r="R910" s="29"/>
      <c r="S910" s="29"/>
      <c r="T910" s="30"/>
      <c r="U910" s="47" t="str">
        <f aca="false">IF(AND(B910&lt;&gt;"",B910=SW別シート!$C$3),COUNTIF(B$5:B910,B910),"")</f>
        <v/>
      </c>
      <c r="V910" s="47" t="n">
        <f aca="false">V909+IF(OR(O910&lt;&gt;"",W910&lt;&gt;""),1,0)</f>
        <v>3</v>
      </c>
      <c r="W910" s="29"/>
    </row>
    <row r="911" customFormat="false" ht="15" hidden="false" customHeight="false" outlineLevel="0" collapsed="false">
      <c r="A911" s="32" t="str">
        <f aca="false">IF(B911="","",ROW()-7)</f>
        <v/>
      </c>
      <c r="B911" s="30"/>
      <c r="C911" s="29"/>
      <c r="D911" s="29"/>
      <c r="E911" s="29"/>
      <c r="F911" s="30"/>
      <c r="G911" s="29"/>
      <c r="H911" s="30"/>
      <c r="I911" s="29"/>
      <c r="J911" s="30"/>
      <c r="K911" s="30"/>
      <c r="L911" s="29"/>
      <c r="M911" s="32" t="str">
        <f aca="false">IF(OR(C911="",L911=""),"",IF(C911=L911,"同一","変更"))</f>
        <v/>
      </c>
      <c r="N911" s="29"/>
      <c r="O911" s="30"/>
      <c r="P911" s="29"/>
      <c r="Q911" s="31"/>
      <c r="R911" s="29"/>
      <c r="S911" s="29"/>
      <c r="T911" s="30"/>
      <c r="U911" s="47" t="str">
        <f aca="false">IF(AND(B911&lt;&gt;"",B911=SW別シート!$C$3),COUNTIF(B$5:B911,B911),"")</f>
        <v/>
      </c>
      <c r="V911" s="47" t="n">
        <f aca="false">V910+IF(OR(O911&lt;&gt;"",W911&lt;&gt;""),1,0)</f>
        <v>3</v>
      </c>
      <c r="W911" s="29"/>
    </row>
    <row r="912" customFormat="false" ht="15" hidden="false" customHeight="false" outlineLevel="0" collapsed="false">
      <c r="A912" s="32" t="str">
        <f aca="false">IF(B912="","",ROW()-7)</f>
        <v/>
      </c>
      <c r="B912" s="30"/>
      <c r="C912" s="29"/>
      <c r="D912" s="29"/>
      <c r="E912" s="29"/>
      <c r="F912" s="30"/>
      <c r="G912" s="29"/>
      <c r="H912" s="30"/>
      <c r="I912" s="29"/>
      <c r="J912" s="30"/>
      <c r="K912" s="30"/>
      <c r="L912" s="29"/>
      <c r="M912" s="32" t="str">
        <f aca="false">IF(OR(C912="",L912=""),"",IF(C912=L912,"同一","変更"))</f>
        <v/>
      </c>
      <c r="N912" s="29"/>
      <c r="O912" s="30"/>
      <c r="P912" s="29"/>
      <c r="Q912" s="31"/>
      <c r="R912" s="29"/>
      <c r="S912" s="29"/>
      <c r="T912" s="30"/>
      <c r="U912" s="47" t="str">
        <f aca="false">IF(AND(B912&lt;&gt;"",B912=SW別シート!$C$3),COUNTIF(B$5:B912,B912),"")</f>
        <v/>
      </c>
      <c r="V912" s="47" t="n">
        <f aca="false">V911+IF(OR(O912&lt;&gt;"",W912&lt;&gt;""),1,0)</f>
        <v>3</v>
      </c>
      <c r="W912" s="29"/>
    </row>
    <row r="913" customFormat="false" ht="15" hidden="false" customHeight="false" outlineLevel="0" collapsed="false">
      <c r="A913" s="32" t="str">
        <f aca="false">IF(B913="","",ROW()-7)</f>
        <v/>
      </c>
      <c r="B913" s="30"/>
      <c r="C913" s="29"/>
      <c r="D913" s="29"/>
      <c r="E913" s="29"/>
      <c r="F913" s="30"/>
      <c r="G913" s="29"/>
      <c r="H913" s="30"/>
      <c r="I913" s="29"/>
      <c r="J913" s="30"/>
      <c r="K913" s="30"/>
      <c r="L913" s="29"/>
      <c r="M913" s="32" t="str">
        <f aca="false">IF(OR(C913="",L913=""),"",IF(C913=L913,"同一","変更"))</f>
        <v/>
      </c>
      <c r="N913" s="29"/>
      <c r="O913" s="30"/>
      <c r="P913" s="29"/>
      <c r="Q913" s="31"/>
      <c r="R913" s="29"/>
      <c r="S913" s="29"/>
      <c r="T913" s="30"/>
      <c r="U913" s="47" t="str">
        <f aca="false">IF(AND(B913&lt;&gt;"",B913=SW別シート!$C$3),COUNTIF(B$5:B913,B913),"")</f>
        <v/>
      </c>
      <c r="V913" s="47" t="n">
        <f aca="false">V912+IF(OR(O913&lt;&gt;"",W913&lt;&gt;""),1,0)</f>
        <v>3</v>
      </c>
      <c r="W913" s="29"/>
    </row>
    <row r="914" customFormat="false" ht="15" hidden="false" customHeight="false" outlineLevel="0" collapsed="false">
      <c r="A914" s="32" t="str">
        <f aca="false">IF(B914="","",ROW()-7)</f>
        <v/>
      </c>
      <c r="B914" s="30"/>
      <c r="C914" s="29"/>
      <c r="D914" s="29"/>
      <c r="E914" s="29"/>
      <c r="F914" s="30"/>
      <c r="G914" s="29"/>
      <c r="H914" s="30"/>
      <c r="I914" s="29"/>
      <c r="J914" s="30"/>
      <c r="K914" s="30"/>
      <c r="L914" s="29"/>
      <c r="M914" s="32" t="str">
        <f aca="false">IF(OR(C914="",L914=""),"",IF(C914=L914,"同一","変更"))</f>
        <v/>
      </c>
      <c r="N914" s="29"/>
      <c r="O914" s="30"/>
      <c r="P914" s="29"/>
      <c r="Q914" s="31"/>
      <c r="R914" s="29"/>
      <c r="S914" s="29"/>
      <c r="T914" s="30"/>
      <c r="U914" s="47" t="str">
        <f aca="false">IF(AND(B914&lt;&gt;"",B914=SW別シート!$C$3),COUNTIF(B$5:B914,B914),"")</f>
        <v/>
      </c>
      <c r="V914" s="47" t="n">
        <f aca="false">V913+IF(OR(O914&lt;&gt;"",W914&lt;&gt;""),1,0)</f>
        <v>3</v>
      </c>
      <c r="W914" s="29"/>
    </row>
    <row r="915" customFormat="false" ht="15" hidden="false" customHeight="false" outlineLevel="0" collapsed="false">
      <c r="A915" s="32" t="str">
        <f aca="false">IF(B915="","",ROW()-7)</f>
        <v/>
      </c>
      <c r="B915" s="30"/>
      <c r="C915" s="29"/>
      <c r="D915" s="29"/>
      <c r="E915" s="29"/>
      <c r="F915" s="30"/>
      <c r="G915" s="29"/>
      <c r="H915" s="30"/>
      <c r="I915" s="29"/>
      <c r="J915" s="30"/>
      <c r="K915" s="30"/>
      <c r="L915" s="29"/>
      <c r="M915" s="32" t="str">
        <f aca="false">IF(OR(C915="",L915=""),"",IF(C915=L915,"同一","変更"))</f>
        <v/>
      </c>
      <c r="N915" s="29"/>
      <c r="O915" s="30"/>
      <c r="P915" s="29"/>
      <c r="Q915" s="31"/>
      <c r="R915" s="29"/>
      <c r="S915" s="29"/>
      <c r="T915" s="30"/>
      <c r="U915" s="47" t="str">
        <f aca="false">IF(AND(B915&lt;&gt;"",B915=SW別シート!$C$3),COUNTIF(B$5:B915,B915),"")</f>
        <v/>
      </c>
      <c r="V915" s="47" t="n">
        <f aca="false">V914+IF(OR(O915&lt;&gt;"",W915&lt;&gt;""),1,0)</f>
        <v>3</v>
      </c>
      <c r="W915" s="29"/>
    </row>
    <row r="916" customFormat="false" ht="15" hidden="false" customHeight="false" outlineLevel="0" collapsed="false">
      <c r="A916" s="32" t="str">
        <f aca="false">IF(B916="","",ROW()-7)</f>
        <v/>
      </c>
      <c r="B916" s="30"/>
      <c r="C916" s="29"/>
      <c r="D916" s="29"/>
      <c r="E916" s="29"/>
      <c r="F916" s="30"/>
      <c r="G916" s="29"/>
      <c r="H916" s="30"/>
      <c r="I916" s="29"/>
      <c r="J916" s="30"/>
      <c r="K916" s="30"/>
      <c r="L916" s="29"/>
      <c r="M916" s="32" t="str">
        <f aca="false">IF(OR(C916="",L916=""),"",IF(C916=L916,"同一","変更"))</f>
        <v/>
      </c>
      <c r="N916" s="29"/>
      <c r="O916" s="30"/>
      <c r="P916" s="29"/>
      <c r="Q916" s="31"/>
      <c r="R916" s="29"/>
      <c r="S916" s="29"/>
      <c r="T916" s="30"/>
      <c r="U916" s="47" t="str">
        <f aca="false">IF(AND(B916&lt;&gt;"",B916=SW別シート!$C$3),COUNTIF(B$5:B916,B916),"")</f>
        <v/>
      </c>
      <c r="V916" s="47" t="n">
        <f aca="false">V915+IF(OR(O916&lt;&gt;"",W916&lt;&gt;""),1,0)</f>
        <v>3</v>
      </c>
      <c r="W916" s="29"/>
    </row>
    <row r="917" customFormat="false" ht="15" hidden="false" customHeight="false" outlineLevel="0" collapsed="false">
      <c r="A917" s="32" t="str">
        <f aca="false">IF(B917="","",ROW()-7)</f>
        <v/>
      </c>
      <c r="B917" s="30"/>
      <c r="C917" s="29"/>
      <c r="D917" s="29"/>
      <c r="E917" s="29"/>
      <c r="F917" s="30"/>
      <c r="G917" s="29"/>
      <c r="H917" s="30"/>
      <c r="I917" s="29"/>
      <c r="J917" s="30"/>
      <c r="K917" s="30"/>
      <c r="L917" s="29"/>
      <c r="M917" s="32" t="str">
        <f aca="false">IF(OR(C917="",L917=""),"",IF(C917=L917,"同一","変更"))</f>
        <v/>
      </c>
      <c r="N917" s="29"/>
      <c r="O917" s="30"/>
      <c r="P917" s="29"/>
      <c r="Q917" s="31"/>
      <c r="R917" s="29"/>
      <c r="S917" s="29"/>
      <c r="T917" s="30"/>
      <c r="U917" s="47" t="str">
        <f aca="false">IF(AND(B917&lt;&gt;"",B917=SW別シート!$C$3),COUNTIF(B$5:B917,B917),"")</f>
        <v/>
      </c>
      <c r="V917" s="47" t="n">
        <f aca="false">V916+IF(OR(O917&lt;&gt;"",W917&lt;&gt;""),1,0)</f>
        <v>3</v>
      </c>
      <c r="W917" s="29"/>
    </row>
    <row r="918" customFormat="false" ht="15" hidden="false" customHeight="false" outlineLevel="0" collapsed="false">
      <c r="A918" s="32" t="str">
        <f aca="false">IF(B918="","",ROW()-7)</f>
        <v/>
      </c>
      <c r="B918" s="30"/>
      <c r="C918" s="29"/>
      <c r="D918" s="29"/>
      <c r="E918" s="29"/>
      <c r="F918" s="30"/>
      <c r="G918" s="29"/>
      <c r="H918" s="30"/>
      <c r="I918" s="29"/>
      <c r="J918" s="30"/>
      <c r="K918" s="30"/>
      <c r="L918" s="29"/>
      <c r="M918" s="32" t="str">
        <f aca="false">IF(OR(C918="",L918=""),"",IF(C918=L918,"同一","変更"))</f>
        <v/>
      </c>
      <c r="N918" s="29"/>
      <c r="O918" s="30"/>
      <c r="P918" s="29"/>
      <c r="Q918" s="31"/>
      <c r="R918" s="29"/>
      <c r="S918" s="29"/>
      <c r="T918" s="30"/>
      <c r="U918" s="47" t="str">
        <f aca="false">IF(AND(B918&lt;&gt;"",B918=SW別シート!$C$3),COUNTIF(B$5:B918,B918),"")</f>
        <v/>
      </c>
      <c r="V918" s="47" t="n">
        <f aca="false">V917+IF(OR(O918&lt;&gt;"",W918&lt;&gt;""),1,0)</f>
        <v>3</v>
      </c>
      <c r="W918" s="29"/>
    </row>
    <row r="919" customFormat="false" ht="15" hidden="false" customHeight="false" outlineLevel="0" collapsed="false">
      <c r="A919" s="32" t="str">
        <f aca="false">IF(B919="","",ROW()-7)</f>
        <v/>
      </c>
      <c r="B919" s="30"/>
      <c r="C919" s="29"/>
      <c r="D919" s="29"/>
      <c r="E919" s="29"/>
      <c r="F919" s="30"/>
      <c r="G919" s="29"/>
      <c r="H919" s="30"/>
      <c r="I919" s="29"/>
      <c r="J919" s="30"/>
      <c r="K919" s="30"/>
      <c r="L919" s="29"/>
      <c r="M919" s="32" t="str">
        <f aca="false">IF(OR(C919="",L919=""),"",IF(C919=L919,"同一","変更"))</f>
        <v/>
      </c>
      <c r="N919" s="29"/>
      <c r="O919" s="30"/>
      <c r="P919" s="29"/>
      <c r="Q919" s="31"/>
      <c r="R919" s="29"/>
      <c r="S919" s="29"/>
      <c r="T919" s="30"/>
      <c r="U919" s="47" t="str">
        <f aca="false">IF(AND(B919&lt;&gt;"",B919=SW別シート!$C$3),COUNTIF(B$5:B919,B919),"")</f>
        <v/>
      </c>
      <c r="V919" s="47" t="n">
        <f aca="false">V918+IF(OR(O919&lt;&gt;"",W919&lt;&gt;""),1,0)</f>
        <v>3</v>
      </c>
      <c r="W919" s="29"/>
    </row>
    <row r="920" customFormat="false" ht="15" hidden="false" customHeight="false" outlineLevel="0" collapsed="false">
      <c r="A920" s="32" t="str">
        <f aca="false">IF(B920="","",ROW()-7)</f>
        <v/>
      </c>
      <c r="B920" s="30"/>
      <c r="C920" s="29"/>
      <c r="D920" s="29"/>
      <c r="E920" s="29"/>
      <c r="F920" s="30"/>
      <c r="G920" s="29"/>
      <c r="H920" s="30"/>
      <c r="I920" s="29"/>
      <c r="J920" s="30"/>
      <c r="K920" s="30"/>
      <c r="L920" s="29"/>
      <c r="M920" s="32" t="str">
        <f aca="false">IF(OR(C920="",L920=""),"",IF(C920=L920,"同一","変更"))</f>
        <v/>
      </c>
      <c r="N920" s="29"/>
      <c r="O920" s="30"/>
      <c r="P920" s="29"/>
      <c r="Q920" s="31"/>
      <c r="R920" s="29"/>
      <c r="S920" s="29"/>
      <c r="T920" s="30"/>
      <c r="U920" s="47" t="str">
        <f aca="false">IF(AND(B920&lt;&gt;"",B920=SW別シート!$C$3),COUNTIF(B$5:B920,B920),"")</f>
        <v/>
      </c>
      <c r="V920" s="47" t="n">
        <f aca="false">V919+IF(OR(O920&lt;&gt;"",W920&lt;&gt;""),1,0)</f>
        <v>3</v>
      </c>
      <c r="W920" s="29"/>
    </row>
    <row r="921" customFormat="false" ht="15" hidden="false" customHeight="false" outlineLevel="0" collapsed="false">
      <c r="A921" s="32" t="str">
        <f aca="false">IF(B921="","",ROW()-7)</f>
        <v/>
      </c>
      <c r="B921" s="30"/>
      <c r="C921" s="29"/>
      <c r="D921" s="29"/>
      <c r="E921" s="29"/>
      <c r="F921" s="30"/>
      <c r="G921" s="29"/>
      <c r="H921" s="30"/>
      <c r="I921" s="29"/>
      <c r="J921" s="30"/>
      <c r="K921" s="30"/>
      <c r="L921" s="29"/>
      <c r="M921" s="32" t="str">
        <f aca="false">IF(OR(C921="",L921=""),"",IF(C921=L921,"同一","変更"))</f>
        <v/>
      </c>
      <c r="N921" s="29"/>
      <c r="O921" s="30"/>
      <c r="P921" s="29"/>
      <c r="Q921" s="31"/>
      <c r="R921" s="29"/>
      <c r="S921" s="29"/>
      <c r="T921" s="30"/>
      <c r="U921" s="47" t="str">
        <f aca="false">IF(AND(B921&lt;&gt;"",B921=SW別シート!$C$3),COUNTIF(B$5:B921,B921),"")</f>
        <v/>
      </c>
      <c r="V921" s="47" t="n">
        <f aca="false">V920+IF(OR(O921&lt;&gt;"",W921&lt;&gt;""),1,0)</f>
        <v>3</v>
      </c>
      <c r="W921" s="29"/>
    </row>
    <row r="922" customFormat="false" ht="15" hidden="false" customHeight="false" outlineLevel="0" collapsed="false">
      <c r="A922" s="32" t="str">
        <f aca="false">IF(B922="","",ROW()-7)</f>
        <v/>
      </c>
      <c r="B922" s="30"/>
      <c r="C922" s="29"/>
      <c r="D922" s="29"/>
      <c r="E922" s="29"/>
      <c r="F922" s="30"/>
      <c r="G922" s="29"/>
      <c r="H922" s="30"/>
      <c r="I922" s="29"/>
      <c r="J922" s="30"/>
      <c r="K922" s="30"/>
      <c r="L922" s="29"/>
      <c r="M922" s="32" t="str">
        <f aca="false">IF(OR(C922="",L922=""),"",IF(C922=L922,"同一","変更"))</f>
        <v/>
      </c>
      <c r="N922" s="29"/>
      <c r="O922" s="30"/>
      <c r="P922" s="29"/>
      <c r="Q922" s="31"/>
      <c r="R922" s="29"/>
      <c r="S922" s="29"/>
      <c r="T922" s="30"/>
      <c r="U922" s="47" t="str">
        <f aca="false">IF(AND(B922&lt;&gt;"",B922=SW別シート!$C$3),COUNTIF(B$5:B922,B922),"")</f>
        <v/>
      </c>
      <c r="V922" s="47" t="n">
        <f aca="false">V921+IF(OR(O922&lt;&gt;"",W922&lt;&gt;""),1,0)</f>
        <v>3</v>
      </c>
      <c r="W922" s="29"/>
    </row>
    <row r="923" customFormat="false" ht="15" hidden="false" customHeight="false" outlineLevel="0" collapsed="false">
      <c r="A923" s="32" t="str">
        <f aca="false">IF(B923="","",ROW()-7)</f>
        <v/>
      </c>
      <c r="B923" s="30"/>
      <c r="C923" s="29"/>
      <c r="D923" s="29"/>
      <c r="E923" s="29"/>
      <c r="F923" s="30"/>
      <c r="G923" s="29"/>
      <c r="H923" s="30"/>
      <c r="I923" s="29"/>
      <c r="J923" s="30"/>
      <c r="K923" s="30"/>
      <c r="L923" s="29"/>
      <c r="M923" s="32" t="str">
        <f aca="false">IF(OR(C923="",L923=""),"",IF(C923=L923,"同一","変更"))</f>
        <v/>
      </c>
      <c r="N923" s="29"/>
      <c r="O923" s="30"/>
      <c r="P923" s="29"/>
      <c r="Q923" s="31"/>
      <c r="R923" s="29"/>
      <c r="S923" s="29"/>
      <c r="T923" s="30"/>
      <c r="U923" s="47" t="str">
        <f aca="false">IF(AND(B923&lt;&gt;"",B923=SW別シート!$C$3),COUNTIF(B$5:B923,B923),"")</f>
        <v/>
      </c>
      <c r="V923" s="47" t="n">
        <f aca="false">V922+IF(OR(O923&lt;&gt;"",W923&lt;&gt;""),1,0)</f>
        <v>3</v>
      </c>
      <c r="W923" s="29"/>
    </row>
    <row r="924" customFormat="false" ht="15" hidden="false" customHeight="false" outlineLevel="0" collapsed="false">
      <c r="A924" s="32" t="str">
        <f aca="false">IF(B924="","",ROW()-7)</f>
        <v/>
      </c>
      <c r="B924" s="30"/>
      <c r="C924" s="29"/>
      <c r="D924" s="29"/>
      <c r="E924" s="29"/>
      <c r="F924" s="30"/>
      <c r="G924" s="29"/>
      <c r="H924" s="30"/>
      <c r="I924" s="29"/>
      <c r="J924" s="30"/>
      <c r="K924" s="30"/>
      <c r="L924" s="29"/>
      <c r="M924" s="32" t="str">
        <f aca="false">IF(OR(C924="",L924=""),"",IF(C924=L924,"同一","変更"))</f>
        <v/>
      </c>
      <c r="N924" s="29"/>
      <c r="O924" s="30"/>
      <c r="P924" s="29"/>
      <c r="Q924" s="31"/>
      <c r="R924" s="29"/>
      <c r="S924" s="29"/>
      <c r="T924" s="30"/>
      <c r="U924" s="47" t="str">
        <f aca="false">IF(AND(B924&lt;&gt;"",B924=SW別シート!$C$3),COUNTIF(B$5:B924,B924),"")</f>
        <v/>
      </c>
      <c r="V924" s="47" t="n">
        <f aca="false">V923+IF(OR(O924&lt;&gt;"",W924&lt;&gt;""),1,0)</f>
        <v>3</v>
      </c>
      <c r="W924" s="29"/>
    </row>
    <row r="925" customFormat="false" ht="15" hidden="false" customHeight="false" outlineLevel="0" collapsed="false">
      <c r="A925" s="32" t="str">
        <f aca="false">IF(B925="","",ROW()-7)</f>
        <v/>
      </c>
      <c r="B925" s="30"/>
      <c r="C925" s="29"/>
      <c r="D925" s="29"/>
      <c r="E925" s="29"/>
      <c r="F925" s="30"/>
      <c r="G925" s="29"/>
      <c r="H925" s="30"/>
      <c r="I925" s="29"/>
      <c r="J925" s="30"/>
      <c r="K925" s="30"/>
      <c r="L925" s="29"/>
      <c r="M925" s="32" t="str">
        <f aca="false">IF(OR(C925="",L925=""),"",IF(C925=L925,"同一","変更"))</f>
        <v/>
      </c>
      <c r="N925" s="29"/>
      <c r="O925" s="30"/>
      <c r="P925" s="29"/>
      <c r="Q925" s="31"/>
      <c r="R925" s="29"/>
      <c r="S925" s="29"/>
      <c r="T925" s="30"/>
      <c r="U925" s="47" t="str">
        <f aca="false">IF(AND(B925&lt;&gt;"",B925=SW別シート!$C$3),COUNTIF(B$5:B925,B925),"")</f>
        <v/>
      </c>
      <c r="V925" s="47" t="n">
        <f aca="false">V924+IF(OR(O925&lt;&gt;"",W925&lt;&gt;""),1,0)</f>
        <v>3</v>
      </c>
      <c r="W925" s="29"/>
    </row>
    <row r="926" customFormat="false" ht="15" hidden="false" customHeight="false" outlineLevel="0" collapsed="false">
      <c r="A926" s="32" t="str">
        <f aca="false">IF(B926="","",ROW()-7)</f>
        <v/>
      </c>
      <c r="B926" s="30"/>
      <c r="C926" s="29"/>
      <c r="D926" s="29"/>
      <c r="E926" s="29"/>
      <c r="F926" s="30"/>
      <c r="G926" s="29"/>
      <c r="H926" s="30"/>
      <c r="I926" s="29"/>
      <c r="J926" s="30"/>
      <c r="K926" s="30"/>
      <c r="L926" s="29"/>
      <c r="M926" s="32" t="str">
        <f aca="false">IF(OR(C926="",L926=""),"",IF(C926=L926,"同一","変更"))</f>
        <v/>
      </c>
      <c r="N926" s="29"/>
      <c r="O926" s="30"/>
      <c r="P926" s="29"/>
      <c r="Q926" s="31"/>
      <c r="R926" s="29"/>
      <c r="S926" s="29"/>
      <c r="T926" s="30"/>
      <c r="U926" s="47" t="str">
        <f aca="false">IF(AND(B926&lt;&gt;"",B926=SW別シート!$C$3),COUNTIF(B$5:B926,B926),"")</f>
        <v/>
      </c>
      <c r="V926" s="47" t="n">
        <f aca="false">V925+IF(OR(O926&lt;&gt;"",W926&lt;&gt;""),1,0)</f>
        <v>3</v>
      </c>
      <c r="W926" s="29"/>
    </row>
    <row r="927" customFormat="false" ht="15" hidden="false" customHeight="false" outlineLevel="0" collapsed="false">
      <c r="A927" s="32" t="str">
        <f aca="false">IF(B927="","",ROW()-7)</f>
        <v/>
      </c>
      <c r="B927" s="30"/>
      <c r="C927" s="29"/>
      <c r="D927" s="29"/>
      <c r="E927" s="29"/>
      <c r="F927" s="30"/>
      <c r="G927" s="29"/>
      <c r="H927" s="30"/>
      <c r="I927" s="29"/>
      <c r="J927" s="30"/>
      <c r="K927" s="30"/>
      <c r="L927" s="29"/>
      <c r="M927" s="32" t="str">
        <f aca="false">IF(OR(C927="",L927=""),"",IF(C927=L927,"同一","変更"))</f>
        <v/>
      </c>
      <c r="N927" s="29"/>
      <c r="O927" s="30"/>
      <c r="P927" s="29"/>
      <c r="Q927" s="31"/>
      <c r="R927" s="29"/>
      <c r="S927" s="29"/>
      <c r="T927" s="30"/>
      <c r="U927" s="47" t="str">
        <f aca="false">IF(AND(B927&lt;&gt;"",B927=SW別シート!$C$3),COUNTIF(B$5:B927,B927),"")</f>
        <v/>
      </c>
      <c r="V927" s="47" t="n">
        <f aca="false">V926+IF(OR(O927&lt;&gt;"",W927&lt;&gt;""),1,0)</f>
        <v>3</v>
      </c>
      <c r="W927" s="29"/>
    </row>
    <row r="928" customFormat="false" ht="15" hidden="false" customHeight="false" outlineLevel="0" collapsed="false">
      <c r="A928" s="32" t="str">
        <f aca="false">IF(B928="","",ROW()-7)</f>
        <v/>
      </c>
      <c r="B928" s="30"/>
      <c r="C928" s="29"/>
      <c r="D928" s="29"/>
      <c r="E928" s="29"/>
      <c r="F928" s="30"/>
      <c r="G928" s="29"/>
      <c r="H928" s="30"/>
      <c r="I928" s="29"/>
      <c r="J928" s="30"/>
      <c r="K928" s="30"/>
      <c r="L928" s="29"/>
      <c r="M928" s="32" t="str">
        <f aca="false">IF(OR(C928="",L928=""),"",IF(C928=L928,"同一","変更"))</f>
        <v/>
      </c>
      <c r="N928" s="29"/>
      <c r="O928" s="30"/>
      <c r="P928" s="29"/>
      <c r="Q928" s="31"/>
      <c r="R928" s="29"/>
      <c r="S928" s="29"/>
      <c r="T928" s="30"/>
      <c r="U928" s="47" t="str">
        <f aca="false">IF(AND(B928&lt;&gt;"",B928=SW別シート!$C$3),COUNTIF(B$5:B928,B928),"")</f>
        <v/>
      </c>
      <c r="V928" s="47" t="n">
        <f aca="false">V927+IF(OR(O928&lt;&gt;"",W928&lt;&gt;""),1,0)</f>
        <v>3</v>
      </c>
      <c r="W928" s="29"/>
    </row>
    <row r="929" customFormat="false" ht="15" hidden="false" customHeight="false" outlineLevel="0" collapsed="false">
      <c r="A929" s="32" t="str">
        <f aca="false">IF(B929="","",ROW()-7)</f>
        <v/>
      </c>
      <c r="B929" s="30"/>
      <c r="C929" s="29"/>
      <c r="D929" s="29"/>
      <c r="E929" s="29"/>
      <c r="F929" s="30"/>
      <c r="G929" s="29"/>
      <c r="H929" s="30"/>
      <c r="I929" s="29"/>
      <c r="J929" s="30"/>
      <c r="K929" s="30"/>
      <c r="L929" s="29"/>
      <c r="M929" s="32" t="str">
        <f aca="false">IF(OR(C929="",L929=""),"",IF(C929=L929,"同一","変更"))</f>
        <v/>
      </c>
      <c r="N929" s="29"/>
      <c r="O929" s="30"/>
      <c r="P929" s="29"/>
      <c r="Q929" s="31"/>
      <c r="R929" s="29"/>
      <c r="S929" s="29"/>
      <c r="T929" s="30"/>
      <c r="U929" s="47" t="str">
        <f aca="false">IF(AND(B929&lt;&gt;"",B929=SW別シート!$C$3),COUNTIF(B$5:B929,B929),"")</f>
        <v/>
      </c>
      <c r="V929" s="47" t="n">
        <f aca="false">V928+IF(OR(O929&lt;&gt;"",W929&lt;&gt;""),1,0)</f>
        <v>3</v>
      </c>
      <c r="W929" s="29"/>
    </row>
    <row r="930" customFormat="false" ht="15" hidden="false" customHeight="false" outlineLevel="0" collapsed="false">
      <c r="A930" s="32" t="str">
        <f aca="false">IF(B930="","",ROW()-7)</f>
        <v/>
      </c>
      <c r="B930" s="30"/>
      <c r="C930" s="29"/>
      <c r="D930" s="29"/>
      <c r="E930" s="29"/>
      <c r="F930" s="30"/>
      <c r="G930" s="29"/>
      <c r="H930" s="30"/>
      <c r="I930" s="29"/>
      <c r="J930" s="30"/>
      <c r="K930" s="30"/>
      <c r="L930" s="29"/>
      <c r="M930" s="32" t="str">
        <f aca="false">IF(OR(C930="",L930=""),"",IF(C930=L930,"同一","変更"))</f>
        <v/>
      </c>
      <c r="N930" s="29"/>
      <c r="O930" s="30"/>
      <c r="P930" s="29"/>
      <c r="Q930" s="31"/>
      <c r="R930" s="29"/>
      <c r="S930" s="29"/>
      <c r="T930" s="30"/>
      <c r="U930" s="47" t="str">
        <f aca="false">IF(AND(B930&lt;&gt;"",B930=SW別シート!$C$3),COUNTIF(B$5:B930,B930),"")</f>
        <v/>
      </c>
      <c r="V930" s="47" t="n">
        <f aca="false">V929+IF(OR(O930&lt;&gt;"",W930&lt;&gt;""),1,0)</f>
        <v>3</v>
      </c>
      <c r="W930" s="29"/>
    </row>
    <row r="931" customFormat="false" ht="15" hidden="false" customHeight="false" outlineLevel="0" collapsed="false">
      <c r="A931" s="32" t="str">
        <f aca="false">IF(B931="","",ROW()-7)</f>
        <v/>
      </c>
      <c r="B931" s="30"/>
      <c r="C931" s="29"/>
      <c r="D931" s="29"/>
      <c r="E931" s="29"/>
      <c r="F931" s="30"/>
      <c r="G931" s="29"/>
      <c r="H931" s="30"/>
      <c r="I931" s="29"/>
      <c r="J931" s="30"/>
      <c r="K931" s="30"/>
      <c r="L931" s="29"/>
      <c r="M931" s="32" t="str">
        <f aca="false">IF(OR(C931="",L931=""),"",IF(C931=L931,"同一","変更"))</f>
        <v/>
      </c>
      <c r="N931" s="29"/>
      <c r="O931" s="30"/>
      <c r="P931" s="29"/>
      <c r="Q931" s="31"/>
      <c r="R931" s="29"/>
      <c r="S931" s="29"/>
      <c r="T931" s="30"/>
      <c r="U931" s="47" t="str">
        <f aca="false">IF(AND(B931&lt;&gt;"",B931=SW別シート!$C$3),COUNTIF(B$5:B931,B931),"")</f>
        <v/>
      </c>
      <c r="V931" s="47" t="n">
        <f aca="false">V930+IF(OR(O931&lt;&gt;"",W931&lt;&gt;""),1,0)</f>
        <v>3</v>
      </c>
      <c r="W931" s="29"/>
    </row>
    <row r="932" customFormat="false" ht="15" hidden="false" customHeight="false" outlineLevel="0" collapsed="false">
      <c r="A932" s="32" t="str">
        <f aca="false">IF(B932="","",ROW()-7)</f>
        <v/>
      </c>
      <c r="B932" s="30"/>
      <c r="C932" s="29"/>
      <c r="D932" s="29"/>
      <c r="E932" s="29"/>
      <c r="F932" s="30"/>
      <c r="G932" s="29"/>
      <c r="H932" s="30"/>
      <c r="I932" s="29"/>
      <c r="J932" s="30"/>
      <c r="K932" s="30"/>
      <c r="L932" s="29"/>
      <c r="M932" s="32" t="str">
        <f aca="false">IF(OR(C932="",L932=""),"",IF(C932=L932,"同一","変更"))</f>
        <v/>
      </c>
      <c r="N932" s="29"/>
      <c r="O932" s="30"/>
      <c r="P932" s="29"/>
      <c r="Q932" s="31"/>
      <c r="R932" s="29"/>
      <c r="S932" s="29"/>
      <c r="T932" s="30"/>
      <c r="U932" s="47" t="str">
        <f aca="false">IF(AND(B932&lt;&gt;"",B932=SW別シート!$C$3),COUNTIF(B$5:B932,B932),"")</f>
        <v/>
      </c>
      <c r="V932" s="47" t="n">
        <f aca="false">V931+IF(OR(O932&lt;&gt;"",W932&lt;&gt;""),1,0)</f>
        <v>3</v>
      </c>
      <c r="W932" s="29"/>
    </row>
    <row r="933" customFormat="false" ht="15" hidden="false" customHeight="false" outlineLevel="0" collapsed="false">
      <c r="A933" s="32" t="str">
        <f aca="false">IF(B933="","",ROW()-7)</f>
        <v/>
      </c>
      <c r="B933" s="30"/>
      <c r="C933" s="29"/>
      <c r="D933" s="29"/>
      <c r="E933" s="29"/>
      <c r="F933" s="30"/>
      <c r="G933" s="29"/>
      <c r="H933" s="30"/>
      <c r="I933" s="29"/>
      <c r="J933" s="30"/>
      <c r="K933" s="30"/>
      <c r="L933" s="29"/>
      <c r="M933" s="32" t="str">
        <f aca="false">IF(OR(C933="",L933=""),"",IF(C933=L933,"同一","変更"))</f>
        <v/>
      </c>
      <c r="N933" s="29"/>
      <c r="O933" s="30"/>
      <c r="P933" s="29"/>
      <c r="Q933" s="31"/>
      <c r="R933" s="29"/>
      <c r="S933" s="29"/>
      <c r="T933" s="30"/>
      <c r="U933" s="47" t="str">
        <f aca="false">IF(AND(B933&lt;&gt;"",B933=SW別シート!$C$3),COUNTIF(B$5:B933,B933),"")</f>
        <v/>
      </c>
      <c r="V933" s="47" t="n">
        <f aca="false">V932+IF(OR(O933&lt;&gt;"",W933&lt;&gt;""),1,0)</f>
        <v>3</v>
      </c>
      <c r="W933" s="29"/>
    </row>
    <row r="934" customFormat="false" ht="15" hidden="false" customHeight="false" outlineLevel="0" collapsed="false">
      <c r="A934" s="32" t="str">
        <f aca="false">IF(B934="","",ROW()-7)</f>
        <v/>
      </c>
      <c r="B934" s="30"/>
      <c r="C934" s="29"/>
      <c r="D934" s="29"/>
      <c r="E934" s="29"/>
      <c r="F934" s="30"/>
      <c r="G934" s="29"/>
      <c r="H934" s="30"/>
      <c r="I934" s="29"/>
      <c r="J934" s="30"/>
      <c r="K934" s="30"/>
      <c r="L934" s="29"/>
      <c r="M934" s="32" t="str">
        <f aca="false">IF(OR(C934="",L934=""),"",IF(C934=L934,"同一","変更"))</f>
        <v/>
      </c>
      <c r="N934" s="29"/>
      <c r="O934" s="30"/>
      <c r="P934" s="29"/>
      <c r="Q934" s="31"/>
      <c r="R934" s="29"/>
      <c r="S934" s="29"/>
      <c r="T934" s="30"/>
      <c r="U934" s="47" t="str">
        <f aca="false">IF(AND(B934&lt;&gt;"",B934=SW別シート!$C$3),COUNTIF(B$5:B934,B934),"")</f>
        <v/>
      </c>
      <c r="V934" s="47" t="n">
        <f aca="false">V933+IF(OR(O934&lt;&gt;"",W934&lt;&gt;""),1,0)</f>
        <v>3</v>
      </c>
      <c r="W934" s="29"/>
    </row>
    <row r="935" customFormat="false" ht="15" hidden="false" customHeight="false" outlineLevel="0" collapsed="false">
      <c r="A935" s="32" t="str">
        <f aca="false">IF(B935="","",ROW()-7)</f>
        <v/>
      </c>
      <c r="B935" s="30"/>
      <c r="C935" s="29"/>
      <c r="D935" s="29"/>
      <c r="E935" s="29"/>
      <c r="F935" s="30"/>
      <c r="G935" s="29"/>
      <c r="H935" s="30"/>
      <c r="I935" s="29"/>
      <c r="J935" s="30"/>
      <c r="K935" s="30"/>
      <c r="L935" s="29"/>
      <c r="M935" s="32" t="str">
        <f aca="false">IF(OR(C935="",L935=""),"",IF(C935=L935,"同一","変更"))</f>
        <v/>
      </c>
      <c r="N935" s="29"/>
      <c r="O935" s="30"/>
      <c r="P935" s="29"/>
      <c r="Q935" s="31"/>
      <c r="R935" s="29"/>
      <c r="S935" s="29"/>
      <c r="T935" s="30"/>
      <c r="U935" s="47" t="str">
        <f aca="false">IF(AND(B935&lt;&gt;"",B935=SW別シート!$C$3),COUNTIF(B$5:B935,B935),"")</f>
        <v/>
      </c>
      <c r="V935" s="47" t="n">
        <f aca="false">V934+IF(OR(O935&lt;&gt;"",W935&lt;&gt;""),1,0)</f>
        <v>3</v>
      </c>
      <c r="W935" s="29"/>
    </row>
    <row r="936" customFormat="false" ht="15" hidden="false" customHeight="false" outlineLevel="0" collapsed="false">
      <c r="A936" s="32" t="str">
        <f aca="false">IF(B936="","",ROW()-7)</f>
        <v/>
      </c>
      <c r="B936" s="30"/>
      <c r="C936" s="29"/>
      <c r="D936" s="29"/>
      <c r="E936" s="29"/>
      <c r="F936" s="30"/>
      <c r="G936" s="29"/>
      <c r="H936" s="30"/>
      <c r="I936" s="29"/>
      <c r="J936" s="30"/>
      <c r="K936" s="30"/>
      <c r="L936" s="29"/>
      <c r="M936" s="32" t="str">
        <f aca="false">IF(OR(C936="",L936=""),"",IF(C936=L936,"同一","変更"))</f>
        <v/>
      </c>
      <c r="N936" s="29"/>
      <c r="O936" s="30"/>
      <c r="P936" s="29"/>
      <c r="Q936" s="31"/>
      <c r="R936" s="29"/>
      <c r="S936" s="29"/>
      <c r="T936" s="30"/>
      <c r="U936" s="47" t="str">
        <f aca="false">IF(AND(B936&lt;&gt;"",B936=SW別シート!$C$3),COUNTIF(B$5:B936,B936),"")</f>
        <v/>
      </c>
      <c r="V936" s="47" t="n">
        <f aca="false">V935+IF(OR(O936&lt;&gt;"",W936&lt;&gt;""),1,0)</f>
        <v>3</v>
      </c>
      <c r="W936" s="29"/>
    </row>
    <row r="937" customFormat="false" ht="15" hidden="false" customHeight="false" outlineLevel="0" collapsed="false">
      <c r="A937" s="32" t="str">
        <f aca="false">IF(B937="","",ROW()-7)</f>
        <v/>
      </c>
      <c r="B937" s="30"/>
      <c r="C937" s="29"/>
      <c r="D937" s="29"/>
      <c r="E937" s="29"/>
      <c r="F937" s="30"/>
      <c r="G937" s="29"/>
      <c r="H937" s="30"/>
      <c r="I937" s="29"/>
      <c r="J937" s="30"/>
      <c r="K937" s="30"/>
      <c r="L937" s="29"/>
      <c r="M937" s="32" t="str">
        <f aca="false">IF(OR(C937="",L937=""),"",IF(C937=L937,"同一","変更"))</f>
        <v/>
      </c>
      <c r="N937" s="29"/>
      <c r="O937" s="30"/>
      <c r="P937" s="29"/>
      <c r="Q937" s="31"/>
      <c r="R937" s="29"/>
      <c r="S937" s="29"/>
      <c r="T937" s="30"/>
      <c r="U937" s="47" t="str">
        <f aca="false">IF(AND(B937&lt;&gt;"",B937=SW別シート!$C$3),COUNTIF(B$5:B937,B937),"")</f>
        <v/>
      </c>
      <c r="V937" s="47" t="n">
        <f aca="false">V936+IF(OR(O937&lt;&gt;"",W937&lt;&gt;""),1,0)</f>
        <v>3</v>
      </c>
      <c r="W937" s="29"/>
    </row>
    <row r="938" customFormat="false" ht="15" hidden="false" customHeight="false" outlineLevel="0" collapsed="false">
      <c r="A938" s="32" t="str">
        <f aca="false">IF(B938="","",ROW()-7)</f>
        <v/>
      </c>
      <c r="B938" s="30"/>
      <c r="C938" s="29"/>
      <c r="D938" s="29"/>
      <c r="E938" s="29"/>
      <c r="F938" s="30"/>
      <c r="G938" s="29"/>
      <c r="H938" s="30"/>
      <c r="I938" s="29"/>
      <c r="J938" s="30"/>
      <c r="K938" s="30"/>
      <c r="L938" s="29"/>
      <c r="M938" s="32" t="str">
        <f aca="false">IF(OR(C938="",L938=""),"",IF(C938=L938,"同一","変更"))</f>
        <v/>
      </c>
      <c r="N938" s="29"/>
      <c r="O938" s="30"/>
      <c r="P938" s="29"/>
      <c r="Q938" s="31"/>
      <c r="R938" s="29"/>
      <c r="S938" s="29"/>
      <c r="T938" s="30"/>
      <c r="U938" s="47" t="str">
        <f aca="false">IF(AND(B938&lt;&gt;"",B938=SW別シート!$C$3),COUNTIF(B$5:B938,B938),"")</f>
        <v/>
      </c>
      <c r="V938" s="47" t="n">
        <f aca="false">V937+IF(OR(O938&lt;&gt;"",W938&lt;&gt;""),1,0)</f>
        <v>3</v>
      </c>
      <c r="W938" s="29"/>
    </row>
    <row r="939" customFormat="false" ht="15" hidden="false" customHeight="false" outlineLevel="0" collapsed="false">
      <c r="A939" s="32" t="str">
        <f aca="false">IF(B939="","",ROW()-7)</f>
        <v/>
      </c>
      <c r="B939" s="30"/>
      <c r="C939" s="29"/>
      <c r="D939" s="29"/>
      <c r="E939" s="29"/>
      <c r="F939" s="30"/>
      <c r="G939" s="29"/>
      <c r="H939" s="30"/>
      <c r="I939" s="29"/>
      <c r="J939" s="30"/>
      <c r="K939" s="30"/>
      <c r="L939" s="29"/>
      <c r="M939" s="32" t="str">
        <f aca="false">IF(OR(C939="",L939=""),"",IF(C939=L939,"同一","変更"))</f>
        <v/>
      </c>
      <c r="N939" s="29"/>
      <c r="O939" s="30"/>
      <c r="P939" s="29"/>
      <c r="Q939" s="31"/>
      <c r="R939" s="29"/>
      <c r="S939" s="29"/>
      <c r="T939" s="30"/>
      <c r="U939" s="47" t="str">
        <f aca="false">IF(AND(B939&lt;&gt;"",B939=SW別シート!$C$3),COUNTIF(B$5:B939,B939),"")</f>
        <v/>
      </c>
      <c r="V939" s="47" t="n">
        <f aca="false">V938+IF(OR(O939&lt;&gt;"",W939&lt;&gt;""),1,0)</f>
        <v>3</v>
      </c>
      <c r="W939" s="29"/>
    </row>
    <row r="940" customFormat="false" ht="15" hidden="false" customHeight="false" outlineLevel="0" collapsed="false">
      <c r="A940" s="32" t="str">
        <f aca="false">IF(B940="","",ROW()-7)</f>
        <v/>
      </c>
      <c r="B940" s="30"/>
      <c r="C940" s="29"/>
      <c r="D940" s="29"/>
      <c r="E940" s="29"/>
      <c r="F940" s="30"/>
      <c r="G940" s="29"/>
      <c r="H940" s="30"/>
      <c r="I940" s="29"/>
      <c r="J940" s="30"/>
      <c r="K940" s="30"/>
      <c r="L940" s="29"/>
      <c r="M940" s="32" t="str">
        <f aca="false">IF(OR(C940="",L940=""),"",IF(C940=L940,"同一","変更"))</f>
        <v/>
      </c>
      <c r="N940" s="29"/>
      <c r="O940" s="30"/>
      <c r="P940" s="29"/>
      <c r="Q940" s="31"/>
      <c r="R940" s="29"/>
      <c r="S940" s="29"/>
      <c r="T940" s="30"/>
      <c r="U940" s="47" t="str">
        <f aca="false">IF(AND(B940&lt;&gt;"",B940=SW別シート!$C$3),COUNTIF(B$5:B940,B940),"")</f>
        <v/>
      </c>
      <c r="V940" s="47" t="n">
        <f aca="false">V939+IF(OR(O940&lt;&gt;"",W940&lt;&gt;""),1,0)</f>
        <v>3</v>
      </c>
      <c r="W940" s="29"/>
    </row>
    <row r="941" customFormat="false" ht="15" hidden="false" customHeight="false" outlineLevel="0" collapsed="false">
      <c r="A941" s="32" t="str">
        <f aca="false">IF(B941="","",ROW()-7)</f>
        <v/>
      </c>
      <c r="B941" s="30"/>
      <c r="C941" s="29"/>
      <c r="D941" s="29"/>
      <c r="E941" s="29"/>
      <c r="F941" s="30"/>
      <c r="G941" s="29"/>
      <c r="H941" s="30"/>
      <c r="I941" s="29"/>
      <c r="J941" s="30"/>
      <c r="K941" s="30"/>
      <c r="L941" s="29"/>
      <c r="M941" s="32" t="str">
        <f aca="false">IF(OR(C941="",L941=""),"",IF(C941=L941,"同一","変更"))</f>
        <v/>
      </c>
      <c r="N941" s="29"/>
      <c r="O941" s="30"/>
      <c r="P941" s="29"/>
      <c r="Q941" s="31"/>
      <c r="R941" s="29"/>
      <c r="S941" s="29"/>
      <c r="T941" s="30"/>
      <c r="U941" s="47" t="str">
        <f aca="false">IF(AND(B941&lt;&gt;"",B941=SW別シート!$C$3),COUNTIF(B$5:B941,B941),"")</f>
        <v/>
      </c>
      <c r="V941" s="47" t="n">
        <f aca="false">V940+IF(OR(O941&lt;&gt;"",W941&lt;&gt;""),1,0)</f>
        <v>3</v>
      </c>
      <c r="W941" s="29"/>
    </row>
    <row r="942" customFormat="false" ht="15" hidden="false" customHeight="false" outlineLevel="0" collapsed="false">
      <c r="A942" s="32" t="str">
        <f aca="false">IF(B942="","",ROW()-7)</f>
        <v/>
      </c>
      <c r="B942" s="30"/>
      <c r="C942" s="29"/>
      <c r="D942" s="29"/>
      <c r="E942" s="29"/>
      <c r="F942" s="30"/>
      <c r="G942" s="29"/>
      <c r="H942" s="30"/>
      <c r="I942" s="29"/>
      <c r="J942" s="30"/>
      <c r="K942" s="30"/>
      <c r="L942" s="29"/>
      <c r="M942" s="32" t="str">
        <f aca="false">IF(OR(C942="",L942=""),"",IF(C942=L942,"同一","変更"))</f>
        <v/>
      </c>
      <c r="N942" s="29"/>
      <c r="O942" s="30"/>
      <c r="P942" s="29"/>
      <c r="Q942" s="31"/>
      <c r="R942" s="29"/>
      <c r="S942" s="29"/>
      <c r="T942" s="30"/>
      <c r="U942" s="47" t="str">
        <f aca="false">IF(AND(B942&lt;&gt;"",B942=SW別シート!$C$3),COUNTIF(B$5:B942,B942),"")</f>
        <v/>
      </c>
      <c r="V942" s="47" t="n">
        <f aca="false">V941+IF(OR(O942&lt;&gt;"",W942&lt;&gt;""),1,0)</f>
        <v>3</v>
      </c>
      <c r="W942" s="29"/>
    </row>
    <row r="943" customFormat="false" ht="15" hidden="false" customHeight="false" outlineLevel="0" collapsed="false">
      <c r="A943" s="32" t="str">
        <f aca="false">IF(B943="","",ROW()-7)</f>
        <v/>
      </c>
      <c r="B943" s="30"/>
      <c r="C943" s="29"/>
      <c r="D943" s="29"/>
      <c r="E943" s="29"/>
      <c r="F943" s="30"/>
      <c r="G943" s="29"/>
      <c r="H943" s="30"/>
      <c r="I943" s="29"/>
      <c r="J943" s="30"/>
      <c r="K943" s="30"/>
      <c r="L943" s="29"/>
      <c r="M943" s="32" t="str">
        <f aca="false">IF(OR(C943="",L943=""),"",IF(C943=L943,"同一","変更"))</f>
        <v/>
      </c>
      <c r="N943" s="29"/>
      <c r="O943" s="30"/>
      <c r="P943" s="29"/>
      <c r="Q943" s="31"/>
      <c r="R943" s="29"/>
      <c r="S943" s="29"/>
      <c r="T943" s="30"/>
      <c r="U943" s="47" t="str">
        <f aca="false">IF(AND(B943&lt;&gt;"",B943=SW別シート!$C$3),COUNTIF(B$5:B943,B943),"")</f>
        <v/>
      </c>
      <c r="V943" s="47" t="n">
        <f aca="false">V942+IF(OR(O943&lt;&gt;"",W943&lt;&gt;""),1,0)</f>
        <v>3</v>
      </c>
      <c r="W943" s="29"/>
    </row>
    <row r="944" customFormat="false" ht="15" hidden="false" customHeight="false" outlineLevel="0" collapsed="false">
      <c r="A944" s="32" t="str">
        <f aca="false">IF(B944="","",ROW()-7)</f>
        <v/>
      </c>
      <c r="B944" s="30"/>
      <c r="C944" s="29"/>
      <c r="D944" s="29"/>
      <c r="E944" s="29"/>
      <c r="F944" s="30"/>
      <c r="G944" s="29"/>
      <c r="H944" s="30"/>
      <c r="I944" s="29"/>
      <c r="J944" s="30"/>
      <c r="K944" s="30"/>
      <c r="L944" s="29"/>
      <c r="M944" s="32" t="str">
        <f aca="false">IF(OR(C944="",L944=""),"",IF(C944=L944,"同一","変更"))</f>
        <v/>
      </c>
      <c r="N944" s="29"/>
      <c r="O944" s="30"/>
      <c r="P944" s="29"/>
      <c r="Q944" s="31"/>
      <c r="R944" s="29"/>
      <c r="S944" s="29"/>
      <c r="T944" s="30"/>
      <c r="U944" s="47" t="str">
        <f aca="false">IF(AND(B944&lt;&gt;"",B944=SW別シート!$C$3),COUNTIF(B$5:B944,B944),"")</f>
        <v/>
      </c>
      <c r="V944" s="47" t="n">
        <f aca="false">V943+IF(OR(O944&lt;&gt;"",W944&lt;&gt;""),1,0)</f>
        <v>3</v>
      </c>
      <c r="W944" s="29"/>
    </row>
    <row r="945" customFormat="false" ht="15" hidden="false" customHeight="false" outlineLevel="0" collapsed="false">
      <c r="A945" s="32" t="str">
        <f aca="false">IF(B945="","",ROW()-7)</f>
        <v/>
      </c>
      <c r="B945" s="30"/>
      <c r="C945" s="29"/>
      <c r="D945" s="29"/>
      <c r="E945" s="29"/>
      <c r="F945" s="30"/>
      <c r="G945" s="29"/>
      <c r="H945" s="30"/>
      <c r="I945" s="29"/>
      <c r="J945" s="30"/>
      <c r="K945" s="30"/>
      <c r="L945" s="29"/>
      <c r="M945" s="32" t="str">
        <f aca="false">IF(OR(C945="",L945=""),"",IF(C945=L945,"同一","変更"))</f>
        <v/>
      </c>
      <c r="N945" s="29"/>
      <c r="O945" s="30"/>
      <c r="P945" s="29"/>
      <c r="Q945" s="31"/>
      <c r="R945" s="29"/>
      <c r="S945" s="29"/>
      <c r="T945" s="30"/>
      <c r="U945" s="47" t="str">
        <f aca="false">IF(AND(B945&lt;&gt;"",B945=SW別シート!$C$3),COUNTIF(B$5:B945,B945),"")</f>
        <v/>
      </c>
      <c r="V945" s="47" t="n">
        <f aca="false">V944+IF(OR(O945&lt;&gt;"",W945&lt;&gt;""),1,0)</f>
        <v>3</v>
      </c>
      <c r="W945" s="29"/>
    </row>
    <row r="946" customFormat="false" ht="15" hidden="false" customHeight="false" outlineLevel="0" collapsed="false">
      <c r="A946" s="32" t="str">
        <f aca="false">IF(B946="","",ROW()-7)</f>
        <v/>
      </c>
      <c r="B946" s="30"/>
      <c r="C946" s="29"/>
      <c r="D946" s="29"/>
      <c r="E946" s="29"/>
      <c r="F946" s="30"/>
      <c r="G946" s="29"/>
      <c r="H946" s="30"/>
      <c r="I946" s="29"/>
      <c r="J946" s="30"/>
      <c r="K946" s="30"/>
      <c r="L946" s="29"/>
      <c r="M946" s="32" t="str">
        <f aca="false">IF(OR(C946="",L946=""),"",IF(C946=L946,"同一","変更"))</f>
        <v/>
      </c>
      <c r="N946" s="29"/>
      <c r="O946" s="30"/>
      <c r="P946" s="29"/>
      <c r="Q946" s="31"/>
      <c r="R946" s="29"/>
      <c r="S946" s="29"/>
      <c r="T946" s="30"/>
      <c r="U946" s="47" t="str">
        <f aca="false">IF(AND(B946&lt;&gt;"",B946=SW別シート!$C$3),COUNTIF(B$5:B946,B946),"")</f>
        <v/>
      </c>
      <c r="V946" s="47" t="n">
        <f aca="false">V945+IF(OR(O946&lt;&gt;"",W946&lt;&gt;""),1,0)</f>
        <v>3</v>
      </c>
      <c r="W946" s="29"/>
    </row>
    <row r="947" customFormat="false" ht="15" hidden="false" customHeight="false" outlineLevel="0" collapsed="false">
      <c r="A947" s="32" t="str">
        <f aca="false">IF(B947="","",ROW()-7)</f>
        <v/>
      </c>
      <c r="B947" s="30"/>
      <c r="C947" s="29"/>
      <c r="D947" s="29"/>
      <c r="E947" s="29"/>
      <c r="F947" s="30"/>
      <c r="G947" s="29"/>
      <c r="H947" s="30"/>
      <c r="I947" s="29"/>
      <c r="J947" s="30"/>
      <c r="K947" s="30"/>
      <c r="L947" s="29"/>
      <c r="M947" s="32" t="str">
        <f aca="false">IF(OR(C947="",L947=""),"",IF(C947=L947,"同一","変更"))</f>
        <v/>
      </c>
      <c r="N947" s="29"/>
      <c r="O947" s="30"/>
      <c r="P947" s="29"/>
      <c r="Q947" s="31"/>
      <c r="R947" s="29"/>
      <c r="S947" s="29"/>
      <c r="T947" s="30"/>
      <c r="U947" s="47" t="str">
        <f aca="false">IF(AND(B947&lt;&gt;"",B947=SW別シート!$C$3),COUNTIF(B$5:B947,B947),"")</f>
        <v/>
      </c>
      <c r="V947" s="47" t="n">
        <f aca="false">V946+IF(OR(O947&lt;&gt;"",W947&lt;&gt;""),1,0)</f>
        <v>3</v>
      </c>
      <c r="W947" s="29"/>
    </row>
    <row r="948" customFormat="false" ht="15" hidden="false" customHeight="false" outlineLevel="0" collapsed="false">
      <c r="A948" s="32" t="str">
        <f aca="false">IF(B948="","",ROW()-7)</f>
        <v/>
      </c>
      <c r="B948" s="30"/>
      <c r="C948" s="29"/>
      <c r="D948" s="29"/>
      <c r="E948" s="29"/>
      <c r="F948" s="30"/>
      <c r="G948" s="29"/>
      <c r="H948" s="30"/>
      <c r="I948" s="29"/>
      <c r="J948" s="30"/>
      <c r="K948" s="30"/>
      <c r="L948" s="29"/>
      <c r="M948" s="32" t="str">
        <f aca="false">IF(OR(C948="",L948=""),"",IF(C948=L948,"同一","変更"))</f>
        <v/>
      </c>
      <c r="N948" s="29"/>
      <c r="O948" s="30"/>
      <c r="P948" s="29"/>
      <c r="Q948" s="31"/>
      <c r="R948" s="29"/>
      <c r="S948" s="29"/>
      <c r="T948" s="30"/>
      <c r="U948" s="47" t="str">
        <f aca="false">IF(AND(B948&lt;&gt;"",B948=SW別シート!$C$3),COUNTIF(B$5:B948,B948),"")</f>
        <v/>
      </c>
      <c r="V948" s="47" t="n">
        <f aca="false">V947+IF(OR(O948&lt;&gt;"",W948&lt;&gt;""),1,0)</f>
        <v>3</v>
      </c>
      <c r="W948" s="29"/>
    </row>
    <row r="949" customFormat="false" ht="15" hidden="false" customHeight="false" outlineLevel="0" collapsed="false">
      <c r="A949" s="32" t="str">
        <f aca="false">IF(B949="","",ROW()-7)</f>
        <v/>
      </c>
      <c r="B949" s="30"/>
      <c r="C949" s="29"/>
      <c r="D949" s="29"/>
      <c r="E949" s="29"/>
      <c r="F949" s="30"/>
      <c r="G949" s="29"/>
      <c r="H949" s="30"/>
      <c r="I949" s="29"/>
      <c r="J949" s="30"/>
      <c r="K949" s="30"/>
      <c r="L949" s="29"/>
      <c r="M949" s="32" t="str">
        <f aca="false">IF(OR(C949="",L949=""),"",IF(C949=L949,"同一","変更"))</f>
        <v/>
      </c>
      <c r="N949" s="29"/>
      <c r="O949" s="30"/>
      <c r="P949" s="29"/>
      <c r="Q949" s="31"/>
      <c r="R949" s="29"/>
      <c r="S949" s="29"/>
      <c r="T949" s="30"/>
      <c r="U949" s="47" t="str">
        <f aca="false">IF(AND(B949&lt;&gt;"",B949=SW別シート!$C$3),COUNTIF(B$5:B949,B949),"")</f>
        <v/>
      </c>
      <c r="V949" s="47" t="n">
        <f aca="false">V948+IF(OR(O949&lt;&gt;"",W949&lt;&gt;""),1,0)</f>
        <v>3</v>
      </c>
      <c r="W949" s="29"/>
    </row>
    <row r="950" customFormat="false" ht="15" hidden="false" customHeight="false" outlineLevel="0" collapsed="false">
      <c r="A950" s="32" t="str">
        <f aca="false">IF(B950="","",ROW()-7)</f>
        <v/>
      </c>
      <c r="B950" s="30"/>
      <c r="C950" s="29"/>
      <c r="D950" s="29"/>
      <c r="E950" s="29"/>
      <c r="F950" s="30"/>
      <c r="G950" s="29"/>
      <c r="H950" s="30"/>
      <c r="I950" s="29"/>
      <c r="J950" s="30"/>
      <c r="K950" s="30"/>
      <c r="L950" s="29"/>
      <c r="M950" s="32" t="str">
        <f aca="false">IF(OR(C950="",L950=""),"",IF(C950=L950,"同一","変更"))</f>
        <v/>
      </c>
      <c r="N950" s="29"/>
      <c r="O950" s="30"/>
      <c r="P950" s="29"/>
      <c r="Q950" s="31"/>
      <c r="R950" s="29"/>
      <c r="S950" s="29"/>
      <c r="T950" s="30"/>
      <c r="U950" s="47" t="str">
        <f aca="false">IF(AND(B950&lt;&gt;"",B950=SW別シート!$C$3),COUNTIF(B$5:B950,B950),"")</f>
        <v/>
      </c>
      <c r="V950" s="47" t="n">
        <f aca="false">V949+IF(OR(O950&lt;&gt;"",W950&lt;&gt;""),1,0)</f>
        <v>3</v>
      </c>
      <c r="W950" s="29"/>
    </row>
    <row r="951" customFormat="false" ht="15" hidden="false" customHeight="false" outlineLevel="0" collapsed="false">
      <c r="A951" s="32" t="str">
        <f aca="false">IF(B951="","",ROW()-7)</f>
        <v/>
      </c>
      <c r="B951" s="30"/>
      <c r="C951" s="29"/>
      <c r="D951" s="29"/>
      <c r="E951" s="29"/>
      <c r="F951" s="30"/>
      <c r="G951" s="29"/>
      <c r="H951" s="30"/>
      <c r="I951" s="29"/>
      <c r="J951" s="30"/>
      <c r="K951" s="30"/>
      <c r="L951" s="29"/>
      <c r="M951" s="32" t="str">
        <f aca="false">IF(OR(C951="",L951=""),"",IF(C951=L951,"同一","変更"))</f>
        <v/>
      </c>
      <c r="N951" s="29"/>
      <c r="O951" s="30"/>
      <c r="P951" s="29"/>
      <c r="Q951" s="31"/>
      <c r="R951" s="29"/>
      <c r="S951" s="29"/>
      <c r="T951" s="30"/>
      <c r="U951" s="47" t="str">
        <f aca="false">IF(AND(B951&lt;&gt;"",B951=SW別シート!$C$3),COUNTIF(B$5:B951,B951),"")</f>
        <v/>
      </c>
      <c r="V951" s="47" t="n">
        <f aca="false">V950+IF(OR(O951&lt;&gt;"",W951&lt;&gt;""),1,0)</f>
        <v>3</v>
      </c>
      <c r="W951" s="29"/>
    </row>
    <row r="952" customFormat="false" ht="15" hidden="false" customHeight="false" outlineLevel="0" collapsed="false">
      <c r="A952" s="32" t="str">
        <f aca="false">IF(B952="","",ROW()-7)</f>
        <v/>
      </c>
      <c r="B952" s="30"/>
      <c r="C952" s="29"/>
      <c r="D952" s="29"/>
      <c r="E952" s="29"/>
      <c r="F952" s="30"/>
      <c r="G952" s="29"/>
      <c r="H952" s="30"/>
      <c r="I952" s="29"/>
      <c r="J952" s="30"/>
      <c r="K952" s="30"/>
      <c r="L952" s="29"/>
      <c r="M952" s="32" t="str">
        <f aca="false">IF(OR(C952="",L952=""),"",IF(C952=L952,"同一","変更"))</f>
        <v/>
      </c>
      <c r="N952" s="29"/>
      <c r="O952" s="30"/>
      <c r="P952" s="29"/>
      <c r="Q952" s="31"/>
      <c r="R952" s="29"/>
      <c r="S952" s="29"/>
      <c r="T952" s="30"/>
      <c r="U952" s="47" t="str">
        <f aca="false">IF(AND(B952&lt;&gt;"",B952=SW別シート!$C$3),COUNTIF(B$5:B952,B952),"")</f>
        <v/>
      </c>
      <c r="V952" s="47" t="n">
        <f aca="false">V951+IF(OR(O952&lt;&gt;"",W952&lt;&gt;""),1,0)</f>
        <v>3</v>
      </c>
      <c r="W952" s="29"/>
    </row>
    <row r="953" customFormat="false" ht="15" hidden="false" customHeight="false" outlineLevel="0" collapsed="false">
      <c r="A953" s="32" t="str">
        <f aca="false">IF(B953="","",ROW()-7)</f>
        <v/>
      </c>
      <c r="B953" s="30"/>
      <c r="C953" s="29"/>
      <c r="D953" s="29"/>
      <c r="E953" s="29"/>
      <c r="F953" s="30"/>
      <c r="G953" s="29"/>
      <c r="H953" s="30"/>
      <c r="I953" s="29"/>
      <c r="J953" s="30"/>
      <c r="K953" s="30"/>
      <c r="L953" s="29"/>
      <c r="M953" s="32" t="str">
        <f aca="false">IF(OR(C953="",L953=""),"",IF(C953=L953,"同一","変更"))</f>
        <v/>
      </c>
      <c r="N953" s="29"/>
      <c r="O953" s="30"/>
      <c r="P953" s="29"/>
      <c r="Q953" s="31"/>
      <c r="R953" s="29"/>
      <c r="S953" s="29"/>
      <c r="T953" s="30"/>
      <c r="U953" s="47" t="str">
        <f aca="false">IF(AND(B953&lt;&gt;"",B953=SW別シート!$C$3),COUNTIF(B$5:B953,B953),"")</f>
        <v/>
      </c>
      <c r="V953" s="47" t="n">
        <f aca="false">V952+IF(OR(O953&lt;&gt;"",W953&lt;&gt;""),1,0)</f>
        <v>3</v>
      </c>
      <c r="W953" s="29"/>
    </row>
    <row r="954" customFormat="false" ht="15" hidden="false" customHeight="false" outlineLevel="0" collapsed="false">
      <c r="A954" s="32" t="str">
        <f aca="false">IF(B954="","",ROW()-7)</f>
        <v/>
      </c>
      <c r="B954" s="30"/>
      <c r="C954" s="29"/>
      <c r="D954" s="29"/>
      <c r="E954" s="29"/>
      <c r="F954" s="30"/>
      <c r="G954" s="29"/>
      <c r="H954" s="30"/>
      <c r="I954" s="29"/>
      <c r="J954" s="30"/>
      <c r="K954" s="30"/>
      <c r="L954" s="29"/>
      <c r="M954" s="32" t="str">
        <f aca="false">IF(OR(C954="",L954=""),"",IF(C954=L954,"同一","変更"))</f>
        <v/>
      </c>
      <c r="N954" s="29"/>
      <c r="O954" s="30"/>
      <c r="P954" s="29"/>
      <c r="Q954" s="31"/>
      <c r="R954" s="29"/>
      <c r="S954" s="29"/>
      <c r="T954" s="30"/>
      <c r="U954" s="47" t="str">
        <f aca="false">IF(AND(B954&lt;&gt;"",B954=SW別シート!$C$3),COUNTIF(B$5:B954,B954),"")</f>
        <v/>
      </c>
      <c r="V954" s="47" t="n">
        <f aca="false">V953+IF(OR(O954&lt;&gt;"",W954&lt;&gt;""),1,0)</f>
        <v>3</v>
      </c>
      <c r="W954" s="29"/>
    </row>
    <row r="955" customFormat="false" ht="15" hidden="false" customHeight="false" outlineLevel="0" collapsed="false">
      <c r="A955" s="32" t="str">
        <f aca="false">IF(B955="","",ROW()-7)</f>
        <v/>
      </c>
      <c r="B955" s="30"/>
      <c r="C955" s="29"/>
      <c r="D955" s="29"/>
      <c r="E955" s="29"/>
      <c r="F955" s="30"/>
      <c r="G955" s="29"/>
      <c r="H955" s="30"/>
      <c r="I955" s="29"/>
      <c r="J955" s="30"/>
      <c r="K955" s="30"/>
      <c r="L955" s="29"/>
      <c r="M955" s="32" t="str">
        <f aca="false">IF(OR(C955="",L955=""),"",IF(C955=L955,"同一","変更"))</f>
        <v/>
      </c>
      <c r="N955" s="29"/>
      <c r="O955" s="30"/>
      <c r="P955" s="29"/>
      <c r="Q955" s="31"/>
      <c r="R955" s="29"/>
      <c r="S955" s="29"/>
      <c r="T955" s="30"/>
      <c r="U955" s="47" t="str">
        <f aca="false">IF(AND(B955&lt;&gt;"",B955=SW別シート!$C$3),COUNTIF(B$5:B955,B955),"")</f>
        <v/>
      </c>
      <c r="V955" s="47" t="n">
        <f aca="false">V954+IF(OR(O955&lt;&gt;"",W955&lt;&gt;""),1,0)</f>
        <v>3</v>
      </c>
      <c r="W955" s="29"/>
    </row>
    <row r="956" customFormat="false" ht="15" hidden="false" customHeight="false" outlineLevel="0" collapsed="false">
      <c r="A956" s="32" t="str">
        <f aca="false">IF(B956="","",ROW()-7)</f>
        <v/>
      </c>
      <c r="B956" s="30"/>
      <c r="C956" s="29"/>
      <c r="D956" s="29"/>
      <c r="E956" s="29"/>
      <c r="F956" s="30"/>
      <c r="G956" s="29"/>
      <c r="H956" s="30"/>
      <c r="I956" s="29"/>
      <c r="J956" s="30"/>
      <c r="K956" s="30"/>
      <c r="L956" s="29"/>
      <c r="M956" s="32" t="str">
        <f aca="false">IF(OR(C956="",L956=""),"",IF(C956=L956,"同一","変更"))</f>
        <v/>
      </c>
      <c r="N956" s="29"/>
      <c r="O956" s="30"/>
      <c r="P956" s="29"/>
      <c r="Q956" s="31"/>
      <c r="R956" s="29"/>
      <c r="S956" s="29"/>
      <c r="T956" s="30"/>
      <c r="U956" s="47" t="str">
        <f aca="false">IF(AND(B956&lt;&gt;"",B956=SW別シート!$C$3),COUNTIF(B$5:B956,B956),"")</f>
        <v/>
      </c>
      <c r="V956" s="47" t="n">
        <f aca="false">V955+IF(OR(O956&lt;&gt;"",W956&lt;&gt;""),1,0)</f>
        <v>3</v>
      </c>
      <c r="W956" s="29"/>
    </row>
    <row r="957" customFormat="false" ht="15" hidden="false" customHeight="false" outlineLevel="0" collapsed="false">
      <c r="A957" s="32" t="str">
        <f aca="false">IF(B957="","",ROW()-7)</f>
        <v/>
      </c>
      <c r="B957" s="30"/>
      <c r="C957" s="29"/>
      <c r="D957" s="29"/>
      <c r="E957" s="29"/>
      <c r="F957" s="30"/>
      <c r="G957" s="29"/>
      <c r="H957" s="30"/>
      <c r="I957" s="29"/>
      <c r="J957" s="30"/>
      <c r="K957" s="30"/>
      <c r="L957" s="29"/>
      <c r="M957" s="32" t="str">
        <f aca="false">IF(OR(C957="",L957=""),"",IF(C957=L957,"同一","変更"))</f>
        <v/>
      </c>
      <c r="N957" s="29"/>
      <c r="O957" s="30"/>
      <c r="P957" s="29"/>
      <c r="Q957" s="31"/>
      <c r="R957" s="29"/>
      <c r="S957" s="29"/>
      <c r="T957" s="30"/>
      <c r="U957" s="47" t="str">
        <f aca="false">IF(AND(B957&lt;&gt;"",B957=SW別シート!$C$3),COUNTIF(B$5:B957,B957),"")</f>
        <v/>
      </c>
      <c r="V957" s="47" t="n">
        <f aca="false">V956+IF(OR(O957&lt;&gt;"",W957&lt;&gt;""),1,0)</f>
        <v>3</v>
      </c>
      <c r="W957" s="29"/>
    </row>
    <row r="958" customFormat="false" ht="15" hidden="false" customHeight="false" outlineLevel="0" collapsed="false">
      <c r="A958" s="32" t="str">
        <f aca="false">IF(B958="","",ROW()-7)</f>
        <v/>
      </c>
      <c r="B958" s="30"/>
      <c r="C958" s="29"/>
      <c r="D958" s="29"/>
      <c r="E958" s="29"/>
      <c r="F958" s="30"/>
      <c r="G958" s="29"/>
      <c r="H958" s="30"/>
      <c r="I958" s="29"/>
      <c r="J958" s="30"/>
      <c r="K958" s="30"/>
      <c r="L958" s="29"/>
      <c r="M958" s="32" t="str">
        <f aca="false">IF(OR(C958="",L958=""),"",IF(C958=L958,"同一","変更"))</f>
        <v/>
      </c>
      <c r="N958" s="29"/>
      <c r="O958" s="30"/>
      <c r="P958" s="29"/>
      <c r="Q958" s="31"/>
      <c r="R958" s="29"/>
      <c r="S958" s="29"/>
      <c r="T958" s="30"/>
      <c r="U958" s="47" t="str">
        <f aca="false">IF(AND(B958&lt;&gt;"",B958=SW別シート!$C$3),COUNTIF(B$5:B958,B958),"")</f>
        <v/>
      </c>
      <c r="V958" s="47" t="n">
        <f aca="false">V957+IF(OR(O958&lt;&gt;"",W958&lt;&gt;""),1,0)</f>
        <v>3</v>
      </c>
      <c r="W958" s="29"/>
    </row>
    <row r="959" customFormat="false" ht="15" hidden="false" customHeight="false" outlineLevel="0" collapsed="false">
      <c r="A959" s="32" t="str">
        <f aca="false">IF(B959="","",ROW()-7)</f>
        <v/>
      </c>
      <c r="B959" s="30"/>
      <c r="C959" s="29"/>
      <c r="D959" s="29"/>
      <c r="E959" s="29"/>
      <c r="F959" s="30"/>
      <c r="G959" s="29"/>
      <c r="H959" s="30"/>
      <c r="I959" s="29"/>
      <c r="J959" s="30"/>
      <c r="K959" s="30"/>
      <c r="L959" s="29"/>
      <c r="M959" s="32" t="str">
        <f aca="false">IF(OR(C959="",L959=""),"",IF(C959=L959,"同一","変更"))</f>
        <v/>
      </c>
      <c r="N959" s="29"/>
      <c r="O959" s="30"/>
      <c r="P959" s="29"/>
      <c r="Q959" s="31"/>
      <c r="R959" s="29"/>
      <c r="S959" s="29"/>
      <c r="T959" s="30"/>
      <c r="U959" s="47" t="str">
        <f aca="false">IF(AND(B959&lt;&gt;"",B959=SW別シート!$C$3),COUNTIF(B$5:B959,B959),"")</f>
        <v/>
      </c>
      <c r="V959" s="47" t="n">
        <f aca="false">V958+IF(OR(O959&lt;&gt;"",W959&lt;&gt;""),1,0)</f>
        <v>3</v>
      </c>
      <c r="W959" s="29"/>
    </row>
    <row r="960" customFormat="false" ht="15" hidden="false" customHeight="false" outlineLevel="0" collapsed="false">
      <c r="A960" s="32" t="str">
        <f aca="false">IF(B960="","",ROW()-7)</f>
        <v/>
      </c>
      <c r="B960" s="30"/>
      <c r="C960" s="29"/>
      <c r="D960" s="29"/>
      <c r="E960" s="29"/>
      <c r="F960" s="30"/>
      <c r="G960" s="29"/>
      <c r="H960" s="30"/>
      <c r="I960" s="29"/>
      <c r="J960" s="30"/>
      <c r="K960" s="30"/>
      <c r="L960" s="29"/>
      <c r="M960" s="32" t="str">
        <f aca="false">IF(OR(C960="",L960=""),"",IF(C960=L960,"同一","変更"))</f>
        <v/>
      </c>
      <c r="N960" s="29"/>
      <c r="O960" s="30"/>
      <c r="P960" s="29"/>
      <c r="Q960" s="31"/>
      <c r="R960" s="29"/>
      <c r="S960" s="29"/>
      <c r="T960" s="30"/>
      <c r="U960" s="47" t="str">
        <f aca="false">IF(AND(B960&lt;&gt;"",B960=SW別シート!$C$3),COUNTIF(B$5:B960,B960),"")</f>
        <v/>
      </c>
      <c r="V960" s="47" t="n">
        <f aca="false">V959+IF(OR(O960&lt;&gt;"",W960&lt;&gt;""),1,0)</f>
        <v>3</v>
      </c>
      <c r="W960" s="29"/>
    </row>
    <row r="961" customFormat="false" ht="15" hidden="false" customHeight="false" outlineLevel="0" collapsed="false">
      <c r="A961" s="32" t="str">
        <f aca="false">IF(B961="","",ROW()-7)</f>
        <v/>
      </c>
      <c r="B961" s="30"/>
      <c r="C961" s="29"/>
      <c r="D961" s="29"/>
      <c r="E961" s="29"/>
      <c r="F961" s="30"/>
      <c r="G961" s="29"/>
      <c r="H961" s="30"/>
      <c r="I961" s="29"/>
      <c r="J961" s="30"/>
      <c r="K961" s="30"/>
      <c r="L961" s="29"/>
      <c r="M961" s="32" t="str">
        <f aca="false">IF(OR(C961="",L961=""),"",IF(C961=L961,"同一","変更"))</f>
        <v/>
      </c>
      <c r="N961" s="29"/>
      <c r="O961" s="30"/>
      <c r="P961" s="29"/>
      <c r="Q961" s="31"/>
      <c r="R961" s="29"/>
      <c r="S961" s="29"/>
      <c r="T961" s="30"/>
      <c r="U961" s="47" t="str">
        <f aca="false">IF(AND(B961&lt;&gt;"",B961=SW別シート!$C$3),COUNTIF(B$5:B961,B961),"")</f>
        <v/>
      </c>
      <c r="V961" s="47" t="n">
        <f aca="false">V960+IF(OR(O961&lt;&gt;"",W961&lt;&gt;""),1,0)</f>
        <v>3</v>
      </c>
      <c r="W961" s="29"/>
    </row>
    <row r="962" customFormat="false" ht="15" hidden="false" customHeight="false" outlineLevel="0" collapsed="false">
      <c r="A962" s="32" t="str">
        <f aca="false">IF(B962="","",ROW()-7)</f>
        <v/>
      </c>
      <c r="B962" s="30"/>
      <c r="C962" s="29"/>
      <c r="D962" s="29"/>
      <c r="E962" s="29"/>
      <c r="F962" s="30"/>
      <c r="G962" s="29"/>
      <c r="H962" s="30"/>
      <c r="I962" s="29"/>
      <c r="J962" s="30"/>
      <c r="K962" s="30"/>
      <c r="L962" s="29"/>
      <c r="M962" s="32" t="str">
        <f aca="false">IF(OR(C962="",L962=""),"",IF(C962=L962,"同一","変更"))</f>
        <v/>
      </c>
      <c r="N962" s="29"/>
      <c r="O962" s="30"/>
      <c r="P962" s="29"/>
      <c r="Q962" s="31"/>
      <c r="R962" s="29"/>
      <c r="S962" s="29"/>
      <c r="T962" s="30"/>
      <c r="U962" s="47" t="str">
        <f aca="false">IF(AND(B962&lt;&gt;"",B962=SW別シート!$C$3),COUNTIF(B$5:B962,B962),"")</f>
        <v/>
      </c>
      <c r="V962" s="47" t="n">
        <f aca="false">V961+IF(OR(O962&lt;&gt;"",W962&lt;&gt;""),1,0)</f>
        <v>3</v>
      </c>
      <c r="W962" s="29"/>
    </row>
    <row r="963" customFormat="false" ht="15" hidden="false" customHeight="false" outlineLevel="0" collapsed="false">
      <c r="A963" s="32" t="str">
        <f aca="false">IF(B963="","",ROW()-7)</f>
        <v/>
      </c>
      <c r="B963" s="30"/>
      <c r="C963" s="29"/>
      <c r="D963" s="29"/>
      <c r="E963" s="29"/>
      <c r="F963" s="30"/>
      <c r="G963" s="29"/>
      <c r="H963" s="30"/>
      <c r="I963" s="29"/>
      <c r="J963" s="30"/>
      <c r="K963" s="30"/>
      <c r="L963" s="29"/>
      <c r="M963" s="32" t="str">
        <f aca="false">IF(OR(C963="",L963=""),"",IF(C963=L963,"同一","変更"))</f>
        <v/>
      </c>
      <c r="N963" s="29"/>
      <c r="O963" s="30"/>
      <c r="P963" s="29"/>
      <c r="Q963" s="31"/>
      <c r="R963" s="29"/>
      <c r="S963" s="29"/>
      <c r="T963" s="30"/>
      <c r="U963" s="47" t="str">
        <f aca="false">IF(AND(B963&lt;&gt;"",B963=SW別シート!$C$3),COUNTIF(B$5:B963,B963),"")</f>
        <v/>
      </c>
      <c r="V963" s="47" t="n">
        <f aca="false">V962+IF(OR(O963&lt;&gt;"",W963&lt;&gt;""),1,0)</f>
        <v>3</v>
      </c>
      <c r="W963" s="29"/>
    </row>
    <row r="964" customFormat="false" ht="15" hidden="false" customHeight="false" outlineLevel="0" collapsed="false">
      <c r="A964" s="32" t="str">
        <f aca="false">IF(B964="","",ROW()-7)</f>
        <v/>
      </c>
      <c r="B964" s="30"/>
      <c r="C964" s="29"/>
      <c r="D964" s="29"/>
      <c r="E964" s="29"/>
      <c r="F964" s="30"/>
      <c r="G964" s="29"/>
      <c r="H964" s="30"/>
      <c r="I964" s="29"/>
      <c r="J964" s="30"/>
      <c r="K964" s="30"/>
      <c r="L964" s="29"/>
      <c r="M964" s="32" t="str">
        <f aca="false">IF(OR(C964="",L964=""),"",IF(C964=L964,"同一","変更"))</f>
        <v/>
      </c>
      <c r="N964" s="29"/>
      <c r="O964" s="30"/>
      <c r="P964" s="29"/>
      <c r="Q964" s="31"/>
      <c r="R964" s="29"/>
      <c r="S964" s="29"/>
      <c r="T964" s="30"/>
      <c r="U964" s="47" t="str">
        <f aca="false">IF(AND(B964&lt;&gt;"",B964=SW別シート!$C$3),COUNTIF(B$5:B964,B964),"")</f>
        <v/>
      </c>
      <c r="V964" s="47" t="n">
        <f aca="false">V963+IF(OR(O964&lt;&gt;"",W964&lt;&gt;""),1,0)</f>
        <v>3</v>
      </c>
      <c r="W964" s="29"/>
    </row>
    <row r="965" customFormat="false" ht="15" hidden="false" customHeight="false" outlineLevel="0" collapsed="false">
      <c r="A965" s="32" t="str">
        <f aca="false">IF(B965="","",ROW()-7)</f>
        <v/>
      </c>
      <c r="B965" s="30"/>
      <c r="C965" s="29"/>
      <c r="D965" s="29"/>
      <c r="E965" s="29"/>
      <c r="F965" s="30"/>
      <c r="G965" s="29"/>
      <c r="H965" s="30"/>
      <c r="I965" s="29"/>
      <c r="J965" s="30"/>
      <c r="K965" s="30"/>
      <c r="L965" s="29"/>
      <c r="M965" s="32" t="str">
        <f aca="false">IF(OR(C965="",L965=""),"",IF(C965=L965,"同一","変更"))</f>
        <v/>
      </c>
      <c r="N965" s="29"/>
      <c r="O965" s="30"/>
      <c r="P965" s="29"/>
      <c r="Q965" s="31"/>
      <c r="R965" s="29"/>
      <c r="S965" s="29"/>
      <c r="T965" s="30"/>
      <c r="U965" s="47" t="str">
        <f aca="false">IF(AND(B965&lt;&gt;"",B965=SW別シート!$C$3),COUNTIF(B$5:B965,B965),"")</f>
        <v/>
      </c>
      <c r="V965" s="47" t="n">
        <f aca="false">V964+IF(OR(O965&lt;&gt;"",W965&lt;&gt;""),1,0)</f>
        <v>3</v>
      </c>
      <c r="W965" s="29"/>
    </row>
    <row r="966" customFormat="false" ht="15" hidden="false" customHeight="false" outlineLevel="0" collapsed="false">
      <c r="A966" s="32" t="str">
        <f aca="false">IF(B966="","",ROW()-7)</f>
        <v/>
      </c>
      <c r="B966" s="30"/>
      <c r="C966" s="29"/>
      <c r="D966" s="29"/>
      <c r="E966" s="29"/>
      <c r="F966" s="30"/>
      <c r="G966" s="29"/>
      <c r="H966" s="30"/>
      <c r="I966" s="29"/>
      <c r="J966" s="30"/>
      <c r="K966" s="30"/>
      <c r="L966" s="29"/>
      <c r="M966" s="32" t="str">
        <f aca="false">IF(OR(C966="",L966=""),"",IF(C966=L966,"同一","変更"))</f>
        <v/>
      </c>
      <c r="N966" s="29"/>
      <c r="O966" s="30"/>
      <c r="P966" s="29"/>
      <c r="Q966" s="31"/>
      <c r="R966" s="29"/>
      <c r="S966" s="29"/>
      <c r="T966" s="30"/>
      <c r="U966" s="47" t="str">
        <f aca="false">IF(AND(B966&lt;&gt;"",B966=SW別シート!$C$3),COUNTIF(B$5:B966,B966),"")</f>
        <v/>
      </c>
      <c r="V966" s="47" t="n">
        <f aca="false">V965+IF(OR(O966&lt;&gt;"",W966&lt;&gt;""),1,0)</f>
        <v>3</v>
      </c>
      <c r="W966" s="29"/>
    </row>
    <row r="967" customFormat="false" ht="15" hidden="false" customHeight="false" outlineLevel="0" collapsed="false">
      <c r="A967" s="32" t="str">
        <f aca="false">IF(B967="","",ROW()-7)</f>
        <v/>
      </c>
      <c r="B967" s="30"/>
      <c r="C967" s="29"/>
      <c r="D967" s="29"/>
      <c r="E967" s="29"/>
      <c r="F967" s="30"/>
      <c r="G967" s="29"/>
      <c r="H967" s="30"/>
      <c r="I967" s="29"/>
      <c r="J967" s="30"/>
      <c r="K967" s="30"/>
      <c r="L967" s="29"/>
      <c r="M967" s="32" t="str">
        <f aca="false">IF(OR(C967="",L967=""),"",IF(C967=L967,"同一","変更"))</f>
        <v/>
      </c>
      <c r="N967" s="29"/>
      <c r="O967" s="30"/>
      <c r="P967" s="29"/>
      <c r="Q967" s="31"/>
      <c r="R967" s="29"/>
      <c r="S967" s="29"/>
      <c r="T967" s="30"/>
      <c r="U967" s="47" t="str">
        <f aca="false">IF(AND(B967&lt;&gt;"",B967=SW別シート!$C$3),COUNTIF(B$5:B967,B967),"")</f>
        <v/>
      </c>
      <c r="V967" s="47" t="n">
        <f aca="false">V966+IF(OR(O967&lt;&gt;"",W967&lt;&gt;""),1,0)</f>
        <v>3</v>
      </c>
      <c r="W967" s="29"/>
    </row>
    <row r="968" customFormat="false" ht="15" hidden="false" customHeight="false" outlineLevel="0" collapsed="false">
      <c r="A968" s="32" t="str">
        <f aca="false">IF(B968="","",ROW()-7)</f>
        <v/>
      </c>
      <c r="B968" s="30"/>
      <c r="C968" s="29"/>
      <c r="D968" s="29"/>
      <c r="E968" s="29"/>
      <c r="F968" s="30"/>
      <c r="G968" s="29"/>
      <c r="H968" s="30"/>
      <c r="I968" s="29"/>
      <c r="J968" s="30"/>
      <c r="K968" s="30"/>
      <c r="L968" s="29"/>
      <c r="M968" s="32" t="str">
        <f aca="false">IF(OR(C968="",L968=""),"",IF(C968=L968,"同一","変更"))</f>
        <v/>
      </c>
      <c r="N968" s="29"/>
      <c r="O968" s="30"/>
      <c r="P968" s="29"/>
      <c r="Q968" s="31"/>
      <c r="R968" s="29"/>
      <c r="S968" s="29"/>
      <c r="T968" s="30"/>
      <c r="U968" s="47" t="str">
        <f aca="false">IF(AND(B968&lt;&gt;"",B968=SW別シート!$C$3),COUNTIF(B$5:B968,B968),"")</f>
        <v/>
      </c>
      <c r="V968" s="47" t="n">
        <f aca="false">V967+IF(OR(O968&lt;&gt;"",W968&lt;&gt;""),1,0)</f>
        <v>3</v>
      </c>
      <c r="W968" s="29"/>
    </row>
    <row r="969" customFormat="false" ht="15" hidden="false" customHeight="false" outlineLevel="0" collapsed="false">
      <c r="A969" s="32" t="str">
        <f aca="false">IF(B969="","",ROW()-7)</f>
        <v/>
      </c>
      <c r="B969" s="30"/>
      <c r="C969" s="29"/>
      <c r="D969" s="29"/>
      <c r="E969" s="29"/>
      <c r="F969" s="30"/>
      <c r="G969" s="29"/>
      <c r="H969" s="30"/>
      <c r="I969" s="29"/>
      <c r="J969" s="30"/>
      <c r="K969" s="30"/>
      <c r="L969" s="29"/>
      <c r="M969" s="32" t="str">
        <f aca="false">IF(OR(C969="",L969=""),"",IF(C969=L969,"同一","変更"))</f>
        <v/>
      </c>
      <c r="N969" s="29"/>
      <c r="O969" s="30"/>
      <c r="P969" s="29"/>
      <c r="Q969" s="31"/>
      <c r="R969" s="29"/>
      <c r="S969" s="29"/>
      <c r="T969" s="30"/>
      <c r="U969" s="47" t="str">
        <f aca="false">IF(AND(B969&lt;&gt;"",B969=SW別シート!$C$3),COUNTIF(B$5:B969,B969),"")</f>
        <v/>
      </c>
      <c r="V969" s="47" t="n">
        <f aca="false">V968+IF(OR(O969&lt;&gt;"",W969&lt;&gt;""),1,0)</f>
        <v>3</v>
      </c>
      <c r="W969" s="29"/>
    </row>
    <row r="970" customFormat="false" ht="15" hidden="false" customHeight="false" outlineLevel="0" collapsed="false">
      <c r="A970" s="32" t="str">
        <f aca="false">IF(B970="","",ROW()-7)</f>
        <v/>
      </c>
      <c r="B970" s="30"/>
      <c r="C970" s="29"/>
      <c r="D970" s="29"/>
      <c r="E970" s="29"/>
      <c r="F970" s="30"/>
      <c r="G970" s="29"/>
      <c r="H970" s="30"/>
      <c r="I970" s="29"/>
      <c r="J970" s="30"/>
      <c r="K970" s="30"/>
      <c r="L970" s="29"/>
      <c r="M970" s="32" t="str">
        <f aca="false">IF(OR(C970="",L970=""),"",IF(C970=L970,"同一","変更"))</f>
        <v/>
      </c>
      <c r="N970" s="29"/>
      <c r="O970" s="30"/>
      <c r="P970" s="29"/>
      <c r="Q970" s="31"/>
      <c r="R970" s="29"/>
      <c r="S970" s="29"/>
      <c r="T970" s="30"/>
      <c r="U970" s="47" t="str">
        <f aca="false">IF(AND(B970&lt;&gt;"",B970=SW別シート!$C$3),COUNTIF(B$5:B970,B970),"")</f>
        <v/>
      </c>
      <c r="V970" s="47" t="n">
        <f aca="false">V969+IF(OR(O970&lt;&gt;"",W970&lt;&gt;""),1,0)</f>
        <v>3</v>
      </c>
      <c r="W970" s="29"/>
    </row>
    <row r="971" customFormat="false" ht="15" hidden="false" customHeight="false" outlineLevel="0" collapsed="false">
      <c r="A971" s="32" t="str">
        <f aca="false">IF(B971="","",ROW()-7)</f>
        <v/>
      </c>
      <c r="B971" s="30"/>
      <c r="C971" s="29"/>
      <c r="D971" s="29"/>
      <c r="E971" s="29"/>
      <c r="F971" s="30"/>
      <c r="G971" s="29"/>
      <c r="H971" s="30"/>
      <c r="I971" s="29"/>
      <c r="J971" s="30"/>
      <c r="K971" s="30"/>
      <c r="L971" s="29"/>
      <c r="M971" s="32" t="str">
        <f aca="false">IF(OR(C971="",L971=""),"",IF(C971=L971,"同一","変更"))</f>
        <v/>
      </c>
      <c r="N971" s="29"/>
      <c r="O971" s="30"/>
      <c r="P971" s="29"/>
      <c r="Q971" s="31"/>
      <c r="R971" s="29"/>
      <c r="S971" s="29"/>
      <c r="T971" s="30"/>
      <c r="U971" s="47" t="str">
        <f aca="false">IF(AND(B971&lt;&gt;"",B971=SW別シート!$C$3),COUNTIF(B$5:B971,B971),"")</f>
        <v/>
      </c>
      <c r="V971" s="47" t="n">
        <f aca="false">V970+IF(OR(O971&lt;&gt;"",W971&lt;&gt;""),1,0)</f>
        <v>3</v>
      </c>
      <c r="W971" s="29"/>
    </row>
    <row r="972" customFormat="false" ht="15" hidden="false" customHeight="false" outlineLevel="0" collapsed="false">
      <c r="A972" s="32" t="str">
        <f aca="false">IF(B972="","",ROW()-7)</f>
        <v/>
      </c>
      <c r="B972" s="30"/>
      <c r="C972" s="29"/>
      <c r="D972" s="29"/>
      <c r="E972" s="29"/>
      <c r="F972" s="30"/>
      <c r="G972" s="29"/>
      <c r="H972" s="30"/>
      <c r="I972" s="29"/>
      <c r="J972" s="30"/>
      <c r="K972" s="30"/>
      <c r="L972" s="29"/>
      <c r="M972" s="32" t="str">
        <f aca="false">IF(OR(C972="",L972=""),"",IF(C972=L972,"同一","変更"))</f>
        <v/>
      </c>
      <c r="N972" s="29"/>
      <c r="O972" s="30"/>
      <c r="P972" s="29"/>
      <c r="Q972" s="31"/>
      <c r="R972" s="29"/>
      <c r="S972" s="29"/>
      <c r="T972" s="30"/>
      <c r="U972" s="47" t="str">
        <f aca="false">IF(AND(B972&lt;&gt;"",B972=SW別シート!$C$3),COUNTIF(B$5:B972,B972),"")</f>
        <v/>
      </c>
      <c r="V972" s="47" t="n">
        <f aca="false">V971+IF(OR(O972&lt;&gt;"",W972&lt;&gt;""),1,0)</f>
        <v>3</v>
      </c>
      <c r="W972" s="29"/>
    </row>
    <row r="973" customFormat="false" ht="15" hidden="false" customHeight="false" outlineLevel="0" collapsed="false">
      <c r="A973" s="32" t="str">
        <f aca="false">IF(B973="","",ROW()-7)</f>
        <v/>
      </c>
      <c r="B973" s="30"/>
      <c r="C973" s="29"/>
      <c r="D973" s="29"/>
      <c r="E973" s="29"/>
      <c r="F973" s="30"/>
      <c r="G973" s="29"/>
      <c r="H973" s="30"/>
      <c r="I973" s="29"/>
      <c r="J973" s="30"/>
      <c r="K973" s="30"/>
      <c r="L973" s="29"/>
      <c r="M973" s="32" t="str">
        <f aca="false">IF(OR(C973="",L973=""),"",IF(C973=L973,"同一","変更"))</f>
        <v/>
      </c>
      <c r="N973" s="29"/>
      <c r="O973" s="30"/>
      <c r="P973" s="29"/>
      <c r="Q973" s="31"/>
      <c r="R973" s="29"/>
      <c r="S973" s="29"/>
      <c r="T973" s="30"/>
      <c r="U973" s="47" t="str">
        <f aca="false">IF(AND(B973&lt;&gt;"",B973=SW別シート!$C$3),COUNTIF(B$5:B973,B973),"")</f>
        <v/>
      </c>
      <c r="V973" s="47" t="n">
        <f aca="false">V972+IF(OR(O973&lt;&gt;"",W973&lt;&gt;""),1,0)</f>
        <v>3</v>
      </c>
      <c r="W973" s="29"/>
    </row>
    <row r="974" customFormat="false" ht="15" hidden="false" customHeight="false" outlineLevel="0" collapsed="false">
      <c r="A974" s="32" t="str">
        <f aca="false">IF(B974="","",ROW()-7)</f>
        <v/>
      </c>
      <c r="B974" s="30"/>
      <c r="C974" s="29"/>
      <c r="D974" s="29"/>
      <c r="E974" s="29"/>
      <c r="F974" s="30"/>
      <c r="G974" s="29"/>
      <c r="H974" s="30"/>
      <c r="I974" s="29"/>
      <c r="J974" s="30"/>
      <c r="K974" s="30"/>
      <c r="L974" s="29"/>
      <c r="M974" s="32" t="str">
        <f aca="false">IF(OR(C974="",L974=""),"",IF(C974=L974,"同一","変更"))</f>
        <v/>
      </c>
      <c r="N974" s="29"/>
      <c r="O974" s="30"/>
      <c r="P974" s="29"/>
      <c r="Q974" s="31"/>
      <c r="R974" s="29"/>
      <c r="S974" s="29"/>
      <c r="T974" s="30"/>
      <c r="U974" s="47" t="str">
        <f aca="false">IF(AND(B974&lt;&gt;"",B974=SW別シート!$C$3),COUNTIF(B$5:B974,B974),"")</f>
        <v/>
      </c>
      <c r="V974" s="47" t="n">
        <f aca="false">V973+IF(OR(O974&lt;&gt;"",W974&lt;&gt;""),1,0)</f>
        <v>3</v>
      </c>
      <c r="W974" s="29"/>
    </row>
    <row r="975" customFormat="false" ht="15" hidden="false" customHeight="false" outlineLevel="0" collapsed="false">
      <c r="A975" s="32" t="str">
        <f aca="false">IF(B975="","",ROW()-7)</f>
        <v/>
      </c>
      <c r="B975" s="30"/>
      <c r="C975" s="29"/>
      <c r="D975" s="29"/>
      <c r="E975" s="29"/>
      <c r="F975" s="30"/>
      <c r="G975" s="29"/>
      <c r="H975" s="30"/>
      <c r="I975" s="29"/>
      <c r="J975" s="30"/>
      <c r="K975" s="30"/>
      <c r="L975" s="29"/>
      <c r="M975" s="32" t="str">
        <f aca="false">IF(OR(C975="",L975=""),"",IF(C975=L975,"同一","変更"))</f>
        <v/>
      </c>
      <c r="N975" s="29"/>
      <c r="O975" s="30"/>
      <c r="P975" s="29"/>
      <c r="Q975" s="31"/>
      <c r="R975" s="29"/>
      <c r="S975" s="29"/>
      <c r="T975" s="30"/>
      <c r="U975" s="47" t="str">
        <f aca="false">IF(AND(B975&lt;&gt;"",B975=SW別シート!$C$3),COUNTIF(B$5:B975,B975),"")</f>
        <v/>
      </c>
      <c r="V975" s="47" t="n">
        <f aca="false">V974+IF(OR(O975&lt;&gt;"",W975&lt;&gt;""),1,0)</f>
        <v>3</v>
      </c>
      <c r="W975" s="29"/>
    </row>
    <row r="976" customFormat="false" ht="15" hidden="false" customHeight="false" outlineLevel="0" collapsed="false">
      <c r="A976" s="32" t="str">
        <f aca="false">IF(B976="","",ROW()-7)</f>
        <v/>
      </c>
      <c r="B976" s="30"/>
      <c r="C976" s="29"/>
      <c r="D976" s="29"/>
      <c r="E976" s="29"/>
      <c r="F976" s="30"/>
      <c r="G976" s="29"/>
      <c r="H976" s="30"/>
      <c r="I976" s="29"/>
      <c r="J976" s="30"/>
      <c r="K976" s="30"/>
      <c r="L976" s="29"/>
      <c r="M976" s="32" t="str">
        <f aca="false">IF(OR(C976="",L976=""),"",IF(C976=L976,"同一","変更"))</f>
        <v/>
      </c>
      <c r="N976" s="29"/>
      <c r="O976" s="30"/>
      <c r="P976" s="29"/>
      <c r="Q976" s="31"/>
      <c r="R976" s="29"/>
      <c r="S976" s="29"/>
      <c r="T976" s="30"/>
      <c r="U976" s="47" t="str">
        <f aca="false">IF(AND(B976&lt;&gt;"",B976=SW別シート!$C$3),COUNTIF(B$5:B976,B976),"")</f>
        <v/>
      </c>
      <c r="V976" s="47" t="n">
        <f aca="false">V975+IF(OR(O976&lt;&gt;"",W976&lt;&gt;""),1,0)</f>
        <v>3</v>
      </c>
      <c r="W976" s="29"/>
    </row>
    <row r="977" customFormat="false" ht="15" hidden="false" customHeight="false" outlineLevel="0" collapsed="false">
      <c r="A977" s="32" t="str">
        <f aca="false">IF(B977="","",ROW()-7)</f>
        <v/>
      </c>
      <c r="B977" s="30"/>
      <c r="C977" s="29"/>
      <c r="D977" s="29"/>
      <c r="E977" s="29"/>
      <c r="F977" s="30"/>
      <c r="G977" s="29"/>
      <c r="H977" s="30"/>
      <c r="I977" s="29"/>
      <c r="J977" s="30"/>
      <c r="K977" s="30"/>
      <c r="L977" s="29"/>
      <c r="M977" s="32" t="str">
        <f aca="false">IF(OR(C977="",L977=""),"",IF(C977=L977,"同一","変更"))</f>
        <v/>
      </c>
      <c r="N977" s="29"/>
      <c r="O977" s="30"/>
      <c r="P977" s="29"/>
      <c r="Q977" s="31"/>
      <c r="R977" s="29"/>
      <c r="S977" s="29"/>
      <c r="T977" s="30"/>
      <c r="U977" s="47" t="str">
        <f aca="false">IF(AND(B977&lt;&gt;"",B977=SW別シート!$C$3),COUNTIF(B$5:B977,B977),"")</f>
        <v/>
      </c>
      <c r="V977" s="47" t="n">
        <f aca="false">V976+IF(OR(O977&lt;&gt;"",W977&lt;&gt;""),1,0)</f>
        <v>3</v>
      </c>
      <c r="W977" s="29"/>
    </row>
    <row r="978" customFormat="false" ht="15" hidden="false" customHeight="false" outlineLevel="0" collapsed="false">
      <c r="A978" s="32" t="str">
        <f aca="false">IF(B978="","",ROW()-7)</f>
        <v/>
      </c>
      <c r="B978" s="30"/>
      <c r="C978" s="29"/>
      <c r="D978" s="29"/>
      <c r="E978" s="29"/>
      <c r="F978" s="30"/>
      <c r="G978" s="29"/>
      <c r="H978" s="30"/>
      <c r="I978" s="29"/>
      <c r="J978" s="30"/>
      <c r="K978" s="30"/>
      <c r="L978" s="29"/>
      <c r="M978" s="32" t="str">
        <f aca="false">IF(OR(C978="",L978=""),"",IF(C978=L978,"同一","変更"))</f>
        <v/>
      </c>
      <c r="N978" s="29"/>
      <c r="O978" s="30"/>
      <c r="P978" s="29"/>
      <c r="Q978" s="31"/>
      <c r="R978" s="29"/>
      <c r="S978" s="29"/>
      <c r="T978" s="30"/>
      <c r="U978" s="47" t="str">
        <f aca="false">IF(AND(B978&lt;&gt;"",B978=SW別シート!$C$3),COUNTIF(B$5:B978,B978),"")</f>
        <v/>
      </c>
      <c r="V978" s="47" t="n">
        <f aca="false">V977+IF(OR(O978&lt;&gt;"",W978&lt;&gt;""),1,0)</f>
        <v>3</v>
      </c>
      <c r="W978" s="29"/>
    </row>
    <row r="979" customFormat="false" ht="15" hidden="false" customHeight="false" outlineLevel="0" collapsed="false">
      <c r="A979" s="32" t="str">
        <f aca="false">IF(B979="","",ROW()-7)</f>
        <v/>
      </c>
      <c r="B979" s="30"/>
      <c r="C979" s="29"/>
      <c r="D979" s="29"/>
      <c r="E979" s="29"/>
      <c r="F979" s="30"/>
      <c r="G979" s="29"/>
      <c r="H979" s="30"/>
      <c r="I979" s="29"/>
      <c r="J979" s="30"/>
      <c r="K979" s="30"/>
      <c r="L979" s="29"/>
      <c r="M979" s="32" t="str">
        <f aca="false">IF(OR(C979="",L979=""),"",IF(C979=L979,"同一","変更"))</f>
        <v/>
      </c>
      <c r="N979" s="29"/>
      <c r="O979" s="30"/>
      <c r="P979" s="29"/>
      <c r="Q979" s="31"/>
      <c r="R979" s="29"/>
      <c r="S979" s="29"/>
      <c r="T979" s="30"/>
      <c r="U979" s="47" t="str">
        <f aca="false">IF(AND(B979&lt;&gt;"",B979=SW別シート!$C$3),COUNTIF(B$5:B979,B979),"")</f>
        <v/>
      </c>
      <c r="V979" s="47" t="n">
        <f aca="false">V978+IF(OR(O979&lt;&gt;"",W979&lt;&gt;""),1,0)</f>
        <v>3</v>
      </c>
      <c r="W979" s="29"/>
    </row>
    <row r="980" customFormat="false" ht="15" hidden="false" customHeight="false" outlineLevel="0" collapsed="false">
      <c r="A980" s="32" t="str">
        <f aca="false">IF(B980="","",ROW()-7)</f>
        <v/>
      </c>
      <c r="B980" s="30"/>
      <c r="C980" s="29"/>
      <c r="D980" s="29"/>
      <c r="E980" s="29"/>
      <c r="F980" s="30"/>
      <c r="G980" s="29"/>
      <c r="H980" s="30"/>
      <c r="I980" s="29"/>
      <c r="J980" s="30"/>
      <c r="K980" s="30"/>
      <c r="L980" s="29"/>
      <c r="M980" s="32" t="str">
        <f aca="false">IF(OR(C980="",L980=""),"",IF(C980=L980,"同一","変更"))</f>
        <v/>
      </c>
      <c r="N980" s="29"/>
      <c r="O980" s="30"/>
      <c r="P980" s="29"/>
      <c r="Q980" s="31"/>
      <c r="R980" s="29"/>
      <c r="S980" s="29"/>
      <c r="T980" s="30"/>
      <c r="U980" s="47" t="str">
        <f aca="false">IF(AND(B980&lt;&gt;"",B980=SW別シート!$C$3),COUNTIF(B$5:B980,B980),"")</f>
        <v/>
      </c>
      <c r="V980" s="47" t="n">
        <f aca="false">V979+IF(OR(O980&lt;&gt;"",W980&lt;&gt;""),1,0)</f>
        <v>3</v>
      </c>
      <c r="W980" s="29"/>
    </row>
    <row r="981" customFormat="false" ht="15" hidden="false" customHeight="false" outlineLevel="0" collapsed="false">
      <c r="A981" s="32" t="str">
        <f aca="false">IF(B981="","",ROW()-7)</f>
        <v/>
      </c>
      <c r="B981" s="30"/>
      <c r="C981" s="29"/>
      <c r="D981" s="29"/>
      <c r="E981" s="29"/>
      <c r="F981" s="30"/>
      <c r="G981" s="29"/>
      <c r="H981" s="30"/>
      <c r="I981" s="29"/>
      <c r="J981" s="30"/>
      <c r="K981" s="30"/>
      <c r="L981" s="29"/>
      <c r="M981" s="32" t="str">
        <f aca="false">IF(OR(C981="",L981=""),"",IF(C981=L981,"同一","変更"))</f>
        <v/>
      </c>
      <c r="N981" s="29"/>
      <c r="O981" s="30"/>
      <c r="P981" s="29"/>
      <c r="Q981" s="31"/>
      <c r="R981" s="29"/>
      <c r="S981" s="29"/>
      <c r="T981" s="30"/>
      <c r="U981" s="47" t="str">
        <f aca="false">IF(AND(B981&lt;&gt;"",B981=SW別シート!$C$3),COUNTIF(B$5:B981,B981),"")</f>
        <v/>
      </c>
      <c r="V981" s="47" t="n">
        <f aca="false">V980+IF(OR(O981&lt;&gt;"",W981&lt;&gt;""),1,0)</f>
        <v>3</v>
      </c>
      <c r="W981" s="29"/>
    </row>
    <row r="982" customFormat="false" ht="15" hidden="false" customHeight="false" outlineLevel="0" collapsed="false">
      <c r="A982" s="32" t="str">
        <f aca="false">IF(B982="","",ROW()-7)</f>
        <v/>
      </c>
      <c r="B982" s="30"/>
      <c r="C982" s="29"/>
      <c r="D982" s="29"/>
      <c r="E982" s="29"/>
      <c r="F982" s="30"/>
      <c r="G982" s="29"/>
      <c r="H982" s="30"/>
      <c r="I982" s="29"/>
      <c r="J982" s="30"/>
      <c r="K982" s="30"/>
      <c r="L982" s="29"/>
      <c r="M982" s="32" t="str">
        <f aca="false">IF(OR(C982="",L982=""),"",IF(C982=L982,"同一","変更"))</f>
        <v/>
      </c>
      <c r="N982" s="29"/>
      <c r="O982" s="30"/>
      <c r="P982" s="29"/>
      <c r="Q982" s="31"/>
      <c r="R982" s="29"/>
      <c r="S982" s="29"/>
      <c r="T982" s="30"/>
      <c r="U982" s="47" t="str">
        <f aca="false">IF(AND(B982&lt;&gt;"",B982=SW別シート!$C$3),COUNTIF(B$5:B982,B982),"")</f>
        <v/>
      </c>
      <c r="V982" s="47" t="n">
        <f aca="false">V981+IF(OR(O982&lt;&gt;"",W982&lt;&gt;""),1,0)</f>
        <v>3</v>
      </c>
      <c r="W982" s="29"/>
    </row>
    <row r="983" customFormat="false" ht="15" hidden="false" customHeight="false" outlineLevel="0" collapsed="false">
      <c r="A983" s="32" t="str">
        <f aca="false">IF(B983="","",ROW()-7)</f>
        <v/>
      </c>
      <c r="B983" s="30"/>
      <c r="C983" s="29"/>
      <c r="D983" s="29"/>
      <c r="E983" s="29"/>
      <c r="F983" s="30"/>
      <c r="G983" s="29"/>
      <c r="H983" s="30"/>
      <c r="I983" s="29"/>
      <c r="J983" s="30"/>
      <c r="K983" s="30"/>
      <c r="L983" s="29"/>
      <c r="M983" s="32" t="str">
        <f aca="false">IF(OR(C983="",L983=""),"",IF(C983=L983,"同一","変更"))</f>
        <v/>
      </c>
      <c r="N983" s="29"/>
      <c r="O983" s="30"/>
      <c r="P983" s="29"/>
      <c r="Q983" s="31"/>
      <c r="R983" s="29"/>
      <c r="S983" s="29"/>
      <c r="T983" s="30"/>
      <c r="U983" s="47" t="str">
        <f aca="false">IF(AND(B983&lt;&gt;"",B983=SW別シート!$C$3),COUNTIF(B$5:B983,B983),"")</f>
        <v/>
      </c>
      <c r="V983" s="47" t="n">
        <f aca="false">V982+IF(OR(O983&lt;&gt;"",W983&lt;&gt;""),1,0)</f>
        <v>3</v>
      </c>
      <c r="W983" s="29"/>
    </row>
    <row r="984" customFormat="false" ht="15" hidden="false" customHeight="false" outlineLevel="0" collapsed="false">
      <c r="A984" s="32" t="str">
        <f aca="false">IF(B984="","",ROW()-7)</f>
        <v/>
      </c>
      <c r="B984" s="30"/>
      <c r="C984" s="29"/>
      <c r="D984" s="29"/>
      <c r="E984" s="29"/>
      <c r="F984" s="30"/>
      <c r="G984" s="29"/>
      <c r="H984" s="30"/>
      <c r="I984" s="29"/>
      <c r="J984" s="30"/>
      <c r="K984" s="30"/>
      <c r="L984" s="29"/>
      <c r="M984" s="32" t="str">
        <f aca="false">IF(OR(C984="",L984=""),"",IF(C984=L984,"同一","変更"))</f>
        <v/>
      </c>
      <c r="N984" s="29"/>
      <c r="O984" s="30"/>
      <c r="P984" s="29"/>
      <c r="Q984" s="31"/>
      <c r="R984" s="29"/>
      <c r="S984" s="29"/>
      <c r="T984" s="30"/>
      <c r="U984" s="47" t="str">
        <f aca="false">IF(AND(B984&lt;&gt;"",B984=SW別シート!$C$3),COUNTIF(B$5:B984,B984),"")</f>
        <v/>
      </c>
      <c r="V984" s="47" t="n">
        <f aca="false">V983+IF(OR(O984&lt;&gt;"",W984&lt;&gt;""),1,0)</f>
        <v>3</v>
      </c>
      <c r="W984" s="29"/>
    </row>
    <row r="985" customFormat="false" ht="15" hidden="false" customHeight="false" outlineLevel="0" collapsed="false">
      <c r="A985" s="32" t="str">
        <f aca="false">IF(B985="","",ROW()-7)</f>
        <v/>
      </c>
      <c r="B985" s="30"/>
      <c r="C985" s="29"/>
      <c r="D985" s="29"/>
      <c r="E985" s="29"/>
      <c r="F985" s="30"/>
      <c r="G985" s="29"/>
      <c r="H985" s="30"/>
      <c r="I985" s="29"/>
      <c r="J985" s="30"/>
      <c r="K985" s="30"/>
      <c r="L985" s="29"/>
      <c r="M985" s="32" t="str">
        <f aca="false">IF(OR(C985="",L985=""),"",IF(C985=L985,"同一","変更"))</f>
        <v/>
      </c>
      <c r="N985" s="29"/>
      <c r="O985" s="30"/>
      <c r="P985" s="29"/>
      <c r="Q985" s="31"/>
      <c r="R985" s="29"/>
      <c r="S985" s="29"/>
      <c r="T985" s="30"/>
      <c r="U985" s="47" t="str">
        <f aca="false">IF(AND(B985&lt;&gt;"",B985=SW別シート!$C$3),COUNTIF(B$5:B985,B985),"")</f>
        <v/>
      </c>
      <c r="V985" s="47" t="n">
        <f aca="false">V984+IF(OR(O985&lt;&gt;"",W985&lt;&gt;""),1,0)</f>
        <v>3</v>
      </c>
      <c r="W985" s="29"/>
    </row>
    <row r="986" customFormat="false" ht="15" hidden="false" customHeight="false" outlineLevel="0" collapsed="false">
      <c r="A986" s="32" t="str">
        <f aca="false">IF(B986="","",ROW()-7)</f>
        <v/>
      </c>
      <c r="B986" s="30"/>
      <c r="C986" s="29"/>
      <c r="D986" s="29"/>
      <c r="E986" s="29"/>
      <c r="F986" s="30"/>
      <c r="G986" s="29"/>
      <c r="H986" s="30"/>
      <c r="I986" s="29"/>
      <c r="J986" s="30"/>
      <c r="K986" s="30"/>
      <c r="L986" s="29"/>
      <c r="M986" s="32" t="str">
        <f aca="false">IF(OR(C986="",L986=""),"",IF(C986=L986,"同一","変更"))</f>
        <v/>
      </c>
      <c r="N986" s="29"/>
      <c r="O986" s="30"/>
      <c r="P986" s="29"/>
      <c r="Q986" s="31"/>
      <c r="R986" s="29"/>
      <c r="S986" s="29"/>
      <c r="T986" s="30"/>
      <c r="U986" s="47" t="str">
        <f aca="false">IF(AND(B986&lt;&gt;"",B986=SW別シート!$C$3),COUNTIF(B$5:B986,B986),"")</f>
        <v/>
      </c>
      <c r="V986" s="47" t="n">
        <f aca="false">V985+IF(OR(O986&lt;&gt;"",W986&lt;&gt;""),1,0)</f>
        <v>3</v>
      </c>
      <c r="W986" s="29"/>
    </row>
    <row r="987" customFormat="false" ht="15" hidden="false" customHeight="false" outlineLevel="0" collapsed="false">
      <c r="A987" s="32" t="str">
        <f aca="false">IF(B987="","",ROW()-7)</f>
        <v/>
      </c>
      <c r="B987" s="30"/>
      <c r="C987" s="29"/>
      <c r="D987" s="29"/>
      <c r="E987" s="29"/>
      <c r="F987" s="30"/>
      <c r="G987" s="29"/>
      <c r="H987" s="30"/>
      <c r="I987" s="29"/>
      <c r="J987" s="30"/>
      <c r="K987" s="30"/>
      <c r="L987" s="29"/>
      <c r="M987" s="32" t="str">
        <f aca="false">IF(OR(C987="",L987=""),"",IF(C987=L987,"同一","変更"))</f>
        <v/>
      </c>
      <c r="N987" s="29"/>
      <c r="O987" s="30"/>
      <c r="P987" s="29"/>
      <c r="Q987" s="31"/>
      <c r="R987" s="29"/>
      <c r="S987" s="29"/>
      <c r="T987" s="30"/>
      <c r="U987" s="47" t="str">
        <f aca="false">IF(AND(B987&lt;&gt;"",B987=SW別シート!$C$3),COUNTIF(B$5:B987,B987),"")</f>
        <v/>
      </c>
      <c r="V987" s="47" t="n">
        <f aca="false">V986+IF(OR(O987&lt;&gt;"",W987&lt;&gt;""),1,0)</f>
        <v>3</v>
      </c>
      <c r="W987" s="29"/>
    </row>
    <row r="988" customFormat="false" ht="15" hidden="false" customHeight="false" outlineLevel="0" collapsed="false">
      <c r="A988" s="32" t="str">
        <f aca="false">IF(B988="","",ROW()-7)</f>
        <v/>
      </c>
      <c r="B988" s="30"/>
      <c r="C988" s="29"/>
      <c r="D988" s="29"/>
      <c r="E988" s="29"/>
      <c r="F988" s="30"/>
      <c r="G988" s="29"/>
      <c r="H988" s="30"/>
      <c r="I988" s="29"/>
      <c r="J988" s="30"/>
      <c r="K988" s="30"/>
      <c r="L988" s="29"/>
      <c r="M988" s="32" t="str">
        <f aca="false">IF(OR(C988="",L988=""),"",IF(C988=L988,"同一","変更"))</f>
        <v/>
      </c>
      <c r="N988" s="29"/>
      <c r="O988" s="30"/>
      <c r="P988" s="29"/>
      <c r="Q988" s="31"/>
      <c r="R988" s="29"/>
      <c r="S988" s="29"/>
      <c r="T988" s="30"/>
      <c r="U988" s="47" t="str">
        <f aca="false">IF(AND(B988&lt;&gt;"",B988=SW別シート!$C$3),COUNTIF(B$5:B988,B988),"")</f>
        <v/>
      </c>
      <c r="V988" s="47" t="n">
        <f aca="false">V987+IF(OR(O988&lt;&gt;"",W988&lt;&gt;""),1,0)</f>
        <v>3</v>
      </c>
      <c r="W988" s="29"/>
    </row>
    <row r="989" customFormat="false" ht="15" hidden="false" customHeight="false" outlineLevel="0" collapsed="false">
      <c r="A989" s="32" t="str">
        <f aca="false">IF(B989="","",ROW()-7)</f>
        <v/>
      </c>
      <c r="B989" s="30"/>
      <c r="C989" s="29"/>
      <c r="D989" s="29"/>
      <c r="E989" s="29"/>
      <c r="F989" s="30"/>
      <c r="G989" s="29"/>
      <c r="H989" s="30"/>
      <c r="I989" s="29"/>
      <c r="J989" s="30"/>
      <c r="K989" s="30"/>
      <c r="L989" s="29"/>
      <c r="M989" s="32" t="str">
        <f aca="false">IF(OR(C989="",L989=""),"",IF(C989=L989,"同一","変更"))</f>
        <v/>
      </c>
      <c r="N989" s="29"/>
      <c r="O989" s="30"/>
      <c r="P989" s="29"/>
      <c r="Q989" s="31"/>
      <c r="R989" s="29"/>
      <c r="S989" s="29"/>
      <c r="T989" s="30"/>
      <c r="U989" s="47" t="str">
        <f aca="false">IF(AND(B989&lt;&gt;"",B989=SW別シート!$C$3),COUNTIF(B$5:B989,B989),"")</f>
        <v/>
      </c>
      <c r="V989" s="47" t="n">
        <f aca="false">V988+IF(OR(O989&lt;&gt;"",W989&lt;&gt;""),1,0)</f>
        <v>3</v>
      </c>
      <c r="W989" s="29"/>
    </row>
    <row r="990" customFormat="false" ht="15" hidden="false" customHeight="false" outlineLevel="0" collapsed="false">
      <c r="A990" s="32" t="str">
        <f aca="false">IF(B990="","",ROW()-7)</f>
        <v/>
      </c>
      <c r="B990" s="30"/>
      <c r="C990" s="29"/>
      <c r="D990" s="29"/>
      <c r="E990" s="29"/>
      <c r="F990" s="30"/>
      <c r="G990" s="29"/>
      <c r="H990" s="30"/>
      <c r="I990" s="29"/>
      <c r="J990" s="30"/>
      <c r="K990" s="30"/>
      <c r="L990" s="29"/>
      <c r="M990" s="32" t="str">
        <f aca="false">IF(OR(C990="",L990=""),"",IF(C990=L990,"同一","変更"))</f>
        <v/>
      </c>
      <c r="N990" s="29"/>
      <c r="O990" s="30"/>
      <c r="P990" s="29"/>
      <c r="Q990" s="31"/>
      <c r="R990" s="29"/>
      <c r="S990" s="29"/>
      <c r="T990" s="30"/>
      <c r="U990" s="47" t="str">
        <f aca="false">IF(AND(B990&lt;&gt;"",B990=SW別シート!$C$3),COUNTIF(B$5:B990,B990),"")</f>
        <v/>
      </c>
      <c r="V990" s="47" t="n">
        <f aca="false">V989+IF(OR(O990&lt;&gt;"",W990&lt;&gt;""),1,0)</f>
        <v>3</v>
      </c>
      <c r="W990" s="29"/>
    </row>
    <row r="991" customFormat="false" ht="15" hidden="false" customHeight="false" outlineLevel="0" collapsed="false">
      <c r="A991" s="32" t="str">
        <f aca="false">IF(B991="","",ROW()-7)</f>
        <v/>
      </c>
      <c r="B991" s="30"/>
      <c r="C991" s="29"/>
      <c r="D991" s="29"/>
      <c r="E991" s="29"/>
      <c r="F991" s="30"/>
      <c r="G991" s="29"/>
      <c r="H991" s="30"/>
      <c r="I991" s="29"/>
      <c r="J991" s="30"/>
      <c r="K991" s="30"/>
      <c r="L991" s="29"/>
      <c r="M991" s="32" t="str">
        <f aca="false">IF(OR(C991="",L991=""),"",IF(C991=L991,"同一","変更"))</f>
        <v/>
      </c>
      <c r="N991" s="29"/>
      <c r="O991" s="30"/>
      <c r="P991" s="29"/>
      <c r="Q991" s="31"/>
      <c r="R991" s="29"/>
      <c r="S991" s="29"/>
      <c r="T991" s="30"/>
      <c r="U991" s="47" t="str">
        <f aca="false">IF(AND(B991&lt;&gt;"",B991=SW別シート!$C$3),COUNTIF(B$5:B991,B991),"")</f>
        <v/>
      </c>
      <c r="V991" s="47" t="n">
        <f aca="false">V990+IF(OR(O991&lt;&gt;"",W991&lt;&gt;""),1,0)</f>
        <v>3</v>
      </c>
      <c r="W991" s="29"/>
    </row>
    <row r="992" customFormat="false" ht="15" hidden="false" customHeight="false" outlineLevel="0" collapsed="false">
      <c r="A992" s="32" t="str">
        <f aca="false">IF(B992="","",ROW()-7)</f>
        <v/>
      </c>
      <c r="B992" s="30"/>
      <c r="C992" s="29"/>
      <c r="D992" s="29"/>
      <c r="E992" s="29"/>
      <c r="F992" s="30"/>
      <c r="G992" s="29"/>
      <c r="H992" s="30"/>
      <c r="I992" s="29"/>
      <c r="J992" s="30"/>
      <c r="K992" s="30"/>
      <c r="L992" s="29"/>
      <c r="M992" s="32" t="str">
        <f aca="false">IF(OR(C992="",L992=""),"",IF(C992=L992,"同一","変更"))</f>
        <v/>
      </c>
      <c r="N992" s="29"/>
      <c r="O992" s="30"/>
      <c r="P992" s="29"/>
      <c r="Q992" s="31"/>
      <c r="R992" s="29"/>
      <c r="S992" s="29"/>
      <c r="T992" s="30"/>
      <c r="U992" s="47" t="str">
        <f aca="false">IF(AND(B992&lt;&gt;"",B992=SW別シート!$C$3),COUNTIF(B$5:B992,B992),"")</f>
        <v/>
      </c>
      <c r="V992" s="47" t="n">
        <f aca="false">V991+IF(OR(O992&lt;&gt;"",W992&lt;&gt;""),1,0)</f>
        <v>3</v>
      </c>
      <c r="W992" s="29"/>
    </row>
    <row r="993" customFormat="false" ht="15" hidden="false" customHeight="false" outlineLevel="0" collapsed="false">
      <c r="A993" s="32" t="str">
        <f aca="false">IF(B993="","",ROW()-7)</f>
        <v/>
      </c>
      <c r="B993" s="30"/>
      <c r="C993" s="29"/>
      <c r="D993" s="29"/>
      <c r="E993" s="29"/>
      <c r="F993" s="30"/>
      <c r="G993" s="29"/>
      <c r="H993" s="30"/>
      <c r="I993" s="29"/>
      <c r="J993" s="30"/>
      <c r="K993" s="30"/>
      <c r="L993" s="29"/>
      <c r="M993" s="32" t="str">
        <f aca="false">IF(OR(C993="",L993=""),"",IF(C993=L993,"同一","変更"))</f>
        <v/>
      </c>
      <c r="N993" s="29"/>
      <c r="O993" s="30"/>
      <c r="P993" s="29"/>
      <c r="Q993" s="31"/>
      <c r="R993" s="29"/>
      <c r="S993" s="29"/>
      <c r="T993" s="30"/>
      <c r="U993" s="47" t="str">
        <f aca="false">IF(AND(B993&lt;&gt;"",B993=SW別シート!$C$3),COUNTIF(B$5:B993,B993),"")</f>
        <v/>
      </c>
      <c r="V993" s="47" t="n">
        <f aca="false">V992+IF(OR(O993&lt;&gt;"",W993&lt;&gt;""),1,0)</f>
        <v>3</v>
      </c>
      <c r="W993" s="29"/>
    </row>
    <row r="994" customFormat="false" ht="15" hidden="false" customHeight="false" outlineLevel="0" collapsed="false">
      <c r="A994" s="32" t="str">
        <f aca="false">IF(B994="","",ROW()-7)</f>
        <v/>
      </c>
      <c r="B994" s="30"/>
      <c r="C994" s="29"/>
      <c r="D994" s="29"/>
      <c r="E994" s="29"/>
      <c r="F994" s="30"/>
      <c r="G994" s="29"/>
      <c r="H994" s="30"/>
      <c r="I994" s="29"/>
      <c r="J994" s="30"/>
      <c r="K994" s="30"/>
      <c r="L994" s="29"/>
      <c r="M994" s="32" t="str">
        <f aca="false">IF(OR(C994="",L994=""),"",IF(C994=L994,"同一","変更"))</f>
        <v/>
      </c>
      <c r="N994" s="29"/>
      <c r="O994" s="30"/>
      <c r="P994" s="29"/>
      <c r="Q994" s="31"/>
      <c r="R994" s="29"/>
      <c r="S994" s="29"/>
      <c r="T994" s="30"/>
      <c r="U994" s="47" t="str">
        <f aca="false">IF(AND(B994&lt;&gt;"",B994=SW別シート!$C$3),COUNTIF(B$5:B994,B994),"")</f>
        <v/>
      </c>
      <c r="V994" s="47" t="n">
        <f aca="false">V993+IF(OR(O994&lt;&gt;"",W994&lt;&gt;""),1,0)</f>
        <v>3</v>
      </c>
      <c r="W994" s="29"/>
    </row>
    <row r="995" customFormat="false" ht="15" hidden="false" customHeight="false" outlineLevel="0" collapsed="false">
      <c r="A995" s="32" t="str">
        <f aca="false">IF(B995="","",ROW()-7)</f>
        <v/>
      </c>
      <c r="B995" s="30"/>
      <c r="C995" s="29"/>
      <c r="D995" s="29"/>
      <c r="E995" s="29"/>
      <c r="F995" s="30"/>
      <c r="G995" s="29"/>
      <c r="H995" s="30"/>
      <c r="I995" s="29"/>
      <c r="J995" s="30"/>
      <c r="K995" s="30"/>
      <c r="L995" s="29"/>
      <c r="M995" s="32" t="str">
        <f aca="false">IF(OR(C995="",L995=""),"",IF(C995=L995,"同一","変更"))</f>
        <v/>
      </c>
      <c r="N995" s="29"/>
      <c r="O995" s="30"/>
      <c r="P995" s="29"/>
      <c r="Q995" s="31"/>
      <c r="R995" s="29"/>
      <c r="S995" s="29"/>
      <c r="T995" s="30"/>
      <c r="U995" s="47" t="str">
        <f aca="false">IF(AND(B995&lt;&gt;"",B995=SW別シート!$C$3),COUNTIF(B$5:B995,B995),"")</f>
        <v/>
      </c>
      <c r="V995" s="47" t="n">
        <f aca="false">V994+IF(OR(O995&lt;&gt;"",W995&lt;&gt;""),1,0)</f>
        <v>3</v>
      </c>
      <c r="W995" s="29"/>
    </row>
    <row r="996" customFormat="false" ht="15" hidden="false" customHeight="false" outlineLevel="0" collapsed="false">
      <c r="A996" s="32" t="str">
        <f aca="false">IF(B996="","",ROW()-7)</f>
        <v/>
      </c>
      <c r="B996" s="30"/>
      <c r="C996" s="29"/>
      <c r="D996" s="29"/>
      <c r="E996" s="29"/>
      <c r="F996" s="30"/>
      <c r="G996" s="29"/>
      <c r="H996" s="30"/>
      <c r="I996" s="29"/>
      <c r="J996" s="30"/>
      <c r="K996" s="30"/>
      <c r="L996" s="29"/>
      <c r="M996" s="32" t="str">
        <f aca="false">IF(OR(C996="",L996=""),"",IF(C996=L996,"同一","変更"))</f>
        <v/>
      </c>
      <c r="N996" s="29"/>
      <c r="O996" s="30"/>
      <c r="P996" s="29"/>
      <c r="Q996" s="31"/>
      <c r="R996" s="29"/>
      <c r="S996" s="29"/>
      <c r="T996" s="30"/>
      <c r="U996" s="47" t="str">
        <f aca="false">IF(AND(B996&lt;&gt;"",B996=SW別シート!$C$3),COUNTIF(B$5:B996,B996),"")</f>
        <v/>
      </c>
      <c r="V996" s="47" t="n">
        <f aca="false">V995+IF(OR(O996&lt;&gt;"",W996&lt;&gt;""),1,0)</f>
        <v>3</v>
      </c>
      <c r="W996" s="29"/>
    </row>
    <row r="997" customFormat="false" ht="15" hidden="false" customHeight="false" outlineLevel="0" collapsed="false">
      <c r="A997" s="32" t="str">
        <f aca="false">IF(B997="","",ROW()-7)</f>
        <v/>
      </c>
      <c r="B997" s="30"/>
      <c r="C997" s="29"/>
      <c r="D997" s="29"/>
      <c r="E997" s="29"/>
      <c r="F997" s="30"/>
      <c r="G997" s="29"/>
      <c r="H997" s="30"/>
      <c r="I997" s="29"/>
      <c r="J997" s="30"/>
      <c r="K997" s="30"/>
      <c r="L997" s="29"/>
      <c r="M997" s="32" t="str">
        <f aca="false">IF(OR(C997="",L997=""),"",IF(C997=L997,"同一","変更"))</f>
        <v/>
      </c>
      <c r="N997" s="29"/>
      <c r="O997" s="30"/>
      <c r="P997" s="29"/>
      <c r="Q997" s="31"/>
      <c r="R997" s="29"/>
      <c r="S997" s="29"/>
      <c r="T997" s="30"/>
      <c r="U997" s="47" t="str">
        <f aca="false">IF(AND(B997&lt;&gt;"",B997=SW別シート!$C$3),COUNTIF(B$5:B997,B997),"")</f>
        <v/>
      </c>
      <c r="V997" s="47" t="n">
        <f aca="false">V996+IF(OR(O997&lt;&gt;"",W997&lt;&gt;""),1,0)</f>
        <v>3</v>
      </c>
      <c r="W997" s="29"/>
    </row>
    <row r="998" customFormat="false" ht="15" hidden="false" customHeight="false" outlineLevel="0" collapsed="false">
      <c r="A998" s="32" t="str">
        <f aca="false">IF(B998="","",ROW()-7)</f>
        <v/>
      </c>
      <c r="B998" s="30"/>
      <c r="C998" s="29"/>
      <c r="D998" s="29"/>
      <c r="E998" s="29"/>
      <c r="F998" s="30"/>
      <c r="G998" s="29"/>
      <c r="H998" s="30"/>
      <c r="I998" s="29"/>
      <c r="J998" s="30"/>
      <c r="K998" s="30"/>
      <c r="L998" s="29"/>
      <c r="M998" s="32" t="str">
        <f aca="false">IF(OR(C998="",L998=""),"",IF(C998=L998,"同一","変更"))</f>
        <v/>
      </c>
      <c r="N998" s="29"/>
      <c r="O998" s="30"/>
      <c r="P998" s="29"/>
      <c r="Q998" s="31"/>
      <c r="R998" s="29"/>
      <c r="S998" s="29"/>
      <c r="T998" s="30"/>
      <c r="U998" s="47" t="str">
        <f aca="false">IF(AND(B998&lt;&gt;"",B998=SW別シート!$C$3),COUNTIF(B$5:B998,B998),"")</f>
        <v/>
      </c>
      <c r="V998" s="47" t="n">
        <f aca="false">V997+IF(OR(O998&lt;&gt;"",W998&lt;&gt;""),1,0)</f>
        <v>3</v>
      </c>
      <c r="W998" s="29"/>
    </row>
    <row r="999" customFormat="false" ht="15" hidden="false" customHeight="false" outlineLevel="0" collapsed="false">
      <c r="A999" s="32" t="str">
        <f aca="false">IF(B999="","",ROW()-7)</f>
        <v/>
      </c>
      <c r="B999" s="30"/>
      <c r="C999" s="29"/>
      <c r="D999" s="29"/>
      <c r="E999" s="29"/>
      <c r="F999" s="30"/>
      <c r="G999" s="29"/>
      <c r="H999" s="30"/>
      <c r="I999" s="29"/>
      <c r="J999" s="30"/>
      <c r="K999" s="30"/>
      <c r="L999" s="29"/>
      <c r="M999" s="32" t="str">
        <f aca="false">IF(OR(C999="",L999=""),"",IF(C999=L999,"同一","変更"))</f>
        <v/>
      </c>
      <c r="N999" s="29"/>
      <c r="O999" s="30"/>
      <c r="P999" s="29"/>
      <c r="Q999" s="31"/>
      <c r="R999" s="29"/>
      <c r="S999" s="29"/>
      <c r="T999" s="30"/>
      <c r="U999" s="47" t="str">
        <f aca="false">IF(AND(B999&lt;&gt;"",B999=SW別シート!$C$3),COUNTIF(B$5:B999,B999),"")</f>
        <v/>
      </c>
      <c r="V999" s="47" t="n">
        <f aca="false">V998+IF(OR(O999&lt;&gt;"",W999&lt;&gt;""),1,0)</f>
        <v>3</v>
      </c>
      <c r="W999" s="29"/>
    </row>
    <row r="1000" customFormat="false" ht="15" hidden="false" customHeight="false" outlineLevel="0" collapsed="false">
      <c r="A1000" s="32" t="str">
        <f aca="false">IF(B1000="","",ROW()-7)</f>
        <v/>
      </c>
      <c r="B1000" s="30"/>
      <c r="C1000" s="29"/>
      <c r="D1000" s="29"/>
      <c r="E1000" s="29"/>
      <c r="F1000" s="30"/>
      <c r="G1000" s="29"/>
      <c r="H1000" s="30"/>
      <c r="I1000" s="29"/>
      <c r="J1000" s="30"/>
      <c r="K1000" s="30"/>
      <c r="L1000" s="29"/>
      <c r="M1000" s="32" t="str">
        <f aca="false">IF(OR(C1000="",L1000=""),"",IF(C1000=L1000,"同一","変更"))</f>
        <v/>
      </c>
      <c r="N1000" s="29"/>
      <c r="O1000" s="30"/>
      <c r="P1000" s="29"/>
      <c r="Q1000" s="31"/>
      <c r="R1000" s="29"/>
      <c r="S1000" s="29"/>
      <c r="T1000" s="30"/>
      <c r="U1000" s="47" t="str">
        <f aca="false">IF(AND(B1000&lt;&gt;"",B1000=SW別シート!$C$3),COUNTIF(B$5:B1000,B1000),"")</f>
        <v/>
      </c>
      <c r="V1000" s="47" t="n">
        <f aca="false">V999+IF(OR(O1000&lt;&gt;"",W1000&lt;&gt;""),1,0)</f>
        <v>3</v>
      </c>
      <c r="W1000" s="29"/>
    </row>
    <row r="1001" customFormat="false" ht="15" hidden="false" customHeight="false" outlineLevel="0" collapsed="false">
      <c r="A1001" s="32" t="str">
        <f aca="false">IF(B1001="","",ROW()-7)</f>
        <v/>
      </c>
      <c r="B1001" s="30"/>
      <c r="C1001" s="29"/>
      <c r="D1001" s="29"/>
      <c r="E1001" s="29"/>
      <c r="F1001" s="30"/>
      <c r="G1001" s="29"/>
      <c r="H1001" s="30"/>
      <c r="I1001" s="29"/>
      <c r="J1001" s="30"/>
      <c r="K1001" s="30"/>
      <c r="L1001" s="29"/>
      <c r="M1001" s="32" t="str">
        <f aca="false">IF(OR(C1001="",L1001=""),"",IF(C1001=L1001,"同一","変更"))</f>
        <v/>
      </c>
      <c r="N1001" s="29"/>
      <c r="O1001" s="30"/>
      <c r="P1001" s="29"/>
      <c r="Q1001" s="31"/>
      <c r="R1001" s="29"/>
      <c r="S1001" s="29"/>
      <c r="T1001" s="30"/>
      <c r="U1001" s="47" t="str">
        <f aca="false">IF(AND(B1001&lt;&gt;"",B1001=SW別シート!$C$3),COUNTIF(B$5:B1001,B1001),"")</f>
        <v/>
      </c>
      <c r="V1001" s="47" t="n">
        <f aca="false">V1000+IF(OR(O1001&lt;&gt;"",W1001&lt;&gt;""),1,0)</f>
        <v>3</v>
      </c>
      <c r="W1001" s="29"/>
    </row>
    <row r="1002" customFormat="false" ht="15" hidden="false" customHeight="false" outlineLevel="0" collapsed="false">
      <c r="A1002" s="32" t="str">
        <f aca="false">IF(B1002="","",ROW()-7)</f>
        <v/>
      </c>
      <c r="B1002" s="30"/>
      <c r="C1002" s="29"/>
      <c r="D1002" s="29"/>
      <c r="E1002" s="29"/>
      <c r="F1002" s="30"/>
      <c r="G1002" s="29"/>
      <c r="H1002" s="30"/>
      <c r="I1002" s="29"/>
      <c r="J1002" s="30"/>
      <c r="K1002" s="30"/>
      <c r="L1002" s="29"/>
      <c r="M1002" s="32" t="str">
        <f aca="false">IF(OR(C1002="",L1002=""),"",IF(C1002=L1002,"同一","変更"))</f>
        <v/>
      </c>
      <c r="N1002" s="29"/>
      <c r="O1002" s="30"/>
      <c r="P1002" s="29"/>
      <c r="Q1002" s="31"/>
      <c r="R1002" s="29"/>
      <c r="S1002" s="29"/>
      <c r="T1002" s="30"/>
      <c r="U1002" s="47" t="str">
        <f aca="false">IF(AND(B1002&lt;&gt;"",B1002=SW別シート!$C$3),COUNTIF(B$5:B1002,B1002),"")</f>
        <v/>
      </c>
      <c r="V1002" s="47" t="n">
        <f aca="false">V1001+IF(OR(O1002&lt;&gt;"",W1002&lt;&gt;""),1,0)</f>
        <v>3</v>
      </c>
      <c r="W1002" s="29"/>
    </row>
    <row r="1003" customFormat="false" ht="15" hidden="false" customHeight="false" outlineLevel="0" collapsed="false">
      <c r="A1003" s="32" t="str">
        <f aca="false">IF(B1003="","",ROW()-7)</f>
        <v/>
      </c>
      <c r="B1003" s="30"/>
      <c r="C1003" s="29"/>
      <c r="D1003" s="29"/>
      <c r="E1003" s="29"/>
      <c r="F1003" s="30"/>
      <c r="G1003" s="29"/>
      <c r="H1003" s="30"/>
      <c r="I1003" s="29"/>
      <c r="J1003" s="30"/>
      <c r="K1003" s="30"/>
      <c r="L1003" s="29"/>
      <c r="M1003" s="32" t="str">
        <f aca="false">IF(OR(C1003="",L1003=""),"",IF(C1003=L1003,"同一","変更"))</f>
        <v/>
      </c>
      <c r="N1003" s="29"/>
      <c r="O1003" s="30"/>
      <c r="P1003" s="29"/>
      <c r="Q1003" s="31"/>
      <c r="R1003" s="29"/>
      <c r="S1003" s="29"/>
      <c r="T1003" s="30"/>
      <c r="U1003" s="47" t="str">
        <f aca="false">IF(AND(B1003&lt;&gt;"",B1003=SW別シート!$C$3),COUNTIF(B$5:B1003,B1003),"")</f>
        <v/>
      </c>
      <c r="V1003" s="47" t="n">
        <f aca="false">V1002+IF(OR(O1003&lt;&gt;"",W1003&lt;&gt;""),1,0)</f>
        <v>3</v>
      </c>
      <c r="W1003" s="29"/>
    </row>
    <row r="1004" customFormat="false" ht="15" hidden="false" customHeight="false" outlineLevel="0" collapsed="false">
      <c r="A1004" s="32" t="str">
        <f aca="false">IF(B1004="","",ROW()-7)</f>
        <v/>
      </c>
      <c r="B1004" s="30"/>
      <c r="C1004" s="29"/>
      <c r="D1004" s="29"/>
      <c r="E1004" s="29"/>
      <c r="F1004" s="30"/>
      <c r="G1004" s="29"/>
      <c r="H1004" s="30"/>
      <c r="I1004" s="29"/>
      <c r="J1004" s="30"/>
      <c r="K1004" s="30"/>
      <c r="L1004" s="29"/>
      <c r="M1004" s="32" t="str">
        <f aca="false">IF(OR(C1004="",L1004=""),"",IF(C1004=L1004,"同一","変更"))</f>
        <v/>
      </c>
      <c r="N1004" s="29"/>
      <c r="O1004" s="30"/>
      <c r="P1004" s="29"/>
      <c r="Q1004" s="31"/>
      <c r="R1004" s="29"/>
      <c r="S1004" s="29"/>
      <c r="T1004" s="30"/>
      <c r="U1004" s="47" t="str">
        <f aca="false">IF(AND(B1004&lt;&gt;"",B1004=SW別シート!$C$3),COUNTIF(B$5:B1004,B1004),"")</f>
        <v/>
      </c>
      <c r="V1004" s="47" t="n">
        <f aca="false">V1003+IF(OR(O1004&lt;&gt;"",W1004&lt;&gt;""),1,0)</f>
        <v>3</v>
      </c>
      <c r="W1004" s="29"/>
    </row>
    <row r="1005" customFormat="false" ht="15" hidden="false" customHeight="false" outlineLevel="0" collapsed="false">
      <c r="A1005" s="32" t="str">
        <f aca="false">IF(B1005="","",ROW()-7)</f>
        <v/>
      </c>
      <c r="B1005" s="30"/>
      <c r="C1005" s="29"/>
      <c r="D1005" s="29"/>
      <c r="E1005" s="29"/>
      <c r="F1005" s="30"/>
      <c r="G1005" s="29"/>
      <c r="H1005" s="30"/>
      <c r="I1005" s="29"/>
      <c r="J1005" s="30"/>
      <c r="K1005" s="30"/>
      <c r="L1005" s="29"/>
      <c r="M1005" s="32" t="str">
        <f aca="false">IF(OR(C1005="",L1005=""),"",IF(C1005=L1005,"同一","変更"))</f>
        <v/>
      </c>
      <c r="N1005" s="29"/>
      <c r="O1005" s="30"/>
      <c r="P1005" s="29"/>
      <c r="Q1005" s="31"/>
      <c r="R1005" s="29"/>
      <c r="S1005" s="29"/>
      <c r="T1005" s="30"/>
      <c r="U1005" s="47" t="str">
        <f aca="false">IF(AND(B1005&lt;&gt;"",B1005=SW別シート!$C$3),COUNTIF(B$5:B1005,B1005),"")</f>
        <v/>
      </c>
      <c r="V1005" s="47" t="n">
        <f aca="false">V1004+IF(OR(O1005&lt;&gt;"",W1005&lt;&gt;""),1,0)</f>
        <v>3</v>
      </c>
      <c r="W1005" s="29"/>
    </row>
    <row r="1006" customFormat="false" ht="15" hidden="false" customHeight="false" outlineLevel="0" collapsed="false">
      <c r="A1006" s="32" t="str">
        <f aca="false">IF(B1006="","",ROW()-7)</f>
        <v/>
      </c>
      <c r="B1006" s="30"/>
      <c r="C1006" s="29"/>
      <c r="D1006" s="29"/>
      <c r="E1006" s="29"/>
      <c r="F1006" s="30"/>
      <c r="G1006" s="29"/>
      <c r="H1006" s="30"/>
      <c r="I1006" s="29"/>
      <c r="J1006" s="30"/>
      <c r="K1006" s="30"/>
      <c r="L1006" s="29"/>
      <c r="M1006" s="32" t="str">
        <f aca="false">IF(OR(C1006="",L1006=""),"",IF(C1006=L1006,"同一","変更"))</f>
        <v/>
      </c>
      <c r="N1006" s="29"/>
      <c r="O1006" s="30"/>
      <c r="P1006" s="29"/>
      <c r="Q1006" s="31"/>
      <c r="R1006" s="29"/>
      <c r="S1006" s="29"/>
      <c r="T1006" s="30"/>
      <c r="U1006" s="47" t="str">
        <f aca="false">IF(AND(B1006&lt;&gt;"",B1006=SW別シート!$C$3),COUNTIF(B$5:B1006,B1006),"")</f>
        <v/>
      </c>
      <c r="V1006" s="47" t="n">
        <f aca="false">V1005+IF(OR(O1006&lt;&gt;"",W1006&lt;&gt;""),1,0)</f>
        <v>3</v>
      </c>
      <c r="W1006" s="29"/>
    </row>
    <row r="1007" customFormat="false" ht="15" hidden="false" customHeight="false" outlineLevel="0" collapsed="false">
      <c r="A1007" s="32" t="str">
        <f aca="false">IF(B1007="","",ROW()-7)</f>
        <v/>
      </c>
      <c r="B1007" s="30"/>
      <c r="C1007" s="29"/>
      <c r="D1007" s="29"/>
      <c r="E1007" s="29"/>
      <c r="F1007" s="30"/>
      <c r="G1007" s="29"/>
      <c r="H1007" s="30"/>
      <c r="I1007" s="29"/>
      <c r="J1007" s="30"/>
      <c r="K1007" s="30"/>
      <c r="L1007" s="29"/>
      <c r="M1007" s="32" t="str">
        <f aca="false">IF(OR(C1007="",L1007=""),"",IF(C1007=L1007,"同一","変更"))</f>
        <v/>
      </c>
      <c r="N1007" s="29"/>
      <c r="O1007" s="30"/>
      <c r="P1007" s="29"/>
      <c r="Q1007" s="31"/>
      <c r="R1007" s="29"/>
      <c r="S1007" s="29"/>
      <c r="T1007" s="30"/>
      <c r="U1007" s="47" t="str">
        <f aca="false">IF(AND(B1007&lt;&gt;"",B1007=SW別シート!$C$3),COUNTIF(B$5:B1007,B1007),"")</f>
        <v/>
      </c>
      <c r="V1007" s="47" t="n">
        <f aca="false">V1006+IF(OR(O1007&lt;&gt;"",W1007&lt;&gt;""),1,0)</f>
        <v>3</v>
      </c>
      <c r="W1007" s="29"/>
    </row>
    <row r="1008" customFormat="false" ht="15" hidden="false" customHeight="false" outlineLevel="0" collapsed="false">
      <c r="A1008" s="32" t="str">
        <f aca="false">IF(B1008="","",ROW()-7)</f>
        <v/>
      </c>
      <c r="B1008" s="30"/>
      <c r="C1008" s="29"/>
      <c r="D1008" s="29"/>
      <c r="E1008" s="29"/>
      <c r="F1008" s="30"/>
      <c r="G1008" s="29"/>
      <c r="H1008" s="30"/>
      <c r="I1008" s="29"/>
      <c r="J1008" s="30"/>
      <c r="K1008" s="30"/>
      <c r="L1008" s="29"/>
      <c r="M1008" s="32" t="str">
        <f aca="false">IF(OR(C1008="",L1008=""),"",IF(C1008=L1008,"同一","変更"))</f>
        <v/>
      </c>
      <c r="N1008" s="29"/>
      <c r="O1008" s="30"/>
      <c r="P1008" s="29"/>
      <c r="Q1008" s="31"/>
      <c r="R1008" s="29"/>
      <c r="S1008" s="29"/>
      <c r="T1008" s="30"/>
      <c r="U1008" s="47" t="str">
        <f aca="false">IF(AND(B1008&lt;&gt;"",B1008=SW別シート!$C$3),COUNTIF(B$5:B1008,B1008),"")</f>
        <v/>
      </c>
      <c r="V1008" s="47" t="n">
        <f aca="false">V1007+IF(OR(O1008&lt;&gt;"",W1008&lt;&gt;""),1,0)</f>
        <v>3</v>
      </c>
      <c r="W1008" s="29"/>
    </row>
    <row r="1009" customFormat="false" ht="15" hidden="false" customHeight="false" outlineLevel="0" collapsed="false">
      <c r="A1009" s="32" t="str">
        <f aca="false">IF(B1009="","",ROW()-7)</f>
        <v/>
      </c>
      <c r="B1009" s="30"/>
      <c r="C1009" s="29"/>
      <c r="D1009" s="29"/>
      <c r="E1009" s="29"/>
      <c r="F1009" s="30"/>
      <c r="G1009" s="29"/>
      <c r="H1009" s="30"/>
      <c r="I1009" s="29"/>
      <c r="J1009" s="30"/>
      <c r="K1009" s="30"/>
      <c r="L1009" s="29"/>
      <c r="M1009" s="32" t="str">
        <f aca="false">IF(OR(C1009="",L1009=""),"",IF(C1009=L1009,"同一","変更"))</f>
        <v/>
      </c>
      <c r="N1009" s="29"/>
      <c r="O1009" s="30"/>
      <c r="P1009" s="29"/>
      <c r="Q1009" s="31"/>
      <c r="R1009" s="29"/>
      <c r="S1009" s="29"/>
      <c r="T1009" s="30"/>
      <c r="U1009" s="47" t="str">
        <f aca="false">IF(AND(B1009&lt;&gt;"",B1009=SW別シート!$C$3),COUNTIF(B$5:B1009,B1009),"")</f>
        <v/>
      </c>
      <c r="V1009" s="47" t="n">
        <f aca="false">V1008+IF(OR(O1009&lt;&gt;"",W1009&lt;&gt;""),1,0)</f>
        <v>3</v>
      </c>
      <c r="W1009" s="29"/>
    </row>
    <row r="1010" customFormat="false" ht="15" hidden="false" customHeight="false" outlineLevel="0" collapsed="false">
      <c r="A1010" s="32" t="str">
        <f aca="false">IF(B1010="","",ROW()-7)</f>
        <v/>
      </c>
      <c r="B1010" s="30"/>
      <c r="C1010" s="29"/>
      <c r="D1010" s="29"/>
      <c r="E1010" s="29"/>
      <c r="F1010" s="30"/>
      <c r="G1010" s="29"/>
      <c r="H1010" s="30"/>
      <c r="I1010" s="29"/>
      <c r="J1010" s="30"/>
      <c r="K1010" s="30"/>
      <c r="L1010" s="29"/>
      <c r="M1010" s="32" t="str">
        <f aca="false">IF(OR(C1010="",L1010=""),"",IF(C1010=L1010,"同一","変更"))</f>
        <v/>
      </c>
      <c r="N1010" s="29"/>
      <c r="O1010" s="30"/>
      <c r="P1010" s="29"/>
      <c r="Q1010" s="31"/>
      <c r="R1010" s="29"/>
      <c r="S1010" s="29"/>
      <c r="T1010" s="30"/>
      <c r="U1010" s="47" t="str">
        <f aca="false">IF(AND(B1010&lt;&gt;"",B1010=SW別シート!$C$3),COUNTIF(B$5:B1010,B1010),"")</f>
        <v/>
      </c>
      <c r="V1010" s="47" t="n">
        <f aca="false">V1009+IF(OR(O1010&lt;&gt;"",W1010&lt;&gt;""),1,0)</f>
        <v>3</v>
      </c>
      <c r="W1010" s="29"/>
    </row>
    <row r="1011" customFormat="false" ht="15" hidden="false" customHeight="false" outlineLevel="0" collapsed="false">
      <c r="A1011" s="32" t="str">
        <f aca="false">IF(B1011="","",ROW()-7)</f>
        <v/>
      </c>
      <c r="B1011" s="30"/>
      <c r="C1011" s="29"/>
      <c r="D1011" s="29"/>
      <c r="E1011" s="29"/>
      <c r="F1011" s="30"/>
      <c r="G1011" s="29"/>
      <c r="H1011" s="30"/>
      <c r="I1011" s="29"/>
      <c r="J1011" s="30"/>
      <c r="K1011" s="30"/>
      <c r="L1011" s="29"/>
      <c r="M1011" s="32" t="str">
        <f aca="false">IF(OR(C1011="",L1011=""),"",IF(C1011=L1011,"同一","変更"))</f>
        <v/>
      </c>
      <c r="N1011" s="29"/>
      <c r="O1011" s="30"/>
      <c r="P1011" s="29"/>
      <c r="Q1011" s="31"/>
      <c r="R1011" s="29"/>
      <c r="S1011" s="29"/>
      <c r="T1011" s="30"/>
      <c r="U1011" s="47" t="str">
        <f aca="false">IF(AND(B1011&lt;&gt;"",B1011=SW別シート!$C$3),COUNTIF(B$5:B1011,B1011),"")</f>
        <v/>
      </c>
      <c r="V1011" s="47" t="n">
        <f aca="false">V1010+IF(OR(O1011&lt;&gt;"",W1011&lt;&gt;""),1,0)</f>
        <v>3</v>
      </c>
      <c r="W1011" s="29"/>
    </row>
    <row r="1012" customFormat="false" ht="15" hidden="false" customHeight="false" outlineLevel="0" collapsed="false">
      <c r="A1012" s="32" t="str">
        <f aca="false">IF(B1012="","",ROW()-7)</f>
        <v/>
      </c>
      <c r="B1012" s="30"/>
      <c r="C1012" s="29"/>
      <c r="D1012" s="29"/>
      <c r="E1012" s="29"/>
      <c r="F1012" s="30"/>
      <c r="G1012" s="29"/>
      <c r="H1012" s="30"/>
      <c r="I1012" s="29"/>
      <c r="J1012" s="30"/>
      <c r="K1012" s="30"/>
      <c r="L1012" s="29"/>
      <c r="M1012" s="32" t="str">
        <f aca="false">IF(OR(C1012="",L1012=""),"",IF(C1012=L1012,"同一","変更"))</f>
        <v/>
      </c>
      <c r="N1012" s="29"/>
      <c r="O1012" s="30"/>
      <c r="P1012" s="29"/>
      <c r="Q1012" s="31"/>
      <c r="R1012" s="29"/>
      <c r="S1012" s="29"/>
      <c r="T1012" s="30"/>
      <c r="U1012" s="47" t="str">
        <f aca="false">IF(AND(B1012&lt;&gt;"",B1012=SW別シート!$C$3),COUNTIF(B$5:B1012,B1012),"")</f>
        <v/>
      </c>
      <c r="V1012" s="47" t="n">
        <f aca="false">V1011+IF(OR(O1012&lt;&gt;"",W1012&lt;&gt;""),1,0)</f>
        <v>3</v>
      </c>
      <c r="W1012" s="29"/>
    </row>
    <row r="1013" customFormat="false" ht="15" hidden="false" customHeight="false" outlineLevel="0" collapsed="false">
      <c r="A1013" s="32" t="str">
        <f aca="false">IF(B1013="","",ROW()-7)</f>
        <v/>
      </c>
      <c r="B1013" s="30"/>
      <c r="C1013" s="29"/>
      <c r="D1013" s="29"/>
      <c r="E1013" s="29"/>
      <c r="F1013" s="30"/>
      <c r="G1013" s="29"/>
      <c r="H1013" s="30"/>
      <c r="I1013" s="29"/>
      <c r="J1013" s="30"/>
      <c r="K1013" s="30"/>
      <c r="L1013" s="29"/>
      <c r="M1013" s="32" t="str">
        <f aca="false">IF(OR(C1013="",L1013=""),"",IF(C1013=L1013,"同一","変更"))</f>
        <v/>
      </c>
      <c r="N1013" s="29"/>
      <c r="O1013" s="30"/>
      <c r="P1013" s="29"/>
      <c r="Q1013" s="31"/>
      <c r="R1013" s="29"/>
      <c r="S1013" s="29"/>
      <c r="T1013" s="30"/>
      <c r="U1013" s="47" t="str">
        <f aca="false">IF(AND(B1013&lt;&gt;"",B1013=SW別シート!$C$3),COUNTIF(B$5:B1013,B1013),"")</f>
        <v/>
      </c>
      <c r="V1013" s="47" t="n">
        <f aca="false">V1012+IF(OR(O1013&lt;&gt;"",W1013&lt;&gt;""),1,0)</f>
        <v>3</v>
      </c>
      <c r="W1013" s="29"/>
    </row>
    <row r="1014" customFormat="false" ht="15" hidden="false" customHeight="false" outlineLevel="0" collapsed="false">
      <c r="A1014" s="32" t="str">
        <f aca="false">IF(B1014="","",ROW()-7)</f>
        <v/>
      </c>
      <c r="B1014" s="30"/>
      <c r="C1014" s="29"/>
      <c r="D1014" s="29"/>
      <c r="E1014" s="29"/>
      <c r="F1014" s="30"/>
      <c r="G1014" s="29"/>
      <c r="H1014" s="30"/>
      <c r="I1014" s="29"/>
      <c r="J1014" s="30"/>
      <c r="K1014" s="30"/>
      <c r="L1014" s="29"/>
      <c r="M1014" s="32" t="str">
        <f aca="false">IF(OR(C1014="",L1014=""),"",IF(C1014=L1014,"同一","変更"))</f>
        <v/>
      </c>
      <c r="N1014" s="29"/>
      <c r="O1014" s="30"/>
      <c r="P1014" s="29"/>
      <c r="Q1014" s="31"/>
      <c r="R1014" s="29"/>
      <c r="S1014" s="29"/>
      <c r="T1014" s="30"/>
      <c r="U1014" s="47" t="str">
        <f aca="false">IF(AND(B1014&lt;&gt;"",B1014=SW別シート!$C$3),COUNTIF(B$5:B1014,B1014),"")</f>
        <v/>
      </c>
      <c r="V1014" s="47" t="n">
        <f aca="false">V1013+IF(OR(O1014&lt;&gt;"",W1014&lt;&gt;""),1,0)</f>
        <v>3</v>
      </c>
      <c r="W1014" s="29"/>
    </row>
    <row r="1015" customFormat="false" ht="15" hidden="false" customHeight="false" outlineLevel="0" collapsed="false">
      <c r="A1015" s="32" t="str">
        <f aca="false">IF(B1015="","",ROW()-7)</f>
        <v/>
      </c>
      <c r="B1015" s="30"/>
      <c r="C1015" s="29"/>
      <c r="D1015" s="29"/>
      <c r="E1015" s="29"/>
      <c r="F1015" s="30"/>
      <c r="G1015" s="29"/>
      <c r="H1015" s="30"/>
      <c r="I1015" s="29"/>
      <c r="J1015" s="30"/>
      <c r="K1015" s="30"/>
      <c r="L1015" s="29"/>
      <c r="M1015" s="32" t="str">
        <f aca="false">IF(OR(C1015="",L1015=""),"",IF(C1015=L1015,"同一","変更"))</f>
        <v/>
      </c>
      <c r="N1015" s="29"/>
      <c r="O1015" s="30"/>
      <c r="P1015" s="29"/>
      <c r="Q1015" s="31"/>
      <c r="R1015" s="29"/>
      <c r="S1015" s="29"/>
      <c r="T1015" s="30"/>
      <c r="U1015" s="47" t="str">
        <f aca="false">IF(AND(B1015&lt;&gt;"",B1015=SW別シート!$C$3),COUNTIF(B$5:B1015,B1015),"")</f>
        <v/>
      </c>
      <c r="V1015" s="47" t="n">
        <f aca="false">V1014+IF(OR(O1015&lt;&gt;"",W1015&lt;&gt;""),1,0)</f>
        <v>3</v>
      </c>
      <c r="W1015" s="29"/>
    </row>
    <row r="1016" customFormat="false" ht="15" hidden="false" customHeight="false" outlineLevel="0" collapsed="false">
      <c r="A1016" s="32" t="str">
        <f aca="false">IF(B1016="","",ROW()-7)</f>
        <v/>
      </c>
      <c r="B1016" s="30"/>
      <c r="C1016" s="29"/>
      <c r="D1016" s="29"/>
      <c r="E1016" s="29"/>
      <c r="F1016" s="30"/>
      <c r="G1016" s="29"/>
      <c r="H1016" s="30"/>
      <c r="I1016" s="29"/>
      <c r="J1016" s="30"/>
      <c r="K1016" s="30"/>
      <c r="L1016" s="29"/>
      <c r="M1016" s="32" t="str">
        <f aca="false">IF(OR(C1016="",L1016=""),"",IF(C1016=L1016,"同一","変更"))</f>
        <v/>
      </c>
      <c r="N1016" s="29"/>
      <c r="O1016" s="30"/>
      <c r="P1016" s="29"/>
      <c r="Q1016" s="31"/>
      <c r="R1016" s="29"/>
      <c r="S1016" s="29"/>
      <c r="T1016" s="30"/>
      <c r="U1016" s="47" t="str">
        <f aca="false">IF(AND(B1016&lt;&gt;"",B1016=SW別シート!$C$3),COUNTIF(B$5:B1016,B1016),"")</f>
        <v/>
      </c>
      <c r="V1016" s="47" t="n">
        <f aca="false">V1015+IF(OR(O1016&lt;&gt;"",W1016&lt;&gt;""),1,0)</f>
        <v>3</v>
      </c>
      <c r="W1016" s="29"/>
    </row>
    <row r="1017" customFormat="false" ht="15" hidden="false" customHeight="false" outlineLevel="0" collapsed="false">
      <c r="A1017" s="32" t="str">
        <f aca="false">IF(B1017="","",ROW()-7)</f>
        <v/>
      </c>
      <c r="B1017" s="30"/>
      <c r="C1017" s="29"/>
      <c r="D1017" s="29"/>
      <c r="E1017" s="29"/>
      <c r="F1017" s="30"/>
      <c r="G1017" s="29"/>
      <c r="H1017" s="30"/>
      <c r="I1017" s="29"/>
      <c r="J1017" s="30"/>
      <c r="K1017" s="30"/>
      <c r="L1017" s="29"/>
      <c r="M1017" s="32" t="str">
        <f aca="false">IF(OR(C1017="",L1017=""),"",IF(C1017=L1017,"同一","変更"))</f>
        <v/>
      </c>
      <c r="N1017" s="29"/>
      <c r="O1017" s="30"/>
      <c r="P1017" s="29"/>
      <c r="Q1017" s="31"/>
      <c r="R1017" s="29"/>
      <c r="S1017" s="29"/>
      <c r="T1017" s="30"/>
      <c r="U1017" s="47" t="str">
        <f aca="false">IF(AND(B1017&lt;&gt;"",B1017=SW別シート!$C$3),COUNTIF(B$5:B1017,B1017),"")</f>
        <v/>
      </c>
      <c r="V1017" s="47" t="n">
        <f aca="false">V1016+IF(OR(O1017&lt;&gt;"",W1017&lt;&gt;""),1,0)</f>
        <v>3</v>
      </c>
      <c r="W1017" s="29"/>
    </row>
    <row r="1018" customFormat="false" ht="15" hidden="false" customHeight="false" outlineLevel="0" collapsed="false">
      <c r="A1018" s="32" t="str">
        <f aca="false">IF(B1018="","",ROW()-7)</f>
        <v/>
      </c>
      <c r="B1018" s="30"/>
      <c r="C1018" s="29"/>
      <c r="D1018" s="29"/>
      <c r="E1018" s="29"/>
      <c r="F1018" s="30"/>
      <c r="G1018" s="29"/>
      <c r="H1018" s="30"/>
      <c r="I1018" s="29"/>
      <c r="J1018" s="30"/>
      <c r="K1018" s="30"/>
      <c r="L1018" s="29"/>
      <c r="M1018" s="32" t="str">
        <f aca="false">IF(OR(C1018="",L1018=""),"",IF(C1018=L1018,"同一","変更"))</f>
        <v/>
      </c>
      <c r="N1018" s="29"/>
      <c r="O1018" s="30"/>
      <c r="P1018" s="29"/>
      <c r="Q1018" s="31"/>
      <c r="R1018" s="29"/>
      <c r="S1018" s="29"/>
      <c r="T1018" s="30"/>
      <c r="U1018" s="47" t="str">
        <f aca="false">IF(AND(B1018&lt;&gt;"",B1018=SW別シート!$C$3),COUNTIF(B$5:B1018,B1018),"")</f>
        <v/>
      </c>
      <c r="V1018" s="47" t="n">
        <f aca="false">V1017+IF(OR(O1018&lt;&gt;"",W1018&lt;&gt;""),1,0)</f>
        <v>3</v>
      </c>
      <c r="W1018" s="29"/>
    </row>
    <row r="1019" customFormat="false" ht="15" hidden="false" customHeight="false" outlineLevel="0" collapsed="false">
      <c r="A1019" s="32" t="str">
        <f aca="false">IF(B1019="","",ROW()-7)</f>
        <v/>
      </c>
      <c r="B1019" s="30"/>
      <c r="C1019" s="29"/>
      <c r="D1019" s="29"/>
      <c r="E1019" s="29"/>
      <c r="F1019" s="30"/>
      <c r="G1019" s="29"/>
      <c r="H1019" s="30"/>
      <c r="I1019" s="29"/>
      <c r="J1019" s="30"/>
      <c r="K1019" s="30"/>
      <c r="L1019" s="29"/>
      <c r="M1019" s="32" t="str">
        <f aca="false">IF(OR(C1019="",L1019=""),"",IF(C1019=L1019,"同一","変更"))</f>
        <v/>
      </c>
      <c r="N1019" s="29"/>
      <c r="O1019" s="30"/>
      <c r="P1019" s="29"/>
      <c r="Q1019" s="31"/>
      <c r="R1019" s="29"/>
      <c r="S1019" s="29"/>
      <c r="T1019" s="30"/>
      <c r="U1019" s="47" t="str">
        <f aca="false">IF(AND(B1019&lt;&gt;"",B1019=SW別シート!$C$3),COUNTIF(B$5:B1019,B1019),"")</f>
        <v/>
      </c>
      <c r="V1019" s="47" t="n">
        <f aca="false">V1018+IF(OR(O1019&lt;&gt;"",W1019&lt;&gt;""),1,0)</f>
        <v>3</v>
      </c>
      <c r="W1019" s="29"/>
    </row>
    <row r="1020" customFormat="false" ht="15" hidden="false" customHeight="false" outlineLevel="0" collapsed="false">
      <c r="A1020" s="32" t="str">
        <f aca="false">IF(B1020="","",ROW()-7)</f>
        <v/>
      </c>
      <c r="B1020" s="30"/>
      <c r="C1020" s="29"/>
      <c r="D1020" s="29"/>
      <c r="E1020" s="29"/>
      <c r="F1020" s="30"/>
      <c r="G1020" s="29"/>
      <c r="H1020" s="30"/>
      <c r="I1020" s="29"/>
      <c r="J1020" s="30"/>
      <c r="K1020" s="30"/>
      <c r="L1020" s="29"/>
      <c r="M1020" s="32" t="str">
        <f aca="false">IF(OR(C1020="",L1020=""),"",IF(C1020=L1020,"同一","変更"))</f>
        <v/>
      </c>
      <c r="N1020" s="29"/>
      <c r="O1020" s="30"/>
      <c r="P1020" s="29"/>
      <c r="Q1020" s="31"/>
      <c r="R1020" s="29"/>
      <c r="S1020" s="29"/>
      <c r="T1020" s="30"/>
      <c r="U1020" s="47" t="str">
        <f aca="false">IF(AND(B1020&lt;&gt;"",B1020=SW別シート!$C$3),COUNTIF(B$5:B1020,B1020),"")</f>
        <v/>
      </c>
      <c r="V1020" s="47" t="n">
        <f aca="false">V1019+IF(OR(O1020&lt;&gt;"",W1020&lt;&gt;""),1,0)</f>
        <v>3</v>
      </c>
      <c r="W1020" s="29"/>
    </row>
    <row r="1021" customFormat="false" ht="15" hidden="false" customHeight="false" outlineLevel="0" collapsed="false">
      <c r="A1021" s="32" t="str">
        <f aca="false">IF(B1021="","",ROW()-7)</f>
        <v/>
      </c>
      <c r="B1021" s="30"/>
      <c r="C1021" s="29"/>
      <c r="D1021" s="29"/>
      <c r="E1021" s="29"/>
      <c r="F1021" s="30"/>
      <c r="G1021" s="29"/>
      <c r="H1021" s="30"/>
      <c r="I1021" s="29"/>
      <c r="J1021" s="30"/>
      <c r="K1021" s="30"/>
      <c r="L1021" s="29"/>
      <c r="M1021" s="32" t="str">
        <f aca="false">IF(OR(C1021="",L1021=""),"",IF(C1021=L1021,"同一","変更"))</f>
        <v/>
      </c>
      <c r="N1021" s="29"/>
      <c r="O1021" s="30"/>
      <c r="P1021" s="29"/>
      <c r="Q1021" s="31"/>
      <c r="R1021" s="29"/>
      <c r="S1021" s="29"/>
      <c r="T1021" s="30"/>
      <c r="U1021" s="47" t="str">
        <f aca="false">IF(AND(B1021&lt;&gt;"",B1021=SW別シート!$C$3),COUNTIF(B$5:B1021,B1021),"")</f>
        <v/>
      </c>
      <c r="V1021" s="47" t="n">
        <f aca="false">V1020+IF(OR(O1021&lt;&gt;"",W1021&lt;&gt;""),1,0)</f>
        <v>3</v>
      </c>
      <c r="W1021" s="29"/>
    </row>
    <row r="1022" customFormat="false" ht="15" hidden="false" customHeight="false" outlineLevel="0" collapsed="false">
      <c r="A1022" s="32" t="str">
        <f aca="false">IF(B1022="","",ROW()-7)</f>
        <v/>
      </c>
      <c r="B1022" s="30"/>
      <c r="C1022" s="29"/>
      <c r="D1022" s="29"/>
      <c r="E1022" s="29"/>
      <c r="F1022" s="30"/>
      <c r="G1022" s="29"/>
      <c r="H1022" s="30"/>
      <c r="I1022" s="29"/>
      <c r="J1022" s="30"/>
      <c r="K1022" s="30"/>
      <c r="L1022" s="29"/>
      <c r="M1022" s="32" t="str">
        <f aca="false">IF(OR(C1022="",L1022=""),"",IF(C1022=L1022,"同一","変更"))</f>
        <v/>
      </c>
      <c r="N1022" s="29"/>
      <c r="O1022" s="30"/>
      <c r="P1022" s="29"/>
      <c r="Q1022" s="31"/>
      <c r="R1022" s="29"/>
      <c r="S1022" s="29"/>
      <c r="T1022" s="30"/>
      <c r="U1022" s="47" t="str">
        <f aca="false">IF(AND(B1022&lt;&gt;"",B1022=SW別シート!$C$3),COUNTIF(B$5:B1022,B1022),"")</f>
        <v/>
      </c>
      <c r="V1022" s="47" t="n">
        <f aca="false">V1021+IF(OR(O1022&lt;&gt;"",W1022&lt;&gt;""),1,0)</f>
        <v>3</v>
      </c>
      <c r="W1022" s="29"/>
    </row>
    <row r="1023" customFormat="false" ht="15" hidden="false" customHeight="false" outlineLevel="0" collapsed="false">
      <c r="A1023" s="32" t="str">
        <f aca="false">IF(B1023="","",ROW()-7)</f>
        <v/>
      </c>
      <c r="B1023" s="30"/>
      <c r="C1023" s="29"/>
      <c r="D1023" s="29"/>
      <c r="E1023" s="29"/>
      <c r="F1023" s="30"/>
      <c r="G1023" s="29"/>
      <c r="H1023" s="30"/>
      <c r="I1023" s="29"/>
      <c r="J1023" s="30"/>
      <c r="K1023" s="30"/>
      <c r="L1023" s="29"/>
      <c r="M1023" s="32" t="str">
        <f aca="false">IF(OR(C1023="",L1023=""),"",IF(C1023=L1023,"同一","変更"))</f>
        <v/>
      </c>
      <c r="N1023" s="29"/>
      <c r="O1023" s="30"/>
      <c r="P1023" s="29"/>
      <c r="Q1023" s="31"/>
      <c r="R1023" s="29"/>
      <c r="S1023" s="29"/>
      <c r="T1023" s="30"/>
      <c r="U1023" s="47" t="str">
        <f aca="false">IF(AND(B1023&lt;&gt;"",B1023=SW別シート!$C$3),COUNTIF(B$5:B1023,B1023),"")</f>
        <v/>
      </c>
      <c r="V1023" s="47" t="n">
        <f aca="false">V1022+IF(OR(O1023&lt;&gt;"",W1023&lt;&gt;""),1,0)</f>
        <v>3</v>
      </c>
      <c r="W1023" s="29"/>
    </row>
    <row r="1024" customFormat="false" ht="15" hidden="false" customHeight="false" outlineLevel="0" collapsed="false">
      <c r="A1024" s="32" t="str">
        <f aca="false">IF(B1024="","",ROW()-7)</f>
        <v/>
      </c>
      <c r="B1024" s="30"/>
      <c r="C1024" s="29"/>
      <c r="D1024" s="29"/>
      <c r="E1024" s="29"/>
      <c r="F1024" s="30"/>
      <c r="G1024" s="29"/>
      <c r="H1024" s="30"/>
      <c r="I1024" s="29"/>
      <c r="J1024" s="30"/>
      <c r="K1024" s="30"/>
      <c r="L1024" s="29"/>
      <c r="M1024" s="32" t="str">
        <f aca="false">IF(OR(C1024="",L1024=""),"",IF(C1024=L1024,"同一","変更"))</f>
        <v/>
      </c>
      <c r="N1024" s="29"/>
      <c r="O1024" s="30"/>
      <c r="P1024" s="29"/>
      <c r="Q1024" s="31"/>
      <c r="R1024" s="29"/>
      <c r="S1024" s="29"/>
      <c r="T1024" s="30"/>
      <c r="U1024" s="47" t="str">
        <f aca="false">IF(AND(B1024&lt;&gt;"",B1024=SW別シート!$C$3),COUNTIF(B$5:B1024,B1024),"")</f>
        <v/>
      </c>
      <c r="V1024" s="47" t="n">
        <f aca="false">V1023+IF(OR(O1024&lt;&gt;"",W1024&lt;&gt;""),1,0)</f>
        <v>3</v>
      </c>
      <c r="W1024" s="29"/>
    </row>
    <row r="1025" customFormat="false" ht="15" hidden="false" customHeight="false" outlineLevel="0" collapsed="false">
      <c r="A1025" s="32" t="str">
        <f aca="false">IF(B1025="","",ROW()-7)</f>
        <v/>
      </c>
      <c r="B1025" s="30"/>
      <c r="C1025" s="29"/>
      <c r="D1025" s="29"/>
      <c r="E1025" s="29"/>
      <c r="F1025" s="30"/>
      <c r="G1025" s="29"/>
      <c r="H1025" s="30"/>
      <c r="I1025" s="29"/>
      <c r="J1025" s="30"/>
      <c r="K1025" s="30"/>
      <c r="L1025" s="29"/>
      <c r="M1025" s="32" t="str">
        <f aca="false">IF(OR(C1025="",L1025=""),"",IF(C1025=L1025,"同一","変更"))</f>
        <v/>
      </c>
      <c r="N1025" s="29"/>
      <c r="O1025" s="30"/>
      <c r="P1025" s="29"/>
      <c r="Q1025" s="31"/>
      <c r="R1025" s="29"/>
      <c r="S1025" s="29"/>
      <c r="T1025" s="30"/>
      <c r="U1025" s="47" t="str">
        <f aca="false">IF(AND(B1025&lt;&gt;"",B1025=SW別シート!$C$3),COUNTIF(B$5:B1025,B1025),"")</f>
        <v/>
      </c>
      <c r="V1025" s="47" t="n">
        <f aca="false">V1024+IF(OR(O1025&lt;&gt;"",W1025&lt;&gt;""),1,0)</f>
        <v>3</v>
      </c>
      <c r="W1025" s="29"/>
    </row>
    <row r="1026" customFormat="false" ht="15" hidden="false" customHeight="false" outlineLevel="0" collapsed="false">
      <c r="A1026" s="32" t="str">
        <f aca="false">IF(B1026="","",ROW()-7)</f>
        <v/>
      </c>
      <c r="B1026" s="30"/>
      <c r="C1026" s="29"/>
      <c r="D1026" s="29"/>
      <c r="E1026" s="29"/>
      <c r="F1026" s="30"/>
      <c r="G1026" s="29"/>
      <c r="H1026" s="30"/>
      <c r="I1026" s="29"/>
      <c r="J1026" s="30"/>
      <c r="K1026" s="30"/>
      <c r="L1026" s="29"/>
      <c r="M1026" s="32" t="str">
        <f aca="false">IF(OR(C1026="",L1026=""),"",IF(C1026=L1026,"同一","変更"))</f>
        <v/>
      </c>
      <c r="N1026" s="29"/>
      <c r="O1026" s="30"/>
      <c r="P1026" s="29"/>
      <c r="Q1026" s="31"/>
      <c r="R1026" s="29"/>
      <c r="S1026" s="29"/>
      <c r="T1026" s="30"/>
      <c r="U1026" s="47" t="str">
        <f aca="false">IF(AND(B1026&lt;&gt;"",B1026=SW別シート!$C$3),COUNTIF(B$5:B1026,B1026),"")</f>
        <v/>
      </c>
      <c r="V1026" s="47" t="n">
        <f aca="false">V1025+IF(OR(O1026&lt;&gt;"",W1026&lt;&gt;""),1,0)</f>
        <v>3</v>
      </c>
      <c r="W1026" s="29"/>
    </row>
    <row r="1027" customFormat="false" ht="15" hidden="false" customHeight="false" outlineLevel="0" collapsed="false">
      <c r="A1027" s="32" t="str">
        <f aca="false">IF(B1027="","",ROW()-7)</f>
        <v/>
      </c>
      <c r="B1027" s="30"/>
      <c r="C1027" s="29"/>
      <c r="D1027" s="29"/>
      <c r="E1027" s="29"/>
      <c r="F1027" s="30"/>
      <c r="G1027" s="29"/>
      <c r="H1027" s="30"/>
      <c r="I1027" s="29"/>
      <c r="J1027" s="30"/>
      <c r="K1027" s="30"/>
      <c r="L1027" s="29"/>
      <c r="M1027" s="32" t="str">
        <f aca="false">IF(OR(C1027="",L1027=""),"",IF(C1027=L1027,"同一","変更"))</f>
        <v/>
      </c>
      <c r="N1027" s="29"/>
      <c r="O1027" s="30"/>
      <c r="P1027" s="29"/>
      <c r="Q1027" s="31"/>
      <c r="R1027" s="29"/>
      <c r="S1027" s="29"/>
      <c r="T1027" s="30"/>
      <c r="U1027" s="47" t="str">
        <f aca="false">IF(AND(B1027&lt;&gt;"",B1027=SW別シート!$C$3),COUNTIF(B$5:B1027,B1027),"")</f>
        <v/>
      </c>
      <c r="V1027" s="47" t="n">
        <f aca="false">V1026+IF(OR(O1027&lt;&gt;"",W1027&lt;&gt;""),1,0)</f>
        <v>3</v>
      </c>
      <c r="W1027" s="29"/>
    </row>
    <row r="1028" customFormat="false" ht="15" hidden="false" customHeight="false" outlineLevel="0" collapsed="false">
      <c r="A1028" s="32" t="str">
        <f aca="false">IF(B1028="","",ROW()-7)</f>
        <v/>
      </c>
      <c r="B1028" s="30"/>
      <c r="C1028" s="29"/>
      <c r="D1028" s="29"/>
      <c r="E1028" s="29"/>
      <c r="F1028" s="30"/>
      <c r="G1028" s="29"/>
      <c r="H1028" s="30"/>
      <c r="I1028" s="29"/>
      <c r="J1028" s="30"/>
      <c r="K1028" s="30"/>
      <c r="L1028" s="29"/>
      <c r="M1028" s="32" t="str">
        <f aca="false">IF(OR(C1028="",L1028=""),"",IF(C1028=L1028,"同一","変更"))</f>
        <v/>
      </c>
      <c r="N1028" s="29"/>
      <c r="O1028" s="30"/>
      <c r="P1028" s="29"/>
      <c r="Q1028" s="31"/>
      <c r="R1028" s="29"/>
      <c r="S1028" s="29"/>
      <c r="T1028" s="30"/>
      <c r="U1028" s="47" t="str">
        <f aca="false">IF(AND(B1028&lt;&gt;"",B1028=SW別シート!$C$3),COUNTIF(B$5:B1028,B1028),"")</f>
        <v/>
      </c>
      <c r="V1028" s="47" t="n">
        <f aca="false">V1027+IF(OR(O1028&lt;&gt;"",W1028&lt;&gt;""),1,0)</f>
        <v>3</v>
      </c>
      <c r="W1028" s="29"/>
    </row>
    <row r="1029" customFormat="false" ht="15" hidden="false" customHeight="false" outlineLevel="0" collapsed="false">
      <c r="A1029" s="32" t="str">
        <f aca="false">IF(B1029="","",ROW()-7)</f>
        <v/>
      </c>
      <c r="B1029" s="30"/>
      <c r="C1029" s="29"/>
      <c r="D1029" s="29"/>
      <c r="E1029" s="29"/>
      <c r="F1029" s="30"/>
      <c r="G1029" s="29"/>
      <c r="H1029" s="30"/>
      <c r="I1029" s="29"/>
      <c r="J1029" s="30"/>
      <c r="K1029" s="30"/>
      <c r="L1029" s="29"/>
      <c r="M1029" s="32" t="str">
        <f aca="false">IF(OR(C1029="",L1029=""),"",IF(C1029=L1029,"同一","変更"))</f>
        <v/>
      </c>
      <c r="N1029" s="29"/>
      <c r="O1029" s="30"/>
      <c r="P1029" s="29"/>
      <c r="Q1029" s="31"/>
      <c r="R1029" s="29"/>
      <c r="S1029" s="29"/>
      <c r="T1029" s="30"/>
      <c r="U1029" s="47" t="str">
        <f aca="false">IF(AND(B1029&lt;&gt;"",B1029=SW別シート!$C$3),COUNTIF(B$5:B1029,B1029),"")</f>
        <v/>
      </c>
      <c r="V1029" s="47" t="n">
        <f aca="false">V1028+IF(OR(O1029&lt;&gt;"",W1029&lt;&gt;""),1,0)</f>
        <v>3</v>
      </c>
      <c r="W1029" s="29"/>
    </row>
    <row r="1030" customFormat="false" ht="15" hidden="false" customHeight="false" outlineLevel="0" collapsed="false">
      <c r="A1030" s="32" t="str">
        <f aca="false">IF(B1030="","",ROW()-7)</f>
        <v/>
      </c>
      <c r="B1030" s="30"/>
      <c r="C1030" s="29"/>
      <c r="D1030" s="29"/>
      <c r="E1030" s="29"/>
      <c r="F1030" s="30"/>
      <c r="G1030" s="29"/>
      <c r="H1030" s="30"/>
      <c r="I1030" s="29"/>
      <c r="J1030" s="30"/>
      <c r="K1030" s="30"/>
      <c r="L1030" s="29"/>
      <c r="M1030" s="32" t="str">
        <f aca="false">IF(OR(C1030="",L1030=""),"",IF(C1030=L1030,"同一","変更"))</f>
        <v/>
      </c>
      <c r="N1030" s="29"/>
      <c r="O1030" s="30"/>
      <c r="P1030" s="29"/>
      <c r="Q1030" s="31"/>
      <c r="R1030" s="29"/>
      <c r="S1030" s="29"/>
      <c r="T1030" s="30"/>
      <c r="U1030" s="47" t="str">
        <f aca="false">IF(AND(B1030&lt;&gt;"",B1030=SW別シート!$C$3),COUNTIF(B$5:B1030,B1030),"")</f>
        <v/>
      </c>
      <c r="V1030" s="47" t="n">
        <f aca="false">V1029+IF(OR(O1030&lt;&gt;"",W1030&lt;&gt;""),1,0)</f>
        <v>3</v>
      </c>
      <c r="W1030" s="29"/>
    </row>
    <row r="1031" customFormat="false" ht="15" hidden="false" customHeight="false" outlineLevel="0" collapsed="false">
      <c r="A1031" s="32" t="str">
        <f aca="false">IF(B1031="","",ROW()-7)</f>
        <v/>
      </c>
      <c r="B1031" s="30"/>
      <c r="C1031" s="29"/>
      <c r="D1031" s="29"/>
      <c r="E1031" s="29"/>
      <c r="F1031" s="30"/>
      <c r="G1031" s="29"/>
      <c r="H1031" s="30"/>
      <c r="I1031" s="29"/>
      <c r="J1031" s="30"/>
      <c r="K1031" s="30"/>
      <c r="L1031" s="29"/>
      <c r="M1031" s="32" t="str">
        <f aca="false">IF(OR(C1031="",L1031=""),"",IF(C1031=L1031,"同一","変更"))</f>
        <v/>
      </c>
      <c r="N1031" s="29"/>
      <c r="O1031" s="30"/>
      <c r="P1031" s="29"/>
      <c r="Q1031" s="31"/>
      <c r="R1031" s="29"/>
      <c r="S1031" s="29"/>
      <c r="T1031" s="30"/>
      <c r="U1031" s="47" t="str">
        <f aca="false">IF(AND(B1031&lt;&gt;"",B1031=SW別シート!$C$3),COUNTIF(B$5:B1031,B1031),"")</f>
        <v/>
      </c>
      <c r="V1031" s="47" t="n">
        <f aca="false">V1030+IF(OR(O1031&lt;&gt;"",W1031&lt;&gt;""),1,0)</f>
        <v>3</v>
      </c>
      <c r="W1031" s="29"/>
    </row>
    <row r="1032" customFormat="false" ht="15" hidden="false" customHeight="false" outlineLevel="0" collapsed="false">
      <c r="A1032" s="32" t="str">
        <f aca="false">IF(B1032="","",ROW()-7)</f>
        <v/>
      </c>
      <c r="B1032" s="30"/>
      <c r="C1032" s="29"/>
      <c r="D1032" s="29"/>
      <c r="E1032" s="29"/>
      <c r="F1032" s="30"/>
      <c r="G1032" s="29"/>
      <c r="H1032" s="30"/>
      <c r="I1032" s="29"/>
      <c r="J1032" s="30"/>
      <c r="K1032" s="30"/>
      <c r="L1032" s="29"/>
      <c r="M1032" s="32" t="str">
        <f aca="false">IF(OR(C1032="",L1032=""),"",IF(C1032=L1032,"同一","変更"))</f>
        <v/>
      </c>
      <c r="N1032" s="29"/>
      <c r="O1032" s="30"/>
      <c r="P1032" s="29"/>
      <c r="Q1032" s="31"/>
      <c r="R1032" s="29"/>
      <c r="S1032" s="29"/>
      <c r="T1032" s="30"/>
      <c r="U1032" s="47" t="str">
        <f aca="false">IF(AND(B1032&lt;&gt;"",B1032=SW別シート!$C$3),COUNTIF(B$5:B1032,B1032),"")</f>
        <v/>
      </c>
      <c r="V1032" s="47" t="n">
        <f aca="false">V1031+IF(OR(O1032&lt;&gt;"",W1032&lt;&gt;""),1,0)</f>
        <v>3</v>
      </c>
      <c r="W1032" s="29"/>
    </row>
    <row r="1033" customFormat="false" ht="15" hidden="false" customHeight="false" outlineLevel="0" collapsed="false">
      <c r="A1033" s="32" t="str">
        <f aca="false">IF(B1033="","",ROW()-7)</f>
        <v/>
      </c>
      <c r="B1033" s="30"/>
      <c r="C1033" s="29"/>
      <c r="D1033" s="29"/>
      <c r="E1033" s="29"/>
      <c r="F1033" s="30"/>
      <c r="G1033" s="29"/>
      <c r="H1033" s="30"/>
      <c r="I1033" s="29"/>
      <c r="J1033" s="30"/>
      <c r="K1033" s="30"/>
      <c r="L1033" s="29"/>
      <c r="M1033" s="32" t="str">
        <f aca="false">IF(OR(C1033="",L1033=""),"",IF(C1033=L1033,"同一","変更"))</f>
        <v/>
      </c>
      <c r="N1033" s="29"/>
      <c r="O1033" s="30"/>
      <c r="P1033" s="29"/>
      <c r="Q1033" s="31"/>
      <c r="R1033" s="29"/>
      <c r="S1033" s="29"/>
      <c r="T1033" s="30"/>
      <c r="U1033" s="47" t="str">
        <f aca="false">IF(AND(B1033&lt;&gt;"",B1033=SW別シート!$C$3),COUNTIF(B$5:B1033,B1033),"")</f>
        <v/>
      </c>
      <c r="V1033" s="47" t="n">
        <f aca="false">V1032+IF(OR(O1033&lt;&gt;"",W1033&lt;&gt;""),1,0)</f>
        <v>3</v>
      </c>
      <c r="W1033" s="29"/>
    </row>
    <row r="1034" customFormat="false" ht="15" hidden="false" customHeight="false" outlineLevel="0" collapsed="false">
      <c r="A1034" s="32" t="str">
        <f aca="false">IF(B1034="","",ROW()-7)</f>
        <v/>
      </c>
      <c r="B1034" s="30"/>
      <c r="C1034" s="29"/>
      <c r="D1034" s="29"/>
      <c r="E1034" s="29"/>
      <c r="F1034" s="30"/>
      <c r="G1034" s="29"/>
      <c r="H1034" s="30"/>
      <c r="I1034" s="29"/>
      <c r="J1034" s="30"/>
      <c r="K1034" s="30"/>
      <c r="L1034" s="29"/>
      <c r="M1034" s="32" t="str">
        <f aca="false">IF(OR(C1034="",L1034=""),"",IF(C1034=L1034,"同一","変更"))</f>
        <v/>
      </c>
      <c r="N1034" s="29"/>
      <c r="O1034" s="30"/>
      <c r="P1034" s="29"/>
      <c r="Q1034" s="31"/>
      <c r="R1034" s="29"/>
      <c r="S1034" s="29"/>
      <c r="T1034" s="30"/>
      <c r="U1034" s="47" t="str">
        <f aca="false">IF(AND(B1034&lt;&gt;"",B1034=SW別シート!$C$3),COUNTIF(B$5:B1034,B1034),"")</f>
        <v/>
      </c>
      <c r="V1034" s="47" t="n">
        <f aca="false">V1033+IF(OR(O1034&lt;&gt;"",W1034&lt;&gt;""),1,0)</f>
        <v>3</v>
      </c>
      <c r="W1034" s="29"/>
    </row>
    <row r="1035" customFormat="false" ht="15" hidden="false" customHeight="false" outlineLevel="0" collapsed="false">
      <c r="A1035" s="32" t="str">
        <f aca="false">IF(B1035="","",ROW()-7)</f>
        <v/>
      </c>
      <c r="B1035" s="30"/>
      <c r="C1035" s="29"/>
      <c r="D1035" s="29"/>
      <c r="E1035" s="29"/>
      <c r="F1035" s="30"/>
      <c r="G1035" s="29"/>
      <c r="H1035" s="30"/>
      <c r="I1035" s="29"/>
      <c r="J1035" s="30"/>
      <c r="K1035" s="30"/>
      <c r="L1035" s="29"/>
      <c r="M1035" s="32" t="str">
        <f aca="false">IF(OR(C1035="",L1035=""),"",IF(C1035=L1035,"同一","変更"))</f>
        <v/>
      </c>
      <c r="N1035" s="29"/>
      <c r="O1035" s="30"/>
      <c r="P1035" s="29"/>
      <c r="Q1035" s="31"/>
      <c r="R1035" s="29"/>
      <c r="S1035" s="29"/>
      <c r="T1035" s="30"/>
      <c r="U1035" s="47" t="str">
        <f aca="false">IF(AND(B1035&lt;&gt;"",B1035=SW別シート!$C$3),COUNTIF(B$5:B1035,B1035),"")</f>
        <v/>
      </c>
      <c r="V1035" s="47" t="n">
        <f aca="false">V1034+IF(OR(O1035&lt;&gt;"",W1035&lt;&gt;""),1,0)</f>
        <v>3</v>
      </c>
      <c r="W1035" s="29"/>
    </row>
    <row r="1036" customFormat="false" ht="15" hidden="false" customHeight="false" outlineLevel="0" collapsed="false">
      <c r="A1036" s="32" t="str">
        <f aca="false">IF(B1036="","",ROW()-7)</f>
        <v/>
      </c>
      <c r="B1036" s="30"/>
      <c r="C1036" s="29"/>
      <c r="D1036" s="29"/>
      <c r="E1036" s="29"/>
      <c r="F1036" s="30"/>
      <c r="G1036" s="29"/>
      <c r="H1036" s="30"/>
      <c r="I1036" s="29"/>
      <c r="J1036" s="30"/>
      <c r="K1036" s="30"/>
      <c r="L1036" s="29"/>
      <c r="M1036" s="32" t="str">
        <f aca="false">IF(OR(C1036="",L1036=""),"",IF(C1036=L1036,"同一","変更"))</f>
        <v/>
      </c>
      <c r="N1036" s="29"/>
      <c r="O1036" s="30"/>
      <c r="P1036" s="29"/>
      <c r="Q1036" s="31"/>
      <c r="R1036" s="29"/>
      <c r="S1036" s="29"/>
      <c r="T1036" s="30"/>
      <c r="U1036" s="47" t="str">
        <f aca="false">IF(AND(B1036&lt;&gt;"",B1036=SW別シート!$C$3),COUNTIF(B$5:B1036,B1036),"")</f>
        <v/>
      </c>
      <c r="V1036" s="47" t="n">
        <f aca="false">V1035+IF(OR(O1036&lt;&gt;"",W1036&lt;&gt;""),1,0)</f>
        <v>3</v>
      </c>
      <c r="W1036" s="29"/>
    </row>
    <row r="1037" customFormat="false" ht="15" hidden="false" customHeight="false" outlineLevel="0" collapsed="false">
      <c r="A1037" s="32" t="str">
        <f aca="false">IF(B1037="","",ROW()-7)</f>
        <v/>
      </c>
      <c r="B1037" s="30"/>
      <c r="C1037" s="29"/>
      <c r="D1037" s="29"/>
      <c r="E1037" s="29"/>
      <c r="F1037" s="30"/>
      <c r="G1037" s="29"/>
      <c r="H1037" s="30"/>
      <c r="I1037" s="29"/>
      <c r="J1037" s="30"/>
      <c r="K1037" s="30"/>
      <c r="L1037" s="29"/>
      <c r="M1037" s="32" t="str">
        <f aca="false">IF(OR(C1037="",L1037=""),"",IF(C1037=L1037,"同一","変更"))</f>
        <v/>
      </c>
      <c r="N1037" s="29"/>
      <c r="O1037" s="30"/>
      <c r="P1037" s="29"/>
      <c r="Q1037" s="31"/>
      <c r="R1037" s="29"/>
      <c r="S1037" s="29"/>
      <c r="T1037" s="30"/>
      <c r="U1037" s="47" t="str">
        <f aca="false">IF(AND(B1037&lt;&gt;"",B1037=SW別シート!$C$3),COUNTIF(B$5:B1037,B1037),"")</f>
        <v/>
      </c>
      <c r="V1037" s="47" t="n">
        <f aca="false">V1036+IF(OR(O1037&lt;&gt;"",W1037&lt;&gt;""),1,0)</f>
        <v>3</v>
      </c>
      <c r="W1037" s="29"/>
    </row>
    <row r="1038" customFormat="false" ht="15" hidden="false" customHeight="false" outlineLevel="0" collapsed="false">
      <c r="A1038" s="32" t="str">
        <f aca="false">IF(B1038="","",ROW()-7)</f>
        <v/>
      </c>
      <c r="B1038" s="30"/>
      <c r="C1038" s="29"/>
      <c r="D1038" s="29"/>
      <c r="E1038" s="29"/>
      <c r="F1038" s="30"/>
      <c r="G1038" s="29"/>
      <c r="H1038" s="30"/>
      <c r="I1038" s="29"/>
      <c r="J1038" s="30"/>
      <c r="K1038" s="30"/>
      <c r="L1038" s="29"/>
      <c r="M1038" s="32" t="str">
        <f aca="false">IF(OR(C1038="",L1038=""),"",IF(C1038=L1038,"同一","変更"))</f>
        <v/>
      </c>
      <c r="N1038" s="29"/>
      <c r="O1038" s="30"/>
      <c r="P1038" s="29"/>
      <c r="Q1038" s="31"/>
      <c r="R1038" s="29"/>
      <c r="S1038" s="29"/>
      <c r="T1038" s="30"/>
      <c r="U1038" s="47" t="str">
        <f aca="false">IF(AND(B1038&lt;&gt;"",B1038=SW別シート!$C$3),COUNTIF(B$5:B1038,B1038),"")</f>
        <v/>
      </c>
      <c r="V1038" s="47" t="n">
        <f aca="false">V1037+IF(OR(O1038&lt;&gt;"",W1038&lt;&gt;""),1,0)</f>
        <v>3</v>
      </c>
      <c r="W1038" s="29"/>
    </row>
    <row r="1039" customFormat="false" ht="15" hidden="false" customHeight="false" outlineLevel="0" collapsed="false">
      <c r="A1039" s="32" t="str">
        <f aca="false">IF(B1039="","",ROW()-7)</f>
        <v/>
      </c>
      <c r="B1039" s="30"/>
      <c r="C1039" s="29"/>
      <c r="D1039" s="29"/>
      <c r="E1039" s="29"/>
      <c r="F1039" s="30"/>
      <c r="G1039" s="29"/>
      <c r="H1039" s="30"/>
      <c r="I1039" s="29"/>
      <c r="J1039" s="30"/>
      <c r="K1039" s="30"/>
      <c r="L1039" s="29"/>
      <c r="M1039" s="32" t="str">
        <f aca="false">IF(OR(C1039="",L1039=""),"",IF(C1039=L1039,"同一","変更"))</f>
        <v/>
      </c>
      <c r="N1039" s="29"/>
      <c r="O1039" s="30"/>
      <c r="P1039" s="29"/>
      <c r="Q1039" s="31"/>
      <c r="R1039" s="29"/>
      <c r="S1039" s="29"/>
      <c r="T1039" s="30"/>
      <c r="U1039" s="47" t="str">
        <f aca="false">IF(AND(B1039&lt;&gt;"",B1039=SW別シート!$C$3),COUNTIF(B$5:B1039,B1039),"")</f>
        <v/>
      </c>
      <c r="V1039" s="47" t="n">
        <f aca="false">V1038+IF(OR(O1039&lt;&gt;"",W1039&lt;&gt;""),1,0)</f>
        <v>3</v>
      </c>
      <c r="W1039" s="29"/>
    </row>
    <row r="1040" customFormat="false" ht="15" hidden="false" customHeight="false" outlineLevel="0" collapsed="false">
      <c r="A1040" s="32" t="str">
        <f aca="false">IF(B1040="","",ROW()-7)</f>
        <v/>
      </c>
      <c r="B1040" s="30"/>
      <c r="C1040" s="29"/>
      <c r="D1040" s="29"/>
      <c r="E1040" s="29"/>
      <c r="F1040" s="30"/>
      <c r="G1040" s="29"/>
      <c r="H1040" s="30"/>
      <c r="I1040" s="29"/>
      <c r="J1040" s="30"/>
      <c r="K1040" s="30"/>
      <c r="L1040" s="29"/>
      <c r="M1040" s="32" t="str">
        <f aca="false">IF(OR(C1040="",L1040=""),"",IF(C1040=L1040,"同一","変更"))</f>
        <v/>
      </c>
      <c r="N1040" s="29"/>
      <c r="O1040" s="30"/>
      <c r="P1040" s="29"/>
      <c r="Q1040" s="31"/>
      <c r="R1040" s="29"/>
      <c r="S1040" s="29"/>
      <c r="T1040" s="30"/>
      <c r="U1040" s="47" t="str">
        <f aca="false">IF(AND(B1040&lt;&gt;"",B1040=SW別シート!$C$3),COUNTIF(B$5:B1040,B1040),"")</f>
        <v/>
      </c>
      <c r="V1040" s="47" t="n">
        <f aca="false">V1039+IF(OR(O1040&lt;&gt;"",W1040&lt;&gt;""),1,0)</f>
        <v>3</v>
      </c>
      <c r="W1040" s="29"/>
    </row>
    <row r="1041" customFormat="false" ht="15" hidden="false" customHeight="false" outlineLevel="0" collapsed="false">
      <c r="A1041" s="32" t="str">
        <f aca="false">IF(B1041="","",ROW()-7)</f>
        <v/>
      </c>
      <c r="B1041" s="30"/>
      <c r="C1041" s="29"/>
      <c r="D1041" s="29"/>
      <c r="E1041" s="29"/>
      <c r="F1041" s="30"/>
      <c r="G1041" s="29"/>
      <c r="H1041" s="30"/>
      <c r="I1041" s="29"/>
      <c r="J1041" s="30"/>
      <c r="K1041" s="30"/>
      <c r="L1041" s="29"/>
      <c r="M1041" s="32" t="str">
        <f aca="false">IF(OR(C1041="",L1041=""),"",IF(C1041=L1041,"同一","変更"))</f>
        <v/>
      </c>
      <c r="N1041" s="29"/>
      <c r="O1041" s="30"/>
      <c r="P1041" s="29"/>
      <c r="Q1041" s="31"/>
      <c r="R1041" s="29"/>
      <c r="S1041" s="29"/>
      <c r="T1041" s="30"/>
      <c r="U1041" s="47" t="str">
        <f aca="false">IF(AND(B1041&lt;&gt;"",B1041=SW別シート!$C$3),COUNTIF(B$5:B1041,B1041),"")</f>
        <v/>
      </c>
      <c r="V1041" s="47" t="n">
        <f aca="false">V1040+IF(OR(O1041&lt;&gt;"",W1041&lt;&gt;""),1,0)</f>
        <v>3</v>
      </c>
      <c r="W1041" s="29"/>
    </row>
    <row r="1042" customFormat="false" ht="15" hidden="false" customHeight="false" outlineLevel="0" collapsed="false">
      <c r="A1042" s="32" t="str">
        <f aca="false">IF(B1042="","",ROW()-7)</f>
        <v/>
      </c>
      <c r="B1042" s="30"/>
      <c r="C1042" s="29"/>
      <c r="D1042" s="29"/>
      <c r="E1042" s="29"/>
      <c r="F1042" s="30"/>
      <c r="G1042" s="29"/>
      <c r="H1042" s="30"/>
      <c r="I1042" s="29"/>
      <c r="J1042" s="30"/>
      <c r="K1042" s="30"/>
      <c r="L1042" s="29"/>
      <c r="M1042" s="32" t="str">
        <f aca="false">IF(OR(C1042="",L1042=""),"",IF(C1042=L1042,"同一","変更"))</f>
        <v/>
      </c>
      <c r="N1042" s="29"/>
      <c r="O1042" s="30"/>
      <c r="P1042" s="29"/>
      <c r="Q1042" s="31"/>
      <c r="R1042" s="29"/>
      <c r="S1042" s="29"/>
      <c r="T1042" s="30"/>
      <c r="U1042" s="47" t="str">
        <f aca="false">IF(AND(B1042&lt;&gt;"",B1042=SW別シート!$C$3),COUNTIF(B$5:B1042,B1042),"")</f>
        <v/>
      </c>
      <c r="V1042" s="47" t="n">
        <f aca="false">V1041+IF(OR(O1042&lt;&gt;"",W1042&lt;&gt;""),1,0)</f>
        <v>3</v>
      </c>
      <c r="W1042" s="29"/>
    </row>
    <row r="1043" customFormat="false" ht="15" hidden="false" customHeight="false" outlineLevel="0" collapsed="false">
      <c r="A1043" s="32" t="str">
        <f aca="false">IF(B1043="","",ROW()-7)</f>
        <v/>
      </c>
      <c r="B1043" s="30"/>
      <c r="C1043" s="29"/>
      <c r="D1043" s="29"/>
      <c r="E1043" s="29"/>
      <c r="F1043" s="30"/>
      <c r="G1043" s="29"/>
      <c r="H1043" s="30"/>
      <c r="I1043" s="29"/>
      <c r="J1043" s="30"/>
      <c r="K1043" s="30"/>
      <c r="L1043" s="29"/>
      <c r="M1043" s="32" t="str">
        <f aca="false">IF(OR(C1043="",L1043=""),"",IF(C1043=L1043,"同一","変更"))</f>
        <v/>
      </c>
      <c r="N1043" s="29"/>
      <c r="O1043" s="30"/>
      <c r="P1043" s="29"/>
      <c r="Q1043" s="31"/>
      <c r="R1043" s="29"/>
      <c r="S1043" s="29"/>
      <c r="T1043" s="30"/>
      <c r="U1043" s="47" t="str">
        <f aca="false">IF(AND(B1043&lt;&gt;"",B1043=SW別シート!$C$3),COUNTIF(B$5:B1043,B1043),"")</f>
        <v/>
      </c>
      <c r="V1043" s="47" t="n">
        <f aca="false">V1042+IF(OR(O1043&lt;&gt;"",W1043&lt;&gt;""),1,0)</f>
        <v>3</v>
      </c>
      <c r="W1043" s="29"/>
    </row>
    <row r="1044" customFormat="false" ht="15" hidden="false" customHeight="false" outlineLevel="0" collapsed="false">
      <c r="A1044" s="32" t="str">
        <f aca="false">IF(B1044="","",ROW()-7)</f>
        <v/>
      </c>
      <c r="B1044" s="30"/>
      <c r="C1044" s="29"/>
      <c r="D1044" s="29"/>
      <c r="E1044" s="29"/>
      <c r="F1044" s="30"/>
      <c r="G1044" s="29"/>
      <c r="H1044" s="30"/>
      <c r="I1044" s="29"/>
      <c r="J1044" s="30"/>
      <c r="K1044" s="30"/>
      <c r="L1044" s="29"/>
      <c r="M1044" s="32" t="str">
        <f aca="false">IF(OR(C1044="",L1044=""),"",IF(C1044=L1044,"同一","変更"))</f>
        <v/>
      </c>
      <c r="N1044" s="29"/>
      <c r="O1044" s="30"/>
      <c r="P1044" s="29"/>
      <c r="Q1044" s="31"/>
      <c r="R1044" s="29"/>
      <c r="S1044" s="29"/>
      <c r="T1044" s="30"/>
      <c r="U1044" s="47" t="str">
        <f aca="false">IF(AND(B1044&lt;&gt;"",B1044=SW別シート!$C$3),COUNTIF(B$5:B1044,B1044),"")</f>
        <v/>
      </c>
      <c r="V1044" s="47" t="n">
        <f aca="false">V1043+IF(OR(O1044&lt;&gt;"",W1044&lt;&gt;""),1,0)</f>
        <v>3</v>
      </c>
      <c r="W1044" s="29"/>
    </row>
    <row r="1045" customFormat="false" ht="15" hidden="false" customHeight="false" outlineLevel="0" collapsed="false">
      <c r="A1045" s="32" t="str">
        <f aca="false">IF(B1045="","",ROW()-7)</f>
        <v/>
      </c>
      <c r="B1045" s="30"/>
      <c r="C1045" s="29"/>
      <c r="D1045" s="29"/>
      <c r="E1045" s="29"/>
      <c r="F1045" s="30"/>
      <c r="G1045" s="29"/>
      <c r="H1045" s="30"/>
      <c r="I1045" s="29"/>
      <c r="J1045" s="30"/>
      <c r="K1045" s="30"/>
      <c r="L1045" s="29"/>
      <c r="M1045" s="32" t="str">
        <f aca="false">IF(OR(C1045="",L1045=""),"",IF(C1045=L1045,"同一","変更"))</f>
        <v/>
      </c>
      <c r="N1045" s="29"/>
      <c r="O1045" s="30"/>
      <c r="P1045" s="29"/>
      <c r="Q1045" s="31"/>
      <c r="R1045" s="29"/>
      <c r="S1045" s="29"/>
      <c r="T1045" s="30"/>
      <c r="U1045" s="47" t="str">
        <f aca="false">IF(AND(B1045&lt;&gt;"",B1045=SW別シート!$C$3),COUNTIF(B$5:B1045,B1045),"")</f>
        <v/>
      </c>
      <c r="V1045" s="47" t="n">
        <f aca="false">V1044+IF(OR(O1045&lt;&gt;"",W1045&lt;&gt;""),1,0)</f>
        <v>3</v>
      </c>
      <c r="W1045" s="29"/>
    </row>
    <row r="1046" customFormat="false" ht="15" hidden="false" customHeight="false" outlineLevel="0" collapsed="false">
      <c r="A1046" s="32" t="str">
        <f aca="false">IF(B1046="","",ROW()-7)</f>
        <v/>
      </c>
      <c r="B1046" s="30"/>
      <c r="C1046" s="29"/>
      <c r="D1046" s="29"/>
      <c r="E1046" s="29"/>
      <c r="F1046" s="30"/>
      <c r="G1046" s="29"/>
      <c r="H1046" s="30"/>
      <c r="I1046" s="29"/>
      <c r="J1046" s="30"/>
      <c r="K1046" s="30"/>
      <c r="L1046" s="29"/>
      <c r="M1046" s="32" t="str">
        <f aca="false">IF(OR(C1046="",L1046=""),"",IF(C1046=L1046,"同一","変更"))</f>
        <v/>
      </c>
      <c r="N1046" s="29"/>
      <c r="O1046" s="30"/>
      <c r="P1046" s="29"/>
      <c r="Q1046" s="31"/>
      <c r="R1046" s="29"/>
      <c r="S1046" s="29"/>
      <c r="T1046" s="30"/>
      <c r="U1046" s="47" t="str">
        <f aca="false">IF(AND(B1046&lt;&gt;"",B1046=SW別シート!$C$3),COUNTIF(B$5:B1046,B1046),"")</f>
        <v/>
      </c>
      <c r="V1046" s="47" t="n">
        <f aca="false">V1045+IF(OR(O1046&lt;&gt;"",W1046&lt;&gt;""),1,0)</f>
        <v>3</v>
      </c>
      <c r="W1046" s="29"/>
    </row>
    <row r="1047" customFormat="false" ht="15" hidden="false" customHeight="false" outlineLevel="0" collapsed="false">
      <c r="A1047" s="32" t="str">
        <f aca="false">IF(B1047="","",ROW()-7)</f>
        <v/>
      </c>
      <c r="B1047" s="30"/>
      <c r="C1047" s="29"/>
      <c r="D1047" s="29"/>
      <c r="E1047" s="29"/>
      <c r="F1047" s="30"/>
      <c r="G1047" s="29"/>
      <c r="H1047" s="30"/>
      <c r="I1047" s="29"/>
      <c r="J1047" s="30"/>
      <c r="K1047" s="30"/>
      <c r="L1047" s="29"/>
      <c r="M1047" s="32" t="str">
        <f aca="false">IF(OR(C1047="",L1047=""),"",IF(C1047=L1047,"同一","変更"))</f>
        <v/>
      </c>
      <c r="N1047" s="29"/>
      <c r="O1047" s="30"/>
      <c r="P1047" s="29"/>
      <c r="Q1047" s="31"/>
      <c r="R1047" s="29"/>
      <c r="S1047" s="29"/>
      <c r="T1047" s="30"/>
      <c r="U1047" s="47" t="str">
        <f aca="false">IF(AND(B1047&lt;&gt;"",B1047=SW別シート!$C$3),COUNTIF(B$5:B1047,B1047),"")</f>
        <v/>
      </c>
      <c r="V1047" s="47" t="n">
        <f aca="false">V1046+IF(OR(O1047&lt;&gt;"",W1047&lt;&gt;""),1,0)</f>
        <v>3</v>
      </c>
      <c r="W1047" s="29"/>
    </row>
    <row r="1048" customFormat="false" ht="15" hidden="false" customHeight="false" outlineLevel="0" collapsed="false">
      <c r="A1048" s="32" t="str">
        <f aca="false">IF(B1048="","",ROW()-7)</f>
        <v/>
      </c>
      <c r="B1048" s="30"/>
      <c r="C1048" s="29"/>
      <c r="D1048" s="29"/>
      <c r="E1048" s="29"/>
      <c r="F1048" s="30"/>
      <c r="G1048" s="29"/>
      <c r="H1048" s="30"/>
      <c r="I1048" s="29"/>
      <c r="J1048" s="30"/>
      <c r="K1048" s="30"/>
      <c r="L1048" s="29"/>
      <c r="M1048" s="32" t="str">
        <f aca="false">IF(OR(C1048="",L1048=""),"",IF(C1048=L1048,"同一","変更"))</f>
        <v/>
      </c>
      <c r="N1048" s="29"/>
      <c r="O1048" s="30"/>
      <c r="P1048" s="29"/>
      <c r="Q1048" s="31"/>
      <c r="R1048" s="29"/>
      <c r="S1048" s="29"/>
      <c r="T1048" s="30"/>
      <c r="U1048" s="47" t="str">
        <f aca="false">IF(AND(B1048&lt;&gt;"",B1048=SW別シート!$C$3),COUNTIF(B$5:B1048,B1048),"")</f>
        <v/>
      </c>
      <c r="V1048" s="47" t="n">
        <f aca="false">V1047+IF(OR(O1048&lt;&gt;"",W1048&lt;&gt;""),1,0)</f>
        <v>3</v>
      </c>
      <c r="W1048" s="29"/>
    </row>
    <row r="1049" customFormat="false" ht="15" hidden="false" customHeight="false" outlineLevel="0" collapsed="false">
      <c r="A1049" s="32" t="str">
        <f aca="false">IF(B1049="","",ROW()-7)</f>
        <v/>
      </c>
      <c r="B1049" s="30"/>
      <c r="C1049" s="29"/>
      <c r="D1049" s="29"/>
      <c r="E1049" s="29"/>
      <c r="F1049" s="30"/>
      <c r="G1049" s="29"/>
      <c r="H1049" s="30"/>
      <c r="I1049" s="29"/>
      <c r="J1049" s="30"/>
      <c r="K1049" s="30"/>
      <c r="L1049" s="29"/>
      <c r="M1049" s="32" t="str">
        <f aca="false">IF(OR(C1049="",L1049=""),"",IF(C1049=L1049,"同一","変更"))</f>
        <v/>
      </c>
      <c r="N1049" s="29"/>
      <c r="O1049" s="30"/>
      <c r="P1049" s="29"/>
      <c r="Q1049" s="31"/>
      <c r="R1049" s="29"/>
      <c r="S1049" s="29"/>
      <c r="T1049" s="30"/>
      <c r="U1049" s="47" t="str">
        <f aca="false">IF(AND(B1049&lt;&gt;"",B1049=SW別シート!$C$3),COUNTIF(B$5:B1049,B1049),"")</f>
        <v/>
      </c>
      <c r="V1049" s="47" t="n">
        <f aca="false">V1048+IF(OR(O1049&lt;&gt;"",W1049&lt;&gt;""),1,0)</f>
        <v>3</v>
      </c>
      <c r="W1049" s="29"/>
    </row>
    <row r="1050" customFormat="false" ht="15" hidden="false" customHeight="false" outlineLevel="0" collapsed="false">
      <c r="A1050" s="32" t="str">
        <f aca="false">IF(B1050="","",ROW()-7)</f>
        <v/>
      </c>
      <c r="B1050" s="30"/>
      <c r="C1050" s="29"/>
      <c r="D1050" s="29"/>
      <c r="E1050" s="29"/>
      <c r="F1050" s="30"/>
      <c r="G1050" s="29"/>
      <c r="H1050" s="30"/>
      <c r="I1050" s="29"/>
      <c r="J1050" s="30"/>
      <c r="K1050" s="30"/>
      <c r="L1050" s="29"/>
      <c r="M1050" s="32" t="str">
        <f aca="false">IF(OR(C1050="",L1050=""),"",IF(C1050=L1050,"同一","変更"))</f>
        <v/>
      </c>
      <c r="N1050" s="29"/>
      <c r="O1050" s="30"/>
      <c r="P1050" s="29"/>
      <c r="Q1050" s="31"/>
      <c r="R1050" s="29"/>
      <c r="S1050" s="29"/>
      <c r="T1050" s="30"/>
      <c r="U1050" s="47" t="str">
        <f aca="false">IF(AND(B1050&lt;&gt;"",B1050=SW別シート!$C$3),COUNTIF(B$5:B1050,B1050),"")</f>
        <v/>
      </c>
      <c r="V1050" s="47" t="n">
        <f aca="false">V1049+IF(OR(O1050&lt;&gt;"",W1050&lt;&gt;""),1,0)</f>
        <v>3</v>
      </c>
      <c r="W1050" s="29"/>
    </row>
    <row r="1051" customFormat="false" ht="15" hidden="false" customHeight="false" outlineLevel="0" collapsed="false">
      <c r="A1051" s="32" t="str">
        <f aca="false">IF(B1051="","",ROW()-7)</f>
        <v/>
      </c>
      <c r="B1051" s="30"/>
      <c r="C1051" s="29"/>
      <c r="D1051" s="29"/>
      <c r="E1051" s="29"/>
      <c r="F1051" s="30"/>
      <c r="G1051" s="29"/>
      <c r="H1051" s="30"/>
      <c r="I1051" s="29"/>
      <c r="J1051" s="30"/>
      <c r="K1051" s="30"/>
      <c r="L1051" s="29"/>
      <c r="M1051" s="32" t="str">
        <f aca="false">IF(OR(C1051="",L1051=""),"",IF(C1051=L1051,"同一","変更"))</f>
        <v/>
      </c>
      <c r="N1051" s="29"/>
      <c r="O1051" s="30"/>
      <c r="P1051" s="29"/>
      <c r="Q1051" s="31"/>
      <c r="R1051" s="29"/>
      <c r="S1051" s="29"/>
      <c r="T1051" s="30"/>
      <c r="U1051" s="47" t="str">
        <f aca="false">IF(AND(B1051&lt;&gt;"",B1051=SW別シート!$C$3),COUNTIF(B$5:B1051,B1051),"")</f>
        <v/>
      </c>
      <c r="V1051" s="47" t="n">
        <f aca="false">V1050+IF(OR(O1051&lt;&gt;"",W1051&lt;&gt;""),1,0)</f>
        <v>3</v>
      </c>
      <c r="W1051" s="29"/>
    </row>
    <row r="1052" customFormat="false" ht="15" hidden="false" customHeight="false" outlineLevel="0" collapsed="false">
      <c r="A1052" s="32" t="str">
        <f aca="false">IF(B1052="","",ROW()-7)</f>
        <v/>
      </c>
      <c r="B1052" s="30"/>
      <c r="C1052" s="29"/>
      <c r="D1052" s="29"/>
      <c r="E1052" s="29"/>
      <c r="F1052" s="30"/>
      <c r="G1052" s="29"/>
      <c r="H1052" s="30"/>
      <c r="I1052" s="29"/>
      <c r="J1052" s="30"/>
      <c r="K1052" s="30"/>
      <c r="L1052" s="29"/>
      <c r="M1052" s="32" t="str">
        <f aca="false">IF(OR(C1052="",L1052=""),"",IF(C1052=L1052,"同一","変更"))</f>
        <v/>
      </c>
      <c r="N1052" s="29"/>
      <c r="O1052" s="30"/>
      <c r="P1052" s="29"/>
      <c r="Q1052" s="31"/>
      <c r="R1052" s="29"/>
      <c r="S1052" s="29"/>
      <c r="T1052" s="30"/>
      <c r="U1052" s="47" t="str">
        <f aca="false">IF(AND(B1052&lt;&gt;"",B1052=SW別シート!$C$3),COUNTIF(B$5:B1052,B1052),"")</f>
        <v/>
      </c>
      <c r="V1052" s="47" t="n">
        <f aca="false">V1051+IF(OR(O1052&lt;&gt;"",W1052&lt;&gt;""),1,0)</f>
        <v>3</v>
      </c>
      <c r="W1052" s="29"/>
    </row>
    <row r="1053" customFormat="false" ht="15" hidden="false" customHeight="false" outlineLevel="0" collapsed="false">
      <c r="A1053" s="32" t="str">
        <f aca="false">IF(B1053="","",ROW()-7)</f>
        <v/>
      </c>
      <c r="B1053" s="30"/>
      <c r="C1053" s="29"/>
      <c r="D1053" s="29"/>
      <c r="E1053" s="29"/>
      <c r="F1053" s="30"/>
      <c r="G1053" s="29"/>
      <c r="H1053" s="30"/>
      <c r="I1053" s="29"/>
      <c r="J1053" s="30"/>
      <c r="K1053" s="30"/>
      <c r="L1053" s="29"/>
      <c r="M1053" s="32" t="str">
        <f aca="false">IF(OR(C1053="",L1053=""),"",IF(C1053=L1053,"同一","変更"))</f>
        <v/>
      </c>
      <c r="N1053" s="29"/>
      <c r="O1053" s="30"/>
      <c r="P1053" s="29"/>
      <c r="Q1053" s="31"/>
      <c r="R1053" s="29"/>
      <c r="S1053" s="29"/>
      <c r="T1053" s="30"/>
      <c r="U1053" s="47" t="str">
        <f aca="false">IF(AND(B1053&lt;&gt;"",B1053=SW別シート!$C$3),COUNTIF(B$5:B1053,B1053),"")</f>
        <v/>
      </c>
      <c r="V1053" s="47" t="n">
        <f aca="false">V1052+IF(OR(O1053&lt;&gt;"",W1053&lt;&gt;""),1,0)</f>
        <v>3</v>
      </c>
      <c r="W1053" s="29"/>
    </row>
    <row r="1054" customFormat="false" ht="15" hidden="false" customHeight="false" outlineLevel="0" collapsed="false">
      <c r="A1054" s="32" t="str">
        <f aca="false">IF(B1054="","",ROW()-7)</f>
        <v/>
      </c>
      <c r="B1054" s="30"/>
      <c r="C1054" s="29"/>
      <c r="D1054" s="29"/>
      <c r="E1054" s="29"/>
      <c r="F1054" s="30"/>
      <c r="G1054" s="29"/>
      <c r="H1054" s="30"/>
      <c r="I1054" s="29"/>
      <c r="J1054" s="30"/>
      <c r="K1054" s="30"/>
      <c r="L1054" s="29"/>
      <c r="M1054" s="32" t="str">
        <f aca="false">IF(OR(C1054="",L1054=""),"",IF(C1054=L1054,"同一","変更"))</f>
        <v/>
      </c>
      <c r="N1054" s="29"/>
      <c r="O1054" s="30"/>
      <c r="P1054" s="29"/>
      <c r="Q1054" s="31"/>
      <c r="R1054" s="29"/>
      <c r="S1054" s="29"/>
      <c r="T1054" s="30"/>
      <c r="U1054" s="47" t="str">
        <f aca="false">IF(AND(B1054&lt;&gt;"",B1054=SW別シート!$C$3),COUNTIF(B$5:B1054,B1054),"")</f>
        <v/>
      </c>
      <c r="V1054" s="47" t="n">
        <f aca="false">V1053+IF(OR(O1054&lt;&gt;"",W1054&lt;&gt;""),1,0)</f>
        <v>3</v>
      </c>
      <c r="W1054" s="29"/>
    </row>
    <row r="1055" customFormat="false" ht="15" hidden="false" customHeight="false" outlineLevel="0" collapsed="false">
      <c r="A1055" s="32" t="str">
        <f aca="false">IF(B1055="","",ROW()-7)</f>
        <v/>
      </c>
      <c r="B1055" s="30"/>
      <c r="C1055" s="29"/>
      <c r="D1055" s="29"/>
      <c r="E1055" s="29"/>
      <c r="F1055" s="30"/>
      <c r="G1055" s="29"/>
      <c r="H1055" s="30"/>
      <c r="I1055" s="29"/>
      <c r="J1055" s="30"/>
      <c r="K1055" s="30"/>
      <c r="L1055" s="29"/>
      <c r="M1055" s="32" t="str">
        <f aca="false">IF(OR(C1055="",L1055=""),"",IF(C1055=L1055,"同一","変更"))</f>
        <v/>
      </c>
      <c r="N1055" s="29"/>
      <c r="O1055" s="30"/>
      <c r="P1055" s="29"/>
      <c r="Q1055" s="31"/>
      <c r="R1055" s="29"/>
      <c r="S1055" s="29"/>
      <c r="T1055" s="30"/>
      <c r="U1055" s="47" t="str">
        <f aca="false">IF(AND(B1055&lt;&gt;"",B1055=SW別シート!$C$3),COUNTIF(B$5:B1055,B1055),"")</f>
        <v/>
      </c>
      <c r="V1055" s="47" t="n">
        <f aca="false">V1054+IF(OR(O1055&lt;&gt;"",W1055&lt;&gt;""),1,0)</f>
        <v>3</v>
      </c>
      <c r="W1055" s="29"/>
    </row>
    <row r="1056" customFormat="false" ht="15" hidden="false" customHeight="false" outlineLevel="0" collapsed="false">
      <c r="A1056" s="32" t="str">
        <f aca="false">IF(B1056="","",ROW()-7)</f>
        <v/>
      </c>
      <c r="B1056" s="30"/>
      <c r="C1056" s="29"/>
      <c r="D1056" s="29"/>
      <c r="E1056" s="29"/>
      <c r="F1056" s="30"/>
      <c r="G1056" s="29"/>
      <c r="H1056" s="30"/>
      <c r="I1056" s="29"/>
      <c r="J1056" s="30"/>
      <c r="K1056" s="30"/>
      <c r="L1056" s="29"/>
      <c r="M1056" s="32" t="str">
        <f aca="false">IF(OR(C1056="",L1056=""),"",IF(C1056=L1056,"同一","変更"))</f>
        <v/>
      </c>
      <c r="N1056" s="29"/>
      <c r="O1056" s="30"/>
      <c r="P1056" s="29"/>
      <c r="Q1056" s="31"/>
      <c r="R1056" s="29"/>
      <c r="S1056" s="29"/>
      <c r="T1056" s="30"/>
      <c r="U1056" s="47" t="str">
        <f aca="false">IF(AND(B1056&lt;&gt;"",B1056=SW別シート!$C$3),COUNTIF(B$5:B1056,B1056),"")</f>
        <v/>
      </c>
      <c r="V1056" s="47" t="n">
        <f aca="false">V1055+IF(OR(O1056&lt;&gt;"",W1056&lt;&gt;""),1,0)</f>
        <v>3</v>
      </c>
      <c r="W1056" s="29"/>
    </row>
    <row r="1057" customFormat="false" ht="15" hidden="false" customHeight="false" outlineLevel="0" collapsed="false">
      <c r="A1057" s="32" t="str">
        <f aca="false">IF(B1057="","",ROW()-7)</f>
        <v/>
      </c>
      <c r="B1057" s="30"/>
      <c r="C1057" s="29"/>
      <c r="D1057" s="29"/>
      <c r="E1057" s="29"/>
      <c r="F1057" s="30"/>
      <c r="G1057" s="29"/>
      <c r="H1057" s="30"/>
      <c r="I1057" s="29"/>
      <c r="J1057" s="30"/>
      <c r="K1057" s="30"/>
      <c r="L1057" s="29"/>
      <c r="M1057" s="32" t="str">
        <f aca="false">IF(OR(C1057="",L1057=""),"",IF(C1057=L1057,"同一","変更"))</f>
        <v/>
      </c>
      <c r="N1057" s="29"/>
      <c r="O1057" s="30"/>
      <c r="P1057" s="29"/>
      <c r="Q1057" s="31"/>
      <c r="R1057" s="29"/>
      <c r="S1057" s="29"/>
      <c r="T1057" s="30"/>
      <c r="U1057" s="47" t="str">
        <f aca="false">IF(AND(B1057&lt;&gt;"",B1057=SW別シート!$C$3),COUNTIF(B$5:B1057,B1057),"")</f>
        <v/>
      </c>
      <c r="V1057" s="47" t="n">
        <f aca="false">V1056+IF(OR(O1057&lt;&gt;"",W1057&lt;&gt;""),1,0)</f>
        <v>3</v>
      </c>
      <c r="W1057" s="29"/>
    </row>
    <row r="1058" customFormat="false" ht="15" hidden="false" customHeight="false" outlineLevel="0" collapsed="false">
      <c r="A1058" s="32" t="str">
        <f aca="false">IF(B1058="","",ROW()-7)</f>
        <v/>
      </c>
      <c r="B1058" s="30"/>
      <c r="C1058" s="29"/>
      <c r="D1058" s="29"/>
      <c r="E1058" s="29"/>
      <c r="F1058" s="30"/>
      <c r="G1058" s="29"/>
      <c r="H1058" s="30"/>
      <c r="I1058" s="29"/>
      <c r="J1058" s="30"/>
      <c r="K1058" s="30"/>
      <c r="L1058" s="29"/>
      <c r="M1058" s="32" t="str">
        <f aca="false">IF(OR(C1058="",L1058=""),"",IF(C1058=L1058,"同一","変更"))</f>
        <v/>
      </c>
      <c r="N1058" s="29"/>
      <c r="O1058" s="30"/>
      <c r="P1058" s="29"/>
      <c r="Q1058" s="31"/>
      <c r="R1058" s="29"/>
      <c r="S1058" s="29"/>
      <c r="T1058" s="30"/>
      <c r="U1058" s="47" t="str">
        <f aca="false">IF(AND(B1058&lt;&gt;"",B1058=SW別シート!$C$3),COUNTIF(B$5:B1058,B1058),"")</f>
        <v/>
      </c>
      <c r="V1058" s="47" t="n">
        <f aca="false">V1057+IF(OR(O1058&lt;&gt;"",W1058&lt;&gt;""),1,0)</f>
        <v>3</v>
      </c>
      <c r="W1058" s="29"/>
    </row>
    <row r="1059" customFormat="false" ht="15" hidden="false" customHeight="false" outlineLevel="0" collapsed="false">
      <c r="A1059" s="32" t="str">
        <f aca="false">IF(B1059="","",ROW()-7)</f>
        <v/>
      </c>
      <c r="B1059" s="30"/>
      <c r="C1059" s="29"/>
      <c r="D1059" s="29"/>
      <c r="E1059" s="29"/>
      <c r="F1059" s="30"/>
      <c r="G1059" s="29"/>
      <c r="H1059" s="30"/>
      <c r="I1059" s="29"/>
      <c r="J1059" s="30"/>
      <c r="K1059" s="30"/>
      <c r="L1059" s="29"/>
      <c r="M1059" s="32" t="str">
        <f aca="false">IF(OR(C1059="",L1059=""),"",IF(C1059=L1059,"同一","変更"))</f>
        <v/>
      </c>
      <c r="N1059" s="29"/>
      <c r="O1059" s="30"/>
      <c r="P1059" s="29"/>
      <c r="Q1059" s="31"/>
      <c r="R1059" s="29"/>
      <c r="S1059" s="29"/>
      <c r="T1059" s="30"/>
      <c r="U1059" s="47" t="str">
        <f aca="false">IF(AND(B1059&lt;&gt;"",B1059=SW別シート!$C$3),COUNTIF(B$5:B1059,B1059),"")</f>
        <v/>
      </c>
      <c r="V1059" s="47" t="n">
        <f aca="false">V1058+IF(OR(O1059&lt;&gt;"",W1059&lt;&gt;""),1,0)</f>
        <v>3</v>
      </c>
      <c r="W1059" s="29"/>
    </row>
    <row r="1060" customFormat="false" ht="15" hidden="false" customHeight="false" outlineLevel="0" collapsed="false">
      <c r="A1060" s="32" t="str">
        <f aca="false">IF(B1060="","",ROW()-7)</f>
        <v/>
      </c>
      <c r="B1060" s="30"/>
      <c r="C1060" s="29"/>
      <c r="D1060" s="29"/>
      <c r="E1060" s="29"/>
      <c r="F1060" s="30"/>
      <c r="G1060" s="29"/>
      <c r="H1060" s="30"/>
      <c r="I1060" s="29"/>
      <c r="J1060" s="30"/>
      <c r="K1060" s="30"/>
      <c r="L1060" s="29"/>
      <c r="M1060" s="32" t="str">
        <f aca="false">IF(OR(C1060="",L1060=""),"",IF(C1060=L1060,"同一","変更"))</f>
        <v/>
      </c>
      <c r="N1060" s="29"/>
      <c r="O1060" s="30"/>
      <c r="P1060" s="29"/>
      <c r="Q1060" s="31"/>
      <c r="R1060" s="29"/>
      <c r="S1060" s="29"/>
      <c r="T1060" s="30"/>
      <c r="U1060" s="47" t="str">
        <f aca="false">IF(AND(B1060&lt;&gt;"",B1060=SW別シート!$C$3),COUNTIF(B$5:B1060,B1060),"")</f>
        <v/>
      </c>
      <c r="V1060" s="47" t="n">
        <f aca="false">V1059+IF(OR(O1060&lt;&gt;"",W1060&lt;&gt;""),1,0)</f>
        <v>3</v>
      </c>
      <c r="W1060" s="29"/>
    </row>
    <row r="1061" customFormat="false" ht="15" hidden="false" customHeight="false" outlineLevel="0" collapsed="false">
      <c r="A1061" s="32" t="str">
        <f aca="false">IF(B1061="","",ROW()-7)</f>
        <v/>
      </c>
      <c r="B1061" s="30"/>
      <c r="C1061" s="29"/>
      <c r="D1061" s="29"/>
      <c r="E1061" s="29"/>
      <c r="F1061" s="30"/>
      <c r="G1061" s="29"/>
      <c r="H1061" s="30"/>
      <c r="I1061" s="29"/>
      <c r="J1061" s="30"/>
      <c r="K1061" s="30"/>
      <c r="L1061" s="29"/>
      <c r="M1061" s="32" t="str">
        <f aca="false">IF(OR(C1061="",L1061=""),"",IF(C1061=L1061,"同一","変更"))</f>
        <v/>
      </c>
      <c r="N1061" s="29"/>
      <c r="O1061" s="30"/>
      <c r="P1061" s="29"/>
      <c r="Q1061" s="31"/>
      <c r="R1061" s="29"/>
      <c r="S1061" s="29"/>
      <c r="T1061" s="30"/>
      <c r="U1061" s="47" t="str">
        <f aca="false">IF(AND(B1061&lt;&gt;"",B1061=SW別シート!$C$3),COUNTIF(B$5:B1061,B1061),"")</f>
        <v/>
      </c>
      <c r="V1061" s="47" t="n">
        <f aca="false">V1060+IF(OR(O1061&lt;&gt;"",W1061&lt;&gt;""),1,0)</f>
        <v>3</v>
      </c>
      <c r="W1061" s="29"/>
    </row>
    <row r="1062" customFormat="false" ht="15" hidden="false" customHeight="false" outlineLevel="0" collapsed="false">
      <c r="A1062" s="32" t="str">
        <f aca="false">IF(B1062="","",ROW()-7)</f>
        <v/>
      </c>
      <c r="B1062" s="30"/>
      <c r="C1062" s="29"/>
      <c r="D1062" s="29"/>
      <c r="E1062" s="29"/>
      <c r="F1062" s="30"/>
      <c r="G1062" s="29"/>
      <c r="H1062" s="30"/>
      <c r="I1062" s="29"/>
      <c r="J1062" s="30"/>
      <c r="K1062" s="30"/>
      <c r="L1062" s="29"/>
      <c r="M1062" s="32" t="str">
        <f aca="false">IF(OR(C1062="",L1062=""),"",IF(C1062=L1062,"同一","変更"))</f>
        <v/>
      </c>
      <c r="N1062" s="29"/>
      <c r="O1062" s="30"/>
      <c r="P1062" s="29"/>
      <c r="Q1062" s="31"/>
      <c r="R1062" s="29"/>
      <c r="S1062" s="29"/>
      <c r="T1062" s="30"/>
      <c r="U1062" s="47" t="str">
        <f aca="false">IF(AND(B1062&lt;&gt;"",B1062=SW別シート!$C$3),COUNTIF(B$5:B1062,B1062),"")</f>
        <v/>
      </c>
      <c r="V1062" s="47" t="n">
        <f aca="false">V1061+IF(OR(O1062&lt;&gt;"",W1062&lt;&gt;""),1,0)</f>
        <v>3</v>
      </c>
      <c r="W1062" s="29"/>
    </row>
    <row r="1063" customFormat="false" ht="15" hidden="false" customHeight="false" outlineLevel="0" collapsed="false">
      <c r="A1063" s="32" t="str">
        <f aca="false">IF(B1063="","",ROW()-7)</f>
        <v/>
      </c>
      <c r="B1063" s="30"/>
      <c r="C1063" s="29"/>
      <c r="D1063" s="29"/>
      <c r="E1063" s="29"/>
      <c r="F1063" s="30"/>
      <c r="G1063" s="29"/>
      <c r="H1063" s="30"/>
      <c r="I1063" s="29"/>
      <c r="J1063" s="30"/>
      <c r="K1063" s="30"/>
      <c r="L1063" s="29"/>
      <c r="M1063" s="32" t="str">
        <f aca="false">IF(OR(C1063="",L1063=""),"",IF(C1063=L1063,"同一","変更"))</f>
        <v/>
      </c>
      <c r="N1063" s="29"/>
      <c r="O1063" s="30"/>
      <c r="P1063" s="29"/>
      <c r="Q1063" s="31"/>
      <c r="R1063" s="29"/>
      <c r="S1063" s="29"/>
      <c r="T1063" s="30"/>
      <c r="U1063" s="47" t="str">
        <f aca="false">IF(AND(B1063&lt;&gt;"",B1063=SW別シート!$C$3),COUNTIF(B$5:B1063,B1063),"")</f>
        <v/>
      </c>
      <c r="V1063" s="47" t="n">
        <f aca="false">V1062+IF(OR(O1063&lt;&gt;"",W1063&lt;&gt;""),1,0)</f>
        <v>3</v>
      </c>
      <c r="W1063" s="29"/>
    </row>
    <row r="1064" customFormat="false" ht="15" hidden="false" customHeight="false" outlineLevel="0" collapsed="false">
      <c r="A1064" s="32" t="str">
        <f aca="false">IF(B1064="","",ROW()-7)</f>
        <v/>
      </c>
      <c r="B1064" s="30"/>
      <c r="C1064" s="29"/>
      <c r="D1064" s="29"/>
      <c r="E1064" s="29"/>
      <c r="F1064" s="30"/>
      <c r="G1064" s="29"/>
      <c r="H1064" s="30"/>
      <c r="I1064" s="29"/>
      <c r="J1064" s="30"/>
      <c r="K1064" s="30"/>
      <c r="L1064" s="29"/>
      <c r="M1064" s="32" t="str">
        <f aca="false">IF(OR(C1064="",L1064=""),"",IF(C1064=L1064,"同一","変更"))</f>
        <v/>
      </c>
      <c r="N1064" s="29"/>
      <c r="O1064" s="30"/>
      <c r="P1064" s="29"/>
      <c r="Q1064" s="31"/>
      <c r="R1064" s="29"/>
      <c r="S1064" s="29"/>
      <c r="T1064" s="30"/>
      <c r="U1064" s="47" t="str">
        <f aca="false">IF(AND(B1064&lt;&gt;"",B1064=SW別シート!$C$3),COUNTIF(B$5:B1064,B1064),"")</f>
        <v/>
      </c>
      <c r="V1064" s="47" t="n">
        <f aca="false">V1063+IF(OR(O1064&lt;&gt;"",W1064&lt;&gt;""),1,0)</f>
        <v>3</v>
      </c>
      <c r="W1064" s="29"/>
    </row>
    <row r="1065" customFormat="false" ht="15" hidden="false" customHeight="false" outlineLevel="0" collapsed="false">
      <c r="A1065" s="32" t="str">
        <f aca="false">IF(B1065="","",ROW()-7)</f>
        <v/>
      </c>
      <c r="B1065" s="30"/>
      <c r="C1065" s="29"/>
      <c r="D1065" s="29"/>
      <c r="E1065" s="29"/>
      <c r="F1065" s="30"/>
      <c r="G1065" s="29"/>
      <c r="H1065" s="30"/>
      <c r="I1065" s="29"/>
      <c r="J1065" s="30"/>
      <c r="K1065" s="30"/>
      <c r="L1065" s="29"/>
      <c r="M1065" s="32" t="str">
        <f aca="false">IF(OR(C1065="",L1065=""),"",IF(C1065=L1065,"同一","変更"))</f>
        <v/>
      </c>
      <c r="N1065" s="29"/>
      <c r="O1065" s="30"/>
      <c r="P1065" s="29"/>
      <c r="Q1065" s="31"/>
      <c r="R1065" s="29"/>
      <c r="S1065" s="29"/>
      <c r="T1065" s="30"/>
      <c r="U1065" s="47" t="str">
        <f aca="false">IF(AND(B1065&lt;&gt;"",B1065=SW別シート!$C$3),COUNTIF(B$5:B1065,B1065),"")</f>
        <v/>
      </c>
      <c r="V1065" s="47" t="n">
        <f aca="false">V1064+IF(OR(O1065&lt;&gt;"",W1065&lt;&gt;""),1,0)</f>
        <v>3</v>
      </c>
      <c r="W1065" s="29"/>
    </row>
    <row r="1066" customFormat="false" ht="15" hidden="false" customHeight="false" outlineLevel="0" collapsed="false">
      <c r="A1066" s="32" t="str">
        <f aca="false">IF(B1066="","",ROW()-7)</f>
        <v/>
      </c>
      <c r="B1066" s="30"/>
      <c r="C1066" s="29"/>
      <c r="D1066" s="29"/>
      <c r="E1066" s="29"/>
      <c r="F1066" s="30"/>
      <c r="G1066" s="29"/>
      <c r="H1066" s="30"/>
      <c r="I1066" s="29"/>
      <c r="J1066" s="30"/>
      <c r="K1066" s="30"/>
      <c r="L1066" s="29"/>
      <c r="M1066" s="32" t="str">
        <f aca="false">IF(OR(C1066="",L1066=""),"",IF(C1066=L1066,"同一","変更"))</f>
        <v/>
      </c>
      <c r="N1066" s="29"/>
      <c r="O1066" s="30"/>
      <c r="P1066" s="29"/>
      <c r="Q1066" s="31"/>
      <c r="R1066" s="29"/>
      <c r="S1066" s="29"/>
      <c r="T1066" s="30"/>
      <c r="U1066" s="47" t="str">
        <f aca="false">IF(AND(B1066&lt;&gt;"",B1066=SW別シート!$C$3),COUNTIF(B$5:B1066,B1066),"")</f>
        <v/>
      </c>
      <c r="V1066" s="47" t="n">
        <f aca="false">V1065+IF(OR(O1066&lt;&gt;"",W1066&lt;&gt;""),1,0)</f>
        <v>3</v>
      </c>
      <c r="W1066" s="29"/>
    </row>
    <row r="1067" customFormat="false" ht="15" hidden="false" customHeight="false" outlineLevel="0" collapsed="false">
      <c r="A1067" s="32" t="str">
        <f aca="false">IF(B1067="","",ROW()-7)</f>
        <v/>
      </c>
      <c r="B1067" s="30"/>
      <c r="C1067" s="29"/>
      <c r="D1067" s="29"/>
      <c r="E1067" s="29"/>
      <c r="F1067" s="30"/>
      <c r="G1067" s="29"/>
      <c r="H1067" s="30"/>
      <c r="I1067" s="29"/>
      <c r="J1067" s="30"/>
      <c r="K1067" s="30"/>
      <c r="L1067" s="29"/>
      <c r="M1067" s="32" t="str">
        <f aca="false">IF(OR(C1067="",L1067=""),"",IF(C1067=L1067,"同一","変更"))</f>
        <v/>
      </c>
      <c r="N1067" s="29"/>
      <c r="O1067" s="30"/>
      <c r="P1067" s="29"/>
      <c r="Q1067" s="31"/>
      <c r="R1067" s="29"/>
      <c r="S1067" s="29"/>
      <c r="T1067" s="30"/>
      <c r="U1067" s="47" t="str">
        <f aca="false">IF(AND(B1067&lt;&gt;"",B1067=SW別シート!$C$3),COUNTIF(B$5:B1067,B1067),"")</f>
        <v/>
      </c>
      <c r="V1067" s="47" t="n">
        <f aca="false">V1066+IF(OR(O1067&lt;&gt;"",W1067&lt;&gt;""),1,0)</f>
        <v>3</v>
      </c>
      <c r="W1067" s="29"/>
    </row>
    <row r="1068" customFormat="false" ht="15" hidden="false" customHeight="false" outlineLevel="0" collapsed="false">
      <c r="A1068" s="32" t="str">
        <f aca="false">IF(B1068="","",ROW()-7)</f>
        <v/>
      </c>
      <c r="B1068" s="30"/>
      <c r="C1068" s="29"/>
      <c r="D1068" s="29"/>
      <c r="E1068" s="29"/>
      <c r="F1068" s="30"/>
      <c r="G1068" s="29"/>
      <c r="H1068" s="30"/>
      <c r="I1068" s="29"/>
      <c r="J1068" s="30"/>
      <c r="K1068" s="30"/>
      <c r="L1068" s="29"/>
      <c r="M1068" s="32" t="str">
        <f aca="false">IF(OR(C1068="",L1068=""),"",IF(C1068=L1068,"同一","変更"))</f>
        <v/>
      </c>
      <c r="N1068" s="29"/>
      <c r="O1068" s="30"/>
      <c r="P1068" s="29"/>
      <c r="Q1068" s="31"/>
      <c r="R1068" s="29"/>
      <c r="S1068" s="29"/>
      <c r="T1068" s="30"/>
      <c r="U1068" s="47" t="str">
        <f aca="false">IF(AND(B1068&lt;&gt;"",B1068=SW別シート!$C$3),COUNTIF(B$5:B1068,B1068),"")</f>
        <v/>
      </c>
      <c r="V1068" s="47" t="n">
        <f aca="false">V1067+IF(OR(O1068&lt;&gt;"",W1068&lt;&gt;""),1,0)</f>
        <v>3</v>
      </c>
      <c r="W1068" s="29"/>
    </row>
    <row r="1069" customFormat="false" ht="15" hidden="false" customHeight="false" outlineLevel="0" collapsed="false">
      <c r="A1069" s="32" t="str">
        <f aca="false">IF(B1069="","",ROW()-7)</f>
        <v/>
      </c>
      <c r="B1069" s="30"/>
      <c r="C1069" s="29"/>
      <c r="D1069" s="29"/>
      <c r="E1069" s="29"/>
      <c r="F1069" s="30"/>
      <c r="G1069" s="29"/>
      <c r="H1069" s="30"/>
      <c r="I1069" s="29"/>
      <c r="J1069" s="30"/>
      <c r="K1069" s="30"/>
      <c r="L1069" s="29"/>
      <c r="M1069" s="32" t="str">
        <f aca="false">IF(OR(C1069="",L1069=""),"",IF(C1069=L1069,"同一","変更"))</f>
        <v/>
      </c>
      <c r="N1069" s="29"/>
      <c r="O1069" s="30"/>
      <c r="P1069" s="29"/>
      <c r="Q1069" s="31"/>
      <c r="R1069" s="29"/>
      <c r="S1069" s="29"/>
      <c r="T1069" s="30"/>
      <c r="U1069" s="47" t="str">
        <f aca="false">IF(AND(B1069&lt;&gt;"",B1069=SW別シート!$C$3),COUNTIF(B$5:B1069,B1069),"")</f>
        <v/>
      </c>
      <c r="V1069" s="47" t="n">
        <f aca="false">V1068+IF(OR(O1069&lt;&gt;"",W1069&lt;&gt;""),1,0)</f>
        <v>3</v>
      </c>
      <c r="W1069" s="29"/>
    </row>
    <row r="1070" customFormat="false" ht="15" hidden="false" customHeight="false" outlineLevel="0" collapsed="false">
      <c r="A1070" s="32" t="str">
        <f aca="false">IF(B1070="","",ROW()-7)</f>
        <v/>
      </c>
      <c r="B1070" s="30"/>
      <c r="C1070" s="29"/>
      <c r="D1070" s="29"/>
      <c r="E1070" s="29"/>
      <c r="F1070" s="30"/>
      <c r="G1070" s="29"/>
      <c r="H1070" s="30"/>
      <c r="I1070" s="29"/>
      <c r="J1070" s="30"/>
      <c r="K1070" s="30"/>
      <c r="L1070" s="29"/>
      <c r="M1070" s="32" t="str">
        <f aca="false">IF(OR(C1070="",L1070=""),"",IF(C1070=L1070,"同一","変更"))</f>
        <v/>
      </c>
      <c r="N1070" s="29"/>
      <c r="O1070" s="30"/>
      <c r="P1070" s="29"/>
      <c r="Q1070" s="31"/>
      <c r="R1070" s="29"/>
      <c r="S1070" s="29"/>
      <c r="T1070" s="30"/>
      <c r="U1070" s="47" t="str">
        <f aca="false">IF(AND(B1070&lt;&gt;"",B1070=SW別シート!$C$3),COUNTIF(B$5:B1070,B1070),"")</f>
        <v/>
      </c>
      <c r="V1070" s="47" t="n">
        <f aca="false">V1069+IF(OR(O1070&lt;&gt;"",W1070&lt;&gt;""),1,0)</f>
        <v>3</v>
      </c>
      <c r="W1070" s="29"/>
    </row>
    <row r="1071" customFormat="false" ht="15" hidden="false" customHeight="false" outlineLevel="0" collapsed="false">
      <c r="A1071" s="32" t="str">
        <f aca="false">IF(B1071="","",ROW()-7)</f>
        <v/>
      </c>
      <c r="B1071" s="30"/>
      <c r="C1071" s="29"/>
      <c r="D1071" s="29"/>
      <c r="E1071" s="29"/>
      <c r="F1071" s="30"/>
      <c r="G1071" s="29"/>
      <c r="H1071" s="30"/>
      <c r="I1071" s="29"/>
      <c r="J1071" s="30"/>
      <c r="K1071" s="30"/>
      <c r="L1071" s="29"/>
      <c r="M1071" s="32" t="str">
        <f aca="false">IF(OR(C1071="",L1071=""),"",IF(C1071=L1071,"同一","変更"))</f>
        <v/>
      </c>
      <c r="N1071" s="29"/>
      <c r="O1071" s="30"/>
      <c r="P1071" s="29"/>
      <c r="Q1071" s="31"/>
      <c r="R1071" s="29"/>
      <c r="S1071" s="29"/>
      <c r="T1071" s="30"/>
      <c r="U1071" s="47" t="str">
        <f aca="false">IF(AND(B1071&lt;&gt;"",B1071=SW別シート!$C$3),COUNTIF(B$5:B1071,B1071),"")</f>
        <v/>
      </c>
      <c r="V1071" s="47" t="n">
        <f aca="false">V1070+IF(OR(O1071&lt;&gt;"",W1071&lt;&gt;""),1,0)</f>
        <v>3</v>
      </c>
      <c r="W1071" s="29"/>
    </row>
    <row r="1072" customFormat="false" ht="15" hidden="false" customHeight="false" outlineLevel="0" collapsed="false">
      <c r="A1072" s="32" t="str">
        <f aca="false">IF(B1072="","",ROW()-7)</f>
        <v/>
      </c>
      <c r="B1072" s="30"/>
      <c r="C1072" s="29"/>
      <c r="D1072" s="29"/>
      <c r="E1072" s="29"/>
      <c r="F1072" s="30"/>
      <c r="G1072" s="29"/>
      <c r="H1072" s="30"/>
      <c r="I1072" s="29"/>
      <c r="J1072" s="30"/>
      <c r="K1072" s="30"/>
      <c r="L1072" s="29"/>
      <c r="M1072" s="32" t="str">
        <f aca="false">IF(OR(C1072="",L1072=""),"",IF(C1072=L1072,"同一","変更"))</f>
        <v/>
      </c>
      <c r="N1072" s="29"/>
      <c r="O1072" s="30"/>
      <c r="P1072" s="29"/>
      <c r="Q1072" s="31"/>
      <c r="R1072" s="29"/>
      <c r="S1072" s="29"/>
      <c r="T1072" s="30"/>
      <c r="U1072" s="47" t="str">
        <f aca="false">IF(AND(B1072&lt;&gt;"",B1072=SW別シート!$C$3),COUNTIF(B$5:B1072,B1072),"")</f>
        <v/>
      </c>
      <c r="V1072" s="47" t="n">
        <f aca="false">V1071+IF(OR(O1072&lt;&gt;"",W1072&lt;&gt;""),1,0)</f>
        <v>3</v>
      </c>
      <c r="W1072" s="29"/>
    </row>
    <row r="1073" customFormat="false" ht="15" hidden="false" customHeight="false" outlineLevel="0" collapsed="false">
      <c r="A1073" s="32" t="str">
        <f aca="false">IF(B1073="","",ROW()-7)</f>
        <v/>
      </c>
      <c r="B1073" s="30"/>
      <c r="C1073" s="29"/>
      <c r="D1073" s="29"/>
      <c r="E1073" s="29"/>
      <c r="F1073" s="30"/>
      <c r="G1073" s="29"/>
      <c r="H1073" s="30"/>
      <c r="I1073" s="29"/>
      <c r="J1073" s="30"/>
      <c r="K1073" s="30"/>
      <c r="L1073" s="29"/>
      <c r="M1073" s="32" t="str">
        <f aca="false">IF(OR(C1073="",L1073=""),"",IF(C1073=L1073,"同一","変更"))</f>
        <v/>
      </c>
      <c r="N1073" s="29"/>
      <c r="O1073" s="30"/>
      <c r="P1073" s="29"/>
      <c r="Q1073" s="31"/>
      <c r="R1073" s="29"/>
      <c r="S1073" s="29"/>
      <c r="T1073" s="30"/>
      <c r="U1073" s="47" t="str">
        <f aca="false">IF(AND(B1073&lt;&gt;"",B1073=SW別シート!$C$3),COUNTIF(B$5:B1073,B1073),"")</f>
        <v/>
      </c>
      <c r="V1073" s="47" t="n">
        <f aca="false">V1072+IF(OR(O1073&lt;&gt;"",W1073&lt;&gt;""),1,0)</f>
        <v>3</v>
      </c>
      <c r="W1073" s="29"/>
    </row>
    <row r="1074" customFormat="false" ht="15" hidden="false" customHeight="false" outlineLevel="0" collapsed="false">
      <c r="A1074" s="32" t="str">
        <f aca="false">IF(B1074="","",ROW()-7)</f>
        <v/>
      </c>
      <c r="B1074" s="30"/>
      <c r="C1074" s="29"/>
      <c r="D1074" s="29"/>
      <c r="E1074" s="29"/>
      <c r="F1074" s="30"/>
      <c r="G1074" s="29"/>
      <c r="H1074" s="30"/>
      <c r="I1074" s="29"/>
      <c r="J1074" s="30"/>
      <c r="K1074" s="30"/>
      <c r="L1074" s="29"/>
      <c r="M1074" s="32" t="str">
        <f aca="false">IF(OR(C1074="",L1074=""),"",IF(C1074=L1074,"同一","変更"))</f>
        <v/>
      </c>
      <c r="N1074" s="29"/>
      <c r="O1074" s="30"/>
      <c r="P1074" s="29"/>
      <c r="Q1074" s="31"/>
      <c r="R1074" s="29"/>
      <c r="S1074" s="29"/>
      <c r="T1074" s="30"/>
      <c r="U1074" s="47" t="str">
        <f aca="false">IF(AND(B1074&lt;&gt;"",B1074=SW別シート!$C$3),COUNTIF(B$5:B1074,B1074),"")</f>
        <v/>
      </c>
      <c r="V1074" s="47" t="n">
        <f aca="false">V1073+IF(OR(O1074&lt;&gt;"",W1074&lt;&gt;""),1,0)</f>
        <v>3</v>
      </c>
      <c r="W1074" s="29"/>
    </row>
    <row r="1075" customFormat="false" ht="15" hidden="false" customHeight="false" outlineLevel="0" collapsed="false">
      <c r="A1075" s="32" t="str">
        <f aca="false">IF(B1075="","",ROW()-7)</f>
        <v/>
      </c>
      <c r="B1075" s="30"/>
      <c r="C1075" s="29"/>
      <c r="D1075" s="29"/>
      <c r="E1075" s="29"/>
      <c r="F1075" s="30"/>
      <c r="G1075" s="29"/>
      <c r="H1075" s="30"/>
      <c r="I1075" s="29"/>
      <c r="J1075" s="30"/>
      <c r="K1075" s="30"/>
      <c r="L1075" s="29"/>
      <c r="M1075" s="32" t="str">
        <f aca="false">IF(OR(C1075="",L1075=""),"",IF(C1075=L1075,"同一","変更"))</f>
        <v/>
      </c>
      <c r="N1075" s="29"/>
      <c r="O1075" s="30"/>
      <c r="P1075" s="29"/>
      <c r="Q1075" s="31"/>
      <c r="R1075" s="29"/>
      <c r="S1075" s="29"/>
      <c r="T1075" s="30"/>
      <c r="U1075" s="47" t="str">
        <f aca="false">IF(AND(B1075&lt;&gt;"",B1075=SW別シート!$C$3),COUNTIF(B$5:B1075,B1075),"")</f>
        <v/>
      </c>
      <c r="V1075" s="47" t="n">
        <f aca="false">V1074+IF(OR(O1075&lt;&gt;"",W1075&lt;&gt;""),1,0)</f>
        <v>3</v>
      </c>
      <c r="W1075" s="29"/>
    </row>
    <row r="1076" customFormat="false" ht="15" hidden="false" customHeight="false" outlineLevel="0" collapsed="false">
      <c r="A1076" s="32" t="str">
        <f aca="false">IF(B1076="","",ROW()-7)</f>
        <v/>
      </c>
      <c r="B1076" s="30"/>
      <c r="C1076" s="29"/>
      <c r="D1076" s="29"/>
      <c r="E1076" s="29"/>
      <c r="F1076" s="30"/>
      <c r="G1076" s="29"/>
      <c r="H1076" s="30"/>
      <c r="I1076" s="29"/>
      <c r="J1076" s="30"/>
      <c r="K1076" s="30"/>
      <c r="L1076" s="29"/>
      <c r="M1076" s="32" t="str">
        <f aca="false">IF(OR(C1076="",L1076=""),"",IF(C1076=L1076,"同一","変更"))</f>
        <v/>
      </c>
      <c r="N1076" s="29"/>
      <c r="O1076" s="30"/>
      <c r="P1076" s="29"/>
      <c r="Q1076" s="31"/>
      <c r="R1076" s="29"/>
      <c r="S1076" s="29"/>
      <c r="T1076" s="30"/>
      <c r="U1076" s="47" t="str">
        <f aca="false">IF(AND(B1076&lt;&gt;"",B1076=SW別シート!$C$3),COUNTIF(B$5:B1076,B1076),"")</f>
        <v/>
      </c>
      <c r="V1076" s="47" t="n">
        <f aca="false">V1075+IF(OR(O1076&lt;&gt;"",W1076&lt;&gt;""),1,0)</f>
        <v>3</v>
      </c>
      <c r="W1076" s="29"/>
    </row>
    <row r="1077" customFormat="false" ht="15" hidden="false" customHeight="false" outlineLevel="0" collapsed="false">
      <c r="A1077" s="32" t="str">
        <f aca="false">IF(B1077="","",ROW()-7)</f>
        <v/>
      </c>
      <c r="B1077" s="30"/>
      <c r="C1077" s="29"/>
      <c r="D1077" s="29"/>
      <c r="E1077" s="29"/>
      <c r="F1077" s="30"/>
      <c r="G1077" s="29"/>
      <c r="H1077" s="30"/>
      <c r="I1077" s="29"/>
      <c r="J1077" s="30"/>
      <c r="K1077" s="30"/>
      <c r="L1077" s="29"/>
      <c r="M1077" s="32" t="str">
        <f aca="false">IF(OR(C1077="",L1077=""),"",IF(C1077=L1077,"同一","変更"))</f>
        <v/>
      </c>
      <c r="N1077" s="29"/>
      <c r="O1077" s="30"/>
      <c r="P1077" s="29"/>
      <c r="Q1077" s="31"/>
      <c r="R1077" s="29"/>
      <c r="S1077" s="29"/>
      <c r="T1077" s="30"/>
      <c r="U1077" s="47" t="str">
        <f aca="false">IF(AND(B1077&lt;&gt;"",B1077=SW別シート!$C$3),COUNTIF(B$5:B1077,B1077),"")</f>
        <v/>
      </c>
      <c r="V1077" s="47" t="n">
        <f aca="false">V1076+IF(OR(O1077&lt;&gt;"",W1077&lt;&gt;""),1,0)</f>
        <v>3</v>
      </c>
      <c r="W1077" s="29"/>
    </row>
    <row r="1078" customFormat="false" ht="15" hidden="false" customHeight="false" outlineLevel="0" collapsed="false">
      <c r="A1078" s="32" t="str">
        <f aca="false">IF(B1078="","",ROW()-7)</f>
        <v/>
      </c>
      <c r="B1078" s="30"/>
      <c r="C1078" s="29"/>
      <c r="D1078" s="29"/>
      <c r="E1078" s="29"/>
      <c r="F1078" s="30"/>
      <c r="G1078" s="29"/>
      <c r="H1078" s="30"/>
      <c r="I1078" s="29"/>
      <c r="J1078" s="30"/>
      <c r="K1078" s="30"/>
      <c r="L1078" s="29"/>
      <c r="M1078" s="32" t="str">
        <f aca="false">IF(OR(C1078="",L1078=""),"",IF(C1078=L1078,"同一","変更"))</f>
        <v/>
      </c>
      <c r="N1078" s="29"/>
      <c r="O1078" s="30"/>
      <c r="P1078" s="29"/>
      <c r="Q1078" s="31"/>
      <c r="R1078" s="29"/>
      <c r="S1078" s="29"/>
      <c r="T1078" s="30"/>
      <c r="U1078" s="47" t="str">
        <f aca="false">IF(AND(B1078&lt;&gt;"",B1078=SW別シート!$C$3),COUNTIF(B$5:B1078,B1078),"")</f>
        <v/>
      </c>
      <c r="V1078" s="47" t="n">
        <f aca="false">V1077+IF(OR(O1078&lt;&gt;"",W1078&lt;&gt;""),1,0)</f>
        <v>3</v>
      </c>
      <c r="W1078" s="29"/>
    </row>
    <row r="1079" customFormat="false" ht="15" hidden="false" customHeight="false" outlineLevel="0" collapsed="false">
      <c r="A1079" s="32" t="str">
        <f aca="false">IF(B1079="","",ROW()-7)</f>
        <v/>
      </c>
      <c r="B1079" s="30"/>
      <c r="C1079" s="29"/>
      <c r="D1079" s="29"/>
      <c r="E1079" s="29"/>
      <c r="F1079" s="30"/>
      <c r="G1079" s="29"/>
      <c r="H1079" s="30"/>
      <c r="I1079" s="29"/>
      <c r="J1079" s="30"/>
      <c r="K1079" s="30"/>
      <c r="L1079" s="29"/>
      <c r="M1079" s="32" t="str">
        <f aca="false">IF(OR(C1079="",L1079=""),"",IF(C1079=L1079,"同一","変更"))</f>
        <v/>
      </c>
      <c r="N1079" s="29"/>
      <c r="O1079" s="30"/>
      <c r="P1079" s="29"/>
      <c r="Q1079" s="31"/>
      <c r="R1079" s="29"/>
      <c r="S1079" s="29"/>
      <c r="T1079" s="30"/>
      <c r="U1079" s="47" t="str">
        <f aca="false">IF(AND(B1079&lt;&gt;"",B1079=SW別シート!$C$3),COUNTIF(B$5:B1079,B1079),"")</f>
        <v/>
      </c>
      <c r="V1079" s="47" t="n">
        <f aca="false">V1078+IF(OR(O1079&lt;&gt;"",W1079&lt;&gt;""),1,0)</f>
        <v>3</v>
      </c>
      <c r="W1079" s="29"/>
    </row>
    <row r="1080" customFormat="false" ht="15" hidden="false" customHeight="false" outlineLevel="0" collapsed="false">
      <c r="A1080" s="32" t="str">
        <f aca="false">IF(B1080="","",ROW()-7)</f>
        <v/>
      </c>
      <c r="B1080" s="30"/>
      <c r="C1080" s="29"/>
      <c r="D1080" s="29"/>
      <c r="E1080" s="29"/>
      <c r="F1080" s="30"/>
      <c r="G1080" s="29"/>
      <c r="H1080" s="30"/>
      <c r="I1080" s="29"/>
      <c r="J1080" s="30"/>
      <c r="K1080" s="30"/>
      <c r="L1080" s="29"/>
      <c r="M1080" s="32" t="str">
        <f aca="false">IF(OR(C1080="",L1080=""),"",IF(C1080=L1080,"同一","変更"))</f>
        <v/>
      </c>
      <c r="N1080" s="29"/>
      <c r="O1080" s="30"/>
      <c r="P1080" s="29"/>
      <c r="Q1080" s="31"/>
      <c r="R1080" s="29"/>
      <c r="S1080" s="29"/>
      <c r="T1080" s="30"/>
      <c r="U1080" s="47" t="str">
        <f aca="false">IF(AND(B1080&lt;&gt;"",B1080=SW別シート!$C$3),COUNTIF(B$5:B1080,B1080),"")</f>
        <v/>
      </c>
      <c r="V1080" s="47" t="n">
        <f aca="false">V1079+IF(OR(O1080&lt;&gt;"",W1080&lt;&gt;""),1,0)</f>
        <v>3</v>
      </c>
      <c r="W1080" s="29"/>
    </row>
    <row r="1081" customFormat="false" ht="15" hidden="false" customHeight="false" outlineLevel="0" collapsed="false">
      <c r="A1081" s="32" t="str">
        <f aca="false">IF(B1081="","",ROW()-7)</f>
        <v/>
      </c>
      <c r="B1081" s="30"/>
      <c r="C1081" s="29"/>
      <c r="D1081" s="29"/>
      <c r="E1081" s="29"/>
      <c r="F1081" s="30"/>
      <c r="G1081" s="29"/>
      <c r="H1081" s="30"/>
      <c r="I1081" s="29"/>
      <c r="J1081" s="30"/>
      <c r="K1081" s="30"/>
      <c r="L1081" s="29"/>
      <c r="M1081" s="32" t="str">
        <f aca="false">IF(OR(C1081="",L1081=""),"",IF(C1081=L1081,"同一","変更"))</f>
        <v/>
      </c>
      <c r="N1081" s="29"/>
      <c r="O1081" s="30"/>
      <c r="P1081" s="29"/>
      <c r="Q1081" s="31"/>
      <c r="R1081" s="29"/>
      <c r="S1081" s="29"/>
      <c r="T1081" s="30"/>
      <c r="U1081" s="47" t="str">
        <f aca="false">IF(AND(B1081&lt;&gt;"",B1081=SW別シート!$C$3),COUNTIF(B$5:B1081,B1081),"")</f>
        <v/>
      </c>
      <c r="V1081" s="47" t="n">
        <f aca="false">V1080+IF(OR(O1081&lt;&gt;"",W1081&lt;&gt;""),1,0)</f>
        <v>3</v>
      </c>
      <c r="W1081" s="29"/>
    </row>
    <row r="1082" customFormat="false" ht="15" hidden="false" customHeight="false" outlineLevel="0" collapsed="false">
      <c r="A1082" s="32" t="str">
        <f aca="false">IF(B1082="","",ROW()-7)</f>
        <v/>
      </c>
      <c r="B1082" s="30"/>
      <c r="C1082" s="29"/>
      <c r="D1082" s="29"/>
      <c r="E1082" s="29"/>
      <c r="F1082" s="30"/>
      <c r="G1082" s="29"/>
      <c r="H1082" s="30"/>
      <c r="I1082" s="29"/>
      <c r="J1082" s="30"/>
      <c r="K1082" s="30"/>
      <c r="L1082" s="29"/>
      <c r="M1082" s="32" t="str">
        <f aca="false">IF(OR(C1082="",L1082=""),"",IF(C1082=L1082,"同一","変更"))</f>
        <v/>
      </c>
      <c r="N1082" s="29"/>
      <c r="O1082" s="30"/>
      <c r="P1082" s="29"/>
      <c r="Q1082" s="31"/>
      <c r="R1082" s="29"/>
      <c r="S1082" s="29"/>
      <c r="T1082" s="30"/>
      <c r="U1082" s="47" t="str">
        <f aca="false">IF(AND(B1082&lt;&gt;"",B1082=SW別シート!$C$3),COUNTIF(B$5:B1082,B1082),"")</f>
        <v/>
      </c>
      <c r="V1082" s="47" t="n">
        <f aca="false">V1081+IF(OR(O1082&lt;&gt;"",W1082&lt;&gt;""),1,0)</f>
        <v>3</v>
      </c>
      <c r="W1082" s="29"/>
    </row>
    <row r="1083" customFormat="false" ht="15" hidden="false" customHeight="false" outlineLevel="0" collapsed="false">
      <c r="A1083" s="32" t="str">
        <f aca="false">IF(B1083="","",ROW()-7)</f>
        <v/>
      </c>
      <c r="B1083" s="30"/>
      <c r="C1083" s="29"/>
      <c r="D1083" s="29"/>
      <c r="E1083" s="29"/>
      <c r="F1083" s="30"/>
      <c r="G1083" s="29"/>
      <c r="H1083" s="30"/>
      <c r="I1083" s="29"/>
      <c r="J1083" s="30"/>
      <c r="K1083" s="30"/>
      <c r="L1083" s="29"/>
      <c r="M1083" s="32" t="str">
        <f aca="false">IF(OR(C1083="",L1083=""),"",IF(C1083=L1083,"同一","変更"))</f>
        <v/>
      </c>
      <c r="N1083" s="29"/>
      <c r="O1083" s="30"/>
      <c r="P1083" s="29"/>
      <c r="Q1083" s="31"/>
      <c r="R1083" s="29"/>
      <c r="S1083" s="29"/>
      <c r="T1083" s="30"/>
      <c r="U1083" s="47" t="str">
        <f aca="false">IF(AND(B1083&lt;&gt;"",B1083=SW別シート!$C$3),COUNTIF(B$5:B1083,B1083),"")</f>
        <v/>
      </c>
      <c r="V1083" s="47" t="n">
        <f aca="false">V1082+IF(OR(O1083&lt;&gt;"",W1083&lt;&gt;""),1,0)</f>
        <v>3</v>
      </c>
      <c r="W1083" s="29"/>
    </row>
    <row r="1084" customFormat="false" ht="15" hidden="false" customHeight="false" outlineLevel="0" collapsed="false">
      <c r="A1084" s="32" t="str">
        <f aca="false">IF(B1084="","",ROW()-7)</f>
        <v/>
      </c>
      <c r="B1084" s="30"/>
      <c r="C1084" s="29"/>
      <c r="D1084" s="29"/>
      <c r="E1084" s="29"/>
      <c r="F1084" s="30"/>
      <c r="G1084" s="29"/>
      <c r="H1084" s="30"/>
      <c r="I1084" s="29"/>
      <c r="J1084" s="30"/>
      <c r="K1084" s="30"/>
      <c r="L1084" s="29"/>
      <c r="M1084" s="32" t="str">
        <f aca="false">IF(OR(C1084="",L1084=""),"",IF(C1084=L1084,"同一","変更"))</f>
        <v/>
      </c>
      <c r="N1084" s="29"/>
      <c r="O1084" s="30"/>
      <c r="P1084" s="29"/>
      <c r="Q1084" s="31"/>
      <c r="R1084" s="29"/>
      <c r="S1084" s="29"/>
      <c r="T1084" s="30"/>
      <c r="U1084" s="47" t="str">
        <f aca="false">IF(AND(B1084&lt;&gt;"",B1084=SW別シート!$C$3),COUNTIF(B$5:B1084,B1084),"")</f>
        <v/>
      </c>
      <c r="V1084" s="47" t="n">
        <f aca="false">V1083+IF(OR(O1084&lt;&gt;"",W1084&lt;&gt;""),1,0)</f>
        <v>3</v>
      </c>
      <c r="W1084" s="29"/>
    </row>
    <row r="1085" customFormat="false" ht="15" hidden="false" customHeight="false" outlineLevel="0" collapsed="false">
      <c r="A1085" s="32" t="str">
        <f aca="false">IF(B1085="","",ROW()-7)</f>
        <v/>
      </c>
      <c r="B1085" s="30"/>
      <c r="C1085" s="29"/>
      <c r="D1085" s="29"/>
      <c r="E1085" s="29"/>
      <c r="F1085" s="30"/>
      <c r="G1085" s="29"/>
      <c r="H1085" s="30"/>
      <c r="I1085" s="29"/>
      <c r="J1085" s="30"/>
      <c r="K1085" s="30"/>
      <c r="L1085" s="29"/>
      <c r="M1085" s="32" t="str">
        <f aca="false">IF(OR(C1085="",L1085=""),"",IF(C1085=L1085,"同一","変更"))</f>
        <v/>
      </c>
      <c r="N1085" s="29"/>
      <c r="O1085" s="30"/>
      <c r="P1085" s="29"/>
      <c r="Q1085" s="31"/>
      <c r="R1085" s="29"/>
      <c r="S1085" s="29"/>
      <c r="T1085" s="30"/>
      <c r="U1085" s="47" t="str">
        <f aca="false">IF(AND(B1085&lt;&gt;"",B1085=SW別シート!$C$3),COUNTIF(B$5:B1085,B1085),"")</f>
        <v/>
      </c>
      <c r="V1085" s="47" t="n">
        <f aca="false">V1084+IF(OR(O1085&lt;&gt;"",W1085&lt;&gt;""),1,0)</f>
        <v>3</v>
      </c>
      <c r="W1085" s="29"/>
    </row>
    <row r="1086" customFormat="false" ht="15" hidden="false" customHeight="false" outlineLevel="0" collapsed="false">
      <c r="A1086" s="32" t="str">
        <f aca="false">IF(B1086="","",ROW()-7)</f>
        <v/>
      </c>
      <c r="B1086" s="30"/>
      <c r="C1086" s="29"/>
      <c r="D1086" s="29"/>
      <c r="E1086" s="29"/>
      <c r="F1086" s="30"/>
      <c r="G1086" s="29"/>
      <c r="H1086" s="30"/>
      <c r="I1086" s="29"/>
      <c r="J1086" s="30"/>
      <c r="K1086" s="30"/>
      <c r="L1086" s="29"/>
      <c r="M1086" s="32" t="str">
        <f aca="false">IF(OR(C1086="",L1086=""),"",IF(C1086=L1086,"同一","変更"))</f>
        <v/>
      </c>
      <c r="N1086" s="29"/>
      <c r="O1086" s="30"/>
      <c r="P1086" s="29"/>
      <c r="Q1086" s="31"/>
      <c r="R1086" s="29"/>
      <c r="S1086" s="29"/>
      <c r="T1086" s="30"/>
      <c r="U1086" s="47" t="str">
        <f aca="false">IF(AND(B1086&lt;&gt;"",B1086=SW別シート!$C$3),COUNTIF(B$5:B1086,B1086),"")</f>
        <v/>
      </c>
      <c r="V1086" s="47" t="n">
        <f aca="false">V1085+IF(OR(O1086&lt;&gt;"",W1086&lt;&gt;""),1,0)</f>
        <v>3</v>
      </c>
      <c r="W1086" s="29"/>
    </row>
    <row r="1087" customFormat="false" ht="15" hidden="false" customHeight="false" outlineLevel="0" collapsed="false">
      <c r="A1087" s="32" t="str">
        <f aca="false">IF(B1087="","",ROW()-7)</f>
        <v/>
      </c>
      <c r="B1087" s="30"/>
      <c r="C1087" s="29"/>
      <c r="D1087" s="29"/>
      <c r="E1087" s="29"/>
      <c r="F1087" s="30"/>
      <c r="G1087" s="29"/>
      <c r="H1087" s="30"/>
      <c r="I1087" s="29"/>
      <c r="J1087" s="30"/>
      <c r="K1087" s="30"/>
      <c r="L1087" s="29"/>
      <c r="M1087" s="32" t="str">
        <f aca="false">IF(OR(C1087="",L1087=""),"",IF(C1087=L1087,"同一","変更"))</f>
        <v/>
      </c>
      <c r="N1087" s="29"/>
      <c r="O1087" s="30"/>
      <c r="P1087" s="29"/>
      <c r="Q1087" s="31"/>
      <c r="R1087" s="29"/>
      <c r="S1087" s="29"/>
      <c r="T1087" s="30"/>
      <c r="U1087" s="47" t="str">
        <f aca="false">IF(AND(B1087&lt;&gt;"",B1087=SW別シート!$C$3),COUNTIF(B$5:B1087,B1087),"")</f>
        <v/>
      </c>
      <c r="V1087" s="47" t="n">
        <f aca="false">V1086+IF(OR(O1087&lt;&gt;"",W1087&lt;&gt;""),1,0)</f>
        <v>3</v>
      </c>
      <c r="W1087" s="29"/>
    </row>
    <row r="1088" customFormat="false" ht="15" hidden="false" customHeight="false" outlineLevel="0" collapsed="false">
      <c r="A1088" s="32" t="str">
        <f aca="false">IF(B1088="","",ROW()-7)</f>
        <v/>
      </c>
      <c r="B1088" s="30"/>
      <c r="C1088" s="29"/>
      <c r="D1088" s="29"/>
      <c r="E1088" s="29"/>
      <c r="F1088" s="30"/>
      <c r="G1088" s="29"/>
      <c r="H1088" s="30"/>
      <c r="I1088" s="29"/>
      <c r="J1088" s="30"/>
      <c r="K1088" s="30"/>
      <c r="L1088" s="29"/>
      <c r="M1088" s="32" t="str">
        <f aca="false">IF(OR(C1088="",L1088=""),"",IF(C1088=L1088,"同一","変更"))</f>
        <v/>
      </c>
      <c r="N1088" s="29"/>
      <c r="O1088" s="30"/>
      <c r="P1088" s="29"/>
      <c r="Q1088" s="31"/>
      <c r="R1088" s="29"/>
      <c r="S1088" s="29"/>
      <c r="T1088" s="30"/>
      <c r="U1088" s="47" t="str">
        <f aca="false">IF(AND(B1088&lt;&gt;"",B1088=SW別シート!$C$3),COUNTIF(B$5:B1088,B1088),"")</f>
        <v/>
      </c>
      <c r="V1088" s="47" t="n">
        <f aca="false">V1087+IF(OR(O1088&lt;&gt;"",W1088&lt;&gt;""),1,0)</f>
        <v>3</v>
      </c>
      <c r="W1088" s="29"/>
    </row>
    <row r="1089" customFormat="false" ht="15" hidden="false" customHeight="false" outlineLevel="0" collapsed="false">
      <c r="A1089" s="32" t="str">
        <f aca="false">IF(B1089="","",ROW()-7)</f>
        <v/>
      </c>
      <c r="B1089" s="30"/>
      <c r="C1089" s="29"/>
      <c r="D1089" s="29"/>
      <c r="E1089" s="29"/>
      <c r="F1089" s="30"/>
      <c r="G1089" s="29"/>
      <c r="H1089" s="30"/>
      <c r="I1089" s="29"/>
      <c r="J1089" s="30"/>
      <c r="K1089" s="30"/>
      <c r="L1089" s="29"/>
      <c r="M1089" s="32" t="str">
        <f aca="false">IF(OR(C1089="",L1089=""),"",IF(C1089=L1089,"同一","変更"))</f>
        <v/>
      </c>
      <c r="N1089" s="29"/>
      <c r="O1089" s="30"/>
      <c r="P1089" s="29"/>
      <c r="Q1089" s="31"/>
      <c r="R1089" s="29"/>
      <c r="S1089" s="29"/>
      <c r="T1089" s="30"/>
      <c r="U1089" s="47" t="str">
        <f aca="false">IF(AND(B1089&lt;&gt;"",B1089=SW別シート!$C$3),COUNTIF(B$5:B1089,B1089),"")</f>
        <v/>
      </c>
      <c r="V1089" s="47" t="n">
        <f aca="false">V1088+IF(OR(O1089&lt;&gt;"",W1089&lt;&gt;""),1,0)</f>
        <v>3</v>
      </c>
      <c r="W1089" s="29"/>
    </row>
    <row r="1090" customFormat="false" ht="15" hidden="false" customHeight="false" outlineLevel="0" collapsed="false">
      <c r="A1090" s="32" t="str">
        <f aca="false">IF(B1090="","",ROW()-7)</f>
        <v/>
      </c>
      <c r="B1090" s="30"/>
      <c r="C1090" s="29"/>
      <c r="D1090" s="29"/>
      <c r="E1090" s="29"/>
      <c r="F1090" s="30"/>
      <c r="G1090" s="29"/>
      <c r="H1090" s="30"/>
      <c r="I1090" s="29"/>
      <c r="J1090" s="30"/>
      <c r="K1090" s="30"/>
      <c r="L1090" s="29"/>
      <c r="M1090" s="32" t="str">
        <f aca="false">IF(OR(C1090="",L1090=""),"",IF(C1090=L1090,"同一","変更"))</f>
        <v/>
      </c>
      <c r="N1090" s="29"/>
      <c r="O1090" s="30"/>
      <c r="P1090" s="29"/>
      <c r="Q1090" s="31"/>
      <c r="R1090" s="29"/>
      <c r="S1090" s="29"/>
      <c r="T1090" s="30"/>
      <c r="U1090" s="47" t="str">
        <f aca="false">IF(AND(B1090&lt;&gt;"",B1090=SW別シート!$C$3),COUNTIF(B$5:B1090,B1090),"")</f>
        <v/>
      </c>
      <c r="V1090" s="47" t="n">
        <f aca="false">V1089+IF(OR(O1090&lt;&gt;"",W1090&lt;&gt;""),1,0)</f>
        <v>3</v>
      </c>
      <c r="W1090" s="29"/>
    </row>
    <row r="1091" customFormat="false" ht="15" hidden="false" customHeight="false" outlineLevel="0" collapsed="false">
      <c r="A1091" s="32" t="str">
        <f aca="false">IF(B1091="","",ROW()-7)</f>
        <v/>
      </c>
      <c r="B1091" s="30"/>
      <c r="C1091" s="29"/>
      <c r="D1091" s="29"/>
      <c r="E1091" s="29"/>
      <c r="F1091" s="30"/>
      <c r="G1091" s="29"/>
      <c r="H1091" s="30"/>
      <c r="I1091" s="29"/>
      <c r="J1091" s="30"/>
      <c r="K1091" s="30"/>
      <c r="L1091" s="29"/>
      <c r="M1091" s="32" t="str">
        <f aca="false">IF(OR(C1091="",L1091=""),"",IF(C1091=L1091,"同一","変更"))</f>
        <v/>
      </c>
      <c r="N1091" s="29"/>
      <c r="O1091" s="30"/>
      <c r="P1091" s="29"/>
      <c r="Q1091" s="31"/>
      <c r="R1091" s="29"/>
      <c r="S1091" s="29"/>
      <c r="T1091" s="30"/>
      <c r="U1091" s="47" t="str">
        <f aca="false">IF(AND(B1091&lt;&gt;"",B1091=SW別シート!$C$3),COUNTIF(B$5:B1091,B1091),"")</f>
        <v/>
      </c>
      <c r="V1091" s="47" t="n">
        <f aca="false">V1090+IF(OR(O1091&lt;&gt;"",W1091&lt;&gt;""),1,0)</f>
        <v>3</v>
      </c>
      <c r="W1091" s="29"/>
    </row>
    <row r="1092" customFormat="false" ht="15" hidden="false" customHeight="false" outlineLevel="0" collapsed="false">
      <c r="A1092" s="32" t="str">
        <f aca="false">IF(B1092="","",ROW()-7)</f>
        <v/>
      </c>
      <c r="B1092" s="30"/>
      <c r="C1092" s="29"/>
      <c r="D1092" s="29"/>
      <c r="E1092" s="29"/>
      <c r="F1092" s="30"/>
      <c r="G1092" s="29"/>
      <c r="H1092" s="30"/>
      <c r="I1092" s="29"/>
      <c r="J1092" s="30"/>
      <c r="K1092" s="30"/>
      <c r="L1092" s="29"/>
      <c r="M1092" s="32" t="str">
        <f aca="false">IF(OR(C1092="",L1092=""),"",IF(C1092=L1092,"同一","変更"))</f>
        <v/>
      </c>
      <c r="N1092" s="29"/>
      <c r="O1092" s="30"/>
      <c r="P1092" s="29"/>
      <c r="Q1092" s="31"/>
      <c r="R1092" s="29"/>
      <c r="S1092" s="29"/>
      <c r="T1092" s="30"/>
      <c r="U1092" s="47" t="str">
        <f aca="false">IF(AND(B1092&lt;&gt;"",B1092=SW別シート!$C$3),COUNTIF(B$5:B1092,B1092),"")</f>
        <v/>
      </c>
      <c r="V1092" s="47" t="n">
        <f aca="false">V1091+IF(OR(O1092&lt;&gt;"",W1092&lt;&gt;""),1,0)</f>
        <v>3</v>
      </c>
      <c r="W1092" s="29"/>
    </row>
    <row r="1093" customFormat="false" ht="15" hidden="false" customHeight="false" outlineLevel="0" collapsed="false">
      <c r="A1093" s="32" t="str">
        <f aca="false">IF(B1093="","",ROW()-7)</f>
        <v/>
      </c>
      <c r="B1093" s="30"/>
      <c r="C1093" s="29"/>
      <c r="D1093" s="29"/>
      <c r="E1093" s="29"/>
      <c r="F1093" s="30"/>
      <c r="G1093" s="29"/>
      <c r="H1093" s="30"/>
      <c r="I1093" s="29"/>
      <c r="J1093" s="30"/>
      <c r="K1093" s="30"/>
      <c r="L1093" s="29"/>
      <c r="M1093" s="32" t="str">
        <f aca="false">IF(OR(C1093="",L1093=""),"",IF(C1093=L1093,"同一","変更"))</f>
        <v/>
      </c>
      <c r="N1093" s="29"/>
      <c r="O1093" s="30"/>
      <c r="P1093" s="29"/>
      <c r="Q1093" s="31"/>
      <c r="R1093" s="29"/>
      <c r="S1093" s="29"/>
      <c r="T1093" s="30"/>
      <c r="U1093" s="47" t="str">
        <f aca="false">IF(AND(B1093&lt;&gt;"",B1093=SW別シート!$C$3),COUNTIF(B$5:B1093,B1093),"")</f>
        <v/>
      </c>
      <c r="V1093" s="47" t="n">
        <f aca="false">V1092+IF(OR(O1093&lt;&gt;"",W1093&lt;&gt;""),1,0)</f>
        <v>3</v>
      </c>
      <c r="W1093" s="29"/>
    </row>
    <row r="1094" customFormat="false" ht="15" hidden="false" customHeight="false" outlineLevel="0" collapsed="false">
      <c r="A1094" s="32" t="str">
        <f aca="false">IF(B1094="","",ROW()-7)</f>
        <v/>
      </c>
      <c r="B1094" s="30"/>
      <c r="C1094" s="29"/>
      <c r="D1094" s="29"/>
      <c r="E1094" s="29"/>
      <c r="F1094" s="30"/>
      <c r="G1094" s="29"/>
      <c r="H1094" s="30"/>
      <c r="I1094" s="29"/>
      <c r="J1094" s="30"/>
      <c r="K1094" s="30"/>
      <c r="L1094" s="29"/>
      <c r="M1094" s="32" t="str">
        <f aca="false">IF(OR(C1094="",L1094=""),"",IF(C1094=L1094,"同一","変更"))</f>
        <v/>
      </c>
      <c r="N1094" s="29"/>
      <c r="O1094" s="30"/>
      <c r="P1094" s="29"/>
      <c r="Q1094" s="31"/>
      <c r="R1094" s="29"/>
      <c r="S1094" s="29"/>
      <c r="T1094" s="30"/>
      <c r="U1094" s="47" t="str">
        <f aca="false">IF(AND(B1094&lt;&gt;"",B1094=SW別シート!$C$3),COUNTIF(B$5:B1094,B1094),"")</f>
        <v/>
      </c>
      <c r="V1094" s="47" t="n">
        <f aca="false">V1093+IF(OR(O1094&lt;&gt;"",W1094&lt;&gt;""),1,0)</f>
        <v>3</v>
      </c>
      <c r="W1094" s="29"/>
    </row>
    <row r="1095" customFormat="false" ht="15" hidden="false" customHeight="false" outlineLevel="0" collapsed="false">
      <c r="A1095" s="32" t="str">
        <f aca="false">IF(B1095="","",ROW()-7)</f>
        <v/>
      </c>
      <c r="B1095" s="30"/>
      <c r="C1095" s="29"/>
      <c r="D1095" s="29"/>
      <c r="E1095" s="29"/>
      <c r="F1095" s="30"/>
      <c r="G1095" s="29"/>
      <c r="H1095" s="30"/>
      <c r="I1095" s="29"/>
      <c r="J1095" s="30"/>
      <c r="K1095" s="30"/>
      <c r="L1095" s="29"/>
      <c r="M1095" s="32" t="str">
        <f aca="false">IF(OR(C1095="",L1095=""),"",IF(C1095=L1095,"同一","変更"))</f>
        <v/>
      </c>
      <c r="N1095" s="29"/>
      <c r="O1095" s="30"/>
      <c r="P1095" s="29"/>
      <c r="Q1095" s="31"/>
      <c r="R1095" s="29"/>
      <c r="S1095" s="29"/>
      <c r="T1095" s="30"/>
      <c r="U1095" s="47" t="str">
        <f aca="false">IF(AND(B1095&lt;&gt;"",B1095=SW別シート!$C$3),COUNTIF(B$5:B1095,B1095),"")</f>
        <v/>
      </c>
      <c r="V1095" s="47" t="n">
        <f aca="false">V1094+IF(OR(O1095&lt;&gt;"",W1095&lt;&gt;""),1,0)</f>
        <v>3</v>
      </c>
      <c r="W1095" s="29"/>
    </row>
    <row r="1096" customFormat="false" ht="15" hidden="false" customHeight="false" outlineLevel="0" collapsed="false">
      <c r="A1096" s="32" t="str">
        <f aca="false">IF(B1096="","",ROW()-7)</f>
        <v/>
      </c>
      <c r="B1096" s="30"/>
      <c r="C1096" s="29"/>
      <c r="D1096" s="29"/>
      <c r="E1096" s="29"/>
      <c r="F1096" s="30"/>
      <c r="G1096" s="29"/>
      <c r="H1096" s="30"/>
      <c r="I1096" s="29"/>
      <c r="J1096" s="30"/>
      <c r="K1096" s="30"/>
      <c r="L1096" s="29"/>
      <c r="M1096" s="32" t="str">
        <f aca="false">IF(OR(C1096="",L1096=""),"",IF(C1096=L1096,"同一","変更"))</f>
        <v/>
      </c>
      <c r="N1096" s="29"/>
      <c r="O1096" s="30"/>
      <c r="P1096" s="29"/>
      <c r="Q1096" s="31"/>
      <c r="R1096" s="29"/>
      <c r="S1096" s="29"/>
      <c r="T1096" s="30"/>
      <c r="U1096" s="47" t="str">
        <f aca="false">IF(AND(B1096&lt;&gt;"",B1096=SW別シート!$C$3),COUNTIF(B$5:B1096,B1096),"")</f>
        <v/>
      </c>
      <c r="V1096" s="47" t="n">
        <f aca="false">V1095+IF(OR(O1096&lt;&gt;"",W1096&lt;&gt;""),1,0)</f>
        <v>3</v>
      </c>
      <c r="W1096" s="29"/>
    </row>
    <row r="1097" customFormat="false" ht="15" hidden="false" customHeight="false" outlineLevel="0" collapsed="false">
      <c r="A1097" s="32" t="str">
        <f aca="false">IF(B1097="","",ROW()-7)</f>
        <v/>
      </c>
      <c r="B1097" s="30"/>
      <c r="C1097" s="29"/>
      <c r="D1097" s="29"/>
      <c r="E1097" s="29"/>
      <c r="F1097" s="30"/>
      <c r="G1097" s="29"/>
      <c r="H1097" s="30"/>
      <c r="I1097" s="29"/>
      <c r="J1097" s="30"/>
      <c r="K1097" s="30"/>
      <c r="L1097" s="29"/>
      <c r="M1097" s="32" t="str">
        <f aca="false">IF(OR(C1097="",L1097=""),"",IF(C1097=L1097,"同一","変更"))</f>
        <v/>
      </c>
      <c r="N1097" s="29"/>
      <c r="O1097" s="30"/>
      <c r="P1097" s="29"/>
      <c r="Q1097" s="31"/>
      <c r="R1097" s="29"/>
      <c r="S1097" s="29"/>
      <c r="T1097" s="30"/>
      <c r="U1097" s="47" t="str">
        <f aca="false">IF(AND(B1097&lt;&gt;"",B1097=SW別シート!$C$3),COUNTIF(B$5:B1097,B1097),"")</f>
        <v/>
      </c>
      <c r="V1097" s="47" t="n">
        <f aca="false">V1096+IF(OR(O1097&lt;&gt;"",W1097&lt;&gt;""),1,0)</f>
        <v>3</v>
      </c>
      <c r="W1097" s="29"/>
    </row>
    <row r="1098" customFormat="false" ht="15" hidden="false" customHeight="false" outlineLevel="0" collapsed="false">
      <c r="A1098" s="32" t="str">
        <f aca="false">IF(B1098="","",ROW()-7)</f>
        <v/>
      </c>
      <c r="B1098" s="30"/>
      <c r="C1098" s="29"/>
      <c r="D1098" s="29"/>
      <c r="E1098" s="29"/>
      <c r="F1098" s="30"/>
      <c r="G1098" s="29"/>
      <c r="H1098" s="30"/>
      <c r="I1098" s="29"/>
      <c r="J1098" s="30"/>
      <c r="K1098" s="30"/>
      <c r="L1098" s="29"/>
      <c r="M1098" s="32" t="str">
        <f aca="false">IF(OR(C1098="",L1098=""),"",IF(C1098=L1098,"同一","変更"))</f>
        <v/>
      </c>
      <c r="N1098" s="29"/>
      <c r="O1098" s="30"/>
      <c r="P1098" s="29"/>
      <c r="Q1098" s="31"/>
      <c r="R1098" s="29"/>
      <c r="S1098" s="29"/>
      <c r="T1098" s="30"/>
      <c r="U1098" s="47" t="str">
        <f aca="false">IF(AND(B1098&lt;&gt;"",B1098=SW別シート!$C$3),COUNTIF(B$5:B1098,B1098),"")</f>
        <v/>
      </c>
      <c r="V1098" s="47" t="n">
        <f aca="false">V1097+IF(OR(O1098&lt;&gt;"",W1098&lt;&gt;""),1,0)</f>
        <v>3</v>
      </c>
      <c r="W1098" s="29"/>
    </row>
    <row r="1099" customFormat="false" ht="15" hidden="false" customHeight="false" outlineLevel="0" collapsed="false">
      <c r="A1099" s="32" t="str">
        <f aca="false">IF(B1099="","",ROW()-7)</f>
        <v/>
      </c>
      <c r="B1099" s="30"/>
      <c r="C1099" s="29"/>
      <c r="D1099" s="29"/>
      <c r="E1099" s="29"/>
      <c r="F1099" s="30"/>
      <c r="G1099" s="29"/>
      <c r="H1099" s="30"/>
      <c r="I1099" s="29"/>
      <c r="J1099" s="30"/>
      <c r="K1099" s="30"/>
      <c r="L1099" s="29"/>
      <c r="M1099" s="32" t="str">
        <f aca="false">IF(OR(C1099="",L1099=""),"",IF(C1099=L1099,"同一","変更"))</f>
        <v/>
      </c>
      <c r="N1099" s="29"/>
      <c r="O1099" s="30"/>
      <c r="P1099" s="29"/>
      <c r="Q1099" s="31"/>
      <c r="R1099" s="29"/>
      <c r="S1099" s="29"/>
      <c r="T1099" s="30"/>
      <c r="U1099" s="47" t="str">
        <f aca="false">IF(AND(B1099&lt;&gt;"",B1099=SW別シート!$C$3),COUNTIF(B$5:B1099,B1099),"")</f>
        <v/>
      </c>
      <c r="V1099" s="47" t="n">
        <f aca="false">V1098+IF(OR(O1099&lt;&gt;"",W1099&lt;&gt;""),1,0)</f>
        <v>3</v>
      </c>
      <c r="W1099" s="29"/>
    </row>
    <row r="1100" customFormat="false" ht="15" hidden="false" customHeight="false" outlineLevel="0" collapsed="false">
      <c r="A1100" s="32" t="str">
        <f aca="false">IF(B1100="","",ROW()-7)</f>
        <v/>
      </c>
      <c r="B1100" s="30"/>
      <c r="C1100" s="29"/>
      <c r="D1100" s="29"/>
      <c r="E1100" s="29"/>
      <c r="F1100" s="30"/>
      <c r="G1100" s="29"/>
      <c r="H1100" s="30"/>
      <c r="I1100" s="29"/>
      <c r="J1100" s="30"/>
      <c r="K1100" s="30"/>
      <c r="L1100" s="29"/>
      <c r="M1100" s="32" t="str">
        <f aca="false">IF(OR(C1100="",L1100=""),"",IF(C1100=L1100,"同一","変更"))</f>
        <v/>
      </c>
      <c r="N1100" s="29"/>
      <c r="O1100" s="30"/>
      <c r="P1100" s="29"/>
      <c r="Q1100" s="31"/>
      <c r="R1100" s="29"/>
      <c r="S1100" s="29"/>
      <c r="T1100" s="30"/>
      <c r="U1100" s="47" t="str">
        <f aca="false">IF(AND(B1100&lt;&gt;"",B1100=SW別シート!$C$3),COUNTIF(B$5:B1100,B1100),"")</f>
        <v/>
      </c>
      <c r="V1100" s="47" t="n">
        <f aca="false">V1099+IF(OR(O1100&lt;&gt;"",W1100&lt;&gt;""),1,0)</f>
        <v>3</v>
      </c>
      <c r="W1100" s="29"/>
    </row>
    <row r="1101" customFormat="false" ht="15" hidden="false" customHeight="false" outlineLevel="0" collapsed="false">
      <c r="A1101" s="32" t="str">
        <f aca="false">IF(B1101="","",ROW()-7)</f>
        <v/>
      </c>
      <c r="B1101" s="30"/>
      <c r="C1101" s="29"/>
      <c r="D1101" s="29"/>
      <c r="E1101" s="29"/>
      <c r="F1101" s="30"/>
      <c r="G1101" s="29"/>
      <c r="H1101" s="30"/>
      <c r="I1101" s="29"/>
      <c r="J1101" s="30"/>
      <c r="K1101" s="30"/>
      <c r="L1101" s="29"/>
      <c r="M1101" s="32" t="str">
        <f aca="false">IF(OR(C1101="",L1101=""),"",IF(C1101=L1101,"同一","変更"))</f>
        <v/>
      </c>
      <c r="N1101" s="29"/>
      <c r="O1101" s="30"/>
      <c r="P1101" s="29"/>
      <c r="Q1101" s="31"/>
      <c r="R1101" s="29"/>
      <c r="S1101" s="29"/>
      <c r="T1101" s="30"/>
      <c r="U1101" s="47" t="str">
        <f aca="false">IF(AND(B1101&lt;&gt;"",B1101=SW別シート!$C$3),COUNTIF(B$5:B1101,B1101),"")</f>
        <v/>
      </c>
      <c r="V1101" s="47" t="n">
        <f aca="false">V1100+IF(OR(O1101&lt;&gt;"",W1101&lt;&gt;""),1,0)</f>
        <v>3</v>
      </c>
      <c r="W1101" s="29"/>
    </row>
    <row r="1102" customFormat="false" ht="15" hidden="false" customHeight="false" outlineLevel="0" collapsed="false">
      <c r="A1102" s="32" t="str">
        <f aca="false">IF(B1102="","",ROW()-7)</f>
        <v/>
      </c>
      <c r="B1102" s="30"/>
      <c r="C1102" s="29"/>
      <c r="D1102" s="29"/>
      <c r="E1102" s="29"/>
      <c r="F1102" s="30"/>
      <c r="G1102" s="29"/>
      <c r="H1102" s="30"/>
      <c r="I1102" s="29"/>
      <c r="J1102" s="30"/>
      <c r="K1102" s="30"/>
      <c r="L1102" s="29"/>
      <c r="M1102" s="32" t="str">
        <f aca="false">IF(OR(C1102="",L1102=""),"",IF(C1102=L1102,"同一","変更"))</f>
        <v/>
      </c>
      <c r="N1102" s="29"/>
      <c r="O1102" s="30"/>
      <c r="P1102" s="29"/>
      <c r="Q1102" s="31"/>
      <c r="R1102" s="29"/>
      <c r="S1102" s="29"/>
      <c r="T1102" s="30"/>
      <c r="U1102" s="47" t="str">
        <f aca="false">IF(AND(B1102&lt;&gt;"",B1102=SW別シート!$C$3),COUNTIF(B$5:B1102,B1102),"")</f>
        <v/>
      </c>
      <c r="V1102" s="47" t="n">
        <f aca="false">V1101+IF(OR(O1102&lt;&gt;"",W1102&lt;&gt;""),1,0)</f>
        <v>3</v>
      </c>
      <c r="W1102" s="29"/>
    </row>
    <row r="1103" customFormat="false" ht="15" hidden="false" customHeight="false" outlineLevel="0" collapsed="false">
      <c r="A1103" s="32" t="str">
        <f aca="false">IF(B1103="","",ROW()-7)</f>
        <v/>
      </c>
      <c r="B1103" s="30"/>
      <c r="C1103" s="29"/>
      <c r="D1103" s="29"/>
      <c r="E1103" s="29"/>
      <c r="F1103" s="30"/>
      <c r="G1103" s="29"/>
      <c r="H1103" s="30"/>
      <c r="I1103" s="29"/>
      <c r="J1103" s="30"/>
      <c r="K1103" s="30"/>
      <c r="L1103" s="29"/>
      <c r="M1103" s="32" t="str">
        <f aca="false">IF(OR(C1103="",L1103=""),"",IF(C1103=L1103,"同一","変更"))</f>
        <v/>
      </c>
      <c r="N1103" s="29"/>
      <c r="O1103" s="30"/>
      <c r="P1103" s="29"/>
      <c r="Q1103" s="31"/>
      <c r="R1103" s="29"/>
      <c r="S1103" s="29"/>
      <c r="T1103" s="30"/>
      <c r="U1103" s="47" t="str">
        <f aca="false">IF(AND(B1103&lt;&gt;"",B1103=SW別シート!$C$3),COUNTIF(B$5:B1103,B1103),"")</f>
        <v/>
      </c>
      <c r="V1103" s="47" t="n">
        <f aca="false">V1102+IF(OR(O1103&lt;&gt;"",W1103&lt;&gt;""),1,0)</f>
        <v>3</v>
      </c>
      <c r="W1103" s="29"/>
    </row>
    <row r="1104" customFormat="false" ht="15" hidden="false" customHeight="false" outlineLevel="0" collapsed="false">
      <c r="A1104" s="32" t="str">
        <f aca="false">IF(B1104="","",ROW()-7)</f>
        <v/>
      </c>
      <c r="B1104" s="30"/>
      <c r="C1104" s="29"/>
      <c r="D1104" s="29"/>
      <c r="E1104" s="29"/>
      <c r="F1104" s="30"/>
      <c r="G1104" s="29"/>
      <c r="H1104" s="30"/>
      <c r="I1104" s="29"/>
      <c r="J1104" s="30"/>
      <c r="K1104" s="30"/>
      <c r="L1104" s="29"/>
      <c r="M1104" s="32" t="str">
        <f aca="false">IF(OR(C1104="",L1104=""),"",IF(C1104=L1104,"同一","変更"))</f>
        <v/>
      </c>
      <c r="N1104" s="29"/>
      <c r="O1104" s="30"/>
      <c r="P1104" s="29"/>
      <c r="Q1104" s="31"/>
      <c r="R1104" s="29"/>
      <c r="S1104" s="29"/>
      <c r="T1104" s="30"/>
      <c r="U1104" s="47" t="str">
        <f aca="false">IF(AND(B1104&lt;&gt;"",B1104=SW別シート!$C$3),COUNTIF(B$5:B1104,B1104),"")</f>
        <v/>
      </c>
      <c r="V1104" s="47" t="n">
        <f aca="false">V1103+IF(OR(O1104&lt;&gt;"",W1104&lt;&gt;""),1,0)</f>
        <v>3</v>
      </c>
      <c r="W1104" s="29"/>
    </row>
    <row r="1105" customFormat="false" ht="15" hidden="false" customHeight="false" outlineLevel="0" collapsed="false">
      <c r="A1105" s="32" t="str">
        <f aca="false">IF(B1105="","",ROW()-7)</f>
        <v/>
      </c>
      <c r="B1105" s="30"/>
      <c r="C1105" s="29"/>
      <c r="D1105" s="29"/>
      <c r="E1105" s="29"/>
      <c r="F1105" s="30"/>
      <c r="G1105" s="29"/>
      <c r="H1105" s="30"/>
      <c r="I1105" s="29"/>
      <c r="J1105" s="30"/>
      <c r="K1105" s="30"/>
      <c r="L1105" s="29"/>
      <c r="M1105" s="32" t="str">
        <f aca="false">IF(OR(C1105="",L1105=""),"",IF(C1105=L1105,"同一","変更"))</f>
        <v/>
      </c>
      <c r="N1105" s="29"/>
      <c r="O1105" s="30"/>
      <c r="P1105" s="29"/>
      <c r="Q1105" s="31"/>
      <c r="R1105" s="29"/>
      <c r="S1105" s="29"/>
      <c r="T1105" s="30"/>
      <c r="U1105" s="47" t="str">
        <f aca="false">IF(AND(B1105&lt;&gt;"",B1105=SW別シート!$C$3),COUNTIF(B$5:B1105,B1105),"")</f>
        <v/>
      </c>
      <c r="V1105" s="47" t="n">
        <f aca="false">V1104+IF(OR(O1105&lt;&gt;"",W1105&lt;&gt;""),1,0)</f>
        <v>3</v>
      </c>
      <c r="W1105" s="29"/>
    </row>
    <row r="1106" customFormat="false" ht="15" hidden="false" customHeight="false" outlineLevel="0" collapsed="false">
      <c r="A1106" s="32" t="str">
        <f aca="false">IF(B1106="","",ROW()-7)</f>
        <v/>
      </c>
      <c r="B1106" s="30"/>
      <c r="C1106" s="29"/>
      <c r="D1106" s="29"/>
      <c r="E1106" s="29"/>
      <c r="F1106" s="30"/>
      <c r="G1106" s="29"/>
      <c r="H1106" s="30"/>
      <c r="I1106" s="29"/>
      <c r="J1106" s="30"/>
      <c r="K1106" s="30"/>
      <c r="L1106" s="29"/>
      <c r="M1106" s="32" t="str">
        <f aca="false">IF(OR(C1106="",L1106=""),"",IF(C1106=L1106,"同一","変更"))</f>
        <v/>
      </c>
      <c r="N1106" s="29"/>
      <c r="O1106" s="30"/>
      <c r="P1106" s="29"/>
      <c r="Q1106" s="31"/>
      <c r="R1106" s="29"/>
      <c r="S1106" s="29"/>
      <c r="T1106" s="30"/>
      <c r="U1106" s="47" t="str">
        <f aca="false">IF(AND(B1106&lt;&gt;"",B1106=SW別シート!$C$3),COUNTIF(B$5:B1106,B1106),"")</f>
        <v/>
      </c>
      <c r="V1106" s="47" t="n">
        <f aca="false">V1105+IF(OR(O1106&lt;&gt;"",W1106&lt;&gt;""),1,0)</f>
        <v>3</v>
      </c>
      <c r="W1106" s="29"/>
    </row>
    <row r="1107" customFormat="false" ht="15" hidden="false" customHeight="false" outlineLevel="0" collapsed="false">
      <c r="A1107" s="32" t="str">
        <f aca="false">IF(B1107="","",ROW()-7)</f>
        <v/>
      </c>
      <c r="B1107" s="30"/>
      <c r="C1107" s="29"/>
      <c r="D1107" s="29"/>
      <c r="E1107" s="29"/>
      <c r="F1107" s="30"/>
      <c r="G1107" s="29"/>
      <c r="H1107" s="30"/>
      <c r="I1107" s="29"/>
      <c r="J1107" s="30"/>
      <c r="K1107" s="30"/>
      <c r="L1107" s="29"/>
      <c r="M1107" s="32" t="str">
        <f aca="false">IF(OR(C1107="",L1107=""),"",IF(C1107=L1107,"同一","変更"))</f>
        <v/>
      </c>
      <c r="N1107" s="29"/>
      <c r="O1107" s="30"/>
      <c r="P1107" s="29"/>
      <c r="Q1107" s="31"/>
      <c r="R1107" s="29"/>
      <c r="S1107" s="29"/>
      <c r="T1107" s="30"/>
      <c r="U1107" s="47" t="str">
        <f aca="false">IF(AND(B1107&lt;&gt;"",B1107=SW別シート!$C$3),COUNTIF(B$5:B1107,B1107),"")</f>
        <v/>
      </c>
      <c r="V1107" s="47" t="n">
        <f aca="false">V1106+IF(OR(O1107&lt;&gt;"",W1107&lt;&gt;""),1,0)</f>
        <v>3</v>
      </c>
      <c r="W1107" s="29"/>
    </row>
    <row r="1108" customFormat="false" ht="15" hidden="false" customHeight="false" outlineLevel="0" collapsed="false">
      <c r="A1108" s="32" t="str">
        <f aca="false">IF(B1108="","",ROW()-7)</f>
        <v/>
      </c>
      <c r="B1108" s="30"/>
      <c r="C1108" s="29"/>
      <c r="D1108" s="29"/>
      <c r="E1108" s="29"/>
      <c r="F1108" s="30"/>
      <c r="G1108" s="29"/>
      <c r="H1108" s="30"/>
      <c r="I1108" s="29"/>
      <c r="J1108" s="30"/>
      <c r="K1108" s="30"/>
      <c r="L1108" s="29"/>
      <c r="M1108" s="32" t="str">
        <f aca="false">IF(OR(C1108="",L1108=""),"",IF(C1108=L1108,"同一","変更"))</f>
        <v/>
      </c>
      <c r="N1108" s="29"/>
      <c r="O1108" s="30"/>
      <c r="P1108" s="29"/>
      <c r="Q1108" s="31"/>
      <c r="R1108" s="29"/>
      <c r="S1108" s="29"/>
      <c r="T1108" s="30"/>
      <c r="U1108" s="47" t="str">
        <f aca="false">IF(AND(B1108&lt;&gt;"",B1108=SW別シート!$C$3),COUNTIF(B$5:B1108,B1108),"")</f>
        <v/>
      </c>
      <c r="V1108" s="47" t="n">
        <f aca="false">V1107+IF(OR(O1108&lt;&gt;"",W1108&lt;&gt;""),1,0)</f>
        <v>3</v>
      </c>
      <c r="W1108" s="29"/>
    </row>
    <row r="1109" customFormat="false" ht="15" hidden="false" customHeight="false" outlineLevel="0" collapsed="false">
      <c r="A1109" s="32" t="str">
        <f aca="false">IF(B1109="","",ROW()-7)</f>
        <v/>
      </c>
      <c r="B1109" s="30"/>
      <c r="C1109" s="29"/>
      <c r="D1109" s="29"/>
      <c r="E1109" s="29"/>
      <c r="F1109" s="30"/>
      <c r="G1109" s="29"/>
      <c r="H1109" s="30"/>
      <c r="I1109" s="29"/>
      <c r="J1109" s="30"/>
      <c r="K1109" s="30"/>
      <c r="L1109" s="29"/>
      <c r="M1109" s="32" t="str">
        <f aca="false">IF(OR(C1109="",L1109=""),"",IF(C1109=L1109,"同一","変更"))</f>
        <v/>
      </c>
      <c r="N1109" s="29"/>
      <c r="O1109" s="30"/>
      <c r="P1109" s="29"/>
      <c r="Q1109" s="31"/>
      <c r="R1109" s="29"/>
      <c r="S1109" s="29"/>
      <c r="T1109" s="30"/>
      <c r="U1109" s="47" t="str">
        <f aca="false">IF(AND(B1109&lt;&gt;"",B1109=SW別シート!$C$3),COUNTIF(B$5:B1109,B1109),"")</f>
        <v/>
      </c>
      <c r="V1109" s="47" t="n">
        <f aca="false">V1108+IF(OR(O1109&lt;&gt;"",W1109&lt;&gt;""),1,0)</f>
        <v>3</v>
      </c>
      <c r="W1109" s="29"/>
    </row>
    <row r="1110" customFormat="false" ht="15" hidden="false" customHeight="false" outlineLevel="0" collapsed="false">
      <c r="A1110" s="32" t="str">
        <f aca="false">IF(B1110="","",ROW()-7)</f>
        <v/>
      </c>
      <c r="B1110" s="30"/>
      <c r="C1110" s="29"/>
      <c r="D1110" s="29"/>
      <c r="E1110" s="29"/>
      <c r="F1110" s="30"/>
      <c r="G1110" s="29"/>
      <c r="H1110" s="30"/>
      <c r="I1110" s="29"/>
      <c r="J1110" s="30"/>
      <c r="K1110" s="30"/>
      <c r="L1110" s="29"/>
      <c r="M1110" s="32" t="str">
        <f aca="false">IF(OR(C1110="",L1110=""),"",IF(C1110=L1110,"同一","変更"))</f>
        <v/>
      </c>
      <c r="N1110" s="29"/>
      <c r="O1110" s="30"/>
      <c r="P1110" s="29"/>
      <c r="Q1110" s="31"/>
      <c r="R1110" s="29"/>
      <c r="S1110" s="29"/>
      <c r="T1110" s="30"/>
      <c r="U1110" s="47" t="str">
        <f aca="false">IF(AND(B1110&lt;&gt;"",B1110=SW別シート!$C$3),COUNTIF(B$5:B1110,B1110),"")</f>
        <v/>
      </c>
      <c r="V1110" s="47" t="n">
        <f aca="false">V1109+IF(OR(O1110&lt;&gt;"",W1110&lt;&gt;""),1,0)</f>
        <v>3</v>
      </c>
      <c r="W1110" s="29"/>
    </row>
    <row r="1111" customFormat="false" ht="15" hidden="false" customHeight="false" outlineLevel="0" collapsed="false">
      <c r="A1111" s="32" t="str">
        <f aca="false">IF(B1111="","",ROW()-7)</f>
        <v/>
      </c>
      <c r="B1111" s="30"/>
      <c r="C1111" s="29"/>
      <c r="D1111" s="29"/>
      <c r="E1111" s="29"/>
      <c r="F1111" s="30"/>
      <c r="G1111" s="29"/>
      <c r="H1111" s="30"/>
      <c r="I1111" s="29"/>
      <c r="J1111" s="30"/>
      <c r="K1111" s="30"/>
      <c r="L1111" s="29"/>
      <c r="M1111" s="32" t="str">
        <f aca="false">IF(OR(C1111="",L1111=""),"",IF(C1111=L1111,"同一","変更"))</f>
        <v/>
      </c>
      <c r="N1111" s="29"/>
      <c r="O1111" s="30"/>
      <c r="P1111" s="29"/>
      <c r="Q1111" s="31"/>
      <c r="R1111" s="29"/>
      <c r="S1111" s="29"/>
      <c r="T1111" s="30"/>
      <c r="U1111" s="47" t="str">
        <f aca="false">IF(AND(B1111&lt;&gt;"",B1111=SW別シート!$C$3),COUNTIF(B$5:B1111,B1111),"")</f>
        <v/>
      </c>
      <c r="V1111" s="47" t="n">
        <f aca="false">V1110+IF(OR(O1111&lt;&gt;"",W1111&lt;&gt;""),1,0)</f>
        <v>3</v>
      </c>
      <c r="W1111" s="29"/>
    </row>
    <row r="1112" customFormat="false" ht="15" hidden="false" customHeight="false" outlineLevel="0" collapsed="false">
      <c r="A1112" s="32" t="str">
        <f aca="false">IF(B1112="","",ROW()-7)</f>
        <v/>
      </c>
      <c r="B1112" s="30"/>
      <c r="C1112" s="29"/>
      <c r="D1112" s="29"/>
      <c r="E1112" s="29"/>
      <c r="F1112" s="30"/>
      <c r="G1112" s="29"/>
      <c r="H1112" s="30"/>
      <c r="I1112" s="29"/>
      <c r="J1112" s="30"/>
      <c r="K1112" s="30"/>
      <c r="L1112" s="29"/>
      <c r="M1112" s="32" t="str">
        <f aca="false">IF(OR(C1112="",L1112=""),"",IF(C1112=L1112,"同一","変更"))</f>
        <v/>
      </c>
      <c r="N1112" s="29"/>
      <c r="O1112" s="30"/>
      <c r="P1112" s="29"/>
      <c r="Q1112" s="31"/>
      <c r="R1112" s="29"/>
      <c r="S1112" s="29"/>
      <c r="T1112" s="30"/>
      <c r="U1112" s="47" t="str">
        <f aca="false">IF(AND(B1112&lt;&gt;"",B1112=SW別シート!$C$3),COUNTIF(B$5:B1112,B1112),"")</f>
        <v/>
      </c>
      <c r="V1112" s="47" t="n">
        <f aca="false">V1111+IF(OR(O1112&lt;&gt;"",W1112&lt;&gt;""),1,0)</f>
        <v>3</v>
      </c>
      <c r="W1112" s="29"/>
    </row>
    <row r="1113" customFormat="false" ht="15" hidden="false" customHeight="false" outlineLevel="0" collapsed="false">
      <c r="A1113" s="32" t="str">
        <f aca="false">IF(B1113="","",ROW()-7)</f>
        <v/>
      </c>
      <c r="B1113" s="30"/>
      <c r="C1113" s="29"/>
      <c r="D1113" s="29"/>
      <c r="E1113" s="29"/>
      <c r="F1113" s="30"/>
      <c r="G1113" s="29"/>
      <c r="H1113" s="30"/>
      <c r="I1113" s="29"/>
      <c r="J1113" s="30"/>
      <c r="K1113" s="30"/>
      <c r="L1113" s="29"/>
      <c r="M1113" s="32" t="str">
        <f aca="false">IF(OR(C1113="",L1113=""),"",IF(C1113=L1113,"同一","変更"))</f>
        <v/>
      </c>
      <c r="N1113" s="29"/>
      <c r="O1113" s="30"/>
      <c r="P1113" s="29"/>
      <c r="Q1113" s="31"/>
      <c r="R1113" s="29"/>
      <c r="S1113" s="29"/>
      <c r="T1113" s="30"/>
      <c r="U1113" s="47" t="str">
        <f aca="false">IF(AND(B1113&lt;&gt;"",B1113=SW別シート!$C$3),COUNTIF(B$5:B1113,B1113),"")</f>
        <v/>
      </c>
      <c r="V1113" s="47" t="n">
        <f aca="false">V1112+IF(OR(O1113&lt;&gt;"",W1113&lt;&gt;""),1,0)</f>
        <v>3</v>
      </c>
      <c r="W1113" s="29"/>
    </row>
    <row r="1114" customFormat="false" ht="15" hidden="false" customHeight="false" outlineLevel="0" collapsed="false">
      <c r="A1114" s="32" t="str">
        <f aca="false">IF(B1114="","",ROW()-7)</f>
        <v/>
      </c>
      <c r="B1114" s="30"/>
      <c r="C1114" s="29"/>
      <c r="D1114" s="29"/>
      <c r="E1114" s="29"/>
      <c r="F1114" s="30"/>
      <c r="G1114" s="29"/>
      <c r="H1114" s="30"/>
      <c r="I1114" s="29"/>
      <c r="J1114" s="30"/>
      <c r="K1114" s="30"/>
      <c r="L1114" s="29"/>
      <c r="M1114" s="32" t="str">
        <f aca="false">IF(OR(C1114="",L1114=""),"",IF(C1114=L1114,"同一","変更"))</f>
        <v/>
      </c>
      <c r="N1114" s="29"/>
      <c r="O1114" s="30"/>
      <c r="P1114" s="29"/>
      <c r="Q1114" s="31"/>
      <c r="R1114" s="29"/>
      <c r="S1114" s="29"/>
      <c r="T1114" s="30"/>
      <c r="U1114" s="47" t="str">
        <f aca="false">IF(AND(B1114&lt;&gt;"",B1114=SW別シート!$C$3),COUNTIF(B$5:B1114,B1114),"")</f>
        <v/>
      </c>
      <c r="V1114" s="47" t="n">
        <f aca="false">V1113+IF(OR(O1114&lt;&gt;"",W1114&lt;&gt;""),1,0)</f>
        <v>3</v>
      </c>
      <c r="W1114" s="29"/>
    </row>
    <row r="1115" customFormat="false" ht="15" hidden="false" customHeight="false" outlineLevel="0" collapsed="false">
      <c r="A1115" s="32" t="str">
        <f aca="false">IF(B1115="","",ROW()-7)</f>
        <v/>
      </c>
      <c r="B1115" s="30"/>
      <c r="C1115" s="29"/>
      <c r="D1115" s="29"/>
      <c r="E1115" s="29"/>
      <c r="F1115" s="30"/>
      <c r="G1115" s="29"/>
      <c r="H1115" s="30"/>
      <c r="I1115" s="29"/>
      <c r="J1115" s="30"/>
      <c r="K1115" s="30"/>
      <c r="L1115" s="29"/>
      <c r="M1115" s="32" t="str">
        <f aca="false">IF(OR(C1115="",L1115=""),"",IF(C1115=L1115,"同一","変更"))</f>
        <v/>
      </c>
      <c r="N1115" s="29"/>
      <c r="O1115" s="30"/>
      <c r="P1115" s="29"/>
      <c r="Q1115" s="31"/>
      <c r="R1115" s="29"/>
      <c r="S1115" s="29"/>
      <c r="T1115" s="30"/>
      <c r="U1115" s="47" t="str">
        <f aca="false">IF(AND(B1115&lt;&gt;"",B1115=SW別シート!$C$3),COUNTIF(B$5:B1115,B1115),"")</f>
        <v/>
      </c>
      <c r="V1115" s="47" t="n">
        <f aca="false">V1114+IF(OR(O1115&lt;&gt;"",W1115&lt;&gt;""),1,0)</f>
        <v>3</v>
      </c>
      <c r="W1115" s="29"/>
    </row>
    <row r="1116" customFormat="false" ht="15" hidden="false" customHeight="false" outlineLevel="0" collapsed="false">
      <c r="A1116" s="32" t="str">
        <f aca="false">IF(B1116="","",ROW()-7)</f>
        <v/>
      </c>
      <c r="B1116" s="30"/>
      <c r="C1116" s="29"/>
      <c r="D1116" s="29"/>
      <c r="E1116" s="29"/>
      <c r="F1116" s="30"/>
      <c r="G1116" s="29"/>
      <c r="H1116" s="30"/>
      <c r="I1116" s="29"/>
      <c r="J1116" s="30"/>
      <c r="K1116" s="30"/>
      <c r="L1116" s="29"/>
      <c r="M1116" s="32" t="str">
        <f aca="false">IF(OR(C1116="",L1116=""),"",IF(C1116=L1116,"同一","変更"))</f>
        <v/>
      </c>
      <c r="N1116" s="29"/>
      <c r="O1116" s="30"/>
      <c r="P1116" s="29"/>
      <c r="Q1116" s="31"/>
      <c r="R1116" s="29"/>
      <c r="S1116" s="29"/>
      <c r="T1116" s="30"/>
      <c r="U1116" s="47" t="str">
        <f aca="false">IF(AND(B1116&lt;&gt;"",B1116=SW別シート!$C$3),COUNTIF(B$5:B1116,B1116),"")</f>
        <v/>
      </c>
      <c r="V1116" s="47" t="n">
        <f aca="false">V1115+IF(OR(O1116&lt;&gt;"",W1116&lt;&gt;""),1,0)</f>
        <v>3</v>
      </c>
      <c r="W1116" s="29"/>
    </row>
    <row r="1117" customFormat="false" ht="15" hidden="false" customHeight="false" outlineLevel="0" collapsed="false">
      <c r="A1117" s="32" t="str">
        <f aca="false">IF(B1117="","",ROW()-7)</f>
        <v/>
      </c>
      <c r="B1117" s="30"/>
      <c r="C1117" s="29"/>
      <c r="D1117" s="29"/>
      <c r="E1117" s="29"/>
      <c r="F1117" s="30"/>
      <c r="G1117" s="29"/>
      <c r="H1117" s="30"/>
      <c r="I1117" s="29"/>
      <c r="J1117" s="30"/>
      <c r="K1117" s="30"/>
      <c r="L1117" s="29"/>
      <c r="M1117" s="32" t="str">
        <f aca="false">IF(OR(C1117="",L1117=""),"",IF(C1117=L1117,"同一","変更"))</f>
        <v/>
      </c>
      <c r="N1117" s="29"/>
      <c r="O1117" s="30"/>
      <c r="P1117" s="29"/>
      <c r="Q1117" s="31"/>
      <c r="R1117" s="29"/>
      <c r="S1117" s="29"/>
      <c r="T1117" s="30"/>
      <c r="U1117" s="47" t="str">
        <f aca="false">IF(AND(B1117&lt;&gt;"",B1117=SW別シート!$C$3),COUNTIF(B$5:B1117,B1117),"")</f>
        <v/>
      </c>
      <c r="V1117" s="47" t="n">
        <f aca="false">V1116+IF(OR(O1117&lt;&gt;"",W1117&lt;&gt;""),1,0)</f>
        <v>3</v>
      </c>
      <c r="W1117" s="29"/>
    </row>
    <row r="1118" customFormat="false" ht="15" hidden="false" customHeight="false" outlineLevel="0" collapsed="false">
      <c r="A1118" s="32" t="str">
        <f aca="false">IF(B1118="","",ROW()-7)</f>
        <v/>
      </c>
      <c r="B1118" s="30"/>
      <c r="C1118" s="29"/>
      <c r="D1118" s="29"/>
      <c r="E1118" s="29"/>
      <c r="F1118" s="30"/>
      <c r="G1118" s="29"/>
      <c r="H1118" s="30"/>
      <c r="I1118" s="29"/>
      <c r="J1118" s="30"/>
      <c r="K1118" s="30"/>
      <c r="L1118" s="29"/>
      <c r="M1118" s="32" t="str">
        <f aca="false">IF(OR(C1118="",L1118=""),"",IF(C1118=L1118,"同一","変更"))</f>
        <v/>
      </c>
      <c r="N1118" s="29"/>
      <c r="O1118" s="30"/>
      <c r="P1118" s="29"/>
      <c r="Q1118" s="31"/>
      <c r="R1118" s="29"/>
      <c r="S1118" s="29"/>
      <c r="T1118" s="30"/>
      <c r="U1118" s="47" t="str">
        <f aca="false">IF(AND(B1118&lt;&gt;"",B1118=SW別シート!$C$3),COUNTIF(B$5:B1118,B1118),"")</f>
        <v/>
      </c>
      <c r="V1118" s="47" t="n">
        <f aca="false">V1117+IF(OR(O1118&lt;&gt;"",W1118&lt;&gt;""),1,0)</f>
        <v>3</v>
      </c>
      <c r="W1118" s="29"/>
    </row>
    <row r="1119" customFormat="false" ht="15" hidden="false" customHeight="false" outlineLevel="0" collapsed="false">
      <c r="A1119" s="32" t="str">
        <f aca="false">IF(B1119="","",ROW()-7)</f>
        <v/>
      </c>
      <c r="B1119" s="30"/>
      <c r="C1119" s="29"/>
      <c r="D1119" s="29"/>
      <c r="E1119" s="29"/>
      <c r="F1119" s="30"/>
      <c r="G1119" s="29"/>
      <c r="H1119" s="30"/>
      <c r="I1119" s="29"/>
      <c r="J1119" s="30"/>
      <c r="K1119" s="30"/>
      <c r="L1119" s="29"/>
      <c r="M1119" s="32" t="str">
        <f aca="false">IF(OR(C1119="",L1119=""),"",IF(C1119=L1119,"同一","変更"))</f>
        <v/>
      </c>
      <c r="N1119" s="29"/>
      <c r="O1119" s="30"/>
      <c r="P1119" s="29"/>
      <c r="Q1119" s="31"/>
      <c r="R1119" s="29"/>
      <c r="S1119" s="29"/>
      <c r="T1119" s="30"/>
      <c r="U1119" s="47" t="str">
        <f aca="false">IF(AND(B1119&lt;&gt;"",B1119=SW別シート!$C$3),COUNTIF(B$5:B1119,B1119),"")</f>
        <v/>
      </c>
      <c r="V1119" s="47" t="n">
        <f aca="false">V1118+IF(OR(O1119&lt;&gt;"",W1119&lt;&gt;""),1,0)</f>
        <v>3</v>
      </c>
      <c r="W1119" s="29"/>
    </row>
    <row r="1120" customFormat="false" ht="15" hidden="false" customHeight="false" outlineLevel="0" collapsed="false">
      <c r="A1120" s="32" t="str">
        <f aca="false">IF(B1120="","",ROW()-7)</f>
        <v/>
      </c>
      <c r="B1120" s="30"/>
      <c r="C1120" s="29"/>
      <c r="D1120" s="29"/>
      <c r="E1120" s="29"/>
      <c r="F1120" s="30"/>
      <c r="G1120" s="29"/>
      <c r="H1120" s="30"/>
      <c r="I1120" s="29"/>
      <c r="J1120" s="30"/>
      <c r="K1120" s="30"/>
      <c r="L1120" s="29"/>
      <c r="M1120" s="32" t="str">
        <f aca="false">IF(OR(C1120="",L1120=""),"",IF(C1120=L1120,"同一","変更"))</f>
        <v/>
      </c>
      <c r="N1120" s="29"/>
      <c r="O1120" s="30"/>
      <c r="P1120" s="29"/>
      <c r="Q1120" s="31"/>
      <c r="R1120" s="29"/>
      <c r="S1120" s="29"/>
      <c r="T1120" s="30"/>
      <c r="U1120" s="47" t="str">
        <f aca="false">IF(AND(B1120&lt;&gt;"",B1120=SW別シート!$C$3),COUNTIF(B$5:B1120,B1120),"")</f>
        <v/>
      </c>
      <c r="V1120" s="47" t="n">
        <f aca="false">V1119+IF(OR(O1120&lt;&gt;"",W1120&lt;&gt;""),1,0)</f>
        <v>3</v>
      </c>
      <c r="W1120" s="29"/>
    </row>
    <row r="1121" customFormat="false" ht="15" hidden="false" customHeight="false" outlineLevel="0" collapsed="false">
      <c r="A1121" s="32" t="str">
        <f aca="false">IF(B1121="","",ROW()-7)</f>
        <v/>
      </c>
      <c r="B1121" s="30"/>
      <c r="C1121" s="29"/>
      <c r="D1121" s="29"/>
      <c r="E1121" s="29"/>
      <c r="F1121" s="30"/>
      <c r="G1121" s="29"/>
      <c r="H1121" s="30"/>
      <c r="I1121" s="29"/>
      <c r="J1121" s="30"/>
      <c r="K1121" s="30"/>
      <c r="L1121" s="29"/>
      <c r="M1121" s="32" t="str">
        <f aca="false">IF(OR(C1121="",L1121=""),"",IF(C1121=L1121,"同一","変更"))</f>
        <v/>
      </c>
      <c r="N1121" s="29"/>
      <c r="O1121" s="30"/>
      <c r="P1121" s="29"/>
      <c r="Q1121" s="31"/>
      <c r="R1121" s="29"/>
      <c r="S1121" s="29"/>
      <c r="T1121" s="30"/>
      <c r="U1121" s="47" t="str">
        <f aca="false">IF(AND(B1121&lt;&gt;"",B1121=SW別シート!$C$3),COUNTIF(B$5:B1121,B1121),"")</f>
        <v/>
      </c>
      <c r="V1121" s="47" t="n">
        <f aca="false">V1120+IF(OR(O1121&lt;&gt;"",W1121&lt;&gt;""),1,0)</f>
        <v>3</v>
      </c>
      <c r="W1121" s="29"/>
    </row>
    <row r="1122" customFormat="false" ht="15" hidden="false" customHeight="false" outlineLevel="0" collapsed="false">
      <c r="A1122" s="32" t="str">
        <f aca="false">IF(B1122="","",ROW()-7)</f>
        <v/>
      </c>
      <c r="B1122" s="30"/>
      <c r="C1122" s="29"/>
      <c r="D1122" s="29"/>
      <c r="E1122" s="29"/>
      <c r="F1122" s="30"/>
      <c r="G1122" s="29"/>
      <c r="H1122" s="30"/>
      <c r="I1122" s="29"/>
      <c r="J1122" s="30"/>
      <c r="K1122" s="30"/>
      <c r="L1122" s="29"/>
      <c r="M1122" s="32" t="str">
        <f aca="false">IF(OR(C1122="",L1122=""),"",IF(C1122=L1122,"同一","変更"))</f>
        <v/>
      </c>
      <c r="N1122" s="29"/>
      <c r="O1122" s="30"/>
      <c r="P1122" s="29"/>
      <c r="Q1122" s="31"/>
      <c r="R1122" s="29"/>
      <c r="S1122" s="29"/>
      <c r="T1122" s="30"/>
      <c r="U1122" s="47" t="str">
        <f aca="false">IF(AND(B1122&lt;&gt;"",B1122=SW別シート!$C$3),COUNTIF(B$5:B1122,B1122),"")</f>
        <v/>
      </c>
      <c r="V1122" s="47" t="n">
        <f aca="false">V1121+IF(OR(O1122&lt;&gt;"",W1122&lt;&gt;""),1,0)</f>
        <v>3</v>
      </c>
      <c r="W1122" s="29"/>
    </row>
    <row r="1123" customFormat="false" ht="15" hidden="false" customHeight="false" outlineLevel="0" collapsed="false">
      <c r="A1123" s="32" t="str">
        <f aca="false">IF(B1123="","",ROW()-7)</f>
        <v/>
      </c>
      <c r="B1123" s="30"/>
      <c r="C1123" s="29"/>
      <c r="D1123" s="29"/>
      <c r="E1123" s="29"/>
      <c r="F1123" s="30"/>
      <c r="G1123" s="29"/>
      <c r="H1123" s="30"/>
      <c r="I1123" s="29"/>
      <c r="J1123" s="30"/>
      <c r="K1123" s="30"/>
      <c r="L1123" s="29"/>
      <c r="M1123" s="32" t="str">
        <f aca="false">IF(OR(C1123="",L1123=""),"",IF(C1123=L1123,"同一","変更"))</f>
        <v/>
      </c>
      <c r="N1123" s="29"/>
      <c r="O1123" s="30"/>
      <c r="P1123" s="29"/>
      <c r="Q1123" s="31"/>
      <c r="R1123" s="29"/>
      <c r="S1123" s="29"/>
      <c r="T1123" s="30"/>
      <c r="U1123" s="47" t="str">
        <f aca="false">IF(AND(B1123&lt;&gt;"",B1123=SW別シート!$C$3),COUNTIF(B$5:B1123,B1123),"")</f>
        <v/>
      </c>
      <c r="V1123" s="47" t="n">
        <f aca="false">V1122+IF(OR(O1123&lt;&gt;"",W1123&lt;&gt;""),1,0)</f>
        <v>3</v>
      </c>
      <c r="W1123" s="29"/>
    </row>
    <row r="1124" customFormat="false" ht="15" hidden="false" customHeight="false" outlineLevel="0" collapsed="false">
      <c r="A1124" s="32" t="str">
        <f aca="false">IF(B1124="","",ROW()-7)</f>
        <v/>
      </c>
      <c r="B1124" s="30"/>
      <c r="C1124" s="29"/>
      <c r="D1124" s="29"/>
      <c r="E1124" s="29"/>
      <c r="F1124" s="30"/>
      <c r="G1124" s="29"/>
      <c r="H1124" s="30"/>
      <c r="I1124" s="29"/>
      <c r="J1124" s="30"/>
      <c r="K1124" s="30"/>
      <c r="L1124" s="29"/>
      <c r="M1124" s="32" t="str">
        <f aca="false">IF(OR(C1124="",L1124=""),"",IF(C1124=L1124,"同一","変更"))</f>
        <v/>
      </c>
      <c r="N1124" s="29"/>
      <c r="O1124" s="30"/>
      <c r="P1124" s="29"/>
      <c r="Q1124" s="31"/>
      <c r="R1124" s="29"/>
      <c r="S1124" s="29"/>
      <c r="T1124" s="30"/>
      <c r="U1124" s="47" t="str">
        <f aca="false">IF(AND(B1124&lt;&gt;"",B1124=SW別シート!$C$3),COUNTIF(B$5:B1124,B1124),"")</f>
        <v/>
      </c>
      <c r="V1124" s="47" t="n">
        <f aca="false">V1123+IF(OR(O1124&lt;&gt;"",W1124&lt;&gt;""),1,0)</f>
        <v>3</v>
      </c>
      <c r="W1124" s="29"/>
    </row>
    <row r="1125" customFormat="false" ht="15" hidden="false" customHeight="false" outlineLevel="0" collapsed="false">
      <c r="A1125" s="32" t="str">
        <f aca="false">IF(B1125="","",ROW()-7)</f>
        <v/>
      </c>
      <c r="B1125" s="30"/>
      <c r="C1125" s="29"/>
      <c r="D1125" s="29"/>
      <c r="E1125" s="29"/>
      <c r="F1125" s="30"/>
      <c r="G1125" s="29"/>
      <c r="H1125" s="30"/>
      <c r="I1125" s="29"/>
      <c r="J1125" s="30"/>
      <c r="K1125" s="30"/>
      <c r="L1125" s="29"/>
      <c r="M1125" s="32" t="str">
        <f aca="false">IF(OR(C1125="",L1125=""),"",IF(C1125=L1125,"同一","変更"))</f>
        <v/>
      </c>
      <c r="N1125" s="29"/>
      <c r="O1125" s="30"/>
      <c r="P1125" s="29"/>
      <c r="Q1125" s="31"/>
      <c r="R1125" s="29"/>
      <c r="S1125" s="29"/>
      <c r="T1125" s="30"/>
      <c r="U1125" s="47" t="str">
        <f aca="false">IF(AND(B1125&lt;&gt;"",B1125=SW別シート!$C$3),COUNTIF(B$5:B1125,B1125),"")</f>
        <v/>
      </c>
      <c r="V1125" s="47" t="n">
        <f aca="false">V1124+IF(OR(O1125&lt;&gt;"",W1125&lt;&gt;""),1,0)</f>
        <v>3</v>
      </c>
      <c r="W1125" s="29"/>
    </row>
    <row r="1126" customFormat="false" ht="15" hidden="false" customHeight="false" outlineLevel="0" collapsed="false">
      <c r="A1126" s="32" t="str">
        <f aca="false">IF(B1126="","",ROW()-7)</f>
        <v/>
      </c>
      <c r="B1126" s="30"/>
      <c r="C1126" s="29"/>
      <c r="D1126" s="29"/>
      <c r="E1126" s="29"/>
      <c r="F1126" s="30"/>
      <c r="G1126" s="29"/>
      <c r="H1126" s="30"/>
      <c r="I1126" s="29"/>
      <c r="J1126" s="30"/>
      <c r="K1126" s="30"/>
      <c r="L1126" s="29"/>
      <c r="M1126" s="32" t="str">
        <f aca="false">IF(OR(C1126="",L1126=""),"",IF(C1126=L1126,"同一","変更"))</f>
        <v/>
      </c>
      <c r="N1126" s="29"/>
      <c r="O1126" s="30"/>
      <c r="P1126" s="29"/>
      <c r="Q1126" s="31"/>
      <c r="R1126" s="29"/>
      <c r="S1126" s="29"/>
      <c r="T1126" s="30"/>
      <c r="U1126" s="47" t="str">
        <f aca="false">IF(AND(B1126&lt;&gt;"",B1126=SW別シート!$C$3),COUNTIF(B$5:B1126,B1126),"")</f>
        <v/>
      </c>
      <c r="V1126" s="47" t="n">
        <f aca="false">V1125+IF(OR(O1126&lt;&gt;"",W1126&lt;&gt;""),1,0)</f>
        <v>3</v>
      </c>
      <c r="W1126" s="29"/>
    </row>
    <row r="1127" customFormat="false" ht="15" hidden="false" customHeight="false" outlineLevel="0" collapsed="false">
      <c r="A1127" s="32" t="str">
        <f aca="false">IF(B1127="","",ROW()-7)</f>
        <v/>
      </c>
      <c r="B1127" s="30"/>
      <c r="C1127" s="29"/>
      <c r="D1127" s="29"/>
      <c r="E1127" s="29"/>
      <c r="F1127" s="30"/>
      <c r="G1127" s="29"/>
      <c r="H1127" s="30"/>
      <c r="I1127" s="29"/>
      <c r="J1127" s="30"/>
      <c r="K1127" s="30"/>
      <c r="L1127" s="29"/>
      <c r="M1127" s="32" t="str">
        <f aca="false">IF(OR(C1127="",L1127=""),"",IF(C1127=L1127,"同一","変更"))</f>
        <v/>
      </c>
      <c r="N1127" s="29"/>
      <c r="O1127" s="30"/>
      <c r="P1127" s="29"/>
      <c r="Q1127" s="31"/>
      <c r="R1127" s="29"/>
      <c r="S1127" s="29"/>
      <c r="T1127" s="30"/>
      <c r="U1127" s="47" t="str">
        <f aca="false">IF(AND(B1127&lt;&gt;"",B1127=SW別シート!$C$3),COUNTIF(B$5:B1127,B1127),"")</f>
        <v/>
      </c>
      <c r="V1127" s="47" t="n">
        <f aca="false">V1126+IF(OR(O1127&lt;&gt;"",W1127&lt;&gt;""),1,0)</f>
        <v>3</v>
      </c>
      <c r="W1127" s="29"/>
    </row>
    <row r="1128" customFormat="false" ht="15" hidden="false" customHeight="false" outlineLevel="0" collapsed="false">
      <c r="A1128" s="32" t="str">
        <f aca="false">IF(B1128="","",ROW()-7)</f>
        <v/>
      </c>
      <c r="B1128" s="30"/>
      <c r="C1128" s="29"/>
      <c r="D1128" s="29"/>
      <c r="E1128" s="29"/>
      <c r="F1128" s="30"/>
      <c r="G1128" s="29"/>
      <c r="H1128" s="30"/>
      <c r="I1128" s="29"/>
      <c r="J1128" s="30"/>
      <c r="K1128" s="30"/>
      <c r="L1128" s="29"/>
      <c r="M1128" s="32" t="str">
        <f aca="false">IF(OR(C1128="",L1128=""),"",IF(C1128=L1128,"同一","変更"))</f>
        <v/>
      </c>
      <c r="N1128" s="29"/>
      <c r="O1128" s="30"/>
      <c r="P1128" s="29"/>
      <c r="Q1128" s="31"/>
      <c r="R1128" s="29"/>
      <c r="S1128" s="29"/>
      <c r="T1128" s="30"/>
      <c r="U1128" s="47" t="str">
        <f aca="false">IF(AND(B1128&lt;&gt;"",B1128=SW別シート!$C$3),COUNTIF(B$5:B1128,B1128),"")</f>
        <v/>
      </c>
      <c r="V1128" s="47" t="n">
        <f aca="false">V1127+IF(OR(O1128&lt;&gt;"",W1128&lt;&gt;""),1,0)</f>
        <v>3</v>
      </c>
      <c r="W1128" s="29"/>
    </row>
    <row r="1129" customFormat="false" ht="15" hidden="false" customHeight="false" outlineLevel="0" collapsed="false">
      <c r="A1129" s="32" t="str">
        <f aca="false">IF(B1129="","",ROW()-7)</f>
        <v/>
      </c>
      <c r="B1129" s="30"/>
      <c r="C1129" s="29"/>
      <c r="D1129" s="29"/>
      <c r="E1129" s="29"/>
      <c r="F1129" s="30"/>
      <c r="G1129" s="29"/>
      <c r="H1129" s="30"/>
      <c r="I1129" s="29"/>
      <c r="J1129" s="30"/>
      <c r="K1129" s="30"/>
      <c r="L1129" s="29"/>
      <c r="M1129" s="32" t="str">
        <f aca="false">IF(OR(C1129="",L1129=""),"",IF(C1129=L1129,"同一","変更"))</f>
        <v/>
      </c>
      <c r="N1129" s="29"/>
      <c r="O1129" s="30"/>
      <c r="P1129" s="29"/>
      <c r="Q1129" s="31"/>
      <c r="R1129" s="29"/>
      <c r="S1129" s="29"/>
      <c r="T1129" s="30"/>
      <c r="U1129" s="47" t="str">
        <f aca="false">IF(AND(B1129&lt;&gt;"",B1129=SW別シート!$C$3),COUNTIF(B$5:B1129,B1129),"")</f>
        <v/>
      </c>
      <c r="V1129" s="47" t="n">
        <f aca="false">V1128+IF(OR(O1129&lt;&gt;"",W1129&lt;&gt;""),1,0)</f>
        <v>3</v>
      </c>
      <c r="W1129" s="29"/>
    </row>
    <row r="1130" customFormat="false" ht="15" hidden="false" customHeight="false" outlineLevel="0" collapsed="false">
      <c r="A1130" s="32" t="str">
        <f aca="false">IF(B1130="","",ROW()-7)</f>
        <v/>
      </c>
      <c r="B1130" s="30"/>
      <c r="C1130" s="29"/>
      <c r="D1130" s="29"/>
      <c r="E1130" s="29"/>
      <c r="F1130" s="30"/>
      <c r="G1130" s="29"/>
      <c r="H1130" s="30"/>
      <c r="I1130" s="29"/>
      <c r="J1130" s="30"/>
      <c r="K1130" s="30"/>
      <c r="L1130" s="29"/>
      <c r="M1130" s="32" t="str">
        <f aca="false">IF(OR(C1130="",L1130=""),"",IF(C1130=L1130,"同一","変更"))</f>
        <v/>
      </c>
      <c r="N1130" s="29"/>
      <c r="O1130" s="30"/>
      <c r="P1130" s="29"/>
      <c r="Q1130" s="31"/>
      <c r="R1130" s="29"/>
      <c r="S1130" s="29"/>
      <c r="T1130" s="30"/>
      <c r="U1130" s="47" t="str">
        <f aca="false">IF(AND(B1130&lt;&gt;"",B1130=SW別シート!$C$3),COUNTIF(B$5:B1130,B1130),"")</f>
        <v/>
      </c>
      <c r="V1130" s="47" t="n">
        <f aca="false">V1129+IF(OR(O1130&lt;&gt;"",W1130&lt;&gt;""),1,0)</f>
        <v>3</v>
      </c>
      <c r="W1130" s="29"/>
    </row>
    <row r="1131" customFormat="false" ht="15" hidden="false" customHeight="false" outlineLevel="0" collapsed="false">
      <c r="A1131" s="32" t="str">
        <f aca="false">IF(B1131="","",ROW()-7)</f>
        <v/>
      </c>
      <c r="B1131" s="30"/>
      <c r="C1131" s="29"/>
      <c r="D1131" s="29"/>
      <c r="E1131" s="29"/>
      <c r="F1131" s="30"/>
      <c r="G1131" s="29"/>
      <c r="H1131" s="30"/>
      <c r="I1131" s="29"/>
      <c r="J1131" s="30"/>
      <c r="K1131" s="30"/>
      <c r="L1131" s="29"/>
      <c r="M1131" s="32" t="str">
        <f aca="false">IF(OR(C1131="",L1131=""),"",IF(C1131=L1131,"同一","変更"))</f>
        <v/>
      </c>
      <c r="N1131" s="29"/>
      <c r="O1131" s="30"/>
      <c r="P1131" s="29"/>
      <c r="Q1131" s="31"/>
      <c r="R1131" s="29"/>
      <c r="S1131" s="29"/>
      <c r="T1131" s="30"/>
      <c r="U1131" s="47" t="str">
        <f aca="false">IF(AND(B1131&lt;&gt;"",B1131=SW別シート!$C$3),COUNTIF(B$5:B1131,B1131),"")</f>
        <v/>
      </c>
      <c r="V1131" s="47" t="n">
        <f aca="false">V1130+IF(OR(O1131&lt;&gt;"",W1131&lt;&gt;""),1,0)</f>
        <v>3</v>
      </c>
      <c r="W1131" s="29"/>
    </row>
    <row r="1132" customFormat="false" ht="15" hidden="false" customHeight="false" outlineLevel="0" collapsed="false">
      <c r="A1132" s="32" t="str">
        <f aca="false">IF(B1132="","",ROW()-7)</f>
        <v/>
      </c>
      <c r="B1132" s="30"/>
      <c r="C1132" s="29"/>
      <c r="D1132" s="29"/>
      <c r="E1132" s="29"/>
      <c r="F1132" s="30"/>
      <c r="G1132" s="29"/>
      <c r="H1132" s="30"/>
      <c r="I1132" s="29"/>
      <c r="J1132" s="30"/>
      <c r="K1132" s="30"/>
      <c r="L1132" s="29"/>
      <c r="M1132" s="32" t="str">
        <f aca="false">IF(OR(C1132="",L1132=""),"",IF(C1132=L1132,"同一","変更"))</f>
        <v/>
      </c>
      <c r="N1132" s="29"/>
      <c r="O1132" s="30"/>
      <c r="P1132" s="29"/>
      <c r="Q1132" s="31"/>
      <c r="R1132" s="29"/>
      <c r="S1132" s="29"/>
      <c r="T1132" s="30"/>
      <c r="U1132" s="47" t="str">
        <f aca="false">IF(AND(B1132&lt;&gt;"",B1132=SW別シート!$C$3),COUNTIF(B$5:B1132,B1132),"")</f>
        <v/>
      </c>
      <c r="V1132" s="47" t="n">
        <f aca="false">V1131+IF(OR(O1132&lt;&gt;"",W1132&lt;&gt;""),1,0)</f>
        <v>3</v>
      </c>
      <c r="W1132" s="29"/>
    </row>
    <row r="1133" customFormat="false" ht="15" hidden="false" customHeight="false" outlineLevel="0" collapsed="false">
      <c r="A1133" s="32" t="str">
        <f aca="false">IF(B1133="","",ROW()-7)</f>
        <v/>
      </c>
      <c r="B1133" s="30"/>
      <c r="C1133" s="29"/>
      <c r="D1133" s="29"/>
      <c r="E1133" s="29"/>
      <c r="F1133" s="30"/>
      <c r="G1133" s="29"/>
      <c r="H1133" s="30"/>
      <c r="I1133" s="29"/>
      <c r="J1133" s="30"/>
      <c r="K1133" s="30"/>
      <c r="L1133" s="29"/>
      <c r="M1133" s="32" t="str">
        <f aca="false">IF(OR(C1133="",L1133=""),"",IF(C1133=L1133,"同一","変更"))</f>
        <v/>
      </c>
      <c r="N1133" s="29"/>
      <c r="O1133" s="30"/>
      <c r="P1133" s="29"/>
      <c r="Q1133" s="31"/>
      <c r="R1133" s="29"/>
      <c r="S1133" s="29"/>
      <c r="T1133" s="30"/>
      <c r="U1133" s="47" t="str">
        <f aca="false">IF(AND(B1133&lt;&gt;"",B1133=SW別シート!$C$3),COUNTIF(B$5:B1133,B1133),"")</f>
        <v/>
      </c>
      <c r="V1133" s="47" t="n">
        <f aca="false">V1132+IF(OR(O1133&lt;&gt;"",W1133&lt;&gt;""),1,0)</f>
        <v>3</v>
      </c>
      <c r="W1133" s="29"/>
    </row>
    <row r="1134" customFormat="false" ht="15" hidden="false" customHeight="false" outlineLevel="0" collapsed="false">
      <c r="A1134" s="32" t="str">
        <f aca="false">IF(B1134="","",ROW()-7)</f>
        <v/>
      </c>
      <c r="B1134" s="30"/>
      <c r="C1134" s="29"/>
      <c r="D1134" s="29"/>
      <c r="E1134" s="29"/>
      <c r="F1134" s="30"/>
      <c r="G1134" s="29"/>
      <c r="H1134" s="30"/>
      <c r="I1134" s="29"/>
      <c r="J1134" s="30"/>
      <c r="K1134" s="30"/>
      <c r="L1134" s="29"/>
      <c r="M1134" s="32" t="str">
        <f aca="false">IF(OR(C1134="",L1134=""),"",IF(C1134=L1134,"同一","変更"))</f>
        <v/>
      </c>
      <c r="N1134" s="29"/>
      <c r="O1134" s="30"/>
      <c r="P1134" s="29"/>
      <c r="Q1134" s="31"/>
      <c r="R1134" s="29"/>
      <c r="S1134" s="29"/>
      <c r="T1134" s="30"/>
      <c r="U1134" s="47" t="str">
        <f aca="false">IF(AND(B1134&lt;&gt;"",B1134=SW別シート!$C$3),COUNTIF(B$5:B1134,B1134),"")</f>
        <v/>
      </c>
      <c r="V1134" s="47" t="n">
        <f aca="false">V1133+IF(OR(O1134&lt;&gt;"",W1134&lt;&gt;""),1,0)</f>
        <v>3</v>
      </c>
      <c r="W1134" s="29"/>
    </row>
    <row r="1135" customFormat="false" ht="15" hidden="false" customHeight="false" outlineLevel="0" collapsed="false">
      <c r="A1135" s="32" t="str">
        <f aca="false">IF(B1135="","",ROW()-7)</f>
        <v/>
      </c>
      <c r="B1135" s="30"/>
      <c r="C1135" s="29"/>
      <c r="D1135" s="29"/>
      <c r="E1135" s="29"/>
      <c r="F1135" s="30"/>
      <c r="G1135" s="29"/>
      <c r="H1135" s="30"/>
      <c r="I1135" s="29"/>
      <c r="J1135" s="30"/>
      <c r="K1135" s="30"/>
      <c r="L1135" s="29"/>
      <c r="M1135" s="32" t="str">
        <f aca="false">IF(OR(C1135="",L1135=""),"",IF(C1135=L1135,"同一","変更"))</f>
        <v/>
      </c>
      <c r="N1135" s="29"/>
      <c r="O1135" s="30"/>
      <c r="P1135" s="29"/>
      <c r="Q1135" s="31"/>
      <c r="R1135" s="29"/>
      <c r="S1135" s="29"/>
      <c r="T1135" s="30"/>
      <c r="U1135" s="47" t="str">
        <f aca="false">IF(AND(B1135&lt;&gt;"",B1135=SW別シート!$C$3),COUNTIF(B$5:B1135,B1135),"")</f>
        <v/>
      </c>
      <c r="V1135" s="47" t="n">
        <f aca="false">V1134+IF(OR(O1135&lt;&gt;"",W1135&lt;&gt;""),1,0)</f>
        <v>3</v>
      </c>
      <c r="W1135" s="29"/>
    </row>
    <row r="1136" customFormat="false" ht="15" hidden="false" customHeight="false" outlineLevel="0" collapsed="false">
      <c r="A1136" s="32" t="str">
        <f aca="false">IF(B1136="","",ROW()-7)</f>
        <v/>
      </c>
      <c r="B1136" s="30"/>
      <c r="C1136" s="29"/>
      <c r="D1136" s="29"/>
      <c r="E1136" s="29"/>
      <c r="F1136" s="30"/>
      <c r="G1136" s="29"/>
      <c r="H1136" s="30"/>
      <c r="I1136" s="29"/>
      <c r="J1136" s="30"/>
      <c r="K1136" s="30"/>
      <c r="L1136" s="29"/>
      <c r="M1136" s="32" t="str">
        <f aca="false">IF(OR(C1136="",L1136=""),"",IF(C1136=L1136,"同一","変更"))</f>
        <v/>
      </c>
      <c r="N1136" s="29"/>
      <c r="O1136" s="30"/>
      <c r="P1136" s="29"/>
      <c r="Q1136" s="31"/>
      <c r="R1136" s="29"/>
      <c r="S1136" s="29"/>
      <c r="T1136" s="30"/>
      <c r="U1136" s="47" t="str">
        <f aca="false">IF(AND(B1136&lt;&gt;"",B1136=SW別シート!$C$3),COUNTIF(B$5:B1136,B1136),"")</f>
        <v/>
      </c>
      <c r="V1136" s="47" t="n">
        <f aca="false">V1135+IF(OR(O1136&lt;&gt;"",W1136&lt;&gt;""),1,0)</f>
        <v>3</v>
      </c>
      <c r="W1136" s="29"/>
    </row>
    <row r="1137" customFormat="false" ht="15" hidden="false" customHeight="false" outlineLevel="0" collapsed="false">
      <c r="A1137" s="32" t="str">
        <f aca="false">IF(B1137="","",ROW()-7)</f>
        <v/>
      </c>
      <c r="B1137" s="30"/>
      <c r="C1137" s="29"/>
      <c r="D1137" s="29"/>
      <c r="E1137" s="29"/>
      <c r="F1137" s="30"/>
      <c r="G1137" s="29"/>
      <c r="H1137" s="30"/>
      <c r="I1137" s="29"/>
      <c r="J1137" s="30"/>
      <c r="K1137" s="30"/>
      <c r="L1137" s="29"/>
      <c r="M1137" s="32" t="str">
        <f aca="false">IF(OR(C1137="",L1137=""),"",IF(C1137=L1137,"同一","変更"))</f>
        <v/>
      </c>
      <c r="N1137" s="29"/>
      <c r="O1137" s="30"/>
      <c r="P1137" s="29"/>
      <c r="Q1137" s="31"/>
      <c r="R1137" s="29"/>
      <c r="S1137" s="29"/>
      <c r="T1137" s="30"/>
      <c r="U1137" s="47" t="str">
        <f aca="false">IF(AND(B1137&lt;&gt;"",B1137=SW別シート!$C$3),COUNTIF(B$5:B1137,B1137),"")</f>
        <v/>
      </c>
      <c r="V1137" s="47" t="n">
        <f aca="false">V1136+IF(OR(O1137&lt;&gt;"",W1137&lt;&gt;""),1,0)</f>
        <v>3</v>
      </c>
      <c r="W1137" s="29"/>
    </row>
    <row r="1138" customFormat="false" ht="15" hidden="false" customHeight="false" outlineLevel="0" collapsed="false">
      <c r="A1138" s="32" t="str">
        <f aca="false">IF(B1138="","",ROW()-7)</f>
        <v/>
      </c>
      <c r="B1138" s="30"/>
      <c r="C1138" s="29"/>
      <c r="D1138" s="29"/>
      <c r="E1138" s="29"/>
      <c r="F1138" s="30"/>
      <c r="G1138" s="29"/>
      <c r="H1138" s="30"/>
      <c r="I1138" s="29"/>
      <c r="J1138" s="30"/>
      <c r="K1138" s="30"/>
      <c r="L1138" s="29"/>
      <c r="M1138" s="32" t="str">
        <f aca="false">IF(OR(C1138="",L1138=""),"",IF(C1138=L1138,"同一","変更"))</f>
        <v/>
      </c>
      <c r="N1138" s="29"/>
      <c r="O1138" s="30"/>
      <c r="P1138" s="29"/>
      <c r="Q1138" s="31"/>
      <c r="R1138" s="29"/>
      <c r="S1138" s="29"/>
      <c r="T1138" s="30"/>
      <c r="U1138" s="47" t="str">
        <f aca="false">IF(AND(B1138&lt;&gt;"",B1138=SW別シート!$C$3),COUNTIF(B$5:B1138,B1138),"")</f>
        <v/>
      </c>
      <c r="V1138" s="47" t="n">
        <f aca="false">V1137+IF(OR(O1138&lt;&gt;"",W1138&lt;&gt;""),1,0)</f>
        <v>3</v>
      </c>
      <c r="W1138" s="29"/>
    </row>
    <row r="1139" customFormat="false" ht="15" hidden="false" customHeight="false" outlineLevel="0" collapsed="false">
      <c r="A1139" s="32" t="str">
        <f aca="false">IF(B1139="","",ROW()-7)</f>
        <v/>
      </c>
      <c r="B1139" s="30"/>
      <c r="C1139" s="29"/>
      <c r="D1139" s="29"/>
      <c r="E1139" s="29"/>
      <c r="F1139" s="30"/>
      <c r="G1139" s="29"/>
      <c r="H1139" s="30"/>
      <c r="I1139" s="29"/>
      <c r="J1139" s="30"/>
      <c r="K1139" s="30"/>
      <c r="L1139" s="29"/>
      <c r="M1139" s="32" t="str">
        <f aca="false">IF(OR(C1139="",L1139=""),"",IF(C1139=L1139,"同一","変更"))</f>
        <v/>
      </c>
      <c r="N1139" s="29"/>
      <c r="O1139" s="30"/>
      <c r="P1139" s="29"/>
      <c r="Q1139" s="31"/>
      <c r="R1139" s="29"/>
      <c r="S1139" s="29"/>
      <c r="T1139" s="30"/>
      <c r="U1139" s="47" t="str">
        <f aca="false">IF(AND(B1139&lt;&gt;"",B1139=SW別シート!$C$3),COUNTIF(B$5:B1139,B1139),"")</f>
        <v/>
      </c>
      <c r="V1139" s="47" t="n">
        <f aca="false">V1138+IF(OR(O1139&lt;&gt;"",W1139&lt;&gt;""),1,0)</f>
        <v>3</v>
      </c>
      <c r="W1139" s="29"/>
    </row>
    <row r="1140" customFormat="false" ht="15" hidden="false" customHeight="false" outlineLevel="0" collapsed="false">
      <c r="A1140" s="32" t="str">
        <f aca="false">IF(B1140="","",ROW()-7)</f>
        <v/>
      </c>
      <c r="B1140" s="30"/>
      <c r="C1140" s="29"/>
      <c r="D1140" s="29"/>
      <c r="E1140" s="29"/>
      <c r="F1140" s="30"/>
      <c r="G1140" s="29"/>
      <c r="H1140" s="30"/>
      <c r="I1140" s="29"/>
      <c r="J1140" s="30"/>
      <c r="K1140" s="30"/>
      <c r="L1140" s="29"/>
      <c r="M1140" s="32" t="str">
        <f aca="false">IF(OR(C1140="",L1140=""),"",IF(C1140=L1140,"同一","変更"))</f>
        <v/>
      </c>
      <c r="N1140" s="29"/>
      <c r="O1140" s="30"/>
      <c r="P1140" s="29"/>
      <c r="Q1140" s="31"/>
      <c r="R1140" s="29"/>
      <c r="S1140" s="29"/>
      <c r="T1140" s="30"/>
      <c r="U1140" s="47" t="str">
        <f aca="false">IF(AND(B1140&lt;&gt;"",B1140=SW別シート!$C$3),COUNTIF(B$5:B1140,B1140),"")</f>
        <v/>
      </c>
      <c r="V1140" s="47" t="n">
        <f aca="false">V1139+IF(OR(O1140&lt;&gt;"",W1140&lt;&gt;""),1,0)</f>
        <v>3</v>
      </c>
      <c r="W1140" s="29"/>
    </row>
    <row r="1141" customFormat="false" ht="15" hidden="false" customHeight="false" outlineLevel="0" collapsed="false">
      <c r="A1141" s="32" t="str">
        <f aca="false">IF(B1141="","",ROW()-7)</f>
        <v/>
      </c>
      <c r="B1141" s="30"/>
      <c r="C1141" s="29"/>
      <c r="D1141" s="29"/>
      <c r="E1141" s="29"/>
      <c r="F1141" s="30"/>
      <c r="G1141" s="29"/>
      <c r="H1141" s="30"/>
      <c r="I1141" s="29"/>
      <c r="J1141" s="30"/>
      <c r="K1141" s="30"/>
      <c r="L1141" s="29"/>
      <c r="M1141" s="32" t="str">
        <f aca="false">IF(OR(C1141="",L1141=""),"",IF(C1141=L1141,"同一","変更"))</f>
        <v/>
      </c>
      <c r="N1141" s="29"/>
      <c r="O1141" s="30"/>
      <c r="P1141" s="29"/>
      <c r="Q1141" s="31"/>
      <c r="R1141" s="29"/>
      <c r="S1141" s="29"/>
      <c r="T1141" s="30"/>
      <c r="U1141" s="47" t="str">
        <f aca="false">IF(AND(B1141&lt;&gt;"",B1141=SW別シート!$C$3),COUNTIF(B$5:B1141,B1141),"")</f>
        <v/>
      </c>
      <c r="V1141" s="47" t="n">
        <f aca="false">V1140+IF(OR(O1141&lt;&gt;"",W1141&lt;&gt;""),1,0)</f>
        <v>3</v>
      </c>
      <c r="W1141" s="29"/>
    </row>
    <row r="1142" customFormat="false" ht="15" hidden="false" customHeight="false" outlineLevel="0" collapsed="false">
      <c r="A1142" s="32" t="str">
        <f aca="false">IF(B1142="","",ROW()-7)</f>
        <v/>
      </c>
      <c r="B1142" s="30"/>
      <c r="C1142" s="29"/>
      <c r="D1142" s="29"/>
      <c r="E1142" s="29"/>
      <c r="F1142" s="30"/>
      <c r="G1142" s="29"/>
      <c r="H1142" s="30"/>
      <c r="I1142" s="29"/>
      <c r="J1142" s="30"/>
      <c r="K1142" s="30"/>
      <c r="L1142" s="29"/>
      <c r="M1142" s="32" t="str">
        <f aca="false">IF(OR(C1142="",L1142=""),"",IF(C1142=L1142,"同一","変更"))</f>
        <v/>
      </c>
      <c r="N1142" s="29"/>
      <c r="O1142" s="30"/>
      <c r="P1142" s="29"/>
      <c r="Q1142" s="31"/>
      <c r="R1142" s="29"/>
      <c r="S1142" s="29"/>
      <c r="T1142" s="30"/>
      <c r="U1142" s="47" t="str">
        <f aca="false">IF(AND(B1142&lt;&gt;"",B1142=SW別シート!$C$3),COUNTIF(B$5:B1142,B1142),"")</f>
        <v/>
      </c>
      <c r="V1142" s="47" t="n">
        <f aca="false">V1141+IF(OR(O1142&lt;&gt;"",W1142&lt;&gt;""),1,0)</f>
        <v>3</v>
      </c>
      <c r="W1142" s="29"/>
    </row>
    <row r="1143" customFormat="false" ht="15" hidden="false" customHeight="false" outlineLevel="0" collapsed="false">
      <c r="A1143" s="32" t="str">
        <f aca="false">IF(B1143="","",ROW()-7)</f>
        <v/>
      </c>
      <c r="B1143" s="30"/>
      <c r="C1143" s="29"/>
      <c r="D1143" s="29"/>
      <c r="E1143" s="29"/>
      <c r="F1143" s="30"/>
      <c r="G1143" s="29"/>
      <c r="H1143" s="30"/>
      <c r="I1143" s="29"/>
      <c r="J1143" s="30"/>
      <c r="K1143" s="30"/>
      <c r="L1143" s="29"/>
      <c r="M1143" s="32" t="str">
        <f aca="false">IF(OR(C1143="",L1143=""),"",IF(C1143=L1143,"同一","変更"))</f>
        <v/>
      </c>
      <c r="N1143" s="29"/>
      <c r="O1143" s="30"/>
      <c r="P1143" s="29"/>
      <c r="Q1143" s="31"/>
      <c r="R1143" s="29"/>
      <c r="S1143" s="29"/>
      <c r="T1143" s="30"/>
      <c r="U1143" s="47" t="str">
        <f aca="false">IF(AND(B1143&lt;&gt;"",B1143=SW別シート!$C$3),COUNTIF(B$5:B1143,B1143),"")</f>
        <v/>
      </c>
      <c r="V1143" s="47" t="n">
        <f aca="false">V1142+IF(OR(O1143&lt;&gt;"",W1143&lt;&gt;""),1,0)</f>
        <v>3</v>
      </c>
      <c r="W1143" s="29"/>
    </row>
    <row r="1144" customFormat="false" ht="15" hidden="false" customHeight="false" outlineLevel="0" collapsed="false">
      <c r="A1144" s="32" t="str">
        <f aca="false">IF(B1144="","",ROW()-7)</f>
        <v/>
      </c>
      <c r="B1144" s="30"/>
      <c r="C1144" s="29"/>
      <c r="D1144" s="29"/>
      <c r="E1144" s="29"/>
      <c r="F1144" s="30"/>
      <c r="G1144" s="29"/>
      <c r="H1144" s="30"/>
      <c r="I1144" s="29"/>
      <c r="J1144" s="30"/>
      <c r="K1144" s="30"/>
      <c r="L1144" s="29"/>
      <c r="M1144" s="32" t="str">
        <f aca="false">IF(OR(C1144="",L1144=""),"",IF(C1144=L1144,"同一","変更"))</f>
        <v/>
      </c>
      <c r="N1144" s="29"/>
      <c r="O1144" s="30"/>
      <c r="P1144" s="29"/>
      <c r="Q1144" s="31"/>
      <c r="R1144" s="29"/>
      <c r="S1144" s="29"/>
      <c r="T1144" s="30"/>
      <c r="U1144" s="47" t="str">
        <f aca="false">IF(AND(B1144&lt;&gt;"",B1144=SW別シート!$C$3),COUNTIF(B$5:B1144,B1144),"")</f>
        <v/>
      </c>
      <c r="V1144" s="47" t="n">
        <f aca="false">V1143+IF(OR(O1144&lt;&gt;"",W1144&lt;&gt;""),1,0)</f>
        <v>3</v>
      </c>
      <c r="W1144" s="29"/>
    </row>
    <row r="1145" customFormat="false" ht="15" hidden="false" customHeight="false" outlineLevel="0" collapsed="false">
      <c r="A1145" s="32" t="str">
        <f aca="false">IF(B1145="","",ROW()-7)</f>
        <v/>
      </c>
      <c r="B1145" s="30"/>
      <c r="C1145" s="29"/>
      <c r="D1145" s="29"/>
      <c r="E1145" s="29"/>
      <c r="F1145" s="30"/>
      <c r="G1145" s="29"/>
      <c r="H1145" s="30"/>
      <c r="I1145" s="29"/>
      <c r="J1145" s="30"/>
      <c r="K1145" s="30"/>
      <c r="L1145" s="29"/>
      <c r="M1145" s="32" t="str">
        <f aca="false">IF(OR(C1145="",L1145=""),"",IF(C1145=L1145,"同一","変更"))</f>
        <v/>
      </c>
      <c r="N1145" s="29"/>
      <c r="O1145" s="30"/>
      <c r="P1145" s="29"/>
      <c r="Q1145" s="31"/>
      <c r="R1145" s="29"/>
      <c r="S1145" s="29"/>
      <c r="T1145" s="30"/>
      <c r="U1145" s="47" t="str">
        <f aca="false">IF(AND(B1145&lt;&gt;"",B1145=SW別シート!$C$3),COUNTIF(B$5:B1145,B1145),"")</f>
        <v/>
      </c>
      <c r="V1145" s="47" t="n">
        <f aca="false">V1144+IF(OR(O1145&lt;&gt;"",W1145&lt;&gt;""),1,0)</f>
        <v>3</v>
      </c>
      <c r="W1145" s="29"/>
    </row>
    <row r="1146" customFormat="false" ht="15" hidden="false" customHeight="false" outlineLevel="0" collapsed="false">
      <c r="A1146" s="32" t="str">
        <f aca="false">IF(B1146="","",ROW()-7)</f>
        <v/>
      </c>
      <c r="B1146" s="30"/>
      <c r="C1146" s="29"/>
      <c r="D1146" s="29"/>
      <c r="E1146" s="29"/>
      <c r="F1146" s="30"/>
      <c r="G1146" s="29"/>
      <c r="H1146" s="30"/>
      <c r="I1146" s="29"/>
      <c r="J1146" s="30"/>
      <c r="K1146" s="30"/>
      <c r="L1146" s="29"/>
      <c r="M1146" s="32" t="str">
        <f aca="false">IF(OR(C1146="",L1146=""),"",IF(C1146=L1146,"同一","変更"))</f>
        <v/>
      </c>
      <c r="N1146" s="29"/>
      <c r="O1146" s="30"/>
      <c r="P1146" s="29"/>
      <c r="Q1146" s="31"/>
      <c r="R1146" s="29"/>
      <c r="S1146" s="29"/>
      <c r="T1146" s="30"/>
      <c r="U1146" s="47" t="str">
        <f aca="false">IF(AND(B1146&lt;&gt;"",B1146=SW別シート!$C$3),COUNTIF(B$5:B1146,B1146),"")</f>
        <v/>
      </c>
      <c r="V1146" s="47" t="n">
        <f aca="false">V1145+IF(OR(O1146&lt;&gt;"",W1146&lt;&gt;""),1,0)</f>
        <v>3</v>
      </c>
      <c r="W1146" s="29"/>
    </row>
    <row r="1147" customFormat="false" ht="15" hidden="false" customHeight="false" outlineLevel="0" collapsed="false">
      <c r="A1147" s="32" t="str">
        <f aca="false">IF(B1147="","",ROW()-7)</f>
        <v/>
      </c>
      <c r="B1147" s="30"/>
      <c r="C1147" s="29"/>
      <c r="D1147" s="29"/>
      <c r="E1147" s="29"/>
      <c r="F1147" s="30"/>
      <c r="G1147" s="29"/>
      <c r="H1147" s="30"/>
      <c r="I1147" s="29"/>
      <c r="J1147" s="30"/>
      <c r="K1147" s="30"/>
      <c r="L1147" s="29"/>
      <c r="M1147" s="32" t="str">
        <f aca="false">IF(OR(C1147="",L1147=""),"",IF(C1147=L1147,"同一","変更"))</f>
        <v/>
      </c>
      <c r="N1147" s="29"/>
      <c r="O1147" s="30"/>
      <c r="P1147" s="29"/>
      <c r="Q1147" s="31"/>
      <c r="R1147" s="29"/>
      <c r="S1147" s="29"/>
      <c r="T1147" s="30"/>
      <c r="U1147" s="47" t="str">
        <f aca="false">IF(AND(B1147&lt;&gt;"",B1147=SW別シート!$C$3),COUNTIF(B$5:B1147,B1147),"")</f>
        <v/>
      </c>
      <c r="V1147" s="47" t="n">
        <f aca="false">V1146+IF(OR(O1147&lt;&gt;"",W1147&lt;&gt;""),1,0)</f>
        <v>3</v>
      </c>
      <c r="W1147" s="29"/>
    </row>
    <row r="1148" customFormat="false" ht="15" hidden="false" customHeight="false" outlineLevel="0" collapsed="false">
      <c r="A1148" s="32" t="str">
        <f aca="false">IF(B1148="","",ROW()-7)</f>
        <v/>
      </c>
      <c r="B1148" s="30"/>
      <c r="C1148" s="29"/>
      <c r="D1148" s="29"/>
      <c r="E1148" s="29"/>
      <c r="F1148" s="30"/>
      <c r="G1148" s="29"/>
      <c r="H1148" s="30"/>
      <c r="I1148" s="29"/>
      <c r="J1148" s="30"/>
      <c r="K1148" s="30"/>
      <c r="L1148" s="29"/>
      <c r="M1148" s="32" t="str">
        <f aca="false">IF(OR(C1148="",L1148=""),"",IF(C1148=L1148,"同一","変更"))</f>
        <v/>
      </c>
      <c r="N1148" s="29"/>
      <c r="O1148" s="30"/>
      <c r="P1148" s="29"/>
      <c r="Q1148" s="31"/>
      <c r="R1148" s="29"/>
      <c r="S1148" s="29"/>
      <c r="T1148" s="30"/>
      <c r="U1148" s="47" t="str">
        <f aca="false">IF(AND(B1148&lt;&gt;"",B1148=SW別シート!$C$3),COUNTIF(B$5:B1148,B1148),"")</f>
        <v/>
      </c>
      <c r="V1148" s="47" t="n">
        <f aca="false">V1147+IF(OR(O1148&lt;&gt;"",W1148&lt;&gt;""),1,0)</f>
        <v>3</v>
      </c>
      <c r="W1148" s="29"/>
    </row>
    <row r="1149" customFormat="false" ht="15" hidden="false" customHeight="false" outlineLevel="0" collapsed="false">
      <c r="A1149" s="32" t="str">
        <f aca="false">IF(B1149="","",ROW()-7)</f>
        <v/>
      </c>
      <c r="B1149" s="30"/>
      <c r="C1149" s="29"/>
      <c r="D1149" s="29"/>
      <c r="E1149" s="29"/>
      <c r="F1149" s="30"/>
      <c r="G1149" s="29"/>
      <c r="H1149" s="30"/>
      <c r="I1149" s="29"/>
      <c r="J1149" s="30"/>
      <c r="K1149" s="30"/>
      <c r="L1149" s="29"/>
      <c r="M1149" s="32" t="str">
        <f aca="false">IF(OR(C1149="",L1149=""),"",IF(C1149=L1149,"同一","変更"))</f>
        <v/>
      </c>
      <c r="N1149" s="29"/>
      <c r="O1149" s="30"/>
      <c r="P1149" s="29"/>
      <c r="Q1149" s="31"/>
      <c r="R1149" s="29"/>
      <c r="S1149" s="29"/>
      <c r="T1149" s="30"/>
      <c r="U1149" s="47" t="str">
        <f aca="false">IF(AND(B1149&lt;&gt;"",B1149=SW別シート!$C$3),COUNTIF(B$5:B1149,B1149),"")</f>
        <v/>
      </c>
      <c r="V1149" s="47" t="n">
        <f aca="false">V1148+IF(OR(O1149&lt;&gt;"",W1149&lt;&gt;""),1,0)</f>
        <v>3</v>
      </c>
      <c r="W1149" s="29"/>
    </row>
    <row r="1150" customFormat="false" ht="15" hidden="false" customHeight="false" outlineLevel="0" collapsed="false">
      <c r="A1150" s="32" t="str">
        <f aca="false">IF(B1150="","",ROW()-7)</f>
        <v/>
      </c>
      <c r="B1150" s="30"/>
      <c r="C1150" s="29"/>
      <c r="D1150" s="29"/>
      <c r="E1150" s="29"/>
      <c r="F1150" s="30"/>
      <c r="G1150" s="29"/>
      <c r="H1150" s="30"/>
      <c r="I1150" s="29"/>
      <c r="J1150" s="30"/>
      <c r="K1150" s="30"/>
      <c r="L1150" s="29"/>
      <c r="M1150" s="32" t="str">
        <f aca="false">IF(OR(C1150="",L1150=""),"",IF(C1150=L1150,"同一","変更"))</f>
        <v/>
      </c>
      <c r="N1150" s="29"/>
      <c r="O1150" s="30"/>
      <c r="P1150" s="29"/>
      <c r="Q1150" s="31"/>
      <c r="R1150" s="29"/>
      <c r="S1150" s="29"/>
      <c r="T1150" s="30"/>
      <c r="U1150" s="47" t="str">
        <f aca="false">IF(AND(B1150&lt;&gt;"",B1150=SW別シート!$C$3),COUNTIF(B$5:B1150,B1150),"")</f>
        <v/>
      </c>
      <c r="V1150" s="47" t="n">
        <f aca="false">V1149+IF(OR(O1150&lt;&gt;"",W1150&lt;&gt;""),1,0)</f>
        <v>3</v>
      </c>
      <c r="W1150" s="29"/>
    </row>
    <row r="1151" customFormat="false" ht="15" hidden="false" customHeight="false" outlineLevel="0" collapsed="false">
      <c r="A1151" s="32" t="str">
        <f aca="false">IF(B1151="","",ROW()-7)</f>
        <v/>
      </c>
      <c r="B1151" s="30"/>
      <c r="C1151" s="29"/>
      <c r="D1151" s="29"/>
      <c r="E1151" s="29"/>
      <c r="F1151" s="30"/>
      <c r="G1151" s="29"/>
      <c r="H1151" s="30"/>
      <c r="I1151" s="29"/>
      <c r="J1151" s="30"/>
      <c r="K1151" s="30"/>
      <c r="L1151" s="29"/>
      <c r="M1151" s="32" t="str">
        <f aca="false">IF(OR(C1151="",L1151=""),"",IF(C1151=L1151,"同一","変更"))</f>
        <v/>
      </c>
      <c r="N1151" s="29"/>
      <c r="O1151" s="30"/>
      <c r="P1151" s="29"/>
      <c r="Q1151" s="31"/>
      <c r="R1151" s="29"/>
      <c r="S1151" s="29"/>
      <c r="T1151" s="30"/>
      <c r="U1151" s="47" t="str">
        <f aca="false">IF(AND(B1151&lt;&gt;"",B1151=SW別シート!$C$3),COUNTIF(B$5:B1151,B1151),"")</f>
        <v/>
      </c>
      <c r="V1151" s="47" t="n">
        <f aca="false">V1150+IF(OR(O1151&lt;&gt;"",W1151&lt;&gt;""),1,0)</f>
        <v>3</v>
      </c>
      <c r="W1151" s="29"/>
    </row>
    <row r="1152" customFormat="false" ht="15" hidden="false" customHeight="false" outlineLevel="0" collapsed="false">
      <c r="A1152" s="32" t="str">
        <f aca="false">IF(B1152="","",ROW()-7)</f>
        <v/>
      </c>
      <c r="B1152" s="30"/>
      <c r="C1152" s="29"/>
      <c r="D1152" s="29"/>
      <c r="E1152" s="29"/>
      <c r="F1152" s="30"/>
      <c r="G1152" s="29"/>
      <c r="H1152" s="30"/>
      <c r="I1152" s="29"/>
      <c r="J1152" s="30"/>
      <c r="K1152" s="30"/>
      <c r="L1152" s="29"/>
      <c r="M1152" s="32" t="str">
        <f aca="false">IF(OR(C1152="",L1152=""),"",IF(C1152=L1152,"同一","変更"))</f>
        <v/>
      </c>
      <c r="N1152" s="29"/>
      <c r="O1152" s="30"/>
      <c r="P1152" s="29"/>
      <c r="Q1152" s="31"/>
      <c r="R1152" s="29"/>
      <c r="S1152" s="29"/>
      <c r="T1152" s="30"/>
      <c r="U1152" s="47" t="str">
        <f aca="false">IF(AND(B1152&lt;&gt;"",B1152=SW別シート!$C$3),COUNTIF(B$5:B1152,B1152),"")</f>
        <v/>
      </c>
      <c r="V1152" s="47" t="n">
        <f aca="false">V1151+IF(OR(O1152&lt;&gt;"",W1152&lt;&gt;""),1,0)</f>
        <v>3</v>
      </c>
      <c r="W1152" s="29"/>
    </row>
    <row r="1153" customFormat="false" ht="15" hidden="false" customHeight="false" outlineLevel="0" collapsed="false">
      <c r="A1153" s="32" t="str">
        <f aca="false">IF(B1153="","",ROW()-7)</f>
        <v/>
      </c>
      <c r="B1153" s="30"/>
      <c r="C1153" s="29"/>
      <c r="D1153" s="29"/>
      <c r="E1153" s="29"/>
      <c r="F1153" s="30"/>
      <c r="G1153" s="29"/>
      <c r="H1153" s="30"/>
      <c r="I1153" s="29"/>
      <c r="J1153" s="30"/>
      <c r="K1153" s="30"/>
      <c r="L1153" s="29"/>
      <c r="M1153" s="32" t="str">
        <f aca="false">IF(OR(C1153="",L1153=""),"",IF(C1153=L1153,"同一","変更"))</f>
        <v/>
      </c>
      <c r="N1153" s="29"/>
      <c r="O1153" s="30"/>
      <c r="P1153" s="29"/>
      <c r="Q1153" s="31"/>
      <c r="R1153" s="29"/>
      <c r="S1153" s="29"/>
      <c r="T1153" s="30"/>
      <c r="U1153" s="47" t="str">
        <f aca="false">IF(AND(B1153&lt;&gt;"",B1153=SW別シート!$C$3),COUNTIF(B$5:B1153,B1153),"")</f>
        <v/>
      </c>
      <c r="V1153" s="47" t="n">
        <f aca="false">V1152+IF(OR(O1153&lt;&gt;"",W1153&lt;&gt;""),1,0)</f>
        <v>3</v>
      </c>
      <c r="W1153" s="29"/>
    </row>
    <row r="1154" customFormat="false" ht="15" hidden="false" customHeight="false" outlineLevel="0" collapsed="false">
      <c r="A1154" s="32" t="str">
        <f aca="false">IF(B1154="","",ROW()-7)</f>
        <v/>
      </c>
      <c r="B1154" s="30"/>
      <c r="C1154" s="29"/>
      <c r="D1154" s="29"/>
      <c r="E1154" s="29"/>
      <c r="F1154" s="30"/>
      <c r="G1154" s="29"/>
      <c r="H1154" s="30"/>
      <c r="I1154" s="29"/>
      <c r="J1154" s="30"/>
      <c r="K1154" s="30"/>
      <c r="L1154" s="29"/>
      <c r="M1154" s="32" t="str">
        <f aca="false">IF(OR(C1154="",L1154=""),"",IF(C1154=L1154,"同一","変更"))</f>
        <v/>
      </c>
      <c r="N1154" s="29"/>
      <c r="O1154" s="30"/>
      <c r="P1154" s="29"/>
      <c r="Q1154" s="31"/>
      <c r="R1154" s="29"/>
      <c r="S1154" s="29"/>
      <c r="T1154" s="30"/>
      <c r="U1154" s="47" t="str">
        <f aca="false">IF(AND(B1154&lt;&gt;"",B1154=SW別シート!$C$3),COUNTIF(B$5:B1154,B1154),"")</f>
        <v/>
      </c>
      <c r="V1154" s="47" t="n">
        <f aca="false">V1153+IF(OR(O1154&lt;&gt;"",W1154&lt;&gt;""),1,0)</f>
        <v>3</v>
      </c>
      <c r="W1154" s="29"/>
    </row>
    <row r="1155" customFormat="false" ht="15" hidden="false" customHeight="false" outlineLevel="0" collapsed="false">
      <c r="A1155" s="32" t="str">
        <f aca="false">IF(B1155="","",ROW()-7)</f>
        <v/>
      </c>
      <c r="B1155" s="30"/>
      <c r="C1155" s="29"/>
      <c r="D1155" s="29"/>
      <c r="E1155" s="29"/>
      <c r="F1155" s="30"/>
      <c r="G1155" s="29"/>
      <c r="H1155" s="30"/>
      <c r="I1155" s="29"/>
      <c r="J1155" s="30"/>
      <c r="K1155" s="30"/>
      <c r="L1155" s="29"/>
      <c r="M1155" s="32" t="str">
        <f aca="false">IF(OR(C1155="",L1155=""),"",IF(C1155=L1155,"同一","変更"))</f>
        <v/>
      </c>
      <c r="N1155" s="29"/>
      <c r="O1155" s="30"/>
      <c r="P1155" s="29"/>
      <c r="Q1155" s="31"/>
      <c r="R1155" s="29"/>
      <c r="S1155" s="29"/>
      <c r="T1155" s="30"/>
      <c r="U1155" s="47" t="str">
        <f aca="false">IF(AND(B1155&lt;&gt;"",B1155=SW別シート!$C$3),COUNTIF(B$5:B1155,B1155),"")</f>
        <v/>
      </c>
      <c r="V1155" s="47" t="n">
        <f aca="false">V1154+IF(OR(O1155&lt;&gt;"",W1155&lt;&gt;""),1,0)</f>
        <v>3</v>
      </c>
      <c r="W1155" s="29"/>
    </row>
    <row r="1156" customFormat="false" ht="15" hidden="false" customHeight="false" outlineLevel="0" collapsed="false">
      <c r="A1156" s="32" t="str">
        <f aca="false">IF(B1156="","",ROW()-7)</f>
        <v/>
      </c>
      <c r="B1156" s="30"/>
      <c r="C1156" s="29"/>
      <c r="D1156" s="29"/>
      <c r="E1156" s="29"/>
      <c r="F1156" s="30"/>
      <c r="G1156" s="29"/>
      <c r="H1156" s="30"/>
      <c r="I1156" s="29"/>
      <c r="J1156" s="30"/>
      <c r="K1156" s="30"/>
      <c r="L1156" s="29"/>
      <c r="M1156" s="32" t="str">
        <f aca="false">IF(OR(C1156="",L1156=""),"",IF(C1156=L1156,"同一","変更"))</f>
        <v/>
      </c>
      <c r="N1156" s="29"/>
      <c r="O1156" s="30"/>
      <c r="P1156" s="29"/>
      <c r="Q1156" s="31"/>
      <c r="R1156" s="29"/>
      <c r="S1156" s="29"/>
      <c r="T1156" s="30"/>
      <c r="U1156" s="47" t="str">
        <f aca="false">IF(AND(B1156&lt;&gt;"",B1156=SW別シート!$C$3),COUNTIF(B$5:B1156,B1156),"")</f>
        <v/>
      </c>
      <c r="V1156" s="47" t="n">
        <f aca="false">V1155+IF(OR(O1156&lt;&gt;"",W1156&lt;&gt;""),1,0)</f>
        <v>3</v>
      </c>
      <c r="W1156" s="29"/>
    </row>
    <row r="1157" customFormat="false" ht="15" hidden="false" customHeight="false" outlineLevel="0" collapsed="false">
      <c r="A1157" s="32" t="str">
        <f aca="false">IF(B1157="","",ROW()-7)</f>
        <v/>
      </c>
      <c r="B1157" s="30"/>
      <c r="C1157" s="29"/>
      <c r="D1157" s="29"/>
      <c r="E1157" s="29"/>
      <c r="F1157" s="30"/>
      <c r="G1157" s="29"/>
      <c r="H1157" s="30"/>
      <c r="I1157" s="29"/>
      <c r="J1157" s="30"/>
      <c r="K1157" s="30"/>
      <c r="L1157" s="29"/>
      <c r="M1157" s="32" t="str">
        <f aca="false">IF(OR(C1157="",L1157=""),"",IF(C1157=L1157,"同一","変更"))</f>
        <v/>
      </c>
      <c r="N1157" s="29"/>
      <c r="O1157" s="30"/>
      <c r="P1157" s="29"/>
      <c r="Q1157" s="31"/>
      <c r="R1157" s="29"/>
      <c r="S1157" s="29"/>
      <c r="T1157" s="30"/>
      <c r="U1157" s="47" t="str">
        <f aca="false">IF(AND(B1157&lt;&gt;"",B1157=SW別シート!$C$3),COUNTIF(B$5:B1157,B1157),"")</f>
        <v/>
      </c>
      <c r="V1157" s="47" t="n">
        <f aca="false">V1156+IF(OR(O1157&lt;&gt;"",W1157&lt;&gt;""),1,0)</f>
        <v>3</v>
      </c>
      <c r="W1157" s="29"/>
    </row>
    <row r="1158" customFormat="false" ht="15" hidden="false" customHeight="false" outlineLevel="0" collapsed="false">
      <c r="A1158" s="32" t="str">
        <f aca="false">IF(B1158="","",ROW()-7)</f>
        <v/>
      </c>
      <c r="B1158" s="30"/>
      <c r="C1158" s="29"/>
      <c r="D1158" s="29"/>
      <c r="E1158" s="29"/>
      <c r="F1158" s="30"/>
      <c r="G1158" s="29"/>
      <c r="H1158" s="30"/>
      <c r="I1158" s="29"/>
      <c r="J1158" s="30"/>
      <c r="K1158" s="30"/>
      <c r="L1158" s="29"/>
      <c r="M1158" s="32" t="str">
        <f aca="false">IF(OR(C1158="",L1158=""),"",IF(C1158=L1158,"同一","変更"))</f>
        <v/>
      </c>
      <c r="N1158" s="29"/>
      <c r="O1158" s="30"/>
      <c r="P1158" s="29"/>
      <c r="Q1158" s="31"/>
      <c r="R1158" s="29"/>
      <c r="S1158" s="29"/>
      <c r="T1158" s="30"/>
      <c r="U1158" s="47" t="str">
        <f aca="false">IF(AND(B1158&lt;&gt;"",B1158=SW別シート!$C$3),COUNTIF(B$5:B1158,B1158),"")</f>
        <v/>
      </c>
      <c r="V1158" s="47" t="n">
        <f aca="false">V1157+IF(OR(O1158&lt;&gt;"",W1158&lt;&gt;""),1,0)</f>
        <v>3</v>
      </c>
      <c r="W1158" s="29"/>
    </row>
    <row r="1159" customFormat="false" ht="15" hidden="false" customHeight="false" outlineLevel="0" collapsed="false">
      <c r="A1159" s="32" t="str">
        <f aca="false">IF(B1159="","",ROW()-7)</f>
        <v/>
      </c>
      <c r="B1159" s="30"/>
      <c r="C1159" s="29"/>
      <c r="D1159" s="29"/>
      <c r="E1159" s="29"/>
      <c r="F1159" s="30"/>
      <c r="G1159" s="29"/>
      <c r="H1159" s="30"/>
      <c r="I1159" s="29"/>
      <c r="J1159" s="30"/>
      <c r="K1159" s="30"/>
      <c r="L1159" s="29"/>
      <c r="M1159" s="32" t="str">
        <f aca="false">IF(OR(C1159="",L1159=""),"",IF(C1159=L1159,"同一","変更"))</f>
        <v/>
      </c>
      <c r="N1159" s="29"/>
      <c r="O1159" s="30"/>
      <c r="P1159" s="29"/>
      <c r="Q1159" s="31"/>
      <c r="R1159" s="29"/>
      <c r="S1159" s="29"/>
      <c r="T1159" s="30"/>
      <c r="U1159" s="47" t="str">
        <f aca="false">IF(AND(B1159&lt;&gt;"",B1159=SW別シート!$C$3),COUNTIF(B$5:B1159,B1159),"")</f>
        <v/>
      </c>
      <c r="V1159" s="47" t="n">
        <f aca="false">V1158+IF(OR(O1159&lt;&gt;"",W1159&lt;&gt;""),1,0)</f>
        <v>3</v>
      </c>
      <c r="W1159" s="29"/>
    </row>
    <row r="1160" customFormat="false" ht="15" hidden="false" customHeight="false" outlineLevel="0" collapsed="false">
      <c r="A1160" s="32" t="str">
        <f aca="false">IF(B1160="","",ROW()-7)</f>
        <v/>
      </c>
      <c r="B1160" s="30"/>
      <c r="C1160" s="29"/>
      <c r="D1160" s="29"/>
      <c r="E1160" s="29"/>
      <c r="F1160" s="30"/>
      <c r="G1160" s="29"/>
      <c r="H1160" s="30"/>
      <c r="I1160" s="29"/>
      <c r="J1160" s="30"/>
      <c r="K1160" s="30"/>
      <c r="L1160" s="29"/>
      <c r="M1160" s="32" t="str">
        <f aca="false">IF(OR(C1160="",L1160=""),"",IF(C1160=L1160,"同一","変更"))</f>
        <v/>
      </c>
      <c r="N1160" s="29"/>
      <c r="O1160" s="30"/>
      <c r="P1160" s="29"/>
      <c r="Q1160" s="31"/>
      <c r="R1160" s="29"/>
      <c r="S1160" s="29"/>
      <c r="T1160" s="30"/>
      <c r="U1160" s="47" t="str">
        <f aca="false">IF(AND(B1160&lt;&gt;"",B1160=SW別シート!$C$3),COUNTIF(B$5:B1160,B1160),"")</f>
        <v/>
      </c>
      <c r="V1160" s="47" t="n">
        <f aca="false">V1159+IF(OR(O1160&lt;&gt;"",W1160&lt;&gt;""),1,0)</f>
        <v>3</v>
      </c>
      <c r="W1160" s="29"/>
    </row>
    <row r="1161" customFormat="false" ht="15" hidden="false" customHeight="false" outlineLevel="0" collapsed="false">
      <c r="A1161" s="32" t="str">
        <f aca="false">IF(B1161="","",ROW()-7)</f>
        <v/>
      </c>
      <c r="B1161" s="30"/>
      <c r="C1161" s="29"/>
      <c r="D1161" s="29"/>
      <c r="E1161" s="29"/>
      <c r="F1161" s="30"/>
      <c r="G1161" s="29"/>
      <c r="H1161" s="30"/>
      <c r="I1161" s="29"/>
      <c r="J1161" s="30"/>
      <c r="K1161" s="30"/>
      <c r="L1161" s="29"/>
      <c r="M1161" s="32" t="str">
        <f aca="false">IF(OR(C1161="",L1161=""),"",IF(C1161=L1161,"同一","変更"))</f>
        <v/>
      </c>
      <c r="N1161" s="29"/>
      <c r="O1161" s="30"/>
      <c r="P1161" s="29"/>
      <c r="Q1161" s="31"/>
      <c r="R1161" s="29"/>
      <c r="S1161" s="29"/>
      <c r="T1161" s="30"/>
      <c r="U1161" s="47" t="str">
        <f aca="false">IF(AND(B1161&lt;&gt;"",B1161=SW別シート!$C$3),COUNTIF(B$5:B1161,B1161),"")</f>
        <v/>
      </c>
      <c r="V1161" s="47" t="n">
        <f aca="false">V1160+IF(OR(O1161&lt;&gt;"",W1161&lt;&gt;""),1,0)</f>
        <v>3</v>
      </c>
      <c r="W1161" s="29"/>
    </row>
    <row r="1162" customFormat="false" ht="15" hidden="false" customHeight="false" outlineLevel="0" collapsed="false">
      <c r="A1162" s="32" t="str">
        <f aca="false">IF(B1162="","",ROW()-7)</f>
        <v/>
      </c>
      <c r="B1162" s="30"/>
      <c r="C1162" s="29"/>
      <c r="D1162" s="29"/>
      <c r="E1162" s="29"/>
      <c r="F1162" s="30"/>
      <c r="G1162" s="29"/>
      <c r="H1162" s="30"/>
      <c r="I1162" s="29"/>
      <c r="J1162" s="30"/>
      <c r="K1162" s="30"/>
      <c r="L1162" s="29"/>
      <c r="M1162" s="32" t="str">
        <f aca="false">IF(OR(C1162="",L1162=""),"",IF(C1162=L1162,"同一","変更"))</f>
        <v/>
      </c>
      <c r="N1162" s="29"/>
      <c r="O1162" s="30"/>
      <c r="P1162" s="29"/>
      <c r="Q1162" s="31"/>
      <c r="R1162" s="29"/>
      <c r="S1162" s="29"/>
      <c r="T1162" s="30"/>
      <c r="U1162" s="47" t="str">
        <f aca="false">IF(AND(B1162&lt;&gt;"",B1162=SW別シート!$C$3),COUNTIF(B$5:B1162,B1162),"")</f>
        <v/>
      </c>
      <c r="V1162" s="47" t="n">
        <f aca="false">V1161+IF(OR(O1162&lt;&gt;"",W1162&lt;&gt;""),1,0)</f>
        <v>3</v>
      </c>
      <c r="W1162" s="29"/>
    </row>
    <row r="1163" customFormat="false" ht="15" hidden="false" customHeight="false" outlineLevel="0" collapsed="false">
      <c r="A1163" s="32" t="str">
        <f aca="false">IF(B1163="","",ROW()-7)</f>
        <v/>
      </c>
      <c r="B1163" s="30"/>
      <c r="C1163" s="29"/>
      <c r="D1163" s="29"/>
      <c r="E1163" s="29"/>
      <c r="F1163" s="30"/>
      <c r="G1163" s="29"/>
      <c r="H1163" s="30"/>
      <c r="I1163" s="29"/>
      <c r="J1163" s="30"/>
      <c r="K1163" s="30"/>
      <c r="L1163" s="29"/>
      <c r="M1163" s="32" t="str">
        <f aca="false">IF(OR(C1163="",L1163=""),"",IF(C1163=L1163,"同一","変更"))</f>
        <v/>
      </c>
      <c r="N1163" s="29"/>
      <c r="O1163" s="30"/>
      <c r="P1163" s="29"/>
      <c r="Q1163" s="31"/>
      <c r="R1163" s="29"/>
      <c r="S1163" s="29"/>
      <c r="T1163" s="30"/>
      <c r="U1163" s="47" t="str">
        <f aca="false">IF(AND(B1163&lt;&gt;"",B1163=SW別シート!$C$3),COUNTIF(B$5:B1163,B1163),"")</f>
        <v/>
      </c>
      <c r="V1163" s="47" t="n">
        <f aca="false">V1162+IF(OR(O1163&lt;&gt;"",W1163&lt;&gt;""),1,0)</f>
        <v>3</v>
      </c>
      <c r="W1163" s="29"/>
    </row>
    <row r="1164" customFormat="false" ht="15" hidden="false" customHeight="false" outlineLevel="0" collapsed="false">
      <c r="A1164" s="32" t="str">
        <f aca="false">IF(B1164="","",ROW()-7)</f>
        <v/>
      </c>
      <c r="B1164" s="30"/>
      <c r="C1164" s="29"/>
      <c r="D1164" s="29"/>
      <c r="E1164" s="29"/>
      <c r="F1164" s="30"/>
      <c r="G1164" s="29"/>
      <c r="H1164" s="30"/>
      <c r="I1164" s="29"/>
      <c r="J1164" s="30"/>
      <c r="K1164" s="30"/>
      <c r="L1164" s="29"/>
      <c r="M1164" s="32" t="str">
        <f aca="false">IF(OR(C1164="",L1164=""),"",IF(C1164=L1164,"同一","変更"))</f>
        <v/>
      </c>
      <c r="N1164" s="29"/>
      <c r="O1164" s="30"/>
      <c r="P1164" s="29"/>
      <c r="Q1164" s="31"/>
      <c r="R1164" s="29"/>
      <c r="S1164" s="29"/>
      <c r="T1164" s="30"/>
      <c r="U1164" s="47" t="str">
        <f aca="false">IF(AND(B1164&lt;&gt;"",B1164=SW別シート!$C$3),COUNTIF(B$5:B1164,B1164),"")</f>
        <v/>
      </c>
      <c r="V1164" s="47" t="n">
        <f aca="false">V1163+IF(OR(O1164&lt;&gt;"",W1164&lt;&gt;""),1,0)</f>
        <v>3</v>
      </c>
      <c r="W1164" s="29"/>
    </row>
    <row r="1165" customFormat="false" ht="15" hidden="false" customHeight="false" outlineLevel="0" collapsed="false">
      <c r="A1165" s="32" t="str">
        <f aca="false">IF(B1165="","",ROW()-7)</f>
        <v/>
      </c>
      <c r="B1165" s="30"/>
      <c r="C1165" s="29"/>
      <c r="D1165" s="29"/>
      <c r="E1165" s="29"/>
      <c r="F1165" s="30"/>
      <c r="G1165" s="29"/>
      <c r="H1165" s="30"/>
      <c r="I1165" s="29"/>
      <c r="J1165" s="30"/>
      <c r="K1165" s="30"/>
      <c r="L1165" s="29"/>
      <c r="M1165" s="32" t="str">
        <f aca="false">IF(OR(C1165="",L1165=""),"",IF(C1165=L1165,"同一","変更"))</f>
        <v/>
      </c>
      <c r="N1165" s="29"/>
      <c r="O1165" s="30"/>
      <c r="P1165" s="29"/>
      <c r="Q1165" s="31"/>
      <c r="R1165" s="29"/>
      <c r="S1165" s="29"/>
      <c r="T1165" s="30"/>
      <c r="U1165" s="47" t="str">
        <f aca="false">IF(AND(B1165&lt;&gt;"",B1165=SW別シート!$C$3),COUNTIF(B$5:B1165,B1165),"")</f>
        <v/>
      </c>
      <c r="V1165" s="47" t="n">
        <f aca="false">V1164+IF(OR(O1165&lt;&gt;"",W1165&lt;&gt;""),1,0)</f>
        <v>3</v>
      </c>
      <c r="W1165" s="29"/>
    </row>
    <row r="1166" customFormat="false" ht="15" hidden="false" customHeight="false" outlineLevel="0" collapsed="false">
      <c r="A1166" s="32" t="str">
        <f aca="false">IF(B1166="","",ROW()-7)</f>
        <v/>
      </c>
      <c r="B1166" s="30"/>
      <c r="C1166" s="29"/>
      <c r="D1166" s="29"/>
      <c r="E1166" s="29"/>
      <c r="F1166" s="30"/>
      <c r="G1166" s="29"/>
      <c r="H1166" s="30"/>
      <c r="I1166" s="29"/>
      <c r="J1166" s="30"/>
      <c r="K1166" s="30"/>
      <c r="L1166" s="29"/>
      <c r="M1166" s="32" t="str">
        <f aca="false">IF(OR(C1166="",L1166=""),"",IF(C1166=L1166,"同一","変更"))</f>
        <v/>
      </c>
      <c r="N1166" s="29"/>
      <c r="O1166" s="30"/>
      <c r="P1166" s="29"/>
      <c r="Q1166" s="31"/>
      <c r="R1166" s="29"/>
      <c r="S1166" s="29"/>
      <c r="T1166" s="30"/>
      <c r="U1166" s="47" t="str">
        <f aca="false">IF(AND(B1166&lt;&gt;"",B1166=SW別シート!$C$3),COUNTIF(B$5:B1166,B1166),"")</f>
        <v/>
      </c>
      <c r="V1166" s="47" t="n">
        <f aca="false">V1165+IF(OR(O1166&lt;&gt;"",W1166&lt;&gt;""),1,0)</f>
        <v>3</v>
      </c>
      <c r="W1166" s="29"/>
    </row>
    <row r="1167" customFormat="false" ht="15" hidden="false" customHeight="false" outlineLevel="0" collapsed="false">
      <c r="A1167" s="32" t="str">
        <f aca="false">IF(B1167="","",ROW()-7)</f>
        <v/>
      </c>
      <c r="B1167" s="30"/>
      <c r="C1167" s="29"/>
      <c r="D1167" s="29"/>
      <c r="E1167" s="29"/>
      <c r="F1167" s="30"/>
      <c r="G1167" s="29"/>
      <c r="H1167" s="30"/>
      <c r="I1167" s="29"/>
      <c r="J1167" s="30"/>
      <c r="K1167" s="30"/>
      <c r="L1167" s="29"/>
      <c r="M1167" s="32" t="str">
        <f aca="false">IF(OR(C1167="",L1167=""),"",IF(C1167=L1167,"同一","変更"))</f>
        <v/>
      </c>
      <c r="N1167" s="29"/>
      <c r="O1167" s="30"/>
      <c r="P1167" s="29"/>
      <c r="Q1167" s="31"/>
      <c r="R1167" s="29"/>
      <c r="S1167" s="29"/>
      <c r="T1167" s="30"/>
      <c r="U1167" s="47" t="str">
        <f aca="false">IF(AND(B1167&lt;&gt;"",B1167=SW別シート!$C$3),COUNTIF(B$5:B1167,B1167),"")</f>
        <v/>
      </c>
      <c r="V1167" s="47" t="n">
        <f aca="false">V1166+IF(OR(O1167&lt;&gt;"",W1167&lt;&gt;""),1,0)</f>
        <v>3</v>
      </c>
      <c r="W1167" s="29"/>
    </row>
    <row r="1168" customFormat="false" ht="15" hidden="false" customHeight="false" outlineLevel="0" collapsed="false">
      <c r="A1168" s="32" t="str">
        <f aca="false">IF(B1168="","",ROW()-7)</f>
        <v/>
      </c>
      <c r="B1168" s="30"/>
      <c r="C1168" s="29"/>
      <c r="D1168" s="29"/>
      <c r="E1168" s="29"/>
      <c r="F1168" s="30"/>
      <c r="G1168" s="29"/>
      <c r="H1168" s="30"/>
      <c r="I1168" s="29"/>
      <c r="J1168" s="30"/>
      <c r="K1168" s="30"/>
      <c r="L1168" s="29"/>
      <c r="M1168" s="32" t="str">
        <f aca="false">IF(OR(C1168="",L1168=""),"",IF(C1168=L1168,"同一","変更"))</f>
        <v/>
      </c>
      <c r="N1168" s="29"/>
      <c r="O1168" s="30"/>
      <c r="P1168" s="29"/>
      <c r="Q1168" s="31"/>
      <c r="R1168" s="29"/>
      <c r="S1168" s="29"/>
      <c r="T1168" s="30"/>
      <c r="U1168" s="47" t="str">
        <f aca="false">IF(AND(B1168&lt;&gt;"",B1168=SW別シート!$C$3),COUNTIF(B$5:B1168,B1168),"")</f>
        <v/>
      </c>
      <c r="V1168" s="47" t="n">
        <f aca="false">V1167+IF(OR(O1168&lt;&gt;"",W1168&lt;&gt;""),1,0)</f>
        <v>3</v>
      </c>
      <c r="W1168" s="29"/>
    </row>
    <row r="1169" customFormat="false" ht="15" hidden="false" customHeight="false" outlineLevel="0" collapsed="false">
      <c r="A1169" s="32" t="str">
        <f aca="false">IF(B1169="","",ROW()-7)</f>
        <v/>
      </c>
      <c r="B1169" s="30"/>
      <c r="C1169" s="29"/>
      <c r="D1169" s="29"/>
      <c r="E1169" s="29"/>
      <c r="F1169" s="30"/>
      <c r="G1169" s="29"/>
      <c r="H1169" s="30"/>
      <c r="I1169" s="29"/>
      <c r="J1169" s="30"/>
      <c r="K1169" s="30"/>
      <c r="L1169" s="29"/>
      <c r="M1169" s="32" t="str">
        <f aca="false">IF(OR(C1169="",L1169=""),"",IF(C1169=L1169,"同一","変更"))</f>
        <v/>
      </c>
      <c r="N1169" s="29"/>
      <c r="O1169" s="30"/>
      <c r="P1169" s="29"/>
      <c r="Q1169" s="31"/>
      <c r="R1169" s="29"/>
      <c r="S1169" s="29"/>
      <c r="T1169" s="30"/>
      <c r="U1169" s="47" t="str">
        <f aca="false">IF(AND(B1169&lt;&gt;"",B1169=SW別シート!$C$3),COUNTIF(B$5:B1169,B1169),"")</f>
        <v/>
      </c>
      <c r="V1169" s="47" t="n">
        <f aca="false">V1168+IF(OR(O1169&lt;&gt;"",W1169&lt;&gt;""),1,0)</f>
        <v>3</v>
      </c>
      <c r="W1169" s="29"/>
    </row>
    <row r="1170" customFormat="false" ht="15" hidden="false" customHeight="false" outlineLevel="0" collapsed="false">
      <c r="A1170" s="32" t="str">
        <f aca="false">IF(B1170="","",ROW()-7)</f>
        <v/>
      </c>
      <c r="B1170" s="30"/>
      <c r="C1170" s="29"/>
      <c r="D1170" s="29"/>
      <c r="E1170" s="29"/>
      <c r="F1170" s="30"/>
      <c r="G1170" s="29"/>
      <c r="H1170" s="30"/>
      <c r="I1170" s="29"/>
      <c r="J1170" s="30"/>
      <c r="K1170" s="30"/>
      <c r="L1170" s="29"/>
      <c r="M1170" s="32" t="str">
        <f aca="false">IF(OR(C1170="",L1170=""),"",IF(C1170=L1170,"同一","変更"))</f>
        <v/>
      </c>
      <c r="N1170" s="29"/>
      <c r="O1170" s="30"/>
      <c r="P1170" s="29"/>
      <c r="Q1170" s="31"/>
      <c r="R1170" s="29"/>
      <c r="S1170" s="29"/>
      <c r="T1170" s="30"/>
      <c r="U1170" s="47" t="str">
        <f aca="false">IF(AND(B1170&lt;&gt;"",B1170=SW別シート!$C$3),COUNTIF(B$5:B1170,B1170),"")</f>
        <v/>
      </c>
      <c r="V1170" s="47" t="n">
        <f aca="false">V1169+IF(OR(O1170&lt;&gt;"",W1170&lt;&gt;""),1,0)</f>
        <v>3</v>
      </c>
      <c r="W1170" s="29"/>
    </row>
    <row r="1171" customFormat="false" ht="15" hidden="false" customHeight="false" outlineLevel="0" collapsed="false">
      <c r="A1171" s="32" t="str">
        <f aca="false">IF(B1171="","",ROW()-7)</f>
        <v/>
      </c>
      <c r="B1171" s="30"/>
      <c r="C1171" s="29"/>
      <c r="D1171" s="29"/>
      <c r="E1171" s="29"/>
      <c r="F1171" s="30"/>
      <c r="G1171" s="29"/>
      <c r="H1171" s="30"/>
      <c r="I1171" s="29"/>
      <c r="J1171" s="30"/>
      <c r="K1171" s="30"/>
      <c r="L1171" s="29"/>
      <c r="M1171" s="32" t="str">
        <f aca="false">IF(OR(C1171="",L1171=""),"",IF(C1171=L1171,"同一","変更"))</f>
        <v/>
      </c>
      <c r="N1171" s="29"/>
      <c r="O1171" s="30"/>
      <c r="P1171" s="29"/>
      <c r="Q1171" s="31"/>
      <c r="R1171" s="29"/>
      <c r="S1171" s="29"/>
      <c r="T1171" s="30"/>
      <c r="U1171" s="47" t="str">
        <f aca="false">IF(AND(B1171&lt;&gt;"",B1171=SW別シート!$C$3),COUNTIF(B$5:B1171,B1171),"")</f>
        <v/>
      </c>
      <c r="V1171" s="47" t="n">
        <f aca="false">V1170+IF(OR(O1171&lt;&gt;"",W1171&lt;&gt;""),1,0)</f>
        <v>3</v>
      </c>
      <c r="W1171" s="29"/>
    </row>
    <row r="1172" customFormat="false" ht="15" hidden="false" customHeight="false" outlineLevel="0" collapsed="false">
      <c r="A1172" s="32" t="str">
        <f aca="false">IF(B1172="","",ROW()-7)</f>
        <v/>
      </c>
      <c r="B1172" s="30"/>
      <c r="C1172" s="29"/>
      <c r="D1172" s="29"/>
      <c r="E1172" s="29"/>
      <c r="F1172" s="30"/>
      <c r="G1172" s="29"/>
      <c r="H1172" s="30"/>
      <c r="I1172" s="29"/>
      <c r="J1172" s="30"/>
      <c r="K1172" s="30"/>
      <c r="L1172" s="29"/>
      <c r="M1172" s="32" t="str">
        <f aca="false">IF(OR(C1172="",L1172=""),"",IF(C1172=L1172,"同一","変更"))</f>
        <v/>
      </c>
      <c r="N1172" s="29"/>
      <c r="O1172" s="30"/>
      <c r="P1172" s="29"/>
      <c r="Q1172" s="31"/>
      <c r="R1172" s="29"/>
      <c r="S1172" s="29"/>
      <c r="T1172" s="30"/>
      <c r="U1172" s="47" t="str">
        <f aca="false">IF(AND(B1172&lt;&gt;"",B1172=SW別シート!$C$3),COUNTIF(B$5:B1172,B1172),"")</f>
        <v/>
      </c>
      <c r="V1172" s="47" t="n">
        <f aca="false">V1171+IF(OR(O1172&lt;&gt;"",W1172&lt;&gt;""),1,0)</f>
        <v>3</v>
      </c>
      <c r="W1172" s="29"/>
    </row>
    <row r="1173" customFormat="false" ht="15" hidden="false" customHeight="false" outlineLevel="0" collapsed="false">
      <c r="A1173" s="32" t="str">
        <f aca="false">IF(B1173="","",ROW()-7)</f>
        <v/>
      </c>
      <c r="B1173" s="30"/>
      <c r="C1173" s="29"/>
      <c r="D1173" s="29"/>
      <c r="E1173" s="29"/>
      <c r="F1173" s="30"/>
      <c r="G1173" s="29"/>
      <c r="H1173" s="30"/>
      <c r="I1173" s="29"/>
      <c r="J1173" s="30"/>
      <c r="K1173" s="30"/>
      <c r="L1173" s="29"/>
      <c r="M1173" s="32" t="str">
        <f aca="false">IF(OR(C1173="",L1173=""),"",IF(C1173=L1173,"同一","変更"))</f>
        <v/>
      </c>
      <c r="N1173" s="29"/>
      <c r="O1173" s="30"/>
      <c r="P1173" s="29"/>
      <c r="Q1173" s="31"/>
      <c r="R1173" s="29"/>
      <c r="S1173" s="29"/>
      <c r="T1173" s="30"/>
      <c r="U1173" s="47" t="str">
        <f aca="false">IF(AND(B1173&lt;&gt;"",B1173=SW別シート!$C$3),COUNTIF(B$5:B1173,B1173),"")</f>
        <v/>
      </c>
      <c r="V1173" s="47" t="n">
        <f aca="false">V1172+IF(OR(O1173&lt;&gt;"",W1173&lt;&gt;""),1,0)</f>
        <v>3</v>
      </c>
      <c r="W1173" s="29"/>
    </row>
    <row r="1174" customFormat="false" ht="15" hidden="false" customHeight="false" outlineLevel="0" collapsed="false">
      <c r="A1174" s="32" t="str">
        <f aca="false">IF(B1174="","",ROW()-7)</f>
        <v/>
      </c>
      <c r="B1174" s="30"/>
      <c r="C1174" s="29"/>
      <c r="D1174" s="29"/>
      <c r="E1174" s="29"/>
      <c r="F1174" s="30"/>
      <c r="G1174" s="29"/>
      <c r="H1174" s="30"/>
      <c r="I1174" s="29"/>
      <c r="J1174" s="30"/>
      <c r="K1174" s="30"/>
      <c r="L1174" s="29"/>
      <c r="M1174" s="32" t="str">
        <f aca="false">IF(OR(C1174="",L1174=""),"",IF(C1174=L1174,"同一","変更"))</f>
        <v/>
      </c>
      <c r="N1174" s="29"/>
      <c r="O1174" s="30"/>
      <c r="P1174" s="29"/>
      <c r="Q1174" s="31"/>
      <c r="R1174" s="29"/>
      <c r="S1174" s="29"/>
      <c r="T1174" s="30"/>
      <c r="U1174" s="47" t="str">
        <f aca="false">IF(AND(B1174&lt;&gt;"",B1174=SW別シート!$C$3),COUNTIF(B$5:B1174,B1174),"")</f>
        <v/>
      </c>
      <c r="V1174" s="47" t="n">
        <f aca="false">V1173+IF(OR(O1174&lt;&gt;"",W1174&lt;&gt;""),1,0)</f>
        <v>3</v>
      </c>
      <c r="W1174" s="29"/>
    </row>
    <row r="1175" customFormat="false" ht="15" hidden="false" customHeight="false" outlineLevel="0" collapsed="false">
      <c r="A1175" s="32" t="str">
        <f aca="false">IF(B1175="","",ROW()-7)</f>
        <v/>
      </c>
      <c r="B1175" s="30"/>
      <c r="C1175" s="29"/>
      <c r="D1175" s="29"/>
      <c r="E1175" s="29"/>
      <c r="F1175" s="30"/>
      <c r="G1175" s="29"/>
      <c r="H1175" s="30"/>
      <c r="I1175" s="29"/>
      <c r="J1175" s="30"/>
      <c r="K1175" s="30"/>
      <c r="L1175" s="29"/>
      <c r="M1175" s="32" t="str">
        <f aca="false">IF(OR(C1175="",L1175=""),"",IF(C1175=L1175,"同一","変更"))</f>
        <v/>
      </c>
      <c r="N1175" s="29"/>
      <c r="O1175" s="30"/>
      <c r="P1175" s="29"/>
      <c r="Q1175" s="31"/>
      <c r="R1175" s="29"/>
      <c r="S1175" s="29"/>
      <c r="T1175" s="30"/>
      <c r="U1175" s="47" t="str">
        <f aca="false">IF(AND(B1175&lt;&gt;"",B1175=SW別シート!$C$3),COUNTIF(B$5:B1175,B1175),"")</f>
        <v/>
      </c>
      <c r="V1175" s="47" t="n">
        <f aca="false">V1174+IF(OR(O1175&lt;&gt;"",W1175&lt;&gt;""),1,0)</f>
        <v>3</v>
      </c>
      <c r="W1175" s="29"/>
    </row>
    <row r="1176" customFormat="false" ht="15" hidden="false" customHeight="false" outlineLevel="0" collapsed="false">
      <c r="A1176" s="32" t="str">
        <f aca="false">IF(B1176="","",ROW()-7)</f>
        <v/>
      </c>
      <c r="B1176" s="30"/>
      <c r="C1176" s="29"/>
      <c r="D1176" s="29"/>
      <c r="E1176" s="29"/>
      <c r="F1176" s="30"/>
      <c r="G1176" s="29"/>
      <c r="H1176" s="30"/>
      <c r="I1176" s="29"/>
      <c r="J1176" s="30"/>
      <c r="K1176" s="30"/>
      <c r="L1176" s="29"/>
      <c r="M1176" s="32" t="str">
        <f aca="false">IF(OR(C1176="",L1176=""),"",IF(C1176=L1176,"同一","変更"))</f>
        <v/>
      </c>
      <c r="N1176" s="29"/>
      <c r="O1176" s="30"/>
      <c r="P1176" s="29"/>
      <c r="Q1176" s="31"/>
      <c r="R1176" s="29"/>
      <c r="S1176" s="29"/>
      <c r="T1176" s="30"/>
      <c r="U1176" s="47" t="str">
        <f aca="false">IF(AND(B1176&lt;&gt;"",B1176=SW別シート!$C$3),COUNTIF(B$5:B1176,B1176),"")</f>
        <v/>
      </c>
      <c r="V1176" s="47" t="n">
        <f aca="false">V1175+IF(OR(O1176&lt;&gt;"",W1176&lt;&gt;""),1,0)</f>
        <v>3</v>
      </c>
      <c r="W1176" s="29"/>
    </row>
    <row r="1177" customFormat="false" ht="15" hidden="false" customHeight="false" outlineLevel="0" collapsed="false">
      <c r="A1177" s="32" t="str">
        <f aca="false">IF(B1177="","",ROW()-7)</f>
        <v/>
      </c>
      <c r="B1177" s="30"/>
      <c r="C1177" s="29"/>
      <c r="D1177" s="29"/>
      <c r="E1177" s="29"/>
      <c r="F1177" s="30"/>
      <c r="G1177" s="29"/>
      <c r="H1177" s="30"/>
      <c r="I1177" s="29"/>
      <c r="J1177" s="30"/>
      <c r="K1177" s="30"/>
      <c r="L1177" s="29"/>
      <c r="M1177" s="32" t="str">
        <f aca="false">IF(OR(C1177="",L1177=""),"",IF(C1177=L1177,"同一","変更"))</f>
        <v/>
      </c>
      <c r="N1177" s="29"/>
      <c r="O1177" s="30"/>
      <c r="P1177" s="29"/>
      <c r="Q1177" s="31"/>
      <c r="R1177" s="29"/>
      <c r="S1177" s="29"/>
      <c r="T1177" s="30"/>
      <c r="U1177" s="47" t="str">
        <f aca="false">IF(AND(B1177&lt;&gt;"",B1177=SW別シート!$C$3),COUNTIF(B$5:B1177,B1177),"")</f>
        <v/>
      </c>
      <c r="V1177" s="47" t="n">
        <f aca="false">V1176+IF(OR(O1177&lt;&gt;"",W1177&lt;&gt;""),1,0)</f>
        <v>3</v>
      </c>
      <c r="W1177" s="29"/>
    </row>
    <row r="1178" customFormat="false" ht="15" hidden="false" customHeight="false" outlineLevel="0" collapsed="false">
      <c r="A1178" s="32" t="str">
        <f aca="false">IF(B1178="","",ROW()-7)</f>
        <v/>
      </c>
      <c r="B1178" s="30"/>
      <c r="C1178" s="29"/>
      <c r="D1178" s="29"/>
      <c r="E1178" s="29"/>
      <c r="F1178" s="30"/>
      <c r="G1178" s="29"/>
      <c r="H1178" s="30"/>
      <c r="I1178" s="29"/>
      <c r="J1178" s="30"/>
      <c r="K1178" s="30"/>
      <c r="L1178" s="29"/>
      <c r="M1178" s="32" t="str">
        <f aca="false">IF(OR(C1178="",L1178=""),"",IF(C1178=L1178,"同一","変更"))</f>
        <v/>
      </c>
      <c r="N1178" s="29"/>
      <c r="O1178" s="30"/>
      <c r="P1178" s="29"/>
      <c r="Q1178" s="31"/>
      <c r="R1178" s="29"/>
      <c r="S1178" s="29"/>
      <c r="T1178" s="30"/>
      <c r="U1178" s="47" t="str">
        <f aca="false">IF(AND(B1178&lt;&gt;"",B1178=SW別シート!$C$3),COUNTIF(B$5:B1178,B1178),"")</f>
        <v/>
      </c>
      <c r="V1178" s="47" t="n">
        <f aca="false">V1177+IF(OR(O1178&lt;&gt;"",W1178&lt;&gt;""),1,0)</f>
        <v>3</v>
      </c>
      <c r="W1178" s="29"/>
    </row>
    <row r="1179" customFormat="false" ht="15" hidden="false" customHeight="false" outlineLevel="0" collapsed="false">
      <c r="A1179" s="32" t="str">
        <f aca="false">IF(B1179="","",ROW()-7)</f>
        <v/>
      </c>
      <c r="B1179" s="30"/>
      <c r="C1179" s="29"/>
      <c r="D1179" s="29"/>
      <c r="E1179" s="29"/>
      <c r="F1179" s="30"/>
      <c r="G1179" s="29"/>
      <c r="H1179" s="30"/>
      <c r="I1179" s="29"/>
      <c r="J1179" s="30"/>
      <c r="K1179" s="30"/>
      <c r="L1179" s="29"/>
      <c r="M1179" s="32" t="str">
        <f aca="false">IF(OR(C1179="",L1179=""),"",IF(C1179=L1179,"同一","変更"))</f>
        <v/>
      </c>
      <c r="N1179" s="29"/>
      <c r="O1179" s="30"/>
      <c r="P1179" s="29"/>
      <c r="Q1179" s="31"/>
      <c r="R1179" s="29"/>
      <c r="S1179" s="29"/>
      <c r="T1179" s="30"/>
      <c r="U1179" s="47" t="str">
        <f aca="false">IF(AND(B1179&lt;&gt;"",B1179=SW別シート!$C$3),COUNTIF(B$5:B1179,B1179),"")</f>
        <v/>
      </c>
      <c r="V1179" s="47" t="n">
        <f aca="false">V1178+IF(OR(O1179&lt;&gt;"",W1179&lt;&gt;""),1,0)</f>
        <v>3</v>
      </c>
      <c r="W1179" s="29"/>
    </row>
    <row r="1180" customFormat="false" ht="15" hidden="false" customHeight="false" outlineLevel="0" collapsed="false">
      <c r="A1180" s="32" t="str">
        <f aca="false">IF(B1180="","",ROW()-7)</f>
        <v/>
      </c>
      <c r="B1180" s="30"/>
      <c r="C1180" s="29"/>
      <c r="D1180" s="29"/>
      <c r="E1180" s="29"/>
      <c r="F1180" s="30"/>
      <c r="G1180" s="29"/>
      <c r="H1180" s="30"/>
      <c r="I1180" s="29"/>
      <c r="J1180" s="30"/>
      <c r="K1180" s="30"/>
      <c r="L1180" s="29"/>
      <c r="M1180" s="32" t="str">
        <f aca="false">IF(OR(C1180="",L1180=""),"",IF(C1180=L1180,"同一","変更"))</f>
        <v/>
      </c>
      <c r="N1180" s="29"/>
      <c r="O1180" s="30"/>
      <c r="P1180" s="29"/>
      <c r="Q1180" s="31"/>
      <c r="R1180" s="29"/>
      <c r="S1180" s="29"/>
      <c r="T1180" s="30"/>
      <c r="U1180" s="47" t="str">
        <f aca="false">IF(AND(B1180&lt;&gt;"",B1180=SW別シート!$C$3),COUNTIF(B$5:B1180,B1180),"")</f>
        <v/>
      </c>
      <c r="V1180" s="47" t="n">
        <f aca="false">V1179+IF(OR(O1180&lt;&gt;"",W1180&lt;&gt;""),1,0)</f>
        <v>3</v>
      </c>
      <c r="W1180" s="29"/>
    </row>
    <row r="1181" customFormat="false" ht="15" hidden="false" customHeight="false" outlineLevel="0" collapsed="false">
      <c r="A1181" s="32" t="str">
        <f aca="false">IF(B1181="","",ROW()-7)</f>
        <v/>
      </c>
      <c r="B1181" s="30"/>
      <c r="C1181" s="29"/>
      <c r="D1181" s="29"/>
      <c r="E1181" s="29"/>
      <c r="F1181" s="30"/>
      <c r="G1181" s="29"/>
      <c r="H1181" s="30"/>
      <c r="I1181" s="29"/>
      <c r="J1181" s="30"/>
      <c r="K1181" s="30"/>
      <c r="L1181" s="29"/>
      <c r="M1181" s="32" t="str">
        <f aca="false">IF(OR(C1181="",L1181=""),"",IF(C1181=L1181,"同一","変更"))</f>
        <v/>
      </c>
      <c r="N1181" s="29"/>
      <c r="O1181" s="30"/>
      <c r="P1181" s="29"/>
      <c r="Q1181" s="31"/>
      <c r="R1181" s="29"/>
      <c r="S1181" s="29"/>
      <c r="T1181" s="30"/>
      <c r="U1181" s="47" t="str">
        <f aca="false">IF(AND(B1181&lt;&gt;"",B1181=SW別シート!$C$3),COUNTIF(B$5:B1181,B1181),"")</f>
        <v/>
      </c>
      <c r="V1181" s="47" t="n">
        <f aca="false">V1180+IF(OR(O1181&lt;&gt;"",W1181&lt;&gt;""),1,0)</f>
        <v>3</v>
      </c>
      <c r="W1181" s="29"/>
    </row>
    <row r="1182" customFormat="false" ht="15" hidden="false" customHeight="false" outlineLevel="0" collapsed="false">
      <c r="A1182" s="32" t="str">
        <f aca="false">IF(B1182="","",ROW()-7)</f>
        <v/>
      </c>
      <c r="B1182" s="30"/>
      <c r="C1182" s="29"/>
      <c r="D1182" s="29"/>
      <c r="E1182" s="29"/>
      <c r="F1182" s="30"/>
      <c r="G1182" s="29"/>
      <c r="H1182" s="30"/>
      <c r="I1182" s="29"/>
      <c r="J1182" s="30"/>
      <c r="K1182" s="30"/>
      <c r="L1182" s="29"/>
      <c r="M1182" s="32" t="str">
        <f aca="false">IF(OR(C1182="",L1182=""),"",IF(C1182=L1182,"同一","変更"))</f>
        <v/>
      </c>
      <c r="N1182" s="29"/>
      <c r="O1182" s="30"/>
      <c r="P1182" s="29"/>
      <c r="Q1182" s="31"/>
      <c r="R1182" s="29"/>
      <c r="S1182" s="29"/>
      <c r="T1182" s="30"/>
      <c r="U1182" s="47" t="str">
        <f aca="false">IF(AND(B1182&lt;&gt;"",B1182=SW別シート!$C$3),COUNTIF(B$5:B1182,B1182),"")</f>
        <v/>
      </c>
      <c r="V1182" s="47" t="n">
        <f aca="false">V1181+IF(OR(O1182&lt;&gt;"",W1182&lt;&gt;""),1,0)</f>
        <v>3</v>
      </c>
      <c r="W1182" s="29"/>
    </row>
    <row r="1183" customFormat="false" ht="15" hidden="false" customHeight="false" outlineLevel="0" collapsed="false">
      <c r="A1183" s="32" t="str">
        <f aca="false">IF(B1183="","",ROW()-7)</f>
        <v/>
      </c>
      <c r="B1183" s="30"/>
      <c r="C1183" s="29"/>
      <c r="D1183" s="29"/>
      <c r="E1183" s="29"/>
      <c r="F1183" s="30"/>
      <c r="G1183" s="29"/>
      <c r="H1183" s="30"/>
      <c r="I1183" s="29"/>
      <c r="J1183" s="30"/>
      <c r="K1183" s="30"/>
      <c r="L1183" s="29"/>
      <c r="M1183" s="32" t="str">
        <f aca="false">IF(OR(C1183="",L1183=""),"",IF(C1183=L1183,"同一","変更"))</f>
        <v/>
      </c>
      <c r="N1183" s="29"/>
      <c r="O1183" s="30"/>
      <c r="P1183" s="29"/>
      <c r="Q1183" s="31"/>
      <c r="R1183" s="29"/>
      <c r="S1183" s="29"/>
      <c r="T1183" s="30"/>
      <c r="U1183" s="47" t="str">
        <f aca="false">IF(AND(B1183&lt;&gt;"",B1183=SW別シート!$C$3),COUNTIF(B$5:B1183,B1183),"")</f>
        <v/>
      </c>
      <c r="V1183" s="47" t="n">
        <f aca="false">V1182+IF(OR(O1183&lt;&gt;"",W1183&lt;&gt;""),1,0)</f>
        <v>3</v>
      </c>
      <c r="W1183" s="29"/>
    </row>
    <row r="1184" customFormat="false" ht="15" hidden="false" customHeight="false" outlineLevel="0" collapsed="false">
      <c r="A1184" s="32" t="str">
        <f aca="false">IF(B1184="","",ROW()-7)</f>
        <v/>
      </c>
      <c r="B1184" s="30"/>
      <c r="C1184" s="29"/>
      <c r="D1184" s="29"/>
      <c r="E1184" s="29"/>
      <c r="F1184" s="30"/>
      <c r="G1184" s="29"/>
      <c r="H1184" s="30"/>
      <c r="I1184" s="29"/>
      <c r="J1184" s="30"/>
      <c r="K1184" s="30"/>
      <c r="L1184" s="29"/>
      <c r="M1184" s="32" t="str">
        <f aca="false">IF(OR(C1184="",L1184=""),"",IF(C1184=L1184,"同一","変更"))</f>
        <v/>
      </c>
      <c r="N1184" s="29"/>
      <c r="O1184" s="30"/>
      <c r="P1184" s="29"/>
      <c r="Q1184" s="31"/>
      <c r="R1184" s="29"/>
      <c r="S1184" s="29"/>
      <c r="T1184" s="30"/>
      <c r="U1184" s="47" t="str">
        <f aca="false">IF(AND(B1184&lt;&gt;"",B1184=SW別シート!$C$3),COUNTIF(B$5:B1184,B1184),"")</f>
        <v/>
      </c>
      <c r="V1184" s="47" t="n">
        <f aca="false">V1183+IF(OR(O1184&lt;&gt;"",W1184&lt;&gt;""),1,0)</f>
        <v>3</v>
      </c>
      <c r="W1184" s="29"/>
    </row>
    <row r="1185" customFormat="false" ht="15" hidden="false" customHeight="false" outlineLevel="0" collapsed="false">
      <c r="A1185" s="32" t="str">
        <f aca="false">IF(B1185="","",ROW()-7)</f>
        <v/>
      </c>
      <c r="B1185" s="30"/>
      <c r="C1185" s="29"/>
      <c r="D1185" s="29"/>
      <c r="E1185" s="29"/>
      <c r="F1185" s="30"/>
      <c r="G1185" s="29"/>
      <c r="H1185" s="30"/>
      <c r="I1185" s="29"/>
      <c r="J1185" s="30"/>
      <c r="K1185" s="30"/>
      <c r="L1185" s="29"/>
      <c r="M1185" s="32" t="str">
        <f aca="false">IF(OR(C1185="",L1185=""),"",IF(C1185=L1185,"同一","変更"))</f>
        <v/>
      </c>
      <c r="N1185" s="29"/>
      <c r="O1185" s="30"/>
      <c r="P1185" s="29"/>
      <c r="Q1185" s="31"/>
      <c r="R1185" s="29"/>
      <c r="S1185" s="29"/>
      <c r="T1185" s="30"/>
      <c r="U1185" s="47" t="str">
        <f aca="false">IF(AND(B1185&lt;&gt;"",B1185=SW別シート!$C$3),COUNTIF(B$5:B1185,B1185),"")</f>
        <v/>
      </c>
      <c r="V1185" s="47" t="n">
        <f aca="false">V1184+IF(OR(O1185&lt;&gt;"",W1185&lt;&gt;""),1,0)</f>
        <v>3</v>
      </c>
      <c r="W1185" s="29"/>
    </row>
    <row r="1186" customFormat="false" ht="15" hidden="false" customHeight="false" outlineLevel="0" collapsed="false">
      <c r="A1186" s="32" t="str">
        <f aca="false">IF(B1186="","",ROW()-7)</f>
        <v/>
      </c>
      <c r="B1186" s="30"/>
      <c r="C1186" s="29"/>
      <c r="D1186" s="29"/>
      <c r="E1186" s="29"/>
      <c r="F1186" s="30"/>
      <c r="G1186" s="29"/>
      <c r="H1186" s="30"/>
      <c r="I1186" s="29"/>
      <c r="J1186" s="30"/>
      <c r="K1186" s="30"/>
      <c r="L1186" s="29"/>
      <c r="M1186" s="32" t="str">
        <f aca="false">IF(OR(C1186="",L1186=""),"",IF(C1186=L1186,"同一","変更"))</f>
        <v/>
      </c>
      <c r="N1186" s="29"/>
      <c r="O1186" s="30"/>
      <c r="P1186" s="29"/>
      <c r="Q1186" s="31"/>
      <c r="R1186" s="29"/>
      <c r="S1186" s="29"/>
      <c r="T1186" s="30"/>
      <c r="U1186" s="47" t="str">
        <f aca="false">IF(AND(B1186&lt;&gt;"",B1186=SW別シート!$C$3),COUNTIF(B$5:B1186,B1186),"")</f>
        <v/>
      </c>
      <c r="V1186" s="47" t="n">
        <f aca="false">V1185+IF(OR(O1186&lt;&gt;"",W1186&lt;&gt;""),1,0)</f>
        <v>3</v>
      </c>
      <c r="W1186" s="29"/>
    </row>
    <row r="1187" customFormat="false" ht="15" hidden="false" customHeight="false" outlineLevel="0" collapsed="false">
      <c r="A1187" s="32" t="str">
        <f aca="false">IF(B1187="","",ROW()-7)</f>
        <v/>
      </c>
      <c r="B1187" s="30"/>
      <c r="C1187" s="29"/>
      <c r="D1187" s="29"/>
      <c r="E1187" s="29"/>
      <c r="F1187" s="30"/>
      <c r="G1187" s="29"/>
      <c r="H1187" s="30"/>
      <c r="I1187" s="29"/>
      <c r="J1187" s="30"/>
      <c r="K1187" s="30"/>
      <c r="L1187" s="29"/>
      <c r="M1187" s="32" t="str">
        <f aca="false">IF(OR(C1187="",L1187=""),"",IF(C1187=L1187,"同一","変更"))</f>
        <v/>
      </c>
      <c r="N1187" s="29"/>
      <c r="O1187" s="30"/>
      <c r="P1187" s="29"/>
      <c r="Q1187" s="31"/>
      <c r="R1187" s="29"/>
      <c r="S1187" s="29"/>
      <c r="T1187" s="30"/>
      <c r="U1187" s="47" t="str">
        <f aca="false">IF(AND(B1187&lt;&gt;"",B1187=SW別シート!$C$3),COUNTIF(B$5:B1187,B1187),"")</f>
        <v/>
      </c>
      <c r="V1187" s="47" t="n">
        <f aca="false">V1186+IF(OR(O1187&lt;&gt;"",W1187&lt;&gt;""),1,0)</f>
        <v>3</v>
      </c>
      <c r="W1187" s="29"/>
    </row>
    <row r="1188" customFormat="false" ht="15" hidden="false" customHeight="false" outlineLevel="0" collapsed="false">
      <c r="A1188" s="32" t="str">
        <f aca="false">IF(B1188="","",ROW()-7)</f>
        <v/>
      </c>
      <c r="B1188" s="30"/>
      <c r="C1188" s="29"/>
      <c r="D1188" s="29"/>
      <c r="E1188" s="29"/>
      <c r="F1188" s="30"/>
      <c r="G1188" s="29"/>
      <c r="H1188" s="30"/>
      <c r="I1188" s="29"/>
      <c r="J1188" s="30"/>
      <c r="K1188" s="30"/>
      <c r="L1188" s="29"/>
      <c r="M1188" s="32" t="str">
        <f aca="false">IF(OR(C1188="",L1188=""),"",IF(C1188=L1188,"同一","変更"))</f>
        <v/>
      </c>
      <c r="N1188" s="29"/>
      <c r="O1188" s="30"/>
      <c r="P1188" s="29"/>
      <c r="Q1188" s="31"/>
      <c r="R1188" s="29"/>
      <c r="S1188" s="29"/>
      <c r="T1188" s="30"/>
      <c r="U1188" s="47" t="str">
        <f aca="false">IF(AND(B1188&lt;&gt;"",B1188=SW別シート!$C$3),COUNTIF(B$5:B1188,B1188),"")</f>
        <v/>
      </c>
      <c r="V1188" s="47" t="n">
        <f aca="false">V1187+IF(OR(O1188&lt;&gt;"",W1188&lt;&gt;""),1,0)</f>
        <v>3</v>
      </c>
      <c r="W1188" s="29"/>
    </row>
    <row r="1189" customFormat="false" ht="15" hidden="false" customHeight="false" outlineLevel="0" collapsed="false">
      <c r="A1189" s="32" t="str">
        <f aca="false">IF(B1189="","",ROW()-7)</f>
        <v/>
      </c>
      <c r="B1189" s="30"/>
      <c r="C1189" s="29"/>
      <c r="D1189" s="29"/>
      <c r="E1189" s="29"/>
      <c r="F1189" s="30"/>
      <c r="G1189" s="29"/>
      <c r="H1189" s="30"/>
      <c r="I1189" s="29"/>
      <c r="J1189" s="30"/>
      <c r="K1189" s="30"/>
      <c r="L1189" s="29"/>
      <c r="M1189" s="32" t="str">
        <f aca="false">IF(OR(C1189="",L1189=""),"",IF(C1189=L1189,"同一","変更"))</f>
        <v/>
      </c>
      <c r="N1189" s="29"/>
      <c r="O1189" s="30"/>
      <c r="P1189" s="29"/>
      <c r="Q1189" s="31"/>
      <c r="R1189" s="29"/>
      <c r="S1189" s="29"/>
      <c r="T1189" s="30"/>
      <c r="U1189" s="47" t="str">
        <f aca="false">IF(AND(B1189&lt;&gt;"",B1189=SW別シート!$C$3),COUNTIF(B$5:B1189,B1189),"")</f>
        <v/>
      </c>
      <c r="V1189" s="47" t="n">
        <f aca="false">V1188+IF(OR(O1189&lt;&gt;"",W1189&lt;&gt;""),1,0)</f>
        <v>3</v>
      </c>
      <c r="W1189" s="29"/>
    </row>
    <row r="1190" customFormat="false" ht="15" hidden="false" customHeight="false" outlineLevel="0" collapsed="false">
      <c r="A1190" s="32" t="str">
        <f aca="false">IF(B1190="","",ROW()-7)</f>
        <v/>
      </c>
      <c r="B1190" s="30"/>
      <c r="C1190" s="29"/>
      <c r="D1190" s="29"/>
      <c r="E1190" s="29"/>
      <c r="F1190" s="30"/>
      <c r="G1190" s="29"/>
      <c r="H1190" s="30"/>
      <c r="I1190" s="29"/>
      <c r="J1190" s="30"/>
      <c r="K1190" s="30"/>
      <c r="L1190" s="29"/>
      <c r="M1190" s="32" t="str">
        <f aca="false">IF(OR(C1190="",L1190=""),"",IF(C1190=L1190,"同一","変更"))</f>
        <v/>
      </c>
      <c r="N1190" s="29"/>
      <c r="O1190" s="30"/>
      <c r="P1190" s="29"/>
      <c r="Q1190" s="31"/>
      <c r="R1190" s="29"/>
      <c r="S1190" s="29"/>
      <c r="T1190" s="30"/>
      <c r="U1190" s="47" t="str">
        <f aca="false">IF(AND(B1190&lt;&gt;"",B1190=SW別シート!$C$3),COUNTIF(B$5:B1190,B1190),"")</f>
        <v/>
      </c>
      <c r="V1190" s="47" t="n">
        <f aca="false">V1189+IF(OR(O1190&lt;&gt;"",W1190&lt;&gt;""),1,0)</f>
        <v>3</v>
      </c>
      <c r="W1190" s="29"/>
    </row>
    <row r="1191" customFormat="false" ht="15" hidden="false" customHeight="false" outlineLevel="0" collapsed="false">
      <c r="A1191" s="32" t="str">
        <f aca="false">IF(B1191="","",ROW()-7)</f>
        <v/>
      </c>
      <c r="B1191" s="30"/>
      <c r="C1191" s="29"/>
      <c r="D1191" s="29"/>
      <c r="E1191" s="29"/>
      <c r="F1191" s="30"/>
      <c r="G1191" s="29"/>
      <c r="H1191" s="30"/>
      <c r="I1191" s="29"/>
      <c r="J1191" s="30"/>
      <c r="K1191" s="30"/>
      <c r="L1191" s="29"/>
      <c r="M1191" s="32" t="str">
        <f aca="false">IF(OR(C1191="",L1191=""),"",IF(C1191=L1191,"同一","変更"))</f>
        <v/>
      </c>
      <c r="N1191" s="29"/>
      <c r="O1191" s="30"/>
      <c r="P1191" s="29"/>
      <c r="Q1191" s="31"/>
      <c r="R1191" s="29"/>
      <c r="S1191" s="29"/>
      <c r="T1191" s="30"/>
      <c r="U1191" s="47" t="str">
        <f aca="false">IF(AND(B1191&lt;&gt;"",B1191=SW別シート!$C$3),COUNTIF(B$5:B1191,B1191),"")</f>
        <v/>
      </c>
      <c r="V1191" s="47" t="n">
        <f aca="false">V1190+IF(OR(O1191&lt;&gt;"",W1191&lt;&gt;""),1,0)</f>
        <v>3</v>
      </c>
      <c r="W1191" s="29"/>
    </row>
    <row r="1192" customFormat="false" ht="15" hidden="false" customHeight="false" outlineLevel="0" collapsed="false">
      <c r="A1192" s="32" t="str">
        <f aca="false">IF(B1192="","",ROW()-7)</f>
        <v/>
      </c>
      <c r="B1192" s="30"/>
      <c r="C1192" s="29"/>
      <c r="D1192" s="29"/>
      <c r="E1192" s="29"/>
      <c r="F1192" s="30"/>
      <c r="G1192" s="29"/>
      <c r="H1192" s="30"/>
      <c r="I1192" s="29"/>
      <c r="J1192" s="30"/>
      <c r="K1192" s="30"/>
      <c r="L1192" s="29"/>
      <c r="M1192" s="32" t="str">
        <f aca="false">IF(OR(C1192="",L1192=""),"",IF(C1192=L1192,"同一","変更"))</f>
        <v/>
      </c>
      <c r="N1192" s="29"/>
      <c r="O1192" s="30"/>
      <c r="P1192" s="29"/>
      <c r="Q1192" s="31"/>
      <c r="R1192" s="29"/>
      <c r="S1192" s="29"/>
      <c r="T1192" s="30"/>
      <c r="U1192" s="47" t="str">
        <f aca="false">IF(AND(B1192&lt;&gt;"",B1192=SW別シート!$C$3),COUNTIF(B$5:B1192,B1192),"")</f>
        <v/>
      </c>
      <c r="V1192" s="47" t="n">
        <f aca="false">V1191+IF(OR(O1192&lt;&gt;"",W1192&lt;&gt;""),1,0)</f>
        <v>3</v>
      </c>
      <c r="W1192" s="29"/>
    </row>
    <row r="1193" customFormat="false" ht="15" hidden="false" customHeight="false" outlineLevel="0" collapsed="false">
      <c r="A1193" s="32" t="str">
        <f aca="false">IF(B1193="","",ROW()-7)</f>
        <v/>
      </c>
      <c r="B1193" s="30"/>
      <c r="C1193" s="29"/>
      <c r="D1193" s="29"/>
      <c r="E1193" s="29"/>
      <c r="F1193" s="30"/>
      <c r="G1193" s="29"/>
      <c r="H1193" s="30"/>
      <c r="I1193" s="29"/>
      <c r="J1193" s="30"/>
      <c r="K1193" s="30"/>
      <c r="L1193" s="29"/>
      <c r="M1193" s="32" t="str">
        <f aca="false">IF(OR(C1193="",L1193=""),"",IF(C1193=L1193,"同一","変更"))</f>
        <v/>
      </c>
      <c r="N1193" s="29"/>
      <c r="O1193" s="30"/>
      <c r="P1193" s="29"/>
      <c r="Q1193" s="31"/>
      <c r="R1193" s="29"/>
      <c r="S1193" s="29"/>
      <c r="T1193" s="30"/>
      <c r="U1193" s="47" t="str">
        <f aca="false">IF(AND(B1193&lt;&gt;"",B1193=SW別シート!$C$3),COUNTIF(B$5:B1193,B1193),"")</f>
        <v/>
      </c>
      <c r="V1193" s="47" t="n">
        <f aca="false">V1192+IF(OR(O1193&lt;&gt;"",W1193&lt;&gt;""),1,0)</f>
        <v>3</v>
      </c>
      <c r="W1193" s="29"/>
    </row>
    <row r="1194" customFormat="false" ht="15" hidden="false" customHeight="false" outlineLevel="0" collapsed="false">
      <c r="A1194" s="32" t="str">
        <f aca="false">IF(B1194="","",ROW()-7)</f>
        <v/>
      </c>
      <c r="B1194" s="30"/>
      <c r="C1194" s="29"/>
      <c r="D1194" s="29"/>
      <c r="E1194" s="29"/>
      <c r="F1194" s="30"/>
      <c r="G1194" s="29"/>
      <c r="H1194" s="30"/>
      <c r="I1194" s="29"/>
      <c r="J1194" s="30"/>
      <c r="K1194" s="30"/>
      <c r="L1194" s="29"/>
      <c r="M1194" s="32" t="str">
        <f aca="false">IF(OR(C1194="",L1194=""),"",IF(C1194=L1194,"同一","変更"))</f>
        <v/>
      </c>
      <c r="N1194" s="29"/>
      <c r="O1194" s="30"/>
      <c r="P1194" s="29"/>
      <c r="Q1194" s="31"/>
      <c r="R1194" s="29"/>
      <c r="S1194" s="29"/>
      <c r="T1194" s="30"/>
      <c r="U1194" s="47" t="str">
        <f aca="false">IF(AND(B1194&lt;&gt;"",B1194=SW別シート!$C$3),COUNTIF(B$5:B1194,B1194),"")</f>
        <v/>
      </c>
      <c r="V1194" s="47" t="n">
        <f aca="false">V1193+IF(OR(O1194&lt;&gt;"",W1194&lt;&gt;""),1,0)</f>
        <v>3</v>
      </c>
      <c r="W1194" s="29"/>
    </row>
    <row r="1195" customFormat="false" ht="15" hidden="false" customHeight="false" outlineLevel="0" collapsed="false">
      <c r="A1195" s="32" t="str">
        <f aca="false">IF(B1195="","",ROW()-7)</f>
        <v/>
      </c>
      <c r="B1195" s="30"/>
      <c r="C1195" s="29"/>
      <c r="D1195" s="29"/>
      <c r="E1195" s="29"/>
      <c r="F1195" s="30"/>
      <c r="G1195" s="29"/>
      <c r="H1195" s="30"/>
      <c r="I1195" s="29"/>
      <c r="J1195" s="30"/>
      <c r="K1195" s="30"/>
      <c r="L1195" s="29"/>
      <c r="M1195" s="32" t="str">
        <f aca="false">IF(OR(C1195="",L1195=""),"",IF(C1195=L1195,"同一","変更"))</f>
        <v/>
      </c>
      <c r="N1195" s="29"/>
      <c r="O1195" s="30"/>
      <c r="P1195" s="29"/>
      <c r="Q1195" s="31"/>
      <c r="R1195" s="29"/>
      <c r="S1195" s="29"/>
      <c r="T1195" s="30"/>
      <c r="U1195" s="47" t="str">
        <f aca="false">IF(AND(B1195&lt;&gt;"",B1195=SW別シート!$C$3),COUNTIF(B$5:B1195,B1195),"")</f>
        <v/>
      </c>
      <c r="V1195" s="47" t="n">
        <f aca="false">V1194+IF(OR(O1195&lt;&gt;"",W1195&lt;&gt;""),1,0)</f>
        <v>3</v>
      </c>
      <c r="W1195" s="29"/>
    </row>
    <row r="1196" customFormat="false" ht="15" hidden="false" customHeight="false" outlineLevel="0" collapsed="false">
      <c r="A1196" s="32" t="str">
        <f aca="false">IF(B1196="","",ROW()-7)</f>
        <v/>
      </c>
      <c r="B1196" s="30"/>
      <c r="C1196" s="29"/>
      <c r="D1196" s="29"/>
      <c r="E1196" s="29"/>
      <c r="F1196" s="30"/>
      <c r="G1196" s="29"/>
      <c r="H1196" s="30"/>
      <c r="I1196" s="29"/>
      <c r="J1196" s="30"/>
      <c r="K1196" s="30"/>
      <c r="L1196" s="29"/>
      <c r="M1196" s="32" t="str">
        <f aca="false">IF(OR(C1196="",L1196=""),"",IF(C1196=L1196,"同一","変更"))</f>
        <v/>
      </c>
      <c r="N1196" s="29"/>
      <c r="O1196" s="30"/>
      <c r="P1196" s="29"/>
      <c r="Q1196" s="31"/>
      <c r="R1196" s="29"/>
      <c r="S1196" s="29"/>
      <c r="T1196" s="30"/>
      <c r="U1196" s="47" t="str">
        <f aca="false">IF(AND(B1196&lt;&gt;"",B1196=SW別シート!$C$3),COUNTIF(B$5:B1196,B1196),"")</f>
        <v/>
      </c>
      <c r="V1196" s="47" t="n">
        <f aca="false">V1195+IF(OR(O1196&lt;&gt;"",W1196&lt;&gt;""),1,0)</f>
        <v>3</v>
      </c>
      <c r="W1196" s="29"/>
    </row>
    <row r="1197" customFormat="false" ht="15" hidden="false" customHeight="false" outlineLevel="0" collapsed="false">
      <c r="A1197" s="32" t="str">
        <f aca="false">IF(B1197="","",ROW()-7)</f>
        <v/>
      </c>
      <c r="B1197" s="30"/>
      <c r="C1197" s="29"/>
      <c r="D1197" s="29"/>
      <c r="E1197" s="29"/>
      <c r="F1197" s="30"/>
      <c r="G1197" s="29"/>
      <c r="H1197" s="30"/>
      <c r="I1197" s="29"/>
      <c r="J1197" s="30"/>
      <c r="K1197" s="30"/>
      <c r="L1197" s="29"/>
      <c r="M1197" s="32" t="str">
        <f aca="false">IF(OR(C1197="",L1197=""),"",IF(C1197=L1197,"同一","変更"))</f>
        <v/>
      </c>
      <c r="N1197" s="29"/>
      <c r="O1197" s="30"/>
      <c r="P1197" s="29"/>
      <c r="Q1197" s="31"/>
      <c r="R1197" s="29"/>
      <c r="S1197" s="29"/>
      <c r="T1197" s="30"/>
      <c r="U1197" s="47" t="str">
        <f aca="false">IF(AND(B1197&lt;&gt;"",B1197=SW別シート!$C$3),COUNTIF(B$5:B1197,B1197),"")</f>
        <v/>
      </c>
      <c r="V1197" s="47" t="n">
        <f aca="false">V1196+IF(OR(O1197&lt;&gt;"",W1197&lt;&gt;""),1,0)</f>
        <v>3</v>
      </c>
      <c r="W1197" s="29"/>
    </row>
    <row r="1198" customFormat="false" ht="15" hidden="false" customHeight="false" outlineLevel="0" collapsed="false">
      <c r="A1198" s="32" t="str">
        <f aca="false">IF(B1198="","",ROW()-7)</f>
        <v/>
      </c>
      <c r="B1198" s="30"/>
      <c r="C1198" s="29"/>
      <c r="D1198" s="29"/>
      <c r="E1198" s="29"/>
      <c r="F1198" s="30"/>
      <c r="G1198" s="29"/>
      <c r="H1198" s="30"/>
      <c r="I1198" s="29"/>
      <c r="J1198" s="30"/>
      <c r="K1198" s="30"/>
      <c r="L1198" s="29"/>
      <c r="M1198" s="32" t="str">
        <f aca="false">IF(OR(C1198="",L1198=""),"",IF(C1198=L1198,"同一","変更"))</f>
        <v/>
      </c>
      <c r="N1198" s="29"/>
      <c r="O1198" s="30"/>
      <c r="P1198" s="29"/>
      <c r="Q1198" s="31"/>
      <c r="R1198" s="29"/>
      <c r="S1198" s="29"/>
      <c r="T1198" s="30"/>
      <c r="U1198" s="47" t="str">
        <f aca="false">IF(AND(B1198&lt;&gt;"",B1198=SW別シート!$C$3),COUNTIF(B$5:B1198,B1198),"")</f>
        <v/>
      </c>
      <c r="V1198" s="47" t="n">
        <f aca="false">V1197+IF(OR(O1198&lt;&gt;"",W1198&lt;&gt;""),1,0)</f>
        <v>3</v>
      </c>
      <c r="W1198" s="29"/>
    </row>
    <row r="1199" customFormat="false" ht="15" hidden="false" customHeight="false" outlineLevel="0" collapsed="false">
      <c r="A1199" s="32" t="str">
        <f aca="false">IF(B1199="","",ROW()-7)</f>
        <v/>
      </c>
      <c r="B1199" s="30"/>
      <c r="C1199" s="29"/>
      <c r="D1199" s="29"/>
      <c r="E1199" s="29"/>
      <c r="F1199" s="30"/>
      <c r="G1199" s="29"/>
      <c r="H1199" s="30"/>
      <c r="I1199" s="29"/>
      <c r="J1199" s="30"/>
      <c r="K1199" s="30"/>
      <c r="L1199" s="29"/>
      <c r="M1199" s="32" t="str">
        <f aca="false">IF(OR(C1199="",L1199=""),"",IF(C1199=L1199,"同一","変更"))</f>
        <v/>
      </c>
      <c r="N1199" s="29"/>
      <c r="O1199" s="30"/>
      <c r="P1199" s="29"/>
      <c r="Q1199" s="31"/>
      <c r="R1199" s="29"/>
      <c r="S1199" s="29"/>
      <c r="T1199" s="30"/>
      <c r="U1199" s="47" t="str">
        <f aca="false">IF(AND(B1199&lt;&gt;"",B1199=SW別シート!$C$3),COUNTIF(B$5:B1199,B1199),"")</f>
        <v/>
      </c>
      <c r="V1199" s="47" t="n">
        <f aca="false">V1198+IF(OR(O1199&lt;&gt;"",W1199&lt;&gt;""),1,0)</f>
        <v>3</v>
      </c>
      <c r="W1199" s="29"/>
    </row>
    <row r="1200" customFormat="false" ht="15" hidden="false" customHeight="false" outlineLevel="0" collapsed="false">
      <c r="A1200" s="32" t="str">
        <f aca="false">IF(B1200="","",ROW()-7)</f>
        <v/>
      </c>
      <c r="B1200" s="30"/>
      <c r="C1200" s="29"/>
      <c r="D1200" s="29"/>
      <c r="E1200" s="29"/>
      <c r="F1200" s="30"/>
      <c r="G1200" s="29"/>
      <c r="H1200" s="30"/>
      <c r="I1200" s="29"/>
      <c r="J1200" s="30"/>
      <c r="K1200" s="30"/>
      <c r="L1200" s="29"/>
      <c r="M1200" s="32" t="str">
        <f aca="false">IF(OR(C1200="",L1200=""),"",IF(C1200=L1200,"同一","変更"))</f>
        <v/>
      </c>
      <c r="N1200" s="29"/>
      <c r="O1200" s="30"/>
      <c r="P1200" s="29"/>
      <c r="Q1200" s="31"/>
      <c r="R1200" s="29"/>
      <c r="S1200" s="29"/>
      <c r="T1200" s="30"/>
      <c r="U1200" s="47" t="str">
        <f aca="false">IF(AND(B1200&lt;&gt;"",B1200=SW別シート!$C$3),COUNTIF(B$5:B1200,B1200),"")</f>
        <v/>
      </c>
      <c r="V1200" s="47" t="n">
        <f aca="false">V1199+IF(OR(O1200&lt;&gt;"",W1200&lt;&gt;""),1,0)</f>
        <v>3</v>
      </c>
      <c r="W1200" s="29"/>
    </row>
    <row r="1201" customFormat="false" ht="15" hidden="false" customHeight="false" outlineLevel="0" collapsed="false">
      <c r="A1201" s="32" t="str">
        <f aca="false">IF(B1201="","",ROW()-7)</f>
        <v/>
      </c>
      <c r="B1201" s="30"/>
      <c r="C1201" s="29"/>
      <c r="D1201" s="29"/>
      <c r="E1201" s="29"/>
      <c r="F1201" s="30"/>
      <c r="G1201" s="29"/>
      <c r="H1201" s="30"/>
      <c r="I1201" s="29"/>
      <c r="J1201" s="30"/>
      <c r="K1201" s="30"/>
      <c r="L1201" s="29"/>
      <c r="M1201" s="32" t="str">
        <f aca="false">IF(OR(C1201="",L1201=""),"",IF(C1201=L1201,"同一","変更"))</f>
        <v/>
      </c>
      <c r="N1201" s="29"/>
      <c r="O1201" s="30"/>
      <c r="P1201" s="29"/>
      <c r="Q1201" s="31"/>
      <c r="R1201" s="29"/>
      <c r="S1201" s="29"/>
      <c r="T1201" s="30"/>
      <c r="U1201" s="47" t="str">
        <f aca="false">IF(AND(B1201&lt;&gt;"",B1201=SW別シート!$C$3),COUNTIF(B$5:B1201,B1201),"")</f>
        <v/>
      </c>
      <c r="V1201" s="47" t="n">
        <f aca="false">V1200+IF(OR(O1201&lt;&gt;"",W1201&lt;&gt;""),1,0)</f>
        <v>3</v>
      </c>
      <c r="W1201" s="29"/>
    </row>
    <row r="1202" customFormat="false" ht="15" hidden="false" customHeight="false" outlineLevel="0" collapsed="false">
      <c r="A1202" s="32" t="str">
        <f aca="false">IF(B1202="","",ROW()-7)</f>
        <v/>
      </c>
      <c r="B1202" s="30"/>
      <c r="C1202" s="29"/>
      <c r="D1202" s="29"/>
      <c r="E1202" s="29"/>
      <c r="F1202" s="30"/>
      <c r="G1202" s="29"/>
      <c r="H1202" s="30"/>
      <c r="I1202" s="29"/>
      <c r="J1202" s="30"/>
      <c r="K1202" s="30"/>
      <c r="L1202" s="29"/>
      <c r="M1202" s="32" t="str">
        <f aca="false">IF(OR(C1202="",L1202=""),"",IF(C1202=L1202,"同一","変更"))</f>
        <v/>
      </c>
      <c r="N1202" s="29"/>
      <c r="O1202" s="30"/>
      <c r="P1202" s="29"/>
      <c r="Q1202" s="31"/>
      <c r="R1202" s="29"/>
      <c r="S1202" s="29"/>
      <c r="T1202" s="30"/>
      <c r="U1202" s="47" t="str">
        <f aca="false">IF(AND(B1202&lt;&gt;"",B1202=SW別シート!$C$3),COUNTIF(B$5:B1202,B1202),"")</f>
        <v/>
      </c>
      <c r="V1202" s="47" t="n">
        <f aca="false">V1201+IF(OR(O1202&lt;&gt;"",W1202&lt;&gt;""),1,0)</f>
        <v>3</v>
      </c>
      <c r="W1202" s="29"/>
    </row>
    <row r="1203" customFormat="false" ht="15" hidden="false" customHeight="false" outlineLevel="0" collapsed="false">
      <c r="A1203" s="32" t="str">
        <f aca="false">IF(B1203="","",ROW()-7)</f>
        <v/>
      </c>
      <c r="B1203" s="30"/>
      <c r="C1203" s="29"/>
      <c r="D1203" s="29"/>
      <c r="E1203" s="29"/>
      <c r="F1203" s="30"/>
      <c r="G1203" s="29"/>
      <c r="H1203" s="30"/>
      <c r="I1203" s="29"/>
      <c r="J1203" s="30"/>
      <c r="K1203" s="30"/>
      <c r="L1203" s="29"/>
      <c r="M1203" s="32" t="str">
        <f aca="false">IF(OR(C1203="",L1203=""),"",IF(C1203=L1203,"同一","変更"))</f>
        <v/>
      </c>
      <c r="N1203" s="29"/>
      <c r="O1203" s="30"/>
      <c r="P1203" s="29"/>
      <c r="Q1203" s="31"/>
      <c r="R1203" s="29"/>
      <c r="S1203" s="29"/>
      <c r="T1203" s="30"/>
      <c r="U1203" s="47" t="str">
        <f aca="false">IF(AND(B1203&lt;&gt;"",B1203=SW別シート!$C$3),COUNTIF(B$5:B1203,B1203),"")</f>
        <v/>
      </c>
      <c r="V1203" s="47" t="n">
        <f aca="false">V1202+IF(OR(O1203&lt;&gt;"",W1203&lt;&gt;""),1,0)</f>
        <v>3</v>
      </c>
      <c r="W1203" s="29"/>
    </row>
    <row r="1204" customFormat="false" ht="15" hidden="false" customHeight="false" outlineLevel="0" collapsed="false">
      <c r="A1204" s="32" t="str">
        <f aca="false">IF(B1204="","",ROW()-7)</f>
        <v/>
      </c>
      <c r="B1204" s="30"/>
      <c r="C1204" s="29"/>
      <c r="D1204" s="29"/>
      <c r="E1204" s="29"/>
      <c r="F1204" s="30"/>
      <c r="G1204" s="29"/>
      <c r="H1204" s="30"/>
      <c r="I1204" s="29"/>
      <c r="J1204" s="30"/>
      <c r="K1204" s="30"/>
      <c r="L1204" s="29"/>
      <c r="M1204" s="32" t="str">
        <f aca="false">IF(OR(C1204="",L1204=""),"",IF(C1204=L1204,"同一","変更"))</f>
        <v/>
      </c>
      <c r="N1204" s="29"/>
      <c r="O1204" s="30"/>
      <c r="P1204" s="29"/>
      <c r="Q1204" s="31"/>
      <c r="R1204" s="29"/>
      <c r="S1204" s="29"/>
      <c r="T1204" s="30"/>
      <c r="U1204" s="47" t="str">
        <f aca="false">IF(AND(B1204&lt;&gt;"",B1204=SW別シート!$C$3),COUNTIF(B$5:B1204,B1204),"")</f>
        <v/>
      </c>
      <c r="V1204" s="47" t="n">
        <f aca="false">V1203+IF(OR(O1204&lt;&gt;"",W1204&lt;&gt;""),1,0)</f>
        <v>3</v>
      </c>
      <c r="W1204" s="29"/>
    </row>
    <row r="1205" customFormat="false" ht="15" hidden="false" customHeight="false" outlineLevel="0" collapsed="false">
      <c r="A1205" s="32" t="str">
        <f aca="false">IF(B1205="","",ROW()-7)</f>
        <v/>
      </c>
      <c r="B1205" s="30"/>
      <c r="C1205" s="29"/>
      <c r="D1205" s="29"/>
      <c r="E1205" s="29"/>
      <c r="F1205" s="30"/>
      <c r="G1205" s="29"/>
      <c r="H1205" s="30"/>
      <c r="I1205" s="29"/>
      <c r="J1205" s="30"/>
      <c r="K1205" s="30"/>
      <c r="L1205" s="29"/>
      <c r="M1205" s="32" t="str">
        <f aca="false">IF(OR(C1205="",L1205=""),"",IF(C1205=L1205,"同一","変更"))</f>
        <v/>
      </c>
      <c r="N1205" s="29"/>
      <c r="O1205" s="30"/>
      <c r="P1205" s="29"/>
      <c r="Q1205" s="31"/>
      <c r="R1205" s="29"/>
      <c r="S1205" s="29"/>
      <c r="T1205" s="30"/>
      <c r="U1205" s="47" t="str">
        <f aca="false">IF(AND(B1205&lt;&gt;"",B1205=SW別シート!$C$3),COUNTIF(B$5:B1205,B1205),"")</f>
        <v/>
      </c>
      <c r="V1205" s="47" t="n">
        <f aca="false">V1204+IF(OR(O1205&lt;&gt;"",W1205&lt;&gt;""),1,0)</f>
        <v>3</v>
      </c>
      <c r="W1205" s="29"/>
    </row>
    <row r="1206" customFormat="false" ht="15" hidden="false" customHeight="false" outlineLevel="0" collapsed="false">
      <c r="A1206" s="32" t="str">
        <f aca="false">IF(B1206="","",ROW()-7)</f>
        <v/>
      </c>
      <c r="B1206" s="30"/>
      <c r="C1206" s="29"/>
      <c r="D1206" s="29"/>
      <c r="E1206" s="29"/>
      <c r="F1206" s="30"/>
      <c r="G1206" s="29"/>
      <c r="H1206" s="30"/>
      <c r="I1206" s="29"/>
      <c r="J1206" s="30"/>
      <c r="K1206" s="30"/>
      <c r="L1206" s="29"/>
      <c r="M1206" s="32" t="str">
        <f aca="false">IF(OR(C1206="",L1206=""),"",IF(C1206=L1206,"同一","変更"))</f>
        <v/>
      </c>
      <c r="N1206" s="29"/>
      <c r="O1206" s="30"/>
      <c r="P1206" s="29"/>
      <c r="Q1206" s="31"/>
      <c r="R1206" s="29"/>
      <c r="S1206" s="29"/>
      <c r="T1206" s="30"/>
      <c r="U1206" s="47" t="str">
        <f aca="false">IF(AND(B1206&lt;&gt;"",B1206=SW別シート!$C$3),COUNTIF(B$5:B1206,B1206),"")</f>
        <v/>
      </c>
      <c r="V1206" s="47" t="n">
        <f aca="false">V1205+IF(OR(O1206&lt;&gt;"",W1206&lt;&gt;""),1,0)</f>
        <v>3</v>
      </c>
      <c r="W1206" s="29"/>
    </row>
    <row r="1207" customFormat="false" ht="15" hidden="false" customHeight="false" outlineLevel="0" collapsed="false">
      <c r="A1207" s="32" t="str">
        <f aca="false">IF(B1207="","",ROW()-7)</f>
        <v/>
      </c>
      <c r="B1207" s="30"/>
      <c r="C1207" s="29"/>
      <c r="D1207" s="29"/>
      <c r="E1207" s="29"/>
      <c r="F1207" s="30"/>
      <c r="G1207" s="29"/>
      <c r="H1207" s="30"/>
      <c r="I1207" s="29"/>
      <c r="J1207" s="30"/>
      <c r="K1207" s="30"/>
      <c r="L1207" s="29"/>
      <c r="M1207" s="32" t="str">
        <f aca="false">IF(OR(C1207="",L1207=""),"",IF(C1207=L1207,"同一","変更"))</f>
        <v/>
      </c>
      <c r="N1207" s="29"/>
      <c r="O1207" s="30"/>
      <c r="P1207" s="29"/>
      <c r="Q1207" s="31"/>
      <c r="R1207" s="29"/>
      <c r="S1207" s="29"/>
      <c r="T1207" s="30"/>
      <c r="U1207" s="47" t="str">
        <f aca="false">IF(AND(B1207&lt;&gt;"",B1207=SW別シート!$C$3),COUNTIF(B$5:B1207,B1207),"")</f>
        <v/>
      </c>
      <c r="V1207" s="47" t="n">
        <f aca="false">V1206+IF(OR(O1207&lt;&gt;"",W1207&lt;&gt;""),1,0)</f>
        <v>3</v>
      </c>
      <c r="W1207" s="29"/>
    </row>
    <row r="1208" customFormat="false" ht="15" hidden="false" customHeight="false" outlineLevel="0" collapsed="false">
      <c r="A1208" s="32" t="str">
        <f aca="false">IF(B1208="","",ROW()-7)</f>
        <v/>
      </c>
      <c r="B1208" s="30"/>
      <c r="C1208" s="29"/>
      <c r="D1208" s="29"/>
      <c r="E1208" s="29"/>
      <c r="F1208" s="30"/>
      <c r="G1208" s="29"/>
      <c r="H1208" s="30"/>
      <c r="I1208" s="29"/>
      <c r="J1208" s="30"/>
      <c r="K1208" s="30"/>
      <c r="L1208" s="29"/>
      <c r="M1208" s="32" t="str">
        <f aca="false">IF(OR(C1208="",L1208=""),"",IF(C1208=L1208,"同一","変更"))</f>
        <v/>
      </c>
      <c r="N1208" s="29"/>
      <c r="O1208" s="30"/>
      <c r="P1208" s="29"/>
      <c r="Q1208" s="31"/>
      <c r="R1208" s="29"/>
      <c r="S1208" s="29"/>
      <c r="T1208" s="30"/>
      <c r="U1208" s="47" t="str">
        <f aca="false">IF(AND(B1208&lt;&gt;"",B1208=SW別シート!$C$3),COUNTIF(B$5:B1208,B1208),"")</f>
        <v/>
      </c>
      <c r="V1208" s="47" t="n">
        <f aca="false">V1207+IF(OR(O1208&lt;&gt;"",W1208&lt;&gt;""),1,0)</f>
        <v>3</v>
      </c>
      <c r="W1208" s="29"/>
    </row>
    <row r="1209" customFormat="false" ht="15" hidden="false" customHeight="false" outlineLevel="0" collapsed="false">
      <c r="A1209" s="32" t="str">
        <f aca="false">IF(B1209="","",ROW()-7)</f>
        <v/>
      </c>
      <c r="B1209" s="30"/>
      <c r="C1209" s="29"/>
      <c r="D1209" s="29"/>
      <c r="E1209" s="29"/>
      <c r="F1209" s="30"/>
      <c r="G1209" s="29"/>
      <c r="H1209" s="30"/>
      <c r="I1209" s="29"/>
      <c r="J1209" s="30"/>
      <c r="K1209" s="30"/>
      <c r="L1209" s="29"/>
      <c r="M1209" s="32" t="str">
        <f aca="false">IF(OR(C1209="",L1209=""),"",IF(C1209=L1209,"同一","変更"))</f>
        <v/>
      </c>
      <c r="N1209" s="29"/>
      <c r="O1209" s="30"/>
      <c r="P1209" s="29"/>
      <c r="Q1209" s="31"/>
      <c r="R1209" s="29"/>
      <c r="S1209" s="29"/>
      <c r="T1209" s="30"/>
      <c r="U1209" s="47" t="str">
        <f aca="false">IF(AND(B1209&lt;&gt;"",B1209=SW別シート!$C$3),COUNTIF(B$5:B1209,B1209),"")</f>
        <v/>
      </c>
      <c r="V1209" s="47" t="n">
        <f aca="false">V1208+IF(OR(O1209&lt;&gt;"",W1209&lt;&gt;""),1,0)</f>
        <v>3</v>
      </c>
      <c r="W1209" s="29"/>
    </row>
    <row r="1210" customFormat="false" ht="15" hidden="false" customHeight="false" outlineLevel="0" collapsed="false">
      <c r="A1210" s="32" t="str">
        <f aca="false">IF(B1210="","",ROW()-7)</f>
        <v/>
      </c>
      <c r="B1210" s="30"/>
      <c r="C1210" s="29"/>
      <c r="D1210" s="29"/>
      <c r="E1210" s="29"/>
      <c r="F1210" s="30"/>
      <c r="G1210" s="29"/>
      <c r="H1210" s="30"/>
      <c r="I1210" s="29"/>
      <c r="J1210" s="30"/>
      <c r="K1210" s="30"/>
      <c r="L1210" s="29"/>
      <c r="M1210" s="32" t="str">
        <f aca="false">IF(OR(C1210="",L1210=""),"",IF(C1210=L1210,"同一","変更"))</f>
        <v/>
      </c>
      <c r="N1210" s="29"/>
      <c r="O1210" s="30"/>
      <c r="P1210" s="29"/>
      <c r="Q1210" s="31"/>
      <c r="R1210" s="29"/>
      <c r="S1210" s="29"/>
      <c r="T1210" s="30"/>
      <c r="U1210" s="47" t="str">
        <f aca="false">IF(AND(B1210&lt;&gt;"",B1210=SW別シート!$C$3),COUNTIF(B$5:B1210,B1210),"")</f>
        <v/>
      </c>
      <c r="V1210" s="47" t="n">
        <f aca="false">V1209+IF(OR(O1210&lt;&gt;"",W1210&lt;&gt;""),1,0)</f>
        <v>3</v>
      </c>
      <c r="W1210" s="29"/>
    </row>
    <row r="1211" customFormat="false" ht="15" hidden="false" customHeight="false" outlineLevel="0" collapsed="false">
      <c r="A1211" s="32" t="str">
        <f aca="false">IF(B1211="","",ROW()-7)</f>
        <v/>
      </c>
      <c r="B1211" s="30"/>
      <c r="C1211" s="29"/>
      <c r="D1211" s="29"/>
      <c r="E1211" s="29"/>
      <c r="F1211" s="30"/>
      <c r="G1211" s="29"/>
      <c r="H1211" s="30"/>
      <c r="I1211" s="29"/>
      <c r="J1211" s="30"/>
      <c r="K1211" s="30"/>
      <c r="L1211" s="29"/>
      <c r="M1211" s="32" t="str">
        <f aca="false">IF(OR(C1211="",L1211=""),"",IF(C1211=L1211,"同一","変更"))</f>
        <v/>
      </c>
      <c r="N1211" s="29"/>
      <c r="O1211" s="30"/>
      <c r="P1211" s="29"/>
      <c r="Q1211" s="31"/>
      <c r="R1211" s="29"/>
      <c r="S1211" s="29"/>
      <c r="T1211" s="30"/>
      <c r="U1211" s="47" t="str">
        <f aca="false">IF(AND(B1211&lt;&gt;"",B1211=SW別シート!$C$3),COUNTIF(B$5:B1211,B1211),"")</f>
        <v/>
      </c>
      <c r="V1211" s="47" t="n">
        <f aca="false">V1210+IF(OR(O1211&lt;&gt;"",W1211&lt;&gt;""),1,0)</f>
        <v>3</v>
      </c>
      <c r="W1211" s="29"/>
    </row>
    <row r="1212" customFormat="false" ht="15" hidden="false" customHeight="false" outlineLevel="0" collapsed="false">
      <c r="A1212" s="32" t="str">
        <f aca="false">IF(B1212="","",ROW()-7)</f>
        <v/>
      </c>
      <c r="B1212" s="30"/>
      <c r="C1212" s="29"/>
      <c r="D1212" s="29"/>
      <c r="E1212" s="29"/>
      <c r="F1212" s="30"/>
      <c r="G1212" s="29"/>
      <c r="H1212" s="30"/>
      <c r="I1212" s="29"/>
      <c r="J1212" s="30"/>
      <c r="K1212" s="30"/>
      <c r="L1212" s="29"/>
      <c r="M1212" s="32" t="str">
        <f aca="false">IF(OR(C1212="",L1212=""),"",IF(C1212=L1212,"同一","変更"))</f>
        <v/>
      </c>
      <c r="N1212" s="29"/>
      <c r="O1212" s="30"/>
      <c r="P1212" s="29"/>
      <c r="Q1212" s="31"/>
      <c r="R1212" s="29"/>
      <c r="S1212" s="29"/>
      <c r="T1212" s="30"/>
      <c r="U1212" s="47" t="str">
        <f aca="false">IF(AND(B1212&lt;&gt;"",B1212=SW別シート!$C$3),COUNTIF(B$5:B1212,B1212),"")</f>
        <v/>
      </c>
      <c r="V1212" s="47" t="n">
        <f aca="false">V1211+IF(OR(O1212&lt;&gt;"",W1212&lt;&gt;""),1,0)</f>
        <v>3</v>
      </c>
      <c r="W1212" s="29"/>
    </row>
    <row r="1213" customFormat="false" ht="15" hidden="false" customHeight="false" outlineLevel="0" collapsed="false">
      <c r="A1213" s="32" t="str">
        <f aca="false">IF(B1213="","",ROW()-7)</f>
        <v/>
      </c>
      <c r="B1213" s="30"/>
      <c r="C1213" s="29"/>
      <c r="D1213" s="29"/>
      <c r="E1213" s="29"/>
      <c r="F1213" s="30"/>
      <c r="G1213" s="29"/>
      <c r="H1213" s="30"/>
      <c r="I1213" s="29"/>
      <c r="J1213" s="30"/>
      <c r="K1213" s="30"/>
      <c r="L1213" s="29"/>
      <c r="M1213" s="32" t="str">
        <f aca="false">IF(OR(C1213="",L1213=""),"",IF(C1213=L1213,"同一","変更"))</f>
        <v/>
      </c>
      <c r="N1213" s="29"/>
      <c r="O1213" s="30"/>
      <c r="P1213" s="29"/>
      <c r="Q1213" s="31"/>
      <c r="R1213" s="29"/>
      <c r="S1213" s="29"/>
      <c r="T1213" s="30"/>
      <c r="U1213" s="47" t="str">
        <f aca="false">IF(AND(B1213&lt;&gt;"",B1213=SW別シート!$C$3),COUNTIF(B$5:B1213,B1213),"")</f>
        <v/>
      </c>
      <c r="V1213" s="47" t="n">
        <f aca="false">V1212+IF(OR(O1213&lt;&gt;"",W1213&lt;&gt;""),1,0)</f>
        <v>3</v>
      </c>
      <c r="W1213" s="29"/>
    </row>
    <row r="1214" customFormat="false" ht="15" hidden="false" customHeight="false" outlineLevel="0" collapsed="false">
      <c r="A1214" s="32" t="str">
        <f aca="false">IF(B1214="","",ROW()-7)</f>
        <v/>
      </c>
      <c r="B1214" s="30"/>
      <c r="C1214" s="29"/>
      <c r="D1214" s="29"/>
      <c r="E1214" s="29"/>
      <c r="F1214" s="30"/>
      <c r="G1214" s="29"/>
      <c r="H1214" s="30"/>
      <c r="I1214" s="29"/>
      <c r="J1214" s="30"/>
      <c r="K1214" s="30"/>
      <c r="L1214" s="29"/>
      <c r="M1214" s="32" t="str">
        <f aca="false">IF(OR(C1214="",L1214=""),"",IF(C1214=L1214,"同一","変更"))</f>
        <v/>
      </c>
      <c r="N1214" s="29"/>
      <c r="O1214" s="30"/>
      <c r="P1214" s="29"/>
      <c r="Q1214" s="31"/>
      <c r="R1214" s="29"/>
      <c r="S1214" s="29"/>
      <c r="T1214" s="30"/>
      <c r="U1214" s="47" t="str">
        <f aca="false">IF(AND(B1214&lt;&gt;"",B1214=SW別シート!$C$3),COUNTIF(B$5:B1214,B1214),"")</f>
        <v/>
      </c>
      <c r="V1214" s="47" t="n">
        <f aca="false">V1213+IF(OR(O1214&lt;&gt;"",W1214&lt;&gt;""),1,0)</f>
        <v>3</v>
      </c>
      <c r="W1214" s="29"/>
    </row>
    <row r="1215" customFormat="false" ht="15" hidden="false" customHeight="false" outlineLevel="0" collapsed="false">
      <c r="A1215" s="32" t="str">
        <f aca="false">IF(B1215="","",ROW()-7)</f>
        <v/>
      </c>
      <c r="B1215" s="30"/>
      <c r="C1215" s="29"/>
      <c r="D1215" s="29"/>
      <c r="E1215" s="29"/>
      <c r="F1215" s="30"/>
      <c r="G1215" s="29"/>
      <c r="H1215" s="30"/>
      <c r="I1215" s="29"/>
      <c r="J1215" s="30"/>
      <c r="K1215" s="30"/>
      <c r="L1215" s="29"/>
      <c r="M1215" s="32" t="str">
        <f aca="false">IF(OR(C1215="",L1215=""),"",IF(C1215=L1215,"同一","変更"))</f>
        <v/>
      </c>
      <c r="N1215" s="29"/>
      <c r="O1215" s="30"/>
      <c r="P1215" s="29"/>
      <c r="Q1215" s="31"/>
      <c r="R1215" s="29"/>
      <c r="S1215" s="29"/>
      <c r="T1215" s="30"/>
      <c r="U1215" s="47" t="str">
        <f aca="false">IF(AND(B1215&lt;&gt;"",B1215=SW別シート!$C$3),COUNTIF(B$5:B1215,B1215),"")</f>
        <v/>
      </c>
      <c r="V1215" s="47" t="n">
        <f aca="false">V1214+IF(OR(O1215&lt;&gt;"",W1215&lt;&gt;""),1,0)</f>
        <v>3</v>
      </c>
      <c r="W1215" s="29"/>
    </row>
    <row r="1216" customFormat="false" ht="15" hidden="false" customHeight="false" outlineLevel="0" collapsed="false">
      <c r="A1216" s="32" t="str">
        <f aca="false">IF(B1216="","",ROW()-7)</f>
        <v/>
      </c>
      <c r="B1216" s="30"/>
      <c r="C1216" s="29"/>
      <c r="D1216" s="29"/>
      <c r="E1216" s="29"/>
      <c r="F1216" s="30"/>
      <c r="G1216" s="29"/>
      <c r="H1216" s="30"/>
      <c r="I1216" s="29"/>
      <c r="J1216" s="30"/>
      <c r="K1216" s="30"/>
      <c r="L1216" s="29"/>
      <c r="M1216" s="32" t="str">
        <f aca="false">IF(OR(C1216="",L1216=""),"",IF(C1216=L1216,"同一","変更"))</f>
        <v/>
      </c>
      <c r="N1216" s="29"/>
      <c r="O1216" s="30"/>
      <c r="P1216" s="29"/>
      <c r="Q1216" s="31"/>
      <c r="R1216" s="29"/>
      <c r="S1216" s="29"/>
      <c r="T1216" s="30"/>
      <c r="U1216" s="47" t="str">
        <f aca="false">IF(AND(B1216&lt;&gt;"",B1216=SW別シート!$C$3),COUNTIF(B$5:B1216,B1216),"")</f>
        <v/>
      </c>
      <c r="V1216" s="47" t="n">
        <f aca="false">V1215+IF(OR(O1216&lt;&gt;"",W1216&lt;&gt;""),1,0)</f>
        <v>3</v>
      </c>
      <c r="W1216" s="29"/>
    </row>
    <row r="1217" customFormat="false" ht="15" hidden="false" customHeight="false" outlineLevel="0" collapsed="false">
      <c r="A1217" s="32" t="str">
        <f aca="false">IF(B1217="","",ROW()-7)</f>
        <v/>
      </c>
      <c r="B1217" s="30"/>
      <c r="C1217" s="29"/>
      <c r="D1217" s="29"/>
      <c r="E1217" s="29"/>
      <c r="F1217" s="30"/>
      <c r="G1217" s="29"/>
      <c r="H1217" s="30"/>
      <c r="I1217" s="29"/>
      <c r="J1217" s="30"/>
      <c r="K1217" s="30"/>
      <c r="L1217" s="29"/>
      <c r="M1217" s="32" t="str">
        <f aca="false">IF(OR(C1217="",L1217=""),"",IF(C1217=L1217,"同一","変更"))</f>
        <v/>
      </c>
      <c r="N1217" s="29"/>
      <c r="O1217" s="30"/>
      <c r="P1217" s="29"/>
      <c r="Q1217" s="31"/>
      <c r="R1217" s="29"/>
      <c r="S1217" s="29"/>
      <c r="T1217" s="30"/>
      <c r="U1217" s="47" t="str">
        <f aca="false">IF(AND(B1217&lt;&gt;"",B1217=SW別シート!$C$3),COUNTIF(B$5:B1217,B1217),"")</f>
        <v/>
      </c>
      <c r="V1217" s="47" t="n">
        <f aca="false">V1216+IF(OR(O1217&lt;&gt;"",W1217&lt;&gt;""),1,0)</f>
        <v>3</v>
      </c>
      <c r="W1217" s="29"/>
    </row>
    <row r="1218" customFormat="false" ht="15" hidden="false" customHeight="false" outlineLevel="0" collapsed="false">
      <c r="A1218" s="32" t="str">
        <f aca="false">IF(B1218="","",ROW()-7)</f>
        <v/>
      </c>
      <c r="B1218" s="30"/>
      <c r="C1218" s="29"/>
      <c r="D1218" s="29"/>
      <c r="E1218" s="29"/>
      <c r="F1218" s="30"/>
      <c r="G1218" s="29"/>
      <c r="H1218" s="30"/>
      <c r="I1218" s="29"/>
      <c r="J1218" s="30"/>
      <c r="K1218" s="30"/>
      <c r="L1218" s="29"/>
      <c r="M1218" s="32" t="str">
        <f aca="false">IF(OR(C1218="",L1218=""),"",IF(C1218=L1218,"同一","変更"))</f>
        <v/>
      </c>
      <c r="N1218" s="29"/>
      <c r="O1218" s="30"/>
      <c r="P1218" s="29"/>
      <c r="Q1218" s="31"/>
      <c r="R1218" s="29"/>
      <c r="S1218" s="29"/>
      <c r="T1218" s="30"/>
      <c r="U1218" s="47" t="str">
        <f aca="false">IF(AND(B1218&lt;&gt;"",B1218=SW別シート!$C$3),COUNTIF(B$5:B1218,B1218),"")</f>
        <v/>
      </c>
      <c r="V1218" s="47" t="n">
        <f aca="false">V1217+IF(OR(O1218&lt;&gt;"",W1218&lt;&gt;""),1,0)</f>
        <v>3</v>
      </c>
      <c r="W1218" s="29"/>
    </row>
    <row r="1219" customFormat="false" ht="15" hidden="false" customHeight="false" outlineLevel="0" collapsed="false">
      <c r="A1219" s="32" t="str">
        <f aca="false">IF(B1219="","",ROW()-7)</f>
        <v/>
      </c>
      <c r="B1219" s="30"/>
      <c r="C1219" s="29"/>
      <c r="D1219" s="29"/>
      <c r="E1219" s="29"/>
      <c r="F1219" s="30"/>
      <c r="G1219" s="29"/>
      <c r="H1219" s="30"/>
      <c r="I1219" s="29"/>
      <c r="J1219" s="30"/>
      <c r="K1219" s="30"/>
      <c r="L1219" s="29"/>
      <c r="M1219" s="32" t="str">
        <f aca="false">IF(OR(C1219="",L1219=""),"",IF(C1219=L1219,"同一","変更"))</f>
        <v/>
      </c>
      <c r="N1219" s="29"/>
      <c r="O1219" s="30"/>
      <c r="P1219" s="29"/>
      <c r="Q1219" s="31"/>
      <c r="R1219" s="29"/>
      <c r="S1219" s="29"/>
      <c r="T1219" s="30"/>
      <c r="U1219" s="47" t="str">
        <f aca="false">IF(AND(B1219&lt;&gt;"",B1219=SW別シート!$C$3),COUNTIF(B$5:B1219,B1219),"")</f>
        <v/>
      </c>
      <c r="V1219" s="47" t="n">
        <f aca="false">V1218+IF(OR(O1219&lt;&gt;"",W1219&lt;&gt;""),1,0)</f>
        <v>3</v>
      </c>
      <c r="W1219" s="29"/>
    </row>
    <row r="1220" customFormat="false" ht="15" hidden="false" customHeight="false" outlineLevel="0" collapsed="false">
      <c r="A1220" s="32" t="str">
        <f aca="false">IF(B1220="","",ROW()-7)</f>
        <v/>
      </c>
      <c r="B1220" s="30"/>
      <c r="C1220" s="29"/>
      <c r="D1220" s="29"/>
      <c r="E1220" s="29"/>
      <c r="F1220" s="30"/>
      <c r="G1220" s="29"/>
      <c r="H1220" s="30"/>
      <c r="I1220" s="29"/>
      <c r="J1220" s="30"/>
      <c r="K1220" s="30"/>
      <c r="L1220" s="29"/>
      <c r="M1220" s="32" t="str">
        <f aca="false">IF(OR(C1220="",L1220=""),"",IF(C1220=L1220,"同一","変更"))</f>
        <v/>
      </c>
      <c r="N1220" s="29"/>
      <c r="O1220" s="30"/>
      <c r="P1220" s="29"/>
      <c r="Q1220" s="31"/>
      <c r="R1220" s="29"/>
      <c r="S1220" s="29"/>
      <c r="T1220" s="30"/>
      <c r="U1220" s="47" t="str">
        <f aca="false">IF(AND(B1220&lt;&gt;"",B1220=SW別シート!$C$3),COUNTIF(B$5:B1220,B1220),"")</f>
        <v/>
      </c>
      <c r="V1220" s="47" t="n">
        <f aca="false">V1219+IF(OR(O1220&lt;&gt;"",W1220&lt;&gt;""),1,0)</f>
        <v>3</v>
      </c>
      <c r="W1220" s="29"/>
    </row>
    <row r="1221" customFormat="false" ht="15" hidden="false" customHeight="false" outlineLevel="0" collapsed="false">
      <c r="A1221" s="32" t="str">
        <f aca="false">IF(B1221="","",ROW()-7)</f>
        <v/>
      </c>
      <c r="B1221" s="30"/>
      <c r="C1221" s="29"/>
      <c r="D1221" s="29"/>
      <c r="E1221" s="29"/>
      <c r="F1221" s="30"/>
      <c r="G1221" s="29"/>
      <c r="H1221" s="30"/>
      <c r="I1221" s="29"/>
      <c r="J1221" s="30"/>
      <c r="K1221" s="30"/>
      <c r="L1221" s="29"/>
      <c r="M1221" s="32" t="str">
        <f aca="false">IF(OR(C1221="",L1221=""),"",IF(C1221=L1221,"同一","変更"))</f>
        <v/>
      </c>
      <c r="N1221" s="29"/>
      <c r="O1221" s="30"/>
      <c r="P1221" s="29"/>
      <c r="Q1221" s="31"/>
      <c r="R1221" s="29"/>
      <c r="S1221" s="29"/>
      <c r="T1221" s="30"/>
      <c r="U1221" s="47" t="str">
        <f aca="false">IF(AND(B1221&lt;&gt;"",B1221=SW別シート!$C$3),COUNTIF(B$5:B1221,B1221),"")</f>
        <v/>
      </c>
      <c r="V1221" s="47" t="n">
        <f aca="false">V1220+IF(OR(O1221&lt;&gt;"",W1221&lt;&gt;""),1,0)</f>
        <v>3</v>
      </c>
      <c r="W1221" s="29"/>
    </row>
    <row r="1222" customFormat="false" ht="15" hidden="false" customHeight="false" outlineLevel="0" collapsed="false">
      <c r="A1222" s="32" t="str">
        <f aca="false">IF(B1222="","",ROW()-7)</f>
        <v/>
      </c>
      <c r="B1222" s="30"/>
      <c r="C1222" s="29"/>
      <c r="D1222" s="29"/>
      <c r="E1222" s="29"/>
      <c r="F1222" s="30"/>
      <c r="G1222" s="29"/>
      <c r="H1222" s="30"/>
      <c r="I1222" s="29"/>
      <c r="J1222" s="30"/>
      <c r="K1222" s="30"/>
      <c r="L1222" s="29"/>
      <c r="M1222" s="32" t="str">
        <f aca="false">IF(OR(C1222="",L1222=""),"",IF(C1222=L1222,"同一","変更"))</f>
        <v/>
      </c>
      <c r="N1222" s="29"/>
      <c r="O1222" s="30"/>
      <c r="P1222" s="29"/>
      <c r="Q1222" s="31"/>
      <c r="R1222" s="29"/>
      <c r="S1222" s="29"/>
      <c r="T1222" s="30"/>
      <c r="U1222" s="47" t="str">
        <f aca="false">IF(AND(B1222&lt;&gt;"",B1222=SW別シート!$C$3),COUNTIF(B$5:B1222,B1222),"")</f>
        <v/>
      </c>
      <c r="V1222" s="47" t="n">
        <f aca="false">V1221+IF(OR(O1222&lt;&gt;"",W1222&lt;&gt;""),1,0)</f>
        <v>3</v>
      </c>
      <c r="W1222" s="29"/>
    </row>
    <row r="1223" customFormat="false" ht="15" hidden="false" customHeight="false" outlineLevel="0" collapsed="false">
      <c r="A1223" s="32" t="str">
        <f aca="false">IF(B1223="","",ROW()-7)</f>
        <v/>
      </c>
      <c r="B1223" s="30"/>
      <c r="C1223" s="29"/>
      <c r="D1223" s="29"/>
      <c r="E1223" s="29"/>
      <c r="F1223" s="30"/>
      <c r="G1223" s="29"/>
      <c r="H1223" s="30"/>
      <c r="I1223" s="29"/>
      <c r="J1223" s="30"/>
      <c r="K1223" s="30"/>
      <c r="L1223" s="29"/>
      <c r="M1223" s="32" t="str">
        <f aca="false">IF(OR(C1223="",L1223=""),"",IF(C1223=L1223,"同一","変更"))</f>
        <v/>
      </c>
      <c r="N1223" s="29"/>
      <c r="O1223" s="30"/>
      <c r="P1223" s="29"/>
      <c r="Q1223" s="31"/>
      <c r="R1223" s="29"/>
      <c r="S1223" s="29"/>
      <c r="T1223" s="30"/>
      <c r="U1223" s="47" t="str">
        <f aca="false">IF(AND(B1223&lt;&gt;"",B1223=SW別シート!$C$3),COUNTIF(B$5:B1223,B1223),"")</f>
        <v/>
      </c>
      <c r="V1223" s="47" t="n">
        <f aca="false">V1222+IF(OR(O1223&lt;&gt;"",W1223&lt;&gt;""),1,0)</f>
        <v>3</v>
      </c>
      <c r="W1223" s="29"/>
    </row>
    <row r="1224" customFormat="false" ht="15" hidden="false" customHeight="false" outlineLevel="0" collapsed="false">
      <c r="A1224" s="32" t="str">
        <f aca="false">IF(B1224="","",ROW()-7)</f>
        <v/>
      </c>
      <c r="B1224" s="30"/>
      <c r="C1224" s="29"/>
      <c r="D1224" s="29"/>
      <c r="E1224" s="29"/>
      <c r="F1224" s="30"/>
      <c r="G1224" s="29"/>
      <c r="H1224" s="30"/>
      <c r="I1224" s="29"/>
      <c r="J1224" s="30"/>
      <c r="K1224" s="30"/>
      <c r="L1224" s="29"/>
      <c r="M1224" s="32" t="str">
        <f aca="false">IF(OR(C1224="",L1224=""),"",IF(C1224=L1224,"同一","変更"))</f>
        <v/>
      </c>
      <c r="N1224" s="29"/>
      <c r="O1224" s="30"/>
      <c r="P1224" s="29"/>
      <c r="Q1224" s="31"/>
      <c r="R1224" s="29"/>
      <c r="S1224" s="29"/>
      <c r="T1224" s="30"/>
      <c r="U1224" s="47" t="str">
        <f aca="false">IF(AND(B1224&lt;&gt;"",B1224=SW別シート!$C$3),COUNTIF(B$5:B1224,B1224),"")</f>
        <v/>
      </c>
      <c r="V1224" s="47" t="n">
        <f aca="false">V1223+IF(OR(O1224&lt;&gt;"",W1224&lt;&gt;""),1,0)</f>
        <v>3</v>
      </c>
      <c r="W1224" s="29"/>
    </row>
    <row r="1225" customFormat="false" ht="15" hidden="false" customHeight="false" outlineLevel="0" collapsed="false">
      <c r="A1225" s="32" t="str">
        <f aca="false">IF(B1225="","",ROW()-7)</f>
        <v/>
      </c>
      <c r="B1225" s="30"/>
      <c r="C1225" s="29"/>
      <c r="D1225" s="29"/>
      <c r="E1225" s="29"/>
      <c r="F1225" s="30"/>
      <c r="G1225" s="29"/>
      <c r="H1225" s="30"/>
      <c r="I1225" s="29"/>
      <c r="J1225" s="30"/>
      <c r="K1225" s="30"/>
      <c r="L1225" s="29"/>
      <c r="M1225" s="32" t="str">
        <f aca="false">IF(OR(C1225="",L1225=""),"",IF(C1225=L1225,"同一","変更"))</f>
        <v/>
      </c>
      <c r="N1225" s="29"/>
      <c r="O1225" s="30"/>
      <c r="P1225" s="29"/>
      <c r="Q1225" s="31"/>
      <c r="R1225" s="29"/>
      <c r="S1225" s="29"/>
      <c r="T1225" s="30"/>
      <c r="U1225" s="47" t="str">
        <f aca="false">IF(AND(B1225&lt;&gt;"",B1225=SW別シート!$C$3),COUNTIF(B$5:B1225,B1225),"")</f>
        <v/>
      </c>
      <c r="V1225" s="47" t="n">
        <f aca="false">V1224+IF(OR(O1225&lt;&gt;"",W1225&lt;&gt;""),1,0)</f>
        <v>3</v>
      </c>
      <c r="W1225" s="29"/>
    </row>
    <row r="1226" customFormat="false" ht="15" hidden="false" customHeight="false" outlineLevel="0" collapsed="false">
      <c r="A1226" s="32" t="str">
        <f aca="false">IF(B1226="","",ROW()-7)</f>
        <v/>
      </c>
      <c r="B1226" s="30"/>
      <c r="C1226" s="29"/>
      <c r="D1226" s="29"/>
      <c r="E1226" s="29"/>
      <c r="F1226" s="30"/>
      <c r="G1226" s="29"/>
      <c r="H1226" s="30"/>
      <c r="I1226" s="29"/>
      <c r="J1226" s="30"/>
      <c r="K1226" s="30"/>
      <c r="L1226" s="29"/>
      <c r="M1226" s="32" t="str">
        <f aca="false">IF(OR(C1226="",L1226=""),"",IF(C1226=L1226,"同一","変更"))</f>
        <v/>
      </c>
      <c r="N1226" s="29"/>
      <c r="O1226" s="30"/>
      <c r="P1226" s="29"/>
      <c r="Q1226" s="31"/>
      <c r="R1226" s="29"/>
      <c r="S1226" s="29"/>
      <c r="T1226" s="30"/>
      <c r="U1226" s="47" t="str">
        <f aca="false">IF(AND(B1226&lt;&gt;"",B1226=SW別シート!$C$3),COUNTIF(B$5:B1226,B1226),"")</f>
        <v/>
      </c>
      <c r="V1226" s="47" t="n">
        <f aca="false">V1225+IF(OR(O1226&lt;&gt;"",W1226&lt;&gt;""),1,0)</f>
        <v>3</v>
      </c>
      <c r="W1226" s="29"/>
    </row>
    <row r="1227" customFormat="false" ht="15" hidden="false" customHeight="false" outlineLevel="0" collapsed="false">
      <c r="A1227" s="32" t="str">
        <f aca="false">IF(B1227="","",ROW()-7)</f>
        <v/>
      </c>
      <c r="B1227" s="30"/>
      <c r="C1227" s="29"/>
      <c r="D1227" s="29"/>
      <c r="E1227" s="29"/>
      <c r="F1227" s="30"/>
      <c r="G1227" s="29"/>
      <c r="H1227" s="30"/>
      <c r="I1227" s="29"/>
      <c r="J1227" s="30"/>
      <c r="K1227" s="30"/>
      <c r="L1227" s="29"/>
      <c r="M1227" s="32" t="str">
        <f aca="false">IF(OR(C1227="",L1227=""),"",IF(C1227=L1227,"同一","変更"))</f>
        <v/>
      </c>
      <c r="N1227" s="29"/>
      <c r="O1227" s="30"/>
      <c r="P1227" s="29"/>
      <c r="Q1227" s="31"/>
      <c r="R1227" s="29"/>
      <c r="S1227" s="29"/>
      <c r="T1227" s="30"/>
      <c r="U1227" s="47" t="str">
        <f aca="false">IF(AND(B1227&lt;&gt;"",B1227=SW別シート!$C$3),COUNTIF(B$5:B1227,B1227),"")</f>
        <v/>
      </c>
      <c r="V1227" s="47" t="n">
        <f aca="false">V1226+IF(OR(O1227&lt;&gt;"",W1227&lt;&gt;""),1,0)</f>
        <v>3</v>
      </c>
      <c r="W1227" s="29"/>
    </row>
    <row r="1228" customFormat="false" ht="15" hidden="false" customHeight="false" outlineLevel="0" collapsed="false">
      <c r="A1228" s="32" t="str">
        <f aca="false">IF(B1228="","",ROW()-7)</f>
        <v/>
      </c>
      <c r="B1228" s="30"/>
      <c r="C1228" s="29"/>
      <c r="D1228" s="29"/>
      <c r="E1228" s="29"/>
      <c r="F1228" s="30"/>
      <c r="G1228" s="29"/>
      <c r="H1228" s="30"/>
      <c r="I1228" s="29"/>
      <c r="J1228" s="30"/>
      <c r="K1228" s="30"/>
      <c r="L1228" s="29"/>
      <c r="M1228" s="32" t="str">
        <f aca="false">IF(OR(C1228="",L1228=""),"",IF(C1228=L1228,"同一","変更"))</f>
        <v/>
      </c>
      <c r="N1228" s="29"/>
      <c r="O1228" s="30"/>
      <c r="P1228" s="29"/>
      <c r="Q1228" s="31"/>
      <c r="R1228" s="29"/>
      <c r="S1228" s="29"/>
      <c r="T1228" s="30"/>
      <c r="U1228" s="47" t="str">
        <f aca="false">IF(AND(B1228&lt;&gt;"",B1228=SW別シート!$C$3),COUNTIF(B$5:B1228,B1228),"")</f>
        <v/>
      </c>
      <c r="V1228" s="47" t="n">
        <f aca="false">V1227+IF(OR(O1228&lt;&gt;"",W1228&lt;&gt;""),1,0)</f>
        <v>3</v>
      </c>
      <c r="W1228" s="29"/>
    </row>
    <row r="1229" customFormat="false" ht="15" hidden="false" customHeight="false" outlineLevel="0" collapsed="false">
      <c r="A1229" s="32" t="str">
        <f aca="false">IF(B1229="","",ROW()-7)</f>
        <v/>
      </c>
      <c r="B1229" s="30"/>
      <c r="C1229" s="29"/>
      <c r="D1229" s="29"/>
      <c r="E1229" s="29"/>
      <c r="F1229" s="30"/>
      <c r="G1229" s="29"/>
      <c r="H1229" s="30"/>
      <c r="I1229" s="29"/>
      <c r="J1229" s="30"/>
      <c r="K1229" s="30"/>
      <c r="L1229" s="29"/>
      <c r="M1229" s="32" t="str">
        <f aca="false">IF(OR(C1229="",L1229=""),"",IF(C1229=L1229,"同一","変更"))</f>
        <v/>
      </c>
      <c r="N1229" s="29"/>
      <c r="O1229" s="30"/>
      <c r="P1229" s="29"/>
      <c r="Q1229" s="31"/>
      <c r="R1229" s="29"/>
      <c r="S1229" s="29"/>
      <c r="T1229" s="30"/>
      <c r="U1229" s="47" t="str">
        <f aca="false">IF(AND(B1229&lt;&gt;"",B1229=SW別シート!$C$3),COUNTIF(B$5:B1229,B1229),"")</f>
        <v/>
      </c>
      <c r="V1229" s="47" t="n">
        <f aca="false">V1228+IF(OR(O1229&lt;&gt;"",W1229&lt;&gt;""),1,0)</f>
        <v>3</v>
      </c>
      <c r="W1229" s="29"/>
    </row>
    <row r="1230" customFormat="false" ht="15" hidden="false" customHeight="false" outlineLevel="0" collapsed="false">
      <c r="A1230" s="32" t="str">
        <f aca="false">IF(B1230="","",ROW()-7)</f>
        <v/>
      </c>
      <c r="B1230" s="30"/>
      <c r="C1230" s="29"/>
      <c r="D1230" s="29"/>
      <c r="E1230" s="29"/>
      <c r="F1230" s="30"/>
      <c r="G1230" s="29"/>
      <c r="H1230" s="30"/>
      <c r="I1230" s="29"/>
      <c r="J1230" s="30"/>
      <c r="K1230" s="30"/>
      <c r="L1230" s="29"/>
      <c r="M1230" s="32" t="str">
        <f aca="false">IF(OR(C1230="",L1230=""),"",IF(C1230=L1230,"同一","変更"))</f>
        <v/>
      </c>
      <c r="N1230" s="29"/>
      <c r="O1230" s="30"/>
      <c r="P1230" s="29"/>
      <c r="Q1230" s="31"/>
      <c r="R1230" s="29"/>
      <c r="S1230" s="29"/>
      <c r="T1230" s="30"/>
      <c r="U1230" s="47" t="str">
        <f aca="false">IF(AND(B1230&lt;&gt;"",B1230=SW別シート!$C$3),COUNTIF(B$5:B1230,B1230),"")</f>
        <v/>
      </c>
      <c r="V1230" s="47" t="n">
        <f aca="false">V1229+IF(OR(O1230&lt;&gt;"",W1230&lt;&gt;""),1,0)</f>
        <v>3</v>
      </c>
      <c r="W1230" s="29"/>
    </row>
    <row r="1231" customFormat="false" ht="15" hidden="false" customHeight="false" outlineLevel="0" collapsed="false">
      <c r="A1231" s="32" t="str">
        <f aca="false">IF(B1231="","",ROW()-7)</f>
        <v/>
      </c>
      <c r="B1231" s="30"/>
      <c r="C1231" s="29"/>
      <c r="D1231" s="29"/>
      <c r="E1231" s="29"/>
      <c r="F1231" s="30"/>
      <c r="G1231" s="29"/>
      <c r="H1231" s="30"/>
      <c r="I1231" s="29"/>
      <c r="J1231" s="30"/>
      <c r="K1231" s="30"/>
      <c r="L1231" s="29"/>
      <c r="M1231" s="32" t="str">
        <f aca="false">IF(OR(C1231="",L1231=""),"",IF(C1231=L1231,"同一","変更"))</f>
        <v/>
      </c>
      <c r="N1231" s="29"/>
      <c r="O1231" s="30"/>
      <c r="P1231" s="29"/>
      <c r="Q1231" s="31"/>
      <c r="R1231" s="29"/>
      <c r="S1231" s="29"/>
      <c r="T1231" s="30"/>
      <c r="U1231" s="47" t="str">
        <f aca="false">IF(AND(B1231&lt;&gt;"",B1231=SW別シート!$C$3),COUNTIF(B$5:B1231,B1231),"")</f>
        <v/>
      </c>
      <c r="V1231" s="47" t="n">
        <f aca="false">V1230+IF(OR(O1231&lt;&gt;"",W1231&lt;&gt;""),1,0)</f>
        <v>3</v>
      </c>
      <c r="W1231" s="29"/>
    </row>
    <row r="1232" customFormat="false" ht="15" hidden="false" customHeight="false" outlineLevel="0" collapsed="false">
      <c r="A1232" s="32" t="str">
        <f aca="false">IF(B1232="","",ROW()-7)</f>
        <v/>
      </c>
      <c r="B1232" s="30"/>
      <c r="C1232" s="29"/>
      <c r="D1232" s="29"/>
      <c r="E1232" s="29"/>
      <c r="F1232" s="30"/>
      <c r="G1232" s="29"/>
      <c r="H1232" s="30"/>
      <c r="I1232" s="29"/>
      <c r="J1232" s="30"/>
      <c r="K1232" s="30"/>
      <c r="L1232" s="29"/>
      <c r="M1232" s="32" t="str">
        <f aca="false">IF(OR(C1232="",L1232=""),"",IF(C1232=L1232,"同一","変更"))</f>
        <v/>
      </c>
      <c r="N1232" s="29"/>
      <c r="O1232" s="30"/>
      <c r="P1232" s="29"/>
      <c r="Q1232" s="31"/>
      <c r="R1232" s="29"/>
      <c r="S1232" s="29"/>
      <c r="T1232" s="30"/>
      <c r="U1232" s="47" t="str">
        <f aca="false">IF(AND(B1232&lt;&gt;"",B1232=SW別シート!$C$3),COUNTIF(B$5:B1232,B1232),"")</f>
        <v/>
      </c>
      <c r="V1232" s="47" t="n">
        <f aca="false">V1231+IF(OR(O1232&lt;&gt;"",W1232&lt;&gt;""),1,0)</f>
        <v>3</v>
      </c>
      <c r="W1232" s="29"/>
    </row>
    <row r="1233" customFormat="false" ht="15" hidden="false" customHeight="false" outlineLevel="0" collapsed="false">
      <c r="A1233" s="32" t="str">
        <f aca="false">IF(B1233="","",ROW()-7)</f>
        <v/>
      </c>
      <c r="B1233" s="30"/>
      <c r="C1233" s="29"/>
      <c r="D1233" s="29"/>
      <c r="E1233" s="29"/>
      <c r="F1233" s="30"/>
      <c r="G1233" s="29"/>
      <c r="H1233" s="30"/>
      <c r="I1233" s="29"/>
      <c r="J1233" s="30"/>
      <c r="K1233" s="30"/>
      <c r="L1233" s="29"/>
      <c r="M1233" s="32" t="str">
        <f aca="false">IF(OR(C1233="",L1233=""),"",IF(C1233=L1233,"同一","変更"))</f>
        <v/>
      </c>
      <c r="N1233" s="29"/>
      <c r="O1233" s="30"/>
      <c r="P1233" s="29"/>
      <c r="Q1233" s="31"/>
      <c r="R1233" s="29"/>
      <c r="S1233" s="29"/>
      <c r="T1233" s="30"/>
      <c r="U1233" s="47" t="str">
        <f aca="false">IF(AND(B1233&lt;&gt;"",B1233=SW別シート!$C$3),COUNTIF(B$5:B1233,B1233),"")</f>
        <v/>
      </c>
      <c r="V1233" s="47" t="n">
        <f aca="false">V1232+IF(OR(O1233&lt;&gt;"",W1233&lt;&gt;""),1,0)</f>
        <v>3</v>
      </c>
      <c r="W1233" s="29"/>
    </row>
    <row r="1234" customFormat="false" ht="15" hidden="false" customHeight="false" outlineLevel="0" collapsed="false">
      <c r="A1234" s="32" t="str">
        <f aca="false">IF(B1234="","",ROW()-7)</f>
        <v/>
      </c>
      <c r="B1234" s="30"/>
      <c r="C1234" s="29"/>
      <c r="D1234" s="29"/>
      <c r="E1234" s="29"/>
      <c r="F1234" s="30"/>
      <c r="G1234" s="29"/>
      <c r="H1234" s="30"/>
      <c r="I1234" s="29"/>
      <c r="J1234" s="30"/>
      <c r="K1234" s="30"/>
      <c r="L1234" s="29"/>
      <c r="M1234" s="32" t="str">
        <f aca="false">IF(OR(C1234="",L1234=""),"",IF(C1234=L1234,"同一","変更"))</f>
        <v/>
      </c>
      <c r="N1234" s="29"/>
      <c r="O1234" s="30"/>
      <c r="P1234" s="29"/>
      <c r="Q1234" s="31"/>
      <c r="R1234" s="29"/>
      <c r="S1234" s="29"/>
      <c r="T1234" s="30"/>
      <c r="U1234" s="47" t="str">
        <f aca="false">IF(AND(B1234&lt;&gt;"",B1234=SW別シート!$C$3),COUNTIF(B$5:B1234,B1234),"")</f>
        <v/>
      </c>
      <c r="V1234" s="47" t="n">
        <f aca="false">V1233+IF(OR(O1234&lt;&gt;"",W1234&lt;&gt;""),1,0)</f>
        <v>3</v>
      </c>
      <c r="W1234" s="29"/>
    </row>
    <row r="1235" customFormat="false" ht="15" hidden="false" customHeight="false" outlineLevel="0" collapsed="false">
      <c r="A1235" s="32" t="str">
        <f aca="false">IF(B1235="","",ROW()-7)</f>
        <v/>
      </c>
      <c r="B1235" s="30"/>
      <c r="C1235" s="29"/>
      <c r="D1235" s="29"/>
      <c r="E1235" s="29"/>
      <c r="F1235" s="30"/>
      <c r="G1235" s="29"/>
      <c r="H1235" s="30"/>
      <c r="I1235" s="29"/>
      <c r="J1235" s="30"/>
      <c r="K1235" s="30"/>
      <c r="L1235" s="29"/>
      <c r="M1235" s="32" t="str">
        <f aca="false">IF(OR(C1235="",L1235=""),"",IF(C1235=L1235,"同一","変更"))</f>
        <v/>
      </c>
      <c r="N1235" s="29"/>
      <c r="O1235" s="30"/>
      <c r="P1235" s="29"/>
      <c r="Q1235" s="31"/>
      <c r="R1235" s="29"/>
      <c r="S1235" s="29"/>
      <c r="T1235" s="30"/>
      <c r="U1235" s="47" t="str">
        <f aca="false">IF(AND(B1235&lt;&gt;"",B1235=SW別シート!$C$3),COUNTIF(B$5:B1235,B1235),"")</f>
        <v/>
      </c>
      <c r="V1235" s="47" t="n">
        <f aca="false">V1234+IF(OR(O1235&lt;&gt;"",W1235&lt;&gt;""),1,0)</f>
        <v>3</v>
      </c>
      <c r="W1235" s="29"/>
    </row>
    <row r="1236" customFormat="false" ht="15" hidden="false" customHeight="false" outlineLevel="0" collapsed="false">
      <c r="A1236" s="32" t="str">
        <f aca="false">IF(B1236="","",ROW()-7)</f>
        <v/>
      </c>
      <c r="B1236" s="30"/>
      <c r="C1236" s="29"/>
      <c r="D1236" s="29"/>
      <c r="E1236" s="29"/>
      <c r="F1236" s="30"/>
      <c r="G1236" s="29"/>
      <c r="H1236" s="30"/>
      <c r="I1236" s="29"/>
      <c r="J1236" s="30"/>
      <c r="K1236" s="30"/>
      <c r="L1236" s="29"/>
      <c r="M1236" s="32" t="str">
        <f aca="false">IF(OR(C1236="",L1236=""),"",IF(C1236=L1236,"同一","変更"))</f>
        <v/>
      </c>
      <c r="N1236" s="29"/>
      <c r="O1236" s="30"/>
      <c r="P1236" s="29"/>
      <c r="Q1236" s="31"/>
      <c r="R1236" s="29"/>
      <c r="S1236" s="29"/>
      <c r="T1236" s="30"/>
      <c r="U1236" s="47" t="str">
        <f aca="false">IF(AND(B1236&lt;&gt;"",B1236=SW別シート!$C$3),COUNTIF(B$5:B1236,B1236),"")</f>
        <v/>
      </c>
      <c r="V1236" s="47" t="n">
        <f aca="false">V1235+IF(OR(O1236&lt;&gt;"",W1236&lt;&gt;""),1,0)</f>
        <v>3</v>
      </c>
      <c r="W1236" s="29"/>
    </row>
    <row r="1237" customFormat="false" ht="15" hidden="false" customHeight="false" outlineLevel="0" collapsed="false">
      <c r="A1237" s="32" t="str">
        <f aca="false">IF(B1237="","",ROW()-7)</f>
        <v/>
      </c>
      <c r="B1237" s="30"/>
      <c r="C1237" s="29"/>
      <c r="D1237" s="29"/>
      <c r="E1237" s="29"/>
      <c r="F1237" s="30"/>
      <c r="G1237" s="29"/>
      <c r="H1237" s="30"/>
      <c r="I1237" s="29"/>
      <c r="J1237" s="30"/>
      <c r="K1237" s="30"/>
      <c r="L1237" s="29"/>
      <c r="M1237" s="32" t="str">
        <f aca="false">IF(OR(C1237="",L1237=""),"",IF(C1237=L1237,"同一","変更"))</f>
        <v/>
      </c>
      <c r="N1237" s="29"/>
      <c r="O1237" s="30"/>
      <c r="P1237" s="29"/>
      <c r="Q1237" s="31"/>
      <c r="R1237" s="29"/>
      <c r="S1237" s="29"/>
      <c r="T1237" s="30"/>
      <c r="U1237" s="47" t="str">
        <f aca="false">IF(AND(B1237&lt;&gt;"",B1237=SW別シート!$C$3),COUNTIF(B$5:B1237,B1237),"")</f>
        <v/>
      </c>
      <c r="V1237" s="47" t="n">
        <f aca="false">V1236+IF(OR(O1237&lt;&gt;"",W1237&lt;&gt;""),1,0)</f>
        <v>3</v>
      </c>
      <c r="W1237" s="29"/>
    </row>
    <row r="1238" customFormat="false" ht="15" hidden="false" customHeight="false" outlineLevel="0" collapsed="false">
      <c r="A1238" s="32" t="str">
        <f aca="false">IF(B1238="","",ROW()-7)</f>
        <v/>
      </c>
      <c r="B1238" s="30"/>
      <c r="C1238" s="29"/>
      <c r="D1238" s="29"/>
      <c r="E1238" s="29"/>
      <c r="F1238" s="30"/>
      <c r="G1238" s="29"/>
      <c r="H1238" s="30"/>
      <c r="I1238" s="29"/>
      <c r="J1238" s="30"/>
      <c r="K1238" s="30"/>
      <c r="L1238" s="29"/>
      <c r="M1238" s="32" t="str">
        <f aca="false">IF(OR(C1238="",L1238=""),"",IF(C1238=L1238,"同一","変更"))</f>
        <v/>
      </c>
      <c r="N1238" s="29"/>
      <c r="O1238" s="30"/>
      <c r="P1238" s="29"/>
      <c r="Q1238" s="31"/>
      <c r="R1238" s="29"/>
      <c r="S1238" s="29"/>
      <c r="T1238" s="30"/>
      <c r="U1238" s="47" t="str">
        <f aca="false">IF(AND(B1238&lt;&gt;"",B1238=SW別シート!$C$3),COUNTIF(B$5:B1238,B1238),"")</f>
        <v/>
      </c>
      <c r="V1238" s="47" t="n">
        <f aca="false">V1237+IF(OR(O1238&lt;&gt;"",W1238&lt;&gt;""),1,0)</f>
        <v>3</v>
      </c>
      <c r="W1238" s="29"/>
    </row>
    <row r="1239" customFormat="false" ht="15" hidden="false" customHeight="false" outlineLevel="0" collapsed="false">
      <c r="A1239" s="32" t="str">
        <f aca="false">IF(B1239="","",ROW()-7)</f>
        <v/>
      </c>
      <c r="B1239" s="30"/>
      <c r="C1239" s="29"/>
      <c r="D1239" s="29"/>
      <c r="E1239" s="29"/>
      <c r="F1239" s="30"/>
      <c r="G1239" s="29"/>
      <c r="H1239" s="30"/>
      <c r="I1239" s="29"/>
      <c r="J1239" s="30"/>
      <c r="K1239" s="30"/>
      <c r="L1239" s="29"/>
      <c r="M1239" s="32" t="str">
        <f aca="false">IF(OR(C1239="",L1239=""),"",IF(C1239=L1239,"同一","変更"))</f>
        <v/>
      </c>
      <c r="N1239" s="29"/>
      <c r="O1239" s="30"/>
      <c r="P1239" s="29"/>
      <c r="Q1239" s="31"/>
      <c r="R1239" s="29"/>
      <c r="S1239" s="29"/>
      <c r="T1239" s="30"/>
      <c r="U1239" s="47" t="str">
        <f aca="false">IF(AND(B1239&lt;&gt;"",B1239=SW別シート!$C$3),COUNTIF(B$5:B1239,B1239),"")</f>
        <v/>
      </c>
      <c r="V1239" s="47" t="n">
        <f aca="false">V1238+IF(OR(O1239&lt;&gt;"",W1239&lt;&gt;""),1,0)</f>
        <v>3</v>
      </c>
      <c r="W1239" s="29"/>
    </row>
    <row r="1240" customFormat="false" ht="15" hidden="false" customHeight="false" outlineLevel="0" collapsed="false">
      <c r="A1240" s="32" t="str">
        <f aca="false">IF(B1240="","",ROW()-7)</f>
        <v/>
      </c>
      <c r="B1240" s="30"/>
      <c r="C1240" s="29"/>
      <c r="D1240" s="29"/>
      <c r="E1240" s="29"/>
      <c r="F1240" s="30"/>
      <c r="G1240" s="29"/>
      <c r="H1240" s="30"/>
      <c r="I1240" s="29"/>
      <c r="J1240" s="30"/>
      <c r="K1240" s="30"/>
      <c r="L1240" s="29"/>
      <c r="M1240" s="32" t="str">
        <f aca="false">IF(OR(C1240="",L1240=""),"",IF(C1240=L1240,"同一","変更"))</f>
        <v/>
      </c>
      <c r="N1240" s="29"/>
      <c r="O1240" s="30"/>
      <c r="P1240" s="29"/>
      <c r="Q1240" s="31"/>
      <c r="R1240" s="29"/>
      <c r="S1240" s="29"/>
      <c r="T1240" s="30"/>
      <c r="U1240" s="47" t="str">
        <f aca="false">IF(AND(B1240&lt;&gt;"",B1240=SW別シート!$C$3),COUNTIF(B$5:B1240,B1240),"")</f>
        <v/>
      </c>
      <c r="V1240" s="47" t="n">
        <f aca="false">V1239+IF(OR(O1240&lt;&gt;"",W1240&lt;&gt;""),1,0)</f>
        <v>3</v>
      </c>
      <c r="W1240" s="29"/>
    </row>
    <row r="1241" customFormat="false" ht="15" hidden="false" customHeight="false" outlineLevel="0" collapsed="false">
      <c r="A1241" s="32" t="str">
        <f aca="false">IF(B1241="","",ROW()-7)</f>
        <v/>
      </c>
      <c r="B1241" s="30"/>
      <c r="C1241" s="29"/>
      <c r="D1241" s="29"/>
      <c r="E1241" s="29"/>
      <c r="F1241" s="30"/>
      <c r="G1241" s="29"/>
      <c r="H1241" s="30"/>
      <c r="I1241" s="29"/>
      <c r="J1241" s="30"/>
      <c r="K1241" s="30"/>
      <c r="L1241" s="29"/>
      <c r="M1241" s="32" t="str">
        <f aca="false">IF(OR(C1241="",L1241=""),"",IF(C1241=L1241,"同一","変更"))</f>
        <v/>
      </c>
      <c r="N1241" s="29"/>
      <c r="O1241" s="30"/>
      <c r="P1241" s="29"/>
      <c r="Q1241" s="31"/>
      <c r="R1241" s="29"/>
      <c r="S1241" s="29"/>
      <c r="T1241" s="30"/>
      <c r="U1241" s="47" t="str">
        <f aca="false">IF(AND(B1241&lt;&gt;"",B1241=SW別シート!$C$3),COUNTIF(B$5:B1241,B1241),"")</f>
        <v/>
      </c>
      <c r="V1241" s="47" t="n">
        <f aca="false">V1240+IF(OR(O1241&lt;&gt;"",W1241&lt;&gt;""),1,0)</f>
        <v>3</v>
      </c>
      <c r="W1241" s="29"/>
    </row>
    <row r="1242" customFormat="false" ht="15" hidden="false" customHeight="false" outlineLevel="0" collapsed="false">
      <c r="A1242" s="32" t="str">
        <f aca="false">IF(B1242="","",ROW()-7)</f>
        <v/>
      </c>
      <c r="B1242" s="30"/>
      <c r="C1242" s="29"/>
      <c r="D1242" s="29"/>
      <c r="E1242" s="29"/>
      <c r="F1242" s="30"/>
      <c r="G1242" s="29"/>
      <c r="H1242" s="30"/>
      <c r="I1242" s="29"/>
      <c r="J1242" s="30"/>
      <c r="K1242" s="30"/>
      <c r="L1242" s="29"/>
      <c r="M1242" s="32" t="str">
        <f aca="false">IF(OR(C1242="",L1242=""),"",IF(C1242=L1242,"同一","変更"))</f>
        <v/>
      </c>
      <c r="N1242" s="29"/>
      <c r="O1242" s="30"/>
      <c r="P1242" s="29"/>
      <c r="Q1242" s="31"/>
      <c r="R1242" s="29"/>
      <c r="S1242" s="29"/>
      <c r="T1242" s="30"/>
      <c r="U1242" s="47" t="str">
        <f aca="false">IF(AND(B1242&lt;&gt;"",B1242=SW別シート!$C$3),COUNTIF(B$5:B1242,B1242),"")</f>
        <v/>
      </c>
      <c r="V1242" s="47" t="n">
        <f aca="false">V1241+IF(OR(O1242&lt;&gt;"",W1242&lt;&gt;""),1,0)</f>
        <v>3</v>
      </c>
      <c r="W1242" s="29"/>
    </row>
    <row r="1243" customFormat="false" ht="15" hidden="false" customHeight="false" outlineLevel="0" collapsed="false">
      <c r="A1243" s="32" t="str">
        <f aca="false">IF(B1243="","",ROW()-7)</f>
        <v/>
      </c>
      <c r="B1243" s="30"/>
      <c r="C1243" s="29"/>
      <c r="D1243" s="29"/>
      <c r="E1243" s="29"/>
      <c r="F1243" s="30"/>
      <c r="G1243" s="29"/>
      <c r="H1243" s="30"/>
      <c r="I1243" s="29"/>
      <c r="J1243" s="30"/>
      <c r="K1243" s="30"/>
      <c r="L1243" s="29"/>
      <c r="M1243" s="32" t="str">
        <f aca="false">IF(OR(C1243="",L1243=""),"",IF(C1243=L1243,"同一","変更"))</f>
        <v/>
      </c>
      <c r="N1243" s="29"/>
      <c r="O1243" s="30"/>
      <c r="P1243" s="29"/>
      <c r="Q1243" s="31"/>
      <c r="R1243" s="29"/>
      <c r="S1243" s="29"/>
      <c r="T1243" s="30"/>
      <c r="U1243" s="47" t="str">
        <f aca="false">IF(AND(B1243&lt;&gt;"",B1243=SW別シート!$C$3),COUNTIF(B$5:B1243,B1243),"")</f>
        <v/>
      </c>
      <c r="V1243" s="47" t="n">
        <f aca="false">V1242+IF(OR(O1243&lt;&gt;"",W1243&lt;&gt;""),1,0)</f>
        <v>3</v>
      </c>
      <c r="W1243" s="29"/>
    </row>
    <row r="1244" customFormat="false" ht="15" hidden="false" customHeight="false" outlineLevel="0" collapsed="false">
      <c r="A1244" s="32" t="str">
        <f aca="false">IF(B1244="","",ROW()-7)</f>
        <v/>
      </c>
      <c r="B1244" s="30"/>
      <c r="C1244" s="29"/>
      <c r="D1244" s="29"/>
      <c r="E1244" s="29"/>
      <c r="F1244" s="30"/>
      <c r="G1244" s="29"/>
      <c r="H1244" s="30"/>
      <c r="I1244" s="29"/>
      <c r="J1244" s="30"/>
      <c r="K1244" s="30"/>
      <c r="L1244" s="29"/>
      <c r="M1244" s="32" t="str">
        <f aca="false">IF(OR(C1244="",L1244=""),"",IF(C1244=L1244,"同一","変更"))</f>
        <v/>
      </c>
      <c r="N1244" s="29"/>
      <c r="O1244" s="30"/>
      <c r="P1244" s="29"/>
      <c r="Q1244" s="31"/>
      <c r="R1244" s="29"/>
      <c r="S1244" s="29"/>
      <c r="T1244" s="30"/>
      <c r="U1244" s="47" t="str">
        <f aca="false">IF(AND(B1244&lt;&gt;"",B1244=SW別シート!$C$3),COUNTIF(B$5:B1244,B1244),"")</f>
        <v/>
      </c>
      <c r="V1244" s="47" t="n">
        <f aca="false">V1243+IF(OR(O1244&lt;&gt;"",W1244&lt;&gt;""),1,0)</f>
        <v>3</v>
      </c>
      <c r="W1244" s="29"/>
    </row>
    <row r="1245" customFormat="false" ht="15" hidden="false" customHeight="false" outlineLevel="0" collapsed="false">
      <c r="A1245" s="32" t="str">
        <f aca="false">IF(B1245="","",ROW()-7)</f>
        <v/>
      </c>
      <c r="B1245" s="30"/>
      <c r="C1245" s="29"/>
      <c r="D1245" s="29"/>
      <c r="E1245" s="29"/>
      <c r="F1245" s="30"/>
      <c r="G1245" s="29"/>
      <c r="H1245" s="30"/>
      <c r="I1245" s="29"/>
      <c r="J1245" s="30"/>
      <c r="K1245" s="30"/>
      <c r="L1245" s="29"/>
      <c r="M1245" s="32" t="str">
        <f aca="false">IF(OR(C1245="",L1245=""),"",IF(C1245=L1245,"同一","変更"))</f>
        <v/>
      </c>
      <c r="N1245" s="29"/>
      <c r="O1245" s="30"/>
      <c r="P1245" s="29"/>
      <c r="Q1245" s="31"/>
      <c r="R1245" s="29"/>
      <c r="S1245" s="29"/>
      <c r="T1245" s="30"/>
      <c r="U1245" s="47" t="str">
        <f aca="false">IF(AND(B1245&lt;&gt;"",B1245=SW別シート!$C$3),COUNTIF(B$5:B1245,B1245),"")</f>
        <v/>
      </c>
      <c r="V1245" s="47" t="n">
        <f aca="false">V1244+IF(OR(O1245&lt;&gt;"",W1245&lt;&gt;""),1,0)</f>
        <v>3</v>
      </c>
      <c r="W1245" s="29"/>
    </row>
    <row r="1246" customFormat="false" ht="15" hidden="false" customHeight="false" outlineLevel="0" collapsed="false">
      <c r="A1246" s="32" t="str">
        <f aca="false">IF(B1246="","",ROW()-7)</f>
        <v/>
      </c>
      <c r="B1246" s="30"/>
      <c r="C1246" s="29"/>
      <c r="D1246" s="29"/>
      <c r="E1246" s="29"/>
      <c r="F1246" s="30"/>
      <c r="G1246" s="29"/>
      <c r="H1246" s="30"/>
      <c r="I1246" s="29"/>
      <c r="J1246" s="30"/>
      <c r="K1246" s="30"/>
      <c r="L1246" s="29"/>
      <c r="M1246" s="32" t="str">
        <f aca="false">IF(OR(C1246="",L1246=""),"",IF(C1246=L1246,"同一","変更"))</f>
        <v/>
      </c>
      <c r="N1246" s="29"/>
      <c r="O1246" s="30"/>
      <c r="P1246" s="29"/>
      <c r="Q1246" s="31"/>
      <c r="R1246" s="29"/>
      <c r="S1246" s="29"/>
      <c r="T1246" s="30"/>
      <c r="U1246" s="47" t="str">
        <f aca="false">IF(AND(B1246&lt;&gt;"",B1246=SW別シート!$C$3),COUNTIF(B$5:B1246,B1246),"")</f>
        <v/>
      </c>
      <c r="V1246" s="47" t="n">
        <f aca="false">V1245+IF(OR(O1246&lt;&gt;"",W1246&lt;&gt;""),1,0)</f>
        <v>3</v>
      </c>
      <c r="W1246" s="29"/>
    </row>
    <row r="1247" customFormat="false" ht="15" hidden="false" customHeight="false" outlineLevel="0" collapsed="false">
      <c r="A1247" s="32" t="str">
        <f aca="false">IF(B1247="","",ROW()-7)</f>
        <v/>
      </c>
      <c r="B1247" s="30"/>
      <c r="C1247" s="29"/>
      <c r="D1247" s="29"/>
      <c r="E1247" s="29"/>
      <c r="F1247" s="30"/>
      <c r="G1247" s="29"/>
      <c r="H1247" s="30"/>
      <c r="I1247" s="29"/>
      <c r="J1247" s="30"/>
      <c r="K1247" s="30"/>
      <c r="L1247" s="29"/>
      <c r="M1247" s="32" t="str">
        <f aca="false">IF(OR(C1247="",L1247=""),"",IF(C1247=L1247,"同一","変更"))</f>
        <v/>
      </c>
      <c r="N1247" s="29"/>
      <c r="O1247" s="30"/>
      <c r="P1247" s="29"/>
      <c r="Q1247" s="31"/>
      <c r="R1247" s="29"/>
      <c r="S1247" s="29"/>
      <c r="T1247" s="30"/>
      <c r="U1247" s="47" t="str">
        <f aca="false">IF(AND(B1247&lt;&gt;"",B1247=SW別シート!$C$3),COUNTIF(B$5:B1247,B1247),"")</f>
        <v/>
      </c>
      <c r="V1247" s="47" t="n">
        <f aca="false">V1246+IF(OR(O1247&lt;&gt;"",W1247&lt;&gt;""),1,0)</f>
        <v>3</v>
      </c>
      <c r="W1247" s="29"/>
    </row>
    <row r="1248" customFormat="false" ht="15" hidden="false" customHeight="false" outlineLevel="0" collapsed="false">
      <c r="A1248" s="32" t="str">
        <f aca="false">IF(B1248="","",ROW()-7)</f>
        <v/>
      </c>
      <c r="B1248" s="30"/>
      <c r="C1248" s="29"/>
      <c r="D1248" s="29"/>
      <c r="E1248" s="29"/>
      <c r="F1248" s="30"/>
      <c r="G1248" s="29"/>
      <c r="H1248" s="30"/>
      <c r="I1248" s="29"/>
      <c r="J1248" s="30"/>
      <c r="K1248" s="30"/>
      <c r="L1248" s="29"/>
      <c r="M1248" s="32" t="str">
        <f aca="false">IF(OR(C1248="",L1248=""),"",IF(C1248=L1248,"同一","変更"))</f>
        <v/>
      </c>
      <c r="N1248" s="29"/>
      <c r="O1248" s="30"/>
      <c r="P1248" s="29"/>
      <c r="Q1248" s="31"/>
      <c r="R1248" s="29"/>
      <c r="S1248" s="29"/>
      <c r="T1248" s="30"/>
      <c r="U1248" s="47" t="str">
        <f aca="false">IF(AND(B1248&lt;&gt;"",B1248=SW別シート!$C$3),COUNTIF(B$5:B1248,B1248),"")</f>
        <v/>
      </c>
      <c r="V1248" s="47" t="n">
        <f aca="false">V1247+IF(OR(O1248&lt;&gt;"",W1248&lt;&gt;""),1,0)</f>
        <v>3</v>
      </c>
      <c r="W1248" s="29"/>
    </row>
    <row r="1249" customFormat="false" ht="15" hidden="false" customHeight="false" outlineLevel="0" collapsed="false">
      <c r="A1249" s="32" t="str">
        <f aca="false">IF(B1249="","",ROW()-7)</f>
        <v/>
      </c>
      <c r="B1249" s="30"/>
      <c r="C1249" s="29"/>
      <c r="D1249" s="29"/>
      <c r="E1249" s="29"/>
      <c r="F1249" s="30"/>
      <c r="G1249" s="29"/>
      <c r="H1249" s="30"/>
      <c r="I1249" s="29"/>
      <c r="J1249" s="30"/>
      <c r="K1249" s="30"/>
      <c r="L1249" s="29"/>
      <c r="M1249" s="32" t="str">
        <f aca="false">IF(OR(C1249="",L1249=""),"",IF(C1249=L1249,"同一","変更"))</f>
        <v/>
      </c>
      <c r="N1249" s="29"/>
      <c r="O1249" s="30"/>
      <c r="P1249" s="29"/>
      <c r="Q1249" s="31"/>
      <c r="R1249" s="29"/>
      <c r="S1249" s="29"/>
      <c r="T1249" s="30"/>
      <c r="U1249" s="47" t="str">
        <f aca="false">IF(AND(B1249&lt;&gt;"",B1249=SW別シート!$C$3),COUNTIF(B$5:B1249,B1249),"")</f>
        <v/>
      </c>
      <c r="V1249" s="47" t="n">
        <f aca="false">V1248+IF(OR(O1249&lt;&gt;"",W1249&lt;&gt;""),1,0)</f>
        <v>3</v>
      </c>
      <c r="W1249" s="29"/>
    </row>
    <row r="1250" customFormat="false" ht="15" hidden="false" customHeight="false" outlineLevel="0" collapsed="false">
      <c r="A1250" s="32" t="str">
        <f aca="false">IF(B1250="","",ROW()-7)</f>
        <v/>
      </c>
      <c r="B1250" s="30"/>
      <c r="C1250" s="29"/>
      <c r="D1250" s="29"/>
      <c r="E1250" s="29"/>
      <c r="F1250" s="30"/>
      <c r="G1250" s="29"/>
      <c r="H1250" s="30"/>
      <c r="I1250" s="29"/>
      <c r="J1250" s="30"/>
      <c r="K1250" s="30"/>
      <c r="L1250" s="29"/>
      <c r="M1250" s="32" t="str">
        <f aca="false">IF(OR(C1250="",L1250=""),"",IF(C1250=L1250,"同一","変更"))</f>
        <v/>
      </c>
      <c r="N1250" s="29"/>
      <c r="O1250" s="30"/>
      <c r="P1250" s="29"/>
      <c r="Q1250" s="31"/>
      <c r="R1250" s="29"/>
      <c r="S1250" s="29"/>
      <c r="T1250" s="30"/>
      <c r="U1250" s="47" t="str">
        <f aca="false">IF(AND(B1250&lt;&gt;"",B1250=SW別シート!$C$3),COUNTIF(B$5:B1250,B1250),"")</f>
        <v/>
      </c>
      <c r="V1250" s="47" t="n">
        <f aca="false">V1249+IF(OR(O1250&lt;&gt;"",W1250&lt;&gt;""),1,0)</f>
        <v>3</v>
      </c>
      <c r="W1250" s="29"/>
    </row>
    <row r="1251" customFormat="false" ht="15" hidden="false" customHeight="false" outlineLevel="0" collapsed="false">
      <c r="A1251" s="32" t="str">
        <f aca="false">IF(B1251="","",ROW()-7)</f>
        <v/>
      </c>
      <c r="B1251" s="30"/>
      <c r="C1251" s="29"/>
      <c r="D1251" s="29"/>
      <c r="E1251" s="29"/>
      <c r="F1251" s="30"/>
      <c r="G1251" s="29"/>
      <c r="H1251" s="30"/>
      <c r="I1251" s="29"/>
      <c r="J1251" s="30"/>
      <c r="K1251" s="30"/>
      <c r="L1251" s="29"/>
      <c r="M1251" s="32" t="str">
        <f aca="false">IF(OR(C1251="",L1251=""),"",IF(C1251=L1251,"同一","変更"))</f>
        <v/>
      </c>
      <c r="N1251" s="29"/>
      <c r="O1251" s="30"/>
      <c r="P1251" s="29"/>
      <c r="Q1251" s="31"/>
      <c r="R1251" s="29"/>
      <c r="S1251" s="29"/>
      <c r="T1251" s="30"/>
      <c r="U1251" s="47" t="str">
        <f aca="false">IF(AND(B1251&lt;&gt;"",B1251=SW別シート!$C$3),COUNTIF(B$5:B1251,B1251),"")</f>
        <v/>
      </c>
      <c r="V1251" s="47" t="n">
        <f aca="false">V1250+IF(OR(O1251&lt;&gt;"",W1251&lt;&gt;""),1,0)</f>
        <v>3</v>
      </c>
      <c r="W1251" s="29"/>
    </row>
    <row r="1252" customFormat="false" ht="15" hidden="false" customHeight="false" outlineLevel="0" collapsed="false">
      <c r="A1252" s="32" t="str">
        <f aca="false">IF(B1252="","",ROW()-7)</f>
        <v/>
      </c>
      <c r="B1252" s="30"/>
      <c r="C1252" s="29"/>
      <c r="D1252" s="29"/>
      <c r="E1252" s="29"/>
      <c r="F1252" s="30"/>
      <c r="G1252" s="29"/>
      <c r="H1252" s="30"/>
      <c r="I1252" s="29"/>
      <c r="J1252" s="30"/>
      <c r="K1252" s="30"/>
      <c r="L1252" s="29"/>
      <c r="M1252" s="32" t="str">
        <f aca="false">IF(OR(C1252="",L1252=""),"",IF(C1252=L1252,"同一","変更"))</f>
        <v/>
      </c>
      <c r="N1252" s="29"/>
      <c r="O1252" s="30"/>
      <c r="P1252" s="29"/>
      <c r="Q1252" s="31"/>
      <c r="R1252" s="29"/>
      <c r="S1252" s="29"/>
      <c r="T1252" s="30"/>
      <c r="U1252" s="47" t="str">
        <f aca="false">IF(AND(B1252&lt;&gt;"",B1252=SW別シート!$C$3),COUNTIF(B$5:B1252,B1252),"")</f>
        <v/>
      </c>
      <c r="V1252" s="47" t="n">
        <f aca="false">V1251+IF(OR(O1252&lt;&gt;"",W1252&lt;&gt;""),1,0)</f>
        <v>3</v>
      </c>
      <c r="W1252" s="29"/>
    </row>
    <row r="1253" customFormat="false" ht="15" hidden="false" customHeight="false" outlineLevel="0" collapsed="false">
      <c r="A1253" s="32" t="str">
        <f aca="false">IF(B1253="","",ROW()-7)</f>
        <v/>
      </c>
      <c r="B1253" s="30"/>
      <c r="C1253" s="29"/>
      <c r="D1253" s="29"/>
      <c r="E1253" s="29"/>
      <c r="F1253" s="30"/>
      <c r="G1253" s="29"/>
      <c r="H1253" s="30"/>
      <c r="I1253" s="29"/>
      <c r="J1253" s="30"/>
      <c r="K1253" s="30"/>
      <c r="L1253" s="29"/>
      <c r="M1253" s="32" t="str">
        <f aca="false">IF(OR(C1253="",L1253=""),"",IF(C1253=L1253,"同一","変更"))</f>
        <v/>
      </c>
      <c r="N1253" s="29"/>
      <c r="O1253" s="30"/>
      <c r="P1253" s="29"/>
      <c r="Q1253" s="31"/>
      <c r="R1253" s="29"/>
      <c r="S1253" s="29"/>
      <c r="T1253" s="30"/>
      <c r="U1253" s="47" t="str">
        <f aca="false">IF(AND(B1253&lt;&gt;"",B1253=SW別シート!$C$3),COUNTIF(B$5:B1253,B1253),"")</f>
        <v/>
      </c>
      <c r="V1253" s="47" t="n">
        <f aca="false">V1252+IF(OR(O1253&lt;&gt;"",W1253&lt;&gt;""),1,0)</f>
        <v>3</v>
      </c>
      <c r="W1253" s="29"/>
    </row>
    <row r="1254" customFormat="false" ht="15" hidden="false" customHeight="false" outlineLevel="0" collapsed="false">
      <c r="A1254" s="32" t="str">
        <f aca="false">IF(B1254="","",ROW()-7)</f>
        <v/>
      </c>
      <c r="B1254" s="30"/>
      <c r="C1254" s="29"/>
      <c r="D1254" s="29"/>
      <c r="E1254" s="29"/>
      <c r="F1254" s="30"/>
      <c r="G1254" s="29"/>
      <c r="H1254" s="30"/>
      <c r="I1254" s="29"/>
      <c r="J1254" s="30"/>
      <c r="K1254" s="30"/>
      <c r="L1254" s="29"/>
      <c r="M1254" s="32" t="str">
        <f aca="false">IF(OR(C1254="",L1254=""),"",IF(C1254=L1254,"同一","変更"))</f>
        <v/>
      </c>
      <c r="N1254" s="29"/>
      <c r="O1254" s="30"/>
      <c r="P1254" s="29"/>
      <c r="Q1254" s="31"/>
      <c r="R1254" s="29"/>
      <c r="S1254" s="29"/>
      <c r="T1254" s="30"/>
      <c r="U1254" s="47" t="str">
        <f aca="false">IF(AND(B1254&lt;&gt;"",B1254=SW別シート!$C$3),COUNTIF(B$5:B1254,B1254),"")</f>
        <v/>
      </c>
      <c r="V1254" s="47" t="n">
        <f aca="false">V1253+IF(OR(O1254&lt;&gt;"",W1254&lt;&gt;""),1,0)</f>
        <v>3</v>
      </c>
      <c r="W1254" s="29"/>
    </row>
    <row r="1255" customFormat="false" ht="15" hidden="false" customHeight="false" outlineLevel="0" collapsed="false">
      <c r="A1255" s="32" t="str">
        <f aca="false">IF(B1255="","",ROW()-7)</f>
        <v/>
      </c>
      <c r="B1255" s="30"/>
      <c r="C1255" s="29"/>
      <c r="D1255" s="29"/>
      <c r="E1255" s="29"/>
      <c r="F1255" s="30"/>
      <c r="G1255" s="29"/>
      <c r="H1255" s="30"/>
      <c r="I1255" s="29"/>
      <c r="J1255" s="30"/>
      <c r="K1255" s="30"/>
      <c r="L1255" s="29"/>
      <c r="M1255" s="32" t="str">
        <f aca="false">IF(OR(C1255="",L1255=""),"",IF(C1255=L1255,"同一","変更"))</f>
        <v/>
      </c>
      <c r="N1255" s="29"/>
      <c r="O1255" s="30"/>
      <c r="P1255" s="29"/>
      <c r="Q1255" s="31"/>
      <c r="R1255" s="29"/>
      <c r="S1255" s="29"/>
      <c r="T1255" s="30"/>
      <c r="U1255" s="47" t="str">
        <f aca="false">IF(AND(B1255&lt;&gt;"",B1255=SW別シート!$C$3),COUNTIF(B$5:B1255,B1255),"")</f>
        <v/>
      </c>
      <c r="V1255" s="47" t="n">
        <f aca="false">V1254+IF(OR(O1255&lt;&gt;"",W1255&lt;&gt;""),1,0)</f>
        <v>3</v>
      </c>
      <c r="W1255" s="29"/>
    </row>
    <row r="1256" customFormat="false" ht="15" hidden="false" customHeight="false" outlineLevel="0" collapsed="false">
      <c r="A1256" s="32" t="str">
        <f aca="false">IF(B1256="","",ROW()-7)</f>
        <v/>
      </c>
      <c r="B1256" s="30"/>
      <c r="C1256" s="29"/>
      <c r="D1256" s="29"/>
      <c r="E1256" s="29"/>
      <c r="F1256" s="30"/>
      <c r="G1256" s="29"/>
      <c r="H1256" s="30"/>
      <c r="I1256" s="29"/>
      <c r="J1256" s="30"/>
      <c r="K1256" s="30"/>
      <c r="L1256" s="29"/>
      <c r="M1256" s="32" t="str">
        <f aca="false">IF(OR(C1256="",L1256=""),"",IF(C1256=L1256,"同一","変更"))</f>
        <v/>
      </c>
      <c r="N1256" s="29"/>
      <c r="O1256" s="30"/>
      <c r="P1256" s="29"/>
      <c r="Q1256" s="31"/>
      <c r="R1256" s="29"/>
      <c r="S1256" s="29"/>
      <c r="T1256" s="30"/>
      <c r="U1256" s="47" t="str">
        <f aca="false">IF(AND(B1256&lt;&gt;"",B1256=SW別シート!$C$3),COUNTIF(B$5:B1256,B1256),"")</f>
        <v/>
      </c>
      <c r="V1256" s="47" t="n">
        <f aca="false">V1255+IF(OR(O1256&lt;&gt;"",W1256&lt;&gt;""),1,0)</f>
        <v>3</v>
      </c>
      <c r="W1256" s="29"/>
    </row>
    <row r="1257" customFormat="false" ht="15" hidden="false" customHeight="false" outlineLevel="0" collapsed="false">
      <c r="A1257" s="32" t="str">
        <f aca="false">IF(B1257="","",ROW()-7)</f>
        <v/>
      </c>
      <c r="B1257" s="30"/>
      <c r="C1257" s="29"/>
      <c r="D1257" s="29"/>
      <c r="E1257" s="29"/>
      <c r="F1257" s="30"/>
      <c r="G1257" s="29"/>
      <c r="H1257" s="30"/>
      <c r="I1257" s="29"/>
      <c r="J1257" s="30"/>
      <c r="K1257" s="30"/>
      <c r="L1257" s="29"/>
      <c r="M1257" s="32" t="str">
        <f aca="false">IF(OR(C1257="",L1257=""),"",IF(C1257=L1257,"同一","変更"))</f>
        <v/>
      </c>
      <c r="N1257" s="29"/>
      <c r="O1257" s="30"/>
      <c r="P1257" s="29"/>
      <c r="Q1257" s="31"/>
      <c r="R1257" s="29"/>
      <c r="S1257" s="29"/>
      <c r="T1257" s="30"/>
      <c r="U1257" s="47" t="str">
        <f aca="false">IF(AND(B1257&lt;&gt;"",B1257=SW別シート!$C$3),COUNTIF(B$5:B1257,B1257),"")</f>
        <v/>
      </c>
      <c r="V1257" s="47" t="n">
        <f aca="false">V1256+IF(OR(O1257&lt;&gt;"",W1257&lt;&gt;""),1,0)</f>
        <v>3</v>
      </c>
      <c r="W1257" s="29"/>
    </row>
    <row r="1258" customFormat="false" ht="15" hidden="false" customHeight="false" outlineLevel="0" collapsed="false">
      <c r="A1258" s="32" t="str">
        <f aca="false">IF(B1258="","",ROW()-7)</f>
        <v/>
      </c>
      <c r="B1258" s="30"/>
      <c r="C1258" s="29"/>
      <c r="D1258" s="29"/>
      <c r="E1258" s="29"/>
      <c r="F1258" s="30"/>
      <c r="G1258" s="29"/>
      <c r="H1258" s="30"/>
      <c r="I1258" s="29"/>
      <c r="J1258" s="30"/>
      <c r="K1258" s="30"/>
      <c r="L1258" s="29"/>
      <c r="M1258" s="32" t="str">
        <f aca="false">IF(OR(C1258="",L1258=""),"",IF(C1258=L1258,"同一","変更"))</f>
        <v/>
      </c>
      <c r="N1258" s="29"/>
      <c r="O1258" s="30"/>
      <c r="P1258" s="29"/>
      <c r="Q1258" s="31"/>
      <c r="R1258" s="29"/>
      <c r="S1258" s="29"/>
      <c r="T1258" s="30"/>
      <c r="U1258" s="47" t="str">
        <f aca="false">IF(AND(B1258&lt;&gt;"",B1258=SW別シート!$C$3),COUNTIF(B$5:B1258,B1258),"")</f>
        <v/>
      </c>
      <c r="V1258" s="47" t="n">
        <f aca="false">V1257+IF(OR(O1258&lt;&gt;"",W1258&lt;&gt;""),1,0)</f>
        <v>3</v>
      </c>
      <c r="W1258" s="29"/>
    </row>
    <row r="1259" customFormat="false" ht="15" hidden="false" customHeight="false" outlineLevel="0" collapsed="false">
      <c r="A1259" s="32" t="str">
        <f aca="false">IF(B1259="","",ROW()-7)</f>
        <v/>
      </c>
      <c r="B1259" s="30"/>
      <c r="C1259" s="29"/>
      <c r="D1259" s="29"/>
      <c r="E1259" s="29"/>
      <c r="F1259" s="30"/>
      <c r="G1259" s="29"/>
      <c r="H1259" s="30"/>
      <c r="I1259" s="29"/>
      <c r="J1259" s="30"/>
      <c r="K1259" s="30"/>
      <c r="L1259" s="29"/>
      <c r="M1259" s="32" t="str">
        <f aca="false">IF(OR(C1259="",L1259=""),"",IF(C1259=L1259,"同一","変更"))</f>
        <v/>
      </c>
      <c r="N1259" s="29"/>
      <c r="O1259" s="30"/>
      <c r="P1259" s="29"/>
      <c r="Q1259" s="31"/>
      <c r="R1259" s="29"/>
      <c r="S1259" s="29"/>
      <c r="T1259" s="30"/>
      <c r="U1259" s="47" t="str">
        <f aca="false">IF(AND(B1259&lt;&gt;"",B1259=SW別シート!$C$3),COUNTIF(B$5:B1259,B1259),"")</f>
        <v/>
      </c>
      <c r="V1259" s="47" t="n">
        <f aca="false">V1258+IF(OR(O1259&lt;&gt;"",W1259&lt;&gt;""),1,0)</f>
        <v>3</v>
      </c>
      <c r="W1259" s="29"/>
    </row>
    <row r="1260" customFormat="false" ht="15" hidden="false" customHeight="false" outlineLevel="0" collapsed="false">
      <c r="A1260" s="32" t="str">
        <f aca="false">IF(B1260="","",ROW()-7)</f>
        <v/>
      </c>
      <c r="B1260" s="30"/>
      <c r="C1260" s="29"/>
      <c r="D1260" s="29"/>
      <c r="E1260" s="29"/>
      <c r="F1260" s="30"/>
      <c r="G1260" s="29"/>
      <c r="H1260" s="30"/>
      <c r="I1260" s="29"/>
      <c r="J1260" s="30"/>
      <c r="K1260" s="30"/>
      <c r="L1260" s="29"/>
      <c r="M1260" s="32" t="str">
        <f aca="false">IF(OR(C1260="",L1260=""),"",IF(C1260=L1260,"同一","変更"))</f>
        <v/>
      </c>
      <c r="N1260" s="29"/>
      <c r="O1260" s="30"/>
      <c r="P1260" s="29"/>
      <c r="Q1260" s="31"/>
      <c r="R1260" s="29"/>
      <c r="S1260" s="29"/>
      <c r="T1260" s="30"/>
      <c r="U1260" s="47" t="str">
        <f aca="false">IF(AND(B1260&lt;&gt;"",B1260=SW別シート!$C$3),COUNTIF(B$5:B1260,B1260),"")</f>
        <v/>
      </c>
      <c r="V1260" s="47" t="n">
        <f aca="false">V1259+IF(OR(O1260&lt;&gt;"",W1260&lt;&gt;""),1,0)</f>
        <v>3</v>
      </c>
      <c r="W1260" s="29"/>
    </row>
    <row r="1261" customFormat="false" ht="15" hidden="false" customHeight="false" outlineLevel="0" collapsed="false">
      <c r="A1261" s="32" t="str">
        <f aca="false">IF(B1261="","",ROW()-7)</f>
        <v/>
      </c>
      <c r="B1261" s="30"/>
      <c r="C1261" s="29"/>
      <c r="D1261" s="29"/>
      <c r="E1261" s="29"/>
      <c r="F1261" s="30"/>
      <c r="G1261" s="29"/>
      <c r="H1261" s="30"/>
      <c r="I1261" s="29"/>
      <c r="J1261" s="30"/>
      <c r="K1261" s="30"/>
      <c r="L1261" s="29"/>
      <c r="M1261" s="32" t="str">
        <f aca="false">IF(OR(C1261="",L1261=""),"",IF(C1261=L1261,"同一","変更"))</f>
        <v/>
      </c>
      <c r="N1261" s="29"/>
      <c r="O1261" s="30"/>
      <c r="P1261" s="29"/>
      <c r="Q1261" s="31"/>
      <c r="R1261" s="29"/>
      <c r="S1261" s="29"/>
      <c r="T1261" s="30"/>
      <c r="U1261" s="47" t="str">
        <f aca="false">IF(AND(B1261&lt;&gt;"",B1261=SW別シート!$C$3),COUNTIF(B$5:B1261,B1261),"")</f>
        <v/>
      </c>
      <c r="V1261" s="47" t="n">
        <f aca="false">V1260+IF(OR(O1261&lt;&gt;"",W1261&lt;&gt;""),1,0)</f>
        <v>3</v>
      </c>
      <c r="W1261" s="29"/>
    </row>
    <row r="1262" customFormat="false" ht="15" hidden="false" customHeight="false" outlineLevel="0" collapsed="false">
      <c r="A1262" s="32" t="str">
        <f aca="false">IF(B1262="","",ROW()-7)</f>
        <v/>
      </c>
      <c r="B1262" s="30"/>
      <c r="C1262" s="29"/>
      <c r="D1262" s="29"/>
      <c r="E1262" s="29"/>
      <c r="F1262" s="30"/>
      <c r="G1262" s="29"/>
      <c r="H1262" s="30"/>
      <c r="I1262" s="29"/>
      <c r="J1262" s="30"/>
      <c r="K1262" s="30"/>
      <c r="L1262" s="29"/>
      <c r="M1262" s="32" t="str">
        <f aca="false">IF(OR(C1262="",L1262=""),"",IF(C1262=L1262,"同一","変更"))</f>
        <v/>
      </c>
      <c r="N1262" s="29"/>
      <c r="O1262" s="30"/>
      <c r="P1262" s="29"/>
      <c r="Q1262" s="31"/>
      <c r="R1262" s="29"/>
      <c r="S1262" s="29"/>
      <c r="T1262" s="30"/>
      <c r="U1262" s="47" t="str">
        <f aca="false">IF(AND(B1262&lt;&gt;"",B1262=SW別シート!$C$3),COUNTIF(B$5:B1262,B1262),"")</f>
        <v/>
      </c>
      <c r="V1262" s="47" t="n">
        <f aca="false">V1261+IF(OR(O1262&lt;&gt;"",W1262&lt;&gt;""),1,0)</f>
        <v>3</v>
      </c>
      <c r="W1262" s="29"/>
    </row>
    <row r="1263" customFormat="false" ht="15" hidden="false" customHeight="false" outlineLevel="0" collapsed="false">
      <c r="A1263" s="32" t="str">
        <f aca="false">IF(B1263="","",ROW()-7)</f>
        <v/>
      </c>
      <c r="B1263" s="30"/>
      <c r="C1263" s="29"/>
      <c r="D1263" s="29"/>
      <c r="E1263" s="29"/>
      <c r="F1263" s="30"/>
      <c r="G1263" s="29"/>
      <c r="H1263" s="30"/>
      <c r="I1263" s="29"/>
      <c r="J1263" s="30"/>
      <c r="K1263" s="30"/>
      <c r="L1263" s="29"/>
      <c r="M1263" s="32" t="str">
        <f aca="false">IF(OR(C1263="",L1263=""),"",IF(C1263=L1263,"同一","変更"))</f>
        <v/>
      </c>
      <c r="N1263" s="29"/>
      <c r="O1263" s="30"/>
      <c r="P1263" s="29"/>
      <c r="Q1263" s="31"/>
      <c r="R1263" s="29"/>
      <c r="S1263" s="29"/>
      <c r="T1263" s="30"/>
      <c r="U1263" s="47" t="str">
        <f aca="false">IF(AND(B1263&lt;&gt;"",B1263=SW別シート!$C$3),COUNTIF(B$5:B1263,B1263),"")</f>
        <v/>
      </c>
      <c r="V1263" s="47" t="n">
        <f aca="false">V1262+IF(OR(O1263&lt;&gt;"",W1263&lt;&gt;""),1,0)</f>
        <v>3</v>
      </c>
      <c r="W1263" s="29"/>
    </row>
    <row r="1264" customFormat="false" ht="15" hidden="false" customHeight="false" outlineLevel="0" collapsed="false">
      <c r="A1264" s="32" t="str">
        <f aca="false">IF(B1264="","",ROW()-7)</f>
        <v/>
      </c>
      <c r="B1264" s="30"/>
      <c r="C1264" s="29"/>
      <c r="D1264" s="29"/>
      <c r="E1264" s="29"/>
      <c r="F1264" s="30"/>
      <c r="G1264" s="29"/>
      <c r="H1264" s="30"/>
      <c r="I1264" s="29"/>
      <c r="J1264" s="30"/>
      <c r="K1264" s="30"/>
      <c r="L1264" s="29"/>
      <c r="M1264" s="32" t="str">
        <f aca="false">IF(OR(C1264="",L1264=""),"",IF(C1264=L1264,"同一","変更"))</f>
        <v/>
      </c>
      <c r="N1264" s="29"/>
      <c r="O1264" s="30"/>
      <c r="P1264" s="29"/>
      <c r="Q1264" s="31"/>
      <c r="R1264" s="29"/>
      <c r="S1264" s="29"/>
      <c r="T1264" s="30"/>
      <c r="U1264" s="47" t="str">
        <f aca="false">IF(AND(B1264&lt;&gt;"",B1264=SW別シート!$C$3),COUNTIF(B$5:B1264,B1264),"")</f>
        <v/>
      </c>
      <c r="V1264" s="47" t="n">
        <f aca="false">V1263+IF(OR(O1264&lt;&gt;"",W1264&lt;&gt;""),1,0)</f>
        <v>3</v>
      </c>
      <c r="W1264" s="29"/>
    </row>
    <row r="1265" customFormat="false" ht="15" hidden="false" customHeight="false" outlineLevel="0" collapsed="false">
      <c r="A1265" s="32" t="str">
        <f aca="false">IF(B1265="","",ROW()-7)</f>
        <v/>
      </c>
      <c r="B1265" s="30"/>
      <c r="C1265" s="29"/>
      <c r="D1265" s="29"/>
      <c r="E1265" s="29"/>
      <c r="F1265" s="30"/>
      <c r="G1265" s="29"/>
      <c r="H1265" s="30"/>
      <c r="I1265" s="29"/>
      <c r="J1265" s="30"/>
      <c r="K1265" s="30"/>
      <c r="L1265" s="29"/>
      <c r="M1265" s="32" t="str">
        <f aca="false">IF(OR(C1265="",L1265=""),"",IF(C1265=L1265,"同一","変更"))</f>
        <v/>
      </c>
      <c r="N1265" s="29"/>
      <c r="O1265" s="30"/>
      <c r="P1265" s="29"/>
      <c r="Q1265" s="31"/>
      <c r="R1265" s="29"/>
      <c r="S1265" s="29"/>
      <c r="T1265" s="30"/>
      <c r="U1265" s="47" t="str">
        <f aca="false">IF(AND(B1265&lt;&gt;"",B1265=SW別シート!$C$3),COUNTIF(B$5:B1265,B1265),"")</f>
        <v/>
      </c>
      <c r="V1265" s="47" t="n">
        <f aca="false">V1264+IF(OR(O1265&lt;&gt;"",W1265&lt;&gt;""),1,0)</f>
        <v>3</v>
      </c>
      <c r="W1265" s="29"/>
    </row>
    <row r="1266" customFormat="false" ht="15" hidden="false" customHeight="false" outlineLevel="0" collapsed="false">
      <c r="A1266" s="32" t="str">
        <f aca="false">IF(B1266="","",ROW()-7)</f>
        <v/>
      </c>
      <c r="B1266" s="30"/>
      <c r="C1266" s="29"/>
      <c r="D1266" s="29"/>
      <c r="E1266" s="29"/>
      <c r="F1266" s="30"/>
      <c r="G1266" s="29"/>
      <c r="H1266" s="30"/>
      <c r="I1266" s="29"/>
      <c r="J1266" s="30"/>
      <c r="K1266" s="30"/>
      <c r="L1266" s="29"/>
      <c r="M1266" s="32" t="str">
        <f aca="false">IF(OR(C1266="",L1266=""),"",IF(C1266=L1266,"同一","変更"))</f>
        <v/>
      </c>
      <c r="N1266" s="29"/>
      <c r="O1266" s="30"/>
      <c r="P1266" s="29"/>
      <c r="Q1266" s="31"/>
      <c r="R1266" s="29"/>
      <c r="S1266" s="29"/>
      <c r="T1266" s="30"/>
      <c r="U1266" s="47" t="str">
        <f aca="false">IF(AND(B1266&lt;&gt;"",B1266=SW別シート!$C$3),COUNTIF(B$5:B1266,B1266),"")</f>
        <v/>
      </c>
      <c r="V1266" s="47" t="n">
        <f aca="false">V1265+IF(OR(O1266&lt;&gt;"",W1266&lt;&gt;""),1,0)</f>
        <v>3</v>
      </c>
      <c r="W1266" s="29"/>
    </row>
    <row r="1267" customFormat="false" ht="15" hidden="false" customHeight="false" outlineLevel="0" collapsed="false">
      <c r="A1267" s="32" t="str">
        <f aca="false">IF(B1267="","",ROW()-7)</f>
        <v/>
      </c>
      <c r="B1267" s="30"/>
      <c r="C1267" s="29"/>
      <c r="D1267" s="29"/>
      <c r="E1267" s="29"/>
      <c r="F1267" s="30"/>
      <c r="G1267" s="29"/>
      <c r="H1267" s="30"/>
      <c r="I1267" s="29"/>
      <c r="J1267" s="30"/>
      <c r="K1267" s="30"/>
      <c r="L1267" s="29"/>
      <c r="M1267" s="32" t="str">
        <f aca="false">IF(OR(C1267="",L1267=""),"",IF(C1267=L1267,"同一","変更"))</f>
        <v/>
      </c>
      <c r="N1267" s="29"/>
      <c r="O1267" s="30"/>
      <c r="P1267" s="29"/>
      <c r="Q1267" s="31"/>
      <c r="R1267" s="29"/>
      <c r="S1267" s="29"/>
      <c r="T1267" s="30"/>
      <c r="U1267" s="47" t="str">
        <f aca="false">IF(AND(B1267&lt;&gt;"",B1267=SW別シート!$C$3),COUNTIF(B$5:B1267,B1267),"")</f>
        <v/>
      </c>
      <c r="V1267" s="47" t="n">
        <f aca="false">V1266+IF(OR(O1267&lt;&gt;"",W1267&lt;&gt;""),1,0)</f>
        <v>3</v>
      </c>
      <c r="W1267" s="29"/>
    </row>
    <row r="1268" customFormat="false" ht="15" hidden="false" customHeight="false" outlineLevel="0" collapsed="false">
      <c r="A1268" s="32" t="str">
        <f aca="false">IF(B1268="","",ROW()-7)</f>
        <v/>
      </c>
      <c r="B1268" s="30"/>
      <c r="C1268" s="29"/>
      <c r="D1268" s="29"/>
      <c r="E1268" s="29"/>
      <c r="F1268" s="30"/>
      <c r="G1268" s="29"/>
      <c r="H1268" s="30"/>
      <c r="I1268" s="29"/>
      <c r="J1268" s="30"/>
      <c r="K1268" s="30"/>
      <c r="L1268" s="29"/>
      <c r="M1268" s="32" t="str">
        <f aca="false">IF(OR(C1268="",L1268=""),"",IF(C1268=L1268,"同一","変更"))</f>
        <v/>
      </c>
      <c r="N1268" s="29"/>
      <c r="O1268" s="30"/>
      <c r="P1268" s="29"/>
      <c r="Q1268" s="31"/>
      <c r="R1268" s="29"/>
      <c r="S1268" s="29"/>
      <c r="T1268" s="30"/>
      <c r="U1268" s="47" t="str">
        <f aca="false">IF(AND(B1268&lt;&gt;"",B1268=SW別シート!$C$3),COUNTIF(B$5:B1268,B1268),"")</f>
        <v/>
      </c>
      <c r="V1268" s="47" t="n">
        <f aca="false">V1267+IF(OR(O1268&lt;&gt;"",W1268&lt;&gt;""),1,0)</f>
        <v>3</v>
      </c>
      <c r="W1268" s="29"/>
    </row>
    <row r="1269" customFormat="false" ht="15" hidden="false" customHeight="false" outlineLevel="0" collapsed="false">
      <c r="A1269" s="32" t="str">
        <f aca="false">IF(B1269="","",ROW()-7)</f>
        <v/>
      </c>
      <c r="B1269" s="30"/>
      <c r="C1269" s="29"/>
      <c r="D1269" s="29"/>
      <c r="E1269" s="29"/>
      <c r="F1269" s="30"/>
      <c r="G1269" s="29"/>
      <c r="H1269" s="30"/>
      <c r="I1269" s="29"/>
      <c r="J1269" s="30"/>
      <c r="K1269" s="30"/>
      <c r="L1269" s="29"/>
      <c r="M1269" s="32" t="str">
        <f aca="false">IF(OR(C1269="",L1269=""),"",IF(C1269=L1269,"同一","変更"))</f>
        <v/>
      </c>
      <c r="N1269" s="29"/>
      <c r="O1269" s="30"/>
      <c r="P1269" s="29"/>
      <c r="Q1269" s="31"/>
      <c r="R1269" s="29"/>
      <c r="S1269" s="29"/>
      <c r="T1269" s="30"/>
      <c r="U1269" s="47" t="str">
        <f aca="false">IF(AND(B1269&lt;&gt;"",B1269=SW別シート!$C$3),COUNTIF(B$5:B1269,B1269),"")</f>
        <v/>
      </c>
      <c r="V1269" s="47" t="n">
        <f aca="false">V1268+IF(OR(O1269&lt;&gt;"",W1269&lt;&gt;""),1,0)</f>
        <v>3</v>
      </c>
      <c r="W1269" s="29"/>
    </row>
    <row r="1270" customFormat="false" ht="15" hidden="false" customHeight="false" outlineLevel="0" collapsed="false">
      <c r="A1270" s="32" t="str">
        <f aca="false">IF(B1270="","",ROW()-7)</f>
        <v/>
      </c>
      <c r="B1270" s="30"/>
      <c r="C1270" s="29"/>
      <c r="D1270" s="29"/>
      <c r="E1270" s="29"/>
      <c r="F1270" s="30"/>
      <c r="G1270" s="29"/>
      <c r="H1270" s="30"/>
      <c r="I1270" s="29"/>
      <c r="J1270" s="30"/>
      <c r="K1270" s="30"/>
      <c r="L1270" s="29"/>
      <c r="M1270" s="32" t="str">
        <f aca="false">IF(OR(C1270="",L1270=""),"",IF(C1270=L1270,"同一","変更"))</f>
        <v/>
      </c>
      <c r="N1270" s="29"/>
      <c r="O1270" s="30"/>
      <c r="P1270" s="29"/>
      <c r="Q1270" s="31"/>
      <c r="R1270" s="29"/>
      <c r="S1270" s="29"/>
      <c r="T1270" s="30"/>
      <c r="U1270" s="47" t="str">
        <f aca="false">IF(AND(B1270&lt;&gt;"",B1270=SW別シート!$C$3),COUNTIF(B$5:B1270,B1270),"")</f>
        <v/>
      </c>
      <c r="V1270" s="47" t="n">
        <f aca="false">V1269+IF(OR(O1270&lt;&gt;"",W1270&lt;&gt;""),1,0)</f>
        <v>3</v>
      </c>
      <c r="W1270" s="29"/>
    </row>
    <row r="1271" customFormat="false" ht="15" hidden="false" customHeight="false" outlineLevel="0" collapsed="false">
      <c r="A1271" s="32" t="str">
        <f aca="false">IF(B1271="","",ROW()-7)</f>
        <v/>
      </c>
      <c r="B1271" s="30"/>
      <c r="C1271" s="29"/>
      <c r="D1271" s="29"/>
      <c r="E1271" s="29"/>
      <c r="F1271" s="30"/>
      <c r="G1271" s="29"/>
      <c r="H1271" s="30"/>
      <c r="I1271" s="29"/>
      <c r="J1271" s="30"/>
      <c r="K1271" s="30"/>
      <c r="L1271" s="29"/>
      <c r="M1271" s="32" t="str">
        <f aca="false">IF(OR(C1271="",L1271=""),"",IF(C1271=L1271,"同一","変更"))</f>
        <v/>
      </c>
      <c r="N1271" s="29"/>
      <c r="O1271" s="30"/>
      <c r="P1271" s="29"/>
      <c r="Q1271" s="31"/>
      <c r="R1271" s="29"/>
      <c r="S1271" s="29"/>
      <c r="T1271" s="30"/>
      <c r="U1271" s="47" t="str">
        <f aca="false">IF(AND(B1271&lt;&gt;"",B1271=SW別シート!$C$3),COUNTIF(B$5:B1271,B1271),"")</f>
        <v/>
      </c>
      <c r="V1271" s="47" t="n">
        <f aca="false">V1270+IF(OR(O1271&lt;&gt;"",W1271&lt;&gt;""),1,0)</f>
        <v>3</v>
      </c>
      <c r="W1271" s="29"/>
    </row>
    <row r="1272" customFormat="false" ht="15" hidden="false" customHeight="false" outlineLevel="0" collapsed="false">
      <c r="A1272" s="32" t="str">
        <f aca="false">IF(B1272="","",ROW()-7)</f>
        <v/>
      </c>
      <c r="B1272" s="30"/>
      <c r="C1272" s="29"/>
      <c r="D1272" s="29"/>
      <c r="E1272" s="29"/>
      <c r="F1272" s="30"/>
      <c r="G1272" s="29"/>
      <c r="H1272" s="30"/>
      <c r="I1272" s="29"/>
      <c r="J1272" s="30"/>
      <c r="K1272" s="30"/>
      <c r="L1272" s="29"/>
      <c r="M1272" s="32" t="str">
        <f aca="false">IF(OR(C1272="",L1272=""),"",IF(C1272=L1272,"同一","変更"))</f>
        <v/>
      </c>
      <c r="N1272" s="29"/>
      <c r="O1272" s="30"/>
      <c r="P1272" s="29"/>
      <c r="Q1272" s="31"/>
      <c r="R1272" s="29"/>
      <c r="S1272" s="29"/>
      <c r="T1272" s="30"/>
      <c r="U1272" s="47" t="str">
        <f aca="false">IF(AND(B1272&lt;&gt;"",B1272=SW別シート!$C$3),COUNTIF(B$5:B1272,B1272),"")</f>
        <v/>
      </c>
      <c r="V1272" s="47" t="n">
        <f aca="false">V1271+IF(OR(O1272&lt;&gt;"",W1272&lt;&gt;""),1,0)</f>
        <v>3</v>
      </c>
      <c r="W1272" s="29"/>
    </row>
    <row r="1273" customFormat="false" ht="15" hidden="false" customHeight="false" outlineLevel="0" collapsed="false">
      <c r="A1273" s="32" t="str">
        <f aca="false">IF(B1273="","",ROW()-7)</f>
        <v/>
      </c>
      <c r="B1273" s="30"/>
      <c r="C1273" s="29"/>
      <c r="D1273" s="29"/>
      <c r="E1273" s="29"/>
      <c r="F1273" s="30"/>
      <c r="G1273" s="29"/>
      <c r="H1273" s="30"/>
      <c r="I1273" s="29"/>
      <c r="J1273" s="30"/>
      <c r="K1273" s="30"/>
      <c r="L1273" s="29"/>
      <c r="M1273" s="32" t="str">
        <f aca="false">IF(OR(C1273="",L1273=""),"",IF(C1273=L1273,"同一","変更"))</f>
        <v/>
      </c>
      <c r="N1273" s="29"/>
      <c r="O1273" s="30"/>
      <c r="P1273" s="29"/>
      <c r="Q1273" s="31"/>
      <c r="R1273" s="29"/>
      <c r="S1273" s="29"/>
      <c r="T1273" s="30"/>
      <c r="U1273" s="47" t="str">
        <f aca="false">IF(AND(B1273&lt;&gt;"",B1273=SW別シート!$C$3),COUNTIF(B$5:B1273,B1273),"")</f>
        <v/>
      </c>
      <c r="V1273" s="47" t="n">
        <f aca="false">V1272+IF(OR(O1273&lt;&gt;"",W1273&lt;&gt;""),1,0)</f>
        <v>3</v>
      </c>
      <c r="W1273" s="29"/>
    </row>
    <row r="1274" customFormat="false" ht="15" hidden="false" customHeight="false" outlineLevel="0" collapsed="false">
      <c r="A1274" s="32" t="str">
        <f aca="false">IF(B1274="","",ROW()-7)</f>
        <v/>
      </c>
      <c r="B1274" s="30"/>
      <c r="C1274" s="29"/>
      <c r="D1274" s="29"/>
      <c r="E1274" s="29"/>
      <c r="F1274" s="30"/>
      <c r="G1274" s="29"/>
      <c r="H1274" s="30"/>
      <c r="I1274" s="29"/>
      <c r="J1274" s="30"/>
      <c r="K1274" s="30"/>
      <c r="L1274" s="29"/>
      <c r="M1274" s="32" t="str">
        <f aca="false">IF(OR(C1274="",L1274=""),"",IF(C1274=L1274,"同一","変更"))</f>
        <v/>
      </c>
      <c r="N1274" s="29"/>
      <c r="O1274" s="30"/>
      <c r="P1274" s="29"/>
      <c r="Q1274" s="31"/>
      <c r="R1274" s="29"/>
      <c r="S1274" s="29"/>
      <c r="T1274" s="30"/>
      <c r="U1274" s="47" t="str">
        <f aca="false">IF(AND(B1274&lt;&gt;"",B1274=SW別シート!$C$3),COUNTIF(B$5:B1274,B1274),"")</f>
        <v/>
      </c>
      <c r="V1274" s="47" t="n">
        <f aca="false">V1273+IF(OR(O1274&lt;&gt;"",W1274&lt;&gt;""),1,0)</f>
        <v>3</v>
      </c>
      <c r="W1274" s="29"/>
    </row>
    <row r="1275" customFormat="false" ht="15" hidden="false" customHeight="false" outlineLevel="0" collapsed="false">
      <c r="A1275" s="32" t="str">
        <f aca="false">IF(B1275="","",ROW()-7)</f>
        <v/>
      </c>
      <c r="B1275" s="30"/>
      <c r="C1275" s="29"/>
      <c r="D1275" s="29"/>
      <c r="E1275" s="29"/>
      <c r="F1275" s="30"/>
      <c r="G1275" s="29"/>
      <c r="H1275" s="30"/>
      <c r="I1275" s="29"/>
      <c r="J1275" s="30"/>
      <c r="K1275" s="30"/>
      <c r="L1275" s="29"/>
      <c r="M1275" s="32" t="str">
        <f aca="false">IF(OR(C1275="",L1275=""),"",IF(C1275=L1275,"同一","変更"))</f>
        <v/>
      </c>
      <c r="N1275" s="29"/>
      <c r="O1275" s="30"/>
      <c r="P1275" s="29"/>
      <c r="Q1275" s="31"/>
      <c r="R1275" s="29"/>
      <c r="S1275" s="29"/>
      <c r="T1275" s="30"/>
      <c r="U1275" s="47" t="str">
        <f aca="false">IF(AND(B1275&lt;&gt;"",B1275=SW別シート!$C$3),COUNTIF(B$5:B1275,B1275),"")</f>
        <v/>
      </c>
      <c r="V1275" s="47" t="n">
        <f aca="false">V1274+IF(OR(O1275&lt;&gt;"",W1275&lt;&gt;""),1,0)</f>
        <v>3</v>
      </c>
      <c r="W1275" s="29"/>
    </row>
    <row r="1276" customFormat="false" ht="15" hidden="false" customHeight="false" outlineLevel="0" collapsed="false">
      <c r="A1276" s="32" t="str">
        <f aca="false">IF(B1276="","",ROW()-7)</f>
        <v/>
      </c>
      <c r="B1276" s="30"/>
      <c r="C1276" s="29"/>
      <c r="D1276" s="29"/>
      <c r="E1276" s="29"/>
      <c r="F1276" s="30"/>
      <c r="G1276" s="29"/>
      <c r="H1276" s="30"/>
      <c r="I1276" s="29"/>
      <c r="J1276" s="30"/>
      <c r="K1276" s="30"/>
      <c r="L1276" s="29"/>
      <c r="M1276" s="32" t="str">
        <f aca="false">IF(OR(C1276="",L1276=""),"",IF(C1276=L1276,"同一","変更"))</f>
        <v/>
      </c>
      <c r="N1276" s="29"/>
      <c r="O1276" s="30"/>
      <c r="P1276" s="29"/>
      <c r="Q1276" s="31"/>
      <c r="R1276" s="29"/>
      <c r="S1276" s="29"/>
      <c r="T1276" s="30"/>
      <c r="U1276" s="47" t="str">
        <f aca="false">IF(AND(B1276&lt;&gt;"",B1276=SW別シート!$C$3),COUNTIF(B$5:B1276,B1276),"")</f>
        <v/>
      </c>
      <c r="V1276" s="47" t="n">
        <f aca="false">V1275+IF(OR(O1276&lt;&gt;"",W1276&lt;&gt;""),1,0)</f>
        <v>3</v>
      </c>
      <c r="W1276" s="29"/>
    </row>
    <row r="1277" customFormat="false" ht="15" hidden="false" customHeight="false" outlineLevel="0" collapsed="false">
      <c r="A1277" s="32" t="str">
        <f aca="false">IF(B1277="","",ROW()-7)</f>
        <v/>
      </c>
      <c r="B1277" s="30"/>
      <c r="C1277" s="29"/>
      <c r="D1277" s="29"/>
      <c r="E1277" s="29"/>
      <c r="F1277" s="30"/>
      <c r="G1277" s="29"/>
      <c r="H1277" s="30"/>
      <c r="I1277" s="29"/>
      <c r="J1277" s="30"/>
      <c r="K1277" s="30"/>
      <c r="L1277" s="29"/>
      <c r="M1277" s="32" t="str">
        <f aca="false">IF(OR(C1277="",L1277=""),"",IF(C1277=L1277,"同一","変更"))</f>
        <v/>
      </c>
      <c r="N1277" s="29"/>
      <c r="O1277" s="30"/>
      <c r="P1277" s="29"/>
      <c r="Q1277" s="31"/>
      <c r="R1277" s="29"/>
      <c r="S1277" s="29"/>
      <c r="T1277" s="30"/>
      <c r="U1277" s="47" t="str">
        <f aca="false">IF(AND(B1277&lt;&gt;"",B1277=SW別シート!$C$3),COUNTIF(B$5:B1277,B1277),"")</f>
        <v/>
      </c>
      <c r="V1277" s="47" t="n">
        <f aca="false">V1276+IF(OR(O1277&lt;&gt;"",W1277&lt;&gt;""),1,0)</f>
        <v>3</v>
      </c>
      <c r="W1277" s="29"/>
    </row>
    <row r="1278" customFormat="false" ht="15" hidden="false" customHeight="false" outlineLevel="0" collapsed="false">
      <c r="A1278" s="32" t="str">
        <f aca="false">IF(B1278="","",ROW()-7)</f>
        <v/>
      </c>
      <c r="B1278" s="30"/>
      <c r="C1278" s="29"/>
      <c r="D1278" s="29"/>
      <c r="E1278" s="29"/>
      <c r="F1278" s="30"/>
      <c r="G1278" s="29"/>
      <c r="H1278" s="30"/>
      <c r="I1278" s="29"/>
      <c r="J1278" s="30"/>
      <c r="K1278" s="30"/>
      <c r="L1278" s="29"/>
      <c r="M1278" s="32" t="str">
        <f aca="false">IF(OR(C1278="",L1278=""),"",IF(C1278=L1278,"同一","変更"))</f>
        <v/>
      </c>
      <c r="N1278" s="29"/>
      <c r="O1278" s="30"/>
      <c r="P1278" s="29"/>
      <c r="Q1278" s="31"/>
      <c r="R1278" s="29"/>
      <c r="S1278" s="29"/>
      <c r="T1278" s="30"/>
      <c r="U1278" s="47" t="str">
        <f aca="false">IF(AND(B1278&lt;&gt;"",B1278=SW別シート!$C$3),COUNTIF(B$5:B1278,B1278),"")</f>
        <v/>
      </c>
      <c r="V1278" s="47" t="n">
        <f aca="false">V1277+IF(OR(O1278&lt;&gt;"",W1278&lt;&gt;""),1,0)</f>
        <v>3</v>
      </c>
      <c r="W1278" s="29"/>
    </row>
    <row r="1279" customFormat="false" ht="15" hidden="false" customHeight="false" outlineLevel="0" collapsed="false">
      <c r="A1279" s="32" t="str">
        <f aca="false">IF(B1279="","",ROW()-7)</f>
        <v/>
      </c>
      <c r="B1279" s="30"/>
      <c r="C1279" s="29"/>
      <c r="D1279" s="29"/>
      <c r="E1279" s="29"/>
      <c r="F1279" s="30"/>
      <c r="G1279" s="29"/>
      <c r="H1279" s="30"/>
      <c r="I1279" s="29"/>
      <c r="J1279" s="30"/>
      <c r="K1279" s="30"/>
      <c r="L1279" s="29"/>
      <c r="M1279" s="32" t="str">
        <f aca="false">IF(OR(C1279="",L1279=""),"",IF(C1279=L1279,"同一","変更"))</f>
        <v/>
      </c>
      <c r="N1279" s="29"/>
      <c r="O1279" s="30"/>
      <c r="P1279" s="29"/>
      <c r="Q1279" s="31"/>
      <c r="R1279" s="29"/>
      <c r="S1279" s="29"/>
      <c r="T1279" s="30"/>
      <c r="U1279" s="47" t="str">
        <f aca="false">IF(AND(B1279&lt;&gt;"",B1279=SW別シート!$C$3),COUNTIF(B$5:B1279,B1279),"")</f>
        <v/>
      </c>
      <c r="V1279" s="47" t="n">
        <f aca="false">V1278+IF(OR(O1279&lt;&gt;"",W1279&lt;&gt;""),1,0)</f>
        <v>3</v>
      </c>
      <c r="W1279" s="29"/>
    </row>
    <row r="1280" customFormat="false" ht="15" hidden="false" customHeight="false" outlineLevel="0" collapsed="false">
      <c r="A1280" s="32" t="str">
        <f aca="false">IF(B1280="","",ROW()-7)</f>
        <v/>
      </c>
      <c r="B1280" s="30"/>
      <c r="C1280" s="29"/>
      <c r="D1280" s="29"/>
      <c r="E1280" s="29"/>
      <c r="F1280" s="30"/>
      <c r="G1280" s="29"/>
      <c r="H1280" s="30"/>
      <c r="I1280" s="29"/>
      <c r="J1280" s="30"/>
      <c r="K1280" s="30"/>
      <c r="L1280" s="29"/>
      <c r="M1280" s="32" t="str">
        <f aca="false">IF(OR(C1280="",L1280=""),"",IF(C1280=L1280,"同一","変更"))</f>
        <v/>
      </c>
      <c r="N1280" s="29"/>
      <c r="O1280" s="30"/>
      <c r="P1280" s="29"/>
      <c r="Q1280" s="31"/>
      <c r="R1280" s="29"/>
      <c r="S1280" s="29"/>
      <c r="T1280" s="30"/>
      <c r="U1280" s="47" t="str">
        <f aca="false">IF(AND(B1280&lt;&gt;"",B1280=SW別シート!$C$3),COUNTIF(B$5:B1280,B1280),"")</f>
        <v/>
      </c>
      <c r="V1280" s="47" t="n">
        <f aca="false">V1279+IF(OR(O1280&lt;&gt;"",W1280&lt;&gt;""),1,0)</f>
        <v>3</v>
      </c>
      <c r="W1280" s="29"/>
    </row>
    <row r="1281" customFormat="false" ht="15" hidden="false" customHeight="false" outlineLevel="0" collapsed="false">
      <c r="A1281" s="32" t="str">
        <f aca="false">IF(B1281="","",ROW()-7)</f>
        <v/>
      </c>
      <c r="B1281" s="30"/>
      <c r="C1281" s="29"/>
      <c r="D1281" s="29"/>
      <c r="E1281" s="29"/>
      <c r="F1281" s="30"/>
      <c r="G1281" s="29"/>
      <c r="H1281" s="30"/>
      <c r="I1281" s="29"/>
      <c r="J1281" s="30"/>
      <c r="K1281" s="30"/>
      <c r="L1281" s="29"/>
      <c r="M1281" s="32" t="str">
        <f aca="false">IF(OR(C1281="",L1281=""),"",IF(C1281=L1281,"同一","変更"))</f>
        <v/>
      </c>
      <c r="N1281" s="29"/>
      <c r="O1281" s="30"/>
      <c r="P1281" s="29"/>
      <c r="Q1281" s="31"/>
      <c r="R1281" s="29"/>
      <c r="S1281" s="29"/>
      <c r="T1281" s="30"/>
      <c r="U1281" s="47" t="str">
        <f aca="false">IF(AND(B1281&lt;&gt;"",B1281=SW別シート!$C$3),COUNTIF(B$5:B1281,B1281),"")</f>
        <v/>
      </c>
      <c r="V1281" s="47" t="n">
        <f aca="false">V1280+IF(OR(O1281&lt;&gt;"",W1281&lt;&gt;""),1,0)</f>
        <v>3</v>
      </c>
      <c r="W1281" s="29"/>
    </row>
    <row r="1282" customFormat="false" ht="15" hidden="false" customHeight="false" outlineLevel="0" collapsed="false">
      <c r="A1282" s="32" t="str">
        <f aca="false">IF(B1282="","",ROW()-7)</f>
        <v/>
      </c>
      <c r="B1282" s="30"/>
      <c r="C1282" s="29"/>
      <c r="D1282" s="29"/>
      <c r="E1282" s="29"/>
      <c r="F1282" s="30"/>
      <c r="G1282" s="29"/>
      <c r="H1282" s="30"/>
      <c r="I1282" s="29"/>
      <c r="J1282" s="30"/>
      <c r="K1282" s="30"/>
      <c r="L1282" s="29"/>
      <c r="M1282" s="32" t="str">
        <f aca="false">IF(OR(C1282="",L1282=""),"",IF(C1282=L1282,"同一","変更"))</f>
        <v/>
      </c>
      <c r="N1282" s="29"/>
      <c r="O1282" s="30"/>
      <c r="P1282" s="29"/>
      <c r="Q1282" s="31"/>
      <c r="R1282" s="29"/>
      <c r="S1282" s="29"/>
      <c r="T1282" s="30"/>
      <c r="U1282" s="47" t="str">
        <f aca="false">IF(AND(B1282&lt;&gt;"",B1282=SW別シート!$C$3),COUNTIF(B$5:B1282,B1282),"")</f>
        <v/>
      </c>
      <c r="V1282" s="47" t="n">
        <f aca="false">V1281+IF(OR(O1282&lt;&gt;"",W1282&lt;&gt;""),1,0)</f>
        <v>3</v>
      </c>
      <c r="W1282" s="29"/>
    </row>
    <row r="1283" customFormat="false" ht="15" hidden="false" customHeight="false" outlineLevel="0" collapsed="false">
      <c r="A1283" s="32" t="str">
        <f aca="false">IF(B1283="","",ROW()-7)</f>
        <v/>
      </c>
      <c r="B1283" s="30"/>
      <c r="C1283" s="29"/>
      <c r="D1283" s="29"/>
      <c r="E1283" s="29"/>
      <c r="F1283" s="30"/>
      <c r="G1283" s="29"/>
      <c r="H1283" s="30"/>
      <c r="I1283" s="29"/>
      <c r="J1283" s="30"/>
      <c r="K1283" s="30"/>
      <c r="L1283" s="29"/>
      <c r="M1283" s="32" t="str">
        <f aca="false">IF(OR(C1283="",L1283=""),"",IF(C1283=L1283,"同一","変更"))</f>
        <v/>
      </c>
      <c r="N1283" s="29"/>
      <c r="O1283" s="30"/>
      <c r="P1283" s="29"/>
      <c r="Q1283" s="31"/>
      <c r="R1283" s="29"/>
      <c r="S1283" s="29"/>
      <c r="T1283" s="30"/>
      <c r="U1283" s="47" t="str">
        <f aca="false">IF(AND(B1283&lt;&gt;"",B1283=SW別シート!$C$3),COUNTIF(B$5:B1283,B1283),"")</f>
        <v/>
      </c>
      <c r="V1283" s="47" t="n">
        <f aca="false">V1282+IF(OR(O1283&lt;&gt;"",W1283&lt;&gt;""),1,0)</f>
        <v>3</v>
      </c>
      <c r="W1283" s="29"/>
    </row>
    <row r="1284" customFormat="false" ht="15" hidden="false" customHeight="false" outlineLevel="0" collapsed="false">
      <c r="A1284" s="32" t="str">
        <f aca="false">IF(B1284="","",ROW()-7)</f>
        <v/>
      </c>
      <c r="B1284" s="30"/>
      <c r="C1284" s="29"/>
      <c r="D1284" s="29"/>
      <c r="E1284" s="29"/>
      <c r="F1284" s="30"/>
      <c r="G1284" s="29"/>
      <c r="H1284" s="30"/>
      <c r="I1284" s="29"/>
      <c r="J1284" s="30"/>
      <c r="K1284" s="30"/>
      <c r="L1284" s="29"/>
      <c r="M1284" s="32" t="str">
        <f aca="false">IF(OR(C1284="",L1284=""),"",IF(C1284=L1284,"同一","変更"))</f>
        <v/>
      </c>
      <c r="N1284" s="29"/>
      <c r="O1284" s="30"/>
      <c r="P1284" s="29"/>
      <c r="Q1284" s="31"/>
      <c r="R1284" s="29"/>
      <c r="S1284" s="29"/>
      <c r="T1284" s="30"/>
      <c r="U1284" s="47" t="str">
        <f aca="false">IF(AND(B1284&lt;&gt;"",B1284=SW別シート!$C$3),COUNTIF(B$5:B1284,B1284),"")</f>
        <v/>
      </c>
      <c r="V1284" s="47" t="n">
        <f aca="false">V1283+IF(OR(O1284&lt;&gt;"",W1284&lt;&gt;""),1,0)</f>
        <v>3</v>
      </c>
      <c r="W1284" s="29"/>
    </row>
    <row r="1285" customFormat="false" ht="15" hidden="false" customHeight="false" outlineLevel="0" collapsed="false">
      <c r="A1285" s="32" t="str">
        <f aca="false">IF(B1285="","",ROW()-7)</f>
        <v/>
      </c>
      <c r="B1285" s="30"/>
      <c r="C1285" s="29"/>
      <c r="D1285" s="29"/>
      <c r="E1285" s="29"/>
      <c r="F1285" s="30"/>
      <c r="G1285" s="29"/>
      <c r="H1285" s="30"/>
      <c r="I1285" s="29"/>
      <c r="J1285" s="30"/>
      <c r="K1285" s="30"/>
      <c r="L1285" s="29"/>
      <c r="M1285" s="32" t="str">
        <f aca="false">IF(OR(C1285="",L1285=""),"",IF(C1285=L1285,"同一","変更"))</f>
        <v/>
      </c>
      <c r="N1285" s="29"/>
      <c r="O1285" s="30"/>
      <c r="P1285" s="29"/>
      <c r="Q1285" s="31"/>
      <c r="R1285" s="29"/>
      <c r="S1285" s="29"/>
      <c r="T1285" s="30"/>
      <c r="U1285" s="47" t="str">
        <f aca="false">IF(AND(B1285&lt;&gt;"",B1285=SW別シート!$C$3),COUNTIF(B$5:B1285,B1285),"")</f>
        <v/>
      </c>
      <c r="V1285" s="47" t="n">
        <f aca="false">V1284+IF(OR(O1285&lt;&gt;"",W1285&lt;&gt;""),1,0)</f>
        <v>3</v>
      </c>
      <c r="W1285" s="29"/>
    </row>
    <row r="1286" customFormat="false" ht="15" hidden="false" customHeight="false" outlineLevel="0" collapsed="false">
      <c r="A1286" s="32" t="str">
        <f aca="false">IF(B1286="","",ROW()-7)</f>
        <v/>
      </c>
      <c r="B1286" s="30"/>
      <c r="C1286" s="29"/>
      <c r="D1286" s="29"/>
      <c r="E1286" s="29"/>
      <c r="F1286" s="30"/>
      <c r="G1286" s="29"/>
      <c r="H1286" s="30"/>
      <c r="I1286" s="29"/>
      <c r="J1286" s="30"/>
      <c r="K1286" s="30"/>
      <c r="L1286" s="29"/>
      <c r="M1286" s="32" t="str">
        <f aca="false">IF(OR(C1286="",L1286=""),"",IF(C1286=L1286,"同一","変更"))</f>
        <v/>
      </c>
      <c r="N1286" s="29"/>
      <c r="O1286" s="30"/>
      <c r="P1286" s="29"/>
      <c r="Q1286" s="31"/>
      <c r="R1286" s="29"/>
      <c r="S1286" s="29"/>
      <c r="T1286" s="30"/>
      <c r="U1286" s="47" t="str">
        <f aca="false">IF(AND(B1286&lt;&gt;"",B1286=SW別シート!$C$3),COUNTIF(B$5:B1286,B1286),"")</f>
        <v/>
      </c>
      <c r="V1286" s="47" t="n">
        <f aca="false">V1285+IF(OR(O1286&lt;&gt;"",W1286&lt;&gt;""),1,0)</f>
        <v>3</v>
      </c>
      <c r="W1286" s="29"/>
    </row>
    <row r="1287" customFormat="false" ht="15" hidden="false" customHeight="false" outlineLevel="0" collapsed="false">
      <c r="A1287" s="32" t="str">
        <f aca="false">IF(B1287="","",ROW()-7)</f>
        <v/>
      </c>
      <c r="B1287" s="30"/>
      <c r="C1287" s="29"/>
      <c r="D1287" s="29"/>
      <c r="E1287" s="29"/>
      <c r="F1287" s="30"/>
      <c r="G1287" s="29"/>
      <c r="H1287" s="30"/>
      <c r="I1287" s="29"/>
      <c r="J1287" s="30"/>
      <c r="K1287" s="30"/>
      <c r="L1287" s="29"/>
      <c r="M1287" s="32" t="str">
        <f aca="false">IF(OR(C1287="",L1287=""),"",IF(C1287=L1287,"同一","変更"))</f>
        <v/>
      </c>
      <c r="N1287" s="29"/>
      <c r="O1287" s="30"/>
      <c r="P1287" s="29"/>
      <c r="Q1287" s="31"/>
      <c r="R1287" s="29"/>
      <c r="S1287" s="29"/>
      <c r="T1287" s="30"/>
      <c r="U1287" s="47" t="str">
        <f aca="false">IF(AND(B1287&lt;&gt;"",B1287=SW別シート!$C$3),COUNTIF(B$5:B1287,B1287),"")</f>
        <v/>
      </c>
      <c r="V1287" s="47" t="n">
        <f aca="false">V1286+IF(OR(O1287&lt;&gt;"",W1287&lt;&gt;""),1,0)</f>
        <v>3</v>
      </c>
      <c r="W1287" s="29"/>
    </row>
    <row r="1288" customFormat="false" ht="15" hidden="false" customHeight="false" outlineLevel="0" collapsed="false">
      <c r="A1288" s="32" t="str">
        <f aca="false">IF(B1288="","",ROW()-7)</f>
        <v/>
      </c>
      <c r="B1288" s="30"/>
      <c r="C1288" s="29"/>
      <c r="D1288" s="29"/>
      <c r="E1288" s="29"/>
      <c r="F1288" s="30"/>
      <c r="G1288" s="29"/>
      <c r="H1288" s="30"/>
      <c r="I1288" s="29"/>
      <c r="J1288" s="30"/>
      <c r="K1288" s="30"/>
      <c r="L1288" s="29"/>
      <c r="M1288" s="32" t="str">
        <f aca="false">IF(OR(C1288="",L1288=""),"",IF(C1288=L1288,"同一","変更"))</f>
        <v/>
      </c>
      <c r="N1288" s="29"/>
      <c r="O1288" s="30"/>
      <c r="P1288" s="29"/>
      <c r="Q1288" s="31"/>
      <c r="R1288" s="29"/>
      <c r="S1288" s="29"/>
      <c r="T1288" s="30"/>
      <c r="U1288" s="47" t="str">
        <f aca="false">IF(AND(B1288&lt;&gt;"",B1288=SW別シート!$C$3),COUNTIF(B$5:B1288,B1288),"")</f>
        <v/>
      </c>
      <c r="V1288" s="47" t="n">
        <f aca="false">V1287+IF(OR(O1288&lt;&gt;"",W1288&lt;&gt;""),1,0)</f>
        <v>3</v>
      </c>
      <c r="W1288" s="29"/>
    </row>
    <row r="1289" customFormat="false" ht="15" hidden="false" customHeight="false" outlineLevel="0" collapsed="false">
      <c r="A1289" s="32" t="str">
        <f aca="false">IF(B1289="","",ROW()-7)</f>
        <v/>
      </c>
      <c r="B1289" s="30"/>
      <c r="C1289" s="29"/>
      <c r="D1289" s="29"/>
      <c r="E1289" s="29"/>
      <c r="F1289" s="30"/>
      <c r="G1289" s="29"/>
      <c r="H1289" s="30"/>
      <c r="I1289" s="29"/>
      <c r="J1289" s="30"/>
      <c r="K1289" s="30"/>
      <c r="L1289" s="29"/>
      <c r="M1289" s="32" t="str">
        <f aca="false">IF(OR(C1289="",L1289=""),"",IF(C1289=L1289,"同一","変更"))</f>
        <v/>
      </c>
      <c r="N1289" s="29"/>
      <c r="O1289" s="30"/>
      <c r="P1289" s="29"/>
      <c r="Q1289" s="31"/>
      <c r="R1289" s="29"/>
      <c r="S1289" s="29"/>
      <c r="T1289" s="30"/>
      <c r="U1289" s="47" t="str">
        <f aca="false">IF(AND(B1289&lt;&gt;"",B1289=SW別シート!$C$3),COUNTIF(B$5:B1289,B1289),"")</f>
        <v/>
      </c>
      <c r="V1289" s="47" t="n">
        <f aca="false">V1288+IF(OR(O1289&lt;&gt;"",W1289&lt;&gt;""),1,0)</f>
        <v>3</v>
      </c>
      <c r="W1289" s="29"/>
    </row>
    <row r="1290" customFormat="false" ht="15" hidden="false" customHeight="false" outlineLevel="0" collapsed="false">
      <c r="A1290" s="32" t="str">
        <f aca="false">IF(B1290="","",ROW()-7)</f>
        <v/>
      </c>
      <c r="B1290" s="30"/>
      <c r="C1290" s="29"/>
      <c r="D1290" s="29"/>
      <c r="E1290" s="29"/>
      <c r="F1290" s="30"/>
      <c r="G1290" s="29"/>
      <c r="H1290" s="30"/>
      <c r="I1290" s="29"/>
      <c r="J1290" s="30"/>
      <c r="K1290" s="30"/>
      <c r="L1290" s="29"/>
      <c r="M1290" s="32" t="str">
        <f aca="false">IF(OR(C1290="",L1290=""),"",IF(C1290=L1290,"同一","変更"))</f>
        <v/>
      </c>
      <c r="N1290" s="29"/>
      <c r="O1290" s="30"/>
      <c r="P1290" s="29"/>
      <c r="Q1290" s="31"/>
      <c r="R1290" s="29"/>
      <c r="S1290" s="29"/>
      <c r="T1290" s="30"/>
      <c r="U1290" s="47" t="str">
        <f aca="false">IF(AND(B1290&lt;&gt;"",B1290=SW別シート!$C$3),COUNTIF(B$5:B1290,B1290),"")</f>
        <v/>
      </c>
      <c r="V1290" s="47" t="n">
        <f aca="false">V1289+IF(OR(O1290&lt;&gt;"",W1290&lt;&gt;""),1,0)</f>
        <v>3</v>
      </c>
      <c r="W1290" s="29"/>
    </row>
    <row r="1291" customFormat="false" ht="15" hidden="false" customHeight="false" outlineLevel="0" collapsed="false">
      <c r="A1291" s="32" t="str">
        <f aca="false">IF(B1291="","",ROW()-7)</f>
        <v/>
      </c>
      <c r="B1291" s="30"/>
      <c r="C1291" s="29"/>
      <c r="D1291" s="29"/>
      <c r="E1291" s="29"/>
      <c r="F1291" s="30"/>
      <c r="G1291" s="29"/>
      <c r="H1291" s="30"/>
      <c r="I1291" s="29"/>
      <c r="J1291" s="30"/>
      <c r="K1291" s="30"/>
      <c r="L1291" s="29"/>
      <c r="M1291" s="32" t="str">
        <f aca="false">IF(OR(C1291="",L1291=""),"",IF(C1291=L1291,"同一","変更"))</f>
        <v/>
      </c>
      <c r="N1291" s="29"/>
      <c r="O1291" s="30"/>
      <c r="P1291" s="29"/>
      <c r="Q1291" s="31"/>
      <c r="R1291" s="29"/>
      <c r="S1291" s="29"/>
      <c r="T1291" s="30"/>
      <c r="U1291" s="47" t="str">
        <f aca="false">IF(AND(B1291&lt;&gt;"",B1291=SW別シート!$C$3),COUNTIF(B$5:B1291,B1291),"")</f>
        <v/>
      </c>
      <c r="V1291" s="47" t="n">
        <f aca="false">V1290+IF(OR(O1291&lt;&gt;"",W1291&lt;&gt;""),1,0)</f>
        <v>3</v>
      </c>
      <c r="W1291" s="29"/>
    </row>
    <row r="1292" customFormat="false" ht="15" hidden="false" customHeight="false" outlineLevel="0" collapsed="false">
      <c r="A1292" s="32" t="str">
        <f aca="false">IF(B1292="","",ROW()-7)</f>
        <v/>
      </c>
      <c r="B1292" s="30"/>
      <c r="C1292" s="29"/>
      <c r="D1292" s="29"/>
      <c r="E1292" s="29"/>
      <c r="F1292" s="30"/>
      <c r="G1292" s="29"/>
      <c r="H1292" s="30"/>
      <c r="I1292" s="29"/>
      <c r="J1292" s="30"/>
      <c r="K1292" s="30"/>
      <c r="L1292" s="29"/>
      <c r="M1292" s="32" t="str">
        <f aca="false">IF(OR(C1292="",L1292=""),"",IF(C1292=L1292,"同一","変更"))</f>
        <v/>
      </c>
      <c r="N1292" s="29"/>
      <c r="O1292" s="30"/>
      <c r="P1292" s="29"/>
      <c r="Q1292" s="31"/>
      <c r="R1292" s="29"/>
      <c r="S1292" s="29"/>
      <c r="T1292" s="30"/>
      <c r="U1292" s="47" t="str">
        <f aca="false">IF(AND(B1292&lt;&gt;"",B1292=SW別シート!$C$3),COUNTIF(B$5:B1292,B1292),"")</f>
        <v/>
      </c>
      <c r="V1292" s="47" t="n">
        <f aca="false">V1291+IF(OR(O1292&lt;&gt;"",W1292&lt;&gt;""),1,0)</f>
        <v>3</v>
      </c>
      <c r="W1292" s="29"/>
    </row>
    <row r="1293" customFormat="false" ht="15" hidden="false" customHeight="false" outlineLevel="0" collapsed="false">
      <c r="A1293" s="32" t="str">
        <f aca="false">IF(B1293="","",ROW()-7)</f>
        <v/>
      </c>
      <c r="B1293" s="30"/>
      <c r="C1293" s="29"/>
      <c r="D1293" s="29"/>
      <c r="E1293" s="29"/>
      <c r="F1293" s="30"/>
      <c r="G1293" s="29"/>
      <c r="H1293" s="30"/>
      <c r="I1293" s="29"/>
      <c r="J1293" s="30"/>
      <c r="K1293" s="30"/>
      <c r="L1293" s="29"/>
      <c r="M1293" s="32" t="str">
        <f aca="false">IF(OR(C1293="",L1293=""),"",IF(C1293=L1293,"同一","変更"))</f>
        <v/>
      </c>
      <c r="N1293" s="29"/>
      <c r="O1293" s="30"/>
      <c r="P1293" s="29"/>
      <c r="Q1293" s="31"/>
      <c r="R1293" s="29"/>
      <c r="S1293" s="29"/>
      <c r="T1293" s="30"/>
      <c r="U1293" s="47" t="str">
        <f aca="false">IF(AND(B1293&lt;&gt;"",B1293=SW別シート!$C$3),COUNTIF(B$5:B1293,B1293),"")</f>
        <v/>
      </c>
      <c r="V1293" s="47" t="n">
        <f aca="false">V1292+IF(OR(O1293&lt;&gt;"",W1293&lt;&gt;""),1,0)</f>
        <v>3</v>
      </c>
      <c r="W1293" s="29"/>
    </row>
    <row r="1294" customFormat="false" ht="15" hidden="false" customHeight="false" outlineLevel="0" collapsed="false">
      <c r="A1294" s="32" t="str">
        <f aca="false">IF(B1294="","",ROW()-7)</f>
        <v/>
      </c>
      <c r="B1294" s="30"/>
      <c r="C1294" s="29"/>
      <c r="D1294" s="29"/>
      <c r="E1294" s="29"/>
      <c r="F1294" s="30"/>
      <c r="G1294" s="29"/>
      <c r="H1294" s="30"/>
      <c r="I1294" s="29"/>
      <c r="J1294" s="30"/>
      <c r="K1294" s="30"/>
      <c r="L1294" s="29"/>
      <c r="M1294" s="32" t="str">
        <f aca="false">IF(OR(C1294="",L1294=""),"",IF(C1294=L1294,"同一","変更"))</f>
        <v/>
      </c>
      <c r="N1294" s="29"/>
      <c r="O1294" s="30"/>
      <c r="P1294" s="29"/>
      <c r="Q1294" s="31"/>
      <c r="R1294" s="29"/>
      <c r="S1294" s="29"/>
      <c r="T1294" s="30"/>
      <c r="U1294" s="47" t="str">
        <f aca="false">IF(AND(B1294&lt;&gt;"",B1294=SW別シート!$C$3),COUNTIF(B$5:B1294,B1294),"")</f>
        <v/>
      </c>
      <c r="V1294" s="47" t="n">
        <f aca="false">V1293+IF(OR(O1294&lt;&gt;"",W1294&lt;&gt;""),1,0)</f>
        <v>3</v>
      </c>
      <c r="W1294" s="29"/>
    </row>
    <row r="1295" customFormat="false" ht="15" hidden="false" customHeight="false" outlineLevel="0" collapsed="false">
      <c r="A1295" s="32" t="str">
        <f aca="false">IF(B1295="","",ROW()-7)</f>
        <v/>
      </c>
      <c r="B1295" s="30"/>
      <c r="C1295" s="29"/>
      <c r="D1295" s="29"/>
      <c r="E1295" s="29"/>
      <c r="F1295" s="30"/>
      <c r="G1295" s="29"/>
      <c r="H1295" s="30"/>
      <c r="I1295" s="29"/>
      <c r="J1295" s="30"/>
      <c r="K1295" s="30"/>
      <c r="L1295" s="29"/>
      <c r="M1295" s="32" t="str">
        <f aca="false">IF(OR(C1295="",L1295=""),"",IF(C1295=L1295,"同一","変更"))</f>
        <v/>
      </c>
      <c r="N1295" s="29"/>
      <c r="O1295" s="30"/>
      <c r="P1295" s="29"/>
      <c r="Q1295" s="31"/>
      <c r="R1295" s="29"/>
      <c r="S1295" s="29"/>
      <c r="T1295" s="30"/>
      <c r="U1295" s="47" t="str">
        <f aca="false">IF(AND(B1295&lt;&gt;"",B1295=SW別シート!$C$3),COUNTIF(B$5:B1295,B1295),"")</f>
        <v/>
      </c>
      <c r="V1295" s="47" t="n">
        <f aca="false">V1294+IF(OR(O1295&lt;&gt;"",W1295&lt;&gt;""),1,0)</f>
        <v>3</v>
      </c>
      <c r="W1295" s="29"/>
    </row>
    <row r="1296" customFormat="false" ht="15" hidden="false" customHeight="false" outlineLevel="0" collapsed="false">
      <c r="A1296" s="32" t="str">
        <f aca="false">IF(B1296="","",ROW()-7)</f>
        <v/>
      </c>
      <c r="B1296" s="30"/>
      <c r="C1296" s="29"/>
      <c r="D1296" s="29"/>
      <c r="E1296" s="29"/>
      <c r="F1296" s="30"/>
      <c r="G1296" s="29"/>
      <c r="H1296" s="30"/>
      <c r="I1296" s="29"/>
      <c r="J1296" s="30"/>
      <c r="K1296" s="30"/>
      <c r="L1296" s="29"/>
      <c r="M1296" s="32" t="str">
        <f aca="false">IF(OR(C1296="",L1296=""),"",IF(C1296=L1296,"同一","変更"))</f>
        <v/>
      </c>
      <c r="N1296" s="29"/>
      <c r="O1296" s="30"/>
      <c r="P1296" s="29"/>
      <c r="Q1296" s="31"/>
      <c r="R1296" s="29"/>
      <c r="S1296" s="29"/>
      <c r="T1296" s="30"/>
      <c r="U1296" s="47" t="str">
        <f aca="false">IF(AND(B1296&lt;&gt;"",B1296=SW別シート!$C$3),COUNTIF(B$5:B1296,B1296),"")</f>
        <v/>
      </c>
      <c r="V1296" s="47" t="n">
        <f aca="false">V1295+IF(OR(O1296&lt;&gt;"",W1296&lt;&gt;""),1,0)</f>
        <v>3</v>
      </c>
      <c r="W1296" s="29"/>
    </row>
    <row r="1297" customFormat="false" ht="15" hidden="false" customHeight="false" outlineLevel="0" collapsed="false">
      <c r="A1297" s="32" t="str">
        <f aca="false">IF(B1297="","",ROW()-7)</f>
        <v/>
      </c>
      <c r="B1297" s="30"/>
      <c r="C1297" s="29"/>
      <c r="D1297" s="29"/>
      <c r="E1297" s="29"/>
      <c r="F1297" s="30"/>
      <c r="G1297" s="29"/>
      <c r="H1297" s="30"/>
      <c r="I1297" s="29"/>
      <c r="J1297" s="30"/>
      <c r="K1297" s="30"/>
      <c r="L1297" s="29"/>
      <c r="M1297" s="32" t="str">
        <f aca="false">IF(OR(C1297="",L1297=""),"",IF(C1297=L1297,"同一","変更"))</f>
        <v/>
      </c>
      <c r="N1297" s="29"/>
      <c r="O1297" s="30"/>
      <c r="P1297" s="29"/>
      <c r="Q1297" s="31"/>
      <c r="R1297" s="29"/>
      <c r="S1297" s="29"/>
      <c r="T1297" s="30"/>
      <c r="U1297" s="47" t="str">
        <f aca="false">IF(AND(B1297&lt;&gt;"",B1297=SW別シート!$C$3),COUNTIF(B$5:B1297,B1297),"")</f>
        <v/>
      </c>
      <c r="V1297" s="47" t="n">
        <f aca="false">V1296+IF(OR(O1297&lt;&gt;"",W1297&lt;&gt;""),1,0)</f>
        <v>3</v>
      </c>
      <c r="W1297" s="29"/>
    </row>
    <row r="1298" customFormat="false" ht="15" hidden="false" customHeight="false" outlineLevel="0" collapsed="false">
      <c r="A1298" s="32" t="str">
        <f aca="false">IF(B1298="","",ROW()-7)</f>
        <v/>
      </c>
      <c r="B1298" s="30"/>
      <c r="C1298" s="29"/>
      <c r="D1298" s="29"/>
      <c r="E1298" s="29"/>
      <c r="F1298" s="30"/>
      <c r="G1298" s="29"/>
      <c r="H1298" s="30"/>
      <c r="I1298" s="29"/>
      <c r="J1298" s="30"/>
      <c r="K1298" s="30"/>
      <c r="L1298" s="29"/>
      <c r="M1298" s="32" t="str">
        <f aca="false">IF(OR(C1298="",L1298=""),"",IF(C1298=L1298,"同一","変更"))</f>
        <v/>
      </c>
      <c r="N1298" s="29"/>
      <c r="O1298" s="30"/>
      <c r="P1298" s="29"/>
      <c r="Q1298" s="31"/>
      <c r="R1298" s="29"/>
      <c r="S1298" s="29"/>
      <c r="T1298" s="30"/>
      <c r="U1298" s="47" t="str">
        <f aca="false">IF(AND(B1298&lt;&gt;"",B1298=SW別シート!$C$3),COUNTIF(B$5:B1298,B1298),"")</f>
        <v/>
      </c>
      <c r="V1298" s="47" t="n">
        <f aca="false">V1297+IF(OR(O1298&lt;&gt;"",W1298&lt;&gt;""),1,0)</f>
        <v>3</v>
      </c>
      <c r="W1298" s="29"/>
    </row>
    <row r="1299" customFormat="false" ht="15" hidden="false" customHeight="false" outlineLevel="0" collapsed="false">
      <c r="A1299" s="32" t="str">
        <f aca="false">IF(B1299="","",ROW()-7)</f>
        <v/>
      </c>
      <c r="B1299" s="30"/>
      <c r="C1299" s="29"/>
      <c r="D1299" s="29"/>
      <c r="E1299" s="29"/>
      <c r="F1299" s="30"/>
      <c r="G1299" s="29"/>
      <c r="H1299" s="30"/>
      <c r="I1299" s="29"/>
      <c r="J1299" s="30"/>
      <c r="K1299" s="30"/>
      <c r="L1299" s="29"/>
      <c r="M1299" s="32" t="str">
        <f aca="false">IF(OR(C1299="",L1299=""),"",IF(C1299=L1299,"同一","変更"))</f>
        <v/>
      </c>
      <c r="N1299" s="29"/>
      <c r="O1299" s="30"/>
      <c r="P1299" s="29"/>
      <c r="Q1299" s="31"/>
      <c r="R1299" s="29"/>
      <c r="S1299" s="29"/>
      <c r="T1299" s="30"/>
      <c r="U1299" s="47" t="str">
        <f aca="false">IF(AND(B1299&lt;&gt;"",B1299=SW別シート!$C$3),COUNTIF(B$5:B1299,B1299),"")</f>
        <v/>
      </c>
      <c r="V1299" s="47" t="n">
        <f aca="false">V1298+IF(OR(O1299&lt;&gt;"",W1299&lt;&gt;""),1,0)</f>
        <v>3</v>
      </c>
      <c r="W1299" s="29"/>
    </row>
    <row r="1300" customFormat="false" ht="15" hidden="false" customHeight="false" outlineLevel="0" collapsed="false">
      <c r="A1300" s="32" t="str">
        <f aca="false">IF(B1300="","",ROW()-7)</f>
        <v/>
      </c>
      <c r="B1300" s="30"/>
      <c r="C1300" s="29"/>
      <c r="D1300" s="29"/>
      <c r="E1300" s="29"/>
      <c r="F1300" s="30"/>
      <c r="G1300" s="29"/>
      <c r="H1300" s="30"/>
      <c r="I1300" s="29"/>
      <c r="J1300" s="30"/>
      <c r="K1300" s="30"/>
      <c r="L1300" s="29"/>
      <c r="M1300" s="32" t="str">
        <f aca="false">IF(OR(C1300="",L1300=""),"",IF(C1300=L1300,"同一","変更"))</f>
        <v/>
      </c>
      <c r="N1300" s="29"/>
      <c r="O1300" s="30"/>
      <c r="P1300" s="29"/>
      <c r="Q1300" s="31"/>
      <c r="R1300" s="29"/>
      <c r="S1300" s="29"/>
      <c r="T1300" s="30"/>
      <c r="U1300" s="47" t="str">
        <f aca="false">IF(AND(B1300&lt;&gt;"",B1300=SW別シート!$C$3),COUNTIF(B$5:B1300,B1300),"")</f>
        <v/>
      </c>
      <c r="V1300" s="47" t="n">
        <f aca="false">V1299+IF(OR(O1300&lt;&gt;"",W1300&lt;&gt;""),1,0)</f>
        <v>3</v>
      </c>
      <c r="W1300" s="29"/>
    </row>
    <row r="1301" customFormat="false" ht="15" hidden="false" customHeight="false" outlineLevel="0" collapsed="false">
      <c r="A1301" s="32" t="str">
        <f aca="false">IF(B1301="","",ROW()-7)</f>
        <v/>
      </c>
      <c r="B1301" s="30"/>
      <c r="C1301" s="29"/>
      <c r="D1301" s="29"/>
      <c r="E1301" s="29"/>
      <c r="F1301" s="30"/>
      <c r="G1301" s="29"/>
      <c r="H1301" s="30"/>
      <c r="I1301" s="29"/>
      <c r="J1301" s="30"/>
      <c r="K1301" s="30"/>
      <c r="L1301" s="29"/>
      <c r="M1301" s="32" t="str">
        <f aca="false">IF(OR(C1301="",L1301=""),"",IF(C1301=L1301,"同一","変更"))</f>
        <v/>
      </c>
      <c r="N1301" s="29"/>
      <c r="O1301" s="30"/>
      <c r="P1301" s="29"/>
      <c r="Q1301" s="31"/>
      <c r="R1301" s="29"/>
      <c r="S1301" s="29"/>
      <c r="T1301" s="30"/>
      <c r="U1301" s="47" t="str">
        <f aca="false">IF(AND(B1301&lt;&gt;"",B1301=SW別シート!$C$3),COUNTIF(B$5:B1301,B1301),"")</f>
        <v/>
      </c>
      <c r="V1301" s="47" t="n">
        <f aca="false">V1300+IF(OR(O1301&lt;&gt;"",W1301&lt;&gt;""),1,0)</f>
        <v>3</v>
      </c>
      <c r="W1301" s="29"/>
    </row>
    <row r="1302" customFormat="false" ht="15" hidden="false" customHeight="false" outlineLevel="0" collapsed="false">
      <c r="A1302" s="32" t="str">
        <f aca="false">IF(B1302="","",ROW()-7)</f>
        <v/>
      </c>
      <c r="B1302" s="30"/>
      <c r="C1302" s="29"/>
      <c r="D1302" s="29"/>
      <c r="E1302" s="29"/>
      <c r="F1302" s="30"/>
      <c r="G1302" s="29"/>
      <c r="H1302" s="30"/>
      <c r="I1302" s="29"/>
      <c r="J1302" s="30"/>
      <c r="K1302" s="30"/>
      <c r="L1302" s="29"/>
      <c r="M1302" s="32" t="str">
        <f aca="false">IF(OR(C1302="",L1302=""),"",IF(C1302=L1302,"同一","変更"))</f>
        <v/>
      </c>
      <c r="N1302" s="29"/>
      <c r="O1302" s="30"/>
      <c r="P1302" s="29"/>
      <c r="Q1302" s="31"/>
      <c r="R1302" s="29"/>
      <c r="S1302" s="29"/>
      <c r="T1302" s="30"/>
      <c r="U1302" s="47" t="str">
        <f aca="false">IF(AND(B1302&lt;&gt;"",B1302=SW別シート!$C$3),COUNTIF(B$5:B1302,B1302),"")</f>
        <v/>
      </c>
      <c r="V1302" s="47" t="n">
        <f aca="false">V1301+IF(OR(O1302&lt;&gt;"",W1302&lt;&gt;""),1,0)</f>
        <v>3</v>
      </c>
      <c r="W1302" s="29"/>
    </row>
    <row r="1303" customFormat="false" ht="15" hidden="false" customHeight="false" outlineLevel="0" collapsed="false">
      <c r="A1303" s="32" t="str">
        <f aca="false">IF(B1303="","",ROW()-7)</f>
        <v/>
      </c>
      <c r="B1303" s="30"/>
      <c r="C1303" s="29"/>
      <c r="D1303" s="29"/>
      <c r="E1303" s="29"/>
      <c r="F1303" s="30"/>
      <c r="G1303" s="29"/>
      <c r="H1303" s="30"/>
      <c r="I1303" s="29"/>
      <c r="J1303" s="30"/>
      <c r="K1303" s="30"/>
      <c r="L1303" s="29"/>
      <c r="M1303" s="32" t="str">
        <f aca="false">IF(OR(C1303="",L1303=""),"",IF(C1303=L1303,"同一","変更"))</f>
        <v/>
      </c>
      <c r="N1303" s="29"/>
      <c r="O1303" s="30"/>
      <c r="P1303" s="29"/>
      <c r="Q1303" s="31"/>
      <c r="R1303" s="29"/>
      <c r="S1303" s="29"/>
      <c r="T1303" s="30"/>
      <c r="U1303" s="47" t="str">
        <f aca="false">IF(AND(B1303&lt;&gt;"",B1303=SW別シート!$C$3),COUNTIF(B$5:B1303,B1303),"")</f>
        <v/>
      </c>
      <c r="V1303" s="47" t="n">
        <f aca="false">V1302+IF(OR(O1303&lt;&gt;"",W1303&lt;&gt;""),1,0)</f>
        <v>3</v>
      </c>
      <c r="W1303" s="29"/>
    </row>
    <row r="1304" customFormat="false" ht="15" hidden="false" customHeight="false" outlineLevel="0" collapsed="false">
      <c r="A1304" s="32" t="str">
        <f aca="false">IF(B1304="","",ROW()-7)</f>
        <v/>
      </c>
      <c r="B1304" s="30"/>
      <c r="C1304" s="29"/>
      <c r="D1304" s="29"/>
      <c r="E1304" s="29"/>
      <c r="F1304" s="30"/>
      <c r="G1304" s="29"/>
      <c r="H1304" s="30"/>
      <c r="I1304" s="29"/>
      <c r="J1304" s="30"/>
      <c r="K1304" s="30"/>
      <c r="L1304" s="29"/>
      <c r="M1304" s="32" t="str">
        <f aca="false">IF(OR(C1304="",L1304=""),"",IF(C1304=L1304,"同一","変更"))</f>
        <v/>
      </c>
      <c r="N1304" s="29"/>
      <c r="O1304" s="30"/>
      <c r="P1304" s="29"/>
      <c r="Q1304" s="31"/>
      <c r="R1304" s="29"/>
      <c r="S1304" s="29"/>
      <c r="T1304" s="30"/>
      <c r="U1304" s="47" t="str">
        <f aca="false">IF(AND(B1304&lt;&gt;"",B1304=SW別シート!$C$3),COUNTIF(B$5:B1304,B1304),"")</f>
        <v/>
      </c>
      <c r="V1304" s="47" t="n">
        <f aca="false">V1303+IF(OR(O1304&lt;&gt;"",W1304&lt;&gt;""),1,0)</f>
        <v>3</v>
      </c>
      <c r="W1304" s="29"/>
    </row>
    <row r="1305" customFormat="false" ht="15" hidden="false" customHeight="false" outlineLevel="0" collapsed="false">
      <c r="A1305" s="32" t="str">
        <f aca="false">IF(B1305="","",ROW()-7)</f>
        <v/>
      </c>
      <c r="B1305" s="30"/>
      <c r="C1305" s="29"/>
      <c r="D1305" s="29"/>
      <c r="E1305" s="29"/>
      <c r="F1305" s="30"/>
      <c r="G1305" s="29"/>
      <c r="H1305" s="30"/>
      <c r="I1305" s="29"/>
      <c r="J1305" s="30"/>
      <c r="K1305" s="30"/>
      <c r="L1305" s="29"/>
      <c r="M1305" s="32" t="str">
        <f aca="false">IF(OR(C1305="",L1305=""),"",IF(C1305=L1305,"同一","変更"))</f>
        <v/>
      </c>
      <c r="N1305" s="29"/>
      <c r="O1305" s="30"/>
      <c r="P1305" s="29"/>
      <c r="Q1305" s="31"/>
      <c r="R1305" s="29"/>
      <c r="S1305" s="29"/>
      <c r="T1305" s="30"/>
      <c r="U1305" s="47" t="str">
        <f aca="false">IF(AND(B1305&lt;&gt;"",B1305=SW別シート!$C$3),COUNTIF(B$5:B1305,B1305),"")</f>
        <v/>
      </c>
      <c r="V1305" s="47" t="n">
        <f aca="false">V1304+IF(OR(O1305&lt;&gt;"",W1305&lt;&gt;""),1,0)</f>
        <v>3</v>
      </c>
      <c r="W1305" s="29"/>
    </row>
    <row r="1306" customFormat="false" ht="15" hidden="false" customHeight="false" outlineLevel="0" collapsed="false">
      <c r="A1306" s="32" t="str">
        <f aca="false">IF(B1306="","",ROW()-7)</f>
        <v/>
      </c>
      <c r="B1306" s="30"/>
      <c r="C1306" s="29"/>
      <c r="D1306" s="29"/>
      <c r="E1306" s="29"/>
      <c r="F1306" s="30"/>
      <c r="G1306" s="29"/>
      <c r="H1306" s="30"/>
      <c r="I1306" s="29"/>
      <c r="J1306" s="30"/>
      <c r="K1306" s="30"/>
      <c r="L1306" s="29"/>
      <c r="M1306" s="32" t="str">
        <f aca="false">IF(OR(C1306="",L1306=""),"",IF(C1306=L1306,"同一","変更"))</f>
        <v/>
      </c>
      <c r="N1306" s="29"/>
      <c r="O1306" s="30"/>
      <c r="P1306" s="29"/>
      <c r="Q1306" s="31"/>
      <c r="R1306" s="29"/>
      <c r="S1306" s="29"/>
      <c r="T1306" s="30"/>
      <c r="U1306" s="47" t="str">
        <f aca="false">IF(AND(B1306&lt;&gt;"",B1306=SW別シート!$C$3),COUNTIF(B$5:B1306,B1306),"")</f>
        <v/>
      </c>
      <c r="V1306" s="47" t="n">
        <f aca="false">V1305+IF(OR(O1306&lt;&gt;"",W1306&lt;&gt;""),1,0)</f>
        <v>3</v>
      </c>
      <c r="W1306" s="29"/>
    </row>
    <row r="1307" customFormat="false" ht="15" hidden="false" customHeight="false" outlineLevel="0" collapsed="false">
      <c r="A1307" s="32" t="str">
        <f aca="false">IF(B1307="","",ROW()-7)</f>
        <v/>
      </c>
      <c r="B1307" s="30"/>
      <c r="C1307" s="29"/>
      <c r="D1307" s="29"/>
      <c r="E1307" s="29"/>
      <c r="F1307" s="30"/>
      <c r="G1307" s="29"/>
      <c r="H1307" s="30"/>
      <c r="I1307" s="29"/>
      <c r="J1307" s="30"/>
      <c r="K1307" s="30"/>
      <c r="L1307" s="29"/>
      <c r="M1307" s="32" t="str">
        <f aca="false">IF(OR(C1307="",L1307=""),"",IF(C1307=L1307,"同一","変更"))</f>
        <v/>
      </c>
      <c r="N1307" s="29"/>
      <c r="O1307" s="30"/>
      <c r="P1307" s="29"/>
      <c r="Q1307" s="31"/>
      <c r="R1307" s="29"/>
      <c r="S1307" s="29"/>
      <c r="T1307" s="30"/>
      <c r="U1307" s="47" t="str">
        <f aca="false">IF(AND(B1307&lt;&gt;"",B1307=SW別シート!$C$3),COUNTIF(B$5:B1307,B1307),"")</f>
        <v/>
      </c>
      <c r="V1307" s="47" t="n">
        <f aca="false">V1306+IF(OR(O1307&lt;&gt;"",W1307&lt;&gt;""),1,0)</f>
        <v>3</v>
      </c>
      <c r="W1307" s="29"/>
    </row>
    <row r="1308" customFormat="false" ht="15" hidden="false" customHeight="false" outlineLevel="0" collapsed="false">
      <c r="A1308" s="32" t="str">
        <f aca="false">IF(B1308="","",ROW()-7)</f>
        <v/>
      </c>
      <c r="B1308" s="30"/>
      <c r="C1308" s="29"/>
      <c r="D1308" s="29"/>
      <c r="E1308" s="29"/>
      <c r="F1308" s="30"/>
      <c r="G1308" s="29"/>
      <c r="H1308" s="30"/>
      <c r="I1308" s="29"/>
      <c r="J1308" s="30"/>
      <c r="K1308" s="30"/>
      <c r="L1308" s="29"/>
      <c r="M1308" s="32" t="str">
        <f aca="false">IF(OR(C1308="",L1308=""),"",IF(C1308=L1308,"同一","変更"))</f>
        <v/>
      </c>
      <c r="N1308" s="29"/>
      <c r="O1308" s="30"/>
      <c r="P1308" s="29"/>
      <c r="Q1308" s="31"/>
      <c r="R1308" s="29"/>
      <c r="S1308" s="29"/>
      <c r="T1308" s="30"/>
      <c r="U1308" s="47" t="str">
        <f aca="false">IF(AND(B1308&lt;&gt;"",B1308=SW別シート!$C$3),COUNTIF(B$5:B1308,B1308),"")</f>
        <v/>
      </c>
      <c r="V1308" s="47" t="n">
        <f aca="false">V1307+IF(OR(O1308&lt;&gt;"",W1308&lt;&gt;""),1,0)</f>
        <v>3</v>
      </c>
      <c r="W1308" s="29"/>
    </row>
    <row r="1309" customFormat="false" ht="15" hidden="false" customHeight="false" outlineLevel="0" collapsed="false">
      <c r="A1309" s="32" t="str">
        <f aca="false">IF(B1309="","",ROW()-7)</f>
        <v/>
      </c>
      <c r="B1309" s="30"/>
      <c r="C1309" s="29"/>
      <c r="D1309" s="29"/>
      <c r="E1309" s="29"/>
      <c r="F1309" s="30"/>
      <c r="G1309" s="29"/>
      <c r="H1309" s="30"/>
      <c r="I1309" s="29"/>
      <c r="J1309" s="30"/>
      <c r="K1309" s="30"/>
      <c r="L1309" s="29"/>
      <c r="M1309" s="32" t="str">
        <f aca="false">IF(OR(C1309="",L1309=""),"",IF(C1309=L1309,"同一","変更"))</f>
        <v/>
      </c>
      <c r="N1309" s="29"/>
      <c r="O1309" s="30"/>
      <c r="P1309" s="29"/>
      <c r="Q1309" s="31"/>
      <c r="R1309" s="29"/>
      <c r="S1309" s="29"/>
      <c r="T1309" s="30"/>
      <c r="U1309" s="47" t="str">
        <f aca="false">IF(AND(B1309&lt;&gt;"",B1309=SW別シート!$C$3),COUNTIF(B$5:B1309,B1309),"")</f>
        <v/>
      </c>
      <c r="V1309" s="47" t="n">
        <f aca="false">V1308+IF(OR(O1309&lt;&gt;"",W1309&lt;&gt;""),1,0)</f>
        <v>3</v>
      </c>
      <c r="W1309" s="29"/>
    </row>
    <row r="1310" customFormat="false" ht="15" hidden="false" customHeight="false" outlineLevel="0" collapsed="false">
      <c r="A1310" s="32" t="str">
        <f aca="false">IF(B1310="","",ROW()-7)</f>
        <v/>
      </c>
      <c r="B1310" s="30"/>
      <c r="C1310" s="29"/>
      <c r="D1310" s="29"/>
      <c r="E1310" s="29"/>
      <c r="F1310" s="30"/>
      <c r="G1310" s="29"/>
      <c r="H1310" s="30"/>
      <c r="I1310" s="29"/>
      <c r="J1310" s="30"/>
      <c r="K1310" s="30"/>
      <c r="L1310" s="29"/>
      <c r="M1310" s="32" t="str">
        <f aca="false">IF(OR(C1310="",L1310=""),"",IF(C1310=L1310,"同一","変更"))</f>
        <v/>
      </c>
      <c r="N1310" s="29"/>
      <c r="O1310" s="30"/>
      <c r="P1310" s="29"/>
      <c r="Q1310" s="31"/>
      <c r="R1310" s="29"/>
      <c r="S1310" s="29"/>
      <c r="T1310" s="30"/>
      <c r="U1310" s="47" t="str">
        <f aca="false">IF(AND(B1310&lt;&gt;"",B1310=SW別シート!$C$3),COUNTIF(B$5:B1310,B1310),"")</f>
        <v/>
      </c>
      <c r="V1310" s="47" t="n">
        <f aca="false">V1309+IF(OR(O1310&lt;&gt;"",W1310&lt;&gt;""),1,0)</f>
        <v>3</v>
      </c>
      <c r="W1310" s="29"/>
    </row>
    <row r="1311" customFormat="false" ht="15" hidden="false" customHeight="false" outlineLevel="0" collapsed="false">
      <c r="A1311" s="32" t="str">
        <f aca="false">IF(B1311="","",ROW()-7)</f>
        <v/>
      </c>
      <c r="B1311" s="30"/>
      <c r="C1311" s="29"/>
      <c r="D1311" s="29"/>
      <c r="E1311" s="29"/>
      <c r="F1311" s="30"/>
      <c r="G1311" s="29"/>
      <c r="H1311" s="30"/>
      <c r="I1311" s="29"/>
      <c r="J1311" s="30"/>
      <c r="K1311" s="30"/>
      <c r="L1311" s="29"/>
      <c r="M1311" s="32" t="str">
        <f aca="false">IF(OR(C1311="",L1311=""),"",IF(C1311=L1311,"同一","変更"))</f>
        <v/>
      </c>
      <c r="N1311" s="29"/>
      <c r="O1311" s="30"/>
      <c r="P1311" s="29"/>
      <c r="Q1311" s="31"/>
      <c r="R1311" s="29"/>
      <c r="S1311" s="29"/>
      <c r="T1311" s="30"/>
      <c r="U1311" s="47" t="str">
        <f aca="false">IF(AND(B1311&lt;&gt;"",B1311=SW別シート!$C$3),COUNTIF(B$5:B1311,B1311),"")</f>
        <v/>
      </c>
      <c r="V1311" s="47" t="n">
        <f aca="false">V1310+IF(OR(O1311&lt;&gt;"",W1311&lt;&gt;""),1,0)</f>
        <v>3</v>
      </c>
      <c r="W1311" s="29"/>
    </row>
    <row r="1312" customFormat="false" ht="15" hidden="false" customHeight="false" outlineLevel="0" collapsed="false">
      <c r="A1312" s="32" t="str">
        <f aca="false">IF(B1312="","",ROW()-7)</f>
        <v/>
      </c>
      <c r="B1312" s="30"/>
      <c r="C1312" s="29"/>
      <c r="D1312" s="29"/>
      <c r="E1312" s="29"/>
      <c r="F1312" s="30"/>
      <c r="G1312" s="29"/>
      <c r="H1312" s="30"/>
      <c r="I1312" s="29"/>
      <c r="J1312" s="30"/>
      <c r="K1312" s="30"/>
      <c r="L1312" s="29"/>
      <c r="M1312" s="32" t="str">
        <f aca="false">IF(OR(C1312="",L1312=""),"",IF(C1312=L1312,"同一","変更"))</f>
        <v/>
      </c>
      <c r="N1312" s="29"/>
      <c r="O1312" s="30"/>
      <c r="P1312" s="29"/>
      <c r="Q1312" s="31"/>
      <c r="R1312" s="29"/>
      <c r="S1312" s="29"/>
      <c r="T1312" s="30"/>
      <c r="U1312" s="47" t="str">
        <f aca="false">IF(AND(B1312&lt;&gt;"",B1312=SW別シート!$C$3),COUNTIF(B$5:B1312,B1312),"")</f>
        <v/>
      </c>
      <c r="V1312" s="47" t="n">
        <f aca="false">V1311+IF(OR(O1312&lt;&gt;"",W1312&lt;&gt;""),1,0)</f>
        <v>3</v>
      </c>
      <c r="W1312" s="29"/>
    </row>
    <row r="1313" customFormat="false" ht="15" hidden="false" customHeight="false" outlineLevel="0" collapsed="false">
      <c r="A1313" s="32" t="str">
        <f aca="false">IF(B1313="","",ROW()-7)</f>
        <v/>
      </c>
      <c r="B1313" s="30"/>
      <c r="C1313" s="29"/>
      <c r="D1313" s="29"/>
      <c r="E1313" s="29"/>
      <c r="F1313" s="30"/>
      <c r="G1313" s="29"/>
      <c r="H1313" s="30"/>
      <c r="I1313" s="29"/>
      <c r="J1313" s="30"/>
      <c r="K1313" s="30"/>
      <c r="L1313" s="29"/>
      <c r="M1313" s="32" t="str">
        <f aca="false">IF(OR(C1313="",L1313=""),"",IF(C1313=L1313,"同一","変更"))</f>
        <v/>
      </c>
      <c r="N1313" s="29"/>
      <c r="O1313" s="30"/>
      <c r="P1313" s="29"/>
      <c r="Q1313" s="31"/>
      <c r="R1313" s="29"/>
      <c r="S1313" s="29"/>
      <c r="T1313" s="30"/>
      <c r="U1313" s="47" t="str">
        <f aca="false">IF(AND(B1313&lt;&gt;"",B1313=SW別シート!$C$3),COUNTIF(B$5:B1313,B1313),"")</f>
        <v/>
      </c>
      <c r="V1313" s="47" t="n">
        <f aca="false">V1312+IF(OR(O1313&lt;&gt;"",W1313&lt;&gt;""),1,0)</f>
        <v>3</v>
      </c>
      <c r="W1313" s="29"/>
    </row>
    <row r="1314" customFormat="false" ht="15" hidden="false" customHeight="false" outlineLevel="0" collapsed="false">
      <c r="A1314" s="32" t="str">
        <f aca="false">IF(B1314="","",ROW()-7)</f>
        <v/>
      </c>
      <c r="B1314" s="30"/>
      <c r="C1314" s="29"/>
      <c r="D1314" s="29"/>
      <c r="E1314" s="29"/>
      <c r="F1314" s="30"/>
      <c r="G1314" s="29"/>
      <c r="H1314" s="30"/>
      <c r="I1314" s="29"/>
      <c r="J1314" s="30"/>
      <c r="K1314" s="30"/>
      <c r="L1314" s="29"/>
      <c r="M1314" s="32" t="str">
        <f aca="false">IF(OR(C1314="",L1314=""),"",IF(C1314=L1314,"同一","変更"))</f>
        <v/>
      </c>
      <c r="N1314" s="29"/>
      <c r="O1314" s="30"/>
      <c r="P1314" s="29"/>
      <c r="Q1314" s="31"/>
      <c r="R1314" s="29"/>
      <c r="S1314" s="29"/>
      <c r="T1314" s="30"/>
      <c r="U1314" s="47" t="str">
        <f aca="false">IF(AND(B1314&lt;&gt;"",B1314=SW別シート!$C$3),COUNTIF(B$5:B1314,B1314),"")</f>
        <v/>
      </c>
      <c r="V1314" s="47" t="n">
        <f aca="false">V1313+IF(OR(O1314&lt;&gt;"",W1314&lt;&gt;""),1,0)</f>
        <v>3</v>
      </c>
      <c r="W1314" s="29"/>
    </row>
    <row r="1315" customFormat="false" ht="15" hidden="false" customHeight="false" outlineLevel="0" collapsed="false">
      <c r="A1315" s="32" t="str">
        <f aca="false">IF(B1315="","",ROW()-7)</f>
        <v/>
      </c>
      <c r="B1315" s="30"/>
      <c r="C1315" s="29"/>
      <c r="D1315" s="29"/>
      <c r="E1315" s="29"/>
      <c r="F1315" s="30"/>
      <c r="G1315" s="29"/>
      <c r="H1315" s="30"/>
      <c r="I1315" s="29"/>
      <c r="J1315" s="30"/>
      <c r="K1315" s="30"/>
      <c r="L1315" s="29"/>
      <c r="M1315" s="32" t="str">
        <f aca="false">IF(OR(C1315="",L1315=""),"",IF(C1315=L1315,"同一","変更"))</f>
        <v/>
      </c>
      <c r="N1315" s="29"/>
      <c r="O1315" s="30"/>
      <c r="P1315" s="29"/>
      <c r="Q1315" s="31"/>
      <c r="R1315" s="29"/>
      <c r="S1315" s="29"/>
      <c r="T1315" s="30"/>
      <c r="U1315" s="47" t="str">
        <f aca="false">IF(AND(B1315&lt;&gt;"",B1315=SW別シート!$C$3),COUNTIF(B$5:B1315,B1315),"")</f>
        <v/>
      </c>
      <c r="V1315" s="47" t="n">
        <f aca="false">V1314+IF(OR(O1315&lt;&gt;"",W1315&lt;&gt;""),1,0)</f>
        <v>3</v>
      </c>
      <c r="W1315" s="29"/>
    </row>
    <row r="1316" customFormat="false" ht="15" hidden="false" customHeight="false" outlineLevel="0" collapsed="false">
      <c r="A1316" s="32" t="str">
        <f aca="false">IF(B1316="","",ROW()-7)</f>
        <v/>
      </c>
      <c r="B1316" s="30"/>
      <c r="C1316" s="29"/>
      <c r="D1316" s="29"/>
      <c r="E1316" s="29"/>
      <c r="F1316" s="30"/>
      <c r="G1316" s="29"/>
      <c r="H1316" s="30"/>
      <c r="I1316" s="29"/>
      <c r="J1316" s="30"/>
      <c r="K1316" s="30"/>
      <c r="L1316" s="29"/>
      <c r="M1316" s="32" t="str">
        <f aca="false">IF(OR(C1316="",L1316=""),"",IF(C1316=L1316,"同一","変更"))</f>
        <v/>
      </c>
      <c r="N1316" s="29"/>
      <c r="O1316" s="30"/>
      <c r="P1316" s="29"/>
      <c r="Q1316" s="31"/>
      <c r="R1316" s="29"/>
      <c r="S1316" s="29"/>
      <c r="T1316" s="30"/>
      <c r="U1316" s="47" t="str">
        <f aca="false">IF(AND(B1316&lt;&gt;"",B1316=SW別シート!$C$3),COUNTIF(B$5:B1316,B1316),"")</f>
        <v/>
      </c>
      <c r="V1316" s="47" t="n">
        <f aca="false">V1315+IF(OR(O1316&lt;&gt;"",W1316&lt;&gt;""),1,0)</f>
        <v>3</v>
      </c>
      <c r="W1316" s="29"/>
    </row>
    <row r="1317" customFormat="false" ht="15" hidden="false" customHeight="false" outlineLevel="0" collapsed="false">
      <c r="A1317" s="32" t="str">
        <f aca="false">IF(B1317="","",ROW()-7)</f>
        <v/>
      </c>
      <c r="B1317" s="30"/>
      <c r="C1317" s="29"/>
      <c r="D1317" s="29"/>
      <c r="E1317" s="29"/>
      <c r="F1317" s="30"/>
      <c r="G1317" s="29"/>
      <c r="H1317" s="30"/>
      <c r="I1317" s="29"/>
      <c r="J1317" s="30"/>
      <c r="K1317" s="30"/>
      <c r="L1317" s="29"/>
      <c r="M1317" s="32" t="str">
        <f aca="false">IF(OR(C1317="",L1317=""),"",IF(C1317=L1317,"同一","変更"))</f>
        <v/>
      </c>
      <c r="N1317" s="29"/>
      <c r="O1317" s="30"/>
      <c r="P1317" s="29"/>
      <c r="Q1317" s="31"/>
      <c r="R1317" s="29"/>
      <c r="S1317" s="29"/>
      <c r="T1317" s="30"/>
      <c r="U1317" s="47" t="str">
        <f aca="false">IF(AND(B1317&lt;&gt;"",B1317=SW別シート!$C$3),COUNTIF(B$5:B1317,B1317),"")</f>
        <v/>
      </c>
      <c r="V1317" s="47" t="n">
        <f aca="false">V1316+IF(OR(O1317&lt;&gt;"",W1317&lt;&gt;""),1,0)</f>
        <v>3</v>
      </c>
      <c r="W1317" s="29"/>
    </row>
    <row r="1318" customFormat="false" ht="15" hidden="false" customHeight="false" outlineLevel="0" collapsed="false">
      <c r="A1318" s="32" t="str">
        <f aca="false">IF(B1318="","",ROW()-7)</f>
        <v/>
      </c>
      <c r="B1318" s="30"/>
      <c r="C1318" s="29"/>
      <c r="D1318" s="29"/>
      <c r="E1318" s="29"/>
      <c r="F1318" s="30"/>
      <c r="G1318" s="29"/>
      <c r="H1318" s="30"/>
      <c r="I1318" s="29"/>
      <c r="J1318" s="30"/>
      <c r="K1318" s="30"/>
      <c r="L1318" s="29"/>
      <c r="M1318" s="32" t="str">
        <f aca="false">IF(OR(C1318="",L1318=""),"",IF(C1318=L1318,"同一","変更"))</f>
        <v/>
      </c>
      <c r="N1318" s="29"/>
      <c r="O1318" s="30"/>
      <c r="P1318" s="29"/>
      <c r="Q1318" s="31"/>
      <c r="R1318" s="29"/>
      <c r="S1318" s="29"/>
      <c r="T1318" s="30"/>
      <c r="U1318" s="47" t="str">
        <f aca="false">IF(AND(B1318&lt;&gt;"",B1318=SW別シート!$C$3),COUNTIF(B$5:B1318,B1318),"")</f>
        <v/>
      </c>
      <c r="V1318" s="47" t="n">
        <f aca="false">V1317+IF(OR(O1318&lt;&gt;"",W1318&lt;&gt;""),1,0)</f>
        <v>3</v>
      </c>
      <c r="W1318" s="29"/>
    </row>
    <row r="1319" customFormat="false" ht="15" hidden="false" customHeight="false" outlineLevel="0" collapsed="false">
      <c r="A1319" s="32" t="str">
        <f aca="false">IF(B1319="","",ROW()-7)</f>
        <v/>
      </c>
      <c r="B1319" s="30"/>
      <c r="C1319" s="29"/>
      <c r="D1319" s="29"/>
      <c r="E1319" s="29"/>
      <c r="F1319" s="30"/>
      <c r="G1319" s="29"/>
      <c r="H1319" s="30"/>
      <c r="I1319" s="29"/>
      <c r="J1319" s="30"/>
      <c r="K1319" s="30"/>
      <c r="L1319" s="29"/>
      <c r="M1319" s="32" t="str">
        <f aca="false">IF(OR(C1319="",L1319=""),"",IF(C1319=L1319,"同一","変更"))</f>
        <v/>
      </c>
      <c r="N1319" s="29"/>
      <c r="O1319" s="30"/>
      <c r="P1319" s="29"/>
      <c r="Q1319" s="31"/>
      <c r="R1319" s="29"/>
      <c r="S1319" s="29"/>
      <c r="T1319" s="30"/>
      <c r="U1319" s="47" t="str">
        <f aca="false">IF(AND(B1319&lt;&gt;"",B1319=SW別シート!$C$3),COUNTIF(B$5:B1319,B1319),"")</f>
        <v/>
      </c>
      <c r="V1319" s="47" t="n">
        <f aca="false">V1318+IF(OR(O1319&lt;&gt;"",W1319&lt;&gt;""),1,0)</f>
        <v>3</v>
      </c>
      <c r="W1319" s="29"/>
    </row>
    <row r="1320" customFormat="false" ht="15" hidden="false" customHeight="false" outlineLevel="0" collapsed="false">
      <c r="A1320" s="32" t="str">
        <f aca="false">IF(B1320="","",ROW()-7)</f>
        <v/>
      </c>
      <c r="B1320" s="30"/>
      <c r="C1320" s="29"/>
      <c r="D1320" s="29"/>
      <c r="E1320" s="29"/>
      <c r="F1320" s="30"/>
      <c r="G1320" s="29"/>
      <c r="H1320" s="30"/>
      <c r="I1320" s="29"/>
      <c r="J1320" s="30"/>
      <c r="K1320" s="30"/>
      <c r="L1320" s="29"/>
      <c r="M1320" s="32" t="str">
        <f aca="false">IF(OR(C1320="",L1320=""),"",IF(C1320=L1320,"同一","変更"))</f>
        <v/>
      </c>
      <c r="N1320" s="29"/>
      <c r="O1320" s="30"/>
      <c r="P1320" s="29"/>
      <c r="Q1320" s="31"/>
      <c r="R1320" s="29"/>
      <c r="S1320" s="29"/>
      <c r="T1320" s="30"/>
      <c r="U1320" s="47" t="str">
        <f aca="false">IF(AND(B1320&lt;&gt;"",B1320=SW別シート!$C$3),COUNTIF(B$5:B1320,B1320),"")</f>
        <v/>
      </c>
      <c r="V1320" s="47" t="n">
        <f aca="false">V1319+IF(OR(O1320&lt;&gt;"",W1320&lt;&gt;""),1,0)</f>
        <v>3</v>
      </c>
      <c r="W1320" s="29"/>
    </row>
    <row r="1321" customFormat="false" ht="15" hidden="false" customHeight="false" outlineLevel="0" collapsed="false">
      <c r="A1321" s="32" t="str">
        <f aca="false">IF(B1321="","",ROW()-7)</f>
        <v/>
      </c>
      <c r="B1321" s="30"/>
      <c r="C1321" s="29"/>
      <c r="D1321" s="29"/>
      <c r="E1321" s="29"/>
      <c r="F1321" s="30"/>
      <c r="G1321" s="29"/>
      <c r="H1321" s="30"/>
      <c r="I1321" s="29"/>
      <c r="J1321" s="30"/>
      <c r="K1321" s="30"/>
      <c r="L1321" s="29"/>
      <c r="M1321" s="32" t="str">
        <f aca="false">IF(OR(C1321="",L1321=""),"",IF(C1321=L1321,"同一","変更"))</f>
        <v/>
      </c>
      <c r="N1321" s="29"/>
      <c r="O1321" s="30"/>
      <c r="P1321" s="29"/>
      <c r="Q1321" s="31"/>
      <c r="R1321" s="29"/>
      <c r="S1321" s="29"/>
      <c r="T1321" s="30"/>
      <c r="U1321" s="47" t="str">
        <f aca="false">IF(AND(B1321&lt;&gt;"",B1321=SW別シート!$C$3),COUNTIF(B$5:B1321,B1321),"")</f>
        <v/>
      </c>
      <c r="V1321" s="47" t="n">
        <f aca="false">V1320+IF(OR(O1321&lt;&gt;"",W1321&lt;&gt;""),1,0)</f>
        <v>3</v>
      </c>
      <c r="W1321" s="29"/>
    </row>
    <row r="1322" customFormat="false" ht="15" hidden="false" customHeight="false" outlineLevel="0" collapsed="false">
      <c r="A1322" s="32" t="str">
        <f aca="false">IF(B1322="","",ROW()-7)</f>
        <v/>
      </c>
      <c r="B1322" s="30"/>
      <c r="C1322" s="29"/>
      <c r="D1322" s="29"/>
      <c r="E1322" s="29"/>
      <c r="F1322" s="30"/>
      <c r="G1322" s="29"/>
      <c r="H1322" s="30"/>
      <c r="I1322" s="29"/>
      <c r="J1322" s="30"/>
      <c r="K1322" s="30"/>
      <c r="L1322" s="29"/>
      <c r="M1322" s="32" t="str">
        <f aca="false">IF(OR(C1322="",L1322=""),"",IF(C1322=L1322,"同一","変更"))</f>
        <v/>
      </c>
      <c r="N1322" s="29"/>
      <c r="O1322" s="30"/>
      <c r="P1322" s="29"/>
      <c r="Q1322" s="31"/>
      <c r="R1322" s="29"/>
      <c r="S1322" s="29"/>
      <c r="T1322" s="30"/>
      <c r="U1322" s="47" t="str">
        <f aca="false">IF(AND(B1322&lt;&gt;"",B1322=SW別シート!$C$3),COUNTIF(B$5:B1322,B1322),"")</f>
        <v/>
      </c>
      <c r="V1322" s="47" t="n">
        <f aca="false">V1321+IF(OR(O1322&lt;&gt;"",W1322&lt;&gt;""),1,0)</f>
        <v>3</v>
      </c>
      <c r="W1322" s="29"/>
    </row>
    <row r="1323" customFormat="false" ht="15" hidden="false" customHeight="false" outlineLevel="0" collapsed="false">
      <c r="A1323" s="32" t="str">
        <f aca="false">IF(B1323="","",ROW()-7)</f>
        <v/>
      </c>
      <c r="B1323" s="30"/>
      <c r="C1323" s="29"/>
      <c r="D1323" s="29"/>
      <c r="E1323" s="29"/>
      <c r="F1323" s="30"/>
      <c r="G1323" s="29"/>
      <c r="H1323" s="30"/>
      <c r="I1323" s="29"/>
      <c r="J1323" s="30"/>
      <c r="K1323" s="30"/>
      <c r="L1323" s="29"/>
      <c r="M1323" s="32" t="str">
        <f aca="false">IF(OR(C1323="",L1323=""),"",IF(C1323=L1323,"同一","変更"))</f>
        <v/>
      </c>
      <c r="N1323" s="29"/>
      <c r="O1323" s="30"/>
      <c r="P1323" s="29"/>
      <c r="Q1323" s="31"/>
      <c r="R1323" s="29"/>
      <c r="S1323" s="29"/>
      <c r="T1323" s="30"/>
      <c r="U1323" s="47" t="str">
        <f aca="false">IF(AND(B1323&lt;&gt;"",B1323=SW別シート!$C$3),COUNTIF(B$5:B1323,B1323),"")</f>
        <v/>
      </c>
      <c r="V1323" s="47" t="n">
        <f aca="false">V1322+IF(OR(O1323&lt;&gt;"",W1323&lt;&gt;""),1,0)</f>
        <v>3</v>
      </c>
      <c r="W1323" s="29"/>
    </row>
    <row r="1324" customFormat="false" ht="15" hidden="false" customHeight="false" outlineLevel="0" collapsed="false">
      <c r="A1324" s="32" t="str">
        <f aca="false">IF(B1324="","",ROW()-7)</f>
        <v/>
      </c>
      <c r="B1324" s="30"/>
      <c r="C1324" s="29"/>
      <c r="D1324" s="29"/>
      <c r="E1324" s="29"/>
      <c r="F1324" s="30"/>
      <c r="G1324" s="29"/>
      <c r="H1324" s="30"/>
      <c r="I1324" s="29"/>
      <c r="J1324" s="30"/>
      <c r="K1324" s="30"/>
      <c r="L1324" s="29"/>
      <c r="M1324" s="32" t="str">
        <f aca="false">IF(OR(C1324="",L1324=""),"",IF(C1324=L1324,"同一","変更"))</f>
        <v/>
      </c>
      <c r="N1324" s="29"/>
      <c r="O1324" s="30"/>
      <c r="P1324" s="29"/>
      <c r="Q1324" s="31"/>
      <c r="R1324" s="29"/>
      <c r="S1324" s="29"/>
      <c r="T1324" s="30"/>
      <c r="U1324" s="47" t="str">
        <f aca="false">IF(AND(B1324&lt;&gt;"",B1324=SW別シート!$C$3),COUNTIF(B$5:B1324,B1324),"")</f>
        <v/>
      </c>
      <c r="V1324" s="47" t="n">
        <f aca="false">V1323+IF(OR(O1324&lt;&gt;"",W1324&lt;&gt;""),1,0)</f>
        <v>3</v>
      </c>
      <c r="W1324" s="29"/>
    </row>
    <row r="1325" customFormat="false" ht="15" hidden="false" customHeight="false" outlineLevel="0" collapsed="false">
      <c r="A1325" s="32" t="str">
        <f aca="false">IF(B1325="","",ROW()-7)</f>
        <v/>
      </c>
      <c r="B1325" s="30"/>
      <c r="C1325" s="29"/>
      <c r="D1325" s="29"/>
      <c r="E1325" s="29"/>
      <c r="F1325" s="30"/>
      <c r="G1325" s="29"/>
      <c r="H1325" s="30"/>
      <c r="I1325" s="29"/>
      <c r="J1325" s="30"/>
      <c r="K1325" s="30"/>
      <c r="L1325" s="29"/>
      <c r="M1325" s="32" t="str">
        <f aca="false">IF(OR(C1325="",L1325=""),"",IF(C1325=L1325,"同一","変更"))</f>
        <v/>
      </c>
      <c r="N1325" s="29"/>
      <c r="O1325" s="30"/>
      <c r="P1325" s="29"/>
      <c r="Q1325" s="31"/>
      <c r="R1325" s="29"/>
      <c r="S1325" s="29"/>
      <c r="T1325" s="30"/>
      <c r="U1325" s="47" t="str">
        <f aca="false">IF(AND(B1325&lt;&gt;"",B1325=SW別シート!$C$3),COUNTIF(B$5:B1325,B1325),"")</f>
        <v/>
      </c>
      <c r="V1325" s="47" t="n">
        <f aca="false">V1324+IF(OR(O1325&lt;&gt;"",W1325&lt;&gt;""),1,0)</f>
        <v>3</v>
      </c>
      <c r="W1325" s="29"/>
    </row>
    <row r="1326" customFormat="false" ht="15" hidden="false" customHeight="false" outlineLevel="0" collapsed="false">
      <c r="A1326" s="32" t="str">
        <f aca="false">IF(B1326="","",ROW()-7)</f>
        <v/>
      </c>
      <c r="B1326" s="30"/>
      <c r="C1326" s="29"/>
      <c r="D1326" s="29"/>
      <c r="E1326" s="29"/>
      <c r="F1326" s="30"/>
      <c r="G1326" s="29"/>
      <c r="H1326" s="30"/>
      <c r="I1326" s="29"/>
      <c r="J1326" s="30"/>
      <c r="K1326" s="30"/>
      <c r="L1326" s="29"/>
      <c r="M1326" s="32" t="str">
        <f aca="false">IF(OR(C1326="",L1326=""),"",IF(C1326=L1326,"同一","変更"))</f>
        <v/>
      </c>
      <c r="N1326" s="29"/>
      <c r="O1326" s="30"/>
      <c r="P1326" s="29"/>
      <c r="Q1326" s="31"/>
      <c r="R1326" s="29"/>
      <c r="S1326" s="29"/>
      <c r="T1326" s="30"/>
      <c r="U1326" s="47" t="str">
        <f aca="false">IF(AND(B1326&lt;&gt;"",B1326=SW別シート!$C$3),COUNTIF(B$5:B1326,B1326),"")</f>
        <v/>
      </c>
      <c r="V1326" s="47" t="n">
        <f aca="false">V1325+IF(OR(O1326&lt;&gt;"",W1326&lt;&gt;""),1,0)</f>
        <v>3</v>
      </c>
      <c r="W1326" s="29"/>
    </row>
    <row r="1327" customFormat="false" ht="15" hidden="false" customHeight="false" outlineLevel="0" collapsed="false">
      <c r="A1327" s="32" t="str">
        <f aca="false">IF(B1327="","",ROW()-7)</f>
        <v/>
      </c>
      <c r="B1327" s="30"/>
      <c r="C1327" s="29"/>
      <c r="D1327" s="29"/>
      <c r="E1327" s="29"/>
      <c r="F1327" s="30"/>
      <c r="G1327" s="29"/>
      <c r="H1327" s="30"/>
      <c r="I1327" s="29"/>
      <c r="J1327" s="30"/>
      <c r="K1327" s="30"/>
      <c r="L1327" s="29"/>
      <c r="M1327" s="32" t="str">
        <f aca="false">IF(OR(C1327="",L1327=""),"",IF(C1327=L1327,"同一","変更"))</f>
        <v/>
      </c>
      <c r="N1327" s="29"/>
      <c r="O1327" s="30"/>
      <c r="P1327" s="29"/>
      <c r="Q1327" s="31"/>
      <c r="R1327" s="29"/>
      <c r="S1327" s="29"/>
      <c r="T1327" s="30"/>
      <c r="U1327" s="47" t="str">
        <f aca="false">IF(AND(B1327&lt;&gt;"",B1327=SW別シート!$C$3),COUNTIF(B$5:B1327,B1327),"")</f>
        <v/>
      </c>
      <c r="V1327" s="47" t="n">
        <f aca="false">V1326+IF(OR(O1327&lt;&gt;"",W1327&lt;&gt;""),1,0)</f>
        <v>3</v>
      </c>
      <c r="W1327" s="29"/>
    </row>
    <row r="1328" customFormat="false" ht="15" hidden="false" customHeight="false" outlineLevel="0" collapsed="false">
      <c r="A1328" s="32" t="str">
        <f aca="false">IF(B1328="","",ROW()-7)</f>
        <v/>
      </c>
      <c r="B1328" s="30"/>
      <c r="C1328" s="29"/>
      <c r="D1328" s="29"/>
      <c r="E1328" s="29"/>
      <c r="F1328" s="30"/>
      <c r="G1328" s="29"/>
      <c r="H1328" s="30"/>
      <c r="I1328" s="29"/>
      <c r="J1328" s="30"/>
      <c r="K1328" s="30"/>
      <c r="L1328" s="29"/>
      <c r="M1328" s="32" t="str">
        <f aca="false">IF(OR(C1328="",L1328=""),"",IF(C1328=L1328,"同一","変更"))</f>
        <v/>
      </c>
      <c r="N1328" s="29"/>
      <c r="O1328" s="30"/>
      <c r="P1328" s="29"/>
      <c r="Q1328" s="31"/>
      <c r="R1328" s="29"/>
      <c r="S1328" s="29"/>
      <c r="T1328" s="30"/>
      <c r="U1328" s="47" t="str">
        <f aca="false">IF(AND(B1328&lt;&gt;"",B1328=SW別シート!$C$3),COUNTIF(B$5:B1328,B1328),"")</f>
        <v/>
      </c>
      <c r="V1328" s="47" t="n">
        <f aca="false">V1327+IF(OR(O1328&lt;&gt;"",W1328&lt;&gt;""),1,0)</f>
        <v>3</v>
      </c>
      <c r="W1328" s="29"/>
    </row>
    <row r="1329" customFormat="false" ht="15" hidden="false" customHeight="false" outlineLevel="0" collapsed="false">
      <c r="A1329" s="32" t="str">
        <f aca="false">IF(B1329="","",ROW()-7)</f>
        <v/>
      </c>
      <c r="B1329" s="30"/>
      <c r="C1329" s="29"/>
      <c r="D1329" s="29"/>
      <c r="E1329" s="29"/>
      <c r="F1329" s="30"/>
      <c r="G1329" s="29"/>
      <c r="H1329" s="30"/>
      <c r="I1329" s="29"/>
      <c r="J1329" s="30"/>
      <c r="K1329" s="30"/>
      <c r="L1329" s="29"/>
      <c r="M1329" s="32" t="str">
        <f aca="false">IF(OR(C1329="",L1329=""),"",IF(C1329=L1329,"同一","変更"))</f>
        <v/>
      </c>
      <c r="N1329" s="29"/>
      <c r="O1329" s="30"/>
      <c r="P1329" s="29"/>
      <c r="Q1329" s="31"/>
      <c r="R1329" s="29"/>
      <c r="S1329" s="29"/>
      <c r="T1329" s="30"/>
      <c r="U1329" s="47" t="str">
        <f aca="false">IF(AND(B1329&lt;&gt;"",B1329=SW別シート!$C$3),COUNTIF(B$5:B1329,B1329),"")</f>
        <v/>
      </c>
      <c r="V1329" s="47" t="n">
        <f aca="false">V1328+IF(OR(O1329&lt;&gt;"",W1329&lt;&gt;""),1,0)</f>
        <v>3</v>
      </c>
      <c r="W1329" s="29"/>
    </row>
    <row r="1330" customFormat="false" ht="15" hidden="false" customHeight="false" outlineLevel="0" collapsed="false">
      <c r="A1330" s="32" t="str">
        <f aca="false">IF(B1330="","",ROW()-7)</f>
        <v/>
      </c>
      <c r="B1330" s="30"/>
      <c r="C1330" s="29"/>
      <c r="D1330" s="29"/>
      <c r="E1330" s="29"/>
      <c r="F1330" s="30"/>
      <c r="G1330" s="29"/>
      <c r="H1330" s="30"/>
      <c r="I1330" s="29"/>
      <c r="J1330" s="30"/>
      <c r="K1330" s="30"/>
      <c r="L1330" s="29"/>
      <c r="M1330" s="32" t="str">
        <f aca="false">IF(OR(C1330="",L1330=""),"",IF(C1330=L1330,"同一","変更"))</f>
        <v/>
      </c>
      <c r="N1330" s="29"/>
      <c r="O1330" s="30"/>
      <c r="P1330" s="29"/>
      <c r="Q1330" s="31"/>
      <c r="R1330" s="29"/>
      <c r="S1330" s="29"/>
      <c r="T1330" s="30"/>
      <c r="U1330" s="47" t="str">
        <f aca="false">IF(AND(B1330&lt;&gt;"",B1330=SW別シート!$C$3),COUNTIF(B$5:B1330,B1330),"")</f>
        <v/>
      </c>
      <c r="V1330" s="47" t="n">
        <f aca="false">V1329+IF(OR(O1330&lt;&gt;"",W1330&lt;&gt;""),1,0)</f>
        <v>3</v>
      </c>
      <c r="W1330" s="29"/>
    </row>
    <row r="1331" customFormat="false" ht="15" hidden="false" customHeight="false" outlineLevel="0" collapsed="false">
      <c r="A1331" s="32" t="str">
        <f aca="false">IF(B1331="","",ROW()-7)</f>
        <v/>
      </c>
      <c r="B1331" s="30"/>
      <c r="C1331" s="29"/>
      <c r="D1331" s="29"/>
      <c r="E1331" s="29"/>
      <c r="F1331" s="30"/>
      <c r="G1331" s="29"/>
      <c r="H1331" s="30"/>
      <c r="I1331" s="29"/>
      <c r="J1331" s="30"/>
      <c r="K1331" s="30"/>
      <c r="L1331" s="29"/>
      <c r="M1331" s="32" t="str">
        <f aca="false">IF(OR(C1331="",L1331=""),"",IF(C1331=L1331,"同一","変更"))</f>
        <v/>
      </c>
      <c r="N1331" s="29"/>
      <c r="O1331" s="30"/>
      <c r="P1331" s="29"/>
      <c r="Q1331" s="31"/>
      <c r="R1331" s="29"/>
      <c r="S1331" s="29"/>
      <c r="T1331" s="30"/>
      <c r="U1331" s="47" t="str">
        <f aca="false">IF(AND(B1331&lt;&gt;"",B1331=SW別シート!$C$3),COUNTIF(B$5:B1331,B1331),"")</f>
        <v/>
      </c>
      <c r="V1331" s="47" t="n">
        <f aca="false">V1330+IF(OR(O1331&lt;&gt;"",W1331&lt;&gt;""),1,0)</f>
        <v>3</v>
      </c>
      <c r="W1331" s="29"/>
    </row>
    <row r="1332" customFormat="false" ht="15" hidden="false" customHeight="false" outlineLevel="0" collapsed="false">
      <c r="A1332" s="32" t="str">
        <f aca="false">IF(B1332="","",ROW()-7)</f>
        <v/>
      </c>
      <c r="B1332" s="30"/>
      <c r="C1332" s="29"/>
      <c r="D1332" s="29"/>
      <c r="E1332" s="29"/>
      <c r="F1332" s="30"/>
      <c r="G1332" s="29"/>
      <c r="H1332" s="30"/>
      <c r="I1332" s="29"/>
      <c r="J1332" s="30"/>
      <c r="K1332" s="30"/>
      <c r="L1332" s="29"/>
      <c r="M1332" s="32" t="str">
        <f aca="false">IF(OR(C1332="",L1332=""),"",IF(C1332=L1332,"同一","変更"))</f>
        <v/>
      </c>
      <c r="N1332" s="29"/>
      <c r="O1332" s="30"/>
      <c r="P1332" s="29"/>
      <c r="Q1332" s="31"/>
      <c r="R1332" s="29"/>
      <c r="S1332" s="29"/>
      <c r="T1332" s="30"/>
      <c r="U1332" s="47" t="str">
        <f aca="false">IF(AND(B1332&lt;&gt;"",B1332=SW別シート!$C$3),COUNTIF(B$5:B1332,B1332),"")</f>
        <v/>
      </c>
      <c r="V1332" s="47" t="n">
        <f aca="false">V1331+IF(OR(O1332&lt;&gt;"",W1332&lt;&gt;""),1,0)</f>
        <v>3</v>
      </c>
      <c r="W1332" s="29"/>
    </row>
    <row r="1333" customFormat="false" ht="15" hidden="false" customHeight="false" outlineLevel="0" collapsed="false">
      <c r="A1333" s="32" t="str">
        <f aca="false">IF(B1333="","",ROW()-7)</f>
        <v/>
      </c>
      <c r="B1333" s="30"/>
      <c r="C1333" s="29"/>
      <c r="D1333" s="29"/>
      <c r="E1333" s="29"/>
      <c r="F1333" s="30"/>
      <c r="G1333" s="29"/>
      <c r="H1333" s="30"/>
      <c r="I1333" s="29"/>
      <c r="J1333" s="30"/>
      <c r="K1333" s="30"/>
      <c r="L1333" s="29"/>
      <c r="M1333" s="32" t="str">
        <f aca="false">IF(OR(C1333="",L1333=""),"",IF(C1333=L1333,"同一","変更"))</f>
        <v/>
      </c>
      <c r="N1333" s="29"/>
      <c r="O1333" s="30"/>
      <c r="P1333" s="29"/>
      <c r="Q1333" s="31"/>
      <c r="R1333" s="29"/>
      <c r="S1333" s="29"/>
      <c r="T1333" s="30"/>
      <c r="U1333" s="47" t="str">
        <f aca="false">IF(AND(B1333&lt;&gt;"",B1333=SW別シート!$C$3),COUNTIF(B$5:B1333,B1333),"")</f>
        <v/>
      </c>
      <c r="V1333" s="47" t="n">
        <f aca="false">V1332+IF(OR(O1333&lt;&gt;"",W1333&lt;&gt;""),1,0)</f>
        <v>3</v>
      </c>
      <c r="W1333" s="29"/>
    </row>
    <row r="1334" customFormat="false" ht="15" hidden="false" customHeight="false" outlineLevel="0" collapsed="false">
      <c r="A1334" s="32" t="str">
        <f aca="false">IF(B1334="","",ROW()-7)</f>
        <v/>
      </c>
      <c r="B1334" s="30"/>
      <c r="C1334" s="29"/>
      <c r="D1334" s="29"/>
      <c r="E1334" s="29"/>
      <c r="F1334" s="30"/>
      <c r="G1334" s="29"/>
      <c r="H1334" s="30"/>
      <c r="I1334" s="29"/>
      <c r="J1334" s="30"/>
      <c r="K1334" s="30"/>
      <c r="L1334" s="29"/>
      <c r="M1334" s="32" t="str">
        <f aca="false">IF(OR(C1334="",L1334=""),"",IF(C1334=L1334,"同一","変更"))</f>
        <v/>
      </c>
      <c r="N1334" s="29"/>
      <c r="O1334" s="30"/>
      <c r="P1334" s="29"/>
      <c r="Q1334" s="31"/>
      <c r="R1334" s="29"/>
      <c r="S1334" s="29"/>
      <c r="T1334" s="30"/>
      <c r="U1334" s="47" t="str">
        <f aca="false">IF(AND(B1334&lt;&gt;"",B1334=SW別シート!$C$3),COUNTIF(B$5:B1334,B1334),"")</f>
        <v/>
      </c>
      <c r="V1334" s="47" t="n">
        <f aca="false">V1333+IF(OR(O1334&lt;&gt;"",W1334&lt;&gt;""),1,0)</f>
        <v>3</v>
      </c>
      <c r="W1334" s="29"/>
    </row>
    <row r="1335" customFormat="false" ht="15" hidden="false" customHeight="false" outlineLevel="0" collapsed="false">
      <c r="A1335" s="32" t="str">
        <f aca="false">IF(B1335="","",ROW()-7)</f>
        <v/>
      </c>
      <c r="B1335" s="30"/>
      <c r="C1335" s="29"/>
      <c r="D1335" s="29"/>
      <c r="E1335" s="29"/>
      <c r="F1335" s="30"/>
      <c r="G1335" s="29"/>
      <c r="H1335" s="30"/>
      <c r="I1335" s="29"/>
      <c r="J1335" s="30"/>
      <c r="K1335" s="30"/>
      <c r="L1335" s="29"/>
      <c r="M1335" s="32" t="str">
        <f aca="false">IF(OR(C1335="",L1335=""),"",IF(C1335=L1335,"同一","変更"))</f>
        <v/>
      </c>
      <c r="N1335" s="29"/>
      <c r="O1335" s="30"/>
      <c r="P1335" s="29"/>
      <c r="Q1335" s="31"/>
      <c r="R1335" s="29"/>
      <c r="S1335" s="29"/>
      <c r="T1335" s="30"/>
      <c r="U1335" s="47" t="str">
        <f aca="false">IF(AND(B1335&lt;&gt;"",B1335=SW別シート!$C$3),COUNTIF(B$5:B1335,B1335),"")</f>
        <v/>
      </c>
      <c r="V1335" s="47" t="n">
        <f aca="false">V1334+IF(OR(O1335&lt;&gt;"",W1335&lt;&gt;""),1,0)</f>
        <v>3</v>
      </c>
      <c r="W1335" s="29"/>
    </row>
    <row r="1336" customFormat="false" ht="15" hidden="false" customHeight="false" outlineLevel="0" collapsed="false">
      <c r="A1336" s="32" t="str">
        <f aca="false">IF(B1336="","",ROW()-7)</f>
        <v/>
      </c>
      <c r="B1336" s="30"/>
      <c r="C1336" s="29"/>
      <c r="D1336" s="29"/>
      <c r="E1336" s="29"/>
      <c r="F1336" s="30"/>
      <c r="G1336" s="29"/>
      <c r="H1336" s="30"/>
      <c r="I1336" s="29"/>
      <c r="J1336" s="30"/>
      <c r="K1336" s="30"/>
      <c r="L1336" s="29"/>
      <c r="M1336" s="32" t="str">
        <f aca="false">IF(OR(C1336="",L1336=""),"",IF(C1336=L1336,"同一","変更"))</f>
        <v/>
      </c>
      <c r="N1336" s="29"/>
      <c r="O1336" s="30"/>
      <c r="P1336" s="29"/>
      <c r="Q1336" s="31"/>
      <c r="R1336" s="29"/>
      <c r="S1336" s="29"/>
      <c r="T1336" s="30"/>
      <c r="U1336" s="47" t="str">
        <f aca="false">IF(AND(B1336&lt;&gt;"",B1336=SW別シート!$C$3),COUNTIF(B$5:B1336,B1336),"")</f>
        <v/>
      </c>
      <c r="V1336" s="47" t="n">
        <f aca="false">V1335+IF(OR(O1336&lt;&gt;"",W1336&lt;&gt;""),1,0)</f>
        <v>3</v>
      </c>
      <c r="W1336" s="29"/>
    </row>
    <row r="1337" customFormat="false" ht="15" hidden="false" customHeight="false" outlineLevel="0" collapsed="false">
      <c r="A1337" s="32" t="str">
        <f aca="false">IF(B1337="","",ROW()-7)</f>
        <v/>
      </c>
      <c r="B1337" s="30"/>
      <c r="C1337" s="29"/>
      <c r="D1337" s="29"/>
      <c r="E1337" s="29"/>
      <c r="F1337" s="30"/>
      <c r="G1337" s="29"/>
      <c r="H1337" s="30"/>
      <c r="I1337" s="29"/>
      <c r="J1337" s="30"/>
      <c r="K1337" s="30"/>
      <c r="L1337" s="29"/>
      <c r="M1337" s="32" t="str">
        <f aca="false">IF(OR(C1337="",L1337=""),"",IF(C1337=L1337,"同一","変更"))</f>
        <v/>
      </c>
      <c r="N1337" s="29"/>
      <c r="O1337" s="30"/>
      <c r="P1337" s="29"/>
      <c r="Q1337" s="31"/>
      <c r="R1337" s="29"/>
      <c r="S1337" s="29"/>
      <c r="T1337" s="30"/>
      <c r="U1337" s="47" t="str">
        <f aca="false">IF(AND(B1337&lt;&gt;"",B1337=SW別シート!$C$3),COUNTIF(B$5:B1337,B1337),"")</f>
        <v/>
      </c>
      <c r="V1337" s="47" t="n">
        <f aca="false">V1336+IF(OR(O1337&lt;&gt;"",W1337&lt;&gt;""),1,0)</f>
        <v>3</v>
      </c>
      <c r="W1337" s="29"/>
    </row>
    <row r="1338" customFormat="false" ht="15" hidden="false" customHeight="false" outlineLevel="0" collapsed="false">
      <c r="A1338" s="32" t="str">
        <f aca="false">IF(B1338="","",ROW()-7)</f>
        <v/>
      </c>
      <c r="B1338" s="30"/>
      <c r="C1338" s="29"/>
      <c r="D1338" s="29"/>
      <c r="E1338" s="29"/>
      <c r="F1338" s="30"/>
      <c r="G1338" s="29"/>
      <c r="H1338" s="30"/>
      <c r="I1338" s="29"/>
      <c r="J1338" s="30"/>
      <c r="K1338" s="30"/>
      <c r="L1338" s="29"/>
      <c r="M1338" s="32" t="str">
        <f aca="false">IF(OR(C1338="",L1338=""),"",IF(C1338=L1338,"同一","変更"))</f>
        <v/>
      </c>
      <c r="N1338" s="29"/>
      <c r="O1338" s="30"/>
      <c r="P1338" s="29"/>
      <c r="Q1338" s="31"/>
      <c r="R1338" s="29"/>
      <c r="S1338" s="29"/>
      <c r="T1338" s="30"/>
      <c r="U1338" s="47" t="str">
        <f aca="false">IF(AND(B1338&lt;&gt;"",B1338=SW別シート!$C$3),COUNTIF(B$5:B1338,B1338),"")</f>
        <v/>
      </c>
      <c r="V1338" s="47" t="n">
        <f aca="false">V1337+IF(OR(O1338&lt;&gt;"",W1338&lt;&gt;""),1,0)</f>
        <v>3</v>
      </c>
      <c r="W1338" s="29"/>
    </row>
    <row r="1339" customFormat="false" ht="15" hidden="false" customHeight="false" outlineLevel="0" collapsed="false">
      <c r="A1339" s="32" t="str">
        <f aca="false">IF(B1339="","",ROW()-7)</f>
        <v/>
      </c>
      <c r="B1339" s="30"/>
      <c r="C1339" s="29"/>
      <c r="D1339" s="29"/>
      <c r="E1339" s="29"/>
      <c r="F1339" s="30"/>
      <c r="G1339" s="29"/>
      <c r="H1339" s="30"/>
      <c r="I1339" s="29"/>
      <c r="J1339" s="30"/>
      <c r="K1339" s="30"/>
      <c r="L1339" s="29"/>
      <c r="M1339" s="32" t="str">
        <f aca="false">IF(OR(C1339="",L1339=""),"",IF(C1339=L1339,"同一","変更"))</f>
        <v/>
      </c>
      <c r="N1339" s="29"/>
      <c r="O1339" s="30"/>
      <c r="P1339" s="29"/>
      <c r="Q1339" s="31"/>
      <c r="R1339" s="29"/>
      <c r="S1339" s="29"/>
      <c r="T1339" s="30"/>
      <c r="U1339" s="47" t="str">
        <f aca="false">IF(AND(B1339&lt;&gt;"",B1339=SW別シート!$C$3),COUNTIF(B$5:B1339,B1339),"")</f>
        <v/>
      </c>
      <c r="V1339" s="47" t="n">
        <f aca="false">V1338+IF(OR(O1339&lt;&gt;"",W1339&lt;&gt;""),1,0)</f>
        <v>3</v>
      </c>
      <c r="W1339" s="29"/>
    </row>
    <row r="1340" customFormat="false" ht="15" hidden="false" customHeight="false" outlineLevel="0" collapsed="false">
      <c r="A1340" s="32" t="str">
        <f aca="false">IF(B1340="","",ROW()-7)</f>
        <v/>
      </c>
      <c r="B1340" s="30"/>
      <c r="C1340" s="29"/>
      <c r="D1340" s="29"/>
      <c r="E1340" s="29"/>
      <c r="F1340" s="30"/>
      <c r="G1340" s="29"/>
      <c r="H1340" s="30"/>
      <c r="I1340" s="29"/>
      <c r="J1340" s="30"/>
      <c r="K1340" s="30"/>
      <c r="L1340" s="29"/>
      <c r="M1340" s="32" t="str">
        <f aca="false">IF(OR(C1340="",L1340=""),"",IF(C1340=L1340,"同一","変更"))</f>
        <v/>
      </c>
      <c r="N1340" s="29"/>
      <c r="O1340" s="30"/>
      <c r="P1340" s="29"/>
      <c r="Q1340" s="31"/>
      <c r="R1340" s="29"/>
      <c r="S1340" s="29"/>
      <c r="T1340" s="30"/>
      <c r="U1340" s="47" t="str">
        <f aca="false">IF(AND(B1340&lt;&gt;"",B1340=SW別シート!$C$3),COUNTIF(B$5:B1340,B1340),"")</f>
        <v/>
      </c>
      <c r="V1340" s="47" t="n">
        <f aca="false">V1339+IF(OR(O1340&lt;&gt;"",W1340&lt;&gt;""),1,0)</f>
        <v>3</v>
      </c>
      <c r="W1340" s="29"/>
    </row>
    <row r="1341" customFormat="false" ht="15" hidden="false" customHeight="false" outlineLevel="0" collapsed="false">
      <c r="A1341" s="32" t="str">
        <f aca="false">IF(B1341="","",ROW()-7)</f>
        <v/>
      </c>
      <c r="B1341" s="30"/>
      <c r="C1341" s="29"/>
      <c r="D1341" s="29"/>
      <c r="E1341" s="29"/>
      <c r="F1341" s="30"/>
      <c r="G1341" s="29"/>
      <c r="H1341" s="30"/>
      <c r="I1341" s="29"/>
      <c r="J1341" s="30"/>
      <c r="K1341" s="30"/>
      <c r="L1341" s="29"/>
      <c r="M1341" s="32" t="str">
        <f aca="false">IF(OR(C1341="",L1341=""),"",IF(C1341=L1341,"同一","変更"))</f>
        <v/>
      </c>
      <c r="N1341" s="29"/>
      <c r="O1341" s="30"/>
      <c r="P1341" s="29"/>
      <c r="Q1341" s="31"/>
      <c r="R1341" s="29"/>
      <c r="S1341" s="29"/>
      <c r="T1341" s="30"/>
      <c r="U1341" s="47" t="str">
        <f aca="false">IF(AND(B1341&lt;&gt;"",B1341=SW別シート!$C$3),COUNTIF(B$5:B1341,B1341),"")</f>
        <v/>
      </c>
      <c r="V1341" s="47" t="n">
        <f aca="false">V1340+IF(OR(O1341&lt;&gt;"",W1341&lt;&gt;""),1,0)</f>
        <v>3</v>
      </c>
      <c r="W1341" s="29"/>
    </row>
    <row r="1342" customFormat="false" ht="15" hidden="false" customHeight="false" outlineLevel="0" collapsed="false">
      <c r="A1342" s="32" t="str">
        <f aca="false">IF(B1342="","",ROW()-7)</f>
        <v/>
      </c>
      <c r="B1342" s="30"/>
      <c r="C1342" s="29"/>
      <c r="D1342" s="29"/>
      <c r="E1342" s="29"/>
      <c r="F1342" s="30"/>
      <c r="G1342" s="29"/>
      <c r="H1342" s="30"/>
      <c r="I1342" s="29"/>
      <c r="J1342" s="30"/>
      <c r="K1342" s="30"/>
      <c r="L1342" s="29"/>
      <c r="M1342" s="32" t="str">
        <f aca="false">IF(OR(C1342="",L1342=""),"",IF(C1342=L1342,"同一","変更"))</f>
        <v/>
      </c>
      <c r="N1342" s="29"/>
      <c r="O1342" s="30"/>
      <c r="P1342" s="29"/>
      <c r="Q1342" s="31"/>
      <c r="R1342" s="29"/>
      <c r="S1342" s="29"/>
      <c r="T1342" s="30"/>
      <c r="U1342" s="47" t="str">
        <f aca="false">IF(AND(B1342&lt;&gt;"",B1342=SW別シート!$C$3),COUNTIF(B$5:B1342,B1342),"")</f>
        <v/>
      </c>
      <c r="V1342" s="47" t="n">
        <f aca="false">V1341+IF(OR(O1342&lt;&gt;"",W1342&lt;&gt;""),1,0)</f>
        <v>3</v>
      </c>
      <c r="W1342" s="29"/>
    </row>
    <row r="1343" customFormat="false" ht="15" hidden="false" customHeight="false" outlineLevel="0" collapsed="false">
      <c r="A1343" s="32" t="str">
        <f aca="false">IF(B1343="","",ROW()-7)</f>
        <v/>
      </c>
      <c r="B1343" s="30"/>
      <c r="C1343" s="29"/>
      <c r="D1343" s="29"/>
      <c r="E1343" s="29"/>
      <c r="F1343" s="30"/>
      <c r="G1343" s="29"/>
      <c r="H1343" s="30"/>
      <c r="I1343" s="29"/>
      <c r="J1343" s="30"/>
      <c r="K1343" s="30"/>
      <c r="L1343" s="29"/>
      <c r="M1343" s="32" t="str">
        <f aca="false">IF(OR(C1343="",L1343=""),"",IF(C1343=L1343,"同一","変更"))</f>
        <v/>
      </c>
      <c r="N1343" s="29"/>
      <c r="O1343" s="30"/>
      <c r="P1343" s="29"/>
      <c r="Q1343" s="31"/>
      <c r="R1343" s="29"/>
      <c r="S1343" s="29"/>
      <c r="T1343" s="30"/>
      <c r="U1343" s="47" t="str">
        <f aca="false">IF(AND(B1343&lt;&gt;"",B1343=SW別シート!$C$3),COUNTIF(B$5:B1343,B1343),"")</f>
        <v/>
      </c>
      <c r="V1343" s="47" t="n">
        <f aca="false">V1342+IF(OR(O1343&lt;&gt;"",W1343&lt;&gt;""),1,0)</f>
        <v>3</v>
      </c>
      <c r="W1343" s="29"/>
    </row>
    <row r="1344" customFormat="false" ht="15" hidden="false" customHeight="false" outlineLevel="0" collapsed="false">
      <c r="A1344" s="32" t="str">
        <f aca="false">IF(B1344="","",ROW()-7)</f>
        <v/>
      </c>
      <c r="B1344" s="30"/>
      <c r="C1344" s="29"/>
      <c r="D1344" s="29"/>
      <c r="E1344" s="29"/>
      <c r="F1344" s="30"/>
      <c r="G1344" s="29"/>
      <c r="H1344" s="30"/>
      <c r="I1344" s="29"/>
      <c r="J1344" s="30"/>
      <c r="K1344" s="30"/>
      <c r="L1344" s="29"/>
      <c r="M1344" s="32" t="str">
        <f aca="false">IF(OR(C1344="",L1344=""),"",IF(C1344=L1344,"同一","変更"))</f>
        <v/>
      </c>
      <c r="N1344" s="29"/>
      <c r="O1344" s="30"/>
      <c r="P1344" s="29"/>
      <c r="Q1344" s="31"/>
      <c r="R1344" s="29"/>
      <c r="S1344" s="29"/>
      <c r="T1344" s="30"/>
      <c r="U1344" s="47" t="str">
        <f aca="false">IF(AND(B1344&lt;&gt;"",B1344=SW別シート!$C$3),COUNTIF(B$5:B1344,B1344),"")</f>
        <v/>
      </c>
      <c r="V1344" s="47" t="n">
        <f aca="false">V1343+IF(OR(O1344&lt;&gt;"",W1344&lt;&gt;""),1,0)</f>
        <v>3</v>
      </c>
      <c r="W1344" s="29"/>
    </row>
    <row r="1345" customFormat="false" ht="15" hidden="false" customHeight="false" outlineLevel="0" collapsed="false">
      <c r="A1345" s="32" t="str">
        <f aca="false">IF(B1345="","",ROW()-7)</f>
        <v/>
      </c>
      <c r="B1345" s="30"/>
      <c r="C1345" s="29"/>
      <c r="D1345" s="29"/>
      <c r="E1345" s="29"/>
      <c r="F1345" s="30"/>
      <c r="G1345" s="29"/>
      <c r="H1345" s="30"/>
      <c r="I1345" s="29"/>
      <c r="J1345" s="30"/>
      <c r="K1345" s="30"/>
      <c r="L1345" s="29"/>
      <c r="M1345" s="32" t="str">
        <f aca="false">IF(OR(C1345="",L1345=""),"",IF(C1345=L1345,"同一","変更"))</f>
        <v/>
      </c>
      <c r="N1345" s="29"/>
      <c r="O1345" s="30"/>
      <c r="P1345" s="29"/>
      <c r="Q1345" s="31"/>
      <c r="R1345" s="29"/>
      <c r="S1345" s="29"/>
      <c r="T1345" s="30"/>
      <c r="U1345" s="47" t="str">
        <f aca="false">IF(AND(B1345&lt;&gt;"",B1345=SW別シート!$C$3),COUNTIF(B$5:B1345,B1345),"")</f>
        <v/>
      </c>
      <c r="V1345" s="47" t="n">
        <f aca="false">V1344+IF(OR(O1345&lt;&gt;"",W1345&lt;&gt;""),1,0)</f>
        <v>3</v>
      </c>
      <c r="W1345" s="29"/>
    </row>
    <row r="1346" customFormat="false" ht="15" hidden="false" customHeight="false" outlineLevel="0" collapsed="false">
      <c r="A1346" s="32" t="str">
        <f aca="false">IF(B1346="","",ROW()-7)</f>
        <v/>
      </c>
      <c r="B1346" s="30"/>
      <c r="C1346" s="29"/>
      <c r="D1346" s="29"/>
      <c r="E1346" s="29"/>
      <c r="F1346" s="30"/>
      <c r="G1346" s="29"/>
      <c r="H1346" s="30"/>
      <c r="I1346" s="29"/>
      <c r="J1346" s="30"/>
      <c r="K1346" s="30"/>
      <c r="L1346" s="29"/>
      <c r="M1346" s="32" t="str">
        <f aca="false">IF(OR(C1346="",L1346=""),"",IF(C1346=L1346,"同一","変更"))</f>
        <v/>
      </c>
      <c r="N1346" s="29"/>
      <c r="O1346" s="30"/>
      <c r="P1346" s="29"/>
      <c r="Q1346" s="31"/>
      <c r="R1346" s="29"/>
      <c r="S1346" s="29"/>
      <c r="T1346" s="30"/>
      <c r="U1346" s="47" t="str">
        <f aca="false">IF(AND(B1346&lt;&gt;"",B1346=SW別シート!$C$3),COUNTIF(B$5:B1346,B1346),"")</f>
        <v/>
      </c>
      <c r="V1346" s="47" t="n">
        <f aca="false">V1345+IF(OR(O1346&lt;&gt;"",W1346&lt;&gt;""),1,0)</f>
        <v>3</v>
      </c>
      <c r="W1346" s="29"/>
    </row>
    <row r="1347" customFormat="false" ht="15" hidden="false" customHeight="false" outlineLevel="0" collapsed="false">
      <c r="A1347" s="32" t="str">
        <f aca="false">IF(B1347="","",ROW()-7)</f>
        <v/>
      </c>
      <c r="B1347" s="30"/>
      <c r="C1347" s="29"/>
      <c r="D1347" s="29"/>
      <c r="E1347" s="29"/>
      <c r="F1347" s="30"/>
      <c r="G1347" s="29"/>
      <c r="H1347" s="30"/>
      <c r="I1347" s="29"/>
      <c r="J1347" s="30"/>
      <c r="K1347" s="30"/>
      <c r="L1347" s="29"/>
      <c r="M1347" s="32" t="str">
        <f aca="false">IF(OR(C1347="",L1347=""),"",IF(C1347=L1347,"同一","変更"))</f>
        <v/>
      </c>
      <c r="N1347" s="29"/>
      <c r="O1347" s="30"/>
      <c r="P1347" s="29"/>
      <c r="Q1347" s="31"/>
      <c r="R1347" s="29"/>
      <c r="S1347" s="29"/>
      <c r="T1347" s="30"/>
      <c r="U1347" s="47" t="str">
        <f aca="false">IF(AND(B1347&lt;&gt;"",B1347=SW別シート!$C$3),COUNTIF(B$5:B1347,B1347),"")</f>
        <v/>
      </c>
      <c r="V1347" s="47" t="n">
        <f aca="false">V1346+IF(OR(O1347&lt;&gt;"",W1347&lt;&gt;""),1,0)</f>
        <v>3</v>
      </c>
      <c r="W1347" s="29"/>
    </row>
    <row r="1348" customFormat="false" ht="15" hidden="false" customHeight="false" outlineLevel="0" collapsed="false">
      <c r="A1348" s="32" t="str">
        <f aca="false">IF(B1348="","",ROW()-7)</f>
        <v/>
      </c>
      <c r="B1348" s="30"/>
      <c r="C1348" s="29"/>
      <c r="D1348" s="29"/>
      <c r="E1348" s="29"/>
      <c r="F1348" s="30"/>
      <c r="G1348" s="29"/>
      <c r="H1348" s="30"/>
      <c r="I1348" s="29"/>
      <c r="J1348" s="30"/>
      <c r="K1348" s="30"/>
      <c r="L1348" s="29"/>
      <c r="M1348" s="32" t="str">
        <f aca="false">IF(OR(C1348="",L1348=""),"",IF(C1348=L1348,"同一","変更"))</f>
        <v/>
      </c>
      <c r="N1348" s="29"/>
      <c r="O1348" s="30"/>
      <c r="P1348" s="29"/>
      <c r="Q1348" s="31"/>
      <c r="R1348" s="29"/>
      <c r="S1348" s="29"/>
      <c r="T1348" s="30"/>
      <c r="U1348" s="47" t="str">
        <f aca="false">IF(AND(B1348&lt;&gt;"",B1348=SW別シート!$C$3),COUNTIF(B$5:B1348,B1348),"")</f>
        <v/>
      </c>
      <c r="V1348" s="47" t="n">
        <f aca="false">V1347+IF(OR(O1348&lt;&gt;"",W1348&lt;&gt;""),1,0)</f>
        <v>3</v>
      </c>
      <c r="W1348" s="29"/>
    </row>
    <row r="1349" customFormat="false" ht="15" hidden="false" customHeight="false" outlineLevel="0" collapsed="false">
      <c r="A1349" s="32" t="str">
        <f aca="false">IF(B1349="","",ROW()-7)</f>
        <v/>
      </c>
      <c r="B1349" s="30"/>
      <c r="C1349" s="29"/>
      <c r="D1349" s="29"/>
      <c r="E1349" s="29"/>
      <c r="F1349" s="30"/>
      <c r="G1349" s="29"/>
      <c r="H1349" s="30"/>
      <c r="I1349" s="29"/>
      <c r="J1349" s="30"/>
      <c r="K1349" s="30"/>
      <c r="L1349" s="29"/>
      <c r="M1349" s="32" t="str">
        <f aca="false">IF(OR(C1349="",L1349=""),"",IF(C1349=L1349,"同一","変更"))</f>
        <v/>
      </c>
      <c r="N1349" s="29"/>
      <c r="O1349" s="30"/>
      <c r="P1349" s="29"/>
      <c r="Q1349" s="31"/>
      <c r="R1349" s="29"/>
      <c r="S1349" s="29"/>
      <c r="T1349" s="30"/>
      <c r="U1349" s="47" t="str">
        <f aca="false">IF(AND(B1349&lt;&gt;"",B1349=SW別シート!$C$3),COUNTIF(B$5:B1349,B1349),"")</f>
        <v/>
      </c>
      <c r="V1349" s="47" t="n">
        <f aca="false">V1348+IF(OR(O1349&lt;&gt;"",W1349&lt;&gt;""),1,0)</f>
        <v>3</v>
      </c>
      <c r="W1349" s="29"/>
    </row>
    <row r="1350" customFormat="false" ht="15" hidden="false" customHeight="false" outlineLevel="0" collapsed="false">
      <c r="A1350" s="32" t="str">
        <f aca="false">IF(B1350="","",ROW()-7)</f>
        <v/>
      </c>
      <c r="B1350" s="30"/>
      <c r="C1350" s="29"/>
      <c r="D1350" s="29"/>
      <c r="E1350" s="29"/>
      <c r="F1350" s="30"/>
      <c r="G1350" s="29"/>
      <c r="H1350" s="30"/>
      <c r="I1350" s="29"/>
      <c r="J1350" s="30"/>
      <c r="K1350" s="30"/>
      <c r="L1350" s="29"/>
      <c r="M1350" s="32" t="str">
        <f aca="false">IF(OR(C1350="",L1350=""),"",IF(C1350=L1350,"同一","変更"))</f>
        <v/>
      </c>
      <c r="N1350" s="29"/>
      <c r="O1350" s="30"/>
      <c r="P1350" s="29"/>
      <c r="Q1350" s="31"/>
      <c r="R1350" s="29"/>
      <c r="S1350" s="29"/>
      <c r="T1350" s="30"/>
      <c r="U1350" s="47" t="str">
        <f aca="false">IF(AND(B1350&lt;&gt;"",B1350=SW別シート!$C$3),COUNTIF(B$5:B1350,B1350),"")</f>
        <v/>
      </c>
      <c r="V1350" s="47" t="n">
        <f aca="false">V1349+IF(OR(O1350&lt;&gt;"",W1350&lt;&gt;""),1,0)</f>
        <v>3</v>
      </c>
      <c r="W1350" s="29"/>
    </row>
    <row r="1351" customFormat="false" ht="15" hidden="false" customHeight="false" outlineLevel="0" collapsed="false">
      <c r="A1351" s="32" t="str">
        <f aca="false">IF(B1351="","",ROW()-7)</f>
        <v/>
      </c>
      <c r="B1351" s="30"/>
      <c r="C1351" s="29"/>
      <c r="D1351" s="29"/>
      <c r="E1351" s="29"/>
      <c r="F1351" s="30"/>
      <c r="G1351" s="29"/>
      <c r="H1351" s="30"/>
      <c r="I1351" s="29"/>
      <c r="J1351" s="30"/>
      <c r="K1351" s="30"/>
      <c r="L1351" s="29"/>
      <c r="M1351" s="32" t="str">
        <f aca="false">IF(OR(C1351="",L1351=""),"",IF(C1351=L1351,"同一","変更"))</f>
        <v/>
      </c>
      <c r="N1351" s="29"/>
      <c r="O1351" s="30"/>
      <c r="P1351" s="29"/>
      <c r="Q1351" s="31"/>
      <c r="R1351" s="29"/>
      <c r="S1351" s="29"/>
      <c r="T1351" s="30"/>
      <c r="U1351" s="47" t="str">
        <f aca="false">IF(AND(B1351&lt;&gt;"",B1351=SW別シート!$C$3),COUNTIF(B$5:B1351,B1351),"")</f>
        <v/>
      </c>
      <c r="V1351" s="47" t="n">
        <f aca="false">V1350+IF(OR(O1351&lt;&gt;"",W1351&lt;&gt;""),1,0)</f>
        <v>3</v>
      </c>
      <c r="W1351" s="29"/>
    </row>
    <row r="1352" customFormat="false" ht="15" hidden="false" customHeight="false" outlineLevel="0" collapsed="false">
      <c r="A1352" s="32" t="str">
        <f aca="false">IF(B1352="","",ROW()-7)</f>
        <v/>
      </c>
      <c r="B1352" s="30"/>
      <c r="C1352" s="29"/>
      <c r="D1352" s="29"/>
      <c r="E1352" s="29"/>
      <c r="F1352" s="30"/>
      <c r="G1352" s="29"/>
      <c r="H1352" s="30"/>
      <c r="I1352" s="29"/>
      <c r="J1352" s="30"/>
      <c r="K1352" s="30"/>
      <c r="L1352" s="29"/>
      <c r="M1352" s="32" t="str">
        <f aca="false">IF(OR(C1352="",L1352=""),"",IF(C1352=L1352,"同一","変更"))</f>
        <v/>
      </c>
      <c r="N1352" s="29"/>
      <c r="O1352" s="30"/>
      <c r="P1352" s="29"/>
      <c r="Q1352" s="31"/>
      <c r="R1352" s="29"/>
      <c r="S1352" s="29"/>
      <c r="T1352" s="30"/>
      <c r="U1352" s="47" t="str">
        <f aca="false">IF(AND(B1352&lt;&gt;"",B1352=SW別シート!$C$3),COUNTIF(B$5:B1352,B1352),"")</f>
        <v/>
      </c>
      <c r="V1352" s="47" t="n">
        <f aca="false">V1351+IF(OR(O1352&lt;&gt;"",W1352&lt;&gt;""),1,0)</f>
        <v>3</v>
      </c>
      <c r="W1352" s="29"/>
    </row>
    <row r="1353" customFormat="false" ht="15" hidden="false" customHeight="false" outlineLevel="0" collapsed="false">
      <c r="A1353" s="32" t="str">
        <f aca="false">IF(B1353="","",ROW()-7)</f>
        <v/>
      </c>
      <c r="B1353" s="30"/>
      <c r="C1353" s="29"/>
      <c r="D1353" s="29"/>
      <c r="E1353" s="29"/>
      <c r="F1353" s="30"/>
      <c r="G1353" s="29"/>
      <c r="H1353" s="30"/>
      <c r="I1353" s="29"/>
      <c r="J1353" s="30"/>
      <c r="K1353" s="30"/>
      <c r="L1353" s="29"/>
      <c r="M1353" s="32" t="str">
        <f aca="false">IF(OR(C1353="",L1353=""),"",IF(C1353=L1353,"同一","変更"))</f>
        <v/>
      </c>
      <c r="N1353" s="29"/>
      <c r="O1353" s="30"/>
      <c r="P1353" s="29"/>
      <c r="Q1353" s="31"/>
      <c r="R1353" s="29"/>
      <c r="S1353" s="29"/>
      <c r="T1353" s="30"/>
      <c r="U1353" s="47" t="str">
        <f aca="false">IF(AND(B1353&lt;&gt;"",B1353=SW別シート!$C$3),COUNTIF(B$5:B1353,B1353),"")</f>
        <v/>
      </c>
      <c r="V1353" s="47" t="n">
        <f aca="false">V1352+IF(OR(O1353&lt;&gt;"",W1353&lt;&gt;""),1,0)</f>
        <v>3</v>
      </c>
      <c r="W1353" s="29"/>
    </row>
    <row r="1354" customFormat="false" ht="15" hidden="false" customHeight="false" outlineLevel="0" collapsed="false">
      <c r="A1354" s="32" t="str">
        <f aca="false">IF(B1354="","",ROW()-7)</f>
        <v/>
      </c>
      <c r="B1354" s="30"/>
      <c r="C1354" s="29"/>
      <c r="D1354" s="29"/>
      <c r="E1354" s="29"/>
      <c r="F1354" s="30"/>
      <c r="G1354" s="29"/>
      <c r="H1354" s="30"/>
      <c r="I1354" s="29"/>
      <c r="J1354" s="30"/>
      <c r="K1354" s="30"/>
      <c r="L1354" s="29"/>
      <c r="M1354" s="32" t="str">
        <f aca="false">IF(OR(C1354="",L1354=""),"",IF(C1354=L1354,"同一","変更"))</f>
        <v/>
      </c>
      <c r="N1354" s="29"/>
      <c r="O1354" s="30"/>
      <c r="P1354" s="29"/>
      <c r="Q1354" s="31"/>
      <c r="R1354" s="29"/>
      <c r="S1354" s="29"/>
      <c r="T1354" s="30"/>
      <c r="U1354" s="47" t="str">
        <f aca="false">IF(AND(B1354&lt;&gt;"",B1354=SW別シート!$C$3),COUNTIF(B$5:B1354,B1354),"")</f>
        <v/>
      </c>
      <c r="V1354" s="47" t="n">
        <f aca="false">V1353+IF(OR(O1354&lt;&gt;"",W1354&lt;&gt;""),1,0)</f>
        <v>3</v>
      </c>
      <c r="W1354" s="29"/>
    </row>
    <row r="1355" customFormat="false" ht="15" hidden="false" customHeight="false" outlineLevel="0" collapsed="false">
      <c r="A1355" s="32" t="str">
        <f aca="false">IF(B1355="","",ROW()-7)</f>
        <v/>
      </c>
      <c r="B1355" s="30"/>
      <c r="C1355" s="29"/>
      <c r="D1355" s="29"/>
      <c r="E1355" s="29"/>
      <c r="F1355" s="30"/>
      <c r="G1355" s="29"/>
      <c r="H1355" s="30"/>
      <c r="I1355" s="29"/>
      <c r="J1355" s="30"/>
      <c r="K1355" s="30"/>
      <c r="L1355" s="29"/>
      <c r="M1355" s="32" t="str">
        <f aca="false">IF(OR(C1355="",L1355=""),"",IF(C1355=L1355,"同一","変更"))</f>
        <v/>
      </c>
      <c r="N1355" s="29"/>
      <c r="O1355" s="30"/>
      <c r="P1355" s="29"/>
      <c r="Q1355" s="31"/>
      <c r="R1355" s="29"/>
      <c r="S1355" s="29"/>
      <c r="T1355" s="30"/>
      <c r="U1355" s="47" t="str">
        <f aca="false">IF(AND(B1355&lt;&gt;"",B1355=SW別シート!$C$3),COUNTIF(B$5:B1355,B1355),"")</f>
        <v/>
      </c>
      <c r="V1355" s="47" t="n">
        <f aca="false">V1354+IF(OR(O1355&lt;&gt;"",W1355&lt;&gt;""),1,0)</f>
        <v>3</v>
      </c>
      <c r="W1355" s="29"/>
    </row>
    <row r="1356" customFormat="false" ht="15" hidden="false" customHeight="false" outlineLevel="0" collapsed="false">
      <c r="A1356" s="32" t="str">
        <f aca="false">IF(B1356="","",ROW()-7)</f>
        <v/>
      </c>
      <c r="B1356" s="30"/>
      <c r="C1356" s="29"/>
      <c r="D1356" s="29"/>
      <c r="E1356" s="29"/>
      <c r="F1356" s="30"/>
      <c r="G1356" s="29"/>
      <c r="H1356" s="30"/>
      <c r="I1356" s="29"/>
      <c r="J1356" s="30"/>
      <c r="K1356" s="30"/>
      <c r="L1356" s="29"/>
      <c r="M1356" s="32" t="str">
        <f aca="false">IF(OR(C1356="",L1356=""),"",IF(C1356=L1356,"同一","変更"))</f>
        <v/>
      </c>
      <c r="N1356" s="29"/>
      <c r="O1356" s="30"/>
      <c r="P1356" s="29"/>
      <c r="Q1356" s="31"/>
      <c r="R1356" s="29"/>
      <c r="S1356" s="29"/>
      <c r="T1356" s="30"/>
      <c r="U1356" s="47" t="str">
        <f aca="false">IF(AND(B1356&lt;&gt;"",B1356=SW別シート!$C$3),COUNTIF(B$5:B1356,B1356),"")</f>
        <v/>
      </c>
      <c r="V1356" s="47" t="n">
        <f aca="false">V1355+IF(OR(O1356&lt;&gt;"",W1356&lt;&gt;""),1,0)</f>
        <v>3</v>
      </c>
      <c r="W1356" s="29"/>
    </row>
    <row r="1357" customFormat="false" ht="15" hidden="false" customHeight="false" outlineLevel="0" collapsed="false">
      <c r="A1357" s="32" t="str">
        <f aca="false">IF(B1357="","",ROW()-7)</f>
        <v/>
      </c>
      <c r="B1357" s="30"/>
      <c r="C1357" s="29"/>
      <c r="D1357" s="29"/>
      <c r="E1357" s="29"/>
      <c r="F1357" s="30"/>
      <c r="G1357" s="29"/>
      <c r="H1357" s="30"/>
      <c r="I1357" s="29"/>
      <c r="J1357" s="30"/>
      <c r="K1357" s="30"/>
      <c r="L1357" s="29"/>
      <c r="M1357" s="32" t="str">
        <f aca="false">IF(OR(C1357="",L1357=""),"",IF(C1357=L1357,"同一","変更"))</f>
        <v/>
      </c>
      <c r="N1357" s="29"/>
      <c r="O1357" s="30"/>
      <c r="P1357" s="29"/>
      <c r="Q1357" s="31"/>
      <c r="R1357" s="29"/>
      <c r="S1357" s="29"/>
      <c r="T1357" s="30"/>
      <c r="U1357" s="47" t="str">
        <f aca="false">IF(AND(B1357&lt;&gt;"",B1357=SW別シート!$C$3),COUNTIF(B$5:B1357,B1357),"")</f>
        <v/>
      </c>
      <c r="V1357" s="47" t="n">
        <f aca="false">V1356+IF(OR(O1357&lt;&gt;"",W1357&lt;&gt;""),1,0)</f>
        <v>3</v>
      </c>
      <c r="W1357" s="29"/>
    </row>
    <row r="1358" customFormat="false" ht="15" hidden="false" customHeight="false" outlineLevel="0" collapsed="false">
      <c r="A1358" s="32" t="str">
        <f aca="false">IF(B1358="","",ROW()-7)</f>
        <v/>
      </c>
      <c r="B1358" s="30"/>
      <c r="C1358" s="29"/>
      <c r="D1358" s="29"/>
      <c r="E1358" s="29"/>
      <c r="F1358" s="30"/>
      <c r="G1358" s="29"/>
      <c r="H1358" s="30"/>
      <c r="I1358" s="29"/>
      <c r="J1358" s="30"/>
      <c r="K1358" s="30"/>
      <c r="L1358" s="29"/>
      <c r="M1358" s="32" t="str">
        <f aca="false">IF(OR(C1358="",L1358=""),"",IF(C1358=L1358,"同一","変更"))</f>
        <v/>
      </c>
      <c r="N1358" s="29"/>
      <c r="O1358" s="30"/>
      <c r="P1358" s="29"/>
      <c r="Q1358" s="31"/>
      <c r="R1358" s="29"/>
      <c r="S1358" s="29"/>
      <c r="T1358" s="30"/>
      <c r="U1358" s="47" t="str">
        <f aca="false">IF(AND(B1358&lt;&gt;"",B1358=SW別シート!$C$3),COUNTIF(B$5:B1358,B1358),"")</f>
        <v/>
      </c>
      <c r="V1358" s="47" t="n">
        <f aca="false">V1357+IF(OR(O1358&lt;&gt;"",W1358&lt;&gt;""),1,0)</f>
        <v>3</v>
      </c>
      <c r="W1358" s="29"/>
    </row>
    <row r="1359" customFormat="false" ht="15" hidden="false" customHeight="false" outlineLevel="0" collapsed="false">
      <c r="A1359" s="32" t="str">
        <f aca="false">IF(B1359="","",ROW()-7)</f>
        <v/>
      </c>
      <c r="B1359" s="30"/>
      <c r="C1359" s="29"/>
      <c r="D1359" s="29"/>
      <c r="E1359" s="29"/>
      <c r="F1359" s="30"/>
      <c r="G1359" s="29"/>
      <c r="H1359" s="30"/>
      <c r="I1359" s="29"/>
      <c r="J1359" s="30"/>
      <c r="K1359" s="30"/>
      <c r="L1359" s="29"/>
      <c r="M1359" s="32" t="str">
        <f aca="false">IF(OR(C1359="",L1359=""),"",IF(C1359=L1359,"同一","変更"))</f>
        <v/>
      </c>
      <c r="N1359" s="29"/>
      <c r="O1359" s="30"/>
      <c r="P1359" s="29"/>
      <c r="Q1359" s="31"/>
      <c r="R1359" s="29"/>
      <c r="S1359" s="29"/>
      <c r="T1359" s="30"/>
      <c r="U1359" s="47" t="str">
        <f aca="false">IF(AND(B1359&lt;&gt;"",B1359=SW別シート!$C$3),COUNTIF(B$5:B1359,B1359),"")</f>
        <v/>
      </c>
      <c r="V1359" s="47" t="n">
        <f aca="false">V1358+IF(OR(O1359&lt;&gt;"",W1359&lt;&gt;""),1,0)</f>
        <v>3</v>
      </c>
      <c r="W1359" s="29"/>
    </row>
    <row r="1360" customFormat="false" ht="15" hidden="false" customHeight="false" outlineLevel="0" collapsed="false">
      <c r="A1360" s="32" t="str">
        <f aca="false">IF(B1360="","",ROW()-7)</f>
        <v/>
      </c>
      <c r="B1360" s="30"/>
      <c r="C1360" s="29"/>
      <c r="D1360" s="29"/>
      <c r="E1360" s="29"/>
      <c r="F1360" s="30"/>
      <c r="G1360" s="29"/>
      <c r="H1360" s="30"/>
      <c r="I1360" s="29"/>
      <c r="J1360" s="30"/>
      <c r="K1360" s="30"/>
      <c r="L1360" s="29"/>
      <c r="M1360" s="32" t="str">
        <f aca="false">IF(OR(C1360="",L1360=""),"",IF(C1360=L1360,"同一","変更"))</f>
        <v/>
      </c>
      <c r="N1360" s="29"/>
      <c r="O1360" s="30"/>
      <c r="P1360" s="29"/>
      <c r="Q1360" s="31"/>
      <c r="R1360" s="29"/>
      <c r="S1360" s="29"/>
      <c r="T1360" s="30"/>
      <c r="U1360" s="47" t="str">
        <f aca="false">IF(AND(B1360&lt;&gt;"",B1360=SW別シート!$C$3),COUNTIF(B$5:B1360,B1360),"")</f>
        <v/>
      </c>
      <c r="V1360" s="47" t="n">
        <f aca="false">V1359+IF(OR(O1360&lt;&gt;"",W1360&lt;&gt;""),1,0)</f>
        <v>3</v>
      </c>
      <c r="W1360" s="29"/>
    </row>
    <row r="1361" customFormat="false" ht="15" hidden="false" customHeight="false" outlineLevel="0" collapsed="false">
      <c r="A1361" s="32" t="str">
        <f aca="false">IF(B1361="","",ROW()-7)</f>
        <v/>
      </c>
      <c r="B1361" s="30"/>
      <c r="C1361" s="29"/>
      <c r="D1361" s="29"/>
      <c r="E1361" s="29"/>
      <c r="F1361" s="30"/>
      <c r="G1361" s="29"/>
      <c r="H1361" s="30"/>
      <c r="I1361" s="29"/>
      <c r="J1361" s="30"/>
      <c r="K1361" s="30"/>
      <c r="L1361" s="29"/>
      <c r="M1361" s="32" t="str">
        <f aca="false">IF(OR(C1361="",L1361=""),"",IF(C1361=L1361,"同一","変更"))</f>
        <v/>
      </c>
      <c r="N1361" s="29"/>
      <c r="O1361" s="30"/>
      <c r="P1361" s="29"/>
      <c r="Q1361" s="31"/>
      <c r="R1361" s="29"/>
      <c r="S1361" s="29"/>
      <c r="T1361" s="30"/>
      <c r="U1361" s="47" t="str">
        <f aca="false">IF(AND(B1361&lt;&gt;"",B1361=SW別シート!$C$3),COUNTIF(B$5:B1361,B1361),"")</f>
        <v/>
      </c>
      <c r="V1361" s="47" t="n">
        <f aca="false">V1360+IF(OR(O1361&lt;&gt;"",W1361&lt;&gt;""),1,0)</f>
        <v>3</v>
      </c>
      <c r="W1361" s="29"/>
    </row>
    <row r="1362" customFormat="false" ht="15" hidden="false" customHeight="false" outlineLevel="0" collapsed="false">
      <c r="A1362" s="32" t="str">
        <f aca="false">IF(B1362="","",ROW()-7)</f>
        <v/>
      </c>
      <c r="B1362" s="30"/>
      <c r="C1362" s="29"/>
      <c r="D1362" s="29"/>
      <c r="E1362" s="29"/>
      <c r="F1362" s="30"/>
      <c r="G1362" s="29"/>
      <c r="H1362" s="30"/>
      <c r="I1362" s="29"/>
      <c r="J1362" s="30"/>
      <c r="K1362" s="30"/>
      <c r="L1362" s="29"/>
      <c r="M1362" s="32" t="str">
        <f aca="false">IF(OR(C1362="",L1362=""),"",IF(C1362=L1362,"同一","変更"))</f>
        <v/>
      </c>
      <c r="N1362" s="29"/>
      <c r="O1362" s="30"/>
      <c r="P1362" s="29"/>
      <c r="Q1362" s="31"/>
      <c r="R1362" s="29"/>
      <c r="S1362" s="29"/>
      <c r="T1362" s="30"/>
      <c r="U1362" s="47" t="str">
        <f aca="false">IF(AND(B1362&lt;&gt;"",B1362=SW別シート!$C$3),COUNTIF(B$5:B1362,B1362),"")</f>
        <v/>
      </c>
      <c r="V1362" s="47" t="n">
        <f aca="false">V1361+IF(OR(O1362&lt;&gt;"",W1362&lt;&gt;""),1,0)</f>
        <v>3</v>
      </c>
      <c r="W1362" s="29"/>
    </row>
    <row r="1363" customFormat="false" ht="15" hidden="false" customHeight="false" outlineLevel="0" collapsed="false">
      <c r="A1363" s="32" t="str">
        <f aca="false">IF(B1363="","",ROW()-7)</f>
        <v/>
      </c>
      <c r="B1363" s="30"/>
      <c r="C1363" s="29"/>
      <c r="D1363" s="29"/>
      <c r="E1363" s="29"/>
      <c r="F1363" s="30"/>
      <c r="G1363" s="29"/>
      <c r="H1363" s="30"/>
      <c r="I1363" s="29"/>
      <c r="J1363" s="30"/>
      <c r="K1363" s="30"/>
      <c r="L1363" s="29"/>
      <c r="M1363" s="32" t="str">
        <f aca="false">IF(OR(C1363="",L1363=""),"",IF(C1363=L1363,"同一","変更"))</f>
        <v/>
      </c>
      <c r="N1363" s="29"/>
      <c r="O1363" s="30"/>
      <c r="P1363" s="29"/>
      <c r="Q1363" s="31"/>
      <c r="R1363" s="29"/>
      <c r="S1363" s="29"/>
      <c r="T1363" s="30"/>
      <c r="U1363" s="47" t="str">
        <f aca="false">IF(AND(B1363&lt;&gt;"",B1363=SW別シート!$C$3),COUNTIF(B$5:B1363,B1363),"")</f>
        <v/>
      </c>
      <c r="V1363" s="47" t="n">
        <f aca="false">V1362+IF(OR(O1363&lt;&gt;"",W1363&lt;&gt;""),1,0)</f>
        <v>3</v>
      </c>
      <c r="W1363" s="29"/>
    </row>
    <row r="1364" customFormat="false" ht="15" hidden="false" customHeight="false" outlineLevel="0" collapsed="false">
      <c r="A1364" s="32" t="str">
        <f aca="false">IF(B1364="","",ROW()-7)</f>
        <v/>
      </c>
      <c r="B1364" s="30"/>
      <c r="C1364" s="29"/>
      <c r="D1364" s="29"/>
      <c r="E1364" s="29"/>
      <c r="F1364" s="30"/>
      <c r="G1364" s="29"/>
      <c r="H1364" s="30"/>
      <c r="I1364" s="29"/>
      <c r="J1364" s="30"/>
      <c r="K1364" s="30"/>
      <c r="L1364" s="29"/>
      <c r="M1364" s="32" t="str">
        <f aca="false">IF(OR(C1364="",L1364=""),"",IF(C1364=L1364,"同一","変更"))</f>
        <v/>
      </c>
      <c r="N1364" s="29"/>
      <c r="O1364" s="30"/>
      <c r="P1364" s="29"/>
      <c r="Q1364" s="31"/>
      <c r="R1364" s="29"/>
      <c r="S1364" s="29"/>
      <c r="T1364" s="30"/>
      <c r="U1364" s="47" t="str">
        <f aca="false">IF(AND(B1364&lt;&gt;"",B1364=SW別シート!$C$3),COUNTIF(B$5:B1364,B1364),"")</f>
        <v/>
      </c>
      <c r="V1364" s="47" t="n">
        <f aca="false">V1363+IF(OR(O1364&lt;&gt;"",W1364&lt;&gt;""),1,0)</f>
        <v>3</v>
      </c>
      <c r="W1364" s="29"/>
    </row>
    <row r="1365" customFormat="false" ht="15" hidden="false" customHeight="false" outlineLevel="0" collapsed="false">
      <c r="A1365" s="32" t="str">
        <f aca="false">IF(B1365="","",ROW()-7)</f>
        <v/>
      </c>
      <c r="B1365" s="30"/>
      <c r="C1365" s="29"/>
      <c r="D1365" s="29"/>
      <c r="E1365" s="29"/>
      <c r="F1365" s="30"/>
      <c r="G1365" s="29"/>
      <c r="H1365" s="30"/>
      <c r="I1365" s="29"/>
      <c r="J1365" s="30"/>
      <c r="K1365" s="30"/>
      <c r="L1365" s="29"/>
      <c r="M1365" s="32" t="str">
        <f aca="false">IF(OR(C1365="",L1365=""),"",IF(C1365=L1365,"同一","変更"))</f>
        <v/>
      </c>
      <c r="N1365" s="29"/>
      <c r="O1365" s="30"/>
      <c r="P1365" s="29"/>
      <c r="Q1365" s="31"/>
      <c r="R1365" s="29"/>
      <c r="S1365" s="29"/>
      <c r="T1365" s="30"/>
      <c r="U1365" s="47" t="str">
        <f aca="false">IF(AND(B1365&lt;&gt;"",B1365=SW別シート!$C$3),COUNTIF(B$5:B1365,B1365),"")</f>
        <v/>
      </c>
      <c r="V1365" s="47" t="n">
        <f aca="false">V1364+IF(OR(O1365&lt;&gt;"",W1365&lt;&gt;""),1,0)</f>
        <v>3</v>
      </c>
      <c r="W1365" s="29"/>
    </row>
    <row r="1366" customFormat="false" ht="15" hidden="false" customHeight="false" outlineLevel="0" collapsed="false">
      <c r="A1366" s="32" t="str">
        <f aca="false">IF(B1366="","",ROW()-7)</f>
        <v/>
      </c>
      <c r="B1366" s="30"/>
      <c r="C1366" s="29"/>
      <c r="D1366" s="29"/>
      <c r="E1366" s="29"/>
      <c r="F1366" s="30"/>
      <c r="G1366" s="29"/>
      <c r="H1366" s="30"/>
      <c r="I1366" s="29"/>
      <c r="J1366" s="30"/>
      <c r="K1366" s="30"/>
      <c r="L1366" s="29"/>
      <c r="M1366" s="32" t="str">
        <f aca="false">IF(OR(C1366="",L1366=""),"",IF(C1366=L1366,"同一","変更"))</f>
        <v/>
      </c>
      <c r="N1366" s="29"/>
      <c r="O1366" s="30"/>
      <c r="P1366" s="29"/>
      <c r="Q1366" s="31"/>
      <c r="R1366" s="29"/>
      <c r="S1366" s="29"/>
      <c r="T1366" s="30"/>
      <c r="U1366" s="47" t="str">
        <f aca="false">IF(AND(B1366&lt;&gt;"",B1366=SW別シート!$C$3),COUNTIF(B$5:B1366,B1366),"")</f>
        <v/>
      </c>
      <c r="V1366" s="47" t="n">
        <f aca="false">V1365+IF(OR(O1366&lt;&gt;"",W1366&lt;&gt;""),1,0)</f>
        <v>3</v>
      </c>
      <c r="W1366" s="29"/>
    </row>
    <row r="1367" customFormat="false" ht="15" hidden="false" customHeight="false" outlineLevel="0" collapsed="false">
      <c r="A1367" s="32" t="str">
        <f aca="false">IF(B1367="","",ROW()-7)</f>
        <v/>
      </c>
      <c r="B1367" s="30"/>
      <c r="C1367" s="29"/>
      <c r="D1367" s="29"/>
      <c r="E1367" s="29"/>
      <c r="F1367" s="30"/>
      <c r="G1367" s="29"/>
      <c r="H1367" s="30"/>
      <c r="I1367" s="29"/>
      <c r="J1367" s="30"/>
      <c r="K1367" s="30"/>
      <c r="L1367" s="29"/>
      <c r="M1367" s="32" t="str">
        <f aca="false">IF(OR(C1367="",L1367=""),"",IF(C1367=L1367,"同一","変更"))</f>
        <v/>
      </c>
      <c r="N1367" s="29"/>
      <c r="O1367" s="30"/>
      <c r="P1367" s="29"/>
      <c r="Q1367" s="31"/>
      <c r="R1367" s="29"/>
      <c r="S1367" s="29"/>
      <c r="T1367" s="30"/>
      <c r="U1367" s="47" t="str">
        <f aca="false">IF(AND(B1367&lt;&gt;"",B1367=SW別シート!$C$3),COUNTIF(B$5:B1367,B1367),"")</f>
        <v/>
      </c>
      <c r="V1367" s="47" t="n">
        <f aca="false">V1366+IF(OR(O1367&lt;&gt;"",W1367&lt;&gt;""),1,0)</f>
        <v>3</v>
      </c>
      <c r="W1367" s="29"/>
    </row>
    <row r="1368" customFormat="false" ht="15" hidden="false" customHeight="false" outlineLevel="0" collapsed="false">
      <c r="A1368" s="32" t="str">
        <f aca="false">IF(B1368="","",ROW()-7)</f>
        <v/>
      </c>
      <c r="B1368" s="30"/>
      <c r="C1368" s="29"/>
      <c r="D1368" s="29"/>
      <c r="E1368" s="29"/>
      <c r="F1368" s="30"/>
      <c r="G1368" s="29"/>
      <c r="H1368" s="30"/>
      <c r="I1368" s="29"/>
      <c r="J1368" s="30"/>
      <c r="K1368" s="30"/>
      <c r="L1368" s="29"/>
      <c r="M1368" s="32" t="str">
        <f aca="false">IF(OR(C1368="",L1368=""),"",IF(C1368=L1368,"同一","変更"))</f>
        <v/>
      </c>
      <c r="N1368" s="29"/>
      <c r="O1368" s="30"/>
      <c r="P1368" s="29"/>
      <c r="Q1368" s="31"/>
      <c r="R1368" s="29"/>
      <c r="S1368" s="29"/>
      <c r="T1368" s="30"/>
      <c r="U1368" s="47" t="str">
        <f aca="false">IF(AND(B1368&lt;&gt;"",B1368=SW別シート!$C$3),COUNTIF(B$5:B1368,B1368),"")</f>
        <v/>
      </c>
      <c r="V1368" s="47" t="n">
        <f aca="false">V1367+IF(OR(O1368&lt;&gt;"",W1368&lt;&gt;""),1,0)</f>
        <v>3</v>
      </c>
      <c r="W1368" s="29"/>
    </row>
    <row r="1369" customFormat="false" ht="15" hidden="false" customHeight="false" outlineLevel="0" collapsed="false">
      <c r="A1369" s="32" t="str">
        <f aca="false">IF(B1369="","",ROW()-7)</f>
        <v/>
      </c>
      <c r="B1369" s="30"/>
      <c r="C1369" s="29"/>
      <c r="D1369" s="29"/>
      <c r="E1369" s="29"/>
      <c r="F1369" s="30"/>
      <c r="G1369" s="29"/>
      <c r="H1369" s="30"/>
      <c r="I1369" s="29"/>
      <c r="J1369" s="30"/>
      <c r="K1369" s="30"/>
      <c r="L1369" s="29"/>
      <c r="M1369" s="32" t="str">
        <f aca="false">IF(OR(C1369="",L1369=""),"",IF(C1369=L1369,"同一","変更"))</f>
        <v/>
      </c>
      <c r="N1369" s="29"/>
      <c r="O1369" s="30"/>
      <c r="P1369" s="29"/>
      <c r="Q1369" s="31"/>
      <c r="R1369" s="29"/>
      <c r="S1369" s="29"/>
      <c r="T1369" s="30"/>
      <c r="U1369" s="47" t="str">
        <f aca="false">IF(AND(B1369&lt;&gt;"",B1369=SW別シート!$C$3),COUNTIF(B$5:B1369,B1369),"")</f>
        <v/>
      </c>
      <c r="V1369" s="47" t="n">
        <f aca="false">V1368+IF(OR(O1369&lt;&gt;"",W1369&lt;&gt;""),1,0)</f>
        <v>3</v>
      </c>
      <c r="W1369" s="29"/>
    </row>
    <row r="1370" customFormat="false" ht="15" hidden="false" customHeight="false" outlineLevel="0" collapsed="false">
      <c r="A1370" s="32" t="str">
        <f aca="false">IF(B1370="","",ROW()-7)</f>
        <v/>
      </c>
      <c r="B1370" s="30"/>
      <c r="C1370" s="29"/>
      <c r="D1370" s="29"/>
      <c r="E1370" s="29"/>
      <c r="F1370" s="30"/>
      <c r="G1370" s="29"/>
      <c r="H1370" s="30"/>
      <c r="I1370" s="29"/>
      <c r="J1370" s="30"/>
      <c r="K1370" s="30"/>
      <c r="L1370" s="29"/>
      <c r="M1370" s="32" t="str">
        <f aca="false">IF(OR(C1370="",L1370=""),"",IF(C1370=L1370,"同一","変更"))</f>
        <v/>
      </c>
      <c r="N1370" s="29"/>
      <c r="O1370" s="30"/>
      <c r="P1370" s="29"/>
      <c r="Q1370" s="31"/>
      <c r="R1370" s="29"/>
      <c r="S1370" s="29"/>
      <c r="T1370" s="30"/>
      <c r="U1370" s="47" t="str">
        <f aca="false">IF(AND(B1370&lt;&gt;"",B1370=SW別シート!$C$3),COUNTIF(B$5:B1370,B1370),"")</f>
        <v/>
      </c>
      <c r="V1370" s="47" t="n">
        <f aca="false">V1369+IF(OR(O1370&lt;&gt;"",W1370&lt;&gt;""),1,0)</f>
        <v>3</v>
      </c>
      <c r="W1370" s="29"/>
    </row>
    <row r="1371" customFormat="false" ht="15" hidden="false" customHeight="false" outlineLevel="0" collapsed="false">
      <c r="A1371" s="32" t="str">
        <f aca="false">IF(B1371="","",ROW()-7)</f>
        <v/>
      </c>
      <c r="B1371" s="30"/>
      <c r="C1371" s="29"/>
      <c r="D1371" s="29"/>
      <c r="E1371" s="29"/>
      <c r="F1371" s="30"/>
      <c r="G1371" s="29"/>
      <c r="H1371" s="30"/>
      <c r="I1371" s="29"/>
      <c r="J1371" s="30"/>
      <c r="K1371" s="30"/>
      <c r="L1371" s="29"/>
      <c r="M1371" s="32" t="str">
        <f aca="false">IF(OR(C1371="",L1371=""),"",IF(C1371=L1371,"同一","変更"))</f>
        <v/>
      </c>
      <c r="N1371" s="29"/>
      <c r="O1371" s="30"/>
      <c r="P1371" s="29"/>
      <c r="Q1371" s="31"/>
      <c r="R1371" s="29"/>
      <c r="S1371" s="29"/>
      <c r="T1371" s="30"/>
      <c r="U1371" s="47" t="str">
        <f aca="false">IF(AND(B1371&lt;&gt;"",B1371=SW別シート!$C$3),COUNTIF(B$5:B1371,B1371),"")</f>
        <v/>
      </c>
      <c r="V1371" s="47" t="n">
        <f aca="false">V1370+IF(OR(O1371&lt;&gt;"",W1371&lt;&gt;""),1,0)</f>
        <v>3</v>
      </c>
      <c r="W1371" s="29"/>
    </row>
    <row r="1372" customFormat="false" ht="15" hidden="false" customHeight="false" outlineLevel="0" collapsed="false">
      <c r="A1372" s="32" t="str">
        <f aca="false">IF(B1372="","",ROW()-7)</f>
        <v/>
      </c>
      <c r="B1372" s="30"/>
      <c r="C1372" s="29"/>
      <c r="D1372" s="29"/>
      <c r="E1372" s="29"/>
      <c r="F1372" s="30"/>
      <c r="G1372" s="29"/>
      <c r="H1372" s="30"/>
      <c r="I1372" s="29"/>
      <c r="J1372" s="30"/>
      <c r="K1372" s="30"/>
      <c r="L1372" s="29"/>
      <c r="M1372" s="32" t="str">
        <f aca="false">IF(OR(C1372="",L1372=""),"",IF(C1372=L1372,"同一","変更"))</f>
        <v/>
      </c>
      <c r="N1372" s="29"/>
      <c r="O1372" s="30"/>
      <c r="P1372" s="29"/>
      <c r="Q1372" s="31"/>
      <c r="R1372" s="29"/>
      <c r="S1372" s="29"/>
      <c r="T1372" s="30"/>
      <c r="U1372" s="47" t="str">
        <f aca="false">IF(AND(B1372&lt;&gt;"",B1372=SW別シート!$C$3),COUNTIF(B$5:B1372,B1372),"")</f>
        <v/>
      </c>
      <c r="V1372" s="47" t="n">
        <f aca="false">V1371+IF(OR(O1372&lt;&gt;"",W1372&lt;&gt;""),1,0)</f>
        <v>3</v>
      </c>
      <c r="W1372" s="29"/>
    </row>
    <row r="1373" customFormat="false" ht="15" hidden="false" customHeight="false" outlineLevel="0" collapsed="false">
      <c r="A1373" s="32" t="str">
        <f aca="false">IF(B1373="","",ROW()-7)</f>
        <v/>
      </c>
      <c r="B1373" s="30"/>
      <c r="C1373" s="29"/>
      <c r="D1373" s="29"/>
      <c r="E1373" s="29"/>
      <c r="F1373" s="30"/>
      <c r="G1373" s="29"/>
      <c r="H1373" s="30"/>
      <c r="I1373" s="29"/>
      <c r="J1373" s="30"/>
      <c r="K1373" s="30"/>
      <c r="L1373" s="29"/>
      <c r="M1373" s="32" t="str">
        <f aca="false">IF(OR(C1373="",L1373=""),"",IF(C1373=L1373,"同一","変更"))</f>
        <v/>
      </c>
      <c r="N1373" s="29"/>
      <c r="O1373" s="30"/>
      <c r="P1373" s="29"/>
      <c r="Q1373" s="31"/>
      <c r="R1373" s="29"/>
      <c r="S1373" s="29"/>
      <c r="T1373" s="30"/>
      <c r="U1373" s="47" t="str">
        <f aca="false">IF(AND(B1373&lt;&gt;"",B1373=SW別シート!$C$3),COUNTIF(B$5:B1373,B1373),"")</f>
        <v/>
      </c>
      <c r="V1373" s="47" t="n">
        <f aca="false">V1372+IF(OR(O1373&lt;&gt;"",W1373&lt;&gt;""),1,0)</f>
        <v>3</v>
      </c>
      <c r="W1373" s="29"/>
    </row>
    <row r="1374" customFormat="false" ht="15" hidden="false" customHeight="false" outlineLevel="0" collapsed="false">
      <c r="A1374" s="32" t="str">
        <f aca="false">IF(B1374="","",ROW()-7)</f>
        <v/>
      </c>
      <c r="B1374" s="30"/>
      <c r="C1374" s="29"/>
      <c r="D1374" s="29"/>
      <c r="E1374" s="29"/>
      <c r="F1374" s="30"/>
      <c r="G1374" s="29"/>
      <c r="H1374" s="30"/>
      <c r="I1374" s="29"/>
      <c r="J1374" s="30"/>
      <c r="K1374" s="30"/>
      <c r="L1374" s="29"/>
      <c r="M1374" s="32" t="str">
        <f aca="false">IF(OR(C1374="",L1374=""),"",IF(C1374=L1374,"同一","変更"))</f>
        <v/>
      </c>
      <c r="N1374" s="29"/>
      <c r="O1374" s="30"/>
      <c r="P1374" s="29"/>
      <c r="Q1374" s="31"/>
      <c r="R1374" s="29"/>
      <c r="S1374" s="29"/>
      <c r="T1374" s="30"/>
      <c r="U1374" s="47" t="str">
        <f aca="false">IF(AND(B1374&lt;&gt;"",B1374=SW別シート!$C$3),COUNTIF(B$5:B1374,B1374),"")</f>
        <v/>
      </c>
      <c r="V1374" s="47" t="n">
        <f aca="false">V1373+IF(OR(O1374&lt;&gt;"",W1374&lt;&gt;""),1,0)</f>
        <v>3</v>
      </c>
      <c r="W1374" s="29"/>
    </row>
    <row r="1375" customFormat="false" ht="15" hidden="false" customHeight="false" outlineLevel="0" collapsed="false">
      <c r="A1375" s="32" t="str">
        <f aca="false">IF(B1375="","",ROW()-7)</f>
        <v/>
      </c>
      <c r="B1375" s="30"/>
      <c r="C1375" s="29"/>
      <c r="D1375" s="29"/>
      <c r="E1375" s="29"/>
      <c r="F1375" s="30"/>
      <c r="G1375" s="29"/>
      <c r="H1375" s="30"/>
      <c r="I1375" s="29"/>
      <c r="J1375" s="30"/>
      <c r="K1375" s="30"/>
      <c r="L1375" s="29"/>
      <c r="M1375" s="32" t="str">
        <f aca="false">IF(OR(C1375="",L1375=""),"",IF(C1375=L1375,"同一","変更"))</f>
        <v/>
      </c>
      <c r="N1375" s="29"/>
      <c r="O1375" s="30"/>
      <c r="P1375" s="29"/>
      <c r="Q1375" s="31"/>
      <c r="R1375" s="29"/>
      <c r="S1375" s="29"/>
      <c r="T1375" s="30"/>
      <c r="U1375" s="47" t="str">
        <f aca="false">IF(AND(B1375&lt;&gt;"",B1375=SW別シート!$C$3),COUNTIF(B$5:B1375,B1375),"")</f>
        <v/>
      </c>
      <c r="V1375" s="47" t="n">
        <f aca="false">V1374+IF(OR(O1375&lt;&gt;"",W1375&lt;&gt;""),1,0)</f>
        <v>3</v>
      </c>
      <c r="W1375" s="29"/>
    </row>
    <row r="1376" customFormat="false" ht="15" hidden="false" customHeight="false" outlineLevel="0" collapsed="false">
      <c r="A1376" s="32" t="str">
        <f aca="false">IF(B1376="","",ROW()-7)</f>
        <v/>
      </c>
      <c r="B1376" s="30"/>
      <c r="C1376" s="29"/>
      <c r="D1376" s="29"/>
      <c r="E1376" s="29"/>
      <c r="F1376" s="30"/>
      <c r="G1376" s="29"/>
      <c r="H1376" s="30"/>
      <c r="I1376" s="29"/>
      <c r="J1376" s="30"/>
      <c r="K1376" s="30"/>
      <c r="L1376" s="29"/>
      <c r="M1376" s="32" t="str">
        <f aca="false">IF(OR(C1376="",L1376=""),"",IF(C1376=L1376,"同一","変更"))</f>
        <v/>
      </c>
      <c r="N1376" s="29"/>
      <c r="O1376" s="30"/>
      <c r="P1376" s="29"/>
      <c r="Q1376" s="31"/>
      <c r="R1376" s="29"/>
      <c r="S1376" s="29"/>
      <c r="T1376" s="30"/>
      <c r="U1376" s="47" t="str">
        <f aca="false">IF(AND(B1376&lt;&gt;"",B1376=SW別シート!$C$3),COUNTIF(B$5:B1376,B1376),"")</f>
        <v/>
      </c>
      <c r="V1376" s="47" t="n">
        <f aca="false">V1375+IF(OR(O1376&lt;&gt;"",W1376&lt;&gt;""),1,0)</f>
        <v>3</v>
      </c>
      <c r="W1376" s="29"/>
    </row>
    <row r="1377" customFormat="false" ht="15" hidden="false" customHeight="false" outlineLevel="0" collapsed="false">
      <c r="A1377" s="32" t="str">
        <f aca="false">IF(B1377="","",ROW()-7)</f>
        <v/>
      </c>
      <c r="B1377" s="30"/>
      <c r="C1377" s="29"/>
      <c r="D1377" s="29"/>
      <c r="E1377" s="29"/>
      <c r="F1377" s="30"/>
      <c r="G1377" s="29"/>
      <c r="H1377" s="30"/>
      <c r="I1377" s="29"/>
      <c r="J1377" s="30"/>
      <c r="K1377" s="30"/>
      <c r="L1377" s="29"/>
      <c r="M1377" s="32" t="str">
        <f aca="false">IF(OR(C1377="",L1377=""),"",IF(C1377=L1377,"同一","変更"))</f>
        <v/>
      </c>
      <c r="N1377" s="29"/>
      <c r="O1377" s="30"/>
      <c r="P1377" s="29"/>
      <c r="Q1377" s="31"/>
      <c r="R1377" s="29"/>
      <c r="S1377" s="29"/>
      <c r="T1377" s="30"/>
      <c r="U1377" s="47" t="str">
        <f aca="false">IF(AND(B1377&lt;&gt;"",B1377=SW別シート!$C$3),COUNTIF(B$5:B1377,B1377),"")</f>
        <v/>
      </c>
      <c r="V1377" s="47" t="n">
        <f aca="false">V1376+IF(OR(O1377&lt;&gt;"",W1377&lt;&gt;""),1,0)</f>
        <v>3</v>
      </c>
      <c r="W1377" s="29"/>
    </row>
    <row r="1378" customFormat="false" ht="15" hidden="false" customHeight="false" outlineLevel="0" collapsed="false">
      <c r="A1378" s="32" t="str">
        <f aca="false">IF(B1378="","",ROW()-7)</f>
        <v/>
      </c>
      <c r="B1378" s="30"/>
      <c r="C1378" s="29"/>
      <c r="D1378" s="29"/>
      <c r="E1378" s="29"/>
      <c r="F1378" s="30"/>
      <c r="G1378" s="29"/>
      <c r="H1378" s="30"/>
      <c r="I1378" s="29"/>
      <c r="J1378" s="30"/>
      <c r="K1378" s="30"/>
      <c r="L1378" s="29"/>
      <c r="M1378" s="32" t="str">
        <f aca="false">IF(OR(C1378="",L1378=""),"",IF(C1378=L1378,"同一","変更"))</f>
        <v/>
      </c>
      <c r="N1378" s="29"/>
      <c r="O1378" s="30"/>
      <c r="P1378" s="29"/>
      <c r="Q1378" s="31"/>
      <c r="R1378" s="29"/>
      <c r="S1378" s="29"/>
      <c r="T1378" s="30"/>
      <c r="U1378" s="47" t="str">
        <f aca="false">IF(AND(B1378&lt;&gt;"",B1378=SW別シート!$C$3),COUNTIF(B$5:B1378,B1378),"")</f>
        <v/>
      </c>
      <c r="V1378" s="47" t="n">
        <f aca="false">V1377+IF(OR(O1378&lt;&gt;"",W1378&lt;&gt;""),1,0)</f>
        <v>3</v>
      </c>
      <c r="W1378" s="29"/>
    </row>
    <row r="1379" customFormat="false" ht="15" hidden="false" customHeight="false" outlineLevel="0" collapsed="false">
      <c r="A1379" s="32" t="str">
        <f aca="false">IF(B1379="","",ROW()-7)</f>
        <v/>
      </c>
      <c r="B1379" s="30"/>
      <c r="C1379" s="29"/>
      <c r="D1379" s="29"/>
      <c r="E1379" s="29"/>
      <c r="F1379" s="30"/>
      <c r="G1379" s="29"/>
      <c r="H1379" s="30"/>
      <c r="I1379" s="29"/>
      <c r="J1379" s="30"/>
      <c r="K1379" s="30"/>
      <c r="L1379" s="29"/>
      <c r="M1379" s="32" t="str">
        <f aca="false">IF(OR(C1379="",L1379=""),"",IF(C1379=L1379,"同一","変更"))</f>
        <v/>
      </c>
      <c r="N1379" s="29"/>
      <c r="O1379" s="30"/>
      <c r="P1379" s="29"/>
      <c r="Q1379" s="31"/>
      <c r="R1379" s="29"/>
      <c r="S1379" s="29"/>
      <c r="T1379" s="30"/>
      <c r="U1379" s="47" t="str">
        <f aca="false">IF(AND(B1379&lt;&gt;"",B1379=SW別シート!$C$3),COUNTIF(B$5:B1379,B1379),"")</f>
        <v/>
      </c>
      <c r="V1379" s="47" t="n">
        <f aca="false">V1378+IF(OR(O1379&lt;&gt;"",W1379&lt;&gt;""),1,0)</f>
        <v>3</v>
      </c>
      <c r="W1379" s="29"/>
    </row>
    <row r="1380" customFormat="false" ht="15" hidden="false" customHeight="false" outlineLevel="0" collapsed="false">
      <c r="A1380" s="32" t="str">
        <f aca="false">IF(B1380="","",ROW()-7)</f>
        <v/>
      </c>
      <c r="B1380" s="30"/>
      <c r="C1380" s="29"/>
      <c r="D1380" s="29"/>
      <c r="E1380" s="29"/>
      <c r="F1380" s="30"/>
      <c r="G1380" s="29"/>
      <c r="H1380" s="30"/>
      <c r="I1380" s="29"/>
      <c r="J1380" s="30"/>
      <c r="K1380" s="30"/>
      <c r="L1380" s="29"/>
      <c r="M1380" s="32" t="str">
        <f aca="false">IF(OR(C1380="",L1380=""),"",IF(C1380=L1380,"同一","変更"))</f>
        <v/>
      </c>
      <c r="N1380" s="29"/>
      <c r="O1380" s="30"/>
      <c r="P1380" s="29"/>
      <c r="Q1380" s="31"/>
      <c r="R1380" s="29"/>
      <c r="S1380" s="29"/>
      <c r="T1380" s="30"/>
      <c r="U1380" s="47" t="str">
        <f aca="false">IF(AND(B1380&lt;&gt;"",B1380=SW別シート!$C$3),COUNTIF(B$5:B1380,B1380),"")</f>
        <v/>
      </c>
      <c r="V1380" s="47" t="n">
        <f aca="false">V1379+IF(OR(O1380&lt;&gt;"",W1380&lt;&gt;""),1,0)</f>
        <v>3</v>
      </c>
      <c r="W1380" s="29"/>
    </row>
    <row r="1381" customFormat="false" ht="15" hidden="false" customHeight="false" outlineLevel="0" collapsed="false">
      <c r="A1381" s="32" t="str">
        <f aca="false">IF(B1381="","",ROW()-7)</f>
        <v/>
      </c>
      <c r="B1381" s="30"/>
      <c r="C1381" s="29"/>
      <c r="D1381" s="29"/>
      <c r="E1381" s="29"/>
      <c r="F1381" s="30"/>
      <c r="G1381" s="29"/>
      <c r="H1381" s="30"/>
      <c r="I1381" s="29"/>
      <c r="J1381" s="30"/>
      <c r="K1381" s="30"/>
      <c r="L1381" s="29"/>
      <c r="M1381" s="32" t="str">
        <f aca="false">IF(OR(C1381="",L1381=""),"",IF(C1381=L1381,"同一","変更"))</f>
        <v/>
      </c>
      <c r="N1381" s="29"/>
      <c r="O1381" s="30"/>
      <c r="P1381" s="29"/>
      <c r="Q1381" s="31"/>
      <c r="R1381" s="29"/>
      <c r="S1381" s="29"/>
      <c r="T1381" s="30"/>
      <c r="U1381" s="47" t="str">
        <f aca="false">IF(AND(B1381&lt;&gt;"",B1381=SW別シート!$C$3),COUNTIF(B$5:B1381,B1381),"")</f>
        <v/>
      </c>
      <c r="V1381" s="47" t="n">
        <f aca="false">V1380+IF(OR(O1381&lt;&gt;"",W1381&lt;&gt;""),1,0)</f>
        <v>3</v>
      </c>
      <c r="W1381" s="29"/>
    </row>
    <row r="1382" customFormat="false" ht="15" hidden="false" customHeight="false" outlineLevel="0" collapsed="false">
      <c r="A1382" s="32" t="str">
        <f aca="false">IF(B1382="","",ROW()-7)</f>
        <v/>
      </c>
      <c r="B1382" s="30"/>
      <c r="C1382" s="29"/>
      <c r="D1382" s="29"/>
      <c r="E1382" s="29"/>
      <c r="F1382" s="30"/>
      <c r="G1382" s="29"/>
      <c r="H1382" s="30"/>
      <c r="I1382" s="29"/>
      <c r="J1382" s="30"/>
      <c r="K1382" s="30"/>
      <c r="L1382" s="29"/>
      <c r="M1382" s="32" t="str">
        <f aca="false">IF(OR(C1382="",L1382=""),"",IF(C1382=L1382,"同一","変更"))</f>
        <v/>
      </c>
      <c r="N1382" s="29"/>
      <c r="O1382" s="30"/>
      <c r="P1382" s="29"/>
      <c r="Q1382" s="31"/>
      <c r="R1382" s="29"/>
      <c r="S1382" s="29"/>
      <c r="T1382" s="30"/>
      <c r="U1382" s="47" t="str">
        <f aca="false">IF(AND(B1382&lt;&gt;"",B1382=SW別シート!$C$3),COUNTIF(B$5:B1382,B1382),"")</f>
        <v/>
      </c>
      <c r="V1382" s="47" t="n">
        <f aca="false">V1381+IF(OR(O1382&lt;&gt;"",W1382&lt;&gt;""),1,0)</f>
        <v>3</v>
      </c>
      <c r="W1382" s="29"/>
    </row>
    <row r="1383" customFormat="false" ht="15" hidden="false" customHeight="false" outlineLevel="0" collapsed="false">
      <c r="A1383" s="32" t="str">
        <f aca="false">IF(B1383="","",ROW()-7)</f>
        <v/>
      </c>
      <c r="B1383" s="30"/>
      <c r="C1383" s="29"/>
      <c r="D1383" s="29"/>
      <c r="E1383" s="29"/>
      <c r="F1383" s="30"/>
      <c r="G1383" s="29"/>
      <c r="H1383" s="30"/>
      <c r="I1383" s="29"/>
      <c r="J1383" s="30"/>
      <c r="K1383" s="30"/>
      <c r="L1383" s="29"/>
      <c r="M1383" s="32" t="str">
        <f aca="false">IF(OR(C1383="",L1383=""),"",IF(C1383=L1383,"同一","変更"))</f>
        <v/>
      </c>
      <c r="N1383" s="29"/>
      <c r="O1383" s="30"/>
      <c r="P1383" s="29"/>
      <c r="Q1383" s="31"/>
      <c r="R1383" s="29"/>
      <c r="S1383" s="29"/>
      <c r="T1383" s="30"/>
      <c r="U1383" s="47" t="str">
        <f aca="false">IF(AND(B1383&lt;&gt;"",B1383=SW別シート!$C$3),COUNTIF(B$5:B1383,B1383),"")</f>
        <v/>
      </c>
      <c r="V1383" s="47" t="n">
        <f aca="false">V1382+IF(OR(O1383&lt;&gt;"",W1383&lt;&gt;""),1,0)</f>
        <v>3</v>
      </c>
      <c r="W1383" s="29"/>
    </row>
    <row r="1384" customFormat="false" ht="15" hidden="false" customHeight="false" outlineLevel="0" collapsed="false">
      <c r="A1384" s="32" t="str">
        <f aca="false">IF(B1384="","",ROW()-7)</f>
        <v/>
      </c>
      <c r="B1384" s="30"/>
      <c r="C1384" s="29"/>
      <c r="D1384" s="29"/>
      <c r="E1384" s="29"/>
      <c r="F1384" s="30"/>
      <c r="G1384" s="29"/>
      <c r="H1384" s="30"/>
      <c r="I1384" s="29"/>
      <c r="J1384" s="30"/>
      <c r="K1384" s="30"/>
      <c r="L1384" s="29"/>
      <c r="M1384" s="32" t="str">
        <f aca="false">IF(OR(C1384="",L1384=""),"",IF(C1384=L1384,"同一","変更"))</f>
        <v/>
      </c>
      <c r="N1384" s="29"/>
      <c r="O1384" s="30"/>
      <c r="P1384" s="29"/>
      <c r="Q1384" s="31"/>
      <c r="R1384" s="29"/>
      <c r="S1384" s="29"/>
      <c r="T1384" s="30"/>
      <c r="U1384" s="47" t="str">
        <f aca="false">IF(AND(B1384&lt;&gt;"",B1384=SW別シート!$C$3),COUNTIF(B$5:B1384,B1384),"")</f>
        <v/>
      </c>
      <c r="V1384" s="47" t="n">
        <f aca="false">V1383+IF(OR(O1384&lt;&gt;"",W1384&lt;&gt;""),1,0)</f>
        <v>3</v>
      </c>
      <c r="W1384" s="29"/>
    </row>
    <row r="1385" customFormat="false" ht="15" hidden="false" customHeight="false" outlineLevel="0" collapsed="false">
      <c r="A1385" s="32" t="str">
        <f aca="false">IF(B1385="","",ROW()-7)</f>
        <v/>
      </c>
      <c r="B1385" s="30"/>
      <c r="C1385" s="29"/>
      <c r="D1385" s="29"/>
      <c r="E1385" s="29"/>
      <c r="F1385" s="30"/>
      <c r="G1385" s="29"/>
      <c r="H1385" s="30"/>
      <c r="I1385" s="29"/>
      <c r="J1385" s="30"/>
      <c r="K1385" s="30"/>
      <c r="L1385" s="29"/>
      <c r="M1385" s="32" t="str">
        <f aca="false">IF(OR(C1385="",L1385=""),"",IF(C1385=L1385,"同一","変更"))</f>
        <v/>
      </c>
      <c r="N1385" s="29"/>
      <c r="O1385" s="30"/>
      <c r="P1385" s="29"/>
      <c r="Q1385" s="31"/>
      <c r="R1385" s="29"/>
      <c r="S1385" s="29"/>
      <c r="T1385" s="30"/>
      <c r="U1385" s="47" t="str">
        <f aca="false">IF(AND(B1385&lt;&gt;"",B1385=SW別シート!$C$3),COUNTIF(B$5:B1385,B1385),"")</f>
        <v/>
      </c>
      <c r="V1385" s="47" t="n">
        <f aca="false">V1384+IF(OR(O1385&lt;&gt;"",W1385&lt;&gt;""),1,0)</f>
        <v>3</v>
      </c>
      <c r="W1385" s="29"/>
    </row>
    <row r="1386" customFormat="false" ht="15" hidden="false" customHeight="false" outlineLevel="0" collapsed="false">
      <c r="A1386" s="32" t="str">
        <f aca="false">IF(B1386="","",ROW()-7)</f>
        <v/>
      </c>
      <c r="B1386" s="30"/>
      <c r="C1386" s="29"/>
      <c r="D1386" s="29"/>
      <c r="E1386" s="29"/>
      <c r="F1386" s="30"/>
      <c r="G1386" s="29"/>
      <c r="H1386" s="30"/>
      <c r="I1386" s="29"/>
      <c r="J1386" s="30"/>
      <c r="K1386" s="30"/>
      <c r="L1386" s="29"/>
      <c r="M1386" s="32" t="str">
        <f aca="false">IF(OR(C1386="",L1386=""),"",IF(C1386=L1386,"同一","変更"))</f>
        <v/>
      </c>
      <c r="N1386" s="29"/>
      <c r="O1386" s="30"/>
      <c r="P1386" s="29"/>
      <c r="Q1386" s="31"/>
      <c r="R1386" s="29"/>
      <c r="S1386" s="29"/>
      <c r="T1386" s="30"/>
      <c r="U1386" s="47" t="str">
        <f aca="false">IF(AND(B1386&lt;&gt;"",B1386=SW別シート!$C$3),COUNTIF(B$5:B1386,B1386),"")</f>
        <v/>
      </c>
      <c r="V1386" s="47" t="n">
        <f aca="false">V1385+IF(OR(O1386&lt;&gt;"",W1386&lt;&gt;""),1,0)</f>
        <v>3</v>
      </c>
      <c r="W1386" s="29"/>
    </row>
    <row r="1387" customFormat="false" ht="15" hidden="false" customHeight="false" outlineLevel="0" collapsed="false">
      <c r="A1387" s="32" t="str">
        <f aca="false">IF(B1387="","",ROW()-7)</f>
        <v/>
      </c>
      <c r="B1387" s="30"/>
      <c r="C1387" s="29"/>
      <c r="D1387" s="29"/>
      <c r="E1387" s="29"/>
      <c r="F1387" s="30"/>
      <c r="G1387" s="29"/>
      <c r="H1387" s="30"/>
      <c r="I1387" s="29"/>
      <c r="J1387" s="30"/>
      <c r="K1387" s="30"/>
      <c r="L1387" s="29"/>
      <c r="M1387" s="32" t="str">
        <f aca="false">IF(OR(C1387="",L1387=""),"",IF(C1387=L1387,"同一","変更"))</f>
        <v/>
      </c>
      <c r="N1387" s="29"/>
      <c r="O1387" s="30"/>
      <c r="P1387" s="29"/>
      <c r="Q1387" s="31"/>
      <c r="R1387" s="29"/>
      <c r="S1387" s="29"/>
      <c r="T1387" s="30"/>
      <c r="U1387" s="47" t="str">
        <f aca="false">IF(AND(B1387&lt;&gt;"",B1387=SW別シート!$C$3),COUNTIF(B$5:B1387,B1387),"")</f>
        <v/>
      </c>
      <c r="V1387" s="47" t="n">
        <f aca="false">V1386+IF(OR(O1387&lt;&gt;"",W1387&lt;&gt;""),1,0)</f>
        <v>3</v>
      </c>
      <c r="W1387" s="29"/>
    </row>
    <row r="1388" customFormat="false" ht="15" hidden="false" customHeight="false" outlineLevel="0" collapsed="false">
      <c r="A1388" s="32" t="str">
        <f aca="false">IF(B1388="","",ROW()-7)</f>
        <v/>
      </c>
      <c r="B1388" s="30"/>
      <c r="C1388" s="29"/>
      <c r="D1388" s="29"/>
      <c r="E1388" s="29"/>
      <c r="F1388" s="30"/>
      <c r="G1388" s="29"/>
      <c r="H1388" s="30"/>
      <c r="I1388" s="29"/>
      <c r="J1388" s="30"/>
      <c r="K1388" s="30"/>
      <c r="L1388" s="29"/>
      <c r="M1388" s="32" t="str">
        <f aca="false">IF(OR(C1388="",L1388=""),"",IF(C1388=L1388,"同一","変更"))</f>
        <v/>
      </c>
      <c r="N1388" s="29"/>
      <c r="O1388" s="30"/>
      <c r="P1388" s="29"/>
      <c r="Q1388" s="31"/>
      <c r="R1388" s="29"/>
      <c r="S1388" s="29"/>
      <c r="T1388" s="30"/>
      <c r="U1388" s="47" t="str">
        <f aca="false">IF(AND(B1388&lt;&gt;"",B1388=SW別シート!$C$3),COUNTIF(B$5:B1388,B1388),"")</f>
        <v/>
      </c>
      <c r="V1388" s="47" t="n">
        <f aca="false">V1387+IF(OR(O1388&lt;&gt;"",W1388&lt;&gt;""),1,0)</f>
        <v>3</v>
      </c>
      <c r="W1388" s="29"/>
    </row>
    <row r="1389" customFormat="false" ht="15" hidden="false" customHeight="false" outlineLevel="0" collapsed="false">
      <c r="A1389" s="32" t="str">
        <f aca="false">IF(B1389="","",ROW()-7)</f>
        <v/>
      </c>
      <c r="B1389" s="30"/>
      <c r="C1389" s="29"/>
      <c r="D1389" s="29"/>
      <c r="E1389" s="29"/>
      <c r="F1389" s="30"/>
      <c r="G1389" s="29"/>
      <c r="H1389" s="30"/>
      <c r="I1389" s="29"/>
      <c r="J1389" s="30"/>
      <c r="K1389" s="30"/>
      <c r="L1389" s="29"/>
      <c r="M1389" s="32" t="str">
        <f aca="false">IF(OR(C1389="",L1389=""),"",IF(C1389=L1389,"同一","変更"))</f>
        <v/>
      </c>
      <c r="N1389" s="29"/>
      <c r="O1389" s="30"/>
      <c r="P1389" s="29"/>
      <c r="Q1389" s="31"/>
      <c r="R1389" s="29"/>
      <c r="S1389" s="29"/>
      <c r="T1389" s="30"/>
      <c r="U1389" s="47" t="str">
        <f aca="false">IF(AND(B1389&lt;&gt;"",B1389=SW別シート!$C$3),COUNTIF(B$5:B1389,B1389),"")</f>
        <v/>
      </c>
      <c r="V1389" s="47" t="n">
        <f aca="false">V1388+IF(OR(O1389&lt;&gt;"",W1389&lt;&gt;""),1,0)</f>
        <v>3</v>
      </c>
      <c r="W1389" s="29"/>
    </row>
    <row r="1390" customFormat="false" ht="15" hidden="false" customHeight="false" outlineLevel="0" collapsed="false">
      <c r="A1390" s="32" t="str">
        <f aca="false">IF(B1390="","",ROW()-7)</f>
        <v/>
      </c>
      <c r="B1390" s="30"/>
      <c r="C1390" s="29"/>
      <c r="D1390" s="29"/>
      <c r="E1390" s="29"/>
      <c r="F1390" s="30"/>
      <c r="G1390" s="29"/>
      <c r="H1390" s="30"/>
      <c r="I1390" s="29"/>
      <c r="J1390" s="30"/>
      <c r="K1390" s="30"/>
      <c r="L1390" s="29"/>
      <c r="M1390" s="32" t="str">
        <f aca="false">IF(OR(C1390="",L1390=""),"",IF(C1390=L1390,"同一","変更"))</f>
        <v/>
      </c>
      <c r="N1390" s="29"/>
      <c r="O1390" s="30"/>
      <c r="P1390" s="29"/>
      <c r="Q1390" s="31"/>
      <c r="R1390" s="29"/>
      <c r="S1390" s="29"/>
      <c r="T1390" s="30"/>
      <c r="U1390" s="47" t="str">
        <f aca="false">IF(AND(B1390&lt;&gt;"",B1390=SW別シート!$C$3),COUNTIF(B$5:B1390,B1390),"")</f>
        <v/>
      </c>
      <c r="V1390" s="47" t="n">
        <f aca="false">V1389+IF(OR(O1390&lt;&gt;"",W1390&lt;&gt;""),1,0)</f>
        <v>3</v>
      </c>
      <c r="W1390" s="29"/>
    </row>
    <row r="1391" customFormat="false" ht="15" hidden="false" customHeight="false" outlineLevel="0" collapsed="false">
      <c r="A1391" s="32" t="str">
        <f aca="false">IF(B1391="","",ROW()-7)</f>
        <v/>
      </c>
      <c r="B1391" s="30"/>
      <c r="C1391" s="29"/>
      <c r="D1391" s="29"/>
      <c r="E1391" s="29"/>
      <c r="F1391" s="30"/>
      <c r="G1391" s="29"/>
      <c r="H1391" s="30"/>
      <c r="I1391" s="29"/>
      <c r="J1391" s="30"/>
      <c r="K1391" s="30"/>
      <c r="L1391" s="29"/>
      <c r="M1391" s="32" t="str">
        <f aca="false">IF(OR(C1391="",L1391=""),"",IF(C1391=L1391,"同一","変更"))</f>
        <v/>
      </c>
      <c r="N1391" s="29"/>
      <c r="O1391" s="30"/>
      <c r="P1391" s="29"/>
      <c r="Q1391" s="31"/>
      <c r="R1391" s="29"/>
      <c r="S1391" s="29"/>
      <c r="T1391" s="30"/>
      <c r="U1391" s="47" t="str">
        <f aca="false">IF(AND(B1391&lt;&gt;"",B1391=SW別シート!$C$3),COUNTIF(B$5:B1391,B1391),"")</f>
        <v/>
      </c>
      <c r="V1391" s="47" t="n">
        <f aca="false">V1390+IF(OR(O1391&lt;&gt;"",W1391&lt;&gt;""),1,0)</f>
        <v>3</v>
      </c>
      <c r="W1391" s="29"/>
    </row>
    <row r="1392" customFormat="false" ht="15" hidden="false" customHeight="false" outlineLevel="0" collapsed="false">
      <c r="A1392" s="32" t="str">
        <f aca="false">IF(B1392="","",ROW()-7)</f>
        <v/>
      </c>
      <c r="B1392" s="30"/>
      <c r="C1392" s="29"/>
      <c r="D1392" s="29"/>
      <c r="E1392" s="29"/>
      <c r="F1392" s="30"/>
      <c r="G1392" s="29"/>
      <c r="H1392" s="30"/>
      <c r="I1392" s="29"/>
      <c r="J1392" s="30"/>
      <c r="K1392" s="30"/>
      <c r="L1392" s="29"/>
      <c r="M1392" s="32" t="str">
        <f aca="false">IF(OR(C1392="",L1392=""),"",IF(C1392=L1392,"同一","変更"))</f>
        <v/>
      </c>
      <c r="N1392" s="29"/>
      <c r="O1392" s="30"/>
      <c r="P1392" s="29"/>
      <c r="Q1392" s="31"/>
      <c r="R1392" s="29"/>
      <c r="S1392" s="29"/>
      <c r="T1392" s="30"/>
      <c r="U1392" s="47" t="str">
        <f aca="false">IF(AND(B1392&lt;&gt;"",B1392=SW別シート!$C$3),COUNTIF(B$5:B1392,B1392),"")</f>
        <v/>
      </c>
      <c r="V1392" s="47" t="n">
        <f aca="false">V1391+IF(OR(O1392&lt;&gt;"",W1392&lt;&gt;""),1,0)</f>
        <v>3</v>
      </c>
      <c r="W1392" s="29"/>
    </row>
    <row r="1393" customFormat="false" ht="15" hidden="false" customHeight="false" outlineLevel="0" collapsed="false">
      <c r="A1393" s="32" t="str">
        <f aca="false">IF(B1393="","",ROW()-7)</f>
        <v/>
      </c>
      <c r="B1393" s="30"/>
      <c r="C1393" s="29"/>
      <c r="D1393" s="29"/>
      <c r="E1393" s="29"/>
      <c r="F1393" s="30"/>
      <c r="G1393" s="29"/>
      <c r="H1393" s="30"/>
      <c r="I1393" s="29"/>
      <c r="J1393" s="30"/>
      <c r="K1393" s="30"/>
      <c r="L1393" s="29"/>
      <c r="M1393" s="32" t="str">
        <f aca="false">IF(OR(C1393="",L1393=""),"",IF(C1393=L1393,"同一","変更"))</f>
        <v/>
      </c>
      <c r="N1393" s="29"/>
      <c r="O1393" s="30"/>
      <c r="P1393" s="29"/>
      <c r="Q1393" s="31"/>
      <c r="R1393" s="29"/>
      <c r="S1393" s="29"/>
      <c r="T1393" s="30"/>
      <c r="U1393" s="47" t="str">
        <f aca="false">IF(AND(B1393&lt;&gt;"",B1393=SW別シート!$C$3),COUNTIF(B$5:B1393,B1393),"")</f>
        <v/>
      </c>
      <c r="V1393" s="47" t="n">
        <f aca="false">V1392+IF(OR(O1393&lt;&gt;"",W1393&lt;&gt;""),1,0)</f>
        <v>3</v>
      </c>
      <c r="W1393" s="29"/>
    </row>
    <row r="1394" customFormat="false" ht="15" hidden="false" customHeight="false" outlineLevel="0" collapsed="false">
      <c r="A1394" s="32" t="str">
        <f aca="false">IF(B1394="","",ROW()-7)</f>
        <v/>
      </c>
      <c r="B1394" s="30"/>
      <c r="C1394" s="29"/>
      <c r="D1394" s="29"/>
      <c r="E1394" s="29"/>
      <c r="F1394" s="30"/>
      <c r="G1394" s="29"/>
      <c r="H1394" s="30"/>
      <c r="I1394" s="29"/>
      <c r="J1394" s="30"/>
      <c r="K1394" s="30"/>
      <c r="L1394" s="29"/>
      <c r="M1394" s="32" t="str">
        <f aca="false">IF(OR(C1394="",L1394=""),"",IF(C1394=L1394,"同一","変更"))</f>
        <v/>
      </c>
      <c r="N1394" s="29"/>
      <c r="O1394" s="30"/>
      <c r="P1394" s="29"/>
      <c r="Q1394" s="31"/>
      <c r="R1394" s="29"/>
      <c r="S1394" s="29"/>
      <c r="T1394" s="30"/>
      <c r="U1394" s="47" t="str">
        <f aca="false">IF(AND(B1394&lt;&gt;"",B1394=SW別シート!$C$3),COUNTIF(B$5:B1394,B1394),"")</f>
        <v/>
      </c>
      <c r="V1394" s="47" t="n">
        <f aca="false">V1393+IF(OR(O1394&lt;&gt;"",W1394&lt;&gt;""),1,0)</f>
        <v>3</v>
      </c>
      <c r="W1394" s="29"/>
    </row>
    <row r="1395" customFormat="false" ht="15" hidden="false" customHeight="false" outlineLevel="0" collapsed="false">
      <c r="A1395" s="32" t="str">
        <f aca="false">IF(B1395="","",ROW()-7)</f>
        <v/>
      </c>
      <c r="B1395" s="30"/>
      <c r="C1395" s="29"/>
      <c r="D1395" s="29"/>
      <c r="E1395" s="29"/>
      <c r="F1395" s="30"/>
      <c r="G1395" s="29"/>
      <c r="H1395" s="30"/>
      <c r="I1395" s="29"/>
      <c r="J1395" s="30"/>
      <c r="K1395" s="30"/>
      <c r="L1395" s="29"/>
      <c r="M1395" s="32" t="str">
        <f aca="false">IF(OR(C1395="",L1395=""),"",IF(C1395=L1395,"同一","変更"))</f>
        <v/>
      </c>
      <c r="N1395" s="29"/>
      <c r="O1395" s="30"/>
      <c r="P1395" s="29"/>
      <c r="Q1395" s="31"/>
      <c r="R1395" s="29"/>
      <c r="S1395" s="29"/>
      <c r="T1395" s="30"/>
      <c r="U1395" s="47" t="str">
        <f aca="false">IF(AND(B1395&lt;&gt;"",B1395=SW別シート!$C$3),COUNTIF(B$5:B1395,B1395),"")</f>
        <v/>
      </c>
      <c r="V1395" s="47" t="n">
        <f aca="false">V1394+IF(OR(O1395&lt;&gt;"",W1395&lt;&gt;""),1,0)</f>
        <v>3</v>
      </c>
      <c r="W1395" s="29"/>
    </row>
    <row r="1396" customFormat="false" ht="15" hidden="false" customHeight="false" outlineLevel="0" collapsed="false">
      <c r="A1396" s="32" t="str">
        <f aca="false">IF(B1396="","",ROW()-7)</f>
        <v/>
      </c>
      <c r="B1396" s="30"/>
      <c r="C1396" s="29"/>
      <c r="D1396" s="29"/>
      <c r="E1396" s="29"/>
      <c r="F1396" s="30"/>
      <c r="G1396" s="29"/>
      <c r="H1396" s="30"/>
      <c r="I1396" s="29"/>
      <c r="J1396" s="30"/>
      <c r="K1396" s="30"/>
      <c r="L1396" s="29"/>
      <c r="M1396" s="32" t="str">
        <f aca="false">IF(OR(C1396="",L1396=""),"",IF(C1396=L1396,"同一","変更"))</f>
        <v/>
      </c>
      <c r="N1396" s="29"/>
      <c r="O1396" s="30"/>
      <c r="P1396" s="29"/>
      <c r="Q1396" s="31"/>
      <c r="R1396" s="29"/>
      <c r="S1396" s="29"/>
      <c r="T1396" s="30"/>
      <c r="U1396" s="47" t="str">
        <f aca="false">IF(AND(B1396&lt;&gt;"",B1396=SW別シート!$C$3),COUNTIF(B$5:B1396,B1396),"")</f>
        <v/>
      </c>
      <c r="V1396" s="47" t="n">
        <f aca="false">V1395+IF(OR(O1396&lt;&gt;"",W1396&lt;&gt;""),1,0)</f>
        <v>3</v>
      </c>
      <c r="W1396" s="29"/>
    </row>
    <row r="1397" customFormat="false" ht="15" hidden="false" customHeight="false" outlineLevel="0" collapsed="false">
      <c r="A1397" s="32" t="str">
        <f aca="false">IF(B1397="","",ROW()-7)</f>
        <v/>
      </c>
      <c r="B1397" s="30"/>
      <c r="C1397" s="29"/>
      <c r="D1397" s="29"/>
      <c r="E1397" s="29"/>
      <c r="F1397" s="30"/>
      <c r="G1397" s="29"/>
      <c r="H1397" s="30"/>
      <c r="I1397" s="29"/>
      <c r="J1397" s="30"/>
      <c r="K1397" s="30"/>
      <c r="L1397" s="29"/>
      <c r="M1397" s="32" t="str">
        <f aca="false">IF(OR(C1397="",L1397=""),"",IF(C1397=L1397,"同一","変更"))</f>
        <v/>
      </c>
      <c r="N1397" s="29"/>
      <c r="O1397" s="30"/>
      <c r="P1397" s="29"/>
      <c r="Q1397" s="31"/>
      <c r="R1397" s="29"/>
      <c r="S1397" s="29"/>
      <c r="T1397" s="30"/>
      <c r="U1397" s="47" t="str">
        <f aca="false">IF(AND(B1397&lt;&gt;"",B1397=SW別シート!$C$3),COUNTIF(B$5:B1397,B1397),"")</f>
        <v/>
      </c>
      <c r="V1397" s="47" t="n">
        <f aca="false">V1396+IF(OR(O1397&lt;&gt;"",W1397&lt;&gt;""),1,0)</f>
        <v>3</v>
      </c>
      <c r="W1397" s="29"/>
    </row>
    <row r="1398" customFormat="false" ht="15" hidden="false" customHeight="false" outlineLevel="0" collapsed="false">
      <c r="A1398" s="32" t="str">
        <f aca="false">IF(B1398="","",ROW()-7)</f>
        <v/>
      </c>
      <c r="B1398" s="30"/>
      <c r="C1398" s="29"/>
      <c r="D1398" s="29"/>
      <c r="E1398" s="29"/>
      <c r="F1398" s="30"/>
      <c r="G1398" s="29"/>
      <c r="H1398" s="30"/>
      <c r="I1398" s="29"/>
      <c r="J1398" s="30"/>
      <c r="K1398" s="30"/>
      <c r="L1398" s="29"/>
      <c r="M1398" s="32" t="str">
        <f aca="false">IF(OR(C1398="",L1398=""),"",IF(C1398=L1398,"同一","変更"))</f>
        <v/>
      </c>
      <c r="N1398" s="29"/>
      <c r="O1398" s="30"/>
      <c r="P1398" s="29"/>
      <c r="Q1398" s="31"/>
      <c r="R1398" s="29"/>
      <c r="S1398" s="29"/>
      <c r="T1398" s="30"/>
      <c r="U1398" s="47" t="str">
        <f aca="false">IF(AND(B1398&lt;&gt;"",B1398=SW別シート!$C$3),COUNTIF(B$5:B1398,B1398),"")</f>
        <v/>
      </c>
      <c r="V1398" s="47" t="n">
        <f aca="false">V1397+IF(OR(O1398&lt;&gt;"",W1398&lt;&gt;""),1,0)</f>
        <v>3</v>
      </c>
      <c r="W1398" s="29"/>
    </row>
    <row r="1399" customFormat="false" ht="15" hidden="false" customHeight="false" outlineLevel="0" collapsed="false">
      <c r="A1399" s="32" t="str">
        <f aca="false">IF(B1399="","",ROW()-7)</f>
        <v/>
      </c>
      <c r="B1399" s="30"/>
      <c r="C1399" s="29"/>
      <c r="D1399" s="29"/>
      <c r="E1399" s="29"/>
      <c r="F1399" s="30"/>
      <c r="G1399" s="29"/>
      <c r="H1399" s="30"/>
      <c r="I1399" s="29"/>
      <c r="J1399" s="30"/>
      <c r="K1399" s="30"/>
      <c r="L1399" s="29"/>
      <c r="M1399" s="32" t="str">
        <f aca="false">IF(OR(C1399="",L1399=""),"",IF(C1399=L1399,"同一","変更"))</f>
        <v/>
      </c>
      <c r="N1399" s="29"/>
      <c r="O1399" s="30"/>
      <c r="P1399" s="29"/>
      <c r="Q1399" s="31"/>
      <c r="R1399" s="29"/>
      <c r="S1399" s="29"/>
      <c r="T1399" s="30"/>
      <c r="U1399" s="47" t="str">
        <f aca="false">IF(AND(B1399&lt;&gt;"",B1399=SW別シート!$C$3),COUNTIF(B$5:B1399,B1399),"")</f>
        <v/>
      </c>
      <c r="V1399" s="47" t="n">
        <f aca="false">V1398+IF(OR(O1399&lt;&gt;"",W1399&lt;&gt;""),1,0)</f>
        <v>3</v>
      </c>
      <c r="W1399" s="29"/>
    </row>
    <row r="1400" customFormat="false" ht="15" hidden="false" customHeight="false" outlineLevel="0" collapsed="false">
      <c r="A1400" s="32" t="str">
        <f aca="false">IF(B1400="","",ROW()-7)</f>
        <v/>
      </c>
      <c r="B1400" s="30"/>
      <c r="C1400" s="29"/>
      <c r="D1400" s="29"/>
      <c r="E1400" s="29"/>
      <c r="F1400" s="30"/>
      <c r="G1400" s="29"/>
      <c r="H1400" s="30"/>
      <c r="I1400" s="29"/>
      <c r="J1400" s="30"/>
      <c r="K1400" s="30"/>
      <c r="L1400" s="29"/>
      <c r="M1400" s="32" t="str">
        <f aca="false">IF(OR(C1400="",L1400=""),"",IF(C1400=L1400,"同一","変更"))</f>
        <v/>
      </c>
      <c r="N1400" s="29"/>
      <c r="O1400" s="30"/>
      <c r="P1400" s="29"/>
      <c r="Q1400" s="31"/>
      <c r="R1400" s="29"/>
      <c r="S1400" s="29"/>
      <c r="T1400" s="30"/>
      <c r="U1400" s="47" t="str">
        <f aca="false">IF(AND(B1400&lt;&gt;"",B1400=SW別シート!$C$3),COUNTIF(B$5:B1400,B1400),"")</f>
        <v/>
      </c>
      <c r="V1400" s="47" t="n">
        <f aca="false">V1399+IF(OR(O1400&lt;&gt;"",W1400&lt;&gt;""),1,0)</f>
        <v>3</v>
      </c>
      <c r="W1400" s="29"/>
    </row>
    <row r="1401" customFormat="false" ht="15" hidden="false" customHeight="false" outlineLevel="0" collapsed="false">
      <c r="A1401" s="32" t="str">
        <f aca="false">IF(B1401="","",ROW()-7)</f>
        <v/>
      </c>
      <c r="B1401" s="30"/>
      <c r="C1401" s="29"/>
      <c r="D1401" s="29"/>
      <c r="E1401" s="29"/>
      <c r="F1401" s="30"/>
      <c r="G1401" s="29"/>
      <c r="H1401" s="30"/>
      <c r="I1401" s="29"/>
      <c r="J1401" s="30"/>
      <c r="K1401" s="30"/>
      <c r="L1401" s="29"/>
      <c r="M1401" s="32" t="str">
        <f aca="false">IF(OR(C1401="",L1401=""),"",IF(C1401=L1401,"同一","変更"))</f>
        <v/>
      </c>
      <c r="N1401" s="29"/>
      <c r="O1401" s="30"/>
      <c r="P1401" s="29"/>
      <c r="Q1401" s="31"/>
      <c r="R1401" s="29"/>
      <c r="S1401" s="29"/>
      <c r="T1401" s="30"/>
      <c r="U1401" s="47" t="str">
        <f aca="false">IF(AND(B1401&lt;&gt;"",B1401=SW別シート!$C$3),COUNTIF(B$5:B1401,B1401),"")</f>
        <v/>
      </c>
      <c r="V1401" s="47" t="n">
        <f aca="false">V1400+IF(OR(O1401&lt;&gt;"",W1401&lt;&gt;""),1,0)</f>
        <v>3</v>
      </c>
      <c r="W1401" s="29"/>
    </row>
    <row r="1402" customFormat="false" ht="15" hidden="false" customHeight="false" outlineLevel="0" collapsed="false">
      <c r="A1402" s="32" t="str">
        <f aca="false">IF(B1402="","",ROW()-7)</f>
        <v/>
      </c>
      <c r="B1402" s="30"/>
      <c r="C1402" s="29"/>
      <c r="D1402" s="29"/>
      <c r="E1402" s="29"/>
      <c r="F1402" s="30"/>
      <c r="G1402" s="29"/>
      <c r="H1402" s="30"/>
      <c r="I1402" s="29"/>
      <c r="J1402" s="30"/>
      <c r="K1402" s="30"/>
      <c r="L1402" s="29"/>
      <c r="M1402" s="32" t="str">
        <f aca="false">IF(OR(C1402="",L1402=""),"",IF(C1402=L1402,"同一","変更"))</f>
        <v/>
      </c>
      <c r="N1402" s="29"/>
      <c r="O1402" s="30"/>
      <c r="P1402" s="29"/>
      <c r="Q1402" s="31"/>
      <c r="R1402" s="29"/>
      <c r="S1402" s="29"/>
      <c r="T1402" s="30"/>
      <c r="U1402" s="47" t="str">
        <f aca="false">IF(AND(B1402&lt;&gt;"",B1402=SW別シート!$C$3),COUNTIF(B$5:B1402,B1402),"")</f>
        <v/>
      </c>
      <c r="V1402" s="47" t="n">
        <f aca="false">V1401+IF(OR(O1402&lt;&gt;"",W1402&lt;&gt;""),1,0)</f>
        <v>3</v>
      </c>
      <c r="W1402" s="29"/>
    </row>
    <row r="1403" customFormat="false" ht="15" hidden="false" customHeight="false" outlineLevel="0" collapsed="false">
      <c r="A1403" s="32" t="str">
        <f aca="false">IF(B1403="","",ROW()-7)</f>
        <v/>
      </c>
      <c r="B1403" s="30"/>
      <c r="C1403" s="29"/>
      <c r="D1403" s="29"/>
      <c r="E1403" s="29"/>
      <c r="F1403" s="30"/>
      <c r="G1403" s="29"/>
      <c r="H1403" s="30"/>
      <c r="I1403" s="29"/>
      <c r="J1403" s="30"/>
      <c r="K1403" s="30"/>
      <c r="L1403" s="29"/>
      <c r="M1403" s="32" t="str">
        <f aca="false">IF(OR(C1403="",L1403=""),"",IF(C1403=L1403,"同一","変更"))</f>
        <v/>
      </c>
      <c r="N1403" s="29"/>
      <c r="O1403" s="30"/>
      <c r="P1403" s="29"/>
      <c r="Q1403" s="31"/>
      <c r="R1403" s="29"/>
      <c r="S1403" s="29"/>
      <c r="T1403" s="30"/>
      <c r="U1403" s="47" t="str">
        <f aca="false">IF(AND(B1403&lt;&gt;"",B1403=SW別シート!$C$3),COUNTIF(B$5:B1403,B1403),"")</f>
        <v/>
      </c>
      <c r="V1403" s="47" t="n">
        <f aca="false">V1402+IF(OR(O1403&lt;&gt;"",W1403&lt;&gt;""),1,0)</f>
        <v>3</v>
      </c>
      <c r="W1403" s="29"/>
    </row>
    <row r="1404" customFormat="false" ht="15" hidden="false" customHeight="false" outlineLevel="0" collapsed="false">
      <c r="A1404" s="32" t="str">
        <f aca="false">IF(B1404="","",ROW()-7)</f>
        <v/>
      </c>
      <c r="B1404" s="30"/>
      <c r="C1404" s="29"/>
      <c r="D1404" s="29"/>
      <c r="E1404" s="29"/>
      <c r="F1404" s="30"/>
      <c r="G1404" s="29"/>
      <c r="H1404" s="30"/>
      <c r="I1404" s="29"/>
      <c r="J1404" s="30"/>
      <c r="K1404" s="30"/>
      <c r="L1404" s="29"/>
      <c r="M1404" s="32" t="str">
        <f aca="false">IF(OR(C1404="",L1404=""),"",IF(C1404=L1404,"同一","変更"))</f>
        <v/>
      </c>
      <c r="N1404" s="29"/>
      <c r="O1404" s="30"/>
      <c r="P1404" s="29"/>
      <c r="Q1404" s="31"/>
      <c r="R1404" s="29"/>
      <c r="S1404" s="29"/>
      <c r="T1404" s="30"/>
      <c r="U1404" s="47" t="str">
        <f aca="false">IF(AND(B1404&lt;&gt;"",B1404=SW別シート!$C$3),COUNTIF(B$5:B1404,B1404),"")</f>
        <v/>
      </c>
      <c r="V1404" s="47" t="n">
        <f aca="false">V1403+IF(OR(O1404&lt;&gt;"",W1404&lt;&gt;""),1,0)</f>
        <v>3</v>
      </c>
      <c r="W1404" s="29"/>
    </row>
    <row r="1405" customFormat="false" ht="15" hidden="false" customHeight="false" outlineLevel="0" collapsed="false">
      <c r="A1405" s="32" t="str">
        <f aca="false">IF(B1405="","",ROW()-7)</f>
        <v/>
      </c>
      <c r="B1405" s="30"/>
      <c r="C1405" s="29"/>
      <c r="D1405" s="29"/>
      <c r="E1405" s="29"/>
      <c r="F1405" s="30"/>
      <c r="G1405" s="29"/>
      <c r="H1405" s="30"/>
      <c r="I1405" s="29"/>
      <c r="J1405" s="30"/>
      <c r="K1405" s="30"/>
      <c r="L1405" s="29"/>
      <c r="M1405" s="32" t="str">
        <f aca="false">IF(OR(C1405="",L1405=""),"",IF(C1405=L1405,"同一","変更"))</f>
        <v/>
      </c>
      <c r="N1405" s="29"/>
      <c r="O1405" s="30"/>
      <c r="P1405" s="29"/>
      <c r="Q1405" s="31"/>
      <c r="R1405" s="29"/>
      <c r="S1405" s="29"/>
      <c r="T1405" s="30"/>
      <c r="U1405" s="47" t="str">
        <f aca="false">IF(AND(B1405&lt;&gt;"",B1405=SW別シート!$C$3),COUNTIF(B$5:B1405,B1405),"")</f>
        <v/>
      </c>
      <c r="V1405" s="47" t="n">
        <f aca="false">V1404+IF(OR(O1405&lt;&gt;"",W1405&lt;&gt;""),1,0)</f>
        <v>3</v>
      </c>
      <c r="W1405" s="29"/>
    </row>
    <row r="1406" customFormat="false" ht="15" hidden="false" customHeight="false" outlineLevel="0" collapsed="false">
      <c r="A1406" s="32" t="str">
        <f aca="false">IF(B1406="","",ROW()-7)</f>
        <v/>
      </c>
      <c r="B1406" s="30"/>
      <c r="C1406" s="29"/>
      <c r="D1406" s="29"/>
      <c r="E1406" s="29"/>
      <c r="F1406" s="30"/>
      <c r="G1406" s="29"/>
      <c r="H1406" s="30"/>
      <c r="I1406" s="29"/>
      <c r="J1406" s="30"/>
      <c r="K1406" s="30"/>
      <c r="L1406" s="29"/>
      <c r="M1406" s="32" t="str">
        <f aca="false">IF(OR(C1406="",L1406=""),"",IF(C1406=L1406,"同一","変更"))</f>
        <v/>
      </c>
      <c r="N1406" s="29"/>
      <c r="O1406" s="30"/>
      <c r="P1406" s="29"/>
      <c r="Q1406" s="31"/>
      <c r="R1406" s="29"/>
      <c r="S1406" s="29"/>
      <c r="T1406" s="30"/>
      <c r="U1406" s="47" t="str">
        <f aca="false">IF(AND(B1406&lt;&gt;"",B1406=SW別シート!$C$3),COUNTIF(B$5:B1406,B1406),"")</f>
        <v/>
      </c>
      <c r="V1406" s="47" t="n">
        <f aca="false">V1405+IF(OR(O1406&lt;&gt;"",W1406&lt;&gt;""),1,0)</f>
        <v>3</v>
      </c>
      <c r="W1406" s="29"/>
    </row>
    <row r="1407" customFormat="false" ht="15" hidden="false" customHeight="false" outlineLevel="0" collapsed="false">
      <c r="A1407" s="32" t="str">
        <f aca="false">IF(B1407="","",ROW()-7)</f>
        <v/>
      </c>
      <c r="B1407" s="30"/>
      <c r="C1407" s="29"/>
      <c r="D1407" s="29"/>
      <c r="E1407" s="29"/>
      <c r="F1407" s="30"/>
      <c r="G1407" s="29"/>
      <c r="H1407" s="30"/>
      <c r="I1407" s="29"/>
      <c r="J1407" s="30"/>
      <c r="K1407" s="30"/>
      <c r="L1407" s="29"/>
      <c r="M1407" s="32" t="str">
        <f aca="false">IF(OR(C1407="",L1407=""),"",IF(C1407=L1407,"同一","変更"))</f>
        <v/>
      </c>
      <c r="N1407" s="29"/>
      <c r="O1407" s="30"/>
      <c r="P1407" s="29"/>
      <c r="Q1407" s="31"/>
      <c r="R1407" s="29"/>
      <c r="S1407" s="29"/>
      <c r="T1407" s="30"/>
      <c r="U1407" s="47" t="str">
        <f aca="false">IF(AND(B1407&lt;&gt;"",B1407=SW別シート!$C$3),COUNTIF(B$5:B1407,B1407),"")</f>
        <v/>
      </c>
      <c r="V1407" s="47" t="n">
        <f aca="false">V1406+IF(OR(O1407&lt;&gt;"",W1407&lt;&gt;""),1,0)</f>
        <v>3</v>
      </c>
      <c r="W1407" s="29"/>
    </row>
    <row r="1408" customFormat="false" ht="15" hidden="false" customHeight="false" outlineLevel="0" collapsed="false">
      <c r="A1408" s="32" t="str">
        <f aca="false">IF(B1408="","",ROW()-7)</f>
        <v/>
      </c>
      <c r="B1408" s="30"/>
      <c r="C1408" s="29"/>
      <c r="D1408" s="29"/>
      <c r="E1408" s="29"/>
      <c r="F1408" s="30"/>
      <c r="G1408" s="29"/>
      <c r="H1408" s="30"/>
      <c r="I1408" s="29"/>
      <c r="J1408" s="30"/>
      <c r="K1408" s="30"/>
      <c r="L1408" s="29"/>
      <c r="M1408" s="32" t="str">
        <f aca="false">IF(OR(C1408="",L1408=""),"",IF(C1408=L1408,"同一","変更"))</f>
        <v/>
      </c>
      <c r="N1408" s="29"/>
      <c r="O1408" s="30"/>
      <c r="P1408" s="29"/>
      <c r="Q1408" s="31"/>
      <c r="R1408" s="29"/>
      <c r="S1408" s="29"/>
      <c r="T1408" s="30"/>
      <c r="U1408" s="47" t="str">
        <f aca="false">IF(AND(B1408&lt;&gt;"",B1408=SW別シート!$C$3),COUNTIF(B$5:B1408,B1408),"")</f>
        <v/>
      </c>
      <c r="V1408" s="47" t="n">
        <f aca="false">V1407+IF(OR(O1408&lt;&gt;"",W1408&lt;&gt;""),1,0)</f>
        <v>3</v>
      </c>
      <c r="W1408" s="29"/>
    </row>
    <row r="1409" customFormat="false" ht="15" hidden="false" customHeight="false" outlineLevel="0" collapsed="false">
      <c r="A1409" s="32" t="str">
        <f aca="false">IF(B1409="","",ROW()-7)</f>
        <v/>
      </c>
      <c r="B1409" s="30"/>
      <c r="C1409" s="29"/>
      <c r="D1409" s="29"/>
      <c r="E1409" s="29"/>
      <c r="F1409" s="30"/>
      <c r="G1409" s="29"/>
      <c r="H1409" s="30"/>
      <c r="I1409" s="29"/>
      <c r="J1409" s="30"/>
      <c r="K1409" s="30"/>
      <c r="L1409" s="29"/>
      <c r="M1409" s="32" t="str">
        <f aca="false">IF(OR(C1409="",L1409=""),"",IF(C1409=L1409,"同一","変更"))</f>
        <v/>
      </c>
      <c r="N1409" s="29"/>
      <c r="O1409" s="30"/>
      <c r="P1409" s="29"/>
      <c r="Q1409" s="31"/>
      <c r="R1409" s="29"/>
      <c r="S1409" s="29"/>
      <c r="T1409" s="30"/>
      <c r="U1409" s="47" t="str">
        <f aca="false">IF(AND(B1409&lt;&gt;"",B1409=SW別シート!$C$3),COUNTIF(B$5:B1409,B1409),"")</f>
        <v/>
      </c>
      <c r="V1409" s="47" t="n">
        <f aca="false">V1408+IF(OR(O1409&lt;&gt;"",W1409&lt;&gt;""),1,0)</f>
        <v>3</v>
      </c>
      <c r="W1409" s="29"/>
    </row>
    <row r="1410" customFormat="false" ht="15" hidden="false" customHeight="false" outlineLevel="0" collapsed="false">
      <c r="A1410" s="32" t="str">
        <f aca="false">IF(B1410="","",ROW()-7)</f>
        <v/>
      </c>
      <c r="B1410" s="30"/>
      <c r="C1410" s="29"/>
      <c r="D1410" s="29"/>
      <c r="E1410" s="29"/>
      <c r="F1410" s="30"/>
      <c r="G1410" s="29"/>
      <c r="H1410" s="30"/>
      <c r="I1410" s="29"/>
      <c r="J1410" s="30"/>
      <c r="K1410" s="30"/>
      <c r="L1410" s="29"/>
      <c r="M1410" s="32" t="str">
        <f aca="false">IF(OR(C1410="",L1410=""),"",IF(C1410=L1410,"同一","変更"))</f>
        <v/>
      </c>
      <c r="N1410" s="29"/>
      <c r="O1410" s="30"/>
      <c r="P1410" s="29"/>
      <c r="Q1410" s="31"/>
      <c r="R1410" s="29"/>
      <c r="S1410" s="29"/>
      <c r="T1410" s="30"/>
      <c r="U1410" s="47" t="str">
        <f aca="false">IF(AND(B1410&lt;&gt;"",B1410=SW別シート!$C$3),COUNTIF(B$5:B1410,B1410),"")</f>
        <v/>
      </c>
      <c r="V1410" s="47" t="n">
        <f aca="false">V1409+IF(OR(O1410&lt;&gt;"",W1410&lt;&gt;""),1,0)</f>
        <v>3</v>
      </c>
      <c r="W1410" s="29"/>
    </row>
    <row r="1411" customFormat="false" ht="15" hidden="false" customHeight="false" outlineLevel="0" collapsed="false">
      <c r="A1411" s="32" t="str">
        <f aca="false">IF(B1411="","",ROW()-7)</f>
        <v/>
      </c>
      <c r="B1411" s="30"/>
      <c r="C1411" s="29"/>
      <c r="D1411" s="29"/>
      <c r="E1411" s="29"/>
      <c r="F1411" s="30"/>
      <c r="G1411" s="29"/>
      <c r="H1411" s="30"/>
      <c r="I1411" s="29"/>
      <c r="J1411" s="30"/>
      <c r="K1411" s="30"/>
      <c r="L1411" s="29"/>
      <c r="M1411" s="32" t="str">
        <f aca="false">IF(OR(C1411="",L1411=""),"",IF(C1411=L1411,"同一","変更"))</f>
        <v/>
      </c>
      <c r="N1411" s="29"/>
      <c r="O1411" s="30"/>
      <c r="P1411" s="29"/>
      <c r="Q1411" s="31"/>
      <c r="R1411" s="29"/>
      <c r="S1411" s="29"/>
      <c r="T1411" s="30"/>
      <c r="U1411" s="47" t="str">
        <f aca="false">IF(AND(B1411&lt;&gt;"",B1411=SW別シート!$C$3),COUNTIF(B$5:B1411,B1411),"")</f>
        <v/>
      </c>
      <c r="V1411" s="47" t="n">
        <f aca="false">V1410+IF(OR(O1411&lt;&gt;"",W1411&lt;&gt;""),1,0)</f>
        <v>3</v>
      </c>
      <c r="W1411" s="29"/>
    </row>
    <row r="1412" customFormat="false" ht="15" hidden="false" customHeight="false" outlineLevel="0" collapsed="false">
      <c r="A1412" s="32" t="str">
        <f aca="false">IF(B1412="","",ROW()-7)</f>
        <v/>
      </c>
      <c r="B1412" s="30"/>
      <c r="C1412" s="29"/>
      <c r="D1412" s="29"/>
      <c r="E1412" s="29"/>
      <c r="F1412" s="30"/>
      <c r="G1412" s="29"/>
      <c r="H1412" s="30"/>
      <c r="I1412" s="29"/>
      <c r="J1412" s="30"/>
      <c r="K1412" s="30"/>
      <c r="L1412" s="29"/>
      <c r="M1412" s="32" t="str">
        <f aca="false">IF(OR(C1412="",L1412=""),"",IF(C1412=L1412,"同一","変更"))</f>
        <v/>
      </c>
      <c r="N1412" s="29"/>
      <c r="O1412" s="30"/>
      <c r="P1412" s="29"/>
      <c r="Q1412" s="31"/>
      <c r="R1412" s="29"/>
      <c r="S1412" s="29"/>
      <c r="T1412" s="30"/>
      <c r="U1412" s="47" t="str">
        <f aca="false">IF(AND(B1412&lt;&gt;"",B1412=SW別シート!$C$3),COUNTIF(B$5:B1412,B1412),"")</f>
        <v/>
      </c>
      <c r="V1412" s="47" t="n">
        <f aca="false">V1411+IF(OR(O1412&lt;&gt;"",W1412&lt;&gt;""),1,0)</f>
        <v>3</v>
      </c>
      <c r="W1412" s="29"/>
    </row>
    <row r="1413" customFormat="false" ht="15" hidden="false" customHeight="false" outlineLevel="0" collapsed="false">
      <c r="A1413" s="32" t="str">
        <f aca="false">IF(B1413="","",ROW()-7)</f>
        <v/>
      </c>
      <c r="B1413" s="30"/>
      <c r="C1413" s="29"/>
      <c r="D1413" s="29"/>
      <c r="E1413" s="29"/>
      <c r="F1413" s="30"/>
      <c r="G1413" s="29"/>
      <c r="H1413" s="30"/>
      <c r="I1413" s="29"/>
      <c r="J1413" s="30"/>
      <c r="K1413" s="30"/>
      <c r="L1413" s="29"/>
      <c r="M1413" s="32" t="str">
        <f aca="false">IF(OR(C1413="",L1413=""),"",IF(C1413=L1413,"同一","変更"))</f>
        <v/>
      </c>
      <c r="N1413" s="29"/>
      <c r="O1413" s="30"/>
      <c r="P1413" s="29"/>
      <c r="Q1413" s="31"/>
      <c r="R1413" s="29"/>
      <c r="S1413" s="29"/>
      <c r="T1413" s="30"/>
      <c r="U1413" s="47" t="str">
        <f aca="false">IF(AND(B1413&lt;&gt;"",B1413=SW別シート!$C$3),COUNTIF(B$5:B1413,B1413),"")</f>
        <v/>
      </c>
      <c r="V1413" s="47" t="n">
        <f aca="false">V1412+IF(OR(O1413&lt;&gt;"",W1413&lt;&gt;""),1,0)</f>
        <v>3</v>
      </c>
      <c r="W1413" s="29"/>
    </row>
    <row r="1414" customFormat="false" ht="15" hidden="false" customHeight="false" outlineLevel="0" collapsed="false">
      <c r="A1414" s="32" t="str">
        <f aca="false">IF(B1414="","",ROW()-7)</f>
        <v/>
      </c>
      <c r="B1414" s="30"/>
      <c r="C1414" s="29"/>
      <c r="D1414" s="29"/>
      <c r="E1414" s="29"/>
      <c r="F1414" s="30"/>
      <c r="G1414" s="29"/>
      <c r="H1414" s="30"/>
      <c r="I1414" s="29"/>
      <c r="J1414" s="30"/>
      <c r="K1414" s="30"/>
      <c r="L1414" s="29"/>
      <c r="M1414" s="32" t="str">
        <f aca="false">IF(OR(C1414="",L1414=""),"",IF(C1414=L1414,"同一","変更"))</f>
        <v/>
      </c>
      <c r="N1414" s="29"/>
      <c r="O1414" s="30"/>
      <c r="P1414" s="29"/>
      <c r="Q1414" s="31"/>
      <c r="R1414" s="29"/>
      <c r="S1414" s="29"/>
      <c r="T1414" s="30"/>
      <c r="U1414" s="47" t="str">
        <f aca="false">IF(AND(B1414&lt;&gt;"",B1414=SW別シート!$C$3),COUNTIF(B$5:B1414,B1414),"")</f>
        <v/>
      </c>
      <c r="V1414" s="47" t="n">
        <f aca="false">V1413+IF(OR(O1414&lt;&gt;"",W1414&lt;&gt;""),1,0)</f>
        <v>3</v>
      </c>
      <c r="W1414" s="29"/>
    </row>
    <row r="1415" customFormat="false" ht="15" hidden="false" customHeight="false" outlineLevel="0" collapsed="false">
      <c r="A1415" s="32" t="str">
        <f aca="false">IF(B1415="","",ROW()-7)</f>
        <v/>
      </c>
      <c r="B1415" s="30"/>
      <c r="C1415" s="29"/>
      <c r="D1415" s="29"/>
      <c r="E1415" s="29"/>
      <c r="F1415" s="30"/>
      <c r="G1415" s="29"/>
      <c r="H1415" s="30"/>
      <c r="I1415" s="29"/>
      <c r="J1415" s="30"/>
      <c r="K1415" s="30"/>
      <c r="L1415" s="29"/>
      <c r="M1415" s="32" t="str">
        <f aca="false">IF(OR(C1415="",L1415=""),"",IF(C1415=L1415,"同一","変更"))</f>
        <v/>
      </c>
      <c r="N1415" s="29"/>
      <c r="O1415" s="30"/>
      <c r="P1415" s="29"/>
      <c r="Q1415" s="31"/>
      <c r="R1415" s="29"/>
      <c r="S1415" s="29"/>
      <c r="T1415" s="30"/>
      <c r="U1415" s="47" t="str">
        <f aca="false">IF(AND(B1415&lt;&gt;"",B1415=SW別シート!$C$3),COUNTIF(B$5:B1415,B1415),"")</f>
        <v/>
      </c>
      <c r="V1415" s="47" t="n">
        <f aca="false">V1414+IF(OR(O1415&lt;&gt;"",W1415&lt;&gt;""),1,0)</f>
        <v>3</v>
      </c>
      <c r="W1415" s="29"/>
    </row>
    <row r="1416" customFormat="false" ht="15" hidden="false" customHeight="false" outlineLevel="0" collapsed="false">
      <c r="A1416" s="32" t="str">
        <f aca="false">IF(B1416="","",ROW()-7)</f>
        <v/>
      </c>
      <c r="B1416" s="30"/>
      <c r="C1416" s="29"/>
      <c r="D1416" s="29"/>
      <c r="E1416" s="29"/>
      <c r="F1416" s="30"/>
      <c r="G1416" s="29"/>
      <c r="H1416" s="30"/>
      <c r="I1416" s="29"/>
      <c r="J1416" s="30"/>
      <c r="K1416" s="30"/>
      <c r="L1416" s="29"/>
      <c r="M1416" s="32" t="str">
        <f aca="false">IF(OR(C1416="",L1416=""),"",IF(C1416=L1416,"同一","変更"))</f>
        <v/>
      </c>
      <c r="N1416" s="29"/>
      <c r="O1416" s="30"/>
      <c r="P1416" s="29"/>
      <c r="Q1416" s="31"/>
      <c r="R1416" s="29"/>
      <c r="S1416" s="29"/>
      <c r="T1416" s="30"/>
      <c r="U1416" s="47" t="str">
        <f aca="false">IF(AND(B1416&lt;&gt;"",B1416=SW別シート!$C$3),COUNTIF(B$5:B1416,B1416),"")</f>
        <v/>
      </c>
      <c r="V1416" s="47" t="n">
        <f aca="false">V1415+IF(OR(O1416&lt;&gt;"",W1416&lt;&gt;""),1,0)</f>
        <v>3</v>
      </c>
      <c r="W1416" s="29"/>
    </row>
    <row r="1417" customFormat="false" ht="15" hidden="false" customHeight="false" outlineLevel="0" collapsed="false">
      <c r="A1417" s="32" t="str">
        <f aca="false">IF(B1417="","",ROW()-7)</f>
        <v/>
      </c>
      <c r="B1417" s="30"/>
      <c r="C1417" s="29"/>
      <c r="D1417" s="29"/>
      <c r="E1417" s="29"/>
      <c r="F1417" s="30"/>
      <c r="G1417" s="29"/>
      <c r="H1417" s="30"/>
      <c r="I1417" s="29"/>
      <c r="J1417" s="30"/>
      <c r="K1417" s="30"/>
      <c r="L1417" s="29"/>
      <c r="M1417" s="32" t="str">
        <f aca="false">IF(OR(C1417="",L1417=""),"",IF(C1417=L1417,"同一","変更"))</f>
        <v/>
      </c>
      <c r="N1417" s="29"/>
      <c r="O1417" s="30"/>
      <c r="P1417" s="29"/>
      <c r="Q1417" s="31"/>
      <c r="R1417" s="29"/>
      <c r="S1417" s="29"/>
      <c r="T1417" s="30"/>
      <c r="U1417" s="47" t="str">
        <f aca="false">IF(AND(B1417&lt;&gt;"",B1417=SW別シート!$C$3),COUNTIF(B$5:B1417,B1417),"")</f>
        <v/>
      </c>
      <c r="V1417" s="47" t="n">
        <f aca="false">V1416+IF(OR(O1417&lt;&gt;"",W1417&lt;&gt;""),1,0)</f>
        <v>3</v>
      </c>
      <c r="W1417" s="29"/>
    </row>
    <row r="1418" customFormat="false" ht="15" hidden="false" customHeight="false" outlineLevel="0" collapsed="false">
      <c r="A1418" s="32" t="str">
        <f aca="false">IF(B1418="","",ROW()-7)</f>
        <v/>
      </c>
      <c r="B1418" s="30"/>
      <c r="C1418" s="29"/>
      <c r="D1418" s="29"/>
      <c r="E1418" s="29"/>
      <c r="F1418" s="30"/>
      <c r="G1418" s="29"/>
      <c r="H1418" s="30"/>
      <c r="I1418" s="29"/>
      <c r="J1418" s="30"/>
      <c r="K1418" s="30"/>
      <c r="L1418" s="29"/>
      <c r="M1418" s="32" t="str">
        <f aca="false">IF(OR(C1418="",L1418=""),"",IF(C1418=L1418,"同一","変更"))</f>
        <v/>
      </c>
      <c r="N1418" s="29"/>
      <c r="O1418" s="30"/>
      <c r="P1418" s="29"/>
      <c r="Q1418" s="31"/>
      <c r="R1418" s="29"/>
      <c r="S1418" s="29"/>
      <c r="T1418" s="30"/>
      <c r="U1418" s="47" t="str">
        <f aca="false">IF(AND(B1418&lt;&gt;"",B1418=SW別シート!$C$3),COUNTIF(B$5:B1418,B1418),"")</f>
        <v/>
      </c>
      <c r="V1418" s="47" t="n">
        <f aca="false">V1417+IF(OR(O1418&lt;&gt;"",W1418&lt;&gt;""),1,0)</f>
        <v>3</v>
      </c>
      <c r="W1418" s="29"/>
    </row>
    <row r="1419" customFormat="false" ht="15" hidden="false" customHeight="false" outlineLevel="0" collapsed="false">
      <c r="A1419" s="32" t="str">
        <f aca="false">IF(B1419="","",ROW()-7)</f>
        <v/>
      </c>
      <c r="B1419" s="30"/>
      <c r="C1419" s="29"/>
      <c r="D1419" s="29"/>
      <c r="E1419" s="29"/>
      <c r="F1419" s="30"/>
      <c r="G1419" s="29"/>
      <c r="H1419" s="30"/>
      <c r="I1419" s="29"/>
      <c r="J1419" s="30"/>
      <c r="K1419" s="30"/>
      <c r="L1419" s="29"/>
      <c r="M1419" s="32" t="str">
        <f aca="false">IF(OR(C1419="",L1419=""),"",IF(C1419=L1419,"同一","変更"))</f>
        <v/>
      </c>
      <c r="N1419" s="29"/>
      <c r="O1419" s="30"/>
      <c r="P1419" s="29"/>
      <c r="Q1419" s="31"/>
      <c r="R1419" s="29"/>
      <c r="S1419" s="29"/>
      <c r="T1419" s="30"/>
      <c r="U1419" s="47" t="str">
        <f aca="false">IF(AND(B1419&lt;&gt;"",B1419=SW別シート!$C$3),COUNTIF(B$5:B1419,B1419),"")</f>
        <v/>
      </c>
      <c r="V1419" s="47" t="n">
        <f aca="false">V1418+IF(OR(O1419&lt;&gt;"",W1419&lt;&gt;""),1,0)</f>
        <v>3</v>
      </c>
      <c r="W1419" s="29"/>
    </row>
    <row r="1420" customFormat="false" ht="15" hidden="false" customHeight="false" outlineLevel="0" collapsed="false">
      <c r="A1420" s="32" t="str">
        <f aca="false">IF(B1420="","",ROW()-7)</f>
        <v/>
      </c>
      <c r="B1420" s="30"/>
      <c r="C1420" s="29"/>
      <c r="D1420" s="29"/>
      <c r="E1420" s="29"/>
      <c r="F1420" s="30"/>
      <c r="G1420" s="29"/>
      <c r="H1420" s="30"/>
      <c r="I1420" s="29"/>
      <c r="J1420" s="30"/>
      <c r="K1420" s="30"/>
      <c r="L1420" s="29"/>
      <c r="M1420" s="32" t="str">
        <f aca="false">IF(OR(C1420="",L1420=""),"",IF(C1420=L1420,"同一","変更"))</f>
        <v/>
      </c>
      <c r="N1420" s="29"/>
      <c r="O1420" s="30"/>
      <c r="P1420" s="29"/>
      <c r="Q1420" s="31"/>
      <c r="R1420" s="29"/>
      <c r="S1420" s="29"/>
      <c r="T1420" s="30"/>
      <c r="U1420" s="47" t="str">
        <f aca="false">IF(AND(B1420&lt;&gt;"",B1420=SW別シート!$C$3),COUNTIF(B$5:B1420,B1420),"")</f>
        <v/>
      </c>
      <c r="V1420" s="47" t="n">
        <f aca="false">V1419+IF(OR(O1420&lt;&gt;"",W1420&lt;&gt;""),1,0)</f>
        <v>3</v>
      </c>
      <c r="W1420" s="29"/>
    </row>
    <row r="1421" customFormat="false" ht="15" hidden="false" customHeight="false" outlineLevel="0" collapsed="false">
      <c r="A1421" s="32" t="str">
        <f aca="false">IF(B1421="","",ROW()-7)</f>
        <v/>
      </c>
      <c r="B1421" s="30"/>
      <c r="C1421" s="29"/>
      <c r="D1421" s="29"/>
      <c r="E1421" s="29"/>
      <c r="F1421" s="30"/>
      <c r="G1421" s="29"/>
      <c r="H1421" s="30"/>
      <c r="I1421" s="29"/>
      <c r="J1421" s="30"/>
      <c r="K1421" s="30"/>
      <c r="L1421" s="29"/>
      <c r="M1421" s="32" t="str">
        <f aca="false">IF(OR(C1421="",L1421=""),"",IF(C1421=L1421,"同一","変更"))</f>
        <v/>
      </c>
      <c r="N1421" s="29"/>
      <c r="O1421" s="30"/>
      <c r="P1421" s="29"/>
      <c r="Q1421" s="31"/>
      <c r="R1421" s="29"/>
      <c r="S1421" s="29"/>
      <c r="T1421" s="30"/>
      <c r="U1421" s="47" t="str">
        <f aca="false">IF(AND(B1421&lt;&gt;"",B1421=SW別シート!$C$3),COUNTIF(B$5:B1421,B1421),"")</f>
        <v/>
      </c>
      <c r="V1421" s="47" t="n">
        <f aca="false">V1420+IF(OR(O1421&lt;&gt;"",W1421&lt;&gt;""),1,0)</f>
        <v>3</v>
      </c>
      <c r="W1421" s="29"/>
    </row>
    <row r="1422" customFormat="false" ht="15" hidden="false" customHeight="false" outlineLevel="0" collapsed="false">
      <c r="A1422" s="32" t="str">
        <f aca="false">IF(B1422="","",ROW()-7)</f>
        <v/>
      </c>
      <c r="B1422" s="30"/>
      <c r="C1422" s="29"/>
      <c r="D1422" s="29"/>
      <c r="E1422" s="29"/>
      <c r="F1422" s="30"/>
      <c r="G1422" s="29"/>
      <c r="H1422" s="30"/>
      <c r="I1422" s="29"/>
      <c r="J1422" s="30"/>
      <c r="K1422" s="30"/>
      <c r="L1422" s="29"/>
      <c r="M1422" s="32" t="str">
        <f aca="false">IF(OR(C1422="",L1422=""),"",IF(C1422=L1422,"同一","変更"))</f>
        <v/>
      </c>
      <c r="N1422" s="29"/>
      <c r="O1422" s="30"/>
      <c r="P1422" s="29"/>
      <c r="Q1422" s="31"/>
      <c r="R1422" s="29"/>
      <c r="S1422" s="29"/>
      <c r="T1422" s="30"/>
      <c r="U1422" s="47" t="str">
        <f aca="false">IF(AND(B1422&lt;&gt;"",B1422=SW別シート!$C$3),COUNTIF(B$5:B1422,B1422),"")</f>
        <v/>
      </c>
      <c r="V1422" s="47" t="n">
        <f aca="false">V1421+IF(OR(O1422&lt;&gt;"",W1422&lt;&gt;""),1,0)</f>
        <v>3</v>
      </c>
      <c r="W1422" s="29"/>
    </row>
    <row r="1423" customFormat="false" ht="15" hidden="false" customHeight="false" outlineLevel="0" collapsed="false">
      <c r="A1423" s="32" t="str">
        <f aca="false">IF(B1423="","",ROW()-7)</f>
        <v/>
      </c>
      <c r="B1423" s="30"/>
      <c r="C1423" s="29"/>
      <c r="D1423" s="29"/>
      <c r="E1423" s="29"/>
      <c r="F1423" s="30"/>
      <c r="G1423" s="29"/>
      <c r="H1423" s="30"/>
      <c r="I1423" s="29"/>
      <c r="J1423" s="30"/>
      <c r="K1423" s="30"/>
      <c r="L1423" s="29"/>
      <c r="M1423" s="32" t="str">
        <f aca="false">IF(OR(C1423="",L1423=""),"",IF(C1423=L1423,"同一","変更"))</f>
        <v/>
      </c>
      <c r="N1423" s="29"/>
      <c r="O1423" s="30"/>
      <c r="P1423" s="29"/>
      <c r="Q1423" s="31"/>
      <c r="R1423" s="29"/>
      <c r="S1423" s="29"/>
      <c r="T1423" s="30"/>
      <c r="U1423" s="47" t="str">
        <f aca="false">IF(AND(B1423&lt;&gt;"",B1423=SW別シート!$C$3),COUNTIF(B$5:B1423,B1423),"")</f>
        <v/>
      </c>
      <c r="V1423" s="47" t="n">
        <f aca="false">V1422+IF(OR(O1423&lt;&gt;"",W1423&lt;&gt;""),1,0)</f>
        <v>3</v>
      </c>
      <c r="W1423" s="29"/>
    </row>
    <row r="1424" customFormat="false" ht="15" hidden="false" customHeight="false" outlineLevel="0" collapsed="false">
      <c r="A1424" s="32" t="str">
        <f aca="false">IF(B1424="","",ROW()-7)</f>
        <v/>
      </c>
      <c r="B1424" s="30"/>
      <c r="C1424" s="29"/>
      <c r="D1424" s="29"/>
      <c r="E1424" s="29"/>
      <c r="F1424" s="30"/>
      <c r="G1424" s="29"/>
      <c r="H1424" s="30"/>
      <c r="I1424" s="29"/>
      <c r="J1424" s="30"/>
      <c r="K1424" s="30"/>
      <c r="L1424" s="29"/>
      <c r="M1424" s="32" t="str">
        <f aca="false">IF(OR(C1424="",L1424=""),"",IF(C1424=L1424,"同一","変更"))</f>
        <v/>
      </c>
      <c r="N1424" s="29"/>
      <c r="O1424" s="30"/>
      <c r="P1424" s="29"/>
      <c r="Q1424" s="31"/>
      <c r="R1424" s="29"/>
      <c r="S1424" s="29"/>
      <c r="T1424" s="30"/>
      <c r="U1424" s="47" t="str">
        <f aca="false">IF(AND(B1424&lt;&gt;"",B1424=SW別シート!$C$3),COUNTIF(B$5:B1424,B1424),"")</f>
        <v/>
      </c>
      <c r="V1424" s="47" t="n">
        <f aca="false">V1423+IF(OR(O1424&lt;&gt;"",W1424&lt;&gt;""),1,0)</f>
        <v>3</v>
      </c>
      <c r="W1424" s="29"/>
    </row>
    <row r="1425" customFormat="false" ht="15" hidden="false" customHeight="false" outlineLevel="0" collapsed="false">
      <c r="A1425" s="32" t="str">
        <f aca="false">IF(B1425="","",ROW()-7)</f>
        <v/>
      </c>
      <c r="B1425" s="30"/>
      <c r="C1425" s="29"/>
      <c r="D1425" s="29"/>
      <c r="E1425" s="29"/>
      <c r="F1425" s="30"/>
      <c r="G1425" s="29"/>
      <c r="H1425" s="30"/>
      <c r="I1425" s="29"/>
      <c r="J1425" s="30"/>
      <c r="K1425" s="30"/>
      <c r="L1425" s="29"/>
      <c r="M1425" s="32" t="str">
        <f aca="false">IF(OR(C1425="",L1425=""),"",IF(C1425=L1425,"同一","変更"))</f>
        <v/>
      </c>
      <c r="N1425" s="29"/>
      <c r="O1425" s="30"/>
      <c r="P1425" s="29"/>
      <c r="Q1425" s="31"/>
      <c r="R1425" s="29"/>
      <c r="S1425" s="29"/>
      <c r="T1425" s="30"/>
      <c r="U1425" s="47" t="str">
        <f aca="false">IF(AND(B1425&lt;&gt;"",B1425=SW別シート!$C$3),COUNTIF(B$5:B1425,B1425),"")</f>
        <v/>
      </c>
      <c r="V1425" s="47" t="n">
        <f aca="false">V1424+IF(OR(O1425&lt;&gt;"",W1425&lt;&gt;""),1,0)</f>
        <v>3</v>
      </c>
      <c r="W1425" s="29"/>
    </row>
    <row r="1426" customFormat="false" ht="15" hidden="false" customHeight="false" outlineLevel="0" collapsed="false">
      <c r="A1426" s="32" t="str">
        <f aca="false">IF(B1426="","",ROW()-7)</f>
        <v/>
      </c>
      <c r="B1426" s="30"/>
      <c r="C1426" s="29"/>
      <c r="D1426" s="29"/>
      <c r="E1426" s="29"/>
      <c r="F1426" s="30"/>
      <c r="G1426" s="29"/>
      <c r="H1426" s="30"/>
      <c r="I1426" s="29"/>
      <c r="J1426" s="30"/>
      <c r="K1426" s="30"/>
      <c r="L1426" s="29"/>
      <c r="M1426" s="32" t="str">
        <f aca="false">IF(OR(C1426="",L1426=""),"",IF(C1426=L1426,"同一","変更"))</f>
        <v/>
      </c>
      <c r="N1426" s="29"/>
      <c r="O1426" s="30"/>
      <c r="P1426" s="29"/>
      <c r="Q1426" s="31"/>
      <c r="R1426" s="29"/>
      <c r="S1426" s="29"/>
      <c r="T1426" s="30"/>
      <c r="U1426" s="47" t="str">
        <f aca="false">IF(AND(B1426&lt;&gt;"",B1426=SW別シート!$C$3),COUNTIF(B$5:B1426,B1426),"")</f>
        <v/>
      </c>
      <c r="V1426" s="47" t="n">
        <f aca="false">V1425+IF(OR(O1426&lt;&gt;"",W1426&lt;&gt;""),1,0)</f>
        <v>3</v>
      </c>
      <c r="W1426" s="29"/>
    </row>
    <row r="1427" customFormat="false" ht="15" hidden="false" customHeight="false" outlineLevel="0" collapsed="false">
      <c r="A1427" s="32" t="str">
        <f aca="false">IF(B1427="","",ROW()-7)</f>
        <v/>
      </c>
      <c r="B1427" s="30"/>
      <c r="C1427" s="29"/>
      <c r="D1427" s="29"/>
      <c r="E1427" s="29"/>
      <c r="F1427" s="30"/>
      <c r="G1427" s="29"/>
      <c r="H1427" s="30"/>
      <c r="I1427" s="29"/>
      <c r="J1427" s="30"/>
      <c r="K1427" s="30"/>
      <c r="L1427" s="29"/>
      <c r="M1427" s="32" t="str">
        <f aca="false">IF(OR(C1427="",L1427=""),"",IF(C1427=L1427,"同一","変更"))</f>
        <v/>
      </c>
      <c r="N1427" s="29"/>
      <c r="O1427" s="30"/>
      <c r="P1427" s="29"/>
      <c r="Q1427" s="31"/>
      <c r="R1427" s="29"/>
      <c r="S1427" s="29"/>
      <c r="T1427" s="30"/>
      <c r="U1427" s="47" t="str">
        <f aca="false">IF(AND(B1427&lt;&gt;"",B1427=SW別シート!$C$3),COUNTIF(B$5:B1427,B1427),"")</f>
        <v/>
      </c>
      <c r="V1427" s="47" t="n">
        <f aca="false">V1426+IF(OR(O1427&lt;&gt;"",W1427&lt;&gt;""),1,0)</f>
        <v>3</v>
      </c>
      <c r="W1427" s="29"/>
    </row>
    <row r="1428" customFormat="false" ht="15" hidden="false" customHeight="false" outlineLevel="0" collapsed="false">
      <c r="A1428" s="32" t="str">
        <f aca="false">IF(B1428="","",ROW()-7)</f>
        <v/>
      </c>
      <c r="B1428" s="30"/>
      <c r="C1428" s="29"/>
      <c r="D1428" s="29"/>
      <c r="E1428" s="29"/>
      <c r="F1428" s="30"/>
      <c r="G1428" s="29"/>
      <c r="H1428" s="30"/>
      <c r="I1428" s="29"/>
      <c r="J1428" s="30"/>
      <c r="K1428" s="30"/>
      <c r="L1428" s="29"/>
      <c r="M1428" s="32" t="str">
        <f aca="false">IF(OR(C1428="",L1428=""),"",IF(C1428=L1428,"同一","変更"))</f>
        <v/>
      </c>
      <c r="N1428" s="29"/>
      <c r="O1428" s="30"/>
      <c r="P1428" s="29"/>
      <c r="Q1428" s="31"/>
      <c r="R1428" s="29"/>
      <c r="S1428" s="29"/>
      <c r="T1428" s="30"/>
      <c r="U1428" s="47" t="str">
        <f aca="false">IF(AND(B1428&lt;&gt;"",B1428=SW別シート!$C$3),COUNTIF(B$5:B1428,B1428),"")</f>
        <v/>
      </c>
      <c r="V1428" s="47" t="n">
        <f aca="false">V1427+IF(OR(O1428&lt;&gt;"",W1428&lt;&gt;""),1,0)</f>
        <v>3</v>
      </c>
      <c r="W1428" s="29"/>
    </row>
    <row r="1429" customFormat="false" ht="15" hidden="false" customHeight="false" outlineLevel="0" collapsed="false">
      <c r="A1429" s="32" t="str">
        <f aca="false">IF(B1429="","",ROW()-7)</f>
        <v/>
      </c>
      <c r="B1429" s="30"/>
      <c r="C1429" s="29"/>
      <c r="D1429" s="29"/>
      <c r="E1429" s="29"/>
      <c r="F1429" s="30"/>
      <c r="G1429" s="29"/>
      <c r="H1429" s="30"/>
      <c r="I1429" s="29"/>
      <c r="J1429" s="30"/>
      <c r="K1429" s="30"/>
      <c r="L1429" s="29"/>
      <c r="M1429" s="32" t="str">
        <f aca="false">IF(OR(C1429="",L1429=""),"",IF(C1429=L1429,"同一","変更"))</f>
        <v/>
      </c>
      <c r="N1429" s="29"/>
      <c r="O1429" s="30"/>
      <c r="P1429" s="29"/>
      <c r="Q1429" s="31"/>
      <c r="R1429" s="29"/>
      <c r="S1429" s="29"/>
      <c r="T1429" s="30"/>
      <c r="U1429" s="47" t="str">
        <f aca="false">IF(AND(B1429&lt;&gt;"",B1429=SW別シート!$C$3),COUNTIF(B$5:B1429,B1429),"")</f>
        <v/>
      </c>
      <c r="V1429" s="47" t="n">
        <f aca="false">V1428+IF(OR(O1429&lt;&gt;"",W1429&lt;&gt;""),1,0)</f>
        <v>3</v>
      </c>
      <c r="W1429" s="29"/>
    </row>
    <row r="1430" customFormat="false" ht="15" hidden="false" customHeight="false" outlineLevel="0" collapsed="false">
      <c r="A1430" s="32" t="str">
        <f aca="false">IF(B1430="","",ROW()-7)</f>
        <v/>
      </c>
      <c r="B1430" s="30"/>
      <c r="C1430" s="29"/>
      <c r="D1430" s="29"/>
      <c r="E1430" s="29"/>
      <c r="F1430" s="30"/>
      <c r="G1430" s="29"/>
      <c r="H1430" s="30"/>
      <c r="I1430" s="29"/>
      <c r="J1430" s="30"/>
      <c r="K1430" s="30"/>
      <c r="L1430" s="29"/>
      <c r="M1430" s="32" t="str">
        <f aca="false">IF(OR(C1430="",L1430=""),"",IF(C1430=L1430,"同一","変更"))</f>
        <v/>
      </c>
      <c r="N1430" s="29"/>
      <c r="O1430" s="30"/>
      <c r="P1430" s="29"/>
      <c r="Q1430" s="31"/>
      <c r="R1430" s="29"/>
      <c r="S1430" s="29"/>
      <c r="T1430" s="30"/>
      <c r="U1430" s="47" t="str">
        <f aca="false">IF(AND(B1430&lt;&gt;"",B1430=SW別シート!$C$3),COUNTIF(B$5:B1430,B1430),"")</f>
        <v/>
      </c>
      <c r="V1430" s="47" t="n">
        <f aca="false">V1429+IF(OR(O1430&lt;&gt;"",W1430&lt;&gt;""),1,0)</f>
        <v>3</v>
      </c>
      <c r="W1430" s="29"/>
    </row>
    <row r="1431" customFormat="false" ht="15" hidden="false" customHeight="false" outlineLevel="0" collapsed="false">
      <c r="A1431" s="32" t="str">
        <f aca="false">IF(B1431="","",ROW()-7)</f>
        <v/>
      </c>
      <c r="B1431" s="30"/>
      <c r="C1431" s="29"/>
      <c r="D1431" s="29"/>
      <c r="E1431" s="29"/>
      <c r="F1431" s="30"/>
      <c r="G1431" s="29"/>
      <c r="H1431" s="30"/>
      <c r="I1431" s="29"/>
      <c r="J1431" s="30"/>
      <c r="K1431" s="30"/>
      <c r="L1431" s="29"/>
      <c r="M1431" s="32" t="str">
        <f aca="false">IF(OR(C1431="",L1431=""),"",IF(C1431=L1431,"同一","変更"))</f>
        <v/>
      </c>
      <c r="N1431" s="29"/>
      <c r="O1431" s="30"/>
      <c r="P1431" s="29"/>
      <c r="Q1431" s="31"/>
      <c r="R1431" s="29"/>
      <c r="S1431" s="29"/>
      <c r="T1431" s="30"/>
      <c r="U1431" s="47" t="str">
        <f aca="false">IF(AND(B1431&lt;&gt;"",B1431=SW別シート!$C$3),COUNTIF(B$5:B1431,B1431),"")</f>
        <v/>
      </c>
      <c r="V1431" s="47" t="n">
        <f aca="false">V1430+IF(OR(O1431&lt;&gt;"",W1431&lt;&gt;""),1,0)</f>
        <v>3</v>
      </c>
      <c r="W1431" s="29"/>
    </row>
    <row r="1432" customFormat="false" ht="15" hidden="false" customHeight="false" outlineLevel="0" collapsed="false">
      <c r="A1432" s="32" t="str">
        <f aca="false">IF(B1432="","",ROW()-7)</f>
        <v/>
      </c>
      <c r="B1432" s="30"/>
      <c r="C1432" s="29"/>
      <c r="D1432" s="29"/>
      <c r="E1432" s="29"/>
      <c r="F1432" s="30"/>
      <c r="G1432" s="29"/>
      <c r="H1432" s="30"/>
      <c r="I1432" s="29"/>
      <c r="J1432" s="30"/>
      <c r="K1432" s="30"/>
      <c r="L1432" s="29"/>
      <c r="M1432" s="32" t="str">
        <f aca="false">IF(OR(C1432="",L1432=""),"",IF(C1432=L1432,"同一","変更"))</f>
        <v/>
      </c>
      <c r="N1432" s="29"/>
      <c r="O1432" s="30"/>
      <c r="P1432" s="29"/>
      <c r="Q1432" s="31"/>
      <c r="R1432" s="29"/>
      <c r="S1432" s="29"/>
      <c r="T1432" s="30"/>
      <c r="U1432" s="47" t="str">
        <f aca="false">IF(AND(B1432&lt;&gt;"",B1432=SW別シート!$C$3),COUNTIF(B$5:B1432,B1432),"")</f>
        <v/>
      </c>
      <c r="V1432" s="47" t="n">
        <f aca="false">V1431+IF(OR(O1432&lt;&gt;"",W1432&lt;&gt;""),1,0)</f>
        <v>3</v>
      </c>
      <c r="W1432" s="29"/>
    </row>
    <row r="1433" customFormat="false" ht="15" hidden="false" customHeight="false" outlineLevel="0" collapsed="false">
      <c r="A1433" s="32" t="str">
        <f aca="false">IF(B1433="","",ROW()-7)</f>
        <v/>
      </c>
      <c r="B1433" s="30"/>
      <c r="C1433" s="29"/>
      <c r="D1433" s="29"/>
      <c r="E1433" s="29"/>
      <c r="F1433" s="30"/>
      <c r="G1433" s="29"/>
      <c r="H1433" s="30"/>
      <c r="I1433" s="29"/>
      <c r="J1433" s="30"/>
      <c r="K1433" s="30"/>
      <c r="L1433" s="29"/>
      <c r="M1433" s="32" t="str">
        <f aca="false">IF(OR(C1433="",L1433=""),"",IF(C1433=L1433,"同一","変更"))</f>
        <v/>
      </c>
      <c r="N1433" s="29"/>
      <c r="O1433" s="30"/>
      <c r="P1433" s="29"/>
      <c r="Q1433" s="31"/>
      <c r="R1433" s="29"/>
      <c r="S1433" s="29"/>
      <c r="T1433" s="30"/>
      <c r="U1433" s="47" t="str">
        <f aca="false">IF(AND(B1433&lt;&gt;"",B1433=SW別シート!$C$3),COUNTIF(B$5:B1433,B1433),"")</f>
        <v/>
      </c>
      <c r="V1433" s="47" t="n">
        <f aca="false">V1432+IF(OR(O1433&lt;&gt;"",W1433&lt;&gt;""),1,0)</f>
        <v>3</v>
      </c>
      <c r="W1433" s="29"/>
    </row>
    <row r="1434" customFormat="false" ht="15" hidden="false" customHeight="false" outlineLevel="0" collapsed="false">
      <c r="A1434" s="32" t="str">
        <f aca="false">IF(B1434="","",ROW()-7)</f>
        <v/>
      </c>
      <c r="B1434" s="30"/>
      <c r="C1434" s="29"/>
      <c r="D1434" s="29"/>
      <c r="E1434" s="29"/>
      <c r="F1434" s="30"/>
      <c r="G1434" s="29"/>
      <c r="H1434" s="30"/>
      <c r="I1434" s="29"/>
      <c r="J1434" s="30"/>
      <c r="K1434" s="30"/>
      <c r="L1434" s="29"/>
      <c r="M1434" s="32" t="str">
        <f aca="false">IF(OR(C1434="",L1434=""),"",IF(C1434=L1434,"同一","変更"))</f>
        <v/>
      </c>
      <c r="N1434" s="29"/>
      <c r="O1434" s="30"/>
      <c r="P1434" s="29"/>
      <c r="Q1434" s="31"/>
      <c r="R1434" s="29"/>
      <c r="S1434" s="29"/>
      <c r="T1434" s="30"/>
      <c r="U1434" s="47" t="str">
        <f aca="false">IF(AND(B1434&lt;&gt;"",B1434=SW別シート!$C$3),COUNTIF(B$5:B1434,B1434),"")</f>
        <v/>
      </c>
      <c r="V1434" s="47" t="n">
        <f aca="false">V1433+IF(OR(O1434&lt;&gt;"",W1434&lt;&gt;""),1,0)</f>
        <v>3</v>
      </c>
      <c r="W1434" s="29"/>
    </row>
    <row r="1435" customFormat="false" ht="15" hidden="false" customHeight="false" outlineLevel="0" collapsed="false">
      <c r="A1435" s="32" t="str">
        <f aca="false">IF(B1435="","",ROW()-7)</f>
        <v/>
      </c>
      <c r="B1435" s="30"/>
      <c r="C1435" s="29"/>
      <c r="D1435" s="29"/>
      <c r="E1435" s="29"/>
      <c r="F1435" s="30"/>
      <c r="G1435" s="29"/>
      <c r="H1435" s="30"/>
      <c r="I1435" s="29"/>
      <c r="J1435" s="30"/>
      <c r="K1435" s="30"/>
      <c r="L1435" s="29"/>
      <c r="M1435" s="32" t="str">
        <f aca="false">IF(OR(C1435="",L1435=""),"",IF(C1435=L1435,"同一","変更"))</f>
        <v/>
      </c>
      <c r="N1435" s="29"/>
      <c r="O1435" s="30"/>
      <c r="P1435" s="29"/>
      <c r="Q1435" s="31"/>
      <c r="R1435" s="29"/>
      <c r="S1435" s="29"/>
      <c r="T1435" s="30"/>
      <c r="U1435" s="47" t="str">
        <f aca="false">IF(AND(B1435&lt;&gt;"",B1435=SW別シート!$C$3),COUNTIF(B$5:B1435,B1435),"")</f>
        <v/>
      </c>
      <c r="V1435" s="47" t="n">
        <f aca="false">V1434+IF(OR(O1435&lt;&gt;"",W1435&lt;&gt;""),1,0)</f>
        <v>3</v>
      </c>
      <c r="W1435" s="29"/>
    </row>
    <row r="1436" customFormat="false" ht="15" hidden="false" customHeight="false" outlineLevel="0" collapsed="false">
      <c r="A1436" s="32" t="str">
        <f aca="false">IF(B1436="","",ROW()-7)</f>
        <v/>
      </c>
      <c r="B1436" s="30"/>
      <c r="C1436" s="29"/>
      <c r="D1436" s="29"/>
      <c r="E1436" s="29"/>
      <c r="F1436" s="30"/>
      <c r="G1436" s="29"/>
      <c r="H1436" s="30"/>
      <c r="I1436" s="29"/>
      <c r="J1436" s="30"/>
      <c r="K1436" s="30"/>
      <c r="L1436" s="29"/>
      <c r="M1436" s="32" t="str">
        <f aca="false">IF(OR(C1436="",L1436=""),"",IF(C1436=L1436,"同一","変更"))</f>
        <v/>
      </c>
      <c r="N1436" s="29"/>
      <c r="O1436" s="30"/>
      <c r="P1436" s="29"/>
      <c r="Q1436" s="31"/>
      <c r="R1436" s="29"/>
      <c r="S1436" s="29"/>
      <c r="T1436" s="30"/>
      <c r="U1436" s="47" t="str">
        <f aca="false">IF(AND(B1436&lt;&gt;"",B1436=SW別シート!$C$3),COUNTIF(B$5:B1436,B1436),"")</f>
        <v/>
      </c>
      <c r="V1436" s="47" t="n">
        <f aca="false">V1435+IF(OR(O1436&lt;&gt;"",W1436&lt;&gt;""),1,0)</f>
        <v>3</v>
      </c>
      <c r="W1436" s="29"/>
    </row>
    <row r="1437" customFormat="false" ht="15" hidden="false" customHeight="false" outlineLevel="0" collapsed="false">
      <c r="A1437" s="32" t="str">
        <f aca="false">IF(B1437="","",ROW()-7)</f>
        <v/>
      </c>
      <c r="B1437" s="30"/>
      <c r="C1437" s="29"/>
      <c r="D1437" s="29"/>
      <c r="E1437" s="29"/>
      <c r="F1437" s="30"/>
      <c r="G1437" s="29"/>
      <c r="H1437" s="30"/>
      <c r="I1437" s="29"/>
      <c r="J1437" s="30"/>
      <c r="K1437" s="30"/>
      <c r="L1437" s="29"/>
      <c r="M1437" s="32" t="str">
        <f aca="false">IF(OR(C1437="",L1437=""),"",IF(C1437=L1437,"同一","変更"))</f>
        <v/>
      </c>
      <c r="N1437" s="29"/>
      <c r="O1437" s="30"/>
      <c r="P1437" s="29"/>
      <c r="Q1437" s="31"/>
      <c r="R1437" s="29"/>
      <c r="S1437" s="29"/>
      <c r="T1437" s="30"/>
      <c r="U1437" s="47" t="str">
        <f aca="false">IF(AND(B1437&lt;&gt;"",B1437=SW別シート!$C$3),COUNTIF(B$5:B1437,B1437),"")</f>
        <v/>
      </c>
      <c r="V1437" s="47" t="n">
        <f aca="false">V1436+IF(OR(O1437&lt;&gt;"",W1437&lt;&gt;""),1,0)</f>
        <v>3</v>
      </c>
      <c r="W1437" s="29"/>
    </row>
    <row r="1438" customFormat="false" ht="15" hidden="false" customHeight="false" outlineLevel="0" collapsed="false">
      <c r="A1438" s="32" t="str">
        <f aca="false">IF(B1438="","",ROW()-7)</f>
        <v/>
      </c>
      <c r="B1438" s="30"/>
      <c r="C1438" s="29"/>
      <c r="D1438" s="29"/>
      <c r="E1438" s="29"/>
      <c r="F1438" s="30"/>
      <c r="G1438" s="29"/>
      <c r="H1438" s="30"/>
      <c r="I1438" s="29"/>
      <c r="J1438" s="30"/>
      <c r="K1438" s="30"/>
      <c r="L1438" s="29"/>
      <c r="M1438" s="32" t="str">
        <f aca="false">IF(OR(C1438="",L1438=""),"",IF(C1438=L1438,"同一","変更"))</f>
        <v/>
      </c>
      <c r="N1438" s="29"/>
      <c r="O1438" s="30"/>
      <c r="P1438" s="29"/>
      <c r="Q1438" s="31"/>
      <c r="R1438" s="29"/>
      <c r="S1438" s="29"/>
      <c r="T1438" s="30"/>
      <c r="U1438" s="47" t="str">
        <f aca="false">IF(AND(B1438&lt;&gt;"",B1438=SW別シート!$C$3),COUNTIF(B$5:B1438,B1438),"")</f>
        <v/>
      </c>
      <c r="V1438" s="47" t="n">
        <f aca="false">V1437+IF(OR(O1438&lt;&gt;"",W1438&lt;&gt;""),1,0)</f>
        <v>3</v>
      </c>
      <c r="W1438" s="29"/>
    </row>
    <row r="1439" customFormat="false" ht="15" hidden="false" customHeight="false" outlineLevel="0" collapsed="false">
      <c r="A1439" s="32" t="str">
        <f aca="false">IF(B1439="","",ROW()-7)</f>
        <v/>
      </c>
      <c r="B1439" s="30"/>
      <c r="C1439" s="29"/>
      <c r="D1439" s="29"/>
      <c r="E1439" s="29"/>
      <c r="F1439" s="30"/>
      <c r="G1439" s="29"/>
      <c r="H1439" s="30"/>
      <c r="I1439" s="29"/>
      <c r="J1439" s="30"/>
      <c r="K1439" s="30"/>
      <c r="L1439" s="29"/>
      <c r="M1439" s="32" t="str">
        <f aca="false">IF(OR(C1439="",L1439=""),"",IF(C1439=L1439,"同一","変更"))</f>
        <v/>
      </c>
      <c r="N1439" s="29"/>
      <c r="O1439" s="30"/>
      <c r="P1439" s="29"/>
      <c r="Q1439" s="31"/>
      <c r="R1439" s="29"/>
      <c r="S1439" s="29"/>
      <c r="T1439" s="30"/>
      <c r="U1439" s="47" t="str">
        <f aca="false">IF(AND(B1439&lt;&gt;"",B1439=SW別シート!$C$3),COUNTIF(B$5:B1439,B1439),"")</f>
        <v/>
      </c>
      <c r="V1439" s="47" t="n">
        <f aca="false">V1438+IF(OR(O1439&lt;&gt;"",W1439&lt;&gt;""),1,0)</f>
        <v>3</v>
      </c>
      <c r="W1439" s="29"/>
    </row>
    <row r="1440" customFormat="false" ht="15" hidden="false" customHeight="false" outlineLevel="0" collapsed="false">
      <c r="A1440" s="32" t="str">
        <f aca="false">IF(B1440="","",ROW()-7)</f>
        <v/>
      </c>
      <c r="B1440" s="30"/>
      <c r="C1440" s="29"/>
      <c r="D1440" s="29"/>
      <c r="E1440" s="29"/>
      <c r="F1440" s="30"/>
      <c r="G1440" s="29"/>
      <c r="H1440" s="30"/>
      <c r="I1440" s="29"/>
      <c r="J1440" s="30"/>
      <c r="K1440" s="30"/>
      <c r="L1440" s="29"/>
      <c r="M1440" s="32" t="str">
        <f aca="false">IF(OR(C1440="",L1440=""),"",IF(C1440=L1440,"同一","変更"))</f>
        <v/>
      </c>
      <c r="N1440" s="29"/>
      <c r="O1440" s="30"/>
      <c r="P1440" s="29"/>
      <c r="Q1440" s="31"/>
      <c r="R1440" s="29"/>
      <c r="S1440" s="29"/>
      <c r="T1440" s="30"/>
      <c r="U1440" s="47" t="str">
        <f aca="false">IF(AND(B1440&lt;&gt;"",B1440=SW別シート!$C$3),COUNTIF(B$5:B1440,B1440),"")</f>
        <v/>
      </c>
      <c r="V1440" s="47" t="n">
        <f aca="false">V1439+IF(OR(O1440&lt;&gt;"",W1440&lt;&gt;""),1,0)</f>
        <v>3</v>
      </c>
      <c r="W1440" s="29"/>
    </row>
    <row r="1441" customFormat="false" ht="15" hidden="false" customHeight="false" outlineLevel="0" collapsed="false">
      <c r="A1441" s="32" t="str">
        <f aca="false">IF(B1441="","",ROW()-7)</f>
        <v/>
      </c>
      <c r="B1441" s="30"/>
      <c r="C1441" s="29"/>
      <c r="D1441" s="29"/>
      <c r="E1441" s="29"/>
      <c r="F1441" s="30"/>
      <c r="G1441" s="29"/>
      <c r="H1441" s="30"/>
      <c r="I1441" s="29"/>
      <c r="J1441" s="30"/>
      <c r="K1441" s="30"/>
      <c r="L1441" s="29"/>
      <c r="M1441" s="32" t="str">
        <f aca="false">IF(OR(C1441="",L1441=""),"",IF(C1441=L1441,"同一","変更"))</f>
        <v/>
      </c>
      <c r="N1441" s="29"/>
      <c r="O1441" s="30"/>
      <c r="P1441" s="29"/>
      <c r="Q1441" s="31"/>
      <c r="R1441" s="29"/>
      <c r="S1441" s="29"/>
      <c r="T1441" s="30"/>
      <c r="U1441" s="47" t="str">
        <f aca="false">IF(AND(B1441&lt;&gt;"",B1441=SW別シート!$C$3),COUNTIF(B$5:B1441,B1441),"")</f>
        <v/>
      </c>
      <c r="V1441" s="47" t="n">
        <f aca="false">V1440+IF(OR(O1441&lt;&gt;"",W1441&lt;&gt;""),1,0)</f>
        <v>3</v>
      </c>
      <c r="W1441" s="29"/>
    </row>
    <row r="1442" customFormat="false" ht="15" hidden="false" customHeight="false" outlineLevel="0" collapsed="false">
      <c r="A1442" s="32" t="str">
        <f aca="false">IF(B1442="","",ROW()-7)</f>
        <v/>
      </c>
      <c r="B1442" s="30"/>
      <c r="C1442" s="29"/>
      <c r="D1442" s="29"/>
      <c r="E1442" s="29"/>
      <c r="F1442" s="30"/>
      <c r="G1442" s="29"/>
      <c r="H1442" s="30"/>
      <c r="I1442" s="29"/>
      <c r="J1442" s="30"/>
      <c r="K1442" s="30"/>
      <c r="L1442" s="29"/>
      <c r="M1442" s="32" t="str">
        <f aca="false">IF(OR(C1442="",L1442=""),"",IF(C1442=L1442,"同一","変更"))</f>
        <v/>
      </c>
      <c r="N1442" s="29"/>
      <c r="O1442" s="30"/>
      <c r="P1442" s="29"/>
      <c r="Q1442" s="31"/>
      <c r="R1442" s="29"/>
      <c r="S1442" s="29"/>
      <c r="T1442" s="30"/>
      <c r="U1442" s="47" t="str">
        <f aca="false">IF(AND(B1442&lt;&gt;"",B1442=SW別シート!$C$3),COUNTIF(B$5:B1442,B1442),"")</f>
        <v/>
      </c>
      <c r="V1442" s="47" t="n">
        <f aca="false">V1441+IF(OR(O1442&lt;&gt;"",W1442&lt;&gt;""),1,0)</f>
        <v>3</v>
      </c>
      <c r="W1442" s="29"/>
    </row>
    <row r="1443" customFormat="false" ht="15" hidden="false" customHeight="false" outlineLevel="0" collapsed="false">
      <c r="A1443" s="32" t="str">
        <f aca="false">IF(B1443="","",ROW()-7)</f>
        <v/>
      </c>
      <c r="B1443" s="30"/>
      <c r="C1443" s="29"/>
      <c r="D1443" s="29"/>
      <c r="E1443" s="29"/>
      <c r="F1443" s="30"/>
      <c r="G1443" s="29"/>
      <c r="H1443" s="30"/>
      <c r="I1443" s="29"/>
      <c r="J1443" s="30"/>
      <c r="K1443" s="30"/>
      <c r="L1443" s="29"/>
      <c r="M1443" s="32" t="str">
        <f aca="false">IF(OR(C1443="",L1443=""),"",IF(C1443=L1443,"同一","変更"))</f>
        <v/>
      </c>
      <c r="N1443" s="29"/>
      <c r="O1443" s="30"/>
      <c r="P1443" s="29"/>
      <c r="Q1443" s="31"/>
      <c r="R1443" s="29"/>
      <c r="S1443" s="29"/>
      <c r="T1443" s="30"/>
      <c r="U1443" s="47" t="str">
        <f aca="false">IF(AND(B1443&lt;&gt;"",B1443=SW別シート!$C$3),COUNTIF(B$5:B1443,B1443),"")</f>
        <v/>
      </c>
      <c r="V1443" s="47" t="n">
        <f aca="false">V1442+IF(OR(O1443&lt;&gt;"",W1443&lt;&gt;""),1,0)</f>
        <v>3</v>
      </c>
      <c r="W1443" s="29"/>
    </row>
    <row r="1444" customFormat="false" ht="15" hidden="false" customHeight="false" outlineLevel="0" collapsed="false">
      <c r="A1444" s="32" t="str">
        <f aca="false">IF(B1444="","",ROW()-7)</f>
        <v/>
      </c>
      <c r="B1444" s="30"/>
      <c r="C1444" s="29"/>
      <c r="D1444" s="29"/>
      <c r="E1444" s="29"/>
      <c r="F1444" s="30"/>
      <c r="G1444" s="29"/>
      <c r="H1444" s="30"/>
      <c r="I1444" s="29"/>
      <c r="J1444" s="30"/>
      <c r="K1444" s="30"/>
      <c r="L1444" s="29"/>
      <c r="M1444" s="32" t="str">
        <f aca="false">IF(OR(C1444="",L1444=""),"",IF(C1444=L1444,"同一","変更"))</f>
        <v/>
      </c>
      <c r="N1444" s="29"/>
      <c r="O1444" s="30"/>
      <c r="P1444" s="29"/>
      <c r="Q1444" s="31"/>
      <c r="R1444" s="29"/>
      <c r="S1444" s="29"/>
      <c r="T1444" s="30"/>
      <c r="U1444" s="47" t="str">
        <f aca="false">IF(AND(B1444&lt;&gt;"",B1444=SW別シート!$C$3),COUNTIF(B$5:B1444,B1444),"")</f>
        <v/>
      </c>
      <c r="V1444" s="47" t="n">
        <f aca="false">V1443+IF(OR(O1444&lt;&gt;"",W1444&lt;&gt;""),1,0)</f>
        <v>3</v>
      </c>
      <c r="W1444" s="29"/>
    </row>
    <row r="1445" customFormat="false" ht="15" hidden="false" customHeight="false" outlineLevel="0" collapsed="false">
      <c r="A1445" s="32" t="str">
        <f aca="false">IF(B1445="","",ROW()-7)</f>
        <v/>
      </c>
      <c r="B1445" s="30"/>
      <c r="C1445" s="29"/>
      <c r="D1445" s="29"/>
      <c r="E1445" s="29"/>
      <c r="F1445" s="30"/>
      <c r="G1445" s="29"/>
      <c r="H1445" s="30"/>
      <c r="I1445" s="29"/>
      <c r="J1445" s="30"/>
      <c r="K1445" s="30"/>
      <c r="L1445" s="29"/>
      <c r="M1445" s="32" t="str">
        <f aca="false">IF(OR(C1445="",L1445=""),"",IF(C1445=L1445,"同一","変更"))</f>
        <v/>
      </c>
      <c r="N1445" s="29"/>
      <c r="O1445" s="30"/>
      <c r="P1445" s="29"/>
      <c r="Q1445" s="31"/>
      <c r="R1445" s="29"/>
      <c r="S1445" s="29"/>
      <c r="T1445" s="30"/>
      <c r="U1445" s="47" t="str">
        <f aca="false">IF(AND(B1445&lt;&gt;"",B1445=SW別シート!$C$3),COUNTIF(B$5:B1445,B1445),"")</f>
        <v/>
      </c>
      <c r="V1445" s="47" t="n">
        <f aca="false">V1444+IF(OR(O1445&lt;&gt;"",W1445&lt;&gt;""),1,0)</f>
        <v>3</v>
      </c>
      <c r="W1445" s="29"/>
    </row>
    <row r="1446" customFormat="false" ht="15" hidden="false" customHeight="false" outlineLevel="0" collapsed="false">
      <c r="A1446" s="32" t="str">
        <f aca="false">IF(B1446="","",ROW()-7)</f>
        <v/>
      </c>
      <c r="B1446" s="30"/>
      <c r="C1446" s="29"/>
      <c r="D1446" s="29"/>
      <c r="E1446" s="29"/>
      <c r="F1446" s="30"/>
      <c r="G1446" s="29"/>
      <c r="H1446" s="30"/>
      <c r="I1446" s="29"/>
      <c r="J1446" s="30"/>
      <c r="K1446" s="30"/>
      <c r="L1446" s="29"/>
      <c r="M1446" s="32" t="str">
        <f aca="false">IF(OR(C1446="",L1446=""),"",IF(C1446=L1446,"同一","変更"))</f>
        <v/>
      </c>
      <c r="N1446" s="29"/>
      <c r="O1446" s="30"/>
      <c r="P1446" s="29"/>
      <c r="Q1446" s="31"/>
      <c r="R1446" s="29"/>
      <c r="S1446" s="29"/>
      <c r="T1446" s="30"/>
      <c r="U1446" s="47" t="str">
        <f aca="false">IF(AND(B1446&lt;&gt;"",B1446=SW別シート!$C$3),COUNTIF(B$5:B1446,B1446),"")</f>
        <v/>
      </c>
      <c r="V1446" s="47" t="n">
        <f aca="false">V1445+IF(OR(O1446&lt;&gt;"",W1446&lt;&gt;""),1,0)</f>
        <v>3</v>
      </c>
      <c r="W1446" s="29"/>
    </row>
    <row r="1447" customFormat="false" ht="15" hidden="false" customHeight="false" outlineLevel="0" collapsed="false">
      <c r="A1447" s="32" t="str">
        <f aca="false">IF(B1447="","",ROW()-7)</f>
        <v/>
      </c>
      <c r="B1447" s="30"/>
      <c r="C1447" s="29"/>
      <c r="D1447" s="29"/>
      <c r="E1447" s="29"/>
      <c r="F1447" s="30"/>
      <c r="G1447" s="29"/>
      <c r="H1447" s="30"/>
      <c r="I1447" s="29"/>
      <c r="J1447" s="30"/>
      <c r="K1447" s="30"/>
      <c r="L1447" s="29"/>
      <c r="M1447" s="32" t="str">
        <f aca="false">IF(OR(C1447="",L1447=""),"",IF(C1447=L1447,"同一","変更"))</f>
        <v/>
      </c>
      <c r="N1447" s="29"/>
      <c r="O1447" s="30"/>
      <c r="P1447" s="29"/>
      <c r="Q1447" s="31"/>
      <c r="R1447" s="29"/>
      <c r="S1447" s="29"/>
      <c r="T1447" s="30"/>
      <c r="U1447" s="47" t="str">
        <f aca="false">IF(AND(B1447&lt;&gt;"",B1447=SW別シート!$C$3),COUNTIF(B$5:B1447,B1447),"")</f>
        <v/>
      </c>
      <c r="V1447" s="47" t="n">
        <f aca="false">V1446+IF(OR(O1447&lt;&gt;"",W1447&lt;&gt;""),1,0)</f>
        <v>3</v>
      </c>
      <c r="W1447" s="29"/>
    </row>
    <row r="1448" customFormat="false" ht="15" hidden="false" customHeight="false" outlineLevel="0" collapsed="false">
      <c r="A1448" s="32" t="str">
        <f aca="false">IF(B1448="","",ROW()-7)</f>
        <v/>
      </c>
      <c r="B1448" s="30"/>
      <c r="C1448" s="29"/>
      <c r="D1448" s="29"/>
      <c r="E1448" s="29"/>
      <c r="F1448" s="30"/>
      <c r="G1448" s="29"/>
      <c r="H1448" s="30"/>
      <c r="I1448" s="29"/>
      <c r="J1448" s="30"/>
      <c r="K1448" s="30"/>
      <c r="L1448" s="29"/>
      <c r="M1448" s="32" t="str">
        <f aca="false">IF(OR(C1448="",L1448=""),"",IF(C1448=L1448,"同一","変更"))</f>
        <v/>
      </c>
      <c r="N1448" s="29"/>
      <c r="O1448" s="30"/>
      <c r="P1448" s="29"/>
      <c r="Q1448" s="31"/>
      <c r="R1448" s="29"/>
      <c r="S1448" s="29"/>
      <c r="T1448" s="30"/>
      <c r="U1448" s="47" t="str">
        <f aca="false">IF(AND(B1448&lt;&gt;"",B1448=SW別シート!$C$3),COUNTIF(B$5:B1448,B1448),"")</f>
        <v/>
      </c>
      <c r="V1448" s="47" t="n">
        <f aca="false">V1447+IF(OR(O1448&lt;&gt;"",W1448&lt;&gt;""),1,0)</f>
        <v>3</v>
      </c>
      <c r="W1448" s="29"/>
    </row>
    <row r="1449" customFormat="false" ht="15" hidden="false" customHeight="false" outlineLevel="0" collapsed="false">
      <c r="A1449" s="32" t="str">
        <f aca="false">IF(B1449="","",ROW()-7)</f>
        <v/>
      </c>
      <c r="B1449" s="30"/>
      <c r="C1449" s="29"/>
      <c r="D1449" s="29"/>
      <c r="E1449" s="29"/>
      <c r="F1449" s="30"/>
      <c r="G1449" s="29"/>
      <c r="H1449" s="30"/>
      <c r="I1449" s="29"/>
      <c r="J1449" s="30"/>
      <c r="K1449" s="30"/>
      <c r="L1449" s="29"/>
      <c r="M1449" s="32" t="str">
        <f aca="false">IF(OR(C1449="",L1449=""),"",IF(C1449=L1449,"同一","変更"))</f>
        <v/>
      </c>
      <c r="N1449" s="29"/>
      <c r="O1449" s="30"/>
      <c r="P1449" s="29"/>
      <c r="Q1449" s="31"/>
      <c r="R1449" s="29"/>
      <c r="S1449" s="29"/>
      <c r="T1449" s="30"/>
      <c r="U1449" s="47" t="str">
        <f aca="false">IF(AND(B1449&lt;&gt;"",B1449=SW別シート!$C$3),COUNTIF(B$5:B1449,B1449),"")</f>
        <v/>
      </c>
      <c r="V1449" s="47" t="n">
        <f aca="false">V1448+IF(OR(O1449&lt;&gt;"",W1449&lt;&gt;""),1,0)</f>
        <v>3</v>
      </c>
      <c r="W1449" s="29"/>
    </row>
    <row r="1450" customFormat="false" ht="15" hidden="false" customHeight="false" outlineLevel="0" collapsed="false">
      <c r="A1450" s="32" t="str">
        <f aca="false">IF(B1450="","",ROW()-7)</f>
        <v/>
      </c>
      <c r="B1450" s="30"/>
      <c r="C1450" s="29"/>
      <c r="D1450" s="29"/>
      <c r="E1450" s="29"/>
      <c r="F1450" s="30"/>
      <c r="G1450" s="29"/>
      <c r="H1450" s="30"/>
      <c r="I1450" s="29"/>
      <c r="J1450" s="30"/>
      <c r="K1450" s="30"/>
      <c r="L1450" s="29"/>
      <c r="M1450" s="32" t="str">
        <f aca="false">IF(OR(C1450="",L1450=""),"",IF(C1450=L1450,"同一","変更"))</f>
        <v/>
      </c>
      <c r="N1450" s="29"/>
      <c r="O1450" s="30"/>
      <c r="P1450" s="29"/>
      <c r="Q1450" s="31"/>
      <c r="R1450" s="29"/>
      <c r="S1450" s="29"/>
      <c r="T1450" s="30"/>
      <c r="U1450" s="47" t="str">
        <f aca="false">IF(AND(B1450&lt;&gt;"",B1450=SW別シート!$C$3),COUNTIF(B$5:B1450,B1450),"")</f>
        <v/>
      </c>
      <c r="V1450" s="47" t="n">
        <f aca="false">V1449+IF(OR(O1450&lt;&gt;"",W1450&lt;&gt;""),1,0)</f>
        <v>3</v>
      </c>
      <c r="W1450" s="29"/>
    </row>
    <row r="1451" customFormat="false" ht="15" hidden="false" customHeight="false" outlineLevel="0" collapsed="false">
      <c r="A1451" s="32" t="str">
        <f aca="false">IF(B1451="","",ROW()-7)</f>
        <v/>
      </c>
      <c r="B1451" s="30"/>
      <c r="C1451" s="29"/>
      <c r="D1451" s="29"/>
      <c r="E1451" s="29"/>
      <c r="F1451" s="30"/>
      <c r="G1451" s="29"/>
      <c r="H1451" s="30"/>
      <c r="I1451" s="29"/>
      <c r="J1451" s="30"/>
      <c r="K1451" s="30"/>
      <c r="L1451" s="29"/>
      <c r="M1451" s="32" t="str">
        <f aca="false">IF(OR(C1451="",L1451=""),"",IF(C1451=L1451,"同一","変更"))</f>
        <v/>
      </c>
      <c r="N1451" s="29"/>
      <c r="O1451" s="30"/>
      <c r="P1451" s="29"/>
      <c r="Q1451" s="31"/>
      <c r="R1451" s="29"/>
      <c r="S1451" s="29"/>
      <c r="T1451" s="30"/>
      <c r="U1451" s="47" t="str">
        <f aca="false">IF(AND(B1451&lt;&gt;"",B1451=SW別シート!$C$3),COUNTIF(B$5:B1451,B1451),"")</f>
        <v/>
      </c>
      <c r="V1451" s="47" t="n">
        <f aca="false">V1450+IF(OR(O1451&lt;&gt;"",W1451&lt;&gt;""),1,0)</f>
        <v>3</v>
      </c>
      <c r="W1451" s="29"/>
    </row>
    <row r="1452" customFormat="false" ht="15" hidden="false" customHeight="false" outlineLevel="0" collapsed="false">
      <c r="A1452" s="32" t="str">
        <f aca="false">IF(B1452="","",ROW()-7)</f>
        <v/>
      </c>
      <c r="B1452" s="30"/>
      <c r="C1452" s="29"/>
      <c r="D1452" s="29"/>
      <c r="E1452" s="29"/>
      <c r="F1452" s="30"/>
      <c r="G1452" s="29"/>
      <c r="H1452" s="30"/>
      <c r="I1452" s="29"/>
      <c r="J1452" s="30"/>
      <c r="K1452" s="30"/>
      <c r="L1452" s="29"/>
      <c r="M1452" s="32" t="str">
        <f aca="false">IF(OR(C1452="",L1452=""),"",IF(C1452=L1452,"同一","変更"))</f>
        <v/>
      </c>
      <c r="N1452" s="29"/>
      <c r="O1452" s="30"/>
      <c r="P1452" s="29"/>
      <c r="Q1452" s="31"/>
      <c r="R1452" s="29"/>
      <c r="S1452" s="29"/>
      <c r="T1452" s="30"/>
      <c r="U1452" s="47" t="str">
        <f aca="false">IF(AND(B1452&lt;&gt;"",B1452=SW別シート!$C$3),COUNTIF(B$5:B1452,B1452),"")</f>
        <v/>
      </c>
      <c r="V1452" s="47" t="n">
        <f aca="false">V1451+IF(OR(O1452&lt;&gt;"",W1452&lt;&gt;""),1,0)</f>
        <v>3</v>
      </c>
      <c r="W1452" s="29"/>
    </row>
    <row r="1453" customFormat="false" ht="15" hidden="false" customHeight="false" outlineLevel="0" collapsed="false">
      <c r="A1453" s="32" t="str">
        <f aca="false">IF(B1453="","",ROW()-7)</f>
        <v/>
      </c>
      <c r="B1453" s="30"/>
      <c r="C1453" s="29"/>
      <c r="D1453" s="29"/>
      <c r="E1453" s="29"/>
      <c r="F1453" s="30"/>
      <c r="G1453" s="29"/>
      <c r="H1453" s="30"/>
      <c r="I1453" s="29"/>
      <c r="J1453" s="30"/>
      <c r="K1453" s="30"/>
      <c r="L1453" s="29"/>
      <c r="M1453" s="32" t="str">
        <f aca="false">IF(OR(C1453="",L1453=""),"",IF(C1453=L1453,"同一","変更"))</f>
        <v/>
      </c>
      <c r="N1453" s="29"/>
      <c r="O1453" s="30"/>
      <c r="P1453" s="29"/>
      <c r="Q1453" s="31"/>
      <c r="R1453" s="29"/>
      <c r="S1453" s="29"/>
      <c r="T1453" s="30"/>
      <c r="U1453" s="47" t="str">
        <f aca="false">IF(AND(B1453&lt;&gt;"",B1453=SW別シート!$C$3),COUNTIF(B$5:B1453,B1453),"")</f>
        <v/>
      </c>
      <c r="V1453" s="47" t="n">
        <f aca="false">V1452+IF(OR(O1453&lt;&gt;"",W1453&lt;&gt;""),1,0)</f>
        <v>3</v>
      </c>
      <c r="W1453" s="29"/>
    </row>
    <row r="1454" customFormat="false" ht="15" hidden="false" customHeight="false" outlineLevel="0" collapsed="false">
      <c r="A1454" s="32" t="str">
        <f aca="false">IF(B1454="","",ROW()-7)</f>
        <v/>
      </c>
      <c r="B1454" s="30"/>
      <c r="C1454" s="29"/>
      <c r="D1454" s="29"/>
      <c r="E1454" s="29"/>
      <c r="F1454" s="30"/>
      <c r="G1454" s="29"/>
      <c r="H1454" s="30"/>
      <c r="I1454" s="29"/>
      <c r="J1454" s="30"/>
      <c r="K1454" s="30"/>
      <c r="L1454" s="29"/>
      <c r="M1454" s="32" t="str">
        <f aca="false">IF(OR(C1454="",L1454=""),"",IF(C1454=L1454,"同一","変更"))</f>
        <v/>
      </c>
      <c r="N1454" s="29"/>
      <c r="O1454" s="30"/>
      <c r="P1454" s="29"/>
      <c r="Q1454" s="31"/>
      <c r="R1454" s="29"/>
      <c r="S1454" s="29"/>
      <c r="T1454" s="30"/>
      <c r="U1454" s="47" t="str">
        <f aca="false">IF(AND(B1454&lt;&gt;"",B1454=SW別シート!$C$3),COUNTIF(B$5:B1454,B1454),"")</f>
        <v/>
      </c>
      <c r="V1454" s="47" t="n">
        <f aca="false">V1453+IF(OR(O1454&lt;&gt;"",W1454&lt;&gt;""),1,0)</f>
        <v>3</v>
      </c>
      <c r="W1454" s="29"/>
    </row>
    <row r="1455" customFormat="false" ht="15" hidden="false" customHeight="false" outlineLevel="0" collapsed="false">
      <c r="A1455" s="32" t="str">
        <f aca="false">IF(B1455="","",ROW()-7)</f>
        <v/>
      </c>
      <c r="B1455" s="30"/>
      <c r="C1455" s="29"/>
      <c r="D1455" s="29"/>
      <c r="E1455" s="29"/>
      <c r="F1455" s="30"/>
      <c r="G1455" s="29"/>
      <c r="H1455" s="30"/>
      <c r="I1455" s="29"/>
      <c r="J1455" s="30"/>
      <c r="K1455" s="30"/>
      <c r="L1455" s="29"/>
      <c r="M1455" s="32" t="str">
        <f aca="false">IF(OR(C1455="",L1455=""),"",IF(C1455=L1455,"同一","変更"))</f>
        <v/>
      </c>
      <c r="N1455" s="29"/>
      <c r="O1455" s="30"/>
      <c r="P1455" s="29"/>
      <c r="Q1455" s="31"/>
      <c r="R1455" s="29"/>
      <c r="S1455" s="29"/>
      <c r="T1455" s="30"/>
      <c r="U1455" s="47" t="str">
        <f aca="false">IF(AND(B1455&lt;&gt;"",B1455=SW別シート!$C$3),COUNTIF(B$5:B1455,B1455),"")</f>
        <v/>
      </c>
      <c r="V1455" s="47" t="n">
        <f aca="false">V1454+IF(OR(O1455&lt;&gt;"",W1455&lt;&gt;""),1,0)</f>
        <v>3</v>
      </c>
      <c r="W1455" s="29"/>
    </row>
    <row r="1456" customFormat="false" ht="15" hidden="false" customHeight="false" outlineLevel="0" collapsed="false">
      <c r="A1456" s="32" t="str">
        <f aca="false">IF(B1456="","",ROW()-7)</f>
        <v/>
      </c>
      <c r="B1456" s="30"/>
      <c r="C1456" s="29"/>
      <c r="D1456" s="29"/>
      <c r="E1456" s="29"/>
      <c r="F1456" s="30"/>
      <c r="G1456" s="29"/>
      <c r="H1456" s="30"/>
      <c r="I1456" s="29"/>
      <c r="J1456" s="30"/>
      <c r="K1456" s="30"/>
      <c r="L1456" s="29"/>
      <c r="M1456" s="32" t="str">
        <f aca="false">IF(OR(C1456="",L1456=""),"",IF(C1456=L1456,"同一","変更"))</f>
        <v/>
      </c>
      <c r="N1456" s="29"/>
      <c r="O1456" s="30"/>
      <c r="P1456" s="29"/>
      <c r="Q1456" s="31"/>
      <c r="R1456" s="29"/>
      <c r="S1456" s="29"/>
      <c r="T1456" s="30"/>
      <c r="U1456" s="47" t="str">
        <f aca="false">IF(AND(B1456&lt;&gt;"",B1456=SW別シート!$C$3),COUNTIF(B$5:B1456,B1456),"")</f>
        <v/>
      </c>
      <c r="V1456" s="47" t="n">
        <f aca="false">V1455+IF(OR(O1456&lt;&gt;"",W1456&lt;&gt;""),1,0)</f>
        <v>3</v>
      </c>
      <c r="W1456" s="29"/>
    </row>
    <row r="1457" customFormat="false" ht="15" hidden="false" customHeight="false" outlineLevel="0" collapsed="false">
      <c r="A1457" s="32" t="str">
        <f aca="false">IF(B1457="","",ROW()-7)</f>
        <v/>
      </c>
      <c r="B1457" s="30"/>
      <c r="C1457" s="29"/>
      <c r="D1457" s="29"/>
      <c r="E1457" s="29"/>
      <c r="F1457" s="30"/>
      <c r="G1457" s="29"/>
      <c r="H1457" s="30"/>
      <c r="I1457" s="29"/>
      <c r="J1457" s="30"/>
      <c r="K1457" s="30"/>
      <c r="L1457" s="29"/>
      <c r="M1457" s="32" t="str">
        <f aca="false">IF(OR(C1457="",L1457=""),"",IF(C1457=L1457,"同一","変更"))</f>
        <v/>
      </c>
      <c r="N1457" s="29"/>
      <c r="O1457" s="30"/>
      <c r="P1457" s="29"/>
      <c r="Q1457" s="31"/>
      <c r="R1457" s="29"/>
      <c r="S1457" s="29"/>
      <c r="T1457" s="30"/>
      <c r="U1457" s="47" t="str">
        <f aca="false">IF(AND(B1457&lt;&gt;"",B1457=SW別シート!$C$3),COUNTIF(B$5:B1457,B1457),"")</f>
        <v/>
      </c>
      <c r="V1457" s="47" t="n">
        <f aca="false">V1456+IF(OR(O1457&lt;&gt;"",W1457&lt;&gt;""),1,0)</f>
        <v>3</v>
      </c>
      <c r="W1457" s="29"/>
    </row>
    <row r="1458" customFormat="false" ht="15" hidden="false" customHeight="false" outlineLevel="0" collapsed="false">
      <c r="A1458" s="32" t="str">
        <f aca="false">IF(B1458="","",ROW()-7)</f>
        <v/>
      </c>
      <c r="B1458" s="30"/>
      <c r="C1458" s="29"/>
      <c r="D1458" s="29"/>
      <c r="E1458" s="29"/>
      <c r="F1458" s="30"/>
      <c r="G1458" s="29"/>
      <c r="H1458" s="30"/>
      <c r="I1458" s="29"/>
      <c r="J1458" s="30"/>
      <c r="K1458" s="30"/>
      <c r="L1458" s="29"/>
      <c r="M1458" s="32" t="str">
        <f aca="false">IF(OR(C1458="",L1458=""),"",IF(C1458=L1458,"同一","変更"))</f>
        <v/>
      </c>
      <c r="N1458" s="29"/>
      <c r="O1458" s="30"/>
      <c r="P1458" s="29"/>
      <c r="Q1458" s="31"/>
      <c r="R1458" s="29"/>
      <c r="S1458" s="29"/>
      <c r="T1458" s="30"/>
      <c r="U1458" s="47" t="str">
        <f aca="false">IF(AND(B1458&lt;&gt;"",B1458=SW別シート!$C$3),COUNTIF(B$5:B1458,B1458),"")</f>
        <v/>
      </c>
      <c r="V1458" s="47" t="n">
        <f aca="false">V1457+IF(OR(O1458&lt;&gt;"",W1458&lt;&gt;""),1,0)</f>
        <v>3</v>
      </c>
      <c r="W1458" s="29"/>
    </row>
    <row r="1459" customFormat="false" ht="15" hidden="false" customHeight="false" outlineLevel="0" collapsed="false">
      <c r="A1459" s="32" t="str">
        <f aca="false">IF(B1459="","",ROW()-7)</f>
        <v/>
      </c>
      <c r="B1459" s="30"/>
      <c r="C1459" s="29"/>
      <c r="D1459" s="29"/>
      <c r="E1459" s="29"/>
      <c r="F1459" s="30"/>
      <c r="G1459" s="29"/>
      <c r="H1459" s="30"/>
      <c r="I1459" s="29"/>
      <c r="J1459" s="30"/>
      <c r="K1459" s="30"/>
      <c r="L1459" s="29"/>
      <c r="M1459" s="32" t="str">
        <f aca="false">IF(OR(C1459="",L1459=""),"",IF(C1459=L1459,"同一","変更"))</f>
        <v/>
      </c>
      <c r="N1459" s="29"/>
      <c r="O1459" s="30"/>
      <c r="P1459" s="29"/>
      <c r="Q1459" s="31"/>
      <c r="R1459" s="29"/>
      <c r="S1459" s="29"/>
      <c r="T1459" s="30"/>
      <c r="U1459" s="47" t="str">
        <f aca="false">IF(AND(B1459&lt;&gt;"",B1459=SW別シート!$C$3),COUNTIF(B$5:B1459,B1459),"")</f>
        <v/>
      </c>
      <c r="V1459" s="47" t="n">
        <f aca="false">V1458+IF(OR(O1459&lt;&gt;"",W1459&lt;&gt;""),1,0)</f>
        <v>3</v>
      </c>
      <c r="W1459" s="29"/>
    </row>
    <row r="1460" customFormat="false" ht="15" hidden="false" customHeight="false" outlineLevel="0" collapsed="false">
      <c r="A1460" s="32" t="str">
        <f aca="false">IF(B1460="","",ROW()-7)</f>
        <v/>
      </c>
      <c r="B1460" s="30"/>
      <c r="C1460" s="29"/>
      <c r="D1460" s="29"/>
      <c r="E1460" s="29"/>
      <c r="F1460" s="30"/>
      <c r="G1460" s="29"/>
      <c r="H1460" s="30"/>
      <c r="I1460" s="29"/>
      <c r="J1460" s="30"/>
      <c r="K1460" s="30"/>
      <c r="L1460" s="29"/>
      <c r="M1460" s="32" t="str">
        <f aca="false">IF(OR(C1460="",L1460=""),"",IF(C1460=L1460,"同一","変更"))</f>
        <v/>
      </c>
      <c r="N1460" s="29"/>
      <c r="O1460" s="30"/>
      <c r="P1460" s="29"/>
      <c r="Q1460" s="31"/>
      <c r="R1460" s="29"/>
      <c r="S1460" s="29"/>
      <c r="T1460" s="30"/>
      <c r="U1460" s="47" t="str">
        <f aca="false">IF(AND(B1460&lt;&gt;"",B1460=SW別シート!$C$3),COUNTIF(B$5:B1460,B1460),"")</f>
        <v/>
      </c>
      <c r="V1460" s="47" t="n">
        <f aca="false">V1459+IF(OR(O1460&lt;&gt;"",W1460&lt;&gt;""),1,0)</f>
        <v>3</v>
      </c>
      <c r="W1460" s="29"/>
    </row>
    <row r="1461" customFormat="false" ht="15" hidden="false" customHeight="false" outlineLevel="0" collapsed="false">
      <c r="A1461" s="32" t="str">
        <f aca="false">IF(B1461="","",ROW()-7)</f>
        <v/>
      </c>
      <c r="B1461" s="30"/>
      <c r="C1461" s="29"/>
      <c r="D1461" s="29"/>
      <c r="E1461" s="29"/>
      <c r="F1461" s="30"/>
      <c r="G1461" s="29"/>
      <c r="H1461" s="30"/>
      <c r="I1461" s="29"/>
      <c r="J1461" s="30"/>
      <c r="K1461" s="30"/>
      <c r="L1461" s="29"/>
      <c r="M1461" s="32" t="str">
        <f aca="false">IF(OR(C1461="",L1461=""),"",IF(C1461=L1461,"同一","変更"))</f>
        <v/>
      </c>
      <c r="N1461" s="29"/>
      <c r="O1461" s="30"/>
      <c r="P1461" s="29"/>
      <c r="Q1461" s="31"/>
      <c r="R1461" s="29"/>
      <c r="S1461" s="29"/>
      <c r="T1461" s="30"/>
      <c r="U1461" s="47" t="str">
        <f aca="false">IF(AND(B1461&lt;&gt;"",B1461=SW別シート!$C$3),COUNTIF(B$5:B1461,B1461),"")</f>
        <v/>
      </c>
      <c r="V1461" s="47" t="n">
        <f aca="false">V1460+IF(OR(O1461&lt;&gt;"",W1461&lt;&gt;""),1,0)</f>
        <v>3</v>
      </c>
      <c r="W1461" s="29"/>
    </row>
    <row r="1462" customFormat="false" ht="15" hidden="false" customHeight="false" outlineLevel="0" collapsed="false">
      <c r="A1462" s="32" t="str">
        <f aca="false">IF(B1462="","",ROW()-7)</f>
        <v/>
      </c>
      <c r="B1462" s="30"/>
      <c r="C1462" s="29"/>
      <c r="D1462" s="29"/>
      <c r="E1462" s="29"/>
      <c r="F1462" s="30"/>
      <c r="G1462" s="29"/>
      <c r="H1462" s="30"/>
      <c r="I1462" s="29"/>
      <c r="J1462" s="30"/>
      <c r="K1462" s="30"/>
      <c r="L1462" s="29"/>
      <c r="M1462" s="32" t="str">
        <f aca="false">IF(OR(C1462="",L1462=""),"",IF(C1462=L1462,"同一","変更"))</f>
        <v/>
      </c>
      <c r="N1462" s="29"/>
      <c r="O1462" s="30"/>
      <c r="P1462" s="29"/>
      <c r="Q1462" s="31"/>
      <c r="R1462" s="29"/>
      <c r="S1462" s="29"/>
      <c r="T1462" s="30"/>
      <c r="U1462" s="47" t="str">
        <f aca="false">IF(AND(B1462&lt;&gt;"",B1462=SW別シート!$C$3),COUNTIF(B$5:B1462,B1462),"")</f>
        <v/>
      </c>
      <c r="V1462" s="47" t="n">
        <f aca="false">V1461+IF(OR(O1462&lt;&gt;"",W1462&lt;&gt;""),1,0)</f>
        <v>3</v>
      </c>
      <c r="W1462" s="29"/>
    </row>
    <row r="1463" customFormat="false" ht="15" hidden="false" customHeight="false" outlineLevel="0" collapsed="false">
      <c r="A1463" s="32" t="str">
        <f aca="false">IF(B1463="","",ROW()-7)</f>
        <v/>
      </c>
      <c r="B1463" s="30"/>
      <c r="C1463" s="29"/>
      <c r="D1463" s="29"/>
      <c r="E1463" s="29"/>
      <c r="F1463" s="30"/>
      <c r="G1463" s="29"/>
      <c r="H1463" s="30"/>
      <c r="I1463" s="29"/>
      <c r="J1463" s="30"/>
      <c r="K1463" s="30"/>
      <c r="L1463" s="29"/>
      <c r="M1463" s="32" t="str">
        <f aca="false">IF(OR(C1463="",L1463=""),"",IF(C1463=L1463,"同一","変更"))</f>
        <v/>
      </c>
      <c r="N1463" s="29"/>
      <c r="O1463" s="30"/>
      <c r="P1463" s="29"/>
      <c r="Q1463" s="31"/>
      <c r="R1463" s="29"/>
      <c r="S1463" s="29"/>
      <c r="T1463" s="30"/>
      <c r="U1463" s="47" t="str">
        <f aca="false">IF(AND(B1463&lt;&gt;"",B1463=SW別シート!$C$3),COUNTIF(B$5:B1463,B1463),"")</f>
        <v/>
      </c>
      <c r="V1463" s="47" t="n">
        <f aca="false">V1462+IF(OR(O1463&lt;&gt;"",W1463&lt;&gt;""),1,0)</f>
        <v>3</v>
      </c>
      <c r="W1463" s="29"/>
    </row>
    <row r="1464" customFormat="false" ht="15" hidden="false" customHeight="false" outlineLevel="0" collapsed="false">
      <c r="A1464" s="32" t="str">
        <f aca="false">IF(B1464="","",ROW()-7)</f>
        <v/>
      </c>
      <c r="B1464" s="30"/>
      <c r="C1464" s="29"/>
      <c r="D1464" s="29"/>
      <c r="E1464" s="29"/>
      <c r="F1464" s="30"/>
      <c r="G1464" s="29"/>
      <c r="H1464" s="30"/>
      <c r="I1464" s="29"/>
      <c r="J1464" s="30"/>
      <c r="K1464" s="30"/>
      <c r="L1464" s="29"/>
      <c r="M1464" s="32" t="str">
        <f aca="false">IF(OR(C1464="",L1464=""),"",IF(C1464=L1464,"同一","変更"))</f>
        <v/>
      </c>
      <c r="N1464" s="29"/>
      <c r="O1464" s="30"/>
      <c r="P1464" s="29"/>
      <c r="Q1464" s="31"/>
      <c r="R1464" s="29"/>
      <c r="S1464" s="29"/>
      <c r="T1464" s="30"/>
      <c r="U1464" s="47" t="str">
        <f aca="false">IF(AND(B1464&lt;&gt;"",B1464=SW別シート!$C$3),COUNTIF(B$5:B1464,B1464),"")</f>
        <v/>
      </c>
      <c r="V1464" s="47" t="n">
        <f aca="false">V1463+IF(OR(O1464&lt;&gt;"",W1464&lt;&gt;""),1,0)</f>
        <v>3</v>
      </c>
      <c r="W1464" s="29"/>
    </row>
    <row r="1465" customFormat="false" ht="15" hidden="false" customHeight="false" outlineLevel="0" collapsed="false">
      <c r="A1465" s="32" t="str">
        <f aca="false">IF(B1465="","",ROW()-7)</f>
        <v/>
      </c>
      <c r="B1465" s="30"/>
      <c r="C1465" s="29"/>
      <c r="D1465" s="29"/>
      <c r="E1465" s="29"/>
      <c r="F1465" s="30"/>
      <c r="G1465" s="29"/>
      <c r="H1465" s="30"/>
      <c r="I1465" s="29"/>
      <c r="J1465" s="30"/>
      <c r="K1465" s="30"/>
      <c r="L1465" s="29"/>
      <c r="M1465" s="32" t="str">
        <f aca="false">IF(OR(C1465="",L1465=""),"",IF(C1465=L1465,"同一","変更"))</f>
        <v/>
      </c>
      <c r="N1465" s="29"/>
      <c r="O1465" s="30"/>
      <c r="P1465" s="29"/>
      <c r="Q1465" s="31"/>
      <c r="R1465" s="29"/>
      <c r="S1465" s="29"/>
      <c r="T1465" s="30"/>
      <c r="U1465" s="47" t="str">
        <f aca="false">IF(AND(B1465&lt;&gt;"",B1465=SW別シート!$C$3),COUNTIF(B$5:B1465,B1465),"")</f>
        <v/>
      </c>
      <c r="V1465" s="47" t="n">
        <f aca="false">V1464+IF(OR(O1465&lt;&gt;"",W1465&lt;&gt;""),1,0)</f>
        <v>3</v>
      </c>
      <c r="W1465" s="29"/>
    </row>
    <row r="1466" customFormat="false" ht="15" hidden="false" customHeight="false" outlineLevel="0" collapsed="false">
      <c r="A1466" s="32" t="str">
        <f aca="false">IF(B1466="","",ROW()-7)</f>
        <v/>
      </c>
      <c r="B1466" s="30"/>
      <c r="C1466" s="29"/>
      <c r="D1466" s="29"/>
      <c r="E1466" s="29"/>
      <c r="F1466" s="30"/>
      <c r="G1466" s="29"/>
      <c r="H1466" s="30"/>
      <c r="I1466" s="29"/>
      <c r="J1466" s="30"/>
      <c r="K1466" s="30"/>
      <c r="L1466" s="29"/>
      <c r="M1466" s="32" t="str">
        <f aca="false">IF(OR(C1466="",L1466=""),"",IF(C1466=L1466,"同一","変更"))</f>
        <v/>
      </c>
      <c r="N1466" s="29"/>
      <c r="O1466" s="30"/>
      <c r="P1466" s="29"/>
      <c r="Q1466" s="31"/>
      <c r="R1466" s="29"/>
      <c r="S1466" s="29"/>
      <c r="T1466" s="30"/>
      <c r="U1466" s="47" t="str">
        <f aca="false">IF(AND(B1466&lt;&gt;"",B1466=SW別シート!$C$3),COUNTIF(B$5:B1466,B1466),"")</f>
        <v/>
      </c>
      <c r="V1466" s="47" t="n">
        <f aca="false">V1465+IF(OR(O1466&lt;&gt;"",W1466&lt;&gt;""),1,0)</f>
        <v>3</v>
      </c>
      <c r="W1466" s="29"/>
    </row>
    <row r="1467" customFormat="false" ht="15" hidden="false" customHeight="false" outlineLevel="0" collapsed="false">
      <c r="A1467" s="32" t="str">
        <f aca="false">IF(B1467="","",ROW()-7)</f>
        <v/>
      </c>
      <c r="B1467" s="30"/>
      <c r="C1467" s="29"/>
      <c r="D1467" s="29"/>
      <c r="E1467" s="29"/>
      <c r="F1467" s="30"/>
      <c r="G1467" s="29"/>
      <c r="H1467" s="30"/>
      <c r="I1467" s="29"/>
      <c r="J1467" s="30"/>
      <c r="K1467" s="30"/>
      <c r="L1467" s="29"/>
      <c r="M1467" s="32" t="str">
        <f aca="false">IF(OR(C1467="",L1467=""),"",IF(C1467=L1467,"同一","変更"))</f>
        <v/>
      </c>
      <c r="N1467" s="29"/>
      <c r="O1467" s="30"/>
      <c r="P1467" s="29"/>
      <c r="Q1467" s="31"/>
      <c r="R1467" s="29"/>
      <c r="S1467" s="29"/>
      <c r="T1467" s="30"/>
      <c r="U1467" s="47" t="str">
        <f aca="false">IF(AND(B1467&lt;&gt;"",B1467=SW別シート!$C$3),COUNTIF(B$5:B1467,B1467),"")</f>
        <v/>
      </c>
      <c r="V1467" s="47" t="n">
        <f aca="false">V1466+IF(OR(O1467&lt;&gt;"",W1467&lt;&gt;""),1,0)</f>
        <v>3</v>
      </c>
      <c r="W1467" s="29"/>
    </row>
    <row r="1468" customFormat="false" ht="15" hidden="false" customHeight="false" outlineLevel="0" collapsed="false">
      <c r="A1468" s="32" t="str">
        <f aca="false">IF(B1468="","",ROW()-7)</f>
        <v/>
      </c>
      <c r="B1468" s="30"/>
      <c r="C1468" s="29"/>
      <c r="D1468" s="29"/>
      <c r="E1468" s="29"/>
      <c r="F1468" s="30"/>
      <c r="G1468" s="29"/>
      <c r="H1468" s="30"/>
      <c r="I1468" s="29"/>
      <c r="J1468" s="30"/>
      <c r="K1468" s="30"/>
      <c r="L1468" s="29"/>
      <c r="M1468" s="32" t="str">
        <f aca="false">IF(OR(C1468="",L1468=""),"",IF(C1468=L1468,"同一","変更"))</f>
        <v/>
      </c>
      <c r="N1468" s="29"/>
      <c r="O1468" s="30"/>
      <c r="P1468" s="29"/>
      <c r="Q1468" s="31"/>
      <c r="R1468" s="29"/>
      <c r="S1468" s="29"/>
      <c r="T1468" s="30"/>
      <c r="U1468" s="47" t="str">
        <f aca="false">IF(AND(B1468&lt;&gt;"",B1468=SW別シート!$C$3),COUNTIF(B$5:B1468,B1468),"")</f>
        <v/>
      </c>
      <c r="V1468" s="47" t="n">
        <f aca="false">V1467+IF(OR(O1468&lt;&gt;"",W1468&lt;&gt;""),1,0)</f>
        <v>3</v>
      </c>
      <c r="W1468" s="29"/>
    </row>
    <row r="1469" customFormat="false" ht="15" hidden="false" customHeight="false" outlineLevel="0" collapsed="false">
      <c r="A1469" s="32" t="str">
        <f aca="false">IF(B1469="","",ROW()-7)</f>
        <v/>
      </c>
      <c r="B1469" s="30"/>
      <c r="C1469" s="29"/>
      <c r="D1469" s="29"/>
      <c r="E1469" s="29"/>
      <c r="F1469" s="30"/>
      <c r="G1469" s="29"/>
      <c r="H1469" s="30"/>
      <c r="I1469" s="29"/>
      <c r="J1469" s="30"/>
      <c r="K1469" s="30"/>
      <c r="L1469" s="29"/>
      <c r="M1469" s="32" t="str">
        <f aca="false">IF(OR(C1469="",L1469=""),"",IF(C1469=L1469,"同一","変更"))</f>
        <v/>
      </c>
      <c r="N1469" s="29"/>
      <c r="O1469" s="30"/>
      <c r="P1469" s="29"/>
      <c r="Q1469" s="31"/>
      <c r="R1469" s="29"/>
      <c r="S1469" s="29"/>
      <c r="T1469" s="30"/>
      <c r="U1469" s="47" t="str">
        <f aca="false">IF(AND(B1469&lt;&gt;"",B1469=SW別シート!$C$3),COUNTIF(B$5:B1469,B1469),"")</f>
        <v/>
      </c>
      <c r="V1469" s="47" t="n">
        <f aca="false">V1468+IF(OR(O1469&lt;&gt;"",W1469&lt;&gt;""),1,0)</f>
        <v>3</v>
      </c>
      <c r="W1469" s="29"/>
    </row>
    <row r="1470" customFormat="false" ht="15" hidden="false" customHeight="false" outlineLevel="0" collapsed="false">
      <c r="A1470" s="32" t="str">
        <f aca="false">IF(B1470="","",ROW()-7)</f>
        <v/>
      </c>
      <c r="B1470" s="30"/>
      <c r="C1470" s="29"/>
      <c r="D1470" s="29"/>
      <c r="E1470" s="29"/>
      <c r="F1470" s="30"/>
      <c r="G1470" s="29"/>
      <c r="H1470" s="30"/>
      <c r="I1470" s="29"/>
      <c r="J1470" s="30"/>
      <c r="K1470" s="30"/>
      <c r="L1470" s="29"/>
      <c r="M1470" s="32" t="str">
        <f aca="false">IF(OR(C1470="",L1470=""),"",IF(C1470=L1470,"同一","変更"))</f>
        <v/>
      </c>
      <c r="N1470" s="29"/>
      <c r="O1470" s="30"/>
      <c r="P1470" s="29"/>
      <c r="Q1470" s="31"/>
      <c r="R1470" s="29"/>
      <c r="S1470" s="29"/>
      <c r="T1470" s="30"/>
      <c r="U1470" s="47" t="str">
        <f aca="false">IF(AND(B1470&lt;&gt;"",B1470=SW別シート!$C$3),COUNTIF(B$5:B1470,B1470),"")</f>
        <v/>
      </c>
      <c r="V1470" s="47" t="n">
        <f aca="false">V1469+IF(OR(O1470&lt;&gt;"",W1470&lt;&gt;""),1,0)</f>
        <v>3</v>
      </c>
      <c r="W1470" s="29"/>
    </row>
    <row r="1471" customFormat="false" ht="15" hidden="false" customHeight="false" outlineLevel="0" collapsed="false">
      <c r="A1471" s="32" t="str">
        <f aca="false">IF(B1471="","",ROW()-7)</f>
        <v/>
      </c>
      <c r="B1471" s="30"/>
      <c r="C1471" s="29"/>
      <c r="D1471" s="29"/>
      <c r="E1471" s="29"/>
      <c r="F1471" s="30"/>
      <c r="G1471" s="29"/>
      <c r="H1471" s="30"/>
      <c r="I1471" s="29"/>
      <c r="J1471" s="30"/>
      <c r="K1471" s="30"/>
      <c r="L1471" s="29"/>
      <c r="M1471" s="32" t="str">
        <f aca="false">IF(OR(C1471="",L1471=""),"",IF(C1471=L1471,"同一","変更"))</f>
        <v/>
      </c>
      <c r="N1471" s="29"/>
      <c r="O1471" s="30"/>
      <c r="P1471" s="29"/>
      <c r="Q1471" s="31"/>
      <c r="R1471" s="29"/>
      <c r="S1471" s="29"/>
      <c r="T1471" s="30"/>
      <c r="U1471" s="47" t="str">
        <f aca="false">IF(AND(B1471&lt;&gt;"",B1471=SW別シート!$C$3),COUNTIF(B$5:B1471,B1471),"")</f>
        <v/>
      </c>
      <c r="V1471" s="47" t="n">
        <f aca="false">V1470+IF(OR(O1471&lt;&gt;"",W1471&lt;&gt;""),1,0)</f>
        <v>3</v>
      </c>
      <c r="W1471" s="29"/>
    </row>
    <row r="1472" customFormat="false" ht="15" hidden="false" customHeight="false" outlineLevel="0" collapsed="false">
      <c r="A1472" s="32" t="str">
        <f aca="false">IF(B1472="","",ROW()-7)</f>
        <v/>
      </c>
      <c r="B1472" s="30"/>
      <c r="C1472" s="29"/>
      <c r="D1472" s="29"/>
      <c r="E1472" s="29"/>
      <c r="F1472" s="30"/>
      <c r="G1472" s="29"/>
      <c r="H1472" s="30"/>
      <c r="I1472" s="29"/>
      <c r="J1472" s="30"/>
      <c r="K1472" s="30"/>
      <c r="L1472" s="29"/>
      <c r="M1472" s="32" t="str">
        <f aca="false">IF(OR(C1472="",L1472=""),"",IF(C1472=L1472,"同一","変更"))</f>
        <v/>
      </c>
      <c r="N1472" s="29"/>
      <c r="O1472" s="30"/>
      <c r="P1472" s="29"/>
      <c r="Q1472" s="31"/>
      <c r="R1472" s="29"/>
      <c r="S1472" s="29"/>
      <c r="T1472" s="30"/>
      <c r="U1472" s="47" t="str">
        <f aca="false">IF(AND(B1472&lt;&gt;"",B1472=SW別シート!$C$3),COUNTIF(B$5:B1472,B1472),"")</f>
        <v/>
      </c>
      <c r="V1472" s="47" t="n">
        <f aca="false">V1471+IF(OR(O1472&lt;&gt;"",W1472&lt;&gt;""),1,0)</f>
        <v>3</v>
      </c>
      <c r="W1472" s="29"/>
    </row>
    <row r="1473" customFormat="false" ht="15" hidden="false" customHeight="false" outlineLevel="0" collapsed="false">
      <c r="A1473" s="32" t="str">
        <f aca="false">IF(B1473="","",ROW()-7)</f>
        <v/>
      </c>
      <c r="B1473" s="30"/>
      <c r="C1473" s="29"/>
      <c r="D1473" s="29"/>
      <c r="E1473" s="29"/>
      <c r="F1473" s="30"/>
      <c r="G1473" s="29"/>
      <c r="H1473" s="30"/>
      <c r="I1473" s="29"/>
      <c r="J1473" s="30"/>
      <c r="K1473" s="30"/>
      <c r="L1473" s="29"/>
      <c r="M1473" s="32" t="str">
        <f aca="false">IF(OR(C1473="",L1473=""),"",IF(C1473=L1473,"同一","変更"))</f>
        <v/>
      </c>
      <c r="N1473" s="29"/>
      <c r="O1473" s="30"/>
      <c r="P1473" s="29"/>
      <c r="Q1473" s="31"/>
      <c r="R1473" s="29"/>
      <c r="S1473" s="29"/>
      <c r="T1473" s="30"/>
      <c r="U1473" s="47" t="str">
        <f aca="false">IF(AND(B1473&lt;&gt;"",B1473=SW別シート!$C$3),COUNTIF(B$5:B1473,B1473),"")</f>
        <v/>
      </c>
      <c r="V1473" s="47" t="n">
        <f aca="false">V1472+IF(OR(O1473&lt;&gt;"",W1473&lt;&gt;""),1,0)</f>
        <v>3</v>
      </c>
      <c r="W1473" s="29"/>
    </row>
    <row r="1474" customFormat="false" ht="15" hidden="false" customHeight="false" outlineLevel="0" collapsed="false">
      <c r="A1474" s="32" t="str">
        <f aca="false">IF(B1474="","",ROW()-7)</f>
        <v/>
      </c>
      <c r="B1474" s="30"/>
      <c r="C1474" s="29"/>
      <c r="D1474" s="29"/>
      <c r="E1474" s="29"/>
      <c r="F1474" s="30"/>
      <c r="G1474" s="29"/>
      <c r="H1474" s="30"/>
      <c r="I1474" s="29"/>
      <c r="J1474" s="30"/>
      <c r="K1474" s="30"/>
      <c r="L1474" s="29"/>
      <c r="M1474" s="32" t="str">
        <f aca="false">IF(OR(C1474="",L1474=""),"",IF(C1474=L1474,"同一","変更"))</f>
        <v/>
      </c>
      <c r="N1474" s="29"/>
      <c r="O1474" s="30"/>
      <c r="P1474" s="29"/>
      <c r="Q1474" s="31"/>
      <c r="R1474" s="29"/>
      <c r="S1474" s="29"/>
      <c r="T1474" s="30"/>
      <c r="U1474" s="47" t="str">
        <f aca="false">IF(AND(B1474&lt;&gt;"",B1474=SW別シート!$C$3),COUNTIF(B$5:B1474,B1474),"")</f>
        <v/>
      </c>
      <c r="V1474" s="47" t="n">
        <f aca="false">V1473+IF(OR(O1474&lt;&gt;"",W1474&lt;&gt;""),1,0)</f>
        <v>3</v>
      </c>
      <c r="W1474" s="29"/>
    </row>
    <row r="1475" customFormat="false" ht="15" hidden="false" customHeight="false" outlineLevel="0" collapsed="false">
      <c r="A1475" s="32" t="str">
        <f aca="false">IF(B1475="","",ROW()-7)</f>
        <v/>
      </c>
      <c r="B1475" s="30"/>
      <c r="C1475" s="29"/>
      <c r="D1475" s="29"/>
      <c r="E1475" s="29"/>
      <c r="F1475" s="30"/>
      <c r="G1475" s="29"/>
      <c r="H1475" s="30"/>
      <c r="I1475" s="29"/>
      <c r="J1475" s="30"/>
      <c r="K1475" s="30"/>
      <c r="L1475" s="29"/>
      <c r="M1475" s="32" t="str">
        <f aca="false">IF(OR(C1475="",L1475=""),"",IF(C1475=L1475,"同一","変更"))</f>
        <v/>
      </c>
      <c r="N1475" s="29"/>
      <c r="O1475" s="30"/>
      <c r="P1475" s="29"/>
      <c r="Q1475" s="31"/>
      <c r="R1475" s="29"/>
      <c r="S1475" s="29"/>
      <c r="T1475" s="30"/>
      <c r="U1475" s="47" t="str">
        <f aca="false">IF(AND(B1475&lt;&gt;"",B1475=SW別シート!$C$3),COUNTIF(B$5:B1475,B1475),"")</f>
        <v/>
      </c>
      <c r="V1475" s="47" t="n">
        <f aca="false">V1474+IF(OR(O1475&lt;&gt;"",W1475&lt;&gt;""),1,0)</f>
        <v>3</v>
      </c>
      <c r="W1475" s="29"/>
    </row>
    <row r="1476" customFormat="false" ht="15" hidden="false" customHeight="false" outlineLevel="0" collapsed="false">
      <c r="A1476" s="32" t="str">
        <f aca="false">IF(B1476="","",ROW()-7)</f>
        <v/>
      </c>
      <c r="B1476" s="30"/>
      <c r="C1476" s="29"/>
      <c r="D1476" s="29"/>
      <c r="E1476" s="29"/>
      <c r="F1476" s="30"/>
      <c r="G1476" s="29"/>
      <c r="H1476" s="30"/>
      <c r="I1476" s="29"/>
      <c r="J1476" s="30"/>
      <c r="K1476" s="30"/>
      <c r="L1476" s="29"/>
      <c r="M1476" s="32" t="str">
        <f aca="false">IF(OR(C1476="",L1476=""),"",IF(C1476=L1476,"同一","変更"))</f>
        <v/>
      </c>
      <c r="N1476" s="29"/>
      <c r="O1476" s="30"/>
      <c r="P1476" s="29"/>
      <c r="Q1476" s="31"/>
      <c r="R1476" s="29"/>
      <c r="S1476" s="29"/>
      <c r="T1476" s="30"/>
      <c r="U1476" s="47" t="str">
        <f aca="false">IF(AND(B1476&lt;&gt;"",B1476=SW別シート!$C$3),COUNTIF(B$5:B1476,B1476),"")</f>
        <v/>
      </c>
      <c r="V1476" s="47" t="n">
        <f aca="false">V1475+IF(OR(O1476&lt;&gt;"",W1476&lt;&gt;""),1,0)</f>
        <v>3</v>
      </c>
      <c r="W1476" s="29"/>
    </row>
    <row r="1477" customFormat="false" ht="15" hidden="false" customHeight="false" outlineLevel="0" collapsed="false">
      <c r="A1477" s="32" t="str">
        <f aca="false">IF(B1477="","",ROW()-7)</f>
        <v/>
      </c>
      <c r="B1477" s="30"/>
      <c r="C1477" s="29"/>
      <c r="D1477" s="29"/>
      <c r="E1477" s="29"/>
      <c r="F1477" s="30"/>
      <c r="G1477" s="29"/>
      <c r="H1477" s="30"/>
      <c r="I1477" s="29"/>
      <c r="J1477" s="30"/>
      <c r="K1477" s="30"/>
      <c r="L1477" s="29"/>
      <c r="M1477" s="32" t="str">
        <f aca="false">IF(OR(C1477="",L1477=""),"",IF(C1477=L1477,"同一","変更"))</f>
        <v/>
      </c>
      <c r="N1477" s="29"/>
      <c r="O1477" s="30"/>
      <c r="P1477" s="29"/>
      <c r="Q1477" s="31"/>
      <c r="R1477" s="29"/>
      <c r="S1477" s="29"/>
      <c r="T1477" s="30"/>
      <c r="U1477" s="47" t="str">
        <f aca="false">IF(AND(B1477&lt;&gt;"",B1477=SW別シート!$C$3),COUNTIF(B$5:B1477,B1477),"")</f>
        <v/>
      </c>
      <c r="V1477" s="47" t="n">
        <f aca="false">V1476+IF(OR(O1477&lt;&gt;"",W1477&lt;&gt;""),1,0)</f>
        <v>3</v>
      </c>
      <c r="W1477" s="29"/>
    </row>
    <row r="1478" customFormat="false" ht="15" hidden="false" customHeight="false" outlineLevel="0" collapsed="false">
      <c r="A1478" s="32" t="str">
        <f aca="false">IF(B1478="","",ROW()-7)</f>
        <v/>
      </c>
      <c r="B1478" s="30"/>
      <c r="C1478" s="29"/>
      <c r="D1478" s="29"/>
      <c r="E1478" s="29"/>
      <c r="F1478" s="30"/>
      <c r="G1478" s="29"/>
      <c r="H1478" s="30"/>
      <c r="I1478" s="29"/>
      <c r="J1478" s="30"/>
      <c r="K1478" s="30"/>
      <c r="L1478" s="29"/>
      <c r="M1478" s="32" t="str">
        <f aca="false">IF(OR(C1478="",L1478=""),"",IF(C1478=L1478,"同一","変更"))</f>
        <v/>
      </c>
      <c r="N1478" s="29"/>
      <c r="O1478" s="30"/>
      <c r="P1478" s="29"/>
      <c r="Q1478" s="31"/>
      <c r="R1478" s="29"/>
      <c r="S1478" s="29"/>
      <c r="T1478" s="30"/>
      <c r="U1478" s="47" t="str">
        <f aca="false">IF(AND(B1478&lt;&gt;"",B1478=SW別シート!$C$3),COUNTIF(B$5:B1478,B1478),"")</f>
        <v/>
      </c>
      <c r="V1478" s="47" t="n">
        <f aca="false">V1477+IF(OR(O1478&lt;&gt;"",W1478&lt;&gt;""),1,0)</f>
        <v>3</v>
      </c>
      <c r="W1478" s="29"/>
    </row>
    <row r="1479" customFormat="false" ht="15" hidden="false" customHeight="false" outlineLevel="0" collapsed="false">
      <c r="A1479" s="32" t="str">
        <f aca="false">IF(B1479="","",ROW()-7)</f>
        <v/>
      </c>
      <c r="B1479" s="30"/>
      <c r="C1479" s="29"/>
      <c r="D1479" s="29"/>
      <c r="E1479" s="29"/>
      <c r="F1479" s="30"/>
      <c r="G1479" s="29"/>
      <c r="H1479" s="30"/>
      <c r="I1479" s="29"/>
      <c r="J1479" s="30"/>
      <c r="K1479" s="30"/>
      <c r="L1479" s="29"/>
      <c r="M1479" s="32" t="str">
        <f aca="false">IF(OR(C1479="",L1479=""),"",IF(C1479=L1479,"同一","変更"))</f>
        <v/>
      </c>
      <c r="N1479" s="29"/>
      <c r="O1479" s="30"/>
      <c r="P1479" s="29"/>
      <c r="Q1479" s="31"/>
      <c r="R1479" s="29"/>
      <c r="S1479" s="29"/>
      <c r="T1479" s="30"/>
      <c r="U1479" s="47" t="str">
        <f aca="false">IF(AND(B1479&lt;&gt;"",B1479=SW別シート!$C$3),COUNTIF(B$5:B1479,B1479),"")</f>
        <v/>
      </c>
      <c r="V1479" s="47" t="n">
        <f aca="false">V1478+IF(OR(O1479&lt;&gt;"",W1479&lt;&gt;""),1,0)</f>
        <v>3</v>
      </c>
      <c r="W1479" s="29"/>
    </row>
    <row r="1480" customFormat="false" ht="15" hidden="false" customHeight="false" outlineLevel="0" collapsed="false">
      <c r="A1480" s="32" t="str">
        <f aca="false">IF(B1480="","",ROW()-7)</f>
        <v/>
      </c>
      <c r="B1480" s="30"/>
      <c r="C1480" s="29"/>
      <c r="D1480" s="29"/>
      <c r="E1480" s="29"/>
      <c r="F1480" s="30"/>
      <c r="G1480" s="29"/>
      <c r="H1480" s="30"/>
      <c r="I1480" s="29"/>
      <c r="J1480" s="30"/>
      <c r="K1480" s="30"/>
      <c r="L1480" s="29"/>
      <c r="M1480" s="32" t="str">
        <f aca="false">IF(OR(C1480="",L1480=""),"",IF(C1480=L1480,"同一","変更"))</f>
        <v/>
      </c>
      <c r="N1480" s="29"/>
      <c r="O1480" s="30"/>
      <c r="P1480" s="29"/>
      <c r="Q1480" s="31"/>
      <c r="R1480" s="29"/>
      <c r="S1480" s="29"/>
      <c r="T1480" s="30"/>
      <c r="U1480" s="47" t="str">
        <f aca="false">IF(AND(B1480&lt;&gt;"",B1480=SW別シート!$C$3),COUNTIF(B$5:B1480,B1480),"")</f>
        <v/>
      </c>
      <c r="V1480" s="47" t="n">
        <f aca="false">V1479+IF(OR(O1480&lt;&gt;"",W1480&lt;&gt;""),1,0)</f>
        <v>3</v>
      </c>
      <c r="W1480" s="29"/>
    </row>
    <row r="1481" customFormat="false" ht="15" hidden="false" customHeight="false" outlineLevel="0" collapsed="false">
      <c r="A1481" s="32" t="str">
        <f aca="false">IF(B1481="","",ROW()-7)</f>
        <v/>
      </c>
      <c r="B1481" s="30"/>
      <c r="C1481" s="29"/>
      <c r="D1481" s="29"/>
      <c r="E1481" s="29"/>
      <c r="F1481" s="30"/>
      <c r="G1481" s="29"/>
      <c r="H1481" s="30"/>
      <c r="I1481" s="29"/>
      <c r="J1481" s="30"/>
      <c r="K1481" s="30"/>
      <c r="L1481" s="29"/>
      <c r="M1481" s="32" t="str">
        <f aca="false">IF(OR(C1481="",L1481=""),"",IF(C1481=L1481,"同一","変更"))</f>
        <v/>
      </c>
      <c r="N1481" s="29"/>
      <c r="O1481" s="30"/>
      <c r="P1481" s="29"/>
      <c r="Q1481" s="31"/>
      <c r="R1481" s="29"/>
      <c r="S1481" s="29"/>
      <c r="T1481" s="30"/>
      <c r="U1481" s="47" t="str">
        <f aca="false">IF(AND(B1481&lt;&gt;"",B1481=SW別シート!$C$3),COUNTIF(B$5:B1481,B1481),"")</f>
        <v/>
      </c>
      <c r="V1481" s="47" t="n">
        <f aca="false">V1480+IF(OR(O1481&lt;&gt;"",W1481&lt;&gt;""),1,0)</f>
        <v>3</v>
      </c>
      <c r="W1481" s="29"/>
    </row>
    <row r="1482" customFormat="false" ht="15" hidden="false" customHeight="false" outlineLevel="0" collapsed="false">
      <c r="A1482" s="32" t="str">
        <f aca="false">IF(B1482="","",ROW()-7)</f>
        <v/>
      </c>
      <c r="B1482" s="30"/>
      <c r="C1482" s="29"/>
      <c r="D1482" s="29"/>
      <c r="E1482" s="29"/>
      <c r="F1482" s="30"/>
      <c r="G1482" s="29"/>
      <c r="H1482" s="30"/>
      <c r="I1482" s="29"/>
      <c r="J1482" s="30"/>
      <c r="K1482" s="30"/>
      <c r="L1482" s="29"/>
      <c r="M1482" s="32" t="str">
        <f aca="false">IF(OR(C1482="",L1482=""),"",IF(C1482=L1482,"同一","変更"))</f>
        <v/>
      </c>
      <c r="N1482" s="29"/>
      <c r="O1482" s="30"/>
      <c r="P1482" s="29"/>
      <c r="Q1482" s="31"/>
      <c r="R1482" s="29"/>
      <c r="S1482" s="29"/>
      <c r="T1482" s="30"/>
      <c r="U1482" s="47" t="str">
        <f aca="false">IF(AND(B1482&lt;&gt;"",B1482=SW別シート!$C$3),COUNTIF(B$5:B1482,B1482),"")</f>
        <v/>
      </c>
      <c r="V1482" s="47" t="n">
        <f aca="false">V1481+IF(OR(O1482&lt;&gt;"",W1482&lt;&gt;""),1,0)</f>
        <v>3</v>
      </c>
      <c r="W1482" s="29"/>
    </row>
    <row r="1483" customFormat="false" ht="15" hidden="false" customHeight="false" outlineLevel="0" collapsed="false">
      <c r="A1483" s="32" t="str">
        <f aca="false">IF(B1483="","",ROW()-7)</f>
        <v/>
      </c>
      <c r="B1483" s="30"/>
      <c r="C1483" s="29"/>
      <c r="D1483" s="29"/>
      <c r="E1483" s="29"/>
      <c r="F1483" s="30"/>
      <c r="G1483" s="29"/>
      <c r="H1483" s="30"/>
      <c r="I1483" s="29"/>
      <c r="J1483" s="30"/>
      <c r="K1483" s="30"/>
      <c r="L1483" s="29"/>
      <c r="M1483" s="32" t="str">
        <f aca="false">IF(OR(C1483="",L1483=""),"",IF(C1483=L1483,"同一","変更"))</f>
        <v/>
      </c>
      <c r="N1483" s="29"/>
      <c r="O1483" s="30"/>
      <c r="P1483" s="29"/>
      <c r="Q1483" s="31"/>
      <c r="R1483" s="29"/>
      <c r="S1483" s="29"/>
      <c r="T1483" s="30"/>
      <c r="U1483" s="47" t="str">
        <f aca="false">IF(AND(B1483&lt;&gt;"",B1483=SW別シート!$C$3),COUNTIF(B$5:B1483,B1483),"")</f>
        <v/>
      </c>
      <c r="V1483" s="47" t="n">
        <f aca="false">V1482+IF(OR(O1483&lt;&gt;"",W1483&lt;&gt;""),1,0)</f>
        <v>3</v>
      </c>
      <c r="W1483" s="29"/>
    </row>
    <row r="1484" customFormat="false" ht="15" hidden="false" customHeight="false" outlineLevel="0" collapsed="false">
      <c r="A1484" s="32" t="str">
        <f aca="false">IF(B1484="","",ROW()-7)</f>
        <v/>
      </c>
      <c r="B1484" s="30"/>
      <c r="C1484" s="29"/>
      <c r="D1484" s="29"/>
      <c r="E1484" s="29"/>
      <c r="F1484" s="30"/>
      <c r="G1484" s="29"/>
      <c r="H1484" s="30"/>
      <c r="I1484" s="29"/>
      <c r="J1484" s="30"/>
      <c r="K1484" s="30"/>
      <c r="L1484" s="29"/>
      <c r="M1484" s="32" t="str">
        <f aca="false">IF(OR(C1484="",L1484=""),"",IF(C1484=L1484,"同一","変更"))</f>
        <v/>
      </c>
      <c r="N1484" s="29"/>
      <c r="O1484" s="30"/>
      <c r="P1484" s="29"/>
      <c r="Q1484" s="31"/>
      <c r="R1484" s="29"/>
      <c r="S1484" s="29"/>
      <c r="T1484" s="30"/>
      <c r="U1484" s="47" t="str">
        <f aca="false">IF(AND(B1484&lt;&gt;"",B1484=SW別シート!$C$3),COUNTIF(B$5:B1484,B1484),"")</f>
        <v/>
      </c>
      <c r="V1484" s="47" t="n">
        <f aca="false">V1483+IF(OR(O1484&lt;&gt;"",W1484&lt;&gt;""),1,0)</f>
        <v>3</v>
      </c>
      <c r="W1484" s="29"/>
    </row>
    <row r="1485" customFormat="false" ht="15" hidden="false" customHeight="false" outlineLevel="0" collapsed="false">
      <c r="A1485" s="32" t="str">
        <f aca="false">IF(B1485="","",ROW()-7)</f>
        <v/>
      </c>
      <c r="B1485" s="30"/>
      <c r="C1485" s="29"/>
      <c r="D1485" s="29"/>
      <c r="E1485" s="29"/>
      <c r="F1485" s="30"/>
      <c r="G1485" s="29"/>
      <c r="H1485" s="30"/>
      <c r="I1485" s="29"/>
      <c r="J1485" s="30"/>
      <c r="K1485" s="30"/>
      <c r="L1485" s="29"/>
      <c r="M1485" s="32" t="str">
        <f aca="false">IF(OR(C1485="",L1485=""),"",IF(C1485=L1485,"同一","変更"))</f>
        <v/>
      </c>
      <c r="N1485" s="29"/>
      <c r="O1485" s="30"/>
      <c r="P1485" s="29"/>
      <c r="Q1485" s="31"/>
      <c r="R1485" s="29"/>
      <c r="S1485" s="29"/>
      <c r="T1485" s="30"/>
      <c r="U1485" s="47" t="str">
        <f aca="false">IF(AND(B1485&lt;&gt;"",B1485=SW別シート!$C$3),COUNTIF(B$5:B1485,B1485),"")</f>
        <v/>
      </c>
      <c r="V1485" s="47" t="n">
        <f aca="false">V1484+IF(OR(O1485&lt;&gt;"",W1485&lt;&gt;""),1,0)</f>
        <v>3</v>
      </c>
      <c r="W1485" s="29"/>
    </row>
    <row r="1486" customFormat="false" ht="15" hidden="false" customHeight="false" outlineLevel="0" collapsed="false">
      <c r="A1486" s="32" t="str">
        <f aca="false">IF(B1486="","",ROW()-7)</f>
        <v/>
      </c>
      <c r="B1486" s="30"/>
      <c r="C1486" s="29"/>
      <c r="D1486" s="29"/>
      <c r="E1486" s="29"/>
      <c r="F1486" s="30"/>
      <c r="G1486" s="29"/>
      <c r="H1486" s="30"/>
      <c r="I1486" s="29"/>
      <c r="J1486" s="30"/>
      <c r="K1486" s="30"/>
      <c r="L1486" s="29"/>
      <c r="M1486" s="32" t="str">
        <f aca="false">IF(OR(C1486="",L1486=""),"",IF(C1486=L1486,"同一","変更"))</f>
        <v/>
      </c>
      <c r="N1486" s="29"/>
      <c r="O1486" s="30"/>
      <c r="P1486" s="29"/>
      <c r="Q1486" s="31"/>
      <c r="R1486" s="29"/>
      <c r="S1486" s="29"/>
      <c r="T1486" s="30"/>
      <c r="U1486" s="47" t="str">
        <f aca="false">IF(AND(B1486&lt;&gt;"",B1486=SW別シート!$C$3),COUNTIF(B$5:B1486,B1486),"")</f>
        <v/>
      </c>
      <c r="V1486" s="47" t="n">
        <f aca="false">V1485+IF(OR(O1486&lt;&gt;"",W1486&lt;&gt;""),1,0)</f>
        <v>3</v>
      </c>
      <c r="W1486" s="29"/>
    </row>
    <row r="1487" customFormat="false" ht="15" hidden="false" customHeight="false" outlineLevel="0" collapsed="false">
      <c r="A1487" s="32" t="str">
        <f aca="false">IF(B1487="","",ROW()-7)</f>
        <v/>
      </c>
      <c r="B1487" s="30"/>
      <c r="C1487" s="29"/>
      <c r="D1487" s="29"/>
      <c r="E1487" s="29"/>
      <c r="F1487" s="30"/>
      <c r="G1487" s="29"/>
      <c r="H1487" s="30"/>
      <c r="I1487" s="29"/>
      <c r="J1487" s="30"/>
      <c r="K1487" s="30"/>
      <c r="L1487" s="29"/>
      <c r="M1487" s="32" t="str">
        <f aca="false">IF(OR(C1487="",L1487=""),"",IF(C1487=L1487,"同一","変更"))</f>
        <v/>
      </c>
      <c r="N1487" s="29"/>
      <c r="O1487" s="30"/>
      <c r="P1487" s="29"/>
      <c r="Q1487" s="31"/>
      <c r="R1487" s="29"/>
      <c r="S1487" s="29"/>
      <c r="T1487" s="30"/>
      <c r="U1487" s="47" t="str">
        <f aca="false">IF(AND(B1487&lt;&gt;"",B1487=SW別シート!$C$3),COUNTIF(B$5:B1487,B1487),"")</f>
        <v/>
      </c>
      <c r="V1487" s="47" t="n">
        <f aca="false">V1486+IF(OR(O1487&lt;&gt;"",W1487&lt;&gt;""),1,0)</f>
        <v>3</v>
      </c>
      <c r="W1487" s="29"/>
    </row>
    <row r="1488" customFormat="false" ht="15" hidden="false" customHeight="false" outlineLevel="0" collapsed="false">
      <c r="A1488" s="32" t="str">
        <f aca="false">IF(B1488="","",ROW()-7)</f>
        <v/>
      </c>
      <c r="B1488" s="30"/>
      <c r="C1488" s="29"/>
      <c r="D1488" s="29"/>
      <c r="E1488" s="29"/>
      <c r="F1488" s="30"/>
      <c r="G1488" s="29"/>
      <c r="H1488" s="30"/>
      <c r="I1488" s="29"/>
      <c r="J1488" s="30"/>
      <c r="K1488" s="30"/>
      <c r="L1488" s="29"/>
      <c r="M1488" s="32" t="str">
        <f aca="false">IF(OR(C1488="",L1488=""),"",IF(C1488=L1488,"同一","変更"))</f>
        <v/>
      </c>
      <c r="N1488" s="29"/>
      <c r="O1488" s="30"/>
      <c r="P1488" s="29"/>
      <c r="Q1488" s="31"/>
      <c r="R1488" s="29"/>
      <c r="S1488" s="29"/>
      <c r="T1488" s="30"/>
      <c r="U1488" s="47" t="str">
        <f aca="false">IF(AND(B1488&lt;&gt;"",B1488=SW別シート!$C$3),COUNTIF(B$5:B1488,B1488),"")</f>
        <v/>
      </c>
      <c r="V1488" s="47" t="n">
        <f aca="false">V1487+IF(OR(O1488&lt;&gt;"",W1488&lt;&gt;""),1,0)</f>
        <v>3</v>
      </c>
      <c r="W1488" s="29"/>
    </row>
    <row r="1489" customFormat="false" ht="15" hidden="false" customHeight="false" outlineLevel="0" collapsed="false">
      <c r="A1489" s="32" t="str">
        <f aca="false">IF(B1489="","",ROW()-7)</f>
        <v/>
      </c>
      <c r="B1489" s="30"/>
      <c r="C1489" s="29"/>
      <c r="D1489" s="29"/>
      <c r="E1489" s="29"/>
      <c r="F1489" s="30"/>
      <c r="G1489" s="29"/>
      <c r="H1489" s="30"/>
      <c r="I1489" s="29"/>
      <c r="J1489" s="30"/>
      <c r="K1489" s="30"/>
      <c r="L1489" s="29"/>
      <c r="M1489" s="32" t="str">
        <f aca="false">IF(OR(C1489="",L1489=""),"",IF(C1489=L1489,"同一","変更"))</f>
        <v/>
      </c>
      <c r="N1489" s="29"/>
      <c r="O1489" s="30"/>
      <c r="P1489" s="29"/>
      <c r="Q1489" s="31"/>
      <c r="R1489" s="29"/>
      <c r="S1489" s="29"/>
      <c r="T1489" s="30"/>
      <c r="U1489" s="47" t="str">
        <f aca="false">IF(AND(B1489&lt;&gt;"",B1489=SW別シート!$C$3),COUNTIF(B$5:B1489,B1489),"")</f>
        <v/>
      </c>
      <c r="V1489" s="47" t="n">
        <f aca="false">V1488+IF(OR(O1489&lt;&gt;"",W1489&lt;&gt;""),1,0)</f>
        <v>3</v>
      </c>
      <c r="W1489" s="29"/>
    </row>
    <row r="1490" customFormat="false" ht="15" hidden="false" customHeight="false" outlineLevel="0" collapsed="false">
      <c r="A1490" s="32" t="str">
        <f aca="false">IF(B1490="","",ROW()-7)</f>
        <v/>
      </c>
      <c r="B1490" s="30"/>
      <c r="C1490" s="29"/>
      <c r="D1490" s="29"/>
      <c r="E1490" s="29"/>
      <c r="F1490" s="30"/>
      <c r="G1490" s="29"/>
      <c r="H1490" s="30"/>
      <c r="I1490" s="29"/>
      <c r="J1490" s="30"/>
      <c r="K1490" s="30"/>
      <c r="L1490" s="29"/>
      <c r="M1490" s="32" t="str">
        <f aca="false">IF(OR(C1490="",L1490=""),"",IF(C1490=L1490,"同一","変更"))</f>
        <v/>
      </c>
      <c r="N1490" s="29"/>
      <c r="O1490" s="30"/>
      <c r="P1490" s="29"/>
      <c r="Q1490" s="31"/>
      <c r="R1490" s="29"/>
      <c r="S1490" s="29"/>
      <c r="T1490" s="30"/>
      <c r="U1490" s="47" t="str">
        <f aca="false">IF(AND(B1490&lt;&gt;"",B1490=SW別シート!$C$3),COUNTIF(B$5:B1490,B1490),"")</f>
        <v/>
      </c>
      <c r="V1490" s="47" t="n">
        <f aca="false">V1489+IF(OR(O1490&lt;&gt;"",W1490&lt;&gt;""),1,0)</f>
        <v>3</v>
      </c>
      <c r="W1490" s="29"/>
    </row>
    <row r="1491" customFormat="false" ht="15" hidden="false" customHeight="false" outlineLevel="0" collapsed="false">
      <c r="A1491" s="32" t="str">
        <f aca="false">IF(B1491="","",ROW()-7)</f>
        <v/>
      </c>
      <c r="B1491" s="30"/>
      <c r="C1491" s="29"/>
      <c r="D1491" s="29"/>
      <c r="E1491" s="29"/>
      <c r="F1491" s="30"/>
      <c r="G1491" s="29"/>
      <c r="H1491" s="30"/>
      <c r="I1491" s="29"/>
      <c r="J1491" s="30"/>
      <c r="K1491" s="30"/>
      <c r="L1491" s="29"/>
      <c r="M1491" s="32" t="str">
        <f aca="false">IF(OR(C1491="",L1491=""),"",IF(C1491=L1491,"同一","変更"))</f>
        <v/>
      </c>
      <c r="N1491" s="29"/>
      <c r="O1491" s="30"/>
      <c r="P1491" s="29"/>
      <c r="Q1491" s="31"/>
      <c r="R1491" s="29"/>
      <c r="S1491" s="29"/>
      <c r="T1491" s="30"/>
      <c r="U1491" s="47" t="str">
        <f aca="false">IF(AND(B1491&lt;&gt;"",B1491=SW別シート!$C$3),COUNTIF(B$5:B1491,B1491),"")</f>
        <v/>
      </c>
      <c r="V1491" s="47" t="n">
        <f aca="false">V1490+IF(OR(O1491&lt;&gt;"",W1491&lt;&gt;""),1,0)</f>
        <v>3</v>
      </c>
      <c r="W1491" s="29"/>
    </row>
    <row r="1492" customFormat="false" ht="15" hidden="false" customHeight="false" outlineLevel="0" collapsed="false">
      <c r="A1492" s="32" t="str">
        <f aca="false">IF(B1492="","",ROW()-7)</f>
        <v/>
      </c>
      <c r="B1492" s="30"/>
      <c r="C1492" s="29"/>
      <c r="D1492" s="29"/>
      <c r="E1492" s="29"/>
      <c r="F1492" s="30"/>
      <c r="G1492" s="29"/>
      <c r="H1492" s="30"/>
      <c r="I1492" s="29"/>
      <c r="J1492" s="30"/>
      <c r="K1492" s="30"/>
      <c r="L1492" s="29"/>
      <c r="M1492" s="32" t="str">
        <f aca="false">IF(OR(C1492="",L1492=""),"",IF(C1492=L1492,"同一","変更"))</f>
        <v/>
      </c>
      <c r="N1492" s="29"/>
      <c r="O1492" s="30"/>
      <c r="P1492" s="29"/>
      <c r="Q1492" s="31"/>
      <c r="R1492" s="29"/>
      <c r="S1492" s="29"/>
      <c r="T1492" s="30"/>
      <c r="U1492" s="47" t="str">
        <f aca="false">IF(AND(B1492&lt;&gt;"",B1492=SW別シート!$C$3),COUNTIF(B$5:B1492,B1492),"")</f>
        <v/>
      </c>
      <c r="V1492" s="47" t="n">
        <f aca="false">V1491+IF(OR(O1492&lt;&gt;"",W1492&lt;&gt;""),1,0)</f>
        <v>3</v>
      </c>
      <c r="W1492" s="29"/>
    </row>
    <row r="1493" customFormat="false" ht="15" hidden="false" customHeight="false" outlineLevel="0" collapsed="false">
      <c r="A1493" s="32" t="str">
        <f aca="false">IF(B1493="","",ROW()-7)</f>
        <v/>
      </c>
      <c r="B1493" s="30"/>
      <c r="C1493" s="29"/>
      <c r="D1493" s="29"/>
      <c r="E1493" s="29"/>
      <c r="F1493" s="30"/>
      <c r="G1493" s="29"/>
      <c r="H1493" s="30"/>
      <c r="I1493" s="29"/>
      <c r="J1493" s="30"/>
      <c r="K1493" s="30"/>
      <c r="L1493" s="29"/>
      <c r="M1493" s="32" t="str">
        <f aca="false">IF(OR(C1493="",L1493=""),"",IF(C1493=L1493,"同一","変更"))</f>
        <v/>
      </c>
      <c r="N1493" s="29"/>
      <c r="O1493" s="30"/>
      <c r="P1493" s="29"/>
      <c r="Q1493" s="31"/>
      <c r="R1493" s="29"/>
      <c r="S1493" s="29"/>
      <c r="T1493" s="30"/>
      <c r="U1493" s="47" t="str">
        <f aca="false">IF(AND(B1493&lt;&gt;"",B1493=SW別シート!$C$3),COUNTIF(B$5:B1493,B1493),"")</f>
        <v/>
      </c>
      <c r="V1493" s="47" t="n">
        <f aca="false">V1492+IF(OR(O1493&lt;&gt;"",W1493&lt;&gt;""),1,0)</f>
        <v>3</v>
      </c>
      <c r="W1493" s="29"/>
    </row>
    <row r="1494" customFormat="false" ht="15" hidden="false" customHeight="false" outlineLevel="0" collapsed="false">
      <c r="A1494" s="32" t="str">
        <f aca="false">IF(B1494="","",ROW()-7)</f>
        <v/>
      </c>
      <c r="B1494" s="30"/>
      <c r="C1494" s="29"/>
      <c r="D1494" s="29"/>
      <c r="E1494" s="29"/>
      <c r="F1494" s="30"/>
      <c r="G1494" s="29"/>
      <c r="H1494" s="30"/>
      <c r="I1494" s="29"/>
      <c r="J1494" s="30"/>
      <c r="K1494" s="30"/>
      <c r="L1494" s="29"/>
      <c r="M1494" s="32" t="str">
        <f aca="false">IF(OR(C1494="",L1494=""),"",IF(C1494=L1494,"同一","変更"))</f>
        <v/>
      </c>
      <c r="N1494" s="29"/>
      <c r="O1494" s="30"/>
      <c r="P1494" s="29"/>
      <c r="Q1494" s="31"/>
      <c r="R1494" s="29"/>
      <c r="S1494" s="29"/>
      <c r="T1494" s="30"/>
      <c r="U1494" s="47" t="str">
        <f aca="false">IF(AND(B1494&lt;&gt;"",B1494=SW別シート!$C$3),COUNTIF(B$5:B1494,B1494),"")</f>
        <v/>
      </c>
      <c r="V1494" s="47" t="n">
        <f aca="false">V1493+IF(OR(O1494&lt;&gt;"",W1494&lt;&gt;""),1,0)</f>
        <v>3</v>
      </c>
      <c r="W1494" s="29"/>
    </row>
    <row r="1495" customFormat="false" ht="15" hidden="false" customHeight="false" outlineLevel="0" collapsed="false">
      <c r="A1495" s="32" t="str">
        <f aca="false">IF(B1495="","",ROW()-7)</f>
        <v/>
      </c>
      <c r="B1495" s="30"/>
      <c r="C1495" s="29"/>
      <c r="D1495" s="29"/>
      <c r="E1495" s="29"/>
      <c r="F1495" s="30"/>
      <c r="G1495" s="29"/>
      <c r="H1495" s="30"/>
      <c r="I1495" s="29"/>
      <c r="J1495" s="30"/>
      <c r="K1495" s="30"/>
      <c r="L1495" s="29"/>
      <c r="M1495" s="32" t="str">
        <f aca="false">IF(OR(C1495="",L1495=""),"",IF(C1495=L1495,"同一","変更"))</f>
        <v/>
      </c>
      <c r="N1495" s="29"/>
      <c r="O1495" s="30"/>
      <c r="P1495" s="29"/>
      <c r="Q1495" s="31"/>
      <c r="R1495" s="29"/>
      <c r="S1495" s="29"/>
      <c r="T1495" s="30"/>
      <c r="U1495" s="47" t="str">
        <f aca="false">IF(AND(B1495&lt;&gt;"",B1495=SW別シート!$C$3),COUNTIF(B$5:B1495,B1495),"")</f>
        <v/>
      </c>
      <c r="V1495" s="47" t="n">
        <f aca="false">V1494+IF(OR(O1495&lt;&gt;"",W1495&lt;&gt;""),1,0)</f>
        <v>3</v>
      </c>
      <c r="W1495" s="29"/>
    </row>
    <row r="1496" customFormat="false" ht="15" hidden="false" customHeight="false" outlineLevel="0" collapsed="false">
      <c r="A1496" s="32" t="str">
        <f aca="false">IF(B1496="","",ROW()-7)</f>
        <v/>
      </c>
      <c r="B1496" s="30"/>
      <c r="C1496" s="29"/>
      <c r="D1496" s="29"/>
      <c r="E1496" s="29"/>
      <c r="F1496" s="30"/>
      <c r="G1496" s="29"/>
      <c r="H1496" s="30"/>
      <c r="I1496" s="29"/>
      <c r="J1496" s="30"/>
      <c r="K1496" s="30"/>
      <c r="L1496" s="29"/>
      <c r="M1496" s="32" t="str">
        <f aca="false">IF(OR(C1496="",L1496=""),"",IF(C1496=L1496,"同一","変更"))</f>
        <v/>
      </c>
      <c r="N1496" s="29"/>
      <c r="O1496" s="30"/>
      <c r="P1496" s="29"/>
      <c r="Q1496" s="31"/>
      <c r="R1496" s="29"/>
      <c r="S1496" s="29"/>
      <c r="T1496" s="30"/>
      <c r="U1496" s="47" t="str">
        <f aca="false">IF(AND(B1496&lt;&gt;"",B1496=SW別シート!$C$3),COUNTIF(B$5:B1496,B1496),"")</f>
        <v/>
      </c>
      <c r="V1496" s="47" t="n">
        <f aca="false">V1495+IF(OR(O1496&lt;&gt;"",W1496&lt;&gt;""),1,0)</f>
        <v>3</v>
      </c>
      <c r="W1496" s="29"/>
    </row>
    <row r="1497" customFormat="false" ht="15" hidden="false" customHeight="false" outlineLevel="0" collapsed="false">
      <c r="A1497" s="32" t="str">
        <f aca="false">IF(B1497="","",ROW()-7)</f>
        <v/>
      </c>
      <c r="B1497" s="30"/>
      <c r="C1497" s="29"/>
      <c r="D1497" s="29"/>
      <c r="E1497" s="29"/>
      <c r="F1497" s="30"/>
      <c r="G1497" s="29"/>
      <c r="H1497" s="30"/>
      <c r="I1497" s="29"/>
      <c r="J1497" s="30"/>
      <c r="K1497" s="30"/>
      <c r="L1497" s="29"/>
      <c r="M1497" s="32" t="str">
        <f aca="false">IF(OR(C1497="",L1497=""),"",IF(C1497=L1497,"同一","変更"))</f>
        <v/>
      </c>
      <c r="N1497" s="29"/>
      <c r="O1497" s="30"/>
      <c r="P1497" s="29"/>
      <c r="Q1497" s="31"/>
      <c r="R1497" s="29"/>
      <c r="S1497" s="29"/>
      <c r="T1497" s="30"/>
      <c r="U1497" s="47" t="str">
        <f aca="false">IF(AND(B1497&lt;&gt;"",B1497=SW別シート!$C$3),COUNTIF(B$5:B1497,B1497),"")</f>
        <v/>
      </c>
      <c r="V1497" s="47" t="n">
        <f aca="false">V1496+IF(OR(O1497&lt;&gt;"",W1497&lt;&gt;""),1,0)</f>
        <v>3</v>
      </c>
      <c r="W1497" s="29"/>
    </row>
    <row r="1498" customFormat="false" ht="15" hidden="false" customHeight="false" outlineLevel="0" collapsed="false">
      <c r="A1498" s="32" t="str">
        <f aca="false">IF(B1498="","",ROW()-7)</f>
        <v/>
      </c>
      <c r="B1498" s="30"/>
      <c r="C1498" s="29"/>
      <c r="D1498" s="29"/>
      <c r="E1498" s="29"/>
      <c r="F1498" s="30"/>
      <c r="G1498" s="29"/>
      <c r="H1498" s="30"/>
      <c r="I1498" s="29"/>
      <c r="J1498" s="30"/>
      <c r="K1498" s="30"/>
      <c r="L1498" s="29"/>
      <c r="M1498" s="32" t="str">
        <f aca="false">IF(OR(C1498="",L1498=""),"",IF(C1498=L1498,"同一","変更"))</f>
        <v/>
      </c>
      <c r="N1498" s="29"/>
      <c r="O1498" s="30"/>
      <c r="P1498" s="29"/>
      <c r="Q1498" s="31"/>
      <c r="R1498" s="29"/>
      <c r="S1498" s="29"/>
      <c r="T1498" s="30"/>
      <c r="U1498" s="47" t="str">
        <f aca="false">IF(AND(B1498&lt;&gt;"",B1498=SW別シート!$C$3),COUNTIF(B$5:B1498,B1498),"")</f>
        <v/>
      </c>
      <c r="V1498" s="47" t="n">
        <f aca="false">V1497+IF(OR(O1498&lt;&gt;"",W1498&lt;&gt;""),1,0)</f>
        <v>3</v>
      </c>
      <c r="W1498" s="29"/>
    </row>
    <row r="1499" customFormat="false" ht="15" hidden="false" customHeight="false" outlineLevel="0" collapsed="false">
      <c r="A1499" s="32" t="str">
        <f aca="false">IF(B1499="","",ROW()-7)</f>
        <v/>
      </c>
      <c r="B1499" s="30"/>
      <c r="C1499" s="29"/>
      <c r="D1499" s="29"/>
      <c r="E1499" s="29"/>
      <c r="F1499" s="30"/>
      <c r="G1499" s="29"/>
      <c r="H1499" s="30"/>
      <c r="I1499" s="29"/>
      <c r="J1499" s="30"/>
      <c r="K1499" s="30"/>
      <c r="L1499" s="29"/>
      <c r="M1499" s="32" t="str">
        <f aca="false">IF(OR(C1499="",L1499=""),"",IF(C1499=L1499,"同一","変更"))</f>
        <v/>
      </c>
      <c r="N1499" s="29"/>
      <c r="O1499" s="30"/>
      <c r="P1499" s="29"/>
      <c r="Q1499" s="31"/>
      <c r="R1499" s="29"/>
      <c r="S1499" s="29"/>
      <c r="T1499" s="30"/>
      <c r="U1499" s="47" t="str">
        <f aca="false">IF(AND(B1499&lt;&gt;"",B1499=SW別シート!$C$3),COUNTIF(B$5:B1499,B1499),"")</f>
        <v/>
      </c>
      <c r="V1499" s="47" t="n">
        <f aca="false">V1498+IF(OR(O1499&lt;&gt;"",W1499&lt;&gt;""),1,0)</f>
        <v>3</v>
      </c>
      <c r="W1499" s="29"/>
    </row>
    <row r="1500" customFormat="false" ht="15" hidden="false" customHeight="false" outlineLevel="0" collapsed="false">
      <c r="A1500" s="32" t="str">
        <f aca="false">IF(B1500="","",ROW()-7)</f>
        <v/>
      </c>
      <c r="B1500" s="30"/>
      <c r="C1500" s="29"/>
      <c r="D1500" s="29"/>
      <c r="E1500" s="29"/>
      <c r="F1500" s="30"/>
      <c r="G1500" s="29"/>
      <c r="H1500" s="30"/>
      <c r="I1500" s="29"/>
      <c r="J1500" s="30"/>
      <c r="K1500" s="30"/>
      <c r="L1500" s="29"/>
      <c r="M1500" s="32" t="str">
        <f aca="false">IF(OR(C1500="",L1500=""),"",IF(C1500=L1500,"同一","変更"))</f>
        <v/>
      </c>
      <c r="N1500" s="29"/>
      <c r="O1500" s="30"/>
      <c r="P1500" s="29"/>
      <c r="Q1500" s="31"/>
      <c r="R1500" s="29"/>
      <c r="S1500" s="29"/>
      <c r="T1500" s="30"/>
      <c r="U1500" s="47" t="str">
        <f aca="false">IF(AND(B1500&lt;&gt;"",B1500=SW別シート!$C$3),COUNTIF(B$5:B1500,B1500),"")</f>
        <v/>
      </c>
      <c r="V1500" s="47" t="n">
        <f aca="false">V1499+IF(OR(O1500&lt;&gt;"",W1500&lt;&gt;""),1,0)</f>
        <v>3</v>
      </c>
      <c r="W1500" s="29"/>
    </row>
    <row r="1501" customFormat="false" ht="15" hidden="false" customHeight="false" outlineLevel="0" collapsed="false">
      <c r="A1501" s="32" t="str">
        <f aca="false">IF(B1501="","",ROW()-7)</f>
        <v/>
      </c>
      <c r="B1501" s="30"/>
      <c r="C1501" s="29"/>
      <c r="D1501" s="29"/>
      <c r="E1501" s="29"/>
      <c r="F1501" s="30"/>
      <c r="G1501" s="29"/>
      <c r="H1501" s="30"/>
      <c r="I1501" s="29"/>
      <c r="J1501" s="30"/>
      <c r="K1501" s="30"/>
      <c r="L1501" s="29"/>
      <c r="M1501" s="32" t="str">
        <f aca="false">IF(OR(C1501="",L1501=""),"",IF(C1501=L1501,"同一","変更"))</f>
        <v/>
      </c>
      <c r="N1501" s="29"/>
      <c r="O1501" s="30"/>
      <c r="P1501" s="29"/>
      <c r="Q1501" s="31"/>
      <c r="R1501" s="29"/>
      <c r="S1501" s="29"/>
      <c r="T1501" s="30"/>
      <c r="U1501" s="47" t="str">
        <f aca="false">IF(AND(B1501&lt;&gt;"",B1501=SW別シート!$C$3),COUNTIF(B$5:B1501,B1501),"")</f>
        <v/>
      </c>
      <c r="V1501" s="47" t="n">
        <f aca="false">V1500+IF(OR(O1501&lt;&gt;"",W1501&lt;&gt;""),1,0)</f>
        <v>3</v>
      </c>
      <c r="W1501" s="29"/>
    </row>
    <row r="1502" customFormat="false" ht="15" hidden="false" customHeight="false" outlineLevel="0" collapsed="false">
      <c r="A1502" s="32" t="str">
        <f aca="false">IF(B1502="","",ROW()-7)</f>
        <v/>
      </c>
      <c r="B1502" s="30"/>
      <c r="C1502" s="29"/>
      <c r="D1502" s="29"/>
      <c r="E1502" s="29"/>
      <c r="F1502" s="30"/>
      <c r="G1502" s="29"/>
      <c r="H1502" s="30"/>
      <c r="I1502" s="29"/>
      <c r="J1502" s="30"/>
      <c r="K1502" s="30"/>
      <c r="L1502" s="29"/>
      <c r="M1502" s="32" t="str">
        <f aca="false">IF(OR(C1502="",L1502=""),"",IF(C1502=L1502,"同一","変更"))</f>
        <v/>
      </c>
      <c r="N1502" s="29"/>
      <c r="O1502" s="30"/>
      <c r="P1502" s="29"/>
      <c r="Q1502" s="31"/>
      <c r="R1502" s="29"/>
      <c r="S1502" s="29"/>
      <c r="T1502" s="30"/>
      <c r="U1502" s="47" t="str">
        <f aca="false">IF(AND(B1502&lt;&gt;"",B1502=SW別シート!$C$3),COUNTIF(B$5:B1502,B1502),"")</f>
        <v/>
      </c>
      <c r="V1502" s="47" t="n">
        <f aca="false">V1501+IF(OR(O1502&lt;&gt;"",W1502&lt;&gt;""),1,0)</f>
        <v>3</v>
      </c>
      <c r="W1502" s="29"/>
    </row>
    <row r="1503" customFormat="false" ht="15" hidden="false" customHeight="false" outlineLevel="0" collapsed="false">
      <c r="A1503" s="32" t="str">
        <f aca="false">IF(B1503="","",ROW()-7)</f>
        <v/>
      </c>
      <c r="B1503" s="30"/>
      <c r="C1503" s="29"/>
      <c r="D1503" s="29"/>
      <c r="E1503" s="29"/>
      <c r="F1503" s="30"/>
      <c r="G1503" s="29"/>
      <c r="H1503" s="30"/>
      <c r="I1503" s="29"/>
      <c r="J1503" s="30"/>
      <c r="K1503" s="30"/>
      <c r="L1503" s="29"/>
      <c r="M1503" s="32" t="str">
        <f aca="false">IF(OR(C1503="",L1503=""),"",IF(C1503=L1503,"同一","変更"))</f>
        <v/>
      </c>
      <c r="N1503" s="29"/>
      <c r="O1503" s="30"/>
      <c r="P1503" s="29"/>
      <c r="Q1503" s="31"/>
      <c r="R1503" s="29"/>
      <c r="S1503" s="29"/>
      <c r="T1503" s="30"/>
      <c r="U1503" s="47" t="str">
        <f aca="false">IF(AND(B1503&lt;&gt;"",B1503=SW別シート!$C$3),COUNTIF(B$5:B1503,B1503),"")</f>
        <v/>
      </c>
      <c r="V1503" s="47" t="n">
        <f aca="false">V1502+IF(OR(O1503&lt;&gt;"",W1503&lt;&gt;""),1,0)</f>
        <v>3</v>
      </c>
      <c r="W1503" s="29"/>
    </row>
    <row r="1504" customFormat="false" ht="15" hidden="false" customHeight="false" outlineLevel="0" collapsed="false">
      <c r="A1504" s="32" t="str">
        <f aca="false">IF(B1504="","",ROW()-7)</f>
        <v/>
      </c>
      <c r="B1504" s="30"/>
      <c r="C1504" s="29"/>
      <c r="D1504" s="29"/>
      <c r="E1504" s="29"/>
      <c r="F1504" s="30"/>
      <c r="G1504" s="29"/>
      <c r="H1504" s="30"/>
      <c r="I1504" s="29"/>
      <c r="J1504" s="30"/>
      <c r="K1504" s="30"/>
      <c r="L1504" s="29"/>
      <c r="M1504" s="32" t="str">
        <f aca="false">IF(OR(C1504="",L1504=""),"",IF(C1504=L1504,"同一","変更"))</f>
        <v/>
      </c>
      <c r="N1504" s="29"/>
      <c r="O1504" s="30"/>
      <c r="P1504" s="29"/>
      <c r="Q1504" s="31"/>
      <c r="R1504" s="29"/>
      <c r="S1504" s="29"/>
      <c r="T1504" s="30"/>
      <c r="U1504" s="47" t="str">
        <f aca="false">IF(AND(B1504&lt;&gt;"",B1504=SW別シート!$C$3),COUNTIF(B$5:B1504,B1504),"")</f>
        <v/>
      </c>
      <c r="V1504" s="47" t="n">
        <f aca="false">V1503+IF(OR(O1504&lt;&gt;"",W1504&lt;&gt;""),1,0)</f>
        <v>3</v>
      </c>
      <c r="W1504" s="29"/>
    </row>
    <row r="1505" customFormat="false" ht="15" hidden="false" customHeight="false" outlineLevel="0" collapsed="false">
      <c r="A1505" s="32" t="str">
        <f aca="false">IF(B1505="","",ROW()-7)</f>
        <v/>
      </c>
      <c r="B1505" s="30"/>
      <c r="C1505" s="29"/>
      <c r="D1505" s="29"/>
      <c r="E1505" s="29"/>
      <c r="F1505" s="30"/>
      <c r="G1505" s="29"/>
      <c r="H1505" s="30"/>
      <c r="I1505" s="29"/>
      <c r="J1505" s="30"/>
      <c r="K1505" s="30"/>
      <c r="L1505" s="29"/>
      <c r="M1505" s="32" t="str">
        <f aca="false">IF(OR(C1505="",L1505=""),"",IF(C1505=L1505,"同一","変更"))</f>
        <v/>
      </c>
      <c r="N1505" s="29"/>
      <c r="O1505" s="30"/>
      <c r="P1505" s="29"/>
      <c r="Q1505" s="31"/>
      <c r="R1505" s="29"/>
      <c r="S1505" s="29"/>
      <c r="T1505" s="30"/>
      <c r="U1505" s="47" t="str">
        <f aca="false">IF(AND(B1505&lt;&gt;"",B1505=SW別シート!$C$3),COUNTIF(B$5:B1505,B1505),"")</f>
        <v/>
      </c>
      <c r="V1505" s="47" t="n">
        <f aca="false">V1504+IF(OR(O1505&lt;&gt;"",W1505&lt;&gt;""),1,0)</f>
        <v>3</v>
      </c>
      <c r="W1505" s="29"/>
    </row>
    <row r="1506" customFormat="false" ht="15" hidden="false" customHeight="false" outlineLevel="0" collapsed="false">
      <c r="A1506" s="32" t="str">
        <f aca="false">IF(B1506="","",ROW()-7)</f>
        <v/>
      </c>
      <c r="B1506" s="30"/>
      <c r="C1506" s="29"/>
      <c r="D1506" s="29"/>
      <c r="E1506" s="29"/>
      <c r="F1506" s="30"/>
      <c r="G1506" s="29"/>
      <c r="H1506" s="30"/>
      <c r="I1506" s="29"/>
      <c r="J1506" s="30"/>
      <c r="K1506" s="30"/>
      <c r="L1506" s="29"/>
      <c r="M1506" s="32" t="str">
        <f aca="false">IF(OR(C1506="",L1506=""),"",IF(C1506=L1506,"同一","変更"))</f>
        <v/>
      </c>
      <c r="N1506" s="29"/>
      <c r="O1506" s="30"/>
      <c r="P1506" s="29"/>
      <c r="Q1506" s="31"/>
      <c r="R1506" s="29"/>
      <c r="S1506" s="29"/>
      <c r="T1506" s="30"/>
      <c r="U1506" s="47" t="str">
        <f aca="false">IF(AND(B1506&lt;&gt;"",B1506=SW別シート!$C$3),COUNTIF(B$5:B1506,B1506),"")</f>
        <v/>
      </c>
      <c r="V1506" s="47" t="n">
        <f aca="false">V1505+IF(OR(O1506&lt;&gt;"",W1506&lt;&gt;""),1,0)</f>
        <v>3</v>
      </c>
      <c r="W1506" s="29"/>
    </row>
    <row r="1507" customFormat="false" ht="15" hidden="false" customHeight="false" outlineLevel="0" collapsed="false">
      <c r="A1507" s="32" t="str">
        <f aca="false">IF(B1507="","",ROW()-7)</f>
        <v/>
      </c>
      <c r="B1507" s="30"/>
      <c r="C1507" s="29"/>
      <c r="D1507" s="29"/>
      <c r="E1507" s="29"/>
      <c r="F1507" s="30"/>
      <c r="G1507" s="29"/>
      <c r="H1507" s="30"/>
      <c r="I1507" s="29"/>
      <c r="J1507" s="30"/>
      <c r="K1507" s="30"/>
      <c r="L1507" s="29"/>
      <c r="M1507" s="32" t="str">
        <f aca="false">IF(OR(C1507="",L1507=""),"",IF(C1507=L1507,"同一","変更"))</f>
        <v/>
      </c>
      <c r="N1507" s="29"/>
      <c r="O1507" s="30"/>
      <c r="P1507" s="29"/>
      <c r="Q1507" s="31"/>
      <c r="R1507" s="29"/>
      <c r="S1507" s="29"/>
      <c r="T1507" s="30"/>
      <c r="U1507" s="47" t="str">
        <f aca="false">IF(AND(B1507&lt;&gt;"",B1507=SW別シート!$C$3),COUNTIF(B$5:B1507,B1507),"")</f>
        <v/>
      </c>
      <c r="V1507" s="47" t="n">
        <f aca="false">V1506+IF(OR(O1507&lt;&gt;"",W1507&lt;&gt;""),1,0)</f>
        <v>3</v>
      </c>
      <c r="W1507" s="29"/>
    </row>
    <row r="1508" customFormat="false" ht="15" hidden="false" customHeight="false" outlineLevel="0" collapsed="false">
      <c r="A1508" s="32" t="str">
        <f aca="false">IF(B1508="","",ROW()-7)</f>
        <v/>
      </c>
      <c r="B1508" s="30"/>
      <c r="C1508" s="29"/>
      <c r="D1508" s="29"/>
      <c r="E1508" s="29"/>
      <c r="F1508" s="30"/>
      <c r="G1508" s="29"/>
      <c r="H1508" s="30"/>
      <c r="I1508" s="29"/>
      <c r="J1508" s="30"/>
      <c r="K1508" s="30"/>
      <c r="L1508" s="29"/>
      <c r="M1508" s="32" t="str">
        <f aca="false">IF(OR(C1508="",L1508=""),"",IF(C1508=L1508,"同一","変更"))</f>
        <v/>
      </c>
      <c r="N1508" s="29"/>
      <c r="O1508" s="30"/>
      <c r="P1508" s="29"/>
      <c r="Q1508" s="31"/>
      <c r="R1508" s="29"/>
      <c r="S1508" s="29"/>
      <c r="T1508" s="30"/>
      <c r="U1508" s="47" t="str">
        <f aca="false">IF(AND(B1508&lt;&gt;"",B1508=SW別シート!$C$3),COUNTIF(B$5:B1508,B1508),"")</f>
        <v/>
      </c>
      <c r="V1508" s="47" t="n">
        <f aca="false">V1507+IF(OR(O1508&lt;&gt;"",W1508&lt;&gt;""),1,0)</f>
        <v>3</v>
      </c>
      <c r="W1508" s="29"/>
    </row>
    <row r="1509" customFormat="false" ht="15" hidden="false" customHeight="false" outlineLevel="0" collapsed="false">
      <c r="A1509" s="32" t="str">
        <f aca="false">IF(B1509="","",ROW()-7)</f>
        <v/>
      </c>
      <c r="B1509" s="30"/>
      <c r="C1509" s="29"/>
      <c r="D1509" s="29"/>
      <c r="E1509" s="29"/>
      <c r="F1509" s="30"/>
      <c r="G1509" s="29"/>
      <c r="H1509" s="30"/>
      <c r="I1509" s="29"/>
      <c r="J1509" s="30"/>
      <c r="K1509" s="30"/>
      <c r="L1509" s="29"/>
      <c r="M1509" s="32" t="str">
        <f aca="false">IF(OR(C1509="",L1509=""),"",IF(C1509=L1509,"同一","変更"))</f>
        <v/>
      </c>
      <c r="N1509" s="29"/>
      <c r="O1509" s="30"/>
      <c r="P1509" s="29"/>
      <c r="Q1509" s="31"/>
      <c r="R1509" s="29"/>
      <c r="S1509" s="29"/>
      <c r="T1509" s="30"/>
      <c r="U1509" s="47" t="str">
        <f aca="false">IF(AND(B1509&lt;&gt;"",B1509=SW別シート!$C$3),COUNTIF(B$5:B1509,B1509),"")</f>
        <v/>
      </c>
      <c r="V1509" s="47" t="n">
        <f aca="false">V1508+IF(OR(O1509&lt;&gt;"",W1509&lt;&gt;""),1,0)</f>
        <v>3</v>
      </c>
      <c r="W1509" s="29"/>
    </row>
    <row r="1510" customFormat="false" ht="15" hidden="false" customHeight="false" outlineLevel="0" collapsed="false">
      <c r="A1510" s="32" t="str">
        <f aca="false">IF(B1510="","",ROW()-7)</f>
        <v/>
      </c>
      <c r="B1510" s="30"/>
      <c r="C1510" s="29"/>
      <c r="D1510" s="29"/>
      <c r="E1510" s="29"/>
      <c r="F1510" s="30"/>
      <c r="G1510" s="29"/>
      <c r="H1510" s="30"/>
      <c r="I1510" s="29"/>
      <c r="J1510" s="30"/>
      <c r="K1510" s="30"/>
      <c r="L1510" s="29"/>
      <c r="M1510" s="32" t="str">
        <f aca="false">IF(OR(C1510="",L1510=""),"",IF(C1510=L1510,"同一","変更"))</f>
        <v/>
      </c>
      <c r="N1510" s="29"/>
      <c r="O1510" s="30"/>
      <c r="P1510" s="29"/>
      <c r="Q1510" s="31"/>
      <c r="R1510" s="29"/>
      <c r="S1510" s="29"/>
      <c r="T1510" s="30"/>
      <c r="U1510" s="47" t="str">
        <f aca="false">IF(AND(B1510&lt;&gt;"",B1510=SW別シート!$C$3),COUNTIF(B$5:B1510,B1510),"")</f>
        <v/>
      </c>
      <c r="V1510" s="47" t="n">
        <f aca="false">V1509+IF(OR(O1510&lt;&gt;"",W1510&lt;&gt;""),1,0)</f>
        <v>3</v>
      </c>
      <c r="W1510" s="29"/>
    </row>
    <row r="1511" customFormat="false" ht="15" hidden="false" customHeight="false" outlineLevel="0" collapsed="false">
      <c r="A1511" s="32" t="str">
        <f aca="false">IF(B1511="","",ROW()-7)</f>
        <v/>
      </c>
      <c r="B1511" s="30"/>
      <c r="C1511" s="29"/>
      <c r="D1511" s="29"/>
      <c r="E1511" s="29"/>
      <c r="F1511" s="30"/>
      <c r="G1511" s="29"/>
      <c r="H1511" s="30"/>
      <c r="I1511" s="29"/>
      <c r="J1511" s="30"/>
      <c r="K1511" s="30"/>
      <c r="L1511" s="29"/>
      <c r="M1511" s="32" t="str">
        <f aca="false">IF(OR(C1511="",L1511=""),"",IF(C1511=L1511,"同一","変更"))</f>
        <v/>
      </c>
      <c r="N1511" s="29"/>
      <c r="O1511" s="30"/>
      <c r="P1511" s="29"/>
      <c r="Q1511" s="31"/>
      <c r="R1511" s="29"/>
      <c r="S1511" s="29"/>
      <c r="T1511" s="30"/>
      <c r="U1511" s="47" t="str">
        <f aca="false">IF(AND(B1511&lt;&gt;"",B1511=SW別シート!$C$3),COUNTIF(B$5:B1511,B1511),"")</f>
        <v/>
      </c>
      <c r="V1511" s="47" t="n">
        <f aca="false">V1510+IF(OR(O1511&lt;&gt;"",W1511&lt;&gt;""),1,0)</f>
        <v>3</v>
      </c>
      <c r="W1511" s="29"/>
    </row>
    <row r="1512" customFormat="false" ht="15" hidden="false" customHeight="false" outlineLevel="0" collapsed="false">
      <c r="A1512" s="32" t="str">
        <f aca="false">IF(B1512="","",ROW()-7)</f>
        <v/>
      </c>
      <c r="B1512" s="30"/>
      <c r="C1512" s="29"/>
      <c r="D1512" s="29"/>
      <c r="E1512" s="29"/>
      <c r="F1512" s="30"/>
      <c r="G1512" s="29"/>
      <c r="H1512" s="30"/>
      <c r="I1512" s="29"/>
      <c r="J1512" s="30"/>
      <c r="K1512" s="30"/>
      <c r="L1512" s="29"/>
      <c r="M1512" s="32" t="str">
        <f aca="false">IF(OR(C1512="",L1512=""),"",IF(C1512=L1512,"同一","変更"))</f>
        <v/>
      </c>
      <c r="N1512" s="29"/>
      <c r="O1512" s="30"/>
      <c r="P1512" s="29"/>
      <c r="Q1512" s="31"/>
      <c r="R1512" s="29"/>
      <c r="S1512" s="29"/>
      <c r="T1512" s="30"/>
      <c r="U1512" s="47" t="str">
        <f aca="false">IF(AND(B1512&lt;&gt;"",B1512=SW別シート!$C$3),COUNTIF(B$5:B1512,B1512),"")</f>
        <v/>
      </c>
      <c r="V1512" s="47" t="n">
        <f aca="false">V1511+IF(OR(O1512&lt;&gt;"",W1512&lt;&gt;""),1,0)</f>
        <v>3</v>
      </c>
      <c r="W1512" s="29"/>
    </row>
    <row r="1513" customFormat="false" ht="15" hidden="false" customHeight="false" outlineLevel="0" collapsed="false">
      <c r="A1513" s="32" t="str">
        <f aca="false">IF(B1513="","",ROW()-7)</f>
        <v/>
      </c>
      <c r="B1513" s="30"/>
      <c r="C1513" s="29"/>
      <c r="D1513" s="29"/>
      <c r="E1513" s="29"/>
      <c r="F1513" s="30"/>
      <c r="G1513" s="29"/>
      <c r="H1513" s="30"/>
      <c r="I1513" s="29"/>
      <c r="J1513" s="30"/>
      <c r="K1513" s="30"/>
      <c r="L1513" s="29"/>
      <c r="M1513" s="32" t="str">
        <f aca="false">IF(OR(C1513="",L1513=""),"",IF(C1513=L1513,"同一","変更"))</f>
        <v/>
      </c>
      <c r="N1513" s="29"/>
      <c r="O1513" s="30"/>
      <c r="P1513" s="29"/>
      <c r="Q1513" s="31"/>
      <c r="R1513" s="29"/>
      <c r="S1513" s="29"/>
      <c r="T1513" s="30"/>
      <c r="U1513" s="47" t="str">
        <f aca="false">IF(AND(B1513&lt;&gt;"",B1513=SW別シート!$C$3),COUNTIF(B$5:B1513,B1513),"")</f>
        <v/>
      </c>
      <c r="V1513" s="47" t="n">
        <f aca="false">V1512+IF(OR(O1513&lt;&gt;"",W1513&lt;&gt;""),1,0)</f>
        <v>3</v>
      </c>
      <c r="W1513" s="29"/>
    </row>
    <row r="1514" customFormat="false" ht="15" hidden="false" customHeight="false" outlineLevel="0" collapsed="false">
      <c r="A1514" s="32" t="str">
        <f aca="false">IF(B1514="","",ROW()-7)</f>
        <v/>
      </c>
      <c r="B1514" s="30"/>
      <c r="C1514" s="29"/>
      <c r="D1514" s="29"/>
      <c r="E1514" s="29"/>
      <c r="F1514" s="30"/>
      <c r="G1514" s="29"/>
      <c r="H1514" s="30"/>
      <c r="I1514" s="29"/>
      <c r="J1514" s="30"/>
      <c r="K1514" s="30"/>
      <c r="L1514" s="29"/>
      <c r="M1514" s="32" t="str">
        <f aca="false">IF(OR(C1514="",L1514=""),"",IF(C1514=L1514,"同一","変更"))</f>
        <v/>
      </c>
      <c r="N1514" s="29"/>
      <c r="O1514" s="30"/>
      <c r="P1514" s="29"/>
      <c r="Q1514" s="31"/>
      <c r="R1514" s="29"/>
      <c r="S1514" s="29"/>
      <c r="T1514" s="30"/>
      <c r="U1514" s="47" t="str">
        <f aca="false">IF(AND(B1514&lt;&gt;"",B1514=SW別シート!$C$3),COUNTIF(B$5:B1514,B1514),"")</f>
        <v/>
      </c>
      <c r="V1514" s="47" t="n">
        <f aca="false">V1513+IF(OR(O1514&lt;&gt;"",W1514&lt;&gt;""),1,0)</f>
        <v>3</v>
      </c>
      <c r="W1514" s="29"/>
    </row>
    <row r="1515" customFormat="false" ht="15" hidden="false" customHeight="false" outlineLevel="0" collapsed="false">
      <c r="A1515" s="32" t="str">
        <f aca="false">IF(B1515="","",ROW()-7)</f>
        <v/>
      </c>
      <c r="B1515" s="30"/>
      <c r="C1515" s="29"/>
      <c r="D1515" s="29"/>
      <c r="E1515" s="29"/>
      <c r="F1515" s="30"/>
      <c r="G1515" s="29"/>
      <c r="H1515" s="30"/>
      <c r="I1515" s="29"/>
      <c r="J1515" s="30"/>
      <c r="K1515" s="30"/>
      <c r="L1515" s="29"/>
      <c r="M1515" s="32" t="str">
        <f aca="false">IF(OR(C1515="",L1515=""),"",IF(C1515=L1515,"同一","変更"))</f>
        <v/>
      </c>
      <c r="N1515" s="29"/>
      <c r="O1515" s="30"/>
      <c r="P1515" s="29"/>
      <c r="Q1515" s="31"/>
      <c r="R1515" s="29"/>
      <c r="S1515" s="29"/>
      <c r="T1515" s="30"/>
      <c r="U1515" s="47" t="str">
        <f aca="false">IF(AND(B1515&lt;&gt;"",B1515=SW別シート!$C$3),COUNTIF(B$5:B1515,B1515),"")</f>
        <v/>
      </c>
      <c r="V1515" s="47" t="n">
        <f aca="false">V1514+IF(OR(O1515&lt;&gt;"",W1515&lt;&gt;""),1,0)</f>
        <v>3</v>
      </c>
      <c r="W1515" s="29"/>
    </row>
    <row r="1516" customFormat="false" ht="15" hidden="false" customHeight="false" outlineLevel="0" collapsed="false">
      <c r="A1516" s="32" t="str">
        <f aca="false">IF(B1516="","",ROW()-7)</f>
        <v/>
      </c>
      <c r="B1516" s="30"/>
      <c r="C1516" s="29"/>
      <c r="D1516" s="29"/>
      <c r="E1516" s="29"/>
      <c r="F1516" s="30"/>
      <c r="G1516" s="29"/>
      <c r="H1516" s="30"/>
      <c r="I1516" s="29"/>
      <c r="J1516" s="30"/>
      <c r="K1516" s="30"/>
      <c r="L1516" s="29"/>
      <c r="M1516" s="32" t="str">
        <f aca="false">IF(OR(C1516="",L1516=""),"",IF(C1516=L1516,"同一","変更"))</f>
        <v/>
      </c>
      <c r="N1516" s="29"/>
      <c r="O1516" s="30"/>
      <c r="P1516" s="29"/>
      <c r="Q1516" s="31"/>
      <c r="R1516" s="29"/>
      <c r="S1516" s="29"/>
      <c r="T1516" s="30"/>
      <c r="U1516" s="47" t="str">
        <f aca="false">IF(AND(B1516&lt;&gt;"",B1516=SW別シート!$C$3),COUNTIF(B$5:B1516,B1516),"")</f>
        <v/>
      </c>
      <c r="V1516" s="47" t="n">
        <f aca="false">V1515+IF(OR(O1516&lt;&gt;"",W1516&lt;&gt;""),1,0)</f>
        <v>3</v>
      </c>
      <c r="W1516" s="29"/>
    </row>
    <row r="1517" customFormat="false" ht="15" hidden="false" customHeight="false" outlineLevel="0" collapsed="false">
      <c r="A1517" s="32" t="str">
        <f aca="false">IF(B1517="","",ROW()-7)</f>
        <v/>
      </c>
      <c r="B1517" s="30"/>
      <c r="C1517" s="29"/>
      <c r="D1517" s="29"/>
      <c r="E1517" s="29"/>
      <c r="F1517" s="30"/>
      <c r="G1517" s="29"/>
      <c r="H1517" s="30"/>
      <c r="I1517" s="29"/>
      <c r="J1517" s="30"/>
      <c r="K1517" s="30"/>
      <c r="L1517" s="29"/>
      <c r="M1517" s="32" t="str">
        <f aca="false">IF(OR(C1517="",L1517=""),"",IF(C1517=L1517,"同一","変更"))</f>
        <v/>
      </c>
      <c r="N1517" s="29"/>
      <c r="O1517" s="30"/>
      <c r="P1517" s="29"/>
      <c r="Q1517" s="31"/>
      <c r="R1517" s="29"/>
      <c r="S1517" s="29"/>
      <c r="T1517" s="30"/>
      <c r="U1517" s="47" t="str">
        <f aca="false">IF(AND(B1517&lt;&gt;"",B1517=SW別シート!$C$3),COUNTIF(B$5:B1517,B1517),"")</f>
        <v/>
      </c>
      <c r="V1517" s="47" t="n">
        <f aca="false">V1516+IF(OR(O1517&lt;&gt;"",W1517&lt;&gt;""),1,0)</f>
        <v>3</v>
      </c>
      <c r="W1517" s="29"/>
    </row>
    <row r="1518" customFormat="false" ht="15" hidden="false" customHeight="false" outlineLevel="0" collapsed="false">
      <c r="A1518" s="32" t="str">
        <f aca="false">IF(B1518="","",ROW()-7)</f>
        <v/>
      </c>
      <c r="B1518" s="30"/>
      <c r="C1518" s="29"/>
      <c r="D1518" s="29"/>
      <c r="E1518" s="29"/>
      <c r="F1518" s="30"/>
      <c r="G1518" s="29"/>
      <c r="H1518" s="30"/>
      <c r="I1518" s="29"/>
      <c r="J1518" s="30"/>
      <c r="K1518" s="30"/>
      <c r="L1518" s="29"/>
      <c r="M1518" s="32" t="str">
        <f aca="false">IF(OR(C1518="",L1518=""),"",IF(C1518=L1518,"同一","変更"))</f>
        <v/>
      </c>
      <c r="N1518" s="29"/>
      <c r="O1518" s="30"/>
      <c r="P1518" s="29"/>
      <c r="Q1518" s="31"/>
      <c r="R1518" s="29"/>
      <c r="S1518" s="29"/>
      <c r="T1518" s="30"/>
      <c r="U1518" s="47" t="str">
        <f aca="false">IF(AND(B1518&lt;&gt;"",B1518=SW別シート!$C$3),COUNTIF(B$5:B1518,B1518),"")</f>
        <v/>
      </c>
      <c r="V1518" s="47" t="n">
        <f aca="false">V1517+IF(OR(O1518&lt;&gt;"",W1518&lt;&gt;""),1,0)</f>
        <v>3</v>
      </c>
      <c r="W1518" s="29"/>
    </row>
    <row r="1519" customFormat="false" ht="15" hidden="false" customHeight="false" outlineLevel="0" collapsed="false">
      <c r="A1519" s="32" t="str">
        <f aca="false">IF(B1519="","",ROW()-7)</f>
        <v/>
      </c>
      <c r="B1519" s="30"/>
      <c r="C1519" s="29"/>
      <c r="D1519" s="29"/>
      <c r="E1519" s="29"/>
      <c r="F1519" s="30"/>
      <c r="G1519" s="29"/>
      <c r="H1519" s="30"/>
      <c r="I1519" s="29"/>
      <c r="J1519" s="30"/>
      <c r="K1519" s="30"/>
      <c r="L1519" s="29"/>
      <c r="M1519" s="32" t="str">
        <f aca="false">IF(OR(C1519="",L1519=""),"",IF(C1519=L1519,"同一","変更"))</f>
        <v/>
      </c>
      <c r="N1519" s="29"/>
      <c r="O1519" s="30"/>
      <c r="P1519" s="29"/>
      <c r="Q1519" s="31"/>
      <c r="R1519" s="29"/>
      <c r="S1519" s="29"/>
      <c r="T1519" s="30"/>
      <c r="U1519" s="47" t="str">
        <f aca="false">IF(AND(B1519&lt;&gt;"",B1519=SW別シート!$C$3),COUNTIF(B$5:B1519,B1519),"")</f>
        <v/>
      </c>
      <c r="V1519" s="47" t="n">
        <f aca="false">V1518+IF(OR(O1519&lt;&gt;"",W1519&lt;&gt;""),1,0)</f>
        <v>3</v>
      </c>
      <c r="W1519" s="29"/>
    </row>
    <row r="1520" customFormat="false" ht="15" hidden="false" customHeight="false" outlineLevel="0" collapsed="false">
      <c r="A1520" s="32" t="str">
        <f aca="false">IF(B1520="","",ROW()-7)</f>
        <v/>
      </c>
      <c r="B1520" s="30"/>
      <c r="C1520" s="29"/>
      <c r="D1520" s="29"/>
      <c r="E1520" s="29"/>
      <c r="F1520" s="30"/>
      <c r="G1520" s="29"/>
      <c r="H1520" s="30"/>
      <c r="I1520" s="29"/>
      <c r="J1520" s="30"/>
      <c r="K1520" s="30"/>
      <c r="L1520" s="29"/>
      <c r="M1520" s="32" t="str">
        <f aca="false">IF(OR(C1520="",L1520=""),"",IF(C1520=L1520,"同一","変更"))</f>
        <v/>
      </c>
      <c r="N1520" s="29"/>
      <c r="O1520" s="30"/>
      <c r="P1520" s="29"/>
      <c r="Q1520" s="31"/>
      <c r="R1520" s="29"/>
      <c r="S1520" s="29"/>
      <c r="T1520" s="30"/>
      <c r="U1520" s="47" t="str">
        <f aca="false">IF(AND(B1520&lt;&gt;"",B1520=SW別シート!$C$3),COUNTIF(B$5:B1520,B1520),"")</f>
        <v/>
      </c>
      <c r="V1520" s="47" t="n">
        <f aca="false">V1519+IF(OR(O1520&lt;&gt;"",W1520&lt;&gt;""),1,0)</f>
        <v>3</v>
      </c>
      <c r="W1520" s="29"/>
    </row>
    <row r="1521" customFormat="false" ht="15" hidden="false" customHeight="false" outlineLevel="0" collapsed="false">
      <c r="A1521" s="32" t="str">
        <f aca="false">IF(B1521="","",ROW()-7)</f>
        <v/>
      </c>
      <c r="B1521" s="30"/>
      <c r="C1521" s="29"/>
      <c r="D1521" s="29"/>
      <c r="E1521" s="29"/>
      <c r="F1521" s="30"/>
      <c r="G1521" s="29"/>
      <c r="H1521" s="30"/>
      <c r="I1521" s="29"/>
      <c r="J1521" s="30"/>
      <c r="K1521" s="30"/>
      <c r="L1521" s="29"/>
      <c r="M1521" s="32" t="str">
        <f aca="false">IF(OR(C1521="",L1521=""),"",IF(C1521=L1521,"同一","変更"))</f>
        <v/>
      </c>
      <c r="N1521" s="29"/>
      <c r="O1521" s="30"/>
      <c r="P1521" s="29"/>
      <c r="Q1521" s="31"/>
      <c r="R1521" s="29"/>
      <c r="S1521" s="29"/>
      <c r="T1521" s="30"/>
      <c r="U1521" s="47" t="str">
        <f aca="false">IF(AND(B1521&lt;&gt;"",B1521=SW別シート!$C$3),COUNTIF(B$5:B1521,B1521),"")</f>
        <v/>
      </c>
      <c r="V1521" s="47" t="n">
        <f aca="false">V1520+IF(OR(O1521&lt;&gt;"",W1521&lt;&gt;""),1,0)</f>
        <v>3</v>
      </c>
      <c r="W1521" s="29"/>
    </row>
    <row r="1522" customFormat="false" ht="15" hidden="false" customHeight="false" outlineLevel="0" collapsed="false">
      <c r="A1522" s="32" t="str">
        <f aca="false">IF(B1522="","",ROW()-7)</f>
        <v/>
      </c>
      <c r="B1522" s="30"/>
      <c r="C1522" s="29"/>
      <c r="D1522" s="29"/>
      <c r="E1522" s="29"/>
      <c r="F1522" s="30"/>
      <c r="G1522" s="29"/>
      <c r="H1522" s="30"/>
      <c r="I1522" s="29"/>
      <c r="J1522" s="30"/>
      <c r="K1522" s="30"/>
      <c r="L1522" s="29"/>
      <c r="M1522" s="32" t="str">
        <f aca="false">IF(OR(C1522="",L1522=""),"",IF(C1522=L1522,"同一","変更"))</f>
        <v/>
      </c>
      <c r="N1522" s="29"/>
      <c r="O1522" s="30"/>
      <c r="P1522" s="29"/>
      <c r="Q1522" s="31"/>
      <c r="R1522" s="29"/>
      <c r="S1522" s="29"/>
      <c r="T1522" s="30"/>
      <c r="U1522" s="47" t="str">
        <f aca="false">IF(AND(B1522&lt;&gt;"",B1522=SW別シート!$C$3),COUNTIF(B$5:B1522,B1522),"")</f>
        <v/>
      </c>
      <c r="V1522" s="47" t="n">
        <f aca="false">V1521+IF(OR(O1522&lt;&gt;"",W1522&lt;&gt;""),1,0)</f>
        <v>3</v>
      </c>
      <c r="W1522" s="29"/>
    </row>
    <row r="1523" customFormat="false" ht="15" hidden="false" customHeight="false" outlineLevel="0" collapsed="false">
      <c r="A1523" s="32" t="str">
        <f aca="false">IF(B1523="","",ROW()-7)</f>
        <v/>
      </c>
      <c r="B1523" s="30"/>
      <c r="C1523" s="29"/>
      <c r="D1523" s="29"/>
      <c r="E1523" s="29"/>
      <c r="F1523" s="30"/>
      <c r="G1523" s="29"/>
      <c r="H1523" s="30"/>
      <c r="I1523" s="29"/>
      <c r="J1523" s="30"/>
      <c r="K1523" s="30"/>
      <c r="L1523" s="29"/>
      <c r="M1523" s="32" t="str">
        <f aca="false">IF(OR(C1523="",L1523=""),"",IF(C1523=L1523,"同一","変更"))</f>
        <v/>
      </c>
      <c r="N1523" s="29"/>
      <c r="O1523" s="30"/>
      <c r="P1523" s="29"/>
      <c r="Q1523" s="31"/>
      <c r="R1523" s="29"/>
      <c r="S1523" s="29"/>
      <c r="T1523" s="30"/>
      <c r="U1523" s="47" t="str">
        <f aca="false">IF(AND(B1523&lt;&gt;"",B1523=SW別シート!$C$3),COUNTIF(B$5:B1523,B1523),"")</f>
        <v/>
      </c>
      <c r="V1523" s="47" t="n">
        <f aca="false">V1522+IF(OR(O1523&lt;&gt;"",W1523&lt;&gt;""),1,0)</f>
        <v>3</v>
      </c>
      <c r="W1523" s="29"/>
    </row>
    <row r="1524" customFormat="false" ht="15" hidden="false" customHeight="false" outlineLevel="0" collapsed="false">
      <c r="A1524" s="32" t="str">
        <f aca="false">IF(B1524="","",ROW()-7)</f>
        <v/>
      </c>
      <c r="B1524" s="30"/>
      <c r="C1524" s="29"/>
      <c r="D1524" s="29"/>
      <c r="E1524" s="29"/>
      <c r="F1524" s="30"/>
      <c r="G1524" s="29"/>
      <c r="H1524" s="30"/>
      <c r="I1524" s="29"/>
      <c r="J1524" s="30"/>
      <c r="K1524" s="30"/>
      <c r="L1524" s="29"/>
      <c r="M1524" s="32" t="str">
        <f aca="false">IF(OR(C1524="",L1524=""),"",IF(C1524=L1524,"同一","変更"))</f>
        <v/>
      </c>
      <c r="N1524" s="29"/>
      <c r="O1524" s="30"/>
      <c r="P1524" s="29"/>
      <c r="Q1524" s="31"/>
      <c r="R1524" s="29"/>
      <c r="S1524" s="29"/>
      <c r="T1524" s="30"/>
      <c r="U1524" s="47" t="str">
        <f aca="false">IF(AND(B1524&lt;&gt;"",B1524=SW別シート!$C$3),COUNTIF(B$5:B1524,B1524),"")</f>
        <v/>
      </c>
      <c r="V1524" s="47" t="n">
        <f aca="false">V1523+IF(OR(O1524&lt;&gt;"",W1524&lt;&gt;""),1,0)</f>
        <v>3</v>
      </c>
      <c r="W1524" s="29"/>
    </row>
    <row r="1525" customFormat="false" ht="15" hidden="false" customHeight="false" outlineLevel="0" collapsed="false">
      <c r="A1525" s="32" t="str">
        <f aca="false">IF(B1525="","",ROW()-7)</f>
        <v/>
      </c>
      <c r="B1525" s="30"/>
      <c r="C1525" s="29"/>
      <c r="D1525" s="29"/>
      <c r="E1525" s="29"/>
      <c r="F1525" s="30"/>
      <c r="G1525" s="29"/>
      <c r="H1525" s="30"/>
      <c r="I1525" s="29"/>
      <c r="J1525" s="30"/>
      <c r="K1525" s="30"/>
      <c r="L1525" s="29"/>
      <c r="M1525" s="32" t="str">
        <f aca="false">IF(OR(C1525="",L1525=""),"",IF(C1525=L1525,"同一","変更"))</f>
        <v/>
      </c>
      <c r="N1525" s="29"/>
      <c r="O1525" s="30"/>
      <c r="P1525" s="29"/>
      <c r="Q1525" s="31"/>
      <c r="R1525" s="29"/>
      <c r="S1525" s="29"/>
      <c r="T1525" s="30"/>
      <c r="U1525" s="47" t="str">
        <f aca="false">IF(AND(B1525&lt;&gt;"",B1525=SW別シート!$C$3),COUNTIF(B$5:B1525,B1525),"")</f>
        <v/>
      </c>
      <c r="V1525" s="47" t="n">
        <f aca="false">V1524+IF(OR(O1525&lt;&gt;"",W1525&lt;&gt;""),1,0)</f>
        <v>3</v>
      </c>
      <c r="W1525" s="29"/>
    </row>
    <row r="1526" customFormat="false" ht="15" hidden="false" customHeight="false" outlineLevel="0" collapsed="false">
      <c r="A1526" s="32" t="str">
        <f aca="false">IF(B1526="","",ROW()-7)</f>
        <v/>
      </c>
      <c r="B1526" s="30"/>
      <c r="C1526" s="29"/>
      <c r="D1526" s="29"/>
      <c r="E1526" s="29"/>
      <c r="F1526" s="30"/>
      <c r="G1526" s="29"/>
      <c r="H1526" s="30"/>
      <c r="I1526" s="29"/>
      <c r="J1526" s="30"/>
      <c r="K1526" s="30"/>
      <c r="L1526" s="29"/>
      <c r="M1526" s="32" t="str">
        <f aca="false">IF(OR(C1526="",L1526=""),"",IF(C1526=L1526,"同一","変更"))</f>
        <v/>
      </c>
      <c r="N1526" s="29"/>
      <c r="O1526" s="30"/>
      <c r="P1526" s="29"/>
      <c r="Q1526" s="31"/>
      <c r="R1526" s="29"/>
      <c r="S1526" s="29"/>
      <c r="T1526" s="30"/>
      <c r="U1526" s="47" t="str">
        <f aca="false">IF(AND(B1526&lt;&gt;"",B1526=SW別シート!$C$3),COUNTIF(B$5:B1526,B1526),"")</f>
        <v/>
      </c>
      <c r="V1526" s="47" t="n">
        <f aca="false">V1525+IF(OR(O1526&lt;&gt;"",W1526&lt;&gt;""),1,0)</f>
        <v>3</v>
      </c>
      <c r="W1526" s="29"/>
    </row>
    <row r="1527" customFormat="false" ht="15" hidden="false" customHeight="false" outlineLevel="0" collapsed="false">
      <c r="A1527" s="32" t="str">
        <f aca="false">IF(B1527="","",ROW()-7)</f>
        <v/>
      </c>
      <c r="B1527" s="30"/>
      <c r="C1527" s="29"/>
      <c r="D1527" s="29"/>
      <c r="E1527" s="29"/>
      <c r="F1527" s="30"/>
      <c r="G1527" s="29"/>
      <c r="H1527" s="30"/>
      <c r="I1527" s="29"/>
      <c r="J1527" s="30"/>
      <c r="K1527" s="30"/>
      <c r="L1527" s="29"/>
      <c r="M1527" s="32" t="str">
        <f aca="false">IF(OR(C1527="",L1527=""),"",IF(C1527=L1527,"同一","変更"))</f>
        <v/>
      </c>
      <c r="N1527" s="29"/>
      <c r="O1527" s="30"/>
      <c r="P1527" s="29"/>
      <c r="Q1527" s="31"/>
      <c r="R1527" s="29"/>
      <c r="S1527" s="29"/>
      <c r="T1527" s="30"/>
      <c r="U1527" s="47" t="str">
        <f aca="false">IF(AND(B1527&lt;&gt;"",B1527=SW別シート!$C$3),COUNTIF(B$5:B1527,B1527),"")</f>
        <v/>
      </c>
      <c r="V1527" s="47" t="n">
        <f aca="false">V1526+IF(OR(O1527&lt;&gt;"",W1527&lt;&gt;""),1,0)</f>
        <v>3</v>
      </c>
      <c r="W1527" s="29"/>
    </row>
    <row r="1528" customFormat="false" ht="15" hidden="false" customHeight="false" outlineLevel="0" collapsed="false">
      <c r="A1528" s="32" t="str">
        <f aca="false">IF(B1528="","",ROW()-7)</f>
        <v/>
      </c>
      <c r="B1528" s="30"/>
      <c r="C1528" s="29"/>
      <c r="D1528" s="29"/>
      <c r="E1528" s="29"/>
      <c r="F1528" s="30"/>
      <c r="G1528" s="29"/>
      <c r="H1528" s="30"/>
      <c r="I1528" s="29"/>
      <c r="J1528" s="30"/>
      <c r="K1528" s="30"/>
      <c r="L1528" s="29"/>
      <c r="M1528" s="32" t="str">
        <f aca="false">IF(OR(C1528="",L1528=""),"",IF(C1528=L1528,"同一","変更"))</f>
        <v/>
      </c>
      <c r="N1528" s="29"/>
      <c r="O1528" s="30"/>
      <c r="P1528" s="29"/>
      <c r="Q1528" s="31"/>
      <c r="R1528" s="29"/>
      <c r="S1528" s="29"/>
      <c r="T1528" s="30"/>
      <c r="U1528" s="47" t="str">
        <f aca="false">IF(AND(B1528&lt;&gt;"",B1528=SW別シート!$C$3),COUNTIF(B$5:B1528,B1528),"")</f>
        <v/>
      </c>
      <c r="V1528" s="47" t="n">
        <f aca="false">V1527+IF(OR(O1528&lt;&gt;"",W1528&lt;&gt;""),1,0)</f>
        <v>3</v>
      </c>
      <c r="W1528" s="29"/>
    </row>
    <row r="1529" customFormat="false" ht="15" hidden="false" customHeight="false" outlineLevel="0" collapsed="false">
      <c r="A1529" s="32" t="str">
        <f aca="false">IF(B1529="","",ROW()-7)</f>
        <v/>
      </c>
      <c r="B1529" s="30"/>
      <c r="C1529" s="29"/>
      <c r="D1529" s="29"/>
      <c r="E1529" s="29"/>
      <c r="F1529" s="30"/>
      <c r="G1529" s="29"/>
      <c r="H1529" s="30"/>
      <c r="I1529" s="29"/>
      <c r="J1529" s="30"/>
      <c r="K1529" s="30"/>
      <c r="L1529" s="29"/>
      <c r="M1529" s="32" t="str">
        <f aca="false">IF(OR(C1529="",L1529=""),"",IF(C1529=L1529,"同一","変更"))</f>
        <v/>
      </c>
      <c r="N1529" s="29"/>
      <c r="O1529" s="30"/>
      <c r="P1529" s="29"/>
      <c r="Q1529" s="31"/>
      <c r="R1529" s="29"/>
      <c r="S1529" s="29"/>
      <c r="T1529" s="30"/>
      <c r="U1529" s="47" t="str">
        <f aca="false">IF(AND(B1529&lt;&gt;"",B1529=SW別シート!$C$3),COUNTIF(B$5:B1529,B1529),"")</f>
        <v/>
      </c>
      <c r="V1529" s="47" t="n">
        <f aca="false">V1528+IF(OR(O1529&lt;&gt;"",W1529&lt;&gt;""),1,0)</f>
        <v>3</v>
      </c>
      <c r="W1529" s="29"/>
    </row>
    <row r="1530" customFormat="false" ht="15" hidden="false" customHeight="false" outlineLevel="0" collapsed="false">
      <c r="A1530" s="32" t="str">
        <f aca="false">IF(B1530="","",ROW()-7)</f>
        <v/>
      </c>
      <c r="B1530" s="30"/>
      <c r="C1530" s="29"/>
      <c r="D1530" s="29"/>
      <c r="E1530" s="29"/>
      <c r="F1530" s="30"/>
      <c r="G1530" s="29"/>
      <c r="H1530" s="30"/>
      <c r="I1530" s="29"/>
      <c r="J1530" s="30"/>
      <c r="K1530" s="30"/>
      <c r="L1530" s="29"/>
      <c r="M1530" s="32" t="str">
        <f aca="false">IF(OR(C1530="",L1530=""),"",IF(C1530=L1530,"同一","変更"))</f>
        <v/>
      </c>
      <c r="N1530" s="29"/>
      <c r="O1530" s="30"/>
      <c r="P1530" s="29"/>
      <c r="Q1530" s="31"/>
      <c r="R1530" s="29"/>
      <c r="S1530" s="29"/>
      <c r="T1530" s="30"/>
      <c r="U1530" s="47" t="str">
        <f aca="false">IF(AND(B1530&lt;&gt;"",B1530=SW別シート!$C$3),COUNTIF(B$5:B1530,B1530),"")</f>
        <v/>
      </c>
      <c r="V1530" s="47" t="n">
        <f aca="false">V1529+IF(OR(O1530&lt;&gt;"",W1530&lt;&gt;""),1,0)</f>
        <v>3</v>
      </c>
      <c r="W1530" s="29"/>
    </row>
    <row r="1531" customFormat="false" ht="15" hidden="false" customHeight="false" outlineLevel="0" collapsed="false">
      <c r="A1531" s="32" t="str">
        <f aca="false">IF(B1531="","",ROW()-7)</f>
        <v/>
      </c>
      <c r="B1531" s="30"/>
      <c r="C1531" s="29"/>
      <c r="D1531" s="29"/>
      <c r="E1531" s="29"/>
      <c r="F1531" s="30"/>
      <c r="G1531" s="29"/>
      <c r="H1531" s="30"/>
      <c r="I1531" s="29"/>
      <c r="J1531" s="30"/>
      <c r="K1531" s="30"/>
      <c r="L1531" s="29"/>
      <c r="M1531" s="32" t="str">
        <f aca="false">IF(OR(C1531="",L1531=""),"",IF(C1531=L1531,"同一","変更"))</f>
        <v/>
      </c>
      <c r="N1531" s="29"/>
      <c r="O1531" s="30"/>
      <c r="P1531" s="29"/>
      <c r="Q1531" s="31"/>
      <c r="R1531" s="29"/>
      <c r="S1531" s="29"/>
      <c r="T1531" s="30"/>
      <c r="U1531" s="47" t="str">
        <f aca="false">IF(AND(B1531&lt;&gt;"",B1531=SW別シート!$C$3),COUNTIF(B$5:B1531,B1531),"")</f>
        <v/>
      </c>
      <c r="V1531" s="47" t="n">
        <f aca="false">V1530+IF(OR(O1531&lt;&gt;"",W1531&lt;&gt;""),1,0)</f>
        <v>3</v>
      </c>
      <c r="W1531" s="29"/>
    </row>
    <row r="1532" customFormat="false" ht="15" hidden="false" customHeight="false" outlineLevel="0" collapsed="false">
      <c r="A1532" s="32" t="str">
        <f aca="false">IF(B1532="","",ROW()-7)</f>
        <v/>
      </c>
      <c r="B1532" s="30"/>
      <c r="C1532" s="29"/>
      <c r="D1532" s="29"/>
      <c r="E1532" s="29"/>
      <c r="F1532" s="30"/>
      <c r="G1532" s="29"/>
      <c r="H1532" s="30"/>
      <c r="I1532" s="29"/>
      <c r="J1532" s="30"/>
      <c r="K1532" s="30"/>
      <c r="L1532" s="29"/>
      <c r="M1532" s="32" t="str">
        <f aca="false">IF(OR(C1532="",L1532=""),"",IF(C1532=L1532,"同一","変更"))</f>
        <v/>
      </c>
      <c r="N1532" s="29"/>
      <c r="O1532" s="30"/>
      <c r="P1532" s="29"/>
      <c r="Q1532" s="31"/>
      <c r="R1532" s="29"/>
      <c r="S1532" s="29"/>
      <c r="T1532" s="30"/>
      <c r="U1532" s="47" t="str">
        <f aca="false">IF(AND(B1532&lt;&gt;"",B1532=SW別シート!$C$3),COUNTIF(B$5:B1532,B1532),"")</f>
        <v/>
      </c>
      <c r="V1532" s="47" t="n">
        <f aca="false">V1531+IF(OR(O1532&lt;&gt;"",W1532&lt;&gt;""),1,0)</f>
        <v>3</v>
      </c>
      <c r="W1532" s="29"/>
    </row>
    <row r="1533" customFormat="false" ht="15" hidden="false" customHeight="false" outlineLevel="0" collapsed="false">
      <c r="A1533" s="32" t="str">
        <f aca="false">IF(B1533="","",ROW()-7)</f>
        <v/>
      </c>
      <c r="B1533" s="30"/>
      <c r="C1533" s="29"/>
      <c r="D1533" s="29"/>
      <c r="E1533" s="29"/>
      <c r="F1533" s="30"/>
      <c r="G1533" s="29"/>
      <c r="H1533" s="30"/>
      <c r="I1533" s="29"/>
      <c r="J1533" s="30"/>
      <c r="K1533" s="30"/>
      <c r="L1533" s="29"/>
      <c r="M1533" s="32" t="str">
        <f aca="false">IF(OR(C1533="",L1533=""),"",IF(C1533=L1533,"同一","変更"))</f>
        <v/>
      </c>
      <c r="N1533" s="29"/>
      <c r="O1533" s="30"/>
      <c r="P1533" s="29"/>
      <c r="Q1533" s="31"/>
      <c r="R1533" s="29"/>
      <c r="S1533" s="29"/>
      <c r="T1533" s="30"/>
      <c r="U1533" s="47" t="str">
        <f aca="false">IF(AND(B1533&lt;&gt;"",B1533=SW別シート!$C$3),COUNTIF(B$5:B1533,B1533),"")</f>
        <v/>
      </c>
      <c r="V1533" s="47" t="n">
        <f aca="false">V1532+IF(OR(O1533&lt;&gt;"",W1533&lt;&gt;""),1,0)</f>
        <v>3</v>
      </c>
      <c r="W1533" s="29"/>
    </row>
    <row r="1534" customFormat="false" ht="15" hidden="false" customHeight="false" outlineLevel="0" collapsed="false">
      <c r="A1534" s="32" t="str">
        <f aca="false">IF(B1534="","",ROW()-7)</f>
        <v/>
      </c>
      <c r="B1534" s="30"/>
      <c r="C1534" s="29"/>
      <c r="D1534" s="29"/>
      <c r="E1534" s="29"/>
      <c r="F1534" s="30"/>
      <c r="G1534" s="29"/>
      <c r="H1534" s="30"/>
      <c r="I1534" s="29"/>
      <c r="J1534" s="30"/>
      <c r="K1534" s="30"/>
      <c r="L1534" s="29"/>
      <c r="M1534" s="32" t="str">
        <f aca="false">IF(OR(C1534="",L1534=""),"",IF(C1534=L1534,"同一","変更"))</f>
        <v/>
      </c>
      <c r="N1534" s="29"/>
      <c r="O1534" s="30"/>
      <c r="P1534" s="29"/>
      <c r="Q1534" s="31"/>
      <c r="R1534" s="29"/>
      <c r="S1534" s="29"/>
      <c r="T1534" s="30"/>
      <c r="U1534" s="47" t="str">
        <f aca="false">IF(AND(B1534&lt;&gt;"",B1534=SW別シート!$C$3),COUNTIF(B$5:B1534,B1534),"")</f>
        <v/>
      </c>
      <c r="V1534" s="47" t="n">
        <f aca="false">V1533+IF(OR(O1534&lt;&gt;"",W1534&lt;&gt;""),1,0)</f>
        <v>3</v>
      </c>
      <c r="W1534" s="29"/>
    </row>
    <row r="1535" customFormat="false" ht="15" hidden="false" customHeight="false" outlineLevel="0" collapsed="false">
      <c r="A1535" s="32" t="str">
        <f aca="false">IF(B1535="","",ROW()-7)</f>
        <v/>
      </c>
      <c r="B1535" s="30"/>
      <c r="C1535" s="29"/>
      <c r="D1535" s="29"/>
      <c r="E1535" s="29"/>
      <c r="F1535" s="30"/>
      <c r="G1535" s="29"/>
      <c r="H1535" s="30"/>
      <c r="I1535" s="29"/>
      <c r="J1535" s="30"/>
      <c r="K1535" s="30"/>
      <c r="L1535" s="29"/>
      <c r="M1535" s="32" t="str">
        <f aca="false">IF(OR(C1535="",L1535=""),"",IF(C1535=L1535,"同一","変更"))</f>
        <v/>
      </c>
      <c r="N1535" s="29"/>
      <c r="O1535" s="30"/>
      <c r="P1535" s="29"/>
      <c r="Q1535" s="31"/>
      <c r="R1535" s="29"/>
      <c r="S1535" s="29"/>
      <c r="T1535" s="30"/>
      <c r="U1535" s="47" t="str">
        <f aca="false">IF(AND(B1535&lt;&gt;"",B1535=SW別シート!$C$3),COUNTIF(B$5:B1535,B1535),"")</f>
        <v/>
      </c>
      <c r="V1535" s="47" t="n">
        <f aca="false">V1534+IF(OR(O1535&lt;&gt;"",W1535&lt;&gt;""),1,0)</f>
        <v>3</v>
      </c>
      <c r="W1535" s="29"/>
    </row>
    <row r="1536" customFormat="false" ht="15" hidden="false" customHeight="false" outlineLevel="0" collapsed="false">
      <c r="A1536" s="32" t="str">
        <f aca="false">IF(B1536="","",ROW()-7)</f>
        <v/>
      </c>
      <c r="B1536" s="30"/>
      <c r="C1536" s="29"/>
      <c r="D1536" s="29"/>
      <c r="E1536" s="29"/>
      <c r="F1536" s="30"/>
      <c r="G1536" s="29"/>
      <c r="H1536" s="30"/>
      <c r="I1536" s="29"/>
      <c r="J1536" s="30"/>
      <c r="K1536" s="30"/>
      <c r="L1536" s="29"/>
      <c r="M1536" s="32" t="str">
        <f aca="false">IF(OR(C1536="",L1536=""),"",IF(C1536=L1536,"同一","変更"))</f>
        <v/>
      </c>
      <c r="N1536" s="29"/>
      <c r="O1536" s="30"/>
      <c r="P1536" s="29"/>
      <c r="Q1536" s="31"/>
      <c r="R1536" s="29"/>
      <c r="S1536" s="29"/>
      <c r="T1536" s="30"/>
      <c r="U1536" s="47" t="str">
        <f aca="false">IF(AND(B1536&lt;&gt;"",B1536=SW別シート!$C$3),COUNTIF(B$5:B1536,B1536),"")</f>
        <v/>
      </c>
      <c r="V1536" s="47" t="n">
        <f aca="false">V1535+IF(OR(O1536&lt;&gt;"",W1536&lt;&gt;""),1,0)</f>
        <v>3</v>
      </c>
      <c r="W1536" s="29"/>
    </row>
    <row r="1537" customFormat="false" ht="15" hidden="false" customHeight="false" outlineLevel="0" collapsed="false">
      <c r="A1537" s="32" t="str">
        <f aca="false">IF(B1537="","",ROW()-7)</f>
        <v/>
      </c>
      <c r="B1537" s="30"/>
      <c r="C1537" s="29"/>
      <c r="D1537" s="29"/>
      <c r="E1537" s="29"/>
      <c r="F1537" s="30"/>
      <c r="G1537" s="29"/>
      <c r="H1537" s="30"/>
      <c r="I1537" s="29"/>
      <c r="J1537" s="30"/>
      <c r="K1537" s="30"/>
      <c r="L1537" s="29"/>
      <c r="M1537" s="32" t="str">
        <f aca="false">IF(OR(C1537="",L1537=""),"",IF(C1537=L1537,"同一","変更"))</f>
        <v/>
      </c>
      <c r="N1537" s="29"/>
      <c r="O1537" s="30"/>
      <c r="P1537" s="29"/>
      <c r="Q1537" s="31"/>
      <c r="R1537" s="29"/>
      <c r="S1537" s="29"/>
      <c r="T1537" s="30"/>
      <c r="U1537" s="47" t="str">
        <f aca="false">IF(AND(B1537&lt;&gt;"",B1537=SW別シート!$C$3),COUNTIF(B$5:B1537,B1537),"")</f>
        <v/>
      </c>
      <c r="V1537" s="47" t="n">
        <f aca="false">V1536+IF(OR(O1537&lt;&gt;"",W1537&lt;&gt;""),1,0)</f>
        <v>3</v>
      </c>
      <c r="W1537" s="29"/>
    </row>
    <row r="1538" customFormat="false" ht="15" hidden="false" customHeight="false" outlineLevel="0" collapsed="false">
      <c r="A1538" s="32" t="str">
        <f aca="false">IF(B1538="","",ROW()-7)</f>
        <v/>
      </c>
      <c r="B1538" s="30"/>
      <c r="C1538" s="29"/>
      <c r="D1538" s="29"/>
      <c r="E1538" s="29"/>
      <c r="F1538" s="30"/>
      <c r="G1538" s="29"/>
      <c r="H1538" s="30"/>
      <c r="I1538" s="29"/>
      <c r="J1538" s="30"/>
      <c r="K1538" s="30"/>
      <c r="L1538" s="29"/>
      <c r="M1538" s="32" t="str">
        <f aca="false">IF(OR(C1538="",L1538=""),"",IF(C1538=L1538,"同一","変更"))</f>
        <v/>
      </c>
      <c r="N1538" s="29"/>
      <c r="O1538" s="30"/>
      <c r="P1538" s="29"/>
      <c r="Q1538" s="31"/>
      <c r="R1538" s="29"/>
      <c r="S1538" s="29"/>
      <c r="T1538" s="30"/>
      <c r="U1538" s="47" t="str">
        <f aca="false">IF(AND(B1538&lt;&gt;"",B1538=SW別シート!$C$3),COUNTIF(B$5:B1538,B1538),"")</f>
        <v/>
      </c>
      <c r="V1538" s="47" t="n">
        <f aca="false">V1537+IF(OR(O1538&lt;&gt;"",W1538&lt;&gt;""),1,0)</f>
        <v>3</v>
      </c>
      <c r="W1538" s="29"/>
    </row>
    <row r="1539" customFormat="false" ht="15" hidden="false" customHeight="false" outlineLevel="0" collapsed="false">
      <c r="A1539" s="32" t="str">
        <f aca="false">IF(B1539="","",ROW()-7)</f>
        <v/>
      </c>
      <c r="B1539" s="30"/>
      <c r="C1539" s="29"/>
      <c r="D1539" s="29"/>
      <c r="E1539" s="29"/>
      <c r="F1539" s="30"/>
      <c r="G1539" s="29"/>
      <c r="H1539" s="30"/>
      <c r="I1539" s="29"/>
      <c r="J1539" s="30"/>
      <c r="K1539" s="30"/>
      <c r="L1539" s="29"/>
      <c r="M1539" s="32" t="str">
        <f aca="false">IF(OR(C1539="",L1539=""),"",IF(C1539=L1539,"同一","変更"))</f>
        <v/>
      </c>
      <c r="N1539" s="29"/>
      <c r="O1539" s="30"/>
      <c r="P1539" s="29"/>
      <c r="Q1539" s="31"/>
      <c r="R1539" s="29"/>
      <c r="S1539" s="29"/>
      <c r="T1539" s="30"/>
      <c r="U1539" s="47" t="str">
        <f aca="false">IF(AND(B1539&lt;&gt;"",B1539=SW別シート!$C$3),COUNTIF(B$5:B1539,B1539),"")</f>
        <v/>
      </c>
      <c r="V1539" s="47" t="n">
        <f aca="false">V1538+IF(OR(O1539&lt;&gt;"",W1539&lt;&gt;""),1,0)</f>
        <v>3</v>
      </c>
      <c r="W1539" s="29"/>
    </row>
    <row r="1540" customFormat="false" ht="15" hidden="false" customHeight="false" outlineLevel="0" collapsed="false">
      <c r="A1540" s="32" t="str">
        <f aca="false">IF(B1540="","",ROW()-7)</f>
        <v/>
      </c>
      <c r="B1540" s="30"/>
      <c r="C1540" s="29"/>
      <c r="D1540" s="29"/>
      <c r="E1540" s="29"/>
      <c r="F1540" s="30"/>
      <c r="G1540" s="29"/>
      <c r="H1540" s="30"/>
      <c r="I1540" s="29"/>
      <c r="J1540" s="30"/>
      <c r="K1540" s="30"/>
      <c r="L1540" s="29"/>
      <c r="M1540" s="32" t="str">
        <f aca="false">IF(OR(C1540="",L1540=""),"",IF(C1540=L1540,"同一","変更"))</f>
        <v/>
      </c>
      <c r="N1540" s="29"/>
      <c r="O1540" s="30"/>
      <c r="P1540" s="29"/>
      <c r="Q1540" s="31"/>
      <c r="R1540" s="29"/>
      <c r="S1540" s="29"/>
      <c r="T1540" s="30"/>
      <c r="U1540" s="47" t="str">
        <f aca="false">IF(AND(B1540&lt;&gt;"",B1540=SW別シート!$C$3),COUNTIF(B$5:B1540,B1540),"")</f>
        <v/>
      </c>
      <c r="V1540" s="47" t="n">
        <f aca="false">V1539+IF(OR(O1540&lt;&gt;"",W1540&lt;&gt;""),1,0)</f>
        <v>3</v>
      </c>
      <c r="W1540" s="29"/>
    </row>
    <row r="1541" customFormat="false" ht="15" hidden="false" customHeight="false" outlineLevel="0" collapsed="false">
      <c r="A1541" s="32" t="str">
        <f aca="false">IF(B1541="","",ROW()-7)</f>
        <v/>
      </c>
      <c r="B1541" s="30"/>
      <c r="C1541" s="29"/>
      <c r="D1541" s="29"/>
      <c r="E1541" s="29"/>
      <c r="F1541" s="30"/>
      <c r="G1541" s="29"/>
      <c r="H1541" s="30"/>
      <c r="I1541" s="29"/>
      <c r="J1541" s="30"/>
      <c r="K1541" s="30"/>
      <c r="L1541" s="29"/>
      <c r="M1541" s="32" t="str">
        <f aca="false">IF(OR(C1541="",L1541=""),"",IF(C1541=L1541,"同一","変更"))</f>
        <v/>
      </c>
      <c r="N1541" s="29"/>
      <c r="O1541" s="30"/>
      <c r="P1541" s="29"/>
      <c r="Q1541" s="31"/>
      <c r="R1541" s="29"/>
      <c r="S1541" s="29"/>
      <c r="T1541" s="30"/>
      <c r="U1541" s="47" t="str">
        <f aca="false">IF(AND(B1541&lt;&gt;"",B1541=SW別シート!$C$3),COUNTIF(B$5:B1541,B1541),"")</f>
        <v/>
      </c>
      <c r="V1541" s="47" t="n">
        <f aca="false">V1540+IF(OR(O1541&lt;&gt;"",W1541&lt;&gt;""),1,0)</f>
        <v>3</v>
      </c>
      <c r="W1541" s="29"/>
    </row>
    <row r="1542" customFormat="false" ht="15" hidden="false" customHeight="false" outlineLevel="0" collapsed="false">
      <c r="A1542" s="32" t="str">
        <f aca="false">IF(B1542="","",ROW()-7)</f>
        <v/>
      </c>
      <c r="B1542" s="30"/>
      <c r="C1542" s="29"/>
      <c r="D1542" s="29"/>
      <c r="E1542" s="29"/>
      <c r="F1542" s="30"/>
      <c r="G1542" s="29"/>
      <c r="H1542" s="30"/>
      <c r="I1542" s="29"/>
      <c r="J1542" s="30"/>
      <c r="K1542" s="30"/>
      <c r="L1542" s="29"/>
      <c r="M1542" s="32" t="str">
        <f aca="false">IF(OR(C1542="",L1542=""),"",IF(C1542=L1542,"同一","変更"))</f>
        <v/>
      </c>
      <c r="N1542" s="29"/>
      <c r="O1542" s="30"/>
      <c r="P1542" s="29"/>
      <c r="Q1542" s="31"/>
      <c r="R1542" s="29"/>
      <c r="S1542" s="29"/>
      <c r="T1542" s="30"/>
      <c r="U1542" s="47" t="str">
        <f aca="false">IF(AND(B1542&lt;&gt;"",B1542=SW別シート!$C$3),COUNTIF(B$5:B1542,B1542),"")</f>
        <v/>
      </c>
      <c r="V1542" s="47" t="n">
        <f aca="false">V1541+IF(OR(O1542&lt;&gt;"",W1542&lt;&gt;""),1,0)</f>
        <v>3</v>
      </c>
      <c r="W1542" s="29"/>
    </row>
    <row r="1543" customFormat="false" ht="15" hidden="false" customHeight="false" outlineLevel="0" collapsed="false">
      <c r="A1543" s="32" t="str">
        <f aca="false">IF(B1543="","",ROW()-7)</f>
        <v/>
      </c>
      <c r="B1543" s="30"/>
      <c r="C1543" s="29"/>
      <c r="D1543" s="29"/>
      <c r="E1543" s="29"/>
      <c r="F1543" s="30"/>
      <c r="G1543" s="29"/>
      <c r="H1543" s="30"/>
      <c r="I1543" s="29"/>
      <c r="J1543" s="30"/>
      <c r="K1543" s="30"/>
      <c r="L1543" s="29"/>
      <c r="M1543" s="32" t="str">
        <f aca="false">IF(OR(C1543="",L1543=""),"",IF(C1543=L1543,"同一","変更"))</f>
        <v/>
      </c>
      <c r="N1543" s="29"/>
      <c r="O1543" s="30"/>
      <c r="P1543" s="29"/>
      <c r="Q1543" s="31"/>
      <c r="R1543" s="29"/>
      <c r="S1543" s="29"/>
      <c r="T1543" s="30"/>
      <c r="U1543" s="47" t="str">
        <f aca="false">IF(AND(B1543&lt;&gt;"",B1543=SW別シート!$C$3),COUNTIF(B$5:B1543,B1543),"")</f>
        <v/>
      </c>
      <c r="V1543" s="47" t="n">
        <f aca="false">V1542+IF(OR(O1543&lt;&gt;"",W1543&lt;&gt;""),1,0)</f>
        <v>3</v>
      </c>
      <c r="W1543" s="29"/>
    </row>
    <row r="1544" customFormat="false" ht="15" hidden="false" customHeight="false" outlineLevel="0" collapsed="false">
      <c r="A1544" s="32" t="str">
        <f aca="false">IF(B1544="","",ROW()-7)</f>
        <v/>
      </c>
      <c r="B1544" s="30"/>
      <c r="C1544" s="29"/>
      <c r="D1544" s="29"/>
      <c r="E1544" s="29"/>
      <c r="F1544" s="30"/>
      <c r="G1544" s="29"/>
      <c r="H1544" s="30"/>
      <c r="I1544" s="29"/>
      <c r="J1544" s="30"/>
      <c r="K1544" s="30"/>
      <c r="L1544" s="29"/>
      <c r="M1544" s="32" t="str">
        <f aca="false">IF(OR(C1544="",L1544=""),"",IF(C1544=L1544,"同一","変更"))</f>
        <v/>
      </c>
      <c r="N1544" s="29"/>
      <c r="O1544" s="30"/>
      <c r="P1544" s="29"/>
      <c r="Q1544" s="31"/>
      <c r="R1544" s="29"/>
      <c r="S1544" s="29"/>
      <c r="T1544" s="30"/>
      <c r="U1544" s="47" t="str">
        <f aca="false">IF(AND(B1544&lt;&gt;"",B1544=SW別シート!$C$3),COUNTIF(B$5:B1544,B1544),"")</f>
        <v/>
      </c>
      <c r="V1544" s="47" t="n">
        <f aca="false">V1543+IF(OR(O1544&lt;&gt;"",W1544&lt;&gt;""),1,0)</f>
        <v>3</v>
      </c>
      <c r="W1544" s="29"/>
    </row>
    <row r="1545" customFormat="false" ht="15" hidden="false" customHeight="false" outlineLevel="0" collapsed="false">
      <c r="A1545" s="32" t="str">
        <f aca="false">IF(B1545="","",ROW()-7)</f>
        <v/>
      </c>
      <c r="B1545" s="30"/>
      <c r="C1545" s="29"/>
      <c r="D1545" s="29"/>
      <c r="E1545" s="29"/>
      <c r="F1545" s="30"/>
      <c r="G1545" s="29"/>
      <c r="H1545" s="30"/>
      <c r="I1545" s="29"/>
      <c r="J1545" s="30"/>
      <c r="K1545" s="30"/>
      <c r="L1545" s="29"/>
      <c r="M1545" s="32" t="str">
        <f aca="false">IF(OR(C1545="",L1545=""),"",IF(C1545=L1545,"同一","変更"))</f>
        <v/>
      </c>
      <c r="N1545" s="29"/>
      <c r="O1545" s="30"/>
      <c r="P1545" s="29"/>
      <c r="Q1545" s="31"/>
      <c r="R1545" s="29"/>
      <c r="S1545" s="29"/>
      <c r="T1545" s="30"/>
      <c r="U1545" s="47" t="str">
        <f aca="false">IF(AND(B1545&lt;&gt;"",B1545=SW別シート!$C$3),COUNTIF(B$5:B1545,B1545),"")</f>
        <v/>
      </c>
      <c r="V1545" s="47" t="n">
        <f aca="false">V1544+IF(OR(O1545&lt;&gt;"",W1545&lt;&gt;""),1,0)</f>
        <v>3</v>
      </c>
      <c r="W1545" s="29"/>
    </row>
    <row r="1546" customFormat="false" ht="15" hidden="false" customHeight="false" outlineLevel="0" collapsed="false">
      <c r="A1546" s="32" t="str">
        <f aca="false">IF(B1546="","",ROW()-7)</f>
        <v/>
      </c>
      <c r="B1546" s="30"/>
      <c r="C1546" s="29"/>
      <c r="D1546" s="29"/>
      <c r="E1546" s="29"/>
      <c r="F1546" s="30"/>
      <c r="G1546" s="29"/>
      <c r="H1546" s="30"/>
      <c r="I1546" s="29"/>
      <c r="J1546" s="30"/>
      <c r="K1546" s="30"/>
      <c r="L1546" s="29"/>
      <c r="M1546" s="32" t="str">
        <f aca="false">IF(OR(C1546="",L1546=""),"",IF(C1546=L1546,"同一","変更"))</f>
        <v/>
      </c>
      <c r="N1546" s="29"/>
      <c r="O1546" s="30"/>
      <c r="P1546" s="29"/>
      <c r="Q1546" s="31"/>
      <c r="R1546" s="29"/>
      <c r="S1546" s="29"/>
      <c r="T1546" s="30"/>
      <c r="U1546" s="47" t="str">
        <f aca="false">IF(AND(B1546&lt;&gt;"",B1546=SW別シート!$C$3),COUNTIF(B$5:B1546,B1546),"")</f>
        <v/>
      </c>
      <c r="V1546" s="47" t="n">
        <f aca="false">V1545+IF(OR(O1546&lt;&gt;"",W1546&lt;&gt;""),1,0)</f>
        <v>3</v>
      </c>
      <c r="W1546" s="29"/>
    </row>
    <row r="1547" customFormat="false" ht="15" hidden="false" customHeight="false" outlineLevel="0" collapsed="false">
      <c r="A1547" s="32" t="str">
        <f aca="false">IF(B1547="","",ROW()-7)</f>
        <v/>
      </c>
      <c r="B1547" s="30"/>
      <c r="C1547" s="29"/>
      <c r="D1547" s="29"/>
      <c r="E1547" s="29"/>
      <c r="F1547" s="30"/>
      <c r="G1547" s="29"/>
      <c r="H1547" s="30"/>
      <c r="I1547" s="29"/>
      <c r="J1547" s="30"/>
      <c r="K1547" s="30"/>
      <c r="L1547" s="29"/>
      <c r="M1547" s="32" t="str">
        <f aca="false">IF(OR(C1547="",L1547=""),"",IF(C1547=L1547,"同一","変更"))</f>
        <v/>
      </c>
      <c r="N1547" s="29"/>
      <c r="O1547" s="30"/>
      <c r="P1547" s="29"/>
      <c r="Q1547" s="31"/>
      <c r="R1547" s="29"/>
      <c r="S1547" s="29"/>
      <c r="T1547" s="30"/>
      <c r="U1547" s="47" t="str">
        <f aca="false">IF(AND(B1547&lt;&gt;"",B1547=SW別シート!$C$3),COUNTIF(B$5:B1547,B1547),"")</f>
        <v/>
      </c>
      <c r="V1547" s="47" t="n">
        <f aca="false">V1546+IF(OR(O1547&lt;&gt;"",W1547&lt;&gt;""),1,0)</f>
        <v>3</v>
      </c>
      <c r="W1547" s="29"/>
    </row>
    <row r="1548" customFormat="false" ht="15" hidden="false" customHeight="false" outlineLevel="0" collapsed="false">
      <c r="A1548" s="32" t="str">
        <f aca="false">IF(B1548="","",ROW()-7)</f>
        <v/>
      </c>
      <c r="B1548" s="30"/>
      <c r="C1548" s="29"/>
      <c r="D1548" s="29"/>
      <c r="E1548" s="29"/>
      <c r="F1548" s="30"/>
      <c r="G1548" s="29"/>
      <c r="H1548" s="30"/>
      <c r="I1548" s="29"/>
      <c r="J1548" s="30"/>
      <c r="K1548" s="30"/>
      <c r="L1548" s="29"/>
      <c r="M1548" s="32" t="str">
        <f aca="false">IF(OR(C1548="",L1548=""),"",IF(C1548=L1548,"同一","変更"))</f>
        <v/>
      </c>
      <c r="N1548" s="29"/>
      <c r="O1548" s="30"/>
      <c r="P1548" s="29"/>
      <c r="Q1548" s="31"/>
      <c r="R1548" s="29"/>
      <c r="S1548" s="29"/>
      <c r="T1548" s="30"/>
      <c r="U1548" s="47" t="str">
        <f aca="false">IF(AND(B1548&lt;&gt;"",B1548=SW別シート!$C$3),COUNTIF(B$5:B1548,B1548),"")</f>
        <v/>
      </c>
      <c r="V1548" s="47" t="n">
        <f aca="false">V1547+IF(OR(O1548&lt;&gt;"",W1548&lt;&gt;""),1,0)</f>
        <v>3</v>
      </c>
      <c r="W1548" s="29"/>
    </row>
    <row r="1549" customFormat="false" ht="15" hidden="false" customHeight="false" outlineLevel="0" collapsed="false">
      <c r="A1549" s="32" t="str">
        <f aca="false">IF(B1549="","",ROW()-7)</f>
        <v/>
      </c>
      <c r="B1549" s="30"/>
      <c r="C1549" s="29"/>
      <c r="D1549" s="29"/>
      <c r="E1549" s="29"/>
      <c r="F1549" s="30"/>
      <c r="G1549" s="29"/>
      <c r="H1549" s="30"/>
      <c r="I1549" s="29"/>
      <c r="J1549" s="30"/>
      <c r="K1549" s="30"/>
      <c r="L1549" s="29"/>
      <c r="M1549" s="32" t="str">
        <f aca="false">IF(OR(C1549="",L1549=""),"",IF(C1549=L1549,"同一","変更"))</f>
        <v/>
      </c>
      <c r="N1549" s="29"/>
      <c r="O1549" s="30"/>
      <c r="P1549" s="29"/>
      <c r="Q1549" s="31"/>
      <c r="R1549" s="29"/>
      <c r="S1549" s="29"/>
      <c r="T1549" s="30"/>
      <c r="U1549" s="47" t="str">
        <f aca="false">IF(AND(B1549&lt;&gt;"",B1549=SW別シート!$C$3),COUNTIF(B$5:B1549,B1549),"")</f>
        <v/>
      </c>
      <c r="V1549" s="47" t="n">
        <f aca="false">V1548+IF(OR(O1549&lt;&gt;"",W1549&lt;&gt;""),1,0)</f>
        <v>3</v>
      </c>
      <c r="W1549" s="29"/>
    </row>
    <row r="1550" customFormat="false" ht="15" hidden="false" customHeight="false" outlineLevel="0" collapsed="false">
      <c r="A1550" s="32" t="str">
        <f aca="false">IF(B1550="","",ROW()-7)</f>
        <v/>
      </c>
      <c r="B1550" s="30"/>
      <c r="C1550" s="29"/>
      <c r="D1550" s="29"/>
      <c r="E1550" s="29"/>
      <c r="F1550" s="30"/>
      <c r="G1550" s="29"/>
      <c r="H1550" s="30"/>
      <c r="I1550" s="29"/>
      <c r="J1550" s="30"/>
      <c r="K1550" s="30"/>
      <c r="L1550" s="29"/>
      <c r="M1550" s="32" t="str">
        <f aca="false">IF(OR(C1550="",L1550=""),"",IF(C1550=L1550,"同一","変更"))</f>
        <v/>
      </c>
      <c r="N1550" s="29"/>
      <c r="O1550" s="30"/>
      <c r="P1550" s="29"/>
      <c r="Q1550" s="31"/>
      <c r="R1550" s="29"/>
      <c r="S1550" s="29"/>
      <c r="T1550" s="30"/>
      <c r="U1550" s="47" t="str">
        <f aca="false">IF(AND(B1550&lt;&gt;"",B1550=SW別シート!$C$3),COUNTIF(B$5:B1550,B1550),"")</f>
        <v/>
      </c>
      <c r="V1550" s="47" t="n">
        <f aca="false">V1549+IF(OR(O1550&lt;&gt;"",W1550&lt;&gt;""),1,0)</f>
        <v>3</v>
      </c>
      <c r="W1550" s="29"/>
    </row>
    <row r="1551" customFormat="false" ht="15" hidden="false" customHeight="false" outlineLevel="0" collapsed="false">
      <c r="A1551" s="32" t="str">
        <f aca="false">IF(B1551="","",ROW()-7)</f>
        <v/>
      </c>
      <c r="B1551" s="30"/>
      <c r="C1551" s="29"/>
      <c r="D1551" s="29"/>
      <c r="E1551" s="29"/>
      <c r="F1551" s="30"/>
      <c r="G1551" s="29"/>
      <c r="H1551" s="30"/>
      <c r="I1551" s="29"/>
      <c r="J1551" s="30"/>
      <c r="K1551" s="30"/>
      <c r="L1551" s="29"/>
      <c r="M1551" s="32" t="str">
        <f aca="false">IF(OR(C1551="",L1551=""),"",IF(C1551=L1551,"同一","変更"))</f>
        <v/>
      </c>
      <c r="N1551" s="29"/>
      <c r="O1551" s="30"/>
      <c r="P1551" s="29"/>
      <c r="Q1551" s="31"/>
      <c r="R1551" s="29"/>
      <c r="S1551" s="29"/>
      <c r="T1551" s="30"/>
      <c r="U1551" s="47" t="str">
        <f aca="false">IF(AND(B1551&lt;&gt;"",B1551=SW別シート!$C$3),COUNTIF(B$5:B1551,B1551),"")</f>
        <v/>
      </c>
      <c r="V1551" s="47" t="n">
        <f aca="false">V1550+IF(OR(O1551&lt;&gt;"",W1551&lt;&gt;""),1,0)</f>
        <v>3</v>
      </c>
      <c r="W1551" s="29"/>
    </row>
    <row r="1552" customFormat="false" ht="15" hidden="false" customHeight="false" outlineLevel="0" collapsed="false">
      <c r="A1552" s="32" t="str">
        <f aca="false">IF(B1552="","",ROW()-7)</f>
        <v/>
      </c>
      <c r="B1552" s="30"/>
      <c r="C1552" s="29"/>
      <c r="D1552" s="29"/>
      <c r="E1552" s="29"/>
      <c r="F1552" s="30"/>
      <c r="G1552" s="29"/>
      <c r="H1552" s="30"/>
      <c r="I1552" s="29"/>
      <c r="J1552" s="30"/>
      <c r="K1552" s="30"/>
      <c r="L1552" s="29"/>
      <c r="M1552" s="32" t="str">
        <f aca="false">IF(OR(C1552="",L1552=""),"",IF(C1552=L1552,"同一","変更"))</f>
        <v/>
      </c>
      <c r="N1552" s="29"/>
      <c r="O1552" s="30"/>
      <c r="P1552" s="29"/>
      <c r="Q1552" s="31"/>
      <c r="R1552" s="29"/>
      <c r="S1552" s="29"/>
      <c r="T1552" s="30"/>
      <c r="U1552" s="47" t="str">
        <f aca="false">IF(AND(B1552&lt;&gt;"",B1552=SW別シート!$C$3),COUNTIF(B$5:B1552,B1552),"")</f>
        <v/>
      </c>
      <c r="V1552" s="47" t="n">
        <f aca="false">V1551+IF(OR(O1552&lt;&gt;"",W1552&lt;&gt;""),1,0)</f>
        <v>3</v>
      </c>
      <c r="W1552" s="29"/>
    </row>
    <row r="1553" customFormat="false" ht="15" hidden="false" customHeight="false" outlineLevel="0" collapsed="false">
      <c r="A1553" s="32" t="str">
        <f aca="false">IF(B1553="","",ROW()-7)</f>
        <v/>
      </c>
      <c r="B1553" s="30"/>
      <c r="C1553" s="29"/>
      <c r="D1553" s="29"/>
      <c r="E1553" s="29"/>
      <c r="F1553" s="30"/>
      <c r="G1553" s="29"/>
      <c r="H1553" s="30"/>
      <c r="I1553" s="29"/>
      <c r="J1553" s="30"/>
      <c r="K1553" s="30"/>
      <c r="L1553" s="29"/>
      <c r="M1553" s="32" t="str">
        <f aca="false">IF(OR(C1553="",L1553=""),"",IF(C1553=L1553,"同一","変更"))</f>
        <v/>
      </c>
      <c r="N1553" s="29"/>
      <c r="O1553" s="30"/>
      <c r="P1553" s="29"/>
      <c r="Q1553" s="31"/>
      <c r="R1553" s="29"/>
      <c r="S1553" s="29"/>
      <c r="T1553" s="30"/>
      <c r="U1553" s="47" t="str">
        <f aca="false">IF(AND(B1553&lt;&gt;"",B1553=SW別シート!$C$3),COUNTIF(B$5:B1553,B1553),"")</f>
        <v/>
      </c>
      <c r="V1553" s="47" t="n">
        <f aca="false">V1552+IF(OR(O1553&lt;&gt;"",W1553&lt;&gt;""),1,0)</f>
        <v>3</v>
      </c>
      <c r="W1553" s="29"/>
    </row>
    <row r="1554" customFormat="false" ht="15" hidden="false" customHeight="false" outlineLevel="0" collapsed="false">
      <c r="A1554" s="32" t="str">
        <f aca="false">IF(B1554="","",ROW()-7)</f>
        <v/>
      </c>
      <c r="B1554" s="30"/>
      <c r="C1554" s="29"/>
      <c r="D1554" s="29"/>
      <c r="E1554" s="29"/>
      <c r="F1554" s="30"/>
      <c r="G1554" s="29"/>
      <c r="H1554" s="30"/>
      <c r="I1554" s="29"/>
      <c r="J1554" s="30"/>
      <c r="K1554" s="30"/>
      <c r="L1554" s="29"/>
      <c r="M1554" s="32" t="str">
        <f aca="false">IF(OR(C1554="",L1554=""),"",IF(C1554=L1554,"同一","変更"))</f>
        <v/>
      </c>
      <c r="N1554" s="29"/>
      <c r="O1554" s="30"/>
      <c r="P1554" s="29"/>
      <c r="Q1554" s="31"/>
      <c r="R1554" s="29"/>
      <c r="S1554" s="29"/>
      <c r="T1554" s="30"/>
      <c r="U1554" s="47" t="str">
        <f aca="false">IF(AND(B1554&lt;&gt;"",B1554=SW別シート!$C$3),COUNTIF(B$5:B1554,B1554),"")</f>
        <v/>
      </c>
      <c r="V1554" s="47" t="n">
        <f aca="false">V1553+IF(OR(O1554&lt;&gt;"",W1554&lt;&gt;""),1,0)</f>
        <v>3</v>
      </c>
      <c r="W1554" s="29"/>
    </row>
    <row r="1555" customFormat="false" ht="15" hidden="false" customHeight="false" outlineLevel="0" collapsed="false">
      <c r="A1555" s="32" t="str">
        <f aca="false">IF(B1555="","",ROW()-7)</f>
        <v/>
      </c>
      <c r="B1555" s="30"/>
      <c r="C1555" s="29"/>
      <c r="D1555" s="29"/>
      <c r="E1555" s="29"/>
      <c r="F1555" s="30"/>
      <c r="G1555" s="29"/>
      <c r="H1555" s="30"/>
      <c r="I1555" s="29"/>
      <c r="J1555" s="30"/>
      <c r="K1555" s="30"/>
      <c r="L1555" s="29"/>
      <c r="M1555" s="32" t="str">
        <f aca="false">IF(OR(C1555="",L1555=""),"",IF(C1555=L1555,"同一","変更"))</f>
        <v/>
      </c>
      <c r="N1555" s="29"/>
      <c r="O1555" s="30"/>
      <c r="P1555" s="29"/>
      <c r="Q1555" s="31"/>
      <c r="R1555" s="29"/>
      <c r="S1555" s="29"/>
      <c r="T1555" s="30"/>
      <c r="U1555" s="47" t="str">
        <f aca="false">IF(AND(B1555&lt;&gt;"",B1555=SW別シート!$C$3),COUNTIF(B$5:B1555,B1555),"")</f>
        <v/>
      </c>
      <c r="V1555" s="47" t="n">
        <f aca="false">V1554+IF(OR(O1555&lt;&gt;"",W1555&lt;&gt;""),1,0)</f>
        <v>3</v>
      </c>
      <c r="W1555" s="29"/>
    </row>
    <row r="1556" customFormat="false" ht="15" hidden="false" customHeight="false" outlineLevel="0" collapsed="false">
      <c r="A1556" s="32" t="str">
        <f aca="false">IF(B1556="","",ROW()-7)</f>
        <v/>
      </c>
      <c r="B1556" s="30"/>
      <c r="C1556" s="29"/>
      <c r="D1556" s="29"/>
      <c r="E1556" s="29"/>
      <c r="F1556" s="30"/>
      <c r="G1556" s="29"/>
      <c r="H1556" s="30"/>
      <c r="I1556" s="29"/>
      <c r="J1556" s="30"/>
      <c r="K1556" s="30"/>
      <c r="L1556" s="29"/>
      <c r="M1556" s="32" t="str">
        <f aca="false">IF(OR(C1556="",L1556=""),"",IF(C1556=L1556,"同一","変更"))</f>
        <v/>
      </c>
      <c r="N1556" s="29"/>
      <c r="O1556" s="30"/>
      <c r="P1556" s="29"/>
      <c r="Q1556" s="31"/>
      <c r="R1556" s="29"/>
      <c r="S1556" s="29"/>
      <c r="T1556" s="30"/>
      <c r="U1556" s="47" t="str">
        <f aca="false">IF(AND(B1556&lt;&gt;"",B1556=SW別シート!$C$3),COUNTIF(B$5:B1556,B1556),"")</f>
        <v/>
      </c>
      <c r="V1556" s="47" t="n">
        <f aca="false">V1555+IF(OR(O1556&lt;&gt;"",W1556&lt;&gt;""),1,0)</f>
        <v>3</v>
      </c>
      <c r="W1556" s="29"/>
    </row>
    <row r="1557" customFormat="false" ht="15" hidden="false" customHeight="false" outlineLevel="0" collapsed="false">
      <c r="A1557" s="32" t="str">
        <f aca="false">IF(B1557="","",ROW()-7)</f>
        <v/>
      </c>
      <c r="B1557" s="30"/>
      <c r="C1557" s="29"/>
      <c r="D1557" s="29"/>
      <c r="E1557" s="29"/>
      <c r="F1557" s="30"/>
      <c r="G1557" s="29"/>
      <c r="H1557" s="30"/>
      <c r="I1557" s="29"/>
      <c r="J1557" s="30"/>
      <c r="K1557" s="30"/>
      <c r="L1557" s="29"/>
      <c r="M1557" s="32" t="str">
        <f aca="false">IF(OR(C1557="",L1557=""),"",IF(C1557=L1557,"同一","変更"))</f>
        <v/>
      </c>
      <c r="N1557" s="29"/>
      <c r="O1557" s="30"/>
      <c r="P1557" s="29"/>
      <c r="Q1557" s="31"/>
      <c r="R1557" s="29"/>
      <c r="S1557" s="29"/>
      <c r="T1557" s="30"/>
      <c r="U1557" s="47" t="str">
        <f aca="false">IF(AND(B1557&lt;&gt;"",B1557=SW別シート!$C$3),COUNTIF(B$5:B1557,B1557),"")</f>
        <v/>
      </c>
      <c r="V1557" s="47" t="n">
        <f aca="false">V1556+IF(OR(O1557&lt;&gt;"",W1557&lt;&gt;""),1,0)</f>
        <v>3</v>
      </c>
      <c r="W1557" s="29"/>
    </row>
    <row r="1558" customFormat="false" ht="15" hidden="false" customHeight="false" outlineLevel="0" collapsed="false">
      <c r="A1558" s="32" t="str">
        <f aca="false">IF(B1558="","",ROW()-7)</f>
        <v/>
      </c>
      <c r="B1558" s="30"/>
      <c r="C1558" s="29"/>
      <c r="D1558" s="29"/>
      <c r="E1558" s="29"/>
      <c r="F1558" s="30"/>
      <c r="G1558" s="29"/>
      <c r="H1558" s="30"/>
      <c r="I1558" s="29"/>
      <c r="J1558" s="30"/>
      <c r="K1558" s="30"/>
      <c r="L1558" s="29"/>
      <c r="M1558" s="32" t="str">
        <f aca="false">IF(OR(C1558="",L1558=""),"",IF(C1558=L1558,"同一","変更"))</f>
        <v/>
      </c>
      <c r="N1558" s="29"/>
      <c r="O1558" s="30"/>
      <c r="P1558" s="29"/>
      <c r="Q1558" s="31"/>
      <c r="R1558" s="29"/>
      <c r="S1558" s="29"/>
      <c r="T1558" s="30"/>
      <c r="U1558" s="47" t="str">
        <f aca="false">IF(AND(B1558&lt;&gt;"",B1558=SW別シート!$C$3),COUNTIF(B$5:B1558,B1558),"")</f>
        <v/>
      </c>
      <c r="V1558" s="47" t="n">
        <f aca="false">V1557+IF(OR(O1558&lt;&gt;"",W1558&lt;&gt;""),1,0)</f>
        <v>3</v>
      </c>
      <c r="W1558" s="29"/>
    </row>
    <row r="1559" customFormat="false" ht="15" hidden="false" customHeight="false" outlineLevel="0" collapsed="false">
      <c r="A1559" s="32" t="str">
        <f aca="false">IF(B1559="","",ROW()-7)</f>
        <v/>
      </c>
      <c r="B1559" s="30"/>
      <c r="C1559" s="29"/>
      <c r="D1559" s="29"/>
      <c r="E1559" s="29"/>
      <c r="F1559" s="30"/>
      <c r="G1559" s="29"/>
      <c r="H1559" s="30"/>
      <c r="I1559" s="29"/>
      <c r="J1559" s="30"/>
      <c r="K1559" s="30"/>
      <c r="L1559" s="29"/>
      <c r="M1559" s="32" t="str">
        <f aca="false">IF(OR(C1559="",L1559=""),"",IF(C1559=L1559,"同一","変更"))</f>
        <v/>
      </c>
      <c r="N1559" s="29"/>
      <c r="O1559" s="30"/>
      <c r="P1559" s="29"/>
      <c r="Q1559" s="31"/>
      <c r="R1559" s="29"/>
      <c r="S1559" s="29"/>
      <c r="T1559" s="30"/>
      <c r="U1559" s="47" t="str">
        <f aca="false">IF(AND(B1559&lt;&gt;"",B1559=SW別シート!$C$3),COUNTIF(B$5:B1559,B1559),"")</f>
        <v/>
      </c>
      <c r="V1559" s="47" t="n">
        <f aca="false">V1558+IF(OR(O1559&lt;&gt;"",W1559&lt;&gt;""),1,0)</f>
        <v>3</v>
      </c>
      <c r="W1559" s="29"/>
    </row>
    <row r="1560" customFormat="false" ht="15" hidden="false" customHeight="false" outlineLevel="0" collapsed="false">
      <c r="A1560" s="32" t="str">
        <f aca="false">IF(B1560="","",ROW()-7)</f>
        <v/>
      </c>
      <c r="B1560" s="30"/>
      <c r="C1560" s="29"/>
      <c r="D1560" s="29"/>
      <c r="E1560" s="29"/>
      <c r="F1560" s="30"/>
      <c r="G1560" s="29"/>
      <c r="H1560" s="30"/>
      <c r="I1560" s="29"/>
      <c r="J1560" s="30"/>
      <c r="K1560" s="30"/>
      <c r="L1560" s="29"/>
      <c r="M1560" s="32" t="str">
        <f aca="false">IF(OR(C1560="",L1560=""),"",IF(C1560=L1560,"同一","変更"))</f>
        <v/>
      </c>
      <c r="N1560" s="29"/>
      <c r="O1560" s="30"/>
      <c r="P1560" s="29"/>
      <c r="Q1560" s="31"/>
      <c r="R1560" s="29"/>
      <c r="S1560" s="29"/>
      <c r="T1560" s="30"/>
      <c r="U1560" s="47" t="str">
        <f aca="false">IF(AND(B1560&lt;&gt;"",B1560=SW別シート!$C$3),COUNTIF(B$5:B1560,B1560),"")</f>
        <v/>
      </c>
      <c r="V1560" s="47" t="n">
        <f aca="false">V1559+IF(OR(O1560&lt;&gt;"",W1560&lt;&gt;""),1,0)</f>
        <v>3</v>
      </c>
      <c r="W1560" s="29"/>
    </row>
    <row r="1561" customFormat="false" ht="15" hidden="false" customHeight="false" outlineLevel="0" collapsed="false">
      <c r="A1561" s="32" t="str">
        <f aca="false">IF(B1561="","",ROW()-7)</f>
        <v/>
      </c>
      <c r="B1561" s="30"/>
      <c r="C1561" s="29"/>
      <c r="D1561" s="29"/>
      <c r="E1561" s="29"/>
      <c r="F1561" s="30"/>
      <c r="G1561" s="29"/>
      <c r="H1561" s="30"/>
      <c r="I1561" s="29"/>
      <c r="J1561" s="30"/>
      <c r="K1561" s="30"/>
      <c r="L1561" s="29"/>
      <c r="M1561" s="32" t="str">
        <f aca="false">IF(OR(C1561="",L1561=""),"",IF(C1561=L1561,"同一","変更"))</f>
        <v/>
      </c>
      <c r="N1561" s="29"/>
      <c r="O1561" s="30"/>
      <c r="P1561" s="29"/>
      <c r="Q1561" s="31"/>
      <c r="R1561" s="29"/>
      <c r="S1561" s="29"/>
      <c r="T1561" s="30"/>
      <c r="U1561" s="47" t="str">
        <f aca="false">IF(AND(B1561&lt;&gt;"",B1561=SW別シート!$C$3),COUNTIF(B$5:B1561,B1561),"")</f>
        <v/>
      </c>
      <c r="V1561" s="47" t="n">
        <f aca="false">V1560+IF(OR(O1561&lt;&gt;"",W1561&lt;&gt;""),1,0)</f>
        <v>3</v>
      </c>
      <c r="W1561" s="29"/>
    </row>
    <row r="1562" customFormat="false" ht="15" hidden="false" customHeight="false" outlineLevel="0" collapsed="false">
      <c r="A1562" s="32" t="str">
        <f aca="false">IF(B1562="","",ROW()-7)</f>
        <v/>
      </c>
      <c r="B1562" s="30"/>
      <c r="C1562" s="29"/>
      <c r="D1562" s="29"/>
      <c r="E1562" s="29"/>
      <c r="F1562" s="30"/>
      <c r="G1562" s="29"/>
      <c r="H1562" s="30"/>
      <c r="I1562" s="29"/>
      <c r="J1562" s="30"/>
      <c r="K1562" s="30"/>
      <c r="L1562" s="29"/>
      <c r="M1562" s="32" t="str">
        <f aca="false">IF(OR(C1562="",L1562=""),"",IF(C1562=L1562,"同一","変更"))</f>
        <v/>
      </c>
      <c r="N1562" s="29"/>
      <c r="O1562" s="30"/>
      <c r="P1562" s="29"/>
      <c r="Q1562" s="31"/>
      <c r="R1562" s="29"/>
      <c r="S1562" s="29"/>
      <c r="T1562" s="30"/>
      <c r="U1562" s="47" t="str">
        <f aca="false">IF(AND(B1562&lt;&gt;"",B1562=SW別シート!$C$3),COUNTIF(B$5:B1562,B1562),"")</f>
        <v/>
      </c>
      <c r="V1562" s="47" t="n">
        <f aca="false">V1561+IF(OR(O1562&lt;&gt;"",W1562&lt;&gt;""),1,0)</f>
        <v>3</v>
      </c>
      <c r="W1562" s="29"/>
    </row>
    <row r="1563" customFormat="false" ht="15" hidden="false" customHeight="false" outlineLevel="0" collapsed="false">
      <c r="A1563" s="32" t="str">
        <f aca="false">IF(B1563="","",ROW()-7)</f>
        <v/>
      </c>
      <c r="B1563" s="30"/>
      <c r="C1563" s="29"/>
      <c r="D1563" s="29"/>
      <c r="E1563" s="29"/>
      <c r="F1563" s="30"/>
      <c r="G1563" s="29"/>
      <c r="H1563" s="30"/>
      <c r="I1563" s="29"/>
      <c r="J1563" s="30"/>
      <c r="K1563" s="30"/>
      <c r="L1563" s="29"/>
      <c r="M1563" s="32" t="str">
        <f aca="false">IF(OR(C1563="",L1563=""),"",IF(C1563=L1563,"同一","変更"))</f>
        <v/>
      </c>
      <c r="N1563" s="29"/>
      <c r="O1563" s="30"/>
      <c r="P1563" s="29"/>
      <c r="Q1563" s="31"/>
      <c r="R1563" s="29"/>
      <c r="S1563" s="29"/>
      <c r="T1563" s="30"/>
      <c r="U1563" s="47" t="str">
        <f aca="false">IF(AND(B1563&lt;&gt;"",B1563=SW別シート!$C$3),COUNTIF(B$5:B1563,B1563),"")</f>
        <v/>
      </c>
      <c r="V1563" s="47" t="n">
        <f aca="false">V1562+IF(OR(O1563&lt;&gt;"",W1563&lt;&gt;""),1,0)</f>
        <v>3</v>
      </c>
      <c r="W1563" s="29"/>
    </row>
    <row r="1564" customFormat="false" ht="15" hidden="false" customHeight="false" outlineLevel="0" collapsed="false">
      <c r="A1564" s="32" t="str">
        <f aca="false">IF(B1564="","",ROW()-7)</f>
        <v/>
      </c>
      <c r="B1564" s="30"/>
      <c r="C1564" s="29"/>
      <c r="D1564" s="29"/>
      <c r="E1564" s="29"/>
      <c r="F1564" s="30"/>
      <c r="G1564" s="29"/>
      <c r="H1564" s="30"/>
      <c r="I1564" s="29"/>
      <c r="J1564" s="30"/>
      <c r="K1564" s="30"/>
      <c r="L1564" s="29"/>
      <c r="M1564" s="32" t="str">
        <f aca="false">IF(OR(C1564="",L1564=""),"",IF(C1564=L1564,"同一","変更"))</f>
        <v/>
      </c>
      <c r="N1564" s="29"/>
      <c r="O1564" s="30"/>
      <c r="P1564" s="29"/>
      <c r="Q1564" s="31"/>
      <c r="R1564" s="29"/>
      <c r="S1564" s="29"/>
      <c r="T1564" s="30"/>
      <c r="U1564" s="47" t="str">
        <f aca="false">IF(AND(B1564&lt;&gt;"",B1564=SW別シート!$C$3),COUNTIF(B$5:B1564,B1564),"")</f>
        <v/>
      </c>
      <c r="V1564" s="47" t="n">
        <f aca="false">V1563+IF(OR(O1564&lt;&gt;"",W1564&lt;&gt;""),1,0)</f>
        <v>3</v>
      </c>
      <c r="W1564" s="29"/>
    </row>
    <row r="1565" customFormat="false" ht="15" hidden="false" customHeight="false" outlineLevel="0" collapsed="false">
      <c r="A1565" s="32" t="str">
        <f aca="false">IF(B1565="","",ROW()-7)</f>
        <v/>
      </c>
      <c r="B1565" s="30"/>
      <c r="C1565" s="29"/>
      <c r="D1565" s="29"/>
      <c r="E1565" s="29"/>
      <c r="F1565" s="30"/>
      <c r="G1565" s="29"/>
      <c r="H1565" s="30"/>
      <c r="I1565" s="29"/>
      <c r="J1565" s="30"/>
      <c r="K1565" s="30"/>
      <c r="L1565" s="29"/>
      <c r="M1565" s="32" t="str">
        <f aca="false">IF(OR(C1565="",L1565=""),"",IF(C1565=L1565,"同一","変更"))</f>
        <v/>
      </c>
      <c r="N1565" s="29"/>
      <c r="O1565" s="30"/>
      <c r="P1565" s="29"/>
      <c r="Q1565" s="31"/>
      <c r="R1565" s="29"/>
      <c r="S1565" s="29"/>
      <c r="T1565" s="30"/>
      <c r="U1565" s="47" t="str">
        <f aca="false">IF(AND(B1565&lt;&gt;"",B1565=SW別シート!$C$3),COUNTIF(B$5:B1565,B1565),"")</f>
        <v/>
      </c>
      <c r="V1565" s="47" t="n">
        <f aca="false">V1564+IF(OR(O1565&lt;&gt;"",W1565&lt;&gt;""),1,0)</f>
        <v>3</v>
      </c>
      <c r="W1565" s="29"/>
    </row>
    <row r="1566" customFormat="false" ht="15" hidden="false" customHeight="false" outlineLevel="0" collapsed="false">
      <c r="A1566" s="32" t="str">
        <f aca="false">IF(B1566="","",ROW()-7)</f>
        <v/>
      </c>
      <c r="B1566" s="30"/>
      <c r="C1566" s="29"/>
      <c r="D1566" s="29"/>
      <c r="E1566" s="29"/>
      <c r="F1566" s="30"/>
      <c r="G1566" s="29"/>
      <c r="H1566" s="30"/>
      <c r="I1566" s="29"/>
      <c r="J1566" s="30"/>
      <c r="K1566" s="30"/>
      <c r="L1566" s="29"/>
      <c r="M1566" s="32" t="str">
        <f aca="false">IF(OR(C1566="",L1566=""),"",IF(C1566=L1566,"同一","変更"))</f>
        <v/>
      </c>
      <c r="N1566" s="29"/>
      <c r="O1566" s="30"/>
      <c r="P1566" s="29"/>
      <c r="Q1566" s="31"/>
      <c r="R1566" s="29"/>
      <c r="S1566" s="29"/>
      <c r="T1566" s="30"/>
      <c r="U1566" s="47" t="str">
        <f aca="false">IF(AND(B1566&lt;&gt;"",B1566=SW別シート!$C$3),COUNTIF(B$5:B1566,B1566),"")</f>
        <v/>
      </c>
      <c r="V1566" s="47" t="n">
        <f aca="false">V1565+IF(OR(O1566&lt;&gt;"",W1566&lt;&gt;""),1,0)</f>
        <v>3</v>
      </c>
      <c r="W1566" s="29"/>
    </row>
    <row r="1567" customFormat="false" ht="15" hidden="false" customHeight="false" outlineLevel="0" collapsed="false">
      <c r="A1567" s="32" t="str">
        <f aca="false">IF(B1567="","",ROW()-7)</f>
        <v/>
      </c>
      <c r="B1567" s="30"/>
      <c r="C1567" s="29"/>
      <c r="D1567" s="29"/>
      <c r="E1567" s="29"/>
      <c r="F1567" s="30"/>
      <c r="G1567" s="29"/>
      <c r="H1567" s="30"/>
      <c r="I1567" s="29"/>
      <c r="J1567" s="30"/>
      <c r="K1567" s="30"/>
      <c r="L1567" s="29"/>
      <c r="M1567" s="32" t="str">
        <f aca="false">IF(OR(C1567="",L1567=""),"",IF(C1567=L1567,"同一","変更"))</f>
        <v/>
      </c>
      <c r="N1567" s="29"/>
      <c r="O1567" s="30"/>
      <c r="P1567" s="29"/>
      <c r="Q1567" s="31"/>
      <c r="R1567" s="29"/>
      <c r="S1567" s="29"/>
      <c r="T1567" s="30"/>
      <c r="U1567" s="47" t="str">
        <f aca="false">IF(AND(B1567&lt;&gt;"",B1567=SW別シート!$C$3),COUNTIF(B$5:B1567,B1567),"")</f>
        <v/>
      </c>
      <c r="V1567" s="47" t="n">
        <f aca="false">V1566+IF(OR(O1567&lt;&gt;"",W1567&lt;&gt;""),1,0)</f>
        <v>3</v>
      </c>
      <c r="W1567" s="29"/>
    </row>
    <row r="1568" customFormat="false" ht="15" hidden="false" customHeight="false" outlineLevel="0" collapsed="false">
      <c r="A1568" s="32" t="str">
        <f aca="false">IF(B1568="","",ROW()-7)</f>
        <v/>
      </c>
      <c r="B1568" s="30"/>
      <c r="C1568" s="29"/>
      <c r="D1568" s="29"/>
      <c r="E1568" s="29"/>
      <c r="F1568" s="30"/>
      <c r="G1568" s="29"/>
      <c r="H1568" s="30"/>
      <c r="I1568" s="29"/>
      <c r="J1568" s="30"/>
      <c r="K1568" s="30"/>
      <c r="L1568" s="29"/>
      <c r="M1568" s="32" t="str">
        <f aca="false">IF(OR(C1568="",L1568=""),"",IF(C1568=L1568,"同一","変更"))</f>
        <v/>
      </c>
      <c r="N1568" s="29"/>
      <c r="O1568" s="30"/>
      <c r="P1568" s="29"/>
      <c r="Q1568" s="31"/>
      <c r="R1568" s="29"/>
      <c r="S1568" s="29"/>
      <c r="T1568" s="30"/>
      <c r="U1568" s="47" t="str">
        <f aca="false">IF(AND(B1568&lt;&gt;"",B1568=SW別シート!$C$3),COUNTIF(B$5:B1568,B1568),"")</f>
        <v/>
      </c>
      <c r="V1568" s="47" t="n">
        <f aca="false">V1567+IF(OR(O1568&lt;&gt;"",W1568&lt;&gt;""),1,0)</f>
        <v>3</v>
      </c>
      <c r="W1568" s="29"/>
    </row>
    <row r="1569" customFormat="false" ht="15" hidden="false" customHeight="false" outlineLevel="0" collapsed="false">
      <c r="A1569" s="32" t="str">
        <f aca="false">IF(B1569="","",ROW()-7)</f>
        <v/>
      </c>
      <c r="B1569" s="30"/>
      <c r="C1569" s="29"/>
      <c r="D1569" s="29"/>
      <c r="E1569" s="29"/>
      <c r="F1569" s="30"/>
      <c r="G1569" s="29"/>
      <c r="H1569" s="30"/>
      <c r="I1569" s="29"/>
      <c r="J1569" s="30"/>
      <c r="K1569" s="30"/>
      <c r="L1569" s="29"/>
      <c r="M1569" s="32" t="str">
        <f aca="false">IF(OR(C1569="",L1569=""),"",IF(C1569=L1569,"同一","変更"))</f>
        <v/>
      </c>
      <c r="N1569" s="29"/>
      <c r="O1569" s="30"/>
      <c r="P1569" s="29"/>
      <c r="Q1569" s="31"/>
      <c r="R1569" s="29"/>
      <c r="S1569" s="29"/>
      <c r="T1569" s="30"/>
      <c r="U1569" s="47" t="str">
        <f aca="false">IF(AND(B1569&lt;&gt;"",B1569=SW別シート!$C$3),COUNTIF(B$5:B1569,B1569),"")</f>
        <v/>
      </c>
      <c r="V1569" s="47" t="n">
        <f aca="false">V1568+IF(OR(O1569&lt;&gt;"",W1569&lt;&gt;""),1,0)</f>
        <v>3</v>
      </c>
      <c r="W1569" s="29"/>
    </row>
    <row r="1570" customFormat="false" ht="15" hidden="false" customHeight="false" outlineLevel="0" collapsed="false">
      <c r="A1570" s="32" t="str">
        <f aca="false">IF(B1570="","",ROW()-7)</f>
        <v/>
      </c>
      <c r="B1570" s="30"/>
      <c r="C1570" s="29"/>
      <c r="D1570" s="29"/>
      <c r="E1570" s="29"/>
      <c r="F1570" s="30"/>
      <c r="G1570" s="29"/>
      <c r="H1570" s="30"/>
      <c r="I1570" s="29"/>
      <c r="J1570" s="30"/>
      <c r="K1570" s="30"/>
      <c r="L1570" s="29"/>
      <c r="M1570" s="32" t="str">
        <f aca="false">IF(OR(C1570="",L1570=""),"",IF(C1570=L1570,"同一","変更"))</f>
        <v/>
      </c>
      <c r="N1570" s="29"/>
      <c r="O1570" s="30"/>
      <c r="P1570" s="29"/>
      <c r="Q1570" s="31"/>
      <c r="R1570" s="29"/>
      <c r="S1570" s="29"/>
      <c r="T1570" s="30"/>
      <c r="U1570" s="47" t="str">
        <f aca="false">IF(AND(B1570&lt;&gt;"",B1570=SW別シート!$C$3),COUNTIF(B$5:B1570,B1570),"")</f>
        <v/>
      </c>
      <c r="V1570" s="47" t="n">
        <f aca="false">V1569+IF(OR(O1570&lt;&gt;"",W1570&lt;&gt;""),1,0)</f>
        <v>3</v>
      </c>
      <c r="W1570" s="29"/>
    </row>
    <row r="1571" customFormat="false" ht="15" hidden="false" customHeight="false" outlineLevel="0" collapsed="false">
      <c r="A1571" s="32" t="str">
        <f aca="false">IF(B1571="","",ROW()-7)</f>
        <v/>
      </c>
      <c r="B1571" s="30"/>
      <c r="C1571" s="29"/>
      <c r="D1571" s="29"/>
      <c r="E1571" s="29"/>
      <c r="F1571" s="30"/>
      <c r="G1571" s="29"/>
      <c r="H1571" s="30"/>
      <c r="I1571" s="29"/>
      <c r="J1571" s="30"/>
      <c r="K1571" s="30"/>
      <c r="L1571" s="29"/>
      <c r="M1571" s="32" t="str">
        <f aca="false">IF(OR(C1571="",L1571=""),"",IF(C1571=L1571,"同一","変更"))</f>
        <v/>
      </c>
      <c r="N1571" s="29"/>
      <c r="O1571" s="30"/>
      <c r="P1571" s="29"/>
      <c r="Q1571" s="31"/>
      <c r="R1571" s="29"/>
      <c r="S1571" s="29"/>
      <c r="T1571" s="30"/>
      <c r="U1571" s="47" t="str">
        <f aca="false">IF(AND(B1571&lt;&gt;"",B1571=SW別シート!$C$3),COUNTIF(B$5:B1571,B1571),"")</f>
        <v/>
      </c>
      <c r="V1571" s="47" t="n">
        <f aca="false">V1570+IF(OR(O1571&lt;&gt;"",W1571&lt;&gt;""),1,0)</f>
        <v>3</v>
      </c>
      <c r="W1571" s="29"/>
    </row>
    <row r="1572" customFormat="false" ht="15" hidden="false" customHeight="false" outlineLevel="0" collapsed="false">
      <c r="A1572" s="32" t="str">
        <f aca="false">IF(B1572="","",ROW()-7)</f>
        <v/>
      </c>
      <c r="B1572" s="30"/>
      <c r="C1572" s="29"/>
      <c r="D1572" s="29"/>
      <c r="E1572" s="29"/>
      <c r="F1572" s="30"/>
      <c r="G1572" s="29"/>
      <c r="H1572" s="30"/>
      <c r="I1572" s="29"/>
      <c r="J1572" s="30"/>
      <c r="K1572" s="30"/>
      <c r="L1572" s="29"/>
      <c r="M1572" s="32" t="str">
        <f aca="false">IF(OR(C1572="",L1572=""),"",IF(C1572=L1572,"同一","変更"))</f>
        <v/>
      </c>
      <c r="N1572" s="29"/>
      <c r="O1572" s="30"/>
      <c r="P1572" s="29"/>
      <c r="Q1572" s="31"/>
      <c r="R1572" s="29"/>
      <c r="S1572" s="29"/>
      <c r="T1572" s="30"/>
      <c r="U1572" s="47" t="str">
        <f aca="false">IF(AND(B1572&lt;&gt;"",B1572=SW別シート!$C$3),COUNTIF(B$5:B1572,B1572),"")</f>
        <v/>
      </c>
      <c r="V1572" s="47" t="n">
        <f aca="false">V1571+IF(OR(O1572&lt;&gt;"",W1572&lt;&gt;""),1,0)</f>
        <v>3</v>
      </c>
      <c r="W1572" s="29"/>
    </row>
    <row r="1573" customFormat="false" ht="15" hidden="false" customHeight="false" outlineLevel="0" collapsed="false">
      <c r="A1573" s="32" t="str">
        <f aca="false">IF(B1573="","",ROW()-7)</f>
        <v/>
      </c>
      <c r="B1573" s="30"/>
      <c r="C1573" s="29"/>
      <c r="D1573" s="29"/>
      <c r="E1573" s="29"/>
      <c r="F1573" s="30"/>
      <c r="G1573" s="29"/>
      <c r="H1573" s="30"/>
      <c r="I1573" s="29"/>
      <c r="J1573" s="30"/>
      <c r="K1573" s="30"/>
      <c r="L1573" s="29"/>
      <c r="M1573" s="32" t="str">
        <f aca="false">IF(OR(C1573="",L1573=""),"",IF(C1573=L1573,"同一","変更"))</f>
        <v/>
      </c>
      <c r="N1573" s="29"/>
      <c r="O1573" s="30"/>
      <c r="P1573" s="29"/>
      <c r="Q1573" s="31"/>
      <c r="R1573" s="29"/>
      <c r="S1573" s="29"/>
      <c r="T1573" s="30"/>
      <c r="U1573" s="47" t="str">
        <f aca="false">IF(AND(B1573&lt;&gt;"",B1573=SW別シート!$C$3),COUNTIF(B$5:B1573,B1573),"")</f>
        <v/>
      </c>
      <c r="V1573" s="47" t="n">
        <f aca="false">V1572+IF(OR(O1573&lt;&gt;"",W1573&lt;&gt;""),1,0)</f>
        <v>3</v>
      </c>
      <c r="W1573" s="29"/>
    </row>
    <row r="1574" customFormat="false" ht="15" hidden="false" customHeight="false" outlineLevel="0" collapsed="false">
      <c r="A1574" s="32" t="str">
        <f aca="false">IF(B1574="","",ROW()-7)</f>
        <v/>
      </c>
      <c r="B1574" s="30"/>
      <c r="C1574" s="29"/>
      <c r="D1574" s="29"/>
      <c r="E1574" s="29"/>
      <c r="F1574" s="30"/>
      <c r="G1574" s="29"/>
      <c r="H1574" s="30"/>
      <c r="I1574" s="29"/>
      <c r="J1574" s="30"/>
      <c r="K1574" s="30"/>
      <c r="L1574" s="29"/>
      <c r="M1574" s="32" t="str">
        <f aca="false">IF(OR(C1574="",L1574=""),"",IF(C1574=L1574,"同一","変更"))</f>
        <v/>
      </c>
      <c r="N1574" s="29"/>
      <c r="O1574" s="30"/>
      <c r="P1574" s="29"/>
      <c r="Q1574" s="31"/>
      <c r="R1574" s="29"/>
      <c r="S1574" s="29"/>
      <c r="T1574" s="30"/>
      <c r="U1574" s="47" t="str">
        <f aca="false">IF(AND(B1574&lt;&gt;"",B1574=SW別シート!$C$3),COUNTIF(B$5:B1574,B1574),"")</f>
        <v/>
      </c>
      <c r="V1574" s="47" t="n">
        <f aca="false">V1573+IF(OR(O1574&lt;&gt;"",W1574&lt;&gt;""),1,0)</f>
        <v>3</v>
      </c>
      <c r="W1574" s="29"/>
    </row>
    <row r="1575" customFormat="false" ht="15" hidden="false" customHeight="false" outlineLevel="0" collapsed="false">
      <c r="A1575" s="32" t="str">
        <f aca="false">IF(B1575="","",ROW()-7)</f>
        <v/>
      </c>
      <c r="B1575" s="30"/>
      <c r="C1575" s="29"/>
      <c r="D1575" s="29"/>
      <c r="E1575" s="29"/>
      <c r="F1575" s="30"/>
      <c r="G1575" s="29"/>
      <c r="H1575" s="30"/>
      <c r="I1575" s="29"/>
      <c r="J1575" s="30"/>
      <c r="K1575" s="30"/>
      <c r="L1575" s="29"/>
      <c r="M1575" s="32" t="str">
        <f aca="false">IF(OR(C1575="",L1575=""),"",IF(C1575=L1575,"同一","変更"))</f>
        <v/>
      </c>
      <c r="N1575" s="29"/>
      <c r="O1575" s="30"/>
      <c r="P1575" s="29"/>
      <c r="Q1575" s="31"/>
      <c r="R1575" s="29"/>
      <c r="S1575" s="29"/>
      <c r="T1575" s="30"/>
      <c r="U1575" s="47" t="str">
        <f aca="false">IF(AND(B1575&lt;&gt;"",B1575=SW別シート!$C$3),COUNTIF(B$5:B1575,B1575),"")</f>
        <v/>
      </c>
      <c r="V1575" s="47" t="n">
        <f aca="false">V1574+IF(OR(O1575&lt;&gt;"",W1575&lt;&gt;""),1,0)</f>
        <v>3</v>
      </c>
      <c r="W1575" s="29"/>
    </row>
    <row r="1576" customFormat="false" ht="15" hidden="false" customHeight="false" outlineLevel="0" collapsed="false">
      <c r="A1576" s="32" t="str">
        <f aca="false">IF(B1576="","",ROW()-7)</f>
        <v/>
      </c>
      <c r="B1576" s="30"/>
      <c r="C1576" s="29"/>
      <c r="D1576" s="29"/>
      <c r="E1576" s="29"/>
      <c r="F1576" s="30"/>
      <c r="G1576" s="29"/>
      <c r="H1576" s="30"/>
      <c r="I1576" s="29"/>
      <c r="J1576" s="30"/>
      <c r="K1576" s="30"/>
      <c r="L1576" s="29"/>
      <c r="M1576" s="32" t="str">
        <f aca="false">IF(OR(C1576="",L1576=""),"",IF(C1576=L1576,"同一","変更"))</f>
        <v/>
      </c>
      <c r="N1576" s="29"/>
      <c r="O1576" s="30"/>
      <c r="P1576" s="29"/>
      <c r="Q1576" s="31"/>
      <c r="R1576" s="29"/>
      <c r="S1576" s="29"/>
      <c r="T1576" s="30"/>
      <c r="U1576" s="47" t="str">
        <f aca="false">IF(AND(B1576&lt;&gt;"",B1576=SW別シート!$C$3),COUNTIF(B$5:B1576,B1576),"")</f>
        <v/>
      </c>
      <c r="V1576" s="47" t="n">
        <f aca="false">V1575+IF(OR(O1576&lt;&gt;"",W1576&lt;&gt;""),1,0)</f>
        <v>3</v>
      </c>
      <c r="W1576" s="29"/>
    </row>
    <row r="1577" customFormat="false" ht="15" hidden="false" customHeight="false" outlineLevel="0" collapsed="false">
      <c r="A1577" s="32" t="str">
        <f aca="false">IF(B1577="","",ROW()-7)</f>
        <v/>
      </c>
      <c r="B1577" s="30"/>
      <c r="C1577" s="29"/>
      <c r="D1577" s="29"/>
      <c r="E1577" s="29"/>
      <c r="F1577" s="30"/>
      <c r="G1577" s="29"/>
      <c r="H1577" s="30"/>
      <c r="I1577" s="29"/>
      <c r="J1577" s="30"/>
      <c r="K1577" s="30"/>
      <c r="L1577" s="29"/>
      <c r="M1577" s="32" t="str">
        <f aca="false">IF(OR(C1577="",L1577=""),"",IF(C1577=L1577,"同一","変更"))</f>
        <v/>
      </c>
      <c r="N1577" s="29"/>
      <c r="O1577" s="30"/>
      <c r="P1577" s="29"/>
      <c r="Q1577" s="31"/>
      <c r="R1577" s="29"/>
      <c r="S1577" s="29"/>
      <c r="T1577" s="30"/>
      <c r="U1577" s="47" t="str">
        <f aca="false">IF(AND(B1577&lt;&gt;"",B1577=SW別シート!$C$3),COUNTIF(B$5:B1577,B1577),"")</f>
        <v/>
      </c>
      <c r="V1577" s="47" t="n">
        <f aca="false">V1576+IF(OR(O1577&lt;&gt;"",W1577&lt;&gt;""),1,0)</f>
        <v>3</v>
      </c>
      <c r="W1577" s="29"/>
    </row>
    <row r="1578" customFormat="false" ht="15" hidden="false" customHeight="false" outlineLevel="0" collapsed="false">
      <c r="A1578" s="32" t="str">
        <f aca="false">IF(B1578="","",ROW()-7)</f>
        <v/>
      </c>
      <c r="B1578" s="30"/>
      <c r="C1578" s="29"/>
      <c r="D1578" s="29"/>
      <c r="E1578" s="29"/>
      <c r="F1578" s="30"/>
      <c r="G1578" s="29"/>
      <c r="H1578" s="30"/>
      <c r="I1578" s="29"/>
      <c r="J1578" s="30"/>
      <c r="K1578" s="30"/>
      <c r="L1578" s="29"/>
      <c r="M1578" s="32" t="str">
        <f aca="false">IF(OR(C1578="",L1578=""),"",IF(C1578=L1578,"同一","変更"))</f>
        <v/>
      </c>
      <c r="N1578" s="29"/>
      <c r="O1578" s="30"/>
      <c r="P1578" s="29"/>
      <c r="Q1578" s="31"/>
      <c r="R1578" s="29"/>
      <c r="S1578" s="29"/>
      <c r="T1578" s="30"/>
      <c r="U1578" s="47" t="str">
        <f aca="false">IF(AND(B1578&lt;&gt;"",B1578=SW別シート!$C$3),COUNTIF(B$5:B1578,B1578),"")</f>
        <v/>
      </c>
      <c r="V1578" s="47" t="n">
        <f aca="false">V1577+IF(OR(O1578&lt;&gt;"",W1578&lt;&gt;""),1,0)</f>
        <v>3</v>
      </c>
      <c r="W1578" s="29"/>
    </row>
    <row r="1579" customFormat="false" ht="15" hidden="false" customHeight="false" outlineLevel="0" collapsed="false">
      <c r="A1579" s="32" t="str">
        <f aca="false">IF(B1579="","",ROW()-7)</f>
        <v/>
      </c>
      <c r="B1579" s="30"/>
      <c r="C1579" s="29"/>
      <c r="D1579" s="29"/>
      <c r="E1579" s="29"/>
      <c r="F1579" s="30"/>
      <c r="G1579" s="29"/>
      <c r="H1579" s="30"/>
      <c r="I1579" s="29"/>
      <c r="J1579" s="30"/>
      <c r="K1579" s="30"/>
      <c r="L1579" s="29"/>
      <c r="M1579" s="32" t="str">
        <f aca="false">IF(OR(C1579="",L1579=""),"",IF(C1579=L1579,"同一","変更"))</f>
        <v/>
      </c>
      <c r="N1579" s="29"/>
      <c r="O1579" s="30"/>
      <c r="P1579" s="29"/>
      <c r="Q1579" s="31"/>
      <c r="R1579" s="29"/>
      <c r="S1579" s="29"/>
      <c r="T1579" s="30"/>
      <c r="U1579" s="47" t="str">
        <f aca="false">IF(AND(B1579&lt;&gt;"",B1579=SW別シート!$C$3),COUNTIF(B$5:B1579,B1579),"")</f>
        <v/>
      </c>
      <c r="V1579" s="47" t="n">
        <f aca="false">V1578+IF(OR(O1579&lt;&gt;"",W1579&lt;&gt;""),1,0)</f>
        <v>3</v>
      </c>
      <c r="W1579" s="29"/>
    </row>
    <row r="1580" customFormat="false" ht="15" hidden="false" customHeight="false" outlineLevel="0" collapsed="false">
      <c r="A1580" s="32" t="str">
        <f aca="false">IF(B1580="","",ROW()-7)</f>
        <v/>
      </c>
      <c r="B1580" s="30"/>
      <c r="C1580" s="29"/>
      <c r="D1580" s="29"/>
      <c r="E1580" s="29"/>
      <c r="F1580" s="30"/>
      <c r="G1580" s="29"/>
      <c r="H1580" s="30"/>
      <c r="I1580" s="29"/>
      <c r="J1580" s="30"/>
      <c r="K1580" s="30"/>
      <c r="L1580" s="29"/>
      <c r="M1580" s="32" t="str">
        <f aca="false">IF(OR(C1580="",L1580=""),"",IF(C1580=L1580,"同一","変更"))</f>
        <v/>
      </c>
      <c r="N1580" s="29"/>
      <c r="O1580" s="30"/>
      <c r="P1580" s="29"/>
      <c r="Q1580" s="31"/>
      <c r="R1580" s="29"/>
      <c r="S1580" s="29"/>
      <c r="T1580" s="30"/>
      <c r="U1580" s="47" t="str">
        <f aca="false">IF(AND(B1580&lt;&gt;"",B1580=SW別シート!$C$3),COUNTIF(B$5:B1580,B1580),"")</f>
        <v/>
      </c>
      <c r="V1580" s="47" t="n">
        <f aca="false">V1579+IF(OR(O1580&lt;&gt;"",W1580&lt;&gt;""),1,0)</f>
        <v>3</v>
      </c>
      <c r="W1580" s="29"/>
    </row>
    <row r="1581" customFormat="false" ht="15" hidden="false" customHeight="false" outlineLevel="0" collapsed="false">
      <c r="A1581" s="32" t="str">
        <f aca="false">IF(B1581="","",ROW()-7)</f>
        <v/>
      </c>
      <c r="B1581" s="30"/>
      <c r="C1581" s="29"/>
      <c r="D1581" s="29"/>
      <c r="E1581" s="29"/>
      <c r="F1581" s="30"/>
      <c r="G1581" s="29"/>
      <c r="H1581" s="30"/>
      <c r="I1581" s="29"/>
      <c r="J1581" s="30"/>
      <c r="K1581" s="30"/>
      <c r="L1581" s="29"/>
      <c r="M1581" s="32" t="str">
        <f aca="false">IF(OR(C1581="",L1581=""),"",IF(C1581=L1581,"同一","変更"))</f>
        <v/>
      </c>
      <c r="N1581" s="29"/>
      <c r="O1581" s="30"/>
      <c r="P1581" s="29"/>
      <c r="Q1581" s="31"/>
      <c r="R1581" s="29"/>
      <c r="S1581" s="29"/>
      <c r="T1581" s="30"/>
      <c r="U1581" s="47" t="str">
        <f aca="false">IF(AND(B1581&lt;&gt;"",B1581=SW別シート!$C$3),COUNTIF(B$5:B1581,B1581),"")</f>
        <v/>
      </c>
      <c r="V1581" s="47" t="n">
        <f aca="false">V1580+IF(OR(O1581&lt;&gt;"",W1581&lt;&gt;""),1,0)</f>
        <v>3</v>
      </c>
      <c r="W1581" s="29"/>
    </row>
    <row r="1582" customFormat="false" ht="15" hidden="false" customHeight="false" outlineLevel="0" collapsed="false">
      <c r="A1582" s="32" t="str">
        <f aca="false">IF(B1582="","",ROW()-7)</f>
        <v/>
      </c>
      <c r="B1582" s="30"/>
      <c r="C1582" s="29"/>
      <c r="D1582" s="29"/>
      <c r="E1582" s="29"/>
      <c r="F1582" s="30"/>
      <c r="G1582" s="29"/>
      <c r="H1582" s="30"/>
      <c r="I1582" s="29"/>
      <c r="J1582" s="30"/>
      <c r="K1582" s="30"/>
      <c r="L1582" s="29"/>
      <c r="M1582" s="32" t="str">
        <f aca="false">IF(OR(C1582="",L1582=""),"",IF(C1582=L1582,"同一","変更"))</f>
        <v/>
      </c>
      <c r="N1582" s="29"/>
      <c r="O1582" s="30"/>
      <c r="P1582" s="29"/>
      <c r="Q1582" s="31"/>
      <c r="R1582" s="29"/>
      <c r="S1582" s="29"/>
      <c r="T1582" s="30"/>
      <c r="U1582" s="47" t="str">
        <f aca="false">IF(AND(B1582&lt;&gt;"",B1582=SW別シート!$C$3),COUNTIF(B$5:B1582,B1582),"")</f>
        <v/>
      </c>
      <c r="V1582" s="47" t="n">
        <f aca="false">V1581+IF(OR(O1582&lt;&gt;"",W1582&lt;&gt;""),1,0)</f>
        <v>3</v>
      </c>
      <c r="W1582" s="29"/>
    </row>
    <row r="1583" customFormat="false" ht="15" hidden="false" customHeight="false" outlineLevel="0" collapsed="false">
      <c r="A1583" s="32" t="str">
        <f aca="false">IF(B1583="","",ROW()-7)</f>
        <v/>
      </c>
      <c r="B1583" s="30"/>
      <c r="C1583" s="29"/>
      <c r="D1583" s="29"/>
      <c r="E1583" s="29"/>
      <c r="F1583" s="30"/>
      <c r="G1583" s="29"/>
      <c r="H1583" s="30"/>
      <c r="I1583" s="29"/>
      <c r="J1583" s="30"/>
      <c r="K1583" s="30"/>
      <c r="L1583" s="29"/>
      <c r="M1583" s="32" t="str">
        <f aca="false">IF(OR(C1583="",L1583=""),"",IF(C1583=L1583,"同一","変更"))</f>
        <v/>
      </c>
      <c r="N1583" s="29"/>
      <c r="O1583" s="30"/>
      <c r="P1583" s="29"/>
      <c r="Q1583" s="31"/>
      <c r="R1583" s="29"/>
      <c r="S1583" s="29"/>
      <c r="T1583" s="30"/>
      <c r="U1583" s="47" t="str">
        <f aca="false">IF(AND(B1583&lt;&gt;"",B1583=SW別シート!$C$3),COUNTIF(B$5:B1583,B1583),"")</f>
        <v/>
      </c>
      <c r="V1583" s="47" t="n">
        <f aca="false">V1582+IF(OR(O1583&lt;&gt;"",W1583&lt;&gt;""),1,0)</f>
        <v>3</v>
      </c>
      <c r="W1583" s="29"/>
    </row>
    <row r="1584" customFormat="false" ht="15" hidden="false" customHeight="false" outlineLevel="0" collapsed="false">
      <c r="A1584" s="32" t="str">
        <f aca="false">IF(B1584="","",ROW()-7)</f>
        <v/>
      </c>
      <c r="B1584" s="30"/>
      <c r="C1584" s="29"/>
      <c r="D1584" s="29"/>
      <c r="E1584" s="29"/>
      <c r="F1584" s="30"/>
      <c r="G1584" s="29"/>
      <c r="H1584" s="30"/>
      <c r="I1584" s="29"/>
      <c r="J1584" s="30"/>
      <c r="K1584" s="30"/>
      <c r="L1584" s="29"/>
      <c r="M1584" s="32" t="str">
        <f aca="false">IF(OR(C1584="",L1584=""),"",IF(C1584=L1584,"同一","変更"))</f>
        <v/>
      </c>
      <c r="N1584" s="29"/>
      <c r="O1584" s="30"/>
      <c r="P1584" s="29"/>
      <c r="Q1584" s="31"/>
      <c r="R1584" s="29"/>
      <c r="S1584" s="29"/>
      <c r="T1584" s="30"/>
      <c r="U1584" s="47" t="str">
        <f aca="false">IF(AND(B1584&lt;&gt;"",B1584=SW別シート!$C$3),COUNTIF(B$5:B1584,B1584),"")</f>
        <v/>
      </c>
      <c r="V1584" s="47" t="n">
        <f aca="false">V1583+IF(OR(O1584&lt;&gt;"",W1584&lt;&gt;""),1,0)</f>
        <v>3</v>
      </c>
      <c r="W1584" s="29"/>
    </row>
    <row r="1585" customFormat="false" ht="15" hidden="false" customHeight="false" outlineLevel="0" collapsed="false">
      <c r="A1585" s="32" t="str">
        <f aca="false">IF(B1585="","",ROW()-7)</f>
        <v/>
      </c>
      <c r="B1585" s="30"/>
      <c r="C1585" s="29"/>
      <c r="D1585" s="29"/>
      <c r="E1585" s="29"/>
      <c r="F1585" s="30"/>
      <c r="G1585" s="29"/>
      <c r="H1585" s="30"/>
      <c r="I1585" s="29"/>
      <c r="J1585" s="30"/>
      <c r="K1585" s="30"/>
      <c r="L1585" s="29"/>
      <c r="M1585" s="32" t="str">
        <f aca="false">IF(OR(C1585="",L1585=""),"",IF(C1585=L1585,"同一","変更"))</f>
        <v/>
      </c>
      <c r="N1585" s="29"/>
      <c r="O1585" s="30"/>
      <c r="P1585" s="29"/>
      <c r="Q1585" s="31"/>
      <c r="R1585" s="29"/>
      <c r="S1585" s="29"/>
      <c r="T1585" s="30"/>
      <c r="U1585" s="47" t="str">
        <f aca="false">IF(AND(B1585&lt;&gt;"",B1585=SW別シート!$C$3),COUNTIF(B$5:B1585,B1585),"")</f>
        <v/>
      </c>
      <c r="V1585" s="47" t="n">
        <f aca="false">V1584+IF(OR(O1585&lt;&gt;"",W1585&lt;&gt;""),1,0)</f>
        <v>3</v>
      </c>
      <c r="W1585" s="29"/>
    </row>
    <row r="1586" customFormat="false" ht="15" hidden="false" customHeight="false" outlineLevel="0" collapsed="false">
      <c r="A1586" s="32" t="str">
        <f aca="false">IF(B1586="","",ROW()-7)</f>
        <v/>
      </c>
      <c r="B1586" s="30"/>
      <c r="C1586" s="29"/>
      <c r="D1586" s="29"/>
      <c r="E1586" s="29"/>
      <c r="F1586" s="30"/>
      <c r="G1586" s="29"/>
      <c r="H1586" s="30"/>
      <c r="I1586" s="29"/>
      <c r="J1586" s="30"/>
      <c r="K1586" s="30"/>
      <c r="L1586" s="29"/>
      <c r="M1586" s="32" t="str">
        <f aca="false">IF(OR(C1586="",L1586=""),"",IF(C1586=L1586,"同一","変更"))</f>
        <v/>
      </c>
      <c r="N1586" s="29"/>
      <c r="O1586" s="30"/>
      <c r="P1586" s="29"/>
      <c r="Q1586" s="31"/>
      <c r="R1586" s="29"/>
      <c r="S1586" s="29"/>
      <c r="T1586" s="30"/>
      <c r="U1586" s="47" t="str">
        <f aca="false">IF(AND(B1586&lt;&gt;"",B1586=SW別シート!$C$3),COUNTIF(B$5:B1586,B1586),"")</f>
        <v/>
      </c>
      <c r="V1586" s="47" t="n">
        <f aca="false">V1585+IF(OR(O1586&lt;&gt;"",W1586&lt;&gt;""),1,0)</f>
        <v>3</v>
      </c>
      <c r="W1586" s="29"/>
    </row>
    <row r="1587" customFormat="false" ht="15" hidden="false" customHeight="false" outlineLevel="0" collapsed="false">
      <c r="A1587" s="32" t="str">
        <f aca="false">IF(B1587="","",ROW()-7)</f>
        <v/>
      </c>
      <c r="B1587" s="30"/>
      <c r="C1587" s="29"/>
      <c r="D1587" s="29"/>
      <c r="E1587" s="29"/>
      <c r="F1587" s="30"/>
      <c r="G1587" s="29"/>
      <c r="H1587" s="30"/>
      <c r="I1587" s="29"/>
      <c r="J1587" s="30"/>
      <c r="K1587" s="30"/>
      <c r="L1587" s="29"/>
      <c r="M1587" s="32" t="str">
        <f aca="false">IF(OR(C1587="",L1587=""),"",IF(C1587=L1587,"同一","変更"))</f>
        <v/>
      </c>
      <c r="N1587" s="29"/>
      <c r="O1587" s="30"/>
      <c r="P1587" s="29"/>
      <c r="Q1587" s="31"/>
      <c r="R1587" s="29"/>
      <c r="S1587" s="29"/>
      <c r="T1587" s="30"/>
      <c r="U1587" s="47" t="str">
        <f aca="false">IF(AND(B1587&lt;&gt;"",B1587=SW別シート!$C$3),COUNTIF(B$5:B1587,B1587),"")</f>
        <v/>
      </c>
      <c r="V1587" s="47" t="n">
        <f aca="false">V1586+IF(OR(O1587&lt;&gt;"",W1587&lt;&gt;""),1,0)</f>
        <v>3</v>
      </c>
      <c r="W1587" s="29"/>
    </row>
    <row r="1588" customFormat="false" ht="15" hidden="false" customHeight="false" outlineLevel="0" collapsed="false">
      <c r="A1588" s="32" t="str">
        <f aca="false">IF(B1588="","",ROW()-7)</f>
        <v/>
      </c>
      <c r="B1588" s="30"/>
      <c r="C1588" s="29"/>
      <c r="D1588" s="29"/>
      <c r="E1588" s="29"/>
      <c r="F1588" s="30"/>
      <c r="G1588" s="29"/>
      <c r="H1588" s="30"/>
      <c r="I1588" s="29"/>
      <c r="J1588" s="30"/>
      <c r="K1588" s="30"/>
      <c r="L1588" s="29"/>
      <c r="M1588" s="32" t="str">
        <f aca="false">IF(OR(C1588="",L1588=""),"",IF(C1588=L1588,"同一","変更"))</f>
        <v/>
      </c>
      <c r="N1588" s="29"/>
      <c r="O1588" s="30"/>
      <c r="P1588" s="29"/>
      <c r="Q1588" s="31"/>
      <c r="R1588" s="29"/>
      <c r="S1588" s="29"/>
      <c r="T1588" s="30"/>
      <c r="U1588" s="47" t="str">
        <f aca="false">IF(AND(B1588&lt;&gt;"",B1588=SW別シート!$C$3),COUNTIF(B$5:B1588,B1588),"")</f>
        <v/>
      </c>
      <c r="V1588" s="47" t="n">
        <f aca="false">V1587+IF(OR(O1588&lt;&gt;"",W1588&lt;&gt;""),1,0)</f>
        <v>3</v>
      </c>
      <c r="W1588" s="29"/>
    </row>
    <row r="1589" customFormat="false" ht="15" hidden="false" customHeight="false" outlineLevel="0" collapsed="false">
      <c r="A1589" s="32" t="str">
        <f aca="false">IF(B1589="","",ROW()-7)</f>
        <v/>
      </c>
      <c r="B1589" s="30"/>
      <c r="C1589" s="29"/>
      <c r="D1589" s="29"/>
      <c r="E1589" s="29"/>
      <c r="F1589" s="30"/>
      <c r="G1589" s="29"/>
      <c r="H1589" s="30"/>
      <c r="I1589" s="29"/>
      <c r="J1589" s="30"/>
      <c r="K1589" s="30"/>
      <c r="L1589" s="29"/>
      <c r="M1589" s="32" t="str">
        <f aca="false">IF(OR(C1589="",L1589=""),"",IF(C1589=L1589,"同一","変更"))</f>
        <v/>
      </c>
      <c r="N1589" s="29"/>
      <c r="O1589" s="30"/>
      <c r="P1589" s="29"/>
      <c r="Q1589" s="31"/>
      <c r="R1589" s="29"/>
      <c r="S1589" s="29"/>
      <c r="T1589" s="30"/>
      <c r="U1589" s="47" t="str">
        <f aca="false">IF(AND(B1589&lt;&gt;"",B1589=SW別シート!$C$3),COUNTIF(B$5:B1589,B1589),"")</f>
        <v/>
      </c>
      <c r="V1589" s="47" t="n">
        <f aca="false">V1588+IF(OR(O1589&lt;&gt;"",W1589&lt;&gt;""),1,0)</f>
        <v>3</v>
      </c>
      <c r="W1589" s="29"/>
    </row>
    <row r="1590" customFormat="false" ht="15" hidden="false" customHeight="false" outlineLevel="0" collapsed="false">
      <c r="A1590" s="32" t="str">
        <f aca="false">IF(B1590="","",ROW()-7)</f>
        <v/>
      </c>
      <c r="B1590" s="30"/>
      <c r="C1590" s="29"/>
      <c r="D1590" s="29"/>
      <c r="E1590" s="29"/>
      <c r="F1590" s="30"/>
      <c r="G1590" s="29"/>
      <c r="H1590" s="30"/>
      <c r="I1590" s="29"/>
      <c r="J1590" s="30"/>
      <c r="K1590" s="30"/>
      <c r="L1590" s="29"/>
      <c r="M1590" s="32" t="str">
        <f aca="false">IF(OR(C1590="",L1590=""),"",IF(C1590=L1590,"同一","変更"))</f>
        <v/>
      </c>
      <c r="N1590" s="29"/>
      <c r="O1590" s="30"/>
      <c r="P1590" s="29"/>
      <c r="Q1590" s="31"/>
      <c r="R1590" s="29"/>
      <c r="S1590" s="29"/>
      <c r="T1590" s="30"/>
      <c r="U1590" s="47" t="str">
        <f aca="false">IF(AND(B1590&lt;&gt;"",B1590=SW別シート!$C$3),COUNTIF(B$5:B1590,B1590),"")</f>
        <v/>
      </c>
      <c r="V1590" s="47" t="n">
        <f aca="false">V1589+IF(OR(O1590&lt;&gt;"",W1590&lt;&gt;""),1,0)</f>
        <v>3</v>
      </c>
      <c r="W1590" s="29"/>
    </row>
    <row r="1591" customFormat="false" ht="15" hidden="false" customHeight="false" outlineLevel="0" collapsed="false">
      <c r="A1591" s="32" t="str">
        <f aca="false">IF(B1591="","",ROW()-7)</f>
        <v/>
      </c>
      <c r="B1591" s="30"/>
      <c r="C1591" s="29"/>
      <c r="D1591" s="29"/>
      <c r="E1591" s="29"/>
      <c r="F1591" s="30"/>
      <c r="G1591" s="29"/>
      <c r="H1591" s="30"/>
      <c r="I1591" s="29"/>
      <c r="J1591" s="30"/>
      <c r="K1591" s="30"/>
      <c r="L1591" s="29"/>
      <c r="M1591" s="32" t="str">
        <f aca="false">IF(OR(C1591="",L1591=""),"",IF(C1591=L1591,"同一","変更"))</f>
        <v/>
      </c>
      <c r="N1591" s="29"/>
      <c r="O1591" s="30"/>
      <c r="P1591" s="29"/>
      <c r="Q1591" s="31"/>
      <c r="R1591" s="29"/>
      <c r="S1591" s="29"/>
      <c r="T1591" s="30"/>
      <c r="U1591" s="47" t="str">
        <f aca="false">IF(AND(B1591&lt;&gt;"",B1591=SW別シート!$C$3),COUNTIF(B$5:B1591,B1591),"")</f>
        <v/>
      </c>
      <c r="V1591" s="47" t="n">
        <f aca="false">V1590+IF(OR(O1591&lt;&gt;"",W1591&lt;&gt;""),1,0)</f>
        <v>3</v>
      </c>
      <c r="W1591" s="29"/>
    </row>
    <row r="1592" customFormat="false" ht="15" hidden="false" customHeight="false" outlineLevel="0" collapsed="false">
      <c r="A1592" s="32" t="str">
        <f aca="false">IF(B1592="","",ROW()-7)</f>
        <v/>
      </c>
      <c r="B1592" s="30"/>
      <c r="C1592" s="29"/>
      <c r="D1592" s="29"/>
      <c r="E1592" s="29"/>
      <c r="F1592" s="30"/>
      <c r="G1592" s="29"/>
      <c r="H1592" s="30"/>
      <c r="I1592" s="29"/>
      <c r="J1592" s="30"/>
      <c r="K1592" s="30"/>
      <c r="L1592" s="29"/>
      <c r="M1592" s="32" t="str">
        <f aca="false">IF(OR(C1592="",L1592=""),"",IF(C1592=L1592,"同一","変更"))</f>
        <v/>
      </c>
      <c r="N1592" s="29"/>
      <c r="O1592" s="30"/>
      <c r="P1592" s="29"/>
      <c r="Q1592" s="31"/>
      <c r="R1592" s="29"/>
      <c r="S1592" s="29"/>
      <c r="T1592" s="30"/>
      <c r="U1592" s="47" t="str">
        <f aca="false">IF(AND(B1592&lt;&gt;"",B1592=SW別シート!$C$3),COUNTIF(B$5:B1592,B1592),"")</f>
        <v/>
      </c>
      <c r="V1592" s="47" t="n">
        <f aca="false">V1591+IF(OR(O1592&lt;&gt;"",W1592&lt;&gt;""),1,0)</f>
        <v>3</v>
      </c>
      <c r="W1592" s="29"/>
    </row>
    <row r="1593" customFormat="false" ht="15" hidden="false" customHeight="false" outlineLevel="0" collapsed="false">
      <c r="A1593" s="32" t="str">
        <f aca="false">IF(B1593="","",ROW()-7)</f>
        <v/>
      </c>
      <c r="B1593" s="30"/>
      <c r="C1593" s="29"/>
      <c r="D1593" s="29"/>
      <c r="E1593" s="29"/>
      <c r="F1593" s="30"/>
      <c r="G1593" s="29"/>
      <c r="H1593" s="30"/>
      <c r="I1593" s="29"/>
      <c r="J1593" s="30"/>
      <c r="K1593" s="30"/>
      <c r="L1593" s="29"/>
      <c r="M1593" s="32" t="str">
        <f aca="false">IF(OR(C1593="",L1593=""),"",IF(C1593=L1593,"同一","変更"))</f>
        <v/>
      </c>
      <c r="N1593" s="29"/>
      <c r="O1593" s="30"/>
      <c r="P1593" s="29"/>
      <c r="Q1593" s="31"/>
      <c r="R1593" s="29"/>
      <c r="S1593" s="29"/>
      <c r="T1593" s="30"/>
      <c r="U1593" s="47" t="str">
        <f aca="false">IF(AND(B1593&lt;&gt;"",B1593=SW別シート!$C$3),COUNTIF(B$5:B1593,B1593),"")</f>
        <v/>
      </c>
      <c r="V1593" s="47" t="n">
        <f aca="false">V1592+IF(OR(O1593&lt;&gt;"",W1593&lt;&gt;""),1,0)</f>
        <v>3</v>
      </c>
      <c r="W1593" s="29"/>
    </row>
    <row r="1594" customFormat="false" ht="15" hidden="false" customHeight="false" outlineLevel="0" collapsed="false">
      <c r="A1594" s="32" t="str">
        <f aca="false">IF(B1594="","",ROW()-7)</f>
        <v/>
      </c>
      <c r="B1594" s="30"/>
      <c r="C1594" s="29"/>
      <c r="D1594" s="29"/>
      <c r="E1594" s="29"/>
      <c r="F1594" s="30"/>
      <c r="G1594" s="29"/>
      <c r="H1594" s="30"/>
      <c r="I1594" s="29"/>
      <c r="J1594" s="30"/>
      <c r="K1594" s="30"/>
      <c r="L1594" s="29"/>
      <c r="M1594" s="32" t="str">
        <f aca="false">IF(OR(C1594="",L1594=""),"",IF(C1594=L1594,"同一","変更"))</f>
        <v/>
      </c>
      <c r="N1594" s="29"/>
      <c r="O1594" s="30"/>
      <c r="P1594" s="29"/>
      <c r="Q1594" s="31"/>
      <c r="R1594" s="29"/>
      <c r="S1594" s="29"/>
      <c r="T1594" s="30"/>
      <c r="U1594" s="47" t="str">
        <f aca="false">IF(AND(B1594&lt;&gt;"",B1594=SW別シート!$C$3),COUNTIF(B$5:B1594,B1594),"")</f>
        <v/>
      </c>
      <c r="V1594" s="47" t="n">
        <f aca="false">V1593+IF(OR(O1594&lt;&gt;"",W1594&lt;&gt;""),1,0)</f>
        <v>3</v>
      </c>
      <c r="W1594" s="29"/>
    </row>
    <row r="1595" customFormat="false" ht="15" hidden="false" customHeight="false" outlineLevel="0" collapsed="false">
      <c r="A1595" s="32" t="str">
        <f aca="false">IF(B1595="","",ROW()-7)</f>
        <v/>
      </c>
      <c r="B1595" s="30"/>
      <c r="C1595" s="29"/>
      <c r="D1595" s="29"/>
      <c r="E1595" s="29"/>
      <c r="F1595" s="30"/>
      <c r="G1595" s="29"/>
      <c r="H1595" s="30"/>
      <c r="I1595" s="29"/>
      <c r="J1595" s="30"/>
      <c r="K1595" s="30"/>
      <c r="L1595" s="29"/>
      <c r="M1595" s="32" t="str">
        <f aca="false">IF(OR(C1595="",L1595=""),"",IF(C1595=L1595,"同一","変更"))</f>
        <v/>
      </c>
      <c r="N1595" s="29"/>
      <c r="O1595" s="30"/>
      <c r="P1595" s="29"/>
      <c r="Q1595" s="31"/>
      <c r="R1595" s="29"/>
      <c r="S1595" s="29"/>
      <c r="T1595" s="30"/>
      <c r="U1595" s="47" t="str">
        <f aca="false">IF(AND(B1595&lt;&gt;"",B1595=SW別シート!$C$3),COUNTIF(B$5:B1595,B1595),"")</f>
        <v/>
      </c>
      <c r="V1595" s="47" t="n">
        <f aca="false">V1594+IF(OR(O1595&lt;&gt;"",W1595&lt;&gt;""),1,0)</f>
        <v>3</v>
      </c>
      <c r="W1595" s="29"/>
    </row>
    <row r="1596" customFormat="false" ht="15" hidden="false" customHeight="false" outlineLevel="0" collapsed="false">
      <c r="A1596" s="32" t="str">
        <f aca="false">IF(B1596="","",ROW()-7)</f>
        <v/>
      </c>
      <c r="B1596" s="30"/>
      <c r="C1596" s="29"/>
      <c r="D1596" s="29"/>
      <c r="E1596" s="29"/>
      <c r="F1596" s="30"/>
      <c r="G1596" s="29"/>
      <c r="H1596" s="30"/>
      <c r="I1596" s="29"/>
      <c r="J1596" s="30"/>
      <c r="K1596" s="30"/>
      <c r="L1596" s="29"/>
      <c r="M1596" s="32" t="str">
        <f aca="false">IF(OR(C1596="",L1596=""),"",IF(C1596=L1596,"同一","変更"))</f>
        <v/>
      </c>
      <c r="N1596" s="29"/>
      <c r="O1596" s="30"/>
      <c r="P1596" s="29"/>
      <c r="Q1596" s="31"/>
      <c r="R1596" s="29"/>
      <c r="S1596" s="29"/>
      <c r="T1596" s="30"/>
      <c r="U1596" s="47" t="str">
        <f aca="false">IF(AND(B1596&lt;&gt;"",B1596=SW別シート!$C$3),COUNTIF(B$5:B1596,B1596),"")</f>
        <v/>
      </c>
      <c r="V1596" s="47" t="n">
        <f aca="false">V1595+IF(OR(O1596&lt;&gt;"",W1596&lt;&gt;""),1,0)</f>
        <v>3</v>
      </c>
      <c r="W1596" s="29"/>
    </row>
    <row r="1597" customFormat="false" ht="15" hidden="false" customHeight="false" outlineLevel="0" collapsed="false">
      <c r="A1597" s="32" t="str">
        <f aca="false">IF(B1597="","",ROW()-7)</f>
        <v/>
      </c>
      <c r="B1597" s="30"/>
      <c r="C1597" s="29"/>
      <c r="D1597" s="29"/>
      <c r="E1597" s="29"/>
      <c r="F1597" s="30"/>
      <c r="G1597" s="29"/>
      <c r="H1597" s="30"/>
      <c r="I1597" s="29"/>
      <c r="J1597" s="30"/>
      <c r="K1597" s="30"/>
      <c r="L1597" s="29"/>
      <c r="M1597" s="32" t="str">
        <f aca="false">IF(OR(C1597="",L1597=""),"",IF(C1597=L1597,"同一","変更"))</f>
        <v/>
      </c>
      <c r="N1597" s="29"/>
      <c r="O1597" s="30"/>
      <c r="P1597" s="29"/>
      <c r="Q1597" s="31"/>
      <c r="R1597" s="29"/>
      <c r="S1597" s="29"/>
      <c r="T1597" s="30"/>
      <c r="U1597" s="47" t="str">
        <f aca="false">IF(AND(B1597&lt;&gt;"",B1597=SW別シート!$C$3),COUNTIF(B$5:B1597,B1597),"")</f>
        <v/>
      </c>
      <c r="V1597" s="47" t="n">
        <f aca="false">V1596+IF(OR(O1597&lt;&gt;"",W1597&lt;&gt;""),1,0)</f>
        <v>3</v>
      </c>
      <c r="W1597" s="29"/>
    </row>
    <row r="1598" customFormat="false" ht="15" hidden="false" customHeight="false" outlineLevel="0" collapsed="false">
      <c r="A1598" s="32" t="str">
        <f aca="false">IF(B1598="","",ROW()-7)</f>
        <v/>
      </c>
      <c r="B1598" s="30"/>
      <c r="C1598" s="29"/>
      <c r="D1598" s="29"/>
      <c r="E1598" s="29"/>
      <c r="F1598" s="30"/>
      <c r="G1598" s="29"/>
      <c r="H1598" s="30"/>
      <c r="I1598" s="29"/>
      <c r="J1598" s="30"/>
      <c r="K1598" s="30"/>
      <c r="L1598" s="29"/>
      <c r="M1598" s="32" t="str">
        <f aca="false">IF(OR(C1598="",L1598=""),"",IF(C1598=L1598,"同一","変更"))</f>
        <v/>
      </c>
      <c r="N1598" s="29"/>
      <c r="O1598" s="30"/>
      <c r="P1598" s="29"/>
      <c r="Q1598" s="31"/>
      <c r="R1598" s="29"/>
      <c r="S1598" s="29"/>
      <c r="T1598" s="30"/>
      <c r="U1598" s="47" t="str">
        <f aca="false">IF(AND(B1598&lt;&gt;"",B1598=SW別シート!$C$3),COUNTIF(B$5:B1598,B1598),"")</f>
        <v/>
      </c>
      <c r="V1598" s="47" t="n">
        <f aca="false">V1597+IF(OR(O1598&lt;&gt;"",W1598&lt;&gt;""),1,0)</f>
        <v>3</v>
      </c>
      <c r="W1598" s="29"/>
    </row>
    <row r="1599" customFormat="false" ht="15" hidden="false" customHeight="false" outlineLevel="0" collapsed="false">
      <c r="A1599" s="32" t="str">
        <f aca="false">IF(B1599="","",ROW()-7)</f>
        <v/>
      </c>
      <c r="B1599" s="30"/>
      <c r="C1599" s="29"/>
      <c r="D1599" s="29"/>
      <c r="E1599" s="29"/>
      <c r="F1599" s="30"/>
      <c r="G1599" s="29"/>
      <c r="H1599" s="30"/>
      <c r="I1599" s="29"/>
      <c r="J1599" s="30"/>
      <c r="K1599" s="30"/>
      <c r="L1599" s="29"/>
      <c r="M1599" s="32" t="str">
        <f aca="false">IF(OR(C1599="",L1599=""),"",IF(C1599=L1599,"同一","変更"))</f>
        <v/>
      </c>
      <c r="N1599" s="29"/>
      <c r="O1599" s="30"/>
      <c r="P1599" s="29"/>
      <c r="Q1599" s="31"/>
      <c r="R1599" s="29"/>
      <c r="S1599" s="29"/>
      <c r="T1599" s="30"/>
      <c r="U1599" s="47" t="str">
        <f aca="false">IF(AND(B1599&lt;&gt;"",B1599=SW別シート!$C$3),COUNTIF(B$5:B1599,B1599),"")</f>
        <v/>
      </c>
      <c r="V1599" s="47" t="n">
        <f aca="false">V1598+IF(OR(O1599&lt;&gt;"",W1599&lt;&gt;""),1,0)</f>
        <v>3</v>
      </c>
      <c r="W1599" s="29"/>
    </row>
    <row r="1600" customFormat="false" ht="15" hidden="false" customHeight="false" outlineLevel="0" collapsed="false">
      <c r="A1600" s="32" t="str">
        <f aca="false">IF(B1600="","",ROW()-7)</f>
        <v/>
      </c>
      <c r="B1600" s="30"/>
      <c r="C1600" s="29"/>
      <c r="D1600" s="29"/>
      <c r="E1600" s="29"/>
      <c r="F1600" s="30"/>
      <c r="G1600" s="29"/>
      <c r="H1600" s="30"/>
      <c r="I1600" s="29"/>
      <c r="J1600" s="30"/>
      <c r="K1600" s="30"/>
      <c r="L1600" s="29"/>
      <c r="M1600" s="32" t="str">
        <f aca="false">IF(OR(C1600="",L1600=""),"",IF(C1600=L1600,"同一","変更"))</f>
        <v/>
      </c>
      <c r="N1600" s="29"/>
      <c r="O1600" s="30"/>
      <c r="P1600" s="29"/>
      <c r="Q1600" s="31"/>
      <c r="R1600" s="29"/>
      <c r="S1600" s="29"/>
      <c r="T1600" s="30"/>
      <c r="U1600" s="47" t="str">
        <f aca="false">IF(AND(B1600&lt;&gt;"",B1600=SW別シート!$C$3),COUNTIF(B$5:B1600,B1600),"")</f>
        <v/>
      </c>
      <c r="V1600" s="47" t="n">
        <f aca="false">V1599+IF(OR(O1600&lt;&gt;"",W1600&lt;&gt;""),1,0)</f>
        <v>3</v>
      </c>
      <c r="W1600" s="29"/>
    </row>
    <row r="1601" customFormat="false" ht="15" hidden="false" customHeight="false" outlineLevel="0" collapsed="false">
      <c r="A1601" s="32" t="str">
        <f aca="false">IF(B1601="","",ROW()-7)</f>
        <v/>
      </c>
      <c r="B1601" s="30"/>
      <c r="C1601" s="29"/>
      <c r="D1601" s="29"/>
      <c r="E1601" s="29"/>
      <c r="F1601" s="30"/>
      <c r="G1601" s="29"/>
      <c r="H1601" s="30"/>
      <c r="I1601" s="29"/>
      <c r="J1601" s="30"/>
      <c r="K1601" s="30"/>
      <c r="L1601" s="29"/>
      <c r="M1601" s="32" t="str">
        <f aca="false">IF(OR(C1601="",L1601=""),"",IF(C1601=L1601,"同一","変更"))</f>
        <v/>
      </c>
      <c r="N1601" s="29"/>
      <c r="O1601" s="30"/>
      <c r="P1601" s="29"/>
      <c r="Q1601" s="31"/>
      <c r="R1601" s="29"/>
      <c r="S1601" s="29"/>
      <c r="T1601" s="30"/>
      <c r="U1601" s="47" t="str">
        <f aca="false">IF(AND(B1601&lt;&gt;"",B1601=SW別シート!$C$3),COUNTIF(B$5:B1601,B1601),"")</f>
        <v/>
      </c>
      <c r="V1601" s="47" t="n">
        <f aca="false">V1600+IF(OR(O1601&lt;&gt;"",W1601&lt;&gt;""),1,0)</f>
        <v>3</v>
      </c>
      <c r="W1601" s="29"/>
    </row>
    <row r="1602" customFormat="false" ht="15" hidden="false" customHeight="false" outlineLevel="0" collapsed="false">
      <c r="A1602" s="32" t="str">
        <f aca="false">IF(B1602="","",ROW()-7)</f>
        <v/>
      </c>
      <c r="B1602" s="30"/>
      <c r="C1602" s="29"/>
      <c r="D1602" s="29"/>
      <c r="E1602" s="29"/>
      <c r="F1602" s="30"/>
      <c r="G1602" s="29"/>
      <c r="H1602" s="30"/>
      <c r="I1602" s="29"/>
      <c r="J1602" s="30"/>
      <c r="K1602" s="30"/>
      <c r="L1602" s="29"/>
      <c r="M1602" s="32" t="str">
        <f aca="false">IF(OR(C1602="",L1602=""),"",IF(C1602=L1602,"同一","変更"))</f>
        <v/>
      </c>
      <c r="N1602" s="29"/>
      <c r="O1602" s="30"/>
      <c r="P1602" s="29"/>
      <c r="Q1602" s="31"/>
      <c r="R1602" s="29"/>
      <c r="S1602" s="29"/>
      <c r="T1602" s="30"/>
      <c r="U1602" s="47" t="str">
        <f aca="false">IF(AND(B1602&lt;&gt;"",B1602=SW別シート!$C$3),COUNTIF(B$5:B1602,B1602),"")</f>
        <v/>
      </c>
      <c r="V1602" s="47" t="n">
        <f aca="false">V1601+IF(OR(O1602&lt;&gt;"",W1602&lt;&gt;""),1,0)</f>
        <v>3</v>
      </c>
      <c r="W1602" s="29"/>
    </row>
    <row r="1603" customFormat="false" ht="15" hidden="false" customHeight="false" outlineLevel="0" collapsed="false">
      <c r="A1603" s="32" t="str">
        <f aca="false">IF(B1603="","",ROW()-7)</f>
        <v/>
      </c>
      <c r="B1603" s="30"/>
      <c r="C1603" s="29"/>
      <c r="D1603" s="29"/>
      <c r="E1603" s="29"/>
      <c r="F1603" s="30"/>
      <c r="G1603" s="29"/>
      <c r="H1603" s="30"/>
      <c r="I1603" s="29"/>
      <c r="J1603" s="30"/>
      <c r="K1603" s="30"/>
      <c r="L1603" s="29"/>
      <c r="M1603" s="32" t="str">
        <f aca="false">IF(OR(C1603="",L1603=""),"",IF(C1603=L1603,"同一","変更"))</f>
        <v/>
      </c>
      <c r="N1603" s="29"/>
      <c r="O1603" s="30"/>
      <c r="P1603" s="29"/>
      <c r="Q1603" s="31"/>
      <c r="R1603" s="29"/>
      <c r="S1603" s="29"/>
      <c r="T1603" s="30"/>
      <c r="U1603" s="47" t="str">
        <f aca="false">IF(AND(B1603&lt;&gt;"",B1603=SW別シート!$C$3),COUNTIF(B$5:B1603,B1603),"")</f>
        <v/>
      </c>
      <c r="V1603" s="47" t="n">
        <f aca="false">V1602+IF(OR(O1603&lt;&gt;"",W1603&lt;&gt;""),1,0)</f>
        <v>3</v>
      </c>
      <c r="W1603" s="29"/>
    </row>
    <row r="1604" customFormat="false" ht="15" hidden="false" customHeight="false" outlineLevel="0" collapsed="false">
      <c r="A1604" s="32" t="str">
        <f aca="false">IF(B1604="","",ROW()-7)</f>
        <v/>
      </c>
      <c r="B1604" s="30"/>
      <c r="C1604" s="29"/>
      <c r="D1604" s="29"/>
      <c r="E1604" s="29"/>
      <c r="F1604" s="30"/>
      <c r="G1604" s="29"/>
      <c r="H1604" s="30"/>
      <c r="I1604" s="29"/>
      <c r="J1604" s="30"/>
      <c r="K1604" s="30"/>
      <c r="L1604" s="29"/>
      <c r="M1604" s="32" t="str">
        <f aca="false">IF(OR(C1604="",L1604=""),"",IF(C1604=L1604,"同一","変更"))</f>
        <v/>
      </c>
      <c r="N1604" s="29"/>
      <c r="O1604" s="30"/>
      <c r="P1604" s="29"/>
      <c r="Q1604" s="31"/>
      <c r="R1604" s="29"/>
      <c r="S1604" s="29"/>
      <c r="T1604" s="30"/>
      <c r="U1604" s="47" t="str">
        <f aca="false">IF(AND(B1604&lt;&gt;"",B1604=SW別シート!$C$3),COUNTIF(B$5:B1604,B1604),"")</f>
        <v/>
      </c>
      <c r="V1604" s="47" t="n">
        <f aca="false">V1603+IF(OR(O1604&lt;&gt;"",W1604&lt;&gt;""),1,0)</f>
        <v>3</v>
      </c>
      <c r="W1604" s="29"/>
    </row>
    <row r="1605" customFormat="false" ht="15" hidden="false" customHeight="false" outlineLevel="0" collapsed="false">
      <c r="A1605" s="32" t="str">
        <f aca="false">IF(B1605="","",ROW()-7)</f>
        <v/>
      </c>
      <c r="B1605" s="30"/>
      <c r="C1605" s="29"/>
      <c r="D1605" s="29"/>
      <c r="E1605" s="29"/>
      <c r="F1605" s="30"/>
      <c r="G1605" s="29"/>
      <c r="H1605" s="30"/>
      <c r="I1605" s="29"/>
      <c r="J1605" s="30"/>
      <c r="K1605" s="30"/>
      <c r="L1605" s="29"/>
      <c r="M1605" s="32" t="str">
        <f aca="false">IF(OR(C1605="",L1605=""),"",IF(C1605=L1605,"同一","変更"))</f>
        <v/>
      </c>
      <c r="N1605" s="29"/>
      <c r="O1605" s="30"/>
      <c r="P1605" s="29"/>
      <c r="Q1605" s="31"/>
      <c r="R1605" s="29"/>
      <c r="S1605" s="29"/>
      <c r="T1605" s="30"/>
      <c r="U1605" s="47" t="str">
        <f aca="false">IF(AND(B1605&lt;&gt;"",B1605=SW別シート!$C$3),COUNTIF(B$5:B1605,B1605),"")</f>
        <v/>
      </c>
      <c r="V1605" s="47" t="n">
        <f aca="false">V1604+IF(OR(O1605&lt;&gt;"",W1605&lt;&gt;""),1,0)</f>
        <v>3</v>
      </c>
      <c r="W1605" s="29"/>
    </row>
    <row r="1606" customFormat="false" ht="15" hidden="false" customHeight="false" outlineLevel="0" collapsed="false">
      <c r="A1606" s="32" t="str">
        <f aca="false">IF(B1606="","",ROW()-7)</f>
        <v/>
      </c>
      <c r="B1606" s="30"/>
      <c r="C1606" s="29"/>
      <c r="D1606" s="29"/>
      <c r="E1606" s="29"/>
      <c r="F1606" s="30"/>
      <c r="G1606" s="29"/>
      <c r="H1606" s="30"/>
      <c r="I1606" s="29"/>
      <c r="J1606" s="30"/>
      <c r="K1606" s="30"/>
      <c r="L1606" s="29"/>
      <c r="M1606" s="32" t="str">
        <f aca="false">IF(OR(C1606="",L1606=""),"",IF(C1606=L1606,"同一","変更"))</f>
        <v/>
      </c>
      <c r="N1606" s="29"/>
      <c r="O1606" s="30"/>
      <c r="P1606" s="29"/>
      <c r="Q1606" s="31"/>
      <c r="R1606" s="29"/>
      <c r="S1606" s="29"/>
      <c r="T1606" s="30"/>
      <c r="U1606" s="47" t="str">
        <f aca="false">IF(AND(B1606&lt;&gt;"",B1606=SW別シート!$C$3),COUNTIF(B$5:B1606,B1606),"")</f>
        <v/>
      </c>
      <c r="V1606" s="47" t="n">
        <f aca="false">V1605+IF(OR(O1606&lt;&gt;"",W1606&lt;&gt;""),1,0)</f>
        <v>3</v>
      </c>
      <c r="W1606" s="29"/>
    </row>
    <row r="1607" customFormat="false" ht="15" hidden="false" customHeight="false" outlineLevel="0" collapsed="false">
      <c r="A1607" s="32" t="str">
        <f aca="false">IF(B1607="","",ROW()-7)</f>
        <v/>
      </c>
      <c r="B1607" s="30"/>
      <c r="C1607" s="29"/>
      <c r="D1607" s="29"/>
      <c r="E1607" s="29"/>
      <c r="F1607" s="30"/>
      <c r="G1607" s="29"/>
      <c r="H1607" s="30"/>
      <c r="I1607" s="29"/>
      <c r="J1607" s="30"/>
      <c r="K1607" s="30"/>
      <c r="L1607" s="29"/>
      <c r="M1607" s="32" t="str">
        <f aca="false">IF(OR(C1607="",L1607=""),"",IF(C1607=L1607,"同一","変更"))</f>
        <v/>
      </c>
      <c r="N1607" s="29"/>
      <c r="O1607" s="30"/>
      <c r="P1607" s="29"/>
      <c r="Q1607" s="31"/>
      <c r="R1607" s="29"/>
      <c r="S1607" s="29"/>
      <c r="T1607" s="30"/>
      <c r="U1607" s="47" t="str">
        <f aca="false">IF(AND(B1607&lt;&gt;"",B1607=SW別シート!$C$3),COUNTIF(B$5:B1607,B1607),"")</f>
        <v/>
      </c>
      <c r="V1607" s="47" t="n">
        <f aca="false">V1606+IF(OR(O1607&lt;&gt;"",W1607&lt;&gt;""),1,0)</f>
        <v>3</v>
      </c>
      <c r="W1607" s="29"/>
    </row>
    <row r="1608" customFormat="false" ht="15" hidden="false" customHeight="false" outlineLevel="0" collapsed="false">
      <c r="A1608" s="32" t="str">
        <f aca="false">IF(B1608="","",ROW()-7)</f>
        <v/>
      </c>
      <c r="B1608" s="30"/>
      <c r="C1608" s="29"/>
      <c r="D1608" s="29"/>
      <c r="E1608" s="29"/>
      <c r="F1608" s="30"/>
      <c r="G1608" s="29"/>
      <c r="H1608" s="30"/>
      <c r="I1608" s="29"/>
      <c r="J1608" s="30"/>
      <c r="K1608" s="30"/>
      <c r="L1608" s="29"/>
      <c r="M1608" s="32" t="str">
        <f aca="false">IF(OR(C1608="",L1608=""),"",IF(C1608=L1608,"同一","変更"))</f>
        <v/>
      </c>
      <c r="N1608" s="29"/>
      <c r="O1608" s="30"/>
      <c r="P1608" s="29"/>
      <c r="Q1608" s="31"/>
      <c r="R1608" s="29"/>
      <c r="S1608" s="29"/>
      <c r="T1608" s="30"/>
      <c r="U1608" s="47" t="str">
        <f aca="false">IF(AND(B1608&lt;&gt;"",B1608=SW別シート!$C$3),COUNTIF(B$5:B1608,B1608),"")</f>
        <v/>
      </c>
      <c r="V1608" s="47" t="n">
        <f aca="false">V1607+IF(OR(O1608&lt;&gt;"",W1608&lt;&gt;""),1,0)</f>
        <v>3</v>
      </c>
      <c r="W1608" s="29"/>
    </row>
    <row r="1609" customFormat="false" ht="15" hidden="false" customHeight="false" outlineLevel="0" collapsed="false">
      <c r="A1609" s="32" t="str">
        <f aca="false">IF(B1609="","",ROW()-7)</f>
        <v/>
      </c>
      <c r="B1609" s="30"/>
      <c r="C1609" s="29"/>
      <c r="D1609" s="29"/>
      <c r="E1609" s="29"/>
      <c r="F1609" s="30"/>
      <c r="G1609" s="29"/>
      <c r="H1609" s="30"/>
      <c r="I1609" s="29"/>
      <c r="J1609" s="30"/>
      <c r="K1609" s="30"/>
      <c r="L1609" s="29"/>
      <c r="M1609" s="32" t="str">
        <f aca="false">IF(OR(C1609="",L1609=""),"",IF(C1609=L1609,"同一","変更"))</f>
        <v/>
      </c>
      <c r="N1609" s="29"/>
      <c r="O1609" s="30"/>
      <c r="P1609" s="29"/>
      <c r="Q1609" s="31"/>
      <c r="R1609" s="29"/>
      <c r="S1609" s="29"/>
      <c r="T1609" s="30"/>
      <c r="U1609" s="47" t="str">
        <f aca="false">IF(AND(B1609&lt;&gt;"",B1609=SW別シート!$C$3),COUNTIF(B$5:B1609,B1609),"")</f>
        <v/>
      </c>
      <c r="V1609" s="47" t="n">
        <f aca="false">V1608+IF(OR(O1609&lt;&gt;"",W1609&lt;&gt;""),1,0)</f>
        <v>3</v>
      </c>
      <c r="W1609" s="29"/>
    </row>
    <row r="1610" customFormat="false" ht="15" hidden="false" customHeight="false" outlineLevel="0" collapsed="false">
      <c r="A1610" s="32" t="str">
        <f aca="false">IF(B1610="","",ROW()-7)</f>
        <v/>
      </c>
      <c r="B1610" s="30"/>
      <c r="C1610" s="29"/>
      <c r="D1610" s="29"/>
      <c r="E1610" s="29"/>
      <c r="F1610" s="30"/>
      <c r="G1610" s="29"/>
      <c r="H1610" s="30"/>
      <c r="I1610" s="29"/>
      <c r="J1610" s="30"/>
      <c r="K1610" s="30"/>
      <c r="L1610" s="29"/>
      <c r="M1610" s="32" t="str">
        <f aca="false">IF(OR(C1610="",L1610=""),"",IF(C1610=L1610,"同一","変更"))</f>
        <v/>
      </c>
      <c r="N1610" s="29"/>
      <c r="O1610" s="30"/>
      <c r="P1610" s="29"/>
      <c r="Q1610" s="31"/>
      <c r="R1610" s="29"/>
      <c r="S1610" s="29"/>
      <c r="T1610" s="30"/>
      <c r="U1610" s="47" t="str">
        <f aca="false">IF(AND(B1610&lt;&gt;"",B1610=SW別シート!$C$3),COUNTIF(B$5:B1610,B1610),"")</f>
        <v/>
      </c>
      <c r="V1610" s="47" t="n">
        <f aca="false">V1609+IF(OR(O1610&lt;&gt;"",W1610&lt;&gt;""),1,0)</f>
        <v>3</v>
      </c>
      <c r="W1610" s="29"/>
    </row>
    <row r="1611" customFormat="false" ht="15" hidden="false" customHeight="false" outlineLevel="0" collapsed="false">
      <c r="A1611" s="32" t="str">
        <f aca="false">IF(B1611="","",ROW()-7)</f>
        <v/>
      </c>
      <c r="B1611" s="30"/>
      <c r="C1611" s="29"/>
      <c r="D1611" s="29"/>
      <c r="E1611" s="29"/>
      <c r="F1611" s="30"/>
      <c r="G1611" s="29"/>
      <c r="H1611" s="30"/>
      <c r="I1611" s="29"/>
      <c r="J1611" s="30"/>
      <c r="K1611" s="30"/>
      <c r="L1611" s="29"/>
      <c r="M1611" s="32" t="str">
        <f aca="false">IF(OR(C1611="",L1611=""),"",IF(C1611=L1611,"同一","変更"))</f>
        <v/>
      </c>
      <c r="N1611" s="29"/>
      <c r="O1611" s="30"/>
      <c r="P1611" s="29"/>
      <c r="Q1611" s="31"/>
      <c r="R1611" s="29"/>
      <c r="S1611" s="29"/>
      <c r="T1611" s="30"/>
      <c r="U1611" s="47" t="str">
        <f aca="false">IF(AND(B1611&lt;&gt;"",B1611=SW別シート!$C$3),COUNTIF(B$5:B1611,B1611),"")</f>
        <v/>
      </c>
      <c r="V1611" s="47" t="n">
        <f aca="false">V1610+IF(OR(O1611&lt;&gt;"",W1611&lt;&gt;""),1,0)</f>
        <v>3</v>
      </c>
      <c r="W1611" s="29"/>
    </row>
    <row r="1612" customFormat="false" ht="15" hidden="false" customHeight="false" outlineLevel="0" collapsed="false">
      <c r="A1612" s="32" t="str">
        <f aca="false">IF(B1612="","",ROW()-7)</f>
        <v/>
      </c>
      <c r="B1612" s="30"/>
      <c r="C1612" s="29"/>
      <c r="D1612" s="29"/>
      <c r="E1612" s="29"/>
      <c r="F1612" s="30"/>
      <c r="G1612" s="29"/>
      <c r="H1612" s="30"/>
      <c r="I1612" s="29"/>
      <c r="J1612" s="30"/>
      <c r="K1612" s="30"/>
      <c r="L1612" s="29"/>
      <c r="M1612" s="32" t="str">
        <f aca="false">IF(OR(C1612="",L1612=""),"",IF(C1612=L1612,"同一","変更"))</f>
        <v/>
      </c>
      <c r="N1612" s="29"/>
      <c r="O1612" s="30"/>
      <c r="P1612" s="29"/>
      <c r="Q1612" s="31"/>
      <c r="R1612" s="29"/>
      <c r="S1612" s="29"/>
      <c r="T1612" s="30"/>
      <c r="U1612" s="47" t="str">
        <f aca="false">IF(AND(B1612&lt;&gt;"",B1612=SW別シート!$C$3),COUNTIF(B$5:B1612,B1612),"")</f>
        <v/>
      </c>
      <c r="V1612" s="47" t="n">
        <f aca="false">V1611+IF(OR(O1612&lt;&gt;"",W1612&lt;&gt;""),1,0)</f>
        <v>3</v>
      </c>
      <c r="W1612" s="29"/>
    </row>
    <row r="1613" customFormat="false" ht="15" hidden="false" customHeight="false" outlineLevel="0" collapsed="false">
      <c r="A1613" s="32" t="str">
        <f aca="false">IF(B1613="","",ROW()-7)</f>
        <v/>
      </c>
      <c r="B1613" s="30"/>
      <c r="C1613" s="29"/>
      <c r="D1613" s="29"/>
      <c r="E1613" s="29"/>
      <c r="F1613" s="30"/>
      <c r="G1613" s="29"/>
      <c r="H1613" s="30"/>
      <c r="I1613" s="29"/>
      <c r="J1613" s="30"/>
      <c r="K1613" s="30"/>
      <c r="L1613" s="29"/>
      <c r="M1613" s="32" t="str">
        <f aca="false">IF(OR(C1613="",L1613=""),"",IF(C1613=L1613,"同一","変更"))</f>
        <v/>
      </c>
      <c r="N1613" s="29"/>
      <c r="O1613" s="30"/>
      <c r="P1613" s="29"/>
      <c r="Q1613" s="31"/>
      <c r="R1613" s="29"/>
      <c r="S1613" s="29"/>
      <c r="T1613" s="30"/>
      <c r="U1613" s="47" t="str">
        <f aca="false">IF(AND(B1613&lt;&gt;"",B1613=SW別シート!$C$3),COUNTIF(B$5:B1613,B1613),"")</f>
        <v/>
      </c>
      <c r="V1613" s="47" t="n">
        <f aca="false">V1612+IF(OR(O1613&lt;&gt;"",W1613&lt;&gt;""),1,0)</f>
        <v>3</v>
      </c>
      <c r="W1613" s="29"/>
    </row>
    <row r="1614" customFormat="false" ht="15" hidden="false" customHeight="false" outlineLevel="0" collapsed="false">
      <c r="A1614" s="32" t="str">
        <f aca="false">IF(B1614="","",ROW()-7)</f>
        <v/>
      </c>
      <c r="B1614" s="30"/>
      <c r="C1614" s="29"/>
      <c r="D1614" s="29"/>
      <c r="E1614" s="29"/>
      <c r="F1614" s="30"/>
      <c r="G1614" s="29"/>
      <c r="H1614" s="30"/>
      <c r="I1614" s="29"/>
      <c r="J1614" s="30"/>
      <c r="K1614" s="30"/>
      <c r="L1614" s="29"/>
      <c r="M1614" s="32" t="str">
        <f aca="false">IF(OR(C1614="",L1614=""),"",IF(C1614=L1614,"同一","変更"))</f>
        <v/>
      </c>
      <c r="N1614" s="29"/>
      <c r="O1614" s="30"/>
      <c r="P1614" s="29"/>
      <c r="Q1614" s="31"/>
      <c r="R1614" s="29"/>
      <c r="S1614" s="29"/>
      <c r="T1614" s="30"/>
      <c r="U1614" s="47" t="str">
        <f aca="false">IF(AND(B1614&lt;&gt;"",B1614=SW別シート!$C$3),COUNTIF(B$5:B1614,B1614),"")</f>
        <v/>
      </c>
      <c r="V1614" s="47" t="n">
        <f aca="false">V1613+IF(OR(O1614&lt;&gt;"",W1614&lt;&gt;""),1,0)</f>
        <v>3</v>
      </c>
      <c r="W1614" s="29"/>
    </row>
    <row r="1615" customFormat="false" ht="15" hidden="false" customHeight="false" outlineLevel="0" collapsed="false">
      <c r="A1615" s="32" t="str">
        <f aca="false">IF(B1615="","",ROW()-7)</f>
        <v/>
      </c>
      <c r="B1615" s="30"/>
      <c r="C1615" s="29"/>
      <c r="D1615" s="29"/>
      <c r="E1615" s="29"/>
      <c r="F1615" s="30"/>
      <c r="G1615" s="29"/>
      <c r="H1615" s="30"/>
      <c r="I1615" s="29"/>
      <c r="J1615" s="30"/>
      <c r="K1615" s="30"/>
      <c r="L1615" s="29"/>
      <c r="M1615" s="32" t="str">
        <f aca="false">IF(OR(C1615="",L1615=""),"",IF(C1615=L1615,"同一","変更"))</f>
        <v/>
      </c>
      <c r="N1615" s="29"/>
      <c r="O1615" s="30"/>
      <c r="P1615" s="29"/>
      <c r="Q1615" s="31"/>
      <c r="R1615" s="29"/>
      <c r="S1615" s="29"/>
      <c r="T1615" s="30"/>
      <c r="U1615" s="47" t="str">
        <f aca="false">IF(AND(B1615&lt;&gt;"",B1615=SW別シート!$C$3),COUNTIF(B$5:B1615,B1615),"")</f>
        <v/>
      </c>
      <c r="V1615" s="47" t="n">
        <f aca="false">V1614+IF(OR(O1615&lt;&gt;"",W1615&lt;&gt;""),1,0)</f>
        <v>3</v>
      </c>
      <c r="W1615" s="29"/>
    </row>
    <row r="1616" customFormat="false" ht="15" hidden="false" customHeight="false" outlineLevel="0" collapsed="false">
      <c r="A1616" s="32" t="str">
        <f aca="false">IF(B1616="","",ROW()-7)</f>
        <v/>
      </c>
      <c r="B1616" s="30"/>
      <c r="C1616" s="29"/>
      <c r="D1616" s="29"/>
      <c r="E1616" s="29"/>
      <c r="F1616" s="30"/>
      <c r="G1616" s="29"/>
      <c r="H1616" s="30"/>
      <c r="I1616" s="29"/>
      <c r="J1616" s="30"/>
      <c r="K1616" s="30"/>
      <c r="L1616" s="29"/>
      <c r="M1616" s="32" t="str">
        <f aca="false">IF(OR(C1616="",L1616=""),"",IF(C1616=L1616,"同一","変更"))</f>
        <v/>
      </c>
      <c r="N1616" s="29"/>
      <c r="O1616" s="30"/>
      <c r="P1616" s="29"/>
      <c r="Q1616" s="31"/>
      <c r="R1616" s="29"/>
      <c r="S1616" s="29"/>
      <c r="T1616" s="30"/>
      <c r="U1616" s="47" t="str">
        <f aca="false">IF(AND(B1616&lt;&gt;"",B1616=SW別シート!$C$3),COUNTIF(B$5:B1616,B1616),"")</f>
        <v/>
      </c>
      <c r="V1616" s="47" t="n">
        <f aca="false">V1615+IF(OR(O1616&lt;&gt;"",W1616&lt;&gt;""),1,0)</f>
        <v>3</v>
      </c>
      <c r="W1616" s="29"/>
    </row>
    <row r="1617" customFormat="false" ht="15" hidden="false" customHeight="false" outlineLevel="0" collapsed="false">
      <c r="A1617" s="32" t="str">
        <f aca="false">IF(B1617="","",ROW()-7)</f>
        <v/>
      </c>
      <c r="B1617" s="30"/>
      <c r="C1617" s="29"/>
      <c r="D1617" s="29"/>
      <c r="E1617" s="29"/>
      <c r="F1617" s="30"/>
      <c r="G1617" s="29"/>
      <c r="H1617" s="30"/>
      <c r="I1617" s="29"/>
      <c r="J1617" s="30"/>
      <c r="K1617" s="30"/>
      <c r="L1617" s="29"/>
      <c r="M1617" s="32" t="str">
        <f aca="false">IF(OR(C1617="",L1617=""),"",IF(C1617=L1617,"同一","変更"))</f>
        <v/>
      </c>
      <c r="N1617" s="29"/>
      <c r="O1617" s="30"/>
      <c r="P1617" s="29"/>
      <c r="Q1617" s="31"/>
      <c r="R1617" s="29"/>
      <c r="S1617" s="29"/>
      <c r="T1617" s="30"/>
      <c r="U1617" s="47" t="str">
        <f aca="false">IF(AND(B1617&lt;&gt;"",B1617=SW別シート!$C$3),COUNTIF(B$5:B1617,B1617),"")</f>
        <v/>
      </c>
      <c r="V1617" s="47" t="n">
        <f aca="false">V1616+IF(OR(O1617&lt;&gt;"",W1617&lt;&gt;""),1,0)</f>
        <v>3</v>
      </c>
      <c r="W1617" s="29"/>
    </row>
    <row r="1618" customFormat="false" ht="15" hidden="false" customHeight="false" outlineLevel="0" collapsed="false">
      <c r="A1618" s="32" t="str">
        <f aca="false">IF(B1618="","",ROW()-7)</f>
        <v/>
      </c>
      <c r="B1618" s="30"/>
      <c r="C1618" s="29"/>
      <c r="D1618" s="29"/>
      <c r="E1618" s="29"/>
      <c r="F1618" s="30"/>
      <c r="G1618" s="29"/>
      <c r="H1618" s="30"/>
      <c r="I1618" s="29"/>
      <c r="J1618" s="30"/>
      <c r="K1618" s="30"/>
      <c r="L1618" s="29"/>
      <c r="M1618" s="32" t="str">
        <f aca="false">IF(OR(C1618="",L1618=""),"",IF(C1618=L1618,"同一","変更"))</f>
        <v/>
      </c>
      <c r="N1618" s="29"/>
      <c r="O1618" s="30"/>
      <c r="P1618" s="29"/>
      <c r="Q1618" s="31"/>
      <c r="R1618" s="29"/>
      <c r="S1618" s="29"/>
      <c r="T1618" s="30"/>
      <c r="U1618" s="47" t="str">
        <f aca="false">IF(AND(B1618&lt;&gt;"",B1618=SW別シート!$C$3),COUNTIF(B$5:B1618,B1618),"")</f>
        <v/>
      </c>
      <c r="V1618" s="47" t="n">
        <f aca="false">V1617+IF(OR(O1618&lt;&gt;"",W1618&lt;&gt;""),1,0)</f>
        <v>3</v>
      </c>
      <c r="W1618" s="29"/>
    </row>
    <row r="1619" customFormat="false" ht="15" hidden="false" customHeight="false" outlineLevel="0" collapsed="false">
      <c r="A1619" s="32" t="str">
        <f aca="false">IF(B1619="","",ROW()-7)</f>
        <v/>
      </c>
      <c r="B1619" s="30"/>
      <c r="C1619" s="29"/>
      <c r="D1619" s="29"/>
      <c r="E1619" s="29"/>
      <c r="F1619" s="30"/>
      <c r="G1619" s="29"/>
      <c r="H1619" s="30"/>
      <c r="I1619" s="29"/>
      <c r="J1619" s="30"/>
      <c r="K1619" s="30"/>
      <c r="L1619" s="29"/>
      <c r="M1619" s="32" t="str">
        <f aca="false">IF(OR(C1619="",L1619=""),"",IF(C1619=L1619,"同一","変更"))</f>
        <v/>
      </c>
      <c r="N1619" s="29"/>
      <c r="O1619" s="30"/>
      <c r="P1619" s="29"/>
      <c r="Q1619" s="31"/>
      <c r="R1619" s="29"/>
      <c r="S1619" s="29"/>
      <c r="T1619" s="30"/>
      <c r="U1619" s="47" t="str">
        <f aca="false">IF(AND(B1619&lt;&gt;"",B1619=SW別シート!$C$3),COUNTIF(B$5:B1619,B1619),"")</f>
        <v/>
      </c>
      <c r="V1619" s="47" t="n">
        <f aca="false">V1618+IF(OR(O1619&lt;&gt;"",W1619&lt;&gt;""),1,0)</f>
        <v>3</v>
      </c>
      <c r="W1619" s="29"/>
    </row>
    <row r="1620" customFormat="false" ht="15" hidden="false" customHeight="false" outlineLevel="0" collapsed="false">
      <c r="A1620" s="32" t="str">
        <f aca="false">IF(B1620="","",ROW()-7)</f>
        <v/>
      </c>
      <c r="B1620" s="30"/>
      <c r="C1620" s="29"/>
      <c r="D1620" s="29"/>
      <c r="E1620" s="29"/>
      <c r="F1620" s="30"/>
      <c r="G1620" s="29"/>
      <c r="H1620" s="30"/>
      <c r="I1620" s="29"/>
      <c r="J1620" s="30"/>
      <c r="K1620" s="30"/>
      <c r="L1620" s="29"/>
      <c r="M1620" s="32" t="str">
        <f aca="false">IF(OR(C1620="",L1620=""),"",IF(C1620=L1620,"同一","変更"))</f>
        <v/>
      </c>
      <c r="N1620" s="29"/>
      <c r="O1620" s="30"/>
      <c r="P1620" s="29"/>
      <c r="Q1620" s="31"/>
      <c r="R1620" s="29"/>
      <c r="S1620" s="29"/>
      <c r="T1620" s="30"/>
      <c r="U1620" s="47" t="str">
        <f aca="false">IF(AND(B1620&lt;&gt;"",B1620=SW別シート!$C$3),COUNTIF(B$5:B1620,B1620),"")</f>
        <v/>
      </c>
      <c r="V1620" s="47" t="n">
        <f aca="false">V1619+IF(OR(O1620&lt;&gt;"",W1620&lt;&gt;""),1,0)</f>
        <v>3</v>
      </c>
      <c r="W1620" s="29"/>
    </row>
    <row r="1621" customFormat="false" ht="15" hidden="false" customHeight="false" outlineLevel="0" collapsed="false">
      <c r="A1621" s="32" t="str">
        <f aca="false">IF(B1621="","",ROW()-7)</f>
        <v/>
      </c>
      <c r="B1621" s="30"/>
      <c r="C1621" s="29"/>
      <c r="D1621" s="29"/>
      <c r="E1621" s="29"/>
      <c r="F1621" s="30"/>
      <c r="G1621" s="29"/>
      <c r="H1621" s="30"/>
      <c r="I1621" s="29"/>
      <c r="J1621" s="30"/>
      <c r="K1621" s="30"/>
      <c r="L1621" s="29"/>
      <c r="M1621" s="32" t="str">
        <f aca="false">IF(OR(C1621="",L1621=""),"",IF(C1621=L1621,"同一","変更"))</f>
        <v/>
      </c>
      <c r="N1621" s="29"/>
      <c r="O1621" s="30"/>
      <c r="P1621" s="29"/>
      <c r="Q1621" s="31"/>
      <c r="R1621" s="29"/>
      <c r="S1621" s="29"/>
      <c r="T1621" s="30"/>
      <c r="U1621" s="47" t="str">
        <f aca="false">IF(AND(B1621&lt;&gt;"",B1621=SW別シート!$C$3),COUNTIF(B$5:B1621,B1621),"")</f>
        <v/>
      </c>
      <c r="V1621" s="47" t="n">
        <f aca="false">V1620+IF(OR(O1621&lt;&gt;"",W1621&lt;&gt;""),1,0)</f>
        <v>3</v>
      </c>
      <c r="W1621" s="29"/>
    </row>
    <row r="1622" customFormat="false" ht="15" hidden="false" customHeight="false" outlineLevel="0" collapsed="false">
      <c r="A1622" s="32" t="str">
        <f aca="false">IF(B1622="","",ROW()-7)</f>
        <v/>
      </c>
      <c r="B1622" s="30"/>
      <c r="C1622" s="29"/>
      <c r="D1622" s="29"/>
      <c r="E1622" s="29"/>
      <c r="F1622" s="30"/>
      <c r="G1622" s="29"/>
      <c r="H1622" s="30"/>
      <c r="I1622" s="29"/>
      <c r="J1622" s="30"/>
      <c r="K1622" s="30"/>
      <c r="L1622" s="29"/>
      <c r="M1622" s="32" t="str">
        <f aca="false">IF(OR(C1622="",L1622=""),"",IF(C1622=L1622,"同一","変更"))</f>
        <v/>
      </c>
      <c r="N1622" s="29"/>
      <c r="O1622" s="30"/>
      <c r="P1622" s="29"/>
      <c r="Q1622" s="31"/>
      <c r="R1622" s="29"/>
      <c r="S1622" s="29"/>
      <c r="T1622" s="30"/>
      <c r="U1622" s="47" t="str">
        <f aca="false">IF(AND(B1622&lt;&gt;"",B1622=SW別シート!$C$3),COUNTIF(B$5:B1622,B1622),"")</f>
        <v/>
      </c>
      <c r="V1622" s="47" t="n">
        <f aca="false">V1621+IF(OR(O1622&lt;&gt;"",W1622&lt;&gt;""),1,0)</f>
        <v>3</v>
      </c>
      <c r="W1622" s="29"/>
    </row>
    <row r="1623" customFormat="false" ht="15" hidden="false" customHeight="false" outlineLevel="0" collapsed="false">
      <c r="A1623" s="32" t="str">
        <f aca="false">IF(B1623="","",ROW()-7)</f>
        <v/>
      </c>
      <c r="B1623" s="30"/>
      <c r="C1623" s="29"/>
      <c r="D1623" s="29"/>
      <c r="E1623" s="29"/>
      <c r="F1623" s="30"/>
      <c r="G1623" s="29"/>
      <c r="H1623" s="30"/>
      <c r="I1623" s="29"/>
      <c r="J1623" s="30"/>
      <c r="K1623" s="30"/>
      <c r="L1623" s="29"/>
      <c r="M1623" s="32" t="str">
        <f aca="false">IF(OR(C1623="",L1623=""),"",IF(C1623=L1623,"同一","変更"))</f>
        <v/>
      </c>
      <c r="N1623" s="29"/>
      <c r="O1623" s="30"/>
      <c r="P1623" s="29"/>
      <c r="Q1623" s="31"/>
      <c r="R1623" s="29"/>
      <c r="S1623" s="29"/>
      <c r="T1623" s="30"/>
      <c r="U1623" s="47" t="str">
        <f aca="false">IF(AND(B1623&lt;&gt;"",B1623=SW別シート!$C$3),COUNTIF(B$5:B1623,B1623),"")</f>
        <v/>
      </c>
      <c r="V1623" s="47" t="n">
        <f aca="false">V1622+IF(OR(O1623&lt;&gt;"",W1623&lt;&gt;""),1,0)</f>
        <v>3</v>
      </c>
      <c r="W1623" s="29"/>
    </row>
    <row r="1624" customFormat="false" ht="15" hidden="false" customHeight="false" outlineLevel="0" collapsed="false">
      <c r="A1624" s="32" t="str">
        <f aca="false">IF(B1624="","",ROW()-7)</f>
        <v/>
      </c>
      <c r="B1624" s="30"/>
      <c r="C1624" s="29"/>
      <c r="D1624" s="29"/>
      <c r="E1624" s="29"/>
      <c r="F1624" s="30"/>
      <c r="G1624" s="29"/>
      <c r="H1624" s="30"/>
      <c r="I1624" s="29"/>
      <c r="J1624" s="30"/>
      <c r="K1624" s="30"/>
      <c r="L1624" s="29"/>
      <c r="M1624" s="32" t="str">
        <f aca="false">IF(OR(C1624="",L1624=""),"",IF(C1624=L1624,"同一","変更"))</f>
        <v/>
      </c>
      <c r="N1624" s="29"/>
      <c r="O1624" s="30"/>
      <c r="P1624" s="29"/>
      <c r="Q1624" s="31"/>
      <c r="R1624" s="29"/>
      <c r="S1624" s="29"/>
      <c r="T1624" s="30"/>
      <c r="U1624" s="47" t="str">
        <f aca="false">IF(AND(B1624&lt;&gt;"",B1624=SW別シート!$C$3),COUNTIF(B$5:B1624,B1624),"")</f>
        <v/>
      </c>
      <c r="V1624" s="47" t="n">
        <f aca="false">V1623+IF(OR(O1624&lt;&gt;"",W1624&lt;&gt;""),1,0)</f>
        <v>3</v>
      </c>
      <c r="W1624" s="29"/>
    </row>
    <row r="1625" customFormat="false" ht="15" hidden="false" customHeight="false" outlineLevel="0" collapsed="false">
      <c r="A1625" s="32" t="str">
        <f aca="false">IF(B1625="","",ROW()-7)</f>
        <v/>
      </c>
      <c r="B1625" s="30"/>
      <c r="C1625" s="29"/>
      <c r="D1625" s="29"/>
      <c r="E1625" s="29"/>
      <c r="F1625" s="30"/>
      <c r="G1625" s="29"/>
      <c r="H1625" s="30"/>
      <c r="I1625" s="29"/>
      <c r="J1625" s="30"/>
      <c r="K1625" s="30"/>
      <c r="L1625" s="29"/>
      <c r="M1625" s="32" t="str">
        <f aca="false">IF(OR(C1625="",L1625=""),"",IF(C1625=L1625,"同一","変更"))</f>
        <v/>
      </c>
      <c r="N1625" s="29"/>
      <c r="O1625" s="30"/>
      <c r="P1625" s="29"/>
      <c r="Q1625" s="31"/>
      <c r="R1625" s="29"/>
      <c r="S1625" s="29"/>
      <c r="T1625" s="30"/>
      <c r="U1625" s="47" t="str">
        <f aca="false">IF(AND(B1625&lt;&gt;"",B1625=SW別シート!$C$3),COUNTIF(B$5:B1625,B1625),"")</f>
        <v/>
      </c>
      <c r="V1625" s="47" t="n">
        <f aca="false">V1624+IF(OR(O1625&lt;&gt;"",W1625&lt;&gt;""),1,0)</f>
        <v>3</v>
      </c>
      <c r="W1625" s="29"/>
    </row>
    <row r="1626" customFormat="false" ht="15" hidden="false" customHeight="false" outlineLevel="0" collapsed="false">
      <c r="A1626" s="32" t="str">
        <f aca="false">IF(B1626="","",ROW()-7)</f>
        <v/>
      </c>
      <c r="B1626" s="30"/>
      <c r="C1626" s="29"/>
      <c r="D1626" s="29"/>
      <c r="E1626" s="29"/>
      <c r="F1626" s="30"/>
      <c r="G1626" s="29"/>
      <c r="H1626" s="30"/>
      <c r="I1626" s="29"/>
      <c r="J1626" s="30"/>
      <c r="K1626" s="30"/>
      <c r="L1626" s="29"/>
      <c r="M1626" s="32" t="str">
        <f aca="false">IF(OR(C1626="",L1626=""),"",IF(C1626=L1626,"同一","変更"))</f>
        <v/>
      </c>
      <c r="N1626" s="29"/>
      <c r="O1626" s="30"/>
      <c r="P1626" s="29"/>
      <c r="Q1626" s="31"/>
      <c r="R1626" s="29"/>
      <c r="S1626" s="29"/>
      <c r="T1626" s="30"/>
      <c r="U1626" s="47" t="str">
        <f aca="false">IF(AND(B1626&lt;&gt;"",B1626=SW別シート!$C$3),COUNTIF(B$5:B1626,B1626),"")</f>
        <v/>
      </c>
      <c r="V1626" s="47" t="n">
        <f aca="false">V1625+IF(OR(O1626&lt;&gt;"",W1626&lt;&gt;""),1,0)</f>
        <v>3</v>
      </c>
      <c r="W1626" s="29"/>
    </row>
    <row r="1627" customFormat="false" ht="15" hidden="false" customHeight="false" outlineLevel="0" collapsed="false">
      <c r="A1627" s="32" t="str">
        <f aca="false">IF(B1627="","",ROW()-7)</f>
        <v/>
      </c>
      <c r="B1627" s="30"/>
      <c r="C1627" s="29"/>
      <c r="D1627" s="29"/>
      <c r="E1627" s="29"/>
      <c r="F1627" s="30"/>
      <c r="G1627" s="29"/>
      <c r="H1627" s="30"/>
      <c r="I1627" s="29"/>
      <c r="J1627" s="30"/>
      <c r="K1627" s="30"/>
      <c r="L1627" s="29"/>
      <c r="M1627" s="32" t="str">
        <f aca="false">IF(OR(C1627="",L1627=""),"",IF(C1627=L1627,"同一","変更"))</f>
        <v/>
      </c>
      <c r="N1627" s="29"/>
      <c r="O1627" s="30"/>
      <c r="P1627" s="29"/>
      <c r="Q1627" s="31"/>
      <c r="R1627" s="29"/>
      <c r="S1627" s="29"/>
      <c r="T1627" s="30"/>
      <c r="U1627" s="47" t="str">
        <f aca="false">IF(AND(B1627&lt;&gt;"",B1627=SW別シート!$C$3),COUNTIF(B$5:B1627,B1627),"")</f>
        <v/>
      </c>
      <c r="V1627" s="47" t="n">
        <f aca="false">V1626+IF(OR(O1627&lt;&gt;"",W1627&lt;&gt;""),1,0)</f>
        <v>3</v>
      </c>
      <c r="W1627" s="29"/>
    </row>
    <row r="1628" customFormat="false" ht="15" hidden="false" customHeight="false" outlineLevel="0" collapsed="false">
      <c r="A1628" s="32" t="str">
        <f aca="false">IF(B1628="","",ROW()-7)</f>
        <v/>
      </c>
      <c r="B1628" s="30"/>
      <c r="C1628" s="29"/>
      <c r="D1628" s="29"/>
      <c r="E1628" s="29"/>
      <c r="F1628" s="30"/>
      <c r="G1628" s="29"/>
      <c r="H1628" s="30"/>
      <c r="I1628" s="29"/>
      <c r="J1628" s="30"/>
      <c r="K1628" s="30"/>
      <c r="L1628" s="29"/>
      <c r="M1628" s="32" t="str">
        <f aca="false">IF(OR(C1628="",L1628=""),"",IF(C1628=L1628,"同一","変更"))</f>
        <v/>
      </c>
      <c r="N1628" s="29"/>
      <c r="O1628" s="30"/>
      <c r="P1628" s="29"/>
      <c r="Q1628" s="31"/>
      <c r="R1628" s="29"/>
      <c r="S1628" s="29"/>
      <c r="T1628" s="30"/>
      <c r="U1628" s="47" t="str">
        <f aca="false">IF(AND(B1628&lt;&gt;"",B1628=SW別シート!$C$3),COUNTIF(B$5:B1628,B1628),"")</f>
        <v/>
      </c>
      <c r="V1628" s="47" t="n">
        <f aca="false">V1627+IF(OR(O1628&lt;&gt;"",W1628&lt;&gt;""),1,0)</f>
        <v>3</v>
      </c>
      <c r="W1628" s="29"/>
    </row>
    <row r="1629" customFormat="false" ht="15" hidden="false" customHeight="false" outlineLevel="0" collapsed="false">
      <c r="A1629" s="32" t="str">
        <f aca="false">IF(B1629="","",ROW()-7)</f>
        <v/>
      </c>
      <c r="B1629" s="30"/>
      <c r="C1629" s="29"/>
      <c r="D1629" s="29"/>
      <c r="E1629" s="29"/>
      <c r="F1629" s="30"/>
      <c r="G1629" s="29"/>
      <c r="H1629" s="30"/>
      <c r="I1629" s="29"/>
      <c r="J1629" s="30"/>
      <c r="K1629" s="30"/>
      <c r="L1629" s="29"/>
      <c r="M1629" s="32" t="str">
        <f aca="false">IF(OR(C1629="",L1629=""),"",IF(C1629=L1629,"同一","変更"))</f>
        <v/>
      </c>
      <c r="N1629" s="29"/>
      <c r="O1629" s="30"/>
      <c r="P1629" s="29"/>
      <c r="Q1629" s="31"/>
      <c r="R1629" s="29"/>
      <c r="S1629" s="29"/>
      <c r="T1629" s="30"/>
      <c r="U1629" s="47" t="str">
        <f aca="false">IF(AND(B1629&lt;&gt;"",B1629=SW別シート!$C$3),COUNTIF(B$5:B1629,B1629),"")</f>
        <v/>
      </c>
      <c r="V1629" s="47" t="n">
        <f aca="false">V1628+IF(OR(O1629&lt;&gt;"",W1629&lt;&gt;""),1,0)</f>
        <v>3</v>
      </c>
      <c r="W1629" s="29"/>
    </row>
    <row r="1630" customFormat="false" ht="15" hidden="false" customHeight="false" outlineLevel="0" collapsed="false">
      <c r="A1630" s="32" t="str">
        <f aca="false">IF(B1630="","",ROW()-7)</f>
        <v/>
      </c>
      <c r="B1630" s="30"/>
      <c r="C1630" s="29"/>
      <c r="D1630" s="29"/>
      <c r="E1630" s="29"/>
      <c r="F1630" s="30"/>
      <c r="G1630" s="29"/>
      <c r="H1630" s="30"/>
      <c r="I1630" s="29"/>
      <c r="J1630" s="30"/>
      <c r="K1630" s="30"/>
      <c r="L1630" s="29"/>
      <c r="M1630" s="32" t="str">
        <f aca="false">IF(OR(C1630="",L1630=""),"",IF(C1630=L1630,"同一","変更"))</f>
        <v/>
      </c>
      <c r="N1630" s="29"/>
      <c r="O1630" s="30"/>
      <c r="P1630" s="29"/>
      <c r="Q1630" s="31"/>
      <c r="R1630" s="29"/>
      <c r="S1630" s="29"/>
      <c r="T1630" s="30"/>
      <c r="U1630" s="47" t="str">
        <f aca="false">IF(AND(B1630&lt;&gt;"",B1630=SW別シート!$C$3),COUNTIF(B$5:B1630,B1630),"")</f>
        <v/>
      </c>
      <c r="V1630" s="47" t="n">
        <f aca="false">V1629+IF(OR(O1630&lt;&gt;"",W1630&lt;&gt;""),1,0)</f>
        <v>3</v>
      </c>
      <c r="W1630" s="29"/>
    </row>
    <row r="1631" customFormat="false" ht="15" hidden="false" customHeight="false" outlineLevel="0" collapsed="false">
      <c r="A1631" s="32" t="str">
        <f aca="false">IF(B1631="","",ROW()-7)</f>
        <v/>
      </c>
      <c r="B1631" s="30"/>
      <c r="C1631" s="29"/>
      <c r="D1631" s="29"/>
      <c r="E1631" s="29"/>
      <c r="F1631" s="30"/>
      <c r="G1631" s="29"/>
      <c r="H1631" s="30"/>
      <c r="I1631" s="29"/>
      <c r="J1631" s="30"/>
      <c r="K1631" s="30"/>
      <c r="L1631" s="29"/>
      <c r="M1631" s="32" t="str">
        <f aca="false">IF(OR(C1631="",L1631=""),"",IF(C1631=L1631,"同一","変更"))</f>
        <v/>
      </c>
      <c r="N1631" s="29"/>
      <c r="O1631" s="30"/>
      <c r="P1631" s="29"/>
      <c r="Q1631" s="31"/>
      <c r="R1631" s="29"/>
      <c r="S1631" s="29"/>
      <c r="T1631" s="30"/>
      <c r="U1631" s="47" t="str">
        <f aca="false">IF(AND(B1631&lt;&gt;"",B1631=SW別シート!$C$3),COUNTIF(B$5:B1631,B1631),"")</f>
        <v/>
      </c>
      <c r="V1631" s="47" t="n">
        <f aca="false">V1630+IF(OR(O1631&lt;&gt;"",W1631&lt;&gt;""),1,0)</f>
        <v>3</v>
      </c>
      <c r="W1631" s="29"/>
    </row>
    <row r="1632" customFormat="false" ht="15" hidden="false" customHeight="false" outlineLevel="0" collapsed="false">
      <c r="A1632" s="32" t="str">
        <f aca="false">IF(B1632="","",ROW()-7)</f>
        <v/>
      </c>
      <c r="B1632" s="30"/>
      <c r="C1632" s="29"/>
      <c r="D1632" s="29"/>
      <c r="E1632" s="29"/>
      <c r="F1632" s="30"/>
      <c r="G1632" s="29"/>
      <c r="H1632" s="30"/>
      <c r="I1632" s="29"/>
      <c r="J1632" s="30"/>
      <c r="K1632" s="30"/>
      <c r="L1632" s="29"/>
      <c r="M1632" s="32" t="str">
        <f aca="false">IF(OR(C1632="",L1632=""),"",IF(C1632=L1632,"同一","変更"))</f>
        <v/>
      </c>
      <c r="N1632" s="29"/>
      <c r="O1632" s="30"/>
      <c r="P1632" s="29"/>
      <c r="Q1632" s="31"/>
      <c r="R1632" s="29"/>
      <c r="S1632" s="29"/>
      <c r="T1632" s="30"/>
      <c r="U1632" s="47" t="str">
        <f aca="false">IF(AND(B1632&lt;&gt;"",B1632=SW別シート!$C$3),COUNTIF(B$5:B1632,B1632),"")</f>
        <v/>
      </c>
      <c r="V1632" s="47" t="n">
        <f aca="false">V1631+IF(OR(O1632&lt;&gt;"",W1632&lt;&gt;""),1,0)</f>
        <v>3</v>
      </c>
      <c r="W1632" s="29"/>
    </row>
    <row r="1633" customFormat="false" ht="15" hidden="false" customHeight="false" outlineLevel="0" collapsed="false">
      <c r="A1633" s="32" t="str">
        <f aca="false">IF(B1633="","",ROW()-7)</f>
        <v/>
      </c>
      <c r="B1633" s="30"/>
      <c r="C1633" s="29"/>
      <c r="D1633" s="29"/>
      <c r="E1633" s="29"/>
      <c r="F1633" s="30"/>
      <c r="G1633" s="29"/>
      <c r="H1633" s="30"/>
      <c r="I1633" s="29"/>
      <c r="J1633" s="30"/>
      <c r="K1633" s="30"/>
      <c r="L1633" s="29"/>
      <c r="M1633" s="32" t="str">
        <f aca="false">IF(OR(C1633="",L1633=""),"",IF(C1633=L1633,"同一","変更"))</f>
        <v/>
      </c>
      <c r="N1633" s="29"/>
      <c r="O1633" s="30"/>
      <c r="P1633" s="29"/>
      <c r="Q1633" s="31"/>
      <c r="R1633" s="29"/>
      <c r="S1633" s="29"/>
      <c r="T1633" s="30"/>
      <c r="U1633" s="47" t="str">
        <f aca="false">IF(AND(B1633&lt;&gt;"",B1633=SW別シート!$C$3),COUNTIF(B$5:B1633,B1633),"")</f>
        <v/>
      </c>
      <c r="V1633" s="47" t="n">
        <f aca="false">V1632+IF(OR(O1633&lt;&gt;"",W1633&lt;&gt;""),1,0)</f>
        <v>3</v>
      </c>
      <c r="W1633" s="29"/>
    </row>
    <row r="1634" customFormat="false" ht="15" hidden="false" customHeight="false" outlineLevel="0" collapsed="false">
      <c r="A1634" s="32" t="str">
        <f aca="false">IF(B1634="","",ROW()-7)</f>
        <v/>
      </c>
      <c r="B1634" s="30"/>
      <c r="C1634" s="29"/>
      <c r="D1634" s="29"/>
      <c r="E1634" s="29"/>
      <c r="F1634" s="30"/>
      <c r="G1634" s="29"/>
      <c r="H1634" s="30"/>
      <c r="I1634" s="29"/>
      <c r="J1634" s="30"/>
      <c r="K1634" s="30"/>
      <c r="L1634" s="29"/>
      <c r="M1634" s="32" t="str">
        <f aca="false">IF(OR(C1634="",L1634=""),"",IF(C1634=L1634,"同一","変更"))</f>
        <v/>
      </c>
      <c r="N1634" s="29"/>
      <c r="O1634" s="30"/>
      <c r="P1634" s="29"/>
      <c r="Q1634" s="31"/>
      <c r="R1634" s="29"/>
      <c r="S1634" s="29"/>
      <c r="T1634" s="30"/>
      <c r="U1634" s="47" t="str">
        <f aca="false">IF(AND(B1634&lt;&gt;"",B1634=SW別シート!$C$3),COUNTIF(B$5:B1634,B1634),"")</f>
        <v/>
      </c>
      <c r="V1634" s="47" t="n">
        <f aca="false">V1633+IF(OR(O1634&lt;&gt;"",W1634&lt;&gt;""),1,0)</f>
        <v>3</v>
      </c>
      <c r="W1634" s="29"/>
    </row>
    <row r="1635" customFormat="false" ht="15" hidden="false" customHeight="false" outlineLevel="0" collapsed="false">
      <c r="A1635" s="32" t="str">
        <f aca="false">IF(B1635="","",ROW()-7)</f>
        <v/>
      </c>
      <c r="B1635" s="30"/>
      <c r="C1635" s="29"/>
      <c r="D1635" s="29"/>
      <c r="E1635" s="29"/>
      <c r="F1635" s="30"/>
      <c r="G1635" s="29"/>
      <c r="H1635" s="30"/>
      <c r="I1635" s="29"/>
      <c r="J1635" s="30"/>
      <c r="K1635" s="30"/>
      <c r="L1635" s="29"/>
      <c r="M1635" s="32" t="str">
        <f aca="false">IF(OR(C1635="",L1635=""),"",IF(C1635=L1635,"同一","変更"))</f>
        <v/>
      </c>
      <c r="N1635" s="29"/>
      <c r="O1635" s="30"/>
      <c r="P1635" s="29"/>
      <c r="Q1635" s="31"/>
      <c r="R1635" s="29"/>
      <c r="S1635" s="29"/>
      <c r="T1635" s="30"/>
      <c r="U1635" s="47" t="str">
        <f aca="false">IF(AND(B1635&lt;&gt;"",B1635=SW別シート!$C$3),COUNTIF(B$5:B1635,B1635),"")</f>
        <v/>
      </c>
      <c r="V1635" s="47" t="n">
        <f aca="false">V1634+IF(OR(O1635&lt;&gt;"",W1635&lt;&gt;""),1,0)</f>
        <v>3</v>
      </c>
      <c r="W1635" s="29"/>
    </row>
    <row r="1636" customFormat="false" ht="15" hidden="false" customHeight="false" outlineLevel="0" collapsed="false">
      <c r="A1636" s="32" t="str">
        <f aca="false">IF(B1636="","",ROW()-7)</f>
        <v/>
      </c>
      <c r="B1636" s="30"/>
      <c r="C1636" s="29"/>
      <c r="D1636" s="29"/>
      <c r="E1636" s="29"/>
      <c r="F1636" s="30"/>
      <c r="G1636" s="29"/>
      <c r="H1636" s="30"/>
      <c r="I1636" s="29"/>
      <c r="J1636" s="30"/>
      <c r="K1636" s="30"/>
      <c r="L1636" s="29"/>
      <c r="M1636" s="32" t="str">
        <f aca="false">IF(OR(C1636="",L1636=""),"",IF(C1636=L1636,"同一","変更"))</f>
        <v/>
      </c>
      <c r="N1636" s="29"/>
      <c r="O1636" s="30"/>
      <c r="P1636" s="29"/>
      <c r="Q1636" s="31"/>
      <c r="R1636" s="29"/>
      <c r="S1636" s="29"/>
      <c r="T1636" s="30"/>
      <c r="U1636" s="47" t="str">
        <f aca="false">IF(AND(B1636&lt;&gt;"",B1636=SW別シート!$C$3),COUNTIF(B$5:B1636,B1636),"")</f>
        <v/>
      </c>
      <c r="V1636" s="47" t="n">
        <f aca="false">V1635+IF(OR(O1636&lt;&gt;"",W1636&lt;&gt;""),1,0)</f>
        <v>3</v>
      </c>
      <c r="W1636" s="29"/>
    </row>
    <row r="1637" customFormat="false" ht="15" hidden="false" customHeight="false" outlineLevel="0" collapsed="false">
      <c r="A1637" s="32" t="str">
        <f aca="false">IF(B1637="","",ROW()-7)</f>
        <v/>
      </c>
      <c r="B1637" s="30"/>
      <c r="C1637" s="29"/>
      <c r="D1637" s="29"/>
      <c r="E1637" s="29"/>
      <c r="F1637" s="30"/>
      <c r="G1637" s="29"/>
      <c r="H1637" s="30"/>
      <c r="I1637" s="29"/>
      <c r="J1637" s="30"/>
      <c r="K1637" s="30"/>
      <c r="L1637" s="29"/>
      <c r="M1637" s="32" t="str">
        <f aca="false">IF(OR(C1637="",L1637=""),"",IF(C1637=L1637,"同一","変更"))</f>
        <v/>
      </c>
      <c r="N1637" s="29"/>
      <c r="O1637" s="30"/>
      <c r="P1637" s="29"/>
      <c r="Q1637" s="31"/>
      <c r="R1637" s="29"/>
      <c r="S1637" s="29"/>
      <c r="T1637" s="30"/>
      <c r="U1637" s="47" t="str">
        <f aca="false">IF(AND(B1637&lt;&gt;"",B1637=SW別シート!$C$3),COUNTIF(B$5:B1637,B1637),"")</f>
        <v/>
      </c>
      <c r="V1637" s="47" t="n">
        <f aca="false">V1636+IF(OR(O1637&lt;&gt;"",W1637&lt;&gt;""),1,0)</f>
        <v>3</v>
      </c>
      <c r="W1637" s="29"/>
    </row>
    <row r="1638" customFormat="false" ht="15" hidden="false" customHeight="false" outlineLevel="0" collapsed="false">
      <c r="A1638" s="32" t="str">
        <f aca="false">IF(B1638="","",ROW()-7)</f>
        <v/>
      </c>
      <c r="B1638" s="30"/>
      <c r="C1638" s="29"/>
      <c r="D1638" s="29"/>
      <c r="E1638" s="29"/>
      <c r="F1638" s="30"/>
      <c r="G1638" s="29"/>
      <c r="H1638" s="30"/>
      <c r="I1638" s="29"/>
      <c r="J1638" s="30"/>
      <c r="K1638" s="30"/>
      <c r="L1638" s="29"/>
      <c r="M1638" s="32" t="str">
        <f aca="false">IF(OR(C1638="",L1638=""),"",IF(C1638=L1638,"同一","変更"))</f>
        <v/>
      </c>
      <c r="N1638" s="29"/>
      <c r="O1638" s="30"/>
      <c r="P1638" s="29"/>
      <c r="Q1638" s="31"/>
      <c r="R1638" s="29"/>
      <c r="S1638" s="29"/>
      <c r="T1638" s="30"/>
      <c r="U1638" s="47" t="str">
        <f aca="false">IF(AND(B1638&lt;&gt;"",B1638=SW別シート!$C$3),COUNTIF(B$5:B1638,B1638),"")</f>
        <v/>
      </c>
      <c r="V1638" s="47" t="n">
        <f aca="false">V1637+IF(OR(O1638&lt;&gt;"",W1638&lt;&gt;""),1,0)</f>
        <v>3</v>
      </c>
      <c r="W1638" s="29"/>
    </row>
    <row r="1639" customFormat="false" ht="15" hidden="false" customHeight="false" outlineLevel="0" collapsed="false">
      <c r="A1639" s="32" t="str">
        <f aca="false">IF(B1639="","",ROW()-7)</f>
        <v/>
      </c>
      <c r="B1639" s="30"/>
      <c r="C1639" s="29"/>
      <c r="D1639" s="29"/>
      <c r="E1639" s="29"/>
      <c r="F1639" s="30"/>
      <c r="G1639" s="29"/>
      <c r="H1639" s="30"/>
      <c r="I1639" s="29"/>
      <c r="J1639" s="30"/>
      <c r="K1639" s="30"/>
      <c r="L1639" s="29"/>
      <c r="M1639" s="32" t="str">
        <f aca="false">IF(OR(C1639="",L1639=""),"",IF(C1639=L1639,"同一","変更"))</f>
        <v/>
      </c>
      <c r="N1639" s="29"/>
      <c r="O1639" s="30"/>
      <c r="P1639" s="29"/>
      <c r="Q1639" s="31"/>
      <c r="R1639" s="29"/>
      <c r="S1639" s="29"/>
      <c r="T1639" s="30"/>
      <c r="U1639" s="47" t="str">
        <f aca="false">IF(AND(B1639&lt;&gt;"",B1639=SW別シート!$C$3),COUNTIF(B$5:B1639,B1639),"")</f>
        <v/>
      </c>
      <c r="V1639" s="47" t="n">
        <f aca="false">V1638+IF(OR(O1639&lt;&gt;"",W1639&lt;&gt;""),1,0)</f>
        <v>3</v>
      </c>
      <c r="W1639" s="29"/>
    </row>
    <row r="1640" customFormat="false" ht="15" hidden="false" customHeight="false" outlineLevel="0" collapsed="false">
      <c r="A1640" s="32" t="str">
        <f aca="false">IF(B1640="","",ROW()-7)</f>
        <v/>
      </c>
      <c r="B1640" s="30"/>
      <c r="C1640" s="29"/>
      <c r="D1640" s="29"/>
      <c r="E1640" s="29"/>
      <c r="F1640" s="30"/>
      <c r="G1640" s="29"/>
      <c r="H1640" s="30"/>
      <c r="I1640" s="29"/>
      <c r="J1640" s="30"/>
      <c r="K1640" s="30"/>
      <c r="L1640" s="29"/>
      <c r="M1640" s="32" t="str">
        <f aca="false">IF(OR(C1640="",L1640=""),"",IF(C1640=L1640,"同一","変更"))</f>
        <v/>
      </c>
      <c r="N1640" s="29"/>
      <c r="O1640" s="30"/>
      <c r="P1640" s="29"/>
      <c r="Q1640" s="31"/>
      <c r="R1640" s="29"/>
      <c r="S1640" s="29"/>
      <c r="T1640" s="30"/>
      <c r="U1640" s="47" t="str">
        <f aca="false">IF(AND(B1640&lt;&gt;"",B1640=SW別シート!$C$3),COUNTIF(B$5:B1640,B1640),"")</f>
        <v/>
      </c>
      <c r="V1640" s="47" t="n">
        <f aca="false">V1639+IF(OR(O1640&lt;&gt;"",W1640&lt;&gt;""),1,0)</f>
        <v>3</v>
      </c>
      <c r="W1640" s="29"/>
    </row>
    <row r="1641" customFormat="false" ht="15" hidden="false" customHeight="false" outlineLevel="0" collapsed="false">
      <c r="A1641" s="32" t="str">
        <f aca="false">IF(B1641="","",ROW()-7)</f>
        <v/>
      </c>
      <c r="B1641" s="30"/>
      <c r="C1641" s="29"/>
      <c r="D1641" s="29"/>
      <c r="E1641" s="29"/>
      <c r="F1641" s="30"/>
      <c r="G1641" s="29"/>
      <c r="H1641" s="30"/>
      <c r="I1641" s="29"/>
      <c r="J1641" s="30"/>
      <c r="K1641" s="30"/>
      <c r="L1641" s="29"/>
      <c r="M1641" s="32" t="str">
        <f aca="false">IF(OR(C1641="",L1641=""),"",IF(C1641=L1641,"同一","変更"))</f>
        <v/>
      </c>
      <c r="N1641" s="29"/>
      <c r="O1641" s="30"/>
      <c r="P1641" s="29"/>
      <c r="Q1641" s="31"/>
      <c r="R1641" s="29"/>
      <c r="S1641" s="29"/>
      <c r="T1641" s="30"/>
      <c r="U1641" s="47" t="str">
        <f aca="false">IF(AND(B1641&lt;&gt;"",B1641=SW別シート!$C$3),COUNTIF(B$5:B1641,B1641),"")</f>
        <v/>
      </c>
      <c r="V1641" s="47" t="n">
        <f aca="false">V1640+IF(OR(O1641&lt;&gt;"",W1641&lt;&gt;""),1,0)</f>
        <v>3</v>
      </c>
      <c r="W1641" s="29"/>
    </row>
    <row r="1642" customFormat="false" ht="15" hidden="false" customHeight="false" outlineLevel="0" collapsed="false">
      <c r="A1642" s="32" t="str">
        <f aca="false">IF(B1642="","",ROW()-7)</f>
        <v/>
      </c>
      <c r="B1642" s="30"/>
      <c r="C1642" s="29"/>
      <c r="D1642" s="29"/>
      <c r="E1642" s="29"/>
      <c r="F1642" s="30"/>
      <c r="G1642" s="29"/>
      <c r="H1642" s="30"/>
      <c r="I1642" s="29"/>
      <c r="J1642" s="30"/>
      <c r="K1642" s="30"/>
      <c r="L1642" s="29"/>
      <c r="M1642" s="32" t="str">
        <f aca="false">IF(OR(C1642="",L1642=""),"",IF(C1642=L1642,"同一","変更"))</f>
        <v/>
      </c>
      <c r="N1642" s="29"/>
      <c r="O1642" s="30"/>
      <c r="P1642" s="29"/>
      <c r="Q1642" s="31"/>
      <c r="R1642" s="29"/>
      <c r="S1642" s="29"/>
      <c r="T1642" s="30"/>
      <c r="U1642" s="47" t="str">
        <f aca="false">IF(AND(B1642&lt;&gt;"",B1642=SW別シート!$C$3),COUNTIF(B$5:B1642,B1642),"")</f>
        <v/>
      </c>
      <c r="V1642" s="47" t="n">
        <f aca="false">V1641+IF(OR(O1642&lt;&gt;"",W1642&lt;&gt;""),1,0)</f>
        <v>3</v>
      </c>
      <c r="W1642" s="29"/>
    </row>
    <row r="1643" customFormat="false" ht="15" hidden="false" customHeight="false" outlineLevel="0" collapsed="false">
      <c r="A1643" s="32" t="str">
        <f aca="false">IF(B1643="","",ROW()-7)</f>
        <v/>
      </c>
      <c r="B1643" s="30"/>
      <c r="C1643" s="29"/>
      <c r="D1643" s="29"/>
      <c r="E1643" s="29"/>
      <c r="F1643" s="30"/>
      <c r="G1643" s="29"/>
      <c r="H1643" s="30"/>
      <c r="I1643" s="29"/>
      <c r="J1643" s="30"/>
      <c r="K1643" s="30"/>
      <c r="L1643" s="29"/>
      <c r="M1643" s="32" t="str">
        <f aca="false">IF(OR(C1643="",L1643=""),"",IF(C1643=L1643,"同一","変更"))</f>
        <v/>
      </c>
      <c r="N1643" s="29"/>
      <c r="O1643" s="30"/>
      <c r="P1643" s="29"/>
      <c r="Q1643" s="31"/>
      <c r="R1643" s="29"/>
      <c r="S1643" s="29"/>
      <c r="T1643" s="30"/>
      <c r="U1643" s="47" t="str">
        <f aca="false">IF(AND(B1643&lt;&gt;"",B1643=SW別シート!$C$3),COUNTIF(B$5:B1643,B1643),"")</f>
        <v/>
      </c>
      <c r="V1643" s="47" t="n">
        <f aca="false">V1642+IF(OR(O1643&lt;&gt;"",W1643&lt;&gt;""),1,0)</f>
        <v>3</v>
      </c>
      <c r="W1643" s="29"/>
    </row>
    <row r="1644" customFormat="false" ht="15" hidden="false" customHeight="false" outlineLevel="0" collapsed="false">
      <c r="A1644" s="32" t="str">
        <f aca="false">IF(B1644="","",ROW()-7)</f>
        <v/>
      </c>
      <c r="B1644" s="30"/>
      <c r="C1644" s="29"/>
      <c r="D1644" s="29"/>
      <c r="E1644" s="29"/>
      <c r="F1644" s="30"/>
      <c r="G1644" s="29"/>
      <c r="H1644" s="30"/>
      <c r="I1644" s="29"/>
      <c r="J1644" s="30"/>
      <c r="K1644" s="30"/>
      <c r="L1644" s="29"/>
      <c r="M1644" s="32" t="str">
        <f aca="false">IF(OR(C1644="",L1644=""),"",IF(C1644=L1644,"同一","変更"))</f>
        <v/>
      </c>
      <c r="N1644" s="29"/>
      <c r="O1644" s="30"/>
      <c r="P1644" s="29"/>
      <c r="Q1644" s="31"/>
      <c r="R1644" s="29"/>
      <c r="S1644" s="29"/>
      <c r="T1644" s="30"/>
      <c r="U1644" s="47" t="str">
        <f aca="false">IF(AND(B1644&lt;&gt;"",B1644=SW別シート!$C$3),COUNTIF(B$5:B1644,B1644),"")</f>
        <v/>
      </c>
      <c r="V1644" s="47" t="n">
        <f aca="false">V1643+IF(OR(O1644&lt;&gt;"",W1644&lt;&gt;""),1,0)</f>
        <v>3</v>
      </c>
      <c r="W1644" s="29"/>
    </row>
    <row r="1645" customFormat="false" ht="15" hidden="false" customHeight="false" outlineLevel="0" collapsed="false">
      <c r="A1645" s="32" t="str">
        <f aca="false">IF(B1645="","",ROW()-7)</f>
        <v/>
      </c>
      <c r="B1645" s="30"/>
      <c r="C1645" s="29"/>
      <c r="D1645" s="29"/>
      <c r="E1645" s="29"/>
      <c r="F1645" s="30"/>
      <c r="G1645" s="29"/>
      <c r="H1645" s="30"/>
      <c r="I1645" s="29"/>
      <c r="J1645" s="30"/>
      <c r="K1645" s="30"/>
      <c r="L1645" s="29"/>
      <c r="M1645" s="32" t="str">
        <f aca="false">IF(OR(C1645="",L1645=""),"",IF(C1645=L1645,"同一","変更"))</f>
        <v/>
      </c>
      <c r="N1645" s="29"/>
      <c r="O1645" s="30"/>
      <c r="P1645" s="29"/>
      <c r="Q1645" s="31"/>
      <c r="R1645" s="29"/>
      <c r="S1645" s="29"/>
      <c r="T1645" s="30"/>
      <c r="U1645" s="47" t="str">
        <f aca="false">IF(AND(B1645&lt;&gt;"",B1645=SW別シート!$C$3),COUNTIF(B$5:B1645,B1645),"")</f>
        <v/>
      </c>
      <c r="V1645" s="47" t="n">
        <f aca="false">V1644+IF(OR(O1645&lt;&gt;"",W1645&lt;&gt;""),1,0)</f>
        <v>3</v>
      </c>
      <c r="W1645" s="29"/>
    </row>
    <row r="1646" customFormat="false" ht="15" hidden="false" customHeight="false" outlineLevel="0" collapsed="false">
      <c r="A1646" s="32" t="str">
        <f aca="false">IF(B1646="","",ROW()-7)</f>
        <v/>
      </c>
      <c r="B1646" s="30"/>
      <c r="C1646" s="29"/>
      <c r="D1646" s="29"/>
      <c r="E1646" s="29"/>
      <c r="F1646" s="30"/>
      <c r="G1646" s="29"/>
      <c r="H1646" s="30"/>
      <c r="I1646" s="29"/>
      <c r="J1646" s="30"/>
      <c r="K1646" s="30"/>
      <c r="L1646" s="29"/>
      <c r="M1646" s="32" t="str">
        <f aca="false">IF(OR(C1646="",L1646=""),"",IF(C1646=L1646,"同一","変更"))</f>
        <v/>
      </c>
      <c r="N1646" s="29"/>
      <c r="O1646" s="30"/>
      <c r="P1646" s="29"/>
      <c r="Q1646" s="31"/>
      <c r="R1646" s="29"/>
      <c r="S1646" s="29"/>
      <c r="T1646" s="30"/>
      <c r="U1646" s="47" t="str">
        <f aca="false">IF(AND(B1646&lt;&gt;"",B1646=SW別シート!$C$3),COUNTIF(B$5:B1646,B1646),"")</f>
        <v/>
      </c>
      <c r="V1646" s="47" t="n">
        <f aca="false">V1645+IF(OR(O1646&lt;&gt;"",W1646&lt;&gt;""),1,0)</f>
        <v>3</v>
      </c>
      <c r="W1646" s="29"/>
    </row>
    <row r="1647" customFormat="false" ht="15" hidden="false" customHeight="false" outlineLevel="0" collapsed="false">
      <c r="A1647" s="32" t="str">
        <f aca="false">IF(B1647="","",ROW()-7)</f>
        <v/>
      </c>
      <c r="B1647" s="30"/>
      <c r="C1647" s="29"/>
      <c r="D1647" s="29"/>
      <c r="E1647" s="29"/>
      <c r="F1647" s="30"/>
      <c r="G1647" s="29"/>
      <c r="H1647" s="30"/>
      <c r="I1647" s="29"/>
      <c r="J1647" s="30"/>
      <c r="K1647" s="30"/>
      <c r="L1647" s="29"/>
      <c r="M1647" s="32" t="str">
        <f aca="false">IF(OR(C1647="",L1647=""),"",IF(C1647=L1647,"同一","変更"))</f>
        <v/>
      </c>
      <c r="N1647" s="29"/>
      <c r="O1647" s="30"/>
      <c r="P1647" s="29"/>
      <c r="Q1647" s="31"/>
      <c r="R1647" s="29"/>
      <c r="S1647" s="29"/>
      <c r="T1647" s="30"/>
      <c r="U1647" s="47" t="str">
        <f aca="false">IF(AND(B1647&lt;&gt;"",B1647=SW別シート!$C$3),COUNTIF(B$5:B1647,B1647),"")</f>
        <v/>
      </c>
      <c r="V1647" s="47" t="n">
        <f aca="false">V1646+IF(OR(O1647&lt;&gt;"",W1647&lt;&gt;""),1,0)</f>
        <v>3</v>
      </c>
      <c r="W1647" s="29"/>
    </row>
    <row r="1648" customFormat="false" ht="15" hidden="false" customHeight="false" outlineLevel="0" collapsed="false">
      <c r="A1648" s="32" t="str">
        <f aca="false">IF(B1648="","",ROW()-7)</f>
        <v/>
      </c>
      <c r="B1648" s="30"/>
      <c r="C1648" s="29"/>
      <c r="D1648" s="29"/>
      <c r="E1648" s="29"/>
      <c r="F1648" s="30"/>
      <c r="G1648" s="29"/>
      <c r="H1648" s="30"/>
      <c r="I1648" s="29"/>
      <c r="J1648" s="30"/>
      <c r="K1648" s="30"/>
      <c r="L1648" s="29"/>
      <c r="M1648" s="32" t="str">
        <f aca="false">IF(OR(C1648="",L1648=""),"",IF(C1648=L1648,"同一","変更"))</f>
        <v/>
      </c>
      <c r="N1648" s="29"/>
      <c r="O1648" s="30"/>
      <c r="P1648" s="29"/>
      <c r="Q1648" s="31"/>
      <c r="R1648" s="29"/>
      <c r="S1648" s="29"/>
      <c r="T1648" s="30"/>
      <c r="U1648" s="47" t="str">
        <f aca="false">IF(AND(B1648&lt;&gt;"",B1648=SW別シート!$C$3),COUNTIF(B$5:B1648,B1648),"")</f>
        <v/>
      </c>
      <c r="V1648" s="47" t="n">
        <f aca="false">V1647+IF(OR(O1648&lt;&gt;"",W1648&lt;&gt;""),1,0)</f>
        <v>3</v>
      </c>
      <c r="W1648" s="29"/>
    </row>
    <row r="1649" customFormat="false" ht="15" hidden="false" customHeight="false" outlineLevel="0" collapsed="false">
      <c r="A1649" s="32" t="str">
        <f aca="false">IF(B1649="","",ROW()-7)</f>
        <v/>
      </c>
      <c r="B1649" s="30"/>
      <c r="C1649" s="29"/>
      <c r="D1649" s="29"/>
      <c r="E1649" s="29"/>
      <c r="F1649" s="30"/>
      <c r="G1649" s="29"/>
      <c r="H1649" s="30"/>
      <c r="I1649" s="29"/>
      <c r="J1649" s="30"/>
      <c r="K1649" s="30"/>
      <c r="L1649" s="29"/>
      <c r="M1649" s="32" t="str">
        <f aca="false">IF(OR(C1649="",L1649=""),"",IF(C1649=L1649,"同一","変更"))</f>
        <v/>
      </c>
      <c r="N1649" s="29"/>
      <c r="O1649" s="30"/>
      <c r="P1649" s="29"/>
      <c r="Q1649" s="31"/>
      <c r="R1649" s="29"/>
      <c r="S1649" s="29"/>
      <c r="T1649" s="30"/>
      <c r="U1649" s="47" t="str">
        <f aca="false">IF(AND(B1649&lt;&gt;"",B1649=SW別シート!$C$3),COUNTIF(B$5:B1649,B1649),"")</f>
        <v/>
      </c>
      <c r="V1649" s="47" t="n">
        <f aca="false">V1648+IF(OR(O1649&lt;&gt;"",W1649&lt;&gt;""),1,0)</f>
        <v>3</v>
      </c>
      <c r="W1649" s="29"/>
    </row>
    <row r="1650" customFormat="false" ht="15" hidden="false" customHeight="false" outlineLevel="0" collapsed="false">
      <c r="A1650" s="32" t="str">
        <f aca="false">IF(B1650="","",ROW()-7)</f>
        <v/>
      </c>
      <c r="B1650" s="30"/>
      <c r="C1650" s="29"/>
      <c r="D1650" s="29"/>
      <c r="E1650" s="29"/>
      <c r="F1650" s="30"/>
      <c r="G1650" s="29"/>
      <c r="H1650" s="30"/>
      <c r="I1650" s="29"/>
      <c r="J1650" s="30"/>
      <c r="K1650" s="30"/>
      <c r="L1650" s="29"/>
      <c r="M1650" s="32" t="str">
        <f aca="false">IF(OR(C1650="",L1650=""),"",IF(C1650=L1650,"同一","変更"))</f>
        <v/>
      </c>
      <c r="N1650" s="29"/>
      <c r="O1650" s="30"/>
      <c r="P1650" s="29"/>
      <c r="Q1650" s="31"/>
      <c r="R1650" s="29"/>
      <c r="S1650" s="29"/>
      <c r="T1650" s="30"/>
      <c r="U1650" s="47" t="str">
        <f aca="false">IF(AND(B1650&lt;&gt;"",B1650=SW別シート!$C$3),COUNTIF(B$5:B1650,B1650),"")</f>
        <v/>
      </c>
      <c r="V1650" s="47" t="n">
        <f aca="false">V1649+IF(OR(O1650&lt;&gt;"",W1650&lt;&gt;""),1,0)</f>
        <v>3</v>
      </c>
      <c r="W1650" s="29"/>
    </row>
    <row r="1651" customFormat="false" ht="15" hidden="false" customHeight="false" outlineLevel="0" collapsed="false">
      <c r="A1651" s="32" t="str">
        <f aca="false">IF(B1651="","",ROW()-7)</f>
        <v/>
      </c>
      <c r="B1651" s="30"/>
      <c r="C1651" s="29"/>
      <c r="D1651" s="29"/>
      <c r="E1651" s="29"/>
      <c r="F1651" s="30"/>
      <c r="G1651" s="29"/>
      <c r="H1651" s="30"/>
      <c r="I1651" s="29"/>
      <c r="J1651" s="30"/>
      <c r="K1651" s="30"/>
      <c r="L1651" s="29"/>
      <c r="M1651" s="32" t="str">
        <f aca="false">IF(OR(C1651="",L1651=""),"",IF(C1651=L1651,"同一","変更"))</f>
        <v/>
      </c>
      <c r="N1651" s="29"/>
      <c r="O1651" s="30"/>
      <c r="P1651" s="29"/>
      <c r="Q1651" s="31"/>
      <c r="R1651" s="29"/>
      <c r="S1651" s="29"/>
      <c r="T1651" s="30"/>
      <c r="U1651" s="47" t="str">
        <f aca="false">IF(AND(B1651&lt;&gt;"",B1651=SW別シート!$C$3),COUNTIF(B$5:B1651,B1651),"")</f>
        <v/>
      </c>
      <c r="V1651" s="47" t="n">
        <f aca="false">V1650+IF(OR(O1651&lt;&gt;"",W1651&lt;&gt;""),1,0)</f>
        <v>3</v>
      </c>
      <c r="W1651" s="29"/>
    </row>
    <row r="1652" customFormat="false" ht="15" hidden="false" customHeight="false" outlineLevel="0" collapsed="false">
      <c r="A1652" s="32" t="str">
        <f aca="false">IF(B1652="","",ROW()-7)</f>
        <v/>
      </c>
      <c r="B1652" s="30"/>
      <c r="C1652" s="29"/>
      <c r="D1652" s="29"/>
      <c r="E1652" s="29"/>
      <c r="F1652" s="30"/>
      <c r="G1652" s="29"/>
      <c r="H1652" s="30"/>
      <c r="I1652" s="29"/>
      <c r="J1652" s="30"/>
      <c r="K1652" s="30"/>
      <c r="L1652" s="29"/>
      <c r="M1652" s="32" t="str">
        <f aca="false">IF(OR(C1652="",L1652=""),"",IF(C1652=L1652,"同一","変更"))</f>
        <v/>
      </c>
      <c r="N1652" s="29"/>
      <c r="O1652" s="30"/>
      <c r="P1652" s="29"/>
      <c r="Q1652" s="31"/>
      <c r="R1652" s="29"/>
      <c r="S1652" s="29"/>
      <c r="T1652" s="30"/>
      <c r="U1652" s="47" t="str">
        <f aca="false">IF(AND(B1652&lt;&gt;"",B1652=SW別シート!$C$3),COUNTIF(B$5:B1652,B1652),"")</f>
        <v/>
      </c>
      <c r="V1652" s="47" t="n">
        <f aca="false">V1651+IF(OR(O1652&lt;&gt;"",W1652&lt;&gt;""),1,0)</f>
        <v>3</v>
      </c>
      <c r="W1652" s="29"/>
    </row>
    <row r="1653" customFormat="false" ht="15" hidden="false" customHeight="false" outlineLevel="0" collapsed="false">
      <c r="A1653" s="32" t="str">
        <f aca="false">IF(B1653="","",ROW()-7)</f>
        <v/>
      </c>
      <c r="B1653" s="30"/>
      <c r="C1653" s="29"/>
      <c r="D1653" s="29"/>
      <c r="E1653" s="29"/>
      <c r="F1653" s="30"/>
      <c r="G1653" s="29"/>
      <c r="H1653" s="30"/>
      <c r="I1653" s="29"/>
      <c r="J1653" s="30"/>
      <c r="K1653" s="30"/>
      <c r="L1653" s="29"/>
      <c r="M1653" s="32" t="str">
        <f aca="false">IF(OR(C1653="",L1653=""),"",IF(C1653=L1653,"同一","変更"))</f>
        <v/>
      </c>
      <c r="N1653" s="29"/>
      <c r="O1653" s="30"/>
      <c r="P1653" s="29"/>
      <c r="Q1653" s="31"/>
      <c r="R1653" s="29"/>
      <c r="S1653" s="29"/>
      <c r="T1653" s="30"/>
      <c r="U1653" s="47" t="str">
        <f aca="false">IF(AND(B1653&lt;&gt;"",B1653=SW別シート!$C$3),COUNTIF(B$5:B1653,B1653),"")</f>
        <v/>
      </c>
      <c r="V1653" s="47" t="n">
        <f aca="false">V1652+IF(OR(O1653&lt;&gt;"",W1653&lt;&gt;""),1,0)</f>
        <v>3</v>
      </c>
      <c r="W1653" s="29"/>
    </row>
    <row r="1654" customFormat="false" ht="15" hidden="false" customHeight="false" outlineLevel="0" collapsed="false">
      <c r="A1654" s="32" t="str">
        <f aca="false">IF(B1654="","",ROW()-7)</f>
        <v/>
      </c>
      <c r="B1654" s="30"/>
      <c r="C1654" s="29"/>
      <c r="D1654" s="29"/>
      <c r="E1654" s="29"/>
      <c r="F1654" s="30"/>
      <c r="G1654" s="29"/>
      <c r="H1654" s="30"/>
      <c r="I1654" s="29"/>
      <c r="J1654" s="30"/>
      <c r="K1654" s="30"/>
      <c r="L1654" s="29"/>
      <c r="M1654" s="32" t="str">
        <f aca="false">IF(OR(C1654="",L1654=""),"",IF(C1654=L1654,"同一","変更"))</f>
        <v/>
      </c>
      <c r="N1654" s="29"/>
      <c r="O1654" s="30"/>
      <c r="P1654" s="29"/>
      <c r="Q1654" s="31"/>
      <c r="R1654" s="29"/>
      <c r="S1654" s="29"/>
      <c r="T1654" s="30"/>
      <c r="U1654" s="47" t="str">
        <f aca="false">IF(AND(B1654&lt;&gt;"",B1654=SW別シート!$C$3),COUNTIF(B$5:B1654,B1654),"")</f>
        <v/>
      </c>
      <c r="V1654" s="47" t="n">
        <f aca="false">V1653+IF(OR(O1654&lt;&gt;"",W1654&lt;&gt;""),1,0)</f>
        <v>3</v>
      </c>
      <c r="W1654" s="29"/>
    </row>
    <row r="1655" customFormat="false" ht="15" hidden="false" customHeight="false" outlineLevel="0" collapsed="false">
      <c r="A1655" s="32" t="str">
        <f aca="false">IF(B1655="","",ROW()-7)</f>
        <v/>
      </c>
      <c r="B1655" s="30"/>
      <c r="C1655" s="29"/>
      <c r="D1655" s="29"/>
      <c r="E1655" s="29"/>
      <c r="F1655" s="30"/>
      <c r="G1655" s="29"/>
      <c r="H1655" s="30"/>
      <c r="I1655" s="29"/>
      <c r="J1655" s="30"/>
      <c r="K1655" s="30"/>
      <c r="L1655" s="29"/>
      <c r="M1655" s="32" t="str">
        <f aca="false">IF(OR(C1655="",L1655=""),"",IF(C1655=L1655,"同一","変更"))</f>
        <v/>
      </c>
      <c r="N1655" s="29"/>
      <c r="O1655" s="30"/>
      <c r="P1655" s="29"/>
      <c r="Q1655" s="31"/>
      <c r="R1655" s="29"/>
      <c r="S1655" s="29"/>
      <c r="T1655" s="30"/>
      <c r="U1655" s="47" t="str">
        <f aca="false">IF(AND(B1655&lt;&gt;"",B1655=SW別シート!$C$3),COUNTIF(B$5:B1655,B1655),"")</f>
        <v/>
      </c>
      <c r="V1655" s="47" t="n">
        <f aca="false">V1654+IF(OR(O1655&lt;&gt;"",W1655&lt;&gt;""),1,0)</f>
        <v>3</v>
      </c>
      <c r="W1655" s="29"/>
    </row>
    <row r="1656" customFormat="false" ht="15" hidden="false" customHeight="false" outlineLevel="0" collapsed="false">
      <c r="A1656" s="32" t="str">
        <f aca="false">IF(B1656="","",ROW()-7)</f>
        <v/>
      </c>
      <c r="B1656" s="30"/>
      <c r="C1656" s="29"/>
      <c r="D1656" s="29"/>
      <c r="E1656" s="29"/>
      <c r="F1656" s="30"/>
      <c r="G1656" s="29"/>
      <c r="H1656" s="30"/>
      <c r="I1656" s="29"/>
      <c r="J1656" s="30"/>
      <c r="K1656" s="30"/>
      <c r="L1656" s="29"/>
      <c r="M1656" s="32" t="str">
        <f aca="false">IF(OR(C1656="",L1656=""),"",IF(C1656=L1656,"同一","変更"))</f>
        <v/>
      </c>
      <c r="N1656" s="29"/>
      <c r="O1656" s="30"/>
      <c r="P1656" s="29"/>
      <c r="Q1656" s="31"/>
      <c r="R1656" s="29"/>
      <c r="S1656" s="29"/>
      <c r="T1656" s="30"/>
      <c r="U1656" s="47" t="str">
        <f aca="false">IF(AND(B1656&lt;&gt;"",B1656=SW別シート!$C$3),COUNTIF(B$5:B1656,B1656),"")</f>
        <v/>
      </c>
      <c r="V1656" s="47" t="n">
        <f aca="false">V1655+IF(OR(O1656&lt;&gt;"",W1656&lt;&gt;""),1,0)</f>
        <v>3</v>
      </c>
      <c r="W1656" s="29"/>
    </row>
    <row r="1657" customFormat="false" ht="15" hidden="false" customHeight="false" outlineLevel="0" collapsed="false">
      <c r="A1657" s="32" t="str">
        <f aca="false">IF(B1657="","",ROW()-7)</f>
        <v/>
      </c>
      <c r="B1657" s="30"/>
      <c r="C1657" s="29"/>
      <c r="D1657" s="29"/>
      <c r="E1657" s="29"/>
      <c r="F1657" s="30"/>
      <c r="G1657" s="29"/>
      <c r="H1657" s="30"/>
      <c r="I1657" s="29"/>
      <c r="J1657" s="30"/>
      <c r="K1657" s="30"/>
      <c r="L1657" s="29"/>
      <c r="M1657" s="32" t="str">
        <f aca="false">IF(OR(C1657="",L1657=""),"",IF(C1657=L1657,"同一","変更"))</f>
        <v/>
      </c>
      <c r="N1657" s="29"/>
      <c r="O1657" s="30"/>
      <c r="P1657" s="29"/>
      <c r="Q1657" s="31"/>
      <c r="R1657" s="29"/>
      <c r="S1657" s="29"/>
      <c r="T1657" s="30"/>
      <c r="U1657" s="47" t="str">
        <f aca="false">IF(AND(B1657&lt;&gt;"",B1657=SW別シート!$C$3),COUNTIF(B$5:B1657,B1657),"")</f>
        <v/>
      </c>
      <c r="V1657" s="47" t="n">
        <f aca="false">V1656+IF(OR(O1657&lt;&gt;"",W1657&lt;&gt;""),1,0)</f>
        <v>3</v>
      </c>
      <c r="W1657" s="29"/>
    </row>
    <row r="1658" customFormat="false" ht="15" hidden="false" customHeight="false" outlineLevel="0" collapsed="false">
      <c r="A1658" s="32" t="str">
        <f aca="false">IF(B1658="","",ROW()-7)</f>
        <v/>
      </c>
      <c r="B1658" s="30"/>
      <c r="C1658" s="29"/>
      <c r="D1658" s="29"/>
      <c r="E1658" s="29"/>
      <c r="F1658" s="30"/>
      <c r="G1658" s="29"/>
      <c r="H1658" s="30"/>
      <c r="I1658" s="29"/>
      <c r="J1658" s="30"/>
      <c r="K1658" s="30"/>
      <c r="L1658" s="29"/>
      <c r="M1658" s="32" t="str">
        <f aca="false">IF(OR(C1658="",L1658=""),"",IF(C1658=L1658,"同一","変更"))</f>
        <v/>
      </c>
      <c r="N1658" s="29"/>
      <c r="O1658" s="30"/>
      <c r="P1658" s="29"/>
      <c r="Q1658" s="31"/>
      <c r="R1658" s="29"/>
      <c r="S1658" s="29"/>
      <c r="T1658" s="30"/>
      <c r="U1658" s="47" t="str">
        <f aca="false">IF(AND(B1658&lt;&gt;"",B1658=SW別シート!$C$3),COUNTIF(B$5:B1658,B1658),"")</f>
        <v/>
      </c>
      <c r="V1658" s="47" t="n">
        <f aca="false">V1657+IF(OR(O1658&lt;&gt;"",W1658&lt;&gt;""),1,0)</f>
        <v>3</v>
      </c>
      <c r="W1658" s="29"/>
    </row>
    <row r="1659" customFormat="false" ht="15" hidden="false" customHeight="false" outlineLevel="0" collapsed="false">
      <c r="A1659" s="32" t="str">
        <f aca="false">IF(B1659="","",ROW()-7)</f>
        <v/>
      </c>
      <c r="B1659" s="30"/>
      <c r="C1659" s="29"/>
      <c r="D1659" s="29"/>
      <c r="E1659" s="29"/>
      <c r="F1659" s="30"/>
      <c r="G1659" s="29"/>
      <c r="H1659" s="30"/>
      <c r="I1659" s="29"/>
      <c r="J1659" s="30"/>
      <c r="K1659" s="30"/>
      <c r="L1659" s="29"/>
      <c r="M1659" s="32" t="str">
        <f aca="false">IF(OR(C1659="",L1659=""),"",IF(C1659=L1659,"同一","変更"))</f>
        <v/>
      </c>
      <c r="N1659" s="29"/>
      <c r="O1659" s="30"/>
      <c r="P1659" s="29"/>
      <c r="Q1659" s="31"/>
      <c r="R1659" s="29"/>
      <c r="S1659" s="29"/>
      <c r="T1659" s="30"/>
      <c r="U1659" s="47" t="str">
        <f aca="false">IF(AND(B1659&lt;&gt;"",B1659=SW別シート!$C$3),COUNTIF(B$5:B1659,B1659),"")</f>
        <v/>
      </c>
      <c r="V1659" s="47" t="n">
        <f aca="false">V1658+IF(OR(O1659&lt;&gt;"",W1659&lt;&gt;""),1,0)</f>
        <v>3</v>
      </c>
      <c r="W1659" s="29"/>
    </row>
    <row r="1660" customFormat="false" ht="15" hidden="false" customHeight="false" outlineLevel="0" collapsed="false">
      <c r="A1660" s="32" t="str">
        <f aca="false">IF(B1660="","",ROW()-7)</f>
        <v/>
      </c>
      <c r="B1660" s="30"/>
      <c r="C1660" s="29"/>
      <c r="D1660" s="29"/>
      <c r="E1660" s="29"/>
      <c r="F1660" s="30"/>
      <c r="G1660" s="29"/>
      <c r="H1660" s="30"/>
      <c r="I1660" s="29"/>
      <c r="J1660" s="30"/>
      <c r="K1660" s="30"/>
      <c r="L1660" s="29"/>
      <c r="M1660" s="32" t="str">
        <f aca="false">IF(OR(C1660="",L1660=""),"",IF(C1660=L1660,"同一","変更"))</f>
        <v/>
      </c>
      <c r="N1660" s="29"/>
      <c r="O1660" s="30"/>
      <c r="P1660" s="29"/>
      <c r="Q1660" s="31"/>
      <c r="R1660" s="29"/>
      <c r="S1660" s="29"/>
      <c r="T1660" s="30"/>
      <c r="U1660" s="47" t="str">
        <f aca="false">IF(AND(B1660&lt;&gt;"",B1660=SW別シート!$C$3),COUNTIF(B$5:B1660,B1660),"")</f>
        <v/>
      </c>
      <c r="V1660" s="47" t="n">
        <f aca="false">V1659+IF(OR(O1660&lt;&gt;"",W1660&lt;&gt;""),1,0)</f>
        <v>3</v>
      </c>
      <c r="W1660" s="29"/>
    </row>
    <row r="1661" customFormat="false" ht="15" hidden="false" customHeight="false" outlineLevel="0" collapsed="false">
      <c r="A1661" s="32" t="str">
        <f aca="false">IF(B1661="","",ROW()-7)</f>
        <v/>
      </c>
      <c r="B1661" s="30"/>
      <c r="C1661" s="29"/>
      <c r="D1661" s="29"/>
      <c r="E1661" s="29"/>
      <c r="F1661" s="30"/>
      <c r="G1661" s="29"/>
      <c r="H1661" s="30"/>
      <c r="I1661" s="29"/>
      <c r="J1661" s="30"/>
      <c r="K1661" s="30"/>
      <c r="L1661" s="29"/>
      <c r="M1661" s="32" t="str">
        <f aca="false">IF(OR(C1661="",L1661=""),"",IF(C1661=L1661,"同一","変更"))</f>
        <v/>
      </c>
      <c r="N1661" s="29"/>
      <c r="O1661" s="30"/>
      <c r="P1661" s="29"/>
      <c r="Q1661" s="31"/>
      <c r="R1661" s="29"/>
      <c r="S1661" s="29"/>
      <c r="T1661" s="30"/>
      <c r="U1661" s="47" t="str">
        <f aca="false">IF(AND(B1661&lt;&gt;"",B1661=SW別シート!$C$3),COUNTIF(B$5:B1661,B1661),"")</f>
        <v/>
      </c>
      <c r="V1661" s="47" t="n">
        <f aca="false">V1660+IF(OR(O1661&lt;&gt;"",W1661&lt;&gt;""),1,0)</f>
        <v>3</v>
      </c>
      <c r="W1661" s="29"/>
    </row>
    <row r="1662" customFormat="false" ht="15" hidden="false" customHeight="false" outlineLevel="0" collapsed="false">
      <c r="A1662" s="32" t="str">
        <f aca="false">IF(B1662="","",ROW()-7)</f>
        <v/>
      </c>
      <c r="B1662" s="30"/>
      <c r="C1662" s="29"/>
      <c r="D1662" s="29"/>
      <c r="E1662" s="29"/>
      <c r="F1662" s="30"/>
      <c r="G1662" s="29"/>
      <c r="H1662" s="30"/>
      <c r="I1662" s="29"/>
      <c r="J1662" s="30"/>
      <c r="K1662" s="30"/>
      <c r="L1662" s="29"/>
      <c r="M1662" s="32" t="str">
        <f aca="false">IF(OR(C1662="",L1662=""),"",IF(C1662=L1662,"同一","変更"))</f>
        <v/>
      </c>
      <c r="N1662" s="29"/>
      <c r="O1662" s="30"/>
      <c r="P1662" s="29"/>
      <c r="Q1662" s="31"/>
      <c r="R1662" s="29"/>
      <c r="S1662" s="29"/>
      <c r="T1662" s="30"/>
      <c r="U1662" s="47" t="str">
        <f aca="false">IF(AND(B1662&lt;&gt;"",B1662=SW別シート!$C$3),COUNTIF(B$5:B1662,B1662),"")</f>
        <v/>
      </c>
      <c r="V1662" s="47" t="n">
        <f aca="false">V1661+IF(OR(O1662&lt;&gt;"",W1662&lt;&gt;""),1,0)</f>
        <v>3</v>
      </c>
      <c r="W1662" s="29"/>
    </row>
    <row r="1663" customFormat="false" ht="15" hidden="false" customHeight="false" outlineLevel="0" collapsed="false">
      <c r="A1663" s="32" t="str">
        <f aca="false">IF(B1663="","",ROW()-7)</f>
        <v/>
      </c>
      <c r="B1663" s="30"/>
      <c r="C1663" s="29"/>
      <c r="D1663" s="29"/>
      <c r="E1663" s="29"/>
      <c r="F1663" s="30"/>
      <c r="G1663" s="29"/>
      <c r="H1663" s="30"/>
      <c r="I1663" s="29"/>
      <c r="J1663" s="30"/>
      <c r="K1663" s="30"/>
      <c r="L1663" s="29"/>
      <c r="M1663" s="32" t="str">
        <f aca="false">IF(OR(C1663="",L1663=""),"",IF(C1663=L1663,"同一","変更"))</f>
        <v/>
      </c>
      <c r="N1663" s="29"/>
      <c r="O1663" s="30"/>
      <c r="P1663" s="29"/>
      <c r="Q1663" s="31"/>
      <c r="R1663" s="29"/>
      <c r="S1663" s="29"/>
      <c r="T1663" s="30"/>
      <c r="U1663" s="47" t="str">
        <f aca="false">IF(AND(B1663&lt;&gt;"",B1663=SW別シート!$C$3),COUNTIF(B$5:B1663,B1663),"")</f>
        <v/>
      </c>
      <c r="V1663" s="47" t="n">
        <f aca="false">V1662+IF(OR(O1663&lt;&gt;"",W1663&lt;&gt;""),1,0)</f>
        <v>3</v>
      </c>
      <c r="W1663" s="29"/>
    </row>
    <row r="1664" customFormat="false" ht="15" hidden="false" customHeight="false" outlineLevel="0" collapsed="false">
      <c r="A1664" s="32" t="str">
        <f aca="false">IF(B1664="","",ROW()-7)</f>
        <v/>
      </c>
      <c r="B1664" s="30"/>
      <c r="C1664" s="29"/>
      <c r="D1664" s="29"/>
      <c r="E1664" s="29"/>
      <c r="F1664" s="30"/>
      <c r="G1664" s="29"/>
      <c r="H1664" s="30"/>
      <c r="I1664" s="29"/>
      <c r="J1664" s="30"/>
      <c r="K1664" s="30"/>
      <c r="L1664" s="29"/>
      <c r="M1664" s="32" t="str">
        <f aca="false">IF(OR(C1664="",L1664=""),"",IF(C1664=L1664,"同一","変更"))</f>
        <v/>
      </c>
      <c r="N1664" s="29"/>
      <c r="O1664" s="30"/>
      <c r="P1664" s="29"/>
      <c r="Q1664" s="31"/>
      <c r="R1664" s="29"/>
      <c r="S1664" s="29"/>
      <c r="T1664" s="30"/>
      <c r="U1664" s="47" t="str">
        <f aca="false">IF(AND(B1664&lt;&gt;"",B1664=SW別シート!$C$3),COUNTIF(B$5:B1664,B1664),"")</f>
        <v/>
      </c>
      <c r="V1664" s="47" t="n">
        <f aca="false">V1663+IF(OR(O1664&lt;&gt;"",W1664&lt;&gt;""),1,0)</f>
        <v>3</v>
      </c>
      <c r="W1664" s="29"/>
    </row>
    <row r="1665" customFormat="false" ht="15" hidden="false" customHeight="false" outlineLevel="0" collapsed="false">
      <c r="A1665" s="32" t="str">
        <f aca="false">IF(B1665="","",ROW()-7)</f>
        <v/>
      </c>
      <c r="B1665" s="30"/>
      <c r="C1665" s="29"/>
      <c r="D1665" s="29"/>
      <c r="E1665" s="29"/>
      <c r="F1665" s="30"/>
      <c r="G1665" s="29"/>
      <c r="H1665" s="30"/>
      <c r="I1665" s="29"/>
      <c r="J1665" s="30"/>
      <c r="K1665" s="30"/>
      <c r="L1665" s="29"/>
      <c r="M1665" s="32" t="str">
        <f aca="false">IF(OR(C1665="",L1665=""),"",IF(C1665=L1665,"同一","変更"))</f>
        <v/>
      </c>
      <c r="N1665" s="29"/>
      <c r="O1665" s="30"/>
      <c r="P1665" s="29"/>
      <c r="Q1665" s="31"/>
      <c r="R1665" s="29"/>
      <c r="S1665" s="29"/>
      <c r="T1665" s="30"/>
      <c r="U1665" s="47" t="str">
        <f aca="false">IF(AND(B1665&lt;&gt;"",B1665=SW別シート!$C$3),COUNTIF(B$5:B1665,B1665),"")</f>
        <v/>
      </c>
      <c r="V1665" s="47" t="n">
        <f aca="false">V1664+IF(OR(O1665&lt;&gt;"",W1665&lt;&gt;""),1,0)</f>
        <v>3</v>
      </c>
      <c r="W1665" s="29"/>
    </row>
    <row r="1666" customFormat="false" ht="15" hidden="false" customHeight="false" outlineLevel="0" collapsed="false">
      <c r="A1666" s="32" t="str">
        <f aca="false">IF(B1666="","",ROW()-7)</f>
        <v/>
      </c>
      <c r="B1666" s="30"/>
      <c r="C1666" s="29"/>
      <c r="D1666" s="29"/>
      <c r="E1666" s="29"/>
      <c r="F1666" s="30"/>
      <c r="G1666" s="29"/>
      <c r="H1666" s="30"/>
      <c r="I1666" s="29"/>
      <c r="J1666" s="30"/>
      <c r="K1666" s="30"/>
      <c r="L1666" s="29"/>
      <c r="M1666" s="32" t="str">
        <f aca="false">IF(OR(C1666="",L1666=""),"",IF(C1666=L1666,"同一","変更"))</f>
        <v/>
      </c>
      <c r="N1666" s="29"/>
      <c r="O1666" s="30"/>
      <c r="P1666" s="29"/>
      <c r="Q1666" s="31"/>
      <c r="R1666" s="29"/>
      <c r="S1666" s="29"/>
      <c r="T1666" s="30"/>
      <c r="U1666" s="47" t="str">
        <f aca="false">IF(AND(B1666&lt;&gt;"",B1666=SW別シート!$C$3),COUNTIF(B$5:B1666,B1666),"")</f>
        <v/>
      </c>
      <c r="V1666" s="47" t="n">
        <f aca="false">V1665+IF(OR(O1666&lt;&gt;"",W1666&lt;&gt;""),1,0)</f>
        <v>3</v>
      </c>
      <c r="W1666" s="29"/>
    </row>
    <row r="1667" customFormat="false" ht="15" hidden="false" customHeight="false" outlineLevel="0" collapsed="false">
      <c r="A1667" s="32" t="str">
        <f aca="false">IF(B1667="","",ROW()-7)</f>
        <v/>
      </c>
      <c r="B1667" s="30"/>
      <c r="C1667" s="29"/>
      <c r="D1667" s="29"/>
      <c r="E1667" s="29"/>
      <c r="F1667" s="30"/>
      <c r="G1667" s="29"/>
      <c r="H1667" s="30"/>
      <c r="I1667" s="29"/>
      <c r="J1667" s="30"/>
      <c r="K1667" s="30"/>
      <c r="L1667" s="29"/>
      <c r="M1667" s="32" t="str">
        <f aca="false">IF(OR(C1667="",L1667=""),"",IF(C1667=L1667,"同一","変更"))</f>
        <v/>
      </c>
      <c r="N1667" s="29"/>
      <c r="O1667" s="30"/>
      <c r="P1667" s="29"/>
      <c r="Q1667" s="31"/>
      <c r="R1667" s="29"/>
      <c r="S1667" s="29"/>
      <c r="T1667" s="30"/>
      <c r="U1667" s="47" t="str">
        <f aca="false">IF(AND(B1667&lt;&gt;"",B1667=SW別シート!$C$3),COUNTIF(B$5:B1667,B1667),"")</f>
        <v/>
      </c>
      <c r="V1667" s="47" t="n">
        <f aca="false">V1666+IF(OR(O1667&lt;&gt;"",W1667&lt;&gt;""),1,0)</f>
        <v>3</v>
      </c>
      <c r="W1667" s="29"/>
    </row>
    <row r="1668" customFormat="false" ht="15" hidden="false" customHeight="false" outlineLevel="0" collapsed="false">
      <c r="A1668" s="32" t="str">
        <f aca="false">IF(B1668="","",ROW()-7)</f>
        <v/>
      </c>
      <c r="B1668" s="30"/>
      <c r="C1668" s="29"/>
      <c r="D1668" s="29"/>
      <c r="E1668" s="29"/>
      <c r="F1668" s="30"/>
      <c r="G1668" s="29"/>
      <c r="H1668" s="30"/>
      <c r="I1668" s="29"/>
      <c r="J1668" s="30"/>
      <c r="K1668" s="30"/>
      <c r="L1668" s="29"/>
      <c r="M1668" s="32" t="str">
        <f aca="false">IF(OR(C1668="",L1668=""),"",IF(C1668=L1668,"同一","変更"))</f>
        <v/>
      </c>
      <c r="N1668" s="29"/>
      <c r="O1668" s="30"/>
      <c r="P1668" s="29"/>
      <c r="Q1668" s="31"/>
      <c r="R1668" s="29"/>
      <c r="S1668" s="29"/>
      <c r="T1668" s="30"/>
      <c r="U1668" s="47" t="str">
        <f aca="false">IF(AND(B1668&lt;&gt;"",B1668=SW別シート!$C$3),COUNTIF(B$5:B1668,B1668),"")</f>
        <v/>
      </c>
      <c r="V1668" s="47" t="n">
        <f aca="false">V1667+IF(OR(O1668&lt;&gt;"",W1668&lt;&gt;""),1,0)</f>
        <v>3</v>
      </c>
      <c r="W1668" s="29"/>
    </row>
    <row r="1669" customFormat="false" ht="15" hidden="false" customHeight="false" outlineLevel="0" collapsed="false">
      <c r="A1669" s="32" t="str">
        <f aca="false">IF(B1669="","",ROW()-7)</f>
        <v/>
      </c>
      <c r="B1669" s="30"/>
      <c r="C1669" s="29"/>
      <c r="D1669" s="29"/>
      <c r="E1669" s="29"/>
      <c r="F1669" s="30"/>
      <c r="G1669" s="29"/>
      <c r="H1669" s="30"/>
      <c r="I1669" s="29"/>
      <c r="J1669" s="30"/>
      <c r="K1669" s="30"/>
      <c r="L1669" s="29"/>
      <c r="M1669" s="32" t="str">
        <f aca="false">IF(OR(C1669="",L1669=""),"",IF(C1669=L1669,"同一","変更"))</f>
        <v/>
      </c>
      <c r="N1669" s="29"/>
      <c r="O1669" s="30"/>
      <c r="P1669" s="29"/>
      <c r="Q1669" s="31"/>
      <c r="R1669" s="29"/>
      <c r="S1669" s="29"/>
      <c r="T1669" s="30"/>
      <c r="U1669" s="47" t="str">
        <f aca="false">IF(AND(B1669&lt;&gt;"",B1669=SW別シート!$C$3),COUNTIF(B$5:B1669,B1669),"")</f>
        <v/>
      </c>
      <c r="V1669" s="47" t="n">
        <f aca="false">V1668+IF(OR(O1669&lt;&gt;"",W1669&lt;&gt;""),1,0)</f>
        <v>3</v>
      </c>
      <c r="W1669" s="29"/>
    </row>
    <row r="1670" customFormat="false" ht="15" hidden="false" customHeight="false" outlineLevel="0" collapsed="false">
      <c r="A1670" s="32" t="str">
        <f aca="false">IF(B1670="","",ROW()-7)</f>
        <v/>
      </c>
      <c r="B1670" s="30"/>
      <c r="C1670" s="29"/>
      <c r="D1670" s="29"/>
      <c r="E1670" s="29"/>
      <c r="F1670" s="30"/>
      <c r="G1670" s="29"/>
      <c r="H1670" s="30"/>
      <c r="I1670" s="29"/>
      <c r="J1670" s="30"/>
      <c r="K1670" s="30"/>
      <c r="L1670" s="29"/>
      <c r="M1670" s="32" t="str">
        <f aca="false">IF(OR(C1670="",L1670=""),"",IF(C1670=L1670,"同一","変更"))</f>
        <v/>
      </c>
      <c r="N1670" s="29"/>
      <c r="O1670" s="30"/>
      <c r="P1670" s="29"/>
      <c r="Q1670" s="31"/>
      <c r="R1670" s="29"/>
      <c r="S1670" s="29"/>
      <c r="T1670" s="30"/>
      <c r="U1670" s="47" t="str">
        <f aca="false">IF(AND(B1670&lt;&gt;"",B1670=SW別シート!$C$3),COUNTIF(B$5:B1670,B1670),"")</f>
        <v/>
      </c>
      <c r="V1670" s="47" t="n">
        <f aca="false">V1669+IF(OR(O1670&lt;&gt;"",W1670&lt;&gt;""),1,0)</f>
        <v>3</v>
      </c>
      <c r="W1670" s="29"/>
    </row>
    <row r="1671" customFormat="false" ht="15" hidden="false" customHeight="false" outlineLevel="0" collapsed="false">
      <c r="A1671" s="32" t="str">
        <f aca="false">IF(B1671="","",ROW()-7)</f>
        <v/>
      </c>
      <c r="B1671" s="30"/>
      <c r="C1671" s="29"/>
      <c r="D1671" s="29"/>
      <c r="E1671" s="29"/>
      <c r="F1671" s="30"/>
      <c r="G1671" s="29"/>
      <c r="H1671" s="30"/>
      <c r="I1671" s="29"/>
      <c r="J1671" s="30"/>
      <c r="K1671" s="30"/>
      <c r="L1671" s="29"/>
      <c r="M1671" s="32" t="str">
        <f aca="false">IF(OR(C1671="",L1671=""),"",IF(C1671=L1671,"同一","変更"))</f>
        <v/>
      </c>
      <c r="N1671" s="29"/>
      <c r="O1671" s="30"/>
      <c r="P1671" s="29"/>
      <c r="Q1671" s="31"/>
      <c r="R1671" s="29"/>
      <c r="S1671" s="29"/>
      <c r="T1671" s="30"/>
      <c r="U1671" s="47" t="str">
        <f aca="false">IF(AND(B1671&lt;&gt;"",B1671=SW別シート!$C$3),COUNTIF(B$5:B1671,B1671),"")</f>
        <v/>
      </c>
      <c r="V1671" s="47" t="n">
        <f aca="false">V1670+IF(OR(O1671&lt;&gt;"",W1671&lt;&gt;""),1,0)</f>
        <v>3</v>
      </c>
      <c r="W1671" s="29"/>
    </row>
    <row r="1672" customFormat="false" ht="15" hidden="false" customHeight="false" outlineLevel="0" collapsed="false">
      <c r="A1672" s="32" t="str">
        <f aca="false">IF(B1672="","",ROW()-7)</f>
        <v/>
      </c>
      <c r="B1672" s="30"/>
      <c r="C1672" s="29"/>
      <c r="D1672" s="29"/>
      <c r="E1672" s="29"/>
      <c r="F1672" s="30"/>
      <c r="G1672" s="29"/>
      <c r="H1672" s="30"/>
      <c r="I1672" s="29"/>
      <c r="J1672" s="30"/>
      <c r="K1672" s="30"/>
      <c r="L1672" s="29"/>
      <c r="M1672" s="32" t="str">
        <f aca="false">IF(OR(C1672="",L1672=""),"",IF(C1672=L1672,"同一","変更"))</f>
        <v/>
      </c>
      <c r="N1672" s="29"/>
      <c r="O1672" s="30"/>
      <c r="P1672" s="29"/>
      <c r="Q1672" s="31"/>
      <c r="R1672" s="29"/>
      <c r="S1672" s="29"/>
      <c r="T1672" s="30"/>
      <c r="U1672" s="47" t="str">
        <f aca="false">IF(AND(B1672&lt;&gt;"",B1672=SW別シート!$C$3),COUNTIF(B$5:B1672,B1672),"")</f>
        <v/>
      </c>
      <c r="V1672" s="47" t="n">
        <f aca="false">V1671+IF(OR(O1672&lt;&gt;"",W1672&lt;&gt;""),1,0)</f>
        <v>3</v>
      </c>
      <c r="W1672" s="29"/>
    </row>
    <row r="1673" customFormat="false" ht="15" hidden="false" customHeight="false" outlineLevel="0" collapsed="false">
      <c r="A1673" s="32" t="str">
        <f aca="false">IF(B1673="","",ROW()-7)</f>
        <v/>
      </c>
      <c r="B1673" s="30"/>
      <c r="C1673" s="29"/>
      <c r="D1673" s="29"/>
      <c r="E1673" s="29"/>
      <c r="F1673" s="30"/>
      <c r="G1673" s="29"/>
      <c r="H1673" s="30"/>
      <c r="I1673" s="29"/>
      <c r="J1673" s="30"/>
      <c r="K1673" s="30"/>
      <c r="L1673" s="29"/>
      <c r="M1673" s="32" t="str">
        <f aca="false">IF(OR(C1673="",L1673=""),"",IF(C1673=L1673,"同一","変更"))</f>
        <v/>
      </c>
      <c r="N1673" s="29"/>
      <c r="O1673" s="30"/>
      <c r="P1673" s="29"/>
      <c r="Q1673" s="31"/>
      <c r="R1673" s="29"/>
      <c r="S1673" s="29"/>
      <c r="T1673" s="30"/>
      <c r="U1673" s="47" t="str">
        <f aca="false">IF(AND(B1673&lt;&gt;"",B1673=SW別シート!$C$3),COUNTIF(B$5:B1673,B1673),"")</f>
        <v/>
      </c>
      <c r="V1673" s="47" t="n">
        <f aca="false">V1672+IF(OR(O1673&lt;&gt;"",W1673&lt;&gt;""),1,0)</f>
        <v>3</v>
      </c>
      <c r="W1673" s="29"/>
    </row>
    <row r="1674" customFormat="false" ht="15" hidden="false" customHeight="false" outlineLevel="0" collapsed="false">
      <c r="A1674" s="32" t="str">
        <f aca="false">IF(B1674="","",ROW()-7)</f>
        <v/>
      </c>
      <c r="B1674" s="30"/>
      <c r="C1674" s="29"/>
      <c r="D1674" s="29"/>
      <c r="E1674" s="29"/>
      <c r="F1674" s="30"/>
      <c r="G1674" s="29"/>
      <c r="H1674" s="30"/>
      <c r="I1674" s="29"/>
      <c r="J1674" s="30"/>
      <c r="K1674" s="30"/>
      <c r="L1674" s="29"/>
      <c r="M1674" s="32" t="str">
        <f aca="false">IF(OR(C1674="",L1674=""),"",IF(C1674=L1674,"同一","変更"))</f>
        <v/>
      </c>
      <c r="N1674" s="29"/>
      <c r="O1674" s="30"/>
      <c r="P1674" s="29"/>
      <c r="Q1674" s="31"/>
      <c r="R1674" s="29"/>
      <c r="S1674" s="29"/>
      <c r="T1674" s="30"/>
      <c r="U1674" s="47" t="str">
        <f aca="false">IF(AND(B1674&lt;&gt;"",B1674=SW別シート!$C$3),COUNTIF(B$5:B1674,B1674),"")</f>
        <v/>
      </c>
      <c r="V1674" s="47" t="n">
        <f aca="false">V1673+IF(OR(O1674&lt;&gt;"",W1674&lt;&gt;""),1,0)</f>
        <v>3</v>
      </c>
      <c r="W1674" s="29"/>
    </row>
    <row r="1675" customFormat="false" ht="15" hidden="false" customHeight="false" outlineLevel="0" collapsed="false">
      <c r="A1675" s="32" t="str">
        <f aca="false">IF(B1675="","",ROW()-7)</f>
        <v/>
      </c>
      <c r="B1675" s="30"/>
      <c r="C1675" s="29"/>
      <c r="D1675" s="29"/>
      <c r="E1675" s="29"/>
      <c r="F1675" s="30"/>
      <c r="G1675" s="29"/>
      <c r="H1675" s="30"/>
      <c r="I1675" s="29"/>
      <c r="J1675" s="30"/>
      <c r="K1675" s="30"/>
      <c r="L1675" s="29"/>
      <c r="M1675" s="32" t="str">
        <f aca="false">IF(OR(C1675="",L1675=""),"",IF(C1675=L1675,"同一","変更"))</f>
        <v/>
      </c>
      <c r="N1675" s="29"/>
      <c r="O1675" s="30"/>
      <c r="P1675" s="29"/>
      <c r="Q1675" s="31"/>
      <c r="R1675" s="29"/>
      <c r="S1675" s="29"/>
      <c r="T1675" s="30"/>
      <c r="U1675" s="47" t="str">
        <f aca="false">IF(AND(B1675&lt;&gt;"",B1675=SW別シート!$C$3),COUNTIF(B$5:B1675,B1675),"")</f>
        <v/>
      </c>
      <c r="V1675" s="47" t="n">
        <f aca="false">V1674+IF(OR(O1675&lt;&gt;"",W1675&lt;&gt;""),1,0)</f>
        <v>3</v>
      </c>
      <c r="W1675" s="29"/>
    </row>
    <row r="1676" customFormat="false" ht="15" hidden="false" customHeight="false" outlineLevel="0" collapsed="false">
      <c r="A1676" s="32" t="str">
        <f aca="false">IF(B1676="","",ROW()-7)</f>
        <v/>
      </c>
      <c r="B1676" s="30"/>
      <c r="C1676" s="29"/>
      <c r="D1676" s="29"/>
      <c r="E1676" s="29"/>
      <c r="F1676" s="30"/>
      <c r="G1676" s="29"/>
      <c r="H1676" s="30"/>
      <c r="I1676" s="29"/>
      <c r="J1676" s="30"/>
      <c r="K1676" s="30"/>
      <c r="L1676" s="29"/>
      <c r="M1676" s="32" t="str">
        <f aca="false">IF(OR(C1676="",L1676=""),"",IF(C1676=L1676,"同一","変更"))</f>
        <v/>
      </c>
      <c r="N1676" s="29"/>
      <c r="O1676" s="30"/>
      <c r="P1676" s="29"/>
      <c r="Q1676" s="31"/>
      <c r="R1676" s="29"/>
      <c r="S1676" s="29"/>
      <c r="T1676" s="30"/>
      <c r="U1676" s="47" t="str">
        <f aca="false">IF(AND(B1676&lt;&gt;"",B1676=SW別シート!$C$3),COUNTIF(B$5:B1676,B1676),"")</f>
        <v/>
      </c>
      <c r="V1676" s="47" t="n">
        <f aca="false">V1675+IF(OR(O1676&lt;&gt;"",W1676&lt;&gt;""),1,0)</f>
        <v>3</v>
      </c>
      <c r="W1676" s="29"/>
    </row>
    <row r="1677" customFormat="false" ht="15" hidden="false" customHeight="false" outlineLevel="0" collapsed="false">
      <c r="A1677" s="32" t="str">
        <f aca="false">IF(B1677="","",ROW()-7)</f>
        <v/>
      </c>
      <c r="B1677" s="30"/>
      <c r="C1677" s="29"/>
      <c r="D1677" s="29"/>
      <c r="E1677" s="29"/>
      <c r="F1677" s="30"/>
      <c r="G1677" s="29"/>
      <c r="H1677" s="30"/>
      <c r="I1677" s="29"/>
      <c r="J1677" s="30"/>
      <c r="K1677" s="30"/>
      <c r="L1677" s="29"/>
      <c r="M1677" s="32" t="str">
        <f aca="false">IF(OR(C1677="",L1677=""),"",IF(C1677=L1677,"同一","変更"))</f>
        <v/>
      </c>
      <c r="N1677" s="29"/>
      <c r="O1677" s="30"/>
      <c r="P1677" s="29"/>
      <c r="Q1677" s="31"/>
      <c r="R1677" s="29"/>
      <c r="S1677" s="29"/>
      <c r="T1677" s="30"/>
      <c r="U1677" s="47" t="str">
        <f aca="false">IF(AND(B1677&lt;&gt;"",B1677=SW別シート!$C$3),COUNTIF(B$5:B1677,B1677),"")</f>
        <v/>
      </c>
      <c r="V1677" s="47" t="n">
        <f aca="false">V1676+IF(OR(O1677&lt;&gt;"",W1677&lt;&gt;""),1,0)</f>
        <v>3</v>
      </c>
      <c r="W1677" s="29"/>
    </row>
    <row r="1678" customFormat="false" ht="15" hidden="false" customHeight="false" outlineLevel="0" collapsed="false">
      <c r="A1678" s="32" t="str">
        <f aca="false">IF(B1678="","",ROW()-7)</f>
        <v/>
      </c>
      <c r="B1678" s="30"/>
      <c r="C1678" s="29"/>
      <c r="D1678" s="29"/>
      <c r="E1678" s="29"/>
      <c r="F1678" s="30"/>
      <c r="G1678" s="29"/>
      <c r="H1678" s="30"/>
      <c r="I1678" s="29"/>
      <c r="J1678" s="30"/>
      <c r="K1678" s="30"/>
      <c r="L1678" s="29"/>
      <c r="M1678" s="32" t="str">
        <f aca="false">IF(OR(C1678="",L1678=""),"",IF(C1678=L1678,"同一","変更"))</f>
        <v/>
      </c>
      <c r="N1678" s="29"/>
      <c r="O1678" s="30"/>
      <c r="P1678" s="29"/>
      <c r="Q1678" s="31"/>
      <c r="R1678" s="29"/>
      <c r="S1678" s="29"/>
      <c r="T1678" s="30"/>
      <c r="U1678" s="47" t="str">
        <f aca="false">IF(AND(B1678&lt;&gt;"",B1678=SW別シート!$C$3),COUNTIF(B$5:B1678,B1678),"")</f>
        <v/>
      </c>
      <c r="V1678" s="47" t="n">
        <f aca="false">V1677+IF(OR(O1678&lt;&gt;"",W1678&lt;&gt;""),1,0)</f>
        <v>3</v>
      </c>
      <c r="W1678" s="29"/>
    </row>
    <row r="1679" customFormat="false" ht="15" hidden="false" customHeight="false" outlineLevel="0" collapsed="false">
      <c r="A1679" s="32" t="str">
        <f aca="false">IF(B1679="","",ROW()-7)</f>
        <v/>
      </c>
      <c r="B1679" s="30"/>
      <c r="C1679" s="29"/>
      <c r="D1679" s="29"/>
      <c r="E1679" s="29"/>
      <c r="F1679" s="30"/>
      <c r="G1679" s="29"/>
      <c r="H1679" s="30"/>
      <c r="I1679" s="29"/>
      <c r="J1679" s="30"/>
      <c r="K1679" s="30"/>
      <c r="L1679" s="29"/>
      <c r="M1679" s="32" t="str">
        <f aca="false">IF(OR(C1679="",L1679=""),"",IF(C1679=L1679,"同一","変更"))</f>
        <v/>
      </c>
      <c r="N1679" s="29"/>
      <c r="O1679" s="30"/>
      <c r="P1679" s="29"/>
      <c r="Q1679" s="31"/>
      <c r="R1679" s="29"/>
      <c r="S1679" s="29"/>
      <c r="T1679" s="30"/>
      <c r="U1679" s="47" t="str">
        <f aca="false">IF(AND(B1679&lt;&gt;"",B1679=SW別シート!$C$3),COUNTIF(B$5:B1679,B1679),"")</f>
        <v/>
      </c>
      <c r="V1679" s="47" t="n">
        <f aca="false">V1678+IF(OR(O1679&lt;&gt;"",W1679&lt;&gt;""),1,0)</f>
        <v>3</v>
      </c>
      <c r="W1679" s="29"/>
    </row>
    <row r="1680" customFormat="false" ht="15" hidden="false" customHeight="false" outlineLevel="0" collapsed="false">
      <c r="A1680" s="32" t="str">
        <f aca="false">IF(B1680="","",ROW()-7)</f>
        <v/>
      </c>
      <c r="B1680" s="30"/>
      <c r="C1680" s="29"/>
      <c r="D1680" s="29"/>
      <c r="E1680" s="29"/>
      <c r="F1680" s="30"/>
      <c r="G1680" s="29"/>
      <c r="H1680" s="30"/>
      <c r="I1680" s="29"/>
      <c r="J1680" s="30"/>
      <c r="K1680" s="30"/>
      <c r="L1680" s="29"/>
      <c r="M1680" s="32" t="str">
        <f aca="false">IF(OR(C1680="",L1680=""),"",IF(C1680=L1680,"同一","変更"))</f>
        <v/>
      </c>
      <c r="N1680" s="29"/>
      <c r="O1680" s="30"/>
      <c r="P1680" s="29"/>
      <c r="Q1680" s="31"/>
      <c r="R1680" s="29"/>
      <c r="S1680" s="29"/>
      <c r="T1680" s="30"/>
      <c r="U1680" s="47" t="str">
        <f aca="false">IF(AND(B1680&lt;&gt;"",B1680=SW別シート!$C$3),COUNTIF(B$5:B1680,B1680),"")</f>
        <v/>
      </c>
      <c r="V1680" s="47" t="n">
        <f aca="false">V1679+IF(OR(O1680&lt;&gt;"",W1680&lt;&gt;""),1,0)</f>
        <v>3</v>
      </c>
      <c r="W1680" s="29"/>
    </row>
    <row r="1681" customFormat="false" ht="15" hidden="false" customHeight="false" outlineLevel="0" collapsed="false">
      <c r="A1681" s="32" t="str">
        <f aca="false">IF(B1681="","",ROW()-7)</f>
        <v/>
      </c>
      <c r="B1681" s="30"/>
      <c r="C1681" s="29"/>
      <c r="D1681" s="29"/>
      <c r="E1681" s="29"/>
      <c r="F1681" s="30"/>
      <c r="G1681" s="29"/>
      <c r="H1681" s="30"/>
      <c r="I1681" s="29"/>
      <c r="J1681" s="30"/>
      <c r="K1681" s="30"/>
      <c r="L1681" s="29"/>
      <c r="M1681" s="32" t="str">
        <f aca="false">IF(OR(C1681="",L1681=""),"",IF(C1681=L1681,"同一","変更"))</f>
        <v/>
      </c>
      <c r="N1681" s="29"/>
      <c r="O1681" s="30"/>
      <c r="P1681" s="29"/>
      <c r="Q1681" s="31"/>
      <c r="R1681" s="29"/>
      <c r="S1681" s="29"/>
      <c r="T1681" s="30"/>
      <c r="U1681" s="47" t="str">
        <f aca="false">IF(AND(B1681&lt;&gt;"",B1681=SW別シート!$C$3),COUNTIF(B$5:B1681,B1681),"")</f>
        <v/>
      </c>
      <c r="V1681" s="47" t="n">
        <f aca="false">V1680+IF(OR(O1681&lt;&gt;"",W1681&lt;&gt;""),1,0)</f>
        <v>3</v>
      </c>
      <c r="W1681" s="29"/>
    </row>
    <row r="1682" customFormat="false" ht="15" hidden="false" customHeight="false" outlineLevel="0" collapsed="false">
      <c r="A1682" s="32" t="str">
        <f aca="false">IF(B1682="","",ROW()-7)</f>
        <v/>
      </c>
      <c r="B1682" s="30"/>
      <c r="C1682" s="29"/>
      <c r="D1682" s="29"/>
      <c r="E1682" s="29"/>
      <c r="F1682" s="30"/>
      <c r="G1682" s="29"/>
      <c r="H1682" s="30"/>
      <c r="I1682" s="29"/>
      <c r="J1682" s="30"/>
      <c r="K1682" s="30"/>
      <c r="L1682" s="29"/>
      <c r="M1682" s="32" t="str">
        <f aca="false">IF(OR(C1682="",L1682=""),"",IF(C1682=L1682,"同一","変更"))</f>
        <v/>
      </c>
      <c r="N1682" s="29"/>
      <c r="O1682" s="30"/>
      <c r="P1682" s="29"/>
      <c r="Q1682" s="31"/>
      <c r="R1682" s="29"/>
      <c r="S1682" s="29"/>
      <c r="T1682" s="30"/>
      <c r="U1682" s="47" t="str">
        <f aca="false">IF(AND(B1682&lt;&gt;"",B1682=SW別シート!$C$3),COUNTIF(B$5:B1682,B1682),"")</f>
        <v/>
      </c>
      <c r="V1682" s="47" t="n">
        <f aca="false">V1681+IF(OR(O1682&lt;&gt;"",W1682&lt;&gt;""),1,0)</f>
        <v>3</v>
      </c>
      <c r="W1682" s="29"/>
    </row>
    <row r="1683" customFormat="false" ht="15" hidden="false" customHeight="false" outlineLevel="0" collapsed="false">
      <c r="A1683" s="32" t="str">
        <f aca="false">IF(B1683="","",ROW()-7)</f>
        <v/>
      </c>
      <c r="B1683" s="30"/>
      <c r="C1683" s="29"/>
      <c r="D1683" s="29"/>
      <c r="E1683" s="29"/>
      <c r="F1683" s="30"/>
      <c r="G1683" s="29"/>
      <c r="H1683" s="30"/>
      <c r="I1683" s="29"/>
      <c r="J1683" s="30"/>
      <c r="K1683" s="30"/>
      <c r="L1683" s="29"/>
      <c r="M1683" s="32" t="str">
        <f aca="false">IF(OR(C1683="",L1683=""),"",IF(C1683=L1683,"同一","変更"))</f>
        <v/>
      </c>
      <c r="N1683" s="29"/>
      <c r="O1683" s="30"/>
      <c r="P1683" s="29"/>
      <c r="Q1683" s="31"/>
      <c r="R1683" s="29"/>
      <c r="S1683" s="29"/>
      <c r="T1683" s="30"/>
      <c r="U1683" s="47" t="str">
        <f aca="false">IF(AND(B1683&lt;&gt;"",B1683=SW別シート!$C$3),COUNTIF(B$5:B1683,B1683),"")</f>
        <v/>
      </c>
      <c r="V1683" s="47" t="n">
        <f aca="false">V1682+IF(OR(O1683&lt;&gt;"",W1683&lt;&gt;""),1,0)</f>
        <v>3</v>
      </c>
      <c r="W1683" s="29"/>
    </row>
    <row r="1684" customFormat="false" ht="15" hidden="false" customHeight="false" outlineLevel="0" collapsed="false">
      <c r="A1684" s="32" t="str">
        <f aca="false">IF(B1684="","",ROW()-7)</f>
        <v/>
      </c>
      <c r="B1684" s="30"/>
      <c r="C1684" s="29"/>
      <c r="D1684" s="29"/>
      <c r="E1684" s="29"/>
      <c r="F1684" s="30"/>
      <c r="G1684" s="29"/>
      <c r="H1684" s="30"/>
      <c r="I1684" s="29"/>
      <c r="J1684" s="30"/>
      <c r="K1684" s="30"/>
      <c r="L1684" s="29"/>
      <c r="M1684" s="32" t="str">
        <f aca="false">IF(OR(C1684="",L1684=""),"",IF(C1684=L1684,"同一","変更"))</f>
        <v/>
      </c>
      <c r="N1684" s="29"/>
      <c r="O1684" s="30"/>
      <c r="P1684" s="29"/>
      <c r="Q1684" s="31"/>
      <c r="R1684" s="29"/>
      <c r="S1684" s="29"/>
      <c r="T1684" s="30"/>
      <c r="U1684" s="47" t="str">
        <f aca="false">IF(AND(B1684&lt;&gt;"",B1684=SW別シート!$C$3),COUNTIF(B$5:B1684,B1684),"")</f>
        <v/>
      </c>
      <c r="V1684" s="47" t="n">
        <f aca="false">V1683+IF(OR(O1684&lt;&gt;"",W1684&lt;&gt;""),1,0)</f>
        <v>3</v>
      </c>
      <c r="W1684" s="29"/>
    </row>
    <row r="1685" customFormat="false" ht="15" hidden="false" customHeight="false" outlineLevel="0" collapsed="false">
      <c r="A1685" s="32" t="str">
        <f aca="false">IF(B1685="","",ROW()-7)</f>
        <v/>
      </c>
      <c r="B1685" s="30"/>
      <c r="C1685" s="29"/>
      <c r="D1685" s="29"/>
      <c r="E1685" s="29"/>
      <c r="F1685" s="30"/>
      <c r="G1685" s="29"/>
      <c r="H1685" s="30"/>
      <c r="I1685" s="29"/>
      <c r="J1685" s="30"/>
      <c r="K1685" s="30"/>
      <c r="L1685" s="29"/>
      <c r="M1685" s="32" t="str">
        <f aca="false">IF(OR(C1685="",L1685=""),"",IF(C1685=L1685,"同一","変更"))</f>
        <v/>
      </c>
      <c r="N1685" s="29"/>
      <c r="O1685" s="30"/>
      <c r="P1685" s="29"/>
      <c r="Q1685" s="31"/>
      <c r="R1685" s="29"/>
      <c r="S1685" s="29"/>
      <c r="T1685" s="30"/>
      <c r="U1685" s="47" t="str">
        <f aca="false">IF(AND(B1685&lt;&gt;"",B1685=SW別シート!$C$3),COUNTIF(B$5:B1685,B1685),"")</f>
        <v/>
      </c>
      <c r="V1685" s="47" t="n">
        <f aca="false">V1684+IF(OR(O1685&lt;&gt;"",W1685&lt;&gt;""),1,0)</f>
        <v>3</v>
      </c>
      <c r="W1685" s="29"/>
    </row>
    <row r="1686" customFormat="false" ht="15" hidden="false" customHeight="false" outlineLevel="0" collapsed="false">
      <c r="A1686" s="32" t="str">
        <f aca="false">IF(B1686="","",ROW()-7)</f>
        <v/>
      </c>
      <c r="B1686" s="30"/>
      <c r="C1686" s="29"/>
      <c r="D1686" s="29"/>
      <c r="E1686" s="29"/>
      <c r="F1686" s="30"/>
      <c r="G1686" s="29"/>
      <c r="H1686" s="30"/>
      <c r="I1686" s="29"/>
      <c r="J1686" s="30"/>
      <c r="K1686" s="30"/>
      <c r="L1686" s="29"/>
      <c r="M1686" s="32" t="str">
        <f aca="false">IF(OR(C1686="",L1686=""),"",IF(C1686=L1686,"同一","変更"))</f>
        <v/>
      </c>
      <c r="N1686" s="29"/>
      <c r="O1686" s="30"/>
      <c r="P1686" s="29"/>
      <c r="Q1686" s="31"/>
      <c r="R1686" s="29"/>
      <c r="S1686" s="29"/>
      <c r="T1686" s="30"/>
      <c r="U1686" s="47" t="str">
        <f aca="false">IF(AND(B1686&lt;&gt;"",B1686=SW別シート!$C$3),COUNTIF(B$5:B1686,B1686),"")</f>
        <v/>
      </c>
      <c r="V1686" s="47" t="n">
        <f aca="false">V1685+IF(OR(O1686&lt;&gt;"",W1686&lt;&gt;""),1,0)</f>
        <v>3</v>
      </c>
      <c r="W1686" s="29"/>
    </row>
    <row r="1687" customFormat="false" ht="15" hidden="false" customHeight="false" outlineLevel="0" collapsed="false">
      <c r="A1687" s="32" t="str">
        <f aca="false">IF(B1687="","",ROW()-7)</f>
        <v/>
      </c>
      <c r="B1687" s="30"/>
      <c r="C1687" s="29"/>
      <c r="D1687" s="29"/>
      <c r="E1687" s="29"/>
      <c r="F1687" s="30"/>
      <c r="G1687" s="29"/>
      <c r="H1687" s="30"/>
      <c r="I1687" s="29"/>
      <c r="J1687" s="30"/>
      <c r="K1687" s="30"/>
      <c r="L1687" s="29"/>
      <c r="M1687" s="32" t="str">
        <f aca="false">IF(OR(C1687="",L1687=""),"",IF(C1687=L1687,"同一","変更"))</f>
        <v/>
      </c>
      <c r="N1687" s="29"/>
      <c r="O1687" s="30"/>
      <c r="P1687" s="29"/>
      <c r="Q1687" s="31"/>
      <c r="R1687" s="29"/>
      <c r="S1687" s="29"/>
      <c r="T1687" s="30"/>
      <c r="U1687" s="47" t="str">
        <f aca="false">IF(AND(B1687&lt;&gt;"",B1687=SW別シート!$C$3),COUNTIF(B$5:B1687,B1687),"")</f>
        <v/>
      </c>
      <c r="V1687" s="47" t="n">
        <f aca="false">V1686+IF(OR(O1687&lt;&gt;"",W1687&lt;&gt;""),1,0)</f>
        <v>3</v>
      </c>
      <c r="W1687" s="29"/>
    </row>
    <row r="1688" customFormat="false" ht="15" hidden="false" customHeight="false" outlineLevel="0" collapsed="false">
      <c r="A1688" s="32" t="str">
        <f aca="false">IF(B1688="","",ROW()-7)</f>
        <v/>
      </c>
      <c r="B1688" s="30"/>
      <c r="C1688" s="29"/>
      <c r="D1688" s="29"/>
      <c r="E1688" s="29"/>
      <c r="F1688" s="30"/>
      <c r="G1688" s="29"/>
      <c r="H1688" s="30"/>
      <c r="I1688" s="29"/>
      <c r="J1688" s="30"/>
      <c r="K1688" s="30"/>
      <c r="L1688" s="29"/>
      <c r="M1688" s="32" t="str">
        <f aca="false">IF(OR(C1688="",L1688=""),"",IF(C1688=L1688,"同一","変更"))</f>
        <v/>
      </c>
      <c r="N1688" s="29"/>
      <c r="O1688" s="30"/>
      <c r="P1688" s="29"/>
      <c r="Q1688" s="31"/>
      <c r="R1688" s="29"/>
      <c r="S1688" s="29"/>
      <c r="T1688" s="30"/>
      <c r="U1688" s="47" t="str">
        <f aca="false">IF(AND(B1688&lt;&gt;"",B1688=SW別シート!$C$3),COUNTIF(B$5:B1688,B1688),"")</f>
        <v/>
      </c>
      <c r="V1688" s="47" t="n">
        <f aca="false">V1687+IF(OR(O1688&lt;&gt;"",W1688&lt;&gt;""),1,0)</f>
        <v>3</v>
      </c>
      <c r="W1688" s="29"/>
    </row>
    <row r="1689" customFormat="false" ht="15" hidden="false" customHeight="false" outlineLevel="0" collapsed="false">
      <c r="A1689" s="32" t="str">
        <f aca="false">IF(B1689="","",ROW()-7)</f>
        <v/>
      </c>
      <c r="B1689" s="30"/>
      <c r="C1689" s="29"/>
      <c r="D1689" s="29"/>
      <c r="E1689" s="29"/>
      <c r="F1689" s="30"/>
      <c r="G1689" s="29"/>
      <c r="H1689" s="30"/>
      <c r="I1689" s="29"/>
      <c r="J1689" s="30"/>
      <c r="K1689" s="30"/>
      <c r="L1689" s="29"/>
      <c r="M1689" s="32" t="str">
        <f aca="false">IF(OR(C1689="",L1689=""),"",IF(C1689=L1689,"同一","変更"))</f>
        <v/>
      </c>
      <c r="N1689" s="29"/>
      <c r="O1689" s="30"/>
      <c r="P1689" s="29"/>
      <c r="Q1689" s="31"/>
      <c r="R1689" s="29"/>
      <c r="S1689" s="29"/>
      <c r="T1689" s="30"/>
      <c r="U1689" s="47" t="str">
        <f aca="false">IF(AND(B1689&lt;&gt;"",B1689=SW別シート!$C$3),COUNTIF(B$5:B1689,B1689),"")</f>
        <v/>
      </c>
      <c r="V1689" s="47" t="n">
        <f aca="false">V1688+IF(OR(O1689&lt;&gt;"",W1689&lt;&gt;""),1,0)</f>
        <v>3</v>
      </c>
      <c r="W1689" s="29"/>
    </row>
    <row r="1690" customFormat="false" ht="15" hidden="false" customHeight="false" outlineLevel="0" collapsed="false">
      <c r="A1690" s="32" t="str">
        <f aca="false">IF(B1690="","",ROW()-7)</f>
        <v/>
      </c>
      <c r="B1690" s="30"/>
      <c r="C1690" s="29"/>
      <c r="D1690" s="29"/>
      <c r="E1690" s="29"/>
      <c r="F1690" s="30"/>
      <c r="G1690" s="29"/>
      <c r="H1690" s="30"/>
      <c r="I1690" s="29"/>
      <c r="J1690" s="30"/>
      <c r="K1690" s="30"/>
      <c r="L1690" s="29"/>
      <c r="M1690" s="32" t="str">
        <f aca="false">IF(OR(C1690="",L1690=""),"",IF(C1690=L1690,"同一","変更"))</f>
        <v/>
      </c>
      <c r="N1690" s="29"/>
      <c r="O1690" s="30"/>
      <c r="P1690" s="29"/>
      <c r="Q1690" s="31"/>
      <c r="R1690" s="29"/>
      <c r="S1690" s="29"/>
      <c r="T1690" s="30"/>
      <c r="U1690" s="47" t="str">
        <f aca="false">IF(AND(B1690&lt;&gt;"",B1690=SW別シート!$C$3),COUNTIF(B$5:B1690,B1690),"")</f>
        <v/>
      </c>
      <c r="V1690" s="47" t="n">
        <f aca="false">V1689+IF(OR(O1690&lt;&gt;"",W1690&lt;&gt;""),1,0)</f>
        <v>3</v>
      </c>
      <c r="W1690" s="29"/>
    </row>
    <row r="1691" customFormat="false" ht="15" hidden="false" customHeight="false" outlineLevel="0" collapsed="false">
      <c r="A1691" s="32" t="str">
        <f aca="false">IF(B1691="","",ROW()-7)</f>
        <v/>
      </c>
      <c r="B1691" s="30"/>
      <c r="C1691" s="29"/>
      <c r="D1691" s="29"/>
      <c r="E1691" s="29"/>
      <c r="F1691" s="30"/>
      <c r="G1691" s="29"/>
      <c r="H1691" s="30"/>
      <c r="I1691" s="29"/>
      <c r="J1691" s="30"/>
      <c r="K1691" s="30"/>
      <c r="L1691" s="29"/>
      <c r="M1691" s="32" t="str">
        <f aca="false">IF(OR(C1691="",L1691=""),"",IF(C1691=L1691,"同一","変更"))</f>
        <v/>
      </c>
      <c r="N1691" s="29"/>
      <c r="O1691" s="30"/>
      <c r="P1691" s="29"/>
      <c r="Q1691" s="31"/>
      <c r="R1691" s="29"/>
      <c r="S1691" s="29"/>
      <c r="T1691" s="30"/>
      <c r="U1691" s="47" t="str">
        <f aca="false">IF(AND(B1691&lt;&gt;"",B1691=SW別シート!$C$3),COUNTIF(B$5:B1691,B1691),"")</f>
        <v/>
      </c>
      <c r="V1691" s="47" t="n">
        <f aca="false">V1690+IF(OR(O1691&lt;&gt;"",W1691&lt;&gt;""),1,0)</f>
        <v>3</v>
      </c>
      <c r="W1691" s="29"/>
    </row>
    <row r="1692" customFormat="false" ht="15" hidden="false" customHeight="false" outlineLevel="0" collapsed="false">
      <c r="A1692" s="32" t="str">
        <f aca="false">IF(B1692="","",ROW()-7)</f>
        <v/>
      </c>
      <c r="B1692" s="30"/>
      <c r="C1692" s="29"/>
      <c r="D1692" s="29"/>
      <c r="E1692" s="29"/>
      <c r="F1692" s="30"/>
      <c r="G1692" s="29"/>
      <c r="H1692" s="30"/>
      <c r="I1692" s="29"/>
      <c r="J1692" s="30"/>
      <c r="K1692" s="30"/>
      <c r="L1692" s="29"/>
      <c r="M1692" s="32" t="str">
        <f aca="false">IF(OR(C1692="",L1692=""),"",IF(C1692=L1692,"同一","変更"))</f>
        <v/>
      </c>
      <c r="N1692" s="29"/>
      <c r="O1692" s="30"/>
      <c r="P1692" s="29"/>
      <c r="Q1692" s="31"/>
      <c r="R1692" s="29"/>
      <c r="S1692" s="29"/>
      <c r="T1692" s="30"/>
      <c r="U1692" s="47" t="str">
        <f aca="false">IF(AND(B1692&lt;&gt;"",B1692=SW別シート!$C$3),COUNTIF(B$5:B1692,B1692),"")</f>
        <v/>
      </c>
      <c r="V1692" s="47" t="n">
        <f aca="false">V1691+IF(OR(O1692&lt;&gt;"",W1692&lt;&gt;""),1,0)</f>
        <v>3</v>
      </c>
      <c r="W1692" s="29"/>
    </row>
    <row r="1693" customFormat="false" ht="15" hidden="false" customHeight="false" outlineLevel="0" collapsed="false">
      <c r="A1693" s="32" t="str">
        <f aca="false">IF(B1693="","",ROW()-7)</f>
        <v/>
      </c>
      <c r="B1693" s="30"/>
      <c r="C1693" s="29"/>
      <c r="D1693" s="29"/>
      <c r="E1693" s="29"/>
      <c r="F1693" s="30"/>
      <c r="G1693" s="29"/>
      <c r="H1693" s="30"/>
      <c r="I1693" s="29"/>
      <c r="J1693" s="30"/>
      <c r="K1693" s="30"/>
      <c r="L1693" s="29"/>
      <c r="M1693" s="32" t="str">
        <f aca="false">IF(OR(C1693="",L1693=""),"",IF(C1693=L1693,"同一","変更"))</f>
        <v/>
      </c>
      <c r="N1693" s="29"/>
      <c r="O1693" s="30"/>
      <c r="P1693" s="29"/>
      <c r="Q1693" s="31"/>
      <c r="R1693" s="29"/>
      <c r="S1693" s="29"/>
      <c r="T1693" s="30"/>
      <c r="U1693" s="47" t="str">
        <f aca="false">IF(AND(B1693&lt;&gt;"",B1693=SW別シート!$C$3),COUNTIF(B$5:B1693,B1693),"")</f>
        <v/>
      </c>
      <c r="V1693" s="47" t="n">
        <f aca="false">V1692+IF(OR(O1693&lt;&gt;"",W1693&lt;&gt;""),1,0)</f>
        <v>3</v>
      </c>
      <c r="W1693" s="29"/>
    </row>
    <row r="1694" customFormat="false" ht="15" hidden="false" customHeight="false" outlineLevel="0" collapsed="false">
      <c r="A1694" s="32" t="str">
        <f aca="false">IF(B1694="","",ROW()-7)</f>
        <v/>
      </c>
      <c r="B1694" s="30"/>
      <c r="C1694" s="29"/>
      <c r="D1694" s="29"/>
      <c r="E1694" s="29"/>
      <c r="F1694" s="30"/>
      <c r="G1694" s="29"/>
      <c r="H1694" s="30"/>
      <c r="I1694" s="29"/>
      <c r="J1694" s="30"/>
      <c r="K1694" s="30"/>
      <c r="L1694" s="29"/>
      <c r="M1694" s="32" t="str">
        <f aca="false">IF(OR(C1694="",L1694=""),"",IF(C1694=L1694,"同一","変更"))</f>
        <v/>
      </c>
      <c r="N1694" s="29"/>
      <c r="O1694" s="30"/>
      <c r="P1694" s="29"/>
      <c r="Q1694" s="31"/>
      <c r="R1694" s="29"/>
      <c r="S1694" s="29"/>
      <c r="T1694" s="30"/>
      <c r="U1694" s="47" t="str">
        <f aca="false">IF(AND(B1694&lt;&gt;"",B1694=SW別シート!$C$3),COUNTIF(B$5:B1694,B1694),"")</f>
        <v/>
      </c>
      <c r="V1694" s="47" t="n">
        <f aca="false">V1693+IF(OR(O1694&lt;&gt;"",W1694&lt;&gt;""),1,0)</f>
        <v>3</v>
      </c>
      <c r="W1694" s="29"/>
    </row>
    <row r="1695" customFormat="false" ht="15" hidden="false" customHeight="false" outlineLevel="0" collapsed="false">
      <c r="A1695" s="32" t="str">
        <f aca="false">IF(B1695="","",ROW()-7)</f>
        <v/>
      </c>
      <c r="B1695" s="30"/>
      <c r="C1695" s="29"/>
      <c r="D1695" s="29"/>
      <c r="E1695" s="29"/>
      <c r="F1695" s="30"/>
      <c r="G1695" s="29"/>
      <c r="H1695" s="30"/>
      <c r="I1695" s="29"/>
      <c r="J1695" s="30"/>
      <c r="K1695" s="30"/>
      <c r="L1695" s="29"/>
      <c r="M1695" s="32" t="str">
        <f aca="false">IF(OR(C1695="",L1695=""),"",IF(C1695=L1695,"同一","変更"))</f>
        <v/>
      </c>
      <c r="N1695" s="29"/>
      <c r="O1695" s="30"/>
      <c r="P1695" s="29"/>
      <c r="Q1695" s="31"/>
      <c r="R1695" s="29"/>
      <c r="S1695" s="29"/>
      <c r="T1695" s="30"/>
      <c r="U1695" s="47" t="str">
        <f aca="false">IF(AND(B1695&lt;&gt;"",B1695=SW別シート!$C$3),COUNTIF(B$5:B1695,B1695),"")</f>
        <v/>
      </c>
      <c r="V1695" s="47" t="n">
        <f aca="false">V1694+IF(OR(O1695&lt;&gt;"",W1695&lt;&gt;""),1,0)</f>
        <v>3</v>
      </c>
      <c r="W1695" s="29"/>
    </row>
    <row r="1696" customFormat="false" ht="15" hidden="false" customHeight="false" outlineLevel="0" collapsed="false">
      <c r="A1696" s="32" t="str">
        <f aca="false">IF(B1696="","",ROW()-7)</f>
        <v/>
      </c>
      <c r="B1696" s="30"/>
      <c r="C1696" s="29"/>
      <c r="D1696" s="29"/>
      <c r="E1696" s="29"/>
      <c r="F1696" s="30"/>
      <c r="G1696" s="29"/>
      <c r="H1696" s="30"/>
      <c r="I1696" s="29"/>
      <c r="J1696" s="30"/>
      <c r="K1696" s="30"/>
      <c r="L1696" s="29"/>
      <c r="M1696" s="32" t="str">
        <f aca="false">IF(OR(C1696="",L1696=""),"",IF(C1696=L1696,"同一","変更"))</f>
        <v/>
      </c>
      <c r="N1696" s="29"/>
      <c r="O1696" s="30"/>
      <c r="P1696" s="29"/>
      <c r="Q1696" s="31"/>
      <c r="R1696" s="29"/>
      <c r="S1696" s="29"/>
      <c r="T1696" s="30"/>
      <c r="U1696" s="47" t="str">
        <f aca="false">IF(AND(B1696&lt;&gt;"",B1696=SW別シート!$C$3),COUNTIF(B$5:B1696,B1696),"")</f>
        <v/>
      </c>
      <c r="V1696" s="47" t="n">
        <f aca="false">V1695+IF(OR(O1696&lt;&gt;"",W1696&lt;&gt;""),1,0)</f>
        <v>3</v>
      </c>
      <c r="W1696" s="29"/>
    </row>
    <row r="1697" customFormat="false" ht="15" hidden="false" customHeight="false" outlineLevel="0" collapsed="false">
      <c r="A1697" s="32" t="str">
        <f aca="false">IF(B1697="","",ROW()-7)</f>
        <v/>
      </c>
      <c r="B1697" s="30"/>
      <c r="C1697" s="29"/>
      <c r="D1697" s="29"/>
      <c r="E1697" s="29"/>
      <c r="F1697" s="30"/>
      <c r="G1697" s="29"/>
      <c r="H1697" s="30"/>
      <c r="I1697" s="29"/>
      <c r="J1697" s="30"/>
      <c r="K1697" s="30"/>
      <c r="L1697" s="29"/>
      <c r="M1697" s="32" t="str">
        <f aca="false">IF(OR(C1697="",L1697=""),"",IF(C1697=L1697,"同一","変更"))</f>
        <v/>
      </c>
      <c r="N1697" s="29"/>
      <c r="O1697" s="30"/>
      <c r="P1697" s="29"/>
      <c r="Q1697" s="31"/>
      <c r="R1697" s="29"/>
      <c r="S1697" s="29"/>
      <c r="T1697" s="30"/>
      <c r="U1697" s="47" t="str">
        <f aca="false">IF(AND(B1697&lt;&gt;"",B1697=SW別シート!$C$3),COUNTIF(B$5:B1697,B1697),"")</f>
        <v/>
      </c>
      <c r="V1697" s="47" t="n">
        <f aca="false">V1696+IF(OR(O1697&lt;&gt;"",W1697&lt;&gt;""),1,0)</f>
        <v>3</v>
      </c>
      <c r="W1697" s="29"/>
    </row>
    <row r="1698" customFormat="false" ht="15" hidden="false" customHeight="false" outlineLevel="0" collapsed="false">
      <c r="A1698" s="32" t="str">
        <f aca="false">IF(B1698="","",ROW()-7)</f>
        <v/>
      </c>
      <c r="B1698" s="30"/>
      <c r="C1698" s="29"/>
      <c r="D1698" s="29"/>
      <c r="E1698" s="29"/>
      <c r="F1698" s="30"/>
      <c r="G1698" s="29"/>
      <c r="H1698" s="30"/>
      <c r="I1698" s="29"/>
      <c r="J1698" s="30"/>
      <c r="K1698" s="30"/>
      <c r="L1698" s="29"/>
      <c r="M1698" s="32" t="str">
        <f aca="false">IF(OR(C1698="",L1698=""),"",IF(C1698=L1698,"同一","変更"))</f>
        <v/>
      </c>
      <c r="N1698" s="29"/>
      <c r="O1698" s="30"/>
      <c r="P1698" s="29"/>
      <c r="Q1698" s="31"/>
      <c r="R1698" s="29"/>
      <c r="S1698" s="29"/>
      <c r="T1698" s="30"/>
      <c r="U1698" s="47" t="str">
        <f aca="false">IF(AND(B1698&lt;&gt;"",B1698=SW別シート!$C$3),COUNTIF(B$5:B1698,B1698),"")</f>
        <v/>
      </c>
      <c r="V1698" s="47" t="n">
        <f aca="false">V1697+IF(OR(O1698&lt;&gt;"",W1698&lt;&gt;""),1,0)</f>
        <v>3</v>
      </c>
      <c r="W1698" s="29"/>
    </row>
    <row r="1699" customFormat="false" ht="15" hidden="false" customHeight="false" outlineLevel="0" collapsed="false">
      <c r="A1699" s="32" t="str">
        <f aca="false">IF(B1699="","",ROW()-7)</f>
        <v/>
      </c>
      <c r="B1699" s="30"/>
      <c r="C1699" s="29"/>
      <c r="D1699" s="29"/>
      <c r="E1699" s="29"/>
      <c r="F1699" s="30"/>
      <c r="G1699" s="29"/>
      <c r="H1699" s="30"/>
      <c r="I1699" s="29"/>
      <c r="J1699" s="30"/>
      <c r="K1699" s="30"/>
      <c r="L1699" s="29"/>
      <c r="M1699" s="32" t="str">
        <f aca="false">IF(OR(C1699="",L1699=""),"",IF(C1699=L1699,"同一","変更"))</f>
        <v/>
      </c>
      <c r="N1699" s="29"/>
      <c r="O1699" s="30"/>
      <c r="P1699" s="29"/>
      <c r="Q1699" s="31"/>
      <c r="R1699" s="29"/>
      <c r="S1699" s="29"/>
      <c r="T1699" s="30"/>
      <c r="U1699" s="47" t="str">
        <f aca="false">IF(AND(B1699&lt;&gt;"",B1699=SW別シート!$C$3),COUNTIF(B$5:B1699,B1699),"")</f>
        <v/>
      </c>
      <c r="V1699" s="47" t="n">
        <f aca="false">V1698+IF(OR(O1699&lt;&gt;"",W1699&lt;&gt;""),1,0)</f>
        <v>3</v>
      </c>
      <c r="W1699" s="29"/>
    </row>
    <row r="1700" customFormat="false" ht="15" hidden="false" customHeight="false" outlineLevel="0" collapsed="false">
      <c r="A1700" s="32" t="str">
        <f aca="false">IF(B1700="","",ROW()-7)</f>
        <v/>
      </c>
      <c r="B1700" s="30"/>
      <c r="C1700" s="29"/>
      <c r="D1700" s="29"/>
      <c r="E1700" s="29"/>
      <c r="F1700" s="30"/>
      <c r="G1700" s="29"/>
      <c r="H1700" s="30"/>
      <c r="I1700" s="29"/>
      <c r="J1700" s="30"/>
      <c r="K1700" s="30"/>
      <c r="L1700" s="29"/>
      <c r="M1700" s="32" t="str">
        <f aca="false">IF(OR(C1700="",L1700=""),"",IF(C1700=L1700,"同一","変更"))</f>
        <v/>
      </c>
      <c r="N1700" s="29"/>
      <c r="O1700" s="30"/>
      <c r="P1700" s="29"/>
      <c r="Q1700" s="31"/>
      <c r="R1700" s="29"/>
      <c r="S1700" s="29"/>
      <c r="T1700" s="30"/>
      <c r="U1700" s="47" t="str">
        <f aca="false">IF(AND(B1700&lt;&gt;"",B1700=SW別シート!$C$3),COUNTIF(B$5:B1700,B1700),"")</f>
        <v/>
      </c>
      <c r="V1700" s="47" t="n">
        <f aca="false">V1699+IF(OR(O1700&lt;&gt;"",W1700&lt;&gt;""),1,0)</f>
        <v>3</v>
      </c>
      <c r="W1700" s="29"/>
    </row>
    <row r="1701" customFormat="false" ht="15" hidden="false" customHeight="false" outlineLevel="0" collapsed="false">
      <c r="A1701" s="32" t="str">
        <f aca="false">IF(B1701="","",ROW()-7)</f>
        <v/>
      </c>
      <c r="B1701" s="30"/>
      <c r="C1701" s="29"/>
      <c r="D1701" s="29"/>
      <c r="E1701" s="29"/>
      <c r="F1701" s="30"/>
      <c r="G1701" s="29"/>
      <c r="H1701" s="30"/>
      <c r="I1701" s="29"/>
      <c r="J1701" s="30"/>
      <c r="K1701" s="30"/>
      <c r="L1701" s="29"/>
      <c r="M1701" s="32" t="str">
        <f aca="false">IF(OR(C1701="",L1701=""),"",IF(C1701=L1701,"同一","変更"))</f>
        <v/>
      </c>
      <c r="N1701" s="29"/>
      <c r="O1701" s="30"/>
      <c r="P1701" s="29"/>
      <c r="Q1701" s="31"/>
      <c r="R1701" s="29"/>
      <c r="S1701" s="29"/>
      <c r="T1701" s="30"/>
      <c r="U1701" s="47" t="str">
        <f aca="false">IF(AND(B1701&lt;&gt;"",B1701=SW別シート!$C$3),COUNTIF(B$5:B1701,B1701),"")</f>
        <v/>
      </c>
      <c r="V1701" s="47" t="n">
        <f aca="false">V1700+IF(OR(O1701&lt;&gt;"",W1701&lt;&gt;""),1,0)</f>
        <v>3</v>
      </c>
      <c r="W1701" s="29"/>
    </row>
    <row r="1702" customFormat="false" ht="15" hidden="false" customHeight="false" outlineLevel="0" collapsed="false">
      <c r="A1702" s="32" t="str">
        <f aca="false">IF(B1702="","",ROW()-7)</f>
        <v/>
      </c>
      <c r="B1702" s="30"/>
      <c r="C1702" s="29"/>
      <c r="D1702" s="29"/>
      <c r="E1702" s="29"/>
      <c r="F1702" s="30"/>
      <c r="G1702" s="29"/>
      <c r="H1702" s="30"/>
      <c r="I1702" s="29"/>
      <c r="J1702" s="30"/>
      <c r="K1702" s="30"/>
      <c r="L1702" s="29"/>
      <c r="M1702" s="32" t="str">
        <f aca="false">IF(OR(C1702="",L1702=""),"",IF(C1702=L1702,"同一","変更"))</f>
        <v/>
      </c>
      <c r="N1702" s="29"/>
      <c r="O1702" s="30"/>
      <c r="P1702" s="29"/>
      <c r="Q1702" s="31"/>
      <c r="R1702" s="29"/>
      <c r="S1702" s="29"/>
      <c r="T1702" s="30"/>
      <c r="U1702" s="47" t="str">
        <f aca="false">IF(AND(B1702&lt;&gt;"",B1702=SW別シート!$C$3),COUNTIF(B$5:B1702,B1702),"")</f>
        <v/>
      </c>
      <c r="V1702" s="47" t="n">
        <f aca="false">V1701+IF(OR(O1702&lt;&gt;"",W1702&lt;&gt;""),1,0)</f>
        <v>3</v>
      </c>
      <c r="W1702" s="29"/>
    </row>
    <row r="1703" customFormat="false" ht="15" hidden="false" customHeight="false" outlineLevel="0" collapsed="false">
      <c r="A1703" s="32" t="str">
        <f aca="false">IF(B1703="","",ROW()-7)</f>
        <v/>
      </c>
      <c r="B1703" s="30"/>
      <c r="C1703" s="29"/>
      <c r="D1703" s="29"/>
      <c r="E1703" s="29"/>
      <c r="F1703" s="30"/>
      <c r="G1703" s="29"/>
      <c r="H1703" s="30"/>
      <c r="I1703" s="29"/>
      <c r="J1703" s="30"/>
      <c r="K1703" s="30"/>
      <c r="L1703" s="29"/>
      <c r="M1703" s="32" t="str">
        <f aca="false">IF(OR(C1703="",L1703=""),"",IF(C1703=L1703,"同一","変更"))</f>
        <v/>
      </c>
      <c r="N1703" s="29"/>
      <c r="O1703" s="30"/>
      <c r="P1703" s="29"/>
      <c r="Q1703" s="31"/>
      <c r="R1703" s="29"/>
      <c r="S1703" s="29"/>
      <c r="T1703" s="30"/>
      <c r="U1703" s="47" t="str">
        <f aca="false">IF(AND(B1703&lt;&gt;"",B1703=SW別シート!$C$3),COUNTIF(B$5:B1703,B1703),"")</f>
        <v/>
      </c>
      <c r="V1703" s="47" t="n">
        <f aca="false">V1702+IF(OR(O1703&lt;&gt;"",W1703&lt;&gt;""),1,0)</f>
        <v>3</v>
      </c>
      <c r="W1703" s="29"/>
    </row>
    <row r="1704" customFormat="false" ht="15" hidden="false" customHeight="false" outlineLevel="0" collapsed="false">
      <c r="A1704" s="32" t="str">
        <f aca="false">IF(B1704="","",ROW()-7)</f>
        <v/>
      </c>
      <c r="B1704" s="30"/>
      <c r="C1704" s="29"/>
      <c r="D1704" s="29"/>
      <c r="E1704" s="29"/>
      <c r="F1704" s="30"/>
      <c r="G1704" s="29"/>
      <c r="H1704" s="30"/>
      <c r="I1704" s="29"/>
      <c r="J1704" s="30"/>
      <c r="K1704" s="30"/>
      <c r="L1704" s="29"/>
      <c r="M1704" s="32" t="str">
        <f aca="false">IF(OR(C1704="",L1704=""),"",IF(C1704=L1704,"同一","変更"))</f>
        <v/>
      </c>
      <c r="N1704" s="29"/>
      <c r="O1704" s="30"/>
      <c r="P1704" s="29"/>
      <c r="Q1704" s="31"/>
      <c r="R1704" s="29"/>
      <c r="S1704" s="29"/>
      <c r="T1704" s="30"/>
      <c r="U1704" s="47" t="str">
        <f aca="false">IF(AND(B1704&lt;&gt;"",B1704=SW別シート!$C$3),COUNTIF(B$5:B1704,B1704),"")</f>
        <v/>
      </c>
      <c r="V1704" s="47" t="n">
        <f aca="false">V1703+IF(OR(O1704&lt;&gt;"",W1704&lt;&gt;""),1,0)</f>
        <v>3</v>
      </c>
      <c r="W1704" s="29"/>
    </row>
    <row r="1705" customFormat="false" ht="15" hidden="false" customHeight="false" outlineLevel="0" collapsed="false">
      <c r="A1705" s="32" t="str">
        <f aca="false">IF(B1705="","",ROW()-7)</f>
        <v/>
      </c>
      <c r="B1705" s="30"/>
      <c r="C1705" s="29"/>
      <c r="D1705" s="29"/>
      <c r="E1705" s="29"/>
      <c r="F1705" s="30"/>
      <c r="G1705" s="29"/>
      <c r="H1705" s="30"/>
      <c r="I1705" s="29"/>
      <c r="J1705" s="30"/>
      <c r="K1705" s="30"/>
      <c r="L1705" s="29"/>
      <c r="M1705" s="32" t="str">
        <f aca="false">IF(OR(C1705="",L1705=""),"",IF(C1705=L1705,"同一","変更"))</f>
        <v/>
      </c>
      <c r="N1705" s="29"/>
      <c r="O1705" s="30"/>
      <c r="P1705" s="29"/>
      <c r="Q1705" s="31"/>
      <c r="R1705" s="29"/>
      <c r="S1705" s="29"/>
      <c r="T1705" s="30"/>
      <c r="U1705" s="47" t="str">
        <f aca="false">IF(AND(B1705&lt;&gt;"",B1705=SW別シート!$C$3),COUNTIF(B$5:B1705,B1705),"")</f>
        <v/>
      </c>
      <c r="V1705" s="47" t="n">
        <f aca="false">V1704+IF(OR(O1705&lt;&gt;"",W1705&lt;&gt;""),1,0)</f>
        <v>3</v>
      </c>
      <c r="W1705" s="29"/>
    </row>
    <row r="1706" customFormat="false" ht="15" hidden="false" customHeight="false" outlineLevel="0" collapsed="false">
      <c r="A1706" s="32" t="str">
        <f aca="false">IF(B1706="","",ROW()-7)</f>
        <v/>
      </c>
      <c r="B1706" s="30"/>
      <c r="C1706" s="29"/>
      <c r="D1706" s="29"/>
      <c r="E1706" s="29"/>
      <c r="F1706" s="30"/>
      <c r="G1706" s="29"/>
      <c r="H1706" s="30"/>
      <c r="I1706" s="29"/>
      <c r="J1706" s="30"/>
      <c r="K1706" s="30"/>
      <c r="L1706" s="29"/>
      <c r="M1706" s="32" t="str">
        <f aca="false">IF(OR(C1706="",L1706=""),"",IF(C1706=L1706,"同一","変更"))</f>
        <v/>
      </c>
      <c r="N1706" s="29"/>
      <c r="O1706" s="30"/>
      <c r="P1706" s="29"/>
      <c r="Q1706" s="31"/>
      <c r="R1706" s="29"/>
      <c r="S1706" s="29"/>
      <c r="T1706" s="30"/>
      <c r="U1706" s="47" t="str">
        <f aca="false">IF(AND(B1706&lt;&gt;"",B1706=SW別シート!$C$3),COUNTIF(B$5:B1706,B1706),"")</f>
        <v/>
      </c>
      <c r="V1706" s="47" t="n">
        <f aca="false">V1705+IF(OR(O1706&lt;&gt;"",W1706&lt;&gt;""),1,0)</f>
        <v>3</v>
      </c>
      <c r="W1706" s="29"/>
    </row>
    <row r="1707" customFormat="false" ht="15" hidden="false" customHeight="false" outlineLevel="0" collapsed="false">
      <c r="A1707" s="32" t="str">
        <f aca="false">IF(B1707="","",ROW()-7)</f>
        <v/>
      </c>
      <c r="B1707" s="30"/>
      <c r="C1707" s="29"/>
      <c r="D1707" s="29"/>
      <c r="E1707" s="29"/>
      <c r="F1707" s="30"/>
      <c r="G1707" s="29"/>
      <c r="H1707" s="30"/>
      <c r="I1707" s="29"/>
      <c r="J1707" s="30"/>
      <c r="K1707" s="30"/>
      <c r="L1707" s="29"/>
      <c r="M1707" s="32" t="str">
        <f aca="false">IF(OR(C1707="",L1707=""),"",IF(C1707=L1707,"同一","変更"))</f>
        <v/>
      </c>
      <c r="N1707" s="29"/>
      <c r="O1707" s="30"/>
      <c r="P1707" s="29"/>
      <c r="Q1707" s="31"/>
      <c r="R1707" s="29"/>
      <c r="S1707" s="29"/>
      <c r="T1707" s="30"/>
      <c r="U1707" s="47" t="str">
        <f aca="false">IF(AND(B1707&lt;&gt;"",B1707=SW別シート!$C$3),COUNTIF(B$5:B1707,B1707),"")</f>
        <v/>
      </c>
      <c r="V1707" s="47" t="n">
        <f aca="false">V1706+IF(OR(O1707&lt;&gt;"",W1707&lt;&gt;""),1,0)</f>
        <v>3</v>
      </c>
      <c r="W1707" s="29"/>
    </row>
    <row r="1708" customFormat="false" ht="15" hidden="false" customHeight="false" outlineLevel="0" collapsed="false">
      <c r="A1708" s="32" t="str">
        <f aca="false">IF(B1708="","",ROW()-7)</f>
        <v/>
      </c>
      <c r="B1708" s="30"/>
      <c r="C1708" s="29"/>
      <c r="D1708" s="29"/>
      <c r="E1708" s="29"/>
      <c r="F1708" s="30"/>
      <c r="G1708" s="29"/>
      <c r="H1708" s="30"/>
      <c r="I1708" s="29"/>
      <c r="J1708" s="30"/>
      <c r="K1708" s="30"/>
      <c r="L1708" s="29"/>
      <c r="M1708" s="32" t="str">
        <f aca="false">IF(OR(C1708="",L1708=""),"",IF(C1708=L1708,"同一","変更"))</f>
        <v/>
      </c>
      <c r="N1708" s="29"/>
      <c r="O1708" s="30"/>
      <c r="P1708" s="29"/>
      <c r="Q1708" s="31"/>
      <c r="R1708" s="29"/>
      <c r="S1708" s="29"/>
      <c r="T1708" s="30"/>
      <c r="U1708" s="47" t="str">
        <f aca="false">IF(AND(B1708&lt;&gt;"",B1708=SW別シート!$C$3),COUNTIF(B$5:B1708,B1708),"")</f>
        <v/>
      </c>
      <c r="V1708" s="47" t="n">
        <f aca="false">V1707+IF(OR(O1708&lt;&gt;"",W1708&lt;&gt;""),1,0)</f>
        <v>3</v>
      </c>
      <c r="W1708" s="29"/>
    </row>
    <row r="1709" customFormat="false" ht="15" hidden="false" customHeight="false" outlineLevel="0" collapsed="false">
      <c r="A1709" s="32" t="str">
        <f aca="false">IF(B1709="","",ROW()-7)</f>
        <v/>
      </c>
      <c r="B1709" s="30"/>
      <c r="C1709" s="29"/>
      <c r="D1709" s="29"/>
      <c r="E1709" s="29"/>
      <c r="F1709" s="30"/>
      <c r="G1709" s="29"/>
      <c r="H1709" s="30"/>
      <c r="I1709" s="29"/>
      <c r="J1709" s="30"/>
      <c r="K1709" s="30"/>
      <c r="L1709" s="29"/>
      <c r="M1709" s="32" t="str">
        <f aca="false">IF(OR(C1709="",L1709=""),"",IF(C1709=L1709,"同一","変更"))</f>
        <v/>
      </c>
      <c r="N1709" s="29"/>
      <c r="O1709" s="30"/>
      <c r="P1709" s="29"/>
      <c r="Q1709" s="31"/>
      <c r="R1709" s="29"/>
      <c r="S1709" s="29"/>
      <c r="T1709" s="30"/>
      <c r="U1709" s="47" t="str">
        <f aca="false">IF(AND(B1709&lt;&gt;"",B1709=SW別シート!$C$3),COUNTIF(B$5:B1709,B1709),"")</f>
        <v/>
      </c>
      <c r="V1709" s="47" t="n">
        <f aca="false">V1708+IF(OR(O1709&lt;&gt;"",W1709&lt;&gt;""),1,0)</f>
        <v>3</v>
      </c>
      <c r="W1709" s="29"/>
    </row>
    <row r="1710" customFormat="false" ht="15" hidden="false" customHeight="false" outlineLevel="0" collapsed="false">
      <c r="A1710" s="32" t="str">
        <f aca="false">IF(B1710="","",ROW()-7)</f>
        <v/>
      </c>
      <c r="B1710" s="30"/>
      <c r="C1710" s="29"/>
      <c r="D1710" s="29"/>
      <c r="E1710" s="29"/>
      <c r="F1710" s="30"/>
      <c r="G1710" s="29"/>
      <c r="H1710" s="30"/>
      <c r="I1710" s="29"/>
      <c r="J1710" s="30"/>
      <c r="K1710" s="30"/>
      <c r="L1710" s="29"/>
      <c r="M1710" s="32" t="str">
        <f aca="false">IF(OR(C1710="",L1710=""),"",IF(C1710=L1710,"同一","変更"))</f>
        <v/>
      </c>
      <c r="N1710" s="29"/>
      <c r="O1710" s="30"/>
      <c r="P1710" s="29"/>
      <c r="Q1710" s="31"/>
      <c r="R1710" s="29"/>
      <c r="S1710" s="29"/>
      <c r="T1710" s="30"/>
      <c r="U1710" s="47" t="str">
        <f aca="false">IF(AND(B1710&lt;&gt;"",B1710=SW別シート!$C$3),COUNTIF(B$5:B1710,B1710),"")</f>
        <v/>
      </c>
      <c r="V1710" s="47" t="n">
        <f aca="false">V1709+IF(OR(O1710&lt;&gt;"",W1710&lt;&gt;""),1,0)</f>
        <v>3</v>
      </c>
      <c r="W1710" s="29"/>
    </row>
    <row r="1711" customFormat="false" ht="15" hidden="false" customHeight="false" outlineLevel="0" collapsed="false">
      <c r="A1711" s="32" t="str">
        <f aca="false">IF(B1711="","",ROW()-7)</f>
        <v/>
      </c>
      <c r="B1711" s="30"/>
      <c r="C1711" s="29"/>
      <c r="D1711" s="29"/>
      <c r="E1711" s="29"/>
      <c r="F1711" s="30"/>
      <c r="G1711" s="29"/>
      <c r="H1711" s="30"/>
      <c r="I1711" s="29"/>
      <c r="J1711" s="30"/>
      <c r="K1711" s="30"/>
      <c r="L1711" s="29"/>
      <c r="M1711" s="32" t="str">
        <f aca="false">IF(OR(C1711="",L1711=""),"",IF(C1711=L1711,"同一","変更"))</f>
        <v/>
      </c>
      <c r="N1711" s="29"/>
      <c r="O1711" s="30"/>
      <c r="P1711" s="29"/>
      <c r="Q1711" s="31"/>
      <c r="R1711" s="29"/>
      <c r="S1711" s="29"/>
      <c r="T1711" s="30"/>
      <c r="U1711" s="47" t="str">
        <f aca="false">IF(AND(B1711&lt;&gt;"",B1711=SW別シート!$C$3),COUNTIF(B$5:B1711,B1711),"")</f>
        <v/>
      </c>
      <c r="V1711" s="47" t="n">
        <f aca="false">V1710+IF(OR(O1711&lt;&gt;"",W1711&lt;&gt;""),1,0)</f>
        <v>3</v>
      </c>
      <c r="W1711" s="29"/>
    </row>
    <row r="1712" customFormat="false" ht="15" hidden="false" customHeight="false" outlineLevel="0" collapsed="false">
      <c r="A1712" s="32" t="str">
        <f aca="false">IF(B1712="","",ROW()-7)</f>
        <v/>
      </c>
      <c r="B1712" s="30"/>
      <c r="C1712" s="29"/>
      <c r="D1712" s="29"/>
      <c r="E1712" s="29"/>
      <c r="F1712" s="30"/>
      <c r="G1712" s="29"/>
      <c r="H1712" s="30"/>
      <c r="I1712" s="29"/>
      <c r="J1712" s="30"/>
      <c r="K1712" s="30"/>
      <c r="L1712" s="29"/>
      <c r="M1712" s="32" t="str">
        <f aca="false">IF(OR(C1712="",L1712=""),"",IF(C1712=L1712,"同一","変更"))</f>
        <v/>
      </c>
      <c r="N1712" s="29"/>
      <c r="O1712" s="30"/>
      <c r="P1712" s="29"/>
      <c r="Q1712" s="31"/>
      <c r="R1712" s="29"/>
      <c r="S1712" s="29"/>
      <c r="T1712" s="30"/>
      <c r="U1712" s="47" t="str">
        <f aca="false">IF(AND(B1712&lt;&gt;"",B1712=SW別シート!$C$3),COUNTIF(B$5:B1712,B1712),"")</f>
        <v/>
      </c>
      <c r="V1712" s="47" t="n">
        <f aca="false">V1711+IF(OR(O1712&lt;&gt;"",W1712&lt;&gt;""),1,0)</f>
        <v>3</v>
      </c>
      <c r="W1712" s="29"/>
    </row>
    <row r="1713" customFormat="false" ht="15" hidden="false" customHeight="false" outlineLevel="0" collapsed="false">
      <c r="A1713" s="32" t="str">
        <f aca="false">IF(B1713="","",ROW()-7)</f>
        <v/>
      </c>
      <c r="B1713" s="30"/>
      <c r="C1713" s="29"/>
      <c r="D1713" s="29"/>
      <c r="E1713" s="29"/>
      <c r="F1713" s="30"/>
      <c r="G1713" s="29"/>
      <c r="H1713" s="30"/>
      <c r="I1713" s="29"/>
      <c r="J1713" s="30"/>
      <c r="K1713" s="30"/>
      <c r="L1713" s="29"/>
      <c r="M1713" s="32" t="str">
        <f aca="false">IF(OR(C1713="",L1713=""),"",IF(C1713=L1713,"同一","変更"))</f>
        <v/>
      </c>
      <c r="N1713" s="29"/>
      <c r="O1713" s="30"/>
      <c r="P1713" s="29"/>
      <c r="Q1713" s="31"/>
      <c r="R1713" s="29"/>
      <c r="S1713" s="29"/>
      <c r="T1713" s="30"/>
      <c r="U1713" s="47" t="str">
        <f aca="false">IF(AND(B1713&lt;&gt;"",B1713=SW別シート!$C$3),COUNTIF(B$5:B1713,B1713),"")</f>
        <v/>
      </c>
      <c r="V1713" s="47" t="n">
        <f aca="false">V1712+IF(OR(O1713&lt;&gt;"",W1713&lt;&gt;""),1,0)</f>
        <v>3</v>
      </c>
      <c r="W1713" s="29"/>
    </row>
    <row r="1714" customFormat="false" ht="15" hidden="false" customHeight="false" outlineLevel="0" collapsed="false">
      <c r="A1714" s="32" t="str">
        <f aca="false">IF(B1714="","",ROW()-7)</f>
        <v/>
      </c>
      <c r="B1714" s="30"/>
      <c r="C1714" s="29"/>
      <c r="D1714" s="29"/>
      <c r="E1714" s="29"/>
      <c r="F1714" s="30"/>
      <c r="G1714" s="29"/>
      <c r="H1714" s="30"/>
      <c r="I1714" s="29"/>
      <c r="J1714" s="30"/>
      <c r="K1714" s="30"/>
      <c r="L1714" s="29"/>
      <c r="M1714" s="32" t="str">
        <f aca="false">IF(OR(C1714="",L1714=""),"",IF(C1714=L1714,"同一","変更"))</f>
        <v/>
      </c>
      <c r="N1714" s="29"/>
      <c r="O1714" s="30"/>
      <c r="P1714" s="29"/>
      <c r="Q1714" s="31"/>
      <c r="R1714" s="29"/>
      <c r="S1714" s="29"/>
      <c r="T1714" s="30"/>
      <c r="U1714" s="47" t="str">
        <f aca="false">IF(AND(B1714&lt;&gt;"",B1714=SW別シート!$C$3),COUNTIF(B$5:B1714,B1714),"")</f>
        <v/>
      </c>
      <c r="V1714" s="47" t="n">
        <f aca="false">V1713+IF(OR(O1714&lt;&gt;"",W1714&lt;&gt;""),1,0)</f>
        <v>3</v>
      </c>
      <c r="W1714" s="29"/>
    </row>
    <row r="1715" customFormat="false" ht="15" hidden="false" customHeight="false" outlineLevel="0" collapsed="false">
      <c r="A1715" s="32" t="str">
        <f aca="false">IF(B1715="","",ROW()-7)</f>
        <v/>
      </c>
      <c r="B1715" s="30"/>
      <c r="C1715" s="29"/>
      <c r="D1715" s="29"/>
      <c r="E1715" s="29"/>
      <c r="F1715" s="30"/>
      <c r="G1715" s="29"/>
      <c r="H1715" s="30"/>
      <c r="I1715" s="29"/>
      <c r="J1715" s="30"/>
      <c r="K1715" s="30"/>
      <c r="L1715" s="29"/>
      <c r="M1715" s="32" t="str">
        <f aca="false">IF(OR(C1715="",L1715=""),"",IF(C1715=L1715,"同一","変更"))</f>
        <v/>
      </c>
      <c r="N1715" s="29"/>
      <c r="O1715" s="30"/>
      <c r="P1715" s="29"/>
      <c r="Q1715" s="31"/>
      <c r="R1715" s="29"/>
      <c r="S1715" s="29"/>
      <c r="T1715" s="30"/>
      <c r="U1715" s="47" t="str">
        <f aca="false">IF(AND(B1715&lt;&gt;"",B1715=SW別シート!$C$3),COUNTIF(B$5:B1715,B1715),"")</f>
        <v/>
      </c>
      <c r="V1715" s="47" t="n">
        <f aca="false">V1714+IF(OR(O1715&lt;&gt;"",W1715&lt;&gt;""),1,0)</f>
        <v>3</v>
      </c>
      <c r="W1715" s="29"/>
    </row>
    <row r="1716" customFormat="false" ht="15" hidden="false" customHeight="false" outlineLevel="0" collapsed="false">
      <c r="A1716" s="32" t="str">
        <f aca="false">IF(B1716="","",ROW()-7)</f>
        <v/>
      </c>
      <c r="B1716" s="30"/>
      <c r="C1716" s="29"/>
      <c r="D1716" s="29"/>
      <c r="E1716" s="29"/>
      <c r="F1716" s="30"/>
      <c r="G1716" s="29"/>
      <c r="H1716" s="30"/>
      <c r="I1716" s="29"/>
      <c r="J1716" s="30"/>
      <c r="K1716" s="30"/>
      <c r="L1716" s="29"/>
      <c r="M1716" s="32" t="str">
        <f aca="false">IF(OR(C1716="",L1716=""),"",IF(C1716=L1716,"同一","変更"))</f>
        <v/>
      </c>
      <c r="N1716" s="29"/>
      <c r="O1716" s="30"/>
      <c r="P1716" s="29"/>
      <c r="Q1716" s="31"/>
      <c r="R1716" s="29"/>
      <c r="S1716" s="29"/>
      <c r="T1716" s="30"/>
      <c r="U1716" s="47" t="str">
        <f aca="false">IF(AND(B1716&lt;&gt;"",B1716=SW別シート!$C$3),COUNTIF(B$5:B1716,B1716),"")</f>
        <v/>
      </c>
      <c r="V1716" s="47" t="n">
        <f aca="false">V1715+IF(OR(O1716&lt;&gt;"",W1716&lt;&gt;""),1,0)</f>
        <v>3</v>
      </c>
      <c r="W1716" s="29"/>
    </row>
    <row r="1717" customFormat="false" ht="15" hidden="false" customHeight="false" outlineLevel="0" collapsed="false">
      <c r="A1717" s="32" t="str">
        <f aca="false">IF(B1717="","",ROW()-7)</f>
        <v/>
      </c>
      <c r="B1717" s="30"/>
      <c r="C1717" s="29"/>
      <c r="D1717" s="29"/>
      <c r="E1717" s="29"/>
      <c r="F1717" s="30"/>
      <c r="G1717" s="29"/>
      <c r="H1717" s="30"/>
      <c r="I1717" s="29"/>
      <c r="J1717" s="30"/>
      <c r="K1717" s="30"/>
      <c r="L1717" s="29"/>
      <c r="M1717" s="32" t="str">
        <f aca="false">IF(OR(C1717="",L1717=""),"",IF(C1717=L1717,"同一","変更"))</f>
        <v/>
      </c>
      <c r="N1717" s="29"/>
      <c r="O1717" s="30"/>
      <c r="P1717" s="29"/>
      <c r="Q1717" s="31"/>
      <c r="R1717" s="29"/>
      <c r="S1717" s="29"/>
      <c r="T1717" s="30"/>
      <c r="U1717" s="47" t="str">
        <f aca="false">IF(AND(B1717&lt;&gt;"",B1717=SW別シート!$C$3),COUNTIF(B$5:B1717,B1717),"")</f>
        <v/>
      </c>
      <c r="V1717" s="47" t="n">
        <f aca="false">V1716+IF(OR(O1717&lt;&gt;"",W1717&lt;&gt;""),1,0)</f>
        <v>3</v>
      </c>
      <c r="W1717" s="29"/>
    </row>
    <row r="1718" customFormat="false" ht="15" hidden="false" customHeight="false" outlineLevel="0" collapsed="false">
      <c r="A1718" s="32" t="str">
        <f aca="false">IF(B1718="","",ROW()-7)</f>
        <v/>
      </c>
      <c r="B1718" s="30"/>
      <c r="C1718" s="29"/>
      <c r="D1718" s="29"/>
      <c r="E1718" s="29"/>
      <c r="F1718" s="30"/>
      <c r="G1718" s="29"/>
      <c r="H1718" s="30"/>
      <c r="I1718" s="29"/>
      <c r="J1718" s="30"/>
      <c r="K1718" s="30"/>
      <c r="L1718" s="29"/>
      <c r="M1718" s="32" t="str">
        <f aca="false">IF(OR(C1718="",L1718=""),"",IF(C1718=L1718,"同一","変更"))</f>
        <v/>
      </c>
      <c r="N1718" s="29"/>
      <c r="O1718" s="30"/>
      <c r="P1718" s="29"/>
      <c r="Q1718" s="31"/>
      <c r="R1718" s="29"/>
      <c r="S1718" s="29"/>
      <c r="T1718" s="30"/>
      <c r="U1718" s="47" t="str">
        <f aca="false">IF(AND(B1718&lt;&gt;"",B1718=SW別シート!$C$3),COUNTIF(B$5:B1718,B1718),"")</f>
        <v/>
      </c>
      <c r="V1718" s="47" t="n">
        <f aca="false">V1717+IF(OR(O1718&lt;&gt;"",W1718&lt;&gt;""),1,0)</f>
        <v>3</v>
      </c>
      <c r="W1718" s="29"/>
    </row>
    <row r="1719" customFormat="false" ht="15" hidden="false" customHeight="false" outlineLevel="0" collapsed="false">
      <c r="A1719" s="32" t="str">
        <f aca="false">IF(B1719="","",ROW()-7)</f>
        <v/>
      </c>
      <c r="B1719" s="30"/>
      <c r="C1719" s="29"/>
      <c r="D1719" s="29"/>
      <c r="E1719" s="29"/>
      <c r="F1719" s="30"/>
      <c r="G1719" s="29"/>
      <c r="H1719" s="30"/>
      <c r="I1719" s="29"/>
      <c r="J1719" s="30"/>
      <c r="K1719" s="30"/>
      <c r="L1719" s="29"/>
      <c r="M1719" s="32" t="str">
        <f aca="false">IF(OR(C1719="",L1719=""),"",IF(C1719=L1719,"同一","変更"))</f>
        <v/>
      </c>
      <c r="N1719" s="29"/>
      <c r="O1719" s="30"/>
      <c r="P1719" s="29"/>
      <c r="Q1719" s="31"/>
      <c r="R1719" s="29"/>
      <c r="S1719" s="29"/>
      <c r="T1719" s="30"/>
      <c r="U1719" s="47" t="str">
        <f aca="false">IF(AND(B1719&lt;&gt;"",B1719=SW別シート!$C$3),COUNTIF(B$5:B1719,B1719),"")</f>
        <v/>
      </c>
      <c r="V1719" s="47" t="n">
        <f aca="false">V1718+IF(OR(O1719&lt;&gt;"",W1719&lt;&gt;""),1,0)</f>
        <v>3</v>
      </c>
      <c r="W1719" s="29"/>
    </row>
    <row r="1720" customFormat="false" ht="15" hidden="false" customHeight="false" outlineLevel="0" collapsed="false">
      <c r="A1720" s="32" t="str">
        <f aca="false">IF(B1720="","",ROW()-7)</f>
        <v/>
      </c>
      <c r="B1720" s="30"/>
      <c r="C1720" s="29"/>
      <c r="D1720" s="29"/>
      <c r="E1720" s="29"/>
      <c r="F1720" s="30"/>
      <c r="G1720" s="29"/>
      <c r="H1720" s="30"/>
      <c r="I1720" s="29"/>
      <c r="J1720" s="30"/>
      <c r="K1720" s="30"/>
      <c r="L1720" s="29"/>
      <c r="M1720" s="32" t="str">
        <f aca="false">IF(OR(C1720="",L1720=""),"",IF(C1720=L1720,"同一","変更"))</f>
        <v/>
      </c>
      <c r="N1720" s="29"/>
      <c r="O1720" s="30"/>
      <c r="P1720" s="29"/>
      <c r="Q1720" s="31"/>
      <c r="R1720" s="29"/>
      <c r="S1720" s="29"/>
      <c r="T1720" s="30"/>
      <c r="U1720" s="47" t="str">
        <f aca="false">IF(AND(B1720&lt;&gt;"",B1720=SW別シート!$C$3),COUNTIF(B$5:B1720,B1720),"")</f>
        <v/>
      </c>
      <c r="V1720" s="47" t="n">
        <f aca="false">V1719+IF(OR(O1720&lt;&gt;"",W1720&lt;&gt;""),1,0)</f>
        <v>3</v>
      </c>
      <c r="W1720" s="29"/>
    </row>
    <row r="1721" customFormat="false" ht="15" hidden="false" customHeight="false" outlineLevel="0" collapsed="false">
      <c r="A1721" s="32" t="str">
        <f aca="false">IF(B1721="","",ROW()-7)</f>
        <v/>
      </c>
      <c r="B1721" s="30"/>
      <c r="C1721" s="29"/>
      <c r="D1721" s="29"/>
      <c r="E1721" s="29"/>
      <c r="F1721" s="30"/>
      <c r="G1721" s="29"/>
      <c r="H1721" s="30"/>
      <c r="I1721" s="29"/>
      <c r="J1721" s="30"/>
      <c r="K1721" s="30"/>
      <c r="L1721" s="29"/>
      <c r="M1721" s="32" t="str">
        <f aca="false">IF(OR(C1721="",L1721=""),"",IF(C1721=L1721,"同一","変更"))</f>
        <v/>
      </c>
      <c r="N1721" s="29"/>
      <c r="O1721" s="30"/>
      <c r="P1721" s="29"/>
      <c r="Q1721" s="31"/>
      <c r="R1721" s="29"/>
      <c r="S1721" s="29"/>
      <c r="T1721" s="30"/>
      <c r="U1721" s="47" t="str">
        <f aca="false">IF(AND(B1721&lt;&gt;"",B1721=SW別シート!$C$3),COUNTIF(B$5:B1721,B1721),"")</f>
        <v/>
      </c>
      <c r="V1721" s="47" t="n">
        <f aca="false">V1720+IF(OR(O1721&lt;&gt;"",W1721&lt;&gt;""),1,0)</f>
        <v>3</v>
      </c>
      <c r="W1721" s="29"/>
    </row>
    <row r="1722" customFormat="false" ht="15" hidden="false" customHeight="false" outlineLevel="0" collapsed="false">
      <c r="A1722" s="32" t="str">
        <f aca="false">IF(B1722="","",ROW()-7)</f>
        <v/>
      </c>
      <c r="B1722" s="30"/>
      <c r="C1722" s="29"/>
      <c r="D1722" s="29"/>
      <c r="E1722" s="29"/>
      <c r="F1722" s="30"/>
      <c r="G1722" s="29"/>
      <c r="H1722" s="30"/>
      <c r="I1722" s="29"/>
      <c r="J1722" s="30"/>
      <c r="K1722" s="30"/>
      <c r="L1722" s="29"/>
      <c r="M1722" s="32" t="str">
        <f aca="false">IF(OR(C1722="",L1722=""),"",IF(C1722=L1722,"同一","変更"))</f>
        <v/>
      </c>
      <c r="N1722" s="29"/>
      <c r="O1722" s="30"/>
      <c r="P1722" s="29"/>
      <c r="Q1722" s="31"/>
      <c r="R1722" s="29"/>
      <c r="S1722" s="29"/>
      <c r="T1722" s="30"/>
      <c r="U1722" s="47" t="str">
        <f aca="false">IF(AND(B1722&lt;&gt;"",B1722=SW別シート!$C$3),COUNTIF(B$5:B1722,B1722),"")</f>
        <v/>
      </c>
      <c r="V1722" s="47" t="n">
        <f aca="false">V1721+IF(OR(O1722&lt;&gt;"",W1722&lt;&gt;""),1,0)</f>
        <v>3</v>
      </c>
      <c r="W1722" s="29"/>
    </row>
    <row r="1723" customFormat="false" ht="15" hidden="false" customHeight="false" outlineLevel="0" collapsed="false">
      <c r="A1723" s="32" t="str">
        <f aca="false">IF(B1723="","",ROW()-7)</f>
        <v/>
      </c>
      <c r="B1723" s="30"/>
      <c r="C1723" s="29"/>
      <c r="D1723" s="29"/>
      <c r="E1723" s="29"/>
      <c r="F1723" s="30"/>
      <c r="G1723" s="29"/>
      <c r="H1723" s="30"/>
      <c r="I1723" s="29"/>
      <c r="J1723" s="30"/>
      <c r="K1723" s="30"/>
      <c r="L1723" s="29"/>
      <c r="M1723" s="32" t="str">
        <f aca="false">IF(OR(C1723="",L1723=""),"",IF(C1723=L1723,"同一","変更"))</f>
        <v/>
      </c>
      <c r="N1723" s="29"/>
      <c r="O1723" s="30"/>
      <c r="P1723" s="29"/>
      <c r="Q1723" s="31"/>
      <c r="R1723" s="29"/>
      <c r="S1723" s="29"/>
      <c r="T1723" s="30"/>
      <c r="U1723" s="47" t="str">
        <f aca="false">IF(AND(B1723&lt;&gt;"",B1723=SW別シート!$C$3),COUNTIF(B$5:B1723,B1723),"")</f>
        <v/>
      </c>
      <c r="V1723" s="47" t="n">
        <f aca="false">V1722+IF(OR(O1723&lt;&gt;"",W1723&lt;&gt;""),1,0)</f>
        <v>3</v>
      </c>
      <c r="W1723" s="29"/>
    </row>
    <row r="1724" customFormat="false" ht="15" hidden="false" customHeight="false" outlineLevel="0" collapsed="false">
      <c r="A1724" s="32" t="str">
        <f aca="false">IF(B1724="","",ROW()-7)</f>
        <v/>
      </c>
      <c r="B1724" s="30"/>
      <c r="C1724" s="29"/>
      <c r="D1724" s="29"/>
      <c r="E1724" s="29"/>
      <c r="F1724" s="30"/>
      <c r="G1724" s="29"/>
      <c r="H1724" s="30"/>
      <c r="I1724" s="29"/>
      <c r="J1724" s="30"/>
      <c r="K1724" s="30"/>
      <c r="L1724" s="29"/>
      <c r="M1724" s="32" t="str">
        <f aca="false">IF(OR(C1724="",L1724=""),"",IF(C1724=L1724,"同一","変更"))</f>
        <v/>
      </c>
      <c r="N1724" s="29"/>
      <c r="O1724" s="30"/>
      <c r="P1724" s="29"/>
      <c r="Q1724" s="31"/>
      <c r="R1724" s="29"/>
      <c r="S1724" s="29"/>
      <c r="T1724" s="30"/>
      <c r="U1724" s="47" t="str">
        <f aca="false">IF(AND(B1724&lt;&gt;"",B1724=SW別シート!$C$3),COUNTIF(B$5:B1724,B1724),"")</f>
        <v/>
      </c>
      <c r="V1724" s="47" t="n">
        <f aca="false">V1723+IF(OR(O1724&lt;&gt;"",W1724&lt;&gt;""),1,0)</f>
        <v>3</v>
      </c>
      <c r="W1724" s="29"/>
    </row>
    <row r="1725" customFormat="false" ht="15" hidden="false" customHeight="false" outlineLevel="0" collapsed="false">
      <c r="A1725" s="32" t="str">
        <f aca="false">IF(B1725="","",ROW()-7)</f>
        <v/>
      </c>
      <c r="B1725" s="30"/>
      <c r="C1725" s="29"/>
      <c r="D1725" s="29"/>
      <c r="E1725" s="29"/>
      <c r="F1725" s="30"/>
      <c r="G1725" s="29"/>
      <c r="H1725" s="30"/>
      <c r="I1725" s="29"/>
      <c r="J1725" s="30"/>
      <c r="K1725" s="30"/>
      <c r="L1725" s="29"/>
      <c r="M1725" s="32" t="str">
        <f aca="false">IF(OR(C1725="",L1725=""),"",IF(C1725=L1725,"同一","変更"))</f>
        <v/>
      </c>
      <c r="N1725" s="29"/>
      <c r="O1725" s="30"/>
      <c r="P1725" s="29"/>
      <c r="Q1725" s="31"/>
      <c r="R1725" s="29"/>
      <c r="S1725" s="29"/>
      <c r="T1725" s="30"/>
      <c r="U1725" s="47" t="str">
        <f aca="false">IF(AND(B1725&lt;&gt;"",B1725=SW別シート!$C$3),COUNTIF(B$5:B1725,B1725),"")</f>
        <v/>
      </c>
      <c r="V1725" s="47" t="n">
        <f aca="false">V1724+IF(OR(O1725&lt;&gt;"",W1725&lt;&gt;""),1,0)</f>
        <v>3</v>
      </c>
      <c r="W1725" s="29"/>
    </row>
    <row r="1726" customFormat="false" ht="15" hidden="false" customHeight="false" outlineLevel="0" collapsed="false">
      <c r="A1726" s="32" t="str">
        <f aca="false">IF(B1726="","",ROW()-7)</f>
        <v/>
      </c>
      <c r="B1726" s="30"/>
      <c r="C1726" s="29"/>
      <c r="D1726" s="29"/>
      <c r="E1726" s="29"/>
      <c r="F1726" s="30"/>
      <c r="G1726" s="29"/>
      <c r="H1726" s="30"/>
      <c r="I1726" s="29"/>
      <c r="J1726" s="30"/>
      <c r="K1726" s="30"/>
      <c r="L1726" s="29"/>
      <c r="M1726" s="32" t="str">
        <f aca="false">IF(OR(C1726="",L1726=""),"",IF(C1726=L1726,"同一","変更"))</f>
        <v/>
      </c>
      <c r="N1726" s="29"/>
      <c r="O1726" s="30"/>
      <c r="P1726" s="29"/>
      <c r="Q1726" s="31"/>
      <c r="R1726" s="29"/>
      <c r="S1726" s="29"/>
      <c r="T1726" s="30"/>
      <c r="U1726" s="47" t="str">
        <f aca="false">IF(AND(B1726&lt;&gt;"",B1726=SW別シート!$C$3),COUNTIF(B$5:B1726,B1726),"")</f>
        <v/>
      </c>
      <c r="V1726" s="47" t="n">
        <f aca="false">V1725+IF(OR(O1726&lt;&gt;"",W1726&lt;&gt;""),1,0)</f>
        <v>3</v>
      </c>
      <c r="W1726" s="29"/>
    </row>
    <row r="1727" customFormat="false" ht="15" hidden="false" customHeight="false" outlineLevel="0" collapsed="false">
      <c r="A1727" s="32" t="str">
        <f aca="false">IF(B1727="","",ROW()-7)</f>
        <v/>
      </c>
      <c r="B1727" s="30"/>
      <c r="C1727" s="29"/>
      <c r="D1727" s="29"/>
      <c r="E1727" s="29"/>
      <c r="F1727" s="30"/>
      <c r="G1727" s="29"/>
      <c r="H1727" s="30"/>
      <c r="I1727" s="29"/>
      <c r="J1727" s="30"/>
      <c r="K1727" s="30"/>
      <c r="L1727" s="29"/>
      <c r="M1727" s="32" t="str">
        <f aca="false">IF(OR(C1727="",L1727=""),"",IF(C1727=L1727,"同一","変更"))</f>
        <v/>
      </c>
      <c r="N1727" s="29"/>
      <c r="O1727" s="30"/>
      <c r="P1727" s="29"/>
      <c r="Q1727" s="31"/>
      <c r="R1727" s="29"/>
      <c r="S1727" s="29"/>
      <c r="T1727" s="30"/>
      <c r="U1727" s="47" t="str">
        <f aca="false">IF(AND(B1727&lt;&gt;"",B1727=SW別シート!$C$3),COUNTIF(B$5:B1727,B1727),"")</f>
        <v/>
      </c>
      <c r="V1727" s="47" t="n">
        <f aca="false">V1726+IF(OR(O1727&lt;&gt;"",W1727&lt;&gt;""),1,0)</f>
        <v>3</v>
      </c>
      <c r="W1727" s="29"/>
    </row>
    <row r="1728" customFormat="false" ht="15" hidden="false" customHeight="false" outlineLevel="0" collapsed="false">
      <c r="A1728" s="32" t="str">
        <f aca="false">IF(B1728="","",ROW()-7)</f>
        <v/>
      </c>
      <c r="B1728" s="30"/>
      <c r="C1728" s="29"/>
      <c r="D1728" s="29"/>
      <c r="E1728" s="29"/>
      <c r="F1728" s="30"/>
      <c r="G1728" s="29"/>
      <c r="H1728" s="30"/>
      <c r="I1728" s="29"/>
      <c r="J1728" s="30"/>
      <c r="K1728" s="30"/>
      <c r="L1728" s="29"/>
      <c r="M1728" s="32" t="str">
        <f aca="false">IF(OR(C1728="",L1728=""),"",IF(C1728=L1728,"同一","変更"))</f>
        <v/>
      </c>
      <c r="N1728" s="29"/>
      <c r="O1728" s="30"/>
      <c r="P1728" s="29"/>
      <c r="Q1728" s="31"/>
      <c r="R1728" s="29"/>
      <c r="S1728" s="29"/>
      <c r="T1728" s="30"/>
      <c r="U1728" s="47" t="str">
        <f aca="false">IF(AND(B1728&lt;&gt;"",B1728=SW別シート!$C$3),COUNTIF(B$5:B1728,B1728),"")</f>
        <v/>
      </c>
      <c r="V1728" s="47" t="n">
        <f aca="false">V1727+IF(OR(O1728&lt;&gt;"",W1728&lt;&gt;""),1,0)</f>
        <v>3</v>
      </c>
      <c r="W1728" s="29"/>
    </row>
    <row r="1729" customFormat="false" ht="15" hidden="false" customHeight="false" outlineLevel="0" collapsed="false">
      <c r="A1729" s="32" t="str">
        <f aca="false">IF(B1729="","",ROW()-7)</f>
        <v/>
      </c>
      <c r="B1729" s="30"/>
      <c r="C1729" s="29"/>
      <c r="D1729" s="29"/>
      <c r="E1729" s="29"/>
      <c r="F1729" s="30"/>
      <c r="G1729" s="29"/>
      <c r="H1729" s="30"/>
      <c r="I1729" s="29"/>
      <c r="J1729" s="30"/>
      <c r="K1729" s="30"/>
      <c r="L1729" s="29"/>
      <c r="M1729" s="32" t="str">
        <f aca="false">IF(OR(C1729="",L1729=""),"",IF(C1729=L1729,"同一","変更"))</f>
        <v/>
      </c>
      <c r="N1729" s="29"/>
      <c r="O1729" s="30"/>
      <c r="P1729" s="29"/>
      <c r="Q1729" s="31"/>
      <c r="R1729" s="29"/>
      <c r="S1729" s="29"/>
      <c r="T1729" s="30"/>
      <c r="U1729" s="47" t="str">
        <f aca="false">IF(AND(B1729&lt;&gt;"",B1729=SW別シート!$C$3),COUNTIF(B$5:B1729,B1729),"")</f>
        <v/>
      </c>
      <c r="V1729" s="47" t="n">
        <f aca="false">V1728+IF(OR(O1729&lt;&gt;"",W1729&lt;&gt;""),1,0)</f>
        <v>3</v>
      </c>
      <c r="W1729" s="29"/>
    </row>
    <row r="1730" customFormat="false" ht="15" hidden="false" customHeight="false" outlineLevel="0" collapsed="false">
      <c r="A1730" s="32" t="str">
        <f aca="false">IF(B1730="","",ROW()-7)</f>
        <v/>
      </c>
      <c r="B1730" s="30"/>
      <c r="C1730" s="29"/>
      <c r="D1730" s="29"/>
      <c r="E1730" s="29"/>
      <c r="F1730" s="30"/>
      <c r="G1730" s="29"/>
      <c r="H1730" s="30"/>
      <c r="I1730" s="29"/>
      <c r="J1730" s="30"/>
      <c r="K1730" s="30"/>
      <c r="L1730" s="29"/>
      <c r="M1730" s="32" t="str">
        <f aca="false">IF(OR(C1730="",L1730=""),"",IF(C1730=L1730,"同一","変更"))</f>
        <v/>
      </c>
      <c r="N1730" s="29"/>
      <c r="O1730" s="30"/>
      <c r="P1730" s="29"/>
      <c r="Q1730" s="31"/>
      <c r="R1730" s="29"/>
      <c r="S1730" s="29"/>
      <c r="T1730" s="30"/>
      <c r="U1730" s="47" t="str">
        <f aca="false">IF(AND(B1730&lt;&gt;"",B1730=SW別シート!$C$3),COUNTIF(B$5:B1730,B1730),"")</f>
        <v/>
      </c>
      <c r="V1730" s="47" t="n">
        <f aca="false">V1729+IF(OR(O1730&lt;&gt;"",W1730&lt;&gt;""),1,0)</f>
        <v>3</v>
      </c>
      <c r="W1730" s="29"/>
    </row>
    <row r="1731" customFormat="false" ht="15" hidden="false" customHeight="false" outlineLevel="0" collapsed="false">
      <c r="A1731" s="32" t="str">
        <f aca="false">IF(B1731="","",ROW()-7)</f>
        <v/>
      </c>
      <c r="B1731" s="30"/>
      <c r="C1731" s="29"/>
      <c r="D1731" s="29"/>
      <c r="E1731" s="29"/>
      <c r="F1731" s="30"/>
      <c r="G1731" s="29"/>
      <c r="H1731" s="30"/>
      <c r="I1731" s="29"/>
      <c r="J1731" s="30"/>
      <c r="K1731" s="30"/>
      <c r="L1731" s="29"/>
      <c r="M1731" s="32" t="str">
        <f aca="false">IF(OR(C1731="",L1731=""),"",IF(C1731=L1731,"同一","変更"))</f>
        <v/>
      </c>
      <c r="N1731" s="29"/>
      <c r="O1731" s="30"/>
      <c r="P1731" s="29"/>
      <c r="Q1731" s="31"/>
      <c r="R1731" s="29"/>
      <c r="S1731" s="29"/>
      <c r="T1731" s="30"/>
      <c r="U1731" s="47" t="str">
        <f aca="false">IF(AND(B1731&lt;&gt;"",B1731=SW別シート!$C$3),COUNTIF(B$5:B1731,B1731),"")</f>
        <v/>
      </c>
      <c r="V1731" s="47" t="n">
        <f aca="false">V1730+IF(OR(O1731&lt;&gt;"",W1731&lt;&gt;""),1,0)</f>
        <v>3</v>
      </c>
      <c r="W1731" s="29"/>
    </row>
    <row r="1732" customFormat="false" ht="15" hidden="false" customHeight="false" outlineLevel="0" collapsed="false">
      <c r="A1732" s="32" t="str">
        <f aca="false">IF(B1732="","",ROW()-7)</f>
        <v/>
      </c>
      <c r="B1732" s="30"/>
      <c r="C1732" s="29"/>
      <c r="D1732" s="29"/>
      <c r="E1732" s="29"/>
      <c r="F1732" s="30"/>
      <c r="G1732" s="29"/>
      <c r="H1732" s="30"/>
      <c r="I1732" s="29"/>
      <c r="J1732" s="30"/>
      <c r="K1732" s="30"/>
      <c r="L1732" s="29"/>
      <c r="M1732" s="32" t="str">
        <f aca="false">IF(OR(C1732="",L1732=""),"",IF(C1732=L1732,"同一","変更"))</f>
        <v/>
      </c>
      <c r="N1732" s="29"/>
      <c r="O1732" s="30"/>
      <c r="P1732" s="29"/>
      <c r="Q1732" s="31"/>
      <c r="R1732" s="29"/>
      <c r="S1732" s="29"/>
      <c r="T1732" s="30"/>
      <c r="U1732" s="47" t="str">
        <f aca="false">IF(AND(B1732&lt;&gt;"",B1732=SW別シート!$C$3),COUNTIF(B$5:B1732,B1732),"")</f>
        <v/>
      </c>
      <c r="V1732" s="47" t="n">
        <f aca="false">V1731+IF(OR(O1732&lt;&gt;"",W1732&lt;&gt;""),1,0)</f>
        <v>3</v>
      </c>
      <c r="W1732" s="29"/>
    </row>
    <row r="1733" customFormat="false" ht="15" hidden="false" customHeight="false" outlineLevel="0" collapsed="false">
      <c r="A1733" s="32" t="str">
        <f aca="false">IF(B1733="","",ROW()-7)</f>
        <v/>
      </c>
      <c r="B1733" s="30"/>
      <c r="C1733" s="29"/>
      <c r="D1733" s="29"/>
      <c r="E1733" s="29"/>
      <c r="F1733" s="30"/>
      <c r="G1733" s="29"/>
      <c r="H1733" s="30"/>
      <c r="I1733" s="29"/>
      <c r="J1733" s="30"/>
      <c r="K1733" s="30"/>
      <c r="L1733" s="29"/>
      <c r="M1733" s="32" t="str">
        <f aca="false">IF(OR(C1733="",L1733=""),"",IF(C1733=L1733,"同一","変更"))</f>
        <v/>
      </c>
      <c r="N1733" s="29"/>
      <c r="O1733" s="30"/>
      <c r="P1733" s="29"/>
      <c r="Q1733" s="31"/>
      <c r="R1733" s="29"/>
      <c r="S1733" s="29"/>
      <c r="T1733" s="30"/>
      <c r="U1733" s="47" t="str">
        <f aca="false">IF(AND(B1733&lt;&gt;"",B1733=SW別シート!$C$3),COUNTIF(B$5:B1733,B1733),"")</f>
        <v/>
      </c>
      <c r="V1733" s="47" t="n">
        <f aca="false">V1732+IF(OR(O1733&lt;&gt;"",W1733&lt;&gt;""),1,0)</f>
        <v>3</v>
      </c>
      <c r="W1733" s="29"/>
    </row>
    <row r="1734" customFormat="false" ht="15" hidden="false" customHeight="false" outlineLevel="0" collapsed="false">
      <c r="A1734" s="32" t="str">
        <f aca="false">IF(B1734="","",ROW()-7)</f>
        <v/>
      </c>
      <c r="B1734" s="30"/>
      <c r="C1734" s="29"/>
      <c r="D1734" s="29"/>
      <c r="E1734" s="29"/>
      <c r="F1734" s="30"/>
      <c r="G1734" s="29"/>
      <c r="H1734" s="30"/>
      <c r="I1734" s="29"/>
      <c r="J1734" s="30"/>
      <c r="K1734" s="30"/>
      <c r="L1734" s="29"/>
      <c r="M1734" s="32" t="str">
        <f aca="false">IF(OR(C1734="",L1734=""),"",IF(C1734=L1734,"同一","変更"))</f>
        <v/>
      </c>
      <c r="N1734" s="29"/>
      <c r="O1734" s="30"/>
      <c r="P1734" s="29"/>
      <c r="Q1734" s="31"/>
      <c r="R1734" s="29"/>
      <c r="S1734" s="29"/>
      <c r="T1734" s="30"/>
      <c r="U1734" s="47" t="str">
        <f aca="false">IF(AND(B1734&lt;&gt;"",B1734=SW別シート!$C$3),COUNTIF(B$5:B1734,B1734),"")</f>
        <v/>
      </c>
      <c r="V1734" s="47" t="n">
        <f aca="false">V1733+IF(OR(O1734&lt;&gt;"",W1734&lt;&gt;""),1,0)</f>
        <v>3</v>
      </c>
      <c r="W1734" s="29"/>
    </row>
    <row r="1735" customFormat="false" ht="15" hidden="false" customHeight="false" outlineLevel="0" collapsed="false">
      <c r="A1735" s="32" t="str">
        <f aca="false">IF(B1735="","",ROW()-7)</f>
        <v/>
      </c>
      <c r="B1735" s="30"/>
      <c r="C1735" s="29"/>
      <c r="D1735" s="29"/>
      <c r="E1735" s="29"/>
      <c r="F1735" s="30"/>
      <c r="G1735" s="29"/>
      <c r="H1735" s="30"/>
      <c r="I1735" s="29"/>
      <c r="J1735" s="30"/>
      <c r="K1735" s="30"/>
      <c r="L1735" s="29"/>
      <c r="M1735" s="32" t="str">
        <f aca="false">IF(OR(C1735="",L1735=""),"",IF(C1735=L1735,"同一","変更"))</f>
        <v/>
      </c>
      <c r="N1735" s="29"/>
      <c r="O1735" s="30"/>
      <c r="P1735" s="29"/>
      <c r="Q1735" s="31"/>
      <c r="R1735" s="29"/>
      <c r="S1735" s="29"/>
      <c r="T1735" s="30"/>
      <c r="U1735" s="47" t="str">
        <f aca="false">IF(AND(B1735&lt;&gt;"",B1735=SW別シート!$C$3),COUNTIF(B$5:B1735,B1735),"")</f>
        <v/>
      </c>
      <c r="V1735" s="47" t="n">
        <f aca="false">V1734+IF(OR(O1735&lt;&gt;"",W1735&lt;&gt;""),1,0)</f>
        <v>3</v>
      </c>
      <c r="W1735" s="29"/>
    </row>
    <row r="1736" customFormat="false" ht="15" hidden="false" customHeight="false" outlineLevel="0" collapsed="false">
      <c r="A1736" s="32" t="str">
        <f aca="false">IF(B1736="","",ROW()-7)</f>
        <v/>
      </c>
      <c r="B1736" s="30"/>
      <c r="C1736" s="29"/>
      <c r="D1736" s="29"/>
      <c r="E1736" s="29"/>
      <c r="F1736" s="30"/>
      <c r="G1736" s="29"/>
      <c r="H1736" s="30"/>
      <c r="I1736" s="29"/>
      <c r="J1736" s="30"/>
      <c r="K1736" s="30"/>
      <c r="L1736" s="29"/>
      <c r="M1736" s="32" t="str">
        <f aca="false">IF(OR(C1736="",L1736=""),"",IF(C1736=L1736,"同一","変更"))</f>
        <v/>
      </c>
      <c r="N1736" s="29"/>
      <c r="O1736" s="30"/>
      <c r="P1736" s="29"/>
      <c r="Q1736" s="31"/>
      <c r="R1736" s="29"/>
      <c r="S1736" s="29"/>
      <c r="T1736" s="30"/>
      <c r="U1736" s="47" t="str">
        <f aca="false">IF(AND(B1736&lt;&gt;"",B1736=SW別シート!$C$3),COUNTIF(B$5:B1736,B1736),"")</f>
        <v/>
      </c>
      <c r="V1736" s="47" t="n">
        <f aca="false">V1735+IF(OR(O1736&lt;&gt;"",W1736&lt;&gt;""),1,0)</f>
        <v>3</v>
      </c>
      <c r="W1736" s="29"/>
    </row>
    <row r="1737" customFormat="false" ht="15" hidden="false" customHeight="false" outlineLevel="0" collapsed="false">
      <c r="A1737" s="32" t="str">
        <f aca="false">IF(B1737="","",ROW()-7)</f>
        <v/>
      </c>
      <c r="B1737" s="30"/>
      <c r="C1737" s="29"/>
      <c r="D1737" s="29"/>
      <c r="E1737" s="29"/>
      <c r="F1737" s="30"/>
      <c r="G1737" s="29"/>
      <c r="H1737" s="30"/>
      <c r="I1737" s="29"/>
      <c r="J1737" s="30"/>
      <c r="K1737" s="30"/>
      <c r="L1737" s="29"/>
      <c r="M1737" s="32" t="str">
        <f aca="false">IF(OR(C1737="",L1737=""),"",IF(C1737=L1737,"同一","変更"))</f>
        <v/>
      </c>
      <c r="N1737" s="29"/>
      <c r="O1737" s="30"/>
      <c r="P1737" s="29"/>
      <c r="Q1737" s="31"/>
      <c r="R1737" s="29"/>
      <c r="S1737" s="29"/>
      <c r="T1737" s="30"/>
      <c r="U1737" s="47" t="str">
        <f aca="false">IF(AND(B1737&lt;&gt;"",B1737=SW別シート!$C$3),COUNTIF(B$5:B1737,B1737),"")</f>
        <v/>
      </c>
      <c r="V1737" s="47" t="n">
        <f aca="false">V1736+IF(OR(O1737&lt;&gt;"",W1737&lt;&gt;""),1,0)</f>
        <v>3</v>
      </c>
      <c r="W1737" s="29"/>
    </row>
    <row r="1738" customFormat="false" ht="15" hidden="false" customHeight="false" outlineLevel="0" collapsed="false">
      <c r="A1738" s="32" t="str">
        <f aca="false">IF(B1738="","",ROW()-7)</f>
        <v/>
      </c>
      <c r="B1738" s="30"/>
      <c r="C1738" s="29"/>
      <c r="D1738" s="29"/>
      <c r="E1738" s="29"/>
      <c r="F1738" s="30"/>
      <c r="G1738" s="29"/>
      <c r="H1738" s="30"/>
      <c r="I1738" s="29"/>
      <c r="J1738" s="30"/>
      <c r="K1738" s="30"/>
      <c r="L1738" s="29"/>
      <c r="M1738" s="32" t="str">
        <f aca="false">IF(OR(C1738="",L1738=""),"",IF(C1738=L1738,"同一","変更"))</f>
        <v/>
      </c>
      <c r="N1738" s="29"/>
      <c r="O1738" s="30"/>
      <c r="P1738" s="29"/>
      <c r="Q1738" s="31"/>
      <c r="R1738" s="29"/>
      <c r="S1738" s="29"/>
      <c r="T1738" s="30"/>
      <c r="U1738" s="47" t="str">
        <f aca="false">IF(AND(B1738&lt;&gt;"",B1738=SW別シート!$C$3),COUNTIF(B$5:B1738,B1738),"")</f>
        <v/>
      </c>
      <c r="V1738" s="47" t="n">
        <f aca="false">V1737+IF(OR(O1738&lt;&gt;"",W1738&lt;&gt;""),1,0)</f>
        <v>3</v>
      </c>
      <c r="W1738" s="29"/>
    </row>
    <row r="1739" customFormat="false" ht="15" hidden="false" customHeight="false" outlineLevel="0" collapsed="false">
      <c r="A1739" s="32" t="str">
        <f aca="false">IF(B1739="","",ROW()-7)</f>
        <v/>
      </c>
      <c r="B1739" s="30"/>
      <c r="C1739" s="29"/>
      <c r="D1739" s="29"/>
      <c r="E1739" s="29"/>
      <c r="F1739" s="30"/>
      <c r="G1739" s="29"/>
      <c r="H1739" s="30"/>
      <c r="I1739" s="29"/>
      <c r="J1739" s="30"/>
      <c r="K1739" s="30"/>
      <c r="L1739" s="29"/>
      <c r="M1739" s="32" t="str">
        <f aca="false">IF(OR(C1739="",L1739=""),"",IF(C1739=L1739,"同一","変更"))</f>
        <v/>
      </c>
      <c r="N1739" s="29"/>
      <c r="O1739" s="30"/>
      <c r="P1739" s="29"/>
      <c r="Q1739" s="31"/>
      <c r="R1739" s="29"/>
      <c r="S1739" s="29"/>
      <c r="T1739" s="30"/>
      <c r="U1739" s="47" t="str">
        <f aca="false">IF(AND(B1739&lt;&gt;"",B1739=SW別シート!$C$3),COUNTIF(B$5:B1739,B1739),"")</f>
        <v/>
      </c>
      <c r="V1739" s="47" t="n">
        <f aca="false">V1738+IF(OR(O1739&lt;&gt;"",W1739&lt;&gt;""),1,0)</f>
        <v>3</v>
      </c>
      <c r="W1739" s="29"/>
    </row>
    <row r="1740" customFormat="false" ht="15" hidden="false" customHeight="false" outlineLevel="0" collapsed="false">
      <c r="A1740" s="32" t="str">
        <f aca="false">IF(B1740="","",ROW()-7)</f>
        <v/>
      </c>
      <c r="B1740" s="30"/>
      <c r="C1740" s="29"/>
      <c r="D1740" s="29"/>
      <c r="E1740" s="29"/>
      <c r="F1740" s="30"/>
      <c r="G1740" s="29"/>
      <c r="H1740" s="30"/>
      <c r="I1740" s="29"/>
      <c r="J1740" s="30"/>
      <c r="K1740" s="30"/>
      <c r="L1740" s="29"/>
      <c r="M1740" s="32" t="str">
        <f aca="false">IF(OR(C1740="",L1740=""),"",IF(C1740=L1740,"同一","変更"))</f>
        <v/>
      </c>
      <c r="N1740" s="29"/>
      <c r="O1740" s="30"/>
      <c r="P1740" s="29"/>
      <c r="Q1740" s="31"/>
      <c r="R1740" s="29"/>
      <c r="S1740" s="29"/>
      <c r="T1740" s="30"/>
      <c r="U1740" s="47" t="str">
        <f aca="false">IF(AND(B1740&lt;&gt;"",B1740=SW別シート!$C$3),COUNTIF(B$5:B1740,B1740),"")</f>
        <v/>
      </c>
      <c r="V1740" s="47" t="n">
        <f aca="false">V1739+IF(OR(O1740&lt;&gt;"",W1740&lt;&gt;""),1,0)</f>
        <v>3</v>
      </c>
      <c r="W1740" s="29"/>
    </row>
    <row r="1741" customFormat="false" ht="15" hidden="false" customHeight="false" outlineLevel="0" collapsed="false">
      <c r="A1741" s="32" t="str">
        <f aca="false">IF(B1741="","",ROW()-7)</f>
        <v/>
      </c>
      <c r="B1741" s="30"/>
      <c r="C1741" s="29"/>
      <c r="D1741" s="29"/>
      <c r="E1741" s="29"/>
      <c r="F1741" s="30"/>
      <c r="G1741" s="29"/>
      <c r="H1741" s="30"/>
      <c r="I1741" s="29"/>
      <c r="J1741" s="30"/>
      <c r="K1741" s="30"/>
      <c r="L1741" s="29"/>
      <c r="M1741" s="32" t="str">
        <f aca="false">IF(OR(C1741="",L1741=""),"",IF(C1741=L1741,"同一","変更"))</f>
        <v/>
      </c>
      <c r="N1741" s="29"/>
      <c r="O1741" s="30"/>
      <c r="P1741" s="29"/>
      <c r="Q1741" s="31"/>
      <c r="R1741" s="29"/>
      <c r="S1741" s="29"/>
      <c r="T1741" s="30"/>
      <c r="U1741" s="47" t="str">
        <f aca="false">IF(AND(B1741&lt;&gt;"",B1741=SW別シート!$C$3),COUNTIF(B$5:B1741,B1741),"")</f>
        <v/>
      </c>
      <c r="V1741" s="47" t="n">
        <f aca="false">V1740+IF(OR(O1741&lt;&gt;"",W1741&lt;&gt;""),1,0)</f>
        <v>3</v>
      </c>
      <c r="W1741" s="29"/>
    </row>
    <row r="1742" customFormat="false" ht="15" hidden="false" customHeight="false" outlineLevel="0" collapsed="false">
      <c r="A1742" s="32" t="str">
        <f aca="false">IF(B1742="","",ROW()-7)</f>
        <v/>
      </c>
      <c r="B1742" s="30"/>
      <c r="C1742" s="29"/>
      <c r="D1742" s="29"/>
      <c r="E1742" s="29"/>
      <c r="F1742" s="30"/>
      <c r="G1742" s="29"/>
      <c r="H1742" s="30"/>
      <c r="I1742" s="29"/>
      <c r="J1742" s="30"/>
      <c r="K1742" s="30"/>
      <c r="L1742" s="29"/>
      <c r="M1742" s="32" t="str">
        <f aca="false">IF(OR(C1742="",L1742=""),"",IF(C1742=L1742,"同一","変更"))</f>
        <v/>
      </c>
      <c r="N1742" s="29"/>
      <c r="O1742" s="30"/>
      <c r="P1742" s="29"/>
      <c r="Q1742" s="31"/>
      <c r="R1742" s="29"/>
      <c r="S1742" s="29"/>
      <c r="T1742" s="30"/>
      <c r="U1742" s="47" t="str">
        <f aca="false">IF(AND(B1742&lt;&gt;"",B1742=SW別シート!$C$3),COUNTIF(B$5:B1742,B1742),"")</f>
        <v/>
      </c>
      <c r="V1742" s="47" t="n">
        <f aca="false">V1741+IF(OR(O1742&lt;&gt;"",W1742&lt;&gt;""),1,0)</f>
        <v>3</v>
      </c>
      <c r="W1742" s="29"/>
    </row>
    <row r="1743" customFormat="false" ht="15" hidden="false" customHeight="false" outlineLevel="0" collapsed="false">
      <c r="A1743" s="32" t="str">
        <f aca="false">IF(B1743="","",ROW()-7)</f>
        <v/>
      </c>
      <c r="B1743" s="30"/>
      <c r="C1743" s="29"/>
      <c r="D1743" s="29"/>
      <c r="E1743" s="29"/>
      <c r="F1743" s="30"/>
      <c r="G1743" s="29"/>
      <c r="H1743" s="30"/>
      <c r="I1743" s="29"/>
      <c r="J1743" s="30"/>
      <c r="K1743" s="30"/>
      <c r="L1743" s="29"/>
      <c r="M1743" s="32" t="str">
        <f aca="false">IF(OR(C1743="",L1743=""),"",IF(C1743=L1743,"同一","変更"))</f>
        <v/>
      </c>
      <c r="N1743" s="29"/>
      <c r="O1743" s="30"/>
      <c r="P1743" s="29"/>
      <c r="Q1743" s="31"/>
      <c r="R1743" s="29"/>
      <c r="S1743" s="29"/>
      <c r="T1743" s="30"/>
      <c r="U1743" s="47" t="str">
        <f aca="false">IF(AND(B1743&lt;&gt;"",B1743=SW別シート!$C$3),COUNTIF(B$5:B1743,B1743),"")</f>
        <v/>
      </c>
      <c r="V1743" s="47" t="n">
        <f aca="false">V1742+IF(OR(O1743&lt;&gt;"",W1743&lt;&gt;""),1,0)</f>
        <v>3</v>
      </c>
      <c r="W1743" s="29"/>
    </row>
    <row r="1744" customFormat="false" ht="15" hidden="false" customHeight="false" outlineLevel="0" collapsed="false">
      <c r="A1744" s="32" t="str">
        <f aca="false">IF(B1744="","",ROW()-7)</f>
        <v/>
      </c>
      <c r="B1744" s="30"/>
      <c r="C1744" s="29"/>
      <c r="D1744" s="29"/>
      <c r="E1744" s="29"/>
      <c r="F1744" s="30"/>
      <c r="G1744" s="29"/>
      <c r="H1744" s="30"/>
      <c r="I1744" s="29"/>
      <c r="J1744" s="30"/>
      <c r="K1744" s="30"/>
      <c r="L1744" s="29"/>
      <c r="M1744" s="32" t="str">
        <f aca="false">IF(OR(C1744="",L1744=""),"",IF(C1744=L1744,"同一","変更"))</f>
        <v/>
      </c>
      <c r="N1744" s="29"/>
      <c r="O1744" s="30"/>
      <c r="P1744" s="29"/>
      <c r="Q1744" s="31"/>
      <c r="R1744" s="29"/>
      <c r="S1744" s="29"/>
      <c r="T1744" s="30"/>
      <c r="U1744" s="47" t="str">
        <f aca="false">IF(AND(B1744&lt;&gt;"",B1744=SW別シート!$C$3),COUNTIF(B$5:B1744,B1744),"")</f>
        <v/>
      </c>
      <c r="V1744" s="47" t="n">
        <f aca="false">V1743+IF(OR(O1744&lt;&gt;"",W1744&lt;&gt;""),1,0)</f>
        <v>3</v>
      </c>
      <c r="W1744" s="29"/>
    </row>
    <row r="1745" customFormat="false" ht="15" hidden="false" customHeight="false" outlineLevel="0" collapsed="false">
      <c r="A1745" s="32" t="str">
        <f aca="false">IF(B1745="","",ROW()-7)</f>
        <v/>
      </c>
      <c r="B1745" s="30"/>
      <c r="C1745" s="29"/>
      <c r="D1745" s="29"/>
      <c r="E1745" s="29"/>
      <c r="F1745" s="30"/>
      <c r="G1745" s="29"/>
      <c r="H1745" s="30"/>
      <c r="I1745" s="29"/>
      <c r="J1745" s="30"/>
      <c r="K1745" s="30"/>
      <c r="L1745" s="29"/>
      <c r="M1745" s="32" t="str">
        <f aca="false">IF(OR(C1745="",L1745=""),"",IF(C1745=L1745,"同一","変更"))</f>
        <v/>
      </c>
      <c r="N1745" s="29"/>
      <c r="O1745" s="30"/>
      <c r="P1745" s="29"/>
      <c r="Q1745" s="31"/>
      <c r="R1745" s="29"/>
      <c r="S1745" s="29"/>
      <c r="T1745" s="30"/>
      <c r="U1745" s="47" t="str">
        <f aca="false">IF(AND(B1745&lt;&gt;"",B1745=SW別シート!$C$3),COUNTIF(B$5:B1745,B1745),"")</f>
        <v/>
      </c>
      <c r="V1745" s="47" t="n">
        <f aca="false">V1744+IF(OR(O1745&lt;&gt;"",W1745&lt;&gt;""),1,0)</f>
        <v>3</v>
      </c>
      <c r="W1745" s="29"/>
    </row>
    <row r="1746" customFormat="false" ht="15" hidden="false" customHeight="false" outlineLevel="0" collapsed="false">
      <c r="A1746" s="32" t="str">
        <f aca="false">IF(B1746="","",ROW()-7)</f>
        <v/>
      </c>
      <c r="B1746" s="30"/>
      <c r="C1746" s="29"/>
      <c r="D1746" s="29"/>
      <c r="E1746" s="29"/>
      <c r="F1746" s="30"/>
      <c r="G1746" s="29"/>
      <c r="H1746" s="30"/>
      <c r="I1746" s="29"/>
      <c r="J1746" s="30"/>
      <c r="K1746" s="30"/>
      <c r="L1746" s="29"/>
      <c r="M1746" s="32" t="str">
        <f aca="false">IF(OR(C1746="",L1746=""),"",IF(C1746=L1746,"同一","変更"))</f>
        <v/>
      </c>
      <c r="N1746" s="29"/>
      <c r="O1746" s="30"/>
      <c r="P1746" s="29"/>
      <c r="Q1746" s="31"/>
      <c r="R1746" s="29"/>
      <c r="S1746" s="29"/>
      <c r="T1746" s="30"/>
      <c r="U1746" s="47" t="str">
        <f aca="false">IF(AND(B1746&lt;&gt;"",B1746=SW別シート!$C$3),COUNTIF(B$5:B1746,B1746),"")</f>
        <v/>
      </c>
      <c r="V1746" s="47" t="n">
        <f aca="false">V1745+IF(OR(O1746&lt;&gt;"",W1746&lt;&gt;""),1,0)</f>
        <v>3</v>
      </c>
      <c r="W1746" s="29"/>
    </row>
    <row r="1747" customFormat="false" ht="15" hidden="false" customHeight="false" outlineLevel="0" collapsed="false">
      <c r="A1747" s="32" t="str">
        <f aca="false">IF(B1747="","",ROW()-7)</f>
        <v/>
      </c>
      <c r="B1747" s="30"/>
      <c r="C1747" s="29"/>
      <c r="D1747" s="29"/>
      <c r="E1747" s="29"/>
      <c r="F1747" s="30"/>
      <c r="G1747" s="29"/>
      <c r="H1747" s="30"/>
      <c r="I1747" s="29"/>
      <c r="J1747" s="30"/>
      <c r="K1747" s="30"/>
      <c r="L1747" s="29"/>
      <c r="M1747" s="32" t="str">
        <f aca="false">IF(OR(C1747="",L1747=""),"",IF(C1747=L1747,"同一","変更"))</f>
        <v/>
      </c>
      <c r="N1747" s="29"/>
      <c r="O1747" s="30"/>
      <c r="P1747" s="29"/>
      <c r="Q1747" s="31"/>
      <c r="R1747" s="29"/>
      <c r="S1747" s="29"/>
      <c r="T1747" s="30"/>
      <c r="U1747" s="47" t="str">
        <f aca="false">IF(AND(B1747&lt;&gt;"",B1747=SW別シート!$C$3),COUNTIF(B$5:B1747,B1747),"")</f>
        <v/>
      </c>
      <c r="V1747" s="47" t="n">
        <f aca="false">V1746+IF(OR(O1747&lt;&gt;"",W1747&lt;&gt;""),1,0)</f>
        <v>3</v>
      </c>
      <c r="W1747" s="29"/>
    </row>
    <row r="1748" customFormat="false" ht="15" hidden="false" customHeight="false" outlineLevel="0" collapsed="false">
      <c r="A1748" s="32" t="str">
        <f aca="false">IF(B1748="","",ROW()-7)</f>
        <v/>
      </c>
      <c r="B1748" s="30"/>
      <c r="C1748" s="29"/>
      <c r="D1748" s="29"/>
      <c r="E1748" s="29"/>
      <c r="F1748" s="30"/>
      <c r="G1748" s="29"/>
      <c r="H1748" s="30"/>
      <c r="I1748" s="29"/>
      <c r="J1748" s="30"/>
      <c r="K1748" s="30"/>
      <c r="L1748" s="29"/>
      <c r="M1748" s="32" t="str">
        <f aca="false">IF(OR(C1748="",L1748=""),"",IF(C1748=L1748,"同一","変更"))</f>
        <v/>
      </c>
      <c r="N1748" s="29"/>
      <c r="O1748" s="30"/>
      <c r="P1748" s="29"/>
      <c r="Q1748" s="31"/>
      <c r="R1748" s="29"/>
      <c r="S1748" s="29"/>
      <c r="T1748" s="30"/>
      <c r="U1748" s="47" t="str">
        <f aca="false">IF(AND(B1748&lt;&gt;"",B1748=SW別シート!$C$3),COUNTIF(B$5:B1748,B1748),"")</f>
        <v/>
      </c>
      <c r="V1748" s="47" t="n">
        <f aca="false">V1747+IF(OR(O1748&lt;&gt;"",W1748&lt;&gt;""),1,0)</f>
        <v>3</v>
      </c>
      <c r="W1748" s="29"/>
    </row>
    <row r="1749" customFormat="false" ht="15" hidden="false" customHeight="false" outlineLevel="0" collapsed="false">
      <c r="A1749" s="32" t="str">
        <f aca="false">IF(B1749="","",ROW()-7)</f>
        <v/>
      </c>
      <c r="B1749" s="30"/>
      <c r="C1749" s="29"/>
      <c r="D1749" s="29"/>
      <c r="E1749" s="29"/>
      <c r="F1749" s="30"/>
      <c r="G1749" s="29"/>
      <c r="H1749" s="30"/>
      <c r="I1749" s="29"/>
      <c r="J1749" s="30"/>
      <c r="K1749" s="30"/>
      <c r="L1749" s="29"/>
      <c r="M1749" s="32" t="str">
        <f aca="false">IF(OR(C1749="",L1749=""),"",IF(C1749=L1749,"同一","変更"))</f>
        <v/>
      </c>
      <c r="N1749" s="29"/>
      <c r="O1749" s="30"/>
      <c r="P1749" s="29"/>
      <c r="Q1749" s="31"/>
      <c r="R1749" s="29"/>
      <c r="S1749" s="29"/>
      <c r="T1749" s="30"/>
      <c r="U1749" s="47" t="str">
        <f aca="false">IF(AND(B1749&lt;&gt;"",B1749=SW別シート!$C$3),COUNTIF(B$5:B1749,B1749),"")</f>
        <v/>
      </c>
      <c r="V1749" s="47" t="n">
        <f aca="false">V1748+IF(OR(O1749&lt;&gt;"",W1749&lt;&gt;""),1,0)</f>
        <v>3</v>
      </c>
      <c r="W1749" s="29"/>
    </row>
    <row r="1750" customFormat="false" ht="15" hidden="false" customHeight="false" outlineLevel="0" collapsed="false">
      <c r="A1750" s="32" t="str">
        <f aca="false">IF(B1750="","",ROW()-7)</f>
        <v/>
      </c>
      <c r="B1750" s="30"/>
      <c r="C1750" s="29"/>
      <c r="D1750" s="29"/>
      <c r="E1750" s="29"/>
      <c r="F1750" s="30"/>
      <c r="G1750" s="29"/>
      <c r="H1750" s="30"/>
      <c r="I1750" s="29"/>
      <c r="J1750" s="30"/>
      <c r="K1750" s="30"/>
      <c r="L1750" s="29"/>
      <c r="M1750" s="32" t="str">
        <f aca="false">IF(OR(C1750="",L1750=""),"",IF(C1750=L1750,"同一","変更"))</f>
        <v/>
      </c>
      <c r="N1750" s="29"/>
      <c r="O1750" s="30"/>
      <c r="P1750" s="29"/>
      <c r="Q1750" s="31"/>
      <c r="R1750" s="29"/>
      <c r="S1750" s="29"/>
      <c r="T1750" s="30"/>
      <c r="U1750" s="47" t="str">
        <f aca="false">IF(AND(B1750&lt;&gt;"",B1750=SW別シート!$C$3),COUNTIF(B$5:B1750,B1750),"")</f>
        <v/>
      </c>
      <c r="V1750" s="47" t="n">
        <f aca="false">V1749+IF(OR(O1750&lt;&gt;"",W1750&lt;&gt;""),1,0)</f>
        <v>3</v>
      </c>
      <c r="W1750" s="29"/>
    </row>
    <row r="1751" customFormat="false" ht="15" hidden="false" customHeight="false" outlineLevel="0" collapsed="false">
      <c r="A1751" s="32" t="str">
        <f aca="false">IF(B1751="","",ROW()-7)</f>
        <v/>
      </c>
      <c r="B1751" s="30"/>
      <c r="C1751" s="29"/>
      <c r="D1751" s="29"/>
      <c r="E1751" s="29"/>
      <c r="F1751" s="30"/>
      <c r="G1751" s="29"/>
      <c r="H1751" s="30"/>
      <c r="I1751" s="29"/>
      <c r="J1751" s="30"/>
      <c r="K1751" s="30"/>
      <c r="L1751" s="29"/>
      <c r="M1751" s="32" t="str">
        <f aca="false">IF(OR(C1751="",L1751=""),"",IF(C1751=L1751,"同一","変更"))</f>
        <v/>
      </c>
      <c r="N1751" s="29"/>
      <c r="O1751" s="30"/>
      <c r="P1751" s="29"/>
      <c r="Q1751" s="31"/>
      <c r="R1751" s="29"/>
      <c r="S1751" s="29"/>
      <c r="T1751" s="30"/>
      <c r="U1751" s="47" t="str">
        <f aca="false">IF(AND(B1751&lt;&gt;"",B1751=SW別シート!$C$3),COUNTIF(B$5:B1751,B1751),"")</f>
        <v/>
      </c>
      <c r="V1751" s="47" t="n">
        <f aca="false">V1750+IF(OR(O1751&lt;&gt;"",W1751&lt;&gt;""),1,0)</f>
        <v>3</v>
      </c>
      <c r="W1751" s="29"/>
    </row>
    <row r="1752" customFormat="false" ht="15" hidden="false" customHeight="false" outlineLevel="0" collapsed="false">
      <c r="A1752" s="32" t="str">
        <f aca="false">IF(B1752="","",ROW()-7)</f>
        <v/>
      </c>
      <c r="B1752" s="30"/>
      <c r="C1752" s="29"/>
      <c r="D1752" s="29"/>
      <c r="E1752" s="29"/>
      <c r="F1752" s="30"/>
      <c r="G1752" s="29"/>
      <c r="H1752" s="30"/>
      <c r="I1752" s="29"/>
      <c r="J1752" s="30"/>
      <c r="K1752" s="30"/>
      <c r="L1752" s="29"/>
      <c r="M1752" s="32" t="str">
        <f aca="false">IF(OR(C1752="",L1752=""),"",IF(C1752=L1752,"同一","変更"))</f>
        <v/>
      </c>
      <c r="N1752" s="29"/>
      <c r="O1752" s="30"/>
      <c r="P1752" s="29"/>
      <c r="Q1752" s="31"/>
      <c r="R1752" s="29"/>
      <c r="S1752" s="29"/>
      <c r="T1752" s="30"/>
      <c r="U1752" s="47" t="str">
        <f aca="false">IF(AND(B1752&lt;&gt;"",B1752=SW別シート!$C$3),COUNTIF(B$5:B1752,B1752),"")</f>
        <v/>
      </c>
      <c r="V1752" s="47" t="n">
        <f aca="false">V1751+IF(OR(O1752&lt;&gt;"",W1752&lt;&gt;""),1,0)</f>
        <v>3</v>
      </c>
      <c r="W1752" s="29"/>
    </row>
    <row r="1753" customFormat="false" ht="15" hidden="false" customHeight="false" outlineLevel="0" collapsed="false">
      <c r="A1753" s="32" t="str">
        <f aca="false">IF(B1753="","",ROW()-7)</f>
        <v/>
      </c>
      <c r="B1753" s="30"/>
      <c r="C1753" s="29"/>
      <c r="D1753" s="29"/>
      <c r="E1753" s="29"/>
      <c r="F1753" s="30"/>
      <c r="G1753" s="29"/>
      <c r="H1753" s="30"/>
      <c r="I1753" s="29"/>
      <c r="J1753" s="30"/>
      <c r="K1753" s="30"/>
      <c r="L1753" s="29"/>
      <c r="M1753" s="32" t="str">
        <f aca="false">IF(OR(C1753="",L1753=""),"",IF(C1753=L1753,"同一","変更"))</f>
        <v/>
      </c>
      <c r="N1753" s="29"/>
      <c r="O1753" s="30"/>
      <c r="P1753" s="29"/>
      <c r="Q1753" s="31"/>
      <c r="R1753" s="29"/>
      <c r="S1753" s="29"/>
      <c r="T1753" s="30"/>
      <c r="U1753" s="47" t="str">
        <f aca="false">IF(AND(B1753&lt;&gt;"",B1753=SW別シート!$C$3),COUNTIF(B$5:B1753,B1753),"")</f>
        <v/>
      </c>
      <c r="V1753" s="47" t="n">
        <f aca="false">V1752+IF(OR(O1753&lt;&gt;"",W1753&lt;&gt;""),1,0)</f>
        <v>3</v>
      </c>
      <c r="W1753" s="29"/>
    </row>
    <row r="1754" customFormat="false" ht="15" hidden="false" customHeight="false" outlineLevel="0" collapsed="false">
      <c r="A1754" s="32" t="str">
        <f aca="false">IF(B1754="","",ROW()-7)</f>
        <v/>
      </c>
      <c r="B1754" s="30"/>
      <c r="C1754" s="29"/>
      <c r="D1754" s="29"/>
      <c r="E1754" s="29"/>
      <c r="F1754" s="30"/>
      <c r="G1754" s="29"/>
      <c r="H1754" s="30"/>
      <c r="I1754" s="29"/>
      <c r="J1754" s="30"/>
      <c r="K1754" s="30"/>
      <c r="L1754" s="29"/>
      <c r="M1754" s="32" t="str">
        <f aca="false">IF(OR(C1754="",L1754=""),"",IF(C1754=L1754,"同一","変更"))</f>
        <v/>
      </c>
      <c r="N1754" s="29"/>
      <c r="O1754" s="30"/>
      <c r="P1754" s="29"/>
      <c r="Q1754" s="31"/>
      <c r="R1754" s="29"/>
      <c r="S1754" s="29"/>
      <c r="T1754" s="30"/>
      <c r="U1754" s="47" t="str">
        <f aca="false">IF(AND(B1754&lt;&gt;"",B1754=SW別シート!$C$3),COUNTIF(B$5:B1754,B1754),"")</f>
        <v/>
      </c>
      <c r="V1754" s="47" t="n">
        <f aca="false">V1753+IF(OR(O1754&lt;&gt;"",W1754&lt;&gt;""),1,0)</f>
        <v>3</v>
      </c>
      <c r="W1754" s="29"/>
    </row>
    <row r="1755" customFormat="false" ht="15" hidden="false" customHeight="false" outlineLevel="0" collapsed="false">
      <c r="A1755" s="32" t="str">
        <f aca="false">IF(B1755="","",ROW()-7)</f>
        <v/>
      </c>
      <c r="B1755" s="30"/>
      <c r="C1755" s="29"/>
      <c r="D1755" s="29"/>
      <c r="E1755" s="29"/>
      <c r="F1755" s="30"/>
      <c r="G1755" s="29"/>
      <c r="H1755" s="30"/>
      <c r="I1755" s="29"/>
      <c r="J1755" s="30"/>
      <c r="K1755" s="30"/>
      <c r="L1755" s="29"/>
      <c r="M1755" s="32" t="str">
        <f aca="false">IF(OR(C1755="",L1755=""),"",IF(C1755=L1755,"同一","変更"))</f>
        <v/>
      </c>
      <c r="N1755" s="29"/>
      <c r="O1755" s="30"/>
      <c r="P1755" s="29"/>
      <c r="Q1755" s="31"/>
      <c r="R1755" s="29"/>
      <c r="S1755" s="29"/>
      <c r="T1755" s="30"/>
      <c r="U1755" s="47" t="str">
        <f aca="false">IF(AND(B1755&lt;&gt;"",B1755=SW別シート!$C$3),COUNTIF(B$5:B1755,B1755),"")</f>
        <v/>
      </c>
      <c r="V1755" s="47" t="n">
        <f aca="false">V1754+IF(OR(O1755&lt;&gt;"",W1755&lt;&gt;""),1,0)</f>
        <v>3</v>
      </c>
      <c r="W1755" s="29"/>
    </row>
    <row r="1756" customFormat="false" ht="15" hidden="false" customHeight="false" outlineLevel="0" collapsed="false">
      <c r="A1756" s="32" t="str">
        <f aca="false">IF(B1756="","",ROW()-7)</f>
        <v/>
      </c>
      <c r="B1756" s="30"/>
      <c r="C1756" s="29"/>
      <c r="D1756" s="29"/>
      <c r="E1756" s="29"/>
      <c r="F1756" s="30"/>
      <c r="G1756" s="29"/>
      <c r="H1756" s="30"/>
      <c r="I1756" s="29"/>
      <c r="J1756" s="30"/>
      <c r="K1756" s="30"/>
      <c r="L1756" s="29"/>
      <c r="M1756" s="32" t="str">
        <f aca="false">IF(OR(C1756="",L1756=""),"",IF(C1756=L1756,"同一","変更"))</f>
        <v/>
      </c>
      <c r="N1756" s="29"/>
      <c r="O1756" s="30"/>
      <c r="P1756" s="29"/>
      <c r="Q1756" s="31"/>
      <c r="R1756" s="29"/>
      <c r="S1756" s="29"/>
      <c r="T1756" s="30"/>
      <c r="U1756" s="47" t="str">
        <f aca="false">IF(AND(B1756&lt;&gt;"",B1756=SW別シート!$C$3),COUNTIF(B$5:B1756,B1756),"")</f>
        <v/>
      </c>
      <c r="V1756" s="47" t="n">
        <f aca="false">V1755+IF(OR(O1756&lt;&gt;"",W1756&lt;&gt;""),1,0)</f>
        <v>3</v>
      </c>
      <c r="W1756" s="29"/>
    </row>
    <row r="1757" customFormat="false" ht="15" hidden="false" customHeight="false" outlineLevel="0" collapsed="false">
      <c r="A1757" s="32" t="str">
        <f aca="false">IF(B1757="","",ROW()-7)</f>
        <v/>
      </c>
      <c r="B1757" s="30"/>
      <c r="C1757" s="29"/>
      <c r="D1757" s="29"/>
      <c r="E1757" s="29"/>
      <c r="F1757" s="30"/>
      <c r="G1757" s="29"/>
      <c r="H1757" s="30"/>
      <c r="I1757" s="29"/>
      <c r="J1757" s="30"/>
      <c r="K1757" s="30"/>
      <c r="L1757" s="29"/>
      <c r="M1757" s="32" t="str">
        <f aca="false">IF(OR(C1757="",L1757=""),"",IF(C1757=L1757,"同一","変更"))</f>
        <v/>
      </c>
      <c r="N1757" s="29"/>
      <c r="O1757" s="30"/>
      <c r="P1757" s="29"/>
      <c r="Q1757" s="31"/>
      <c r="R1757" s="29"/>
      <c r="S1757" s="29"/>
      <c r="T1757" s="30"/>
      <c r="U1757" s="47" t="str">
        <f aca="false">IF(AND(B1757&lt;&gt;"",B1757=SW別シート!$C$3),COUNTIF(B$5:B1757,B1757),"")</f>
        <v/>
      </c>
      <c r="V1757" s="47" t="n">
        <f aca="false">V1756+IF(OR(O1757&lt;&gt;"",W1757&lt;&gt;""),1,0)</f>
        <v>3</v>
      </c>
      <c r="W1757" s="29"/>
    </row>
    <row r="1758" customFormat="false" ht="15" hidden="false" customHeight="false" outlineLevel="0" collapsed="false">
      <c r="A1758" s="32" t="str">
        <f aca="false">IF(B1758="","",ROW()-7)</f>
        <v/>
      </c>
      <c r="B1758" s="30"/>
      <c r="C1758" s="29"/>
      <c r="D1758" s="29"/>
      <c r="E1758" s="29"/>
      <c r="F1758" s="30"/>
      <c r="G1758" s="29"/>
      <c r="H1758" s="30"/>
      <c r="I1758" s="29"/>
      <c r="J1758" s="30"/>
      <c r="K1758" s="30"/>
      <c r="L1758" s="29"/>
      <c r="M1758" s="32" t="str">
        <f aca="false">IF(OR(C1758="",L1758=""),"",IF(C1758=L1758,"同一","変更"))</f>
        <v/>
      </c>
      <c r="N1758" s="29"/>
      <c r="O1758" s="30"/>
      <c r="P1758" s="29"/>
      <c r="Q1758" s="31"/>
      <c r="R1758" s="29"/>
      <c r="S1758" s="29"/>
      <c r="T1758" s="30"/>
      <c r="U1758" s="47" t="str">
        <f aca="false">IF(AND(B1758&lt;&gt;"",B1758=SW別シート!$C$3),COUNTIF(B$5:B1758,B1758),"")</f>
        <v/>
      </c>
      <c r="V1758" s="47" t="n">
        <f aca="false">V1757+IF(OR(O1758&lt;&gt;"",W1758&lt;&gt;""),1,0)</f>
        <v>3</v>
      </c>
      <c r="W1758" s="29"/>
    </row>
    <row r="1759" customFormat="false" ht="15" hidden="false" customHeight="false" outlineLevel="0" collapsed="false">
      <c r="A1759" s="32" t="str">
        <f aca="false">IF(B1759="","",ROW()-7)</f>
        <v/>
      </c>
      <c r="B1759" s="30"/>
      <c r="C1759" s="29"/>
      <c r="D1759" s="29"/>
      <c r="E1759" s="29"/>
      <c r="F1759" s="30"/>
      <c r="G1759" s="29"/>
      <c r="H1759" s="30"/>
      <c r="I1759" s="29"/>
      <c r="J1759" s="30"/>
      <c r="K1759" s="30"/>
      <c r="L1759" s="29"/>
      <c r="M1759" s="32" t="str">
        <f aca="false">IF(OR(C1759="",L1759=""),"",IF(C1759=L1759,"同一","変更"))</f>
        <v/>
      </c>
      <c r="N1759" s="29"/>
      <c r="O1759" s="30"/>
      <c r="P1759" s="29"/>
      <c r="Q1759" s="31"/>
      <c r="R1759" s="29"/>
      <c r="S1759" s="29"/>
      <c r="T1759" s="30"/>
      <c r="U1759" s="47" t="str">
        <f aca="false">IF(AND(B1759&lt;&gt;"",B1759=SW別シート!$C$3),COUNTIF(B$5:B1759,B1759),"")</f>
        <v/>
      </c>
      <c r="V1759" s="47" t="n">
        <f aca="false">V1758+IF(OR(O1759&lt;&gt;"",W1759&lt;&gt;""),1,0)</f>
        <v>3</v>
      </c>
      <c r="W1759" s="29"/>
    </row>
    <row r="1760" customFormat="false" ht="15" hidden="false" customHeight="false" outlineLevel="0" collapsed="false">
      <c r="A1760" s="32" t="str">
        <f aca="false">IF(B1760="","",ROW()-7)</f>
        <v/>
      </c>
      <c r="B1760" s="30"/>
      <c r="C1760" s="29"/>
      <c r="D1760" s="29"/>
      <c r="E1760" s="29"/>
      <c r="F1760" s="30"/>
      <c r="G1760" s="29"/>
      <c r="H1760" s="30"/>
      <c r="I1760" s="29"/>
      <c r="J1760" s="30"/>
      <c r="K1760" s="30"/>
      <c r="L1760" s="29"/>
      <c r="M1760" s="32" t="str">
        <f aca="false">IF(OR(C1760="",L1760=""),"",IF(C1760=L1760,"同一","変更"))</f>
        <v/>
      </c>
      <c r="N1760" s="29"/>
      <c r="O1760" s="30"/>
      <c r="P1760" s="29"/>
      <c r="Q1760" s="31"/>
      <c r="R1760" s="29"/>
      <c r="S1760" s="29"/>
      <c r="T1760" s="30"/>
      <c r="U1760" s="47" t="str">
        <f aca="false">IF(AND(B1760&lt;&gt;"",B1760=SW別シート!$C$3),COUNTIF(B$5:B1760,B1760),"")</f>
        <v/>
      </c>
      <c r="V1760" s="47" t="n">
        <f aca="false">V1759+IF(OR(O1760&lt;&gt;"",W1760&lt;&gt;""),1,0)</f>
        <v>3</v>
      </c>
      <c r="W1760" s="29"/>
    </row>
    <row r="1761" customFormat="false" ht="15" hidden="false" customHeight="false" outlineLevel="0" collapsed="false">
      <c r="A1761" s="32" t="str">
        <f aca="false">IF(B1761="","",ROW()-7)</f>
        <v/>
      </c>
      <c r="B1761" s="30"/>
      <c r="C1761" s="29"/>
      <c r="D1761" s="29"/>
      <c r="E1761" s="29"/>
      <c r="F1761" s="30"/>
      <c r="G1761" s="29"/>
      <c r="H1761" s="30"/>
      <c r="I1761" s="29"/>
      <c r="J1761" s="30"/>
      <c r="K1761" s="30"/>
      <c r="L1761" s="29"/>
      <c r="M1761" s="32" t="str">
        <f aca="false">IF(OR(C1761="",L1761=""),"",IF(C1761=L1761,"同一","変更"))</f>
        <v/>
      </c>
      <c r="N1761" s="29"/>
      <c r="O1761" s="30"/>
      <c r="P1761" s="29"/>
      <c r="Q1761" s="31"/>
      <c r="R1761" s="29"/>
      <c r="S1761" s="29"/>
      <c r="T1761" s="30"/>
      <c r="U1761" s="47" t="str">
        <f aca="false">IF(AND(B1761&lt;&gt;"",B1761=SW別シート!$C$3),COUNTIF(B$5:B1761,B1761),"")</f>
        <v/>
      </c>
      <c r="V1761" s="47" t="n">
        <f aca="false">V1760+IF(OR(O1761&lt;&gt;"",W1761&lt;&gt;""),1,0)</f>
        <v>3</v>
      </c>
      <c r="W1761" s="29"/>
    </row>
    <row r="1762" customFormat="false" ht="15" hidden="false" customHeight="false" outlineLevel="0" collapsed="false">
      <c r="A1762" s="32" t="str">
        <f aca="false">IF(B1762="","",ROW()-7)</f>
        <v/>
      </c>
      <c r="B1762" s="30"/>
      <c r="C1762" s="29"/>
      <c r="D1762" s="29"/>
      <c r="E1762" s="29"/>
      <c r="F1762" s="30"/>
      <c r="G1762" s="29"/>
      <c r="H1762" s="30"/>
      <c r="I1762" s="29"/>
      <c r="J1762" s="30"/>
      <c r="K1762" s="30"/>
      <c r="L1762" s="29"/>
      <c r="M1762" s="32" t="str">
        <f aca="false">IF(OR(C1762="",L1762=""),"",IF(C1762=L1762,"同一","変更"))</f>
        <v/>
      </c>
      <c r="N1762" s="29"/>
      <c r="O1762" s="30"/>
      <c r="P1762" s="29"/>
      <c r="Q1762" s="31"/>
      <c r="R1762" s="29"/>
      <c r="S1762" s="29"/>
      <c r="T1762" s="30"/>
      <c r="U1762" s="47" t="str">
        <f aca="false">IF(AND(B1762&lt;&gt;"",B1762=SW別シート!$C$3),COUNTIF(B$5:B1762,B1762),"")</f>
        <v/>
      </c>
      <c r="V1762" s="47" t="n">
        <f aca="false">V1761+IF(OR(O1762&lt;&gt;"",W1762&lt;&gt;""),1,0)</f>
        <v>3</v>
      </c>
      <c r="W1762" s="29"/>
    </row>
    <row r="1763" customFormat="false" ht="15" hidden="false" customHeight="false" outlineLevel="0" collapsed="false">
      <c r="A1763" s="32" t="str">
        <f aca="false">IF(B1763="","",ROW()-7)</f>
        <v/>
      </c>
      <c r="B1763" s="30"/>
      <c r="C1763" s="29"/>
      <c r="D1763" s="29"/>
      <c r="E1763" s="29"/>
      <c r="F1763" s="30"/>
      <c r="G1763" s="29"/>
      <c r="H1763" s="30"/>
      <c r="I1763" s="29"/>
      <c r="J1763" s="30"/>
      <c r="K1763" s="30"/>
      <c r="L1763" s="29"/>
      <c r="M1763" s="32" t="str">
        <f aca="false">IF(OR(C1763="",L1763=""),"",IF(C1763=L1763,"同一","変更"))</f>
        <v/>
      </c>
      <c r="N1763" s="29"/>
      <c r="O1763" s="30"/>
      <c r="P1763" s="29"/>
      <c r="Q1763" s="31"/>
      <c r="R1763" s="29"/>
      <c r="S1763" s="29"/>
      <c r="T1763" s="30"/>
      <c r="U1763" s="47" t="str">
        <f aca="false">IF(AND(B1763&lt;&gt;"",B1763=SW別シート!$C$3),COUNTIF(B$5:B1763,B1763),"")</f>
        <v/>
      </c>
      <c r="V1763" s="47" t="n">
        <f aca="false">V1762+IF(OR(O1763&lt;&gt;"",W1763&lt;&gt;""),1,0)</f>
        <v>3</v>
      </c>
      <c r="W1763" s="29"/>
    </row>
    <row r="1764" customFormat="false" ht="15" hidden="false" customHeight="false" outlineLevel="0" collapsed="false">
      <c r="A1764" s="32" t="str">
        <f aca="false">IF(B1764="","",ROW()-7)</f>
        <v/>
      </c>
      <c r="B1764" s="30"/>
      <c r="C1764" s="29"/>
      <c r="D1764" s="29"/>
      <c r="E1764" s="29"/>
      <c r="F1764" s="30"/>
      <c r="G1764" s="29"/>
      <c r="H1764" s="30"/>
      <c r="I1764" s="29"/>
      <c r="J1764" s="30"/>
      <c r="K1764" s="30"/>
      <c r="L1764" s="29"/>
      <c r="M1764" s="32" t="str">
        <f aca="false">IF(OR(C1764="",L1764=""),"",IF(C1764=L1764,"同一","変更"))</f>
        <v/>
      </c>
      <c r="N1764" s="29"/>
      <c r="O1764" s="30"/>
      <c r="P1764" s="29"/>
      <c r="Q1764" s="31"/>
      <c r="R1764" s="29"/>
      <c r="S1764" s="29"/>
      <c r="T1764" s="30"/>
      <c r="U1764" s="47" t="str">
        <f aca="false">IF(AND(B1764&lt;&gt;"",B1764=SW別シート!$C$3),COUNTIF(B$5:B1764,B1764),"")</f>
        <v/>
      </c>
      <c r="V1764" s="47" t="n">
        <f aca="false">V1763+IF(OR(O1764&lt;&gt;"",W1764&lt;&gt;""),1,0)</f>
        <v>3</v>
      </c>
      <c r="W1764" s="29"/>
    </row>
    <row r="1765" customFormat="false" ht="15" hidden="false" customHeight="false" outlineLevel="0" collapsed="false">
      <c r="A1765" s="32" t="str">
        <f aca="false">IF(B1765="","",ROW()-7)</f>
        <v/>
      </c>
      <c r="B1765" s="30"/>
      <c r="C1765" s="29"/>
      <c r="D1765" s="29"/>
      <c r="E1765" s="29"/>
      <c r="F1765" s="30"/>
      <c r="G1765" s="29"/>
      <c r="H1765" s="30"/>
      <c r="I1765" s="29"/>
      <c r="J1765" s="30"/>
      <c r="K1765" s="30"/>
      <c r="L1765" s="29"/>
      <c r="M1765" s="32" t="str">
        <f aca="false">IF(OR(C1765="",L1765=""),"",IF(C1765=L1765,"同一","変更"))</f>
        <v/>
      </c>
      <c r="N1765" s="29"/>
      <c r="O1765" s="30"/>
      <c r="P1765" s="29"/>
      <c r="Q1765" s="31"/>
      <c r="R1765" s="29"/>
      <c r="S1765" s="29"/>
      <c r="T1765" s="30"/>
      <c r="U1765" s="47" t="str">
        <f aca="false">IF(AND(B1765&lt;&gt;"",B1765=SW別シート!$C$3),COUNTIF(B$5:B1765,B1765),"")</f>
        <v/>
      </c>
      <c r="V1765" s="47" t="n">
        <f aca="false">V1764+IF(OR(O1765&lt;&gt;"",W1765&lt;&gt;""),1,0)</f>
        <v>3</v>
      </c>
      <c r="W1765" s="29"/>
    </row>
    <row r="1766" customFormat="false" ht="15" hidden="false" customHeight="false" outlineLevel="0" collapsed="false">
      <c r="A1766" s="32" t="str">
        <f aca="false">IF(B1766="","",ROW()-7)</f>
        <v/>
      </c>
      <c r="B1766" s="30"/>
      <c r="C1766" s="29"/>
      <c r="D1766" s="29"/>
      <c r="E1766" s="29"/>
      <c r="F1766" s="30"/>
      <c r="G1766" s="29"/>
      <c r="H1766" s="30"/>
      <c r="I1766" s="29"/>
      <c r="J1766" s="30"/>
      <c r="K1766" s="30"/>
      <c r="L1766" s="29"/>
      <c r="M1766" s="32" t="str">
        <f aca="false">IF(OR(C1766="",L1766=""),"",IF(C1766=L1766,"同一","変更"))</f>
        <v/>
      </c>
      <c r="N1766" s="29"/>
      <c r="O1766" s="30"/>
      <c r="P1766" s="29"/>
      <c r="Q1766" s="31"/>
      <c r="R1766" s="29"/>
      <c r="S1766" s="29"/>
      <c r="T1766" s="30"/>
      <c r="U1766" s="47" t="str">
        <f aca="false">IF(AND(B1766&lt;&gt;"",B1766=SW別シート!$C$3),COUNTIF(B$5:B1766,B1766),"")</f>
        <v/>
      </c>
      <c r="V1766" s="47" t="n">
        <f aca="false">V1765+IF(OR(O1766&lt;&gt;"",W1766&lt;&gt;""),1,0)</f>
        <v>3</v>
      </c>
      <c r="W1766" s="29"/>
    </row>
    <row r="1767" customFormat="false" ht="15" hidden="false" customHeight="false" outlineLevel="0" collapsed="false">
      <c r="A1767" s="32" t="str">
        <f aca="false">IF(B1767="","",ROW()-7)</f>
        <v/>
      </c>
      <c r="B1767" s="30"/>
      <c r="C1767" s="29"/>
      <c r="D1767" s="29"/>
      <c r="E1767" s="29"/>
      <c r="F1767" s="30"/>
      <c r="G1767" s="29"/>
      <c r="H1767" s="30"/>
      <c r="I1767" s="29"/>
      <c r="J1767" s="30"/>
      <c r="K1767" s="30"/>
      <c r="L1767" s="29"/>
      <c r="M1767" s="32" t="str">
        <f aca="false">IF(OR(C1767="",L1767=""),"",IF(C1767=L1767,"同一","変更"))</f>
        <v/>
      </c>
      <c r="N1767" s="29"/>
      <c r="O1767" s="30"/>
      <c r="P1767" s="29"/>
      <c r="Q1767" s="31"/>
      <c r="R1767" s="29"/>
      <c r="S1767" s="29"/>
      <c r="T1767" s="30"/>
      <c r="U1767" s="47" t="str">
        <f aca="false">IF(AND(B1767&lt;&gt;"",B1767=SW別シート!$C$3),COUNTIF(B$5:B1767,B1767),"")</f>
        <v/>
      </c>
      <c r="V1767" s="47" t="n">
        <f aca="false">V1766+IF(OR(O1767&lt;&gt;"",W1767&lt;&gt;""),1,0)</f>
        <v>3</v>
      </c>
      <c r="W1767" s="29"/>
    </row>
    <row r="1768" customFormat="false" ht="15" hidden="false" customHeight="false" outlineLevel="0" collapsed="false">
      <c r="A1768" s="32" t="str">
        <f aca="false">IF(B1768="","",ROW()-7)</f>
        <v/>
      </c>
      <c r="B1768" s="30"/>
      <c r="C1768" s="29"/>
      <c r="D1768" s="29"/>
      <c r="E1768" s="29"/>
      <c r="F1768" s="30"/>
      <c r="G1768" s="29"/>
      <c r="H1768" s="30"/>
      <c r="I1768" s="29"/>
      <c r="J1768" s="30"/>
      <c r="K1768" s="30"/>
      <c r="L1768" s="29"/>
      <c r="M1768" s="32" t="str">
        <f aca="false">IF(OR(C1768="",L1768=""),"",IF(C1768=L1768,"同一","変更"))</f>
        <v/>
      </c>
      <c r="N1768" s="29"/>
      <c r="O1768" s="30"/>
      <c r="P1768" s="29"/>
      <c r="Q1768" s="31"/>
      <c r="R1768" s="29"/>
      <c r="S1768" s="29"/>
      <c r="T1768" s="30"/>
      <c r="U1768" s="47" t="str">
        <f aca="false">IF(AND(B1768&lt;&gt;"",B1768=SW別シート!$C$3),COUNTIF(B$5:B1768,B1768),"")</f>
        <v/>
      </c>
      <c r="V1768" s="47" t="n">
        <f aca="false">V1767+IF(OR(O1768&lt;&gt;"",W1768&lt;&gt;""),1,0)</f>
        <v>3</v>
      </c>
      <c r="W1768" s="29"/>
    </row>
    <row r="1769" customFormat="false" ht="15" hidden="false" customHeight="false" outlineLevel="0" collapsed="false">
      <c r="A1769" s="32" t="str">
        <f aca="false">IF(B1769="","",ROW()-7)</f>
        <v/>
      </c>
      <c r="B1769" s="30"/>
      <c r="C1769" s="29"/>
      <c r="D1769" s="29"/>
      <c r="E1769" s="29"/>
      <c r="F1769" s="30"/>
      <c r="G1769" s="29"/>
      <c r="H1769" s="30"/>
      <c r="I1769" s="29"/>
      <c r="J1769" s="30"/>
      <c r="K1769" s="30"/>
      <c r="L1769" s="29"/>
      <c r="M1769" s="32" t="str">
        <f aca="false">IF(OR(C1769="",L1769=""),"",IF(C1769=L1769,"同一","変更"))</f>
        <v/>
      </c>
      <c r="N1769" s="29"/>
      <c r="O1769" s="30"/>
      <c r="P1769" s="29"/>
      <c r="Q1769" s="31"/>
      <c r="R1769" s="29"/>
      <c r="S1769" s="29"/>
      <c r="T1769" s="30"/>
      <c r="U1769" s="47" t="str">
        <f aca="false">IF(AND(B1769&lt;&gt;"",B1769=SW別シート!$C$3),COUNTIF(B$5:B1769,B1769),"")</f>
        <v/>
      </c>
      <c r="V1769" s="47" t="n">
        <f aca="false">V1768+IF(OR(O1769&lt;&gt;"",W1769&lt;&gt;""),1,0)</f>
        <v>3</v>
      </c>
      <c r="W1769" s="29"/>
    </row>
    <row r="1770" customFormat="false" ht="15" hidden="false" customHeight="false" outlineLevel="0" collapsed="false">
      <c r="A1770" s="32" t="str">
        <f aca="false">IF(B1770="","",ROW()-7)</f>
        <v/>
      </c>
      <c r="B1770" s="30"/>
      <c r="C1770" s="29"/>
      <c r="D1770" s="29"/>
      <c r="E1770" s="29"/>
      <c r="F1770" s="30"/>
      <c r="G1770" s="29"/>
      <c r="H1770" s="30"/>
      <c r="I1770" s="29"/>
      <c r="J1770" s="30"/>
      <c r="K1770" s="30"/>
      <c r="L1770" s="29"/>
      <c r="M1770" s="32" t="str">
        <f aca="false">IF(OR(C1770="",L1770=""),"",IF(C1770=L1770,"同一","変更"))</f>
        <v/>
      </c>
      <c r="N1770" s="29"/>
      <c r="O1770" s="30"/>
      <c r="P1770" s="29"/>
      <c r="Q1770" s="31"/>
      <c r="R1770" s="29"/>
      <c r="S1770" s="29"/>
      <c r="T1770" s="30"/>
      <c r="U1770" s="47" t="str">
        <f aca="false">IF(AND(B1770&lt;&gt;"",B1770=SW別シート!$C$3),COUNTIF(B$5:B1770,B1770),"")</f>
        <v/>
      </c>
      <c r="V1770" s="47" t="n">
        <f aca="false">V1769+IF(OR(O1770&lt;&gt;"",W1770&lt;&gt;""),1,0)</f>
        <v>3</v>
      </c>
      <c r="W1770" s="29"/>
    </row>
    <row r="1771" customFormat="false" ht="15" hidden="false" customHeight="false" outlineLevel="0" collapsed="false">
      <c r="A1771" s="32" t="str">
        <f aca="false">IF(B1771="","",ROW()-7)</f>
        <v/>
      </c>
      <c r="B1771" s="30"/>
      <c r="C1771" s="29"/>
      <c r="D1771" s="29"/>
      <c r="E1771" s="29"/>
      <c r="F1771" s="30"/>
      <c r="G1771" s="29"/>
      <c r="H1771" s="30"/>
      <c r="I1771" s="29"/>
      <c r="J1771" s="30"/>
      <c r="K1771" s="30"/>
      <c r="L1771" s="29"/>
      <c r="M1771" s="32" t="str">
        <f aca="false">IF(OR(C1771="",L1771=""),"",IF(C1771=L1771,"同一","変更"))</f>
        <v/>
      </c>
      <c r="N1771" s="29"/>
      <c r="O1771" s="30"/>
      <c r="P1771" s="29"/>
      <c r="Q1771" s="31"/>
      <c r="R1771" s="29"/>
      <c r="S1771" s="29"/>
      <c r="T1771" s="30"/>
      <c r="U1771" s="47" t="str">
        <f aca="false">IF(AND(B1771&lt;&gt;"",B1771=SW別シート!$C$3),COUNTIF(B$5:B1771,B1771),"")</f>
        <v/>
      </c>
      <c r="V1771" s="47" t="n">
        <f aca="false">V1770+IF(OR(O1771&lt;&gt;"",W1771&lt;&gt;""),1,0)</f>
        <v>3</v>
      </c>
      <c r="W1771" s="29"/>
    </row>
    <row r="1772" customFormat="false" ht="15" hidden="false" customHeight="false" outlineLevel="0" collapsed="false">
      <c r="A1772" s="32" t="str">
        <f aca="false">IF(B1772="","",ROW()-7)</f>
        <v/>
      </c>
      <c r="B1772" s="30"/>
      <c r="C1772" s="29"/>
      <c r="D1772" s="29"/>
      <c r="E1772" s="29"/>
      <c r="F1772" s="30"/>
      <c r="G1772" s="29"/>
      <c r="H1772" s="30"/>
      <c r="I1772" s="29"/>
      <c r="J1772" s="30"/>
      <c r="K1772" s="30"/>
      <c r="L1772" s="29"/>
      <c r="M1772" s="32" t="str">
        <f aca="false">IF(OR(C1772="",L1772=""),"",IF(C1772=L1772,"同一","変更"))</f>
        <v/>
      </c>
      <c r="N1772" s="29"/>
      <c r="O1772" s="30"/>
      <c r="P1772" s="29"/>
      <c r="Q1772" s="31"/>
      <c r="R1772" s="29"/>
      <c r="S1772" s="29"/>
      <c r="T1772" s="30"/>
      <c r="U1772" s="47" t="str">
        <f aca="false">IF(AND(B1772&lt;&gt;"",B1772=SW別シート!$C$3),COUNTIF(B$5:B1772,B1772),"")</f>
        <v/>
      </c>
      <c r="V1772" s="47" t="n">
        <f aca="false">V1771+IF(OR(O1772&lt;&gt;"",W1772&lt;&gt;""),1,0)</f>
        <v>3</v>
      </c>
      <c r="W1772" s="29"/>
    </row>
    <row r="1773" customFormat="false" ht="15" hidden="false" customHeight="false" outlineLevel="0" collapsed="false">
      <c r="A1773" s="32" t="str">
        <f aca="false">IF(B1773="","",ROW()-7)</f>
        <v/>
      </c>
      <c r="B1773" s="30"/>
      <c r="C1773" s="29"/>
      <c r="D1773" s="29"/>
      <c r="E1773" s="29"/>
      <c r="F1773" s="30"/>
      <c r="G1773" s="29"/>
      <c r="H1773" s="30"/>
      <c r="I1773" s="29"/>
      <c r="J1773" s="30"/>
      <c r="K1773" s="30"/>
      <c r="L1773" s="29"/>
      <c r="M1773" s="32" t="str">
        <f aca="false">IF(OR(C1773="",L1773=""),"",IF(C1773=L1773,"同一","変更"))</f>
        <v/>
      </c>
      <c r="N1773" s="29"/>
      <c r="O1773" s="30"/>
      <c r="P1773" s="29"/>
      <c r="Q1773" s="31"/>
      <c r="R1773" s="29"/>
      <c r="S1773" s="29"/>
      <c r="T1773" s="30"/>
      <c r="U1773" s="47" t="str">
        <f aca="false">IF(AND(B1773&lt;&gt;"",B1773=SW別シート!$C$3),COUNTIF(B$5:B1773,B1773),"")</f>
        <v/>
      </c>
      <c r="V1773" s="47" t="n">
        <f aca="false">V1772+IF(OR(O1773&lt;&gt;"",W1773&lt;&gt;""),1,0)</f>
        <v>3</v>
      </c>
      <c r="W1773" s="29"/>
    </row>
    <row r="1774" customFormat="false" ht="15" hidden="false" customHeight="false" outlineLevel="0" collapsed="false">
      <c r="A1774" s="32" t="str">
        <f aca="false">IF(B1774="","",ROW()-7)</f>
        <v/>
      </c>
      <c r="B1774" s="30"/>
      <c r="C1774" s="29"/>
      <c r="D1774" s="29"/>
      <c r="E1774" s="29"/>
      <c r="F1774" s="30"/>
      <c r="G1774" s="29"/>
      <c r="H1774" s="30"/>
      <c r="I1774" s="29"/>
      <c r="J1774" s="30"/>
      <c r="K1774" s="30"/>
      <c r="L1774" s="29"/>
      <c r="M1774" s="32" t="str">
        <f aca="false">IF(OR(C1774="",L1774=""),"",IF(C1774=L1774,"同一","変更"))</f>
        <v/>
      </c>
      <c r="N1774" s="29"/>
      <c r="O1774" s="30"/>
      <c r="P1774" s="29"/>
      <c r="Q1774" s="31"/>
      <c r="R1774" s="29"/>
      <c r="S1774" s="29"/>
      <c r="T1774" s="30"/>
      <c r="U1774" s="47" t="str">
        <f aca="false">IF(AND(B1774&lt;&gt;"",B1774=SW別シート!$C$3),COUNTIF(B$5:B1774,B1774),"")</f>
        <v/>
      </c>
      <c r="V1774" s="47" t="n">
        <f aca="false">V1773+IF(OR(O1774&lt;&gt;"",W1774&lt;&gt;""),1,0)</f>
        <v>3</v>
      </c>
      <c r="W1774" s="29"/>
    </row>
    <row r="1775" customFormat="false" ht="15" hidden="false" customHeight="false" outlineLevel="0" collapsed="false">
      <c r="A1775" s="32" t="str">
        <f aca="false">IF(B1775="","",ROW()-7)</f>
        <v/>
      </c>
      <c r="B1775" s="30"/>
      <c r="C1775" s="29"/>
      <c r="D1775" s="29"/>
      <c r="E1775" s="29"/>
      <c r="F1775" s="30"/>
      <c r="G1775" s="29"/>
      <c r="H1775" s="30"/>
      <c r="I1775" s="29"/>
      <c r="J1775" s="30"/>
      <c r="K1775" s="30"/>
      <c r="L1775" s="29"/>
      <c r="M1775" s="32" t="str">
        <f aca="false">IF(OR(C1775="",L1775=""),"",IF(C1775=L1775,"同一","変更"))</f>
        <v/>
      </c>
      <c r="N1775" s="29"/>
      <c r="O1775" s="30"/>
      <c r="P1775" s="29"/>
      <c r="Q1775" s="31"/>
      <c r="R1775" s="29"/>
      <c r="S1775" s="29"/>
      <c r="T1775" s="30"/>
      <c r="U1775" s="47" t="str">
        <f aca="false">IF(AND(B1775&lt;&gt;"",B1775=SW別シート!$C$3),COUNTIF(B$5:B1775,B1775),"")</f>
        <v/>
      </c>
      <c r="V1775" s="47" t="n">
        <f aca="false">V1774+IF(OR(O1775&lt;&gt;"",W1775&lt;&gt;""),1,0)</f>
        <v>3</v>
      </c>
      <c r="W1775" s="29"/>
    </row>
    <row r="1776" customFormat="false" ht="15" hidden="false" customHeight="false" outlineLevel="0" collapsed="false">
      <c r="A1776" s="32" t="str">
        <f aca="false">IF(B1776="","",ROW()-7)</f>
        <v/>
      </c>
      <c r="B1776" s="30"/>
      <c r="C1776" s="29"/>
      <c r="D1776" s="29"/>
      <c r="E1776" s="29"/>
      <c r="F1776" s="30"/>
      <c r="G1776" s="29"/>
      <c r="H1776" s="30"/>
      <c r="I1776" s="29"/>
      <c r="J1776" s="30"/>
      <c r="K1776" s="30"/>
      <c r="L1776" s="29"/>
      <c r="M1776" s="32" t="str">
        <f aca="false">IF(OR(C1776="",L1776=""),"",IF(C1776=L1776,"同一","変更"))</f>
        <v/>
      </c>
      <c r="N1776" s="29"/>
      <c r="O1776" s="30"/>
      <c r="P1776" s="29"/>
      <c r="Q1776" s="31"/>
      <c r="R1776" s="29"/>
      <c r="S1776" s="29"/>
      <c r="T1776" s="30"/>
      <c r="U1776" s="47" t="str">
        <f aca="false">IF(AND(B1776&lt;&gt;"",B1776=SW別シート!$C$3),COUNTIF(B$5:B1776,B1776),"")</f>
        <v/>
      </c>
      <c r="V1776" s="47" t="n">
        <f aca="false">V1775+IF(OR(O1776&lt;&gt;"",W1776&lt;&gt;""),1,0)</f>
        <v>3</v>
      </c>
      <c r="W1776" s="29"/>
    </row>
    <row r="1777" customFormat="false" ht="15" hidden="false" customHeight="false" outlineLevel="0" collapsed="false">
      <c r="A1777" s="32" t="str">
        <f aca="false">IF(B1777="","",ROW()-7)</f>
        <v/>
      </c>
      <c r="B1777" s="30"/>
      <c r="C1777" s="29"/>
      <c r="D1777" s="29"/>
      <c r="E1777" s="29"/>
      <c r="F1777" s="30"/>
      <c r="G1777" s="29"/>
      <c r="H1777" s="30"/>
      <c r="I1777" s="29"/>
      <c r="J1777" s="30"/>
      <c r="K1777" s="30"/>
      <c r="L1777" s="29"/>
      <c r="M1777" s="32" t="str">
        <f aca="false">IF(OR(C1777="",L1777=""),"",IF(C1777=L1777,"同一","変更"))</f>
        <v/>
      </c>
      <c r="N1777" s="29"/>
      <c r="O1777" s="30"/>
      <c r="P1777" s="29"/>
      <c r="Q1777" s="31"/>
      <c r="R1777" s="29"/>
      <c r="S1777" s="29"/>
      <c r="T1777" s="30"/>
      <c r="U1777" s="47" t="str">
        <f aca="false">IF(AND(B1777&lt;&gt;"",B1777=SW別シート!$C$3),COUNTIF(B$5:B1777,B1777),"")</f>
        <v/>
      </c>
      <c r="V1777" s="47" t="n">
        <f aca="false">V1776+IF(OR(O1777&lt;&gt;"",W1777&lt;&gt;""),1,0)</f>
        <v>3</v>
      </c>
      <c r="W1777" s="29"/>
    </row>
    <row r="1778" customFormat="false" ht="15" hidden="false" customHeight="false" outlineLevel="0" collapsed="false">
      <c r="A1778" s="32" t="str">
        <f aca="false">IF(B1778="","",ROW()-7)</f>
        <v/>
      </c>
      <c r="B1778" s="30"/>
      <c r="C1778" s="29"/>
      <c r="D1778" s="29"/>
      <c r="E1778" s="29"/>
      <c r="F1778" s="30"/>
      <c r="G1778" s="29"/>
      <c r="H1778" s="30"/>
      <c r="I1778" s="29"/>
      <c r="J1778" s="30"/>
      <c r="K1778" s="30"/>
      <c r="L1778" s="29"/>
      <c r="M1778" s="32" t="str">
        <f aca="false">IF(OR(C1778="",L1778=""),"",IF(C1778=L1778,"同一","変更"))</f>
        <v/>
      </c>
      <c r="N1778" s="29"/>
      <c r="O1778" s="30"/>
      <c r="P1778" s="29"/>
      <c r="Q1778" s="31"/>
      <c r="R1778" s="29"/>
      <c r="S1778" s="29"/>
      <c r="T1778" s="30"/>
      <c r="U1778" s="47" t="str">
        <f aca="false">IF(AND(B1778&lt;&gt;"",B1778=SW別シート!$C$3),COUNTIF(B$5:B1778,B1778),"")</f>
        <v/>
      </c>
      <c r="V1778" s="47" t="n">
        <f aca="false">V1777+IF(OR(O1778&lt;&gt;"",W1778&lt;&gt;""),1,0)</f>
        <v>3</v>
      </c>
      <c r="W1778" s="29"/>
    </row>
    <row r="1779" customFormat="false" ht="15" hidden="false" customHeight="false" outlineLevel="0" collapsed="false">
      <c r="A1779" s="32" t="str">
        <f aca="false">IF(B1779="","",ROW()-7)</f>
        <v/>
      </c>
      <c r="B1779" s="30"/>
      <c r="C1779" s="29"/>
      <c r="D1779" s="29"/>
      <c r="E1779" s="29"/>
      <c r="F1779" s="30"/>
      <c r="G1779" s="29"/>
      <c r="H1779" s="30"/>
      <c r="I1779" s="29"/>
      <c r="J1779" s="30"/>
      <c r="K1779" s="30"/>
      <c r="L1779" s="29"/>
      <c r="M1779" s="32" t="str">
        <f aca="false">IF(OR(C1779="",L1779=""),"",IF(C1779=L1779,"同一","変更"))</f>
        <v/>
      </c>
      <c r="N1779" s="29"/>
      <c r="O1779" s="30"/>
      <c r="P1779" s="29"/>
      <c r="Q1779" s="31"/>
      <c r="R1779" s="29"/>
      <c r="S1779" s="29"/>
      <c r="T1779" s="30"/>
      <c r="U1779" s="47" t="str">
        <f aca="false">IF(AND(B1779&lt;&gt;"",B1779=SW別シート!$C$3),COUNTIF(B$5:B1779,B1779),"")</f>
        <v/>
      </c>
      <c r="V1779" s="47" t="n">
        <f aca="false">V1778+IF(OR(O1779&lt;&gt;"",W1779&lt;&gt;""),1,0)</f>
        <v>3</v>
      </c>
      <c r="W1779" s="29"/>
    </row>
    <row r="1780" customFormat="false" ht="15" hidden="false" customHeight="false" outlineLevel="0" collapsed="false">
      <c r="A1780" s="32" t="str">
        <f aca="false">IF(B1780="","",ROW()-7)</f>
        <v/>
      </c>
      <c r="B1780" s="30"/>
      <c r="C1780" s="29"/>
      <c r="D1780" s="29"/>
      <c r="E1780" s="29"/>
      <c r="F1780" s="30"/>
      <c r="G1780" s="29"/>
      <c r="H1780" s="30"/>
      <c r="I1780" s="29"/>
      <c r="J1780" s="30"/>
      <c r="K1780" s="30"/>
      <c r="L1780" s="29"/>
      <c r="M1780" s="32" t="str">
        <f aca="false">IF(OR(C1780="",L1780=""),"",IF(C1780=L1780,"同一","変更"))</f>
        <v/>
      </c>
      <c r="N1780" s="29"/>
      <c r="O1780" s="30"/>
      <c r="P1780" s="29"/>
      <c r="Q1780" s="31"/>
      <c r="R1780" s="29"/>
      <c r="S1780" s="29"/>
      <c r="T1780" s="30"/>
      <c r="U1780" s="47" t="str">
        <f aca="false">IF(AND(B1780&lt;&gt;"",B1780=SW別シート!$C$3),COUNTIF(B$5:B1780,B1780),"")</f>
        <v/>
      </c>
      <c r="V1780" s="47" t="n">
        <f aca="false">V1779+IF(OR(O1780&lt;&gt;"",W1780&lt;&gt;""),1,0)</f>
        <v>3</v>
      </c>
      <c r="W1780" s="29"/>
    </row>
    <row r="1781" customFormat="false" ht="15" hidden="false" customHeight="false" outlineLevel="0" collapsed="false">
      <c r="A1781" s="32" t="str">
        <f aca="false">IF(B1781="","",ROW()-7)</f>
        <v/>
      </c>
      <c r="B1781" s="30"/>
      <c r="C1781" s="29"/>
      <c r="D1781" s="29"/>
      <c r="E1781" s="29"/>
      <c r="F1781" s="30"/>
      <c r="G1781" s="29"/>
      <c r="H1781" s="30"/>
      <c r="I1781" s="29"/>
      <c r="J1781" s="30"/>
      <c r="K1781" s="30"/>
      <c r="L1781" s="29"/>
      <c r="M1781" s="32" t="str">
        <f aca="false">IF(OR(C1781="",L1781=""),"",IF(C1781=L1781,"同一","変更"))</f>
        <v/>
      </c>
      <c r="N1781" s="29"/>
      <c r="O1781" s="30"/>
      <c r="P1781" s="29"/>
      <c r="Q1781" s="31"/>
      <c r="R1781" s="29"/>
      <c r="S1781" s="29"/>
      <c r="T1781" s="30"/>
      <c r="U1781" s="47" t="str">
        <f aca="false">IF(AND(B1781&lt;&gt;"",B1781=SW別シート!$C$3),COUNTIF(B$5:B1781,B1781),"")</f>
        <v/>
      </c>
      <c r="V1781" s="47" t="n">
        <f aca="false">V1780+IF(OR(O1781&lt;&gt;"",W1781&lt;&gt;""),1,0)</f>
        <v>3</v>
      </c>
      <c r="W1781" s="29"/>
    </row>
    <row r="1782" customFormat="false" ht="15" hidden="false" customHeight="false" outlineLevel="0" collapsed="false">
      <c r="A1782" s="32" t="str">
        <f aca="false">IF(B1782="","",ROW()-7)</f>
        <v/>
      </c>
      <c r="B1782" s="30"/>
      <c r="C1782" s="29"/>
      <c r="D1782" s="29"/>
      <c r="E1782" s="29"/>
      <c r="F1782" s="30"/>
      <c r="G1782" s="29"/>
      <c r="H1782" s="30"/>
      <c r="I1782" s="29"/>
      <c r="J1782" s="30"/>
      <c r="K1782" s="30"/>
      <c r="L1782" s="29"/>
      <c r="M1782" s="32" t="str">
        <f aca="false">IF(OR(C1782="",L1782=""),"",IF(C1782=L1782,"同一","変更"))</f>
        <v/>
      </c>
      <c r="N1782" s="29"/>
      <c r="O1782" s="30"/>
      <c r="P1782" s="29"/>
      <c r="Q1782" s="31"/>
      <c r="R1782" s="29"/>
      <c r="S1782" s="29"/>
      <c r="T1782" s="30"/>
      <c r="U1782" s="47" t="str">
        <f aca="false">IF(AND(B1782&lt;&gt;"",B1782=SW別シート!$C$3),COUNTIF(B$5:B1782,B1782),"")</f>
        <v/>
      </c>
      <c r="V1782" s="47" t="n">
        <f aca="false">V1781+IF(OR(O1782&lt;&gt;"",W1782&lt;&gt;""),1,0)</f>
        <v>3</v>
      </c>
      <c r="W1782" s="29"/>
    </row>
    <row r="1783" customFormat="false" ht="15" hidden="false" customHeight="false" outlineLevel="0" collapsed="false">
      <c r="A1783" s="32" t="str">
        <f aca="false">IF(B1783="","",ROW()-7)</f>
        <v/>
      </c>
      <c r="B1783" s="30"/>
      <c r="C1783" s="29"/>
      <c r="D1783" s="29"/>
      <c r="E1783" s="29"/>
      <c r="F1783" s="30"/>
      <c r="G1783" s="29"/>
      <c r="H1783" s="30"/>
      <c r="I1783" s="29"/>
      <c r="J1783" s="30"/>
      <c r="K1783" s="30"/>
      <c r="L1783" s="29"/>
      <c r="M1783" s="32" t="str">
        <f aca="false">IF(OR(C1783="",L1783=""),"",IF(C1783=L1783,"同一","変更"))</f>
        <v/>
      </c>
      <c r="N1783" s="29"/>
      <c r="O1783" s="30"/>
      <c r="P1783" s="29"/>
      <c r="Q1783" s="31"/>
      <c r="R1783" s="29"/>
      <c r="S1783" s="29"/>
      <c r="T1783" s="30"/>
      <c r="U1783" s="47" t="str">
        <f aca="false">IF(AND(B1783&lt;&gt;"",B1783=SW別シート!$C$3),COUNTIF(B$5:B1783,B1783),"")</f>
        <v/>
      </c>
      <c r="V1783" s="47" t="n">
        <f aca="false">V1782+IF(OR(O1783&lt;&gt;"",W1783&lt;&gt;""),1,0)</f>
        <v>3</v>
      </c>
      <c r="W1783" s="29"/>
    </row>
    <row r="1784" customFormat="false" ht="15" hidden="false" customHeight="false" outlineLevel="0" collapsed="false">
      <c r="A1784" s="32" t="str">
        <f aca="false">IF(B1784="","",ROW()-7)</f>
        <v/>
      </c>
      <c r="B1784" s="30"/>
      <c r="C1784" s="29"/>
      <c r="D1784" s="29"/>
      <c r="E1784" s="29"/>
      <c r="F1784" s="30"/>
      <c r="G1784" s="29"/>
      <c r="H1784" s="30"/>
      <c r="I1784" s="29"/>
      <c r="J1784" s="30"/>
      <c r="K1784" s="30"/>
      <c r="L1784" s="29"/>
      <c r="M1784" s="32" t="str">
        <f aca="false">IF(OR(C1784="",L1784=""),"",IF(C1784=L1784,"同一","変更"))</f>
        <v/>
      </c>
      <c r="N1784" s="29"/>
      <c r="O1784" s="30"/>
      <c r="P1784" s="29"/>
      <c r="Q1784" s="31"/>
      <c r="R1784" s="29"/>
      <c r="S1784" s="29"/>
      <c r="T1784" s="30"/>
      <c r="U1784" s="47" t="str">
        <f aca="false">IF(AND(B1784&lt;&gt;"",B1784=SW別シート!$C$3),COUNTIF(B$5:B1784,B1784),"")</f>
        <v/>
      </c>
      <c r="V1784" s="47" t="n">
        <f aca="false">V1783+IF(OR(O1784&lt;&gt;"",W1784&lt;&gt;""),1,0)</f>
        <v>3</v>
      </c>
      <c r="W1784" s="29"/>
    </row>
    <row r="1785" customFormat="false" ht="15" hidden="false" customHeight="false" outlineLevel="0" collapsed="false">
      <c r="A1785" s="32" t="str">
        <f aca="false">IF(B1785="","",ROW()-7)</f>
        <v/>
      </c>
      <c r="B1785" s="30"/>
      <c r="C1785" s="29"/>
      <c r="D1785" s="29"/>
      <c r="E1785" s="29"/>
      <c r="F1785" s="30"/>
      <c r="G1785" s="29"/>
      <c r="H1785" s="30"/>
      <c r="I1785" s="29"/>
      <c r="J1785" s="30"/>
      <c r="K1785" s="30"/>
      <c r="L1785" s="29"/>
      <c r="M1785" s="32" t="str">
        <f aca="false">IF(OR(C1785="",L1785=""),"",IF(C1785=L1785,"同一","変更"))</f>
        <v/>
      </c>
      <c r="N1785" s="29"/>
      <c r="O1785" s="30"/>
      <c r="P1785" s="29"/>
      <c r="Q1785" s="31"/>
      <c r="R1785" s="29"/>
      <c r="S1785" s="29"/>
      <c r="T1785" s="30"/>
      <c r="U1785" s="47" t="str">
        <f aca="false">IF(AND(B1785&lt;&gt;"",B1785=SW別シート!$C$3),COUNTIF(B$5:B1785,B1785),"")</f>
        <v/>
      </c>
      <c r="V1785" s="47" t="n">
        <f aca="false">V1784+IF(OR(O1785&lt;&gt;"",W1785&lt;&gt;""),1,0)</f>
        <v>3</v>
      </c>
      <c r="W1785" s="29"/>
    </row>
    <row r="1786" customFormat="false" ht="15" hidden="false" customHeight="false" outlineLevel="0" collapsed="false">
      <c r="A1786" s="32" t="str">
        <f aca="false">IF(B1786="","",ROW()-7)</f>
        <v/>
      </c>
      <c r="B1786" s="30"/>
      <c r="C1786" s="29"/>
      <c r="D1786" s="29"/>
      <c r="E1786" s="29"/>
      <c r="F1786" s="30"/>
      <c r="G1786" s="29"/>
      <c r="H1786" s="30"/>
      <c r="I1786" s="29"/>
      <c r="J1786" s="30"/>
      <c r="K1786" s="30"/>
      <c r="L1786" s="29"/>
      <c r="M1786" s="32" t="str">
        <f aca="false">IF(OR(C1786="",L1786=""),"",IF(C1786=L1786,"同一","変更"))</f>
        <v/>
      </c>
      <c r="N1786" s="29"/>
      <c r="O1786" s="30"/>
      <c r="P1786" s="29"/>
      <c r="Q1786" s="31"/>
      <c r="R1786" s="29"/>
      <c r="S1786" s="29"/>
      <c r="T1786" s="30"/>
      <c r="U1786" s="47" t="str">
        <f aca="false">IF(AND(B1786&lt;&gt;"",B1786=SW別シート!$C$3),COUNTIF(B$5:B1786,B1786),"")</f>
        <v/>
      </c>
      <c r="V1786" s="47" t="n">
        <f aca="false">V1785+IF(OR(O1786&lt;&gt;"",W1786&lt;&gt;""),1,0)</f>
        <v>3</v>
      </c>
      <c r="W1786" s="29"/>
    </row>
    <row r="1787" customFormat="false" ht="15" hidden="false" customHeight="false" outlineLevel="0" collapsed="false">
      <c r="A1787" s="32" t="str">
        <f aca="false">IF(B1787="","",ROW()-7)</f>
        <v/>
      </c>
      <c r="B1787" s="30"/>
      <c r="C1787" s="29"/>
      <c r="D1787" s="29"/>
      <c r="E1787" s="29"/>
      <c r="F1787" s="30"/>
      <c r="G1787" s="29"/>
      <c r="H1787" s="30"/>
      <c r="I1787" s="29"/>
      <c r="J1787" s="30"/>
      <c r="K1787" s="30"/>
      <c r="L1787" s="29"/>
      <c r="M1787" s="32" t="str">
        <f aca="false">IF(OR(C1787="",L1787=""),"",IF(C1787=L1787,"同一","変更"))</f>
        <v/>
      </c>
      <c r="N1787" s="29"/>
      <c r="O1787" s="30"/>
      <c r="P1787" s="29"/>
      <c r="Q1787" s="31"/>
      <c r="R1787" s="29"/>
      <c r="S1787" s="29"/>
      <c r="T1787" s="30"/>
      <c r="U1787" s="47" t="str">
        <f aca="false">IF(AND(B1787&lt;&gt;"",B1787=SW別シート!$C$3),COUNTIF(B$5:B1787,B1787),"")</f>
        <v/>
      </c>
      <c r="V1787" s="47" t="n">
        <f aca="false">V1786+IF(OR(O1787&lt;&gt;"",W1787&lt;&gt;""),1,0)</f>
        <v>3</v>
      </c>
      <c r="W1787" s="29"/>
    </row>
    <row r="1788" customFormat="false" ht="15" hidden="false" customHeight="false" outlineLevel="0" collapsed="false">
      <c r="A1788" s="32" t="str">
        <f aca="false">IF(B1788="","",ROW()-7)</f>
        <v/>
      </c>
      <c r="B1788" s="30"/>
      <c r="C1788" s="29"/>
      <c r="D1788" s="29"/>
      <c r="E1788" s="29"/>
      <c r="F1788" s="30"/>
      <c r="G1788" s="29"/>
      <c r="H1788" s="30"/>
      <c r="I1788" s="29"/>
      <c r="J1788" s="30"/>
      <c r="K1788" s="30"/>
      <c r="L1788" s="29"/>
      <c r="M1788" s="32" t="str">
        <f aca="false">IF(OR(C1788="",L1788=""),"",IF(C1788=L1788,"同一","変更"))</f>
        <v/>
      </c>
      <c r="N1788" s="29"/>
      <c r="O1788" s="30"/>
      <c r="P1788" s="29"/>
      <c r="Q1788" s="31"/>
      <c r="R1788" s="29"/>
      <c r="S1788" s="29"/>
      <c r="T1788" s="30"/>
      <c r="U1788" s="47" t="str">
        <f aca="false">IF(AND(B1788&lt;&gt;"",B1788=SW別シート!$C$3),COUNTIF(B$5:B1788,B1788),"")</f>
        <v/>
      </c>
      <c r="V1788" s="47" t="n">
        <f aca="false">V1787+IF(OR(O1788&lt;&gt;"",W1788&lt;&gt;""),1,0)</f>
        <v>3</v>
      </c>
      <c r="W1788" s="29"/>
    </row>
    <row r="1789" customFormat="false" ht="15" hidden="false" customHeight="false" outlineLevel="0" collapsed="false">
      <c r="A1789" s="32" t="str">
        <f aca="false">IF(B1789="","",ROW()-7)</f>
        <v/>
      </c>
      <c r="B1789" s="30"/>
      <c r="C1789" s="29"/>
      <c r="D1789" s="29"/>
      <c r="E1789" s="29"/>
      <c r="F1789" s="30"/>
      <c r="G1789" s="29"/>
      <c r="H1789" s="30"/>
      <c r="I1789" s="29"/>
      <c r="J1789" s="30"/>
      <c r="K1789" s="30"/>
      <c r="L1789" s="29"/>
      <c r="M1789" s="32" t="str">
        <f aca="false">IF(OR(C1789="",L1789=""),"",IF(C1789=L1789,"同一","変更"))</f>
        <v/>
      </c>
      <c r="N1789" s="29"/>
      <c r="O1789" s="30"/>
      <c r="P1789" s="29"/>
      <c r="Q1789" s="31"/>
      <c r="R1789" s="29"/>
      <c r="S1789" s="29"/>
      <c r="T1789" s="30"/>
      <c r="U1789" s="47" t="str">
        <f aca="false">IF(AND(B1789&lt;&gt;"",B1789=SW別シート!$C$3),COUNTIF(B$5:B1789,B1789),"")</f>
        <v/>
      </c>
      <c r="V1789" s="47" t="n">
        <f aca="false">V1788+IF(OR(O1789&lt;&gt;"",W1789&lt;&gt;""),1,0)</f>
        <v>3</v>
      </c>
      <c r="W1789" s="29"/>
    </row>
    <row r="1790" customFormat="false" ht="15" hidden="false" customHeight="false" outlineLevel="0" collapsed="false">
      <c r="A1790" s="32" t="str">
        <f aca="false">IF(B1790="","",ROW()-7)</f>
        <v/>
      </c>
      <c r="B1790" s="30"/>
      <c r="C1790" s="29"/>
      <c r="D1790" s="29"/>
      <c r="E1790" s="29"/>
      <c r="F1790" s="30"/>
      <c r="G1790" s="29"/>
      <c r="H1790" s="30"/>
      <c r="I1790" s="29"/>
      <c r="J1790" s="30"/>
      <c r="K1790" s="30"/>
      <c r="L1790" s="29"/>
      <c r="M1790" s="32" t="str">
        <f aca="false">IF(OR(C1790="",L1790=""),"",IF(C1790=L1790,"同一","変更"))</f>
        <v/>
      </c>
      <c r="N1790" s="29"/>
      <c r="O1790" s="30"/>
      <c r="P1790" s="29"/>
      <c r="Q1790" s="31"/>
      <c r="R1790" s="29"/>
      <c r="S1790" s="29"/>
      <c r="T1790" s="30"/>
      <c r="U1790" s="47" t="str">
        <f aca="false">IF(AND(B1790&lt;&gt;"",B1790=SW別シート!$C$3),COUNTIF(B$5:B1790,B1790),"")</f>
        <v/>
      </c>
      <c r="V1790" s="47" t="n">
        <f aca="false">V1789+IF(OR(O1790&lt;&gt;"",W1790&lt;&gt;""),1,0)</f>
        <v>3</v>
      </c>
      <c r="W1790" s="29"/>
    </row>
    <row r="1791" customFormat="false" ht="15" hidden="false" customHeight="false" outlineLevel="0" collapsed="false">
      <c r="A1791" s="32" t="str">
        <f aca="false">IF(B1791="","",ROW()-7)</f>
        <v/>
      </c>
      <c r="B1791" s="30"/>
      <c r="C1791" s="29"/>
      <c r="D1791" s="29"/>
      <c r="E1791" s="29"/>
      <c r="F1791" s="30"/>
      <c r="G1791" s="29"/>
      <c r="H1791" s="30"/>
      <c r="I1791" s="29"/>
      <c r="J1791" s="30"/>
      <c r="K1791" s="30"/>
      <c r="L1791" s="29"/>
      <c r="M1791" s="32" t="str">
        <f aca="false">IF(OR(C1791="",L1791=""),"",IF(C1791=L1791,"同一","変更"))</f>
        <v/>
      </c>
      <c r="N1791" s="29"/>
      <c r="O1791" s="30"/>
      <c r="P1791" s="29"/>
      <c r="Q1791" s="31"/>
      <c r="R1791" s="29"/>
      <c r="S1791" s="29"/>
      <c r="T1791" s="30"/>
      <c r="U1791" s="47" t="str">
        <f aca="false">IF(AND(B1791&lt;&gt;"",B1791=SW別シート!$C$3),COUNTIF(B$5:B1791,B1791),"")</f>
        <v/>
      </c>
      <c r="V1791" s="47" t="n">
        <f aca="false">V1790+IF(OR(O1791&lt;&gt;"",W1791&lt;&gt;""),1,0)</f>
        <v>3</v>
      </c>
      <c r="W1791" s="29"/>
    </row>
    <row r="1792" customFormat="false" ht="15" hidden="false" customHeight="false" outlineLevel="0" collapsed="false">
      <c r="A1792" s="32" t="str">
        <f aca="false">IF(B1792="","",ROW()-7)</f>
        <v/>
      </c>
      <c r="B1792" s="30"/>
      <c r="C1792" s="29"/>
      <c r="D1792" s="29"/>
      <c r="E1792" s="29"/>
      <c r="F1792" s="30"/>
      <c r="G1792" s="29"/>
      <c r="H1792" s="30"/>
      <c r="I1792" s="29"/>
      <c r="J1792" s="30"/>
      <c r="K1792" s="30"/>
      <c r="L1792" s="29"/>
      <c r="M1792" s="32" t="str">
        <f aca="false">IF(OR(C1792="",L1792=""),"",IF(C1792=L1792,"同一","変更"))</f>
        <v/>
      </c>
      <c r="N1792" s="29"/>
      <c r="O1792" s="30"/>
      <c r="P1792" s="29"/>
      <c r="Q1792" s="31"/>
      <c r="R1792" s="29"/>
      <c r="S1792" s="29"/>
      <c r="T1792" s="30"/>
      <c r="U1792" s="47" t="str">
        <f aca="false">IF(AND(B1792&lt;&gt;"",B1792=SW別シート!$C$3),COUNTIF(B$5:B1792,B1792),"")</f>
        <v/>
      </c>
      <c r="V1792" s="47" t="n">
        <f aca="false">V1791+IF(OR(O1792&lt;&gt;"",W1792&lt;&gt;""),1,0)</f>
        <v>3</v>
      </c>
      <c r="W1792" s="29"/>
    </row>
    <row r="1793" customFormat="false" ht="15" hidden="false" customHeight="false" outlineLevel="0" collapsed="false">
      <c r="A1793" s="32" t="str">
        <f aca="false">IF(B1793="","",ROW()-7)</f>
        <v/>
      </c>
      <c r="B1793" s="30"/>
      <c r="C1793" s="29"/>
      <c r="D1793" s="29"/>
      <c r="E1793" s="29"/>
      <c r="F1793" s="30"/>
      <c r="G1793" s="29"/>
      <c r="H1793" s="30"/>
      <c r="I1793" s="29"/>
      <c r="J1793" s="30"/>
      <c r="K1793" s="30"/>
      <c r="L1793" s="29"/>
      <c r="M1793" s="32" t="str">
        <f aca="false">IF(OR(C1793="",L1793=""),"",IF(C1793=L1793,"同一","変更"))</f>
        <v/>
      </c>
      <c r="N1793" s="29"/>
      <c r="O1793" s="30"/>
      <c r="P1793" s="29"/>
      <c r="Q1793" s="31"/>
      <c r="R1793" s="29"/>
      <c r="S1793" s="29"/>
      <c r="T1793" s="30"/>
      <c r="U1793" s="47" t="str">
        <f aca="false">IF(AND(B1793&lt;&gt;"",B1793=SW別シート!$C$3),COUNTIF(B$5:B1793,B1793),"")</f>
        <v/>
      </c>
      <c r="V1793" s="47" t="n">
        <f aca="false">V1792+IF(OR(O1793&lt;&gt;"",W1793&lt;&gt;""),1,0)</f>
        <v>3</v>
      </c>
      <c r="W1793" s="29"/>
    </row>
    <row r="1794" customFormat="false" ht="15" hidden="false" customHeight="false" outlineLevel="0" collapsed="false">
      <c r="A1794" s="32" t="str">
        <f aca="false">IF(B1794="","",ROW()-7)</f>
        <v/>
      </c>
      <c r="B1794" s="30"/>
      <c r="C1794" s="29"/>
      <c r="D1794" s="29"/>
      <c r="E1794" s="29"/>
      <c r="F1794" s="30"/>
      <c r="G1794" s="29"/>
      <c r="H1794" s="30"/>
      <c r="I1794" s="29"/>
      <c r="J1794" s="30"/>
      <c r="K1794" s="30"/>
      <c r="L1794" s="29"/>
      <c r="M1794" s="32" t="str">
        <f aca="false">IF(OR(C1794="",L1794=""),"",IF(C1794=L1794,"同一","変更"))</f>
        <v/>
      </c>
      <c r="N1794" s="29"/>
      <c r="O1794" s="30"/>
      <c r="P1794" s="29"/>
      <c r="Q1794" s="31"/>
      <c r="R1794" s="29"/>
      <c r="S1794" s="29"/>
      <c r="T1794" s="30"/>
      <c r="U1794" s="47" t="str">
        <f aca="false">IF(AND(B1794&lt;&gt;"",B1794=SW別シート!$C$3),COUNTIF(B$5:B1794,B1794),"")</f>
        <v/>
      </c>
      <c r="V1794" s="47" t="n">
        <f aca="false">V1793+IF(OR(O1794&lt;&gt;"",W1794&lt;&gt;""),1,0)</f>
        <v>3</v>
      </c>
      <c r="W1794" s="29"/>
    </row>
    <row r="1795" customFormat="false" ht="15" hidden="false" customHeight="false" outlineLevel="0" collapsed="false">
      <c r="A1795" s="32" t="str">
        <f aca="false">IF(B1795="","",ROW()-7)</f>
        <v/>
      </c>
      <c r="B1795" s="30"/>
      <c r="C1795" s="29"/>
      <c r="D1795" s="29"/>
      <c r="E1795" s="29"/>
      <c r="F1795" s="30"/>
      <c r="G1795" s="29"/>
      <c r="H1795" s="30"/>
      <c r="I1795" s="29"/>
      <c r="J1795" s="30"/>
      <c r="K1795" s="30"/>
      <c r="L1795" s="29"/>
      <c r="M1795" s="32" t="str">
        <f aca="false">IF(OR(C1795="",L1795=""),"",IF(C1795=L1795,"同一","変更"))</f>
        <v/>
      </c>
      <c r="N1795" s="29"/>
      <c r="O1795" s="30"/>
      <c r="P1795" s="29"/>
      <c r="Q1795" s="31"/>
      <c r="R1795" s="29"/>
      <c r="S1795" s="29"/>
      <c r="T1795" s="30"/>
      <c r="U1795" s="47" t="str">
        <f aca="false">IF(AND(B1795&lt;&gt;"",B1795=SW別シート!$C$3),COUNTIF(B$5:B1795,B1795),"")</f>
        <v/>
      </c>
      <c r="V1795" s="47" t="n">
        <f aca="false">V1794+IF(OR(O1795&lt;&gt;"",W1795&lt;&gt;""),1,0)</f>
        <v>3</v>
      </c>
      <c r="W1795" s="29"/>
    </row>
    <row r="1796" customFormat="false" ht="15" hidden="false" customHeight="false" outlineLevel="0" collapsed="false">
      <c r="A1796" s="32" t="str">
        <f aca="false">IF(B1796="","",ROW()-7)</f>
        <v/>
      </c>
      <c r="B1796" s="30"/>
      <c r="C1796" s="29"/>
      <c r="D1796" s="29"/>
      <c r="E1796" s="29"/>
      <c r="F1796" s="30"/>
      <c r="G1796" s="29"/>
      <c r="H1796" s="30"/>
      <c r="I1796" s="29"/>
      <c r="J1796" s="30"/>
      <c r="K1796" s="30"/>
      <c r="L1796" s="29"/>
      <c r="M1796" s="32" t="str">
        <f aca="false">IF(OR(C1796="",L1796=""),"",IF(C1796=L1796,"同一","変更"))</f>
        <v/>
      </c>
      <c r="N1796" s="29"/>
      <c r="O1796" s="30"/>
      <c r="P1796" s="29"/>
      <c r="Q1796" s="31"/>
      <c r="R1796" s="29"/>
      <c r="S1796" s="29"/>
      <c r="T1796" s="30"/>
      <c r="U1796" s="47" t="str">
        <f aca="false">IF(AND(B1796&lt;&gt;"",B1796=SW別シート!$C$3),COUNTIF(B$5:B1796,B1796),"")</f>
        <v/>
      </c>
      <c r="V1796" s="47" t="n">
        <f aca="false">V1795+IF(OR(O1796&lt;&gt;"",W1796&lt;&gt;""),1,0)</f>
        <v>3</v>
      </c>
      <c r="W1796" s="29"/>
    </row>
    <row r="1797" customFormat="false" ht="15" hidden="false" customHeight="false" outlineLevel="0" collapsed="false">
      <c r="A1797" s="32" t="str">
        <f aca="false">IF(B1797="","",ROW()-7)</f>
        <v/>
      </c>
      <c r="B1797" s="30"/>
      <c r="C1797" s="29"/>
      <c r="D1797" s="29"/>
      <c r="E1797" s="29"/>
      <c r="F1797" s="30"/>
      <c r="G1797" s="29"/>
      <c r="H1797" s="30"/>
      <c r="I1797" s="29"/>
      <c r="J1797" s="30"/>
      <c r="K1797" s="30"/>
      <c r="L1797" s="29"/>
      <c r="M1797" s="32" t="str">
        <f aca="false">IF(OR(C1797="",L1797=""),"",IF(C1797=L1797,"同一","変更"))</f>
        <v/>
      </c>
      <c r="N1797" s="29"/>
      <c r="O1797" s="30"/>
      <c r="P1797" s="29"/>
      <c r="Q1797" s="31"/>
      <c r="R1797" s="29"/>
      <c r="S1797" s="29"/>
      <c r="T1797" s="30"/>
      <c r="U1797" s="47" t="str">
        <f aca="false">IF(AND(B1797&lt;&gt;"",B1797=SW別シート!$C$3),COUNTIF(B$5:B1797,B1797),"")</f>
        <v/>
      </c>
      <c r="V1797" s="47" t="n">
        <f aca="false">V1796+IF(OR(O1797&lt;&gt;"",W1797&lt;&gt;""),1,0)</f>
        <v>3</v>
      </c>
      <c r="W1797" s="29"/>
    </row>
    <row r="1798" customFormat="false" ht="15" hidden="false" customHeight="false" outlineLevel="0" collapsed="false">
      <c r="A1798" s="32" t="str">
        <f aca="false">IF(B1798="","",ROW()-7)</f>
        <v/>
      </c>
      <c r="B1798" s="30"/>
      <c r="C1798" s="29"/>
      <c r="D1798" s="29"/>
      <c r="E1798" s="29"/>
      <c r="F1798" s="30"/>
      <c r="G1798" s="29"/>
      <c r="H1798" s="30"/>
      <c r="I1798" s="29"/>
      <c r="J1798" s="30"/>
      <c r="K1798" s="30"/>
      <c r="L1798" s="29"/>
      <c r="M1798" s="32" t="str">
        <f aca="false">IF(OR(C1798="",L1798=""),"",IF(C1798=L1798,"同一","変更"))</f>
        <v/>
      </c>
      <c r="N1798" s="29"/>
      <c r="O1798" s="30"/>
      <c r="P1798" s="29"/>
      <c r="Q1798" s="31"/>
      <c r="R1798" s="29"/>
      <c r="S1798" s="29"/>
      <c r="T1798" s="30"/>
      <c r="U1798" s="47" t="str">
        <f aca="false">IF(AND(B1798&lt;&gt;"",B1798=SW別シート!$C$3),COUNTIF(B$5:B1798,B1798),"")</f>
        <v/>
      </c>
      <c r="V1798" s="47" t="n">
        <f aca="false">V1797+IF(OR(O1798&lt;&gt;"",W1798&lt;&gt;""),1,0)</f>
        <v>3</v>
      </c>
      <c r="W1798" s="29"/>
    </row>
    <row r="1799" customFormat="false" ht="15" hidden="false" customHeight="false" outlineLevel="0" collapsed="false">
      <c r="A1799" s="32" t="str">
        <f aca="false">IF(B1799="","",ROW()-7)</f>
        <v/>
      </c>
      <c r="B1799" s="30"/>
      <c r="C1799" s="29"/>
      <c r="D1799" s="29"/>
      <c r="E1799" s="29"/>
      <c r="F1799" s="30"/>
      <c r="G1799" s="29"/>
      <c r="H1799" s="30"/>
      <c r="I1799" s="29"/>
      <c r="J1799" s="30"/>
      <c r="K1799" s="30"/>
      <c r="L1799" s="29"/>
      <c r="M1799" s="32" t="str">
        <f aca="false">IF(OR(C1799="",L1799=""),"",IF(C1799=L1799,"同一","変更"))</f>
        <v/>
      </c>
      <c r="N1799" s="29"/>
      <c r="O1799" s="30"/>
      <c r="P1799" s="29"/>
      <c r="Q1799" s="31"/>
      <c r="R1799" s="29"/>
      <c r="S1799" s="29"/>
      <c r="T1799" s="30"/>
      <c r="U1799" s="47" t="str">
        <f aca="false">IF(AND(B1799&lt;&gt;"",B1799=SW別シート!$C$3),COUNTIF(B$5:B1799,B1799),"")</f>
        <v/>
      </c>
      <c r="V1799" s="47" t="n">
        <f aca="false">V1798+IF(OR(O1799&lt;&gt;"",W1799&lt;&gt;""),1,0)</f>
        <v>3</v>
      </c>
      <c r="W1799" s="29"/>
    </row>
    <row r="1800" customFormat="false" ht="15" hidden="false" customHeight="false" outlineLevel="0" collapsed="false">
      <c r="A1800" s="32" t="str">
        <f aca="false">IF(B1800="","",ROW()-7)</f>
        <v/>
      </c>
      <c r="B1800" s="30"/>
      <c r="C1800" s="29"/>
      <c r="D1800" s="29"/>
      <c r="E1800" s="29"/>
      <c r="F1800" s="30"/>
      <c r="G1800" s="29"/>
      <c r="H1800" s="30"/>
      <c r="I1800" s="29"/>
      <c r="J1800" s="30"/>
      <c r="K1800" s="30"/>
      <c r="L1800" s="29"/>
      <c r="M1800" s="32" t="str">
        <f aca="false">IF(OR(C1800="",L1800=""),"",IF(C1800=L1800,"同一","変更"))</f>
        <v/>
      </c>
      <c r="N1800" s="29"/>
      <c r="O1800" s="30"/>
      <c r="P1800" s="29"/>
      <c r="Q1800" s="31"/>
      <c r="R1800" s="29"/>
      <c r="S1800" s="29"/>
      <c r="T1800" s="30"/>
      <c r="U1800" s="47" t="str">
        <f aca="false">IF(AND(B1800&lt;&gt;"",B1800=SW別シート!$C$3),COUNTIF(B$5:B1800,B1800),"")</f>
        <v/>
      </c>
      <c r="V1800" s="47" t="n">
        <f aca="false">V1799+IF(OR(O1800&lt;&gt;"",W1800&lt;&gt;""),1,0)</f>
        <v>3</v>
      </c>
      <c r="W1800" s="29"/>
    </row>
    <row r="1801" customFormat="false" ht="15" hidden="false" customHeight="false" outlineLevel="0" collapsed="false">
      <c r="A1801" s="32" t="str">
        <f aca="false">IF(B1801="","",ROW()-7)</f>
        <v/>
      </c>
      <c r="B1801" s="30"/>
      <c r="C1801" s="29"/>
      <c r="D1801" s="29"/>
      <c r="E1801" s="29"/>
      <c r="F1801" s="30"/>
      <c r="G1801" s="29"/>
      <c r="H1801" s="30"/>
      <c r="I1801" s="29"/>
      <c r="J1801" s="30"/>
      <c r="K1801" s="30"/>
      <c r="L1801" s="29"/>
      <c r="M1801" s="32" t="str">
        <f aca="false">IF(OR(C1801="",L1801=""),"",IF(C1801=L1801,"同一","変更"))</f>
        <v/>
      </c>
      <c r="N1801" s="29"/>
      <c r="O1801" s="30"/>
      <c r="P1801" s="29"/>
      <c r="Q1801" s="31"/>
      <c r="R1801" s="29"/>
      <c r="S1801" s="29"/>
      <c r="T1801" s="30"/>
      <c r="U1801" s="47" t="str">
        <f aca="false">IF(AND(B1801&lt;&gt;"",B1801=SW別シート!$C$3),COUNTIF(B$5:B1801,B1801),"")</f>
        <v/>
      </c>
      <c r="V1801" s="47" t="n">
        <f aca="false">V1800+IF(OR(O1801&lt;&gt;"",W1801&lt;&gt;""),1,0)</f>
        <v>3</v>
      </c>
      <c r="W1801" s="29"/>
    </row>
    <row r="1802" customFormat="false" ht="15" hidden="false" customHeight="false" outlineLevel="0" collapsed="false">
      <c r="A1802" s="32" t="str">
        <f aca="false">IF(B1802="","",ROW()-7)</f>
        <v/>
      </c>
      <c r="B1802" s="30"/>
      <c r="C1802" s="29"/>
      <c r="D1802" s="29"/>
      <c r="E1802" s="29"/>
      <c r="F1802" s="30"/>
      <c r="G1802" s="29"/>
      <c r="H1802" s="30"/>
      <c r="I1802" s="29"/>
      <c r="J1802" s="30"/>
      <c r="K1802" s="30"/>
      <c r="L1802" s="29"/>
      <c r="M1802" s="32" t="str">
        <f aca="false">IF(OR(C1802="",L1802=""),"",IF(C1802=L1802,"同一","変更"))</f>
        <v/>
      </c>
      <c r="N1802" s="29"/>
      <c r="O1802" s="30"/>
      <c r="P1802" s="29"/>
      <c r="Q1802" s="31"/>
      <c r="R1802" s="29"/>
      <c r="S1802" s="29"/>
      <c r="T1802" s="30"/>
      <c r="U1802" s="47" t="str">
        <f aca="false">IF(AND(B1802&lt;&gt;"",B1802=SW別シート!$C$3),COUNTIF(B$5:B1802,B1802),"")</f>
        <v/>
      </c>
      <c r="V1802" s="47" t="n">
        <f aca="false">V1801+IF(OR(O1802&lt;&gt;"",W1802&lt;&gt;""),1,0)</f>
        <v>3</v>
      </c>
      <c r="W1802" s="29"/>
    </row>
    <row r="1803" customFormat="false" ht="15" hidden="false" customHeight="false" outlineLevel="0" collapsed="false">
      <c r="A1803" s="32" t="str">
        <f aca="false">IF(B1803="","",ROW()-7)</f>
        <v/>
      </c>
      <c r="B1803" s="30"/>
      <c r="C1803" s="29"/>
      <c r="D1803" s="29"/>
      <c r="E1803" s="29"/>
      <c r="F1803" s="30"/>
      <c r="G1803" s="29"/>
      <c r="H1803" s="30"/>
      <c r="I1803" s="29"/>
      <c r="J1803" s="30"/>
      <c r="K1803" s="30"/>
      <c r="L1803" s="29"/>
      <c r="M1803" s="32" t="str">
        <f aca="false">IF(OR(C1803="",L1803=""),"",IF(C1803=L1803,"同一","変更"))</f>
        <v/>
      </c>
      <c r="N1803" s="29"/>
      <c r="O1803" s="30"/>
      <c r="P1803" s="29"/>
      <c r="Q1803" s="31"/>
      <c r="R1803" s="29"/>
      <c r="S1803" s="29"/>
      <c r="T1803" s="30"/>
      <c r="U1803" s="47" t="str">
        <f aca="false">IF(AND(B1803&lt;&gt;"",B1803=SW別シート!$C$3),COUNTIF(B$5:B1803,B1803),"")</f>
        <v/>
      </c>
      <c r="V1803" s="47" t="n">
        <f aca="false">V1802+IF(OR(O1803&lt;&gt;"",W1803&lt;&gt;""),1,0)</f>
        <v>3</v>
      </c>
      <c r="W1803" s="29"/>
    </row>
    <row r="1804" customFormat="false" ht="15" hidden="false" customHeight="false" outlineLevel="0" collapsed="false">
      <c r="A1804" s="32" t="str">
        <f aca="false">IF(B1804="","",ROW()-7)</f>
        <v/>
      </c>
      <c r="B1804" s="30"/>
      <c r="C1804" s="29"/>
      <c r="D1804" s="29"/>
      <c r="E1804" s="29"/>
      <c r="F1804" s="30"/>
      <c r="G1804" s="29"/>
      <c r="H1804" s="30"/>
      <c r="I1804" s="29"/>
      <c r="J1804" s="30"/>
      <c r="K1804" s="30"/>
      <c r="L1804" s="29"/>
      <c r="M1804" s="32" t="str">
        <f aca="false">IF(OR(C1804="",L1804=""),"",IF(C1804=L1804,"同一","変更"))</f>
        <v/>
      </c>
      <c r="N1804" s="29"/>
      <c r="O1804" s="30"/>
      <c r="P1804" s="29"/>
      <c r="Q1804" s="31"/>
      <c r="R1804" s="29"/>
      <c r="S1804" s="29"/>
      <c r="T1804" s="30"/>
      <c r="U1804" s="47" t="str">
        <f aca="false">IF(AND(B1804&lt;&gt;"",B1804=SW別シート!$C$3),COUNTIF(B$5:B1804,B1804),"")</f>
        <v/>
      </c>
      <c r="V1804" s="47" t="n">
        <f aca="false">V1803+IF(OR(O1804&lt;&gt;"",W1804&lt;&gt;""),1,0)</f>
        <v>3</v>
      </c>
      <c r="W1804" s="29"/>
    </row>
    <row r="1805" customFormat="false" ht="15" hidden="false" customHeight="false" outlineLevel="0" collapsed="false">
      <c r="A1805" s="32" t="str">
        <f aca="false">IF(B1805="","",ROW()-7)</f>
        <v/>
      </c>
      <c r="B1805" s="30"/>
      <c r="C1805" s="29"/>
      <c r="D1805" s="29"/>
      <c r="E1805" s="29"/>
      <c r="F1805" s="30"/>
      <c r="G1805" s="29"/>
      <c r="H1805" s="30"/>
      <c r="I1805" s="29"/>
      <c r="J1805" s="30"/>
      <c r="K1805" s="30"/>
      <c r="L1805" s="29"/>
      <c r="M1805" s="32" t="str">
        <f aca="false">IF(OR(C1805="",L1805=""),"",IF(C1805=L1805,"同一","変更"))</f>
        <v/>
      </c>
      <c r="N1805" s="29"/>
      <c r="O1805" s="30"/>
      <c r="P1805" s="29"/>
      <c r="Q1805" s="31"/>
      <c r="R1805" s="29"/>
      <c r="S1805" s="29"/>
      <c r="T1805" s="30"/>
      <c r="U1805" s="47" t="str">
        <f aca="false">IF(AND(B1805&lt;&gt;"",B1805=SW別シート!$C$3),COUNTIF(B$5:B1805,B1805),"")</f>
        <v/>
      </c>
      <c r="V1805" s="47" t="n">
        <f aca="false">V1804+IF(OR(O1805&lt;&gt;"",W1805&lt;&gt;""),1,0)</f>
        <v>3</v>
      </c>
      <c r="W1805" s="29"/>
    </row>
    <row r="1806" customFormat="false" ht="15" hidden="false" customHeight="false" outlineLevel="0" collapsed="false">
      <c r="A1806" s="32" t="str">
        <f aca="false">IF(B1806="","",ROW()-7)</f>
        <v/>
      </c>
      <c r="B1806" s="30"/>
      <c r="C1806" s="29"/>
      <c r="D1806" s="29"/>
      <c r="E1806" s="29"/>
      <c r="F1806" s="30"/>
      <c r="G1806" s="29"/>
      <c r="H1806" s="30"/>
      <c r="I1806" s="29"/>
      <c r="J1806" s="30"/>
      <c r="K1806" s="30"/>
      <c r="L1806" s="29"/>
      <c r="M1806" s="32" t="str">
        <f aca="false">IF(OR(C1806="",L1806=""),"",IF(C1806=L1806,"同一","変更"))</f>
        <v/>
      </c>
      <c r="N1806" s="29"/>
      <c r="O1806" s="30"/>
      <c r="P1806" s="29"/>
      <c r="Q1806" s="31"/>
      <c r="R1806" s="29"/>
      <c r="S1806" s="29"/>
      <c r="T1806" s="30"/>
      <c r="U1806" s="47" t="str">
        <f aca="false">IF(AND(B1806&lt;&gt;"",B1806=SW別シート!$C$3),COUNTIF(B$5:B1806,B1806),"")</f>
        <v/>
      </c>
      <c r="V1806" s="47" t="n">
        <f aca="false">V1805+IF(OR(O1806&lt;&gt;"",W1806&lt;&gt;""),1,0)</f>
        <v>3</v>
      </c>
      <c r="W1806" s="29"/>
    </row>
    <row r="1807" customFormat="false" ht="15" hidden="false" customHeight="false" outlineLevel="0" collapsed="false">
      <c r="A1807" s="32" t="str">
        <f aca="false">IF(B1807="","",ROW()-7)</f>
        <v/>
      </c>
      <c r="B1807" s="30"/>
      <c r="C1807" s="29"/>
      <c r="D1807" s="29"/>
      <c r="E1807" s="29"/>
      <c r="F1807" s="30"/>
      <c r="G1807" s="29"/>
      <c r="H1807" s="30"/>
      <c r="I1807" s="29"/>
      <c r="J1807" s="30"/>
      <c r="K1807" s="30"/>
      <c r="L1807" s="29"/>
      <c r="M1807" s="32" t="str">
        <f aca="false">IF(OR(C1807="",L1807=""),"",IF(C1807=L1807,"同一","変更"))</f>
        <v/>
      </c>
      <c r="N1807" s="29"/>
      <c r="O1807" s="30"/>
      <c r="P1807" s="29"/>
      <c r="Q1807" s="31"/>
      <c r="R1807" s="29"/>
      <c r="S1807" s="29"/>
      <c r="T1807" s="30"/>
      <c r="U1807" s="47" t="str">
        <f aca="false">IF(AND(B1807&lt;&gt;"",B1807=SW別シート!$C$3),COUNTIF(B$5:B1807,B1807),"")</f>
        <v/>
      </c>
      <c r="V1807" s="47" t="n">
        <f aca="false">V1806+IF(OR(O1807&lt;&gt;"",W1807&lt;&gt;""),1,0)</f>
        <v>3</v>
      </c>
      <c r="W1807" s="29"/>
    </row>
    <row r="1808" customFormat="false" ht="15" hidden="false" customHeight="false" outlineLevel="0" collapsed="false">
      <c r="A1808" s="32" t="str">
        <f aca="false">IF(B1808="","",ROW()-7)</f>
        <v/>
      </c>
      <c r="B1808" s="30"/>
      <c r="C1808" s="29"/>
      <c r="D1808" s="29"/>
      <c r="E1808" s="29"/>
      <c r="F1808" s="30"/>
      <c r="G1808" s="29"/>
      <c r="H1808" s="30"/>
      <c r="I1808" s="29"/>
      <c r="J1808" s="30"/>
      <c r="K1808" s="30"/>
      <c r="L1808" s="29"/>
      <c r="M1808" s="32" t="str">
        <f aca="false">IF(OR(C1808="",L1808=""),"",IF(C1808=L1808,"同一","変更"))</f>
        <v/>
      </c>
      <c r="N1808" s="29"/>
      <c r="O1808" s="30"/>
      <c r="P1808" s="29"/>
      <c r="Q1808" s="31"/>
      <c r="R1808" s="29"/>
      <c r="S1808" s="29"/>
      <c r="T1808" s="30"/>
      <c r="U1808" s="47" t="str">
        <f aca="false">IF(AND(B1808&lt;&gt;"",B1808=SW別シート!$C$3),COUNTIF(B$5:B1808,B1808),"")</f>
        <v/>
      </c>
      <c r="V1808" s="47" t="n">
        <f aca="false">V1807+IF(OR(O1808&lt;&gt;"",W1808&lt;&gt;""),1,0)</f>
        <v>3</v>
      </c>
      <c r="W1808" s="29"/>
    </row>
    <row r="1809" customFormat="false" ht="15" hidden="false" customHeight="false" outlineLevel="0" collapsed="false">
      <c r="A1809" s="32" t="str">
        <f aca="false">IF(B1809="","",ROW()-7)</f>
        <v/>
      </c>
      <c r="B1809" s="30"/>
      <c r="C1809" s="29"/>
      <c r="D1809" s="29"/>
      <c r="E1809" s="29"/>
      <c r="F1809" s="30"/>
      <c r="G1809" s="29"/>
      <c r="H1809" s="30"/>
      <c r="I1809" s="29"/>
      <c r="J1809" s="30"/>
      <c r="K1809" s="30"/>
      <c r="L1809" s="29"/>
      <c r="M1809" s="32" t="str">
        <f aca="false">IF(OR(C1809="",L1809=""),"",IF(C1809=L1809,"同一","変更"))</f>
        <v/>
      </c>
      <c r="N1809" s="29"/>
      <c r="O1809" s="30"/>
      <c r="P1809" s="29"/>
      <c r="Q1809" s="31"/>
      <c r="R1809" s="29"/>
      <c r="S1809" s="29"/>
      <c r="T1809" s="30"/>
      <c r="U1809" s="47" t="str">
        <f aca="false">IF(AND(B1809&lt;&gt;"",B1809=SW別シート!$C$3),COUNTIF(B$5:B1809,B1809),"")</f>
        <v/>
      </c>
      <c r="V1809" s="47" t="n">
        <f aca="false">V1808+IF(OR(O1809&lt;&gt;"",W1809&lt;&gt;""),1,0)</f>
        <v>3</v>
      </c>
      <c r="W1809" s="29"/>
    </row>
    <row r="1810" customFormat="false" ht="15" hidden="false" customHeight="false" outlineLevel="0" collapsed="false">
      <c r="A1810" s="32" t="str">
        <f aca="false">IF(B1810="","",ROW()-7)</f>
        <v/>
      </c>
      <c r="B1810" s="30"/>
      <c r="C1810" s="29"/>
      <c r="D1810" s="29"/>
      <c r="E1810" s="29"/>
      <c r="F1810" s="30"/>
      <c r="G1810" s="29"/>
      <c r="H1810" s="30"/>
      <c r="I1810" s="29"/>
      <c r="J1810" s="30"/>
      <c r="K1810" s="30"/>
      <c r="L1810" s="29"/>
      <c r="M1810" s="32" t="str">
        <f aca="false">IF(OR(C1810="",L1810=""),"",IF(C1810=L1810,"同一","変更"))</f>
        <v/>
      </c>
      <c r="N1810" s="29"/>
      <c r="O1810" s="30"/>
      <c r="P1810" s="29"/>
      <c r="Q1810" s="31"/>
      <c r="R1810" s="29"/>
      <c r="S1810" s="29"/>
      <c r="T1810" s="30"/>
      <c r="U1810" s="47" t="str">
        <f aca="false">IF(AND(B1810&lt;&gt;"",B1810=SW別シート!$C$3),COUNTIF(B$5:B1810,B1810),"")</f>
        <v/>
      </c>
      <c r="V1810" s="47" t="n">
        <f aca="false">V1809+IF(OR(O1810&lt;&gt;"",W1810&lt;&gt;""),1,0)</f>
        <v>3</v>
      </c>
      <c r="W1810" s="29"/>
    </row>
    <row r="1811" customFormat="false" ht="15" hidden="false" customHeight="false" outlineLevel="0" collapsed="false">
      <c r="A1811" s="32" t="str">
        <f aca="false">IF(B1811="","",ROW()-7)</f>
        <v/>
      </c>
      <c r="B1811" s="30"/>
      <c r="C1811" s="29"/>
      <c r="D1811" s="29"/>
      <c r="E1811" s="29"/>
      <c r="F1811" s="30"/>
      <c r="G1811" s="29"/>
      <c r="H1811" s="30"/>
      <c r="I1811" s="29"/>
      <c r="J1811" s="30"/>
      <c r="K1811" s="30"/>
      <c r="L1811" s="29"/>
      <c r="M1811" s="32" t="str">
        <f aca="false">IF(OR(C1811="",L1811=""),"",IF(C1811=L1811,"同一","変更"))</f>
        <v/>
      </c>
      <c r="N1811" s="29"/>
      <c r="O1811" s="30"/>
      <c r="P1811" s="29"/>
      <c r="Q1811" s="31"/>
      <c r="R1811" s="29"/>
      <c r="S1811" s="29"/>
      <c r="T1811" s="30"/>
      <c r="U1811" s="47" t="str">
        <f aca="false">IF(AND(B1811&lt;&gt;"",B1811=SW別シート!$C$3),COUNTIF(B$5:B1811,B1811),"")</f>
        <v/>
      </c>
      <c r="V1811" s="47" t="n">
        <f aca="false">V1810+IF(OR(O1811&lt;&gt;"",W1811&lt;&gt;""),1,0)</f>
        <v>3</v>
      </c>
      <c r="W1811" s="29"/>
    </row>
    <row r="1812" customFormat="false" ht="15" hidden="false" customHeight="false" outlineLevel="0" collapsed="false">
      <c r="A1812" s="32" t="str">
        <f aca="false">IF(B1812="","",ROW()-7)</f>
        <v/>
      </c>
      <c r="B1812" s="30"/>
      <c r="C1812" s="29"/>
      <c r="D1812" s="29"/>
      <c r="E1812" s="29"/>
      <c r="F1812" s="30"/>
      <c r="G1812" s="29"/>
      <c r="H1812" s="30"/>
      <c r="I1812" s="29"/>
      <c r="J1812" s="30"/>
      <c r="K1812" s="30"/>
      <c r="L1812" s="29"/>
      <c r="M1812" s="32" t="str">
        <f aca="false">IF(OR(C1812="",L1812=""),"",IF(C1812=L1812,"同一","変更"))</f>
        <v/>
      </c>
      <c r="N1812" s="29"/>
      <c r="O1812" s="30"/>
      <c r="P1812" s="29"/>
      <c r="Q1812" s="31"/>
      <c r="R1812" s="29"/>
      <c r="S1812" s="29"/>
      <c r="T1812" s="30"/>
      <c r="U1812" s="47" t="str">
        <f aca="false">IF(AND(B1812&lt;&gt;"",B1812=SW別シート!$C$3),COUNTIF(B$5:B1812,B1812),"")</f>
        <v/>
      </c>
      <c r="V1812" s="47" t="n">
        <f aca="false">V1811+IF(OR(O1812&lt;&gt;"",W1812&lt;&gt;""),1,0)</f>
        <v>3</v>
      </c>
      <c r="W1812" s="29"/>
    </row>
    <row r="1813" customFormat="false" ht="15" hidden="false" customHeight="false" outlineLevel="0" collapsed="false">
      <c r="A1813" s="32" t="str">
        <f aca="false">IF(B1813="","",ROW()-7)</f>
        <v/>
      </c>
      <c r="B1813" s="30"/>
      <c r="C1813" s="29"/>
      <c r="D1813" s="29"/>
      <c r="E1813" s="29"/>
      <c r="F1813" s="30"/>
      <c r="G1813" s="29"/>
      <c r="H1813" s="30"/>
      <c r="I1813" s="29"/>
      <c r="J1813" s="30"/>
      <c r="K1813" s="30"/>
      <c r="L1813" s="29"/>
      <c r="M1813" s="32" t="str">
        <f aca="false">IF(OR(C1813="",L1813=""),"",IF(C1813=L1813,"同一","変更"))</f>
        <v/>
      </c>
      <c r="N1813" s="29"/>
      <c r="O1813" s="30"/>
      <c r="P1813" s="29"/>
      <c r="Q1813" s="31"/>
      <c r="R1813" s="29"/>
      <c r="S1813" s="29"/>
      <c r="T1813" s="30"/>
      <c r="U1813" s="47" t="str">
        <f aca="false">IF(AND(B1813&lt;&gt;"",B1813=SW別シート!$C$3),COUNTIF(B$5:B1813,B1813),"")</f>
        <v/>
      </c>
      <c r="V1813" s="47" t="n">
        <f aca="false">V1812+IF(OR(O1813&lt;&gt;"",W1813&lt;&gt;""),1,0)</f>
        <v>3</v>
      </c>
      <c r="W1813" s="29"/>
    </row>
    <row r="1814" customFormat="false" ht="15" hidden="false" customHeight="false" outlineLevel="0" collapsed="false">
      <c r="A1814" s="32" t="str">
        <f aca="false">IF(B1814="","",ROW()-7)</f>
        <v/>
      </c>
      <c r="B1814" s="30"/>
      <c r="C1814" s="29"/>
      <c r="D1814" s="29"/>
      <c r="E1814" s="29"/>
      <c r="F1814" s="30"/>
      <c r="G1814" s="29"/>
      <c r="H1814" s="30"/>
      <c r="I1814" s="29"/>
      <c r="J1814" s="30"/>
      <c r="K1814" s="30"/>
      <c r="L1814" s="29"/>
      <c r="M1814" s="32" t="str">
        <f aca="false">IF(OR(C1814="",L1814=""),"",IF(C1814=L1814,"同一","変更"))</f>
        <v/>
      </c>
      <c r="N1814" s="29"/>
      <c r="O1814" s="30"/>
      <c r="P1814" s="29"/>
      <c r="Q1814" s="31"/>
      <c r="R1814" s="29"/>
      <c r="S1814" s="29"/>
      <c r="T1814" s="30"/>
      <c r="U1814" s="47" t="str">
        <f aca="false">IF(AND(B1814&lt;&gt;"",B1814=SW別シート!$C$3),COUNTIF(B$5:B1814,B1814),"")</f>
        <v/>
      </c>
      <c r="V1814" s="47" t="n">
        <f aca="false">V1813+IF(OR(O1814&lt;&gt;"",W1814&lt;&gt;""),1,0)</f>
        <v>3</v>
      </c>
      <c r="W1814" s="29"/>
    </row>
    <row r="1815" customFormat="false" ht="15" hidden="false" customHeight="false" outlineLevel="0" collapsed="false">
      <c r="A1815" s="32" t="str">
        <f aca="false">IF(B1815="","",ROW()-7)</f>
        <v/>
      </c>
      <c r="B1815" s="30"/>
      <c r="C1815" s="29"/>
      <c r="D1815" s="29"/>
      <c r="E1815" s="29"/>
      <c r="F1815" s="30"/>
      <c r="G1815" s="29"/>
      <c r="H1815" s="30"/>
      <c r="I1815" s="29"/>
      <c r="J1815" s="30"/>
      <c r="K1815" s="30"/>
      <c r="L1815" s="29"/>
      <c r="M1815" s="32" t="str">
        <f aca="false">IF(OR(C1815="",L1815=""),"",IF(C1815=L1815,"同一","変更"))</f>
        <v/>
      </c>
      <c r="N1815" s="29"/>
      <c r="O1815" s="30"/>
      <c r="P1815" s="29"/>
      <c r="Q1815" s="31"/>
      <c r="R1815" s="29"/>
      <c r="S1815" s="29"/>
      <c r="T1815" s="30"/>
      <c r="U1815" s="47" t="str">
        <f aca="false">IF(AND(B1815&lt;&gt;"",B1815=SW別シート!$C$3),COUNTIF(B$5:B1815,B1815),"")</f>
        <v/>
      </c>
      <c r="V1815" s="47" t="n">
        <f aca="false">V1814+IF(OR(O1815&lt;&gt;"",W1815&lt;&gt;""),1,0)</f>
        <v>3</v>
      </c>
      <c r="W1815" s="29"/>
    </row>
    <row r="1816" customFormat="false" ht="15" hidden="false" customHeight="false" outlineLevel="0" collapsed="false">
      <c r="A1816" s="32" t="str">
        <f aca="false">IF(B1816="","",ROW()-7)</f>
        <v/>
      </c>
      <c r="B1816" s="30"/>
      <c r="C1816" s="29"/>
      <c r="D1816" s="29"/>
      <c r="E1816" s="29"/>
      <c r="F1816" s="30"/>
      <c r="G1816" s="29"/>
      <c r="H1816" s="30"/>
      <c r="I1816" s="29"/>
      <c r="J1816" s="30"/>
      <c r="K1816" s="30"/>
      <c r="L1816" s="29"/>
      <c r="M1816" s="32" t="str">
        <f aca="false">IF(OR(C1816="",L1816=""),"",IF(C1816=L1816,"同一","変更"))</f>
        <v/>
      </c>
      <c r="N1816" s="29"/>
      <c r="O1816" s="30"/>
      <c r="P1816" s="29"/>
      <c r="Q1816" s="31"/>
      <c r="R1816" s="29"/>
      <c r="S1816" s="29"/>
      <c r="T1816" s="30"/>
      <c r="U1816" s="47" t="str">
        <f aca="false">IF(AND(B1816&lt;&gt;"",B1816=SW別シート!$C$3),COUNTIF(B$5:B1816,B1816),"")</f>
        <v/>
      </c>
      <c r="V1816" s="47" t="n">
        <f aca="false">V1815+IF(OR(O1816&lt;&gt;"",W1816&lt;&gt;""),1,0)</f>
        <v>3</v>
      </c>
      <c r="W1816" s="29"/>
    </row>
    <row r="1817" customFormat="false" ht="15" hidden="false" customHeight="false" outlineLevel="0" collapsed="false">
      <c r="A1817" s="32" t="str">
        <f aca="false">IF(B1817="","",ROW()-7)</f>
        <v/>
      </c>
      <c r="B1817" s="30"/>
      <c r="C1817" s="29"/>
      <c r="D1817" s="29"/>
      <c r="E1817" s="29"/>
      <c r="F1817" s="30"/>
      <c r="G1817" s="29"/>
      <c r="H1817" s="30"/>
      <c r="I1817" s="29"/>
      <c r="J1817" s="30"/>
      <c r="K1817" s="30"/>
      <c r="L1817" s="29"/>
      <c r="M1817" s="32" t="str">
        <f aca="false">IF(OR(C1817="",L1817=""),"",IF(C1817=L1817,"同一","変更"))</f>
        <v/>
      </c>
      <c r="N1817" s="29"/>
      <c r="O1817" s="30"/>
      <c r="P1817" s="29"/>
      <c r="Q1817" s="31"/>
      <c r="R1817" s="29"/>
      <c r="S1817" s="29"/>
      <c r="T1817" s="30"/>
      <c r="U1817" s="47" t="str">
        <f aca="false">IF(AND(B1817&lt;&gt;"",B1817=SW別シート!$C$3),COUNTIF(B$5:B1817,B1817),"")</f>
        <v/>
      </c>
      <c r="V1817" s="47" t="n">
        <f aca="false">V1816+IF(OR(O1817&lt;&gt;"",W1817&lt;&gt;""),1,0)</f>
        <v>3</v>
      </c>
      <c r="W1817" s="29"/>
    </row>
    <row r="1818" customFormat="false" ht="15" hidden="false" customHeight="false" outlineLevel="0" collapsed="false">
      <c r="A1818" s="32" t="str">
        <f aca="false">IF(B1818="","",ROW()-7)</f>
        <v/>
      </c>
      <c r="B1818" s="30"/>
      <c r="C1818" s="29"/>
      <c r="D1818" s="29"/>
      <c r="E1818" s="29"/>
      <c r="F1818" s="30"/>
      <c r="G1818" s="29"/>
      <c r="H1818" s="30"/>
      <c r="I1818" s="29"/>
      <c r="J1818" s="30"/>
      <c r="K1818" s="30"/>
      <c r="L1818" s="29"/>
      <c r="M1818" s="32" t="str">
        <f aca="false">IF(OR(C1818="",L1818=""),"",IF(C1818=L1818,"同一","変更"))</f>
        <v/>
      </c>
      <c r="N1818" s="29"/>
      <c r="O1818" s="30"/>
      <c r="P1818" s="29"/>
      <c r="Q1818" s="31"/>
      <c r="R1818" s="29"/>
      <c r="S1818" s="29"/>
      <c r="T1818" s="30"/>
      <c r="U1818" s="47" t="str">
        <f aca="false">IF(AND(B1818&lt;&gt;"",B1818=SW別シート!$C$3),COUNTIF(B$5:B1818,B1818),"")</f>
        <v/>
      </c>
      <c r="V1818" s="47" t="n">
        <f aca="false">V1817+IF(OR(O1818&lt;&gt;"",W1818&lt;&gt;""),1,0)</f>
        <v>3</v>
      </c>
      <c r="W1818" s="29"/>
    </row>
    <row r="1819" customFormat="false" ht="15" hidden="false" customHeight="false" outlineLevel="0" collapsed="false">
      <c r="A1819" s="32" t="str">
        <f aca="false">IF(B1819="","",ROW()-7)</f>
        <v/>
      </c>
      <c r="B1819" s="30"/>
      <c r="C1819" s="29"/>
      <c r="D1819" s="29"/>
      <c r="E1819" s="29"/>
      <c r="F1819" s="30"/>
      <c r="G1819" s="29"/>
      <c r="H1819" s="30"/>
      <c r="I1819" s="29"/>
      <c r="J1819" s="30"/>
      <c r="K1819" s="30"/>
      <c r="L1819" s="29"/>
      <c r="M1819" s="32" t="str">
        <f aca="false">IF(OR(C1819="",L1819=""),"",IF(C1819=L1819,"同一","変更"))</f>
        <v/>
      </c>
      <c r="N1819" s="29"/>
      <c r="O1819" s="30"/>
      <c r="P1819" s="29"/>
      <c r="Q1819" s="31"/>
      <c r="R1819" s="29"/>
      <c r="S1819" s="29"/>
      <c r="T1819" s="30"/>
      <c r="U1819" s="47" t="str">
        <f aca="false">IF(AND(B1819&lt;&gt;"",B1819=SW別シート!$C$3),COUNTIF(B$5:B1819,B1819),"")</f>
        <v/>
      </c>
      <c r="V1819" s="47" t="n">
        <f aca="false">V1818+IF(OR(O1819&lt;&gt;"",W1819&lt;&gt;""),1,0)</f>
        <v>3</v>
      </c>
      <c r="W1819" s="29"/>
    </row>
    <row r="1820" customFormat="false" ht="15" hidden="false" customHeight="false" outlineLevel="0" collapsed="false">
      <c r="A1820" s="32" t="str">
        <f aca="false">IF(B1820="","",ROW()-7)</f>
        <v/>
      </c>
      <c r="B1820" s="30"/>
      <c r="C1820" s="29"/>
      <c r="D1820" s="29"/>
      <c r="E1820" s="29"/>
      <c r="F1820" s="30"/>
      <c r="G1820" s="29"/>
      <c r="H1820" s="30"/>
      <c r="I1820" s="29"/>
      <c r="J1820" s="30"/>
      <c r="K1820" s="30"/>
      <c r="L1820" s="29"/>
      <c r="M1820" s="32" t="str">
        <f aca="false">IF(OR(C1820="",L1820=""),"",IF(C1820=L1820,"同一","変更"))</f>
        <v/>
      </c>
      <c r="N1820" s="29"/>
      <c r="O1820" s="30"/>
      <c r="P1820" s="29"/>
      <c r="Q1820" s="31"/>
      <c r="R1820" s="29"/>
      <c r="S1820" s="29"/>
      <c r="T1820" s="30"/>
      <c r="U1820" s="47" t="str">
        <f aca="false">IF(AND(B1820&lt;&gt;"",B1820=SW別シート!$C$3),COUNTIF(B$5:B1820,B1820),"")</f>
        <v/>
      </c>
      <c r="V1820" s="47" t="n">
        <f aca="false">V1819+IF(OR(O1820&lt;&gt;"",W1820&lt;&gt;""),1,0)</f>
        <v>3</v>
      </c>
      <c r="W1820" s="29"/>
    </row>
    <row r="1821" customFormat="false" ht="15" hidden="false" customHeight="false" outlineLevel="0" collapsed="false">
      <c r="A1821" s="32" t="str">
        <f aca="false">IF(B1821="","",ROW()-7)</f>
        <v/>
      </c>
      <c r="B1821" s="30"/>
      <c r="C1821" s="29"/>
      <c r="D1821" s="29"/>
      <c r="E1821" s="29"/>
      <c r="F1821" s="30"/>
      <c r="G1821" s="29"/>
      <c r="H1821" s="30"/>
      <c r="I1821" s="29"/>
      <c r="J1821" s="30"/>
      <c r="K1821" s="30"/>
      <c r="L1821" s="29"/>
      <c r="M1821" s="32" t="str">
        <f aca="false">IF(OR(C1821="",L1821=""),"",IF(C1821=L1821,"同一","変更"))</f>
        <v/>
      </c>
      <c r="N1821" s="29"/>
      <c r="O1821" s="30"/>
      <c r="P1821" s="29"/>
      <c r="Q1821" s="31"/>
      <c r="R1821" s="29"/>
      <c r="S1821" s="29"/>
      <c r="T1821" s="30"/>
      <c r="U1821" s="47" t="str">
        <f aca="false">IF(AND(B1821&lt;&gt;"",B1821=SW別シート!$C$3),COUNTIF(B$5:B1821,B1821),"")</f>
        <v/>
      </c>
      <c r="V1821" s="47" t="n">
        <f aca="false">V1820+IF(OR(O1821&lt;&gt;"",W1821&lt;&gt;""),1,0)</f>
        <v>3</v>
      </c>
      <c r="W1821" s="29"/>
    </row>
    <row r="1822" customFormat="false" ht="15" hidden="false" customHeight="false" outlineLevel="0" collapsed="false">
      <c r="A1822" s="32" t="str">
        <f aca="false">IF(B1822="","",ROW()-7)</f>
        <v/>
      </c>
      <c r="B1822" s="30"/>
      <c r="C1822" s="29"/>
      <c r="D1822" s="29"/>
      <c r="E1822" s="29"/>
      <c r="F1822" s="30"/>
      <c r="G1822" s="29"/>
      <c r="H1822" s="30"/>
      <c r="I1822" s="29"/>
      <c r="J1822" s="30"/>
      <c r="K1822" s="30"/>
      <c r="L1822" s="29"/>
      <c r="M1822" s="32" t="str">
        <f aca="false">IF(OR(C1822="",L1822=""),"",IF(C1822=L1822,"同一","変更"))</f>
        <v/>
      </c>
      <c r="N1822" s="29"/>
      <c r="O1822" s="30"/>
      <c r="P1822" s="29"/>
      <c r="Q1822" s="31"/>
      <c r="R1822" s="29"/>
      <c r="S1822" s="29"/>
      <c r="T1822" s="30"/>
      <c r="U1822" s="47" t="str">
        <f aca="false">IF(AND(B1822&lt;&gt;"",B1822=SW別シート!$C$3),COUNTIF(B$5:B1822,B1822),"")</f>
        <v/>
      </c>
      <c r="V1822" s="47" t="n">
        <f aca="false">V1821+IF(OR(O1822&lt;&gt;"",W1822&lt;&gt;""),1,0)</f>
        <v>3</v>
      </c>
      <c r="W1822" s="29"/>
    </row>
    <row r="1823" customFormat="false" ht="15" hidden="false" customHeight="false" outlineLevel="0" collapsed="false">
      <c r="A1823" s="32" t="str">
        <f aca="false">IF(B1823="","",ROW()-7)</f>
        <v/>
      </c>
      <c r="B1823" s="30"/>
      <c r="C1823" s="29"/>
      <c r="D1823" s="29"/>
      <c r="E1823" s="29"/>
      <c r="F1823" s="30"/>
      <c r="G1823" s="29"/>
      <c r="H1823" s="30"/>
      <c r="I1823" s="29"/>
      <c r="J1823" s="30"/>
      <c r="K1823" s="30"/>
      <c r="L1823" s="29"/>
      <c r="M1823" s="32" t="str">
        <f aca="false">IF(OR(C1823="",L1823=""),"",IF(C1823=L1823,"同一","変更"))</f>
        <v/>
      </c>
      <c r="N1823" s="29"/>
      <c r="O1823" s="30"/>
      <c r="P1823" s="29"/>
      <c r="Q1823" s="31"/>
      <c r="R1823" s="29"/>
      <c r="S1823" s="29"/>
      <c r="T1823" s="30"/>
      <c r="U1823" s="47" t="str">
        <f aca="false">IF(AND(B1823&lt;&gt;"",B1823=SW別シート!$C$3),COUNTIF(B$5:B1823,B1823),"")</f>
        <v/>
      </c>
      <c r="V1823" s="47" t="n">
        <f aca="false">V1822+IF(OR(O1823&lt;&gt;"",W1823&lt;&gt;""),1,0)</f>
        <v>3</v>
      </c>
      <c r="W1823" s="29"/>
    </row>
    <row r="1824" customFormat="false" ht="15" hidden="false" customHeight="false" outlineLevel="0" collapsed="false">
      <c r="A1824" s="32" t="str">
        <f aca="false">IF(B1824="","",ROW()-7)</f>
        <v/>
      </c>
      <c r="B1824" s="30"/>
      <c r="C1824" s="29"/>
      <c r="D1824" s="29"/>
      <c r="E1824" s="29"/>
      <c r="F1824" s="30"/>
      <c r="G1824" s="29"/>
      <c r="H1824" s="30"/>
      <c r="I1824" s="29"/>
      <c r="J1824" s="30"/>
      <c r="K1824" s="30"/>
      <c r="L1824" s="29"/>
      <c r="M1824" s="32" t="str">
        <f aca="false">IF(OR(C1824="",L1824=""),"",IF(C1824=L1824,"同一","変更"))</f>
        <v/>
      </c>
      <c r="N1824" s="29"/>
      <c r="O1824" s="30"/>
      <c r="P1824" s="29"/>
      <c r="Q1824" s="31"/>
      <c r="R1824" s="29"/>
      <c r="S1824" s="29"/>
      <c r="T1824" s="30"/>
      <c r="U1824" s="47" t="str">
        <f aca="false">IF(AND(B1824&lt;&gt;"",B1824=SW別シート!$C$3),COUNTIF(B$5:B1824,B1824),"")</f>
        <v/>
      </c>
      <c r="V1824" s="47" t="n">
        <f aca="false">V1823+IF(OR(O1824&lt;&gt;"",W1824&lt;&gt;""),1,0)</f>
        <v>3</v>
      </c>
      <c r="W1824" s="29"/>
    </row>
    <row r="1825" customFormat="false" ht="15" hidden="false" customHeight="false" outlineLevel="0" collapsed="false">
      <c r="A1825" s="32" t="str">
        <f aca="false">IF(B1825="","",ROW()-7)</f>
        <v/>
      </c>
      <c r="B1825" s="30"/>
      <c r="C1825" s="29"/>
      <c r="D1825" s="29"/>
      <c r="E1825" s="29"/>
      <c r="F1825" s="30"/>
      <c r="G1825" s="29"/>
      <c r="H1825" s="30"/>
      <c r="I1825" s="29"/>
      <c r="J1825" s="30"/>
      <c r="K1825" s="30"/>
      <c r="L1825" s="29"/>
      <c r="M1825" s="32" t="str">
        <f aca="false">IF(OR(C1825="",L1825=""),"",IF(C1825=L1825,"同一","変更"))</f>
        <v/>
      </c>
      <c r="N1825" s="29"/>
      <c r="O1825" s="30"/>
      <c r="P1825" s="29"/>
      <c r="Q1825" s="31"/>
      <c r="R1825" s="29"/>
      <c r="S1825" s="29"/>
      <c r="T1825" s="30"/>
      <c r="U1825" s="47" t="str">
        <f aca="false">IF(AND(B1825&lt;&gt;"",B1825=SW別シート!$C$3),COUNTIF(B$5:B1825,B1825),"")</f>
        <v/>
      </c>
      <c r="V1825" s="47" t="n">
        <f aca="false">V1824+IF(OR(O1825&lt;&gt;"",W1825&lt;&gt;""),1,0)</f>
        <v>3</v>
      </c>
      <c r="W1825" s="29"/>
    </row>
    <row r="1826" customFormat="false" ht="15" hidden="false" customHeight="false" outlineLevel="0" collapsed="false">
      <c r="A1826" s="32" t="str">
        <f aca="false">IF(B1826="","",ROW()-7)</f>
        <v/>
      </c>
      <c r="B1826" s="30"/>
      <c r="C1826" s="29"/>
      <c r="D1826" s="29"/>
      <c r="E1826" s="29"/>
      <c r="F1826" s="30"/>
      <c r="G1826" s="29"/>
      <c r="H1826" s="30"/>
      <c r="I1826" s="29"/>
      <c r="J1826" s="30"/>
      <c r="K1826" s="30"/>
      <c r="L1826" s="29"/>
      <c r="M1826" s="32" t="str">
        <f aca="false">IF(OR(C1826="",L1826=""),"",IF(C1826=L1826,"同一","変更"))</f>
        <v/>
      </c>
      <c r="N1826" s="29"/>
      <c r="O1826" s="30"/>
      <c r="P1826" s="29"/>
      <c r="Q1826" s="31"/>
      <c r="R1826" s="29"/>
      <c r="S1826" s="29"/>
      <c r="T1826" s="30"/>
      <c r="U1826" s="47" t="str">
        <f aca="false">IF(AND(B1826&lt;&gt;"",B1826=SW別シート!$C$3),COUNTIF(B$5:B1826,B1826),"")</f>
        <v/>
      </c>
      <c r="V1826" s="47" t="n">
        <f aca="false">V1825+IF(OR(O1826&lt;&gt;"",W1826&lt;&gt;""),1,0)</f>
        <v>3</v>
      </c>
      <c r="W1826" s="29"/>
    </row>
    <row r="1827" customFormat="false" ht="15" hidden="false" customHeight="false" outlineLevel="0" collapsed="false">
      <c r="A1827" s="32" t="str">
        <f aca="false">IF(B1827="","",ROW()-7)</f>
        <v/>
      </c>
      <c r="B1827" s="30"/>
      <c r="C1827" s="29"/>
      <c r="D1827" s="29"/>
      <c r="E1827" s="29"/>
      <c r="F1827" s="30"/>
      <c r="G1827" s="29"/>
      <c r="H1827" s="30"/>
      <c r="I1827" s="29"/>
      <c r="J1827" s="30"/>
      <c r="K1827" s="30"/>
      <c r="L1827" s="29"/>
      <c r="M1827" s="32" t="str">
        <f aca="false">IF(OR(C1827="",L1827=""),"",IF(C1827=L1827,"同一","変更"))</f>
        <v/>
      </c>
      <c r="N1827" s="29"/>
      <c r="O1827" s="30"/>
      <c r="P1827" s="29"/>
      <c r="Q1827" s="31"/>
      <c r="R1827" s="29"/>
      <c r="S1827" s="29"/>
      <c r="T1827" s="30"/>
      <c r="U1827" s="47" t="str">
        <f aca="false">IF(AND(B1827&lt;&gt;"",B1827=SW別シート!$C$3),COUNTIF(B$5:B1827,B1827),"")</f>
        <v/>
      </c>
      <c r="V1827" s="47" t="n">
        <f aca="false">V1826+IF(OR(O1827&lt;&gt;"",W1827&lt;&gt;""),1,0)</f>
        <v>3</v>
      </c>
      <c r="W1827" s="29"/>
    </row>
    <row r="1828" customFormat="false" ht="15" hidden="false" customHeight="false" outlineLevel="0" collapsed="false">
      <c r="A1828" s="32" t="str">
        <f aca="false">IF(B1828="","",ROW()-7)</f>
        <v/>
      </c>
      <c r="B1828" s="30"/>
      <c r="C1828" s="29"/>
      <c r="D1828" s="29"/>
      <c r="E1828" s="29"/>
      <c r="F1828" s="30"/>
      <c r="G1828" s="29"/>
      <c r="H1828" s="30"/>
      <c r="I1828" s="29"/>
      <c r="J1828" s="30"/>
      <c r="K1828" s="30"/>
      <c r="L1828" s="29"/>
      <c r="M1828" s="32" t="str">
        <f aca="false">IF(OR(C1828="",L1828=""),"",IF(C1828=L1828,"同一","変更"))</f>
        <v/>
      </c>
      <c r="N1828" s="29"/>
      <c r="O1828" s="30"/>
      <c r="P1828" s="29"/>
      <c r="Q1828" s="31"/>
      <c r="R1828" s="29"/>
      <c r="S1828" s="29"/>
      <c r="T1828" s="30"/>
      <c r="U1828" s="47" t="str">
        <f aca="false">IF(AND(B1828&lt;&gt;"",B1828=SW別シート!$C$3),COUNTIF(B$5:B1828,B1828),"")</f>
        <v/>
      </c>
      <c r="V1828" s="47" t="n">
        <f aca="false">V1827+IF(OR(O1828&lt;&gt;"",W1828&lt;&gt;""),1,0)</f>
        <v>3</v>
      </c>
      <c r="W1828" s="29"/>
    </row>
    <row r="1829" customFormat="false" ht="15" hidden="false" customHeight="false" outlineLevel="0" collapsed="false">
      <c r="A1829" s="32" t="str">
        <f aca="false">IF(B1829="","",ROW()-7)</f>
        <v/>
      </c>
      <c r="B1829" s="30"/>
      <c r="C1829" s="29"/>
      <c r="D1829" s="29"/>
      <c r="E1829" s="29"/>
      <c r="F1829" s="30"/>
      <c r="G1829" s="29"/>
      <c r="H1829" s="30"/>
      <c r="I1829" s="29"/>
      <c r="J1829" s="30"/>
      <c r="K1829" s="30"/>
      <c r="L1829" s="29"/>
      <c r="M1829" s="32" t="str">
        <f aca="false">IF(OR(C1829="",L1829=""),"",IF(C1829=L1829,"同一","変更"))</f>
        <v/>
      </c>
      <c r="N1829" s="29"/>
      <c r="O1829" s="30"/>
      <c r="P1829" s="29"/>
      <c r="Q1829" s="31"/>
      <c r="R1829" s="29"/>
      <c r="S1829" s="29"/>
      <c r="T1829" s="30"/>
      <c r="U1829" s="47" t="str">
        <f aca="false">IF(AND(B1829&lt;&gt;"",B1829=SW別シート!$C$3),COUNTIF(B$5:B1829,B1829),"")</f>
        <v/>
      </c>
      <c r="V1829" s="47" t="n">
        <f aca="false">V1828+IF(OR(O1829&lt;&gt;"",W1829&lt;&gt;""),1,0)</f>
        <v>3</v>
      </c>
      <c r="W1829" s="29"/>
    </row>
    <row r="1830" customFormat="false" ht="15" hidden="false" customHeight="false" outlineLevel="0" collapsed="false">
      <c r="A1830" s="32" t="str">
        <f aca="false">IF(B1830="","",ROW()-7)</f>
        <v/>
      </c>
      <c r="B1830" s="30"/>
      <c r="C1830" s="29"/>
      <c r="D1830" s="29"/>
      <c r="E1830" s="29"/>
      <c r="F1830" s="30"/>
      <c r="G1830" s="29"/>
      <c r="H1830" s="30"/>
      <c r="I1830" s="29"/>
      <c r="J1830" s="30"/>
      <c r="K1830" s="30"/>
      <c r="L1830" s="29"/>
      <c r="M1830" s="32" t="str">
        <f aca="false">IF(OR(C1830="",L1830=""),"",IF(C1830=L1830,"同一","変更"))</f>
        <v/>
      </c>
      <c r="N1830" s="29"/>
      <c r="O1830" s="30"/>
      <c r="P1830" s="29"/>
      <c r="Q1830" s="31"/>
      <c r="R1830" s="29"/>
      <c r="S1830" s="29"/>
      <c r="T1830" s="30"/>
      <c r="U1830" s="47" t="str">
        <f aca="false">IF(AND(B1830&lt;&gt;"",B1830=SW別シート!$C$3),COUNTIF(B$5:B1830,B1830),"")</f>
        <v/>
      </c>
      <c r="V1830" s="47" t="n">
        <f aca="false">V1829+IF(OR(O1830&lt;&gt;"",W1830&lt;&gt;""),1,0)</f>
        <v>3</v>
      </c>
      <c r="W1830" s="29"/>
    </row>
    <row r="1831" customFormat="false" ht="15" hidden="false" customHeight="false" outlineLevel="0" collapsed="false">
      <c r="A1831" s="32" t="str">
        <f aca="false">IF(B1831="","",ROW()-7)</f>
        <v/>
      </c>
      <c r="B1831" s="30"/>
      <c r="C1831" s="29"/>
      <c r="D1831" s="29"/>
      <c r="E1831" s="29"/>
      <c r="F1831" s="30"/>
      <c r="G1831" s="29"/>
      <c r="H1831" s="30"/>
      <c r="I1831" s="29"/>
      <c r="J1831" s="30"/>
      <c r="K1831" s="30"/>
      <c r="L1831" s="29"/>
      <c r="M1831" s="32" t="str">
        <f aca="false">IF(OR(C1831="",L1831=""),"",IF(C1831=L1831,"同一","変更"))</f>
        <v/>
      </c>
      <c r="N1831" s="29"/>
      <c r="O1831" s="30"/>
      <c r="P1831" s="29"/>
      <c r="Q1831" s="31"/>
      <c r="R1831" s="29"/>
      <c r="S1831" s="29"/>
      <c r="T1831" s="30"/>
      <c r="U1831" s="47" t="str">
        <f aca="false">IF(AND(B1831&lt;&gt;"",B1831=SW別シート!$C$3),COUNTIF(B$5:B1831,B1831),"")</f>
        <v/>
      </c>
      <c r="V1831" s="47" t="n">
        <f aca="false">V1830+IF(OR(O1831&lt;&gt;"",W1831&lt;&gt;""),1,0)</f>
        <v>3</v>
      </c>
      <c r="W1831" s="29"/>
    </row>
    <row r="1832" customFormat="false" ht="15" hidden="false" customHeight="false" outlineLevel="0" collapsed="false">
      <c r="A1832" s="32" t="str">
        <f aca="false">IF(B1832="","",ROW()-7)</f>
        <v/>
      </c>
      <c r="B1832" s="30"/>
      <c r="C1832" s="29"/>
      <c r="D1832" s="29"/>
      <c r="E1832" s="29"/>
      <c r="F1832" s="30"/>
      <c r="G1832" s="29"/>
      <c r="H1832" s="30"/>
      <c r="I1832" s="29"/>
      <c r="J1832" s="30"/>
      <c r="K1832" s="30"/>
      <c r="L1832" s="29"/>
      <c r="M1832" s="32" t="str">
        <f aca="false">IF(OR(C1832="",L1832=""),"",IF(C1832=L1832,"同一","変更"))</f>
        <v/>
      </c>
      <c r="N1832" s="29"/>
      <c r="O1832" s="30"/>
      <c r="P1832" s="29"/>
      <c r="Q1832" s="31"/>
      <c r="R1832" s="29"/>
      <c r="S1832" s="29"/>
      <c r="T1832" s="30"/>
      <c r="U1832" s="47" t="str">
        <f aca="false">IF(AND(B1832&lt;&gt;"",B1832=SW別シート!$C$3),COUNTIF(B$5:B1832,B1832),"")</f>
        <v/>
      </c>
      <c r="V1832" s="47" t="n">
        <f aca="false">V1831+IF(OR(O1832&lt;&gt;"",W1832&lt;&gt;""),1,0)</f>
        <v>3</v>
      </c>
      <c r="W1832" s="29"/>
    </row>
    <row r="1833" customFormat="false" ht="15" hidden="false" customHeight="false" outlineLevel="0" collapsed="false">
      <c r="A1833" s="32" t="str">
        <f aca="false">IF(B1833="","",ROW()-7)</f>
        <v/>
      </c>
      <c r="B1833" s="30"/>
      <c r="C1833" s="29"/>
      <c r="D1833" s="29"/>
      <c r="E1833" s="29"/>
      <c r="F1833" s="30"/>
      <c r="G1833" s="29"/>
      <c r="H1833" s="30"/>
      <c r="I1833" s="29"/>
      <c r="J1833" s="30"/>
      <c r="K1833" s="30"/>
      <c r="L1833" s="29"/>
      <c r="M1833" s="32" t="str">
        <f aca="false">IF(OR(C1833="",L1833=""),"",IF(C1833=L1833,"同一","変更"))</f>
        <v/>
      </c>
      <c r="N1833" s="29"/>
      <c r="O1833" s="30"/>
      <c r="P1833" s="29"/>
      <c r="Q1833" s="31"/>
      <c r="R1833" s="29"/>
      <c r="S1833" s="29"/>
      <c r="T1833" s="30"/>
      <c r="U1833" s="47" t="str">
        <f aca="false">IF(AND(B1833&lt;&gt;"",B1833=SW別シート!$C$3),COUNTIF(B$5:B1833,B1833),"")</f>
        <v/>
      </c>
      <c r="V1833" s="47" t="n">
        <f aca="false">V1832+IF(OR(O1833&lt;&gt;"",W1833&lt;&gt;""),1,0)</f>
        <v>3</v>
      </c>
      <c r="W1833" s="29"/>
    </row>
    <row r="1834" customFormat="false" ht="15" hidden="false" customHeight="false" outlineLevel="0" collapsed="false">
      <c r="A1834" s="32" t="str">
        <f aca="false">IF(B1834="","",ROW()-7)</f>
        <v/>
      </c>
      <c r="B1834" s="30"/>
      <c r="C1834" s="29"/>
      <c r="D1834" s="29"/>
      <c r="E1834" s="29"/>
      <c r="F1834" s="30"/>
      <c r="G1834" s="29"/>
      <c r="H1834" s="30"/>
      <c r="I1834" s="29"/>
      <c r="J1834" s="30"/>
      <c r="K1834" s="30"/>
      <c r="L1834" s="29"/>
      <c r="M1834" s="32" t="str">
        <f aca="false">IF(OR(C1834="",L1834=""),"",IF(C1834=L1834,"同一","変更"))</f>
        <v/>
      </c>
      <c r="N1834" s="29"/>
      <c r="O1834" s="30"/>
      <c r="P1834" s="29"/>
      <c r="Q1834" s="31"/>
      <c r="R1834" s="29"/>
      <c r="S1834" s="29"/>
      <c r="T1834" s="30"/>
      <c r="U1834" s="47" t="str">
        <f aca="false">IF(AND(B1834&lt;&gt;"",B1834=SW別シート!$C$3),COUNTIF(B$5:B1834,B1834),"")</f>
        <v/>
      </c>
      <c r="V1834" s="47" t="n">
        <f aca="false">V1833+IF(OR(O1834&lt;&gt;"",W1834&lt;&gt;""),1,0)</f>
        <v>3</v>
      </c>
      <c r="W1834" s="29"/>
    </row>
    <row r="1835" customFormat="false" ht="15" hidden="false" customHeight="false" outlineLevel="0" collapsed="false">
      <c r="A1835" s="32" t="str">
        <f aca="false">IF(B1835="","",ROW()-7)</f>
        <v/>
      </c>
      <c r="B1835" s="30"/>
      <c r="C1835" s="29"/>
      <c r="D1835" s="29"/>
      <c r="E1835" s="29"/>
      <c r="F1835" s="30"/>
      <c r="G1835" s="29"/>
      <c r="H1835" s="30"/>
      <c r="I1835" s="29"/>
      <c r="J1835" s="30"/>
      <c r="K1835" s="30"/>
      <c r="L1835" s="29"/>
      <c r="M1835" s="32" t="str">
        <f aca="false">IF(OR(C1835="",L1835=""),"",IF(C1835=L1835,"同一","変更"))</f>
        <v/>
      </c>
      <c r="N1835" s="29"/>
      <c r="O1835" s="30"/>
      <c r="P1835" s="29"/>
      <c r="Q1835" s="31"/>
      <c r="R1835" s="29"/>
      <c r="S1835" s="29"/>
      <c r="T1835" s="30"/>
      <c r="U1835" s="47" t="str">
        <f aca="false">IF(AND(B1835&lt;&gt;"",B1835=SW別シート!$C$3),COUNTIF(B$5:B1835,B1835),"")</f>
        <v/>
      </c>
      <c r="V1835" s="47" t="n">
        <f aca="false">V1834+IF(OR(O1835&lt;&gt;"",W1835&lt;&gt;""),1,0)</f>
        <v>3</v>
      </c>
      <c r="W1835" s="29"/>
    </row>
    <row r="1836" customFormat="false" ht="15" hidden="false" customHeight="false" outlineLevel="0" collapsed="false">
      <c r="A1836" s="32" t="str">
        <f aca="false">IF(B1836="","",ROW()-7)</f>
        <v/>
      </c>
      <c r="B1836" s="30"/>
      <c r="C1836" s="29"/>
      <c r="D1836" s="29"/>
      <c r="E1836" s="29"/>
      <c r="F1836" s="30"/>
      <c r="G1836" s="29"/>
      <c r="H1836" s="30"/>
      <c r="I1836" s="29"/>
      <c r="J1836" s="30"/>
      <c r="K1836" s="30"/>
      <c r="L1836" s="29"/>
      <c r="M1836" s="32" t="str">
        <f aca="false">IF(OR(C1836="",L1836=""),"",IF(C1836=L1836,"同一","変更"))</f>
        <v/>
      </c>
      <c r="N1836" s="29"/>
      <c r="O1836" s="30"/>
      <c r="P1836" s="29"/>
      <c r="Q1836" s="31"/>
      <c r="R1836" s="29"/>
      <c r="S1836" s="29"/>
      <c r="T1836" s="30"/>
      <c r="U1836" s="47" t="str">
        <f aca="false">IF(AND(B1836&lt;&gt;"",B1836=SW別シート!$C$3),COUNTIF(B$5:B1836,B1836),"")</f>
        <v/>
      </c>
      <c r="V1836" s="47" t="n">
        <f aca="false">V1835+IF(OR(O1836&lt;&gt;"",W1836&lt;&gt;""),1,0)</f>
        <v>3</v>
      </c>
      <c r="W1836" s="29"/>
    </row>
    <row r="1837" customFormat="false" ht="15" hidden="false" customHeight="false" outlineLevel="0" collapsed="false">
      <c r="A1837" s="32" t="str">
        <f aca="false">IF(B1837="","",ROW()-7)</f>
        <v/>
      </c>
      <c r="B1837" s="30"/>
      <c r="C1837" s="29"/>
      <c r="D1837" s="29"/>
      <c r="E1837" s="29"/>
      <c r="F1837" s="30"/>
      <c r="G1837" s="29"/>
      <c r="H1837" s="30"/>
      <c r="I1837" s="29"/>
      <c r="J1837" s="30"/>
      <c r="K1837" s="30"/>
      <c r="L1837" s="29"/>
      <c r="M1837" s="32" t="str">
        <f aca="false">IF(OR(C1837="",L1837=""),"",IF(C1837=L1837,"同一","変更"))</f>
        <v/>
      </c>
      <c r="N1837" s="29"/>
      <c r="O1837" s="30"/>
      <c r="P1837" s="29"/>
      <c r="Q1837" s="31"/>
      <c r="R1837" s="29"/>
      <c r="S1837" s="29"/>
      <c r="T1837" s="30"/>
      <c r="U1837" s="47" t="str">
        <f aca="false">IF(AND(B1837&lt;&gt;"",B1837=SW別シート!$C$3),COUNTIF(B$5:B1837,B1837),"")</f>
        <v/>
      </c>
      <c r="V1837" s="47" t="n">
        <f aca="false">V1836+IF(OR(O1837&lt;&gt;"",W1837&lt;&gt;""),1,0)</f>
        <v>3</v>
      </c>
      <c r="W1837" s="29"/>
    </row>
    <row r="1838" customFormat="false" ht="15" hidden="false" customHeight="false" outlineLevel="0" collapsed="false">
      <c r="A1838" s="32" t="str">
        <f aca="false">IF(B1838="","",ROW()-7)</f>
        <v/>
      </c>
      <c r="B1838" s="30"/>
      <c r="C1838" s="29"/>
      <c r="D1838" s="29"/>
      <c r="E1838" s="29"/>
      <c r="F1838" s="30"/>
      <c r="G1838" s="29"/>
      <c r="H1838" s="30"/>
      <c r="I1838" s="29"/>
      <c r="J1838" s="30"/>
      <c r="K1838" s="30"/>
      <c r="L1838" s="29"/>
      <c r="M1838" s="32" t="str">
        <f aca="false">IF(OR(C1838="",L1838=""),"",IF(C1838=L1838,"同一","変更"))</f>
        <v/>
      </c>
      <c r="N1838" s="29"/>
      <c r="O1838" s="30"/>
      <c r="P1838" s="29"/>
      <c r="Q1838" s="31"/>
      <c r="R1838" s="29"/>
      <c r="S1838" s="29"/>
      <c r="T1838" s="30"/>
      <c r="U1838" s="47" t="str">
        <f aca="false">IF(AND(B1838&lt;&gt;"",B1838=SW別シート!$C$3),COUNTIF(B$5:B1838,B1838),"")</f>
        <v/>
      </c>
      <c r="V1838" s="47" t="n">
        <f aca="false">V1837+IF(OR(O1838&lt;&gt;"",W1838&lt;&gt;""),1,0)</f>
        <v>3</v>
      </c>
      <c r="W1838" s="29"/>
    </row>
    <row r="1839" customFormat="false" ht="15" hidden="false" customHeight="false" outlineLevel="0" collapsed="false">
      <c r="A1839" s="32" t="str">
        <f aca="false">IF(B1839="","",ROW()-7)</f>
        <v/>
      </c>
      <c r="B1839" s="30"/>
      <c r="C1839" s="29"/>
      <c r="D1839" s="29"/>
      <c r="E1839" s="29"/>
      <c r="F1839" s="30"/>
      <c r="G1839" s="29"/>
      <c r="H1839" s="30"/>
      <c r="I1839" s="29"/>
      <c r="J1839" s="30"/>
      <c r="K1839" s="30"/>
      <c r="L1839" s="29"/>
      <c r="M1839" s="32" t="str">
        <f aca="false">IF(OR(C1839="",L1839=""),"",IF(C1839=L1839,"同一","変更"))</f>
        <v/>
      </c>
      <c r="N1839" s="29"/>
      <c r="O1839" s="30"/>
      <c r="P1839" s="29"/>
      <c r="Q1839" s="31"/>
      <c r="R1839" s="29"/>
      <c r="S1839" s="29"/>
      <c r="T1839" s="30"/>
      <c r="U1839" s="47" t="str">
        <f aca="false">IF(AND(B1839&lt;&gt;"",B1839=SW別シート!$C$3),COUNTIF(B$5:B1839,B1839),"")</f>
        <v/>
      </c>
      <c r="V1839" s="47" t="n">
        <f aca="false">V1838+IF(OR(O1839&lt;&gt;"",W1839&lt;&gt;""),1,0)</f>
        <v>3</v>
      </c>
      <c r="W1839" s="29"/>
    </row>
    <row r="1840" customFormat="false" ht="15" hidden="false" customHeight="false" outlineLevel="0" collapsed="false">
      <c r="A1840" s="32" t="str">
        <f aca="false">IF(B1840="","",ROW()-7)</f>
        <v/>
      </c>
      <c r="B1840" s="30"/>
      <c r="C1840" s="29"/>
      <c r="D1840" s="29"/>
      <c r="E1840" s="29"/>
      <c r="F1840" s="30"/>
      <c r="G1840" s="29"/>
      <c r="H1840" s="30"/>
      <c r="I1840" s="29"/>
      <c r="J1840" s="30"/>
      <c r="K1840" s="30"/>
      <c r="L1840" s="29"/>
      <c r="M1840" s="32" t="str">
        <f aca="false">IF(OR(C1840="",L1840=""),"",IF(C1840=L1840,"同一","変更"))</f>
        <v/>
      </c>
      <c r="N1840" s="29"/>
      <c r="O1840" s="30"/>
      <c r="P1840" s="29"/>
      <c r="Q1840" s="31"/>
      <c r="R1840" s="29"/>
      <c r="S1840" s="29"/>
      <c r="T1840" s="30"/>
      <c r="U1840" s="47" t="str">
        <f aca="false">IF(AND(B1840&lt;&gt;"",B1840=SW別シート!$C$3),COUNTIF(B$5:B1840,B1840),"")</f>
        <v/>
      </c>
      <c r="V1840" s="47" t="n">
        <f aca="false">V1839+IF(OR(O1840&lt;&gt;"",W1840&lt;&gt;""),1,0)</f>
        <v>3</v>
      </c>
      <c r="W1840" s="29"/>
    </row>
    <row r="1841" customFormat="false" ht="15" hidden="false" customHeight="false" outlineLevel="0" collapsed="false">
      <c r="A1841" s="32" t="str">
        <f aca="false">IF(B1841="","",ROW()-7)</f>
        <v/>
      </c>
      <c r="B1841" s="30"/>
      <c r="C1841" s="29"/>
      <c r="D1841" s="29"/>
      <c r="E1841" s="29"/>
      <c r="F1841" s="30"/>
      <c r="G1841" s="29"/>
      <c r="H1841" s="30"/>
      <c r="I1841" s="29"/>
      <c r="J1841" s="30"/>
      <c r="K1841" s="30"/>
      <c r="L1841" s="29"/>
      <c r="M1841" s="32" t="str">
        <f aca="false">IF(OR(C1841="",L1841=""),"",IF(C1841=L1841,"同一","変更"))</f>
        <v/>
      </c>
      <c r="N1841" s="29"/>
      <c r="O1841" s="30"/>
      <c r="P1841" s="29"/>
      <c r="Q1841" s="31"/>
      <c r="R1841" s="29"/>
      <c r="S1841" s="29"/>
      <c r="T1841" s="30"/>
      <c r="U1841" s="47" t="str">
        <f aca="false">IF(AND(B1841&lt;&gt;"",B1841=SW別シート!$C$3),COUNTIF(B$5:B1841,B1841),"")</f>
        <v/>
      </c>
      <c r="V1841" s="47" t="n">
        <f aca="false">V1840+IF(OR(O1841&lt;&gt;"",W1841&lt;&gt;""),1,0)</f>
        <v>3</v>
      </c>
      <c r="W1841" s="29"/>
    </row>
    <row r="1842" customFormat="false" ht="15" hidden="false" customHeight="false" outlineLevel="0" collapsed="false">
      <c r="A1842" s="32" t="str">
        <f aca="false">IF(B1842="","",ROW()-7)</f>
        <v/>
      </c>
      <c r="B1842" s="30"/>
      <c r="C1842" s="29"/>
      <c r="D1842" s="29"/>
      <c r="E1842" s="29"/>
      <c r="F1842" s="30"/>
      <c r="G1842" s="29"/>
      <c r="H1842" s="30"/>
      <c r="I1842" s="29"/>
      <c r="J1842" s="30"/>
      <c r="K1842" s="30"/>
      <c r="L1842" s="29"/>
      <c r="M1842" s="32" t="str">
        <f aca="false">IF(OR(C1842="",L1842=""),"",IF(C1842=L1842,"同一","変更"))</f>
        <v/>
      </c>
      <c r="N1842" s="29"/>
      <c r="O1842" s="30"/>
      <c r="P1842" s="29"/>
      <c r="Q1842" s="31"/>
      <c r="R1842" s="29"/>
      <c r="S1842" s="29"/>
      <c r="T1842" s="30"/>
      <c r="U1842" s="47" t="str">
        <f aca="false">IF(AND(B1842&lt;&gt;"",B1842=SW別シート!$C$3),COUNTIF(B$5:B1842,B1842),"")</f>
        <v/>
      </c>
      <c r="V1842" s="47" t="n">
        <f aca="false">V1841+IF(OR(O1842&lt;&gt;"",W1842&lt;&gt;""),1,0)</f>
        <v>3</v>
      </c>
      <c r="W1842" s="29"/>
    </row>
    <row r="1843" customFormat="false" ht="15" hidden="false" customHeight="false" outlineLevel="0" collapsed="false">
      <c r="A1843" s="32" t="str">
        <f aca="false">IF(B1843="","",ROW()-7)</f>
        <v/>
      </c>
      <c r="B1843" s="30"/>
      <c r="C1843" s="29"/>
      <c r="D1843" s="29"/>
      <c r="E1843" s="29"/>
      <c r="F1843" s="30"/>
      <c r="G1843" s="29"/>
      <c r="H1843" s="30"/>
      <c r="I1843" s="29"/>
      <c r="J1843" s="30"/>
      <c r="K1843" s="30"/>
      <c r="L1843" s="29"/>
      <c r="M1843" s="32" t="str">
        <f aca="false">IF(OR(C1843="",L1843=""),"",IF(C1843=L1843,"同一","変更"))</f>
        <v/>
      </c>
      <c r="N1843" s="29"/>
      <c r="O1843" s="30"/>
      <c r="P1843" s="29"/>
      <c r="Q1843" s="31"/>
      <c r="R1843" s="29"/>
      <c r="S1843" s="29"/>
      <c r="T1843" s="30"/>
      <c r="U1843" s="47" t="str">
        <f aca="false">IF(AND(B1843&lt;&gt;"",B1843=SW別シート!$C$3),COUNTIF(B$5:B1843,B1843),"")</f>
        <v/>
      </c>
      <c r="V1843" s="47" t="n">
        <f aca="false">V1842+IF(OR(O1843&lt;&gt;"",W1843&lt;&gt;""),1,0)</f>
        <v>3</v>
      </c>
      <c r="W1843" s="29"/>
    </row>
    <row r="1844" customFormat="false" ht="15" hidden="false" customHeight="false" outlineLevel="0" collapsed="false">
      <c r="A1844" s="32" t="str">
        <f aca="false">IF(B1844="","",ROW()-7)</f>
        <v/>
      </c>
      <c r="B1844" s="30"/>
      <c r="C1844" s="29"/>
      <c r="D1844" s="29"/>
      <c r="E1844" s="29"/>
      <c r="F1844" s="30"/>
      <c r="G1844" s="29"/>
      <c r="H1844" s="30"/>
      <c r="I1844" s="29"/>
      <c r="J1844" s="30"/>
      <c r="K1844" s="30"/>
      <c r="L1844" s="29"/>
      <c r="M1844" s="32" t="str">
        <f aca="false">IF(OR(C1844="",L1844=""),"",IF(C1844=L1844,"同一","変更"))</f>
        <v/>
      </c>
      <c r="N1844" s="29"/>
      <c r="O1844" s="30"/>
      <c r="P1844" s="29"/>
      <c r="Q1844" s="31"/>
      <c r="R1844" s="29"/>
      <c r="S1844" s="29"/>
      <c r="T1844" s="30"/>
      <c r="U1844" s="47" t="str">
        <f aca="false">IF(AND(B1844&lt;&gt;"",B1844=SW別シート!$C$3),COUNTIF(B$5:B1844,B1844),"")</f>
        <v/>
      </c>
      <c r="V1844" s="47" t="n">
        <f aca="false">V1843+IF(OR(O1844&lt;&gt;"",W1844&lt;&gt;""),1,0)</f>
        <v>3</v>
      </c>
      <c r="W1844" s="29"/>
    </row>
    <row r="1845" customFormat="false" ht="15" hidden="false" customHeight="false" outlineLevel="0" collapsed="false">
      <c r="A1845" s="32" t="str">
        <f aca="false">IF(B1845="","",ROW()-7)</f>
        <v/>
      </c>
      <c r="B1845" s="30"/>
      <c r="C1845" s="29"/>
      <c r="D1845" s="29"/>
      <c r="E1845" s="29"/>
      <c r="F1845" s="30"/>
      <c r="G1845" s="29"/>
      <c r="H1845" s="30"/>
      <c r="I1845" s="29"/>
      <c r="J1845" s="30"/>
      <c r="K1845" s="30"/>
      <c r="L1845" s="29"/>
      <c r="M1845" s="32" t="str">
        <f aca="false">IF(OR(C1845="",L1845=""),"",IF(C1845=L1845,"同一","変更"))</f>
        <v/>
      </c>
      <c r="N1845" s="29"/>
      <c r="O1845" s="30"/>
      <c r="P1845" s="29"/>
      <c r="Q1845" s="31"/>
      <c r="R1845" s="29"/>
      <c r="S1845" s="29"/>
      <c r="T1845" s="30"/>
      <c r="U1845" s="47" t="str">
        <f aca="false">IF(AND(B1845&lt;&gt;"",B1845=SW別シート!$C$3),COUNTIF(B$5:B1845,B1845),"")</f>
        <v/>
      </c>
      <c r="V1845" s="47" t="n">
        <f aca="false">V1844+IF(OR(O1845&lt;&gt;"",W1845&lt;&gt;""),1,0)</f>
        <v>3</v>
      </c>
      <c r="W1845" s="29"/>
    </row>
    <row r="1846" customFormat="false" ht="15" hidden="false" customHeight="false" outlineLevel="0" collapsed="false">
      <c r="A1846" s="32" t="str">
        <f aca="false">IF(B1846="","",ROW()-7)</f>
        <v/>
      </c>
      <c r="B1846" s="30"/>
      <c r="C1846" s="29"/>
      <c r="D1846" s="29"/>
      <c r="E1846" s="29"/>
      <c r="F1846" s="30"/>
      <c r="G1846" s="29"/>
      <c r="H1846" s="30"/>
      <c r="I1846" s="29"/>
      <c r="J1846" s="30"/>
      <c r="K1846" s="30"/>
      <c r="L1846" s="29"/>
      <c r="M1846" s="32" t="str">
        <f aca="false">IF(OR(C1846="",L1846=""),"",IF(C1846=L1846,"同一","変更"))</f>
        <v/>
      </c>
      <c r="N1846" s="29"/>
      <c r="O1846" s="30"/>
      <c r="P1846" s="29"/>
      <c r="Q1846" s="31"/>
      <c r="R1846" s="29"/>
      <c r="S1846" s="29"/>
      <c r="T1846" s="30"/>
      <c r="U1846" s="47" t="str">
        <f aca="false">IF(AND(B1846&lt;&gt;"",B1846=SW別シート!$C$3),COUNTIF(B$5:B1846,B1846),"")</f>
        <v/>
      </c>
      <c r="V1846" s="47" t="n">
        <f aca="false">V1845+IF(OR(O1846&lt;&gt;"",W1846&lt;&gt;""),1,0)</f>
        <v>3</v>
      </c>
      <c r="W1846" s="29"/>
    </row>
    <row r="1847" customFormat="false" ht="15" hidden="false" customHeight="false" outlineLevel="0" collapsed="false">
      <c r="A1847" s="32" t="str">
        <f aca="false">IF(B1847="","",ROW()-7)</f>
        <v/>
      </c>
      <c r="B1847" s="30"/>
      <c r="C1847" s="29"/>
      <c r="D1847" s="29"/>
      <c r="E1847" s="29"/>
      <c r="F1847" s="30"/>
      <c r="G1847" s="29"/>
      <c r="H1847" s="30"/>
      <c r="I1847" s="29"/>
      <c r="J1847" s="30"/>
      <c r="K1847" s="30"/>
      <c r="L1847" s="29"/>
      <c r="M1847" s="32" t="str">
        <f aca="false">IF(OR(C1847="",L1847=""),"",IF(C1847=L1847,"同一","変更"))</f>
        <v/>
      </c>
      <c r="N1847" s="29"/>
      <c r="O1847" s="30"/>
      <c r="P1847" s="29"/>
      <c r="Q1847" s="31"/>
      <c r="R1847" s="29"/>
      <c r="S1847" s="29"/>
      <c r="T1847" s="30"/>
      <c r="U1847" s="47" t="str">
        <f aca="false">IF(AND(B1847&lt;&gt;"",B1847=SW別シート!$C$3),COUNTIF(B$5:B1847,B1847),"")</f>
        <v/>
      </c>
      <c r="V1847" s="47" t="n">
        <f aca="false">V1846+IF(OR(O1847&lt;&gt;"",W1847&lt;&gt;""),1,0)</f>
        <v>3</v>
      </c>
      <c r="W1847" s="29"/>
    </row>
    <row r="1848" customFormat="false" ht="15" hidden="false" customHeight="false" outlineLevel="0" collapsed="false">
      <c r="A1848" s="32" t="str">
        <f aca="false">IF(B1848="","",ROW()-7)</f>
        <v/>
      </c>
      <c r="B1848" s="30"/>
      <c r="C1848" s="29"/>
      <c r="D1848" s="29"/>
      <c r="E1848" s="29"/>
      <c r="F1848" s="30"/>
      <c r="G1848" s="29"/>
      <c r="H1848" s="30"/>
      <c r="I1848" s="29"/>
      <c r="J1848" s="30"/>
      <c r="K1848" s="30"/>
      <c r="L1848" s="29"/>
      <c r="M1848" s="32" t="str">
        <f aca="false">IF(OR(C1848="",L1848=""),"",IF(C1848=L1848,"同一","変更"))</f>
        <v/>
      </c>
      <c r="N1848" s="29"/>
      <c r="O1848" s="30"/>
      <c r="P1848" s="29"/>
      <c r="Q1848" s="31"/>
      <c r="R1848" s="29"/>
      <c r="S1848" s="29"/>
      <c r="T1848" s="30"/>
      <c r="U1848" s="47" t="str">
        <f aca="false">IF(AND(B1848&lt;&gt;"",B1848=SW別シート!$C$3),COUNTIF(B$5:B1848,B1848),"")</f>
        <v/>
      </c>
      <c r="V1848" s="47" t="n">
        <f aca="false">V1847+IF(OR(O1848&lt;&gt;"",W1848&lt;&gt;""),1,0)</f>
        <v>3</v>
      </c>
      <c r="W1848" s="29"/>
    </row>
    <row r="1849" customFormat="false" ht="15" hidden="false" customHeight="false" outlineLevel="0" collapsed="false">
      <c r="A1849" s="32" t="str">
        <f aca="false">IF(B1849="","",ROW()-7)</f>
        <v/>
      </c>
      <c r="B1849" s="30"/>
      <c r="C1849" s="29"/>
      <c r="D1849" s="29"/>
      <c r="E1849" s="29"/>
      <c r="F1849" s="30"/>
      <c r="G1849" s="29"/>
      <c r="H1849" s="30"/>
      <c r="I1849" s="29"/>
      <c r="J1849" s="30"/>
      <c r="K1849" s="30"/>
      <c r="L1849" s="29"/>
      <c r="M1849" s="32" t="str">
        <f aca="false">IF(OR(C1849="",L1849=""),"",IF(C1849=L1849,"同一","変更"))</f>
        <v/>
      </c>
      <c r="N1849" s="29"/>
      <c r="O1849" s="30"/>
      <c r="P1849" s="29"/>
      <c r="Q1849" s="31"/>
      <c r="R1849" s="29"/>
      <c r="S1849" s="29"/>
      <c r="T1849" s="30"/>
      <c r="U1849" s="47" t="str">
        <f aca="false">IF(AND(B1849&lt;&gt;"",B1849=SW別シート!$C$3),COUNTIF(B$5:B1849,B1849),"")</f>
        <v/>
      </c>
      <c r="V1849" s="47" t="n">
        <f aca="false">V1848+IF(OR(O1849&lt;&gt;"",W1849&lt;&gt;""),1,0)</f>
        <v>3</v>
      </c>
      <c r="W1849" s="29"/>
    </row>
    <row r="1850" customFormat="false" ht="15" hidden="false" customHeight="false" outlineLevel="0" collapsed="false">
      <c r="A1850" s="32" t="str">
        <f aca="false">IF(B1850="","",ROW()-7)</f>
        <v/>
      </c>
      <c r="B1850" s="30"/>
      <c r="C1850" s="29"/>
      <c r="D1850" s="29"/>
      <c r="E1850" s="29"/>
      <c r="F1850" s="30"/>
      <c r="G1850" s="29"/>
      <c r="H1850" s="30"/>
      <c r="I1850" s="29"/>
      <c r="J1850" s="30"/>
      <c r="K1850" s="30"/>
      <c r="L1850" s="29"/>
      <c r="M1850" s="32" t="str">
        <f aca="false">IF(OR(C1850="",L1850=""),"",IF(C1850=L1850,"同一","変更"))</f>
        <v/>
      </c>
      <c r="N1850" s="29"/>
      <c r="O1850" s="30"/>
      <c r="P1850" s="29"/>
      <c r="Q1850" s="31"/>
      <c r="R1850" s="29"/>
      <c r="S1850" s="29"/>
      <c r="T1850" s="30"/>
      <c r="U1850" s="47" t="str">
        <f aca="false">IF(AND(B1850&lt;&gt;"",B1850=SW別シート!$C$3),COUNTIF(B$5:B1850,B1850),"")</f>
        <v/>
      </c>
      <c r="V1850" s="47" t="n">
        <f aca="false">V1849+IF(OR(O1850&lt;&gt;"",W1850&lt;&gt;""),1,0)</f>
        <v>3</v>
      </c>
      <c r="W1850" s="29"/>
    </row>
    <row r="1851" customFormat="false" ht="15" hidden="false" customHeight="false" outlineLevel="0" collapsed="false">
      <c r="A1851" s="32" t="str">
        <f aca="false">IF(B1851="","",ROW()-7)</f>
        <v/>
      </c>
      <c r="B1851" s="30"/>
      <c r="C1851" s="29"/>
      <c r="D1851" s="29"/>
      <c r="E1851" s="29"/>
      <c r="F1851" s="30"/>
      <c r="G1851" s="29"/>
      <c r="H1851" s="30"/>
      <c r="I1851" s="29"/>
      <c r="J1851" s="30"/>
      <c r="K1851" s="30"/>
      <c r="L1851" s="29"/>
      <c r="M1851" s="32" t="str">
        <f aca="false">IF(OR(C1851="",L1851=""),"",IF(C1851=L1851,"同一","変更"))</f>
        <v/>
      </c>
      <c r="N1851" s="29"/>
      <c r="O1851" s="30"/>
      <c r="P1851" s="29"/>
      <c r="Q1851" s="31"/>
      <c r="R1851" s="29"/>
      <c r="S1851" s="29"/>
      <c r="T1851" s="30"/>
      <c r="U1851" s="47" t="str">
        <f aca="false">IF(AND(B1851&lt;&gt;"",B1851=SW別シート!$C$3),COUNTIF(B$5:B1851,B1851),"")</f>
        <v/>
      </c>
      <c r="V1851" s="47" t="n">
        <f aca="false">V1850+IF(OR(O1851&lt;&gt;"",W1851&lt;&gt;""),1,0)</f>
        <v>3</v>
      </c>
      <c r="W1851" s="29"/>
    </row>
    <row r="1852" customFormat="false" ht="15" hidden="false" customHeight="false" outlineLevel="0" collapsed="false">
      <c r="A1852" s="32" t="str">
        <f aca="false">IF(B1852="","",ROW()-7)</f>
        <v/>
      </c>
      <c r="B1852" s="30"/>
      <c r="C1852" s="29"/>
      <c r="D1852" s="29"/>
      <c r="E1852" s="29"/>
      <c r="F1852" s="30"/>
      <c r="G1852" s="29"/>
      <c r="H1852" s="30"/>
      <c r="I1852" s="29"/>
      <c r="J1852" s="30"/>
      <c r="K1852" s="30"/>
      <c r="L1852" s="29"/>
      <c r="M1852" s="32" t="str">
        <f aca="false">IF(OR(C1852="",L1852=""),"",IF(C1852=L1852,"同一","変更"))</f>
        <v/>
      </c>
      <c r="N1852" s="29"/>
      <c r="O1852" s="30"/>
      <c r="P1852" s="29"/>
      <c r="Q1852" s="31"/>
      <c r="R1852" s="29"/>
      <c r="S1852" s="29"/>
      <c r="T1852" s="30"/>
      <c r="U1852" s="47" t="str">
        <f aca="false">IF(AND(B1852&lt;&gt;"",B1852=SW別シート!$C$3),COUNTIF(B$5:B1852,B1852),"")</f>
        <v/>
      </c>
      <c r="V1852" s="47" t="n">
        <f aca="false">V1851+IF(OR(O1852&lt;&gt;"",W1852&lt;&gt;""),1,0)</f>
        <v>3</v>
      </c>
      <c r="W1852" s="29"/>
    </row>
    <row r="1853" customFormat="false" ht="15" hidden="false" customHeight="false" outlineLevel="0" collapsed="false">
      <c r="A1853" s="32" t="str">
        <f aca="false">IF(B1853="","",ROW()-7)</f>
        <v/>
      </c>
      <c r="B1853" s="30"/>
      <c r="C1853" s="29"/>
      <c r="D1853" s="29"/>
      <c r="E1853" s="29"/>
      <c r="F1853" s="30"/>
      <c r="G1853" s="29"/>
      <c r="H1853" s="30"/>
      <c r="I1853" s="29"/>
      <c r="J1853" s="30"/>
      <c r="K1853" s="30"/>
      <c r="L1853" s="29"/>
      <c r="M1853" s="32" t="str">
        <f aca="false">IF(OR(C1853="",L1853=""),"",IF(C1853=L1853,"同一","変更"))</f>
        <v/>
      </c>
      <c r="N1853" s="29"/>
      <c r="O1853" s="30"/>
      <c r="P1853" s="29"/>
      <c r="Q1853" s="31"/>
      <c r="R1853" s="29"/>
      <c r="S1853" s="29"/>
      <c r="T1853" s="30"/>
      <c r="U1853" s="47" t="str">
        <f aca="false">IF(AND(B1853&lt;&gt;"",B1853=SW別シート!$C$3),COUNTIF(B$5:B1853,B1853),"")</f>
        <v/>
      </c>
      <c r="V1853" s="47" t="n">
        <f aca="false">V1852+IF(OR(O1853&lt;&gt;"",W1853&lt;&gt;""),1,0)</f>
        <v>3</v>
      </c>
      <c r="W1853" s="29"/>
    </row>
    <row r="1854" customFormat="false" ht="15" hidden="false" customHeight="false" outlineLevel="0" collapsed="false">
      <c r="A1854" s="32" t="str">
        <f aca="false">IF(B1854="","",ROW()-7)</f>
        <v/>
      </c>
      <c r="B1854" s="30"/>
      <c r="C1854" s="29"/>
      <c r="D1854" s="29"/>
      <c r="E1854" s="29"/>
      <c r="F1854" s="30"/>
      <c r="G1854" s="29"/>
      <c r="H1854" s="30"/>
      <c r="I1854" s="29"/>
      <c r="J1854" s="30"/>
      <c r="K1854" s="30"/>
      <c r="L1854" s="29"/>
      <c r="M1854" s="32" t="str">
        <f aca="false">IF(OR(C1854="",L1854=""),"",IF(C1854=L1854,"同一","変更"))</f>
        <v/>
      </c>
      <c r="N1854" s="29"/>
      <c r="O1854" s="30"/>
      <c r="P1854" s="29"/>
      <c r="Q1854" s="31"/>
      <c r="R1854" s="29"/>
      <c r="S1854" s="29"/>
      <c r="T1854" s="30"/>
      <c r="U1854" s="47" t="str">
        <f aca="false">IF(AND(B1854&lt;&gt;"",B1854=SW別シート!$C$3),COUNTIF(B$5:B1854,B1854),"")</f>
        <v/>
      </c>
      <c r="V1854" s="47" t="n">
        <f aca="false">V1853+IF(OR(O1854&lt;&gt;"",W1854&lt;&gt;""),1,0)</f>
        <v>3</v>
      </c>
      <c r="W1854" s="29"/>
    </row>
    <row r="1855" customFormat="false" ht="15" hidden="false" customHeight="false" outlineLevel="0" collapsed="false">
      <c r="A1855" s="32" t="str">
        <f aca="false">IF(B1855="","",ROW()-7)</f>
        <v/>
      </c>
      <c r="B1855" s="30"/>
      <c r="C1855" s="29"/>
      <c r="D1855" s="29"/>
      <c r="E1855" s="29"/>
      <c r="F1855" s="30"/>
      <c r="G1855" s="29"/>
      <c r="H1855" s="30"/>
      <c r="I1855" s="29"/>
      <c r="J1855" s="30"/>
      <c r="K1855" s="30"/>
      <c r="L1855" s="29"/>
      <c r="M1855" s="32" t="str">
        <f aca="false">IF(OR(C1855="",L1855=""),"",IF(C1855=L1855,"同一","変更"))</f>
        <v/>
      </c>
      <c r="N1855" s="29"/>
      <c r="O1855" s="30"/>
      <c r="P1855" s="29"/>
      <c r="Q1855" s="31"/>
      <c r="R1855" s="29"/>
      <c r="S1855" s="29"/>
      <c r="T1855" s="30"/>
      <c r="U1855" s="47" t="str">
        <f aca="false">IF(AND(B1855&lt;&gt;"",B1855=SW別シート!$C$3),COUNTIF(B$5:B1855,B1855),"")</f>
        <v/>
      </c>
      <c r="V1855" s="47" t="n">
        <f aca="false">V1854+IF(OR(O1855&lt;&gt;"",W1855&lt;&gt;""),1,0)</f>
        <v>3</v>
      </c>
      <c r="W1855" s="29"/>
    </row>
    <row r="1856" customFormat="false" ht="15" hidden="false" customHeight="false" outlineLevel="0" collapsed="false">
      <c r="A1856" s="32" t="str">
        <f aca="false">IF(B1856="","",ROW()-7)</f>
        <v/>
      </c>
      <c r="B1856" s="30"/>
      <c r="C1856" s="29"/>
      <c r="D1856" s="29"/>
      <c r="E1856" s="29"/>
      <c r="F1856" s="30"/>
      <c r="G1856" s="29"/>
      <c r="H1856" s="30"/>
      <c r="I1856" s="29"/>
      <c r="J1856" s="30"/>
      <c r="K1856" s="30"/>
      <c r="L1856" s="29"/>
      <c r="M1856" s="32" t="str">
        <f aca="false">IF(OR(C1856="",L1856=""),"",IF(C1856=L1856,"同一","変更"))</f>
        <v/>
      </c>
      <c r="N1856" s="29"/>
      <c r="O1856" s="30"/>
      <c r="P1856" s="29"/>
      <c r="Q1856" s="31"/>
      <c r="R1856" s="29"/>
      <c r="S1856" s="29"/>
      <c r="T1856" s="30"/>
      <c r="U1856" s="47" t="str">
        <f aca="false">IF(AND(B1856&lt;&gt;"",B1856=SW別シート!$C$3),COUNTIF(B$5:B1856,B1856),"")</f>
        <v/>
      </c>
      <c r="V1856" s="47" t="n">
        <f aca="false">V1855+IF(OR(O1856&lt;&gt;"",W1856&lt;&gt;""),1,0)</f>
        <v>3</v>
      </c>
      <c r="W1856" s="29"/>
    </row>
    <row r="1857" customFormat="false" ht="15" hidden="false" customHeight="false" outlineLevel="0" collapsed="false">
      <c r="A1857" s="32" t="str">
        <f aca="false">IF(B1857="","",ROW()-7)</f>
        <v/>
      </c>
      <c r="B1857" s="30"/>
      <c r="C1857" s="29"/>
      <c r="D1857" s="29"/>
      <c r="E1857" s="29"/>
      <c r="F1857" s="30"/>
      <c r="G1857" s="29"/>
      <c r="H1857" s="30"/>
      <c r="I1857" s="29"/>
      <c r="J1857" s="30"/>
      <c r="K1857" s="30"/>
      <c r="L1857" s="29"/>
      <c r="M1857" s="32" t="str">
        <f aca="false">IF(OR(C1857="",L1857=""),"",IF(C1857=L1857,"同一","変更"))</f>
        <v/>
      </c>
      <c r="N1857" s="29"/>
      <c r="O1857" s="30"/>
      <c r="P1857" s="29"/>
      <c r="Q1857" s="31"/>
      <c r="R1857" s="29"/>
      <c r="S1857" s="29"/>
      <c r="T1857" s="30"/>
      <c r="U1857" s="47" t="str">
        <f aca="false">IF(AND(B1857&lt;&gt;"",B1857=SW別シート!$C$3),COUNTIF(B$5:B1857,B1857),"")</f>
        <v/>
      </c>
      <c r="V1857" s="47" t="n">
        <f aca="false">V1856+IF(OR(O1857&lt;&gt;"",W1857&lt;&gt;""),1,0)</f>
        <v>3</v>
      </c>
      <c r="W1857" s="29"/>
    </row>
    <row r="1858" customFormat="false" ht="15" hidden="false" customHeight="false" outlineLevel="0" collapsed="false">
      <c r="A1858" s="32" t="str">
        <f aca="false">IF(B1858="","",ROW()-7)</f>
        <v/>
      </c>
      <c r="B1858" s="30"/>
      <c r="C1858" s="29"/>
      <c r="D1858" s="29"/>
      <c r="E1858" s="29"/>
      <c r="F1858" s="30"/>
      <c r="G1858" s="29"/>
      <c r="H1858" s="30"/>
      <c r="I1858" s="29"/>
      <c r="J1858" s="30"/>
      <c r="K1858" s="30"/>
      <c r="L1858" s="29"/>
      <c r="M1858" s="32" t="str">
        <f aca="false">IF(OR(C1858="",L1858=""),"",IF(C1858=L1858,"同一","変更"))</f>
        <v/>
      </c>
      <c r="N1858" s="29"/>
      <c r="O1858" s="30"/>
      <c r="P1858" s="29"/>
      <c r="Q1858" s="31"/>
      <c r="R1858" s="29"/>
      <c r="S1858" s="29"/>
      <c r="T1858" s="30"/>
      <c r="U1858" s="47" t="str">
        <f aca="false">IF(AND(B1858&lt;&gt;"",B1858=SW別シート!$C$3),COUNTIF(B$5:B1858,B1858),"")</f>
        <v/>
      </c>
      <c r="V1858" s="47" t="n">
        <f aca="false">V1857+IF(OR(O1858&lt;&gt;"",W1858&lt;&gt;""),1,0)</f>
        <v>3</v>
      </c>
      <c r="W1858" s="29"/>
    </row>
    <row r="1859" customFormat="false" ht="15" hidden="false" customHeight="false" outlineLevel="0" collapsed="false">
      <c r="A1859" s="32" t="str">
        <f aca="false">IF(B1859="","",ROW()-7)</f>
        <v/>
      </c>
      <c r="B1859" s="30"/>
      <c r="C1859" s="29"/>
      <c r="D1859" s="29"/>
      <c r="E1859" s="29"/>
      <c r="F1859" s="30"/>
      <c r="G1859" s="29"/>
      <c r="H1859" s="30"/>
      <c r="I1859" s="29"/>
      <c r="J1859" s="30"/>
      <c r="K1859" s="30"/>
      <c r="L1859" s="29"/>
      <c r="M1859" s="32" t="str">
        <f aca="false">IF(OR(C1859="",L1859=""),"",IF(C1859=L1859,"同一","変更"))</f>
        <v/>
      </c>
      <c r="N1859" s="29"/>
      <c r="O1859" s="30"/>
      <c r="P1859" s="29"/>
      <c r="Q1859" s="31"/>
      <c r="R1859" s="29"/>
      <c r="S1859" s="29"/>
      <c r="T1859" s="30"/>
      <c r="U1859" s="47" t="str">
        <f aca="false">IF(AND(B1859&lt;&gt;"",B1859=SW別シート!$C$3),COUNTIF(B$5:B1859,B1859),"")</f>
        <v/>
      </c>
      <c r="V1859" s="47" t="n">
        <f aca="false">V1858+IF(OR(O1859&lt;&gt;"",W1859&lt;&gt;""),1,0)</f>
        <v>3</v>
      </c>
      <c r="W1859" s="29"/>
    </row>
    <row r="1860" customFormat="false" ht="15" hidden="false" customHeight="false" outlineLevel="0" collapsed="false">
      <c r="A1860" s="32" t="str">
        <f aca="false">IF(B1860="","",ROW()-7)</f>
        <v/>
      </c>
      <c r="B1860" s="30"/>
      <c r="C1860" s="29"/>
      <c r="D1860" s="29"/>
      <c r="E1860" s="29"/>
      <c r="F1860" s="30"/>
      <c r="G1860" s="29"/>
      <c r="H1860" s="30"/>
      <c r="I1860" s="29"/>
      <c r="J1860" s="30"/>
      <c r="K1860" s="30"/>
      <c r="L1860" s="29"/>
      <c r="M1860" s="32" t="str">
        <f aca="false">IF(OR(C1860="",L1860=""),"",IF(C1860=L1860,"同一","変更"))</f>
        <v/>
      </c>
      <c r="N1860" s="29"/>
      <c r="O1860" s="30"/>
      <c r="P1860" s="29"/>
      <c r="Q1860" s="31"/>
      <c r="R1860" s="29"/>
      <c r="S1860" s="29"/>
      <c r="T1860" s="30"/>
      <c r="U1860" s="47" t="str">
        <f aca="false">IF(AND(B1860&lt;&gt;"",B1860=SW別シート!$C$3),COUNTIF(B$5:B1860,B1860),"")</f>
        <v/>
      </c>
      <c r="V1860" s="47" t="n">
        <f aca="false">V1859+IF(OR(O1860&lt;&gt;"",W1860&lt;&gt;""),1,0)</f>
        <v>3</v>
      </c>
      <c r="W1860" s="29"/>
    </row>
    <row r="1861" customFormat="false" ht="15" hidden="false" customHeight="false" outlineLevel="0" collapsed="false">
      <c r="A1861" s="32" t="str">
        <f aca="false">IF(B1861="","",ROW()-7)</f>
        <v/>
      </c>
      <c r="B1861" s="30"/>
      <c r="C1861" s="29"/>
      <c r="D1861" s="29"/>
      <c r="E1861" s="29"/>
      <c r="F1861" s="30"/>
      <c r="G1861" s="29"/>
      <c r="H1861" s="30"/>
      <c r="I1861" s="29"/>
      <c r="J1861" s="30"/>
      <c r="K1861" s="30"/>
      <c r="L1861" s="29"/>
      <c r="M1861" s="32" t="str">
        <f aca="false">IF(OR(C1861="",L1861=""),"",IF(C1861=L1861,"同一","変更"))</f>
        <v/>
      </c>
      <c r="N1861" s="29"/>
      <c r="O1861" s="30"/>
      <c r="P1861" s="29"/>
      <c r="Q1861" s="31"/>
      <c r="R1861" s="29"/>
      <c r="S1861" s="29"/>
      <c r="T1861" s="30"/>
      <c r="U1861" s="47" t="str">
        <f aca="false">IF(AND(B1861&lt;&gt;"",B1861=SW別シート!$C$3),COUNTIF(B$5:B1861,B1861),"")</f>
        <v/>
      </c>
      <c r="V1861" s="47" t="n">
        <f aca="false">V1860+IF(OR(O1861&lt;&gt;"",W1861&lt;&gt;""),1,0)</f>
        <v>3</v>
      </c>
      <c r="W1861" s="29"/>
    </row>
    <row r="1862" customFormat="false" ht="15" hidden="false" customHeight="false" outlineLevel="0" collapsed="false">
      <c r="A1862" s="32" t="str">
        <f aca="false">IF(B1862="","",ROW()-7)</f>
        <v/>
      </c>
      <c r="B1862" s="30"/>
      <c r="C1862" s="29"/>
      <c r="D1862" s="29"/>
      <c r="E1862" s="29"/>
      <c r="F1862" s="30"/>
      <c r="G1862" s="29"/>
      <c r="H1862" s="30"/>
      <c r="I1862" s="29"/>
      <c r="J1862" s="30"/>
      <c r="K1862" s="30"/>
      <c r="L1862" s="29"/>
      <c r="M1862" s="32" t="str">
        <f aca="false">IF(OR(C1862="",L1862=""),"",IF(C1862=L1862,"同一","変更"))</f>
        <v/>
      </c>
      <c r="N1862" s="29"/>
      <c r="O1862" s="30"/>
      <c r="P1862" s="29"/>
      <c r="Q1862" s="31"/>
      <c r="R1862" s="29"/>
      <c r="S1862" s="29"/>
      <c r="T1862" s="30"/>
      <c r="U1862" s="47" t="str">
        <f aca="false">IF(AND(B1862&lt;&gt;"",B1862=SW別シート!$C$3),COUNTIF(B$5:B1862,B1862),"")</f>
        <v/>
      </c>
      <c r="V1862" s="47" t="n">
        <f aca="false">V1861+IF(OR(O1862&lt;&gt;"",W1862&lt;&gt;""),1,0)</f>
        <v>3</v>
      </c>
      <c r="W1862" s="29"/>
    </row>
    <row r="1863" customFormat="false" ht="15" hidden="false" customHeight="false" outlineLevel="0" collapsed="false">
      <c r="A1863" s="32" t="str">
        <f aca="false">IF(B1863="","",ROW()-7)</f>
        <v/>
      </c>
      <c r="B1863" s="30"/>
      <c r="C1863" s="29"/>
      <c r="D1863" s="29"/>
      <c r="E1863" s="29"/>
      <c r="F1863" s="30"/>
      <c r="G1863" s="29"/>
      <c r="H1863" s="30"/>
      <c r="I1863" s="29"/>
      <c r="J1863" s="30"/>
      <c r="K1863" s="30"/>
      <c r="L1863" s="29"/>
      <c r="M1863" s="32" t="str">
        <f aca="false">IF(OR(C1863="",L1863=""),"",IF(C1863=L1863,"同一","変更"))</f>
        <v/>
      </c>
      <c r="N1863" s="29"/>
      <c r="O1863" s="30"/>
      <c r="P1863" s="29"/>
      <c r="Q1863" s="31"/>
      <c r="R1863" s="29"/>
      <c r="S1863" s="29"/>
      <c r="T1863" s="30"/>
      <c r="U1863" s="47" t="str">
        <f aca="false">IF(AND(B1863&lt;&gt;"",B1863=SW別シート!$C$3),COUNTIF(B$5:B1863,B1863),"")</f>
        <v/>
      </c>
      <c r="V1863" s="47" t="n">
        <f aca="false">V1862+IF(OR(O1863&lt;&gt;"",W1863&lt;&gt;""),1,0)</f>
        <v>3</v>
      </c>
      <c r="W1863" s="29"/>
    </row>
    <row r="1864" customFormat="false" ht="15" hidden="false" customHeight="false" outlineLevel="0" collapsed="false">
      <c r="A1864" s="32" t="str">
        <f aca="false">IF(B1864="","",ROW()-7)</f>
        <v/>
      </c>
      <c r="B1864" s="30"/>
      <c r="C1864" s="29"/>
      <c r="D1864" s="29"/>
      <c r="E1864" s="29"/>
      <c r="F1864" s="30"/>
      <c r="G1864" s="29"/>
      <c r="H1864" s="30"/>
      <c r="I1864" s="29"/>
      <c r="J1864" s="30"/>
      <c r="K1864" s="30"/>
      <c r="L1864" s="29"/>
      <c r="M1864" s="32" t="str">
        <f aca="false">IF(OR(C1864="",L1864=""),"",IF(C1864=L1864,"同一","変更"))</f>
        <v/>
      </c>
      <c r="N1864" s="29"/>
      <c r="O1864" s="30"/>
      <c r="P1864" s="29"/>
      <c r="Q1864" s="31"/>
      <c r="R1864" s="29"/>
      <c r="S1864" s="29"/>
      <c r="T1864" s="30"/>
      <c r="U1864" s="47" t="str">
        <f aca="false">IF(AND(B1864&lt;&gt;"",B1864=SW別シート!$C$3),COUNTIF(B$5:B1864,B1864),"")</f>
        <v/>
      </c>
      <c r="V1864" s="47" t="n">
        <f aca="false">V1863+IF(OR(O1864&lt;&gt;"",W1864&lt;&gt;""),1,0)</f>
        <v>3</v>
      </c>
      <c r="W1864" s="29"/>
    </row>
    <row r="1865" customFormat="false" ht="15" hidden="false" customHeight="false" outlineLevel="0" collapsed="false">
      <c r="A1865" s="32" t="str">
        <f aca="false">IF(B1865="","",ROW()-7)</f>
        <v/>
      </c>
      <c r="B1865" s="30"/>
      <c r="C1865" s="29"/>
      <c r="D1865" s="29"/>
      <c r="E1865" s="29"/>
      <c r="F1865" s="30"/>
      <c r="G1865" s="29"/>
      <c r="H1865" s="30"/>
      <c r="I1865" s="29"/>
      <c r="J1865" s="30"/>
      <c r="K1865" s="30"/>
      <c r="L1865" s="29"/>
      <c r="M1865" s="32" t="str">
        <f aca="false">IF(OR(C1865="",L1865=""),"",IF(C1865=L1865,"同一","変更"))</f>
        <v/>
      </c>
      <c r="N1865" s="29"/>
      <c r="O1865" s="30"/>
      <c r="P1865" s="29"/>
      <c r="Q1865" s="31"/>
      <c r="R1865" s="29"/>
      <c r="S1865" s="29"/>
      <c r="T1865" s="30"/>
      <c r="U1865" s="47" t="str">
        <f aca="false">IF(AND(B1865&lt;&gt;"",B1865=SW別シート!$C$3),COUNTIF(B$5:B1865,B1865),"")</f>
        <v/>
      </c>
      <c r="V1865" s="47" t="n">
        <f aca="false">V1864+IF(OR(O1865&lt;&gt;"",W1865&lt;&gt;""),1,0)</f>
        <v>3</v>
      </c>
      <c r="W1865" s="29"/>
    </row>
    <row r="1866" customFormat="false" ht="15" hidden="false" customHeight="false" outlineLevel="0" collapsed="false">
      <c r="A1866" s="32" t="str">
        <f aca="false">IF(B1866="","",ROW()-7)</f>
        <v/>
      </c>
      <c r="B1866" s="30"/>
      <c r="C1866" s="29"/>
      <c r="D1866" s="29"/>
      <c r="E1866" s="29"/>
      <c r="F1866" s="30"/>
      <c r="G1866" s="29"/>
      <c r="H1866" s="30"/>
      <c r="I1866" s="29"/>
      <c r="J1866" s="30"/>
      <c r="K1866" s="30"/>
      <c r="L1866" s="29"/>
      <c r="M1866" s="32" t="str">
        <f aca="false">IF(OR(C1866="",L1866=""),"",IF(C1866=L1866,"同一","変更"))</f>
        <v/>
      </c>
      <c r="N1866" s="29"/>
      <c r="O1866" s="30"/>
      <c r="P1866" s="29"/>
      <c r="Q1866" s="31"/>
      <c r="R1866" s="29"/>
      <c r="S1866" s="29"/>
      <c r="T1866" s="30"/>
      <c r="U1866" s="47" t="str">
        <f aca="false">IF(AND(B1866&lt;&gt;"",B1866=SW別シート!$C$3),COUNTIF(B$5:B1866,B1866),"")</f>
        <v/>
      </c>
      <c r="V1866" s="47" t="n">
        <f aca="false">V1865+IF(OR(O1866&lt;&gt;"",W1866&lt;&gt;""),1,0)</f>
        <v>3</v>
      </c>
      <c r="W1866" s="29"/>
    </row>
    <row r="1867" customFormat="false" ht="15" hidden="false" customHeight="false" outlineLevel="0" collapsed="false">
      <c r="A1867" s="32" t="str">
        <f aca="false">IF(B1867="","",ROW()-7)</f>
        <v/>
      </c>
      <c r="B1867" s="30"/>
      <c r="C1867" s="29"/>
      <c r="D1867" s="29"/>
      <c r="E1867" s="29"/>
      <c r="F1867" s="30"/>
      <c r="G1867" s="29"/>
      <c r="H1867" s="30"/>
      <c r="I1867" s="29"/>
      <c r="J1867" s="30"/>
      <c r="K1867" s="30"/>
      <c r="L1867" s="29"/>
      <c r="M1867" s="32" t="str">
        <f aca="false">IF(OR(C1867="",L1867=""),"",IF(C1867=L1867,"同一","変更"))</f>
        <v/>
      </c>
      <c r="N1867" s="29"/>
      <c r="O1867" s="30"/>
      <c r="P1867" s="29"/>
      <c r="Q1867" s="31"/>
      <c r="R1867" s="29"/>
      <c r="S1867" s="29"/>
      <c r="T1867" s="30"/>
      <c r="U1867" s="47" t="str">
        <f aca="false">IF(AND(B1867&lt;&gt;"",B1867=SW別シート!$C$3),COUNTIF(B$5:B1867,B1867),"")</f>
        <v/>
      </c>
      <c r="V1867" s="47" t="n">
        <f aca="false">V1866+IF(OR(O1867&lt;&gt;"",W1867&lt;&gt;""),1,0)</f>
        <v>3</v>
      </c>
      <c r="W1867" s="29"/>
    </row>
    <row r="1868" customFormat="false" ht="15" hidden="false" customHeight="false" outlineLevel="0" collapsed="false">
      <c r="A1868" s="32" t="str">
        <f aca="false">IF(B1868="","",ROW()-7)</f>
        <v/>
      </c>
      <c r="B1868" s="30"/>
      <c r="C1868" s="29"/>
      <c r="D1868" s="29"/>
      <c r="E1868" s="29"/>
      <c r="F1868" s="30"/>
      <c r="G1868" s="29"/>
      <c r="H1868" s="30"/>
      <c r="I1868" s="29"/>
      <c r="J1868" s="30"/>
      <c r="K1868" s="30"/>
      <c r="L1868" s="29"/>
      <c r="M1868" s="32" t="str">
        <f aca="false">IF(OR(C1868="",L1868=""),"",IF(C1868=L1868,"同一","変更"))</f>
        <v/>
      </c>
      <c r="N1868" s="29"/>
      <c r="O1868" s="30"/>
      <c r="P1868" s="29"/>
      <c r="Q1868" s="31"/>
      <c r="R1868" s="29"/>
      <c r="S1868" s="29"/>
      <c r="T1868" s="30"/>
      <c r="U1868" s="47" t="str">
        <f aca="false">IF(AND(B1868&lt;&gt;"",B1868=SW別シート!$C$3),COUNTIF(B$5:B1868,B1868),"")</f>
        <v/>
      </c>
      <c r="V1868" s="47" t="n">
        <f aca="false">V1867+IF(OR(O1868&lt;&gt;"",W1868&lt;&gt;""),1,0)</f>
        <v>3</v>
      </c>
      <c r="W1868" s="29"/>
    </row>
    <row r="1869" customFormat="false" ht="15" hidden="false" customHeight="false" outlineLevel="0" collapsed="false">
      <c r="A1869" s="32" t="str">
        <f aca="false">IF(B1869="","",ROW()-7)</f>
        <v/>
      </c>
      <c r="B1869" s="30"/>
      <c r="C1869" s="29"/>
      <c r="D1869" s="29"/>
      <c r="E1869" s="29"/>
      <c r="F1869" s="30"/>
      <c r="G1869" s="29"/>
      <c r="H1869" s="30"/>
      <c r="I1869" s="29"/>
      <c r="J1869" s="30"/>
      <c r="K1869" s="30"/>
      <c r="L1869" s="29"/>
      <c r="M1869" s="32" t="str">
        <f aca="false">IF(OR(C1869="",L1869=""),"",IF(C1869=L1869,"同一","変更"))</f>
        <v/>
      </c>
      <c r="N1869" s="29"/>
      <c r="O1869" s="30"/>
      <c r="P1869" s="29"/>
      <c r="Q1869" s="31"/>
      <c r="R1869" s="29"/>
      <c r="S1869" s="29"/>
      <c r="T1869" s="30"/>
      <c r="U1869" s="47" t="str">
        <f aca="false">IF(AND(B1869&lt;&gt;"",B1869=SW別シート!$C$3),COUNTIF(B$5:B1869,B1869),"")</f>
        <v/>
      </c>
      <c r="V1869" s="47" t="n">
        <f aca="false">V1868+IF(OR(O1869&lt;&gt;"",W1869&lt;&gt;""),1,0)</f>
        <v>3</v>
      </c>
      <c r="W1869" s="29"/>
    </row>
    <row r="1870" customFormat="false" ht="15" hidden="false" customHeight="false" outlineLevel="0" collapsed="false">
      <c r="A1870" s="32" t="str">
        <f aca="false">IF(B1870="","",ROW()-7)</f>
        <v/>
      </c>
      <c r="B1870" s="30"/>
      <c r="C1870" s="29"/>
      <c r="D1870" s="29"/>
      <c r="E1870" s="29"/>
      <c r="F1870" s="30"/>
      <c r="G1870" s="29"/>
      <c r="H1870" s="30"/>
      <c r="I1870" s="29"/>
      <c r="J1870" s="30"/>
      <c r="K1870" s="30"/>
      <c r="L1870" s="29"/>
      <c r="M1870" s="32" t="str">
        <f aca="false">IF(OR(C1870="",L1870=""),"",IF(C1870=L1870,"同一","変更"))</f>
        <v/>
      </c>
      <c r="N1870" s="29"/>
      <c r="O1870" s="30"/>
      <c r="P1870" s="29"/>
      <c r="Q1870" s="31"/>
      <c r="R1870" s="29"/>
      <c r="S1870" s="29"/>
      <c r="T1870" s="30"/>
      <c r="U1870" s="47" t="str">
        <f aca="false">IF(AND(B1870&lt;&gt;"",B1870=SW別シート!$C$3),COUNTIF(B$5:B1870,B1870),"")</f>
        <v/>
      </c>
      <c r="V1870" s="47" t="n">
        <f aca="false">V1869+IF(OR(O1870&lt;&gt;"",W1870&lt;&gt;""),1,0)</f>
        <v>3</v>
      </c>
      <c r="W1870" s="29"/>
    </row>
    <row r="1871" customFormat="false" ht="15" hidden="false" customHeight="false" outlineLevel="0" collapsed="false">
      <c r="A1871" s="32" t="str">
        <f aca="false">IF(B1871="","",ROW()-7)</f>
        <v/>
      </c>
      <c r="B1871" s="30"/>
      <c r="C1871" s="29"/>
      <c r="D1871" s="29"/>
      <c r="E1871" s="29"/>
      <c r="F1871" s="30"/>
      <c r="G1871" s="29"/>
      <c r="H1871" s="30"/>
      <c r="I1871" s="29"/>
      <c r="J1871" s="30"/>
      <c r="K1871" s="30"/>
      <c r="L1871" s="29"/>
      <c r="M1871" s="32" t="str">
        <f aca="false">IF(OR(C1871="",L1871=""),"",IF(C1871=L1871,"同一","変更"))</f>
        <v/>
      </c>
      <c r="N1871" s="29"/>
      <c r="O1871" s="30"/>
      <c r="P1871" s="29"/>
      <c r="Q1871" s="31"/>
      <c r="R1871" s="29"/>
      <c r="S1871" s="29"/>
      <c r="T1871" s="30"/>
      <c r="U1871" s="47" t="str">
        <f aca="false">IF(AND(B1871&lt;&gt;"",B1871=SW別シート!$C$3),COUNTIF(B$5:B1871,B1871),"")</f>
        <v/>
      </c>
      <c r="V1871" s="47" t="n">
        <f aca="false">V1870+IF(OR(O1871&lt;&gt;"",W1871&lt;&gt;""),1,0)</f>
        <v>3</v>
      </c>
      <c r="W1871" s="29"/>
    </row>
    <row r="1872" customFormat="false" ht="15" hidden="false" customHeight="false" outlineLevel="0" collapsed="false">
      <c r="A1872" s="32" t="str">
        <f aca="false">IF(B1872="","",ROW()-7)</f>
        <v/>
      </c>
      <c r="B1872" s="30"/>
      <c r="C1872" s="29"/>
      <c r="D1872" s="29"/>
      <c r="E1872" s="29"/>
      <c r="F1872" s="30"/>
      <c r="G1872" s="29"/>
      <c r="H1872" s="30"/>
      <c r="I1872" s="29"/>
      <c r="J1872" s="30"/>
      <c r="K1872" s="30"/>
      <c r="L1872" s="29"/>
      <c r="M1872" s="32" t="str">
        <f aca="false">IF(OR(C1872="",L1872=""),"",IF(C1872=L1872,"同一","変更"))</f>
        <v/>
      </c>
      <c r="N1872" s="29"/>
      <c r="O1872" s="30"/>
      <c r="P1872" s="29"/>
      <c r="Q1872" s="31"/>
      <c r="R1872" s="29"/>
      <c r="S1872" s="29"/>
      <c r="T1872" s="30"/>
      <c r="U1872" s="47" t="str">
        <f aca="false">IF(AND(B1872&lt;&gt;"",B1872=SW別シート!$C$3),COUNTIF(B$5:B1872,B1872),"")</f>
        <v/>
      </c>
      <c r="V1872" s="47" t="n">
        <f aca="false">V1871+IF(OR(O1872&lt;&gt;"",W1872&lt;&gt;""),1,0)</f>
        <v>3</v>
      </c>
      <c r="W1872" s="29"/>
    </row>
    <row r="1873" customFormat="false" ht="15" hidden="false" customHeight="false" outlineLevel="0" collapsed="false">
      <c r="A1873" s="32" t="str">
        <f aca="false">IF(B1873="","",ROW()-7)</f>
        <v/>
      </c>
      <c r="B1873" s="30"/>
      <c r="C1873" s="29"/>
      <c r="D1873" s="29"/>
      <c r="E1873" s="29"/>
      <c r="F1873" s="30"/>
      <c r="G1873" s="29"/>
      <c r="H1873" s="30"/>
      <c r="I1873" s="29"/>
      <c r="J1873" s="30"/>
      <c r="K1873" s="30"/>
      <c r="L1873" s="29"/>
      <c r="M1873" s="32" t="str">
        <f aca="false">IF(OR(C1873="",L1873=""),"",IF(C1873=L1873,"同一","変更"))</f>
        <v/>
      </c>
      <c r="N1873" s="29"/>
      <c r="O1873" s="30"/>
      <c r="P1873" s="29"/>
      <c r="Q1873" s="31"/>
      <c r="R1873" s="29"/>
      <c r="S1873" s="29"/>
      <c r="T1873" s="30"/>
      <c r="U1873" s="47" t="str">
        <f aca="false">IF(AND(B1873&lt;&gt;"",B1873=SW別シート!$C$3),COUNTIF(B$5:B1873,B1873),"")</f>
        <v/>
      </c>
      <c r="V1873" s="47" t="n">
        <f aca="false">V1872+IF(OR(O1873&lt;&gt;"",W1873&lt;&gt;""),1,0)</f>
        <v>3</v>
      </c>
      <c r="W1873" s="29"/>
    </row>
    <row r="1874" customFormat="false" ht="15" hidden="false" customHeight="false" outlineLevel="0" collapsed="false">
      <c r="A1874" s="32" t="str">
        <f aca="false">IF(B1874="","",ROW()-7)</f>
        <v/>
      </c>
      <c r="B1874" s="30"/>
      <c r="C1874" s="29"/>
      <c r="D1874" s="29"/>
      <c r="E1874" s="29"/>
      <c r="F1874" s="30"/>
      <c r="G1874" s="29"/>
      <c r="H1874" s="30"/>
      <c r="I1874" s="29"/>
      <c r="J1874" s="30"/>
      <c r="K1874" s="30"/>
      <c r="L1874" s="29"/>
      <c r="M1874" s="32" t="str">
        <f aca="false">IF(OR(C1874="",L1874=""),"",IF(C1874=L1874,"同一","変更"))</f>
        <v/>
      </c>
      <c r="N1874" s="29"/>
      <c r="O1874" s="30"/>
      <c r="P1874" s="29"/>
      <c r="Q1874" s="31"/>
      <c r="R1874" s="29"/>
      <c r="S1874" s="29"/>
      <c r="T1874" s="30"/>
      <c r="U1874" s="47" t="str">
        <f aca="false">IF(AND(B1874&lt;&gt;"",B1874=SW別シート!$C$3),COUNTIF(B$5:B1874,B1874),"")</f>
        <v/>
      </c>
      <c r="V1874" s="47" t="n">
        <f aca="false">V1873+IF(OR(O1874&lt;&gt;"",W1874&lt;&gt;""),1,0)</f>
        <v>3</v>
      </c>
      <c r="W1874" s="29"/>
    </row>
    <row r="1875" customFormat="false" ht="15" hidden="false" customHeight="false" outlineLevel="0" collapsed="false">
      <c r="A1875" s="32" t="str">
        <f aca="false">IF(B1875="","",ROW()-7)</f>
        <v/>
      </c>
      <c r="B1875" s="30"/>
      <c r="C1875" s="29"/>
      <c r="D1875" s="29"/>
      <c r="E1875" s="29"/>
      <c r="F1875" s="30"/>
      <c r="G1875" s="29"/>
      <c r="H1875" s="30"/>
      <c r="I1875" s="29"/>
      <c r="J1875" s="30"/>
      <c r="K1875" s="30"/>
      <c r="L1875" s="29"/>
      <c r="M1875" s="32" t="str">
        <f aca="false">IF(OR(C1875="",L1875=""),"",IF(C1875=L1875,"同一","変更"))</f>
        <v/>
      </c>
      <c r="N1875" s="29"/>
      <c r="O1875" s="30"/>
      <c r="P1875" s="29"/>
      <c r="Q1875" s="31"/>
      <c r="R1875" s="29"/>
      <c r="S1875" s="29"/>
      <c r="T1875" s="30"/>
      <c r="U1875" s="47" t="str">
        <f aca="false">IF(AND(B1875&lt;&gt;"",B1875=SW別シート!$C$3),COUNTIF(B$5:B1875,B1875),"")</f>
        <v/>
      </c>
      <c r="V1875" s="47" t="n">
        <f aca="false">V1874+IF(OR(O1875&lt;&gt;"",W1875&lt;&gt;""),1,0)</f>
        <v>3</v>
      </c>
      <c r="W1875" s="29"/>
    </row>
    <row r="1876" customFormat="false" ht="15" hidden="false" customHeight="false" outlineLevel="0" collapsed="false">
      <c r="A1876" s="32" t="str">
        <f aca="false">IF(B1876="","",ROW()-7)</f>
        <v/>
      </c>
      <c r="B1876" s="30"/>
      <c r="C1876" s="29"/>
      <c r="D1876" s="29"/>
      <c r="E1876" s="29"/>
      <c r="F1876" s="30"/>
      <c r="G1876" s="29"/>
      <c r="H1876" s="30"/>
      <c r="I1876" s="29"/>
      <c r="J1876" s="30"/>
      <c r="K1876" s="30"/>
      <c r="L1876" s="29"/>
      <c r="M1876" s="32" t="str">
        <f aca="false">IF(OR(C1876="",L1876=""),"",IF(C1876=L1876,"同一","変更"))</f>
        <v/>
      </c>
      <c r="N1876" s="29"/>
      <c r="O1876" s="30"/>
      <c r="P1876" s="29"/>
      <c r="Q1876" s="31"/>
      <c r="R1876" s="29"/>
      <c r="S1876" s="29"/>
      <c r="T1876" s="30"/>
      <c r="U1876" s="47" t="str">
        <f aca="false">IF(AND(B1876&lt;&gt;"",B1876=SW別シート!$C$3),COUNTIF(B$5:B1876,B1876),"")</f>
        <v/>
      </c>
      <c r="V1876" s="47" t="n">
        <f aca="false">V1875+IF(OR(O1876&lt;&gt;"",W1876&lt;&gt;""),1,0)</f>
        <v>3</v>
      </c>
      <c r="W1876" s="29"/>
    </row>
    <row r="1877" customFormat="false" ht="15" hidden="false" customHeight="false" outlineLevel="0" collapsed="false">
      <c r="A1877" s="32" t="str">
        <f aca="false">IF(B1877="","",ROW()-7)</f>
        <v/>
      </c>
      <c r="B1877" s="30"/>
      <c r="C1877" s="29"/>
      <c r="D1877" s="29"/>
      <c r="E1877" s="29"/>
      <c r="F1877" s="30"/>
      <c r="G1877" s="29"/>
      <c r="H1877" s="30"/>
      <c r="I1877" s="29"/>
      <c r="J1877" s="30"/>
      <c r="K1877" s="30"/>
      <c r="L1877" s="29"/>
      <c r="M1877" s="32" t="str">
        <f aca="false">IF(OR(C1877="",L1877=""),"",IF(C1877=L1877,"同一","変更"))</f>
        <v/>
      </c>
      <c r="N1877" s="29"/>
      <c r="O1877" s="30"/>
      <c r="P1877" s="29"/>
      <c r="Q1877" s="31"/>
      <c r="R1877" s="29"/>
      <c r="S1877" s="29"/>
      <c r="T1877" s="30"/>
      <c r="U1877" s="47" t="str">
        <f aca="false">IF(AND(B1877&lt;&gt;"",B1877=SW別シート!$C$3),COUNTIF(B$5:B1877,B1877),"")</f>
        <v/>
      </c>
      <c r="V1877" s="47" t="n">
        <f aca="false">V1876+IF(OR(O1877&lt;&gt;"",W1877&lt;&gt;""),1,0)</f>
        <v>3</v>
      </c>
      <c r="W1877" s="29"/>
    </row>
    <row r="1878" customFormat="false" ht="15" hidden="false" customHeight="false" outlineLevel="0" collapsed="false">
      <c r="A1878" s="32" t="str">
        <f aca="false">IF(B1878="","",ROW()-7)</f>
        <v/>
      </c>
      <c r="B1878" s="30"/>
      <c r="C1878" s="29"/>
      <c r="D1878" s="29"/>
      <c r="E1878" s="29"/>
      <c r="F1878" s="30"/>
      <c r="G1878" s="29"/>
      <c r="H1878" s="30"/>
      <c r="I1878" s="29"/>
      <c r="J1878" s="30"/>
      <c r="K1878" s="30"/>
      <c r="L1878" s="29"/>
      <c r="M1878" s="32" t="str">
        <f aca="false">IF(OR(C1878="",L1878=""),"",IF(C1878=L1878,"同一","変更"))</f>
        <v/>
      </c>
      <c r="N1878" s="29"/>
      <c r="O1878" s="30"/>
      <c r="P1878" s="29"/>
      <c r="Q1878" s="31"/>
      <c r="R1878" s="29"/>
      <c r="S1878" s="29"/>
      <c r="T1878" s="30"/>
      <c r="U1878" s="47" t="str">
        <f aca="false">IF(AND(B1878&lt;&gt;"",B1878=SW別シート!$C$3),COUNTIF(B$5:B1878,B1878),"")</f>
        <v/>
      </c>
      <c r="V1878" s="47" t="n">
        <f aca="false">V1877+IF(OR(O1878&lt;&gt;"",W1878&lt;&gt;""),1,0)</f>
        <v>3</v>
      </c>
      <c r="W1878" s="29"/>
    </row>
    <row r="1879" customFormat="false" ht="15" hidden="false" customHeight="false" outlineLevel="0" collapsed="false">
      <c r="A1879" s="32" t="str">
        <f aca="false">IF(B1879="","",ROW()-7)</f>
        <v/>
      </c>
      <c r="B1879" s="30"/>
      <c r="C1879" s="29"/>
      <c r="D1879" s="29"/>
      <c r="E1879" s="29"/>
      <c r="F1879" s="30"/>
      <c r="G1879" s="29"/>
      <c r="H1879" s="30"/>
      <c r="I1879" s="29"/>
      <c r="J1879" s="30"/>
      <c r="K1879" s="30"/>
      <c r="L1879" s="29"/>
      <c r="M1879" s="32" t="str">
        <f aca="false">IF(OR(C1879="",L1879=""),"",IF(C1879=L1879,"同一","変更"))</f>
        <v/>
      </c>
      <c r="N1879" s="29"/>
      <c r="O1879" s="30"/>
      <c r="P1879" s="29"/>
      <c r="Q1879" s="31"/>
      <c r="R1879" s="29"/>
      <c r="S1879" s="29"/>
      <c r="T1879" s="30"/>
      <c r="U1879" s="47" t="str">
        <f aca="false">IF(AND(B1879&lt;&gt;"",B1879=SW別シート!$C$3),COUNTIF(B$5:B1879,B1879),"")</f>
        <v/>
      </c>
      <c r="V1879" s="47" t="n">
        <f aca="false">V1878+IF(OR(O1879&lt;&gt;"",W1879&lt;&gt;""),1,0)</f>
        <v>3</v>
      </c>
      <c r="W1879" s="29"/>
    </row>
    <row r="1880" customFormat="false" ht="15" hidden="false" customHeight="false" outlineLevel="0" collapsed="false">
      <c r="A1880" s="32" t="str">
        <f aca="false">IF(B1880="","",ROW()-7)</f>
        <v/>
      </c>
      <c r="B1880" s="30"/>
      <c r="C1880" s="29"/>
      <c r="D1880" s="29"/>
      <c r="E1880" s="29"/>
      <c r="F1880" s="30"/>
      <c r="G1880" s="29"/>
      <c r="H1880" s="30"/>
      <c r="I1880" s="29"/>
      <c r="J1880" s="30"/>
      <c r="K1880" s="30"/>
      <c r="L1880" s="29"/>
      <c r="M1880" s="32" t="str">
        <f aca="false">IF(OR(C1880="",L1880=""),"",IF(C1880=L1880,"同一","変更"))</f>
        <v/>
      </c>
      <c r="N1880" s="29"/>
      <c r="O1880" s="30"/>
      <c r="P1880" s="29"/>
      <c r="Q1880" s="31"/>
      <c r="R1880" s="29"/>
      <c r="S1880" s="29"/>
      <c r="T1880" s="30"/>
      <c r="U1880" s="47" t="str">
        <f aca="false">IF(AND(B1880&lt;&gt;"",B1880=SW別シート!$C$3),COUNTIF(B$5:B1880,B1880),"")</f>
        <v/>
      </c>
      <c r="V1880" s="47" t="n">
        <f aca="false">V1879+IF(OR(O1880&lt;&gt;"",W1880&lt;&gt;""),1,0)</f>
        <v>3</v>
      </c>
      <c r="W1880" s="29"/>
    </row>
    <row r="1881" customFormat="false" ht="15" hidden="false" customHeight="false" outlineLevel="0" collapsed="false">
      <c r="A1881" s="32" t="str">
        <f aca="false">IF(B1881="","",ROW()-7)</f>
        <v/>
      </c>
      <c r="B1881" s="30"/>
      <c r="C1881" s="29"/>
      <c r="D1881" s="29"/>
      <c r="E1881" s="29"/>
      <c r="F1881" s="30"/>
      <c r="G1881" s="29"/>
      <c r="H1881" s="30"/>
      <c r="I1881" s="29"/>
      <c r="J1881" s="30"/>
      <c r="K1881" s="30"/>
      <c r="L1881" s="29"/>
      <c r="M1881" s="32" t="str">
        <f aca="false">IF(OR(C1881="",L1881=""),"",IF(C1881=L1881,"同一","変更"))</f>
        <v/>
      </c>
      <c r="N1881" s="29"/>
      <c r="O1881" s="30"/>
      <c r="P1881" s="29"/>
      <c r="Q1881" s="31"/>
      <c r="R1881" s="29"/>
      <c r="S1881" s="29"/>
      <c r="T1881" s="30"/>
      <c r="U1881" s="47" t="str">
        <f aca="false">IF(AND(B1881&lt;&gt;"",B1881=SW別シート!$C$3),COUNTIF(B$5:B1881,B1881),"")</f>
        <v/>
      </c>
      <c r="V1881" s="47" t="n">
        <f aca="false">V1880+IF(OR(O1881&lt;&gt;"",W1881&lt;&gt;""),1,0)</f>
        <v>3</v>
      </c>
      <c r="W1881" s="29"/>
    </row>
    <row r="1882" customFormat="false" ht="15" hidden="false" customHeight="false" outlineLevel="0" collapsed="false">
      <c r="A1882" s="32" t="str">
        <f aca="false">IF(B1882="","",ROW()-7)</f>
        <v/>
      </c>
      <c r="B1882" s="30"/>
      <c r="C1882" s="29"/>
      <c r="D1882" s="29"/>
      <c r="E1882" s="29"/>
      <c r="F1882" s="30"/>
      <c r="G1882" s="29"/>
      <c r="H1882" s="30"/>
      <c r="I1882" s="29"/>
      <c r="J1882" s="30"/>
      <c r="K1882" s="30"/>
      <c r="L1882" s="29"/>
      <c r="M1882" s="32" t="str">
        <f aca="false">IF(OR(C1882="",L1882=""),"",IF(C1882=L1882,"同一","変更"))</f>
        <v/>
      </c>
      <c r="N1882" s="29"/>
      <c r="O1882" s="30"/>
      <c r="P1882" s="29"/>
      <c r="Q1882" s="31"/>
      <c r="R1882" s="29"/>
      <c r="S1882" s="29"/>
      <c r="T1882" s="30"/>
      <c r="U1882" s="47" t="str">
        <f aca="false">IF(AND(B1882&lt;&gt;"",B1882=SW別シート!$C$3),COUNTIF(B$5:B1882,B1882),"")</f>
        <v/>
      </c>
      <c r="V1882" s="47" t="n">
        <f aca="false">V1881+IF(OR(O1882&lt;&gt;"",W1882&lt;&gt;""),1,0)</f>
        <v>3</v>
      </c>
      <c r="W1882" s="29"/>
    </row>
    <row r="1883" customFormat="false" ht="15" hidden="false" customHeight="false" outlineLevel="0" collapsed="false">
      <c r="A1883" s="32" t="str">
        <f aca="false">IF(B1883="","",ROW()-7)</f>
        <v/>
      </c>
      <c r="B1883" s="30"/>
      <c r="C1883" s="29"/>
      <c r="D1883" s="29"/>
      <c r="E1883" s="29"/>
      <c r="F1883" s="30"/>
      <c r="G1883" s="29"/>
      <c r="H1883" s="30"/>
      <c r="I1883" s="29"/>
      <c r="J1883" s="30"/>
      <c r="K1883" s="30"/>
      <c r="L1883" s="29"/>
      <c r="M1883" s="32" t="str">
        <f aca="false">IF(OR(C1883="",L1883=""),"",IF(C1883=L1883,"同一","変更"))</f>
        <v/>
      </c>
      <c r="N1883" s="29"/>
      <c r="O1883" s="30"/>
      <c r="P1883" s="29"/>
      <c r="Q1883" s="31"/>
      <c r="R1883" s="29"/>
      <c r="S1883" s="29"/>
      <c r="T1883" s="30"/>
      <c r="U1883" s="47" t="str">
        <f aca="false">IF(AND(B1883&lt;&gt;"",B1883=SW別シート!$C$3),COUNTIF(B$5:B1883,B1883),"")</f>
        <v/>
      </c>
      <c r="V1883" s="47" t="n">
        <f aca="false">V1882+IF(OR(O1883&lt;&gt;"",W1883&lt;&gt;""),1,0)</f>
        <v>3</v>
      </c>
      <c r="W1883" s="29"/>
    </row>
    <row r="1884" customFormat="false" ht="15" hidden="false" customHeight="false" outlineLevel="0" collapsed="false">
      <c r="A1884" s="32" t="str">
        <f aca="false">IF(B1884="","",ROW()-7)</f>
        <v/>
      </c>
      <c r="B1884" s="30"/>
      <c r="C1884" s="29"/>
      <c r="D1884" s="29"/>
      <c r="E1884" s="29"/>
      <c r="F1884" s="30"/>
      <c r="G1884" s="29"/>
      <c r="H1884" s="30"/>
      <c r="I1884" s="29"/>
      <c r="J1884" s="30"/>
      <c r="K1884" s="30"/>
      <c r="L1884" s="29"/>
      <c r="M1884" s="32" t="str">
        <f aca="false">IF(OR(C1884="",L1884=""),"",IF(C1884=L1884,"同一","変更"))</f>
        <v/>
      </c>
      <c r="N1884" s="29"/>
      <c r="O1884" s="30"/>
      <c r="P1884" s="29"/>
      <c r="Q1884" s="31"/>
      <c r="R1884" s="29"/>
      <c r="S1884" s="29"/>
      <c r="T1884" s="30"/>
      <c r="U1884" s="47" t="str">
        <f aca="false">IF(AND(B1884&lt;&gt;"",B1884=SW別シート!$C$3),COUNTIF(B$5:B1884,B1884),"")</f>
        <v/>
      </c>
      <c r="V1884" s="47" t="n">
        <f aca="false">V1883+IF(OR(O1884&lt;&gt;"",W1884&lt;&gt;""),1,0)</f>
        <v>3</v>
      </c>
      <c r="W1884" s="29"/>
    </row>
    <row r="1885" customFormat="false" ht="15" hidden="false" customHeight="false" outlineLevel="0" collapsed="false">
      <c r="A1885" s="32" t="str">
        <f aca="false">IF(B1885="","",ROW()-7)</f>
        <v/>
      </c>
      <c r="B1885" s="30"/>
      <c r="C1885" s="29"/>
      <c r="D1885" s="29"/>
      <c r="E1885" s="29"/>
      <c r="F1885" s="30"/>
      <c r="G1885" s="29"/>
      <c r="H1885" s="30"/>
      <c r="I1885" s="29"/>
      <c r="J1885" s="30"/>
      <c r="K1885" s="30"/>
      <c r="L1885" s="29"/>
      <c r="M1885" s="32" t="str">
        <f aca="false">IF(OR(C1885="",L1885=""),"",IF(C1885=L1885,"同一","変更"))</f>
        <v/>
      </c>
      <c r="N1885" s="29"/>
      <c r="O1885" s="30"/>
      <c r="P1885" s="29"/>
      <c r="Q1885" s="31"/>
      <c r="R1885" s="29"/>
      <c r="S1885" s="29"/>
      <c r="T1885" s="30"/>
      <c r="U1885" s="47" t="str">
        <f aca="false">IF(AND(B1885&lt;&gt;"",B1885=SW別シート!$C$3),COUNTIF(B$5:B1885,B1885),"")</f>
        <v/>
      </c>
      <c r="V1885" s="47" t="n">
        <f aca="false">V1884+IF(OR(O1885&lt;&gt;"",W1885&lt;&gt;""),1,0)</f>
        <v>3</v>
      </c>
      <c r="W1885" s="29"/>
    </row>
    <row r="1886" customFormat="false" ht="15" hidden="false" customHeight="false" outlineLevel="0" collapsed="false">
      <c r="A1886" s="32" t="str">
        <f aca="false">IF(B1886="","",ROW()-7)</f>
        <v/>
      </c>
      <c r="B1886" s="30"/>
      <c r="C1886" s="29"/>
      <c r="D1886" s="29"/>
      <c r="E1886" s="29"/>
      <c r="F1886" s="30"/>
      <c r="G1886" s="29"/>
      <c r="H1886" s="30"/>
      <c r="I1886" s="29"/>
      <c r="J1886" s="30"/>
      <c r="K1886" s="30"/>
      <c r="L1886" s="29"/>
      <c r="M1886" s="32" t="str">
        <f aca="false">IF(OR(C1886="",L1886=""),"",IF(C1886=L1886,"同一","変更"))</f>
        <v/>
      </c>
      <c r="N1886" s="29"/>
      <c r="O1886" s="30"/>
      <c r="P1886" s="29"/>
      <c r="Q1886" s="31"/>
      <c r="R1886" s="29"/>
      <c r="S1886" s="29"/>
      <c r="T1886" s="30"/>
      <c r="U1886" s="47" t="str">
        <f aca="false">IF(AND(B1886&lt;&gt;"",B1886=SW別シート!$C$3),COUNTIF(B$5:B1886,B1886),"")</f>
        <v/>
      </c>
      <c r="V1886" s="47" t="n">
        <f aca="false">V1885+IF(OR(O1886&lt;&gt;"",W1886&lt;&gt;""),1,0)</f>
        <v>3</v>
      </c>
      <c r="W1886" s="29"/>
    </row>
    <row r="1887" customFormat="false" ht="15" hidden="false" customHeight="false" outlineLevel="0" collapsed="false">
      <c r="A1887" s="32" t="str">
        <f aca="false">IF(B1887="","",ROW()-7)</f>
        <v/>
      </c>
      <c r="B1887" s="30"/>
      <c r="C1887" s="29"/>
      <c r="D1887" s="29"/>
      <c r="E1887" s="29"/>
      <c r="F1887" s="30"/>
      <c r="G1887" s="29"/>
      <c r="H1887" s="30"/>
      <c r="I1887" s="29"/>
      <c r="J1887" s="30"/>
      <c r="K1887" s="30"/>
      <c r="L1887" s="29"/>
      <c r="M1887" s="32" t="str">
        <f aca="false">IF(OR(C1887="",L1887=""),"",IF(C1887=L1887,"同一","変更"))</f>
        <v/>
      </c>
      <c r="N1887" s="29"/>
      <c r="O1887" s="30"/>
      <c r="P1887" s="29"/>
      <c r="Q1887" s="31"/>
      <c r="R1887" s="29"/>
      <c r="S1887" s="29"/>
      <c r="T1887" s="30"/>
      <c r="U1887" s="47" t="str">
        <f aca="false">IF(AND(B1887&lt;&gt;"",B1887=SW別シート!$C$3),COUNTIF(B$5:B1887,B1887),"")</f>
        <v/>
      </c>
      <c r="V1887" s="47" t="n">
        <f aca="false">V1886+IF(OR(O1887&lt;&gt;"",W1887&lt;&gt;""),1,0)</f>
        <v>3</v>
      </c>
      <c r="W1887" s="29"/>
    </row>
    <row r="1888" customFormat="false" ht="15" hidden="false" customHeight="false" outlineLevel="0" collapsed="false">
      <c r="A1888" s="32" t="str">
        <f aca="false">IF(B1888="","",ROW()-7)</f>
        <v/>
      </c>
      <c r="B1888" s="30"/>
      <c r="C1888" s="29"/>
      <c r="D1888" s="29"/>
      <c r="E1888" s="29"/>
      <c r="F1888" s="30"/>
      <c r="G1888" s="29"/>
      <c r="H1888" s="30"/>
      <c r="I1888" s="29"/>
      <c r="J1888" s="30"/>
      <c r="K1888" s="30"/>
      <c r="L1888" s="29"/>
      <c r="M1888" s="32" t="str">
        <f aca="false">IF(OR(C1888="",L1888=""),"",IF(C1888=L1888,"同一","変更"))</f>
        <v/>
      </c>
      <c r="N1888" s="29"/>
      <c r="O1888" s="30"/>
      <c r="P1888" s="29"/>
      <c r="Q1888" s="31"/>
      <c r="R1888" s="29"/>
      <c r="S1888" s="29"/>
      <c r="T1888" s="30"/>
      <c r="U1888" s="47" t="str">
        <f aca="false">IF(AND(B1888&lt;&gt;"",B1888=SW別シート!$C$3),COUNTIF(B$5:B1888,B1888),"")</f>
        <v/>
      </c>
      <c r="V1888" s="47" t="n">
        <f aca="false">V1887+IF(OR(O1888&lt;&gt;"",W1888&lt;&gt;""),1,0)</f>
        <v>3</v>
      </c>
      <c r="W1888" s="29"/>
    </row>
    <row r="1889" customFormat="false" ht="15" hidden="false" customHeight="false" outlineLevel="0" collapsed="false">
      <c r="A1889" s="32" t="str">
        <f aca="false">IF(B1889="","",ROW()-7)</f>
        <v/>
      </c>
      <c r="B1889" s="30"/>
      <c r="C1889" s="29"/>
      <c r="D1889" s="29"/>
      <c r="E1889" s="29"/>
      <c r="F1889" s="30"/>
      <c r="G1889" s="29"/>
      <c r="H1889" s="30"/>
      <c r="I1889" s="29"/>
      <c r="J1889" s="30"/>
      <c r="K1889" s="30"/>
      <c r="L1889" s="29"/>
      <c r="M1889" s="32" t="str">
        <f aca="false">IF(OR(C1889="",L1889=""),"",IF(C1889=L1889,"同一","変更"))</f>
        <v/>
      </c>
      <c r="N1889" s="29"/>
      <c r="O1889" s="30"/>
      <c r="P1889" s="29"/>
      <c r="Q1889" s="31"/>
      <c r="R1889" s="29"/>
      <c r="S1889" s="29"/>
      <c r="T1889" s="30"/>
      <c r="U1889" s="47" t="str">
        <f aca="false">IF(AND(B1889&lt;&gt;"",B1889=SW別シート!$C$3),COUNTIF(B$5:B1889,B1889),"")</f>
        <v/>
      </c>
      <c r="V1889" s="47" t="n">
        <f aca="false">V1888+IF(OR(O1889&lt;&gt;"",W1889&lt;&gt;""),1,0)</f>
        <v>3</v>
      </c>
      <c r="W1889" s="29"/>
    </row>
    <row r="1890" customFormat="false" ht="15" hidden="false" customHeight="false" outlineLevel="0" collapsed="false">
      <c r="A1890" s="32" t="str">
        <f aca="false">IF(B1890="","",ROW()-7)</f>
        <v/>
      </c>
      <c r="B1890" s="30"/>
      <c r="C1890" s="29"/>
      <c r="D1890" s="29"/>
      <c r="E1890" s="29"/>
      <c r="F1890" s="30"/>
      <c r="G1890" s="29"/>
      <c r="H1890" s="30"/>
      <c r="I1890" s="29"/>
      <c r="J1890" s="30"/>
      <c r="K1890" s="30"/>
      <c r="L1890" s="29"/>
      <c r="M1890" s="32" t="str">
        <f aca="false">IF(OR(C1890="",L1890=""),"",IF(C1890=L1890,"同一","変更"))</f>
        <v/>
      </c>
      <c r="N1890" s="29"/>
      <c r="O1890" s="30"/>
      <c r="P1890" s="29"/>
      <c r="Q1890" s="31"/>
      <c r="R1890" s="29"/>
      <c r="S1890" s="29"/>
      <c r="T1890" s="30"/>
      <c r="U1890" s="47" t="str">
        <f aca="false">IF(AND(B1890&lt;&gt;"",B1890=SW別シート!$C$3),COUNTIF(B$5:B1890,B1890),"")</f>
        <v/>
      </c>
      <c r="V1890" s="47" t="n">
        <f aca="false">V1889+IF(OR(O1890&lt;&gt;"",W1890&lt;&gt;""),1,0)</f>
        <v>3</v>
      </c>
      <c r="W1890" s="29"/>
    </row>
    <row r="1891" customFormat="false" ht="15" hidden="false" customHeight="false" outlineLevel="0" collapsed="false">
      <c r="A1891" s="32" t="str">
        <f aca="false">IF(B1891="","",ROW()-7)</f>
        <v/>
      </c>
      <c r="B1891" s="30"/>
      <c r="C1891" s="29"/>
      <c r="D1891" s="29"/>
      <c r="E1891" s="29"/>
      <c r="F1891" s="30"/>
      <c r="G1891" s="29"/>
      <c r="H1891" s="30"/>
      <c r="I1891" s="29"/>
      <c r="J1891" s="30"/>
      <c r="K1891" s="30"/>
      <c r="L1891" s="29"/>
      <c r="M1891" s="32" t="str">
        <f aca="false">IF(OR(C1891="",L1891=""),"",IF(C1891=L1891,"同一","変更"))</f>
        <v/>
      </c>
      <c r="N1891" s="29"/>
      <c r="O1891" s="30"/>
      <c r="P1891" s="29"/>
      <c r="Q1891" s="31"/>
      <c r="R1891" s="29"/>
      <c r="S1891" s="29"/>
      <c r="T1891" s="30"/>
      <c r="U1891" s="47" t="str">
        <f aca="false">IF(AND(B1891&lt;&gt;"",B1891=SW別シート!$C$3),COUNTIF(B$5:B1891,B1891),"")</f>
        <v/>
      </c>
      <c r="V1891" s="47" t="n">
        <f aca="false">V1890+IF(OR(O1891&lt;&gt;"",W1891&lt;&gt;""),1,0)</f>
        <v>3</v>
      </c>
      <c r="W1891" s="29"/>
    </row>
    <row r="1892" customFormat="false" ht="15" hidden="false" customHeight="false" outlineLevel="0" collapsed="false">
      <c r="A1892" s="32" t="str">
        <f aca="false">IF(B1892="","",ROW()-7)</f>
        <v/>
      </c>
      <c r="B1892" s="30"/>
      <c r="C1892" s="29"/>
      <c r="D1892" s="29"/>
      <c r="E1892" s="29"/>
      <c r="F1892" s="30"/>
      <c r="G1892" s="29"/>
      <c r="H1892" s="30"/>
      <c r="I1892" s="29"/>
      <c r="J1892" s="30"/>
      <c r="K1892" s="30"/>
      <c r="L1892" s="29"/>
      <c r="M1892" s="32" t="str">
        <f aca="false">IF(OR(C1892="",L1892=""),"",IF(C1892=L1892,"同一","変更"))</f>
        <v/>
      </c>
      <c r="N1892" s="29"/>
      <c r="O1892" s="30"/>
      <c r="P1892" s="29"/>
      <c r="Q1892" s="31"/>
      <c r="R1892" s="29"/>
      <c r="S1892" s="29"/>
      <c r="T1892" s="30"/>
      <c r="U1892" s="47" t="str">
        <f aca="false">IF(AND(B1892&lt;&gt;"",B1892=SW別シート!$C$3),COUNTIF(B$5:B1892,B1892),"")</f>
        <v/>
      </c>
      <c r="V1892" s="47" t="n">
        <f aca="false">V1891+IF(OR(O1892&lt;&gt;"",W1892&lt;&gt;""),1,0)</f>
        <v>3</v>
      </c>
      <c r="W1892" s="29"/>
    </row>
    <row r="1893" customFormat="false" ht="15" hidden="false" customHeight="false" outlineLevel="0" collapsed="false">
      <c r="A1893" s="32" t="str">
        <f aca="false">IF(B1893="","",ROW()-7)</f>
        <v/>
      </c>
      <c r="B1893" s="30"/>
      <c r="C1893" s="29"/>
      <c r="D1893" s="29"/>
      <c r="E1893" s="29"/>
      <c r="F1893" s="30"/>
      <c r="G1893" s="29"/>
      <c r="H1893" s="30"/>
      <c r="I1893" s="29"/>
      <c r="J1893" s="30"/>
      <c r="K1893" s="30"/>
      <c r="L1893" s="29"/>
      <c r="M1893" s="32" t="str">
        <f aca="false">IF(OR(C1893="",L1893=""),"",IF(C1893=L1893,"同一","変更"))</f>
        <v/>
      </c>
      <c r="N1893" s="29"/>
      <c r="O1893" s="30"/>
      <c r="P1893" s="29"/>
      <c r="Q1893" s="31"/>
      <c r="R1893" s="29"/>
      <c r="S1893" s="29"/>
      <c r="T1893" s="30"/>
      <c r="U1893" s="47" t="str">
        <f aca="false">IF(AND(B1893&lt;&gt;"",B1893=SW別シート!$C$3),COUNTIF(B$5:B1893,B1893),"")</f>
        <v/>
      </c>
      <c r="V1893" s="47" t="n">
        <f aca="false">V1892+IF(OR(O1893&lt;&gt;"",W1893&lt;&gt;""),1,0)</f>
        <v>3</v>
      </c>
      <c r="W1893" s="29"/>
    </row>
    <row r="1894" customFormat="false" ht="15" hidden="false" customHeight="false" outlineLevel="0" collapsed="false">
      <c r="A1894" s="32" t="str">
        <f aca="false">IF(B1894="","",ROW()-7)</f>
        <v/>
      </c>
      <c r="B1894" s="30"/>
      <c r="C1894" s="29"/>
      <c r="D1894" s="29"/>
      <c r="E1894" s="29"/>
      <c r="F1894" s="30"/>
      <c r="G1894" s="29"/>
      <c r="H1894" s="30"/>
      <c r="I1894" s="29"/>
      <c r="J1894" s="30"/>
      <c r="K1894" s="30"/>
      <c r="L1894" s="29"/>
      <c r="M1894" s="32" t="str">
        <f aca="false">IF(OR(C1894="",L1894=""),"",IF(C1894=L1894,"同一","変更"))</f>
        <v/>
      </c>
      <c r="N1894" s="29"/>
      <c r="O1894" s="30"/>
      <c r="P1894" s="29"/>
      <c r="Q1894" s="31"/>
      <c r="R1894" s="29"/>
      <c r="S1894" s="29"/>
      <c r="T1894" s="30"/>
      <c r="U1894" s="47" t="str">
        <f aca="false">IF(AND(B1894&lt;&gt;"",B1894=SW別シート!$C$3),COUNTIF(B$5:B1894,B1894),"")</f>
        <v/>
      </c>
      <c r="V1894" s="47" t="n">
        <f aca="false">V1893+IF(OR(O1894&lt;&gt;"",W1894&lt;&gt;""),1,0)</f>
        <v>3</v>
      </c>
      <c r="W1894" s="29"/>
    </row>
    <row r="1895" customFormat="false" ht="15" hidden="false" customHeight="false" outlineLevel="0" collapsed="false">
      <c r="A1895" s="32" t="str">
        <f aca="false">IF(B1895="","",ROW()-7)</f>
        <v/>
      </c>
      <c r="B1895" s="30"/>
      <c r="C1895" s="29"/>
      <c r="D1895" s="29"/>
      <c r="E1895" s="29"/>
      <c r="F1895" s="30"/>
      <c r="G1895" s="29"/>
      <c r="H1895" s="30"/>
      <c r="I1895" s="29"/>
      <c r="J1895" s="30"/>
      <c r="K1895" s="30"/>
      <c r="L1895" s="29"/>
      <c r="M1895" s="32" t="str">
        <f aca="false">IF(OR(C1895="",L1895=""),"",IF(C1895=L1895,"同一","変更"))</f>
        <v/>
      </c>
      <c r="N1895" s="29"/>
      <c r="O1895" s="30"/>
      <c r="P1895" s="29"/>
      <c r="Q1895" s="31"/>
      <c r="R1895" s="29"/>
      <c r="S1895" s="29"/>
      <c r="T1895" s="30"/>
      <c r="U1895" s="47" t="str">
        <f aca="false">IF(AND(B1895&lt;&gt;"",B1895=SW別シート!$C$3),COUNTIF(B$5:B1895,B1895),"")</f>
        <v/>
      </c>
      <c r="V1895" s="47" t="n">
        <f aca="false">V1894+IF(OR(O1895&lt;&gt;"",W1895&lt;&gt;""),1,0)</f>
        <v>3</v>
      </c>
      <c r="W1895" s="29"/>
    </row>
    <row r="1896" customFormat="false" ht="15" hidden="false" customHeight="false" outlineLevel="0" collapsed="false">
      <c r="A1896" s="32" t="str">
        <f aca="false">IF(B1896="","",ROW()-7)</f>
        <v/>
      </c>
      <c r="B1896" s="30"/>
      <c r="C1896" s="29"/>
      <c r="D1896" s="29"/>
      <c r="E1896" s="29"/>
      <c r="F1896" s="30"/>
      <c r="G1896" s="29"/>
      <c r="H1896" s="30"/>
      <c r="I1896" s="29"/>
      <c r="J1896" s="30"/>
      <c r="K1896" s="30"/>
      <c r="L1896" s="29"/>
      <c r="M1896" s="32" t="str">
        <f aca="false">IF(OR(C1896="",L1896=""),"",IF(C1896=L1896,"同一","変更"))</f>
        <v/>
      </c>
      <c r="N1896" s="29"/>
      <c r="O1896" s="30"/>
      <c r="P1896" s="29"/>
      <c r="Q1896" s="31"/>
      <c r="R1896" s="29"/>
      <c r="S1896" s="29"/>
      <c r="T1896" s="30"/>
      <c r="U1896" s="47" t="str">
        <f aca="false">IF(AND(B1896&lt;&gt;"",B1896=SW別シート!$C$3),COUNTIF(B$5:B1896,B1896),"")</f>
        <v/>
      </c>
      <c r="V1896" s="47" t="n">
        <f aca="false">V1895+IF(OR(O1896&lt;&gt;"",W1896&lt;&gt;""),1,0)</f>
        <v>3</v>
      </c>
      <c r="W1896" s="29"/>
    </row>
    <row r="1897" customFormat="false" ht="15" hidden="false" customHeight="false" outlineLevel="0" collapsed="false">
      <c r="A1897" s="32" t="str">
        <f aca="false">IF(B1897="","",ROW()-7)</f>
        <v/>
      </c>
      <c r="B1897" s="30"/>
      <c r="C1897" s="29"/>
      <c r="D1897" s="29"/>
      <c r="E1897" s="29"/>
      <c r="F1897" s="30"/>
      <c r="G1897" s="29"/>
      <c r="H1897" s="30"/>
      <c r="I1897" s="29"/>
      <c r="J1897" s="30"/>
      <c r="K1897" s="30"/>
      <c r="L1897" s="29"/>
      <c r="M1897" s="32" t="str">
        <f aca="false">IF(OR(C1897="",L1897=""),"",IF(C1897=L1897,"同一","変更"))</f>
        <v/>
      </c>
      <c r="N1897" s="29"/>
      <c r="O1897" s="30"/>
      <c r="P1897" s="29"/>
      <c r="Q1897" s="31"/>
      <c r="R1897" s="29"/>
      <c r="S1897" s="29"/>
      <c r="T1897" s="30"/>
      <c r="U1897" s="47" t="str">
        <f aca="false">IF(AND(B1897&lt;&gt;"",B1897=SW別シート!$C$3),COUNTIF(B$5:B1897,B1897),"")</f>
        <v/>
      </c>
      <c r="V1897" s="47" t="n">
        <f aca="false">V1896+IF(OR(O1897&lt;&gt;"",W1897&lt;&gt;""),1,0)</f>
        <v>3</v>
      </c>
      <c r="W1897" s="29"/>
    </row>
    <row r="1898" customFormat="false" ht="15" hidden="false" customHeight="false" outlineLevel="0" collapsed="false">
      <c r="A1898" s="32" t="str">
        <f aca="false">IF(B1898="","",ROW()-7)</f>
        <v/>
      </c>
      <c r="B1898" s="30"/>
      <c r="C1898" s="29"/>
      <c r="D1898" s="29"/>
      <c r="E1898" s="29"/>
      <c r="F1898" s="30"/>
      <c r="G1898" s="29"/>
      <c r="H1898" s="30"/>
      <c r="I1898" s="29"/>
      <c r="J1898" s="30"/>
      <c r="K1898" s="30"/>
      <c r="L1898" s="29"/>
      <c r="M1898" s="32" t="str">
        <f aca="false">IF(OR(C1898="",L1898=""),"",IF(C1898=L1898,"同一","変更"))</f>
        <v/>
      </c>
      <c r="N1898" s="29"/>
      <c r="O1898" s="30"/>
      <c r="P1898" s="29"/>
      <c r="Q1898" s="31"/>
      <c r="R1898" s="29"/>
      <c r="S1898" s="29"/>
      <c r="T1898" s="30"/>
      <c r="U1898" s="47" t="str">
        <f aca="false">IF(AND(B1898&lt;&gt;"",B1898=SW別シート!$C$3),COUNTIF(B$5:B1898,B1898),"")</f>
        <v/>
      </c>
      <c r="V1898" s="47" t="n">
        <f aca="false">V1897+IF(OR(O1898&lt;&gt;"",W1898&lt;&gt;""),1,0)</f>
        <v>3</v>
      </c>
      <c r="W1898" s="29"/>
    </row>
    <row r="1899" customFormat="false" ht="15" hidden="false" customHeight="false" outlineLevel="0" collapsed="false">
      <c r="A1899" s="32" t="str">
        <f aca="false">IF(B1899="","",ROW()-7)</f>
        <v/>
      </c>
      <c r="B1899" s="30"/>
      <c r="C1899" s="29"/>
      <c r="D1899" s="29"/>
      <c r="E1899" s="29"/>
      <c r="F1899" s="30"/>
      <c r="G1899" s="29"/>
      <c r="H1899" s="30"/>
      <c r="I1899" s="29"/>
      <c r="J1899" s="30"/>
      <c r="K1899" s="30"/>
      <c r="L1899" s="29"/>
      <c r="M1899" s="32" t="str">
        <f aca="false">IF(OR(C1899="",L1899=""),"",IF(C1899=L1899,"同一","変更"))</f>
        <v/>
      </c>
      <c r="N1899" s="29"/>
      <c r="O1899" s="30"/>
      <c r="P1899" s="29"/>
      <c r="Q1899" s="31"/>
      <c r="R1899" s="29"/>
      <c r="S1899" s="29"/>
      <c r="T1899" s="30"/>
      <c r="U1899" s="47" t="str">
        <f aca="false">IF(AND(B1899&lt;&gt;"",B1899=SW別シート!$C$3),COUNTIF(B$5:B1899,B1899),"")</f>
        <v/>
      </c>
      <c r="V1899" s="47" t="n">
        <f aca="false">V1898+IF(OR(O1899&lt;&gt;"",W1899&lt;&gt;""),1,0)</f>
        <v>3</v>
      </c>
      <c r="W1899" s="29"/>
    </row>
    <row r="1900" customFormat="false" ht="15" hidden="false" customHeight="false" outlineLevel="0" collapsed="false">
      <c r="A1900" s="32" t="str">
        <f aca="false">IF(B1900="","",ROW()-7)</f>
        <v/>
      </c>
      <c r="B1900" s="30"/>
      <c r="C1900" s="29"/>
      <c r="D1900" s="29"/>
      <c r="E1900" s="29"/>
      <c r="F1900" s="30"/>
      <c r="G1900" s="29"/>
      <c r="H1900" s="30"/>
      <c r="I1900" s="29"/>
      <c r="J1900" s="30"/>
      <c r="K1900" s="30"/>
      <c r="L1900" s="29"/>
      <c r="M1900" s="32" t="str">
        <f aca="false">IF(OR(C1900="",L1900=""),"",IF(C1900=L1900,"同一","変更"))</f>
        <v/>
      </c>
      <c r="N1900" s="29"/>
      <c r="O1900" s="30"/>
      <c r="P1900" s="29"/>
      <c r="Q1900" s="31"/>
      <c r="R1900" s="29"/>
      <c r="S1900" s="29"/>
      <c r="T1900" s="30"/>
      <c r="U1900" s="47" t="str">
        <f aca="false">IF(AND(B1900&lt;&gt;"",B1900=SW別シート!$C$3),COUNTIF(B$5:B1900,B1900),"")</f>
        <v/>
      </c>
      <c r="V1900" s="47" t="n">
        <f aca="false">V1899+IF(OR(O1900&lt;&gt;"",W1900&lt;&gt;""),1,0)</f>
        <v>3</v>
      </c>
      <c r="W1900" s="29"/>
    </row>
    <row r="1901" customFormat="false" ht="15" hidden="false" customHeight="false" outlineLevel="0" collapsed="false">
      <c r="A1901" s="32" t="str">
        <f aca="false">IF(B1901="","",ROW()-7)</f>
        <v/>
      </c>
      <c r="B1901" s="30"/>
      <c r="C1901" s="29"/>
      <c r="D1901" s="29"/>
      <c r="E1901" s="29"/>
      <c r="F1901" s="30"/>
      <c r="G1901" s="29"/>
      <c r="H1901" s="30"/>
      <c r="I1901" s="29"/>
      <c r="J1901" s="30"/>
      <c r="K1901" s="30"/>
      <c r="L1901" s="29"/>
      <c r="M1901" s="32" t="str">
        <f aca="false">IF(OR(C1901="",L1901=""),"",IF(C1901=L1901,"同一","変更"))</f>
        <v/>
      </c>
      <c r="N1901" s="29"/>
      <c r="O1901" s="30"/>
      <c r="P1901" s="29"/>
      <c r="Q1901" s="31"/>
      <c r="R1901" s="29"/>
      <c r="S1901" s="29"/>
      <c r="T1901" s="30"/>
      <c r="U1901" s="47" t="str">
        <f aca="false">IF(AND(B1901&lt;&gt;"",B1901=SW別シート!$C$3),COUNTIF(B$5:B1901,B1901),"")</f>
        <v/>
      </c>
      <c r="V1901" s="47" t="n">
        <f aca="false">V1900+IF(OR(O1901&lt;&gt;"",W1901&lt;&gt;""),1,0)</f>
        <v>3</v>
      </c>
      <c r="W1901" s="29"/>
    </row>
    <row r="1902" customFormat="false" ht="15" hidden="false" customHeight="false" outlineLevel="0" collapsed="false">
      <c r="A1902" s="32" t="str">
        <f aca="false">IF(B1902="","",ROW()-7)</f>
        <v/>
      </c>
      <c r="B1902" s="30"/>
      <c r="C1902" s="29"/>
      <c r="D1902" s="29"/>
      <c r="E1902" s="29"/>
      <c r="F1902" s="30"/>
      <c r="G1902" s="29"/>
      <c r="H1902" s="30"/>
      <c r="I1902" s="29"/>
      <c r="J1902" s="30"/>
      <c r="K1902" s="30"/>
      <c r="L1902" s="29"/>
      <c r="M1902" s="32" t="str">
        <f aca="false">IF(OR(C1902="",L1902=""),"",IF(C1902=L1902,"同一","変更"))</f>
        <v/>
      </c>
      <c r="N1902" s="29"/>
      <c r="O1902" s="30"/>
      <c r="P1902" s="29"/>
      <c r="Q1902" s="31"/>
      <c r="R1902" s="29"/>
      <c r="S1902" s="29"/>
      <c r="T1902" s="30"/>
      <c r="U1902" s="47" t="str">
        <f aca="false">IF(AND(B1902&lt;&gt;"",B1902=SW別シート!$C$3),COUNTIF(B$5:B1902,B1902),"")</f>
        <v/>
      </c>
      <c r="V1902" s="47" t="n">
        <f aca="false">V1901+IF(OR(O1902&lt;&gt;"",W1902&lt;&gt;""),1,0)</f>
        <v>3</v>
      </c>
      <c r="W1902" s="29"/>
    </row>
    <row r="1903" customFormat="false" ht="15" hidden="false" customHeight="false" outlineLevel="0" collapsed="false">
      <c r="A1903" s="32" t="str">
        <f aca="false">IF(B1903="","",ROW()-7)</f>
        <v/>
      </c>
      <c r="B1903" s="30"/>
      <c r="C1903" s="29"/>
      <c r="D1903" s="29"/>
      <c r="E1903" s="29"/>
      <c r="F1903" s="30"/>
      <c r="G1903" s="29"/>
      <c r="H1903" s="30"/>
      <c r="I1903" s="29"/>
      <c r="J1903" s="30"/>
      <c r="K1903" s="30"/>
      <c r="L1903" s="29"/>
      <c r="M1903" s="32" t="str">
        <f aca="false">IF(OR(C1903="",L1903=""),"",IF(C1903=L1903,"同一","変更"))</f>
        <v/>
      </c>
      <c r="N1903" s="29"/>
      <c r="O1903" s="30"/>
      <c r="P1903" s="29"/>
      <c r="Q1903" s="31"/>
      <c r="R1903" s="29"/>
      <c r="S1903" s="29"/>
      <c r="T1903" s="30"/>
      <c r="U1903" s="47" t="str">
        <f aca="false">IF(AND(B1903&lt;&gt;"",B1903=SW別シート!$C$3),COUNTIF(B$5:B1903,B1903),"")</f>
        <v/>
      </c>
      <c r="V1903" s="47" t="n">
        <f aca="false">V1902+IF(OR(O1903&lt;&gt;"",W1903&lt;&gt;""),1,0)</f>
        <v>3</v>
      </c>
      <c r="W1903" s="29"/>
    </row>
    <row r="1904" customFormat="false" ht="15" hidden="false" customHeight="false" outlineLevel="0" collapsed="false">
      <c r="A1904" s="32" t="str">
        <f aca="false">IF(B1904="","",ROW()-7)</f>
        <v/>
      </c>
      <c r="B1904" s="30"/>
      <c r="C1904" s="29"/>
      <c r="D1904" s="29"/>
      <c r="E1904" s="29"/>
      <c r="F1904" s="30"/>
      <c r="G1904" s="29"/>
      <c r="H1904" s="30"/>
      <c r="I1904" s="29"/>
      <c r="J1904" s="30"/>
      <c r="K1904" s="30"/>
      <c r="L1904" s="29"/>
      <c r="M1904" s="32" t="str">
        <f aca="false">IF(OR(C1904="",L1904=""),"",IF(C1904=L1904,"同一","変更"))</f>
        <v/>
      </c>
      <c r="N1904" s="29"/>
      <c r="O1904" s="30"/>
      <c r="P1904" s="29"/>
      <c r="Q1904" s="31"/>
      <c r="R1904" s="29"/>
      <c r="S1904" s="29"/>
      <c r="T1904" s="30"/>
      <c r="U1904" s="47" t="str">
        <f aca="false">IF(AND(B1904&lt;&gt;"",B1904=SW別シート!$C$3),COUNTIF(B$5:B1904,B1904),"")</f>
        <v/>
      </c>
      <c r="V1904" s="47" t="n">
        <f aca="false">V1903+IF(OR(O1904&lt;&gt;"",W1904&lt;&gt;""),1,0)</f>
        <v>3</v>
      </c>
      <c r="W1904" s="29"/>
    </row>
    <row r="1905" customFormat="false" ht="15" hidden="false" customHeight="false" outlineLevel="0" collapsed="false">
      <c r="A1905" s="32" t="str">
        <f aca="false">IF(B1905="","",ROW()-7)</f>
        <v/>
      </c>
      <c r="B1905" s="30"/>
      <c r="C1905" s="29"/>
      <c r="D1905" s="29"/>
      <c r="E1905" s="29"/>
      <c r="F1905" s="30"/>
      <c r="G1905" s="29"/>
      <c r="H1905" s="30"/>
      <c r="I1905" s="29"/>
      <c r="J1905" s="30"/>
      <c r="K1905" s="30"/>
      <c r="L1905" s="29"/>
      <c r="M1905" s="32" t="str">
        <f aca="false">IF(OR(C1905="",L1905=""),"",IF(C1905=L1905,"同一","変更"))</f>
        <v/>
      </c>
      <c r="N1905" s="29"/>
      <c r="O1905" s="30"/>
      <c r="P1905" s="29"/>
      <c r="Q1905" s="31"/>
      <c r="R1905" s="29"/>
      <c r="S1905" s="29"/>
      <c r="T1905" s="30"/>
      <c r="U1905" s="47" t="str">
        <f aca="false">IF(AND(B1905&lt;&gt;"",B1905=SW別シート!$C$3),COUNTIF(B$5:B1905,B1905),"")</f>
        <v/>
      </c>
      <c r="V1905" s="47" t="n">
        <f aca="false">V1904+IF(OR(O1905&lt;&gt;"",W1905&lt;&gt;""),1,0)</f>
        <v>3</v>
      </c>
      <c r="W1905" s="29"/>
    </row>
    <row r="1906" customFormat="false" ht="15" hidden="false" customHeight="false" outlineLevel="0" collapsed="false">
      <c r="A1906" s="32" t="str">
        <f aca="false">IF(B1906="","",ROW()-7)</f>
        <v/>
      </c>
      <c r="B1906" s="30"/>
      <c r="C1906" s="29"/>
      <c r="D1906" s="29"/>
      <c r="E1906" s="29"/>
      <c r="F1906" s="30"/>
      <c r="G1906" s="29"/>
      <c r="H1906" s="30"/>
      <c r="I1906" s="29"/>
      <c r="J1906" s="30"/>
      <c r="K1906" s="30"/>
      <c r="L1906" s="29"/>
      <c r="M1906" s="32" t="str">
        <f aca="false">IF(OR(C1906="",L1906=""),"",IF(C1906=L1906,"同一","変更"))</f>
        <v/>
      </c>
      <c r="N1906" s="29"/>
      <c r="O1906" s="30"/>
      <c r="P1906" s="29"/>
      <c r="Q1906" s="31"/>
      <c r="R1906" s="29"/>
      <c r="S1906" s="29"/>
      <c r="T1906" s="30"/>
      <c r="U1906" s="47" t="str">
        <f aca="false">IF(AND(B1906&lt;&gt;"",B1906=SW別シート!$C$3),COUNTIF(B$5:B1906,B1906),"")</f>
        <v/>
      </c>
      <c r="V1906" s="47" t="n">
        <f aca="false">V1905+IF(OR(O1906&lt;&gt;"",W1906&lt;&gt;""),1,0)</f>
        <v>3</v>
      </c>
      <c r="W1906" s="29"/>
    </row>
    <row r="1907" customFormat="false" ht="15" hidden="false" customHeight="false" outlineLevel="0" collapsed="false">
      <c r="A1907" s="32" t="str">
        <f aca="false">IF(B1907="","",ROW()-7)</f>
        <v/>
      </c>
      <c r="B1907" s="30"/>
      <c r="C1907" s="29"/>
      <c r="D1907" s="29"/>
      <c r="E1907" s="29"/>
      <c r="F1907" s="30"/>
      <c r="G1907" s="29"/>
      <c r="H1907" s="30"/>
      <c r="I1907" s="29"/>
      <c r="J1907" s="30"/>
      <c r="K1907" s="30"/>
      <c r="L1907" s="29"/>
      <c r="M1907" s="32" t="str">
        <f aca="false">IF(OR(C1907="",L1907=""),"",IF(C1907=L1907,"同一","変更"))</f>
        <v/>
      </c>
      <c r="N1907" s="29"/>
      <c r="O1907" s="30"/>
      <c r="P1907" s="29"/>
      <c r="Q1907" s="31"/>
      <c r="R1907" s="29"/>
      <c r="S1907" s="29"/>
      <c r="T1907" s="30"/>
      <c r="U1907" s="47" t="str">
        <f aca="false">IF(AND(B1907&lt;&gt;"",B1907=SW別シート!$C$3),COUNTIF(B$5:B1907,B1907),"")</f>
        <v/>
      </c>
      <c r="V1907" s="47" t="n">
        <f aca="false">V1906+IF(OR(O1907&lt;&gt;"",W1907&lt;&gt;""),1,0)</f>
        <v>3</v>
      </c>
      <c r="W1907" s="29"/>
    </row>
    <row r="1908" customFormat="false" ht="15" hidden="false" customHeight="false" outlineLevel="0" collapsed="false">
      <c r="A1908" s="32" t="str">
        <f aca="false">IF(B1908="","",ROW()-7)</f>
        <v/>
      </c>
      <c r="B1908" s="30"/>
      <c r="C1908" s="29"/>
      <c r="D1908" s="29"/>
      <c r="E1908" s="29"/>
      <c r="F1908" s="30"/>
      <c r="G1908" s="29"/>
      <c r="H1908" s="30"/>
      <c r="I1908" s="29"/>
      <c r="J1908" s="30"/>
      <c r="K1908" s="30"/>
      <c r="L1908" s="29"/>
      <c r="M1908" s="32" t="str">
        <f aca="false">IF(OR(C1908="",L1908=""),"",IF(C1908=L1908,"同一","変更"))</f>
        <v/>
      </c>
      <c r="N1908" s="29"/>
      <c r="O1908" s="30"/>
      <c r="P1908" s="29"/>
      <c r="Q1908" s="31"/>
      <c r="R1908" s="29"/>
      <c r="S1908" s="29"/>
      <c r="T1908" s="30"/>
      <c r="U1908" s="47" t="str">
        <f aca="false">IF(AND(B1908&lt;&gt;"",B1908=SW別シート!$C$3),COUNTIF(B$5:B1908,B1908),"")</f>
        <v/>
      </c>
      <c r="V1908" s="47" t="n">
        <f aca="false">V1907+IF(OR(O1908&lt;&gt;"",W1908&lt;&gt;""),1,0)</f>
        <v>3</v>
      </c>
      <c r="W1908" s="29"/>
    </row>
    <row r="1909" customFormat="false" ht="15" hidden="false" customHeight="false" outlineLevel="0" collapsed="false">
      <c r="A1909" s="32" t="str">
        <f aca="false">IF(B1909="","",ROW()-7)</f>
        <v/>
      </c>
      <c r="B1909" s="30"/>
      <c r="C1909" s="29"/>
      <c r="D1909" s="29"/>
      <c r="E1909" s="29"/>
      <c r="F1909" s="30"/>
      <c r="G1909" s="29"/>
      <c r="H1909" s="30"/>
      <c r="I1909" s="29"/>
      <c r="J1909" s="30"/>
      <c r="K1909" s="30"/>
      <c r="L1909" s="29"/>
      <c r="M1909" s="32" t="str">
        <f aca="false">IF(OR(C1909="",L1909=""),"",IF(C1909=L1909,"同一","変更"))</f>
        <v/>
      </c>
      <c r="N1909" s="29"/>
      <c r="O1909" s="30"/>
      <c r="P1909" s="29"/>
      <c r="Q1909" s="31"/>
      <c r="R1909" s="29"/>
      <c r="S1909" s="29"/>
      <c r="T1909" s="30"/>
      <c r="U1909" s="47" t="str">
        <f aca="false">IF(AND(B1909&lt;&gt;"",B1909=SW別シート!$C$3),COUNTIF(B$5:B1909,B1909),"")</f>
        <v/>
      </c>
      <c r="V1909" s="47" t="n">
        <f aca="false">V1908+IF(OR(O1909&lt;&gt;"",W1909&lt;&gt;""),1,0)</f>
        <v>3</v>
      </c>
      <c r="W1909" s="29"/>
    </row>
    <row r="1910" customFormat="false" ht="15" hidden="false" customHeight="false" outlineLevel="0" collapsed="false">
      <c r="A1910" s="32" t="str">
        <f aca="false">IF(B1910="","",ROW()-7)</f>
        <v/>
      </c>
      <c r="B1910" s="30"/>
      <c r="C1910" s="29"/>
      <c r="D1910" s="29"/>
      <c r="E1910" s="29"/>
      <c r="F1910" s="30"/>
      <c r="G1910" s="29"/>
      <c r="H1910" s="30"/>
      <c r="I1910" s="29"/>
      <c r="J1910" s="30"/>
      <c r="K1910" s="30"/>
      <c r="L1910" s="29"/>
      <c r="M1910" s="32" t="str">
        <f aca="false">IF(OR(C1910="",L1910=""),"",IF(C1910=L1910,"同一","変更"))</f>
        <v/>
      </c>
      <c r="N1910" s="29"/>
      <c r="O1910" s="30"/>
      <c r="P1910" s="29"/>
      <c r="Q1910" s="31"/>
      <c r="R1910" s="29"/>
      <c r="S1910" s="29"/>
      <c r="T1910" s="30"/>
      <c r="U1910" s="47" t="str">
        <f aca="false">IF(AND(B1910&lt;&gt;"",B1910=SW別シート!$C$3),COUNTIF(B$5:B1910,B1910),"")</f>
        <v/>
      </c>
      <c r="V1910" s="47" t="n">
        <f aca="false">V1909+IF(OR(O1910&lt;&gt;"",W1910&lt;&gt;""),1,0)</f>
        <v>3</v>
      </c>
      <c r="W1910" s="29"/>
    </row>
    <row r="1911" customFormat="false" ht="15" hidden="false" customHeight="false" outlineLevel="0" collapsed="false">
      <c r="A1911" s="32" t="str">
        <f aca="false">IF(B1911="","",ROW()-7)</f>
        <v/>
      </c>
      <c r="B1911" s="30"/>
      <c r="C1911" s="29"/>
      <c r="D1911" s="29"/>
      <c r="E1911" s="29"/>
      <c r="F1911" s="30"/>
      <c r="G1911" s="29"/>
      <c r="H1911" s="30"/>
      <c r="I1911" s="29"/>
      <c r="J1911" s="30"/>
      <c r="K1911" s="30"/>
      <c r="L1911" s="29"/>
      <c r="M1911" s="32" t="str">
        <f aca="false">IF(OR(C1911="",L1911=""),"",IF(C1911=L1911,"同一","変更"))</f>
        <v/>
      </c>
      <c r="N1911" s="29"/>
      <c r="O1911" s="30"/>
      <c r="P1911" s="29"/>
      <c r="Q1911" s="31"/>
      <c r="R1911" s="29"/>
      <c r="S1911" s="29"/>
      <c r="T1911" s="30"/>
      <c r="U1911" s="47" t="str">
        <f aca="false">IF(AND(B1911&lt;&gt;"",B1911=SW別シート!$C$3),COUNTIF(B$5:B1911,B1911),"")</f>
        <v/>
      </c>
      <c r="V1911" s="47" t="n">
        <f aca="false">V1910+IF(OR(O1911&lt;&gt;"",W1911&lt;&gt;""),1,0)</f>
        <v>3</v>
      </c>
      <c r="W1911" s="29"/>
    </row>
    <row r="1912" customFormat="false" ht="15" hidden="false" customHeight="false" outlineLevel="0" collapsed="false">
      <c r="A1912" s="32" t="str">
        <f aca="false">IF(B1912="","",ROW()-7)</f>
        <v/>
      </c>
      <c r="B1912" s="30"/>
      <c r="C1912" s="29"/>
      <c r="D1912" s="29"/>
      <c r="E1912" s="29"/>
      <c r="F1912" s="30"/>
      <c r="G1912" s="29"/>
      <c r="H1912" s="30"/>
      <c r="I1912" s="29"/>
      <c r="J1912" s="30"/>
      <c r="K1912" s="30"/>
      <c r="L1912" s="29"/>
      <c r="M1912" s="32" t="str">
        <f aca="false">IF(OR(C1912="",L1912=""),"",IF(C1912=L1912,"同一","変更"))</f>
        <v/>
      </c>
      <c r="N1912" s="29"/>
      <c r="O1912" s="30"/>
      <c r="P1912" s="29"/>
      <c r="Q1912" s="31"/>
      <c r="R1912" s="29"/>
      <c r="S1912" s="29"/>
      <c r="T1912" s="30"/>
      <c r="U1912" s="47" t="str">
        <f aca="false">IF(AND(B1912&lt;&gt;"",B1912=SW別シート!$C$3),COUNTIF(B$5:B1912,B1912),"")</f>
        <v/>
      </c>
      <c r="V1912" s="47" t="n">
        <f aca="false">V1911+IF(OR(O1912&lt;&gt;"",W1912&lt;&gt;""),1,0)</f>
        <v>3</v>
      </c>
      <c r="W1912" s="29"/>
    </row>
    <row r="1913" customFormat="false" ht="15" hidden="false" customHeight="false" outlineLevel="0" collapsed="false">
      <c r="A1913" s="32" t="str">
        <f aca="false">IF(B1913="","",ROW()-7)</f>
        <v/>
      </c>
      <c r="B1913" s="30"/>
      <c r="C1913" s="29"/>
      <c r="D1913" s="29"/>
      <c r="E1913" s="29"/>
      <c r="F1913" s="30"/>
      <c r="G1913" s="29"/>
      <c r="H1913" s="30"/>
      <c r="I1913" s="29"/>
      <c r="J1913" s="30"/>
      <c r="K1913" s="30"/>
      <c r="L1913" s="29"/>
      <c r="M1913" s="32" t="str">
        <f aca="false">IF(OR(C1913="",L1913=""),"",IF(C1913=L1913,"同一","変更"))</f>
        <v/>
      </c>
      <c r="N1913" s="29"/>
      <c r="O1913" s="30"/>
      <c r="P1913" s="29"/>
      <c r="Q1913" s="31"/>
      <c r="R1913" s="29"/>
      <c r="S1913" s="29"/>
      <c r="T1913" s="30"/>
      <c r="U1913" s="47" t="str">
        <f aca="false">IF(AND(B1913&lt;&gt;"",B1913=SW別シート!$C$3),COUNTIF(B$5:B1913,B1913),"")</f>
        <v/>
      </c>
      <c r="V1913" s="47" t="n">
        <f aca="false">V1912+IF(OR(O1913&lt;&gt;"",W1913&lt;&gt;""),1,0)</f>
        <v>3</v>
      </c>
      <c r="W1913" s="29"/>
    </row>
    <row r="1914" customFormat="false" ht="15" hidden="false" customHeight="false" outlineLevel="0" collapsed="false">
      <c r="A1914" s="32" t="str">
        <f aca="false">IF(B1914="","",ROW()-7)</f>
        <v/>
      </c>
      <c r="B1914" s="30"/>
      <c r="C1914" s="29"/>
      <c r="D1914" s="29"/>
      <c r="E1914" s="29"/>
      <c r="F1914" s="30"/>
      <c r="G1914" s="29"/>
      <c r="H1914" s="30"/>
      <c r="I1914" s="29"/>
      <c r="J1914" s="30"/>
      <c r="K1914" s="30"/>
      <c r="L1914" s="29"/>
      <c r="M1914" s="32" t="str">
        <f aca="false">IF(OR(C1914="",L1914=""),"",IF(C1914=L1914,"同一","変更"))</f>
        <v/>
      </c>
      <c r="N1914" s="29"/>
      <c r="O1914" s="30"/>
      <c r="P1914" s="29"/>
      <c r="Q1914" s="31"/>
      <c r="R1914" s="29"/>
      <c r="S1914" s="29"/>
      <c r="T1914" s="30"/>
      <c r="U1914" s="47" t="str">
        <f aca="false">IF(AND(B1914&lt;&gt;"",B1914=SW別シート!$C$3),COUNTIF(B$5:B1914,B1914),"")</f>
        <v/>
      </c>
      <c r="V1914" s="47" t="n">
        <f aca="false">V1913+IF(OR(O1914&lt;&gt;"",W1914&lt;&gt;""),1,0)</f>
        <v>3</v>
      </c>
      <c r="W1914" s="29"/>
    </row>
    <row r="1915" customFormat="false" ht="15" hidden="false" customHeight="false" outlineLevel="0" collapsed="false">
      <c r="A1915" s="32" t="str">
        <f aca="false">IF(B1915="","",ROW()-7)</f>
        <v/>
      </c>
      <c r="B1915" s="30"/>
      <c r="C1915" s="29"/>
      <c r="D1915" s="29"/>
      <c r="E1915" s="29"/>
      <c r="F1915" s="30"/>
      <c r="G1915" s="29"/>
      <c r="H1915" s="30"/>
      <c r="I1915" s="29"/>
      <c r="J1915" s="30"/>
      <c r="K1915" s="30"/>
      <c r="L1915" s="29"/>
      <c r="M1915" s="32" t="str">
        <f aca="false">IF(OR(C1915="",L1915=""),"",IF(C1915=L1915,"同一","変更"))</f>
        <v/>
      </c>
      <c r="N1915" s="29"/>
      <c r="O1915" s="30"/>
      <c r="P1915" s="29"/>
      <c r="Q1915" s="31"/>
      <c r="R1915" s="29"/>
      <c r="S1915" s="29"/>
      <c r="T1915" s="30"/>
      <c r="U1915" s="47" t="str">
        <f aca="false">IF(AND(B1915&lt;&gt;"",B1915=SW別シート!$C$3),COUNTIF(B$5:B1915,B1915),"")</f>
        <v/>
      </c>
      <c r="V1915" s="47" t="n">
        <f aca="false">V1914+IF(OR(O1915&lt;&gt;"",W1915&lt;&gt;""),1,0)</f>
        <v>3</v>
      </c>
      <c r="W1915" s="29"/>
    </row>
    <row r="1916" customFormat="false" ht="15" hidden="false" customHeight="false" outlineLevel="0" collapsed="false">
      <c r="A1916" s="32" t="str">
        <f aca="false">IF(B1916="","",ROW()-7)</f>
        <v/>
      </c>
      <c r="B1916" s="30"/>
      <c r="C1916" s="29"/>
      <c r="D1916" s="29"/>
      <c r="E1916" s="29"/>
      <c r="F1916" s="30"/>
      <c r="G1916" s="29"/>
      <c r="H1916" s="30"/>
      <c r="I1916" s="29"/>
      <c r="J1916" s="30"/>
      <c r="K1916" s="30"/>
      <c r="L1916" s="29"/>
      <c r="M1916" s="32" t="str">
        <f aca="false">IF(OR(C1916="",L1916=""),"",IF(C1916=L1916,"同一","変更"))</f>
        <v/>
      </c>
      <c r="N1916" s="29"/>
      <c r="O1916" s="30"/>
      <c r="P1916" s="29"/>
      <c r="Q1916" s="31"/>
      <c r="R1916" s="29"/>
      <c r="S1916" s="29"/>
      <c r="T1916" s="30"/>
      <c r="U1916" s="47" t="str">
        <f aca="false">IF(AND(B1916&lt;&gt;"",B1916=SW別シート!$C$3),COUNTIF(B$5:B1916,B1916),"")</f>
        <v/>
      </c>
      <c r="V1916" s="47" t="n">
        <f aca="false">V1915+IF(OR(O1916&lt;&gt;"",W1916&lt;&gt;""),1,0)</f>
        <v>3</v>
      </c>
      <c r="W1916" s="29"/>
    </row>
    <row r="1917" customFormat="false" ht="15" hidden="false" customHeight="false" outlineLevel="0" collapsed="false">
      <c r="A1917" s="32" t="str">
        <f aca="false">IF(B1917="","",ROW()-7)</f>
        <v/>
      </c>
      <c r="B1917" s="30"/>
      <c r="C1917" s="29"/>
      <c r="D1917" s="29"/>
      <c r="E1917" s="29"/>
      <c r="F1917" s="30"/>
      <c r="G1917" s="29"/>
      <c r="H1917" s="30"/>
      <c r="I1917" s="29"/>
      <c r="J1917" s="30"/>
      <c r="K1917" s="30"/>
      <c r="L1917" s="29"/>
      <c r="M1917" s="32" t="str">
        <f aca="false">IF(OR(C1917="",L1917=""),"",IF(C1917=L1917,"同一","変更"))</f>
        <v/>
      </c>
      <c r="N1917" s="29"/>
      <c r="O1917" s="30"/>
      <c r="P1917" s="29"/>
      <c r="Q1917" s="31"/>
      <c r="R1917" s="29"/>
      <c r="S1917" s="29"/>
      <c r="T1917" s="30"/>
      <c r="U1917" s="47" t="str">
        <f aca="false">IF(AND(B1917&lt;&gt;"",B1917=SW別シート!$C$3),COUNTIF(B$5:B1917,B1917),"")</f>
        <v/>
      </c>
      <c r="V1917" s="47" t="n">
        <f aca="false">V1916+IF(OR(O1917&lt;&gt;"",W1917&lt;&gt;""),1,0)</f>
        <v>3</v>
      </c>
      <c r="W1917" s="29"/>
    </row>
    <row r="1918" customFormat="false" ht="15" hidden="false" customHeight="false" outlineLevel="0" collapsed="false">
      <c r="A1918" s="32" t="str">
        <f aca="false">IF(B1918="","",ROW()-7)</f>
        <v/>
      </c>
      <c r="B1918" s="30"/>
      <c r="C1918" s="29"/>
      <c r="D1918" s="29"/>
      <c r="E1918" s="29"/>
      <c r="F1918" s="30"/>
      <c r="G1918" s="29"/>
      <c r="H1918" s="30"/>
      <c r="I1918" s="29"/>
      <c r="J1918" s="30"/>
      <c r="K1918" s="30"/>
      <c r="L1918" s="29"/>
      <c r="M1918" s="32" t="str">
        <f aca="false">IF(OR(C1918="",L1918=""),"",IF(C1918=L1918,"同一","変更"))</f>
        <v/>
      </c>
      <c r="N1918" s="29"/>
      <c r="O1918" s="30"/>
      <c r="P1918" s="29"/>
      <c r="Q1918" s="31"/>
      <c r="R1918" s="29"/>
      <c r="S1918" s="29"/>
      <c r="T1918" s="30"/>
      <c r="U1918" s="47" t="str">
        <f aca="false">IF(AND(B1918&lt;&gt;"",B1918=SW別シート!$C$3),COUNTIF(B$5:B1918,B1918),"")</f>
        <v/>
      </c>
      <c r="V1918" s="47" t="n">
        <f aca="false">V1917+IF(OR(O1918&lt;&gt;"",W1918&lt;&gt;""),1,0)</f>
        <v>3</v>
      </c>
      <c r="W1918" s="29"/>
    </row>
    <row r="1919" customFormat="false" ht="15" hidden="false" customHeight="false" outlineLevel="0" collapsed="false">
      <c r="A1919" s="32" t="str">
        <f aca="false">IF(B1919="","",ROW()-7)</f>
        <v/>
      </c>
      <c r="B1919" s="30"/>
      <c r="C1919" s="29"/>
      <c r="D1919" s="29"/>
      <c r="E1919" s="29"/>
      <c r="F1919" s="30"/>
      <c r="G1919" s="29"/>
      <c r="H1919" s="30"/>
      <c r="I1919" s="29"/>
      <c r="J1919" s="30"/>
      <c r="K1919" s="30"/>
      <c r="L1919" s="29"/>
      <c r="M1919" s="32" t="str">
        <f aca="false">IF(OR(C1919="",L1919=""),"",IF(C1919=L1919,"同一","変更"))</f>
        <v/>
      </c>
      <c r="N1919" s="29"/>
      <c r="O1919" s="30"/>
      <c r="P1919" s="29"/>
      <c r="Q1919" s="31"/>
      <c r="R1919" s="29"/>
      <c r="S1919" s="29"/>
      <c r="T1919" s="30"/>
      <c r="U1919" s="47" t="str">
        <f aca="false">IF(AND(B1919&lt;&gt;"",B1919=SW別シート!$C$3),COUNTIF(B$5:B1919,B1919),"")</f>
        <v/>
      </c>
      <c r="V1919" s="47" t="n">
        <f aca="false">V1918+IF(OR(O1919&lt;&gt;"",W1919&lt;&gt;""),1,0)</f>
        <v>3</v>
      </c>
      <c r="W1919" s="29"/>
    </row>
    <row r="1920" customFormat="false" ht="15" hidden="false" customHeight="false" outlineLevel="0" collapsed="false">
      <c r="A1920" s="32" t="str">
        <f aca="false">IF(B1920="","",ROW()-7)</f>
        <v/>
      </c>
      <c r="B1920" s="30"/>
      <c r="C1920" s="29"/>
      <c r="D1920" s="29"/>
      <c r="E1920" s="29"/>
      <c r="F1920" s="30"/>
      <c r="G1920" s="29"/>
      <c r="H1920" s="30"/>
      <c r="I1920" s="29"/>
      <c r="J1920" s="30"/>
      <c r="K1920" s="30"/>
      <c r="L1920" s="29"/>
      <c r="M1920" s="32" t="str">
        <f aca="false">IF(OR(C1920="",L1920=""),"",IF(C1920=L1920,"同一","変更"))</f>
        <v/>
      </c>
      <c r="N1920" s="29"/>
      <c r="O1920" s="30"/>
      <c r="P1920" s="29"/>
      <c r="Q1920" s="31"/>
      <c r="R1920" s="29"/>
      <c r="S1920" s="29"/>
      <c r="T1920" s="30"/>
      <c r="U1920" s="47" t="str">
        <f aca="false">IF(AND(B1920&lt;&gt;"",B1920=SW別シート!$C$3),COUNTIF(B$5:B1920,B1920),"")</f>
        <v/>
      </c>
      <c r="V1920" s="47" t="n">
        <f aca="false">V1919+IF(OR(O1920&lt;&gt;"",W1920&lt;&gt;""),1,0)</f>
        <v>3</v>
      </c>
      <c r="W1920" s="29"/>
    </row>
    <row r="1921" customFormat="false" ht="15" hidden="false" customHeight="false" outlineLevel="0" collapsed="false">
      <c r="A1921" s="32" t="str">
        <f aca="false">IF(B1921="","",ROW()-7)</f>
        <v/>
      </c>
      <c r="B1921" s="30"/>
      <c r="C1921" s="29"/>
      <c r="D1921" s="29"/>
      <c r="E1921" s="29"/>
      <c r="F1921" s="30"/>
      <c r="G1921" s="29"/>
      <c r="H1921" s="30"/>
      <c r="I1921" s="29"/>
      <c r="J1921" s="30"/>
      <c r="K1921" s="30"/>
      <c r="L1921" s="29"/>
      <c r="M1921" s="32" t="str">
        <f aca="false">IF(OR(C1921="",L1921=""),"",IF(C1921=L1921,"同一","変更"))</f>
        <v/>
      </c>
      <c r="N1921" s="29"/>
      <c r="O1921" s="30"/>
      <c r="P1921" s="29"/>
      <c r="Q1921" s="31"/>
      <c r="R1921" s="29"/>
      <c r="S1921" s="29"/>
      <c r="T1921" s="30"/>
      <c r="U1921" s="47" t="str">
        <f aca="false">IF(AND(B1921&lt;&gt;"",B1921=SW別シート!$C$3),COUNTIF(B$5:B1921,B1921),"")</f>
        <v/>
      </c>
      <c r="V1921" s="47" t="n">
        <f aca="false">V1920+IF(OR(O1921&lt;&gt;"",W1921&lt;&gt;""),1,0)</f>
        <v>3</v>
      </c>
      <c r="W1921" s="29"/>
    </row>
    <row r="1922" customFormat="false" ht="15" hidden="false" customHeight="false" outlineLevel="0" collapsed="false">
      <c r="A1922" s="32" t="str">
        <f aca="false">IF(B1922="","",ROW()-7)</f>
        <v/>
      </c>
      <c r="B1922" s="30"/>
      <c r="C1922" s="29"/>
      <c r="D1922" s="29"/>
      <c r="E1922" s="29"/>
      <c r="F1922" s="30"/>
      <c r="G1922" s="29"/>
      <c r="H1922" s="30"/>
      <c r="I1922" s="29"/>
      <c r="J1922" s="30"/>
      <c r="K1922" s="30"/>
      <c r="L1922" s="29"/>
      <c r="M1922" s="32" t="str">
        <f aca="false">IF(OR(C1922="",L1922=""),"",IF(C1922=L1922,"同一","変更"))</f>
        <v/>
      </c>
      <c r="N1922" s="29"/>
      <c r="O1922" s="30"/>
      <c r="P1922" s="29"/>
      <c r="Q1922" s="31"/>
      <c r="R1922" s="29"/>
      <c r="S1922" s="29"/>
      <c r="T1922" s="30"/>
      <c r="U1922" s="47" t="str">
        <f aca="false">IF(AND(B1922&lt;&gt;"",B1922=SW別シート!$C$3),COUNTIF(B$5:B1922,B1922),"")</f>
        <v/>
      </c>
      <c r="V1922" s="47" t="n">
        <f aca="false">V1921+IF(OR(O1922&lt;&gt;"",W1922&lt;&gt;""),1,0)</f>
        <v>3</v>
      </c>
      <c r="W1922" s="29"/>
    </row>
    <row r="1923" customFormat="false" ht="15" hidden="false" customHeight="false" outlineLevel="0" collapsed="false">
      <c r="A1923" s="32" t="str">
        <f aca="false">IF(B1923="","",ROW()-7)</f>
        <v/>
      </c>
      <c r="B1923" s="30"/>
      <c r="C1923" s="29"/>
      <c r="D1923" s="29"/>
      <c r="E1923" s="29"/>
      <c r="F1923" s="30"/>
      <c r="G1923" s="29"/>
      <c r="H1923" s="30"/>
      <c r="I1923" s="29"/>
      <c r="J1923" s="30"/>
      <c r="K1923" s="30"/>
      <c r="L1923" s="29"/>
      <c r="M1923" s="32" t="str">
        <f aca="false">IF(OR(C1923="",L1923=""),"",IF(C1923=L1923,"同一","変更"))</f>
        <v/>
      </c>
      <c r="N1923" s="29"/>
      <c r="O1923" s="30"/>
      <c r="P1923" s="29"/>
      <c r="Q1923" s="31"/>
      <c r="R1923" s="29"/>
      <c r="S1923" s="29"/>
      <c r="T1923" s="30"/>
      <c r="U1923" s="47" t="str">
        <f aca="false">IF(AND(B1923&lt;&gt;"",B1923=SW別シート!$C$3),COUNTIF(B$5:B1923,B1923),"")</f>
        <v/>
      </c>
      <c r="V1923" s="47" t="n">
        <f aca="false">V1922+IF(OR(O1923&lt;&gt;"",W1923&lt;&gt;""),1,0)</f>
        <v>3</v>
      </c>
      <c r="W1923" s="29"/>
    </row>
    <row r="1924" customFormat="false" ht="15" hidden="false" customHeight="false" outlineLevel="0" collapsed="false">
      <c r="A1924" s="32" t="str">
        <f aca="false">IF(B1924="","",ROW()-7)</f>
        <v/>
      </c>
      <c r="B1924" s="30"/>
      <c r="C1924" s="29"/>
      <c r="D1924" s="29"/>
      <c r="E1924" s="29"/>
      <c r="F1924" s="30"/>
      <c r="G1924" s="29"/>
      <c r="H1924" s="30"/>
      <c r="I1924" s="29"/>
      <c r="J1924" s="30"/>
      <c r="K1924" s="30"/>
      <c r="L1924" s="29"/>
      <c r="M1924" s="32" t="str">
        <f aca="false">IF(OR(C1924="",L1924=""),"",IF(C1924=L1924,"同一","変更"))</f>
        <v/>
      </c>
      <c r="N1924" s="29"/>
      <c r="O1924" s="30"/>
      <c r="P1924" s="29"/>
      <c r="Q1924" s="31"/>
      <c r="R1924" s="29"/>
      <c r="S1924" s="29"/>
      <c r="T1924" s="30"/>
      <c r="U1924" s="47" t="str">
        <f aca="false">IF(AND(B1924&lt;&gt;"",B1924=SW別シート!$C$3),COUNTIF(B$5:B1924,B1924),"")</f>
        <v/>
      </c>
      <c r="V1924" s="47" t="n">
        <f aca="false">V1923+IF(OR(O1924&lt;&gt;"",W1924&lt;&gt;""),1,0)</f>
        <v>3</v>
      </c>
      <c r="W1924" s="29"/>
    </row>
    <row r="1925" customFormat="false" ht="15" hidden="false" customHeight="false" outlineLevel="0" collapsed="false">
      <c r="A1925" s="32" t="str">
        <f aca="false">IF(B1925="","",ROW()-7)</f>
        <v/>
      </c>
      <c r="B1925" s="30"/>
      <c r="C1925" s="29"/>
      <c r="D1925" s="29"/>
      <c r="E1925" s="29"/>
      <c r="F1925" s="30"/>
      <c r="G1925" s="29"/>
      <c r="H1925" s="30"/>
      <c r="I1925" s="29"/>
      <c r="J1925" s="30"/>
      <c r="K1925" s="30"/>
      <c r="L1925" s="29"/>
      <c r="M1925" s="32" t="str">
        <f aca="false">IF(OR(C1925="",L1925=""),"",IF(C1925=L1925,"同一","変更"))</f>
        <v/>
      </c>
      <c r="N1925" s="29"/>
      <c r="O1925" s="30"/>
      <c r="P1925" s="29"/>
      <c r="Q1925" s="31"/>
      <c r="R1925" s="29"/>
      <c r="S1925" s="29"/>
      <c r="T1925" s="30"/>
      <c r="U1925" s="47" t="str">
        <f aca="false">IF(AND(B1925&lt;&gt;"",B1925=SW別シート!$C$3),COUNTIF(B$5:B1925,B1925),"")</f>
        <v/>
      </c>
      <c r="V1925" s="47" t="n">
        <f aca="false">V1924+IF(OR(O1925&lt;&gt;"",W1925&lt;&gt;""),1,0)</f>
        <v>3</v>
      </c>
      <c r="W1925" s="29"/>
    </row>
    <row r="1926" customFormat="false" ht="15" hidden="false" customHeight="false" outlineLevel="0" collapsed="false">
      <c r="A1926" s="32" t="str">
        <f aca="false">IF(B1926="","",ROW()-7)</f>
        <v/>
      </c>
      <c r="B1926" s="30"/>
      <c r="C1926" s="29"/>
      <c r="D1926" s="29"/>
      <c r="E1926" s="29"/>
      <c r="F1926" s="30"/>
      <c r="G1926" s="29"/>
      <c r="H1926" s="30"/>
      <c r="I1926" s="29"/>
      <c r="J1926" s="30"/>
      <c r="K1926" s="30"/>
      <c r="L1926" s="29"/>
      <c r="M1926" s="32" t="str">
        <f aca="false">IF(OR(C1926="",L1926=""),"",IF(C1926=L1926,"同一","変更"))</f>
        <v/>
      </c>
      <c r="N1926" s="29"/>
      <c r="O1926" s="30"/>
      <c r="P1926" s="29"/>
      <c r="Q1926" s="31"/>
      <c r="R1926" s="29"/>
      <c r="S1926" s="29"/>
      <c r="T1926" s="30"/>
      <c r="U1926" s="47" t="str">
        <f aca="false">IF(AND(B1926&lt;&gt;"",B1926=SW別シート!$C$3),COUNTIF(B$5:B1926,B1926),"")</f>
        <v/>
      </c>
      <c r="V1926" s="47" t="n">
        <f aca="false">V1925+IF(OR(O1926&lt;&gt;"",W1926&lt;&gt;""),1,0)</f>
        <v>3</v>
      </c>
      <c r="W1926" s="29"/>
    </row>
    <row r="1927" customFormat="false" ht="15" hidden="false" customHeight="false" outlineLevel="0" collapsed="false">
      <c r="A1927" s="32" t="str">
        <f aca="false">IF(B1927="","",ROW()-7)</f>
        <v/>
      </c>
      <c r="B1927" s="30"/>
      <c r="C1927" s="29"/>
      <c r="D1927" s="29"/>
      <c r="E1927" s="29"/>
      <c r="F1927" s="30"/>
      <c r="G1927" s="29"/>
      <c r="H1927" s="30"/>
      <c r="I1927" s="29"/>
      <c r="J1927" s="30"/>
      <c r="K1927" s="30"/>
      <c r="L1927" s="29"/>
      <c r="M1927" s="32" t="str">
        <f aca="false">IF(OR(C1927="",L1927=""),"",IF(C1927=L1927,"同一","変更"))</f>
        <v/>
      </c>
      <c r="N1927" s="29"/>
      <c r="O1927" s="30"/>
      <c r="P1927" s="29"/>
      <c r="Q1927" s="31"/>
      <c r="R1927" s="29"/>
      <c r="S1927" s="29"/>
      <c r="T1927" s="30"/>
      <c r="U1927" s="47" t="str">
        <f aca="false">IF(AND(B1927&lt;&gt;"",B1927=SW別シート!$C$3),COUNTIF(B$5:B1927,B1927),"")</f>
        <v/>
      </c>
      <c r="V1927" s="47" t="n">
        <f aca="false">V1926+IF(OR(O1927&lt;&gt;"",W1927&lt;&gt;""),1,0)</f>
        <v>3</v>
      </c>
      <c r="W1927" s="29"/>
    </row>
    <row r="1928" customFormat="false" ht="15" hidden="false" customHeight="false" outlineLevel="0" collapsed="false">
      <c r="A1928" s="32" t="str">
        <f aca="false">IF(B1928="","",ROW()-7)</f>
        <v/>
      </c>
      <c r="B1928" s="30"/>
      <c r="C1928" s="29"/>
      <c r="D1928" s="29"/>
      <c r="E1928" s="29"/>
      <c r="F1928" s="30"/>
      <c r="G1928" s="29"/>
      <c r="H1928" s="30"/>
      <c r="I1928" s="29"/>
      <c r="J1928" s="30"/>
      <c r="K1928" s="30"/>
      <c r="L1928" s="29"/>
      <c r="M1928" s="32" t="str">
        <f aca="false">IF(OR(C1928="",L1928=""),"",IF(C1928=L1928,"同一","変更"))</f>
        <v/>
      </c>
      <c r="N1928" s="29"/>
      <c r="O1928" s="30"/>
      <c r="P1928" s="29"/>
      <c r="Q1928" s="31"/>
      <c r="R1928" s="29"/>
      <c r="S1928" s="29"/>
      <c r="T1928" s="30"/>
      <c r="U1928" s="47" t="str">
        <f aca="false">IF(AND(B1928&lt;&gt;"",B1928=SW別シート!$C$3),COUNTIF(B$5:B1928,B1928),"")</f>
        <v/>
      </c>
      <c r="V1928" s="47" t="n">
        <f aca="false">V1927+IF(OR(O1928&lt;&gt;"",W1928&lt;&gt;""),1,0)</f>
        <v>3</v>
      </c>
      <c r="W1928" s="29"/>
    </row>
    <row r="1929" customFormat="false" ht="15" hidden="false" customHeight="false" outlineLevel="0" collapsed="false">
      <c r="A1929" s="32" t="str">
        <f aca="false">IF(B1929="","",ROW()-7)</f>
        <v/>
      </c>
      <c r="B1929" s="30"/>
      <c r="C1929" s="29"/>
      <c r="D1929" s="29"/>
      <c r="E1929" s="29"/>
      <c r="F1929" s="30"/>
      <c r="G1929" s="29"/>
      <c r="H1929" s="30"/>
      <c r="I1929" s="29"/>
      <c r="J1929" s="30"/>
      <c r="K1929" s="30"/>
      <c r="L1929" s="29"/>
      <c r="M1929" s="32" t="str">
        <f aca="false">IF(OR(C1929="",L1929=""),"",IF(C1929=L1929,"同一","変更"))</f>
        <v/>
      </c>
      <c r="N1929" s="29"/>
      <c r="O1929" s="30"/>
      <c r="P1929" s="29"/>
      <c r="Q1929" s="31"/>
      <c r="R1929" s="29"/>
      <c r="S1929" s="29"/>
      <c r="T1929" s="30"/>
      <c r="U1929" s="47" t="str">
        <f aca="false">IF(AND(B1929&lt;&gt;"",B1929=SW別シート!$C$3),COUNTIF(B$5:B1929,B1929),"")</f>
        <v/>
      </c>
      <c r="V1929" s="47" t="n">
        <f aca="false">V1928+IF(OR(O1929&lt;&gt;"",W1929&lt;&gt;""),1,0)</f>
        <v>3</v>
      </c>
      <c r="W1929" s="29"/>
    </row>
    <row r="1930" customFormat="false" ht="15" hidden="false" customHeight="false" outlineLevel="0" collapsed="false">
      <c r="A1930" s="32" t="str">
        <f aca="false">IF(B1930="","",ROW()-7)</f>
        <v/>
      </c>
      <c r="B1930" s="30"/>
      <c r="C1930" s="29"/>
      <c r="D1930" s="29"/>
      <c r="E1930" s="29"/>
      <c r="F1930" s="30"/>
      <c r="G1930" s="29"/>
      <c r="H1930" s="30"/>
      <c r="I1930" s="29"/>
      <c r="J1930" s="30"/>
      <c r="K1930" s="30"/>
      <c r="L1930" s="29"/>
      <c r="M1930" s="32" t="str">
        <f aca="false">IF(OR(C1930="",L1930=""),"",IF(C1930=L1930,"同一","変更"))</f>
        <v/>
      </c>
      <c r="N1930" s="29"/>
      <c r="O1930" s="30"/>
      <c r="P1930" s="29"/>
      <c r="Q1930" s="31"/>
      <c r="R1930" s="29"/>
      <c r="S1930" s="29"/>
      <c r="T1930" s="30"/>
      <c r="U1930" s="47" t="str">
        <f aca="false">IF(AND(B1930&lt;&gt;"",B1930=SW別シート!$C$3),COUNTIF(B$5:B1930,B1930),"")</f>
        <v/>
      </c>
      <c r="V1930" s="47" t="n">
        <f aca="false">V1929+IF(OR(O1930&lt;&gt;"",W1930&lt;&gt;""),1,0)</f>
        <v>3</v>
      </c>
      <c r="W1930" s="29"/>
    </row>
    <row r="1931" customFormat="false" ht="15" hidden="false" customHeight="false" outlineLevel="0" collapsed="false">
      <c r="A1931" s="32" t="str">
        <f aca="false">IF(B1931="","",ROW()-7)</f>
        <v/>
      </c>
      <c r="B1931" s="30"/>
      <c r="C1931" s="29"/>
      <c r="D1931" s="29"/>
      <c r="E1931" s="29"/>
      <c r="F1931" s="30"/>
      <c r="G1931" s="29"/>
      <c r="H1931" s="30"/>
      <c r="I1931" s="29"/>
      <c r="J1931" s="30"/>
      <c r="K1931" s="30"/>
      <c r="L1931" s="29"/>
      <c r="M1931" s="32" t="str">
        <f aca="false">IF(OR(C1931="",L1931=""),"",IF(C1931=L1931,"同一","変更"))</f>
        <v/>
      </c>
      <c r="N1931" s="29"/>
      <c r="O1931" s="30"/>
      <c r="P1931" s="29"/>
      <c r="Q1931" s="31"/>
      <c r="R1931" s="29"/>
      <c r="S1931" s="29"/>
      <c r="T1931" s="30"/>
      <c r="U1931" s="47" t="str">
        <f aca="false">IF(AND(B1931&lt;&gt;"",B1931=SW別シート!$C$3),COUNTIF(B$5:B1931,B1931),"")</f>
        <v/>
      </c>
      <c r="V1931" s="47" t="n">
        <f aca="false">V1930+IF(OR(O1931&lt;&gt;"",W1931&lt;&gt;""),1,0)</f>
        <v>3</v>
      </c>
      <c r="W1931" s="29"/>
    </row>
    <row r="1932" customFormat="false" ht="15" hidden="false" customHeight="false" outlineLevel="0" collapsed="false">
      <c r="A1932" s="32" t="str">
        <f aca="false">IF(B1932="","",ROW()-7)</f>
        <v/>
      </c>
      <c r="B1932" s="30"/>
      <c r="C1932" s="29"/>
      <c r="D1932" s="29"/>
      <c r="E1932" s="29"/>
      <c r="F1932" s="30"/>
      <c r="G1932" s="29"/>
      <c r="H1932" s="30"/>
      <c r="I1932" s="29"/>
      <c r="J1932" s="30"/>
      <c r="K1932" s="30"/>
      <c r="L1932" s="29"/>
      <c r="M1932" s="32" t="str">
        <f aca="false">IF(OR(C1932="",L1932=""),"",IF(C1932=L1932,"同一","変更"))</f>
        <v/>
      </c>
      <c r="N1932" s="29"/>
      <c r="O1932" s="30"/>
      <c r="P1932" s="29"/>
      <c r="Q1932" s="31"/>
      <c r="R1932" s="29"/>
      <c r="S1932" s="29"/>
      <c r="T1932" s="30"/>
      <c r="U1932" s="47" t="str">
        <f aca="false">IF(AND(B1932&lt;&gt;"",B1932=SW別シート!$C$3),COUNTIF(B$5:B1932,B1932),"")</f>
        <v/>
      </c>
      <c r="V1932" s="47" t="n">
        <f aca="false">V1931+IF(OR(O1932&lt;&gt;"",W1932&lt;&gt;""),1,0)</f>
        <v>3</v>
      </c>
      <c r="W1932" s="29"/>
    </row>
    <row r="1933" customFormat="false" ht="15" hidden="false" customHeight="false" outlineLevel="0" collapsed="false">
      <c r="A1933" s="32" t="str">
        <f aca="false">IF(B1933="","",ROW()-7)</f>
        <v/>
      </c>
      <c r="B1933" s="30"/>
      <c r="C1933" s="29"/>
      <c r="D1933" s="29"/>
      <c r="E1933" s="29"/>
      <c r="F1933" s="30"/>
      <c r="G1933" s="29"/>
      <c r="H1933" s="30"/>
      <c r="I1933" s="29"/>
      <c r="J1933" s="30"/>
      <c r="K1933" s="30"/>
      <c r="L1933" s="29"/>
      <c r="M1933" s="32" t="str">
        <f aca="false">IF(OR(C1933="",L1933=""),"",IF(C1933=L1933,"同一","変更"))</f>
        <v/>
      </c>
      <c r="N1933" s="29"/>
      <c r="O1933" s="30"/>
      <c r="P1933" s="29"/>
      <c r="Q1933" s="31"/>
      <c r="R1933" s="29"/>
      <c r="S1933" s="29"/>
      <c r="T1933" s="30"/>
      <c r="U1933" s="47" t="str">
        <f aca="false">IF(AND(B1933&lt;&gt;"",B1933=SW別シート!$C$3),COUNTIF(B$5:B1933,B1933),"")</f>
        <v/>
      </c>
      <c r="V1933" s="47" t="n">
        <f aca="false">V1932+IF(OR(O1933&lt;&gt;"",W1933&lt;&gt;""),1,0)</f>
        <v>3</v>
      </c>
      <c r="W1933" s="29"/>
    </row>
    <row r="1934" customFormat="false" ht="15" hidden="false" customHeight="false" outlineLevel="0" collapsed="false">
      <c r="A1934" s="32" t="str">
        <f aca="false">IF(B1934="","",ROW()-7)</f>
        <v/>
      </c>
      <c r="B1934" s="30"/>
      <c r="C1934" s="29"/>
      <c r="D1934" s="29"/>
      <c r="E1934" s="29"/>
      <c r="F1934" s="30"/>
      <c r="G1934" s="29"/>
      <c r="H1934" s="30"/>
      <c r="I1934" s="29"/>
      <c r="J1934" s="30"/>
      <c r="K1934" s="30"/>
      <c r="L1934" s="29"/>
      <c r="M1934" s="32" t="str">
        <f aca="false">IF(OR(C1934="",L1934=""),"",IF(C1934=L1934,"同一","変更"))</f>
        <v/>
      </c>
      <c r="N1934" s="29"/>
      <c r="O1934" s="30"/>
      <c r="P1934" s="29"/>
      <c r="Q1934" s="31"/>
      <c r="R1934" s="29"/>
      <c r="S1934" s="29"/>
      <c r="T1934" s="30"/>
      <c r="U1934" s="47" t="str">
        <f aca="false">IF(AND(B1934&lt;&gt;"",B1934=SW別シート!$C$3),COUNTIF(B$5:B1934,B1934),"")</f>
        <v/>
      </c>
      <c r="V1934" s="47" t="n">
        <f aca="false">V1933+IF(OR(O1934&lt;&gt;"",W1934&lt;&gt;""),1,0)</f>
        <v>3</v>
      </c>
      <c r="W1934" s="29"/>
    </row>
    <row r="1935" customFormat="false" ht="15" hidden="false" customHeight="false" outlineLevel="0" collapsed="false">
      <c r="A1935" s="32" t="str">
        <f aca="false">IF(B1935="","",ROW()-7)</f>
        <v/>
      </c>
      <c r="B1935" s="30"/>
      <c r="C1935" s="29"/>
      <c r="D1935" s="29"/>
      <c r="E1935" s="29"/>
      <c r="F1935" s="30"/>
      <c r="G1935" s="29"/>
      <c r="H1935" s="30"/>
      <c r="I1935" s="29"/>
      <c r="J1935" s="30"/>
      <c r="K1935" s="30"/>
      <c r="L1935" s="29"/>
      <c r="M1935" s="32" t="str">
        <f aca="false">IF(OR(C1935="",L1935=""),"",IF(C1935=L1935,"同一","変更"))</f>
        <v/>
      </c>
      <c r="N1935" s="29"/>
      <c r="O1935" s="30"/>
      <c r="P1935" s="29"/>
      <c r="Q1935" s="31"/>
      <c r="R1935" s="29"/>
      <c r="S1935" s="29"/>
      <c r="T1935" s="30"/>
      <c r="U1935" s="47" t="str">
        <f aca="false">IF(AND(B1935&lt;&gt;"",B1935=SW別シート!$C$3),COUNTIF(B$5:B1935,B1935),"")</f>
        <v/>
      </c>
      <c r="V1935" s="47" t="n">
        <f aca="false">V1934+IF(OR(O1935&lt;&gt;"",W1935&lt;&gt;""),1,0)</f>
        <v>3</v>
      </c>
      <c r="W1935" s="29"/>
    </row>
    <row r="1936" customFormat="false" ht="15" hidden="false" customHeight="false" outlineLevel="0" collapsed="false">
      <c r="A1936" s="32" t="str">
        <f aca="false">IF(B1936="","",ROW()-7)</f>
        <v/>
      </c>
      <c r="B1936" s="30"/>
      <c r="C1936" s="29"/>
      <c r="D1936" s="29"/>
      <c r="E1936" s="29"/>
      <c r="F1936" s="30"/>
      <c r="G1936" s="29"/>
      <c r="H1936" s="30"/>
      <c r="I1936" s="29"/>
      <c r="J1936" s="30"/>
      <c r="K1936" s="30"/>
      <c r="L1936" s="29"/>
      <c r="M1936" s="32" t="str">
        <f aca="false">IF(OR(C1936="",L1936=""),"",IF(C1936=L1936,"同一","変更"))</f>
        <v/>
      </c>
      <c r="N1936" s="29"/>
      <c r="O1936" s="30"/>
      <c r="P1936" s="29"/>
      <c r="Q1936" s="31"/>
      <c r="R1936" s="29"/>
      <c r="S1936" s="29"/>
      <c r="T1936" s="30"/>
      <c r="U1936" s="47" t="str">
        <f aca="false">IF(AND(B1936&lt;&gt;"",B1936=SW別シート!$C$3),COUNTIF(B$5:B1936,B1936),"")</f>
        <v/>
      </c>
      <c r="V1936" s="47" t="n">
        <f aca="false">V1935+IF(OR(O1936&lt;&gt;"",W1936&lt;&gt;""),1,0)</f>
        <v>3</v>
      </c>
      <c r="W1936" s="29"/>
    </row>
    <row r="1937" customFormat="false" ht="15" hidden="false" customHeight="false" outlineLevel="0" collapsed="false">
      <c r="A1937" s="32" t="str">
        <f aca="false">IF(B1937="","",ROW()-7)</f>
        <v/>
      </c>
      <c r="B1937" s="30"/>
      <c r="C1937" s="29"/>
      <c r="D1937" s="29"/>
      <c r="E1937" s="29"/>
      <c r="F1937" s="30"/>
      <c r="G1937" s="29"/>
      <c r="H1937" s="30"/>
      <c r="I1937" s="29"/>
      <c r="J1937" s="30"/>
      <c r="K1937" s="30"/>
      <c r="L1937" s="29"/>
      <c r="M1937" s="32" t="str">
        <f aca="false">IF(OR(C1937="",L1937=""),"",IF(C1937=L1937,"同一","変更"))</f>
        <v/>
      </c>
      <c r="N1937" s="29"/>
      <c r="O1937" s="30"/>
      <c r="P1937" s="29"/>
      <c r="Q1937" s="31"/>
      <c r="R1937" s="29"/>
      <c r="S1937" s="29"/>
      <c r="T1937" s="30"/>
      <c r="U1937" s="47" t="str">
        <f aca="false">IF(AND(B1937&lt;&gt;"",B1937=SW別シート!$C$3),COUNTIF(B$5:B1937,B1937),"")</f>
        <v/>
      </c>
      <c r="V1937" s="47" t="n">
        <f aca="false">V1936+IF(OR(O1937&lt;&gt;"",W1937&lt;&gt;""),1,0)</f>
        <v>3</v>
      </c>
      <c r="W1937" s="29"/>
    </row>
    <row r="1938" customFormat="false" ht="15" hidden="false" customHeight="false" outlineLevel="0" collapsed="false">
      <c r="A1938" s="32" t="str">
        <f aca="false">IF(B1938="","",ROW()-7)</f>
        <v/>
      </c>
      <c r="B1938" s="30"/>
      <c r="C1938" s="29"/>
      <c r="D1938" s="29"/>
      <c r="E1938" s="29"/>
      <c r="F1938" s="30"/>
      <c r="G1938" s="29"/>
      <c r="H1938" s="30"/>
      <c r="I1938" s="29"/>
      <c r="J1938" s="30"/>
      <c r="K1938" s="30"/>
      <c r="L1938" s="29"/>
      <c r="M1938" s="32" t="str">
        <f aca="false">IF(OR(C1938="",L1938=""),"",IF(C1938=L1938,"同一","変更"))</f>
        <v/>
      </c>
      <c r="N1938" s="29"/>
      <c r="O1938" s="30"/>
      <c r="P1938" s="29"/>
      <c r="Q1938" s="31"/>
      <c r="R1938" s="29"/>
      <c r="S1938" s="29"/>
      <c r="T1938" s="30"/>
      <c r="U1938" s="47" t="str">
        <f aca="false">IF(AND(B1938&lt;&gt;"",B1938=SW別シート!$C$3),COUNTIF(B$5:B1938,B1938),"")</f>
        <v/>
      </c>
      <c r="V1938" s="47" t="n">
        <f aca="false">V1937+IF(OR(O1938&lt;&gt;"",W1938&lt;&gt;""),1,0)</f>
        <v>3</v>
      </c>
      <c r="W1938" s="29"/>
    </row>
    <row r="1939" customFormat="false" ht="15" hidden="false" customHeight="false" outlineLevel="0" collapsed="false">
      <c r="A1939" s="32" t="str">
        <f aca="false">IF(B1939="","",ROW()-7)</f>
        <v/>
      </c>
      <c r="B1939" s="30"/>
      <c r="C1939" s="29"/>
      <c r="D1939" s="29"/>
      <c r="E1939" s="29"/>
      <c r="F1939" s="30"/>
      <c r="G1939" s="29"/>
      <c r="H1939" s="30"/>
      <c r="I1939" s="29"/>
      <c r="J1939" s="30"/>
      <c r="K1939" s="30"/>
      <c r="L1939" s="29"/>
      <c r="M1939" s="32" t="str">
        <f aca="false">IF(OR(C1939="",L1939=""),"",IF(C1939=L1939,"同一","変更"))</f>
        <v/>
      </c>
      <c r="N1939" s="29"/>
      <c r="O1939" s="30"/>
      <c r="P1939" s="29"/>
      <c r="Q1939" s="31"/>
      <c r="R1939" s="29"/>
      <c r="S1939" s="29"/>
      <c r="T1939" s="30"/>
      <c r="U1939" s="47" t="str">
        <f aca="false">IF(AND(B1939&lt;&gt;"",B1939=SW別シート!$C$3),COUNTIF(B$5:B1939,B1939),"")</f>
        <v/>
      </c>
      <c r="V1939" s="47" t="n">
        <f aca="false">V1938+IF(OR(O1939&lt;&gt;"",W1939&lt;&gt;""),1,0)</f>
        <v>3</v>
      </c>
      <c r="W1939" s="29"/>
    </row>
    <row r="1940" customFormat="false" ht="15" hidden="false" customHeight="false" outlineLevel="0" collapsed="false">
      <c r="A1940" s="32" t="str">
        <f aca="false">IF(B1940="","",ROW()-7)</f>
        <v/>
      </c>
      <c r="B1940" s="30"/>
      <c r="C1940" s="29"/>
      <c r="D1940" s="29"/>
      <c r="E1940" s="29"/>
      <c r="F1940" s="30"/>
      <c r="G1940" s="29"/>
      <c r="H1940" s="30"/>
      <c r="I1940" s="29"/>
      <c r="J1940" s="30"/>
      <c r="K1940" s="30"/>
      <c r="L1940" s="29"/>
      <c r="M1940" s="32" t="str">
        <f aca="false">IF(OR(C1940="",L1940=""),"",IF(C1940=L1940,"同一","変更"))</f>
        <v/>
      </c>
      <c r="N1940" s="29"/>
      <c r="O1940" s="30"/>
      <c r="P1940" s="29"/>
      <c r="Q1940" s="31"/>
      <c r="R1940" s="29"/>
      <c r="S1940" s="29"/>
      <c r="T1940" s="30"/>
      <c r="U1940" s="47" t="str">
        <f aca="false">IF(AND(B1940&lt;&gt;"",B1940=SW別シート!$C$3),COUNTIF(B$5:B1940,B1940),"")</f>
        <v/>
      </c>
      <c r="V1940" s="47" t="n">
        <f aca="false">V1939+IF(OR(O1940&lt;&gt;"",W1940&lt;&gt;""),1,0)</f>
        <v>3</v>
      </c>
      <c r="W1940" s="29"/>
    </row>
    <row r="1941" customFormat="false" ht="15" hidden="false" customHeight="false" outlineLevel="0" collapsed="false">
      <c r="A1941" s="32" t="str">
        <f aca="false">IF(B1941="","",ROW()-7)</f>
        <v/>
      </c>
      <c r="B1941" s="30"/>
      <c r="C1941" s="29"/>
      <c r="D1941" s="29"/>
      <c r="E1941" s="29"/>
      <c r="F1941" s="30"/>
      <c r="G1941" s="29"/>
      <c r="H1941" s="30"/>
      <c r="I1941" s="29"/>
      <c r="J1941" s="30"/>
      <c r="K1941" s="30"/>
      <c r="L1941" s="29"/>
      <c r="M1941" s="32" t="str">
        <f aca="false">IF(OR(C1941="",L1941=""),"",IF(C1941=L1941,"同一","変更"))</f>
        <v/>
      </c>
      <c r="N1941" s="29"/>
      <c r="O1941" s="30"/>
      <c r="P1941" s="29"/>
      <c r="Q1941" s="31"/>
      <c r="R1941" s="29"/>
      <c r="S1941" s="29"/>
      <c r="T1941" s="30"/>
      <c r="U1941" s="47" t="str">
        <f aca="false">IF(AND(B1941&lt;&gt;"",B1941=SW別シート!$C$3),COUNTIF(B$5:B1941,B1941),"")</f>
        <v/>
      </c>
      <c r="V1941" s="47" t="n">
        <f aca="false">V1940+IF(OR(O1941&lt;&gt;"",W1941&lt;&gt;""),1,0)</f>
        <v>3</v>
      </c>
      <c r="W1941" s="29"/>
    </row>
    <row r="1942" customFormat="false" ht="15" hidden="false" customHeight="false" outlineLevel="0" collapsed="false">
      <c r="A1942" s="32" t="str">
        <f aca="false">IF(B1942="","",ROW()-7)</f>
        <v/>
      </c>
      <c r="B1942" s="30"/>
      <c r="C1942" s="29"/>
      <c r="D1942" s="29"/>
      <c r="E1942" s="29"/>
      <c r="F1942" s="30"/>
      <c r="G1942" s="29"/>
      <c r="H1942" s="30"/>
      <c r="I1942" s="29"/>
      <c r="J1942" s="30"/>
      <c r="K1942" s="30"/>
      <c r="L1942" s="29"/>
      <c r="M1942" s="32" t="str">
        <f aca="false">IF(OR(C1942="",L1942=""),"",IF(C1942=L1942,"同一","変更"))</f>
        <v/>
      </c>
      <c r="N1942" s="29"/>
      <c r="O1942" s="30"/>
      <c r="P1942" s="29"/>
      <c r="Q1942" s="31"/>
      <c r="R1942" s="29"/>
      <c r="S1942" s="29"/>
      <c r="T1942" s="30"/>
      <c r="U1942" s="47" t="str">
        <f aca="false">IF(AND(B1942&lt;&gt;"",B1942=SW別シート!$C$3),COUNTIF(B$5:B1942,B1942),"")</f>
        <v/>
      </c>
      <c r="V1942" s="47" t="n">
        <f aca="false">V1941+IF(OR(O1942&lt;&gt;"",W1942&lt;&gt;""),1,0)</f>
        <v>3</v>
      </c>
      <c r="W1942" s="29"/>
    </row>
    <row r="1943" customFormat="false" ht="15" hidden="false" customHeight="false" outlineLevel="0" collapsed="false">
      <c r="A1943" s="32" t="str">
        <f aca="false">IF(B1943="","",ROW()-7)</f>
        <v/>
      </c>
      <c r="B1943" s="30"/>
      <c r="C1943" s="29"/>
      <c r="D1943" s="29"/>
      <c r="E1943" s="29"/>
      <c r="F1943" s="30"/>
      <c r="G1943" s="29"/>
      <c r="H1943" s="30"/>
      <c r="I1943" s="29"/>
      <c r="J1943" s="30"/>
      <c r="K1943" s="30"/>
      <c r="L1943" s="29"/>
      <c r="M1943" s="32" t="str">
        <f aca="false">IF(OR(C1943="",L1943=""),"",IF(C1943=L1943,"同一","変更"))</f>
        <v/>
      </c>
      <c r="N1943" s="29"/>
      <c r="O1943" s="30"/>
      <c r="P1943" s="29"/>
      <c r="Q1943" s="31"/>
      <c r="R1943" s="29"/>
      <c r="S1943" s="29"/>
      <c r="T1943" s="30"/>
      <c r="U1943" s="47" t="str">
        <f aca="false">IF(AND(B1943&lt;&gt;"",B1943=SW別シート!$C$3),COUNTIF(B$5:B1943,B1943),"")</f>
        <v/>
      </c>
      <c r="V1943" s="47" t="n">
        <f aca="false">V1942+IF(OR(O1943&lt;&gt;"",W1943&lt;&gt;""),1,0)</f>
        <v>3</v>
      </c>
      <c r="W1943" s="29"/>
    </row>
    <row r="1944" customFormat="false" ht="15" hidden="false" customHeight="false" outlineLevel="0" collapsed="false">
      <c r="A1944" s="32" t="str">
        <f aca="false">IF(B1944="","",ROW()-7)</f>
        <v/>
      </c>
      <c r="B1944" s="30"/>
      <c r="C1944" s="29"/>
      <c r="D1944" s="29"/>
      <c r="E1944" s="29"/>
      <c r="F1944" s="30"/>
      <c r="G1944" s="29"/>
      <c r="H1944" s="30"/>
      <c r="I1944" s="29"/>
      <c r="J1944" s="30"/>
      <c r="K1944" s="30"/>
      <c r="L1944" s="29"/>
      <c r="M1944" s="32" t="str">
        <f aca="false">IF(OR(C1944="",L1944=""),"",IF(C1944=L1944,"同一","変更"))</f>
        <v/>
      </c>
      <c r="N1944" s="29"/>
      <c r="O1944" s="30"/>
      <c r="P1944" s="29"/>
      <c r="Q1944" s="31"/>
      <c r="R1944" s="29"/>
      <c r="S1944" s="29"/>
      <c r="T1944" s="30"/>
      <c r="U1944" s="47" t="str">
        <f aca="false">IF(AND(B1944&lt;&gt;"",B1944=SW別シート!$C$3),COUNTIF(B$5:B1944,B1944),"")</f>
        <v/>
      </c>
      <c r="V1944" s="47" t="n">
        <f aca="false">V1943+IF(OR(O1944&lt;&gt;"",W1944&lt;&gt;""),1,0)</f>
        <v>3</v>
      </c>
      <c r="W1944" s="29"/>
    </row>
    <row r="1945" customFormat="false" ht="15" hidden="false" customHeight="false" outlineLevel="0" collapsed="false">
      <c r="A1945" s="32" t="str">
        <f aca="false">IF(B1945="","",ROW()-7)</f>
        <v/>
      </c>
      <c r="B1945" s="30"/>
      <c r="C1945" s="29"/>
      <c r="D1945" s="29"/>
      <c r="E1945" s="29"/>
      <c r="F1945" s="30"/>
      <c r="G1945" s="29"/>
      <c r="H1945" s="30"/>
      <c r="I1945" s="29"/>
      <c r="J1945" s="30"/>
      <c r="K1945" s="30"/>
      <c r="L1945" s="29"/>
      <c r="M1945" s="32" t="str">
        <f aca="false">IF(OR(C1945="",L1945=""),"",IF(C1945=L1945,"同一","変更"))</f>
        <v/>
      </c>
      <c r="N1945" s="29"/>
      <c r="O1945" s="30"/>
      <c r="P1945" s="29"/>
      <c r="Q1945" s="31"/>
      <c r="R1945" s="29"/>
      <c r="S1945" s="29"/>
      <c r="T1945" s="30"/>
      <c r="U1945" s="47" t="str">
        <f aca="false">IF(AND(B1945&lt;&gt;"",B1945=SW別シート!$C$3),COUNTIF(B$5:B1945,B1945),"")</f>
        <v/>
      </c>
      <c r="V1945" s="47" t="n">
        <f aca="false">V1944+IF(OR(O1945&lt;&gt;"",W1945&lt;&gt;""),1,0)</f>
        <v>3</v>
      </c>
      <c r="W1945" s="29"/>
    </row>
    <row r="1946" customFormat="false" ht="15" hidden="false" customHeight="false" outlineLevel="0" collapsed="false">
      <c r="A1946" s="32" t="str">
        <f aca="false">IF(B1946="","",ROW()-7)</f>
        <v/>
      </c>
      <c r="B1946" s="30"/>
      <c r="C1946" s="29"/>
      <c r="D1946" s="29"/>
      <c r="E1946" s="29"/>
      <c r="F1946" s="30"/>
      <c r="G1946" s="29"/>
      <c r="H1946" s="30"/>
      <c r="I1946" s="29"/>
      <c r="J1946" s="30"/>
      <c r="K1946" s="30"/>
      <c r="L1946" s="29"/>
      <c r="M1946" s="32" t="str">
        <f aca="false">IF(OR(C1946="",L1946=""),"",IF(C1946=L1946,"同一","変更"))</f>
        <v/>
      </c>
      <c r="N1946" s="29"/>
      <c r="O1946" s="30"/>
      <c r="P1946" s="29"/>
      <c r="Q1946" s="31"/>
      <c r="R1946" s="29"/>
      <c r="S1946" s="29"/>
      <c r="T1946" s="30"/>
      <c r="U1946" s="47" t="str">
        <f aca="false">IF(AND(B1946&lt;&gt;"",B1946=SW別シート!$C$3),COUNTIF(B$5:B1946,B1946),"")</f>
        <v/>
      </c>
      <c r="V1946" s="47" t="n">
        <f aca="false">V1945+IF(OR(O1946&lt;&gt;"",W1946&lt;&gt;""),1,0)</f>
        <v>3</v>
      </c>
      <c r="W1946" s="29"/>
    </row>
    <row r="1947" customFormat="false" ht="15" hidden="false" customHeight="false" outlineLevel="0" collapsed="false">
      <c r="A1947" s="32" t="str">
        <f aca="false">IF(B1947="","",ROW()-7)</f>
        <v/>
      </c>
      <c r="B1947" s="30"/>
      <c r="C1947" s="29"/>
      <c r="D1947" s="29"/>
      <c r="E1947" s="29"/>
      <c r="F1947" s="30"/>
      <c r="G1947" s="29"/>
      <c r="H1947" s="30"/>
      <c r="I1947" s="29"/>
      <c r="J1947" s="30"/>
      <c r="K1947" s="30"/>
      <c r="L1947" s="29"/>
      <c r="M1947" s="32" t="str">
        <f aca="false">IF(OR(C1947="",L1947=""),"",IF(C1947=L1947,"同一","変更"))</f>
        <v/>
      </c>
      <c r="N1947" s="29"/>
      <c r="O1947" s="30"/>
      <c r="P1947" s="29"/>
      <c r="Q1947" s="31"/>
      <c r="R1947" s="29"/>
      <c r="S1947" s="29"/>
      <c r="T1947" s="30"/>
      <c r="U1947" s="47" t="str">
        <f aca="false">IF(AND(B1947&lt;&gt;"",B1947=SW別シート!$C$3),COUNTIF(B$5:B1947,B1947),"")</f>
        <v/>
      </c>
      <c r="V1947" s="47" t="n">
        <f aca="false">V1946+IF(OR(O1947&lt;&gt;"",W1947&lt;&gt;""),1,0)</f>
        <v>3</v>
      </c>
      <c r="W1947" s="29"/>
    </row>
    <row r="1948" customFormat="false" ht="15" hidden="false" customHeight="false" outlineLevel="0" collapsed="false">
      <c r="A1948" s="32" t="str">
        <f aca="false">IF(B1948="","",ROW()-7)</f>
        <v/>
      </c>
      <c r="B1948" s="30"/>
      <c r="C1948" s="29"/>
      <c r="D1948" s="29"/>
      <c r="E1948" s="29"/>
      <c r="F1948" s="30"/>
      <c r="G1948" s="29"/>
      <c r="H1948" s="30"/>
      <c r="I1948" s="29"/>
      <c r="J1948" s="30"/>
      <c r="K1948" s="30"/>
      <c r="L1948" s="29"/>
      <c r="M1948" s="32" t="str">
        <f aca="false">IF(OR(C1948="",L1948=""),"",IF(C1948=L1948,"同一","変更"))</f>
        <v/>
      </c>
      <c r="N1948" s="29"/>
      <c r="O1948" s="30"/>
      <c r="P1948" s="29"/>
      <c r="Q1948" s="31"/>
      <c r="R1948" s="29"/>
      <c r="S1948" s="29"/>
      <c r="T1948" s="30"/>
      <c r="U1948" s="47" t="str">
        <f aca="false">IF(AND(B1948&lt;&gt;"",B1948=SW別シート!$C$3),COUNTIF(B$5:B1948,B1948),"")</f>
        <v/>
      </c>
      <c r="V1948" s="47" t="n">
        <f aca="false">V1947+IF(OR(O1948&lt;&gt;"",W1948&lt;&gt;""),1,0)</f>
        <v>3</v>
      </c>
      <c r="W1948" s="29"/>
    </row>
    <row r="1949" customFormat="false" ht="15" hidden="false" customHeight="false" outlineLevel="0" collapsed="false">
      <c r="A1949" s="32" t="str">
        <f aca="false">IF(B1949="","",ROW()-7)</f>
        <v/>
      </c>
      <c r="B1949" s="30"/>
      <c r="C1949" s="29"/>
      <c r="D1949" s="29"/>
      <c r="E1949" s="29"/>
      <c r="F1949" s="30"/>
      <c r="G1949" s="29"/>
      <c r="H1949" s="30"/>
      <c r="I1949" s="29"/>
      <c r="J1949" s="30"/>
      <c r="K1949" s="30"/>
      <c r="L1949" s="29"/>
      <c r="M1949" s="32" t="str">
        <f aca="false">IF(OR(C1949="",L1949=""),"",IF(C1949=L1949,"同一","変更"))</f>
        <v/>
      </c>
      <c r="N1949" s="29"/>
      <c r="O1949" s="30"/>
      <c r="P1949" s="29"/>
      <c r="Q1949" s="31"/>
      <c r="R1949" s="29"/>
      <c r="S1949" s="29"/>
      <c r="T1949" s="30"/>
      <c r="U1949" s="47" t="str">
        <f aca="false">IF(AND(B1949&lt;&gt;"",B1949=SW別シート!$C$3),COUNTIF(B$5:B1949,B1949),"")</f>
        <v/>
      </c>
      <c r="V1949" s="47" t="n">
        <f aca="false">V1948+IF(OR(O1949&lt;&gt;"",W1949&lt;&gt;""),1,0)</f>
        <v>3</v>
      </c>
      <c r="W1949" s="29"/>
    </row>
    <row r="1950" customFormat="false" ht="15" hidden="false" customHeight="false" outlineLevel="0" collapsed="false">
      <c r="A1950" s="32" t="str">
        <f aca="false">IF(B1950="","",ROW()-7)</f>
        <v/>
      </c>
      <c r="B1950" s="30"/>
      <c r="C1950" s="29"/>
      <c r="D1950" s="29"/>
      <c r="E1950" s="29"/>
      <c r="F1950" s="30"/>
      <c r="G1950" s="29"/>
      <c r="H1950" s="30"/>
      <c r="I1950" s="29"/>
      <c r="J1950" s="30"/>
      <c r="K1950" s="30"/>
      <c r="L1950" s="29"/>
      <c r="M1950" s="32" t="str">
        <f aca="false">IF(OR(C1950="",L1950=""),"",IF(C1950=L1950,"同一","変更"))</f>
        <v/>
      </c>
      <c r="N1950" s="29"/>
      <c r="O1950" s="30"/>
      <c r="P1950" s="29"/>
      <c r="Q1950" s="31"/>
      <c r="R1950" s="29"/>
      <c r="S1950" s="29"/>
      <c r="T1950" s="30"/>
      <c r="U1950" s="47" t="str">
        <f aca="false">IF(AND(B1950&lt;&gt;"",B1950=SW別シート!$C$3),COUNTIF(B$5:B1950,B1950),"")</f>
        <v/>
      </c>
      <c r="V1950" s="47" t="n">
        <f aca="false">V1949+IF(OR(O1950&lt;&gt;"",W1950&lt;&gt;""),1,0)</f>
        <v>3</v>
      </c>
      <c r="W1950" s="29"/>
    </row>
    <row r="1951" customFormat="false" ht="15" hidden="false" customHeight="false" outlineLevel="0" collapsed="false">
      <c r="A1951" s="32" t="str">
        <f aca="false">IF(B1951="","",ROW()-7)</f>
        <v/>
      </c>
      <c r="B1951" s="30"/>
      <c r="C1951" s="29"/>
      <c r="D1951" s="29"/>
      <c r="E1951" s="29"/>
      <c r="F1951" s="30"/>
      <c r="G1951" s="29"/>
      <c r="H1951" s="30"/>
      <c r="I1951" s="29"/>
      <c r="J1951" s="30"/>
      <c r="K1951" s="30"/>
      <c r="L1951" s="29"/>
      <c r="M1951" s="32" t="str">
        <f aca="false">IF(OR(C1951="",L1951=""),"",IF(C1951=L1951,"同一","変更"))</f>
        <v/>
      </c>
      <c r="N1951" s="29"/>
      <c r="O1951" s="30"/>
      <c r="P1951" s="29"/>
      <c r="Q1951" s="31"/>
      <c r="R1951" s="29"/>
      <c r="S1951" s="29"/>
      <c r="T1951" s="30"/>
      <c r="U1951" s="47" t="str">
        <f aca="false">IF(AND(B1951&lt;&gt;"",B1951=SW別シート!$C$3),COUNTIF(B$5:B1951,B1951),"")</f>
        <v/>
      </c>
      <c r="V1951" s="47" t="n">
        <f aca="false">V1950+IF(OR(O1951&lt;&gt;"",W1951&lt;&gt;""),1,0)</f>
        <v>3</v>
      </c>
      <c r="W1951" s="29"/>
    </row>
    <row r="1952" customFormat="false" ht="15" hidden="false" customHeight="false" outlineLevel="0" collapsed="false">
      <c r="A1952" s="32" t="str">
        <f aca="false">IF(B1952="","",ROW()-7)</f>
        <v/>
      </c>
      <c r="B1952" s="30"/>
      <c r="C1952" s="29"/>
      <c r="D1952" s="29"/>
      <c r="E1952" s="29"/>
      <c r="F1952" s="30"/>
      <c r="G1952" s="29"/>
      <c r="H1952" s="30"/>
      <c r="I1952" s="29"/>
      <c r="J1952" s="30"/>
      <c r="K1952" s="30"/>
      <c r="L1952" s="29"/>
      <c r="M1952" s="32" t="str">
        <f aca="false">IF(OR(C1952="",L1952=""),"",IF(C1952=L1952,"同一","変更"))</f>
        <v/>
      </c>
      <c r="N1952" s="29"/>
      <c r="O1952" s="30"/>
      <c r="P1952" s="29"/>
      <c r="Q1952" s="31"/>
      <c r="R1952" s="29"/>
      <c r="S1952" s="29"/>
      <c r="T1952" s="30"/>
      <c r="U1952" s="47" t="str">
        <f aca="false">IF(AND(B1952&lt;&gt;"",B1952=SW別シート!$C$3),COUNTIF(B$5:B1952,B1952),"")</f>
        <v/>
      </c>
      <c r="V1952" s="47" t="n">
        <f aca="false">V1951+IF(OR(O1952&lt;&gt;"",W1952&lt;&gt;""),1,0)</f>
        <v>3</v>
      </c>
      <c r="W1952" s="29"/>
    </row>
    <row r="1953" customFormat="false" ht="15" hidden="false" customHeight="false" outlineLevel="0" collapsed="false">
      <c r="A1953" s="32" t="str">
        <f aca="false">IF(B1953="","",ROW()-7)</f>
        <v/>
      </c>
      <c r="B1953" s="30"/>
      <c r="C1953" s="29"/>
      <c r="D1953" s="29"/>
      <c r="E1953" s="29"/>
      <c r="F1953" s="30"/>
      <c r="G1953" s="29"/>
      <c r="H1953" s="30"/>
      <c r="I1953" s="29"/>
      <c r="J1953" s="30"/>
      <c r="K1953" s="30"/>
      <c r="L1953" s="29"/>
      <c r="M1953" s="32" t="str">
        <f aca="false">IF(OR(C1953="",L1953=""),"",IF(C1953=L1953,"同一","変更"))</f>
        <v/>
      </c>
      <c r="N1953" s="29"/>
      <c r="O1953" s="30"/>
      <c r="P1953" s="29"/>
      <c r="Q1953" s="31"/>
      <c r="R1953" s="29"/>
      <c r="S1953" s="29"/>
      <c r="T1953" s="30"/>
      <c r="U1953" s="47" t="str">
        <f aca="false">IF(AND(B1953&lt;&gt;"",B1953=SW別シート!$C$3),COUNTIF(B$5:B1953,B1953),"")</f>
        <v/>
      </c>
      <c r="V1953" s="47" t="n">
        <f aca="false">V1952+IF(OR(O1953&lt;&gt;"",W1953&lt;&gt;""),1,0)</f>
        <v>3</v>
      </c>
      <c r="W1953" s="29"/>
    </row>
    <row r="1954" customFormat="false" ht="15" hidden="false" customHeight="false" outlineLevel="0" collapsed="false">
      <c r="A1954" s="32" t="str">
        <f aca="false">IF(B1954="","",ROW()-7)</f>
        <v/>
      </c>
      <c r="B1954" s="30"/>
      <c r="C1954" s="29"/>
      <c r="D1954" s="29"/>
      <c r="E1954" s="29"/>
      <c r="F1954" s="30"/>
      <c r="G1954" s="29"/>
      <c r="H1954" s="30"/>
      <c r="I1954" s="29"/>
      <c r="J1954" s="30"/>
      <c r="K1954" s="30"/>
      <c r="L1954" s="29"/>
      <c r="M1954" s="32" t="str">
        <f aca="false">IF(OR(C1954="",L1954=""),"",IF(C1954=L1954,"同一","変更"))</f>
        <v/>
      </c>
      <c r="N1954" s="29"/>
      <c r="O1954" s="30"/>
      <c r="P1954" s="29"/>
      <c r="Q1954" s="31"/>
      <c r="R1954" s="29"/>
      <c r="S1954" s="29"/>
      <c r="T1954" s="30"/>
      <c r="U1954" s="47" t="str">
        <f aca="false">IF(AND(B1954&lt;&gt;"",B1954=SW別シート!$C$3),COUNTIF(B$5:B1954,B1954),"")</f>
        <v/>
      </c>
      <c r="V1954" s="47" t="n">
        <f aca="false">V1953+IF(OR(O1954&lt;&gt;"",W1954&lt;&gt;""),1,0)</f>
        <v>3</v>
      </c>
      <c r="W1954" s="29"/>
    </row>
    <row r="1955" customFormat="false" ht="15" hidden="false" customHeight="false" outlineLevel="0" collapsed="false">
      <c r="A1955" s="32" t="str">
        <f aca="false">IF(B1955="","",ROW()-7)</f>
        <v/>
      </c>
      <c r="B1955" s="30"/>
      <c r="C1955" s="29"/>
      <c r="D1955" s="29"/>
      <c r="E1955" s="29"/>
      <c r="F1955" s="30"/>
      <c r="G1955" s="29"/>
      <c r="H1955" s="30"/>
      <c r="I1955" s="29"/>
      <c r="J1955" s="30"/>
      <c r="K1955" s="30"/>
      <c r="L1955" s="29"/>
      <c r="M1955" s="32" t="str">
        <f aca="false">IF(OR(C1955="",L1955=""),"",IF(C1955=L1955,"同一","変更"))</f>
        <v/>
      </c>
      <c r="N1955" s="29"/>
      <c r="O1955" s="30"/>
      <c r="P1955" s="29"/>
      <c r="Q1955" s="31"/>
      <c r="R1955" s="29"/>
      <c r="S1955" s="29"/>
      <c r="T1955" s="30"/>
      <c r="U1955" s="47" t="str">
        <f aca="false">IF(AND(B1955&lt;&gt;"",B1955=SW別シート!$C$3),COUNTIF(B$5:B1955,B1955),"")</f>
        <v/>
      </c>
      <c r="V1955" s="47" t="n">
        <f aca="false">V1954+IF(OR(O1955&lt;&gt;"",W1955&lt;&gt;""),1,0)</f>
        <v>3</v>
      </c>
      <c r="W1955" s="29"/>
    </row>
    <row r="1956" customFormat="false" ht="15" hidden="false" customHeight="false" outlineLevel="0" collapsed="false">
      <c r="A1956" s="32" t="str">
        <f aca="false">IF(B1956="","",ROW()-7)</f>
        <v/>
      </c>
      <c r="B1956" s="30"/>
      <c r="C1956" s="29"/>
      <c r="D1956" s="29"/>
      <c r="E1956" s="29"/>
      <c r="F1956" s="30"/>
      <c r="G1956" s="29"/>
      <c r="H1956" s="30"/>
      <c r="I1956" s="29"/>
      <c r="J1956" s="30"/>
      <c r="K1956" s="30"/>
      <c r="L1956" s="29"/>
      <c r="M1956" s="32" t="str">
        <f aca="false">IF(OR(C1956="",L1956=""),"",IF(C1956=L1956,"同一","変更"))</f>
        <v/>
      </c>
      <c r="N1956" s="29"/>
      <c r="O1956" s="30"/>
      <c r="P1956" s="29"/>
      <c r="Q1956" s="31"/>
      <c r="R1956" s="29"/>
      <c r="S1956" s="29"/>
      <c r="T1956" s="30"/>
      <c r="U1956" s="47" t="str">
        <f aca="false">IF(AND(B1956&lt;&gt;"",B1956=SW別シート!$C$3),COUNTIF(B$5:B1956,B1956),"")</f>
        <v/>
      </c>
      <c r="V1956" s="47" t="n">
        <f aca="false">V1955+IF(OR(O1956&lt;&gt;"",W1956&lt;&gt;""),1,0)</f>
        <v>3</v>
      </c>
      <c r="W1956" s="29"/>
    </row>
    <row r="1957" customFormat="false" ht="15" hidden="false" customHeight="false" outlineLevel="0" collapsed="false">
      <c r="A1957" s="32" t="str">
        <f aca="false">IF(B1957="","",ROW()-7)</f>
        <v/>
      </c>
      <c r="B1957" s="30"/>
      <c r="C1957" s="29"/>
      <c r="D1957" s="29"/>
      <c r="E1957" s="29"/>
      <c r="F1957" s="30"/>
      <c r="G1957" s="29"/>
      <c r="H1957" s="30"/>
      <c r="I1957" s="29"/>
      <c r="J1957" s="30"/>
      <c r="K1957" s="30"/>
      <c r="L1957" s="29"/>
      <c r="M1957" s="32" t="str">
        <f aca="false">IF(OR(C1957="",L1957=""),"",IF(C1957=L1957,"同一","変更"))</f>
        <v/>
      </c>
      <c r="N1957" s="29"/>
      <c r="O1957" s="30"/>
      <c r="P1957" s="29"/>
      <c r="Q1957" s="31"/>
      <c r="R1957" s="29"/>
      <c r="S1957" s="29"/>
      <c r="T1957" s="30"/>
      <c r="U1957" s="47" t="str">
        <f aca="false">IF(AND(B1957&lt;&gt;"",B1957=SW別シート!$C$3),COUNTIF(B$5:B1957,B1957),"")</f>
        <v/>
      </c>
      <c r="V1957" s="47" t="n">
        <f aca="false">V1956+IF(OR(O1957&lt;&gt;"",W1957&lt;&gt;""),1,0)</f>
        <v>3</v>
      </c>
      <c r="W1957" s="29"/>
    </row>
    <row r="1958" customFormat="false" ht="15" hidden="false" customHeight="false" outlineLevel="0" collapsed="false">
      <c r="A1958" s="32" t="str">
        <f aca="false">IF(B1958="","",ROW()-7)</f>
        <v/>
      </c>
      <c r="B1958" s="30"/>
      <c r="C1958" s="29"/>
      <c r="D1958" s="29"/>
      <c r="E1958" s="29"/>
      <c r="F1958" s="30"/>
      <c r="G1958" s="29"/>
      <c r="H1958" s="30"/>
      <c r="I1958" s="29"/>
      <c r="J1958" s="30"/>
      <c r="K1958" s="30"/>
      <c r="L1958" s="29"/>
      <c r="M1958" s="32" t="str">
        <f aca="false">IF(OR(C1958="",L1958=""),"",IF(C1958=L1958,"同一","変更"))</f>
        <v/>
      </c>
      <c r="N1958" s="29"/>
      <c r="O1958" s="30"/>
      <c r="P1958" s="29"/>
      <c r="Q1958" s="31"/>
      <c r="R1958" s="29"/>
      <c r="S1958" s="29"/>
      <c r="T1958" s="30"/>
      <c r="U1958" s="47" t="str">
        <f aca="false">IF(AND(B1958&lt;&gt;"",B1958=SW別シート!$C$3),COUNTIF(B$5:B1958,B1958),"")</f>
        <v/>
      </c>
      <c r="V1958" s="47" t="n">
        <f aca="false">V1957+IF(OR(O1958&lt;&gt;"",W1958&lt;&gt;""),1,0)</f>
        <v>3</v>
      </c>
      <c r="W1958" s="29"/>
    </row>
    <row r="1959" customFormat="false" ht="15" hidden="false" customHeight="false" outlineLevel="0" collapsed="false">
      <c r="A1959" s="32" t="str">
        <f aca="false">IF(B1959="","",ROW()-7)</f>
        <v/>
      </c>
      <c r="B1959" s="30"/>
      <c r="C1959" s="29"/>
      <c r="D1959" s="29"/>
      <c r="E1959" s="29"/>
      <c r="F1959" s="30"/>
      <c r="G1959" s="29"/>
      <c r="H1959" s="30"/>
      <c r="I1959" s="29"/>
      <c r="J1959" s="30"/>
      <c r="K1959" s="30"/>
      <c r="L1959" s="29"/>
      <c r="M1959" s="32" t="str">
        <f aca="false">IF(OR(C1959="",L1959=""),"",IF(C1959=L1959,"同一","変更"))</f>
        <v/>
      </c>
      <c r="N1959" s="29"/>
      <c r="O1959" s="30"/>
      <c r="P1959" s="29"/>
      <c r="Q1959" s="31"/>
      <c r="R1959" s="29"/>
      <c r="S1959" s="29"/>
      <c r="T1959" s="30"/>
      <c r="U1959" s="47" t="str">
        <f aca="false">IF(AND(B1959&lt;&gt;"",B1959=SW別シート!$C$3),COUNTIF(B$5:B1959,B1959),"")</f>
        <v/>
      </c>
      <c r="V1959" s="47" t="n">
        <f aca="false">V1958+IF(OR(O1959&lt;&gt;"",W1959&lt;&gt;""),1,0)</f>
        <v>3</v>
      </c>
      <c r="W1959" s="29"/>
    </row>
    <row r="1960" customFormat="false" ht="15" hidden="false" customHeight="false" outlineLevel="0" collapsed="false">
      <c r="A1960" s="32" t="str">
        <f aca="false">IF(B1960="","",ROW()-7)</f>
        <v/>
      </c>
      <c r="B1960" s="30"/>
      <c r="C1960" s="29"/>
      <c r="D1960" s="29"/>
      <c r="E1960" s="29"/>
      <c r="F1960" s="30"/>
      <c r="G1960" s="29"/>
      <c r="H1960" s="30"/>
      <c r="I1960" s="29"/>
      <c r="J1960" s="30"/>
      <c r="K1960" s="30"/>
      <c r="L1960" s="29"/>
      <c r="M1960" s="32" t="str">
        <f aca="false">IF(OR(C1960="",L1960=""),"",IF(C1960=L1960,"同一","変更"))</f>
        <v/>
      </c>
      <c r="N1960" s="29"/>
      <c r="O1960" s="30"/>
      <c r="P1960" s="29"/>
      <c r="Q1960" s="31"/>
      <c r="R1960" s="29"/>
      <c r="S1960" s="29"/>
      <c r="T1960" s="30"/>
      <c r="U1960" s="47" t="str">
        <f aca="false">IF(AND(B1960&lt;&gt;"",B1960=SW別シート!$C$3),COUNTIF(B$5:B1960,B1960),"")</f>
        <v/>
      </c>
      <c r="V1960" s="47" t="n">
        <f aca="false">V1959+IF(OR(O1960&lt;&gt;"",W1960&lt;&gt;""),1,0)</f>
        <v>3</v>
      </c>
      <c r="W1960" s="29"/>
    </row>
    <row r="1961" customFormat="false" ht="15" hidden="false" customHeight="false" outlineLevel="0" collapsed="false">
      <c r="A1961" s="32" t="str">
        <f aca="false">IF(B1961="","",ROW()-7)</f>
        <v/>
      </c>
      <c r="B1961" s="30"/>
      <c r="C1961" s="29"/>
      <c r="D1961" s="29"/>
      <c r="E1961" s="29"/>
      <c r="F1961" s="30"/>
      <c r="G1961" s="29"/>
      <c r="H1961" s="30"/>
      <c r="I1961" s="29"/>
      <c r="J1961" s="30"/>
      <c r="K1961" s="30"/>
      <c r="L1961" s="29"/>
      <c r="M1961" s="32" t="str">
        <f aca="false">IF(OR(C1961="",L1961=""),"",IF(C1961=L1961,"同一","変更"))</f>
        <v/>
      </c>
      <c r="N1961" s="29"/>
      <c r="O1961" s="30"/>
      <c r="P1961" s="29"/>
      <c r="Q1961" s="31"/>
      <c r="R1961" s="29"/>
      <c r="S1961" s="29"/>
      <c r="T1961" s="30"/>
      <c r="U1961" s="47" t="str">
        <f aca="false">IF(AND(B1961&lt;&gt;"",B1961=SW別シート!$C$3),COUNTIF(B$5:B1961,B1961),"")</f>
        <v/>
      </c>
      <c r="V1961" s="47" t="n">
        <f aca="false">V1960+IF(OR(O1961&lt;&gt;"",W1961&lt;&gt;""),1,0)</f>
        <v>3</v>
      </c>
      <c r="W1961" s="29"/>
    </row>
    <row r="1962" customFormat="false" ht="15" hidden="false" customHeight="false" outlineLevel="0" collapsed="false">
      <c r="A1962" s="32" t="str">
        <f aca="false">IF(B1962="","",ROW()-7)</f>
        <v/>
      </c>
      <c r="B1962" s="30"/>
      <c r="C1962" s="29"/>
      <c r="D1962" s="29"/>
      <c r="E1962" s="29"/>
      <c r="F1962" s="30"/>
      <c r="G1962" s="29"/>
      <c r="H1962" s="30"/>
      <c r="I1962" s="29"/>
      <c r="J1962" s="30"/>
      <c r="K1962" s="30"/>
      <c r="L1962" s="29"/>
      <c r="M1962" s="32" t="str">
        <f aca="false">IF(OR(C1962="",L1962=""),"",IF(C1962=L1962,"同一","変更"))</f>
        <v/>
      </c>
      <c r="N1962" s="29"/>
      <c r="O1962" s="30"/>
      <c r="P1962" s="29"/>
      <c r="Q1962" s="31"/>
      <c r="R1962" s="29"/>
      <c r="S1962" s="29"/>
      <c r="T1962" s="30"/>
      <c r="U1962" s="47" t="str">
        <f aca="false">IF(AND(B1962&lt;&gt;"",B1962=SW別シート!$C$3),COUNTIF(B$5:B1962,B1962),"")</f>
        <v/>
      </c>
      <c r="V1962" s="47" t="n">
        <f aca="false">V1961+IF(OR(O1962&lt;&gt;"",W1962&lt;&gt;""),1,0)</f>
        <v>3</v>
      </c>
      <c r="W1962" s="29"/>
    </row>
    <row r="1963" customFormat="false" ht="15" hidden="false" customHeight="false" outlineLevel="0" collapsed="false">
      <c r="A1963" s="32" t="str">
        <f aca="false">IF(B1963="","",ROW()-7)</f>
        <v/>
      </c>
      <c r="B1963" s="30"/>
      <c r="C1963" s="29"/>
      <c r="D1963" s="29"/>
      <c r="E1963" s="29"/>
      <c r="F1963" s="30"/>
      <c r="G1963" s="29"/>
      <c r="H1963" s="30"/>
      <c r="I1963" s="29"/>
      <c r="J1963" s="30"/>
      <c r="K1963" s="30"/>
      <c r="L1963" s="29"/>
      <c r="M1963" s="32" t="str">
        <f aca="false">IF(OR(C1963="",L1963=""),"",IF(C1963=L1963,"同一","変更"))</f>
        <v/>
      </c>
      <c r="N1963" s="29"/>
      <c r="O1963" s="30"/>
      <c r="P1963" s="29"/>
      <c r="Q1963" s="31"/>
      <c r="R1963" s="29"/>
      <c r="S1963" s="29"/>
      <c r="T1963" s="30"/>
      <c r="U1963" s="47" t="str">
        <f aca="false">IF(AND(B1963&lt;&gt;"",B1963=SW別シート!$C$3),COUNTIF(B$5:B1963,B1963),"")</f>
        <v/>
      </c>
      <c r="V1963" s="47" t="n">
        <f aca="false">V1962+IF(OR(O1963&lt;&gt;"",W1963&lt;&gt;""),1,0)</f>
        <v>3</v>
      </c>
      <c r="W1963" s="29"/>
    </row>
    <row r="1964" customFormat="false" ht="15" hidden="false" customHeight="false" outlineLevel="0" collapsed="false">
      <c r="A1964" s="32" t="str">
        <f aca="false">IF(B1964="","",ROW()-7)</f>
        <v/>
      </c>
      <c r="B1964" s="30"/>
      <c r="C1964" s="29"/>
      <c r="D1964" s="29"/>
      <c r="E1964" s="29"/>
      <c r="F1964" s="30"/>
      <c r="G1964" s="29"/>
      <c r="H1964" s="30"/>
      <c r="I1964" s="29"/>
      <c r="J1964" s="30"/>
      <c r="K1964" s="30"/>
      <c r="L1964" s="29"/>
      <c r="M1964" s="32" t="str">
        <f aca="false">IF(OR(C1964="",L1964=""),"",IF(C1964=L1964,"同一","変更"))</f>
        <v/>
      </c>
      <c r="N1964" s="29"/>
      <c r="O1964" s="30"/>
      <c r="P1964" s="29"/>
      <c r="Q1964" s="31"/>
      <c r="R1964" s="29"/>
      <c r="S1964" s="29"/>
      <c r="T1964" s="30"/>
      <c r="U1964" s="47" t="str">
        <f aca="false">IF(AND(B1964&lt;&gt;"",B1964=SW別シート!$C$3),COUNTIF(B$5:B1964,B1964),"")</f>
        <v/>
      </c>
      <c r="V1964" s="47" t="n">
        <f aca="false">V1963+IF(OR(O1964&lt;&gt;"",W1964&lt;&gt;""),1,0)</f>
        <v>3</v>
      </c>
      <c r="W1964" s="29"/>
    </row>
    <row r="1965" customFormat="false" ht="15" hidden="false" customHeight="false" outlineLevel="0" collapsed="false">
      <c r="A1965" s="32" t="str">
        <f aca="false">IF(B1965="","",ROW()-7)</f>
        <v/>
      </c>
      <c r="B1965" s="30"/>
      <c r="C1965" s="29"/>
      <c r="D1965" s="29"/>
      <c r="E1965" s="29"/>
      <c r="F1965" s="30"/>
      <c r="G1965" s="29"/>
      <c r="H1965" s="30"/>
      <c r="I1965" s="29"/>
      <c r="J1965" s="30"/>
      <c r="K1965" s="30"/>
      <c r="L1965" s="29"/>
      <c r="M1965" s="32" t="str">
        <f aca="false">IF(OR(C1965="",L1965=""),"",IF(C1965=L1965,"同一","変更"))</f>
        <v/>
      </c>
      <c r="N1965" s="29"/>
      <c r="O1965" s="30"/>
      <c r="P1965" s="29"/>
      <c r="Q1965" s="31"/>
      <c r="R1965" s="29"/>
      <c r="S1965" s="29"/>
      <c r="T1965" s="30"/>
      <c r="U1965" s="47" t="str">
        <f aca="false">IF(AND(B1965&lt;&gt;"",B1965=SW別シート!$C$3),COUNTIF(B$5:B1965,B1965),"")</f>
        <v/>
      </c>
      <c r="V1965" s="47" t="n">
        <f aca="false">V1964+IF(OR(O1965&lt;&gt;"",W1965&lt;&gt;""),1,0)</f>
        <v>3</v>
      </c>
      <c r="W1965" s="29"/>
    </row>
    <row r="1966" customFormat="false" ht="15" hidden="false" customHeight="false" outlineLevel="0" collapsed="false">
      <c r="A1966" s="32" t="str">
        <f aca="false">IF(B1966="","",ROW()-7)</f>
        <v/>
      </c>
      <c r="B1966" s="30"/>
      <c r="C1966" s="29"/>
      <c r="D1966" s="29"/>
      <c r="E1966" s="29"/>
      <c r="F1966" s="30"/>
      <c r="G1966" s="29"/>
      <c r="H1966" s="30"/>
      <c r="I1966" s="29"/>
      <c r="J1966" s="30"/>
      <c r="K1966" s="30"/>
      <c r="L1966" s="29"/>
      <c r="M1966" s="32" t="str">
        <f aca="false">IF(OR(C1966="",L1966=""),"",IF(C1966=L1966,"同一","変更"))</f>
        <v/>
      </c>
      <c r="N1966" s="29"/>
      <c r="O1966" s="30"/>
      <c r="P1966" s="29"/>
      <c r="Q1966" s="31"/>
      <c r="R1966" s="29"/>
      <c r="S1966" s="29"/>
      <c r="T1966" s="30"/>
      <c r="U1966" s="47" t="str">
        <f aca="false">IF(AND(B1966&lt;&gt;"",B1966=SW別シート!$C$3),COUNTIF(B$5:B1966,B1966),"")</f>
        <v/>
      </c>
      <c r="V1966" s="47" t="n">
        <f aca="false">V1965+IF(OR(O1966&lt;&gt;"",W1966&lt;&gt;""),1,0)</f>
        <v>3</v>
      </c>
      <c r="W1966" s="29"/>
    </row>
    <row r="1967" customFormat="false" ht="15" hidden="false" customHeight="false" outlineLevel="0" collapsed="false">
      <c r="A1967" s="32" t="str">
        <f aca="false">IF(B1967="","",ROW()-7)</f>
        <v/>
      </c>
      <c r="B1967" s="30"/>
      <c r="C1967" s="29"/>
      <c r="D1967" s="29"/>
      <c r="E1967" s="29"/>
      <c r="F1967" s="30"/>
      <c r="G1967" s="29"/>
      <c r="H1967" s="30"/>
      <c r="I1967" s="29"/>
      <c r="J1967" s="30"/>
      <c r="K1967" s="30"/>
      <c r="L1967" s="29"/>
      <c r="M1967" s="32" t="str">
        <f aca="false">IF(OR(C1967="",L1967=""),"",IF(C1967=L1967,"同一","変更"))</f>
        <v/>
      </c>
      <c r="N1967" s="29"/>
      <c r="O1967" s="30"/>
      <c r="P1967" s="29"/>
      <c r="Q1967" s="31"/>
      <c r="R1967" s="29"/>
      <c r="S1967" s="29"/>
      <c r="T1967" s="30"/>
      <c r="U1967" s="47" t="str">
        <f aca="false">IF(AND(B1967&lt;&gt;"",B1967=SW別シート!$C$3),COUNTIF(B$5:B1967,B1967),"")</f>
        <v/>
      </c>
      <c r="V1967" s="47" t="n">
        <f aca="false">V1966+IF(OR(O1967&lt;&gt;"",W1967&lt;&gt;""),1,0)</f>
        <v>3</v>
      </c>
      <c r="W1967" s="29"/>
    </row>
    <row r="1968" customFormat="false" ht="15" hidden="false" customHeight="false" outlineLevel="0" collapsed="false">
      <c r="A1968" s="32" t="str">
        <f aca="false">IF(B1968="","",ROW()-7)</f>
        <v/>
      </c>
      <c r="B1968" s="30"/>
      <c r="C1968" s="29"/>
      <c r="D1968" s="29"/>
      <c r="E1968" s="29"/>
      <c r="F1968" s="30"/>
      <c r="G1968" s="29"/>
      <c r="H1968" s="30"/>
      <c r="I1968" s="29"/>
      <c r="J1968" s="30"/>
      <c r="K1968" s="30"/>
      <c r="L1968" s="29"/>
      <c r="M1968" s="32" t="str">
        <f aca="false">IF(OR(C1968="",L1968=""),"",IF(C1968=L1968,"同一","変更"))</f>
        <v/>
      </c>
      <c r="N1968" s="29"/>
      <c r="O1968" s="30"/>
      <c r="P1968" s="29"/>
      <c r="Q1968" s="31"/>
      <c r="R1968" s="29"/>
      <c r="S1968" s="29"/>
      <c r="T1968" s="30"/>
      <c r="U1968" s="47" t="str">
        <f aca="false">IF(AND(B1968&lt;&gt;"",B1968=SW別シート!$C$3),COUNTIF(B$5:B1968,B1968),"")</f>
        <v/>
      </c>
      <c r="V1968" s="47" t="n">
        <f aca="false">V1967+IF(OR(O1968&lt;&gt;"",W1968&lt;&gt;""),1,0)</f>
        <v>3</v>
      </c>
      <c r="W1968" s="29"/>
    </row>
    <row r="1969" customFormat="false" ht="15" hidden="false" customHeight="false" outlineLevel="0" collapsed="false">
      <c r="A1969" s="32" t="str">
        <f aca="false">IF(B1969="","",ROW()-7)</f>
        <v/>
      </c>
      <c r="B1969" s="30"/>
      <c r="C1969" s="29"/>
      <c r="D1969" s="29"/>
      <c r="E1969" s="29"/>
      <c r="F1969" s="30"/>
      <c r="G1969" s="29"/>
      <c r="H1969" s="30"/>
      <c r="I1969" s="29"/>
      <c r="J1969" s="30"/>
      <c r="K1969" s="30"/>
      <c r="L1969" s="29"/>
      <c r="M1969" s="32" t="str">
        <f aca="false">IF(OR(C1969="",L1969=""),"",IF(C1969=L1969,"同一","変更"))</f>
        <v/>
      </c>
      <c r="N1969" s="29"/>
      <c r="O1969" s="30"/>
      <c r="P1969" s="29"/>
      <c r="Q1969" s="31"/>
      <c r="R1969" s="29"/>
      <c r="S1969" s="29"/>
      <c r="T1969" s="30"/>
      <c r="U1969" s="47" t="str">
        <f aca="false">IF(AND(B1969&lt;&gt;"",B1969=SW別シート!$C$3),COUNTIF(B$5:B1969,B1969),"")</f>
        <v/>
      </c>
      <c r="V1969" s="47" t="n">
        <f aca="false">V1968+IF(OR(O1969&lt;&gt;"",W1969&lt;&gt;""),1,0)</f>
        <v>3</v>
      </c>
      <c r="W1969" s="29"/>
    </row>
    <row r="1970" customFormat="false" ht="15" hidden="false" customHeight="false" outlineLevel="0" collapsed="false">
      <c r="A1970" s="32" t="str">
        <f aca="false">IF(B1970="","",ROW()-7)</f>
        <v/>
      </c>
      <c r="B1970" s="30"/>
      <c r="C1970" s="29"/>
      <c r="D1970" s="29"/>
      <c r="E1970" s="29"/>
      <c r="F1970" s="30"/>
      <c r="G1970" s="29"/>
      <c r="H1970" s="30"/>
      <c r="I1970" s="29"/>
      <c r="J1970" s="30"/>
      <c r="K1970" s="30"/>
      <c r="L1970" s="29"/>
      <c r="M1970" s="32" t="str">
        <f aca="false">IF(OR(C1970="",L1970=""),"",IF(C1970=L1970,"同一","変更"))</f>
        <v/>
      </c>
      <c r="N1970" s="29"/>
      <c r="O1970" s="30"/>
      <c r="P1970" s="29"/>
      <c r="Q1970" s="31"/>
      <c r="R1970" s="29"/>
      <c r="S1970" s="29"/>
      <c r="T1970" s="30"/>
      <c r="U1970" s="47" t="str">
        <f aca="false">IF(AND(B1970&lt;&gt;"",B1970=SW別シート!$C$3),COUNTIF(B$5:B1970,B1970),"")</f>
        <v/>
      </c>
      <c r="V1970" s="47" t="n">
        <f aca="false">V1969+IF(OR(O1970&lt;&gt;"",W1970&lt;&gt;""),1,0)</f>
        <v>3</v>
      </c>
      <c r="W1970" s="29"/>
    </row>
    <row r="1971" customFormat="false" ht="15" hidden="false" customHeight="false" outlineLevel="0" collapsed="false">
      <c r="A1971" s="32" t="str">
        <f aca="false">IF(B1971="","",ROW()-7)</f>
        <v/>
      </c>
      <c r="B1971" s="30"/>
      <c r="C1971" s="29"/>
      <c r="D1971" s="29"/>
      <c r="E1971" s="29"/>
      <c r="F1971" s="30"/>
      <c r="G1971" s="29"/>
      <c r="H1971" s="30"/>
      <c r="I1971" s="29"/>
      <c r="J1971" s="30"/>
      <c r="K1971" s="30"/>
      <c r="L1971" s="29"/>
      <c r="M1971" s="32" t="str">
        <f aca="false">IF(OR(C1971="",L1971=""),"",IF(C1971=L1971,"同一","変更"))</f>
        <v/>
      </c>
      <c r="N1971" s="29"/>
      <c r="O1971" s="30"/>
      <c r="P1971" s="29"/>
      <c r="Q1971" s="31"/>
      <c r="R1971" s="29"/>
      <c r="S1971" s="29"/>
      <c r="T1971" s="30"/>
      <c r="U1971" s="47" t="str">
        <f aca="false">IF(AND(B1971&lt;&gt;"",B1971=SW別シート!$C$3),COUNTIF(B$5:B1971,B1971),"")</f>
        <v/>
      </c>
      <c r="V1971" s="47" t="n">
        <f aca="false">V1970+IF(OR(O1971&lt;&gt;"",W1971&lt;&gt;""),1,0)</f>
        <v>3</v>
      </c>
      <c r="W1971" s="29"/>
    </row>
    <row r="1972" customFormat="false" ht="15" hidden="false" customHeight="false" outlineLevel="0" collapsed="false">
      <c r="A1972" s="32" t="str">
        <f aca="false">IF(B1972="","",ROW()-7)</f>
        <v/>
      </c>
      <c r="B1972" s="30"/>
      <c r="C1972" s="29"/>
      <c r="D1972" s="29"/>
      <c r="E1972" s="29"/>
      <c r="F1972" s="30"/>
      <c r="G1972" s="29"/>
      <c r="H1972" s="30"/>
      <c r="I1972" s="29"/>
      <c r="J1972" s="30"/>
      <c r="K1972" s="30"/>
      <c r="L1972" s="29"/>
      <c r="M1972" s="32" t="str">
        <f aca="false">IF(OR(C1972="",L1972=""),"",IF(C1972=L1972,"同一","変更"))</f>
        <v/>
      </c>
      <c r="N1972" s="29"/>
      <c r="O1972" s="30"/>
      <c r="P1972" s="29"/>
      <c r="Q1972" s="31"/>
      <c r="R1972" s="29"/>
      <c r="S1972" s="29"/>
      <c r="T1972" s="30"/>
      <c r="U1972" s="47" t="str">
        <f aca="false">IF(AND(B1972&lt;&gt;"",B1972=SW別シート!$C$3),COUNTIF(B$5:B1972,B1972),"")</f>
        <v/>
      </c>
      <c r="V1972" s="47" t="n">
        <f aca="false">V1971+IF(OR(O1972&lt;&gt;"",W1972&lt;&gt;""),1,0)</f>
        <v>3</v>
      </c>
      <c r="W1972" s="29"/>
    </row>
    <row r="1973" customFormat="false" ht="15" hidden="false" customHeight="false" outlineLevel="0" collapsed="false">
      <c r="A1973" s="32" t="str">
        <f aca="false">IF(B1973="","",ROW()-7)</f>
        <v/>
      </c>
      <c r="B1973" s="30"/>
      <c r="C1973" s="29"/>
      <c r="D1973" s="29"/>
      <c r="E1973" s="29"/>
      <c r="F1973" s="30"/>
      <c r="G1973" s="29"/>
      <c r="H1973" s="30"/>
      <c r="I1973" s="29"/>
      <c r="J1973" s="30"/>
      <c r="K1973" s="30"/>
      <c r="L1973" s="29"/>
      <c r="M1973" s="32" t="str">
        <f aca="false">IF(OR(C1973="",L1973=""),"",IF(C1973=L1973,"同一","変更"))</f>
        <v/>
      </c>
      <c r="N1973" s="29"/>
      <c r="O1973" s="30"/>
      <c r="P1973" s="29"/>
      <c r="Q1973" s="31"/>
      <c r="R1973" s="29"/>
      <c r="S1973" s="29"/>
      <c r="T1973" s="30"/>
      <c r="U1973" s="47" t="str">
        <f aca="false">IF(AND(B1973&lt;&gt;"",B1973=SW別シート!$C$3),COUNTIF(B$5:B1973,B1973),"")</f>
        <v/>
      </c>
      <c r="V1973" s="47" t="n">
        <f aca="false">V1972+IF(OR(O1973&lt;&gt;"",W1973&lt;&gt;""),1,0)</f>
        <v>3</v>
      </c>
      <c r="W1973" s="29"/>
    </row>
    <row r="1974" customFormat="false" ht="15" hidden="false" customHeight="false" outlineLevel="0" collapsed="false">
      <c r="A1974" s="32" t="str">
        <f aca="false">IF(B1974="","",ROW()-7)</f>
        <v/>
      </c>
      <c r="B1974" s="30"/>
      <c r="C1974" s="29"/>
      <c r="D1974" s="29"/>
      <c r="E1974" s="29"/>
      <c r="F1974" s="30"/>
      <c r="G1974" s="29"/>
      <c r="H1974" s="30"/>
      <c r="I1974" s="29"/>
      <c r="J1974" s="30"/>
      <c r="K1974" s="30"/>
      <c r="L1974" s="29"/>
      <c r="M1974" s="32" t="str">
        <f aca="false">IF(OR(C1974="",L1974=""),"",IF(C1974=L1974,"同一","変更"))</f>
        <v/>
      </c>
      <c r="N1974" s="29"/>
      <c r="O1974" s="30"/>
      <c r="P1974" s="29"/>
      <c r="Q1974" s="31"/>
      <c r="R1974" s="29"/>
      <c r="S1974" s="29"/>
      <c r="T1974" s="30"/>
      <c r="U1974" s="47" t="str">
        <f aca="false">IF(AND(B1974&lt;&gt;"",B1974=SW別シート!$C$3),COUNTIF(B$5:B1974,B1974),"")</f>
        <v/>
      </c>
      <c r="V1974" s="47" t="n">
        <f aca="false">V1973+IF(OR(O1974&lt;&gt;"",W1974&lt;&gt;""),1,0)</f>
        <v>3</v>
      </c>
      <c r="W1974" s="29"/>
    </row>
    <row r="1975" customFormat="false" ht="15" hidden="false" customHeight="false" outlineLevel="0" collapsed="false">
      <c r="A1975" s="32" t="str">
        <f aca="false">IF(B1975="","",ROW()-7)</f>
        <v/>
      </c>
      <c r="B1975" s="30"/>
      <c r="C1975" s="29"/>
      <c r="D1975" s="29"/>
      <c r="E1975" s="29"/>
      <c r="F1975" s="30"/>
      <c r="G1975" s="29"/>
      <c r="H1975" s="30"/>
      <c r="I1975" s="29"/>
      <c r="J1975" s="30"/>
      <c r="K1975" s="30"/>
      <c r="L1975" s="29"/>
      <c r="M1975" s="32" t="str">
        <f aca="false">IF(OR(C1975="",L1975=""),"",IF(C1975=L1975,"同一","変更"))</f>
        <v/>
      </c>
      <c r="N1975" s="29"/>
      <c r="O1975" s="30"/>
      <c r="P1975" s="29"/>
      <c r="Q1975" s="31"/>
      <c r="R1975" s="29"/>
      <c r="S1975" s="29"/>
      <c r="T1975" s="30"/>
      <c r="U1975" s="47" t="str">
        <f aca="false">IF(AND(B1975&lt;&gt;"",B1975=SW別シート!$C$3),COUNTIF(B$5:B1975,B1975),"")</f>
        <v/>
      </c>
      <c r="V1975" s="47" t="n">
        <f aca="false">V1974+IF(OR(O1975&lt;&gt;"",W1975&lt;&gt;""),1,0)</f>
        <v>3</v>
      </c>
      <c r="W1975" s="29"/>
    </row>
    <row r="1976" customFormat="false" ht="15" hidden="false" customHeight="false" outlineLevel="0" collapsed="false">
      <c r="A1976" s="32" t="str">
        <f aca="false">IF(B1976="","",ROW()-7)</f>
        <v/>
      </c>
      <c r="B1976" s="30"/>
      <c r="C1976" s="29"/>
      <c r="D1976" s="29"/>
      <c r="E1976" s="29"/>
      <c r="F1976" s="30"/>
      <c r="G1976" s="29"/>
      <c r="H1976" s="30"/>
      <c r="I1976" s="29"/>
      <c r="J1976" s="30"/>
      <c r="K1976" s="30"/>
      <c r="L1976" s="29"/>
      <c r="M1976" s="32" t="str">
        <f aca="false">IF(OR(C1976="",L1976=""),"",IF(C1976=L1976,"同一","変更"))</f>
        <v/>
      </c>
      <c r="N1976" s="29"/>
      <c r="O1976" s="30"/>
      <c r="P1976" s="29"/>
      <c r="Q1976" s="31"/>
      <c r="R1976" s="29"/>
      <c r="S1976" s="29"/>
      <c r="T1976" s="30"/>
      <c r="U1976" s="47" t="str">
        <f aca="false">IF(AND(B1976&lt;&gt;"",B1976=SW別シート!$C$3),COUNTIF(B$5:B1976,B1976),"")</f>
        <v/>
      </c>
      <c r="V1976" s="47" t="n">
        <f aca="false">V1975+IF(OR(O1976&lt;&gt;"",W1976&lt;&gt;""),1,0)</f>
        <v>3</v>
      </c>
      <c r="W1976" s="29"/>
    </row>
    <row r="1977" customFormat="false" ht="15" hidden="false" customHeight="false" outlineLevel="0" collapsed="false">
      <c r="A1977" s="32" t="str">
        <f aca="false">IF(B1977="","",ROW()-7)</f>
        <v/>
      </c>
      <c r="B1977" s="30"/>
      <c r="C1977" s="29"/>
      <c r="D1977" s="29"/>
      <c r="E1977" s="29"/>
      <c r="F1977" s="30"/>
      <c r="G1977" s="29"/>
      <c r="H1977" s="30"/>
      <c r="I1977" s="29"/>
      <c r="J1977" s="30"/>
      <c r="K1977" s="30"/>
      <c r="L1977" s="29"/>
      <c r="M1977" s="32" t="str">
        <f aca="false">IF(OR(C1977="",L1977=""),"",IF(C1977=L1977,"同一","変更"))</f>
        <v/>
      </c>
      <c r="N1977" s="29"/>
      <c r="O1977" s="30"/>
      <c r="P1977" s="29"/>
      <c r="Q1977" s="31"/>
      <c r="R1977" s="29"/>
      <c r="S1977" s="29"/>
      <c r="T1977" s="30"/>
      <c r="U1977" s="47" t="str">
        <f aca="false">IF(AND(B1977&lt;&gt;"",B1977=SW別シート!$C$3),COUNTIF(B$5:B1977,B1977),"")</f>
        <v/>
      </c>
      <c r="V1977" s="47" t="n">
        <f aca="false">V1976+IF(OR(O1977&lt;&gt;"",W1977&lt;&gt;""),1,0)</f>
        <v>3</v>
      </c>
      <c r="W1977" s="29"/>
    </row>
    <row r="1978" customFormat="false" ht="15" hidden="false" customHeight="false" outlineLevel="0" collapsed="false">
      <c r="A1978" s="32" t="str">
        <f aca="false">IF(B1978="","",ROW()-7)</f>
        <v/>
      </c>
      <c r="B1978" s="30"/>
      <c r="C1978" s="29"/>
      <c r="D1978" s="29"/>
      <c r="E1978" s="29"/>
      <c r="F1978" s="30"/>
      <c r="G1978" s="29"/>
      <c r="H1978" s="30"/>
      <c r="I1978" s="29"/>
      <c r="J1978" s="30"/>
      <c r="K1978" s="30"/>
      <c r="L1978" s="29"/>
      <c r="M1978" s="32" t="str">
        <f aca="false">IF(OR(C1978="",L1978=""),"",IF(C1978=L1978,"同一","変更"))</f>
        <v/>
      </c>
      <c r="N1978" s="29"/>
      <c r="O1978" s="30"/>
      <c r="P1978" s="29"/>
      <c r="Q1978" s="31"/>
      <c r="R1978" s="29"/>
      <c r="S1978" s="29"/>
      <c r="T1978" s="30"/>
      <c r="U1978" s="47" t="str">
        <f aca="false">IF(AND(B1978&lt;&gt;"",B1978=SW別シート!$C$3),COUNTIF(B$5:B1978,B1978),"")</f>
        <v/>
      </c>
      <c r="V1978" s="47" t="n">
        <f aca="false">V1977+IF(OR(O1978&lt;&gt;"",W1978&lt;&gt;""),1,0)</f>
        <v>3</v>
      </c>
      <c r="W1978" s="29"/>
    </row>
    <row r="1979" customFormat="false" ht="15" hidden="false" customHeight="false" outlineLevel="0" collapsed="false">
      <c r="A1979" s="32" t="str">
        <f aca="false">IF(B1979="","",ROW()-7)</f>
        <v/>
      </c>
      <c r="B1979" s="30"/>
      <c r="C1979" s="29"/>
      <c r="D1979" s="29"/>
      <c r="E1979" s="29"/>
      <c r="F1979" s="30"/>
      <c r="G1979" s="29"/>
      <c r="H1979" s="30"/>
      <c r="I1979" s="29"/>
      <c r="J1979" s="30"/>
      <c r="K1979" s="30"/>
      <c r="L1979" s="29"/>
      <c r="M1979" s="32" t="str">
        <f aca="false">IF(OR(C1979="",L1979=""),"",IF(C1979=L1979,"同一","変更"))</f>
        <v/>
      </c>
      <c r="N1979" s="29"/>
      <c r="O1979" s="30"/>
      <c r="P1979" s="29"/>
      <c r="Q1979" s="31"/>
      <c r="R1979" s="29"/>
      <c r="S1979" s="29"/>
      <c r="T1979" s="30"/>
      <c r="U1979" s="47" t="str">
        <f aca="false">IF(AND(B1979&lt;&gt;"",B1979=SW別シート!$C$3),COUNTIF(B$5:B1979,B1979),"")</f>
        <v/>
      </c>
      <c r="V1979" s="47" t="n">
        <f aca="false">V1978+IF(OR(O1979&lt;&gt;"",W1979&lt;&gt;""),1,0)</f>
        <v>3</v>
      </c>
      <c r="W1979" s="29"/>
    </row>
    <row r="1980" customFormat="false" ht="15" hidden="false" customHeight="false" outlineLevel="0" collapsed="false">
      <c r="A1980" s="32" t="str">
        <f aca="false">IF(B1980="","",ROW()-7)</f>
        <v/>
      </c>
      <c r="B1980" s="30"/>
      <c r="C1980" s="29"/>
      <c r="D1980" s="29"/>
      <c r="E1980" s="29"/>
      <c r="F1980" s="30"/>
      <c r="G1980" s="29"/>
      <c r="H1980" s="30"/>
      <c r="I1980" s="29"/>
      <c r="J1980" s="30"/>
      <c r="K1980" s="30"/>
      <c r="L1980" s="29"/>
      <c r="M1980" s="32" t="str">
        <f aca="false">IF(OR(C1980="",L1980=""),"",IF(C1980=L1980,"同一","変更"))</f>
        <v/>
      </c>
      <c r="N1980" s="29"/>
      <c r="O1980" s="30"/>
      <c r="P1980" s="29"/>
      <c r="Q1980" s="31"/>
      <c r="R1980" s="29"/>
      <c r="S1980" s="29"/>
      <c r="T1980" s="30"/>
      <c r="U1980" s="47" t="str">
        <f aca="false">IF(AND(B1980&lt;&gt;"",B1980=SW別シート!$C$3),COUNTIF(B$5:B1980,B1980),"")</f>
        <v/>
      </c>
      <c r="V1980" s="47" t="n">
        <f aca="false">V1979+IF(OR(O1980&lt;&gt;"",W1980&lt;&gt;""),1,0)</f>
        <v>3</v>
      </c>
      <c r="W1980" s="29"/>
    </row>
    <row r="1981" customFormat="false" ht="15" hidden="false" customHeight="false" outlineLevel="0" collapsed="false">
      <c r="A1981" s="32" t="str">
        <f aca="false">IF(B1981="","",ROW()-7)</f>
        <v/>
      </c>
      <c r="B1981" s="30"/>
      <c r="C1981" s="29"/>
      <c r="D1981" s="29"/>
      <c r="E1981" s="29"/>
      <c r="F1981" s="30"/>
      <c r="G1981" s="29"/>
      <c r="H1981" s="30"/>
      <c r="I1981" s="29"/>
      <c r="J1981" s="30"/>
      <c r="K1981" s="30"/>
      <c r="L1981" s="29"/>
      <c r="M1981" s="32" t="str">
        <f aca="false">IF(OR(C1981="",L1981=""),"",IF(C1981=L1981,"同一","変更"))</f>
        <v/>
      </c>
      <c r="N1981" s="29"/>
      <c r="O1981" s="30"/>
      <c r="P1981" s="29"/>
      <c r="Q1981" s="31"/>
      <c r="R1981" s="29"/>
      <c r="S1981" s="29"/>
      <c r="T1981" s="30"/>
      <c r="U1981" s="47" t="str">
        <f aca="false">IF(AND(B1981&lt;&gt;"",B1981=SW別シート!$C$3),COUNTIF(B$5:B1981,B1981),"")</f>
        <v/>
      </c>
      <c r="V1981" s="47" t="n">
        <f aca="false">V1980+IF(OR(O1981&lt;&gt;"",W1981&lt;&gt;""),1,0)</f>
        <v>3</v>
      </c>
      <c r="W1981" s="29"/>
    </row>
    <row r="1982" customFormat="false" ht="15" hidden="false" customHeight="false" outlineLevel="0" collapsed="false">
      <c r="A1982" s="32" t="str">
        <f aca="false">IF(B1982="","",ROW()-7)</f>
        <v/>
      </c>
      <c r="B1982" s="30"/>
      <c r="C1982" s="29"/>
      <c r="D1982" s="29"/>
      <c r="E1982" s="29"/>
      <c r="F1982" s="30"/>
      <c r="G1982" s="29"/>
      <c r="H1982" s="30"/>
      <c r="I1982" s="29"/>
      <c r="J1982" s="30"/>
      <c r="K1982" s="30"/>
      <c r="L1982" s="29"/>
      <c r="M1982" s="32" t="str">
        <f aca="false">IF(OR(C1982="",L1982=""),"",IF(C1982=L1982,"同一","変更"))</f>
        <v/>
      </c>
      <c r="N1982" s="29"/>
      <c r="O1982" s="30"/>
      <c r="P1982" s="29"/>
      <c r="Q1982" s="31"/>
      <c r="R1982" s="29"/>
      <c r="S1982" s="29"/>
      <c r="T1982" s="30"/>
      <c r="U1982" s="47" t="str">
        <f aca="false">IF(AND(B1982&lt;&gt;"",B1982=SW別シート!$C$3),COUNTIF(B$5:B1982,B1982),"")</f>
        <v/>
      </c>
      <c r="V1982" s="47" t="n">
        <f aca="false">V1981+IF(OR(O1982&lt;&gt;"",W1982&lt;&gt;""),1,0)</f>
        <v>3</v>
      </c>
      <c r="W1982" s="29"/>
    </row>
    <row r="1983" customFormat="false" ht="15" hidden="false" customHeight="false" outlineLevel="0" collapsed="false">
      <c r="A1983" s="32" t="str">
        <f aca="false">IF(B1983="","",ROW()-7)</f>
        <v/>
      </c>
      <c r="B1983" s="30"/>
      <c r="C1983" s="29"/>
      <c r="D1983" s="29"/>
      <c r="E1983" s="29"/>
      <c r="F1983" s="30"/>
      <c r="G1983" s="29"/>
      <c r="H1983" s="30"/>
      <c r="I1983" s="29"/>
      <c r="J1983" s="30"/>
      <c r="K1983" s="30"/>
      <c r="L1983" s="29"/>
      <c r="M1983" s="32" t="str">
        <f aca="false">IF(OR(C1983="",L1983=""),"",IF(C1983=L1983,"同一","変更"))</f>
        <v/>
      </c>
      <c r="N1983" s="29"/>
      <c r="O1983" s="30"/>
      <c r="P1983" s="29"/>
      <c r="Q1983" s="31"/>
      <c r="R1983" s="29"/>
      <c r="S1983" s="29"/>
      <c r="T1983" s="30"/>
      <c r="U1983" s="47" t="str">
        <f aca="false">IF(AND(B1983&lt;&gt;"",B1983=SW別シート!$C$3),COUNTIF(B$5:B1983,B1983),"")</f>
        <v/>
      </c>
      <c r="V1983" s="47" t="n">
        <f aca="false">V1982+IF(OR(O1983&lt;&gt;"",W1983&lt;&gt;""),1,0)</f>
        <v>3</v>
      </c>
      <c r="W1983" s="29"/>
    </row>
    <row r="1984" customFormat="false" ht="15" hidden="false" customHeight="false" outlineLevel="0" collapsed="false">
      <c r="A1984" s="32" t="str">
        <f aca="false">IF(B1984="","",ROW()-7)</f>
        <v/>
      </c>
      <c r="B1984" s="30"/>
      <c r="C1984" s="29"/>
      <c r="D1984" s="29"/>
      <c r="E1984" s="29"/>
      <c r="F1984" s="30"/>
      <c r="G1984" s="29"/>
      <c r="H1984" s="30"/>
      <c r="I1984" s="29"/>
      <c r="J1984" s="30"/>
      <c r="K1984" s="30"/>
      <c r="L1984" s="29"/>
      <c r="M1984" s="32" t="str">
        <f aca="false">IF(OR(C1984="",L1984=""),"",IF(C1984=L1984,"同一","変更"))</f>
        <v/>
      </c>
      <c r="N1984" s="29"/>
      <c r="O1984" s="30"/>
      <c r="P1984" s="29"/>
      <c r="Q1984" s="31"/>
      <c r="R1984" s="29"/>
      <c r="S1984" s="29"/>
      <c r="T1984" s="30"/>
      <c r="U1984" s="47" t="str">
        <f aca="false">IF(AND(B1984&lt;&gt;"",B1984=SW別シート!$C$3),COUNTIF(B$5:B1984,B1984),"")</f>
        <v/>
      </c>
      <c r="V1984" s="47" t="n">
        <f aca="false">V1983+IF(OR(O1984&lt;&gt;"",W1984&lt;&gt;""),1,0)</f>
        <v>3</v>
      </c>
      <c r="W1984" s="29"/>
    </row>
    <row r="1985" customFormat="false" ht="15" hidden="false" customHeight="false" outlineLevel="0" collapsed="false">
      <c r="A1985" s="32" t="str">
        <f aca="false">IF(B1985="","",ROW()-7)</f>
        <v/>
      </c>
      <c r="B1985" s="30"/>
      <c r="C1985" s="29"/>
      <c r="D1985" s="29"/>
      <c r="E1985" s="29"/>
      <c r="F1985" s="30"/>
      <c r="G1985" s="29"/>
      <c r="H1985" s="30"/>
      <c r="I1985" s="29"/>
      <c r="J1985" s="30"/>
      <c r="K1985" s="30"/>
      <c r="L1985" s="29"/>
      <c r="M1985" s="32" t="str">
        <f aca="false">IF(OR(C1985="",L1985=""),"",IF(C1985=L1985,"同一","変更"))</f>
        <v/>
      </c>
      <c r="N1985" s="29"/>
      <c r="O1985" s="30"/>
      <c r="P1985" s="29"/>
      <c r="Q1985" s="31"/>
      <c r="R1985" s="29"/>
      <c r="S1985" s="29"/>
      <c r="T1985" s="30"/>
      <c r="U1985" s="47" t="str">
        <f aca="false">IF(AND(B1985&lt;&gt;"",B1985=SW別シート!$C$3),COUNTIF(B$5:B1985,B1985),"")</f>
        <v/>
      </c>
      <c r="V1985" s="47" t="n">
        <f aca="false">V1984+IF(OR(O1985&lt;&gt;"",W1985&lt;&gt;""),1,0)</f>
        <v>3</v>
      </c>
      <c r="W1985" s="29"/>
    </row>
    <row r="1986" customFormat="false" ht="15" hidden="false" customHeight="false" outlineLevel="0" collapsed="false">
      <c r="A1986" s="32" t="str">
        <f aca="false">IF(B1986="","",ROW()-7)</f>
        <v/>
      </c>
      <c r="B1986" s="30"/>
      <c r="C1986" s="29"/>
      <c r="D1986" s="29"/>
      <c r="E1986" s="29"/>
      <c r="F1986" s="30"/>
      <c r="G1986" s="29"/>
      <c r="H1986" s="30"/>
      <c r="I1986" s="29"/>
      <c r="J1986" s="30"/>
      <c r="K1986" s="30"/>
      <c r="L1986" s="29"/>
      <c r="M1986" s="32" t="str">
        <f aca="false">IF(OR(C1986="",L1986=""),"",IF(C1986=L1986,"同一","変更"))</f>
        <v/>
      </c>
      <c r="N1986" s="29"/>
      <c r="O1986" s="30"/>
      <c r="P1986" s="29"/>
      <c r="Q1986" s="31"/>
      <c r="R1986" s="29"/>
      <c r="S1986" s="29"/>
      <c r="T1986" s="30"/>
      <c r="U1986" s="47" t="str">
        <f aca="false">IF(AND(B1986&lt;&gt;"",B1986=SW別シート!$C$3),COUNTIF(B$5:B1986,B1986),"")</f>
        <v/>
      </c>
      <c r="V1986" s="47" t="n">
        <f aca="false">V1985+IF(OR(O1986&lt;&gt;"",W1986&lt;&gt;""),1,0)</f>
        <v>3</v>
      </c>
      <c r="W1986" s="29"/>
    </row>
    <row r="1987" customFormat="false" ht="15" hidden="false" customHeight="false" outlineLevel="0" collapsed="false">
      <c r="A1987" s="32" t="str">
        <f aca="false">IF(B1987="","",ROW()-7)</f>
        <v/>
      </c>
      <c r="B1987" s="30"/>
      <c r="C1987" s="29"/>
      <c r="D1987" s="29"/>
      <c r="E1987" s="29"/>
      <c r="F1987" s="30"/>
      <c r="G1987" s="29"/>
      <c r="H1987" s="30"/>
      <c r="I1987" s="29"/>
      <c r="J1987" s="30"/>
      <c r="K1987" s="30"/>
      <c r="L1987" s="29"/>
      <c r="M1987" s="32" t="str">
        <f aca="false">IF(OR(C1987="",L1987=""),"",IF(C1987=L1987,"同一","変更"))</f>
        <v/>
      </c>
      <c r="N1987" s="29"/>
      <c r="O1987" s="30"/>
      <c r="P1987" s="29"/>
      <c r="Q1987" s="31"/>
      <c r="R1987" s="29"/>
      <c r="S1987" s="29"/>
      <c r="T1987" s="30"/>
      <c r="U1987" s="47" t="str">
        <f aca="false">IF(AND(B1987&lt;&gt;"",B1987=SW別シート!$C$3),COUNTIF(B$5:B1987,B1987),"")</f>
        <v/>
      </c>
      <c r="V1987" s="47" t="n">
        <f aca="false">V1986+IF(OR(O1987&lt;&gt;"",W1987&lt;&gt;""),1,0)</f>
        <v>3</v>
      </c>
      <c r="W1987" s="29"/>
    </row>
    <row r="1988" customFormat="false" ht="15" hidden="false" customHeight="false" outlineLevel="0" collapsed="false">
      <c r="A1988" s="32" t="str">
        <f aca="false">IF(B1988="","",ROW()-7)</f>
        <v/>
      </c>
      <c r="B1988" s="30"/>
      <c r="C1988" s="29"/>
      <c r="D1988" s="29"/>
      <c r="E1988" s="29"/>
      <c r="F1988" s="30"/>
      <c r="G1988" s="29"/>
      <c r="H1988" s="30"/>
      <c r="I1988" s="29"/>
      <c r="J1988" s="30"/>
      <c r="K1988" s="30"/>
      <c r="L1988" s="29"/>
      <c r="M1988" s="32" t="str">
        <f aca="false">IF(OR(C1988="",L1988=""),"",IF(C1988=L1988,"同一","変更"))</f>
        <v/>
      </c>
      <c r="N1988" s="29"/>
      <c r="O1988" s="30"/>
      <c r="P1988" s="29"/>
      <c r="Q1988" s="31"/>
      <c r="R1988" s="29"/>
      <c r="S1988" s="29"/>
      <c r="T1988" s="30"/>
      <c r="U1988" s="47" t="str">
        <f aca="false">IF(AND(B1988&lt;&gt;"",B1988=SW別シート!$C$3),COUNTIF(B$5:B1988,B1988),"")</f>
        <v/>
      </c>
      <c r="V1988" s="47" t="n">
        <f aca="false">V1987+IF(OR(O1988&lt;&gt;"",W1988&lt;&gt;""),1,0)</f>
        <v>3</v>
      </c>
      <c r="W1988" s="29"/>
    </row>
    <row r="1989" customFormat="false" ht="15" hidden="false" customHeight="false" outlineLevel="0" collapsed="false">
      <c r="A1989" s="32" t="str">
        <f aca="false">IF(B1989="","",ROW()-7)</f>
        <v/>
      </c>
      <c r="B1989" s="30"/>
      <c r="C1989" s="29"/>
      <c r="D1989" s="29"/>
      <c r="E1989" s="29"/>
      <c r="F1989" s="30"/>
      <c r="G1989" s="29"/>
      <c r="H1989" s="30"/>
      <c r="I1989" s="29"/>
      <c r="J1989" s="30"/>
      <c r="K1989" s="30"/>
      <c r="L1989" s="29"/>
      <c r="M1989" s="32" t="str">
        <f aca="false">IF(OR(C1989="",L1989=""),"",IF(C1989=L1989,"同一","変更"))</f>
        <v/>
      </c>
      <c r="N1989" s="29"/>
      <c r="O1989" s="30"/>
      <c r="P1989" s="29"/>
      <c r="Q1989" s="31"/>
      <c r="R1989" s="29"/>
      <c r="S1989" s="29"/>
      <c r="T1989" s="30"/>
      <c r="U1989" s="47" t="str">
        <f aca="false">IF(AND(B1989&lt;&gt;"",B1989=SW別シート!$C$3),COUNTIF(B$5:B1989,B1989),"")</f>
        <v/>
      </c>
      <c r="V1989" s="47" t="n">
        <f aca="false">V1988+IF(OR(O1989&lt;&gt;"",W1989&lt;&gt;""),1,0)</f>
        <v>3</v>
      </c>
      <c r="W1989" s="29"/>
    </row>
    <row r="1990" customFormat="false" ht="15" hidden="false" customHeight="false" outlineLevel="0" collapsed="false">
      <c r="A1990" s="32" t="str">
        <f aca="false">IF(B1990="","",ROW()-7)</f>
        <v/>
      </c>
      <c r="B1990" s="30"/>
      <c r="C1990" s="29"/>
      <c r="D1990" s="29"/>
      <c r="E1990" s="29"/>
      <c r="F1990" s="30"/>
      <c r="G1990" s="29"/>
      <c r="H1990" s="30"/>
      <c r="I1990" s="29"/>
      <c r="J1990" s="30"/>
      <c r="K1990" s="30"/>
      <c r="L1990" s="29"/>
      <c r="M1990" s="32" t="str">
        <f aca="false">IF(OR(C1990="",L1990=""),"",IF(C1990=L1990,"同一","変更"))</f>
        <v/>
      </c>
      <c r="N1990" s="29"/>
      <c r="O1990" s="30"/>
      <c r="P1990" s="29"/>
      <c r="Q1990" s="31"/>
      <c r="R1990" s="29"/>
      <c r="S1990" s="29"/>
      <c r="T1990" s="30"/>
      <c r="U1990" s="47" t="str">
        <f aca="false">IF(AND(B1990&lt;&gt;"",B1990=SW別シート!$C$3),COUNTIF(B$5:B1990,B1990),"")</f>
        <v/>
      </c>
      <c r="V1990" s="47" t="n">
        <f aca="false">V1989+IF(OR(O1990&lt;&gt;"",W1990&lt;&gt;""),1,0)</f>
        <v>3</v>
      </c>
      <c r="W1990" s="29"/>
    </row>
    <row r="1991" customFormat="false" ht="15" hidden="false" customHeight="false" outlineLevel="0" collapsed="false">
      <c r="A1991" s="32" t="str">
        <f aca="false">IF(B1991="","",ROW()-7)</f>
        <v/>
      </c>
      <c r="B1991" s="30"/>
      <c r="C1991" s="29"/>
      <c r="D1991" s="29"/>
      <c r="E1991" s="29"/>
      <c r="F1991" s="30"/>
      <c r="G1991" s="29"/>
      <c r="H1991" s="30"/>
      <c r="I1991" s="29"/>
      <c r="J1991" s="30"/>
      <c r="K1991" s="30"/>
      <c r="L1991" s="29"/>
      <c r="M1991" s="32" t="str">
        <f aca="false">IF(OR(C1991="",L1991=""),"",IF(C1991=L1991,"同一","変更"))</f>
        <v/>
      </c>
      <c r="N1991" s="29"/>
      <c r="O1991" s="30"/>
      <c r="P1991" s="29"/>
      <c r="Q1991" s="31"/>
      <c r="R1991" s="29"/>
      <c r="S1991" s="29"/>
      <c r="T1991" s="30"/>
      <c r="U1991" s="47" t="str">
        <f aca="false">IF(AND(B1991&lt;&gt;"",B1991=SW別シート!$C$3),COUNTIF(B$5:B1991,B1991),"")</f>
        <v/>
      </c>
      <c r="V1991" s="47" t="n">
        <f aca="false">V1990+IF(OR(O1991&lt;&gt;"",W1991&lt;&gt;""),1,0)</f>
        <v>3</v>
      </c>
      <c r="W1991" s="29"/>
    </row>
    <row r="1992" customFormat="false" ht="15" hidden="false" customHeight="false" outlineLevel="0" collapsed="false">
      <c r="A1992" s="32" t="str">
        <f aca="false">IF(B1992="","",ROW()-7)</f>
        <v/>
      </c>
      <c r="B1992" s="30"/>
      <c r="C1992" s="29"/>
      <c r="D1992" s="29"/>
      <c r="E1992" s="29"/>
      <c r="F1992" s="30"/>
      <c r="G1992" s="29"/>
      <c r="H1992" s="30"/>
      <c r="I1992" s="29"/>
      <c r="J1992" s="30"/>
      <c r="K1992" s="30"/>
      <c r="L1992" s="29"/>
      <c r="M1992" s="32" t="str">
        <f aca="false">IF(OR(C1992="",L1992=""),"",IF(C1992=L1992,"同一","変更"))</f>
        <v/>
      </c>
      <c r="N1992" s="29"/>
      <c r="O1992" s="30"/>
      <c r="P1992" s="29"/>
      <c r="Q1992" s="31"/>
      <c r="R1992" s="29"/>
      <c r="S1992" s="29"/>
      <c r="T1992" s="30"/>
      <c r="U1992" s="47" t="str">
        <f aca="false">IF(AND(B1992&lt;&gt;"",B1992=SW別シート!$C$3),COUNTIF(B$5:B1992,B1992),"")</f>
        <v/>
      </c>
      <c r="V1992" s="47" t="n">
        <f aca="false">V1991+IF(OR(O1992&lt;&gt;"",W1992&lt;&gt;""),1,0)</f>
        <v>3</v>
      </c>
      <c r="W1992" s="29"/>
    </row>
    <row r="1993" customFormat="false" ht="15" hidden="false" customHeight="false" outlineLevel="0" collapsed="false">
      <c r="A1993" s="32" t="str">
        <f aca="false">IF(B1993="","",ROW()-7)</f>
        <v/>
      </c>
      <c r="B1993" s="30"/>
      <c r="C1993" s="29"/>
      <c r="D1993" s="29"/>
      <c r="E1993" s="29"/>
      <c r="F1993" s="30"/>
      <c r="G1993" s="29"/>
      <c r="H1993" s="30"/>
      <c r="I1993" s="29"/>
      <c r="J1993" s="30"/>
      <c r="K1993" s="30"/>
      <c r="L1993" s="29"/>
      <c r="M1993" s="32" t="str">
        <f aca="false">IF(OR(C1993="",L1993=""),"",IF(C1993=L1993,"同一","変更"))</f>
        <v/>
      </c>
      <c r="N1993" s="29"/>
      <c r="O1993" s="30"/>
      <c r="P1993" s="29"/>
      <c r="Q1993" s="31"/>
      <c r="R1993" s="29"/>
      <c r="S1993" s="29"/>
      <c r="T1993" s="30"/>
      <c r="U1993" s="47" t="str">
        <f aca="false">IF(AND(B1993&lt;&gt;"",B1993=SW別シート!$C$3),COUNTIF(B$5:B1993,B1993),"")</f>
        <v/>
      </c>
      <c r="V1993" s="47" t="n">
        <f aca="false">V1992+IF(OR(O1993&lt;&gt;"",W1993&lt;&gt;""),1,0)</f>
        <v>3</v>
      </c>
      <c r="W1993" s="29"/>
    </row>
    <row r="1994" customFormat="false" ht="15" hidden="false" customHeight="false" outlineLevel="0" collapsed="false">
      <c r="A1994" s="32" t="str">
        <f aca="false">IF(B1994="","",ROW()-7)</f>
        <v/>
      </c>
      <c r="B1994" s="30"/>
      <c r="C1994" s="29"/>
      <c r="D1994" s="29"/>
      <c r="E1994" s="29"/>
      <c r="F1994" s="30"/>
      <c r="G1994" s="29"/>
      <c r="H1994" s="30"/>
      <c r="I1994" s="29"/>
      <c r="J1994" s="30"/>
      <c r="K1994" s="30"/>
      <c r="L1994" s="29"/>
      <c r="M1994" s="32" t="str">
        <f aca="false">IF(OR(C1994="",L1994=""),"",IF(C1994=L1994,"同一","変更"))</f>
        <v/>
      </c>
      <c r="N1994" s="29"/>
      <c r="O1994" s="30"/>
      <c r="P1994" s="29"/>
      <c r="Q1994" s="31"/>
      <c r="R1994" s="29"/>
      <c r="S1994" s="29"/>
      <c r="T1994" s="30"/>
      <c r="U1994" s="47" t="str">
        <f aca="false">IF(AND(B1994&lt;&gt;"",B1994=SW別シート!$C$3),COUNTIF(B$5:B1994,B1994),"")</f>
        <v/>
      </c>
      <c r="V1994" s="47" t="n">
        <f aca="false">V1993+IF(OR(O1994&lt;&gt;"",W1994&lt;&gt;""),1,0)</f>
        <v>3</v>
      </c>
      <c r="W1994" s="29"/>
    </row>
    <row r="1995" customFormat="false" ht="15" hidden="false" customHeight="false" outlineLevel="0" collapsed="false">
      <c r="A1995" s="32" t="str">
        <f aca="false">IF(B1995="","",ROW()-7)</f>
        <v/>
      </c>
      <c r="B1995" s="30"/>
      <c r="C1995" s="29"/>
      <c r="D1995" s="29"/>
      <c r="E1995" s="29"/>
      <c r="F1995" s="30"/>
      <c r="G1995" s="29"/>
      <c r="H1995" s="30"/>
      <c r="I1995" s="29"/>
      <c r="J1995" s="30"/>
      <c r="K1995" s="30"/>
      <c r="L1995" s="29"/>
      <c r="M1995" s="32" t="str">
        <f aca="false">IF(OR(C1995="",L1995=""),"",IF(C1995=L1995,"同一","変更"))</f>
        <v/>
      </c>
      <c r="N1995" s="29"/>
      <c r="O1995" s="30"/>
      <c r="P1995" s="29"/>
      <c r="Q1995" s="31"/>
      <c r="R1995" s="29"/>
      <c r="S1995" s="29"/>
      <c r="T1995" s="30"/>
      <c r="U1995" s="47" t="str">
        <f aca="false">IF(AND(B1995&lt;&gt;"",B1995=SW別シート!$C$3),COUNTIF(B$5:B1995,B1995),"")</f>
        <v/>
      </c>
      <c r="V1995" s="47" t="n">
        <f aca="false">V1994+IF(OR(O1995&lt;&gt;"",W1995&lt;&gt;""),1,0)</f>
        <v>3</v>
      </c>
      <c r="W1995" s="29"/>
    </row>
    <row r="1996" customFormat="false" ht="15" hidden="false" customHeight="false" outlineLevel="0" collapsed="false">
      <c r="A1996" s="32" t="str">
        <f aca="false">IF(B1996="","",ROW()-7)</f>
        <v/>
      </c>
      <c r="B1996" s="30"/>
      <c r="C1996" s="29"/>
      <c r="D1996" s="29"/>
      <c r="E1996" s="29"/>
      <c r="F1996" s="30"/>
      <c r="G1996" s="29"/>
      <c r="H1996" s="30"/>
      <c r="I1996" s="29"/>
      <c r="J1996" s="30"/>
      <c r="K1996" s="30"/>
      <c r="L1996" s="29"/>
      <c r="M1996" s="32" t="str">
        <f aca="false">IF(OR(C1996="",L1996=""),"",IF(C1996=L1996,"同一","変更"))</f>
        <v/>
      </c>
      <c r="N1996" s="29"/>
      <c r="O1996" s="30"/>
      <c r="P1996" s="29"/>
      <c r="Q1996" s="31"/>
      <c r="R1996" s="29"/>
      <c r="S1996" s="29"/>
      <c r="T1996" s="30"/>
      <c r="U1996" s="47" t="str">
        <f aca="false">IF(AND(B1996&lt;&gt;"",B1996=SW別シート!$C$3),COUNTIF(B$5:B1996,B1996),"")</f>
        <v/>
      </c>
      <c r="V1996" s="47" t="n">
        <f aca="false">V1995+IF(OR(O1996&lt;&gt;"",W1996&lt;&gt;""),1,0)</f>
        <v>3</v>
      </c>
      <c r="W1996" s="29"/>
    </row>
    <row r="1997" customFormat="false" ht="15" hidden="false" customHeight="false" outlineLevel="0" collapsed="false">
      <c r="A1997" s="32" t="str">
        <f aca="false">IF(B1997="","",ROW()-7)</f>
        <v/>
      </c>
      <c r="B1997" s="30"/>
      <c r="C1997" s="29"/>
      <c r="D1997" s="29"/>
      <c r="E1997" s="29"/>
      <c r="F1997" s="30"/>
      <c r="G1997" s="29"/>
      <c r="H1997" s="30"/>
      <c r="I1997" s="29"/>
      <c r="J1997" s="30"/>
      <c r="K1997" s="30"/>
      <c r="L1997" s="29"/>
      <c r="M1997" s="32" t="str">
        <f aca="false">IF(OR(C1997="",L1997=""),"",IF(C1997=L1997,"同一","変更"))</f>
        <v/>
      </c>
      <c r="N1997" s="29"/>
      <c r="O1997" s="30"/>
      <c r="P1997" s="29"/>
      <c r="Q1997" s="31"/>
      <c r="R1997" s="29"/>
      <c r="S1997" s="29"/>
      <c r="T1997" s="30"/>
      <c r="U1997" s="47" t="str">
        <f aca="false">IF(AND(B1997&lt;&gt;"",B1997=SW別シート!$C$3),COUNTIF(B$5:B1997,B1997),"")</f>
        <v/>
      </c>
      <c r="V1997" s="47" t="n">
        <f aca="false">V1996+IF(OR(O1997&lt;&gt;"",W1997&lt;&gt;""),1,0)</f>
        <v>3</v>
      </c>
      <c r="W1997" s="29"/>
    </row>
    <row r="1998" customFormat="false" ht="15" hidden="false" customHeight="false" outlineLevel="0" collapsed="false">
      <c r="A1998" s="32" t="str">
        <f aca="false">IF(B1998="","",ROW()-7)</f>
        <v/>
      </c>
      <c r="B1998" s="30"/>
      <c r="C1998" s="29"/>
      <c r="D1998" s="29"/>
      <c r="E1998" s="29"/>
      <c r="F1998" s="30"/>
      <c r="G1998" s="29"/>
      <c r="H1998" s="30"/>
      <c r="I1998" s="29"/>
      <c r="J1998" s="30"/>
      <c r="K1998" s="30"/>
      <c r="L1998" s="29"/>
      <c r="M1998" s="32" t="str">
        <f aca="false">IF(OR(C1998="",L1998=""),"",IF(C1998=L1998,"同一","変更"))</f>
        <v/>
      </c>
      <c r="N1998" s="29"/>
      <c r="O1998" s="30"/>
      <c r="P1998" s="29"/>
      <c r="Q1998" s="31"/>
      <c r="R1998" s="29"/>
      <c r="S1998" s="29"/>
      <c r="T1998" s="30"/>
      <c r="U1998" s="47" t="str">
        <f aca="false">IF(AND(B1998&lt;&gt;"",B1998=SW別シート!$C$3),COUNTIF(B$5:B1998,B1998),"")</f>
        <v/>
      </c>
      <c r="V1998" s="47" t="n">
        <f aca="false">V1997+IF(OR(O1998&lt;&gt;"",W1998&lt;&gt;""),1,0)</f>
        <v>3</v>
      </c>
      <c r="W1998" s="29"/>
    </row>
    <row r="1999" customFormat="false" ht="15" hidden="false" customHeight="false" outlineLevel="0" collapsed="false">
      <c r="A1999" s="32" t="str">
        <f aca="false">IF(B1999="","",ROW()-7)</f>
        <v/>
      </c>
      <c r="B1999" s="30"/>
      <c r="C1999" s="29"/>
      <c r="D1999" s="29"/>
      <c r="E1999" s="29"/>
      <c r="F1999" s="30"/>
      <c r="G1999" s="29"/>
      <c r="H1999" s="30"/>
      <c r="I1999" s="29"/>
      <c r="J1999" s="30"/>
      <c r="K1999" s="30"/>
      <c r="L1999" s="29"/>
      <c r="M1999" s="32" t="str">
        <f aca="false">IF(OR(C1999="",L1999=""),"",IF(C1999=L1999,"同一","変更"))</f>
        <v/>
      </c>
      <c r="N1999" s="29"/>
      <c r="O1999" s="30"/>
      <c r="P1999" s="29"/>
      <c r="Q1999" s="31"/>
      <c r="R1999" s="29"/>
      <c r="S1999" s="29"/>
      <c r="T1999" s="30"/>
      <c r="U1999" s="47" t="str">
        <f aca="false">IF(AND(B1999&lt;&gt;"",B1999=SW別シート!$C$3),COUNTIF(B$5:B1999,B1999),"")</f>
        <v/>
      </c>
      <c r="V1999" s="47" t="n">
        <f aca="false">V1998+IF(OR(O1999&lt;&gt;"",W1999&lt;&gt;""),1,0)</f>
        <v>3</v>
      </c>
      <c r="W1999" s="29"/>
    </row>
    <row r="2000" customFormat="false" ht="15" hidden="false" customHeight="false" outlineLevel="0" collapsed="false">
      <c r="A2000" s="32" t="str">
        <f aca="false">IF(B2000="","",ROW()-7)</f>
        <v/>
      </c>
      <c r="B2000" s="30"/>
      <c r="C2000" s="29"/>
      <c r="D2000" s="29"/>
      <c r="E2000" s="29"/>
      <c r="F2000" s="30"/>
      <c r="G2000" s="29"/>
      <c r="H2000" s="30"/>
      <c r="I2000" s="29"/>
      <c r="J2000" s="30"/>
      <c r="K2000" s="30"/>
      <c r="L2000" s="29"/>
      <c r="M2000" s="32" t="str">
        <f aca="false">IF(OR(C2000="",L2000=""),"",IF(C2000=L2000,"同一","変更"))</f>
        <v/>
      </c>
      <c r="N2000" s="29"/>
      <c r="O2000" s="30"/>
      <c r="P2000" s="29"/>
      <c r="Q2000" s="31"/>
      <c r="R2000" s="29"/>
      <c r="S2000" s="29"/>
      <c r="T2000" s="30"/>
      <c r="U2000" s="47" t="str">
        <f aca="false">IF(AND(B2000&lt;&gt;"",B2000=SW別シート!$C$3),COUNTIF(B$5:B2000,B2000),"")</f>
        <v/>
      </c>
      <c r="V2000" s="47" t="n">
        <f aca="false">V1999+IF(OR(O2000&lt;&gt;"",W2000&lt;&gt;""),1,0)</f>
        <v>3</v>
      </c>
      <c r="W2000" s="29"/>
    </row>
    <row r="2001" customFormat="false" ht="15" hidden="false" customHeight="false" outlineLevel="0" collapsed="false">
      <c r="A2001" s="32" t="str">
        <f aca="false">IF(B2001="","",ROW()-7)</f>
        <v/>
      </c>
      <c r="B2001" s="30"/>
      <c r="C2001" s="29"/>
      <c r="D2001" s="29"/>
      <c r="E2001" s="29"/>
      <c r="F2001" s="30"/>
      <c r="G2001" s="29"/>
      <c r="H2001" s="30"/>
      <c r="I2001" s="29"/>
      <c r="J2001" s="30"/>
      <c r="K2001" s="30"/>
      <c r="L2001" s="29"/>
      <c r="M2001" s="32" t="str">
        <f aca="false">IF(OR(C2001="",L2001=""),"",IF(C2001=L2001,"同一","変更"))</f>
        <v/>
      </c>
      <c r="N2001" s="29"/>
      <c r="O2001" s="30"/>
      <c r="P2001" s="29"/>
      <c r="Q2001" s="31"/>
      <c r="R2001" s="29"/>
      <c r="S2001" s="29"/>
      <c r="T2001" s="30"/>
      <c r="U2001" s="47" t="str">
        <f aca="false">IF(AND(B2001&lt;&gt;"",B2001=SW別シート!$C$3),COUNTIF(B$5:B2001,B2001),"")</f>
        <v/>
      </c>
      <c r="V2001" s="47" t="n">
        <f aca="false">V2000+IF(OR(O2001&lt;&gt;"",W2001&lt;&gt;""),1,0)</f>
        <v>3</v>
      </c>
      <c r="W2001" s="29"/>
    </row>
    <row r="2002" customFormat="false" ht="15" hidden="false" customHeight="false" outlineLevel="0" collapsed="false">
      <c r="A2002" s="32" t="str">
        <f aca="false">IF(B2002="","",ROW()-7)</f>
        <v/>
      </c>
      <c r="B2002" s="30"/>
      <c r="C2002" s="29"/>
      <c r="D2002" s="29"/>
      <c r="E2002" s="29"/>
      <c r="F2002" s="30"/>
      <c r="G2002" s="29"/>
      <c r="H2002" s="30"/>
      <c r="I2002" s="29"/>
      <c r="J2002" s="30"/>
      <c r="K2002" s="30"/>
      <c r="L2002" s="29"/>
      <c r="M2002" s="32" t="str">
        <f aca="false">IF(OR(C2002="",L2002=""),"",IF(C2002=L2002,"同一","変更"))</f>
        <v/>
      </c>
      <c r="N2002" s="29"/>
      <c r="O2002" s="30"/>
      <c r="P2002" s="29"/>
      <c r="Q2002" s="31"/>
      <c r="R2002" s="29"/>
      <c r="S2002" s="29"/>
      <c r="T2002" s="30"/>
      <c r="U2002" s="47" t="str">
        <f aca="false">IF(AND(B2002&lt;&gt;"",B2002=SW別シート!$C$3),COUNTIF(B$5:B2002,B2002),"")</f>
        <v/>
      </c>
      <c r="V2002" s="47" t="n">
        <f aca="false">V2001+IF(OR(O2002&lt;&gt;"",W2002&lt;&gt;""),1,0)</f>
        <v>3</v>
      </c>
      <c r="W2002" s="29"/>
    </row>
    <row r="2003" customFormat="false" ht="15" hidden="false" customHeight="false" outlineLevel="0" collapsed="false">
      <c r="A2003" s="32" t="str">
        <f aca="false">IF(B2003="","",ROW()-7)</f>
        <v/>
      </c>
      <c r="B2003" s="30"/>
      <c r="C2003" s="29"/>
      <c r="D2003" s="29"/>
      <c r="E2003" s="29"/>
      <c r="F2003" s="30"/>
      <c r="G2003" s="29"/>
      <c r="H2003" s="30"/>
      <c r="I2003" s="29"/>
      <c r="J2003" s="30"/>
      <c r="K2003" s="30"/>
      <c r="L2003" s="29"/>
      <c r="M2003" s="32" t="str">
        <f aca="false">IF(OR(C2003="",L2003=""),"",IF(C2003=L2003,"同一","変更"))</f>
        <v/>
      </c>
      <c r="N2003" s="29"/>
      <c r="O2003" s="30"/>
      <c r="P2003" s="29"/>
      <c r="Q2003" s="31"/>
      <c r="R2003" s="29"/>
      <c r="S2003" s="29"/>
      <c r="T2003" s="30"/>
      <c r="U2003" s="47" t="str">
        <f aca="false">IF(AND(B2003&lt;&gt;"",B2003=SW別シート!$C$3),COUNTIF(B$5:B2003,B2003),"")</f>
        <v/>
      </c>
      <c r="V2003" s="47" t="n">
        <f aca="false">V2002+IF(OR(O2003&lt;&gt;"",W2003&lt;&gt;""),1,0)</f>
        <v>3</v>
      </c>
      <c r="W2003" s="29"/>
    </row>
    <row r="2004" customFormat="false" ht="15" hidden="false" customHeight="false" outlineLevel="0" collapsed="false">
      <c r="A2004" s="32" t="str">
        <f aca="false">IF(B2004="","",ROW()-7)</f>
        <v/>
      </c>
      <c r="B2004" s="30"/>
      <c r="C2004" s="29"/>
      <c r="D2004" s="29"/>
      <c r="E2004" s="29"/>
      <c r="F2004" s="30"/>
      <c r="G2004" s="29"/>
      <c r="H2004" s="30"/>
      <c r="I2004" s="29"/>
      <c r="J2004" s="30"/>
      <c r="K2004" s="30"/>
      <c r="L2004" s="29"/>
      <c r="M2004" s="32" t="str">
        <f aca="false">IF(OR(C2004="",L2004=""),"",IF(C2004=L2004,"同一","変更"))</f>
        <v/>
      </c>
      <c r="N2004" s="29"/>
      <c r="O2004" s="30"/>
      <c r="P2004" s="29"/>
      <c r="Q2004" s="31"/>
      <c r="R2004" s="29"/>
      <c r="S2004" s="29"/>
      <c r="T2004" s="30"/>
      <c r="U2004" s="47" t="str">
        <f aca="false">IF(AND(B2004&lt;&gt;"",B2004=SW別シート!$C$3),COUNTIF(B$5:B2004,B2004),"")</f>
        <v/>
      </c>
      <c r="V2004" s="47" t="n">
        <f aca="false">V2003+IF(OR(O2004&lt;&gt;"",W2004&lt;&gt;""),1,0)</f>
        <v>3</v>
      </c>
      <c r="W2004" s="29"/>
    </row>
    <row r="2005" customFormat="false" ht="15" hidden="false" customHeight="false" outlineLevel="0" collapsed="false">
      <c r="A2005" s="32" t="str">
        <f aca="false">IF(B2005="","",ROW()-7)</f>
        <v/>
      </c>
      <c r="B2005" s="30"/>
      <c r="C2005" s="29"/>
      <c r="D2005" s="29"/>
      <c r="E2005" s="29"/>
      <c r="F2005" s="30"/>
      <c r="G2005" s="29"/>
      <c r="H2005" s="30"/>
      <c r="I2005" s="29"/>
      <c r="J2005" s="30"/>
      <c r="K2005" s="30"/>
      <c r="L2005" s="29"/>
      <c r="M2005" s="32" t="str">
        <f aca="false">IF(OR(C2005="",L2005=""),"",IF(C2005=L2005,"同一","変更"))</f>
        <v/>
      </c>
      <c r="N2005" s="29"/>
      <c r="O2005" s="30"/>
      <c r="P2005" s="29"/>
      <c r="Q2005" s="31"/>
      <c r="R2005" s="29"/>
      <c r="S2005" s="29"/>
      <c r="T2005" s="30"/>
      <c r="U2005" s="47" t="str">
        <f aca="false">IF(AND(B2005&lt;&gt;"",B2005=SW別シート!$C$3),COUNTIF(B$5:B2005,B2005),"")</f>
        <v/>
      </c>
      <c r="V2005" s="47" t="n">
        <f aca="false">V2004+IF(OR(O2005&lt;&gt;"",W2005&lt;&gt;""),1,0)</f>
        <v>3</v>
      </c>
      <c r="W2005" s="29"/>
    </row>
    <row r="2006" customFormat="false" ht="15" hidden="false" customHeight="false" outlineLevel="0" collapsed="false">
      <c r="A2006" s="32" t="str">
        <f aca="false">IF(B2006="","",ROW()-7)</f>
        <v/>
      </c>
      <c r="B2006" s="30"/>
      <c r="C2006" s="29"/>
      <c r="D2006" s="29"/>
      <c r="E2006" s="29"/>
      <c r="F2006" s="30"/>
      <c r="G2006" s="29"/>
      <c r="H2006" s="30"/>
      <c r="I2006" s="29"/>
      <c r="J2006" s="30"/>
      <c r="K2006" s="30"/>
      <c r="L2006" s="29"/>
      <c r="M2006" s="32" t="str">
        <f aca="false">IF(OR(C2006="",L2006=""),"",IF(C2006=L2006,"同一","変更"))</f>
        <v/>
      </c>
      <c r="N2006" s="29"/>
      <c r="O2006" s="30"/>
      <c r="P2006" s="29"/>
      <c r="Q2006" s="31"/>
      <c r="R2006" s="29"/>
      <c r="S2006" s="29"/>
      <c r="T2006" s="30"/>
      <c r="U2006" s="47" t="str">
        <f aca="false">IF(AND(B2006&lt;&gt;"",B2006=SW別シート!$C$3),COUNTIF(B$5:B2006,B2006),"")</f>
        <v/>
      </c>
      <c r="V2006" s="47" t="n">
        <f aca="false">V2005+IF(OR(O2006&lt;&gt;"",W2006&lt;&gt;""),1,0)</f>
        <v>3</v>
      </c>
      <c r="W2006" s="29"/>
    </row>
    <row r="2007" customFormat="false" ht="15" hidden="false" customHeight="false" outlineLevel="0" collapsed="false">
      <c r="A2007" s="32" t="str">
        <f aca="false">IF(B2007="","",ROW()-7)</f>
        <v/>
      </c>
      <c r="B2007" s="30"/>
      <c r="C2007" s="29"/>
      <c r="D2007" s="29"/>
      <c r="E2007" s="29"/>
      <c r="F2007" s="30"/>
      <c r="G2007" s="29"/>
      <c r="H2007" s="30"/>
      <c r="I2007" s="29"/>
      <c r="J2007" s="30"/>
      <c r="K2007" s="30"/>
      <c r="L2007" s="29"/>
      <c r="M2007" s="32" t="str">
        <f aca="false">IF(OR(C2007="",L2007=""),"",IF(C2007=L2007,"同一","変更"))</f>
        <v/>
      </c>
      <c r="N2007" s="29"/>
      <c r="O2007" s="30"/>
      <c r="P2007" s="29"/>
      <c r="Q2007" s="31"/>
      <c r="R2007" s="29"/>
      <c r="S2007" s="29"/>
      <c r="T2007" s="30"/>
      <c r="U2007" s="47" t="str">
        <f aca="false">IF(AND(B2007&lt;&gt;"",B2007=SW別シート!$C$3),COUNTIF(B$5:B2007,B2007),"")</f>
        <v/>
      </c>
      <c r="V2007" s="47" t="n">
        <f aca="false">V2006+IF(OR(O2007&lt;&gt;"",W2007&lt;&gt;""),1,0)</f>
        <v>3</v>
      </c>
      <c r="W2007" s="29"/>
    </row>
    <row r="2008" customFormat="false" ht="15" hidden="false" customHeight="false" outlineLevel="0" collapsed="false">
      <c r="A2008" s="32" t="str">
        <f aca="false">IF(B2008="","",ROW()-7)</f>
        <v/>
      </c>
      <c r="B2008" s="30"/>
      <c r="C2008" s="29"/>
      <c r="D2008" s="29"/>
      <c r="E2008" s="29"/>
      <c r="F2008" s="30"/>
      <c r="G2008" s="29"/>
      <c r="H2008" s="30"/>
      <c r="I2008" s="29"/>
      <c r="J2008" s="30"/>
      <c r="K2008" s="30"/>
      <c r="L2008" s="29"/>
      <c r="M2008" s="32" t="str">
        <f aca="false">IF(OR(C2008="",L2008=""),"",IF(C2008=L2008,"同一","変更"))</f>
        <v/>
      </c>
      <c r="N2008" s="29"/>
      <c r="O2008" s="30"/>
      <c r="P2008" s="29"/>
      <c r="Q2008" s="31"/>
      <c r="R2008" s="29"/>
      <c r="S2008" s="29"/>
      <c r="T2008" s="30"/>
      <c r="U2008" s="47" t="str">
        <f aca="false">IF(AND(B2008&lt;&gt;"",B2008=SW別シート!$C$3),COUNTIF(B$5:B2008,B2008),"")</f>
        <v/>
      </c>
      <c r="V2008" s="47" t="n">
        <f aca="false">V2007+IF(OR(O2008&lt;&gt;"",W2008&lt;&gt;""),1,0)</f>
        <v>3</v>
      </c>
      <c r="W2008" s="29"/>
    </row>
    <row r="2009" customFormat="false" ht="15" hidden="false" customHeight="false" outlineLevel="0" collapsed="false">
      <c r="A2009" s="32" t="str">
        <f aca="false">IF(B2009="","",ROW()-7)</f>
        <v/>
      </c>
      <c r="B2009" s="30"/>
      <c r="C2009" s="29"/>
      <c r="D2009" s="29"/>
      <c r="E2009" s="29"/>
      <c r="F2009" s="30"/>
      <c r="G2009" s="29"/>
      <c r="H2009" s="30"/>
      <c r="I2009" s="29"/>
      <c r="J2009" s="30"/>
      <c r="K2009" s="30"/>
      <c r="L2009" s="29"/>
      <c r="M2009" s="32" t="str">
        <f aca="false">IF(OR(C2009="",L2009=""),"",IF(C2009=L2009,"同一","変更"))</f>
        <v/>
      </c>
      <c r="N2009" s="29"/>
      <c r="O2009" s="30"/>
      <c r="P2009" s="29"/>
      <c r="Q2009" s="31"/>
      <c r="R2009" s="29"/>
      <c r="S2009" s="29"/>
      <c r="T2009" s="30"/>
      <c r="U2009" s="47" t="str">
        <f aca="false">IF(AND(B2009&lt;&gt;"",B2009=SW別シート!$C$3),COUNTIF(B$5:B2009,B2009),"")</f>
        <v/>
      </c>
      <c r="V2009" s="47" t="n">
        <f aca="false">V2008+IF(OR(O2009&lt;&gt;"",W2009&lt;&gt;""),1,0)</f>
        <v>3</v>
      </c>
      <c r="W2009" s="29"/>
    </row>
    <row r="2010" customFormat="false" ht="15" hidden="false" customHeight="false" outlineLevel="0" collapsed="false">
      <c r="A2010" s="32" t="str">
        <f aca="false">IF(B2010="","",ROW()-7)</f>
        <v/>
      </c>
      <c r="B2010" s="30"/>
      <c r="C2010" s="29"/>
      <c r="D2010" s="29"/>
      <c r="E2010" s="29"/>
      <c r="F2010" s="30"/>
      <c r="G2010" s="29"/>
      <c r="H2010" s="30"/>
      <c r="I2010" s="29"/>
      <c r="J2010" s="30"/>
      <c r="K2010" s="30"/>
      <c r="L2010" s="29"/>
      <c r="M2010" s="32" t="str">
        <f aca="false">IF(OR(C2010="",L2010=""),"",IF(C2010=L2010,"同一","変更"))</f>
        <v/>
      </c>
      <c r="N2010" s="29"/>
      <c r="O2010" s="30"/>
      <c r="P2010" s="29"/>
      <c r="Q2010" s="31"/>
      <c r="R2010" s="29"/>
      <c r="S2010" s="29"/>
      <c r="T2010" s="30"/>
      <c r="U2010" s="47" t="str">
        <f aca="false">IF(AND(B2010&lt;&gt;"",B2010=SW別シート!$C$3),COUNTIF(B$5:B2010,B2010),"")</f>
        <v/>
      </c>
      <c r="V2010" s="47" t="n">
        <f aca="false">V2009+IF(OR(O2010&lt;&gt;"",W2010&lt;&gt;""),1,0)</f>
        <v>3</v>
      </c>
      <c r="W2010" s="29"/>
    </row>
    <row r="2011" customFormat="false" ht="15" hidden="false" customHeight="false" outlineLevel="0" collapsed="false">
      <c r="A2011" s="32" t="str">
        <f aca="false">IF(B2011="","",ROW()-7)</f>
        <v/>
      </c>
      <c r="B2011" s="30"/>
      <c r="C2011" s="29"/>
      <c r="D2011" s="29"/>
      <c r="E2011" s="29"/>
      <c r="F2011" s="30"/>
      <c r="G2011" s="29"/>
      <c r="H2011" s="30"/>
      <c r="I2011" s="29"/>
      <c r="J2011" s="30"/>
      <c r="K2011" s="30"/>
      <c r="L2011" s="29"/>
      <c r="M2011" s="32" t="str">
        <f aca="false">IF(OR(C2011="",L2011=""),"",IF(C2011=L2011,"同一","変更"))</f>
        <v/>
      </c>
      <c r="N2011" s="29"/>
      <c r="O2011" s="30"/>
      <c r="P2011" s="29"/>
      <c r="Q2011" s="31"/>
      <c r="R2011" s="29"/>
      <c r="S2011" s="29"/>
      <c r="T2011" s="30"/>
      <c r="U2011" s="47" t="str">
        <f aca="false">IF(AND(B2011&lt;&gt;"",B2011=SW別シート!$C$3),COUNTIF(B$5:B2011,B2011),"")</f>
        <v/>
      </c>
      <c r="V2011" s="47" t="n">
        <f aca="false">V2010+IF(OR(O2011&lt;&gt;"",W2011&lt;&gt;""),1,0)</f>
        <v>3</v>
      </c>
      <c r="W2011" s="29"/>
    </row>
    <row r="2012" customFormat="false" ht="15" hidden="false" customHeight="false" outlineLevel="0" collapsed="false">
      <c r="A2012" s="32" t="str">
        <f aca="false">IF(B2012="","",ROW()-7)</f>
        <v/>
      </c>
      <c r="B2012" s="30"/>
      <c r="C2012" s="29"/>
      <c r="D2012" s="29"/>
      <c r="E2012" s="29"/>
      <c r="F2012" s="30"/>
      <c r="G2012" s="29"/>
      <c r="H2012" s="30"/>
      <c r="I2012" s="29"/>
      <c r="J2012" s="30"/>
      <c r="K2012" s="30"/>
      <c r="L2012" s="29"/>
      <c r="M2012" s="32" t="str">
        <f aca="false">IF(OR(C2012="",L2012=""),"",IF(C2012=L2012,"同一","変更"))</f>
        <v/>
      </c>
      <c r="N2012" s="29"/>
      <c r="O2012" s="30"/>
      <c r="P2012" s="29"/>
      <c r="Q2012" s="31"/>
      <c r="R2012" s="29"/>
      <c r="S2012" s="29"/>
      <c r="T2012" s="30"/>
      <c r="U2012" s="47" t="str">
        <f aca="false">IF(AND(B2012&lt;&gt;"",B2012=SW別シート!$C$3),COUNTIF(B$5:B2012,B2012),"")</f>
        <v/>
      </c>
      <c r="V2012" s="47" t="n">
        <f aca="false">V2011+IF(OR(O2012&lt;&gt;"",W2012&lt;&gt;""),1,0)</f>
        <v>3</v>
      </c>
      <c r="W2012" s="29"/>
    </row>
    <row r="2013" customFormat="false" ht="15" hidden="false" customHeight="false" outlineLevel="0" collapsed="false">
      <c r="A2013" s="32" t="str">
        <f aca="false">IF(B2013="","",ROW()-7)</f>
        <v/>
      </c>
      <c r="B2013" s="30"/>
      <c r="C2013" s="29"/>
      <c r="D2013" s="29"/>
      <c r="E2013" s="29"/>
      <c r="F2013" s="30"/>
      <c r="G2013" s="29"/>
      <c r="H2013" s="30"/>
      <c r="I2013" s="29"/>
      <c r="J2013" s="30"/>
      <c r="K2013" s="30"/>
      <c r="L2013" s="29"/>
      <c r="M2013" s="32" t="str">
        <f aca="false">IF(OR(C2013="",L2013=""),"",IF(C2013=L2013,"同一","変更"))</f>
        <v/>
      </c>
      <c r="N2013" s="29"/>
      <c r="O2013" s="30"/>
      <c r="P2013" s="29"/>
      <c r="Q2013" s="31"/>
      <c r="R2013" s="29"/>
      <c r="S2013" s="29"/>
      <c r="T2013" s="30"/>
      <c r="U2013" s="47" t="str">
        <f aca="false">IF(AND(B2013&lt;&gt;"",B2013=SW別シート!$C$3),COUNTIF(B$5:B2013,B2013),"")</f>
        <v/>
      </c>
      <c r="V2013" s="47" t="n">
        <f aca="false">V2012+IF(OR(O2013&lt;&gt;"",W2013&lt;&gt;""),1,0)</f>
        <v>3</v>
      </c>
      <c r="W2013" s="29"/>
    </row>
    <row r="2014" customFormat="false" ht="15" hidden="false" customHeight="false" outlineLevel="0" collapsed="false">
      <c r="A2014" s="32" t="str">
        <f aca="false">IF(B2014="","",ROW()-7)</f>
        <v/>
      </c>
      <c r="B2014" s="30"/>
      <c r="C2014" s="29"/>
      <c r="D2014" s="29"/>
      <c r="E2014" s="29"/>
      <c r="F2014" s="30"/>
      <c r="G2014" s="29"/>
      <c r="H2014" s="30"/>
      <c r="I2014" s="29"/>
      <c r="J2014" s="30"/>
      <c r="K2014" s="30"/>
      <c r="L2014" s="29"/>
      <c r="M2014" s="32" t="str">
        <f aca="false">IF(OR(C2014="",L2014=""),"",IF(C2014=L2014,"同一","変更"))</f>
        <v/>
      </c>
      <c r="N2014" s="29"/>
      <c r="O2014" s="30"/>
      <c r="P2014" s="29"/>
      <c r="Q2014" s="31"/>
      <c r="R2014" s="29"/>
      <c r="S2014" s="29"/>
      <c r="T2014" s="30"/>
      <c r="U2014" s="47" t="str">
        <f aca="false">IF(AND(B2014&lt;&gt;"",B2014=SW別シート!$C$3),COUNTIF(B$5:B2014,B2014),"")</f>
        <v/>
      </c>
      <c r="V2014" s="47" t="n">
        <f aca="false">V2013+IF(OR(O2014&lt;&gt;"",W2014&lt;&gt;""),1,0)</f>
        <v>3</v>
      </c>
      <c r="W2014" s="29"/>
    </row>
    <row r="2015" customFormat="false" ht="15" hidden="false" customHeight="false" outlineLevel="0" collapsed="false">
      <c r="A2015" s="32" t="str">
        <f aca="false">IF(B2015="","",ROW()-7)</f>
        <v/>
      </c>
      <c r="B2015" s="30"/>
      <c r="C2015" s="29"/>
      <c r="D2015" s="29"/>
      <c r="E2015" s="29"/>
      <c r="F2015" s="30"/>
      <c r="G2015" s="29"/>
      <c r="H2015" s="30"/>
      <c r="I2015" s="29"/>
      <c r="J2015" s="30"/>
      <c r="K2015" s="30"/>
      <c r="L2015" s="29"/>
      <c r="M2015" s="32" t="str">
        <f aca="false">IF(OR(C2015="",L2015=""),"",IF(C2015=L2015,"同一","変更"))</f>
        <v/>
      </c>
      <c r="N2015" s="29"/>
      <c r="O2015" s="30"/>
      <c r="P2015" s="29"/>
      <c r="Q2015" s="31"/>
      <c r="R2015" s="29"/>
      <c r="S2015" s="29"/>
      <c r="T2015" s="30"/>
      <c r="U2015" s="47" t="str">
        <f aca="false">IF(AND(B2015&lt;&gt;"",B2015=SW別シート!$C$3),COUNTIF(B$5:B2015,B2015),"")</f>
        <v/>
      </c>
      <c r="V2015" s="47" t="n">
        <f aca="false">V2014+IF(OR(O2015&lt;&gt;"",W2015&lt;&gt;""),1,0)</f>
        <v>3</v>
      </c>
      <c r="W2015" s="29"/>
    </row>
    <row r="2016" customFormat="false" ht="15" hidden="false" customHeight="false" outlineLevel="0" collapsed="false">
      <c r="A2016" s="32" t="str">
        <f aca="false">IF(B2016="","",ROW()-7)</f>
        <v/>
      </c>
      <c r="B2016" s="30"/>
      <c r="C2016" s="29"/>
      <c r="D2016" s="29"/>
      <c r="E2016" s="29"/>
      <c r="F2016" s="30"/>
      <c r="G2016" s="29"/>
      <c r="H2016" s="30"/>
      <c r="I2016" s="29"/>
      <c r="J2016" s="30"/>
      <c r="K2016" s="30"/>
      <c r="L2016" s="29"/>
      <c r="M2016" s="32" t="str">
        <f aca="false">IF(OR(C2016="",L2016=""),"",IF(C2016=L2016,"同一","変更"))</f>
        <v/>
      </c>
      <c r="N2016" s="29"/>
      <c r="O2016" s="30"/>
      <c r="P2016" s="29"/>
      <c r="Q2016" s="31"/>
      <c r="R2016" s="29"/>
      <c r="S2016" s="29"/>
      <c r="T2016" s="30"/>
      <c r="U2016" s="47" t="str">
        <f aca="false">IF(AND(B2016&lt;&gt;"",B2016=SW別シート!$C$3),COUNTIF(B$5:B2016,B2016),"")</f>
        <v/>
      </c>
      <c r="V2016" s="47" t="n">
        <f aca="false">V2015+IF(OR(O2016&lt;&gt;"",W2016&lt;&gt;""),1,0)</f>
        <v>3</v>
      </c>
      <c r="W2016" s="29"/>
    </row>
    <row r="2017" customFormat="false" ht="15" hidden="false" customHeight="false" outlineLevel="0" collapsed="false">
      <c r="A2017" s="32" t="str">
        <f aca="false">IF(B2017="","",ROW()-7)</f>
        <v/>
      </c>
      <c r="B2017" s="30"/>
      <c r="C2017" s="29"/>
      <c r="D2017" s="29"/>
      <c r="E2017" s="29"/>
      <c r="F2017" s="30"/>
      <c r="G2017" s="29"/>
      <c r="H2017" s="30"/>
      <c r="I2017" s="29"/>
      <c r="J2017" s="30"/>
      <c r="K2017" s="30"/>
      <c r="L2017" s="29"/>
      <c r="M2017" s="32" t="str">
        <f aca="false">IF(OR(C2017="",L2017=""),"",IF(C2017=L2017,"同一","変更"))</f>
        <v/>
      </c>
      <c r="N2017" s="29"/>
      <c r="O2017" s="30"/>
      <c r="P2017" s="29"/>
      <c r="Q2017" s="31"/>
      <c r="R2017" s="29"/>
      <c r="S2017" s="29"/>
      <c r="T2017" s="30"/>
      <c r="U2017" s="47" t="str">
        <f aca="false">IF(AND(B2017&lt;&gt;"",B2017=SW別シート!$C$3),COUNTIF(B$5:B2017,B2017),"")</f>
        <v/>
      </c>
      <c r="V2017" s="47" t="n">
        <f aca="false">V2016+IF(OR(O2017&lt;&gt;"",W2017&lt;&gt;""),1,0)</f>
        <v>3</v>
      </c>
      <c r="W2017" s="29"/>
    </row>
    <row r="2018" customFormat="false" ht="15" hidden="false" customHeight="false" outlineLevel="0" collapsed="false">
      <c r="A2018" s="32" t="str">
        <f aca="false">IF(B2018="","",ROW()-7)</f>
        <v/>
      </c>
      <c r="B2018" s="30"/>
      <c r="C2018" s="29"/>
      <c r="D2018" s="29"/>
      <c r="E2018" s="29"/>
      <c r="F2018" s="30"/>
      <c r="G2018" s="29"/>
      <c r="H2018" s="30"/>
      <c r="I2018" s="29"/>
      <c r="J2018" s="30"/>
      <c r="K2018" s="30"/>
      <c r="L2018" s="29"/>
      <c r="M2018" s="32" t="str">
        <f aca="false">IF(OR(C2018="",L2018=""),"",IF(C2018=L2018,"同一","変更"))</f>
        <v/>
      </c>
      <c r="N2018" s="29"/>
      <c r="O2018" s="30"/>
      <c r="P2018" s="29"/>
      <c r="Q2018" s="31"/>
      <c r="R2018" s="29"/>
      <c r="S2018" s="29"/>
      <c r="T2018" s="30"/>
      <c r="U2018" s="47" t="str">
        <f aca="false">IF(AND(B2018&lt;&gt;"",B2018=SW別シート!$C$3),COUNTIF(B$5:B2018,B2018),"")</f>
        <v/>
      </c>
      <c r="V2018" s="47" t="n">
        <f aca="false">V2017+IF(OR(O2018&lt;&gt;"",W2018&lt;&gt;""),1,0)</f>
        <v>3</v>
      </c>
      <c r="W2018" s="29"/>
    </row>
    <row r="2019" customFormat="false" ht="15" hidden="false" customHeight="false" outlineLevel="0" collapsed="false">
      <c r="A2019" s="32" t="str">
        <f aca="false">IF(B2019="","",ROW()-7)</f>
        <v/>
      </c>
      <c r="B2019" s="30"/>
      <c r="C2019" s="29"/>
      <c r="D2019" s="29"/>
      <c r="E2019" s="29"/>
      <c r="F2019" s="30"/>
      <c r="G2019" s="29"/>
      <c r="H2019" s="30"/>
      <c r="I2019" s="29"/>
      <c r="J2019" s="30"/>
      <c r="K2019" s="30"/>
      <c r="L2019" s="29"/>
      <c r="M2019" s="32" t="str">
        <f aca="false">IF(OR(C2019="",L2019=""),"",IF(C2019=L2019,"同一","変更"))</f>
        <v/>
      </c>
      <c r="N2019" s="29"/>
      <c r="O2019" s="30"/>
      <c r="P2019" s="29"/>
      <c r="Q2019" s="31"/>
      <c r="R2019" s="29"/>
      <c r="S2019" s="29"/>
      <c r="T2019" s="30"/>
      <c r="U2019" s="47" t="str">
        <f aca="false">IF(AND(B2019&lt;&gt;"",B2019=SW別シート!$C$3),COUNTIF(B$5:B2019,B2019),"")</f>
        <v/>
      </c>
      <c r="V2019" s="47" t="n">
        <f aca="false">V2018+IF(OR(O2019&lt;&gt;"",W2019&lt;&gt;""),1,0)</f>
        <v>3</v>
      </c>
      <c r="W2019" s="29"/>
    </row>
    <row r="2020" customFormat="false" ht="15" hidden="false" customHeight="false" outlineLevel="0" collapsed="false">
      <c r="A2020" s="32" t="str">
        <f aca="false">IF(B2020="","",ROW()-7)</f>
        <v/>
      </c>
      <c r="B2020" s="30"/>
      <c r="C2020" s="29"/>
      <c r="D2020" s="29"/>
      <c r="E2020" s="29"/>
      <c r="F2020" s="30"/>
      <c r="G2020" s="29"/>
      <c r="H2020" s="30"/>
      <c r="I2020" s="29"/>
      <c r="J2020" s="30"/>
      <c r="K2020" s="30"/>
      <c r="L2020" s="29"/>
      <c r="M2020" s="32" t="str">
        <f aca="false">IF(OR(C2020="",L2020=""),"",IF(C2020=L2020,"同一","変更"))</f>
        <v/>
      </c>
      <c r="N2020" s="29"/>
      <c r="O2020" s="30"/>
      <c r="P2020" s="29"/>
      <c r="Q2020" s="31"/>
      <c r="R2020" s="29"/>
      <c r="S2020" s="29"/>
      <c r="T2020" s="30"/>
      <c r="U2020" s="47" t="str">
        <f aca="false">IF(AND(B2020&lt;&gt;"",B2020=SW別シート!$C$3),COUNTIF(B$5:B2020,B2020),"")</f>
        <v/>
      </c>
      <c r="V2020" s="47" t="n">
        <f aca="false">V2019+IF(OR(O2020&lt;&gt;"",W2020&lt;&gt;""),1,0)</f>
        <v>3</v>
      </c>
      <c r="W2020" s="29"/>
    </row>
    <row r="2021" customFormat="false" ht="15" hidden="false" customHeight="false" outlineLevel="0" collapsed="false">
      <c r="A2021" s="32" t="str">
        <f aca="false">IF(B2021="","",ROW()-7)</f>
        <v/>
      </c>
      <c r="B2021" s="30"/>
      <c r="C2021" s="29"/>
      <c r="D2021" s="29"/>
      <c r="E2021" s="29"/>
      <c r="F2021" s="30"/>
      <c r="G2021" s="29"/>
      <c r="H2021" s="30"/>
      <c r="I2021" s="29"/>
      <c r="J2021" s="30"/>
      <c r="K2021" s="30"/>
      <c r="L2021" s="29"/>
      <c r="M2021" s="32" t="str">
        <f aca="false">IF(OR(C2021="",L2021=""),"",IF(C2021=L2021,"同一","変更"))</f>
        <v/>
      </c>
      <c r="N2021" s="29"/>
      <c r="O2021" s="30"/>
      <c r="P2021" s="29"/>
      <c r="Q2021" s="31"/>
      <c r="R2021" s="29"/>
      <c r="S2021" s="29"/>
      <c r="T2021" s="30"/>
      <c r="U2021" s="47" t="str">
        <f aca="false">IF(AND(B2021&lt;&gt;"",B2021=SW別シート!$C$3),COUNTIF(B$5:B2021,B2021),"")</f>
        <v/>
      </c>
      <c r="V2021" s="47" t="n">
        <f aca="false">V2020+IF(OR(O2021&lt;&gt;"",W2021&lt;&gt;""),1,0)</f>
        <v>3</v>
      </c>
      <c r="W2021" s="29"/>
    </row>
    <row r="2022" customFormat="false" ht="15" hidden="false" customHeight="false" outlineLevel="0" collapsed="false">
      <c r="A2022" s="32" t="str">
        <f aca="false">IF(B2022="","",ROW()-7)</f>
        <v/>
      </c>
      <c r="B2022" s="30"/>
      <c r="C2022" s="29"/>
      <c r="D2022" s="29"/>
      <c r="E2022" s="29"/>
      <c r="F2022" s="30"/>
      <c r="G2022" s="29"/>
      <c r="H2022" s="30"/>
      <c r="I2022" s="29"/>
      <c r="J2022" s="30"/>
      <c r="K2022" s="30"/>
      <c r="L2022" s="29"/>
      <c r="M2022" s="32" t="str">
        <f aca="false">IF(OR(C2022="",L2022=""),"",IF(C2022=L2022,"同一","変更"))</f>
        <v/>
      </c>
      <c r="N2022" s="29"/>
      <c r="O2022" s="30"/>
      <c r="P2022" s="29"/>
      <c r="Q2022" s="31"/>
      <c r="R2022" s="29"/>
      <c r="S2022" s="29"/>
      <c r="T2022" s="30"/>
      <c r="U2022" s="47" t="str">
        <f aca="false">IF(AND(B2022&lt;&gt;"",B2022=SW別シート!$C$3),COUNTIF(B$5:B2022,B2022),"")</f>
        <v/>
      </c>
      <c r="V2022" s="47" t="n">
        <f aca="false">V2021+IF(OR(O2022&lt;&gt;"",W2022&lt;&gt;""),1,0)</f>
        <v>3</v>
      </c>
      <c r="W2022" s="29"/>
    </row>
    <row r="2023" customFormat="false" ht="15" hidden="false" customHeight="false" outlineLevel="0" collapsed="false">
      <c r="A2023" s="32" t="str">
        <f aca="false">IF(B2023="","",ROW()-7)</f>
        <v/>
      </c>
      <c r="B2023" s="30"/>
      <c r="C2023" s="29"/>
      <c r="D2023" s="29"/>
      <c r="E2023" s="29"/>
      <c r="F2023" s="30"/>
      <c r="G2023" s="29"/>
      <c r="H2023" s="30"/>
      <c r="I2023" s="29"/>
      <c r="J2023" s="30"/>
      <c r="K2023" s="30"/>
      <c r="L2023" s="29"/>
      <c r="M2023" s="32" t="str">
        <f aca="false">IF(OR(C2023="",L2023=""),"",IF(C2023=L2023,"同一","変更"))</f>
        <v/>
      </c>
      <c r="N2023" s="29"/>
      <c r="O2023" s="30"/>
      <c r="P2023" s="29"/>
      <c r="Q2023" s="31"/>
      <c r="R2023" s="29"/>
      <c r="S2023" s="29"/>
      <c r="T2023" s="30"/>
      <c r="U2023" s="47" t="str">
        <f aca="false">IF(AND(B2023&lt;&gt;"",B2023=SW別シート!$C$3),COUNTIF(B$5:B2023,B2023),"")</f>
        <v/>
      </c>
      <c r="V2023" s="47" t="n">
        <f aca="false">V2022+IF(OR(O2023&lt;&gt;"",W2023&lt;&gt;""),1,0)</f>
        <v>3</v>
      </c>
      <c r="W2023" s="29"/>
    </row>
    <row r="2024" customFormat="false" ht="15" hidden="false" customHeight="false" outlineLevel="0" collapsed="false">
      <c r="A2024" s="32" t="str">
        <f aca="false">IF(B2024="","",ROW()-7)</f>
        <v/>
      </c>
      <c r="B2024" s="30"/>
      <c r="C2024" s="29"/>
      <c r="D2024" s="29"/>
      <c r="E2024" s="29"/>
      <c r="F2024" s="30"/>
      <c r="G2024" s="29"/>
      <c r="H2024" s="30"/>
      <c r="I2024" s="29"/>
      <c r="J2024" s="30"/>
      <c r="K2024" s="30"/>
      <c r="L2024" s="29"/>
      <c r="M2024" s="32" t="str">
        <f aca="false">IF(OR(C2024="",L2024=""),"",IF(C2024=L2024,"同一","変更"))</f>
        <v/>
      </c>
      <c r="N2024" s="29"/>
      <c r="O2024" s="30"/>
      <c r="P2024" s="29"/>
      <c r="Q2024" s="31"/>
      <c r="R2024" s="29"/>
      <c r="S2024" s="29"/>
      <c r="T2024" s="30"/>
      <c r="U2024" s="47" t="str">
        <f aca="false">IF(AND(B2024&lt;&gt;"",B2024=SW別シート!$C$3),COUNTIF(B$5:B2024,B2024),"")</f>
        <v/>
      </c>
      <c r="V2024" s="47" t="n">
        <f aca="false">V2023+IF(OR(O2024&lt;&gt;"",W2024&lt;&gt;""),1,0)</f>
        <v>3</v>
      </c>
      <c r="W2024" s="29"/>
    </row>
    <row r="2025" customFormat="false" ht="15" hidden="false" customHeight="false" outlineLevel="0" collapsed="false">
      <c r="A2025" s="32" t="str">
        <f aca="false">IF(B2025="","",ROW()-7)</f>
        <v/>
      </c>
      <c r="B2025" s="30"/>
      <c r="C2025" s="29"/>
      <c r="D2025" s="29"/>
      <c r="E2025" s="29"/>
      <c r="F2025" s="30"/>
      <c r="G2025" s="29"/>
      <c r="H2025" s="30"/>
      <c r="I2025" s="29"/>
      <c r="J2025" s="30"/>
      <c r="K2025" s="30"/>
      <c r="L2025" s="29"/>
      <c r="M2025" s="32" t="str">
        <f aca="false">IF(OR(C2025="",L2025=""),"",IF(C2025=L2025,"同一","変更"))</f>
        <v/>
      </c>
      <c r="N2025" s="29"/>
      <c r="O2025" s="30"/>
      <c r="P2025" s="29"/>
      <c r="Q2025" s="31"/>
      <c r="R2025" s="29"/>
      <c r="S2025" s="29"/>
      <c r="T2025" s="30"/>
      <c r="U2025" s="47" t="str">
        <f aca="false">IF(AND(B2025&lt;&gt;"",B2025=SW別シート!$C$3),COUNTIF(B$5:B2025,B2025),"")</f>
        <v/>
      </c>
      <c r="V2025" s="47" t="n">
        <f aca="false">V2024+IF(OR(O2025&lt;&gt;"",W2025&lt;&gt;""),1,0)</f>
        <v>3</v>
      </c>
      <c r="W2025" s="29"/>
    </row>
    <row r="2026" customFormat="false" ht="15" hidden="false" customHeight="false" outlineLevel="0" collapsed="false">
      <c r="A2026" s="32" t="str">
        <f aca="false">IF(B2026="","",ROW()-7)</f>
        <v/>
      </c>
      <c r="B2026" s="30"/>
      <c r="C2026" s="29"/>
      <c r="D2026" s="29"/>
      <c r="E2026" s="29"/>
      <c r="F2026" s="30"/>
      <c r="G2026" s="29"/>
      <c r="H2026" s="30"/>
      <c r="I2026" s="29"/>
      <c r="J2026" s="30"/>
      <c r="K2026" s="30"/>
      <c r="L2026" s="29"/>
      <c r="M2026" s="32" t="str">
        <f aca="false">IF(OR(C2026="",L2026=""),"",IF(C2026=L2026,"同一","変更"))</f>
        <v/>
      </c>
      <c r="N2026" s="29"/>
      <c r="O2026" s="30"/>
      <c r="P2026" s="29"/>
      <c r="Q2026" s="31"/>
      <c r="R2026" s="29"/>
      <c r="S2026" s="29"/>
      <c r="T2026" s="30"/>
      <c r="U2026" s="47" t="str">
        <f aca="false">IF(AND(B2026&lt;&gt;"",B2026=SW別シート!$C$3),COUNTIF(B$5:B2026,B2026),"")</f>
        <v/>
      </c>
      <c r="V2026" s="47" t="n">
        <f aca="false">V2025+IF(OR(O2026&lt;&gt;"",W2026&lt;&gt;""),1,0)</f>
        <v>3</v>
      </c>
      <c r="W2026" s="29"/>
    </row>
    <row r="2027" customFormat="false" ht="15" hidden="false" customHeight="false" outlineLevel="0" collapsed="false">
      <c r="A2027" s="32" t="str">
        <f aca="false">IF(B2027="","",ROW()-7)</f>
        <v/>
      </c>
      <c r="B2027" s="30"/>
      <c r="C2027" s="29"/>
      <c r="D2027" s="29"/>
      <c r="E2027" s="29"/>
      <c r="F2027" s="30"/>
      <c r="G2027" s="29"/>
      <c r="H2027" s="30"/>
      <c r="I2027" s="29"/>
      <c r="J2027" s="30"/>
      <c r="K2027" s="30"/>
      <c r="L2027" s="29"/>
      <c r="M2027" s="32" t="str">
        <f aca="false">IF(OR(C2027="",L2027=""),"",IF(C2027=L2027,"同一","変更"))</f>
        <v/>
      </c>
      <c r="N2027" s="29"/>
      <c r="O2027" s="30"/>
      <c r="P2027" s="29"/>
      <c r="Q2027" s="31"/>
      <c r="R2027" s="29"/>
      <c r="S2027" s="29"/>
      <c r="T2027" s="30"/>
      <c r="U2027" s="47" t="str">
        <f aca="false">IF(AND(B2027&lt;&gt;"",B2027=SW別シート!$C$3),COUNTIF(B$5:B2027,B2027),"")</f>
        <v/>
      </c>
      <c r="V2027" s="47" t="n">
        <f aca="false">V2026+IF(OR(O2027&lt;&gt;"",W2027&lt;&gt;""),1,0)</f>
        <v>3</v>
      </c>
      <c r="W2027" s="29"/>
    </row>
    <row r="2028" customFormat="false" ht="15" hidden="false" customHeight="false" outlineLevel="0" collapsed="false">
      <c r="A2028" s="32" t="str">
        <f aca="false">IF(B2028="","",ROW()-7)</f>
        <v/>
      </c>
      <c r="B2028" s="30"/>
      <c r="C2028" s="29"/>
      <c r="D2028" s="29"/>
      <c r="E2028" s="29"/>
      <c r="F2028" s="30"/>
      <c r="G2028" s="29"/>
      <c r="H2028" s="30"/>
      <c r="I2028" s="29"/>
      <c r="J2028" s="30"/>
      <c r="K2028" s="30"/>
      <c r="L2028" s="29"/>
      <c r="M2028" s="32" t="str">
        <f aca="false">IF(OR(C2028="",L2028=""),"",IF(C2028=L2028,"同一","変更"))</f>
        <v/>
      </c>
      <c r="N2028" s="29"/>
      <c r="O2028" s="30"/>
      <c r="P2028" s="29"/>
      <c r="Q2028" s="31"/>
      <c r="R2028" s="29"/>
      <c r="S2028" s="29"/>
      <c r="T2028" s="30"/>
      <c r="U2028" s="47" t="str">
        <f aca="false">IF(AND(B2028&lt;&gt;"",B2028=SW別シート!$C$3),COUNTIF(B$5:B2028,B2028),"")</f>
        <v/>
      </c>
      <c r="V2028" s="47" t="n">
        <f aca="false">V2027+IF(OR(O2028&lt;&gt;"",W2028&lt;&gt;""),1,0)</f>
        <v>3</v>
      </c>
      <c r="W2028" s="29"/>
    </row>
    <row r="2029" customFormat="false" ht="15" hidden="false" customHeight="false" outlineLevel="0" collapsed="false">
      <c r="A2029" s="32" t="str">
        <f aca="false">IF(B2029="","",ROW()-7)</f>
        <v/>
      </c>
      <c r="B2029" s="30"/>
      <c r="C2029" s="29"/>
      <c r="D2029" s="29"/>
      <c r="E2029" s="29"/>
      <c r="F2029" s="30"/>
      <c r="G2029" s="29"/>
      <c r="H2029" s="30"/>
      <c r="I2029" s="29"/>
      <c r="J2029" s="30"/>
      <c r="K2029" s="30"/>
      <c r="L2029" s="29"/>
      <c r="M2029" s="32" t="str">
        <f aca="false">IF(OR(C2029="",L2029=""),"",IF(C2029=L2029,"同一","変更"))</f>
        <v/>
      </c>
      <c r="N2029" s="29"/>
      <c r="O2029" s="30"/>
      <c r="P2029" s="29"/>
      <c r="Q2029" s="31"/>
      <c r="R2029" s="29"/>
      <c r="S2029" s="29"/>
      <c r="T2029" s="30"/>
      <c r="U2029" s="47" t="str">
        <f aca="false">IF(AND(B2029&lt;&gt;"",B2029=SW別シート!$C$3),COUNTIF(B$5:B2029,B2029),"")</f>
        <v/>
      </c>
      <c r="V2029" s="47" t="n">
        <f aca="false">V2028+IF(OR(O2029&lt;&gt;"",W2029&lt;&gt;""),1,0)</f>
        <v>3</v>
      </c>
      <c r="W2029" s="29"/>
    </row>
    <row r="2030" customFormat="false" ht="15" hidden="false" customHeight="false" outlineLevel="0" collapsed="false">
      <c r="A2030" s="32" t="str">
        <f aca="false">IF(B2030="","",ROW()-7)</f>
        <v/>
      </c>
      <c r="B2030" s="30"/>
      <c r="C2030" s="29"/>
      <c r="D2030" s="29"/>
      <c r="E2030" s="29"/>
      <c r="F2030" s="30"/>
      <c r="G2030" s="29"/>
      <c r="H2030" s="30"/>
      <c r="I2030" s="29"/>
      <c r="J2030" s="30"/>
      <c r="K2030" s="30"/>
      <c r="L2030" s="29"/>
      <c r="M2030" s="32" t="str">
        <f aca="false">IF(OR(C2030="",L2030=""),"",IF(C2030=L2030,"同一","変更"))</f>
        <v/>
      </c>
      <c r="N2030" s="29"/>
      <c r="O2030" s="30"/>
      <c r="P2030" s="29"/>
      <c r="Q2030" s="31"/>
      <c r="R2030" s="29"/>
      <c r="S2030" s="29"/>
      <c r="T2030" s="30"/>
      <c r="U2030" s="47" t="str">
        <f aca="false">IF(AND(B2030&lt;&gt;"",B2030=SW別シート!$C$3),COUNTIF(B$5:B2030,B2030),"")</f>
        <v/>
      </c>
      <c r="V2030" s="47" t="n">
        <f aca="false">V2029+IF(OR(O2030&lt;&gt;"",W2030&lt;&gt;""),1,0)</f>
        <v>3</v>
      </c>
      <c r="W2030" s="29"/>
    </row>
    <row r="2031" customFormat="false" ht="15" hidden="false" customHeight="false" outlineLevel="0" collapsed="false">
      <c r="A2031" s="32" t="str">
        <f aca="false">IF(B2031="","",ROW()-7)</f>
        <v/>
      </c>
      <c r="B2031" s="30"/>
      <c r="C2031" s="29"/>
      <c r="D2031" s="29"/>
      <c r="E2031" s="29"/>
      <c r="F2031" s="30"/>
      <c r="G2031" s="29"/>
      <c r="H2031" s="30"/>
      <c r="I2031" s="29"/>
      <c r="J2031" s="30"/>
      <c r="K2031" s="30"/>
      <c r="L2031" s="29"/>
      <c r="M2031" s="32" t="str">
        <f aca="false">IF(OR(C2031="",L2031=""),"",IF(C2031=L2031,"同一","変更"))</f>
        <v/>
      </c>
      <c r="N2031" s="29"/>
      <c r="O2031" s="30"/>
      <c r="P2031" s="29"/>
      <c r="Q2031" s="31"/>
      <c r="R2031" s="29"/>
      <c r="S2031" s="29"/>
      <c r="T2031" s="30"/>
      <c r="U2031" s="47" t="str">
        <f aca="false">IF(AND(B2031&lt;&gt;"",B2031=SW別シート!$C$3),COUNTIF(B$5:B2031,B2031),"")</f>
        <v/>
      </c>
      <c r="V2031" s="47" t="n">
        <f aca="false">V2030+IF(OR(O2031&lt;&gt;"",W2031&lt;&gt;""),1,0)</f>
        <v>3</v>
      </c>
      <c r="W2031" s="29"/>
    </row>
    <row r="2032" customFormat="false" ht="15" hidden="false" customHeight="false" outlineLevel="0" collapsed="false">
      <c r="A2032" s="32" t="str">
        <f aca="false">IF(B2032="","",ROW()-7)</f>
        <v/>
      </c>
      <c r="B2032" s="30"/>
      <c r="C2032" s="29"/>
      <c r="D2032" s="29"/>
      <c r="E2032" s="29"/>
      <c r="F2032" s="30"/>
      <c r="G2032" s="29"/>
      <c r="H2032" s="30"/>
      <c r="I2032" s="29"/>
      <c r="J2032" s="30"/>
      <c r="K2032" s="30"/>
      <c r="L2032" s="29"/>
      <c r="M2032" s="32" t="str">
        <f aca="false">IF(OR(C2032="",L2032=""),"",IF(C2032=L2032,"同一","変更"))</f>
        <v/>
      </c>
      <c r="N2032" s="29"/>
      <c r="O2032" s="30"/>
      <c r="P2032" s="29"/>
      <c r="Q2032" s="31"/>
      <c r="R2032" s="29"/>
      <c r="S2032" s="29"/>
      <c r="T2032" s="30"/>
      <c r="U2032" s="47" t="str">
        <f aca="false">IF(AND(B2032&lt;&gt;"",B2032=SW別シート!$C$3),COUNTIF(B$5:B2032,B2032),"")</f>
        <v/>
      </c>
      <c r="V2032" s="47" t="n">
        <f aca="false">V2031+IF(OR(O2032&lt;&gt;"",W2032&lt;&gt;""),1,0)</f>
        <v>3</v>
      </c>
      <c r="W2032" s="29"/>
    </row>
    <row r="2033" customFormat="false" ht="15" hidden="false" customHeight="false" outlineLevel="0" collapsed="false">
      <c r="A2033" s="32" t="str">
        <f aca="false">IF(B2033="","",ROW()-7)</f>
        <v/>
      </c>
      <c r="B2033" s="30"/>
      <c r="C2033" s="29"/>
      <c r="D2033" s="29"/>
      <c r="E2033" s="29"/>
      <c r="F2033" s="30"/>
      <c r="G2033" s="29"/>
      <c r="H2033" s="30"/>
      <c r="I2033" s="29"/>
      <c r="J2033" s="30"/>
      <c r="K2033" s="30"/>
      <c r="L2033" s="29"/>
      <c r="M2033" s="32" t="str">
        <f aca="false">IF(OR(C2033="",L2033=""),"",IF(C2033=L2033,"同一","変更"))</f>
        <v/>
      </c>
      <c r="N2033" s="29"/>
      <c r="O2033" s="30"/>
      <c r="P2033" s="29"/>
      <c r="Q2033" s="31"/>
      <c r="R2033" s="29"/>
      <c r="S2033" s="29"/>
      <c r="T2033" s="30"/>
      <c r="U2033" s="47" t="str">
        <f aca="false">IF(AND(B2033&lt;&gt;"",B2033=SW別シート!$C$3),COUNTIF(B$5:B2033,B2033),"")</f>
        <v/>
      </c>
      <c r="V2033" s="47" t="n">
        <f aca="false">V2032+IF(OR(O2033&lt;&gt;"",W2033&lt;&gt;""),1,0)</f>
        <v>3</v>
      </c>
      <c r="W2033" s="29"/>
    </row>
    <row r="2034" customFormat="false" ht="15" hidden="false" customHeight="false" outlineLevel="0" collapsed="false">
      <c r="A2034" s="32" t="str">
        <f aca="false">IF(B2034="","",ROW()-7)</f>
        <v/>
      </c>
      <c r="B2034" s="30"/>
      <c r="C2034" s="29"/>
      <c r="D2034" s="29"/>
      <c r="E2034" s="29"/>
      <c r="F2034" s="30"/>
      <c r="G2034" s="29"/>
      <c r="H2034" s="30"/>
      <c r="I2034" s="29"/>
      <c r="J2034" s="30"/>
      <c r="K2034" s="30"/>
      <c r="L2034" s="29"/>
      <c r="M2034" s="32" t="str">
        <f aca="false">IF(OR(C2034="",L2034=""),"",IF(C2034=L2034,"同一","変更"))</f>
        <v/>
      </c>
      <c r="N2034" s="29"/>
      <c r="O2034" s="30"/>
      <c r="P2034" s="29"/>
      <c r="Q2034" s="31"/>
      <c r="R2034" s="29"/>
      <c r="S2034" s="29"/>
      <c r="T2034" s="30"/>
      <c r="U2034" s="47" t="str">
        <f aca="false">IF(AND(B2034&lt;&gt;"",B2034=SW別シート!$C$3),COUNTIF(B$5:B2034,B2034),"")</f>
        <v/>
      </c>
      <c r="V2034" s="47" t="n">
        <f aca="false">V2033+IF(OR(O2034&lt;&gt;"",W2034&lt;&gt;""),1,0)</f>
        <v>3</v>
      </c>
      <c r="W2034" s="29"/>
    </row>
    <row r="2035" customFormat="false" ht="15" hidden="false" customHeight="false" outlineLevel="0" collapsed="false">
      <c r="A2035" s="32" t="str">
        <f aca="false">IF(B2035="","",ROW()-7)</f>
        <v/>
      </c>
      <c r="B2035" s="30"/>
      <c r="C2035" s="29"/>
      <c r="D2035" s="29"/>
      <c r="E2035" s="29"/>
      <c r="F2035" s="30"/>
      <c r="G2035" s="29"/>
      <c r="H2035" s="30"/>
      <c r="I2035" s="29"/>
      <c r="J2035" s="30"/>
      <c r="K2035" s="30"/>
      <c r="L2035" s="29"/>
      <c r="M2035" s="32" t="str">
        <f aca="false">IF(OR(C2035="",L2035=""),"",IF(C2035=L2035,"同一","変更"))</f>
        <v/>
      </c>
      <c r="N2035" s="29"/>
      <c r="O2035" s="30"/>
      <c r="P2035" s="29"/>
      <c r="Q2035" s="31"/>
      <c r="R2035" s="29"/>
      <c r="S2035" s="29"/>
      <c r="T2035" s="30"/>
      <c r="U2035" s="47" t="str">
        <f aca="false">IF(AND(B2035&lt;&gt;"",B2035=SW別シート!$C$3),COUNTIF(B$5:B2035,B2035),"")</f>
        <v/>
      </c>
      <c r="V2035" s="47" t="n">
        <f aca="false">V2034+IF(OR(O2035&lt;&gt;"",W2035&lt;&gt;""),1,0)</f>
        <v>3</v>
      </c>
      <c r="W2035" s="29"/>
    </row>
    <row r="2036" customFormat="false" ht="15" hidden="false" customHeight="false" outlineLevel="0" collapsed="false">
      <c r="A2036" s="32" t="str">
        <f aca="false">IF(B2036="","",ROW()-7)</f>
        <v/>
      </c>
      <c r="B2036" s="30"/>
      <c r="C2036" s="29"/>
      <c r="D2036" s="29"/>
      <c r="E2036" s="29"/>
      <c r="F2036" s="30"/>
      <c r="G2036" s="29"/>
      <c r="H2036" s="30"/>
      <c r="I2036" s="29"/>
      <c r="J2036" s="30"/>
      <c r="K2036" s="30"/>
      <c r="L2036" s="29"/>
      <c r="M2036" s="32" t="str">
        <f aca="false">IF(OR(C2036="",L2036=""),"",IF(C2036=L2036,"同一","変更"))</f>
        <v/>
      </c>
      <c r="N2036" s="29"/>
      <c r="O2036" s="30"/>
      <c r="P2036" s="29"/>
      <c r="Q2036" s="31"/>
      <c r="R2036" s="29"/>
      <c r="S2036" s="29"/>
      <c r="T2036" s="30"/>
      <c r="U2036" s="47" t="str">
        <f aca="false">IF(AND(B2036&lt;&gt;"",B2036=SW別シート!$C$3),COUNTIF(B$5:B2036,B2036),"")</f>
        <v/>
      </c>
      <c r="V2036" s="47" t="n">
        <f aca="false">V2035+IF(OR(O2036&lt;&gt;"",W2036&lt;&gt;""),1,0)</f>
        <v>3</v>
      </c>
      <c r="W2036" s="29"/>
    </row>
    <row r="2037" customFormat="false" ht="15" hidden="false" customHeight="false" outlineLevel="0" collapsed="false">
      <c r="A2037" s="32" t="str">
        <f aca="false">IF(B2037="","",ROW()-7)</f>
        <v/>
      </c>
      <c r="B2037" s="30"/>
      <c r="C2037" s="29"/>
      <c r="D2037" s="29"/>
      <c r="E2037" s="29"/>
      <c r="F2037" s="30"/>
      <c r="G2037" s="29"/>
      <c r="H2037" s="30"/>
      <c r="I2037" s="29"/>
      <c r="J2037" s="30"/>
      <c r="K2037" s="30"/>
      <c r="L2037" s="29"/>
      <c r="M2037" s="32" t="str">
        <f aca="false">IF(OR(C2037="",L2037=""),"",IF(C2037=L2037,"同一","変更"))</f>
        <v/>
      </c>
      <c r="N2037" s="29"/>
      <c r="O2037" s="30"/>
      <c r="P2037" s="29"/>
      <c r="Q2037" s="31"/>
      <c r="R2037" s="29"/>
      <c r="S2037" s="29"/>
      <c r="T2037" s="30"/>
      <c r="U2037" s="47" t="str">
        <f aca="false">IF(AND(B2037&lt;&gt;"",B2037=SW別シート!$C$3),COUNTIF(B$5:B2037,B2037),"")</f>
        <v/>
      </c>
      <c r="V2037" s="47" t="n">
        <f aca="false">V2036+IF(OR(O2037&lt;&gt;"",W2037&lt;&gt;""),1,0)</f>
        <v>3</v>
      </c>
      <c r="W2037" s="29"/>
    </row>
    <row r="2038" customFormat="false" ht="15" hidden="false" customHeight="false" outlineLevel="0" collapsed="false">
      <c r="A2038" s="32" t="str">
        <f aca="false">IF(B2038="","",ROW()-7)</f>
        <v/>
      </c>
      <c r="B2038" s="30"/>
      <c r="C2038" s="29"/>
      <c r="D2038" s="29"/>
      <c r="E2038" s="29"/>
      <c r="F2038" s="30"/>
      <c r="G2038" s="29"/>
      <c r="H2038" s="30"/>
      <c r="I2038" s="29"/>
      <c r="J2038" s="30"/>
      <c r="K2038" s="30"/>
      <c r="L2038" s="29"/>
      <c r="M2038" s="32" t="str">
        <f aca="false">IF(OR(C2038="",L2038=""),"",IF(C2038=L2038,"同一","変更"))</f>
        <v/>
      </c>
      <c r="N2038" s="29"/>
      <c r="O2038" s="30"/>
      <c r="P2038" s="29"/>
      <c r="Q2038" s="31"/>
      <c r="R2038" s="29"/>
      <c r="S2038" s="29"/>
      <c r="T2038" s="30"/>
      <c r="U2038" s="47" t="str">
        <f aca="false">IF(AND(B2038&lt;&gt;"",B2038=SW別シート!$C$3),COUNTIF(B$5:B2038,B2038),"")</f>
        <v/>
      </c>
      <c r="V2038" s="47" t="n">
        <f aca="false">V2037+IF(OR(O2038&lt;&gt;"",W2038&lt;&gt;""),1,0)</f>
        <v>3</v>
      </c>
      <c r="W2038" s="29"/>
    </row>
    <row r="2039" customFormat="false" ht="15" hidden="false" customHeight="false" outlineLevel="0" collapsed="false">
      <c r="A2039" s="32" t="str">
        <f aca="false">IF(B2039="","",ROW()-7)</f>
        <v/>
      </c>
      <c r="B2039" s="30"/>
      <c r="C2039" s="29"/>
      <c r="D2039" s="29"/>
      <c r="E2039" s="29"/>
      <c r="F2039" s="30"/>
      <c r="G2039" s="29"/>
      <c r="H2039" s="30"/>
      <c r="I2039" s="29"/>
      <c r="J2039" s="30"/>
      <c r="K2039" s="30"/>
      <c r="L2039" s="29"/>
      <c r="M2039" s="32" t="str">
        <f aca="false">IF(OR(C2039="",L2039=""),"",IF(C2039=L2039,"同一","変更"))</f>
        <v/>
      </c>
      <c r="N2039" s="29"/>
      <c r="O2039" s="30"/>
      <c r="P2039" s="29"/>
      <c r="Q2039" s="31"/>
      <c r="R2039" s="29"/>
      <c r="S2039" s="29"/>
      <c r="T2039" s="30"/>
      <c r="U2039" s="47" t="str">
        <f aca="false">IF(AND(B2039&lt;&gt;"",B2039=SW別シート!$C$3),COUNTIF(B$5:B2039,B2039),"")</f>
        <v/>
      </c>
      <c r="V2039" s="47" t="n">
        <f aca="false">V2038+IF(OR(O2039&lt;&gt;"",W2039&lt;&gt;""),1,0)</f>
        <v>3</v>
      </c>
      <c r="W2039" s="29"/>
    </row>
    <row r="2040" customFormat="false" ht="15" hidden="false" customHeight="false" outlineLevel="0" collapsed="false">
      <c r="A2040" s="32" t="str">
        <f aca="false">IF(B2040="","",ROW()-7)</f>
        <v/>
      </c>
      <c r="B2040" s="30"/>
      <c r="C2040" s="29"/>
      <c r="D2040" s="29"/>
      <c r="E2040" s="29"/>
      <c r="F2040" s="30"/>
      <c r="G2040" s="29"/>
      <c r="H2040" s="30"/>
      <c r="I2040" s="29"/>
      <c r="J2040" s="30"/>
      <c r="K2040" s="30"/>
      <c r="L2040" s="29"/>
      <c r="M2040" s="32" t="str">
        <f aca="false">IF(OR(C2040="",L2040=""),"",IF(C2040=L2040,"同一","変更"))</f>
        <v/>
      </c>
      <c r="N2040" s="29"/>
      <c r="O2040" s="30"/>
      <c r="P2040" s="29"/>
      <c r="Q2040" s="31"/>
      <c r="R2040" s="29"/>
      <c r="S2040" s="29"/>
      <c r="T2040" s="30"/>
      <c r="U2040" s="47" t="str">
        <f aca="false">IF(AND(B2040&lt;&gt;"",B2040=SW別シート!$C$3),COUNTIF(B$5:B2040,B2040),"")</f>
        <v/>
      </c>
      <c r="V2040" s="47" t="n">
        <f aca="false">V2039+IF(OR(O2040&lt;&gt;"",W2040&lt;&gt;""),1,0)</f>
        <v>3</v>
      </c>
      <c r="W2040" s="29"/>
    </row>
    <row r="2041" customFormat="false" ht="15" hidden="false" customHeight="false" outlineLevel="0" collapsed="false">
      <c r="A2041" s="32" t="str">
        <f aca="false">IF(B2041="","",ROW()-7)</f>
        <v/>
      </c>
      <c r="B2041" s="30"/>
      <c r="C2041" s="29"/>
      <c r="D2041" s="29"/>
      <c r="E2041" s="29"/>
      <c r="F2041" s="30"/>
      <c r="G2041" s="29"/>
      <c r="H2041" s="30"/>
      <c r="I2041" s="29"/>
      <c r="J2041" s="30"/>
      <c r="K2041" s="30"/>
      <c r="L2041" s="29"/>
      <c r="M2041" s="32" t="str">
        <f aca="false">IF(OR(C2041="",L2041=""),"",IF(C2041=L2041,"同一","変更"))</f>
        <v/>
      </c>
      <c r="N2041" s="29"/>
      <c r="O2041" s="30"/>
      <c r="P2041" s="29"/>
      <c r="Q2041" s="31"/>
      <c r="R2041" s="29"/>
      <c r="S2041" s="29"/>
      <c r="T2041" s="30"/>
      <c r="U2041" s="47" t="str">
        <f aca="false">IF(AND(B2041&lt;&gt;"",B2041=SW別シート!$C$3),COUNTIF(B$5:B2041,B2041),"")</f>
        <v/>
      </c>
      <c r="V2041" s="47" t="n">
        <f aca="false">V2040+IF(OR(O2041&lt;&gt;"",W2041&lt;&gt;""),1,0)</f>
        <v>3</v>
      </c>
      <c r="W2041" s="29"/>
    </row>
    <row r="2042" customFormat="false" ht="15" hidden="false" customHeight="false" outlineLevel="0" collapsed="false">
      <c r="A2042" s="32" t="str">
        <f aca="false">IF(B2042="","",ROW()-7)</f>
        <v/>
      </c>
      <c r="B2042" s="30"/>
      <c r="C2042" s="29"/>
      <c r="D2042" s="29"/>
      <c r="E2042" s="29"/>
      <c r="F2042" s="30"/>
      <c r="G2042" s="29"/>
      <c r="H2042" s="30"/>
      <c r="I2042" s="29"/>
      <c r="J2042" s="30"/>
      <c r="K2042" s="30"/>
      <c r="L2042" s="29"/>
      <c r="M2042" s="32" t="str">
        <f aca="false">IF(OR(C2042="",L2042=""),"",IF(C2042=L2042,"同一","変更"))</f>
        <v/>
      </c>
      <c r="N2042" s="29"/>
      <c r="O2042" s="30"/>
      <c r="P2042" s="29"/>
      <c r="Q2042" s="31"/>
      <c r="R2042" s="29"/>
      <c r="S2042" s="29"/>
      <c r="T2042" s="30"/>
      <c r="U2042" s="47" t="str">
        <f aca="false">IF(AND(B2042&lt;&gt;"",B2042=SW別シート!$C$3),COUNTIF(B$5:B2042,B2042),"")</f>
        <v/>
      </c>
      <c r="V2042" s="47" t="n">
        <f aca="false">V2041+IF(OR(O2042&lt;&gt;"",W2042&lt;&gt;""),1,0)</f>
        <v>3</v>
      </c>
      <c r="W2042" s="29"/>
    </row>
    <row r="2043" customFormat="false" ht="15" hidden="false" customHeight="false" outlineLevel="0" collapsed="false">
      <c r="A2043" s="32" t="str">
        <f aca="false">IF(B2043="","",ROW()-7)</f>
        <v/>
      </c>
      <c r="B2043" s="30"/>
      <c r="C2043" s="29"/>
      <c r="D2043" s="29"/>
      <c r="E2043" s="29"/>
      <c r="F2043" s="30"/>
      <c r="G2043" s="29"/>
      <c r="H2043" s="30"/>
      <c r="I2043" s="29"/>
      <c r="J2043" s="30"/>
      <c r="K2043" s="30"/>
      <c r="L2043" s="29"/>
      <c r="M2043" s="32" t="str">
        <f aca="false">IF(OR(C2043="",L2043=""),"",IF(C2043=L2043,"同一","変更"))</f>
        <v/>
      </c>
      <c r="N2043" s="29"/>
      <c r="O2043" s="30"/>
      <c r="P2043" s="29"/>
      <c r="Q2043" s="31"/>
      <c r="R2043" s="29"/>
      <c r="S2043" s="29"/>
      <c r="T2043" s="30"/>
      <c r="U2043" s="47" t="str">
        <f aca="false">IF(AND(B2043&lt;&gt;"",B2043=SW別シート!$C$3),COUNTIF(B$5:B2043,B2043),"")</f>
        <v/>
      </c>
      <c r="V2043" s="47" t="n">
        <f aca="false">V2042+IF(OR(O2043&lt;&gt;"",W2043&lt;&gt;""),1,0)</f>
        <v>3</v>
      </c>
      <c r="W2043" s="29"/>
    </row>
    <row r="2044" customFormat="false" ht="15" hidden="false" customHeight="false" outlineLevel="0" collapsed="false">
      <c r="A2044" s="32" t="str">
        <f aca="false">IF(B2044="","",ROW()-7)</f>
        <v/>
      </c>
      <c r="B2044" s="30"/>
      <c r="C2044" s="29"/>
      <c r="D2044" s="29"/>
      <c r="E2044" s="29"/>
      <c r="F2044" s="30"/>
      <c r="G2044" s="29"/>
      <c r="H2044" s="30"/>
      <c r="I2044" s="29"/>
      <c r="J2044" s="30"/>
      <c r="K2044" s="30"/>
      <c r="L2044" s="29"/>
      <c r="M2044" s="32" t="str">
        <f aca="false">IF(OR(C2044="",L2044=""),"",IF(C2044=L2044,"同一","変更"))</f>
        <v/>
      </c>
      <c r="N2044" s="29"/>
      <c r="O2044" s="30"/>
      <c r="P2044" s="29"/>
      <c r="Q2044" s="31"/>
      <c r="R2044" s="29"/>
      <c r="S2044" s="29"/>
      <c r="T2044" s="30"/>
      <c r="U2044" s="47" t="str">
        <f aca="false">IF(AND(B2044&lt;&gt;"",B2044=SW別シート!$C$3),COUNTIF(B$5:B2044,B2044),"")</f>
        <v/>
      </c>
      <c r="V2044" s="47" t="n">
        <f aca="false">V2043+IF(OR(O2044&lt;&gt;"",W2044&lt;&gt;""),1,0)</f>
        <v>3</v>
      </c>
      <c r="W2044" s="29"/>
    </row>
    <row r="2045" customFormat="false" ht="15" hidden="false" customHeight="false" outlineLevel="0" collapsed="false">
      <c r="A2045" s="32" t="str">
        <f aca="false">IF(B2045="","",ROW()-7)</f>
        <v/>
      </c>
      <c r="B2045" s="30"/>
      <c r="C2045" s="29"/>
      <c r="D2045" s="29"/>
      <c r="E2045" s="29"/>
      <c r="F2045" s="30"/>
      <c r="G2045" s="29"/>
      <c r="H2045" s="30"/>
      <c r="I2045" s="29"/>
      <c r="J2045" s="30"/>
      <c r="K2045" s="30"/>
      <c r="L2045" s="29"/>
      <c r="M2045" s="32" t="str">
        <f aca="false">IF(OR(C2045="",L2045=""),"",IF(C2045=L2045,"同一","変更"))</f>
        <v/>
      </c>
      <c r="N2045" s="29"/>
      <c r="O2045" s="30"/>
      <c r="P2045" s="29"/>
      <c r="Q2045" s="31"/>
      <c r="R2045" s="29"/>
      <c r="S2045" s="29"/>
      <c r="T2045" s="30"/>
      <c r="U2045" s="47" t="str">
        <f aca="false">IF(AND(B2045&lt;&gt;"",B2045=SW別シート!$C$3),COUNTIF(B$5:B2045,B2045),"")</f>
        <v/>
      </c>
      <c r="V2045" s="47" t="n">
        <f aca="false">V2044+IF(OR(O2045&lt;&gt;"",W2045&lt;&gt;""),1,0)</f>
        <v>3</v>
      </c>
      <c r="W2045" s="29"/>
    </row>
    <row r="2046" customFormat="false" ht="15" hidden="false" customHeight="false" outlineLevel="0" collapsed="false">
      <c r="A2046" s="32" t="str">
        <f aca="false">IF(B2046="","",ROW()-7)</f>
        <v/>
      </c>
      <c r="B2046" s="30"/>
      <c r="C2046" s="29"/>
      <c r="D2046" s="29"/>
      <c r="E2046" s="29"/>
      <c r="F2046" s="30"/>
      <c r="G2046" s="29"/>
      <c r="H2046" s="30"/>
      <c r="I2046" s="29"/>
      <c r="J2046" s="30"/>
      <c r="K2046" s="30"/>
      <c r="L2046" s="29"/>
      <c r="M2046" s="32" t="str">
        <f aca="false">IF(OR(C2046="",L2046=""),"",IF(C2046=L2046,"同一","変更"))</f>
        <v/>
      </c>
      <c r="N2046" s="29"/>
      <c r="O2046" s="30"/>
      <c r="P2046" s="29"/>
      <c r="Q2046" s="31"/>
      <c r="R2046" s="29"/>
      <c r="S2046" s="29"/>
      <c r="T2046" s="30"/>
      <c r="U2046" s="47" t="str">
        <f aca="false">IF(AND(B2046&lt;&gt;"",B2046=SW別シート!$C$3),COUNTIF(B$5:B2046,B2046),"")</f>
        <v/>
      </c>
      <c r="V2046" s="47" t="n">
        <f aca="false">V2045+IF(OR(O2046&lt;&gt;"",W2046&lt;&gt;""),1,0)</f>
        <v>3</v>
      </c>
      <c r="W2046" s="29"/>
    </row>
    <row r="2047" customFormat="false" ht="15" hidden="false" customHeight="false" outlineLevel="0" collapsed="false">
      <c r="A2047" s="32" t="str">
        <f aca="false">IF(B2047="","",ROW()-7)</f>
        <v/>
      </c>
      <c r="B2047" s="30"/>
      <c r="C2047" s="29"/>
      <c r="D2047" s="29"/>
      <c r="E2047" s="29"/>
      <c r="F2047" s="30"/>
      <c r="G2047" s="29"/>
      <c r="H2047" s="30"/>
      <c r="I2047" s="29"/>
      <c r="J2047" s="30"/>
      <c r="K2047" s="30"/>
      <c r="L2047" s="29"/>
      <c r="M2047" s="32" t="str">
        <f aca="false">IF(OR(C2047="",L2047=""),"",IF(C2047=L2047,"同一","変更"))</f>
        <v/>
      </c>
      <c r="N2047" s="29"/>
      <c r="O2047" s="30"/>
      <c r="P2047" s="29"/>
      <c r="Q2047" s="31"/>
      <c r="R2047" s="29"/>
      <c r="S2047" s="29"/>
      <c r="T2047" s="30"/>
      <c r="U2047" s="47" t="str">
        <f aca="false">IF(AND(B2047&lt;&gt;"",B2047=SW別シート!$C$3),COUNTIF(B$5:B2047,B2047),"")</f>
        <v/>
      </c>
      <c r="V2047" s="47" t="n">
        <f aca="false">V2046+IF(OR(O2047&lt;&gt;"",W2047&lt;&gt;""),1,0)</f>
        <v>3</v>
      </c>
      <c r="W2047" s="29"/>
    </row>
    <row r="2048" customFormat="false" ht="15" hidden="false" customHeight="false" outlineLevel="0" collapsed="false">
      <c r="A2048" s="32" t="str">
        <f aca="false">IF(B2048="","",ROW()-7)</f>
        <v/>
      </c>
      <c r="B2048" s="30"/>
      <c r="C2048" s="29"/>
      <c r="D2048" s="29"/>
      <c r="E2048" s="29"/>
      <c r="F2048" s="30"/>
      <c r="G2048" s="29"/>
      <c r="H2048" s="30"/>
      <c r="I2048" s="29"/>
      <c r="J2048" s="30"/>
      <c r="K2048" s="30"/>
      <c r="L2048" s="29"/>
      <c r="M2048" s="32" t="str">
        <f aca="false">IF(OR(C2048="",L2048=""),"",IF(C2048=L2048,"同一","変更"))</f>
        <v/>
      </c>
      <c r="N2048" s="29"/>
      <c r="O2048" s="30"/>
      <c r="P2048" s="29"/>
      <c r="Q2048" s="31"/>
      <c r="R2048" s="29"/>
      <c r="S2048" s="29"/>
      <c r="T2048" s="30"/>
      <c r="U2048" s="47" t="str">
        <f aca="false">IF(AND(B2048&lt;&gt;"",B2048=SW別シート!$C$3),COUNTIF(B$5:B2048,B2048),"")</f>
        <v/>
      </c>
      <c r="V2048" s="47" t="n">
        <f aca="false">V2047+IF(OR(O2048&lt;&gt;"",W2048&lt;&gt;""),1,0)</f>
        <v>3</v>
      </c>
      <c r="W2048" s="29"/>
    </row>
    <row r="2049" customFormat="false" ht="15" hidden="false" customHeight="false" outlineLevel="0" collapsed="false">
      <c r="A2049" s="32" t="str">
        <f aca="false">IF(B2049="","",ROW()-7)</f>
        <v/>
      </c>
      <c r="B2049" s="30"/>
      <c r="C2049" s="29"/>
      <c r="D2049" s="29"/>
      <c r="E2049" s="29"/>
      <c r="F2049" s="30"/>
      <c r="G2049" s="29"/>
      <c r="H2049" s="30"/>
      <c r="I2049" s="29"/>
      <c r="J2049" s="30"/>
      <c r="K2049" s="30"/>
      <c r="L2049" s="29"/>
      <c r="M2049" s="32" t="str">
        <f aca="false">IF(OR(C2049="",L2049=""),"",IF(C2049=L2049,"同一","変更"))</f>
        <v/>
      </c>
      <c r="N2049" s="29"/>
      <c r="O2049" s="30"/>
      <c r="P2049" s="29"/>
      <c r="Q2049" s="31"/>
      <c r="R2049" s="29"/>
      <c r="S2049" s="29"/>
      <c r="T2049" s="30"/>
      <c r="U2049" s="47" t="str">
        <f aca="false">IF(AND(B2049&lt;&gt;"",B2049=SW別シート!$C$3),COUNTIF(B$5:B2049,B2049),"")</f>
        <v/>
      </c>
      <c r="V2049" s="47" t="n">
        <f aca="false">V2048+IF(OR(O2049&lt;&gt;"",W2049&lt;&gt;""),1,0)</f>
        <v>3</v>
      </c>
      <c r="W2049" s="29"/>
    </row>
    <row r="2050" customFormat="false" ht="15" hidden="false" customHeight="false" outlineLevel="0" collapsed="false">
      <c r="A2050" s="32" t="str">
        <f aca="false">IF(B2050="","",ROW()-7)</f>
        <v/>
      </c>
      <c r="B2050" s="30"/>
      <c r="C2050" s="29"/>
      <c r="D2050" s="29"/>
      <c r="E2050" s="29"/>
      <c r="F2050" s="30"/>
      <c r="G2050" s="29"/>
      <c r="H2050" s="30"/>
      <c r="I2050" s="29"/>
      <c r="J2050" s="30"/>
      <c r="K2050" s="30"/>
      <c r="L2050" s="29"/>
      <c r="M2050" s="32" t="str">
        <f aca="false">IF(OR(C2050="",L2050=""),"",IF(C2050=L2050,"同一","変更"))</f>
        <v/>
      </c>
      <c r="N2050" s="29"/>
      <c r="O2050" s="30"/>
      <c r="P2050" s="29"/>
      <c r="Q2050" s="31"/>
      <c r="R2050" s="29"/>
      <c r="S2050" s="29"/>
      <c r="T2050" s="30"/>
      <c r="U2050" s="47" t="str">
        <f aca="false">IF(AND(B2050&lt;&gt;"",B2050=SW別シート!$C$3),COUNTIF(B$5:B2050,B2050),"")</f>
        <v/>
      </c>
      <c r="V2050" s="47" t="n">
        <f aca="false">V2049+IF(OR(O2050&lt;&gt;"",W2050&lt;&gt;""),1,0)</f>
        <v>3</v>
      </c>
      <c r="W2050" s="29"/>
    </row>
    <row r="2051" customFormat="false" ht="15" hidden="false" customHeight="false" outlineLevel="0" collapsed="false">
      <c r="A2051" s="32" t="str">
        <f aca="false">IF(B2051="","",ROW()-7)</f>
        <v/>
      </c>
      <c r="B2051" s="30"/>
      <c r="C2051" s="29"/>
      <c r="D2051" s="29"/>
      <c r="E2051" s="29"/>
      <c r="F2051" s="30"/>
      <c r="G2051" s="29"/>
      <c r="H2051" s="30"/>
      <c r="I2051" s="29"/>
      <c r="J2051" s="30"/>
      <c r="K2051" s="30"/>
      <c r="L2051" s="29"/>
      <c r="M2051" s="32" t="str">
        <f aca="false">IF(OR(C2051="",L2051=""),"",IF(C2051=L2051,"同一","変更"))</f>
        <v/>
      </c>
      <c r="N2051" s="29"/>
      <c r="O2051" s="30"/>
      <c r="P2051" s="29"/>
      <c r="Q2051" s="31"/>
      <c r="R2051" s="29"/>
      <c r="S2051" s="29"/>
      <c r="T2051" s="30"/>
      <c r="U2051" s="47" t="str">
        <f aca="false">IF(AND(B2051&lt;&gt;"",B2051=SW別シート!$C$3),COUNTIF(B$5:B2051,B2051),"")</f>
        <v/>
      </c>
      <c r="V2051" s="47" t="n">
        <f aca="false">V2050+IF(OR(O2051&lt;&gt;"",W2051&lt;&gt;""),1,0)</f>
        <v>3</v>
      </c>
      <c r="W2051" s="29"/>
    </row>
    <row r="2052" customFormat="false" ht="15" hidden="false" customHeight="false" outlineLevel="0" collapsed="false">
      <c r="A2052" s="32" t="str">
        <f aca="false">IF(B2052="","",ROW()-7)</f>
        <v/>
      </c>
      <c r="B2052" s="30"/>
      <c r="C2052" s="29"/>
      <c r="D2052" s="29"/>
      <c r="E2052" s="29"/>
      <c r="F2052" s="30"/>
      <c r="G2052" s="29"/>
      <c r="H2052" s="30"/>
      <c r="I2052" s="29"/>
      <c r="J2052" s="30"/>
      <c r="K2052" s="30"/>
      <c r="L2052" s="29"/>
      <c r="M2052" s="32" t="str">
        <f aca="false">IF(OR(C2052="",L2052=""),"",IF(C2052=L2052,"同一","変更"))</f>
        <v/>
      </c>
      <c r="N2052" s="29"/>
      <c r="O2052" s="30"/>
      <c r="P2052" s="29"/>
      <c r="Q2052" s="31"/>
      <c r="R2052" s="29"/>
      <c r="S2052" s="29"/>
      <c r="T2052" s="30"/>
      <c r="U2052" s="47" t="str">
        <f aca="false">IF(AND(B2052&lt;&gt;"",B2052=SW別シート!$C$3),COUNTIF(B$5:B2052,B2052),"")</f>
        <v/>
      </c>
      <c r="V2052" s="47" t="n">
        <f aca="false">V2051+IF(OR(O2052&lt;&gt;"",W2052&lt;&gt;""),1,0)</f>
        <v>3</v>
      </c>
      <c r="W2052" s="29"/>
    </row>
    <row r="2053" customFormat="false" ht="15" hidden="false" customHeight="false" outlineLevel="0" collapsed="false">
      <c r="A2053" s="32" t="str">
        <f aca="false">IF(B2053="","",ROW()-7)</f>
        <v/>
      </c>
      <c r="B2053" s="30"/>
      <c r="C2053" s="29"/>
      <c r="D2053" s="29"/>
      <c r="E2053" s="29"/>
      <c r="F2053" s="30"/>
      <c r="G2053" s="29"/>
      <c r="H2053" s="30"/>
      <c r="I2053" s="29"/>
      <c r="J2053" s="30"/>
      <c r="K2053" s="30"/>
      <c r="L2053" s="29"/>
      <c r="M2053" s="32" t="str">
        <f aca="false">IF(OR(C2053="",L2053=""),"",IF(C2053=L2053,"同一","変更"))</f>
        <v/>
      </c>
      <c r="N2053" s="29"/>
      <c r="O2053" s="30"/>
      <c r="P2053" s="29"/>
      <c r="Q2053" s="31"/>
      <c r="R2053" s="29"/>
      <c r="S2053" s="29"/>
      <c r="T2053" s="30"/>
      <c r="U2053" s="47" t="str">
        <f aca="false">IF(AND(B2053&lt;&gt;"",B2053=SW別シート!$C$3),COUNTIF(B$5:B2053,B2053),"")</f>
        <v/>
      </c>
      <c r="V2053" s="47" t="n">
        <f aca="false">V2052+IF(OR(O2053&lt;&gt;"",W2053&lt;&gt;""),1,0)</f>
        <v>3</v>
      </c>
      <c r="W2053" s="29"/>
    </row>
    <row r="2054" customFormat="false" ht="15" hidden="false" customHeight="false" outlineLevel="0" collapsed="false">
      <c r="A2054" s="32" t="str">
        <f aca="false">IF(B2054="","",ROW()-7)</f>
        <v/>
      </c>
      <c r="B2054" s="30"/>
      <c r="C2054" s="29"/>
      <c r="D2054" s="29"/>
      <c r="E2054" s="29"/>
      <c r="F2054" s="30"/>
      <c r="G2054" s="29"/>
      <c r="H2054" s="30"/>
      <c r="I2054" s="29"/>
      <c r="J2054" s="30"/>
      <c r="K2054" s="30"/>
      <c r="L2054" s="29"/>
      <c r="M2054" s="32" t="str">
        <f aca="false">IF(OR(C2054="",L2054=""),"",IF(C2054=L2054,"同一","変更"))</f>
        <v/>
      </c>
      <c r="N2054" s="29"/>
      <c r="O2054" s="30"/>
      <c r="P2054" s="29"/>
      <c r="Q2054" s="31"/>
      <c r="R2054" s="29"/>
      <c r="S2054" s="29"/>
      <c r="T2054" s="30"/>
      <c r="U2054" s="47" t="str">
        <f aca="false">IF(AND(B2054&lt;&gt;"",B2054=SW別シート!$C$3),COUNTIF(B$5:B2054,B2054),"")</f>
        <v/>
      </c>
      <c r="V2054" s="47" t="n">
        <f aca="false">V2053+IF(OR(O2054&lt;&gt;"",W2054&lt;&gt;""),1,0)</f>
        <v>3</v>
      </c>
      <c r="W2054" s="29"/>
    </row>
    <row r="2055" customFormat="false" ht="15" hidden="false" customHeight="false" outlineLevel="0" collapsed="false">
      <c r="A2055" s="32" t="str">
        <f aca="false">IF(B2055="","",ROW()-7)</f>
        <v/>
      </c>
      <c r="B2055" s="30"/>
      <c r="C2055" s="29"/>
      <c r="D2055" s="29"/>
      <c r="E2055" s="29"/>
      <c r="F2055" s="30"/>
      <c r="G2055" s="29"/>
      <c r="H2055" s="30"/>
      <c r="I2055" s="29"/>
      <c r="J2055" s="30"/>
      <c r="K2055" s="30"/>
      <c r="L2055" s="29"/>
      <c r="M2055" s="32" t="str">
        <f aca="false">IF(OR(C2055="",L2055=""),"",IF(C2055=L2055,"同一","変更"))</f>
        <v/>
      </c>
      <c r="N2055" s="29"/>
      <c r="O2055" s="30"/>
      <c r="P2055" s="29"/>
      <c r="Q2055" s="31"/>
      <c r="R2055" s="29"/>
      <c r="S2055" s="29"/>
      <c r="T2055" s="30"/>
      <c r="U2055" s="47" t="str">
        <f aca="false">IF(AND(B2055&lt;&gt;"",B2055=SW別シート!$C$3),COUNTIF(B$5:B2055,B2055),"")</f>
        <v/>
      </c>
      <c r="V2055" s="47" t="n">
        <f aca="false">V2054+IF(OR(O2055&lt;&gt;"",W2055&lt;&gt;""),1,0)</f>
        <v>3</v>
      </c>
      <c r="W2055" s="29"/>
    </row>
    <row r="2056" customFormat="false" ht="15" hidden="false" customHeight="false" outlineLevel="0" collapsed="false">
      <c r="A2056" s="32" t="str">
        <f aca="false">IF(B2056="","",ROW()-7)</f>
        <v/>
      </c>
      <c r="B2056" s="30"/>
      <c r="C2056" s="29"/>
      <c r="D2056" s="29"/>
      <c r="E2056" s="29"/>
      <c r="F2056" s="30"/>
      <c r="G2056" s="29"/>
      <c r="H2056" s="30"/>
      <c r="I2056" s="29"/>
      <c r="J2056" s="30"/>
      <c r="K2056" s="30"/>
      <c r="L2056" s="29"/>
      <c r="M2056" s="32" t="str">
        <f aca="false">IF(OR(C2056="",L2056=""),"",IF(C2056=L2056,"同一","変更"))</f>
        <v/>
      </c>
      <c r="N2056" s="29"/>
      <c r="O2056" s="30"/>
      <c r="P2056" s="29"/>
      <c r="Q2056" s="31"/>
      <c r="R2056" s="29"/>
      <c r="S2056" s="29"/>
      <c r="T2056" s="30"/>
      <c r="U2056" s="47" t="str">
        <f aca="false">IF(AND(B2056&lt;&gt;"",B2056=SW別シート!$C$3),COUNTIF(B$5:B2056,B2056),"")</f>
        <v/>
      </c>
      <c r="V2056" s="47" t="n">
        <f aca="false">V2055+IF(OR(O2056&lt;&gt;"",W2056&lt;&gt;""),1,0)</f>
        <v>3</v>
      </c>
      <c r="W2056" s="29"/>
    </row>
    <row r="2057" customFormat="false" ht="15" hidden="false" customHeight="false" outlineLevel="0" collapsed="false">
      <c r="A2057" s="32" t="str">
        <f aca="false">IF(B2057="","",ROW()-7)</f>
        <v/>
      </c>
      <c r="B2057" s="30"/>
      <c r="C2057" s="29"/>
      <c r="D2057" s="29"/>
      <c r="E2057" s="29"/>
      <c r="F2057" s="30"/>
      <c r="G2057" s="29"/>
      <c r="H2057" s="30"/>
      <c r="I2057" s="29"/>
      <c r="J2057" s="30"/>
      <c r="K2057" s="30"/>
      <c r="L2057" s="29"/>
      <c r="M2057" s="32" t="str">
        <f aca="false">IF(OR(C2057="",L2057=""),"",IF(C2057=L2057,"同一","変更"))</f>
        <v/>
      </c>
      <c r="N2057" s="29"/>
      <c r="O2057" s="30"/>
      <c r="P2057" s="29"/>
      <c r="Q2057" s="31"/>
      <c r="R2057" s="29"/>
      <c r="S2057" s="29"/>
      <c r="T2057" s="30"/>
      <c r="U2057" s="47" t="str">
        <f aca="false">IF(AND(B2057&lt;&gt;"",B2057=SW別シート!$C$3),COUNTIF(B$5:B2057,B2057),"")</f>
        <v/>
      </c>
      <c r="V2057" s="47" t="n">
        <f aca="false">V2056+IF(OR(O2057&lt;&gt;"",W2057&lt;&gt;""),1,0)</f>
        <v>3</v>
      </c>
      <c r="W2057" s="29"/>
    </row>
    <row r="2058" customFormat="false" ht="15" hidden="false" customHeight="false" outlineLevel="0" collapsed="false">
      <c r="A2058" s="32" t="str">
        <f aca="false">IF(B2058="","",ROW()-7)</f>
        <v/>
      </c>
      <c r="B2058" s="30"/>
      <c r="C2058" s="29"/>
      <c r="D2058" s="29"/>
      <c r="E2058" s="29"/>
      <c r="F2058" s="30"/>
      <c r="G2058" s="29"/>
      <c r="H2058" s="30"/>
      <c r="I2058" s="29"/>
      <c r="J2058" s="30"/>
      <c r="K2058" s="30"/>
      <c r="L2058" s="29"/>
      <c r="M2058" s="32" t="str">
        <f aca="false">IF(OR(C2058="",L2058=""),"",IF(C2058=L2058,"同一","変更"))</f>
        <v/>
      </c>
      <c r="N2058" s="29"/>
      <c r="O2058" s="30"/>
      <c r="P2058" s="29"/>
      <c r="Q2058" s="31"/>
      <c r="R2058" s="29"/>
      <c r="S2058" s="29"/>
      <c r="T2058" s="30"/>
      <c r="U2058" s="47" t="str">
        <f aca="false">IF(AND(B2058&lt;&gt;"",B2058=SW別シート!$C$3),COUNTIF(B$5:B2058,B2058),"")</f>
        <v/>
      </c>
      <c r="V2058" s="47" t="n">
        <f aca="false">V2057+IF(OR(O2058&lt;&gt;"",W2058&lt;&gt;""),1,0)</f>
        <v>3</v>
      </c>
      <c r="W2058" s="29"/>
    </row>
    <row r="2059" customFormat="false" ht="15" hidden="false" customHeight="false" outlineLevel="0" collapsed="false">
      <c r="A2059" s="32" t="str">
        <f aca="false">IF(B2059="","",ROW()-7)</f>
        <v/>
      </c>
      <c r="B2059" s="30"/>
      <c r="C2059" s="29"/>
      <c r="D2059" s="29"/>
      <c r="E2059" s="29"/>
      <c r="F2059" s="30"/>
      <c r="G2059" s="29"/>
      <c r="H2059" s="30"/>
      <c r="I2059" s="29"/>
      <c r="J2059" s="30"/>
      <c r="K2059" s="30"/>
      <c r="L2059" s="29"/>
      <c r="M2059" s="32" t="str">
        <f aca="false">IF(OR(C2059="",L2059=""),"",IF(C2059=L2059,"同一","変更"))</f>
        <v/>
      </c>
      <c r="N2059" s="29"/>
      <c r="O2059" s="30"/>
      <c r="P2059" s="29"/>
      <c r="Q2059" s="31"/>
      <c r="R2059" s="29"/>
      <c r="S2059" s="29"/>
      <c r="T2059" s="30"/>
      <c r="U2059" s="47" t="str">
        <f aca="false">IF(AND(B2059&lt;&gt;"",B2059=SW別シート!$C$3),COUNTIF(B$5:B2059,B2059),"")</f>
        <v/>
      </c>
      <c r="V2059" s="47" t="n">
        <f aca="false">V2058+IF(OR(O2059&lt;&gt;"",W2059&lt;&gt;""),1,0)</f>
        <v>3</v>
      </c>
      <c r="W2059" s="29"/>
    </row>
    <row r="2060" customFormat="false" ht="15" hidden="false" customHeight="false" outlineLevel="0" collapsed="false">
      <c r="A2060" s="32" t="str">
        <f aca="false">IF(B2060="","",ROW()-7)</f>
        <v/>
      </c>
      <c r="B2060" s="30"/>
      <c r="C2060" s="29"/>
      <c r="D2060" s="29"/>
      <c r="E2060" s="29"/>
      <c r="F2060" s="30"/>
      <c r="G2060" s="29"/>
      <c r="H2060" s="30"/>
      <c r="I2060" s="29"/>
      <c r="J2060" s="30"/>
      <c r="K2060" s="30"/>
      <c r="L2060" s="29"/>
      <c r="M2060" s="32" t="str">
        <f aca="false">IF(OR(C2060="",L2060=""),"",IF(C2060=L2060,"同一","変更"))</f>
        <v/>
      </c>
      <c r="N2060" s="29"/>
      <c r="O2060" s="30"/>
      <c r="P2060" s="29"/>
      <c r="Q2060" s="31"/>
      <c r="R2060" s="29"/>
      <c r="S2060" s="29"/>
      <c r="T2060" s="30"/>
      <c r="U2060" s="47" t="str">
        <f aca="false">IF(AND(B2060&lt;&gt;"",B2060=SW別シート!$C$3),COUNTIF(B$5:B2060,B2060),"")</f>
        <v/>
      </c>
      <c r="V2060" s="47" t="n">
        <f aca="false">V2059+IF(OR(O2060&lt;&gt;"",W2060&lt;&gt;""),1,0)</f>
        <v>3</v>
      </c>
      <c r="W2060" s="29"/>
    </row>
    <row r="2061" customFormat="false" ht="15" hidden="false" customHeight="false" outlineLevel="0" collapsed="false">
      <c r="A2061" s="32" t="str">
        <f aca="false">IF(B2061="","",ROW()-7)</f>
        <v/>
      </c>
      <c r="B2061" s="30"/>
      <c r="C2061" s="29"/>
      <c r="D2061" s="29"/>
      <c r="E2061" s="29"/>
      <c r="F2061" s="30"/>
      <c r="G2061" s="29"/>
      <c r="H2061" s="30"/>
      <c r="I2061" s="29"/>
      <c r="J2061" s="30"/>
      <c r="K2061" s="30"/>
      <c r="L2061" s="29"/>
      <c r="M2061" s="32" t="str">
        <f aca="false">IF(OR(C2061="",L2061=""),"",IF(C2061=L2061,"同一","変更"))</f>
        <v/>
      </c>
      <c r="N2061" s="29"/>
      <c r="O2061" s="30"/>
      <c r="P2061" s="29"/>
      <c r="Q2061" s="31"/>
      <c r="R2061" s="29"/>
      <c r="S2061" s="29"/>
      <c r="T2061" s="30"/>
      <c r="U2061" s="47" t="str">
        <f aca="false">IF(AND(B2061&lt;&gt;"",B2061=SW別シート!$C$3),COUNTIF(B$5:B2061,B2061),"")</f>
        <v/>
      </c>
      <c r="V2061" s="47" t="n">
        <f aca="false">V2060+IF(OR(O2061&lt;&gt;"",W2061&lt;&gt;""),1,0)</f>
        <v>3</v>
      </c>
      <c r="W2061" s="29"/>
    </row>
    <row r="2062" customFormat="false" ht="15" hidden="false" customHeight="false" outlineLevel="0" collapsed="false">
      <c r="A2062" s="32" t="str">
        <f aca="false">IF(B2062="","",ROW()-7)</f>
        <v/>
      </c>
      <c r="B2062" s="30"/>
      <c r="C2062" s="29"/>
      <c r="D2062" s="29"/>
      <c r="E2062" s="29"/>
      <c r="F2062" s="30"/>
      <c r="G2062" s="29"/>
      <c r="H2062" s="30"/>
      <c r="I2062" s="29"/>
      <c r="J2062" s="30"/>
      <c r="K2062" s="30"/>
      <c r="L2062" s="29"/>
      <c r="M2062" s="32" t="str">
        <f aca="false">IF(OR(C2062="",L2062=""),"",IF(C2062=L2062,"同一","変更"))</f>
        <v/>
      </c>
      <c r="N2062" s="29"/>
      <c r="O2062" s="30"/>
      <c r="P2062" s="29"/>
      <c r="Q2062" s="31"/>
      <c r="R2062" s="29"/>
      <c r="S2062" s="29"/>
      <c r="T2062" s="30"/>
      <c r="U2062" s="47" t="str">
        <f aca="false">IF(AND(B2062&lt;&gt;"",B2062=SW別シート!$C$3),COUNTIF(B$5:B2062,B2062),"")</f>
        <v/>
      </c>
      <c r="V2062" s="47" t="n">
        <f aca="false">V2061+IF(OR(O2062&lt;&gt;"",W2062&lt;&gt;""),1,0)</f>
        <v>3</v>
      </c>
      <c r="W2062" s="29"/>
    </row>
    <row r="2063" customFormat="false" ht="15" hidden="false" customHeight="false" outlineLevel="0" collapsed="false">
      <c r="A2063" s="32" t="str">
        <f aca="false">IF(B2063="","",ROW()-7)</f>
        <v/>
      </c>
      <c r="B2063" s="30"/>
      <c r="C2063" s="29"/>
      <c r="D2063" s="29"/>
      <c r="E2063" s="29"/>
      <c r="F2063" s="30"/>
      <c r="G2063" s="29"/>
      <c r="H2063" s="30"/>
      <c r="I2063" s="29"/>
      <c r="J2063" s="30"/>
      <c r="K2063" s="30"/>
      <c r="L2063" s="29"/>
      <c r="M2063" s="32" t="str">
        <f aca="false">IF(OR(C2063="",L2063=""),"",IF(C2063=L2063,"同一","変更"))</f>
        <v/>
      </c>
      <c r="N2063" s="29"/>
      <c r="O2063" s="30"/>
      <c r="P2063" s="29"/>
      <c r="Q2063" s="31"/>
      <c r="R2063" s="29"/>
      <c r="S2063" s="29"/>
      <c r="T2063" s="30"/>
      <c r="U2063" s="47" t="str">
        <f aca="false">IF(AND(B2063&lt;&gt;"",B2063=SW別シート!$C$3),COUNTIF(B$5:B2063,B2063),"")</f>
        <v/>
      </c>
      <c r="V2063" s="47" t="n">
        <f aca="false">V2062+IF(OR(O2063&lt;&gt;"",W2063&lt;&gt;""),1,0)</f>
        <v>3</v>
      </c>
      <c r="W2063" s="29"/>
    </row>
    <row r="2064" customFormat="false" ht="15" hidden="false" customHeight="false" outlineLevel="0" collapsed="false">
      <c r="A2064" s="32" t="str">
        <f aca="false">IF(B2064="","",ROW()-7)</f>
        <v/>
      </c>
      <c r="B2064" s="30"/>
      <c r="C2064" s="29"/>
      <c r="D2064" s="29"/>
      <c r="E2064" s="29"/>
      <c r="F2064" s="30"/>
      <c r="G2064" s="29"/>
      <c r="H2064" s="30"/>
      <c r="I2064" s="29"/>
      <c r="J2064" s="30"/>
      <c r="K2064" s="30"/>
      <c r="L2064" s="29"/>
      <c r="M2064" s="32" t="str">
        <f aca="false">IF(OR(C2064="",L2064=""),"",IF(C2064=L2064,"同一","変更"))</f>
        <v/>
      </c>
      <c r="N2064" s="29"/>
      <c r="O2064" s="30"/>
      <c r="P2064" s="29"/>
      <c r="Q2064" s="31"/>
      <c r="R2064" s="29"/>
      <c r="S2064" s="29"/>
      <c r="T2064" s="30"/>
      <c r="U2064" s="47" t="str">
        <f aca="false">IF(AND(B2064&lt;&gt;"",B2064=SW別シート!$C$3),COUNTIF(B$5:B2064,B2064),"")</f>
        <v/>
      </c>
      <c r="V2064" s="47" t="n">
        <f aca="false">V2063+IF(OR(O2064&lt;&gt;"",W2064&lt;&gt;""),1,0)</f>
        <v>3</v>
      </c>
      <c r="W2064" s="29"/>
    </row>
    <row r="2065" customFormat="false" ht="15" hidden="false" customHeight="false" outlineLevel="0" collapsed="false">
      <c r="A2065" s="32" t="str">
        <f aca="false">IF(B2065="","",ROW()-7)</f>
        <v/>
      </c>
      <c r="B2065" s="30"/>
      <c r="C2065" s="29"/>
      <c r="D2065" s="29"/>
      <c r="E2065" s="29"/>
      <c r="F2065" s="30"/>
      <c r="G2065" s="29"/>
      <c r="H2065" s="30"/>
      <c r="I2065" s="29"/>
      <c r="J2065" s="30"/>
      <c r="K2065" s="30"/>
      <c r="L2065" s="29"/>
      <c r="M2065" s="32" t="str">
        <f aca="false">IF(OR(C2065="",L2065=""),"",IF(C2065=L2065,"同一","変更"))</f>
        <v/>
      </c>
      <c r="N2065" s="29"/>
      <c r="O2065" s="30"/>
      <c r="P2065" s="29"/>
      <c r="Q2065" s="31"/>
      <c r="R2065" s="29"/>
      <c r="S2065" s="29"/>
      <c r="T2065" s="30"/>
      <c r="U2065" s="47" t="str">
        <f aca="false">IF(AND(B2065&lt;&gt;"",B2065=SW別シート!$C$3),COUNTIF(B$5:B2065,B2065),"")</f>
        <v/>
      </c>
      <c r="V2065" s="47" t="n">
        <f aca="false">V2064+IF(OR(O2065&lt;&gt;"",W2065&lt;&gt;""),1,0)</f>
        <v>3</v>
      </c>
      <c r="W2065" s="29"/>
    </row>
    <row r="2066" customFormat="false" ht="15" hidden="false" customHeight="false" outlineLevel="0" collapsed="false">
      <c r="A2066" s="32" t="str">
        <f aca="false">IF(B2066="","",ROW()-7)</f>
        <v/>
      </c>
      <c r="B2066" s="30"/>
      <c r="C2066" s="29"/>
      <c r="D2066" s="29"/>
      <c r="E2066" s="29"/>
      <c r="F2066" s="30"/>
      <c r="G2066" s="29"/>
      <c r="H2066" s="30"/>
      <c r="I2066" s="29"/>
      <c r="J2066" s="30"/>
      <c r="K2066" s="30"/>
      <c r="L2066" s="29"/>
      <c r="M2066" s="32" t="str">
        <f aca="false">IF(OR(C2066="",L2066=""),"",IF(C2066=L2066,"同一","変更"))</f>
        <v/>
      </c>
      <c r="N2066" s="29"/>
      <c r="O2066" s="30"/>
      <c r="P2066" s="29"/>
      <c r="Q2066" s="31"/>
      <c r="R2066" s="29"/>
      <c r="S2066" s="29"/>
      <c r="T2066" s="30"/>
      <c r="U2066" s="47" t="str">
        <f aca="false">IF(AND(B2066&lt;&gt;"",B2066=SW別シート!$C$3),COUNTIF(B$5:B2066,B2066),"")</f>
        <v/>
      </c>
      <c r="V2066" s="47" t="n">
        <f aca="false">V2065+IF(OR(O2066&lt;&gt;"",W2066&lt;&gt;""),1,0)</f>
        <v>3</v>
      </c>
      <c r="W2066" s="29"/>
    </row>
    <row r="2067" customFormat="false" ht="15" hidden="false" customHeight="false" outlineLevel="0" collapsed="false">
      <c r="A2067" s="32" t="str">
        <f aca="false">IF(B2067="","",ROW()-7)</f>
        <v/>
      </c>
      <c r="B2067" s="30"/>
      <c r="C2067" s="29"/>
      <c r="D2067" s="29"/>
      <c r="E2067" s="29"/>
      <c r="F2067" s="30"/>
      <c r="G2067" s="29"/>
      <c r="H2067" s="30"/>
      <c r="I2067" s="29"/>
      <c r="J2067" s="30"/>
      <c r="K2067" s="30"/>
      <c r="L2067" s="29"/>
      <c r="M2067" s="32" t="str">
        <f aca="false">IF(OR(C2067="",L2067=""),"",IF(C2067=L2067,"同一","変更"))</f>
        <v/>
      </c>
      <c r="N2067" s="29"/>
      <c r="O2067" s="30"/>
      <c r="P2067" s="29"/>
      <c r="Q2067" s="31"/>
      <c r="R2067" s="29"/>
      <c r="S2067" s="29"/>
      <c r="T2067" s="30"/>
      <c r="U2067" s="47" t="str">
        <f aca="false">IF(AND(B2067&lt;&gt;"",B2067=SW別シート!$C$3),COUNTIF(B$5:B2067,B2067),"")</f>
        <v/>
      </c>
      <c r="V2067" s="47" t="n">
        <f aca="false">V2066+IF(OR(O2067&lt;&gt;"",W2067&lt;&gt;""),1,0)</f>
        <v>3</v>
      </c>
      <c r="W2067" s="29"/>
    </row>
    <row r="2068" customFormat="false" ht="15" hidden="false" customHeight="false" outlineLevel="0" collapsed="false">
      <c r="A2068" s="32" t="str">
        <f aca="false">IF(B2068="","",ROW()-7)</f>
        <v/>
      </c>
      <c r="B2068" s="30"/>
      <c r="C2068" s="29"/>
      <c r="D2068" s="29"/>
      <c r="E2068" s="29"/>
      <c r="F2068" s="30"/>
      <c r="G2068" s="29"/>
      <c r="H2068" s="30"/>
      <c r="I2068" s="29"/>
      <c r="J2068" s="30"/>
      <c r="K2068" s="30"/>
      <c r="L2068" s="29"/>
      <c r="M2068" s="32" t="str">
        <f aca="false">IF(OR(C2068="",L2068=""),"",IF(C2068=L2068,"同一","変更"))</f>
        <v/>
      </c>
      <c r="N2068" s="29"/>
      <c r="O2068" s="30"/>
      <c r="P2068" s="29"/>
      <c r="Q2068" s="31"/>
      <c r="R2068" s="29"/>
      <c r="S2068" s="29"/>
      <c r="T2068" s="30"/>
      <c r="U2068" s="47" t="str">
        <f aca="false">IF(AND(B2068&lt;&gt;"",B2068=SW別シート!$C$3),COUNTIF(B$5:B2068,B2068),"")</f>
        <v/>
      </c>
      <c r="V2068" s="47" t="n">
        <f aca="false">V2067+IF(OR(O2068&lt;&gt;"",W2068&lt;&gt;""),1,0)</f>
        <v>3</v>
      </c>
      <c r="W2068" s="29"/>
    </row>
    <row r="2069" customFormat="false" ht="15" hidden="false" customHeight="false" outlineLevel="0" collapsed="false">
      <c r="A2069" s="32" t="str">
        <f aca="false">IF(B2069="","",ROW()-7)</f>
        <v/>
      </c>
      <c r="B2069" s="30"/>
      <c r="C2069" s="29"/>
      <c r="D2069" s="29"/>
      <c r="E2069" s="29"/>
      <c r="F2069" s="30"/>
      <c r="G2069" s="29"/>
      <c r="H2069" s="30"/>
      <c r="I2069" s="29"/>
      <c r="J2069" s="30"/>
      <c r="K2069" s="30"/>
      <c r="L2069" s="29"/>
      <c r="M2069" s="32" t="str">
        <f aca="false">IF(OR(C2069="",L2069=""),"",IF(C2069=L2069,"同一","変更"))</f>
        <v/>
      </c>
      <c r="N2069" s="29"/>
      <c r="O2069" s="30"/>
      <c r="P2069" s="29"/>
      <c r="Q2069" s="31"/>
      <c r="R2069" s="29"/>
      <c r="S2069" s="29"/>
      <c r="T2069" s="30"/>
      <c r="U2069" s="47" t="str">
        <f aca="false">IF(AND(B2069&lt;&gt;"",B2069=SW別シート!$C$3),COUNTIF(B$5:B2069,B2069),"")</f>
        <v/>
      </c>
      <c r="V2069" s="47" t="n">
        <f aca="false">V2068+IF(OR(O2069&lt;&gt;"",W2069&lt;&gt;""),1,0)</f>
        <v>3</v>
      </c>
      <c r="W2069" s="29"/>
    </row>
    <row r="2070" customFormat="false" ht="15" hidden="false" customHeight="false" outlineLevel="0" collapsed="false">
      <c r="A2070" s="32" t="str">
        <f aca="false">IF(B2070="","",ROW()-7)</f>
        <v/>
      </c>
      <c r="B2070" s="30"/>
      <c r="C2070" s="29"/>
      <c r="D2070" s="29"/>
      <c r="E2070" s="29"/>
      <c r="F2070" s="30"/>
      <c r="G2070" s="29"/>
      <c r="H2070" s="30"/>
      <c r="I2070" s="29"/>
      <c r="J2070" s="30"/>
      <c r="K2070" s="30"/>
      <c r="L2070" s="29"/>
      <c r="M2070" s="32" t="str">
        <f aca="false">IF(OR(C2070="",L2070=""),"",IF(C2070=L2070,"同一","変更"))</f>
        <v/>
      </c>
      <c r="N2070" s="29"/>
      <c r="O2070" s="30"/>
      <c r="P2070" s="29"/>
      <c r="Q2070" s="31"/>
      <c r="R2070" s="29"/>
      <c r="S2070" s="29"/>
      <c r="T2070" s="30"/>
      <c r="U2070" s="47" t="str">
        <f aca="false">IF(AND(B2070&lt;&gt;"",B2070=SW別シート!$C$3),COUNTIF(B$5:B2070,B2070),"")</f>
        <v/>
      </c>
      <c r="V2070" s="47" t="n">
        <f aca="false">V2069+IF(OR(O2070&lt;&gt;"",W2070&lt;&gt;""),1,0)</f>
        <v>3</v>
      </c>
      <c r="W2070" s="29"/>
    </row>
    <row r="2071" customFormat="false" ht="15" hidden="false" customHeight="false" outlineLevel="0" collapsed="false">
      <c r="A2071" s="32" t="str">
        <f aca="false">IF(B2071="","",ROW()-7)</f>
        <v/>
      </c>
      <c r="B2071" s="30"/>
      <c r="C2071" s="29"/>
      <c r="D2071" s="29"/>
      <c r="E2071" s="29"/>
      <c r="F2071" s="30"/>
      <c r="G2071" s="29"/>
      <c r="H2071" s="30"/>
      <c r="I2071" s="29"/>
      <c r="J2071" s="30"/>
      <c r="K2071" s="30"/>
      <c r="L2071" s="29"/>
      <c r="M2071" s="32" t="str">
        <f aca="false">IF(OR(C2071="",L2071=""),"",IF(C2071=L2071,"同一","変更"))</f>
        <v/>
      </c>
      <c r="N2071" s="29"/>
      <c r="O2071" s="30"/>
      <c r="P2071" s="29"/>
      <c r="Q2071" s="31"/>
      <c r="R2071" s="29"/>
      <c r="S2071" s="29"/>
      <c r="T2071" s="30"/>
      <c r="U2071" s="47" t="str">
        <f aca="false">IF(AND(B2071&lt;&gt;"",B2071=SW別シート!$C$3),COUNTIF(B$5:B2071,B2071),"")</f>
        <v/>
      </c>
      <c r="V2071" s="47" t="n">
        <f aca="false">V2070+IF(OR(O2071&lt;&gt;"",W2071&lt;&gt;""),1,0)</f>
        <v>3</v>
      </c>
      <c r="W2071" s="29"/>
    </row>
    <row r="2072" customFormat="false" ht="15" hidden="false" customHeight="false" outlineLevel="0" collapsed="false">
      <c r="A2072" s="32" t="str">
        <f aca="false">IF(B2072="","",ROW()-7)</f>
        <v/>
      </c>
      <c r="B2072" s="30"/>
      <c r="C2072" s="29"/>
      <c r="D2072" s="29"/>
      <c r="E2072" s="29"/>
      <c r="F2072" s="30"/>
      <c r="G2072" s="29"/>
      <c r="H2072" s="30"/>
      <c r="I2072" s="29"/>
      <c r="J2072" s="30"/>
      <c r="K2072" s="30"/>
      <c r="L2072" s="29"/>
      <c r="M2072" s="32" t="str">
        <f aca="false">IF(OR(C2072="",L2072=""),"",IF(C2072=L2072,"同一","変更"))</f>
        <v/>
      </c>
      <c r="N2072" s="29"/>
      <c r="O2072" s="30"/>
      <c r="P2072" s="29"/>
      <c r="Q2072" s="31"/>
      <c r="R2072" s="29"/>
      <c r="S2072" s="29"/>
      <c r="T2072" s="30"/>
      <c r="U2072" s="47" t="str">
        <f aca="false">IF(AND(B2072&lt;&gt;"",B2072=SW別シート!$C$3),COUNTIF(B$5:B2072,B2072),"")</f>
        <v/>
      </c>
      <c r="V2072" s="47" t="n">
        <f aca="false">V2071+IF(OR(O2072&lt;&gt;"",W2072&lt;&gt;""),1,0)</f>
        <v>3</v>
      </c>
      <c r="W2072" s="29"/>
    </row>
    <row r="2073" customFormat="false" ht="15" hidden="false" customHeight="false" outlineLevel="0" collapsed="false">
      <c r="A2073" s="32" t="str">
        <f aca="false">IF(B2073="","",ROW()-7)</f>
        <v/>
      </c>
      <c r="B2073" s="30"/>
      <c r="C2073" s="29"/>
      <c r="D2073" s="29"/>
      <c r="E2073" s="29"/>
      <c r="F2073" s="30"/>
      <c r="G2073" s="29"/>
      <c r="H2073" s="30"/>
      <c r="I2073" s="29"/>
      <c r="J2073" s="30"/>
      <c r="K2073" s="30"/>
      <c r="L2073" s="29"/>
      <c r="M2073" s="32" t="str">
        <f aca="false">IF(OR(C2073="",L2073=""),"",IF(C2073=L2073,"同一","変更"))</f>
        <v/>
      </c>
      <c r="N2073" s="29"/>
      <c r="O2073" s="30"/>
      <c r="P2073" s="29"/>
      <c r="Q2073" s="31"/>
      <c r="R2073" s="29"/>
      <c r="S2073" s="29"/>
      <c r="T2073" s="30"/>
      <c r="U2073" s="47" t="str">
        <f aca="false">IF(AND(B2073&lt;&gt;"",B2073=SW別シート!$C$3),COUNTIF(B$5:B2073,B2073),"")</f>
        <v/>
      </c>
      <c r="V2073" s="47" t="n">
        <f aca="false">V2072+IF(OR(O2073&lt;&gt;"",W2073&lt;&gt;""),1,0)</f>
        <v>3</v>
      </c>
      <c r="W2073" s="29"/>
    </row>
    <row r="2074" customFormat="false" ht="15" hidden="false" customHeight="false" outlineLevel="0" collapsed="false">
      <c r="A2074" s="32" t="str">
        <f aca="false">IF(B2074="","",ROW()-7)</f>
        <v/>
      </c>
      <c r="B2074" s="30"/>
      <c r="C2074" s="29"/>
      <c r="D2074" s="29"/>
      <c r="E2074" s="29"/>
      <c r="F2074" s="30"/>
      <c r="G2074" s="29"/>
      <c r="H2074" s="30"/>
      <c r="I2074" s="29"/>
      <c r="J2074" s="30"/>
      <c r="K2074" s="30"/>
      <c r="L2074" s="29"/>
      <c r="M2074" s="32" t="str">
        <f aca="false">IF(OR(C2074="",L2074=""),"",IF(C2074=L2074,"同一","変更"))</f>
        <v/>
      </c>
      <c r="N2074" s="29"/>
      <c r="O2074" s="30"/>
      <c r="P2074" s="29"/>
      <c r="Q2074" s="31"/>
      <c r="R2074" s="29"/>
      <c r="S2074" s="29"/>
      <c r="T2074" s="30"/>
      <c r="U2074" s="47" t="str">
        <f aca="false">IF(AND(B2074&lt;&gt;"",B2074=SW別シート!$C$3),COUNTIF(B$5:B2074,B2074),"")</f>
        <v/>
      </c>
      <c r="V2074" s="47" t="n">
        <f aca="false">V2073+IF(OR(O2074&lt;&gt;"",W2074&lt;&gt;""),1,0)</f>
        <v>3</v>
      </c>
      <c r="W2074" s="29"/>
    </row>
    <row r="2075" customFormat="false" ht="15" hidden="false" customHeight="false" outlineLevel="0" collapsed="false">
      <c r="A2075" s="32" t="str">
        <f aca="false">IF(B2075="","",ROW()-7)</f>
        <v/>
      </c>
      <c r="B2075" s="30"/>
      <c r="C2075" s="29"/>
      <c r="D2075" s="29"/>
      <c r="E2075" s="29"/>
      <c r="F2075" s="30"/>
      <c r="G2075" s="29"/>
      <c r="H2075" s="30"/>
      <c r="I2075" s="29"/>
      <c r="J2075" s="30"/>
      <c r="K2075" s="30"/>
      <c r="L2075" s="29"/>
      <c r="M2075" s="32" t="str">
        <f aca="false">IF(OR(C2075="",L2075=""),"",IF(C2075=L2075,"同一","変更"))</f>
        <v/>
      </c>
      <c r="N2075" s="29"/>
      <c r="O2075" s="30"/>
      <c r="P2075" s="29"/>
      <c r="Q2075" s="31"/>
      <c r="R2075" s="29"/>
      <c r="S2075" s="29"/>
      <c r="T2075" s="30"/>
      <c r="U2075" s="47" t="str">
        <f aca="false">IF(AND(B2075&lt;&gt;"",B2075=SW別シート!$C$3),COUNTIF(B$5:B2075,B2075),"")</f>
        <v/>
      </c>
      <c r="V2075" s="47" t="n">
        <f aca="false">V2074+IF(OR(O2075&lt;&gt;"",W2075&lt;&gt;""),1,0)</f>
        <v>3</v>
      </c>
      <c r="W2075" s="29"/>
    </row>
    <row r="2076" customFormat="false" ht="15" hidden="false" customHeight="false" outlineLevel="0" collapsed="false">
      <c r="A2076" s="32" t="str">
        <f aca="false">IF(B2076="","",ROW()-7)</f>
        <v/>
      </c>
      <c r="B2076" s="30"/>
      <c r="C2076" s="29"/>
      <c r="D2076" s="29"/>
      <c r="E2076" s="29"/>
      <c r="F2076" s="30"/>
      <c r="G2076" s="29"/>
      <c r="H2076" s="30"/>
      <c r="I2076" s="29"/>
      <c r="J2076" s="30"/>
      <c r="K2076" s="30"/>
      <c r="L2076" s="29"/>
      <c r="M2076" s="32" t="str">
        <f aca="false">IF(OR(C2076="",L2076=""),"",IF(C2076=L2076,"同一","変更"))</f>
        <v/>
      </c>
      <c r="N2076" s="29"/>
      <c r="O2076" s="30"/>
      <c r="P2076" s="29"/>
      <c r="Q2076" s="31"/>
      <c r="R2076" s="29"/>
      <c r="S2076" s="29"/>
      <c r="T2076" s="30"/>
      <c r="U2076" s="47" t="str">
        <f aca="false">IF(AND(B2076&lt;&gt;"",B2076=SW別シート!$C$3),COUNTIF(B$5:B2076,B2076),"")</f>
        <v/>
      </c>
      <c r="V2076" s="47" t="n">
        <f aca="false">V2075+IF(OR(O2076&lt;&gt;"",W2076&lt;&gt;""),1,0)</f>
        <v>3</v>
      </c>
      <c r="W2076" s="29"/>
    </row>
    <row r="2077" customFormat="false" ht="15" hidden="false" customHeight="false" outlineLevel="0" collapsed="false">
      <c r="A2077" s="32" t="str">
        <f aca="false">IF(B2077="","",ROW()-7)</f>
        <v/>
      </c>
      <c r="B2077" s="30"/>
      <c r="C2077" s="29"/>
      <c r="D2077" s="29"/>
      <c r="E2077" s="29"/>
      <c r="F2077" s="30"/>
      <c r="G2077" s="29"/>
      <c r="H2077" s="30"/>
      <c r="I2077" s="29"/>
      <c r="J2077" s="30"/>
      <c r="K2077" s="30"/>
      <c r="L2077" s="29"/>
      <c r="M2077" s="32" t="str">
        <f aca="false">IF(OR(C2077="",L2077=""),"",IF(C2077=L2077,"同一","変更"))</f>
        <v/>
      </c>
      <c r="N2077" s="29"/>
      <c r="O2077" s="30"/>
      <c r="P2077" s="29"/>
      <c r="Q2077" s="31"/>
      <c r="R2077" s="29"/>
      <c r="S2077" s="29"/>
      <c r="T2077" s="30"/>
      <c r="U2077" s="47" t="str">
        <f aca="false">IF(AND(B2077&lt;&gt;"",B2077=SW別シート!$C$3),COUNTIF(B$5:B2077,B2077),"")</f>
        <v/>
      </c>
      <c r="V2077" s="47" t="n">
        <f aca="false">V2076+IF(OR(O2077&lt;&gt;"",W2077&lt;&gt;""),1,0)</f>
        <v>3</v>
      </c>
      <c r="W2077" s="29"/>
    </row>
    <row r="2078" customFormat="false" ht="15" hidden="false" customHeight="false" outlineLevel="0" collapsed="false">
      <c r="A2078" s="32" t="str">
        <f aca="false">IF(B2078="","",ROW()-7)</f>
        <v/>
      </c>
      <c r="B2078" s="30"/>
      <c r="C2078" s="29"/>
      <c r="D2078" s="29"/>
      <c r="E2078" s="29"/>
      <c r="F2078" s="30"/>
      <c r="G2078" s="29"/>
      <c r="H2078" s="30"/>
      <c r="I2078" s="29"/>
      <c r="J2078" s="30"/>
      <c r="K2078" s="30"/>
      <c r="L2078" s="29"/>
      <c r="M2078" s="32" t="str">
        <f aca="false">IF(OR(C2078="",L2078=""),"",IF(C2078=L2078,"同一","変更"))</f>
        <v/>
      </c>
      <c r="N2078" s="29"/>
      <c r="O2078" s="30"/>
      <c r="P2078" s="29"/>
      <c r="Q2078" s="31"/>
      <c r="R2078" s="29"/>
      <c r="S2078" s="29"/>
      <c r="T2078" s="30"/>
      <c r="U2078" s="47" t="str">
        <f aca="false">IF(AND(B2078&lt;&gt;"",B2078=SW別シート!$C$3),COUNTIF(B$5:B2078,B2078),"")</f>
        <v/>
      </c>
      <c r="V2078" s="47" t="n">
        <f aca="false">V2077+IF(OR(O2078&lt;&gt;"",W2078&lt;&gt;""),1,0)</f>
        <v>3</v>
      </c>
      <c r="W2078" s="29"/>
    </row>
    <row r="2079" customFormat="false" ht="15" hidden="false" customHeight="false" outlineLevel="0" collapsed="false">
      <c r="A2079" s="32" t="str">
        <f aca="false">IF(B2079="","",ROW()-7)</f>
        <v/>
      </c>
      <c r="B2079" s="30"/>
      <c r="C2079" s="29"/>
      <c r="D2079" s="29"/>
      <c r="E2079" s="29"/>
      <c r="F2079" s="30"/>
      <c r="G2079" s="29"/>
      <c r="H2079" s="30"/>
      <c r="I2079" s="29"/>
      <c r="J2079" s="30"/>
      <c r="K2079" s="30"/>
      <c r="L2079" s="29"/>
      <c r="M2079" s="32" t="str">
        <f aca="false">IF(OR(C2079="",L2079=""),"",IF(C2079=L2079,"同一","変更"))</f>
        <v/>
      </c>
      <c r="N2079" s="29"/>
      <c r="O2079" s="30"/>
      <c r="P2079" s="29"/>
      <c r="Q2079" s="31"/>
      <c r="R2079" s="29"/>
      <c r="S2079" s="29"/>
      <c r="T2079" s="30"/>
      <c r="U2079" s="47" t="str">
        <f aca="false">IF(AND(B2079&lt;&gt;"",B2079=SW別シート!$C$3),COUNTIF(B$5:B2079,B2079),"")</f>
        <v/>
      </c>
      <c r="V2079" s="47" t="n">
        <f aca="false">V2078+IF(OR(O2079&lt;&gt;"",W2079&lt;&gt;""),1,0)</f>
        <v>3</v>
      </c>
      <c r="W2079" s="29"/>
    </row>
    <row r="2080" customFormat="false" ht="15" hidden="false" customHeight="false" outlineLevel="0" collapsed="false">
      <c r="A2080" s="32" t="str">
        <f aca="false">IF(B2080="","",ROW()-7)</f>
        <v/>
      </c>
      <c r="B2080" s="30"/>
      <c r="C2080" s="29"/>
      <c r="D2080" s="29"/>
      <c r="E2080" s="29"/>
      <c r="F2080" s="30"/>
      <c r="G2080" s="29"/>
      <c r="H2080" s="30"/>
      <c r="I2080" s="29"/>
      <c r="J2080" s="30"/>
      <c r="K2080" s="30"/>
      <c r="L2080" s="29"/>
      <c r="M2080" s="32" t="str">
        <f aca="false">IF(OR(C2080="",L2080=""),"",IF(C2080=L2080,"同一","変更"))</f>
        <v/>
      </c>
      <c r="N2080" s="29"/>
      <c r="O2080" s="30"/>
      <c r="P2080" s="29"/>
      <c r="Q2080" s="31"/>
      <c r="R2080" s="29"/>
      <c r="S2080" s="29"/>
      <c r="T2080" s="30"/>
      <c r="U2080" s="47" t="str">
        <f aca="false">IF(AND(B2080&lt;&gt;"",B2080=SW別シート!$C$3),COUNTIF(B$5:B2080,B2080),"")</f>
        <v/>
      </c>
      <c r="V2080" s="47" t="n">
        <f aca="false">V2079+IF(OR(O2080&lt;&gt;"",W2080&lt;&gt;""),1,0)</f>
        <v>3</v>
      </c>
      <c r="W2080" s="29"/>
    </row>
    <row r="2081" customFormat="false" ht="15" hidden="false" customHeight="false" outlineLevel="0" collapsed="false">
      <c r="A2081" s="32" t="str">
        <f aca="false">IF(B2081="","",ROW()-7)</f>
        <v/>
      </c>
      <c r="B2081" s="30"/>
      <c r="C2081" s="29"/>
      <c r="D2081" s="29"/>
      <c r="E2081" s="29"/>
      <c r="F2081" s="30"/>
      <c r="G2081" s="29"/>
      <c r="H2081" s="30"/>
      <c r="I2081" s="29"/>
      <c r="J2081" s="30"/>
      <c r="K2081" s="30"/>
      <c r="L2081" s="29"/>
      <c r="M2081" s="32" t="str">
        <f aca="false">IF(OR(C2081="",L2081=""),"",IF(C2081=L2081,"同一","変更"))</f>
        <v/>
      </c>
      <c r="N2081" s="29"/>
      <c r="O2081" s="30"/>
      <c r="P2081" s="29"/>
      <c r="Q2081" s="31"/>
      <c r="R2081" s="29"/>
      <c r="S2081" s="29"/>
      <c r="T2081" s="30"/>
      <c r="U2081" s="47" t="str">
        <f aca="false">IF(AND(B2081&lt;&gt;"",B2081=SW別シート!$C$3),COUNTIF(B$5:B2081,B2081),"")</f>
        <v/>
      </c>
      <c r="V2081" s="47" t="n">
        <f aca="false">V2080+IF(OR(O2081&lt;&gt;"",W2081&lt;&gt;""),1,0)</f>
        <v>3</v>
      </c>
      <c r="W2081" s="29"/>
    </row>
    <row r="2082" customFormat="false" ht="15" hidden="false" customHeight="false" outlineLevel="0" collapsed="false">
      <c r="A2082" s="32" t="str">
        <f aca="false">IF(B2082="","",ROW()-7)</f>
        <v/>
      </c>
      <c r="B2082" s="30"/>
      <c r="C2082" s="29"/>
      <c r="D2082" s="29"/>
      <c r="E2082" s="29"/>
      <c r="F2082" s="30"/>
      <c r="G2082" s="29"/>
      <c r="H2082" s="30"/>
      <c r="I2082" s="29"/>
      <c r="J2082" s="30"/>
      <c r="K2082" s="30"/>
      <c r="L2082" s="29"/>
      <c r="M2082" s="32" t="str">
        <f aca="false">IF(OR(C2082="",L2082=""),"",IF(C2082=L2082,"同一","変更"))</f>
        <v/>
      </c>
      <c r="N2082" s="29"/>
      <c r="O2082" s="30"/>
      <c r="P2082" s="29"/>
      <c r="Q2082" s="31"/>
      <c r="R2082" s="29"/>
      <c r="S2082" s="29"/>
      <c r="T2082" s="30"/>
      <c r="U2082" s="47" t="str">
        <f aca="false">IF(AND(B2082&lt;&gt;"",B2082=SW別シート!$C$3),COUNTIF(B$5:B2082,B2082),"")</f>
        <v/>
      </c>
      <c r="V2082" s="47" t="n">
        <f aca="false">V2081+IF(OR(O2082&lt;&gt;"",W2082&lt;&gt;""),1,0)</f>
        <v>3</v>
      </c>
      <c r="W2082" s="29"/>
    </row>
    <row r="2083" customFormat="false" ht="15" hidden="false" customHeight="false" outlineLevel="0" collapsed="false">
      <c r="A2083" s="32" t="str">
        <f aca="false">IF(B2083="","",ROW()-7)</f>
        <v/>
      </c>
      <c r="B2083" s="30"/>
      <c r="C2083" s="29"/>
      <c r="D2083" s="29"/>
      <c r="E2083" s="29"/>
      <c r="F2083" s="30"/>
      <c r="G2083" s="29"/>
      <c r="H2083" s="30"/>
      <c r="I2083" s="29"/>
      <c r="J2083" s="30"/>
      <c r="K2083" s="30"/>
      <c r="L2083" s="29"/>
      <c r="M2083" s="32" t="str">
        <f aca="false">IF(OR(C2083="",L2083=""),"",IF(C2083=L2083,"同一","変更"))</f>
        <v/>
      </c>
      <c r="N2083" s="29"/>
      <c r="O2083" s="30"/>
      <c r="P2083" s="29"/>
      <c r="Q2083" s="31"/>
      <c r="R2083" s="29"/>
      <c r="S2083" s="29"/>
      <c r="T2083" s="30"/>
      <c r="U2083" s="47" t="str">
        <f aca="false">IF(AND(B2083&lt;&gt;"",B2083=SW別シート!$C$3),COUNTIF(B$5:B2083,B2083),"")</f>
        <v/>
      </c>
      <c r="V2083" s="47" t="n">
        <f aca="false">V2082+IF(OR(O2083&lt;&gt;"",W2083&lt;&gt;""),1,0)</f>
        <v>3</v>
      </c>
      <c r="W2083" s="29"/>
    </row>
    <row r="2084" customFormat="false" ht="15" hidden="false" customHeight="false" outlineLevel="0" collapsed="false">
      <c r="A2084" s="32" t="str">
        <f aca="false">IF(B2084="","",ROW()-7)</f>
        <v/>
      </c>
      <c r="B2084" s="30"/>
      <c r="C2084" s="29"/>
      <c r="D2084" s="29"/>
      <c r="E2084" s="29"/>
      <c r="F2084" s="30"/>
      <c r="G2084" s="29"/>
      <c r="H2084" s="30"/>
      <c r="I2084" s="29"/>
      <c r="J2084" s="30"/>
      <c r="K2084" s="30"/>
      <c r="L2084" s="29"/>
      <c r="M2084" s="32" t="str">
        <f aca="false">IF(OR(C2084="",L2084=""),"",IF(C2084=L2084,"同一","変更"))</f>
        <v/>
      </c>
      <c r="N2084" s="29"/>
      <c r="O2084" s="30"/>
      <c r="P2084" s="29"/>
      <c r="Q2084" s="31"/>
      <c r="R2084" s="29"/>
      <c r="S2084" s="29"/>
      <c r="T2084" s="30"/>
      <c r="U2084" s="47" t="str">
        <f aca="false">IF(AND(B2084&lt;&gt;"",B2084=SW別シート!$C$3),COUNTIF(B$5:B2084,B2084),"")</f>
        <v/>
      </c>
      <c r="V2084" s="47" t="n">
        <f aca="false">V2083+IF(OR(O2084&lt;&gt;"",W2084&lt;&gt;""),1,0)</f>
        <v>3</v>
      </c>
      <c r="W2084" s="29"/>
    </row>
    <row r="2085" customFormat="false" ht="15" hidden="false" customHeight="false" outlineLevel="0" collapsed="false">
      <c r="A2085" s="32" t="str">
        <f aca="false">IF(B2085="","",ROW()-7)</f>
        <v/>
      </c>
      <c r="B2085" s="30"/>
      <c r="C2085" s="29"/>
      <c r="D2085" s="29"/>
      <c r="E2085" s="29"/>
      <c r="F2085" s="30"/>
      <c r="G2085" s="29"/>
      <c r="H2085" s="30"/>
      <c r="I2085" s="29"/>
      <c r="J2085" s="30"/>
      <c r="K2085" s="30"/>
      <c r="L2085" s="29"/>
      <c r="M2085" s="32" t="str">
        <f aca="false">IF(OR(C2085="",L2085=""),"",IF(C2085=L2085,"同一","変更"))</f>
        <v/>
      </c>
      <c r="N2085" s="29"/>
      <c r="O2085" s="30"/>
      <c r="P2085" s="29"/>
      <c r="Q2085" s="31"/>
      <c r="R2085" s="29"/>
      <c r="S2085" s="29"/>
      <c r="T2085" s="30"/>
      <c r="U2085" s="47" t="str">
        <f aca="false">IF(AND(B2085&lt;&gt;"",B2085=SW別シート!$C$3),COUNTIF(B$5:B2085,B2085),"")</f>
        <v/>
      </c>
      <c r="V2085" s="47" t="n">
        <f aca="false">V2084+IF(OR(O2085&lt;&gt;"",W2085&lt;&gt;""),1,0)</f>
        <v>3</v>
      </c>
      <c r="W2085" s="29"/>
    </row>
    <row r="2086" customFormat="false" ht="15" hidden="false" customHeight="false" outlineLevel="0" collapsed="false">
      <c r="A2086" s="32" t="str">
        <f aca="false">IF(B2086="","",ROW()-7)</f>
        <v/>
      </c>
      <c r="B2086" s="30"/>
      <c r="C2086" s="29"/>
      <c r="D2086" s="29"/>
      <c r="E2086" s="29"/>
      <c r="F2086" s="30"/>
      <c r="G2086" s="29"/>
      <c r="H2086" s="30"/>
      <c r="I2086" s="29"/>
      <c r="J2086" s="30"/>
      <c r="K2086" s="30"/>
      <c r="L2086" s="29"/>
      <c r="M2086" s="32" t="str">
        <f aca="false">IF(OR(C2086="",L2086=""),"",IF(C2086=L2086,"同一","変更"))</f>
        <v/>
      </c>
      <c r="N2086" s="29"/>
      <c r="O2086" s="30"/>
      <c r="P2086" s="29"/>
      <c r="Q2086" s="31"/>
      <c r="R2086" s="29"/>
      <c r="S2086" s="29"/>
      <c r="T2086" s="30"/>
      <c r="U2086" s="47" t="str">
        <f aca="false">IF(AND(B2086&lt;&gt;"",B2086=SW別シート!$C$3),COUNTIF(B$5:B2086,B2086),"")</f>
        <v/>
      </c>
      <c r="V2086" s="47" t="n">
        <f aca="false">V2085+IF(OR(O2086&lt;&gt;"",W2086&lt;&gt;""),1,0)</f>
        <v>3</v>
      </c>
      <c r="W2086" s="29"/>
    </row>
    <row r="2087" customFormat="false" ht="15" hidden="false" customHeight="false" outlineLevel="0" collapsed="false">
      <c r="A2087" s="32" t="str">
        <f aca="false">IF(B2087="","",ROW()-7)</f>
        <v/>
      </c>
      <c r="B2087" s="30"/>
      <c r="C2087" s="29"/>
      <c r="D2087" s="29"/>
      <c r="E2087" s="29"/>
      <c r="F2087" s="30"/>
      <c r="G2087" s="29"/>
      <c r="H2087" s="30"/>
      <c r="I2087" s="29"/>
      <c r="J2087" s="30"/>
      <c r="K2087" s="30"/>
      <c r="L2087" s="29"/>
      <c r="M2087" s="32" t="str">
        <f aca="false">IF(OR(C2087="",L2087=""),"",IF(C2087=L2087,"同一","変更"))</f>
        <v/>
      </c>
      <c r="N2087" s="29"/>
      <c r="O2087" s="30"/>
      <c r="P2087" s="29"/>
      <c r="Q2087" s="31"/>
      <c r="R2087" s="29"/>
      <c r="S2087" s="29"/>
      <c r="T2087" s="30"/>
      <c r="U2087" s="47" t="str">
        <f aca="false">IF(AND(B2087&lt;&gt;"",B2087=SW別シート!$C$3),COUNTIF(B$5:B2087,B2087),"")</f>
        <v/>
      </c>
      <c r="V2087" s="47" t="n">
        <f aca="false">V2086+IF(OR(O2087&lt;&gt;"",W2087&lt;&gt;""),1,0)</f>
        <v>3</v>
      </c>
      <c r="W2087" s="29"/>
    </row>
    <row r="2088" customFormat="false" ht="15" hidden="false" customHeight="false" outlineLevel="0" collapsed="false">
      <c r="A2088" s="32" t="str">
        <f aca="false">IF(B2088="","",ROW()-7)</f>
        <v/>
      </c>
      <c r="B2088" s="30"/>
      <c r="C2088" s="29"/>
      <c r="D2088" s="29"/>
      <c r="E2088" s="29"/>
      <c r="F2088" s="30"/>
      <c r="G2088" s="29"/>
      <c r="H2088" s="30"/>
      <c r="I2088" s="29"/>
      <c r="J2088" s="30"/>
      <c r="K2088" s="30"/>
      <c r="L2088" s="29"/>
      <c r="M2088" s="32" t="str">
        <f aca="false">IF(OR(C2088="",L2088=""),"",IF(C2088=L2088,"同一","変更"))</f>
        <v/>
      </c>
      <c r="N2088" s="29"/>
      <c r="O2088" s="30"/>
      <c r="P2088" s="29"/>
      <c r="Q2088" s="31"/>
      <c r="R2088" s="29"/>
      <c r="S2088" s="29"/>
      <c r="T2088" s="30"/>
      <c r="U2088" s="47" t="str">
        <f aca="false">IF(AND(B2088&lt;&gt;"",B2088=SW別シート!$C$3),COUNTIF(B$5:B2088,B2088),"")</f>
        <v/>
      </c>
      <c r="V2088" s="47" t="n">
        <f aca="false">V2087+IF(OR(O2088&lt;&gt;"",W2088&lt;&gt;""),1,0)</f>
        <v>3</v>
      </c>
      <c r="W2088" s="29"/>
    </row>
    <row r="2089" customFormat="false" ht="15" hidden="false" customHeight="false" outlineLevel="0" collapsed="false">
      <c r="A2089" s="32" t="str">
        <f aca="false">IF(B2089="","",ROW()-7)</f>
        <v/>
      </c>
      <c r="B2089" s="30"/>
      <c r="C2089" s="29"/>
      <c r="D2089" s="29"/>
      <c r="E2089" s="29"/>
      <c r="F2089" s="30"/>
      <c r="G2089" s="29"/>
      <c r="H2089" s="30"/>
      <c r="I2089" s="29"/>
      <c r="J2089" s="30"/>
      <c r="K2089" s="30"/>
      <c r="L2089" s="29"/>
      <c r="M2089" s="32" t="str">
        <f aca="false">IF(OR(C2089="",L2089=""),"",IF(C2089=L2089,"同一","変更"))</f>
        <v/>
      </c>
      <c r="N2089" s="29"/>
      <c r="O2089" s="30"/>
      <c r="P2089" s="29"/>
      <c r="Q2089" s="31"/>
      <c r="R2089" s="29"/>
      <c r="S2089" s="29"/>
      <c r="T2089" s="30"/>
      <c r="U2089" s="47" t="str">
        <f aca="false">IF(AND(B2089&lt;&gt;"",B2089=SW別シート!$C$3),COUNTIF(B$5:B2089,B2089),"")</f>
        <v/>
      </c>
      <c r="V2089" s="47" t="n">
        <f aca="false">V2088+IF(OR(O2089&lt;&gt;"",W2089&lt;&gt;""),1,0)</f>
        <v>3</v>
      </c>
      <c r="W2089" s="29"/>
    </row>
    <row r="2090" customFormat="false" ht="15" hidden="false" customHeight="false" outlineLevel="0" collapsed="false">
      <c r="A2090" s="32" t="str">
        <f aca="false">IF(B2090="","",ROW()-7)</f>
        <v/>
      </c>
      <c r="B2090" s="30"/>
      <c r="C2090" s="29"/>
      <c r="D2090" s="29"/>
      <c r="E2090" s="29"/>
      <c r="F2090" s="30"/>
      <c r="G2090" s="29"/>
      <c r="H2090" s="30"/>
      <c r="I2090" s="29"/>
      <c r="J2090" s="30"/>
      <c r="K2090" s="30"/>
      <c r="L2090" s="29"/>
      <c r="M2090" s="32" t="str">
        <f aca="false">IF(OR(C2090="",L2090=""),"",IF(C2090=L2090,"同一","変更"))</f>
        <v/>
      </c>
      <c r="N2090" s="29"/>
      <c r="O2090" s="30"/>
      <c r="P2090" s="29"/>
      <c r="Q2090" s="31"/>
      <c r="R2090" s="29"/>
      <c r="S2090" s="29"/>
      <c r="T2090" s="30"/>
      <c r="U2090" s="47" t="str">
        <f aca="false">IF(AND(B2090&lt;&gt;"",B2090=SW別シート!$C$3),COUNTIF(B$5:B2090,B2090),"")</f>
        <v/>
      </c>
      <c r="V2090" s="47" t="n">
        <f aca="false">V2089+IF(OR(O2090&lt;&gt;"",W2090&lt;&gt;""),1,0)</f>
        <v>3</v>
      </c>
      <c r="W2090" s="29"/>
    </row>
    <row r="2091" customFormat="false" ht="15" hidden="false" customHeight="false" outlineLevel="0" collapsed="false">
      <c r="A2091" s="32" t="str">
        <f aca="false">IF(B2091="","",ROW()-7)</f>
        <v/>
      </c>
      <c r="B2091" s="30"/>
      <c r="C2091" s="29"/>
      <c r="D2091" s="29"/>
      <c r="E2091" s="29"/>
      <c r="F2091" s="30"/>
      <c r="G2091" s="29"/>
      <c r="H2091" s="30"/>
      <c r="I2091" s="29"/>
      <c r="J2091" s="30"/>
      <c r="K2091" s="30"/>
      <c r="L2091" s="29"/>
      <c r="M2091" s="32" t="str">
        <f aca="false">IF(OR(C2091="",L2091=""),"",IF(C2091=L2091,"同一","変更"))</f>
        <v/>
      </c>
      <c r="N2091" s="29"/>
      <c r="O2091" s="30"/>
      <c r="P2091" s="29"/>
      <c r="Q2091" s="31"/>
      <c r="R2091" s="29"/>
      <c r="S2091" s="29"/>
      <c r="T2091" s="30"/>
      <c r="U2091" s="47" t="str">
        <f aca="false">IF(AND(B2091&lt;&gt;"",B2091=SW別シート!$C$3),COUNTIF(B$5:B2091,B2091),"")</f>
        <v/>
      </c>
      <c r="V2091" s="47" t="n">
        <f aca="false">V2090+IF(OR(O2091&lt;&gt;"",W2091&lt;&gt;""),1,0)</f>
        <v>3</v>
      </c>
      <c r="W2091" s="29"/>
    </row>
    <row r="2092" customFormat="false" ht="15" hidden="false" customHeight="false" outlineLevel="0" collapsed="false">
      <c r="A2092" s="32" t="str">
        <f aca="false">IF(B2092="","",ROW()-7)</f>
        <v/>
      </c>
      <c r="B2092" s="30"/>
      <c r="C2092" s="29"/>
      <c r="D2092" s="29"/>
      <c r="E2092" s="29"/>
      <c r="F2092" s="30"/>
      <c r="G2092" s="29"/>
      <c r="H2092" s="30"/>
      <c r="I2092" s="29"/>
      <c r="J2092" s="30"/>
      <c r="K2092" s="30"/>
      <c r="L2092" s="29"/>
      <c r="M2092" s="32" t="str">
        <f aca="false">IF(OR(C2092="",L2092=""),"",IF(C2092=L2092,"同一","変更"))</f>
        <v/>
      </c>
      <c r="N2092" s="29"/>
      <c r="O2092" s="30"/>
      <c r="P2092" s="29"/>
      <c r="Q2092" s="31"/>
      <c r="R2092" s="29"/>
      <c r="S2092" s="29"/>
      <c r="T2092" s="30"/>
      <c r="U2092" s="47" t="str">
        <f aca="false">IF(AND(B2092&lt;&gt;"",B2092=SW別シート!$C$3),COUNTIF(B$5:B2092,B2092),"")</f>
        <v/>
      </c>
      <c r="V2092" s="47" t="n">
        <f aca="false">V2091+IF(OR(O2092&lt;&gt;"",W2092&lt;&gt;""),1,0)</f>
        <v>3</v>
      </c>
      <c r="W2092" s="29"/>
    </row>
    <row r="2093" customFormat="false" ht="15" hidden="false" customHeight="false" outlineLevel="0" collapsed="false">
      <c r="A2093" s="32" t="str">
        <f aca="false">IF(B2093="","",ROW()-7)</f>
        <v/>
      </c>
      <c r="B2093" s="30"/>
      <c r="C2093" s="29"/>
      <c r="D2093" s="29"/>
      <c r="E2093" s="29"/>
      <c r="F2093" s="30"/>
      <c r="G2093" s="29"/>
      <c r="H2093" s="30"/>
      <c r="I2093" s="29"/>
      <c r="J2093" s="30"/>
      <c r="K2093" s="30"/>
      <c r="L2093" s="29"/>
      <c r="M2093" s="32" t="str">
        <f aca="false">IF(OR(C2093="",L2093=""),"",IF(C2093=L2093,"同一","変更"))</f>
        <v/>
      </c>
      <c r="N2093" s="29"/>
      <c r="O2093" s="30"/>
      <c r="P2093" s="29"/>
      <c r="Q2093" s="31"/>
      <c r="R2093" s="29"/>
      <c r="S2093" s="29"/>
      <c r="T2093" s="30"/>
      <c r="U2093" s="47" t="str">
        <f aca="false">IF(AND(B2093&lt;&gt;"",B2093=SW別シート!$C$3),COUNTIF(B$5:B2093,B2093),"")</f>
        <v/>
      </c>
      <c r="V2093" s="47" t="n">
        <f aca="false">V2092+IF(OR(O2093&lt;&gt;"",W2093&lt;&gt;""),1,0)</f>
        <v>3</v>
      </c>
      <c r="W2093" s="29"/>
    </row>
    <row r="2094" customFormat="false" ht="15" hidden="false" customHeight="false" outlineLevel="0" collapsed="false">
      <c r="A2094" s="32" t="str">
        <f aca="false">IF(B2094="","",ROW()-7)</f>
        <v/>
      </c>
      <c r="B2094" s="30"/>
      <c r="C2094" s="29"/>
      <c r="D2094" s="29"/>
      <c r="E2094" s="29"/>
      <c r="F2094" s="30"/>
      <c r="G2094" s="29"/>
      <c r="H2094" s="30"/>
      <c r="I2094" s="29"/>
      <c r="J2094" s="30"/>
      <c r="K2094" s="30"/>
      <c r="L2094" s="29"/>
      <c r="M2094" s="32" t="str">
        <f aca="false">IF(OR(C2094="",L2094=""),"",IF(C2094=L2094,"同一","変更"))</f>
        <v/>
      </c>
      <c r="N2094" s="29"/>
      <c r="O2094" s="30"/>
      <c r="P2094" s="29"/>
      <c r="Q2094" s="31"/>
      <c r="R2094" s="29"/>
      <c r="S2094" s="29"/>
      <c r="T2094" s="30"/>
      <c r="U2094" s="47" t="str">
        <f aca="false">IF(AND(B2094&lt;&gt;"",B2094=SW別シート!$C$3),COUNTIF(B$5:B2094,B2094),"")</f>
        <v/>
      </c>
      <c r="V2094" s="47" t="n">
        <f aca="false">V2093+IF(OR(O2094&lt;&gt;"",W2094&lt;&gt;""),1,0)</f>
        <v>3</v>
      </c>
      <c r="W2094" s="29"/>
    </row>
    <row r="2095" customFormat="false" ht="15" hidden="false" customHeight="false" outlineLevel="0" collapsed="false">
      <c r="A2095" s="32" t="str">
        <f aca="false">IF(B2095="","",ROW()-7)</f>
        <v/>
      </c>
      <c r="B2095" s="30"/>
      <c r="C2095" s="29"/>
      <c r="D2095" s="29"/>
      <c r="E2095" s="29"/>
      <c r="F2095" s="30"/>
      <c r="G2095" s="29"/>
      <c r="H2095" s="30"/>
      <c r="I2095" s="29"/>
      <c r="J2095" s="30"/>
      <c r="K2095" s="30"/>
      <c r="L2095" s="29"/>
      <c r="M2095" s="32" t="str">
        <f aca="false">IF(OR(C2095="",L2095=""),"",IF(C2095=L2095,"同一","変更"))</f>
        <v/>
      </c>
      <c r="N2095" s="29"/>
      <c r="O2095" s="30"/>
      <c r="P2095" s="29"/>
      <c r="Q2095" s="31"/>
      <c r="R2095" s="29"/>
      <c r="S2095" s="29"/>
      <c r="T2095" s="30"/>
      <c r="U2095" s="47" t="str">
        <f aca="false">IF(AND(B2095&lt;&gt;"",B2095=SW別シート!$C$3),COUNTIF(B$5:B2095,B2095),"")</f>
        <v/>
      </c>
      <c r="V2095" s="47" t="n">
        <f aca="false">V2094+IF(OR(O2095&lt;&gt;"",W2095&lt;&gt;""),1,0)</f>
        <v>3</v>
      </c>
      <c r="W2095" s="29"/>
    </row>
    <row r="2096" customFormat="false" ht="15" hidden="false" customHeight="false" outlineLevel="0" collapsed="false">
      <c r="A2096" s="32" t="str">
        <f aca="false">IF(B2096="","",ROW()-7)</f>
        <v/>
      </c>
      <c r="B2096" s="30"/>
      <c r="C2096" s="29"/>
      <c r="D2096" s="29"/>
      <c r="E2096" s="29"/>
      <c r="F2096" s="30"/>
      <c r="G2096" s="29"/>
      <c r="H2096" s="30"/>
      <c r="I2096" s="29"/>
      <c r="J2096" s="30"/>
      <c r="K2096" s="30"/>
      <c r="L2096" s="29"/>
      <c r="M2096" s="32" t="str">
        <f aca="false">IF(OR(C2096="",L2096=""),"",IF(C2096=L2096,"同一","変更"))</f>
        <v/>
      </c>
      <c r="N2096" s="29"/>
      <c r="O2096" s="30"/>
      <c r="P2096" s="29"/>
      <c r="Q2096" s="31"/>
      <c r="R2096" s="29"/>
      <c r="S2096" s="29"/>
      <c r="T2096" s="30"/>
      <c r="U2096" s="47" t="str">
        <f aca="false">IF(AND(B2096&lt;&gt;"",B2096=SW別シート!$C$3),COUNTIF(B$5:B2096,B2096),"")</f>
        <v/>
      </c>
      <c r="V2096" s="47" t="n">
        <f aca="false">V2095+IF(OR(O2096&lt;&gt;"",W2096&lt;&gt;""),1,0)</f>
        <v>3</v>
      </c>
      <c r="W2096" s="29"/>
    </row>
    <row r="2097" customFormat="false" ht="15" hidden="false" customHeight="false" outlineLevel="0" collapsed="false">
      <c r="A2097" s="32" t="str">
        <f aca="false">IF(B2097="","",ROW()-7)</f>
        <v/>
      </c>
      <c r="B2097" s="30"/>
      <c r="C2097" s="29"/>
      <c r="D2097" s="29"/>
      <c r="E2097" s="29"/>
      <c r="F2097" s="30"/>
      <c r="G2097" s="29"/>
      <c r="H2097" s="30"/>
      <c r="I2097" s="29"/>
      <c r="J2097" s="30"/>
      <c r="K2097" s="30"/>
      <c r="L2097" s="29"/>
      <c r="M2097" s="32" t="str">
        <f aca="false">IF(OR(C2097="",L2097=""),"",IF(C2097=L2097,"同一","変更"))</f>
        <v/>
      </c>
      <c r="N2097" s="29"/>
      <c r="O2097" s="30"/>
      <c r="P2097" s="29"/>
      <c r="Q2097" s="31"/>
      <c r="R2097" s="29"/>
      <c r="S2097" s="29"/>
      <c r="T2097" s="30"/>
      <c r="U2097" s="47" t="str">
        <f aca="false">IF(AND(B2097&lt;&gt;"",B2097=SW別シート!$C$3),COUNTIF(B$5:B2097,B2097),"")</f>
        <v/>
      </c>
      <c r="V2097" s="47" t="n">
        <f aca="false">V2096+IF(OR(O2097&lt;&gt;"",W2097&lt;&gt;""),1,0)</f>
        <v>3</v>
      </c>
      <c r="W2097" s="29"/>
    </row>
    <row r="2098" customFormat="false" ht="15" hidden="false" customHeight="false" outlineLevel="0" collapsed="false">
      <c r="A2098" s="32" t="str">
        <f aca="false">IF(B2098="","",ROW()-7)</f>
        <v/>
      </c>
      <c r="B2098" s="30"/>
      <c r="C2098" s="29"/>
      <c r="D2098" s="29"/>
      <c r="E2098" s="29"/>
      <c r="F2098" s="30"/>
      <c r="G2098" s="29"/>
      <c r="H2098" s="30"/>
      <c r="I2098" s="29"/>
      <c r="J2098" s="30"/>
      <c r="K2098" s="30"/>
      <c r="L2098" s="29"/>
      <c r="M2098" s="32" t="str">
        <f aca="false">IF(OR(C2098="",L2098=""),"",IF(C2098=L2098,"同一","変更"))</f>
        <v/>
      </c>
      <c r="N2098" s="29"/>
      <c r="O2098" s="30"/>
      <c r="P2098" s="29"/>
      <c r="Q2098" s="31"/>
      <c r="R2098" s="29"/>
      <c r="S2098" s="29"/>
      <c r="T2098" s="30"/>
      <c r="U2098" s="47" t="str">
        <f aca="false">IF(AND(B2098&lt;&gt;"",B2098=SW別シート!$C$3),COUNTIF(B$5:B2098,B2098),"")</f>
        <v/>
      </c>
      <c r="V2098" s="47" t="n">
        <f aca="false">V2097+IF(OR(O2098&lt;&gt;"",W2098&lt;&gt;""),1,0)</f>
        <v>3</v>
      </c>
      <c r="W2098" s="29"/>
    </row>
    <row r="2099" customFormat="false" ht="15" hidden="false" customHeight="false" outlineLevel="0" collapsed="false">
      <c r="A2099" s="32" t="str">
        <f aca="false">IF(B2099="","",ROW()-7)</f>
        <v/>
      </c>
      <c r="B2099" s="30"/>
      <c r="C2099" s="29"/>
      <c r="D2099" s="29"/>
      <c r="E2099" s="29"/>
      <c r="F2099" s="30"/>
      <c r="G2099" s="29"/>
      <c r="H2099" s="30"/>
      <c r="I2099" s="29"/>
      <c r="J2099" s="30"/>
      <c r="K2099" s="30"/>
      <c r="L2099" s="29"/>
      <c r="M2099" s="32" t="str">
        <f aca="false">IF(OR(C2099="",L2099=""),"",IF(C2099=L2099,"同一","変更"))</f>
        <v/>
      </c>
      <c r="N2099" s="29"/>
      <c r="O2099" s="30"/>
      <c r="P2099" s="29"/>
      <c r="Q2099" s="31"/>
      <c r="R2099" s="29"/>
      <c r="S2099" s="29"/>
      <c r="T2099" s="30"/>
      <c r="U2099" s="47" t="str">
        <f aca="false">IF(AND(B2099&lt;&gt;"",B2099=SW別シート!$C$3),COUNTIF(B$5:B2099,B2099),"")</f>
        <v/>
      </c>
      <c r="V2099" s="47" t="n">
        <f aca="false">V2098+IF(OR(O2099&lt;&gt;"",W2099&lt;&gt;""),1,0)</f>
        <v>3</v>
      </c>
      <c r="W2099" s="29"/>
    </row>
    <row r="2100" customFormat="false" ht="15" hidden="false" customHeight="false" outlineLevel="0" collapsed="false">
      <c r="A2100" s="32" t="str">
        <f aca="false">IF(B2100="","",ROW()-7)</f>
        <v/>
      </c>
      <c r="B2100" s="30"/>
      <c r="C2100" s="29"/>
      <c r="D2100" s="29"/>
      <c r="E2100" s="29"/>
      <c r="F2100" s="30"/>
      <c r="G2100" s="29"/>
      <c r="H2100" s="30"/>
      <c r="I2100" s="29"/>
      <c r="J2100" s="30"/>
      <c r="K2100" s="30"/>
      <c r="L2100" s="29"/>
      <c r="M2100" s="32" t="str">
        <f aca="false">IF(OR(C2100="",L2100=""),"",IF(C2100=L2100,"同一","変更"))</f>
        <v/>
      </c>
      <c r="N2100" s="29"/>
      <c r="O2100" s="30"/>
      <c r="P2100" s="29"/>
      <c r="Q2100" s="31"/>
      <c r="R2100" s="29"/>
      <c r="S2100" s="29"/>
      <c r="T2100" s="30"/>
      <c r="U2100" s="47" t="str">
        <f aca="false">IF(AND(B2100&lt;&gt;"",B2100=SW別シート!$C$3),COUNTIF(B$5:B2100,B2100),"")</f>
        <v/>
      </c>
      <c r="V2100" s="47" t="n">
        <f aca="false">V2099+IF(OR(O2100&lt;&gt;"",W2100&lt;&gt;""),1,0)</f>
        <v>3</v>
      </c>
      <c r="W2100" s="29"/>
    </row>
    <row r="2101" customFormat="false" ht="15" hidden="false" customHeight="false" outlineLevel="0" collapsed="false">
      <c r="A2101" s="32" t="str">
        <f aca="false">IF(B2101="","",ROW()-7)</f>
        <v/>
      </c>
      <c r="B2101" s="30"/>
      <c r="C2101" s="29"/>
      <c r="D2101" s="29"/>
      <c r="E2101" s="29"/>
      <c r="F2101" s="30"/>
      <c r="G2101" s="29"/>
      <c r="H2101" s="30"/>
      <c r="I2101" s="29"/>
      <c r="J2101" s="30"/>
      <c r="K2101" s="30"/>
      <c r="L2101" s="29"/>
      <c r="M2101" s="32" t="str">
        <f aca="false">IF(OR(C2101="",L2101=""),"",IF(C2101=L2101,"同一","変更"))</f>
        <v/>
      </c>
      <c r="N2101" s="29"/>
      <c r="O2101" s="30"/>
      <c r="P2101" s="29"/>
      <c r="Q2101" s="31"/>
      <c r="R2101" s="29"/>
      <c r="S2101" s="29"/>
      <c r="T2101" s="30"/>
      <c r="U2101" s="47" t="str">
        <f aca="false">IF(AND(B2101&lt;&gt;"",B2101=SW別シート!$C$3),COUNTIF(B$5:B2101,B2101),"")</f>
        <v/>
      </c>
      <c r="V2101" s="47" t="n">
        <f aca="false">V2100+IF(OR(O2101&lt;&gt;"",W2101&lt;&gt;""),1,0)</f>
        <v>3</v>
      </c>
      <c r="W2101" s="29"/>
    </row>
    <row r="2102" customFormat="false" ht="15" hidden="false" customHeight="false" outlineLevel="0" collapsed="false">
      <c r="A2102" s="32" t="str">
        <f aca="false">IF(B2102="","",ROW()-7)</f>
        <v/>
      </c>
      <c r="B2102" s="30"/>
      <c r="C2102" s="29"/>
      <c r="D2102" s="29"/>
      <c r="E2102" s="29"/>
      <c r="F2102" s="30"/>
      <c r="G2102" s="29"/>
      <c r="H2102" s="30"/>
      <c r="I2102" s="29"/>
      <c r="J2102" s="30"/>
      <c r="K2102" s="30"/>
      <c r="L2102" s="29"/>
      <c r="M2102" s="32" t="str">
        <f aca="false">IF(OR(C2102="",L2102=""),"",IF(C2102=L2102,"同一","変更"))</f>
        <v/>
      </c>
      <c r="N2102" s="29"/>
      <c r="O2102" s="30"/>
      <c r="P2102" s="29"/>
      <c r="Q2102" s="31"/>
      <c r="R2102" s="29"/>
      <c r="S2102" s="29"/>
      <c r="T2102" s="30"/>
      <c r="U2102" s="47" t="str">
        <f aca="false">IF(AND(B2102&lt;&gt;"",B2102=SW別シート!$C$3),COUNTIF(B$5:B2102,B2102),"")</f>
        <v/>
      </c>
      <c r="V2102" s="47" t="n">
        <f aca="false">V2101+IF(OR(O2102&lt;&gt;"",W2102&lt;&gt;""),1,0)</f>
        <v>3</v>
      </c>
      <c r="W2102" s="29"/>
    </row>
    <row r="2103" customFormat="false" ht="15" hidden="false" customHeight="false" outlineLevel="0" collapsed="false">
      <c r="A2103" s="32" t="str">
        <f aca="false">IF(B2103="","",ROW()-7)</f>
        <v/>
      </c>
      <c r="B2103" s="30"/>
      <c r="C2103" s="29"/>
      <c r="D2103" s="29"/>
      <c r="E2103" s="29"/>
      <c r="F2103" s="30"/>
      <c r="G2103" s="29"/>
      <c r="H2103" s="30"/>
      <c r="I2103" s="29"/>
      <c r="J2103" s="30"/>
      <c r="K2103" s="30"/>
      <c r="L2103" s="29"/>
      <c r="M2103" s="32" t="str">
        <f aca="false">IF(OR(C2103="",L2103=""),"",IF(C2103=L2103,"同一","変更"))</f>
        <v/>
      </c>
      <c r="N2103" s="29"/>
      <c r="O2103" s="30"/>
      <c r="P2103" s="29"/>
      <c r="Q2103" s="31"/>
      <c r="R2103" s="29"/>
      <c r="S2103" s="29"/>
      <c r="T2103" s="30"/>
      <c r="U2103" s="47" t="str">
        <f aca="false">IF(AND(B2103&lt;&gt;"",B2103=SW別シート!$C$3),COUNTIF(B$5:B2103,B2103),"")</f>
        <v/>
      </c>
      <c r="V2103" s="47" t="n">
        <f aca="false">V2102+IF(OR(O2103&lt;&gt;"",W2103&lt;&gt;""),1,0)</f>
        <v>3</v>
      </c>
      <c r="W2103" s="29"/>
    </row>
    <row r="2104" customFormat="false" ht="15" hidden="false" customHeight="false" outlineLevel="0" collapsed="false">
      <c r="A2104" s="32" t="str">
        <f aca="false">IF(B2104="","",ROW()-7)</f>
        <v/>
      </c>
      <c r="B2104" s="30"/>
      <c r="C2104" s="29"/>
      <c r="D2104" s="29"/>
      <c r="E2104" s="29"/>
      <c r="F2104" s="30"/>
      <c r="G2104" s="29"/>
      <c r="H2104" s="30"/>
      <c r="I2104" s="29"/>
      <c r="J2104" s="30"/>
      <c r="K2104" s="30"/>
      <c r="L2104" s="29"/>
      <c r="M2104" s="32" t="str">
        <f aca="false">IF(OR(C2104="",L2104=""),"",IF(C2104=L2104,"同一","変更"))</f>
        <v/>
      </c>
      <c r="N2104" s="29"/>
      <c r="O2104" s="30"/>
      <c r="P2104" s="29"/>
      <c r="Q2104" s="31"/>
      <c r="R2104" s="29"/>
      <c r="S2104" s="29"/>
      <c r="T2104" s="30"/>
      <c r="U2104" s="47" t="str">
        <f aca="false">IF(AND(B2104&lt;&gt;"",B2104=SW別シート!$C$3),COUNTIF(B$5:B2104,B2104),"")</f>
        <v/>
      </c>
      <c r="V2104" s="47" t="n">
        <f aca="false">V2103+IF(OR(O2104&lt;&gt;"",W2104&lt;&gt;""),1,0)</f>
        <v>3</v>
      </c>
      <c r="W2104" s="29"/>
    </row>
    <row r="2105" customFormat="false" ht="15" hidden="false" customHeight="false" outlineLevel="0" collapsed="false">
      <c r="A2105" s="32" t="str">
        <f aca="false">IF(B2105="","",ROW()-7)</f>
        <v/>
      </c>
      <c r="B2105" s="30"/>
      <c r="C2105" s="29"/>
      <c r="D2105" s="29"/>
      <c r="E2105" s="29"/>
      <c r="F2105" s="30"/>
      <c r="G2105" s="29"/>
      <c r="H2105" s="30"/>
      <c r="I2105" s="29"/>
      <c r="J2105" s="30"/>
      <c r="K2105" s="30"/>
      <c r="L2105" s="29"/>
      <c r="M2105" s="32" t="str">
        <f aca="false">IF(OR(C2105="",L2105=""),"",IF(C2105=L2105,"同一","変更"))</f>
        <v/>
      </c>
      <c r="N2105" s="29"/>
      <c r="O2105" s="30"/>
      <c r="P2105" s="29"/>
      <c r="Q2105" s="31"/>
      <c r="R2105" s="29"/>
      <c r="S2105" s="29"/>
      <c r="T2105" s="30"/>
      <c r="U2105" s="47" t="str">
        <f aca="false">IF(AND(B2105&lt;&gt;"",B2105=SW別シート!$C$3),COUNTIF(B$5:B2105,B2105),"")</f>
        <v/>
      </c>
      <c r="V2105" s="47" t="n">
        <f aca="false">V2104+IF(OR(O2105&lt;&gt;"",W2105&lt;&gt;""),1,0)</f>
        <v>3</v>
      </c>
      <c r="W2105" s="29"/>
    </row>
    <row r="2106" customFormat="false" ht="15" hidden="false" customHeight="false" outlineLevel="0" collapsed="false">
      <c r="A2106" s="32" t="str">
        <f aca="false">IF(B2106="","",ROW()-7)</f>
        <v/>
      </c>
      <c r="B2106" s="30"/>
      <c r="C2106" s="29"/>
      <c r="D2106" s="29"/>
      <c r="E2106" s="29"/>
      <c r="F2106" s="30"/>
      <c r="G2106" s="29"/>
      <c r="H2106" s="30"/>
      <c r="I2106" s="29"/>
      <c r="J2106" s="30"/>
      <c r="K2106" s="30"/>
      <c r="L2106" s="29"/>
      <c r="M2106" s="32" t="str">
        <f aca="false">IF(OR(C2106="",L2106=""),"",IF(C2106=L2106,"同一","変更"))</f>
        <v/>
      </c>
      <c r="N2106" s="29"/>
      <c r="O2106" s="30"/>
      <c r="P2106" s="29"/>
      <c r="Q2106" s="31"/>
      <c r="R2106" s="29"/>
      <c r="S2106" s="29"/>
      <c r="T2106" s="30"/>
      <c r="U2106" s="47" t="str">
        <f aca="false">IF(AND(B2106&lt;&gt;"",B2106=SW別シート!$C$3),COUNTIF(B$5:B2106,B2106),"")</f>
        <v/>
      </c>
      <c r="V2106" s="47" t="n">
        <f aca="false">V2105+IF(OR(O2106&lt;&gt;"",W2106&lt;&gt;""),1,0)</f>
        <v>3</v>
      </c>
      <c r="W2106" s="29"/>
    </row>
    <row r="2107" customFormat="false" ht="15" hidden="false" customHeight="false" outlineLevel="0" collapsed="false">
      <c r="A2107" s="32" t="str">
        <f aca="false">IF(B2107="","",ROW()-7)</f>
        <v/>
      </c>
      <c r="B2107" s="30"/>
      <c r="C2107" s="29"/>
      <c r="D2107" s="29"/>
      <c r="E2107" s="29"/>
      <c r="F2107" s="30"/>
      <c r="G2107" s="29"/>
      <c r="H2107" s="30"/>
      <c r="I2107" s="29"/>
      <c r="J2107" s="30"/>
      <c r="K2107" s="30"/>
      <c r="L2107" s="29"/>
      <c r="M2107" s="32" t="str">
        <f aca="false">IF(OR(C2107="",L2107=""),"",IF(C2107=L2107,"同一","変更"))</f>
        <v/>
      </c>
      <c r="N2107" s="29"/>
      <c r="O2107" s="30"/>
      <c r="P2107" s="29"/>
      <c r="Q2107" s="31"/>
      <c r="R2107" s="29"/>
      <c r="S2107" s="29"/>
      <c r="T2107" s="30"/>
      <c r="U2107" s="47" t="str">
        <f aca="false">IF(AND(B2107&lt;&gt;"",B2107=SW別シート!$C$3),COUNTIF(B$5:B2107,B2107),"")</f>
        <v/>
      </c>
      <c r="V2107" s="47" t="n">
        <f aca="false">V2106+IF(OR(O2107&lt;&gt;"",W2107&lt;&gt;""),1,0)</f>
        <v>3</v>
      </c>
      <c r="W2107" s="29"/>
    </row>
    <row r="2108" customFormat="false" ht="15" hidden="false" customHeight="false" outlineLevel="0" collapsed="false">
      <c r="A2108" s="32" t="str">
        <f aca="false">IF(B2108="","",ROW()-7)</f>
        <v/>
      </c>
      <c r="B2108" s="30"/>
      <c r="C2108" s="29"/>
      <c r="D2108" s="29"/>
      <c r="E2108" s="29"/>
      <c r="F2108" s="30"/>
      <c r="G2108" s="29"/>
      <c r="H2108" s="30"/>
      <c r="I2108" s="29"/>
      <c r="J2108" s="30"/>
      <c r="K2108" s="30"/>
      <c r="L2108" s="29"/>
      <c r="M2108" s="32" t="str">
        <f aca="false">IF(OR(C2108="",L2108=""),"",IF(C2108=L2108,"同一","変更"))</f>
        <v/>
      </c>
      <c r="N2108" s="29"/>
      <c r="O2108" s="30"/>
      <c r="P2108" s="29"/>
      <c r="Q2108" s="31"/>
      <c r="R2108" s="29"/>
      <c r="S2108" s="29"/>
      <c r="T2108" s="30"/>
      <c r="U2108" s="47" t="str">
        <f aca="false">IF(AND(B2108&lt;&gt;"",B2108=SW別シート!$C$3),COUNTIF(B$5:B2108,B2108),"")</f>
        <v/>
      </c>
      <c r="V2108" s="47" t="n">
        <f aca="false">V2107+IF(OR(O2108&lt;&gt;"",W2108&lt;&gt;""),1,0)</f>
        <v>3</v>
      </c>
      <c r="W2108" s="29"/>
    </row>
    <row r="2109" customFormat="false" ht="15" hidden="false" customHeight="false" outlineLevel="0" collapsed="false">
      <c r="A2109" s="32" t="str">
        <f aca="false">IF(B2109="","",ROW()-7)</f>
        <v/>
      </c>
      <c r="B2109" s="30"/>
      <c r="C2109" s="29"/>
      <c r="D2109" s="29"/>
      <c r="E2109" s="29"/>
      <c r="F2109" s="30"/>
      <c r="G2109" s="29"/>
      <c r="H2109" s="30"/>
      <c r="I2109" s="29"/>
      <c r="J2109" s="30"/>
      <c r="K2109" s="30"/>
      <c r="L2109" s="29"/>
      <c r="M2109" s="32" t="str">
        <f aca="false">IF(OR(C2109="",L2109=""),"",IF(C2109=L2109,"同一","変更"))</f>
        <v/>
      </c>
      <c r="N2109" s="29"/>
      <c r="O2109" s="30"/>
      <c r="P2109" s="29"/>
      <c r="Q2109" s="31"/>
      <c r="R2109" s="29"/>
      <c r="S2109" s="29"/>
      <c r="T2109" s="30"/>
      <c r="U2109" s="47" t="str">
        <f aca="false">IF(AND(B2109&lt;&gt;"",B2109=SW別シート!$C$3),COUNTIF(B$5:B2109,B2109),"")</f>
        <v/>
      </c>
      <c r="V2109" s="47" t="n">
        <f aca="false">V2108+IF(OR(O2109&lt;&gt;"",W2109&lt;&gt;""),1,0)</f>
        <v>3</v>
      </c>
      <c r="W2109" s="29"/>
    </row>
    <row r="2110" customFormat="false" ht="15" hidden="false" customHeight="false" outlineLevel="0" collapsed="false">
      <c r="A2110" s="32" t="str">
        <f aca="false">IF(B2110="","",ROW()-7)</f>
        <v/>
      </c>
      <c r="B2110" s="30"/>
      <c r="C2110" s="29"/>
      <c r="D2110" s="29"/>
      <c r="E2110" s="29"/>
      <c r="F2110" s="30"/>
      <c r="G2110" s="29"/>
      <c r="H2110" s="30"/>
      <c r="I2110" s="29"/>
      <c r="J2110" s="30"/>
      <c r="K2110" s="30"/>
      <c r="L2110" s="29"/>
      <c r="M2110" s="32" t="str">
        <f aca="false">IF(OR(C2110="",L2110=""),"",IF(C2110=L2110,"同一","変更"))</f>
        <v/>
      </c>
      <c r="N2110" s="29"/>
      <c r="O2110" s="30"/>
      <c r="P2110" s="29"/>
      <c r="Q2110" s="31"/>
      <c r="R2110" s="29"/>
      <c r="S2110" s="29"/>
      <c r="T2110" s="30"/>
      <c r="U2110" s="47" t="str">
        <f aca="false">IF(AND(B2110&lt;&gt;"",B2110=SW別シート!$C$3),COUNTIF(B$5:B2110,B2110),"")</f>
        <v/>
      </c>
      <c r="V2110" s="47" t="n">
        <f aca="false">V2109+IF(OR(O2110&lt;&gt;"",W2110&lt;&gt;""),1,0)</f>
        <v>3</v>
      </c>
      <c r="W2110" s="29"/>
    </row>
    <row r="2111" customFormat="false" ht="15" hidden="false" customHeight="false" outlineLevel="0" collapsed="false">
      <c r="A2111" s="32" t="str">
        <f aca="false">IF(B2111="","",ROW()-7)</f>
        <v/>
      </c>
      <c r="B2111" s="30"/>
      <c r="C2111" s="29"/>
      <c r="D2111" s="29"/>
      <c r="E2111" s="29"/>
      <c r="F2111" s="30"/>
      <c r="G2111" s="29"/>
      <c r="H2111" s="30"/>
      <c r="I2111" s="29"/>
      <c r="J2111" s="30"/>
      <c r="K2111" s="30"/>
      <c r="L2111" s="29"/>
      <c r="M2111" s="32" t="str">
        <f aca="false">IF(OR(C2111="",L2111=""),"",IF(C2111=L2111,"同一","変更"))</f>
        <v/>
      </c>
      <c r="N2111" s="29"/>
      <c r="O2111" s="30"/>
      <c r="P2111" s="29"/>
      <c r="Q2111" s="31"/>
      <c r="R2111" s="29"/>
      <c r="S2111" s="29"/>
      <c r="T2111" s="30"/>
      <c r="U2111" s="47" t="str">
        <f aca="false">IF(AND(B2111&lt;&gt;"",B2111=SW別シート!$C$3),COUNTIF(B$5:B2111,B2111),"")</f>
        <v/>
      </c>
      <c r="V2111" s="47" t="n">
        <f aca="false">V2110+IF(OR(O2111&lt;&gt;"",W2111&lt;&gt;""),1,0)</f>
        <v>3</v>
      </c>
      <c r="W2111" s="29"/>
    </row>
    <row r="2112" customFormat="false" ht="15" hidden="false" customHeight="false" outlineLevel="0" collapsed="false">
      <c r="A2112" s="32" t="str">
        <f aca="false">IF(B2112="","",ROW()-7)</f>
        <v/>
      </c>
      <c r="B2112" s="30"/>
      <c r="C2112" s="29"/>
      <c r="D2112" s="29"/>
      <c r="E2112" s="29"/>
      <c r="F2112" s="30"/>
      <c r="G2112" s="29"/>
      <c r="H2112" s="30"/>
      <c r="I2112" s="29"/>
      <c r="J2112" s="30"/>
      <c r="K2112" s="30"/>
      <c r="L2112" s="29"/>
      <c r="M2112" s="32" t="str">
        <f aca="false">IF(OR(C2112="",L2112=""),"",IF(C2112=L2112,"同一","変更"))</f>
        <v/>
      </c>
      <c r="N2112" s="29"/>
      <c r="O2112" s="30"/>
      <c r="P2112" s="29"/>
      <c r="Q2112" s="31"/>
      <c r="R2112" s="29"/>
      <c r="S2112" s="29"/>
      <c r="T2112" s="30"/>
      <c r="U2112" s="47" t="str">
        <f aca="false">IF(AND(B2112&lt;&gt;"",B2112=SW別シート!$C$3),COUNTIF(B$5:B2112,B2112),"")</f>
        <v/>
      </c>
      <c r="V2112" s="47" t="n">
        <f aca="false">V2111+IF(OR(O2112&lt;&gt;"",W2112&lt;&gt;""),1,0)</f>
        <v>3</v>
      </c>
      <c r="W2112" s="29"/>
    </row>
    <row r="2113" customFormat="false" ht="15" hidden="false" customHeight="false" outlineLevel="0" collapsed="false">
      <c r="A2113" s="32" t="str">
        <f aca="false">IF(B2113="","",ROW()-7)</f>
        <v/>
      </c>
      <c r="B2113" s="30"/>
      <c r="C2113" s="29"/>
      <c r="D2113" s="29"/>
      <c r="E2113" s="29"/>
      <c r="F2113" s="30"/>
      <c r="G2113" s="29"/>
      <c r="H2113" s="30"/>
      <c r="I2113" s="29"/>
      <c r="J2113" s="30"/>
      <c r="K2113" s="30"/>
      <c r="L2113" s="29"/>
      <c r="M2113" s="32" t="str">
        <f aca="false">IF(OR(C2113="",L2113=""),"",IF(C2113=L2113,"同一","変更"))</f>
        <v/>
      </c>
      <c r="N2113" s="29"/>
      <c r="O2113" s="30"/>
      <c r="P2113" s="29"/>
      <c r="Q2113" s="31"/>
      <c r="R2113" s="29"/>
      <c r="S2113" s="29"/>
      <c r="T2113" s="30"/>
      <c r="U2113" s="47" t="str">
        <f aca="false">IF(AND(B2113&lt;&gt;"",B2113=SW別シート!$C$3),COUNTIF(B$5:B2113,B2113),"")</f>
        <v/>
      </c>
      <c r="V2113" s="47" t="n">
        <f aca="false">V2112+IF(OR(O2113&lt;&gt;"",W2113&lt;&gt;""),1,0)</f>
        <v>3</v>
      </c>
      <c r="W2113" s="29"/>
    </row>
    <row r="2114" customFormat="false" ht="15" hidden="false" customHeight="false" outlineLevel="0" collapsed="false">
      <c r="A2114" s="32" t="str">
        <f aca="false">IF(B2114="","",ROW()-7)</f>
        <v/>
      </c>
      <c r="B2114" s="30"/>
      <c r="C2114" s="29"/>
      <c r="D2114" s="29"/>
      <c r="E2114" s="29"/>
      <c r="F2114" s="30"/>
      <c r="G2114" s="29"/>
      <c r="H2114" s="30"/>
      <c r="I2114" s="29"/>
      <c r="J2114" s="30"/>
      <c r="K2114" s="30"/>
      <c r="L2114" s="29"/>
      <c r="M2114" s="32" t="str">
        <f aca="false">IF(OR(C2114="",L2114=""),"",IF(C2114=L2114,"同一","変更"))</f>
        <v/>
      </c>
      <c r="N2114" s="29"/>
      <c r="O2114" s="30"/>
      <c r="P2114" s="29"/>
      <c r="Q2114" s="31"/>
      <c r="R2114" s="29"/>
      <c r="S2114" s="29"/>
      <c r="T2114" s="30"/>
      <c r="U2114" s="47" t="str">
        <f aca="false">IF(AND(B2114&lt;&gt;"",B2114=SW別シート!$C$3),COUNTIF(B$5:B2114,B2114),"")</f>
        <v/>
      </c>
      <c r="V2114" s="47" t="n">
        <f aca="false">V2113+IF(OR(O2114&lt;&gt;"",W2114&lt;&gt;""),1,0)</f>
        <v>3</v>
      </c>
      <c r="W2114" s="29"/>
    </row>
    <row r="2115" customFormat="false" ht="15" hidden="false" customHeight="false" outlineLevel="0" collapsed="false">
      <c r="A2115" s="32" t="str">
        <f aca="false">IF(B2115="","",ROW()-7)</f>
        <v/>
      </c>
      <c r="B2115" s="30"/>
      <c r="C2115" s="29"/>
      <c r="D2115" s="29"/>
      <c r="E2115" s="29"/>
      <c r="F2115" s="30"/>
      <c r="G2115" s="29"/>
      <c r="H2115" s="30"/>
      <c r="I2115" s="29"/>
      <c r="J2115" s="30"/>
      <c r="K2115" s="30"/>
      <c r="L2115" s="29"/>
      <c r="M2115" s="32" t="str">
        <f aca="false">IF(OR(C2115="",L2115=""),"",IF(C2115=L2115,"同一","変更"))</f>
        <v/>
      </c>
      <c r="N2115" s="29"/>
      <c r="O2115" s="30"/>
      <c r="P2115" s="29"/>
      <c r="Q2115" s="31"/>
      <c r="R2115" s="29"/>
      <c r="S2115" s="29"/>
      <c r="T2115" s="30"/>
      <c r="U2115" s="47" t="str">
        <f aca="false">IF(AND(B2115&lt;&gt;"",B2115=SW別シート!$C$3),COUNTIF(B$5:B2115,B2115),"")</f>
        <v/>
      </c>
      <c r="V2115" s="47" t="n">
        <f aca="false">V2114+IF(OR(O2115&lt;&gt;"",W2115&lt;&gt;""),1,0)</f>
        <v>3</v>
      </c>
      <c r="W2115" s="29"/>
    </row>
    <row r="2116" customFormat="false" ht="15" hidden="false" customHeight="false" outlineLevel="0" collapsed="false">
      <c r="A2116" s="32" t="str">
        <f aca="false">IF(B2116="","",ROW()-7)</f>
        <v/>
      </c>
      <c r="B2116" s="30"/>
      <c r="C2116" s="29"/>
      <c r="D2116" s="29"/>
      <c r="E2116" s="29"/>
      <c r="F2116" s="30"/>
      <c r="G2116" s="29"/>
      <c r="H2116" s="30"/>
      <c r="I2116" s="29"/>
      <c r="J2116" s="30"/>
      <c r="K2116" s="30"/>
      <c r="L2116" s="29"/>
      <c r="M2116" s="32" t="str">
        <f aca="false">IF(OR(C2116="",L2116=""),"",IF(C2116=L2116,"同一","変更"))</f>
        <v/>
      </c>
      <c r="N2116" s="29"/>
      <c r="O2116" s="30"/>
      <c r="P2116" s="29"/>
      <c r="Q2116" s="31"/>
      <c r="R2116" s="29"/>
      <c r="S2116" s="29"/>
      <c r="T2116" s="30"/>
      <c r="U2116" s="47" t="str">
        <f aca="false">IF(AND(B2116&lt;&gt;"",B2116=SW別シート!$C$3),COUNTIF(B$5:B2116,B2116),"")</f>
        <v/>
      </c>
      <c r="V2116" s="47" t="n">
        <f aca="false">V2115+IF(OR(O2116&lt;&gt;"",W2116&lt;&gt;""),1,0)</f>
        <v>3</v>
      </c>
      <c r="W2116" s="29"/>
    </row>
    <row r="2117" customFormat="false" ht="15" hidden="false" customHeight="false" outlineLevel="0" collapsed="false">
      <c r="A2117" s="32" t="str">
        <f aca="false">IF(B2117="","",ROW()-7)</f>
        <v/>
      </c>
      <c r="B2117" s="30"/>
      <c r="C2117" s="29"/>
      <c r="D2117" s="29"/>
      <c r="E2117" s="29"/>
      <c r="F2117" s="30"/>
      <c r="G2117" s="29"/>
      <c r="H2117" s="30"/>
      <c r="I2117" s="29"/>
      <c r="J2117" s="30"/>
      <c r="K2117" s="30"/>
      <c r="L2117" s="29"/>
      <c r="M2117" s="32" t="str">
        <f aca="false">IF(OR(C2117="",L2117=""),"",IF(C2117=L2117,"同一","変更"))</f>
        <v/>
      </c>
      <c r="N2117" s="29"/>
      <c r="O2117" s="30"/>
      <c r="P2117" s="29"/>
      <c r="Q2117" s="31"/>
      <c r="R2117" s="29"/>
      <c r="S2117" s="29"/>
      <c r="T2117" s="30"/>
      <c r="U2117" s="47" t="str">
        <f aca="false">IF(AND(B2117&lt;&gt;"",B2117=SW別シート!$C$3),COUNTIF(B$5:B2117,B2117),"")</f>
        <v/>
      </c>
      <c r="V2117" s="47" t="n">
        <f aca="false">V2116+IF(OR(O2117&lt;&gt;"",W2117&lt;&gt;""),1,0)</f>
        <v>3</v>
      </c>
      <c r="W2117" s="29"/>
    </row>
    <row r="2118" customFormat="false" ht="15" hidden="false" customHeight="false" outlineLevel="0" collapsed="false">
      <c r="A2118" s="32" t="str">
        <f aca="false">IF(B2118="","",ROW()-7)</f>
        <v/>
      </c>
      <c r="B2118" s="30"/>
      <c r="C2118" s="29"/>
      <c r="D2118" s="29"/>
      <c r="E2118" s="29"/>
      <c r="F2118" s="30"/>
      <c r="G2118" s="29"/>
      <c r="H2118" s="30"/>
      <c r="I2118" s="29"/>
      <c r="J2118" s="30"/>
      <c r="K2118" s="30"/>
      <c r="L2118" s="29"/>
      <c r="M2118" s="32" t="str">
        <f aca="false">IF(OR(C2118="",L2118=""),"",IF(C2118=L2118,"同一","変更"))</f>
        <v/>
      </c>
      <c r="N2118" s="29"/>
      <c r="O2118" s="30"/>
      <c r="P2118" s="29"/>
      <c r="Q2118" s="31"/>
      <c r="R2118" s="29"/>
      <c r="S2118" s="29"/>
      <c r="T2118" s="30"/>
      <c r="U2118" s="47" t="str">
        <f aca="false">IF(AND(B2118&lt;&gt;"",B2118=SW別シート!$C$3),COUNTIF(B$5:B2118,B2118),"")</f>
        <v/>
      </c>
      <c r="V2118" s="47" t="n">
        <f aca="false">V2117+IF(OR(O2118&lt;&gt;"",W2118&lt;&gt;""),1,0)</f>
        <v>3</v>
      </c>
      <c r="W2118" s="29"/>
    </row>
    <row r="2119" customFormat="false" ht="15" hidden="false" customHeight="false" outlineLevel="0" collapsed="false">
      <c r="A2119" s="32" t="str">
        <f aca="false">IF(B2119="","",ROW()-7)</f>
        <v/>
      </c>
      <c r="B2119" s="30"/>
      <c r="C2119" s="29"/>
      <c r="D2119" s="29"/>
      <c r="E2119" s="29"/>
      <c r="F2119" s="30"/>
      <c r="G2119" s="29"/>
      <c r="H2119" s="30"/>
      <c r="I2119" s="29"/>
      <c r="J2119" s="30"/>
      <c r="K2119" s="30"/>
      <c r="L2119" s="29"/>
      <c r="M2119" s="32" t="str">
        <f aca="false">IF(OR(C2119="",L2119=""),"",IF(C2119=L2119,"同一","変更"))</f>
        <v/>
      </c>
      <c r="N2119" s="29"/>
      <c r="O2119" s="30"/>
      <c r="P2119" s="29"/>
      <c r="Q2119" s="31"/>
      <c r="R2119" s="29"/>
      <c r="S2119" s="29"/>
      <c r="T2119" s="30"/>
      <c r="U2119" s="47" t="str">
        <f aca="false">IF(AND(B2119&lt;&gt;"",B2119=SW別シート!$C$3),COUNTIF(B$5:B2119,B2119),"")</f>
        <v/>
      </c>
      <c r="V2119" s="47" t="n">
        <f aca="false">V2118+IF(OR(O2119&lt;&gt;"",W2119&lt;&gt;""),1,0)</f>
        <v>3</v>
      </c>
      <c r="W2119" s="29"/>
    </row>
    <row r="2120" customFormat="false" ht="15" hidden="false" customHeight="false" outlineLevel="0" collapsed="false">
      <c r="A2120" s="32" t="str">
        <f aca="false">IF(B2120="","",ROW()-7)</f>
        <v/>
      </c>
      <c r="B2120" s="30"/>
      <c r="C2120" s="29"/>
      <c r="D2120" s="29"/>
      <c r="E2120" s="29"/>
      <c r="F2120" s="30"/>
      <c r="G2120" s="29"/>
      <c r="H2120" s="30"/>
      <c r="I2120" s="29"/>
      <c r="J2120" s="30"/>
      <c r="K2120" s="30"/>
      <c r="L2120" s="29"/>
      <c r="M2120" s="32" t="str">
        <f aca="false">IF(OR(C2120="",L2120=""),"",IF(C2120=L2120,"同一","変更"))</f>
        <v/>
      </c>
      <c r="N2120" s="29"/>
      <c r="O2120" s="30"/>
      <c r="P2120" s="29"/>
      <c r="Q2120" s="31"/>
      <c r="R2120" s="29"/>
      <c r="S2120" s="29"/>
      <c r="T2120" s="30"/>
      <c r="U2120" s="47" t="str">
        <f aca="false">IF(AND(B2120&lt;&gt;"",B2120=SW別シート!$C$3),COUNTIF(B$5:B2120,B2120),"")</f>
        <v/>
      </c>
      <c r="V2120" s="47" t="n">
        <f aca="false">V2119+IF(OR(O2120&lt;&gt;"",W2120&lt;&gt;""),1,0)</f>
        <v>3</v>
      </c>
      <c r="W2120" s="29"/>
    </row>
    <row r="2121" customFormat="false" ht="15" hidden="false" customHeight="false" outlineLevel="0" collapsed="false">
      <c r="A2121" s="32" t="str">
        <f aca="false">IF(B2121="","",ROW()-7)</f>
        <v/>
      </c>
      <c r="B2121" s="30"/>
      <c r="C2121" s="29"/>
      <c r="D2121" s="29"/>
      <c r="E2121" s="29"/>
      <c r="F2121" s="30"/>
      <c r="G2121" s="29"/>
      <c r="H2121" s="30"/>
      <c r="I2121" s="29"/>
      <c r="J2121" s="30"/>
      <c r="K2121" s="30"/>
      <c r="L2121" s="29"/>
      <c r="M2121" s="32" t="str">
        <f aca="false">IF(OR(C2121="",L2121=""),"",IF(C2121=L2121,"同一","変更"))</f>
        <v/>
      </c>
      <c r="N2121" s="29"/>
      <c r="O2121" s="30"/>
      <c r="P2121" s="29"/>
      <c r="Q2121" s="31"/>
      <c r="R2121" s="29"/>
      <c r="S2121" s="29"/>
      <c r="T2121" s="30"/>
      <c r="U2121" s="47" t="str">
        <f aca="false">IF(AND(B2121&lt;&gt;"",B2121=SW別シート!$C$3),COUNTIF(B$5:B2121,B2121),"")</f>
        <v/>
      </c>
      <c r="V2121" s="47" t="n">
        <f aca="false">V2120+IF(OR(O2121&lt;&gt;"",W2121&lt;&gt;""),1,0)</f>
        <v>3</v>
      </c>
      <c r="W2121" s="29"/>
    </row>
    <row r="2122" customFormat="false" ht="15" hidden="false" customHeight="false" outlineLevel="0" collapsed="false">
      <c r="A2122" s="32" t="str">
        <f aca="false">IF(B2122="","",ROW()-7)</f>
        <v/>
      </c>
      <c r="B2122" s="30"/>
      <c r="C2122" s="29"/>
      <c r="D2122" s="29"/>
      <c r="E2122" s="29"/>
      <c r="F2122" s="30"/>
      <c r="G2122" s="29"/>
      <c r="H2122" s="30"/>
      <c r="I2122" s="29"/>
      <c r="J2122" s="30"/>
      <c r="K2122" s="30"/>
      <c r="L2122" s="29"/>
      <c r="M2122" s="32" t="str">
        <f aca="false">IF(OR(C2122="",L2122=""),"",IF(C2122=L2122,"同一","変更"))</f>
        <v/>
      </c>
      <c r="N2122" s="29"/>
      <c r="O2122" s="30"/>
      <c r="P2122" s="29"/>
      <c r="Q2122" s="31"/>
      <c r="R2122" s="29"/>
      <c r="S2122" s="29"/>
      <c r="T2122" s="30"/>
      <c r="U2122" s="47" t="str">
        <f aca="false">IF(AND(B2122&lt;&gt;"",B2122=SW別シート!$C$3),COUNTIF(B$5:B2122,B2122),"")</f>
        <v/>
      </c>
      <c r="V2122" s="47" t="n">
        <f aca="false">V2121+IF(OR(O2122&lt;&gt;"",W2122&lt;&gt;""),1,0)</f>
        <v>3</v>
      </c>
      <c r="W2122" s="29"/>
    </row>
    <row r="2123" customFormat="false" ht="15" hidden="false" customHeight="false" outlineLevel="0" collapsed="false">
      <c r="A2123" s="32" t="str">
        <f aca="false">IF(B2123="","",ROW()-7)</f>
        <v/>
      </c>
      <c r="B2123" s="30"/>
      <c r="C2123" s="29"/>
      <c r="D2123" s="29"/>
      <c r="E2123" s="29"/>
      <c r="F2123" s="30"/>
      <c r="G2123" s="29"/>
      <c r="H2123" s="30"/>
      <c r="I2123" s="29"/>
      <c r="J2123" s="30"/>
      <c r="K2123" s="30"/>
      <c r="L2123" s="29"/>
      <c r="M2123" s="32" t="str">
        <f aca="false">IF(OR(C2123="",L2123=""),"",IF(C2123=L2123,"同一","変更"))</f>
        <v/>
      </c>
      <c r="N2123" s="29"/>
      <c r="O2123" s="30"/>
      <c r="P2123" s="29"/>
      <c r="Q2123" s="31"/>
      <c r="R2123" s="29"/>
      <c r="S2123" s="29"/>
      <c r="T2123" s="30"/>
      <c r="U2123" s="47" t="str">
        <f aca="false">IF(AND(B2123&lt;&gt;"",B2123=SW別シート!$C$3),COUNTIF(B$5:B2123,B2123),"")</f>
        <v/>
      </c>
      <c r="V2123" s="47" t="n">
        <f aca="false">V2122+IF(OR(O2123&lt;&gt;"",W2123&lt;&gt;""),1,0)</f>
        <v>3</v>
      </c>
      <c r="W2123" s="29"/>
    </row>
    <row r="2124" customFormat="false" ht="15" hidden="false" customHeight="false" outlineLevel="0" collapsed="false">
      <c r="A2124" s="32" t="str">
        <f aca="false">IF(B2124="","",ROW()-7)</f>
        <v/>
      </c>
      <c r="B2124" s="30"/>
      <c r="C2124" s="29"/>
      <c r="D2124" s="29"/>
      <c r="E2124" s="29"/>
      <c r="F2124" s="30"/>
      <c r="G2124" s="29"/>
      <c r="H2124" s="30"/>
      <c r="I2124" s="29"/>
      <c r="J2124" s="30"/>
      <c r="K2124" s="30"/>
      <c r="L2124" s="29"/>
      <c r="M2124" s="32" t="str">
        <f aca="false">IF(OR(C2124="",L2124=""),"",IF(C2124=L2124,"同一","変更"))</f>
        <v/>
      </c>
      <c r="N2124" s="29"/>
      <c r="O2124" s="30"/>
      <c r="P2124" s="29"/>
      <c r="Q2124" s="31"/>
      <c r="R2124" s="29"/>
      <c r="S2124" s="29"/>
      <c r="T2124" s="30"/>
      <c r="U2124" s="47" t="str">
        <f aca="false">IF(AND(B2124&lt;&gt;"",B2124=SW別シート!$C$3),COUNTIF(B$5:B2124,B2124),"")</f>
        <v/>
      </c>
      <c r="V2124" s="47" t="n">
        <f aca="false">V2123+IF(OR(O2124&lt;&gt;"",W2124&lt;&gt;""),1,0)</f>
        <v>3</v>
      </c>
      <c r="W2124" s="29"/>
    </row>
    <row r="2125" customFormat="false" ht="15" hidden="false" customHeight="false" outlineLevel="0" collapsed="false">
      <c r="A2125" s="32" t="str">
        <f aca="false">IF(B2125="","",ROW()-7)</f>
        <v/>
      </c>
      <c r="B2125" s="30"/>
      <c r="C2125" s="29"/>
      <c r="D2125" s="29"/>
      <c r="E2125" s="29"/>
      <c r="F2125" s="30"/>
      <c r="G2125" s="29"/>
      <c r="H2125" s="30"/>
      <c r="I2125" s="29"/>
      <c r="J2125" s="30"/>
      <c r="K2125" s="30"/>
      <c r="L2125" s="29"/>
      <c r="M2125" s="32" t="str">
        <f aca="false">IF(OR(C2125="",L2125=""),"",IF(C2125=L2125,"同一","変更"))</f>
        <v/>
      </c>
      <c r="N2125" s="29"/>
      <c r="O2125" s="30"/>
      <c r="P2125" s="29"/>
      <c r="Q2125" s="31"/>
      <c r="R2125" s="29"/>
      <c r="S2125" s="29"/>
      <c r="T2125" s="30"/>
      <c r="U2125" s="47" t="str">
        <f aca="false">IF(AND(B2125&lt;&gt;"",B2125=SW別シート!$C$3),COUNTIF(B$5:B2125,B2125),"")</f>
        <v/>
      </c>
      <c r="V2125" s="47" t="n">
        <f aca="false">V2124+IF(OR(O2125&lt;&gt;"",W2125&lt;&gt;""),1,0)</f>
        <v>3</v>
      </c>
      <c r="W2125" s="29"/>
    </row>
    <row r="2126" customFormat="false" ht="15" hidden="false" customHeight="false" outlineLevel="0" collapsed="false">
      <c r="A2126" s="32" t="str">
        <f aca="false">IF(B2126="","",ROW()-7)</f>
        <v/>
      </c>
      <c r="B2126" s="30"/>
      <c r="C2126" s="29"/>
      <c r="D2126" s="29"/>
      <c r="E2126" s="29"/>
      <c r="F2126" s="30"/>
      <c r="G2126" s="29"/>
      <c r="H2126" s="30"/>
      <c r="I2126" s="29"/>
      <c r="J2126" s="30"/>
      <c r="K2126" s="30"/>
      <c r="L2126" s="29"/>
      <c r="M2126" s="32" t="str">
        <f aca="false">IF(OR(C2126="",L2126=""),"",IF(C2126=L2126,"同一","変更"))</f>
        <v/>
      </c>
      <c r="N2126" s="29"/>
      <c r="O2126" s="30"/>
      <c r="P2126" s="29"/>
      <c r="Q2126" s="31"/>
      <c r="R2126" s="29"/>
      <c r="S2126" s="29"/>
      <c r="T2126" s="30"/>
      <c r="U2126" s="47" t="str">
        <f aca="false">IF(AND(B2126&lt;&gt;"",B2126=SW別シート!$C$3),COUNTIF(B$5:B2126,B2126),"")</f>
        <v/>
      </c>
      <c r="V2126" s="47" t="n">
        <f aca="false">V2125+IF(OR(O2126&lt;&gt;"",W2126&lt;&gt;""),1,0)</f>
        <v>3</v>
      </c>
      <c r="W2126" s="29"/>
    </row>
    <row r="2127" customFormat="false" ht="15" hidden="false" customHeight="false" outlineLevel="0" collapsed="false">
      <c r="A2127" s="32" t="str">
        <f aca="false">IF(B2127="","",ROW()-7)</f>
        <v/>
      </c>
      <c r="B2127" s="30"/>
      <c r="C2127" s="29"/>
      <c r="D2127" s="29"/>
      <c r="E2127" s="29"/>
      <c r="F2127" s="30"/>
      <c r="G2127" s="29"/>
      <c r="H2127" s="30"/>
      <c r="I2127" s="29"/>
      <c r="J2127" s="30"/>
      <c r="K2127" s="30"/>
      <c r="L2127" s="29"/>
      <c r="M2127" s="32" t="str">
        <f aca="false">IF(OR(C2127="",L2127=""),"",IF(C2127=L2127,"同一","変更"))</f>
        <v/>
      </c>
      <c r="N2127" s="29"/>
      <c r="O2127" s="30"/>
      <c r="P2127" s="29"/>
      <c r="Q2127" s="31"/>
      <c r="R2127" s="29"/>
      <c r="S2127" s="29"/>
      <c r="T2127" s="30"/>
      <c r="U2127" s="47" t="str">
        <f aca="false">IF(AND(B2127&lt;&gt;"",B2127=SW別シート!$C$3),COUNTIF(B$5:B2127,B2127),"")</f>
        <v/>
      </c>
      <c r="V2127" s="47" t="n">
        <f aca="false">V2126+IF(OR(O2127&lt;&gt;"",W2127&lt;&gt;""),1,0)</f>
        <v>3</v>
      </c>
      <c r="W2127" s="29"/>
    </row>
    <row r="2128" customFormat="false" ht="15" hidden="false" customHeight="false" outlineLevel="0" collapsed="false">
      <c r="A2128" s="32" t="str">
        <f aca="false">IF(B2128="","",ROW()-7)</f>
        <v/>
      </c>
      <c r="B2128" s="30"/>
      <c r="C2128" s="29"/>
      <c r="D2128" s="29"/>
      <c r="E2128" s="29"/>
      <c r="F2128" s="30"/>
      <c r="G2128" s="29"/>
      <c r="H2128" s="30"/>
      <c r="I2128" s="29"/>
      <c r="J2128" s="30"/>
      <c r="K2128" s="30"/>
      <c r="L2128" s="29"/>
      <c r="M2128" s="32" t="str">
        <f aca="false">IF(OR(C2128="",L2128=""),"",IF(C2128=L2128,"同一","変更"))</f>
        <v/>
      </c>
      <c r="N2128" s="29"/>
      <c r="O2128" s="30"/>
      <c r="P2128" s="29"/>
      <c r="Q2128" s="31"/>
      <c r="R2128" s="29"/>
      <c r="S2128" s="29"/>
      <c r="T2128" s="30"/>
      <c r="U2128" s="47" t="str">
        <f aca="false">IF(AND(B2128&lt;&gt;"",B2128=SW別シート!$C$3),COUNTIF(B$5:B2128,B2128),"")</f>
        <v/>
      </c>
      <c r="V2128" s="47" t="n">
        <f aca="false">V2127+IF(OR(O2128&lt;&gt;"",W2128&lt;&gt;""),1,0)</f>
        <v>3</v>
      </c>
      <c r="W2128" s="29"/>
    </row>
    <row r="2129" customFormat="false" ht="15" hidden="false" customHeight="false" outlineLevel="0" collapsed="false">
      <c r="A2129" s="32" t="str">
        <f aca="false">IF(B2129="","",ROW()-7)</f>
        <v/>
      </c>
      <c r="B2129" s="30"/>
      <c r="C2129" s="29"/>
      <c r="D2129" s="29"/>
      <c r="E2129" s="29"/>
      <c r="F2129" s="30"/>
      <c r="G2129" s="29"/>
      <c r="H2129" s="30"/>
      <c r="I2129" s="29"/>
      <c r="J2129" s="30"/>
      <c r="K2129" s="30"/>
      <c r="L2129" s="29"/>
      <c r="M2129" s="32" t="str">
        <f aca="false">IF(OR(C2129="",L2129=""),"",IF(C2129=L2129,"同一","変更"))</f>
        <v/>
      </c>
      <c r="N2129" s="29"/>
      <c r="O2129" s="30"/>
      <c r="P2129" s="29"/>
      <c r="Q2129" s="31"/>
      <c r="R2129" s="29"/>
      <c r="S2129" s="29"/>
      <c r="T2129" s="30"/>
      <c r="U2129" s="47" t="str">
        <f aca="false">IF(AND(B2129&lt;&gt;"",B2129=SW別シート!$C$3),COUNTIF(B$5:B2129,B2129),"")</f>
        <v/>
      </c>
      <c r="V2129" s="47" t="n">
        <f aca="false">V2128+IF(OR(O2129&lt;&gt;"",W2129&lt;&gt;""),1,0)</f>
        <v>3</v>
      </c>
      <c r="W2129" s="29"/>
    </row>
    <row r="2130" customFormat="false" ht="15" hidden="false" customHeight="false" outlineLevel="0" collapsed="false">
      <c r="A2130" s="32" t="str">
        <f aca="false">IF(B2130="","",ROW()-7)</f>
        <v/>
      </c>
      <c r="B2130" s="30"/>
      <c r="C2130" s="29"/>
      <c r="D2130" s="29"/>
      <c r="E2130" s="29"/>
      <c r="F2130" s="30"/>
      <c r="G2130" s="29"/>
      <c r="H2130" s="30"/>
      <c r="I2130" s="29"/>
      <c r="J2130" s="30"/>
      <c r="K2130" s="30"/>
      <c r="L2130" s="29"/>
      <c r="M2130" s="32" t="str">
        <f aca="false">IF(OR(C2130="",L2130=""),"",IF(C2130=L2130,"同一","変更"))</f>
        <v/>
      </c>
      <c r="N2130" s="29"/>
      <c r="O2130" s="30"/>
      <c r="P2130" s="29"/>
      <c r="Q2130" s="31"/>
      <c r="R2130" s="29"/>
      <c r="S2130" s="29"/>
      <c r="T2130" s="30"/>
      <c r="U2130" s="47" t="str">
        <f aca="false">IF(AND(B2130&lt;&gt;"",B2130=SW別シート!$C$3),COUNTIF(B$5:B2130,B2130),"")</f>
        <v/>
      </c>
      <c r="V2130" s="47" t="n">
        <f aca="false">V2129+IF(OR(O2130&lt;&gt;"",W2130&lt;&gt;""),1,0)</f>
        <v>3</v>
      </c>
      <c r="W2130" s="29"/>
    </row>
    <row r="2131" customFormat="false" ht="15" hidden="false" customHeight="false" outlineLevel="0" collapsed="false">
      <c r="A2131" s="32" t="str">
        <f aca="false">IF(B2131="","",ROW()-7)</f>
        <v/>
      </c>
      <c r="B2131" s="30"/>
      <c r="C2131" s="29"/>
      <c r="D2131" s="29"/>
      <c r="E2131" s="29"/>
      <c r="F2131" s="30"/>
      <c r="G2131" s="29"/>
      <c r="H2131" s="30"/>
      <c r="I2131" s="29"/>
      <c r="J2131" s="30"/>
      <c r="K2131" s="30"/>
      <c r="L2131" s="29"/>
      <c r="M2131" s="32" t="str">
        <f aca="false">IF(OR(C2131="",L2131=""),"",IF(C2131=L2131,"同一","変更"))</f>
        <v/>
      </c>
      <c r="N2131" s="29"/>
      <c r="O2131" s="30"/>
      <c r="P2131" s="29"/>
      <c r="Q2131" s="31"/>
      <c r="R2131" s="29"/>
      <c r="S2131" s="29"/>
      <c r="T2131" s="30"/>
      <c r="U2131" s="47" t="str">
        <f aca="false">IF(AND(B2131&lt;&gt;"",B2131=SW別シート!$C$3),COUNTIF(B$5:B2131,B2131),"")</f>
        <v/>
      </c>
      <c r="V2131" s="47" t="n">
        <f aca="false">V2130+IF(OR(O2131&lt;&gt;"",W2131&lt;&gt;""),1,0)</f>
        <v>3</v>
      </c>
      <c r="W2131" s="29"/>
    </row>
    <row r="2132" customFormat="false" ht="15" hidden="false" customHeight="false" outlineLevel="0" collapsed="false">
      <c r="A2132" s="32" t="str">
        <f aca="false">IF(B2132="","",ROW()-7)</f>
        <v/>
      </c>
      <c r="B2132" s="30"/>
      <c r="C2132" s="29"/>
      <c r="D2132" s="29"/>
      <c r="E2132" s="29"/>
      <c r="F2132" s="30"/>
      <c r="G2132" s="29"/>
      <c r="H2132" s="30"/>
      <c r="I2132" s="29"/>
      <c r="J2132" s="30"/>
      <c r="K2132" s="30"/>
      <c r="L2132" s="29"/>
      <c r="M2132" s="32" t="str">
        <f aca="false">IF(OR(C2132="",L2132=""),"",IF(C2132=L2132,"同一","変更"))</f>
        <v/>
      </c>
      <c r="N2132" s="29"/>
      <c r="O2132" s="30"/>
      <c r="P2132" s="29"/>
      <c r="Q2132" s="31"/>
      <c r="R2132" s="29"/>
      <c r="S2132" s="29"/>
      <c r="T2132" s="30"/>
      <c r="U2132" s="47" t="str">
        <f aca="false">IF(AND(B2132&lt;&gt;"",B2132=SW別シート!$C$3),COUNTIF(B$5:B2132,B2132),"")</f>
        <v/>
      </c>
      <c r="V2132" s="47" t="n">
        <f aca="false">V2131+IF(OR(O2132&lt;&gt;"",W2132&lt;&gt;""),1,0)</f>
        <v>3</v>
      </c>
      <c r="W2132" s="29"/>
    </row>
    <row r="2133" customFormat="false" ht="15" hidden="false" customHeight="false" outlineLevel="0" collapsed="false">
      <c r="A2133" s="32" t="str">
        <f aca="false">IF(B2133="","",ROW()-7)</f>
        <v/>
      </c>
      <c r="B2133" s="30"/>
      <c r="C2133" s="29"/>
      <c r="D2133" s="29"/>
      <c r="E2133" s="29"/>
      <c r="F2133" s="30"/>
      <c r="G2133" s="29"/>
      <c r="H2133" s="30"/>
      <c r="I2133" s="29"/>
      <c r="J2133" s="30"/>
      <c r="K2133" s="30"/>
      <c r="L2133" s="29"/>
      <c r="M2133" s="32" t="str">
        <f aca="false">IF(OR(C2133="",L2133=""),"",IF(C2133=L2133,"同一","変更"))</f>
        <v/>
      </c>
      <c r="N2133" s="29"/>
      <c r="O2133" s="30"/>
      <c r="P2133" s="29"/>
      <c r="Q2133" s="31"/>
      <c r="R2133" s="29"/>
      <c r="S2133" s="29"/>
      <c r="T2133" s="30"/>
      <c r="U2133" s="47" t="str">
        <f aca="false">IF(AND(B2133&lt;&gt;"",B2133=SW別シート!$C$3),COUNTIF(B$5:B2133,B2133),"")</f>
        <v/>
      </c>
      <c r="V2133" s="47" t="n">
        <f aca="false">V2132+IF(OR(O2133&lt;&gt;"",W2133&lt;&gt;""),1,0)</f>
        <v>3</v>
      </c>
      <c r="W2133" s="29"/>
    </row>
    <row r="2134" customFormat="false" ht="15" hidden="false" customHeight="false" outlineLevel="0" collapsed="false">
      <c r="A2134" s="32" t="str">
        <f aca="false">IF(B2134="","",ROW()-7)</f>
        <v/>
      </c>
      <c r="B2134" s="30"/>
      <c r="C2134" s="29"/>
      <c r="D2134" s="29"/>
      <c r="E2134" s="29"/>
      <c r="F2134" s="30"/>
      <c r="G2134" s="29"/>
      <c r="H2134" s="30"/>
      <c r="I2134" s="29"/>
      <c r="J2134" s="30"/>
      <c r="K2134" s="30"/>
      <c r="L2134" s="29"/>
      <c r="M2134" s="32" t="str">
        <f aca="false">IF(OR(C2134="",L2134=""),"",IF(C2134=L2134,"同一","変更"))</f>
        <v/>
      </c>
      <c r="N2134" s="29"/>
      <c r="O2134" s="30"/>
      <c r="P2134" s="29"/>
      <c r="Q2134" s="31"/>
      <c r="R2134" s="29"/>
      <c r="S2134" s="29"/>
      <c r="T2134" s="30"/>
      <c r="U2134" s="47" t="str">
        <f aca="false">IF(AND(B2134&lt;&gt;"",B2134=SW別シート!$C$3),COUNTIF(B$5:B2134,B2134),"")</f>
        <v/>
      </c>
      <c r="V2134" s="47" t="n">
        <f aca="false">V2133+IF(OR(O2134&lt;&gt;"",W2134&lt;&gt;""),1,0)</f>
        <v>3</v>
      </c>
      <c r="W2134" s="29"/>
    </row>
    <row r="2135" customFormat="false" ht="15" hidden="false" customHeight="false" outlineLevel="0" collapsed="false">
      <c r="A2135" s="32" t="str">
        <f aca="false">IF(B2135="","",ROW()-7)</f>
        <v/>
      </c>
      <c r="B2135" s="30"/>
      <c r="C2135" s="29"/>
      <c r="D2135" s="29"/>
      <c r="E2135" s="29"/>
      <c r="F2135" s="30"/>
      <c r="G2135" s="29"/>
      <c r="H2135" s="30"/>
      <c r="I2135" s="29"/>
      <c r="J2135" s="30"/>
      <c r="K2135" s="30"/>
      <c r="L2135" s="29"/>
      <c r="M2135" s="32" t="str">
        <f aca="false">IF(OR(C2135="",L2135=""),"",IF(C2135=L2135,"同一","変更"))</f>
        <v/>
      </c>
      <c r="N2135" s="29"/>
      <c r="O2135" s="30"/>
      <c r="P2135" s="29"/>
      <c r="Q2135" s="31"/>
      <c r="R2135" s="29"/>
      <c r="S2135" s="29"/>
      <c r="T2135" s="30"/>
      <c r="U2135" s="47" t="str">
        <f aca="false">IF(AND(B2135&lt;&gt;"",B2135=SW別シート!$C$3),COUNTIF(B$5:B2135,B2135),"")</f>
        <v/>
      </c>
      <c r="V2135" s="47" t="n">
        <f aca="false">V2134+IF(OR(O2135&lt;&gt;"",W2135&lt;&gt;""),1,0)</f>
        <v>3</v>
      </c>
      <c r="W2135" s="29"/>
    </row>
    <row r="2136" customFormat="false" ht="15" hidden="false" customHeight="false" outlineLevel="0" collapsed="false">
      <c r="A2136" s="32" t="str">
        <f aca="false">IF(B2136="","",ROW()-7)</f>
        <v/>
      </c>
      <c r="B2136" s="30"/>
      <c r="C2136" s="29"/>
      <c r="D2136" s="29"/>
      <c r="E2136" s="29"/>
      <c r="F2136" s="30"/>
      <c r="G2136" s="29"/>
      <c r="H2136" s="30"/>
      <c r="I2136" s="29"/>
      <c r="J2136" s="30"/>
      <c r="K2136" s="30"/>
      <c r="L2136" s="29"/>
      <c r="M2136" s="32" t="str">
        <f aca="false">IF(OR(C2136="",L2136=""),"",IF(C2136=L2136,"同一","変更"))</f>
        <v/>
      </c>
      <c r="N2136" s="29"/>
      <c r="O2136" s="30"/>
      <c r="P2136" s="29"/>
      <c r="Q2136" s="31"/>
      <c r="R2136" s="29"/>
      <c r="S2136" s="29"/>
      <c r="T2136" s="30"/>
      <c r="U2136" s="47" t="str">
        <f aca="false">IF(AND(B2136&lt;&gt;"",B2136=SW別シート!$C$3),COUNTIF(B$5:B2136,B2136),"")</f>
        <v/>
      </c>
      <c r="V2136" s="47" t="n">
        <f aca="false">V2135+IF(OR(O2136&lt;&gt;"",W2136&lt;&gt;""),1,0)</f>
        <v>3</v>
      </c>
      <c r="W2136" s="29"/>
    </row>
    <row r="2137" customFormat="false" ht="15" hidden="false" customHeight="false" outlineLevel="0" collapsed="false">
      <c r="A2137" s="32" t="str">
        <f aca="false">IF(B2137="","",ROW()-7)</f>
        <v/>
      </c>
      <c r="B2137" s="30"/>
      <c r="C2137" s="29"/>
      <c r="D2137" s="29"/>
      <c r="E2137" s="29"/>
      <c r="F2137" s="30"/>
      <c r="G2137" s="29"/>
      <c r="H2137" s="30"/>
      <c r="I2137" s="29"/>
      <c r="J2137" s="30"/>
      <c r="K2137" s="30"/>
      <c r="L2137" s="29"/>
      <c r="M2137" s="32" t="str">
        <f aca="false">IF(OR(C2137="",L2137=""),"",IF(C2137=L2137,"同一","変更"))</f>
        <v/>
      </c>
      <c r="N2137" s="29"/>
      <c r="O2137" s="30"/>
      <c r="P2137" s="29"/>
      <c r="Q2137" s="31"/>
      <c r="R2137" s="29"/>
      <c r="S2137" s="29"/>
      <c r="T2137" s="30"/>
      <c r="U2137" s="47" t="str">
        <f aca="false">IF(AND(B2137&lt;&gt;"",B2137=SW別シート!$C$3),COUNTIF(B$5:B2137,B2137),"")</f>
        <v/>
      </c>
      <c r="V2137" s="47" t="n">
        <f aca="false">V2136+IF(OR(O2137&lt;&gt;"",W2137&lt;&gt;""),1,0)</f>
        <v>3</v>
      </c>
      <c r="W2137" s="29"/>
    </row>
    <row r="2138" customFormat="false" ht="15" hidden="false" customHeight="false" outlineLevel="0" collapsed="false">
      <c r="A2138" s="32" t="str">
        <f aca="false">IF(B2138="","",ROW()-7)</f>
        <v/>
      </c>
      <c r="B2138" s="30"/>
      <c r="C2138" s="29"/>
      <c r="D2138" s="29"/>
      <c r="E2138" s="29"/>
      <c r="F2138" s="30"/>
      <c r="G2138" s="29"/>
      <c r="H2138" s="30"/>
      <c r="I2138" s="29"/>
      <c r="J2138" s="30"/>
      <c r="K2138" s="30"/>
      <c r="L2138" s="29"/>
      <c r="M2138" s="32" t="str">
        <f aca="false">IF(OR(C2138="",L2138=""),"",IF(C2138=L2138,"同一","変更"))</f>
        <v/>
      </c>
      <c r="N2138" s="29"/>
      <c r="O2138" s="30"/>
      <c r="P2138" s="29"/>
      <c r="Q2138" s="31"/>
      <c r="R2138" s="29"/>
      <c r="S2138" s="29"/>
      <c r="T2138" s="30"/>
      <c r="U2138" s="47" t="str">
        <f aca="false">IF(AND(B2138&lt;&gt;"",B2138=SW別シート!$C$3),COUNTIF(B$5:B2138,B2138),"")</f>
        <v/>
      </c>
      <c r="V2138" s="47" t="n">
        <f aca="false">V2137+IF(OR(O2138&lt;&gt;"",W2138&lt;&gt;""),1,0)</f>
        <v>3</v>
      </c>
      <c r="W2138" s="29"/>
    </row>
    <row r="2139" customFormat="false" ht="15" hidden="false" customHeight="false" outlineLevel="0" collapsed="false">
      <c r="A2139" s="32" t="str">
        <f aca="false">IF(B2139="","",ROW()-7)</f>
        <v/>
      </c>
      <c r="B2139" s="30"/>
      <c r="C2139" s="29"/>
      <c r="D2139" s="29"/>
      <c r="E2139" s="29"/>
      <c r="F2139" s="30"/>
      <c r="G2139" s="29"/>
      <c r="H2139" s="30"/>
      <c r="I2139" s="29"/>
      <c r="J2139" s="30"/>
      <c r="K2139" s="30"/>
      <c r="L2139" s="29"/>
      <c r="M2139" s="32" t="str">
        <f aca="false">IF(OR(C2139="",L2139=""),"",IF(C2139=L2139,"同一","変更"))</f>
        <v/>
      </c>
      <c r="N2139" s="29"/>
      <c r="O2139" s="30"/>
      <c r="P2139" s="29"/>
      <c r="Q2139" s="31"/>
      <c r="R2139" s="29"/>
      <c r="S2139" s="29"/>
      <c r="T2139" s="30"/>
      <c r="U2139" s="47" t="str">
        <f aca="false">IF(AND(B2139&lt;&gt;"",B2139=SW別シート!$C$3),COUNTIF(B$5:B2139,B2139),"")</f>
        <v/>
      </c>
      <c r="V2139" s="47" t="n">
        <f aca="false">V2138+IF(OR(O2139&lt;&gt;"",W2139&lt;&gt;""),1,0)</f>
        <v>3</v>
      </c>
      <c r="W2139" s="29"/>
    </row>
    <row r="2140" customFormat="false" ht="15" hidden="false" customHeight="false" outlineLevel="0" collapsed="false">
      <c r="A2140" s="32" t="str">
        <f aca="false">IF(B2140="","",ROW()-7)</f>
        <v/>
      </c>
      <c r="B2140" s="30"/>
      <c r="C2140" s="29"/>
      <c r="D2140" s="29"/>
      <c r="E2140" s="29"/>
      <c r="F2140" s="30"/>
      <c r="G2140" s="29"/>
      <c r="H2140" s="30"/>
      <c r="I2140" s="29"/>
      <c r="J2140" s="30"/>
      <c r="K2140" s="30"/>
      <c r="L2140" s="29"/>
      <c r="M2140" s="32" t="str">
        <f aca="false">IF(OR(C2140="",L2140=""),"",IF(C2140=L2140,"同一","変更"))</f>
        <v/>
      </c>
      <c r="N2140" s="29"/>
      <c r="O2140" s="30"/>
      <c r="P2140" s="29"/>
      <c r="Q2140" s="31"/>
      <c r="R2140" s="29"/>
      <c r="S2140" s="29"/>
      <c r="T2140" s="30"/>
      <c r="U2140" s="47" t="str">
        <f aca="false">IF(AND(B2140&lt;&gt;"",B2140=SW別シート!$C$3),COUNTIF(B$5:B2140,B2140),"")</f>
        <v/>
      </c>
      <c r="V2140" s="47" t="n">
        <f aca="false">V2139+IF(OR(O2140&lt;&gt;"",W2140&lt;&gt;""),1,0)</f>
        <v>3</v>
      </c>
      <c r="W2140" s="29"/>
    </row>
    <row r="2141" customFormat="false" ht="15" hidden="false" customHeight="false" outlineLevel="0" collapsed="false">
      <c r="A2141" s="32" t="str">
        <f aca="false">IF(B2141="","",ROW()-7)</f>
        <v/>
      </c>
      <c r="B2141" s="30"/>
      <c r="C2141" s="29"/>
      <c r="D2141" s="29"/>
      <c r="E2141" s="29"/>
      <c r="F2141" s="30"/>
      <c r="G2141" s="29"/>
      <c r="H2141" s="30"/>
      <c r="I2141" s="29"/>
      <c r="J2141" s="30"/>
      <c r="K2141" s="30"/>
      <c r="L2141" s="29"/>
      <c r="M2141" s="32" t="str">
        <f aca="false">IF(OR(C2141="",L2141=""),"",IF(C2141=L2141,"同一","変更"))</f>
        <v/>
      </c>
      <c r="N2141" s="29"/>
      <c r="O2141" s="30"/>
      <c r="P2141" s="29"/>
      <c r="Q2141" s="31"/>
      <c r="R2141" s="29"/>
      <c r="S2141" s="29"/>
      <c r="T2141" s="30"/>
      <c r="U2141" s="47" t="str">
        <f aca="false">IF(AND(B2141&lt;&gt;"",B2141=SW別シート!$C$3),COUNTIF(B$5:B2141,B2141),"")</f>
        <v/>
      </c>
      <c r="V2141" s="47" t="n">
        <f aca="false">V2140+IF(OR(O2141&lt;&gt;"",W2141&lt;&gt;""),1,0)</f>
        <v>3</v>
      </c>
      <c r="W2141" s="29"/>
    </row>
    <row r="2142" customFormat="false" ht="15" hidden="false" customHeight="false" outlineLevel="0" collapsed="false">
      <c r="A2142" s="32" t="str">
        <f aca="false">IF(B2142="","",ROW()-7)</f>
        <v/>
      </c>
      <c r="B2142" s="30"/>
      <c r="C2142" s="29"/>
      <c r="D2142" s="29"/>
      <c r="E2142" s="29"/>
      <c r="F2142" s="30"/>
      <c r="G2142" s="29"/>
      <c r="H2142" s="30"/>
      <c r="I2142" s="29"/>
      <c r="J2142" s="30"/>
      <c r="K2142" s="30"/>
      <c r="L2142" s="29"/>
      <c r="M2142" s="32" t="str">
        <f aca="false">IF(OR(C2142="",L2142=""),"",IF(C2142=L2142,"同一","変更"))</f>
        <v/>
      </c>
      <c r="N2142" s="29"/>
      <c r="O2142" s="30"/>
      <c r="P2142" s="29"/>
      <c r="Q2142" s="31"/>
      <c r="R2142" s="29"/>
      <c r="S2142" s="29"/>
      <c r="T2142" s="30"/>
      <c r="U2142" s="47" t="str">
        <f aca="false">IF(AND(B2142&lt;&gt;"",B2142=SW別シート!$C$3),COUNTIF(B$5:B2142,B2142),"")</f>
        <v/>
      </c>
      <c r="V2142" s="47" t="n">
        <f aca="false">V2141+IF(OR(O2142&lt;&gt;"",W2142&lt;&gt;""),1,0)</f>
        <v>3</v>
      </c>
      <c r="W2142" s="29"/>
    </row>
    <row r="2143" customFormat="false" ht="15" hidden="false" customHeight="false" outlineLevel="0" collapsed="false">
      <c r="A2143" s="32" t="str">
        <f aca="false">IF(B2143="","",ROW()-7)</f>
        <v/>
      </c>
      <c r="B2143" s="30"/>
      <c r="C2143" s="29"/>
      <c r="D2143" s="29"/>
      <c r="E2143" s="29"/>
      <c r="F2143" s="30"/>
      <c r="G2143" s="29"/>
      <c r="H2143" s="30"/>
      <c r="I2143" s="29"/>
      <c r="J2143" s="30"/>
      <c r="K2143" s="30"/>
      <c r="L2143" s="29"/>
      <c r="M2143" s="32" t="str">
        <f aca="false">IF(OR(C2143="",L2143=""),"",IF(C2143=L2143,"同一","変更"))</f>
        <v/>
      </c>
      <c r="N2143" s="29"/>
      <c r="O2143" s="30"/>
      <c r="P2143" s="29"/>
      <c r="Q2143" s="31"/>
      <c r="R2143" s="29"/>
      <c r="S2143" s="29"/>
      <c r="T2143" s="30"/>
      <c r="U2143" s="47" t="str">
        <f aca="false">IF(AND(B2143&lt;&gt;"",B2143=SW別シート!$C$3),COUNTIF(B$5:B2143,B2143),"")</f>
        <v/>
      </c>
      <c r="V2143" s="47" t="n">
        <f aca="false">V2142+IF(OR(O2143&lt;&gt;"",W2143&lt;&gt;""),1,0)</f>
        <v>3</v>
      </c>
      <c r="W2143" s="29"/>
    </row>
    <row r="2144" customFormat="false" ht="15" hidden="false" customHeight="false" outlineLevel="0" collapsed="false">
      <c r="A2144" s="32" t="str">
        <f aca="false">IF(B2144="","",ROW()-7)</f>
        <v/>
      </c>
      <c r="B2144" s="30"/>
      <c r="C2144" s="29"/>
      <c r="D2144" s="29"/>
      <c r="E2144" s="29"/>
      <c r="F2144" s="30"/>
      <c r="G2144" s="29"/>
      <c r="H2144" s="30"/>
      <c r="I2144" s="29"/>
      <c r="J2144" s="30"/>
      <c r="K2144" s="30"/>
      <c r="L2144" s="29"/>
      <c r="M2144" s="32" t="str">
        <f aca="false">IF(OR(C2144="",L2144=""),"",IF(C2144=L2144,"同一","変更"))</f>
        <v/>
      </c>
      <c r="N2144" s="29"/>
      <c r="O2144" s="30"/>
      <c r="P2144" s="29"/>
      <c r="Q2144" s="31"/>
      <c r="R2144" s="29"/>
      <c r="S2144" s="29"/>
      <c r="T2144" s="30"/>
      <c r="U2144" s="47" t="str">
        <f aca="false">IF(AND(B2144&lt;&gt;"",B2144=SW別シート!$C$3),COUNTIF(B$5:B2144,B2144),"")</f>
        <v/>
      </c>
      <c r="V2144" s="47" t="n">
        <f aca="false">V2143+IF(OR(O2144&lt;&gt;"",W2144&lt;&gt;""),1,0)</f>
        <v>3</v>
      </c>
      <c r="W2144" s="29"/>
    </row>
    <row r="2145" customFormat="false" ht="15" hidden="false" customHeight="false" outlineLevel="0" collapsed="false">
      <c r="A2145" s="32" t="str">
        <f aca="false">IF(B2145="","",ROW()-7)</f>
        <v/>
      </c>
      <c r="B2145" s="30"/>
      <c r="C2145" s="29"/>
      <c r="D2145" s="29"/>
      <c r="E2145" s="29"/>
      <c r="F2145" s="30"/>
      <c r="G2145" s="29"/>
      <c r="H2145" s="30"/>
      <c r="I2145" s="29"/>
      <c r="J2145" s="30"/>
      <c r="K2145" s="30"/>
      <c r="L2145" s="29"/>
      <c r="M2145" s="32" t="str">
        <f aca="false">IF(OR(C2145="",L2145=""),"",IF(C2145=L2145,"同一","変更"))</f>
        <v/>
      </c>
      <c r="N2145" s="29"/>
      <c r="O2145" s="30"/>
      <c r="P2145" s="29"/>
      <c r="Q2145" s="31"/>
      <c r="R2145" s="29"/>
      <c r="S2145" s="29"/>
      <c r="T2145" s="30"/>
      <c r="U2145" s="47" t="str">
        <f aca="false">IF(AND(B2145&lt;&gt;"",B2145=SW別シート!$C$3),COUNTIF(B$5:B2145,B2145),"")</f>
        <v/>
      </c>
      <c r="V2145" s="47" t="n">
        <f aca="false">V2144+IF(OR(O2145&lt;&gt;"",W2145&lt;&gt;""),1,0)</f>
        <v>3</v>
      </c>
      <c r="W2145" s="29"/>
    </row>
    <row r="2146" customFormat="false" ht="15" hidden="false" customHeight="false" outlineLevel="0" collapsed="false">
      <c r="A2146" s="32" t="str">
        <f aca="false">IF(B2146="","",ROW()-7)</f>
        <v/>
      </c>
      <c r="B2146" s="30"/>
      <c r="C2146" s="29"/>
      <c r="D2146" s="29"/>
      <c r="E2146" s="29"/>
      <c r="F2146" s="30"/>
      <c r="G2146" s="29"/>
      <c r="H2146" s="30"/>
      <c r="I2146" s="29"/>
      <c r="J2146" s="30"/>
      <c r="K2146" s="30"/>
      <c r="L2146" s="29"/>
      <c r="M2146" s="32" t="str">
        <f aca="false">IF(OR(C2146="",L2146=""),"",IF(C2146=L2146,"同一","変更"))</f>
        <v/>
      </c>
      <c r="N2146" s="29"/>
      <c r="O2146" s="30"/>
      <c r="P2146" s="29"/>
      <c r="Q2146" s="31"/>
      <c r="R2146" s="29"/>
      <c r="S2146" s="29"/>
      <c r="T2146" s="30"/>
      <c r="U2146" s="47" t="str">
        <f aca="false">IF(AND(B2146&lt;&gt;"",B2146=SW別シート!$C$3),COUNTIF(B$5:B2146,B2146),"")</f>
        <v/>
      </c>
      <c r="V2146" s="47" t="n">
        <f aca="false">V2145+IF(OR(O2146&lt;&gt;"",W2146&lt;&gt;""),1,0)</f>
        <v>3</v>
      </c>
      <c r="W2146" s="29"/>
    </row>
    <row r="2147" customFormat="false" ht="15" hidden="false" customHeight="false" outlineLevel="0" collapsed="false">
      <c r="A2147" s="32" t="str">
        <f aca="false">IF(B2147="","",ROW()-7)</f>
        <v/>
      </c>
      <c r="B2147" s="30"/>
      <c r="C2147" s="29"/>
      <c r="D2147" s="29"/>
      <c r="E2147" s="29"/>
      <c r="F2147" s="30"/>
      <c r="G2147" s="29"/>
      <c r="H2147" s="30"/>
      <c r="I2147" s="29"/>
      <c r="J2147" s="30"/>
      <c r="K2147" s="30"/>
      <c r="L2147" s="29"/>
      <c r="M2147" s="32" t="str">
        <f aca="false">IF(OR(C2147="",L2147=""),"",IF(C2147=L2147,"同一","変更"))</f>
        <v/>
      </c>
      <c r="N2147" s="29"/>
      <c r="O2147" s="30"/>
      <c r="P2147" s="29"/>
      <c r="Q2147" s="31"/>
      <c r="R2147" s="29"/>
      <c r="S2147" s="29"/>
      <c r="T2147" s="30"/>
      <c r="U2147" s="47" t="str">
        <f aca="false">IF(AND(B2147&lt;&gt;"",B2147=SW別シート!$C$3),COUNTIF(B$5:B2147,B2147),"")</f>
        <v/>
      </c>
      <c r="V2147" s="47" t="n">
        <f aca="false">V2146+IF(OR(O2147&lt;&gt;"",W2147&lt;&gt;""),1,0)</f>
        <v>3</v>
      </c>
      <c r="W2147" s="29"/>
    </row>
    <row r="2148" customFormat="false" ht="15" hidden="false" customHeight="false" outlineLevel="0" collapsed="false">
      <c r="A2148" s="32" t="str">
        <f aca="false">IF(B2148="","",ROW()-7)</f>
        <v/>
      </c>
      <c r="B2148" s="30"/>
      <c r="C2148" s="29"/>
      <c r="D2148" s="29"/>
      <c r="E2148" s="29"/>
      <c r="F2148" s="30"/>
      <c r="G2148" s="29"/>
      <c r="H2148" s="30"/>
      <c r="I2148" s="29"/>
      <c r="J2148" s="30"/>
      <c r="K2148" s="30"/>
      <c r="L2148" s="29"/>
      <c r="M2148" s="32" t="str">
        <f aca="false">IF(OR(C2148="",L2148=""),"",IF(C2148=L2148,"同一","変更"))</f>
        <v/>
      </c>
      <c r="N2148" s="29"/>
      <c r="O2148" s="30"/>
      <c r="P2148" s="29"/>
      <c r="Q2148" s="31"/>
      <c r="R2148" s="29"/>
      <c r="S2148" s="29"/>
      <c r="T2148" s="30"/>
      <c r="U2148" s="47" t="str">
        <f aca="false">IF(AND(B2148&lt;&gt;"",B2148=SW別シート!$C$3),COUNTIF(B$5:B2148,B2148),"")</f>
        <v/>
      </c>
      <c r="V2148" s="47" t="n">
        <f aca="false">V2147+IF(OR(O2148&lt;&gt;"",W2148&lt;&gt;""),1,0)</f>
        <v>3</v>
      </c>
      <c r="W2148" s="29"/>
    </row>
    <row r="2149" customFormat="false" ht="15" hidden="false" customHeight="false" outlineLevel="0" collapsed="false">
      <c r="A2149" s="32" t="str">
        <f aca="false">IF(B2149="","",ROW()-7)</f>
        <v/>
      </c>
      <c r="B2149" s="30"/>
      <c r="C2149" s="29"/>
      <c r="D2149" s="29"/>
      <c r="E2149" s="29"/>
      <c r="F2149" s="30"/>
      <c r="G2149" s="29"/>
      <c r="H2149" s="30"/>
      <c r="I2149" s="29"/>
      <c r="J2149" s="30"/>
      <c r="K2149" s="30"/>
      <c r="L2149" s="29"/>
      <c r="M2149" s="32" t="str">
        <f aca="false">IF(OR(C2149="",L2149=""),"",IF(C2149=L2149,"同一","変更"))</f>
        <v/>
      </c>
      <c r="N2149" s="29"/>
      <c r="O2149" s="30"/>
      <c r="P2149" s="29"/>
      <c r="Q2149" s="31"/>
      <c r="R2149" s="29"/>
      <c r="S2149" s="29"/>
      <c r="T2149" s="30"/>
      <c r="U2149" s="47" t="str">
        <f aca="false">IF(AND(B2149&lt;&gt;"",B2149=SW別シート!$C$3),COUNTIF(B$5:B2149,B2149),"")</f>
        <v/>
      </c>
      <c r="V2149" s="47" t="n">
        <f aca="false">V2148+IF(OR(O2149&lt;&gt;"",W2149&lt;&gt;""),1,0)</f>
        <v>3</v>
      </c>
      <c r="W2149" s="29"/>
    </row>
    <row r="2150" customFormat="false" ht="15" hidden="false" customHeight="false" outlineLevel="0" collapsed="false">
      <c r="A2150" s="32" t="str">
        <f aca="false">IF(B2150="","",ROW()-7)</f>
        <v/>
      </c>
      <c r="B2150" s="30"/>
      <c r="C2150" s="29"/>
      <c r="D2150" s="29"/>
      <c r="E2150" s="29"/>
      <c r="F2150" s="30"/>
      <c r="G2150" s="29"/>
      <c r="H2150" s="30"/>
      <c r="I2150" s="29"/>
      <c r="J2150" s="30"/>
      <c r="K2150" s="30"/>
      <c r="L2150" s="29"/>
      <c r="M2150" s="32" t="str">
        <f aca="false">IF(OR(C2150="",L2150=""),"",IF(C2150=L2150,"同一","変更"))</f>
        <v/>
      </c>
      <c r="N2150" s="29"/>
      <c r="O2150" s="30"/>
      <c r="P2150" s="29"/>
      <c r="Q2150" s="31"/>
      <c r="R2150" s="29"/>
      <c r="S2150" s="29"/>
      <c r="T2150" s="30"/>
      <c r="U2150" s="47" t="str">
        <f aca="false">IF(AND(B2150&lt;&gt;"",B2150=SW別シート!$C$3),COUNTIF(B$5:B2150,B2150),"")</f>
        <v/>
      </c>
      <c r="V2150" s="47" t="n">
        <f aca="false">V2149+IF(OR(O2150&lt;&gt;"",W2150&lt;&gt;""),1,0)</f>
        <v>3</v>
      </c>
      <c r="W2150" s="29"/>
    </row>
    <row r="2151" customFormat="false" ht="15" hidden="false" customHeight="false" outlineLevel="0" collapsed="false">
      <c r="A2151" s="32" t="str">
        <f aca="false">IF(B2151="","",ROW()-7)</f>
        <v/>
      </c>
      <c r="B2151" s="30"/>
      <c r="C2151" s="29"/>
      <c r="D2151" s="29"/>
      <c r="E2151" s="29"/>
      <c r="F2151" s="30"/>
      <c r="G2151" s="29"/>
      <c r="H2151" s="30"/>
      <c r="I2151" s="29"/>
      <c r="J2151" s="30"/>
      <c r="K2151" s="30"/>
      <c r="L2151" s="29"/>
      <c r="M2151" s="32" t="str">
        <f aca="false">IF(OR(C2151="",L2151=""),"",IF(C2151=L2151,"同一","変更"))</f>
        <v/>
      </c>
      <c r="N2151" s="29"/>
      <c r="O2151" s="30"/>
      <c r="P2151" s="29"/>
      <c r="Q2151" s="31"/>
      <c r="R2151" s="29"/>
      <c r="S2151" s="29"/>
      <c r="T2151" s="30"/>
      <c r="U2151" s="47" t="str">
        <f aca="false">IF(AND(B2151&lt;&gt;"",B2151=SW別シート!$C$3),COUNTIF(B$5:B2151,B2151),"")</f>
        <v/>
      </c>
      <c r="V2151" s="47" t="n">
        <f aca="false">V2150+IF(OR(O2151&lt;&gt;"",W2151&lt;&gt;""),1,0)</f>
        <v>3</v>
      </c>
      <c r="W2151" s="29"/>
    </row>
    <row r="2152" customFormat="false" ht="15" hidden="false" customHeight="false" outlineLevel="0" collapsed="false">
      <c r="A2152" s="32" t="str">
        <f aca="false">IF(B2152="","",ROW()-7)</f>
        <v/>
      </c>
      <c r="B2152" s="30"/>
      <c r="C2152" s="29"/>
      <c r="D2152" s="29"/>
      <c r="E2152" s="29"/>
      <c r="F2152" s="30"/>
      <c r="G2152" s="29"/>
      <c r="H2152" s="30"/>
      <c r="I2152" s="29"/>
      <c r="J2152" s="30"/>
      <c r="K2152" s="30"/>
      <c r="L2152" s="29"/>
      <c r="M2152" s="32" t="str">
        <f aca="false">IF(OR(C2152="",L2152=""),"",IF(C2152=L2152,"同一","変更"))</f>
        <v/>
      </c>
      <c r="N2152" s="29"/>
      <c r="O2152" s="30"/>
      <c r="P2152" s="29"/>
      <c r="Q2152" s="31"/>
      <c r="R2152" s="29"/>
      <c r="S2152" s="29"/>
      <c r="T2152" s="30"/>
      <c r="U2152" s="47" t="str">
        <f aca="false">IF(AND(B2152&lt;&gt;"",B2152=SW別シート!$C$3),COUNTIF(B$5:B2152,B2152),"")</f>
        <v/>
      </c>
      <c r="V2152" s="47" t="n">
        <f aca="false">V2151+IF(OR(O2152&lt;&gt;"",W2152&lt;&gt;""),1,0)</f>
        <v>3</v>
      </c>
      <c r="W2152" s="29"/>
    </row>
    <row r="2153" customFormat="false" ht="15" hidden="false" customHeight="false" outlineLevel="0" collapsed="false">
      <c r="A2153" s="32" t="str">
        <f aca="false">IF(B2153="","",ROW()-7)</f>
        <v/>
      </c>
      <c r="B2153" s="30"/>
      <c r="C2153" s="29"/>
      <c r="D2153" s="29"/>
      <c r="E2153" s="29"/>
      <c r="F2153" s="30"/>
      <c r="G2153" s="29"/>
      <c r="H2153" s="30"/>
      <c r="I2153" s="29"/>
      <c r="J2153" s="30"/>
      <c r="K2153" s="30"/>
      <c r="L2153" s="29"/>
      <c r="M2153" s="32" t="str">
        <f aca="false">IF(OR(C2153="",L2153=""),"",IF(C2153=L2153,"同一","変更"))</f>
        <v/>
      </c>
      <c r="N2153" s="29"/>
      <c r="O2153" s="30"/>
      <c r="P2153" s="29"/>
      <c r="Q2153" s="31"/>
      <c r="R2153" s="29"/>
      <c r="S2153" s="29"/>
      <c r="T2153" s="30"/>
      <c r="U2153" s="47" t="str">
        <f aca="false">IF(AND(B2153&lt;&gt;"",B2153=SW別シート!$C$3),COUNTIF(B$5:B2153,B2153),"")</f>
        <v/>
      </c>
      <c r="V2153" s="47" t="n">
        <f aca="false">V2152+IF(OR(O2153&lt;&gt;"",W2153&lt;&gt;""),1,0)</f>
        <v>3</v>
      </c>
      <c r="W2153" s="29"/>
    </row>
    <row r="2154" customFormat="false" ht="15" hidden="false" customHeight="false" outlineLevel="0" collapsed="false">
      <c r="A2154" s="32" t="str">
        <f aca="false">IF(B2154="","",ROW()-7)</f>
        <v/>
      </c>
      <c r="B2154" s="30"/>
      <c r="C2154" s="29"/>
      <c r="D2154" s="29"/>
      <c r="E2154" s="29"/>
      <c r="F2154" s="30"/>
      <c r="G2154" s="29"/>
      <c r="H2154" s="30"/>
      <c r="I2154" s="29"/>
      <c r="J2154" s="30"/>
      <c r="K2154" s="30"/>
      <c r="L2154" s="29"/>
      <c r="M2154" s="32" t="str">
        <f aca="false">IF(OR(C2154="",L2154=""),"",IF(C2154=L2154,"同一","変更"))</f>
        <v/>
      </c>
      <c r="N2154" s="29"/>
      <c r="O2154" s="30"/>
      <c r="P2154" s="29"/>
      <c r="Q2154" s="31"/>
      <c r="R2154" s="29"/>
      <c r="S2154" s="29"/>
      <c r="T2154" s="30"/>
      <c r="U2154" s="47" t="str">
        <f aca="false">IF(AND(B2154&lt;&gt;"",B2154=SW別シート!$C$3),COUNTIF(B$5:B2154,B2154),"")</f>
        <v/>
      </c>
      <c r="V2154" s="47" t="n">
        <f aca="false">V2153+IF(OR(O2154&lt;&gt;"",W2154&lt;&gt;""),1,0)</f>
        <v>3</v>
      </c>
      <c r="W2154" s="29"/>
    </row>
    <row r="2155" customFormat="false" ht="15" hidden="false" customHeight="false" outlineLevel="0" collapsed="false">
      <c r="A2155" s="32" t="str">
        <f aca="false">IF(B2155="","",ROW()-7)</f>
        <v/>
      </c>
      <c r="B2155" s="30"/>
      <c r="C2155" s="29"/>
      <c r="D2155" s="29"/>
      <c r="E2155" s="29"/>
      <c r="F2155" s="30"/>
      <c r="G2155" s="29"/>
      <c r="H2155" s="30"/>
      <c r="I2155" s="29"/>
      <c r="J2155" s="30"/>
      <c r="K2155" s="30"/>
      <c r="L2155" s="29"/>
      <c r="M2155" s="32" t="str">
        <f aca="false">IF(OR(C2155="",L2155=""),"",IF(C2155=L2155,"同一","変更"))</f>
        <v/>
      </c>
      <c r="N2155" s="29"/>
      <c r="O2155" s="30"/>
      <c r="P2155" s="29"/>
      <c r="Q2155" s="31"/>
      <c r="R2155" s="29"/>
      <c r="S2155" s="29"/>
      <c r="T2155" s="30"/>
      <c r="U2155" s="47" t="str">
        <f aca="false">IF(AND(B2155&lt;&gt;"",B2155=SW別シート!$C$3),COUNTIF(B$5:B2155,B2155),"")</f>
        <v/>
      </c>
      <c r="V2155" s="47" t="n">
        <f aca="false">V2154+IF(OR(O2155&lt;&gt;"",W2155&lt;&gt;""),1,0)</f>
        <v>3</v>
      </c>
      <c r="W2155" s="29"/>
    </row>
    <row r="2156" customFormat="false" ht="15" hidden="false" customHeight="false" outlineLevel="0" collapsed="false">
      <c r="A2156" s="32" t="str">
        <f aca="false">IF(B2156="","",ROW()-7)</f>
        <v/>
      </c>
      <c r="B2156" s="30"/>
      <c r="C2156" s="29"/>
      <c r="D2156" s="29"/>
      <c r="E2156" s="29"/>
      <c r="F2156" s="30"/>
      <c r="G2156" s="29"/>
      <c r="H2156" s="30"/>
      <c r="I2156" s="29"/>
      <c r="J2156" s="30"/>
      <c r="K2156" s="30"/>
      <c r="L2156" s="29"/>
      <c r="M2156" s="32" t="str">
        <f aca="false">IF(OR(C2156="",L2156=""),"",IF(C2156=L2156,"同一","変更"))</f>
        <v/>
      </c>
      <c r="N2156" s="29"/>
      <c r="O2156" s="30"/>
      <c r="P2156" s="29"/>
      <c r="Q2156" s="31"/>
      <c r="R2156" s="29"/>
      <c r="S2156" s="29"/>
      <c r="T2156" s="30"/>
      <c r="U2156" s="47" t="str">
        <f aca="false">IF(AND(B2156&lt;&gt;"",B2156=SW別シート!$C$3),COUNTIF(B$5:B2156,B2156),"")</f>
        <v/>
      </c>
      <c r="V2156" s="47" t="n">
        <f aca="false">V2155+IF(OR(O2156&lt;&gt;"",W2156&lt;&gt;""),1,0)</f>
        <v>3</v>
      </c>
      <c r="W2156" s="29"/>
    </row>
    <row r="2157" customFormat="false" ht="15" hidden="false" customHeight="false" outlineLevel="0" collapsed="false">
      <c r="A2157" s="32" t="str">
        <f aca="false">IF(B2157="","",ROW()-7)</f>
        <v/>
      </c>
      <c r="B2157" s="30"/>
      <c r="C2157" s="29"/>
      <c r="D2157" s="29"/>
      <c r="E2157" s="29"/>
      <c r="F2157" s="30"/>
      <c r="G2157" s="29"/>
      <c r="H2157" s="30"/>
      <c r="I2157" s="29"/>
      <c r="J2157" s="30"/>
      <c r="K2157" s="30"/>
      <c r="L2157" s="29"/>
      <c r="M2157" s="32" t="str">
        <f aca="false">IF(OR(C2157="",L2157=""),"",IF(C2157=L2157,"同一","変更"))</f>
        <v/>
      </c>
      <c r="N2157" s="29"/>
      <c r="O2157" s="30"/>
      <c r="P2157" s="29"/>
      <c r="Q2157" s="31"/>
      <c r="R2157" s="29"/>
      <c r="S2157" s="29"/>
      <c r="T2157" s="30"/>
      <c r="U2157" s="47" t="str">
        <f aca="false">IF(AND(B2157&lt;&gt;"",B2157=SW別シート!$C$3),COUNTIF(B$5:B2157,B2157),"")</f>
        <v/>
      </c>
      <c r="V2157" s="47" t="n">
        <f aca="false">V2156+IF(OR(O2157&lt;&gt;"",W2157&lt;&gt;""),1,0)</f>
        <v>3</v>
      </c>
      <c r="W2157" s="29"/>
    </row>
    <row r="2158" customFormat="false" ht="15" hidden="false" customHeight="false" outlineLevel="0" collapsed="false">
      <c r="A2158" s="32" t="str">
        <f aca="false">IF(B2158="","",ROW()-7)</f>
        <v/>
      </c>
      <c r="B2158" s="30"/>
      <c r="C2158" s="29"/>
      <c r="D2158" s="29"/>
      <c r="E2158" s="29"/>
      <c r="F2158" s="30"/>
      <c r="G2158" s="29"/>
      <c r="H2158" s="30"/>
      <c r="I2158" s="29"/>
      <c r="J2158" s="30"/>
      <c r="K2158" s="30"/>
      <c r="L2158" s="29"/>
      <c r="M2158" s="32" t="str">
        <f aca="false">IF(OR(C2158="",L2158=""),"",IF(C2158=L2158,"同一","変更"))</f>
        <v/>
      </c>
      <c r="N2158" s="29"/>
      <c r="O2158" s="30"/>
      <c r="P2158" s="29"/>
      <c r="Q2158" s="31"/>
      <c r="R2158" s="29"/>
      <c r="S2158" s="29"/>
      <c r="T2158" s="30"/>
      <c r="U2158" s="47" t="str">
        <f aca="false">IF(AND(B2158&lt;&gt;"",B2158=SW別シート!$C$3),COUNTIF(B$5:B2158,B2158),"")</f>
        <v/>
      </c>
      <c r="V2158" s="47" t="n">
        <f aca="false">V2157+IF(OR(O2158&lt;&gt;"",W2158&lt;&gt;""),1,0)</f>
        <v>3</v>
      </c>
      <c r="W2158" s="29"/>
    </row>
    <row r="2159" customFormat="false" ht="15" hidden="false" customHeight="false" outlineLevel="0" collapsed="false">
      <c r="A2159" s="32" t="str">
        <f aca="false">IF(B2159="","",ROW()-7)</f>
        <v/>
      </c>
      <c r="B2159" s="30"/>
      <c r="C2159" s="29"/>
      <c r="D2159" s="29"/>
      <c r="E2159" s="29"/>
      <c r="F2159" s="30"/>
      <c r="G2159" s="29"/>
      <c r="H2159" s="30"/>
      <c r="I2159" s="29"/>
      <c r="J2159" s="30"/>
      <c r="K2159" s="30"/>
      <c r="L2159" s="29"/>
      <c r="M2159" s="32" t="str">
        <f aca="false">IF(OR(C2159="",L2159=""),"",IF(C2159=L2159,"同一","変更"))</f>
        <v/>
      </c>
      <c r="N2159" s="29"/>
      <c r="O2159" s="30"/>
      <c r="P2159" s="29"/>
      <c r="Q2159" s="31"/>
      <c r="R2159" s="29"/>
      <c r="S2159" s="29"/>
      <c r="T2159" s="30"/>
      <c r="U2159" s="47" t="str">
        <f aca="false">IF(AND(B2159&lt;&gt;"",B2159=SW別シート!$C$3),COUNTIF(B$5:B2159,B2159),"")</f>
        <v/>
      </c>
      <c r="V2159" s="47" t="n">
        <f aca="false">V2158+IF(OR(O2159&lt;&gt;"",W2159&lt;&gt;""),1,0)</f>
        <v>3</v>
      </c>
      <c r="W2159" s="29"/>
    </row>
    <row r="2160" customFormat="false" ht="15" hidden="false" customHeight="false" outlineLevel="0" collapsed="false">
      <c r="A2160" s="32" t="str">
        <f aca="false">IF(B2160="","",ROW()-7)</f>
        <v/>
      </c>
      <c r="B2160" s="30"/>
      <c r="C2160" s="29"/>
      <c r="D2160" s="29"/>
      <c r="E2160" s="29"/>
      <c r="F2160" s="30"/>
      <c r="G2160" s="29"/>
      <c r="H2160" s="30"/>
      <c r="I2160" s="29"/>
      <c r="J2160" s="30"/>
      <c r="K2160" s="30"/>
      <c r="L2160" s="29"/>
      <c r="M2160" s="32" t="str">
        <f aca="false">IF(OR(C2160="",L2160=""),"",IF(C2160=L2160,"同一","変更"))</f>
        <v/>
      </c>
      <c r="N2160" s="29"/>
      <c r="O2160" s="30"/>
      <c r="P2160" s="29"/>
      <c r="Q2160" s="31"/>
      <c r="R2160" s="29"/>
      <c r="S2160" s="29"/>
      <c r="T2160" s="30"/>
      <c r="U2160" s="47" t="str">
        <f aca="false">IF(AND(B2160&lt;&gt;"",B2160=SW別シート!$C$3),COUNTIF(B$5:B2160,B2160),"")</f>
        <v/>
      </c>
      <c r="V2160" s="47" t="n">
        <f aca="false">V2159+IF(OR(O2160&lt;&gt;"",W2160&lt;&gt;""),1,0)</f>
        <v>3</v>
      </c>
      <c r="W2160" s="29"/>
    </row>
    <row r="2161" customFormat="false" ht="15" hidden="false" customHeight="false" outlineLevel="0" collapsed="false">
      <c r="A2161" s="32" t="str">
        <f aca="false">IF(B2161="","",ROW()-7)</f>
        <v/>
      </c>
      <c r="B2161" s="30"/>
      <c r="C2161" s="29"/>
      <c r="D2161" s="29"/>
      <c r="E2161" s="29"/>
      <c r="F2161" s="30"/>
      <c r="G2161" s="29"/>
      <c r="H2161" s="30"/>
      <c r="I2161" s="29"/>
      <c r="J2161" s="30"/>
      <c r="K2161" s="30"/>
      <c r="L2161" s="29"/>
      <c r="M2161" s="32" t="str">
        <f aca="false">IF(OR(C2161="",L2161=""),"",IF(C2161=L2161,"同一","変更"))</f>
        <v/>
      </c>
      <c r="N2161" s="29"/>
      <c r="O2161" s="30"/>
      <c r="P2161" s="29"/>
      <c r="Q2161" s="31"/>
      <c r="R2161" s="29"/>
      <c r="S2161" s="29"/>
      <c r="T2161" s="30"/>
      <c r="U2161" s="47" t="str">
        <f aca="false">IF(AND(B2161&lt;&gt;"",B2161=SW別シート!$C$3),COUNTIF(B$5:B2161,B2161),"")</f>
        <v/>
      </c>
      <c r="V2161" s="47" t="n">
        <f aca="false">V2160+IF(OR(O2161&lt;&gt;"",W2161&lt;&gt;""),1,0)</f>
        <v>3</v>
      </c>
      <c r="W2161" s="29"/>
    </row>
    <row r="2162" customFormat="false" ht="15" hidden="false" customHeight="false" outlineLevel="0" collapsed="false">
      <c r="A2162" s="32" t="str">
        <f aca="false">IF(B2162="","",ROW()-7)</f>
        <v/>
      </c>
      <c r="B2162" s="30"/>
      <c r="C2162" s="29"/>
      <c r="D2162" s="29"/>
      <c r="E2162" s="29"/>
      <c r="F2162" s="30"/>
      <c r="G2162" s="29"/>
      <c r="H2162" s="30"/>
      <c r="I2162" s="29"/>
      <c r="J2162" s="30"/>
      <c r="K2162" s="30"/>
      <c r="L2162" s="29"/>
      <c r="M2162" s="32" t="str">
        <f aca="false">IF(OR(C2162="",L2162=""),"",IF(C2162=L2162,"同一","変更"))</f>
        <v/>
      </c>
      <c r="N2162" s="29"/>
      <c r="O2162" s="30"/>
      <c r="P2162" s="29"/>
      <c r="Q2162" s="31"/>
      <c r="R2162" s="29"/>
      <c r="S2162" s="29"/>
      <c r="T2162" s="30"/>
      <c r="U2162" s="47" t="str">
        <f aca="false">IF(AND(B2162&lt;&gt;"",B2162=SW別シート!$C$3),COUNTIF(B$5:B2162,B2162),"")</f>
        <v/>
      </c>
      <c r="V2162" s="47" t="n">
        <f aca="false">V2161+IF(OR(O2162&lt;&gt;"",W2162&lt;&gt;""),1,0)</f>
        <v>3</v>
      </c>
      <c r="W2162" s="29"/>
    </row>
    <row r="2163" customFormat="false" ht="15" hidden="false" customHeight="false" outlineLevel="0" collapsed="false">
      <c r="A2163" s="32" t="str">
        <f aca="false">IF(B2163="","",ROW()-7)</f>
        <v/>
      </c>
      <c r="B2163" s="30"/>
      <c r="C2163" s="29"/>
      <c r="D2163" s="29"/>
      <c r="E2163" s="29"/>
      <c r="F2163" s="30"/>
      <c r="G2163" s="29"/>
      <c r="H2163" s="30"/>
      <c r="I2163" s="29"/>
      <c r="J2163" s="30"/>
      <c r="K2163" s="30"/>
      <c r="L2163" s="29"/>
      <c r="M2163" s="32" t="str">
        <f aca="false">IF(OR(C2163="",L2163=""),"",IF(C2163=L2163,"同一","変更"))</f>
        <v/>
      </c>
      <c r="N2163" s="29"/>
      <c r="O2163" s="30"/>
      <c r="P2163" s="29"/>
      <c r="Q2163" s="31"/>
      <c r="R2163" s="29"/>
      <c r="S2163" s="29"/>
      <c r="T2163" s="30"/>
      <c r="U2163" s="47" t="str">
        <f aca="false">IF(AND(B2163&lt;&gt;"",B2163=SW別シート!$C$3),COUNTIF(B$5:B2163,B2163),"")</f>
        <v/>
      </c>
      <c r="V2163" s="47" t="n">
        <f aca="false">V2162+IF(OR(O2163&lt;&gt;"",W2163&lt;&gt;""),1,0)</f>
        <v>3</v>
      </c>
      <c r="W2163" s="29"/>
    </row>
    <row r="2164" customFormat="false" ht="15" hidden="false" customHeight="false" outlineLevel="0" collapsed="false">
      <c r="A2164" s="32" t="str">
        <f aca="false">IF(B2164="","",ROW()-7)</f>
        <v/>
      </c>
      <c r="B2164" s="30"/>
      <c r="C2164" s="29"/>
      <c r="D2164" s="29"/>
      <c r="E2164" s="29"/>
      <c r="F2164" s="30"/>
      <c r="G2164" s="29"/>
      <c r="H2164" s="30"/>
      <c r="I2164" s="29"/>
      <c r="J2164" s="30"/>
      <c r="K2164" s="30"/>
      <c r="L2164" s="29"/>
      <c r="M2164" s="32" t="str">
        <f aca="false">IF(OR(C2164="",L2164=""),"",IF(C2164=L2164,"同一","変更"))</f>
        <v/>
      </c>
      <c r="N2164" s="29"/>
      <c r="O2164" s="30"/>
      <c r="P2164" s="29"/>
      <c r="Q2164" s="31"/>
      <c r="R2164" s="29"/>
      <c r="S2164" s="29"/>
      <c r="T2164" s="30"/>
      <c r="U2164" s="47" t="str">
        <f aca="false">IF(AND(B2164&lt;&gt;"",B2164=SW別シート!$C$3),COUNTIF(B$5:B2164,B2164),"")</f>
        <v/>
      </c>
      <c r="V2164" s="47" t="n">
        <f aca="false">V2163+IF(OR(O2164&lt;&gt;"",W2164&lt;&gt;""),1,0)</f>
        <v>3</v>
      </c>
      <c r="W2164" s="29"/>
    </row>
    <row r="2165" customFormat="false" ht="15" hidden="false" customHeight="false" outlineLevel="0" collapsed="false">
      <c r="A2165" s="32" t="str">
        <f aca="false">IF(B2165="","",ROW()-7)</f>
        <v/>
      </c>
      <c r="B2165" s="30"/>
      <c r="C2165" s="29"/>
      <c r="D2165" s="29"/>
      <c r="E2165" s="29"/>
      <c r="F2165" s="30"/>
      <c r="G2165" s="29"/>
      <c r="H2165" s="30"/>
      <c r="I2165" s="29"/>
      <c r="J2165" s="30"/>
      <c r="K2165" s="30"/>
      <c r="L2165" s="29"/>
      <c r="M2165" s="32" t="str">
        <f aca="false">IF(OR(C2165="",L2165=""),"",IF(C2165=L2165,"同一","変更"))</f>
        <v/>
      </c>
      <c r="N2165" s="29"/>
      <c r="O2165" s="30"/>
      <c r="P2165" s="29"/>
      <c r="Q2165" s="31"/>
      <c r="R2165" s="29"/>
      <c r="S2165" s="29"/>
      <c r="T2165" s="30"/>
      <c r="U2165" s="47" t="str">
        <f aca="false">IF(AND(B2165&lt;&gt;"",B2165=SW別シート!$C$3),COUNTIF(B$5:B2165,B2165),"")</f>
        <v/>
      </c>
      <c r="V2165" s="47" t="n">
        <f aca="false">V2164+IF(OR(O2165&lt;&gt;"",W2165&lt;&gt;""),1,0)</f>
        <v>3</v>
      </c>
      <c r="W2165" s="29"/>
    </row>
    <row r="2166" customFormat="false" ht="15" hidden="false" customHeight="false" outlineLevel="0" collapsed="false">
      <c r="A2166" s="32" t="str">
        <f aca="false">IF(B2166="","",ROW()-7)</f>
        <v/>
      </c>
      <c r="B2166" s="30"/>
      <c r="C2166" s="29"/>
      <c r="D2166" s="29"/>
      <c r="E2166" s="29"/>
      <c r="F2166" s="30"/>
      <c r="G2166" s="29"/>
      <c r="H2166" s="30"/>
      <c r="I2166" s="29"/>
      <c r="J2166" s="30"/>
      <c r="K2166" s="30"/>
      <c r="L2166" s="29"/>
      <c r="M2166" s="32" t="str">
        <f aca="false">IF(OR(C2166="",L2166=""),"",IF(C2166=L2166,"同一","変更"))</f>
        <v/>
      </c>
      <c r="N2166" s="29"/>
      <c r="O2166" s="30"/>
      <c r="P2166" s="29"/>
      <c r="Q2166" s="31"/>
      <c r="R2166" s="29"/>
      <c r="S2166" s="29"/>
      <c r="T2166" s="30"/>
      <c r="U2166" s="47" t="str">
        <f aca="false">IF(AND(B2166&lt;&gt;"",B2166=SW別シート!$C$3),COUNTIF(B$5:B2166,B2166),"")</f>
        <v/>
      </c>
      <c r="V2166" s="47" t="n">
        <f aca="false">V2165+IF(OR(O2166&lt;&gt;"",W2166&lt;&gt;""),1,0)</f>
        <v>3</v>
      </c>
      <c r="W2166" s="29"/>
    </row>
    <row r="2167" customFormat="false" ht="15" hidden="false" customHeight="false" outlineLevel="0" collapsed="false">
      <c r="A2167" s="32" t="str">
        <f aca="false">IF(B2167="","",ROW()-7)</f>
        <v/>
      </c>
      <c r="B2167" s="30"/>
      <c r="C2167" s="29"/>
      <c r="D2167" s="29"/>
      <c r="E2167" s="29"/>
      <c r="F2167" s="30"/>
      <c r="G2167" s="29"/>
      <c r="H2167" s="30"/>
      <c r="I2167" s="29"/>
      <c r="J2167" s="30"/>
      <c r="K2167" s="30"/>
      <c r="L2167" s="29"/>
      <c r="M2167" s="32" t="str">
        <f aca="false">IF(OR(C2167="",L2167=""),"",IF(C2167=L2167,"同一","変更"))</f>
        <v/>
      </c>
      <c r="N2167" s="29"/>
      <c r="O2167" s="30"/>
      <c r="P2167" s="29"/>
      <c r="Q2167" s="31"/>
      <c r="R2167" s="29"/>
      <c r="S2167" s="29"/>
      <c r="T2167" s="30"/>
      <c r="U2167" s="47" t="str">
        <f aca="false">IF(AND(B2167&lt;&gt;"",B2167=SW別シート!$C$3),COUNTIF(B$5:B2167,B2167),"")</f>
        <v/>
      </c>
      <c r="V2167" s="47" t="n">
        <f aca="false">V2166+IF(OR(O2167&lt;&gt;"",W2167&lt;&gt;""),1,0)</f>
        <v>3</v>
      </c>
      <c r="W2167" s="29"/>
    </row>
    <row r="2168" customFormat="false" ht="15" hidden="false" customHeight="false" outlineLevel="0" collapsed="false">
      <c r="A2168" s="32" t="str">
        <f aca="false">IF(B2168="","",ROW()-7)</f>
        <v/>
      </c>
      <c r="B2168" s="30"/>
      <c r="C2168" s="29"/>
      <c r="D2168" s="29"/>
      <c r="E2168" s="29"/>
      <c r="F2168" s="30"/>
      <c r="G2168" s="29"/>
      <c r="H2168" s="30"/>
      <c r="I2168" s="29"/>
      <c r="J2168" s="30"/>
      <c r="K2168" s="30"/>
      <c r="L2168" s="29"/>
      <c r="M2168" s="32" t="str">
        <f aca="false">IF(OR(C2168="",L2168=""),"",IF(C2168=L2168,"同一","変更"))</f>
        <v/>
      </c>
      <c r="N2168" s="29"/>
      <c r="O2168" s="30"/>
      <c r="P2168" s="29"/>
      <c r="Q2168" s="31"/>
      <c r="R2168" s="29"/>
      <c r="S2168" s="29"/>
      <c r="T2168" s="30"/>
      <c r="U2168" s="47" t="str">
        <f aca="false">IF(AND(B2168&lt;&gt;"",B2168=SW別シート!$C$3),COUNTIF(B$5:B2168,B2168),"")</f>
        <v/>
      </c>
      <c r="V2168" s="47" t="n">
        <f aca="false">V2167+IF(OR(O2168&lt;&gt;"",W2168&lt;&gt;""),1,0)</f>
        <v>3</v>
      </c>
      <c r="W2168" s="29"/>
    </row>
    <row r="2169" customFormat="false" ht="15" hidden="false" customHeight="false" outlineLevel="0" collapsed="false">
      <c r="A2169" s="32" t="str">
        <f aca="false">IF(B2169="","",ROW()-7)</f>
        <v/>
      </c>
      <c r="B2169" s="30"/>
      <c r="C2169" s="29"/>
      <c r="D2169" s="29"/>
      <c r="E2169" s="29"/>
      <c r="F2169" s="30"/>
      <c r="G2169" s="29"/>
      <c r="H2169" s="30"/>
      <c r="I2169" s="29"/>
      <c r="J2169" s="30"/>
      <c r="K2169" s="30"/>
      <c r="L2169" s="29"/>
      <c r="M2169" s="32" t="str">
        <f aca="false">IF(OR(C2169="",L2169=""),"",IF(C2169=L2169,"同一","変更"))</f>
        <v/>
      </c>
      <c r="N2169" s="29"/>
      <c r="O2169" s="30"/>
      <c r="P2169" s="29"/>
      <c r="Q2169" s="31"/>
      <c r="R2169" s="29"/>
      <c r="S2169" s="29"/>
      <c r="T2169" s="30"/>
      <c r="U2169" s="47" t="str">
        <f aca="false">IF(AND(B2169&lt;&gt;"",B2169=SW別シート!$C$3),COUNTIF(B$5:B2169,B2169),"")</f>
        <v/>
      </c>
      <c r="V2169" s="47" t="n">
        <f aca="false">V2168+IF(OR(O2169&lt;&gt;"",W2169&lt;&gt;""),1,0)</f>
        <v>3</v>
      </c>
      <c r="W2169" s="29"/>
    </row>
    <row r="2170" customFormat="false" ht="15" hidden="false" customHeight="false" outlineLevel="0" collapsed="false">
      <c r="A2170" s="32" t="str">
        <f aca="false">IF(B2170="","",ROW()-7)</f>
        <v/>
      </c>
      <c r="B2170" s="30"/>
      <c r="C2170" s="29"/>
      <c r="D2170" s="29"/>
      <c r="E2170" s="29"/>
      <c r="F2170" s="30"/>
      <c r="G2170" s="29"/>
      <c r="H2170" s="30"/>
      <c r="I2170" s="29"/>
      <c r="J2170" s="30"/>
      <c r="K2170" s="30"/>
      <c r="L2170" s="29"/>
      <c r="M2170" s="32" t="str">
        <f aca="false">IF(OR(C2170="",L2170=""),"",IF(C2170=L2170,"同一","変更"))</f>
        <v/>
      </c>
      <c r="N2170" s="29"/>
      <c r="O2170" s="30"/>
      <c r="P2170" s="29"/>
      <c r="Q2170" s="31"/>
      <c r="R2170" s="29"/>
      <c r="S2170" s="29"/>
      <c r="T2170" s="30"/>
      <c r="U2170" s="47" t="str">
        <f aca="false">IF(AND(B2170&lt;&gt;"",B2170=SW別シート!$C$3),COUNTIF(B$5:B2170,B2170),"")</f>
        <v/>
      </c>
      <c r="V2170" s="47" t="n">
        <f aca="false">V2169+IF(OR(O2170&lt;&gt;"",W2170&lt;&gt;""),1,0)</f>
        <v>3</v>
      </c>
      <c r="W2170" s="29"/>
    </row>
    <row r="2171" customFormat="false" ht="15" hidden="false" customHeight="false" outlineLevel="0" collapsed="false">
      <c r="A2171" s="32" t="str">
        <f aca="false">IF(B2171="","",ROW()-7)</f>
        <v/>
      </c>
      <c r="B2171" s="30"/>
      <c r="C2171" s="29"/>
      <c r="D2171" s="29"/>
      <c r="E2171" s="29"/>
      <c r="F2171" s="30"/>
      <c r="G2171" s="29"/>
      <c r="H2171" s="30"/>
      <c r="I2171" s="29"/>
      <c r="J2171" s="30"/>
      <c r="K2171" s="30"/>
      <c r="L2171" s="29"/>
      <c r="M2171" s="32" t="str">
        <f aca="false">IF(OR(C2171="",L2171=""),"",IF(C2171=L2171,"同一","変更"))</f>
        <v/>
      </c>
      <c r="N2171" s="29"/>
      <c r="O2171" s="30"/>
      <c r="P2171" s="29"/>
      <c r="Q2171" s="31"/>
      <c r="R2171" s="29"/>
      <c r="S2171" s="29"/>
      <c r="T2171" s="30"/>
      <c r="U2171" s="47" t="str">
        <f aca="false">IF(AND(B2171&lt;&gt;"",B2171=SW別シート!$C$3),COUNTIF(B$5:B2171,B2171),"")</f>
        <v/>
      </c>
      <c r="V2171" s="47" t="n">
        <f aca="false">V2170+IF(OR(O2171&lt;&gt;"",W2171&lt;&gt;""),1,0)</f>
        <v>3</v>
      </c>
      <c r="W2171" s="29"/>
    </row>
    <row r="2172" customFormat="false" ht="15" hidden="false" customHeight="false" outlineLevel="0" collapsed="false">
      <c r="A2172" s="32" t="str">
        <f aca="false">IF(B2172="","",ROW()-7)</f>
        <v/>
      </c>
      <c r="B2172" s="30"/>
      <c r="C2172" s="29"/>
      <c r="D2172" s="29"/>
      <c r="E2172" s="29"/>
      <c r="F2172" s="30"/>
      <c r="G2172" s="29"/>
      <c r="H2172" s="30"/>
      <c r="I2172" s="29"/>
      <c r="J2172" s="30"/>
      <c r="K2172" s="30"/>
      <c r="L2172" s="29"/>
      <c r="M2172" s="32" t="str">
        <f aca="false">IF(OR(C2172="",L2172=""),"",IF(C2172=L2172,"同一","変更"))</f>
        <v/>
      </c>
      <c r="N2172" s="29"/>
      <c r="O2172" s="30"/>
      <c r="P2172" s="29"/>
      <c r="Q2172" s="31"/>
      <c r="R2172" s="29"/>
      <c r="S2172" s="29"/>
      <c r="T2172" s="30"/>
      <c r="U2172" s="47" t="str">
        <f aca="false">IF(AND(B2172&lt;&gt;"",B2172=SW別シート!$C$3),COUNTIF(B$5:B2172,B2172),"")</f>
        <v/>
      </c>
      <c r="V2172" s="47" t="n">
        <f aca="false">V2171+IF(OR(O2172&lt;&gt;"",W2172&lt;&gt;""),1,0)</f>
        <v>3</v>
      </c>
      <c r="W2172" s="29"/>
    </row>
    <row r="2173" customFormat="false" ht="15" hidden="false" customHeight="false" outlineLevel="0" collapsed="false">
      <c r="A2173" s="32" t="str">
        <f aca="false">IF(B2173="","",ROW()-7)</f>
        <v/>
      </c>
      <c r="B2173" s="30"/>
      <c r="C2173" s="29"/>
      <c r="D2173" s="29"/>
      <c r="E2173" s="29"/>
      <c r="F2173" s="30"/>
      <c r="G2173" s="29"/>
      <c r="H2173" s="30"/>
      <c r="I2173" s="29"/>
      <c r="J2173" s="30"/>
      <c r="K2173" s="30"/>
      <c r="L2173" s="29"/>
      <c r="M2173" s="32" t="str">
        <f aca="false">IF(OR(C2173="",L2173=""),"",IF(C2173=L2173,"同一","変更"))</f>
        <v/>
      </c>
      <c r="N2173" s="29"/>
      <c r="O2173" s="30"/>
      <c r="P2173" s="29"/>
      <c r="Q2173" s="31"/>
      <c r="R2173" s="29"/>
      <c r="S2173" s="29"/>
      <c r="T2173" s="30"/>
      <c r="U2173" s="47" t="str">
        <f aca="false">IF(AND(B2173&lt;&gt;"",B2173=SW別シート!$C$3),COUNTIF(B$5:B2173,B2173),"")</f>
        <v/>
      </c>
      <c r="V2173" s="47" t="n">
        <f aca="false">V2172+IF(OR(O2173&lt;&gt;"",W2173&lt;&gt;""),1,0)</f>
        <v>3</v>
      </c>
      <c r="W2173" s="29"/>
    </row>
    <row r="2174" customFormat="false" ht="15" hidden="false" customHeight="false" outlineLevel="0" collapsed="false">
      <c r="A2174" s="32" t="str">
        <f aca="false">IF(B2174="","",ROW()-7)</f>
        <v/>
      </c>
      <c r="B2174" s="30"/>
      <c r="C2174" s="29"/>
      <c r="D2174" s="29"/>
      <c r="E2174" s="29"/>
      <c r="F2174" s="30"/>
      <c r="G2174" s="29"/>
      <c r="H2174" s="30"/>
      <c r="I2174" s="29"/>
      <c r="J2174" s="30"/>
      <c r="K2174" s="30"/>
      <c r="L2174" s="29"/>
      <c r="M2174" s="32" t="str">
        <f aca="false">IF(OR(C2174="",L2174=""),"",IF(C2174=L2174,"同一","変更"))</f>
        <v/>
      </c>
      <c r="N2174" s="29"/>
      <c r="O2174" s="30"/>
      <c r="P2174" s="29"/>
      <c r="Q2174" s="31"/>
      <c r="R2174" s="29"/>
      <c r="S2174" s="29"/>
      <c r="T2174" s="30"/>
      <c r="U2174" s="47" t="str">
        <f aca="false">IF(AND(B2174&lt;&gt;"",B2174=SW別シート!$C$3),COUNTIF(B$5:B2174,B2174),"")</f>
        <v/>
      </c>
      <c r="V2174" s="47" t="n">
        <f aca="false">V2173+IF(OR(O2174&lt;&gt;"",W2174&lt;&gt;""),1,0)</f>
        <v>3</v>
      </c>
      <c r="W2174" s="29"/>
    </row>
    <row r="2175" customFormat="false" ht="15" hidden="false" customHeight="false" outlineLevel="0" collapsed="false">
      <c r="A2175" s="32" t="str">
        <f aca="false">IF(B2175="","",ROW()-7)</f>
        <v/>
      </c>
      <c r="B2175" s="30"/>
      <c r="C2175" s="29"/>
      <c r="D2175" s="29"/>
      <c r="E2175" s="29"/>
      <c r="F2175" s="30"/>
      <c r="G2175" s="29"/>
      <c r="H2175" s="30"/>
      <c r="I2175" s="29"/>
      <c r="J2175" s="30"/>
      <c r="K2175" s="30"/>
      <c r="L2175" s="29"/>
      <c r="M2175" s="32" t="str">
        <f aca="false">IF(OR(C2175="",L2175=""),"",IF(C2175=L2175,"同一","変更"))</f>
        <v/>
      </c>
      <c r="N2175" s="29"/>
      <c r="O2175" s="30"/>
      <c r="P2175" s="29"/>
      <c r="Q2175" s="31"/>
      <c r="R2175" s="29"/>
      <c r="S2175" s="29"/>
      <c r="T2175" s="30"/>
      <c r="U2175" s="47" t="str">
        <f aca="false">IF(AND(B2175&lt;&gt;"",B2175=SW別シート!$C$3),COUNTIF(B$5:B2175,B2175),"")</f>
        <v/>
      </c>
      <c r="V2175" s="47" t="n">
        <f aca="false">V2174+IF(OR(O2175&lt;&gt;"",W2175&lt;&gt;""),1,0)</f>
        <v>3</v>
      </c>
      <c r="W2175" s="29"/>
    </row>
    <row r="2176" customFormat="false" ht="15" hidden="false" customHeight="false" outlineLevel="0" collapsed="false">
      <c r="A2176" s="32" t="str">
        <f aca="false">IF(B2176="","",ROW()-7)</f>
        <v/>
      </c>
      <c r="B2176" s="30"/>
      <c r="C2176" s="29"/>
      <c r="D2176" s="29"/>
      <c r="E2176" s="29"/>
      <c r="F2176" s="30"/>
      <c r="G2176" s="29"/>
      <c r="H2176" s="30"/>
      <c r="I2176" s="29"/>
      <c r="J2176" s="30"/>
      <c r="K2176" s="30"/>
      <c r="L2176" s="29"/>
      <c r="M2176" s="32" t="str">
        <f aca="false">IF(OR(C2176="",L2176=""),"",IF(C2176=L2176,"同一","変更"))</f>
        <v/>
      </c>
      <c r="N2176" s="29"/>
      <c r="O2176" s="30"/>
      <c r="P2176" s="29"/>
      <c r="Q2176" s="31"/>
      <c r="R2176" s="29"/>
      <c r="S2176" s="29"/>
      <c r="T2176" s="30"/>
      <c r="U2176" s="47" t="str">
        <f aca="false">IF(AND(B2176&lt;&gt;"",B2176=SW別シート!$C$3),COUNTIF(B$5:B2176,B2176),"")</f>
        <v/>
      </c>
      <c r="V2176" s="47" t="n">
        <f aca="false">V2175+IF(OR(O2176&lt;&gt;"",W2176&lt;&gt;""),1,0)</f>
        <v>3</v>
      </c>
      <c r="W2176" s="29"/>
    </row>
    <row r="2177" customFormat="false" ht="15" hidden="false" customHeight="false" outlineLevel="0" collapsed="false">
      <c r="A2177" s="32" t="str">
        <f aca="false">IF(B2177="","",ROW()-7)</f>
        <v/>
      </c>
      <c r="B2177" s="30"/>
      <c r="C2177" s="29"/>
      <c r="D2177" s="29"/>
      <c r="E2177" s="29"/>
      <c r="F2177" s="30"/>
      <c r="G2177" s="29"/>
      <c r="H2177" s="30"/>
      <c r="I2177" s="29"/>
      <c r="J2177" s="30"/>
      <c r="K2177" s="30"/>
      <c r="L2177" s="29"/>
      <c r="M2177" s="32" t="str">
        <f aca="false">IF(OR(C2177="",L2177=""),"",IF(C2177=L2177,"同一","変更"))</f>
        <v/>
      </c>
      <c r="N2177" s="29"/>
      <c r="O2177" s="30"/>
      <c r="P2177" s="29"/>
      <c r="Q2177" s="31"/>
      <c r="R2177" s="29"/>
      <c r="S2177" s="29"/>
      <c r="T2177" s="30"/>
      <c r="U2177" s="47" t="str">
        <f aca="false">IF(AND(B2177&lt;&gt;"",B2177=SW別シート!$C$3),COUNTIF(B$5:B2177,B2177),"")</f>
        <v/>
      </c>
      <c r="V2177" s="47" t="n">
        <f aca="false">V2176+IF(OR(O2177&lt;&gt;"",W2177&lt;&gt;""),1,0)</f>
        <v>3</v>
      </c>
      <c r="W2177" s="29"/>
    </row>
    <row r="2178" customFormat="false" ht="15" hidden="false" customHeight="false" outlineLevel="0" collapsed="false">
      <c r="A2178" s="32" t="str">
        <f aca="false">IF(B2178="","",ROW()-7)</f>
        <v/>
      </c>
      <c r="B2178" s="30"/>
      <c r="C2178" s="29"/>
      <c r="D2178" s="29"/>
      <c r="E2178" s="29"/>
      <c r="F2178" s="30"/>
      <c r="G2178" s="29"/>
      <c r="H2178" s="30"/>
      <c r="I2178" s="29"/>
      <c r="J2178" s="30"/>
      <c r="K2178" s="30"/>
      <c r="L2178" s="29"/>
      <c r="M2178" s="32" t="str">
        <f aca="false">IF(OR(C2178="",L2178=""),"",IF(C2178=L2178,"同一","変更"))</f>
        <v/>
      </c>
      <c r="N2178" s="29"/>
      <c r="O2178" s="30"/>
      <c r="P2178" s="29"/>
      <c r="Q2178" s="31"/>
      <c r="R2178" s="29"/>
      <c r="S2178" s="29"/>
      <c r="T2178" s="30"/>
      <c r="U2178" s="47" t="str">
        <f aca="false">IF(AND(B2178&lt;&gt;"",B2178=SW別シート!$C$3),COUNTIF(B$5:B2178,B2178),"")</f>
        <v/>
      </c>
      <c r="V2178" s="47" t="n">
        <f aca="false">V2177+IF(OR(O2178&lt;&gt;"",W2178&lt;&gt;""),1,0)</f>
        <v>3</v>
      </c>
      <c r="W2178" s="29"/>
    </row>
    <row r="2179" customFormat="false" ht="15" hidden="false" customHeight="false" outlineLevel="0" collapsed="false">
      <c r="A2179" s="32" t="str">
        <f aca="false">IF(B2179="","",ROW()-7)</f>
        <v/>
      </c>
      <c r="B2179" s="30"/>
      <c r="C2179" s="29"/>
      <c r="D2179" s="29"/>
      <c r="E2179" s="29"/>
      <c r="F2179" s="30"/>
      <c r="G2179" s="29"/>
      <c r="H2179" s="30"/>
      <c r="I2179" s="29"/>
      <c r="J2179" s="30"/>
      <c r="K2179" s="30"/>
      <c r="L2179" s="29"/>
      <c r="M2179" s="32" t="str">
        <f aca="false">IF(OR(C2179="",L2179=""),"",IF(C2179=L2179,"同一","変更"))</f>
        <v/>
      </c>
      <c r="N2179" s="29"/>
      <c r="O2179" s="30"/>
      <c r="P2179" s="29"/>
      <c r="Q2179" s="31"/>
      <c r="R2179" s="29"/>
      <c r="S2179" s="29"/>
      <c r="T2179" s="30"/>
      <c r="U2179" s="47" t="str">
        <f aca="false">IF(AND(B2179&lt;&gt;"",B2179=SW別シート!$C$3),COUNTIF(B$5:B2179,B2179),"")</f>
        <v/>
      </c>
      <c r="V2179" s="47" t="n">
        <f aca="false">V2178+IF(OR(O2179&lt;&gt;"",W2179&lt;&gt;""),1,0)</f>
        <v>3</v>
      </c>
      <c r="W2179" s="29"/>
    </row>
    <row r="2180" customFormat="false" ht="15" hidden="false" customHeight="false" outlineLevel="0" collapsed="false">
      <c r="A2180" s="32" t="str">
        <f aca="false">IF(B2180="","",ROW()-7)</f>
        <v/>
      </c>
      <c r="B2180" s="30"/>
      <c r="C2180" s="29"/>
      <c r="D2180" s="29"/>
      <c r="E2180" s="29"/>
      <c r="F2180" s="30"/>
      <c r="G2180" s="29"/>
      <c r="H2180" s="30"/>
      <c r="I2180" s="29"/>
      <c r="J2180" s="30"/>
      <c r="K2180" s="30"/>
      <c r="L2180" s="29"/>
      <c r="M2180" s="32" t="str">
        <f aca="false">IF(OR(C2180="",L2180=""),"",IF(C2180=L2180,"同一","変更"))</f>
        <v/>
      </c>
      <c r="N2180" s="29"/>
      <c r="O2180" s="30"/>
      <c r="P2180" s="29"/>
      <c r="Q2180" s="31"/>
      <c r="R2180" s="29"/>
      <c r="S2180" s="29"/>
      <c r="T2180" s="30"/>
      <c r="U2180" s="47" t="str">
        <f aca="false">IF(AND(B2180&lt;&gt;"",B2180=SW別シート!$C$3),COUNTIF(B$5:B2180,B2180),"")</f>
        <v/>
      </c>
      <c r="V2180" s="47" t="n">
        <f aca="false">V2179+IF(OR(O2180&lt;&gt;"",W2180&lt;&gt;""),1,0)</f>
        <v>3</v>
      </c>
      <c r="W2180" s="29"/>
    </row>
    <row r="2181" customFormat="false" ht="15" hidden="false" customHeight="false" outlineLevel="0" collapsed="false">
      <c r="A2181" s="32" t="str">
        <f aca="false">IF(B2181="","",ROW()-7)</f>
        <v/>
      </c>
      <c r="B2181" s="30"/>
      <c r="C2181" s="29"/>
      <c r="D2181" s="29"/>
      <c r="E2181" s="29"/>
      <c r="F2181" s="30"/>
      <c r="G2181" s="29"/>
      <c r="H2181" s="30"/>
      <c r="I2181" s="29"/>
      <c r="J2181" s="30"/>
      <c r="K2181" s="30"/>
      <c r="L2181" s="29"/>
      <c r="M2181" s="32" t="str">
        <f aca="false">IF(OR(C2181="",L2181=""),"",IF(C2181=L2181,"同一","変更"))</f>
        <v/>
      </c>
      <c r="N2181" s="29"/>
      <c r="O2181" s="30"/>
      <c r="P2181" s="29"/>
      <c r="Q2181" s="31"/>
      <c r="R2181" s="29"/>
      <c r="S2181" s="29"/>
      <c r="T2181" s="30"/>
      <c r="U2181" s="47" t="str">
        <f aca="false">IF(AND(B2181&lt;&gt;"",B2181=SW別シート!$C$3),COUNTIF(B$5:B2181,B2181),"")</f>
        <v/>
      </c>
      <c r="V2181" s="47" t="n">
        <f aca="false">V2180+IF(OR(O2181&lt;&gt;"",W2181&lt;&gt;""),1,0)</f>
        <v>3</v>
      </c>
      <c r="W2181" s="29"/>
    </row>
    <row r="2182" customFormat="false" ht="15" hidden="false" customHeight="false" outlineLevel="0" collapsed="false">
      <c r="A2182" s="32" t="str">
        <f aca="false">IF(B2182="","",ROW()-7)</f>
        <v/>
      </c>
      <c r="B2182" s="30"/>
      <c r="C2182" s="29"/>
      <c r="D2182" s="29"/>
      <c r="E2182" s="29"/>
      <c r="F2182" s="30"/>
      <c r="G2182" s="29"/>
      <c r="H2182" s="30"/>
      <c r="I2182" s="29"/>
      <c r="J2182" s="30"/>
      <c r="K2182" s="30"/>
      <c r="L2182" s="29"/>
      <c r="M2182" s="32" t="str">
        <f aca="false">IF(OR(C2182="",L2182=""),"",IF(C2182=L2182,"同一","変更"))</f>
        <v/>
      </c>
      <c r="N2182" s="29"/>
      <c r="O2182" s="30"/>
      <c r="P2182" s="29"/>
      <c r="Q2182" s="31"/>
      <c r="R2182" s="29"/>
      <c r="S2182" s="29"/>
      <c r="T2182" s="30"/>
      <c r="U2182" s="47" t="str">
        <f aca="false">IF(AND(B2182&lt;&gt;"",B2182=SW別シート!$C$3),COUNTIF(B$5:B2182,B2182),"")</f>
        <v/>
      </c>
      <c r="V2182" s="47" t="n">
        <f aca="false">V2181+IF(OR(O2182&lt;&gt;"",W2182&lt;&gt;""),1,0)</f>
        <v>3</v>
      </c>
      <c r="W2182" s="29"/>
    </row>
    <row r="2183" customFormat="false" ht="15" hidden="false" customHeight="false" outlineLevel="0" collapsed="false">
      <c r="A2183" s="32" t="str">
        <f aca="false">IF(B2183="","",ROW()-7)</f>
        <v/>
      </c>
      <c r="B2183" s="30"/>
      <c r="C2183" s="29"/>
      <c r="D2183" s="29"/>
      <c r="E2183" s="29"/>
      <c r="F2183" s="30"/>
      <c r="G2183" s="29"/>
      <c r="H2183" s="30"/>
      <c r="I2183" s="29"/>
      <c r="J2183" s="30"/>
      <c r="K2183" s="30"/>
      <c r="L2183" s="29"/>
      <c r="M2183" s="32" t="str">
        <f aca="false">IF(OR(C2183="",L2183=""),"",IF(C2183=L2183,"同一","変更"))</f>
        <v/>
      </c>
      <c r="N2183" s="29"/>
      <c r="O2183" s="30"/>
      <c r="P2183" s="29"/>
      <c r="Q2183" s="31"/>
      <c r="R2183" s="29"/>
      <c r="S2183" s="29"/>
      <c r="T2183" s="30"/>
      <c r="U2183" s="47" t="str">
        <f aca="false">IF(AND(B2183&lt;&gt;"",B2183=SW別シート!$C$3),COUNTIF(B$5:B2183,B2183),"")</f>
        <v/>
      </c>
      <c r="V2183" s="47" t="n">
        <f aca="false">V2182+IF(OR(O2183&lt;&gt;"",W2183&lt;&gt;""),1,0)</f>
        <v>3</v>
      </c>
      <c r="W2183" s="29"/>
    </row>
    <row r="2184" customFormat="false" ht="15" hidden="false" customHeight="false" outlineLevel="0" collapsed="false">
      <c r="A2184" s="32" t="str">
        <f aca="false">IF(B2184="","",ROW()-7)</f>
        <v/>
      </c>
      <c r="B2184" s="30"/>
      <c r="C2184" s="29"/>
      <c r="D2184" s="29"/>
      <c r="E2184" s="29"/>
      <c r="F2184" s="30"/>
      <c r="G2184" s="29"/>
      <c r="H2184" s="30"/>
      <c r="I2184" s="29"/>
      <c r="J2184" s="30"/>
      <c r="K2184" s="30"/>
      <c r="L2184" s="29"/>
      <c r="M2184" s="32" t="str">
        <f aca="false">IF(OR(C2184="",L2184=""),"",IF(C2184=L2184,"同一","変更"))</f>
        <v/>
      </c>
      <c r="N2184" s="29"/>
      <c r="O2184" s="30"/>
      <c r="P2184" s="29"/>
      <c r="Q2184" s="31"/>
      <c r="R2184" s="29"/>
      <c r="S2184" s="29"/>
      <c r="T2184" s="30"/>
      <c r="U2184" s="47" t="str">
        <f aca="false">IF(AND(B2184&lt;&gt;"",B2184=SW別シート!$C$3),COUNTIF(B$5:B2184,B2184),"")</f>
        <v/>
      </c>
      <c r="V2184" s="47" t="n">
        <f aca="false">V2183+IF(OR(O2184&lt;&gt;"",W2184&lt;&gt;""),1,0)</f>
        <v>3</v>
      </c>
      <c r="W2184" s="29"/>
    </row>
    <row r="2185" customFormat="false" ht="15" hidden="false" customHeight="false" outlineLevel="0" collapsed="false">
      <c r="A2185" s="32" t="str">
        <f aca="false">IF(B2185="","",ROW()-7)</f>
        <v/>
      </c>
      <c r="B2185" s="30"/>
      <c r="C2185" s="29"/>
      <c r="D2185" s="29"/>
      <c r="E2185" s="29"/>
      <c r="F2185" s="30"/>
      <c r="G2185" s="29"/>
      <c r="H2185" s="30"/>
      <c r="I2185" s="29"/>
      <c r="J2185" s="30"/>
      <c r="K2185" s="30"/>
      <c r="L2185" s="29"/>
      <c r="M2185" s="32" t="str">
        <f aca="false">IF(OR(C2185="",L2185=""),"",IF(C2185=L2185,"同一","変更"))</f>
        <v/>
      </c>
      <c r="N2185" s="29"/>
      <c r="O2185" s="30"/>
      <c r="P2185" s="29"/>
      <c r="Q2185" s="31"/>
      <c r="R2185" s="29"/>
      <c r="S2185" s="29"/>
      <c r="T2185" s="30"/>
      <c r="U2185" s="47" t="str">
        <f aca="false">IF(AND(B2185&lt;&gt;"",B2185=SW別シート!$C$3),COUNTIF(B$5:B2185,B2185),"")</f>
        <v/>
      </c>
      <c r="V2185" s="47" t="n">
        <f aca="false">V2184+IF(OR(O2185&lt;&gt;"",W2185&lt;&gt;""),1,0)</f>
        <v>3</v>
      </c>
      <c r="W2185" s="29"/>
    </row>
    <row r="2186" customFormat="false" ht="15" hidden="false" customHeight="false" outlineLevel="0" collapsed="false">
      <c r="A2186" s="32" t="str">
        <f aca="false">IF(B2186="","",ROW()-7)</f>
        <v/>
      </c>
      <c r="B2186" s="30"/>
      <c r="C2186" s="29"/>
      <c r="D2186" s="29"/>
      <c r="E2186" s="29"/>
      <c r="F2186" s="30"/>
      <c r="G2186" s="29"/>
      <c r="H2186" s="30"/>
      <c r="I2186" s="29"/>
      <c r="J2186" s="30"/>
      <c r="K2186" s="30"/>
      <c r="L2186" s="29"/>
      <c r="M2186" s="32" t="str">
        <f aca="false">IF(OR(C2186="",L2186=""),"",IF(C2186=L2186,"同一","変更"))</f>
        <v/>
      </c>
      <c r="N2186" s="29"/>
      <c r="O2186" s="30"/>
      <c r="P2186" s="29"/>
      <c r="Q2186" s="31"/>
      <c r="R2186" s="29"/>
      <c r="S2186" s="29"/>
      <c r="T2186" s="30"/>
      <c r="U2186" s="47" t="str">
        <f aca="false">IF(AND(B2186&lt;&gt;"",B2186=SW別シート!$C$3),COUNTIF(B$5:B2186,B2186),"")</f>
        <v/>
      </c>
      <c r="V2186" s="47" t="n">
        <f aca="false">V2185+IF(OR(O2186&lt;&gt;"",W2186&lt;&gt;""),1,0)</f>
        <v>3</v>
      </c>
      <c r="W2186" s="29"/>
    </row>
    <row r="2187" customFormat="false" ht="15" hidden="false" customHeight="false" outlineLevel="0" collapsed="false">
      <c r="A2187" s="32" t="str">
        <f aca="false">IF(B2187="","",ROW()-7)</f>
        <v/>
      </c>
      <c r="B2187" s="30"/>
      <c r="C2187" s="29"/>
      <c r="D2187" s="29"/>
      <c r="E2187" s="29"/>
      <c r="F2187" s="30"/>
      <c r="G2187" s="29"/>
      <c r="H2187" s="30"/>
      <c r="I2187" s="29"/>
      <c r="J2187" s="30"/>
      <c r="K2187" s="30"/>
      <c r="L2187" s="29"/>
      <c r="M2187" s="32" t="str">
        <f aca="false">IF(OR(C2187="",L2187=""),"",IF(C2187=L2187,"同一","変更"))</f>
        <v/>
      </c>
      <c r="N2187" s="29"/>
      <c r="O2187" s="30"/>
      <c r="P2187" s="29"/>
      <c r="Q2187" s="31"/>
      <c r="R2187" s="29"/>
      <c r="S2187" s="29"/>
      <c r="T2187" s="30"/>
      <c r="U2187" s="47" t="str">
        <f aca="false">IF(AND(B2187&lt;&gt;"",B2187=SW別シート!$C$3),COUNTIF(B$5:B2187,B2187),"")</f>
        <v/>
      </c>
      <c r="V2187" s="47" t="n">
        <f aca="false">V2186+IF(OR(O2187&lt;&gt;"",W2187&lt;&gt;""),1,0)</f>
        <v>3</v>
      </c>
      <c r="W2187" s="29"/>
    </row>
    <row r="2188" customFormat="false" ht="15" hidden="false" customHeight="false" outlineLevel="0" collapsed="false">
      <c r="A2188" s="32" t="str">
        <f aca="false">IF(B2188="","",ROW()-7)</f>
        <v/>
      </c>
      <c r="B2188" s="30"/>
      <c r="C2188" s="29"/>
      <c r="D2188" s="29"/>
      <c r="E2188" s="29"/>
      <c r="F2188" s="30"/>
      <c r="G2188" s="29"/>
      <c r="H2188" s="30"/>
      <c r="I2188" s="29"/>
      <c r="J2188" s="30"/>
      <c r="K2188" s="30"/>
      <c r="L2188" s="29"/>
      <c r="M2188" s="32" t="str">
        <f aca="false">IF(OR(C2188="",L2188=""),"",IF(C2188=L2188,"同一","変更"))</f>
        <v/>
      </c>
      <c r="N2188" s="29"/>
      <c r="O2188" s="30"/>
      <c r="P2188" s="29"/>
      <c r="Q2188" s="31"/>
      <c r="R2188" s="29"/>
      <c r="S2188" s="29"/>
      <c r="T2188" s="30"/>
      <c r="U2188" s="47" t="str">
        <f aca="false">IF(AND(B2188&lt;&gt;"",B2188=SW別シート!$C$3),COUNTIF(B$5:B2188,B2188),"")</f>
        <v/>
      </c>
      <c r="V2188" s="47" t="n">
        <f aca="false">V2187+IF(OR(O2188&lt;&gt;"",W2188&lt;&gt;""),1,0)</f>
        <v>3</v>
      </c>
      <c r="W2188" s="29"/>
    </row>
    <row r="2189" customFormat="false" ht="15" hidden="false" customHeight="false" outlineLevel="0" collapsed="false">
      <c r="A2189" s="32" t="str">
        <f aca="false">IF(B2189="","",ROW()-7)</f>
        <v/>
      </c>
      <c r="B2189" s="30"/>
      <c r="C2189" s="29"/>
      <c r="D2189" s="29"/>
      <c r="E2189" s="29"/>
      <c r="F2189" s="30"/>
      <c r="G2189" s="29"/>
      <c r="H2189" s="30"/>
      <c r="I2189" s="29"/>
      <c r="J2189" s="30"/>
      <c r="K2189" s="30"/>
      <c r="L2189" s="29"/>
      <c r="M2189" s="32" t="str">
        <f aca="false">IF(OR(C2189="",L2189=""),"",IF(C2189=L2189,"同一","変更"))</f>
        <v/>
      </c>
      <c r="N2189" s="29"/>
      <c r="O2189" s="30"/>
      <c r="P2189" s="29"/>
      <c r="Q2189" s="31"/>
      <c r="R2189" s="29"/>
      <c r="S2189" s="29"/>
      <c r="T2189" s="30"/>
      <c r="U2189" s="47" t="str">
        <f aca="false">IF(AND(B2189&lt;&gt;"",B2189=SW別シート!$C$3),COUNTIF(B$5:B2189,B2189),"")</f>
        <v/>
      </c>
      <c r="V2189" s="47" t="n">
        <f aca="false">V2188+IF(OR(O2189&lt;&gt;"",W2189&lt;&gt;""),1,0)</f>
        <v>3</v>
      </c>
      <c r="W2189" s="29"/>
    </row>
    <row r="2190" customFormat="false" ht="15" hidden="false" customHeight="false" outlineLevel="0" collapsed="false">
      <c r="A2190" s="32" t="str">
        <f aca="false">IF(B2190="","",ROW()-7)</f>
        <v/>
      </c>
      <c r="B2190" s="30"/>
      <c r="C2190" s="29"/>
      <c r="D2190" s="29"/>
      <c r="E2190" s="29"/>
      <c r="F2190" s="30"/>
      <c r="G2190" s="29"/>
      <c r="H2190" s="30"/>
      <c r="I2190" s="29"/>
      <c r="J2190" s="30"/>
      <c r="K2190" s="30"/>
      <c r="L2190" s="29"/>
      <c r="M2190" s="32" t="str">
        <f aca="false">IF(OR(C2190="",L2190=""),"",IF(C2190=L2190,"同一","変更"))</f>
        <v/>
      </c>
      <c r="N2190" s="29"/>
      <c r="O2190" s="30"/>
      <c r="P2190" s="29"/>
      <c r="Q2190" s="31"/>
      <c r="R2190" s="29"/>
      <c r="S2190" s="29"/>
      <c r="T2190" s="30"/>
      <c r="U2190" s="47" t="str">
        <f aca="false">IF(AND(B2190&lt;&gt;"",B2190=SW別シート!$C$3),COUNTIF(B$5:B2190,B2190),"")</f>
        <v/>
      </c>
      <c r="V2190" s="47" t="n">
        <f aca="false">V2189+IF(OR(O2190&lt;&gt;"",W2190&lt;&gt;""),1,0)</f>
        <v>3</v>
      </c>
      <c r="W2190" s="29"/>
    </row>
    <row r="2191" customFormat="false" ht="15" hidden="false" customHeight="false" outlineLevel="0" collapsed="false">
      <c r="A2191" s="32" t="str">
        <f aca="false">IF(B2191="","",ROW()-7)</f>
        <v/>
      </c>
      <c r="B2191" s="30"/>
      <c r="C2191" s="29"/>
      <c r="D2191" s="29"/>
      <c r="E2191" s="29"/>
      <c r="F2191" s="30"/>
      <c r="G2191" s="29"/>
      <c r="H2191" s="30"/>
      <c r="I2191" s="29"/>
      <c r="J2191" s="30"/>
      <c r="K2191" s="30"/>
      <c r="L2191" s="29"/>
      <c r="M2191" s="32" t="str">
        <f aca="false">IF(OR(C2191="",L2191=""),"",IF(C2191=L2191,"同一","変更"))</f>
        <v/>
      </c>
      <c r="N2191" s="29"/>
      <c r="O2191" s="30"/>
      <c r="P2191" s="29"/>
      <c r="Q2191" s="31"/>
      <c r="R2191" s="29"/>
      <c r="S2191" s="29"/>
      <c r="T2191" s="30"/>
      <c r="U2191" s="47" t="str">
        <f aca="false">IF(AND(B2191&lt;&gt;"",B2191=SW別シート!$C$3),COUNTIF(B$5:B2191,B2191),"")</f>
        <v/>
      </c>
      <c r="V2191" s="47" t="n">
        <f aca="false">V2190+IF(OR(O2191&lt;&gt;"",W2191&lt;&gt;""),1,0)</f>
        <v>3</v>
      </c>
      <c r="W2191" s="29"/>
    </row>
    <row r="2192" customFormat="false" ht="15" hidden="false" customHeight="false" outlineLevel="0" collapsed="false">
      <c r="A2192" s="32" t="str">
        <f aca="false">IF(B2192="","",ROW()-7)</f>
        <v/>
      </c>
      <c r="B2192" s="30"/>
      <c r="C2192" s="29"/>
      <c r="D2192" s="29"/>
      <c r="E2192" s="29"/>
      <c r="F2192" s="30"/>
      <c r="G2192" s="29"/>
      <c r="H2192" s="30"/>
      <c r="I2192" s="29"/>
      <c r="J2192" s="30"/>
      <c r="K2192" s="30"/>
      <c r="L2192" s="29"/>
      <c r="M2192" s="32" t="str">
        <f aca="false">IF(OR(C2192="",L2192=""),"",IF(C2192=L2192,"同一","変更"))</f>
        <v/>
      </c>
      <c r="N2192" s="29"/>
      <c r="O2192" s="30"/>
      <c r="P2192" s="29"/>
      <c r="Q2192" s="31"/>
      <c r="R2192" s="29"/>
      <c r="S2192" s="29"/>
      <c r="T2192" s="30"/>
      <c r="U2192" s="47" t="str">
        <f aca="false">IF(AND(B2192&lt;&gt;"",B2192=SW別シート!$C$3),COUNTIF(B$5:B2192,B2192),"")</f>
        <v/>
      </c>
      <c r="V2192" s="47" t="n">
        <f aca="false">V2191+IF(OR(O2192&lt;&gt;"",W2192&lt;&gt;""),1,0)</f>
        <v>3</v>
      </c>
      <c r="W2192" s="29"/>
    </row>
    <row r="2193" customFormat="false" ht="15" hidden="false" customHeight="false" outlineLevel="0" collapsed="false">
      <c r="A2193" s="32" t="str">
        <f aca="false">IF(B2193="","",ROW()-7)</f>
        <v/>
      </c>
      <c r="B2193" s="30"/>
      <c r="C2193" s="29"/>
      <c r="D2193" s="29"/>
      <c r="E2193" s="29"/>
      <c r="F2193" s="30"/>
      <c r="G2193" s="29"/>
      <c r="H2193" s="30"/>
      <c r="I2193" s="29"/>
      <c r="J2193" s="30"/>
      <c r="K2193" s="30"/>
      <c r="L2193" s="29"/>
      <c r="M2193" s="32" t="str">
        <f aca="false">IF(OR(C2193="",L2193=""),"",IF(C2193=L2193,"同一","変更"))</f>
        <v/>
      </c>
      <c r="N2193" s="29"/>
      <c r="O2193" s="30"/>
      <c r="P2193" s="29"/>
      <c r="Q2193" s="31"/>
      <c r="R2193" s="29"/>
      <c r="S2193" s="29"/>
      <c r="T2193" s="30"/>
      <c r="U2193" s="47" t="str">
        <f aca="false">IF(AND(B2193&lt;&gt;"",B2193=SW別シート!$C$3),COUNTIF(B$5:B2193,B2193),"")</f>
        <v/>
      </c>
      <c r="V2193" s="47" t="n">
        <f aca="false">V2192+IF(OR(O2193&lt;&gt;"",W2193&lt;&gt;""),1,0)</f>
        <v>3</v>
      </c>
      <c r="W2193" s="29"/>
    </row>
    <row r="2194" customFormat="false" ht="15" hidden="false" customHeight="false" outlineLevel="0" collapsed="false">
      <c r="A2194" s="32" t="str">
        <f aca="false">IF(B2194="","",ROW()-7)</f>
        <v/>
      </c>
      <c r="B2194" s="30"/>
      <c r="C2194" s="29"/>
      <c r="D2194" s="29"/>
      <c r="E2194" s="29"/>
      <c r="F2194" s="30"/>
      <c r="G2194" s="29"/>
      <c r="H2194" s="30"/>
      <c r="I2194" s="29"/>
      <c r="J2194" s="30"/>
      <c r="K2194" s="30"/>
      <c r="L2194" s="29"/>
      <c r="M2194" s="32" t="str">
        <f aca="false">IF(OR(C2194="",L2194=""),"",IF(C2194=L2194,"同一","変更"))</f>
        <v/>
      </c>
      <c r="N2194" s="29"/>
      <c r="O2194" s="30"/>
      <c r="P2194" s="29"/>
      <c r="Q2194" s="31"/>
      <c r="R2194" s="29"/>
      <c r="S2194" s="29"/>
      <c r="T2194" s="30"/>
      <c r="U2194" s="47" t="str">
        <f aca="false">IF(AND(B2194&lt;&gt;"",B2194=SW別シート!$C$3),COUNTIF(B$5:B2194,B2194),"")</f>
        <v/>
      </c>
      <c r="V2194" s="47" t="n">
        <f aca="false">V2193+IF(OR(O2194&lt;&gt;"",W2194&lt;&gt;""),1,0)</f>
        <v>3</v>
      </c>
      <c r="W2194" s="29"/>
    </row>
    <row r="2195" customFormat="false" ht="15" hidden="false" customHeight="false" outlineLevel="0" collapsed="false">
      <c r="A2195" s="32" t="str">
        <f aca="false">IF(B2195="","",ROW()-7)</f>
        <v/>
      </c>
      <c r="B2195" s="30"/>
      <c r="C2195" s="29"/>
      <c r="D2195" s="29"/>
      <c r="E2195" s="29"/>
      <c r="F2195" s="30"/>
      <c r="G2195" s="29"/>
      <c r="H2195" s="30"/>
      <c r="I2195" s="29"/>
      <c r="J2195" s="30"/>
      <c r="K2195" s="30"/>
      <c r="L2195" s="29"/>
      <c r="M2195" s="32" t="str">
        <f aca="false">IF(OR(C2195="",L2195=""),"",IF(C2195=L2195,"同一","変更"))</f>
        <v/>
      </c>
      <c r="N2195" s="29"/>
      <c r="O2195" s="30"/>
      <c r="P2195" s="29"/>
      <c r="Q2195" s="31"/>
      <c r="R2195" s="29"/>
      <c r="S2195" s="29"/>
      <c r="T2195" s="30"/>
      <c r="U2195" s="47" t="str">
        <f aca="false">IF(AND(B2195&lt;&gt;"",B2195=SW別シート!$C$3),COUNTIF(B$5:B2195,B2195),"")</f>
        <v/>
      </c>
      <c r="V2195" s="47" t="n">
        <f aca="false">V2194+IF(OR(O2195&lt;&gt;"",W2195&lt;&gt;""),1,0)</f>
        <v>3</v>
      </c>
      <c r="W2195" s="29"/>
    </row>
    <row r="2196" customFormat="false" ht="15" hidden="false" customHeight="false" outlineLevel="0" collapsed="false">
      <c r="A2196" s="32" t="str">
        <f aca="false">IF(B2196="","",ROW()-7)</f>
        <v/>
      </c>
      <c r="B2196" s="30"/>
      <c r="C2196" s="29"/>
      <c r="D2196" s="29"/>
      <c r="E2196" s="29"/>
      <c r="F2196" s="30"/>
      <c r="G2196" s="29"/>
      <c r="H2196" s="30"/>
      <c r="I2196" s="29"/>
      <c r="J2196" s="30"/>
      <c r="K2196" s="30"/>
      <c r="L2196" s="29"/>
      <c r="M2196" s="32" t="str">
        <f aca="false">IF(OR(C2196="",L2196=""),"",IF(C2196=L2196,"同一","変更"))</f>
        <v/>
      </c>
      <c r="N2196" s="29"/>
      <c r="O2196" s="30"/>
      <c r="P2196" s="29"/>
      <c r="Q2196" s="31"/>
      <c r="R2196" s="29"/>
      <c r="S2196" s="29"/>
      <c r="T2196" s="30"/>
      <c r="U2196" s="47" t="str">
        <f aca="false">IF(AND(B2196&lt;&gt;"",B2196=SW別シート!$C$3),COUNTIF(B$5:B2196,B2196),"")</f>
        <v/>
      </c>
      <c r="V2196" s="47" t="n">
        <f aca="false">V2195+IF(OR(O2196&lt;&gt;"",W2196&lt;&gt;""),1,0)</f>
        <v>3</v>
      </c>
      <c r="W2196" s="29"/>
    </row>
    <row r="2197" customFormat="false" ht="15" hidden="false" customHeight="false" outlineLevel="0" collapsed="false">
      <c r="A2197" s="32" t="str">
        <f aca="false">IF(B2197="","",ROW()-7)</f>
        <v/>
      </c>
      <c r="B2197" s="30"/>
      <c r="C2197" s="29"/>
      <c r="D2197" s="29"/>
      <c r="E2197" s="29"/>
      <c r="F2197" s="30"/>
      <c r="G2197" s="29"/>
      <c r="H2197" s="30"/>
      <c r="I2197" s="29"/>
      <c r="J2197" s="30"/>
      <c r="K2197" s="30"/>
      <c r="L2197" s="29"/>
      <c r="M2197" s="32" t="str">
        <f aca="false">IF(OR(C2197="",L2197=""),"",IF(C2197=L2197,"同一","変更"))</f>
        <v/>
      </c>
      <c r="N2197" s="29"/>
      <c r="O2197" s="30"/>
      <c r="P2197" s="29"/>
      <c r="Q2197" s="31"/>
      <c r="R2197" s="29"/>
      <c r="S2197" s="29"/>
      <c r="T2197" s="30"/>
      <c r="U2197" s="47" t="str">
        <f aca="false">IF(AND(B2197&lt;&gt;"",B2197=SW別シート!$C$3),COUNTIF(B$5:B2197,B2197),"")</f>
        <v/>
      </c>
      <c r="V2197" s="47" t="n">
        <f aca="false">V2196+IF(OR(O2197&lt;&gt;"",W2197&lt;&gt;""),1,0)</f>
        <v>3</v>
      </c>
      <c r="W2197" s="29"/>
    </row>
    <row r="2198" customFormat="false" ht="15" hidden="false" customHeight="false" outlineLevel="0" collapsed="false">
      <c r="A2198" s="32" t="str">
        <f aca="false">IF(B2198="","",ROW()-7)</f>
        <v/>
      </c>
      <c r="B2198" s="30"/>
      <c r="C2198" s="29"/>
      <c r="D2198" s="29"/>
      <c r="E2198" s="29"/>
      <c r="F2198" s="30"/>
      <c r="G2198" s="29"/>
      <c r="H2198" s="30"/>
      <c r="I2198" s="29"/>
      <c r="J2198" s="30"/>
      <c r="K2198" s="30"/>
      <c r="L2198" s="29"/>
      <c r="M2198" s="32" t="str">
        <f aca="false">IF(OR(C2198="",L2198=""),"",IF(C2198=L2198,"同一","変更"))</f>
        <v/>
      </c>
      <c r="N2198" s="29"/>
      <c r="O2198" s="30"/>
      <c r="P2198" s="29"/>
      <c r="Q2198" s="31"/>
      <c r="R2198" s="29"/>
      <c r="S2198" s="29"/>
      <c r="T2198" s="30"/>
      <c r="U2198" s="47" t="str">
        <f aca="false">IF(AND(B2198&lt;&gt;"",B2198=SW別シート!$C$3),COUNTIF(B$5:B2198,B2198),"")</f>
        <v/>
      </c>
      <c r="V2198" s="47" t="n">
        <f aca="false">V2197+IF(OR(O2198&lt;&gt;"",W2198&lt;&gt;""),1,0)</f>
        <v>3</v>
      </c>
      <c r="W2198" s="29"/>
    </row>
    <row r="2199" customFormat="false" ht="15" hidden="false" customHeight="false" outlineLevel="0" collapsed="false">
      <c r="A2199" s="32" t="str">
        <f aca="false">IF(B2199="","",ROW()-7)</f>
        <v/>
      </c>
      <c r="B2199" s="30"/>
      <c r="C2199" s="29"/>
      <c r="D2199" s="29"/>
      <c r="E2199" s="29"/>
      <c r="F2199" s="30"/>
      <c r="G2199" s="29"/>
      <c r="H2199" s="30"/>
      <c r="I2199" s="29"/>
      <c r="J2199" s="30"/>
      <c r="K2199" s="30"/>
      <c r="L2199" s="29"/>
      <c r="M2199" s="32" t="str">
        <f aca="false">IF(OR(C2199="",L2199=""),"",IF(C2199=L2199,"同一","変更"))</f>
        <v/>
      </c>
      <c r="N2199" s="29"/>
      <c r="O2199" s="30"/>
      <c r="P2199" s="29"/>
      <c r="Q2199" s="31"/>
      <c r="R2199" s="29"/>
      <c r="S2199" s="29"/>
      <c r="T2199" s="30"/>
      <c r="U2199" s="47" t="str">
        <f aca="false">IF(AND(B2199&lt;&gt;"",B2199=SW別シート!$C$3),COUNTIF(B$5:B2199,B2199),"")</f>
        <v/>
      </c>
      <c r="V2199" s="47" t="n">
        <f aca="false">V2198+IF(OR(O2199&lt;&gt;"",W2199&lt;&gt;""),1,0)</f>
        <v>3</v>
      </c>
      <c r="W2199" s="29"/>
    </row>
    <row r="2200" customFormat="false" ht="15" hidden="false" customHeight="false" outlineLevel="0" collapsed="false">
      <c r="A2200" s="32" t="str">
        <f aca="false">IF(B2200="","",ROW()-7)</f>
        <v/>
      </c>
      <c r="B2200" s="30"/>
      <c r="C2200" s="29"/>
      <c r="D2200" s="29"/>
      <c r="E2200" s="29"/>
      <c r="F2200" s="30"/>
      <c r="G2200" s="29"/>
      <c r="H2200" s="30"/>
      <c r="I2200" s="29"/>
      <c r="J2200" s="30"/>
      <c r="K2200" s="30"/>
      <c r="L2200" s="29"/>
      <c r="M2200" s="32" t="str">
        <f aca="false">IF(OR(C2200="",L2200=""),"",IF(C2200=L2200,"同一","変更"))</f>
        <v/>
      </c>
      <c r="N2200" s="29"/>
      <c r="O2200" s="30"/>
      <c r="P2200" s="29"/>
      <c r="Q2200" s="31"/>
      <c r="R2200" s="29"/>
      <c r="S2200" s="29"/>
      <c r="T2200" s="30"/>
      <c r="U2200" s="47" t="str">
        <f aca="false">IF(AND(B2200&lt;&gt;"",B2200=SW別シート!$C$3),COUNTIF(B$5:B2200,B2200),"")</f>
        <v/>
      </c>
      <c r="V2200" s="47" t="n">
        <f aca="false">V2199+IF(OR(O2200&lt;&gt;"",W2200&lt;&gt;""),1,0)</f>
        <v>3</v>
      </c>
      <c r="W2200" s="29"/>
    </row>
    <row r="2201" customFormat="false" ht="15" hidden="false" customHeight="false" outlineLevel="0" collapsed="false">
      <c r="A2201" s="32" t="str">
        <f aca="false">IF(B2201="","",ROW()-7)</f>
        <v/>
      </c>
      <c r="B2201" s="30"/>
      <c r="C2201" s="29"/>
      <c r="D2201" s="29"/>
      <c r="E2201" s="29"/>
      <c r="F2201" s="30"/>
      <c r="G2201" s="29"/>
      <c r="H2201" s="30"/>
      <c r="I2201" s="29"/>
      <c r="J2201" s="30"/>
      <c r="K2201" s="30"/>
      <c r="L2201" s="29"/>
      <c r="M2201" s="32" t="str">
        <f aca="false">IF(OR(C2201="",L2201=""),"",IF(C2201=L2201,"同一","変更"))</f>
        <v/>
      </c>
      <c r="N2201" s="29"/>
      <c r="O2201" s="30"/>
      <c r="P2201" s="29"/>
      <c r="Q2201" s="31"/>
      <c r="R2201" s="29"/>
      <c r="S2201" s="29"/>
      <c r="T2201" s="30"/>
      <c r="U2201" s="47" t="str">
        <f aca="false">IF(AND(B2201&lt;&gt;"",B2201=SW別シート!$C$3),COUNTIF(B$5:B2201,B2201),"")</f>
        <v/>
      </c>
      <c r="V2201" s="47" t="n">
        <f aca="false">V2200+IF(OR(O2201&lt;&gt;"",W2201&lt;&gt;""),1,0)</f>
        <v>3</v>
      </c>
      <c r="W2201" s="29"/>
    </row>
    <row r="2202" customFormat="false" ht="15" hidden="false" customHeight="false" outlineLevel="0" collapsed="false">
      <c r="A2202" s="32" t="str">
        <f aca="false">IF(B2202="","",ROW()-7)</f>
        <v/>
      </c>
      <c r="B2202" s="30"/>
      <c r="C2202" s="29"/>
      <c r="D2202" s="29"/>
      <c r="E2202" s="29"/>
      <c r="F2202" s="30"/>
      <c r="G2202" s="29"/>
      <c r="H2202" s="30"/>
      <c r="I2202" s="29"/>
      <c r="J2202" s="30"/>
      <c r="K2202" s="30"/>
      <c r="L2202" s="29"/>
      <c r="M2202" s="32" t="str">
        <f aca="false">IF(OR(C2202="",L2202=""),"",IF(C2202=L2202,"同一","変更"))</f>
        <v/>
      </c>
      <c r="N2202" s="29"/>
      <c r="O2202" s="30"/>
      <c r="P2202" s="29"/>
      <c r="Q2202" s="31"/>
      <c r="R2202" s="29"/>
      <c r="S2202" s="29"/>
      <c r="T2202" s="30"/>
      <c r="U2202" s="47" t="str">
        <f aca="false">IF(AND(B2202&lt;&gt;"",B2202=SW別シート!$C$3),COUNTIF(B$5:B2202,B2202),"")</f>
        <v/>
      </c>
      <c r="V2202" s="47" t="n">
        <f aca="false">V2201+IF(OR(O2202&lt;&gt;"",W2202&lt;&gt;""),1,0)</f>
        <v>3</v>
      </c>
      <c r="W2202" s="29"/>
    </row>
    <row r="2203" customFormat="false" ht="15" hidden="false" customHeight="false" outlineLevel="0" collapsed="false">
      <c r="A2203" s="32" t="str">
        <f aca="false">IF(B2203="","",ROW()-7)</f>
        <v/>
      </c>
      <c r="B2203" s="30"/>
      <c r="C2203" s="29"/>
      <c r="D2203" s="29"/>
      <c r="E2203" s="29"/>
      <c r="F2203" s="30"/>
      <c r="G2203" s="29"/>
      <c r="H2203" s="30"/>
      <c r="I2203" s="29"/>
      <c r="J2203" s="30"/>
      <c r="K2203" s="30"/>
      <c r="L2203" s="29"/>
      <c r="M2203" s="32" t="str">
        <f aca="false">IF(OR(C2203="",L2203=""),"",IF(C2203=L2203,"同一","変更"))</f>
        <v/>
      </c>
      <c r="N2203" s="29"/>
      <c r="O2203" s="30"/>
      <c r="P2203" s="29"/>
      <c r="Q2203" s="31"/>
      <c r="R2203" s="29"/>
      <c r="S2203" s="29"/>
      <c r="T2203" s="30"/>
      <c r="U2203" s="47" t="str">
        <f aca="false">IF(AND(B2203&lt;&gt;"",B2203=SW別シート!$C$3),COUNTIF(B$5:B2203,B2203),"")</f>
        <v/>
      </c>
      <c r="V2203" s="47" t="n">
        <f aca="false">V2202+IF(OR(O2203&lt;&gt;"",W2203&lt;&gt;""),1,0)</f>
        <v>3</v>
      </c>
      <c r="W2203" s="29"/>
    </row>
    <row r="2204" customFormat="false" ht="15" hidden="false" customHeight="false" outlineLevel="0" collapsed="false">
      <c r="A2204" s="32" t="str">
        <f aca="false">IF(B2204="","",ROW()-7)</f>
        <v/>
      </c>
      <c r="B2204" s="30"/>
      <c r="C2204" s="29"/>
      <c r="D2204" s="29"/>
      <c r="E2204" s="29"/>
      <c r="F2204" s="30"/>
      <c r="G2204" s="29"/>
      <c r="H2204" s="30"/>
      <c r="I2204" s="29"/>
      <c r="J2204" s="30"/>
      <c r="K2204" s="30"/>
      <c r="L2204" s="29"/>
      <c r="M2204" s="32" t="str">
        <f aca="false">IF(OR(C2204="",L2204=""),"",IF(C2204=L2204,"同一","変更"))</f>
        <v/>
      </c>
      <c r="N2204" s="29"/>
      <c r="O2204" s="30"/>
      <c r="P2204" s="29"/>
      <c r="Q2204" s="31"/>
      <c r="R2204" s="29"/>
      <c r="S2204" s="29"/>
      <c r="T2204" s="30"/>
      <c r="U2204" s="47" t="str">
        <f aca="false">IF(AND(B2204&lt;&gt;"",B2204=SW別シート!$C$3),COUNTIF(B$5:B2204,B2204),"")</f>
        <v/>
      </c>
      <c r="V2204" s="47" t="n">
        <f aca="false">V2203+IF(OR(O2204&lt;&gt;"",W2204&lt;&gt;""),1,0)</f>
        <v>3</v>
      </c>
      <c r="W2204" s="29"/>
    </row>
    <row r="2205" customFormat="false" ht="15" hidden="false" customHeight="false" outlineLevel="0" collapsed="false">
      <c r="A2205" s="32" t="str">
        <f aca="false">IF(B2205="","",ROW()-7)</f>
        <v/>
      </c>
      <c r="B2205" s="30"/>
      <c r="C2205" s="29"/>
      <c r="D2205" s="29"/>
      <c r="E2205" s="29"/>
      <c r="F2205" s="30"/>
      <c r="G2205" s="29"/>
      <c r="H2205" s="30"/>
      <c r="I2205" s="29"/>
      <c r="J2205" s="30"/>
      <c r="K2205" s="30"/>
      <c r="L2205" s="29"/>
      <c r="M2205" s="32" t="str">
        <f aca="false">IF(OR(C2205="",L2205=""),"",IF(C2205=L2205,"同一","変更"))</f>
        <v/>
      </c>
      <c r="N2205" s="29"/>
      <c r="O2205" s="30"/>
      <c r="P2205" s="29"/>
      <c r="Q2205" s="31"/>
      <c r="R2205" s="29"/>
      <c r="S2205" s="29"/>
      <c r="T2205" s="30"/>
      <c r="U2205" s="47" t="str">
        <f aca="false">IF(AND(B2205&lt;&gt;"",B2205=SW別シート!$C$3),COUNTIF(B$5:B2205,B2205),"")</f>
        <v/>
      </c>
      <c r="V2205" s="47" t="n">
        <f aca="false">V2204+IF(OR(O2205&lt;&gt;"",W2205&lt;&gt;""),1,0)</f>
        <v>3</v>
      </c>
      <c r="W2205" s="29"/>
    </row>
    <row r="2206" customFormat="false" ht="15" hidden="false" customHeight="false" outlineLevel="0" collapsed="false">
      <c r="A2206" s="32" t="str">
        <f aca="false">IF(B2206="","",ROW()-7)</f>
        <v/>
      </c>
      <c r="B2206" s="30"/>
      <c r="C2206" s="29"/>
      <c r="D2206" s="29"/>
      <c r="E2206" s="29"/>
      <c r="F2206" s="30"/>
      <c r="G2206" s="29"/>
      <c r="H2206" s="30"/>
      <c r="I2206" s="29"/>
      <c r="J2206" s="30"/>
      <c r="K2206" s="30"/>
      <c r="L2206" s="29"/>
      <c r="M2206" s="32" t="str">
        <f aca="false">IF(OR(C2206="",L2206=""),"",IF(C2206=L2206,"同一","変更"))</f>
        <v/>
      </c>
      <c r="N2206" s="29"/>
      <c r="O2206" s="30"/>
      <c r="P2206" s="29"/>
      <c r="Q2206" s="31"/>
      <c r="R2206" s="29"/>
      <c r="S2206" s="29"/>
      <c r="T2206" s="30"/>
      <c r="U2206" s="47" t="str">
        <f aca="false">IF(AND(B2206&lt;&gt;"",B2206=SW別シート!$C$3),COUNTIF(B$5:B2206,B2206),"")</f>
        <v/>
      </c>
      <c r="V2206" s="47" t="n">
        <f aca="false">V2205+IF(OR(O2206&lt;&gt;"",W2206&lt;&gt;""),1,0)</f>
        <v>3</v>
      </c>
      <c r="W2206" s="29"/>
    </row>
    <row r="2207" customFormat="false" ht="15" hidden="false" customHeight="false" outlineLevel="0" collapsed="false">
      <c r="A2207" s="32" t="str">
        <f aca="false">IF(B2207="","",ROW()-7)</f>
        <v/>
      </c>
      <c r="B2207" s="30"/>
      <c r="C2207" s="29"/>
      <c r="D2207" s="29"/>
      <c r="E2207" s="29"/>
      <c r="F2207" s="30"/>
      <c r="G2207" s="29"/>
      <c r="H2207" s="30"/>
      <c r="I2207" s="29"/>
      <c r="J2207" s="30"/>
      <c r="K2207" s="30"/>
      <c r="L2207" s="29"/>
      <c r="M2207" s="32" t="str">
        <f aca="false">IF(OR(C2207="",L2207=""),"",IF(C2207=L2207,"同一","変更"))</f>
        <v/>
      </c>
      <c r="N2207" s="29"/>
      <c r="O2207" s="30"/>
      <c r="P2207" s="29"/>
      <c r="Q2207" s="31"/>
      <c r="R2207" s="29"/>
      <c r="S2207" s="29"/>
      <c r="T2207" s="30"/>
      <c r="U2207" s="47" t="str">
        <f aca="false">IF(AND(B2207&lt;&gt;"",B2207=SW別シート!$C$3),COUNTIF(B$5:B2207,B2207),"")</f>
        <v/>
      </c>
      <c r="V2207" s="47" t="n">
        <f aca="false">V2206+IF(OR(O2207&lt;&gt;"",W2207&lt;&gt;""),1,0)</f>
        <v>3</v>
      </c>
      <c r="W2207" s="29"/>
    </row>
    <row r="2208" customFormat="false" ht="15" hidden="false" customHeight="false" outlineLevel="0" collapsed="false">
      <c r="A2208" s="32" t="str">
        <f aca="false">IF(B2208="","",ROW()-7)</f>
        <v/>
      </c>
      <c r="B2208" s="30"/>
      <c r="C2208" s="29"/>
      <c r="D2208" s="29"/>
      <c r="E2208" s="29"/>
      <c r="F2208" s="30"/>
      <c r="G2208" s="29"/>
      <c r="H2208" s="30"/>
      <c r="I2208" s="29"/>
      <c r="J2208" s="30"/>
      <c r="K2208" s="30"/>
      <c r="L2208" s="29"/>
      <c r="M2208" s="32" t="str">
        <f aca="false">IF(OR(C2208="",L2208=""),"",IF(C2208=L2208,"同一","変更"))</f>
        <v/>
      </c>
      <c r="N2208" s="29"/>
      <c r="O2208" s="30"/>
      <c r="P2208" s="29"/>
      <c r="Q2208" s="31"/>
      <c r="R2208" s="29"/>
      <c r="S2208" s="29"/>
      <c r="T2208" s="30"/>
      <c r="U2208" s="47" t="str">
        <f aca="false">IF(AND(B2208&lt;&gt;"",B2208=SW別シート!$C$3),COUNTIF(B$5:B2208,B2208),"")</f>
        <v/>
      </c>
      <c r="V2208" s="47" t="n">
        <f aca="false">V2207+IF(OR(O2208&lt;&gt;"",W2208&lt;&gt;""),1,0)</f>
        <v>3</v>
      </c>
      <c r="W2208" s="29"/>
    </row>
    <row r="2209" customFormat="false" ht="15" hidden="false" customHeight="false" outlineLevel="0" collapsed="false">
      <c r="A2209" s="32" t="str">
        <f aca="false">IF(B2209="","",ROW()-7)</f>
        <v/>
      </c>
      <c r="B2209" s="30"/>
      <c r="C2209" s="29"/>
      <c r="D2209" s="29"/>
      <c r="E2209" s="29"/>
      <c r="F2209" s="30"/>
      <c r="G2209" s="29"/>
      <c r="H2209" s="30"/>
      <c r="I2209" s="29"/>
      <c r="J2209" s="30"/>
      <c r="K2209" s="30"/>
      <c r="L2209" s="29"/>
      <c r="M2209" s="32" t="str">
        <f aca="false">IF(OR(C2209="",L2209=""),"",IF(C2209=L2209,"同一","変更"))</f>
        <v/>
      </c>
      <c r="N2209" s="29"/>
      <c r="O2209" s="30"/>
      <c r="P2209" s="29"/>
      <c r="Q2209" s="31"/>
      <c r="R2209" s="29"/>
      <c r="S2209" s="29"/>
      <c r="T2209" s="30"/>
      <c r="U2209" s="47" t="str">
        <f aca="false">IF(AND(B2209&lt;&gt;"",B2209=SW別シート!$C$3),COUNTIF(B$5:B2209,B2209),"")</f>
        <v/>
      </c>
      <c r="V2209" s="47" t="n">
        <f aca="false">V2208+IF(OR(O2209&lt;&gt;"",W2209&lt;&gt;""),1,0)</f>
        <v>3</v>
      </c>
      <c r="W2209" s="29"/>
    </row>
    <row r="2210" customFormat="false" ht="15" hidden="false" customHeight="false" outlineLevel="0" collapsed="false">
      <c r="A2210" s="32" t="str">
        <f aca="false">IF(B2210="","",ROW()-7)</f>
        <v/>
      </c>
      <c r="B2210" s="30"/>
      <c r="C2210" s="29"/>
      <c r="D2210" s="29"/>
      <c r="E2210" s="29"/>
      <c r="F2210" s="30"/>
      <c r="G2210" s="29"/>
      <c r="H2210" s="30"/>
      <c r="I2210" s="29"/>
      <c r="J2210" s="30"/>
      <c r="K2210" s="30"/>
      <c r="L2210" s="29"/>
      <c r="M2210" s="32" t="str">
        <f aca="false">IF(OR(C2210="",L2210=""),"",IF(C2210=L2210,"同一","変更"))</f>
        <v/>
      </c>
      <c r="N2210" s="29"/>
      <c r="O2210" s="30"/>
      <c r="P2210" s="29"/>
      <c r="Q2210" s="31"/>
      <c r="R2210" s="29"/>
      <c r="S2210" s="29"/>
      <c r="T2210" s="30"/>
      <c r="U2210" s="47" t="str">
        <f aca="false">IF(AND(B2210&lt;&gt;"",B2210=SW別シート!$C$3),COUNTIF(B$5:B2210,B2210),"")</f>
        <v/>
      </c>
      <c r="V2210" s="47" t="n">
        <f aca="false">V2209+IF(OR(O2210&lt;&gt;"",W2210&lt;&gt;""),1,0)</f>
        <v>3</v>
      </c>
      <c r="W2210" s="29"/>
    </row>
    <row r="2211" customFormat="false" ht="15" hidden="false" customHeight="false" outlineLevel="0" collapsed="false">
      <c r="A2211" s="32" t="str">
        <f aca="false">IF(B2211="","",ROW()-7)</f>
        <v/>
      </c>
      <c r="B2211" s="30"/>
      <c r="C2211" s="29"/>
      <c r="D2211" s="29"/>
      <c r="E2211" s="29"/>
      <c r="F2211" s="30"/>
      <c r="G2211" s="29"/>
      <c r="H2211" s="30"/>
      <c r="I2211" s="29"/>
      <c r="J2211" s="30"/>
      <c r="K2211" s="30"/>
      <c r="L2211" s="29"/>
      <c r="M2211" s="32" t="str">
        <f aca="false">IF(OR(C2211="",L2211=""),"",IF(C2211=L2211,"同一","変更"))</f>
        <v/>
      </c>
      <c r="N2211" s="29"/>
      <c r="O2211" s="30"/>
      <c r="P2211" s="29"/>
      <c r="Q2211" s="31"/>
      <c r="R2211" s="29"/>
      <c r="S2211" s="29"/>
      <c r="T2211" s="30"/>
      <c r="U2211" s="47" t="str">
        <f aca="false">IF(AND(B2211&lt;&gt;"",B2211=SW別シート!$C$3),COUNTIF(B$5:B2211,B2211),"")</f>
        <v/>
      </c>
      <c r="V2211" s="47" t="n">
        <f aca="false">V2210+IF(OR(O2211&lt;&gt;"",W2211&lt;&gt;""),1,0)</f>
        <v>3</v>
      </c>
      <c r="W2211" s="29"/>
    </row>
    <row r="2212" customFormat="false" ht="15" hidden="false" customHeight="false" outlineLevel="0" collapsed="false">
      <c r="A2212" s="32" t="str">
        <f aca="false">IF(B2212="","",ROW()-7)</f>
        <v/>
      </c>
      <c r="B2212" s="30"/>
      <c r="C2212" s="29"/>
      <c r="D2212" s="29"/>
      <c r="E2212" s="29"/>
      <c r="F2212" s="30"/>
      <c r="G2212" s="29"/>
      <c r="H2212" s="30"/>
      <c r="I2212" s="29"/>
      <c r="J2212" s="30"/>
      <c r="K2212" s="30"/>
      <c r="L2212" s="29"/>
      <c r="M2212" s="32" t="str">
        <f aca="false">IF(OR(C2212="",L2212=""),"",IF(C2212=L2212,"同一","変更"))</f>
        <v/>
      </c>
      <c r="N2212" s="29"/>
      <c r="O2212" s="30"/>
      <c r="P2212" s="29"/>
      <c r="Q2212" s="31"/>
      <c r="R2212" s="29"/>
      <c r="S2212" s="29"/>
      <c r="T2212" s="30"/>
      <c r="U2212" s="47" t="str">
        <f aca="false">IF(AND(B2212&lt;&gt;"",B2212=SW別シート!$C$3),COUNTIF(B$5:B2212,B2212),"")</f>
        <v/>
      </c>
      <c r="V2212" s="47" t="n">
        <f aca="false">V2211+IF(OR(O2212&lt;&gt;"",W2212&lt;&gt;""),1,0)</f>
        <v>3</v>
      </c>
      <c r="W2212" s="29"/>
    </row>
    <row r="2213" customFormat="false" ht="15" hidden="false" customHeight="false" outlineLevel="0" collapsed="false">
      <c r="A2213" s="32" t="str">
        <f aca="false">IF(B2213="","",ROW()-7)</f>
        <v/>
      </c>
      <c r="B2213" s="30"/>
      <c r="C2213" s="29"/>
      <c r="D2213" s="29"/>
      <c r="E2213" s="29"/>
      <c r="F2213" s="30"/>
      <c r="G2213" s="29"/>
      <c r="H2213" s="30"/>
      <c r="I2213" s="29"/>
      <c r="J2213" s="30"/>
      <c r="K2213" s="30"/>
      <c r="L2213" s="29"/>
      <c r="M2213" s="32" t="str">
        <f aca="false">IF(OR(C2213="",L2213=""),"",IF(C2213=L2213,"同一","変更"))</f>
        <v/>
      </c>
      <c r="N2213" s="29"/>
      <c r="O2213" s="30"/>
      <c r="P2213" s="29"/>
      <c r="Q2213" s="31"/>
      <c r="R2213" s="29"/>
      <c r="S2213" s="29"/>
      <c r="T2213" s="30"/>
      <c r="U2213" s="47" t="str">
        <f aca="false">IF(AND(B2213&lt;&gt;"",B2213=SW別シート!$C$3),COUNTIF(B$5:B2213,B2213),"")</f>
        <v/>
      </c>
      <c r="V2213" s="47" t="n">
        <f aca="false">V2212+IF(OR(O2213&lt;&gt;"",W2213&lt;&gt;""),1,0)</f>
        <v>3</v>
      </c>
      <c r="W2213" s="29"/>
    </row>
    <row r="2214" customFormat="false" ht="15" hidden="false" customHeight="false" outlineLevel="0" collapsed="false">
      <c r="A2214" s="32" t="str">
        <f aca="false">IF(B2214="","",ROW()-7)</f>
        <v/>
      </c>
      <c r="B2214" s="30"/>
      <c r="C2214" s="29"/>
      <c r="D2214" s="29"/>
      <c r="E2214" s="29"/>
      <c r="F2214" s="30"/>
      <c r="G2214" s="29"/>
      <c r="H2214" s="30"/>
      <c r="I2214" s="29"/>
      <c r="J2214" s="30"/>
      <c r="K2214" s="30"/>
      <c r="L2214" s="29"/>
      <c r="M2214" s="32" t="str">
        <f aca="false">IF(OR(C2214="",L2214=""),"",IF(C2214=L2214,"同一","変更"))</f>
        <v/>
      </c>
      <c r="N2214" s="29"/>
      <c r="O2214" s="30"/>
      <c r="P2214" s="29"/>
      <c r="Q2214" s="31"/>
      <c r="R2214" s="29"/>
      <c r="S2214" s="29"/>
      <c r="T2214" s="30"/>
      <c r="U2214" s="47" t="str">
        <f aca="false">IF(AND(B2214&lt;&gt;"",B2214=SW別シート!$C$3),COUNTIF(B$5:B2214,B2214),"")</f>
        <v/>
      </c>
      <c r="V2214" s="47" t="n">
        <f aca="false">V2213+IF(OR(O2214&lt;&gt;"",W2214&lt;&gt;""),1,0)</f>
        <v>3</v>
      </c>
      <c r="W2214" s="29"/>
    </row>
    <row r="2215" customFormat="false" ht="15" hidden="false" customHeight="false" outlineLevel="0" collapsed="false">
      <c r="A2215" s="32" t="str">
        <f aca="false">IF(B2215="","",ROW()-7)</f>
        <v/>
      </c>
      <c r="B2215" s="30"/>
      <c r="C2215" s="29"/>
      <c r="D2215" s="29"/>
      <c r="E2215" s="29"/>
      <c r="F2215" s="30"/>
      <c r="G2215" s="29"/>
      <c r="H2215" s="30"/>
      <c r="I2215" s="29"/>
      <c r="J2215" s="30"/>
      <c r="K2215" s="30"/>
      <c r="L2215" s="29"/>
      <c r="M2215" s="32" t="str">
        <f aca="false">IF(OR(C2215="",L2215=""),"",IF(C2215=L2215,"同一","変更"))</f>
        <v/>
      </c>
      <c r="N2215" s="29"/>
      <c r="O2215" s="30"/>
      <c r="P2215" s="29"/>
      <c r="Q2215" s="31"/>
      <c r="R2215" s="29"/>
      <c r="S2215" s="29"/>
      <c r="T2215" s="30"/>
      <c r="U2215" s="47" t="str">
        <f aca="false">IF(AND(B2215&lt;&gt;"",B2215=SW別シート!$C$3),COUNTIF(B$5:B2215,B2215),"")</f>
        <v/>
      </c>
      <c r="V2215" s="47" t="n">
        <f aca="false">V2214+IF(OR(O2215&lt;&gt;"",W2215&lt;&gt;""),1,0)</f>
        <v>3</v>
      </c>
      <c r="W2215" s="29"/>
    </row>
    <row r="2216" customFormat="false" ht="15" hidden="false" customHeight="false" outlineLevel="0" collapsed="false">
      <c r="A2216" s="32" t="str">
        <f aca="false">IF(B2216="","",ROW()-7)</f>
        <v/>
      </c>
      <c r="B2216" s="30"/>
      <c r="C2216" s="29"/>
      <c r="D2216" s="29"/>
      <c r="E2216" s="29"/>
      <c r="F2216" s="30"/>
      <c r="G2216" s="29"/>
      <c r="H2216" s="30"/>
      <c r="I2216" s="29"/>
      <c r="J2216" s="30"/>
      <c r="K2216" s="30"/>
      <c r="L2216" s="29"/>
      <c r="M2216" s="32" t="str">
        <f aca="false">IF(OR(C2216="",L2216=""),"",IF(C2216=L2216,"同一","変更"))</f>
        <v/>
      </c>
      <c r="N2216" s="29"/>
      <c r="O2216" s="30"/>
      <c r="P2216" s="29"/>
      <c r="Q2216" s="31"/>
      <c r="R2216" s="29"/>
      <c r="S2216" s="29"/>
      <c r="T2216" s="30"/>
      <c r="U2216" s="47" t="str">
        <f aca="false">IF(AND(B2216&lt;&gt;"",B2216=SW別シート!$C$3),COUNTIF(B$5:B2216,B2216),"")</f>
        <v/>
      </c>
      <c r="V2216" s="47" t="n">
        <f aca="false">V2215+IF(OR(O2216&lt;&gt;"",W2216&lt;&gt;""),1,0)</f>
        <v>3</v>
      </c>
      <c r="W2216" s="29"/>
    </row>
    <row r="2217" customFormat="false" ht="15" hidden="false" customHeight="false" outlineLevel="0" collapsed="false">
      <c r="A2217" s="32" t="str">
        <f aca="false">IF(B2217="","",ROW()-7)</f>
        <v/>
      </c>
      <c r="B2217" s="30"/>
      <c r="C2217" s="29"/>
      <c r="D2217" s="29"/>
      <c r="E2217" s="29"/>
      <c r="F2217" s="30"/>
      <c r="G2217" s="29"/>
      <c r="H2217" s="30"/>
      <c r="I2217" s="29"/>
      <c r="J2217" s="30"/>
      <c r="K2217" s="30"/>
      <c r="L2217" s="29"/>
      <c r="M2217" s="32" t="str">
        <f aca="false">IF(OR(C2217="",L2217=""),"",IF(C2217=L2217,"同一","変更"))</f>
        <v/>
      </c>
      <c r="N2217" s="29"/>
      <c r="O2217" s="30"/>
      <c r="P2217" s="29"/>
      <c r="Q2217" s="31"/>
      <c r="R2217" s="29"/>
      <c r="S2217" s="29"/>
      <c r="T2217" s="30"/>
      <c r="U2217" s="47" t="str">
        <f aca="false">IF(AND(B2217&lt;&gt;"",B2217=SW別シート!$C$3),COUNTIF(B$5:B2217,B2217),"")</f>
        <v/>
      </c>
      <c r="V2217" s="47" t="n">
        <f aca="false">V2216+IF(OR(O2217&lt;&gt;"",W2217&lt;&gt;""),1,0)</f>
        <v>3</v>
      </c>
      <c r="W2217" s="29"/>
    </row>
    <row r="2218" customFormat="false" ht="15" hidden="false" customHeight="false" outlineLevel="0" collapsed="false">
      <c r="A2218" s="32" t="str">
        <f aca="false">IF(B2218="","",ROW()-7)</f>
        <v/>
      </c>
      <c r="B2218" s="30"/>
      <c r="C2218" s="29"/>
      <c r="D2218" s="29"/>
      <c r="E2218" s="29"/>
      <c r="F2218" s="30"/>
      <c r="G2218" s="29"/>
      <c r="H2218" s="30"/>
      <c r="I2218" s="29"/>
      <c r="J2218" s="30"/>
      <c r="K2218" s="30"/>
      <c r="L2218" s="29"/>
      <c r="M2218" s="32" t="str">
        <f aca="false">IF(OR(C2218="",L2218=""),"",IF(C2218=L2218,"同一","変更"))</f>
        <v/>
      </c>
      <c r="N2218" s="29"/>
      <c r="O2218" s="30"/>
      <c r="P2218" s="29"/>
      <c r="Q2218" s="31"/>
      <c r="R2218" s="29"/>
      <c r="S2218" s="29"/>
      <c r="T2218" s="30"/>
      <c r="U2218" s="47" t="str">
        <f aca="false">IF(AND(B2218&lt;&gt;"",B2218=SW別シート!$C$3),COUNTIF(B$5:B2218,B2218),"")</f>
        <v/>
      </c>
      <c r="V2218" s="47" t="n">
        <f aca="false">V2217+IF(OR(O2218&lt;&gt;"",W2218&lt;&gt;""),1,0)</f>
        <v>3</v>
      </c>
      <c r="W2218" s="29"/>
    </row>
    <row r="2219" customFormat="false" ht="15" hidden="false" customHeight="false" outlineLevel="0" collapsed="false">
      <c r="A2219" s="32" t="str">
        <f aca="false">IF(B2219="","",ROW()-7)</f>
        <v/>
      </c>
      <c r="B2219" s="30"/>
      <c r="C2219" s="29"/>
      <c r="D2219" s="29"/>
      <c r="E2219" s="29"/>
      <c r="F2219" s="30"/>
      <c r="G2219" s="29"/>
      <c r="H2219" s="30"/>
      <c r="I2219" s="29"/>
      <c r="J2219" s="30"/>
      <c r="K2219" s="30"/>
      <c r="L2219" s="29"/>
      <c r="M2219" s="32" t="str">
        <f aca="false">IF(OR(C2219="",L2219=""),"",IF(C2219=L2219,"同一","変更"))</f>
        <v/>
      </c>
      <c r="N2219" s="29"/>
      <c r="O2219" s="30"/>
      <c r="P2219" s="29"/>
      <c r="Q2219" s="31"/>
      <c r="R2219" s="29"/>
      <c r="S2219" s="29"/>
      <c r="T2219" s="30"/>
      <c r="U2219" s="47" t="str">
        <f aca="false">IF(AND(B2219&lt;&gt;"",B2219=SW別シート!$C$3),COUNTIF(B$5:B2219,B2219),"")</f>
        <v/>
      </c>
      <c r="V2219" s="47" t="n">
        <f aca="false">V2218+IF(OR(O2219&lt;&gt;"",W2219&lt;&gt;""),1,0)</f>
        <v>3</v>
      </c>
      <c r="W2219" s="29"/>
    </row>
    <row r="2220" customFormat="false" ht="15" hidden="false" customHeight="false" outlineLevel="0" collapsed="false">
      <c r="A2220" s="32" t="str">
        <f aca="false">IF(B2220="","",ROW()-7)</f>
        <v/>
      </c>
      <c r="B2220" s="30"/>
      <c r="C2220" s="29"/>
      <c r="D2220" s="29"/>
      <c r="E2220" s="29"/>
      <c r="F2220" s="30"/>
      <c r="G2220" s="29"/>
      <c r="H2220" s="30"/>
      <c r="I2220" s="29"/>
      <c r="J2220" s="30"/>
      <c r="K2220" s="30"/>
      <c r="L2220" s="29"/>
      <c r="M2220" s="32" t="str">
        <f aca="false">IF(OR(C2220="",L2220=""),"",IF(C2220=L2220,"同一","変更"))</f>
        <v/>
      </c>
      <c r="N2220" s="29"/>
      <c r="O2220" s="30"/>
      <c r="P2220" s="29"/>
      <c r="Q2220" s="31"/>
      <c r="R2220" s="29"/>
      <c r="S2220" s="29"/>
      <c r="T2220" s="30"/>
      <c r="U2220" s="47" t="str">
        <f aca="false">IF(AND(B2220&lt;&gt;"",B2220=SW別シート!$C$3),COUNTIF(B$5:B2220,B2220),"")</f>
        <v/>
      </c>
      <c r="V2220" s="47" t="n">
        <f aca="false">V2219+IF(OR(O2220&lt;&gt;"",W2220&lt;&gt;""),1,0)</f>
        <v>3</v>
      </c>
      <c r="W2220" s="29"/>
    </row>
    <row r="2221" customFormat="false" ht="15" hidden="false" customHeight="false" outlineLevel="0" collapsed="false">
      <c r="A2221" s="32" t="str">
        <f aca="false">IF(B2221="","",ROW()-7)</f>
        <v/>
      </c>
      <c r="B2221" s="30"/>
      <c r="C2221" s="29"/>
      <c r="D2221" s="29"/>
      <c r="E2221" s="29"/>
      <c r="F2221" s="30"/>
      <c r="G2221" s="29"/>
      <c r="H2221" s="30"/>
      <c r="I2221" s="29"/>
      <c r="J2221" s="30"/>
      <c r="K2221" s="30"/>
      <c r="L2221" s="29"/>
      <c r="M2221" s="32" t="str">
        <f aca="false">IF(OR(C2221="",L2221=""),"",IF(C2221=L2221,"同一","変更"))</f>
        <v/>
      </c>
      <c r="N2221" s="29"/>
      <c r="O2221" s="30"/>
      <c r="P2221" s="29"/>
      <c r="Q2221" s="31"/>
      <c r="R2221" s="29"/>
      <c r="S2221" s="29"/>
      <c r="T2221" s="30"/>
      <c r="U2221" s="47" t="str">
        <f aca="false">IF(AND(B2221&lt;&gt;"",B2221=SW別シート!$C$3),COUNTIF(B$5:B2221,B2221),"")</f>
        <v/>
      </c>
      <c r="V2221" s="47" t="n">
        <f aca="false">V2220+IF(OR(O2221&lt;&gt;"",W2221&lt;&gt;""),1,0)</f>
        <v>3</v>
      </c>
      <c r="W2221" s="29"/>
    </row>
    <row r="2222" customFormat="false" ht="15" hidden="false" customHeight="false" outlineLevel="0" collapsed="false">
      <c r="A2222" s="32" t="str">
        <f aca="false">IF(B2222="","",ROW()-7)</f>
        <v/>
      </c>
      <c r="B2222" s="30"/>
      <c r="C2222" s="29"/>
      <c r="D2222" s="29"/>
      <c r="E2222" s="29"/>
      <c r="F2222" s="30"/>
      <c r="G2222" s="29"/>
      <c r="H2222" s="30"/>
      <c r="I2222" s="29"/>
      <c r="J2222" s="30"/>
      <c r="K2222" s="30"/>
      <c r="L2222" s="29"/>
      <c r="M2222" s="32" t="str">
        <f aca="false">IF(OR(C2222="",L2222=""),"",IF(C2222=L2222,"同一","変更"))</f>
        <v/>
      </c>
      <c r="N2222" s="29"/>
      <c r="O2222" s="30"/>
      <c r="P2222" s="29"/>
      <c r="Q2222" s="31"/>
      <c r="R2222" s="29"/>
      <c r="S2222" s="29"/>
      <c r="T2222" s="30"/>
      <c r="U2222" s="47" t="str">
        <f aca="false">IF(AND(B2222&lt;&gt;"",B2222=SW別シート!$C$3),COUNTIF(B$5:B2222,B2222),"")</f>
        <v/>
      </c>
      <c r="V2222" s="47" t="n">
        <f aca="false">V2221+IF(OR(O2222&lt;&gt;"",W2222&lt;&gt;""),1,0)</f>
        <v>3</v>
      </c>
      <c r="W2222" s="29"/>
    </row>
    <row r="2223" customFormat="false" ht="15" hidden="false" customHeight="false" outlineLevel="0" collapsed="false">
      <c r="A2223" s="32" t="str">
        <f aca="false">IF(B2223="","",ROW()-7)</f>
        <v/>
      </c>
      <c r="B2223" s="30"/>
      <c r="C2223" s="29"/>
      <c r="D2223" s="29"/>
      <c r="E2223" s="29"/>
      <c r="F2223" s="30"/>
      <c r="G2223" s="29"/>
      <c r="H2223" s="30"/>
      <c r="I2223" s="29"/>
      <c r="J2223" s="30"/>
      <c r="K2223" s="30"/>
      <c r="L2223" s="29"/>
      <c r="M2223" s="32" t="str">
        <f aca="false">IF(OR(C2223="",L2223=""),"",IF(C2223=L2223,"同一","変更"))</f>
        <v/>
      </c>
      <c r="N2223" s="29"/>
      <c r="O2223" s="30"/>
      <c r="P2223" s="29"/>
      <c r="Q2223" s="31"/>
      <c r="R2223" s="29"/>
      <c r="S2223" s="29"/>
      <c r="T2223" s="30"/>
      <c r="U2223" s="47" t="str">
        <f aca="false">IF(AND(B2223&lt;&gt;"",B2223=SW別シート!$C$3),COUNTIF(B$5:B2223,B2223),"")</f>
        <v/>
      </c>
      <c r="V2223" s="47" t="n">
        <f aca="false">V2222+IF(OR(O2223&lt;&gt;"",W2223&lt;&gt;""),1,0)</f>
        <v>3</v>
      </c>
      <c r="W2223" s="29"/>
    </row>
    <row r="2224" customFormat="false" ht="15" hidden="false" customHeight="false" outlineLevel="0" collapsed="false">
      <c r="A2224" s="32" t="str">
        <f aca="false">IF(B2224="","",ROW()-7)</f>
        <v/>
      </c>
      <c r="B2224" s="30"/>
      <c r="C2224" s="29"/>
      <c r="D2224" s="29"/>
      <c r="E2224" s="29"/>
      <c r="F2224" s="30"/>
      <c r="G2224" s="29"/>
      <c r="H2224" s="30"/>
      <c r="I2224" s="29"/>
      <c r="J2224" s="30"/>
      <c r="K2224" s="30"/>
      <c r="L2224" s="29"/>
      <c r="M2224" s="32" t="str">
        <f aca="false">IF(OR(C2224="",L2224=""),"",IF(C2224=L2224,"同一","変更"))</f>
        <v/>
      </c>
      <c r="N2224" s="29"/>
      <c r="O2224" s="30"/>
      <c r="P2224" s="29"/>
      <c r="Q2224" s="31"/>
      <c r="R2224" s="29"/>
      <c r="S2224" s="29"/>
      <c r="T2224" s="30"/>
      <c r="U2224" s="47" t="str">
        <f aca="false">IF(AND(B2224&lt;&gt;"",B2224=SW別シート!$C$3),COUNTIF(B$5:B2224,B2224),"")</f>
        <v/>
      </c>
      <c r="V2224" s="47" t="n">
        <f aca="false">V2223+IF(OR(O2224&lt;&gt;"",W2224&lt;&gt;""),1,0)</f>
        <v>3</v>
      </c>
      <c r="W2224" s="29"/>
    </row>
    <row r="2225" customFormat="false" ht="15" hidden="false" customHeight="false" outlineLevel="0" collapsed="false">
      <c r="A2225" s="32" t="str">
        <f aca="false">IF(B2225="","",ROW()-7)</f>
        <v/>
      </c>
      <c r="B2225" s="30"/>
      <c r="C2225" s="29"/>
      <c r="D2225" s="29"/>
      <c r="E2225" s="29"/>
      <c r="F2225" s="30"/>
      <c r="G2225" s="29"/>
      <c r="H2225" s="30"/>
      <c r="I2225" s="29"/>
      <c r="J2225" s="30"/>
      <c r="K2225" s="30"/>
      <c r="L2225" s="29"/>
      <c r="M2225" s="32" t="str">
        <f aca="false">IF(OR(C2225="",L2225=""),"",IF(C2225=L2225,"同一","変更"))</f>
        <v/>
      </c>
      <c r="N2225" s="29"/>
      <c r="O2225" s="30"/>
      <c r="P2225" s="29"/>
      <c r="Q2225" s="31"/>
      <c r="R2225" s="29"/>
      <c r="S2225" s="29"/>
      <c r="T2225" s="30"/>
      <c r="U2225" s="47" t="str">
        <f aca="false">IF(AND(B2225&lt;&gt;"",B2225=SW別シート!$C$3),COUNTIF(B$5:B2225,B2225),"")</f>
        <v/>
      </c>
      <c r="V2225" s="47" t="n">
        <f aca="false">V2224+IF(OR(O2225&lt;&gt;"",W2225&lt;&gt;""),1,0)</f>
        <v>3</v>
      </c>
      <c r="W2225" s="29"/>
    </row>
    <row r="2226" customFormat="false" ht="15" hidden="false" customHeight="false" outlineLevel="0" collapsed="false">
      <c r="A2226" s="32" t="str">
        <f aca="false">IF(B2226="","",ROW()-7)</f>
        <v/>
      </c>
      <c r="B2226" s="30"/>
      <c r="C2226" s="29"/>
      <c r="D2226" s="29"/>
      <c r="E2226" s="29"/>
      <c r="F2226" s="30"/>
      <c r="G2226" s="29"/>
      <c r="H2226" s="30"/>
      <c r="I2226" s="29"/>
      <c r="J2226" s="30"/>
      <c r="K2226" s="30"/>
      <c r="L2226" s="29"/>
      <c r="M2226" s="32" t="str">
        <f aca="false">IF(OR(C2226="",L2226=""),"",IF(C2226=L2226,"同一","変更"))</f>
        <v/>
      </c>
      <c r="N2226" s="29"/>
      <c r="O2226" s="30"/>
      <c r="P2226" s="29"/>
      <c r="Q2226" s="31"/>
      <c r="R2226" s="29"/>
      <c r="S2226" s="29"/>
      <c r="T2226" s="30"/>
      <c r="U2226" s="47" t="str">
        <f aca="false">IF(AND(B2226&lt;&gt;"",B2226=SW別シート!$C$3),COUNTIF(B$5:B2226,B2226),"")</f>
        <v/>
      </c>
      <c r="V2226" s="47" t="n">
        <f aca="false">V2225+IF(OR(O2226&lt;&gt;"",W2226&lt;&gt;""),1,0)</f>
        <v>3</v>
      </c>
      <c r="W2226" s="29"/>
    </row>
    <row r="2227" customFormat="false" ht="15" hidden="false" customHeight="false" outlineLevel="0" collapsed="false">
      <c r="A2227" s="32" t="str">
        <f aca="false">IF(B2227="","",ROW()-7)</f>
        <v/>
      </c>
      <c r="B2227" s="30"/>
      <c r="C2227" s="29"/>
      <c r="D2227" s="29"/>
      <c r="E2227" s="29"/>
      <c r="F2227" s="30"/>
      <c r="G2227" s="29"/>
      <c r="H2227" s="30"/>
      <c r="I2227" s="29"/>
      <c r="J2227" s="30"/>
      <c r="K2227" s="30"/>
      <c r="L2227" s="29"/>
      <c r="M2227" s="32" t="str">
        <f aca="false">IF(OR(C2227="",L2227=""),"",IF(C2227=L2227,"同一","変更"))</f>
        <v/>
      </c>
      <c r="N2227" s="29"/>
      <c r="O2227" s="30"/>
      <c r="P2227" s="29"/>
      <c r="Q2227" s="31"/>
      <c r="R2227" s="29"/>
      <c r="S2227" s="29"/>
      <c r="T2227" s="30"/>
      <c r="U2227" s="47" t="str">
        <f aca="false">IF(AND(B2227&lt;&gt;"",B2227=SW別シート!$C$3),COUNTIF(B$5:B2227,B2227),"")</f>
        <v/>
      </c>
      <c r="V2227" s="47" t="n">
        <f aca="false">V2226+IF(OR(O2227&lt;&gt;"",W2227&lt;&gt;""),1,0)</f>
        <v>3</v>
      </c>
      <c r="W2227" s="29"/>
    </row>
    <row r="2228" customFormat="false" ht="15" hidden="false" customHeight="false" outlineLevel="0" collapsed="false">
      <c r="A2228" s="32" t="str">
        <f aca="false">IF(B2228="","",ROW()-7)</f>
        <v/>
      </c>
      <c r="B2228" s="30"/>
      <c r="C2228" s="29"/>
      <c r="D2228" s="29"/>
      <c r="E2228" s="29"/>
      <c r="F2228" s="30"/>
      <c r="G2228" s="29"/>
      <c r="H2228" s="30"/>
      <c r="I2228" s="29"/>
      <c r="J2228" s="30"/>
      <c r="K2228" s="30"/>
      <c r="L2228" s="29"/>
      <c r="M2228" s="32" t="str">
        <f aca="false">IF(OR(C2228="",L2228=""),"",IF(C2228=L2228,"同一","変更"))</f>
        <v/>
      </c>
      <c r="N2228" s="29"/>
      <c r="O2228" s="30"/>
      <c r="P2228" s="29"/>
      <c r="Q2228" s="31"/>
      <c r="R2228" s="29"/>
      <c r="S2228" s="29"/>
      <c r="T2228" s="30"/>
      <c r="U2228" s="47" t="str">
        <f aca="false">IF(AND(B2228&lt;&gt;"",B2228=SW別シート!$C$3),COUNTIF(B$5:B2228,B2228),"")</f>
        <v/>
      </c>
      <c r="V2228" s="47" t="n">
        <f aca="false">V2227+IF(OR(O2228&lt;&gt;"",W2228&lt;&gt;""),1,0)</f>
        <v>3</v>
      </c>
      <c r="W2228" s="29"/>
    </row>
    <row r="2229" customFormat="false" ht="15" hidden="false" customHeight="false" outlineLevel="0" collapsed="false">
      <c r="A2229" s="32" t="str">
        <f aca="false">IF(B2229="","",ROW()-7)</f>
        <v/>
      </c>
      <c r="B2229" s="30"/>
      <c r="C2229" s="29"/>
      <c r="D2229" s="29"/>
      <c r="E2229" s="29"/>
      <c r="F2229" s="30"/>
      <c r="G2229" s="29"/>
      <c r="H2229" s="30"/>
      <c r="I2229" s="29"/>
      <c r="J2229" s="30"/>
      <c r="K2229" s="30"/>
      <c r="L2229" s="29"/>
      <c r="M2229" s="32" t="str">
        <f aca="false">IF(OR(C2229="",L2229=""),"",IF(C2229=L2229,"同一","変更"))</f>
        <v/>
      </c>
      <c r="N2229" s="29"/>
      <c r="O2229" s="30"/>
      <c r="P2229" s="29"/>
      <c r="Q2229" s="31"/>
      <c r="R2229" s="29"/>
      <c r="S2229" s="29"/>
      <c r="T2229" s="30"/>
      <c r="U2229" s="47" t="str">
        <f aca="false">IF(AND(B2229&lt;&gt;"",B2229=SW別シート!$C$3),COUNTIF(B$5:B2229,B2229),"")</f>
        <v/>
      </c>
      <c r="V2229" s="47" t="n">
        <f aca="false">V2228+IF(OR(O2229&lt;&gt;"",W2229&lt;&gt;""),1,0)</f>
        <v>3</v>
      </c>
      <c r="W2229" s="29"/>
    </row>
    <row r="2230" customFormat="false" ht="15" hidden="false" customHeight="false" outlineLevel="0" collapsed="false">
      <c r="A2230" s="32" t="str">
        <f aca="false">IF(B2230="","",ROW()-7)</f>
        <v/>
      </c>
      <c r="B2230" s="30"/>
      <c r="C2230" s="29"/>
      <c r="D2230" s="29"/>
      <c r="E2230" s="29"/>
      <c r="F2230" s="30"/>
      <c r="G2230" s="29"/>
      <c r="H2230" s="30"/>
      <c r="I2230" s="29"/>
      <c r="J2230" s="30"/>
      <c r="K2230" s="30"/>
      <c r="L2230" s="29"/>
      <c r="M2230" s="32" t="str">
        <f aca="false">IF(OR(C2230="",L2230=""),"",IF(C2230=L2230,"同一","変更"))</f>
        <v/>
      </c>
      <c r="N2230" s="29"/>
      <c r="O2230" s="30"/>
      <c r="P2230" s="29"/>
      <c r="Q2230" s="31"/>
      <c r="R2230" s="29"/>
      <c r="S2230" s="29"/>
      <c r="T2230" s="30"/>
      <c r="U2230" s="47" t="str">
        <f aca="false">IF(AND(B2230&lt;&gt;"",B2230=SW別シート!$C$3),COUNTIF(B$5:B2230,B2230),"")</f>
        <v/>
      </c>
      <c r="V2230" s="47" t="n">
        <f aca="false">V2229+IF(OR(O2230&lt;&gt;"",W2230&lt;&gt;""),1,0)</f>
        <v>3</v>
      </c>
      <c r="W2230" s="29"/>
    </row>
    <row r="2231" customFormat="false" ht="15" hidden="false" customHeight="false" outlineLevel="0" collapsed="false">
      <c r="A2231" s="32" t="str">
        <f aca="false">IF(B2231="","",ROW()-7)</f>
        <v/>
      </c>
      <c r="B2231" s="30"/>
      <c r="C2231" s="29"/>
      <c r="D2231" s="29"/>
      <c r="E2231" s="29"/>
      <c r="F2231" s="30"/>
      <c r="G2231" s="29"/>
      <c r="H2231" s="30"/>
      <c r="I2231" s="29"/>
      <c r="J2231" s="30"/>
      <c r="K2231" s="30"/>
      <c r="L2231" s="29"/>
      <c r="M2231" s="32" t="str">
        <f aca="false">IF(OR(C2231="",L2231=""),"",IF(C2231=L2231,"同一","変更"))</f>
        <v/>
      </c>
      <c r="N2231" s="29"/>
      <c r="O2231" s="30"/>
      <c r="P2231" s="29"/>
      <c r="Q2231" s="31"/>
      <c r="R2231" s="29"/>
      <c r="S2231" s="29"/>
      <c r="T2231" s="30"/>
      <c r="U2231" s="47" t="str">
        <f aca="false">IF(AND(B2231&lt;&gt;"",B2231=SW別シート!$C$3),COUNTIF(B$5:B2231,B2231),"")</f>
        <v/>
      </c>
      <c r="V2231" s="47" t="n">
        <f aca="false">V2230+IF(OR(O2231&lt;&gt;"",W2231&lt;&gt;""),1,0)</f>
        <v>3</v>
      </c>
      <c r="W2231" s="29"/>
    </row>
    <row r="2232" customFormat="false" ht="15" hidden="false" customHeight="false" outlineLevel="0" collapsed="false">
      <c r="A2232" s="32" t="str">
        <f aca="false">IF(B2232="","",ROW()-7)</f>
        <v/>
      </c>
      <c r="B2232" s="30"/>
      <c r="C2232" s="29"/>
      <c r="D2232" s="29"/>
      <c r="E2232" s="29"/>
      <c r="F2232" s="30"/>
      <c r="G2232" s="29"/>
      <c r="H2232" s="30"/>
      <c r="I2232" s="29"/>
      <c r="J2232" s="30"/>
      <c r="K2232" s="30"/>
      <c r="L2232" s="29"/>
      <c r="M2232" s="32" t="str">
        <f aca="false">IF(OR(C2232="",L2232=""),"",IF(C2232=L2232,"同一","変更"))</f>
        <v/>
      </c>
      <c r="N2232" s="29"/>
      <c r="O2232" s="30"/>
      <c r="P2232" s="29"/>
      <c r="Q2232" s="31"/>
      <c r="R2232" s="29"/>
      <c r="S2232" s="29"/>
      <c r="T2232" s="30"/>
      <c r="U2232" s="47" t="str">
        <f aca="false">IF(AND(B2232&lt;&gt;"",B2232=SW別シート!$C$3),COUNTIF(B$5:B2232,B2232),"")</f>
        <v/>
      </c>
      <c r="V2232" s="47" t="n">
        <f aca="false">V2231+IF(OR(O2232&lt;&gt;"",W2232&lt;&gt;""),1,0)</f>
        <v>3</v>
      </c>
      <c r="W2232" s="29"/>
    </row>
    <row r="2233" customFormat="false" ht="15" hidden="false" customHeight="false" outlineLevel="0" collapsed="false">
      <c r="A2233" s="32" t="str">
        <f aca="false">IF(B2233="","",ROW()-7)</f>
        <v/>
      </c>
      <c r="B2233" s="30"/>
      <c r="C2233" s="29"/>
      <c r="D2233" s="29"/>
      <c r="E2233" s="29"/>
      <c r="F2233" s="30"/>
      <c r="G2233" s="29"/>
      <c r="H2233" s="30"/>
      <c r="I2233" s="29"/>
      <c r="J2233" s="30"/>
      <c r="K2233" s="30"/>
      <c r="L2233" s="29"/>
      <c r="M2233" s="32" t="str">
        <f aca="false">IF(OR(C2233="",L2233=""),"",IF(C2233=L2233,"同一","変更"))</f>
        <v/>
      </c>
      <c r="N2233" s="29"/>
      <c r="O2233" s="30"/>
      <c r="P2233" s="29"/>
      <c r="Q2233" s="31"/>
      <c r="R2233" s="29"/>
      <c r="S2233" s="29"/>
      <c r="T2233" s="30"/>
      <c r="U2233" s="47" t="str">
        <f aca="false">IF(AND(B2233&lt;&gt;"",B2233=SW別シート!$C$3),COUNTIF(B$5:B2233,B2233),"")</f>
        <v/>
      </c>
      <c r="V2233" s="47" t="n">
        <f aca="false">V2232+IF(OR(O2233&lt;&gt;"",W2233&lt;&gt;""),1,0)</f>
        <v>3</v>
      </c>
      <c r="W2233" s="29"/>
    </row>
    <row r="2234" customFormat="false" ht="15" hidden="false" customHeight="false" outlineLevel="0" collapsed="false">
      <c r="A2234" s="32" t="str">
        <f aca="false">IF(B2234="","",ROW()-7)</f>
        <v/>
      </c>
      <c r="B2234" s="30"/>
      <c r="C2234" s="29"/>
      <c r="D2234" s="29"/>
      <c r="E2234" s="29"/>
      <c r="F2234" s="30"/>
      <c r="G2234" s="29"/>
      <c r="H2234" s="30"/>
      <c r="I2234" s="29"/>
      <c r="J2234" s="30"/>
      <c r="K2234" s="30"/>
      <c r="L2234" s="29"/>
      <c r="M2234" s="32" t="str">
        <f aca="false">IF(OR(C2234="",L2234=""),"",IF(C2234=L2234,"同一","変更"))</f>
        <v/>
      </c>
      <c r="N2234" s="29"/>
      <c r="O2234" s="30"/>
      <c r="P2234" s="29"/>
      <c r="Q2234" s="31"/>
      <c r="R2234" s="29"/>
      <c r="S2234" s="29"/>
      <c r="T2234" s="30"/>
      <c r="U2234" s="47" t="str">
        <f aca="false">IF(AND(B2234&lt;&gt;"",B2234=SW別シート!$C$3),COUNTIF(B$5:B2234,B2234),"")</f>
        <v/>
      </c>
      <c r="V2234" s="47" t="n">
        <f aca="false">V2233+IF(OR(O2234&lt;&gt;"",W2234&lt;&gt;""),1,0)</f>
        <v>3</v>
      </c>
      <c r="W2234" s="29"/>
    </row>
    <row r="2235" customFormat="false" ht="15" hidden="false" customHeight="false" outlineLevel="0" collapsed="false">
      <c r="A2235" s="32" t="str">
        <f aca="false">IF(B2235="","",ROW()-7)</f>
        <v/>
      </c>
      <c r="B2235" s="30"/>
      <c r="C2235" s="29"/>
      <c r="D2235" s="29"/>
      <c r="E2235" s="29"/>
      <c r="F2235" s="30"/>
      <c r="G2235" s="29"/>
      <c r="H2235" s="30"/>
      <c r="I2235" s="29"/>
      <c r="J2235" s="30"/>
      <c r="K2235" s="30"/>
      <c r="L2235" s="29"/>
      <c r="M2235" s="32" t="str">
        <f aca="false">IF(OR(C2235="",L2235=""),"",IF(C2235=L2235,"同一","変更"))</f>
        <v/>
      </c>
      <c r="N2235" s="29"/>
      <c r="O2235" s="30"/>
      <c r="P2235" s="29"/>
      <c r="Q2235" s="31"/>
      <c r="R2235" s="29"/>
      <c r="S2235" s="29"/>
      <c r="T2235" s="30"/>
      <c r="U2235" s="47" t="str">
        <f aca="false">IF(AND(B2235&lt;&gt;"",B2235=SW別シート!$C$3),COUNTIF(B$5:B2235,B2235),"")</f>
        <v/>
      </c>
      <c r="V2235" s="47" t="n">
        <f aca="false">V2234+IF(OR(O2235&lt;&gt;"",W2235&lt;&gt;""),1,0)</f>
        <v>3</v>
      </c>
      <c r="W2235" s="29"/>
    </row>
    <row r="2236" customFormat="false" ht="15" hidden="false" customHeight="false" outlineLevel="0" collapsed="false">
      <c r="A2236" s="32" t="str">
        <f aca="false">IF(B2236="","",ROW()-7)</f>
        <v/>
      </c>
      <c r="B2236" s="30"/>
      <c r="C2236" s="29"/>
      <c r="D2236" s="29"/>
      <c r="E2236" s="29"/>
      <c r="F2236" s="30"/>
      <c r="G2236" s="29"/>
      <c r="H2236" s="30"/>
      <c r="I2236" s="29"/>
      <c r="J2236" s="30"/>
      <c r="K2236" s="30"/>
      <c r="L2236" s="29"/>
      <c r="M2236" s="32" t="str">
        <f aca="false">IF(OR(C2236="",L2236=""),"",IF(C2236=L2236,"同一","変更"))</f>
        <v/>
      </c>
      <c r="N2236" s="29"/>
      <c r="O2236" s="30"/>
      <c r="P2236" s="29"/>
      <c r="Q2236" s="31"/>
      <c r="R2236" s="29"/>
      <c r="S2236" s="29"/>
      <c r="T2236" s="30"/>
      <c r="U2236" s="47" t="str">
        <f aca="false">IF(AND(B2236&lt;&gt;"",B2236=SW別シート!$C$3),COUNTIF(B$5:B2236,B2236),"")</f>
        <v/>
      </c>
      <c r="V2236" s="47" t="n">
        <f aca="false">V2235+IF(OR(O2236&lt;&gt;"",W2236&lt;&gt;""),1,0)</f>
        <v>3</v>
      </c>
      <c r="W2236" s="29"/>
    </row>
    <row r="2237" customFormat="false" ht="15" hidden="false" customHeight="false" outlineLevel="0" collapsed="false">
      <c r="A2237" s="32" t="str">
        <f aca="false">IF(B2237="","",ROW()-7)</f>
        <v/>
      </c>
      <c r="B2237" s="30"/>
      <c r="C2237" s="29"/>
      <c r="D2237" s="29"/>
      <c r="E2237" s="29"/>
      <c r="F2237" s="30"/>
      <c r="G2237" s="29"/>
      <c r="H2237" s="30"/>
      <c r="I2237" s="29"/>
      <c r="J2237" s="30"/>
      <c r="K2237" s="30"/>
      <c r="L2237" s="29"/>
      <c r="M2237" s="32" t="str">
        <f aca="false">IF(OR(C2237="",L2237=""),"",IF(C2237=L2237,"同一","変更"))</f>
        <v/>
      </c>
      <c r="N2237" s="29"/>
      <c r="O2237" s="30"/>
      <c r="P2237" s="29"/>
      <c r="Q2237" s="31"/>
      <c r="R2237" s="29"/>
      <c r="S2237" s="29"/>
      <c r="T2237" s="30"/>
      <c r="U2237" s="47" t="str">
        <f aca="false">IF(AND(B2237&lt;&gt;"",B2237=SW別シート!$C$3),COUNTIF(B$5:B2237,B2237),"")</f>
        <v/>
      </c>
      <c r="V2237" s="47" t="n">
        <f aca="false">V2236+IF(OR(O2237&lt;&gt;"",W2237&lt;&gt;""),1,0)</f>
        <v>3</v>
      </c>
      <c r="W2237" s="29"/>
    </row>
    <row r="2238" customFormat="false" ht="15" hidden="false" customHeight="false" outlineLevel="0" collapsed="false">
      <c r="A2238" s="32" t="str">
        <f aca="false">IF(B2238="","",ROW()-7)</f>
        <v/>
      </c>
      <c r="B2238" s="30"/>
      <c r="C2238" s="29"/>
      <c r="D2238" s="29"/>
      <c r="E2238" s="29"/>
      <c r="F2238" s="30"/>
      <c r="G2238" s="29"/>
      <c r="H2238" s="30"/>
      <c r="I2238" s="29"/>
      <c r="J2238" s="30"/>
      <c r="K2238" s="30"/>
      <c r="L2238" s="29"/>
      <c r="M2238" s="32" t="str">
        <f aca="false">IF(OR(C2238="",L2238=""),"",IF(C2238=L2238,"同一","変更"))</f>
        <v/>
      </c>
      <c r="N2238" s="29"/>
      <c r="O2238" s="30"/>
      <c r="P2238" s="29"/>
      <c r="Q2238" s="31"/>
      <c r="R2238" s="29"/>
      <c r="S2238" s="29"/>
      <c r="T2238" s="30"/>
      <c r="U2238" s="47" t="str">
        <f aca="false">IF(AND(B2238&lt;&gt;"",B2238=SW別シート!$C$3),COUNTIF(B$5:B2238,B2238),"")</f>
        <v/>
      </c>
      <c r="V2238" s="47" t="n">
        <f aca="false">V2237+IF(OR(O2238&lt;&gt;"",W2238&lt;&gt;""),1,0)</f>
        <v>3</v>
      </c>
      <c r="W2238" s="29"/>
    </row>
    <row r="2239" customFormat="false" ht="15" hidden="false" customHeight="false" outlineLevel="0" collapsed="false">
      <c r="A2239" s="32" t="str">
        <f aca="false">IF(B2239="","",ROW()-7)</f>
        <v/>
      </c>
      <c r="B2239" s="30"/>
      <c r="C2239" s="29"/>
      <c r="D2239" s="29"/>
      <c r="E2239" s="29"/>
      <c r="F2239" s="30"/>
      <c r="G2239" s="29"/>
      <c r="H2239" s="30"/>
      <c r="I2239" s="29"/>
      <c r="J2239" s="30"/>
      <c r="K2239" s="30"/>
      <c r="L2239" s="29"/>
      <c r="M2239" s="32" t="str">
        <f aca="false">IF(OR(C2239="",L2239=""),"",IF(C2239=L2239,"同一","変更"))</f>
        <v/>
      </c>
      <c r="N2239" s="29"/>
      <c r="O2239" s="30"/>
      <c r="P2239" s="29"/>
      <c r="Q2239" s="31"/>
      <c r="R2239" s="29"/>
      <c r="S2239" s="29"/>
      <c r="T2239" s="30"/>
      <c r="U2239" s="47" t="str">
        <f aca="false">IF(AND(B2239&lt;&gt;"",B2239=SW別シート!$C$3),COUNTIF(B$5:B2239,B2239),"")</f>
        <v/>
      </c>
      <c r="V2239" s="47" t="n">
        <f aca="false">V2238+IF(OR(O2239&lt;&gt;"",W2239&lt;&gt;""),1,0)</f>
        <v>3</v>
      </c>
      <c r="W2239" s="29"/>
    </row>
    <row r="2240" customFormat="false" ht="15" hidden="false" customHeight="false" outlineLevel="0" collapsed="false">
      <c r="A2240" s="32" t="str">
        <f aca="false">IF(B2240="","",ROW()-7)</f>
        <v/>
      </c>
      <c r="B2240" s="30"/>
      <c r="C2240" s="29"/>
      <c r="D2240" s="29"/>
      <c r="E2240" s="29"/>
      <c r="F2240" s="30"/>
      <c r="G2240" s="29"/>
      <c r="H2240" s="30"/>
      <c r="I2240" s="29"/>
      <c r="J2240" s="30"/>
      <c r="K2240" s="30"/>
      <c r="L2240" s="29"/>
      <c r="M2240" s="32" t="str">
        <f aca="false">IF(OR(C2240="",L2240=""),"",IF(C2240=L2240,"同一","変更"))</f>
        <v/>
      </c>
      <c r="N2240" s="29"/>
      <c r="O2240" s="30"/>
      <c r="P2240" s="29"/>
      <c r="Q2240" s="31"/>
      <c r="R2240" s="29"/>
      <c r="S2240" s="29"/>
      <c r="T2240" s="30"/>
      <c r="U2240" s="47" t="str">
        <f aca="false">IF(AND(B2240&lt;&gt;"",B2240=SW別シート!$C$3),COUNTIF(B$5:B2240,B2240),"")</f>
        <v/>
      </c>
      <c r="V2240" s="47" t="n">
        <f aca="false">V2239+IF(OR(O2240&lt;&gt;"",W2240&lt;&gt;""),1,0)</f>
        <v>3</v>
      </c>
      <c r="W2240" s="29"/>
    </row>
    <row r="2241" customFormat="false" ht="15" hidden="false" customHeight="false" outlineLevel="0" collapsed="false">
      <c r="A2241" s="32" t="str">
        <f aca="false">IF(B2241="","",ROW()-7)</f>
        <v/>
      </c>
      <c r="B2241" s="30"/>
      <c r="C2241" s="29"/>
      <c r="D2241" s="29"/>
      <c r="E2241" s="29"/>
      <c r="F2241" s="30"/>
      <c r="G2241" s="29"/>
      <c r="H2241" s="30"/>
      <c r="I2241" s="29"/>
      <c r="J2241" s="30"/>
      <c r="K2241" s="30"/>
      <c r="L2241" s="29"/>
      <c r="M2241" s="32" t="str">
        <f aca="false">IF(OR(C2241="",L2241=""),"",IF(C2241=L2241,"同一","変更"))</f>
        <v/>
      </c>
      <c r="N2241" s="29"/>
      <c r="O2241" s="30"/>
      <c r="P2241" s="29"/>
      <c r="Q2241" s="31"/>
      <c r="R2241" s="29"/>
      <c r="S2241" s="29"/>
      <c r="T2241" s="30"/>
      <c r="U2241" s="47" t="str">
        <f aca="false">IF(AND(B2241&lt;&gt;"",B2241=SW別シート!$C$3),COUNTIF(B$5:B2241,B2241),"")</f>
        <v/>
      </c>
      <c r="V2241" s="47" t="n">
        <f aca="false">V2240+IF(OR(O2241&lt;&gt;"",W2241&lt;&gt;""),1,0)</f>
        <v>3</v>
      </c>
      <c r="W2241" s="29"/>
    </row>
    <row r="2242" customFormat="false" ht="15" hidden="false" customHeight="false" outlineLevel="0" collapsed="false">
      <c r="A2242" s="32" t="str">
        <f aca="false">IF(B2242="","",ROW()-7)</f>
        <v/>
      </c>
      <c r="B2242" s="30"/>
      <c r="C2242" s="29"/>
      <c r="D2242" s="29"/>
      <c r="E2242" s="29"/>
      <c r="F2242" s="30"/>
      <c r="G2242" s="29"/>
      <c r="H2242" s="30"/>
      <c r="I2242" s="29"/>
      <c r="J2242" s="30"/>
      <c r="K2242" s="30"/>
      <c r="L2242" s="29"/>
      <c r="M2242" s="32" t="str">
        <f aca="false">IF(OR(C2242="",L2242=""),"",IF(C2242=L2242,"同一","変更"))</f>
        <v/>
      </c>
      <c r="N2242" s="29"/>
      <c r="O2242" s="30"/>
      <c r="P2242" s="29"/>
      <c r="Q2242" s="31"/>
      <c r="R2242" s="29"/>
      <c r="S2242" s="29"/>
      <c r="T2242" s="30"/>
      <c r="U2242" s="47" t="str">
        <f aca="false">IF(AND(B2242&lt;&gt;"",B2242=SW別シート!$C$3),COUNTIF(B$5:B2242,B2242),"")</f>
        <v/>
      </c>
      <c r="V2242" s="47" t="n">
        <f aca="false">V2241+IF(OR(O2242&lt;&gt;"",W2242&lt;&gt;""),1,0)</f>
        <v>3</v>
      </c>
      <c r="W2242" s="29"/>
    </row>
    <row r="2243" customFormat="false" ht="15" hidden="false" customHeight="false" outlineLevel="0" collapsed="false">
      <c r="A2243" s="32" t="str">
        <f aca="false">IF(B2243="","",ROW()-7)</f>
        <v/>
      </c>
      <c r="B2243" s="30"/>
      <c r="C2243" s="29"/>
      <c r="D2243" s="29"/>
      <c r="E2243" s="29"/>
      <c r="F2243" s="30"/>
      <c r="G2243" s="29"/>
      <c r="H2243" s="30"/>
      <c r="I2243" s="29"/>
      <c r="J2243" s="30"/>
      <c r="K2243" s="30"/>
      <c r="L2243" s="29"/>
      <c r="M2243" s="32" t="str">
        <f aca="false">IF(OR(C2243="",L2243=""),"",IF(C2243=L2243,"同一","変更"))</f>
        <v/>
      </c>
      <c r="N2243" s="29"/>
      <c r="O2243" s="30"/>
      <c r="P2243" s="29"/>
      <c r="Q2243" s="31"/>
      <c r="R2243" s="29"/>
      <c r="S2243" s="29"/>
      <c r="T2243" s="30"/>
      <c r="U2243" s="47" t="str">
        <f aca="false">IF(AND(B2243&lt;&gt;"",B2243=SW別シート!$C$3),COUNTIF(B$5:B2243,B2243),"")</f>
        <v/>
      </c>
      <c r="V2243" s="47" t="n">
        <f aca="false">V2242+IF(OR(O2243&lt;&gt;"",W2243&lt;&gt;""),1,0)</f>
        <v>3</v>
      </c>
      <c r="W2243" s="29"/>
    </row>
    <row r="2244" customFormat="false" ht="15" hidden="false" customHeight="false" outlineLevel="0" collapsed="false">
      <c r="A2244" s="32" t="str">
        <f aca="false">IF(B2244="","",ROW()-7)</f>
        <v/>
      </c>
      <c r="B2244" s="30"/>
      <c r="C2244" s="29"/>
      <c r="D2244" s="29"/>
      <c r="E2244" s="29"/>
      <c r="F2244" s="30"/>
      <c r="G2244" s="29"/>
      <c r="H2244" s="30"/>
      <c r="I2244" s="29"/>
      <c r="J2244" s="30"/>
      <c r="K2244" s="30"/>
      <c r="L2244" s="29"/>
      <c r="M2244" s="32" t="str">
        <f aca="false">IF(OR(C2244="",L2244=""),"",IF(C2244=L2244,"同一","変更"))</f>
        <v/>
      </c>
      <c r="N2244" s="29"/>
      <c r="O2244" s="30"/>
      <c r="P2244" s="29"/>
      <c r="Q2244" s="31"/>
      <c r="R2244" s="29"/>
      <c r="S2244" s="29"/>
      <c r="T2244" s="30"/>
      <c r="U2244" s="47" t="str">
        <f aca="false">IF(AND(B2244&lt;&gt;"",B2244=SW別シート!$C$3),COUNTIF(B$5:B2244,B2244),"")</f>
        <v/>
      </c>
      <c r="V2244" s="47" t="n">
        <f aca="false">V2243+IF(OR(O2244&lt;&gt;"",W2244&lt;&gt;""),1,0)</f>
        <v>3</v>
      </c>
      <c r="W2244" s="29"/>
    </row>
    <row r="2245" customFormat="false" ht="15" hidden="false" customHeight="false" outlineLevel="0" collapsed="false">
      <c r="A2245" s="32" t="str">
        <f aca="false">IF(B2245="","",ROW()-7)</f>
        <v/>
      </c>
      <c r="B2245" s="30"/>
      <c r="C2245" s="29"/>
      <c r="D2245" s="29"/>
      <c r="E2245" s="29"/>
      <c r="F2245" s="30"/>
      <c r="G2245" s="29"/>
      <c r="H2245" s="30"/>
      <c r="I2245" s="29"/>
      <c r="J2245" s="30"/>
      <c r="K2245" s="30"/>
      <c r="L2245" s="29"/>
      <c r="M2245" s="32" t="str">
        <f aca="false">IF(OR(C2245="",L2245=""),"",IF(C2245=L2245,"同一","変更"))</f>
        <v/>
      </c>
      <c r="N2245" s="29"/>
      <c r="O2245" s="30"/>
      <c r="P2245" s="29"/>
      <c r="Q2245" s="31"/>
      <c r="R2245" s="29"/>
      <c r="S2245" s="29"/>
      <c r="T2245" s="30"/>
      <c r="U2245" s="47" t="str">
        <f aca="false">IF(AND(B2245&lt;&gt;"",B2245=SW別シート!$C$3),COUNTIF(B$5:B2245,B2245),"")</f>
        <v/>
      </c>
      <c r="V2245" s="47" t="n">
        <f aca="false">V2244+IF(OR(O2245&lt;&gt;"",W2245&lt;&gt;""),1,0)</f>
        <v>3</v>
      </c>
      <c r="W2245" s="29"/>
    </row>
    <row r="2246" customFormat="false" ht="15" hidden="false" customHeight="false" outlineLevel="0" collapsed="false">
      <c r="A2246" s="32" t="str">
        <f aca="false">IF(B2246="","",ROW()-7)</f>
        <v/>
      </c>
      <c r="B2246" s="30"/>
      <c r="C2246" s="29"/>
      <c r="D2246" s="29"/>
      <c r="E2246" s="29"/>
      <c r="F2246" s="30"/>
      <c r="G2246" s="29"/>
      <c r="H2246" s="30"/>
      <c r="I2246" s="29"/>
      <c r="J2246" s="30"/>
      <c r="K2246" s="30"/>
      <c r="L2246" s="29"/>
      <c r="M2246" s="32" t="str">
        <f aca="false">IF(OR(C2246="",L2246=""),"",IF(C2246=L2246,"同一","変更"))</f>
        <v/>
      </c>
      <c r="N2246" s="29"/>
      <c r="O2246" s="30"/>
      <c r="P2246" s="29"/>
      <c r="Q2246" s="31"/>
      <c r="R2246" s="29"/>
      <c r="S2246" s="29"/>
      <c r="T2246" s="30"/>
      <c r="U2246" s="47" t="str">
        <f aca="false">IF(AND(B2246&lt;&gt;"",B2246=SW別シート!$C$3),COUNTIF(B$5:B2246,B2246),"")</f>
        <v/>
      </c>
      <c r="V2246" s="47" t="n">
        <f aca="false">V2245+IF(OR(O2246&lt;&gt;"",W2246&lt;&gt;""),1,0)</f>
        <v>3</v>
      </c>
      <c r="W2246" s="29"/>
    </row>
    <row r="2247" customFormat="false" ht="15" hidden="false" customHeight="false" outlineLevel="0" collapsed="false">
      <c r="A2247" s="32" t="str">
        <f aca="false">IF(B2247="","",ROW()-7)</f>
        <v/>
      </c>
      <c r="B2247" s="30"/>
      <c r="C2247" s="29"/>
      <c r="D2247" s="29"/>
      <c r="E2247" s="29"/>
      <c r="F2247" s="30"/>
      <c r="G2247" s="29"/>
      <c r="H2247" s="30"/>
      <c r="I2247" s="29"/>
      <c r="J2247" s="30"/>
      <c r="K2247" s="30"/>
      <c r="L2247" s="29"/>
      <c r="M2247" s="32" t="str">
        <f aca="false">IF(OR(C2247="",L2247=""),"",IF(C2247=L2247,"同一","変更"))</f>
        <v/>
      </c>
      <c r="N2247" s="29"/>
      <c r="O2247" s="30"/>
      <c r="P2247" s="29"/>
      <c r="Q2247" s="31"/>
      <c r="R2247" s="29"/>
      <c r="S2247" s="29"/>
      <c r="T2247" s="30"/>
      <c r="U2247" s="47" t="str">
        <f aca="false">IF(AND(B2247&lt;&gt;"",B2247=SW別シート!$C$3),COUNTIF(B$5:B2247,B2247),"")</f>
        <v/>
      </c>
      <c r="V2247" s="47" t="n">
        <f aca="false">V2246+IF(OR(O2247&lt;&gt;"",W2247&lt;&gt;""),1,0)</f>
        <v>3</v>
      </c>
      <c r="W2247" s="29"/>
    </row>
    <row r="2248" customFormat="false" ht="15" hidden="false" customHeight="false" outlineLevel="0" collapsed="false">
      <c r="A2248" s="32" t="str">
        <f aca="false">IF(B2248="","",ROW()-7)</f>
        <v/>
      </c>
      <c r="B2248" s="30"/>
      <c r="C2248" s="29"/>
      <c r="D2248" s="29"/>
      <c r="E2248" s="29"/>
      <c r="F2248" s="30"/>
      <c r="G2248" s="29"/>
      <c r="H2248" s="30"/>
      <c r="I2248" s="29"/>
      <c r="J2248" s="30"/>
      <c r="K2248" s="30"/>
      <c r="L2248" s="29"/>
      <c r="M2248" s="32" t="str">
        <f aca="false">IF(OR(C2248="",L2248=""),"",IF(C2248=L2248,"同一","変更"))</f>
        <v/>
      </c>
      <c r="N2248" s="29"/>
      <c r="O2248" s="30"/>
      <c r="P2248" s="29"/>
      <c r="Q2248" s="31"/>
      <c r="R2248" s="29"/>
      <c r="S2248" s="29"/>
      <c r="T2248" s="30"/>
      <c r="U2248" s="47" t="str">
        <f aca="false">IF(AND(B2248&lt;&gt;"",B2248=SW別シート!$C$3),COUNTIF(B$5:B2248,B2248),"")</f>
        <v/>
      </c>
      <c r="V2248" s="47" t="n">
        <f aca="false">V2247+IF(OR(O2248&lt;&gt;"",W2248&lt;&gt;""),1,0)</f>
        <v>3</v>
      </c>
      <c r="W2248" s="29"/>
    </row>
    <row r="2249" customFormat="false" ht="15" hidden="false" customHeight="false" outlineLevel="0" collapsed="false">
      <c r="A2249" s="32" t="str">
        <f aca="false">IF(B2249="","",ROW()-7)</f>
        <v/>
      </c>
      <c r="B2249" s="30"/>
      <c r="C2249" s="29"/>
      <c r="D2249" s="29"/>
      <c r="E2249" s="29"/>
      <c r="F2249" s="30"/>
      <c r="G2249" s="29"/>
      <c r="H2249" s="30"/>
      <c r="I2249" s="29"/>
      <c r="J2249" s="30"/>
      <c r="K2249" s="30"/>
      <c r="L2249" s="29"/>
      <c r="M2249" s="32" t="str">
        <f aca="false">IF(OR(C2249="",L2249=""),"",IF(C2249=L2249,"同一","変更"))</f>
        <v/>
      </c>
      <c r="N2249" s="29"/>
      <c r="O2249" s="30"/>
      <c r="P2249" s="29"/>
      <c r="Q2249" s="31"/>
      <c r="R2249" s="29"/>
      <c r="S2249" s="29"/>
      <c r="T2249" s="30"/>
      <c r="U2249" s="47" t="str">
        <f aca="false">IF(AND(B2249&lt;&gt;"",B2249=SW別シート!$C$3),COUNTIF(B$5:B2249,B2249),"")</f>
        <v/>
      </c>
      <c r="V2249" s="47" t="n">
        <f aca="false">V2248+IF(OR(O2249&lt;&gt;"",W2249&lt;&gt;""),1,0)</f>
        <v>3</v>
      </c>
      <c r="W2249" s="29"/>
    </row>
    <row r="2250" customFormat="false" ht="15" hidden="false" customHeight="false" outlineLevel="0" collapsed="false">
      <c r="A2250" s="32" t="str">
        <f aca="false">IF(B2250="","",ROW()-7)</f>
        <v/>
      </c>
      <c r="B2250" s="30"/>
      <c r="C2250" s="29"/>
      <c r="D2250" s="29"/>
      <c r="E2250" s="29"/>
      <c r="F2250" s="30"/>
      <c r="G2250" s="29"/>
      <c r="H2250" s="30"/>
      <c r="I2250" s="29"/>
      <c r="J2250" s="30"/>
      <c r="K2250" s="30"/>
      <c r="L2250" s="29"/>
      <c r="M2250" s="32" t="str">
        <f aca="false">IF(OR(C2250="",L2250=""),"",IF(C2250=L2250,"同一","変更"))</f>
        <v/>
      </c>
      <c r="N2250" s="29"/>
      <c r="O2250" s="30"/>
      <c r="P2250" s="29"/>
      <c r="Q2250" s="31"/>
      <c r="R2250" s="29"/>
      <c r="S2250" s="29"/>
      <c r="T2250" s="30"/>
      <c r="U2250" s="47" t="str">
        <f aca="false">IF(AND(B2250&lt;&gt;"",B2250=SW別シート!$C$3),COUNTIF(B$5:B2250,B2250),"")</f>
        <v/>
      </c>
      <c r="V2250" s="47" t="n">
        <f aca="false">V2249+IF(OR(O2250&lt;&gt;"",W2250&lt;&gt;""),1,0)</f>
        <v>3</v>
      </c>
      <c r="W2250" s="29"/>
    </row>
    <row r="2251" customFormat="false" ht="15" hidden="false" customHeight="false" outlineLevel="0" collapsed="false">
      <c r="A2251" s="32" t="str">
        <f aca="false">IF(B2251="","",ROW()-7)</f>
        <v/>
      </c>
      <c r="B2251" s="30"/>
      <c r="C2251" s="29"/>
      <c r="D2251" s="29"/>
      <c r="E2251" s="29"/>
      <c r="F2251" s="30"/>
      <c r="G2251" s="29"/>
      <c r="H2251" s="30"/>
      <c r="I2251" s="29"/>
      <c r="J2251" s="30"/>
      <c r="K2251" s="30"/>
      <c r="L2251" s="29"/>
      <c r="M2251" s="32" t="str">
        <f aca="false">IF(OR(C2251="",L2251=""),"",IF(C2251=L2251,"同一","変更"))</f>
        <v/>
      </c>
      <c r="N2251" s="29"/>
      <c r="O2251" s="30"/>
      <c r="P2251" s="29"/>
      <c r="Q2251" s="31"/>
      <c r="R2251" s="29"/>
      <c r="S2251" s="29"/>
      <c r="T2251" s="30"/>
      <c r="U2251" s="47" t="str">
        <f aca="false">IF(AND(B2251&lt;&gt;"",B2251=SW別シート!$C$3),COUNTIF(B$5:B2251,B2251),"")</f>
        <v/>
      </c>
      <c r="V2251" s="47" t="n">
        <f aca="false">V2250+IF(OR(O2251&lt;&gt;"",W2251&lt;&gt;""),1,0)</f>
        <v>3</v>
      </c>
      <c r="W2251" s="29"/>
    </row>
    <row r="2252" customFormat="false" ht="15" hidden="false" customHeight="false" outlineLevel="0" collapsed="false">
      <c r="A2252" s="32" t="str">
        <f aca="false">IF(B2252="","",ROW()-7)</f>
        <v/>
      </c>
      <c r="B2252" s="30"/>
      <c r="C2252" s="29"/>
      <c r="D2252" s="29"/>
      <c r="E2252" s="29"/>
      <c r="F2252" s="30"/>
      <c r="G2252" s="29"/>
      <c r="H2252" s="30"/>
      <c r="I2252" s="29"/>
      <c r="J2252" s="30"/>
      <c r="K2252" s="30"/>
      <c r="L2252" s="29"/>
      <c r="M2252" s="32" t="str">
        <f aca="false">IF(OR(C2252="",L2252=""),"",IF(C2252=L2252,"同一","変更"))</f>
        <v/>
      </c>
      <c r="N2252" s="29"/>
      <c r="O2252" s="30"/>
      <c r="P2252" s="29"/>
      <c r="Q2252" s="31"/>
      <c r="R2252" s="29"/>
      <c r="S2252" s="29"/>
      <c r="T2252" s="30"/>
      <c r="U2252" s="47" t="str">
        <f aca="false">IF(AND(B2252&lt;&gt;"",B2252=SW別シート!$C$3),COUNTIF(B$5:B2252,B2252),"")</f>
        <v/>
      </c>
      <c r="V2252" s="47" t="n">
        <f aca="false">V2251+IF(OR(O2252&lt;&gt;"",W2252&lt;&gt;""),1,0)</f>
        <v>3</v>
      </c>
      <c r="W2252" s="29"/>
    </row>
    <row r="2253" customFormat="false" ht="15" hidden="false" customHeight="false" outlineLevel="0" collapsed="false">
      <c r="A2253" s="32" t="str">
        <f aca="false">IF(B2253="","",ROW()-7)</f>
        <v/>
      </c>
      <c r="B2253" s="30"/>
      <c r="C2253" s="29"/>
      <c r="D2253" s="29"/>
      <c r="E2253" s="29"/>
      <c r="F2253" s="30"/>
      <c r="G2253" s="29"/>
      <c r="H2253" s="30"/>
      <c r="I2253" s="29"/>
      <c r="J2253" s="30"/>
      <c r="K2253" s="30"/>
      <c r="L2253" s="29"/>
      <c r="M2253" s="32" t="str">
        <f aca="false">IF(OR(C2253="",L2253=""),"",IF(C2253=L2253,"同一","変更"))</f>
        <v/>
      </c>
      <c r="N2253" s="29"/>
      <c r="O2253" s="30"/>
      <c r="P2253" s="29"/>
      <c r="Q2253" s="31"/>
      <c r="R2253" s="29"/>
      <c r="S2253" s="29"/>
      <c r="T2253" s="30"/>
      <c r="U2253" s="47" t="str">
        <f aca="false">IF(AND(B2253&lt;&gt;"",B2253=SW別シート!$C$3),COUNTIF(B$5:B2253,B2253),"")</f>
        <v/>
      </c>
      <c r="V2253" s="47" t="n">
        <f aca="false">V2252+IF(OR(O2253&lt;&gt;"",W2253&lt;&gt;""),1,0)</f>
        <v>3</v>
      </c>
      <c r="W2253" s="29"/>
    </row>
    <row r="2254" customFormat="false" ht="15" hidden="false" customHeight="false" outlineLevel="0" collapsed="false">
      <c r="A2254" s="32" t="str">
        <f aca="false">IF(B2254="","",ROW()-7)</f>
        <v/>
      </c>
      <c r="B2254" s="30"/>
      <c r="C2254" s="29"/>
      <c r="D2254" s="29"/>
      <c r="E2254" s="29"/>
      <c r="F2254" s="30"/>
      <c r="G2254" s="29"/>
      <c r="H2254" s="30"/>
      <c r="I2254" s="29"/>
      <c r="J2254" s="30"/>
      <c r="K2254" s="30"/>
      <c r="L2254" s="29"/>
      <c r="M2254" s="32" t="str">
        <f aca="false">IF(OR(C2254="",L2254=""),"",IF(C2254=L2254,"同一","変更"))</f>
        <v/>
      </c>
      <c r="N2254" s="29"/>
      <c r="O2254" s="30"/>
      <c r="P2254" s="29"/>
      <c r="Q2254" s="31"/>
      <c r="R2254" s="29"/>
      <c r="S2254" s="29"/>
      <c r="T2254" s="30"/>
      <c r="U2254" s="47" t="str">
        <f aca="false">IF(AND(B2254&lt;&gt;"",B2254=SW別シート!$C$3),COUNTIF(B$5:B2254,B2254),"")</f>
        <v/>
      </c>
      <c r="V2254" s="47" t="n">
        <f aca="false">V2253+IF(OR(O2254&lt;&gt;"",W2254&lt;&gt;""),1,0)</f>
        <v>3</v>
      </c>
      <c r="W2254" s="29"/>
    </row>
    <row r="2255" customFormat="false" ht="15" hidden="false" customHeight="false" outlineLevel="0" collapsed="false">
      <c r="A2255" s="32" t="str">
        <f aca="false">IF(B2255="","",ROW()-7)</f>
        <v/>
      </c>
      <c r="B2255" s="30"/>
      <c r="C2255" s="29"/>
      <c r="D2255" s="29"/>
      <c r="E2255" s="29"/>
      <c r="F2255" s="30"/>
      <c r="G2255" s="29"/>
      <c r="H2255" s="30"/>
      <c r="I2255" s="29"/>
      <c r="J2255" s="30"/>
      <c r="K2255" s="30"/>
      <c r="L2255" s="29"/>
      <c r="M2255" s="32" t="str">
        <f aca="false">IF(OR(C2255="",L2255=""),"",IF(C2255=L2255,"同一","変更"))</f>
        <v/>
      </c>
      <c r="N2255" s="29"/>
      <c r="O2255" s="30"/>
      <c r="P2255" s="29"/>
      <c r="Q2255" s="31"/>
      <c r="R2255" s="29"/>
      <c r="S2255" s="29"/>
      <c r="T2255" s="30"/>
      <c r="U2255" s="47" t="str">
        <f aca="false">IF(AND(B2255&lt;&gt;"",B2255=SW別シート!$C$3),COUNTIF(B$5:B2255,B2255),"")</f>
        <v/>
      </c>
      <c r="V2255" s="47" t="n">
        <f aca="false">V2254+IF(OR(O2255&lt;&gt;"",W2255&lt;&gt;""),1,0)</f>
        <v>3</v>
      </c>
      <c r="W2255" s="29"/>
    </row>
    <row r="2256" customFormat="false" ht="15" hidden="false" customHeight="false" outlineLevel="0" collapsed="false">
      <c r="A2256" s="32" t="str">
        <f aca="false">IF(B2256="","",ROW()-7)</f>
        <v/>
      </c>
      <c r="B2256" s="30"/>
      <c r="C2256" s="29"/>
      <c r="D2256" s="29"/>
      <c r="E2256" s="29"/>
      <c r="F2256" s="30"/>
      <c r="G2256" s="29"/>
      <c r="H2256" s="30"/>
      <c r="I2256" s="29"/>
      <c r="J2256" s="30"/>
      <c r="K2256" s="30"/>
      <c r="L2256" s="29"/>
      <c r="M2256" s="32" t="str">
        <f aca="false">IF(OR(C2256="",L2256=""),"",IF(C2256=L2256,"同一","変更"))</f>
        <v/>
      </c>
      <c r="N2256" s="29"/>
      <c r="O2256" s="30"/>
      <c r="P2256" s="29"/>
      <c r="Q2256" s="31"/>
      <c r="R2256" s="29"/>
      <c r="S2256" s="29"/>
      <c r="T2256" s="30"/>
      <c r="U2256" s="47" t="str">
        <f aca="false">IF(AND(B2256&lt;&gt;"",B2256=SW別シート!$C$3),COUNTIF(B$5:B2256,B2256),"")</f>
        <v/>
      </c>
      <c r="V2256" s="47" t="n">
        <f aca="false">V2255+IF(OR(O2256&lt;&gt;"",W2256&lt;&gt;""),1,0)</f>
        <v>3</v>
      </c>
      <c r="W2256" s="29"/>
    </row>
    <row r="2257" customFormat="false" ht="15" hidden="false" customHeight="false" outlineLevel="0" collapsed="false">
      <c r="A2257" s="32" t="str">
        <f aca="false">IF(B2257="","",ROW()-7)</f>
        <v/>
      </c>
      <c r="B2257" s="30"/>
      <c r="C2257" s="29"/>
      <c r="D2257" s="29"/>
      <c r="E2257" s="29"/>
      <c r="F2257" s="30"/>
      <c r="G2257" s="29"/>
      <c r="H2257" s="30"/>
      <c r="I2257" s="29"/>
      <c r="J2257" s="30"/>
      <c r="K2257" s="30"/>
      <c r="L2257" s="29"/>
      <c r="M2257" s="32" t="str">
        <f aca="false">IF(OR(C2257="",L2257=""),"",IF(C2257=L2257,"同一","変更"))</f>
        <v/>
      </c>
      <c r="N2257" s="29"/>
      <c r="O2257" s="30"/>
      <c r="P2257" s="29"/>
      <c r="Q2257" s="31"/>
      <c r="R2257" s="29"/>
      <c r="S2257" s="29"/>
      <c r="T2257" s="30"/>
      <c r="U2257" s="47" t="str">
        <f aca="false">IF(AND(B2257&lt;&gt;"",B2257=SW別シート!$C$3),COUNTIF(B$5:B2257,B2257),"")</f>
        <v/>
      </c>
      <c r="V2257" s="47" t="n">
        <f aca="false">V2256+IF(OR(O2257&lt;&gt;"",W2257&lt;&gt;""),1,0)</f>
        <v>3</v>
      </c>
      <c r="W2257" s="29"/>
    </row>
    <row r="2258" customFormat="false" ht="15" hidden="false" customHeight="false" outlineLevel="0" collapsed="false">
      <c r="A2258" s="32" t="str">
        <f aca="false">IF(B2258="","",ROW()-7)</f>
        <v/>
      </c>
      <c r="B2258" s="30"/>
      <c r="C2258" s="29"/>
      <c r="D2258" s="29"/>
      <c r="E2258" s="29"/>
      <c r="F2258" s="30"/>
      <c r="G2258" s="29"/>
      <c r="H2258" s="30"/>
      <c r="I2258" s="29"/>
      <c r="J2258" s="30"/>
      <c r="K2258" s="30"/>
      <c r="L2258" s="29"/>
      <c r="M2258" s="32" t="str">
        <f aca="false">IF(OR(C2258="",L2258=""),"",IF(C2258=L2258,"同一","変更"))</f>
        <v/>
      </c>
      <c r="N2258" s="29"/>
      <c r="O2258" s="30"/>
      <c r="P2258" s="29"/>
      <c r="Q2258" s="31"/>
      <c r="R2258" s="29"/>
      <c r="S2258" s="29"/>
      <c r="T2258" s="30"/>
      <c r="U2258" s="47" t="str">
        <f aca="false">IF(AND(B2258&lt;&gt;"",B2258=SW別シート!$C$3),COUNTIF(B$5:B2258,B2258),"")</f>
        <v/>
      </c>
      <c r="V2258" s="47" t="n">
        <f aca="false">V2257+IF(OR(O2258&lt;&gt;"",W2258&lt;&gt;""),1,0)</f>
        <v>3</v>
      </c>
      <c r="W2258" s="29"/>
    </row>
    <row r="2259" customFormat="false" ht="15" hidden="false" customHeight="false" outlineLevel="0" collapsed="false">
      <c r="A2259" s="32" t="str">
        <f aca="false">IF(B2259="","",ROW()-7)</f>
        <v/>
      </c>
      <c r="B2259" s="30"/>
      <c r="C2259" s="29"/>
      <c r="D2259" s="29"/>
      <c r="E2259" s="29"/>
      <c r="F2259" s="30"/>
      <c r="G2259" s="29"/>
      <c r="H2259" s="30"/>
      <c r="I2259" s="29"/>
      <c r="J2259" s="30"/>
      <c r="K2259" s="30"/>
      <c r="L2259" s="29"/>
      <c r="M2259" s="32" t="str">
        <f aca="false">IF(OR(C2259="",L2259=""),"",IF(C2259=L2259,"同一","変更"))</f>
        <v/>
      </c>
      <c r="N2259" s="29"/>
      <c r="O2259" s="30"/>
      <c r="P2259" s="29"/>
      <c r="Q2259" s="31"/>
      <c r="R2259" s="29"/>
      <c r="S2259" s="29"/>
      <c r="T2259" s="30"/>
      <c r="U2259" s="47" t="str">
        <f aca="false">IF(AND(B2259&lt;&gt;"",B2259=SW別シート!$C$3),COUNTIF(B$5:B2259,B2259),"")</f>
        <v/>
      </c>
      <c r="V2259" s="47" t="n">
        <f aca="false">V2258+IF(OR(O2259&lt;&gt;"",W2259&lt;&gt;""),1,0)</f>
        <v>3</v>
      </c>
      <c r="W2259" s="29"/>
    </row>
    <row r="2260" customFormat="false" ht="15" hidden="false" customHeight="false" outlineLevel="0" collapsed="false">
      <c r="A2260" s="32" t="str">
        <f aca="false">IF(B2260="","",ROW()-7)</f>
        <v/>
      </c>
      <c r="B2260" s="30"/>
      <c r="C2260" s="29"/>
      <c r="D2260" s="29"/>
      <c r="E2260" s="29"/>
      <c r="F2260" s="30"/>
      <c r="G2260" s="29"/>
      <c r="H2260" s="30"/>
      <c r="I2260" s="29"/>
      <c r="J2260" s="30"/>
      <c r="K2260" s="30"/>
      <c r="L2260" s="29"/>
      <c r="M2260" s="32" t="str">
        <f aca="false">IF(OR(C2260="",L2260=""),"",IF(C2260=L2260,"同一","変更"))</f>
        <v/>
      </c>
      <c r="N2260" s="29"/>
      <c r="O2260" s="30"/>
      <c r="P2260" s="29"/>
      <c r="Q2260" s="31"/>
      <c r="R2260" s="29"/>
      <c r="S2260" s="29"/>
      <c r="T2260" s="30"/>
      <c r="U2260" s="47" t="str">
        <f aca="false">IF(AND(B2260&lt;&gt;"",B2260=SW別シート!$C$3),COUNTIF(B$5:B2260,B2260),"")</f>
        <v/>
      </c>
      <c r="V2260" s="47" t="n">
        <f aca="false">V2259+IF(OR(O2260&lt;&gt;"",W2260&lt;&gt;""),1,0)</f>
        <v>3</v>
      </c>
      <c r="W2260" s="29"/>
    </row>
    <row r="2261" customFormat="false" ht="15" hidden="false" customHeight="false" outlineLevel="0" collapsed="false">
      <c r="A2261" s="32" t="str">
        <f aca="false">IF(B2261="","",ROW()-7)</f>
        <v/>
      </c>
      <c r="B2261" s="30"/>
      <c r="C2261" s="29"/>
      <c r="D2261" s="29"/>
      <c r="E2261" s="29"/>
      <c r="F2261" s="30"/>
      <c r="G2261" s="29"/>
      <c r="H2261" s="30"/>
      <c r="I2261" s="29"/>
      <c r="J2261" s="30"/>
      <c r="K2261" s="30"/>
      <c r="L2261" s="29"/>
      <c r="M2261" s="32" t="str">
        <f aca="false">IF(OR(C2261="",L2261=""),"",IF(C2261=L2261,"同一","変更"))</f>
        <v/>
      </c>
      <c r="N2261" s="29"/>
      <c r="O2261" s="30"/>
      <c r="P2261" s="29"/>
      <c r="Q2261" s="31"/>
      <c r="R2261" s="29"/>
      <c r="S2261" s="29"/>
      <c r="T2261" s="30"/>
      <c r="U2261" s="47" t="str">
        <f aca="false">IF(AND(B2261&lt;&gt;"",B2261=SW別シート!$C$3),COUNTIF(B$5:B2261,B2261),"")</f>
        <v/>
      </c>
      <c r="V2261" s="47" t="n">
        <f aca="false">V2260+IF(OR(O2261&lt;&gt;"",W2261&lt;&gt;""),1,0)</f>
        <v>3</v>
      </c>
      <c r="W2261" s="29"/>
    </row>
    <row r="2262" customFormat="false" ht="15" hidden="false" customHeight="false" outlineLevel="0" collapsed="false">
      <c r="A2262" s="32" t="str">
        <f aca="false">IF(B2262="","",ROW()-7)</f>
        <v/>
      </c>
      <c r="B2262" s="30"/>
      <c r="C2262" s="29"/>
      <c r="D2262" s="29"/>
      <c r="E2262" s="29"/>
      <c r="F2262" s="30"/>
      <c r="G2262" s="29"/>
      <c r="H2262" s="30"/>
      <c r="I2262" s="29"/>
      <c r="J2262" s="30"/>
      <c r="K2262" s="30"/>
      <c r="L2262" s="29"/>
      <c r="M2262" s="32" t="str">
        <f aca="false">IF(OR(C2262="",L2262=""),"",IF(C2262=L2262,"同一","変更"))</f>
        <v/>
      </c>
      <c r="N2262" s="29"/>
      <c r="O2262" s="30"/>
      <c r="P2262" s="29"/>
      <c r="Q2262" s="31"/>
      <c r="R2262" s="29"/>
      <c r="S2262" s="29"/>
      <c r="T2262" s="30"/>
      <c r="U2262" s="47" t="str">
        <f aca="false">IF(AND(B2262&lt;&gt;"",B2262=SW別シート!$C$3),COUNTIF(B$5:B2262,B2262),"")</f>
        <v/>
      </c>
      <c r="V2262" s="47" t="n">
        <f aca="false">V2261+IF(OR(O2262&lt;&gt;"",W2262&lt;&gt;""),1,0)</f>
        <v>3</v>
      </c>
      <c r="W2262" s="29"/>
    </row>
    <row r="2263" customFormat="false" ht="15" hidden="false" customHeight="false" outlineLevel="0" collapsed="false">
      <c r="A2263" s="32" t="str">
        <f aca="false">IF(B2263="","",ROW()-7)</f>
        <v/>
      </c>
      <c r="B2263" s="30"/>
      <c r="C2263" s="29"/>
      <c r="D2263" s="29"/>
      <c r="E2263" s="29"/>
      <c r="F2263" s="30"/>
      <c r="G2263" s="29"/>
      <c r="H2263" s="30"/>
      <c r="I2263" s="29"/>
      <c r="J2263" s="30"/>
      <c r="K2263" s="30"/>
      <c r="L2263" s="29"/>
      <c r="M2263" s="32" t="str">
        <f aca="false">IF(OR(C2263="",L2263=""),"",IF(C2263=L2263,"同一","変更"))</f>
        <v/>
      </c>
      <c r="N2263" s="29"/>
      <c r="O2263" s="30"/>
      <c r="P2263" s="29"/>
      <c r="Q2263" s="31"/>
      <c r="R2263" s="29"/>
      <c r="S2263" s="29"/>
      <c r="T2263" s="30"/>
      <c r="U2263" s="47" t="str">
        <f aca="false">IF(AND(B2263&lt;&gt;"",B2263=SW別シート!$C$3),COUNTIF(B$5:B2263,B2263),"")</f>
        <v/>
      </c>
      <c r="V2263" s="47" t="n">
        <f aca="false">V2262+IF(OR(O2263&lt;&gt;"",W2263&lt;&gt;""),1,0)</f>
        <v>3</v>
      </c>
      <c r="W2263" s="29"/>
    </row>
    <row r="2264" customFormat="false" ht="15" hidden="false" customHeight="false" outlineLevel="0" collapsed="false">
      <c r="A2264" s="32" t="str">
        <f aca="false">IF(B2264="","",ROW()-7)</f>
        <v/>
      </c>
      <c r="B2264" s="30"/>
      <c r="C2264" s="29"/>
      <c r="D2264" s="29"/>
      <c r="E2264" s="29"/>
      <c r="F2264" s="30"/>
      <c r="G2264" s="29"/>
      <c r="H2264" s="30"/>
      <c r="I2264" s="29"/>
      <c r="J2264" s="30"/>
      <c r="K2264" s="30"/>
      <c r="L2264" s="29"/>
      <c r="M2264" s="32" t="str">
        <f aca="false">IF(OR(C2264="",L2264=""),"",IF(C2264=L2264,"同一","変更"))</f>
        <v/>
      </c>
      <c r="N2264" s="29"/>
      <c r="O2264" s="30"/>
      <c r="P2264" s="29"/>
      <c r="Q2264" s="31"/>
      <c r="R2264" s="29"/>
      <c r="S2264" s="29"/>
      <c r="T2264" s="30"/>
      <c r="U2264" s="47" t="str">
        <f aca="false">IF(AND(B2264&lt;&gt;"",B2264=SW別シート!$C$3),COUNTIF(B$5:B2264,B2264),"")</f>
        <v/>
      </c>
      <c r="V2264" s="47" t="n">
        <f aca="false">V2263+IF(OR(O2264&lt;&gt;"",W2264&lt;&gt;""),1,0)</f>
        <v>3</v>
      </c>
      <c r="W2264" s="29"/>
    </row>
    <row r="2265" customFormat="false" ht="15" hidden="false" customHeight="false" outlineLevel="0" collapsed="false">
      <c r="A2265" s="32" t="str">
        <f aca="false">IF(B2265="","",ROW()-7)</f>
        <v/>
      </c>
      <c r="B2265" s="30"/>
      <c r="C2265" s="29"/>
      <c r="D2265" s="29"/>
      <c r="E2265" s="29"/>
      <c r="F2265" s="30"/>
      <c r="G2265" s="29"/>
      <c r="H2265" s="30"/>
      <c r="I2265" s="29"/>
      <c r="J2265" s="30"/>
      <c r="K2265" s="30"/>
      <c r="L2265" s="29"/>
      <c r="M2265" s="32" t="str">
        <f aca="false">IF(OR(C2265="",L2265=""),"",IF(C2265=L2265,"同一","変更"))</f>
        <v/>
      </c>
      <c r="N2265" s="29"/>
      <c r="O2265" s="30"/>
      <c r="P2265" s="29"/>
      <c r="Q2265" s="31"/>
      <c r="R2265" s="29"/>
      <c r="S2265" s="29"/>
      <c r="T2265" s="30"/>
      <c r="U2265" s="47" t="str">
        <f aca="false">IF(AND(B2265&lt;&gt;"",B2265=SW別シート!$C$3),COUNTIF(B$5:B2265,B2265),"")</f>
        <v/>
      </c>
      <c r="V2265" s="47" t="n">
        <f aca="false">V2264+IF(OR(O2265&lt;&gt;"",W2265&lt;&gt;""),1,0)</f>
        <v>3</v>
      </c>
      <c r="W2265" s="29"/>
    </row>
    <row r="2266" customFormat="false" ht="15" hidden="false" customHeight="false" outlineLevel="0" collapsed="false">
      <c r="A2266" s="32" t="str">
        <f aca="false">IF(B2266="","",ROW()-7)</f>
        <v/>
      </c>
      <c r="B2266" s="30"/>
      <c r="C2266" s="29"/>
      <c r="D2266" s="29"/>
      <c r="E2266" s="29"/>
      <c r="F2266" s="30"/>
      <c r="G2266" s="29"/>
      <c r="H2266" s="30"/>
      <c r="I2266" s="29"/>
      <c r="J2266" s="30"/>
      <c r="K2266" s="30"/>
      <c r="L2266" s="29"/>
      <c r="M2266" s="32" t="str">
        <f aca="false">IF(OR(C2266="",L2266=""),"",IF(C2266=L2266,"同一","変更"))</f>
        <v/>
      </c>
      <c r="N2266" s="29"/>
      <c r="O2266" s="30"/>
      <c r="P2266" s="29"/>
      <c r="Q2266" s="31"/>
      <c r="R2266" s="29"/>
      <c r="S2266" s="29"/>
      <c r="T2266" s="30"/>
      <c r="U2266" s="47" t="str">
        <f aca="false">IF(AND(B2266&lt;&gt;"",B2266=SW別シート!$C$3),COUNTIF(B$5:B2266,B2266),"")</f>
        <v/>
      </c>
      <c r="V2266" s="47" t="n">
        <f aca="false">V2265+IF(OR(O2266&lt;&gt;"",W2266&lt;&gt;""),1,0)</f>
        <v>3</v>
      </c>
      <c r="W2266" s="29"/>
    </row>
    <row r="2267" customFormat="false" ht="15" hidden="false" customHeight="false" outlineLevel="0" collapsed="false">
      <c r="A2267" s="32" t="str">
        <f aca="false">IF(B2267="","",ROW()-7)</f>
        <v/>
      </c>
      <c r="B2267" s="30"/>
      <c r="C2267" s="29"/>
      <c r="D2267" s="29"/>
      <c r="E2267" s="29"/>
      <c r="F2267" s="30"/>
      <c r="G2267" s="29"/>
      <c r="H2267" s="30"/>
      <c r="I2267" s="29"/>
      <c r="J2267" s="30"/>
      <c r="K2267" s="30"/>
      <c r="L2267" s="29"/>
      <c r="M2267" s="32" t="str">
        <f aca="false">IF(OR(C2267="",L2267=""),"",IF(C2267=L2267,"同一","変更"))</f>
        <v/>
      </c>
      <c r="N2267" s="29"/>
      <c r="O2267" s="30"/>
      <c r="P2267" s="29"/>
      <c r="Q2267" s="31"/>
      <c r="R2267" s="29"/>
      <c r="S2267" s="29"/>
      <c r="T2267" s="30"/>
      <c r="U2267" s="47" t="str">
        <f aca="false">IF(AND(B2267&lt;&gt;"",B2267=SW別シート!$C$3),COUNTIF(B$5:B2267,B2267),"")</f>
        <v/>
      </c>
      <c r="V2267" s="47" t="n">
        <f aca="false">V2266+IF(OR(O2267&lt;&gt;"",W2267&lt;&gt;""),1,0)</f>
        <v>3</v>
      </c>
      <c r="W2267" s="29"/>
    </row>
    <row r="2268" customFormat="false" ht="15" hidden="false" customHeight="false" outlineLevel="0" collapsed="false">
      <c r="A2268" s="32" t="str">
        <f aca="false">IF(B2268="","",ROW()-7)</f>
        <v/>
      </c>
      <c r="B2268" s="30"/>
      <c r="C2268" s="29"/>
      <c r="D2268" s="29"/>
      <c r="E2268" s="29"/>
      <c r="F2268" s="30"/>
      <c r="G2268" s="29"/>
      <c r="H2268" s="30"/>
      <c r="I2268" s="29"/>
      <c r="J2268" s="30"/>
      <c r="K2268" s="30"/>
      <c r="L2268" s="29"/>
      <c r="M2268" s="32" t="str">
        <f aca="false">IF(OR(C2268="",L2268=""),"",IF(C2268=L2268,"同一","変更"))</f>
        <v/>
      </c>
      <c r="N2268" s="29"/>
      <c r="O2268" s="30"/>
      <c r="P2268" s="29"/>
      <c r="Q2268" s="31"/>
      <c r="R2268" s="29"/>
      <c r="S2268" s="29"/>
      <c r="T2268" s="30"/>
      <c r="U2268" s="47" t="str">
        <f aca="false">IF(AND(B2268&lt;&gt;"",B2268=SW別シート!$C$3),COUNTIF(B$5:B2268,B2268),"")</f>
        <v/>
      </c>
      <c r="V2268" s="47" t="n">
        <f aca="false">V2267+IF(OR(O2268&lt;&gt;"",W2268&lt;&gt;""),1,0)</f>
        <v>3</v>
      </c>
      <c r="W2268" s="29"/>
    </row>
    <row r="2269" customFormat="false" ht="15" hidden="false" customHeight="false" outlineLevel="0" collapsed="false">
      <c r="A2269" s="32" t="str">
        <f aca="false">IF(B2269="","",ROW()-7)</f>
        <v/>
      </c>
      <c r="B2269" s="30"/>
      <c r="C2269" s="29"/>
      <c r="D2269" s="29"/>
      <c r="E2269" s="29"/>
      <c r="F2269" s="30"/>
      <c r="G2269" s="29"/>
      <c r="H2269" s="30"/>
      <c r="I2269" s="29"/>
      <c r="J2269" s="30"/>
      <c r="K2269" s="30"/>
      <c r="L2269" s="29"/>
      <c r="M2269" s="32" t="str">
        <f aca="false">IF(OR(C2269="",L2269=""),"",IF(C2269=L2269,"同一","変更"))</f>
        <v/>
      </c>
      <c r="N2269" s="29"/>
      <c r="O2269" s="30"/>
      <c r="P2269" s="29"/>
      <c r="Q2269" s="31"/>
      <c r="R2269" s="29"/>
      <c r="S2269" s="29"/>
      <c r="T2269" s="30"/>
      <c r="U2269" s="47" t="str">
        <f aca="false">IF(AND(B2269&lt;&gt;"",B2269=SW別シート!$C$3),COUNTIF(B$5:B2269,B2269),"")</f>
        <v/>
      </c>
      <c r="V2269" s="47" t="n">
        <f aca="false">V2268+IF(OR(O2269&lt;&gt;"",W2269&lt;&gt;""),1,0)</f>
        <v>3</v>
      </c>
      <c r="W2269" s="29"/>
    </row>
    <row r="2270" customFormat="false" ht="15" hidden="false" customHeight="false" outlineLevel="0" collapsed="false">
      <c r="A2270" s="32" t="str">
        <f aca="false">IF(B2270="","",ROW()-7)</f>
        <v/>
      </c>
      <c r="B2270" s="30"/>
      <c r="C2270" s="29"/>
      <c r="D2270" s="29"/>
      <c r="E2270" s="29"/>
      <c r="F2270" s="30"/>
      <c r="G2270" s="29"/>
      <c r="H2270" s="30"/>
      <c r="I2270" s="29"/>
      <c r="J2270" s="30"/>
      <c r="K2270" s="30"/>
      <c r="L2270" s="29"/>
      <c r="M2270" s="32" t="str">
        <f aca="false">IF(OR(C2270="",L2270=""),"",IF(C2270=L2270,"同一","変更"))</f>
        <v/>
      </c>
      <c r="N2270" s="29"/>
      <c r="O2270" s="30"/>
      <c r="P2270" s="29"/>
      <c r="Q2270" s="31"/>
      <c r="R2270" s="29"/>
      <c r="S2270" s="29"/>
      <c r="T2270" s="30"/>
      <c r="U2270" s="47" t="str">
        <f aca="false">IF(AND(B2270&lt;&gt;"",B2270=SW別シート!$C$3),COUNTIF(B$5:B2270,B2270),"")</f>
        <v/>
      </c>
      <c r="V2270" s="47" t="n">
        <f aca="false">V2269+IF(OR(O2270&lt;&gt;"",W2270&lt;&gt;""),1,0)</f>
        <v>3</v>
      </c>
      <c r="W2270" s="29"/>
    </row>
    <row r="2271" customFormat="false" ht="15" hidden="false" customHeight="false" outlineLevel="0" collapsed="false">
      <c r="A2271" s="32" t="str">
        <f aca="false">IF(B2271="","",ROW()-7)</f>
        <v/>
      </c>
      <c r="B2271" s="30"/>
      <c r="C2271" s="29"/>
      <c r="D2271" s="29"/>
      <c r="E2271" s="29"/>
      <c r="F2271" s="30"/>
      <c r="G2271" s="29"/>
      <c r="H2271" s="30"/>
      <c r="I2271" s="29"/>
      <c r="J2271" s="30"/>
      <c r="K2271" s="30"/>
      <c r="L2271" s="29"/>
      <c r="M2271" s="32" t="str">
        <f aca="false">IF(OR(C2271="",L2271=""),"",IF(C2271=L2271,"同一","変更"))</f>
        <v/>
      </c>
      <c r="N2271" s="29"/>
      <c r="O2271" s="30"/>
      <c r="P2271" s="29"/>
      <c r="Q2271" s="31"/>
      <c r="R2271" s="29"/>
      <c r="S2271" s="29"/>
      <c r="T2271" s="30"/>
      <c r="U2271" s="47" t="str">
        <f aca="false">IF(AND(B2271&lt;&gt;"",B2271=SW別シート!$C$3),COUNTIF(B$5:B2271,B2271),"")</f>
        <v/>
      </c>
      <c r="V2271" s="47" t="n">
        <f aca="false">V2270+IF(OR(O2271&lt;&gt;"",W2271&lt;&gt;""),1,0)</f>
        <v>3</v>
      </c>
      <c r="W2271" s="29"/>
    </row>
    <row r="2272" customFormat="false" ht="15" hidden="false" customHeight="false" outlineLevel="0" collapsed="false">
      <c r="A2272" s="32" t="str">
        <f aca="false">IF(B2272="","",ROW()-7)</f>
        <v/>
      </c>
      <c r="B2272" s="30"/>
      <c r="C2272" s="29"/>
      <c r="D2272" s="29"/>
      <c r="E2272" s="29"/>
      <c r="F2272" s="30"/>
      <c r="G2272" s="29"/>
      <c r="H2272" s="30"/>
      <c r="I2272" s="29"/>
      <c r="J2272" s="30"/>
      <c r="K2272" s="30"/>
      <c r="L2272" s="29"/>
      <c r="M2272" s="32" t="str">
        <f aca="false">IF(OR(C2272="",L2272=""),"",IF(C2272=L2272,"同一","変更"))</f>
        <v/>
      </c>
      <c r="N2272" s="29"/>
      <c r="O2272" s="30"/>
      <c r="P2272" s="29"/>
      <c r="Q2272" s="31"/>
      <c r="R2272" s="29"/>
      <c r="S2272" s="29"/>
      <c r="T2272" s="30"/>
      <c r="U2272" s="47" t="str">
        <f aca="false">IF(AND(B2272&lt;&gt;"",B2272=SW別シート!$C$3),COUNTIF(B$5:B2272,B2272),"")</f>
        <v/>
      </c>
      <c r="V2272" s="47" t="n">
        <f aca="false">V2271+IF(OR(O2272&lt;&gt;"",W2272&lt;&gt;""),1,0)</f>
        <v>3</v>
      </c>
      <c r="W2272" s="29"/>
    </row>
    <row r="2273" customFormat="false" ht="15" hidden="false" customHeight="false" outlineLevel="0" collapsed="false">
      <c r="A2273" s="32" t="str">
        <f aca="false">IF(B2273="","",ROW()-7)</f>
        <v/>
      </c>
      <c r="B2273" s="30"/>
      <c r="C2273" s="29"/>
      <c r="D2273" s="29"/>
      <c r="E2273" s="29"/>
      <c r="F2273" s="30"/>
      <c r="G2273" s="29"/>
      <c r="H2273" s="30"/>
      <c r="I2273" s="29"/>
      <c r="J2273" s="30"/>
      <c r="K2273" s="30"/>
      <c r="L2273" s="29"/>
      <c r="M2273" s="32" t="str">
        <f aca="false">IF(OR(C2273="",L2273=""),"",IF(C2273=L2273,"同一","変更"))</f>
        <v/>
      </c>
      <c r="N2273" s="29"/>
      <c r="O2273" s="30"/>
      <c r="P2273" s="29"/>
      <c r="Q2273" s="31"/>
      <c r="R2273" s="29"/>
      <c r="S2273" s="29"/>
      <c r="T2273" s="30"/>
      <c r="U2273" s="47" t="str">
        <f aca="false">IF(AND(B2273&lt;&gt;"",B2273=SW別シート!$C$3),COUNTIF(B$5:B2273,B2273),"")</f>
        <v/>
      </c>
      <c r="V2273" s="47" t="n">
        <f aca="false">V2272+IF(OR(O2273&lt;&gt;"",W2273&lt;&gt;""),1,0)</f>
        <v>3</v>
      </c>
      <c r="W2273" s="29"/>
    </row>
    <row r="2274" customFormat="false" ht="15" hidden="false" customHeight="false" outlineLevel="0" collapsed="false">
      <c r="A2274" s="32" t="str">
        <f aca="false">IF(B2274="","",ROW()-7)</f>
        <v/>
      </c>
      <c r="B2274" s="30"/>
      <c r="C2274" s="29"/>
      <c r="D2274" s="29"/>
      <c r="E2274" s="29"/>
      <c r="F2274" s="30"/>
      <c r="G2274" s="29"/>
      <c r="H2274" s="30"/>
      <c r="I2274" s="29"/>
      <c r="J2274" s="30"/>
      <c r="K2274" s="30"/>
      <c r="L2274" s="29"/>
      <c r="M2274" s="32" t="str">
        <f aca="false">IF(OR(C2274="",L2274=""),"",IF(C2274=L2274,"同一","変更"))</f>
        <v/>
      </c>
      <c r="N2274" s="29"/>
      <c r="O2274" s="30"/>
      <c r="P2274" s="29"/>
      <c r="Q2274" s="31"/>
      <c r="R2274" s="29"/>
      <c r="S2274" s="29"/>
      <c r="T2274" s="30"/>
      <c r="U2274" s="47" t="str">
        <f aca="false">IF(AND(B2274&lt;&gt;"",B2274=SW別シート!$C$3),COUNTIF(B$5:B2274,B2274),"")</f>
        <v/>
      </c>
      <c r="V2274" s="47" t="n">
        <f aca="false">V2273+IF(OR(O2274&lt;&gt;"",W2274&lt;&gt;""),1,0)</f>
        <v>3</v>
      </c>
      <c r="W2274" s="29"/>
    </row>
    <row r="2275" customFormat="false" ht="15" hidden="false" customHeight="false" outlineLevel="0" collapsed="false">
      <c r="A2275" s="32" t="str">
        <f aca="false">IF(B2275="","",ROW()-7)</f>
        <v/>
      </c>
      <c r="B2275" s="30"/>
      <c r="C2275" s="29"/>
      <c r="D2275" s="29"/>
      <c r="E2275" s="29"/>
      <c r="F2275" s="30"/>
      <c r="G2275" s="29"/>
      <c r="H2275" s="30"/>
      <c r="I2275" s="29"/>
      <c r="J2275" s="30"/>
      <c r="K2275" s="30"/>
      <c r="L2275" s="29"/>
      <c r="M2275" s="32" t="str">
        <f aca="false">IF(OR(C2275="",L2275=""),"",IF(C2275=L2275,"同一","変更"))</f>
        <v/>
      </c>
      <c r="N2275" s="29"/>
      <c r="O2275" s="30"/>
      <c r="P2275" s="29"/>
      <c r="Q2275" s="31"/>
      <c r="R2275" s="29"/>
      <c r="S2275" s="29"/>
      <c r="T2275" s="30"/>
      <c r="U2275" s="47" t="str">
        <f aca="false">IF(AND(B2275&lt;&gt;"",B2275=SW別シート!$C$3),COUNTIF(B$5:B2275,B2275),"")</f>
        <v/>
      </c>
      <c r="V2275" s="47" t="n">
        <f aca="false">V2274+IF(OR(O2275&lt;&gt;"",W2275&lt;&gt;""),1,0)</f>
        <v>3</v>
      </c>
      <c r="W2275" s="29"/>
    </row>
    <row r="2276" customFormat="false" ht="15" hidden="false" customHeight="false" outlineLevel="0" collapsed="false">
      <c r="A2276" s="32" t="str">
        <f aca="false">IF(B2276="","",ROW()-7)</f>
        <v/>
      </c>
      <c r="B2276" s="30"/>
      <c r="C2276" s="29"/>
      <c r="D2276" s="29"/>
      <c r="E2276" s="29"/>
      <c r="F2276" s="30"/>
      <c r="G2276" s="29"/>
      <c r="H2276" s="30"/>
      <c r="I2276" s="29"/>
      <c r="J2276" s="30"/>
      <c r="K2276" s="30"/>
      <c r="L2276" s="29"/>
      <c r="M2276" s="32" t="str">
        <f aca="false">IF(OR(C2276="",L2276=""),"",IF(C2276=L2276,"同一","変更"))</f>
        <v/>
      </c>
      <c r="N2276" s="29"/>
      <c r="O2276" s="30"/>
      <c r="P2276" s="29"/>
      <c r="Q2276" s="31"/>
      <c r="R2276" s="29"/>
      <c r="S2276" s="29"/>
      <c r="T2276" s="30"/>
      <c r="U2276" s="47" t="str">
        <f aca="false">IF(AND(B2276&lt;&gt;"",B2276=SW別シート!$C$3),COUNTIF(B$5:B2276,B2276),"")</f>
        <v/>
      </c>
      <c r="V2276" s="47" t="n">
        <f aca="false">V2275+IF(OR(O2276&lt;&gt;"",W2276&lt;&gt;""),1,0)</f>
        <v>3</v>
      </c>
      <c r="W2276" s="29"/>
    </row>
    <row r="2277" customFormat="false" ht="15" hidden="false" customHeight="false" outlineLevel="0" collapsed="false">
      <c r="A2277" s="32" t="str">
        <f aca="false">IF(B2277="","",ROW()-7)</f>
        <v/>
      </c>
      <c r="B2277" s="30"/>
      <c r="C2277" s="29"/>
      <c r="D2277" s="29"/>
      <c r="E2277" s="29"/>
      <c r="F2277" s="30"/>
      <c r="G2277" s="29"/>
      <c r="H2277" s="30"/>
      <c r="I2277" s="29"/>
      <c r="J2277" s="30"/>
      <c r="K2277" s="30"/>
      <c r="L2277" s="29"/>
      <c r="M2277" s="32" t="str">
        <f aca="false">IF(OR(C2277="",L2277=""),"",IF(C2277=L2277,"同一","変更"))</f>
        <v/>
      </c>
      <c r="N2277" s="29"/>
      <c r="O2277" s="30"/>
      <c r="P2277" s="29"/>
      <c r="Q2277" s="31"/>
      <c r="R2277" s="29"/>
      <c r="S2277" s="29"/>
      <c r="T2277" s="30"/>
      <c r="U2277" s="47" t="str">
        <f aca="false">IF(AND(B2277&lt;&gt;"",B2277=SW別シート!$C$3),COUNTIF(B$5:B2277,B2277),"")</f>
        <v/>
      </c>
      <c r="V2277" s="47" t="n">
        <f aca="false">V2276+IF(OR(O2277&lt;&gt;"",W2277&lt;&gt;""),1,0)</f>
        <v>3</v>
      </c>
      <c r="W2277" s="29"/>
    </row>
    <row r="2278" customFormat="false" ht="15" hidden="false" customHeight="false" outlineLevel="0" collapsed="false">
      <c r="A2278" s="32" t="str">
        <f aca="false">IF(B2278="","",ROW()-7)</f>
        <v/>
      </c>
      <c r="B2278" s="30"/>
      <c r="C2278" s="29"/>
      <c r="D2278" s="29"/>
      <c r="E2278" s="29"/>
      <c r="F2278" s="30"/>
      <c r="G2278" s="29"/>
      <c r="H2278" s="30"/>
      <c r="I2278" s="29"/>
      <c r="J2278" s="30"/>
      <c r="K2278" s="30"/>
      <c r="L2278" s="29"/>
      <c r="M2278" s="32" t="str">
        <f aca="false">IF(OR(C2278="",L2278=""),"",IF(C2278=L2278,"同一","変更"))</f>
        <v/>
      </c>
      <c r="N2278" s="29"/>
      <c r="O2278" s="30"/>
      <c r="P2278" s="29"/>
      <c r="Q2278" s="31"/>
      <c r="R2278" s="29"/>
      <c r="S2278" s="29"/>
      <c r="T2278" s="30"/>
      <c r="U2278" s="47" t="str">
        <f aca="false">IF(AND(B2278&lt;&gt;"",B2278=SW別シート!$C$3),COUNTIF(B$5:B2278,B2278),"")</f>
        <v/>
      </c>
      <c r="V2278" s="47" t="n">
        <f aca="false">V2277+IF(OR(O2278&lt;&gt;"",W2278&lt;&gt;""),1,0)</f>
        <v>3</v>
      </c>
      <c r="W2278" s="29"/>
    </row>
    <row r="2279" customFormat="false" ht="15" hidden="false" customHeight="false" outlineLevel="0" collapsed="false">
      <c r="A2279" s="32" t="str">
        <f aca="false">IF(B2279="","",ROW()-7)</f>
        <v/>
      </c>
      <c r="B2279" s="30"/>
      <c r="C2279" s="29"/>
      <c r="D2279" s="29"/>
      <c r="E2279" s="29"/>
      <c r="F2279" s="30"/>
      <c r="G2279" s="29"/>
      <c r="H2279" s="30"/>
      <c r="I2279" s="29"/>
      <c r="J2279" s="30"/>
      <c r="K2279" s="30"/>
      <c r="L2279" s="29"/>
      <c r="M2279" s="32" t="str">
        <f aca="false">IF(OR(C2279="",L2279=""),"",IF(C2279=L2279,"同一","変更"))</f>
        <v/>
      </c>
      <c r="N2279" s="29"/>
      <c r="O2279" s="30"/>
      <c r="P2279" s="29"/>
      <c r="Q2279" s="31"/>
      <c r="R2279" s="29"/>
      <c r="S2279" s="29"/>
      <c r="T2279" s="30"/>
      <c r="U2279" s="47" t="str">
        <f aca="false">IF(AND(B2279&lt;&gt;"",B2279=SW別シート!$C$3),COUNTIF(B$5:B2279,B2279),"")</f>
        <v/>
      </c>
      <c r="V2279" s="47" t="n">
        <f aca="false">V2278+IF(OR(O2279&lt;&gt;"",W2279&lt;&gt;""),1,0)</f>
        <v>3</v>
      </c>
      <c r="W2279" s="29"/>
    </row>
    <row r="2280" customFormat="false" ht="15" hidden="false" customHeight="false" outlineLevel="0" collapsed="false">
      <c r="A2280" s="32" t="str">
        <f aca="false">IF(B2280="","",ROW()-7)</f>
        <v/>
      </c>
      <c r="B2280" s="30"/>
      <c r="C2280" s="29"/>
      <c r="D2280" s="29"/>
      <c r="E2280" s="29"/>
      <c r="F2280" s="30"/>
      <c r="G2280" s="29"/>
      <c r="H2280" s="30"/>
      <c r="I2280" s="29"/>
      <c r="J2280" s="30"/>
      <c r="K2280" s="30"/>
      <c r="L2280" s="29"/>
      <c r="M2280" s="32" t="str">
        <f aca="false">IF(OR(C2280="",L2280=""),"",IF(C2280=L2280,"同一","変更"))</f>
        <v/>
      </c>
      <c r="N2280" s="29"/>
      <c r="O2280" s="30"/>
      <c r="P2280" s="29"/>
      <c r="Q2280" s="31"/>
      <c r="R2280" s="29"/>
      <c r="S2280" s="29"/>
      <c r="T2280" s="30"/>
      <c r="U2280" s="47" t="str">
        <f aca="false">IF(AND(B2280&lt;&gt;"",B2280=SW別シート!$C$3),COUNTIF(B$5:B2280,B2280),"")</f>
        <v/>
      </c>
      <c r="V2280" s="47" t="n">
        <f aca="false">V2279+IF(OR(O2280&lt;&gt;"",W2280&lt;&gt;""),1,0)</f>
        <v>3</v>
      </c>
      <c r="W2280" s="29"/>
    </row>
    <row r="2281" customFormat="false" ht="15" hidden="false" customHeight="false" outlineLevel="0" collapsed="false">
      <c r="A2281" s="32" t="str">
        <f aca="false">IF(B2281="","",ROW()-7)</f>
        <v/>
      </c>
      <c r="B2281" s="30"/>
      <c r="C2281" s="29"/>
      <c r="D2281" s="29"/>
      <c r="E2281" s="29"/>
      <c r="F2281" s="30"/>
      <c r="G2281" s="29"/>
      <c r="H2281" s="30"/>
      <c r="I2281" s="29"/>
      <c r="J2281" s="30"/>
      <c r="K2281" s="30"/>
      <c r="L2281" s="29"/>
      <c r="M2281" s="32" t="str">
        <f aca="false">IF(OR(C2281="",L2281=""),"",IF(C2281=L2281,"同一","変更"))</f>
        <v/>
      </c>
      <c r="N2281" s="29"/>
      <c r="O2281" s="30"/>
      <c r="P2281" s="29"/>
      <c r="Q2281" s="31"/>
      <c r="R2281" s="29"/>
      <c r="S2281" s="29"/>
      <c r="T2281" s="30"/>
      <c r="U2281" s="47" t="str">
        <f aca="false">IF(AND(B2281&lt;&gt;"",B2281=SW別シート!$C$3),COUNTIF(B$5:B2281,B2281),"")</f>
        <v/>
      </c>
      <c r="V2281" s="47" t="n">
        <f aca="false">V2280+IF(OR(O2281&lt;&gt;"",W2281&lt;&gt;""),1,0)</f>
        <v>3</v>
      </c>
      <c r="W2281" s="29"/>
    </row>
    <row r="2282" customFormat="false" ht="15" hidden="false" customHeight="false" outlineLevel="0" collapsed="false">
      <c r="A2282" s="32" t="str">
        <f aca="false">IF(B2282="","",ROW()-7)</f>
        <v/>
      </c>
      <c r="B2282" s="30"/>
      <c r="C2282" s="29"/>
      <c r="D2282" s="29"/>
      <c r="E2282" s="29"/>
      <c r="F2282" s="30"/>
      <c r="G2282" s="29"/>
      <c r="H2282" s="30"/>
      <c r="I2282" s="29"/>
      <c r="J2282" s="30"/>
      <c r="K2282" s="30"/>
      <c r="L2282" s="29"/>
      <c r="M2282" s="32" t="str">
        <f aca="false">IF(OR(C2282="",L2282=""),"",IF(C2282=L2282,"同一","変更"))</f>
        <v/>
      </c>
      <c r="N2282" s="29"/>
      <c r="O2282" s="30"/>
      <c r="P2282" s="29"/>
      <c r="Q2282" s="31"/>
      <c r="R2282" s="29"/>
      <c r="S2282" s="29"/>
      <c r="T2282" s="30"/>
      <c r="U2282" s="47" t="str">
        <f aca="false">IF(AND(B2282&lt;&gt;"",B2282=SW別シート!$C$3),COUNTIF(B$5:B2282,B2282),"")</f>
        <v/>
      </c>
      <c r="V2282" s="47" t="n">
        <f aca="false">V2281+IF(OR(O2282&lt;&gt;"",W2282&lt;&gt;""),1,0)</f>
        <v>3</v>
      </c>
      <c r="W2282" s="29"/>
    </row>
    <row r="2283" customFormat="false" ht="15" hidden="false" customHeight="false" outlineLevel="0" collapsed="false">
      <c r="A2283" s="32" t="str">
        <f aca="false">IF(B2283="","",ROW()-7)</f>
        <v/>
      </c>
      <c r="B2283" s="30"/>
      <c r="C2283" s="29"/>
      <c r="D2283" s="29"/>
      <c r="E2283" s="29"/>
      <c r="F2283" s="30"/>
      <c r="G2283" s="29"/>
      <c r="H2283" s="30"/>
      <c r="I2283" s="29"/>
      <c r="J2283" s="30"/>
      <c r="K2283" s="30"/>
      <c r="L2283" s="29"/>
      <c r="M2283" s="32" t="str">
        <f aca="false">IF(OR(C2283="",L2283=""),"",IF(C2283=L2283,"同一","変更"))</f>
        <v/>
      </c>
      <c r="N2283" s="29"/>
      <c r="O2283" s="30"/>
      <c r="P2283" s="29"/>
      <c r="Q2283" s="31"/>
      <c r="R2283" s="29"/>
      <c r="S2283" s="29"/>
      <c r="T2283" s="30"/>
      <c r="U2283" s="47" t="str">
        <f aca="false">IF(AND(B2283&lt;&gt;"",B2283=SW別シート!$C$3),COUNTIF(B$5:B2283,B2283),"")</f>
        <v/>
      </c>
      <c r="V2283" s="47" t="n">
        <f aca="false">V2282+IF(OR(O2283&lt;&gt;"",W2283&lt;&gt;""),1,0)</f>
        <v>3</v>
      </c>
      <c r="W2283" s="29"/>
    </row>
    <row r="2284" customFormat="false" ht="15" hidden="false" customHeight="false" outlineLevel="0" collapsed="false">
      <c r="A2284" s="32" t="str">
        <f aca="false">IF(B2284="","",ROW()-7)</f>
        <v/>
      </c>
      <c r="B2284" s="30"/>
      <c r="C2284" s="29"/>
      <c r="D2284" s="29"/>
      <c r="E2284" s="29"/>
      <c r="F2284" s="30"/>
      <c r="G2284" s="29"/>
      <c r="H2284" s="30"/>
      <c r="I2284" s="29"/>
      <c r="J2284" s="30"/>
      <c r="K2284" s="30"/>
      <c r="L2284" s="29"/>
      <c r="M2284" s="32" t="str">
        <f aca="false">IF(OR(C2284="",L2284=""),"",IF(C2284=L2284,"同一","変更"))</f>
        <v/>
      </c>
      <c r="N2284" s="29"/>
      <c r="O2284" s="30"/>
      <c r="P2284" s="29"/>
      <c r="Q2284" s="31"/>
      <c r="R2284" s="29"/>
      <c r="S2284" s="29"/>
      <c r="T2284" s="30"/>
      <c r="U2284" s="47" t="str">
        <f aca="false">IF(AND(B2284&lt;&gt;"",B2284=SW別シート!$C$3),COUNTIF(B$5:B2284,B2284),"")</f>
        <v/>
      </c>
      <c r="V2284" s="47" t="n">
        <f aca="false">V2283+IF(OR(O2284&lt;&gt;"",W2284&lt;&gt;""),1,0)</f>
        <v>3</v>
      </c>
      <c r="W2284" s="29"/>
    </row>
    <row r="2285" customFormat="false" ht="15" hidden="false" customHeight="false" outlineLevel="0" collapsed="false">
      <c r="A2285" s="32" t="str">
        <f aca="false">IF(B2285="","",ROW()-7)</f>
        <v/>
      </c>
      <c r="B2285" s="30"/>
      <c r="C2285" s="29"/>
      <c r="D2285" s="29"/>
      <c r="E2285" s="29"/>
      <c r="F2285" s="30"/>
      <c r="G2285" s="29"/>
      <c r="H2285" s="30"/>
      <c r="I2285" s="29"/>
      <c r="J2285" s="30"/>
      <c r="K2285" s="30"/>
      <c r="L2285" s="29"/>
      <c r="M2285" s="32" t="str">
        <f aca="false">IF(OR(C2285="",L2285=""),"",IF(C2285=L2285,"同一","変更"))</f>
        <v/>
      </c>
      <c r="N2285" s="29"/>
      <c r="O2285" s="30"/>
      <c r="P2285" s="29"/>
      <c r="Q2285" s="31"/>
      <c r="R2285" s="29"/>
      <c r="S2285" s="29"/>
      <c r="T2285" s="30"/>
      <c r="U2285" s="47" t="str">
        <f aca="false">IF(AND(B2285&lt;&gt;"",B2285=SW別シート!$C$3),COUNTIF(B$5:B2285,B2285),"")</f>
        <v/>
      </c>
      <c r="V2285" s="47" t="n">
        <f aca="false">V2284+IF(OR(O2285&lt;&gt;"",W2285&lt;&gt;""),1,0)</f>
        <v>3</v>
      </c>
      <c r="W2285" s="29"/>
    </row>
    <row r="2286" customFormat="false" ht="15" hidden="false" customHeight="false" outlineLevel="0" collapsed="false">
      <c r="A2286" s="32" t="str">
        <f aca="false">IF(B2286="","",ROW()-7)</f>
        <v/>
      </c>
      <c r="B2286" s="30"/>
      <c r="C2286" s="29"/>
      <c r="D2286" s="29"/>
      <c r="E2286" s="29"/>
      <c r="F2286" s="30"/>
      <c r="G2286" s="29"/>
      <c r="H2286" s="30"/>
      <c r="I2286" s="29"/>
      <c r="J2286" s="30"/>
      <c r="K2286" s="30"/>
      <c r="L2286" s="29"/>
      <c r="M2286" s="32" t="str">
        <f aca="false">IF(OR(C2286="",L2286=""),"",IF(C2286=L2286,"同一","変更"))</f>
        <v/>
      </c>
      <c r="N2286" s="29"/>
      <c r="O2286" s="30"/>
      <c r="P2286" s="29"/>
      <c r="Q2286" s="31"/>
      <c r="R2286" s="29"/>
      <c r="S2286" s="29"/>
      <c r="T2286" s="30"/>
      <c r="U2286" s="47" t="str">
        <f aca="false">IF(AND(B2286&lt;&gt;"",B2286=SW別シート!$C$3),COUNTIF(B$5:B2286,B2286),"")</f>
        <v/>
      </c>
      <c r="V2286" s="47" t="n">
        <f aca="false">V2285+IF(OR(O2286&lt;&gt;"",W2286&lt;&gt;""),1,0)</f>
        <v>3</v>
      </c>
      <c r="W2286" s="29"/>
    </row>
    <row r="2287" customFormat="false" ht="15" hidden="false" customHeight="false" outlineLevel="0" collapsed="false">
      <c r="A2287" s="32" t="str">
        <f aca="false">IF(B2287="","",ROW()-7)</f>
        <v/>
      </c>
      <c r="B2287" s="30"/>
      <c r="C2287" s="29"/>
      <c r="D2287" s="29"/>
      <c r="E2287" s="29"/>
      <c r="F2287" s="30"/>
      <c r="G2287" s="29"/>
      <c r="H2287" s="30"/>
      <c r="I2287" s="29"/>
      <c r="J2287" s="30"/>
      <c r="K2287" s="30"/>
      <c r="L2287" s="29"/>
      <c r="M2287" s="32" t="str">
        <f aca="false">IF(OR(C2287="",L2287=""),"",IF(C2287=L2287,"同一","変更"))</f>
        <v/>
      </c>
      <c r="N2287" s="29"/>
      <c r="O2287" s="30"/>
      <c r="P2287" s="29"/>
      <c r="Q2287" s="31"/>
      <c r="R2287" s="29"/>
      <c r="S2287" s="29"/>
      <c r="T2287" s="30"/>
      <c r="U2287" s="47" t="str">
        <f aca="false">IF(AND(B2287&lt;&gt;"",B2287=SW別シート!$C$3),COUNTIF(B$5:B2287,B2287),"")</f>
        <v/>
      </c>
      <c r="V2287" s="47" t="n">
        <f aca="false">V2286+IF(OR(O2287&lt;&gt;"",W2287&lt;&gt;""),1,0)</f>
        <v>3</v>
      </c>
      <c r="W2287" s="29"/>
    </row>
    <row r="2288" customFormat="false" ht="15" hidden="false" customHeight="false" outlineLevel="0" collapsed="false">
      <c r="A2288" s="32" t="str">
        <f aca="false">IF(B2288="","",ROW()-7)</f>
        <v/>
      </c>
      <c r="B2288" s="30"/>
      <c r="C2288" s="29"/>
      <c r="D2288" s="29"/>
      <c r="E2288" s="29"/>
      <c r="F2288" s="30"/>
      <c r="G2288" s="29"/>
      <c r="H2288" s="30"/>
      <c r="I2288" s="29"/>
      <c r="J2288" s="30"/>
      <c r="K2288" s="30"/>
      <c r="L2288" s="29"/>
      <c r="M2288" s="32" t="str">
        <f aca="false">IF(OR(C2288="",L2288=""),"",IF(C2288=L2288,"同一","変更"))</f>
        <v/>
      </c>
      <c r="N2288" s="29"/>
      <c r="O2288" s="30"/>
      <c r="P2288" s="29"/>
      <c r="Q2288" s="31"/>
      <c r="R2288" s="29"/>
      <c r="S2288" s="29"/>
      <c r="T2288" s="30"/>
      <c r="U2288" s="47" t="str">
        <f aca="false">IF(AND(B2288&lt;&gt;"",B2288=SW別シート!$C$3),COUNTIF(B$5:B2288,B2288),"")</f>
        <v/>
      </c>
      <c r="V2288" s="47" t="n">
        <f aca="false">V2287+IF(OR(O2288&lt;&gt;"",W2288&lt;&gt;""),1,0)</f>
        <v>3</v>
      </c>
      <c r="W2288" s="29"/>
    </row>
    <row r="2289" customFormat="false" ht="15" hidden="false" customHeight="false" outlineLevel="0" collapsed="false">
      <c r="A2289" s="32" t="str">
        <f aca="false">IF(B2289="","",ROW()-7)</f>
        <v/>
      </c>
      <c r="B2289" s="30"/>
      <c r="C2289" s="29"/>
      <c r="D2289" s="29"/>
      <c r="E2289" s="29"/>
      <c r="F2289" s="30"/>
      <c r="G2289" s="29"/>
      <c r="H2289" s="30"/>
      <c r="I2289" s="29"/>
      <c r="J2289" s="30"/>
      <c r="K2289" s="30"/>
      <c r="L2289" s="29"/>
      <c r="M2289" s="32" t="str">
        <f aca="false">IF(OR(C2289="",L2289=""),"",IF(C2289=L2289,"同一","変更"))</f>
        <v/>
      </c>
      <c r="N2289" s="29"/>
      <c r="O2289" s="30"/>
      <c r="P2289" s="29"/>
      <c r="Q2289" s="31"/>
      <c r="R2289" s="29"/>
      <c r="S2289" s="29"/>
      <c r="T2289" s="30"/>
      <c r="U2289" s="47" t="str">
        <f aca="false">IF(AND(B2289&lt;&gt;"",B2289=SW別シート!$C$3),COUNTIF(B$5:B2289,B2289),"")</f>
        <v/>
      </c>
      <c r="V2289" s="47" t="n">
        <f aca="false">V2288+IF(OR(O2289&lt;&gt;"",W2289&lt;&gt;""),1,0)</f>
        <v>3</v>
      </c>
      <c r="W2289" s="29"/>
    </row>
    <row r="2290" customFormat="false" ht="15" hidden="false" customHeight="false" outlineLevel="0" collapsed="false">
      <c r="A2290" s="32" t="str">
        <f aca="false">IF(B2290="","",ROW()-7)</f>
        <v/>
      </c>
      <c r="B2290" s="30"/>
      <c r="C2290" s="29"/>
      <c r="D2290" s="29"/>
      <c r="E2290" s="29"/>
      <c r="F2290" s="30"/>
      <c r="G2290" s="29"/>
      <c r="H2290" s="30"/>
      <c r="I2290" s="29"/>
      <c r="J2290" s="30"/>
      <c r="K2290" s="30"/>
      <c r="L2290" s="29"/>
      <c r="M2290" s="32" t="str">
        <f aca="false">IF(OR(C2290="",L2290=""),"",IF(C2290=L2290,"同一","変更"))</f>
        <v/>
      </c>
      <c r="N2290" s="29"/>
      <c r="O2290" s="30"/>
      <c r="P2290" s="29"/>
      <c r="Q2290" s="31"/>
      <c r="R2290" s="29"/>
      <c r="S2290" s="29"/>
      <c r="T2290" s="30"/>
      <c r="U2290" s="47" t="str">
        <f aca="false">IF(AND(B2290&lt;&gt;"",B2290=SW別シート!$C$3),COUNTIF(B$5:B2290,B2290),"")</f>
        <v/>
      </c>
      <c r="V2290" s="47" t="n">
        <f aca="false">V2289+IF(OR(O2290&lt;&gt;"",W2290&lt;&gt;""),1,0)</f>
        <v>3</v>
      </c>
      <c r="W2290" s="29"/>
    </row>
    <row r="2291" customFormat="false" ht="15" hidden="false" customHeight="false" outlineLevel="0" collapsed="false">
      <c r="A2291" s="32" t="str">
        <f aca="false">IF(B2291="","",ROW()-7)</f>
        <v/>
      </c>
      <c r="B2291" s="30"/>
      <c r="C2291" s="29"/>
      <c r="D2291" s="29"/>
      <c r="E2291" s="29"/>
      <c r="F2291" s="30"/>
      <c r="G2291" s="29"/>
      <c r="H2291" s="30"/>
      <c r="I2291" s="29"/>
      <c r="J2291" s="30"/>
      <c r="K2291" s="30"/>
      <c r="L2291" s="29"/>
      <c r="M2291" s="32" t="str">
        <f aca="false">IF(OR(C2291="",L2291=""),"",IF(C2291=L2291,"同一","変更"))</f>
        <v/>
      </c>
      <c r="N2291" s="29"/>
      <c r="O2291" s="30"/>
      <c r="P2291" s="29"/>
      <c r="Q2291" s="31"/>
      <c r="R2291" s="29"/>
      <c r="S2291" s="29"/>
      <c r="T2291" s="30"/>
      <c r="U2291" s="47" t="str">
        <f aca="false">IF(AND(B2291&lt;&gt;"",B2291=SW別シート!$C$3),COUNTIF(B$5:B2291,B2291),"")</f>
        <v/>
      </c>
      <c r="V2291" s="47" t="n">
        <f aca="false">V2290+IF(OR(O2291&lt;&gt;"",W2291&lt;&gt;""),1,0)</f>
        <v>3</v>
      </c>
      <c r="W2291" s="29"/>
    </row>
    <row r="2292" customFormat="false" ht="15" hidden="false" customHeight="false" outlineLevel="0" collapsed="false">
      <c r="A2292" s="32" t="str">
        <f aca="false">IF(B2292="","",ROW()-7)</f>
        <v/>
      </c>
      <c r="B2292" s="30"/>
      <c r="C2292" s="29"/>
      <c r="D2292" s="29"/>
      <c r="E2292" s="29"/>
      <c r="F2292" s="30"/>
      <c r="G2292" s="29"/>
      <c r="H2292" s="30"/>
      <c r="I2292" s="29"/>
      <c r="J2292" s="30"/>
      <c r="K2292" s="30"/>
      <c r="L2292" s="29"/>
      <c r="M2292" s="32" t="str">
        <f aca="false">IF(OR(C2292="",L2292=""),"",IF(C2292=L2292,"同一","変更"))</f>
        <v/>
      </c>
      <c r="N2292" s="29"/>
      <c r="O2292" s="30"/>
      <c r="P2292" s="29"/>
      <c r="Q2292" s="31"/>
      <c r="R2292" s="29"/>
      <c r="S2292" s="29"/>
      <c r="T2292" s="30"/>
      <c r="U2292" s="47" t="str">
        <f aca="false">IF(AND(B2292&lt;&gt;"",B2292=SW別シート!$C$3),COUNTIF(B$5:B2292,B2292),"")</f>
        <v/>
      </c>
      <c r="V2292" s="47" t="n">
        <f aca="false">V2291+IF(OR(O2292&lt;&gt;"",W2292&lt;&gt;""),1,0)</f>
        <v>3</v>
      </c>
      <c r="W2292" s="29"/>
    </row>
    <row r="2293" customFormat="false" ht="15" hidden="false" customHeight="false" outlineLevel="0" collapsed="false">
      <c r="A2293" s="32" t="str">
        <f aca="false">IF(B2293="","",ROW()-7)</f>
        <v/>
      </c>
      <c r="B2293" s="30"/>
      <c r="C2293" s="29"/>
      <c r="D2293" s="29"/>
      <c r="E2293" s="29"/>
      <c r="F2293" s="30"/>
      <c r="G2293" s="29"/>
      <c r="H2293" s="30"/>
      <c r="I2293" s="29"/>
      <c r="J2293" s="30"/>
      <c r="K2293" s="30"/>
      <c r="L2293" s="29"/>
      <c r="M2293" s="32" t="str">
        <f aca="false">IF(OR(C2293="",L2293=""),"",IF(C2293=L2293,"同一","変更"))</f>
        <v/>
      </c>
      <c r="N2293" s="29"/>
      <c r="O2293" s="30"/>
      <c r="P2293" s="29"/>
      <c r="Q2293" s="31"/>
      <c r="R2293" s="29"/>
      <c r="S2293" s="29"/>
      <c r="T2293" s="30"/>
      <c r="U2293" s="47" t="str">
        <f aca="false">IF(AND(B2293&lt;&gt;"",B2293=SW別シート!$C$3),COUNTIF(B$5:B2293,B2293),"")</f>
        <v/>
      </c>
      <c r="V2293" s="47" t="n">
        <f aca="false">V2292+IF(OR(O2293&lt;&gt;"",W2293&lt;&gt;""),1,0)</f>
        <v>3</v>
      </c>
      <c r="W2293" s="29"/>
    </row>
    <row r="2294" customFormat="false" ht="15" hidden="false" customHeight="false" outlineLevel="0" collapsed="false">
      <c r="A2294" s="32" t="str">
        <f aca="false">IF(B2294="","",ROW()-7)</f>
        <v/>
      </c>
      <c r="B2294" s="30"/>
      <c r="C2294" s="29"/>
      <c r="D2294" s="29"/>
      <c r="E2294" s="29"/>
      <c r="F2294" s="30"/>
      <c r="G2294" s="29"/>
      <c r="H2294" s="30"/>
      <c r="I2294" s="29"/>
      <c r="J2294" s="30"/>
      <c r="K2294" s="30"/>
      <c r="L2294" s="29"/>
      <c r="M2294" s="32" t="str">
        <f aca="false">IF(OR(C2294="",L2294=""),"",IF(C2294=L2294,"同一","変更"))</f>
        <v/>
      </c>
      <c r="N2294" s="29"/>
      <c r="O2294" s="30"/>
      <c r="P2294" s="29"/>
      <c r="Q2294" s="31"/>
      <c r="R2294" s="29"/>
      <c r="S2294" s="29"/>
      <c r="T2294" s="30"/>
      <c r="U2294" s="47" t="str">
        <f aca="false">IF(AND(B2294&lt;&gt;"",B2294=SW別シート!$C$3),COUNTIF(B$5:B2294,B2294),"")</f>
        <v/>
      </c>
      <c r="V2294" s="47" t="n">
        <f aca="false">V2293+IF(OR(O2294&lt;&gt;"",W2294&lt;&gt;""),1,0)</f>
        <v>3</v>
      </c>
      <c r="W2294" s="29"/>
    </row>
    <row r="2295" customFormat="false" ht="15" hidden="false" customHeight="false" outlineLevel="0" collapsed="false">
      <c r="A2295" s="32" t="str">
        <f aca="false">IF(B2295="","",ROW()-7)</f>
        <v/>
      </c>
      <c r="B2295" s="30"/>
      <c r="C2295" s="29"/>
      <c r="D2295" s="29"/>
      <c r="E2295" s="29"/>
      <c r="F2295" s="30"/>
      <c r="G2295" s="29"/>
      <c r="H2295" s="30"/>
      <c r="I2295" s="29"/>
      <c r="J2295" s="30"/>
      <c r="K2295" s="30"/>
      <c r="L2295" s="29"/>
      <c r="M2295" s="32" t="str">
        <f aca="false">IF(OR(C2295="",L2295=""),"",IF(C2295=L2295,"同一","変更"))</f>
        <v/>
      </c>
      <c r="N2295" s="29"/>
      <c r="O2295" s="30"/>
      <c r="P2295" s="29"/>
      <c r="Q2295" s="31"/>
      <c r="R2295" s="29"/>
      <c r="S2295" s="29"/>
      <c r="T2295" s="30"/>
      <c r="U2295" s="47" t="str">
        <f aca="false">IF(AND(B2295&lt;&gt;"",B2295=SW別シート!$C$3),COUNTIF(B$5:B2295,B2295),"")</f>
        <v/>
      </c>
      <c r="V2295" s="47" t="n">
        <f aca="false">V2294+IF(OR(O2295&lt;&gt;"",W2295&lt;&gt;""),1,0)</f>
        <v>3</v>
      </c>
      <c r="W2295" s="29"/>
    </row>
    <row r="2296" customFormat="false" ht="15" hidden="false" customHeight="false" outlineLevel="0" collapsed="false">
      <c r="A2296" s="32" t="str">
        <f aca="false">IF(B2296="","",ROW()-7)</f>
        <v/>
      </c>
      <c r="B2296" s="30"/>
      <c r="C2296" s="29"/>
      <c r="D2296" s="29"/>
      <c r="E2296" s="29"/>
      <c r="F2296" s="30"/>
      <c r="G2296" s="29"/>
      <c r="H2296" s="30"/>
      <c r="I2296" s="29"/>
      <c r="J2296" s="30"/>
      <c r="K2296" s="30"/>
      <c r="L2296" s="29"/>
      <c r="M2296" s="32" t="str">
        <f aca="false">IF(OR(C2296="",L2296=""),"",IF(C2296=L2296,"同一","変更"))</f>
        <v/>
      </c>
      <c r="N2296" s="29"/>
      <c r="O2296" s="30"/>
      <c r="P2296" s="29"/>
      <c r="Q2296" s="31"/>
      <c r="R2296" s="29"/>
      <c r="S2296" s="29"/>
      <c r="T2296" s="30"/>
      <c r="U2296" s="47" t="str">
        <f aca="false">IF(AND(B2296&lt;&gt;"",B2296=SW別シート!$C$3),COUNTIF(B$5:B2296,B2296),"")</f>
        <v/>
      </c>
      <c r="V2296" s="47" t="n">
        <f aca="false">V2295+IF(OR(O2296&lt;&gt;"",W2296&lt;&gt;""),1,0)</f>
        <v>3</v>
      </c>
      <c r="W2296" s="29"/>
    </row>
    <row r="2297" customFormat="false" ht="15" hidden="false" customHeight="false" outlineLevel="0" collapsed="false">
      <c r="A2297" s="32" t="str">
        <f aca="false">IF(B2297="","",ROW()-7)</f>
        <v/>
      </c>
      <c r="B2297" s="30"/>
      <c r="C2297" s="29"/>
      <c r="D2297" s="29"/>
      <c r="E2297" s="29"/>
      <c r="F2297" s="30"/>
      <c r="G2297" s="29"/>
      <c r="H2297" s="30"/>
      <c r="I2297" s="29"/>
      <c r="J2297" s="30"/>
      <c r="K2297" s="30"/>
      <c r="L2297" s="29"/>
      <c r="M2297" s="32" t="str">
        <f aca="false">IF(OR(C2297="",L2297=""),"",IF(C2297=L2297,"同一","変更"))</f>
        <v/>
      </c>
      <c r="N2297" s="29"/>
      <c r="O2297" s="30"/>
      <c r="P2297" s="29"/>
      <c r="Q2297" s="31"/>
      <c r="R2297" s="29"/>
      <c r="S2297" s="29"/>
      <c r="T2297" s="30"/>
      <c r="U2297" s="47" t="str">
        <f aca="false">IF(AND(B2297&lt;&gt;"",B2297=SW別シート!$C$3),COUNTIF(B$5:B2297,B2297),"")</f>
        <v/>
      </c>
      <c r="V2297" s="47" t="n">
        <f aca="false">V2296+IF(OR(O2297&lt;&gt;"",W2297&lt;&gt;""),1,0)</f>
        <v>3</v>
      </c>
      <c r="W2297" s="29"/>
    </row>
    <row r="2298" customFormat="false" ht="15" hidden="false" customHeight="false" outlineLevel="0" collapsed="false">
      <c r="A2298" s="32" t="str">
        <f aca="false">IF(B2298="","",ROW()-7)</f>
        <v/>
      </c>
      <c r="B2298" s="30"/>
      <c r="C2298" s="29"/>
      <c r="D2298" s="29"/>
      <c r="E2298" s="29"/>
      <c r="F2298" s="30"/>
      <c r="G2298" s="29"/>
      <c r="H2298" s="30"/>
      <c r="I2298" s="29"/>
      <c r="J2298" s="30"/>
      <c r="K2298" s="30"/>
      <c r="L2298" s="29"/>
      <c r="M2298" s="32" t="str">
        <f aca="false">IF(OR(C2298="",L2298=""),"",IF(C2298=L2298,"同一","変更"))</f>
        <v/>
      </c>
      <c r="N2298" s="29"/>
      <c r="O2298" s="30"/>
      <c r="P2298" s="29"/>
      <c r="Q2298" s="31"/>
      <c r="R2298" s="29"/>
      <c r="S2298" s="29"/>
      <c r="T2298" s="30"/>
      <c r="U2298" s="47" t="str">
        <f aca="false">IF(AND(B2298&lt;&gt;"",B2298=SW別シート!$C$3),COUNTIF(B$5:B2298,B2298),"")</f>
        <v/>
      </c>
      <c r="V2298" s="47" t="n">
        <f aca="false">V2297+IF(OR(O2298&lt;&gt;"",W2298&lt;&gt;""),1,0)</f>
        <v>3</v>
      </c>
      <c r="W2298" s="29"/>
    </row>
    <row r="2299" customFormat="false" ht="15" hidden="false" customHeight="false" outlineLevel="0" collapsed="false">
      <c r="A2299" s="32" t="str">
        <f aca="false">IF(B2299="","",ROW()-7)</f>
        <v/>
      </c>
      <c r="B2299" s="30"/>
      <c r="C2299" s="29"/>
      <c r="D2299" s="29"/>
      <c r="E2299" s="29"/>
      <c r="F2299" s="30"/>
      <c r="G2299" s="29"/>
      <c r="H2299" s="30"/>
      <c r="I2299" s="29"/>
      <c r="J2299" s="30"/>
      <c r="K2299" s="30"/>
      <c r="L2299" s="29"/>
      <c r="M2299" s="32" t="str">
        <f aca="false">IF(OR(C2299="",L2299=""),"",IF(C2299=L2299,"同一","変更"))</f>
        <v/>
      </c>
      <c r="N2299" s="29"/>
      <c r="O2299" s="30"/>
      <c r="P2299" s="29"/>
      <c r="Q2299" s="31"/>
      <c r="R2299" s="29"/>
      <c r="S2299" s="29"/>
      <c r="T2299" s="30"/>
      <c r="U2299" s="47" t="str">
        <f aca="false">IF(AND(B2299&lt;&gt;"",B2299=SW別シート!$C$3),COUNTIF(B$5:B2299,B2299),"")</f>
        <v/>
      </c>
      <c r="V2299" s="47" t="n">
        <f aca="false">V2298+IF(OR(O2299&lt;&gt;"",W2299&lt;&gt;""),1,0)</f>
        <v>3</v>
      </c>
      <c r="W2299" s="29"/>
    </row>
    <row r="2300" customFormat="false" ht="15" hidden="false" customHeight="false" outlineLevel="0" collapsed="false">
      <c r="A2300" s="32" t="str">
        <f aca="false">IF(B2300="","",ROW()-7)</f>
        <v/>
      </c>
      <c r="B2300" s="30"/>
      <c r="C2300" s="29"/>
      <c r="D2300" s="29"/>
      <c r="E2300" s="29"/>
      <c r="F2300" s="30"/>
      <c r="G2300" s="29"/>
      <c r="H2300" s="30"/>
      <c r="I2300" s="29"/>
      <c r="J2300" s="30"/>
      <c r="K2300" s="30"/>
      <c r="L2300" s="29"/>
      <c r="M2300" s="32" t="str">
        <f aca="false">IF(OR(C2300="",L2300=""),"",IF(C2300=L2300,"同一","変更"))</f>
        <v/>
      </c>
      <c r="N2300" s="29"/>
      <c r="O2300" s="30"/>
      <c r="P2300" s="29"/>
      <c r="Q2300" s="31"/>
      <c r="R2300" s="29"/>
      <c r="S2300" s="29"/>
      <c r="T2300" s="30"/>
      <c r="U2300" s="47" t="str">
        <f aca="false">IF(AND(B2300&lt;&gt;"",B2300=SW別シート!$C$3),COUNTIF(B$5:B2300,B2300),"")</f>
        <v/>
      </c>
      <c r="V2300" s="47" t="n">
        <f aca="false">V2299+IF(OR(O2300&lt;&gt;"",W2300&lt;&gt;""),1,0)</f>
        <v>3</v>
      </c>
      <c r="W2300" s="29"/>
    </row>
    <row r="2301" customFormat="false" ht="15" hidden="false" customHeight="false" outlineLevel="0" collapsed="false">
      <c r="A2301" s="32" t="str">
        <f aca="false">IF(B2301="","",ROW()-7)</f>
        <v/>
      </c>
      <c r="B2301" s="30"/>
      <c r="C2301" s="29"/>
      <c r="D2301" s="29"/>
      <c r="E2301" s="29"/>
      <c r="F2301" s="30"/>
      <c r="G2301" s="29"/>
      <c r="H2301" s="30"/>
      <c r="I2301" s="29"/>
      <c r="J2301" s="30"/>
      <c r="K2301" s="30"/>
      <c r="L2301" s="29"/>
      <c r="M2301" s="32" t="str">
        <f aca="false">IF(OR(C2301="",L2301=""),"",IF(C2301=L2301,"同一","変更"))</f>
        <v/>
      </c>
      <c r="N2301" s="29"/>
      <c r="O2301" s="30"/>
      <c r="P2301" s="29"/>
      <c r="Q2301" s="31"/>
      <c r="R2301" s="29"/>
      <c r="S2301" s="29"/>
      <c r="T2301" s="30"/>
      <c r="U2301" s="47" t="str">
        <f aca="false">IF(AND(B2301&lt;&gt;"",B2301=SW別シート!$C$3),COUNTIF(B$5:B2301,B2301),"")</f>
        <v/>
      </c>
      <c r="V2301" s="47" t="n">
        <f aca="false">V2300+IF(OR(O2301&lt;&gt;"",W2301&lt;&gt;""),1,0)</f>
        <v>3</v>
      </c>
      <c r="W2301" s="29"/>
    </row>
    <row r="2302" customFormat="false" ht="15" hidden="false" customHeight="false" outlineLevel="0" collapsed="false">
      <c r="A2302" s="32" t="str">
        <f aca="false">IF(B2302="","",ROW()-7)</f>
        <v/>
      </c>
      <c r="B2302" s="30"/>
      <c r="C2302" s="29"/>
      <c r="D2302" s="29"/>
      <c r="E2302" s="29"/>
      <c r="F2302" s="30"/>
      <c r="G2302" s="29"/>
      <c r="H2302" s="30"/>
      <c r="I2302" s="29"/>
      <c r="J2302" s="30"/>
      <c r="K2302" s="30"/>
      <c r="L2302" s="29"/>
      <c r="M2302" s="32" t="str">
        <f aca="false">IF(OR(C2302="",L2302=""),"",IF(C2302=L2302,"同一","変更"))</f>
        <v/>
      </c>
      <c r="N2302" s="29"/>
      <c r="O2302" s="30"/>
      <c r="P2302" s="29"/>
      <c r="Q2302" s="31"/>
      <c r="R2302" s="29"/>
      <c r="S2302" s="29"/>
      <c r="T2302" s="30"/>
      <c r="U2302" s="47" t="str">
        <f aca="false">IF(AND(B2302&lt;&gt;"",B2302=SW別シート!$C$3),COUNTIF(B$5:B2302,B2302),"")</f>
        <v/>
      </c>
      <c r="V2302" s="47" t="n">
        <f aca="false">V2301+IF(OR(O2302&lt;&gt;"",W2302&lt;&gt;""),1,0)</f>
        <v>3</v>
      </c>
      <c r="W2302" s="29"/>
    </row>
    <row r="2303" customFormat="false" ht="15" hidden="false" customHeight="false" outlineLevel="0" collapsed="false">
      <c r="A2303" s="32" t="str">
        <f aca="false">IF(B2303="","",ROW()-7)</f>
        <v/>
      </c>
      <c r="B2303" s="30"/>
      <c r="C2303" s="29"/>
      <c r="D2303" s="29"/>
      <c r="E2303" s="29"/>
      <c r="F2303" s="30"/>
      <c r="G2303" s="29"/>
      <c r="H2303" s="30"/>
      <c r="I2303" s="29"/>
      <c r="J2303" s="30"/>
      <c r="K2303" s="30"/>
      <c r="L2303" s="29"/>
      <c r="M2303" s="32" t="str">
        <f aca="false">IF(OR(C2303="",L2303=""),"",IF(C2303=L2303,"同一","変更"))</f>
        <v/>
      </c>
      <c r="N2303" s="29"/>
      <c r="O2303" s="30"/>
      <c r="P2303" s="29"/>
      <c r="Q2303" s="31"/>
      <c r="R2303" s="29"/>
      <c r="S2303" s="29"/>
      <c r="T2303" s="30"/>
      <c r="U2303" s="47" t="str">
        <f aca="false">IF(AND(B2303&lt;&gt;"",B2303=SW別シート!$C$3),COUNTIF(B$5:B2303,B2303),"")</f>
        <v/>
      </c>
      <c r="V2303" s="47" t="n">
        <f aca="false">V2302+IF(OR(O2303&lt;&gt;"",W2303&lt;&gt;""),1,0)</f>
        <v>3</v>
      </c>
      <c r="W2303" s="29"/>
    </row>
    <row r="2304" customFormat="false" ht="15" hidden="false" customHeight="false" outlineLevel="0" collapsed="false">
      <c r="A2304" s="32" t="str">
        <f aca="false">IF(B2304="","",ROW()-7)</f>
        <v/>
      </c>
      <c r="B2304" s="30"/>
      <c r="C2304" s="29"/>
      <c r="D2304" s="29"/>
      <c r="E2304" s="29"/>
      <c r="F2304" s="30"/>
      <c r="G2304" s="29"/>
      <c r="H2304" s="30"/>
      <c r="I2304" s="29"/>
      <c r="J2304" s="30"/>
      <c r="K2304" s="30"/>
      <c r="L2304" s="29"/>
      <c r="M2304" s="32" t="str">
        <f aca="false">IF(OR(C2304="",L2304=""),"",IF(C2304=L2304,"同一","変更"))</f>
        <v/>
      </c>
      <c r="N2304" s="29"/>
      <c r="O2304" s="30"/>
      <c r="P2304" s="29"/>
      <c r="Q2304" s="31"/>
      <c r="R2304" s="29"/>
      <c r="S2304" s="29"/>
      <c r="T2304" s="30"/>
      <c r="U2304" s="47" t="str">
        <f aca="false">IF(AND(B2304&lt;&gt;"",B2304=SW別シート!$C$3),COUNTIF(B$5:B2304,B2304),"")</f>
        <v/>
      </c>
      <c r="V2304" s="47" t="n">
        <f aca="false">V2303+IF(OR(O2304&lt;&gt;"",W2304&lt;&gt;""),1,0)</f>
        <v>3</v>
      </c>
      <c r="W2304" s="29"/>
    </row>
    <row r="2305" customFormat="false" ht="15" hidden="false" customHeight="false" outlineLevel="0" collapsed="false">
      <c r="A2305" s="32" t="str">
        <f aca="false">IF(B2305="","",ROW()-7)</f>
        <v/>
      </c>
      <c r="B2305" s="30"/>
      <c r="C2305" s="29"/>
      <c r="D2305" s="29"/>
      <c r="E2305" s="29"/>
      <c r="F2305" s="30"/>
      <c r="G2305" s="29"/>
      <c r="H2305" s="30"/>
      <c r="I2305" s="29"/>
      <c r="J2305" s="30"/>
      <c r="K2305" s="30"/>
      <c r="L2305" s="29"/>
      <c r="M2305" s="32" t="str">
        <f aca="false">IF(OR(C2305="",L2305=""),"",IF(C2305=L2305,"同一","変更"))</f>
        <v/>
      </c>
      <c r="N2305" s="29"/>
      <c r="O2305" s="30"/>
      <c r="P2305" s="29"/>
      <c r="Q2305" s="31"/>
      <c r="R2305" s="29"/>
      <c r="S2305" s="29"/>
      <c r="T2305" s="30"/>
      <c r="U2305" s="47" t="str">
        <f aca="false">IF(AND(B2305&lt;&gt;"",B2305=SW別シート!$C$3),COUNTIF(B$5:B2305,B2305),"")</f>
        <v/>
      </c>
      <c r="V2305" s="47" t="n">
        <f aca="false">V2304+IF(OR(O2305&lt;&gt;"",W2305&lt;&gt;""),1,0)</f>
        <v>3</v>
      </c>
      <c r="W2305" s="29"/>
    </row>
    <row r="2306" customFormat="false" ht="15" hidden="false" customHeight="false" outlineLevel="0" collapsed="false">
      <c r="A2306" s="32" t="str">
        <f aca="false">IF(B2306="","",ROW()-7)</f>
        <v/>
      </c>
      <c r="B2306" s="30"/>
      <c r="C2306" s="29"/>
      <c r="D2306" s="29"/>
      <c r="E2306" s="29"/>
      <c r="F2306" s="30"/>
      <c r="G2306" s="29"/>
      <c r="H2306" s="30"/>
      <c r="I2306" s="29"/>
      <c r="J2306" s="30"/>
      <c r="K2306" s="30"/>
      <c r="L2306" s="29"/>
      <c r="M2306" s="32" t="str">
        <f aca="false">IF(OR(C2306="",L2306=""),"",IF(C2306=L2306,"同一","変更"))</f>
        <v/>
      </c>
      <c r="N2306" s="29"/>
      <c r="O2306" s="30"/>
      <c r="P2306" s="29"/>
      <c r="Q2306" s="31"/>
      <c r="R2306" s="29"/>
      <c r="S2306" s="29"/>
      <c r="T2306" s="30"/>
      <c r="U2306" s="47" t="str">
        <f aca="false">IF(AND(B2306&lt;&gt;"",B2306=SW別シート!$C$3),COUNTIF(B$5:B2306,B2306),"")</f>
        <v/>
      </c>
      <c r="V2306" s="47" t="n">
        <f aca="false">V2305+IF(OR(O2306&lt;&gt;"",W2306&lt;&gt;""),1,0)</f>
        <v>3</v>
      </c>
      <c r="W2306" s="29"/>
    </row>
    <row r="2307" customFormat="false" ht="15" hidden="false" customHeight="false" outlineLevel="0" collapsed="false">
      <c r="A2307" s="32" t="str">
        <f aca="false">IF(B2307="","",ROW()-7)</f>
        <v/>
      </c>
      <c r="B2307" s="30"/>
      <c r="C2307" s="29"/>
      <c r="D2307" s="29"/>
      <c r="E2307" s="29"/>
      <c r="F2307" s="30"/>
      <c r="G2307" s="29"/>
      <c r="H2307" s="30"/>
      <c r="I2307" s="29"/>
      <c r="J2307" s="30"/>
      <c r="K2307" s="30"/>
      <c r="L2307" s="29"/>
      <c r="M2307" s="32" t="str">
        <f aca="false">IF(OR(C2307="",L2307=""),"",IF(C2307=L2307,"同一","変更"))</f>
        <v/>
      </c>
      <c r="N2307" s="29"/>
      <c r="O2307" s="30"/>
      <c r="P2307" s="29"/>
      <c r="Q2307" s="31"/>
      <c r="R2307" s="29"/>
      <c r="S2307" s="29"/>
      <c r="T2307" s="30"/>
      <c r="U2307" s="47" t="str">
        <f aca="false">IF(AND(B2307&lt;&gt;"",B2307=SW別シート!$C$3),COUNTIF(B$5:B2307,B2307),"")</f>
        <v/>
      </c>
      <c r="V2307" s="47" t="n">
        <f aca="false">V2306+IF(OR(O2307&lt;&gt;"",W2307&lt;&gt;""),1,0)</f>
        <v>3</v>
      </c>
      <c r="W2307" s="29"/>
    </row>
    <row r="2308" customFormat="false" ht="15" hidden="false" customHeight="false" outlineLevel="0" collapsed="false">
      <c r="A2308" s="32" t="str">
        <f aca="false">IF(B2308="","",ROW()-7)</f>
        <v/>
      </c>
      <c r="B2308" s="30"/>
      <c r="C2308" s="29"/>
      <c r="D2308" s="29"/>
      <c r="E2308" s="29"/>
      <c r="F2308" s="30"/>
      <c r="G2308" s="29"/>
      <c r="H2308" s="30"/>
      <c r="I2308" s="29"/>
      <c r="J2308" s="30"/>
      <c r="K2308" s="30"/>
      <c r="L2308" s="29"/>
      <c r="M2308" s="32" t="str">
        <f aca="false">IF(OR(C2308="",L2308=""),"",IF(C2308=L2308,"同一","変更"))</f>
        <v/>
      </c>
      <c r="N2308" s="29"/>
      <c r="O2308" s="30"/>
      <c r="P2308" s="29"/>
      <c r="Q2308" s="31"/>
      <c r="R2308" s="29"/>
      <c r="S2308" s="29"/>
      <c r="T2308" s="30"/>
      <c r="U2308" s="47" t="str">
        <f aca="false">IF(AND(B2308&lt;&gt;"",B2308=SW別シート!$C$3),COUNTIF(B$5:B2308,B2308),"")</f>
        <v/>
      </c>
      <c r="V2308" s="47" t="n">
        <f aca="false">V2307+IF(OR(O2308&lt;&gt;"",W2308&lt;&gt;""),1,0)</f>
        <v>3</v>
      </c>
      <c r="W2308" s="29"/>
    </row>
    <row r="2309" customFormat="false" ht="15" hidden="false" customHeight="false" outlineLevel="0" collapsed="false">
      <c r="A2309" s="32" t="str">
        <f aca="false">IF(B2309="","",ROW()-7)</f>
        <v/>
      </c>
      <c r="B2309" s="30"/>
      <c r="C2309" s="29"/>
      <c r="D2309" s="29"/>
      <c r="E2309" s="29"/>
      <c r="F2309" s="30"/>
      <c r="G2309" s="29"/>
      <c r="H2309" s="30"/>
      <c r="I2309" s="29"/>
      <c r="J2309" s="30"/>
      <c r="K2309" s="30"/>
      <c r="L2309" s="29"/>
      <c r="M2309" s="32" t="str">
        <f aca="false">IF(OR(C2309="",L2309=""),"",IF(C2309=L2309,"同一","変更"))</f>
        <v/>
      </c>
      <c r="N2309" s="29"/>
      <c r="O2309" s="30"/>
      <c r="P2309" s="29"/>
      <c r="Q2309" s="31"/>
      <c r="R2309" s="29"/>
      <c r="S2309" s="29"/>
      <c r="T2309" s="30"/>
      <c r="U2309" s="47" t="str">
        <f aca="false">IF(AND(B2309&lt;&gt;"",B2309=SW別シート!$C$3),COUNTIF(B$5:B2309,B2309),"")</f>
        <v/>
      </c>
      <c r="V2309" s="47" t="n">
        <f aca="false">V2308+IF(OR(O2309&lt;&gt;"",W2309&lt;&gt;""),1,0)</f>
        <v>3</v>
      </c>
      <c r="W2309" s="29"/>
    </row>
    <row r="2310" customFormat="false" ht="15" hidden="false" customHeight="false" outlineLevel="0" collapsed="false">
      <c r="A2310" s="32" t="str">
        <f aca="false">IF(B2310="","",ROW()-7)</f>
        <v/>
      </c>
      <c r="B2310" s="30"/>
      <c r="C2310" s="29"/>
      <c r="D2310" s="29"/>
      <c r="E2310" s="29"/>
      <c r="F2310" s="30"/>
      <c r="G2310" s="29"/>
      <c r="H2310" s="30"/>
      <c r="I2310" s="29"/>
      <c r="J2310" s="30"/>
      <c r="K2310" s="30"/>
      <c r="L2310" s="29"/>
      <c r="M2310" s="32" t="str">
        <f aca="false">IF(OR(C2310="",L2310=""),"",IF(C2310=L2310,"同一","変更"))</f>
        <v/>
      </c>
      <c r="N2310" s="29"/>
      <c r="O2310" s="30"/>
      <c r="P2310" s="29"/>
      <c r="Q2310" s="31"/>
      <c r="R2310" s="29"/>
      <c r="S2310" s="29"/>
      <c r="T2310" s="30"/>
      <c r="U2310" s="47" t="str">
        <f aca="false">IF(AND(B2310&lt;&gt;"",B2310=SW別シート!$C$3),COUNTIF(B$5:B2310,B2310),"")</f>
        <v/>
      </c>
      <c r="V2310" s="47" t="n">
        <f aca="false">V2309+IF(OR(O2310&lt;&gt;"",W2310&lt;&gt;""),1,0)</f>
        <v>3</v>
      </c>
      <c r="W2310" s="29"/>
    </row>
    <row r="2311" customFormat="false" ht="15" hidden="false" customHeight="false" outlineLevel="0" collapsed="false">
      <c r="A2311" s="32" t="str">
        <f aca="false">IF(B2311="","",ROW()-7)</f>
        <v/>
      </c>
      <c r="B2311" s="30"/>
      <c r="C2311" s="29"/>
      <c r="D2311" s="29"/>
      <c r="E2311" s="29"/>
      <c r="F2311" s="30"/>
      <c r="G2311" s="29"/>
      <c r="H2311" s="30"/>
      <c r="I2311" s="29"/>
      <c r="J2311" s="30"/>
      <c r="K2311" s="30"/>
      <c r="L2311" s="29"/>
      <c r="M2311" s="32" t="str">
        <f aca="false">IF(OR(C2311="",L2311=""),"",IF(C2311=L2311,"同一","変更"))</f>
        <v/>
      </c>
      <c r="N2311" s="29"/>
      <c r="O2311" s="30"/>
      <c r="P2311" s="29"/>
      <c r="Q2311" s="31"/>
      <c r="R2311" s="29"/>
      <c r="S2311" s="29"/>
      <c r="T2311" s="30"/>
      <c r="U2311" s="47" t="str">
        <f aca="false">IF(AND(B2311&lt;&gt;"",B2311=SW別シート!$C$3),COUNTIF(B$5:B2311,B2311),"")</f>
        <v/>
      </c>
      <c r="V2311" s="47" t="n">
        <f aca="false">V2310+IF(OR(O2311&lt;&gt;"",W2311&lt;&gt;""),1,0)</f>
        <v>3</v>
      </c>
      <c r="W2311" s="29"/>
    </row>
    <row r="2312" customFormat="false" ht="15" hidden="false" customHeight="false" outlineLevel="0" collapsed="false">
      <c r="A2312" s="32" t="str">
        <f aca="false">IF(B2312="","",ROW()-7)</f>
        <v/>
      </c>
      <c r="B2312" s="30"/>
      <c r="C2312" s="29"/>
      <c r="D2312" s="29"/>
      <c r="E2312" s="29"/>
      <c r="F2312" s="30"/>
      <c r="G2312" s="29"/>
      <c r="H2312" s="30"/>
      <c r="I2312" s="29"/>
      <c r="J2312" s="30"/>
      <c r="K2312" s="30"/>
      <c r="L2312" s="29"/>
      <c r="M2312" s="32" t="str">
        <f aca="false">IF(OR(C2312="",L2312=""),"",IF(C2312=L2312,"同一","変更"))</f>
        <v/>
      </c>
      <c r="N2312" s="29"/>
      <c r="O2312" s="30"/>
      <c r="P2312" s="29"/>
      <c r="Q2312" s="31"/>
      <c r="R2312" s="29"/>
      <c r="S2312" s="29"/>
      <c r="T2312" s="30"/>
      <c r="U2312" s="47" t="str">
        <f aca="false">IF(AND(B2312&lt;&gt;"",B2312=SW別シート!$C$3),COUNTIF(B$5:B2312,B2312),"")</f>
        <v/>
      </c>
      <c r="V2312" s="47" t="n">
        <f aca="false">V2311+IF(OR(O2312&lt;&gt;"",W2312&lt;&gt;""),1,0)</f>
        <v>3</v>
      </c>
      <c r="W2312" s="29"/>
    </row>
    <row r="2313" customFormat="false" ht="15" hidden="false" customHeight="false" outlineLevel="0" collapsed="false">
      <c r="A2313" s="32" t="str">
        <f aca="false">IF(B2313="","",ROW()-7)</f>
        <v/>
      </c>
      <c r="B2313" s="30"/>
      <c r="C2313" s="29"/>
      <c r="D2313" s="29"/>
      <c r="E2313" s="29"/>
      <c r="F2313" s="30"/>
      <c r="G2313" s="29"/>
      <c r="H2313" s="30"/>
      <c r="I2313" s="29"/>
      <c r="J2313" s="30"/>
      <c r="K2313" s="30"/>
      <c r="L2313" s="29"/>
      <c r="M2313" s="32" t="str">
        <f aca="false">IF(OR(C2313="",L2313=""),"",IF(C2313=L2313,"同一","変更"))</f>
        <v/>
      </c>
      <c r="N2313" s="29"/>
      <c r="O2313" s="30"/>
      <c r="P2313" s="29"/>
      <c r="Q2313" s="31"/>
      <c r="R2313" s="29"/>
      <c r="S2313" s="29"/>
      <c r="T2313" s="30"/>
      <c r="U2313" s="47" t="str">
        <f aca="false">IF(AND(B2313&lt;&gt;"",B2313=SW別シート!$C$3),COUNTIF(B$5:B2313,B2313),"")</f>
        <v/>
      </c>
      <c r="V2313" s="47" t="n">
        <f aca="false">V2312+IF(OR(O2313&lt;&gt;"",W2313&lt;&gt;""),1,0)</f>
        <v>3</v>
      </c>
      <c r="W2313" s="29"/>
    </row>
    <row r="2314" customFormat="false" ht="15" hidden="false" customHeight="false" outlineLevel="0" collapsed="false">
      <c r="A2314" s="32" t="str">
        <f aca="false">IF(B2314="","",ROW()-7)</f>
        <v/>
      </c>
      <c r="B2314" s="30"/>
      <c r="C2314" s="29"/>
      <c r="D2314" s="29"/>
      <c r="E2314" s="29"/>
      <c r="F2314" s="30"/>
      <c r="G2314" s="29"/>
      <c r="H2314" s="30"/>
      <c r="I2314" s="29"/>
      <c r="J2314" s="30"/>
      <c r="K2314" s="30"/>
      <c r="L2314" s="29"/>
      <c r="M2314" s="32" t="str">
        <f aca="false">IF(OR(C2314="",L2314=""),"",IF(C2314=L2314,"同一","変更"))</f>
        <v/>
      </c>
      <c r="N2314" s="29"/>
      <c r="O2314" s="30"/>
      <c r="P2314" s="29"/>
      <c r="Q2314" s="31"/>
      <c r="R2314" s="29"/>
      <c r="S2314" s="29"/>
      <c r="T2314" s="30"/>
      <c r="U2314" s="47" t="str">
        <f aca="false">IF(AND(B2314&lt;&gt;"",B2314=SW別シート!$C$3),COUNTIF(B$5:B2314,B2314),"")</f>
        <v/>
      </c>
      <c r="V2314" s="47" t="n">
        <f aca="false">V2313+IF(OR(O2314&lt;&gt;"",W2314&lt;&gt;""),1,0)</f>
        <v>3</v>
      </c>
      <c r="W2314" s="29"/>
    </row>
    <row r="2315" customFormat="false" ht="15" hidden="false" customHeight="false" outlineLevel="0" collapsed="false">
      <c r="A2315" s="32" t="str">
        <f aca="false">IF(B2315="","",ROW()-7)</f>
        <v/>
      </c>
      <c r="B2315" s="30"/>
      <c r="C2315" s="29"/>
      <c r="D2315" s="29"/>
      <c r="E2315" s="29"/>
      <c r="F2315" s="30"/>
      <c r="G2315" s="29"/>
      <c r="H2315" s="30"/>
      <c r="I2315" s="29"/>
      <c r="J2315" s="30"/>
      <c r="K2315" s="30"/>
      <c r="L2315" s="29"/>
      <c r="M2315" s="32" t="str">
        <f aca="false">IF(OR(C2315="",L2315=""),"",IF(C2315=L2315,"同一","変更"))</f>
        <v/>
      </c>
      <c r="N2315" s="29"/>
      <c r="O2315" s="30"/>
      <c r="P2315" s="29"/>
      <c r="Q2315" s="31"/>
      <c r="R2315" s="29"/>
      <c r="S2315" s="29"/>
      <c r="T2315" s="30"/>
      <c r="U2315" s="47" t="str">
        <f aca="false">IF(AND(B2315&lt;&gt;"",B2315=SW別シート!$C$3),COUNTIF(B$5:B2315,B2315),"")</f>
        <v/>
      </c>
      <c r="V2315" s="47" t="n">
        <f aca="false">V2314+IF(OR(O2315&lt;&gt;"",W2315&lt;&gt;""),1,0)</f>
        <v>3</v>
      </c>
      <c r="W2315" s="29"/>
    </row>
    <row r="2316" customFormat="false" ht="15" hidden="false" customHeight="false" outlineLevel="0" collapsed="false">
      <c r="A2316" s="32" t="str">
        <f aca="false">IF(B2316="","",ROW()-7)</f>
        <v/>
      </c>
      <c r="B2316" s="30"/>
      <c r="C2316" s="29"/>
      <c r="D2316" s="29"/>
      <c r="E2316" s="29"/>
      <c r="F2316" s="30"/>
      <c r="G2316" s="29"/>
      <c r="H2316" s="30"/>
      <c r="I2316" s="29"/>
      <c r="J2316" s="30"/>
      <c r="K2316" s="30"/>
      <c r="L2316" s="29"/>
      <c r="M2316" s="32" t="str">
        <f aca="false">IF(OR(C2316="",L2316=""),"",IF(C2316=L2316,"同一","変更"))</f>
        <v/>
      </c>
      <c r="N2316" s="29"/>
      <c r="O2316" s="30"/>
      <c r="P2316" s="29"/>
      <c r="Q2316" s="31"/>
      <c r="R2316" s="29"/>
      <c r="S2316" s="29"/>
      <c r="T2316" s="30"/>
      <c r="U2316" s="47" t="str">
        <f aca="false">IF(AND(B2316&lt;&gt;"",B2316=SW別シート!$C$3),COUNTIF(B$5:B2316,B2316),"")</f>
        <v/>
      </c>
      <c r="V2316" s="47" t="n">
        <f aca="false">V2315+IF(OR(O2316&lt;&gt;"",W2316&lt;&gt;""),1,0)</f>
        <v>3</v>
      </c>
      <c r="W2316" s="29"/>
    </row>
    <row r="2317" customFormat="false" ht="15" hidden="false" customHeight="false" outlineLevel="0" collapsed="false">
      <c r="A2317" s="32" t="str">
        <f aca="false">IF(B2317="","",ROW()-7)</f>
        <v/>
      </c>
      <c r="B2317" s="30"/>
      <c r="C2317" s="29"/>
      <c r="D2317" s="29"/>
      <c r="E2317" s="29"/>
      <c r="F2317" s="30"/>
      <c r="G2317" s="29"/>
      <c r="H2317" s="30"/>
      <c r="I2317" s="29"/>
      <c r="J2317" s="30"/>
      <c r="K2317" s="30"/>
      <c r="L2317" s="29"/>
      <c r="M2317" s="32" t="str">
        <f aca="false">IF(OR(C2317="",L2317=""),"",IF(C2317=L2317,"同一","変更"))</f>
        <v/>
      </c>
      <c r="N2317" s="29"/>
      <c r="O2317" s="30"/>
      <c r="P2317" s="29"/>
      <c r="Q2317" s="31"/>
      <c r="R2317" s="29"/>
      <c r="S2317" s="29"/>
      <c r="T2317" s="30"/>
      <c r="U2317" s="47" t="str">
        <f aca="false">IF(AND(B2317&lt;&gt;"",B2317=SW別シート!$C$3),COUNTIF(B$5:B2317,B2317),"")</f>
        <v/>
      </c>
      <c r="V2317" s="47" t="n">
        <f aca="false">V2316+IF(OR(O2317&lt;&gt;"",W2317&lt;&gt;""),1,0)</f>
        <v>3</v>
      </c>
      <c r="W2317" s="29"/>
    </row>
    <row r="2318" customFormat="false" ht="15" hidden="false" customHeight="false" outlineLevel="0" collapsed="false">
      <c r="A2318" s="32" t="str">
        <f aca="false">IF(B2318="","",ROW()-7)</f>
        <v/>
      </c>
      <c r="B2318" s="30"/>
      <c r="C2318" s="29"/>
      <c r="D2318" s="29"/>
      <c r="E2318" s="29"/>
      <c r="F2318" s="30"/>
      <c r="G2318" s="29"/>
      <c r="H2318" s="30"/>
      <c r="I2318" s="29"/>
      <c r="J2318" s="30"/>
      <c r="K2318" s="30"/>
      <c r="L2318" s="29"/>
      <c r="M2318" s="32" t="str">
        <f aca="false">IF(OR(C2318="",L2318=""),"",IF(C2318=L2318,"同一","変更"))</f>
        <v/>
      </c>
      <c r="N2318" s="29"/>
      <c r="O2318" s="30"/>
      <c r="P2318" s="29"/>
      <c r="Q2318" s="31"/>
      <c r="R2318" s="29"/>
      <c r="S2318" s="29"/>
      <c r="T2318" s="30"/>
      <c r="U2318" s="47" t="str">
        <f aca="false">IF(AND(B2318&lt;&gt;"",B2318=SW別シート!$C$3),COUNTIF(B$5:B2318,B2318),"")</f>
        <v/>
      </c>
      <c r="V2318" s="47" t="n">
        <f aca="false">V2317+IF(OR(O2318&lt;&gt;"",W2318&lt;&gt;""),1,0)</f>
        <v>3</v>
      </c>
      <c r="W2318" s="29"/>
    </row>
    <row r="2319" customFormat="false" ht="15" hidden="false" customHeight="false" outlineLevel="0" collapsed="false">
      <c r="A2319" s="32" t="str">
        <f aca="false">IF(B2319="","",ROW()-7)</f>
        <v/>
      </c>
      <c r="B2319" s="30"/>
      <c r="C2319" s="29"/>
      <c r="D2319" s="29"/>
      <c r="E2319" s="29"/>
      <c r="F2319" s="30"/>
      <c r="G2319" s="29"/>
      <c r="H2319" s="30"/>
      <c r="I2319" s="29"/>
      <c r="J2319" s="30"/>
      <c r="K2319" s="30"/>
      <c r="L2319" s="29"/>
      <c r="M2319" s="32" t="str">
        <f aca="false">IF(OR(C2319="",L2319=""),"",IF(C2319=L2319,"同一","変更"))</f>
        <v/>
      </c>
      <c r="N2319" s="29"/>
      <c r="O2319" s="30"/>
      <c r="P2319" s="29"/>
      <c r="Q2319" s="31"/>
      <c r="R2319" s="29"/>
      <c r="S2319" s="29"/>
      <c r="T2319" s="30"/>
      <c r="U2319" s="47" t="str">
        <f aca="false">IF(AND(B2319&lt;&gt;"",B2319=SW別シート!$C$3),COUNTIF(B$5:B2319,B2319),"")</f>
        <v/>
      </c>
      <c r="V2319" s="47" t="n">
        <f aca="false">V2318+IF(OR(O2319&lt;&gt;"",W2319&lt;&gt;""),1,0)</f>
        <v>3</v>
      </c>
      <c r="W2319" s="29"/>
    </row>
    <row r="2320" customFormat="false" ht="15" hidden="false" customHeight="false" outlineLevel="0" collapsed="false">
      <c r="A2320" s="32" t="str">
        <f aca="false">IF(B2320="","",ROW()-7)</f>
        <v/>
      </c>
      <c r="B2320" s="30"/>
      <c r="C2320" s="29"/>
      <c r="D2320" s="29"/>
      <c r="E2320" s="29"/>
      <c r="F2320" s="30"/>
      <c r="G2320" s="29"/>
      <c r="H2320" s="30"/>
      <c r="I2320" s="29"/>
      <c r="J2320" s="30"/>
      <c r="K2320" s="30"/>
      <c r="L2320" s="29"/>
      <c r="M2320" s="32" t="str">
        <f aca="false">IF(OR(C2320="",L2320=""),"",IF(C2320=L2320,"同一","変更"))</f>
        <v/>
      </c>
      <c r="N2320" s="29"/>
      <c r="O2320" s="30"/>
      <c r="P2320" s="29"/>
      <c r="Q2320" s="31"/>
      <c r="R2320" s="29"/>
      <c r="S2320" s="29"/>
      <c r="T2320" s="30"/>
      <c r="U2320" s="47" t="str">
        <f aca="false">IF(AND(B2320&lt;&gt;"",B2320=SW別シート!$C$3),COUNTIF(B$5:B2320,B2320),"")</f>
        <v/>
      </c>
      <c r="V2320" s="47" t="n">
        <f aca="false">V2319+IF(OR(O2320&lt;&gt;"",W2320&lt;&gt;""),1,0)</f>
        <v>3</v>
      </c>
      <c r="W2320" s="29"/>
    </row>
    <row r="2321" customFormat="false" ht="15" hidden="false" customHeight="false" outlineLevel="0" collapsed="false">
      <c r="A2321" s="32" t="str">
        <f aca="false">IF(B2321="","",ROW()-7)</f>
        <v/>
      </c>
      <c r="B2321" s="30"/>
      <c r="C2321" s="29"/>
      <c r="D2321" s="29"/>
      <c r="E2321" s="29"/>
      <c r="F2321" s="30"/>
      <c r="G2321" s="29"/>
      <c r="H2321" s="30"/>
      <c r="I2321" s="29"/>
      <c r="J2321" s="30"/>
      <c r="K2321" s="30"/>
      <c r="L2321" s="29"/>
      <c r="M2321" s="32" t="str">
        <f aca="false">IF(OR(C2321="",L2321=""),"",IF(C2321=L2321,"同一","変更"))</f>
        <v/>
      </c>
      <c r="N2321" s="29"/>
      <c r="O2321" s="30"/>
      <c r="P2321" s="29"/>
      <c r="Q2321" s="31"/>
      <c r="R2321" s="29"/>
      <c r="S2321" s="29"/>
      <c r="T2321" s="30"/>
      <c r="U2321" s="47" t="str">
        <f aca="false">IF(AND(B2321&lt;&gt;"",B2321=SW別シート!$C$3),COUNTIF(B$5:B2321,B2321),"")</f>
        <v/>
      </c>
      <c r="V2321" s="47" t="n">
        <f aca="false">V2320+IF(OR(O2321&lt;&gt;"",W2321&lt;&gt;""),1,0)</f>
        <v>3</v>
      </c>
      <c r="W2321" s="29"/>
    </row>
    <row r="2322" customFormat="false" ht="15" hidden="false" customHeight="false" outlineLevel="0" collapsed="false">
      <c r="A2322" s="32" t="str">
        <f aca="false">IF(B2322="","",ROW()-7)</f>
        <v/>
      </c>
      <c r="B2322" s="30"/>
      <c r="C2322" s="29"/>
      <c r="D2322" s="29"/>
      <c r="E2322" s="29"/>
      <c r="F2322" s="30"/>
      <c r="G2322" s="29"/>
      <c r="H2322" s="30"/>
      <c r="I2322" s="29"/>
      <c r="J2322" s="30"/>
      <c r="K2322" s="30"/>
      <c r="L2322" s="29"/>
      <c r="M2322" s="32" t="str">
        <f aca="false">IF(OR(C2322="",L2322=""),"",IF(C2322=L2322,"同一","変更"))</f>
        <v/>
      </c>
      <c r="N2322" s="29"/>
      <c r="O2322" s="30"/>
      <c r="P2322" s="29"/>
      <c r="Q2322" s="31"/>
      <c r="R2322" s="29"/>
      <c r="S2322" s="29"/>
      <c r="T2322" s="30"/>
      <c r="U2322" s="47" t="str">
        <f aca="false">IF(AND(B2322&lt;&gt;"",B2322=SW別シート!$C$3),COUNTIF(B$5:B2322,B2322),"")</f>
        <v/>
      </c>
      <c r="V2322" s="47" t="n">
        <f aca="false">V2321+IF(OR(O2322&lt;&gt;"",W2322&lt;&gt;""),1,0)</f>
        <v>3</v>
      </c>
      <c r="W2322" s="29"/>
    </row>
    <row r="2323" customFormat="false" ht="15" hidden="false" customHeight="false" outlineLevel="0" collapsed="false">
      <c r="A2323" s="32" t="str">
        <f aca="false">IF(B2323="","",ROW()-7)</f>
        <v/>
      </c>
      <c r="B2323" s="30"/>
      <c r="C2323" s="29"/>
      <c r="D2323" s="29"/>
      <c r="E2323" s="29"/>
      <c r="F2323" s="30"/>
      <c r="G2323" s="29"/>
      <c r="H2323" s="30"/>
      <c r="I2323" s="29"/>
      <c r="J2323" s="30"/>
      <c r="K2323" s="30"/>
      <c r="L2323" s="29"/>
      <c r="M2323" s="32" t="str">
        <f aca="false">IF(OR(C2323="",L2323=""),"",IF(C2323=L2323,"同一","変更"))</f>
        <v/>
      </c>
      <c r="N2323" s="29"/>
      <c r="O2323" s="30"/>
      <c r="P2323" s="29"/>
      <c r="Q2323" s="31"/>
      <c r="R2323" s="29"/>
      <c r="S2323" s="29"/>
      <c r="T2323" s="30"/>
      <c r="U2323" s="47" t="str">
        <f aca="false">IF(AND(B2323&lt;&gt;"",B2323=SW別シート!$C$3),COUNTIF(B$5:B2323,B2323),"")</f>
        <v/>
      </c>
      <c r="V2323" s="47" t="n">
        <f aca="false">V2322+IF(OR(O2323&lt;&gt;"",W2323&lt;&gt;""),1,0)</f>
        <v>3</v>
      </c>
      <c r="W2323" s="29"/>
    </row>
    <row r="2324" customFormat="false" ht="15" hidden="false" customHeight="false" outlineLevel="0" collapsed="false">
      <c r="A2324" s="32" t="str">
        <f aca="false">IF(B2324="","",ROW()-7)</f>
        <v/>
      </c>
      <c r="B2324" s="30"/>
      <c r="C2324" s="29"/>
      <c r="D2324" s="29"/>
      <c r="E2324" s="29"/>
      <c r="F2324" s="30"/>
      <c r="G2324" s="29"/>
      <c r="H2324" s="30"/>
      <c r="I2324" s="29"/>
      <c r="J2324" s="30"/>
      <c r="K2324" s="30"/>
      <c r="L2324" s="29"/>
      <c r="M2324" s="32" t="str">
        <f aca="false">IF(OR(C2324="",L2324=""),"",IF(C2324=L2324,"同一","変更"))</f>
        <v/>
      </c>
      <c r="N2324" s="29"/>
      <c r="O2324" s="30"/>
      <c r="P2324" s="29"/>
      <c r="Q2324" s="31"/>
      <c r="R2324" s="29"/>
      <c r="S2324" s="29"/>
      <c r="T2324" s="30"/>
      <c r="U2324" s="47" t="str">
        <f aca="false">IF(AND(B2324&lt;&gt;"",B2324=SW別シート!$C$3),COUNTIF(B$5:B2324,B2324),"")</f>
        <v/>
      </c>
      <c r="V2324" s="47" t="n">
        <f aca="false">V2323+IF(OR(O2324&lt;&gt;"",W2324&lt;&gt;""),1,0)</f>
        <v>3</v>
      </c>
      <c r="W2324" s="29"/>
    </row>
    <row r="2325" customFormat="false" ht="15" hidden="false" customHeight="false" outlineLevel="0" collapsed="false">
      <c r="A2325" s="32" t="str">
        <f aca="false">IF(B2325="","",ROW()-7)</f>
        <v/>
      </c>
      <c r="B2325" s="30"/>
      <c r="C2325" s="29"/>
      <c r="D2325" s="29"/>
      <c r="E2325" s="29"/>
      <c r="F2325" s="30"/>
      <c r="G2325" s="29"/>
      <c r="H2325" s="30"/>
      <c r="I2325" s="29"/>
      <c r="J2325" s="30"/>
      <c r="K2325" s="30"/>
      <c r="L2325" s="29"/>
      <c r="M2325" s="32" t="str">
        <f aca="false">IF(OR(C2325="",L2325=""),"",IF(C2325=L2325,"同一","変更"))</f>
        <v/>
      </c>
      <c r="N2325" s="29"/>
      <c r="O2325" s="30"/>
      <c r="P2325" s="29"/>
      <c r="Q2325" s="31"/>
      <c r="R2325" s="29"/>
      <c r="S2325" s="29"/>
      <c r="T2325" s="30"/>
      <c r="U2325" s="47" t="str">
        <f aca="false">IF(AND(B2325&lt;&gt;"",B2325=SW別シート!$C$3),COUNTIF(B$5:B2325,B2325),"")</f>
        <v/>
      </c>
      <c r="V2325" s="47" t="n">
        <f aca="false">V2324+IF(OR(O2325&lt;&gt;"",W2325&lt;&gt;""),1,0)</f>
        <v>3</v>
      </c>
      <c r="W2325" s="29"/>
    </row>
    <row r="2326" customFormat="false" ht="15" hidden="false" customHeight="false" outlineLevel="0" collapsed="false">
      <c r="A2326" s="32" t="str">
        <f aca="false">IF(B2326="","",ROW()-7)</f>
        <v/>
      </c>
      <c r="B2326" s="30"/>
      <c r="C2326" s="29"/>
      <c r="D2326" s="29"/>
      <c r="E2326" s="29"/>
      <c r="F2326" s="30"/>
      <c r="G2326" s="29"/>
      <c r="H2326" s="30"/>
      <c r="I2326" s="29"/>
      <c r="J2326" s="30"/>
      <c r="K2326" s="30"/>
      <c r="L2326" s="29"/>
      <c r="M2326" s="32" t="str">
        <f aca="false">IF(OR(C2326="",L2326=""),"",IF(C2326=L2326,"同一","変更"))</f>
        <v/>
      </c>
      <c r="N2326" s="29"/>
      <c r="O2326" s="30"/>
      <c r="P2326" s="29"/>
      <c r="Q2326" s="31"/>
      <c r="R2326" s="29"/>
      <c r="S2326" s="29"/>
      <c r="T2326" s="30"/>
      <c r="U2326" s="47" t="str">
        <f aca="false">IF(AND(B2326&lt;&gt;"",B2326=SW別シート!$C$3),COUNTIF(B$5:B2326,B2326),"")</f>
        <v/>
      </c>
      <c r="V2326" s="47" t="n">
        <f aca="false">V2325+IF(OR(O2326&lt;&gt;"",W2326&lt;&gt;""),1,0)</f>
        <v>3</v>
      </c>
      <c r="W2326" s="29"/>
    </row>
    <row r="2327" customFormat="false" ht="15" hidden="false" customHeight="false" outlineLevel="0" collapsed="false">
      <c r="A2327" s="32" t="str">
        <f aca="false">IF(B2327="","",ROW()-7)</f>
        <v/>
      </c>
      <c r="B2327" s="30"/>
      <c r="C2327" s="29"/>
      <c r="D2327" s="29"/>
      <c r="E2327" s="29"/>
      <c r="F2327" s="30"/>
      <c r="G2327" s="29"/>
      <c r="H2327" s="30"/>
      <c r="I2327" s="29"/>
      <c r="J2327" s="30"/>
      <c r="K2327" s="30"/>
      <c r="L2327" s="29"/>
      <c r="M2327" s="32" t="str">
        <f aca="false">IF(OR(C2327="",L2327=""),"",IF(C2327=L2327,"同一","変更"))</f>
        <v/>
      </c>
      <c r="N2327" s="29"/>
      <c r="O2327" s="30"/>
      <c r="P2327" s="29"/>
      <c r="Q2327" s="31"/>
      <c r="R2327" s="29"/>
      <c r="S2327" s="29"/>
      <c r="T2327" s="30"/>
      <c r="U2327" s="47" t="str">
        <f aca="false">IF(AND(B2327&lt;&gt;"",B2327=SW別シート!$C$3),COUNTIF(B$5:B2327,B2327),"")</f>
        <v/>
      </c>
      <c r="V2327" s="47" t="n">
        <f aca="false">V2326+IF(OR(O2327&lt;&gt;"",W2327&lt;&gt;""),1,0)</f>
        <v>3</v>
      </c>
      <c r="W2327" s="29"/>
    </row>
    <row r="2328" customFormat="false" ht="15" hidden="false" customHeight="false" outlineLevel="0" collapsed="false">
      <c r="A2328" s="32" t="str">
        <f aca="false">IF(B2328="","",ROW()-7)</f>
        <v/>
      </c>
      <c r="B2328" s="30"/>
      <c r="C2328" s="29"/>
      <c r="D2328" s="29"/>
      <c r="E2328" s="29"/>
      <c r="F2328" s="30"/>
      <c r="G2328" s="29"/>
      <c r="H2328" s="30"/>
      <c r="I2328" s="29"/>
      <c r="J2328" s="30"/>
      <c r="K2328" s="30"/>
      <c r="L2328" s="29"/>
      <c r="M2328" s="32" t="str">
        <f aca="false">IF(OR(C2328="",L2328=""),"",IF(C2328=L2328,"同一","変更"))</f>
        <v/>
      </c>
      <c r="N2328" s="29"/>
      <c r="O2328" s="30"/>
      <c r="P2328" s="29"/>
      <c r="Q2328" s="31"/>
      <c r="R2328" s="29"/>
      <c r="S2328" s="29"/>
      <c r="T2328" s="30"/>
      <c r="U2328" s="47" t="str">
        <f aca="false">IF(AND(B2328&lt;&gt;"",B2328=SW別シート!$C$3),COUNTIF(B$5:B2328,B2328),"")</f>
        <v/>
      </c>
      <c r="V2328" s="47" t="n">
        <f aca="false">V2327+IF(OR(O2328&lt;&gt;"",W2328&lt;&gt;""),1,0)</f>
        <v>3</v>
      </c>
      <c r="W2328" s="29"/>
    </row>
    <row r="2329" customFormat="false" ht="15" hidden="false" customHeight="false" outlineLevel="0" collapsed="false">
      <c r="A2329" s="32" t="str">
        <f aca="false">IF(B2329="","",ROW()-7)</f>
        <v/>
      </c>
      <c r="B2329" s="30"/>
      <c r="C2329" s="29"/>
      <c r="D2329" s="29"/>
      <c r="E2329" s="29"/>
      <c r="F2329" s="30"/>
      <c r="G2329" s="29"/>
      <c r="H2329" s="30"/>
      <c r="I2329" s="29"/>
      <c r="J2329" s="30"/>
      <c r="K2329" s="30"/>
      <c r="L2329" s="29"/>
      <c r="M2329" s="32" t="str">
        <f aca="false">IF(OR(C2329="",L2329=""),"",IF(C2329=L2329,"同一","変更"))</f>
        <v/>
      </c>
      <c r="N2329" s="29"/>
      <c r="O2329" s="30"/>
      <c r="P2329" s="29"/>
      <c r="Q2329" s="31"/>
      <c r="R2329" s="29"/>
      <c r="S2329" s="29"/>
      <c r="T2329" s="30"/>
      <c r="U2329" s="47" t="str">
        <f aca="false">IF(AND(B2329&lt;&gt;"",B2329=SW別シート!$C$3),COUNTIF(B$5:B2329,B2329),"")</f>
        <v/>
      </c>
      <c r="V2329" s="47" t="n">
        <f aca="false">V2328+IF(OR(O2329&lt;&gt;"",W2329&lt;&gt;""),1,0)</f>
        <v>3</v>
      </c>
      <c r="W2329" s="29"/>
    </row>
    <row r="2330" customFormat="false" ht="15" hidden="false" customHeight="false" outlineLevel="0" collapsed="false">
      <c r="A2330" s="32" t="str">
        <f aca="false">IF(B2330="","",ROW()-7)</f>
        <v/>
      </c>
      <c r="B2330" s="30"/>
      <c r="C2330" s="29"/>
      <c r="D2330" s="29"/>
      <c r="E2330" s="29"/>
      <c r="F2330" s="30"/>
      <c r="G2330" s="29"/>
      <c r="H2330" s="30"/>
      <c r="I2330" s="29"/>
      <c r="J2330" s="30"/>
      <c r="K2330" s="30"/>
      <c r="L2330" s="29"/>
      <c r="M2330" s="32" t="str">
        <f aca="false">IF(OR(C2330="",L2330=""),"",IF(C2330=L2330,"同一","変更"))</f>
        <v/>
      </c>
      <c r="N2330" s="29"/>
      <c r="O2330" s="30"/>
      <c r="P2330" s="29"/>
      <c r="Q2330" s="31"/>
      <c r="R2330" s="29"/>
      <c r="S2330" s="29"/>
      <c r="T2330" s="30"/>
      <c r="U2330" s="47" t="str">
        <f aca="false">IF(AND(B2330&lt;&gt;"",B2330=SW別シート!$C$3),COUNTIF(B$5:B2330,B2330),"")</f>
        <v/>
      </c>
      <c r="V2330" s="47" t="n">
        <f aca="false">V2329+IF(OR(O2330&lt;&gt;"",W2330&lt;&gt;""),1,0)</f>
        <v>3</v>
      </c>
      <c r="W2330" s="29"/>
    </row>
    <row r="2331" customFormat="false" ht="15" hidden="false" customHeight="false" outlineLevel="0" collapsed="false">
      <c r="A2331" s="32" t="str">
        <f aca="false">IF(B2331="","",ROW()-7)</f>
        <v/>
      </c>
      <c r="B2331" s="30"/>
      <c r="C2331" s="29"/>
      <c r="D2331" s="29"/>
      <c r="E2331" s="29"/>
      <c r="F2331" s="30"/>
      <c r="G2331" s="29"/>
      <c r="H2331" s="30"/>
      <c r="I2331" s="29"/>
      <c r="J2331" s="30"/>
      <c r="K2331" s="30"/>
      <c r="L2331" s="29"/>
      <c r="M2331" s="32" t="str">
        <f aca="false">IF(OR(C2331="",L2331=""),"",IF(C2331=L2331,"同一","変更"))</f>
        <v/>
      </c>
      <c r="N2331" s="29"/>
      <c r="O2331" s="30"/>
      <c r="P2331" s="29"/>
      <c r="Q2331" s="31"/>
      <c r="R2331" s="29"/>
      <c r="S2331" s="29"/>
      <c r="T2331" s="30"/>
      <c r="U2331" s="47" t="str">
        <f aca="false">IF(AND(B2331&lt;&gt;"",B2331=SW別シート!$C$3),COUNTIF(B$5:B2331,B2331),"")</f>
        <v/>
      </c>
      <c r="V2331" s="47" t="n">
        <f aca="false">V2330+IF(OR(O2331&lt;&gt;"",W2331&lt;&gt;""),1,0)</f>
        <v>3</v>
      </c>
      <c r="W2331" s="29"/>
    </row>
    <row r="2332" customFormat="false" ht="15" hidden="false" customHeight="false" outlineLevel="0" collapsed="false">
      <c r="A2332" s="32" t="str">
        <f aca="false">IF(B2332="","",ROW()-7)</f>
        <v/>
      </c>
      <c r="B2332" s="30"/>
      <c r="C2332" s="29"/>
      <c r="D2332" s="29"/>
      <c r="E2332" s="29"/>
      <c r="F2332" s="30"/>
      <c r="G2332" s="29"/>
      <c r="H2332" s="30"/>
      <c r="I2332" s="29"/>
      <c r="J2332" s="30"/>
      <c r="K2332" s="30"/>
      <c r="L2332" s="29"/>
      <c r="M2332" s="32" t="str">
        <f aca="false">IF(OR(C2332="",L2332=""),"",IF(C2332=L2332,"同一","変更"))</f>
        <v/>
      </c>
      <c r="N2332" s="29"/>
      <c r="O2332" s="30"/>
      <c r="P2332" s="29"/>
      <c r="Q2332" s="31"/>
      <c r="R2332" s="29"/>
      <c r="S2332" s="29"/>
      <c r="T2332" s="30"/>
      <c r="U2332" s="47" t="str">
        <f aca="false">IF(AND(B2332&lt;&gt;"",B2332=SW別シート!$C$3),COUNTIF(B$5:B2332,B2332),"")</f>
        <v/>
      </c>
      <c r="V2332" s="47" t="n">
        <f aca="false">V2331+IF(OR(O2332&lt;&gt;"",W2332&lt;&gt;""),1,0)</f>
        <v>3</v>
      </c>
      <c r="W2332" s="29"/>
    </row>
    <row r="2333" customFormat="false" ht="15" hidden="false" customHeight="false" outlineLevel="0" collapsed="false">
      <c r="A2333" s="32" t="str">
        <f aca="false">IF(B2333="","",ROW()-7)</f>
        <v/>
      </c>
      <c r="B2333" s="30"/>
      <c r="C2333" s="29"/>
      <c r="D2333" s="29"/>
      <c r="E2333" s="29"/>
      <c r="F2333" s="30"/>
      <c r="G2333" s="29"/>
      <c r="H2333" s="30"/>
      <c r="I2333" s="29"/>
      <c r="J2333" s="30"/>
      <c r="K2333" s="30"/>
      <c r="L2333" s="29"/>
      <c r="M2333" s="32" t="str">
        <f aca="false">IF(OR(C2333="",L2333=""),"",IF(C2333=L2333,"同一","変更"))</f>
        <v/>
      </c>
      <c r="N2333" s="29"/>
      <c r="O2333" s="30"/>
      <c r="P2333" s="29"/>
      <c r="Q2333" s="31"/>
      <c r="R2333" s="29"/>
      <c r="S2333" s="29"/>
      <c r="T2333" s="30"/>
      <c r="U2333" s="47" t="str">
        <f aca="false">IF(AND(B2333&lt;&gt;"",B2333=SW別シート!$C$3),COUNTIF(B$5:B2333,B2333),"")</f>
        <v/>
      </c>
      <c r="V2333" s="47" t="n">
        <f aca="false">V2332+IF(OR(O2333&lt;&gt;"",W2333&lt;&gt;""),1,0)</f>
        <v>3</v>
      </c>
      <c r="W2333" s="29"/>
    </row>
    <row r="2334" customFormat="false" ht="15" hidden="false" customHeight="false" outlineLevel="0" collapsed="false">
      <c r="A2334" s="32" t="str">
        <f aca="false">IF(B2334="","",ROW()-7)</f>
        <v/>
      </c>
      <c r="B2334" s="30"/>
      <c r="C2334" s="29"/>
      <c r="D2334" s="29"/>
      <c r="E2334" s="29"/>
      <c r="F2334" s="30"/>
      <c r="G2334" s="29"/>
      <c r="H2334" s="30"/>
      <c r="I2334" s="29"/>
      <c r="J2334" s="30"/>
      <c r="K2334" s="30"/>
      <c r="L2334" s="29"/>
      <c r="M2334" s="32" t="str">
        <f aca="false">IF(OR(C2334="",L2334=""),"",IF(C2334=L2334,"同一","変更"))</f>
        <v/>
      </c>
      <c r="N2334" s="29"/>
      <c r="O2334" s="30"/>
      <c r="P2334" s="29"/>
      <c r="Q2334" s="31"/>
      <c r="R2334" s="29"/>
      <c r="S2334" s="29"/>
      <c r="T2334" s="30"/>
      <c r="U2334" s="47" t="str">
        <f aca="false">IF(AND(B2334&lt;&gt;"",B2334=SW別シート!$C$3),COUNTIF(B$5:B2334,B2334),"")</f>
        <v/>
      </c>
      <c r="V2334" s="47" t="n">
        <f aca="false">V2333+IF(OR(O2334&lt;&gt;"",W2334&lt;&gt;""),1,0)</f>
        <v>3</v>
      </c>
      <c r="W2334" s="29"/>
    </row>
    <row r="2335" customFormat="false" ht="15" hidden="false" customHeight="false" outlineLevel="0" collapsed="false">
      <c r="A2335" s="32" t="str">
        <f aca="false">IF(B2335="","",ROW()-7)</f>
        <v/>
      </c>
      <c r="B2335" s="30"/>
      <c r="C2335" s="29"/>
      <c r="D2335" s="29"/>
      <c r="E2335" s="29"/>
      <c r="F2335" s="30"/>
      <c r="G2335" s="29"/>
      <c r="H2335" s="30"/>
      <c r="I2335" s="29"/>
      <c r="J2335" s="30"/>
      <c r="K2335" s="30"/>
      <c r="L2335" s="29"/>
      <c r="M2335" s="32" t="str">
        <f aca="false">IF(OR(C2335="",L2335=""),"",IF(C2335=L2335,"同一","変更"))</f>
        <v/>
      </c>
      <c r="N2335" s="29"/>
      <c r="O2335" s="30"/>
      <c r="P2335" s="29"/>
      <c r="Q2335" s="31"/>
      <c r="R2335" s="29"/>
      <c r="S2335" s="29"/>
      <c r="T2335" s="30"/>
      <c r="U2335" s="47" t="str">
        <f aca="false">IF(AND(B2335&lt;&gt;"",B2335=SW別シート!$C$3),COUNTIF(B$5:B2335,B2335),"")</f>
        <v/>
      </c>
      <c r="V2335" s="47" t="n">
        <f aca="false">V2334+IF(OR(O2335&lt;&gt;"",W2335&lt;&gt;""),1,0)</f>
        <v>3</v>
      </c>
      <c r="W2335" s="29"/>
    </row>
    <row r="2336" customFormat="false" ht="15" hidden="false" customHeight="false" outlineLevel="0" collapsed="false">
      <c r="A2336" s="32" t="str">
        <f aca="false">IF(B2336="","",ROW()-7)</f>
        <v/>
      </c>
      <c r="B2336" s="30"/>
      <c r="C2336" s="29"/>
      <c r="D2336" s="29"/>
      <c r="E2336" s="29"/>
      <c r="F2336" s="30"/>
      <c r="G2336" s="29"/>
      <c r="H2336" s="30"/>
      <c r="I2336" s="29"/>
      <c r="J2336" s="30"/>
      <c r="K2336" s="30"/>
      <c r="L2336" s="29"/>
      <c r="M2336" s="32" t="str">
        <f aca="false">IF(OR(C2336="",L2336=""),"",IF(C2336=L2336,"同一","変更"))</f>
        <v/>
      </c>
      <c r="N2336" s="29"/>
      <c r="O2336" s="30"/>
      <c r="P2336" s="29"/>
      <c r="Q2336" s="31"/>
      <c r="R2336" s="29"/>
      <c r="S2336" s="29"/>
      <c r="T2336" s="30"/>
      <c r="U2336" s="47" t="str">
        <f aca="false">IF(AND(B2336&lt;&gt;"",B2336=SW別シート!$C$3),COUNTIF(B$5:B2336,B2336),"")</f>
        <v/>
      </c>
      <c r="V2336" s="47" t="n">
        <f aca="false">V2335+IF(OR(O2336&lt;&gt;"",W2336&lt;&gt;""),1,0)</f>
        <v>3</v>
      </c>
      <c r="W2336" s="29"/>
    </row>
    <row r="2337" customFormat="false" ht="15" hidden="false" customHeight="false" outlineLevel="0" collapsed="false">
      <c r="A2337" s="32" t="str">
        <f aca="false">IF(B2337="","",ROW()-7)</f>
        <v/>
      </c>
      <c r="B2337" s="30"/>
      <c r="C2337" s="29"/>
      <c r="D2337" s="29"/>
      <c r="E2337" s="29"/>
      <c r="F2337" s="30"/>
      <c r="G2337" s="29"/>
      <c r="H2337" s="30"/>
      <c r="I2337" s="29"/>
      <c r="J2337" s="30"/>
      <c r="K2337" s="30"/>
      <c r="L2337" s="29"/>
      <c r="M2337" s="32" t="str">
        <f aca="false">IF(OR(C2337="",L2337=""),"",IF(C2337=L2337,"同一","変更"))</f>
        <v/>
      </c>
      <c r="N2337" s="29"/>
      <c r="O2337" s="30"/>
      <c r="P2337" s="29"/>
      <c r="Q2337" s="31"/>
      <c r="R2337" s="29"/>
      <c r="S2337" s="29"/>
      <c r="T2337" s="30"/>
      <c r="U2337" s="47" t="str">
        <f aca="false">IF(AND(B2337&lt;&gt;"",B2337=SW別シート!$C$3),COUNTIF(B$5:B2337,B2337),"")</f>
        <v/>
      </c>
      <c r="V2337" s="47" t="n">
        <f aca="false">V2336+IF(OR(O2337&lt;&gt;"",W2337&lt;&gt;""),1,0)</f>
        <v>3</v>
      </c>
      <c r="W2337" s="29"/>
    </row>
    <row r="2338" customFormat="false" ht="15" hidden="false" customHeight="false" outlineLevel="0" collapsed="false">
      <c r="A2338" s="32" t="str">
        <f aca="false">IF(B2338="","",ROW()-7)</f>
        <v/>
      </c>
      <c r="B2338" s="30"/>
      <c r="C2338" s="29"/>
      <c r="D2338" s="29"/>
      <c r="E2338" s="29"/>
      <c r="F2338" s="30"/>
      <c r="G2338" s="29"/>
      <c r="H2338" s="30"/>
      <c r="I2338" s="29"/>
      <c r="J2338" s="30"/>
      <c r="K2338" s="30"/>
      <c r="L2338" s="29"/>
      <c r="M2338" s="32" t="str">
        <f aca="false">IF(OR(C2338="",L2338=""),"",IF(C2338=L2338,"同一","変更"))</f>
        <v/>
      </c>
      <c r="N2338" s="29"/>
      <c r="O2338" s="30"/>
      <c r="P2338" s="29"/>
      <c r="Q2338" s="31"/>
      <c r="R2338" s="29"/>
      <c r="S2338" s="29"/>
      <c r="T2338" s="30"/>
      <c r="U2338" s="47" t="str">
        <f aca="false">IF(AND(B2338&lt;&gt;"",B2338=SW別シート!$C$3),COUNTIF(B$5:B2338,B2338),"")</f>
        <v/>
      </c>
      <c r="V2338" s="47" t="n">
        <f aca="false">V2337+IF(OR(O2338&lt;&gt;"",W2338&lt;&gt;""),1,0)</f>
        <v>3</v>
      </c>
      <c r="W2338" s="29"/>
    </row>
    <row r="2339" customFormat="false" ht="15" hidden="false" customHeight="false" outlineLevel="0" collapsed="false">
      <c r="A2339" s="32" t="str">
        <f aca="false">IF(B2339="","",ROW()-7)</f>
        <v/>
      </c>
      <c r="B2339" s="30"/>
      <c r="C2339" s="29"/>
      <c r="D2339" s="29"/>
      <c r="E2339" s="29"/>
      <c r="F2339" s="30"/>
      <c r="G2339" s="29"/>
      <c r="H2339" s="30"/>
      <c r="I2339" s="29"/>
      <c r="J2339" s="30"/>
      <c r="K2339" s="30"/>
      <c r="L2339" s="29"/>
      <c r="M2339" s="32" t="str">
        <f aca="false">IF(OR(C2339="",L2339=""),"",IF(C2339=L2339,"同一","変更"))</f>
        <v/>
      </c>
      <c r="N2339" s="29"/>
      <c r="O2339" s="30"/>
      <c r="P2339" s="29"/>
      <c r="Q2339" s="31"/>
      <c r="R2339" s="29"/>
      <c r="S2339" s="29"/>
      <c r="T2339" s="30"/>
      <c r="U2339" s="47" t="str">
        <f aca="false">IF(AND(B2339&lt;&gt;"",B2339=SW別シート!$C$3),COUNTIF(B$5:B2339,B2339),"")</f>
        <v/>
      </c>
      <c r="V2339" s="47" t="n">
        <f aca="false">V2338+IF(OR(O2339&lt;&gt;"",W2339&lt;&gt;""),1,0)</f>
        <v>3</v>
      </c>
      <c r="W2339" s="29"/>
    </row>
    <row r="2340" customFormat="false" ht="15" hidden="false" customHeight="false" outlineLevel="0" collapsed="false">
      <c r="A2340" s="32" t="str">
        <f aca="false">IF(B2340="","",ROW()-7)</f>
        <v/>
      </c>
      <c r="B2340" s="30"/>
      <c r="C2340" s="29"/>
      <c r="D2340" s="29"/>
      <c r="E2340" s="29"/>
      <c r="F2340" s="30"/>
      <c r="G2340" s="29"/>
      <c r="H2340" s="30"/>
      <c r="I2340" s="29"/>
      <c r="J2340" s="30"/>
      <c r="K2340" s="30"/>
      <c r="L2340" s="29"/>
      <c r="M2340" s="32" t="str">
        <f aca="false">IF(OR(C2340="",L2340=""),"",IF(C2340=L2340,"同一","変更"))</f>
        <v/>
      </c>
      <c r="N2340" s="29"/>
      <c r="O2340" s="30"/>
      <c r="P2340" s="29"/>
      <c r="Q2340" s="31"/>
      <c r="R2340" s="29"/>
      <c r="S2340" s="29"/>
      <c r="T2340" s="30"/>
      <c r="U2340" s="47" t="str">
        <f aca="false">IF(AND(B2340&lt;&gt;"",B2340=SW別シート!$C$3),COUNTIF(B$5:B2340,B2340),"")</f>
        <v/>
      </c>
      <c r="V2340" s="47" t="n">
        <f aca="false">V2339+IF(OR(O2340&lt;&gt;"",W2340&lt;&gt;""),1,0)</f>
        <v>3</v>
      </c>
      <c r="W2340" s="29"/>
    </row>
    <row r="2341" customFormat="false" ht="15" hidden="false" customHeight="false" outlineLevel="0" collapsed="false">
      <c r="A2341" s="32" t="str">
        <f aca="false">IF(B2341="","",ROW()-7)</f>
        <v/>
      </c>
      <c r="B2341" s="30"/>
      <c r="C2341" s="29"/>
      <c r="D2341" s="29"/>
      <c r="E2341" s="29"/>
      <c r="F2341" s="30"/>
      <c r="G2341" s="29"/>
      <c r="H2341" s="30"/>
      <c r="I2341" s="29"/>
      <c r="J2341" s="30"/>
      <c r="K2341" s="30"/>
      <c r="L2341" s="29"/>
      <c r="M2341" s="32" t="str">
        <f aca="false">IF(OR(C2341="",L2341=""),"",IF(C2341=L2341,"同一","変更"))</f>
        <v/>
      </c>
      <c r="N2341" s="29"/>
      <c r="O2341" s="30"/>
      <c r="P2341" s="29"/>
      <c r="Q2341" s="31"/>
      <c r="R2341" s="29"/>
      <c r="S2341" s="29"/>
      <c r="T2341" s="30"/>
      <c r="U2341" s="47" t="str">
        <f aca="false">IF(AND(B2341&lt;&gt;"",B2341=SW別シート!$C$3),COUNTIF(B$5:B2341,B2341),"")</f>
        <v/>
      </c>
      <c r="V2341" s="47" t="n">
        <f aca="false">V2340+IF(OR(O2341&lt;&gt;"",W2341&lt;&gt;""),1,0)</f>
        <v>3</v>
      </c>
      <c r="W2341" s="29"/>
    </row>
    <row r="2342" customFormat="false" ht="15" hidden="false" customHeight="false" outlineLevel="0" collapsed="false">
      <c r="A2342" s="32" t="str">
        <f aca="false">IF(B2342="","",ROW()-7)</f>
        <v/>
      </c>
      <c r="B2342" s="30"/>
      <c r="C2342" s="29"/>
      <c r="D2342" s="29"/>
      <c r="E2342" s="29"/>
      <c r="F2342" s="30"/>
      <c r="G2342" s="29"/>
      <c r="H2342" s="30"/>
      <c r="I2342" s="29"/>
      <c r="J2342" s="30"/>
      <c r="K2342" s="30"/>
      <c r="L2342" s="29"/>
      <c r="M2342" s="32" t="str">
        <f aca="false">IF(OR(C2342="",L2342=""),"",IF(C2342=L2342,"同一","変更"))</f>
        <v/>
      </c>
      <c r="N2342" s="29"/>
      <c r="O2342" s="30"/>
      <c r="P2342" s="29"/>
      <c r="Q2342" s="31"/>
      <c r="R2342" s="29"/>
      <c r="S2342" s="29"/>
      <c r="T2342" s="30"/>
      <c r="U2342" s="47" t="str">
        <f aca="false">IF(AND(B2342&lt;&gt;"",B2342=SW別シート!$C$3),COUNTIF(B$5:B2342,B2342),"")</f>
        <v/>
      </c>
      <c r="V2342" s="47" t="n">
        <f aca="false">V2341+IF(OR(O2342&lt;&gt;"",W2342&lt;&gt;""),1,0)</f>
        <v>3</v>
      </c>
      <c r="W2342" s="29"/>
    </row>
    <row r="2343" customFormat="false" ht="15" hidden="false" customHeight="false" outlineLevel="0" collapsed="false">
      <c r="A2343" s="32" t="str">
        <f aca="false">IF(B2343="","",ROW()-7)</f>
        <v/>
      </c>
      <c r="B2343" s="30"/>
      <c r="C2343" s="29"/>
      <c r="D2343" s="29"/>
      <c r="E2343" s="29"/>
      <c r="F2343" s="30"/>
      <c r="G2343" s="29"/>
      <c r="H2343" s="30"/>
      <c r="I2343" s="29"/>
      <c r="J2343" s="30"/>
      <c r="K2343" s="30"/>
      <c r="L2343" s="29"/>
      <c r="M2343" s="32" t="str">
        <f aca="false">IF(OR(C2343="",L2343=""),"",IF(C2343=L2343,"同一","変更"))</f>
        <v/>
      </c>
      <c r="N2343" s="29"/>
      <c r="O2343" s="30"/>
      <c r="P2343" s="29"/>
      <c r="Q2343" s="31"/>
      <c r="R2343" s="29"/>
      <c r="S2343" s="29"/>
      <c r="T2343" s="30"/>
      <c r="U2343" s="47" t="str">
        <f aca="false">IF(AND(B2343&lt;&gt;"",B2343=SW別シート!$C$3),COUNTIF(B$5:B2343,B2343),"")</f>
        <v/>
      </c>
      <c r="V2343" s="47" t="n">
        <f aca="false">V2342+IF(OR(O2343&lt;&gt;"",W2343&lt;&gt;""),1,0)</f>
        <v>3</v>
      </c>
      <c r="W2343" s="29"/>
    </row>
    <row r="2344" customFormat="false" ht="15" hidden="false" customHeight="false" outlineLevel="0" collapsed="false">
      <c r="A2344" s="32" t="str">
        <f aca="false">IF(B2344="","",ROW()-7)</f>
        <v/>
      </c>
      <c r="B2344" s="30"/>
      <c r="C2344" s="29"/>
      <c r="D2344" s="29"/>
      <c r="E2344" s="29"/>
      <c r="F2344" s="30"/>
      <c r="G2344" s="29"/>
      <c r="H2344" s="30"/>
      <c r="I2344" s="29"/>
      <c r="J2344" s="30"/>
      <c r="K2344" s="30"/>
      <c r="L2344" s="29"/>
      <c r="M2344" s="32" t="str">
        <f aca="false">IF(OR(C2344="",L2344=""),"",IF(C2344=L2344,"同一","変更"))</f>
        <v/>
      </c>
      <c r="N2344" s="29"/>
      <c r="O2344" s="30"/>
      <c r="P2344" s="29"/>
      <c r="Q2344" s="31"/>
      <c r="R2344" s="29"/>
      <c r="S2344" s="29"/>
      <c r="T2344" s="30"/>
      <c r="U2344" s="47" t="str">
        <f aca="false">IF(AND(B2344&lt;&gt;"",B2344=SW別シート!$C$3),COUNTIF(B$5:B2344,B2344),"")</f>
        <v/>
      </c>
      <c r="V2344" s="47" t="n">
        <f aca="false">V2343+IF(OR(O2344&lt;&gt;"",W2344&lt;&gt;""),1,0)</f>
        <v>3</v>
      </c>
      <c r="W2344" s="29"/>
    </row>
    <row r="2345" customFormat="false" ht="15" hidden="false" customHeight="false" outlineLevel="0" collapsed="false">
      <c r="A2345" s="32" t="str">
        <f aca="false">IF(B2345="","",ROW()-7)</f>
        <v/>
      </c>
      <c r="B2345" s="30"/>
      <c r="C2345" s="29"/>
      <c r="D2345" s="29"/>
      <c r="E2345" s="29"/>
      <c r="F2345" s="30"/>
      <c r="G2345" s="29"/>
      <c r="H2345" s="30"/>
      <c r="I2345" s="29"/>
      <c r="J2345" s="30"/>
      <c r="K2345" s="30"/>
      <c r="L2345" s="29"/>
      <c r="M2345" s="32" t="str">
        <f aca="false">IF(OR(C2345="",L2345=""),"",IF(C2345=L2345,"同一","変更"))</f>
        <v/>
      </c>
      <c r="N2345" s="29"/>
      <c r="O2345" s="30"/>
      <c r="P2345" s="29"/>
      <c r="Q2345" s="31"/>
      <c r="R2345" s="29"/>
      <c r="S2345" s="29"/>
      <c r="T2345" s="30"/>
      <c r="U2345" s="47" t="str">
        <f aca="false">IF(AND(B2345&lt;&gt;"",B2345=SW別シート!$C$3),COUNTIF(B$5:B2345,B2345),"")</f>
        <v/>
      </c>
      <c r="V2345" s="47" t="n">
        <f aca="false">V2344+IF(OR(O2345&lt;&gt;"",W2345&lt;&gt;""),1,0)</f>
        <v>3</v>
      </c>
      <c r="W2345" s="29"/>
    </row>
    <row r="2346" customFormat="false" ht="15" hidden="false" customHeight="false" outlineLevel="0" collapsed="false">
      <c r="A2346" s="32" t="str">
        <f aca="false">IF(B2346="","",ROW()-7)</f>
        <v/>
      </c>
      <c r="B2346" s="30"/>
      <c r="C2346" s="29"/>
      <c r="D2346" s="29"/>
      <c r="E2346" s="29"/>
      <c r="F2346" s="30"/>
      <c r="G2346" s="29"/>
      <c r="H2346" s="30"/>
      <c r="I2346" s="29"/>
      <c r="J2346" s="30"/>
      <c r="K2346" s="30"/>
      <c r="L2346" s="29"/>
      <c r="M2346" s="32" t="str">
        <f aca="false">IF(OR(C2346="",L2346=""),"",IF(C2346=L2346,"同一","変更"))</f>
        <v/>
      </c>
      <c r="N2346" s="29"/>
      <c r="O2346" s="30"/>
      <c r="P2346" s="29"/>
      <c r="Q2346" s="31"/>
      <c r="R2346" s="29"/>
      <c r="S2346" s="29"/>
      <c r="T2346" s="30"/>
      <c r="U2346" s="47" t="str">
        <f aca="false">IF(AND(B2346&lt;&gt;"",B2346=SW別シート!$C$3),COUNTIF(B$5:B2346,B2346),"")</f>
        <v/>
      </c>
      <c r="V2346" s="47" t="n">
        <f aca="false">V2345+IF(OR(O2346&lt;&gt;"",W2346&lt;&gt;""),1,0)</f>
        <v>3</v>
      </c>
      <c r="W2346" s="29"/>
    </row>
    <row r="2347" customFormat="false" ht="15" hidden="false" customHeight="false" outlineLevel="0" collapsed="false">
      <c r="A2347" s="32" t="str">
        <f aca="false">IF(B2347="","",ROW()-7)</f>
        <v/>
      </c>
      <c r="B2347" s="30"/>
      <c r="C2347" s="29"/>
      <c r="D2347" s="29"/>
      <c r="E2347" s="29"/>
      <c r="F2347" s="30"/>
      <c r="G2347" s="29"/>
      <c r="H2347" s="30"/>
      <c r="I2347" s="29"/>
      <c r="J2347" s="30"/>
      <c r="K2347" s="30"/>
      <c r="L2347" s="29"/>
      <c r="M2347" s="32" t="str">
        <f aca="false">IF(OR(C2347="",L2347=""),"",IF(C2347=L2347,"同一","変更"))</f>
        <v/>
      </c>
      <c r="N2347" s="29"/>
      <c r="O2347" s="30"/>
      <c r="P2347" s="29"/>
      <c r="Q2347" s="31"/>
      <c r="R2347" s="29"/>
      <c r="S2347" s="29"/>
      <c r="T2347" s="30"/>
      <c r="U2347" s="47" t="str">
        <f aca="false">IF(AND(B2347&lt;&gt;"",B2347=SW別シート!$C$3),COUNTIF(B$5:B2347,B2347),"")</f>
        <v/>
      </c>
      <c r="V2347" s="47" t="n">
        <f aca="false">V2346+IF(OR(O2347&lt;&gt;"",W2347&lt;&gt;""),1,0)</f>
        <v>3</v>
      </c>
      <c r="W2347" s="29"/>
    </row>
    <row r="2348" customFormat="false" ht="15" hidden="false" customHeight="false" outlineLevel="0" collapsed="false">
      <c r="A2348" s="32" t="str">
        <f aca="false">IF(B2348="","",ROW()-7)</f>
        <v/>
      </c>
      <c r="B2348" s="30"/>
      <c r="C2348" s="29"/>
      <c r="D2348" s="29"/>
      <c r="E2348" s="29"/>
      <c r="F2348" s="30"/>
      <c r="G2348" s="29"/>
      <c r="H2348" s="30"/>
      <c r="I2348" s="29"/>
      <c r="J2348" s="30"/>
      <c r="K2348" s="30"/>
      <c r="L2348" s="29"/>
      <c r="M2348" s="32" t="str">
        <f aca="false">IF(OR(C2348="",L2348=""),"",IF(C2348=L2348,"同一","変更"))</f>
        <v/>
      </c>
      <c r="N2348" s="29"/>
      <c r="O2348" s="30"/>
      <c r="P2348" s="29"/>
      <c r="Q2348" s="31"/>
      <c r="R2348" s="29"/>
      <c r="S2348" s="29"/>
      <c r="T2348" s="30"/>
      <c r="U2348" s="47" t="str">
        <f aca="false">IF(AND(B2348&lt;&gt;"",B2348=SW別シート!$C$3),COUNTIF(B$5:B2348,B2348),"")</f>
        <v/>
      </c>
      <c r="V2348" s="47" t="n">
        <f aca="false">V2347+IF(OR(O2348&lt;&gt;"",W2348&lt;&gt;""),1,0)</f>
        <v>3</v>
      </c>
      <c r="W2348" s="29"/>
    </row>
    <row r="2349" customFormat="false" ht="15" hidden="false" customHeight="false" outlineLevel="0" collapsed="false">
      <c r="A2349" s="32" t="str">
        <f aca="false">IF(B2349="","",ROW()-7)</f>
        <v/>
      </c>
      <c r="B2349" s="30"/>
      <c r="C2349" s="29"/>
      <c r="D2349" s="29"/>
      <c r="E2349" s="29"/>
      <c r="F2349" s="30"/>
      <c r="G2349" s="29"/>
      <c r="H2349" s="30"/>
      <c r="I2349" s="29"/>
      <c r="J2349" s="30"/>
      <c r="K2349" s="30"/>
      <c r="L2349" s="29"/>
      <c r="M2349" s="32" t="str">
        <f aca="false">IF(OR(C2349="",L2349=""),"",IF(C2349=L2349,"同一","変更"))</f>
        <v/>
      </c>
      <c r="N2349" s="29"/>
      <c r="O2349" s="30"/>
      <c r="P2349" s="29"/>
      <c r="Q2349" s="31"/>
      <c r="R2349" s="29"/>
      <c r="S2349" s="29"/>
      <c r="T2349" s="30"/>
      <c r="U2349" s="47" t="str">
        <f aca="false">IF(AND(B2349&lt;&gt;"",B2349=SW別シート!$C$3),COUNTIF(B$5:B2349,B2349),"")</f>
        <v/>
      </c>
      <c r="V2349" s="47" t="n">
        <f aca="false">V2348+IF(OR(O2349&lt;&gt;"",W2349&lt;&gt;""),1,0)</f>
        <v>3</v>
      </c>
      <c r="W2349" s="29"/>
    </row>
    <row r="2350" customFormat="false" ht="15" hidden="false" customHeight="false" outlineLevel="0" collapsed="false">
      <c r="A2350" s="32" t="str">
        <f aca="false">IF(B2350="","",ROW()-7)</f>
        <v/>
      </c>
      <c r="B2350" s="30"/>
      <c r="C2350" s="29"/>
      <c r="D2350" s="29"/>
      <c r="E2350" s="29"/>
      <c r="F2350" s="30"/>
      <c r="G2350" s="29"/>
      <c r="H2350" s="30"/>
      <c r="I2350" s="29"/>
      <c r="J2350" s="30"/>
      <c r="K2350" s="30"/>
      <c r="L2350" s="29"/>
      <c r="M2350" s="32" t="str">
        <f aca="false">IF(OR(C2350="",L2350=""),"",IF(C2350=L2350,"同一","変更"))</f>
        <v/>
      </c>
      <c r="N2350" s="29"/>
      <c r="O2350" s="30"/>
      <c r="P2350" s="29"/>
      <c r="Q2350" s="31"/>
      <c r="R2350" s="29"/>
      <c r="S2350" s="29"/>
      <c r="T2350" s="30"/>
      <c r="U2350" s="47" t="str">
        <f aca="false">IF(AND(B2350&lt;&gt;"",B2350=SW別シート!$C$3),COUNTIF(B$5:B2350,B2350),"")</f>
        <v/>
      </c>
      <c r="V2350" s="47" t="n">
        <f aca="false">V2349+IF(OR(O2350&lt;&gt;"",W2350&lt;&gt;""),1,0)</f>
        <v>3</v>
      </c>
      <c r="W2350" s="29"/>
    </row>
    <row r="2351" customFormat="false" ht="15" hidden="false" customHeight="false" outlineLevel="0" collapsed="false">
      <c r="A2351" s="32" t="str">
        <f aca="false">IF(B2351="","",ROW()-7)</f>
        <v/>
      </c>
      <c r="B2351" s="30"/>
      <c r="C2351" s="29"/>
      <c r="D2351" s="29"/>
      <c r="E2351" s="29"/>
      <c r="F2351" s="30"/>
      <c r="G2351" s="29"/>
      <c r="H2351" s="30"/>
      <c r="I2351" s="29"/>
      <c r="J2351" s="30"/>
      <c r="K2351" s="30"/>
      <c r="L2351" s="29"/>
      <c r="M2351" s="32" t="str">
        <f aca="false">IF(OR(C2351="",L2351=""),"",IF(C2351=L2351,"同一","変更"))</f>
        <v/>
      </c>
      <c r="N2351" s="29"/>
      <c r="O2351" s="30"/>
      <c r="P2351" s="29"/>
      <c r="Q2351" s="31"/>
      <c r="R2351" s="29"/>
      <c r="S2351" s="29"/>
      <c r="T2351" s="30"/>
      <c r="U2351" s="47" t="str">
        <f aca="false">IF(AND(B2351&lt;&gt;"",B2351=SW別シート!$C$3),COUNTIF(B$5:B2351,B2351),"")</f>
        <v/>
      </c>
      <c r="V2351" s="47" t="n">
        <f aca="false">V2350+IF(OR(O2351&lt;&gt;"",W2351&lt;&gt;""),1,0)</f>
        <v>3</v>
      </c>
      <c r="W2351" s="29"/>
    </row>
    <row r="2352" customFormat="false" ht="15" hidden="false" customHeight="false" outlineLevel="0" collapsed="false">
      <c r="A2352" s="32" t="str">
        <f aca="false">IF(B2352="","",ROW()-7)</f>
        <v/>
      </c>
      <c r="B2352" s="30"/>
      <c r="C2352" s="29"/>
      <c r="D2352" s="29"/>
      <c r="E2352" s="29"/>
      <c r="F2352" s="30"/>
      <c r="G2352" s="29"/>
      <c r="H2352" s="30"/>
      <c r="I2352" s="29"/>
      <c r="J2352" s="30"/>
      <c r="K2352" s="30"/>
      <c r="L2352" s="29"/>
      <c r="M2352" s="32" t="str">
        <f aca="false">IF(OR(C2352="",L2352=""),"",IF(C2352=L2352,"同一","変更"))</f>
        <v/>
      </c>
      <c r="N2352" s="29"/>
      <c r="O2352" s="30"/>
      <c r="P2352" s="29"/>
      <c r="Q2352" s="31"/>
      <c r="R2352" s="29"/>
      <c r="S2352" s="29"/>
      <c r="T2352" s="30"/>
      <c r="U2352" s="47" t="str">
        <f aca="false">IF(AND(B2352&lt;&gt;"",B2352=SW別シート!$C$3),COUNTIF(B$5:B2352,B2352),"")</f>
        <v/>
      </c>
      <c r="V2352" s="47" t="n">
        <f aca="false">V2351+IF(OR(O2352&lt;&gt;"",W2352&lt;&gt;""),1,0)</f>
        <v>3</v>
      </c>
      <c r="W2352" s="29"/>
    </row>
    <row r="2353" customFormat="false" ht="15" hidden="false" customHeight="false" outlineLevel="0" collapsed="false">
      <c r="A2353" s="32" t="str">
        <f aca="false">IF(B2353="","",ROW()-7)</f>
        <v/>
      </c>
      <c r="B2353" s="30"/>
      <c r="C2353" s="29"/>
      <c r="D2353" s="29"/>
      <c r="E2353" s="29"/>
      <c r="F2353" s="30"/>
      <c r="G2353" s="29"/>
      <c r="H2353" s="30"/>
      <c r="I2353" s="29"/>
      <c r="J2353" s="30"/>
      <c r="K2353" s="30"/>
      <c r="L2353" s="29"/>
      <c r="M2353" s="32" t="str">
        <f aca="false">IF(OR(C2353="",L2353=""),"",IF(C2353=L2353,"同一","変更"))</f>
        <v/>
      </c>
      <c r="N2353" s="29"/>
      <c r="O2353" s="30"/>
      <c r="P2353" s="29"/>
      <c r="Q2353" s="31"/>
      <c r="R2353" s="29"/>
      <c r="S2353" s="29"/>
      <c r="T2353" s="30"/>
      <c r="U2353" s="47" t="str">
        <f aca="false">IF(AND(B2353&lt;&gt;"",B2353=SW別シート!$C$3),COUNTIF(B$5:B2353,B2353),"")</f>
        <v/>
      </c>
      <c r="V2353" s="47" t="n">
        <f aca="false">V2352+IF(OR(O2353&lt;&gt;"",W2353&lt;&gt;""),1,0)</f>
        <v>3</v>
      </c>
      <c r="W2353" s="29"/>
    </row>
    <row r="2354" customFormat="false" ht="15" hidden="false" customHeight="false" outlineLevel="0" collapsed="false">
      <c r="A2354" s="32" t="str">
        <f aca="false">IF(B2354="","",ROW()-7)</f>
        <v/>
      </c>
      <c r="B2354" s="30"/>
      <c r="C2354" s="29"/>
      <c r="D2354" s="29"/>
      <c r="E2354" s="29"/>
      <c r="F2354" s="30"/>
      <c r="G2354" s="29"/>
      <c r="H2354" s="30"/>
      <c r="I2354" s="29"/>
      <c r="J2354" s="30"/>
      <c r="K2354" s="30"/>
      <c r="L2354" s="29"/>
      <c r="M2354" s="32" t="str">
        <f aca="false">IF(OR(C2354="",L2354=""),"",IF(C2354=L2354,"同一","変更"))</f>
        <v/>
      </c>
      <c r="N2354" s="29"/>
      <c r="O2354" s="30"/>
      <c r="P2354" s="29"/>
      <c r="Q2354" s="31"/>
      <c r="R2354" s="29"/>
      <c r="S2354" s="29"/>
      <c r="T2354" s="30"/>
      <c r="U2354" s="47" t="str">
        <f aca="false">IF(AND(B2354&lt;&gt;"",B2354=SW別シート!$C$3),COUNTIF(B$5:B2354,B2354),"")</f>
        <v/>
      </c>
      <c r="V2354" s="47" t="n">
        <f aca="false">V2353+IF(OR(O2354&lt;&gt;"",W2354&lt;&gt;""),1,0)</f>
        <v>3</v>
      </c>
      <c r="W2354" s="29"/>
    </row>
    <row r="2355" customFormat="false" ht="15" hidden="false" customHeight="false" outlineLevel="0" collapsed="false">
      <c r="A2355" s="32" t="str">
        <f aca="false">IF(B2355="","",ROW()-7)</f>
        <v/>
      </c>
      <c r="B2355" s="30"/>
      <c r="C2355" s="29"/>
      <c r="D2355" s="29"/>
      <c r="E2355" s="29"/>
      <c r="F2355" s="30"/>
      <c r="G2355" s="29"/>
      <c r="H2355" s="30"/>
      <c r="I2355" s="29"/>
      <c r="J2355" s="30"/>
      <c r="K2355" s="30"/>
      <c r="L2355" s="29"/>
      <c r="M2355" s="32" t="str">
        <f aca="false">IF(OR(C2355="",L2355=""),"",IF(C2355=L2355,"同一","変更"))</f>
        <v/>
      </c>
      <c r="N2355" s="29"/>
      <c r="O2355" s="30"/>
      <c r="P2355" s="29"/>
      <c r="Q2355" s="31"/>
      <c r="R2355" s="29"/>
      <c r="S2355" s="29"/>
      <c r="T2355" s="30"/>
      <c r="U2355" s="47" t="str">
        <f aca="false">IF(AND(B2355&lt;&gt;"",B2355=SW別シート!$C$3),COUNTIF(B$5:B2355,B2355),"")</f>
        <v/>
      </c>
      <c r="V2355" s="47" t="n">
        <f aca="false">V2354+IF(OR(O2355&lt;&gt;"",W2355&lt;&gt;""),1,0)</f>
        <v>3</v>
      </c>
      <c r="W2355" s="29"/>
    </row>
    <row r="2356" customFormat="false" ht="15" hidden="false" customHeight="false" outlineLevel="0" collapsed="false">
      <c r="A2356" s="32" t="str">
        <f aca="false">IF(B2356="","",ROW()-7)</f>
        <v/>
      </c>
      <c r="B2356" s="30"/>
      <c r="C2356" s="29"/>
      <c r="D2356" s="29"/>
      <c r="E2356" s="29"/>
      <c r="F2356" s="30"/>
      <c r="G2356" s="29"/>
      <c r="H2356" s="30"/>
      <c r="I2356" s="29"/>
      <c r="J2356" s="30"/>
      <c r="K2356" s="30"/>
      <c r="L2356" s="29"/>
      <c r="M2356" s="32" t="str">
        <f aca="false">IF(OR(C2356="",L2356=""),"",IF(C2356=L2356,"同一","変更"))</f>
        <v/>
      </c>
      <c r="N2356" s="29"/>
      <c r="O2356" s="30"/>
      <c r="P2356" s="29"/>
      <c r="Q2356" s="31"/>
      <c r="R2356" s="29"/>
      <c r="S2356" s="29"/>
      <c r="T2356" s="30"/>
      <c r="U2356" s="47" t="str">
        <f aca="false">IF(AND(B2356&lt;&gt;"",B2356=SW別シート!$C$3),COUNTIF(B$5:B2356,B2356),"")</f>
        <v/>
      </c>
      <c r="V2356" s="47" t="n">
        <f aca="false">V2355+IF(OR(O2356&lt;&gt;"",W2356&lt;&gt;""),1,0)</f>
        <v>3</v>
      </c>
      <c r="W2356" s="29"/>
    </row>
    <row r="2357" customFormat="false" ht="15" hidden="false" customHeight="false" outlineLevel="0" collapsed="false">
      <c r="A2357" s="32" t="str">
        <f aca="false">IF(B2357="","",ROW()-7)</f>
        <v/>
      </c>
      <c r="B2357" s="30"/>
      <c r="C2357" s="29"/>
      <c r="D2357" s="29"/>
      <c r="E2357" s="29"/>
      <c r="F2357" s="30"/>
      <c r="G2357" s="29"/>
      <c r="H2357" s="30"/>
      <c r="I2357" s="29"/>
      <c r="J2357" s="30"/>
      <c r="K2357" s="30"/>
      <c r="L2357" s="29"/>
      <c r="M2357" s="32" t="str">
        <f aca="false">IF(OR(C2357="",L2357=""),"",IF(C2357=L2357,"同一","変更"))</f>
        <v/>
      </c>
      <c r="N2357" s="29"/>
      <c r="O2357" s="30"/>
      <c r="P2357" s="29"/>
      <c r="Q2357" s="31"/>
      <c r="R2357" s="29"/>
      <c r="S2357" s="29"/>
      <c r="T2357" s="30"/>
      <c r="U2357" s="47" t="str">
        <f aca="false">IF(AND(B2357&lt;&gt;"",B2357=SW別シート!$C$3),COUNTIF(B$5:B2357,B2357),"")</f>
        <v/>
      </c>
      <c r="V2357" s="47" t="n">
        <f aca="false">V2356+IF(OR(O2357&lt;&gt;"",W2357&lt;&gt;""),1,0)</f>
        <v>3</v>
      </c>
      <c r="W2357" s="29"/>
    </row>
    <row r="2358" customFormat="false" ht="15" hidden="false" customHeight="false" outlineLevel="0" collapsed="false">
      <c r="A2358" s="32" t="str">
        <f aca="false">IF(B2358="","",ROW()-7)</f>
        <v/>
      </c>
      <c r="B2358" s="30"/>
      <c r="C2358" s="29"/>
      <c r="D2358" s="29"/>
      <c r="E2358" s="29"/>
      <c r="F2358" s="30"/>
      <c r="G2358" s="29"/>
      <c r="H2358" s="30"/>
      <c r="I2358" s="29"/>
      <c r="J2358" s="30"/>
      <c r="K2358" s="30"/>
      <c r="L2358" s="29"/>
      <c r="M2358" s="32" t="str">
        <f aca="false">IF(OR(C2358="",L2358=""),"",IF(C2358=L2358,"同一","変更"))</f>
        <v/>
      </c>
      <c r="N2358" s="29"/>
      <c r="O2358" s="30"/>
      <c r="P2358" s="29"/>
      <c r="Q2358" s="31"/>
      <c r="R2358" s="29"/>
      <c r="S2358" s="29"/>
      <c r="T2358" s="30"/>
      <c r="U2358" s="47" t="str">
        <f aca="false">IF(AND(B2358&lt;&gt;"",B2358=SW別シート!$C$3),COUNTIF(B$5:B2358,B2358),"")</f>
        <v/>
      </c>
      <c r="V2358" s="47" t="n">
        <f aca="false">V2357+IF(OR(O2358&lt;&gt;"",W2358&lt;&gt;""),1,0)</f>
        <v>3</v>
      </c>
      <c r="W2358" s="29"/>
    </row>
    <row r="2359" customFormat="false" ht="15" hidden="false" customHeight="false" outlineLevel="0" collapsed="false">
      <c r="A2359" s="32" t="str">
        <f aca="false">IF(B2359="","",ROW()-7)</f>
        <v/>
      </c>
      <c r="B2359" s="30"/>
      <c r="C2359" s="29"/>
      <c r="D2359" s="29"/>
      <c r="E2359" s="29"/>
      <c r="F2359" s="30"/>
      <c r="G2359" s="29"/>
      <c r="H2359" s="30"/>
      <c r="I2359" s="29"/>
      <c r="J2359" s="30"/>
      <c r="K2359" s="30"/>
      <c r="L2359" s="29"/>
      <c r="M2359" s="32" t="str">
        <f aca="false">IF(OR(C2359="",L2359=""),"",IF(C2359=L2359,"同一","変更"))</f>
        <v/>
      </c>
      <c r="N2359" s="29"/>
      <c r="O2359" s="30"/>
      <c r="P2359" s="29"/>
      <c r="Q2359" s="31"/>
      <c r="R2359" s="29"/>
      <c r="S2359" s="29"/>
      <c r="T2359" s="30"/>
      <c r="U2359" s="47" t="str">
        <f aca="false">IF(AND(B2359&lt;&gt;"",B2359=SW別シート!$C$3),COUNTIF(B$5:B2359,B2359),"")</f>
        <v/>
      </c>
      <c r="V2359" s="47" t="n">
        <f aca="false">V2358+IF(OR(O2359&lt;&gt;"",W2359&lt;&gt;""),1,0)</f>
        <v>3</v>
      </c>
      <c r="W2359" s="29"/>
    </row>
    <row r="2360" customFormat="false" ht="15" hidden="false" customHeight="false" outlineLevel="0" collapsed="false">
      <c r="A2360" s="32" t="str">
        <f aca="false">IF(B2360="","",ROW()-7)</f>
        <v/>
      </c>
      <c r="B2360" s="30"/>
      <c r="C2360" s="29"/>
      <c r="D2360" s="29"/>
      <c r="E2360" s="29"/>
      <c r="F2360" s="30"/>
      <c r="G2360" s="29"/>
      <c r="H2360" s="30"/>
      <c r="I2360" s="29"/>
      <c r="J2360" s="30"/>
      <c r="K2360" s="30"/>
      <c r="L2360" s="29"/>
      <c r="M2360" s="32" t="str">
        <f aca="false">IF(OR(C2360="",L2360=""),"",IF(C2360=L2360,"同一","変更"))</f>
        <v/>
      </c>
      <c r="N2360" s="29"/>
      <c r="O2360" s="30"/>
      <c r="P2360" s="29"/>
      <c r="Q2360" s="31"/>
      <c r="R2360" s="29"/>
      <c r="S2360" s="29"/>
      <c r="T2360" s="30"/>
      <c r="U2360" s="47" t="str">
        <f aca="false">IF(AND(B2360&lt;&gt;"",B2360=SW別シート!$C$3),COUNTIF(B$5:B2360,B2360),"")</f>
        <v/>
      </c>
      <c r="V2360" s="47" t="n">
        <f aca="false">V2359+IF(OR(O2360&lt;&gt;"",W2360&lt;&gt;""),1,0)</f>
        <v>3</v>
      </c>
      <c r="W2360" s="29"/>
    </row>
    <row r="2361" customFormat="false" ht="15" hidden="false" customHeight="false" outlineLevel="0" collapsed="false">
      <c r="A2361" s="32" t="str">
        <f aca="false">IF(B2361="","",ROW()-7)</f>
        <v/>
      </c>
      <c r="B2361" s="30"/>
      <c r="C2361" s="29"/>
      <c r="D2361" s="29"/>
      <c r="E2361" s="29"/>
      <c r="F2361" s="30"/>
      <c r="G2361" s="29"/>
      <c r="H2361" s="30"/>
      <c r="I2361" s="29"/>
      <c r="J2361" s="30"/>
      <c r="K2361" s="30"/>
      <c r="L2361" s="29"/>
      <c r="M2361" s="32" t="str">
        <f aca="false">IF(OR(C2361="",L2361=""),"",IF(C2361=L2361,"同一","変更"))</f>
        <v/>
      </c>
      <c r="N2361" s="29"/>
      <c r="O2361" s="30"/>
      <c r="P2361" s="29"/>
      <c r="Q2361" s="31"/>
      <c r="R2361" s="29"/>
      <c r="S2361" s="29"/>
      <c r="T2361" s="30"/>
      <c r="U2361" s="47" t="str">
        <f aca="false">IF(AND(B2361&lt;&gt;"",B2361=SW別シート!$C$3),COUNTIF(B$5:B2361,B2361),"")</f>
        <v/>
      </c>
      <c r="V2361" s="47" t="n">
        <f aca="false">V2360+IF(OR(O2361&lt;&gt;"",W2361&lt;&gt;""),1,0)</f>
        <v>3</v>
      </c>
      <c r="W2361" s="29"/>
    </row>
    <row r="2362" customFormat="false" ht="15" hidden="false" customHeight="false" outlineLevel="0" collapsed="false">
      <c r="A2362" s="32" t="str">
        <f aca="false">IF(B2362="","",ROW()-7)</f>
        <v/>
      </c>
      <c r="B2362" s="30"/>
      <c r="C2362" s="29"/>
      <c r="D2362" s="29"/>
      <c r="E2362" s="29"/>
      <c r="F2362" s="30"/>
      <c r="G2362" s="29"/>
      <c r="H2362" s="30"/>
      <c r="I2362" s="29"/>
      <c r="J2362" s="30"/>
      <c r="K2362" s="30"/>
      <c r="L2362" s="29"/>
      <c r="M2362" s="32" t="str">
        <f aca="false">IF(OR(C2362="",L2362=""),"",IF(C2362=L2362,"同一","変更"))</f>
        <v/>
      </c>
      <c r="N2362" s="29"/>
      <c r="O2362" s="30"/>
      <c r="P2362" s="29"/>
      <c r="Q2362" s="31"/>
      <c r="R2362" s="29"/>
      <c r="S2362" s="29"/>
      <c r="T2362" s="30"/>
      <c r="U2362" s="47" t="str">
        <f aca="false">IF(AND(B2362&lt;&gt;"",B2362=SW別シート!$C$3),COUNTIF(B$5:B2362,B2362),"")</f>
        <v/>
      </c>
      <c r="V2362" s="47" t="n">
        <f aca="false">V2361+IF(OR(O2362&lt;&gt;"",W2362&lt;&gt;""),1,0)</f>
        <v>3</v>
      </c>
      <c r="W2362" s="29"/>
    </row>
    <row r="2363" customFormat="false" ht="15" hidden="false" customHeight="false" outlineLevel="0" collapsed="false">
      <c r="A2363" s="32" t="str">
        <f aca="false">IF(B2363="","",ROW()-7)</f>
        <v/>
      </c>
      <c r="B2363" s="30"/>
      <c r="C2363" s="29"/>
      <c r="D2363" s="29"/>
      <c r="E2363" s="29"/>
      <c r="F2363" s="30"/>
      <c r="G2363" s="29"/>
      <c r="H2363" s="30"/>
      <c r="I2363" s="29"/>
      <c r="J2363" s="30"/>
      <c r="K2363" s="30"/>
      <c r="L2363" s="29"/>
      <c r="M2363" s="32" t="str">
        <f aca="false">IF(OR(C2363="",L2363=""),"",IF(C2363=L2363,"同一","変更"))</f>
        <v/>
      </c>
      <c r="N2363" s="29"/>
      <c r="O2363" s="30"/>
      <c r="P2363" s="29"/>
      <c r="Q2363" s="31"/>
      <c r="R2363" s="29"/>
      <c r="S2363" s="29"/>
      <c r="T2363" s="30"/>
      <c r="U2363" s="47" t="str">
        <f aca="false">IF(AND(B2363&lt;&gt;"",B2363=SW別シート!$C$3),COUNTIF(B$5:B2363,B2363),"")</f>
        <v/>
      </c>
      <c r="V2363" s="47" t="n">
        <f aca="false">V2362+IF(OR(O2363&lt;&gt;"",W2363&lt;&gt;""),1,0)</f>
        <v>3</v>
      </c>
      <c r="W2363" s="29"/>
    </row>
    <row r="2364" customFormat="false" ht="15" hidden="false" customHeight="false" outlineLevel="0" collapsed="false">
      <c r="A2364" s="32" t="str">
        <f aca="false">IF(B2364="","",ROW()-7)</f>
        <v/>
      </c>
      <c r="B2364" s="30"/>
      <c r="C2364" s="29"/>
      <c r="D2364" s="29"/>
      <c r="E2364" s="29"/>
      <c r="F2364" s="30"/>
      <c r="G2364" s="29"/>
      <c r="H2364" s="30"/>
      <c r="I2364" s="29"/>
      <c r="J2364" s="30"/>
      <c r="K2364" s="30"/>
      <c r="L2364" s="29"/>
      <c r="M2364" s="32" t="str">
        <f aca="false">IF(OR(C2364="",L2364=""),"",IF(C2364=L2364,"同一","変更"))</f>
        <v/>
      </c>
      <c r="N2364" s="29"/>
      <c r="O2364" s="30"/>
      <c r="P2364" s="29"/>
      <c r="Q2364" s="31"/>
      <c r="R2364" s="29"/>
      <c r="S2364" s="29"/>
      <c r="T2364" s="30"/>
      <c r="U2364" s="47" t="str">
        <f aca="false">IF(AND(B2364&lt;&gt;"",B2364=SW別シート!$C$3),COUNTIF(B$5:B2364,B2364),"")</f>
        <v/>
      </c>
      <c r="V2364" s="47" t="n">
        <f aca="false">V2363+IF(OR(O2364&lt;&gt;"",W2364&lt;&gt;""),1,0)</f>
        <v>3</v>
      </c>
      <c r="W2364" s="29"/>
    </row>
    <row r="2365" customFormat="false" ht="15" hidden="false" customHeight="false" outlineLevel="0" collapsed="false">
      <c r="A2365" s="32" t="str">
        <f aca="false">IF(B2365="","",ROW()-7)</f>
        <v/>
      </c>
      <c r="B2365" s="30"/>
      <c r="C2365" s="29"/>
      <c r="D2365" s="29"/>
      <c r="E2365" s="29"/>
      <c r="F2365" s="30"/>
      <c r="G2365" s="29"/>
      <c r="H2365" s="30"/>
      <c r="I2365" s="29"/>
      <c r="J2365" s="30"/>
      <c r="K2365" s="30"/>
      <c r="L2365" s="29"/>
      <c r="M2365" s="32" t="str">
        <f aca="false">IF(OR(C2365="",L2365=""),"",IF(C2365=L2365,"同一","変更"))</f>
        <v/>
      </c>
      <c r="N2365" s="29"/>
      <c r="O2365" s="30"/>
      <c r="P2365" s="29"/>
      <c r="Q2365" s="31"/>
      <c r="R2365" s="29"/>
      <c r="S2365" s="29"/>
      <c r="T2365" s="30"/>
      <c r="U2365" s="47" t="str">
        <f aca="false">IF(AND(B2365&lt;&gt;"",B2365=SW別シート!$C$3),COUNTIF(B$5:B2365,B2365),"")</f>
        <v/>
      </c>
      <c r="V2365" s="47" t="n">
        <f aca="false">V2364+IF(OR(O2365&lt;&gt;"",W2365&lt;&gt;""),1,0)</f>
        <v>3</v>
      </c>
      <c r="W2365" s="29"/>
    </row>
    <row r="2366" customFormat="false" ht="15" hidden="false" customHeight="false" outlineLevel="0" collapsed="false">
      <c r="A2366" s="32" t="str">
        <f aca="false">IF(B2366="","",ROW()-7)</f>
        <v/>
      </c>
      <c r="B2366" s="30"/>
      <c r="C2366" s="29"/>
      <c r="D2366" s="29"/>
      <c r="E2366" s="29"/>
      <c r="F2366" s="30"/>
      <c r="G2366" s="29"/>
      <c r="H2366" s="30"/>
      <c r="I2366" s="29"/>
      <c r="J2366" s="30"/>
      <c r="K2366" s="30"/>
      <c r="L2366" s="29"/>
      <c r="M2366" s="32" t="str">
        <f aca="false">IF(OR(C2366="",L2366=""),"",IF(C2366=L2366,"同一","変更"))</f>
        <v/>
      </c>
      <c r="N2366" s="29"/>
      <c r="O2366" s="30"/>
      <c r="P2366" s="29"/>
      <c r="Q2366" s="31"/>
      <c r="R2366" s="29"/>
      <c r="S2366" s="29"/>
      <c r="T2366" s="30"/>
      <c r="U2366" s="47" t="str">
        <f aca="false">IF(AND(B2366&lt;&gt;"",B2366=SW別シート!$C$3),COUNTIF(B$5:B2366,B2366),"")</f>
        <v/>
      </c>
      <c r="V2366" s="47" t="n">
        <f aca="false">V2365+IF(OR(O2366&lt;&gt;"",W2366&lt;&gt;""),1,0)</f>
        <v>3</v>
      </c>
      <c r="W2366" s="29"/>
    </row>
    <row r="2367" customFormat="false" ht="15" hidden="false" customHeight="false" outlineLevel="0" collapsed="false">
      <c r="A2367" s="32" t="str">
        <f aca="false">IF(B2367="","",ROW()-7)</f>
        <v/>
      </c>
      <c r="B2367" s="30"/>
      <c r="C2367" s="29"/>
      <c r="D2367" s="29"/>
      <c r="E2367" s="29"/>
      <c r="F2367" s="30"/>
      <c r="G2367" s="29"/>
      <c r="H2367" s="30"/>
      <c r="I2367" s="29"/>
      <c r="J2367" s="30"/>
      <c r="K2367" s="30"/>
      <c r="L2367" s="29"/>
      <c r="M2367" s="32" t="str">
        <f aca="false">IF(OR(C2367="",L2367=""),"",IF(C2367=L2367,"同一","変更"))</f>
        <v/>
      </c>
      <c r="N2367" s="29"/>
      <c r="O2367" s="30"/>
      <c r="P2367" s="29"/>
      <c r="Q2367" s="31"/>
      <c r="R2367" s="29"/>
      <c r="S2367" s="29"/>
      <c r="T2367" s="30"/>
      <c r="U2367" s="47" t="str">
        <f aca="false">IF(AND(B2367&lt;&gt;"",B2367=SW別シート!$C$3),COUNTIF(B$5:B2367,B2367),"")</f>
        <v/>
      </c>
      <c r="V2367" s="47" t="n">
        <f aca="false">V2366+IF(OR(O2367&lt;&gt;"",W2367&lt;&gt;""),1,0)</f>
        <v>3</v>
      </c>
      <c r="W2367" s="29"/>
    </row>
    <row r="2368" customFormat="false" ht="15" hidden="false" customHeight="false" outlineLevel="0" collapsed="false">
      <c r="A2368" s="32" t="str">
        <f aca="false">IF(B2368="","",ROW()-7)</f>
        <v/>
      </c>
      <c r="B2368" s="30"/>
      <c r="C2368" s="29"/>
      <c r="D2368" s="29"/>
      <c r="E2368" s="29"/>
      <c r="F2368" s="30"/>
      <c r="G2368" s="29"/>
      <c r="H2368" s="30"/>
      <c r="I2368" s="29"/>
      <c r="J2368" s="30"/>
      <c r="K2368" s="30"/>
      <c r="L2368" s="29"/>
      <c r="M2368" s="32" t="str">
        <f aca="false">IF(OR(C2368="",L2368=""),"",IF(C2368=L2368,"同一","変更"))</f>
        <v/>
      </c>
      <c r="N2368" s="29"/>
      <c r="O2368" s="30"/>
      <c r="P2368" s="29"/>
      <c r="Q2368" s="31"/>
      <c r="R2368" s="29"/>
      <c r="S2368" s="29"/>
      <c r="T2368" s="30"/>
      <c r="U2368" s="47" t="str">
        <f aca="false">IF(AND(B2368&lt;&gt;"",B2368=SW別シート!$C$3),COUNTIF(B$5:B2368,B2368),"")</f>
        <v/>
      </c>
      <c r="V2368" s="47" t="n">
        <f aca="false">V2367+IF(OR(O2368&lt;&gt;"",W2368&lt;&gt;""),1,0)</f>
        <v>3</v>
      </c>
      <c r="W2368" s="29"/>
    </row>
    <row r="2369" customFormat="false" ht="15" hidden="false" customHeight="false" outlineLevel="0" collapsed="false">
      <c r="A2369" s="32" t="str">
        <f aca="false">IF(B2369="","",ROW()-7)</f>
        <v/>
      </c>
      <c r="B2369" s="30"/>
      <c r="C2369" s="29"/>
      <c r="D2369" s="29"/>
      <c r="E2369" s="29"/>
      <c r="F2369" s="30"/>
      <c r="G2369" s="29"/>
      <c r="H2369" s="30"/>
      <c r="I2369" s="29"/>
      <c r="J2369" s="30"/>
      <c r="K2369" s="30"/>
      <c r="L2369" s="29"/>
      <c r="M2369" s="32" t="str">
        <f aca="false">IF(OR(C2369="",L2369=""),"",IF(C2369=L2369,"同一","変更"))</f>
        <v/>
      </c>
      <c r="N2369" s="29"/>
      <c r="O2369" s="30"/>
      <c r="P2369" s="29"/>
      <c r="Q2369" s="31"/>
      <c r="R2369" s="29"/>
      <c r="S2369" s="29"/>
      <c r="T2369" s="30"/>
      <c r="U2369" s="47" t="str">
        <f aca="false">IF(AND(B2369&lt;&gt;"",B2369=SW別シート!$C$3),COUNTIF(B$5:B2369,B2369),"")</f>
        <v/>
      </c>
      <c r="V2369" s="47" t="n">
        <f aca="false">V2368+IF(OR(O2369&lt;&gt;"",W2369&lt;&gt;""),1,0)</f>
        <v>3</v>
      </c>
      <c r="W2369" s="29"/>
    </row>
    <row r="2370" customFormat="false" ht="15" hidden="false" customHeight="false" outlineLevel="0" collapsed="false">
      <c r="A2370" s="32" t="str">
        <f aca="false">IF(B2370="","",ROW()-7)</f>
        <v/>
      </c>
      <c r="B2370" s="30"/>
      <c r="C2370" s="29"/>
      <c r="D2370" s="29"/>
      <c r="E2370" s="29"/>
      <c r="F2370" s="30"/>
      <c r="G2370" s="29"/>
      <c r="H2370" s="30"/>
      <c r="I2370" s="29"/>
      <c r="J2370" s="30"/>
      <c r="K2370" s="30"/>
      <c r="L2370" s="29"/>
      <c r="M2370" s="32" t="str">
        <f aca="false">IF(OR(C2370="",L2370=""),"",IF(C2370=L2370,"同一","変更"))</f>
        <v/>
      </c>
      <c r="N2370" s="29"/>
      <c r="O2370" s="30"/>
      <c r="P2370" s="29"/>
      <c r="Q2370" s="31"/>
      <c r="R2370" s="29"/>
      <c r="S2370" s="29"/>
      <c r="T2370" s="30"/>
      <c r="U2370" s="47" t="str">
        <f aca="false">IF(AND(B2370&lt;&gt;"",B2370=SW別シート!$C$3),COUNTIF(B$5:B2370,B2370),"")</f>
        <v/>
      </c>
      <c r="V2370" s="47" t="n">
        <f aca="false">V2369+IF(OR(O2370&lt;&gt;"",W2370&lt;&gt;""),1,0)</f>
        <v>3</v>
      </c>
      <c r="W2370" s="29"/>
    </row>
    <row r="2371" customFormat="false" ht="15" hidden="false" customHeight="false" outlineLevel="0" collapsed="false">
      <c r="A2371" s="32" t="str">
        <f aca="false">IF(B2371="","",ROW()-7)</f>
        <v/>
      </c>
      <c r="B2371" s="30"/>
      <c r="C2371" s="29"/>
      <c r="D2371" s="29"/>
      <c r="E2371" s="29"/>
      <c r="F2371" s="30"/>
      <c r="G2371" s="29"/>
      <c r="H2371" s="30"/>
      <c r="I2371" s="29"/>
      <c r="J2371" s="30"/>
      <c r="K2371" s="30"/>
      <c r="L2371" s="29"/>
      <c r="M2371" s="32" t="str">
        <f aca="false">IF(OR(C2371="",L2371=""),"",IF(C2371=L2371,"同一","変更"))</f>
        <v/>
      </c>
      <c r="N2371" s="29"/>
      <c r="O2371" s="30"/>
      <c r="P2371" s="29"/>
      <c r="Q2371" s="31"/>
      <c r="R2371" s="29"/>
      <c r="S2371" s="29"/>
      <c r="T2371" s="30"/>
      <c r="U2371" s="47" t="str">
        <f aca="false">IF(AND(B2371&lt;&gt;"",B2371=SW別シート!$C$3),COUNTIF(B$5:B2371,B2371),"")</f>
        <v/>
      </c>
      <c r="V2371" s="47" t="n">
        <f aca="false">V2370+IF(OR(O2371&lt;&gt;"",W2371&lt;&gt;""),1,0)</f>
        <v>3</v>
      </c>
      <c r="W2371" s="29"/>
    </row>
    <row r="2372" customFormat="false" ht="15" hidden="false" customHeight="false" outlineLevel="0" collapsed="false">
      <c r="A2372" s="32" t="str">
        <f aca="false">IF(B2372="","",ROW()-7)</f>
        <v/>
      </c>
      <c r="B2372" s="30"/>
      <c r="C2372" s="29"/>
      <c r="D2372" s="29"/>
      <c r="E2372" s="29"/>
      <c r="F2372" s="30"/>
      <c r="G2372" s="29"/>
      <c r="H2372" s="30"/>
      <c r="I2372" s="29"/>
      <c r="J2372" s="30"/>
      <c r="K2372" s="30"/>
      <c r="L2372" s="29"/>
      <c r="M2372" s="32" t="str">
        <f aca="false">IF(OR(C2372="",L2372=""),"",IF(C2372=L2372,"同一","変更"))</f>
        <v/>
      </c>
      <c r="N2372" s="29"/>
      <c r="O2372" s="30"/>
      <c r="P2372" s="29"/>
      <c r="Q2372" s="31"/>
      <c r="R2372" s="29"/>
      <c r="S2372" s="29"/>
      <c r="T2372" s="30"/>
      <c r="U2372" s="47" t="str">
        <f aca="false">IF(AND(B2372&lt;&gt;"",B2372=SW別シート!$C$3),COUNTIF(B$5:B2372,B2372),"")</f>
        <v/>
      </c>
      <c r="V2372" s="47" t="n">
        <f aca="false">V2371+IF(OR(O2372&lt;&gt;"",W2372&lt;&gt;""),1,0)</f>
        <v>3</v>
      </c>
      <c r="W2372" s="29"/>
    </row>
    <row r="2373" customFormat="false" ht="15" hidden="false" customHeight="false" outlineLevel="0" collapsed="false">
      <c r="A2373" s="32" t="str">
        <f aca="false">IF(B2373="","",ROW()-7)</f>
        <v/>
      </c>
      <c r="B2373" s="30"/>
      <c r="C2373" s="29"/>
      <c r="D2373" s="29"/>
      <c r="E2373" s="29"/>
      <c r="F2373" s="30"/>
      <c r="G2373" s="29"/>
      <c r="H2373" s="30"/>
      <c r="I2373" s="29"/>
      <c r="J2373" s="30"/>
      <c r="K2373" s="30"/>
      <c r="L2373" s="29"/>
      <c r="M2373" s="32" t="str">
        <f aca="false">IF(OR(C2373="",L2373=""),"",IF(C2373=L2373,"同一","変更"))</f>
        <v/>
      </c>
      <c r="N2373" s="29"/>
      <c r="O2373" s="30"/>
      <c r="P2373" s="29"/>
      <c r="Q2373" s="31"/>
      <c r="R2373" s="29"/>
      <c r="S2373" s="29"/>
      <c r="T2373" s="30"/>
      <c r="U2373" s="47" t="str">
        <f aca="false">IF(AND(B2373&lt;&gt;"",B2373=SW別シート!$C$3),COUNTIF(B$5:B2373,B2373),"")</f>
        <v/>
      </c>
      <c r="V2373" s="47" t="n">
        <f aca="false">V2372+IF(OR(O2373&lt;&gt;"",W2373&lt;&gt;""),1,0)</f>
        <v>3</v>
      </c>
      <c r="W2373" s="29"/>
    </row>
    <row r="2374" customFormat="false" ht="15" hidden="false" customHeight="false" outlineLevel="0" collapsed="false">
      <c r="A2374" s="32" t="str">
        <f aca="false">IF(B2374="","",ROW()-7)</f>
        <v/>
      </c>
      <c r="B2374" s="30"/>
      <c r="C2374" s="29"/>
      <c r="D2374" s="29"/>
      <c r="E2374" s="29"/>
      <c r="F2374" s="30"/>
      <c r="G2374" s="29"/>
      <c r="H2374" s="30"/>
      <c r="I2374" s="29"/>
      <c r="J2374" s="30"/>
      <c r="K2374" s="30"/>
      <c r="L2374" s="29"/>
      <c r="M2374" s="32" t="str">
        <f aca="false">IF(OR(C2374="",L2374=""),"",IF(C2374=L2374,"同一","変更"))</f>
        <v/>
      </c>
      <c r="N2374" s="29"/>
      <c r="O2374" s="30"/>
      <c r="P2374" s="29"/>
      <c r="Q2374" s="31"/>
      <c r="R2374" s="29"/>
      <c r="S2374" s="29"/>
      <c r="T2374" s="30"/>
      <c r="U2374" s="47" t="str">
        <f aca="false">IF(AND(B2374&lt;&gt;"",B2374=SW別シート!$C$3),COUNTIF(B$5:B2374,B2374),"")</f>
        <v/>
      </c>
      <c r="V2374" s="47" t="n">
        <f aca="false">V2373+IF(OR(O2374&lt;&gt;"",W2374&lt;&gt;""),1,0)</f>
        <v>3</v>
      </c>
      <c r="W2374" s="29"/>
    </row>
    <row r="2375" customFormat="false" ht="15" hidden="false" customHeight="false" outlineLevel="0" collapsed="false">
      <c r="A2375" s="32" t="str">
        <f aca="false">IF(B2375="","",ROW()-7)</f>
        <v/>
      </c>
      <c r="B2375" s="30"/>
      <c r="C2375" s="29"/>
      <c r="D2375" s="29"/>
      <c r="E2375" s="29"/>
      <c r="F2375" s="30"/>
      <c r="G2375" s="29"/>
      <c r="H2375" s="30"/>
      <c r="I2375" s="29"/>
      <c r="J2375" s="30"/>
      <c r="K2375" s="30"/>
      <c r="L2375" s="29"/>
      <c r="M2375" s="32" t="str">
        <f aca="false">IF(OR(C2375="",L2375=""),"",IF(C2375=L2375,"同一","変更"))</f>
        <v/>
      </c>
      <c r="N2375" s="29"/>
      <c r="O2375" s="30"/>
      <c r="P2375" s="29"/>
      <c r="Q2375" s="31"/>
      <c r="R2375" s="29"/>
      <c r="S2375" s="29"/>
      <c r="T2375" s="30"/>
      <c r="U2375" s="47" t="str">
        <f aca="false">IF(AND(B2375&lt;&gt;"",B2375=SW別シート!$C$3),COUNTIF(B$5:B2375,B2375),"")</f>
        <v/>
      </c>
      <c r="V2375" s="47" t="n">
        <f aca="false">V2374+IF(OR(O2375&lt;&gt;"",W2375&lt;&gt;""),1,0)</f>
        <v>3</v>
      </c>
      <c r="W2375" s="29"/>
    </row>
    <row r="2376" customFormat="false" ht="15" hidden="false" customHeight="false" outlineLevel="0" collapsed="false">
      <c r="A2376" s="32" t="str">
        <f aca="false">IF(B2376="","",ROW()-7)</f>
        <v/>
      </c>
      <c r="B2376" s="30"/>
      <c r="C2376" s="29"/>
      <c r="D2376" s="29"/>
      <c r="E2376" s="29"/>
      <c r="F2376" s="30"/>
      <c r="G2376" s="29"/>
      <c r="H2376" s="30"/>
      <c r="I2376" s="29"/>
      <c r="J2376" s="30"/>
      <c r="K2376" s="30"/>
      <c r="L2376" s="29"/>
      <c r="M2376" s="32" t="str">
        <f aca="false">IF(OR(C2376="",L2376=""),"",IF(C2376=L2376,"同一","変更"))</f>
        <v/>
      </c>
      <c r="N2376" s="29"/>
      <c r="O2376" s="30"/>
      <c r="P2376" s="29"/>
      <c r="Q2376" s="31"/>
      <c r="R2376" s="29"/>
      <c r="S2376" s="29"/>
      <c r="T2376" s="30"/>
      <c r="U2376" s="47" t="str">
        <f aca="false">IF(AND(B2376&lt;&gt;"",B2376=SW別シート!$C$3),COUNTIF(B$5:B2376,B2376),"")</f>
        <v/>
      </c>
      <c r="V2376" s="47" t="n">
        <f aca="false">V2375+IF(OR(O2376&lt;&gt;"",W2376&lt;&gt;""),1,0)</f>
        <v>3</v>
      </c>
      <c r="W2376" s="29"/>
    </row>
    <row r="2377" customFormat="false" ht="15" hidden="false" customHeight="false" outlineLevel="0" collapsed="false">
      <c r="A2377" s="32" t="str">
        <f aca="false">IF(B2377="","",ROW()-7)</f>
        <v/>
      </c>
      <c r="B2377" s="30"/>
      <c r="C2377" s="29"/>
      <c r="D2377" s="29"/>
      <c r="E2377" s="29"/>
      <c r="F2377" s="30"/>
      <c r="G2377" s="29"/>
      <c r="H2377" s="30"/>
      <c r="I2377" s="29"/>
      <c r="J2377" s="30"/>
      <c r="K2377" s="30"/>
      <c r="L2377" s="29"/>
      <c r="M2377" s="32" t="str">
        <f aca="false">IF(OR(C2377="",L2377=""),"",IF(C2377=L2377,"同一","変更"))</f>
        <v/>
      </c>
      <c r="N2377" s="29"/>
      <c r="O2377" s="30"/>
      <c r="P2377" s="29"/>
      <c r="Q2377" s="31"/>
      <c r="R2377" s="29"/>
      <c r="S2377" s="29"/>
      <c r="T2377" s="30"/>
      <c r="U2377" s="47" t="str">
        <f aca="false">IF(AND(B2377&lt;&gt;"",B2377=SW別シート!$C$3),COUNTIF(B$5:B2377,B2377),"")</f>
        <v/>
      </c>
      <c r="V2377" s="47" t="n">
        <f aca="false">V2376+IF(OR(O2377&lt;&gt;"",W2377&lt;&gt;""),1,0)</f>
        <v>3</v>
      </c>
      <c r="W2377" s="29"/>
    </row>
    <row r="2378" customFormat="false" ht="15" hidden="false" customHeight="false" outlineLevel="0" collapsed="false">
      <c r="A2378" s="32" t="str">
        <f aca="false">IF(B2378="","",ROW()-7)</f>
        <v/>
      </c>
      <c r="B2378" s="30"/>
      <c r="C2378" s="29"/>
      <c r="D2378" s="29"/>
      <c r="E2378" s="29"/>
      <c r="F2378" s="30"/>
      <c r="G2378" s="29"/>
      <c r="H2378" s="30"/>
      <c r="I2378" s="29"/>
      <c r="J2378" s="30"/>
      <c r="K2378" s="30"/>
      <c r="L2378" s="29"/>
      <c r="M2378" s="32" t="str">
        <f aca="false">IF(OR(C2378="",L2378=""),"",IF(C2378=L2378,"同一","変更"))</f>
        <v/>
      </c>
      <c r="N2378" s="29"/>
      <c r="O2378" s="30"/>
      <c r="P2378" s="29"/>
      <c r="Q2378" s="31"/>
      <c r="R2378" s="29"/>
      <c r="S2378" s="29"/>
      <c r="T2378" s="30"/>
      <c r="U2378" s="47" t="str">
        <f aca="false">IF(AND(B2378&lt;&gt;"",B2378=SW別シート!$C$3),COUNTIF(B$5:B2378,B2378),"")</f>
        <v/>
      </c>
      <c r="V2378" s="47" t="n">
        <f aca="false">V2377+IF(OR(O2378&lt;&gt;"",W2378&lt;&gt;""),1,0)</f>
        <v>3</v>
      </c>
      <c r="W2378" s="29"/>
    </row>
    <row r="2379" customFormat="false" ht="15" hidden="false" customHeight="false" outlineLevel="0" collapsed="false">
      <c r="A2379" s="32" t="str">
        <f aca="false">IF(B2379="","",ROW()-7)</f>
        <v/>
      </c>
      <c r="B2379" s="30"/>
      <c r="C2379" s="29"/>
      <c r="D2379" s="29"/>
      <c r="E2379" s="29"/>
      <c r="F2379" s="30"/>
      <c r="G2379" s="29"/>
      <c r="H2379" s="30"/>
      <c r="I2379" s="29"/>
      <c r="J2379" s="30"/>
      <c r="K2379" s="30"/>
      <c r="L2379" s="29"/>
      <c r="M2379" s="32" t="str">
        <f aca="false">IF(OR(C2379="",L2379=""),"",IF(C2379=L2379,"同一","変更"))</f>
        <v/>
      </c>
      <c r="N2379" s="29"/>
      <c r="O2379" s="30"/>
      <c r="P2379" s="29"/>
      <c r="Q2379" s="31"/>
      <c r="R2379" s="29"/>
      <c r="S2379" s="29"/>
      <c r="T2379" s="30"/>
      <c r="U2379" s="47" t="str">
        <f aca="false">IF(AND(B2379&lt;&gt;"",B2379=SW別シート!$C$3),COUNTIF(B$5:B2379,B2379),"")</f>
        <v/>
      </c>
      <c r="V2379" s="47" t="n">
        <f aca="false">V2378+IF(OR(O2379&lt;&gt;"",W2379&lt;&gt;""),1,0)</f>
        <v>3</v>
      </c>
      <c r="W2379" s="29"/>
    </row>
    <row r="2380" customFormat="false" ht="15" hidden="false" customHeight="false" outlineLevel="0" collapsed="false">
      <c r="A2380" s="32" t="str">
        <f aca="false">IF(B2380="","",ROW()-7)</f>
        <v/>
      </c>
      <c r="B2380" s="30"/>
      <c r="C2380" s="29"/>
      <c r="D2380" s="29"/>
      <c r="E2380" s="29"/>
      <c r="F2380" s="30"/>
      <c r="G2380" s="29"/>
      <c r="H2380" s="30"/>
      <c r="I2380" s="29"/>
      <c r="J2380" s="30"/>
      <c r="K2380" s="30"/>
      <c r="L2380" s="29"/>
      <c r="M2380" s="32" t="str">
        <f aca="false">IF(OR(C2380="",L2380=""),"",IF(C2380=L2380,"同一","変更"))</f>
        <v/>
      </c>
      <c r="N2380" s="29"/>
      <c r="O2380" s="30"/>
      <c r="P2380" s="29"/>
      <c r="Q2380" s="31"/>
      <c r="R2380" s="29"/>
      <c r="S2380" s="29"/>
      <c r="T2380" s="30"/>
      <c r="U2380" s="47" t="str">
        <f aca="false">IF(AND(B2380&lt;&gt;"",B2380=SW別シート!$C$3),COUNTIF(B$5:B2380,B2380),"")</f>
        <v/>
      </c>
      <c r="V2380" s="47" t="n">
        <f aca="false">V2379+IF(OR(O2380&lt;&gt;"",W2380&lt;&gt;""),1,0)</f>
        <v>3</v>
      </c>
      <c r="W2380" s="29"/>
    </row>
    <row r="2381" customFormat="false" ht="15" hidden="false" customHeight="false" outlineLevel="0" collapsed="false">
      <c r="A2381" s="32" t="str">
        <f aca="false">IF(B2381="","",ROW()-7)</f>
        <v/>
      </c>
      <c r="B2381" s="30"/>
      <c r="C2381" s="29"/>
      <c r="D2381" s="29"/>
      <c r="E2381" s="29"/>
      <c r="F2381" s="30"/>
      <c r="G2381" s="29"/>
      <c r="H2381" s="30"/>
      <c r="I2381" s="29"/>
      <c r="J2381" s="30"/>
      <c r="K2381" s="30"/>
      <c r="L2381" s="29"/>
      <c r="M2381" s="32" t="str">
        <f aca="false">IF(OR(C2381="",L2381=""),"",IF(C2381=L2381,"同一","変更"))</f>
        <v/>
      </c>
      <c r="N2381" s="29"/>
      <c r="O2381" s="30"/>
      <c r="P2381" s="29"/>
      <c r="Q2381" s="31"/>
      <c r="R2381" s="29"/>
      <c r="S2381" s="29"/>
      <c r="T2381" s="30"/>
      <c r="U2381" s="47" t="str">
        <f aca="false">IF(AND(B2381&lt;&gt;"",B2381=SW別シート!$C$3),COUNTIF(B$5:B2381,B2381),"")</f>
        <v/>
      </c>
      <c r="V2381" s="47" t="n">
        <f aca="false">V2380+IF(OR(O2381&lt;&gt;"",W2381&lt;&gt;""),1,0)</f>
        <v>3</v>
      </c>
      <c r="W2381" s="29"/>
    </row>
    <row r="2382" customFormat="false" ht="15" hidden="false" customHeight="false" outlineLevel="0" collapsed="false">
      <c r="A2382" s="32" t="str">
        <f aca="false">IF(B2382="","",ROW()-7)</f>
        <v/>
      </c>
      <c r="B2382" s="30"/>
      <c r="C2382" s="29"/>
      <c r="D2382" s="29"/>
      <c r="E2382" s="29"/>
      <c r="F2382" s="30"/>
      <c r="G2382" s="29"/>
      <c r="H2382" s="30"/>
      <c r="I2382" s="29"/>
      <c r="J2382" s="30"/>
      <c r="K2382" s="30"/>
      <c r="L2382" s="29"/>
      <c r="M2382" s="32" t="str">
        <f aca="false">IF(OR(C2382="",L2382=""),"",IF(C2382=L2382,"同一","変更"))</f>
        <v/>
      </c>
      <c r="N2382" s="29"/>
      <c r="O2382" s="30"/>
      <c r="P2382" s="29"/>
      <c r="Q2382" s="31"/>
      <c r="R2382" s="29"/>
      <c r="S2382" s="29"/>
      <c r="T2382" s="30"/>
      <c r="U2382" s="47" t="str">
        <f aca="false">IF(AND(B2382&lt;&gt;"",B2382=SW別シート!$C$3),COUNTIF(B$5:B2382,B2382),"")</f>
        <v/>
      </c>
      <c r="V2382" s="47" t="n">
        <f aca="false">V2381+IF(OR(O2382&lt;&gt;"",W2382&lt;&gt;""),1,0)</f>
        <v>3</v>
      </c>
      <c r="W2382" s="29"/>
    </row>
    <row r="2383" customFormat="false" ht="15" hidden="false" customHeight="false" outlineLevel="0" collapsed="false">
      <c r="A2383" s="32" t="str">
        <f aca="false">IF(B2383="","",ROW()-7)</f>
        <v/>
      </c>
      <c r="B2383" s="30"/>
      <c r="C2383" s="29"/>
      <c r="D2383" s="29"/>
      <c r="E2383" s="29"/>
      <c r="F2383" s="30"/>
      <c r="G2383" s="29"/>
      <c r="H2383" s="30"/>
      <c r="I2383" s="29"/>
      <c r="J2383" s="30"/>
      <c r="K2383" s="30"/>
      <c r="L2383" s="29"/>
      <c r="M2383" s="32" t="str">
        <f aca="false">IF(OR(C2383="",L2383=""),"",IF(C2383=L2383,"同一","変更"))</f>
        <v/>
      </c>
      <c r="N2383" s="29"/>
      <c r="O2383" s="30"/>
      <c r="P2383" s="29"/>
      <c r="Q2383" s="31"/>
      <c r="R2383" s="29"/>
      <c r="S2383" s="29"/>
      <c r="T2383" s="30"/>
      <c r="U2383" s="47" t="str">
        <f aca="false">IF(AND(B2383&lt;&gt;"",B2383=SW別シート!$C$3),COUNTIF(B$5:B2383,B2383),"")</f>
        <v/>
      </c>
      <c r="V2383" s="47" t="n">
        <f aca="false">V2382+IF(OR(O2383&lt;&gt;"",W2383&lt;&gt;""),1,0)</f>
        <v>3</v>
      </c>
      <c r="W2383" s="29"/>
    </row>
    <row r="2384" customFormat="false" ht="15" hidden="false" customHeight="false" outlineLevel="0" collapsed="false">
      <c r="A2384" s="32" t="str">
        <f aca="false">IF(B2384="","",ROW()-7)</f>
        <v/>
      </c>
      <c r="B2384" s="30"/>
      <c r="C2384" s="29"/>
      <c r="D2384" s="29"/>
      <c r="E2384" s="29"/>
      <c r="F2384" s="30"/>
      <c r="G2384" s="29"/>
      <c r="H2384" s="30"/>
      <c r="I2384" s="29"/>
      <c r="J2384" s="30"/>
      <c r="K2384" s="30"/>
      <c r="L2384" s="29"/>
      <c r="M2384" s="32" t="str">
        <f aca="false">IF(OR(C2384="",L2384=""),"",IF(C2384=L2384,"同一","変更"))</f>
        <v/>
      </c>
      <c r="N2384" s="29"/>
      <c r="O2384" s="30"/>
      <c r="P2384" s="29"/>
      <c r="Q2384" s="31"/>
      <c r="R2384" s="29"/>
      <c r="S2384" s="29"/>
      <c r="T2384" s="30"/>
      <c r="U2384" s="47" t="str">
        <f aca="false">IF(AND(B2384&lt;&gt;"",B2384=SW別シート!$C$3),COUNTIF(B$5:B2384,B2384),"")</f>
        <v/>
      </c>
      <c r="V2384" s="47" t="n">
        <f aca="false">V2383+IF(OR(O2384&lt;&gt;"",W2384&lt;&gt;""),1,0)</f>
        <v>3</v>
      </c>
      <c r="W2384" s="29"/>
    </row>
    <row r="2385" customFormat="false" ht="15" hidden="false" customHeight="false" outlineLevel="0" collapsed="false">
      <c r="A2385" s="32" t="str">
        <f aca="false">IF(B2385="","",ROW()-7)</f>
        <v/>
      </c>
      <c r="B2385" s="30"/>
      <c r="C2385" s="29"/>
      <c r="D2385" s="29"/>
      <c r="E2385" s="29"/>
      <c r="F2385" s="30"/>
      <c r="G2385" s="29"/>
      <c r="H2385" s="30"/>
      <c r="I2385" s="29"/>
      <c r="J2385" s="30"/>
      <c r="K2385" s="30"/>
      <c r="L2385" s="29"/>
      <c r="M2385" s="32" t="str">
        <f aca="false">IF(OR(C2385="",L2385=""),"",IF(C2385=L2385,"同一","変更"))</f>
        <v/>
      </c>
      <c r="N2385" s="29"/>
      <c r="O2385" s="30"/>
      <c r="P2385" s="29"/>
      <c r="Q2385" s="31"/>
      <c r="R2385" s="29"/>
      <c r="S2385" s="29"/>
      <c r="T2385" s="30"/>
      <c r="U2385" s="47" t="str">
        <f aca="false">IF(AND(B2385&lt;&gt;"",B2385=SW別シート!$C$3),COUNTIF(B$5:B2385,B2385),"")</f>
        <v/>
      </c>
      <c r="V2385" s="47" t="n">
        <f aca="false">V2384+IF(OR(O2385&lt;&gt;"",W2385&lt;&gt;""),1,0)</f>
        <v>3</v>
      </c>
      <c r="W2385" s="29"/>
    </row>
    <row r="2386" customFormat="false" ht="15" hidden="false" customHeight="false" outlineLevel="0" collapsed="false">
      <c r="A2386" s="32" t="str">
        <f aca="false">IF(B2386="","",ROW()-7)</f>
        <v/>
      </c>
      <c r="B2386" s="30"/>
      <c r="C2386" s="29"/>
      <c r="D2386" s="29"/>
      <c r="E2386" s="29"/>
      <c r="F2386" s="30"/>
      <c r="G2386" s="29"/>
      <c r="H2386" s="30"/>
      <c r="I2386" s="29"/>
      <c r="J2386" s="30"/>
      <c r="K2386" s="30"/>
      <c r="L2386" s="29"/>
      <c r="M2386" s="32" t="str">
        <f aca="false">IF(OR(C2386="",L2386=""),"",IF(C2386=L2386,"同一","変更"))</f>
        <v/>
      </c>
      <c r="N2386" s="29"/>
      <c r="O2386" s="30"/>
      <c r="P2386" s="29"/>
      <c r="Q2386" s="31"/>
      <c r="R2386" s="29"/>
      <c r="S2386" s="29"/>
      <c r="T2386" s="30"/>
      <c r="U2386" s="47" t="str">
        <f aca="false">IF(AND(B2386&lt;&gt;"",B2386=SW別シート!$C$3),COUNTIF(B$5:B2386,B2386),"")</f>
        <v/>
      </c>
      <c r="V2386" s="47" t="n">
        <f aca="false">V2385+IF(OR(O2386&lt;&gt;"",W2386&lt;&gt;""),1,0)</f>
        <v>3</v>
      </c>
      <c r="W2386" s="29"/>
    </row>
    <row r="2387" customFormat="false" ht="15" hidden="false" customHeight="false" outlineLevel="0" collapsed="false">
      <c r="A2387" s="32" t="str">
        <f aca="false">IF(B2387="","",ROW()-7)</f>
        <v/>
      </c>
      <c r="B2387" s="30"/>
      <c r="C2387" s="29"/>
      <c r="D2387" s="29"/>
      <c r="E2387" s="29"/>
      <c r="F2387" s="30"/>
      <c r="G2387" s="29"/>
      <c r="H2387" s="30"/>
      <c r="I2387" s="29"/>
      <c r="J2387" s="30"/>
      <c r="K2387" s="30"/>
      <c r="L2387" s="29"/>
      <c r="M2387" s="32" t="str">
        <f aca="false">IF(OR(C2387="",L2387=""),"",IF(C2387=L2387,"同一","変更"))</f>
        <v/>
      </c>
      <c r="N2387" s="29"/>
      <c r="O2387" s="30"/>
      <c r="P2387" s="29"/>
      <c r="Q2387" s="31"/>
      <c r="R2387" s="29"/>
      <c r="S2387" s="29"/>
      <c r="T2387" s="30"/>
      <c r="U2387" s="47" t="str">
        <f aca="false">IF(AND(B2387&lt;&gt;"",B2387=SW別シート!$C$3),COUNTIF(B$5:B2387,B2387),"")</f>
        <v/>
      </c>
      <c r="V2387" s="47" t="n">
        <f aca="false">V2386+IF(OR(O2387&lt;&gt;"",W2387&lt;&gt;""),1,0)</f>
        <v>3</v>
      </c>
      <c r="W2387" s="29"/>
    </row>
    <row r="2388" customFormat="false" ht="15" hidden="false" customHeight="false" outlineLevel="0" collapsed="false">
      <c r="A2388" s="32" t="str">
        <f aca="false">IF(B2388="","",ROW()-7)</f>
        <v/>
      </c>
      <c r="B2388" s="30"/>
      <c r="C2388" s="29"/>
      <c r="D2388" s="29"/>
      <c r="E2388" s="29"/>
      <c r="F2388" s="30"/>
      <c r="G2388" s="29"/>
      <c r="H2388" s="30"/>
      <c r="I2388" s="29"/>
      <c r="J2388" s="30"/>
      <c r="K2388" s="30"/>
      <c r="L2388" s="29"/>
      <c r="M2388" s="32" t="str">
        <f aca="false">IF(OR(C2388="",L2388=""),"",IF(C2388=L2388,"同一","変更"))</f>
        <v/>
      </c>
      <c r="N2388" s="29"/>
      <c r="O2388" s="30"/>
      <c r="P2388" s="29"/>
      <c r="Q2388" s="31"/>
      <c r="R2388" s="29"/>
      <c r="S2388" s="29"/>
      <c r="T2388" s="30"/>
      <c r="U2388" s="47" t="str">
        <f aca="false">IF(AND(B2388&lt;&gt;"",B2388=SW別シート!$C$3),COUNTIF(B$5:B2388,B2388),"")</f>
        <v/>
      </c>
      <c r="V2388" s="47" t="n">
        <f aca="false">V2387+IF(OR(O2388&lt;&gt;"",W2388&lt;&gt;""),1,0)</f>
        <v>3</v>
      </c>
      <c r="W2388" s="29"/>
    </row>
    <row r="2389" customFormat="false" ht="15" hidden="false" customHeight="false" outlineLevel="0" collapsed="false">
      <c r="A2389" s="32" t="str">
        <f aca="false">IF(B2389="","",ROW()-7)</f>
        <v/>
      </c>
      <c r="B2389" s="30"/>
      <c r="C2389" s="29"/>
      <c r="D2389" s="29"/>
      <c r="E2389" s="29"/>
      <c r="F2389" s="30"/>
      <c r="G2389" s="29"/>
      <c r="H2389" s="30"/>
      <c r="I2389" s="29"/>
      <c r="J2389" s="30"/>
      <c r="K2389" s="30"/>
      <c r="L2389" s="29"/>
      <c r="M2389" s="32" t="str">
        <f aca="false">IF(OR(C2389="",L2389=""),"",IF(C2389=L2389,"同一","変更"))</f>
        <v/>
      </c>
      <c r="N2389" s="29"/>
      <c r="O2389" s="30"/>
      <c r="P2389" s="29"/>
      <c r="Q2389" s="31"/>
      <c r="R2389" s="29"/>
      <c r="S2389" s="29"/>
      <c r="T2389" s="30"/>
      <c r="U2389" s="47" t="str">
        <f aca="false">IF(AND(B2389&lt;&gt;"",B2389=SW別シート!$C$3),COUNTIF(B$5:B2389,B2389),"")</f>
        <v/>
      </c>
      <c r="V2389" s="47" t="n">
        <f aca="false">V2388+IF(OR(O2389&lt;&gt;"",W2389&lt;&gt;""),1,0)</f>
        <v>3</v>
      </c>
      <c r="W2389" s="29"/>
    </row>
    <row r="2390" customFormat="false" ht="15" hidden="false" customHeight="false" outlineLevel="0" collapsed="false">
      <c r="A2390" s="32" t="str">
        <f aca="false">IF(B2390="","",ROW()-7)</f>
        <v/>
      </c>
      <c r="B2390" s="30"/>
      <c r="C2390" s="29"/>
      <c r="D2390" s="29"/>
      <c r="E2390" s="29"/>
      <c r="F2390" s="30"/>
      <c r="G2390" s="29"/>
      <c r="H2390" s="30"/>
      <c r="I2390" s="29"/>
      <c r="J2390" s="30"/>
      <c r="K2390" s="30"/>
      <c r="L2390" s="29"/>
      <c r="M2390" s="32" t="str">
        <f aca="false">IF(OR(C2390="",L2390=""),"",IF(C2390=L2390,"同一","変更"))</f>
        <v/>
      </c>
      <c r="N2390" s="29"/>
      <c r="O2390" s="30"/>
      <c r="P2390" s="29"/>
      <c r="Q2390" s="31"/>
      <c r="R2390" s="29"/>
      <c r="S2390" s="29"/>
      <c r="T2390" s="30"/>
      <c r="U2390" s="47" t="str">
        <f aca="false">IF(AND(B2390&lt;&gt;"",B2390=SW別シート!$C$3),COUNTIF(B$5:B2390,B2390),"")</f>
        <v/>
      </c>
      <c r="V2390" s="47" t="n">
        <f aca="false">V2389+IF(OR(O2390&lt;&gt;"",W2390&lt;&gt;""),1,0)</f>
        <v>3</v>
      </c>
      <c r="W2390" s="29"/>
    </row>
    <row r="2391" customFormat="false" ht="15" hidden="false" customHeight="false" outlineLevel="0" collapsed="false">
      <c r="A2391" s="32" t="str">
        <f aca="false">IF(B2391="","",ROW()-7)</f>
        <v/>
      </c>
      <c r="B2391" s="30"/>
      <c r="C2391" s="29"/>
      <c r="D2391" s="29"/>
      <c r="E2391" s="29"/>
      <c r="F2391" s="30"/>
      <c r="G2391" s="29"/>
      <c r="H2391" s="30"/>
      <c r="I2391" s="29"/>
      <c r="J2391" s="30"/>
      <c r="K2391" s="30"/>
      <c r="L2391" s="29"/>
      <c r="M2391" s="32" t="str">
        <f aca="false">IF(OR(C2391="",L2391=""),"",IF(C2391=L2391,"同一","変更"))</f>
        <v/>
      </c>
      <c r="N2391" s="29"/>
      <c r="O2391" s="30"/>
      <c r="P2391" s="29"/>
      <c r="Q2391" s="31"/>
      <c r="R2391" s="29"/>
      <c r="S2391" s="29"/>
      <c r="T2391" s="30"/>
      <c r="U2391" s="47" t="str">
        <f aca="false">IF(AND(B2391&lt;&gt;"",B2391=SW別シート!$C$3),COUNTIF(B$5:B2391,B2391),"")</f>
        <v/>
      </c>
      <c r="V2391" s="47" t="n">
        <f aca="false">V2390+IF(OR(O2391&lt;&gt;"",W2391&lt;&gt;""),1,0)</f>
        <v>3</v>
      </c>
      <c r="W2391" s="29"/>
    </row>
    <row r="2392" customFormat="false" ht="15" hidden="false" customHeight="false" outlineLevel="0" collapsed="false">
      <c r="A2392" s="32" t="str">
        <f aca="false">IF(B2392="","",ROW()-7)</f>
        <v/>
      </c>
      <c r="B2392" s="30"/>
      <c r="C2392" s="29"/>
      <c r="D2392" s="29"/>
      <c r="E2392" s="29"/>
      <c r="F2392" s="30"/>
      <c r="G2392" s="29"/>
      <c r="H2392" s="30"/>
      <c r="I2392" s="29"/>
      <c r="J2392" s="30"/>
      <c r="K2392" s="30"/>
      <c r="L2392" s="29"/>
      <c r="M2392" s="32" t="str">
        <f aca="false">IF(OR(C2392="",L2392=""),"",IF(C2392=L2392,"同一","変更"))</f>
        <v/>
      </c>
      <c r="N2392" s="29"/>
      <c r="O2392" s="30"/>
      <c r="P2392" s="29"/>
      <c r="Q2392" s="31"/>
      <c r="R2392" s="29"/>
      <c r="S2392" s="29"/>
      <c r="T2392" s="30"/>
      <c r="U2392" s="47" t="str">
        <f aca="false">IF(AND(B2392&lt;&gt;"",B2392=SW別シート!$C$3),COUNTIF(B$5:B2392,B2392),"")</f>
        <v/>
      </c>
      <c r="V2392" s="47" t="n">
        <f aca="false">V2391+IF(OR(O2392&lt;&gt;"",W2392&lt;&gt;""),1,0)</f>
        <v>3</v>
      </c>
      <c r="W2392" s="29"/>
    </row>
    <row r="2393" customFormat="false" ht="15" hidden="false" customHeight="false" outlineLevel="0" collapsed="false">
      <c r="A2393" s="32" t="str">
        <f aca="false">IF(B2393="","",ROW()-7)</f>
        <v/>
      </c>
      <c r="B2393" s="30"/>
      <c r="C2393" s="29"/>
      <c r="D2393" s="29"/>
      <c r="E2393" s="29"/>
      <c r="F2393" s="30"/>
      <c r="G2393" s="29"/>
      <c r="H2393" s="30"/>
      <c r="I2393" s="29"/>
      <c r="J2393" s="30"/>
      <c r="K2393" s="30"/>
      <c r="L2393" s="29"/>
      <c r="M2393" s="32" t="str">
        <f aca="false">IF(OR(C2393="",L2393=""),"",IF(C2393=L2393,"同一","変更"))</f>
        <v/>
      </c>
      <c r="N2393" s="29"/>
      <c r="O2393" s="30"/>
      <c r="P2393" s="29"/>
      <c r="Q2393" s="31"/>
      <c r="R2393" s="29"/>
      <c r="S2393" s="29"/>
      <c r="T2393" s="30"/>
      <c r="U2393" s="47" t="str">
        <f aca="false">IF(AND(B2393&lt;&gt;"",B2393=SW別シート!$C$3),COUNTIF(B$5:B2393,B2393),"")</f>
        <v/>
      </c>
      <c r="V2393" s="47" t="n">
        <f aca="false">V2392+IF(OR(O2393&lt;&gt;"",W2393&lt;&gt;""),1,0)</f>
        <v>3</v>
      </c>
      <c r="W2393" s="29"/>
    </row>
    <row r="2394" customFormat="false" ht="15" hidden="false" customHeight="false" outlineLevel="0" collapsed="false">
      <c r="A2394" s="32" t="str">
        <f aca="false">IF(B2394="","",ROW()-7)</f>
        <v/>
      </c>
      <c r="B2394" s="30"/>
      <c r="C2394" s="29"/>
      <c r="D2394" s="29"/>
      <c r="E2394" s="29"/>
      <c r="F2394" s="30"/>
      <c r="G2394" s="29"/>
      <c r="H2394" s="30"/>
      <c r="I2394" s="29"/>
      <c r="J2394" s="30"/>
      <c r="K2394" s="30"/>
      <c r="L2394" s="29"/>
      <c r="M2394" s="32" t="str">
        <f aca="false">IF(OR(C2394="",L2394=""),"",IF(C2394=L2394,"同一","変更"))</f>
        <v/>
      </c>
      <c r="N2394" s="29"/>
      <c r="O2394" s="30"/>
      <c r="P2394" s="29"/>
      <c r="Q2394" s="31"/>
      <c r="R2394" s="29"/>
      <c r="S2394" s="29"/>
      <c r="T2394" s="30"/>
      <c r="U2394" s="47" t="str">
        <f aca="false">IF(AND(B2394&lt;&gt;"",B2394=SW別シート!$C$3),COUNTIF(B$5:B2394,B2394),"")</f>
        <v/>
      </c>
      <c r="V2394" s="47" t="n">
        <f aca="false">V2393+IF(OR(O2394&lt;&gt;"",W2394&lt;&gt;""),1,0)</f>
        <v>3</v>
      </c>
      <c r="W2394" s="29"/>
    </row>
    <row r="2395" customFormat="false" ht="15" hidden="false" customHeight="false" outlineLevel="0" collapsed="false">
      <c r="A2395" s="32" t="str">
        <f aca="false">IF(B2395="","",ROW()-7)</f>
        <v/>
      </c>
      <c r="B2395" s="30"/>
      <c r="C2395" s="29"/>
      <c r="D2395" s="29"/>
      <c r="E2395" s="29"/>
      <c r="F2395" s="30"/>
      <c r="G2395" s="29"/>
      <c r="H2395" s="30"/>
      <c r="I2395" s="29"/>
      <c r="J2395" s="30"/>
      <c r="K2395" s="30"/>
      <c r="L2395" s="29"/>
      <c r="M2395" s="32" t="str">
        <f aca="false">IF(OR(C2395="",L2395=""),"",IF(C2395=L2395,"同一","変更"))</f>
        <v/>
      </c>
      <c r="N2395" s="29"/>
      <c r="O2395" s="30"/>
      <c r="P2395" s="29"/>
      <c r="Q2395" s="31"/>
      <c r="R2395" s="29"/>
      <c r="S2395" s="29"/>
      <c r="T2395" s="30"/>
      <c r="U2395" s="47" t="str">
        <f aca="false">IF(AND(B2395&lt;&gt;"",B2395=SW別シート!$C$3),COUNTIF(B$5:B2395,B2395),"")</f>
        <v/>
      </c>
      <c r="V2395" s="47" t="n">
        <f aca="false">V2394+IF(OR(O2395&lt;&gt;"",W2395&lt;&gt;""),1,0)</f>
        <v>3</v>
      </c>
      <c r="W2395" s="29"/>
    </row>
    <row r="2396" customFormat="false" ht="15" hidden="false" customHeight="false" outlineLevel="0" collapsed="false">
      <c r="A2396" s="32" t="str">
        <f aca="false">IF(B2396="","",ROW()-7)</f>
        <v/>
      </c>
      <c r="B2396" s="30"/>
      <c r="C2396" s="29"/>
      <c r="D2396" s="29"/>
      <c r="E2396" s="29"/>
      <c r="F2396" s="30"/>
      <c r="G2396" s="29"/>
      <c r="H2396" s="30"/>
      <c r="I2396" s="29"/>
      <c r="J2396" s="30"/>
      <c r="K2396" s="30"/>
      <c r="L2396" s="29"/>
      <c r="M2396" s="32" t="str">
        <f aca="false">IF(OR(C2396="",L2396=""),"",IF(C2396=L2396,"同一","変更"))</f>
        <v/>
      </c>
      <c r="N2396" s="29"/>
      <c r="O2396" s="30"/>
      <c r="P2396" s="29"/>
      <c r="Q2396" s="31"/>
      <c r="R2396" s="29"/>
      <c r="S2396" s="29"/>
      <c r="T2396" s="30"/>
      <c r="U2396" s="47" t="str">
        <f aca="false">IF(AND(B2396&lt;&gt;"",B2396=SW別シート!$C$3),COUNTIF(B$5:B2396,B2396),"")</f>
        <v/>
      </c>
      <c r="V2396" s="47" t="n">
        <f aca="false">V2395+IF(OR(O2396&lt;&gt;"",W2396&lt;&gt;""),1,0)</f>
        <v>3</v>
      </c>
      <c r="W2396" s="29"/>
    </row>
    <row r="2397" customFormat="false" ht="15" hidden="false" customHeight="false" outlineLevel="0" collapsed="false">
      <c r="A2397" s="32" t="str">
        <f aca="false">IF(B2397="","",ROW()-7)</f>
        <v/>
      </c>
      <c r="B2397" s="30"/>
      <c r="C2397" s="29"/>
      <c r="D2397" s="29"/>
      <c r="E2397" s="29"/>
      <c r="F2397" s="30"/>
      <c r="G2397" s="29"/>
      <c r="H2397" s="30"/>
      <c r="I2397" s="29"/>
      <c r="J2397" s="30"/>
      <c r="K2397" s="30"/>
      <c r="L2397" s="29"/>
      <c r="M2397" s="32" t="str">
        <f aca="false">IF(OR(C2397="",L2397=""),"",IF(C2397=L2397,"同一","変更"))</f>
        <v/>
      </c>
      <c r="N2397" s="29"/>
      <c r="O2397" s="30"/>
      <c r="P2397" s="29"/>
      <c r="Q2397" s="31"/>
      <c r="R2397" s="29"/>
      <c r="S2397" s="29"/>
      <c r="T2397" s="30"/>
      <c r="U2397" s="47" t="str">
        <f aca="false">IF(AND(B2397&lt;&gt;"",B2397=SW別シート!$C$3),COUNTIF(B$5:B2397,B2397),"")</f>
        <v/>
      </c>
      <c r="V2397" s="47" t="n">
        <f aca="false">V2396+IF(OR(O2397&lt;&gt;"",W2397&lt;&gt;""),1,0)</f>
        <v>3</v>
      </c>
      <c r="W2397" s="29"/>
    </row>
    <row r="2398" customFormat="false" ht="15" hidden="false" customHeight="false" outlineLevel="0" collapsed="false">
      <c r="A2398" s="32" t="str">
        <f aca="false">IF(B2398="","",ROW()-7)</f>
        <v/>
      </c>
      <c r="B2398" s="30"/>
      <c r="C2398" s="29"/>
      <c r="D2398" s="29"/>
      <c r="E2398" s="29"/>
      <c r="F2398" s="30"/>
      <c r="G2398" s="29"/>
      <c r="H2398" s="30"/>
      <c r="I2398" s="29"/>
      <c r="J2398" s="30"/>
      <c r="K2398" s="30"/>
      <c r="L2398" s="29"/>
      <c r="M2398" s="32" t="str">
        <f aca="false">IF(OR(C2398="",L2398=""),"",IF(C2398=L2398,"同一","変更"))</f>
        <v/>
      </c>
      <c r="N2398" s="29"/>
      <c r="O2398" s="30"/>
      <c r="P2398" s="29"/>
      <c r="Q2398" s="31"/>
      <c r="R2398" s="29"/>
      <c r="S2398" s="29"/>
      <c r="T2398" s="30"/>
      <c r="U2398" s="47" t="str">
        <f aca="false">IF(AND(B2398&lt;&gt;"",B2398=SW別シート!$C$3),COUNTIF(B$5:B2398,B2398),"")</f>
        <v/>
      </c>
      <c r="V2398" s="47" t="n">
        <f aca="false">V2397+IF(OR(O2398&lt;&gt;"",W2398&lt;&gt;""),1,0)</f>
        <v>3</v>
      </c>
      <c r="W2398" s="29"/>
    </row>
    <row r="2399" customFormat="false" ht="15" hidden="false" customHeight="false" outlineLevel="0" collapsed="false">
      <c r="A2399" s="32" t="str">
        <f aca="false">IF(B2399="","",ROW()-7)</f>
        <v/>
      </c>
      <c r="B2399" s="30"/>
      <c r="C2399" s="29"/>
      <c r="D2399" s="29"/>
      <c r="E2399" s="29"/>
      <c r="F2399" s="30"/>
      <c r="G2399" s="29"/>
      <c r="H2399" s="30"/>
      <c r="I2399" s="29"/>
      <c r="J2399" s="30"/>
      <c r="K2399" s="30"/>
      <c r="L2399" s="29"/>
      <c r="M2399" s="32" t="str">
        <f aca="false">IF(OR(C2399="",L2399=""),"",IF(C2399=L2399,"同一","変更"))</f>
        <v/>
      </c>
      <c r="N2399" s="29"/>
      <c r="O2399" s="30"/>
      <c r="P2399" s="29"/>
      <c r="Q2399" s="31"/>
      <c r="R2399" s="29"/>
      <c r="S2399" s="29"/>
      <c r="T2399" s="30"/>
      <c r="U2399" s="47" t="str">
        <f aca="false">IF(AND(B2399&lt;&gt;"",B2399=SW別シート!$C$3),COUNTIF(B$5:B2399,B2399),"")</f>
        <v/>
      </c>
      <c r="V2399" s="47" t="n">
        <f aca="false">V2398+IF(OR(O2399&lt;&gt;"",W2399&lt;&gt;""),1,0)</f>
        <v>3</v>
      </c>
      <c r="W2399" s="29"/>
    </row>
    <row r="2400" customFormat="false" ht="15" hidden="false" customHeight="false" outlineLevel="0" collapsed="false">
      <c r="A2400" s="32" t="str">
        <f aca="false">IF(B2400="","",ROW()-7)</f>
        <v/>
      </c>
      <c r="B2400" s="30"/>
      <c r="C2400" s="29"/>
      <c r="D2400" s="29"/>
      <c r="E2400" s="29"/>
      <c r="F2400" s="30"/>
      <c r="G2400" s="29"/>
      <c r="H2400" s="30"/>
      <c r="I2400" s="29"/>
      <c r="J2400" s="30"/>
      <c r="K2400" s="30"/>
      <c r="L2400" s="29"/>
      <c r="M2400" s="32" t="str">
        <f aca="false">IF(OR(C2400="",L2400=""),"",IF(C2400=L2400,"同一","変更"))</f>
        <v/>
      </c>
      <c r="N2400" s="29"/>
      <c r="O2400" s="30"/>
      <c r="P2400" s="29"/>
      <c r="Q2400" s="31"/>
      <c r="R2400" s="29"/>
      <c r="S2400" s="29"/>
      <c r="T2400" s="30"/>
      <c r="U2400" s="47" t="str">
        <f aca="false">IF(AND(B2400&lt;&gt;"",B2400=SW別シート!$C$3),COUNTIF(B$5:B2400,B2400),"")</f>
        <v/>
      </c>
      <c r="V2400" s="47" t="n">
        <f aca="false">V2399+IF(OR(O2400&lt;&gt;"",W2400&lt;&gt;""),1,0)</f>
        <v>3</v>
      </c>
      <c r="W2400" s="29"/>
    </row>
    <row r="2401" customFormat="false" ht="15" hidden="false" customHeight="false" outlineLevel="0" collapsed="false">
      <c r="A2401" s="32" t="str">
        <f aca="false">IF(B2401="","",ROW()-7)</f>
        <v/>
      </c>
      <c r="B2401" s="30"/>
      <c r="C2401" s="29"/>
      <c r="D2401" s="29"/>
      <c r="E2401" s="29"/>
      <c r="F2401" s="30"/>
      <c r="G2401" s="29"/>
      <c r="H2401" s="30"/>
      <c r="I2401" s="29"/>
      <c r="J2401" s="30"/>
      <c r="K2401" s="30"/>
      <c r="L2401" s="29"/>
      <c r="M2401" s="32" t="str">
        <f aca="false">IF(OR(C2401="",L2401=""),"",IF(C2401=L2401,"同一","変更"))</f>
        <v/>
      </c>
      <c r="N2401" s="29"/>
      <c r="O2401" s="30"/>
      <c r="P2401" s="29"/>
      <c r="Q2401" s="31"/>
      <c r="R2401" s="29"/>
      <c r="S2401" s="29"/>
      <c r="T2401" s="30"/>
      <c r="U2401" s="47" t="str">
        <f aca="false">IF(AND(B2401&lt;&gt;"",B2401=SW別シート!$C$3),COUNTIF(B$5:B2401,B2401),"")</f>
        <v/>
      </c>
      <c r="V2401" s="47" t="n">
        <f aca="false">V2400+IF(OR(O2401&lt;&gt;"",W2401&lt;&gt;""),1,0)</f>
        <v>3</v>
      </c>
      <c r="W2401" s="29"/>
    </row>
    <row r="2402" customFormat="false" ht="15" hidden="false" customHeight="false" outlineLevel="0" collapsed="false">
      <c r="A2402" s="32" t="str">
        <f aca="false">IF(B2402="","",ROW()-7)</f>
        <v/>
      </c>
      <c r="B2402" s="30"/>
      <c r="C2402" s="29"/>
      <c r="D2402" s="29"/>
      <c r="E2402" s="29"/>
      <c r="F2402" s="30"/>
      <c r="G2402" s="29"/>
      <c r="H2402" s="30"/>
      <c r="I2402" s="29"/>
      <c r="J2402" s="30"/>
      <c r="K2402" s="30"/>
      <c r="L2402" s="29"/>
      <c r="M2402" s="32" t="str">
        <f aca="false">IF(OR(C2402="",L2402=""),"",IF(C2402=L2402,"同一","変更"))</f>
        <v/>
      </c>
      <c r="N2402" s="29"/>
      <c r="O2402" s="30"/>
      <c r="P2402" s="29"/>
      <c r="Q2402" s="31"/>
      <c r="R2402" s="29"/>
      <c r="S2402" s="29"/>
      <c r="T2402" s="30"/>
      <c r="U2402" s="47" t="str">
        <f aca="false">IF(AND(B2402&lt;&gt;"",B2402=SW別シート!$C$3),COUNTIF(B$5:B2402,B2402),"")</f>
        <v/>
      </c>
      <c r="V2402" s="47" t="n">
        <f aca="false">V2401+IF(OR(O2402&lt;&gt;"",W2402&lt;&gt;""),1,0)</f>
        <v>3</v>
      </c>
      <c r="W2402" s="29"/>
    </row>
    <row r="2403" customFormat="false" ht="15" hidden="false" customHeight="false" outlineLevel="0" collapsed="false">
      <c r="A2403" s="32" t="str">
        <f aca="false">IF(B2403="","",ROW()-7)</f>
        <v/>
      </c>
      <c r="B2403" s="30"/>
      <c r="C2403" s="29"/>
      <c r="D2403" s="29"/>
      <c r="E2403" s="29"/>
      <c r="F2403" s="30"/>
      <c r="G2403" s="29"/>
      <c r="H2403" s="30"/>
      <c r="I2403" s="29"/>
      <c r="J2403" s="30"/>
      <c r="K2403" s="30"/>
      <c r="L2403" s="29"/>
      <c r="M2403" s="32" t="str">
        <f aca="false">IF(OR(C2403="",L2403=""),"",IF(C2403=L2403,"同一","変更"))</f>
        <v/>
      </c>
      <c r="N2403" s="29"/>
      <c r="O2403" s="30"/>
      <c r="P2403" s="29"/>
      <c r="Q2403" s="31"/>
      <c r="R2403" s="29"/>
      <c r="S2403" s="29"/>
      <c r="T2403" s="30"/>
      <c r="U2403" s="47" t="str">
        <f aca="false">IF(AND(B2403&lt;&gt;"",B2403=SW別シート!$C$3),COUNTIF(B$5:B2403,B2403),"")</f>
        <v/>
      </c>
      <c r="V2403" s="47" t="n">
        <f aca="false">V2402+IF(OR(O2403&lt;&gt;"",W2403&lt;&gt;""),1,0)</f>
        <v>3</v>
      </c>
      <c r="W2403" s="29"/>
    </row>
    <row r="2404" customFormat="false" ht="15" hidden="false" customHeight="false" outlineLevel="0" collapsed="false">
      <c r="A2404" s="32" t="str">
        <f aca="false">IF(B2404="","",ROW()-7)</f>
        <v/>
      </c>
      <c r="B2404" s="30"/>
      <c r="C2404" s="29"/>
      <c r="D2404" s="29"/>
      <c r="E2404" s="29"/>
      <c r="F2404" s="30"/>
      <c r="G2404" s="29"/>
      <c r="H2404" s="30"/>
      <c r="I2404" s="29"/>
      <c r="J2404" s="30"/>
      <c r="K2404" s="30"/>
      <c r="L2404" s="29"/>
      <c r="M2404" s="32" t="str">
        <f aca="false">IF(OR(C2404="",L2404=""),"",IF(C2404=L2404,"同一","変更"))</f>
        <v/>
      </c>
      <c r="N2404" s="29"/>
      <c r="O2404" s="30"/>
      <c r="P2404" s="29"/>
      <c r="Q2404" s="31"/>
      <c r="R2404" s="29"/>
      <c r="S2404" s="29"/>
      <c r="T2404" s="30"/>
      <c r="U2404" s="47" t="str">
        <f aca="false">IF(AND(B2404&lt;&gt;"",B2404=SW別シート!$C$3),COUNTIF(B$5:B2404,B2404),"")</f>
        <v/>
      </c>
      <c r="V2404" s="47" t="n">
        <f aca="false">V2403+IF(OR(O2404&lt;&gt;"",W2404&lt;&gt;""),1,0)</f>
        <v>3</v>
      </c>
      <c r="W2404" s="29"/>
    </row>
    <row r="2405" customFormat="false" ht="15" hidden="false" customHeight="false" outlineLevel="0" collapsed="false">
      <c r="A2405" s="32" t="str">
        <f aca="false">IF(B2405="","",ROW()-7)</f>
        <v/>
      </c>
      <c r="B2405" s="30"/>
      <c r="C2405" s="29"/>
      <c r="D2405" s="29"/>
      <c r="E2405" s="29"/>
      <c r="F2405" s="30"/>
      <c r="G2405" s="29"/>
      <c r="H2405" s="30"/>
      <c r="I2405" s="29"/>
      <c r="J2405" s="30"/>
      <c r="K2405" s="30"/>
      <c r="L2405" s="29"/>
      <c r="M2405" s="32" t="str">
        <f aca="false">IF(OR(C2405="",L2405=""),"",IF(C2405=L2405,"同一","変更"))</f>
        <v/>
      </c>
      <c r="N2405" s="29"/>
      <c r="O2405" s="30"/>
      <c r="P2405" s="29"/>
      <c r="Q2405" s="31"/>
      <c r="R2405" s="29"/>
      <c r="S2405" s="29"/>
      <c r="T2405" s="30"/>
      <c r="U2405" s="47" t="str">
        <f aca="false">IF(AND(B2405&lt;&gt;"",B2405=SW別シート!$C$3),COUNTIF(B$5:B2405,B2405),"")</f>
        <v/>
      </c>
      <c r="V2405" s="47" t="n">
        <f aca="false">V2404+IF(OR(O2405&lt;&gt;"",W2405&lt;&gt;""),1,0)</f>
        <v>3</v>
      </c>
      <c r="W2405" s="29"/>
    </row>
    <row r="2406" customFormat="false" ht="15" hidden="false" customHeight="false" outlineLevel="0" collapsed="false">
      <c r="A2406" s="32" t="str">
        <f aca="false">IF(B2406="","",ROW()-7)</f>
        <v/>
      </c>
      <c r="B2406" s="30"/>
      <c r="C2406" s="29"/>
      <c r="D2406" s="29"/>
      <c r="E2406" s="29"/>
      <c r="F2406" s="30"/>
      <c r="G2406" s="29"/>
      <c r="H2406" s="30"/>
      <c r="I2406" s="29"/>
      <c r="J2406" s="30"/>
      <c r="K2406" s="30"/>
      <c r="L2406" s="29"/>
      <c r="M2406" s="32" t="str">
        <f aca="false">IF(OR(C2406="",L2406=""),"",IF(C2406=L2406,"同一","変更"))</f>
        <v/>
      </c>
      <c r="N2406" s="29"/>
      <c r="O2406" s="30"/>
      <c r="P2406" s="29"/>
      <c r="Q2406" s="31"/>
      <c r="R2406" s="29"/>
      <c r="S2406" s="29"/>
      <c r="T2406" s="30"/>
      <c r="U2406" s="47" t="str">
        <f aca="false">IF(AND(B2406&lt;&gt;"",B2406=SW別シート!$C$3),COUNTIF(B$5:B2406,B2406),"")</f>
        <v/>
      </c>
      <c r="V2406" s="47" t="n">
        <f aca="false">V2405+IF(OR(O2406&lt;&gt;"",W2406&lt;&gt;""),1,0)</f>
        <v>3</v>
      </c>
      <c r="W2406" s="29"/>
    </row>
    <row r="2407" customFormat="false" ht="15" hidden="false" customHeight="false" outlineLevel="0" collapsed="false">
      <c r="A2407" s="32" t="str">
        <f aca="false">IF(B2407="","",ROW()-7)</f>
        <v/>
      </c>
      <c r="B2407" s="30"/>
      <c r="C2407" s="29"/>
      <c r="D2407" s="29"/>
      <c r="E2407" s="29"/>
      <c r="F2407" s="30"/>
      <c r="G2407" s="29"/>
      <c r="H2407" s="30"/>
      <c r="I2407" s="29"/>
      <c r="J2407" s="30"/>
      <c r="K2407" s="30"/>
      <c r="L2407" s="29"/>
      <c r="M2407" s="32" t="str">
        <f aca="false">IF(OR(C2407="",L2407=""),"",IF(C2407=L2407,"同一","変更"))</f>
        <v/>
      </c>
      <c r="N2407" s="29"/>
      <c r="O2407" s="30"/>
      <c r="P2407" s="29"/>
      <c r="Q2407" s="31"/>
      <c r="R2407" s="29"/>
      <c r="S2407" s="29"/>
      <c r="T2407" s="30"/>
      <c r="U2407" s="47" t="str">
        <f aca="false">IF(AND(B2407&lt;&gt;"",B2407=SW別シート!$C$3),COUNTIF(B$5:B2407,B2407),"")</f>
        <v/>
      </c>
      <c r="V2407" s="47" t="n">
        <f aca="false">V2406+IF(OR(O2407&lt;&gt;"",W2407&lt;&gt;""),1,0)</f>
        <v>3</v>
      </c>
      <c r="W2407" s="29"/>
    </row>
    <row r="2408" customFormat="false" ht="15" hidden="false" customHeight="false" outlineLevel="0" collapsed="false">
      <c r="A2408" s="32" t="str">
        <f aca="false">IF(B2408="","",ROW()-7)</f>
        <v/>
      </c>
      <c r="B2408" s="30"/>
      <c r="C2408" s="29"/>
      <c r="D2408" s="29"/>
      <c r="E2408" s="29"/>
      <c r="F2408" s="30"/>
      <c r="G2408" s="29"/>
      <c r="H2408" s="30"/>
      <c r="I2408" s="29"/>
      <c r="J2408" s="30"/>
      <c r="K2408" s="30"/>
      <c r="L2408" s="29"/>
      <c r="M2408" s="32" t="str">
        <f aca="false">IF(OR(C2408="",L2408=""),"",IF(C2408=L2408,"同一","変更"))</f>
        <v/>
      </c>
      <c r="N2408" s="29"/>
      <c r="O2408" s="30"/>
      <c r="P2408" s="29"/>
      <c r="Q2408" s="31"/>
      <c r="R2408" s="29"/>
      <c r="S2408" s="29"/>
      <c r="T2408" s="30"/>
      <c r="U2408" s="47" t="str">
        <f aca="false">IF(AND(B2408&lt;&gt;"",B2408=SW別シート!$C$3),COUNTIF(B$5:B2408,B2408),"")</f>
        <v/>
      </c>
      <c r="V2408" s="47" t="n">
        <f aca="false">V2407+IF(OR(O2408&lt;&gt;"",W2408&lt;&gt;""),1,0)</f>
        <v>3</v>
      </c>
      <c r="W2408" s="29"/>
    </row>
    <row r="2409" customFormat="false" ht="15" hidden="false" customHeight="false" outlineLevel="0" collapsed="false">
      <c r="A2409" s="32" t="str">
        <f aca="false">IF(B2409="","",ROW()-7)</f>
        <v/>
      </c>
      <c r="B2409" s="30"/>
      <c r="C2409" s="29"/>
      <c r="D2409" s="29"/>
      <c r="E2409" s="29"/>
      <c r="F2409" s="30"/>
      <c r="G2409" s="29"/>
      <c r="H2409" s="30"/>
      <c r="I2409" s="29"/>
      <c r="J2409" s="30"/>
      <c r="K2409" s="30"/>
      <c r="L2409" s="29"/>
      <c r="M2409" s="32" t="str">
        <f aca="false">IF(OR(C2409="",L2409=""),"",IF(C2409=L2409,"同一","変更"))</f>
        <v/>
      </c>
      <c r="N2409" s="29"/>
      <c r="O2409" s="30"/>
      <c r="P2409" s="29"/>
      <c r="Q2409" s="31"/>
      <c r="R2409" s="29"/>
      <c r="S2409" s="29"/>
      <c r="T2409" s="30"/>
      <c r="U2409" s="47" t="str">
        <f aca="false">IF(AND(B2409&lt;&gt;"",B2409=SW別シート!$C$3),COUNTIF(B$5:B2409,B2409),"")</f>
        <v/>
      </c>
      <c r="V2409" s="47" t="n">
        <f aca="false">V2408+IF(OR(O2409&lt;&gt;"",W2409&lt;&gt;""),1,0)</f>
        <v>3</v>
      </c>
      <c r="W2409" s="29"/>
    </row>
    <row r="2410" customFormat="false" ht="15" hidden="false" customHeight="false" outlineLevel="0" collapsed="false">
      <c r="A2410" s="32" t="str">
        <f aca="false">IF(B2410="","",ROW()-7)</f>
        <v/>
      </c>
      <c r="B2410" s="30"/>
      <c r="C2410" s="29"/>
      <c r="D2410" s="29"/>
      <c r="E2410" s="29"/>
      <c r="F2410" s="30"/>
      <c r="G2410" s="29"/>
      <c r="H2410" s="30"/>
      <c r="I2410" s="29"/>
      <c r="J2410" s="30"/>
      <c r="K2410" s="30"/>
      <c r="L2410" s="29"/>
      <c r="M2410" s="32" t="str">
        <f aca="false">IF(OR(C2410="",L2410=""),"",IF(C2410=L2410,"同一","変更"))</f>
        <v/>
      </c>
      <c r="N2410" s="29"/>
      <c r="O2410" s="30"/>
      <c r="P2410" s="29"/>
      <c r="Q2410" s="31"/>
      <c r="R2410" s="29"/>
      <c r="S2410" s="29"/>
      <c r="T2410" s="30"/>
      <c r="U2410" s="47" t="str">
        <f aca="false">IF(AND(B2410&lt;&gt;"",B2410=SW別シート!$C$3),COUNTIF(B$5:B2410,B2410),"")</f>
        <v/>
      </c>
      <c r="V2410" s="47" t="n">
        <f aca="false">V2409+IF(OR(O2410&lt;&gt;"",W2410&lt;&gt;""),1,0)</f>
        <v>3</v>
      </c>
      <c r="W2410" s="29"/>
    </row>
    <row r="2411" customFormat="false" ht="15" hidden="false" customHeight="false" outlineLevel="0" collapsed="false">
      <c r="A2411" s="32" t="str">
        <f aca="false">IF(B2411="","",ROW()-7)</f>
        <v/>
      </c>
      <c r="B2411" s="30"/>
      <c r="C2411" s="29"/>
      <c r="D2411" s="29"/>
      <c r="E2411" s="29"/>
      <c r="F2411" s="30"/>
      <c r="G2411" s="29"/>
      <c r="H2411" s="30"/>
      <c r="I2411" s="29"/>
      <c r="J2411" s="30"/>
      <c r="K2411" s="30"/>
      <c r="L2411" s="29"/>
      <c r="M2411" s="32" t="str">
        <f aca="false">IF(OR(C2411="",L2411=""),"",IF(C2411=L2411,"同一","変更"))</f>
        <v/>
      </c>
      <c r="N2411" s="29"/>
      <c r="O2411" s="30"/>
      <c r="P2411" s="29"/>
      <c r="Q2411" s="31"/>
      <c r="R2411" s="29"/>
      <c r="S2411" s="29"/>
      <c r="T2411" s="30"/>
      <c r="U2411" s="47" t="str">
        <f aca="false">IF(AND(B2411&lt;&gt;"",B2411=SW別シート!$C$3),COUNTIF(B$5:B2411,B2411),"")</f>
        <v/>
      </c>
      <c r="V2411" s="47" t="n">
        <f aca="false">V2410+IF(OR(O2411&lt;&gt;"",W2411&lt;&gt;""),1,0)</f>
        <v>3</v>
      </c>
      <c r="W2411" s="29"/>
    </row>
    <row r="2412" customFormat="false" ht="15" hidden="false" customHeight="false" outlineLevel="0" collapsed="false">
      <c r="A2412" s="32" t="str">
        <f aca="false">IF(B2412="","",ROW()-7)</f>
        <v/>
      </c>
      <c r="B2412" s="30"/>
      <c r="C2412" s="29"/>
      <c r="D2412" s="29"/>
      <c r="E2412" s="29"/>
      <c r="F2412" s="30"/>
      <c r="G2412" s="29"/>
      <c r="H2412" s="30"/>
      <c r="I2412" s="29"/>
      <c r="J2412" s="30"/>
      <c r="K2412" s="30"/>
      <c r="L2412" s="29"/>
      <c r="M2412" s="32" t="str">
        <f aca="false">IF(OR(C2412="",L2412=""),"",IF(C2412=L2412,"同一","変更"))</f>
        <v/>
      </c>
      <c r="N2412" s="29"/>
      <c r="O2412" s="30"/>
      <c r="P2412" s="29"/>
      <c r="Q2412" s="31"/>
      <c r="R2412" s="29"/>
      <c r="S2412" s="29"/>
      <c r="T2412" s="30"/>
      <c r="U2412" s="47" t="str">
        <f aca="false">IF(AND(B2412&lt;&gt;"",B2412=SW別シート!$C$3),COUNTIF(B$5:B2412,B2412),"")</f>
        <v/>
      </c>
      <c r="V2412" s="47" t="n">
        <f aca="false">V2411+IF(OR(O2412&lt;&gt;"",W2412&lt;&gt;""),1,0)</f>
        <v>3</v>
      </c>
      <c r="W2412" s="29"/>
    </row>
    <row r="2413" customFormat="false" ht="15" hidden="false" customHeight="false" outlineLevel="0" collapsed="false">
      <c r="A2413" s="32" t="str">
        <f aca="false">IF(B2413="","",ROW()-7)</f>
        <v/>
      </c>
      <c r="B2413" s="30"/>
      <c r="C2413" s="29"/>
      <c r="D2413" s="29"/>
      <c r="E2413" s="29"/>
      <c r="F2413" s="30"/>
      <c r="G2413" s="29"/>
      <c r="H2413" s="30"/>
      <c r="I2413" s="29"/>
      <c r="J2413" s="30"/>
      <c r="K2413" s="30"/>
      <c r="L2413" s="29"/>
      <c r="M2413" s="32" t="str">
        <f aca="false">IF(OR(C2413="",L2413=""),"",IF(C2413=L2413,"同一","変更"))</f>
        <v/>
      </c>
      <c r="N2413" s="29"/>
      <c r="O2413" s="30"/>
      <c r="P2413" s="29"/>
      <c r="Q2413" s="31"/>
      <c r="R2413" s="29"/>
      <c r="S2413" s="29"/>
      <c r="T2413" s="30"/>
      <c r="U2413" s="47" t="str">
        <f aca="false">IF(AND(B2413&lt;&gt;"",B2413=SW別シート!$C$3),COUNTIF(B$5:B2413,B2413),"")</f>
        <v/>
      </c>
      <c r="V2413" s="47" t="n">
        <f aca="false">V2412+IF(OR(O2413&lt;&gt;"",W2413&lt;&gt;""),1,0)</f>
        <v>3</v>
      </c>
      <c r="W2413" s="29"/>
    </row>
    <row r="2414" customFormat="false" ht="15" hidden="false" customHeight="false" outlineLevel="0" collapsed="false">
      <c r="A2414" s="32" t="str">
        <f aca="false">IF(B2414="","",ROW()-7)</f>
        <v/>
      </c>
      <c r="B2414" s="30"/>
      <c r="C2414" s="29"/>
      <c r="D2414" s="29"/>
      <c r="E2414" s="29"/>
      <c r="F2414" s="30"/>
      <c r="G2414" s="29"/>
      <c r="H2414" s="30"/>
      <c r="I2414" s="29"/>
      <c r="J2414" s="30"/>
      <c r="K2414" s="30"/>
      <c r="L2414" s="29"/>
      <c r="M2414" s="32" t="str">
        <f aca="false">IF(OR(C2414="",L2414=""),"",IF(C2414=L2414,"同一","変更"))</f>
        <v/>
      </c>
      <c r="N2414" s="29"/>
      <c r="O2414" s="30"/>
      <c r="P2414" s="29"/>
      <c r="Q2414" s="31"/>
      <c r="R2414" s="29"/>
      <c r="S2414" s="29"/>
      <c r="T2414" s="30"/>
      <c r="U2414" s="47" t="str">
        <f aca="false">IF(AND(B2414&lt;&gt;"",B2414=SW別シート!$C$3),COUNTIF(B$5:B2414,B2414),"")</f>
        <v/>
      </c>
      <c r="V2414" s="47" t="n">
        <f aca="false">V2413+IF(OR(O2414&lt;&gt;"",W2414&lt;&gt;""),1,0)</f>
        <v>3</v>
      </c>
      <c r="W2414" s="29"/>
    </row>
    <row r="2415" customFormat="false" ht="15" hidden="false" customHeight="false" outlineLevel="0" collapsed="false">
      <c r="A2415" s="32" t="str">
        <f aca="false">IF(B2415="","",ROW()-7)</f>
        <v/>
      </c>
      <c r="B2415" s="30"/>
      <c r="C2415" s="29"/>
      <c r="D2415" s="29"/>
      <c r="E2415" s="29"/>
      <c r="F2415" s="30"/>
      <c r="G2415" s="29"/>
      <c r="H2415" s="30"/>
      <c r="I2415" s="29"/>
      <c r="J2415" s="30"/>
      <c r="K2415" s="30"/>
      <c r="L2415" s="29"/>
      <c r="M2415" s="32" t="str">
        <f aca="false">IF(OR(C2415="",L2415=""),"",IF(C2415=L2415,"同一","変更"))</f>
        <v/>
      </c>
      <c r="N2415" s="29"/>
      <c r="O2415" s="30"/>
      <c r="P2415" s="29"/>
      <c r="Q2415" s="31"/>
      <c r="R2415" s="29"/>
      <c r="S2415" s="29"/>
      <c r="T2415" s="30"/>
      <c r="U2415" s="47" t="str">
        <f aca="false">IF(AND(B2415&lt;&gt;"",B2415=SW別シート!$C$3),COUNTIF(B$5:B2415,B2415),"")</f>
        <v/>
      </c>
      <c r="V2415" s="47" t="n">
        <f aca="false">V2414+IF(OR(O2415&lt;&gt;"",W2415&lt;&gt;""),1,0)</f>
        <v>3</v>
      </c>
      <c r="W2415" s="29"/>
    </row>
    <row r="2416" customFormat="false" ht="15" hidden="false" customHeight="false" outlineLevel="0" collapsed="false">
      <c r="A2416" s="32" t="str">
        <f aca="false">IF(B2416="","",ROW()-7)</f>
        <v/>
      </c>
      <c r="B2416" s="30"/>
      <c r="C2416" s="29"/>
      <c r="D2416" s="29"/>
      <c r="E2416" s="29"/>
      <c r="F2416" s="30"/>
      <c r="G2416" s="29"/>
      <c r="H2416" s="30"/>
      <c r="I2416" s="29"/>
      <c r="J2416" s="30"/>
      <c r="K2416" s="30"/>
      <c r="L2416" s="29"/>
      <c r="M2416" s="32" t="str">
        <f aca="false">IF(OR(C2416="",L2416=""),"",IF(C2416=L2416,"同一","変更"))</f>
        <v/>
      </c>
      <c r="N2416" s="29"/>
      <c r="O2416" s="30"/>
      <c r="P2416" s="29"/>
      <c r="Q2416" s="31"/>
      <c r="R2416" s="29"/>
      <c r="S2416" s="29"/>
      <c r="T2416" s="30"/>
      <c r="U2416" s="47" t="str">
        <f aca="false">IF(AND(B2416&lt;&gt;"",B2416=SW別シート!$C$3),COUNTIF(B$5:B2416,B2416),"")</f>
        <v/>
      </c>
      <c r="V2416" s="47" t="n">
        <f aca="false">V2415+IF(OR(O2416&lt;&gt;"",W2416&lt;&gt;""),1,0)</f>
        <v>3</v>
      </c>
      <c r="W2416" s="29"/>
    </row>
    <row r="2417" customFormat="false" ht="15" hidden="false" customHeight="false" outlineLevel="0" collapsed="false">
      <c r="A2417" s="32" t="str">
        <f aca="false">IF(B2417="","",ROW()-7)</f>
        <v/>
      </c>
      <c r="B2417" s="30"/>
      <c r="C2417" s="29"/>
      <c r="D2417" s="29"/>
      <c r="E2417" s="29"/>
      <c r="F2417" s="30"/>
      <c r="G2417" s="29"/>
      <c r="H2417" s="30"/>
      <c r="I2417" s="29"/>
      <c r="J2417" s="30"/>
      <c r="K2417" s="30"/>
      <c r="L2417" s="29"/>
      <c r="M2417" s="32" t="str">
        <f aca="false">IF(OR(C2417="",L2417=""),"",IF(C2417=L2417,"同一","変更"))</f>
        <v/>
      </c>
      <c r="N2417" s="29"/>
      <c r="O2417" s="30"/>
      <c r="P2417" s="29"/>
      <c r="Q2417" s="31"/>
      <c r="R2417" s="29"/>
      <c r="S2417" s="29"/>
      <c r="T2417" s="30"/>
      <c r="U2417" s="47" t="str">
        <f aca="false">IF(AND(B2417&lt;&gt;"",B2417=SW別シート!$C$3),COUNTIF(B$5:B2417,B2417),"")</f>
        <v/>
      </c>
      <c r="V2417" s="47" t="n">
        <f aca="false">V2416+IF(OR(O2417&lt;&gt;"",W2417&lt;&gt;""),1,0)</f>
        <v>3</v>
      </c>
      <c r="W2417" s="29"/>
    </row>
    <row r="2418" customFormat="false" ht="15" hidden="false" customHeight="false" outlineLevel="0" collapsed="false">
      <c r="A2418" s="32" t="str">
        <f aca="false">IF(B2418="","",ROW()-7)</f>
        <v/>
      </c>
      <c r="B2418" s="30"/>
      <c r="C2418" s="29"/>
      <c r="D2418" s="29"/>
      <c r="E2418" s="29"/>
      <c r="F2418" s="30"/>
      <c r="G2418" s="29"/>
      <c r="H2418" s="30"/>
      <c r="I2418" s="29"/>
      <c r="J2418" s="30"/>
      <c r="K2418" s="30"/>
      <c r="L2418" s="29"/>
      <c r="M2418" s="32" t="str">
        <f aca="false">IF(OR(C2418="",L2418=""),"",IF(C2418=L2418,"同一","変更"))</f>
        <v/>
      </c>
      <c r="N2418" s="29"/>
      <c r="O2418" s="30"/>
      <c r="P2418" s="29"/>
      <c r="Q2418" s="31"/>
      <c r="R2418" s="29"/>
      <c r="S2418" s="29"/>
      <c r="T2418" s="30"/>
      <c r="U2418" s="47" t="str">
        <f aca="false">IF(AND(B2418&lt;&gt;"",B2418=SW別シート!$C$3),COUNTIF(B$5:B2418,B2418),"")</f>
        <v/>
      </c>
      <c r="V2418" s="47" t="n">
        <f aca="false">V2417+IF(OR(O2418&lt;&gt;"",W2418&lt;&gt;""),1,0)</f>
        <v>3</v>
      </c>
      <c r="W2418" s="29"/>
    </row>
    <row r="2419" customFormat="false" ht="15" hidden="false" customHeight="false" outlineLevel="0" collapsed="false">
      <c r="A2419" s="32" t="str">
        <f aca="false">IF(B2419="","",ROW()-7)</f>
        <v/>
      </c>
      <c r="B2419" s="30"/>
      <c r="C2419" s="29"/>
      <c r="D2419" s="29"/>
      <c r="E2419" s="29"/>
      <c r="F2419" s="30"/>
      <c r="G2419" s="29"/>
      <c r="H2419" s="30"/>
      <c r="I2419" s="29"/>
      <c r="J2419" s="30"/>
      <c r="K2419" s="30"/>
      <c r="L2419" s="29"/>
      <c r="M2419" s="32" t="str">
        <f aca="false">IF(OR(C2419="",L2419=""),"",IF(C2419=L2419,"同一","変更"))</f>
        <v/>
      </c>
      <c r="N2419" s="29"/>
      <c r="O2419" s="30"/>
      <c r="P2419" s="29"/>
      <c r="Q2419" s="31"/>
      <c r="R2419" s="29"/>
      <c r="S2419" s="29"/>
      <c r="T2419" s="30"/>
      <c r="U2419" s="47" t="str">
        <f aca="false">IF(AND(B2419&lt;&gt;"",B2419=SW別シート!$C$3),COUNTIF(B$5:B2419,B2419),"")</f>
        <v/>
      </c>
      <c r="V2419" s="47" t="n">
        <f aca="false">V2418+IF(OR(O2419&lt;&gt;"",W2419&lt;&gt;""),1,0)</f>
        <v>3</v>
      </c>
      <c r="W2419" s="29"/>
    </row>
    <row r="2420" customFormat="false" ht="15" hidden="false" customHeight="false" outlineLevel="0" collapsed="false">
      <c r="A2420" s="32" t="str">
        <f aca="false">IF(B2420="","",ROW()-7)</f>
        <v/>
      </c>
      <c r="B2420" s="30"/>
      <c r="C2420" s="29"/>
      <c r="D2420" s="29"/>
      <c r="E2420" s="29"/>
      <c r="F2420" s="30"/>
      <c r="G2420" s="29"/>
      <c r="H2420" s="30"/>
      <c r="I2420" s="29"/>
      <c r="J2420" s="30"/>
      <c r="K2420" s="30"/>
      <c r="L2420" s="29"/>
      <c r="M2420" s="32" t="str">
        <f aca="false">IF(OR(C2420="",L2420=""),"",IF(C2420=L2420,"同一","変更"))</f>
        <v/>
      </c>
      <c r="N2420" s="29"/>
      <c r="O2420" s="30"/>
      <c r="P2420" s="29"/>
      <c r="Q2420" s="31"/>
      <c r="R2420" s="29"/>
      <c r="S2420" s="29"/>
      <c r="T2420" s="30"/>
      <c r="U2420" s="47" t="str">
        <f aca="false">IF(AND(B2420&lt;&gt;"",B2420=SW別シート!$C$3),COUNTIF(B$5:B2420,B2420),"")</f>
        <v/>
      </c>
      <c r="V2420" s="47" t="n">
        <f aca="false">V2419+IF(OR(O2420&lt;&gt;"",W2420&lt;&gt;""),1,0)</f>
        <v>3</v>
      </c>
      <c r="W2420" s="29"/>
    </row>
    <row r="2421" customFormat="false" ht="15" hidden="false" customHeight="false" outlineLevel="0" collapsed="false">
      <c r="A2421" s="32" t="str">
        <f aca="false">IF(B2421="","",ROW()-7)</f>
        <v/>
      </c>
      <c r="B2421" s="30"/>
      <c r="C2421" s="29"/>
      <c r="D2421" s="29"/>
      <c r="E2421" s="29"/>
      <c r="F2421" s="30"/>
      <c r="G2421" s="29"/>
      <c r="H2421" s="30"/>
      <c r="I2421" s="29"/>
      <c r="J2421" s="30"/>
      <c r="K2421" s="30"/>
      <c r="L2421" s="29"/>
      <c r="M2421" s="32" t="str">
        <f aca="false">IF(OR(C2421="",L2421=""),"",IF(C2421=L2421,"同一","変更"))</f>
        <v/>
      </c>
      <c r="N2421" s="29"/>
      <c r="O2421" s="30"/>
      <c r="P2421" s="29"/>
      <c r="Q2421" s="31"/>
      <c r="R2421" s="29"/>
      <c r="S2421" s="29"/>
      <c r="T2421" s="30"/>
      <c r="U2421" s="47" t="str">
        <f aca="false">IF(AND(B2421&lt;&gt;"",B2421=SW別シート!$C$3),COUNTIF(B$5:B2421,B2421),"")</f>
        <v/>
      </c>
      <c r="V2421" s="47" t="n">
        <f aca="false">V2420+IF(OR(O2421&lt;&gt;"",W2421&lt;&gt;""),1,0)</f>
        <v>3</v>
      </c>
      <c r="W2421" s="29"/>
    </row>
    <row r="2422" customFormat="false" ht="15" hidden="false" customHeight="false" outlineLevel="0" collapsed="false">
      <c r="A2422" s="32" t="str">
        <f aca="false">IF(B2422="","",ROW()-7)</f>
        <v/>
      </c>
      <c r="B2422" s="30"/>
      <c r="C2422" s="29"/>
      <c r="D2422" s="29"/>
      <c r="E2422" s="29"/>
      <c r="F2422" s="30"/>
      <c r="G2422" s="29"/>
      <c r="H2422" s="30"/>
      <c r="I2422" s="29"/>
      <c r="J2422" s="30"/>
      <c r="K2422" s="30"/>
      <c r="L2422" s="29"/>
      <c r="M2422" s="32" t="str">
        <f aca="false">IF(OR(C2422="",L2422=""),"",IF(C2422=L2422,"同一","変更"))</f>
        <v/>
      </c>
      <c r="N2422" s="29"/>
      <c r="O2422" s="30"/>
      <c r="P2422" s="29"/>
      <c r="Q2422" s="31"/>
      <c r="R2422" s="29"/>
      <c r="S2422" s="29"/>
      <c r="T2422" s="30"/>
      <c r="U2422" s="47" t="str">
        <f aca="false">IF(AND(B2422&lt;&gt;"",B2422=SW別シート!$C$3),COUNTIF(B$5:B2422,B2422),"")</f>
        <v/>
      </c>
      <c r="V2422" s="47" t="n">
        <f aca="false">V2421+IF(OR(O2422&lt;&gt;"",W2422&lt;&gt;""),1,0)</f>
        <v>3</v>
      </c>
      <c r="W2422" s="29"/>
    </row>
    <row r="2423" customFormat="false" ht="15" hidden="false" customHeight="false" outlineLevel="0" collapsed="false">
      <c r="A2423" s="32" t="str">
        <f aca="false">IF(B2423="","",ROW()-7)</f>
        <v/>
      </c>
      <c r="B2423" s="30"/>
      <c r="C2423" s="29"/>
      <c r="D2423" s="29"/>
      <c r="E2423" s="29"/>
      <c r="F2423" s="30"/>
      <c r="G2423" s="29"/>
      <c r="H2423" s="30"/>
      <c r="I2423" s="29"/>
      <c r="J2423" s="30"/>
      <c r="K2423" s="30"/>
      <c r="L2423" s="29"/>
      <c r="M2423" s="32" t="str">
        <f aca="false">IF(OR(C2423="",L2423=""),"",IF(C2423=L2423,"同一","変更"))</f>
        <v/>
      </c>
      <c r="N2423" s="29"/>
      <c r="O2423" s="30"/>
      <c r="P2423" s="29"/>
      <c r="Q2423" s="31"/>
      <c r="R2423" s="29"/>
      <c r="S2423" s="29"/>
      <c r="T2423" s="30"/>
      <c r="U2423" s="47" t="str">
        <f aca="false">IF(AND(B2423&lt;&gt;"",B2423=SW別シート!$C$3),COUNTIF(B$5:B2423,B2423),"")</f>
        <v/>
      </c>
      <c r="V2423" s="47" t="n">
        <f aca="false">V2422+IF(OR(O2423&lt;&gt;"",W2423&lt;&gt;""),1,0)</f>
        <v>3</v>
      </c>
      <c r="W2423" s="29"/>
    </row>
    <row r="2424" customFormat="false" ht="15" hidden="false" customHeight="false" outlineLevel="0" collapsed="false">
      <c r="A2424" s="32" t="str">
        <f aca="false">IF(B2424="","",ROW()-7)</f>
        <v/>
      </c>
      <c r="B2424" s="30"/>
      <c r="C2424" s="29"/>
      <c r="D2424" s="29"/>
      <c r="E2424" s="29"/>
      <c r="F2424" s="30"/>
      <c r="G2424" s="29"/>
      <c r="H2424" s="30"/>
      <c r="I2424" s="29"/>
      <c r="J2424" s="30"/>
      <c r="K2424" s="30"/>
      <c r="L2424" s="29"/>
      <c r="M2424" s="32" t="str">
        <f aca="false">IF(OR(C2424="",L2424=""),"",IF(C2424=L2424,"同一","変更"))</f>
        <v/>
      </c>
      <c r="N2424" s="29"/>
      <c r="O2424" s="30"/>
      <c r="P2424" s="29"/>
      <c r="Q2424" s="31"/>
      <c r="R2424" s="29"/>
      <c r="S2424" s="29"/>
      <c r="T2424" s="30"/>
      <c r="U2424" s="47" t="str">
        <f aca="false">IF(AND(B2424&lt;&gt;"",B2424=SW別シート!$C$3),COUNTIF(B$5:B2424,B2424),"")</f>
        <v/>
      </c>
      <c r="V2424" s="47" t="n">
        <f aca="false">V2423+IF(OR(O2424&lt;&gt;"",W2424&lt;&gt;""),1,0)</f>
        <v>3</v>
      </c>
      <c r="W2424" s="29"/>
    </row>
    <row r="2425" customFormat="false" ht="15" hidden="false" customHeight="false" outlineLevel="0" collapsed="false">
      <c r="A2425" s="32" t="str">
        <f aca="false">IF(B2425="","",ROW()-7)</f>
        <v/>
      </c>
      <c r="B2425" s="30"/>
      <c r="C2425" s="29"/>
      <c r="D2425" s="29"/>
      <c r="E2425" s="29"/>
      <c r="F2425" s="30"/>
      <c r="G2425" s="29"/>
      <c r="H2425" s="30"/>
      <c r="I2425" s="29"/>
      <c r="J2425" s="30"/>
      <c r="K2425" s="30"/>
      <c r="L2425" s="29"/>
      <c r="M2425" s="32" t="str">
        <f aca="false">IF(OR(C2425="",L2425=""),"",IF(C2425=L2425,"同一","変更"))</f>
        <v/>
      </c>
      <c r="N2425" s="29"/>
      <c r="O2425" s="30"/>
      <c r="P2425" s="29"/>
      <c r="Q2425" s="31"/>
      <c r="R2425" s="29"/>
      <c r="S2425" s="29"/>
      <c r="T2425" s="30"/>
      <c r="U2425" s="47" t="str">
        <f aca="false">IF(AND(B2425&lt;&gt;"",B2425=SW別シート!$C$3),COUNTIF(B$5:B2425,B2425),"")</f>
        <v/>
      </c>
      <c r="V2425" s="47" t="n">
        <f aca="false">V2424+IF(OR(O2425&lt;&gt;"",W2425&lt;&gt;""),1,0)</f>
        <v>3</v>
      </c>
      <c r="W2425" s="29"/>
    </row>
    <row r="2426" customFormat="false" ht="15" hidden="false" customHeight="false" outlineLevel="0" collapsed="false">
      <c r="A2426" s="32" t="str">
        <f aca="false">IF(B2426="","",ROW()-7)</f>
        <v/>
      </c>
      <c r="B2426" s="30"/>
      <c r="C2426" s="29"/>
      <c r="D2426" s="29"/>
      <c r="E2426" s="29"/>
      <c r="F2426" s="30"/>
      <c r="G2426" s="29"/>
      <c r="H2426" s="30"/>
      <c r="I2426" s="29"/>
      <c r="J2426" s="30"/>
      <c r="K2426" s="30"/>
      <c r="L2426" s="29"/>
      <c r="M2426" s="32" t="str">
        <f aca="false">IF(OR(C2426="",L2426=""),"",IF(C2426=L2426,"同一","変更"))</f>
        <v/>
      </c>
      <c r="N2426" s="29"/>
      <c r="O2426" s="30"/>
      <c r="P2426" s="29"/>
      <c r="Q2426" s="31"/>
      <c r="R2426" s="29"/>
      <c r="S2426" s="29"/>
      <c r="T2426" s="30"/>
      <c r="U2426" s="47" t="str">
        <f aca="false">IF(AND(B2426&lt;&gt;"",B2426=SW別シート!$C$3),COUNTIF(B$5:B2426,B2426),"")</f>
        <v/>
      </c>
      <c r="V2426" s="47" t="n">
        <f aca="false">V2425+IF(OR(O2426&lt;&gt;"",W2426&lt;&gt;""),1,0)</f>
        <v>3</v>
      </c>
      <c r="W2426" s="29"/>
    </row>
    <row r="2427" customFormat="false" ht="15" hidden="false" customHeight="false" outlineLevel="0" collapsed="false">
      <c r="A2427" s="32" t="str">
        <f aca="false">IF(B2427="","",ROW()-7)</f>
        <v/>
      </c>
      <c r="B2427" s="30"/>
      <c r="C2427" s="29"/>
      <c r="D2427" s="29"/>
      <c r="E2427" s="29"/>
      <c r="F2427" s="30"/>
      <c r="G2427" s="29"/>
      <c r="H2427" s="30"/>
      <c r="I2427" s="29"/>
      <c r="J2427" s="30"/>
      <c r="K2427" s="30"/>
      <c r="L2427" s="29"/>
      <c r="M2427" s="32" t="str">
        <f aca="false">IF(OR(C2427="",L2427=""),"",IF(C2427=L2427,"同一","変更"))</f>
        <v/>
      </c>
      <c r="N2427" s="29"/>
      <c r="O2427" s="30"/>
      <c r="P2427" s="29"/>
      <c r="Q2427" s="31"/>
      <c r="R2427" s="29"/>
      <c r="S2427" s="29"/>
      <c r="T2427" s="30"/>
      <c r="U2427" s="47" t="str">
        <f aca="false">IF(AND(B2427&lt;&gt;"",B2427=SW別シート!$C$3),COUNTIF(B$5:B2427,B2427),"")</f>
        <v/>
      </c>
      <c r="V2427" s="47" t="n">
        <f aca="false">V2426+IF(OR(O2427&lt;&gt;"",W2427&lt;&gt;""),1,0)</f>
        <v>3</v>
      </c>
      <c r="W2427" s="29"/>
    </row>
    <row r="2428" customFormat="false" ht="15" hidden="false" customHeight="false" outlineLevel="0" collapsed="false">
      <c r="A2428" s="32" t="str">
        <f aca="false">IF(B2428="","",ROW()-7)</f>
        <v/>
      </c>
      <c r="B2428" s="30"/>
      <c r="C2428" s="29"/>
      <c r="D2428" s="29"/>
      <c r="E2428" s="29"/>
      <c r="F2428" s="30"/>
      <c r="G2428" s="29"/>
      <c r="H2428" s="30"/>
      <c r="I2428" s="29"/>
      <c r="J2428" s="30"/>
      <c r="K2428" s="30"/>
      <c r="L2428" s="29"/>
      <c r="M2428" s="32" t="str">
        <f aca="false">IF(OR(C2428="",L2428=""),"",IF(C2428=L2428,"同一","変更"))</f>
        <v/>
      </c>
      <c r="N2428" s="29"/>
      <c r="O2428" s="30"/>
      <c r="P2428" s="29"/>
      <c r="Q2428" s="31"/>
      <c r="R2428" s="29"/>
      <c r="S2428" s="29"/>
      <c r="T2428" s="30"/>
      <c r="U2428" s="47" t="str">
        <f aca="false">IF(AND(B2428&lt;&gt;"",B2428=SW別シート!$C$3),COUNTIF(B$5:B2428,B2428),"")</f>
        <v/>
      </c>
      <c r="V2428" s="47" t="n">
        <f aca="false">V2427+IF(OR(O2428&lt;&gt;"",W2428&lt;&gt;""),1,0)</f>
        <v>3</v>
      </c>
      <c r="W2428" s="29"/>
    </row>
    <row r="2429" customFormat="false" ht="15" hidden="false" customHeight="false" outlineLevel="0" collapsed="false">
      <c r="A2429" s="32" t="str">
        <f aca="false">IF(B2429="","",ROW()-7)</f>
        <v/>
      </c>
      <c r="B2429" s="30"/>
      <c r="C2429" s="29"/>
      <c r="D2429" s="29"/>
      <c r="E2429" s="29"/>
      <c r="F2429" s="30"/>
      <c r="G2429" s="29"/>
      <c r="H2429" s="30"/>
      <c r="I2429" s="29"/>
      <c r="J2429" s="30"/>
      <c r="K2429" s="30"/>
      <c r="L2429" s="29"/>
      <c r="M2429" s="32" t="str">
        <f aca="false">IF(OR(C2429="",L2429=""),"",IF(C2429=L2429,"同一","変更"))</f>
        <v/>
      </c>
      <c r="N2429" s="29"/>
      <c r="O2429" s="30"/>
      <c r="P2429" s="29"/>
      <c r="Q2429" s="31"/>
      <c r="R2429" s="29"/>
      <c r="S2429" s="29"/>
      <c r="T2429" s="30"/>
      <c r="U2429" s="47" t="str">
        <f aca="false">IF(AND(B2429&lt;&gt;"",B2429=SW別シート!$C$3),COUNTIF(B$5:B2429,B2429),"")</f>
        <v/>
      </c>
      <c r="V2429" s="47" t="n">
        <f aca="false">V2428+IF(OR(O2429&lt;&gt;"",W2429&lt;&gt;""),1,0)</f>
        <v>3</v>
      </c>
      <c r="W2429" s="29"/>
    </row>
    <row r="2430" customFormat="false" ht="15" hidden="false" customHeight="false" outlineLevel="0" collapsed="false">
      <c r="A2430" s="32" t="str">
        <f aca="false">IF(B2430="","",ROW()-7)</f>
        <v/>
      </c>
      <c r="B2430" s="30"/>
      <c r="C2430" s="29"/>
      <c r="D2430" s="29"/>
      <c r="E2430" s="29"/>
      <c r="F2430" s="30"/>
      <c r="G2430" s="29"/>
      <c r="H2430" s="30"/>
      <c r="I2430" s="29"/>
      <c r="J2430" s="30"/>
      <c r="K2430" s="30"/>
      <c r="L2430" s="29"/>
      <c r="M2430" s="32" t="str">
        <f aca="false">IF(OR(C2430="",L2430=""),"",IF(C2430=L2430,"同一","変更"))</f>
        <v/>
      </c>
      <c r="N2430" s="29"/>
      <c r="O2430" s="30"/>
      <c r="P2430" s="29"/>
      <c r="Q2430" s="31"/>
      <c r="R2430" s="29"/>
      <c r="S2430" s="29"/>
      <c r="T2430" s="30"/>
      <c r="U2430" s="47" t="str">
        <f aca="false">IF(AND(B2430&lt;&gt;"",B2430=SW別シート!$C$3),COUNTIF(B$5:B2430,B2430),"")</f>
        <v/>
      </c>
      <c r="V2430" s="47" t="n">
        <f aca="false">V2429+IF(OR(O2430&lt;&gt;"",W2430&lt;&gt;""),1,0)</f>
        <v>3</v>
      </c>
      <c r="W2430" s="29"/>
    </row>
    <row r="2431" customFormat="false" ht="15" hidden="false" customHeight="false" outlineLevel="0" collapsed="false">
      <c r="A2431" s="32" t="str">
        <f aca="false">IF(B2431="","",ROW()-7)</f>
        <v/>
      </c>
      <c r="B2431" s="30"/>
      <c r="C2431" s="29"/>
      <c r="D2431" s="29"/>
      <c r="E2431" s="29"/>
      <c r="F2431" s="30"/>
      <c r="G2431" s="29"/>
      <c r="H2431" s="30"/>
      <c r="I2431" s="29"/>
      <c r="J2431" s="30"/>
      <c r="K2431" s="30"/>
      <c r="L2431" s="29"/>
      <c r="M2431" s="32" t="str">
        <f aca="false">IF(OR(C2431="",L2431=""),"",IF(C2431=L2431,"同一","変更"))</f>
        <v/>
      </c>
      <c r="N2431" s="29"/>
      <c r="O2431" s="30"/>
      <c r="P2431" s="29"/>
      <c r="Q2431" s="31"/>
      <c r="R2431" s="29"/>
      <c r="S2431" s="29"/>
      <c r="T2431" s="30"/>
      <c r="U2431" s="47" t="str">
        <f aca="false">IF(AND(B2431&lt;&gt;"",B2431=SW別シート!$C$3),COUNTIF(B$5:B2431,B2431),"")</f>
        <v/>
      </c>
      <c r="V2431" s="47" t="n">
        <f aca="false">V2430+IF(OR(O2431&lt;&gt;"",W2431&lt;&gt;""),1,0)</f>
        <v>3</v>
      </c>
      <c r="W2431" s="29"/>
    </row>
    <row r="2432" customFormat="false" ht="15" hidden="false" customHeight="false" outlineLevel="0" collapsed="false">
      <c r="A2432" s="32" t="str">
        <f aca="false">IF(B2432="","",ROW()-7)</f>
        <v/>
      </c>
      <c r="B2432" s="30"/>
      <c r="C2432" s="29"/>
      <c r="D2432" s="29"/>
      <c r="E2432" s="29"/>
      <c r="F2432" s="30"/>
      <c r="G2432" s="29"/>
      <c r="H2432" s="30"/>
      <c r="I2432" s="29"/>
      <c r="J2432" s="30"/>
      <c r="K2432" s="30"/>
      <c r="L2432" s="29"/>
      <c r="M2432" s="32" t="str">
        <f aca="false">IF(OR(C2432="",L2432=""),"",IF(C2432=L2432,"同一","変更"))</f>
        <v/>
      </c>
      <c r="N2432" s="29"/>
      <c r="O2432" s="30"/>
      <c r="P2432" s="29"/>
      <c r="Q2432" s="31"/>
      <c r="R2432" s="29"/>
      <c r="S2432" s="29"/>
      <c r="T2432" s="30"/>
      <c r="U2432" s="47" t="str">
        <f aca="false">IF(AND(B2432&lt;&gt;"",B2432=SW別シート!$C$3),COUNTIF(B$5:B2432,B2432),"")</f>
        <v/>
      </c>
      <c r="V2432" s="47" t="n">
        <f aca="false">V2431+IF(OR(O2432&lt;&gt;"",W2432&lt;&gt;""),1,0)</f>
        <v>3</v>
      </c>
      <c r="W2432" s="29"/>
    </row>
    <row r="2433" customFormat="false" ht="15" hidden="false" customHeight="false" outlineLevel="0" collapsed="false">
      <c r="A2433" s="32" t="str">
        <f aca="false">IF(B2433="","",ROW()-7)</f>
        <v/>
      </c>
      <c r="B2433" s="30"/>
      <c r="C2433" s="29"/>
      <c r="D2433" s="29"/>
      <c r="E2433" s="29"/>
      <c r="F2433" s="30"/>
      <c r="G2433" s="29"/>
      <c r="H2433" s="30"/>
      <c r="I2433" s="29"/>
      <c r="J2433" s="30"/>
      <c r="K2433" s="30"/>
      <c r="L2433" s="29"/>
      <c r="M2433" s="32" t="str">
        <f aca="false">IF(OR(C2433="",L2433=""),"",IF(C2433=L2433,"同一","変更"))</f>
        <v/>
      </c>
      <c r="N2433" s="29"/>
      <c r="O2433" s="30"/>
      <c r="P2433" s="29"/>
      <c r="Q2433" s="31"/>
      <c r="R2433" s="29"/>
      <c r="S2433" s="29"/>
      <c r="T2433" s="30"/>
      <c r="U2433" s="47" t="str">
        <f aca="false">IF(AND(B2433&lt;&gt;"",B2433=SW別シート!$C$3),COUNTIF(B$5:B2433,B2433),"")</f>
        <v/>
      </c>
      <c r="V2433" s="47" t="n">
        <f aca="false">V2432+IF(OR(O2433&lt;&gt;"",W2433&lt;&gt;""),1,0)</f>
        <v>3</v>
      </c>
      <c r="W2433" s="29"/>
    </row>
    <row r="2434" customFormat="false" ht="15" hidden="false" customHeight="false" outlineLevel="0" collapsed="false">
      <c r="A2434" s="32" t="str">
        <f aca="false">IF(B2434="","",ROW()-7)</f>
        <v/>
      </c>
      <c r="B2434" s="30"/>
      <c r="C2434" s="29"/>
      <c r="D2434" s="29"/>
      <c r="E2434" s="29"/>
      <c r="F2434" s="30"/>
      <c r="G2434" s="29"/>
      <c r="H2434" s="30"/>
      <c r="I2434" s="29"/>
      <c r="J2434" s="30"/>
      <c r="K2434" s="30"/>
      <c r="L2434" s="29"/>
      <c r="M2434" s="32" t="str">
        <f aca="false">IF(OR(C2434="",L2434=""),"",IF(C2434=L2434,"同一","変更"))</f>
        <v/>
      </c>
      <c r="N2434" s="29"/>
      <c r="O2434" s="30"/>
      <c r="P2434" s="29"/>
      <c r="Q2434" s="31"/>
      <c r="R2434" s="29"/>
      <c r="S2434" s="29"/>
      <c r="T2434" s="30"/>
      <c r="U2434" s="47" t="str">
        <f aca="false">IF(AND(B2434&lt;&gt;"",B2434=SW別シート!$C$3),COUNTIF(B$5:B2434,B2434),"")</f>
        <v/>
      </c>
      <c r="V2434" s="47" t="n">
        <f aca="false">V2433+IF(OR(O2434&lt;&gt;"",W2434&lt;&gt;""),1,0)</f>
        <v>3</v>
      </c>
      <c r="W2434" s="29"/>
    </row>
    <row r="2435" customFormat="false" ht="15" hidden="false" customHeight="false" outlineLevel="0" collapsed="false">
      <c r="A2435" s="32" t="str">
        <f aca="false">IF(B2435="","",ROW()-7)</f>
        <v/>
      </c>
      <c r="B2435" s="30"/>
      <c r="C2435" s="29"/>
      <c r="D2435" s="29"/>
      <c r="E2435" s="29"/>
      <c r="F2435" s="30"/>
      <c r="G2435" s="29"/>
      <c r="H2435" s="30"/>
      <c r="I2435" s="29"/>
      <c r="J2435" s="30"/>
      <c r="K2435" s="30"/>
      <c r="L2435" s="29"/>
      <c r="M2435" s="32" t="str">
        <f aca="false">IF(OR(C2435="",L2435=""),"",IF(C2435=L2435,"同一","変更"))</f>
        <v/>
      </c>
      <c r="N2435" s="29"/>
      <c r="O2435" s="30"/>
      <c r="P2435" s="29"/>
      <c r="Q2435" s="31"/>
      <c r="R2435" s="29"/>
      <c r="S2435" s="29"/>
      <c r="T2435" s="30"/>
      <c r="U2435" s="47" t="str">
        <f aca="false">IF(AND(B2435&lt;&gt;"",B2435=SW別シート!$C$3),COUNTIF(B$5:B2435,B2435),"")</f>
        <v/>
      </c>
      <c r="V2435" s="47" t="n">
        <f aca="false">V2434+IF(OR(O2435&lt;&gt;"",W2435&lt;&gt;""),1,0)</f>
        <v>3</v>
      </c>
      <c r="W2435" s="29"/>
    </row>
    <row r="2436" customFormat="false" ht="15" hidden="false" customHeight="false" outlineLevel="0" collapsed="false">
      <c r="A2436" s="32" t="str">
        <f aca="false">IF(B2436="","",ROW()-7)</f>
        <v/>
      </c>
      <c r="B2436" s="30"/>
      <c r="C2436" s="29"/>
      <c r="D2436" s="29"/>
      <c r="E2436" s="29"/>
      <c r="F2436" s="30"/>
      <c r="G2436" s="29"/>
      <c r="H2436" s="30"/>
      <c r="I2436" s="29"/>
      <c r="J2436" s="30"/>
      <c r="K2436" s="30"/>
      <c r="L2436" s="29"/>
      <c r="M2436" s="32" t="str">
        <f aca="false">IF(OR(C2436="",L2436=""),"",IF(C2436=L2436,"同一","変更"))</f>
        <v/>
      </c>
      <c r="N2436" s="29"/>
      <c r="O2436" s="30"/>
      <c r="P2436" s="29"/>
      <c r="Q2436" s="31"/>
      <c r="R2436" s="29"/>
      <c r="S2436" s="29"/>
      <c r="T2436" s="30"/>
      <c r="U2436" s="47" t="str">
        <f aca="false">IF(AND(B2436&lt;&gt;"",B2436=SW別シート!$C$3),COUNTIF(B$5:B2436,B2436),"")</f>
        <v/>
      </c>
      <c r="V2436" s="47" t="n">
        <f aca="false">V2435+IF(OR(O2436&lt;&gt;"",W2436&lt;&gt;""),1,0)</f>
        <v>3</v>
      </c>
      <c r="W2436" s="29"/>
    </row>
    <row r="2437" customFormat="false" ht="15" hidden="false" customHeight="false" outlineLevel="0" collapsed="false">
      <c r="A2437" s="32" t="str">
        <f aca="false">IF(B2437="","",ROW()-7)</f>
        <v/>
      </c>
      <c r="B2437" s="30"/>
      <c r="C2437" s="29"/>
      <c r="D2437" s="29"/>
      <c r="E2437" s="29"/>
      <c r="F2437" s="30"/>
      <c r="G2437" s="29"/>
      <c r="H2437" s="30"/>
      <c r="I2437" s="29"/>
      <c r="J2437" s="30"/>
      <c r="K2437" s="30"/>
      <c r="L2437" s="29"/>
      <c r="M2437" s="32" t="str">
        <f aca="false">IF(OR(C2437="",L2437=""),"",IF(C2437=L2437,"同一","変更"))</f>
        <v/>
      </c>
      <c r="N2437" s="29"/>
      <c r="O2437" s="30"/>
      <c r="P2437" s="29"/>
      <c r="Q2437" s="31"/>
      <c r="R2437" s="29"/>
      <c r="S2437" s="29"/>
      <c r="T2437" s="30"/>
      <c r="U2437" s="47" t="str">
        <f aca="false">IF(AND(B2437&lt;&gt;"",B2437=SW別シート!$C$3),COUNTIF(B$5:B2437,B2437),"")</f>
        <v/>
      </c>
      <c r="V2437" s="47" t="n">
        <f aca="false">V2436+IF(OR(O2437&lt;&gt;"",W2437&lt;&gt;""),1,0)</f>
        <v>3</v>
      </c>
      <c r="W2437" s="29"/>
    </row>
    <row r="2438" customFormat="false" ht="15" hidden="false" customHeight="false" outlineLevel="0" collapsed="false">
      <c r="A2438" s="32" t="str">
        <f aca="false">IF(B2438="","",ROW()-7)</f>
        <v/>
      </c>
      <c r="B2438" s="30"/>
      <c r="C2438" s="29"/>
      <c r="D2438" s="29"/>
      <c r="E2438" s="29"/>
      <c r="F2438" s="30"/>
      <c r="G2438" s="29"/>
      <c r="H2438" s="30"/>
      <c r="I2438" s="29"/>
      <c r="J2438" s="30"/>
      <c r="K2438" s="30"/>
      <c r="L2438" s="29"/>
      <c r="M2438" s="32" t="str">
        <f aca="false">IF(OR(C2438="",L2438=""),"",IF(C2438=L2438,"同一","変更"))</f>
        <v/>
      </c>
      <c r="N2438" s="29"/>
      <c r="O2438" s="30"/>
      <c r="P2438" s="29"/>
      <c r="Q2438" s="31"/>
      <c r="R2438" s="29"/>
      <c r="S2438" s="29"/>
      <c r="T2438" s="30"/>
      <c r="U2438" s="47" t="str">
        <f aca="false">IF(AND(B2438&lt;&gt;"",B2438=SW別シート!$C$3),COUNTIF(B$5:B2438,B2438),"")</f>
        <v/>
      </c>
      <c r="V2438" s="47" t="n">
        <f aca="false">V2437+IF(OR(O2438&lt;&gt;"",W2438&lt;&gt;""),1,0)</f>
        <v>3</v>
      </c>
      <c r="W2438" s="29"/>
    </row>
    <row r="2439" customFormat="false" ht="15" hidden="false" customHeight="false" outlineLevel="0" collapsed="false">
      <c r="A2439" s="32" t="str">
        <f aca="false">IF(B2439="","",ROW()-7)</f>
        <v/>
      </c>
      <c r="B2439" s="30"/>
      <c r="C2439" s="29"/>
      <c r="D2439" s="29"/>
      <c r="E2439" s="29"/>
      <c r="F2439" s="30"/>
      <c r="G2439" s="29"/>
      <c r="H2439" s="30"/>
      <c r="I2439" s="29"/>
      <c r="J2439" s="30"/>
      <c r="K2439" s="30"/>
      <c r="L2439" s="29"/>
      <c r="M2439" s="32" t="str">
        <f aca="false">IF(OR(C2439="",L2439=""),"",IF(C2439=L2439,"同一","変更"))</f>
        <v/>
      </c>
      <c r="N2439" s="29"/>
      <c r="O2439" s="30"/>
      <c r="P2439" s="29"/>
      <c r="Q2439" s="31"/>
      <c r="R2439" s="29"/>
      <c r="S2439" s="29"/>
      <c r="T2439" s="30"/>
      <c r="U2439" s="47" t="str">
        <f aca="false">IF(AND(B2439&lt;&gt;"",B2439=SW別シート!$C$3),COUNTIF(B$5:B2439,B2439),"")</f>
        <v/>
      </c>
      <c r="V2439" s="47" t="n">
        <f aca="false">V2438+IF(OR(O2439&lt;&gt;"",W2439&lt;&gt;""),1,0)</f>
        <v>3</v>
      </c>
      <c r="W2439" s="29"/>
    </row>
    <row r="2440" customFormat="false" ht="15" hidden="false" customHeight="false" outlineLevel="0" collapsed="false">
      <c r="A2440" s="32" t="str">
        <f aca="false">IF(B2440="","",ROW()-7)</f>
        <v/>
      </c>
      <c r="B2440" s="30"/>
      <c r="C2440" s="29"/>
      <c r="D2440" s="29"/>
      <c r="E2440" s="29"/>
      <c r="F2440" s="30"/>
      <c r="G2440" s="29"/>
      <c r="H2440" s="30"/>
      <c r="I2440" s="29"/>
      <c r="J2440" s="30"/>
      <c r="K2440" s="30"/>
      <c r="L2440" s="29"/>
      <c r="M2440" s="32" t="str">
        <f aca="false">IF(OR(C2440="",L2440=""),"",IF(C2440=L2440,"同一","変更"))</f>
        <v/>
      </c>
      <c r="N2440" s="29"/>
      <c r="O2440" s="30"/>
      <c r="P2440" s="29"/>
      <c r="Q2440" s="31"/>
      <c r="R2440" s="29"/>
      <c r="S2440" s="29"/>
      <c r="T2440" s="30"/>
      <c r="U2440" s="47" t="str">
        <f aca="false">IF(AND(B2440&lt;&gt;"",B2440=SW別シート!$C$3),COUNTIF(B$5:B2440,B2440),"")</f>
        <v/>
      </c>
      <c r="V2440" s="47" t="n">
        <f aca="false">V2439+IF(OR(O2440&lt;&gt;"",W2440&lt;&gt;""),1,0)</f>
        <v>3</v>
      </c>
      <c r="W2440" s="29"/>
    </row>
    <row r="2441" customFormat="false" ht="15" hidden="false" customHeight="false" outlineLevel="0" collapsed="false">
      <c r="A2441" s="32" t="str">
        <f aca="false">IF(B2441="","",ROW()-7)</f>
        <v/>
      </c>
      <c r="B2441" s="30"/>
      <c r="C2441" s="29"/>
      <c r="D2441" s="29"/>
      <c r="E2441" s="29"/>
      <c r="F2441" s="30"/>
      <c r="G2441" s="29"/>
      <c r="H2441" s="30"/>
      <c r="I2441" s="29"/>
      <c r="J2441" s="30"/>
      <c r="K2441" s="30"/>
      <c r="L2441" s="29"/>
      <c r="M2441" s="32" t="str">
        <f aca="false">IF(OR(C2441="",L2441=""),"",IF(C2441=L2441,"同一","変更"))</f>
        <v/>
      </c>
      <c r="N2441" s="29"/>
      <c r="O2441" s="30"/>
      <c r="P2441" s="29"/>
      <c r="Q2441" s="31"/>
      <c r="R2441" s="29"/>
      <c r="S2441" s="29"/>
      <c r="T2441" s="30"/>
      <c r="U2441" s="47" t="str">
        <f aca="false">IF(AND(B2441&lt;&gt;"",B2441=SW別シート!$C$3),COUNTIF(B$5:B2441,B2441),"")</f>
        <v/>
      </c>
      <c r="V2441" s="47" t="n">
        <f aca="false">V2440+IF(OR(O2441&lt;&gt;"",W2441&lt;&gt;""),1,0)</f>
        <v>3</v>
      </c>
      <c r="W2441" s="29"/>
    </row>
    <row r="2442" customFormat="false" ht="15" hidden="false" customHeight="false" outlineLevel="0" collapsed="false">
      <c r="A2442" s="32" t="str">
        <f aca="false">IF(B2442="","",ROW()-7)</f>
        <v/>
      </c>
      <c r="B2442" s="30"/>
      <c r="C2442" s="29"/>
      <c r="D2442" s="29"/>
      <c r="E2442" s="29"/>
      <c r="F2442" s="30"/>
      <c r="G2442" s="29"/>
      <c r="H2442" s="30"/>
      <c r="I2442" s="29"/>
      <c r="J2442" s="30"/>
      <c r="K2442" s="30"/>
      <c r="L2442" s="29"/>
      <c r="M2442" s="32" t="str">
        <f aca="false">IF(OR(C2442="",L2442=""),"",IF(C2442=L2442,"同一","変更"))</f>
        <v/>
      </c>
      <c r="N2442" s="29"/>
      <c r="O2442" s="30"/>
      <c r="P2442" s="29"/>
      <c r="Q2442" s="31"/>
      <c r="R2442" s="29"/>
      <c r="S2442" s="29"/>
      <c r="T2442" s="30"/>
      <c r="U2442" s="47" t="str">
        <f aca="false">IF(AND(B2442&lt;&gt;"",B2442=SW別シート!$C$3),COUNTIF(B$5:B2442,B2442),"")</f>
        <v/>
      </c>
      <c r="V2442" s="47" t="n">
        <f aca="false">V2441+IF(OR(O2442&lt;&gt;"",W2442&lt;&gt;""),1,0)</f>
        <v>3</v>
      </c>
      <c r="W2442" s="29"/>
    </row>
    <row r="2443" customFormat="false" ht="15" hidden="false" customHeight="false" outlineLevel="0" collapsed="false">
      <c r="A2443" s="32" t="str">
        <f aca="false">IF(B2443="","",ROW()-7)</f>
        <v/>
      </c>
      <c r="B2443" s="30"/>
      <c r="C2443" s="29"/>
      <c r="D2443" s="29"/>
      <c r="E2443" s="29"/>
      <c r="F2443" s="30"/>
      <c r="G2443" s="29"/>
      <c r="H2443" s="30"/>
      <c r="I2443" s="29"/>
      <c r="J2443" s="30"/>
      <c r="K2443" s="30"/>
      <c r="L2443" s="29"/>
      <c r="M2443" s="32" t="str">
        <f aca="false">IF(OR(C2443="",L2443=""),"",IF(C2443=L2443,"同一","変更"))</f>
        <v/>
      </c>
      <c r="N2443" s="29"/>
      <c r="O2443" s="30"/>
      <c r="P2443" s="29"/>
      <c r="Q2443" s="31"/>
      <c r="R2443" s="29"/>
      <c r="S2443" s="29"/>
      <c r="T2443" s="30"/>
      <c r="U2443" s="47" t="str">
        <f aca="false">IF(AND(B2443&lt;&gt;"",B2443=SW別シート!$C$3),COUNTIF(B$5:B2443,B2443),"")</f>
        <v/>
      </c>
      <c r="V2443" s="47" t="n">
        <f aca="false">V2442+IF(OR(O2443&lt;&gt;"",W2443&lt;&gt;""),1,0)</f>
        <v>3</v>
      </c>
      <c r="W2443" s="29"/>
    </row>
    <row r="2444" customFormat="false" ht="15" hidden="false" customHeight="false" outlineLevel="0" collapsed="false">
      <c r="A2444" s="32" t="str">
        <f aca="false">IF(B2444="","",ROW()-7)</f>
        <v/>
      </c>
      <c r="B2444" s="30"/>
      <c r="C2444" s="29"/>
      <c r="D2444" s="29"/>
      <c r="E2444" s="29"/>
      <c r="F2444" s="30"/>
      <c r="G2444" s="29"/>
      <c r="H2444" s="30"/>
      <c r="I2444" s="29"/>
      <c r="J2444" s="30"/>
      <c r="K2444" s="30"/>
      <c r="L2444" s="29"/>
      <c r="M2444" s="32" t="str">
        <f aca="false">IF(OR(C2444="",L2444=""),"",IF(C2444=L2444,"同一","変更"))</f>
        <v/>
      </c>
      <c r="N2444" s="29"/>
      <c r="O2444" s="30"/>
      <c r="P2444" s="29"/>
      <c r="Q2444" s="31"/>
      <c r="R2444" s="29"/>
      <c r="S2444" s="29"/>
      <c r="T2444" s="30"/>
      <c r="U2444" s="47" t="str">
        <f aca="false">IF(AND(B2444&lt;&gt;"",B2444=SW別シート!$C$3),COUNTIF(B$5:B2444,B2444),"")</f>
        <v/>
      </c>
      <c r="V2444" s="47" t="n">
        <f aca="false">V2443+IF(OR(O2444&lt;&gt;"",W2444&lt;&gt;""),1,0)</f>
        <v>3</v>
      </c>
      <c r="W2444" s="29"/>
    </row>
    <row r="2445" customFormat="false" ht="15" hidden="false" customHeight="false" outlineLevel="0" collapsed="false">
      <c r="A2445" s="32" t="str">
        <f aca="false">IF(B2445="","",ROW()-7)</f>
        <v/>
      </c>
      <c r="B2445" s="30"/>
      <c r="C2445" s="29"/>
      <c r="D2445" s="29"/>
      <c r="E2445" s="29"/>
      <c r="F2445" s="30"/>
      <c r="G2445" s="29"/>
      <c r="H2445" s="30"/>
      <c r="I2445" s="29"/>
      <c r="J2445" s="30"/>
      <c r="K2445" s="30"/>
      <c r="L2445" s="29"/>
      <c r="M2445" s="32" t="str">
        <f aca="false">IF(OR(C2445="",L2445=""),"",IF(C2445=L2445,"同一","変更"))</f>
        <v/>
      </c>
      <c r="N2445" s="29"/>
      <c r="O2445" s="30"/>
      <c r="P2445" s="29"/>
      <c r="Q2445" s="31"/>
      <c r="R2445" s="29"/>
      <c r="S2445" s="29"/>
      <c r="T2445" s="30"/>
      <c r="U2445" s="47" t="str">
        <f aca="false">IF(AND(B2445&lt;&gt;"",B2445=SW別シート!$C$3),COUNTIF(B$5:B2445,B2445),"")</f>
        <v/>
      </c>
      <c r="V2445" s="47" t="n">
        <f aca="false">V2444+IF(OR(O2445&lt;&gt;"",W2445&lt;&gt;""),1,0)</f>
        <v>3</v>
      </c>
      <c r="W2445" s="29"/>
    </row>
    <row r="2446" customFormat="false" ht="15" hidden="false" customHeight="false" outlineLevel="0" collapsed="false">
      <c r="A2446" s="32" t="str">
        <f aca="false">IF(B2446="","",ROW()-7)</f>
        <v/>
      </c>
      <c r="B2446" s="30"/>
      <c r="C2446" s="29"/>
      <c r="D2446" s="29"/>
      <c r="E2446" s="29"/>
      <c r="F2446" s="30"/>
      <c r="G2446" s="29"/>
      <c r="H2446" s="30"/>
      <c r="I2446" s="29"/>
      <c r="J2446" s="30"/>
      <c r="K2446" s="30"/>
      <c r="L2446" s="29"/>
      <c r="M2446" s="32" t="str">
        <f aca="false">IF(OR(C2446="",L2446=""),"",IF(C2446=L2446,"同一","変更"))</f>
        <v/>
      </c>
      <c r="N2446" s="29"/>
      <c r="O2446" s="30"/>
      <c r="P2446" s="29"/>
      <c r="Q2446" s="31"/>
      <c r="R2446" s="29"/>
      <c r="S2446" s="29"/>
      <c r="T2446" s="30"/>
      <c r="U2446" s="47" t="str">
        <f aca="false">IF(AND(B2446&lt;&gt;"",B2446=SW別シート!$C$3),COUNTIF(B$5:B2446,B2446),"")</f>
        <v/>
      </c>
      <c r="V2446" s="47" t="n">
        <f aca="false">V2445+IF(OR(O2446&lt;&gt;"",W2446&lt;&gt;""),1,0)</f>
        <v>3</v>
      </c>
      <c r="W2446" s="29"/>
    </row>
    <row r="2447" customFormat="false" ht="15" hidden="false" customHeight="false" outlineLevel="0" collapsed="false">
      <c r="A2447" s="32" t="str">
        <f aca="false">IF(B2447="","",ROW()-7)</f>
        <v/>
      </c>
      <c r="B2447" s="30"/>
      <c r="C2447" s="29"/>
      <c r="D2447" s="29"/>
      <c r="E2447" s="29"/>
      <c r="F2447" s="30"/>
      <c r="G2447" s="29"/>
      <c r="H2447" s="30"/>
      <c r="I2447" s="29"/>
      <c r="J2447" s="30"/>
      <c r="K2447" s="30"/>
      <c r="L2447" s="29"/>
      <c r="M2447" s="32" t="str">
        <f aca="false">IF(OR(C2447="",L2447=""),"",IF(C2447=L2447,"同一","変更"))</f>
        <v/>
      </c>
      <c r="N2447" s="29"/>
      <c r="O2447" s="30"/>
      <c r="P2447" s="29"/>
      <c r="Q2447" s="31"/>
      <c r="R2447" s="29"/>
      <c r="S2447" s="29"/>
      <c r="T2447" s="30"/>
      <c r="U2447" s="47" t="str">
        <f aca="false">IF(AND(B2447&lt;&gt;"",B2447=SW別シート!$C$3),COUNTIF(B$5:B2447,B2447),"")</f>
        <v/>
      </c>
      <c r="V2447" s="47" t="n">
        <f aca="false">V2446+IF(OR(O2447&lt;&gt;"",W2447&lt;&gt;""),1,0)</f>
        <v>3</v>
      </c>
      <c r="W2447" s="29"/>
    </row>
    <row r="2448" customFormat="false" ht="15" hidden="false" customHeight="false" outlineLevel="0" collapsed="false">
      <c r="A2448" s="32" t="str">
        <f aca="false">IF(B2448="","",ROW()-7)</f>
        <v/>
      </c>
      <c r="B2448" s="30"/>
      <c r="C2448" s="29"/>
      <c r="D2448" s="29"/>
      <c r="E2448" s="29"/>
      <c r="F2448" s="30"/>
      <c r="G2448" s="29"/>
      <c r="H2448" s="30"/>
      <c r="I2448" s="29"/>
      <c r="J2448" s="30"/>
      <c r="K2448" s="30"/>
      <c r="L2448" s="29"/>
      <c r="M2448" s="32" t="str">
        <f aca="false">IF(OR(C2448="",L2448=""),"",IF(C2448=L2448,"同一","変更"))</f>
        <v/>
      </c>
      <c r="N2448" s="29"/>
      <c r="O2448" s="30"/>
      <c r="P2448" s="29"/>
      <c r="Q2448" s="31"/>
      <c r="R2448" s="29"/>
      <c r="S2448" s="29"/>
      <c r="T2448" s="30"/>
      <c r="U2448" s="47" t="str">
        <f aca="false">IF(AND(B2448&lt;&gt;"",B2448=SW別シート!$C$3),COUNTIF(B$5:B2448,B2448),"")</f>
        <v/>
      </c>
      <c r="V2448" s="47" t="n">
        <f aca="false">V2447+IF(OR(O2448&lt;&gt;"",W2448&lt;&gt;""),1,0)</f>
        <v>3</v>
      </c>
      <c r="W2448" s="29"/>
    </row>
    <row r="2449" customFormat="false" ht="15" hidden="false" customHeight="false" outlineLevel="0" collapsed="false">
      <c r="A2449" s="32" t="str">
        <f aca="false">IF(B2449="","",ROW()-7)</f>
        <v/>
      </c>
      <c r="B2449" s="30"/>
      <c r="C2449" s="29"/>
      <c r="D2449" s="29"/>
      <c r="E2449" s="29"/>
      <c r="F2449" s="30"/>
      <c r="G2449" s="29"/>
      <c r="H2449" s="30"/>
      <c r="I2449" s="29"/>
      <c r="J2449" s="30"/>
      <c r="K2449" s="30"/>
      <c r="L2449" s="29"/>
      <c r="M2449" s="32" t="str">
        <f aca="false">IF(OR(C2449="",L2449=""),"",IF(C2449=L2449,"同一","変更"))</f>
        <v/>
      </c>
      <c r="N2449" s="29"/>
      <c r="O2449" s="30"/>
      <c r="P2449" s="29"/>
      <c r="Q2449" s="31"/>
      <c r="R2449" s="29"/>
      <c r="S2449" s="29"/>
      <c r="T2449" s="30"/>
      <c r="U2449" s="47" t="str">
        <f aca="false">IF(AND(B2449&lt;&gt;"",B2449=SW別シート!$C$3),COUNTIF(B$5:B2449,B2449),"")</f>
        <v/>
      </c>
      <c r="V2449" s="47" t="n">
        <f aca="false">V2448+IF(OR(O2449&lt;&gt;"",W2449&lt;&gt;""),1,0)</f>
        <v>3</v>
      </c>
      <c r="W2449" s="29"/>
    </row>
    <row r="2450" customFormat="false" ht="15" hidden="false" customHeight="false" outlineLevel="0" collapsed="false">
      <c r="A2450" s="32" t="str">
        <f aca="false">IF(B2450="","",ROW()-7)</f>
        <v/>
      </c>
      <c r="B2450" s="30"/>
      <c r="C2450" s="29"/>
      <c r="D2450" s="29"/>
      <c r="E2450" s="29"/>
      <c r="F2450" s="30"/>
      <c r="G2450" s="29"/>
      <c r="H2450" s="30"/>
      <c r="I2450" s="29"/>
      <c r="J2450" s="30"/>
      <c r="K2450" s="30"/>
      <c r="L2450" s="29"/>
      <c r="M2450" s="32" t="str">
        <f aca="false">IF(OR(C2450="",L2450=""),"",IF(C2450=L2450,"同一","変更"))</f>
        <v/>
      </c>
      <c r="N2450" s="29"/>
      <c r="O2450" s="30"/>
      <c r="P2450" s="29"/>
      <c r="Q2450" s="31"/>
      <c r="R2450" s="29"/>
      <c r="S2450" s="29"/>
      <c r="T2450" s="30"/>
      <c r="U2450" s="47" t="str">
        <f aca="false">IF(AND(B2450&lt;&gt;"",B2450=SW別シート!$C$3),COUNTIF(B$5:B2450,B2450),"")</f>
        <v/>
      </c>
      <c r="V2450" s="47" t="n">
        <f aca="false">V2449+IF(OR(O2450&lt;&gt;"",W2450&lt;&gt;""),1,0)</f>
        <v>3</v>
      </c>
      <c r="W2450" s="29"/>
    </row>
    <row r="2451" customFormat="false" ht="15" hidden="false" customHeight="false" outlineLevel="0" collapsed="false">
      <c r="A2451" s="32" t="str">
        <f aca="false">IF(B2451="","",ROW()-7)</f>
        <v/>
      </c>
      <c r="B2451" s="30"/>
      <c r="C2451" s="29"/>
      <c r="D2451" s="29"/>
      <c r="E2451" s="29"/>
      <c r="F2451" s="30"/>
      <c r="G2451" s="29"/>
      <c r="H2451" s="30"/>
      <c r="I2451" s="29"/>
      <c r="J2451" s="30"/>
      <c r="K2451" s="30"/>
      <c r="L2451" s="29"/>
      <c r="M2451" s="32" t="str">
        <f aca="false">IF(OR(C2451="",L2451=""),"",IF(C2451=L2451,"同一","変更"))</f>
        <v/>
      </c>
      <c r="N2451" s="29"/>
      <c r="O2451" s="30"/>
      <c r="P2451" s="29"/>
      <c r="Q2451" s="31"/>
      <c r="R2451" s="29"/>
      <c r="S2451" s="29"/>
      <c r="T2451" s="30"/>
      <c r="U2451" s="47" t="str">
        <f aca="false">IF(AND(B2451&lt;&gt;"",B2451=SW別シート!$C$3),COUNTIF(B$5:B2451,B2451),"")</f>
        <v/>
      </c>
      <c r="V2451" s="47" t="n">
        <f aca="false">V2450+IF(OR(O2451&lt;&gt;"",W2451&lt;&gt;""),1,0)</f>
        <v>3</v>
      </c>
      <c r="W2451" s="29"/>
    </row>
    <row r="2452" customFormat="false" ht="15" hidden="false" customHeight="false" outlineLevel="0" collapsed="false">
      <c r="A2452" s="32" t="str">
        <f aca="false">IF(B2452="","",ROW()-7)</f>
        <v/>
      </c>
      <c r="B2452" s="30"/>
      <c r="C2452" s="29"/>
      <c r="D2452" s="29"/>
      <c r="E2452" s="29"/>
      <c r="F2452" s="30"/>
      <c r="G2452" s="29"/>
      <c r="H2452" s="30"/>
      <c r="I2452" s="29"/>
      <c r="J2452" s="30"/>
      <c r="K2452" s="30"/>
      <c r="L2452" s="29"/>
      <c r="M2452" s="32" t="str">
        <f aca="false">IF(OR(C2452="",L2452=""),"",IF(C2452=L2452,"同一","変更"))</f>
        <v/>
      </c>
      <c r="N2452" s="29"/>
      <c r="O2452" s="30"/>
      <c r="P2452" s="29"/>
      <c r="Q2452" s="31"/>
      <c r="R2452" s="29"/>
      <c r="S2452" s="29"/>
      <c r="T2452" s="30"/>
      <c r="U2452" s="47" t="str">
        <f aca="false">IF(AND(B2452&lt;&gt;"",B2452=SW別シート!$C$3),COUNTIF(B$5:B2452,B2452),"")</f>
        <v/>
      </c>
      <c r="V2452" s="47" t="n">
        <f aca="false">V2451+IF(OR(O2452&lt;&gt;"",W2452&lt;&gt;""),1,0)</f>
        <v>3</v>
      </c>
      <c r="W2452" s="29"/>
    </row>
    <row r="2453" customFormat="false" ht="15" hidden="false" customHeight="false" outlineLevel="0" collapsed="false">
      <c r="A2453" s="32" t="str">
        <f aca="false">IF(B2453="","",ROW()-7)</f>
        <v/>
      </c>
      <c r="B2453" s="30"/>
      <c r="C2453" s="29"/>
      <c r="D2453" s="29"/>
      <c r="E2453" s="29"/>
      <c r="F2453" s="30"/>
      <c r="G2453" s="29"/>
      <c r="H2453" s="30"/>
      <c r="I2453" s="29"/>
      <c r="J2453" s="30"/>
      <c r="K2453" s="30"/>
      <c r="L2453" s="29"/>
      <c r="M2453" s="32" t="str">
        <f aca="false">IF(OR(C2453="",L2453=""),"",IF(C2453=L2453,"同一","変更"))</f>
        <v/>
      </c>
      <c r="N2453" s="29"/>
      <c r="O2453" s="30"/>
      <c r="P2453" s="29"/>
      <c r="Q2453" s="31"/>
      <c r="R2453" s="29"/>
      <c r="S2453" s="29"/>
      <c r="T2453" s="30"/>
      <c r="U2453" s="47" t="str">
        <f aca="false">IF(AND(B2453&lt;&gt;"",B2453=SW別シート!$C$3),COUNTIF(B$5:B2453,B2453),"")</f>
        <v/>
      </c>
      <c r="V2453" s="47" t="n">
        <f aca="false">V2452+IF(OR(O2453&lt;&gt;"",W2453&lt;&gt;""),1,0)</f>
        <v>3</v>
      </c>
      <c r="W2453" s="29"/>
    </row>
    <row r="2454" customFormat="false" ht="15" hidden="false" customHeight="false" outlineLevel="0" collapsed="false">
      <c r="A2454" s="32" t="str">
        <f aca="false">IF(B2454="","",ROW()-7)</f>
        <v/>
      </c>
      <c r="B2454" s="30"/>
      <c r="C2454" s="29"/>
      <c r="D2454" s="29"/>
      <c r="E2454" s="29"/>
      <c r="F2454" s="30"/>
      <c r="G2454" s="29"/>
      <c r="H2454" s="30"/>
      <c r="I2454" s="29"/>
      <c r="J2454" s="30"/>
      <c r="K2454" s="30"/>
      <c r="L2454" s="29"/>
      <c r="M2454" s="32" t="str">
        <f aca="false">IF(OR(C2454="",L2454=""),"",IF(C2454=L2454,"同一","変更"))</f>
        <v/>
      </c>
      <c r="N2454" s="29"/>
      <c r="O2454" s="30"/>
      <c r="P2454" s="29"/>
      <c r="Q2454" s="31"/>
      <c r="R2454" s="29"/>
      <c r="S2454" s="29"/>
      <c r="T2454" s="30"/>
      <c r="U2454" s="47" t="str">
        <f aca="false">IF(AND(B2454&lt;&gt;"",B2454=SW別シート!$C$3),COUNTIF(B$5:B2454,B2454),"")</f>
        <v/>
      </c>
      <c r="V2454" s="47" t="n">
        <f aca="false">V2453+IF(OR(O2454&lt;&gt;"",W2454&lt;&gt;""),1,0)</f>
        <v>3</v>
      </c>
      <c r="W2454" s="29"/>
    </row>
    <row r="2455" customFormat="false" ht="15" hidden="false" customHeight="false" outlineLevel="0" collapsed="false">
      <c r="A2455" s="32" t="str">
        <f aca="false">IF(B2455="","",ROW()-7)</f>
        <v/>
      </c>
      <c r="B2455" s="30"/>
      <c r="C2455" s="29"/>
      <c r="D2455" s="29"/>
      <c r="E2455" s="29"/>
      <c r="F2455" s="30"/>
      <c r="G2455" s="29"/>
      <c r="H2455" s="30"/>
      <c r="I2455" s="29"/>
      <c r="J2455" s="30"/>
      <c r="K2455" s="30"/>
      <c r="L2455" s="29"/>
      <c r="M2455" s="32" t="str">
        <f aca="false">IF(OR(C2455="",L2455=""),"",IF(C2455=L2455,"同一","変更"))</f>
        <v/>
      </c>
      <c r="N2455" s="29"/>
      <c r="O2455" s="30"/>
      <c r="P2455" s="29"/>
      <c r="Q2455" s="31"/>
      <c r="R2455" s="29"/>
      <c r="S2455" s="29"/>
      <c r="T2455" s="30"/>
      <c r="U2455" s="47" t="str">
        <f aca="false">IF(AND(B2455&lt;&gt;"",B2455=SW別シート!$C$3),COUNTIF(B$5:B2455,B2455),"")</f>
        <v/>
      </c>
      <c r="V2455" s="47" t="n">
        <f aca="false">V2454+IF(OR(O2455&lt;&gt;"",W2455&lt;&gt;""),1,0)</f>
        <v>3</v>
      </c>
      <c r="W2455" s="29"/>
    </row>
    <row r="2456" customFormat="false" ht="15" hidden="false" customHeight="false" outlineLevel="0" collapsed="false">
      <c r="A2456" s="32" t="str">
        <f aca="false">IF(B2456="","",ROW()-7)</f>
        <v/>
      </c>
      <c r="B2456" s="30"/>
      <c r="C2456" s="29"/>
      <c r="D2456" s="29"/>
      <c r="E2456" s="29"/>
      <c r="F2456" s="30"/>
      <c r="G2456" s="29"/>
      <c r="H2456" s="30"/>
      <c r="I2456" s="29"/>
      <c r="J2456" s="30"/>
      <c r="K2456" s="30"/>
      <c r="L2456" s="29"/>
      <c r="M2456" s="32" t="str">
        <f aca="false">IF(OR(C2456="",L2456=""),"",IF(C2456=L2456,"同一","変更"))</f>
        <v/>
      </c>
      <c r="N2456" s="29"/>
      <c r="O2456" s="30"/>
      <c r="P2456" s="29"/>
      <c r="Q2456" s="31"/>
      <c r="R2456" s="29"/>
      <c r="S2456" s="29"/>
      <c r="T2456" s="30"/>
      <c r="U2456" s="47" t="str">
        <f aca="false">IF(AND(B2456&lt;&gt;"",B2456=SW別シート!$C$3),COUNTIF(B$5:B2456,B2456),"")</f>
        <v/>
      </c>
      <c r="V2456" s="47" t="n">
        <f aca="false">V2455+IF(OR(O2456&lt;&gt;"",W2456&lt;&gt;""),1,0)</f>
        <v>3</v>
      </c>
      <c r="W2456" s="29"/>
    </row>
    <row r="2457" customFormat="false" ht="15" hidden="false" customHeight="false" outlineLevel="0" collapsed="false">
      <c r="A2457" s="32" t="str">
        <f aca="false">IF(B2457="","",ROW()-7)</f>
        <v/>
      </c>
      <c r="B2457" s="30"/>
      <c r="C2457" s="29"/>
      <c r="D2457" s="29"/>
      <c r="E2457" s="29"/>
      <c r="F2457" s="30"/>
      <c r="G2457" s="29"/>
      <c r="H2457" s="30"/>
      <c r="I2457" s="29"/>
      <c r="J2457" s="30"/>
      <c r="K2457" s="30"/>
      <c r="L2457" s="29"/>
      <c r="M2457" s="32" t="str">
        <f aca="false">IF(OR(C2457="",L2457=""),"",IF(C2457=L2457,"同一","変更"))</f>
        <v/>
      </c>
      <c r="N2457" s="29"/>
      <c r="O2457" s="30"/>
      <c r="P2457" s="29"/>
      <c r="Q2457" s="31"/>
      <c r="R2457" s="29"/>
      <c r="S2457" s="29"/>
      <c r="T2457" s="30"/>
      <c r="U2457" s="47" t="str">
        <f aca="false">IF(AND(B2457&lt;&gt;"",B2457=SW別シート!$C$3),COUNTIF(B$5:B2457,B2457),"")</f>
        <v/>
      </c>
      <c r="V2457" s="47" t="n">
        <f aca="false">V2456+IF(OR(O2457&lt;&gt;"",W2457&lt;&gt;""),1,0)</f>
        <v>3</v>
      </c>
      <c r="W2457" s="29"/>
    </row>
    <row r="2458" customFormat="false" ht="15" hidden="false" customHeight="false" outlineLevel="0" collapsed="false">
      <c r="A2458" s="32" t="str">
        <f aca="false">IF(B2458="","",ROW()-7)</f>
        <v/>
      </c>
      <c r="B2458" s="30"/>
      <c r="C2458" s="29"/>
      <c r="D2458" s="29"/>
      <c r="E2458" s="29"/>
      <c r="F2458" s="30"/>
      <c r="G2458" s="29"/>
      <c r="H2458" s="30"/>
      <c r="I2458" s="29"/>
      <c r="J2458" s="30"/>
      <c r="K2458" s="30"/>
      <c r="L2458" s="29"/>
      <c r="M2458" s="32" t="str">
        <f aca="false">IF(OR(C2458="",L2458=""),"",IF(C2458=L2458,"同一","変更"))</f>
        <v/>
      </c>
      <c r="N2458" s="29"/>
      <c r="O2458" s="30"/>
      <c r="P2458" s="29"/>
      <c r="Q2458" s="31"/>
      <c r="R2458" s="29"/>
      <c r="S2458" s="29"/>
      <c r="T2458" s="30"/>
      <c r="U2458" s="47" t="str">
        <f aca="false">IF(AND(B2458&lt;&gt;"",B2458=SW別シート!$C$3),COUNTIF(B$5:B2458,B2458),"")</f>
        <v/>
      </c>
      <c r="V2458" s="47" t="n">
        <f aca="false">V2457+IF(OR(O2458&lt;&gt;"",W2458&lt;&gt;""),1,0)</f>
        <v>3</v>
      </c>
      <c r="W2458" s="29"/>
    </row>
    <row r="2459" customFormat="false" ht="15" hidden="false" customHeight="false" outlineLevel="0" collapsed="false">
      <c r="A2459" s="32" t="str">
        <f aca="false">IF(B2459="","",ROW()-7)</f>
        <v/>
      </c>
      <c r="B2459" s="30"/>
      <c r="C2459" s="29"/>
      <c r="D2459" s="29"/>
      <c r="E2459" s="29"/>
      <c r="F2459" s="30"/>
      <c r="G2459" s="29"/>
      <c r="H2459" s="30"/>
      <c r="I2459" s="29"/>
      <c r="J2459" s="30"/>
      <c r="K2459" s="30"/>
      <c r="L2459" s="29"/>
      <c r="M2459" s="32" t="str">
        <f aca="false">IF(OR(C2459="",L2459=""),"",IF(C2459=L2459,"同一","変更"))</f>
        <v/>
      </c>
      <c r="N2459" s="29"/>
      <c r="O2459" s="30"/>
      <c r="P2459" s="29"/>
      <c r="Q2459" s="31"/>
      <c r="R2459" s="29"/>
      <c r="S2459" s="29"/>
      <c r="T2459" s="30"/>
      <c r="U2459" s="47" t="str">
        <f aca="false">IF(AND(B2459&lt;&gt;"",B2459=SW別シート!$C$3),COUNTIF(B$5:B2459,B2459),"")</f>
        <v/>
      </c>
      <c r="V2459" s="47" t="n">
        <f aca="false">V2458+IF(OR(O2459&lt;&gt;"",W2459&lt;&gt;""),1,0)</f>
        <v>3</v>
      </c>
      <c r="W2459" s="29"/>
    </row>
    <row r="2460" customFormat="false" ht="15" hidden="false" customHeight="false" outlineLevel="0" collapsed="false">
      <c r="A2460" s="32" t="str">
        <f aca="false">IF(B2460="","",ROW()-7)</f>
        <v/>
      </c>
      <c r="B2460" s="30"/>
      <c r="C2460" s="29"/>
      <c r="D2460" s="29"/>
      <c r="E2460" s="29"/>
      <c r="F2460" s="30"/>
      <c r="G2460" s="29"/>
      <c r="H2460" s="30"/>
      <c r="I2460" s="29"/>
      <c r="J2460" s="30"/>
      <c r="K2460" s="30"/>
      <c r="L2460" s="29"/>
      <c r="M2460" s="32" t="str">
        <f aca="false">IF(OR(C2460="",L2460=""),"",IF(C2460=L2460,"同一","変更"))</f>
        <v/>
      </c>
      <c r="N2460" s="29"/>
      <c r="O2460" s="30"/>
      <c r="P2460" s="29"/>
      <c r="Q2460" s="31"/>
      <c r="R2460" s="29"/>
      <c r="S2460" s="29"/>
      <c r="T2460" s="30"/>
      <c r="U2460" s="47" t="str">
        <f aca="false">IF(AND(B2460&lt;&gt;"",B2460=SW別シート!$C$3),COUNTIF(B$5:B2460,B2460),"")</f>
        <v/>
      </c>
      <c r="V2460" s="47" t="n">
        <f aca="false">V2459+IF(OR(O2460&lt;&gt;"",W2460&lt;&gt;""),1,0)</f>
        <v>3</v>
      </c>
      <c r="W2460" s="29"/>
    </row>
    <row r="2461" customFormat="false" ht="15" hidden="false" customHeight="false" outlineLevel="0" collapsed="false">
      <c r="A2461" s="32" t="str">
        <f aca="false">IF(B2461="","",ROW()-7)</f>
        <v/>
      </c>
      <c r="B2461" s="30"/>
      <c r="C2461" s="29"/>
      <c r="D2461" s="29"/>
      <c r="E2461" s="29"/>
      <c r="F2461" s="30"/>
      <c r="G2461" s="29"/>
      <c r="H2461" s="30"/>
      <c r="I2461" s="29"/>
      <c r="J2461" s="30"/>
      <c r="K2461" s="30"/>
      <c r="L2461" s="29"/>
      <c r="M2461" s="32" t="str">
        <f aca="false">IF(OR(C2461="",L2461=""),"",IF(C2461=L2461,"同一","変更"))</f>
        <v/>
      </c>
      <c r="N2461" s="29"/>
      <c r="O2461" s="30"/>
      <c r="P2461" s="29"/>
      <c r="Q2461" s="31"/>
      <c r="R2461" s="29"/>
      <c r="S2461" s="29"/>
      <c r="T2461" s="30"/>
      <c r="U2461" s="47" t="str">
        <f aca="false">IF(AND(B2461&lt;&gt;"",B2461=SW別シート!$C$3),COUNTIF(B$5:B2461,B2461),"")</f>
        <v/>
      </c>
      <c r="V2461" s="47" t="n">
        <f aca="false">V2460+IF(OR(O2461&lt;&gt;"",W2461&lt;&gt;""),1,0)</f>
        <v>3</v>
      </c>
      <c r="W2461" s="29"/>
    </row>
    <row r="2462" customFormat="false" ht="15" hidden="false" customHeight="false" outlineLevel="0" collapsed="false">
      <c r="A2462" s="32" t="str">
        <f aca="false">IF(B2462="","",ROW()-7)</f>
        <v/>
      </c>
      <c r="B2462" s="30"/>
      <c r="C2462" s="29"/>
      <c r="D2462" s="29"/>
      <c r="E2462" s="29"/>
      <c r="F2462" s="30"/>
      <c r="G2462" s="29"/>
      <c r="H2462" s="30"/>
      <c r="I2462" s="29"/>
      <c r="J2462" s="30"/>
      <c r="K2462" s="30"/>
      <c r="L2462" s="29"/>
      <c r="M2462" s="32" t="str">
        <f aca="false">IF(OR(C2462="",L2462=""),"",IF(C2462=L2462,"同一","変更"))</f>
        <v/>
      </c>
      <c r="N2462" s="29"/>
      <c r="O2462" s="30"/>
      <c r="P2462" s="29"/>
      <c r="Q2462" s="31"/>
      <c r="R2462" s="29"/>
      <c r="S2462" s="29"/>
      <c r="T2462" s="30"/>
      <c r="U2462" s="47" t="str">
        <f aca="false">IF(AND(B2462&lt;&gt;"",B2462=SW別シート!$C$3),COUNTIF(B$5:B2462,B2462),"")</f>
        <v/>
      </c>
      <c r="V2462" s="47" t="n">
        <f aca="false">V2461+IF(OR(O2462&lt;&gt;"",W2462&lt;&gt;""),1,0)</f>
        <v>3</v>
      </c>
      <c r="W2462" s="29"/>
    </row>
    <row r="2463" customFormat="false" ht="15" hidden="false" customHeight="false" outlineLevel="0" collapsed="false">
      <c r="A2463" s="32" t="str">
        <f aca="false">IF(B2463="","",ROW()-7)</f>
        <v/>
      </c>
      <c r="B2463" s="30"/>
      <c r="C2463" s="29"/>
      <c r="D2463" s="29"/>
      <c r="E2463" s="29"/>
      <c r="F2463" s="30"/>
      <c r="G2463" s="29"/>
      <c r="H2463" s="30"/>
      <c r="I2463" s="29"/>
      <c r="J2463" s="30"/>
      <c r="K2463" s="30"/>
      <c r="L2463" s="29"/>
      <c r="M2463" s="32" t="str">
        <f aca="false">IF(OR(C2463="",L2463=""),"",IF(C2463=L2463,"同一","変更"))</f>
        <v/>
      </c>
      <c r="N2463" s="29"/>
      <c r="O2463" s="30"/>
      <c r="P2463" s="29"/>
      <c r="Q2463" s="31"/>
      <c r="R2463" s="29"/>
      <c r="S2463" s="29"/>
      <c r="T2463" s="30"/>
      <c r="U2463" s="47" t="str">
        <f aca="false">IF(AND(B2463&lt;&gt;"",B2463=SW別シート!$C$3),COUNTIF(B$5:B2463,B2463),"")</f>
        <v/>
      </c>
      <c r="V2463" s="47" t="n">
        <f aca="false">V2462+IF(OR(O2463&lt;&gt;"",W2463&lt;&gt;""),1,0)</f>
        <v>3</v>
      </c>
      <c r="W2463" s="29"/>
    </row>
    <row r="2464" customFormat="false" ht="15" hidden="false" customHeight="false" outlineLevel="0" collapsed="false">
      <c r="A2464" s="32" t="str">
        <f aca="false">IF(B2464="","",ROW()-7)</f>
        <v/>
      </c>
      <c r="B2464" s="30"/>
      <c r="C2464" s="29"/>
      <c r="D2464" s="29"/>
      <c r="E2464" s="29"/>
      <c r="F2464" s="30"/>
      <c r="G2464" s="29"/>
      <c r="H2464" s="30"/>
      <c r="I2464" s="29"/>
      <c r="J2464" s="30"/>
      <c r="K2464" s="30"/>
      <c r="L2464" s="29"/>
      <c r="M2464" s="32" t="str">
        <f aca="false">IF(OR(C2464="",L2464=""),"",IF(C2464=L2464,"同一","変更"))</f>
        <v/>
      </c>
      <c r="N2464" s="29"/>
      <c r="O2464" s="30"/>
      <c r="P2464" s="29"/>
      <c r="Q2464" s="31"/>
      <c r="R2464" s="29"/>
      <c r="S2464" s="29"/>
      <c r="T2464" s="30"/>
      <c r="U2464" s="47" t="str">
        <f aca="false">IF(AND(B2464&lt;&gt;"",B2464=SW別シート!$C$3),COUNTIF(B$5:B2464,B2464),"")</f>
        <v/>
      </c>
      <c r="V2464" s="47" t="n">
        <f aca="false">V2463+IF(OR(O2464&lt;&gt;"",W2464&lt;&gt;""),1,0)</f>
        <v>3</v>
      </c>
      <c r="W2464" s="29"/>
    </row>
    <row r="2465" customFormat="false" ht="15" hidden="false" customHeight="false" outlineLevel="0" collapsed="false">
      <c r="A2465" s="32" t="str">
        <f aca="false">IF(B2465="","",ROW()-7)</f>
        <v/>
      </c>
      <c r="B2465" s="30"/>
      <c r="C2465" s="29"/>
      <c r="D2465" s="29"/>
      <c r="E2465" s="29"/>
      <c r="F2465" s="30"/>
      <c r="G2465" s="29"/>
      <c r="H2465" s="30"/>
      <c r="I2465" s="29"/>
      <c r="J2465" s="30"/>
      <c r="K2465" s="30"/>
      <c r="L2465" s="29"/>
      <c r="M2465" s="32" t="str">
        <f aca="false">IF(OR(C2465="",L2465=""),"",IF(C2465=L2465,"同一","変更"))</f>
        <v/>
      </c>
      <c r="N2465" s="29"/>
      <c r="O2465" s="30"/>
      <c r="P2465" s="29"/>
      <c r="Q2465" s="31"/>
      <c r="R2465" s="29"/>
      <c r="S2465" s="29"/>
      <c r="T2465" s="30"/>
      <c r="U2465" s="47" t="str">
        <f aca="false">IF(AND(B2465&lt;&gt;"",B2465=SW別シート!$C$3),COUNTIF(B$5:B2465,B2465),"")</f>
        <v/>
      </c>
      <c r="V2465" s="47" t="n">
        <f aca="false">V2464+IF(OR(O2465&lt;&gt;"",W2465&lt;&gt;""),1,0)</f>
        <v>3</v>
      </c>
      <c r="W2465" s="29"/>
    </row>
    <row r="2466" customFormat="false" ht="15" hidden="false" customHeight="false" outlineLevel="0" collapsed="false">
      <c r="A2466" s="32" t="str">
        <f aca="false">IF(B2466="","",ROW()-7)</f>
        <v/>
      </c>
      <c r="B2466" s="30"/>
      <c r="C2466" s="29"/>
      <c r="D2466" s="29"/>
      <c r="E2466" s="29"/>
      <c r="F2466" s="30"/>
      <c r="G2466" s="29"/>
      <c r="H2466" s="30"/>
      <c r="I2466" s="29"/>
      <c r="J2466" s="30"/>
      <c r="K2466" s="30"/>
      <c r="L2466" s="29"/>
      <c r="M2466" s="32" t="str">
        <f aca="false">IF(OR(C2466="",L2466=""),"",IF(C2466=L2466,"同一","変更"))</f>
        <v/>
      </c>
      <c r="N2466" s="29"/>
      <c r="O2466" s="30"/>
      <c r="P2466" s="29"/>
      <c r="Q2466" s="31"/>
      <c r="R2466" s="29"/>
      <c r="S2466" s="29"/>
      <c r="T2466" s="30"/>
      <c r="U2466" s="47" t="str">
        <f aca="false">IF(AND(B2466&lt;&gt;"",B2466=SW別シート!$C$3),COUNTIF(B$5:B2466,B2466),"")</f>
        <v/>
      </c>
      <c r="V2466" s="47" t="n">
        <f aca="false">V2465+IF(OR(O2466&lt;&gt;"",W2466&lt;&gt;""),1,0)</f>
        <v>3</v>
      </c>
      <c r="W2466" s="29"/>
    </row>
    <row r="2467" customFormat="false" ht="15" hidden="false" customHeight="false" outlineLevel="0" collapsed="false">
      <c r="A2467" s="32" t="str">
        <f aca="false">IF(B2467="","",ROW()-7)</f>
        <v/>
      </c>
      <c r="B2467" s="30"/>
      <c r="C2467" s="29"/>
      <c r="D2467" s="29"/>
      <c r="E2467" s="29"/>
      <c r="F2467" s="30"/>
      <c r="G2467" s="29"/>
      <c r="H2467" s="30"/>
      <c r="I2467" s="29"/>
      <c r="J2467" s="30"/>
      <c r="K2467" s="30"/>
      <c r="L2467" s="29"/>
      <c r="M2467" s="32" t="str">
        <f aca="false">IF(OR(C2467="",L2467=""),"",IF(C2467=L2467,"同一","変更"))</f>
        <v/>
      </c>
      <c r="N2467" s="29"/>
      <c r="O2467" s="30"/>
      <c r="P2467" s="29"/>
      <c r="Q2467" s="31"/>
      <c r="R2467" s="29"/>
      <c r="S2467" s="29"/>
      <c r="T2467" s="30"/>
      <c r="U2467" s="47" t="str">
        <f aca="false">IF(AND(B2467&lt;&gt;"",B2467=SW別シート!$C$3),COUNTIF(B$5:B2467,B2467),"")</f>
        <v/>
      </c>
      <c r="V2467" s="47" t="n">
        <f aca="false">V2466+IF(OR(O2467&lt;&gt;"",W2467&lt;&gt;""),1,0)</f>
        <v>3</v>
      </c>
      <c r="W2467" s="29"/>
    </row>
    <row r="2468" customFormat="false" ht="15" hidden="false" customHeight="false" outlineLevel="0" collapsed="false">
      <c r="A2468" s="32" t="str">
        <f aca="false">IF(B2468="","",ROW()-7)</f>
        <v/>
      </c>
      <c r="B2468" s="30"/>
      <c r="C2468" s="29"/>
      <c r="D2468" s="29"/>
      <c r="E2468" s="29"/>
      <c r="F2468" s="30"/>
      <c r="G2468" s="29"/>
      <c r="H2468" s="30"/>
      <c r="I2468" s="29"/>
      <c r="J2468" s="30"/>
      <c r="K2468" s="30"/>
      <c r="L2468" s="29"/>
      <c r="M2468" s="32" t="str">
        <f aca="false">IF(OR(C2468="",L2468=""),"",IF(C2468=L2468,"同一","変更"))</f>
        <v/>
      </c>
      <c r="N2468" s="29"/>
      <c r="O2468" s="30"/>
      <c r="P2468" s="29"/>
      <c r="Q2468" s="31"/>
      <c r="R2468" s="29"/>
      <c r="S2468" s="29"/>
      <c r="T2468" s="30"/>
      <c r="U2468" s="47" t="str">
        <f aca="false">IF(AND(B2468&lt;&gt;"",B2468=SW別シート!$C$3),COUNTIF(B$5:B2468,B2468),"")</f>
        <v/>
      </c>
      <c r="V2468" s="47" t="n">
        <f aca="false">V2467+IF(OR(O2468&lt;&gt;"",W2468&lt;&gt;""),1,0)</f>
        <v>3</v>
      </c>
      <c r="W2468" s="29"/>
    </row>
    <row r="2469" customFormat="false" ht="15" hidden="false" customHeight="false" outlineLevel="0" collapsed="false">
      <c r="A2469" s="32" t="str">
        <f aca="false">IF(B2469="","",ROW()-7)</f>
        <v/>
      </c>
      <c r="B2469" s="30"/>
      <c r="C2469" s="29"/>
      <c r="D2469" s="29"/>
      <c r="E2469" s="29"/>
      <c r="F2469" s="30"/>
      <c r="G2469" s="29"/>
      <c r="H2469" s="30"/>
      <c r="I2469" s="29"/>
      <c r="J2469" s="30"/>
      <c r="K2469" s="30"/>
      <c r="L2469" s="29"/>
      <c r="M2469" s="32" t="str">
        <f aca="false">IF(OR(C2469="",L2469=""),"",IF(C2469=L2469,"同一","変更"))</f>
        <v/>
      </c>
      <c r="N2469" s="29"/>
      <c r="O2469" s="30"/>
      <c r="P2469" s="29"/>
      <c r="Q2469" s="31"/>
      <c r="R2469" s="29"/>
      <c r="S2469" s="29"/>
      <c r="T2469" s="30"/>
      <c r="U2469" s="47" t="str">
        <f aca="false">IF(AND(B2469&lt;&gt;"",B2469=SW別シート!$C$3),COUNTIF(B$5:B2469,B2469),"")</f>
        <v/>
      </c>
      <c r="V2469" s="47" t="n">
        <f aca="false">V2468+IF(OR(O2469&lt;&gt;"",W2469&lt;&gt;""),1,0)</f>
        <v>3</v>
      </c>
      <c r="W2469" s="29"/>
    </row>
    <row r="2470" customFormat="false" ht="15" hidden="false" customHeight="false" outlineLevel="0" collapsed="false">
      <c r="A2470" s="32" t="str">
        <f aca="false">IF(B2470="","",ROW()-7)</f>
        <v/>
      </c>
      <c r="B2470" s="30"/>
      <c r="C2470" s="29"/>
      <c r="D2470" s="29"/>
      <c r="E2470" s="29"/>
      <c r="F2470" s="30"/>
      <c r="G2470" s="29"/>
      <c r="H2470" s="30"/>
      <c r="I2470" s="29"/>
      <c r="J2470" s="30"/>
      <c r="K2470" s="30"/>
      <c r="L2470" s="29"/>
      <c r="M2470" s="32" t="str">
        <f aca="false">IF(OR(C2470="",L2470=""),"",IF(C2470=L2470,"同一","変更"))</f>
        <v/>
      </c>
      <c r="N2470" s="29"/>
      <c r="O2470" s="30"/>
      <c r="P2470" s="29"/>
      <c r="Q2470" s="31"/>
      <c r="R2470" s="29"/>
      <c r="S2470" s="29"/>
      <c r="T2470" s="30"/>
      <c r="U2470" s="47" t="str">
        <f aca="false">IF(AND(B2470&lt;&gt;"",B2470=SW別シート!$C$3),COUNTIF(B$5:B2470,B2470),"")</f>
        <v/>
      </c>
      <c r="V2470" s="47" t="n">
        <f aca="false">V2469+IF(OR(O2470&lt;&gt;"",W2470&lt;&gt;""),1,0)</f>
        <v>3</v>
      </c>
      <c r="W2470" s="29"/>
    </row>
    <row r="2471" customFormat="false" ht="15" hidden="false" customHeight="false" outlineLevel="0" collapsed="false">
      <c r="A2471" s="32" t="str">
        <f aca="false">IF(B2471="","",ROW()-7)</f>
        <v/>
      </c>
      <c r="B2471" s="30"/>
      <c r="C2471" s="29"/>
      <c r="D2471" s="29"/>
      <c r="E2471" s="29"/>
      <c r="F2471" s="30"/>
      <c r="G2471" s="29"/>
      <c r="H2471" s="30"/>
      <c r="I2471" s="29"/>
      <c r="J2471" s="30"/>
      <c r="K2471" s="30"/>
      <c r="L2471" s="29"/>
      <c r="M2471" s="32" t="str">
        <f aca="false">IF(OR(C2471="",L2471=""),"",IF(C2471=L2471,"同一","変更"))</f>
        <v/>
      </c>
      <c r="N2471" s="29"/>
      <c r="O2471" s="30"/>
      <c r="P2471" s="29"/>
      <c r="Q2471" s="31"/>
      <c r="R2471" s="29"/>
      <c r="S2471" s="29"/>
      <c r="T2471" s="30"/>
      <c r="U2471" s="47" t="str">
        <f aca="false">IF(AND(B2471&lt;&gt;"",B2471=SW別シート!$C$3),COUNTIF(B$5:B2471,B2471),"")</f>
        <v/>
      </c>
      <c r="V2471" s="47" t="n">
        <f aca="false">V2470+IF(OR(O2471&lt;&gt;"",W2471&lt;&gt;""),1,0)</f>
        <v>3</v>
      </c>
      <c r="W2471" s="29"/>
    </row>
    <row r="2472" customFormat="false" ht="15" hidden="false" customHeight="false" outlineLevel="0" collapsed="false">
      <c r="A2472" s="32" t="str">
        <f aca="false">IF(B2472="","",ROW()-7)</f>
        <v/>
      </c>
      <c r="B2472" s="30"/>
      <c r="C2472" s="29"/>
      <c r="D2472" s="29"/>
      <c r="E2472" s="29"/>
      <c r="F2472" s="30"/>
      <c r="G2472" s="29"/>
      <c r="H2472" s="30"/>
      <c r="I2472" s="29"/>
      <c r="J2472" s="30"/>
      <c r="K2472" s="30"/>
      <c r="L2472" s="29"/>
      <c r="M2472" s="32" t="str">
        <f aca="false">IF(OR(C2472="",L2472=""),"",IF(C2472=L2472,"同一","変更"))</f>
        <v/>
      </c>
      <c r="N2472" s="29"/>
      <c r="O2472" s="30"/>
      <c r="P2472" s="29"/>
      <c r="Q2472" s="31"/>
      <c r="R2472" s="29"/>
      <c r="S2472" s="29"/>
      <c r="T2472" s="30"/>
      <c r="U2472" s="47" t="str">
        <f aca="false">IF(AND(B2472&lt;&gt;"",B2472=SW別シート!$C$3),COUNTIF(B$5:B2472,B2472),"")</f>
        <v/>
      </c>
      <c r="V2472" s="47" t="n">
        <f aca="false">V2471+IF(OR(O2472&lt;&gt;"",W2472&lt;&gt;""),1,0)</f>
        <v>3</v>
      </c>
      <c r="W2472" s="29"/>
    </row>
    <row r="2473" customFormat="false" ht="15" hidden="false" customHeight="false" outlineLevel="0" collapsed="false">
      <c r="A2473" s="32" t="str">
        <f aca="false">IF(B2473="","",ROW()-7)</f>
        <v/>
      </c>
      <c r="B2473" s="30"/>
      <c r="C2473" s="29"/>
      <c r="D2473" s="29"/>
      <c r="E2473" s="29"/>
      <c r="F2473" s="30"/>
      <c r="G2473" s="29"/>
      <c r="H2473" s="30"/>
      <c r="I2473" s="29"/>
      <c r="J2473" s="30"/>
      <c r="K2473" s="30"/>
      <c r="L2473" s="29"/>
      <c r="M2473" s="32" t="str">
        <f aca="false">IF(OR(C2473="",L2473=""),"",IF(C2473=L2473,"同一","変更"))</f>
        <v/>
      </c>
      <c r="N2473" s="29"/>
      <c r="O2473" s="30"/>
      <c r="P2473" s="29"/>
      <c r="Q2473" s="31"/>
      <c r="R2473" s="29"/>
      <c r="S2473" s="29"/>
      <c r="T2473" s="30"/>
      <c r="U2473" s="47" t="str">
        <f aca="false">IF(AND(B2473&lt;&gt;"",B2473=SW別シート!$C$3),COUNTIF(B$5:B2473,B2473),"")</f>
        <v/>
      </c>
      <c r="V2473" s="47" t="n">
        <f aca="false">V2472+IF(OR(O2473&lt;&gt;"",W2473&lt;&gt;""),1,0)</f>
        <v>3</v>
      </c>
      <c r="W2473" s="29"/>
    </row>
    <row r="2474" customFormat="false" ht="15" hidden="false" customHeight="false" outlineLevel="0" collapsed="false">
      <c r="A2474" s="32" t="str">
        <f aca="false">IF(B2474="","",ROW()-7)</f>
        <v/>
      </c>
      <c r="B2474" s="30"/>
      <c r="C2474" s="29"/>
      <c r="D2474" s="29"/>
      <c r="E2474" s="29"/>
      <c r="F2474" s="30"/>
      <c r="G2474" s="29"/>
      <c r="H2474" s="30"/>
      <c r="I2474" s="29"/>
      <c r="J2474" s="30"/>
      <c r="K2474" s="30"/>
      <c r="L2474" s="29"/>
      <c r="M2474" s="32" t="str">
        <f aca="false">IF(OR(C2474="",L2474=""),"",IF(C2474=L2474,"同一","変更"))</f>
        <v/>
      </c>
      <c r="N2474" s="29"/>
      <c r="O2474" s="30"/>
      <c r="P2474" s="29"/>
      <c r="Q2474" s="31"/>
      <c r="R2474" s="29"/>
      <c r="S2474" s="29"/>
      <c r="T2474" s="30"/>
      <c r="U2474" s="47" t="str">
        <f aca="false">IF(AND(B2474&lt;&gt;"",B2474=SW別シート!$C$3),COUNTIF(B$5:B2474,B2474),"")</f>
        <v/>
      </c>
      <c r="V2474" s="47" t="n">
        <f aca="false">V2473+IF(OR(O2474&lt;&gt;"",W2474&lt;&gt;""),1,0)</f>
        <v>3</v>
      </c>
      <c r="W2474" s="29"/>
    </row>
    <row r="2475" customFormat="false" ht="15" hidden="false" customHeight="false" outlineLevel="0" collapsed="false">
      <c r="A2475" s="32" t="str">
        <f aca="false">IF(B2475="","",ROW()-7)</f>
        <v/>
      </c>
      <c r="B2475" s="30"/>
      <c r="C2475" s="29"/>
      <c r="D2475" s="29"/>
      <c r="E2475" s="29"/>
      <c r="F2475" s="30"/>
      <c r="G2475" s="29"/>
      <c r="H2475" s="30"/>
      <c r="I2475" s="29"/>
      <c r="J2475" s="30"/>
      <c r="K2475" s="30"/>
      <c r="L2475" s="29"/>
      <c r="M2475" s="32" t="str">
        <f aca="false">IF(OR(C2475="",L2475=""),"",IF(C2475=L2475,"同一","変更"))</f>
        <v/>
      </c>
      <c r="N2475" s="29"/>
      <c r="O2475" s="30"/>
      <c r="P2475" s="29"/>
      <c r="Q2475" s="31"/>
      <c r="R2475" s="29"/>
      <c r="S2475" s="29"/>
      <c r="T2475" s="30"/>
      <c r="U2475" s="47" t="str">
        <f aca="false">IF(AND(B2475&lt;&gt;"",B2475=SW別シート!$C$3),COUNTIF(B$5:B2475,B2475),"")</f>
        <v/>
      </c>
      <c r="V2475" s="47" t="n">
        <f aca="false">V2474+IF(OR(O2475&lt;&gt;"",W2475&lt;&gt;""),1,0)</f>
        <v>3</v>
      </c>
      <c r="W2475" s="29"/>
    </row>
    <row r="2476" customFormat="false" ht="15" hidden="false" customHeight="false" outlineLevel="0" collapsed="false">
      <c r="A2476" s="32" t="str">
        <f aca="false">IF(B2476="","",ROW()-7)</f>
        <v/>
      </c>
      <c r="B2476" s="30"/>
      <c r="C2476" s="29"/>
      <c r="D2476" s="29"/>
      <c r="E2476" s="29"/>
      <c r="F2476" s="30"/>
      <c r="G2476" s="29"/>
      <c r="H2476" s="30"/>
      <c r="I2476" s="29"/>
      <c r="J2476" s="30"/>
      <c r="K2476" s="30"/>
      <c r="L2476" s="29"/>
      <c r="M2476" s="32" t="str">
        <f aca="false">IF(OR(C2476="",L2476=""),"",IF(C2476=L2476,"同一","変更"))</f>
        <v/>
      </c>
      <c r="N2476" s="29"/>
      <c r="O2476" s="30"/>
      <c r="P2476" s="29"/>
      <c r="Q2476" s="31"/>
      <c r="R2476" s="29"/>
      <c r="S2476" s="29"/>
      <c r="T2476" s="30"/>
      <c r="U2476" s="47" t="str">
        <f aca="false">IF(AND(B2476&lt;&gt;"",B2476=SW別シート!$C$3),COUNTIF(B$5:B2476,B2476),"")</f>
        <v/>
      </c>
      <c r="V2476" s="47" t="n">
        <f aca="false">V2475+IF(OR(O2476&lt;&gt;"",W2476&lt;&gt;""),1,0)</f>
        <v>3</v>
      </c>
      <c r="W2476" s="29"/>
    </row>
    <row r="2477" customFormat="false" ht="15" hidden="false" customHeight="false" outlineLevel="0" collapsed="false">
      <c r="A2477" s="32" t="str">
        <f aca="false">IF(B2477="","",ROW()-7)</f>
        <v/>
      </c>
      <c r="B2477" s="30"/>
      <c r="C2477" s="29"/>
      <c r="D2477" s="29"/>
      <c r="E2477" s="29"/>
      <c r="F2477" s="30"/>
      <c r="G2477" s="29"/>
      <c r="H2477" s="30"/>
      <c r="I2477" s="29"/>
      <c r="J2477" s="30"/>
      <c r="K2477" s="30"/>
      <c r="L2477" s="29"/>
      <c r="M2477" s="32" t="str">
        <f aca="false">IF(OR(C2477="",L2477=""),"",IF(C2477=L2477,"同一","変更"))</f>
        <v/>
      </c>
      <c r="N2477" s="29"/>
      <c r="O2477" s="30"/>
      <c r="P2477" s="29"/>
      <c r="Q2477" s="31"/>
      <c r="R2477" s="29"/>
      <c r="S2477" s="29"/>
      <c r="T2477" s="30"/>
      <c r="U2477" s="47" t="str">
        <f aca="false">IF(AND(B2477&lt;&gt;"",B2477=SW別シート!$C$3),COUNTIF(B$5:B2477,B2477),"")</f>
        <v/>
      </c>
      <c r="V2477" s="47" t="n">
        <f aca="false">V2476+IF(OR(O2477&lt;&gt;"",W2477&lt;&gt;""),1,0)</f>
        <v>3</v>
      </c>
      <c r="W2477" s="29"/>
    </row>
    <row r="2478" customFormat="false" ht="15" hidden="false" customHeight="false" outlineLevel="0" collapsed="false">
      <c r="A2478" s="32" t="str">
        <f aca="false">IF(B2478="","",ROW()-7)</f>
        <v/>
      </c>
      <c r="B2478" s="30"/>
      <c r="C2478" s="29"/>
      <c r="D2478" s="29"/>
      <c r="E2478" s="29"/>
      <c r="F2478" s="30"/>
      <c r="G2478" s="29"/>
      <c r="H2478" s="30"/>
      <c r="I2478" s="29"/>
      <c r="J2478" s="30"/>
      <c r="K2478" s="30"/>
      <c r="L2478" s="29"/>
      <c r="M2478" s="32" t="str">
        <f aca="false">IF(OR(C2478="",L2478=""),"",IF(C2478=L2478,"同一","変更"))</f>
        <v/>
      </c>
      <c r="N2478" s="29"/>
      <c r="O2478" s="30"/>
      <c r="P2478" s="29"/>
      <c r="Q2478" s="31"/>
      <c r="R2478" s="29"/>
      <c r="S2478" s="29"/>
      <c r="T2478" s="30"/>
      <c r="U2478" s="47" t="str">
        <f aca="false">IF(AND(B2478&lt;&gt;"",B2478=SW別シート!$C$3),COUNTIF(B$5:B2478,B2478),"")</f>
        <v/>
      </c>
      <c r="V2478" s="47" t="n">
        <f aca="false">V2477+IF(OR(O2478&lt;&gt;"",W2478&lt;&gt;""),1,0)</f>
        <v>3</v>
      </c>
      <c r="W2478" s="29"/>
    </row>
    <row r="2479" customFormat="false" ht="15" hidden="false" customHeight="false" outlineLevel="0" collapsed="false">
      <c r="A2479" s="32" t="str">
        <f aca="false">IF(B2479="","",ROW()-7)</f>
        <v/>
      </c>
      <c r="B2479" s="30"/>
      <c r="C2479" s="29"/>
      <c r="D2479" s="29"/>
      <c r="E2479" s="29"/>
      <c r="F2479" s="30"/>
      <c r="G2479" s="29"/>
      <c r="H2479" s="30"/>
      <c r="I2479" s="29"/>
      <c r="J2479" s="30"/>
      <c r="K2479" s="30"/>
      <c r="L2479" s="29"/>
      <c r="M2479" s="32" t="str">
        <f aca="false">IF(OR(C2479="",L2479=""),"",IF(C2479=L2479,"同一","変更"))</f>
        <v/>
      </c>
      <c r="N2479" s="29"/>
      <c r="O2479" s="30"/>
      <c r="P2479" s="29"/>
      <c r="Q2479" s="31"/>
      <c r="R2479" s="29"/>
      <c r="S2479" s="29"/>
      <c r="T2479" s="30"/>
      <c r="U2479" s="47" t="str">
        <f aca="false">IF(AND(B2479&lt;&gt;"",B2479=SW別シート!$C$3),COUNTIF(B$5:B2479,B2479),"")</f>
        <v/>
      </c>
      <c r="V2479" s="47" t="n">
        <f aca="false">V2478+IF(OR(O2479&lt;&gt;"",W2479&lt;&gt;""),1,0)</f>
        <v>3</v>
      </c>
      <c r="W2479" s="29"/>
    </row>
    <row r="2480" customFormat="false" ht="15" hidden="false" customHeight="false" outlineLevel="0" collapsed="false">
      <c r="A2480" s="32" t="str">
        <f aca="false">IF(B2480="","",ROW()-7)</f>
        <v/>
      </c>
      <c r="B2480" s="30"/>
      <c r="C2480" s="29"/>
      <c r="D2480" s="29"/>
      <c r="E2480" s="29"/>
      <c r="F2480" s="30"/>
      <c r="G2480" s="29"/>
      <c r="H2480" s="30"/>
      <c r="I2480" s="29"/>
      <c r="J2480" s="30"/>
      <c r="K2480" s="30"/>
      <c r="L2480" s="29"/>
      <c r="M2480" s="32" t="str">
        <f aca="false">IF(OR(C2480="",L2480=""),"",IF(C2480=L2480,"同一","変更"))</f>
        <v/>
      </c>
      <c r="N2480" s="29"/>
      <c r="O2480" s="30"/>
      <c r="P2480" s="29"/>
      <c r="Q2480" s="31"/>
      <c r="R2480" s="29"/>
      <c r="S2480" s="29"/>
      <c r="T2480" s="30"/>
      <c r="U2480" s="47" t="str">
        <f aca="false">IF(AND(B2480&lt;&gt;"",B2480=SW別シート!$C$3),COUNTIF(B$5:B2480,B2480),"")</f>
        <v/>
      </c>
      <c r="V2480" s="47" t="n">
        <f aca="false">V2479+IF(OR(O2480&lt;&gt;"",W2480&lt;&gt;""),1,0)</f>
        <v>3</v>
      </c>
      <c r="W2480" s="29"/>
    </row>
    <row r="2481" customFormat="false" ht="15" hidden="false" customHeight="false" outlineLevel="0" collapsed="false">
      <c r="A2481" s="32" t="str">
        <f aca="false">IF(B2481="","",ROW()-7)</f>
        <v/>
      </c>
      <c r="B2481" s="30"/>
      <c r="C2481" s="29"/>
      <c r="D2481" s="29"/>
      <c r="E2481" s="29"/>
      <c r="F2481" s="30"/>
      <c r="G2481" s="29"/>
      <c r="H2481" s="30"/>
      <c r="I2481" s="29"/>
      <c r="J2481" s="30"/>
      <c r="K2481" s="30"/>
      <c r="L2481" s="29"/>
      <c r="M2481" s="32" t="str">
        <f aca="false">IF(OR(C2481="",L2481=""),"",IF(C2481=L2481,"同一","変更"))</f>
        <v/>
      </c>
      <c r="N2481" s="29"/>
      <c r="O2481" s="30"/>
      <c r="P2481" s="29"/>
      <c r="Q2481" s="31"/>
      <c r="R2481" s="29"/>
      <c r="S2481" s="29"/>
      <c r="T2481" s="30"/>
      <c r="U2481" s="47" t="str">
        <f aca="false">IF(AND(B2481&lt;&gt;"",B2481=SW別シート!$C$3),COUNTIF(B$5:B2481,B2481),"")</f>
        <v/>
      </c>
      <c r="V2481" s="47" t="n">
        <f aca="false">V2480+IF(OR(O2481&lt;&gt;"",W2481&lt;&gt;""),1,0)</f>
        <v>3</v>
      </c>
      <c r="W2481" s="29"/>
    </row>
    <row r="2482" customFormat="false" ht="15" hidden="false" customHeight="false" outlineLevel="0" collapsed="false">
      <c r="A2482" s="32" t="str">
        <f aca="false">IF(B2482="","",ROW()-7)</f>
        <v/>
      </c>
      <c r="B2482" s="30"/>
      <c r="C2482" s="29"/>
      <c r="D2482" s="29"/>
      <c r="E2482" s="29"/>
      <c r="F2482" s="30"/>
      <c r="G2482" s="29"/>
      <c r="H2482" s="30"/>
      <c r="I2482" s="29"/>
      <c r="J2482" s="30"/>
      <c r="K2482" s="30"/>
      <c r="L2482" s="29"/>
      <c r="M2482" s="32" t="str">
        <f aca="false">IF(OR(C2482="",L2482=""),"",IF(C2482=L2482,"同一","変更"))</f>
        <v/>
      </c>
      <c r="N2482" s="29"/>
      <c r="O2482" s="30"/>
      <c r="P2482" s="29"/>
      <c r="Q2482" s="31"/>
      <c r="R2482" s="29"/>
      <c r="S2482" s="29"/>
      <c r="T2482" s="30"/>
      <c r="U2482" s="47" t="str">
        <f aca="false">IF(AND(B2482&lt;&gt;"",B2482=SW別シート!$C$3),COUNTIF(B$5:B2482,B2482),"")</f>
        <v/>
      </c>
      <c r="V2482" s="47" t="n">
        <f aca="false">V2481+IF(OR(O2482&lt;&gt;"",W2482&lt;&gt;""),1,0)</f>
        <v>3</v>
      </c>
      <c r="W2482" s="29"/>
    </row>
    <row r="2483" customFormat="false" ht="15" hidden="false" customHeight="false" outlineLevel="0" collapsed="false">
      <c r="A2483" s="32" t="str">
        <f aca="false">IF(B2483="","",ROW()-7)</f>
        <v/>
      </c>
      <c r="B2483" s="30"/>
      <c r="C2483" s="29"/>
      <c r="D2483" s="29"/>
      <c r="E2483" s="29"/>
      <c r="F2483" s="30"/>
      <c r="G2483" s="29"/>
      <c r="H2483" s="30"/>
      <c r="I2483" s="29"/>
      <c r="J2483" s="30"/>
      <c r="K2483" s="30"/>
      <c r="L2483" s="29"/>
      <c r="M2483" s="32" t="str">
        <f aca="false">IF(OR(C2483="",L2483=""),"",IF(C2483=L2483,"同一","変更"))</f>
        <v/>
      </c>
      <c r="N2483" s="29"/>
      <c r="O2483" s="30"/>
      <c r="P2483" s="29"/>
      <c r="Q2483" s="31"/>
      <c r="R2483" s="29"/>
      <c r="S2483" s="29"/>
      <c r="T2483" s="30"/>
      <c r="U2483" s="47" t="str">
        <f aca="false">IF(AND(B2483&lt;&gt;"",B2483=SW別シート!$C$3),COUNTIF(B$5:B2483,B2483),"")</f>
        <v/>
      </c>
      <c r="V2483" s="47" t="n">
        <f aca="false">V2482+IF(OR(O2483&lt;&gt;"",W2483&lt;&gt;""),1,0)</f>
        <v>3</v>
      </c>
      <c r="W2483" s="29"/>
    </row>
    <row r="2484" customFormat="false" ht="15" hidden="false" customHeight="false" outlineLevel="0" collapsed="false">
      <c r="A2484" s="32" t="str">
        <f aca="false">IF(B2484="","",ROW()-7)</f>
        <v/>
      </c>
      <c r="B2484" s="30"/>
      <c r="C2484" s="29"/>
      <c r="D2484" s="29"/>
      <c r="E2484" s="29"/>
      <c r="F2484" s="30"/>
      <c r="G2484" s="29"/>
      <c r="H2484" s="30"/>
      <c r="I2484" s="29"/>
      <c r="J2484" s="30"/>
      <c r="K2484" s="30"/>
      <c r="L2484" s="29"/>
      <c r="M2484" s="32" t="str">
        <f aca="false">IF(OR(C2484="",L2484=""),"",IF(C2484=L2484,"同一","変更"))</f>
        <v/>
      </c>
      <c r="N2484" s="29"/>
      <c r="O2484" s="30"/>
      <c r="P2484" s="29"/>
      <c r="Q2484" s="31"/>
      <c r="R2484" s="29"/>
      <c r="S2484" s="29"/>
      <c r="T2484" s="30"/>
      <c r="U2484" s="47" t="str">
        <f aca="false">IF(AND(B2484&lt;&gt;"",B2484=SW別シート!$C$3),COUNTIF(B$5:B2484,B2484),"")</f>
        <v/>
      </c>
      <c r="V2484" s="47" t="n">
        <f aca="false">V2483+IF(OR(O2484&lt;&gt;"",W2484&lt;&gt;""),1,0)</f>
        <v>3</v>
      </c>
      <c r="W2484" s="29"/>
    </row>
    <row r="2485" customFormat="false" ht="15" hidden="false" customHeight="false" outlineLevel="0" collapsed="false">
      <c r="A2485" s="32" t="str">
        <f aca="false">IF(B2485="","",ROW()-7)</f>
        <v/>
      </c>
      <c r="B2485" s="30"/>
      <c r="C2485" s="29"/>
      <c r="D2485" s="29"/>
      <c r="E2485" s="29"/>
      <c r="F2485" s="30"/>
      <c r="G2485" s="29"/>
      <c r="H2485" s="30"/>
      <c r="I2485" s="29"/>
      <c r="J2485" s="30"/>
      <c r="K2485" s="30"/>
      <c r="L2485" s="29"/>
      <c r="M2485" s="32" t="str">
        <f aca="false">IF(OR(C2485="",L2485=""),"",IF(C2485=L2485,"同一","変更"))</f>
        <v/>
      </c>
      <c r="N2485" s="29"/>
      <c r="O2485" s="30"/>
      <c r="P2485" s="29"/>
      <c r="Q2485" s="31"/>
      <c r="R2485" s="29"/>
      <c r="S2485" s="29"/>
      <c r="T2485" s="30"/>
      <c r="U2485" s="47" t="str">
        <f aca="false">IF(AND(B2485&lt;&gt;"",B2485=SW別シート!$C$3),COUNTIF(B$5:B2485,B2485),"")</f>
        <v/>
      </c>
      <c r="V2485" s="47" t="n">
        <f aca="false">V2484+IF(OR(O2485&lt;&gt;"",W2485&lt;&gt;""),1,0)</f>
        <v>3</v>
      </c>
      <c r="W2485" s="29"/>
    </row>
    <row r="2486" customFormat="false" ht="15" hidden="false" customHeight="false" outlineLevel="0" collapsed="false">
      <c r="A2486" s="32" t="str">
        <f aca="false">IF(B2486="","",ROW()-7)</f>
        <v/>
      </c>
      <c r="B2486" s="30"/>
      <c r="C2486" s="29"/>
      <c r="D2486" s="29"/>
      <c r="E2486" s="29"/>
      <c r="F2486" s="30"/>
      <c r="G2486" s="29"/>
      <c r="H2486" s="30"/>
      <c r="I2486" s="29"/>
      <c r="J2486" s="30"/>
      <c r="K2486" s="30"/>
      <c r="L2486" s="29"/>
      <c r="M2486" s="32" t="str">
        <f aca="false">IF(OR(C2486="",L2486=""),"",IF(C2486=L2486,"同一","変更"))</f>
        <v/>
      </c>
      <c r="N2486" s="29"/>
      <c r="O2486" s="30"/>
      <c r="P2486" s="29"/>
      <c r="Q2486" s="31"/>
      <c r="R2486" s="29"/>
      <c r="S2486" s="29"/>
      <c r="T2486" s="30"/>
      <c r="U2486" s="47" t="str">
        <f aca="false">IF(AND(B2486&lt;&gt;"",B2486=SW別シート!$C$3),COUNTIF(B$5:B2486,B2486),"")</f>
        <v/>
      </c>
      <c r="V2486" s="47" t="n">
        <f aca="false">V2485+IF(OR(O2486&lt;&gt;"",W2486&lt;&gt;""),1,0)</f>
        <v>3</v>
      </c>
      <c r="W2486" s="29"/>
    </row>
    <row r="2487" customFormat="false" ht="15" hidden="false" customHeight="false" outlineLevel="0" collapsed="false">
      <c r="A2487" s="32" t="str">
        <f aca="false">IF(B2487="","",ROW()-7)</f>
        <v/>
      </c>
      <c r="B2487" s="30"/>
      <c r="C2487" s="29"/>
      <c r="D2487" s="29"/>
      <c r="E2487" s="29"/>
      <c r="F2487" s="30"/>
      <c r="G2487" s="29"/>
      <c r="H2487" s="30"/>
      <c r="I2487" s="29"/>
      <c r="J2487" s="30"/>
      <c r="K2487" s="30"/>
      <c r="L2487" s="29"/>
      <c r="M2487" s="32" t="str">
        <f aca="false">IF(OR(C2487="",L2487=""),"",IF(C2487=L2487,"同一","変更"))</f>
        <v/>
      </c>
      <c r="N2487" s="29"/>
      <c r="O2487" s="30"/>
      <c r="P2487" s="29"/>
      <c r="Q2487" s="31"/>
      <c r="R2487" s="29"/>
      <c r="S2487" s="29"/>
      <c r="T2487" s="30"/>
      <c r="U2487" s="47" t="str">
        <f aca="false">IF(AND(B2487&lt;&gt;"",B2487=SW別シート!$C$3),COUNTIF(B$5:B2487,B2487),"")</f>
        <v/>
      </c>
      <c r="V2487" s="47" t="n">
        <f aca="false">V2486+IF(OR(O2487&lt;&gt;"",W2487&lt;&gt;""),1,0)</f>
        <v>3</v>
      </c>
      <c r="W2487" s="29"/>
    </row>
    <row r="2488" customFormat="false" ht="15" hidden="false" customHeight="false" outlineLevel="0" collapsed="false">
      <c r="A2488" s="32" t="str">
        <f aca="false">IF(B2488="","",ROW()-7)</f>
        <v/>
      </c>
      <c r="B2488" s="30"/>
      <c r="C2488" s="29"/>
      <c r="D2488" s="29"/>
      <c r="E2488" s="29"/>
      <c r="F2488" s="30"/>
      <c r="G2488" s="29"/>
      <c r="H2488" s="30"/>
      <c r="I2488" s="29"/>
      <c r="J2488" s="30"/>
      <c r="K2488" s="30"/>
      <c r="L2488" s="29"/>
      <c r="M2488" s="32" t="str">
        <f aca="false">IF(OR(C2488="",L2488=""),"",IF(C2488=L2488,"同一","変更"))</f>
        <v/>
      </c>
      <c r="N2488" s="29"/>
      <c r="O2488" s="30"/>
      <c r="P2488" s="29"/>
      <c r="Q2488" s="31"/>
      <c r="R2488" s="29"/>
      <c r="S2488" s="29"/>
      <c r="T2488" s="30"/>
      <c r="U2488" s="47" t="str">
        <f aca="false">IF(AND(B2488&lt;&gt;"",B2488=SW別シート!$C$3),COUNTIF(B$5:B2488,B2488),"")</f>
        <v/>
      </c>
      <c r="V2488" s="47" t="n">
        <f aca="false">V2487+IF(OR(O2488&lt;&gt;"",W2488&lt;&gt;""),1,0)</f>
        <v>3</v>
      </c>
      <c r="W2488" s="29"/>
    </row>
    <row r="2489" customFormat="false" ht="15" hidden="false" customHeight="false" outlineLevel="0" collapsed="false">
      <c r="A2489" s="32" t="str">
        <f aca="false">IF(B2489="","",ROW()-7)</f>
        <v/>
      </c>
      <c r="B2489" s="30"/>
      <c r="C2489" s="29"/>
      <c r="D2489" s="29"/>
      <c r="E2489" s="29"/>
      <c r="F2489" s="30"/>
      <c r="G2489" s="29"/>
      <c r="H2489" s="30"/>
      <c r="I2489" s="29"/>
      <c r="J2489" s="30"/>
      <c r="K2489" s="30"/>
      <c r="L2489" s="29"/>
      <c r="M2489" s="32" t="str">
        <f aca="false">IF(OR(C2489="",L2489=""),"",IF(C2489=L2489,"同一","変更"))</f>
        <v/>
      </c>
      <c r="N2489" s="29"/>
      <c r="O2489" s="30"/>
      <c r="P2489" s="29"/>
      <c r="Q2489" s="31"/>
      <c r="R2489" s="29"/>
      <c r="S2489" s="29"/>
      <c r="T2489" s="30"/>
      <c r="U2489" s="47" t="str">
        <f aca="false">IF(AND(B2489&lt;&gt;"",B2489=SW別シート!$C$3),COUNTIF(B$5:B2489,B2489),"")</f>
        <v/>
      </c>
      <c r="V2489" s="47" t="n">
        <f aca="false">V2488+IF(OR(O2489&lt;&gt;"",W2489&lt;&gt;""),1,0)</f>
        <v>3</v>
      </c>
      <c r="W2489" s="29"/>
    </row>
    <row r="2490" customFormat="false" ht="15" hidden="false" customHeight="false" outlineLevel="0" collapsed="false">
      <c r="A2490" s="32" t="str">
        <f aca="false">IF(B2490="","",ROW()-7)</f>
        <v/>
      </c>
      <c r="B2490" s="30"/>
      <c r="C2490" s="29"/>
      <c r="D2490" s="29"/>
      <c r="E2490" s="29"/>
      <c r="F2490" s="30"/>
      <c r="G2490" s="29"/>
      <c r="H2490" s="30"/>
      <c r="I2490" s="29"/>
      <c r="J2490" s="30"/>
      <c r="K2490" s="30"/>
      <c r="L2490" s="29"/>
      <c r="M2490" s="32" t="str">
        <f aca="false">IF(OR(C2490="",L2490=""),"",IF(C2490=L2490,"同一","変更"))</f>
        <v/>
      </c>
      <c r="N2490" s="29"/>
      <c r="O2490" s="30"/>
      <c r="P2490" s="29"/>
      <c r="Q2490" s="31"/>
      <c r="R2490" s="29"/>
      <c r="S2490" s="29"/>
      <c r="T2490" s="30"/>
      <c r="U2490" s="47" t="str">
        <f aca="false">IF(AND(B2490&lt;&gt;"",B2490=SW別シート!$C$3),COUNTIF(B$5:B2490,B2490),"")</f>
        <v/>
      </c>
      <c r="V2490" s="47" t="n">
        <f aca="false">V2489+IF(OR(O2490&lt;&gt;"",W2490&lt;&gt;""),1,0)</f>
        <v>3</v>
      </c>
      <c r="W2490" s="29"/>
    </row>
    <row r="2491" customFormat="false" ht="15" hidden="false" customHeight="false" outlineLevel="0" collapsed="false">
      <c r="A2491" s="32" t="str">
        <f aca="false">IF(B2491="","",ROW()-7)</f>
        <v/>
      </c>
      <c r="B2491" s="30"/>
      <c r="C2491" s="29"/>
      <c r="D2491" s="29"/>
      <c r="E2491" s="29"/>
      <c r="F2491" s="30"/>
      <c r="G2491" s="29"/>
      <c r="H2491" s="30"/>
      <c r="I2491" s="29"/>
      <c r="J2491" s="30"/>
      <c r="K2491" s="30"/>
      <c r="L2491" s="29"/>
      <c r="M2491" s="32" t="str">
        <f aca="false">IF(OR(C2491="",L2491=""),"",IF(C2491=L2491,"同一","変更"))</f>
        <v/>
      </c>
      <c r="N2491" s="29"/>
      <c r="O2491" s="30"/>
      <c r="P2491" s="29"/>
      <c r="Q2491" s="31"/>
      <c r="R2491" s="29"/>
      <c r="S2491" s="29"/>
      <c r="T2491" s="30"/>
      <c r="U2491" s="47" t="str">
        <f aca="false">IF(AND(B2491&lt;&gt;"",B2491=SW別シート!$C$3),COUNTIF(B$5:B2491,B2491),"")</f>
        <v/>
      </c>
      <c r="V2491" s="47" t="n">
        <f aca="false">V2490+IF(OR(O2491&lt;&gt;"",W2491&lt;&gt;""),1,0)</f>
        <v>3</v>
      </c>
      <c r="W2491" s="29"/>
    </row>
    <row r="2492" customFormat="false" ht="15" hidden="false" customHeight="false" outlineLevel="0" collapsed="false">
      <c r="A2492" s="32" t="str">
        <f aca="false">IF(B2492="","",ROW()-7)</f>
        <v/>
      </c>
      <c r="B2492" s="30"/>
      <c r="C2492" s="29"/>
      <c r="D2492" s="29"/>
      <c r="E2492" s="29"/>
      <c r="F2492" s="30"/>
      <c r="G2492" s="29"/>
      <c r="H2492" s="30"/>
      <c r="I2492" s="29"/>
      <c r="J2492" s="30"/>
      <c r="K2492" s="30"/>
      <c r="L2492" s="29"/>
      <c r="M2492" s="32" t="str">
        <f aca="false">IF(OR(C2492="",L2492=""),"",IF(C2492=L2492,"同一","変更"))</f>
        <v/>
      </c>
      <c r="N2492" s="29"/>
      <c r="O2492" s="30"/>
      <c r="P2492" s="29"/>
      <c r="Q2492" s="31"/>
      <c r="R2492" s="29"/>
      <c r="S2492" s="29"/>
      <c r="T2492" s="30"/>
      <c r="U2492" s="47" t="str">
        <f aca="false">IF(AND(B2492&lt;&gt;"",B2492=SW別シート!$C$3),COUNTIF(B$5:B2492,B2492),"")</f>
        <v/>
      </c>
      <c r="V2492" s="47" t="n">
        <f aca="false">V2491+IF(OR(O2492&lt;&gt;"",W2492&lt;&gt;""),1,0)</f>
        <v>3</v>
      </c>
      <c r="W2492" s="29"/>
    </row>
    <row r="2493" customFormat="false" ht="15" hidden="false" customHeight="false" outlineLevel="0" collapsed="false">
      <c r="A2493" s="32" t="str">
        <f aca="false">IF(B2493="","",ROW()-7)</f>
        <v/>
      </c>
      <c r="B2493" s="30"/>
      <c r="C2493" s="29"/>
      <c r="D2493" s="29"/>
      <c r="E2493" s="29"/>
      <c r="F2493" s="30"/>
      <c r="G2493" s="29"/>
      <c r="H2493" s="30"/>
      <c r="I2493" s="29"/>
      <c r="J2493" s="30"/>
      <c r="K2493" s="30"/>
      <c r="L2493" s="29"/>
      <c r="M2493" s="32" t="str">
        <f aca="false">IF(OR(C2493="",L2493=""),"",IF(C2493=L2493,"同一","変更"))</f>
        <v/>
      </c>
      <c r="N2493" s="29"/>
      <c r="O2493" s="30"/>
      <c r="P2493" s="29"/>
      <c r="Q2493" s="31"/>
      <c r="R2493" s="29"/>
      <c r="S2493" s="29"/>
      <c r="T2493" s="30"/>
      <c r="U2493" s="47" t="str">
        <f aca="false">IF(AND(B2493&lt;&gt;"",B2493=SW別シート!$C$3),COUNTIF(B$5:B2493,B2493),"")</f>
        <v/>
      </c>
      <c r="V2493" s="47" t="n">
        <f aca="false">V2492+IF(OR(O2493&lt;&gt;"",W2493&lt;&gt;""),1,0)</f>
        <v>3</v>
      </c>
      <c r="W2493" s="29"/>
    </row>
    <row r="2494" customFormat="false" ht="15" hidden="false" customHeight="false" outlineLevel="0" collapsed="false">
      <c r="A2494" s="32" t="str">
        <f aca="false">IF(B2494="","",ROW()-7)</f>
        <v/>
      </c>
      <c r="B2494" s="30"/>
      <c r="C2494" s="29"/>
      <c r="D2494" s="29"/>
      <c r="E2494" s="29"/>
      <c r="F2494" s="30"/>
      <c r="G2494" s="29"/>
      <c r="H2494" s="30"/>
      <c r="I2494" s="29"/>
      <c r="J2494" s="30"/>
      <c r="K2494" s="30"/>
      <c r="L2494" s="29"/>
      <c r="M2494" s="32" t="str">
        <f aca="false">IF(OR(C2494="",L2494=""),"",IF(C2494=L2494,"同一","変更"))</f>
        <v/>
      </c>
      <c r="N2494" s="29"/>
      <c r="O2494" s="30"/>
      <c r="P2494" s="29"/>
      <c r="Q2494" s="31"/>
      <c r="R2494" s="29"/>
      <c r="S2494" s="29"/>
      <c r="T2494" s="30"/>
      <c r="U2494" s="47" t="str">
        <f aca="false">IF(AND(B2494&lt;&gt;"",B2494=SW別シート!$C$3),COUNTIF(B$5:B2494,B2494),"")</f>
        <v/>
      </c>
      <c r="V2494" s="47" t="n">
        <f aca="false">V2493+IF(OR(O2494&lt;&gt;"",W2494&lt;&gt;""),1,0)</f>
        <v>3</v>
      </c>
      <c r="W2494" s="29"/>
    </row>
    <row r="2495" customFormat="false" ht="15" hidden="false" customHeight="false" outlineLevel="0" collapsed="false">
      <c r="A2495" s="32" t="str">
        <f aca="false">IF(B2495="","",ROW()-7)</f>
        <v/>
      </c>
      <c r="B2495" s="30"/>
      <c r="C2495" s="29"/>
      <c r="D2495" s="29"/>
      <c r="E2495" s="29"/>
      <c r="F2495" s="30"/>
      <c r="G2495" s="29"/>
      <c r="H2495" s="30"/>
      <c r="I2495" s="29"/>
      <c r="J2495" s="30"/>
      <c r="K2495" s="30"/>
      <c r="L2495" s="29"/>
      <c r="M2495" s="32" t="str">
        <f aca="false">IF(OR(C2495="",L2495=""),"",IF(C2495=L2495,"同一","変更"))</f>
        <v/>
      </c>
      <c r="N2495" s="29"/>
      <c r="O2495" s="30"/>
      <c r="P2495" s="29"/>
      <c r="Q2495" s="31"/>
      <c r="R2495" s="29"/>
      <c r="S2495" s="29"/>
      <c r="T2495" s="30"/>
      <c r="U2495" s="47" t="str">
        <f aca="false">IF(AND(B2495&lt;&gt;"",B2495=SW別シート!$C$3),COUNTIF(B$5:B2495,B2495),"")</f>
        <v/>
      </c>
      <c r="V2495" s="47" t="n">
        <f aca="false">V2494+IF(OR(O2495&lt;&gt;"",W2495&lt;&gt;""),1,0)</f>
        <v>3</v>
      </c>
      <c r="W2495" s="29"/>
    </row>
    <row r="2496" customFormat="false" ht="15" hidden="false" customHeight="false" outlineLevel="0" collapsed="false">
      <c r="A2496" s="32" t="str">
        <f aca="false">IF(B2496="","",ROW()-7)</f>
        <v/>
      </c>
      <c r="B2496" s="30"/>
      <c r="C2496" s="29"/>
      <c r="D2496" s="29"/>
      <c r="E2496" s="29"/>
      <c r="F2496" s="30"/>
      <c r="G2496" s="29"/>
      <c r="H2496" s="30"/>
      <c r="I2496" s="29"/>
      <c r="J2496" s="30"/>
      <c r="K2496" s="30"/>
      <c r="L2496" s="29"/>
      <c r="M2496" s="32" t="str">
        <f aca="false">IF(OR(C2496="",L2496=""),"",IF(C2496=L2496,"同一","変更"))</f>
        <v/>
      </c>
      <c r="N2496" s="29"/>
      <c r="O2496" s="30"/>
      <c r="P2496" s="29"/>
      <c r="Q2496" s="31"/>
      <c r="R2496" s="29"/>
      <c r="S2496" s="29"/>
      <c r="T2496" s="30"/>
      <c r="U2496" s="47" t="str">
        <f aca="false">IF(AND(B2496&lt;&gt;"",B2496=SW別シート!$C$3),COUNTIF(B$5:B2496,B2496),"")</f>
        <v/>
      </c>
      <c r="V2496" s="47" t="n">
        <f aca="false">V2495+IF(OR(O2496&lt;&gt;"",W2496&lt;&gt;""),1,0)</f>
        <v>3</v>
      </c>
      <c r="W2496" s="29"/>
    </row>
    <row r="2497" customFormat="false" ht="15" hidden="false" customHeight="false" outlineLevel="0" collapsed="false">
      <c r="A2497" s="32" t="str">
        <f aca="false">IF(B2497="","",ROW()-7)</f>
        <v/>
      </c>
      <c r="B2497" s="30"/>
      <c r="C2497" s="29"/>
      <c r="D2497" s="29"/>
      <c r="E2497" s="29"/>
      <c r="F2497" s="30"/>
      <c r="G2497" s="29"/>
      <c r="H2497" s="30"/>
      <c r="I2497" s="29"/>
      <c r="J2497" s="30"/>
      <c r="K2497" s="30"/>
      <c r="L2497" s="29"/>
      <c r="M2497" s="32" t="str">
        <f aca="false">IF(OR(C2497="",L2497=""),"",IF(C2497=L2497,"同一","変更"))</f>
        <v/>
      </c>
      <c r="N2497" s="29"/>
      <c r="O2497" s="30"/>
      <c r="P2497" s="29"/>
      <c r="Q2497" s="31"/>
      <c r="R2497" s="29"/>
      <c r="S2497" s="29"/>
      <c r="T2497" s="30"/>
      <c r="U2497" s="47" t="str">
        <f aca="false">IF(AND(B2497&lt;&gt;"",B2497=SW別シート!$C$3),COUNTIF(B$5:B2497,B2497),"")</f>
        <v/>
      </c>
      <c r="V2497" s="47" t="n">
        <f aca="false">V2496+IF(OR(O2497&lt;&gt;"",W2497&lt;&gt;""),1,0)</f>
        <v>3</v>
      </c>
      <c r="W2497" s="29"/>
    </row>
    <row r="2498" customFormat="false" ht="15" hidden="false" customHeight="false" outlineLevel="0" collapsed="false">
      <c r="A2498" s="32" t="str">
        <f aca="false">IF(B2498="","",ROW()-7)</f>
        <v/>
      </c>
      <c r="B2498" s="30"/>
      <c r="C2498" s="29"/>
      <c r="D2498" s="29"/>
      <c r="E2498" s="29"/>
      <c r="F2498" s="30"/>
      <c r="G2498" s="29"/>
      <c r="H2498" s="30"/>
      <c r="I2498" s="29"/>
      <c r="J2498" s="30"/>
      <c r="K2498" s="30"/>
      <c r="L2498" s="29"/>
      <c r="M2498" s="32" t="str">
        <f aca="false">IF(OR(C2498="",L2498=""),"",IF(C2498=L2498,"同一","変更"))</f>
        <v/>
      </c>
      <c r="N2498" s="29"/>
      <c r="O2498" s="30"/>
      <c r="P2498" s="29"/>
      <c r="Q2498" s="31"/>
      <c r="R2498" s="29"/>
      <c r="S2498" s="29"/>
      <c r="T2498" s="30"/>
      <c r="U2498" s="47" t="str">
        <f aca="false">IF(AND(B2498&lt;&gt;"",B2498=SW別シート!$C$3),COUNTIF(B$5:B2498,B2498),"")</f>
        <v/>
      </c>
      <c r="V2498" s="47" t="n">
        <f aca="false">V2497+IF(OR(O2498&lt;&gt;"",W2498&lt;&gt;""),1,0)</f>
        <v>3</v>
      </c>
      <c r="W2498" s="29"/>
    </row>
    <row r="2499" customFormat="false" ht="15" hidden="false" customHeight="false" outlineLevel="0" collapsed="false">
      <c r="A2499" s="32" t="str">
        <f aca="false">IF(B2499="","",ROW()-7)</f>
        <v/>
      </c>
      <c r="B2499" s="30"/>
      <c r="C2499" s="29"/>
      <c r="D2499" s="29"/>
      <c r="E2499" s="29"/>
      <c r="F2499" s="30"/>
      <c r="G2499" s="29"/>
      <c r="H2499" s="30"/>
      <c r="I2499" s="29"/>
      <c r="J2499" s="30"/>
      <c r="K2499" s="30"/>
      <c r="L2499" s="29"/>
      <c r="M2499" s="32" t="str">
        <f aca="false">IF(OR(C2499="",L2499=""),"",IF(C2499=L2499,"同一","変更"))</f>
        <v/>
      </c>
      <c r="N2499" s="29"/>
      <c r="O2499" s="30"/>
      <c r="P2499" s="29"/>
      <c r="Q2499" s="31"/>
      <c r="R2499" s="29"/>
      <c r="S2499" s="29"/>
      <c r="T2499" s="30"/>
      <c r="U2499" s="47" t="str">
        <f aca="false">IF(AND(B2499&lt;&gt;"",B2499=SW別シート!$C$3),COUNTIF(B$5:B2499,B2499),"")</f>
        <v/>
      </c>
      <c r="V2499" s="47" t="n">
        <f aca="false">V2498+IF(OR(O2499&lt;&gt;"",W2499&lt;&gt;""),1,0)</f>
        <v>3</v>
      </c>
      <c r="W2499" s="29"/>
    </row>
    <row r="2500" customFormat="false" ht="15" hidden="false" customHeight="false" outlineLevel="0" collapsed="false">
      <c r="A2500" s="32" t="str">
        <f aca="false">IF(B2500="","",ROW()-7)</f>
        <v/>
      </c>
      <c r="B2500" s="30"/>
      <c r="C2500" s="29"/>
      <c r="D2500" s="29"/>
      <c r="E2500" s="29"/>
      <c r="F2500" s="30"/>
      <c r="G2500" s="29"/>
      <c r="H2500" s="30"/>
      <c r="I2500" s="29"/>
      <c r="J2500" s="30"/>
      <c r="K2500" s="30"/>
      <c r="L2500" s="29"/>
      <c r="M2500" s="32" t="str">
        <f aca="false">IF(OR(C2500="",L2500=""),"",IF(C2500=L2500,"同一","変更"))</f>
        <v/>
      </c>
      <c r="N2500" s="29"/>
      <c r="O2500" s="30"/>
      <c r="P2500" s="29"/>
      <c r="Q2500" s="31"/>
      <c r="R2500" s="29"/>
      <c r="S2500" s="29"/>
      <c r="T2500" s="30"/>
      <c r="U2500" s="47" t="str">
        <f aca="false">IF(AND(B2500&lt;&gt;"",B2500=SW別シート!$C$3),COUNTIF(B$5:B2500,B2500),"")</f>
        <v/>
      </c>
      <c r="V2500" s="47" t="n">
        <f aca="false">V2499+IF(OR(O2500&lt;&gt;"",W2500&lt;&gt;""),1,0)</f>
        <v>3</v>
      </c>
      <c r="W2500" s="29"/>
    </row>
    <row r="2501" customFormat="false" ht="15" hidden="false" customHeight="false" outlineLevel="0" collapsed="false">
      <c r="A2501" s="32" t="str">
        <f aca="false">IF(B2501="","",ROW()-7)</f>
        <v/>
      </c>
      <c r="B2501" s="30"/>
      <c r="C2501" s="29"/>
      <c r="D2501" s="29"/>
      <c r="E2501" s="29"/>
      <c r="F2501" s="30"/>
      <c r="G2501" s="29"/>
      <c r="H2501" s="30"/>
      <c r="I2501" s="29"/>
      <c r="J2501" s="30"/>
      <c r="K2501" s="30"/>
      <c r="L2501" s="29"/>
      <c r="M2501" s="32" t="str">
        <f aca="false">IF(OR(C2501="",L2501=""),"",IF(C2501=L2501,"同一","変更"))</f>
        <v/>
      </c>
      <c r="N2501" s="29"/>
      <c r="O2501" s="30"/>
      <c r="P2501" s="29"/>
      <c r="Q2501" s="31"/>
      <c r="R2501" s="29"/>
      <c r="S2501" s="29"/>
      <c r="T2501" s="30"/>
      <c r="U2501" s="47" t="str">
        <f aca="false">IF(AND(B2501&lt;&gt;"",B2501=SW別シート!$C$3),COUNTIF(B$5:B2501,B2501),"")</f>
        <v/>
      </c>
      <c r="V2501" s="47" t="n">
        <f aca="false">V2500+IF(OR(O2501&lt;&gt;"",W2501&lt;&gt;""),1,0)</f>
        <v>3</v>
      </c>
      <c r="W2501" s="29"/>
    </row>
    <row r="2502" customFormat="false" ht="15" hidden="false" customHeight="false" outlineLevel="0" collapsed="false">
      <c r="A2502" s="32" t="str">
        <f aca="false">IF(B2502="","",ROW()-7)</f>
        <v/>
      </c>
      <c r="B2502" s="30"/>
      <c r="C2502" s="29"/>
      <c r="D2502" s="29"/>
      <c r="E2502" s="29"/>
      <c r="F2502" s="30"/>
      <c r="G2502" s="29"/>
      <c r="H2502" s="30"/>
      <c r="I2502" s="29"/>
      <c r="J2502" s="30"/>
      <c r="K2502" s="30"/>
      <c r="L2502" s="29"/>
      <c r="M2502" s="32" t="str">
        <f aca="false">IF(OR(C2502="",L2502=""),"",IF(C2502=L2502,"同一","変更"))</f>
        <v/>
      </c>
      <c r="N2502" s="29"/>
      <c r="O2502" s="30"/>
      <c r="P2502" s="29"/>
      <c r="Q2502" s="31"/>
      <c r="R2502" s="29"/>
      <c r="S2502" s="29"/>
      <c r="T2502" s="30"/>
      <c r="U2502" s="47" t="str">
        <f aca="false">IF(AND(B2502&lt;&gt;"",B2502=SW別シート!$C$3),COUNTIF(B$5:B2502,B2502),"")</f>
        <v/>
      </c>
      <c r="V2502" s="47" t="n">
        <f aca="false">V2501+IF(OR(O2502&lt;&gt;"",W2502&lt;&gt;""),1,0)</f>
        <v>3</v>
      </c>
      <c r="W2502" s="29"/>
    </row>
    <row r="2503" customFormat="false" ht="15" hidden="false" customHeight="false" outlineLevel="0" collapsed="false">
      <c r="A2503" s="32" t="str">
        <f aca="false">IF(B2503="","",ROW()-7)</f>
        <v/>
      </c>
      <c r="B2503" s="30"/>
      <c r="C2503" s="29"/>
      <c r="D2503" s="29"/>
      <c r="E2503" s="29"/>
      <c r="F2503" s="30"/>
      <c r="G2503" s="29"/>
      <c r="H2503" s="30"/>
      <c r="I2503" s="29"/>
      <c r="J2503" s="30"/>
      <c r="K2503" s="30"/>
      <c r="L2503" s="29"/>
      <c r="M2503" s="32" t="str">
        <f aca="false">IF(OR(C2503="",L2503=""),"",IF(C2503=L2503,"同一","変更"))</f>
        <v/>
      </c>
      <c r="N2503" s="29"/>
      <c r="O2503" s="30"/>
      <c r="P2503" s="29"/>
      <c r="Q2503" s="31"/>
      <c r="R2503" s="29"/>
      <c r="S2503" s="29"/>
      <c r="T2503" s="30"/>
      <c r="U2503" s="47" t="str">
        <f aca="false">IF(AND(B2503&lt;&gt;"",B2503=SW別シート!$C$3),COUNTIF(B$5:B2503,B2503),"")</f>
        <v/>
      </c>
      <c r="V2503" s="47" t="n">
        <f aca="false">V2502+IF(OR(O2503&lt;&gt;"",W2503&lt;&gt;""),1,0)</f>
        <v>3</v>
      </c>
      <c r="W2503" s="29"/>
    </row>
    <row r="2504" customFormat="false" ht="15" hidden="false" customHeight="false" outlineLevel="0" collapsed="false">
      <c r="A2504" s="32" t="str">
        <f aca="false">IF(B2504="","",ROW()-7)</f>
        <v/>
      </c>
      <c r="B2504" s="30"/>
      <c r="C2504" s="29"/>
      <c r="D2504" s="29"/>
      <c r="E2504" s="29"/>
      <c r="F2504" s="30"/>
      <c r="G2504" s="29"/>
      <c r="H2504" s="30"/>
      <c r="I2504" s="29"/>
      <c r="J2504" s="30"/>
      <c r="K2504" s="30"/>
      <c r="L2504" s="29"/>
      <c r="M2504" s="32" t="str">
        <f aca="false">IF(OR(C2504="",L2504=""),"",IF(C2504=L2504,"同一","変更"))</f>
        <v/>
      </c>
      <c r="N2504" s="29"/>
      <c r="O2504" s="30"/>
      <c r="P2504" s="29"/>
      <c r="Q2504" s="31"/>
      <c r="R2504" s="29"/>
      <c r="S2504" s="29"/>
      <c r="T2504" s="30"/>
      <c r="U2504" s="47" t="str">
        <f aca="false">IF(AND(B2504&lt;&gt;"",B2504=SW別シート!$C$3),COUNTIF(B$5:B2504,B2504),"")</f>
        <v/>
      </c>
      <c r="V2504" s="47" t="n">
        <f aca="false">V2503+IF(OR(O2504&lt;&gt;"",W2504&lt;&gt;""),1,0)</f>
        <v>3</v>
      </c>
      <c r="W2504" s="29"/>
    </row>
    <row r="2505" customFormat="false" ht="15" hidden="false" customHeight="false" outlineLevel="0" collapsed="false">
      <c r="A2505" s="32" t="str">
        <f aca="false">IF(B2505="","",ROW()-7)</f>
        <v/>
      </c>
      <c r="B2505" s="30"/>
      <c r="C2505" s="29"/>
      <c r="D2505" s="29"/>
      <c r="E2505" s="29"/>
      <c r="F2505" s="30"/>
      <c r="G2505" s="29"/>
      <c r="H2505" s="30"/>
      <c r="I2505" s="29"/>
      <c r="J2505" s="30"/>
      <c r="K2505" s="30"/>
      <c r="L2505" s="29"/>
      <c r="M2505" s="32" t="str">
        <f aca="false">IF(OR(C2505="",L2505=""),"",IF(C2505=L2505,"同一","変更"))</f>
        <v/>
      </c>
      <c r="N2505" s="29"/>
      <c r="O2505" s="30"/>
      <c r="P2505" s="29"/>
      <c r="Q2505" s="31"/>
      <c r="R2505" s="29"/>
      <c r="S2505" s="29"/>
      <c r="T2505" s="30"/>
      <c r="U2505" s="47" t="str">
        <f aca="false">IF(AND(B2505&lt;&gt;"",B2505=SW別シート!$C$3),COUNTIF(B$5:B2505,B2505),"")</f>
        <v/>
      </c>
      <c r="V2505" s="47" t="n">
        <f aca="false">V2504+IF(OR(O2505&lt;&gt;"",W2505&lt;&gt;""),1,0)</f>
        <v>3</v>
      </c>
      <c r="W2505" s="29"/>
    </row>
    <row r="2506" customFormat="false" ht="15" hidden="false" customHeight="false" outlineLevel="0" collapsed="false">
      <c r="A2506" s="32" t="str">
        <f aca="false">IF(B2506="","",ROW()-7)</f>
        <v/>
      </c>
      <c r="B2506" s="30"/>
      <c r="C2506" s="29"/>
      <c r="D2506" s="29"/>
      <c r="E2506" s="29"/>
      <c r="F2506" s="30"/>
      <c r="G2506" s="29"/>
      <c r="H2506" s="30"/>
      <c r="I2506" s="29"/>
      <c r="J2506" s="30"/>
      <c r="K2506" s="30"/>
      <c r="L2506" s="29"/>
      <c r="M2506" s="32" t="str">
        <f aca="false">IF(OR(C2506="",L2506=""),"",IF(C2506=L2506,"同一","変更"))</f>
        <v/>
      </c>
      <c r="N2506" s="29"/>
      <c r="O2506" s="30"/>
      <c r="P2506" s="29"/>
      <c r="Q2506" s="31"/>
      <c r="R2506" s="29"/>
      <c r="S2506" s="29"/>
      <c r="T2506" s="30"/>
      <c r="U2506" s="47" t="str">
        <f aca="false">IF(AND(B2506&lt;&gt;"",B2506=SW別シート!$C$3),COUNTIF(B$5:B2506,B2506),"")</f>
        <v/>
      </c>
      <c r="V2506" s="47" t="n">
        <f aca="false">V2505+IF(OR(O2506&lt;&gt;"",W2506&lt;&gt;""),1,0)</f>
        <v>3</v>
      </c>
      <c r="W2506" s="29"/>
    </row>
    <row r="2507" customFormat="false" ht="15" hidden="false" customHeight="false" outlineLevel="0" collapsed="false">
      <c r="A2507" s="32" t="str">
        <f aca="false">IF(B2507="","",ROW()-7)</f>
        <v/>
      </c>
      <c r="B2507" s="30"/>
      <c r="C2507" s="29"/>
      <c r="D2507" s="29"/>
      <c r="E2507" s="29"/>
      <c r="F2507" s="30"/>
      <c r="G2507" s="29"/>
      <c r="H2507" s="30"/>
      <c r="I2507" s="29"/>
      <c r="J2507" s="30"/>
      <c r="K2507" s="30"/>
      <c r="L2507" s="29"/>
      <c r="M2507" s="32" t="str">
        <f aca="false">IF(OR(C2507="",L2507=""),"",IF(C2507=L2507,"同一","変更"))</f>
        <v/>
      </c>
      <c r="N2507" s="29"/>
      <c r="O2507" s="30"/>
      <c r="P2507" s="29"/>
      <c r="Q2507" s="31"/>
      <c r="R2507" s="29"/>
      <c r="S2507" s="29"/>
      <c r="T2507" s="30"/>
      <c r="U2507" s="47" t="str">
        <f aca="false">IF(AND(B2507&lt;&gt;"",B2507=SW別シート!$C$3),COUNTIF(B$5:B2507,B2507),"")</f>
        <v/>
      </c>
      <c r="V2507" s="47" t="n">
        <f aca="false">V2506+IF(OR(O2507&lt;&gt;"",W2507&lt;&gt;""),1,0)</f>
        <v>3</v>
      </c>
      <c r="W2507" s="29"/>
    </row>
    <row r="2508" customFormat="false" ht="15" hidden="false" customHeight="false" outlineLevel="0" collapsed="false">
      <c r="A2508" s="32" t="str">
        <f aca="false">IF(B2508="","",ROW()-7)</f>
        <v/>
      </c>
      <c r="B2508" s="30"/>
      <c r="C2508" s="29"/>
      <c r="D2508" s="29"/>
      <c r="E2508" s="29"/>
      <c r="F2508" s="30"/>
      <c r="G2508" s="29"/>
      <c r="H2508" s="30"/>
      <c r="I2508" s="29"/>
      <c r="J2508" s="30"/>
      <c r="K2508" s="30"/>
      <c r="L2508" s="29"/>
      <c r="M2508" s="32" t="str">
        <f aca="false">IF(OR(C2508="",L2508=""),"",IF(C2508=L2508,"同一","変更"))</f>
        <v/>
      </c>
      <c r="N2508" s="29"/>
      <c r="O2508" s="30"/>
      <c r="P2508" s="29"/>
      <c r="Q2508" s="31"/>
      <c r="R2508" s="29"/>
      <c r="S2508" s="29"/>
      <c r="T2508" s="30"/>
      <c r="U2508" s="47" t="str">
        <f aca="false">IF(AND(B2508&lt;&gt;"",B2508=SW別シート!$C$3),COUNTIF(B$5:B2508,B2508),"")</f>
        <v/>
      </c>
      <c r="V2508" s="47" t="n">
        <f aca="false">V2507+IF(OR(O2508&lt;&gt;"",W2508&lt;&gt;""),1,0)</f>
        <v>3</v>
      </c>
      <c r="W2508" s="29"/>
    </row>
    <row r="2509" customFormat="false" ht="15" hidden="false" customHeight="false" outlineLevel="0" collapsed="false">
      <c r="A2509" s="32" t="str">
        <f aca="false">IF(B2509="","",ROW()-7)</f>
        <v/>
      </c>
      <c r="B2509" s="30"/>
      <c r="C2509" s="29"/>
      <c r="D2509" s="29"/>
      <c r="E2509" s="29"/>
      <c r="F2509" s="30"/>
      <c r="G2509" s="29"/>
      <c r="H2509" s="30"/>
      <c r="I2509" s="29"/>
      <c r="J2509" s="30"/>
      <c r="K2509" s="30"/>
      <c r="L2509" s="29"/>
      <c r="M2509" s="32" t="str">
        <f aca="false">IF(OR(C2509="",L2509=""),"",IF(C2509=L2509,"同一","変更"))</f>
        <v/>
      </c>
      <c r="N2509" s="29"/>
      <c r="O2509" s="30"/>
      <c r="P2509" s="29"/>
      <c r="Q2509" s="31"/>
      <c r="R2509" s="29"/>
      <c r="S2509" s="29"/>
      <c r="T2509" s="30"/>
      <c r="U2509" s="47" t="str">
        <f aca="false">IF(AND(B2509&lt;&gt;"",B2509=SW別シート!$C$3),COUNTIF(B$5:B2509,B2509),"")</f>
        <v/>
      </c>
      <c r="V2509" s="47" t="n">
        <f aca="false">V2508+IF(OR(O2509&lt;&gt;"",W2509&lt;&gt;""),1,0)</f>
        <v>3</v>
      </c>
      <c r="W2509" s="29"/>
    </row>
    <row r="2510" customFormat="false" ht="15" hidden="false" customHeight="false" outlineLevel="0" collapsed="false">
      <c r="A2510" s="32" t="str">
        <f aca="false">IF(B2510="","",ROW()-7)</f>
        <v/>
      </c>
      <c r="B2510" s="30"/>
      <c r="C2510" s="29"/>
      <c r="D2510" s="29"/>
      <c r="E2510" s="29"/>
      <c r="F2510" s="30"/>
      <c r="G2510" s="29"/>
      <c r="H2510" s="30"/>
      <c r="I2510" s="29"/>
      <c r="J2510" s="30"/>
      <c r="K2510" s="30"/>
      <c r="L2510" s="29"/>
      <c r="M2510" s="32" t="str">
        <f aca="false">IF(OR(C2510="",L2510=""),"",IF(C2510=L2510,"同一","変更"))</f>
        <v/>
      </c>
      <c r="N2510" s="29"/>
      <c r="O2510" s="30"/>
      <c r="P2510" s="29"/>
      <c r="Q2510" s="31"/>
      <c r="R2510" s="29"/>
      <c r="S2510" s="29"/>
      <c r="T2510" s="30"/>
      <c r="U2510" s="47" t="str">
        <f aca="false">IF(AND(B2510&lt;&gt;"",B2510=SW別シート!$C$3),COUNTIF(B$5:B2510,B2510),"")</f>
        <v/>
      </c>
      <c r="V2510" s="47" t="n">
        <f aca="false">V2509+IF(OR(O2510&lt;&gt;"",W2510&lt;&gt;""),1,0)</f>
        <v>3</v>
      </c>
      <c r="W2510" s="29"/>
    </row>
    <row r="2511" customFormat="false" ht="15" hidden="false" customHeight="false" outlineLevel="0" collapsed="false">
      <c r="A2511" s="32" t="str">
        <f aca="false">IF(B2511="","",ROW()-7)</f>
        <v/>
      </c>
      <c r="B2511" s="30"/>
      <c r="C2511" s="29"/>
      <c r="D2511" s="29"/>
      <c r="E2511" s="29"/>
      <c r="F2511" s="30"/>
      <c r="G2511" s="29"/>
      <c r="H2511" s="30"/>
      <c r="I2511" s="29"/>
      <c r="J2511" s="30"/>
      <c r="K2511" s="30"/>
      <c r="L2511" s="29"/>
      <c r="M2511" s="32" t="str">
        <f aca="false">IF(OR(C2511="",L2511=""),"",IF(C2511=L2511,"同一","変更"))</f>
        <v/>
      </c>
      <c r="N2511" s="29"/>
      <c r="O2511" s="30"/>
      <c r="P2511" s="29"/>
      <c r="Q2511" s="31"/>
      <c r="R2511" s="29"/>
      <c r="S2511" s="29"/>
      <c r="T2511" s="30"/>
      <c r="U2511" s="47" t="str">
        <f aca="false">IF(AND(B2511&lt;&gt;"",B2511=SW別シート!$C$3),COUNTIF(B$5:B2511,B2511),"")</f>
        <v/>
      </c>
      <c r="V2511" s="47" t="n">
        <f aca="false">V2510+IF(OR(O2511&lt;&gt;"",W2511&lt;&gt;""),1,0)</f>
        <v>3</v>
      </c>
      <c r="W2511" s="29"/>
    </row>
    <row r="2512" customFormat="false" ht="15" hidden="false" customHeight="false" outlineLevel="0" collapsed="false">
      <c r="A2512" s="32" t="str">
        <f aca="false">IF(B2512="","",ROW()-7)</f>
        <v/>
      </c>
      <c r="B2512" s="30"/>
      <c r="C2512" s="29"/>
      <c r="D2512" s="29"/>
      <c r="E2512" s="29"/>
      <c r="F2512" s="30"/>
      <c r="G2512" s="29"/>
      <c r="H2512" s="30"/>
      <c r="I2512" s="29"/>
      <c r="J2512" s="30"/>
      <c r="K2512" s="30"/>
      <c r="L2512" s="29"/>
      <c r="M2512" s="32" t="str">
        <f aca="false">IF(OR(C2512="",L2512=""),"",IF(C2512=L2512,"同一","変更"))</f>
        <v/>
      </c>
      <c r="N2512" s="29"/>
      <c r="O2512" s="30"/>
      <c r="P2512" s="29"/>
      <c r="Q2512" s="31"/>
      <c r="R2512" s="29"/>
      <c r="S2512" s="29"/>
      <c r="T2512" s="30"/>
      <c r="U2512" s="47" t="str">
        <f aca="false">IF(AND(B2512&lt;&gt;"",B2512=SW別シート!$C$3),COUNTIF(B$5:B2512,B2512),"")</f>
        <v/>
      </c>
      <c r="V2512" s="47" t="n">
        <f aca="false">V2511+IF(OR(O2512&lt;&gt;"",W2512&lt;&gt;""),1,0)</f>
        <v>3</v>
      </c>
      <c r="W2512" s="29"/>
    </row>
    <row r="2513" customFormat="false" ht="15" hidden="false" customHeight="false" outlineLevel="0" collapsed="false">
      <c r="A2513" s="32" t="str">
        <f aca="false">IF(B2513="","",ROW()-7)</f>
        <v/>
      </c>
      <c r="B2513" s="30"/>
      <c r="C2513" s="29"/>
      <c r="D2513" s="29"/>
      <c r="E2513" s="29"/>
      <c r="F2513" s="30"/>
      <c r="G2513" s="29"/>
      <c r="H2513" s="30"/>
      <c r="I2513" s="29"/>
      <c r="J2513" s="30"/>
      <c r="K2513" s="30"/>
      <c r="L2513" s="29"/>
      <c r="M2513" s="32" t="str">
        <f aca="false">IF(OR(C2513="",L2513=""),"",IF(C2513=L2513,"同一","変更"))</f>
        <v/>
      </c>
      <c r="N2513" s="29"/>
      <c r="O2513" s="30"/>
      <c r="P2513" s="29"/>
      <c r="Q2513" s="31"/>
      <c r="R2513" s="29"/>
      <c r="S2513" s="29"/>
      <c r="T2513" s="30"/>
      <c r="U2513" s="47" t="str">
        <f aca="false">IF(AND(B2513&lt;&gt;"",B2513=SW別シート!$C$3),COUNTIF(B$5:B2513,B2513),"")</f>
        <v/>
      </c>
      <c r="V2513" s="47" t="n">
        <f aca="false">V2512+IF(OR(O2513&lt;&gt;"",W2513&lt;&gt;""),1,0)</f>
        <v>3</v>
      </c>
      <c r="W2513" s="29"/>
    </row>
    <row r="2514" customFormat="false" ht="15" hidden="false" customHeight="false" outlineLevel="0" collapsed="false">
      <c r="A2514" s="32" t="str">
        <f aca="false">IF(B2514="","",ROW()-7)</f>
        <v/>
      </c>
      <c r="B2514" s="30"/>
      <c r="C2514" s="29"/>
      <c r="D2514" s="29"/>
      <c r="E2514" s="29"/>
      <c r="F2514" s="30"/>
      <c r="G2514" s="29"/>
      <c r="H2514" s="30"/>
      <c r="I2514" s="29"/>
      <c r="J2514" s="30"/>
      <c r="K2514" s="30"/>
      <c r="L2514" s="29"/>
      <c r="M2514" s="32" t="str">
        <f aca="false">IF(OR(C2514="",L2514=""),"",IF(C2514=L2514,"同一","変更"))</f>
        <v/>
      </c>
      <c r="N2514" s="29"/>
      <c r="O2514" s="30"/>
      <c r="P2514" s="29"/>
      <c r="Q2514" s="31"/>
      <c r="R2514" s="29"/>
      <c r="S2514" s="29"/>
      <c r="T2514" s="30"/>
      <c r="U2514" s="47" t="str">
        <f aca="false">IF(AND(B2514&lt;&gt;"",B2514=SW別シート!$C$3),COUNTIF(B$5:B2514,B2514),"")</f>
        <v/>
      </c>
      <c r="V2514" s="47" t="n">
        <f aca="false">V2513+IF(OR(O2514&lt;&gt;"",W2514&lt;&gt;""),1,0)</f>
        <v>3</v>
      </c>
      <c r="W2514" s="29"/>
    </row>
    <row r="2515" customFormat="false" ht="15" hidden="false" customHeight="false" outlineLevel="0" collapsed="false">
      <c r="A2515" s="32" t="str">
        <f aca="false">IF(B2515="","",ROW()-7)</f>
        <v/>
      </c>
      <c r="B2515" s="30"/>
      <c r="C2515" s="29"/>
      <c r="D2515" s="29"/>
      <c r="E2515" s="29"/>
      <c r="F2515" s="30"/>
      <c r="G2515" s="29"/>
      <c r="H2515" s="30"/>
      <c r="I2515" s="29"/>
      <c r="J2515" s="30"/>
      <c r="K2515" s="30"/>
      <c r="L2515" s="29"/>
      <c r="M2515" s="32" t="str">
        <f aca="false">IF(OR(C2515="",L2515=""),"",IF(C2515=L2515,"同一","変更"))</f>
        <v/>
      </c>
      <c r="N2515" s="29"/>
      <c r="O2515" s="30"/>
      <c r="P2515" s="29"/>
      <c r="Q2515" s="31"/>
      <c r="R2515" s="29"/>
      <c r="S2515" s="29"/>
      <c r="T2515" s="30"/>
      <c r="U2515" s="47" t="str">
        <f aca="false">IF(AND(B2515&lt;&gt;"",B2515=SW別シート!$C$3),COUNTIF(B$5:B2515,B2515),"")</f>
        <v/>
      </c>
      <c r="V2515" s="47" t="n">
        <f aca="false">V2514+IF(OR(O2515&lt;&gt;"",W2515&lt;&gt;""),1,0)</f>
        <v>3</v>
      </c>
      <c r="W2515" s="29"/>
    </row>
    <row r="2516" customFormat="false" ht="15" hidden="false" customHeight="false" outlineLevel="0" collapsed="false">
      <c r="A2516" s="32" t="str">
        <f aca="false">IF(B2516="","",ROW()-7)</f>
        <v/>
      </c>
      <c r="B2516" s="30"/>
      <c r="C2516" s="29"/>
      <c r="D2516" s="29"/>
      <c r="E2516" s="29"/>
      <c r="F2516" s="30"/>
      <c r="G2516" s="29"/>
      <c r="H2516" s="30"/>
      <c r="I2516" s="29"/>
      <c r="J2516" s="30"/>
      <c r="K2516" s="30"/>
      <c r="L2516" s="29"/>
      <c r="M2516" s="32" t="str">
        <f aca="false">IF(OR(C2516="",L2516=""),"",IF(C2516=L2516,"同一","変更"))</f>
        <v/>
      </c>
      <c r="N2516" s="29"/>
      <c r="O2516" s="30"/>
      <c r="P2516" s="29"/>
      <c r="Q2516" s="31"/>
      <c r="R2516" s="29"/>
      <c r="S2516" s="29"/>
      <c r="T2516" s="30"/>
      <c r="U2516" s="47" t="str">
        <f aca="false">IF(AND(B2516&lt;&gt;"",B2516=SW別シート!$C$3),COUNTIF(B$5:B2516,B2516),"")</f>
        <v/>
      </c>
      <c r="V2516" s="47" t="n">
        <f aca="false">V2515+IF(OR(O2516&lt;&gt;"",W2516&lt;&gt;""),1,0)</f>
        <v>3</v>
      </c>
      <c r="W2516" s="29"/>
    </row>
    <row r="2517" customFormat="false" ht="15" hidden="false" customHeight="false" outlineLevel="0" collapsed="false">
      <c r="A2517" s="32" t="str">
        <f aca="false">IF(B2517="","",ROW()-7)</f>
        <v/>
      </c>
      <c r="B2517" s="30"/>
      <c r="C2517" s="29"/>
      <c r="D2517" s="29"/>
      <c r="E2517" s="29"/>
      <c r="F2517" s="30"/>
      <c r="G2517" s="29"/>
      <c r="H2517" s="30"/>
      <c r="I2517" s="29"/>
      <c r="J2517" s="30"/>
      <c r="K2517" s="30"/>
      <c r="L2517" s="29"/>
      <c r="M2517" s="32" t="str">
        <f aca="false">IF(OR(C2517="",L2517=""),"",IF(C2517=L2517,"同一","変更"))</f>
        <v/>
      </c>
      <c r="N2517" s="29"/>
      <c r="O2517" s="30"/>
      <c r="P2517" s="29"/>
      <c r="Q2517" s="31"/>
      <c r="R2517" s="29"/>
      <c r="S2517" s="29"/>
      <c r="T2517" s="30"/>
      <c r="U2517" s="47" t="str">
        <f aca="false">IF(AND(B2517&lt;&gt;"",B2517=SW別シート!$C$3),COUNTIF(B$5:B2517,B2517),"")</f>
        <v/>
      </c>
      <c r="V2517" s="47" t="n">
        <f aca="false">V2516+IF(OR(O2517&lt;&gt;"",W2517&lt;&gt;""),1,0)</f>
        <v>3</v>
      </c>
      <c r="W2517" s="29"/>
    </row>
    <row r="2518" customFormat="false" ht="15" hidden="false" customHeight="false" outlineLevel="0" collapsed="false">
      <c r="A2518" s="32" t="str">
        <f aca="false">IF(B2518="","",ROW()-7)</f>
        <v/>
      </c>
      <c r="B2518" s="30"/>
      <c r="C2518" s="29"/>
      <c r="D2518" s="29"/>
      <c r="E2518" s="29"/>
      <c r="F2518" s="30"/>
      <c r="G2518" s="29"/>
      <c r="H2518" s="30"/>
      <c r="I2518" s="29"/>
      <c r="J2518" s="30"/>
      <c r="K2518" s="30"/>
      <c r="L2518" s="29"/>
      <c r="M2518" s="32" t="str">
        <f aca="false">IF(OR(C2518="",L2518=""),"",IF(C2518=L2518,"同一","変更"))</f>
        <v/>
      </c>
      <c r="N2518" s="29"/>
      <c r="O2518" s="30"/>
      <c r="P2518" s="29"/>
      <c r="Q2518" s="31"/>
      <c r="R2518" s="29"/>
      <c r="S2518" s="29"/>
      <c r="T2518" s="30"/>
      <c r="U2518" s="47" t="str">
        <f aca="false">IF(AND(B2518&lt;&gt;"",B2518=SW別シート!$C$3),COUNTIF(B$5:B2518,B2518),"")</f>
        <v/>
      </c>
      <c r="V2518" s="47" t="n">
        <f aca="false">V2517+IF(OR(O2518&lt;&gt;"",W2518&lt;&gt;""),1,0)</f>
        <v>3</v>
      </c>
      <c r="W2518" s="29"/>
    </row>
    <row r="2519" customFormat="false" ht="15" hidden="false" customHeight="false" outlineLevel="0" collapsed="false">
      <c r="A2519" s="32" t="str">
        <f aca="false">IF(B2519="","",ROW()-7)</f>
        <v/>
      </c>
      <c r="B2519" s="30"/>
      <c r="C2519" s="29"/>
      <c r="D2519" s="29"/>
      <c r="E2519" s="29"/>
      <c r="F2519" s="30"/>
      <c r="G2519" s="29"/>
      <c r="H2519" s="30"/>
      <c r="I2519" s="29"/>
      <c r="J2519" s="30"/>
      <c r="K2519" s="30"/>
      <c r="L2519" s="29"/>
      <c r="M2519" s="32" t="str">
        <f aca="false">IF(OR(C2519="",L2519=""),"",IF(C2519=L2519,"同一","変更"))</f>
        <v/>
      </c>
      <c r="N2519" s="29"/>
      <c r="O2519" s="30"/>
      <c r="P2519" s="29"/>
      <c r="Q2519" s="31"/>
      <c r="R2519" s="29"/>
      <c r="S2519" s="29"/>
      <c r="T2519" s="30"/>
      <c r="U2519" s="47" t="str">
        <f aca="false">IF(AND(B2519&lt;&gt;"",B2519=SW別シート!$C$3),COUNTIF(B$5:B2519,B2519),"")</f>
        <v/>
      </c>
      <c r="V2519" s="47" t="n">
        <f aca="false">V2518+IF(OR(O2519&lt;&gt;"",W2519&lt;&gt;""),1,0)</f>
        <v>3</v>
      </c>
      <c r="W2519" s="29"/>
    </row>
    <row r="2520" customFormat="false" ht="15" hidden="false" customHeight="false" outlineLevel="0" collapsed="false">
      <c r="A2520" s="32" t="str">
        <f aca="false">IF(B2520="","",ROW()-7)</f>
        <v/>
      </c>
      <c r="B2520" s="30"/>
      <c r="C2520" s="29"/>
      <c r="D2520" s="29"/>
      <c r="E2520" s="29"/>
      <c r="F2520" s="30"/>
      <c r="G2520" s="29"/>
      <c r="H2520" s="30"/>
      <c r="I2520" s="29"/>
      <c r="J2520" s="30"/>
      <c r="K2520" s="30"/>
      <c r="L2520" s="29"/>
      <c r="M2520" s="32" t="str">
        <f aca="false">IF(OR(C2520="",L2520=""),"",IF(C2520=L2520,"同一","変更"))</f>
        <v/>
      </c>
      <c r="N2520" s="29"/>
      <c r="O2520" s="30"/>
      <c r="P2520" s="29"/>
      <c r="Q2520" s="31"/>
      <c r="R2520" s="29"/>
      <c r="S2520" s="29"/>
      <c r="T2520" s="30"/>
      <c r="U2520" s="47" t="str">
        <f aca="false">IF(AND(B2520&lt;&gt;"",B2520=SW別シート!$C$3),COUNTIF(B$5:B2520,B2520),"")</f>
        <v/>
      </c>
      <c r="V2520" s="47" t="n">
        <f aca="false">V2519+IF(OR(O2520&lt;&gt;"",W2520&lt;&gt;""),1,0)</f>
        <v>3</v>
      </c>
      <c r="W2520" s="29"/>
    </row>
    <row r="2521" customFormat="false" ht="15" hidden="false" customHeight="false" outlineLevel="0" collapsed="false">
      <c r="A2521" s="32" t="str">
        <f aca="false">IF(B2521="","",ROW()-7)</f>
        <v/>
      </c>
      <c r="B2521" s="30"/>
      <c r="C2521" s="29"/>
      <c r="D2521" s="29"/>
      <c r="E2521" s="29"/>
      <c r="F2521" s="30"/>
      <c r="G2521" s="29"/>
      <c r="H2521" s="30"/>
      <c r="I2521" s="29"/>
      <c r="J2521" s="30"/>
      <c r="K2521" s="30"/>
      <c r="L2521" s="29"/>
      <c r="M2521" s="32" t="str">
        <f aca="false">IF(OR(C2521="",L2521=""),"",IF(C2521=L2521,"同一","変更"))</f>
        <v/>
      </c>
      <c r="N2521" s="29"/>
      <c r="O2521" s="30"/>
      <c r="P2521" s="29"/>
      <c r="Q2521" s="31"/>
      <c r="R2521" s="29"/>
      <c r="S2521" s="29"/>
      <c r="T2521" s="30"/>
      <c r="U2521" s="47" t="str">
        <f aca="false">IF(AND(B2521&lt;&gt;"",B2521=SW別シート!$C$3),COUNTIF(B$5:B2521,B2521),"")</f>
        <v/>
      </c>
      <c r="V2521" s="47" t="n">
        <f aca="false">V2520+IF(OR(O2521&lt;&gt;"",W2521&lt;&gt;""),1,0)</f>
        <v>3</v>
      </c>
      <c r="W2521" s="29"/>
    </row>
    <row r="2522" customFormat="false" ht="15" hidden="false" customHeight="false" outlineLevel="0" collapsed="false">
      <c r="A2522" s="32" t="str">
        <f aca="false">IF(B2522="","",ROW()-7)</f>
        <v/>
      </c>
      <c r="B2522" s="30"/>
      <c r="C2522" s="29"/>
      <c r="D2522" s="29"/>
      <c r="E2522" s="29"/>
      <c r="F2522" s="30"/>
      <c r="G2522" s="29"/>
      <c r="H2522" s="30"/>
      <c r="I2522" s="29"/>
      <c r="J2522" s="30"/>
      <c r="K2522" s="30"/>
      <c r="L2522" s="29"/>
      <c r="M2522" s="32" t="str">
        <f aca="false">IF(OR(C2522="",L2522=""),"",IF(C2522=L2522,"同一","変更"))</f>
        <v/>
      </c>
      <c r="N2522" s="29"/>
      <c r="O2522" s="30"/>
      <c r="P2522" s="29"/>
      <c r="Q2522" s="31"/>
      <c r="R2522" s="29"/>
      <c r="S2522" s="29"/>
      <c r="T2522" s="30"/>
      <c r="U2522" s="47" t="str">
        <f aca="false">IF(AND(B2522&lt;&gt;"",B2522=SW別シート!$C$3),COUNTIF(B$5:B2522,B2522),"")</f>
        <v/>
      </c>
      <c r="V2522" s="47" t="n">
        <f aca="false">V2521+IF(OR(O2522&lt;&gt;"",W2522&lt;&gt;""),1,0)</f>
        <v>3</v>
      </c>
      <c r="W2522" s="29"/>
    </row>
    <row r="2523" customFormat="false" ht="15" hidden="false" customHeight="false" outlineLevel="0" collapsed="false">
      <c r="A2523" s="32" t="str">
        <f aca="false">IF(B2523="","",ROW()-7)</f>
        <v/>
      </c>
      <c r="B2523" s="30"/>
      <c r="C2523" s="29"/>
      <c r="D2523" s="29"/>
      <c r="E2523" s="29"/>
      <c r="F2523" s="30"/>
      <c r="G2523" s="29"/>
      <c r="H2523" s="30"/>
      <c r="I2523" s="29"/>
      <c r="J2523" s="30"/>
      <c r="K2523" s="30"/>
      <c r="L2523" s="29"/>
      <c r="M2523" s="32" t="str">
        <f aca="false">IF(OR(C2523="",L2523=""),"",IF(C2523=L2523,"同一","変更"))</f>
        <v/>
      </c>
      <c r="N2523" s="29"/>
      <c r="O2523" s="30"/>
      <c r="P2523" s="29"/>
      <c r="Q2523" s="31"/>
      <c r="R2523" s="29"/>
      <c r="S2523" s="29"/>
      <c r="T2523" s="30"/>
      <c r="U2523" s="47" t="str">
        <f aca="false">IF(AND(B2523&lt;&gt;"",B2523=SW別シート!$C$3),COUNTIF(B$5:B2523,B2523),"")</f>
        <v/>
      </c>
      <c r="V2523" s="47" t="n">
        <f aca="false">V2522+IF(OR(O2523&lt;&gt;"",W2523&lt;&gt;""),1,0)</f>
        <v>3</v>
      </c>
      <c r="W2523" s="29"/>
    </row>
    <row r="2524" customFormat="false" ht="15" hidden="false" customHeight="false" outlineLevel="0" collapsed="false">
      <c r="A2524" s="32" t="str">
        <f aca="false">IF(B2524="","",ROW()-7)</f>
        <v/>
      </c>
      <c r="B2524" s="30"/>
      <c r="C2524" s="29"/>
      <c r="D2524" s="29"/>
      <c r="E2524" s="29"/>
      <c r="F2524" s="30"/>
      <c r="G2524" s="29"/>
      <c r="H2524" s="30"/>
      <c r="I2524" s="29"/>
      <c r="J2524" s="30"/>
      <c r="K2524" s="30"/>
      <c r="L2524" s="29"/>
      <c r="M2524" s="32" t="str">
        <f aca="false">IF(OR(C2524="",L2524=""),"",IF(C2524=L2524,"同一","変更"))</f>
        <v/>
      </c>
      <c r="N2524" s="29"/>
      <c r="O2524" s="30"/>
      <c r="P2524" s="29"/>
      <c r="Q2524" s="31"/>
      <c r="R2524" s="29"/>
      <c r="S2524" s="29"/>
      <c r="T2524" s="30"/>
      <c r="U2524" s="47" t="str">
        <f aca="false">IF(AND(B2524&lt;&gt;"",B2524=SW別シート!$C$3),COUNTIF(B$5:B2524,B2524),"")</f>
        <v/>
      </c>
      <c r="V2524" s="47" t="n">
        <f aca="false">V2523+IF(OR(O2524&lt;&gt;"",W2524&lt;&gt;""),1,0)</f>
        <v>3</v>
      </c>
      <c r="W2524" s="29"/>
    </row>
    <row r="2525" customFormat="false" ht="15" hidden="false" customHeight="false" outlineLevel="0" collapsed="false">
      <c r="A2525" s="32" t="str">
        <f aca="false">IF(B2525="","",ROW()-7)</f>
        <v/>
      </c>
      <c r="B2525" s="30"/>
      <c r="C2525" s="29"/>
      <c r="D2525" s="29"/>
      <c r="E2525" s="29"/>
      <c r="F2525" s="30"/>
      <c r="G2525" s="29"/>
      <c r="H2525" s="30"/>
      <c r="I2525" s="29"/>
      <c r="J2525" s="30"/>
      <c r="K2525" s="30"/>
      <c r="L2525" s="29"/>
      <c r="M2525" s="32" t="str">
        <f aca="false">IF(OR(C2525="",L2525=""),"",IF(C2525=L2525,"同一","変更"))</f>
        <v/>
      </c>
      <c r="N2525" s="29"/>
      <c r="O2525" s="30"/>
      <c r="P2525" s="29"/>
      <c r="Q2525" s="31"/>
      <c r="R2525" s="29"/>
      <c r="S2525" s="29"/>
      <c r="T2525" s="30"/>
      <c r="U2525" s="47" t="str">
        <f aca="false">IF(AND(B2525&lt;&gt;"",B2525=SW別シート!$C$3),COUNTIF(B$5:B2525,B2525),"")</f>
        <v/>
      </c>
      <c r="V2525" s="47" t="n">
        <f aca="false">V2524+IF(OR(O2525&lt;&gt;"",W2525&lt;&gt;""),1,0)</f>
        <v>3</v>
      </c>
      <c r="W2525" s="29"/>
    </row>
    <row r="2526" customFormat="false" ht="15" hidden="false" customHeight="false" outlineLevel="0" collapsed="false">
      <c r="A2526" s="32" t="str">
        <f aca="false">IF(B2526="","",ROW()-7)</f>
        <v/>
      </c>
      <c r="B2526" s="30"/>
      <c r="C2526" s="29"/>
      <c r="D2526" s="29"/>
      <c r="E2526" s="29"/>
      <c r="F2526" s="30"/>
      <c r="G2526" s="29"/>
      <c r="H2526" s="30"/>
      <c r="I2526" s="29"/>
      <c r="J2526" s="30"/>
      <c r="K2526" s="30"/>
      <c r="L2526" s="29"/>
      <c r="M2526" s="32" t="str">
        <f aca="false">IF(OR(C2526="",L2526=""),"",IF(C2526=L2526,"同一","変更"))</f>
        <v/>
      </c>
      <c r="N2526" s="29"/>
      <c r="O2526" s="30"/>
      <c r="P2526" s="29"/>
      <c r="Q2526" s="31"/>
      <c r="R2526" s="29"/>
      <c r="S2526" s="29"/>
      <c r="T2526" s="30"/>
      <c r="U2526" s="47" t="str">
        <f aca="false">IF(AND(B2526&lt;&gt;"",B2526=SW別シート!$C$3),COUNTIF(B$5:B2526,B2526),"")</f>
        <v/>
      </c>
      <c r="V2526" s="47" t="n">
        <f aca="false">V2525+IF(OR(O2526&lt;&gt;"",W2526&lt;&gt;""),1,0)</f>
        <v>3</v>
      </c>
      <c r="W2526" s="29"/>
    </row>
    <row r="2527" customFormat="false" ht="15" hidden="false" customHeight="false" outlineLevel="0" collapsed="false">
      <c r="A2527" s="32" t="str">
        <f aca="false">IF(B2527="","",ROW()-7)</f>
        <v/>
      </c>
      <c r="B2527" s="30"/>
      <c r="C2527" s="29"/>
      <c r="D2527" s="29"/>
      <c r="E2527" s="29"/>
      <c r="F2527" s="30"/>
      <c r="G2527" s="29"/>
      <c r="H2527" s="30"/>
      <c r="I2527" s="29"/>
      <c r="J2527" s="30"/>
      <c r="K2527" s="30"/>
      <c r="L2527" s="29"/>
      <c r="M2527" s="32" t="str">
        <f aca="false">IF(OR(C2527="",L2527=""),"",IF(C2527=L2527,"同一","変更"))</f>
        <v/>
      </c>
      <c r="N2527" s="29"/>
      <c r="O2527" s="30"/>
      <c r="P2527" s="29"/>
      <c r="Q2527" s="31"/>
      <c r="R2527" s="29"/>
      <c r="S2527" s="29"/>
      <c r="T2527" s="30"/>
      <c r="U2527" s="47" t="str">
        <f aca="false">IF(AND(B2527&lt;&gt;"",B2527=SW別シート!$C$3),COUNTIF(B$5:B2527,B2527),"")</f>
        <v/>
      </c>
      <c r="V2527" s="47" t="n">
        <f aca="false">V2526+IF(OR(O2527&lt;&gt;"",W2527&lt;&gt;""),1,0)</f>
        <v>3</v>
      </c>
      <c r="W2527" s="29"/>
    </row>
    <row r="2528" customFormat="false" ht="15" hidden="false" customHeight="false" outlineLevel="0" collapsed="false">
      <c r="A2528" s="32" t="str">
        <f aca="false">IF(B2528="","",ROW()-7)</f>
        <v/>
      </c>
      <c r="B2528" s="30"/>
      <c r="C2528" s="29"/>
      <c r="D2528" s="29"/>
      <c r="E2528" s="29"/>
      <c r="F2528" s="30"/>
      <c r="G2528" s="29"/>
      <c r="H2528" s="30"/>
      <c r="I2528" s="29"/>
      <c r="J2528" s="30"/>
      <c r="K2528" s="30"/>
      <c r="L2528" s="29"/>
      <c r="M2528" s="32" t="str">
        <f aca="false">IF(OR(C2528="",L2528=""),"",IF(C2528=L2528,"同一","変更"))</f>
        <v/>
      </c>
      <c r="N2528" s="29"/>
      <c r="O2528" s="30"/>
      <c r="P2528" s="29"/>
      <c r="Q2528" s="31"/>
      <c r="R2528" s="29"/>
      <c r="S2528" s="29"/>
      <c r="T2528" s="30"/>
      <c r="U2528" s="47" t="str">
        <f aca="false">IF(AND(B2528&lt;&gt;"",B2528=SW別シート!$C$3),COUNTIF(B$5:B2528,B2528),"")</f>
        <v/>
      </c>
      <c r="V2528" s="47" t="n">
        <f aca="false">V2527+IF(OR(O2528&lt;&gt;"",W2528&lt;&gt;""),1,0)</f>
        <v>3</v>
      </c>
      <c r="W2528" s="29"/>
    </row>
    <row r="2529" customFormat="false" ht="15" hidden="false" customHeight="false" outlineLevel="0" collapsed="false">
      <c r="A2529" s="32" t="str">
        <f aca="false">IF(B2529="","",ROW()-7)</f>
        <v/>
      </c>
      <c r="B2529" s="30"/>
      <c r="C2529" s="29"/>
      <c r="D2529" s="29"/>
      <c r="E2529" s="29"/>
      <c r="F2529" s="30"/>
      <c r="G2529" s="29"/>
      <c r="H2529" s="30"/>
      <c r="I2529" s="29"/>
      <c r="J2529" s="30"/>
      <c r="K2529" s="30"/>
      <c r="L2529" s="29"/>
      <c r="M2529" s="32" t="str">
        <f aca="false">IF(OR(C2529="",L2529=""),"",IF(C2529=L2529,"同一","変更"))</f>
        <v/>
      </c>
      <c r="N2529" s="29"/>
      <c r="O2529" s="30"/>
      <c r="P2529" s="29"/>
      <c r="Q2529" s="31"/>
      <c r="R2529" s="29"/>
      <c r="S2529" s="29"/>
      <c r="T2529" s="30"/>
      <c r="U2529" s="47" t="str">
        <f aca="false">IF(AND(B2529&lt;&gt;"",B2529=SW別シート!$C$3),COUNTIF(B$5:B2529,B2529),"")</f>
        <v/>
      </c>
      <c r="V2529" s="47" t="n">
        <f aca="false">V2528+IF(OR(O2529&lt;&gt;"",W2529&lt;&gt;""),1,0)</f>
        <v>3</v>
      </c>
      <c r="W2529" s="29"/>
    </row>
    <row r="2530" customFormat="false" ht="15" hidden="false" customHeight="false" outlineLevel="0" collapsed="false">
      <c r="A2530" s="32" t="str">
        <f aca="false">IF(B2530="","",ROW()-7)</f>
        <v/>
      </c>
      <c r="B2530" s="30"/>
      <c r="C2530" s="29"/>
      <c r="D2530" s="29"/>
      <c r="E2530" s="29"/>
      <c r="F2530" s="30"/>
      <c r="G2530" s="29"/>
      <c r="H2530" s="30"/>
      <c r="I2530" s="29"/>
      <c r="J2530" s="30"/>
      <c r="K2530" s="30"/>
      <c r="L2530" s="29"/>
      <c r="M2530" s="32" t="str">
        <f aca="false">IF(OR(C2530="",L2530=""),"",IF(C2530=L2530,"同一","変更"))</f>
        <v/>
      </c>
      <c r="N2530" s="29"/>
      <c r="O2530" s="30"/>
      <c r="P2530" s="29"/>
      <c r="Q2530" s="31"/>
      <c r="R2530" s="29"/>
      <c r="S2530" s="29"/>
      <c r="T2530" s="30"/>
      <c r="U2530" s="47" t="str">
        <f aca="false">IF(AND(B2530&lt;&gt;"",B2530=SW別シート!$C$3),COUNTIF(B$5:B2530,B2530),"")</f>
        <v/>
      </c>
      <c r="V2530" s="47" t="n">
        <f aca="false">V2529+IF(OR(O2530&lt;&gt;"",W2530&lt;&gt;""),1,0)</f>
        <v>3</v>
      </c>
      <c r="W2530" s="29"/>
    </row>
    <row r="2531" customFormat="false" ht="15" hidden="false" customHeight="false" outlineLevel="0" collapsed="false">
      <c r="A2531" s="32" t="str">
        <f aca="false">IF(B2531="","",ROW()-7)</f>
        <v/>
      </c>
      <c r="B2531" s="30"/>
      <c r="C2531" s="29"/>
      <c r="D2531" s="29"/>
      <c r="E2531" s="29"/>
      <c r="F2531" s="30"/>
      <c r="G2531" s="29"/>
      <c r="H2531" s="30"/>
      <c r="I2531" s="29"/>
      <c r="J2531" s="30"/>
      <c r="K2531" s="30"/>
      <c r="L2531" s="29"/>
      <c r="M2531" s="32" t="str">
        <f aca="false">IF(OR(C2531="",L2531=""),"",IF(C2531=L2531,"同一","変更"))</f>
        <v/>
      </c>
      <c r="N2531" s="29"/>
      <c r="O2531" s="30"/>
      <c r="P2531" s="29"/>
      <c r="Q2531" s="31"/>
      <c r="R2531" s="29"/>
      <c r="S2531" s="29"/>
      <c r="T2531" s="30"/>
      <c r="U2531" s="47" t="str">
        <f aca="false">IF(AND(B2531&lt;&gt;"",B2531=SW別シート!$C$3),COUNTIF(B$5:B2531,B2531),"")</f>
        <v/>
      </c>
      <c r="V2531" s="47" t="n">
        <f aca="false">V2530+IF(OR(O2531&lt;&gt;"",W2531&lt;&gt;""),1,0)</f>
        <v>3</v>
      </c>
      <c r="W2531" s="29"/>
    </row>
    <row r="2532" customFormat="false" ht="15" hidden="false" customHeight="false" outlineLevel="0" collapsed="false">
      <c r="A2532" s="32" t="str">
        <f aca="false">IF(B2532="","",ROW()-7)</f>
        <v/>
      </c>
      <c r="B2532" s="30"/>
      <c r="C2532" s="29"/>
      <c r="D2532" s="29"/>
      <c r="E2532" s="29"/>
      <c r="F2532" s="30"/>
      <c r="G2532" s="29"/>
      <c r="H2532" s="30"/>
      <c r="I2532" s="29"/>
      <c r="J2532" s="30"/>
      <c r="K2532" s="30"/>
      <c r="L2532" s="29"/>
      <c r="M2532" s="32" t="str">
        <f aca="false">IF(OR(C2532="",L2532=""),"",IF(C2532=L2532,"同一","変更"))</f>
        <v/>
      </c>
      <c r="N2532" s="29"/>
      <c r="O2532" s="30"/>
      <c r="P2532" s="29"/>
      <c r="Q2532" s="31"/>
      <c r="R2532" s="29"/>
      <c r="S2532" s="29"/>
      <c r="T2532" s="30"/>
      <c r="U2532" s="47" t="str">
        <f aca="false">IF(AND(B2532&lt;&gt;"",B2532=SW別シート!$C$3),COUNTIF(B$5:B2532,B2532),"")</f>
        <v/>
      </c>
      <c r="V2532" s="47" t="n">
        <f aca="false">V2531+IF(OR(O2532&lt;&gt;"",W2532&lt;&gt;""),1,0)</f>
        <v>3</v>
      </c>
      <c r="W2532" s="29"/>
    </row>
    <row r="2533" customFormat="false" ht="15" hidden="false" customHeight="false" outlineLevel="0" collapsed="false">
      <c r="A2533" s="32" t="str">
        <f aca="false">IF(B2533="","",ROW()-7)</f>
        <v/>
      </c>
      <c r="B2533" s="30"/>
      <c r="C2533" s="29"/>
      <c r="D2533" s="29"/>
      <c r="E2533" s="29"/>
      <c r="F2533" s="30"/>
      <c r="G2533" s="29"/>
      <c r="H2533" s="30"/>
      <c r="I2533" s="29"/>
      <c r="J2533" s="30"/>
      <c r="K2533" s="30"/>
      <c r="L2533" s="29"/>
      <c r="M2533" s="32" t="str">
        <f aca="false">IF(OR(C2533="",L2533=""),"",IF(C2533=L2533,"同一","変更"))</f>
        <v/>
      </c>
      <c r="N2533" s="29"/>
      <c r="O2533" s="30"/>
      <c r="P2533" s="29"/>
      <c r="Q2533" s="31"/>
      <c r="R2533" s="29"/>
      <c r="S2533" s="29"/>
      <c r="T2533" s="30"/>
      <c r="U2533" s="47" t="str">
        <f aca="false">IF(AND(B2533&lt;&gt;"",B2533=SW別シート!$C$3),COUNTIF(B$5:B2533,B2533),"")</f>
        <v/>
      </c>
      <c r="V2533" s="47" t="n">
        <f aca="false">V2532+IF(OR(O2533&lt;&gt;"",W2533&lt;&gt;""),1,0)</f>
        <v>3</v>
      </c>
      <c r="W2533" s="29"/>
    </row>
    <row r="2534" customFormat="false" ht="15" hidden="false" customHeight="false" outlineLevel="0" collapsed="false">
      <c r="A2534" s="32" t="str">
        <f aca="false">IF(B2534="","",ROW()-7)</f>
        <v/>
      </c>
      <c r="B2534" s="30"/>
      <c r="C2534" s="29"/>
      <c r="D2534" s="29"/>
      <c r="E2534" s="29"/>
      <c r="F2534" s="30"/>
      <c r="G2534" s="29"/>
      <c r="H2534" s="30"/>
      <c r="I2534" s="29"/>
      <c r="J2534" s="30"/>
      <c r="K2534" s="30"/>
      <c r="L2534" s="29"/>
      <c r="M2534" s="32" t="str">
        <f aca="false">IF(OR(C2534="",L2534=""),"",IF(C2534=L2534,"同一","変更"))</f>
        <v/>
      </c>
      <c r="N2534" s="29"/>
      <c r="O2534" s="30"/>
      <c r="P2534" s="29"/>
      <c r="Q2534" s="31"/>
      <c r="R2534" s="29"/>
      <c r="S2534" s="29"/>
      <c r="T2534" s="30"/>
      <c r="U2534" s="47" t="str">
        <f aca="false">IF(AND(B2534&lt;&gt;"",B2534=SW別シート!$C$3),COUNTIF(B$5:B2534,B2534),"")</f>
        <v/>
      </c>
      <c r="V2534" s="47" t="n">
        <f aca="false">V2533+IF(OR(O2534&lt;&gt;"",W2534&lt;&gt;""),1,0)</f>
        <v>3</v>
      </c>
      <c r="W2534" s="29"/>
    </row>
    <row r="2535" customFormat="false" ht="15" hidden="false" customHeight="false" outlineLevel="0" collapsed="false">
      <c r="A2535" s="32" t="str">
        <f aca="false">IF(B2535="","",ROW()-7)</f>
        <v/>
      </c>
      <c r="B2535" s="30"/>
      <c r="C2535" s="29"/>
      <c r="D2535" s="29"/>
      <c r="E2535" s="29"/>
      <c r="F2535" s="30"/>
      <c r="G2535" s="29"/>
      <c r="H2535" s="30"/>
      <c r="I2535" s="29"/>
      <c r="J2535" s="30"/>
      <c r="K2535" s="30"/>
      <c r="L2535" s="29"/>
      <c r="M2535" s="32" t="str">
        <f aca="false">IF(OR(C2535="",L2535=""),"",IF(C2535=L2535,"同一","変更"))</f>
        <v/>
      </c>
      <c r="N2535" s="29"/>
      <c r="O2535" s="30"/>
      <c r="P2535" s="29"/>
      <c r="Q2535" s="31"/>
      <c r="R2535" s="29"/>
      <c r="S2535" s="29"/>
      <c r="T2535" s="30"/>
      <c r="U2535" s="47" t="str">
        <f aca="false">IF(AND(B2535&lt;&gt;"",B2535=SW別シート!$C$3),COUNTIF(B$5:B2535,B2535),"")</f>
        <v/>
      </c>
      <c r="V2535" s="47" t="n">
        <f aca="false">V2534+IF(OR(O2535&lt;&gt;"",W2535&lt;&gt;""),1,0)</f>
        <v>3</v>
      </c>
      <c r="W2535" s="29"/>
    </row>
    <row r="2536" customFormat="false" ht="15" hidden="false" customHeight="false" outlineLevel="0" collapsed="false">
      <c r="A2536" s="32" t="str">
        <f aca="false">IF(B2536="","",ROW()-7)</f>
        <v/>
      </c>
      <c r="B2536" s="30"/>
      <c r="C2536" s="29"/>
      <c r="D2536" s="29"/>
      <c r="E2536" s="29"/>
      <c r="F2536" s="30"/>
      <c r="G2536" s="29"/>
      <c r="H2536" s="30"/>
      <c r="I2536" s="29"/>
      <c r="J2536" s="30"/>
      <c r="K2536" s="30"/>
      <c r="L2536" s="29"/>
      <c r="M2536" s="32" t="str">
        <f aca="false">IF(OR(C2536="",L2536=""),"",IF(C2536=L2536,"同一","変更"))</f>
        <v/>
      </c>
      <c r="N2536" s="29"/>
      <c r="O2536" s="30"/>
      <c r="P2536" s="29"/>
      <c r="Q2536" s="31"/>
      <c r="R2536" s="29"/>
      <c r="S2536" s="29"/>
      <c r="T2536" s="30"/>
      <c r="U2536" s="47" t="str">
        <f aca="false">IF(AND(B2536&lt;&gt;"",B2536=SW別シート!$C$3),COUNTIF(B$5:B2536,B2536),"")</f>
        <v/>
      </c>
      <c r="V2536" s="47" t="n">
        <f aca="false">V2535+IF(OR(O2536&lt;&gt;"",W2536&lt;&gt;""),1,0)</f>
        <v>3</v>
      </c>
      <c r="W2536" s="29"/>
    </row>
    <row r="2537" customFormat="false" ht="15" hidden="false" customHeight="false" outlineLevel="0" collapsed="false">
      <c r="A2537" s="32" t="str">
        <f aca="false">IF(B2537="","",ROW()-7)</f>
        <v/>
      </c>
      <c r="B2537" s="30"/>
      <c r="C2537" s="29"/>
      <c r="D2537" s="29"/>
      <c r="E2537" s="29"/>
      <c r="F2537" s="30"/>
      <c r="G2537" s="29"/>
      <c r="H2537" s="30"/>
      <c r="I2537" s="29"/>
      <c r="J2537" s="30"/>
      <c r="K2537" s="30"/>
      <c r="L2537" s="29"/>
      <c r="M2537" s="32" t="str">
        <f aca="false">IF(OR(C2537="",L2537=""),"",IF(C2537=L2537,"同一","変更"))</f>
        <v/>
      </c>
      <c r="N2537" s="29"/>
      <c r="O2537" s="30"/>
      <c r="P2537" s="29"/>
      <c r="Q2537" s="31"/>
      <c r="R2537" s="29"/>
      <c r="S2537" s="29"/>
      <c r="T2537" s="30"/>
      <c r="U2537" s="47" t="str">
        <f aca="false">IF(AND(B2537&lt;&gt;"",B2537=SW別シート!$C$3),COUNTIF(B$5:B2537,B2537),"")</f>
        <v/>
      </c>
      <c r="V2537" s="47" t="n">
        <f aca="false">V2536+IF(OR(O2537&lt;&gt;"",W2537&lt;&gt;""),1,0)</f>
        <v>3</v>
      </c>
      <c r="W2537" s="29"/>
    </row>
    <row r="2538" customFormat="false" ht="15" hidden="false" customHeight="false" outlineLevel="0" collapsed="false">
      <c r="A2538" s="32" t="str">
        <f aca="false">IF(B2538="","",ROW()-7)</f>
        <v/>
      </c>
      <c r="B2538" s="30"/>
      <c r="C2538" s="29"/>
      <c r="D2538" s="29"/>
      <c r="E2538" s="29"/>
      <c r="F2538" s="30"/>
      <c r="G2538" s="29"/>
      <c r="H2538" s="30"/>
      <c r="I2538" s="29"/>
      <c r="J2538" s="30"/>
      <c r="K2538" s="30"/>
      <c r="L2538" s="29"/>
      <c r="M2538" s="32" t="str">
        <f aca="false">IF(OR(C2538="",L2538=""),"",IF(C2538=L2538,"同一","変更"))</f>
        <v/>
      </c>
      <c r="N2538" s="29"/>
      <c r="O2538" s="30"/>
      <c r="P2538" s="29"/>
      <c r="Q2538" s="31"/>
      <c r="R2538" s="29"/>
      <c r="S2538" s="29"/>
      <c r="T2538" s="30"/>
      <c r="U2538" s="47" t="str">
        <f aca="false">IF(AND(B2538&lt;&gt;"",B2538=SW別シート!$C$3),COUNTIF(B$5:B2538,B2538),"")</f>
        <v/>
      </c>
      <c r="V2538" s="47" t="n">
        <f aca="false">V2537+IF(OR(O2538&lt;&gt;"",W2538&lt;&gt;""),1,0)</f>
        <v>3</v>
      </c>
      <c r="W2538" s="29"/>
    </row>
    <row r="2539" customFormat="false" ht="15" hidden="false" customHeight="false" outlineLevel="0" collapsed="false">
      <c r="A2539" s="32" t="str">
        <f aca="false">IF(B2539="","",ROW()-7)</f>
        <v/>
      </c>
      <c r="B2539" s="30"/>
      <c r="C2539" s="29"/>
      <c r="D2539" s="29"/>
      <c r="E2539" s="29"/>
      <c r="F2539" s="30"/>
      <c r="G2539" s="29"/>
      <c r="H2539" s="30"/>
      <c r="I2539" s="29"/>
      <c r="J2539" s="30"/>
      <c r="K2539" s="30"/>
      <c r="L2539" s="29"/>
      <c r="M2539" s="32" t="str">
        <f aca="false">IF(OR(C2539="",L2539=""),"",IF(C2539=L2539,"同一","変更"))</f>
        <v/>
      </c>
      <c r="N2539" s="29"/>
      <c r="O2539" s="30"/>
      <c r="P2539" s="29"/>
      <c r="Q2539" s="31"/>
      <c r="R2539" s="29"/>
      <c r="S2539" s="29"/>
      <c r="T2539" s="30"/>
      <c r="U2539" s="47" t="str">
        <f aca="false">IF(AND(B2539&lt;&gt;"",B2539=SW別シート!$C$3),COUNTIF(B$5:B2539,B2539),"")</f>
        <v/>
      </c>
      <c r="V2539" s="47" t="n">
        <f aca="false">V2538+IF(OR(O2539&lt;&gt;"",W2539&lt;&gt;""),1,0)</f>
        <v>3</v>
      </c>
      <c r="W2539" s="29"/>
    </row>
    <row r="2540" customFormat="false" ht="15" hidden="false" customHeight="false" outlineLevel="0" collapsed="false">
      <c r="A2540" s="32" t="str">
        <f aca="false">IF(B2540="","",ROW()-7)</f>
        <v/>
      </c>
      <c r="B2540" s="30"/>
      <c r="C2540" s="29"/>
      <c r="D2540" s="29"/>
      <c r="E2540" s="29"/>
      <c r="F2540" s="30"/>
      <c r="G2540" s="29"/>
      <c r="H2540" s="30"/>
      <c r="I2540" s="29"/>
      <c r="J2540" s="30"/>
      <c r="K2540" s="30"/>
      <c r="L2540" s="29"/>
      <c r="M2540" s="32" t="str">
        <f aca="false">IF(OR(C2540="",L2540=""),"",IF(C2540=L2540,"同一","変更"))</f>
        <v/>
      </c>
      <c r="N2540" s="29"/>
      <c r="O2540" s="30"/>
      <c r="P2540" s="29"/>
      <c r="Q2540" s="31"/>
      <c r="R2540" s="29"/>
      <c r="S2540" s="29"/>
      <c r="T2540" s="30"/>
      <c r="U2540" s="47" t="str">
        <f aca="false">IF(AND(B2540&lt;&gt;"",B2540=SW別シート!$C$3),COUNTIF(B$5:B2540,B2540),"")</f>
        <v/>
      </c>
      <c r="V2540" s="47" t="n">
        <f aca="false">V2539+IF(OR(O2540&lt;&gt;"",W2540&lt;&gt;""),1,0)</f>
        <v>3</v>
      </c>
      <c r="W2540" s="29"/>
    </row>
    <row r="2541" customFormat="false" ht="15" hidden="false" customHeight="false" outlineLevel="0" collapsed="false">
      <c r="A2541" s="32" t="str">
        <f aca="false">IF(B2541="","",ROW()-7)</f>
        <v/>
      </c>
      <c r="B2541" s="30"/>
      <c r="C2541" s="29"/>
      <c r="D2541" s="29"/>
      <c r="E2541" s="29"/>
      <c r="F2541" s="30"/>
      <c r="G2541" s="29"/>
      <c r="H2541" s="30"/>
      <c r="I2541" s="29"/>
      <c r="J2541" s="30"/>
      <c r="K2541" s="30"/>
      <c r="L2541" s="29"/>
      <c r="M2541" s="32" t="str">
        <f aca="false">IF(OR(C2541="",L2541=""),"",IF(C2541=L2541,"同一","変更"))</f>
        <v/>
      </c>
      <c r="N2541" s="29"/>
      <c r="O2541" s="30"/>
      <c r="P2541" s="29"/>
      <c r="Q2541" s="31"/>
      <c r="R2541" s="29"/>
      <c r="S2541" s="29"/>
      <c r="T2541" s="30"/>
      <c r="U2541" s="47" t="str">
        <f aca="false">IF(AND(B2541&lt;&gt;"",B2541=SW別シート!$C$3),COUNTIF(B$5:B2541,B2541),"")</f>
        <v/>
      </c>
      <c r="V2541" s="47" t="n">
        <f aca="false">V2540+IF(OR(O2541&lt;&gt;"",W2541&lt;&gt;""),1,0)</f>
        <v>3</v>
      </c>
      <c r="W2541" s="29"/>
    </row>
    <row r="2542" customFormat="false" ht="15" hidden="false" customHeight="false" outlineLevel="0" collapsed="false">
      <c r="A2542" s="32" t="str">
        <f aca="false">IF(B2542="","",ROW()-7)</f>
        <v/>
      </c>
      <c r="B2542" s="30"/>
      <c r="C2542" s="29"/>
      <c r="D2542" s="29"/>
      <c r="E2542" s="29"/>
      <c r="F2542" s="30"/>
      <c r="G2542" s="29"/>
      <c r="H2542" s="30"/>
      <c r="I2542" s="29"/>
      <c r="J2542" s="30"/>
      <c r="K2542" s="30"/>
      <c r="L2542" s="29"/>
      <c r="M2542" s="32" t="str">
        <f aca="false">IF(OR(C2542="",L2542=""),"",IF(C2542=L2542,"同一","変更"))</f>
        <v/>
      </c>
      <c r="N2542" s="29"/>
      <c r="O2542" s="30"/>
      <c r="P2542" s="29"/>
      <c r="Q2542" s="31"/>
      <c r="R2542" s="29"/>
      <c r="S2542" s="29"/>
      <c r="T2542" s="30"/>
      <c r="U2542" s="47" t="str">
        <f aca="false">IF(AND(B2542&lt;&gt;"",B2542=SW別シート!$C$3),COUNTIF(B$5:B2542,B2542),"")</f>
        <v/>
      </c>
      <c r="V2542" s="47" t="n">
        <f aca="false">V2541+IF(OR(O2542&lt;&gt;"",W2542&lt;&gt;""),1,0)</f>
        <v>3</v>
      </c>
      <c r="W2542" s="29"/>
    </row>
    <row r="2543" customFormat="false" ht="15" hidden="false" customHeight="false" outlineLevel="0" collapsed="false">
      <c r="A2543" s="32" t="str">
        <f aca="false">IF(B2543="","",ROW()-7)</f>
        <v/>
      </c>
      <c r="B2543" s="30"/>
      <c r="C2543" s="29"/>
      <c r="D2543" s="29"/>
      <c r="E2543" s="29"/>
      <c r="F2543" s="30"/>
      <c r="G2543" s="29"/>
      <c r="H2543" s="30"/>
      <c r="I2543" s="29"/>
      <c r="J2543" s="30"/>
      <c r="K2543" s="30"/>
      <c r="L2543" s="29"/>
      <c r="M2543" s="32" t="str">
        <f aca="false">IF(OR(C2543="",L2543=""),"",IF(C2543=L2543,"同一","変更"))</f>
        <v/>
      </c>
      <c r="N2543" s="29"/>
      <c r="O2543" s="30"/>
      <c r="P2543" s="29"/>
      <c r="Q2543" s="31"/>
      <c r="R2543" s="29"/>
      <c r="S2543" s="29"/>
      <c r="T2543" s="30"/>
      <c r="U2543" s="47" t="str">
        <f aca="false">IF(AND(B2543&lt;&gt;"",B2543=SW別シート!$C$3),COUNTIF(B$5:B2543,B2543),"")</f>
        <v/>
      </c>
      <c r="V2543" s="47" t="n">
        <f aca="false">V2542+IF(OR(O2543&lt;&gt;"",W2543&lt;&gt;""),1,0)</f>
        <v>3</v>
      </c>
      <c r="W2543" s="29"/>
    </row>
    <row r="2544" customFormat="false" ht="15" hidden="false" customHeight="false" outlineLevel="0" collapsed="false">
      <c r="A2544" s="32" t="str">
        <f aca="false">IF(B2544="","",ROW()-7)</f>
        <v/>
      </c>
      <c r="B2544" s="30"/>
      <c r="C2544" s="29"/>
      <c r="D2544" s="29"/>
      <c r="E2544" s="29"/>
      <c r="F2544" s="30"/>
      <c r="G2544" s="29"/>
      <c r="H2544" s="30"/>
      <c r="I2544" s="29"/>
      <c r="J2544" s="30"/>
      <c r="K2544" s="30"/>
      <c r="L2544" s="29"/>
      <c r="M2544" s="32" t="str">
        <f aca="false">IF(OR(C2544="",L2544=""),"",IF(C2544=L2544,"同一","変更"))</f>
        <v/>
      </c>
      <c r="N2544" s="29"/>
      <c r="O2544" s="30"/>
      <c r="P2544" s="29"/>
      <c r="Q2544" s="31"/>
      <c r="R2544" s="29"/>
      <c r="S2544" s="29"/>
      <c r="T2544" s="30"/>
      <c r="U2544" s="47" t="str">
        <f aca="false">IF(AND(B2544&lt;&gt;"",B2544=SW別シート!$C$3),COUNTIF(B$5:B2544,B2544),"")</f>
        <v/>
      </c>
      <c r="V2544" s="47" t="n">
        <f aca="false">V2543+IF(OR(O2544&lt;&gt;"",W2544&lt;&gt;""),1,0)</f>
        <v>3</v>
      </c>
      <c r="W2544" s="29"/>
    </row>
    <row r="2545" customFormat="false" ht="15" hidden="false" customHeight="false" outlineLevel="0" collapsed="false">
      <c r="A2545" s="32" t="str">
        <f aca="false">IF(B2545="","",ROW()-7)</f>
        <v/>
      </c>
      <c r="B2545" s="30"/>
      <c r="C2545" s="29"/>
      <c r="D2545" s="29"/>
      <c r="E2545" s="29"/>
      <c r="F2545" s="30"/>
      <c r="G2545" s="29"/>
      <c r="H2545" s="30"/>
      <c r="I2545" s="29"/>
      <c r="J2545" s="30"/>
      <c r="K2545" s="30"/>
      <c r="L2545" s="29"/>
      <c r="M2545" s="32" t="str">
        <f aca="false">IF(OR(C2545="",L2545=""),"",IF(C2545=L2545,"同一","変更"))</f>
        <v/>
      </c>
      <c r="N2545" s="29"/>
      <c r="O2545" s="30"/>
      <c r="P2545" s="29"/>
      <c r="Q2545" s="31"/>
      <c r="R2545" s="29"/>
      <c r="S2545" s="29"/>
      <c r="T2545" s="30"/>
      <c r="U2545" s="47" t="str">
        <f aca="false">IF(AND(B2545&lt;&gt;"",B2545=SW別シート!$C$3),COUNTIF(B$5:B2545,B2545),"")</f>
        <v/>
      </c>
      <c r="V2545" s="47" t="n">
        <f aca="false">V2544+IF(OR(O2545&lt;&gt;"",W2545&lt;&gt;""),1,0)</f>
        <v>3</v>
      </c>
      <c r="W2545" s="29"/>
    </row>
    <row r="2546" customFormat="false" ht="15" hidden="false" customHeight="false" outlineLevel="0" collapsed="false">
      <c r="A2546" s="32" t="str">
        <f aca="false">IF(B2546="","",ROW()-7)</f>
        <v/>
      </c>
      <c r="B2546" s="30"/>
      <c r="C2546" s="29"/>
      <c r="D2546" s="29"/>
      <c r="E2546" s="29"/>
      <c r="F2546" s="30"/>
      <c r="G2546" s="29"/>
      <c r="H2546" s="30"/>
      <c r="I2546" s="29"/>
      <c r="J2546" s="30"/>
      <c r="K2546" s="30"/>
      <c r="L2546" s="29"/>
      <c r="M2546" s="32" t="str">
        <f aca="false">IF(OR(C2546="",L2546=""),"",IF(C2546=L2546,"同一","変更"))</f>
        <v/>
      </c>
      <c r="N2546" s="29"/>
      <c r="O2546" s="30"/>
      <c r="P2546" s="29"/>
      <c r="Q2546" s="31"/>
      <c r="R2546" s="29"/>
      <c r="S2546" s="29"/>
      <c r="T2546" s="30"/>
      <c r="U2546" s="47" t="str">
        <f aca="false">IF(AND(B2546&lt;&gt;"",B2546=SW別シート!$C$3),COUNTIF(B$5:B2546,B2546),"")</f>
        <v/>
      </c>
      <c r="V2546" s="47" t="n">
        <f aca="false">V2545+IF(OR(O2546&lt;&gt;"",W2546&lt;&gt;""),1,0)</f>
        <v>3</v>
      </c>
      <c r="W2546" s="29"/>
    </row>
    <row r="2547" customFormat="false" ht="15" hidden="false" customHeight="false" outlineLevel="0" collapsed="false">
      <c r="A2547" s="32" t="str">
        <f aca="false">IF(B2547="","",ROW()-7)</f>
        <v/>
      </c>
      <c r="B2547" s="30"/>
      <c r="C2547" s="29"/>
      <c r="D2547" s="29"/>
      <c r="E2547" s="29"/>
      <c r="F2547" s="30"/>
      <c r="G2547" s="29"/>
      <c r="H2547" s="30"/>
      <c r="I2547" s="29"/>
      <c r="J2547" s="30"/>
      <c r="K2547" s="30"/>
      <c r="L2547" s="29"/>
      <c r="M2547" s="32" t="str">
        <f aca="false">IF(OR(C2547="",L2547=""),"",IF(C2547=L2547,"同一","変更"))</f>
        <v/>
      </c>
      <c r="N2547" s="29"/>
      <c r="O2547" s="30"/>
      <c r="P2547" s="29"/>
      <c r="Q2547" s="31"/>
      <c r="R2547" s="29"/>
      <c r="S2547" s="29"/>
      <c r="T2547" s="30"/>
      <c r="U2547" s="47" t="str">
        <f aca="false">IF(AND(B2547&lt;&gt;"",B2547=SW別シート!$C$3),COUNTIF(B$5:B2547,B2547),"")</f>
        <v/>
      </c>
      <c r="V2547" s="47" t="n">
        <f aca="false">V2546+IF(OR(O2547&lt;&gt;"",W2547&lt;&gt;""),1,0)</f>
        <v>3</v>
      </c>
      <c r="W2547" s="29"/>
    </row>
    <row r="2548" customFormat="false" ht="15" hidden="false" customHeight="false" outlineLevel="0" collapsed="false">
      <c r="A2548" s="32" t="str">
        <f aca="false">IF(B2548="","",ROW()-7)</f>
        <v/>
      </c>
      <c r="B2548" s="30"/>
      <c r="C2548" s="29"/>
      <c r="D2548" s="29"/>
      <c r="E2548" s="29"/>
      <c r="F2548" s="30"/>
      <c r="G2548" s="29"/>
      <c r="H2548" s="30"/>
      <c r="I2548" s="29"/>
      <c r="J2548" s="30"/>
      <c r="K2548" s="30"/>
      <c r="L2548" s="29"/>
      <c r="M2548" s="32" t="str">
        <f aca="false">IF(OR(C2548="",L2548=""),"",IF(C2548=L2548,"同一","変更"))</f>
        <v/>
      </c>
      <c r="N2548" s="29"/>
      <c r="O2548" s="30"/>
      <c r="P2548" s="29"/>
      <c r="Q2548" s="31"/>
      <c r="R2548" s="29"/>
      <c r="S2548" s="29"/>
      <c r="T2548" s="30"/>
      <c r="U2548" s="47" t="str">
        <f aca="false">IF(AND(B2548&lt;&gt;"",B2548=SW別シート!$C$3),COUNTIF(B$5:B2548,B2548),"")</f>
        <v/>
      </c>
      <c r="V2548" s="47" t="n">
        <f aca="false">V2547+IF(OR(O2548&lt;&gt;"",W2548&lt;&gt;""),1,0)</f>
        <v>3</v>
      </c>
      <c r="W2548" s="29"/>
    </row>
    <row r="2549" customFormat="false" ht="15" hidden="false" customHeight="false" outlineLevel="0" collapsed="false">
      <c r="A2549" s="32" t="str">
        <f aca="false">IF(B2549="","",ROW()-7)</f>
        <v/>
      </c>
      <c r="B2549" s="30"/>
      <c r="C2549" s="29"/>
      <c r="D2549" s="29"/>
      <c r="E2549" s="29"/>
      <c r="F2549" s="30"/>
      <c r="G2549" s="29"/>
      <c r="H2549" s="30"/>
      <c r="I2549" s="29"/>
      <c r="J2549" s="30"/>
      <c r="K2549" s="30"/>
      <c r="L2549" s="29"/>
      <c r="M2549" s="32" t="str">
        <f aca="false">IF(OR(C2549="",L2549=""),"",IF(C2549=L2549,"同一","変更"))</f>
        <v/>
      </c>
      <c r="N2549" s="29"/>
      <c r="O2549" s="30"/>
      <c r="P2549" s="29"/>
      <c r="Q2549" s="31"/>
      <c r="R2549" s="29"/>
      <c r="S2549" s="29"/>
      <c r="T2549" s="30"/>
      <c r="U2549" s="47" t="str">
        <f aca="false">IF(AND(B2549&lt;&gt;"",B2549=SW別シート!$C$3),COUNTIF(B$5:B2549,B2549),"")</f>
        <v/>
      </c>
      <c r="V2549" s="47" t="n">
        <f aca="false">V2548+IF(OR(O2549&lt;&gt;"",W2549&lt;&gt;""),1,0)</f>
        <v>3</v>
      </c>
      <c r="W2549" s="29"/>
    </row>
    <row r="2550" customFormat="false" ht="15" hidden="false" customHeight="false" outlineLevel="0" collapsed="false">
      <c r="A2550" s="32" t="str">
        <f aca="false">IF(B2550="","",ROW()-7)</f>
        <v/>
      </c>
      <c r="B2550" s="30"/>
      <c r="C2550" s="29"/>
      <c r="D2550" s="29"/>
      <c r="E2550" s="29"/>
      <c r="F2550" s="30"/>
      <c r="G2550" s="29"/>
      <c r="H2550" s="30"/>
      <c r="I2550" s="29"/>
      <c r="J2550" s="30"/>
      <c r="K2550" s="30"/>
      <c r="L2550" s="29"/>
      <c r="M2550" s="32" t="str">
        <f aca="false">IF(OR(C2550="",L2550=""),"",IF(C2550=L2550,"同一","変更"))</f>
        <v/>
      </c>
      <c r="N2550" s="29"/>
      <c r="O2550" s="30"/>
      <c r="P2550" s="29"/>
      <c r="Q2550" s="31"/>
      <c r="R2550" s="29"/>
      <c r="S2550" s="29"/>
      <c r="T2550" s="30"/>
      <c r="U2550" s="47" t="str">
        <f aca="false">IF(AND(B2550&lt;&gt;"",B2550=SW別シート!$C$3),COUNTIF(B$5:B2550,B2550),"")</f>
        <v/>
      </c>
      <c r="V2550" s="47" t="n">
        <f aca="false">V2549+IF(OR(O2550&lt;&gt;"",W2550&lt;&gt;""),1,0)</f>
        <v>3</v>
      </c>
      <c r="W2550" s="29"/>
    </row>
    <row r="2551" customFormat="false" ht="15" hidden="false" customHeight="false" outlineLevel="0" collapsed="false">
      <c r="A2551" s="32" t="str">
        <f aca="false">IF(B2551="","",ROW()-7)</f>
        <v/>
      </c>
      <c r="B2551" s="30"/>
      <c r="C2551" s="29"/>
      <c r="D2551" s="29"/>
      <c r="E2551" s="29"/>
      <c r="F2551" s="30"/>
      <c r="G2551" s="29"/>
      <c r="H2551" s="30"/>
      <c r="I2551" s="29"/>
      <c r="J2551" s="30"/>
      <c r="K2551" s="30"/>
      <c r="L2551" s="29"/>
      <c r="M2551" s="32" t="str">
        <f aca="false">IF(OR(C2551="",L2551=""),"",IF(C2551=L2551,"同一","変更"))</f>
        <v/>
      </c>
      <c r="N2551" s="29"/>
      <c r="O2551" s="30"/>
      <c r="P2551" s="29"/>
      <c r="Q2551" s="31"/>
      <c r="R2551" s="29"/>
      <c r="S2551" s="29"/>
      <c r="T2551" s="30"/>
      <c r="U2551" s="47" t="str">
        <f aca="false">IF(AND(B2551&lt;&gt;"",B2551=SW別シート!$C$3),COUNTIF(B$5:B2551,B2551),"")</f>
        <v/>
      </c>
      <c r="V2551" s="47" t="n">
        <f aca="false">V2550+IF(OR(O2551&lt;&gt;"",W2551&lt;&gt;""),1,0)</f>
        <v>3</v>
      </c>
      <c r="W2551" s="29"/>
    </row>
    <row r="2552" customFormat="false" ht="15" hidden="false" customHeight="false" outlineLevel="0" collapsed="false">
      <c r="A2552" s="32" t="str">
        <f aca="false">IF(B2552="","",ROW()-7)</f>
        <v/>
      </c>
      <c r="B2552" s="30"/>
      <c r="C2552" s="29"/>
      <c r="D2552" s="29"/>
      <c r="E2552" s="29"/>
      <c r="F2552" s="30"/>
      <c r="G2552" s="29"/>
      <c r="H2552" s="30"/>
      <c r="I2552" s="29"/>
      <c r="J2552" s="30"/>
      <c r="K2552" s="30"/>
      <c r="L2552" s="29"/>
      <c r="M2552" s="32" t="str">
        <f aca="false">IF(OR(C2552="",L2552=""),"",IF(C2552=L2552,"同一","変更"))</f>
        <v/>
      </c>
      <c r="N2552" s="29"/>
      <c r="O2552" s="30"/>
      <c r="P2552" s="29"/>
      <c r="Q2552" s="31"/>
      <c r="R2552" s="29"/>
      <c r="S2552" s="29"/>
      <c r="T2552" s="30"/>
      <c r="U2552" s="47" t="str">
        <f aca="false">IF(AND(B2552&lt;&gt;"",B2552=SW別シート!$C$3),COUNTIF(B$5:B2552,B2552),"")</f>
        <v/>
      </c>
      <c r="V2552" s="47" t="n">
        <f aca="false">V2551+IF(OR(O2552&lt;&gt;"",W2552&lt;&gt;""),1,0)</f>
        <v>3</v>
      </c>
      <c r="W2552" s="29"/>
    </row>
    <row r="2553" customFormat="false" ht="15" hidden="false" customHeight="false" outlineLevel="0" collapsed="false">
      <c r="A2553" s="32" t="str">
        <f aca="false">IF(B2553="","",ROW()-7)</f>
        <v/>
      </c>
      <c r="B2553" s="30"/>
      <c r="C2553" s="29"/>
      <c r="D2553" s="29"/>
      <c r="E2553" s="29"/>
      <c r="F2553" s="30"/>
      <c r="G2553" s="29"/>
      <c r="H2553" s="30"/>
      <c r="I2553" s="29"/>
      <c r="J2553" s="30"/>
      <c r="K2553" s="30"/>
      <c r="L2553" s="29"/>
      <c r="M2553" s="32" t="str">
        <f aca="false">IF(OR(C2553="",L2553=""),"",IF(C2553=L2553,"同一","変更"))</f>
        <v/>
      </c>
      <c r="N2553" s="29"/>
      <c r="O2553" s="30"/>
      <c r="P2553" s="29"/>
      <c r="Q2553" s="31"/>
      <c r="R2553" s="29"/>
      <c r="S2553" s="29"/>
      <c r="T2553" s="30"/>
      <c r="U2553" s="47" t="str">
        <f aca="false">IF(AND(B2553&lt;&gt;"",B2553=SW別シート!$C$3),COUNTIF(B$5:B2553,B2553),"")</f>
        <v/>
      </c>
      <c r="V2553" s="47" t="n">
        <f aca="false">V2552+IF(OR(O2553&lt;&gt;"",W2553&lt;&gt;""),1,0)</f>
        <v>3</v>
      </c>
      <c r="W2553" s="29"/>
    </row>
    <row r="2554" customFormat="false" ht="15" hidden="false" customHeight="false" outlineLevel="0" collapsed="false">
      <c r="A2554" s="32" t="str">
        <f aca="false">IF(B2554="","",ROW()-7)</f>
        <v/>
      </c>
      <c r="B2554" s="30"/>
      <c r="C2554" s="29"/>
      <c r="D2554" s="29"/>
      <c r="E2554" s="29"/>
      <c r="F2554" s="30"/>
      <c r="G2554" s="29"/>
      <c r="H2554" s="30"/>
      <c r="I2554" s="29"/>
      <c r="J2554" s="30"/>
      <c r="K2554" s="30"/>
      <c r="L2554" s="29"/>
      <c r="M2554" s="32" t="str">
        <f aca="false">IF(OR(C2554="",L2554=""),"",IF(C2554=L2554,"同一","変更"))</f>
        <v/>
      </c>
      <c r="N2554" s="29"/>
      <c r="O2554" s="30"/>
      <c r="P2554" s="29"/>
      <c r="Q2554" s="31"/>
      <c r="R2554" s="29"/>
      <c r="S2554" s="29"/>
      <c r="T2554" s="30"/>
      <c r="U2554" s="47" t="str">
        <f aca="false">IF(AND(B2554&lt;&gt;"",B2554=SW別シート!$C$3),COUNTIF(B$5:B2554,B2554),"")</f>
        <v/>
      </c>
      <c r="V2554" s="47" t="n">
        <f aca="false">V2553+IF(OR(O2554&lt;&gt;"",W2554&lt;&gt;""),1,0)</f>
        <v>3</v>
      </c>
      <c r="W2554" s="29"/>
    </row>
    <row r="2555" customFormat="false" ht="15" hidden="false" customHeight="false" outlineLevel="0" collapsed="false">
      <c r="A2555" s="32" t="str">
        <f aca="false">IF(B2555="","",ROW()-7)</f>
        <v/>
      </c>
      <c r="B2555" s="30"/>
      <c r="C2555" s="29"/>
      <c r="D2555" s="29"/>
      <c r="E2555" s="29"/>
      <c r="F2555" s="30"/>
      <c r="G2555" s="29"/>
      <c r="H2555" s="30"/>
      <c r="I2555" s="29"/>
      <c r="J2555" s="30"/>
      <c r="K2555" s="30"/>
      <c r="L2555" s="29"/>
      <c r="M2555" s="32" t="str">
        <f aca="false">IF(OR(C2555="",L2555=""),"",IF(C2555=L2555,"同一","変更"))</f>
        <v/>
      </c>
      <c r="N2555" s="29"/>
      <c r="O2555" s="30"/>
      <c r="P2555" s="29"/>
      <c r="Q2555" s="31"/>
      <c r="R2555" s="29"/>
      <c r="S2555" s="29"/>
      <c r="T2555" s="30"/>
      <c r="U2555" s="47" t="str">
        <f aca="false">IF(AND(B2555&lt;&gt;"",B2555=SW別シート!$C$3),COUNTIF(B$5:B2555,B2555),"")</f>
        <v/>
      </c>
      <c r="V2555" s="47" t="n">
        <f aca="false">V2554+IF(OR(O2555&lt;&gt;"",W2555&lt;&gt;""),1,0)</f>
        <v>3</v>
      </c>
      <c r="W2555" s="29"/>
    </row>
    <row r="2556" customFormat="false" ht="15" hidden="false" customHeight="false" outlineLevel="0" collapsed="false">
      <c r="A2556" s="32" t="str">
        <f aca="false">IF(B2556="","",ROW()-7)</f>
        <v/>
      </c>
      <c r="B2556" s="30"/>
      <c r="C2556" s="29"/>
      <c r="D2556" s="29"/>
      <c r="E2556" s="29"/>
      <c r="F2556" s="30"/>
      <c r="G2556" s="29"/>
      <c r="H2556" s="30"/>
      <c r="I2556" s="29"/>
      <c r="J2556" s="30"/>
      <c r="K2556" s="30"/>
      <c r="L2556" s="29"/>
      <c r="M2556" s="32" t="str">
        <f aca="false">IF(OR(C2556="",L2556=""),"",IF(C2556=L2556,"同一","変更"))</f>
        <v/>
      </c>
      <c r="N2556" s="29"/>
      <c r="O2556" s="30"/>
      <c r="P2556" s="29"/>
      <c r="Q2556" s="31"/>
      <c r="R2556" s="29"/>
      <c r="S2556" s="29"/>
      <c r="T2556" s="30"/>
      <c r="U2556" s="47" t="str">
        <f aca="false">IF(AND(B2556&lt;&gt;"",B2556=SW別シート!$C$3),COUNTIF(B$5:B2556,B2556),"")</f>
        <v/>
      </c>
      <c r="V2556" s="47" t="n">
        <f aca="false">V2555+IF(OR(O2556&lt;&gt;"",W2556&lt;&gt;""),1,0)</f>
        <v>3</v>
      </c>
      <c r="W2556" s="29"/>
    </row>
    <row r="2557" customFormat="false" ht="15" hidden="false" customHeight="false" outlineLevel="0" collapsed="false">
      <c r="A2557" s="32" t="str">
        <f aca="false">IF(B2557="","",ROW()-7)</f>
        <v/>
      </c>
      <c r="B2557" s="30"/>
      <c r="C2557" s="29"/>
      <c r="D2557" s="29"/>
      <c r="E2557" s="29"/>
      <c r="F2557" s="30"/>
      <c r="G2557" s="29"/>
      <c r="H2557" s="30"/>
      <c r="I2557" s="29"/>
      <c r="J2557" s="30"/>
      <c r="K2557" s="30"/>
      <c r="L2557" s="29"/>
      <c r="M2557" s="32" t="str">
        <f aca="false">IF(OR(C2557="",L2557=""),"",IF(C2557=L2557,"同一","変更"))</f>
        <v/>
      </c>
      <c r="N2557" s="29"/>
      <c r="O2557" s="30"/>
      <c r="P2557" s="29"/>
      <c r="Q2557" s="31"/>
      <c r="R2557" s="29"/>
      <c r="S2557" s="29"/>
      <c r="T2557" s="30"/>
      <c r="U2557" s="47" t="str">
        <f aca="false">IF(AND(B2557&lt;&gt;"",B2557=SW別シート!$C$3),COUNTIF(B$5:B2557,B2557),"")</f>
        <v/>
      </c>
      <c r="V2557" s="47" t="n">
        <f aca="false">V2556+IF(OR(O2557&lt;&gt;"",W2557&lt;&gt;""),1,0)</f>
        <v>3</v>
      </c>
      <c r="W2557" s="29"/>
    </row>
    <row r="2558" customFormat="false" ht="15" hidden="false" customHeight="false" outlineLevel="0" collapsed="false">
      <c r="A2558" s="32" t="str">
        <f aca="false">IF(B2558="","",ROW()-7)</f>
        <v/>
      </c>
      <c r="B2558" s="30"/>
      <c r="C2558" s="29"/>
      <c r="D2558" s="29"/>
      <c r="E2558" s="29"/>
      <c r="F2558" s="30"/>
      <c r="G2558" s="29"/>
      <c r="H2558" s="30"/>
      <c r="I2558" s="29"/>
      <c r="J2558" s="30"/>
      <c r="K2558" s="30"/>
      <c r="L2558" s="29"/>
      <c r="M2558" s="32" t="str">
        <f aca="false">IF(OR(C2558="",L2558=""),"",IF(C2558=L2558,"同一","変更"))</f>
        <v/>
      </c>
      <c r="N2558" s="29"/>
      <c r="O2558" s="30"/>
      <c r="P2558" s="29"/>
      <c r="Q2558" s="31"/>
      <c r="R2558" s="29"/>
      <c r="S2558" s="29"/>
      <c r="T2558" s="30"/>
      <c r="U2558" s="47" t="str">
        <f aca="false">IF(AND(B2558&lt;&gt;"",B2558=SW別シート!$C$3),COUNTIF(B$5:B2558,B2558),"")</f>
        <v/>
      </c>
      <c r="V2558" s="47" t="n">
        <f aca="false">V2557+IF(OR(O2558&lt;&gt;"",W2558&lt;&gt;""),1,0)</f>
        <v>3</v>
      </c>
      <c r="W2558" s="29"/>
    </row>
    <row r="2559" customFormat="false" ht="15" hidden="false" customHeight="false" outlineLevel="0" collapsed="false">
      <c r="A2559" s="32" t="str">
        <f aca="false">IF(B2559="","",ROW()-7)</f>
        <v/>
      </c>
      <c r="B2559" s="30"/>
      <c r="C2559" s="29"/>
      <c r="D2559" s="29"/>
      <c r="E2559" s="29"/>
      <c r="F2559" s="30"/>
      <c r="G2559" s="29"/>
      <c r="H2559" s="30"/>
      <c r="I2559" s="29"/>
      <c r="J2559" s="30"/>
      <c r="K2559" s="30"/>
      <c r="L2559" s="29"/>
      <c r="M2559" s="32" t="str">
        <f aca="false">IF(OR(C2559="",L2559=""),"",IF(C2559=L2559,"同一","変更"))</f>
        <v/>
      </c>
      <c r="N2559" s="29"/>
      <c r="O2559" s="30"/>
      <c r="P2559" s="29"/>
      <c r="Q2559" s="31"/>
      <c r="R2559" s="29"/>
      <c r="S2559" s="29"/>
      <c r="T2559" s="30"/>
      <c r="U2559" s="47" t="str">
        <f aca="false">IF(AND(B2559&lt;&gt;"",B2559=SW別シート!$C$3),COUNTIF(B$5:B2559,B2559),"")</f>
        <v/>
      </c>
      <c r="V2559" s="47" t="n">
        <f aca="false">V2558+IF(OR(O2559&lt;&gt;"",W2559&lt;&gt;""),1,0)</f>
        <v>3</v>
      </c>
      <c r="W2559" s="29"/>
    </row>
    <row r="2560" customFormat="false" ht="15" hidden="false" customHeight="false" outlineLevel="0" collapsed="false">
      <c r="A2560" s="32" t="str">
        <f aca="false">IF(B2560="","",ROW()-7)</f>
        <v/>
      </c>
      <c r="B2560" s="30"/>
      <c r="C2560" s="29"/>
      <c r="D2560" s="29"/>
      <c r="E2560" s="29"/>
      <c r="F2560" s="30"/>
      <c r="G2560" s="29"/>
      <c r="H2560" s="30"/>
      <c r="I2560" s="29"/>
      <c r="J2560" s="30"/>
      <c r="K2560" s="30"/>
      <c r="L2560" s="29"/>
      <c r="M2560" s="32" t="str">
        <f aca="false">IF(OR(C2560="",L2560=""),"",IF(C2560=L2560,"同一","変更"))</f>
        <v/>
      </c>
      <c r="N2560" s="29"/>
      <c r="O2560" s="30"/>
      <c r="P2560" s="29"/>
      <c r="Q2560" s="31"/>
      <c r="R2560" s="29"/>
      <c r="S2560" s="29"/>
      <c r="T2560" s="30"/>
      <c r="U2560" s="47" t="str">
        <f aca="false">IF(AND(B2560&lt;&gt;"",B2560=SW別シート!$C$3),COUNTIF(B$5:B2560,B2560),"")</f>
        <v/>
      </c>
      <c r="V2560" s="47" t="n">
        <f aca="false">V2559+IF(OR(O2560&lt;&gt;"",W2560&lt;&gt;""),1,0)</f>
        <v>3</v>
      </c>
      <c r="W2560" s="29"/>
    </row>
    <row r="2561" customFormat="false" ht="15" hidden="false" customHeight="false" outlineLevel="0" collapsed="false">
      <c r="A2561" s="32" t="str">
        <f aca="false">IF(B2561="","",ROW()-7)</f>
        <v/>
      </c>
      <c r="B2561" s="30"/>
      <c r="C2561" s="29"/>
      <c r="D2561" s="29"/>
      <c r="E2561" s="29"/>
      <c r="F2561" s="30"/>
      <c r="G2561" s="29"/>
      <c r="H2561" s="30"/>
      <c r="I2561" s="29"/>
      <c r="J2561" s="30"/>
      <c r="K2561" s="30"/>
      <c r="L2561" s="29"/>
      <c r="M2561" s="32" t="str">
        <f aca="false">IF(OR(C2561="",L2561=""),"",IF(C2561=L2561,"同一","変更"))</f>
        <v/>
      </c>
      <c r="N2561" s="29"/>
      <c r="O2561" s="30"/>
      <c r="P2561" s="29"/>
      <c r="Q2561" s="31"/>
      <c r="R2561" s="29"/>
      <c r="S2561" s="29"/>
      <c r="T2561" s="30"/>
      <c r="U2561" s="47" t="str">
        <f aca="false">IF(AND(B2561&lt;&gt;"",B2561=SW別シート!$C$3),COUNTIF(B$5:B2561,B2561),"")</f>
        <v/>
      </c>
      <c r="V2561" s="47" t="n">
        <f aca="false">V2560+IF(OR(O2561&lt;&gt;"",W2561&lt;&gt;""),1,0)</f>
        <v>3</v>
      </c>
      <c r="W2561" s="29"/>
    </row>
    <row r="2562" customFormat="false" ht="15" hidden="false" customHeight="false" outlineLevel="0" collapsed="false">
      <c r="A2562" s="32" t="str">
        <f aca="false">IF(B2562="","",ROW()-7)</f>
        <v/>
      </c>
      <c r="B2562" s="30"/>
      <c r="C2562" s="29"/>
      <c r="D2562" s="29"/>
      <c r="E2562" s="29"/>
      <c r="F2562" s="30"/>
      <c r="G2562" s="29"/>
      <c r="H2562" s="30"/>
      <c r="I2562" s="29"/>
      <c r="J2562" s="30"/>
      <c r="K2562" s="30"/>
      <c r="L2562" s="29"/>
      <c r="M2562" s="32" t="str">
        <f aca="false">IF(OR(C2562="",L2562=""),"",IF(C2562=L2562,"同一","変更"))</f>
        <v/>
      </c>
      <c r="N2562" s="29"/>
      <c r="O2562" s="30"/>
      <c r="P2562" s="29"/>
      <c r="Q2562" s="31"/>
      <c r="R2562" s="29"/>
      <c r="S2562" s="29"/>
      <c r="T2562" s="30"/>
      <c r="U2562" s="47" t="str">
        <f aca="false">IF(AND(B2562&lt;&gt;"",B2562=SW別シート!$C$3),COUNTIF(B$5:B2562,B2562),"")</f>
        <v/>
      </c>
      <c r="V2562" s="47" t="n">
        <f aca="false">V2561+IF(OR(O2562&lt;&gt;"",W2562&lt;&gt;""),1,0)</f>
        <v>3</v>
      </c>
      <c r="W2562" s="29"/>
    </row>
    <row r="2563" customFormat="false" ht="15" hidden="false" customHeight="false" outlineLevel="0" collapsed="false">
      <c r="A2563" s="32" t="str">
        <f aca="false">IF(B2563="","",ROW()-7)</f>
        <v/>
      </c>
      <c r="B2563" s="30"/>
      <c r="C2563" s="29"/>
      <c r="D2563" s="29"/>
      <c r="E2563" s="29"/>
      <c r="F2563" s="30"/>
      <c r="G2563" s="29"/>
      <c r="H2563" s="30"/>
      <c r="I2563" s="29"/>
      <c r="J2563" s="30"/>
      <c r="K2563" s="30"/>
      <c r="L2563" s="29"/>
      <c r="M2563" s="32" t="str">
        <f aca="false">IF(OR(C2563="",L2563=""),"",IF(C2563=L2563,"同一","変更"))</f>
        <v/>
      </c>
      <c r="N2563" s="29"/>
      <c r="O2563" s="30"/>
      <c r="P2563" s="29"/>
      <c r="Q2563" s="31"/>
      <c r="R2563" s="29"/>
      <c r="S2563" s="29"/>
      <c r="T2563" s="30"/>
      <c r="U2563" s="47" t="str">
        <f aca="false">IF(AND(B2563&lt;&gt;"",B2563=SW別シート!$C$3),COUNTIF(B$5:B2563,B2563),"")</f>
        <v/>
      </c>
      <c r="V2563" s="47" t="n">
        <f aca="false">V2562+IF(OR(O2563&lt;&gt;"",W2563&lt;&gt;""),1,0)</f>
        <v>3</v>
      </c>
      <c r="W2563" s="29"/>
    </row>
    <row r="2564" customFormat="false" ht="15" hidden="false" customHeight="false" outlineLevel="0" collapsed="false">
      <c r="A2564" s="32" t="str">
        <f aca="false">IF(B2564="","",ROW()-7)</f>
        <v/>
      </c>
      <c r="B2564" s="30"/>
      <c r="C2564" s="29"/>
      <c r="D2564" s="29"/>
      <c r="E2564" s="29"/>
      <c r="F2564" s="30"/>
      <c r="G2564" s="29"/>
      <c r="H2564" s="30"/>
      <c r="I2564" s="29"/>
      <c r="J2564" s="30"/>
      <c r="K2564" s="30"/>
      <c r="L2564" s="29"/>
      <c r="M2564" s="32" t="str">
        <f aca="false">IF(OR(C2564="",L2564=""),"",IF(C2564=L2564,"同一","変更"))</f>
        <v/>
      </c>
      <c r="N2564" s="29"/>
      <c r="O2564" s="30"/>
      <c r="P2564" s="29"/>
      <c r="Q2564" s="31"/>
      <c r="R2564" s="29"/>
      <c r="S2564" s="29"/>
      <c r="T2564" s="30"/>
      <c r="U2564" s="47" t="str">
        <f aca="false">IF(AND(B2564&lt;&gt;"",B2564=SW別シート!$C$3),COUNTIF(B$5:B2564,B2564),"")</f>
        <v/>
      </c>
      <c r="V2564" s="47" t="n">
        <f aca="false">V2563+IF(OR(O2564&lt;&gt;"",W2564&lt;&gt;""),1,0)</f>
        <v>3</v>
      </c>
      <c r="W2564" s="29"/>
    </row>
    <row r="2565" customFormat="false" ht="15" hidden="false" customHeight="false" outlineLevel="0" collapsed="false">
      <c r="A2565" s="32" t="str">
        <f aca="false">IF(B2565="","",ROW()-7)</f>
        <v/>
      </c>
      <c r="B2565" s="30"/>
      <c r="C2565" s="29"/>
      <c r="D2565" s="29"/>
      <c r="E2565" s="29"/>
      <c r="F2565" s="30"/>
      <c r="G2565" s="29"/>
      <c r="H2565" s="30"/>
      <c r="I2565" s="29"/>
      <c r="J2565" s="30"/>
      <c r="K2565" s="30"/>
      <c r="L2565" s="29"/>
      <c r="M2565" s="32" t="str">
        <f aca="false">IF(OR(C2565="",L2565=""),"",IF(C2565=L2565,"同一","変更"))</f>
        <v/>
      </c>
      <c r="N2565" s="29"/>
      <c r="O2565" s="30"/>
      <c r="P2565" s="29"/>
      <c r="Q2565" s="31"/>
      <c r="R2565" s="29"/>
      <c r="S2565" s="29"/>
      <c r="T2565" s="30"/>
      <c r="U2565" s="47" t="str">
        <f aca="false">IF(AND(B2565&lt;&gt;"",B2565=SW別シート!$C$3),COUNTIF(B$5:B2565,B2565),"")</f>
        <v/>
      </c>
      <c r="V2565" s="47" t="n">
        <f aca="false">V2564+IF(OR(O2565&lt;&gt;"",W2565&lt;&gt;""),1,0)</f>
        <v>3</v>
      </c>
      <c r="W2565" s="29"/>
    </row>
    <row r="2566" customFormat="false" ht="15" hidden="false" customHeight="false" outlineLevel="0" collapsed="false">
      <c r="A2566" s="32" t="str">
        <f aca="false">IF(B2566="","",ROW()-7)</f>
        <v/>
      </c>
      <c r="B2566" s="30"/>
      <c r="C2566" s="29"/>
      <c r="D2566" s="29"/>
      <c r="E2566" s="29"/>
      <c r="F2566" s="30"/>
      <c r="G2566" s="29"/>
      <c r="H2566" s="30"/>
      <c r="I2566" s="29"/>
      <c r="J2566" s="30"/>
      <c r="K2566" s="30"/>
      <c r="L2566" s="29"/>
      <c r="M2566" s="32" t="str">
        <f aca="false">IF(OR(C2566="",L2566=""),"",IF(C2566=L2566,"同一","変更"))</f>
        <v/>
      </c>
      <c r="N2566" s="29"/>
      <c r="O2566" s="30"/>
      <c r="P2566" s="29"/>
      <c r="Q2566" s="31"/>
      <c r="R2566" s="29"/>
      <c r="S2566" s="29"/>
      <c r="T2566" s="30"/>
      <c r="U2566" s="47" t="str">
        <f aca="false">IF(AND(B2566&lt;&gt;"",B2566=SW別シート!$C$3),COUNTIF(B$5:B2566,B2566),"")</f>
        <v/>
      </c>
      <c r="V2566" s="47" t="n">
        <f aca="false">V2565+IF(OR(O2566&lt;&gt;"",W2566&lt;&gt;""),1,0)</f>
        <v>3</v>
      </c>
      <c r="W2566" s="29"/>
    </row>
    <row r="2567" customFormat="false" ht="15" hidden="false" customHeight="false" outlineLevel="0" collapsed="false">
      <c r="A2567" s="32" t="str">
        <f aca="false">IF(B2567="","",ROW()-7)</f>
        <v/>
      </c>
      <c r="B2567" s="30"/>
      <c r="C2567" s="29"/>
      <c r="D2567" s="29"/>
      <c r="E2567" s="29"/>
      <c r="F2567" s="30"/>
      <c r="G2567" s="29"/>
      <c r="H2567" s="30"/>
      <c r="I2567" s="29"/>
      <c r="J2567" s="30"/>
      <c r="K2567" s="30"/>
      <c r="L2567" s="29"/>
      <c r="M2567" s="32" t="str">
        <f aca="false">IF(OR(C2567="",L2567=""),"",IF(C2567=L2567,"同一","変更"))</f>
        <v/>
      </c>
      <c r="N2567" s="29"/>
      <c r="O2567" s="30"/>
      <c r="P2567" s="29"/>
      <c r="Q2567" s="31"/>
      <c r="R2567" s="29"/>
      <c r="S2567" s="29"/>
      <c r="T2567" s="30"/>
      <c r="U2567" s="47" t="str">
        <f aca="false">IF(AND(B2567&lt;&gt;"",B2567=SW別シート!$C$3),COUNTIF(B$5:B2567,B2567),"")</f>
        <v/>
      </c>
      <c r="V2567" s="47" t="n">
        <f aca="false">V2566+IF(OR(O2567&lt;&gt;"",W2567&lt;&gt;""),1,0)</f>
        <v>3</v>
      </c>
      <c r="W2567" s="29"/>
    </row>
    <row r="2568" customFormat="false" ht="15" hidden="false" customHeight="false" outlineLevel="0" collapsed="false">
      <c r="A2568" s="32" t="str">
        <f aca="false">IF(B2568="","",ROW()-7)</f>
        <v/>
      </c>
      <c r="B2568" s="30"/>
      <c r="C2568" s="29"/>
      <c r="D2568" s="29"/>
      <c r="E2568" s="29"/>
      <c r="F2568" s="30"/>
      <c r="G2568" s="29"/>
      <c r="H2568" s="30"/>
      <c r="I2568" s="29"/>
      <c r="J2568" s="30"/>
      <c r="K2568" s="30"/>
      <c r="L2568" s="29"/>
      <c r="M2568" s="32" t="str">
        <f aca="false">IF(OR(C2568="",L2568=""),"",IF(C2568=L2568,"同一","変更"))</f>
        <v/>
      </c>
      <c r="N2568" s="29"/>
      <c r="O2568" s="30"/>
      <c r="P2568" s="29"/>
      <c r="Q2568" s="31"/>
      <c r="R2568" s="29"/>
      <c r="S2568" s="29"/>
      <c r="T2568" s="30"/>
      <c r="U2568" s="47" t="str">
        <f aca="false">IF(AND(B2568&lt;&gt;"",B2568=SW別シート!$C$3),COUNTIF(B$5:B2568,B2568),"")</f>
        <v/>
      </c>
      <c r="V2568" s="47" t="n">
        <f aca="false">V2567+IF(OR(O2568&lt;&gt;"",W2568&lt;&gt;""),1,0)</f>
        <v>3</v>
      </c>
      <c r="W2568" s="29"/>
    </row>
    <row r="2569" customFormat="false" ht="15" hidden="false" customHeight="false" outlineLevel="0" collapsed="false">
      <c r="A2569" s="32" t="str">
        <f aca="false">IF(B2569="","",ROW()-7)</f>
        <v/>
      </c>
      <c r="B2569" s="30"/>
      <c r="C2569" s="29"/>
      <c r="D2569" s="29"/>
      <c r="E2569" s="29"/>
      <c r="F2569" s="30"/>
      <c r="G2569" s="29"/>
      <c r="H2569" s="30"/>
      <c r="I2569" s="29"/>
      <c r="J2569" s="30"/>
      <c r="K2569" s="30"/>
      <c r="L2569" s="29"/>
      <c r="M2569" s="32" t="str">
        <f aca="false">IF(OR(C2569="",L2569=""),"",IF(C2569=L2569,"同一","変更"))</f>
        <v/>
      </c>
      <c r="N2569" s="29"/>
      <c r="O2569" s="30"/>
      <c r="P2569" s="29"/>
      <c r="Q2569" s="31"/>
      <c r="R2569" s="29"/>
      <c r="S2569" s="29"/>
      <c r="T2569" s="30"/>
      <c r="U2569" s="47" t="str">
        <f aca="false">IF(AND(B2569&lt;&gt;"",B2569=SW別シート!$C$3),COUNTIF(B$5:B2569,B2569),"")</f>
        <v/>
      </c>
      <c r="V2569" s="47" t="n">
        <f aca="false">V2568+IF(OR(O2569&lt;&gt;"",W2569&lt;&gt;""),1,0)</f>
        <v>3</v>
      </c>
      <c r="W2569" s="29"/>
    </row>
    <row r="2570" customFormat="false" ht="15" hidden="false" customHeight="false" outlineLevel="0" collapsed="false">
      <c r="A2570" s="32" t="str">
        <f aca="false">IF(B2570="","",ROW()-7)</f>
        <v/>
      </c>
      <c r="B2570" s="30"/>
      <c r="C2570" s="29"/>
      <c r="D2570" s="29"/>
      <c r="E2570" s="29"/>
      <c r="F2570" s="30"/>
      <c r="G2570" s="29"/>
      <c r="H2570" s="30"/>
      <c r="I2570" s="29"/>
      <c r="J2570" s="30"/>
      <c r="K2570" s="30"/>
      <c r="L2570" s="29"/>
      <c r="M2570" s="32" t="str">
        <f aca="false">IF(OR(C2570="",L2570=""),"",IF(C2570=L2570,"同一","変更"))</f>
        <v/>
      </c>
      <c r="N2570" s="29"/>
      <c r="O2570" s="30"/>
      <c r="P2570" s="29"/>
      <c r="Q2570" s="31"/>
      <c r="R2570" s="29"/>
      <c r="S2570" s="29"/>
      <c r="T2570" s="30"/>
      <c r="U2570" s="47" t="str">
        <f aca="false">IF(AND(B2570&lt;&gt;"",B2570=SW別シート!$C$3),COUNTIF(B$5:B2570,B2570),"")</f>
        <v/>
      </c>
      <c r="V2570" s="47" t="n">
        <f aca="false">V2569+IF(OR(O2570&lt;&gt;"",W2570&lt;&gt;""),1,0)</f>
        <v>3</v>
      </c>
      <c r="W2570" s="29"/>
    </row>
    <row r="2571" customFormat="false" ht="15" hidden="false" customHeight="false" outlineLevel="0" collapsed="false">
      <c r="A2571" s="32" t="str">
        <f aca="false">IF(B2571="","",ROW()-7)</f>
        <v/>
      </c>
      <c r="B2571" s="30"/>
      <c r="C2571" s="29"/>
      <c r="D2571" s="29"/>
      <c r="E2571" s="29"/>
      <c r="F2571" s="30"/>
      <c r="G2571" s="29"/>
      <c r="H2571" s="30"/>
      <c r="I2571" s="29"/>
      <c r="J2571" s="30"/>
      <c r="K2571" s="30"/>
      <c r="L2571" s="29"/>
      <c r="M2571" s="32" t="str">
        <f aca="false">IF(OR(C2571="",L2571=""),"",IF(C2571=L2571,"同一","変更"))</f>
        <v/>
      </c>
      <c r="N2571" s="29"/>
      <c r="O2571" s="30"/>
      <c r="P2571" s="29"/>
      <c r="Q2571" s="31"/>
      <c r="R2571" s="29"/>
      <c r="S2571" s="29"/>
      <c r="T2571" s="30"/>
      <c r="U2571" s="47" t="str">
        <f aca="false">IF(AND(B2571&lt;&gt;"",B2571=SW別シート!$C$3),COUNTIF(B$5:B2571,B2571),"")</f>
        <v/>
      </c>
      <c r="V2571" s="47" t="n">
        <f aca="false">V2570+IF(OR(O2571&lt;&gt;"",W2571&lt;&gt;""),1,0)</f>
        <v>3</v>
      </c>
      <c r="W2571" s="29"/>
    </row>
    <row r="2572" customFormat="false" ht="15" hidden="false" customHeight="false" outlineLevel="0" collapsed="false">
      <c r="A2572" s="32" t="str">
        <f aca="false">IF(B2572="","",ROW()-7)</f>
        <v/>
      </c>
      <c r="B2572" s="30"/>
      <c r="C2572" s="29"/>
      <c r="D2572" s="29"/>
      <c r="E2572" s="29"/>
      <c r="F2572" s="30"/>
      <c r="G2572" s="29"/>
      <c r="H2572" s="30"/>
      <c r="I2572" s="29"/>
      <c r="J2572" s="30"/>
      <c r="K2572" s="30"/>
      <c r="L2572" s="29"/>
      <c r="M2572" s="32" t="str">
        <f aca="false">IF(OR(C2572="",L2572=""),"",IF(C2572=L2572,"同一","変更"))</f>
        <v/>
      </c>
      <c r="N2572" s="29"/>
      <c r="O2572" s="30"/>
      <c r="P2572" s="29"/>
      <c r="Q2572" s="31"/>
      <c r="R2572" s="29"/>
      <c r="S2572" s="29"/>
      <c r="T2572" s="30"/>
      <c r="U2572" s="47" t="str">
        <f aca="false">IF(AND(B2572&lt;&gt;"",B2572=SW別シート!$C$3),COUNTIF(B$5:B2572,B2572),"")</f>
        <v/>
      </c>
      <c r="V2572" s="47" t="n">
        <f aca="false">V2571+IF(OR(O2572&lt;&gt;"",W2572&lt;&gt;""),1,0)</f>
        <v>3</v>
      </c>
      <c r="W2572" s="29"/>
    </row>
    <row r="2573" customFormat="false" ht="15" hidden="false" customHeight="false" outlineLevel="0" collapsed="false">
      <c r="A2573" s="32" t="str">
        <f aca="false">IF(B2573="","",ROW()-7)</f>
        <v/>
      </c>
      <c r="B2573" s="30"/>
      <c r="C2573" s="29"/>
      <c r="D2573" s="29"/>
      <c r="E2573" s="29"/>
      <c r="F2573" s="30"/>
      <c r="G2573" s="29"/>
      <c r="H2573" s="30"/>
      <c r="I2573" s="29"/>
      <c r="J2573" s="30"/>
      <c r="K2573" s="30"/>
      <c r="L2573" s="29"/>
      <c r="M2573" s="32" t="str">
        <f aca="false">IF(OR(C2573="",L2573=""),"",IF(C2573=L2573,"同一","変更"))</f>
        <v/>
      </c>
      <c r="N2573" s="29"/>
      <c r="O2573" s="30"/>
      <c r="P2573" s="29"/>
      <c r="Q2573" s="31"/>
      <c r="R2573" s="29"/>
      <c r="S2573" s="29"/>
      <c r="T2573" s="30"/>
      <c r="U2573" s="47" t="str">
        <f aca="false">IF(AND(B2573&lt;&gt;"",B2573=SW別シート!$C$3),COUNTIF(B$5:B2573,B2573),"")</f>
        <v/>
      </c>
      <c r="V2573" s="47" t="n">
        <f aca="false">V2572+IF(OR(O2573&lt;&gt;"",W2573&lt;&gt;""),1,0)</f>
        <v>3</v>
      </c>
      <c r="W2573" s="29"/>
    </row>
    <row r="2574" customFormat="false" ht="15" hidden="false" customHeight="false" outlineLevel="0" collapsed="false">
      <c r="A2574" s="32" t="str">
        <f aca="false">IF(B2574="","",ROW()-7)</f>
        <v/>
      </c>
      <c r="B2574" s="30"/>
      <c r="C2574" s="29"/>
      <c r="D2574" s="29"/>
      <c r="E2574" s="29"/>
      <c r="F2574" s="30"/>
      <c r="G2574" s="29"/>
      <c r="H2574" s="30"/>
      <c r="I2574" s="29"/>
      <c r="J2574" s="30"/>
      <c r="K2574" s="30"/>
      <c r="L2574" s="29"/>
      <c r="M2574" s="32" t="str">
        <f aca="false">IF(OR(C2574="",L2574=""),"",IF(C2574=L2574,"同一","変更"))</f>
        <v/>
      </c>
      <c r="N2574" s="29"/>
      <c r="O2574" s="30"/>
      <c r="P2574" s="29"/>
      <c r="Q2574" s="31"/>
      <c r="R2574" s="29"/>
      <c r="S2574" s="29"/>
      <c r="T2574" s="30"/>
      <c r="U2574" s="47" t="str">
        <f aca="false">IF(AND(B2574&lt;&gt;"",B2574=SW別シート!$C$3),COUNTIF(B$5:B2574,B2574),"")</f>
        <v/>
      </c>
      <c r="V2574" s="47" t="n">
        <f aca="false">V2573+IF(OR(O2574&lt;&gt;"",W2574&lt;&gt;""),1,0)</f>
        <v>3</v>
      </c>
      <c r="W2574" s="29"/>
    </row>
    <row r="2575" customFormat="false" ht="15" hidden="false" customHeight="false" outlineLevel="0" collapsed="false">
      <c r="A2575" s="32" t="str">
        <f aca="false">IF(B2575="","",ROW()-7)</f>
        <v/>
      </c>
      <c r="B2575" s="30"/>
      <c r="C2575" s="29"/>
      <c r="D2575" s="29"/>
      <c r="E2575" s="29"/>
      <c r="F2575" s="30"/>
      <c r="G2575" s="29"/>
      <c r="H2575" s="30"/>
      <c r="I2575" s="29"/>
      <c r="J2575" s="30"/>
      <c r="K2575" s="30"/>
      <c r="L2575" s="29"/>
      <c r="M2575" s="32" t="str">
        <f aca="false">IF(OR(C2575="",L2575=""),"",IF(C2575=L2575,"同一","変更"))</f>
        <v/>
      </c>
      <c r="N2575" s="29"/>
      <c r="O2575" s="30"/>
      <c r="P2575" s="29"/>
      <c r="Q2575" s="31"/>
      <c r="R2575" s="29"/>
      <c r="S2575" s="29"/>
      <c r="T2575" s="30"/>
      <c r="U2575" s="47" t="str">
        <f aca="false">IF(AND(B2575&lt;&gt;"",B2575=SW別シート!$C$3),COUNTIF(B$5:B2575,B2575),"")</f>
        <v/>
      </c>
      <c r="V2575" s="47" t="n">
        <f aca="false">V2574+IF(OR(O2575&lt;&gt;"",W2575&lt;&gt;""),1,0)</f>
        <v>3</v>
      </c>
      <c r="W2575" s="29"/>
    </row>
    <row r="2576" customFormat="false" ht="15" hidden="false" customHeight="false" outlineLevel="0" collapsed="false">
      <c r="A2576" s="32" t="str">
        <f aca="false">IF(B2576="","",ROW()-7)</f>
        <v/>
      </c>
      <c r="B2576" s="30"/>
      <c r="C2576" s="29"/>
      <c r="D2576" s="29"/>
      <c r="E2576" s="29"/>
      <c r="F2576" s="30"/>
      <c r="G2576" s="29"/>
      <c r="H2576" s="30"/>
      <c r="I2576" s="29"/>
      <c r="J2576" s="30"/>
      <c r="K2576" s="30"/>
      <c r="L2576" s="29"/>
      <c r="M2576" s="32" t="str">
        <f aca="false">IF(OR(C2576="",L2576=""),"",IF(C2576=L2576,"同一","変更"))</f>
        <v/>
      </c>
      <c r="N2576" s="29"/>
      <c r="O2576" s="30"/>
      <c r="P2576" s="29"/>
      <c r="Q2576" s="31"/>
      <c r="R2576" s="29"/>
      <c r="S2576" s="29"/>
      <c r="T2576" s="30"/>
      <c r="U2576" s="47" t="str">
        <f aca="false">IF(AND(B2576&lt;&gt;"",B2576=SW別シート!$C$3),COUNTIF(B$5:B2576,B2576),"")</f>
        <v/>
      </c>
      <c r="V2576" s="47" t="n">
        <f aca="false">V2575+IF(OR(O2576&lt;&gt;"",W2576&lt;&gt;""),1,0)</f>
        <v>3</v>
      </c>
      <c r="W2576" s="29"/>
    </row>
    <row r="2577" customFormat="false" ht="15" hidden="false" customHeight="false" outlineLevel="0" collapsed="false">
      <c r="A2577" s="32" t="str">
        <f aca="false">IF(B2577="","",ROW()-7)</f>
        <v/>
      </c>
      <c r="B2577" s="30"/>
      <c r="C2577" s="29"/>
      <c r="D2577" s="29"/>
      <c r="E2577" s="29"/>
      <c r="F2577" s="30"/>
      <c r="G2577" s="29"/>
      <c r="H2577" s="30"/>
      <c r="I2577" s="29"/>
      <c r="J2577" s="30"/>
      <c r="K2577" s="30"/>
      <c r="L2577" s="29"/>
      <c r="M2577" s="32" t="str">
        <f aca="false">IF(OR(C2577="",L2577=""),"",IF(C2577=L2577,"同一","変更"))</f>
        <v/>
      </c>
      <c r="N2577" s="29"/>
      <c r="O2577" s="30"/>
      <c r="P2577" s="29"/>
      <c r="Q2577" s="31"/>
      <c r="R2577" s="29"/>
      <c r="S2577" s="29"/>
      <c r="T2577" s="30"/>
      <c r="U2577" s="47" t="str">
        <f aca="false">IF(AND(B2577&lt;&gt;"",B2577=SW別シート!$C$3),COUNTIF(B$5:B2577,B2577),"")</f>
        <v/>
      </c>
      <c r="V2577" s="47" t="n">
        <f aca="false">V2576+IF(OR(O2577&lt;&gt;"",W2577&lt;&gt;""),1,0)</f>
        <v>3</v>
      </c>
      <c r="W2577" s="29"/>
    </row>
    <row r="2578" customFormat="false" ht="15" hidden="false" customHeight="false" outlineLevel="0" collapsed="false">
      <c r="A2578" s="32" t="str">
        <f aca="false">IF(B2578="","",ROW()-7)</f>
        <v/>
      </c>
      <c r="B2578" s="30"/>
      <c r="C2578" s="29"/>
      <c r="D2578" s="29"/>
      <c r="E2578" s="29"/>
      <c r="F2578" s="30"/>
      <c r="G2578" s="29"/>
      <c r="H2578" s="30"/>
      <c r="I2578" s="29"/>
      <c r="J2578" s="30"/>
      <c r="K2578" s="30"/>
      <c r="L2578" s="29"/>
      <c r="M2578" s="32" t="str">
        <f aca="false">IF(OR(C2578="",L2578=""),"",IF(C2578=L2578,"同一","変更"))</f>
        <v/>
      </c>
      <c r="N2578" s="29"/>
      <c r="O2578" s="30"/>
      <c r="P2578" s="29"/>
      <c r="Q2578" s="31"/>
      <c r="R2578" s="29"/>
      <c r="S2578" s="29"/>
      <c r="T2578" s="30"/>
      <c r="U2578" s="47" t="str">
        <f aca="false">IF(AND(B2578&lt;&gt;"",B2578=SW別シート!$C$3),COUNTIF(B$5:B2578,B2578),"")</f>
        <v/>
      </c>
      <c r="V2578" s="47" t="n">
        <f aca="false">V2577+IF(OR(O2578&lt;&gt;"",W2578&lt;&gt;""),1,0)</f>
        <v>3</v>
      </c>
      <c r="W2578" s="29"/>
    </row>
    <row r="2579" customFormat="false" ht="15" hidden="false" customHeight="false" outlineLevel="0" collapsed="false">
      <c r="A2579" s="32" t="str">
        <f aca="false">IF(B2579="","",ROW()-7)</f>
        <v/>
      </c>
      <c r="B2579" s="30"/>
      <c r="C2579" s="29"/>
      <c r="D2579" s="29"/>
      <c r="E2579" s="29"/>
      <c r="F2579" s="30"/>
      <c r="G2579" s="29"/>
      <c r="H2579" s="30"/>
      <c r="I2579" s="29"/>
      <c r="J2579" s="30"/>
      <c r="K2579" s="30"/>
      <c r="L2579" s="29"/>
      <c r="M2579" s="32" t="str">
        <f aca="false">IF(OR(C2579="",L2579=""),"",IF(C2579=L2579,"同一","変更"))</f>
        <v/>
      </c>
      <c r="N2579" s="29"/>
      <c r="O2579" s="30"/>
      <c r="P2579" s="29"/>
      <c r="Q2579" s="31"/>
      <c r="R2579" s="29"/>
      <c r="S2579" s="29"/>
      <c r="T2579" s="30"/>
      <c r="U2579" s="47" t="str">
        <f aca="false">IF(AND(B2579&lt;&gt;"",B2579=SW別シート!$C$3),COUNTIF(B$5:B2579,B2579),"")</f>
        <v/>
      </c>
      <c r="V2579" s="47" t="n">
        <f aca="false">V2578+IF(OR(O2579&lt;&gt;"",W2579&lt;&gt;""),1,0)</f>
        <v>3</v>
      </c>
      <c r="W2579" s="29"/>
    </row>
    <row r="2580" customFormat="false" ht="15" hidden="false" customHeight="false" outlineLevel="0" collapsed="false">
      <c r="A2580" s="32" t="str">
        <f aca="false">IF(B2580="","",ROW()-7)</f>
        <v/>
      </c>
      <c r="B2580" s="30"/>
      <c r="C2580" s="29"/>
      <c r="D2580" s="29"/>
      <c r="E2580" s="29"/>
      <c r="F2580" s="30"/>
      <c r="G2580" s="29"/>
      <c r="H2580" s="30"/>
      <c r="I2580" s="29"/>
      <c r="J2580" s="30"/>
      <c r="K2580" s="30"/>
      <c r="L2580" s="29"/>
      <c r="M2580" s="32" t="str">
        <f aca="false">IF(OR(C2580="",L2580=""),"",IF(C2580=L2580,"同一","変更"))</f>
        <v/>
      </c>
      <c r="N2580" s="29"/>
      <c r="O2580" s="30"/>
      <c r="P2580" s="29"/>
      <c r="Q2580" s="31"/>
      <c r="R2580" s="29"/>
      <c r="S2580" s="29"/>
      <c r="T2580" s="30"/>
      <c r="U2580" s="47" t="str">
        <f aca="false">IF(AND(B2580&lt;&gt;"",B2580=SW別シート!$C$3),COUNTIF(B$5:B2580,B2580),"")</f>
        <v/>
      </c>
      <c r="V2580" s="47" t="n">
        <f aca="false">V2579+IF(OR(O2580&lt;&gt;"",W2580&lt;&gt;""),1,0)</f>
        <v>3</v>
      </c>
      <c r="W2580" s="29"/>
    </row>
    <row r="2581" customFormat="false" ht="15" hidden="false" customHeight="false" outlineLevel="0" collapsed="false">
      <c r="A2581" s="32" t="str">
        <f aca="false">IF(B2581="","",ROW()-7)</f>
        <v/>
      </c>
      <c r="B2581" s="30"/>
      <c r="C2581" s="29"/>
      <c r="D2581" s="29"/>
      <c r="E2581" s="29"/>
      <c r="F2581" s="30"/>
      <c r="G2581" s="29"/>
      <c r="H2581" s="30"/>
      <c r="I2581" s="29"/>
      <c r="J2581" s="30"/>
      <c r="K2581" s="30"/>
      <c r="L2581" s="29"/>
      <c r="M2581" s="32" t="str">
        <f aca="false">IF(OR(C2581="",L2581=""),"",IF(C2581=L2581,"同一","変更"))</f>
        <v/>
      </c>
      <c r="N2581" s="29"/>
      <c r="O2581" s="30"/>
      <c r="P2581" s="29"/>
      <c r="Q2581" s="31"/>
      <c r="R2581" s="29"/>
      <c r="S2581" s="29"/>
      <c r="T2581" s="30"/>
      <c r="U2581" s="47" t="str">
        <f aca="false">IF(AND(B2581&lt;&gt;"",B2581=SW別シート!$C$3),COUNTIF(B$5:B2581,B2581),"")</f>
        <v/>
      </c>
      <c r="V2581" s="47" t="n">
        <f aca="false">V2580+IF(OR(O2581&lt;&gt;"",W2581&lt;&gt;""),1,0)</f>
        <v>3</v>
      </c>
      <c r="W2581" s="29"/>
    </row>
    <row r="2582" customFormat="false" ht="15" hidden="false" customHeight="false" outlineLevel="0" collapsed="false">
      <c r="A2582" s="32" t="str">
        <f aca="false">IF(B2582="","",ROW()-7)</f>
        <v/>
      </c>
      <c r="B2582" s="30"/>
      <c r="C2582" s="29"/>
      <c r="D2582" s="29"/>
      <c r="E2582" s="29"/>
      <c r="F2582" s="30"/>
      <c r="G2582" s="29"/>
      <c r="H2582" s="30"/>
      <c r="I2582" s="29"/>
      <c r="J2582" s="30"/>
      <c r="K2582" s="30"/>
      <c r="L2582" s="29"/>
      <c r="M2582" s="32" t="str">
        <f aca="false">IF(OR(C2582="",L2582=""),"",IF(C2582=L2582,"同一","変更"))</f>
        <v/>
      </c>
      <c r="N2582" s="29"/>
      <c r="O2582" s="30"/>
      <c r="P2582" s="29"/>
      <c r="Q2582" s="31"/>
      <c r="R2582" s="29"/>
      <c r="S2582" s="29"/>
      <c r="T2582" s="30"/>
      <c r="U2582" s="47" t="str">
        <f aca="false">IF(AND(B2582&lt;&gt;"",B2582=SW別シート!$C$3),COUNTIF(B$5:B2582,B2582),"")</f>
        <v/>
      </c>
      <c r="V2582" s="47" t="n">
        <f aca="false">V2581+IF(OR(O2582&lt;&gt;"",W2582&lt;&gt;""),1,0)</f>
        <v>3</v>
      </c>
      <c r="W2582" s="29"/>
    </row>
    <row r="2583" customFormat="false" ht="15" hidden="false" customHeight="false" outlineLevel="0" collapsed="false">
      <c r="A2583" s="32" t="str">
        <f aca="false">IF(B2583="","",ROW()-7)</f>
        <v/>
      </c>
      <c r="B2583" s="30"/>
      <c r="C2583" s="29"/>
      <c r="D2583" s="29"/>
      <c r="E2583" s="29"/>
      <c r="F2583" s="30"/>
      <c r="G2583" s="29"/>
      <c r="H2583" s="30"/>
      <c r="I2583" s="29"/>
      <c r="J2583" s="30"/>
      <c r="K2583" s="30"/>
      <c r="L2583" s="29"/>
      <c r="M2583" s="32" t="str">
        <f aca="false">IF(OR(C2583="",L2583=""),"",IF(C2583=L2583,"同一","変更"))</f>
        <v/>
      </c>
      <c r="N2583" s="29"/>
      <c r="O2583" s="30"/>
      <c r="P2583" s="29"/>
      <c r="Q2583" s="31"/>
      <c r="R2583" s="29"/>
      <c r="S2583" s="29"/>
      <c r="T2583" s="30"/>
      <c r="U2583" s="47" t="str">
        <f aca="false">IF(AND(B2583&lt;&gt;"",B2583=SW別シート!$C$3),COUNTIF(B$5:B2583,B2583),"")</f>
        <v/>
      </c>
      <c r="V2583" s="47" t="n">
        <f aca="false">V2582+IF(OR(O2583&lt;&gt;"",W2583&lt;&gt;""),1,0)</f>
        <v>3</v>
      </c>
      <c r="W2583" s="29"/>
    </row>
    <row r="2584" customFormat="false" ht="15" hidden="false" customHeight="false" outlineLevel="0" collapsed="false">
      <c r="A2584" s="32" t="str">
        <f aca="false">IF(B2584="","",ROW()-7)</f>
        <v/>
      </c>
      <c r="B2584" s="30"/>
      <c r="C2584" s="29"/>
      <c r="D2584" s="29"/>
      <c r="E2584" s="29"/>
      <c r="F2584" s="30"/>
      <c r="G2584" s="29"/>
      <c r="H2584" s="30"/>
      <c r="I2584" s="29"/>
      <c r="J2584" s="30"/>
      <c r="K2584" s="30"/>
      <c r="L2584" s="29"/>
      <c r="M2584" s="32" t="str">
        <f aca="false">IF(OR(C2584="",L2584=""),"",IF(C2584=L2584,"同一","変更"))</f>
        <v/>
      </c>
      <c r="N2584" s="29"/>
      <c r="O2584" s="30"/>
      <c r="P2584" s="29"/>
      <c r="Q2584" s="31"/>
      <c r="R2584" s="29"/>
      <c r="S2584" s="29"/>
      <c r="T2584" s="30"/>
      <c r="U2584" s="47" t="str">
        <f aca="false">IF(AND(B2584&lt;&gt;"",B2584=SW別シート!$C$3),COUNTIF(B$5:B2584,B2584),"")</f>
        <v/>
      </c>
      <c r="V2584" s="47" t="n">
        <f aca="false">V2583+IF(OR(O2584&lt;&gt;"",W2584&lt;&gt;""),1,0)</f>
        <v>3</v>
      </c>
      <c r="W2584" s="29"/>
    </row>
    <row r="2585" customFormat="false" ht="15" hidden="false" customHeight="false" outlineLevel="0" collapsed="false">
      <c r="A2585" s="32" t="str">
        <f aca="false">IF(B2585="","",ROW()-7)</f>
        <v/>
      </c>
      <c r="B2585" s="30"/>
      <c r="C2585" s="29"/>
      <c r="D2585" s="29"/>
      <c r="E2585" s="29"/>
      <c r="F2585" s="30"/>
      <c r="G2585" s="29"/>
      <c r="H2585" s="30"/>
      <c r="I2585" s="29"/>
      <c r="J2585" s="30"/>
      <c r="K2585" s="30"/>
      <c r="L2585" s="29"/>
      <c r="M2585" s="32" t="str">
        <f aca="false">IF(OR(C2585="",L2585=""),"",IF(C2585=L2585,"同一","変更"))</f>
        <v/>
      </c>
      <c r="N2585" s="29"/>
      <c r="O2585" s="30"/>
      <c r="P2585" s="29"/>
      <c r="Q2585" s="31"/>
      <c r="R2585" s="29"/>
      <c r="S2585" s="29"/>
      <c r="T2585" s="30"/>
      <c r="U2585" s="47" t="str">
        <f aca="false">IF(AND(B2585&lt;&gt;"",B2585=SW別シート!$C$3),COUNTIF(B$5:B2585,B2585),"")</f>
        <v/>
      </c>
      <c r="V2585" s="47" t="n">
        <f aca="false">V2584+IF(OR(O2585&lt;&gt;"",W2585&lt;&gt;""),1,0)</f>
        <v>3</v>
      </c>
      <c r="W2585" s="29"/>
    </row>
    <row r="2586" customFormat="false" ht="15" hidden="false" customHeight="false" outlineLevel="0" collapsed="false">
      <c r="A2586" s="32" t="str">
        <f aca="false">IF(B2586="","",ROW()-7)</f>
        <v/>
      </c>
      <c r="B2586" s="30"/>
      <c r="C2586" s="29"/>
      <c r="D2586" s="29"/>
      <c r="E2586" s="29"/>
      <c r="F2586" s="30"/>
      <c r="G2586" s="29"/>
      <c r="H2586" s="30"/>
      <c r="I2586" s="29"/>
      <c r="J2586" s="30"/>
      <c r="K2586" s="30"/>
      <c r="L2586" s="29"/>
      <c r="M2586" s="32" t="str">
        <f aca="false">IF(OR(C2586="",L2586=""),"",IF(C2586=L2586,"同一","変更"))</f>
        <v/>
      </c>
      <c r="N2586" s="29"/>
      <c r="O2586" s="30"/>
      <c r="P2586" s="29"/>
      <c r="Q2586" s="31"/>
      <c r="R2586" s="29"/>
      <c r="S2586" s="29"/>
      <c r="T2586" s="30"/>
      <c r="U2586" s="47" t="str">
        <f aca="false">IF(AND(B2586&lt;&gt;"",B2586=SW別シート!$C$3),COUNTIF(B$5:B2586,B2586),"")</f>
        <v/>
      </c>
      <c r="V2586" s="47" t="n">
        <f aca="false">V2585+IF(OR(O2586&lt;&gt;"",W2586&lt;&gt;""),1,0)</f>
        <v>3</v>
      </c>
      <c r="W2586" s="29"/>
    </row>
    <row r="2587" customFormat="false" ht="15" hidden="false" customHeight="false" outlineLevel="0" collapsed="false">
      <c r="A2587" s="32" t="str">
        <f aca="false">IF(B2587="","",ROW()-7)</f>
        <v/>
      </c>
      <c r="B2587" s="30"/>
      <c r="C2587" s="29"/>
      <c r="D2587" s="29"/>
      <c r="E2587" s="29"/>
      <c r="F2587" s="30"/>
      <c r="G2587" s="29"/>
      <c r="H2587" s="30"/>
      <c r="I2587" s="29"/>
      <c r="J2587" s="30"/>
      <c r="K2587" s="30"/>
      <c r="L2587" s="29"/>
      <c r="M2587" s="32" t="str">
        <f aca="false">IF(OR(C2587="",L2587=""),"",IF(C2587=L2587,"同一","変更"))</f>
        <v/>
      </c>
      <c r="N2587" s="29"/>
      <c r="O2587" s="30"/>
      <c r="P2587" s="29"/>
      <c r="Q2587" s="31"/>
      <c r="R2587" s="29"/>
      <c r="S2587" s="29"/>
      <c r="T2587" s="30"/>
      <c r="U2587" s="47" t="str">
        <f aca="false">IF(AND(B2587&lt;&gt;"",B2587=SW別シート!$C$3),COUNTIF(B$5:B2587,B2587),"")</f>
        <v/>
      </c>
      <c r="V2587" s="47" t="n">
        <f aca="false">V2586+IF(OR(O2587&lt;&gt;"",W2587&lt;&gt;""),1,0)</f>
        <v>3</v>
      </c>
      <c r="W2587" s="29"/>
    </row>
    <row r="2588" customFormat="false" ht="15" hidden="false" customHeight="false" outlineLevel="0" collapsed="false">
      <c r="A2588" s="32" t="str">
        <f aca="false">IF(B2588="","",ROW()-7)</f>
        <v/>
      </c>
      <c r="B2588" s="30"/>
      <c r="C2588" s="29"/>
      <c r="D2588" s="29"/>
      <c r="E2588" s="29"/>
      <c r="F2588" s="30"/>
      <c r="G2588" s="29"/>
      <c r="H2588" s="30"/>
      <c r="I2588" s="29"/>
      <c r="J2588" s="30"/>
      <c r="K2588" s="30"/>
      <c r="L2588" s="29"/>
      <c r="M2588" s="32" t="str">
        <f aca="false">IF(OR(C2588="",L2588=""),"",IF(C2588=L2588,"同一","変更"))</f>
        <v/>
      </c>
      <c r="N2588" s="29"/>
      <c r="O2588" s="30"/>
      <c r="P2588" s="29"/>
      <c r="Q2588" s="31"/>
      <c r="R2588" s="29"/>
      <c r="S2588" s="29"/>
      <c r="T2588" s="30"/>
      <c r="U2588" s="47" t="str">
        <f aca="false">IF(AND(B2588&lt;&gt;"",B2588=SW別シート!$C$3),COUNTIF(B$5:B2588,B2588),"")</f>
        <v/>
      </c>
      <c r="V2588" s="47" t="n">
        <f aca="false">V2587+IF(OR(O2588&lt;&gt;"",W2588&lt;&gt;""),1,0)</f>
        <v>3</v>
      </c>
      <c r="W2588" s="29"/>
    </row>
    <row r="2589" customFormat="false" ht="15" hidden="false" customHeight="false" outlineLevel="0" collapsed="false">
      <c r="A2589" s="32" t="str">
        <f aca="false">IF(B2589="","",ROW()-7)</f>
        <v/>
      </c>
      <c r="B2589" s="30"/>
      <c r="C2589" s="29"/>
      <c r="D2589" s="29"/>
      <c r="E2589" s="29"/>
      <c r="F2589" s="30"/>
      <c r="G2589" s="29"/>
      <c r="H2589" s="30"/>
      <c r="I2589" s="29"/>
      <c r="J2589" s="30"/>
      <c r="K2589" s="30"/>
      <c r="L2589" s="29"/>
      <c r="M2589" s="32" t="str">
        <f aca="false">IF(OR(C2589="",L2589=""),"",IF(C2589=L2589,"同一","変更"))</f>
        <v/>
      </c>
      <c r="N2589" s="29"/>
      <c r="O2589" s="30"/>
      <c r="P2589" s="29"/>
      <c r="Q2589" s="31"/>
      <c r="R2589" s="29"/>
      <c r="S2589" s="29"/>
      <c r="T2589" s="30"/>
      <c r="U2589" s="47" t="str">
        <f aca="false">IF(AND(B2589&lt;&gt;"",B2589=SW別シート!$C$3),COUNTIF(B$5:B2589,B2589),"")</f>
        <v/>
      </c>
      <c r="V2589" s="47" t="n">
        <f aca="false">V2588+IF(OR(O2589&lt;&gt;"",W2589&lt;&gt;""),1,0)</f>
        <v>3</v>
      </c>
      <c r="W2589" s="29"/>
    </row>
    <row r="2590" customFormat="false" ht="15" hidden="false" customHeight="false" outlineLevel="0" collapsed="false">
      <c r="A2590" s="32" t="str">
        <f aca="false">IF(B2590="","",ROW()-7)</f>
        <v/>
      </c>
      <c r="B2590" s="30"/>
      <c r="C2590" s="29"/>
      <c r="D2590" s="29"/>
      <c r="E2590" s="29"/>
      <c r="F2590" s="30"/>
      <c r="G2590" s="29"/>
      <c r="H2590" s="30"/>
      <c r="I2590" s="29"/>
      <c r="J2590" s="30"/>
      <c r="K2590" s="30"/>
      <c r="L2590" s="29"/>
      <c r="M2590" s="32" t="str">
        <f aca="false">IF(OR(C2590="",L2590=""),"",IF(C2590=L2590,"同一","変更"))</f>
        <v/>
      </c>
      <c r="N2590" s="29"/>
      <c r="O2590" s="30"/>
      <c r="P2590" s="29"/>
      <c r="Q2590" s="31"/>
      <c r="R2590" s="29"/>
      <c r="S2590" s="29"/>
      <c r="T2590" s="30"/>
      <c r="U2590" s="47" t="str">
        <f aca="false">IF(AND(B2590&lt;&gt;"",B2590=SW別シート!$C$3),COUNTIF(B$5:B2590,B2590),"")</f>
        <v/>
      </c>
      <c r="V2590" s="47" t="n">
        <f aca="false">V2589+IF(OR(O2590&lt;&gt;"",W2590&lt;&gt;""),1,0)</f>
        <v>3</v>
      </c>
      <c r="W2590" s="29"/>
    </row>
    <row r="2591" customFormat="false" ht="15" hidden="false" customHeight="false" outlineLevel="0" collapsed="false">
      <c r="A2591" s="32" t="str">
        <f aca="false">IF(B2591="","",ROW()-7)</f>
        <v/>
      </c>
      <c r="B2591" s="30"/>
      <c r="C2591" s="29"/>
      <c r="D2591" s="29"/>
      <c r="E2591" s="29"/>
      <c r="F2591" s="30"/>
      <c r="G2591" s="29"/>
      <c r="H2591" s="30"/>
      <c r="I2591" s="29"/>
      <c r="J2591" s="30"/>
      <c r="K2591" s="30"/>
      <c r="L2591" s="29"/>
      <c r="M2591" s="32" t="str">
        <f aca="false">IF(OR(C2591="",L2591=""),"",IF(C2591=L2591,"同一","変更"))</f>
        <v/>
      </c>
      <c r="N2591" s="29"/>
      <c r="O2591" s="30"/>
      <c r="P2591" s="29"/>
      <c r="Q2591" s="31"/>
      <c r="R2591" s="29"/>
      <c r="S2591" s="29"/>
      <c r="T2591" s="30"/>
      <c r="U2591" s="47" t="str">
        <f aca="false">IF(AND(B2591&lt;&gt;"",B2591=SW別シート!$C$3),COUNTIF(B$5:B2591,B2591),"")</f>
        <v/>
      </c>
      <c r="V2591" s="47" t="n">
        <f aca="false">V2590+IF(OR(O2591&lt;&gt;"",W2591&lt;&gt;""),1,0)</f>
        <v>3</v>
      </c>
      <c r="W2591" s="29"/>
    </row>
    <row r="2592" customFormat="false" ht="15" hidden="false" customHeight="false" outlineLevel="0" collapsed="false">
      <c r="A2592" s="32" t="str">
        <f aca="false">IF(B2592="","",ROW()-7)</f>
        <v/>
      </c>
      <c r="B2592" s="30"/>
      <c r="C2592" s="29"/>
      <c r="D2592" s="29"/>
      <c r="E2592" s="29"/>
      <c r="F2592" s="30"/>
      <c r="G2592" s="29"/>
      <c r="H2592" s="30"/>
      <c r="I2592" s="29"/>
      <c r="J2592" s="30"/>
      <c r="K2592" s="30"/>
      <c r="L2592" s="29"/>
      <c r="M2592" s="32" t="str">
        <f aca="false">IF(OR(C2592="",L2592=""),"",IF(C2592=L2592,"同一","変更"))</f>
        <v/>
      </c>
      <c r="N2592" s="29"/>
      <c r="O2592" s="30"/>
      <c r="P2592" s="29"/>
      <c r="Q2592" s="31"/>
      <c r="R2592" s="29"/>
      <c r="S2592" s="29"/>
      <c r="T2592" s="30"/>
      <c r="U2592" s="47" t="str">
        <f aca="false">IF(AND(B2592&lt;&gt;"",B2592=SW別シート!$C$3),COUNTIF(B$5:B2592,B2592),"")</f>
        <v/>
      </c>
      <c r="V2592" s="47" t="n">
        <f aca="false">V2591+IF(OR(O2592&lt;&gt;"",W2592&lt;&gt;""),1,0)</f>
        <v>3</v>
      </c>
      <c r="W2592" s="29"/>
    </row>
    <row r="2593" customFormat="false" ht="15" hidden="false" customHeight="false" outlineLevel="0" collapsed="false">
      <c r="A2593" s="32" t="str">
        <f aca="false">IF(B2593="","",ROW()-7)</f>
        <v/>
      </c>
      <c r="B2593" s="30"/>
      <c r="C2593" s="29"/>
      <c r="D2593" s="29"/>
      <c r="E2593" s="29"/>
      <c r="F2593" s="30"/>
      <c r="G2593" s="29"/>
      <c r="H2593" s="30"/>
      <c r="I2593" s="29"/>
      <c r="J2593" s="30"/>
      <c r="K2593" s="30"/>
      <c r="L2593" s="29"/>
      <c r="M2593" s="32" t="str">
        <f aca="false">IF(OR(C2593="",L2593=""),"",IF(C2593=L2593,"同一","変更"))</f>
        <v/>
      </c>
      <c r="N2593" s="29"/>
      <c r="O2593" s="30"/>
      <c r="P2593" s="29"/>
      <c r="Q2593" s="31"/>
      <c r="R2593" s="29"/>
      <c r="S2593" s="29"/>
      <c r="T2593" s="30"/>
      <c r="U2593" s="47" t="str">
        <f aca="false">IF(AND(B2593&lt;&gt;"",B2593=SW別シート!$C$3),COUNTIF(B$5:B2593,B2593),"")</f>
        <v/>
      </c>
      <c r="V2593" s="47" t="n">
        <f aca="false">V2592+IF(OR(O2593&lt;&gt;"",W2593&lt;&gt;""),1,0)</f>
        <v>3</v>
      </c>
      <c r="W2593" s="29"/>
    </row>
    <row r="2594" customFormat="false" ht="15" hidden="false" customHeight="false" outlineLevel="0" collapsed="false">
      <c r="A2594" s="32" t="str">
        <f aca="false">IF(B2594="","",ROW()-7)</f>
        <v/>
      </c>
      <c r="B2594" s="30"/>
      <c r="C2594" s="29"/>
      <c r="D2594" s="29"/>
      <c r="E2594" s="29"/>
      <c r="F2594" s="30"/>
      <c r="G2594" s="29"/>
      <c r="H2594" s="30"/>
      <c r="I2594" s="29"/>
      <c r="J2594" s="30"/>
      <c r="K2594" s="30"/>
      <c r="L2594" s="29"/>
      <c r="M2594" s="32" t="str">
        <f aca="false">IF(OR(C2594="",L2594=""),"",IF(C2594=L2594,"同一","変更"))</f>
        <v/>
      </c>
      <c r="N2594" s="29"/>
      <c r="O2594" s="30"/>
      <c r="P2594" s="29"/>
      <c r="Q2594" s="31"/>
      <c r="R2594" s="29"/>
      <c r="S2594" s="29"/>
      <c r="T2594" s="30"/>
      <c r="U2594" s="47" t="str">
        <f aca="false">IF(AND(B2594&lt;&gt;"",B2594=SW別シート!$C$3),COUNTIF(B$5:B2594,B2594),"")</f>
        <v/>
      </c>
      <c r="V2594" s="47" t="n">
        <f aca="false">V2593+IF(OR(O2594&lt;&gt;"",W2594&lt;&gt;""),1,0)</f>
        <v>3</v>
      </c>
      <c r="W2594" s="29"/>
    </row>
    <row r="2595" customFormat="false" ht="15" hidden="false" customHeight="false" outlineLevel="0" collapsed="false">
      <c r="A2595" s="32" t="str">
        <f aca="false">IF(B2595="","",ROW()-7)</f>
        <v/>
      </c>
      <c r="B2595" s="30"/>
      <c r="C2595" s="29"/>
      <c r="D2595" s="29"/>
      <c r="E2595" s="29"/>
      <c r="F2595" s="30"/>
      <c r="G2595" s="29"/>
      <c r="H2595" s="30"/>
      <c r="I2595" s="29"/>
      <c r="J2595" s="30"/>
      <c r="K2595" s="30"/>
      <c r="L2595" s="29"/>
      <c r="M2595" s="32" t="str">
        <f aca="false">IF(OR(C2595="",L2595=""),"",IF(C2595=L2595,"同一","変更"))</f>
        <v/>
      </c>
      <c r="N2595" s="29"/>
      <c r="O2595" s="30"/>
      <c r="P2595" s="29"/>
      <c r="Q2595" s="31"/>
      <c r="R2595" s="29"/>
      <c r="S2595" s="29"/>
      <c r="T2595" s="30"/>
      <c r="U2595" s="47" t="str">
        <f aca="false">IF(AND(B2595&lt;&gt;"",B2595=SW別シート!$C$3),COUNTIF(B$5:B2595,B2595),"")</f>
        <v/>
      </c>
      <c r="V2595" s="47" t="n">
        <f aca="false">V2594+IF(OR(O2595&lt;&gt;"",W2595&lt;&gt;""),1,0)</f>
        <v>3</v>
      </c>
      <c r="W2595" s="29"/>
    </row>
    <row r="2596" customFormat="false" ht="15" hidden="false" customHeight="false" outlineLevel="0" collapsed="false">
      <c r="A2596" s="32" t="str">
        <f aca="false">IF(B2596="","",ROW()-7)</f>
        <v/>
      </c>
      <c r="B2596" s="30"/>
      <c r="C2596" s="29"/>
      <c r="D2596" s="29"/>
      <c r="E2596" s="29"/>
      <c r="F2596" s="30"/>
      <c r="G2596" s="29"/>
      <c r="H2596" s="30"/>
      <c r="I2596" s="29"/>
      <c r="J2596" s="30"/>
      <c r="K2596" s="30"/>
      <c r="L2596" s="29"/>
      <c r="M2596" s="32" t="str">
        <f aca="false">IF(OR(C2596="",L2596=""),"",IF(C2596=L2596,"同一","変更"))</f>
        <v/>
      </c>
      <c r="N2596" s="29"/>
      <c r="O2596" s="30"/>
      <c r="P2596" s="29"/>
      <c r="Q2596" s="31"/>
      <c r="R2596" s="29"/>
      <c r="S2596" s="29"/>
      <c r="T2596" s="30"/>
      <c r="U2596" s="47" t="str">
        <f aca="false">IF(AND(B2596&lt;&gt;"",B2596=SW別シート!$C$3),COUNTIF(B$5:B2596,B2596),"")</f>
        <v/>
      </c>
      <c r="V2596" s="47" t="n">
        <f aca="false">V2595+IF(OR(O2596&lt;&gt;"",W2596&lt;&gt;""),1,0)</f>
        <v>3</v>
      </c>
      <c r="W2596" s="29"/>
    </row>
    <row r="2597" customFormat="false" ht="15" hidden="false" customHeight="false" outlineLevel="0" collapsed="false">
      <c r="A2597" s="32" t="str">
        <f aca="false">IF(B2597="","",ROW()-7)</f>
        <v/>
      </c>
      <c r="B2597" s="30"/>
      <c r="C2597" s="29"/>
      <c r="D2597" s="29"/>
      <c r="E2597" s="29"/>
      <c r="F2597" s="30"/>
      <c r="G2597" s="29"/>
      <c r="H2597" s="30"/>
      <c r="I2597" s="29"/>
      <c r="J2597" s="30"/>
      <c r="K2597" s="30"/>
      <c r="L2597" s="29"/>
      <c r="M2597" s="32" t="str">
        <f aca="false">IF(OR(C2597="",L2597=""),"",IF(C2597=L2597,"同一","変更"))</f>
        <v/>
      </c>
      <c r="N2597" s="29"/>
      <c r="O2597" s="30"/>
      <c r="P2597" s="29"/>
      <c r="Q2597" s="31"/>
      <c r="R2597" s="29"/>
      <c r="S2597" s="29"/>
      <c r="T2597" s="30"/>
      <c r="U2597" s="47" t="str">
        <f aca="false">IF(AND(B2597&lt;&gt;"",B2597=SW別シート!$C$3),COUNTIF(B$5:B2597,B2597),"")</f>
        <v/>
      </c>
      <c r="V2597" s="47" t="n">
        <f aca="false">V2596+IF(OR(O2597&lt;&gt;"",W2597&lt;&gt;""),1,0)</f>
        <v>3</v>
      </c>
      <c r="W2597" s="29"/>
    </row>
    <row r="2598" customFormat="false" ht="15" hidden="false" customHeight="false" outlineLevel="0" collapsed="false">
      <c r="A2598" s="32" t="str">
        <f aca="false">IF(B2598="","",ROW()-7)</f>
        <v/>
      </c>
      <c r="B2598" s="30"/>
      <c r="C2598" s="29"/>
      <c r="D2598" s="29"/>
      <c r="E2598" s="29"/>
      <c r="F2598" s="30"/>
      <c r="G2598" s="29"/>
      <c r="H2598" s="30"/>
      <c r="I2598" s="29"/>
      <c r="J2598" s="30"/>
      <c r="K2598" s="30"/>
      <c r="L2598" s="29"/>
      <c r="M2598" s="32" t="str">
        <f aca="false">IF(OR(C2598="",L2598=""),"",IF(C2598=L2598,"同一","変更"))</f>
        <v/>
      </c>
      <c r="N2598" s="29"/>
      <c r="O2598" s="30"/>
      <c r="P2598" s="29"/>
      <c r="Q2598" s="31"/>
      <c r="R2598" s="29"/>
      <c r="S2598" s="29"/>
      <c r="T2598" s="30"/>
      <c r="U2598" s="47" t="str">
        <f aca="false">IF(AND(B2598&lt;&gt;"",B2598=SW別シート!$C$3),COUNTIF(B$5:B2598,B2598),"")</f>
        <v/>
      </c>
      <c r="V2598" s="47" t="n">
        <f aca="false">V2597+IF(OR(O2598&lt;&gt;"",W2598&lt;&gt;""),1,0)</f>
        <v>3</v>
      </c>
      <c r="W2598" s="29"/>
    </row>
    <row r="2599" customFormat="false" ht="15" hidden="false" customHeight="false" outlineLevel="0" collapsed="false">
      <c r="A2599" s="32" t="str">
        <f aca="false">IF(B2599="","",ROW()-7)</f>
        <v/>
      </c>
      <c r="B2599" s="30"/>
      <c r="C2599" s="29"/>
      <c r="D2599" s="29"/>
      <c r="E2599" s="29"/>
      <c r="F2599" s="30"/>
      <c r="G2599" s="29"/>
      <c r="H2599" s="30"/>
      <c r="I2599" s="29"/>
      <c r="J2599" s="30"/>
      <c r="K2599" s="30"/>
      <c r="L2599" s="29"/>
      <c r="M2599" s="32" t="str">
        <f aca="false">IF(OR(C2599="",L2599=""),"",IF(C2599=L2599,"同一","変更"))</f>
        <v/>
      </c>
      <c r="N2599" s="29"/>
      <c r="O2599" s="30"/>
      <c r="P2599" s="29"/>
      <c r="Q2599" s="31"/>
      <c r="R2599" s="29"/>
      <c r="S2599" s="29"/>
      <c r="T2599" s="30"/>
      <c r="U2599" s="47" t="str">
        <f aca="false">IF(AND(B2599&lt;&gt;"",B2599=SW別シート!$C$3),COUNTIF(B$5:B2599,B2599),"")</f>
        <v/>
      </c>
      <c r="V2599" s="47" t="n">
        <f aca="false">V2598+IF(OR(O2599&lt;&gt;"",W2599&lt;&gt;""),1,0)</f>
        <v>3</v>
      </c>
      <c r="W2599" s="29"/>
    </row>
    <row r="2600" customFormat="false" ht="15" hidden="false" customHeight="false" outlineLevel="0" collapsed="false">
      <c r="A2600" s="32" t="str">
        <f aca="false">IF(B2600="","",ROW()-7)</f>
        <v/>
      </c>
      <c r="B2600" s="30"/>
      <c r="C2600" s="29"/>
      <c r="D2600" s="29"/>
      <c r="E2600" s="29"/>
      <c r="F2600" s="30"/>
      <c r="G2600" s="29"/>
      <c r="H2600" s="30"/>
      <c r="I2600" s="29"/>
      <c r="J2600" s="30"/>
      <c r="K2600" s="30"/>
      <c r="L2600" s="29"/>
      <c r="M2600" s="32" t="str">
        <f aca="false">IF(OR(C2600="",L2600=""),"",IF(C2600=L2600,"同一","変更"))</f>
        <v/>
      </c>
      <c r="N2600" s="29"/>
      <c r="O2600" s="30"/>
      <c r="P2600" s="29"/>
      <c r="Q2600" s="31"/>
      <c r="R2600" s="29"/>
      <c r="S2600" s="29"/>
      <c r="T2600" s="30"/>
      <c r="U2600" s="47" t="str">
        <f aca="false">IF(AND(B2600&lt;&gt;"",B2600=SW別シート!$C$3),COUNTIF(B$5:B2600,B2600),"")</f>
        <v/>
      </c>
      <c r="V2600" s="47" t="n">
        <f aca="false">V2599+IF(OR(O2600&lt;&gt;"",W2600&lt;&gt;""),1,0)</f>
        <v>3</v>
      </c>
      <c r="W2600" s="29"/>
    </row>
    <row r="2601" customFormat="false" ht="15" hidden="false" customHeight="false" outlineLevel="0" collapsed="false">
      <c r="A2601" s="32" t="str">
        <f aca="false">IF(B2601="","",ROW()-7)</f>
        <v/>
      </c>
      <c r="B2601" s="30"/>
      <c r="C2601" s="29"/>
      <c r="D2601" s="29"/>
      <c r="E2601" s="29"/>
      <c r="F2601" s="30"/>
      <c r="G2601" s="29"/>
      <c r="H2601" s="30"/>
      <c r="I2601" s="29"/>
      <c r="J2601" s="30"/>
      <c r="K2601" s="30"/>
      <c r="L2601" s="29"/>
      <c r="M2601" s="32" t="str">
        <f aca="false">IF(OR(C2601="",L2601=""),"",IF(C2601=L2601,"同一","変更"))</f>
        <v/>
      </c>
      <c r="N2601" s="29"/>
      <c r="O2601" s="30"/>
      <c r="P2601" s="29"/>
      <c r="Q2601" s="31"/>
      <c r="R2601" s="29"/>
      <c r="S2601" s="29"/>
      <c r="T2601" s="30"/>
      <c r="U2601" s="47" t="str">
        <f aca="false">IF(AND(B2601&lt;&gt;"",B2601=SW別シート!$C$3),COUNTIF(B$5:B2601,B2601),"")</f>
        <v/>
      </c>
      <c r="V2601" s="47" t="n">
        <f aca="false">V2600+IF(OR(O2601&lt;&gt;"",W2601&lt;&gt;""),1,0)</f>
        <v>3</v>
      </c>
      <c r="W2601" s="29"/>
    </row>
    <row r="2602" customFormat="false" ht="15" hidden="false" customHeight="false" outlineLevel="0" collapsed="false">
      <c r="A2602" s="32" t="str">
        <f aca="false">IF(B2602="","",ROW()-7)</f>
        <v/>
      </c>
      <c r="B2602" s="30"/>
      <c r="C2602" s="29"/>
      <c r="D2602" s="29"/>
      <c r="E2602" s="29"/>
      <c r="F2602" s="30"/>
      <c r="G2602" s="29"/>
      <c r="H2602" s="30"/>
      <c r="I2602" s="29"/>
      <c r="J2602" s="30"/>
      <c r="K2602" s="30"/>
      <c r="L2602" s="29"/>
      <c r="M2602" s="32" t="str">
        <f aca="false">IF(OR(C2602="",L2602=""),"",IF(C2602=L2602,"同一","変更"))</f>
        <v/>
      </c>
      <c r="N2602" s="29"/>
      <c r="O2602" s="30"/>
      <c r="P2602" s="29"/>
      <c r="Q2602" s="31"/>
      <c r="R2602" s="29"/>
      <c r="S2602" s="29"/>
      <c r="T2602" s="30"/>
      <c r="U2602" s="47" t="str">
        <f aca="false">IF(AND(B2602&lt;&gt;"",B2602=SW別シート!$C$3),COUNTIF(B$5:B2602,B2602),"")</f>
        <v/>
      </c>
      <c r="V2602" s="47" t="n">
        <f aca="false">V2601+IF(OR(O2602&lt;&gt;"",W2602&lt;&gt;""),1,0)</f>
        <v>3</v>
      </c>
      <c r="W2602" s="29"/>
    </row>
    <row r="2603" customFormat="false" ht="15" hidden="false" customHeight="false" outlineLevel="0" collapsed="false">
      <c r="A2603" s="32" t="str">
        <f aca="false">IF(B2603="","",ROW()-7)</f>
        <v/>
      </c>
      <c r="B2603" s="30"/>
      <c r="C2603" s="29"/>
      <c r="D2603" s="29"/>
      <c r="E2603" s="29"/>
      <c r="F2603" s="30"/>
      <c r="G2603" s="29"/>
      <c r="H2603" s="30"/>
      <c r="I2603" s="29"/>
      <c r="J2603" s="30"/>
      <c r="K2603" s="30"/>
      <c r="L2603" s="29"/>
      <c r="M2603" s="32" t="str">
        <f aca="false">IF(OR(C2603="",L2603=""),"",IF(C2603=L2603,"同一","変更"))</f>
        <v/>
      </c>
      <c r="N2603" s="29"/>
      <c r="O2603" s="30"/>
      <c r="P2603" s="29"/>
      <c r="Q2603" s="31"/>
      <c r="R2603" s="29"/>
      <c r="S2603" s="29"/>
      <c r="T2603" s="30"/>
      <c r="U2603" s="47" t="str">
        <f aca="false">IF(AND(B2603&lt;&gt;"",B2603=SW別シート!$C$3),COUNTIF(B$5:B2603,B2603),"")</f>
        <v/>
      </c>
      <c r="V2603" s="47" t="n">
        <f aca="false">V2602+IF(OR(O2603&lt;&gt;"",W2603&lt;&gt;""),1,0)</f>
        <v>3</v>
      </c>
      <c r="W2603" s="29"/>
    </row>
    <row r="2604" customFormat="false" ht="15" hidden="false" customHeight="false" outlineLevel="0" collapsed="false">
      <c r="A2604" s="32" t="str">
        <f aca="false">IF(B2604="","",ROW()-7)</f>
        <v/>
      </c>
      <c r="B2604" s="30"/>
      <c r="C2604" s="29"/>
      <c r="D2604" s="29"/>
      <c r="E2604" s="29"/>
      <c r="F2604" s="30"/>
      <c r="G2604" s="29"/>
      <c r="H2604" s="30"/>
      <c r="I2604" s="29"/>
      <c r="J2604" s="30"/>
      <c r="K2604" s="30"/>
      <c r="L2604" s="29"/>
      <c r="M2604" s="32" t="str">
        <f aca="false">IF(OR(C2604="",L2604=""),"",IF(C2604=L2604,"同一","変更"))</f>
        <v/>
      </c>
      <c r="N2604" s="29"/>
      <c r="O2604" s="30"/>
      <c r="P2604" s="29"/>
      <c r="Q2604" s="31"/>
      <c r="R2604" s="29"/>
      <c r="S2604" s="29"/>
      <c r="T2604" s="30"/>
      <c r="U2604" s="47" t="str">
        <f aca="false">IF(AND(B2604&lt;&gt;"",B2604=SW別シート!$C$3),COUNTIF(B$5:B2604,B2604),"")</f>
        <v/>
      </c>
      <c r="V2604" s="47" t="n">
        <f aca="false">V2603+IF(OR(O2604&lt;&gt;"",W2604&lt;&gt;""),1,0)</f>
        <v>3</v>
      </c>
      <c r="W2604" s="29"/>
    </row>
    <row r="2605" customFormat="false" ht="15" hidden="false" customHeight="false" outlineLevel="0" collapsed="false">
      <c r="A2605" s="32" t="str">
        <f aca="false">IF(B2605="","",ROW()-7)</f>
        <v/>
      </c>
      <c r="B2605" s="30"/>
      <c r="C2605" s="29"/>
      <c r="D2605" s="29"/>
      <c r="E2605" s="29"/>
      <c r="F2605" s="30"/>
      <c r="G2605" s="29"/>
      <c r="H2605" s="30"/>
      <c r="I2605" s="29"/>
      <c r="J2605" s="30"/>
      <c r="K2605" s="30"/>
      <c r="L2605" s="29"/>
      <c r="M2605" s="32" t="str">
        <f aca="false">IF(OR(C2605="",L2605=""),"",IF(C2605=L2605,"同一","変更"))</f>
        <v/>
      </c>
      <c r="N2605" s="29"/>
      <c r="O2605" s="30"/>
      <c r="P2605" s="29"/>
      <c r="Q2605" s="31"/>
      <c r="R2605" s="29"/>
      <c r="S2605" s="29"/>
      <c r="T2605" s="30"/>
      <c r="U2605" s="47" t="str">
        <f aca="false">IF(AND(B2605&lt;&gt;"",B2605=SW別シート!$C$3),COUNTIF(B$5:B2605,B2605),"")</f>
        <v/>
      </c>
      <c r="V2605" s="47" t="n">
        <f aca="false">V2604+IF(OR(O2605&lt;&gt;"",W2605&lt;&gt;""),1,0)</f>
        <v>3</v>
      </c>
      <c r="W2605" s="29"/>
    </row>
    <row r="2606" customFormat="false" ht="15" hidden="false" customHeight="false" outlineLevel="0" collapsed="false">
      <c r="A2606" s="32" t="str">
        <f aca="false">IF(B2606="","",ROW()-7)</f>
        <v/>
      </c>
      <c r="B2606" s="30"/>
      <c r="C2606" s="29"/>
      <c r="D2606" s="29"/>
      <c r="E2606" s="29"/>
      <c r="F2606" s="30"/>
      <c r="G2606" s="29"/>
      <c r="H2606" s="30"/>
      <c r="I2606" s="29"/>
      <c r="J2606" s="30"/>
      <c r="K2606" s="30"/>
      <c r="L2606" s="29"/>
      <c r="M2606" s="32" t="str">
        <f aca="false">IF(OR(C2606="",L2606=""),"",IF(C2606=L2606,"同一","変更"))</f>
        <v/>
      </c>
      <c r="N2606" s="29"/>
      <c r="O2606" s="30"/>
      <c r="P2606" s="29"/>
      <c r="Q2606" s="31"/>
      <c r="R2606" s="29"/>
      <c r="S2606" s="29"/>
      <c r="T2606" s="30"/>
      <c r="U2606" s="47" t="str">
        <f aca="false">IF(AND(B2606&lt;&gt;"",B2606=SW別シート!$C$3),COUNTIF(B$5:B2606,B2606),"")</f>
        <v/>
      </c>
      <c r="V2606" s="47" t="n">
        <f aca="false">V2605+IF(OR(O2606&lt;&gt;"",W2606&lt;&gt;""),1,0)</f>
        <v>3</v>
      </c>
      <c r="W2606" s="29"/>
    </row>
    <row r="2607" customFormat="false" ht="15" hidden="false" customHeight="false" outlineLevel="0" collapsed="false">
      <c r="A2607" s="32" t="str">
        <f aca="false">IF(B2607="","",ROW()-7)</f>
        <v/>
      </c>
      <c r="B2607" s="30"/>
      <c r="C2607" s="29"/>
      <c r="D2607" s="29"/>
      <c r="E2607" s="29"/>
      <c r="F2607" s="30"/>
      <c r="G2607" s="29"/>
      <c r="H2607" s="30"/>
      <c r="I2607" s="29"/>
      <c r="J2607" s="30"/>
      <c r="K2607" s="30"/>
      <c r="L2607" s="29"/>
      <c r="M2607" s="32" t="str">
        <f aca="false">IF(OR(C2607="",L2607=""),"",IF(C2607=L2607,"同一","変更"))</f>
        <v/>
      </c>
      <c r="N2607" s="29"/>
      <c r="O2607" s="30"/>
      <c r="P2607" s="29"/>
      <c r="Q2607" s="31"/>
      <c r="R2607" s="29"/>
      <c r="S2607" s="29"/>
      <c r="T2607" s="30"/>
      <c r="U2607" s="47" t="str">
        <f aca="false">IF(AND(B2607&lt;&gt;"",B2607=SW別シート!$C$3),COUNTIF(B$5:B2607,B2607),"")</f>
        <v/>
      </c>
      <c r="V2607" s="47" t="n">
        <f aca="false">V2606+IF(OR(O2607&lt;&gt;"",W2607&lt;&gt;""),1,0)</f>
        <v>3</v>
      </c>
      <c r="W2607" s="29"/>
    </row>
    <row r="2608" customFormat="false" ht="15" hidden="false" customHeight="false" outlineLevel="0" collapsed="false">
      <c r="A2608" s="32" t="str">
        <f aca="false">IF(B2608="","",ROW()-7)</f>
        <v/>
      </c>
      <c r="B2608" s="30"/>
      <c r="C2608" s="29"/>
      <c r="D2608" s="29"/>
      <c r="E2608" s="29"/>
      <c r="F2608" s="30"/>
      <c r="G2608" s="29"/>
      <c r="H2608" s="30"/>
      <c r="I2608" s="29"/>
      <c r="J2608" s="30"/>
      <c r="K2608" s="30"/>
      <c r="L2608" s="29"/>
      <c r="M2608" s="32" t="str">
        <f aca="false">IF(OR(C2608="",L2608=""),"",IF(C2608=L2608,"同一","変更"))</f>
        <v/>
      </c>
      <c r="N2608" s="29"/>
      <c r="O2608" s="30"/>
      <c r="P2608" s="29"/>
      <c r="Q2608" s="31"/>
      <c r="R2608" s="29"/>
      <c r="S2608" s="29"/>
      <c r="T2608" s="30"/>
      <c r="U2608" s="47" t="str">
        <f aca="false">IF(AND(B2608&lt;&gt;"",B2608=SW別シート!$C$3),COUNTIF(B$5:B2608,B2608),"")</f>
        <v/>
      </c>
      <c r="V2608" s="47" t="n">
        <f aca="false">V2607+IF(OR(O2608&lt;&gt;"",W2608&lt;&gt;""),1,0)</f>
        <v>3</v>
      </c>
      <c r="W2608" s="29"/>
    </row>
    <row r="2609" customFormat="false" ht="15" hidden="false" customHeight="false" outlineLevel="0" collapsed="false">
      <c r="A2609" s="32" t="str">
        <f aca="false">IF(B2609="","",ROW()-7)</f>
        <v/>
      </c>
      <c r="B2609" s="30"/>
      <c r="C2609" s="29"/>
      <c r="D2609" s="29"/>
      <c r="E2609" s="29"/>
      <c r="F2609" s="30"/>
      <c r="G2609" s="29"/>
      <c r="H2609" s="30"/>
      <c r="I2609" s="29"/>
      <c r="J2609" s="30"/>
      <c r="K2609" s="30"/>
      <c r="L2609" s="29"/>
      <c r="M2609" s="32" t="str">
        <f aca="false">IF(OR(C2609="",L2609=""),"",IF(C2609=L2609,"同一","変更"))</f>
        <v/>
      </c>
      <c r="N2609" s="29"/>
      <c r="O2609" s="30"/>
      <c r="P2609" s="29"/>
      <c r="Q2609" s="31"/>
      <c r="R2609" s="29"/>
      <c r="S2609" s="29"/>
      <c r="T2609" s="30"/>
      <c r="U2609" s="47" t="str">
        <f aca="false">IF(AND(B2609&lt;&gt;"",B2609=SW別シート!$C$3),COUNTIF(B$5:B2609,B2609),"")</f>
        <v/>
      </c>
      <c r="V2609" s="47" t="n">
        <f aca="false">V2608+IF(OR(O2609&lt;&gt;"",W2609&lt;&gt;""),1,0)</f>
        <v>3</v>
      </c>
      <c r="W2609" s="29"/>
    </row>
    <row r="2610" customFormat="false" ht="15" hidden="false" customHeight="false" outlineLevel="0" collapsed="false">
      <c r="A2610" s="32" t="str">
        <f aca="false">IF(B2610="","",ROW()-7)</f>
        <v/>
      </c>
      <c r="B2610" s="30"/>
      <c r="C2610" s="29"/>
      <c r="D2610" s="29"/>
      <c r="E2610" s="29"/>
      <c r="F2610" s="30"/>
      <c r="G2610" s="29"/>
      <c r="H2610" s="30"/>
      <c r="I2610" s="29"/>
      <c r="J2610" s="30"/>
      <c r="K2610" s="30"/>
      <c r="L2610" s="29"/>
      <c r="M2610" s="32" t="str">
        <f aca="false">IF(OR(C2610="",L2610=""),"",IF(C2610=L2610,"同一","変更"))</f>
        <v/>
      </c>
      <c r="N2610" s="29"/>
      <c r="O2610" s="30"/>
      <c r="P2610" s="29"/>
      <c r="Q2610" s="31"/>
      <c r="R2610" s="29"/>
      <c r="S2610" s="29"/>
      <c r="T2610" s="30"/>
      <c r="U2610" s="47" t="str">
        <f aca="false">IF(AND(B2610&lt;&gt;"",B2610=SW別シート!$C$3),COUNTIF(B$5:B2610,B2610),"")</f>
        <v/>
      </c>
      <c r="V2610" s="47" t="n">
        <f aca="false">V2609+IF(OR(O2610&lt;&gt;"",W2610&lt;&gt;""),1,0)</f>
        <v>3</v>
      </c>
      <c r="W2610" s="29"/>
    </row>
    <row r="2611" customFormat="false" ht="15" hidden="false" customHeight="false" outlineLevel="0" collapsed="false">
      <c r="A2611" s="32" t="str">
        <f aca="false">IF(B2611="","",ROW()-7)</f>
        <v/>
      </c>
      <c r="B2611" s="30"/>
      <c r="C2611" s="29"/>
      <c r="D2611" s="29"/>
      <c r="E2611" s="29"/>
      <c r="F2611" s="30"/>
      <c r="G2611" s="29"/>
      <c r="H2611" s="30"/>
      <c r="I2611" s="29"/>
      <c r="J2611" s="30"/>
      <c r="K2611" s="30"/>
      <c r="L2611" s="29"/>
      <c r="M2611" s="32" t="str">
        <f aca="false">IF(OR(C2611="",L2611=""),"",IF(C2611=L2611,"同一","変更"))</f>
        <v/>
      </c>
      <c r="N2611" s="29"/>
      <c r="O2611" s="30"/>
      <c r="P2611" s="29"/>
      <c r="Q2611" s="31"/>
      <c r="R2611" s="29"/>
      <c r="S2611" s="29"/>
      <c r="T2611" s="30"/>
      <c r="U2611" s="47" t="str">
        <f aca="false">IF(AND(B2611&lt;&gt;"",B2611=SW別シート!$C$3),COUNTIF(B$5:B2611,B2611),"")</f>
        <v/>
      </c>
      <c r="V2611" s="47" t="n">
        <f aca="false">V2610+IF(OR(O2611&lt;&gt;"",W2611&lt;&gt;""),1,0)</f>
        <v>3</v>
      </c>
      <c r="W2611" s="29"/>
    </row>
    <row r="2612" customFormat="false" ht="15" hidden="false" customHeight="false" outlineLevel="0" collapsed="false">
      <c r="A2612" s="32" t="str">
        <f aca="false">IF(B2612="","",ROW()-7)</f>
        <v/>
      </c>
      <c r="B2612" s="30"/>
      <c r="C2612" s="29"/>
      <c r="D2612" s="29"/>
      <c r="E2612" s="29"/>
      <c r="F2612" s="30"/>
      <c r="G2612" s="29"/>
      <c r="H2612" s="30"/>
      <c r="I2612" s="29"/>
      <c r="J2612" s="30"/>
      <c r="K2612" s="30"/>
      <c r="L2612" s="29"/>
      <c r="M2612" s="32" t="str">
        <f aca="false">IF(OR(C2612="",L2612=""),"",IF(C2612=L2612,"同一","変更"))</f>
        <v/>
      </c>
      <c r="N2612" s="29"/>
      <c r="O2612" s="30"/>
      <c r="P2612" s="29"/>
      <c r="Q2612" s="31"/>
      <c r="R2612" s="29"/>
      <c r="S2612" s="29"/>
      <c r="T2612" s="30"/>
      <c r="U2612" s="47" t="str">
        <f aca="false">IF(AND(B2612&lt;&gt;"",B2612=SW別シート!$C$3),COUNTIF(B$5:B2612,B2612),"")</f>
        <v/>
      </c>
      <c r="V2612" s="47" t="n">
        <f aca="false">V2611+IF(OR(O2612&lt;&gt;"",W2612&lt;&gt;""),1,0)</f>
        <v>3</v>
      </c>
      <c r="W2612" s="29"/>
    </row>
    <row r="2613" customFormat="false" ht="15" hidden="false" customHeight="false" outlineLevel="0" collapsed="false">
      <c r="A2613" s="32" t="str">
        <f aca="false">IF(B2613="","",ROW()-7)</f>
        <v/>
      </c>
      <c r="B2613" s="30"/>
      <c r="C2613" s="29"/>
      <c r="D2613" s="29"/>
      <c r="E2613" s="29"/>
      <c r="F2613" s="30"/>
      <c r="G2613" s="29"/>
      <c r="H2613" s="30"/>
      <c r="I2613" s="29"/>
      <c r="J2613" s="30"/>
      <c r="K2613" s="30"/>
      <c r="L2613" s="29"/>
      <c r="M2613" s="32" t="str">
        <f aca="false">IF(OR(C2613="",L2613=""),"",IF(C2613=L2613,"同一","変更"))</f>
        <v/>
      </c>
      <c r="N2613" s="29"/>
      <c r="O2613" s="30"/>
      <c r="P2613" s="29"/>
      <c r="Q2613" s="31"/>
      <c r="R2613" s="29"/>
      <c r="S2613" s="29"/>
      <c r="T2613" s="30"/>
      <c r="U2613" s="47" t="str">
        <f aca="false">IF(AND(B2613&lt;&gt;"",B2613=SW別シート!$C$3),COUNTIF(B$5:B2613,B2613),"")</f>
        <v/>
      </c>
      <c r="V2613" s="47" t="n">
        <f aca="false">V2612+IF(OR(O2613&lt;&gt;"",W2613&lt;&gt;""),1,0)</f>
        <v>3</v>
      </c>
      <c r="W2613" s="29"/>
    </row>
    <row r="2614" customFormat="false" ht="15" hidden="false" customHeight="false" outlineLevel="0" collapsed="false">
      <c r="A2614" s="32" t="str">
        <f aca="false">IF(B2614="","",ROW()-7)</f>
        <v/>
      </c>
      <c r="B2614" s="30"/>
      <c r="C2614" s="29"/>
      <c r="D2614" s="29"/>
      <c r="E2614" s="29"/>
      <c r="F2614" s="30"/>
      <c r="G2614" s="29"/>
      <c r="H2614" s="30"/>
      <c r="I2614" s="29"/>
      <c r="J2614" s="30"/>
      <c r="K2614" s="30"/>
      <c r="L2614" s="29"/>
      <c r="M2614" s="32" t="str">
        <f aca="false">IF(OR(C2614="",L2614=""),"",IF(C2614=L2614,"同一","変更"))</f>
        <v/>
      </c>
      <c r="N2614" s="29"/>
      <c r="O2614" s="30"/>
      <c r="P2614" s="29"/>
      <c r="Q2614" s="31"/>
      <c r="R2614" s="29"/>
      <c r="S2614" s="29"/>
      <c r="T2614" s="30"/>
      <c r="U2614" s="47" t="str">
        <f aca="false">IF(AND(B2614&lt;&gt;"",B2614=SW別シート!$C$3),COUNTIF(B$5:B2614,B2614),"")</f>
        <v/>
      </c>
      <c r="V2614" s="47" t="n">
        <f aca="false">V2613+IF(OR(O2614&lt;&gt;"",W2614&lt;&gt;""),1,0)</f>
        <v>3</v>
      </c>
      <c r="W2614" s="29"/>
    </row>
    <row r="2615" customFormat="false" ht="15" hidden="false" customHeight="false" outlineLevel="0" collapsed="false">
      <c r="A2615" s="32" t="str">
        <f aca="false">IF(B2615="","",ROW()-7)</f>
        <v/>
      </c>
      <c r="B2615" s="30"/>
      <c r="C2615" s="29"/>
      <c r="D2615" s="29"/>
      <c r="E2615" s="29"/>
      <c r="F2615" s="30"/>
      <c r="G2615" s="29"/>
      <c r="H2615" s="30"/>
      <c r="I2615" s="29"/>
      <c r="J2615" s="30"/>
      <c r="K2615" s="30"/>
      <c r="L2615" s="29"/>
      <c r="M2615" s="32" t="str">
        <f aca="false">IF(OR(C2615="",L2615=""),"",IF(C2615=L2615,"同一","変更"))</f>
        <v/>
      </c>
      <c r="N2615" s="29"/>
      <c r="O2615" s="30"/>
      <c r="P2615" s="29"/>
      <c r="Q2615" s="31"/>
      <c r="R2615" s="29"/>
      <c r="S2615" s="29"/>
      <c r="T2615" s="30"/>
      <c r="U2615" s="47" t="str">
        <f aca="false">IF(AND(B2615&lt;&gt;"",B2615=SW別シート!$C$3),COUNTIF(B$5:B2615,B2615),"")</f>
        <v/>
      </c>
      <c r="V2615" s="47" t="n">
        <f aca="false">V2614+IF(OR(O2615&lt;&gt;"",W2615&lt;&gt;""),1,0)</f>
        <v>3</v>
      </c>
      <c r="W2615" s="29"/>
    </row>
    <row r="2616" customFormat="false" ht="15" hidden="false" customHeight="false" outlineLevel="0" collapsed="false">
      <c r="A2616" s="32" t="str">
        <f aca="false">IF(B2616="","",ROW()-7)</f>
        <v/>
      </c>
      <c r="B2616" s="30"/>
      <c r="C2616" s="29"/>
      <c r="D2616" s="29"/>
      <c r="E2616" s="29"/>
      <c r="F2616" s="30"/>
      <c r="G2616" s="29"/>
      <c r="H2616" s="30"/>
      <c r="I2616" s="29"/>
      <c r="J2616" s="30"/>
      <c r="K2616" s="30"/>
      <c r="L2616" s="29"/>
      <c r="M2616" s="32" t="str">
        <f aca="false">IF(OR(C2616="",L2616=""),"",IF(C2616=L2616,"同一","変更"))</f>
        <v/>
      </c>
      <c r="N2616" s="29"/>
      <c r="O2616" s="30"/>
      <c r="P2616" s="29"/>
      <c r="Q2616" s="31"/>
      <c r="R2616" s="29"/>
      <c r="S2616" s="29"/>
      <c r="T2616" s="30"/>
      <c r="U2616" s="47" t="str">
        <f aca="false">IF(AND(B2616&lt;&gt;"",B2616=SW別シート!$C$3),COUNTIF(B$5:B2616,B2616),"")</f>
        <v/>
      </c>
      <c r="V2616" s="47" t="n">
        <f aca="false">V2615+IF(OR(O2616&lt;&gt;"",W2616&lt;&gt;""),1,0)</f>
        <v>3</v>
      </c>
      <c r="W2616" s="29"/>
    </row>
    <row r="2617" customFormat="false" ht="15" hidden="false" customHeight="false" outlineLevel="0" collapsed="false">
      <c r="A2617" s="32" t="str">
        <f aca="false">IF(B2617="","",ROW()-7)</f>
        <v/>
      </c>
      <c r="B2617" s="30"/>
      <c r="C2617" s="29"/>
      <c r="D2617" s="29"/>
      <c r="E2617" s="29"/>
      <c r="F2617" s="30"/>
      <c r="G2617" s="29"/>
      <c r="H2617" s="30"/>
      <c r="I2617" s="29"/>
      <c r="J2617" s="30"/>
      <c r="K2617" s="30"/>
      <c r="L2617" s="29"/>
      <c r="M2617" s="32" t="str">
        <f aca="false">IF(OR(C2617="",L2617=""),"",IF(C2617=L2617,"同一","変更"))</f>
        <v/>
      </c>
      <c r="N2617" s="29"/>
      <c r="O2617" s="30"/>
      <c r="P2617" s="29"/>
      <c r="Q2617" s="31"/>
      <c r="R2617" s="29"/>
      <c r="S2617" s="29"/>
      <c r="T2617" s="30"/>
      <c r="U2617" s="47" t="str">
        <f aca="false">IF(AND(B2617&lt;&gt;"",B2617=SW別シート!$C$3),COUNTIF(B$5:B2617,B2617),"")</f>
        <v/>
      </c>
      <c r="V2617" s="47" t="n">
        <f aca="false">V2616+IF(OR(O2617&lt;&gt;"",W2617&lt;&gt;""),1,0)</f>
        <v>3</v>
      </c>
      <c r="W2617" s="29"/>
    </row>
    <row r="2618" customFormat="false" ht="15" hidden="false" customHeight="false" outlineLevel="0" collapsed="false">
      <c r="A2618" s="32" t="str">
        <f aca="false">IF(B2618="","",ROW()-7)</f>
        <v/>
      </c>
      <c r="B2618" s="30"/>
      <c r="C2618" s="29"/>
      <c r="D2618" s="29"/>
      <c r="E2618" s="29"/>
      <c r="F2618" s="30"/>
      <c r="G2618" s="29"/>
      <c r="H2618" s="30"/>
      <c r="I2618" s="29"/>
      <c r="J2618" s="30"/>
      <c r="K2618" s="30"/>
      <c r="L2618" s="29"/>
      <c r="M2618" s="32" t="str">
        <f aca="false">IF(OR(C2618="",L2618=""),"",IF(C2618=L2618,"同一","変更"))</f>
        <v/>
      </c>
      <c r="N2618" s="29"/>
      <c r="O2618" s="30"/>
      <c r="P2618" s="29"/>
      <c r="Q2618" s="31"/>
      <c r="R2618" s="29"/>
      <c r="S2618" s="29"/>
      <c r="T2618" s="30"/>
      <c r="U2618" s="47" t="str">
        <f aca="false">IF(AND(B2618&lt;&gt;"",B2618=SW別シート!$C$3),COUNTIF(B$5:B2618,B2618),"")</f>
        <v/>
      </c>
      <c r="V2618" s="47" t="n">
        <f aca="false">V2617+IF(OR(O2618&lt;&gt;"",W2618&lt;&gt;""),1,0)</f>
        <v>3</v>
      </c>
      <c r="W2618" s="29"/>
    </row>
    <row r="2619" customFormat="false" ht="15" hidden="false" customHeight="false" outlineLevel="0" collapsed="false">
      <c r="A2619" s="32" t="str">
        <f aca="false">IF(B2619="","",ROW()-7)</f>
        <v/>
      </c>
      <c r="B2619" s="30"/>
      <c r="C2619" s="29"/>
      <c r="D2619" s="29"/>
      <c r="E2619" s="29"/>
      <c r="F2619" s="30"/>
      <c r="G2619" s="29"/>
      <c r="H2619" s="30"/>
      <c r="I2619" s="29"/>
      <c r="J2619" s="30"/>
      <c r="K2619" s="30"/>
      <c r="L2619" s="29"/>
      <c r="M2619" s="32" t="str">
        <f aca="false">IF(OR(C2619="",L2619=""),"",IF(C2619=L2619,"同一","変更"))</f>
        <v/>
      </c>
      <c r="N2619" s="29"/>
      <c r="O2619" s="30"/>
      <c r="P2619" s="29"/>
      <c r="Q2619" s="31"/>
      <c r="R2619" s="29"/>
      <c r="S2619" s="29"/>
      <c r="T2619" s="30"/>
      <c r="U2619" s="47" t="str">
        <f aca="false">IF(AND(B2619&lt;&gt;"",B2619=SW別シート!$C$3),COUNTIF(B$5:B2619,B2619),"")</f>
        <v/>
      </c>
      <c r="V2619" s="47" t="n">
        <f aca="false">V2618+IF(OR(O2619&lt;&gt;"",W2619&lt;&gt;""),1,0)</f>
        <v>3</v>
      </c>
      <c r="W2619" s="29"/>
    </row>
    <row r="2620" customFormat="false" ht="15" hidden="false" customHeight="false" outlineLevel="0" collapsed="false">
      <c r="A2620" s="32" t="str">
        <f aca="false">IF(B2620="","",ROW()-7)</f>
        <v/>
      </c>
      <c r="B2620" s="30"/>
      <c r="C2620" s="29"/>
      <c r="D2620" s="29"/>
      <c r="E2620" s="29"/>
      <c r="F2620" s="30"/>
      <c r="G2620" s="29"/>
      <c r="H2620" s="30"/>
      <c r="I2620" s="29"/>
      <c r="J2620" s="30"/>
      <c r="K2620" s="30"/>
      <c r="L2620" s="29"/>
      <c r="M2620" s="32" t="str">
        <f aca="false">IF(OR(C2620="",L2620=""),"",IF(C2620=L2620,"同一","変更"))</f>
        <v/>
      </c>
      <c r="N2620" s="29"/>
      <c r="O2620" s="30"/>
      <c r="P2620" s="29"/>
      <c r="Q2620" s="31"/>
      <c r="R2620" s="29"/>
      <c r="S2620" s="29"/>
      <c r="T2620" s="30"/>
      <c r="U2620" s="47" t="str">
        <f aca="false">IF(AND(B2620&lt;&gt;"",B2620=SW別シート!$C$3),COUNTIF(B$5:B2620,B2620),"")</f>
        <v/>
      </c>
      <c r="V2620" s="47" t="n">
        <f aca="false">V2619+IF(OR(O2620&lt;&gt;"",W2620&lt;&gt;""),1,0)</f>
        <v>3</v>
      </c>
      <c r="W2620" s="29"/>
    </row>
    <row r="2621" customFormat="false" ht="15" hidden="false" customHeight="false" outlineLevel="0" collapsed="false">
      <c r="A2621" s="32" t="str">
        <f aca="false">IF(B2621="","",ROW()-7)</f>
        <v/>
      </c>
      <c r="B2621" s="30"/>
      <c r="C2621" s="29"/>
      <c r="D2621" s="29"/>
      <c r="E2621" s="29"/>
      <c r="F2621" s="30"/>
      <c r="G2621" s="29"/>
      <c r="H2621" s="30"/>
      <c r="I2621" s="29"/>
      <c r="J2621" s="30"/>
      <c r="K2621" s="30"/>
      <c r="L2621" s="29"/>
      <c r="M2621" s="32" t="str">
        <f aca="false">IF(OR(C2621="",L2621=""),"",IF(C2621=L2621,"同一","変更"))</f>
        <v/>
      </c>
      <c r="N2621" s="29"/>
      <c r="O2621" s="30"/>
      <c r="P2621" s="29"/>
      <c r="Q2621" s="31"/>
      <c r="R2621" s="29"/>
      <c r="S2621" s="29"/>
      <c r="T2621" s="30"/>
      <c r="U2621" s="47" t="str">
        <f aca="false">IF(AND(B2621&lt;&gt;"",B2621=SW別シート!$C$3),COUNTIF(B$5:B2621,B2621),"")</f>
        <v/>
      </c>
      <c r="V2621" s="47" t="n">
        <f aca="false">V2620+IF(OR(O2621&lt;&gt;"",W2621&lt;&gt;""),1,0)</f>
        <v>3</v>
      </c>
      <c r="W2621" s="29"/>
    </row>
    <row r="2622" customFormat="false" ht="15" hidden="false" customHeight="false" outlineLevel="0" collapsed="false">
      <c r="A2622" s="32" t="str">
        <f aca="false">IF(B2622="","",ROW()-7)</f>
        <v/>
      </c>
      <c r="B2622" s="30"/>
      <c r="C2622" s="29"/>
      <c r="D2622" s="29"/>
      <c r="E2622" s="29"/>
      <c r="F2622" s="30"/>
      <c r="G2622" s="29"/>
      <c r="H2622" s="30"/>
      <c r="I2622" s="29"/>
      <c r="J2622" s="30"/>
      <c r="K2622" s="30"/>
      <c r="L2622" s="29"/>
      <c r="M2622" s="32" t="str">
        <f aca="false">IF(OR(C2622="",L2622=""),"",IF(C2622=L2622,"同一","変更"))</f>
        <v/>
      </c>
      <c r="N2622" s="29"/>
      <c r="O2622" s="30"/>
      <c r="P2622" s="29"/>
      <c r="Q2622" s="31"/>
      <c r="R2622" s="29"/>
      <c r="S2622" s="29"/>
      <c r="T2622" s="30"/>
      <c r="U2622" s="47" t="str">
        <f aca="false">IF(AND(B2622&lt;&gt;"",B2622=SW別シート!$C$3),COUNTIF(B$5:B2622,B2622),"")</f>
        <v/>
      </c>
      <c r="V2622" s="47" t="n">
        <f aca="false">V2621+IF(OR(O2622&lt;&gt;"",W2622&lt;&gt;""),1,0)</f>
        <v>3</v>
      </c>
      <c r="W2622" s="29"/>
    </row>
    <row r="2623" customFormat="false" ht="15" hidden="false" customHeight="false" outlineLevel="0" collapsed="false">
      <c r="A2623" s="32" t="str">
        <f aca="false">IF(B2623="","",ROW()-7)</f>
        <v/>
      </c>
      <c r="B2623" s="30"/>
      <c r="C2623" s="29"/>
      <c r="D2623" s="29"/>
      <c r="E2623" s="29"/>
      <c r="F2623" s="30"/>
      <c r="G2623" s="29"/>
      <c r="H2623" s="30"/>
      <c r="I2623" s="29"/>
      <c r="J2623" s="30"/>
      <c r="K2623" s="30"/>
      <c r="L2623" s="29"/>
      <c r="M2623" s="32" t="str">
        <f aca="false">IF(OR(C2623="",L2623=""),"",IF(C2623=L2623,"同一","変更"))</f>
        <v/>
      </c>
      <c r="N2623" s="29"/>
      <c r="O2623" s="30"/>
      <c r="P2623" s="29"/>
      <c r="Q2623" s="31"/>
      <c r="R2623" s="29"/>
      <c r="S2623" s="29"/>
      <c r="T2623" s="30"/>
      <c r="U2623" s="47" t="str">
        <f aca="false">IF(AND(B2623&lt;&gt;"",B2623=SW別シート!$C$3),COUNTIF(B$5:B2623,B2623),"")</f>
        <v/>
      </c>
      <c r="V2623" s="47" t="n">
        <f aca="false">V2622+IF(OR(O2623&lt;&gt;"",W2623&lt;&gt;""),1,0)</f>
        <v>3</v>
      </c>
      <c r="W2623" s="29"/>
    </row>
    <row r="2624" customFormat="false" ht="15" hidden="false" customHeight="false" outlineLevel="0" collapsed="false">
      <c r="A2624" s="32" t="str">
        <f aca="false">IF(B2624="","",ROW()-7)</f>
        <v/>
      </c>
      <c r="B2624" s="30"/>
      <c r="C2624" s="29"/>
      <c r="D2624" s="29"/>
      <c r="E2624" s="29"/>
      <c r="F2624" s="30"/>
      <c r="G2624" s="29"/>
      <c r="H2624" s="30"/>
      <c r="I2624" s="29"/>
      <c r="J2624" s="30"/>
      <c r="K2624" s="30"/>
      <c r="L2624" s="29"/>
      <c r="M2624" s="32" t="str">
        <f aca="false">IF(OR(C2624="",L2624=""),"",IF(C2624=L2624,"同一","変更"))</f>
        <v/>
      </c>
      <c r="N2624" s="29"/>
      <c r="O2624" s="30"/>
      <c r="P2624" s="29"/>
      <c r="Q2624" s="31"/>
      <c r="R2624" s="29"/>
      <c r="S2624" s="29"/>
      <c r="T2624" s="30"/>
      <c r="U2624" s="47" t="str">
        <f aca="false">IF(AND(B2624&lt;&gt;"",B2624=SW別シート!$C$3),COUNTIF(B$5:B2624,B2624),"")</f>
        <v/>
      </c>
      <c r="V2624" s="47" t="n">
        <f aca="false">V2623+IF(OR(O2624&lt;&gt;"",W2624&lt;&gt;""),1,0)</f>
        <v>3</v>
      </c>
      <c r="W2624" s="29"/>
    </row>
    <row r="2625" customFormat="false" ht="15" hidden="false" customHeight="false" outlineLevel="0" collapsed="false">
      <c r="A2625" s="32" t="str">
        <f aca="false">IF(B2625="","",ROW()-7)</f>
        <v/>
      </c>
      <c r="B2625" s="30"/>
      <c r="C2625" s="29"/>
      <c r="D2625" s="29"/>
      <c r="E2625" s="29"/>
      <c r="F2625" s="30"/>
      <c r="G2625" s="29"/>
      <c r="H2625" s="30"/>
      <c r="I2625" s="29"/>
      <c r="J2625" s="30"/>
      <c r="K2625" s="30"/>
      <c r="L2625" s="29"/>
      <c r="M2625" s="32" t="str">
        <f aca="false">IF(OR(C2625="",L2625=""),"",IF(C2625=L2625,"同一","変更"))</f>
        <v/>
      </c>
      <c r="N2625" s="29"/>
      <c r="O2625" s="30"/>
      <c r="P2625" s="29"/>
      <c r="Q2625" s="31"/>
      <c r="R2625" s="29"/>
      <c r="S2625" s="29"/>
      <c r="T2625" s="30"/>
      <c r="U2625" s="47" t="str">
        <f aca="false">IF(AND(B2625&lt;&gt;"",B2625=SW別シート!$C$3),COUNTIF(B$5:B2625,B2625),"")</f>
        <v/>
      </c>
      <c r="V2625" s="47" t="n">
        <f aca="false">V2624+IF(OR(O2625&lt;&gt;"",W2625&lt;&gt;""),1,0)</f>
        <v>3</v>
      </c>
      <c r="W2625" s="29"/>
    </row>
    <row r="2626" customFormat="false" ht="15" hidden="false" customHeight="false" outlineLevel="0" collapsed="false">
      <c r="A2626" s="32" t="str">
        <f aca="false">IF(B2626="","",ROW()-7)</f>
        <v/>
      </c>
      <c r="B2626" s="30"/>
      <c r="C2626" s="29"/>
      <c r="D2626" s="29"/>
      <c r="E2626" s="29"/>
      <c r="F2626" s="30"/>
      <c r="G2626" s="29"/>
      <c r="H2626" s="30"/>
      <c r="I2626" s="29"/>
      <c r="J2626" s="30"/>
      <c r="K2626" s="30"/>
      <c r="L2626" s="29"/>
      <c r="M2626" s="32" t="str">
        <f aca="false">IF(OR(C2626="",L2626=""),"",IF(C2626=L2626,"同一","変更"))</f>
        <v/>
      </c>
      <c r="N2626" s="29"/>
      <c r="O2626" s="30"/>
      <c r="P2626" s="29"/>
      <c r="Q2626" s="31"/>
      <c r="R2626" s="29"/>
      <c r="S2626" s="29"/>
      <c r="T2626" s="30"/>
      <c r="U2626" s="47" t="str">
        <f aca="false">IF(AND(B2626&lt;&gt;"",B2626=SW別シート!$C$3),COUNTIF(B$5:B2626,B2626),"")</f>
        <v/>
      </c>
      <c r="V2626" s="47" t="n">
        <f aca="false">V2625+IF(OR(O2626&lt;&gt;"",W2626&lt;&gt;""),1,0)</f>
        <v>3</v>
      </c>
      <c r="W2626" s="29"/>
    </row>
    <row r="2627" customFormat="false" ht="15" hidden="false" customHeight="false" outlineLevel="0" collapsed="false">
      <c r="A2627" s="32" t="str">
        <f aca="false">IF(B2627="","",ROW()-7)</f>
        <v/>
      </c>
      <c r="B2627" s="30"/>
      <c r="C2627" s="29"/>
      <c r="D2627" s="29"/>
      <c r="E2627" s="29"/>
      <c r="F2627" s="30"/>
      <c r="G2627" s="29"/>
      <c r="H2627" s="30"/>
      <c r="I2627" s="29"/>
      <c r="J2627" s="30"/>
      <c r="K2627" s="30"/>
      <c r="L2627" s="29"/>
      <c r="M2627" s="32" t="str">
        <f aca="false">IF(OR(C2627="",L2627=""),"",IF(C2627=L2627,"同一","変更"))</f>
        <v/>
      </c>
      <c r="N2627" s="29"/>
      <c r="O2627" s="30"/>
      <c r="P2627" s="29"/>
      <c r="Q2627" s="31"/>
      <c r="R2627" s="29"/>
      <c r="S2627" s="29"/>
      <c r="T2627" s="30"/>
      <c r="U2627" s="47" t="str">
        <f aca="false">IF(AND(B2627&lt;&gt;"",B2627=SW別シート!$C$3),COUNTIF(B$5:B2627,B2627),"")</f>
        <v/>
      </c>
      <c r="V2627" s="47" t="n">
        <f aca="false">V2626+IF(OR(O2627&lt;&gt;"",W2627&lt;&gt;""),1,0)</f>
        <v>3</v>
      </c>
      <c r="W2627" s="29"/>
    </row>
    <row r="2628" customFormat="false" ht="15" hidden="false" customHeight="false" outlineLevel="0" collapsed="false">
      <c r="A2628" s="32" t="str">
        <f aca="false">IF(B2628="","",ROW()-7)</f>
        <v/>
      </c>
      <c r="B2628" s="30"/>
      <c r="C2628" s="29"/>
      <c r="D2628" s="29"/>
      <c r="E2628" s="29"/>
      <c r="F2628" s="30"/>
      <c r="G2628" s="29"/>
      <c r="H2628" s="30"/>
      <c r="I2628" s="29"/>
      <c r="J2628" s="30"/>
      <c r="K2628" s="30"/>
      <c r="L2628" s="29"/>
      <c r="M2628" s="32" t="str">
        <f aca="false">IF(OR(C2628="",L2628=""),"",IF(C2628=L2628,"同一","変更"))</f>
        <v/>
      </c>
      <c r="N2628" s="29"/>
      <c r="O2628" s="30"/>
      <c r="P2628" s="29"/>
      <c r="Q2628" s="31"/>
      <c r="R2628" s="29"/>
      <c r="S2628" s="29"/>
      <c r="T2628" s="30"/>
      <c r="U2628" s="47" t="str">
        <f aca="false">IF(AND(B2628&lt;&gt;"",B2628=SW別シート!$C$3),COUNTIF(B$5:B2628,B2628),"")</f>
        <v/>
      </c>
      <c r="V2628" s="47" t="n">
        <f aca="false">V2627+IF(OR(O2628&lt;&gt;"",W2628&lt;&gt;""),1,0)</f>
        <v>3</v>
      </c>
      <c r="W2628" s="29"/>
    </row>
    <row r="2629" customFormat="false" ht="15" hidden="false" customHeight="false" outlineLevel="0" collapsed="false">
      <c r="A2629" s="32" t="str">
        <f aca="false">IF(B2629="","",ROW()-7)</f>
        <v/>
      </c>
      <c r="B2629" s="30"/>
      <c r="C2629" s="29"/>
      <c r="D2629" s="29"/>
      <c r="E2629" s="29"/>
      <c r="F2629" s="30"/>
      <c r="G2629" s="29"/>
      <c r="H2629" s="30"/>
      <c r="I2629" s="29"/>
      <c r="J2629" s="30"/>
      <c r="K2629" s="30"/>
      <c r="L2629" s="29"/>
      <c r="M2629" s="32" t="str">
        <f aca="false">IF(OR(C2629="",L2629=""),"",IF(C2629=L2629,"同一","変更"))</f>
        <v/>
      </c>
      <c r="N2629" s="29"/>
      <c r="O2629" s="30"/>
      <c r="P2629" s="29"/>
      <c r="Q2629" s="31"/>
      <c r="R2629" s="29"/>
      <c r="S2629" s="29"/>
      <c r="T2629" s="30"/>
      <c r="U2629" s="47" t="str">
        <f aca="false">IF(AND(B2629&lt;&gt;"",B2629=SW別シート!$C$3),COUNTIF(B$5:B2629,B2629),"")</f>
        <v/>
      </c>
      <c r="V2629" s="47" t="n">
        <f aca="false">V2628+IF(OR(O2629&lt;&gt;"",W2629&lt;&gt;""),1,0)</f>
        <v>3</v>
      </c>
      <c r="W2629" s="29"/>
    </row>
    <row r="2630" customFormat="false" ht="15" hidden="false" customHeight="false" outlineLevel="0" collapsed="false">
      <c r="A2630" s="32" t="str">
        <f aca="false">IF(B2630="","",ROW()-7)</f>
        <v/>
      </c>
      <c r="B2630" s="30"/>
      <c r="C2630" s="29"/>
      <c r="D2630" s="29"/>
      <c r="E2630" s="29"/>
      <c r="F2630" s="30"/>
      <c r="G2630" s="29"/>
      <c r="H2630" s="30"/>
      <c r="I2630" s="29"/>
      <c r="J2630" s="30"/>
      <c r="K2630" s="30"/>
      <c r="L2630" s="29"/>
      <c r="M2630" s="32" t="str">
        <f aca="false">IF(OR(C2630="",L2630=""),"",IF(C2630=L2630,"同一","変更"))</f>
        <v/>
      </c>
      <c r="N2630" s="29"/>
      <c r="O2630" s="30"/>
      <c r="P2630" s="29"/>
      <c r="Q2630" s="31"/>
      <c r="R2630" s="29"/>
      <c r="S2630" s="29"/>
      <c r="T2630" s="30"/>
      <c r="U2630" s="47" t="str">
        <f aca="false">IF(AND(B2630&lt;&gt;"",B2630=SW別シート!$C$3),COUNTIF(B$5:B2630,B2630),"")</f>
        <v/>
      </c>
      <c r="V2630" s="47" t="n">
        <f aca="false">V2629+IF(OR(O2630&lt;&gt;"",W2630&lt;&gt;""),1,0)</f>
        <v>3</v>
      </c>
      <c r="W2630" s="29"/>
    </row>
    <row r="2631" customFormat="false" ht="15" hidden="false" customHeight="false" outlineLevel="0" collapsed="false">
      <c r="A2631" s="32" t="str">
        <f aca="false">IF(B2631="","",ROW()-7)</f>
        <v/>
      </c>
      <c r="B2631" s="30"/>
      <c r="C2631" s="29"/>
      <c r="D2631" s="29"/>
      <c r="E2631" s="29"/>
      <c r="F2631" s="30"/>
      <c r="G2631" s="29"/>
      <c r="H2631" s="30"/>
      <c r="I2631" s="29"/>
      <c r="J2631" s="30"/>
      <c r="K2631" s="30"/>
      <c r="L2631" s="29"/>
      <c r="M2631" s="32" t="str">
        <f aca="false">IF(OR(C2631="",L2631=""),"",IF(C2631=L2631,"同一","変更"))</f>
        <v/>
      </c>
      <c r="N2631" s="29"/>
      <c r="O2631" s="30"/>
      <c r="P2631" s="29"/>
      <c r="Q2631" s="31"/>
      <c r="R2631" s="29"/>
      <c r="S2631" s="29"/>
      <c r="T2631" s="30"/>
      <c r="U2631" s="47" t="str">
        <f aca="false">IF(AND(B2631&lt;&gt;"",B2631=SW別シート!$C$3),COUNTIF(B$5:B2631,B2631),"")</f>
        <v/>
      </c>
      <c r="V2631" s="47" t="n">
        <f aca="false">V2630+IF(OR(O2631&lt;&gt;"",W2631&lt;&gt;""),1,0)</f>
        <v>3</v>
      </c>
      <c r="W2631" s="29"/>
    </row>
    <row r="2632" customFormat="false" ht="15" hidden="false" customHeight="false" outlineLevel="0" collapsed="false">
      <c r="A2632" s="32" t="str">
        <f aca="false">IF(B2632="","",ROW()-7)</f>
        <v/>
      </c>
      <c r="B2632" s="30"/>
      <c r="C2632" s="29"/>
      <c r="D2632" s="29"/>
      <c r="E2632" s="29"/>
      <c r="F2632" s="30"/>
      <c r="G2632" s="29"/>
      <c r="H2632" s="30"/>
      <c r="I2632" s="29"/>
      <c r="J2632" s="30"/>
      <c r="K2632" s="30"/>
      <c r="L2632" s="29"/>
      <c r="M2632" s="32" t="str">
        <f aca="false">IF(OR(C2632="",L2632=""),"",IF(C2632=L2632,"同一","変更"))</f>
        <v/>
      </c>
      <c r="N2632" s="29"/>
      <c r="O2632" s="30"/>
      <c r="P2632" s="29"/>
      <c r="Q2632" s="31"/>
      <c r="R2632" s="29"/>
      <c r="S2632" s="29"/>
      <c r="T2632" s="30"/>
      <c r="U2632" s="47" t="str">
        <f aca="false">IF(AND(B2632&lt;&gt;"",B2632=SW別シート!$C$3),COUNTIF(B$5:B2632,B2632),"")</f>
        <v/>
      </c>
      <c r="V2632" s="47" t="n">
        <f aca="false">V2631+IF(OR(O2632&lt;&gt;"",W2632&lt;&gt;""),1,0)</f>
        <v>3</v>
      </c>
      <c r="W2632" s="29"/>
    </row>
    <row r="2633" customFormat="false" ht="15" hidden="false" customHeight="false" outlineLevel="0" collapsed="false">
      <c r="A2633" s="32" t="str">
        <f aca="false">IF(B2633="","",ROW()-7)</f>
        <v/>
      </c>
      <c r="B2633" s="30"/>
      <c r="C2633" s="29"/>
      <c r="D2633" s="29"/>
      <c r="E2633" s="29"/>
      <c r="F2633" s="30"/>
      <c r="G2633" s="29"/>
      <c r="H2633" s="30"/>
      <c r="I2633" s="29"/>
      <c r="J2633" s="30"/>
      <c r="K2633" s="30"/>
      <c r="L2633" s="29"/>
      <c r="M2633" s="32" t="str">
        <f aca="false">IF(OR(C2633="",L2633=""),"",IF(C2633=L2633,"同一","変更"))</f>
        <v/>
      </c>
      <c r="N2633" s="29"/>
      <c r="O2633" s="30"/>
      <c r="P2633" s="29"/>
      <c r="Q2633" s="31"/>
      <c r="R2633" s="29"/>
      <c r="S2633" s="29"/>
      <c r="T2633" s="30"/>
      <c r="U2633" s="47" t="str">
        <f aca="false">IF(AND(B2633&lt;&gt;"",B2633=SW別シート!$C$3),COUNTIF(B$5:B2633,B2633),"")</f>
        <v/>
      </c>
      <c r="V2633" s="47" t="n">
        <f aca="false">V2632+IF(OR(O2633&lt;&gt;"",W2633&lt;&gt;""),1,0)</f>
        <v>3</v>
      </c>
      <c r="W2633" s="29"/>
    </row>
    <row r="2634" customFormat="false" ht="15" hidden="false" customHeight="false" outlineLevel="0" collapsed="false">
      <c r="A2634" s="32" t="str">
        <f aca="false">IF(B2634="","",ROW()-7)</f>
        <v/>
      </c>
      <c r="B2634" s="30"/>
      <c r="C2634" s="29"/>
      <c r="D2634" s="29"/>
      <c r="E2634" s="29"/>
      <c r="F2634" s="30"/>
      <c r="G2634" s="29"/>
      <c r="H2634" s="30"/>
      <c r="I2634" s="29"/>
      <c r="J2634" s="30"/>
      <c r="K2634" s="30"/>
      <c r="L2634" s="29"/>
      <c r="M2634" s="32" t="str">
        <f aca="false">IF(OR(C2634="",L2634=""),"",IF(C2634=L2634,"同一","変更"))</f>
        <v/>
      </c>
      <c r="N2634" s="29"/>
      <c r="O2634" s="30"/>
      <c r="P2634" s="29"/>
      <c r="Q2634" s="31"/>
      <c r="R2634" s="29"/>
      <c r="S2634" s="29"/>
      <c r="T2634" s="30"/>
      <c r="U2634" s="47" t="str">
        <f aca="false">IF(AND(B2634&lt;&gt;"",B2634=SW別シート!$C$3),COUNTIF(B$5:B2634,B2634),"")</f>
        <v/>
      </c>
      <c r="V2634" s="47" t="n">
        <f aca="false">V2633+IF(OR(O2634&lt;&gt;"",W2634&lt;&gt;""),1,0)</f>
        <v>3</v>
      </c>
      <c r="W2634" s="29"/>
    </row>
    <row r="2635" customFormat="false" ht="15" hidden="false" customHeight="false" outlineLevel="0" collapsed="false">
      <c r="A2635" s="32" t="str">
        <f aca="false">IF(B2635="","",ROW()-7)</f>
        <v/>
      </c>
      <c r="B2635" s="30"/>
      <c r="C2635" s="29"/>
      <c r="D2635" s="29"/>
      <c r="E2635" s="29"/>
      <c r="F2635" s="30"/>
      <c r="G2635" s="29"/>
      <c r="H2635" s="30"/>
      <c r="I2635" s="29"/>
      <c r="J2635" s="30"/>
      <c r="K2635" s="30"/>
      <c r="L2635" s="29"/>
      <c r="M2635" s="32" t="str">
        <f aca="false">IF(OR(C2635="",L2635=""),"",IF(C2635=L2635,"同一","変更"))</f>
        <v/>
      </c>
      <c r="N2635" s="29"/>
      <c r="O2635" s="30"/>
      <c r="P2635" s="29"/>
      <c r="Q2635" s="31"/>
      <c r="R2635" s="29"/>
      <c r="S2635" s="29"/>
      <c r="T2635" s="30"/>
      <c r="U2635" s="47" t="str">
        <f aca="false">IF(AND(B2635&lt;&gt;"",B2635=SW別シート!$C$3),COUNTIF(B$5:B2635,B2635),"")</f>
        <v/>
      </c>
      <c r="V2635" s="47" t="n">
        <f aca="false">V2634+IF(OR(O2635&lt;&gt;"",W2635&lt;&gt;""),1,0)</f>
        <v>3</v>
      </c>
      <c r="W2635" s="29"/>
    </row>
    <row r="2636" customFormat="false" ht="15" hidden="false" customHeight="false" outlineLevel="0" collapsed="false">
      <c r="A2636" s="32" t="str">
        <f aca="false">IF(B2636="","",ROW()-7)</f>
        <v/>
      </c>
      <c r="B2636" s="30"/>
      <c r="C2636" s="29"/>
      <c r="D2636" s="29"/>
      <c r="E2636" s="29"/>
      <c r="F2636" s="30"/>
      <c r="G2636" s="29"/>
      <c r="H2636" s="30"/>
      <c r="I2636" s="29"/>
      <c r="J2636" s="30"/>
      <c r="K2636" s="30"/>
      <c r="L2636" s="29"/>
      <c r="M2636" s="32" t="str">
        <f aca="false">IF(OR(C2636="",L2636=""),"",IF(C2636=L2636,"同一","変更"))</f>
        <v/>
      </c>
      <c r="N2636" s="29"/>
      <c r="O2636" s="30"/>
      <c r="P2636" s="29"/>
      <c r="Q2636" s="31"/>
      <c r="R2636" s="29"/>
      <c r="S2636" s="29"/>
      <c r="T2636" s="30"/>
      <c r="U2636" s="47" t="str">
        <f aca="false">IF(AND(B2636&lt;&gt;"",B2636=SW別シート!$C$3),COUNTIF(B$5:B2636,B2636),"")</f>
        <v/>
      </c>
      <c r="V2636" s="47" t="n">
        <f aca="false">V2635+IF(OR(O2636&lt;&gt;"",W2636&lt;&gt;""),1,0)</f>
        <v>3</v>
      </c>
      <c r="W2636" s="29"/>
    </row>
    <row r="2637" customFormat="false" ht="15" hidden="false" customHeight="false" outlineLevel="0" collapsed="false">
      <c r="A2637" s="32" t="str">
        <f aca="false">IF(B2637="","",ROW()-7)</f>
        <v/>
      </c>
      <c r="B2637" s="30"/>
      <c r="C2637" s="29"/>
      <c r="D2637" s="29"/>
      <c r="E2637" s="29"/>
      <c r="F2637" s="30"/>
      <c r="G2637" s="29"/>
      <c r="H2637" s="30"/>
      <c r="I2637" s="29"/>
      <c r="J2637" s="30"/>
      <c r="K2637" s="30"/>
      <c r="L2637" s="29"/>
      <c r="M2637" s="32" t="str">
        <f aca="false">IF(OR(C2637="",L2637=""),"",IF(C2637=L2637,"同一","変更"))</f>
        <v/>
      </c>
      <c r="N2637" s="29"/>
      <c r="O2637" s="30"/>
      <c r="P2637" s="29"/>
      <c r="Q2637" s="31"/>
      <c r="R2637" s="29"/>
      <c r="S2637" s="29"/>
      <c r="T2637" s="30"/>
      <c r="U2637" s="47" t="str">
        <f aca="false">IF(AND(B2637&lt;&gt;"",B2637=SW別シート!$C$3),COUNTIF(B$5:B2637,B2637),"")</f>
        <v/>
      </c>
      <c r="V2637" s="47" t="n">
        <f aca="false">V2636+IF(OR(O2637&lt;&gt;"",W2637&lt;&gt;""),1,0)</f>
        <v>3</v>
      </c>
      <c r="W2637" s="29"/>
    </row>
    <row r="2638" customFormat="false" ht="15" hidden="false" customHeight="false" outlineLevel="0" collapsed="false">
      <c r="A2638" s="32" t="str">
        <f aca="false">IF(B2638="","",ROW()-7)</f>
        <v/>
      </c>
      <c r="B2638" s="30"/>
      <c r="C2638" s="29"/>
      <c r="D2638" s="29"/>
      <c r="E2638" s="29"/>
      <c r="F2638" s="30"/>
      <c r="G2638" s="29"/>
      <c r="H2638" s="30"/>
      <c r="I2638" s="29"/>
      <c r="J2638" s="30"/>
      <c r="K2638" s="30"/>
      <c r="L2638" s="29"/>
      <c r="M2638" s="32" t="str">
        <f aca="false">IF(OR(C2638="",L2638=""),"",IF(C2638=L2638,"同一","変更"))</f>
        <v/>
      </c>
      <c r="N2638" s="29"/>
      <c r="O2638" s="30"/>
      <c r="P2638" s="29"/>
      <c r="Q2638" s="31"/>
      <c r="R2638" s="29"/>
      <c r="S2638" s="29"/>
      <c r="T2638" s="30"/>
      <c r="U2638" s="47" t="str">
        <f aca="false">IF(AND(B2638&lt;&gt;"",B2638=SW別シート!$C$3),COUNTIF(B$5:B2638,B2638),"")</f>
        <v/>
      </c>
      <c r="V2638" s="47" t="n">
        <f aca="false">V2637+IF(OR(O2638&lt;&gt;"",W2638&lt;&gt;""),1,0)</f>
        <v>3</v>
      </c>
      <c r="W2638" s="29"/>
    </row>
    <row r="2639" customFormat="false" ht="15" hidden="false" customHeight="false" outlineLevel="0" collapsed="false">
      <c r="A2639" s="32" t="str">
        <f aca="false">IF(B2639="","",ROW()-7)</f>
        <v/>
      </c>
      <c r="B2639" s="30"/>
      <c r="C2639" s="29"/>
      <c r="D2639" s="29"/>
      <c r="E2639" s="29"/>
      <c r="F2639" s="30"/>
      <c r="G2639" s="29"/>
      <c r="H2639" s="30"/>
      <c r="I2639" s="29"/>
      <c r="J2639" s="30"/>
      <c r="K2639" s="30"/>
      <c r="L2639" s="29"/>
      <c r="M2639" s="32" t="str">
        <f aca="false">IF(OR(C2639="",L2639=""),"",IF(C2639=L2639,"同一","変更"))</f>
        <v/>
      </c>
      <c r="N2639" s="29"/>
      <c r="O2639" s="30"/>
      <c r="P2639" s="29"/>
      <c r="Q2639" s="31"/>
      <c r="R2639" s="29"/>
      <c r="S2639" s="29"/>
      <c r="T2639" s="30"/>
      <c r="U2639" s="47" t="str">
        <f aca="false">IF(AND(B2639&lt;&gt;"",B2639=SW別シート!$C$3),COUNTIF(B$5:B2639,B2639),"")</f>
        <v/>
      </c>
      <c r="V2639" s="47" t="n">
        <f aca="false">V2638+IF(OR(O2639&lt;&gt;"",W2639&lt;&gt;""),1,0)</f>
        <v>3</v>
      </c>
      <c r="W2639" s="29"/>
    </row>
    <row r="2640" customFormat="false" ht="15" hidden="false" customHeight="false" outlineLevel="0" collapsed="false">
      <c r="A2640" s="32" t="str">
        <f aca="false">IF(B2640="","",ROW()-7)</f>
        <v/>
      </c>
      <c r="B2640" s="30"/>
      <c r="C2640" s="29"/>
      <c r="D2640" s="29"/>
      <c r="E2640" s="29"/>
      <c r="F2640" s="30"/>
      <c r="G2640" s="29"/>
      <c r="H2640" s="30"/>
      <c r="I2640" s="29"/>
      <c r="J2640" s="30"/>
      <c r="K2640" s="30"/>
      <c r="L2640" s="29"/>
      <c r="M2640" s="32" t="str">
        <f aca="false">IF(OR(C2640="",L2640=""),"",IF(C2640=L2640,"同一","変更"))</f>
        <v/>
      </c>
      <c r="N2640" s="29"/>
      <c r="O2640" s="30"/>
      <c r="P2640" s="29"/>
      <c r="Q2640" s="31"/>
      <c r="R2640" s="29"/>
      <c r="S2640" s="29"/>
      <c r="T2640" s="30"/>
      <c r="U2640" s="47" t="str">
        <f aca="false">IF(AND(B2640&lt;&gt;"",B2640=SW別シート!$C$3),COUNTIF(B$5:B2640,B2640),"")</f>
        <v/>
      </c>
      <c r="V2640" s="47" t="n">
        <f aca="false">V2639+IF(OR(O2640&lt;&gt;"",W2640&lt;&gt;""),1,0)</f>
        <v>3</v>
      </c>
      <c r="W2640" s="29"/>
    </row>
    <row r="2641" customFormat="false" ht="15" hidden="false" customHeight="false" outlineLevel="0" collapsed="false">
      <c r="A2641" s="32" t="str">
        <f aca="false">IF(B2641="","",ROW()-7)</f>
        <v/>
      </c>
      <c r="B2641" s="30"/>
      <c r="C2641" s="29"/>
      <c r="D2641" s="29"/>
      <c r="E2641" s="29"/>
      <c r="F2641" s="30"/>
      <c r="G2641" s="29"/>
      <c r="H2641" s="30"/>
      <c r="I2641" s="29"/>
      <c r="J2641" s="30"/>
      <c r="K2641" s="30"/>
      <c r="L2641" s="29"/>
      <c r="M2641" s="32" t="str">
        <f aca="false">IF(OR(C2641="",L2641=""),"",IF(C2641=L2641,"同一","変更"))</f>
        <v/>
      </c>
      <c r="N2641" s="29"/>
      <c r="O2641" s="30"/>
      <c r="P2641" s="29"/>
      <c r="Q2641" s="31"/>
      <c r="R2641" s="29"/>
      <c r="S2641" s="29"/>
      <c r="T2641" s="30"/>
      <c r="U2641" s="47" t="str">
        <f aca="false">IF(AND(B2641&lt;&gt;"",B2641=SW別シート!$C$3),COUNTIF(B$5:B2641,B2641),"")</f>
        <v/>
      </c>
      <c r="V2641" s="47" t="n">
        <f aca="false">V2640+IF(OR(O2641&lt;&gt;"",W2641&lt;&gt;""),1,0)</f>
        <v>3</v>
      </c>
      <c r="W2641" s="29"/>
    </row>
    <row r="2642" customFormat="false" ht="15" hidden="false" customHeight="false" outlineLevel="0" collapsed="false">
      <c r="A2642" s="32" t="str">
        <f aca="false">IF(B2642="","",ROW()-7)</f>
        <v/>
      </c>
      <c r="B2642" s="30"/>
      <c r="C2642" s="29"/>
      <c r="D2642" s="29"/>
      <c r="E2642" s="29"/>
      <c r="F2642" s="30"/>
      <c r="G2642" s="29"/>
      <c r="H2642" s="30"/>
      <c r="I2642" s="29"/>
      <c r="J2642" s="30"/>
      <c r="K2642" s="30"/>
      <c r="L2642" s="29"/>
      <c r="M2642" s="32" t="str">
        <f aca="false">IF(OR(C2642="",L2642=""),"",IF(C2642=L2642,"同一","変更"))</f>
        <v/>
      </c>
      <c r="N2642" s="29"/>
      <c r="O2642" s="30"/>
      <c r="P2642" s="29"/>
      <c r="Q2642" s="31"/>
      <c r="R2642" s="29"/>
      <c r="S2642" s="29"/>
      <c r="T2642" s="30"/>
      <c r="U2642" s="47" t="str">
        <f aca="false">IF(AND(B2642&lt;&gt;"",B2642=SW別シート!$C$3),COUNTIF(B$5:B2642,B2642),"")</f>
        <v/>
      </c>
      <c r="V2642" s="47" t="n">
        <f aca="false">V2641+IF(OR(O2642&lt;&gt;"",W2642&lt;&gt;""),1,0)</f>
        <v>3</v>
      </c>
      <c r="W2642" s="29"/>
    </row>
    <row r="2643" customFormat="false" ht="15" hidden="false" customHeight="false" outlineLevel="0" collapsed="false">
      <c r="A2643" s="32" t="str">
        <f aca="false">IF(B2643="","",ROW()-7)</f>
        <v/>
      </c>
      <c r="B2643" s="30"/>
      <c r="C2643" s="29"/>
      <c r="D2643" s="29"/>
      <c r="E2643" s="29"/>
      <c r="F2643" s="30"/>
      <c r="G2643" s="29"/>
      <c r="H2643" s="30"/>
      <c r="I2643" s="29"/>
      <c r="J2643" s="30"/>
      <c r="K2643" s="30"/>
      <c r="L2643" s="29"/>
      <c r="M2643" s="32" t="str">
        <f aca="false">IF(OR(C2643="",L2643=""),"",IF(C2643=L2643,"同一","変更"))</f>
        <v/>
      </c>
      <c r="N2643" s="29"/>
      <c r="O2643" s="30"/>
      <c r="P2643" s="29"/>
      <c r="Q2643" s="31"/>
      <c r="R2643" s="29"/>
      <c r="S2643" s="29"/>
      <c r="T2643" s="30"/>
      <c r="U2643" s="47" t="str">
        <f aca="false">IF(AND(B2643&lt;&gt;"",B2643=SW別シート!$C$3),COUNTIF(B$5:B2643,B2643),"")</f>
        <v/>
      </c>
      <c r="V2643" s="47" t="n">
        <f aca="false">V2642+IF(OR(O2643&lt;&gt;"",W2643&lt;&gt;""),1,0)</f>
        <v>3</v>
      </c>
      <c r="W2643" s="29"/>
    </row>
    <row r="2644" customFormat="false" ht="15" hidden="false" customHeight="false" outlineLevel="0" collapsed="false">
      <c r="A2644" s="32" t="str">
        <f aca="false">IF(B2644="","",ROW()-7)</f>
        <v/>
      </c>
      <c r="B2644" s="30"/>
      <c r="C2644" s="29"/>
      <c r="D2644" s="29"/>
      <c r="E2644" s="29"/>
      <c r="F2644" s="30"/>
      <c r="G2644" s="29"/>
      <c r="H2644" s="30"/>
      <c r="I2644" s="29"/>
      <c r="J2644" s="30"/>
      <c r="K2644" s="30"/>
      <c r="L2644" s="29"/>
      <c r="M2644" s="32" t="str">
        <f aca="false">IF(OR(C2644="",L2644=""),"",IF(C2644=L2644,"同一","変更"))</f>
        <v/>
      </c>
      <c r="N2644" s="29"/>
      <c r="O2644" s="30"/>
      <c r="P2644" s="29"/>
      <c r="Q2644" s="31"/>
      <c r="R2644" s="29"/>
      <c r="S2644" s="29"/>
      <c r="T2644" s="30"/>
      <c r="U2644" s="47" t="str">
        <f aca="false">IF(AND(B2644&lt;&gt;"",B2644=SW別シート!$C$3),COUNTIF(B$5:B2644,B2644),"")</f>
        <v/>
      </c>
      <c r="V2644" s="47" t="n">
        <f aca="false">V2643+IF(OR(O2644&lt;&gt;"",W2644&lt;&gt;""),1,0)</f>
        <v>3</v>
      </c>
      <c r="W2644" s="29"/>
    </row>
    <row r="2645" customFormat="false" ht="15" hidden="false" customHeight="false" outlineLevel="0" collapsed="false">
      <c r="A2645" s="32" t="str">
        <f aca="false">IF(B2645="","",ROW()-7)</f>
        <v/>
      </c>
      <c r="B2645" s="30"/>
      <c r="C2645" s="29"/>
      <c r="D2645" s="29"/>
      <c r="E2645" s="29"/>
      <c r="F2645" s="30"/>
      <c r="G2645" s="29"/>
      <c r="H2645" s="30"/>
      <c r="I2645" s="29"/>
      <c r="J2645" s="30"/>
      <c r="K2645" s="30"/>
      <c r="L2645" s="29"/>
      <c r="M2645" s="32" t="str">
        <f aca="false">IF(OR(C2645="",L2645=""),"",IF(C2645=L2645,"同一","変更"))</f>
        <v/>
      </c>
      <c r="N2645" s="29"/>
      <c r="O2645" s="30"/>
      <c r="P2645" s="29"/>
      <c r="Q2645" s="31"/>
      <c r="R2645" s="29"/>
      <c r="S2645" s="29"/>
      <c r="T2645" s="30"/>
      <c r="U2645" s="47" t="str">
        <f aca="false">IF(AND(B2645&lt;&gt;"",B2645=SW別シート!$C$3),COUNTIF(B$5:B2645,B2645),"")</f>
        <v/>
      </c>
      <c r="V2645" s="47" t="n">
        <f aca="false">V2644+IF(OR(O2645&lt;&gt;"",W2645&lt;&gt;""),1,0)</f>
        <v>3</v>
      </c>
      <c r="W2645" s="29"/>
    </row>
    <row r="2646" customFormat="false" ht="15" hidden="false" customHeight="false" outlineLevel="0" collapsed="false">
      <c r="A2646" s="32" t="str">
        <f aca="false">IF(B2646="","",ROW()-7)</f>
        <v/>
      </c>
      <c r="B2646" s="30"/>
      <c r="C2646" s="29"/>
      <c r="D2646" s="29"/>
      <c r="E2646" s="29"/>
      <c r="F2646" s="30"/>
      <c r="G2646" s="29"/>
      <c r="H2646" s="30"/>
      <c r="I2646" s="29"/>
      <c r="J2646" s="30"/>
      <c r="K2646" s="30"/>
      <c r="L2646" s="29"/>
      <c r="M2646" s="32" t="str">
        <f aca="false">IF(OR(C2646="",L2646=""),"",IF(C2646=L2646,"同一","変更"))</f>
        <v/>
      </c>
      <c r="N2646" s="29"/>
      <c r="O2646" s="30"/>
      <c r="P2646" s="29"/>
      <c r="Q2646" s="31"/>
      <c r="R2646" s="29"/>
      <c r="S2646" s="29"/>
      <c r="T2646" s="30"/>
      <c r="U2646" s="47" t="str">
        <f aca="false">IF(AND(B2646&lt;&gt;"",B2646=SW別シート!$C$3),COUNTIF(B$5:B2646,B2646),"")</f>
        <v/>
      </c>
      <c r="V2646" s="47" t="n">
        <f aca="false">V2645+IF(OR(O2646&lt;&gt;"",W2646&lt;&gt;""),1,0)</f>
        <v>3</v>
      </c>
      <c r="W2646" s="29"/>
    </row>
    <row r="2647" customFormat="false" ht="15" hidden="false" customHeight="false" outlineLevel="0" collapsed="false">
      <c r="A2647" s="32" t="str">
        <f aca="false">IF(B2647="","",ROW()-7)</f>
        <v/>
      </c>
      <c r="B2647" s="30"/>
      <c r="C2647" s="29"/>
      <c r="D2647" s="29"/>
      <c r="E2647" s="29"/>
      <c r="F2647" s="30"/>
      <c r="G2647" s="29"/>
      <c r="H2647" s="30"/>
      <c r="I2647" s="29"/>
      <c r="J2647" s="30"/>
      <c r="K2647" s="30"/>
      <c r="L2647" s="29"/>
      <c r="M2647" s="32" t="str">
        <f aca="false">IF(OR(C2647="",L2647=""),"",IF(C2647=L2647,"同一","変更"))</f>
        <v/>
      </c>
      <c r="N2647" s="29"/>
      <c r="O2647" s="30"/>
      <c r="P2647" s="29"/>
      <c r="Q2647" s="31"/>
      <c r="R2647" s="29"/>
      <c r="S2647" s="29"/>
      <c r="T2647" s="30"/>
      <c r="U2647" s="47" t="str">
        <f aca="false">IF(AND(B2647&lt;&gt;"",B2647=SW別シート!$C$3),COUNTIF(B$5:B2647,B2647),"")</f>
        <v/>
      </c>
      <c r="V2647" s="47" t="n">
        <f aca="false">V2646+IF(OR(O2647&lt;&gt;"",W2647&lt;&gt;""),1,0)</f>
        <v>3</v>
      </c>
      <c r="W2647" s="29"/>
    </row>
    <row r="2648" customFormat="false" ht="15" hidden="false" customHeight="false" outlineLevel="0" collapsed="false">
      <c r="A2648" s="32" t="str">
        <f aca="false">IF(B2648="","",ROW()-7)</f>
        <v/>
      </c>
      <c r="B2648" s="30"/>
      <c r="C2648" s="29"/>
      <c r="D2648" s="29"/>
      <c r="E2648" s="29"/>
      <c r="F2648" s="30"/>
      <c r="G2648" s="29"/>
      <c r="H2648" s="30"/>
      <c r="I2648" s="29"/>
      <c r="J2648" s="30"/>
      <c r="K2648" s="30"/>
      <c r="L2648" s="29"/>
      <c r="M2648" s="32" t="str">
        <f aca="false">IF(OR(C2648="",L2648=""),"",IF(C2648=L2648,"同一","変更"))</f>
        <v/>
      </c>
      <c r="N2648" s="29"/>
      <c r="O2648" s="30"/>
      <c r="P2648" s="29"/>
      <c r="Q2648" s="31"/>
      <c r="R2648" s="29"/>
      <c r="S2648" s="29"/>
      <c r="T2648" s="30"/>
      <c r="U2648" s="47" t="str">
        <f aca="false">IF(AND(B2648&lt;&gt;"",B2648=SW別シート!$C$3),COUNTIF(B$5:B2648,B2648),"")</f>
        <v/>
      </c>
      <c r="V2648" s="47" t="n">
        <f aca="false">V2647+IF(OR(O2648&lt;&gt;"",W2648&lt;&gt;""),1,0)</f>
        <v>3</v>
      </c>
      <c r="W2648" s="29"/>
    </row>
    <row r="2649" customFormat="false" ht="15" hidden="false" customHeight="false" outlineLevel="0" collapsed="false">
      <c r="A2649" s="32" t="str">
        <f aca="false">IF(B2649="","",ROW()-7)</f>
        <v/>
      </c>
      <c r="B2649" s="30"/>
      <c r="C2649" s="29"/>
      <c r="D2649" s="29"/>
      <c r="E2649" s="29"/>
      <c r="F2649" s="30"/>
      <c r="G2649" s="29"/>
      <c r="H2649" s="30"/>
      <c r="I2649" s="29"/>
      <c r="J2649" s="30"/>
      <c r="K2649" s="30"/>
      <c r="L2649" s="29"/>
      <c r="M2649" s="32" t="str">
        <f aca="false">IF(OR(C2649="",L2649=""),"",IF(C2649=L2649,"同一","変更"))</f>
        <v/>
      </c>
      <c r="N2649" s="29"/>
      <c r="O2649" s="30"/>
      <c r="P2649" s="29"/>
      <c r="Q2649" s="31"/>
      <c r="R2649" s="29"/>
      <c r="S2649" s="29"/>
      <c r="T2649" s="30"/>
      <c r="U2649" s="47" t="str">
        <f aca="false">IF(AND(B2649&lt;&gt;"",B2649=SW別シート!$C$3),COUNTIF(B$5:B2649,B2649),"")</f>
        <v/>
      </c>
      <c r="V2649" s="47" t="n">
        <f aca="false">V2648+IF(OR(O2649&lt;&gt;"",W2649&lt;&gt;""),1,0)</f>
        <v>3</v>
      </c>
      <c r="W2649" s="29"/>
    </row>
    <row r="2650" customFormat="false" ht="15" hidden="false" customHeight="false" outlineLevel="0" collapsed="false">
      <c r="A2650" s="32" t="str">
        <f aca="false">IF(B2650="","",ROW()-7)</f>
        <v/>
      </c>
      <c r="B2650" s="30"/>
      <c r="C2650" s="29"/>
      <c r="D2650" s="29"/>
      <c r="E2650" s="29"/>
      <c r="F2650" s="30"/>
      <c r="G2650" s="29"/>
      <c r="H2650" s="30"/>
      <c r="I2650" s="29"/>
      <c r="J2650" s="30"/>
      <c r="K2650" s="30"/>
      <c r="L2650" s="29"/>
      <c r="M2650" s="32" t="str">
        <f aca="false">IF(OR(C2650="",L2650=""),"",IF(C2650=L2650,"同一","変更"))</f>
        <v/>
      </c>
      <c r="N2650" s="29"/>
      <c r="O2650" s="30"/>
      <c r="P2650" s="29"/>
      <c r="Q2650" s="31"/>
      <c r="R2650" s="29"/>
      <c r="S2650" s="29"/>
      <c r="T2650" s="30"/>
      <c r="U2650" s="47" t="str">
        <f aca="false">IF(AND(B2650&lt;&gt;"",B2650=SW別シート!$C$3),COUNTIF(B$5:B2650,B2650),"")</f>
        <v/>
      </c>
      <c r="V2650" s="47" t="n">
        <f aca="false">V2649+IF(OR(O2650&lt;&gt;"",W2650&lt;&gt;""),1,0)</f>
        <v>3</v>
      </c>
      <c r="W2650" s="29"/>
    </row>
    <row r="2651" customFormat="false" ht="15" hidden="false" customHeight="false" outlineLevel="0" collapsed="false">
      <c r="A2651" s="32" t="str">
        <f aca="false">IF(B2651="","",ROW()-7)</f>
        <v/>
      </c>
      <c r="B2651" s="30"/>
      <c r="C2651" s="29"/>
      <c r="D2651" s="29"/>
      <c r="E2651" s="29"/>
      <c r="F2651" s="30"/>
      <c r="G2651" s="29"/>
      <c r="H2651" s="30"/>
      <c r="I2651" s="29"/>
      <c r="J2651" s="30"/>
      <c r="K2651" s="30"/>
      <c r="L2651" s="29"/>
      <c r="M2651" s="32" t="str">
        <f aca="false">IF(OR(C2651="",L2651=""),"",IF(C2651=L2651,"同一","変更"))</f>
        <v/>
      </c>
      <c r="N2651" s="29"/>
      <c r="O2651" s="30"/>
      <c r="P2651" s="29"/>
      <c r="Q2651" s="31"/>
      <c r="R2651" s="29"/>
      <c r="S2651" s="29"/>
      <c r="T2651" s="30"/>
      <c r="U2651" s="47" t="str">
        <f aca="false">IF(AND(B2651&lt;&gt;"",B2651=SW別シート!$C$3),COUNTIF(B$5:B2651,B2651),"")</f>
        <v/>
      </c>
      <c r="V2651" s="47" t="n">
        <f aca="false">V2650+IF(OR(O2651&lt;&gt;"",W2651&lt;&gt;""),1,0)</f>
        <v>3</v>
      </c>
      <c r="W2651" s="29"/>
    </row>
    <row r="2652" customFormat="false" ht="15" hidden="false" customHeight="false" outlineLevel="0" collapsed="false">
      <c r="A2652" s="32" t="str">
        <f aca="false">IF(B2652="","",ROW()-7)</f>
        <v/>
      </c>
      <c r="B2652" s="30"/>
      <c r="C2652" s="29"/>
      <c r="D2652" s="29"/>
      <c r="E2652" s="29"/>
      <c r="F2652" s="30"/>
      <c r="G2652" s="29"/>
      <c r="H2652" s="30"/>
      <c r="I2652" s="29"/>
      <c r="J2652" s="30"/>
      <c r="K2652" s="30"/>
      <c r="L2652" s="29"/>
      <c r="M2652" s="32" t="str">
        <f aca="false">IF(OR(C2652="",L2652=""),"",IF(C2652=L2652,"同一","変更"))</f>
        <v/>
      </c>
      <c r="N2652" s="29"/>
      <c r="O2652" s="30"/>
      <c r="P2652" s="29"/>
      <c r="Q2652" s="31"/>
      <c r="R2652" s="29"/>
      <c r="S2652" s="29"/>
      <c r="T2652" s="30"/>
      <c r="U2652" s="47" t="str">
        <f aca="false">IF(AND(B2652&lt;&gt;"",B2652=SW別シート!$C$3),COUNTIF(B$5:B2652,B2652),"")</f>
        <v/>
      </c>
      <c r="V2652" s="47" t="n">
        <f aca="false">V2651+IF(OR(O2652&lt;&gt;"",W2652&lt;&gt;""),1,0)</f>
        <v>3</v>
      </c>
      <c r="W2652" s="29"/>
    </row>
    <row r="2653" customFormat="false" ht="15" hidden="false" customHeight="false" outlineLevel="0" collapsed="false">
      <c r="A2653" s="32" t="str">
        <f aca="false">IF(B2653="","",ROW()-7)</f>
        <v/>
      </c>
      <c r="B2653" s="30"/>
      <c r="C2653" s="29"/>
      <c r="D2653" s="29"/>
      <c r="E2653" s="29"/>
      <c r="F2653" s="30"/>
      <c r="G2653" s="29"/>
      <c r="H2653" s="30"/>
      <c r="I2653" s="29"/>
      <c r="J2653" s="30"/>
      <c r="K2653" s="30"/>
      <c r="L2653" s="29"/>
      <c r="M2653" s="32" t="str">
        <f aca="false">IF(OR(C2653="",L2653=""),"",IF(C2653=L2653,"同一","変更"))</f>
        <v/>
      </c>
      <c r="N2653" s="29"/>
      <c r="O2653" s="30"/>
      <c r="P2653" s="29"/>
      <c r="Q2653" s="31"/>
      <c r="R2653" s="29"/>
      <c r="S2653" s="29"/>
      <c r="T2653" s="30"/>
      <c r="U2653" s="47" t="str">
        <f aca="false">IF(AND(B2653&lt;&gt;"",B2653=SW別シート!$C$3),COUNTIF(B$5:B2653,B2653),"")</f>
        <v/>
      </c>
      <c r="V2653" s="47" t="n">
        <f aca="false">V2652+IF(OR(O2653&lt;&gt;"",W2653&lt;&gt;""),1,0)</f>
        <v>3</v>
      </c>
      <c r="W2653" s="29"/>
    </row>
    <row r="2654" customFormat="false" ht="15" hidden="false" customHeight="false" outlineLevel="0" collapsed="false">
      <c r="A2654" s="32" t="str">
        <f aca="false">IF(B2654="","",ROW()-7)</f>
        <v/>
      </c>
      <c r="B2654" s="30"/>
      <c r="C2654" s="29"/>
      <c r="D2654" s="29"/>
      <c r="E2654" s="29"/>
      <c r="F2654" s="30"/>
      <c r="G2654" s="29"/>
      <c r="H2654" s="30"/>
      <c r="I2654" s="29"/>
      <c r="J2654" s="30"/>
      <c r="K2654" s="30"/>
      <c r="L2654" s="29"/>
      <c r="M2654" s="32" t="str">
        <f aca="false">IF(OR(C2654="",L2654=""),"",IF(C2654=L2654,"同一","変更"))</f>
        <v/>
      </c>
      <c r="N2654" s="29"/>
      <c r="O2654" s="30"/>
      <c r="P2654" s="29"/>
      <c r="Q2654" s="31"/>
      <c r="R2654" s="29"/>
      <c r="S2654" s="29"/>
      <c r="T2654" s="30"/>
      <c r="U2654" s="47" t="str">
        <f aca="false">IF(AND(B2654&lt;&gt;"",B2654=SW別シート!$C$3),COUNTIF(B$5:B2654,B2654),"")</f>
        <v/>
      </c>
      <c r="V2654" s="47" t="n">
        <f aca="false">V2653+IF(OR(O2654&lt;&gt;"",W2654&lt;&gt;""),1,0)</f>
        <v>3</v>
      </c>
      <c r="W2654" s="29"/>
    </row>
    <row r="2655" customFormat="false" ht="15" hidden="false" customHeight="false" outlineLevel="0" collapsed="false">
      <c r="A2655" s="32" t="str">
        <f aca="false">IF(B2655="","",ROW()-7)</f>
        <v/>
      </c>
      <c r="B2655" s="30"/>
      <c r="C2655" s="29"/>
      <c r="D2655" s="29"/>
      <c r="E2655" s="29"/>
      <c r="F2655" s="30"/>
      <c r="G2655" s="29"/>
      <c r="H2655" s="30"/>
      <c r="I2655" s="29"/>
      <c r="J2655" s="30"/>
      <c r="K2655" s="30"/>
      <c r="L2655" s="29"/>
      <c r="M2655" s="32" t="str">
        <f aca="false">IF(OR(C2655="",L2655=""),"",IF(C2655=L2655,"同一","変更"))</f>
        <v/>
      </c>
      <c r="N2655" s="29"/>
      <c r="O2655" s="30"/>
      <c r="P2655" s="29"/>
      <c r="Q2655" s="31"/>
      <c r="R2655" s="29"/>
      <c r="S2655" s="29"/>
      <c r="T2655" s="30"/>
      <c r="U2655" s="47" t="str">
        <f aca="false">IF(AND(B2655&lt;&gt;"",B2655=SW別シート!$C$3),COUNTIF(B$5:B2655,B2655),"")</f>
        <v/>
      </c>
      <c r="V2655" s="47" t="n">
        <f aca="false">V2654+IF(OR(O2655&lt;&gt;"",W2655&lt;&gt;""),1,0)</f>
        <v>3</v>
      </c>
      <c r="W2655" s="29"/>
    </row>
    <row r="2656" customFormat="false" ht="15" hidden="false" customHeight="false" outlineLevel="0" collapsed="false">
      <c r="A2656" s="32" t="str">
        <f aca="false">IF(B2656="","",ROW()-7)</f>
        <v/>
      </c>
      <c r="B2656" s="30"/>
      <c r="C2656" s="29"/>
      <c r="D2656" s="29"/>
      <c r="E2656" s="29"/>
      <c r="F2656" s="30"/>
      <c r="G2656" s="29"/>
      <c r="H2656" s="30"/>
      <c r="I2656" s="29"/>
      <c r="J2656" s="30"/>
      <c r="K2656" s="30"/>
      <c r="L2656" s="29"/>
      <c r="M2656" s="32" t="str">
        <f aca="false">IF(OR(C2656="",L2656=""),"",IF(C2656=L2656,"同一","変更"))</f>
        <v/>
      </c>
      <c r="N2656" s="29"/>
      <c r="O2656" s="30"/>
      <c r="P2656" s="29"/>
      <c r="Q2656" s="31"/>
      <c r="R2656" s="29"/>
      <c r="S2656" s="29"/>
      <c r="T2656" s="30"/>
      <c r="U2656" s="47" t="str">
        <f aca="false">IF(AND(B2656&lt;&gt;"",B2656=SW別シート!$C$3),COUNTIF(B$5:B2656,B2656),"")</f>
        <v/>
      </c>
      <c r="V2656" s="47" t="n">
        <f aca="false">V2655+IF(OR(O2656&lt;&gt;"",W2656&lt;&gt;""),1,0)</f>
        <v>3</v>
      </c>
      <c r="W2656" s="29"/>
    </row>
    <row r="2657" customFormat="false" ht="15" hidden="false" customHeight="false" outlineLevel="0" collapsed="false">
      <c r="A2657" s="32" t="str">
        <f aca="false">IF(B2657="","",ROW()-7)</f>
        <v/>
      </c>
      <c r="B2657" s="30"/>
      <c r="C2657" s="29"/>
      <c r="D2657" s="29"/>
      <c r="E2657" s="29"/>
      <c r="F2657" s="30"/>
      <c r="G2657" s="29"/>
      <c r="H2657" s="30"/>
      <c r="I2657" s="29"/>
      <c r="J2657" s="30"/>
      <c r="K2657" s="30"/>
      <c r="L2657" s="29"/>
      <c r="M2657" s="32" t="str">
        <f aca="false">IF(OR(C2657="",L2657=""),"",IF(C2657=L2657,"同一","変更"))</f>
        <v/>
      </c>
      <c r="N2657" s="29"/>
      <c r="O2657" s="30"/>
      <c r="P2657" s="29"/>
      <c r="Q2657" s="31"/>
      <c r="R2657" s="29"/>
      <c r="S2657" s="29"/>
      <c r="T2657" s="30"/>
      <c r="U2657" s="47" t="str">
        <f aca="false">IF(AND(B2657&lt;&gt;"",B2657=SW別シート!$C$3),COUNTIF(B$5:B2657,B2657),"")</f>
        <v/>
      </c>
      <c r="V2657" s="47" t="n">
        <f aca="false">V2656+IF(OR(O2657&lt;&gt;"",W2657&lt;&gt;""),1,0)</f>
        <v>3</v>
      </c>
      <c r="W2657" s="29"/>
    </row>
    <row r="2658" customFormat="false" ht="15" hidden="false" customHeight="false" outlineLevel="0" collapsed="false">
      <c r="A2658" s="32" t="str">
        <f aca="false">IF(B2658="","",ROW()-7)</f>
        <v/>
      </c>
      <c r="B2658" s="30"/>
      <c r="C2658" s="29"/>
      <c r="D2658" s="29"/>
      <c r="E2658" s="29"/>
      <c r="F2658" s="30"/>
      <c r="G2658" s="29"/>
      <c r="H2658" s="30"/>
      <c r="I2658" s="29"/>
      <c r="J2658" s="30"/>
      <c r="K2658" s="30"/>
      <c r="L2658" s="29"/>
      <c r="M2658" s="32" t="str">
        <f aca="false">IF(OR(C2658="",L2658=""),"",IF(C2658=L2658,"同一","変更"))</f>
        <v/>
      </c>
      <c r="N2658" s="29"/>
      <c r="O2658" s="30"/>
      <c r="P2658" s="29"/>
      <c r="Q2658" s="31"/>
      <c r="R2658" s="29"/>
      <c r="S2658" s="29"/>
      <c r="T2658" s="30"/>
      <c r="U2658" s="47" t="str">
        <f aca="false">IF(AND(B2658&lt;&gt;"",B2658=SW別シート!$C$3),COUNTIF(B$5:B2658,B2658),"")</f>
        <v/>
      </c>
      <c r="V2658" s="47" t="n">
        <f aca="false">V2657+IF(OR(O2658&lt;&gt;"",W2658&lt;&gt;""),1,0)</f>
        <v>3</v>
      </c>
      <c r="W2658" s="29"/>
    </row>
    <row r="2659" customFormat="false" ht="15" hidden="false" customHeight="false" outlineLevel="0" collapsed="false">
      <c r="A2659" s="32" t="str">
        <f aca="false">IF(B2659="","",ROW()-7)</f>
        <v/>
      </c>
      <c r="B2659" s="30"/>
      <c r="C2659" s="29"/>
      <c r="D2659" s="29"/>
      <c r="E2659" s="29"/>
      <c r="F2659" s="30"/>
      <c r="G2659" s="29"/>
      <c r="H2659" s="30"/>
      <c r="I2659" s="29"/>
      <c r="J2659" s="30"/>
      <c r="K2659" s="30"/>
      <c r="L2659" s="29"/>
      <c r="M2659" s="32" t="str">
        <f aca="false">IF(OR(C2659="",L2659=""),"",IF(C2659=L2659,"同一","変更"))</f>
        <v/>
      </c>
      <c r="N2659" s="29"/>
      <c r="O2659" s="30"/>
      <c r="P2659" s="29"/>
      <c r="Q2659" s="31"/>
      <c r="R2659" s="29"/>
      <c r="S2659" s="29"/>
      <c r="T2659" s="30"/>
      <c r="U2659" s="47" t="str">
        <f aca="false">IF(AND(B2659&lt;&gt;"",B2659=SW別シート!$C$3),COUNTIF(B$5:B2659,B2659),"")</f>
        <v/>
      </c>
      <c r="V2659" s="47" t="n">
        <f aca="false">V2658+IF(OR(O2659&lt;&gt;"",W2659&lt;&gt;""),1,0)</f>
        <v>3</v>
      </c>
      <c r="W2659" s="29"/>
    </row>
    <row r="2660" customFormat="false" ht="15" hidden="false" customHeight="false" outlineLevel="0" collapsed="false">
      <c r="A2660" s="32" t="str">
        <f aca="false">IF(B2660="","",ROW()-7)</f>
        <v/>
      </c>
      <c r="B2660" s="30"/>
      <c r="C2660" s="29"/>
      <c r="D2660" s="29"/>
      <c r="E2660" s="29"/>
      <c r="F2660" s="30"/>
      <c r="G2660" s="29"/>
      <c r="H2660" s="30"/>
      <c r="I2660" s="29"/>
      <c r="J2660" s="30"/>
      <c r="K2660" s="30"/>
      <c r="L2660" s="29"/>
      <c r="M2660" s="32" t="str">
        <f aca="false">IF(OR(C2660="",L2660=""),"",IF(C2660=L2660,"同一","変更"))</f>
        <v/>
      </c>
      <c r="N2660" s="29"/>
      <c r="O2660" s="30"/>
      <c r="P2660" s="29"/>
      <c r="Q2660" s="31"/>
      <c r="R2660" s="29"/>
      <c r="S2660" s="29"/>
      <c r="T2660" s="30"/>
      <c r="U2660" s="47" t="str">
        <f aca="false">IF(AND(B2660&lt;&gt;"",B2660=SW別シート!$C$3),COUNTIF(B$5:B2660,B2660),"")</f>
        <v/>
      </c>
      <c r="V2660" s="47" t="n">
        <f aca="false">V2659+IF(OR(O2660&lt;&gt;"",W2660&lt;&gt;""),1,0)</f>
        <v>3</v>
      </c>
      <c r="W2660" s="29"/>
    </row>
    <row r="2661" customFormat="false" ht="15" hidden="false" customHeight="false" outlineLevel="0" collapsed="false">
      <c r="A2661" s="32" t="str">
        <f aca="false">IF(B2661="","",ROW()-7)</f>
        <v/>
      </c>
      <c r="B2661" s="30"/>
      <c r="C2661" s="29"/>
      <c r="D2661" s="29"/>
      <c r="E2661" s="29"/>
      <c r="F2661" s="30"/>
      <c r="G2661" s="29"/>
      <c r="H2661" s="30"/>
      <c r="I2661" s="29"/>
      <c r="J2661" s="30"/>
      <c r="K2661" s="30"/>
      <c r="L2661" s="29"/>
      <c r="M2661" s="32" t="str">
        <f aca="false">IF(OR(C2661="",L2661=""),"",IF(C2661=L2661,"同一","変更"))</f>
        <v/>
      </c>
      <c r="N2661" s="29"/>
      <c r="O2661" s="30"/>
      <c r="P2661" s="29"/>
      <c r="Q2661" s="31"/>
      <c r="R2661" s="29"/>
      <c r="S2661" s="29"/>
      <c r="T2661" s="30"/>
      <c r="U2661" s="47" t="str">
        <f aca="false">IF(AND(B2661&lt;&gt;"",B2661=SW別シート!$C$3),COUNTIF(B$5:B2661,B2661),"")</f>
        <v/>
      </c>
      <c r="V2661" s="47" t="n">
        <f aca="false">V2660+IF(OR(O2661&lt;&gt;"",W2661&lt;&gt;""),1,0)</f>
        <v>3</v>
      </c>
      <c r="W2661" s="29"/>
    </row>
    <row r="2662" customFormat="false" ht="15" hidden="false" customHeight="false" outlineLevel="0" collapsed="false">
      <c r="A2662" s="32" t="str">
        <f aca="false">IF(B2662="","",ROW()-7)</f>
        <v/>
      </c>
      <c r="B2662" s="30"/>
      <c r="C2662" s="29"/>
      <c r="D2662" s="29"/>
      <c r="E2662" s="29"/>
      <c r="F2662" s="30"/>
      <c r="G2662" s="29"/>
      <c r="H2662" s="30"/>
      <c r="I2662" s="29"/>
      <c r="J2662" s="30"/>
      <c r="K2662" s="30"/>
      <c r="L2662" s="29"/>
      <c r="M2662" s="32" t="str">
        <f aca="false">IF(OR(C2662="",L2662=""),"",IF(C2662=L2662,"同一","変更"))</f>
        <v/>
      </c>
      <c r="N2662" s="29"/>
      <c r="O2662" s="30"/>
      <c r="P2662" s="29"/>
      <c r="Q2662" s="31"/>
      <c r="R2662" s="29"/>
      <c r="S2662" s="29"/>
      <c r="T2662" s="30"/>
      <c r="U2662" s="47" t="str">
        <f aca="false">IF(AND(B2662&lt;&gt;"",B2662=SW別シート!$C$3),COUNTIF(B$5:B2662,B2662),"")</f>
        <v/>
      </c>
      <c r="V2662" s="47" t="n">
        <f aca="false">V2661+IF(OR(O2662&lt;&gt;"",W2662&lt;&gt;""),1,0)</f>
        <v>3</v>
      </c>
      <c r="W2662" s="29"/>
    </row>
    <row r="2663" customFormat="false" ht="15" hidden="false" customHeight="false" outlineLevel="0" collapsed="false">
      <c r="A2663" s="32" t="str">
        <f aca="false">IF(B2663="","",ROW()-7)</f>
        <v/>
      </c>
      <c r="B2663" s="30"/>
      <c r="C2663" s="29"/>
      <c r="D2663" s="29"/>
      <c r="E2663" s="29"/>
      <c r="F2663" s="30"/>
      <c r="G2663" s="29"/>
      <c r="H2663" s="30"/>
      <c r="I2663" s="29"/>
      <c r="J2663" s="30"/>
      <c r="K2663" s="30"/>
      <c r="L2663" s="29"/>
      <c r="M2663" s="32" t="str">
        <f aca="false">IF(OR(C2663="",L2663=""),"",IF(C2663=L2663,"同一","変更"))</f>
        <v/>
      </c>
      <c r="N2663" s="29"/>
      <c r="O2663" s="30"/>
      <c r="P2663" s="29"/>
      <c r="Q2663" s="31"/>
      <c r="R2663" s="29"/>
      <c r="S2663" s="29"/>
      <c r="T2663" s="30"/>
      <c r="U2663" s="47" t="str">
        <f aca="false">IF(AND(B2663&lt;&gt;"",B2663=SW別シート!$C$3),COUNTIF(B$5:B2663,B2663),"")</f>
        <v/>
      </c>
      <c r="V2663" s="47" t="n">
        <f aca="false">V2662+IF(OR(O2663&lt;&gt;"",W2663&lt;&gt;""),1,0)</f>
        <v>3</v>
      </c>
      <c r="W2663" s="29"/>
    </row>
    <row r="2664" customFormat="false" ht="15" hidden="false" customHeight="false" outlineLevel="0" collapsed="false">
      <c r="A2664" s="32" t="str">
        <f aca="false">IF(B2664="","",ROW()-7)</f>
        <v/>
      </c>
      <c r="B2664" s="30"/>
      <c r="C2664" s="29"/>
      <c r="D2664" s="29"/>
      <c r="E2664" s="29"/>
      <c r="F2664" s="30"/>
      <c r="G2664" s="29"/>
      <c r="H2664" s="30"/>
      <c r="I2664" s="29"/>
      <c r="J2664" s="30"/>
      <c r="K2664" s="30"/>
      <c r="L2664" s="29"/>
      <c r="M2664" s="32" t="str">
        <f aca="false">IF(OR(C2664="",L2664=""),"",IF(C2664=L2664,"同一","変更"))</f>
        <v/>
      </c>
      <c r="N2664" s="29"/>
      <c r="O2664" s="30"/>
      <c r="P2664" s="29"/>
      <c r="Q2664" s="31"/>
      <c r="R2664" s="29"/>
      <c r="S2664" s="29"/>
      <c r="T2664" s="30"/>
      <c r="U2664" s="47" t="str">
        <f aca="false">IF(AND(B2664&lt;&gt;"",B2664=SW別シート!$C$3),COUNTIF(B$5:B2664,B2664),"")</f>
        <v/>
      </c>
      <c r="V2664" s="47" t="n">
        <f aca="false">V2663+IF(OR(O2664&lt;&gt;"",W2664&lt;&gt;""),1,0)</f>
        <v>3</v>
      </c>
      <c r="W2664" s="29"/>
    </row>
    <row r="2665" customFormat="false" ht="15" hidden="false" customHeight="false" outlineLevel="0" collapsed="false">
      <c r="A2665" s="32" t="str">
        <f aca="false">IF(B2665="","",ROW()-7)</f>
        <v/>
      </c>
      <c r="B2665" s="30"/>
      <c r="C2665" s="29"/>
      <c r="D2665" s="29"/>
      <c r="E2665" s="29"/>
      <c r="F2665" s="30"/>
      <c r="G2665" s="29"/>
      <c r="H2665" s="30"/>
      <c r="I2665" s="29"/>
      <c r="J2665" s="30"/>
      <c r="K2665" s="30"/>
      <c r="L2665" s="29"/>
      <c r="M2665" s="32" t="str">
        <f aca="false">IF(OR(C2665="",L2665=""),"",IF(C2665=L2665,"同一","変更"))</f>
        <v/>
      </c>
      <c r="N2665" s="29"/>
      <c r="O2665" s="30"/>
      <c r="P2665" s="29"/>
      <c r="Q2665" s="31"/>
      <c r="R2665" s="29"/>
      <c r="S2665" s="29"/>
      <c r="T2665" s="30"/>
      <c r="U2665" s="47" t="str">
        <f aca="false">IF(AND(B2665&lt;&gt;"",B2665=SW別シート!$C$3),COUNTIF(B$5:B2665,B2665),"")</f>
        <v/>
      </c>
      <c r="V2665" s="47" t="n">
        <f aca="false">V2664+IF(OR(O2665&lt;&gt;"",W2665&lt;&gt;""),1,0)</f>
        <v>3</v>
      </c>
      <c r="W2665" s="29"/>
    </row>
    <row r="2666" customFormat="false" ht="15" hidden="false" customHeight="false" outlineLevel="0" collapsed="false">
      <c r="A2666" s="32" t="str">
        <f aca="false">IF(B2666="","",ROW()-7)</f>
        <v/>
      </c>
      <c r="B2666" s="30"/>
      <c r="C2666" s="29"/>
      <c r="D2666" s="29"/>
      <c r="E2666" s="29"/>
      <c r="F2666" s="30"/>
      <c r="G2666" s="29"/>
      <c r="H2666" s="30"/>
      <c r="I2666" s="29"/>
      <c r="J2666" s="30"/>
      <c r="K2666" s="30"/>
      <c r="L2666" s="29"/>
      <c r="M2666" s="32" t="str">
        <f aca="false">IF(OR(C2666="",L2666=""),"",IF(C2666=L2666,"同一","変更"))</f>
        <v/>
      </c>
      <c r="N2666" s="29"/>
      <c r="O2666" s="30"/>
      <c r="P2666" s="29"/>
      <c r="Q2666" s="31"/>
      <c r="R2666" s="29"/>
      <c r="S2666" s="29"/>
      <c r="T2666" s="30"/>
      <c r="U2666" s="47" t="str">
        <f aca="false">IF(AND(B2666&lt;&gt;"",B2666=SW別シート!$C$3),COUNTIF(B$5:B2666,B2666),"")</f>
        <v/>
      </c>
      <c r="V2666" s="47" t="n">
        <f aca="false">V2665+IF(OR(O2666&lt;&gt;"",W2666&lt;&gt;""),1,0)</f>
        <v>3</v>
      </c>
      <c r="W2666" s="29"/>
    </row>
    <row r="2667" customFormat="false" ht="15" hidden="false" customHeight="false" outlineLevel="0" collapsed="false">
      <c r="A2667" s="32" t="str">
        <f aca="false">IF(B2667="","",ROW()-7)</f>
        <v/>
      </c>
      <c r="B2667" s="30"/>
      <c r="C2667" s="29"/>
      <c r="D2667" s="29"/>
      <c r="E2667" s="29"/>
      <c r="F2667" s="30"/>
      <c r="G2667" s="29"/>
      <c r="H2667" s="30"/>
      <c r="I2667" s="29"/>
      <c r="J2667" s="30"/>
      <c r="K2667" s="30"/>
      <c r="L2667" s="29"/>
      <c r="M2667" s="32" t="str">
        <f aca="false">IF(OR(C2667="",L2667=""),"",IF(C2667=L2667,"同一","変更"))</f>
        <v/>
      </c>
      <c r="N2667" s="29"/>
      <c r="O2667" s="30"/>
      <c r="P2667" s="29"/>
      <c r="Q2667" s="31"/>
      <c r="R2667" s="29"/>
      <c r="S2667" s="29"/>
      <c r="T2667" s="30"/>
      <c r="U2667" s="47" t="str">
        <f aca="false">IF(AND(B2667&lt;&gt;"",B2667=SW別シート!$C$3),COUNTIF(B$5:B2667,B2667),"")</f>
        <v/>
      </c>
      <c r="V2667" s="47" t="n">
        <f aca="false">V2666+IF(OR(O2667&lt;&gt;"",W2667&lt;&gt;""),1,0)</f>
        <v>3</v>
      </c>
      <c r="W2667" s="29"/>
    </row>
    <row r="2668" customFormat="false" ht="15" hidden="false" customHeight="false" outlineLevel="0" collapsed="false">
      <c r="A2668" s="32" t="str">
        <f aca="false">IF(B2668="","",ROW()-7)</f>
        <v/>
      </c>
      <c r="B2668" s="30"/>
      <c r="C2668" s="29"/>
      <c r="D2668" s="29"/>
      <c r="E2668" s="29"/>
      <c r="F2668" s="30"/>
      <c r="G2668" s="29"/>
      <c r="H2668" s="30"/>
      <c r="I2668" s="29"/>
      <c r="J2668" s="30"/>
      <c r="K2668" s="30"/>
      <c r="L2668" s="29"/>
      <c r="M2668" s="32" t="str">
        <f aca="false">IF(OR(C2668="",L2668=""),"",IF(C2668=L2668,"同一","変更"))</f>
        <v/>
      </c>
      <c r="N2668" s="29"/>
      <c r="O2668" s="30"/>
      <c r="P2668" s="29"/>
      <c r="Q2668" s="31"/>
      <c r="R2668" s="29"/>
      <c r="S2668" s="29"/>
      <c r="T2668" s="30"/>
      <c r="U2668" s="47" t="str">
        <f aca="false">IF(AND(B2668&lt;&gt;"",B2668=SW別シート!$C$3),COUNTIF(B$5:B2668,B2668),"")</f>
        <v/>
      </c>
      <c r="V2668" s="47" t="n">
        <f aca="false">V2667+IF(OR(O2668&lt;&gt;"",W2668&lt;&gt;""),1,0)</f>
        <v>3</v>
      </c>
      <c r="W2668" s="29"/>
    </row>
    <row r="2669" customFormat="false" ht="15" hidden="false" customHeight="false" outlineLevel="0" collapsed="false">
      <c r="A2669" s="32" t="str">
        <f aca="false">IF(B2669="","",ROW()-7)</f>
        <v/>
      </c>
      <c r="B2669" s="30"/>
      <c r="C2669" s="29"/>
      <c r="D2669" s="29"/>
      <c r="E2669" s="29"/>
      <c r="F2669" s="30"/>
      <c r="G2669" s="29"/>
      <c r="H2669" s="30"/>
      <c r="I2669" s="29"/>
      <c r="J2669" s="30"/>
      <c r="K2669" s="30"/>
      <c r="L2669" s="29"/>
      <c r="M2669" s="32" t="str">
        <f aca="false">IF(OR(C2669="",L2669=""),"",IF(C2669=L2669,"同一","変更"))</f>
        <v/>
      </c>
      <c r="N2669" s="29"/>
      <c r="O2669" s="30"/>
      <c r="P2669" s="29"/>
      <c r="Q2669" s="31"/>
      <c r="R2669" s="29"/>
      <c r="S2669" s="29"/>
      <c r="T2669" s="30"/>
      <c r="U2669" s="47" t="str">
        <f aca="false">IF(AND(B2669&lt;&gt;"",B2669=SW別シート!$C$3),COUNTIF(B$5:B2669,B2669),"")</f>
        <v/>
      </c>
      <c r="V2669" s="47" t="n">
        <f aca="false">V2668+IF(OR(O2669&lt;&gt;"",W2669&lt;&gt;""),1,0)</f>
        <v>3</v>
      </c>
      <c r="W2669" s="29"/>
    </row>
    <row r="2670" customFormat="false" ht="15" hidden="false" customHeight="false" outlineLevel="0" collapsed="false">
      <c r="A2670" s="32" t="str">
        <f aca="false">IF(B2670="","",ROW()-7)</f>
        <v/>
      </c>
      <c r="B2670" s="30"/>
      <c r="C2670" s="29"/>
      <c r="D2670" s="29"/>
      <c r="E2670" s="29"/>
      <c r="F2670" s="30"/>
      <c r="G2670" s="29"/>
      <c r="H2670" s="30"/>
      <c r="I2670" s="29"/>
      <c r="J2670" s="30"/>
      <c r="K2670" s="30"/>
      <c r="L2670" s="29"/>
      <c r="M2670" s="32" t="str">
        <f aca="false">IF(OR(C2670="",L2670=""),"",IF(C2670=L2670,"同一","変更"))</f>
        <v/>
      </c>
      <c r="N2670" s="29"/>
      <c r="O2670" s="30"/>
      <c r="P2670" s="29"/>
      <c r="Q2670" s="31"/>
      <c r="R2670" s="29"/>
      <c r="S2670" s="29"/>
      <c r="T2670" s="30"/>
      <c r="U2670" s="47" t="str">
        <f aca="false">IF(AND(B2670&lt;&gt;"",B2670=SW別シート!$C$3),COUNTIF(B$5:B2670,B2670),"")</f>
        <v/>
      </c>
      <c r="V2670" s="47" t="n">
        <f aca="false">V2669+IF(OR(O2670&lt;&gt;"",W2670&lt;&gt;""),1,0)</f>
        <v>3</v>
      </c>
      <c r="W2670" s="29"/>
    </row>
    <row r="2671" customFormat="false" ht="15" hidden="false" customHeight="false" outlineLevel="0" collapsed="false">
      <c r="A2671" s="32" t="str">
        <f aca="false">IF(B2671="","",ROW()-7)</f>
        <v/>
      </c>
      <c r="B2671" s="30"/>
      <c r="C2671" s="29"/>
      <c r="D2671" s="29"/>
      <c r="E2671" s="29"/>
      <c r="F2671" s="30"/>
      <c r="G2671" s="29"/>
      <c r="H2671" s="30"/>
      <c r="I2671" s="29"/>
      <c r="J2671" s="30"/>
      <c r="K2671" s="30"/>
      <c r="L2671" s="29"/>
      <c r="M2671" s="32" t="str">
        <f aca="false">IF(OR(C2671="",L2671=""),"",IF(C2671=L2671,"同一","変更"))</f>
        <v/>
      </c>
      <c r="N2671" s="29"/>
      <c r="O2671" s="30"/>
      <c r="P2671" s="29"/>
      <c r="Q2671" s="31"/>
      <c r="R2671" s="29"/>
      <c r="S2671" s="29"/>
      <c r="T2671" s="30"/>
      <c r="U2671" s="47" t="str">
        <f aca="false">IF(AND(B2671&lt;&gt;"",B2671=SW別シート!$C$3),COUNTIF(B$5:B2671,B2671),"")</f>
        <v/>
      </c>
      <c r="V2671" s="47" t="n">
        <f aca="false">V2670+IF(OR(O2671&lt;&gt;"",W2671&lt;&gt;""),1,0)</f>
        <v>3</v>
      </c>
      <c r="W2671" s="29"/>
    </row>
    <row r="2672" customFormat="false" ht="15" hidden="false" customHeight="false" outlineLevel="0" collapsed="false">
      <c r="A2672" s="32" t="str">
        <f aca="false">IF(B2672="","",ROW()-7)</f>
        <v/>
      </c>
      <c r="B2672" s="30"/>
      <c r="C2672" s="29"/>
      <c r="D2672" s="29"/>
      <c r="E2672" s="29"/>
      <c r="F2672" s="30"/>
      <c r="G2672" s="29"/>
      <c r="H2672" s="30"/>
      <c r="I2672" s="29"/>
      <c r="J2672" s="30"/>
      <c r="K2672" s="30"/>
      <c r="L2672" s="29"/>
      <c r="M2672" s="32" t="str">
        <f aca="false">IF(OR(C2672="",L2672=""),"",IF(C2672=L2672,"同一","変更"))</f>
        <v/>
      </c>
      <c r="N2672" s="29"/>
      <c r="O2672" s="30"/>
      <c r="P2672" s="29"/>
      <c r="Q2672" s="31"/>
      <c r="R2672" s="29"/>
      <c r="S2672" s="29"/>
      <c r="T2672" s="30"/>
      <c r="U2672" s="47" t="str">
        <f aca="false">IF(AND(B2672&lt;&gt;"",B2672=SW別シート!$C$3),COUNTIF(B$5:B2672,B2672),"")</f>
        <v/>
      </c>
      <c r="V2672" s="47" t="n">
        <f aca="false">V2671+IF(OR(O2672&lt;&gt;"",W2672&lt;&gt;""),1,0)</f>
        <v>3</v>
      </c>
      <c r="W2672" s="29"/>
    </row>
    <row r="2673" customFormat="false" ht="15" hidden="false" customHeight="false" outlineLevel="0" collapsed="false">
      <c r="A2673" s="32" t="str">
        <f aca="false">IF(B2673="","",ROW()-7)</f>
        <v/>
      </c>
      <c r="B2673" s="30"/>
      <c r="C2673" s="29"/>
      <c r="D2673" s="29"/>
      <c r="E2673" s="29"/>
      <c r="F2673" s="30"/>
      <c r="G2673" s="29"/>
      <c r="H2673" s="30"/>
      <c r="I2673" s="29"/>
      <c r="J2673" s="30"/>
      <c r="K2673" s="30"/>
      <c r="L2673" s="29"/>
      <c r="M2673" s="32" t="str">
        <f aca="false">IF(OR(C2673="",L2673=""),"",IF(C2673=L2673,"同一","変更"))</f>
        <v/>
      </c>
      <c r="N2673" s="29"/>
      <c r="O2673" s="30"/>
      <c r="P2673" s="29"/>
      <c r="Q2673" s="31"/>
      <c r="R2673" s="29"/>
      <c r="S2673" s="29"/>
      <c r="T2673" s="30"/>
      <c r="U2673" s="47" t="str">
        <f aca="false">IF(AND(B2673&lt;&gt;"",B2673=SW別シート!$C$3),COUNTIF(B$5:B2673,B2673),"")</f>
        <v/>
      </c>
      <c r="V2673" s="47" t="n">
        <f aca="false">V2672+IF(OR(O2673&lt;&gt;"",W2673&lt;&gt;""),1,0)</f>
        <v>3</v>
      </c>
      <c r="W2673" s="29"/>
    </row>
    <row r="2674" customFormat="false" ht="15" hidden="false" customHeight="false" outlineLevel="0" collapsed="false">
      <c r="A2674" s="32" t="str">
        <f aca="false">IF(B2674="","",ROW()-7)</f>
        <v/>
      </c>
      <c r="B2674" s="30"/>
      <c r="C2674" s="29"/>
      <c r="D2674" s="29"/>
      <c r="E2674" s="29"/>
      <c r="F2674" s="30"/>
      <c r="G2674" s="29"/>
      <c r="H2674" s="30"/>
      <c r="I2674" s="29"/>
      <c r="J2674" s="30"/>
      <c r="K2674" s="30"/>
      <c r="L2674" s="29"/>
      <c r="M2674" s="32" t="str">
        <f aca="false">IF(OR(C2674="",L2674=""),"",IF(C2674=L2674,"同一","変更"))</f>
        <v/>
      </c>
      <c r="N2674" s="29"/>
      <c r="O2674" s="30"/>
      <c r="P2674" s="29"/>
      <c r="Q2674" s="31"/>
      <c r="R2674" s="29"/>
      <c r="S2674" s="29"/>
      <c r="T2674" s="30"/>
      <c r="U2674" s="47" t="str">
        <f aca="false">IF(AND(B2674&lt;&gt;"",B2674=SW別シート!$C$3),COUNTIF(B$5:B2674,B2674),"")</f>
        <v/>
      </c>
      <c r="V2674" s="47" t="n">
        <f aca="false">V2673+IF(OR(O2674&lt;&gt;"",W2674&lt;&gt;""),1,0)</f>
        <v>3</v>
      </c>
      <c r="W2674" s="29"/>
    </row>
    <row r="2675" customFormat="false" ht="15" hidden="false" customHeight="false" outlineLevel="0" collapsed="false">
      <c r="A2675" s="32" t="str">
        <f aca="false">IF(B2675="","",ROW()-7)</f>
        <v/>
      </c>
      <c r="B2675" s="30"/>
      <c r="C2675" s="29"/>
      <c r="D2675" s="29"/>
      <c r="E2675" s="29"/>
      <c r="F2675" s="30"/>
      <c r="G2675" s="29"/>
      <c r="H2675" s="30"/>
      <c r="I2675" s="29"/>
      <c r="J2675" s="30"/>
      <c r="K2675" s="30"/>
      <c r="L2675" s="29"/>
      <c r="M2675" s="32" t="str">
        <f aca="false">IF(OR(C2675="",L2675=""),"",IF(C2675=L2675,"同一","変更"))</f>
        <v/>
      </c>
      <c r="N2675" s="29"/>
      <c r="O2675" s="30"/>
      <c r="P2675" s="29"/>
      <c r="Q2675" s="31"/>
      <c r="R2675" s="29"/>
      <c r="S2675" s="29"/>
      <c r="T2675" s="30"/>
      <c r="U2675" s="47" t="str">
        <f aca="false">IF(AND(B2675&lt;&gt;"",B2675=SW別シート!$C$3),COUNTIF(B$5:B2675,B2675),"")</f>
        <v/>
      </c>
      <c r="V2675" s="47" t="n">
        <f aca="false">V2674+IF(OR(O2675&lt;&gt;"",W2675&lt;&gt;""),1,0)</f>
        <v>3</v>
      </c>
      <c r="W2675" s="29"/>
    </row>
    <row r="2676" customFormat="false" ht="15" hidden="false" customHeight="false" outlineLevel="0" collapsed="false">
      <c r="A2676" s="32" t="str">
        <f aca="false">IF(B2676="","",ROW()-7)</f>
        <v/>
      </c>
      <c r="B2676" s="30"/>
      <c r="C2676" s="29"/>
      <c r="D2676" s="29"/>
      <c r="E2676" s="29"/>
      <c r="F2676" s="30"/>
      <c r="G2676" s="29"/>
      <c r="H2676" s="30"/>
      <c r="I2676" s="29"/>
      <c r="J2676" s="30"/>
      <c r="K2676" s="30"/>
      <c r="L2676" s="29"/>
      <c r="M2676" s="32" t="str">
        <f aca="false">IF(OR(C2676="",L2676=""),"",IF(C2676=L2676,"同一","変更"))</f>
        <v/>
      </c>
      <c r="N2676" s="29"/>
      <c r="O2676" s="30"/>
      <c r="P2676" s="29"/>
      <c r="Q2676" s="31"/>
      <c r="R2676" s="29"/>
      <c r="S2676" s="29"/>
      <c r="T2676" s="30"/>
      <c r="U2676" s="47" t="str">
        <f aca="false">IF(AND(B2676&lt;&gt;"",B2676=SW別シート!$C$3),COUNTIF(B$5:B2676,B2676),"")</f>
        <v/>
      </c>
      <c r="V2676" s="47" t="n">
        <f aca="false">V2675+IF(OR(O2676&lt;&gt;"",W2676&lt;&gt;""),1,0)</f>
        <v>3</v>
      </c>
      <c r="W2676" s="29"/>
    </row>
    <row r="2677" customFormat="false" ht="15" hidden="false" customHeight="false" outlineLevel="0" collapsed="false">
      <c r="A2677" s="32" t="str">
        <f aca="false">IF(B2677="","",ROW()-7)</f>
        <v/>
      </c>
      <c r="B2677" s="30"/>
      <c r="C2677" s="29"/>
      <c r="D2677" s="29"/>
      <c r="E2677" s="29"/>
      <c r="F2677" s="30"/>
      <c r="G2677" s="29"/>
      <c r="H2677" s="30"/>
      <c r="I2677" s="29"/>
      <c r="J2677" s="30"/>
      <c r="K2677" s="30"/>
      <c r="L2677" s="29"/>
      <c r="M2677" s="32" t="str">
        <f aca="false">IF(OR(C2677="",L2677=""),"",IF(C2677=L2677,"同一","変更"))</f>
        <v/>
      </c>
      <c r="N2677" s="29"/>
      <c r="O2677" s="30"/>
      <c r="P2677" s="29"/>
      <c r="Q2677" s="31"/>
      <c r="R2677" s="29"/>
      <c r="S2677" s="29"/>
      <c r="T2677" s="30"/>
      <c r="U2677" s="47" t="str">
        <f aca="false">IF(AND(B2677&lt;&gt;"",B2677=SW別シート!$C$3),COUNTIF(B$5:B2677,B2677),"")</f>
        <v/>
      </c>
      <c r="V2677" s="47" t="n">
        <f aca="false">V2676+IF(OR(O2677&lt;&gt;"",W2677&lt;&gt;""),1,0)</f>
        <v>3</v>
      </c>
      <c r="W2677" s="29"/>
    </row>
    <row r="2678" customFormat="false" ht="15" hidden="false" customHeight="false" outlineLevel="0" collapsed="false">
      <c r="A2678" s="32" t="str">
        <f aca="false">IF(B2678="","",ROW()-7)</f>
        <v/>
      </c>
      <c r="B2678" s="30"/>
      <c r="C2678" s="29"/>
      <c r="D2678" s="29"/>
      <c r="E2678" s="29"/>
      <c r="F2678" s="30"/>
      <c r="G2678" s="29"/>
      <c r="H2678" s="30"/>
      <c r="I2678" s="29"/>
      <c r="J2678" s="30"/>
      <c r="K2678" s="30"/>
      <c r="L2678" s="29"/>
      <c r="M2678" s="32" t="str">
        <f aca="false">IF(OR(C2678="",L2678=""),"",IF(C2678=L2678,"同一","変更"))</f>
        <v/>
      </c>
      <c r="N2678" s="29"/>
      <c r="O2678" s="30"/>
      <c r="P2678" s="29"/>
      <c r="Q2678" s="31"/>
      <c r="R2678" s="29"/>
      <c r="S2678" s="29"/>
      <c r="T2678" s="30"/>
      <c r="U2678" s="47" t="str">
        <f aca="false">IF(AND(B2678&lt;&gt;"",B2678=SW別シート!$C$3),COUNTIF(B$5:B2678,B2678),"")</f>
        <v/>
      </c>
      <c r="V2678" s="47" t="n">
        <f aca="false">V2677+IF(OR(O2678&lt;&gt;"",W2678&lt;&gt;""),1,0)</f>
        <v>3</v>
      </c>
      <c r="W2678" s="29"/>
    </row>
    <row r="2679" customFormat="false" ht="15" hidden="false" customHeight="false" outlineLevel="0" collapsed="false">
      <c r="A2679" s="32" t="str">
        <f aca="false">IF(B2679="","",ROW()-7)</f>
        <v/>
      </c>
      <c r="B2679" s="30"/>
      <c r="C2679" s="29"/>
      <c r="D2679" s="29"/>
      <c r="E2679" s="29"/>
      <c r="F2679" s="30"/>
      <c r="G2679" s="29"/>
      <c r="H2679" s="30"/>
      <c r="I2679" s="29"/>
      <c r="J2679" s="30"/>
      <c r="K2679" s="30"/>
      <c r="L2679" s="29"/>
      <c r="M2679" s="32" t="str">
        <f aca="false">IF(OR(C2679="",L2679=""),"",IF(C2679=L2679,"同一","変更"))</f>
        <v/>
      </c>
      <c r="N2679" s="29"/>
      <c r="O2679" s="30"/>
      <c r="P2679" s="29"/>
      <c r="Q2679" s="31"/>
      <c r="R2679" s="29"/>
      <c r="S2679" s="29"/>
      <c r="T2679" s="30"/>
      <c r="U2679" s="47" t="str">
        <f aca="false">IF(AND(B2679&lt;&gt;"",B2679=SW別シート!$C$3),COUNTIF(B$5:B2679,B2679),"")</f>
        <v/>
      </c>
      <c r="V2679" s="47" t="n">
        <f aca="false">V2678+IF(OR(O2679&lt;&gt;"",W2679&lt;&gt;""),1,0)</f>
        <v>3</v>
      </c>
      <c r="W2679" s="29"/>
    </row>
    <row r="2680" customFormat="false" ht="15" hidden="false" customHeight="false" outlineLevel="0" collapsed="false">
      <c r="A2680" s="32" t="str">
        <f aca="false">IF(B2680="","",ROW()-7)</f>
        <v/>
      </c>
      <c r="B2680" s="30"/>
      <c r="C2680" s="29"/>
      <c r="D2680" s="29"/>
      <c r="E2680" s="29"/>
      <c r="F2680" s="30"/>
      <c r="G2680" s="29"/>
      <c r="H2680" s="30"/>
      <c r="I2680" s="29"/>
      <c r="J2680" s="30"/>
      <c r="K2680" s="30"/>
      <c r="L2680" s="29"/>
      <c r="M2680" s="32" t="str">
        <f aca="false">IF(OR(C2680="",L2680=""),"",IF(C2680=L2680,"同一","変更"))</f>
        <v/>
      </c>
      <c r="N2680" s="29"/>
      <c r="O2680" s="30"/>
      <c r="P2680" s="29"/>
      <c r="Q2680" s="31"/>
      <c r="R2680" s="29"/>
      <c r="S2680" s="29"/>
      <c r="T2680" s="30"/>
      <c r="U2680" s="47" t="str">
        <f aca="false">IF(AND(B2680&lt;&gt;"",B2680=SW別シート!$C$3),COUNTIF(B$5:B2680,B2680),"")</f>
        <v/>
      </c>
      <c r="V2680" s="47" t="n">
        <f aca="false">V2679+IF(OR(O2680&lt;&gt;"",W2680&lt;&gt;""),1,0)</f>
        <v>3</v>
      </c>
      <c r="W2680" s="29"/>
    </row>
    <row r="2681" customFormat="false" ht="15" hidden="false" customHeight="false" outlineLevel="0" collapsed="false">
      <c r="A2681" s="32" t="str">
        <f aca="false">IF(B2681="","",ROW()-7)</f>
        <v/>
      </c>
      <c r="B2681" s="30"/>
      <c r="C2681" s="29"/>
      <c r="D2681" s="29"/>
      <c r="E2681" s="29"/>
      <c r="F2681" s="30"/>
      <c r="G2681" s="29"/>
      <c r="H2681" s="30"/>
      <c r="I2681" s="29"/>
      <c r="J2681" s="30"/>
      <c r="K2681" s="30"/>
      <c r="L2681" s="29"/>
      <c r="M2681" s="32" t="str">
        <f aca="false">IF(OR(C2681="",L2681=""),"",IF(C2681=L2681,"同一","変更"))</f>
        <v/>
      </c>
      <c r="N2681" s="29"/>
      <c r="O2681" s="30"/>
      <c r="P2681" s="29"/>
      <c r="Q2681" s="31"/>
      <c r="R2681" s="29"/>
      <c r="S2681" s="29"/>
      <c r="T2681" s="30"/>
      <c r="U2681" s="47" t="str">
        <f aca="false">IF(AND(B2681&lt;&gt;"",B2681=SW別シート!$C$3),COUNTIF(B$5:B2681,B2681),"")</f>
        <v/>
      </c>
      <c r="V2681" s="47" t="n">
        <f aca="false">V2680+IF(OR(O2681&lt;&gt;"",W2681&lt;&gt;""),1,0)</f>
        <v>3</v>
      </c>
      <c r="W2681" s="29"/>
    </row>
    <row r="2682" customFormat="false" ht="15" hidden="false" customHeight="false" outlineLevel="0" collapsed="false">
      <c r="A2682" s="32" t="str">
        <f aca="false">IF(B2682="","",ROW()-7)</f>
        <v/>
      </c>
      <c r="B2682" s="30"/>
      <c r="C2682" s="29"/>
      <c r="D2682" s="29"/>
      <c r="E2682" s="29"/>
      <c r="F2682" s="30"/>
      <c r="G2682" s="29"/>
      <c r="H2682" s="30"/>
      <c r="I2682" s="29"/>
      <c r="J2682" s="30"/>
      <c r="K2682" s="30"/>
      <c r="L2682" s="29"/>
      <c r="M2682" s="32" t="str">
        <f aca="false">IF(OR(C2682="",L2682=""),"",IF(C2682=L2682,"同一","変更"))</f>
        <v/>
      </c>
      <c r="N2682" s="29"/>
      <c r="O2682" s="30"/>
      <c r="P2682" s="29"/>
      <c r="Q2682" s="31"/>
      <c r="R2682" s="29"/>
      <c r="S2682" s="29"/>
      <c r="T2682" s="30"/>
      <c r="U2682" s="47" t="str">
        <f aca="false">IF(AND(B2682&lt;&gt;"",B2682=SW別シート!$C$3),COUNTIF(B$5:B2682,B2682),"")</f>
        <v/>
      </c>
      <c r="V2682" s="47" t="n">
        <f aca="false">V2681+IF(OR(O2682&lt;&gt;"",W2682&lt;&gt;""),1,0)</f>
        <v>3</v>
      </c>
      <c r="W2682" s="29"/>
    </row>
    <row r="2683" customFormat="false" ht="15" hidden="false" customHeight="false" outlineLevel="0" collapsed="false">
      <c r="A2683" s="32" t="str">
        <f aca="false">IF(B2683="","",ROW()-7)</f>
        <v/>
      </c>
      <c r="B2683" s="30"/>
      <c r="C2683" s="29"/>
      <c r="D2683" s="29"/>
      <c r="E2683" s="29"/>
      <c r="F2683" s="30"/>
      <c r="G2683" s="29"/>
      <c r="H2683" s="30"/>
      <c r="I2683" s="29"/>
      <c r="J2683" s="30"/>
      <c r="K2683" s="30"/>
      <c r="L2683" s="29"/>
      <c r="M2683" s="32" t="str">
        <f aca="false">IF(OR(C2683="",L2683=""),"",IF(C2683=L2683,"同一","変更"))</f>
        <v/>
      </c>
      <c r="N2683" s="29"/>
      <c r="O2683" s="30"/>
      <c r="P2683" s="29"/>
      <c r="Q2683" s="31"/>
      <c r="R2683" s="29"/>
      <c r="S2683" s="29"/>
      <c r="T2683" s="30"/>
      <c r="U2683" s="47" t="str">
        <f aca="false">IF(AND(B2683&lt;&gt;"",B2683=SW別シート!$C$3),COUNTIF(B$5:B2683,B2683),"")</f>
        <v/>
      </c>
      <c r="V2683" s="47" t="n">
        <f aca="false">V2682+IF(OR(O2683&lt;&gt;"",W2683&lt;&gt;""),1,0)</f>
        <v>3</v>
      </c>
      <c r="W2683" s="29"/>
    </row>
    <row r="2684" customFormat="false" ht="15" hidden="false" customHeight="false" outlineLevel="0" collapsed="false">
      <c r="A2684" s="32" t="str">
        <f aca="false">IF(B2684="","",ROW()-7)</f>
        <v/>
      </c>
      <c r="B2684" s="30"/>
      <c r="C2684" s="29"/>
      <c r="D2684" s="29"/>
      <c r="E2684" s="29"/>
      <c r="F2684" s="30"/>
      <c r="G2684" s="29"/>
      <c r="H2684" s="30"/>
      <c r="I2684" s="29"/>
      <c r="J2684" s="30"/>
      <c r="K2684" s="30"/>
      <c r="L2684" s="29"/>
      <c r="M2684" s="32" t="str">
        <f aca="false">IF(OR(C2684="",L2684=""),"",IF(C2684=L2684,"同一","変更"))</f>
        <v/>
      </c>
      <c r="N2684" s="29"/>
      <c r="O2684" s="30"/>
      <c r="P2684" s="29"/>
      <c r="Q2684" s="31"/>
      <c r="R2684" s="29"/>
      <c r="S2684" s="29"/>
      <c r="T2684" s="30"/>
      <c r="U2684" s="47" t="str">
        <f aca="false">IF(AND(B2684&lt;&gt;"",B2684=SW別シート!$C$3),COUNTIF(B$5:B2684,B2684),"")</f>
        <v/>
      </c>
      <c r="V2684" s="47" t="n">
        <f aca="false">V2683+IF(OR(O2684&lt;&gt;"",W2684&lt;&gt;""),1,0)</f>
        <v>3</v>
      </c>
      <c r="W2684" s="29"/>
    </row>
    <row r="2685" customFormat="false" ht="15" hidden="false" customHeight="false" outlineLevel="0" collapsed="false">
      <c r="A2685" s="32" t="str">
        <f aca="false">IF(B2685="","",ROW()-7)</f>
        <v/>
      </c>
      <c r="B2685" s="30"/>
      <c r="C2685" s="29"/>
      <c r="D2685" s="29"/>
      <c r="E2685" s="29"/>
      <c r="F2685" s="30"/>
      <c r="G2685" s="29"/>
      <c r="H2685" s="30"/>
      <c r="I2685" s="29"/>
      <c r="J2685" s="30"/>
      <c r="K2685" s="30"/>
      <c r="L2685" s="29"/>
      <c r="M2685" s="32" t="str">
        <f aca="false">IF(OR(C2685="",L2685=""),"",IF(C2685=L2685,"同一","変更"))</f>
        <v/>
      </c>
      <c r="N2685" s="29"/>
      <c r="O2685" s="30"/>
      <c r="P2685" s="29"/>
      <c r="Q2685" s="31"/>
      <c r="R2685" s="29"/>
      <c r="S2685" s="29"/>
      <c r="T2685" s="30"/>
      <c r="U2685" s="47" t="str">
        <f aca="false">IF(AND(B2685&lt;&gt;"",B2685=SW別シート!$C$3),COUNTIF(B$5:B2685,B2685),"")</f>
        <v/>
      </c>
      <c r="V2685" s="47" t="n">
        <f aca="false">V2684+IF(OR(O2685&lt;&gt;"",W2685&lt;&gt;""),1,0)</f>
        <v>3</v>
      </c>
      <c r="W2685" s="29"/>
    </row>
    <row r="2686" customFormat="false" ht="15" hidden="false" customHeight="false" outlineLevel="0" collapsed="false">
      <c r="A2686" s="32" t="str">
        <f aca="false">IF(B2686="","",ROW()-7)</f>
        <v/>
      </c>
      <c r="B2686" s="30"/>
      <c r="C2686" s="29"/>
      <c r="D2686" s="29"/>
      <c r="E2686" s="29"/>
      <c r="F2686" s="30"/>
      <c r="G2686" s="29"/>
      <c r="H2686" s="30"/>
      <c r="I2686" s="29"/>
      <c r="J2686" s="30"/>
      <c r="K2686" s="30"/>
      <c r="L2686" s="29"/>
      <c r="M2686" s="32" t="str">
        <f aca="false">IF(OR(C2686="",L2686=""),"",IF(C2686=L2686,"同一","変更"))</f>
        <v/>
      </c>
      <c r="N2686" s="29"/>
      <c r="O2686" s="30"/>
      <c r="P2686" s="29"/>
      <c r="Q2686" s="31"/>
      <c r="R2686" s="29"/>
      <c r="S2686" s="29"/>
      <c r="T2686" s="30"/>
      <c r="U2686" s="47" t="str">
        <f aca="false">IF(AND(B2686&lt;&gt;"",B2686=SW別シート!$C$3),COUNTIF(B$5:B2686,B2686),"")</f>
        <v/>
      </c>
      <c r="V2686" s="47" t="n">
        <f aca="false">V2685+IF(OR(O2686&lt;&gt;"",W2686&lt;&gt;""),1,0)</f>
        <v>3</v>
      </c>
      <c r="W2686" s="29"/>
    </row>
    <row r="2687" customFormat="false" ht="15" hidden="false" customHeight="false" outlineLevel="0" collapsed="false">
      <c r="A2687" s="32" t="str">
        <f aca="false">IF(B2687="","",ROW()-7)</f>
        <v/>
      </c>
      <c r="B2687" s="30"/>
      <c r="C2687" s="29"/>
      <c r="D2687" s="29"/>
      <c r="E2687" s="29"/>
      <c r="F2687" s="30"/>
      <c r="G2687" s="29"/>
      <c r="H2687" s="30"/>
      <c r="I2687" s="29"/>
      <c r="J2687" s="30"/>
      <c r="K2687" s="30"/>
      <c r="L2687" s="29"/>
      <c r="M2687" s="32" t="str">
        <f aca="false">IF(OR(C2687="",L2687=""),"",IF(C2687=L2687,"同一","変更"))</f>
        <v/>
      </c>
      <c r="N2687" s="29"/>
      <c r="O2687" s="30"/>
      <c r="P2687" s="29"/>
      <c r="Q2687" s="31"/>
      <c r="R2687" s="29"/>
      <c r="S2687" s="29"/>
      <c r="T2687" s="30"/>
      <c r="U2687" s="47" t="str">
        <f aca="false">IF(AND(B2687&lt;&gt;"",B2687=SW別シート!$C$3),COUNTIF(B$5:B2687,B2687),"")</f>
        <v/>
      </c>
      <c r="V2687" s="47" t="n">
        <f aca="false">V2686+IF(OR(O2687&lt;&gt;"",W2687&lt;&gt;""),1,0)</f>
        <v>3</v>
      </c>
      <c r="W2687" s="29"/>
    </row>
    <row r="2688" customFormat="false" ht="15" hidden="false" customHeight="false" outlineLevel="0" collapsed="false">
      <c r="A2688" s="32" t="str">
        <f aca="false">IF(B2688="","",ROW()-7)</f>
        <v/>
      </c>
      <c r="B2688" s="30"/>
      <c r="C2688" s="29"/>
      <c r="D2688" s="29"/>
      <c r="E2688" s="29"/>
      <c r="F2688" s="30"/>
      <c r="G2688" s="29"/>
      <c r="H2688" s="30"/>
      <c r="I2688" s="29"/>
      <c r="J2688" s="30"/>
      <c r="K2688" s="30"/>
      <c r="L2688" s="29"/>
      <c r="M2688" s="32" t="str">
        <f aca="false">IF(OR(C2688="",L2688=""),"",IF(C2688=L2688,"同一","変更"))</f>
        <v/>
      </c>
      <c r="N2688" s="29"/>
      <c r="O2688" s="30"/>
      <c r="P2688" s="29"/>
      <c r="Q2688" s="31"/>
      <c r="R2688" s="29"/>
      <c r="S2688" s="29"/>
      <c r="T2688" s="30"/>
      <c r="U2688" s="47" t="str">
        <f aca="false">IF(AND(B2688&lt;&gt;"",B2688=SW別シート!$C$3),COUNTIF(B$5:B2688,B2688),"")</f>
        <v/>
      </c>
      <c r="V2688" s="47" t="n">
        <f aca="false">V2687+IF(OR(O2688&lt;&gt;"",W2688&lt;&gt;""),1,0)</f>
        <v>3</v>
      </c>
      <c r="W2688" s="29"/>
    </row>
    <row r="2689" customFormat="false" ht="15" hidden="false" customHeight="false" outlineLevel="0" collapsed="false">
      <c r="A2689" s="32" t="str">
        <f aca="false">IF(B2689="","",ROW()-7)</f>
        <v/>
      </c>
      <c r="B2689" s="30"/>
      <c r="C2689" s="29"/>
      <c r="D2689" s="29"/>
      <c r="E2689" s="29"/>
      <c r="F2689" s="30"/>
      <c r="G2689" s="29"/>
      <c r="H2689" s="30"/>
      <c r="I2689" s="29"/>
      <c r="J2689" s="30"/>
      <c r="K2689" s="30"/>
      <c r="L2689" s="29"/>
      <c r="M2689" s="32" t="str">
        <f aca="false">IF(OR(C2689="",L2689=""),"",IF(C2689=L2689,"同一","変更"))</f>
        <v/>
      </c>
      <c r="N2689" s="29"/>
      <c r="O2689" s="30"/>
      <c r="P2689" s="29"/>
      <c r="Q2689" s="31"/>
      <c r="R2689" s="29"/>
      <c r="S2689" s="29"/>
      <c r="T2689" s="30"/>
      <c r="U2689" s="47" t="str">
        <f aca="false">IF(AND(B2689&lt;&gt;"",B2689=SW別シート!$C$3),COUNTIF(B$5:B2689,B2689),"")</f>
        <v/>
      </c>
      <c r="V2689" s="47" t="n">
        <f aca="false">V2688+IF(OR(O2689&lt;&gt;"",W2689&lt;&gt;""),1,0)</f>
        <v>3</v>
      </c>
      <c r="W2689" s="29"/>
    </row>
    <row r="2690" customFormat="false" ht="15" hidden="false" customHeight="false" outlineLevel="0" collapsed="false">
      <c r="A2690" s="32" t="str">
        <f aca="false">IF(B2690="","",ROW()-7)</f>
        <v/>
      </c>
      <c r="B2690" s="30"/>
      <c r="C2690" s="29"/>
      <c r="D2690" s="29"/>
      <c r="E2690" s="29"/>
      <c r="F2690" s="30"/>
      <c r="G2690" s="29"/>
      <c r="H2690" s="30"/>
      <c r="I2690" s="29"/>
      <c r="J2690" s="30"/>
      <c r="K2690" s="30"/>
      <c r="L2690" s="29"/>
      <c r="M2690" s="32" t="str">
        <f aca="false">IF(OR(C2690="",L2690=""),"",IF(C2690=L2690,"同一","変更"))</f>
        <v/>
      </c>
      <c r="N2690" s="29"/>
      <c r="O2690" s="30"/>
      <c r="P2690" s="29"/>
      <c r="Q2690" s="31"/>
      <c r="R2690" s="29"/>
      <c r="S2690" s="29"/>
      <c r="T2690" s="30"/>
      <c r="U2690" s="47" t="str">
        <f aca="false">IF(AND(B2690&lt;&gt;"",B2690=SW別シート!$C$3),COUNTIF(B$5:B2690,B2690),"")</f>
        <v/>
      </c>
      <c r="V2690" s="47" t="n">
        <f aca="false">V2689+IF(OR(O2690&lt;&gt;"",W2690&lt;&gt;""),1,0)</f>
        <v>3</v>
      </c>
      <c r="W2690" s="29"/>
    </row>
    <row r="2691" customFormat="false" ht="15" hidden="false" customHeight="false" outlineLevel="0" collapsed="false">
      <c r="A2691" s="32" t="str">
        <f aca="false">IF(B2691="","",ROW()-7)</f>
        <v/>
      </c>
      <c r="B2691" s="30"/>
      <c r="C2691" s="29"/>
      <c r="D2691" s="29"/>
      <c r="E2691" s="29"/>
      <c r="F2691" s="30"/>
      <c r="G2691" s="29"/>
      <c r="H2691" s="30"/>
      <c r="I2691" s="29"/>
      <c r="J2691" s="30"/>
      <c r="K2691" s="30"/>
      <c r="L2691" s="29"/>
      <c r="M2691" s="32" t="str">
        <f aca="false">IF(OR(C2691="",L2691=""),"",IF(C2691=L2691,"同一","変更"))</f>
        <v/>
      </c>
      <c r="N2691" s="29"/>
      <c r="O2691" s="30"/>
      <c r="P2691" s="29"/>
      <c r="Q2691" s="31"/>
      <c r="R2691" s="29"/>
      <c r="S2691" s="29"/>
      <c r="T2691" s="30"/>
      <c r="U2691" s="47" t="str">
        <f aca="false">IF(AND(B2691&lt;&gt;"",B2691=SW別シート!$C$3),COUNTIF(B$5:B2691,B2691),"")</f>
        <v/>
      </c>
      <c r="V2691" s="47" t="n">
        <f aca="false">V2690+IF(OR(O2691&lt;&gt;"",W2691&lt;&gt;""),1,0)</f>
        <v>3</v>
      </c>
      <c r="W2691" s="29"/>
    </row>
    <row r="2692" customFormat="false" ht="15" hidden="false" customHeight="false" outlineLevel="0" collapsed="false">
      <c r="A2692" s="32" t="str">
        <f aca="false">IF(B2692="","",ROW()-7)</f>
        <v/>
      </c>
      <c r="B2692" s="30"/>
      <c r="C2692" s="29"/>
      <c r="D2692" s="29"/>
      <c r="E2692" s="29"/>
      <c r="F2692" s="30"/>
      <c r="G2692" s="29"/>
      <c r="H2692" s="30"/>
      <c r="I2692" s="29"/>
      <c r="J2692" s="30"/>
      <c r="K2692" s="30"/>
      <c r="L2692" s="29"/>
      <c r="M2692" s="32" t="str">
        <f aca="false">IF(OR(C2692="",L2692=""),"",IF(C2692=L2692,"同一","変更"))</f>
        <v/>
      </c>
      <c r="N2692" s="29"/>
      <c r="O2692" s="30"/>
      <c r="P2692" s="29"/>
      <c r="Q2692" s="31"/>
      <c r="R2692" s="29"/>
      <c r="S2692" s="29"/>
      <c r="T2692" s="30"/>
      <c r="U2692" s="47" t="str">
        <f aca="false">IF(AND(B2692&lt;&gt;"",B2692=SW別シート!$C$3),COUNTIF(B$5:B2692,B2692),"")</f>
        <v/>
      </c>
      <c r="V2692" s="47" t="n">
        <f aca="false">V2691+IF(OR(O2692&lt;&gt;"",W2692&lt;&gt;""),1,0)</f>
        <v>3</v>
      </c>
      <c r="W2692" s="29"/>
    </row>
    <row r="2693" customFormat="false" ht="15" hidden="false" customHeight="false" outlineLevel="0" collapsed="false">
      <c r="A2693" s="32" t="str">
        <f aca="false">IF(B2693="","",ROW()-7)</f>
        <v/>
      </c>
      <c r="B2693" s="30"/>
      <c r="C2693" s="29"/>
      <c r="D2693" s="29"/>
      <c r="E2693" s="29"/>
      <c r="F2693" s="30"/>
      <c r="G2693" s="29"/>
      <c r="H2693" s="30"/>
      <c r="I2693" s="29"/>
      <c r="J2693" s="30"/>
      <c r="K2693" s="30"/>
      <c r="L2693" s="29"/>
      <c r="M2693" s="32" t="str">
        <f aca="false">IF(OR(C2693="",L2693=""),"",IF(C2693=L2693,"同一","変更"))</f>
        <v/>
      </c>
      <c r="N2693" s="29"/>
      <c r="O2693" s="30"/>
      <c r="P2693" s="29"/>
      <c r="Q2693" s="31"/>
      <c r="R2693" s="29"/>
      <c r="S2693" s="29"/>
      <c r="T2693" s="30"/>
      <c r="U2693" s="47" t="str">
        <f aca="false">IF(AND(B2693&lt;&gt;"",B2693=SW別シート!$C$3),COUNTIF(B$5:B2693,B2693),"")</f>
        <v/>
      </c>
      <c r="V2693" s="47" t="n">
        <f aca="false">V2692+IF(OR(O2693&lt;&gt;"",W2693&lt;&gt;""),1,0)</f>
        <v>3</v>
      </c>
      <c r="W2693" s="29"/>
    </row>
    <row r="2694" customFormat="false" ht="15" hidden="false" customHeight="false" outlineLevel="0" collapsed="false">
      <c r="A2694" s="32" t="str">
        <f aca="false">IF(B2694="","",ROW()-7)</f>
        <v/>
      </c>
      <c r="B2694" s="30"/>
      <c r="C2694" s="29"/>
      <c r="D2694" s="29"/>
      <c r="E2694" s="29"/>
      <c r="F2694" s="30"/>
      <c r="G2694" s="29"/>
      <c r="H2694" s="30"/>
      <c r="I2694" s="29"/>
      <c r="J2694" s="30"/>
      <c r="K2694" s="30"/>
      <c r="L2694" s="29"/>
      <c r="M2694" s="32" t="str">
        <f aca="false">IF(OR(C2694="",L2694=""),"",IF(C2694=L2694,"同一","変更"))</f>
        <v/>
      </c>
      <c r="N2694" s="29"/>
      <c r="O2694" s="30"/>
      <c r="P2694" s="29"/>
      <c r="Q2694" s="31"/>
      <c r="R2694" s="29"/>
      <c r="S2694" s="29"/>
      <c r="T2694" s="30"/>
      <c r="U2694" s="47" t="str">
        <f aca="false">IF(AND(B2694&lt;&gt;"",B2694=SW別シート!$C$3),COUNTIF(B$5:B2694,B2694),"")</f>
        <v/>
      </c>
      <c r="V2694" s="47" t="n">
        <f aca="false">V2693+IF(OR(O2694&lt;&gt;"",W2694&lt;&gt;""),1,0)</f>
        <v>3</v>
      </c>
      <c r="W2694" s="29"/>
    </row>
    <row r="2695" customFormat="false" ht="15" hidden="false" customHeight="false" outlineLevel="0" collapsed="false">
      <c r="A2695" s="32" t="str">
        <f aca="false">IF(B2695="","",ROW()-7)</f>
        <v/>
      </c>
      <c r="B2695" s="30"/>
      <c r="C2695" s="29"/>
      <c r="D2695" s="29"/>
      <c r="E2695" s="29"/>
      <c r="F2695" s="30"/>
      <c r="G2695" s="29"/>
      <c r="H2695" s="30"/>
      <c r="I2695" s="29"/>
      <c r="J2695" s="30"/>
      <c r="K2695" s="30"/>
      <c r="L2695" s="29"/>
      <c r="M2695" s="32" t="str">
        <f aca="false">IF(OR(C2695="",L2695=""),"",IF(C2695=L2695,"同一","変更"))</f>
        <v/>
      </c>
      <c r="N2695" s="29"/>
      <c r="O2695" s="30"/>
      <c r="P2695" s="29"/>
      <c r="Q2695" s="31"/>
      <c r="R2695" s="29"/>
      <c r="S2695" s="29"/>
      <c r="T2695" s="30"/>
      <c r="U2695" s="47" t="str">
        <f aca="false">IF(AND(B2695&lt;&gt;"",B2695=SW別シート!$C$3),COUNTIF(B$5:B2695,B2695),"")</f>
        <v/>
      </c>
      <c r="V2695" s="47" t="n">
        <f aca="false">V2694+IF(OR(O2695&lt;&gt;"",W2695&lt;&gt;""),1,0)</f>
        <v>3</v>
      </c>
      <c r="W2695" s="29"/>
    </row>
    <row r="2696" customFormat="false" ht="15" hidden="false" customHeight="false" outlineLevel="0" collapsed="false">
      <c r="A2696" s="32" t="str">
        <f aca="false">IF(B2696="","",ROW()-7)</f>
        <v/>
      </c>
      <c r="B2696" s="30"/>
      <c r="C2696" s="29"/>
      <c r="D2696" s="29"/>
      <c r="E2696" s="29"/>
      <c r="F2696" s="30"/>
      <c r="G2696" s="29"/>
      <c r="H2696" s="30"/>
      <c r="I2696" s="29"/>
      <c r="J2696" s="30"/>
      <c r="K2696" s="30"/>
      <c r="L2696" s="29"/>
      <c r="M2696" s="32" t="str">
        <f aca="false">IF(OR(C2696="",L2696=""),"",IF(C2696=L2696,"同一","変更"))</f>
        <v/>
      </c>
      <c r="N2696" s="29"/>
      <c r="O2696" s="30"/>
      <c r="P2696" s="29"/>
      <c r="Q2696" s="31"/>
      <c r="R2696" s="29"/>
      <c r="S2696" s="29"/>
      <c r="T2696" s="30"/>
      <c r="U2696" s="47" t="str">
        <f aca="false">IF(AND(B2696&lt;&gt;"",B2696=SW別シート!$C$3),COUNTIF(B$5:B2696,B2696),"")</f>
        <v/>
      </c>
      <c r="V2696" s="47" t="n">
        <f aca="false">V2695+IF(OR(O2696&lt;&gt;"",W2696&lt;&gt;""),1,0)</f>
        <v>3</v>
      </c>
      <c r="W2696" s="29"/>
    </row>
    <row r="2697" customFormat="false" ht="15" hidden="false" customHeight="false" outlineLevel="0" collapsed="false">
      <c r="A2697" s="32" t="str">
        <f aca="false">IF(B2697="","",ROW()-7)</f>
        <v/>
      </c>
      <c r="B2697" s="30"/>
      <c r="C2697" s="29"/>
      <c r="D2697" s="29"/>
      <c r="E2697" s="29"/>
      <c r="F2697" s="30"/>
      <c r="G2697" s="29"/>
      <c r="H2697" s="30"/>
      <c r="I2697" s="29"/>
      <c r="J2697" s="30"/>
      <c r="K2697" s="30"/>
      <c r="L2697" s="29"/>
      <c r="M2697" s="32" t="str">
        <f aca="false">IF(OR(C2697="",L2697=""),"",IF(C2697=L2697,"同一","変更"))</f>
        <v/>
      </c>
      <c r="N2697" s="29"/>
      <c r="O2697" s="30"/>
      <c r="P2697" s="29"/>
      <c r="Q2697" s="31"/>
      <c r="R2697" s="29"/>
      <c r="S2697" s="29"/>
      <c r="T2697" s="30"/>
      <c r="U2697" s="47" t="str">
        <f aca="false">IF(AND(B2697&lt;&gt;"",B2697=SW別シート!$C$3),COUNTIF(B$5:B2697,B2697),"")</f>
        <v/>
      </c>
      <c r="V2697" s="47" t="n">
        <f aca="false">V2696+IF(OR(O2697&lt;&gt;"",W2697&lt;&gt;""),1,0)</f>
        <v>3</v>
      </c>
      <c r="W2697" s="29"/>
    </row>
    <row r="2698" customFormat="false" ht="15" hidden="false" customHeight="false" outlineLevel="0" collapsed="false">
      <c r="A2698" s="32" t="str">
        <f aca="false">IF(B2698="","",ROW()-7)</f>
        <v/>
      </c>
      <c r="B2698" s="30"/>
      <c r="C2698" s="29"/>
      <c r="D2698" s="29"/>
      <c r="E2698" s="29"/>
      <c r="F2698" s="30"/>
      <c r="G2698" s="29"/>
      <c r="H2698" s="30"/>
      <c r="I2698" s="29"/>
      <c r="J2698" s="30"/>
      <c r="K2698" s="30"/>
      <c r="L2698" s="29"/>
      <c r="M2698" s="32" t="str">
        <f aca="false">IF(OR(C2698="",L2698=""),"",IF(C2698=L2698,"同一","変更"))</f>
        <v/>
      </c>
      <c r="N2698" s="29"/>
      <c r="O2698" s="30"/>
      <c r="P2698" s="29"/>
      <c r="Q2698" s="31"/>
      <c r="R2698" s="29"/>
      <c r="S2698" s="29"/>
      <c r="T2698" s="30"/>
      <c r="U2698" s="47" t="str">
        <f aca="false">IF(AND(B2698&lt;&gt;"",B2698=SW別シート!$C$3),COUNTIF(B$5:B2698,B2698),"")</f>
        <v/>
      </c>
      <c r="V2698" s="47" t="n">
        <f aca="false">V2697+IF(OR(O2698&lt;&gt;"",W2698&lt;&gt;""),1,0)</f>
        <v>3</v>
      </c>
      <c r="W2698" s="29"/>
    </row>
    <row r="2699" customFormat="false" ht="15" hidden="false" customHeight="false" outlineLevel="0" collapsed="false">
      <c r="A2699" s="32" t="str">
        <f aca="false">IF(B2699="","",ROW()-7)</f>
        <v/>
      </c>
      <c r="B2699" s="30"/>
      <c r="C2699" s="29"/>
      <c r="D2699" s="29"/>
      <c r="E2699" s="29"/>
      <c r="F2699" s="30"/>
      <c r="G2699" s="29"/>
      <c r="H2699" s="30"/>
      <c r="I2699" s="29"/>
      <c r="J2699" s="30"/>
      <c r="K2699" s="30"/>
      <c r="L2699" s="29"/>
      <c r="M2699" s="32" t="str">
        <f aca="false">IF(OR(C2699="",L2699=""),"",IF(C2699=L2699,"同一","変更"))</f>
        <v/>
      </c>
      <c r="N2699" s="29"/>
      <c r="O2699" s="30"/>
      <c r="P2699" s="29"/>
      <c r="Q2699" s="31"/>
      <c r="R2699" s="29"/>
      <c r="S2699" s="29"/>
      <c r="T2699" s="30"/>
      <c r="U2699" s="47" t="str">
        <f aca="false">IF(AND(B2699&lt;&gt;"",B2699=SW別シート!$C$3),COUNTIF(B$5:B2699,B2699),"")</f>
        <v/>
      </c>
      <c r="V2699" s="47" t="n">
        <f aca="false">V2698+IF(OR(O2699&lt;&gt;"",W2699&lt;&gt;""),1,0)</f>
        <v>3</v>
      </c>
      <c r="W2699" s="29"/>
    </row>
    <row r="2700" customFormat="false" ht="15" hidden="false" customHeight="false" outlineLevel="0" collapsed="false">
      <c r="A2700" s="32" t="str">
        <f aca="false">IF(B2700="","",ROW()-7)</f>
        <v/>
      </c>
      <c r="B2700" s="30"/>
      <c r="C2700" s="29"/>
      <c r="D2700" s="29"/>
      <c r="E2700" s="29"/>
      <c r="F2700" s="30"/>
      <c r="G2700" s="29"/>
      <c r="H2700" s="30"/>
      <c r="I2700" s="29"/>
      <c r="J2700" s="30"/>
      <c r="K2700" s="30"/>
      <c r="L2700" s="29"/>
      <c r="M2700" s="32" t="str">
        <f aca="false">IF(OR(C2700="",L2700=""),"",IF(C2700=L2700,"同一","変更"))</f>
        <v/>
      </c>
      <c r="N2700" s="29"/>
      <c r="O2700" s="30"/>
      <c r="P2700" s="29"/>
      <c r="Q2700" s="31"/>
      <c r="R2700" s="29"/>
      <c r="S2700" s="29"/>
      <c r="T2700" s="30"/>
      <c r="U2700" s="47" t="str">
        <f aca="false">IF(AND(B2700&lt;&gt;"",B2700=SW別シート!$C$3),COUNTIF(B$5:B2700,B2700),"")</f>
        <v/>
      </c>
      <c r="V2700" s="47" t="n">
        <f aca="false">V2699+IF(OR(O2700&lt;&gt;"",W2700&lt;&gt;""),1,0)</f>
        <v>3</v>
      </c>
      <c r="W2700" s="29"/>
    </row>
    <row r="2701" customFormat="false" ht="15" hidden="false" customHeight="false" outlineLevel="0" collapsed="false">
      <c r="A2701" s="32" t="str">
        <f aca="false">IF(B2701="","",ROW()-7)</f>
        <v/>
      </c>
      <c r="B2701" s="30"/>
      <c r="C2701" s="29"/>
      <c r="D2701" s="29"/>
      <c r="E2701" s="29"/>
      <c r="F2701" s="30"/>
      <c r="G2701" s="29"/>
      <c r="H2701" s="30"/>
      <c r="I2701" s="29"/>
      <c r="J2701" s="30"/>
      <c r="K2701" s="30"/>
      <c r="L2701" s="29"/>
      <c r="M2701" s="32" t="str">
        <f aca="false">IF(OR(C2701="",L2701=""),"",IF(C2701=L2701,"同一","変更"))</f>
        <v/>
      </c>
      <c r="N2701" s="29"/>
      <c r="O2701" s="30"/>
      <c r="P2701" s="29"/>
      <c r="Q2701" s="31"/>
      <c r="R2701" s="29"/>
      <c r="S2701" s="29"/>
      <c r="T2701" s="30"/>
      <c r="U2701" s="47" t="str">
        <f aca="false">IF(AND(B2701&lt;&gt;"",B2701=SW別シート!$C$3),COUNTIF(B$5:B2701,B2701),"")</f>
        <v/>
      </c>
      <c r="V2701" s="47" t="n">
        <f aca="false">V2700+IF(OR(O2701&lt;&gt;"",W2701&lt;&gt;""),1,0)</f>
        <v>3</v>
      </c>
      <c r="W2701" s="29"/>
    </row>
    <row r="2702" customFormat="false" ht="15" hidden="false" customHeight="false" outlineLevel="0" collapsed="false">
      <c r="A2702" s="32" t="str">
        <f aca="false">IF(B2702="","",ROW()-7)</f>
        <v/>
      </c>
      <c r="B2702" s="30"/>
      <c r="C2702" s="29"/>
      <c r="D2702" s="29"/>
      <c r="E2702" s="29"/>
      <c r="F2702" s="30"/>
      <c r="G2702" s="29"/>
      <c r="H2702" s="30"/>
      <c r="I2702" s="29"/>
      <c r="J2702" s="30"/>
      <c r="K2702" s="30"/>
      <c r="L2702" s="29"/>
      <c r="M2702" s="32" t="str">
        <f aca="false">IF(OR(C2702="",L2702=""),"",IF(C2702=L2702,"同一","変更"))</f>
        <v/>
      </c>
      <c r="N2702" s="29"/>
      <c r="O2702" s="30"/>
      <c r="P2702" s="29"/>
      <c r="Q2702" s="31"/>
      <c r="R2702" s="29"/>
      <c r="S2702" s="29"/>
      <c r="T2702" s="30"/>
      <c r="U2702" s="47" t="str">
        <f aca="false">IF(AND(B2702&lt;&gt;"",B2702=SW別シート!$C$3),COUNTIF(B$5:B2702,B2702),"")</f>
        <v/>
      </c>
      <c r="V2702" s="47" t="n">
        <f aca="false">V2701+IF(OR(O2702&lt;&gt;"",W2702&lt;&gt;""),1,0)</f>
        <v>3</v>
      </c>
      <c r="W2702" s="29"/>
    </row>
    <row r="2703" customFormat="false" ht="15" hidden="false" customHeight="false" outlineLevel="0" collapsed="false">
      <c r="A2703" s="32" t="str">
        <f aca="false">IF(B2703="","",ROW()-7)</f>
        <v/>
      </c>
      <c r="B2703" s="30"/>
      <c r="C2703" s="29"/>
      <c r="D2703" s="29"/>
      <c r="E2703" s="29"/>
      <c r="F2703" s="30"/>
      <c r="G2703" s="29"/>
      <c r="H2703" s="30"/>
      <c r="I2703" s="29"/>
      <c r="J2703" s="30"/>
      <c r="K2703" s="30"/>
      <c r="L2703" s="29"/>
      <c r="M2703" s="32" t="str">
        <f aca="false">IF(OR(C2703="",L2703=""),"",IF(C2703=L2703,"同一","変更"))</f>
        <v/>
      </c>
      <c r="N2703" s="29"/>
      <c r="O2703" s="30"/>
      <c r="P2703" s="29"/>
      <c r="Q2703" s="31"/>
      <c r="R2703" s="29"/>
      <c r="S2703" s="29"/>
      <c r="T2703" s="30"/>
      <c r="U2703" s="47" t="str">
        <f aca="false">IF(AND(B2703&lt;&gt;"",B2703=SW別シート!$C$3),COUNTIF(B$5:B2703,B2703),"")</f>
        <v/>
      </c>
      <c r="V2703" s="47" t="n">
        <f aca="false">V2702+IF(OR(O2703&lt;&gt;"",W2703&lt;&gt;""),1,0)</f>
        <v>3</v>
      </c>
      <c r="W2703" s="29"/>
    </row>
    <row r="2704" customFormat="false" ht="15" hidden="false" customHeight="false" outlineLevel="0" collapsed="false">
      <c r="A2704" s="32" t="str">
        <f aca="false">IF(B2704="","",ROW()-7)</f>
        <v/>
      </c>
      <c r="B2704" s="30"/>
      <c r="C2704" s="29"/>
      <c r="D2704" s="29"/>
      <c r="E2704" s="29"/>
      <c r="F2704" s="30"/>
      <c r="G2704" s="29"/>
      <c r="H2704" s="30"/>
      <c r="I2704" s="29"/>
      <c r="J2704" s="30"/>
      <c r="K2704" s="30"/>
      <c r="L2704" s="29"/>
      <c r="M2704" s="32" t="str">
        <f aca="false">IF(OR(C2704="",L2704=""),"",IF(C2704=L2704,"同一","変更"))</f>
        <v/>
      </c>
      <c r="N2704" s="29"/>
      <c r="O2704" s="30"/>
      <c r="P2704" s="29"/>
      <c r="Q2704" s="31"/>
      <c r="R2704" s="29"/>
      <c r="S2704" s="29"/>
      <c r="T2704" s="30"/>
      <c r="U2704" s="47" t="str">
        <f aca="false">IF(AND(B2704&lt;&gt;"",B2704=SW別シート!$C$3),COUNTIF(B$5:B2704,B2704),"")</f>
        <v/>
      </c>
      <c r="V2704" s="47" t="n">
        <f aca="false">V2703+IF(OR(O2704&lt;&gt;"",W2704&lt;&gt;""),1,0)</f>
        <v>3</v>
      </c>
      <c r="W2704" s="29"/>
    </row>
    <row r="2705" customFormat="false" ht="15" hidden="false" customHeight="false" outlineLevel="0" collapsed="false">
      <c r="A2705" s="32" t="str">
        <f aca="false">IF(B2705="","",ROW()-7)</f>
        <v/>
      </c>
      <c r="B2705" s="30"/>
      <c r="C2705" s="29"/>
      <c r="D2705" s="29"/>
      <c r="E2705" s="29"/>
      <c r="F2705" s="30"/>
      <c r="G2705" s="29"/>
      <c r="H2705" s="30"/>
      <c r="I2705" s="29"/>
      <c r="J2705" s="30"/>
      <c r="K2705" s="30"/>
      <c r="L2705" s="29"/>
      <c r="M2705" s="32" t="str">
        <f aca="false">IF(OR(C2705="",L2705=""),"",IF(C2705=L2705,"同一","変更"))</f>
        <v/>
      </c>
      <c r="N2705" s="29"/>
      <c r="O2705" s="30"/>
      <c r="P2705" s="29"/>
      <c r="Q2705" s="31"/>
      <c r="R2705" s="29"/>
      <c r="S2705" s="29"/>
      <c r="T2705" s="30"/>
      <c r="U2705" s="47" t="str">
        <f aca="false">IF(AND(B2705&lt;&gt;"",B2705=SW別シート!$C$3),COUNTIF(B$5:B2705,B2705),"")</f>
        <v/>
      </c>
      <c r="V2705" s="47" t="n">
        <f aca="false">V2704+IF(OR(O2705&lt;&gt;"",W2705&lt;&gt;""),1,0)</f>
        <v>3</v>
      </c>
      <c r="W2705" s="29"/>
    </row>
    <row r="2706" customFormat="false" ht="15" hidden="false" customHeight="false" outlineLevel="0" collapsed="false">
      <c r="A2706" s="32" t="str">
        <f aca="false">IF(B2706="","",ROW()-7)</f>
        <v/>
      </c>
      <c r="B2706" s="30"/>
      <c r="C2706" s="29"/>
      <c r="D2706" s="29"/>
      <c r="E2706" s="29"/>
      <c r="F2706" s="30"/>
      <c r="G2706" s="29"/>
      <c r="H2706" s="30"/>
      <c r="I2706" s="29"/>
      <c r="J2706" s="30"/>
      <c r="K2706" s="30"/>
      <c r="L2706" s="29"/>
      <c r="M2706" s="32" t="str">
        <f aca="false">IF(OR(C2706="",L2706=""),"",IF(C2706=L2706,"同一","変更"))</f>
        <v/>
      </c>
      <c r="N2706" s="29"/>
      <c r="O2706" s="30"/>
      <c r="P2706" s="29"/>
      <c r="Q2706" s="31"/>
      <c r="R2706" s="29"/>
      <c r="S2706" s="29"/>
      <c r="T2706" s="30"/>
      <c r="U2706" s="47" t="str">
        <f aca="false">IF(AND(B2706&lt;&gt;"",B2706=SW別シート!$C$3),COUNTIF(B$5:B2706,B2706),"")</f>
        <v/>
      </c>
      <c r="V2706" s="47" t="n">
        <f aca="false">V2705+IF(OR(O2706&lt;&gt;"",W2706&lt;&gt;""),1,0)</f>
        <v>3</v>
      </c>
      <c r="W2706" s="29"/>
    </row>
    <row r="2707" customFormat="false" ht="15" hidden="false" customHeight="false" outlineLevel="0" collapsed="false">
      <c r="A2707" s="32" t="str">
        <f aca="false">IF(B2707="","",ROW()-7)</f>
        <v/>
      </c>
      <c r="B2707" s="30"/>
      <c r="C2707" s="29"/>
      <c r="D2707" s="29"/>
      <c r="E2707" s="29"/>
      <c r="F2707" s="30"/>
      <c r="G2707" s="29"/>
      <c r="H2707" s="30"/>
      <c r="I2707" s="29"/>
      <c r="J2707" s="30"/>
      <c r="K2707" s="30"/>
      <c r="L2707" s="29"/>
      <c r="M2707" s="32" t="str">
        <f aca="false">IF(OR(C2707="",L2707=""),"",IF(C2707=L2707,"同一","変更"))</f>
        <v/>
      </c>
      <c r="N2707" s="29"/>
      <c r="O2707" s="30"/>
      <c r="P2707" s="29"/>
      <c r="Q2707" s="31"/>
      <c r="R2707" s="29"/>
      <c r="S2707" s="29"/>
      <c r="T2707" s="30"/>
      <c r="U2707" s="47" t="str">
        <f aca="false">IF(AND(B2707&lt;&gt;"",B2707=SW別シート!$C$3),COUNTIF(B$5:B2707,B2707),"")</f>
        <v/>
      </c>
      <c r="V2707" s="47" t="n">
        <f aca="false">V2706+IF(OR(O2707&lt;&gt;"",W2707&lt;&gt;""),1,0)</f>
        <v>3</v>
      </c>
      <c r="W2707" s="29"/>
    </row>
    <row r="2708" customFormat="false" ht="15" hidden="false" customHeight="false" outlineLevel="0" collapsed="false">
      <c r="A2708" s="32" t="str">
        <f aca="false">IF(B2708="","",ROW()-7)</f>
        <v/>
      </c>
      <c r="B2708" s="30"/>
      <c r="C2708" s="29"/>
      <c r="D2708" s="29"/>
      <c r="E2708" s="29"/>
      <c r="F2708" s="30"/>
      <c r="G2708" s="29"/>
      <c r="H2708" s="30"/>
      <c r="I2708" s="29"/>
      <c r="J2708" s="30"/>
      <c r="K2708" s="30"/>
      <c r="L2708" s="29"/>
      <c r="M2708" s="32" t="str">
        <f aca="false">IF(OR(C2708="",L2708=""),"",IF(C2708=L2708,"同一","変更"))</f>
        <v/>
      </c>
      <c r="N2708" s="29"/>
      <c r="O2708" s="30"/>
      <c r="P2708" s="29"/>
      <c r="Q2708" s="31"/>
      <c r="R2708" s="29"/>
      <c r="S2708" s="29"/>
      <c r="T2708" s="30"/>
      <c r="U2708" s="47" t="str">
        <f aca="false">IF(AND(B2708&lt;&gt;"",B2708=SW別シート!$C$3),COUNTIF(B$5:B2708,B2708),"")</f>
        <v/>
      </c>
      <c r="V2708" s="47" t="n">
        <f aca="false">V2707+IF(OR(O2708&lt;&gt;"",W2708&lt;&gt;""),1,0)</f>
        <v>3</v>
      </c>
      <c r="W2708" s="29"/>
    </row>
    <row r="2709" customFormat="false" ht="15" hidden="false" customHeight="false" outlineLevel="0" collapsed="false">
      <c r="A2709" s="32" t="str">
        <f aca="false">IF(B2709="","",ROW()-7)</f>
        <v/>
      </c>
      <c r="B2709" s="30"/>
      <c r="C2709" s="29"/>
      <c r="D2709" s="29"/>
      <c r="E2709" s="29"/>
      <c r="F2709" s="30"/>
      <c r="G2709" s="29"/>
      <c r="H2709" s="30"/>
      <c r="I2709" s="29"/>
      <c r="J2709" s="30"/>
      <c r="K2709" s="30"/>
      <c r="L2709" s="29"/>
      <c r="M2709" s="32" t="str">
        <f aca="false">IF(OR(C2709="",L2709=""),"",IF(C2709=L2709,"同一","変更"))</f>
        <v/>
      </c>
      <c r="N2709" s="29"/>
      <c r="O2709" s="30"/>
      <c r="P2709" s="29"/>
      <c r="Q2709" s="31"/>
      <c r="R2709" s="29"/>
      <c r="S2709" s="29"/>
      <c r="T2709" s="30"/>
      <c r="U2709" s="47" t="str">
        <f aca="false">IF(AND(B2709&lt;&gt;"",B2709=SW別シート!$C$3),COUNTIF(B$5:B2709,B2709),"")</f>
        <v/>
      </c>
      <c r="V2709" s="47" t="n">
        <f aca="false">V2708+IF(OR(O2709&lt;&gt;"",W2709&lt;&gt;""),1,0)</f>
        <v>3</v>
      </c>
      <c r="W2709" s="29"/>
    </row>
    <row r="2710" customFormat="false" ht="15" hidden="false" customHeight="false" outlineLevel="0" collapsed="false">
      <c r="A2710" s="32" t="str">
        <f aca="false">IF(B2710="","",ROW()-7)</f>
        <v/>
      </c>
      <c r="B2710" s="30"/>
      <c r="C2710" s="29"/>
      <c r="D2710" s="29"/>
      <c r="E2710" s="29"/>
      <c r="F2710" s="30"/>
      <c r="G2710" s="29"/>
      <c r="H2710" s="30"/>
      <c r="I2710" s="29"/>
      <c r="J2710" s="30"/>
      <c r="K2710" s="30"/>
      <c r="L2710" s="29"/>
      <c r="M2710" s="32" t="str">
        <f aca="false">IF(OR(C2710="",L2710=""),"",IF(C2710=L2710,"同一","変更"))</f>
        <v/>
      </c>
      <c r="N2710" s="29"/>
      <c r="O2710" s="30"/>
      <c r="P2710" s="29"/>
      <c r="Q2710" s="31"/>
      <c r="R2710" s="29"/>
      <c r="S2710" s="29"/>
      <c r="T2710" s="30"/>
      <c r="U2710" s="47" t="str">
        <f aca="false">IF(AND(B2710&lt;&gt;"",B2710=SW別シート!$C$3),COUNTIF(B$5:B2710,B2710),"")</f>
        <v/>
      </c>
      <c r="V2710" s="47" t="n">
        <f aca="false">V2709+IF(OR(O2710&lt;&gt;"",W2710&lt;&gt;""),1,0)</f>
        <v>3</v>
      </c>
      <c r="W2710" s="29"/>
    </row>
    <row r="2711" customFormat="false" ht="15" hidden="false" customHeight="false" outlineLevel="0" collapsed="false">
      <c r="A2711" s="32" t="str">
        <f aca="false">IF(B2711="","",ROW()-7)</f>
        <v/>
      </c>
      <c r="B2711" s="30"/>
      <c r="C2711" s="29"/>
      <c r="D2711" s="29"/>
      <c r="E2711" s="29"/>
      <c r="F2711" s="30"/>
      <c r="G2711" s="29"/>
      <c r="H2711" s="30"/>
      <c r="I2711" s="29"/>
      <c r="J2711" s="30"/>
      <c r="K2711" s="30"/>
      <c r="L2711" s="29"/>
      <c r="M2711" s="32" t="str">
        <f aca="false">IF(OR(C2711="",L2711=""),"",IF(C2711=L2711,"同一","変更"))</f>
        <v/>
      </c>
      <c r="N2711" s="29"/>
      <c r="O2711" s="30"/>
      <c r="P2711" s="29"/>
      <c r="Q2711" s="31"/>
      <c r="R2711" s="29"/>
      <c r="S2711" s="29"/>
      <c r="T2711" s="30"/>
      <c r="U2711" s="47" t="str">
        <f aca="false">IF(AND(B2711&lt;&gt;"",B2711=SW別シート!$C$3),COUNTIF(B$5:B2711,B2711),"")</f>
        <v/>
      </c>
      <c r="V2711" s="47" t="n">
        <f aca="false">V2710+IF(OR(O2711&lt;&gt;"",W2711&lt;&gt;""),1,0)</f>
        <v>3</v>
      </c>
      <c r="W2711" s="29"/>
    </row>
    <row r="2712" customFormat="false" ht="15" hidden="false" customHeight="false" outlineLevel="0" collapsed="false">
      <c r="A2712" s="32" t="str">
        <f aca="false">IF(B2712="","",ROW()-7)</f>
        <v/>
      </c>
      <c r="B2712" s="30"/>
      <c r="C2712" s="29"/>
      <c r="D2712" s="29"/>
      <c r="E2712" s="29"/>
      <c r="F2712" s="30"/>
      <c r="G2712" s="29"/>
      <c r="H2712" s="30"/>
      <c r="I2712" s="29"/>
      <c r="J2712" s="30"/>
      <c r="K2712" s="30"/>
      <c r="L2712" s="29"/>
      <c r="M2712" s="32" t="str">
        <f aca="false">IF(OR(C2712="",L2712=""),"",IF(C2712=L2712,"同一","変更"))</f>
        <v/>
      </c>
      <c r="N2712" s="29"/>
      <c r="O2712" s="30"/>
      <c r="P2712" s="29"/>
      <c r="Q2712" s="31"/>
      <c r="R2712" s="29"/>
      <c r="S2712" s="29"/>
      <c r="T2712" s="30"/>
      <c r="U2712" s="47" t="str">
        <f aca="false">IF(AND(B2712&lt;&gt;"",B2712=SW別シート!$C$3),COUNTIF(B$5:B2712,B2712),"")</f>
        <v/>
      </c>
      <c r="V2712" s="47" t="n">
        <f aca="false">V2711+IF(OR(O2712&lt;&gt;"",W2712&lt;&gt;""),1,0)</f>
        <v>3</v>
      </c>
      <c r="W2712" s="29"/>
    </row>
    <row r="2713" customFormat="false" ht="15" hidden="false" customHeight="false" outlineLevel="0" collapsed="false">
      <c r="A2713" s="32" t="str">
        <f aca="false">IF(B2713="","",ROW()-7)</f>
        <v/>
      </c>
      <c r="B2713" s="30"/>
      <c r="C2713" s="29"/>
      <c r="D2713" s="29"/>
      <c r="E2713" s="29"/>
      <c r="F2713" s="30"/>
      <c r="G2713" s="29"/>
      <c r="H2713" s="30"/>
      <c r="I2713" s="29"/>
      <c r="J2713" s="30"/>
      <c r="K2713" s="30"/>
      <c r="L2713" s="29"/>
      <c r="M2713" s="32" t="str">
        <f aca="false">IF(OR(C2713="",L2713=""),"",IF(C2713=L2713,"同一","変更"))</f>
        <v/>
      </c>
      <c r="N2713" s="29"/>
      <c r="O2713" s="30"/>
      <c r="P2713" s="29"/>
      <c r="Q2713" s="31"/>
      <c r="R2713" s="29"/>
      <c r="S2713" s="29"/>
      <c r="T2713" s="30"/>
      <c r="U2713" s="47" t="str">
        <f aca="false">IF(AND(B2713&lt;&gt;"",B2713=SW別シート!$C$3),COUNTIF(B$5:B2713,B2713),"")</f>
        <v/>
      </c>
      <c r="V2713" s="47" t="n">
        <f aca="false">V2712+IF(OR(O2713&lt;&gt;"",W2713&lt;&gt;""),1,0)</f>
        <v>3</v>
      </c>
      <c r="W2713" s="29"/>
    </row>
    <row r="2714" customFormat="false" ht="15" hidden="false" customHeight="false" outlineLevel="0" collapsed="false">
      <c r="A2714" s="32" t="str">
        <f aca="false">IF(B2714="","",ROW()-7)</f>
        <v/>
      </c>
      <c r="B2714" s="30"/>
      <c r="C2714" s="29"/>
      <c r="D2714" s="29"/>
      <c r="E2714" s="29"/>
      <c r="F2714" s="30"/>
      <c r="G2714" s="29"/>
      <c r="H2714" s="30"/>
      <c r="I2714" s="29"/>
      <c r="J2714" s="30"/>
      <c r="K2714" s="30"/>
      <c r="L2714" s="29"/>
      <c r="M2714" s="32" t="str">
        <f aca="false">IF(OR(C2714="",L2714=""),"",IF(C2714=L2714,"同一","変更"))</f>
        <v/>
      </c>
      <c r="N2714" s="29"/>
      <c r="O2714" s="30"/>
      <c r="P2714" s="29"/>
      <c r="Q2714" s="31"/>
      <c r="R2714" s="29"/>
      <c r="S2714" s="29"/>
      <c r="T2714" s="30"/>
      <c r="U2714" s="47" t="str">
        <f aca="false">IF(AND(B2714&lt;&gt;"",B2714=SW別シート!$C$3),COUNTIF(B$5:B2714,B2714),"")</f>
        <v/>
      </c>
      <c r="V2714" s="47" t="n">
        <f aca="false">V2713+IF(OR(O2714&lt;&gt;"",W2714&lt;&gt;""),1,0)</f>
        <v>3</v>
      </c>
      <c r="W2714" s="29"/>
    </row>
    <row r="2715" customFormat="false" ht="15" hidden="false" customHeight="false" outlineLevel="0" collapsed="false">
      <c r="A2715" s="32" t="str">
        <f aca="false">IF(B2715="","",ROW()-7)</f>
        <v/>
      </c>
      <c r="B2715" s="30"/>
      <c r="C2715" s="29"/>
      <c r="D2715" s="29"/>
      <c r="E2715" s="29"/>
      <c r="F2715" s="30"/>
      <c r="G2715" s="29"/>
      <c r="H2715" s="30"/>
      <c r="I2715" s="29"/>
      <c r="J2715" s="30"/>
      <c r="K2715" s="30"/>
      <c r="L2715" s="29"/>
      <c r="M2715" s="32" t="str">
        <f aca="false">IF(OR(C2715="",L2715=""),"",IF(C2715=L2715,"同一","変更"))</f>
        <v/>
      </c>
      <c r="N2715" s="29"/>
      <c r="O2715" s="30"/>
      <c r="P2715" s="29"/>
      <c r="Q2715" s="31"/>
      <c r="R2715" s="29"/>
      <c r="S2715" s="29"/>
      <c r="T2715" s="30"/>
      <c r="U2715" s="47" t="str">
        <f aca="false">IF(AND(B2715&lt;&gt;"",B2715=SW別シート!$C$3),COUNTIF(B$5:B2715,B2715),"")</f>
        <v/>
      </c>
      <c r="V2715" s="47" t="n">
        <f aca="false">V2714+IF(OR(O2715&lt;&gt;"",W2715&lt;&gt;""),1,0)</f>
        <v>3</v>
      </c>
      <c r="W2715" s="29"/>
    </row>
    <row r="2716" customFormat="false" ht="15" hidden="false" customHeight="false" outlineLevel="0" collapsed="false">
      <c r="A2716" s="32" t="str">
        <f aca="false">IF(B2716="","",ROW()-7)</f>
        <v/>
      </c>
      <c r="B2716" s="30"/>
      <c r="C2716" s="29"/>
      <c r="D2716" s="29"/>
      <c r="E2716" s="29"/>
      <c r="F2716" s="30"/>
      <c r="G2716" s="29"/>
      <c r="H2716" s="30"/>
      <c r="I2716" s="29"/>
      <c r="J2716" s="30"/>
      <c r="K2716" s="30"/>
      <c r="L2716" s="29"/>
      <c r="M2716" s="32" t="str">
        <f aca="false">IF(OR(C2716="",L2716=""),"",IF(C2716=L2716,"同一","変更"))</f>
        <v/>
      </c>
      <c r="N2716" s="29"/>
      <c r="O2716" s="30"/>
      <c r="P2716" s="29"/>
      <c r="Q2716" s="31"/>
      <c r="R2716" s="29"/>
      <c r="S2716" s="29"/>
      <c r="T2716" s="30"/>
      <c r="U2716" s="47" t="str">
        <f aca="false">IF(AND(B2716&lt;&gt;"",B2716=SW別シート!$C$3),COUNTIF(B$5:B2716,B2716),"")</f>
        <v/>
      </c>
      <c r="V2716" s="47" t="n">
        <f aca="false">V2715+IF(OR(O2716&lt;&gt;"",W2716&lt;&gt;""),1,0)</f>
        <v>3</v>
      </c>
      <c r="W2716" s="29"/>
    </row>
    <row r="2717" customFormat="false" ht="15" hidden="false" customHeight="false" outlineLevel="0" collapsed="false">
      <c r="A2717" s="32" t="str">
        <f aca="false">IF(B2717="","",ROW()-7)</f>
        <v/>
      </c>
      <c r="B2717" s="30"/>
      <c r="C2717" s="29"/>
      <c r="D2717" s="29"/>
      <c r="E2717" s="29"/>
      <c r="F2717" s="30"/>
      <c r="G2717" s="29"/>
      <c r="H2717" s="30"/>
      <c r="I2717" s="29"/>
      <c r="J2717" s="30"/>
      <c r="K2717" s="30"/>
      <c r="L2717" s="29"/>
      <c r="M2717" s="32" t="str">
        <f aca="false">IF(OR(C2717="",L2717=""),"",IF(C2717=L2717,"同一","変更"))</f>
        <v/>
      </c>
      <c r="N2717" s="29"/>
      <c r="O2717" s="30"/>
      <c r="P2717" s="29"/>
      <c r="Q2717" s="31"/>
      <c r="R2717" s="29"/>
      <c r="S2717" s="29"/>
      <c r="T2717" s="30"/>
      <c r="U2717" s="47" t="str">
        <f aca="false">IF(AND(B2717&lt;&gt;"",B2717=SW別シート!$C$3),COUNTIF(B$5:B2717,B2717),"")</f>
        <v/>
      </c>
      <c r="V2717" s="47" t="n">
        <f aca="false">V2716+IF(OR(O2717&lt;&gt;"",W2717&lt;&gt;""),1,0)</f>
        <v>3</v>
      </c>
      <c r="W2717" s="29"/>
    </row>
    <row r="2718" customFormat="false" ht="15" hidden="false" customHeight="false" outlineLevel="0" collapsed="false">
      <c r="A2718" s="32" t="str">
        <f aca="false">IF(B2718="","",ROW()-7)</f>
        <v/>
      </c>
      <c r="B2718" s="30"/>
      <c r="C2718" s="29"/>
      <c r="D2718" s="29"/>
      <c r="E2718" s="29"/>
      <c r="F2718" s="30"/>
      <c r="G2718" s="29"/>
      <c r="H2718" s="30"/>
      <c r="I2718" s="29"/>
      <c r="J2718" s="30"/>
      <c r="K2718" s="30"/>
      <c r="L2718" s="29"/>
      <c r="M2718" s="32" t="str">
        <f aca="false">IF(OR(C2718="",L2718=""),"",IF(C2718=L2718,"同一","変更"))</f>
        <v/>
      </c>
      <c r="N2718" s="29"/>
      <c r="O2718" s="30"/>
      <c r="P2718" s="29"/>
      <c r="Q2718" s="31"/>
      <c r="R2718" s="29"/>
      <c r="S2718" s="29"/>
      <c r="T2718" s="30"/>
      <c r="U2718" s="47" t="str">
        <f aca="false">IF(AND(B2718&lt;&gt;"",B2718=SW別シート!$C$3),COUNTIF(B$5:B2718,B2718),"")</f>
        <v/>
      </c>
      <c r="V2718" s="47" t="n">
        <f aca="false">V2717+IF(OR(O2718&lt;&gt;"",W2718&lt;&gt;""),1,0)</f>
        <v>3</v>
      </c>
      <c r="W2718" s="29"/>
    </row>
    <row r="2719" customFormat="false" ht="15" hidden="false" customHeight="false" outlineLevel="0" collapsed="false">
      <c r="A2719" s="32" t="str">
        <f aca="false">IF(B2719="","",ROW()-7)</f>
        <v/>
      </c>
      <c r="B2719" s="30"/>
      <c r="C2719" s="29"/>
      <c r="D2719" s="29"/>
      <c r="E2719" s="29"/>
      <c r="F2719" s="30"/>
      <c r="G2719" s="29"/>
      <c r="H2719" s="30"/>
      <c r="I2719" s="29"/>
      <c r="J2719" s="30"/>
      <c r="K2719" s="30"/>
      <c r="L2719" s="29"/>
      <c r="M2719" s="32" t="str">
        <f aca="false">IF(OR(C2719="",L2719=""),"",IF(C2719=L2719,"同一","変更"))</f>
        <v/>
      </c>
      <c r="N2719" s="29"/>
      <c r="O2719" s="30"/>
      <c r="P2719" s="29"/>
      <c r="Q2719" s="31"/>
      <c r="R2719" s="29"/>
      <c r="S2719" s="29"/>
      <c r="T2719" s="30"/>
      <c r="U2719" s="47" t="str">
        <f aca="false">IF(AND(B2719&lt;&gt;"",B2719=SW別シート!$C$3),COUNTIF(B$5:B2719,B2719),"")</f>
        <v/>
      </c>
      <c r="V2719" s="47" t="n">
        <f aca="false">V2718+IF(OR(O2719&lt;&gt;"",W2719&lt;&gt;""),1,0)</f>
        <v>3</v>
      </c>
      <c r="W2719" s="29"/>
    </row>
    <row r="2720" customFormat="false" ht="15" hidden="false" customHeight="false" outlineLevel="0" collapsed="false">
      <c r="A2720" s="32" t="str">
        <f aca="false">IF(B2720="","",ROW()-7)</f>
        <v/>
      </c>
      <c r="B2720" s="30"/>
      <c r="C2720" s="29"/>
      <c r="D2720" s="29"/>
      <c r="E2720" s="29"/>
      <c r="F2720" s="30"/>
      <c r="G2720" s="29"/>
      <c r="H2720" s="30"/>
      <c r="I2720" s="29"/>
      <c r="J2720" s="30"/>
      <c r="K2720" s="30"/>
      <c r="L2720" s="29"/>
      <c r="M2720" s="32" t="str">
        <f aca="false">IF(OR(C2720="",L2720=""),"",IF(C2720=L2720,"同一","変更"))</f>
        <v/>
      </c>
      <c r="N2720" s="29"/>
      <c r="O2720" s="30"/>
      <c r="P2720" s="29"/>
      <c r="Q2720" s="31"/>
      <c r="R2720" s="29"/>
      <c r="S2720" s="29"/>
      <c r="T2720" s="30"/>
      <c r="U2720" s="47" t="str">
        <f aca="false">IF(AND(B2720&lt;&gt;"",B2720=SW別シート!$C$3),COUNTIF(B$5:B2720,B2720),"")</f>
        <v/>
      </c>
      <c r="V2720" s="47" t="n">
        <f aca="false">V2719+IF(OR(O2720&lt;&gt;"",W2720&lt;&gt;""),1,0)</f>
        <v>3</v>
      </c>
      <c r="W2720" s="29"/>
    </row>
    <row r="2721" customFormat="false" ht="15" hidden="false" customHeight="false" outlineLevel="0" collapsed="false">
      <c r="A2721" s="32" t="str">
        <f aca="false">IF(B2721="","",ROW()-7)</f>
        <v/>
      </c>
      <c r="B2721" s="30"/>
      <c r="C2721" s="29"/>
      <c r="D2721" s="29"/>
      <c r="E2721" s="29"/>
      <c r="F2721" s="30"/>
      <c r="G2721" s="29"/>
      <c r="H2721" s="30"/>
      <c r="I2721" s="29"/>
      <c r="J2721" s="30"/>
      <c r="K2721" s="30"/>
      <c r="L2721" s="29"/>
      <c r="M2721" s="32" t="str">
        <f aca="false">IF(OR(C2721="",L2721=""),"",IF(C2721=L2721,"同一","変更"))</f>
        <v/>
      </c>
      <c r="N2721" s="29"/>
      <c r="O2721" s="30"/>
      <c r="P2721" s="29"/>
      <c r="Q2721" s="31"/>
      <c r="R2721" s="29"/>
      <c r="S2721" s="29"/>
      <c r="T2721" s="30"/>
      <c r="U2721" s="47" t="str">
        <f aca="false">IF(AND(B2721&lt;&gt;"",B2721=SW別シート!$C$3),COUNTIF(B$5:B2721,B2721),"")</f>
        <v/>
      </c>
      <c r="V2721" s="47" t="n">
        <f aca="false">V2720+IF(OR(O2721&lt;&gt;"",W2721&lt;&gt;""),1,0)</f>
        <v>3</v>
      </c>
      <c r="W2721" s="29"/>
    </row>
    <row r="2722" customFormat="false" ht="15" hidden="false" customHeight="false" outlineLevel="0" collapsed="false">
      <c r="A2722" s="32" t="str">
        <f aca="false">IF(B2722="","",ROW()-7)</f>
        <v/>
      </c>
      <c r="B2722" s="30"/>
      <c r="C2722" s="29"/>
      <c r="D2722" s="29"/>
      <c r="E2722" s="29"/>
      <c r="F2722" s="30"/>
      <c r="G2722" s="29"/>
      <c r="H2722" s="30"/>
      <c r="I2722" s="29"/>
      <c r="J2722" s="30"/>
      <c r="K2722" s="30"/>
      <c r="L2722" s="29"/>
      <c r="M2722" s="32" t="str">
        <f aca="false">IF(OR(C2722="",L2722=""),"",IF(C2722=L2722,"同一","変更"))</f>
        <v/>
      </c>
      <c r="N2722" s="29"/>
      <c r="O2722" s="30"/>
      <c r="P2722" s="29"/>
      <c r="Q2722" s="31"/>
      <c r="R2722" s="29"/>
      <c r="S2722" s="29"/>
      <c r="T2722" s="30"/>
      <c r="U2722" s="47" t="str">
        <f aca="false">IF(AND(B2722&lt;&gt;"",B2722=SW別シート!$C$3),COUNTIF(B$5:B2722,B2722),"")</f>
        <v/>
      </c>
      <c r="V2722" s="47" t="n">
        <f aca="false">V2721+IF(OR(O2722&lt;&gt;"",W2722&lt;&gt;""),1,0)</f>
        <v>3</v>
      </c>
      <c r="W2722" s="29"/>
    </row>
    <row r="2723" customFormat="false" ht="15" hidden="false" customHeight="false" outlineLevel="0" collapsed="false">
      <c r="A2723" s="32" t="str">
        <f aca="false">IF(B2723="","",ROW()-7)</f>
        <v/>
      </c>
      <c r="B2723" s="30"/>
      <c r="C2723" s="29"/>
      <c r="D2723" s="29"/>
      <c r="E2723" s="29"/>
      <c r="F2723" s="30"/>
      <c r="G2723" s="29"/>
      <c r="H2723" s="30"/>
      <c r="I2723" s="29"/>
      <c r="J2723" s="30"/>
      <c r="K2723" s="30"/>
      <c r="L2723" s="29"/>
      <c r="M2723" s="32" t="str">
        <f aca="false">IF(OR(C2723="",L2723=""),"",IF(C2723=L2723,"同一","変更"))</f>
        <v/>
      </c>
      <c r="N2723" s="29"/>
      <c r="O2723" s="30"/>
      <c r="P2723" s="29"/>
      <c r="Q2723" s="31"/>
      <c r="R2723" s="29"/>
      <c r="S2723" s="29"/>
      <c r="T2723" s="30"/>
      <c r="U2723" s="47" t="str">
        <f aca="false">IF(AND(B2723&lt;&gt;"",B2723=SW別シート!$C$3),COUNTIF(B$5:B2723,B2723),"")</f>
        <v/>
      </c>
      <c r="V2723" s="47" t="n">
        <f aca="false">V2722+IF(OR(O2723&lt;&gt;"",W2723&lt;&gt;""),1,0)</f>
        <v>3</v>
      </c>
      <c r="W2723" s="29"/>
    </row>
    <row r="2724" customFormat="false" ht="15" hidden="false" customHeight="false" outlineLevel="0" collapsed="false">
      <c r="A2724" s="32" t="str">
        <f aca="false">IF(B2724="","",ROW()-7)</f>
        <v/>
      </c>
      <c r="B2724" s="30"/>
      <c r="C2724" s="29"/>
      <c r="D2724" s="29"/>
      <c r="E2724" s="29"/>
      <c r="F2724" s="30"/>
      <c r="G2724" s="29"/>
      <c r="H2724" s="30"/>
      <c r="I2724" s="29"/>
      <c r="J2724" s="30"/>
      <c r="K2724" s="30"/>
      <c r="L2724" s="29"/>
      <c r="M2724" s="32" t="str">
        <f aca="false">IF(OR(C2724="",L2724=""),"",IF(C2724=L2724,"同一","変更"))</f>
        <v/>
      </c>
      <c r="N2724" s="29"/>
      <c r="O2724" s="30"/>
      <c r="P2724" s="29"/>
      <c r="Q2724" s="31"/>
      <c r="R2724" s="29"/>
      <c r="S2724" s="29"/>
      <c r="T2724" s="30"/>
      <c r="U2724" s="47" t="str">
        <f aca="false">IF(AND(B2724&lt;&gt;"",B2724=SW別シート!$C$3),COUNTIF(B$5:B2724,B2724),"")</f>
        <v/>
      </c>
      <c r="V2724" s="47" t="n">
        <f aca="false">V2723+IF(OR(O2724&lt;&gt;"",W2724&lt;&gt;""),1,0)</f>
        <v>3</v>
      </c>
      <c r="W2724" s="29"/>
    </row>
    <row r="2725" customFormat="false" ht="15" hidden="false" customHeight="false" outlineLevel="0" collapsed="false">
      <c r="A2725" s="32" t="str">
        <f aca="false">IF(B2725="","",ROW()-7)</f>
        <v/>
      </c>
      <c r="B2725" s="30"/>
      <c r="C2725" s="29"/>
      <c r="D2725" s="29"/>
      <c r="E2725" s="29"/>
      <c r="F2725" s="30"/>
      <c r="G2725" s="29"/>
      <c r="H2725" s="30"/>
      <c r="I2725" s="29"/>
      <c r="J2725" s="30"/>
      <c r="K2725" s="30"/>
      <c r="L2725" s="29"/>
      <c r="M2725" s="32" t="str">
        <f aca="false">IF(OR(C2725="",L2725=""),"",IF(C2725=L2725,"同一","変更"))</f>
        <v/>
      </c>
      <c r="N2725" s="29"/>
      <c r="O2725" s="30"/>
      <c r="P2725" s="29"/>
      <c r="Q2725" s="31"/>
      <c r="R2725" s="29"/>
      <c r="S2725" s="29"/>
      <c r="T2725" s="30"/>
      <c r="U2725" s="47" t="str">
        <f aca="false">IF(AND(B2725&lt;&gt;"",B2725=SW別シート!$C$3),COUNTIF(B$5:B2725,B2725),"")</f>
        <v/>
      </c>
      <c r="V2725" s="47" t="n">
        <f aca="false">V2724+IF(OR(O2725&lt;&gt;"",W2725&lt;&gt;""),1,0)</f>
        <v>3</v>
      </c>
      <c r="W2725" s="29"/>
    </row>
    <row r="2726" customFormat="false" ht="15" hidden="false" customHeight="false" outlineLevel="0" collapsed="false">
      <c r="A2726" s="32" t="str">
        <f aca="false">IF(B2726="","",ROW()-7)</f>
        <v/>
      </c>
      <c r="B2726" s="30"/>
      <c r="C2726" s="29"/>
      <c r="D2726" s="29"/>
      <c r="E2726" s="29"/>
      <c r="F2726" s="30"/>
      <c r="G2726" s="29"/>
      <c r="H2726" s="30"/>
      <c r="I2726" s="29"/>
      <c r="J2726" s="30"/>
      <c r="K2726" s="30"/>
      <c r="L2726" s="29"/>
      <c r="M2726" s="32" t="str">
        <f aca="false">IF(OR(C2726="",L2726=""),"",IF(C2726=L2726,"同一","変更"))</f>
        <v/>
      </c>
      <c r="N2726" s="29"/>
      <c r="O2726" s="30"/>
      <c r="P2726" s="29"/>
      <c r="Q2726" s="31"/>
      <c r="R2726" s="29"/>
      <c r="S2726" s="29"/>
      <c r="T2726" s="30"/>
      <c r="U2726" s="47" t="str">
        <f aca="false">IF(AND(B2726&lt;&gt;"",B2726=SW別シート!$C$3),COUNTIF(B$5:B2726,B2726),"")</f>
        <v/>
      </c>
      <c r="V2726" s="47" t="n">
        <f aca="false">V2725+IF(OR(O2726&lt;&gt;"",W2726&lt;&gt;""),1,0)</f>
        <v>3</v>
      </c>
      <c r="W2726" s="29"/>
    </row>
    <row r="2727" customFormat="false" ht="15" hidden="false" customHeight="false" outlineLevel="0" collapsed="false">
      <c r="A2727" s="32" t="str">
        <f aca="false">IF(B2727="","",ROW()-7)</f>
        <v/>
      </c>
      <c r="B2727" s="30"/>
      <c r="C2727" s="29"/>
      <c r="D2727" s="29"/>
      <c r="E2727" s="29"/>
      <c r="F2727" s="30"/>
      <c r="G2727" s="29"/>
      <c r="H2727" s="30"/>
      <c r="I2727" s="29"/>
      <c r="J2727" s="30"/>
      <c r="K2727" s="30"/>
      <c r="L2727" s="29"/>
      <c r="M2727" s="32" t="str">
        <f aca="false">IF(OR(C2727="",L2727=""),"",IF(C2727=L2727,"同一","変更"))</f>
        <v/>
      </c>
      <c r="N2727" s="29"/>
      <c r="O2727" s="30"/>
      <c r="P2727" s="29"/>
      <c r="Q2727" s="31"/>
      <c r="R2727" s="29"/>
      <c r="S2727" s="29"/>
      <c r="T2727" s="30"/>
      <c r="U2727" s="47" t="str">
        <f aca="false">IF(AND(B2727&lt;&gt;"",B2727=SW別シート!$C$3),COUNTIF(B$5:B2727,B2727),"")</f>
        <v/>
      </c>
      <c r="V2727" s="47" t="n">
        <f aca="false">V2726+IF(OR(O2727&lt;&gt;"",W2727&lt;&gt;""),1,0)</f>
        <v>3</v>
      </c>
      <c r="W2727" s="29"/>
    </row>
    <row r="2728" customFormat="false" ht="15" hidden="false" customHeight="false" outlineLevel="0" collapsed="false">
      <c r="A2728" s="32" t="str">
        <f aca="false">IF(B2728="","",ROW()-7)</f>
        <v/>
      </c>
      <c r="B2728" s="30"/>
      <c r="C2728" s="29"/>
      <c r="D2728" s="29"/>
      <c r="E2728" s="29"/>
      <c r="F2728" s="30"/>
      <c r="G2728" s="29"/>
      <c r="H2728" s="30"/>
      <c r="I2728" s="29"/>
      <c r="J2728" s="30"/>
      <c r="K2728" s="30"/>
      <c r="L2728" s="29"/>
      <c r="M2728" s="32" t="str">
        <f aca="false">IF(OR(C2728="",L2728=""),"",IF(C2728=L2728,"同一","変更"))</f>
        <v/>
      </c>
      <c r="N2728" s="29"/>
      <c r="O2728" s="30"/>
      <c r="P2728" s="29"/>
      <c r="Q2728" s="31"/>
      <c r="R2728" s="29"/>
      <c r="S2728" s="29"/>
      <c r="T2728" s="30"/>
      <c r="U2728" s="47" t="str">
        <f aca="false">IF(AND(B2728&lt;&gt;"",B2728=SW別シート!$C$3),COUNTIF(B$5:B2728,B2728),"")</f>
        <v/>
      </c>
      <c r="V2728" s="47" t="n">
        <f aca="false">V2727+IF(OR(O2728&lt;&gt;"",W2728&lt;&gt;""),1,0)</f>
        <v>3</v>
      </c>
      <c r="W2728" s="29"/>
    </row>
    <row r="2729" customFormat="false" ht="15" hidden="false" customHeight="false" outlineLevel="0" collapsed="false">
      <c r="A2729" s="32" t="str">
        <f aca="false">IF(B2729="","",ROW()-7)</f>
        <v/>
      </c>
      <c r="B2729" s="30"/>
      <c r="C2729" s="29"/>
      <c r="D2729" s="29"/>
      <c r="E2729" s="29"/>
      <c r="F2729" s="30"/>
      <c r="G2729" s="29"/>
      <c r="H2729" s="30"/>
      <c r="I2729" s="29"/>
      <c r="J2729" s="30"/>
      <c r="K2729" s="30"/>
      <c r="L2729" s="29"/>
      <c r="M2729" s="32" t="str">
        <f aca="false">IF(OR(C2729="",L2729=""),"",IF(C2729=L2729,"同一","変更"))</f>
        <v/>
      </c>
      <c r="N2729" s="29"/>
      <c r="O2729" s="30"/>
      <c r="P2729" s="29"/>
      <c r="Q2729" s="31"/>
      <c r="R2729" s="29"/>
      <c r="S2729" s="29"/>
      <c r="T2729" s="30"/>
      <c r="U2729" s="47" t="str">
        <f aca="false">IF(AND(B2729&lt;&gt;"",B2729=SW別シート!$C$3),COUNTIF(B$5:B2729,B2729),"")</f>
        <v/>
      </c>
      <c r="V2729" s="47" t="n">
        <f aca="false">V2728+IF(OR(O2729&lt;&gt;"",W2729&lt;&gt;""),1,0)</f>
        <v>3</v>
      </c>
      <c r="W2729" s="29"/>
    </row>
    <row r="2730" customFormat="false" ht="15" hidden="false" customHeight="false" outlineLevel="0" collapsed="false">
      <c r="A2730" s="32" t="str">
        <f aca="false">IF(B2730="","",ROW()-7)</f>
        <v/>
      </c>
      <c r="B2730" s="30"/>
      <c r="C2730" s="29"/>
      <c r="D2730" s="29"/>
      <c r="E2730" s="29"/>
      <c r="F2730" s="30"/>
      <c r="G2730" s="29"/>
      <c r="H2730" s="30"/>
      <c r="I2730" s="29"/>
      <c r="J2730" s="30"/>
      <c r="K2730" s="30"/>
      <c r="L2730" s="29"/>
      <c r="M2730" s="32" t="str">
        <f aca="false">IF(OR(C2730="",L2730=""),"",IF(C2730=L2730,"同一","変更"))</f>
        <v/>
      </c>
      <c r="N2730" s="29"/>
      <c r="O2730" s="30"/>
      <c r="P2730" s="29"/>
      <c r="Q2730" s="31"/>
      <c r="R2730" s="29"/>
      <c r="S2730" s="29"/>
      <c r="T2730" s="30"/>
      <c r="U2730" s="47" t="str">
        <f aca="false">IF(AND(B2730&lt;&gt;"",B2730=SW別シート!$C$3),COUNTIF(B$5:B2730,B2730),"")</f>
        <v/>
      </c>
      <c r="V2730" s="47" t="n">
        <f aca="false">V2729+IF(OR(O2730&lt;&gt;"",W2730&lt;&gt;""),1,0)</f>
        <v>3</v>
      </c>
      <c r="W2730" s="29"/>
    </row>
    <row r="2731" customFormat="false" ht="15" hidden="false" customHeight="false" outlineLevel="0" collapsed="false">
      <c r="A2731" s="32" t="str">
        <f aca="false">IF(B2731="","",ROW()-7)</f>
        <v/>
      </c>
      <c r="B2731" s="30"/>
      <c r="C2731" s="29"/>
      <c r="D2731" s="29"/>
      <c r="E2731" s="29"/>
      <c r="F2731" s="30"/>
      <c r="G2731" s="29"/>
      <c r="H2731" s="30"/>
      <c r="I2731" s="29"/>
      <c r="J2731" s="30"/>
      <c r="K2731" s="30"/>
      <c r="L2731" s="29"/>
      <c r="M2731" s="32" t="str">
        <f aca="false">IF(OR(C2731="",L2731=""),"",IF(C2731=L2731,"同一","変更"))</f>
        <v/>
      </c>
      <c r="N2731" s="29"/>
      <c r="O2731" s="30"/>
      <c r="P2731" s="29"/>
      <c r="Q2731" s="31"/>
      <c r="R2731" s="29"/>
      <c r="S2731" s="29"/>
      <c r="T2731" s="30"/>
      <c r="U2731" s="47" t="str">
        <f aca="false">IF(AND(B2731&lt;&gt;"",B2731=SW別シート!$C$3),COUNTIF(B$5:B2731,B2731),"")</f>
        <v/>
      </c>
      <c r="V2731" s="47" t="n">
        <f aca="false">V2730+IF(OR(O2731&lt;&gt;"",W2731&lt;&gt;""),1,0)</f>
        <v>3</v>
      </c>
      <c r="W2731" s="29"/>
    </row>
    <row r="2732" customFormat="false" ht="15" hidden="false" customHeight="false" outlineLevel="0" collapsed="false">
      <c r="A2732" s="32" t="str">
        <f aca="false">IF(B2732="","",ROW()-7)</f>
        <v/>
      </c>
      <c r="B2732" s="30"/>
      <c r="C2732" s="29"/>
      <c r="D2732" s="29"/>
      <c r="E2732" s="29"/>
      <c r="F2732" s="30"/>
      <c r="G2732" s="29"/>
      <c r="H2732" s="30"/>
      <c r="I2732" s="29"/>
      <c r="J2732" s="30"/>
      <c r="K2732" s="30"/>
      <c r="L2732" s="29"/>
      <c r="M2732" s="32" t="str">
        <f aca="false">IF(OR(C2732="",L2732=""),"",IF(C2732=L2732,"同一","変更"))</f>
        <v/>
      </c>
      <c r="N2732" s="29"/>
      <c r="O2732" s="30"/>
      <c r="P2732" s="29"/>
      <c r="Q2732" s="31"/>
      <c r="R2732" s="29"/>
      <c r="S2732" s="29"/>
      <c r="T2732" s="30"/>
      <c r="U2732" s="47" t="str">
        <f aca="false">IF(AND(B2732&lt;&gt;"",B2732=SW別シート!$C$3),COUNTIF(B$5:B2732,B2732),"")</f>
        <v/>
      </c>
      <c r="V2732" s="47" t="n">
        <f aca="false">V2731+IF(OR(O2732&lt;&gt;"",W2732&lt;&gt;""),1,0)</f>
        <v>3</v>
      </c>
      <c r="W2732" s="29"/>
    </row>
    <row r="2733" customFormat="false" ht="15" hidden="false" customHeight="false" outlineLevel="0" collapsed="false">
      <c r="A2733" s="32" t="str">
        <f aca="false">IF(B2733="","",ROW()-7)</f>
        <v/>
      </c>
      <c r="B2733" s="30"/>
      <c r="C2733" s="29"/>
      <c r="D2733" s="29"/>
      <c r="E2733" s="29"/>
      <c r="F2733" s="30"/>
      <c r="G2733" s="29"/>
      <c r="H2733" s="30"/>
      <c r="I2733" s="29"/>
      <c r="J2733" s="30"/>
      <c r="K2733" s="30"/>
      <c r="L2733" s="29"/>
      <c r="M2733" s="32" t="str">
        <f aca="false">IF(OR(C2733="",L2733=""),"",IF(C2733=L2733,"同一","変更"))</f>
        <v/>
      </c>
      <c r="N2733" s="29"/>
      <c r="O2733" s="30"/>
      <c r="P2733" s="29"/>
      <c r="Q2733" s="31"/>
      <c r="R2733" s="29"/>
      <c r="S2733" s="29"/>
      <c r="T2733" s="30"/>
      <c r="U2733" s="47" t="str">
        <f aca="false">IF(AND(B2733&lt;&gt;"",B2733=SW別シート!$C$3),COUNTIF(B$5:B2733,B2733),"")</f>
        <v/>
      </c>
      <c r="V2733" s="47" t="n">
        <f aca="false">V2732+IF(OR(O2733&lt;&gt;"",W2733&lt;&gt;""),1,0)</f>
        <v>3</v>
      </c>
      <c r="W2733" s="29"/>
    </row>
    <row r="2734" customFormat="false" ht="15" hidden="false" customHeight="false" outlineLevel="0" collapsed="false">
      <c r="A2734" s="32" t="str">
        <f aca="false">IF(B2734="","",ROW()-7)</f>
        <v/>
      </c>
      <c r="B2734" s="30"/>
      <c r="C2734" s="29"/>
      <c r="D2734" s="29"/>
      <c r="E2734" s="29"/>
      <c r="F2734" s="30"/>
      <c r="G2734" s="29"/>
      <c r="H2734" s="30"/>
      <c r="I2734" s="29"/>
      <c r="J2734" s="30"/>
      <c r="K2734" s="30"/>
      <c r="L2734" s="29"/>
      <c r="M2734" s="32" t="str">
        <f aca="false">IF(OR(C2734="",L2734=""),"",IF(C2734=L2734,"同一","変更"))</f>
        <v/>
      </c>
      <c r="N2734" s="29"/>
      <c r="O2734" s="30"/>
      <c r="P2734" s="29"/>
      <c r="Q2734" s="31"/>
      <c r="R2734" s="29"/>
      <c r="S2734" s="29"/>
      <c r="T2734" s="30"/>
      <c r="U2734" s="47" t="str">
        <f aca="false">IF(AND(B2734&lt;&gt;"",B2734=SW別シート!$C$3),COUNTIF(B$5:B2734,B2734),"")</f>
        <v/>
      </c>
      <c r="V2734" s="47" t="n">
        <f aca="false">V2733+IF(OR(O2734&lt;&gt;"",W2734&lt;&gt;""),1,0)</f>
        <v>3</v>
      </c>
      <c r="W2734" s="29"/>
    </row>
    <row r="2735" customFormat="false" ht="15" hidden="false" customHeight="false" outlineLevel="0" collapsed="false">
      <c r="A2735" s="32" t="str">
        <f aca="false">IF(B2735="","",ROW()-7)</f>
        <v/>
      </c>
      <c r="B2735" s="30"/>
      <c r="C2735" s="29"/>
      <c r="D2735" s="29"/>
      <c r="E2735" s="29"/>
      <c r="F2735" s="30"/>
      <c r="G2735" s="29"/>
      <c r="H2735" s="30"/>
      <c r="I2735" s="29"/>
      <c r="J2735" s="30"/>
      <c r="K2735" s="30"/>
      <c r="L2735" s="29"/>
      <c r="M2735" s="32" t="str">
        <f aca="false">IF(OR(C2735="",L2735=""),"",IF(C2735=L2735,"同一","変更"))</f>
        <v/>
      </c>
      <c r="N2735" s="29"/>
      <c r="O2735" s="30"/>
      <c r="P2735" s="29"/>
      <c r="Q2735" s="31"/>
      <c r="R2735" s="29"/>
      <c r="S2735" s="29"/>
      <c r="T2735" s="30"/>
      <c r="U2735" s="47" t="str">
        <f aca="false">IF(AND(B2735&lt;&gt;"",B2735=SW別シート!$C$3),COUNTIF(B$5:B2735,B2735),"")</f>
        <v/>
      </c>
      <c r="V2735" s="47" t="n">
        <f aca="false">V2734+IF(OR(O2735&lt;&gt;"",W2735&lt;&gt;""),1,0)</f>
        <v>3</v>
      </c>
      <c r="W2735" s="29"/>
    </row>
    <row r="2736" customFormat="false" ht="15" hidden="false" customHeight="false" outlineLevel="0" collapsed="false">
      <c r="A2736" s="32" t="str">
        <f aca="false">IF(B2736="","",ROW()-7)</f>
        <v/>
      </c>
      <c r="B2736" s="30"/>
      <c r="C2736" s="29"/>
      <c r="D2736" s="29"/>
      <c r="E2736" s="29"/>
      <c r="F2736" s="30"/>
      <c r="G2736" s="29"/>
      <c r="H2736" s="30"/>
      <c r="I2736" s="29"/>
      <c r="J2736" s="30"/>
      <c r="K2736" s="30"/>
      <c r="L2736" s="29"/>
      <c r="M2736" s="32" t="str">
        <f aca="false">IF(OR(C2736="",L2736=""),"",IF(C2736=L2736,"同一","変更"))</f>
        <v/>
      </c>
      <c r="N2736" s="29"/>
      <c r="O2736" s="30"/>
      <c r="P2736" s="29"/>
      <c r="Q2736" s="31"/>
      <c r="R2736" s="29"/>
      <c r="S2736" s="29"/>
      <c r="T2736" s="30"/>
      <c r="U2736" s="47" t="str">
        <f aca="false">IF(AND(B2736&lt;&gt;"",B2736=SW別シート!$C$3),COUNTIF(B$5:B2736,B2736),"")</f>
        <v/>
      </c>
      <c r="V2736" s="47" t="n">
        <f aca="false">V2735+IF(OR(O2736&lt;&gt;"",W2736&lt;&gt;""),1,0)</f>
        <v>3</v>
      </c>
      <c r="W2736" s="29"/>
    </row>
    <row r="2737" customFormat="false" ht="15" hidden="false" customHeight="false" outlineLevel="0" collapsed="false">
      <c r="A2737" s="32" t="str">
        <f aca="false">IF(B2737="","",ROW()-7)</f>
        <v/>
      </c>
      <c r="B2737" s="30"/>
      <c r="C2737" s="29"/>
      <c r="D2737" s="29"/>
      <c r="E2737" s="29"/>
      <c r="F2737" s="30"/>
      <c r="G2737" s="29"/>
      <c r="H2737" s="30"/>
      <c r="I2737" s="29"/>
      <c r="J2737" s="30"/>
      <c r="K2737" s="30"/>
      <c r="L2737" s="29"/>
      <c r="M2737" s="32" t="str">
        <f aca="false">IF(OR(C2737="",L2737=""),"",IF(C2737=L2737,"同一","変更"))</f>
        <v/>
      </c>
      <c r="N2737" s="29"/>
      <c r="O2737" s="30"/>
      <c r="P2737" s="29"/>
      <c r="Q2737" s="31"/>
      <c r="R2737" s="29"/>
      <c r="S2737" s="29"/>
      <c r="T2737" s="30"/>
      <c r="U2737" s="47" t="str">
        <f aca="false">IF(AND(B2737&lt;&gt;"",B2737=SW別シート!$C$3),COUNTIF(B$5:B2737,B2737),"")</f>
        <v/>
      </c>
      <c r="V2737" s="47" t="n">
        <f aca="false">V2736+IF(OR(O2737&lt;&gt;"",W2737&lt;&gt;""),1,0)</f>
        <v>3</v>
      </c>
      <c r="W2737" s="29"/>
    </row>
    <row r="2738" customFormat="false" ht="15" hidden="false" customHeight="false" outlineLevel="0" collapsed="false">
      <c r="A2738" s="32" t="str">
        <f aca="false">IF(B2738="","",ROW()-7)</f>
        <v/>
      </c>
      <c r="B2738" s="30"/>
      <c r="C2738" s="29"/>
      <c r="D2738" s="29"/>
      <c r="E2738" s="29"/>
      <c r="F2738" s="30"/>
      <c r="G2738" s="29"/>
      <c r="H2738" s="30"/>
      <c r="I2738" s="29"/>
      <c r="J2738" s="30"/>
      <c r="K2738" s="30"/>
      <c r="L2738" s="29"/>
      <c r="M2738" s="32" t="str">
        <f aca="false">IF(OR(C2738="",L2738=""),"",IF(C2738=L2738,"同一","変更"))</f>
        <v/>
      </c>
      <c r="N2738" s="29"/>
      <c r="O2738" s="30"/>
      <c r="P2738" s="29"/>
      <c r="Q2738" s="31"/>
      <c r="R2738" s="29"/>
      <c r="S2738" s="29"/>
      <c r="T2738" s="30"/>
      <c r="U2738" s="47" t="str">
        <f aca="false">IF(AND(B2738&lt;&gt;"",B2738=SW別シート!$C$3),COUNTIF(B$5:B2738,B2738),"")</f>
        <v/>
      </c>
      <c r="V2738" s="47" t="n">
        <f aca="false">V2737+IF(OR(O2738&lt;&gt;"",W2738&lt;&gt;""),1,0)</f>
        <v>3</v>
      </c>
      <c r="W2738" s="29"/>
    </row>
    <row r="2739" customFormat="false" ht="15" hidden="false" customHeight="false" outlineLevel="0" collapsed="false">
      <c r="A2739" s="32" t="str">
        <f aca="false">IF(B2739="","",ROW()-7)</f>
        <v/>
      </c>
      <c r="B2739" s="30"/>
      <c r="C2739" s="29"/>
      <c r="D2739" s="29"/>
      <c r="E2739" s="29"/>
      <c r="F2739" s="30"/>
      <c r="G2739" s="29"/>
      <c r="H2739" s="30"/>
      <c r="I2739" s="29"/>
      <c r="J2739" s="30"/>
      <c r="K2739" s="30"/>
      <c r="L2739" s="29"/>
      <c r="M2739" s="32" t="str">
        <f aca="false">IF(OR(C2739="",L2739=""),"",IF(C2739=L2739,"同一","変更"))</f>
        <v/>
      </c>
      <c r="N2739" s="29"/>
      <c r="O2739" s="30"/>
      <c r="P2739" s="29"/>
      <c r="Q2739" s="31"/>
      <c r="R2739" s="29"/>
      <c r="S2739" s="29"/>
      <c r="T2739" s="30"/>
      <c r="U2739" s="47" t="str">
        <f aca="false">IF(AND(B2739&lt;&gt;"",B2739=SW別シート!$C$3),COUNTIF(B$5:B2739,B2739),"")</f>
        <v/>
      </c>
      <c r="V2739" s="47" t="n">
        <f aca="false">V2738+IF(OR(O2739&lt;&gt;"",W2739&lt;&gt;""),1,0)</f>
        <v>3</v>
      </c>
      <c r="W2739" s="29"/>
    </row>
    <row r="2740" customFormat="false" ht="15" hidden="false" customHeight="false" outlineLevel="0" collapsed="false">
      <c r="A2740" s="32" t="str">
        <f aca="false">IF(B2740="","",ROW()-7)</f>
        <v/>
      </c>
      <c r="B2740" s="30"/>
      <c r="C2740" s="29"/>
      <c r="D2740" s="29"/>
      <c r="E2740" s="29"/>
      <c r="F2740" s="30"/>
      <c r="G2740" s="29"/>
      <c r="H2740" s="30"/>
      <c r="I2740" s="29"/>
      <c r="J2740" s="30"/>
      <c r="K2740" s="30"/>
      <c r="L2740" s="29"/>
      <c r="M2740" s="32" t="str">
        <f aca="false">IF(OR(C2740="",L2740=""),"",IF(C2740=L2740,"同一","変更"))</f>
        <v/>
      </c>
      <c r="N2740" s="29"/>
      <c r="O2740" s="30"/>
      <c r="P2740" s="29"/>
      <c r="Q2740" s="31"/>
      <c r="R2740" s="29"/>
      <c r="S2740" s="29"/>
      <c r="T2740" s="30"/>
      <c r="U2740" s="47" t="str">
        <f aca="false">IF(AND(B2740&lt;&gt;"",B2740=SW別シート!$C$3),COUNTIF(B$5:B2740,B2740),"")</f>
        <v/>
      </c>
      <c r="V2740" s="47" t="n">
        <f aca="false">V2739+IF(OR(O2740&lt;&gt;"",W2740&lt;&gt;""),1,0)</f>
        <v>3</v>
      </c>
      <c r="W2740" s="29"/>
    </row>
    <row r="2741" customFormat="false" ht="15" hidden="false" customHeight="false" outlineLevel="0" collapsed="false">
      <c r="A2741" s="32" t="str">
        <f aca="false">IF(B2741="","",ROW()-7)</f>
        <v/>
      </c>
      <c r="B2741" s="30"/>
      <c r="C2741" s="29"/>
      <c r="D2741" s="29"/>
      <c r="E2741" s="29"/>
      <c r="F2741" s="30"/>
      <c r="G2741" s="29"/>
      <c r="H2741" s="30"/>
      <c r="I2741" s="29"/>
      <c r="J2741" s="30"/>
      <c r="K2741" s="30"/>
      <c r="L2741" s="29"/>
      <c r="M2741" s="32" t="str">
        <f aca="false">IF(OR(C2741="",L2741=""),"",IF(C2741=L2741,"同一","変更"))</f>
        <v/>
      </c>
      <c r="N2741" s="29"/>
      <c r="O2741" s="30"/>
      <c r="P2741" s="29"/>
      <c r="Q2741" s="31"/>
      <c r="R2741" s="29"/>
      <c r="S2741" s="29"/>
      <c r="T2741" s="30"/>
      <c r="U2741" s="47" t="str">
        <f aca="false">IF(AND(B2741&lt;&gt;"",B2741=SW別シート!$C$3),COUNTIF(B$5:B2741,B2741),"")</f>
        <v/>
      </c>
      <c r="V2741" s="47" t="n">
        <f aca="false">V2740+IF(OR(O2741&lt;&gt;"",W2741&lt;&gt;""),1,0)</f>
        <v>3</v>
      </c>
      <c r="W2741" s="29"/>
    </row>
    <row r="2742" customFormat="false" ht="15" hidden="false" customHeight="false" outlineLevel="0" collapsed="false">
      <c r="A2742" s="32" t="str">
        <f aca="false">IF(B2742="","",ROW()-7)</f>
        <v/>
      </c>
      <c r="B2742" s="30"/>
      <c r="C2742" s="29"/>
      <c r="D2742" s="29"/>
      <c r="E2742" s="29"/>
      <c r="F2742" s="30"/>
      <c r="G2742" s="29"/>
      <c r="H2742" s="30"/>
      <c r="I2742" s="29"/>
      <c r="J2742" s="30"/>
      <c r="K2742" s="30"/>
      <c r="L2742" s="29"/>
      <c r="M2742" s="32" t="str">
        <f aca="false">IF(OR(C2742="",L2742=""),"",IF(C2742=L2742,"同一","変更"))</f>
        <v/>
      </c>
      <c r="N2742" s="29"/>
      <c r="O2742" s="30"/>
      <c r="P2742" s="29"/>
      <c r="Q2742" s="31"/>
      <c r="R2742" s="29"/>
      <c r="S2742" s="29"/>
      <c r="T2742" s="30"/>
      <c r="U2742" s="47" t="str">
        <f aca="false">IF(AND(B2742&lt;&gt;"",B2742=SW別シート!$C$3),COUNTIF(B$5:B2742,B2742),"")</f>
        <v/>
      </c>
      <c r="V2742" s="47" t="n">
        <f aca="false">V2741+IF(OR(O2742&lt;&gt;"",W2742&lt;&gt;""),1,0)</f>
        <v>3</v>
      </c>
      <c r="W2742" s="29"/>
    </row>
    <row r="2743" customFormat="false" ht="15" hidden="false" customHeight="false" outlineLevel="0" collapsed="false">
      <c r="A2743" s="32" t="str">
        <f aca="false">IF(B2743="","",ROW()-7)</f>
        <v/>
      </c>
      <c r="B2743" s="30"/>
      <c r="C2743" s="29"/>
      <c r="D2743" s="29"/>
      <c r="E2743" s="29"/>
      <c r="F2743" s="30"/>
      <c r="G2743" s="29"/>
      <c r="H2743" s="30"/>
      <c r="I2743" s="29"/>
      <c r="J2743" s="30"/>
      <c r="K2743" s="30"/>
      <c r="L2743" s="29"/>
      <c r="M2743" s="32" t="str">
        <f aca="false">IF(OR(C2743="",L2743=""),"",IF(C2743=L2743,"同一","変更"))</f>
        <v/>
      </c>
      <c r="N2743" s="29"/>
      <c r="O2743" s="30"/>
      <c r="P2743" s="29"/>
      <c r="Q2743" s="31"/>
      <c r="R2743" s="29"/>
      <c r="S2743" s="29"/>
      <c r="T2743" s="30"/>
      <c r="U2743" s="47" t="str">
        <f aca="false">IF(AND(B2743&lt;&gt;"",B2743=SW別シート!$C$3),COUNTIF(B$5:B2743,B2743),"")</f>
        <v/>
      </c>
      <c r="V2743" s="47" t="n">
        <f aca="false">V2742+IF(OR(O2743&lt;&gt;"",W2743&lt;&gt;""),1,0)</f>
        <v>3</v>
      </c>
      <c r="W2743" s="29"/>
    </row>
    <row r="2744" customFormat="false" ht="15" hidden="false" customHeight="false" outlineLevel="0" collapsed="false">
      <c r="A2744" s="32" t="str">
        <f aca="false">IF(B2744="","",ROW()-7)</f>
        <v/>
      </c>
      <c r="B2744" s="30"/>
      <c r="C2744" s="29"/>
      <c r="D2744" s="29"/>
      <c r="E2744" s="29"/>
      <c r="F2744" s="30"/>
      <c r="G2744" s="29"/>
      <c r="H2744" s="30"/>
      <c r="I2744" s="29"/>
      <c r="J2744" s="30"/>
      <c r="K2744" s="30"/>
      <c r="L2744" s="29"/>
      <c r="M2744" s="32" t="str">
        <f aca="false">IF(OR(C2744="",L2744=""),"",IF(C2744=L2744,"同一","変更"))</f>
        <v/>
      </c>
      <c r="N2744" s="29"/>
      <c r="O2744" s="30"/>
      <c r="P2744" s="29"/>
      <c r="Q2744" s="31"/>
      <c r="R2744" s="29"/>
      <c r="S2744" s="29"/>
      <c r="T2744" s="30"/>
      <c r="U2744" s="47" t="str">
        <f aca="false">IF(AND(B2744&lt;&gt;"",B2744=SW別シート!$C$3),COUNTIF(B$5:B2744,B2744),"")</f>
        <v/>
      </c>
      <c r="V2744" s="47" t="n">
        <f aca="false">V2743+IF(OR(O2744&lt;&gt;"",W2744&lt;&gt;""),1,0)</f>
        <v>3</v>
      </c>
      <c r="W2744" s="29"/>
    </row>
    <row r="2745" customFormat="false" ht="15" hidden="false" customHeight="false" outlineLevel="0" collapsed="false">
      <c r="A2745" s="32" t="str">
        <f aca="false">IF(B2745="","",ROW()-7)</f>
        <v/>
      </c>
      <c r="B2745" s="30"/>
      <c r="C2745" s="29"/>
      <c r="D2745" s="29"/>
      <c r="E2745" s="29"/>
      <c r="F2745" s="30"/>
      <c r="G2745" s="29"/>
      <c r="H2745" s="30"/>
      <c r="I2745" s="29"/>
      <c r="J2745" s="30"/>
      <c r="K2745" s="30"/>
      <c r="L2745" s="29"/>
      <c r="M2745" s="32" t="str">
        <f aca="false">IF(OR(C2745="",L2745=""),"",IF(C2745=L2745,"同一","変更"))</f>
        <v/>
      </c>
      <c r="N2745" s="29"/>
      <c r="O2745" s="30"/>
      <c r="P2745" s="29"/>
      <c r="Q2745" s="31"/>
      <c r="R2745" s="29"/>
      <c r="S2745" s="29"/>
      <c r="T2745" s="30"/>
      <c r="U2745" s="47" t="str">
        <f aca="false">IF(AND(B2745&lt;&gt;"",B2745=SW別シート!$C$3),COUNTIF(B$5:B2745,B2745),"")</f>
        <v/>
      </c>
      <c r="V2745" s="47" t="n">
        <f aca="false">V2744+IF(OR(O2745&lt;&gt;"",W2745&lt;&gt;""),1,0)</f>
        <v>3</v>
      </c>
      <c r="W2745" s="29"/>
    </row>
    <row r="2746" customFormat="false" ht="15" hidden="false" customHeight="false" outlineLevel="0" collapsed="false">
      <c r="A2746" s="32" t="str">
        <f aca="false">IF(B2746="","",ROW()-7)</f>
        <v/>
      </c>
      <c r="B2746" s="30"/>
      <c r="C2746" s="29"/>
      <c r="D2746" s="29"/>
      <c r="E2746" s="29"/>
      <c r="F2746" s="30"/>
      <c r="G2746" s="29"/>
      <c r="H2746" s="30"/>
      <c r="I2746" s="29"/>
      <c r="J2746" s="30"/>
      <c r="K2746" s="30"/>
      <c r="L2746" s="29"/>
      <c r="M2746" s="32" t="str">
        <f aca="false">IF(OR(C2746="",L2746=""),"",IF(C2746=L2746,"同一","変更"))</f>
        <v/>
      </c>
      <c r="N2746" s="29"/>
      <c r="O2746" s="30"/>
      <c r="P2746" s="29"/>
      <c r="Q2746" s="31"/>
      <c r="R2746" s="29"/>
      <c r="S2746" s="29"/>
      <c r="T2746" s="30"/>
      <c r="U2746" s="47" t="str">
        <f aca="false">IF(AND(B2746&lt;&gt;"",B2746=SW別シート!$C$3),COUNTIF(B$5:B2746,B2746),"")</f>
        <v/>
      </c>
      <c r="V2746" s="47" t="n">
        <f aca="false">V2745+IF(OR(O2746&lt;&gt;"",W2746&lt;&gt;""),1,0)</f>
        <v>3</v>
      </c>
      <c r="W2746" s="29"/>
    </row>
    <row r="2747" customFormat="false" ht="15" hidden="false" customHeight="false" outlineLevel="0" collapsed="false">
      <c r="A2747" s="32" t="str">
        <f aca="false">IF(B2747="","",ROW()-7)</f>
        <v/>
      </c>
      <c r="B2747" s="30"/>
      <c r="C2747" s="29"/>
      <c r="D2747" s="29"/>
      <c r="E2747" s="29"/>
      <c r="F2747" s="30"/>
      <c r="G2747" s="29"/>
      <c r="H2747" s="30"/>
      <c r="I2747" s="29"/>
      <c r="J2747" s="30"/>
      <c r="K2747" s="30"/>
      <c r="L2747" s="29"/>
      <c r="M2747" s="32" t="str">
        <f aca="false">IF(OR(C2747="",L2747=""),"",IF(C2747=L2747,"同一","変更"))</f>
        <v/>
      </c>
      <c r="N2747" s="29"/>
      <c r="O2747" s="30"/>
      <c r="P2747" s="29"/>
      <c r="Q2747" s="31"/>
      <c r="R2747" s="29"/>
      <c r="S2747" s="29"/>
      <c r="T2747" s="30"/>
      <c r="U2747" s="47" t="str">
        <f aca="false">IF(AND(B2747&lt;&gt;"",B2747=SW別シート!$C$3),COUNTIF(B$5:B2747,B2747),"")</f>
        <v/>
      </c>
      <c r="V2747" s="47" t="n">
        <f aca="false">V2746+IF(OR(O2747&lt;&gt;"",W2747&lt;&gt;""),1,0)</f>
        <v>3</v>
      </c>
      <c r="W2747" s="29"/>
    </row>
    <row r="2748" customFormat="false" ht="15" hidden="false" customHeight="false" outlineLevel="0" collapsed="false">
      <c r="A2748" s="32" t="str">
        <f aca="false">IF(B2748="","",ROW()-7)</f>
        <v/>
      </c>
      <c r="B2748" s="30"/>
      <c r="C2748" s="29"/>
      <c r="D2748" s="29"/>
      <c r="E2748" s="29"/>
      <c r="F2748" s="30"/>
      <c r="G2748" s="29"/>
      <c r="H2748" s="30"/>
      <c r="I2748" s="29"/>
      <c r="J2748" s="30"/>
      <c r="K2748" s="30"/>
      <c r="L2748" s="29"/>
      <c r="M2748" s="32" t="str">
        <f aca="false">IF(OR(C2748="",L2748=""),"",IF(C2748=L2748,"同一","変更"))</f>
        <v/>
      </c>
      <c r="N2748" s="29"/>
      <c r="O2748" s="30"/>
      <c r="P2748" s="29"/>
      <c r="Q2748" s="31"/>
      <c r="R2748" s="29"/>
      <c r="S2748" s="29"/>
      <c r="T2748" s="30"/>
      <c r="U2748" s="47" t="str">
        <f aca="false">IF(AND(B2748&lt;&gt;"",B2748=SW別シート!$C$3),COUNTIF(B$5:B2748,B2748),"")</f>
        <v/>
      </c>
      <c r="V2748" s="47" t="n">
        <f aca="false">V2747+IF(OR(O2748&lt;&gt;"",W2748&lt;&gt;""),1,0)</f>
        <v>3</v>
      </c>
      <c r="W2748" s="29"/>
    </row>
    <row r="2749" customFormat="false" ht="15" hidden="false" customHeight="false" outlineLevel="0" collapsed="false">
      <c r="A2749" s="32" t="str">
        <f aca="false">IF(B2749="","",ROW()-7)</f>
        <v/>
      </c>
      <c r="B2749" s="30"/>
      <c r="C2749" s="29"/>
      <c r="D2749" s="29"/>
      <c r="E2749" s="29"/>
      <c r="F2749" s="30"/>
      <c r="G2749" s="29"/>
      <c r="H2749" s="30"/>
      <c r="I2749" s="29"/>
      <c r="J2749" s="30"/>
      <c r="K2749" s="30"/>
      <c r="L2749" s="29"/>
      <c r="M2749" s="32" t="str">
        <f aca="false">IF(OR(C2749="",L2749=""),"",IF(C2749=L2749,"同一","変更"))</f>
        <v/>
      </c>
      <c r="N2749" s="29"/>
      <c r="O2749" s="30"/>
      <c r="P2749" s="29"/>
      <c r="Q2749" s="31"/>
      <c r="R2749" s="29"/>
      <c r="S2749" s="29"/>
      <c r="T2749" s="30"/>
      <c r="U2749" s="47" t="str">
        <f aca="false">IF(AND(B2749&lt;&gt;"",B2749=SW別シート!$C$3),COUNTIF(B$5:B2749,B2749),"")</f>
        <v/>
      </c>
      <c r="V2749" s="47" t="n">
        <f aca="false">V2748+IF(OR(O2749&lt;&gt;"",W2749&lt;&gt;""),1,0)</f>
        <v>3</v>
      </c>
      <c r="W2749" s="29"/>
    </row>
    <row r="2750" customFormat="false" ht="15" hidden="false" customHeight="false" outlineLevel="0" collapsed="false">
      <c r="A2750" s="32" t="str">
        <f aca="false">IF(B2750="","",ROW()-7)</f>
        <v/>
      </c>
      <c r="B2750" s="30"/>
      <c r="C2750" s="29"/>
      <c r="D2750" s="29"/>
      <c r="E2750" s="29"/>
      <c r="F2750" s="30"/>
      <c r="G2750" s="29"/>
      <c r="H2750" s="30"/>
      <c r="I2750" s="29"/>
      <c r="J2750" s="30"/>
      <c r="K2750" s="30"/>
      <c r="L2750" s="29"/>
      <c r="M2750" s="32" t="str">
        <f aca="false">IF(OR(C2750="",L2750=""),"",IF(C2750=L2750,"同一","変更"))</f>
        <v/>
      </c>
      <c r="N2750" s="29"/>
      <c r="O2750" s="30"/>
      <c r="P2750" s="29"/>
      <c r="Q2750" s="31"/>
      <c r="R2750" s="29"/>
      <c r="S2750" s="29"/>
      <c r="T2750" s="30"/>
      <c r="U2750" s="47" t="str">
        <f aca="false">IF(AND(B2750&lt;&gt;"",B2750=SW別シート!$C$3),COUNTIF(B$5:B2750,B2750),"")</f>
        <v/>
      </c>
      <c r="V2750" s="47" t="n">
        <f aca="false">V2749+IF(OR(O2750&lt;&gt;"",W2750&lt;&gt;""),1,0)</f>
        <v>3</v>
      </c>
      <c r="W2750" s="29"/>
    </row>
    <row r="2751" customFormat="false" ht="15" hidden="false" customHeight="false" outlineLevel="0" collapsed="false">
      <c r="A2751" s="32" t="str">
        <f aca="false">IF(B2751="","",ROW()-7)</f>
        <v/>
      </c>
      <c r="B2751" s="30"/>
      <c r="C2751" s="29"/>
      <c r="D2751" s="29"/>
      <c r="E2751" s="29"/>
      <c r="F2751" s="30"/>
      <c r="G2751" s="29"/>
      <c r="H2751" s="30"/>
      <c r="I2751" s="29"/>
      <c r="J2751" s="30"/>
      <c r="K2751" s="30"/>
      <c r="L2751" s="29"/>
      <c r="M2751" s="32" t="str">
        <f aca="false">IF(OR(C2751="",L2751=""),"",IF(C2751=L2751,"同一","変更"))</f>
        <v/>
      </c>
      <c r="N2751" s="29"/>
      <c r="O2751" s="30"/>
      <c r="P2751" s="29"/>
      <c r="Q2751" s="31"/>
      <c r="R2751" s="29"/>
      <c r="S2751" s="29"/>
      <c r="T2751" s="30"/>
      <c r="U2751" s="47" t="str">
        <f aca="false">IF(AND(B2751&lt;&gt;"",B2751=SW別シート!$C$3),COUNTIF(B$5:B2751,B2751),"")</f>
        <v/>
      </c>
      <c r="V2751" s="47" t="n">
        <f aca="false">V2750+IF(OR(O2751&lt;&gt;"",W2751&lt;&gt;""),1,0)</f>
        <v>3</v>
      </c>
      <c r="W2751" s="29"/>
    </row>
    <row r="2752" customFormat="false" ht="15" hidden="false" customHeight="false" outlineLevel="0" collapsed="false">
      <c r="A2752" s="32" t="str">
        <f aca="false">IF(B2752="","",ROW()-7)</f>
        <v/>
      </c>
      <c r="B2752" s="30"/>
      <c r="C2752" s="29"/>
      <c r="D2752" s="29"/>
      <c r="E2752" s="29"/>
      <c r="F2752" s="30"/>
      <c r="G2752" s="29"/>
      <c r="H2752" s="30"/>
      <c r="I2752" s="29"/>
      <c r="J2752" s="30"/>
      <c r="K2752" s="30"/>
      <c r="L2752" s="29"/>
      <c r="M2752" s="32" t="str">
        <f aca="false">IF(OR(C2752="",L2752=""),"",IF(C2752=L2752,"同一","変更"))</f>
        <v/>
      </c>
      <c r="N2752" s="29"/>
      <c r="O2752" s="30"/>
      <c r="P2752" s="29"/>
      <c r="Q2752" s="31"/>
      <c r="R2752" s="29"/>
      <c r="S2752" s="29"/>
      <c r="T2752" s="30"/>
      <c r="U2752" s="47" t="str">
        <f aca="false">IF(AND(B2752&lt;&gt;"",B2752=SW別シート!$C$3),COUNTIF(B$5:B2752,B2752),"")</f>
        <v/>
      </c>
      <c r="V2752" s="47" t="n">
        <f aca="false">V2751+IF(OR(O2752&lt;&gt;"",W2752&lt;&gt;""),1,0)</f>
        <v>3</v>
      </c>
      <c r="W2752" s="29"/>
    </row>
    <row r="2753" customFormat="false" ht="15" hidden="false" customHeight="false" outlineLevel="0" collapsed="false">
      <c r="A2753" s="32" t="str">
        <f aca="false">IF(B2753="","",ROW()-7)</f>
        <v/>
      </c>
      <c r="B2753" s="30"/>
      <c r="C2753" s="29"/>
      <c r="D2753" s="29"/>
      <c r="E2753" s="29"/>
      <c r="F2753" s="30"/>
      <c r="G2753" s="29"/>
      <c r="H2753" s="30"/>
      <c r="I2753" s="29"/>
      <c r="J2753" s="30"/>
      <c r="K2753" s="30"/>
      <c r="L2753" s="29"/>
      <c r="M2753" s="32" t="str">
        <f aca="false">IF(OR(C2753="",L2753=""),"",IF(C2753=L2753,"同一","変更"))</f>
        <v/>
      </c>
      <c r="N2753" s="29"/>
      <c r="O2753" s="30"/>
      <c r="P2753" s="29"/>
      <c r="Q2753" s="31"/>
      <c r="R2753" s="29"/>
      <c r="S2753" s="29"/>
      <c r="T2753" s="30"/>
      <c r="U2753" s="47" t="str">
        <f aca="false">IF(AND(B2753&lt;&gt;"",B2753=SW別シート!$C$3),COUNTIF(B$5:B2753,B2753),"")</f>
        <v/>
      </c>
      <c r="V2753" s="47" t="n">
        <f aca="false">V2752+IF(OR(O2753&lt;&gt;"",W2753&lt;&gt;""),1,0)</f>
        <v>3</v>
      </c>
      <c r="W2753" s="29"/>
    </row>
    <row r="2754" customFormat="false" ht="15" hidden="false" customHeight="false" outlineLevel="0" collapsed="false">
      <c r="A2754" s="32" t="str">
        <f aca="false">IF(B2754="","",ROW()-7)</f>
        <v/>
      </c>
      <c r="B2754" s="30"/>
      <c r="C2754" s="29"/>
      <c r="D2754" s="29"/>
      <c r="E2754" s="29"/>
      <c r="F2754" s="30"/>
      <c r="G2754" s="29"/>
      <c r="H2754" s="30"/>
      <c r="I2754" s="29"/>
      <c r="J2754" s="30"/>
      <c r="K2754" s="30"/>
      <c r="L2754" s="29"/>
      <c r="M2754" s="32" t="str">
        <f aca="false">IF(OR(C2754="",L2754=""),"",IF(C2754=L2754,"同一","変更"))</f>
        <v/>
      </c>
      <c r="N2754" s="29"/>
      <c r="O2754" s="30"/>
      <c r="P2754" s="29"/>
      <c r="Q2754" s="31"/>
      <c r="R2754" s="29"/>
      <c r="S2754" s="29"/>
      <c r="T2754" s="30"/>
      <c r="U2754" s="47" t="str">
        <f aca="false">IF(AND(B2754&lt;&gt;"",B2754=SW別シート!$C$3),COUNTIF(B$5:B2754,B2754),"")</f>
        <v/>
      </c>
      <c r="V2754" s="47" t="n">
        <f aca="false">V2753+IF(OR(O2754&lt;&gt;"",W2754&lt;&gt;""),1,0)</f>
        <v>3</v>
      </c>
      <c r="W2754" s="29"/>
    </row>
    <row r="2755" customFormat="false" ht="15" hidden="false" customHeight="false" outlineLevel="0" collapsed="false">
      <c r="A2755" s="32" t="str">
        <f aca="false">IF(B2755="","",ROW()-7)</f>
        <v/>
      </c>
      <c r="B2755" s="30"/>
      <c r="C2755" s="29"/>
      <c r="D2755" s="29"/>
      <c r="E2755" s="29"/>
      <c r="F2755" s="30"/>
      <c r="G2755" s="29"/>
      <c r="H2755" s="30"/>
      <c r="I2755" s="29"/>
      <c r="J2755" s="30"/>
      <c r="K2755" s="30"/>
      <c r="L2755" s="29"/>
      <c r="M2755" s="32" t="str">
        <f aca="false">IF(OR(C2755="",L2755=""),"",IF(C2755=L2755,"同一","変更"))</f>
        <v/>
      </c>
      <c r="N2755" s="29"/>
      <c r="O2755" s="30"/>
      <c r="P2755" s="29"/>
      <c r="Q2755" s="31"/>
      <c r="R2755" s="29"/>
      <c r="S2755" s="29"/>
      <c r="T2755" s="30"/>
      <c r="U2755" s="47" t="str">
        <f aca="false">IF(AND(B2755&lt;&gt;"",B2755=SW別シート!$C$3),COUNTIF(B$5:B2755,B2755),"")</f>
        <v/>
      </c>
      <c r="V2755" s="47" t="n">
        <f aca="false">V2754+IF(OR(O2755&lt;&gt;"",W2755&lt;&gt;""),1,0)</f>
        <v>3</v>
      </c>
      <c r="W2755" s="29"/>
    </row>
    <row r="2756" customFormat="false" ht="15" hidden="false" customHeight="false" outlineLevel="0" collapsed="false">
      <c r="A2756" s="32" t="str">
        <f aca="false">IF(B2756="","",ROW()-7)</f>
        <v/>
      </c>
      <c r="B2756" s="30"/>
      <c r="C2756" s="29"/>
      <c r="D2756" s="29"/>
      <c r="E2756" s="29"/>
      <c r="F2756" s="30"/>
      <c r="G2756" s="29"/>
      <c r="H2756" s="30"/>
      <c r="I2756" s="29"/>
      <c r="J2756" s="30"/>
      <c r="K2756" s="30"/>
      <c r="L2756" s="29"/>
      <c r="M2756" s="32" t="str">
        <f aca="false">IF(OR(C2756="",L2756=""),"",IF(C2756=L2756,"同一","変更"))</f>
        <v/>
      </c>
      <c r="N2756" s="29"/>
      <c r="O2756" s="30"/>
      <c r="P2756" s="29"/>
      <c r="Q2756" s="31"/>
      <c r="R2756" s="29"/>
      <c r="S2756" s="29"/>
      <c r="T2756" s="30"/>
      <c r="U2756" s="47" t="str">
        <f aca="false">IF(AND(B2756&lt;&gt;"",B2756=SW別シート!$C$3),COUNTIF(B$5:B2756,B2756),"")</f>
        <v/>
      </c>
      <c r="V2756" s="47" t="n">
        <f aca="false">V2755+IF(OR(O2756&lt;&gt;"",W2756&lt;&gt;""),1,0)</f>
        <v>3</v>
      </c>
      <c r="W2756" s="29"/>
    </row>
    <row r="2757" customFormat="false" ht="15" hidden="false" customHeight="false" outlineLevel="0" collapsed="false">
      <c r="A2757" s="32" t="str">
        <f aca="false">IF(B2757="","",ROW()-7)</f>
        <v/>
      </c>
      <c r="B2757" s="30"/>
      <c r="C2757" s="29"/>
      <c r="D2757" s="29"/>
      <c r="E2757" s="29"/>
      <c r="F2757" s="30"/>
      <c r="G2757" s="29"/>
      <c r="H2757" s="30"/>
      <c r="I2757" s="29"/>
      <c r="J2757" s="30"/>
      <c r="K2757" s="30"/>
      <c r="L2757" s="29"/>
      <c r="M2757" s="32" t="str">
        <f aca="false">IF(OR(C2757="",L2757=""),"",IF(C2757=L2757,"同一","変更"))</f>
        <v/>
      </c>
      <c r="N2757" s="29"/>
      <c r="O2757" s="30"/>
      <c r="P2757" s="29"/>
      <c r="Q2757" s="31"/>
      <c r="R2757" s="29"/>
      <c r="S2757" s="29"/>
      <c r="T2757" s="30"/>
      <c r="U2757" s="47" t="str">
        <f aca="false">IF(AND(B2757&lt;&gt;"",B2757=SW別シート!$C$3),COUNTIF(B$5:B2757,B2757),"")</f>
        <v/>
      </c>
      <c r="V2757" s="47" t="n">
        <f aca="false">V2756+IF(OR(O2757&lt;&gt;"",W2757&lt;&gt;""),1,0)</f>
        <v>3</v>
      </c>
      <c r="W2757" s="29"/>
    </row>
    <row r="2758" customFormat="false" ht="15" hidden="false" customHeight="false" outlineLevel="0" collapsed="false">
      <c r="A2758" s="32" t="str">
        <f aca="false">IF(B2758="","",ROW()-7)</f>
        <v/>
      </c>
      <c r="B2758" s="30"/>
      <c r="C2758" s="29"/>
      <c r="D2758" s="29"/>
      <c r="E2758" s="29"/>
      <c r="F2758" s="30"/>
      <c r="G2758" s="29"/>
      <c r="H2758" s="30"/>
      <c r="I2758" s="29"/>
      <c r="J2758" s="30"/>
      <c r="K2758" s="30"/>
      <c r="L2758" s="29"/>
      <c r="M2758" s="32" t="str">
        <f aca="false">IF(OR(C2758="",L2758=""),"",IF(C2758=L2758,"同一","変更"))</f>
        <v/>
      </c>
      <c r="N2758" s="29"/>
      <c r="O2758" s="30"/>
      <c r="P2758" s="29"/>
      <c r="Q2758" s="31"/>
      <c r="R2758" s="29"/>
      <c r="S2758" s="29"/>
      <c r="T2758" s="30"/>
      <c r="U2758" s="47" t="str">
        <f aca="false">IF(AND(B2758&lt;&gt;"",B2758=SW別シート!$C$3),COUNTIF(B$5:B2758,B2758),"")</f>
        <v/>
      </c>
      <c r="V2758" s="47" t="n">
        <f aca="false">V2757+IF(OR(O2758&lt;&gt;"",W2758&lt;&gt;""),1,0)</f>
        <v>3</v>
      </c>
      <c r="W2758" s="29"/>
    </row>
    <row r="2759" customFormat="false" ht="15" hidden="false" customHeight="false" outlineLevel="0" collapsed="false">
      <c r="A2759" s="32" t="str">
        <f aca="false">IF(B2759="","",ROW()-7)</f>
        <v/>
      </c>
      <c r="B2759" s="30"/>
      <c r="C2759" s="29"/>
      <c r="D2759" s="29"/>
      <c r="E2759" s="29"/>
      <c r="F2759" s="30"/>
      <c r="G2759" s="29"/>
      <c r="H2759" s="30"/>
      <c r="I2759" s="29"/>
      <c r="J2759" s="30"/>
      <c r="K2759" s="30"/>
      <c r="L2759" s="29"/>
      <c r="M2759" s="32" t="str">
        <f aca="false">IF(OR(C2759="",L2759=""),"",IF(C2759=L2759,"同一","変更"))</f>
        <v/>
      </c>
      <c r="N2759" s="29"/>
      <c r="O2759" s="30"/>
      <c r="P2759" s="29"/>
      <c r="Q2759" s="31"/>
      <c r="R2759" s="29"/>
      <c r="S2759" s="29"/>
      <c r="T2759" s="30"/>
      <c r="U2759" s="47" t="str">
        <f aca="false">IF(AND(B2759&lt;&gt;"",B2759=SW別シート!$C$3),COUNTIF(B$5:B2759,B2759),"")</f>
        <v/>
      </c>
      <c r="V2759" s="47" t="n">
        <f aca="false">V2758+IF(OR(O2759&lt;&gt;"",W2759&lt;&gt;""),1,0)</f>
        <v>3</v>
      </c>
      <c r="W2759" s="29"/>
    </row>
    <row r="2760" customFormat="false" ht="15" hidden="false" customHeight="false" outlineLevel="0" collapsed="false">
      <c r="A2760" s="32" t="str">
        <f aca="false">IF(B2760="","",ROW()-7)</f>
        <v/>
      </c>
      <c r="B2760" s="30"/>
      <c r="C2760" s="29"/>
      <c r="D2760" s="29"/>
      <c r="E2760" s="29"/>
      <c r="F2760" s="30"/>
      <c r="G2760" s="29"/>
      <c r="H2760" s="30"/>
      <c r="I2760" s="29"/>
      <c r="J2760" s="30"/>
      <c r="K2760" s="30"/>
      <c r="L2760" s="29"/>
      <c r="M2760" s="32" t="str">
        <f aca="false">IF(OR(C2760="",L2760=""),"",IF(C2760=L2760,"同一","変更"))</f>
        <v/>
      </c>
      <c r="N2760" s="29"/>
      <c r="O2760" s="30"/>
      <c r="P2760" s="29"/>
      <c r="Q2760" s="31"/>
      <c r="R2760" s="29"/>
      <c r="S2760" s="29"/>
      <c r="T2760" s="30"/>
      <c r="U2760" s="47" t="str">
        <f aca="false">IF(AND(B2760&lt;&gt;"",B2760=SW別シート!$C$3),COUNTIF(B$5:B2760,B2760),"")</f>
        <v/>
      </c>
      <c r="V2760" s="47" t="n">
        <f aca="false">V2759+IF(OR(O2760&lt;&gt;"",W2760&lt;&gt;""),1,0)</f>
        <v>3</v>
      </c>
      <c r="W2760" s="29"/>
    </row>
    <row r="2761" customFormat="false" ht="15" hidden="false" customHeight="false" outlineLevel="0" collapsed="false">
      <c r="A2761" s="32" t="str">
        <f aca="false">IF(B2761="","",ROW()-7)</f>
        <v/>
      </c>
      <c r="B2761" s="30"/>
      <c r="C2761" s="29"/>
      <c r="D2761" s="29"/>
      <c r="E2761" s="29"/>
      <c r="F2761" s="30"/>
      <c r="G2761" s="29"/>
      <c r="H2761" s="30"/>
      <c r="I2761" s="29"/>
      <c r="J2761" s="30"/>
      <c r="K2761" s="30"/>
      <c r="L2761" s="29"/>
      <c r="M2761" s="32" t="str">
        <f aca="false">IF(OR(C2761="",L2761=""),"",IF(C2761=L2761,"同一","変更"))</f>
        <v/>
      </c>
      <c r="N2761" s="29"/>
      <c r="O2761" s="30"/>
      <c r="P2761" s="29"/>
      <c r="Q2761" s="31"/>
      <c r="R2761" s="29"/>
      <c r="S2761" s="29"/>
      <c r="T2761" s="30"/>
      <c r="U2761" s="47" t="str">
        <f aca="false">IF(AND(B2761&lt;&gt;"",B2761=SW別シート!$C$3),COUNTIF(B$5:B2761,B2761),"")</f>
        <v/>
      </c>
      <c r="V2761" s="47" t="n">
        <f aca="false">V2760+IF(OR(O2761&lt;&gt;"",W2761&lt;&gt;""),1,0)</f>
        <v>3</v>
      </c>
      <c r="W2761" s="29"/>
    </row>
    <row r="2762" customFormat="false" ht="15" hidden="false" customHeight="false" outlineLevel="0" collapsed="false">
      <c r="A2762" s="32" t="str">
        <f aca="false">IF(B2762="","",ROW()-7)</f>
        <v/>
      </c>
      <c r="B2762" s="30"/>
      <c r="C2762" s="29"/>
      <c r="D2762" s="29"/>
      <c r="E2762" s="29"/>
      <c r="F2762" s="30"/>
      <c r="G2762" s="29"/>
      <c r="H2762" s="30"/>
      <c r="I2762" s="29"/>
      <c r="J2762" s="30"/>
      <c r="K2762" s="30"/>
      <c r="L2762" s="29"/>
      <c r="M2762" s="32" t="str">
        <f aca="false">IF(OR(C2762="",L2762=""),"",IF(C2762=L2762,"同一","変更"))</f>
        <v/>
      </c>
      <c r="N2762" s="29"/>
      <c r="O2762" s="30"/>
      <c r="P2762" s="29"/>
      <c r="Q2762" s="31"/>
      <c r="R2762" s="29"/>
      <c r="S2762" s="29"/>
      <c r="T2762" s="30"/>
      <c r="U2762" s="47" t="str">
        <f aca="false">IF(AND(B2762&lt;&gt;"",B2762=SW別シート!$C$3),COUNTIF(B$5:B2762,B2762),"")</f>
        <v/>
      </c>
      <c r="V2762" s="47" t="n">
        <f aca="false">V2761+IF(OR(O2762&lt;&gt;"",W2762&lt;&gt;""),1,0)</f>
        <v>3</v>
      </c>
      <c r="W2762" s="29"/>
    </row>
    <row r="2763" customFormat="false" ht="15" hidden="false" customHeight="false" outlineLevel="0" collapsed="false">
      <c r="A2763" s="32" t="str">
        <f aca="false">IF(B2763="","",ROW()-7)</f>
        <v/>
      </c>
      <c r="B2763" s="30"/>
      <c r="C2763" s="29"/>
      <c r="D2763" s="29"/>
      <c r="E2763" s="29"/>
      <c r="F2763" s="30"/>
      <c r="G2763" s="29"/>
      <c r="H2763" s="30"/>
      <c r="I2763" s="29"/>
      <c r="J2763" s="30"/>
      <c r="K2763" s="30"/>
      <c r="L2763" s="29"/>
      <c r="M2763" s="32" t="str">
        <f aca="false">IF(OR(C2763="",L2763=""),"",IF(C2763=L2763,"同一","変更"))</f>
        <v/>
      </c>
      <c r="N2763" s="29"/>
      <c r="O2763" s="30"/>
      <c r="P2763" s="29"/>
      <c r="Q2763" s="31"/>
      <c r="R2763" s="29"/>
      <c r="S2763" s="29"/>
      <c r="T2763" s="30"/>
      <c r="U2763" s="47" t="str">
        <f aca="false">IF(AND(B2763&lt;&gt;"",B2763=SW別シート!$C$3),COUNTIF(B$5:B2763,B2763),"")</f>
        <v/>
      </c>
      <c r="V2763" s="47" t="n">
        <f aca="false">V2762+IF(OR(O2763&lt;&gt;"",W2763&lt;&gt;""),1,0)</f>
        <v>3</v>
      </c>
      <c r="W2763" s="29"/>
    </row>
    <row r="2764" customFormat="false" ht="15" hidden="false" customHeight="false" outlineLevel="0" collapsed="false">
      <c r="A2764" s="32" t="str">
        <f aca="false">IF(B2764="","",ROW()-7)</f>
        <v/>
      </c>
      <c r="B2764" s="30"/>
      <c r="C2764" s="29"/>
      <c r="D2764" s="29"/>
      <c r="E2764" s="29"/>
      <c r="F2764" s="30"/>
      <c r="G2764" s="29"/>
      <c r="H2764" s="30"/>
      <c r="I2764" s="29"/>
      <c r="J2764" s="30"/>
      <c r="K2764" s="30"/>
      <c r="L2764" s="29"/>
      <c r="M2764" s="32" t="str">
        <f aca="false">IF(OR(C2764="",L2764=""),"",IF(C2764=L2764,"同一","変更"))</f>
        <v/>
      </c>
      <c r="N2764" s="29"/>
      <c r="O2764" s="30"/>
      <c r="P2764" s="29"/>
      <c r="Q2764" s="31"/>
      <c r="R2764" s="29"/>
      <c r="S2764" s="29"/>
      <c r="T2764" s="30"/>
      <c r="U2764" s="47" t="str">
        <f aca="false">IF(AND(B2764&lt;&gt;"",B2764=SW別シート!$C$3),COUNTIF(B$5:B2764,B2764),"")</f>
        <v/>
      </c>
      <c r="V2764" s="47" t="n">
        <f aca="false">V2763+IF(OR(O2764&lt;&gt;"",W2764&lt;&gt;""),1,0)</f>
        <v>3</v>
      </c>
      <c r="W2764" s="29"/>
    </row>
    <row r="2765" customFormat="false" ht="15" hidden="false" customHeight="false" outlineLevel="0" collapsed="false">
      <c r="A2765" s="32" t="str">
        <f aca="false">IF(B2765="","",ROW()-7)</f>
        <v/>
      </c>
      <c r="B2765" s="30"/>
      <c r="C2765" s="29"/>
      <c r="D2765" s="29"/>
      <c r="E2765" s="29"/>
      <c r="F2765" s="30"/>
      <c r="G2765" s="29"/>
      <c r="H2765" s="30"/>
      <c r="I2765" s="29"/>
      <c r="J2765" s="30"/>
      <c r="K2765" s="30"/>
      <c r="L2765" s="29"/>
      <c r="M2765" s="32" t="str">
        <f aca="false">IF(OR(C2765="",L2765=""),"",IF(C2765=L2765,"同一","変更"))</f>
        <v/>
      </c>
      <c r="N2765" s="29"/>
      <c r="O2765" s="30"/>
      <c r="P2765" s="29"/>
      <c r="Q2765" s="31"/>
      <c r="R2765" s="29"/>
      <c r="S2765" s="29"/>
      <c r="T2765" s="30"/>
      <c r="U2765" s="47" t="str">
        <f aca="false">IF(AND(B2765&lt;&gt;"",B2765=SW別シート!$C$3),COUNTIF(B$5:B2765,B2765),"")</f>
        <v/>
      </c>
      <c r="V2765" s="47" t="n">
        <f aca="false">V2764+IF(OR(O2765&lt;&gt;"",W2765&lt;&gt;""),1,0)</f>
        <v>3</v>
      </c>
      <c r="W2765" s="29"/>
    </row>
    <row r="2766" customFormat="false" ht="15" hidden="false" customHeight="false" outlineLevel="0" collapsed="false">
      <c r="A2766" s="32" t="str">
        <f aca="false">IF(B2766="","",ROW()-7)</f>
        <v/>
      </c>
      <c r="B2766" s="30"/>
      <c r="C2766" s="29"/>
      <c r="D2766" s="29"/>
      <c r="E2766" s="29"/>
      <c r="F2766" s="30"/>
      <c r="G2766" s="29"/>
      <c r="H2766" s="30"/>
      <c r="I2766" s="29"/>
      <c r="J2766" s="30"/>
      <c r="K2766" s="30"/>
      <c r="L2766" s="29"/>
      <c r="M2766" s="32" t="str">
        <f aca="false">IF(OR(C2766="",L2766=""),"",IF(C2766=L2766,"同一","変更"))</f>
        <v/>
      </c>
      <c r="N2766" s="29"/>
      <c r="O2766" s="30"/>
      <c r="P2766" s="29"/>
      <c r="Q2766" s="31"/>
      <c r="R2766" s="29"/>
      <c r="S2766" s="29"/>
      <c r="T2766" s="30"/>
      <c r="U2766" s="47" t="str">
        <f aca="false">IF(AND(B2766&lt;&gt;"",B2766=SW別シート!$C$3),COUNTIF(B$5:B2766,B2766),"")</f>
        <v/>
      </c>
      <c r="V2766" s="47" t="n">
        <f aca="false">V2765+IF(OR(O2766&lt;&gt;"",W2766&lt;&gt;""),1,0)</f>
        <v>3</v>
      </c>
      <c r="W2766" s="29"/>
    </row>
    <row r="2767" customFormat="false" ht="15" hidden="false" customHeight="false" outlineLevel="0" collapsed="false">
      <c r="A2767" s="32" t="str">
        <f aca="false">IF(B2767="","",ROW()-7)</f>
        <v/>
      </c>
      <c r="B2767" s="30"/>
      <c r="C2767" s="29"/>
      <c r="D2767" s="29"/>
      <c r="E2767" s="29"/>
      <c r="F2767" s="30"/>
      <c r="G2767" s="29"/>
      <c r="H2767" s="30"/>
      <c r="I2767" s="29"/>
      <c r="J2767" s="30"/>
      <c r="K2767" s="30"/>
      <c r="L2767" s="29"/>
      <c r="M2767" s="32" t="str">
        <f aca="false">IF(OR(C2767="",L2767=""),"",IF(C2767=L2767,"同一","変更"))</f>
        <v/>
      </c>
      <c r="N2767" s="29"/>
      <c r="O2767" s="30"/>
      <c r="P2767" s="29"/>
      <c r="Q2767" s="31"/>
      <c r="R2767" s="29"/>
      <c r="S2767" s="29"/>
      <c r="T2767" s="30"/>
      <c r="U2767" s="47" t="str">
        <f aca="false">IF(AND(B2767&lt;&gt;"",B2767=SW別シート!$C$3),COUNTIF(B$5:B2767,B2767),"")</f>
        <v/>
      </c>
      <c r="V2767" s="47" t="n">
        <f aca="false">V2766+IF(OR(O2767&lt;&gt;"",W2767&lt;&gt;""),1,0)</f>
        <v>3</v>
      </c>
      <c r="W2767" s="29"/>
    </row>
    <row r="2768" customFormat="false" ht="15" hidden="false" customHeight="false" outlineLevel="0" collapsed="false">
      <c r="A2768" s="32" t="str">
        <f aca="false">IF(B2768="","",ROW()-7)</f>
        <v/>
      </c>
      <c r="B2768" s="30"/>
      <c r="C2768" s="29"/>
      <c r="D2768" s="29"/>
      <c r="E2768" s="29"/>
      <c r="F2768" s="30"/>
      <c r="G2768" s="29"/>
      <c r="H2768" s="30"/>
      <c r="I2768" s="29"/>
      <c r="J2768" s="30"/>
      <c r="K2768" s="30"/>
      <c r="L2768" s="29"/>
      <c r="M2768" s="32" t="str">
        <f aca="false">IF(OR(C2768="",L2768=""),"",IF(C2768=L2768,"同一","変更"))</f>
        <v/>
      </c>
      <c r="N2768" s="29"/>
      <c r="O2768" s="30"/>
      <c r="P2768" s="29"/>
      <c r="Q2768" s="31"/>
      <c r="R2768" s="29"/>
      <c r="S2768" s="29"/>
      <c r="T2768" s="30"/>
      <c r="U2768" s="47" t="str">
        <f aca="false">IF(AND(B2768&lt;&gt;"",B2768=SW別シート!$C$3),COUNTIF(B$5:B2768,B2768),"")</f>
        <v/>
      </c>
      <c r="V2768" s="47" t="n">
        <f aca="false">V2767+IF(OR(O2768&lt;&gt;"",W2768&lt;&gt;""),1,0)</f>
        <v>3</v>
      </c>
      <c r="W2768" s="29"/>
    </row>
    <row r="2769" customFormat="false" ht="15" hidden="false" customHeight="false" outlineLevel="0" collapsed="false">
      <c r="A2769" s="32" t="str">
        <f aca="false">IF(B2769="","",ROW()-7)</f>
        <v/>
      </c>
      <c r="B2769" s="30"/>
      <c r="C2769" s="29"/>
      <c r="D2769" s="29"/>
      <c r="E2769" s="29"/>
      <c r="F2769" s="30"/>
      <c r="G2769" s="29"/>
      <c r="H2769" s="30"/>
      <c r="I2769" s="29"/>
      <c r="J2769" s="30"/>
      <c r="K2769" s="30"/>
      <c r="L2769" s="29"/>
      <c r="M2769" s="32" t="str">
        <f aca="false">IF(OR(C2769="",L2769=""),"",IF(C2769=L2769,"同一","変更"))</f>
        <v/>
      </c>
      <c r="N2769" s="29"/>
      <c r="O2769" s="30"/>
      <c r="P2769" s="29"/>
      <c r="Q2769" s="31"/>
      <c r="R2769" s="29"/>
      <c r="S2769" s="29"/>
      <c r="T2769" s="30"/>
      <c r="U2769" s="47" t="str">
        <f aca="false">IF(AND(B2769&lt;&gt;"",B2769=SW別シート!$C$3),COUNTIF(B$5:B2769,B2769),"")</f>
        <v/>
      </c>
      <c r="V2769" s="47" t="n">
        <f aca="false">V2768+IF(OR(O2769&lt;&gt;"",W2769&lt;&gt;""),1,0)</f>
        <v>3</v>
      </c>
      <c r="W2769" s="29"/>
    </row>
    <row r="2770" customFormat="false" ht="15" hidden="false" customHeight="false" outlineLevel="0" collapsed="false">
      <c r="A2770" s="32" t="str">
        <f aca="false">IF(B2770="","",ROW()-7)</f>
        <v/>
      </c>
      <c r="B2770" s="30"/>
      <c r="C2770" s="29"/>
      <c r="D2770" s="29"/>
      <c r="E2770" s="29"/>
      <c r="F2770" s="30"/>
      <c r="G2770" s="29"/>
      <c r="H2770" s="30"/>
      <c r="I2770" s="29"/>
      <c r="J2770" s="30"/>
      <c r="K2770" s="30"/>
      <c r="L2770" s="29"/>
      <c r="M2770" s="32" t="str">
        <f aca="false">IF(OR(C2770="",L2770=""),"",IF(C2770=L2770,"同一","変更"))</f>
        <v/>
      </c>
      <c r="N2770" s="29"/>
      <c r="O2770" s="30"/>
      <c r="P2770" s="29"/>
      <c r="Q2770" s="31"/>
      <c r="R2770" s="29"/>
      <c r="S2770" s="29"/>
      <c r="T2770" s="30"/>
      <c r="U2770" s="47" t="str">
        <f aca="false">IF(AND(B2770&lt;&gt;"",B2770=SW別シート!$C$3),COUNTIF(B$5:B2770,B2770),"")</f>
        <v/>
      </c>
      <c r="V2770" s="47" t="n">
        <f aca="false">V2769+IF(OR(O2770&lt;&gt;"",W2770&lt;&gt;""),1,0)</f>
        <v>3</v>
      </c>
      <c r="W2770" s="29"/>
    </row>
    <row r="2771" customFormat="false" ht="15" hidden="false" customHeight="false" outlineLevel="0" collapsed="false">
      <c r="A2771" s="32" t="str">
        <f aca="false">IF(B2771="","",ROW()-7)</f>
        <v/>
      </c>
      <c r="B2771" s="30"/>
      <c r="C2771" s="29"/>
      <c r="D2771" s="29"/>
      <c r="E2771" s="29"/>
      <c r="F2771" s="30"/>
      <c r="G2771" s="29"/>
      <c r="H2771" s="30"/>
      <c r="I2771" s="29"/>
      <c r="J2771" s="30"/>
      <c r="K2771" s="30"/>
      <c r="L2771" s="29"/>
      <c r="M2771" s="32" t="str">
        <f aca="false">IF(OR(C2771="",L2771=""),"",IF(C2771=L2771,"同一","変更"))</f>
        <v/>
      </c>
      <c r="N2771" s="29"/>
      <c r="O2771" s="30"/>
      <c r="P2771" s="29"/>
      <c r="Q2771" s="31"/>
      <c r="R2771" s="29"/>
      <c r="S2771" s="29"/>
      <c r="T2771" s="30"/>
      <c r="U2771" s="47" t="str">
        <f aca="false">IF(AND(B2771&lt;&gt;"",B2771=SW別シート!$C$3),COUNTIF(B$5:B2771,B2771),"")</f>
        <v/>
      </c>
      <c r="V2771" s="47" t="n">
        <f aca="false">V2770+IF(OR(O2771&lt;&gt;"",W2771&lt;&gt;""),1,0)</f>
        <v>3</v>
      </c>
      <c r="W2771" s="29"/>
    </row>
    <row r="2772" customFormat="false" ht="15" hidden="false" customHeight="false" outlineLevel="0" collapsed="false">
      <c r="A2772" s="32" t="str">
        <f aca="false">IF(B2772="","",ROW()-7)</f>
        <v/>
      </c>
      <c r="B2772" s="30"/>
      <c r="C2772" s="29"/>
      <c r="D2772" s="29"/>
      <c r="E2772" s="29"/>
      <c r="F2772" s="30"/>
      <c r="G2772" s="29"/>
      <c r="H2772" s="30"/>
      <c r="I2772" s="29"/>
      <c r="J2772" s="30"/>
      <c r="K2772" s="30"/>
      <c r="L2772" s="29"/>
      <c r="M2772" s="32" t="str">
        <f aca="false">IF(OR(C2772="",L2772=""),"",IF(C2772=L2772,"同一","変更"))</f>
        <v/>
      </c>
      <c r="N2772" s="29"/>
      <c r="O2772" s="30"/>
      <c r="P2772" s="29"/>
      <c r="Q2772" s="31"/>
      <c r="R2772" s="29"/>
      <c r="S2772" s="29"/>
      <c r="T2772" s="30"/>
      <c r="U2772" s="47" t="str">
        <f aca="false">IF(AND(B2772&lt;&gt;"",B2772=SW別シート!$C$3),COUNTIF(B$5:B2772,B2772),"")</f>
        <v/>
      </c>
      <c r="V2772" s="47" t="n">
        <f aca="false">V2771+IF(OR(O2772&lt;&gt;"",W2772&lt;&gt;""),1,0)</f>
        <v>3</v>
      </c>
      <c r="W2772" s="29"/>
    </row>
    <row r="2773" customFormat="false" ht="15" hidden="false" customHeight="false" outlineLevel="0" collapsed="false">
      <c r="A2773" s="32" t="str">
        <f aca="false">IF(B2773="","",ROW()-7)</f>
        <v/>
      </c>
      <c r="B2773" s="30"/>
      <c r="C2773" s="29"/>
      <c r="D2773" s="29"/>
      <c r="E2773" s="29"/>
      <c r="F2773" s="30"/>
      <c r="G2773" s="29"/>
      <c r="H2773" s="30"/>
      <c r="I2773" s="29"/>
      <c r="J2773" s="30"/>
      <c r="K2773" s="30"/>
      <c r="L2773" s="29"/>
      <c r="M2773" s="32" t="str">
        <f aca="false">IF(OR(C2773="",L2773=""),"",IF(C2773=L2773,"同一","変更"))</f>
        <v/>
      </c>
      <c r="N2773" s="29"/>
      <c r="O2773" s="30"/>
      <c r="P2773" s="29"/>
      <c r="Q2773" s="31"/>
      <c r="R2773" s="29"/>
      <c r="S2773" s="29"/>
      <c r="T2773" s="30"/>
      <c r="U2773" s="47" t="str">
        <f aca="false">IF(AND(B2773&lt;&gt;"",B2773=SW別シート!$C$3),COUNTIF(B$5:B2773,B2773),"")</f>
        <v/>
      </c>
      <c r="V2773" s="47" t="n">
        <f aca="false">V2772+IF(OR(O2773&lt;&gt;"",W2773&lt;&gt;""),1,0)</f>
        <v>3</v>
      </c>
      <c r="W2773" s="29"/>
    </row>
    <row r="2774" customFormat="false" ht="15" hidden="false" customHeight="false" outlineLevel="0" collapsed="false">
      <c r="A2774" s="32" t="str">
        <f aca="false">IF(B2774="","",ROW()-7)</f>
        <v/>
      </c>
      <c r="B2774" s="30"/>
      <c r="C2774" s="29"/>
      <c r="D2774" s="29"/>
      <c r="E2774" s="29"/>
      <c r="F2774" s="30"/>
      <c r="G2774" s="29"/>
      <c r="H2774" s="30"/>
      <c r="I2774" s="29"/>
      <c r="J2774" s="30"/>
      <c r="K2774" s="30"/>
      <c r="L2774" s="29"/>
      <c r="M2774" s="32" t="str">
        <f aca="false">IF(OR(C2774="",L2774=""),"",IF(C2774=L2774,"同一","変更"))</f>
        <v/>
      </c>
      <c r="N2774" s="29"/>
      <c r="O2774" s="30"/>
      <c r="P2774" s="29"/>
      <c r="Q2774" s="31"/>
      <c r="R2774" s="29"/>
      <c r="S2774" s="29"/>
      <c r="T2774" s="30"/>
      <c r="U2774" s="47" t="str">
        <f aca="false">IF(AND(B2774&lt;&gt;"",B2774=SW別シート!$C$3),COUNTIF(B$5:B2774,B2774),"")</f>
        <v/>
      </c>
      <c r="V2774" s="47" t="n">
        <f aca="false">V2773+IF(OR(O2774&lt;&gt;"",W2774&lt;&gt;""),1,0)</f>
        <v>3</v>
      </c>
      <c r="W2774" s="29"/>
    </row>
    <row r="2775" customFormat="false" ht="15" hidden="false" customHeight="false" outlineLevel="0" collapsed="false">
      <c r="A2775" s="32" t="str">
        <f aca="false">IF(B2775="","",ROW()-7)</f>
        <v/>
      </c>
      <c r="B2775" s="30"/>
      <c r="C2775" s="29"/>
      <c r="D2775" s="29"/>
      <c r="E2775" s="29"/>
      <c r="F2775" s="30"/>
      <c r="G2775" s="29"/>
      <c r="H2775" s="30"/>
      <c r="I2775" s="29"/>
      <c r="J2775" s="30"/>
      <c r="K2775" s="30"/>
      <c r="L2775" s="29"/>
      <c r="M2775" s="32" t="str">
        <f aca="false">IF(OR(C2775="",L2775=""),"",IF(C2775=L2775,"同一","変更"))</f>
        <v/>
      </c>
      <c r="N2775" s="29"/>
      <c r="O2775" s="30"/>
      <c r="P2775" s="29"/>
      <c r="Q2775" s="31"/>
      <c r="R2775" s="29"/>
      <c r="S2775" s="29"/>
      <c r="T2775" s="30"/>
      <c r="U2775" s="47" t="str">
        <f aca="false">IF(AND(B2775&lt;&gt;"",B2775=SW別シート!$C$3),COUNTIF(B$5:B2775,B2775),"")</f>
        <v/>
      </c>
      <c r="V2775" s="47" t="n">
        <f aca="false">V2774+IF(OR(O2775&lt;&gt;"",W2775&lt;&gt;""),1,0)</f>
        <v>3</v>
      </c>
      <c r="W2775" s="29"/>
    </row>
    <row r="2776" customFormat="false" ht="15" hidden="false" customHeight="false" outlineLevel="0" collapsed="false">
      <c r="A2776" s="32" t="str">
        <f aca="false">IF(B2776="","",ROW()-7)</f>
        <v/>
      </c>
      <c r="B2776" s="30"/>
      <c r="C2776" s="29"/>
      <c r="D2776" s="29"/>
      <c r="E2776" s="29"/>
      <c r="F2776" s="30"/>
      <c r="G2776" s="29"/>
      <c r="H2776" s="30"/>
      <c r="I2776" s="29"/>
      <c r="J2776" s="30"/>
      <c r="K2776" s="30"/>
      <c r="L2776" s="29"/>
      <c r="M2776" s="32" t="str">
        <f aca="false">IF(OR(C2776="",L2776=""),"",IF(C2776=L2776,"同一","変更"))</f>
        <v/>
      </c>
      <c r="N2776" s="29"/>
      <c r="O2776" s="30"/>
      <c r="P2776" s="29"/>
      <c r="Q2776" s="31"/>
      <c r="R2776" s="29"/>
      <c r="S2776" s="29"/>
      <c r="T2776" s="30"/>
      <c r="U2776" s="47" t="str">
        <f aca="false">IF(AND(B2776&lt;&gt;"",B2776=SW別シート!$C$3),COUNTIF(B$5:B2776,B2776),"")</f>
        <v/>
      </c>
      <c r="V2776" s="47" t="n">
        <f aca="false">V2775+IF(OR(O2776&lt;&gt;"",W2776&lt;&gt;""),1,0)</f>
        <v>3</v>
      </c>
      <c r="W2776" s="29"/>
    </row>
    <row r="2777" customFormat="false" ht="15" hidden="false" customHeight="false" outlineLevel="0" collapsed="false">
      <c r="A2777" s="32" t="str">
        <f aca="false">IF(B2777="","",ROW()-7)</f>
        <v/>
      </c>
      <c r="B2777" s="30"/>
      <c r="C2777" s="29"/>
      <c r="D2777" s="29"/>
      <c r="E2777" s="29"/>
      <c r="F2777" s="30"/>
      <c r="G2777" s="29"/>
      <c r="H2777" s="30"/>
      <c r="I2777" s="29"/>
      <c r="J2777" s="30"/>
      <c r="K2777" s="30"/>
      <c r="L2777" s="29"/>
      <c r="M2777" s="32" t="str">
        <f aca="false">IF(OR(C2777="",L2777=""),"",IF(C2777=L2777,"同一","変更"))</f>
        <v/>
      </c>
      <c r="N2777" s="29"/>
      <c r="O2777" s="30"/>
      <c r="P2777" s="29"/>
      <c r="Q2777" s="31"/>
      <c r="R2777" s="29"/>
      <c r="S2777" s="29"/>
      <c r="T2777" s="30"/>
      <c r="U2777" s="47" t="str">
        <f aca="false">IF(AND(B2777&lt;&gt;"",B2777=SW別シート!$C$3),COUNTIF(B$5:B2777,B2777),"")</f>
        <v/>
      </c>
      <c r="V2777" s="47" t="n">
        <f aca="false">V2776+IF(OR(O2777&lt;&gt;"",W2777&lt;&gt;""),1,0)</f>
        <v>3</v>
      </c>
      <c r="W2777" s="29"/>
    </row>
    <row r="2778" customFormat="false" ht="15" hidden="false" customHeight="false" outlineLevel="0" collapsed="false">
      <c r="A2778" s="32" t="str">
        <f aca="false">IF(B2778="","",ROW()-7)</f>
        <v/>
      </c>
      <c r="B2778" s="30"/>
      <c r="C2778" s="29"/>
      <c r="D2778" s="29"/>
      <c r="E2778" s="29"/>
      <c r="F2778" s="30"/>
      <c r="G2778" s="29"/>
      <c r="H2778" s="30"/>
      <c r="I2778" s="29"/>
      <c r="J2778" s="30"/>
      <c r="K2778" s="30"/>
      <c r="L2778" s="29"/>
      <c r="M2778" s="32" t="str">
        <f aca="false">IF(OR(C2778="",L2778=""),"",IF(C2778=L2778,"同一","変更"))</f>
        <v/>
      </c>
      <c r="N2778" s="29"/>
      <c r="O2778" s="30"/>
      <c r="P2778" s="29"/>
      <c r="Q2778" s="31"/>
      <c r="R2778" s="29"/>
      <c r="S2778" s="29"/>
      <c r="T2778" s="30"/>
      <c r="U2778" s="47" t="str">
        <f aca="false">IF(AND(B2778&lt;&gt;"",B2778=SW別シート!$C$3),COUNTIF(B$5:B2778,B2778),"")</f>
        <v/>
      </c>
      <c r="V2778" s="47" t="n">
        <f aca="false">V2777+IF(OR(O2778&lt;&gt;"",W2778&lt;&gt;""),1,0)</f>
        <v>3</v>
      </c>
      <c r="W2778" s="29"/>
    </row>
    <row r="2779" customFormat="false" ht="15" hidden="false" customHeight="false" outlineLevel="0" collapsed="false">
      <c r="A2779" s="32" t="str">
        <f aca="false">IF(B2779="","",ROW()-7)</f>
        <v/>
      </c>
      <c r="B2779" s="30"/>
      <c r="C2779" s="29"/>
      <c r="D2779" s="29"/>
      <c r="E2779" s="29"/>
      <c r="F2779" s="30"/>
      <c r="G2779" s="29"/>
      <c r="H2779" s="30"/>
      <c r="I2779" s="29"/>
      <c r="J2779" s="30"/>
      <c r="K2779" s="30"/>
      <c r="L2779" s="29"/>
      <c r="M2779" s="32" t="str">
        <f aca="false">IF(OR(C2779="",L2779=""),"",IF(C2779=L2779,"同一","変更"))</f>
        <v/>
      </c>
      <c r="N2779" s="29"/>
      <c r="O2779" s="30"/>
      <c r="P2779" s="29"/>
      <c r="Q2779" s="31"/>
      <c r="R2779" s="29"/>
      <c r="S2779" s="29"/>
      <c r="T2779" s="30"/>
      <c r="U2779" s="47" t="str">
        <f aca="false">IF(AND(B2779&lt;&gt;"",B2779=SW別シート!$C$3),COUNTIF(B$5:B2779,B2779),"")</f>
        <v/>
      </c>
      <c r="V2779" s="47" t="n">
        <f aca="false">V2778+IF(OR(O2779&lt;&gt;"",W2779&lt;&gt;""),1,0)</f>
        <v>3</v>
      </c>
      <c r="W2779" s="29"/>
    </row>
    <row r="2780" customFormat="false" ht="15" hidden="false" customHeight="false" outlineLevel="0" collapsed="false">
      <c r="A2780" s="32" t="str">
        <f aca="false">IF(B2780="","",ROW()-7)</f>
        <v/>
      </c>
      <c r="B2780" s="30"/>
      <c r="C2780" s="29"/>
      <c r="D2780" s="29"/>
      <c r="E2780" s="29"/>
      <c r="F2780" s="30"/>
      <c r="G2780" s="29"/>
      <c r="H2780" s="30"/>
      <c r="I2780" s="29"/>
      <c r="J2780" s="30"/>
      <c r="K2780" s="30"/>
      <c r="L2780" s="29"/>
      <c r="M2780" s="32" t="str">
        <f aca="false">IF(OR(C2780="",L2780=""),"",IF(C2780=L2780,"同一","変更"))</f>
        <v/>
      </c>
      <c r="N2780" s="29"/>
      <c r="O2780" s="30"/>
      <c r="P2780" s="29"/>
      <c r="Q2780" s="31"/>
      <c r="R2780" s="29"/>
      <c r="S2780" s="29"/>
      <c r="T2780" s="30"/>
      <c r="U2780" s="47" t="str">
        <f aca="false">IF(AND(B2780&lt;&gt;"",B2780=SW別シート!$C$3),COUNTIF(B$5:B2780,B2780),"")</f>
        <v/>
      </c>
      <c r="V2780" s="47" t="n">
        <f aca="false">V2779+IF(OR(O2780&lt;&gt;"",W2780&lt;&gt;""),1,0)</f>
        <v>3</v>
      </c>
      <c r="W2780" s="29"/>
    </row>
    <row r="2781" customFormat="false" ht="15" hidden="false" customHeight="false" outlineLevel="0" collapsed="false">
      <c r="A2781" s="32" t="str">
        <f aca="false">IF(B2781="","",ROW()-7)</f>
        <v/>
      </c>
      <c r="B2781" s="30"/>
      <c r="C2781" s="29"/>
      <c r="D2781" s="29"/>
      <c r="E2781" s="29"/>
      <c r="F2781" s="30"/>
      <c r="G2781" s="29"/>
      <c r="H2781" s="30"/>
      <c r="I2781" s="29"/>
      <c r="J2781" s="30"/>
      <c r="K2781" s="30"/>
      <c r="L2781" s="29"/>
      <c r="M2781" s="32" t="str">
        <f aca="false">IF(OR(C2781="",L2781=""),"",IF(C2781=L2781,"同一","変更"))</f>
        <v/>
      </c>
      <c r="N2781" s="29"/>
      <c r="O2781" s="30"/>
      <c r="P2781" s="29"/>
      <c r="Q2781" s="31"/>
      <c r="R2781" s="29"/>
      <c r="S2781" s="29"/>
      <c r="T2781" s="30"/>
      <c r="U2781" s="47" t="str">
        <f aca="false">IF(AND(B2781&lt;&gt;"",B2781=SW別シート!$C$3),COUNTIF(B$5:B2781,B2781),"")</f>
        <v/>
      </c>
      <c r="V2781" s="47" t="n">
        <f aca="false">V2780+IF(OR(O2781&lt;&gt;"",W2781&lt;&gt;""),1,0)</f>
        <v>3</v>
      </c>
      <c r="W2781" s="29"/>
    </row>
    <row r="2782" customFormat="false" ht="15" hidden="false" customHeight="false" outlineLevel="0" collapsed="false">
      <c r="A2782" s="32" t="str">
        <f aca="false">IF(B2782="","",ROW()-7)</f>
        <v/>
      </c>
      <c r="B2782" s="30"/>
      <c r="C2782" s="29"/>
      <c r="D2782" s="29"/>
      <c r="E2782" s="29"/>
      <c r="F2782" s="30"/>
      <c r="G2782" s="29"/>
      <c r="H2782" s="30"/>
      <c r="I2782" s="29"/>
      <c r="J2782" s="30"/>
      <c r="K2782" s="30"/>
      <c r="L2782" s="29"/>
      <c r="M2782" s="32" t="str">
        <f aca="false">IF(OR(C2782="",L2782=""),"",IF(C2782=L2782,"同一","変更"))</f>
        <v/>
      </c>
      <c r="N2782" s="29"/>
      <c r="O2782" s="30"/>
      <c r="P2782" s="29"/>
      <c r="Q2782" s="31"/>
      <c r="R2782" s="29"/>
      <c r="S2782" s="29"/>
      <c r="T2782" s="30"/>
      <c r="U2782" s="47" t="str">
        <f aca="false">IF(AND(B2782&lt;&gt;"",B2782=SW別シート!$C$3),COUNTIF(B$5:B2782,B2782),"")</f>
        <v/>
      </c>
      <c r="V2782" s="47" t="n">
        <f aca="false">V2781+IF(OR(O2782&lt;&gt;"",W2782&lt;&gt;""),1,0)</f>
        <v>3</v>
      </c>
      <c r="W2782" s="29"/>
    </row>
    <row r="2783" customFormat="false" ht="15" hidden="false" customHeight="false" outlineLevel="0" collapsed="false">
      <c r="A2783" s="32" t="str">
        <f aca="false">IF(B2783="","",ROW()-7)</f>
        <v/>
      </c>
      <c r="B2783" s="30"/>
      <c r="C2783" s="29"/>
      <c r="D2783" s="29"/>
      <c r="E2783" s="29"/>
      <c r="F2783" s="30"/>
      <c r="G2783" s="29"/>
      <c r="H2783" s="30"/>
      <c r="I2783" s="29"/>
      <c r="J2783" s="30"/>
      <c r="K2783" s="30"/>
      <c r="L2783" s="29"/>
      <c r="M2783" s="32" t="str">
        <f aca="false">IF(OR(C2783="",L2783=""),"",IF(C2783=L2783,"同一","変更"))</f>
        <v/>
      </c>
      <c r="N2783" s="29"/>
      <c r="O2783" s="30"/>
      <c r="P2783" s="29"/>
      <c r="Q2783" s="31"/>
      <c r="R2783" s="29"/>
      <c r="S2783" s="29"/>
      <c r="T2783" s="30"/>
      <c r="U2783" s="47" t="str">
        <f aca="false">IF(AND(B2783&lt;&gt;"",B2783=SW別シート!$C$3),COUNTIF(B$5:B2783,B2783),"")</f>
        <v/>
      </c>
      <c r="V2783" s="47" t="n">
        <f aca="false">V2782+IF(OR(O2783&lt;&gt;"",W2783&lt;&gt;""),1,0)</f>
        <v>3</v>
      </c>
      <c r="W2783" s="29"/>
    </row>
    <row r="2784" customFormat="false" ht="15" hidden="false" customHeight="false" outlineLevel="0" collapsed="false">
      <c r="A2784" s="32" t="str">
        <f aca="false">IF(B2784="","",ROW()-7)</f>
        <v/>
      </c>
      <c r="B2784" s="30"/>
      <c r="C2784" s="29"/>
      <c r="D2784" s="29"/>
      <c r="E2784" s="29"/>
      <c r="F2784" s="30"/>
      <c r="G2784" s="29"/>
      <c r="H2784" s="30"/>
      <c r="I2784" s="29"/>
      <c r="J2784" s="30"/>
      <c r="K2784" s="30"/>
      <c r="L2784" s="29"/>
      <c r="M2784" s="32" t="str">
        <f aca="false">IF(OR(C2784="",L2784=""),"",IF(C2784=L2784,"同一","変更"))</f>
        <v/>
      </c>
      <c r="N2784" s="29"/>
      <c r="O2784" s="30"/>
      <c r="P2784" s="29"/>
      <c r="Q2784" s="31"/>
      <c r="R2784" s="29"/>
      <c r="S2784" s="29"/>
      <c r="T2784" s="30"/>
      <c r="U2784" s="47" t="str">
        <f aca="false">IF(AND(B2784&lt;&gt;"",B2784=SW別シート!$C$3),COUNTIF(B$5:B2784,B2784),"")</f>
        <v/>
      </c>
      <c r="V2784" s="47" t="n">
        <f aca="false">V2783+IF(OR(O2784&lt;&gt;"",W2784&lt;&gt;""),1,0)</f>
        <v>3</v>
      </c>
      <c r="W2784" s="29"/>
    </row>
    <row r="2785" customFormat="false" ht="15" hidden="false" customHeight="false" outlineLevel="0" collapsed="false">
      <c r="A2785" s="32" t="str">
        <f aca="false">IF(B2785="","",ROW()-7)</f>
        <v/>
      </c>
      <c r="B2785" s="30"/>
      <c r="C2785" s="29"/>
      <c r="D2785" s="29"/>
      <c r="E2785" s="29"/>
      <c r="F2785" s="30"/>
      <c r="G2785" s="29"/>
      <c r="H2785" s="30"/>
      <c r="I2785" s="29"/>
      <c r="J2785" s="30"/>
      <c r="K2785" s="30"/>
      <c r="L2785" s="29"/>
      <c r="M2785" s="32" t="str">
        <f aca="false">IF(OR(C2785="",L2785=""),"",IF(C2785=L2785,"同一","変更"))</f>
        <v/>
      </c>
      <c r="N2785" s="29"/>
      <c r="O2785" s="30"/>
      <c r="P2785" s="29"/>
      <c r="Q2785" s="31"/>
      <c r="R2785" s="29"/>
      <c r="S2785" s="29"/>
      <c r="T2785" s="30"/>
      <c r="U2785" s="47" t="str">
        <f aca="false">IF(AND(B2785&lt;&gt;"",B2785=SW別シート!$C$3),COUNTIF(B$5:B2785,B2785),"")</f>
        <v/>
      </c>
      <c r="V2785" s="47" t="n">
        <f aca="false">V2784+IF(OR(O2785&lt;&gt;"",W2785&lt;&gt;""),1,0)</f>
        <v>3</v>
      </c>
      <c r="W2785" s="29"/>
    </row>
    <row r="2786" customFormat="false" ht="15" hidden="false" customHeight="false" outlineLevel="0" collapsed="false">
      <c r="A2786" s="32" t="str">
        <f aca="false">IF(B2786="","",ROW()-7)</f>
        <v/>
      </c>
      <c r="B2786" s="30"/>
      <c r="C2786" s="29"/>
      <c r="D2786" s="29"/>
      <c r="E2786" s="29"/>
      <c r="F2786" s="30"/>
      <c r="G2786" s="29"/>
      <c r="H2786" s="30"/>
      <c r="I2786" s="29"/>
      <c r="J2786" s="30"/>
      <c r="K2786" s="30"/>
      <c r="L2786" s="29"/>
      <c r="M2786" s="32" t="str">
        <f aca="false">IF(OR(C2786="",L2786=""),"",IF(C2786=L2786,"同一","変更"))</f>
        <v/>
      </c>
      <c r="N2786" s="29"/>
      <c r="O2786" s="30"/>
      <c r="P2786" s="29"/>
      <c r="Q2786" s="31"/>
      <c r="R2786" s="29"/>
      <c r="S2786" s="29"/>
      <c r="T2786" s="30"/>
      <c r="U2786" s="47" t="str">
        <f aca="false">IF(AND(B2786&lt;&gt;"",B2786=SW別シート!$C$3),COUNTIF(B$5:B2786,B2786),"")</f>
        <v/>
      </c>
      <c r="V2786" s="47" t="n">
        <f aca="false">V2785+IF(OR(O2786&lt;&gt;"",W2786&lt;&gt;""),1,0)</f>
        <v>3</v>
      </c>
      <c r="W2786" s="29"/>
    </row>
    <row r="2787" customFormat="false" ht="15" hidden="false" customHeight="false" outlineLevel="0" collapsed="false">
      <c r="A2787" s="32" t="str">
        <f aca="false">IF(B2787="","",ROW()-7)</f>
        <v/>
      </c>
      <c r="B2787" s="30"/>
      <c r="C2787" s="29"/>
      <c r="D2787" s="29"/>
      <c r="E2787" s="29"/>
      <c r="F2787" s="30"/>
      <c r="G2787" s="29"/>
      <c r="H2787" s="30"/>
      <c r="I2787" s="29"/>
      <c r="J2787" s="30"/>
      <c r="K2787" s="30"/>
      <c r="L2787" s="29"/>
      <c r="M2787" s="32" t="str">
        <f aca="false">IF(OR(C2787="",L2787=""),"",IF(C2787=L2787,"同一","変更"))</f>
        <v/>
      </c>
      <c r="N2787" s="29"/>
      <c r="O2787" s="30"/>
      <c r="P2787" s="29"/>
      <c r="Q2787" s="31"/>
      <c r="R2787" s="29"/>
      <c r="S2787" s="29"/>
      <c r="T2787" s="30"/>
      <c r="U2787" s="47" t="str">
        <f aca="false">IF(AND(B2787&lt;&gt;"",B2787=SW別シート!$C$3),COUNTIF(B$5:B2787,B2787),"")</f>
        <v/>
      </c>
      <c r="V2787" s="47" t="n">
        <f aca="false">V2786+IF(OR(O2787&lt;&gt;"",W2787&lt;&gt;""),1,0)</f>
        <v>3</v>
      </c>
      <c r="W2787" s="29"/>
    </row>
    <row r="2788" customFormat="false" ht="15" hidden="false" customHeight="false" outlineLevel="0" collapsed="false">
      <c r="A2788" s="32" t="str">
        <f aca="false">IF(B2788="","",ROW()-7)</f>
        <v/>
      </c>
      <c r="B2788" s="30"/>
      <c r="C2788" s="29"/>
      <c r="D2788" s="29"/>
      <c r="E2788" s="29"/>
      <c r="F2788" s="30"/>
      <c r="G2788" s="29"/>
      <c r="H2788" s="30"/>
      <c r="I2788" s="29"/>
      <c r="J2788" s="30"/>
      <c r="K2788" s="30"/>
      <c r="L2788" s="29"/>
      <c r="M2788" s="32" t="str">
        <f aca="false">IF(OR(C2788="",L2788=""),"",IF(C2788=L2788,"同一","変更"))</f>
        <v/>
      </c>
      <c r="N2788" s="29"/>
      <c r="O2788" s="30"/>
      <c r="P2788" s="29"/>
      <c r="Q2788" s="31"/>
      <c r="R2788" s="29"/>
      <c r="S2788" s="29"/>
      <c r="T2788" s="30"/>
      <c r="U2788" s="47" t="str">
        <f aca="false">IF(AND(B2788&lt;&gt;"",B2788=SW別シート!$C$3),COUNTIF(B$5:B2788,B2788),"")</f>
        <v/>
      </c>
      <c r="V2788" s="47" t="n">
        <f aca="false">V2787+IF(OR(O2788&lt;&gt;"",W2788&lt;&gt;""),1,0)</f>
        <v>3</v>
      </c>
      <c r="W2788" s="29"/>
    </row>
    <row r="2789" customFormat="false" ht="15" hidden="false" customHeight="false" outlineLevel="0" collapsed="false">
      <c r="A2789" s="32" t="str">
        <f aca="false">IF(B2789="","",ROW()-7)</f>
        <v/>
      </c>
      <c r="B2789" s="30"/>
      <c r="C2789" s="29"/>
      <c r="D2789" s="29"/>
      <c r="E2789" s="29"/>
      <c r="F2789" s="30"/>
      <c r="G2789" s="29"/>
      <c r="H2789" s="30"/>
      <c r="I2789" s="29"/>
      <c r="J2789" s="30"/>
      <c r="K2789" s="30"/>
      <c r="L2789" s="29"/>
      <c r="M2789" s="32" t="str">
        <f aca="false">IF(OR(C2789="",L2789=""),"",IF(C2789=L2789,"同一","変更"))</f>
        <v/>
      </c>
      <c r="N2789" s="29"/>
      <c r="O2789" s="30"/>
      <c r="P2789" s="29"/>
      <c r="Q2789" s="31"/>
      <c r="R2789" s="29"/>
      <c r="S2789" s="29"/>
      <c r="T2789" s="30"/>
      <c r="U2789" s="47" t="str">
        <f aca="false">IF(AND(B2789&lt;&gt;"",B2789=SW別シート!$C$3),COUNTIF(B$5:B2789,B2789),"")</f>
        <v/>
      </c>
      <c r="V2789" s="47" t="n">
        <f aca="false">V2788+IF(OR(O2789&lt;&gt;"",W2789&lt;&gt;""),1,0)</f>
        <v>3</v>
      </c>
      <c r="W2789" s="29"/>
    </row>
    <row r="2790" customFormat="false" ht="15" hidden="false" customHeight="false" outlineLevel="0" collapsed="false">
      <c r="A2790" s="32" t="str">
        <f aca="false">IF(B2790="","",ROW()-7)</f>
        <v/>
      </c>
      <c r="B2790" s="30"/>
      <c r="C2790" s="29"/>
      <c r="D2790" s="29"/>
      <c r="E2790" s="29"/>
      <c r="F2790" s="30"/>
      <c r="G2790" s="29"/>
      <c r="H2790" s="30"/>
      <c r="I2790" s="29"/>
      <c r="J2790" s="30"/>
      <c r="K2790" s="30"/>
      <c r="L2790" s="29"/>
      <c r="M2790" s="32" t="str">
        <f aca="false">IF(OR(C2790="",L2790=""),"",IF(C2790=L2790,"同一","変更"))</f>
        <v/>
      </c>
      <c r="N2790" s="29"/>
      <c r="O2790" s="30"/>
      <c r="P2790" s="29"/>
      <c r="Q2790" s="31"/>
      <c r="R2790" s="29"/>
      <c r="S2790" s="29"/>
      <c r="T2790" s="30"/>
      <c r="U2790" s="47" t="str">
        <f aca="false">IF(AND(B2790&lt;&gt;"",B2790=SW別シート!$C$3),COUNTIF(B$5:B2790,B2790),"")</f>
        <v/>
      </c>
      <c r="V2790" s="47" t="n">
        <f aca="false">V2789+IF(OR(O2790&lt;&gt;"",W2790&lt;&gt;""),1,0)</f>
        <v>3</v>
      </c>
      <c r="W2790" s="29"/>
    </row>
    <row r="2791" customFormat="false" ht="15" hidden="false" customHeight="false" outlineLevel="0" collapsed="false">
      <c r="A2791" s="32" t="str">
        <f aca="false">IF(B2791="","",ROW()-7)</f>
        <v/>
      </c>
      <c r="B2791" s="30"/>
      <c r="C2791" s="29"/>
      <c r="D2791" s="29"/>
      <c r="E2791" s="29"/>
      <c r="F2791" s="30"/>
      <c r="G2791" s="29"/>
      <c r="H2791" s="30"/>
      <c r="I2791" s="29"/>
      <c r="J2791" s="30"/>
      <c r="K2791" s="30"/>
      <c r="L2791" s="29"/>
      <c r="M2791" s="32" t="str">
        <f aca="false">IF(OR(C2791="",L2791=""),"",IF(C2791=L2791,"同一","変更"))</f>
        <v/>
      </c>
      <c r="N2791" s="29"/>
      <c r="O2791" s="30"/>
      <c r="P2791" s="29"/>
      <c r="Q2791" s="31"/>
      <c r="R2791" s="29"/>
      <c r="S2791" s="29"/>
      <c r="T2791" s="30"/>
      <c r="U2791" s="47" t="str">
        <f aca="false">IF(AND(B2791&lt;&gt;"",B2791=SW別シート!$C$3),COUNTIF(B$5:B2791,B2791),"")</f>
        <v/>
      </c>
      <c r="V2791" s="47" t="n">
        <f aca="false">V2790+IF(OR(O2791&lt;&gt;"",W2791&lt;&gt;""),1,0)</f>
        <v>3</v>
      </c>
      <c r="W2791" s="29"/>
    </row>
    <row r="2792" customFormat="false" ht="15" hidden="false" customHeight="false" outlineLevel="0" collapsed="false">
      <c r="A2792" s="32" t="str">
        <f aca="false">IF(B2792="","",ROW()-7)</f>
        <v/>
      </c>
      <c r="B2792" s="30"/>
      <c r="C2792" s="29"/>
      <c r="D2792" s="29"/>
      <c r="E2792" s="29"/>
      <c r="F2792" s="30"/>
      <c r="G2792" s="29"/>
      <c r="H2792" s="30"/>
      <c r="I2792" s="29"/>
      <c r="J2792" s="30"/>
      <c r="K2792" s="30"/>
      <c r="L2792" s="29"/>
      <c r="M2792" s="32" t="str">
        <f aca="false">IF(OR(C2792="",L2792=""),"",IF(C2792=L2792,"同一","変更"))</f>
        <v/>
      </c>
      <c r="N2792" s="29"/>
      <c r="O2792" s="30"/>
      <c r="P2792" s="29"/>
      <c r="Q2792" s="31"/>
      <c r="R2792" s="29"/>
      <c r="S2792" s="29"/>
      <c r="T2792" s="30"/>
      <c r="U2792" s="47" t="str">
        <f aca="false">IF(AND(B2792&lt;&gt;"",B2792=SW別シート!$C$3),COUNTIF(B$5:B2792,B2792),"")</f>
        <v/>
      </c>
      <c r="V2792" s="47" t="n">
        <f aca="false">V2791+IF(OR(O2792&lt;&gt;"",W2792&lt;&gt;""),1,0)</f>
        <v>3</v>
      </c>
      <c r="W2792" s="29"/>
    </row>
    <row r="2793" customFormat="false" ht="15" hidden="false" customHeight="false" outlineLevel="0" collapsed="false">
      <c r="A2793" s="32" t="str">
        <f aca="false">IF(B2793="","",ROW()-7)</f>
        <v/>
      </c>
      <c r="B2793" s="30"/>
      <c r="C2793" s="29"/>
      <c r="D2793" s="29"/>
      <c r="E2793" s="29"/>
      <c r="F2793" s="30"/>
      <c r="G2793" s="29"/>
      <c r="H2793" s="30"/>
      <c r="I2793" s="29"/>
      <c r="J2793" s="30"/>
      <c r="K2793" s="30"/>
      <c r="L2793" s="29"/>
      <c r="M2793" s="32" t="str">
        <f aca="false">IF(OR(C2793="",L2793=""),"",IF(C2793=L2793,"同一","変更"))</f>
        <v/>
      </c>
      <c r="N2793" s="29"/>
      <c r="O2793" s="30"/>
      <c r="P2793" s="29"/>
      <c r="Q2793" s="31"/>
      <c r="R2793" s="29"/>
      <c r="S2793" s="29"/>
      <c r="T2793" s="30"/>
      <c r="U2793" s="47" t="str">
        <f aca="false">IF(AND(B2793&lt;&gt;"",B2793=SW別シート!$C$3),COUNTIF(B$5:B2793,B2793),"")</f>
        <v/>
      </c>
      <c r="V2793" s="47" t="n">
        <f aca="false">V2792+IF(OR(O2793&lt;&gt;"",W2793&lt;&gt;""),1,0)</f>
        <v>3</v>
      </c>
      <c r="W2793" s="29"/>
    </row>
    <row r="2794" customFormat="false" ht="15" hidden="false" customHeight="false" outlineLevel="0" collapsed="false">
      <c r="A2794" s="32" t="str">
        <f aca="false">IF(B2794="","",ROW()-7)</f>
        <v/>
      </c>
      <c r="B2794" s="30"/>
      <c r="C2794" s="29"/>
      <c r="D2794" s="29"/>
      <c r="E2794" s="29"/>
      <c r="F2794" s="30"/>
      <c r="G2794" s="29"/>
      <c r="H2794" s="30"/>
      <c r="I2794" s="29"/>
      <c r="J2794" s="30"/>
      <c r="K2794" s="30"/>
      <c r="L2794" s="29"/>
      <c r="M2794" s="32" t="str">
        <f aca="false">IF(OR(C2794="",L2794=""),"",IF(C2794=L2794,"同一","変更"))</f>
        <v/>
      </c>
      <c r="N2794" s="29"/>
      <c r="O2794" s="30"/>
      <c r="P2794" s="29"/>
      <c r="Q2794" s="31"/>
      <c r="R2794" s="29"/>
      <c r="S2794" s="29"/>
      <c r="T2794" s="30"/>
      <c r="U2794" s="47" t="str">
        <f aca="false">IF(AND(B2794&lt;&gt;"",B2794=SW別シート!$C$3),COUNTIF(B$5:B2794,B2794),"")</f>
        <v/>
      </c>
      <c r="V2794" s="47" t="n">
        <f aca="false">V2793+IF(OR(O2794&lt;&gt;"",W2794&lt;&gt;""),1,0)</f>
        <v>3</v>
      </c>
      <c r="W2794" s="29"/>
    </row>
    <row r="2795" customFormat="false" ht="15" hidden="false" customHeight="false" outlineLevel="0" collapsed="false">
      <c r="A2795" s="32" t="str">
        <f aca="false">IF(B2795="","",ROW()-7)</f>
        <v/>
      </c>
      <c r="B2795" s="30"/>
      <c r="C2795" s="29"/>
      <c r="D2795" s="29"/>
      <c r="E2795" s="29"/>
      <c r="F2795" s="30"/>
      <c r="G2795" s="29"/>
      <c r="H2795" s="30"/>
      <c r="I2795" s="29"/>
      <c r="J2795" s="30"/>
      <c r="K2795" s="30"/>
      <c r="L2795" s="29"/>
      <c r="M2795" s="32" t="str">
        <f aca="false">IF(OR(C2795="",L2795=""),"",IF(C2795=L2795,"同一","変更"))</f>
        <v/>
      </c>
      <c r="N2795" s="29"/>
      <c r="O2795" s="30"/>
      <c r="P2795" s="29"/>
      <c r="Q2795" s="31"/>
      <c r="R2795" s="29"/>
      <c r="S2795" s="29"/>
      <c r="T2795" s="30"/>
      <c r="U2795" s="47" t="str">
        <f aca="false">IF(AND(B2795&lt;&gt;"",B2795=SW別シート!$C$3),COUNTIF(B$5:B2795,B2795),"")</f>
        <v/>
      </c>
      <c r="V2795" s="47" t="n">
        <f aca="false">V2794+IF(OR(O2795&lt;&gt;"",W2795&lt;&gt;""),1,0)</f>
        <v>3</v>
      </c>
      <c r="W2795" s="29"/>
    </row>
    <row r="2796" customFormat="false" ht="15" hidden="false" customHeight="false" outlineLevel="0" collapsed="false">
      <c r="A2796" s="32" t="str">
        <f aca="false">IF(B2796="","",ROW()-7)</f>
        <v/>
      </c>
      <c r="B2796" s="30"/>
      <c r="C2796" s="29"/>
      <c r="D2796" s="29"/>
      <c r="E2796" s="29"/>
      <c r="F2796" s="30"/>
      <c r="G2796" s="29"/>
      <c r="H2796" s="30"/>
      <c r="I2796" s="29"/>
      <c r="J2796" s="30"/>
      <c r="K2796" s="30"/>
      <c r="L2796" s="29"/>
      <c r="M2796" s="32" t="str">
        <f aca="false">IF(OR(C2796="",L2796=""),"",IF(C2796=L2796,"同一","変更"))</f>
        <v/>
      </c>
      <c r="N2796" s="29"/>
      <c r="O2796" s="30"/>
      <c r="P2796" s="29"/>
      <c r="Q2796" s="31"/>
      <c r="R2796" s="29"/>
      <c r="S2796" s="29"/>
      <c r="T2796" s="30"/>
      <c r="U2796" s="47" t="str">
        <f aca="false">IF(AND(B2796&lt;&gt;"",B2796=SW別シート!$C$3),COUNTIF(B$5:B2796,B2796),"")</f>
        <v/>
      </c>
      <c r="V2796" s="47" t="n">
        <f aca="false">V2795+IF(OR(O2796&lt;&gt;"",W2796&lt;&gt;""),1,0)</f>
        <v>3</v>
      </c>
      <c r="W2796" s="29"/>
    </row>
    <row r="2797" customFormat="false" ht="15" hidden="false" customHeight="false" outlineLevel="0" collapsed="false">
      <c r="A2797" s="32" t="str">
        <f aca="false">IF(B2797="","",ROW()-7)</f>
        <v/>
      </c>
      <c r="B2797" s="30"/>
      <c r="C2797" s="29"/>
      <c r="D2797" s="29"/>
      <c r="E2797" s="29"/>
      <c r="F2797" s="30"/>
      <c r="G2797" s="29"/>
      <c r="H2797" s="30"/>
      <c r="I2797" s="29"/>
      <c r="J2797" s="30"/>
      <c r="K2797" s="30"/>
      <c r="L2797" s="29"/>
      <c r="M2797" s="32" t="str">
        <f aca="false">IF(OR(C2797="",L2797=""),"",IF(C2797=L2797,"同一","変更"))</f>
        <v/>
      </c>
      <c r="N2797" s="29"/>
      <c r="O2797" s="30"/>
      <c r="P2797" s="29"/>
      <c r="Q2797" s="31"/>
      <c r="R2797" s="29"/>
      <c r="S2797" s="29"/>
      <c r="T2797" s="30"/>
      <c r="U2797" s="47" t="str">
        <f aca="false">IF(AND(B2797&lt;&gt;"",B2797=SW別シート!$C$3),COUNTIF(B$5:B2797,B2797),"")</f>
        <v/>
      </c>
      <c r="V2797" s="47" t="n">
        <f aca="false">V2796+IF(OR(O2797&lt;&gt;"",W2797&lt;&gt;""),1,0)</f>
        <v>3</v>
      </c>
      <c r="W2797" s="29"/>
    </row>
    <row r="2798" customFormat="false" ht="15" hidden="false" customHeight="false" outlineLevel="0" collapsed="false">
      <c r="A2798" s="32" t="str">
        <f aca="false">IF(B2798="","",ROW()-7)</f>
        <v/>
      </c>
      <c r="B2798" s="30"/>
      <c r="C2798" s="29"/>
      <c r="D2798" s="29"/>
      <c r="E2798" s="29"/>
      <c r="F2798" s="30"/>
      <c r="G2798" s="29"/>
      <c r="H2798" s="30"/>
      <c r="I2798" s="29"/>
      <c r="J2798" s="30"/>
      <c r="K2798" s="30"/>
      <c r="L2798" s="29"/>
      <c r="M2798" s="32" t="str">
        <f aca="false">IF(OR(C2798="",L2798=""),"",IF(C2798=L2798,"同一","変更"))</f>
        <v/>
      </c>
      <c r="N2798" s="29"/>
      <c r="O2798" s="30"/>
      <c r="P2798" s="29"/>
      <c r="Q2798" s="31"/>
      <c r="R2798" s="29"/>
      <c r="S2798" s="29"/>
      <c r="T2798" s="30"/>
      <c r="U2798" s="47" t="str">
        <f aca="false">IF(AND(B2798&lt;&gt;"",B2798=SW別シート!$C$3),COUNTIF(B$5:B2798,B2798),"")</f>
        <v/>
      </c>
      <c r="V2798" s="47" t="n">
        <f aca="false">V2797+IF(OR(O2798&lt;&gt;"",W2798&lt;&gt;""),1,0)</f>
        <v>3</v>
      </c>
      <c r="W2798" s="29"/>
    </row>
    <row r="2799" customFormat="false" ht="15" hidden="false" customHeight="false" outlineLevel="0" collapsed="false">
      <c r="A2799" s="32" t="str">
        <f aca="false">IF(B2799="","",ROW()-7)</f>
        <v/>
      </c>
      <c r="B2799" s="30"/>
      <c r="C2799" s="29"/>
      <c r="D2799" s="29"/>
      <c r="E2799" s="29"/>
      <c r="F2799" s="30"/>
      <c r="G2799" s="29"/>
      <c r="H2799" s="30"/>
      <c r="I2799" s="29"/>
      <c r="J2799" s="30"/>
      <c r="K2799" s="30"/>
      <c r="L2799" s="29"/>
      <c r="M2799" s="32" t="str">
        <f aca="false">IF(OR(C2799="",L2799=""),"",IF(C2799=L2799,"同一","変更"))</f>
        <v/>
      </c>
      <c r="N2799" s="29"/>
      <c r="O2799" s="30"/>
      <c r="P2799" s="29"/>
      <c r="Q2799" s="31"/>
      <c r="R2799" s="29"/>
      <c r="S2799" s="29"/>
      <c r="T2799" s="30"/>
      <c r="U2799" s="47" t="str">
        <f aca="false">IF(AND(B2799&lt;&gt;"",B2799=SW別シート!$C$3),COUNTIF(B$5:B2799,B2799),"")</f>
        <v/>
      </c>
      <c r="V2799" s="47" t="n">
        <f aca="false">V2798+IF(OR(O2799&lt;&gt;"",W2799&lt;&gt;""),1,0)</f>
        <v>3</v>
      </c>
      <c r="W2799" s="29"/>
    </row>
    <row r="2800" customFormat="false" ht="15" hidden="false" customHeight="false" outlineLevel="0" collapsed="false">
      <c r="A2800" s="32" t="str">
        <f aca="false">IF(B2800="","",ROW()-7)</f>
        <v/>
      </c>
      <c r="B2800" s="30"/>
      <c r="C2800" s="29"/>
      <c r="D2800" s="29"/>
      <c r="E2800" s="29"/>
      <c r="F2800" s="30"/>
      <c r="G2800" s="29"/>
      <c r="H2800" s="30"/>
      <c r="I2800" s="29"/>
      <c r="J2800" s="30"/>
      <c r="K2800" s="30"/>
      <c r="L2800" s="29"/>
      <c r="M2800" s="32" t="str">
        <f aca="false">IF(OR(C2800="",L2800=""),"",IF(C2800=L2800,"同一","変更"))</f>
        <v/>
      </c>
      <c r="N2800" s="29"/>
      <c r="O2800" s="30"/>
      <c r="P2800" s="29"/>
      <c r="Q2800" s="31"/>
      <c r="R2800" s="29"/>
      <c r="S2800" s="29"/>
      <c r="T2800" s="30"/>
      <c r="U2800" s="47" t="str">
        <f aca="false">IF(AND(B2800&lt;&gt;"",B2800=SW別シート!$C$3),COUNTIF(B$5:B2800,B2800),"")</f>
        <v/>
      </c>
      <c r="V2800" s="47" t="n">
        <f aca="false">V2799+IF(OR(O2800&lt;&gt;"",W2800&lt;&gt;""),1,0)</f>
        <v>3</v>
      </c>
      <c r="W2800" s="29"/>
    </row>
    <row r="2801" customFormat="false" ht="15" hidden="false" customHeight="false" outlineLevel="0" collapsed="false">
      <c r="A2801" s="32" t="str">
        <f aca="false">IF(B2801="","",ROW()-7)</f>
        <v/>
      </c>
      <c r="B2801" s="30"/>
      <c r="C2801" s="29"/>
      <c r="D2801" s="29"/>
      <c r="E2801" s="29"/>
      <c r="F2801" s="30"/>
      <c r="G2801" s="29"/>
      <c r="H2801" s="30"/>
      <c r="I2801" s="29"/>
      <c r="J2801" s="30"/>
      <c r="K2801" s="30"/>
      <c r="L2801" s="29"/>
      <c r="M2801" s="32" t="str">
        <f aca="false">IF(OR(C2801="",L2801=""),"",IF(C2801=L2801,"同一","変更"))</f>
        <v/>
      </c>
      <c r="N2801" s="29"/>
      <c r="O2801" s="30"/>
      <c r="P2801" s="29"/>
      <c r="Q2801" s="31"/>
      <c r="R2801" s="29"/>
      <c r="S2801" s="29"/>
      <c r="T2801" s="30"/>
      <c r="U2801" s="47" t="str">
        <f aca="false">IF(AND(B2801&lt;&gt;"",B2801=SW別シート!$C$3),COUNTIF(B$5:B2801,B2801),"")</f>
        <v/>
      </c>
      <c r="V2801" s="47" t="n">
        <f aca="false">V2800+IF(OR(O2801&lt;&gt;"",W2801&lt;&gt;""),1,0)</f>
        <v>3</v>
      </c>
      <c r="W2801" s="29"/>
    </row>
    <row r="2802" customFormat="false" ht="15" hidden="false" customHeight="false" outlineLevel="0" collapsed="false">
      <c r="A2802" s="32" t="str">
        <f aca="false">IF(B2802="","",ROW()-7)</f>
        <v/>
      </c>
      <c r="B2802" s="30"/>
      <c r="C2802" s="29"/>
      <c r="D2802" s="29"/>
      <c r="E2802" s="29"/>
      <c r="F2802" s="30"/>
      <c r="G2802" s="29"/>
      <c r="H2802" s="30"/>
      <c r="I2802" s="29"/>
      <c r="J2802" s="30"/>
      <c r="K2802" s="30"/>
      <c r="L2802" s="29"/>
      <c r="M2802" s="32" t="str">
        <f aca="false">IF(OR(C2802="",L2802=""),"",IF(C2802=L2802,"同一","変更"))</f>
        <v/>
      </c>
      <c r="N2802" s="29"/>
      <c r="O2802" s="30"/>
      <c r="P2802" s="29"/>
      <c r="Q2802" s="31"/>
      <c r="R2802" s="29"/>
      <c r="S2802" s="29"/>
      <c r="T2802" s="30"/>
      <c r="U2802" s="47" t="str">
        <f aca="false">IF(AND(B2802&lt;&gt;"",B2802=SW別シート!$C$3),COUNTIF(B$5:B2802,B2802),"")</f>
        <v/>
      </c>
      <c r="V2802" s="47" t="n">
        <f aca="false">V2801+IF(OR(O2802&lt;&gt;"",W2802&lt;&gt;""),1,0)</f>
        <v>3</v>
      </c>
      <c r="W2802" s="29"/>
    </row>
    <row r="2803" customFormat="false" ht="15" hidden="false" customHeight="false" outlineLevel="0" collapsed="false">
      <c r="A2803" s="32" t="str">
        <f aca="false">IF(B2803="","",ROW()-7)</f>
        <v/>
      </c>
      <c r="B2803" s="30"/>
      <c r="C2803" s="29"/>
      <c r="D2803" s="29"/>
      <c r="E2803" s="29"/>
      <c r="F2803" s="30"/>
      <c r="G2803" s="29"/>
      <c r="H2803" s="30"/>
      <c r="I2803" s="29"/>
      <c r="J2803" s="30"/>
      <c r="K2803" s="30"/>
      <c r="L2803" s="29"/>
      <c r="M2803" s="32" t="str">
        <f aca="false">IF(OR(C2803="",L2803=""),"",IF(C2803=L2803,"同一","変更"))</f>
        <v/>
      </c>
      <c r="N2803" s="29"/>
      <c r="O2803" s="30"/>
      <c r="P2803" s="29"/>
      <c r="Q2803" s="31"/>
      <c r="R2803" s="29"/>
      <c r="S2803" s="29"/>
      <c r="T2803" s="30"/>
      <c r="U2803" s="47" t="str">
        <f aca="false">IF(AND(B2803&lt;&gt;"",B2803=SW別シート!$C$3),COUNTIF(B$5:B2803,B2803),"")</f>
        <v/>
      </c>
      <c r="V2803" s="47" t="n">
        <f aca="false">V2802+IF(OR(O2803&lt;&gt;"",W2803&lt;&gt;""),1,0)</f>
        <v>3</v>
      </c>
      <c r="W2803" s="29"/>
    </row>
    <row r="2804" customFormat="false" ht="15" hidden="false" customHeight="false" outlineLevel="0" collapsed="false">
      <c r="A2804" s="32" t="str">
        <f aca="false">IF(B2804="","",ROW()-7)</f>
        <v/>
      </c>
      <c r="B2804" s="30"/>
      <c r="C2804" s="29"/>
      <c r="D2804" s="29"/>
      <c r="E2804" s="29"/>
      <c r="F2804" s="30"/>
      <c r="G2804" s="29"/>
      <c r="H2804" s="30"/>
      <c r="I2804" s="29"/>
      <c r="J2804" s="30"/>
      <c r="K2804" s="30"/>
      <c r="L2804" s="29"/>
      <c r="M2804" s="32" t="str">
        <f aca="false">IF(OR(C2804="",L2804=""),"",IF(C2804=L2804,"同一","変更"))</f>
        <v/>
      </c>
      <c r="N2804" s="29"/>
      <c r="O2804" s="30"/>
      <c r="P2804" s="29"/>
      <c r="Q2804" s="31"/>
      <c r="R2804" s="29"/>
      <c r="S2804" s="29"/>
      <c r="T2804" s="30"/>
      <c r="U2804" s="47" t="str">
        <f aca="false">IF(AND(B2804&lt;&gt;"",B2804=SW別シート!$C$3),COUNTIF(B$5:B2804,B2804),"")</f>
        <v/>
      </c>
      <c r="V2804" s="47" t="n">
        <f aca="false">V2803+IF(OR(O2804&lt;&gt;"",W2804&lt;&gt;""),1,0)</f>
        <v>3</v>
      </c>
      <c r="W2804" s="29"/>
    </row>
    <row r="2805" customFormat="false" ht="15" hidden="false" customHeight="false" outlineLevel="0" collapsed="false">
      <c r="A2805" s="32" t="str">
        <f aca="false">IF(B2805="","",ROW()-7)</f>
        <v/>
      </c>
      <c r="B2805" s="30"/>
      <c r="C2805" s="29"/>
      <c r="D2805" s="29"/>
      <c r="E2805" s="29"/>
      <c r="F2805" s="30"/>
      <c r="G2805" s="29"/>
      <c r="H2805" s="30"/>
      <c r="I2805" s="29"/>
      <c r="J2805" s="30"/>
      <c r="K2805" s="30"/>
      <c r="L2805" s="29"/>
      <c r="M2805" s="32" t="str">
        <f aca="false">IF(OR(C2805="",L2805=""),"",IF(C2805=L2805,"同一","変更"))</f>
        <v/>
      </c>
      <c r="N2805" s="29"/>
      <c r="O2805" s="30"/>
      <c r="P2805" s="29"/>
      <c r="Q2805" s="31"/>
      <c r="R2805" s="29"/>
      <c r="S2805" s="29"/>
      <c r="T2805" s="30"/>
      <c r="U2805" s="47" t="str">
        <f aca="false">IF(AND(B2805&lt;&gt;"",B2805=SW別シート!$C$3),COUNTIF(B$5:B2805,B2805),"")</f>
        <v/>
      </c>
      <c r="V2805" s="47" t="n">
        <f aca="false">V2804+IF(OR(O2805&lt;&gt;"",W2805&lt;&gt;""),1,0)</f>
        <v>3</v>
      </c>
      <c r="W2805" s="29"/>
    </row>
    <row r="2806" customFormat="false" ht="15" hidden="false" customHeight="false" outlineLevel="0" collapsed="false">
      <c r="A2806" s="32" t="str">
        <f aca="false">IF(B2806="","",ROW()-7)</f>
        <v/>
      </c>
      <c r="B2806" s="30"/>
      <c r="C2806" s="29"/>
      <c r="D2806" s="29"/>
      <c r="E2806" s="29"/>
      <c r="F2806" s="30"/>
      <c r="G2806" s="29"/>
      <c r="H2806" s="30"/>
      <c r="I2806" s="29"/>
      <c r="J2806" s="30"/>
      <c r="K2806" s="30"/>
      <c r="L2806" s="29"/>
      <c r="M2806" s="32" t="str">
        <f aca="false">IF(OR(C2806="",L2806=""),"",IF(C2806=L2806,"同一","変更"))</f>
        <v/>
      </c>
      <c r="N2806" s="29"/>
      <c r="O2806" s="30"/>
      <c r="P2806" s="29"/>
      <c r="Q2806" s="31"/>
      <c r="R2806" s="29"/>
      <c r="S2806" s="29"/>
      <c r="T2806" s="30"/>
      <c r="U2806" s="47" t="str">
        <f aca="false">IF(AND(B2806&lt;&gt;"",B2806=SW別シート!$C$3),COUNTIF(B$5:B2806,B2806),"")</f>
        <v/>
      </c>
      <c r="V2806" s="47" t="n">
        <f aca="false">V2805+IF(OR(O2806&lt;&gt;"",W2806&lt;&gt;""),1,0)</f>
        <v>3</v>
      </c>
      <c r="W2806" s="29"/>
    </row>
    <row r="2807" customFormat="false" ht="15" hidden="false" customHeight="false" outlineLevel="0" collapsed="false">
      <c r="A2807" s="32" t="str">
        <f aca="false">IF(B2807="","",ROW()-7)</f>
        <v/>
      </c>
      <c r="B2807" s="30"/>
      <c r="C2807" s="29"/>
      <c r="D2807" s="29"/>
      <c r="E2807" s="29"/>
      <c r="F2807" s="30"/>
      <c r="G2807" s="29"/>
      <c r="H2807" s="30"/>
      <c r="I2807" s="29"/>
      <c r="J2807" s="30"/>
      <c r="K2807" s="30"/>
      <c r="L2807" s="29"/>
      <c r="M2807" s="32" t="str">
        <f aca="false">IF(OR(C2807="",L2807=""),"",IF(C2807=L2807,"同一","変更"))</f>
        <v/>
      </c>
      <c r="N2807" s="29"/>
      <c r="O2807" s="30"/>
      <c r="P2807" s="29"/>
      <c r="Q2807" s="31"/>
      <c r="R2807" s="29"/>
      <c r="S2807" s="29"/>
      <c r="T2807" s="30"/>
      <c r="U2807" s="47" t="str">
        <f aca="false">IF(AND(B2807&lt;&gt;"",B2807=SW別シート!$C$3),COUNTIF(B$5:B2807,B2807),"")</f>
        <v/>
      </c>
      <c r="V2807" s="47" t="n">
        <f aca="false">V2806+IF(OR(O2807&lt;&gt;"",W2807&lt;&gt;""),1,0)</f>
        <v>3</v>
      </c>
      <c r="W2807" s="29"/>
    </row>
    <row r="2808" customFormat="false" ht="15" hidden="false" customHeight="false" outlineLevel="0" collapsed="false">
      <c r="A2808" s="32" t="str">
        <f aca="false">IF(B2808="","",ROW()-7)</f>
        <v/>
      </c>
      <c r="B2808" s="30"/>
      <c r="C2808" s="29"/>
      <c r="D2808" s="29"/>
      <c r="E2808" s="29"/>
      <c r="F2808" s="30"/>
      <c r="G2808" s="29"/>
      <c r="H2808" s="30"/>
      <c r="I2808" s="29"/>
      <c r="J2808" s="30"/>
      <c r="K2808" s="30"/>
      <c r="L2808" s="29"/>
      <c r="M2808" s="32" t="str">
        <f aca="false">IF(OR(C2808="",L2808=""),"",IF(C2808=L2808,"同一","変更"))</f>
        <v/>
      </c>
      <c r="N2808" s="29"/>
      <c r="O2808" s="30"/>
      <c r="P2808" s="29"/>
      <c r="Q2808" s="31"/>
      <c r="R2808" s="29"/>
      <c r="S2808" s="29"/>
      <c r="T2808" s="30"/>
      <c r="U2808" s="47" t="str">
        <f aca="false">IF(AND(B2808&lt;&gt;"",B2808=SW別シート!$C$3),COUNTIF(B$5:B2808,B2808),"")</f>
        <v/>
      </c>
      <c r="V2808" s="47" t="n">
        <f aca="false">V2807+IF(OR(O2808&lt;&gt;"",W2808&lt;&gt;""),1,0)</f>
        <v>3</v>
      </c>
      <c r="W2808" s="29"/>
    </row>
    <row r="2809" customFormat="false" ht="15" hidden="false" customHeight="false" outlineLevel="0" collapsed="false">
      <c r="A2809" s="32" t="str">
        <f aca="false">IF(B2809="","",ROW()-7)</f>
        <v/>
      </c>
      <c r="B2809" s="30"/>
      <c r="C2809" s="29"/>
      <c r="D2809" s="29"/>
      <c r="E2809" s="29"/>
      <c r="F2809" s="30"/>
      <c r="G2809" s="29"/>
      <c r="H2809" s="30"/>
      <c r="I2809" s="29"/>
      <c r="J2809" s="30"/>
      <c r="K2809" s="30"/>
      <c r="L2809" s="29"/>
      <c r="M2809" s="32" t="str">
        <f aca="false">IF(OR(C2809="",L2809=""),"",IF(C2809=L2809,"同一","変更"))</f>
        <v/>
      </c>
      <c r="N2809" s="29"/>
      <c r="O2809" s="30"/>
      <c r="P2809" s="29"/>
      <c r="Q2809" s="31"/>
      <c r="R2809" s="29"/>
      <c r="S2809" s="29"/>
      <c r="T2809" s="30"/>
      <c r="U2809" s="47" t="str">
        <f aca="false">IF(AND(B2809&lt;&gt;"",B2809=SW別シート!$C$3),COUNTIF(B$5:B2809,B2809),"")</f>
        <v/>
      </c>
      <c r="V2809" s="47" t="n">
        <f aca="false">V2808+IF(OR(O2809&lt;&gt;"",W2809&lt;&gt;""),1,0)</f>
        <v>3</v>
      </c>
      <c r="W2809" s="29"/>
    </row>
    <row r="2810" customFormat="false" ht="15" hidden="false" customHeight="false" outlineLevel="0" collapsed="false">
      <c r="A2810" s="32" t="str">
        <f aca="false">IF(B2810="","",ROW()-7)</f>
        <v/>
      </c>
      <c r="B2810" s="30"/>
      <c r="C2810" s="29"/>
      <c r="D2810" s="29"/>
      <c r="E2810" s="29"/>
      <c r="F2810" s="30"/>
      <c r="G2810" s="29"/>
      <c r="H2810" s="30"/>
      <c r="I2810" s="29"/>
      <c r="J2810" s="30"/>
      <c r="K2810" s="30"/>
      <c r="L2810" s="29"/>
      <c r="M2810" s="32" t="str">
        <f aca="false">IF(OR(C2810="",L2810=""),"",IF(C2810=L2810,"同一","変更"))</f>
        <v/>
      </c>
      <c r="N2810" s="29"/>
      <c r="O2810" s="30"/>
      <c r="P2810" s="29"/>
      <c r="Q2810" s="31"/>
      <c r="R2810" s="29"/>
      <c r="S2810" s="29"/>
      <c r="T2810" s="30"/>
      <c r="U2810" s="47" t="str">
        <f aca="false">IF(AND(B2810&lt;&gt;"",B2810=SW別シート!$C$3),COUNTIF(B$5:B2810,B2810),"")</f>
        <v/>
      </c>
      <c r="V2810" s="47" t="n">
        <f aca="false">V2809+IF(OR(O2810&lt;&gt;"",W2810&lt;&gt;""),1,0)</f>
        <v>3</v>
      </c>
      <c r="W2810" s="29"/>
    </row>
    <row r="2811" customFormat="false" ht="15" hidden="false" customHeight="false" outlineLevel="0" collapsed="false">
      <c r="A2811" s="32" t="str">
        <f aca="false">IF(B2811="","",ROW()-7)</f>
        <v/>
      </c>
      <c r="B2811" s="30"/>
      <c r="C2811" s="29"/>
      <c r="D2811" s="29"/>
      <c r="E2811" s="29"/>
      <c r="F2811" s="30"/>
      <c r="G2811" s="29"/>
      <c r="H2811" s="30"/>
      <c r="I2811" s="29"/>
      <c r="J2811" s="30"/>
      <c r="K2811" s="30"/>
      <c r="L2811" s="29"/>
      <c r="M2811" s="32" t="str">
        <f aca="false">IF(OR(C2811="",L2811=""),"",IF(C2811=L2811,"同一","変更"))</f>
        <v/>
      </c>
      <c r="N2811" s="29"/>
      <c r="O2811" s="30"/>
      <c r="P2811" s="29"/>
      <c r="Q2811" s="31"/>
      <c r="R2811" s="29"/>
      <c r="S2811" s="29"/>
      <c r="T2811" s="30"/>
      <c r="U2811" s="47" t="str">
        <f aca="false">IF(AND(B2811&lt;&gt;"",B2811=SW別シート!$C$3),COUNTIF(B$5:B2811,B2811),"")</f>
        <v/>
      </c>
      <c r="V2811" s="47" t="n">
        <f aca="false">V2810+IF(OR(O2811&lt;&gt;"",W2811&lt;&gt;""),1,0)</f>
        <v>3</v>
      </c>
      <c r="W2811" s="29"/>
    </row>
    <row r="2812" customFormat="false" ht="15" hidden="false" customHeight="false" outlineLevel="0" collapsed="false">
      <c r="A2812" s="32" t="str">
        <f aca="false">IF(B2812="","",ROW()-7)</f>
        <v/>
      </c>
      <c r="B2812" s="30"/>
      <c r="C2812" s="29"/>
      <c r="D2812" s="29"/>
      <c r="E2812" s="29"/>
      <c r="F2812" s="30"/>
      <c r="G2812" s="29"/>
      <c r="H2812" s="30"/>
      <c r="I2812" s="29"/>
      <c r="J2812" s="30"/>
      <c r="K2812" s="30"/>
      <c r="L2812" s="29"/>
      <c r="M2812" s="32" t="str">
        <f aca="false">IF(OR(C2812="",L2812=""),"",IF(C2812=L2812,"同一","変更"))</f>
        <v/>
      </c>
      <c r="N2812" s="29"/>
      <c r="O2812" s="30"/>
      <c r="P2812" s="29"/>
      <c r="Q2812" s="31"/>
      <c r="R2812" s="29"/>
      <c r="S2812" s="29"/>
      <c r="T2812" s="30"/>
      <c r="U2812" s="47" t="str">
        <f aca="false">IF(AND(B2812&lt;&gt;"",B2812=SW別シート!$C$3),COUNTIF(B$5:B2812,B2812),"")</f>
        <v/>
      </c>
      <c r="V2812" s="47" t="n">
        <f aca="false">V2811+IF(OR(O2812&lt;&gt;"",W2812&lt;&gt;""),1,0)</f>
        <v>3</v>
      </c>
      <c r="W2812" s="29"/>
    </row>
    <row r="2813" customFormat="false" ht="15" hidden="false" customHeight="false" outlineLevel="0" collapsed="false">
      <c r="A2813" s="32" t="str">
        <f aca="false">IF(B2813="","",ROW()-7)</f>
        <v/>
      </c>
      <c r="B2813" s="30"/>
      <c r="C2813" s="29"/>
      <c r="D2813" s="29"/>
      <c r="E2813" s="29"/>
      <c r="F2813" s="30"/>
      <c r="G2813" s="29"/>
      <c r="H2813" s="30"/>
      <c r="I2813" s="29"/>
      <c r="J2813" s="30"/>
      <c r="K2813" s="30"/>
      <c r="L2813" s="29"/>
      <c r="M2813" s="32" t="str">
        <f aca="false">IF(OR(C2813="",L2813=""),"",IF(C2813=L2813,"同一","変更"))</f>
        <v/>
      </c>
      <c r="N2813" s="29"/>
      <c r="O2813" s="30"/>
      <c r="P2813" s="29"/>
      <c r="Q2813" s="31"/>
      <c r="R2813" s="29"/>
      <c r="S2813" s="29"/>
      <c r="T2813" s="30"/>
      <c r="U2813" s="47" t="str">
        <f aca="false">IF(AND(B2813&lt;&gt;"",B2813=SW別シート!$C$3),COUNTIF(B$5:B2813,B2813),"")</f>
        <v/>
      </c>
      <c r="V2813" s="47" t="n">
        <f aca="false">V2812+IF(OR(O2813&lt;&gt;"",W2813&lt;&gt;""),1,0)</f>
        <v>3</v>
      </c>
      <c r="W2813" s="29"/>
    </row>
    <row r="2814" customFormat="false" ht="15" hidden="false" customHeight="false" outlineLevel="0" collapsed="false">
      <c r="A2814" s="32" t="str">
        <f aca="false">IF(B2814="","",ROW()-7)</f>
        <v/>
      </c>
      <c r="B2814" s="30"/>
      <c r="C2814" s="29"/>
      <c r="D2814" s="29"/>
      <c r="E2814" s="29"/>
      <c r="F2814" s="30"/>
      <c r="G2814" s="29"/>
      <c r="H2814" s="30"/>
      <c r="I2814" s="29"/>
      <c r="J2814" s="30"/>
      <c r="K2814" s="30"/>
      <c r="L2814" s="29"/>
      <c r="M2814" s="32" t="str">
        <f aca="false">IF(OR(C2814="",L2814=""),"",IF(C2814=L2814,"同一","変更"))</f>
        <v/>
      </c>
      <c r="N2814" s="29"/>
      <c r="O2814" s="30"/>
      <c r="P2814" s="29"/>
      <c r="Q2814" s="31"/>
      <c r="R2814" s="29"/>
      <c r="S2814" s="29"/>
      <c r="T2814" s="30"/>
      <c r="U2814" s="47" t="str">
        <f aca="false">IF(AND(B2814&lt;&gt;"",B2814=SW別シート!$C$3),COUNTIF(B$5:B2814,B2814),"")</f>
        <v/>
      </c>
      <c r="V2814" s="47" t="n">
        <f aca="false">V2813+IF(OR(O2814&lt;&gt;"",W2814&lt;&gt;""),1,0)</f>
        <v>3</v>
      </c>
      <c r="W2814" s="29"/>
    </row>
    <row r="2815" customFormat="false" ht="15" hidden="false" customHeight="false" outlineLevel="0" collapsed="false">
      <c r="A2815" s="32" t="str">
        <f aca="false">IF(B2815="","",ROW()-7)</f>
        <v/>
      </c>
      <c r="B2815" s="30"/>
      <c r="C2815" s="29"/>
      <c r="D2815" s="29"/>
      <c r="E2815" s="29"/>
      <c r="F2815" s="30"/>
      <c r="G2815" s="29"/>
      <c r="H2815" s="30"/>
      <c r="I2815" s="29"/>
      <c r="J2815" s="30"/>
      <c r="K2815" s="30"/>
      <c r="L2815" s="29"/>
      <c r="M2815" s="32" t="str">
        <f aca="false">IF(OR(C2815="",L2815=""),"",IF(C2815=L2815,"同一","変更"))</f>
        <v/>
      </c>
      <c r="N2815" s="29"/>
      <c r="O2815" s="30"/>
      <c r="P2815" s="29"/>
      <c r="Q2815" s="31"/>
      <c r="R2815" s="29"/>
      <c r="S2815" s="29"/>
      <c r="T2815" s="30"/>
      <c r="U2815" s="47" t="str">
        <f aca="false">IF(AND(B2815&lt;&gt;"",B2815=SW別シート!$C$3),COUNTIF(B$5:B2815,B2815),"")</f>
        <v/>
      </c>
      <c r="V2815" s="47" t="n">
        <f aca="false">V2814+IF(OR(O2815&lt;&gt;"",W2815&lt;&gt;""),1,0)</f>
        <v>3</v>
      </c>
      <c r="W2815" s="29"/>
    </row>
    <row r="2816" customFormat="false" ht="15" hidden="false" customHeight="false" outlineLevel="0" collapsed="false">
      <c r="A2816" s="32" t="str">
        <f aca="false">IF(B2816="","",ROW()-7)</f>
        <v/>
      </c>
      <c r="B2816" s="30"/>
      <c r="C2816" s="29"/>
      <c r="D2816" s="29"/>
      <c r="E2816" s="29"/>
      <c r="F2816" s="30"/>
      <c r="G2816" s="29"/>
      <c r="H2816" s="30"/>
      <c r="I2816" s="29"/>
      <c r="J2816" s="30"/>
      <c r="K2816" s="30"/>
      <c r="L2816" s="29"/>
      <c r="M2816" s="32" t="str">
        <f aca="false">IF(OR(C2816="",L2816=""),"",IF(C2816=L2816,"同一","変更"))</f>
        <v/>
      </c>
      <c r="N2816" s="29"/>
      <c r="O2816" s="30"/>
      <c r="P2816" s="29"/>
      <c r="Q2816" s="31"/>
      <c r="R2816" s="29"/>
      <c r="S2816" s="29"/>
      <c r="T2816" s="30"/>
      <c r="U2816" s="47" t="str">
        <f aca="false">IF(AND(B2816&lt;&gt;"",B2816=SW別シート!$C$3),COUNTIF(B$5:B2816,B2816),"")</f>
        <v/>
      </c>
      <c r="V2816" s="47" t="n">
        <f aca="false">V2815+IF(OR(O2816&lt;&gt;"",W2816&lt;&gt;""),1,0)</f>
        <v>3</v>
      </c>
      <c r="W2816" s="29"/>
    </row>
    <row r="2817" customFormat="false" ht="15" hidden="false" customHeight="false" outlineLevel="0" collapsed="false">
      <c r="A2817" s="32" t="str">
        <f aca="false">IF(B2817="","",ROW()-7)</f>
        <v/>
      </c>
      <c r="B2817" s="30"/>
      <c r="C2817" s="29"/>
      <c r="D2817" s="29"/>
      <c r="E2817" s="29"/>
      <c r="F2817" s="30"/>
      <c r="G2817" s="29"/>
      <c r="H2817" s="30"/>
      <c r="I2817" s="29"/>
      <c r="J2817" s="30"/>
      <c r="K2817" s="30"/>
      <c r="L2817" s="29"/>
      <c r="M2817" s="32" t="str">
        <f aca="false">IF(OR(C2817="",L2817=""),"",IF(C2817=L2817,"同一","変更"))</f>
        <v/>
      </c>
      <c r="N2817" s="29"/>
      <c r="O2817" s="30"/>
      <c r="P2817" s="29"/>
      <c r="Q2817" s="31"/>
      <c r="R2817" s="29"/>
      <c r="S2817" s="29"/>
      <c r="T2817" s="30"/>
      <c r="U2817" s="47" t="str">
        <f aca="false">IF(AND(B2817&lt;&gt;"",B2817=SW別シート!$C$3),COUNTIF(B$5:B2817,B2817),"")</f>
        <v/>
      </c>
      <c r="V2817" s="47" t="n">
        <f aca="false">V2816+IF(OR(O2817&lt;&gt;"",W2817&lt;&gt;""),1,0)</f>
        <v>3</v>
      </c>
      <c r="W2817" s="29"/>
    </row>
    <row r="2818" customFormat="false" ht="15" hidden="false" customHeight="false" outlineLevel="0" collapsed="false">
      <c r="A2818" s="32" t="str">
        <f aca="false">IF(B2818="","",ROW()-7)</f>
        <v/>
      </c>
      <c r="B2818" s="30"/>
      <c r="C2818" s="29"/>
      <c r="D2818" s="29"/>
      <c r="E2818" s="29"/>
      <c r="F2818" s="30"/>
      <c r="G2818" s="29"/>
      <c r="H2818" s="30"/>
      <c r="I2818" s="29"/>
      <c r="J2818" s="30"/>
      <c r="K2818" s="30"/>
      <c r="L2818" s="29"/>
      <c r="M2818" s="32" t="str">
        <f aca="false">IF(OR(C2818="",L2818=""),"",IF(C2818=L2818,"同一","変更"))</f>
        <v/>
      </c>
      <c r="N2818" s="29"/>
      <c r="O2818" s="30"/>
      <c r="P2818" s="29"/>
      <c r="Q2818" s="31"/>
      <c r="R2818" s="29"/>
      <c r="S2818" s="29"/>
      <c r="T2818" s="30"/>
      <c r="U2818" s="47" t="str">
        <f aca="false">IF(AND(B2818&lt;&gt;"",B2818=SW別シート!$C$3),COUNTIF(B$5:B2818,B2818),"")</f>
        <v/>
      </c>
      <c r="V2818" s="47" t="n">
        <f aca="false">V2817+IF(OR(O2818&lt;&gt;"",W2818&lt;&gt;""),1,0)</f>
        <v>3</v>
      </c>
      <c r="W2818" s="29"/>
    </row>
    <row r="2819" customFormat="false" ht="15" hidden="false" customHeight="false" outlineLevel="0" collapsed="false">
      <c r="A2819" s="32" t="str">
        <f aca="false">IF(B2819="","",ROW()-7)</f>
        <v/>
      </c>
      <c r="B2819" s="30"/>
      <c r="C2819" s="29"/>
      <c r="D2819" s="29"/>
      <c r="E2819" s="29"/>
      <c r="F2819" s="30"/>
      <c r="G2819" s="29"/>
      <c r="H2819" s="30"/>
      <c r="I2819" s="29"/>
      <c r="J2819" s="30"/>
      <c r="K2819" s="30"/>
      <c r="L2819" s="29"/>
      <c r="M2819" s="32" t="str">
        <f aca="false">IF(OR(C2819="",L2819=""),"",IF(C2819=L2819,"同一","変更"))</f>
        <v/>
      </c>
      <c r="N2819" s="29"/>
      <c r="O2819" s="30"/>
      <c r="P2819" s="29"/>
      <c r="Q2819" s="31"/>
      <c r="R2819" s="29"/>
      <c r="S2819" s="29"/>
      <c r="T2819" s="30"/>
      <c r="U2819" s="47" t="str">
        <f aca="false">IF(AND(B2819&lt;&gt;"",B2819=SW別シート!$C$3),COUNTIF(B$5:B2819,B2819),"")</f>
        <v/>
      </c>
      <c r="V2819" s="47" t="n">
        <f aca="false">V2818+IF(OR(O2819&lt;&gt;"",W2819&lt;&gt;""),1,0)</f>
        <v>3</v>
      </c>
      <c r="W2819" s="29"/>
    </row>
    <row r="2820" customFormat="false" ht="15" hidden="false" customHeight="false" outlineLevel="0" collapsed="false">
      <c r="A2820" s="32" t="str">
        <f aca="false">IF(B2820="","",ROW()-7)</f>
        <v/>
      </c>
      <c r="B2820" s="30"/>
      <c r="C2820" s="29"/>
      <c r="D2820" s="29"/>
      <c r="E2820" s="29"/>
      <c r="F2820" s="30"/>
      <c r="G2820" s="29"/>
      <c r="H2820" s="30"/>
      <c r="I2820" s="29"/>
      <c r="J2820" s="30"/>
      <c r="K2820" s="30"/>
      <c r="L2820" s="29"/>
      <c r="M2820" s="32" t="str">
        <f aca="false">IF(OR(C2820="",L2820=""),"",IF(C2820=L2820,"同一","変更"))</f>
        <v/>
      </c>
      <c r="N2820" s="29"/>
      <c r="O2820" s="30"/>
      <c r="P2820" s="29"/>
      <c r="Q2820" s="31"/>
      <c r="R2820" s="29"/>
      <c r="S2820" s="29"/>
      <c r="T2820" s="30"/>
      <c r="U2820" s="47" t="str">
        <f aca="false">IF(AND(B2820&lt;&gt;"",B2820=SW別シート!$C$3),COUNTIF(B$5:B2820,B2820),"")</f>
        <v/>
      </c>
      <c r="V2820" s="47" t="n">
        <f aca="false">V2819+IF(OR(O2820&lt;&gt;"",W2820&lt;&gt;""),1,0)</f>
        <v>3</v>
      </c>
      <c r="W2820" s="29"/>
    </row>
    <row r="2821" customFormat="false" ht="15" hidden="false" customHeight="false" outlineLevel="0" collapsed="false">
      <c r="A2821" s="32" t="str">
        <f aca="false">IF(B2821="","",ROW()-7)</f>
        <v/>
      </c>
      <c r="B2821" s="30"/>
      <c r="C2821" s="29"/>
      <c r="D2821" s="29"/>
      <c r="E2821" s="29"/>
      <c r="F2821" s="30"/>
      <c r="G2821" s="29"/>
      <c r="H2821" s="30"/>
      <c r="I2821" s="29"/>
      <c r="J2821" s="30"/>
      <c r="K2821" s="30"/>
      <c r="L2821" s="29"/>
      <c r="M2821" s="32" t="str">
        <f aca="false">IF(OR(C2821="",L2821=""),"",IF(C2821=L2821,"同一","変更"))</f>
        <v/>
      </c>
      <c r="N2821" s="29"/>
      <c r="O2821" s="30"/>
      <c r="P2821" s="29"/>
      <c r="Q2821" s="31"/>
      <c r="R2821" s="29"/>
      <c r="S2821" s="29"/>
      <c r="T2821" s="30"/>
      <c r="U2821" s="47" t="str">
        <f aca="false">IF(AND(B2821&lt;&gt;"",B2821=SW別シート!$C$3),COUNTIF(B$5:B2821,B2821),"")</f>
        <v/>
      </c>
      <c r="V2821" s="47" t="n">
        <f aca="false">V2820+IF(OR(O2821&lt;&gt;"",W2821&lt;&gt;""),1,0)</f>
        <v>3</v>
      </c>
      <c r="W2821" s="29"/>
    </row>
    <row r="2822" customFormat="false" ht="15" hidden="false" customHeight="false" outlineLevel="0" collapsed="false">
      <c r="A2822" s="32" t="str">
        <f aca="false">IF(B2822="","",ROW()-7)</f>
        <v/>
      </c>
      <c r="B2822" s="30"/>
      <c r="C2822" s="29"/>
      <c r="D2822" s="29"/>
      <c r="E2822" s="29"/>
      <c r="F2822" s="30"/>
      <c r="G2822" s="29"/>
      <c r="H2822" s="30"/>
      <c r="I2822" s="29"/>
      <c r="J2822" s="30"/>
      <c r="K2822" s="30"/>
      <c r="L2822" s="29"/>
      <c r="M2822" s="32" t="str">
        <f aca="false">IF(OR(C2822="",L2822=""),"",IF(C2822=L2822,"同一","変更"))</f>
        <v/>
      </c>
      <c r="N2822" s="29"/>
      <c r="O2822" s="30"/>
      <c r="P2822" s="29"/>
      <c r="Q2822" s="31"/>
      <c r="R2822" s="29"/>
      <c r="S2822" s="29"/>
      <c r="T2822" s="30"/>
      <c r="U2822" s="47" t="str">
        <f aca="false">IF(AND(B2822&lt;&gt;"",B2822=SW別シート!$C$3),COUNTIF(B$5:B2822,B2822),"")</f>
        <v/>
      </c>
      <c r="V2822" s="47" t="n">
        <f aca="false">V2821+IF(OR(O2822&lt;&gt;"",W2822&lt;&gt;""),1,0)</f>
        <v>3</v>
      </c>
      <c r="W2822" s="29"/>
    </row>
    <row r="2823" customFormat="false" ht="15" hidden="false" customHeight="false" outlineLevel="0" collapsed="false">
      <c r="A2823" s="32" t="str">
        <f aca="false">IF(B2823="","",ROW()-7)</f>
        <v/>
      </c>
      <c r="B2823" s="30"/>
      <c r="C2823" s="29"/>
      <c r="D2823" s="29"/>
      <c r="E2823" s="29"/>
      <c r="F2823" s="30"/>
      <c r="G2823" s="29"/>
      <c r="H2823" s="30"/>
      <c r="I2823" s="29"/>
      <c r="J2823" s="30"/>
      <c r="K2823" s="30"/>
      <c r="L2823" s="29"/>
      <c r="M2823" s="32" t="str">
        <f aca="false">IF(OR(C2823="",L2823=""),"",IF(C2823=L2823,"同一","変更"))</f>
        <v/>
      </c>
      <c r="N2823" s="29"/>
      <c r="O2823" s="30"/>
      <c r="P2823" s="29"/>
      <c r="Q2823" s="31"/>
      <c r="R2823" s="29"/>
      <c r="S2823" s="29"/>
      <c r="T2823" s="30"/>
      <c r="U2823" s="47" t="str">
        <f aca="false">IF(AND(B2823&lt;&gt;"",B2823=SW別シート!$C$3),COUNTIF(B$5:B2823,B2823),"")</f>
        <v/>
      </c>
      <c r="V2823" s="47" t="n">
        <f aca="false">V2822+IF(OR(O2823&lt;&gt;"",W2823&lt;&gt;""),1,0)</f>
        <v>3</v>
      </c>
      <c r="W2823" s="29"/>
    </row>
    <row r="2824" customFormat="false" ht="15" hidden="false" customHeight="false" outlineLevel="0" collapsed="false">
      <c r="A2824" s="32" t="str">
        <f aca="false">IF(B2824="","",ROW()-7)</f>
        <v/>
      </c>
      <c r="B2824" s="30"/>
      <c r="C2824" s="29"/>
      <c r="D2824" s="29"/>
      <c r="E2824" s="29"/>
      <c r="F2824" s="30"/>
      <c r="G2824" s="29"/>
      <c r="H2824" s="30"/>
      <c r="I2824" s="29"/>
      <c r="J2824" s="30"/>
      <c r="K2824" s="30"/>
      <c r="L2824" s="29"/>
      <c r="M2824" s="32" t="str">
        <f aca="false">IF(OR(C2824="",L2824=""),"",IF(C2824=L2824,"同一","変更"))</f>
        <v/>
      </c>
      <c r="N2824" s="29"/>
      <c r="O2824" s="30"/>
      <c r="P2824" s="29"/>
      <c r="Q2824" s="31"/>
      <c r="R2824" s="29"/>
      <c r="S2824" s="29"/>
      <c r="T2824" s="30"/>
      <c r="U2824" s="47" t="str">
        <f aca="false">IF(AND(B2824&lt;&gt;"",B2824=SW別シート!$C$3),COUNTIF(B$5:B2824,B2824),"")</f>
        <v/>
      </c>
      <c r="V2824" s="47" t="n">
        <f aca="false">V2823+IF(OR(O2824&lt;&gt;"",W2824&lt;&gt;""),1,0)</f>
        <v>3</v>
      </c>
      <c r="W2824" s="29"/>
    </row>
    <row r="2825" customFormat="false" ht="15" hidden="false" customHeight="false" outlineLevel="0" collapsed="false">
      <c r="A2825" s="32" t="str">
        <f aca="false">IF(B2825="","",ROW()-7)</f>
        <v/>
      </c>
      <c r="B2825" s="30"/>
      <c r="C2825" s="29"/>
      <c r="D2825" s="29"/>
      <c r="E2825" s="29"/>
      <c r="F2825" s="30"/>
      <c r="G2825" s="29"/>
      <c r="H2825" s="30"/>
      <c r="I2825" s="29"/>
      <c r="J2825" s="30"/>
      <c r="K2825" s="30"/>
      <c r="L2825" s="29"/>
      <c r="M2825" s="32" t="str">
        <f aca="false">IF(OR(C2825="",L2825=""),"",IF(C2825=L2825,"同一","変更"))</f>
        <v/>
      </c>
      <c r="N2825" s="29"/>
      <c r="O2825" s="30"/>
      <c r="P2825" s="29"/>
      <c r="Q2825" s="31"/>
      <c r="R2825" s="29"/>
      <c r="S2825" s="29"/>
      <c r="T2825" s="30"/>
      <c r="U2825" s="47" t="str">
        <f aca="false">IF(AND(B2825&lt;&gt;"",B2825=SW別シート!$C$3),COUNTIF(B$5:B2825,B2825),"")</f>
        <v/>
      </c>
      <c r="V2825" s="47" t="n">
        <f aca="false">V2824+IF(OR(O2825&lt;&gt;"",W2825&lt;&gt;""),1,0)</f>
        <v>3</v>
      </c>
      <c r="W2825" s="29"/>
    </row>
    <row r="2826" customFormat="false" ht="15" hidden="false" customHeight="false" outlineLevel="0" collapsed="false">
      <c r="A2826" s="32" t="str">
        <f aca="false">IF(B2826="","",ROW()-7)</f>
        <v/>
      </c>
      <c r="B2826" s="30"/>
      <c r="C2826" s="29"/>
      <c r="D2826" s="29"/>
      <c r="E2826" s="29"/>
      <c r="F2826" s="30"/>
      <c r="G2826" s="29"/>
      <c r="H2826" s="30"/>
      <c r="I2826" s="29"/>
      <c r="J2826" s="30"/>
      <c r="K2826" s="30"/>
      <c r="L2826" s="29"/>
      <c r="M2826" s="32" t="str">
        <f aca="false">IF(OR(C2826="",L2826=""),"",IF(C2826=L2826,"同一","変更"))</f>
        <v/>
      </c>
      <c r="N2826" s="29"/>
      <c r="O2826" s="30"/>
      <c r="P2826" s="29"/>
      <c r="Q2826" s="31"/>
      <c r="R2826" s="29"/>
      <c r="S2826" s="29"/>
      <c r="T2826" s="30"/>
      <c r="U2826" s="47" t="str">
        <f aca="false">IF(AND(B2826&lt;&gt;"",B2826=SW別シート!$C$3),COUNTIF(B$5:B2826,B2826),"")</f>
        <v/>
      </c>
      <c r="V2826" s="47" t="n">
        <f aca="false">V2825+IF(OR(O2826&lt;&gt;"",W2826&lt;&gt;""),1,0)</f>
        <v>3</v>
      </c>
      <c r="W2826" s="29"/>
    </row>
    <row r="2827" customFormat="false" ht="15" hidden="false" customHeight="false" outlineLevel="0" collapsed="false">
      <c r="A2827" s="32" t="str">
        <f aca="false">IF(B2827="","",ROW()-7)</f>
        <v/>
      </c>
      <c r="B2827" s="30"/>
      <c r="C2827" s="29"/>
      <c r="D2827" s="29"/>
      <c r="E2827" s="29"/>
      <c r="F2827" s="30"/>
      <c r="G2827" s="29"/>
      <c r="H2827" s="30"/>
      <c r="I2827" s="29"/>
      <c r="J2827" s="30"/>
      <c r="K2827" s="30"/>
      <c r="L2827" s="29"/>
      <c r="M2827" s="32" t="str">
        <f aca="false">IF(OR(C2827="",L2827=""),"",IF(C2827=L2827,"同一","変更"))</f>
        <v/>
      </c>
      <c r="N2827" s="29"/>
      <c r="O2827" s="30"/>
      <c r="P2827" s="29"/>
      <c r="Q2827" s="31"/>
      <c r="R2827" s="29"/>
      <c r="S2827" s="29"/>
      <c r="T2827" s="30"/>
      <c r="U2827" s="47" t="str">
        <f aca="false">IF(AND(B2827&lt;&gt;"",B2827=SW別シート!$C$3),COUNTIF(B$5:B2827,B2827),"")</f>
        <v/>
      </c>
      <c r="V2827" s="47" t="n">
        <f aca="false">V2826+IF(OR(O2827&lt;&gt;"",W2827&lt;&gt;""),1,0)</f>
        <v>3</v>
      </c>
      <c r="W2827" s="29"/>
    </row>
    <row r="2828" customFormat="false" ht="15" hidden="false" customHeight="false" outlineLevel="0" collapsed="false">
      <c r="A2828" s="32" t="str">
        <f aca="false">IF(B2828="","",ROW()-7)</f>
        <v/>
      </c>
      <c r="B2828" s="30"/>
      <c r="C2828" s="29"/>
      <c r="D2828" s="29"/>
      <c r="E2828" s="29"/>
      <c r="F2828" s="30"/>
      <c r="G2828" s="29"/>
      <c r="H2828" s="30"/>
      <c r="I2828" s="29"/>
      <c r="J2828" s="30"/>
      <c r="K2828" s="30"/>
      <c r="L2828" s="29"/>
      <c r="M2828" s="32" t="str">
        <f aca="false">IF(OR(C2828="",L2828=""),"",IF(C2828=L2828,"同一","変更"))</f>
        <v/>
      </c>
      <c r="N2828" s="29"/>
      <c r="O2828" s="30"/>
      <c r="P2828" s="29"/>
      <c r="Q2828" s="31"/>
      <c r="R2828" s="29"/>
      <c r="S2828" s="29"/>
      <c r="T2828" s="30"/>
      <c r="U2828" s="47" t="str">
        <f aca="false">IF(AND(B2828&lt;&gt;"",B2828=SW別シート!$C$3),COUNTIF(B$5:B2828,B2828),"")</f>
        <v/>
      </c>
      <c r="V2828" s="47" t="n">
        <f aca="false">V2827+IF(OR(O2828&lt;&gt;"",W2828&lt;&gt;""),1,0)</f>
        <v>3</v>
      </c>
      <c r="W2828" s="29"/>
    </row>
    <row r="2829" customFormat="false" ht="15" hidden="false" customHeight="false" outlineLevel="0" collapsed="false">
      <c r="A2829" s="32" t="str">
        <f aca="false">IF(B2829="","",ROW()-7)</f>
        <v/>
      </c>
      <c r="B2829" s="30"/>
      <c r="C2829" s="29"/>
      <c r="D2829" s="29"/>
      <c r="E2829" s="29"/>
      <c r="F2829" s="30"/>
      <c r="G2829" s="29"/>
      <c r="H2829" s="30"/>
      <c r="I2829" s="29"/>
      <c r="J2829" s="30"/>
      <c r="K2829" s="30"/>
      <c r="L2829" s="29"/>
      <c r="M2829" s="32" t="str">
        <f aca="false">IF(OR(C2829="",L2829=""),"",IF(C2829=L2829,"同一","変更"))</f>
        <v/>
      </c>
      <c r="N2829" s="29"/>
      <c r="O2829" s="30"/>
      <c r="P2829" s="29"/>
      <c r="Q2829" s="31"/>
      <c r="R2829" s="29"/>
      <c r="S2829" s="29"/>
      <c r="T2829" s="30"/>
      <c r="U2829" s="47" t="str">
        <f aca="false">IF(AND(B2829&lt;&gt;"",B2829=SW別シート!$C$3),COUNTIF(B$5:B2829,B2829),"")</f>
        <v/>
      </c>
      <c r="V2829" s="47" t="n">
        <f aca="false">V2828+IF(OR(O2829&lt;&gt;"",W2829&lt;&gt;""),1,0)</f>
        <v>3</v>
      </c>
      <c r="W2829" s="29"/>
    </row>
    <row r="2830" customFormat="false" ht="15" hidden="false" customHeight="false" outlineLevel="0" collapsed="false">
      <c r="A2830" s="32" t="str">
        <f aca="false">IF(B2830="","",ROW()-7)</f>
        <v/>
      </c>
      <c r="B2830" s="30"/>
      <c r="C2830" s="29"/>
      <c r="D2830" s="29"/>
      <c r="E2830" s="29"/>
      <c r="F2830" s="30"/>
      <c r="G2830" s="29"/>
      <c r="H2830" s="30"/>
      <c r="I2830" s="29"/>
      <c r="J2830" s="30"/>
      <c r="K2830" s="30"/>
      <c r="L2830" s="29"/>
      <c r="M2830" s="32" t="str">
        <f aca="false">IF(OR(C2830="",L2830=""),"",IF(C2830=L2830,"同一","変更"))</f>
        <v/>
      </c>
      <c r="N2830" s="29"/>
      <c r="O2830" s="30"/>
      <c r="P2830" s="29"/>
      <c r="Q2830" s="31"/>
      <c r="R2830" s="29"/>
      <c r="S2830" s="29"/>
      <c r="T2830" s="30"/>
      <c r="U2830" s="47" t="str">
        <f aca="false">IF(AND(B2830&lt;&gt;"",B2830=SW別シート!$C$3),COUNTIF(B$5:B2830,B2830),"")</f>
        <v/>
      </c>
      <c r="V2830" s="47" t="n">
        <f aca="false">V2829+IF(OR(O2830&lt;&gt;"",W2830&lt;&gt;""),1,0)</f>
        <v>3</v>
      </c>
      <c r="W2830" s="29"/>
    </row>
    <row r="2831" customFormat="false" ht="15" hidden="false" customHeight="false" outlineLevel="0" collapsed="false">
      <c r="A2831" s="32" t="str">
        <f aca="false">IF(B2831="","",ROW()-7)</f>
        <v/>
      </c>
      <c r="B2831" s="30"/>
      <c r="C2831" s="29"/>
      <c r="D2831" s="29"/>
      <c r="E2831" s="29"/>
      <c r="F2831" s="30"/>
      <c r="G2831" s="29"/>
      <c r="H2831" s="30"/>
      <c r="I2831" s="29"/>
      <c r="J2831" s="30"/>
      <c r="K2831" s="30"/>
      <c r="L2831" s="29"/>
      <c r="M2831" s="32" t="str">
        <f aca="false">IF(OR(C2831="",L2831=""),"",IF(C2831=L2831,"同一","変更"))</f>
        <v/>
      </c>
      <c r="N2831" s="29"/>
      <c r="O2831" s="30"/>
      <c r="P2831" s="29"/>
      <c r="Q2831" s="31"/>
      <c r="R2831" s="29"/>
      <c r="S2831" s="29"/>
      <c r="T2831" s="30"/>
      <c r="U2831" s="47" t="str">
        <f aca="false">IF(AND(B2831&lt;&gt;"",B2831=SW別シート!$C$3),COUNTIF(B$5:B2831,B2831),"")</f>
        <v/>
      </c>
      <c r="V2831" s="47" t="n">
        <f aca="false">V2830+IF(OR(O2831&lt;&gt;"",W2831&lt;&gt;""),1,0)</f>
        <v>3</v>
      </c>
      <c r="W2831" s="29"/>
    </row>
    <row r="2832" customFormat="false" ht="15" hidden="false" customHeight="false" outlineLevel="0" collapsed="false">
      <c r="A2832" s="32" t="str">
        <f aca="false">IF(B2832="","",ROW()-7)</f>
        <v/>
      </c>
      <c r="B2832" s="30"/>
      <c r="C2832" s="29"/>
      <c r="D2832" s="29"/>
      <c r="E2832" s="29"/>
      <c r="F2832" s="30"/>
      <c r="G2832" s="29"/>
      <c r="H2832" s="30"/>
      <c r="I2832" s="29"/>
      <c r="J2832" s="30"/>
      <c r="K2832" s="30"/>
      <c r="L2832" s="29"/>
      <c r="M2832" s="32" t="str">
        <f aca="false">IF(OR(C2832="",L2832=""),"",IF(C2832=L2832,"同一","変更"))</f>
        <v/>
      </c>
      <c r="N2832" s="29"/>
      <c r="O2832" s="30"/>
      <c r="P2832" s="29"/>
      <c r="Q2832" s="31"/>
      <c r="R2832" s="29"/>
      <c r="S2832" s="29"/>
      <c r="T2832" s="30"/>
      <c r="U2832" s="47" t="str">
        <f aca="false">IF(AND(B2832&lt;&gt;"",B2832=SW別シート!$C$3),COUNTIF(B$5:B2832,B2832),"")</f>
        <v/>
      </c>
      <c r="V2832" s="47" t="n">
        <f aca="false">V2831+IF(OR(O2832&lt;&gt;"",W2832&lt;&gt;""),1,0)</f>
        <v>3</v>
      </c>
      <c r="W2832" s="29"/>
    </row>
    <row r="2833" customFormat="false" ht="15" hidden="false" customHeight="false" outlineLevel="0" collapsed="false">
      <c r="A2833" s="32" t="str">
        <f aca="false">IF(B2833="","",ROW()-7)</f>
        <v/>
      </c>
      <c r="B2833" s="30"/>
      <c r="C2833" s="29"/>
      <c r="D2833" s="29"/>
      <c r="E2833" s="29"/>
      <c r="F2833" s="30"/>
      <c r="G2833" s="29"/>
      <c r="H2833" s="30"/>
      <c r="I2833" s="29"/>
      <c r="J2833" s="30"/>
      <c r="K2833" s="30"/>
      <c r="L2833" s="29"/>
      <c r="M2833" s="32" t="str">
        <f aca="false">IF(OR(C2833="",L2833=""),"",IF(C2833=L2833,"同一","変更"))</f>
        <v/>
      </c>
      <c r="N2833" s="29"/>
      <c r="O2833" s="30"/>
      <c r="P2833" s="29"/>
      <c r="Q2833" s="31"/>
      <c r="R2833" s="29"/>
      <c r="S2833" s="29"/>
      <c r="T2833" s="30"/>
      <c r="U2833" s="47" t="str">
        <f aca="false">IF(AND(B2833&lt;&gt;"",B2833=SW別シート!$C$3),COUNTIF(B$5:B2833,B2833),"")</f>
        <v/>
      </c>
      <c r="V2833" s="47" t="n">
        <f aca="false">V2832+IF(OR(O2833&lt;&gt;"",W2833&lt;&gt;""),1,0)</f>
        <v>3</v>
      </c>
      <c r="W2833" s="29"/>
    </row>
    <row r="2834" customFormat="false" ht="15" hidden="false" customHeight="false" outlineLevel="0" collapsed="false">
      <c r="A2834" s="32" t="str">
        <f aca="false">IF(B2834="","",ROW()-7)</f>
        <v/>
      </c>
      <c r="B2834" s="30"/>
      <c r="C2834" s="29"/>
      <c r="D2834" s="29"/>
      <c r="E2834" s="29"/>
      <c r="F2834" s="30"/>
      <c r="G2834" s="29"/>
      <c r="H2834" s="30"/>
      <c r="I2834" s="29"/>
      <c r="J2834" s="30"/>
      <c r="K2834" s="30"/>
      <c r="L2834" s="29"/>
      <c r="M2834" s="32" t="str">
        <f aca="false">IF(OR(C2834="",L2834=""),"",IF(C2834=L2834,"同一","変更"))</f>
        <v/>
      </c>
      <c r="N2834" s="29"/>
      <c r="O2834" s="30"/>
      <c r="P2834" s="29"/>
      <c r="Q2834" s="31"/>
      <c r="R2834" s="29"/>
      <c r="S2834" s="29"/>
      <c r="T2834" s="30"/>
      <c r="U2834" s="47" t="str">
        <f aca="false">IF(AND(B2834&lt;&gt;"",B2834=SW別シート!$C$3),COUNTIF(B$5:B2834,B2834),"")</f>
        <v/>
      </c>
      <c r="V2834" s="47" t="n">
        <f aca="false">V2833+IF(OR(O2834&lt;&gt;"",W2834&lt;&gt;""),1,0)</f>
        <v>3</v>
      </c>
      <c r="W2834" s="29"/>
    </row>
    <row r="2835" customFormat="false" ht="15" hidden="false" customHeight="false" outlineLevel="0" collapsed="false">
      <c r="A2835" s="32" t="str">
        <f aca="false">IF(B2835="","",ROW()-7)</f>
        <v/>
      </c>
      <c r="B2835" s="30"/>
      <c r="C2835" s="29"/>
      <c r="D2835" s="29"/>
      <c r="E2835" s="29"/>
      <c r="F2835" s="30"/>
      <c r="G2835" s="29"/>
      <c r="H2835" s="30"/>
      <c r="I2835" s="29"/>
      <c r="J2835" s="30"/>
      <c r="K2835" s="30"/>
      <c r="L2835" s="29"/>
      <c r="M2835" s="32" t="str">
        <f aca="false">IF(OR(C2835="",L2835=""),"",IF(C2835=L2835,"同一","変更"))</f>
        <v/>
      </c>
      <c r="N2835" s="29"/>
      <c r="O2835" s="30"/>
      <c r="P2835" s="29"/>
      <c r="Q2835" s="31"/>
      <c r="R2835" s="29"/>
      <c r="S2835" s="29"/>
      <c r="T2835" s="30"/>
      <c r="U2835" s="47" t="str">
        <f aca="false">IF(AND(B2835&lt;&gt;"",B2835=SW別シート!$C$3),COUNTIF(B$5:B2835,B2835),"")</f>
        <v/>
      </c>
      <c r="V2835" s="47" t="n">
        <f aca="false">V2834+IF(OR(O2835&lt;&gt;"",W2835&lt;&gt;""),1,0)</f>
        <v>3</v>
      </c>
      <c r="W2835" s="29"/>
    </row>
    <row r="2836" customFormat="false" ht="15" hidden="false" customHeight="false" outlineLevel="0" collapsed="false">
      <c r="A2836" s="32" t="str">
        <f aca="false">IF(B2836="","",ROW()-7)</f>
        <v/>
      </c>
      <c r="B2836" s="30"/>
      <c r="C2836" s="29"/>
      <c r="D2836" s="29"/>
      <c r="E2836" s="29"/>
      <c r="F2836" s="30"/>
      <c r="G2836" s="29"/>
      <c r="H2836" s="30"/>
      <c r="I2836" s="29"/>
      <c r="J2836" s="30"/>
      <c r="K2836" s="30"/>
      <c r="L2836" s="29"/>
      <c r="M2836" s="32" t="str">
        <f aca="false">IF(OR(C2836="",L2836=""),"",IF(C2836=L2836,"同一","変更"))</f>
        <v/>
      </c>
      <c r="N2836" s="29"/>
      <c r="O2836" s="30"/>
      <c r="P2836" s="29"/>
      <c r="Q2836" s="31"/>
      <c r="R2836" s="29"/>
      <c r="S2836" s="29"/>
      <c r="T2836" s="30"/>
      <c r="U2836" s="47" t="str">
        <f aca="false">IF(AND(B2836&lt;&gt;"",B2836=SW別シート!$C$3),COUNTIF(B$5:B2836,B2836),"")</f>
        <v/>
      </c>
      <c r="V2836" s="47" t="n">
        <f aca="false">V2835+IF(OR(O2836&lt;&gt;"",W2836&lt;&gt;""),1,0)</f>
        <v>3</v>
      </c>
      <c r="W2836" s="29"/>
    </row>
    <row r="2837" customFormat="false" ht="15" hidden="false" customHeight="false" outlineLevel="0" collapsed="false">
      <c r="A2837" s="32" t="str">
        <f aca="false">IF(B2837="","",ROW()-7)</f>
        <v/>
      </c>
      <c r="B2837" s="30"/>
      <c r="C2837" s="29"/>
      <c r="D2837" s="29"/>
      <c r="E2837" s="29"/>
      <c r="F2837" s="30"/>
      <c r="G2837" s="29"/>
      <c r="H2837" s="30"/>
      <c r="I2837" s="29"/>
      <c r="J2837" s="30"/>
      <c r="K2837" s="30"/>
      <c r="L2837" s="29"/>
      <c r="M2837" s="32" t="str">
        <f aca="false">IF(OR(C2837="",L2837=""),"",IF(C2837=L2837,"同一","変更"))</f>
        <v/>
      </c>
      <c r="N2837" s="29"/>
      <c r="O2837" s="30"/>
      <c r="P2837" s="29"/>
      <c r="Q2837" s="31"/>
      <c r="R2837" s="29"/>
      <c r="S2837" s="29"/>
      <c r="T2837" s="30"/>
      <c r="U2837" s="47" t="str">
        <f aca="false">IF(AND(B2837&lt;&gt;"",B2837=SW別シート!$C$3),COUNTIF(B$5:B2837,B2837),"")</f>
        <v/>
      </c>
      <c r="V2837" s="47" t="n">
        <f aca="false">V2836+IF(OR(O2837&lt;&gt;"",W2837&lt;&gt;""),1,0)</f>
        <v>3</v>
      </c>
      <c r="W2837" s="29"/>
    </row>
    <row r="2838" customFormat="false" ht="15" hidden="false" customHeight="false" outlineLevel="0" collapsed="false">
      <c r="A2838" s="32" t="str">
        <f aca="false">IF(B2838="","",ROW()-7)</f>
        <v/>
      </c>
      <c r="B2838" s="30"/>
      <c r="C2838" s="29"/>
      <c r="D2838" s="29"/>
      <c r="E2838" s="29"/>
      <c r="F2838" s="30"/>
      <c r="G2838" s="29"/>
      <c r="H2838" s="30"/>
      <c r="I2838" s="29"/>
      <c r="J2838" s="30"/>
      <c r="K2838" s="30"/>
      <c r="L2838" s="29"/>
      <c r="M2838" s="32" t="str">
        <f aca="false">IF(OR(C2838="",L2838=""),"",IF(C2838=L2838,"同一","変更"))</f>
        <v/>
      </c>
      <c r="N2838" s="29"/>
      <c r="O2838" s="30"/>
      <c r="P2838" s="29"/>
      <c r="Q2838" s="31"/>
      <c r="R2838" s="29"/>
      <c r="S2838" s="29"/>
      <c r="T2838" s="30"/>
      <c r="U2838" s="47" t="str">
        <f aca="false">IF(AND(B2838&lt;&gt;"",B2838=SW別シート!$C$3),COUNTIF(B$5:B2838,B2838),"")</f>
        <v/>
      </c>
      <c r="V2838" s="47" t="n">
        <f aca="false">V2837+IF(OR(O2838&lt;&gt;"",W2838&lt;&gt;""),1,0)</f>
        <v>3</v>
      </c>
      <c r="W2838" s="29"/>
    </row>
    <row r="2839" customFormat="false" ht="15" hidden="false" customHeight="false" outlineLevel="0" collapsed="false">
      <c r="A2839" s="32" t="str">
        <f aca="false">IF(B2839="","",ROW()-7)</f>
        <v/>
      </c>
      <c r="B2839" s="30"/>
      <c r="C2839" s="29"/>
      <c r="D2839" s="29"/>
      <c r="E2839" s="29"/>
      <c r="F2839" s="30"/>
      <c r="G2839" s="29"/>
      <c r="H2839" s="30"/>
      <c r="I2839" s="29"/>
      <c r="J2839" s="30"/>
      <c r="K2839" s="30"/>
      <c r="L2839" s="29"/>
      <c r="M2839" s="32" t="str">
        <f aca="false">IF(OR(C2839="",L2839=""),"",IF(C2839=L2839,"同一","変更"))</f>
        <v/>
      </c>
      <c r="N2839" s="29"/>
      <c r="O2839" s="30"/>
      <c r="P2839" s="29"/>
      <c r="Q2839" s="31"/>
      <c r="R2839" s="29"/>
      <c r="S2839" s="29"/>
      <c r="T2839" s="30"/>
      <c r="U2839" s="47" t="str">
        <f aca="false">IF(AND(B2839&lt;&gt;"",B2839=SW別シート!$C$3),COUNTIF(B$5:B2839,B2839),"")</f>
        <v/>
      </c>
      <c r="V2839" s="47" t="n">
        <f aca="false">V2838+IF(OR(O2839&lt;&gt;"",W2839&lt;&gt;""),1,0)</f>
        <v>3</v>
      </c>
      <c r="W2839" s="29"/>
    </row>
    <row r="2840" customFormat="false" ht="15" hidden="false" customHeight="false" outlineLevel="0" collapsed="false">
      <c r="A2840" s="32" t="str">
        <f aca="false">IF(B2840="","",ROW()-7)</f>
        <v/>
      </c>
      <c r="B2840" s="30"/>
      <c r="C2840" s="29"/>
      <c r="D2840" s="29"/>
      <c r="E2840" s="29"/>
      <c r="F2840" s="30"/>
      <c r="G2840" s="29"/>
      <c r="H2840" s="30"/>
      <c r="I2840" s="29"/>
      <c r="J2840" s="30"/>
      <c r="K2840" s="30"/>
      <c r="L2840" s="29"/>
      <c r="M2840" s="32" t="str">
        <f aca="false">IF(OR(C2840="",L2840=""),"",IF(C2840=L2840,"同一","変更"))</f>
        <v/>
      </c>
      <c r="N2840" s="29"/>
      <c r="O2840" s="30"/>
      <c r="P2840" s="29"/>
      <c r="Q2840" s="31"/>
      <c r="R2840" s="29"/>
      <c r="S2840" s="29"/>
      <c r="T2840" s="30"/>
      <c r="U2840" s="47" t="str">
        <f aca="false">IF(AND(B2840&lt;&gt;"",B2840=SW別シート!$C$3),COUNTIF(B$5:B2840,B2840),"")</f>
        <v/>
      </c>
      <c r="V2840" s="47" t="n">
        <f aca="false">V2839+IF(OR(O2840&lt;&gt;"",W2840&lt;&gt;""),1,0)</f>
        <v>3</v>
      </c>
      <c r="W2840" s="29"/>
    </row>
    <row r="2841" customFormat="false" ht="15" hidden="false" customHeight="false" outlineLevel="0" collapsed="false">
      <c r="A2841" s="32" t="str">
        <f aca="false">IF(B2841="","",ROW()-7)</f>
        <v/>
      </c>
      <c r="B2841" s="30"/>
      <c r="C2841" s="29"/>
      <c r="D2841" s="29"/>
      <c r="E2841" s="29"/>
      <c r="F2841" s="30"/>
      <c r="G2841" s="29"/>
      <c r="H2841" s="30"/>
      <c r="I2841" s="29"/>
      <c r="J2841" s="30"/>
      <c r="K2841" s="30"/>
      <c r="L2841" s="29"/>
      <c r="M2841" s="32" t="str">
        <f aca="false">IF(OR(C2841="",L2841=""),"",IF(C2841=L2841,"同一","変更"))</f>
        <v/>
      </c>
      <c r="N2841" s="29"/>
      <c r="O2841" s="30"/>
      <c r="P2841" s="29"/>
      <c r="Q2841" s="31"/>
      <c r="R2841" s="29"/>
      <c r="S2841" s="29"/>
      <c r="T2841" s="30"/>
      <c r="U2841" s="47" t="str">
        <f aca="false">IF(AND(B2841&lt;&gt;"",B2841=SW別シート!$C$3),COUNTIF(B$5:B2841,B2841),"")</f>
        <v/>
      </c>
      <c r="V2841" s="47" t="n">
        <f aca="false">V2840+IF(OR(O2841&lt;&gt;"",W2841&lt;&gt;""),1,0)</f>
        <v>3</v>
      </c>
      <c r="W2841" s="29"/>
    </row>
    <row r="2842" customFormat="false" ht="15" hidden="false" customHeight="false" outlineLevel="0" collapsed="false">
      <c r="A2842" s="32" t="str">
        <f aca="false">IF(B2842="","",ROW()-7)</f>
        <v/>
      </c>
      <c r="B2842" s="30"/>
      <c r="C2842" s="29"/>
      <c r="D2842" s="29"/>
      <c r="E2842" s="29"/>
      <c r="F2842" s="30"/>
      <c r="G2842" s="29"/>
      <c r="H2842" s="30"/>
      <c r="I2842" s="29"/>
      <c r="J2842" s="30"/>
      <c r="K2842" s="30"/>
      <c r="L2842" s="29"/>
      <c r="M2842" s="32" t="str">
        <f aca="false">IF(OR(C2842="",L2842=""),"",IF(C2842=L2842,"同一","変更"))</f>
        <v/>
      </c>
      <c r="N2842" s="29"/>
      <c r="O2842" s="30"/>
      <c r="P2842" s="29"/>
      <c r="Q2842" s="31"/>
      <c r="R2842" s="29"/>
      <c r="S2842" s="29"/>
      <c r="T2842" s="30"/>
      <c r="U2842" s="47" t="str">
        <f aca="false">IF(AND(B2842&lt;&gt;"",B2842=SW別シート!$C$3),COUNTIF(B$5:B2842,B2842),"")</f>
        <v/>
      </c>
      <c r="V2842" s="47" t="n">
        <f aca="false">V2841+IF(OR(O2842&lt;&gt;"",W2842&lt;&gt;""),1,0)</f>
        <v>3</v>
      </c>
      <c r="W2842" s="29"/>
    </row>
    <row r="2843" customFormat="false" ht="15" hidden="false" customHeight="false" outlineLevel="0" collapsed="false">
      <c r="A2843" s="32" t="str">
        <f aca="false">IF(B2843="","",ROW()-7)</f>
        <v/>
      </c>
      <c r="B2843" s="30"/>
      <c r="C2843" s="29"/>
      <c r="D2843" s="29"/>
      <c r="E2843" s="29"/>
      <c r="F2843" s="30"/>
      <c r="G2843" s="29"/>
      <c r="H2843" s="30"/>
      <c r="I2843" s="29"/>
      <c r="J2843" s="30"/>
      <c r="K2843" s="30"/>
      <c r="L2843" s="29"/>
      <c r="M2843" s="32" t="str">
        <f aca="false">IF(OR(C2843="",L2843=""),"",IF(C2843=L2843,"同一","変更"))</f>
        <v/>
      </c>
      <c r="N2843" s="29"/>
      <c r="O2843" s="30"/>
      <c r="P2843" s="29"/>
      <c r="Q2843" s="31"/>
      <c r="R2843" s="29"/>
      <c r="S2843" s="29"/>
      <c r="T2843" s="30"/>
      <c r="U2843" s="47" t="str">
        <f aca="false">IF(AND(B2843&lt;&gt;"",B2843=SW別シート!$C$3),COUNTIF(B$5:B2843,B2843),"")</f>
        <v/>
      </c>
      <c r="V2843" s="47" t="n">
        <f aca="false">V2842+IF(OR(O2843&lt;&gt;"",W2843&lt;&gt;""),1,0)</f>
        <v>3</v>
      </c>
      <c r="W2843" s="29"/>
    </row>
    <row r="2844" customFormat="false" ht="15" hidden="false" customHeight="false" outlineLevel="0" collapsed="false">
      <c r="A2844" s="32" t="str">
        <f aca="false">IF(B2844="","",ROW()-7)</f>
        <v/>
      </c>
      <c r="B2844" s="30"/>
      <c r="C2844" s="29"/>
      <c r="D2844" s="29"/>
      <c r="E2844" s="29"/>
      <c r="F2844" s="30"/>
      <c r="G2844" s="29"/>
      <c r="H2844" s="30"/>
      <c r="I2844" s="29"/>
      <c r="J2844" s="30"/>
      <c r="K2844" s="30"/>
      <c r="L2844" s="29"/>
      <c r="M2844" s="32" t="str">
        <f aca="false">IF(OR(C2844="",L2844=""),"",IF(C2844=L2844,"同一","変更"))</f>
        <v/>
      </c>
      <c r="N2844" s="29"/>
      <c r="O2844" s="30"/>
      <c r="P2844" s="29"/>
      <c r="Q2844" s="31"/>
      <c r="R2844" s="29"/>
      <c r="S2844" s="29"/>
      <c r="T2844" s="30"/>
      <c r="U2844" s="47" t="str">
        <f aca="false">IF(AND(B2844&lt;&gt;"",B2844=SW別シート!$C$3),COUNTIF(B$5:B2844,B2844),"")</f>
        <v/>
      </c>
      <c r="V2844" s="47" t="n">
        <f aca="false">V2843+IF(OR(O2844&lt;&gt;"",W2844&lt;&gt;""),1,0)</f>
        <v>3</v>
      </c>
      <c r="W2844" s="29"/>
    </row>
    <row r="2845" customFormat="false" ht="15" hidden="false" customHeight="false" outlineLevel="0" collapsed="false">
      <c r="A2845" s="32" t="str">
        <f aca="false">IF(B2845="","",ROW()-7)</f>
        <v/>
      </c>
      <c r="B2845" s="30"/>
      <c r="C2845" s="29"/>
      <c r="D2845" s="29"/>
      <c r="E2845" s="29"/>
      <c r="F2845" s="30"/>
      <c r="G2845" s="29"/>
      <c r="H2845" s="30"/>
      <c r="I2845" s="29"/>
      <c r="J2845" s="30"/>
      <c r="K2845" s="30"/>
      <c r="L2845" s="29"/>
      <c r="M2845" s="32" t="str">
        <f aca="false">IF(OR(C2845="",L2845=""),"",IF(C2845=L2845,"同一","変更"))</f>
        <v/>
      </c>
      <c r="N2845" s="29"/>
      <c r="O2845" s="30"/>
      <c r="P2845" s="29"/>
      <c r="Q2845" s="31"/>
      <c r="R2845" s="29"/>
      <c r="S2845" s="29"/>
      <c r="T2845" s="30"/>
      <c r="U2845" s="47" t="str">
        <f aca="false">IF(AND(B2845&lt;&gt;"",B2845=SW別シート!$C$3),COUNTIF(B$5:B2845,B2845),"")</f>
        <v/>
      </c>
      <c r="V2845" s="47" t="n">
        <f aca="false">V2844+IF(OR(O2845&lt;&gt;"",W2845&lt;&gt;""),1,0)</f>
        <v>3</v>
      </c>
      <c r="W2845" s="29"/>
    </row>
    <row r="2846" customFormat="false" ht="15" hidden="false" customHeight="false" outlineLevel="0" collapsed="false">
      <c r="A2846" s="32" t="str">
        <f aca="false">IF(B2846="","",ROW()-7)</f>
        <v/>
      </c>
      <c r="B2846" s="30"/>
      <c r="C2846" s="29"/>
      <c r="D2846" s="29"/>
      <c r="E2846" s="29"/>
      <c r="F2846" s="30"/>
      <c r="G2846" s="29"/>
      <c r="H2846" s="30"/>
      <c r="I2846" s="29"/>
      <c r="J2846" s="30"/>
      <c r="K2846" s="30"/>
      <c r="L2846" s="29"/>
      <c r="M2846" s="32" t="str">
        <f aca="false">IF(OR(C2846="",L2846=""),"",IF(C2846=L2846,"同一","変更"))</f>
        <v/>
      </c>
      <c r="N2846" s="29"/>
      <c r="O2846" s="30"/>
      <c r="P2846" s="29"/>
      <c r="Q2846" s="31"/>
      <c r="R2846" s="29"/>
      <c r="S2846" s="29"/>
      <c r="T2846" s="30"/>
      <c r="U2846" s="47" t="str">
        <f aca="false">IF(AND(B2846&lt;&gt;"",B2846=SW別シート!$C$3),COUNTIF(B$5:B2846,B2846),"")</f>
        <v/>
      </c>
      <c r="V2846" s="47" t="n">
        <f aca="false">V2845+IF(OR(O2846&lt;&gt;"",W2846&lt;&gt;""),1,0)</f>
        <v>3</v>
      </c>
      <c r="W2846" s="29"/>
    </row>
    <row r="2847" customFormat="false" ht="15" hidden="false" customHeight="false" outlineLevel="0" collapsed="false">
      <c r="A2847" s="32" t="str">
        <f aca="false">IF(B2847="","",ROW()-7)</f>
        <v/>
      </c>
      <c r="B2847" s="30"/>
      <c r="C2847" s="29"/>
      <c r="D2847" s="29"/>
      <c r="E2847" s="29"/>
      <c r="F2847" s="30"/>
      <c r="G2847" s="29"/>
      <c r="H2847" s="30"/>
      <c r="I2847" s="29"/>
      <c r="J2847" s="30"/>
      <c r="K2847" s="30"/>
      <c r="L2847" s="29"/>
      <c r="M2847" s="32" t="str">
        <f aca="false">IF(OR(C2847="",L2847=""),"",IF(C2847=L2847,"同一","変更"))</f>
        <v/>
      </c>
      <c r="N2847" s="29"/>
      <c r="O2847" s="30"/>
      <c r="P2847" s="29"/>
      <c r="Q2847" s="31"/>
      <c r="R2847" s="29"/>
      <c r="S2847" s="29"/>
      <c r="T2847" s="30"/>
      <c r="U2847" s="47" t="str">
        <f aca="false">IF(AND(B2847&lt;&gt;"",B2847=SW別シート!$C$3),COUNTIF(B$5:B2847,B2847),"")</f>
        <v/>
      </c>
      <c r="V2847" s="47" t="n">
        <f aca="false">V2846+IF(OR(O2847&lt;&gt;"",W2847&lt;&gt;""),1,0)</f>
        <v>3</v>
      </c>
      <c r="W2847" s="29"/>
    </row>
    <row r="2848" customFormat="false" ht="15" hidden="false" customHeight="false" outlineLevel="0" collapsed="false">
      <c r="A2848" s="32" t="str">
        <f aca="false">IF(B2848="","",ROW()-7)</f>
        <v/>
      </c>
      <c r="B2848" s="30"/>
      <c r="C2848" s="29"/>
      <c r="D2848" s="29"/>
      <c r="E2848" s="29"/>
      <c r="F2848" s="30"/>
      <c r="G2848" s="29"/>
      <c r="H2848" s="30"/>
      <c r="I2848" s="29"/>
      <c r="J2848" s="30"/>
      <c r="K2848" s="30"/>
      <c r="L2848" s="29"/>
      <c r="M2848" s="32" t="str">
        <f aca="false">IF(OR(C2848="",L2848=""),"",IF(C2848=L2848,"同一","変更"))</f>
        <v/>
      </c>
      <c r="N2848" s="29"/>
      <c r="O2848" s="30"/>
      <c r="P2848" s="29"/>
      <c r="Q2848" s="31"/>
      <c r="R2848" s="29"/>
      <c r="S2848" s="29"/>
      <c r="T2848" s="30"/>
      <c r="U2848" s="47" t="str">
        <f aca="false">IF(AND(B2848&lt;&gt;"",B2848=SW別シート!$C$3),COUNTIF(B$5:B2848,B2848),"")</f>
        <v/>
      </c>
      <c r="V2848" s="47" t="n">
        <f aca="false">V2847+IF(OR(O2848&lt;&gt;"",W2848&lt;&gt;""),1,0)</f>
        <v>3</v>
      </c>
      <c r="W2848" s="29"/>
    </row>
    <row r="2849" customFormat="false" ht="15" hidden="false" customHeight="false" outlineLevel="0" collapsed="false">
      <c r="A2849" s="32" t="str">
        <f aca="false">IF(B2849="","",ROW()-7)</f>
        <v/>
      </c>
      <c r="B2849" s="30"/>
      <c r="C2849" s="29"/>
      <c r="D2849" s="29"/>
      <c r="E2849" s="29"/>
      <c r="F2849" s="30"/>
      <c r="G2849" s="29"/>
      <c r="H2849" s="30"/>
      <c r="I2849" s="29"/>
      <c r="J2849" s="30"/>
      <c r="K2849" s="30"/>
      <c r="L2849" s="29"/>
      <c r="M2849" s="32" t="str">
        <f aca="false">IF(OR(C2849="",L2849=""),"",IF(C2849=L2849,"同一","変更"))</f>
        <v/>
      </c>
      <c r="N2849" s="29"/>
      <c r="O2849" s="30"/>
      <c r="P2849" s="29"/>
      <c r="Q2849" s="31"/>
      <c r="R2849" s="29"/>
      <c r="S2849" s="29"/>
      <c r="T2849" s="30"/>
      <c r="U2849" s="47" t="str">
        <f aca="false">IF(AND(B2849&lt;&gt;"",B2849=SW別シート!$C$3),COUNTIF(B$5:B2849,B2849),"")</f>
        <v/>
      </c>
      <c r="V2849" s="47" t="n">
        <f aca="false">V2848+IF(OR(O2849&lt;&gt;"",W2849&lt;&gt;""),1,0)</f>
        <v>3</v>
      </c>
      <c r="W2849" s="29"/>
    </row>
    <row r="2850" customFormat="false" ht="15" hidden="false" customHeight="false" outlineLevel="0" collapsed="false">
      <c r="A2850" s="32" t="str">
        <f aca="false">IF(B2850="","",ROW()-7)</f>
        <v/>
      </c>
      <c r="B2850" s="30"/>
      <c r="C2850" s="29"/>
      <c r="D2850" s="29"/>
      <c r="E2850" s="29"/>
      <c r="F2850" s="30"/>
      <c r="G2850" s="29"/>
      <c r="H2850" s="30"/>
      <c r="I2850" s="29"/>
      <c r="J2850" s="30"/>
      <c r="K2850" s="30"/>
      <c r="L2850" s="29"/>
      <c r="M2850" s="32" t="str">
        <f aca="false">IF(OR(C2850="",L2850=""),"",IF(C2850=L2850,"同一","変更"))</f>
        <v/>
      </c>
      <c r="N2850" s="29"/>
      <c r="O2850" s="30"/>
      <c r="P2850" s="29"/>
      <c r="Q2850" s="31"/>
      <c r="R2850" s="29"/>
      <c r="S2850" s="29"/>
      <c r="T2850" s="30"/>
      <c r="U2850" s="47" t="str">
        <f aca="false">IF(AND(B2850&lt;&gt;"",B2850=SW別シート!$C$3),COUNTIF(B$5:B2850,B2850),"")</f>
        <v/>
      </c>
      <c r="V2850" s="47" t="n">
        <f aca="false">V2849+IF(OR(O2850&lt;&gt;"",W2850&lt;&gt;""),1,0)</f>
        <v>3</v>
      </c>
      <c r="W2850" s="29"/>
    </row>
    <row r="2851" customFormat="false" ht="15" hidden="false" customHeight="false" outlineLevel="0" collapsed="false">
      <c r="A2851" s="32" t="str">
        <f aca="false">IF(B2851="","",ROW()-7)</f>
        <v/>
      </c>
      <c r="B2851" s="30"/>
      <c r="C2851" s="29"/>
      <c r="D2851" s="29"/>
      <c r="E2851" s="29"/>
      <c r="F2851" s="30"/>
      <c r="G2851" s="29"/>
      <c r="H2851" s="30"/>
      <c r="I2851" s="29"/>
      <c r="J2851" s="30"/>
      <c r="K2851" s="30"/>
      <c r="L2851" s="29"/>
      <c r="M2851" s="32" t="str">
        <f aca="false">IF(OR(C2851="",L2851=""),"",IF(C2851=L2851,"同一","変更"))</f>
        <v/>
      </c>
      <c r="N2851" s="29"/>
      <c r="O2851" s="30"/>
      <c r="P2851" s="29"/>
      <c r="Q2851" s="31"/>
      <c r="R2851" s="29"/>
      <c r="S2851" s="29"/>
      <c r="T2851" s="30"/>
      <c r="U2851" s="47" t="str">
        <f aca="false">IF(AND(B2851&lt;&gt;"",B2851=SW別シート!$C$3),COUNTIF(B$5:B2851,B2851),"")</f>
        <v/>
      </c>
      <c r="V2851" s="47" t="n">
        <f aca="false">V2850+IF(OR(O2851&lt;&gt;"",W2851&lt;&gt;""),1,0)</f>
        <v>3</v>
      </c>
      <c r="W2851" s="29"/>
    </row>
    <row r="2852" customFormat="false" ht="15" hidden="false" customHeight="false" outlineLevel="0" collapsed="false">
      <c r="A2852" s="32" t="str">
        <f aca="false">IF(B2852="","",ROW()-7)</f>
        <v/>
      </c>
      <c r="B2852" s="30"/>
      <c r="C2852" s="29"/>
      <c r="D2852" s="29"/>
      <c r="E2852" s="29"/>
      <c r="F2852" s="30"/>
      <c r="G2852" s="29"/>
      <c r="H2852" s="30"/>
      <c r="I2852" s="29"/>
      <c r="J2852" s="30"/>
      <c r="K2852" s="30"/>
      <c r="L2852" s="29"/>
      <c r="M2852" s="32" t="str">
        <f aca="false">IF(OR(C2852="",L2852=""),"",IF(C2852=L2852,"同一","変更"))</f>
        <v/>
      </c>
      <c r="N2852" s="29"/>
      <c r="O2852" s="30"/>
      <c r="P2852" s="29"/>
      <c r="Q2852" s="31"/>
      <c r="R2852" s="29"/>
      <c r="S2852" s="29"/>
      <c r="T2852" s="30"/>
      <c r="U2852" s="47" t="str">
        <f aca="false">IF(AND(B2852&lt;&gt;"",B2852=SW別シート!$C$3),COUNTIF(B$5:B2852,B2852),"")</f>
        <v/>
      </c>
      <c r="V2852" s="47" t="n">
        <f aca="false">V2851+IF(OR(O2852&lt;&gt;"",W2852&lt;&gt;""),1,0)</f>
        <v>3</v>
      </c>
      <c r="W2852" s="29"/>
    </row>
    <row r="2853" customFormat="false" ht="15" hidden="false" customHeight="false" outlineLevel="0" collapsed="false">
      <c r="A2853" s="32" t="str">
        <f aca="false">IF(B2853="","",ROW()-7)</f>
        <v/>
      </c>
      <c r="B2853" s="30"/>
      <c r="C2853" s="29"/>
      <c r="D2853" s="29"/>
      <c r="E2853" s="29"/>
      <c r="F2853" s="30"/>
      <c r="G2853" s="29"/>
      <c r="H2853" s="30"/>
      <c r="I2853" s="29"/>
      <c r="J2853" s="30"/>
      <c r="K2853" s="30"/>
      <c r="L2853" s="29"/>
      <c r="M2853" s="32" t="str">
        <f aca="false">IF(OR(C2853="",L2853=""),"",IF(C2853=L2853,"同一","変更"))</f>
        <v/>
      </c>
      <c r="N2853" s="29"/>
      <c r="O2853" s="30"/>
      <c r="P2853" s="29"/>
      <c r="Q2853" s="31"/>
      <c r="R2853" s="29"/>
      <c r="S2853" s="29"/>
      <c r="T2853" s="30"/>
      <c r="U2853" s="47" t="str">
        <f aca="false">IF(AND(B2853&lt;&gt;"",B2853=SW別シート!$C$3),COUNTIF(B$5:B2853,B2853),"")</f>
        <v/>
      </c>
      <c r="V2853" s="47" t="n">
        <f aca="false">V2852+IF(OR(O2853&lt;&gt;"",W2853&lt;&gt;""),1,0)</f>
        <v>3</v>
      </c>
      <c r="W2853" s="29"/>
    </row>
    <row r="2854" customFormat="false" ht="15" hidden="false" customHeight="false" outlineLevel="0" collapsed="false">
      <c r="A2854" s="32" t="str">
        <f aca="false">IF(B2854="","",ROW()-7)</f>
        <v/>
      </c>
      <c r="B2854" s="30"/>
      <c r="C2854" s="29"/>
      <c r="D2854" s="29"/>
      <c r="E2854" s="29"/>
      <c r="F2854" s="30"/>
      <c r="G2854" s="29"/>
      <c r="H2854" s="30"/>
      <c r="I2854" s="29"/>
      <c r="J2854" s="30"/>
      <c r="K2854" s="30"/>
      <c r="L2854" s="29"/>
      <c r="M2854" s="32" t="str">
        <f aca="false">IF(OR(C2854="",L2854=""),"",IF(C2854=L2854,"同一","変更"))</f>
        <v/>
      </c>
      <c r="N2854" s="29"/>
      <c r="O2854" s="30"/>
      <c r="P2854" s="29"/>
      <c r="Q2854" s="31"/>
      <c r="R2854" s="29"/>
      <c r="S2854" s="29"/>
      <c r="T2854" s="30"/>
      <c r="U2854" s="47" t="str">
        <f aca="false">IF(AND(B2854&lt;&gt;"",B2854=SW別シート!$C$3),COUNTIF(B$5:B2854,B2854),"")</f>
        <v/>
      </c>
      <c r="V2854" s="47" t="n">
        <f aca="false">V2853+IF(OR(O2854&lt;&gt;"",W2854&lt;&gt;""),1,0)</f>
        <v>3</v>
      </c>
      <c r="W2854" s="29"/>
    </row>
    <row r="2855" customFormat="false" ht="15" hidden="false" customHeight="false" outlineLevel="0" collapsed="false">
      <c r="A2855" s="32" t="str">
        <f aca="false">IF(B2855="","",ROW()-7)</f>
        <v/>
      </c>
      <c r="B2855" s="30"/>
      <c r="C2855" s="29"/>
      <c r="D2855" s="29"/>
      <c r="E2855" s="29"/>
      <c r="F2855" s="30"/>
      <c r="G2855" s="29"/>
      <c r="H2855" s="30"/>
      <c r="I2855" s="29"/>
      <c r="J2855" s="30"/>
      <c r="K2855" s="30"/>
      <c r="L2855" s="29"/>
      <c r="M2855" s="32" t="str">
        <f aca="false">IF(OR(C2855="",L2855=""),"",IF(C2855=L2855,"同一","変更"))</f>
        <v/>
      </c>
      <c r="N2855" s="29"/>
      <c r="O2855" s="30"/>
      <c r="P2855" s="29"/>
      <c r="Q2855" s="31"/>
      <c r="R2855" s="29"/>
      <c r="S2855" s="29"/>
      <c r="T2855" s="30"/>
      <c r="U2855" s="47" t="str">
        <f aca="false">IF(AND(B2855&lt;&gt;"",B2855=SW別シート!$C$3),COUNTIF(B$5:B2855,B2855),"")</f>
        <v/>
      </c>
      <c r="V2855" s="47" t="n">
        <f aca="false">V2854+IF(OR(O2855&lt;&gt;"",W2855&lt;&gt;""),1,0)</f>
        <v>3</v>
      </c>
      <c r="W2855" s="29"/>
    </row>
    <row r="2856" customFormat="false" ht="15" hidden="false" customHeight="false" outlineLevel="0" collapsed="false">
      <c r="A2856" s="32" t="str">
        <f aca="false">IF(B2856="","",ROW()-7)</f>
        <v/>
      </c>
      <c r="B2856" s="30"/>
      <c r="C2856" s="29"/>
      <c r="D2856" s="29"/>
      <c r="E2856" s="29"/>
      <c r="F2856" s="30"/>
      <c r="G2856" s="29"/>
      <c r="H2856" s="30"/>
      <c r="I2856" s="29"/>
      <c r="J2856" s="30"/>
      <c r="K2856" s="30"/>
      <c r="L2856" s="29"/>
      <c r="M2856" s="32" t="str">
        <f aca="false">IF(OR(C2856="",L2856=""),"",IF(C2856=L2856,"同一","変更"))</f>
        <v/>
      </c>
      <c r="N2856" s="29"/>
      <c r="O2856" s="30"/>
      <c r="P2856" s="29"/>
      <c r="Q2856" s="31"/>
      <c r="R2856" s="29"/>
      <c r="S2856" s="29"/>
      <c r="T2856" s="30"/>
      <c r="U2856" s="47" t="str">
        <f aca="false">IF(AND(B2856&lt;&gt;"",B2856=SW別シート!$C$3),COUNTIF(B$5:B2856,B2856),"")</f>
        <v/>
      </c>
      <c r="V2856" s="47" t="n">
        <f aca="false">V2855+IF(OR(O2856&lt;&gt;"",W2856&lt;&gt;""),1,0)</f>
        <v>3</v>
      </c>
      <c r="W2856" s="29"/>
    </row>
    <row r="2857" customFormat="false" ht="15" hidden="false" customHeight="false" outlineLevel="0" collapsed="false">
      <c r="A2857" s="32" t="str">
        <f aca="false">IF(B2857="","",ROW()-7)</f>
        <v/>
      </c>
      <c r="B2857" s="30"/>
      <c r="C2857" s="29"/>
      <c r="D2857" s="29"/>
      <c r="E2857" s="29"/>
      <c r="F2857" s="30"/>
      <c r="G2857" s="29"/>
      <c r="H2857" s="30"/>
      <c r="I2857" s="29"/>
      <c r="J2857" s="30"/>
      <c r="K2857" s="30"/>
      <c r="L2857" s="29"/>
      <c r="M2857" s="32" t="str">
        <f aca="false">IF(OR(C2857="",L2857=""),"",IF(C2857=L2857,"同一","変更"))</f>
        <v/>
      </c>
      <c r="N2857" s="29"/>
      <c r="O2857" s="30"/>
      <c r="P2857" s="29"/>
      <c r="Q2857" s="31"/>
      <c r="R2857" s="29"/>
      <c r="S2857" s="29"/>
      <c r="T2857" s="30"/>
      <c r="U2857" s="47" t="str">
        <f aca="false">IF(AND(B2857&lt;&gt;"",B2857=SW別シート!$C$3),COUNTIF(B$5:B2857,B2857),"")</f>
        <v/>
      </c>
      <c r="V2857" s="47" t="n">
        <f aca="false">V2856+IF(OR(O2857&lt;&gt;"",W2857&lt;&gt;""),1,0)</f>
        <v>3</v>
      </c>
      <c r="W2857" s="29"/>
    </row>
    <row r="2858" customFormat="false" ht="15" hidden="false" customHeight="false" outlineLevel="0" collapsed="false">
      <c r="A2858" s="32" t="str">
        <f aca="false">IF(B2858="","",ROW()-7)</f>
        <v/>
      </c>
      <c r="B2858" s="30"/>
      <c r="C2858" s="29"/>
      <c r="D2858" s="29"/>
      <c r="E2858" s="29"/>
      <c r="F2858" s="30"/>
      <c r="G2858" s="29"/>
      <c r="H2858" s="30"/>
      <c r="I2858" s="29"/>
      <c r="J2858" s="30"/>
      <c r="K2858" s="30"/>
      <c r="L2858" s="29"/>
      <c r="M2858" s="32" t="str">
        <f aca="false">IF(OR(C2858="",L2858=""),"",IF(C2858=L2858,"同一","変更"))</f>
        <v/>
      </c>
      <c r="N2858" s="29"/>
      <c r="O2858" s="30"/>
      <c r="P2858" s="29"/>
      <c r="Q2858" s="31"/>
      <c r="R2858" s="29"/>
      <c r="S2858" s="29"/>
      <c r="T2858" s="30"/>
      <c r="U2858" s="47" t="str">
        <f aca="false">IF(AND(B2858&lt;&gt;"",B2858=SW別シート!$C$3),COUNTIF(B$5:B2858,B2858),"")</f>
        <v/>
      </c>
      <c r="V2858" s="47" t="n">
        <f aca="false">V2857+IF(OR(O2858&lt;&gt;"",W2858&lt;&gt;""),1,0)</f>
        <v>3</v>
      </c>
      <c r="W2858" s="29"/>
    </row>
    <row r="2859" customFormat="false" ht="15" hidden="false" customHeight="false" outlineLevel="0" collapsed="false">
      <c r="A2859" s="32" t="str">
        <f aca="false">IF(B2859="","",ROW()-7)</f>
        <v/>
      </c>
      <c r="B2859" s="30"/>
      <c r="C2859" s="29"/>
      <c r="D2859" s="29"/>
      <c r="E2859" s="29"/>
      <c r="F2859" s="30"/>
      <c r="G2859" s="29"/>
      <c r="H2859" s="30"/>
      <c r="I2859" s="29"/>
      <c r="J2859" s="30"/>
      <c r="K2859" s="30"/>
      <c r="L2859" s="29"/>
      <c r="M2859" s="32" t="str">
        <f aca="false">IF(OR(C2859="",L2859=""),"",IF(C2859=L2859,"同一","変更"))</f>
        <v/>
      </c>
      <c r="N2859" s="29"/>
      <c r="O2859" s="30"/>
      <c r="P2859" s="29"/>
      <c r="Q2859" s="31"/>
      <c r="R2859" s="29"/>
      <c r="S2859" s="29"/>
      <c r="T2859" s="30"/>
      <c r="U2859" s="47" t="str">
        <f aca="false">IF(AND(B2859&lt;&gt;"",B2859=SW別シート!$C$3),COUNTIF(B$5:B2859,B2859),"")</f>
        <v/>
      </c>
      <c r="V2859" s="47" t="n">
        <f aca="false">V2858+IF(OR(O2859&lt;&gt;"",W2859&lt;&gt;""),1,0)</f>
        <v>3</v>
      </c>
      <c r="W2859" s="29"/>
    </row>
    <row r="2860" customFormat="false" ht="15" hidden="false" customHeight="false" outlineLevel="0" collapsed="false">
      <c r="A2860" s="32" t="str">
        <f aca="false">IF(B2860="","",ROW()-7)</f>
        <v/>
      </c>
      <c r="B2860" s="30"/>
      <c r="C2860" s="29"/>
      <c r="D2860" s="29"/>
      <c r="E2860" s="29"/>
      <c r="F2860" s="30"/>
      <c r="G2860" s="29"/>
      <c r="H2860" s="30"/>
      <c r="I2860" s="29"/>
      <c r="J2860" s="30"/>
      <c r="K2860" s="30"/>
      <c r="L2860" s="29"/>
      <c r="M2860" s="32" t="str">
        <f aca="false">IF(OR(C2860="",L2860=""),"",IF(C2860=L2860,"同一","変更"))</f>
        <v/>
      </c>
      <c r="N2860" s="29"/>
      <c r="O2860" s="30"/>
      <c r="P2860" s="29"/>
      <c r="Q2860" s="31"/>
      <c r="R2860" s="29"/>
      <c r="S2860" s="29"/>
      <c r="T2860" s="30"/>
      <c r="U2860" s="47" t="str">
        <f aca="false">IF(AND(B2860&lt;&gt;"",B2860=SW別シート!$C$3),COUNTIF(B$5:B2860,B2860),"")</f>
        <v/>
      </c>
      <c r="V2860" s="47" t="n">
        <f aca="false">V2859+IF(OR(O2860&lt;&gt;"",W2860&lt;&gt;""),1,0)</f>
        <v>3</v>
      </c>
      <c r="W2860" s="29"/>
    </row>
    <row r="2861" customFormat="false" ht="15" hidden="false" customHeight="false" outlineLevel="0" collapsed="false">
      <c r="A2861" s="32" t="str">
        <f aca="false">IF(B2861="","",ROW()-7)</f>
        <v/>
      </c>
      <c r="B2861" s="30"/>
      <c r="C2861" s="29"/>
      <c r="D2861" s="29"/>
      <c r="E2861" s="29"/>
      <c r="F2861" s="30"/>
      <c r="G2861" s="29"/>
      <c r="H2861" s="30"/>
      <c r="I2861" s="29"/>
      <c r="J2861" s="30"/>
      <c r="K2861" s="30"/>
      <c r="L2861" s="29"/>
      <c r="M2861" s="32" t="str">
        <f aca="false">IF(OR(C2861="",L2861=""),"",IF(C2861=L2861,"同一","変更"))</f>
        <v/>
      </c>
      <c r="N2861" s="29"/>
      <c r="O2861" s="30"/>
      <c r="P2861" s="29"/>
      <c r="Q2861" s="31"/>
      <c r="R2861" s="29"/>
      <c r="S2861" s="29"/>
      <c r="T2861" s="30"/>
      <c r="U2861" s="47" t="str">
        <f aca="false">IF(AND(B2861&lt;&gt;"",B2861=SW別シート!$C$3),COUNTIF(B$5:B2861,B2861),"")</f>
        <v/>
      </c>
      <c r="V2861" s="47" t="n">
        <f aca="false">V2860+IF(OR(O2861&lt;&gt;"",W2861&lt;&gt;""),1,0)</f>
        <v>3</v>
      </c>
      <c r="W2861" s="29"/>
    </row>
    <row r="2862" customFormat="false" ht="15" hidden="false" customHeight="false" outlineLevel="0" collapsed="false">
      <c r="A2862" s="32" t="str">
        <f aca="false">IF(B2862="","",ROW()-7)</f>
        <v/>
      </c>
      <c r="B2862" s="30"/>
      <c r="C2862" s="29"/>
      <c r="D2862" s="29"/>
      <c r="E2862" s="29"/>
      <c r="F2862" s="30"/>
      <c r="G2862" s="29"/>
      <c r="H2862" s="30"/>
      <c r="I2862" s="29"/>
      <c r="J2862" s="30"/>
      <c r="K2862" s="30"/>
      <c r="L2862" s="29"/>
      <c r="M2862" s="32" t="str">
        <f aca="false">IF(OR(C2862="",L2862=""),"",IF(C2862=L2862,"同一","変更"))</f>
        <v/>
      </c>
      <c r="N2862" s="29"/>
      <c r="O2862" s="30"/>
      <c r="P2862" s="29"/>
      <c r="Q2862" s="31"/>
      <c r="R2862" s="29"/>
      <c r="S2862" s="29"/>
      <c r="T2862" s="30"/>
      <c r="U2862" s="47" t="str">
        <f aca="false">IF(AND(B2862&lt;&gt;"",B2862=SW別シート!$C$3),COUNTIF(B$5:B2862,B2862),"")</f>
        <v/>
      </c>
      <c r="V2862" s="47" t="n">
        <f aca="false">V2861+IF(OR(O2862&lt;&gt;"",W2862&lt;&gt;""),1,0)</f>
        <v>3</v>
      </c>
      <c r="W2862" s="29"/>
    </row>
    <row r="2863" customFormat="false" ht="15" hidden="false" customHeight="false" outlineLevel="0" collapsed="false">
      <c r="A2863" s="32" t="str">
        <f aca="false">IF(B2863="","",ROW()-7)</f>
        <v/>
      </c>
      <c r="B2863" s="30"/>
      <c r="C2863" s="29"/>
      <c r="D2863" s="29"/>
      <c r="E2863" s="29"/>
      <c r="F2863" s="30"/>
      <c r="G2863" s="29"/>
      <c r="H2863" s="30"/>
      <c r="I2863" s="29"/>
      <c r="J2863" s="30"/>
      <c r="K2863" s="30"/>
      <c r="L2863" s="29"/>
      <c r="M2863" s="32" t="str">
        <f aca="false">IF(OR(C2863="",L2863=""),"",IF(C2863=L2863,"同一","変更"))</f>
        <v/>
      </c>
      <c r="N2863" s="29"/>
      <c r="O2863" s="30"/>
      <c r="P2863" s="29"/>
      <c r="Q2863" s="31"/>
      <c r="R2863" s="29"/>
      <c r="S2863" s="29"/>
      <c r="T2863" s="30"/>
      <c r="U2863" s="47" t="str">
        <f aca="false">IF(AND(B2863&lt;&gt;"",B2863=SW別シート!$C$3),COUNTIF(B$5:B2863,B2863),"")</f>
        <v/>
      </c>
      <c r="V2863" s="47" t="n">
        <f aca="false">V2862+IF(OR(O2863&lt;&gt;"",W2863&lt;&gt;""),1,0)</f>
        <v>3</v>
      </c>
      <c r="W2863" s="29"/>
    </row>
    <row r="2864" customFormat="false" ht="15" hidden="false" customHeight="false" outlineLevel="0" collapsed="false">
      <c r="A2864" s="32" t="str">
        <f aca="false">IF(B2864="","",ROW()-7)</f>
        <v/>
      </c>
      <c r="B2864" s="30"/>
      <c r="C2864" s="29"/>
      <c r="D2864" s="29"/>
      <c r="E2864" s="29"/>
      <c r="F2864" s="30"/>
      <c r="G2864" s="29"/>
      <c r="H2864" s="30"/>
      <c r="I2864" s="29"/>
      <c r="J2864" s="30"/>
      <c r="K2864" s="30"/>
      <c r="L2864" s="29"/>
      <c r="M2864" s="32" t="str">
        <f aca="false">IF(OR(C2864="",L2864=""),"",IF(C2864=L2864,"同一","変更"))</f>
        <v/>
      </c>
      <c r="N2864" s="29"/>
      <c r="O2864" s="30"/>
      <c r="P2864" s="29"/>
      <c r="Q2864" s="31"/>
      <c r="R2864" s="29"/>
      <c r="S2864" s="29"/>
      <c r="T2864" s="30"/>
      <c r="U2864" s="47" t="str">
        <f aca="false">IF(AND(B2864&lt;&gt;"",B2864=SW別シート!$C$3),COUNTIF(B$5:B2864,B2864),"")</f>
        <v/>
      </c>
      <c r="V2864" s="47" t="n">
        <f aca="false">V2863+IF(OR(O2864&lt;&gt;"",W2864&lt;&gt;""),1,0)</f>
        <v>3</v>
      </c>
      <c r="W2864" s="29"/>
    </row>
    <row r="2865" customFormat="false" ht="15" hidden="false" customHeight="false" outlineLevel="0" collapsed="false">
      <c r="A2865" s="32" t="str">
        <f aca="false">IF(B2865="","",ROW()-7)</f>
        <v/>
      </c>
      <c r="B2865" s="30"/>
      <c r="C2865" s="29"/>
      <c r="D2865" s="29"/>
      <c r="E2865" s="29"/>
      <c r="F2865" s="30"/>
      <c r="G2865" s="29"/>
      <c r="H2865" s="30"/>
      <c r="I2865" s="29"/>
      <c r="J2865" s="30"/>
      <c r="K2865" s="30"/>
      <c r="L2865" s="29"/>
      <c r="M2865" s="32" t="str">
        <f aca="false">IF(OR(C2865="",L2865=""),"",IF(C2865=L2865,"同一","変更"))</f>
        <v/>
      </c>
      <c r="N2865" s="29"/>
      <c r="O2865" s="30"/>
      <c r="P2865" s="29"/>
      <c r="Q2865" s="31"/>
      <c r="R2865" s="29"/>
      <c r="S2865" s="29"/>
      <c r="T2865" s="30"/>
      <c r="U2865" s="47" t="str">
        <f aca="false">IF(AND(B2865&lt;&gt;"",B2865=SW別シート!$C$3),COUNTIF(B$5:B2865,B2865),"")</f>
        <v/>
      </c>
      <c r="V2865" s="47" t="n">
        <f aca="false">V2864+IF(OR(O2865&lt;&gt;"",W2865&lt;&gt;""),1,0)</f>
        <v>3</v>
      </c>
      <c r="W2865" s="29"/>
    </row>
    <row r="2866" customFormat="false" ht="15" hidden="false" customHeight="false" outlineLevel="0" collapsed="false">
      <c r="A2866" s="32" t="str">
        <f aca="false">IF(B2866="","",ROW()-7)</f>
        <v/>
      </c>
      <c r="B2866" s="30"/>
      <c r="C2866" s="29"/>
      <c r="D2866" s="29"/>
      <c r="E2866" s="29"/>
      <c r="F2866" s="30"/>
      <c r="G2866" s="29"/>
      <c r="H2866" s="30"/>
      <c r="I2866" s="29"/>
      <c r="J2866" s="30"/>
      <c r="K2866" s="30"/>
      <c r="L2866" s="29"/>
      <c r="M2866" s="32" t="str">
        <f aca="false">IF(OR(C2866="",L2866=""),"",IF(C2866=L2866,"同一","変更"))</f>
        <v/>
      </c>
      <c r="N2866" s="29"/>
      <c r="O2866" s="30"/>
      <c r="P2866" s="29"/>
      <c r="Q2866" s="31"/>
      <c r="R2866" s="29"/>
      <c r="S2866" s="29"/>
      <c r="T2866" s="30"/>
      <c r="U2866" s="47" t="str">
        <f aca="false">IF(AND(B2866&lt;&gt;"",B2866=SW別シート!$C$3),COUNTIF(B$5:B2866,B2866),"")</f>
        <v/>
      </c>
      <c r="V2866" s="47" t="n">
        <f aca="false">V2865+IF(OR(O2866&lt;&gt;"",W2866&lt;&gt;""),1,0)</f>
        <v>3</v>
      </c>
      <c r="W2866" s="29"/>
    </row>
    <row r="2867" customFormat="false" ht="15" hidden="false" customHeight="false" outlineLevel="0" collapsed="false">
      <c r="A2867" s="32" t="str">
        <f aca="false">IF(B2867="","",ROW()-7)</f>
        <v/>
      </c>
      <c r="B2867" s="30"/>
      <c r="C2867" s="29"/>
      <c r="D2867" s="29"/>
      <c r="E2867" s="29"/>
      <c r="F2867" s="30"/>
      <c r="G2867" s="29"/>
      <c r="H2867" s="30"/>
      <c r="I2867" s="29"/>
      <c r="J2867" s="30"/>
      <c r="K2867" s="30"/>
      <c r="L2867" s="29"/>
      <c r="M2867" s="32" t="str">
        <f aca="false">IF(OR(C2867="",L2867=""),"",IF(C2867=L2867,"同一","変更"))</f>
        <v/>
      </c>
      <c r="N2867" s="29"/>
      <c r="O2867" s="30"/>
      <c r="P2867" s="29"/>
      <c r="Q2867" s="31"/>
      <c r="R2867" s="29"/>
      <c r="S2867" s="29"/>
      <c r="T2867" s="30"/>
      <c r="U2867" s="47" t="str">
        <f aca="false">IF(AND(B2867&lt;&gt;"",B2867=SW別シート!$C$3),COUNTIF(B$5:B2867,B2867),"")</f>
        <v/>
      </c>
      <c r="V2867" s="47" t="n">
        <f aca="false">V2866+IF(OR(O2867&lt;&gt;"",W2867&lt;&gt;""),1,0)</f>
        <v>3</v>
      </c>
      <c r="W2867" s="29"/>
    </row>
    <row r="2868" customFormat="false" ht="15" hidden="false" customHeight="false" outlineLevel="0" collapsed="false">
      <c r="A2868" s="32" t="str">
        <f aca="false">IF(B2868="","",ROW()-7)</f>
        <v/>
      </c>
      <c r="B2868" s="30"/>
      <c r="C2868" s="29"/>
      <c r="D2868" s="29"/>
      <c r="E2868" s="29"/>
      <c r="F2868" s="30"/>
      <c r="G2868" s="29"/>
      <c r="H2868" s="30"/>
      <c r="I2868" s="29"/>
      <c r="J2868" s="30"/>
      <c r="K2868" s="30"/>
      <c r="L2868" s="29"/>
      <c r="M2868" s="32" t="str">
        <f aca="false">IF(OR(C2868="",L2868=""),"",IF(C2868=L2868,"同一","変更"))</f>
        <v/>
      </c>
      <c r="N2868" s="29"/>
      <c r="O2868" s="30"/>
      <c r="P2868" s="29"/>
      <c r="Q2868" s="31"/>
      <c r="R2868" s="29"/>
      <c r="S2868" s="29"/>
      <c r="T2868" s="30"/>
      <c r="U2868" s="47" t="str">
        <f aca="false">IF(AND(B2868&lt;&gt;"",B2868=SW別シート!$C$3),COUNTIF(B$5:B2868,B2868),"")</f>
        <v/>
      </c>
      <c r="V2868" s="47" t="n">
        <f aca="false">V2867+IF(OR(O2868&lt;&gt;"",W2868&lt;&gt;""),1,0)</f>
        <v>3</v>
      </c>
      <c r="W2868" s="29"/>
    </row>
    <row r="2869" customFormat="false" ht="15" hidden="false" customHeight="false" outlineLevel="0" collapsed="false">
      <c r="A2869" s="32" t="str">
        <f aca="false">IF(B2869="","",ROW()-7)</f>
        <v/>
      </c>
      <c r="B2869" s="30"/>
      <c r="C2869" s="29"/>
      <c r="D2869" s="29"/>
      <c r="E2869" s="29"/>
      <c r="F2869" s="30"/>
      <c r="G2869" s="29"/>
      <c r="H2869" s="30"/>
      <c r="I2869" s="29"/>
      <c r="J2869" s="30"/>
      <c r="K2869" s="30"/>
      <c r="L2869" s="29"/>
      <c r="M2869" s="32" t="str">
        <f aca="false">IF(OR(C2869="",L2869=""),"",IF(C2869=L2869,"同一","変更"))</f>
        <v/>
      </c>
      <c r="N2869" s="29"/>
      <c r="O2869" s="30"/>
      <c r="P2869" s="29"/>
      <c r="Q2869" s="31"/>
      <c r="R2869" s="29"/>
      <c r="S2869" s="29"/>
      <c r="T2869" s="30"/>
      <c r="U2869" s="47" t="str">
        <f aca="false">IF(AND(B2869&lt;&gt;"",B2869=SW別シート!$C$3),COUNTIF(B$5:B2869,B2869),"")</f>
        <v/>
      </c>
      <c r="V2869" s="47" t="n">
        <f aca="false">V2868+IF(OR(O2869&lt;&gt;"",W2869&lt;&gt;""),1,0)</f>
        <v>3</v>
      </c>
      <c r="W2869" s="29"/>
    </row>
    <row r="2870" customFormat="false" ht="15" hidden="false" customHeight="false" outlineLevel="0" collapsed="false">
      <c r="A2870" s="32" t="str">
        <f aca="false">IF(B2870="","",ROW()-7)</f>
        <v/>
      </c>
      <c r="B2870" s="30"/>
      <c r="C2870" s="29"/>
      <c r="D2870" s="29"/>
      <c r="E2870" s="29"/>
      <c r="F2870" s="30"/>
      <c r="G2870" s="29"/>
      <c r="H2870" s="30"/>
      <c r="I2870" s="29"/>
      <c r="J2870" s="30"/>
      <c r="K2870" s="30"/>
      <c r="L2870" s="29"/>
      <c r="M2870" s="32" t="str">
        <f aca="false">IF(OR(C2870="",L2870=""),"",IF(C2870=L2870,"同一","変更"))</f>
        <v/>
      </c>
      <c r="N2870" s="29"/>
      <c r="O2870" s="30"/>
      <c r="P2870" s="29"/>
      <c r="Q2870" s="31"/>
      <c r="R2870" s="29"/>
      <c r="S2870" s="29"/>
      <c r="T2870" s="30"/>
      <c r="U2870" s="47" t="str">
        <f aca="false">IF(AND(B2870&lt;&gt;"",B2870=SW別シート!$C$3),COUNTIF(B$5:B2870,B2870),"")</f>
        <v/>
      </c>
      <c r="V2870" s="47" t="n">
        <f aca="false">V2869+IF(OR(O2870&lt;&gt;"",W2870&lt;&gt;""),1,0)</f>
        <v>3</v>
      </c>
      <c r="W2870" s="29"/>
    </row>
    <row r="2871" customFormat="false" ht="15" hidden="false" customHeight="false" outlineLevel="0" collapsed="false">
      <c r="A2871" s="32" t="str">
        <f aca="false">IF(B2871="","",ROW()-7)</f>
        <v/>
      </c>
      <c r="B2871" s="30"/>
      <c r="C2871" s="29"/>
      <c r="D2871" s="29"/>
      <c r="E2871" s="29"/>
      <c r="F2871" s="30"/>
      <c r="G2871" s="29"/>
      <c r="H2871" s="30"/>
      <c r="I2871" s="29"/>
      <c r="J2871" s="30"/>
      <c r="K2871" s="30"/>
      <c r="L2871" s="29"/>
      <c r="M2871" s="32" t="str">
        <f aca="false">IF(OR(C2871="",L2871=""),"",IF(C2871=L2871,"同一","変更"))</f>
        <v/>
      </c>
      <c r="N2871" s="29"/>
      <c r="O2871" s="30"/>
      <c r="P2871" s="29"/>
      <c r="Q2871" s="31"/>
      <c r="R2871" s="29"/>
      <c r="S2871" s="29"/>
      <c r="T2871" s="30"/>
      <c r="U2871" s="47" t="str">
        <f aca="false">IF(AND(B2871&lt;&gt;"",B2871=SW別シート!$C$3),COUNTIF(B$5:B2871,B2871),"")</f>
        <v/>
      </c>
      <c r="V2871" s="47" t="n">
        <f aca="false">V2870+IF(OR(O2871&lt;&gt;"",W2871&lt;&gt;""),1,0)</f>
        <v>3</v>
      </c>
      <c r="W2871" s="29"/>
    </row>
    <row r="2872" customFormat="false" ht="15" hidden="false" customHeight="false" outlineLevel="0" collapsed="false">
      <c r="A2872" s="32" t="str">
        <f aca="false">IF(B2872="","",ROW()-7)</f>
        <v/>
      </c>
      <c r="B2872" s="30"/>
      <c r="C2872" s="29"/>
      <c r="D2872" s="29"/>
      <c r="E2872" s="29"/>
      <c r="F2872" s="30"/>
      <c r="G2872" s="29"/>
      <c r="H2872" s="30"/>
      <c r="I2872" s="29"/>
      <c r="J2872" s="30"/>
      <c r="K2872" s="30"/>
      <c r="L2872" s="29"/>
      <c r="M2872" s="32" t="str">
        <f aca="false">IF(OR(C2872="",L2872=""),"",IF(C2872=L2872,"同一","変更"))</f>
        <v/>
      </c>
      <c r="N2872" s="29"/>
      <c r="O2872" s="30"/>
      <c r="P2872" s="29"/>
      <c r="Q2872" s="31"/>
      <c r="R2872" s="29"/>
      <c r="S2872" s="29"/>
      <c r="T2872" s="30"/>
      <c r="U2872" s="47" t="str">
        <f aca="false">IF(AND(B2872&lt;&gt;"",B2872=SW別シート!$C$3),COUNTIF(B$5:B2872,B2872),"")</f>
        <v/>
      </c>
      <c r="V2872" s="47" t="n">
        <f aca="false">V2871+IF(OR(O2872&lt;&gt;"",W2872&lt;&gt;""),1,0)</f>
        <v>3</v>
      </c>
      <c r="W2872" s="29"/>
    </row>
    <row r="2873" customFormat="false" ht="15" hidden="false" customHeight="false" outlineLevel="0" collapsed="false">
      <c r="A2873" s="32" t="str">
        <f aca="false">IF(B2873="","",ROW()-7)</f>
        <v/>
      </c>
      <c r="B2873" s="30"/>
      <c r="C2873" s="29"/>
      <c r="D2873" s="29"/>
      <c r="E2873" s="29"/>
      <c r="F2873" s="30"/>
      <c r="G2873" s="29"/>
      <c r="H2873" s="30"/>
      <c r="I2873" s="29"/>
      <c r="J2873" s="30"/>
      <c r="K2873" s="30"/>
      <c r="L2873" s="29"/>
      <c r="M2873" s="32" t="str">
        <f aca="false">IF(OR(C2873="",L2873=""),"",IF(C2873=L2873,"同一","変更"))</f>
        <v/>
      </c>
      <c r="N2873" s="29"/>
      <c r="O2873" s="30"/>
      <c r="P2873" s="29"/>
      <c r="Q2873" s="31"/>
      <c r="R2873" s="29"/>
      <c r="S2873" s="29"/>
      <c r="T2873" s="30"/>
      <c r="U2873" s="47" t="str">
        <f aca="false">IF(AND(B2873&lt;&gt;"",B2873=SW別シート!$C$3),COUNTIF(B$5:B2873,B2873),"")</f>
        <v/>
      </c>
      <c r="V2873" s="47" t="n">
        <f aca="false">V2872+IF(OR(O2873&lt;&gt;"",W2873&lt;&gt;""),1,0)</f>
        <v>3</v>
      </c>
      <c r="W2873" s="29"/>
    </row>
    <row r="2874" customFormat="false" ht="15" hidden="false" customHeight="false" outlineLevel="0" collapsed="false">
      <c r="A2874" s="32" t="str">
        <f aca="false">IF(B2874="","",ROW()-7)</f>
        <v/>
      </c>
      <c r="B2874" s="30"/>
      <c r="C2874" s="29"/>
      <c r="D2874" s="29"/>
      <c r="E2874" s="29"/>
      <c r="F2874" s="30"/>
      <c r="G2874" s="29"/>
      <c r="H2874" s="30"/>
      <c r="I2874" s="29"/>
      <c r="J2874" s="30"/>
      <c r="K2874" s="30"/>
      <c r="L2874" s="29"/>
      <c r="M2874" s="32" t="str">
        <f aca="false">IF(OR(C2874="",L2874=""),"",IF(C2874=L2874,"同一","変更"))</f>
        <v/>
      </c>
      <c r="N2874" s="29"/>
      <c r="O2874" s="30"/>
      <c r="P2874" s="29"/>
      <c r="Q2874" s="31"/>
      <c r="R2874" s="29"/>
      <c r="S2874" s="29"/>
      <c r="T2874" s="30"/>
      <c r="U2874" s="47" t="str">
        <f aca="false">IF(AND(B2874&lt;&gt;"",B2874=SW別シート!$C$3),COUNTIF(B$5:B2874,B2874),"")</f>
        <v/>
      </c>
      <c r="V2874" s="47" t="n">
        <f aca="false">V2873+IF(OR(O2874&lt;&gt;"",W2874&lt;&gt;""),1,0)</f>
        <v>3</v>
      </c>
      <c r="W2874" s="29"/>
    </row>
    <row r="2875" customFormat="false" ht="15" hidden="false" customHeight="false" outlineLevel="0" collapsed="false">
      <c r="A2875" s="32" t="str">
        <f aca="false">IF(B2875="","",ROW()-7)</f>
        <v/>
      </c>
      <c r="B2875" s="30"/>
      <c r="C2875" s="29"/>
      <c r="D2875" s="29"/>
      <c r="E2875" s="29"/>
      <c r="F2875" s="30"/>
      <c r="G2875" s="29"/>
      <c r="H2875" s="30"/>
      <c r="I2875" s="29"/>
      <c r="J2875" s="30"/>
      <c r="K2875" s="30"/>
      <c r="L2875" s="29"/>
      <c r="M2875" s="32" t="str">
        <f aca="false">IF(OR(C2875="",L2875=""),"",IF(C2875=L2875,"同一","変更"))</f>
        <v/>
      </c>
      <c r="N2875" s="29"/>
      <c r="O2875" s="30"/>
      <c r="P2875" s="29"/>
      <c r="Q2875" s="31"/>
      <c r="R2875" s="29"/>
      <c r="S2875" s="29"/>
      <c r="T2875" s="30"/>
      <c r="U2875" s="47" t="str">
        <f aca="false">IF(AND(B2875&lt;&gt;"",B2875=SW別シート!$C$3),COUNTIF(B$5:B2875,B2875),"")</f>
        <v/>
      </c>
      <c r="V2875" s="47" t="n">
        <f aca="false">V2874+IF(OR(O2875&lt;&gt;"",W2875&lt;&gt;""),1,0)</f>
        <v>3</v>
      </c>
      <c r="W2875" s="29"/>
    </row>
    <row r="2876" customFormat="false" ht="15" hidden="false" customHeight="false" outlineLevel="0" collapsed="false">
      <c r="A2876" s="32" t="str">
        <f aca="false">IF(B2876="","",ROW()-7)</f>
        <v/>
      </c>
      <c r="B2876" s="30"/>
      <c r="C2876" s="29"/>
      <c r="D2876" s="29"/>
      <c r="E2876" s="29"/>
      <c r="F2876" s="30"/>
      <c r="G2876" s="29"/>
      <c r="H2876" s="30"/>
      <c r="I2876" s="29"/>
      <c r="J2876" s="30"/>
      <c r="K2876" s="30"/>
      <c r="L2876" s="29"/>
      <c r="M2876" s="32" t="str">
        <f aca="false">IF(OR(C2876="",L2876=""),"",IF(C2876=L2876,"同一","変更"))</f>
        <v/>
      </c>
      <c r="N2876" s="29"/>
      <c r="O2876" s="30"/>
      <c r="P2876" s="29"/>
      <c r="Q2876" s="31"/>
      <c r="R2876" s="29"/>
      <c r="S2876" s="29"/>
      <c r="T2876" s="30"/>
      <c r="U2876" s="47" t="str">
        <f aca="false">IF(AND(B2876&lt;&gt;"",B2876=SW別シート!$C$3),COUNTIF(B$5:B2876,B2876),"")</f>
        <v/>
      </c>
      <c r="V2876" s="47" t="n">
        <f aca="false">V2875+IF(OR(O2876&lt;&gt;"",W2876&lt;&gt;""),1,0)</f>
        <v>3</v>
      </c>
      <c r="W2876" s="29"/>
    </row>
    <row r="2877" customFormat="false" ht="15" hidden="false" customHeight="false" outlineLevel="0" collapsed="false">
      <c r="A2877" s="32" t="str">
        <f aca="false">IF(B2877="","",ROW()-7)</f>
        <v/>
      </c>
      <c r="B2877" s="30"/>
      <c r="C2877" s="29"/>
      <c r="D2877" s="29"/>
      <c r="E2877" s="29"/>
      <c r="F2877" s="30"/>
      <c r="G2877" s="29"/>
      <c r="H2877" s="30"/>
      <c r="I2877" s="29"/>
      <c r="J2877" s="30"/>
      <c r="K2877" s="30"/>
      <c r="L2877" s="29"/>
      <c r="M2877" s="32" t="str">
        <f aca="false">IF(OR(C2877="",L2877=""),"",IF(C2877=L2877,"同一","変更"))</f>
        <v/>
      </c>
      <c r="N2877" s="29"/>
      <c r="O2877" s="30"/>
      <c r="P2877" s="29"/>
      <c r="Q2877" s="31"/>
      <c r="R2877" s="29"/>
      <c r="S2877" s="29"/>
      <c r="T2877" s="30"/>
      <c r="U2877" s="47" t="str">
        <f aca="false">IF(AND(B2877&lt;&gt;"",B2877=SW別シート!$C$3),COUNTIF(B$5:B2877,B2877),"")</f>
        <v/>
      </c>
      <c r="V2877" s="47" t="n">
        <f aca="false">V2876+IF(OR(O2877&lt;&gt;"",W2877&lt;&gt;""),1,0)</f>
        <v>3</v>
      </c>
      <c r="W2877" s="29"/>
    </row>
    <row r="2878" customFormat="false" ht="15" hidden="false" customHeight="false" outlineLevel="0" collapsed="false">
      <c r="A2878" s="32" t="str">
        <f aca="false">IF(B2878="","",ROW()-7)</f>
        <v/>
      </c>
      <c r="B2878" s="30"/>
      <c r="C2878" s="29"/>
      <c r="D2878" s="29"/>
      <c r="E2878" s="29"/>
      <c r="F2878" s="30"/>
      <c r="G2878" s="29"/>
      <c r="H2878" s="30"/>
      <c r="I2878" s="29"/>
      <c r="J2878" s="30"/>
      <c r="K2878" s="30"/>
      <c r="L2878" s="29"/>
      <c r="M2878" s="32" t="str">
        <f aca="false">IF(OR(C2878="",L2878=""),"",IF(C2878=L2878,"同一","変更"))</f>
        <v/>
      </c>
      <c r="N2878" s="29"/>
      <c r="O2878" s="30"/>
      <c r="P2878" s="29"/>
      <c r="Q2878" s="31"/>
      <c r="R2878" s="29"/>
      <c r="S2878" s="29"/>
      <c r="T2878" s="30"/>
      <c r="U2878" s="47" t="str">
        <f aca="false">IF(AND(B2878&lt;&gt;"",B2878=SW別シート!$C$3),COUNTIF(B$5:B2878,B2878),"")</f>
        <v/>
      </c>
      <c r="V2878" s="47" t="n">
        <f aca="false">V2877+IF(OR(O2878&lt;&gt;"",W2878&lt;&gt;""),1,0)</f>
        <v>3</v>
      </c>
      <c r="W2878" s="29"/>
    </row>
    <row r="2879" customFormat="false" ht="15" hidden="false" customHeight="false" outlineLevel="0" collapsed="false">
      <c r="A2879" s="32" t="str">
        <f aca="false">IF(B2879="","",ROW()-7)</f>
        <v/>
      </c>
      <c r="B2879" s="30"/>
      <c r="C2879" s="29"/>
      <c r="D2879" s="29"/>
      <c r="E2879" s="29"/>
      <c r="F2879" s="30"/>
      <c r="G2879" s="29"/>
      <c r="H2879" s="30"/>
      <c r="I2879" s="29"/>
      <c r="J2879" s="30"/>
      <c r="K2879" s="30"/>
      <c r="L2879" s="29"/>
      <c r="M2879" s="32" t="str">
        <f aca="false">IF(OR(C2879="",L2879=""),"",IF(C2879=L2879,"同一","変更"))</f>
        <v/>
      </c>
      <c r="N2879" s="29"/>
      <c r="O2879" s="30"/>
      <c r="P2879" s="29"/>
      <c r="Q2879" s="31"/>
      <c r="R2879" s="29"/>
      <c r="S2879" s="29"/>
      <c r="T2879" s="30"/>
      <c r="U2879" s="47" t="str">
        <f aca="false">IF(AND(B2879&lt;&gt;"",B2879=SW別シート!$C$3),COUNTIF(B$5:B2879,B2879),"")</f>
        <v/>
      </c>
      <c r="V2879" s="47" t="n">
        <f aca="false">V2878+IF(OR(O2879&lt;&gt;"",W2879&lt;&gt;""),1,0)</f>
        <v>3</v>
      </c>
      <c r="W2879" s="29"/>
    </row>
    <row r="2880" customFormat="false" ht="15" hidden="false" customHeight="false" outlineLevel="0" collapsed="false">
      <c r="A2880" s="32" t="str">
        <f aca="false">IF(B2880="","",ROW()-7)</f>
        <v/>
      </c>
      <c r="B2880" s="30"/>
      <c r="C2880" s="29"/>
      <c r="D2880" s="29"/>
      <c r="E2880" s="29"/>
      <c r="F2880" s="30"/>
      <c r="G2880" s="29"/>
      <c r="H2880" s="30"/>
      <c r="I2880" s="29"/>
      <c r="J2880" s="30"/>
      <c r="K2880" s="30"/>
      <c r="L2880" s="29"/>
      <c r="M2880" s="32" t="str">
        <f aca="false">IF(OR(C2880="",L2880=""),"",IF(C2880=L2880,"同一","変更"))</f>
        <v/>
      </c>
      <c r="N2880" s="29"/>
      <c r="O2880" s="30"/>
      <c r="P2880" s="29"/>
      <c r="Q2880" s="31"/>
      <c r="R2880" s="29"/>
      <c r="S2880" s="29"/>
      <c r="T2880" s="30"/>
      <c r="U2880" s="47" t="str">
        <f aca="false">IF(AND(B2880&lt;&gt;"",B2880=SW別シート!$C$3),COUNTIF(B$5:B2880,B2880),"")</f>
        <v/>
      </c>
      <c r="V2880" s="47" t="n">
        <f aca="false">V2879+IF(OR(O2880&lt;&gt;"",W2880&lt;&gt;""),1,0)</f>
        <v>3</v>
      </c>
      <c r="W2880" s="29"/>
    </row>
    <row r="2881" customFormat="false" ht="15" hidden="false" customHeight="false" outlineLevel="0" collapsed="false">
      <c r="A2881" s="32" t="str">
        <f aca="false">IF(B2881="","",ROW()-7)</f>
        <v/>
      </c>
      <c r="B2881" s="30"/>
      <c r="C2881" s="29"/>
      <c r="D2881" s="29"/>
      <c r="E2881" s="29"/>
      <c r="F2881" s="30"/>
      <c r="G2881" s="29"/>
      <c r="H2881" s="30"/>
      <c r="I2881" s="29"/>
      <c r="J2881" s="30"/>
      <c r="K2881" s="30"/>
      <c r="L2881" s="29"/>
      <c r="M2881" s="32" t="str">
        <f aca="false">IF(OR(C2881="",L2881=""),"",IF(C2881=L2881,"同一","変更"))</f>
        <v/>
      </c>
      <c r="N2881" s="29"/>
      <c r="O2881" s="30"/>
      <c r="P2881" s="29"/>
      <c r="Q2881" s="31"/>
      <c r="R2881" s="29"/>
      <c r="S2881" s="29"/>
      <c r="T2881" s="30"/>
      <c r="U2881" s="47" t="str">
        <f aca="false">IF(AND(B2881&lt;&gt;"",B2881=SW別シート!$C$3),COUNTIF(B$5:B2881,B2881),"")</f>
        <v/>
      </c>
      <c r="V2881" s="47" t="n">
        <f aca="false">V2880+IF(OR(O2881&lt;&gt;"",W2881&lt;&gt;""),1,0)</f>
        <v>3</v>
      </c>
      <c r="W2881" s="29"/>
    </row>
    <row r="2882" customFormat="false" ht="15" hidden="false" customHeight="false" outlineLevel="0" collapsed="false">
      <c r="A2882" s="32" t="str">
        <f aca="false">IF(B2882="","",ROW()-7)</f>
        <v/>
      </c>
      <c r="B2882" s="30"/>
      <c r="C2882" s="29"/>
      <c r="D2882" s="29"/>
      <c r="E2882" s="29"/>
      <c r="F2882" s="30"/>
      <c r="G2882" s="29"/>
      <c r="H2882" s="30"/>
      <c r="I2882" s="29"/>
      <c r="J2882" s="30"/>
      <c r="K2882" s="30"/>
      <c r="L2882" s="29"/>
      <c r="M2882" s="32" t="str">
        <f aca="false">IF(OR(C2882="",L2882=""),"",IF(C2882=L2882,"同一","変更"))</f>
        <v/>
      </c>
      <c r="N2882" s="29"/>
      <c r="O2882" s="30"/>
      <c r="P2882" s="29"/>
      <c r="Q2882" s="31"/>
      <c r="R2882" s="29"/>
      <c r="S2882" s="29"/>
      <c r="T2882" s="30"/>
      <c r="U2882" s="47" t="str">
        <f aca="false">IF(AND(B2882&lt;&gt;"",B2882=SW別シート!$C$3),COUNTIF(B$5:B2882,B2882),"")</f>
        <v/>
      </c>
      <c r="V2882" s="47" t="n">
        <f aca="false">V2881+IF(OR(O2882&lt;&gt;"",W2882&lt;&gt;""),1,0)</f>
        <v>3</v>
      </c>
      <c r="W2882" s="29"/>
    </row>
    <row r="2883" customFormat="false" ht="15" hidden="false" customHeight="false" outlineLevel="0" collapsed="false">
      <c r="A2883" s="32" t="str">
        <f aca="false">IF(B2883="","",ROW()-7)</f>
        <v/>
      </c>
      <c r="B2883" s="30"/>
      <c r="C2883" s="29"/>
      <c r="D2883" s="29"/>
      <c r="E2883" s="29"/>
      <c r="F2883" s="30"/>
      <c r="G2883" s="29"/>
      <c r="H2883" s="30"/>
      <c r="I2883" s="29"/>
      <c r="J2883" s="30"/>
      <c r="K2883" s="30"/>
      <c r="L2883" s="29"/>
      <c r="M2883" s="32" t="str">
        <f aca="false">IF(OR(C2883="",L2883=""),"",IF(C2883=L2883,"同一","変更"))</f>
        <v/>
      </c>
      <c r="N2883" s="29"/>
      <c r="O2883" s="30"/>
      <c r="P2883" s="29"/>
      <c r="Q2883" s="31"/>
      <c r="R2883" s="29"/>
      <c r="S2883" s="29"/>
      <c r="T2883" s="30"/>
      <c r="U2883" s="47" t="str">
        <f aca="false">IF(AND(B2883&lt;&gt;"",B2883=SW別シート!$C$3),COUNTIF(B$5:B2883,B2883),"")</f>
        <v/>
      </c>
      <c r="V2883" s="47" t="n">
        <f aca="false">V2882+IF(OR(O2883&lt;&gt;"",W2883&lt;&gt;""),1,0)</f>
        <v>3</v>
      </c>
      <c r="W2883" s="29"/>
    </row>
    <row r="2884" customFormat="false" ht="15" hidden="false" customHeight="false" outlineLevel="0" collapsed="false">
      <c r="A2884" s="32" t="str">
        <f aca="false">IF(B2884="","",ROW()-7)</f>
        <v/>
      </c>
      <c r="B2884" s="30"/>
      <c r="C2884" s="29"/>
      <c r="D2884" s="29"/>
      <c r="E2884" s="29"/>
      <c r="F2884" s="30"/>
      <c r="G2884" s="29"/>
      <c r="H2884" s="30"/>
      <c r="I2884" s="29"/>
      <c r="J2884" s="30"/>
      <c r="K2884" s="30"/>
      <c r="L2884" s="29"/>
      <c r="M2884" s="32" t="str">
        <f aca="false">IF(OR(C2884="",L2884=""),"",IF(C2884=L2884,"同一","変更"))</f>
        <v/>
      </c>
      <c r="N2884" s="29"/>
      <c r="O2884" s="30"/>
      <c r="P2884" s="29"/>
      <c r="Q2884" s="31"/>
      <c r="R2884" s="29"/>
      <c r="S2884" s="29"/>
      <c r="T2884" s="30"/>
      <c r="U2884" s="47" t="str">
        <f aca="false">IF(AND(B2884&lt;&gt;"",B2884=SW別シート!$C$3),COUNTIF(B$5:B2884,B2884),"")</f>
        <v/>
      </c>
      <c r="V2884" s="47" t="n">
        <f aca="false">V2883+IF(OR(O2884&lt;&gt;"",W2884&lt;&gt;""),1,0)</f>
        <v>3</v>
      </c>
      <c r="W2884" s="29"/>
    </row>
    <row r="2885" customFormat="false" ht="15" hidden="false" customHeight="false" outlineLevel="0" collapsed="false">
      <c r="A2885" s="32" t="str">
        <f aca="false">IF(B2885="","",ROW()-7)</f>
        <v/>
      </c>
      <c r="B2885" s="30"/>
      <c r="C2885" s="29"/>
      <c r="D2885" s="29"/>
      <c r="E2885" s="29"/>
      <c r="F2885" s="30"/>
      <c r="G2885" s="29"/>
      <c r="H2885" s="30"/>
      <c r="I2885" s="29"/>
      <c r="J2885" s="30"/>
      <c r="K2885" s="30"/>
      <c r="L2885" s="29"/>
      <c r="M2885" s="32" t="str">
        <f aca="false">IF(OR(C2885="",L2885=""),"",IF(C2885=L2885,"同一","変更"))</f>
        <v/>
      </c>
      <c r="N2885" s="29"/>
      <c r="O2885" s="30"/>
      <c r="P2885" s="29"/>
      <c r="Q2885" s="31"/>
      <c r="R2885" s="29"/>
      <c r="S2885" s="29"/>
      <c r="T2885" s="30"/>
      <c r="U2885" s="47" t="str">
        <f aca="false">IF(AND(B2885&lt;&gt;"",B2885=SW別シート!$C$3),COUNTIF(B$5:B2885,B2885),"")</f>
        <v/>
      </c>
      <c r="V2885" s="47" t="n">
        <f aca="false">V2884+IF(OR(O2885&lt;&gt;"",W2885&lt;&gt;""),1,0)</f>
        <v>3</v>
      </c>
      <c r="W2885" s="29"/>
    </row>
    <row r="2886" customFormat="false" ht="15" hidden="false" customHeight="false" outlineLevel="0" collapsed="false">
      <c r="A2886" s="32" t="str">
        <f aca="false">IF(B2886="","",ROW()-7)</f>
        <v/>
      </c>
      <c r="B2886" s="30"/>
      <c r="C2886" s="29"/>
      <c r="D2886" s="29"/>
      <c r="E2886" s="29"/>
      <c r="F2886" s="30"/>
      <c r="G2886" s="29"/>
      <c r="H2886" s="30"/>
      <c r="I2886" s="29"/>
      <c r="J2886" s="30"/>
      <c r="K2886" s="30"/>
      <c r="L2886" s="29"/>
      <c r="M2886" s="32" t="str">
        <f aca="false">IF(OR(C2886="",L2886=""),"",IF(C2886=L2886,"同一","変更"))</f>
        <v/>
      </c>
      <c r="N2886" s="29"/>
      <c r="O2886" s="30"/>
      <c r="P2886" s="29"/>
      <c r="Q2886" s="31"/>
      <c r="R2886" s="29"/>
      <c r="S2886" s="29"/>
      <c r="T2886" s="30"/>
      <c r="U2886" s="47" t="str">
        <f aca="false">IF(AND(B2886&lt;&gt;"",B2886=SW別シート!$C$3),COUNTIF(B$5:B2886,B2886),"")</f>
        <v/>
      </c>
      <c r="V2886" s="47" t="n">
        <f aca="false">V2885+IF(OR(O2886&lt;&gt;"",W2886&lt;&gt;""),1,0)</f>
        <v>3</v>
      </c>
      <c r="W2886" s="29"/>
    </row>
    <row r="2887" customFormat="false" ht="15" hidden="false" customHeight="false" outlineLevel="0" collapsed="false">
      <c r="A2887" s="32" t="str">
        <f aca="false">IF(B2887="","",ROW()-7)</f>
        <v/>
      </c>
      <c r="B2887" s="30"/>
      <c r="C2887" s="29"/>
      <c r="D2887" s="29"/>
      <c r="E2887" s="29"/>
      <c r="F2887" s="30"/>
      <c r="G2887" s="29"/>
      <c r="H2887" s="30"/>
      <c r="I2887" s="29"/>
      <c r="J2887" s="30"/>
      <c r="K2887" s="30"/>
      <c r="L2887" s="29"/>
      <c r="M2887" s="32" t="str">
        <f aca="false">IF(OR(C2887="",L2887=""),"",IF(C2887=L2887,"同一","変更"))</f>
        <v/>
      </c>
      <c r="N2887" s="29"/>
      <c r="O2887" s="30"/>
      <c r="P2887" s="29"/>
      <c r="Q2887" s="31"/>
      <c r="R2887" s="29"/>
      <c r="S2887" s="29"/>
      <c r="T2887" s="30"/>
      <c r="U2887" s="47" t="str">
        <f aca="false">IF(AND(B2887&lt;&gt;"",B2887=SW別シート!$C$3),COUNTIF(B$5:B2887,B2887),"")</f>
        <v/>
      </c>
      <c r="V2887" s="47" t="n">
        <f aca="false">V2886+IF(OR(O2887&lt;&gt;"",W2887&lt;&gt;""),1,0)</f>
        <v>3</v>
      </c>
      <c r="W2887" s="29"/>
    </row>
    <row r="2888" customFormat="false" ht="15" hidden="false" customHeight="false" outlineLevel="0" collapsed="false">
      <c r="A2888" s="32" t="str">
        <f aca="false">IF(B2888="","",ROW()-7)</f>
        <v/>
      </c>
      <c r="B2888" s="30"/>
      <c r="C2888" s="29"/>
      <c r="D2888" s="29"/>
      <c r="E2888" s="29"/>
      <c r="F2888" s="30"/>
      <c r="G2888" s="29"/>
      <c r="H2888" s="30"/>
      <c r="I2888" s="29"/>
      <c r="J2888" s="30"/>
      <c r="K2888" s="30"/>
      <c r="L2888" s="29"/>
      <c r="M2888" s="32" t="str">
        <f aca="false">IF(OR(C2888="",L2888=""),"",IF(C2888=L2888,"同一","変更"))</f>
        <v/>
      </c>
      <c r="N2888" s="29"/>
      <c r="O2888" s="30"/>
      <c r="P2888" s="29"/>
      <c r="Q2888" s="31"/>
      <c r="R2888" s="29"/>
      <c r="S2888" s="29"/>
      <c r="T2888" s="30"/>
      <c r="U2888" s="47" t="str">
        <f aca="false">IF(AND(B2888&lt;&gt;"",B2888=SW別シート!$C$3),COUNTIF(B$5:B2888,B2888),"")</f>
        <v/>
      </c>
      <c r="V2888" s="47" t="n">
        <f aca="false">V2887+IF(OR(O2888&lt;&gt;"",W2888&lt;&gt;""),1,0)</f>
        <v>3</v>
      </c>
      <c r="W2888" s="29"/>
    </row>
    <row r="2889" customFormat="false" ht="15" hidden="false" customHeight="false" outlineLevel="0" collapsed="false">
      <c r="A2889" s="32" t="str">
        <f aca="false">IF(B2889="","",ROW()-7)</f>
        <v/>
      </c>
      <c r="B2889" s="30"/>
      <c r="C2889" s="29"/>
      <c r="D2889" s="29"/>
      <c r="E2889" s="29"/>
      <c r="F2889" s="30"/>
      <c r="G2889" s="29"/>
      <c r="H2889" s="30"/>
      <c r="I2889" s="29"/>
      <c r="J2889" s="30"/>
      <c r="K2889" s="30"/>
      <c r="L2889" s="29"/>
      <c r="M2889" s="32" t="str">
        <f aca="false">IF(OR(C2889="",L2889=""),"",IF(C2889=L2889,"同一","変更"))</f>
        <v/>
      </c>
      <c r="N2889" s="29"/>
      <c r="O2889" s="30"/>
      <c r="P2889" s="29"/>
      <c r="Q2889" s="31"/>
      <c r="R2889" s="29"/>
      <c r="S2889" s="29"/>
      <c r="T2889" s="30"/>
      <c r="U2889" s="47" t="str">
        <f aca="false">IF(AND(B2889&lt;&gt;"",B2889=SW別シート!$C$3),COUNTIF(B$5:B2889,B2889),"")</f>
        <v/>
      </c>
      <c r="V2889" s="47" t="n">
        <f aca="false">V2888+IF(OR(O2889&lt;&gt;"",W2889&lt;&gt;""),1,0)</f>
        <v>3</v>
      </c>
      <c r="W2889" s="29"/>
    </row>
    <row r="2890" customFormat="false" ht="15" hidden="false" customHeight="false" outlineLevel="0" collapsed="false">
      <c r="A2890" s="32" t="str">
        <f aca="false">IF(B2890="","",ROW()-7)</f>
        <v/>
      </c>
      <c r="B2890" s="30"/>
      <c r="C2890" s="29"/>
      <c r="D2890" s="29"/>
      <c r="E2890" s="29"/>
      <c r="F2890" s="30"/>
      <c r="G2890" s="29"/>
      <c r="H2890" s="30"/>
      <c r="I2890" s="29"/>
      <c r="J2890" s="30"/>
      <c r="K2890" s="30"/>
      <c r="L2890" s="29"/>
      <c r="M2890" s="32" t="str">
        <f aca="false">IF(OR(C2890="",L2890=""),"",IF(C2890=L2890,"同一","変更"))</f>
        <v/>
      </c>
      <c r="N2890" s="29"/>
      <c r="O2890" s="30"/>
      <c r="P2890" s="29"/>
      <c r="Q2890" s="31"/>
      <c r="R2890" s="29"/>
      <c r="S2890" s="29"/>
      <c r="T2890" s="30"/>
      <c r="U2890" s="47" t="str">
        <f aca="false">IF(AND(B2890&lt;&gt;"",B2890=SW別シート!$C$3),COUNTIF(B$5:B2890,B2890),"")</f>
        <v/>
      </c>
      <c r="V2890" s="47" t="n">
        <f aca="false">V2889+IF(OR(O2890&lt;&gt;"",W2890&lt;&gt;""),1,0)</f>
        <v>3</v>
      </c>
      <c r="W2890" s="29"/>
    </row>
    <row r="2891" customFormat="false" ht="15" hidden="false" customHeight="false" outlineLevel="0" collapsed="false">
      <c r="A2891" s="32" t="str">
        <f aca="false">IF(B2891="","",ROW()-7)</f>
        <v/>
      </c>
      <c r="B2891" s="30"/>
      <c r="C2891" s="29"/>
      <c r="D2891" s="29"/>
      <c r="E2891" s="29"/>
      <c r="F2891" s="30"/>
      <c r="G2891" s="29"/>
      <c r="H2891" s="30"/>
      <c r="I2891" s="29"/>
      <c r="J2891" s="30"/>
      <c r="K2891" s="30"/>
      <c r="L2891" s="29"/>
      <c r="M2891" s="32" t="str">
        <f aca="false">IF(OR(C2891="",L2891=""),"",IF(C2891=L2891,"同一","変更"))</f>
        <v/>
      </c>
      <c r="N2891" s="29"/>
      <c r="O2891" s="30"/>
      <c r="P2891" s="29"/>
      <c r="Q2891" s="31"/>
      <c r="R2891" s="29"/>
      <c r="S2891" s="29"/>
      <c r="T2891" s="30"/>
      <c r="U2891" s="47" t="str">
        <f aca="false">IF(AND(B2891&lt;&gt;"",B2891=SW別シート!$C$3),COUNTIF(B$5:B2891,B2891),"")</f>
        <v/>
      </c>
      <c r="V2891" s="47" t="n">
        <f aca="false">V2890+IF(OR(O2891&lt;&gt;"",W2891&lt;&gt;""),1,0)</f>
        <v>3</v>
      </c>
      <c r="W2891" s="29"/>
    </row>
    <row r="2892" customFormat="false" ht="15" hidden="false" customHeight="false" outlineLevel="0" collapsed="false">
      <c r="A2892" s="32" t="str">
        <f aca="false">IF(B2892="","",ROW()-7)</f>
        <v/>
      </c>
      <c r="B2892" s="30"/>
      <c r="C2892" s="29"/>
      <c r="D2892" s="29"/>
      <c r="E2892" s="29"/>
      <c r="F2892" s="30"/>
      <c r="G2892" s="29"/>
      <c r="H2892" s="30"/>
      <c r="I2892" s="29"/>
      <c r="J2892" s="30"/>
      <c r="K2892" s="30"/>
      <c r="L2892" s="29"/>
      <c r="M2892" s="32" t="str">
        <f aca="false">IF(OR(C2892="",L2892=""),"",IF(C2892=L2892,"同一","変更"))</f>
        <v/>
      </c>
      <c r="N2892" s="29"/>
      <c r="O2892" s="30"/>
      <c r="P2892" s="29"/>
      <c r="Q2892" s="31"/>
      <c r="R2892" s="29"/>
      <c r="S2892" s="29"/>
      <c r="T2892" s="30"/>
      <c r="U2892" s="47" t="str">
        <f aca="false">IF(AND(B2892&lt;&gt;"",B2892=SW別シート!$C$3),COUNTIF(B$5:B2892,B2892),"")</f>
        <v/>
      </c>
      <c r="V2892" s="47" t="n">
        <f aca="false">V2891+IF(OR(O2892&lt;&gt;"",W2892&lt;&gt;""),1,0)</f>
        <v>3</v>
      </c>
      <c r="W2892" s="29"/>
    </row>
    <row r="2893" customFormat="false" ht="15" hidden="false" customHeight="false" outlineLevel="0" collapsed="false">
      <c r="A2893" s="32" t="str">
        <f aca="false">IF(B2893="","",ROW()-7)</f>
        <v/>
      </c>
      <c r="B2893" s="30"/>
      <c r="C2893" s="29"/>
      <c r="D2893" s="29"/>
      <c r="E2893" s="29"/>
      <c r="F2893" s="30"/>
      <c r="G2893" s="29"/>
      <c r="H2893" s="30"/>
      <c r="I2893" s="29"/>
      <c r="J2893" s="30"/>
      <c r="K2893" s="30"/>
      <c r="L2893" s="29"/>
      <c r="M2893" s="32" t="str">
        <f aca="false">IF(OR(C2893="",L2893=""),"",IF(C2893=L2893,"同一","変更"))</f>
        <v/>
      </c>
      <c r="N2893" s="29"/>
      <c r="O2893" s="30"/>
      <c r="P2893" s="29"/>
      <c r="Q2893" s="31"/>
      <c r="R2893" s="29"/>
      <c r="S2893" s="29"/>
      <c r="T2893" s="30"/>
      <c r="U2893" s="47" t="str">
        <f aca="false">IF(AND(B2893&lt;&gt;"",B2893=SW別シート!$C$3),COUNTIF(B$5:B2893,B2893),"")</f>
        <v/>
      </c>
      <c r="V2893" s="47" t="n">
        <f aca="false">V2892+IF(OR(O2893&lt;&gt;"",W2893&lt;&gt;""),1,0)</f>
        <v>3</v>
      </c>
      <c r="W2893" s="29"/>
    </row>
    <row r="2894" customFormat="false" ht="15" hidden="false" customHeight="false" outlineLevel="0" collapsed="false">
      <c r="A2894" s="32" t="str">
        <f aca="false">IF(B2894="","",ROW()-7)</f>
        <v/>
      </c>
      <c r="B2894" s="30"/>
      <c r="C2894" s="29"/>
      <c r="D2894" s="29"/>
      <c r="E2894" s="29"/>
      <c r="F2894" s="30"/>
      <c r="G2894" s="29"/>
      <c r="H2894" s="30"/>
      <c r="I2894" s="29"/>
      <c r="J2894" s="30"/>
      <c r="K2894" s="30"/>
      <c r="L2894" s="29"/>
      <c r="M2894" s="32" t="str">
        <f aca="false">IF(OR(C2894="",L2894=""),"",IF(C2894=L2894,"同一","変更"))</f>
        <v/>
      </c>
      <c r="N2894" s="29"/>
      <c r="O2894" s="30"/>
      <c r="P2894" s="29"/>
      <c r="Q2894" s="31"/>
      <c r="R2894" s="29"/>
      <c r="S2894" s="29"/>
      <c r="T2894" s="30"/>
      <c r="U2894" s="47" t="str">
        <f aca="false">IF(AND(B2894&lt;&gt;"",B2894=SW別シート!$C$3),COUNTIF(B$5:B2894,B2894),"")</f>
        <v/>
      </c>
      <c r="V2894" s="47" t="n">
        <f aca="false">V2893+IF(OR(O2894&lt;&gt;"",W2894&lt;&gt;""),1,0)</f>
        <v>3</v>
      </c>
      <c r="W2894" s="29"/>
    </row>
    <row r="2895" customFormat="false" ht="15" hidden="false" customHeight="false" outlineLevel="0" collapsed="false">
      <c r="A2895" s="32" t="str">
        <f aca="false">IF(B2895="","",ROW()-7)</f>
        <v/>
      </c>
      <c r="B2895" s="30"/>
      <c r="C2895" s="29"/>
      <c r="D2895" s="29"/>
      <c r="E2895" s="29"/>
      <c r="F2895" s="30"/>
      <c r="G2895" s="29"/>
      <c r="H2895" s="30"/>
      <c r="I2895" s="29"/>
      <c r="J2895" s="30"/>
      <c r="K2895" s="30"/>
      <c r="L2895" s="29"/>
      <c r="M2895" s="32" t="str">
        <f aca="false">IF(OR(C2895="",L2895=""),"",IF(C2895=L2895,"同一","変更"))</f>
        <v/>
      </c>
      <c r="N2895" s="29"/>
      <c r="O2895" s="30"/>
      <c r="P2895" s="29"/>
      <c r="Q2895" s="31"/>
      <c r="R2895" s="29"/>
      <c r="S2895" s="29"/>
      <c r="T2895" s="30"/>
      <c r="U2895" s="47" t="str">
        <f aca="false">IF(AND(B2895&lt;&gt;"",B2895=SW別シート!$C$3),COUNTIF(B$5:B2895,B2895),"")</f>
        <v/>
      </c>
      <c r="V2895" s="47" t="n">
        <f aca="false">V2894+IF(OR(O2895&lt;&gt;"",W2895&lt;&gt;""),1,0)</f>
        <v>3</v>
      </c>
      <c r="W2895" s="29"/>
    </row>
    <row r="2896" customFormat="false" ht="15" hidden="false" customHeight="false" outlineLevel="0" collapsed="false">
      <c r="A2896" s="32" t="str">
        <f aca="false">IF(B2896="","",ROW()-7)</f>
        <v/>
      </c>
      <c r="B2896" s="30"/>
      <c r="C2896" s="29"/>
      <c r="D2896" s="29"/>
      <c r="E2896" s="29"/>
      <c r="F2896" s="30"/>
      <c r="G2896" s="29"/>
      <c r="H2896" s="30"/>
      <c r="I2896" s="29"/>
      <c r="J2896" s="30"/>
      <c r="K2896" s="30"/>
      <c r="L2896" s="29"/>
      <c r="M2896" s="32" t="str">
        <f aca="false">IF(OR(C2896="",L2896=""),"",IF(C2896=L2896,"同一","変更"))</f>
        <v/>
      </c>
      <c r="N2896" s="29"/>
      <c r="O2896" s="30"/>
      <c r="P2896" s="29"/>
      <c r="Q2896" s="31"/>
      <c r="R2896" s="29"/>
      <c r="S2896" s="29"/>
      <c r="T2896" s="30"/>
      <c r="U2896" s="47" t="str">
        <f aca="false">IF(AND(B2896&lt;&gt;"",B2896=SW別シート!$C$3),COUNTIF(B$5:B2896,B2896),"")</f>
        <v/>
      </c>
      <c r="V2896" s="47" t="n">
        <f aca="false">V2895+IF(OR(O2896&lt;&gt;"",W2896&lt;&gt;""),1,0)</f>
        <v>3</v>
      </c>
      <c r="W2896" s="29"/>
    </row>
    <row r="2897" customFormat="false" ht="15" hidden="false" customHeight="false" outlineLevel="0" collapsed="false">
      <c r="A2897" s="32" t="str">
        <f aca="false">IF(B2897="","",ROW()-7)</f>
        <v/>
      </c>
      <c r="B2897" s="30"/>
      <c r="C2897" s="29"/>
      <c r="D2897" s="29"/>
      <c r="E2897" s="29"/>
      <c r="F2897" s="30"/>
      <c r="G2897" s="29"/>
      <c r="H2897" s="30"/>
      <c r="I2897" s="29"/>
      <c r="J2897" s="30"/>
      <c r="K2897" s="30"/>
      <c r="L2897" s="29"/>
      <c r="M2897" s="32" t="str">
        <f aca="false">IF(OR(C2897="",L2897=""),"",IF(C2897=L2897,"同一","変更"))</f>
        <v/>
      </c>
      <c r="N2897" s="29"/>
      <c r="O2897" s="30"/>
      <c r="P2897" s="29"/>
      <c r="Q2897" s="31"/>
      <c r="R2897" s="29"/>
      <c r="S2897" s="29"/>
      <c r="T2897" s="30"/>
      <c r="U2897" s="47" t="str">
        <f aca="false">IF(AND(B2897&lt;&gt;"",B2897=SW別シート!$C$3),COUNTIF(B$5:B2897,B2897),"")</f>
        <v/>
      </c>
      <c r="V2897" s="47" t="n">
        <f aca="false">V2896+IF(OR(O2897&lt;&gt;"",W2897&lt;&gt;""),1,0)</f>
        <v>3</v>
      </c>
      <c r="W2897" s="29"/>
    </row>
    <row r="2898" customFormat="false" ht="15" hidden="false" customHeight="false" outlineLevel="0" collapsed="false">
      <c r="A2898" s="32" t="str">
        <f aca="false">IF(B2898="","",ROW()-7)</f>
        <v/>
      </c>
      <c r="B2898" s="30"/>
      <c r="C2898" s="29"/>
      <c r="D2898" s="29"/>
      <c r="E2898" s="29"/>
      <c r="F2898" s="30"/>
      <c r="G2898" s="29"/>
      <c r="H2898" s="30"/>
      <c r="I2898" s="29"/>
      <c r="J2898" s="30"/>
      <c r="K2898" s="30"/>
      <c r="L2898" s="29"/>
      <c r="M2898" s="32" t="str">
        <f aca="false">IF(OR(C2898="",L2898=""),"",IF(C2898=L2898,"同一","変更"))</f>
        <v/>
      </c>
      <c r="N2898" s="29"/>
      <c r="O2898" s="30"/>
      <c r="P2898" s="29"/>
      <c r="Q2898" s="31"/>
      <c r="R2898" s="29"/>
      <c r="S2898" s="29"/>
      <c r="T2898" s="30"/>
      <c r="U2898" s="47" t="str">
        <f aca="false">IF(AND(B2898&lt;&gt;"",B2898=SW別シート!$C$3),COUNTIF(B$5:B2898,B2898),"")</f>
        <v/>
      </c>
      <c r="V2898" s="47" t="n">
        <f aca="false">V2897+IF(OR(O2898&lt;&gt;"",W2898&lt;&gt;""),1,0)</f>
        <v>3</v>
      </c>
      <c r="W2898" s="29"/>
    </row>
    <row r="2899" customFormat="false" ht="15" hidden="false" customHeight="false" outlineLevel="0" collapsed="false">
      <c r="A2899" s="32" t="str">
        <f aca="false">IF(B2899="","",ROW()-7)</f>
        <v/>
      </c>
      <c r="B2899" s="30"/>
      <c r="C2899" s="29"/>
      <c r="D2899" s="29"/>
      <c r="E2899" s="29"/>
      <c r="F2899" s="30"/>
      <c r="G2899" s="29"/>
      <c r="H2899" s="30"/>
      <c r="I2899" s="29"/>
      <c r="J2899" s="30"/>
      <c r="K2899" s="30"/>
      <c r="L2899" s="29"/>
      <c r="M2899" s="32" t="str">
        <f aca="false">IF(OR(C2899="",L2899=""),"",IF(C2899=L2899,"同一","変更"))</f>
        <v/>
      </c>
      <c r="N2899" s="29"/>
      <c r="O2899" s="30"/>
      <c r="P2899" s="29"/>
      <c r="Q2899" s="31"/>
      <c r="R2899" s="29"/>
      <c r="S2899" s="29"/>
      <c r="T2899" s="30"/>
      <c r="U2899" s="47" t="str">
        <f aca="false">IF(AND(B2899&lt;&gt;"",B2899=SW別シート!$C$3),COUNTIF(B$5:B2899,B2899),"")</f>
        <v/>
      </c>
      <c r="V2899" s="47" t="n">
        <f aca="false">V2898+IF(OR(O2899&lt;&gt;"",W2899&lt;&gt;""),1,0)</f>
        <v>3</v>
      </c>
      <c r="W2899" s="29"/>
    </row>
    <row r="2900" customFormat="false" ht="15" hidden="false" customHeight="false" outlineLevel="0" collapsed="false">
      <c r="A2900" s="32" t="str">
        <f aca="false">IF(B2900="","",ROW()-7)</f>
        <v/>
      </c>
      <c r="B2900" s="30"/>
      <c r="C2900" s="29"/>
      <c r="D2900" s="29"/>
      <c r="E2900" s="29"/>
      <c r="F2900" s="30"/>
      <c r="G2900" s="29"/>
      <c r="H2900" s="30"/>
      <c r="I2900" s="29"/>
      <c r="J2900" s="30"/>
      <c r="K2900" s="30"/>
      <c r="L2900" s="29"/>
      <c r="M2900" s="32" t="str">
        <f aca="false">IF(OR(C2900="",L2900=""),"",IF(C2900=L2900,"同一","変更"))</f>
        <v/>
      </c>
      <c r="N2900" s="29"/>
      <c r="O2900" s="30"/>
      <c r="P2900" s="29"/>
      <c r="Q2900" s="31"/>
      <c r="R2900" s="29"/>
      <c r="S2900" s="29"/>
      <c r="T2900" s="30"/>
      <c r="U2900" s="47" t="str">
        <f aca="false">IF(AND(B2900&lt;&gt;"",B2900=SW別シート!$C$3),COUNTIF(B$5:B2900,B2900),"")</f>
        <v/>
      </c>
      <c r="V2900" s="47" t="n">
        <f aca="false">V2899+IF(OR(O2900&lt;&gt;"",W2900&lt;&gt;""),1,0)</f>
        <v>3</v>
      </c>
      <c r="W2900" s="29"/>
    </row>
    <row r="2901" customFormat="false" ht="15" hidden="false" customHeight="false" outlineLevel="0" collapsed="false">
      <c r="A2901" s="32" t="str">
        <f aca="false">IF(B2901="","",ROW()-7)</f>
        <v/>
      </c>
      <c r="B2901" s="30"/>
      <c r="C2901" s="29"/>
      <c r="D2901" s="29"/>
      <c r="E2901" s="29"/>
      <c r="F2901" s="30"/>
      <c r="G2901" s="29"/>
      <c r="H2901" s="30"/>
      <c r="I2901" s="29"/>
      <c r="J2901" s="30"/>
      <c r="K2901" s="30"/>
      <c r="L2901" s="29"/>
      <c r="M2901" s="32" t="str">
        <f aca="false">IF(OR(C2901="",L2901=""),"",IF(C2901=L2901,"同一","変更"))</f>
        <v/>
      </c>
      <c r="N2901" s="29"/>
      <c r="O2901" s="30"/>
      <c r="P2901" s="29"/>
      <c r="Q2901" s="31"/>
      <c r="R2901" s="29"/>
      <c r="S2901" s="29"/>
      <c r="T2901" s="30"/>
      <c r="U2901" s="47" t="str">
        <f aca="false">IF(AND(B2901&lt;&gt;"",B2901=SW別シート!$C$3),COUNTIF(B$5:B2901,B2901),"")</f>
        <v/>
      </c>
      <c r="V2901" s="47" t="n">
        <f aca="false">V2900+IF(OR(O2901&lt;&gt;"",W2901&lt;&gt;""),1,0)</f>
        <v>3</v>
      </c>
      <c r="W2901" s="29"/>
    </row>
    <row r="2902" customFormat="false" ht="15" hidden="false" customHeight="false" outlineLevel="0" collapsed="false">
      <c r="A2902" s="32" t="str">
        <f aca="false">IF(B2902="","",ROW()-7)</f>
        <v/>
      </c>
      <c r="B2902" s="30"/>
      <c r="C2902" s="29"/>
      <c r="D2902" s="29"/>
      <c r="E2902" s="29"/>
      <c r="F2902" s="30"/>
      <c r="G2902" s="29"/>
      <c r="H2902" s="30"/>
      <c r="I2902" s="29"/>
      <c r="J2902" s="30"/>
      <c r="K2902" s="30"/>
      <c r="L2902" s="29"/>
      <c r="M2902" s="32" t="str">
        <f aca="false">IF(OR(C2902="",L2902=""),"",IF(C2902=L2902,"同一","変更"))</f>
        <v/>
      </c>
      <c r="N2902" s="29"/>
      <c r="O2902" s="30"/>
      <c r="P2902" s="29"/>
      <c r="Q2902" s="31"/>
      <c r="R2902" s="29"/>
      <c r="S2902" s="29"/>
      <c r="T2902" s="30"/>
      <c r="U2902" s="47" t="str">
        <f aca="false">IF(AND(B2902&lt;&gt;"",B2902=SW別シート!$C$3),COUNTIF(B$5:B2902,B2902),"")</f>
        <v/>
      </c>
      <c r="V2902" s="47" t="n">
        <f aca="false">V2901+IF(OR(O2902&lt;&gt;"",W2902&lt;&gt;""),1,0)</f>
        <v>3</v>
      </c>
      <c r="W2902" s="29"/>
    </row>
    <row r="2903" customFormat="false" ht="15" hidden="false" customHeight="false" outlineLevel="0" collapsed="false">
      <c r="A2903" s="32" t="str">
        <f aca="false">IF(B2903="","",ROW()-7)</f>
        <v/>
      </c>
      <c r="B2903" s="30"/>
      <c r="C2903" s="29"/>
      <c r="D2903" s="29"/>
      <c r="E2903" s="29"/>
      <c r="F2903" s="30"/>
      <c r="G2903" s="29"/>
      <c r="H2903" s="30"/>
      <c r="I2903" s="29"/>
      <c r="J2903" s="30"/>
      <c r="K2903" s="30"/>
      <c r="L2903" s="29"/>
      <c r="M2903" s="32" t="str">
        <f aca="false">IF(OR(C2903="",L2903=""),"",IF(C2903=L2903,"同一","変更"))</f>
        <v/>
      </c>
      <c r="N2903" s="29"/>
      <c r="O2903" s="30"/>
      <c r="P2903" s="29"/>
      <c r="Q2903" s="31"/>
      <c r="R2903" s="29"/>
      <c r="S2903" s="29"/>
      <c r="T2903" s="30"/>
      <c r="U2903" s="47" t="str">
        <f aca="false">IF(AND(B2903&lt;&gt;"",B2903=SW別シート!$C$3),COUNTIF(B$5:B2903,B2903),"")</f>
        <v/>
      </c>
      <c r="V2903" s="47" t="n">
        <f aca="false">V2902+IF(OR(O2903&lt;&gt;"",W2903&lt;&gt;""),1,0)</f>
        <v>3</v>
      </c>
      <c r="W2903" s="29"/>
    </row>
    <row r="2904" customFormat="false" ht="15" hidden="false" customHeight="false" outlineLevel="0" collapsed="false">
      <c r="A2904" s="32" t="str">
        <f aca="false">IF(B2904="","",ROW()-7)</f>
        <v/>
      </c>
      <c r="B2904" s="30"/>
      <c r="C2904" s="29"/>
      <c r="D2904" s="29"/>
      <c r="E2904" s="29"/>
      <c r="F2904" s="30"/>
      <c r="G2904" s="29"/>
      <c r="H2904" s="30"/>
      <c r="I2904" s="29"/>
      <c r="J2904" s="30"/>
      <c r="K2904" s="30"/>
      <c r="L2904" s="29"/>
      <c r="M2904" s="32" t="str">
        <f aca="false">IF(OR(C2904="",L2904=""),"",IF(C2904=L2904,"同一","変更"))</f>
        <v/>
      </c>
      <c r="N2904" s="29"/>
      <c r="O2904" s="30"/>
      <c r="P2904" s="29"/>
      <c r="Q2904" s="31"/>
      <c r="R2904" s="29"/>
      <c r="S2904" s="29"/>
      <c r="T2904" s="30"/>
      <c r="U2904" s="47" t="str">
        <f aca="false">IF(AND(B2904&lt;&gt;"",B2904=SW別シート!$C$3),COUNTIF(B$5:B2904,B2904),"")</f>
        <v/>
      </c>
      <c r="V2904" s="47" t="n">
        <f aca="false">V2903+IF(OR(O2904&lt;&gt;"",W2904&lt;&gt;""),1,0)</f>
        <v>3</v>
      </c>
      <c r="W2904" s="29"/>
    </row>
    <row r="2905" customFormat="false" ht="15" hidden="false" customHeight="false" outlineLevel="0" collapsed="false">
      <c r="A2905" s="32" t="str">
        <f aca="false">IF(B2905="","",ROW()-7)</f>
        <v/>
      </c>
      <c r="B2905" s="30"/>
      <c r="C2905" s="29"/>
      <c r="D2905" s="29"/>
      <c r="E2905" s="29"/>
      <c r="F2905" s="30"/>
      <c r="G2905" s="29"/>
      <c r="H2905" s="30"/>
      <c r="I2905" s="29"/>
      <c r="J2905" s="30"/>
      <c r="K2905" s="30"/>
      <c r="L2905" s="29"/>
      <c r="M2905" s="32" t="str">
        <f aca="false">IF(OR(C2905="",L2905=""),"",IF(C2905=L2905,"同一","変更"))</f>
        <v/>
      </c>
      <c r="N2905" s="29"/>
      <c r="O2905" s="30"/>
      <c r="P2905" s="29"/>
      <c r="Q2905" s="31"/>
      <c r="R2905" s="29"/>
      <c r="S2905" s="29"/>
      <c r="T2905" s="30"/>
      <c r="U2905" s="47" t="str">
        <f aca="false">IF(AND(B2905&lt;&gt;"",B2905=SW別シート!$C$3),COUNTIF(B$5:B2905,B2905),"")</f>
        <v/>
      </c>
      <c r="V2905" s="47" t="n">
        <f aca="false">V2904+IF(OR(O2905&lt;&gt;"",W2905&lt;&gt;""),1,0)</f>
        <v>3</v>
      </c>
      <c r="W2905" s="29"/>
    </row>
    <row r="2906" customFormat="false" ht="15" hidden="false" customHeight="false" outlineLevel="0" collapsed="false">
      <c r="A2906" s="32" t="str">
        <f aca="false">IF(B2906="","",ROW()-7)</f>
        <v/>
      </c>
      <c r="B2906" s="30"/>
      <c r="C2906" s="29"/>
      <c r="D2906" s="29"/>
      <c r="E2906" s="29"/>
      <c r="F2906" s="30"/>
      <c r="G2906" s="29"/>
      <c r="H2906" s="30"/>
      <c r="I2906" s="29"/>
      <c r="J2906" s="30"/>
      <c r="K2906" s="30"/>
      <c r="L2906" s="29"/>
      <c r="M2906" s="32" t="str">
        <f aca="false">IF(OR(C2906="",L2906=""),"",IF(C2906=L2906,"同一","変更"))</f>
        <v/>
      </c>
      <c r="N2906" s="29"/>
      <c r="O2906" s="30"/>
      <c r="P2906" s="29"/>
      <c r="Q2906" s="31"/>
      <c r="R2906" s="29"/>
      <c r="S2906" s="29"/>
      <c r="T2906" s="30"/>
      <c r="U2906" s="47" t="str">
        <f aca="false">IF(AND(B2906&lt;&gt;"",B2906=SW別シート!$C$3),COUNTIF(B$5:B2906,B2906),"")</f>
        <v/>
      </c>
      <c r="V2906" s="47" t="n">
        <f aca="false">V2905+IF(OR(O2906&lt;&gt;"",W2906&lt;&gt;""),1,0)</f>
        <v>3</v>
      </c>
      <c r="W2906" s="29"/>
    </row>
    <row r="2907" customFormat="false" ht="15" hidden="false" customHeight="false" outlineLevel="0" collapsed="false">
      <c r="A2907" s="32" t="str">
        <f aca="false">IF(B2907="","",ROW()-7)</f>
        <v/>
      </c>
      <c r="B2907" s="30"/>
      <c r="C2907" s="29"/>
      <c r="D2907" s="29"/>
      <c r="E2907" s="29"/>
      <c r="F2907" s="30"/>
      <c r="G2907" s="29"/>
      <c r="H2907" s="30"/>
      <c r="I2907" s="29"/>
      <c r="J2907" s="30"/>
      <c r="K2907" s="30"/>
      <c r="L2907" s="29"/>
      <c r="M2907" s="32" t="str">
        <f aca="false">IF(OR(C2907="",L2907=""),"",IF(C2907=L2907,"同一","変更"))</f>
        <v/>
      </c>
      <c r="N2907" s="29"/>
      <c r="O2907" s="30"/>
      <c r="P2907" s="29"/>
      <c r="Q2907" s="31"/>
      <c r="R2907" s="29"/>
      <c r="S2907" s="29"/>
      <c r="T2907" s="30"/>
      <c r="U2907" s="47" t="str">
        <f aca="false">IF(AND(B2907&lt;&gt;"",B2907=SW別シート!$C$3),COUNTIF(B$5:B2907,B2907),"")</f>
        <v/>
      </c>
      <c r="V2907" s="47" t="n">
        <f aca="false">V2906+IF(OR(O2907&lt;&gt;"",W2907&lt;&gt;""),1,0)</f>
        <v>3</v>
      </c>
      <c r="W2907" s="29"/>
    </row>
    <row r="2908" customFormat="false" ht="15" hidden="false" customHeight="false" outlineLevel="0" collapsed="false">
      <c r="A2908" s="32" t="str">
        <f aca="false">IF(B2908="","",ROW()-7)</f>
        <v/>
      </c>
      <c r="B2908" s="30"/>
      <c r="C2908" s="29"/>
      <c r="D2908" s="29"/>
      <c r="E2908" s="29"/>
      <c r="F2908" s="30"/>
      <c r="G2908" s="29"/>
      <c r="H2908" s="30"/>
      <c r="I2908" s="29"/>
      <c r="J2908" s="30"/>
      <c r="K2908" s="30"/>
      <c r="L2908" s="29"/>
      <c r="M2908" s="32" t="str">
        <f aca="false">IF(OR(C2908="",L2908=""),"",IF(C2908=L2908,"同一","変更"))</f>
        <v/>
      </c>
      <c r="N2908" s="29"/>
      <c r="O2908" s="30"/>
      <c r="P2908" s="29"/>
      <c r="Q2908" s="31"/>
      <c r="R2908" s="29"/>
      <c r="S2908" s="29"/>
      <c r="T2908" s="30"/>
      <c r="U2908" s="47" t="str">
        <f aca="false">IF(AND(B2908&lt;&gt;"",B2908=SW別シート!$C$3),COUNTIF(B$5:B2908,B2908),"")</f>
        <v/>
      </c>
      <c r="V2908" s="47" t="n">
        <f aca="false">V2907+IF(OR(O2908&lt;&gt;"",W2908&lt;&gt;""),1,0)</f>
        <v>3</v>
      </c>
      <c r="W2908" s="29"/>
    </row>
    <row r="2909" customFormat="false" ht="15" hidden="false" customHeight="false" outlineLevel="0" collapsed="false">
      <c r="A2909" s="32" t="str">
        <f aca="false">IF(B2909="","",ROW()-7)</f>
        <v/>
      </c>
      <c r="B2909" s="30"/>
      <c r="C2909" s="29"/>
      <c r="D2909" s="29"/>
      <c r="E2909" s="29"/>
      <c r="F2909" s="30"/>
      <c r="G2909" s="29"/>
      <c r="H2909" s="30"/>
      <c r="I2909" s="29"/>
      <c r="J2909" s="30"/>
      <c r="K2909" s="30"/>
      <c r="L2909" s="29"/>
      <c r="M2909" s="32" t="str">
        <f aca="false">IF(OR(C2909="",L2909=""),"",IF(C2909=L2909,"同一","変更"))</f>
        <v/>
      </c>
      <c r="N2909" s="29"/>
      <c r="O2909" s="30"/>
      <c r="P2909" s="29"/>
      <c r="Q2909" s="31"/>
      <c r="R2909" s="29"/>
      <c r="S2909" s="29"/>
      <c r="T2909" s="30"/>
      <c r="U2909" s="47" t="str">
        <f aca="false">IF(AND(B2909&lt;&gt;"",B2909=SW別シート!$C$3),COUNTIF(B$5:B2909,B2909),"")</f>
        <v/>
      </c>
      <c r="V2909" s="47" t="n">
        <f aca="false">V2908+IF(OR(O2909&lt;&gt;"",W2909&lt;&gt;""),1,0)</f>
        <v>3</v>
      </c>
      <c r="W2909" s="29"/>
    </row>
    <row r="2910" customFormat="false" ht="15" hidden="false" customHeight="false" outlineLevel="0" collapsed="false">
      <c r="A2910" s="32" t="str">
        <f aca="false">IF(B2910="","",ROW()-7)</f>
        <v/>
      </c>
      <c r="B2910" s="30"/>
      <c r="C2910" s="29"/>
      <c r="D2910" s="29"/>
      <c r="E2910" s="29"/>
      <c r="F2910" s="30"/>
      <c r="G2910" s="29"/>
      <c r="H2910" s="30"/>
      <c r="I2910" s="29"/>
      <c r="J2910" s="30"/>
      <c r="K2910" s="30"/>
      <c r="L2910" s="29"/>
      <c r="M2910" s="32" t="str">
        <f aca="false">IF(OR(C2910="",L2910=""),"",IF(C2910=L2910,"同一","変更"))</f>
        <v/>
      </c>
      <c r="N2910" s="29"/>
      <c r="O2910" s="30"/>
      <c r="P2910" s="29"/>
      <c r="Q2910" s="31"/>
      <c r="R2910" s="29"/>
      <c r="S2910" s="29"/>
      <c r="T2910" s="30"/>
      <c r="U2910" s="47" t="str">
        <f aca="false">IF(AND(B2910&lt;&gt;"",B2910=SW別シート!$C$3),COUNTIF(B$5:B2910,B2910),"")</f>
        <v/>
      </c>
      <c r="V2910" s="47" t="n">
        <f aca="false">V2909+IF(OR(O2910&lt;&gt;"",W2910&lt;&gt;""),1,0)</f>
        <v>3</v>
      </c>
      <c r="W2910" s="29"/>
    </row>
    <row r="2911" customFormat="false" ht="15" hidden="false" customHeight="false" outlineLevel="0" collapsed="false">
      <c r="A2911" s="32" t="str">
        <f aca="false">IF(B2911="","",ROW()-7)</f>
        <v/>
      </c>
      <c r="B2911" s="30"/>
      <c r="C2911" s="29"/>
      <c r="D2911" s="29"/>
      <c r="E2911" s="29"/>
      <c r="F2911" s="30"/>
      <c r="G2911" s="29"/>
      <c r="H2911" s="30"/>
      <c r="I2911" s="29"/>
      <c r="J2911" s="30"/>
      <c r="K2911" s="30"/>
      <c r="L2911" s="29"/>
      <c r="M2911" s="32" t="str">
        <f aca="false">IF(OR(C2911="",L2911=""),"",IF(C2911=L2911,"同一","変更"))</f>
        <v/>
      </c>
      <c r="N2911" s="29"/>
      <c r="O2911" s="30"/>
      <c r="P2911" s="29"/>
      <c r="Q2911" s="31"/>
      <c r="R2911" s="29"/>
      <c r="S2911" s="29"/>
      <c r="T2911" s="30"/>
      <c r="U2911" s="47" t="str">
        <f aca="false">IF(AND(B2911&lt;&gt;"",B2911=SW別シート!$C$3),COUNTIF(B$5:B2911,B2911),"")</f>
        <v/>
      </c>
      <c r="V2911" s="47" t="n">
        <f aca="false">V2910+IF(OR(O2911&lt;&gt;"",W2911&lt;&gt;""),1,0)</f>
        <v>3</v>
      </c>
      <c r="W2911" s="29"/>
    </row>
    <row r="2912" customFormat="false" ht="15" hidden="false" customHeight="false" outlineLevel="0" collapsed="false">
      <c r="A2912" s="32" t="str">
        <f aca="false">IF(B2912="","",ROW()-7)</f>
        <v/>
      </c>
      <c r="B2912" s="30"/>
      <c r="C2912" s="29"/>
      <c r="D2912" s="29"/>
      <c r="E2912" s="29"/>
      <c r="F2912" s="30"/>
      <c r="G2912" s="29"/>
      <c r="H2912" s="30"/>
      <c r="I2912" s="29"/>
      <c r="J2912" s="30"/>
      <c r="K2912" s="30"/>
      <c r="L2912" s="29"/>
      <c r="M2912" s="32" t="str">
        <f aca="false">IF(OR(C2912="",L2912=""),"",IF(C2912=L2912,"同一","変更"))</f>
        <v/>
      </c>
      <c r="N2912" s="29"/>
      <c r="O2912" s="30"/>
      <c r="P2912" s="29"/>
      <c r="Q2912" s="31"/>
      <c r="R2912" s="29"/>
      <c r="S2912" s="29"/>
      <c r="T2912" s="30"/>
      <c r="U2912" s="47" t="str">
        <f aca="false">IF(AND(B2912&lt;&gt;"",B2912=SW別シート!$C$3),COUNTIF(B$5:B2912,B2912),"")</f>
        <v/>
      </c>
      <c r="V2912" s="47" t="n">
        <f aca="false">V2911+IF(OR(O2912&lt;&gt;"",W2912&lt;&gt;""),1,0)</f>
        <v>3</v>
      </c>
      <c r="W2912" s="29"/>
    </row>
    <row r="2913" customFormat="false" ht="15" hidden="false" customHeight="false" outlineLevel="0" collapsed="false">
      <c r="A2913" s="32" t="str">
        <f aca="false">IF(B2913="","",ROW()-7)</f>
        <v/>
      </c>
      <c r="B2913" s="30"/>
      <c r="C2913" s="29"/>
      <c r="D2913" s="29"/>
      <c r="E2913" s="29"/>
      <c r="F2913" s="30"/>
      <c r="G2913" s="29"/>
      <c r="H2913" s="30"/>
      <c r="I2913" s="29"/>
      <c r="J2913" s="30"/>
      <c r="K2913" s="30"/>
      <c r="L2913" s="29"/>
      <c r="M2913" s="32" t="str">
        <f aca="false">IF(OR(C2913="",L2913=""),"",IF(C2913=L2913,"同一","変更"))</f>
        <v/>
      </c>
      <c r="N2913" s="29"/>
      <c r="O2913" s="30"/>
      <c r="P2913" s="29"/>
      <c r="Q2913" s="31"/>
      <c r="R2913" s="29"/>
      <c r="S2913" s="29"/>
      <c r="T2913" s="30"/>
      <c r="U2913" s="47" t="str">
        <f aca="false">IF(AND(B2913&lt;&gt;"",B2913=SW別シート!$C$3),COUNTIF(B$5:B2913,B2913),"")</f>
        <v/>
      </c>
      <c r="V2913" s="47" t="n">
        <f aca="false">V2912+IF(OR(O2913&lt;&gt;"",W2913&lt;&gt;""),1,0)</f>
        <v>3</v>
      </c>
      <c r="W2913" s="29"/>
    </row>
    <row r="2914" customFormat="false" ht="15" hidden="false" customHeight="false" outlineLevel="0" collapsed="false">
      <c r="A2914" s="32" t="str">
        <f aca="false">IF(B2914="","",ROW()-7)</f>
        <v/>
      </c>
      <c r="B2914" s="30"/>
      <c r="C2914" s="29"/>
      <c r="D2914" s="29"/>
      <c r="E2914" s="29"/>
      <c r="F2914" s="30"/>
      <c r="G2914" s="29"/>
      <c r="H2914" s="30"/>
      <c r="I2914" s="29"/>
      <c r="J2914" s="30"/>
      <c r="K2914" s="30"/>
      <c r="L2914" s="29"/>
      <c r="M2914" s="32" t="str">
        <f aca="false">IF(OR(C2914="",L2914=""),"",IF(C2914=L2914,"同一","変更"))</f>
        <v/>
      </c>
      <c r="N2914" s="29"/>
      <c r="O2914" s="30"/>
      <c r="P2914" s="29"/>
      <c r="Q2914" s="31"/>
      <c r="R2914" s="29"/>
      <c r="S2914" s="29"/>
      <c r="T2914" s="30"/>
      <c r="U2914" s="47" t="str">
        <f aca="false">IF(AND(B2914&lt;&gt;"",B2914=SW別シート!$C$3),COUNTIF(B$5:B2914,B2914),"")</f>
        <v/>
      </c>
      <c r="V2914" s="47" t="n">
        <f aca="false">V2913+IF(OR(O2914&lt;&gt;"",W2914&lt;&gt;""),1,0)</f>
        <v>3</v>
      </c>
      <c r="W2914" s="29"/>
    </row>
    <row r="2915" customFormat="false" ht="15" hidden="false" customHeight="false" outlineLevel="0" collapsed="false">
      <c r="A2915" s="32" t="str">
        <f aca="false">IF(B2915="","",ROW()-7)</f>
        <v/>
      </c>
      <c r="B2915" s="30"/>
      <c r="C2915" s="29"/>
      <c r="D2915" s="29"/>
      <c r="E2915" s="29"/>
      <c r="F2915" s="30"/>
      <c r="G2915" s="29"/>
      <c r="H2915" s="30"/>
      <c r="I2915" s="29"/>
      <c r="J2915" s="30"/>
      <c r="K2915" s="30"/>
      <c r="L2915" s="29"/>
      <c r="M2915" s="32" t="str">
        <f aca="false">IF(OR(C2915="",L2915=""),"",IF(C2915=L2915,"同一","変更"))</f>
        <v/>
      </c>
      <c r="N2915" s="29"/>
      <c r="O2915" s="30"/>
      <c r="P2915" s="29"/>
      <c r="Q2915" s="31"/>
      <c r="R2915" s="29"/>
      <c r="S2915" s="29"/>
      <c r="T2915" s="30"/>
      <c r="U2915" s="47" t="str">
        <f aca="false">IF(AND(B2915&lt;&gt;"",B2915=SW別シート!$C$3),COUNTIF(B$5:B2915,B2915),"")</f>
        <v/>
      </c>
      <c r="V2915" s="47" t="n">
        <f aca="false">V2914+IF(OR(O2915&lt;&gt;"",W2915&lt;&gt;""),1,0)</f>
        <v>3</v>
      </c>
      <c r="W2915" s="29"/>
    </row>
    <row r="2916" customFormat="false" ht="15" hidden="false" customHeight="false" outlineLevel="0" collapsed="false">
      <c r="A2916" s="32" t="str">
        <f aca="false">IF(B2916="","",ROW()-7)</f>
        <v/>
      </c>
      <c r="B2916" s="30"/>
      <c r="C2916" s="29"/>
      <c r="D2916" s="29"/>
      <c r="E2916" s="29"/>
      <c r="F2916" s="30"/>
      <c r="G2916" s="29"/>
      <c r="H2916" s="30"/>
      <c r="I2916" s="29"/>
      <c r="J2916" s="30"/>
      <c r="K2916" s="30"/>
      <c r="L2916" s="29"/>
      <c r="M2916" s="32" t="str">
        <f aca="false">IF(OR(C2916="",L2916=""),"",IF(C2916=L2916,"同一","変更"))</f>
        <v/>
      </c>
      <c r="N2916" s="29"/>
      <c r="O2916" s="30"/>
      <c r="P2916" s="29"/>
      <c r="Q2916" s="31"/>
      <c r="R2916" s="29"/>
      <c r="S2916" s="29"/>
      <c r="T2916" s="30"/>
      <c r="U2916" s="47" t="str">
        <f aca="false">IF(AND(B2916&lt;&gt;"",B2916=SW別シート!$C$3),COUNTIF(B$5:B2916,B2916),"")</f>
        <v/>
      </c>
      <c r="V2916" s="47" t="n">
        <f aca="false">V2915+IF(OR(O2916&lt;&gt;"",W2916&lt;&gt;""),1,0)</f>
        <v>3</v>
      </c>
      <c r="W2916" s="29"/>
    </row>
    <row r="2917" customFormat="false" ht="15" hidden="false" customHeight="false" outlineLevel="0" collapsed="false">
      <c r="A2917" s="32" t="str">
        <f aca="false">IF(B2917="","",ROW()-7)</f>
        <v/>
      </c>
      <c r="B2917" s="30"/>
      <c r="C2917" s="29"/>
      <c r="D2917" s="29"/>
      <c r="E2917" s="29"/>
      <c r="F2917" s="30"/>
      <c r="G2917" s="29"/>
      <c r="H2917" s="30"/>
      <c r="I2917" s="29"/>
      <c r="J2917" s="30"/>
      <c r="K2917" s="30"/>
      <c r="L2917" s="29"/>
      <c r="M2917" s="32" t="str">
        <f aca="false">IF(OR(C2917="",L2917=""),"",IF(C2917=L2917,"同一","変更"))</f>
        <v/>
      </c>
      <c r="N2917" s="29"/>
      <c r="O2917" s="30"/>
      <c r="P2917" s="29"/>
      <c r="Q2917" s="31"/>
      <c r="R2917" s="29"/>
      <c r="S2917" s="29"/>
      <c r="T2917" s="30"/>
      <c r="U2917" s="47" t="str">
        <f aca="false">IF(AND(B2917&lt;&gt;"",B2917=SW別シート!$C$3),COUNTIF(B$5:B2917,B2917),"")</f>
        <v/>
      </c>
      <c r="V2917" s="47" t="n">
        <f aca="false">V2916+IF(OR(O2917&lt;&gt;"",W2917&lt;&gt;""),1,0)</f>
        <v>3</v>
      </c>
      <c r="W2917" s="29"/>
    </row>
    <row r="2918" customFormat="false" ht="15" hidden="false" customHeight="false" outlineLevel="0" collapsed="false">
      <c r="A2918" s="32" t="str">
        <f aca="false">IF(B2918="","",ROW()-7)</f>
        <v/>
      </c>
      <c r="B2918" s="30"/>
      <c r="C2918" s="29"/>
      <c r="D2918" s="29"/>
      <c r="E2918" s="29"/>
      <c r="F2918" s="30"/>
      <c r="G2918" s="29"/>
      <c r="H2918" s="30"/>
      <c r="I2918" s="29"/>
      <c r="J2918" s="30"/>
      <c r="K2918" s="30"/>
      <c r="L2918" s="29"/>
      <c r="M2918" s="32" t="str">
        <f aca="false">IF(OR(C2918="",L2918=""),"",IF(C2918=L2918,"同一","変更"))</f>
        <v/>
      </c>
      <c r="N2918" s="29"/>
      <c r="O2918" s="30"/>
      <c r="P2918" s="29"/>
      <c r="Q2918" s="31"/>
      <c r="R2918" s="29"/>
      <c r="S2918" s="29"/>
      <c r="T2918" s="30"/>
      <c r="U2918" s="47" t="str">
        <f aca="false">IF(AND(B2918&lt;&gt;"",B2918=SW別シート!$C$3),COUNTIF(B$5:B2918,B2918),"")</f>
        <v/>
      </c>
      <c r="V2918" s="47" t="n">
        <f aca="false">V2917+IF(OR(O2918&lt;&gt;"",W2918&lt;&gt;""),1,0)</f>
        <v>3</v>
      </c>
      <c r="W2918" s="29"/>
    </row>
    <row r="2919" customFormat="false" ht="15" hidden="false" customHeight="false" outlineLevel="0" collapsed="false">
      <c r="A2919" s="32" t="str">
        <f aca="false">IF(B2919="","",ROW()-7)</f>
        <v/>
      </c>
      <c r="B2919" s="30"/>
      <c r="C2919" s="29"/>
      <c r="D2919" s="29"/>
      <c r="E2919" s="29"/>
      <c r="F2919" s="30"/>
      <c r="G2919" s="29"/>
      <c r="H2919" s="30"/>
      <c r="I2919" s="29"/>
      <c r="J2919" s="30"/>
      <c r="K2919" s="30"/>
      <c r="L2919" s="29"/>
      <c r="M2919" s="32" t="str">
        <f aca="false">IF(OR(C2919="",L2919=""),"",IF(C2919=L2919,"同一","変更"))</f>
        <v/>
      </c>
      <c r="N2919" s="29"/>
      <c r="O2919" s="30"/>
      <c r="P2919" s="29"/>
      <c r="Q2919" s="31"/>
      <c r="R2919" s="29"/>
      <c r="S2919" s="29"/>
      <c r="T2919" s="30"/>
      <c r="U2919" s="47" t="str">
        <f aca="false">IF(AND(B2919&lt;&gt;"",B2919=SW別シート!$C$3),COUNTIF(B$5:B2919,B2919),"")</f>
        <v/>
      </c>
      <c r="V2919" s="47" t="n">
        <f aca="false">V2918+IF(OR(O2919&lt;&gt;"",W2919&lt;&gt;""),1,0)</f>
        <v>3</v>
      </c>
      <c r="W2919" s="29"/>
    </row>
    <row r="2920" customFormat="false" ht="15" hidden="false" customHeight="false" outlineLevel="0" collapsed="false">
      <c r="A2920" s="32" t="str">
        <f aca="false">IF(B2920="","",ROW()-7)</f>
        <v/>
      </c>
      <c r="B2920" s="30"/>
      <c r="C2920" s="29"/>
      <c r="D2920" s="29"/>
      <c r="E2920" s="29"/>
      <c r="F2920" s="30"/>
      <c r="G2920" s="29"/>
      <c r="H2920" s="30"/>
      <c r="I2920" s="29"/>
      <c r="J2920" s="30"/>
      <c r="K2920" s="30"/>
      <c r="L2920" s="29"/>
      <c r="M2920" s="32" t="str">
        <f aca="false">IF(OR(C2920="",L2920=""),"",IF(C2920=L2920,"同一","変更"))</f>
        <v/>
      </c>
      <c r="N2920" s="29"/>
      <c r="O2920" s="30"/>
      <c r="P2920" s="29"/>
      <c r="Q2920" s="31"/>
      <c r="R2920" s="29"/>
      <c r="S2920" s="29"/>
      <c r="T2920" s="30"/>
      <c r="U2920" s="47" t="str">
        <f aca="false">IF(AND(B2920&lt;&gt;"",B2920=SW別シート!$C$3),COUNTIF(B$5:B2920,B2920),"")</f>
        <v/>
      </c>
      <c r="V2920" s="47" t="n">
        <f aca="false">V2919+IF(OR(O2920&lt;&gt;"",W2920&lt;&gt;""),1,0)</f>
        <v>3</v>
      </c>
      <c r="W2920" s="29"/>
    </row>
    <row r="2921" customFormat="false" ht="15" hidden="false" customHeight="false" outlineLevel="0" collapsed="false">
      <c r="A2921" s="32" t="str">
        <f aca="false">IF(B2921="","",ROW()-7)</f>
        <v/>
      </c>
      <c r="B2921" s="30"/>
      <c r="C2921" s="29"/>
      <c r="D2921" s="29"/>
      <c r="E2921" s="29"/>
      <c r="F2921" s="30"/>
      <c r="G2921" s="29"/>
      <c r="H2921" s="30"/>
      <c r="I2921" s="29"/>
      <c r="J2921" s="30"/>
      <c r="K2921" s="30"/>
      <c r="L2921" s="29"/>
      <c r="M2921" s="32" t="str">
        <f aca="false">IF(OR(C2921="",L2921=""),"",IF(C2921=L2921,"同一","変更"))</f>
        <v/>
      </c>
      <c r="N2921" s="29"/>
      <c r="O2921" s="30"/>
      <c r="P2921" s="29"/>
      <c r="Q2921" s="31"/>
      <c r="R2921" s="29"/>
      <c r="S2921" s="29"/>
      <c r="T2921" s="30"/>
      <c r="U2921" s="47" t="str">
        <f aca="false">IF(AND(B2921&lt;&gt;"",B2921=SW別シート!$C$3),COUNTIF(B$5:B2921,B2921),"")</f>
        <v/>
      </c>
      <c r="V2921" s="47" t="n">
        <f aca="false">V2920+IF(OR(O2921&lt;&gt;"",W2921&lt;&gt;""),1,0)</f>
        <v>3</v>
      </c>
      <c r="W2921" s="29"/>
    </row>
    <row r="2922" customFormat="false" ht="15" hidden="false" customHeight="false" outlineLevel="0" collapsed="false">
      <c r="A2922" s="32" t="str">
        <f aca="false">IF(B2922="","",ROW()-7)</f>
        <v/>
      </c>
      <c r="B2922" s="30"/>
      <c r="C2922" s="29"/>
      <c r="D2922" s="29"/>
      <c r="E2922" s="29"/>
      <c r="F2922" s="30"/>
      <c r="G2922" s="29"/>
      <c r="H2922" s="30"/>
      <c r="I2922" s="29"/>
      <c r="J2922" s="30"/>
      <c r="K2922" s="30"/>
      <c r="L2922" s="29"/>
      <c r="M2922" s="32" t="str">
        <f aca="false">IF(OR(C2922="",L2922=""),"",IF(C2922=L2922,"同一","変更"))</f>
        <v/>
      </c>
      <c r="N2922" s="29"/>
      <c r="O2922" s="30"/>
      <c r="P2922" s="29"/>
      <c r="Q2922" s="31"/>
      <c r="R2922" s="29"/>
      <c r="S2922" s="29"/>
      <c r="T2922" s="30"/>
      <c r="U2922" s="47" t="str">
        <f aca="false">IF(AND(B2922&lt;&gt;"",B2922=SW別シート!$C$3),COUNTIF(B$5:B2922,B2922),"")</f>
        <v/>
      </c>
      <c r="V2922" s="47" t="n">
        <f aca="false">V2921+IF(OR(O2922&lt;&gt;"",W2922&lt;&gt;""),1,0)</f>
        <v>3</v>
      </c>
      <c r="W2922" s="29"/>
    </row>
    <row r="2923" customFormat="false" ht="15" hidden="false" customHeight="false" outlineLevel="0" collapsed="false">
      <c r="A2923" s="32" t="str">
        <f aca="false">IF(B2923="","",ROW()-7)</f>
        <v/>
      </c>
      <c r="B2923" s="30"/>
      <c r="C2923" s="29"/>
      <c r="D2923" s="29"/>
      <c r="E2923" s="29"/>
      <c r="F2923" s="30"/>
      <c r="G2923" s="29"/>
      <c r="H2923" s="30"/>
      <c r="I2923" s="29"/>
      <c r="J2923" s="30"/>
      <c r="K2923" s="30"/>
      <c r="L2923" s="29"/>
      <c r="M2923" s="32" t="str">
        <f aca="false">IF(OR(C2923="",L2923=""),"",IF(C2923=L2923,"同一","変更"))</f>
        <v/>
      </c>
      <c r="N2923" s="29"/>
      <c r="O2923" s="30"/>
      <c r="P2923" s="29"/>
      <c r="Q2923" s="31"/>
      <c r="R2923" s="29"/>
      <c r="S2923" s="29"/>
      <c r="T2923" s="30"/>
      <c r="U2923" s="47" t="str">
        <f aca="false">IF(AND(B2923&lt;&gt;"",B2923=SW別シート!$C$3),COUNTIF(B$5:B2923,B2923),"")</f>
        <v/>
      </c>
      <c r="V2923" s="47" t="n">
        <f aca="false">V2922+IF(OR(O2923&lt;&gt;"",W2923&lt;&gt;""),1,0)</f>
        <v>3</v>
      </c>
      <c r="W2923" s="29"/>
    </row>
    <row r="2924" customFormat="false" ht="15" hidden="false" customHeight="false" outlineLevel="0" collapsed="false">
      <c r="A2924" s="32" t="str">
        <f aca="false">IF(B2924="","",ROW()-7)</f>
        <v/>
      </c>
      <c r="B2924" s="30"/>
      <c r="C2924" s="29"/>
      <c r="D2924" s="29"/>
      <c r="E2924" s="29"/>
      <c r="F2924" s="30"/>
      <c r="G2924" s="29"/>
      <c r="H2924" s="30"/>
      <c r="I2924" s="29"/>
      <c r="J2924" s="30"/>
      <c r="K2924" s="30"/>
      <c r="L2924" s="29"/>
      <c r="M2924" s="32" t="str">
        <f aca="false">IF(OR(C2924="",L2924=""),"",IF(C2924=L2924,"同一","変更"))</f>
        <v/>
      </c>
      <c r="N2924" s="29"/>
      <c r="O2924" s="30"/>
      <c r="P2924" s="29"/>
      <c r="Q2924" s="31"/>
      <c r="R2924" s="29"/>
      <c r="S2924" s="29"/>
      <c r="T2924" s="30"/>
      <c r="U2924" s="47" t="str">
        <f aca="false">IF(AND(B2924&lt;&gt;"",B2924=SW別シート!$C$3),COUNTIF(B$5:B2924,B2924),"")</f>
        <v/>
      </c>
      <c r="V2924" s="47" t="n">
        <f aca="false">V2923+IF(OR(O2924&lt;&gt;"",W2924&lt;&gt;""),1,0)</f>
        <v>3</v>
      </c>
      <c r="W2924" s="29"/>
    </row>
    <row r="2925" customFormat="false" ht="15" hidden="false" customHeight="false" outlineLevel="0" collapsed="false">
      <c r="A2925" s="32" t="str">
        <f aca="false">IF(B2925="","",ROW()-7)</f>
        <v/>
      </c>
      <c r="B2925" s="30"/>
      <c r="C2925" s="29"/>
      <c r="D2925" s="29"/>
      <c r="E2925" s="29"/>
      <c r="F2925" s="30"/>
      <c r="G2925" s="29"/>
      <c r="H2925" s="30"/>
      <c r="I2925" s="29"/>
      <c r="J2925" s="30"/>
      <c r="K2925" s="30"/>
      <c r="L2925" s="29"/>
      <c r="M2925" s="32" t="str">
        <f aca="false">IF(OR(C2925="",L2925=""),"",IF(C2925=L2925,"同一","変更"))</f>
        <v/>
      </c>
      <c r="N2925" s="29"/>
      <c r="O2925" s="30"/>
      <c r="P2925" s="29"/>
      <c r="Q2925" s="31"/>
      <c r="R2925" s="29"/>
      <c r="S2925" s="29"/>
      <c r="T2925" s="30"/>
      <c r="U2925" s="47" t="str">
        <f aca="false">IF(AND(B2925&lt;&gt;"",B2925=SW別シート!$C$3),COUNTIF(B$5:B2925,B2925),"")</f>
        <v/>
      </c>
      <c r="V2925" s="47" t="n">
        <f aca="false">V2924+IF(OR(O2925&lt;&gt;"",W2925&lt;&gt;""),1,0)</f>
        <v>3</v>
      </c>
      <c r="W2925" s="29"/>
    </row>
    <row r="2926" customFormat="false" ht="15" hidden="false" customHeight="false" outlineLevel="0" collapsed="false">
      <c r="A2926" s="32" t="str">
        <f aca="false">IF(B2926="","",ROW()-7)</f>
        <v/>
      </c>
      <c r="B2926" s="30"/>
      <c r="C2926" s="29"/>
      <c r="D2926" s="29"/>
      <c r="E2926" s="29"/>
      <c r="F2926" s="30"/>
      <c r="G2926" s="29"/>
      <c r="H2926" s="30"/>
      <c r="I2926" s="29"/>
      <c r="J2926" s="30"/>
      <c r="K2926" s="30"/>
      <c r="L2926" s="29"/>
      <c r="M2926" s="32" t="str">
        <f aca="false">IF(OR(C2926="",L2926=""),"",IF(C2926=L2926,"同一","変更"))</f>
        <v/>
      </c>
      <c r="N2926" s="29"/>
      <c r="O2926" s="30"/>
      <c r="P2926" s="29"/>
      <c r="Q2926" s="31"/>
      <c r="R2926" s="29"/>
      <c r="S2926" s="29"/>
      <c r="T2926" s="30"/>
      <c r="U2926" s="47" t="str">
        <f aca="false">IF(AND(B2926&lt;&gt;"",B2926=SW別シート!$C$3),COUNTIF(B$5:B2926,B2926),"")</f>
        <v/>
      </c>
      <c r="V2926" s="47" t="n">
        <f aca="false">V2925+IF(OR(O2926&lt;&gt;"",W2926&lt;&gt;""),1,0)</f>
        <v>3</v>
      </c>
      <c r="W2926" s="29"/>
    </row>
    <row r="2927" customFormat="false" ht="15" hidden="false" customHeight="false" outlineLevel="0" collapsed="false">
      <c r="A2927" s="32" t="str">
        <f aca="false">IF(B2927="","",ROW()-7)</f>
        <v/>
      </c>
      <c r="B2927" s="30"/>
      <c r="C2927" s="29"/>
      <c r="D2927" s="29"/>
      <c r="E2927" s="29"/>
      <c r="F2927" s="30"/>
      <c r="G2927" s="29"/>
      <c r="H2927" s="30"/>
      <c r="I2927" s="29"/>
      <c r="J2927" s="30"/>
      <c r="K2927" s="30"/>
      <c r="L2927" s="29"/>
      <c r="M2927" s="32" t="str">
        <f aca="false">IF(OR(C2927="",L2927=""),"",IF(C2927=L2927,"同一","変更"))</f>
        <v/>
      </c>
      <c r="N2927" s="29"/>
      <c r="O2927" s="30"/>
      <c r="P2927" s="29"/>
      <c r="Q2927" s="31"/>
      <c r="R2927" s="29"/>
      <c r="S2927" s="29"/>
      <c r="T2927" s="30"/>
      <c r="U2927" s="47" t="str">
        <f aca="false">IF(AND(B2927&lt;&gt;"",B2927=SW別シート!$C$3),COUNTIF(B$5:B2927,B2927),"")</f>
        <v/>
      </c>
      <c r="V2927" s="47" t="n">
        <f aca="false">V2926+IF(OR(O2927&lt;&gt;"",W2927&lt;&gt;""),1,0)</f>
        <v>3</v>
      </c>
      <c r="W2927" s="29"/>
    </row>
    <row r="2928" customFormat="false" ht="15" hidden="false" customHeight="false" outlineLevel="0" collapsed="false">
      <c r="A2928" s="32" t="str">
        <f aca="false">IF(B2928="","",ROW()-7)</f>
        <v/>
      </c>
      <c r="B2928" s="30"/>
      <c r="C2928" s="29"/>
      <c r="D2928" s="29"/>
      <c r="E2928" s="29"/>
      <c r="F2928" s="30"/>
      <c r="G2928" s="29"/>
      <c r="H2928" s="30"/>
      <c r="I2928" s="29"/>
      <c r="J2928" s="30"/>
      <c r="K2928" s="30"/>
      <c r="L2928" s="29"/>
      <c r="M2928" s="32" t="str">
        <f aca="false">IF(OR(C2928="",L2928=""),"",IF(C2928=L2928,"同一","変更"))</f>
        <v/>
      </c>
      <c r="N2928" s="29"/>
      <c r="O2928" s="30"/>
      <c r="P2928" s="29"/>
      <c r="Q2928" s="31"/>
      <c r="R2928" s="29"/>
      <c r="S2928" s="29"/>
      <c r="T2928" s="30"/>
      <c r="U2928" s="47" t="str">
        <f aca="false">IF(AND(B2928&lt;&gt;"",B2928=SW別シート!$C$3),COUNTIF(B$5:B2928,B2928),"")</f>
        <v/>
      </c>
      <c r="V2928" s="47" t="n">
        <f aca="false">V2927+IF(OR(O2928&lt;&gt;"",W2928&lt;&gt;""),1,0)</f>
        <v>3</v>
      </c>
      <c r="W2928" s="29"/>
    </row>
    <row r="2929" customFormat="false" ht="15" hidden="false" customHeight="false" outlineLevel="0" collapsed="false">
      <c r="A2929" s="32" t="str">
        <f aca="false">IF(B2929="","",ROW()-7)</f>
        <v/>
      </c>
      <c r="B2929" s="30"/>
      <c r="C2929" s="29"/>
      <c r="D2929" s="29"/>
      <c r="E2929" s="29"/>
      <c r="F2929" s="30"/>
      <c r="G2929" s="29"/>
      <c r="H2929" s="30"/>
      <c r="I2929" s="29"/>
      <c r="J2929" s="30"/>
      <c r="K2929" s="30"/>
      <c r="L2929" s="29"/>
      <c r="M2929" s="32" t="str">
        <f aca="false">IF(OR(C2929="",L2929=""),"",IF(C2929=L2929,"同一","変更"))</f>
        <v/>
      </c>
      <c r="N2929" s="29"/>
      <c r="O2929" s="30"/>
      <c r="P2929" s="29"/>
      <c r="Q2929" s="31"/>
      <c r="R2929" s="29"/>
      <c r="S2929" s="29"/>
      <c r="T2929" s="30"/>
      <c r="U2929" s="47" t="str">
        <f aca="false">IF(AND(B2929&lt;&gt;"",B2929=SW別シート!$C$3),COUNTIF(B$5:B2929,B2929),"")</f>
        <v/>
      </c>
      <c r="V2929" s="47" t="n">
        <f aca="false">V2928+IF(OR(O2929&lt;&gt;"",W2929&lt;&gt;""),1,0)</f>
        <v>3</v>
      </c>
      <c r="W2929" s="29"/>
    </row>
    <row r="2930" customFormat="false" ht="15" hidden="false" customHeight="false" outlineLevel="0" collapsed="false">
      <c r="A2930" s="32" t="str">
        <f aca="false">IF(B2930="","",ROW()-7)</f>
        <v/>
      </c>
      <c r="B2930" s="30"/>
      <c r="C2930" s="29"/>
      <c r="D2930" s="29"/>
      <c r="E2930" s="29"/>
      <c r="F2930" s="30"/>
      <c r="G2930" s="29"/>
      <c r="H2930" s="30"/>
      <c r="I2930" s="29"/>
      <c r="J2930" s="30"/>
      <c r="K2930" s="30"/>
      <c r="L2930" s="29"/>
      <c r="M2930" s="32" t="str">
        <f aca="false">IF(OR(C2930="",L2930=""),"",IF(C2930=L2930,"同一","変更"))</f>
        <v/>
      </c>
      <c r="N2930" s="29"/>
      <c r="O2930" s="30"/>
      <c r="P2930" s="29"/>
      <c r="Q2930" s="31"/>
      <c r="R2930" s="29"/>
      <c r="S2930" s="29"/>
      <c r="T2930" s="30"/>
      <c r="U2930" s="47" t="str">
        <f aca="false">IF(AND(B2930&lt;&gt;"",B2930=SW別シート!$C$3),COUNTIF(B$5:B2930,B2930),"")</f>
        <v/>
      </c>
      <c r="V2930" s="47" t="n">
        <f aca="false">V2929+IF(OR(O2930&lt;&gt;"",W2930&lt;&gt;""),1,0)</f>
        <v>3</v>
      </c>
      <c r="W2930" s="29"/>
    </row>
    <row r="2931" customFormat="false" ht="15" hidden="false" customHeight="false" outlineLevel="0" collapsed="false">
      <c r="A2931" s="32" t="str">
        <f aca="false">IF(B2931="","",ROW()-7)</f>
        <v/>
      </c>
      <c r="B2931" s="30"/>
      <c r="C2931" s="29"/>
      <c r="D2931" s="29"/>
      <c r="E2931" s="29"/>
      <c r="F2931" s="30"/>
      <c r="G2931" s="29"/>
      <c r="H2931" s="30"/>
      <c r="I2931" s="29"/>
      <c r="J2931" s="30"/>
      <c r="K2931" s="30"/>
      <c r="L2931" s="29"/>
      <c r="M2931" s="32" t="str">
        <f aca="false">IF(OR(C2931="",L2931=""),"",IF(C2931=L2931,"同一","変更"))</f>
        <v/>
      </c>
      <c r="N2931" s="29"/>
      <c r="O2931" s="30"/>
      <c r="P2931" s="29"/>
      <c r="Q2931" s="31"/>
      <c r="R2931" s="29"/>
      <c r="S2931" s="29"/>
      <c r="T2931" s="30"/>
      <c r="U2931" s="47" t="str">
        <f aca="false">IF(AND(B2931&lt;&gt;"",B2931=SW別シート!$C$3),COUNTIF(B$5:B2931,B2931),"")</f>
        <v/>
      </c>
      <c r="V2931" s="47" t="n">
        <f aca="false">V2930+IF(OR(O2931&lt;&gt;"",W2931&lt;&gt;""),1,0)</f>
        <v>3</v>
      </c>
      <c r="W2931" s="29"/>
    </row>
    <row r="2932" customFormat="false" ht="15" hidden="false" customHeight="false" outlineLevel="0" collapsed="false">
      <c r="A2932" s="32" t="str">
        <f aca="false">IF(B2932="","",ROW()-7)</f>
        <v/>
      </c>
      <c r="B2932" s="30"/>
      <c r="C2932" s="29"/>
      <c r="D2932" s="29"/>
      <c r="E2932" s="29"/>
      <c r="F2932" s="30"/>
      <c r="G2932" s="29"/>
      <c r="H2932" s="30"/>
      <c r="I2932" s="29"/>
      <c r="J2932" s="30"/>
      <c r="K2932" s="30"/>
      <c r="L2932" s="29"/>
      <c r="M2932" s="32" t="str">
        <f aca="false">IF(OR(C2932="",L2932=""),"",IF(C2932=L2932,"同一","変更"))</f>
        <v/>
      </c>
      <c r="N2932" s="29"/>
      <c r="O2932" s="30"/>
      <c r="P2932" s="29"/>
      <c r="Q2932" s="31"/>
      <c r="R2932" s="29"/>
      <c r="S2932" s="29"/>
      <c r="T2932" s="30"/>
      <c r="U2932" s="47" t="str">
        <f aca="false">IF(AND(B2932&lt;&gt;"",B2932=SW別シート!$C$3),COUNTIF(B$5:B2932,B2932),"")</f>
        <v/>
      </c>
      <c r="V2932" s="47" t="n">
        <f aca="false">V2931+IF(OR(O2932&lt;&gt;"",W2932&lt;&gt;""),1,0)</f>
        <v>3</v>
      </c>
      <c r="W2932" s="29"/>
    </row>
    <row r="2933" customFormat="false" ht="15" hidden="false" customHeight="false" outlineLevel="0" collapsed="false">
      <c r="A2933" s="32" t="str">
        <f aca="false">IF(B2933="","",ROW()-7)</f>
        <v/>
      </c>
      <c r="B2933" s="30"/>
      <c r="C2933" s="29"/>
      <c r="D2933" s="29"/>
      <c r="E2933" s="29"/>
      <c r="F2933" s="30"/>
      <c r="G2933" s="29"/>
      <c r="H2933" s="30"/>
      <c r="I2933" s="29"/>
      <c r="J2933" s="30"/>
      <c r="K2933" s="30"/>
      <c r="L2933" s="29"/>
      <c r="M2933" s="32" t="str">
        <f aca="false">IF(OR(C2933="",L2933=""),"",IF(C2933=L2933,"同一","変更"))</f>
        <v/>
      </c>
      <c r="N2933" s="29"/>
      <c r="O2933" s="30"/>
      <c r="P2933" s="29"/>
      <c r="Q2933" s="31"/>
      <c r="R2933" s="29"/>
      <c r="S2933" s="29"/>
      <c r="T2933" s="30"/>
      <c r="U2933" s="47" t="str">
        <f aca="false">IF(AND(B2933&lt;&gt;"",B2933=SW別シート!$C$3),COUNTIF(B$5:B2933,B2933),"")</f>
        <v/>
      </c>
      <c r="V2933" s="47" t="n">
        <f aca="false">V2932+IF(OR(O2933&lt;&gt;"",W2933&lt;&gt;""),1,0)</f>
        <v>3</v>
      </c>
      <c r="W2933" s="29"/>
    </row>
    <row r="2934" customFormat="false" ht="15" hidden="false" customHeight="false" outlineLevel="0" collapsed="false">
      <c r="A2934" s="32" t="str">
        <f aca="false">IF(B2934="","",ROW()-7)</f>
        <v/>
      </c>
      <c r="B2934" s="30"/>
      <c r="C2934" s="29"/>
      <c r="D2934" s="29"/>
      <c r="E2934" s="29"/>
      <c r="F2934" s="30"/>
      <c r="G2934" s="29"/>
      <c r="H2934" s="30"/>
      <c r="I2934" s="29"/>
      <c r="J2934" s="30"/>
      <c r="K2934" s="30"/>
      <c r="L2934" s="29"/>
      <c r="M2934" s="32" t="str">
        <f aca="false">IF(OR(C2934="",L2934=""),"",IF(C2934=L2934,"同一","変更"))</f>
        <v/>
      </c>
      <c r="N2934" s="29"/>
      <c r="O2934" s="30"/>
      <c r="P2934" s="29"/>
      <c r="Q2934" s="31"/>
      <c r="R2934" s="29"/>
      <c r="S2934" s="29"/>
      <c r="T2934" s="30"/>
      <c r="U2934" s="47" t="str">
        <f aca="false">IF(AND(B2934&lt;&gt;"",B2934=SW別シート!$C$3),COUNTIF(B$5:B2934,B2934),"")</f>
        <v/>
      </c>
      <c r="V2934" s="47" t="n">
        <f aca="false">V2933+IF(OR(O2934&lt;&gt;"",W2934&lt;&gt;""),1,0)</f>
        <v>3</v>
      </c>
      <c r="W2934" s="29"/>
    </row>
    <row r="2935" customFormat="false" ht="15" hidden="false" customHeight="false" outlineLevel="0" collapsed="false">
      <c r="A2935" s="32" t="str">
        <f aca="false">IF(B2935="","",ROW()-7)</f>
        <v/>
      </c>
      <c r="B2935" s="30"/>
      <c r="C2935" s="29"/>
      <c r="D2935" s="29"/>
      <c r="E2935" s="29"/>
      <c r="F2935" s="30"/>
      <c r="G2935" s="29"/>
      <c r="H2935" s="30"/>
      <c r="I2935" s="29"/>
      <c r="J2935" s="30"/>
      <c r="K2935" s="30"/>
      <c r="L2935" s="29"/>
      <c r="M2935" s="32" t="str">
        <f aca="false">IF(OR(C2935="",L2935=""),"",IF(C2935=L2935,"同一","変更"))</f>
        <v/>
      </c>
      <c r="N2935" s="29"/>
      <c r="O2935" s="30"/>
      <c r="P2935" s="29"/>
      <c r="Q2935" s="31"/>
      <c r="R2935" s="29"/>
      <c r="S2935" s="29"/>
      <c r="T2935" s="30"/>
      <c r="U2935" s="47" t="str">
        <f aca="false">IF(AND(B2935&lt;&gt;"",B2935=SW別シート!$C$3),COUNTIF(B$5:B2935,B2935),"")</f>
        <v/>
      </c>
      <c r="V2935" s="47" t="n">
        <f aca="false">V2934+IF(OR(O2935&lt;&gt;"",W2935&lt;&gt;""),1,0)</f>
        <v>3</v>
      </c>
      <c r="W2935" s="29"/>
    </row>
    <row r="2936" customFormat="false" ht="15" hidden="false" customHeight="false" outlineLevel="0" collapsed="false">
      <c r="A2936" s="32" t="str">
        <f aca="false">IF(B2936="","",ROW()-7)</f>
        <v/>
      </c>
      <c r="B2936" s="30"/>
      <c r="C2936" s="29"/>
      <c r="D2936" s="29"/>
      <c r="E2936" s="29"/>
      <c r="F2936" s="30"/>
      <c r="G2936" s="29"/>
      <c r="H2936" s="30"/>
      <c r="I2936" s="29"/>
      <c r="J2936" s="30"/>
      <c r="K2936" s="30"/>
      <c r="L2936" s="29"/>
      <c r="M2936" s="32" t="str">
        <f aca="false">IF(OR(C2936="",L2936=""),"",IF(C2936=L2936,"同一","変更"))</f>
        <v/>
      </c>
      <c r="N2936" s="29"/>
      <c r="O2936" s="30"/>
      <c r="P2936" s="29"/>
      <c r="Q2936" s="31"/>
      <c r="R2936" s="29"/>
      <c r="S2936" s="29"/>
      <c r="T2936" s="30"/>
      <c r="U2936" s="47" t="str">
        <f aca="false">IF(AND(B2936&lt;&gt;"",B2936=SW別シート!$C$3),COUNTIF(B$5:B2936,B2936),"")</f>
        <v/>
      </c>
      <c r="V2936" s="47" t="n">
        <f aca="false">V2935+IF(OR(O2936&lt;&gt;"",W2936&lt;&gt;""),1,0)</f>
        <v>3</v>
      </c>
      <c r="W2936" s="29"/>
    </row>
    <row r="2937" customFormat="false" ht="15" hidden="false" customHeight="false" outlineLevel="0" collapsed="false">
      <c r="A2937" s="32" t="str">
        <f aca="false">IF(B2937="","",ROW()-7)</f>
        <v/>
      </c>
      <c r="B2937" s="30"/>
      <c r="C2937" s="29"/>
      <c r="D2937" s="29"/>
      <c r="E2937" s="29"/>
      <c r="F2937" s="30"/>
      <c r="G2937" s="29"/>
      <c r="H2937" s="30"/>
      <c r="I2937" s="29"/>
      <c r="J2937" s="30"/>
      <c r="K2937" s="30"/>
      <c r="L2937" s="29"/>
      <c r="M2937" s="32" t="str">
        <f aca="false">IF(OR(C2937="",L2937=""),"",IF(C2937=L2937,"同一","変更"))</f>
        <v/>
      </c>
      <c r="N2937" s="29"/>
      <c r="O2937" s="30"/>
      <c r="P2937" s="29"/>
      <c r="Q2937" s="31"/>
      <c r="R2937" s="29"/>
      <c r="S2937" s="29"/>
      <c r="T2937" s="30"/>
      <c r="U2937" s="47" t="str">
        <f aca="false">IF(AND(B2937&lt;&gt;"",B2937=SW別シート!$C$3),COUNTIF(B$5:B2937,B2937),"")</f>
        <v/>
      </c>
      <c r="V2937" s="47" t="n">
        <f aca="false">V2936+IF(OR(O2937&lt;&gt;"",W2937&lt;&gt;""),1,0)</f>
        <v>3</v>
      </c>
      <c r="W2937" s="29"/>
    </row>
    <row r="2938" customFormat="false" ht="15" hidden="false" customHeight="false" outlineLevel="0" collapsed="false">
      <c r="A2938" s="32" t="str">
        <f aca="false">IF(B2938="","",ROW()-7)</f>
        <v/>
      </c>
      <c r="B2938" s="30"/>
      <c r="C2938" s="29"/>
      <c r="D2938" s="29"/>
      <c r="E2938" s="29"/>
      <c r="F2938" s="30"/>
      <c r="G2938" s="29"/>
      <c r="H2938" s="30"/>
      <c r="I2938" s="29"/>
      <c r="J2938" s="30"/>
      <c r="K2938" s="30"/>
      <c r="L2938" s="29"/>
      <c r="M2938" s="32" t="str">
        <f aca="false">IF(OR(C2938="",L2938=""),"",IF(C2938=L2938,"同一","変更"))</f>
        <v/>
      </c>
      <c r="N2938" s="29"/>
      <c r="O2938" s="30"/>
      <c r="P2938" s="29"/>
      <c r="Q2938" s="31"/>
      <c r="R2938" s="29"/>
      <c r="S2938" s="29"/>
      <c r="T2938" s="30"/>
      <c r="U2938" s="47" t="str">
        <f aca="false">IF(AND(B2938&lt;&gt;"",B2938=SW別シート!$C$3),COUNTIF(B$5:B2938,B2938),"")</f>
        <v/>
      </c>
      <c r="V2938" s="47" t="n">
        <f aca="false">V2937+IF(OR(O2938&lt;&gt;"",W2938&lt;&gt;""),1,0)</f>
        <v>3</v>
      </c>
      <c r="W2938" s="29"/>
    </row>
    <row r="2939" customFormat="false" ht="15" hidden="false" customHeight="false" outlineLevel="0" collapsed="false">
      <c r="A2939" s="32" t="str">
        <f aca="false">IF(B2939="","",ROW()-7)</f>
        <v/>
      </c>
      <c r="B2939" s="30"/>
      <c r="C2939" s="29"/>
      <c r="D2939" s="29"/>
      <c r="E2939" s="29"/>
      <c r="F2939" s="30"/>
      <c r="G2939" s="29"/>
      <c r="H2939" s="30"/>
      <c r="I2939" s="29"/>
      <c r="J2939" s="30"/>
      <c r="K2939" s="30"/>
      <c r="L2939" s="29"/>
      <c r="M2939" s="32" t="str">
        <f aca="false">IF(OR(C2939="",L2939=""),"",IF(C2939=L2939,"同一","変更"))</f>
        <v/>
      </c>
      <c r="N2939" s="29"/>
      <c r="O2939" s="30"/>
      <c r="P2939" s="29"/>
      <c r="Q2939" s="31"/>
      <c r="R2939" s="29"/>
      <c r="S2939" s="29"/>
      <c r="T2939" s="30"/>
      <c r="U2939" s="47" t="str">
        <f aca="false">IF(AND(B2939&lt;&gt;"",B2939=SW別シート!$C$3),COUNTIF(B$5:B2939,B2939),"")</f>
        <v/>
      </c>
      <c r="V2939" s="47" t="n">
        <f aca="false">V2938+IF(OR(O2939&lt;&gt;"",W2939&lt;&gt;""),1,0)</f>
        <v>3</v>
      </c>
      <c r="W2939" s="29"/>
    </row>
    <row r="2940" customFormat="false" ht="15" hidden="false" customHeight="false" outlineLevel="0" collapsed="false">
      <c r="A2940" s="32" t="str">
        <f aca="false">IF(B2940="","",ROW()-7)</f>
        <v/>
      </c>
      <c r="B2940" s="30"/>
      <c r="C2940" s="29"/>
      <c r="D2940" s="29"/>
      <c r="E2940" s="29"/>
      <c r="F2940" s="30"/>
      <c r="G2940" s="29"/>
      <c r="H2940" s="30"/>
      <c r="I2940" s="29"/>
      <c r="J2940" s="30"/>
      <c r="K2940" s="30"/>
      <c r="L2940" s="29"/>
      <c r="M2940" s="32" t="str">
        <f aca="false">IF(OR(C2940="",L2940=""),"",IF(C2940=L2940,"同一","変更"))</f>
        <v/>
      </c>
      <c r="N2940" s="29"/>
      <c r="O2940" s="30"/>
      <c r="P2940" s="29"/>
      <c r="Q2940" s="31"/>
      <c r="R2940" s="29"/>
      <c r="S2940" s="29"/>
      <c r="T2940" s="30"/>
      <c r="U2940" s="47" t="str">
        <f aca="false">IF(AND(B2940&lt;&gt;"",B2940=SW別シート!$C$3),COUNTIF(B$5:B2940,B2940),"")</f>
        <v/>
      </c>
      <c r="V2940" s="47" t="n">
        <f aca="false">V2939+IF(OR(O2940&lt;&gt;"",W2940&lt;&gt;""),1,0)</f>
        <v>3</v>
      </c>
      <c r="W2940" s="29"/>
    </row>
    <row r="2941" customFormat="false" ht="15" hidden="false" customHeight="false" outlineLevel="0" collapsed="false">
      <c r="A2941" s="32" t="str">
        <f aca="false">IF(B2941="","",ROW()-7)</f>
        <v/>
      </c>
      <c r="B2941" s="30"/>
      <c r="C2941" s="29"/>
      <c r="D2941" s="29"/>
      <c r="E2941" s="29"/>
      <c r="F2941" s="30"/>
      <c r="G2941" s="29"/>
      <c r="H2941" s="30"/>
      <c r="I2941" s="29"/>
      <c r="J2941" s="30"/>
      <c r="K2941" s="30"/>
      <c r="L2941" s="29"/>
      <c r="M2941" s="32" t="str">
        <f aca="false">IF(OR(C2941="",L2941=""),"",IF(C2941=L2941,"同一","変更"))</f>
        <v/>
      </c>
      <c r="N2941" s="29"/>
      <c r="O2941" s="30"/>
      <c r="P2941" s="29"/>
      <c r="Q2941" s="31"/>
      <c r="R2941" s="29"/>
      <c r="S2941" s="29"/>
      <c r="T2941" s="30"/>
      <c r="U2941" s="47" t="str">
        <f aca="false">IF(AND(B2941&lt;&gt;"",B2941=SW別シート!$C$3),COUNTIF(B$5:B2941,B2941),"")</f>
        <v/>
      </c>
      <c r="V2941" s="47" t="n">
        <f aca="false">V2940+IF(OR(O2941&lt;&gt;"",W2941&lt;&gt;""),1,0)</f>
        <v>3</v>
      </c>
      <c r="W2941" s="29"/>
    </row>
    <row r="2942" customFormat="false" ht="15" hidden="false" customHeight="false" outlineLevel="0" collapsed="false">
      <c r="A2942" s="32" t="str">
        <f aca="false">IF(B2942="","",ROW()-7)</f>
        <v/>
      </c>
      <c r="B2942" s="30"/>
      <c r="C2942" s="29"/>
      <c r="D2942" s="29"/>
      <c r="E2942" s="29"/>
      <c r="F2942" s="30"/>
      <c r="G2942" s="29"/>
      <c r="H2942" s="30"/>
      <c r="I2942" s="29"/>
      <c r="J2942" s="30"/>
      <c r="K2942" s="30"/>
      <c r="L2942" s="29"/>
      <c r="M2942" s="32" t="str">
        <f aca="false">IF(OR(C2942="",L2942=""),"",IF(C2942=L2942,"同一","変更"))</f>
        <v/>
      </c>
      <c r="N2942" s="29"/>
      <c r="O2942" s="30"/>
      <c r="P2942" s="29"/>
      <c r="Q2942" s="31"/>
      <c r="R2942" s="29"/>
      <c r="S2942" s="29"/>
      <c r="T2942" s="30"/>
      <c r="U2942" s="47" t="str">
        <f aca="false">IF(AND(B2942&lt;&gt;"",B2942=SW別シート!$C$3),COUNTIF(B$5:B2942,B2942),"")</f>
        <v/>
      </c>
      <c r="V2942" s="47" t="n">
        <f aca="false">V2941+IF(OR(O2942&lt;&gt;"",W2942&lt;&gt;""),1,0)</f>
        <v>3</v>
      </c>
      <c r="W2942" s="29"/>
    </row>
    <row r="2943" customFormat="false" ht="15" hidden="false" customHeight="false" outlineLevel="0" collapsed="false">
      <c r="A2943" s="32" t="str">
        <f aca="false">IF(B2943="","",ROW()-7)</f>
        <v/>
      </c>
      <c r="B2943" s="30"/>
      <c r="C2943" s="29"/>
      <c r="D2943" s="29"/>
      <c r="E2943" s="29"/>
      <c r="F2943" s="30"/>
      <c r="G2943" s="29"/>
      <c r="H2943" s="30"/>
      <c r="I2943" s="29"/>
      <c r="J2943" s="30"/>
      <c r="K2943" s="30"/>
      <c r="L2943" s="29"/>
      <c r="M2943" s="32" t="str">
        <f aca="false">IF(OR(C2943="",L2943=""),"",IF(C2943=L2943,"同一","変更"))</f>
        <v/>
      </c>
      <c r="N2943" s="29"/>
      <c r="O2943" s="30"/>
      <c r="P2943" s="29"/>
      <c r="Q2943" s="31"/>
      <c r="R2943" s="29"/>
      <c r="S2943" s="29"/>
      <c r="T2943" s="30"/>
      <c r="U2943" s="47" t="str">
        <f aca="false">IF(AND(B2943&lt;&gt;"",B2943=SW別シート!$C$3),COUNTIF(B$5:B2943,B2943),"")</f>
        <v/>
      </c>
      <c r="V2943" s="47" t="n">
        <f aca="false">V2942+IF(OR(O2943&lt;&gt;"",W2943&lt;&gt;""),1,0)</f>
        <v>3</v>
      </c>
      <c r="W2943" s="29"/>
    </row>
    <row r="2944" customFormat="false" ht="15" hidden="false" customHeight="false" outlineLevel="0" collapsed="false">
      <c r="A2944" s="32" t="str">
        <f aca="false">IF(B2944="","",ROW()-7)</f>
        <v/>
      </c>
      <c r="B2944" s="30"/>
      <c r="C2944" s="29"/>
      <c r="D2944" s="29"/>
      <c r="E2944" s="29"/>
      <c r="F2944" s="30"/>
      <c r="G2944" s="29"/>
      <c r="H2944" s="30"/>
      <c r="I2944" s="29"/>
      <c r="J2944" s="30"/>
      <c r="K2944" s="30"/>
      <c r="L2944" s="29"/>
      <c r="M2944" s="32" t="str">
        <f aca="false">IF(OR(C2944="",L2944=""),"",IF(C2944=L2944,"同一","変更"))</f>
        <v/>
      </c>
      <c r="N2944" s="29"/>
      <c r="O2944" s="30"/>
      <c r="P2944" s="29"/>
      <c r="Q2944" s="31"/>
      <c r="R2944" s="29"/>
      <c r="S2944" s="29"/>
      <c r="T2944" s="30"/>
      <c r="U2944" s="47" t="str">
        <f aca="false">IF(AND(B2944&lt;&gt;"",B2944=SW別シート!$C$3),COUNTIF(B$5:B2944,B2944),"")</f>
        <v/>
      </c>
      <c r="V2944" s="47" t="n">
        <f aca="false">V2943+IF(OR(O2944&lt;&gt;"",W2944&lt;&gt;""),1,0)</f>
        <v>3</v>
      </c>
      <c r="W2944" s="29"/>
    </row>
    <row r="2945" customFormat="false" ht="15" hidden="false" customHeight="false" outlineLevel="0" collapsed="false">
      <c r="A2945" s="32" t="str">
        <f aca="false">IF(B2945="","",ROW()-7)</f>
        <v/>
      </c>
      <c r="B2945" s="30"/>
      <c r="C2945" s="29"/>
      <c r="D2945" s="29"/>
      <c r="E2945" s="29"/>
      <c r="F2945" s="30"/>
      <c r="G2945" s="29"/>
      <c r="H2945" s="30"/>
      <c r="I2945" s="29"/>
      <c r="J2945" s="30"/>
      <c r="K2945" s="30"/>
      <c r="L2945" s="29"/>
      <c r="M2945" s="32" t="str">
        <f aca="false">IF(OR(C2945="",L2945=""),"",IF(C2945=L2945,"同一","変更"))</f>
        <v/>
      </c>
      <c r="N2945" s="29"/>
      <c r="O2945" s="30"/>
      <c r="P2945" s="29"/>
      <c r="Q2945" s="31"/>
      <c r="R2945" s="29"/>
      <c r="S2945" s="29"/>
      <c r="T2945" s="30"/>
      <c r="U2945" s="47" t="str">
        <f aca="false">IF(AND(B2945&lt;&gt;"",B2945=SW別シート!$C$3),COUNTIF(B$5:B2945,B2945),"")</f>
        <v/>
      </c>
      <c r="V2945" s="47" t="n">
        <f aca="false">V2944+IF(OR(O2945&lt;&gt;"",W2945&lt;&gt;""),1,0)</f>
        <v>3</v>
      </c>
      <c r="W2945" s="29"/>
    </row>
    <row r="2946" customFormat="false" ht="15" hidden="false" customHeight="false" outlineLevel="0" collapsed="false">
      <c r="A2946" s="32" t="str">
        <f aca="false">IF(B2946="","",ROW()-7)</f>
        <v/>
      </c>
      <c r="B2946" s="30"/>
      <c r="C2946" s="29"/>
      <c r="D2946" s="29"/>
      <c r="E2946" s="29"/>
      <c r="F2946" s="30"/>
      <c r="G2946" s="29"/>
      <c r="H2946" s="30"/>
      <c r="I2946" s="29"/>
      <c r="J2946" s="30"/>
      <c r="K2946" s="30"/>
      <c r="L2946" s="29"/>
      <c r="M2946" s="32" t="str">
        <f aca="false">IF(OR(C2946="",L2946=""),"",IF(C2946=L2946,"同一","変更"))</f>
        <v/>
      </c>
      <c r="N2946" s="29"/>
      <c r="O2946" s="30"/>
      <c r="P2946" s="29"/>
      <c r="Q2946" s="31"/>
      <c r="R2946" s="29"/>
      <c r="S2946" s="29"/>
      <c r="T2946" s="30"/>
      <c r="U2946" s="47" t="str">
        <f aca="false">IF(AND(B2946&lt;&gt;"",B2946=SW別シート!$C$3),COUNTIF(B$5:B2946,B2946),"")</f>
        <v/>
      </c>
      <c r="V2946" s="47" t="n">
        <f aca="false">V2945+IF(OR(O2946&lt;&gt;"",W2946&lt;&gt;""),1,0)</f>
        <v>3</v>
      </c>
      <c r="W2946" s="29"/>
    </row>
    <row r="2947" customFormat="false" ht="15" hidden="false" customHeight="false" outlineLevel="0" collapsed="false">
      <c r="A2947" s="32" t="str">
        <f aca="false">IF(B2947="","",ROW()-7)</f>
        <v/>
      </c>
      <c r="B2947" s="30"/>
      <c r="C2947" s="29"/>
      <c r="D2947" s="29"/>
      <c r="E2947" s="29"/>
      <c r="F2947" s="30"/>
      <c r="G2947" s="29"/>
      <c r="H2947" s="30"/>
      <c r="I2947" s="29"/>
      <c r="J2947" s="30"/>
      <c r="K2947" s="30"/>
      <c r="L2947" s="29"/>
      <c r="M2947" s="32" t="str">
        <f aca="false">IF(OR(C2947="",L2947=""),"",IF(C2947=L2947,"同一","変更"))</f>
        <v/>
      </c>
      <c r="N2947" s="29"/>
      <c r="O2947" s="30"/>
      <c r="P2947" s="29"/>
      <c r="Q2947" s="31"/>
      <c r="R2947" s="29"/>
      <c r="S2947" s="29"/>
      <c r="T2947" s="30"/>
      <c r="U2947" s="47" t="str">
        <f aca="false">IF(AND(B2947&lt;&gt;"",B2947=SW別シート!$C$3),COUNTIF(B$5:B2947,B2947),"")</f>
        <v/>
      </c>
      <c r="V2947" s="47" t="n">
        <f aca="false">V2946+IF(OR(O2947&lt;&gt;"",W2947&lt;&gt;""),1,0)</f>
        <v>3</v>
      </c>
      <c r="W2947" s="29"/>
    </row>
    <row r="2948" customFormat="false" ht="15" hidden="false" customHeight="false" outlineLevel="0" collapsed="false">
      <c r="A2948" s="32" t="str">
        <f aca="false">IF(B2948="","",ROW()-7)</f>
        <v/>
      </c>
      <c r="B2948" s="30"/>
      <c r="C2948" s="29"/>
      <c r="D2948" s="29"/>
      <c r="E2948" s="29"/>
      <c r="F2948" s="30"/>
      <c r="G2948" s="29"/>
      <c r="H2948" s="30"/>
      <c r="I2948" s="29"/>
      <c r="J2948" s="30"/>
      <c r="K2948" s="30"/>
      <c r="L2948" s="29"/>
      <c r="M2948" s="32" t="str">
        <f aca="false">IF(OR(C2948="",L2948=""),"",IF(C2948=L2948,"同一","変更"))</f>
        <v/>
      </c>
      <c r="N2948" s="29"/>
      <c r="O2948" s="30"/>
      <c r="P2948" s="29"/>
      <c r="Q2948" s="31"/>
      <c r="R2948" s="29"/>
      <c r="S2948" s="29"/>
      <c r="T2948" s="30"/>
      <c r="U2948" s="47" t="str">
        <f aca="false">IF(AND(B2948&lt;&gt;"",B2948=SW別シート!$C$3),COUNTIF(B$5:B2948,B2948),"")</f>
        <v/>
      </c>
      <c r="V2948" s="47" t="n">
        <f aca="false">V2947+IF(OR(O2948&lt;&gt;"",W2948&lt;&gt;""),1,0)</f>
        <v>3</v>
      </c>
      <c r="W2948" s="29"/>
    </row>
    <row r="2949" customFormat="false" ht="15" hidden="false" customHeight="false" outlineLevel="0" collapsed="false">
      <c r="A2949" s="32" t="str">
        <f aca="false">IF(B2949="","",ROW()-7)</f>
        <v/>
      </c>
      <c r="B2949" s="30"/>
      <c r="C2949" s="29"/>
      <c r="D2949" s="29"/>
      <c r="E2949" s="29"/>
      <c r="F2949" s="30"/>
      <c r="G2949" s="29"/>
      <c r="H2949" s="30"/>
      <c r="I2949" s="29"/>
      <c r="J2949" s="30"/>
      <c r="K2949" s="30"/>
      <c r="L2949" s="29"/>
      <c r="M2949" s="32" t="str">
        <f aca="false">IF(OR(C2949="",L2949=""),"",IF(C2949=L2949,"同一","変更"))</f>
        <v/>
      </c>
      <c r="N2949" s="29"/>
      <c r="O2949" s="30"/>
      <c r="P2949" s="29"/>
      <c r="Q2949" s="31"/>
      <c r="R2949" s="29"/>
      <c r="S2949" s="29"/>
      <c r="T2949" s="30"/>
      <c r="U2949" s="47" t="str">
        <f aca="false">IF(AND(B2949&lt;&gt;"",B2949=SW別シート!$C$3),COUNTIF(B$5:B2949,B2949),"")</f>
        <v/>
      </c>
      <c r="V2949" s="47" t="n">
        <f aca="false">V2948+IF(OR(O2949&lt;&gt;"",W2949&lt;&gt;""),1,0)</f>
        <v>3</v>
      </c>
      <c r="W2949" s="29"/>
    </row>
    <row r="2950" customFormat="false" ht="15" hidden="false" customHeight="false" outlineLevel="0" collapsed="false">
      <c r="A2950" s="32" t="str">
        <f aca="false">IF(B2950="","",ROW()-7)</f>
        <v/>
      </c>
      <c r="B2950" s="30"/>
      <c r="C2950" s="29"/>
      <c r="D2950" s="29"/>
      <c r="E2950" s="29"/>
      <c r="F2950" s="30"/>
      <c r="G2950" s="29"/>
      <c r="H2950" s="30"/>
      <c r="I2950" s="29"/>
      <c r="J2950" s="30"/>
      <c r="K2950" s="30"/>
      <c r="L2950" s="29"/>
      <c r="M2950" s="32" t="str">
        <f aca="false">IF(OR(C2950="",L2950=""),"",IF(C2950=L2950,"同一","変更"))</f>
        <v/>
      </c>
      <c r="N2950" s="29"/>
      <c r="O2950" s="30"/>
      <c r="P2950" s="29"/>
      <c r="Q2950" s="31"/>
      <c r="R2950" s="29"/>
      <c r="S2950" s="29"/>
      <c r="T2950" s="30"/>
      <c r="U2950" s="47" t="str">
        <f aca="false">IF(AND(B2950&lt;&gt;"",B2950=SW別シート!$C$3),COUNTIF(B$5:B2950,B2950),"")</f>
        <v/>
      </c>
      <c r="V2950" s="47" t="n">
        <f aca="false">V2949+IF(OR(O2950&lt;&gt;"",W2950&lt;&gt;""),1,0)</f>
        <v>3</v>
      </c>
      <c r="W2950" s="29"/>
    </row>
    <row r="2951" customFormat="false" ht="15" hidden="false" customHeight="false" outlineLevel="0" collapsed="false">
      <c r="A2951" s="32" t="str">
        <f aca="false">IF(B2951="","",ROW()-7)</f>
        <v/>
      </c>
      <c r="B2951" s="30"/>
      <c r="C2951" s="29"/>
      <c r="D2951" s="29"/>
      <c r="E2951" s="29"/>
      <c r="F2951" s="30"/>
      <c r="G2951" s="29"/>
      <c r="H2951" s="30"/>
      <c r="I2951" s="29"/>
      <c r="J2951" s="30"/>
      <c r="K2951" s="30"/>
      <c r="L2951" s="29"/>
      <c r="M2951" s="32" t="str">
        <f aca="false">IF(OR(C2951="",L2951=""),"",IF(C2951=L2951,"同一","変更"))</f>
        <v/>
      </c>
      <c r="N2951" s="29"/>
      <c r="O2951" s="30"/>
      <c r="P2951" s="29"/>
      <c r="Q2951" s="31"/>
      <c r="R2951" s="29"/>
      <c r="S2951" s="29"/>
      <c r="T2951" s="30"/>
      <c r="U2951" s="47" t="str">
        <f aca="false">IF(AND(B2951&lt;&gt;"",B2951=SW別シート!$C$3),COUNTIF(B$5:B2951,B2951),"")</f>
        <v/>
      </c>
      <c r="V2951" s="47" t="n">
        <f aca="false">V2950+IF(OR(O2951&lt;&gt;"",W2951&lt;&gt;""),1,0)</f>
        <v>3</v>
      </c>
      <c r="W2951" s="29"/>
    </row>
    <row r="2952" customFormat="false" ht="15" hidden="false" customHeight="false" outlineLevel="0" collapsed="false">
      <c r="A2952" s="32" t="str">
        <f aca="false">IF(B2952="","",ROW()-7)</f>
        <v/>
      </c>
      <c r="B2952" s="30"/>
      <c r="C2952" s="29"/>
      <c r="D2952" s="29"/>
      <c r="E2952" s="29"/>
      <c r="F2952" s="30"/>
      <c r="G2952" s="29"/>
      <c r="H2952" s="30"/>
      <c r="I2952" s="29"/>
      <c r="J2952" s="30"/>
      <c r="K2952" s="30"/>
      <c r="L2952" s="29"/>
      <c r="M2952" s="32" t="str">
        <f aca="false">IF(OR(C2952="",L2952=""),"",IF(C2952=L2952,"同一","変更"))</f>
        <v/>
      </c>
      <c r="N2952" s="29"/>
      <c r="O2952" s="30"/>
      <c r="P2952" s="29"/>
      <c r="Q2952" s="31"/>
      <c r="R2952" s="29"/>
      <c r="S2952" s="29"/>
      <c r="T2952" s="30"/>
      <c r="U2952" s="47" t="str">
        <f aca="false">IF(AND(B2952&lt;&gt;"",B2952=SW別シート!$C$3),COUNTIF(B$5:B2952,B2952),"")</f>
        <v/>
      </c>
      <c r="V2952" s="47" t="n">
        <f aca="false">V2951+IF(OR(O2952&lt;&gt;"",W2952&lt;&gt;""),1,0)</f>
        <v>3</v>
      </c>
      <c r="W2952" s="29"/>
    </row>
    <row r="2953" customFormat="false" ht="15" hidden="false" customHeight="false" outlineLevel="0" collapsed="false">
      <c r="A2953" s="32" t="str">
        <f aca="false">IF(B2953="","",ROW()-7)</f>
        <v/>
      </c>
      <c r="B2953" s="30"/>
      <c r="C2953" s="29"/>
      <c r="D2953" s="29"/>
      <c r="E2953" s="29"/>
      <c r="F2953" s="30"/>
      <c r="G2953" s="29"/>
      <c r="H2953" s="30"/>
      <c r="I2953" s="29"/>
      <c r="J2953" s="30"/>
      <c r="K2953" s="30"/>
      <c r="L2953" s="29"/>
      <c r="M2953" s="32" t="str">
        <f aca="false">IF(OR(C2953="",L2953=""),"",IF(C2953=L2953,"同一","変更"))</f>
        <v/>
      </c>
      <c r="N2953" s="29"/>
      <c r="O2953" s="30"/>
      <c r="P2953" s="29"/>
      <c r="Q2953" s="31"/>
      <c r="R2953" s="29"/>
      <c r="S2953" s="29"/>
      <c r="T2953" s="30"/>
      <c r="U2953" s="47" t="str">
        <f aca="false">IF(AND(B2953&lt;&gt;"",B2953=SW別シート!$C$3),COUNTIF(B$5:B2953,B2953),"")</f>
        <v/>
      </c>
      <c r="V2953" s="47" t="n">
        <f aca="false">V2952+IF(OR(O2953&lt;&gt;"",W2953&lt;&gt;""),1,0)</f>
        <v>3</v>
      </c>
      <c r="W2953" s="29"/>
    </row>
    <row r="2954" customFormat="false" ht="15" hidden="false" customHeight="false" outlineLevel="0" collapsed="false">
      <c r="A2954" s="32" t="str">
        <f aca="false">IF(B2954="","",ROW()-7)</f>
        <v/>
      </c>
      <c r="B2954" s="30"/>
      <c r="C2954" s="29"/>
      <c r="D2954" s="29"/>
      <c r="E2954" s="29"/>
      <c r="F2954" s="30"/>
      <c r="G2954" s="29"/>
      <c r="H2954" s="30"/>
      <c r="I2954" s="29"/>
      <c r="J2954" s="30"/>
      <c r="K2954" s="30"/>
      <c r="L2954" s="29"/>
      <c r="M2954" s="32" t="str">
        <f aca="false">IF(OR(C2954="",L2954=""),"",IF(C2954=L2954,"同一","変更"))</f>
        <v/>
      </c>
      <c r="N2954" s="29"/>
      <c r="O2954" s="30"/>
      <c r="P2954" s="29"/>
      <c r="Q2954" s="31"/>
      <c r="R2954" s="29"/>
      <c r="S2954" s="29"/>
      <c r="T2954" s="30"/>
      <c r="U2954" s="47" t="str">
        <f aca="false">IF(AND(B2954&lt;&gt;"",B2954=SW別シート!$C$3),COUNTIF(B$5:B2954,B2954),"")</f>
        <v/>
      </c>
      <c r="V2954" s="47" t="n">
        <f aca="false">V2953+IF(OR(O2954&lt;&gt;"",W2954&lt;&gt;""),1,0)</f>
        <v>3</v>
      </c>
      <c r="W2954" s="29"/>
    </row>
    <row r="2955" customFormat="false" ht="15" hidden="false" customHeight="false" outlineLevel="0" collapsed="false">
      <c r="A2955" s="32" t="str">
        <f aca="false">IF(B2955="","",ROW()-7)</f>
        <v/>
      </c>
      <c r="B2955" s="30"/>
      <c r="C2955" s="29"/>
      <c r="D2955" s="29"/>
      <c r="E2955" s="29"/>
      <c r="F2955" s="30"/>
      <c r="G2955" s="29"/>
      <c r="H2955" s="30"/>
      <c r="I2955" s="29"/>
      <c r="J2955" s="30"/>
      <c r="K2955" s="30"/>
      <c r="L2955" s="29"/>
      <c r="M2955" s="32" t="str">
        <f aca="false">IF(OR(C2955="",L2955=""),"",IF(C2955=L2955,"同一","変更"))</f>
        <v/>
      </c>
      <c r="N2955" s="29"/>
      <c r="O2955" s="30"/>
      <c r="P2955" s="29"/>
      <c r="Q2955" s="31"/>
      <c r="R2955" s="29"/>
      <c r="S2955" s="29"/>
      <c r="T2955" s="30"/>
      <c r="U2955" s="47" t="str">
        <f aca="false">IF(AND(B2955&lt;&gt;"",B2955=SW別シート!$C$3),COUNTIF(B$5:B2955,B2955),"")</f>
        <v/>
      </c>
      <c r="V2955" s="47" t="n">
        <f aca="false">V2954+IF(OR(O2955&lt;&gt;"",W2955&lt;&gt;""),1,0)</f>
        <v>3</v>
      </c>
      <c r="W2955" s="29"/>
    </row>
    <row r="2956" customFormat="false" ht="15" hidden="false" customHeight="false" outlineLevel="0" collapsed="false">
      <c r="A2956" s="32" t="str">
        <f aca="false">IF(B2956="","",ROW()-7)</f>
        <v/>
      </c>
      <c r="B2956" s="30"/>
      <c r="C2956" s="29"/>
      <c r="D2956" s="29"/>
      <c r="E2956" s="29"/>
      <c r="F2956" s="30"/>
      <c r="G2956" s="29"/>
      <c r="H2956" s="30"/>
      <c r="I2956" s="29"/>
      <c r="J2956" s="30"/>
      <c r="K2956" s="30"/>
      <c r="L2956" s="29"/>
      <c r="M2956" s="32" t="str">
        <f aca="false">IF(OR(C2956="",L2956=""),"",IF(C2956=L2956,"同一","変更"))</f>
        <v/>
      </c>
      <c r="N2956" s="29"/>
      <c r="O2956" s="30"/>
      <c r="P2956" s="29"/>
      <c r="Q2956" s="31"/>
      <c r="R2956" s="29"/>
      <c r="S2956" s="29"/>
      <c r="T2956" s="30"/>
      <c r="U2956" s="47" t="str">
        <f aca="false">IF(AND(B2956&lt;&gt;"",B2956=SW別シート!$C$3),COUNTIF(B$5:B2956,B2956),"")</f>
        <v/>
      </c>
      <c r="V2956" s="47" t="n">
        <f aca="false">V2955+IF(OR(O2956&lt;&gt;"",W2956&lt;&gt;""),1,0)</f>
        <v>3</v>
      </c>
      <c r="W2956" s="29"/>
    </row>
    <row r="2957" customFormat="false" ht="15" hidden="false" customHeight="false" outlineLevel="0" collapsed="false">
      <c r="A2957" s="32" t="str">
        <f aca="false">IF(B2957="","",ROW()-7)</f>
        <v/>
      </c>
      <c r="B2957" s="30"/>
      <c r="C2957" s="29"/>
      <c r="D2957" s="29"/>
      <c r="E2957" s="29"/>
      <c r="F2957" s="30"/>
      <c r="G2957" s="29"/>
      <c r="H2957" s="30"/>
      <c r="I2957" s="29"/>
      <c r="J2957" s="30"/>
      <c r="K2957" s="30"/>
      <c r="L2957" s="29"/>
      <c r="M2957" s="32" t="str">
        <f aca="false">IF(OR(C2957="",L2957=""),"",IF(C2957=L2957,"同一","変更"))</f>
        <v/>
      </c>
      <c r="N2957" s="29"/>
      <c r="O2957" s="30"/>
      <c r="P2957" s="29"/>
      <c r="Q2957" s="31"/>
      <c r="R2957" s="29"/>
      <c r="S2957" s="29"/>
      <c r="T2957" s="30"/>
      <c r="U2957" s="47" t="str">
        <f aca="false">IF(AND(B2957&lt;&gt;"",B2957=SW別シート!$C$3),COUNTIF(B$5:B2957,B2957),"")</f>
        <v/>
      </c>
      <c r="V2957" s="47" t="n">
        <f aca="false">V2956+IF(OR(O2957&lt;&gt;"",W2957&lt;&gt;""),1,0)</f>
        <v>3</v>
      </c>
      <c r="W2957" s="29"/>
    </row>
    <row r="2958" customFormat="false" ht="15" hidden="false" customHeight="false" outlineLevel="0" collapsed="false">
      <c r="A2958" s="32" t="str">
        <f aca="false">IF(B2958="","",ROW()-7)</f>
        <v/>
      </c>
      <c r="B2958" s="30"/>
      <c r="C2958" s="29"/>
      <c r="D2958" s="29"/>
      <c r="E2958" s="29"/>
      <c r="F2958" s="30"/>
      <c r="G2958" s="29"/>
      <c r="H2958" s="30"/>
      <c r="I2958" s="29"/>
      <c r="J2958" s="30"/>
      <c r="K2958" s="30"/>
      <c r="L2958" s="29"/>
      <c r="M2958" s="32" t="str">
        <f aca="false">IF(OR(C2958="",L2958=""),"",IF(C2958=L2958,"同一","変更"))</f>
        <v/>
      </c>
      <c r="N2958" s="29"/>
      <c r="O2958" s="30"/>
      <c r="P2958" s="29"/>
      <c r="Q2958" s="31"/>
      <c r="R2958" s="29"/>
      <c r="S2958" s="29"/>
      <c r="T2958" s="30"/>
      <c r="U2958" s="47" t="str">
        <f aca="false">IF(AND(B2958&lt;&gt;"",B2958=SW別シート!$C$3),COUNTIF(B$5:B2958,B2958),"")</f>
        <v/>
      </c>
      <c r="V2958" s="47" t="n">
        <f aca="false">V2957+IF(OR(O2958&lt;&gt;"",W2958&lt;&gt;""),1,0)</f>
        <v>3</v>
      </c>
      <c r="W2958" s="29"/>
    </row>
    <row r="2959" customFormat="false" ht="15" hidden="false" customHeight="false" outlineLevel="0" collapsed="false">
      <c r="A2959" s="32" t="str">
        <f aca="false">IF(B2959="","",ROW()-7)</f>
        <v/>
      </c>
      <c r="B2959" s="30"/>
      <c r="C2959" s="29"/>
      <c r="D2959" s="29"/>
      <c r="E2959" s="29"/>
      <c r="F2959" s="30"/>
      <c r="G2959" s="29"/>
      <c r="H2959" s="30"/>
      <c r="I2959" s="29"/>
      <c r="J2959" s="30"/>
      <c r="K2959" s="30"/>
      <c r="L2959" s="29"/>
      <c r="M2959" s="32" t="str">
        <f aca="false">IF(OR(C2959="",L2959=""),"",IF(C2959=L2959,"同一","変更"))</f>
        <v/>
      </c>
      <c r="N2959" s="29"/>
      <c r="O2959" s="30"/>
      <c r="P2959" s="29"/>
      <c r="Q2959" s="31"/>
      <c r="R2959" s="29"/>
      <c r="S2959" s="29"/>
      <c r="T2959" s="30"/>
      <c r="U2959" s="47" t="str">
        <f aca="false">IF(AND(B2959&lt;&gt;"",B2959=SW別シート!$C$3),COUNTIF(B$5:B2959,B2959),"")</f>
        <v/>
      </c>
      <c r="V2959" s="47" t="n">
        <f aca="false">V2958+IF(OR(O2959&lt;&gt;"",W2959&lt;&gt;""),1,0)</f>
        <v>3</v>
      </c>
      <c r="W2959" s="29"/>
    </row>
    <row r="2960" customFormat="false" ht="15" hidden="false" customHeight="false" outlineLevel="0" collapsed="false">
      <c r="A2960" s="32" t="str">
        <f aca="false">IF(B2960="","",ROW()-7)</f>
        <v/>
      </c>
      <c r="B2960" s="30"/>
      <c r="C2960" s="29"/>
      <c r="D2960" s="29"/>
      <c r="E2960" s="29"/>
      <c r="F2960" s="30"/>
      <c r="G2960" s="29"/>
      <c r="H2960" s="30"/>
      <c r="I2960" s="29"/>
      <c r="J2960" s="30"/>
      <c r="K2960" s="30"/>
      <c r="L2960" s="29"/>
      <c r="M2960" s="32" t="str">
        <f aca="false">IF(OR(C2960="",L2960=""),"",IF(C2960=L2960,"同一","変更"))</f>
        <v/>
      </c>
      <c r="N2960" s="29"/>
      <c r="O2960" s="30"/>
      <c r="P2960" s="29"/>
      <c r="Q2960" s="31"/>
      <c r="R2960" s="29"/>
      <c r="S2960" s="29"/>
      <c r="T2960" s="30"/>
      <c r="U2960" s="47" t="str">
        <f aca="false">IF(AND(B2960&lt;&gt;"",B2960=SW別シート!$C$3),COUNTIF(B$5:B2960,B2960),"")</f>
        <v/>
      </c>
      <c r="V2960" s="47" t="n">
        <f aca="false">V2959+IF(OR(O2960&lt;&gt;"",W2960&lt;&gt;""),1,0)</f>
        <v>3</v>
      </c>
      <c r="W2960" s="29"/>
    </row>
    <row r="2961" customFormat="false" ht="15" hidden="false" customHeight="false" outlineLevel="0" collapsed="false">
      <c r="A2961" s="32" t="str">
        <f aca="false">IF(B2961="","",ROW()-7)</f>
        <v/>
      </c>
      <c r="B2961" s="30"/>
      <c r="C2961" s="29"/>
      <c r="D2961" s="29"/>
      <c r="E2961" s="29"/>
      <c r="F2961" s="30"/>
      <c r="G2961" s="29"/>
      <c r="H2961" s="30"/>
      <c r="I2961" s="29"/>
      <c r="J2961" s="30"/>
      <c r="K2961" s="30"/>
      <c r="L2961" s="29"/>
      <c r="M2961" s="32" t="str">
        <f aca="false">IF(OR(C2961="",L2961=""),"",IF(C2961=L2961,"同一","変更"))</f>
        <v/>
      </c>
      <c r="N2961" s="29"/>
      <c r="O2961" s="30"/>
      <c r="P2961" s="29"/>
      <c r="Q2961" s="31"/>
      <c r="R2961" s="29"/>
      <c r="S2961" s="29"/>
      <c r="T2961" s="30"/>
      <c r="U2961" s="47" t="str">
        <f aca="false">IF(AND(B2961&lt;&gt;"",B2961=SW別シート!$C$3),COUNTIF(B$5:B2961,B2961),"")</f>
        <v/>
      </c>
      <c r="V2961" s="47" t="n">
        <f aca="false">V2960+IF(OR(O2961&lt;&gt;"",W2961&lt;&gt;""),1,0)</f>
        <v>3</v>
      </c>
      <c r="W2961" s="29"/>
    </row>
    <row r="2962" customFormat="false" ht="15" hidden="false" customHeight="false" outlineLevel="0" collapsed="false">
      <c r="A2962" s="32" t="str">
        <f aca="false">IF(B2962="","",ROW()-7)</f>
        <v/>
      </c>
      <c r="B2962" s="30"/>
      <c r="C2962" s="29"/>
      <c r="D2962" s="29"/>
      <c r="E2962" s="29"/>
      <c r="F2962" s="30"/>
      <c r="G2962" s="29"/>
      <c r="H2962" s="30"/>
      <c r="I2962" s="29"/>
      <c r="J2962" s="30"/>
      <c r="K2962" s="30"/>
      <c r="L2962" s="29"/>
      <c r="M2962" s="32" t="str">
        <f aca="false">IF(OR(C2962="",L2962=""),"",IF(C2962=L2962,"同一","変更"))</f>
        <v/>
      </c>
      <c r="N2962" s="29"/>
      <c r="O2962" s="30"/>
      <c r="P2962" s="29"/>
      <c r="Q2962" s="31"/>
      <c r="R2962" s="29"/>
      <c r="S2962" s="29"/>
      <c r="T2962" s="30"/>
      <c r="U2962" s="47" t="str">
        <f aca="false">IF(AND(B2962&lt;&gt;"",B2962=SW別シート!$C$3),COUNTIF(B$5:B2962,B2962),"")</f>
        <v/>
      </c>
      <c r="V2962" s="47" t="n">
        <f aca="false">V2961+IF(OR(O2962&lt;&gt;"",W2962&lt;&gt;""),1,0)</f>
        <v>3</v>
      </c>
      <c r="W2962" s="29"/>
    </row>
    <row r="2963" customFormat="false" ht="15" hidden="false" customHeight="false" outlineLevel="0" collapsed="false">
      <c r="A2963" s="32" t="str">
        <f aca="false">IF(B2963="","",ROW()-7)</f>
        <v/>
      </c>
      <c r="B2963" s="30"/>
      <c r="C2963" s="29"/>
      <c r="D2963" s="29"/>
      <c r="E2963" s="29"/>
      <c r="F2963" s="30"/>
      <c r="G2963" s="29"/>
      <c r="H2963" s="30"/>
      <c r="I2963" s="29"/>
      <c r="J2963" s="30"/>
      <c r="K2963" s="30"/>
      <c r="L2963" s="29"/>
      <c r="M2963" s="32" t="str">
        <f aca="false">IF(OR(C2963="",L2963=""),"",IF(C2963=L2963,"同一","変更"))</f>
        <v/>
      </c>
      <c r="N2963" s="29"/>
      <c r="O2963" s="30"/>
      <c r="P2963" s="29"/>
      <c r="Q2963" s="31"/>
      <c r="R2963" s="29"/>
      <c r="S2963" s="29"/>
      <c r="T2963" s="30"/>
      <c r="U2963" s="47" t="str">
        <f aca="false">IF(AND(B2963&lt;&gt;"",B2963=SW別シート!$C$3),COUNTIF(B$5:B2963,B2963),"")</f>
        <v/>
      </c>
      <c r="V2963" s="47" t="n">
        <f aca="false">V2962+IF(OR(O2963&lt;&gt;"",W2963&lt;&gt;""),1,0)</f>
        <v>3</v>
      </c>
      <c r="W2963" s="29"/>
    </row>
    <row r="2964" customFormat="false" ht="15" hidden="false" customHeight="false" outlineLevel="0" collapsed="false">
      <c r="A2964" s="32" t="str">
        <f aca="false">IF(B2964="","",ROW()-7)</f>
        <v/>
      </c>
      <c r="B2964" s="30"/>
      <c r="C2964" s="29"/>
      <c r="D2964" s="29"/>
      <c r="E2964" s="29"/>
      <c r="F2964" s="30"/>
      <c r="G2964" s="29"/>
      <c r="H2964" s="30"/>
      <c r="I2964" s="29"/>
      <c r="J2964" s="30"/>
      <c r="K2964" s="30"/>
      <c r="L2964" s="29"/>
      <c r="M2964" s="32" t="str">
        <f aca="false">IF(OR(C2964="",L2964=""),"",IF(C2964=L2964,"同一","変更"))</f>
        <v/>
      </c>
      <c r="N2964" s="29"/>
      <c r="O2964" s="30"/>
      <c r="P2964" s="29"/>
      <c r="Q2964" s="31"/>
      <c r="R2964" s="29"/>
      <c r="S2964" s="29"/>
      <c r="T2964" s="30"/>
      <c r="U2964" s="47" t="str">
        <f aca="false">IF(AND(B2964&lt;&gt;"",B2964=SW別シート!$C$3),COUNTIF(B$5:B2964,B2964),"")</f>
        <v/>
      </c>
      <c r="V2964" s="47" t="n">
        <f aca="false">V2963+IF(OR(O2964&lt;&gt;"",W2964&lt;&gt;""),1,0)</f>
        <v>3</v>
      </c>
      <c r="W2964" s="29"/>
    </row>
    <row r="2965" customFormat="false" ht="15" hidden="false" customHeight="false" outlineLevel="0" collapsed="false">
      <c r="A2965" s="32" t="str">
        <f aca="false">IF(B2965="","",ROW()-7)</f>
        <v/>
      </c>
      <c r="B2965" s="30"/>
      <c r="C2965" s="29"/>
      <c r="D2965" s="29"/>
      <c r="E2965" s="29"/>
      <c r="F2965" s="30"/>
      <c r="G2965" s="29"/>
      <c r="H2965" s="30"/>
      <c r="I2965" s="29"/>
      <c r="J2965" s="30"/>
      <c r="K2965" s="30"/>
      <c r="L2965" s="29"/>
      <c r="M2965" s="32" t="str">
        <f aca="false">IF(OR(C2965="",L2965=""),"",IF(C2965=L2965,"同一","変更"))</f>
        <v/>
      </c>
      <c r="N2965" s="29"/>
      <c r="O2965" s="30"/>
      <c r="P2965" s="29"/>
      <c r="Q2965" s="31"/>
      <c r="R2965" s="29"/>
      <c r="S2965" s="29"/>
      <c r="T2965" s="30"/>
      <c r="U2965" s="47" t="str">
        <f aca="false">IF(AND(B2965&lt;&gt;"",B2965=SW別シート!$C$3),COUNTIF(B$5:B2965,B2965),"")</f>
        <v/>
      </c>
      <c r="V2965" s="47" t="n">
        <f aca="false">V2964+IF(OR(O2965&lt;&gt;"",W2965&lt;&gt;""),1,0)</f>
        <v>3</v>
      </c>
      <c r="W2965" s="29"/>
    </row>
    <row r="2966" customFormat="false" ht="15" hidden="false" customHeight="false" outlineLevel="0" collapsed="false">
      <c r="A2966" s="32" t="str">
        <f aca="false">IF(B2966="","",ROW()-7)</f>
        <v/>
      </c>
      <c r="B2966" s="30"/>
      <c r="C2966" s="29"/>
      <c r="D2966" s="29"/>
      <c r="E2966" s="29"/>
      <c r="F2966" s="30"/>
      <c r="G2966" s="29"/>
      <c r="H2966" s="30"/>
      <c r="I2966" s="29"/>
      <c r="J2966" s="30"/>
      <c r="K2966" s="30"/>
      <c r="L2966" s="29"/>
      <c r="M2966" s="32" t="str">
        <f aca="false">IF(OR(C2966="",L2966=""),"",IF(C2966=L2966,"同一","変更"))</f>
        <v/>
      </c>
      <c r="N2966" s="29"/>
      <c r="O2966" s="30"/>
      <c r="P2966" s="29"/>
      <c r="Q2966" s="31"/>
      <c r="R2966" s="29"/>
      <c r="S2966" s="29"/>
      <c r="T2966" s="30"/>
      <c r="U2966" s="47" t="str">
        <f aca="false">IF(AND(B2966&lt;&gt;"",B2966=SW別シート!$C$3),COUNTIF(B$5:B2966,B2966),"")</f>
        <v/>
      </c>
      <c r="V2966" s="47" t="n">
        <f aca="false">V2965+IF(OR(O2966&lt;&gt;"",W2966&lt;&gt;""),1,0)</f>
        <v>3</v>
      </c>
      <c r="W2966" s="29"/>
    </row>
    <row r="2967" customFormat="false" ht="15" hidden="false" customHeight="false" outlineLevel="0" collapsed="false">
      <c r="A2967" s="32" t="str">
        <f aca="false">IF(B2967="","",ROW()-7)</f>
        <v/>
      </c>
      <c r="B2967" s="30"/>
      <c r="C2967" s="29"/>
      <c r="D2967" s="29"/>
      <c r="E2967" s="29"/>
      <c r="F2967" s="30"/>
      <c r="G2967" s="29"/>
      <c r="H2967" s="30"/>
      <c r="I2967" s="29"/>
      <c r="J2967" s="30"/>
      <c r="K2967" s="30"/>
      <c r="L2967" s="29"/>
      <c r="M2967" s="32" t="str">
        <f aca="false">IF(OR(C2967="",L2967=""),"",IF(C2967=L2967,"同一","変更"))</f>
        <v/>
      </c>
      <c r="N2967" s="29"/>
      <c r="O2967" s="30"/>
      <c r="P2967" s="29"/>
      <c r="Q2967" s="31"/>
      <c r="R2967" s="29"/>
      <c r="S2967" s="29"/>
      <c r="T2967" s="30"/>
      <c r="U2967" s="47" t="str">
        <f aca="false">IF(AND(B2967&lt;&gt;"",B2967=SW別シート!$C$3),COUNTIF(B$5:B2967,B2967),"")</f>
        <v/>
      </c>
      <c r="V2967" s="47" t="n">
        <f aca="false">V2966+IF(OR(O2967&lt;&gt;"",W2967&lt;&gt;""),1,0)</f>
        <v>3</v>
      </c>
      <c r="W2967" s="29"/>
    </row>
    <row r="2968" customFormat="false" ht="15" hidden="false" customHeight="false" outlineLevel="0" collapsed="false">
      <c r="A2968" s="32" t="str">
        <f aca="false">IF(B2968="","",ROW()-7)</f>
        <v/>
      </c>
      <c r="B2968" s="30"/>
      <c r="C2968" s="29"/>
      <c r="D2968" s="29"/>
      <c r="E2968" s="29"/>
      <c r="F2968" s="30"/>
      <c r="G2968" s="29"/>
      <c r="H2968" s="30"/>
      <c r="I2968" s="29"/>
      <c r="J2968" s="30"/>
      <c r="K2968" s="30"/>
      <c r="L2968" s="29"/>
      <c r="M2968" s="32" t="str">
        <f aca="false">IF(OR(C2968="",L2968=""),"",IF(C2968=L2968,"同一","変更"))</f>
        <v/>
      </c>
      <c r="N2968" s="29"/>
      <c r="O2968" s="30"/>
      <c r="P2968" s="29"/>
      <c r="Q2968" s="31"/>
      <c r="R2968" s="29"/>
      <c r="S2968" s="29"/>
      <c r="T2968" s="30"/>
      <c r="U2968" s="47" t="str">
        <f aca="false">IF(AND(B2968&lt;&gt;"",B2968=SW別シート!$C$3),COUNTIF(B$5:B2968,B2968),"")</f>
        <v/>
      </c>
      <c r="V2968" s="47" t="n">
        <f aca="false">V2967+IF(OR(O2968&lt;&gt;"",W2968&lt;&gt;""),1,0)</f>
        <v>3</v>
      </c>
      <c r="W2968" s="29"/>
    </row>
    <row r="2969" customFormat="false" ht="15" hidden="false" customHeight="false" outlineLevel="0" collapsed="false">
      <c r="A2969" s="32" t="str">
        <f aca="false">IF(B2969="","",ROW()-7)</f>
        <v/>
      </c>
      <c r="B2969" s="30"/>
      <c r="C2969" s="29"/>
      <c r="D2969" s="29"/>
      <c r="E2969" s="29"/>
      <c r="F2969" s="30"/>
      <c r="G2969" s="29"/>
      <c r="H2969" s="30"/>
      <c r="I2969" s="29"/>
      <c r="J2969" s="30"/>
      <c r="K2969" s="30"/>
      <c r="L2969" s="29"/>
      <c r="M2969" s="32" t="str">
        <f aca="false">IF(OR(C2969="",L2969=""),"",IF(C2969=L2969,"同一","変更"))</f>
        <v/>
      </c>
      <c r="N2969" s="29"/>
      <c r="O2969" s="30"/>
      <c r="P2969" s="29"/>
      <c r="Q2969" s="31"/>
      <c r="R2969" s="29"/>
      <c r="S2969" s="29"/>
      <c r="T2969" s="30"/>
      <c r="U2969" s="47" t="str">
        <f aca="false">IF(AND(B2969&lt;&gt;"",B2969=SW別シート!$C$3),COUNTIF(B$5:B2969,B2969),"")</f>
        <v/>
      </c>
      <c r="V2969" s="47" t="n">
        <f aca="false">V2968+IF(OR(O2969&lt;&gt;"",W2969&lt;&gt;""),1,0)</f>
        <v>3</v>
      </c>
      <c r="W2969" s="29"/>
    </row>
    <row r="2970" customFormat="false" ht="15" hidden="false" customHeight="false" outlineLevel="0" collapsed="false">
      <c r="A2970" s="32" t="str">
        <f aca="false">IF(B2970="","",ROW()-7)</f>
        <v/>
      </c>
      <c r="B2970" s="30"/>
      <c r="C2970" s="29"/>
      <c r="D2970" s="29"/>
      <c r="E2970" s="29"/>
      <c r="F2970" s="30"/>
      <c r="G2970" s="29"/>
      <c r="H2970" s="30"/>
      <c r="I2970" s="29"/>
      <c r="J2970" s="30"/>
      <c r="K2970" s="30"/>
      <c r="L2970" s="29"/>
      <c r="M2970" s="32" t="str">
        <f aca="false">IF(OR(C2970="",L2970=""),"",IF(C2970=L2970,"同一","変更"))</f>
        <v/>
      </c>
      <c r="N2970" s="29"/>
      <c r="O2970" s="30"/>
      <c r="P2970" s="29"/>
      <c r="Q2970" s="31"/>
      <c r="R2970" s="29"/>
      <c r="S2970" s="29"/>
      <c r="T2970" s="30"/>
      <c r="U2970" s="47" t="str">
        <f aca="false">IF(AND(B2970&lt;&gt;"",B2970=SW別シート!$C$3),COUNTIF(B$5:B2970,B2970),"")</f>
        <v/>
      </c>
      <c r="V2970" s="47" t="n">
        <f aca="false">V2969+IF(OR(O2970&lt;&gt;"",W2970&lt;&gt;""),1,0)</f>
        <v>3</v>
      </c>
      <c r="W2970" s="29"/>
    </row>
    <row r="2971" customFormat="false" ht="15" hidden="false" customHeight="false" outlineLevel="0" collapsed="false">
      <c r="A2971" s="32" t="str">
        <f aca="false">IF(B2971="","",ROW()-7)</f>
        <v/>
      </c>
      <c r="B2971" s="30"/>
      <c r="C2971" s="29"/>
      <c r="D2971" s="29"/>
      <c r="E2971" s="29"/>
      <c r="F2971" s="30"/>
      <c r="G2971" s="29"/>
      <c r="H2971" s="30"/>
      <c r="I2971" s="29"/>
      <c r="J2971" s="30"/>
      <c r="K2971" s="30"/>
      <c r="L2971" s="29"/>
      <c r="M2971" s="32" t="str">
        <f aca="false">IF(OR(C2971="",L2971=""),"",IF(C2971=L2971,"同一","変更"))</f>
        <v/>
      </c>
      <c r="N2971" s="29"/>
      <c r="O2971" s="30"/>
      <c r="P2971" s="29"/>
      <c r="Q2971" s="31"/>
      <c r="R2971" s="29"/>
      <c r="S2971" s="29"/>
      <c r="T2971" s="30"/>
      <c r="U2971" s="47" t="str">
        <f aca="false">IF(AND(B2971&lt;&gt;"",B2971=SW別シート!$C$3),COUNTIF(B$5:B2971,B2971),"")</f>
        <v/>
      </c>
      <c r="V2971" s="47" t="n">
        <f aca="false">V2970+IF(OR(O2971&lt;&gt;"",W2971&lt;&gt;""),1,0)</f>
        <v>3</v>
      </c>
      <c r="W2971" s="29"/>
    </row>
    <row r="2972" customFormat="false" ht="15" hidden="false" customHeight="false" outlineLevel="0" collapsed="false">
      <c r="A2972" s="32" t="str">
        <f aca="false">IF(B2972="","",ROW()-7)</f>
        <v/>
      </c>
      <c r="B2972" s="30"/>
      <c r="C2972" s="29"/>
      <c r="D2972" s="29"/>
      <c r="E2972" s="29"/>
      <c r="F2972" s="30"/>
      <c r="G2972" s="29"/>
      <c r="H2972" s="30"/>
      <c r="I2972" s="29"/>
      <c r="J2972" s="30"/>
      <c r="K2972" s="30"/>
      <c r="L2972" s="29"/>
      <c r="M2972" s="32" t="str">
        <f aca="false">IF(OR(C2972="",L2972=""),"",IF(C2972=L2972,"同一","変更"))</f>
        <v/>
      </c>
      <c r="N2972" s="29"/>
      <c r="O2972" s="30"/>
      <c r="P2972" s="29"/>
      <c r="Q2972" s="31"/>
      <c r="R2972" s="29"/>
      <c r="S2972" s="29"/>
      <c r="T2972" s="30"/>
      <c r="U2972" s="47" t="str">
        <f aca="false">IF(AND(B2972&lt;&gt;"",B2972=SW別シート!$C$3),COUNTIF(B$5:B2972,B2972),"")</f>
        <v/>
      </c>
      <c r="V2972" s="47" t="n">
        <f aca="false">V2971+IF(OR(O2972&lt;&gt;"",W2972&lt;&gt;""),1,0)</f>
        <v>3</v>
      </c>
      <c r="W2972" s="29"/>
    </row>
    <row r="2973" customFormat="false" ht="15" hidden="false" customHeight="false" outlineLevel="0" collapsed="false">
      <c r="A2973" s="32" t="str">
        <f aca="false">IF(B2973="","",ROW()-7)</f>
        <v/>
      </c>
      <c r="B2973" s="30"/>
      <c r="C2973" s="29"/>
      <c r="D2973" s="29"/>
      <c r="E2973" s="29"/>
      <c r="F2973" s="30"/>
      <c r="G2973" s="29"/>
      <c r="H2973" s="30"/>
      <c r="I2973" s="29"/>
      <c r="J2973" s="30"/>
      <c r="K2973" s="30"/>
      <c r="L2973" s="29"/>
      <c r="M2973" s="32" t="str">
        <f aca="false">IF(OR(C2973="",L2973=""),"",IF(C2973=L2973,"同一","変更"))</f>
        <v/>
      </c>
      <c r="N2973" s="29"/>
      <c r="O2973" s="30"/>
      <c r="P2973" s="29"/>
      <c r="Q2973" s="31"/>
      <c r="R2973" s="29"/>
      <c r="S2973" s="29"/>
      <c r="T2973" s="30"/>
      <c r="U2973" s="47" t="str">
        <f aca="false">IF(AND(B2973&lt;&gt;"",B2973=SW別シート!$C$3),COUNTIF(B$5:B2973,B2973),"")</f>
        <v/>
      </c>
      <c r="V2973" s="47" t="n">
        <f aca="false">V2972+IF(OR(O2973&lt;&gt;"",W2973&lt;&gt;""),1,0)</f>
        <v>3</v>
      </c>
      <c r="W2973" s="29"/>
    </row>
    <row r="2974" customFormat="false" ht="15" hidden="false" customHeight="false" outlineLevel="0" collapsed="false">
      <c r="A2974" s="32" t="str">
        <f aca="false">IF(B2974="","",ROW()-7)</f>
        <v/>
      </c>
      <c r="B2974" s="30"/>
      <c r="C2974" s="29"/>
      <c r="D2974" s="29"/>
      <c r="E2974" s="29"/>
      <c r="F2974" s="30"/>
      <c r="G2974" s="29"/>
      <c r="H2974" s="30"/>
      <c r="I2974" s="29"/>
      <c r="J2974" s="30"/>
      <c r="K2974" s="30"/>
      <c r="L2974" s="29"/>
      <c r="M2974" s="32" t="str">
        <f aca="false">IF(OR(C2974="",L2974=""),"",IF(C2974=L2974,"同一","変更"))</f>
        <v/>
      </c>
      <c r="N2974" s="29"/>
      <c r="O2974" s="30"/>
      <c r="P2974" s="29"/>
      <c r="Q2974" s="31"/>
      <c r="R2974" s="29"/>
      <c r="S2974" s="29"/>
      <c r="T2974" s="30"/>
      <c r="U2974" s="47" t="str">
        <f aca="false">IF(AND(B2974&lt;&gt;"",B2974=SW別シート!$C$3),COUNTIF(B$5:B2974,B2974),"")</f>
        <v/>
      </c>
      <c r="V2974" s="47" t="n">
        <f aca="false">V2973+IF(OR(O2974&lt;&gt;"",W2974&lt;&gt;""),1,0)</f>
        <v>3</v>
      </c>
      <c r="W2974" s="29"/>
    </row>
    <row r="2975" customFormat="false" ht="15" hidden="false" customHeight="false" outlineLevel="0" collapsed="false">
      <c r="A2975" s="32" t="str">
        <f aca="false">IF(B2975="","",ROW()-7)</f>
        <v/>
      </c>
      <c r="B2975" s="30"/>
      <c r="C2975" s="29"/>
      <c r="D2975" s="29"/>
      <c r="E2975" s="29"/>
      <c r="F2975" s="30"/>
      <c r="G2975" s="29"/>
      <c r="H2975" s="30"/>
      <c r="I2975" s="29"/>
      <c r="J2975" s="30"/>
      <c r="K2975" s="30"/>
      <c r="L2975" s="29"/>
      <c r="M2975" s="32" t="str">
        <f aca="false">IF(OR(C2975="",L2975=""),"",IF(C2975=L2975,"同一","変更"))</f>
        <v/>
      </c>
      <c r="N2975" s="29"/>
      <c r="O2975" s="30"/>
      <c r="P2975" s="29"/>
      <c r="Q2975" s="31"/>
      <c r="R2975" s="29"/>
      <c r="S2975" s="29"/>
      <c r="T2975" s="30"/>
      <c r="U2975" s="47" t="str">
        <f aca="false">IF(AND(B2975&lt;&gt;"",B2975=SW別シート!$C$3),COUNTIF(B$5:B2975,B2975),"")</f>
        <v/>
      </c>
      <c r="V2975" s="47" t="n">
        <f aca="false">V2974+IF(OR(O2975&lt;&gt;"",W2975&lt;&gt;""),1,0)</f>
        <v>3</v>
      </c>
      <c r="W2975" s="29"/>
    </row>
    <row r="2976" customFormat="false" ht="15" hidden="false" customHeight="false" outlineLevel="0" collapsed="false">
      <c r="A2976" s="32" t="str">
        <f aca="false">IF(B2976="","",ROW()-7)</f>
        <v/>
      </c>
      <c r="B2976" s="30"/>
      <c r="C2976" s="29"/>
      <c r="D2976" s="29"/>
      <c r="E2976" s="29"/>
      <c r="F2976" s="30"/>
      <c r="G2976" s="29"/>
      <c r="H2976" s="30"/>
      <c r="I2976" s="29"/>
      <c r="J2976" s="30"/>
      <c r="K2976" s="30"/>
      <c r="L2976" s="29"/>
      <c r="M2976" s="32" t="str">
        <f aca="false">IF(OR(C2976="",L2976=""),"",IF(C2976=L2976,"同一","変更"))</f>
        <v/>
      </c>
      <c r="N2976" s="29"/>
      <c r="O2976" s="30"/>
      <c r="P2976" s="29"/>
      <c r="Q2976" s="31"/>
      <c r="R2976" s="29"/>
      <c r="S2976" s="29"/>
      <c r="T2976" s="30"/>
      <c r="U2976" s="47" t="str">
        <f aca="false">IF(AND(B2976&lt;&gt;"",B2976=SW別シート!$C$3),COUNTIF(B$5:B2976,B2976),"")</f>
        <v/>
      </c>
      <c r="V2976" s="47" t="n">
        <f aca="false">V2975+IF(OR(O2976&lt;&gt;"",W2976&lt;&gt;""),1,0)</f>
        <v>3</v>
      </c>
      <c r="W2976" s="29"/>
    </row>
    <row r="2977" customFormat="false" ht="15" hidden="false" customHeight="false" outlineLevel="0" collapsed="false">
      <c r="A2977" s="32" t="str">
        <f aca="false">IF(B2977="","",ROW()-7)</f>
        <v/>
      </c>
      <c r="B2977" s="30"/>
      <c r="C2977" s="29"/>
      <c r="D2977" s="29"/>
      <c r="E2977" s="29"/>
      <c r="F2977" s="30"/>
      <c r="G2977" s="29"/>
      <c r="H2977" s="30"/>
      <c r="I2977" s="29"/>
      <c r="J2977" s="30"/>
      <c r="K2977" s="30"/>
      <c r="L2977" s="29"/>
      <c r="M2977" s="32" t="str">
        <f aca="false">IF(OR(C2977="",L2977=""),"",IF(C2977=L2977,"同一","変更"))</f>
        <v/>
      </c>
      <c r="N2977" s="29"/>
      <c r="O2977" s="30"/>
      <c r="P2977" s="29"/>
      <c r="Q2977" s="31"/>
      <c r="R2977" s="29"/>
      <c r="S2977" s="29"/>
      <c r="T2977" s="30"/>
      <c r="U2977" s="47" t="str">
        <f aca="false">IF(AND(B2977&lt;&gt;"",B2977=SW別シート!$C$3),COUNTIF(B$5:B2977,B2977),"")</f>
        <v/>
      </c>
      <c r="V2977" s="47" t="n">
        <f aca="false">V2976+IF(OR(O2977&lt;&gt;"",W2977&lt;&gt;""),1,0)</f>
        <v>3</v>
      </c>
      <c r="W2977" s="29"/>
    </row>
    <row r="2978" customFormat="false" ht="15" hidden="false" customHeight="false" outlineLevel="0" collapsed="false">
      <c r="A2978" s="32" t="str">
        <f aca="false">IF(B2978="","",ROW()-7)</f>
        <v/>
      </c>
      <c r="B2978" s="30"/>
      <c r="C2978" s="29"/>
      <c r="D2978" s="29"/>
      <c r="E2978" s="29"/>
      <c r="F2978" s="30"/>
      <c r="G2978" s="29"/>
      <c r="H2978" s="30"/>
      <c r="I2978" s="29"/>
      <c r="J2978" s="30"/>
      <c r="K2978" s="30"/>
      <c r="L2978" s="29"/>
      <c r="M2978" s="32" t="str">
        <f aca="false">IF(OR(C2978="",L2978=""),"",IF(C2978=L2978,"同一","変更"))</f>
        <v/>
      </c>
      <c r="N2978" s="29"/>
      <c r="O2978" s="30"/>
      <c r="P2978" s="29"/>
      <c r="Q2978" s="31"/>
      <c r="R2978" s="29"/>
      <c r="S2978" s="29"/>
      <c r="T2978" s="30"/>
      <c r="U2978" s="47" t="str">
        <f aca="false">IF(AND(B2978&lt;&gt;"",B2978=SW別シート!$C$3),COUNTIF(B$5:B2978,B2978),"")</f>
        <v/>
      </c>
      <c r="V2978" s="47" t="n">
        <f aca="false">V2977+IF(OR(O2978&lt;&gt;"",W2978&lt;&gt;""),1,0)</f>
        <v>3</v>
      </c>
      <c r="W2978" s="29"/>
    </row>
    <row r="2979" customFormat="false" ht="15" hidden="false" customHeight="false" outlineLevel="0" collapsed="false">
      <c r="A2979" s="32" t="str">
        <f aca="false">IF(B2979="","",ROW()-7)</f>
        <v/>
      </c>
      <c r="B2979" s="30"/>
      <c r="C2979" s="29"/>
      <c r="D2979" s="29"/>
      <c r="E2979" s="29"/>
      <c r="F2979" s="30"/>
      <c r="G2979" s="29"/>
      <c r="H2979" s="30"/>
      <c r="I2979" s="29"/>
      <c r="J2979" s="30"/>
      <c r="K2979" s="30"/>
      <c r="L2979" s="29"/>
      <c r="M2979" s="32" t="str">
        <f aca="false">IF(OR(C2979="",L2979=""),"",IF(C2979=L2979,"同一","変更"))</f>
        <v/>
      </c>
      <c r="N2979" s="29"/>
      <c r="O2979" s="30"/>
      <c r="P2979" s="29"/>
      <c r="Q2979" s="31"/>
      <c r="R2979" s="29"/>
      <c r="S2979" s="29"/>
      <c r="T2979" s="30"/>
      <c r="U2979" s="47" t="str">
        <f aca="false">IF(AND(B2979&lt;&gt;"",B2979=SW別シート!$C$3),COUNTIF(B$5:B2979,B2979),"")</f>
        <v/>
      </c>
      <c r="V2979" s="47" t="n">
        <f aca="false">V2978+IF(OR(O2979&lt;&gt;"",W2979&lt;&gt;""),1,0)</f>
        <v>3</v>
      </c>
      <c r="W2979" s="29"/>
    </row>
    <row r="2980" customFormat="false" ht="15" hidden="false" customHeight="false" outlineLevel="0" collapsed="false">
      <c r="A2980" s="32" t="str">
        <f aca="false">IF(B2980="","",ROW()-7)</f>
        <v/>
      </c>
      <c r="B2980" s="30"/>
      <c r="C2980" s="29"/>
      <c r="D2980" s="29"/>
      <c r="E2980" s="29"/>
      <c r="F2980" s="30"/>
      <c r="G2980" s="29"/>
      <c r="H2980" s="30"/>
      <c r="I2980" s="29"/>
      <c r="J2980" s="30"/>
      <c r="K2980" s="30"/>
      <c r="L2980" s="29"/>
      <c r="M2980" s="32" t="str">
        <f aca="false">IF(OR(C2980="",L2980=""),"",IF(C2980=L2980,"同一","変更"))</f>
        <v/>
      </c>
      <c r="N2980" s="29"/>
      <c r="O2980" s="30"/>
      <c r="P2980" s="29"/>
      <c r="Q2980" s="31"/>
      <c r="R2980" s="29"/>
      <c r="S2980" s="29"/>
      <c r="T2980" s="30"/>
      <c r="U2980" s="47" t="str">
        <f aca="false">IF(AND(B2980&lt;&gt;"",B2980=SW別シート!$C$3),COUNTIF(B$5:B2980,B2980),"")</f>
        <v/>
      </c>
      <c r="V2980" s="47" t="n">
        <f aca="false">V2979+IF(OR(O2980&lt;&gt;"",W2980&lt;&gt;""),1,0)</f>
        <v>3</v>
      </c>
      <c r="W2980" s="29"/>
    </row>
    <row r="2981" customFormat="false" ht="15" hidden="false" customHeight="false" outlineLevel="0" collapsed="false">
      <c r="A2981" s="32" t="str">
        <f aca="false">IF(B2981="","",ROW()-7)</f>
        <v/>
      </c>
      <c r="B2981" s="30"/>
      <c r="C2981" s="29"/>
      <c r="D2981" s="29"/>
      <c r="E2981" s="29"/>
      <c r="F2981" s="30"/>
      <c r="G2981" s="29"/>
      <c r="H2981" s="30"/>
      <c r="I2981" s="29"/>
      <c r="J2981" s="30"/>
      <c r="K2981" s="30"/>
      <c r="L2981" s="29"/>
      <c r="M2981" s="32" t="str">
        <f aca="false">IF(OR(C2981="",L2981=""),"",IF(C2981=L2981,"同一","変更"))</f>
        <v/>
      </c>
      <c r="N2981" s="29"/>
      <c r="O2981" s="30"/>
      <c r="P2981" s="29"/>
      <c r="Q2981" s="31"/>
      <c r="R2981" s="29"/>
      <c r="S2981" s="29"/>
      <c r="T2981" s="30"/>
      <c r="U2981" s="47" t="str">
        <f aca="false">IF(AND(B2981&lt;&gt;"",B2981=SW別シート!$C$3),COUNTIF(B$5:B2981,B2981),"")</f>
        <v/>
      </c>
      <c r="V2981" s="47" t="n">
        <f aca="false">V2980+IF(OR(O2981&lt;&gt;"",W2981&lt;&gt;""),1,0)</f>
        <v>3</v>
      </c>
      <c r="W2981" s="29"/>
    </row>
    <row r="2982" customFormat="false" ht="15" hidden="false" customHeight="false" outlineLevel="0" collapsed="false">
      <c r="A2982" s="32" t="str">
        <f aca="false">IF(B2982="","",ROW()-7)</f>
        <v/>
      </c>
      <c r="B2982" s="30"/>
      <c r="C2982" s="29"/>
      <c r="D2982" s="29"/>
      <c r="E2982" s="29"/>
      <c r="F2982" s="30"/>
      <c r="G2982" s="29"/>
      <c r="H2982" s="30"/>
      <c r="I2982" s="29"/>
      <c r="J2982" s="30"/>
      <c r="K2982" s="30"/>
      <c r="L2982" s="29"/>
      <c r="M2982" s="32" t="str">
        <f aca="false">IF(OR(C2982="",L2982=""),"",IF(C2982=L2982,"同一","変更"))</f>
        <v/>
      </c>
      <c r="N2982" s="29"/>
      <c r="O2982" s="30"/>
      <c r="P2982" s="29"/>
      <c r="Q2982" s="31"/>
      <c r="R2982" s="29"/>
      <c r="S2982" s="29"/>
      <c r="T2982" s="30"/>
      <c r="U2982" s="47" t="str">
        <f aca="false">IF(AND(B2982&lt;&gt;"",B2982=SW別シート!$C$3),COUNTIF(B$5:B2982,B2982),"")</f>
        <v/>
      </c>
      <c r="V2982" s="47" t="n">
        <f aca="false">V2981+IF(OR(O2982&lt;&gt;"",W2982&lt;&gt;""),1,0)</f>
        <v>3</v>
      </c>
      <c r="W2982" s="29"/>
    </row>
    <row r="2983" customFormat="false" ht="15" hidden="false" customHeight="false" outlineLevel="0" collapsed="false">
      <c r="A2983" s="32" t="str">
        <f aca="false">IF(B2983="","",ROW()-7)</f>
        <v/>
      </c>
      <c r="B2983" s="30"/>
      <c r="C2983" s="29"/>
      <c r="D2983" s="29"/>
      <c r="E2983" s="29"/>
      <c r="F2983" s="30"/>
      <c r="G2983" s="29"/>
      <c r="H2983" s="30"/>
      <c r="I2983" s="29"/>
      <c r="J2983" s="30"/>
      <c r="K2983" s="30"/>
      <c r="L2983" s="29"/>
      <c r="M2983" s="32" t="str">
        <f aca="false">IF(OR(C2983="",L2983=""),"",IF(C2983=L2983,"同一","変更"))</f>
        <v/>
      </c>
      <c r="N2983" s="29"/>
      <c r="O2983" s="30"/>
      <c r="P2983" s="29"/>
      <c r="Q2983" s="31"/>
      <c r="R2983" s="29"/>
      <c r="S2983" s="29"/>
      <c r="T2983" s="30"/>
      <c r="U2983" s="47" t="str">
        <f aca="false">IF(AND(B2983&lt;&gt;"",B2983=SW別シート!$C$3),COUNTIF(B$5:B2983,B2983),"")</f>
        <v/>
      </c>
      <c r="V2983" s="47" t="n">
        <f aca="false">V2982+IF(OR(O2983&lt;&gt;"",W2983&lt;&gt;""),1,0)</f>
        <v>3</v>
      </c>
      <c r="W2983" s="29"/>
    </row>
    <row r="2984" customFormat="false" ht="15" hidden="false" customHeight="false" outlineLevel="0" collapsed="false">
      <c r="A2984" s="32" t="str">
        <f aca="false">IF(B2984="","",ROW()-7)</f>
        <v/>
      </c>
      <c r="B2984" s="30"/>
      <c r="C2984" s="29"/>
      <c r="D2984" s="29"/>
      <c r="E2984" s="29"/>
      <c r="F2984" s="30"/>
      <c r="G2984" s="29"/>
      <c r="H2984" s="30"/>
      <c r="I2984" s="29"/>
      <c r="J2984" s="30"/>
      <c r="K2984" s="30"/>
      <c r="L2984" s="29"/>
      <c r="M2984" s="32" t="str">
        <f aca="false">IF(OR(C2984="",L2984=""),"",IF(C2984=L2984,"同一","変更"))</f>
        <v/>
      </c>
      <c r="N2984" s="29"/>
      <c r="O2984" s="30"/>
      <c r="P2984" s="29"/>
      <c r="Q2984" s="31"/>
      <c r="R2984" s="29"/>
      <c r="S2984" s="29"/>
      <c r="T2984" s="30"/>
      <c r="U2984" s="47" t="str">
        <f aca="false">IF(AND(B2984&lt;&gt;"",B2984=SW別シート!$C$3),COUNTIF(B$5:B2984,B2984),"")</f>
        <v/>
      </c>
      <c r="V2984" s="47" t="n">
        <f aca="false">V2983+IF(OR(O2984&lt;&gt;"",W2984&lt;&gt;""),1,0)</f>
        <v>3</v>
      </c>
      <c r="W2984" s="29"/>
    </row>
    <row r="2985" customFormat="false" ht="15" hidden="false" customHeight="false" outlineLevel="0" collapsed="false">
      <c r="A2985" s="32" t="str">
        <f aca="false">IF(B2985="","",ROW()-7)</f>
        <v/>
      </c>
      <c r="B2985" s="30"/>
      <c r="C2985" s="29"/>
      <c r="D2985" s="29"/>
      <c r="E2985" s="29"/>
      <c r="F2985" s="30"/>
      <c r="G2985" s="29"/>
      <c r="H2985" s="30"/>
      <c r="I2985" s="29"/>
      <c r="J2985" s="30"/>
      <c r="K2985" s="30"/>
      <c r="L2985" s="29"/>
      <c r="M2985" s="32" t="str">
        <f aca="false">IF(OR(C2985="",L2985=""),"",IF(C2985=L2985,"同一","変更"))</f>
        <v/>
      </c>
      <c r="N2985" s="29"/>
      <c r="O2985" s="30"/>
      <c r="P2985" s="29"/>
      <c r="Q2985" s="31"/>
      <c r="R2985" s="29"/>
      <c r="S2985" s="29"/>
      <c r="T2985" s="30"/>
      <c r="U2985" s="47" t="str">
        <f aca="false">IF(AND(B2985&lt;&gt;"",B2985=SW別シート!$C$3),COUNTIF(B$5:B2985,B2985),"")</f>
        <v/>
      </c>
      <c r="V2985" s="47" t="n">
        <f aca="false">V2984+IF(OR(O2985&lt;&gt;"",W2985&lt;&gt;""),1,0)</f>
        <v>3</v>
      </c>
      <c r="W2985" s="29"/>
    </row>
    <row r="2986" customFormat="false" ht="15" hidden="false" customHeight="false" outlineLevel="0" collapsed="false">
      <c r="A2986" s="32" t="str">
        <f aca="false">IF(B2986="","",ROW()-7)</f>
        <v/>
      </c>
      <c r="B2986" s="30"/>
      <c r="C2986" s="29"/>
      <c r="D2986" s="29"/>
      <c r="E2986" s="29"/>
      <c r="F2986" s="30"/>
      <c r="G2986" s="29"/>
      <c r="H2986" s="30"/>
      <c r="I2986" s="29"/>
      <c r="J2986" s="30"/>
      <c r="K2986" s="30"/>
      <c r="L2986" s="29"/>
      <c r="M2986" s="32" t="str">
        <f aca="false">IF(OR(C2986="",L2986=""),"",IF(C2986=L2986,"同一","変更"))</f>
        <v/>
      </c>
      <c r="N2986" s="29"/>
      <c r="O2986" s="30"/>
      <c r="P2986" s="29"/>
      <c r="Q2986" s="31"/>
      <c r="R2986" s="29"/>
      <c r="S2986" s="29"/>
      <c r="T2986" s="30"/>
      <c r="U2986" s="47" t="str">
        <f aca="false">IF(AND(B2986&lt;&gt;"",B2986=SW別シート!$C$3),COUNTIF(B$5:B2986,B2986),"")</f>
        <v/>
      </c>
      <c r="V2986" s="47" t="n">
        <f aca="false">V2985+IF(OR(O2986&lt;&gt;"",W2986&lt;&gt;""),1,0)</f>
        <v>3</v>
      </c>
      <c r="W2986" s="29"/>
    </row>
    <row r="2987" customFormat="false" ht="15" hidden="false" customHeight="false" outlineLevel="0" collapsed="false">
      <c r="A2987" s="32" t="str">
        <f aca="false">IF(B2987="","",ROW()-7)</f>
        <v/>
      </c>
      <c r="B2987" s="30"/>
      <c r="C2987" s="29"/>
      <c r="D2987" s="29"/>
      <c r="E2987" s="29"/>
      <c r="F2987" s="30"/>
      <c r="G2987" s="29"/>
      <c r="H2987" s="30"/>
      <c r="I2987" s="29"/>
      <c r="J2987" s="30"/>
      <c r="K2987" s="30"/>
      <c r="L2987" s="29"/>
      <c r="M2987" s="32" t="str">
        <f aca="false">IF(OR(C2987="",L2987=""),"",IF(C2987=L2987,"同一","変更"))</f>
        <v/>
      </c>
      <c r="N2987" s="29"/>
      <c r="O2987" s="30"/>
      <c r="P2987" s="29"/>
      <c r="Q2987" s="31"/>
      <c r="R2987" s="29"/>
      <c r="S2987" s="29"/>
      <c r="T2987" s="30"/>
      <c r="U2987" s="47" t="str">
        <f aca="false">IF(AND(B2987&lt;&gt;"",B2987=SW別シート!$C$3),COUNTIF(B$5:B2987,B2987),"")</f>
        <v/>
      </c>
      <c r="V2987" s="47" t="n">
        <f aca="false">V2986+IF(OR(O2987&lt;&gt;"",W2987&lt;&gt;""),1,0)</f>
        <v>3</v>
      </c>
      <c r="W2987" s="29"/>
    </row>
    <row r="2988" customFormat="false" ht="15" hidden="false" customHeight="false" outlineLevel="0" collapsed="false">
      <c r="A2988" s="32" t="str">
        <f aca="false">IF(B2988="","",ROW()-7)</f>
        <v/>
      </c>
      <c r="B2988" s="30"/>
      <c r="C2988" s="29"/>
      <c r="D2988" s="29"/>
      <c r="E2988" s="29"/>
      <c r="F2988" s="30"/>
      <c r="G2988" s="29"/>
      <c r="H2988" s="30"/>
      <c r="I2988" s="29"/>
      <c r="J2988" s="30"/>
      <c r="K2988" s="30"/>
      <c r="L2988" s="29"/>
      <c r="M2988" s="32" t="str">
        <f aca="false">IF(OR(C2988="",L2988=""),"",IF(C2988=L2988,"同一","変更"))</f>
        <v/>
      </c>
      <c r="N2988" s="29"/>
      <c r="O2988" s="30"/>
      <c r="P2988" s="29"/>
      <c r="Q2988" s="31"/>
      <c r="R2988" s="29"/>
      <c r="S2988" s="29"/>
      <c r="T2988" s="30"/>
      <c r="U2988" s="47" t="str">
        <f aca="false">IF(AND(B2988&lt;&gt;"",B2988=SW別シート!$C$3),COUNTIF(B$5:B2988,B2988),"")</f>
        <v/>
      </c>
      <c r="V2988" s="47" t="n">
        <f aca="false">V2987+IF(OR(O2988&lt;&gt;"",W2988&lt;&gt;""),1,0)</f>
        <v>3</v>
      </c>
      <c r="W2988" s="29"/>
    </row>
    <row r="2989" customFormat="false" ht="15" hidden="false" customHeight="false" outlineLevel="0" collapsed="false">
      <c r="A2989" s="32" t="str">
        <f aca="false">IF(B2989="","",ROW()-7)</f>
        <v/>
      </c>
      <c r="B2989" s="30"/>
      <c r="C2989" s="29"/>
      <c r="D2989" s="29"/>
      <c r="E2989" s="29"/>
      <c r="F2989" s="30"/>
      <c r="G2989" s="29"/>
      <c r="H2989" s="30"/>
      <c r="I2989" s="29"/>
      <c r="J2989" s="30"/>
      <c r="K2989" s="30"/>
      <c r="L2989" s="29"/>
      <c r="M2989" s="32" t="str">
        <f aca="false">IF(OR(C2989="",L2989=""),"",IF(C2989=L2989,"同一","変更"))</f>
        <v/>
      </c>
      <c r="N2989" s="29"/>
      <c r="O2989" s="30"/>
      <c r="P2989" s="29"/>
      <c r="Q2989" s="31"/>
      <c r="R2989" s="29"/>
      <c r="S2989" s="29"/>
      <c r="T2989" s="30"/>
      <c r="U2989" s="47" t="str">
        <f aca="false">IF(AND(B2989&lt;&gt;"",B2989=SW別シート!$C$3),COUNTIF(B$5:B2989,B2989),"")</f>
        <v/>
      </c>
      <c r="V2989" s="47" t="n">
        <f aca="false">V2988+IF(OR(O2989&lt;&gt;"",W2989&lt;&gt;""),1,0)</f>
        <v>3</v>
      </c>
      <c r="W2989" s="29"/>
    </row>
    <row r="2990" customFormat="false" ht="15" hidden="false" customHeight="false" outlineLevel="0" collapsed="false">
      <c r="A2990" s="32" t="str">
        <f aca="false">IF(B2990="","",ROW()-7)</f>
        <v/>
      </c>
      <c r="B2990" s="30"/>
      <c r="C2990" s="29"/>
      <c r="D2990" s="29"/>
      <c r="E2990" s="29"/>
      <c r="F2990" s="30"/>
      <c r="G2990" s="29"/>
      <c r="H2990" s="30"/>
      <c r="I2990" s="29"/>
      <c r="J2990" s="30"/>
      <c r="K2990" s="30"/>
      <c r="L2990" s="29"/>
      <c r="M2990" s="32" t="str">
        <f aca="false">IF(OR(C2990="",L2990=""),"",IF(C2990=L2990,"同一","変更"))</f>
        <v/>
      </c>
      <c r="N2990" s="29"/>
      <c r="O2990" s="30"/>
      <c r="P2990" s="29"/>
      <c r="Q2990" s="31"/>
      <c r="R2990" s="29"/>
      <c r="S2990" s="29"/>
      <c r="T2990" s="30"/>
      <c r="U2990" s="47" t="str">
        <f aca="false">IF(AND(B2990&lt;&gt;"",B2990=SW別シート!$C$3),COUNTIF(B$5:B2990,B2990),"")</f>
        <v/>
      </c>
      <c r="V2990" s="47" t="n">
        <f aca="false">V2989+IF(OR(O2990&lt;&gt;"",W2990&lt;&gt;""),1,0)</f>
        <v>3</v>
      </c>
      <c r="W2990" s="29"/>
    </row>
    <row r="2991" customFormat="false" ht="15" hidden="false" customHeight="false" outlineLevel="0" collapsed="false">
      <c r="A2991" s="32" t="str">
        <f aca="false">IF(B2991="","",ROW()-7)</f>
        <v/>
      </c>
      <c r="B2991" s="30"/>
      <c r="C2991" s="29"/>
      <c r="D2991" s="29"/>
      <c r="E2991" s="29"/>
      <c r="F2991" s="30"/>
      <c r="G2991" s="29"/>
      <c r="H2991" s="30"/>
      <c r="I2991" s="29"/>
      <c r="J2991" s="30"/>
      <c r="K2991" s="30"/>
      <c r="L2991" s="29"/>
      <c r="M2991" s="32" t="str">
        <f aca="false">IF(OR(C2991="",L2991=""),"",IF(C2991=L2991,"同一","変更"))</f>
        <v/>
      </c>
      <c r="N2991" s="29"/>
      <c r="O2991" s="30"/>
      <c r="P2991" s="29"/>
      <c r="Q2991" s="31"/>
      <c r="R2991" s="29"/>
      <c r="S2991" s="29"/>
      <c r="T2991" s="30"/>
      <c r="U2991" s="47" t="str">
        <f aca="false">IF(AND(B2991&lt;&gt;"",B2991=SW別シート!$C$3),COUNTIF(B$5:B2991,B2991),"")</f>
        <v/>
      </c>
      <c r="V2991" s="47" t="n">
        <f aca="false">V2990+IF(OR(O2991&lt;&gt;"",W2991&lt;&gt;""),1,0)</f>
        <v>3</v>
      </c>
      <c r="W2991" s="29"/>
    </row>
    <row r="2992" customFormat="false" ht="15" hidden="false" customHeight="false" outlineLevel="0" collapsed="false">
      <c r="A2992" s="32" t="str">
        <f aca="false">IF(B2992="","",ROW()-7)</f>
        <v/>
      </c>
      <c r="B2992" s="30"/>
      <c r="C2992" s="29"/>
      <c r="D2992" s="29"/>
      <c r="E2992" s="29"/>
      <c r="F2992" s="30"/>
      <c r="G2992" s="29"/>
      <c r="H2992" s="30"/>
      <c r="I2992" s="29"/>
      <c r="J2992" s="30"/>
      <c r="K2992" s="30"/>
      <c r="L2992" s="29"/>
      <c r="M2992" s="32" t="str">
        <f aca="false">IF(OR(C2992="",L2992=""),"",IF(C2992=L2992,"同一","変更"))</f>
        <v/>
      </c>
      <c r="N2992" s="29"/>
      <c r="O2992" s="30"/>
      <c r="P2992" s="29"/>
      <c r="Q2992" s="31"/>
      <c r="R2992" s="29"/>
      <c r="S2992" s="29"/>
      <c r="T2992" s="30"/>
      <c r="U2992" s="47" t="str">
        <f aca="false">IF(AND(B2992&lt;&gt;"",B2992=SW別シート!$C$3),COUNTIF(B$5:B2992,B2992),"")</f>
        <v/>
      </c>
      <c r="V2992" s="47" t="n">
        <f aca="false">V2991+IF(OR(O2992&lt;&gt;"",W2992&lt;&gt;""),1,0)</f>
        <v>3</v>
      </c>
      <c r="W2992" s="29"/>
    </row>
    <row r="2993" customFormat="false" ht="15" hidden="false" customHeight="false" outlineLevel="0" collapsed="false">
      <c r="A2993" s="32" t="str">
        <f aca="false">IF(B2993="","",ROW()-7)</f>
        <v/>
      </c>
      <c r="B2993" s="30"/>
      <c r="C2993" s="29"/>
      <c r="D2993" s="29"/>
      <c r="E2993" s="29"/>
      <c r="F2993" s="30"/>
      <c r="G2993" s="29"/>
      <c r="H2993" s="30"/>
      <c r="I2993" s="29"/>
      <c r="J2993" s="30"/>
      <c r="K2993" s="30"/>
      <c r="L2993" s="29"/>
      <c r="M2993" s="32" t="str">
        <f aca="false">IF(OR(C2993="",L2993=""),"",IF(C2993=L2993,"同一","変更"))</f>
        <v/>
      </c>
      <c r="N2993" s="29"/>
      <c r="O2993" s="30"/>
      <c r="P2993" s="29"/>
      <c r="Q2993" s="31"/>
      <c r="R2993" s="29"/>
      <c r="S2993" s="29"/>
      <c r="T2993" s="30"/>
      <c r="U2993" s="47" t="str">
        <f aca="false">IF(AND(B2993&lt;&gt;"",B2993=SW別シート!$C$3),COUNTIF(B$5:B2993,B2993),"")</f>
        <v/>
      </c>
      <c r="V2993" s="47" t="n">
        <f aca="false">V2992+IF(OR(O2993&lt;&gt;"",W2993&lt;&gt;""),1,0)</f>
        <v>3</v>
      </c>
      <c r="W2993" s="29"/>
    </row>
    <row r="2994" customFormat="false" ht="15" hidden="false" customHeight="false" outlineLevel="0" collapsed="false">
      <c r="A2994" s="32" t="str">
        <f aca="false">IF(B2994="","",ROW()-7)</f>
        <v/>
      </c>
      <c r="B2994" s="30"/>
      <c r="C2994" s="29"/>
      <c r="D2994" s="29"/>
      <c r="E2994" s="29"/>
      <c r="F2994" s="30"/>
      <c r="G2994" s="29"/>
      <c r="H2994" s="30"/>
      <c r="I2994" s="29"/>
      <c r="J2994" s="30"/>
      <c r="K2994" s="30"/>
      <c r="L2994" s="29"/>
      <c r="M2994" s="32" t="str">
        <f aca="false">IF(OR(C2994="",L2994=""),"",IF(C2994=L2994,"同一","変更"))</f>
        <v/>
      </c>
      <c r="N2994" s="29"/>
      <c r="O2994" s="30"/>
      <c r="P2994" s="29"/>
      <c r="Q2994" s="31"/>
      <c r="R2994" s="29"/>
      <c r="S2994" s="29"/>
      <c r="T2994" s="30"/>
      <c r="U2994" s="47" t="str">
        <f aca="false">IF(AND(B2994&lt;&gt;"",B2994=SW別シート!$C$3),COUNTIF(B$5:B2994,B2994),"")</f>
        <v/>
      </c>
      <c r="V2994" s="47" t="n">
        <f aca="false">V2993+IF(OR(O2994&lt;&gt;"",W2994&lt;&gt;""),1,0)</f>
        <v>3</v>
      </c>
      <c r="W2994" s="29"/>
    </row>
    <row r="2995" customFormat="false" ht="15" hidden="false" customHeight="false" outlineLevel="0" collapsed="false">
      <c r="A2995" s="32" t="str">
        <f aca="false">IF(B2995="","",ROW()-7)</f>
        <v/>
      </c>
      <c r="B2995" s="30"/>
      <c r="C2995" s="29"/>
      <c r="D2995" s="29"/>
      <c r="E2995" s="29"/>
      <c r="F2995" s="30"/>
      <c r="G2995" s="29"/>
      <c r="H2995" s="30"/>
      <c r="I2995" s="29"/>
      <c r="J2995" s="30"/>
      <c r="K2995" s="30"/>
      <c r="L2995" s="29"/>
      <c r="M2995" s="32" t="str">
        <f aca="false">IF(OR(C2995="",L2995=""),"",IF(C2995=L2995,"同一","変更"))</f>
        <v/>
      </c>
      <c r="N2995" s="29"/>
      <c r="O2995" s="30"/>
      <c r="P2995" s="29"/>
      <c r="Q2995" s="31"/>
      <c r="R2995" s="29"/>
      <c r="S2995" s="29"/>
      <c r="T2995" s="30"/>
      <c r="U2995" s="47" t="str">
        <f aca="false">IF(AND(B2995&lt;&gt;"",B2995=SW別シート!$C$3),COUNTIF(B$5:B2995,B2995),"")</f>
        <v/>
      </c>
      <c r="V2995" s="47" t="n">
        <f aca="false">V2994+IF(OR(O2995&lt;&gt;"",W2995&lt;&gt;""),1,0)</f>
        <v>3</v>
      </c>
      <c r="W2995" s="29"/>
    </row>
    <row r="2996" customFormat="false" ht="15" hidden="false" customHeight="false" outlineLevel="0" collapsed="false">
      <c r="A2996" s="32" t="str">
        <f aca="false">IF(B2996="","",ROW()-7)</f>
        <v/>
      </c>
      <c r="B2996" s="30"/>
      <c r="C2996" s="29"/>
      <c r="D2996" s="29"/>
      <c r="E2996" s="29"/>
      <c r="F2996" s="30"/>
      <c r="G2996" s="29"/>
      <c r="H2996" s="30"/>
      <c r="I2996" s="29"/>
      <c r="J2996" s="30"/>
      <c r="K2996" s="30"/>
      <c r="L2996" s="29"/>
      <c r="M2996" s="32" t="str">
        <f aca="false">IF(OR(C2996="",L2996=""),"",IF(C2996=L2996,"同一","変更"))</f>
        <v/>
      </c>
      <c r="N2996" s="29"/>
      <c r="O2996" s="30"/>
      <c r="P2996" s="29"/>
      <c r="Q2996" s="31"/>
      <c r="R2996" s="29"/>
      <c r="S2996" s="29"/>
      <c r="T2996" s="30"/>
      <c r="U2996" s="47" t="str">
        <f aca="false">IF(AND(B2996&lt;&gt;"",B2996=SW別シート!$C$3),COUNTIF(B$5:B2996,B2996),"")</f>
        <v/>
      </c>
      <c r="V2996" s="47" t="n">
        <f aca="false">V2995+IF(OR(O2996&lt;&gt;"",W2996&lt;&gt;""),1,0)</f>
        <v>3</v>
      </c>
      <c r="W2996" s="29"/>
    </row>
    <row r="2997" customFormat="false" ht="15" hidden="false" customHeight="false" outlineLevel="0" collapsed="false">
      <c r="A2997" s="32" t="str">
        <f aca="false">IF(B2997="","",ROW()-7)</f>
        <v/>
      </c>
      <c r="B2997" s="30"/>
      <c r="C2997" s="29"/>
      <c r="D2997" s="29"/>
      <c r="E2997" s="29"/>
      <c r="F2997" s="30"/>
      <c r="G2997" s="29"/>
      <c r="H2997" s="30"/>
      <c r="I2997" s="29"/>
      <c r="J2997" s="30"/>
      <c r="K2997" s="30"/>
      <c r="L2997" s="29"/>
      <c r="M2997" s="32" t="str">
        <f aca="false">IF(OR(C2997="",L2997=""),"",IF(C2997=L2997,"同一","変更"))</f>
        <v/>
      </c>
      <c r="N2997" s="29"/>
      <c r="O2997" s="30"/>
      <c r="P2997" s="29"/>
      <c r="Q2997" s="31"/>
      <c r="R2997" s="29"/>
      <c r="S2997" s="29"/>
      <c r="T2997" s="30"/>
      <c r="U2997" s="47" t="str">
        <f aca="false">IF(AND(B2997&lt;&gt;"",B2997=SW別シート!$C$3),COUNTIF(B$5:B2997,B2997),"")</f>
        <v/>
      </c>
      <c r="V2997" s="47" t="n">
        <f aca="false">V2996+IF(OR(O2997&lt;&gt;"",W2997&lt;&gt;""),1,0)</f>
        <v>3</v>
      </c>
      <c r="W2997" s="29"/>
    </row>
    <row r="2998" customFormat="false" ht="15" hidden="false" customHeight="false" outlineLevel="0" collapsed="false">
      <c r="A2998" s="32" t="str">
        <f aca="false">IF(B2998="","",ROW()-7)</f>
        <v/>
      </c>
      <c r="B2998" s="30"/>
      <c r="C2998" s="29"/>
      <c r="D2998" s="29"/>
      <c r="E2998" s="29"/>
      <c r="F2998" s="30"/>
      <c r="G2998" s="29"/>
      <c r="H2998" s="30"/>
      <c r="I2998" s="29"/>
      <c r="J2998" s="30"/>
      <c r="K2998" s="30"/>
      <c r="L2998" s="29"/>
      <c r="M2998" s="32" t="str">
        <f aca="false">IF(OR(C2998="",L2998=""),"",IF(C2998=L2998,"同一","変更"))</f>
        <v/>
      </c>
      <c r="N2998" s="29"/>
      <c r="O2998" s="30"/>
      <c r="P2998" s="29"/>
      <c r="Q2998" s="31"/>
      <c r="R2998" s="29"/>
      <c r="S2998" s="29"/>
      <c r="T2998" s="30"/>
      <c r="U2998" s="47" t="str">
        <f aca="false">IF(AND(B2998&lt;&gt;"",B2998=SW別シート!$C$3),COUNTIF(B$5:B2998,B2998),"")</f>
        <v/>
      </c>
      <c r="V2998" s="47" t="n">
        <f aca="false">V2997+IF(OR(O2998&lt;&gt;"",W2998&lt;&gt;""),1,0)</f>
        <v>3</v>
      </c>
      <c r="W2998" s="29"/>
    </row>
    <row r="2999" customFormat="false" ht="15" hidden="false" customHeight="false" outlineLevel="0" collapsed="false">
      <c r="A2999" s="32" t="str">
        <f aca="false">IF(B2999="","",ROW()-7)</f>
        <v/>
      </c>
      <c r="B2999" s="30"/>
      <c r="C2999" s="29"/>
      <c r="D2999" s="29"/>
      <c r="E2999" s="29"/>
      <c r="F2999" s="30"/>
      <c r="G2999" s="29"/>
      <c r="H2999" s="30"/>
      <c r="I2999" s="29"/>
      <c r="J2999" s="30"/>
      <c r="K2999" s="30"/>
      <c r="L2999" s="29"/>
      <c r="M2999" s="32" t="str">
        <f aca="false">IF(OR(C2999="",L2999=""),"",IF(C2999=L2999,"同一","変更"))</f>
        <v/>
      </c>
      <c r="N2999" s="29"/>
      <c r="O2999" s="30"/>
      <c r="P2999" s="29"/>
      <c r="Q2999" s="31"/>
      <c r="R2999" s="29"/>
      <c r="S2999" s="29"/>
      <c r="T2999" s="30"/>
      <c r="U2999" s="47" t="str">
        <f aca="false">IF(AND(B2999&lt;&gt;"",B2999=SW別シート!$C$3),COUNTIF(B$5:B2999,B2999),"")</f>
        <v/>
      </c>
      <c r="V2999" s="47" t="n">
        <f aca="false">V2998+IF(OR(O2999&lt;&gt;"",W2999&lt;&gt;""),1,0)</f>
        <v>3</v>
      </c>
      <c r="W2999" s="29"/>
    </row>
    <row r="3000" customFormat="false" ht="15" hidden="false" customHeight="false" outlineLevel="0" collapsed="false">
      <c r="A3000" s="32" t="str">
        <f aca="false">IF(B3000="","",ROW()-7)</f>
        <v/>
      </c>
      <c r="B3000" s="30"/>
      <c r="C3000" s="29"/>
      <c r="D3000" s="29"/>
      <c r="E3000" s="29"/>
      <c r="F3000" s="30"/>
      <c r="G3000" s="29"/>
      <c r="H3000" s="30"/>
      <c r="I3000" s="29"/>
      <c r="J3000" s="30"/>
      <c r="K3000" s="30"/>
      <c r="L3000" s="29"/>
      <c r="M3000" s="32" t="str">
        <f aca="false">IF(OR(C3000="",L3000=""),"",IF(C3000=L3000,"同一","変更"))</f>
        <v/>
      </c>
      <c r="N3000" s="29"/>
      <c r="O3000" s="30"/>
      <c r="P3000" s="29"/>
      <c r="Q3000" s="31"/>
      <c r="R3000" s="29"/>
      <c r="S3000" s="29"/>
      <c r="T3000" s="30"/>
      <c r="U3000" s="47" t="str">
        <f aca="false">IF(AND(B3000&lt;&gt;"",B3000=SW別シート!$C$3),COUNTIF(B$5:B3000,B3000),"")</f>
        <v/>
      </c>
      <c r="V3000" s="47" t="n">
        <f aca="false">V2999+IF(OR(O3000&lt;&gt;"",W3000&lt;&gt;""),1,0)</f>
        <v>3</v>
      </c>
      <c r="W3000" s="29"/>
    </row>
    <row r="3001" customFormat="false" ht="15" hidden="false" customHeight="false" outlineLevel="0" collapsed="false">
      <c r="A3001" s="32" t="str">
        <f aca="false">IF(B3001="","",ROW()-7)</f>
        <v/>
      </c>
      <c r="B3001" s="30"/>
      <c r="C3001" s="29"/>
      <c r="D3001" s="29"/>
      <c r="E3001" s="29"/>
      <c r="F3001" s="30"/>
      <c r="G3001" s="29"/>
      <c r="H3001" s="30"/>
      <c r="I3001" s="29"/>
      <c r="J3001" s="30"/>
      <c r="K3001" s="30"/>
      <c r="L3001" s="29"/>
      <c r="M3001" s="32" t="str">
        <f aca="false">IF(OR(C3001="",L3001=""),"",IF(C3001=L3001,"同一","変更"))</f>
        <v/>
      </c>
      <c r="N3001" s="29"/>
      <c r="O3001" s="30"/>
      <c r="P3001" s="29"/>
      <c r="Q3001" s="31"/>
      <c r="R3001" s="29"/>
      <c r="S3001" s="29"/>
      <c r="T3001" s="30"/>
      <c r="U3001" s="47" t="str">
        <f aca="false">IF(AND(B3001&lt;&gt;"",B3001=SW別シート!$C$3),COUNTIF(B$5:B3001,B3001),"")</f>
        <v/>
      </c>
      <c r="V3001" s="47" t="n">
        <f aca="false">V3000+IF(OR(O3001&lt;&gt;"",W3001&lt;&gt;""),1,0)</f>
        <v>3</v>
      </c>
      <c r="W3001" s="29"/>
    </row>
    <row r="3002" customFormat="false" ht="15" hidden="false" customHeight="false" outlineLevel="0" collapsed="false">
      <c r="A3002" s="32" t="str">
        <f aca="false">IF(B3002="","",ROW()-7)</f>
        <v/>
      </c>
      <c r="B3002" s="30"/>
      <c r="C3002" s="29"/>
      <c r="D3002" s="29"/>
      <c r="E3002" s="29"/>
      <c r="F3002" s="30"/>
      <c r="G3002" s="29"/>
      <c r="H3002" s="30"/>
      <c r="I3002" s="29"/>
      <c r="J3002" s="30"/>
      <c r="K3002" s="30"/>
      <c r="L3002" s="29"/>
      <c r="M3002" s="32" t="str">
        <f aca="false">IF(OR(C3002="",L3002=""),"",IF(C3002=L3002,"同一","変更"))</f>
        <v/>
      </c>
      <c r="N3002" s="29"/>
      <c r="O3002" s="30"/>
      <c r="P3002" s="29"/>
      <c r="Q3002" s="31"/>
      <c r="R3002" s="29"/>
      <c r="S3002" s="29"/>
      <c r="T3002" s="30"/>
      <c r="U3002" s="47" t="str">
        <f aca="false">IF(AND(B3002&lt;&gt;"",B3002=SW別シート!$C$3),COUNTIF(B$5:B3002,B3002),"")</f>
        <v/>
      </c>
      <c r="V3002" s="47" t="n">
        <f aca="false">V3001+IF(OR(O3002&lt;&gt;"",W3002&lt;&gt;""),1,0)</f>
        <v>3</v>
      </c>
      <c r="W3002" s="29"/>
    </row>
    <row r="3003" customFormat="false" ht="15" hidden="false" customHeight="false" outlineLevel="0" collapsed="false">
      <c r="A3003" s="32" t="str">
        <f aca="false">IF(B3003="","",ROW()-7)</f>
        <v/>
      </c>
      <c r="B3003" s="30"/>
      <c r="C3003" s="29"/>
      <c r="D3003" s="29"/>
      <c r="E3003" s="29"/>
      <c r="F3003" s="30"/>
      <c r="G3003" s="29"/>
      <c r="H3003" s="30"/>
      <c r="I3003" s="29"/>
      <c r="J3003" s="30"/>
      <c r="K3003" s="30"/>
      <c r="L3003" s="29"/>
      <c r="M3003" s="32" t="str">
        <f aca="false">IF(OR(C3003="",L3003=""),"",IF(C3003=L3003,"同一","変更"))</f>
        <v/>
      </c>
      <c r="N3003" s="29"/>
      <c r="O3003" s="30"/>
      <c r="P3003" s="29"/>
      <c r="Q3003" s="31"/>
      <c r="R3003" s="29"/>
      <c r="S3003" s="29"/>
      <c r="T3003" s="30"/>
      <c r="U3003" s="47" t="str">
        <f aca="false">IF(AND(B3003&lt;&gt;"",B3003=SW別シート!$C$3),COUNTIF(B$5:B3003,B3003),"")</f>
        <v/>
      </c>
      <c r="V3003" s="47" t="n">
        <f aca="false">V3002+IF(OR(O3003&lt;&gt;"",W3003&lt;&gt;""),1,0)</f>
        <v>3</v>
      </c>
      <c r="W3003" s="29"/>
    </row>
    <row r="3004" customFormat="false" ht="15" hidden="false" customHeight="false" outlineLevel="0" collapsed="false">
      <c r="A3004" s="32" t="str">
        <f aca="false">IF(B3004="","",ROW()-7)</f>
        <v/>
      </c>
      <c r="B3004" s="30"/>
      <c r="C3004" s="29"/>
      <c r="D3004" s="29"/>
      <c r="E3004" s="29"/>
      <c r="F3004" s="30"/>
      <c r="G3004" s="29"/>
      <c r="H3004" s="30"/>
      <c r="I3004" s="29"/>
      <c r="J3004" s="30"/>
      <c r="K3004" s="30"/>
      <c r="L3004" s="29"/>
      <c r="M3004" s="32" t="str">
        <f aca="false">IF(OR(C3004="",L3004=""),"",IF(C3004=L3004,"同一","変更"))</f>
        <v/>
      </c>
      <c r="N3004" s="29"/>
      <c r="O3004" s="30"/>
      <c r="P3004" s="29"/>
      <c r="Q3004" s="31"/>
      <c r="R3004" s="29"/>
      <c r="S3004" s="29"/>
      <c r="T3004" s="30"/>
      <c r="U3004" s="47" t="str">
        <f aca="false">IF(AND(B3004&lt;&gt;"",B3004=SW別シート!$C$3),COUNTIF(B$5:B3004,B3004),"")</f>
        <v/>
      </c>
      <c r="V3004" s="47" t="n">
        <f aca="false">V3003+IF(OR(O3004&lt;&gt;"",W3004&lt;&gt;""),1,0)</f>
        <v>3</v>
      </c>
      <c r="W3004" s="29"/>
    </row>
    <row r="3005" customFormat="false" ht="15" hidden="false" customHeight="false" outlineLevel="0" collapsed="false">
      <c r="A3005" s="32" t="str">
        <f aca="false">IF(B3005="","",ROW()-7)</f>
        <v/>
      </c>
      <c r="B3005" s="30"/>
      <c r="C3005" s="29"/>
      <c r="D3005" s="29"/>
      <c r="E3005" s="29"/>
      <c r="F3005" s="30"/>
      <c r="G3005" s="29"/>
      <c r="H3005" s="30"/>
      <c r="I3005" s="29"/>
      <c r="J3005" s="30"/>
      <c r="K3005" s="30"/>
      <c r="L3005" s="29"/>
      <c r="M3005" s="32" t="str">
        <f aca="false">IF(OR(C3005="",L3005=""),"",IF(C3005=L3005,"同一","変更"))</f>
        <v/>
      </c>
      <c r="N3005" s="29"/>
      <c r="O3005" s="30"/>
      <c r="P3005" s="29"/>
      <c r="Q3005" s="31"/>
      <c r="R3005" s="29"/>
      <c r="S3005" s="29"/>
      <c r="T3005" s="30"/>
      <c r="U3005" s="47" t="str">
        <f aca="false">IF(AND(B3005&lt;&gt;"",B3005=SW別シート!$C$3),COUNTIF(B$5:B3005,B3005),"")</f>
        <v/>
      </c>
      <c r="V3005" s="47" t="n">
        <f aca="false">V3004+IF(OR(O3005&lt;&gt;"",W3005&lt;&gt;""),1,0)</f>
        <v>3</v>
      </c>
      <c r="W3005" s="29"/>
    </row>
    <row r="3006" customFormat="false" ht="15" hidden="false" customHeight="false" outlineLevel="0" collapsed="false">
      <c r="A3006" s="32" t="str">
        <f aca="false">IF(B3006="","",ROW()-7)</f>
        <v/>
      </c>
      <c r="B3006" s="30"/>
      <c r="C3006" s="29"/>
      <c r="D3006" s="29"/>
      <c r="E3006" s="29"/>
      <c r="F3006" s="30"/>
      <c r="G3006" s="29"/>
      <c r="H3006" s="30"/>
      <c r="I3006" s="29"/>
      <c r="J3006" s="30"/>
      <c r="K3006" s="30"/>
      <c r="L3006" s="29"/>
      <c r="M3006" s="32" t="str">
        <f aca="false">IF(OR(C3006="",L3006=""),"",IF(C3006=L3006,"同一","変更"))</f>
        <v/>
      </c>
      <c r="N3006" s="29"/>
      <c r="O3006" s="30"/>
      <c r="P3006" s="29"/>
      <c r="Q3006" s="31"/>
      <c r="R3006" s="29"/>
      <c r="S3006" s="29"/>
      <c r="T3006" s="30"/>
      <c r="U3006" s="47" t="str">
        <f aca="false">IF(AND(B3006&lt;&gt;"",B3006=SW別シート!$C$3),COUNTIF(B$5:B3006,B3006),"")</f>
        <v/>
      </c>
      <c r="V3006" s="47" t="n">
        <f aca="false">V3005+IF(OR(O3006&lt;&gt;"",W3006&lt;&gt;""),1,0)</f>
        <v>3</v>
      </c>
      <c r="W3006" s="29"/>
    </row>
    <row r="3007" customFormat="false" ht="15" hidden="false" customHeight="false" outlineLevel="0" collapsed="false">
      <c r="A3007" s="32" t="str">
        <f aca="false">IF(B3007="","",ROW()-7)</f>
        <v/>
      </c>
      <c r="B3007" s="30"/>
      <c r="C3007" s="29"/>
      <c r="D3007" s="29"/>
      <c r="E3007" s="29"/>
      <c r="F3007" s="30"/>
      <c r="G3007" s="29"/>
      <c r="H3007" s="30"/>
      <c r="I3007" s="29"/>
      <c r="J3007" s="30"/>
      <c r="K3007" s="30"/>
      <c r="L3007" s="29"/>
      <c r="M3007" s="32" t="str">
        <f aca="false">IF(OR(C3007="",L3007=""),"",IF(C3007=L3007,"同一","変更"))</f>
        <v/>
      </c>
      <c r="N3007" s="29"/>
      <c r="O3007" s="30"/>
      <c r="P3007" s="29"/>
      <c r="Q3007" s="31"/>
      <c r="R3007" s="29"/>
      <c r="S3007" s="29"/>
      <c r="T3007" s="30"/>
      <c r="U3007" s="47" t="str">
        <f aca="false">IF(AND(B3007&lt;&gt;"",B3007=SW別シート!$C$3),COUNTIF(B$5:B3007,B3007),"")</f>
        <v/>
      </c>
      <c r="V3007" s="47" t="n">
        <f aca="false">V3006+IF(OR(O3007&lt;&gt;"",W3007&lt;&gt;""),1,0)</f>
        <v>3</v>
      </c>
      <c r="W3007" s="29"/>
    </row>
    <row r="3008" customFormat="false" ht="15" hidden="false" customHeight="false" outlineLevel="0" collapsed="false">
      <c r="A3008" s="32" t="str">
        <f aca="false">IF(B3008="","",ROW()-7)</f>
        <v/>
      </c>
      <c r="B3008" s="30"/>
      <c r="C3008" s="29"/>
      <c r="D3008" s="29"/>
      <c r="E3008" s="29"/>
      <c r="F3008" s="30"/>
      <c r="G3008" s="29"/>
      <c r="H3008" s="30"/>
      <c r="I3008" s="29"/>
      <c r="J3008" s="30"/>
      <c r="K3008" s="30"/>
      <c r="L3008" s="29"/>
      <c r="M3008" s="32" t="str">
        <f aca="false">IF(OR(C3008="",L3008=""),"",IF(C3008=L3008,"同一","変更"))</f>
        <v/>
      </c>
      <c r="N3008" s="29"/>
      <c r="O3008" s="30"/>
      <c r="P3008" s="29"/>
      <c r="Q3008" s="31"/>
      <c r="R3008" s="29"/>
      <c r="S3008" s="29"/>
      <c r="T3008" s="30"/>
      <c r="U3008" s="47" t="str">
        <f aca="false">IF(AND(B3008&lt;&gt;"",B3008=SW別シート!$C$3),COUNTIF(B$5:B3008,B3008),"")</f>
        <v/>
      </c>
      <c r="V3008" s="47" t="n">
        <f aca="false">V3007+IF(OR(O3008&lt;&gt;"",W3008&lt;&gt;""),1,0)</f>
        <v>3</v>
      </c>
      <c r="W3008" s="29"/>
    </row>
    <row r="3009" customFormat="false" ht="15" hidden="false" customHeight="false" outlineLevel="0" collapsed="false">
      <c r="A3009" s="32" t="str">
        <f aca="false">IF(B3009="","",ROW()-7)</f>
        <v/>
      </c>
      <c r="B3009" s="30"/>
      <c r="C3009" s="29"/>
      <c r="D3009" s="29"/>
      <c r="E3009" s="29"/>
      <c r="F3009" s="30"/>
      <c r="G3009" s="29"/>
      <c r="H3009" s="30"/>
      <c r="I3009" s="29"/>
      <c r="J3009" s="30"/>
      <c r="K3009" s="30"/>
      <c r="L3009" s="29"/>
      <c r="M3009" s="32" t="str">
        <f aca="false">IF(OR(C3009="",L3009=""),"",IF(C3009=L3009,"同一","変更"))</f>
        <v/>
      </c>
      <c r="N3009" s="29"/>
      <c r="O3009" s="30"/>
      <c r="P3009" s="29"/>
      <c r="Q3009" s="31"/>
      <c r="R3009" s="29"/>
      <c r="S3009" s="29"/>
      <c r="T3009" s="30"/>
      <c r="U3009" s="47" t="str">
        <f aca="false">IF(AND(B3009&lt;&gt;"",B3009=SW別シート!$C$3),COUNTIF(B$5:B3009,B3009),"")</f>
        <v/>
      </c>
      <c r="V3009" s="47" t="n">
        <f aca="false">V3008+IF(OR(O3009&lt;&gt;"",W3009&lt;&gt;""),1,0)</f>
        <v>3</v>
      </c>
      <c r="W3009" s="29"/>
    </row>
    <row r="3010" customFormat="false" ht="15" hidden="false" customHeight="false" outlineLevel="0" collapsed="false">
      <c r="A3010" s="32" t="str">
        <f aca="false">IF(B3010="","",ROW()-7)</f>
        <v/>
      </c>
      <c r="B3010" s="30"/>
      <c r="C3010" s="29"/>
      <c r="D3010" s="29"/>
      <c r="E3010" s="29"/>
      <c r="F3010" s="30"/>
      <c r="G3010" s="29"/>
      <c r="H3010" s="30"/>
      <c r="I3010" s="29"/>
      <c r="J3010" s="30"/>
      <c r="K3010" s="30"/>
      <c r="L3010" s="29"/>
      <c r="M3010" s="32" t="str">
        <f aca="false">IF(OR(C3010="",L3010=""),"",IF(C3010=L3010,"同一","変更"))</f>
        <v/>
      </c>
      <c r="N3010" s="29"/>
      <c r="O3010" s="30"/>
      <c r="P3010" s="29"/>
      <c r="Q3010" s="31"/>
      <c r="R3010" s="29"/>
      <c r="S3010" s="29"/>
      <c r="T3010" s="30"/>
      <c r="U3010" s="47" t="str">
        <f aca="false">IF(AND(B3010&lt;&gt;"",B3010=SW別シート!$C$3),COUNTIF(B$5:B3010,B3010),"")</f>
        <v/>
      </c>
      <c r="V3010" s="47" t="n">
        <f aca="false">V3009+IF(OR(O3010&lt;&gt;"",W3010&lt;&gt;""),1,0)</f>
        <v>3</v>
      </c>
      <c r="W3010" s="29"/>
    </row>
    <row r="3011" customFormat="false" ht="15" hidden="false" customHeight="false" outlineLevel="0" collapsed="false">
      <c r="A3011" s="32" t="str">
        <f aca="false">IF(B3011="","",ROW()-7)</f>
        <v/>
      </c>
      <c r="B3011" s="30"/>
      <c r="C3011" s="29"/>
      <c r="D3011" s="29"/>
      <c r="E3011" s="29"/>
      <c r="F3011" s="30"/>
      <c r="G3011" s="29"/>
      <c r="H3011" s="30"/>
      <c r="I3011" s="29"/>
      <c r="J3011" s="30"/>
      <c r="K3011" s="30"/>
      <c r="L3011" s="29"/>
      <c r="M3011" s="32" t="str">
        <f aca="false">IF(OR(C3011="",L3011=""),"",IF(C3011=L3011,"同一","変更"))</f>
        <v/>
      </c>
      <c r="N3011" s="29"/>
      <c r="O3011" s="30"/>
      <c r="P3011" s="29"/>
      <c r="Q3011" s="31"/>
      <c r="R3011" s="29"/>
      <c r="S3011" s="29"/>
      <c r="T3011" s="30"/>
      <c r="U3011" s="47" t="str">
        <f aca="false">IF(AND(B3011&lt;&gt;"",B3011=SW別シート!$C$3),COUNTIF(B$5:B3011,B3011),"")</f>
        <v/>
      </c>
      <c r="V3011" s="47" t="n">
        <f aca="false">V3010+IF(OR(O3011&lt;&gt;"",W3011&lt;&gt;""),1,0)</f>
        <v>3</v>
      </c>
      <c r="W3011" s="29"/>
    </row>
    <row r="3012" customFormat="false" ht="15" hidden="false" customHeight="false" outlineLevel="0" collapsed="false">
      <c r="A3012" s="32" t="str">
        <f aca="false">IF(B3012="","",ROW()-7)</f>
        <v/>
      </c>
      <c r="B3012" s="30"/>
      <c r="C3012" s="29"/>
      <c r="D3012" s="29"/>
      <c r="E3012" s="29"/>
      <c r="F3012" s="30"/>
      <c r="G3012" s="29"/>
      <c r="H3012" s="30"/>
      <c r="I3012" s="29"/>
      <c r="J3012" s="30"/>
      <c r="K3012" s="30"/>
      <c r="L3012" s="29"/>
      <c r="M3012" s="32" t="str">
        <f aca="false">IF(OR(C3012="",L3012=""),"",IF(C3012=L3012,"同一","変更"))</f>
        <v/>
      </c>
      <c r="N3012" s="29"/>
      <c r="O3012" s="30"/>
      <c r="P3012" s="29"/>
      <c r="Q3012" s="31"/>
      <c r="R3012" s="29"/>
      <c r="S3012" s="29"/>
      <c r="T3012" s="30"/>
      <c r="U3012" s="47" t="str">
        <f aca="false">IF(AND(B3012&lt;&gt;"",B3012=SW別シート!$C$3),COUNTIF(B$5:B3012,B3012),"")</f>
        <v/>
      </c>
      <c r="V3012" s="47" t="n">
        <f aca="false">V3011+IF(OR(O3012&lt;&gt;"",W3012&lt;&gt;""),1,0)</f>
        <v>3</v>
      </c>
      <c r="W3012" s="29"/>
    </row>
    <row r="3013" customFormat="false" ht="15" hidden="false" customHeight="false" outlineLevel="0" collapsed="false">
      <c r="A3013" s="32" t="str">
        <f aca="false">IF(B3013="","",ROW()-7)</f>
        <v/>
      </c>
      <c r="B3013" s="30"/>
      <c r="C3013" s="29"/>
      <c r="D3013" s="29"/>
      <c r="E3013" s="29"/>
      <c r="F3013" s="30"/>
      <c r="G3013" s="29"/>
      <c r="H3013" s="30"/>
      <c r="I3013" s="29"/>
      <c r="J3013" s="30"/>
      <c r="K3013" s="30"/>
      <c r="L3013" s="29"/>
      <c r="M3013" s="32" t="str">
        <f aca="false">IF(OR(C3013="",L3013=""),"",IF(C3013=L3013,"同一","変更"))</f>
        <v/>
      </c>
      <c r="N3013" s="29"/>
      <c r="O3013" s="30"/>
      <c r="P3013" s="29"/>
      <c r="Q3013" s="31"/>
      <c r="R3013" s="29"/>
      <c r="S3013" s="29"/>
      <c r="T3013" s="30"/>
      <c r="U3013" s="47" t="str">
        <f aca="false">IF(AND(B3013&lt;&gt;"",B3013=SW別シート!$C$3),COUNTIF(B$5:B3013,B3013),"")</f>
        <v/>
      </c>
      <c r="V3013" s="47" t="n">
        <f aca="false">V3012+IF(OR(O3013&lt;&gt;"",W3013&lt;&gt;""),1,0)</f>
        <v>3</v>
      </c>
      <c r="W3013" s="29"/>
    </row>
    <row r="3014" customFormat="false" ht="15" hidden="false" customHeight="false" outlineLevel="0" collapsed="false">
      <c r="A3014" s="32" t="str">
        <f aca="false">IF(B3014="","",ROW()-7)</f>
        <v/>
      </c>
      <c r="B3014" s="30"/>
      <c r="C3014" s="29"/>
      <c r="D3014" s="29"/>
      <c r="E3014" s="29"/>
      <c r="F3014" s="30"/>
      <c r="G3014" s="29"/>
      <c r="H3014" s="30"/>
      <c r="I3014" s="29"/>
      <c r="J3014" s="30"/>
      <c r="K3014" s="30"/>
      <c r="L3014" s="29"/>
      <c r="M3014" s="32" t="str">
        <f aca="false">IF(OR(C3014="",L3014=""),"",IF(C3014=L3014,"同一","変更"))</f>
        <v/>
      </c>
      <c r="N3014" s="29"/>
      <c r="O3014" s="30"/>
      <c r="P3014" s="29"/>
      <c r="Q3014" s="31"/>
      <c r="R3014" s="29"/>
      <c r="S3014" s="29"/>
      <c r="T3014" s="30"/>
      <c r="U3014" s="47" t="str">
        <f aca="false">IF(AND(B3014&lt;&gt;"",B3014=SW別シート!$C$3),COUNTIF(B$5:B3014,B3014),"")</f>
        <v/>
      </c>
      <c r="V3014" s="47" t="n">
        <f aca="false">V3013+IF(OR(O3014&lt;&gt;"",W3014&lt;&gt;""),1,0)</f>
        <v>3</v>
      </c>
      <c r="W3014" s="29"/>
    </row>
    <row r="3015" customFormat="false" ht="15" hidden="false" customHeight="false" outlineLevel="0" collapsed="false">
      <c r="A3015" s="32" t="str">
        <f aca="false">IF(B3015="","",ROW()-7)</f>
        <v/>
      </c>
      <c r="B3015" s="30"/>
      <c r="C3015" s="29"/>
      <c r="D3015" s="29"/>
      <c r="E3015" s="29"/>
      <c r="F3015" s="30"/>
      <c r="G3015" s="29"/>
      <c r="H3015" s="30"/>
      <c r="I3015" s="29"/>
      <c r="J3015" s="30"/>
      <c r="K3015" s="30"/>
      <c r="L3015" s="29"/>
      <c r="M3015" s="32" t="str">
        <f aca="false">IF(OR(C3015="",L3015=""),"",IF(C3015=L3015,"同一","変更"))</f>
        <v/>
      </c>
      <c r="N3015" s="29"/>
      <c r="O3015" s="30"/>
      <c r="P3015" s="29"/>
      <c r="Q3015" s="31"/>
      <c r="R3015" s="29"/>
      <c r="S3015" s="29"/>
      <c r="T3015" s="30"/>
      <c r="U3015" s="47" t="str">
        <f aca="false">IF(AND(B3015&lt;&gt;"",B3015=SW別シート!$C$3),COUNTIF(B$5:B3015,B3015),"")</f>
        <v/>
      </c>
      <c r="V3015" s="47" t="n">
        <f aca="false">V3014+IF(OR(O3015&lt;&gt;"",W3015&lt;&gt;""),1,0)</f>
        <v>3</v>
      </c>
      <c r="W3015" s="29"/>
    </row>
    <row r="3016" customFormat="false" ht="15" hidden="false" customHeight="false" outlineLevel="0" collapsed="false">
      <c r="A3016" s="32" t="str">
        <f aca="false">IF(B3016="","",ROW()-7)</f>
        <v/>
      </c>
      <c r="B3016" s="30"/>
      <c r="C3016" s="29"/>
      <c r="D3016" s="29"/>
      <c r="E3016" s="29"/>
      <c r="F3016" s="30"/>
      <c r="G3016" s="29"/>
      <c r="H3016" s="30"/>
      <c r="I3016" s="29"/>
      <c r="J3016" s="30"/>
      <c r="K3016" s="30"/>
      <c r="L3016" s="29"/>
      <c r="M3016" s="32" t="str">
        <f aca="false">IF(OR(C3016="",L3016=""),"",IF(C3016=L3016,"同一","変更"))</f>
        <v/>
      </c>
      <c r="N3016" s="29"/>
      <c r="O3016" s="30"/>
      <c r="P3016" s="29"/>
      <c r="Q3016" s="31"/>
      <c r="R3016" s="29"/>
      <c r="S3016" s="29"/>
      <c r="T3016" s="30"/>
      <c r="U3016" s="47" t="str">
        <f aca="false">IF(AND(B3016&lt;&gt;"",B3016=SW別シート!$C$3),COUNTIF(B$5:B3016,B3016),"")</f>
        <v/>
      </c>
      <c r="V3016" s="47" t="n">
        <f aca="false">V3015+IF(OR(O3016&lt;&gt;"",W3016&lt;&gt;""),1,0)</f>
        <v>3</v>
      </c>
      <c r="W3016" s="29"/>
    </row>
    <row r="3017" customFormat="false" ht="15" hidden="false" customHeight="false" outlineLevel="0" collapsed="false">
      <c r="A3017" s="32" t="str">
        <f aca="false">IF(B3017="","",ROW()-7)</f>
        <v/>
      </c>
      <c r="B3017" s="30"/>
      <c r="C3017" s="29"/>
      <c r="D3017" s="29"/>
      <c r="E3017" s="29"/>
      <c r="F3017" s="30"/>
      <c r="G3017" s="29"/>
      <c r="H3017" s="30"/>
      <c r="I3017" s="29"/>
      <c r="J3017" s="30"/>
      <c r="K3017" s="30"/>
      <c r="L3017" s="29"/>
      <c r="M3017" s="32" t="str">
        <f aca="false">IF(OR(C3017="",L3017=""),"",IF(C3017=L3017,"同一","変更"))</f>
        <v/>
      </c>
      <c r="N3017" s="29"/>
      <c r="O3017" s="30"/>
      <c r="P3017" s="29"/>
      <c r="Q3017" s="31"/>
      <c r="R3017" s="29"/>
      <c r="S3017" s="29"/>
      <c r="T3017" s="30"/>
      <c r="U3017" s="47" t="str">
        <f aca="false">IF(AND(B3017&lt;&gt;"",B3017=SW別シート!$C$3),COUNTIF(B$5:B3017,B3017),"")</f>
        <v/>
      </c>
      <c r="V3017" s="47" t="n">
        <f aca="false">V3016+IF(OR(O3017&lt;&gt;"",W3017&lt;&gt;""),1,0)</f>
        <v>3</v>
      </c>
      <c r="W3017" s="29"/>
    </row>
    <row r="3018" customFormat="false" ht="15" hidden="false" customHeight="false" outlineLevel="0" collapsed="false">
      <c r="A3018" s="32" t="str">
        <f aca="false">IF(B3018="","",ROW()-7)</f>
        <v/>
      </c>
      <c r="B3018" s="30"/>
      <c r="C3018" s="29"/>
      <c r="D3018" s="29"/>
      <c r="E3018" s="29"/>
      <c r="F3018" s="30"/>
      <c r="G3018" s="29"/>
      <c r="H3018" s="30"/>
      <c r="I3018" s="29"/>
      <c r="J3018" s="30"/>
      <c r="K3018" s="30"/>
      <c r="L3018" s="29"/>
      <c r="M3018" s="32" t="str">
        <f aca="false">IF(OR(C3018="",L3018=""),"",IF(C3018=L3018,"同一","変更"))</f>
        <v/>
      </c>
      <c r="N3018" s="29"/>
      <c r="O3018" s="30"/>
      <c r="P3018" s="29"/>
      <c r="Q3018" s="31"/>
      <c r="R3018" s="29"/>
      <c r="S3018" s="29"/>
      <c r="T3018" s="30"/>
      <c r="U3018" s="47" t="str">
        <f aca="false">IF(AND(B3018&lt;&gt;"",B3018=SW別シート!$C$3),COUNTIF(B$5:B3018,B3018),"")</f>
        <v/>
      </c>
      <c r="V3018" s="47" t="n">
        <f aca="false">V3017+IF(OR(O3018&lt;&gt;"",W3018&lt;&gt;""),1,0)</f>
        <v>3</v>
      </c>
      <c r="W3018" s="29"/>
    </row>
    <row r="3019" customFormat="false" ht="15" hidden="false" customHeight="false" outlineLevel="0" collapsed="false">
      <c r="A3019" s="32" t="str">
        <f aca="false">IF(B3019="","",ROW()-7)</f>
        <v/>
      </c>
      <c r="B3019" s="30"/>
      <c r="C3019" s="29"/>
      <c r="D3019" s="29"/>
      <c r="E3019" s="29"/>
      <c r="F3019" s="30"/>
      <c r="G3019" s="29"/>
      <c r="H3019" s="30"/>
      <c r="I3019" s="29"/>
      <c r="J3019" s="30"/>
      <c r="K3019" s="30"/>
      <c r="L3019" s="29"/>
      <c r="M3019" s="32" t="str">
        <f aca="false">IF(OR(C3019="",L3019=""),"",IF(C3019=L3019,"同一","変更"))</f>
        <v/>
      </c>
      <c r="N3019" s="29"/>
      <c r="O3019" s="30"/>
      <c r="P3019" s="29"/>
      <c r="Q3019" s="31"/>
      <c r="R3019" s="29"/>
      <c r="S3019" s="29"/>
      <c r="T3019" s="30"/>
      <c r="U3019" s="47" t="str">
        <f aca="false">IF(AND(B3019&lt;&gt;"",B3019=SW別シート!$C$3),COUNTIF(B$5:B3019,B3019),"")</f>
        <v/>
      </c>
      <c r="V3019" s="47" t="n">
        <f aca="false">V3018+IF(OR(O3019&lt;&gt;"",W3019&lt;&gt;""),1,0)</f>
        <v>3</v>
      </c>
      <c r="W3019" s="29"/>
    </row>
    <row r="3020" customFormat="false" ht="15" hidden="false" customHeight="false" outlineLevel="0" collapsed="false">
      <c r="A3020" s="32" t="str">
        <f aca="false">IF(B3020="","",ROW()-7)</f>
        <v/>
      </c>
      <c r="B3020" s="30"/>
      <c r="C3020" s="29"/>
      <c r="D3020" s="29"/>
      <c r="E3020" s="29"/>
      <c r="F3020" s="30"/>
      <c r="G3020" s="29"/>
      <c r="H3020" s="30"/>
      <c r="I3020" s="29"/>
      <c r="J3020" s="30"/>
      <c r="K3020" s="30"/>
      <c r="L3020" s="29"/>
      <c r="M3020" s="32" t="str">
        <f aca="false">IF(OR(C3020="",L3020=""),"",IF(C3020=L3020,"同一","変更"))</f>
        <v/>
      </c>
      <c r="N3020" s="29"/>
      <c r="O3020" s="30"/>
      <c r="P3020" s="29"/>
      <c r="Q3020" s="31"/>
      <c r="R3020" s="29"/>
      <c r="S3020" s="29"/>
      <c r="T3020" s="30"/>
      <c r="U3020" s="47" t="str">
        <f aca="false">IF(AND(B3020&lt;&gt;"",B3020=SW別シート!$C$3),COUNTIF(B$5:B3020,B3020),"")</f>
        <v/>
      </c>
      <c r="V3020" s="47" t="n">
        <f aca="false">V3019+IF(OR(O3020&lt;&gt;"",W3020&lt;&gt;""),1,0)</f>
        <v>3</v>
      </c>
      <c r="W3020" s="29"/>
    </row>
    <row r="3021" customFormat="false" ht="15" hidden="false" customHeight="false" outlineLevel="0" collapsed="false">
      <c r="A3021" s="32" t="str">
        <f aca="false">IF(B3021="","",ROW()-7)</f>
        <v/>
      </c>
      <c r="B3021" s="30"/>
      <c r="C3021" s="29"/>
      <c r="D3021" s="29"/>
      <c r="E3021" s="29"/>
      <c r="F3021" s="30"/>
      <c r="G3021" s="29"/>
      <c r="H3021" s="30"/>
      <c r="I3021" s="29"/>
      <c r="J3021" s="30"/>
      <c r="K3021" s="30"/>
      <c r="L3021" s="29"/>
      <c r="M3021" s="32" t="str">
        <f aca="false">IF(OR(C3021="",L3021=""),"",IF(C3021=L3021,"同一","変更"))</f>
        <v/>
      </c>
      <c r="N3021" s="29"/>
      <c r="O3021" s="30"/>
      <c r="P3021" s="29"/>
      <c r="Q3021" s="31"/>
      <c r="R3021" s="29"/>
      <c r="S3021" s="29"/>
      <c r="T3021" s="30"/>
      <c r="U3021" s="47" t="str">
        <f aca="false">IF(AND(B3021&lt;&gt;"",B3021=SW別シート!$C$3),COUNTIF(B$5:B3021,B3021),"")</f>
        <v/>
      </c>
      <c r="V3021" s="47" t="n">
        <f aca="false">V3020+IF(OR(O3021&lt;&gt;"",W3021&lt;&gt;""),1,0)</f>
        <v>3</v>
      </c>
      <c r="W3021" s="29"/>
    </row>
    <row r="3022" customFormat="false" ht="15" hidden="false" customHeight="false" outlineLevel="0" collapsed="false">
      <c r="A3022" s="32" t="str">
        <f aca="false">IF(B3022="","",ROW()-7)</f>
        <v/>
      </c>
      <c r="B3022" s="30"/>
      <c r="C3022" s="29"/>
      <c r="D3022" s="29"/>
      <c r="E3022" s="29"/>
      <c r="F3022" s="30"/>
      <c r="G3022" s="29"/>
      <c r="H3022" s="30"/>
      <c r="I3022" s="29"/>
      <c r="J3022" s="30"/>
      <c r="K3022" s="30"/>
      <c r="L3022" s="29"/>
      <c r="M3022" s="32" t="str">
        <f aca="false">IF(OR(C3022="",L3022=""),"",IF(C3022=L3022,"同一","変更"))</f>
        <v/>
      </c>
      <c r="N3022" s="29"/>
      <c r="O3022" s="30"/>
      <c r="P3022" s="29"/>
      <c r="Q3022" s="31"/>
      <c r="R3022" s="29"/>
      <c r="S3022" s="29"/>
      <c r="T3022" s="30"/>
      <c r="U3022" s="47" t="str">
        <f aca="false">IF(AND(B3022&lt;&gt;"",B3022=SW別シート!$C$3),COUNTIF(B$5:B3022,B3022),"")</f>
        <v/>
      </c>
      <c r="V3022" s="47" t="n">
        <f aca="false">V3021+IF(OR(O3022&lt;&gt;"",W3022&lt;&gt;""),1,0)</f>
        <v>3</v>
      </c>
      <c r="W3022" s="29"/>
    </row>
    <row r="3023" customFormat="false" ht="15" hidden="false" customHeight="false" outlineLevel="0" collapsed="false">
      <c r="A3023" s="32" t="str">
        <f aca="false">IF(B3023="","",ROW()-7)</f>
        <v/>
      </c>
      <c r="B3023" s="30"/>
      <c r="C3023" s="29"/>
      <c r="D3023" s="29"/>
      <c r="E3023" s="29"/>
      <c r="F3023" s="30"/>
      <c r="G3023" s="29"/>
      <c r="H3023" s="30"/>
      <c r="I3023" s="29"/>
      <c r="J3023" s="30"/>
      <c r="K3023" s="30"/>
      <c r="L3023" s="29"/>
      <c r="M3023" s="32" t="str">
        <f aca="false">IF(OR(C3023="",L3023=""),"",IF(C3023=L3023,"同一","変更"))</f>
        <v/>
      </c>
      <c r="N3023" s="29"/>
      <c r="O3023" s="30"/>
      <c r="P3023" s="29"/>
      <c r="Q3023" s="31"/>
      <c r="R3023" s="29"/>
      <c r="S3023" s="29"/>
      <c r="T3023" s="30"/>
      <c r="U3023" s="47" t="str">
        <f aca="false">IF(AND(B3023&lt;&gt;"",B3023=SW別シート!$C$3),COUNTIF(B$5:B3023,B3023),"")</f>
        <v/>
      </c>
      <c r="V3023" s="47" t="n">
        <f aca="false">V3022+IF(OR(O3023&lt;&gt;"",W3023&lt;&gt;""),1,0)</f>
        <v>3</v>
      </c>
      <c r="W3023" s="29"/>
    </row>
    <row r="3024" customFormat="false" ht="15" hidden="false" customHeight="false" outlineLevel="0" collapsed="false">
      <c r="A3024" s="32" t="str">
        <f aca="false">IF(B3024="","",ROW()-7)</f>
        <v/>
      </c>
      <c r="B3024" s="30"/>
      <c r="C3024" s="29"/>
      <c r="D3024" s="29"/>
      <c r="E3024" s="29"/>
      <c r="F3024" s="30"/>
      <c r="G3024" s="29"/>
      <c r="H3024" s="30"/>
      <c r="I3024" s="29"/>
      <c r="J3024" s="30"/>
      <c r="K3024" s="30"/>
      <c r="L3024" s="29"/>
      <c r="M3024" s="32" t="str">
        <f aca="false">IF(OR(C3024="",L3024=""),"",IF(C3024=L3024,"同一","変更"))</f>
        <v/>
      </c>
      <c r="N3024" s="29"/>
      <c r="O3024" s="30"/>
      <c r="P3024" s="29"/>
      <c r="Q3024" s="31"/>
      <c r="R3024" s="29"/>
      <c r="S3024" s="29"/>
      <c r="T3024" s="30"/>
      <c r="U3024" s="47" t="str">
        <f aca="false">IF(AND(B3024&lt;&gt;"",B3024=SW別シート!$C$3),COUNTIF(B$5:B3024,B3024),"")</f>
        <v/>
      </c>
      <c r="V3024" s="47" t="n">
        <f aca="false">V3023+IF(OR(O3024&lt;&gt;"",W3024&lt;&gt;""),1,0)</f>
        <v>3</v>
      </c>
      <c r="W3024" s="29"/>
    </row>
    <row r="3025" customFormat="false" ht="15" hidden="false" customHeight="false" outlineLevel="0" collapsed="false">
      <c r="A3025" s="32" t="str">
        <f aca="false">IF(B3025="","",ROW()-7)</f>
        <v/>
      </c>
      <c r="B3025" s="30"/>
      <c r="C3025" s="29"/>
      <c r="D3025" s="29"/>
      <c r="E3025" s="29"/>
      <c r="F3025" s="30"/>
      <c r="G3025" s="29"/>
      <c r="H3025" s="30"/>
      <c r="I3025" s="29"/>
      <c r="J3025" s="30"/>
      <c r="K3025" s="30"/>
      <c r="L3025" s="29"/>
      <c r="M3025" s="32" t="str">
        <f aca="false">IF(OR(C3025="",L3025=""),"",IF(C3025=L3025,"同一","変更"))</f>
        <v/>
      </c>
      <c r="N3025" s="29"/>
      <c r="O3025" s="30"/>
      <c r="P3025" s="29"/>
      <c r="Q3025" s="31"/>
      <c r="R3025" s="29"/>
      <c r="S3025" s="29"/>
      <c r="T3025" s="30"/>
      <c r="U3025" s="47" t="str">
        <f aca="false">IF(AND(B3025&lt;&gt;"",B3025=SW別シート!$C$3),COUNTIF(B$5:B3025,B3025),"")</f>
        <v/>
      </c>
      <c r="V3025" s="47" t="n">
        <f aca="false">V3024+IF(OR(O3025&lt;&gt;"",W3025&lt;&gt;""),1,0)</f>
        <v>3</v>
      </c>
      <c r="W3025" s="29"/>
    </row>
    <row r="3026" customFormat="false" ht="15" hidden="false" customHeight="false" outlineLevel="0" collapsed="false">
      <c r="A3026" s="32" t="str">
        <f aca="false">IF(B3026="","",ROW()-7)</f>
        <v/>
      </c>
      <c r="B3026" s="30"/>
      <c r="C3026" s="29"/>
      <c r="D3026" s="29"/>
      <c r="E3026" s="29"/>
      <c r="F3026" s="30"/>
      <c r="G3026" s="29"/>
      <c r="H3026" s="30"/>
      <c r="I3026" s="29"/>
      <c r="J3026" s="30"/>
      <c r="K3026" s="30"/>
      <c r="L3026" s="29"/>
      <c r="M3026" s="32" t="str">
        <f aca="false">IF(OR(C3026="",L3026=""),"",IF(C3026=L3026,"同一","変更"))</f>
        <v/>
      </c>
      <c r="N3026" s="29"/>
      <c r="O3026" s="30"/>
      <c r="P3026" s="29"/>
      <c r="Q3026" s="31"/>
      <c r="R3026" s="29"/>
      <c r="S3026" s="29"/>
      <c r="T3026" s="30"/>
      <c r="U3026" s="47" t="str">
        <f aca="false">IF(AND(B3026&lt;&gt;"",B3026=SW別シート!$C$3),COUNTIF(B$5:B3026,B3026),"")</f>
        <v/>
      </c>
      <c r="V3026" s="47" t="n">
        <f aca="false">V3025+IF(OR(O3026&lt;&gt;"",W3026&lt;&gt;""),1,0)</f>
        <v>3</v>
      </c>
      <c r="W3026" s="29"/>
    </row>
    <row r="3027" customFormat="false" ht="15" hidden="false" customHeight="false" outlineLevel="0" collapsed="false">
      <c r="A3027" s="32" t="str">
        <f aca="false">IF(B3027="","",ROW()-7)</f>
        <v/>
      </c>
      <c r="B3027" s="30"/>
      <c r="C3027" s="29"/>
      <c r="D3027" s="29"/>
      <c r="E3027" s="29"/>
      <c r="F3027" s="30"/>
      <c r="G3027" s="29"/>
      <c r="H3027" s="30"/>
      <c r="I3027" s="29"/>
      <c r="J3027" s="30"/>
      <c r="K3027" s="30"/>
      <c r="L3027" s="29"/>
      <c r="M3027" s="32" t="str">
        <f aca="false">IF(OR(C3027="",L3027=""),"",IF(C3027=L3027,"同一","変更"))</f>
        <v/>
      </c>
      <c r="N3027" s="29"/>
      <c r="O3027" s="30"/>
      <c r="P3027" s="29"/>
      <c r="Q3027" s="31"/>
      <c r="R3027" s="29"/>
      <c r="S3027" s="29"/>
      <c r="T3027" s="30"/>
      <c r="U3027" s="47" t="str">
        <f aca="false">IF(AND(B3027&lt;&gt;"",B3027=SW別シート!$C$3),COUNTIF(B$5:B3027,B3027),"")</f>
        <v/>
      </c>
      <c r="V3027" s="47" t="n">
        <f aca="false">V3026+IF(OR(O3027&lt;&gt;"",W3027&lt;&gt;""),1,0)</f>
        <v>3</v>
      </c>
      <c r="W3027" s="29"/>
    </row>
    <row r="3028" customFormat="false" ht="15" hidden="false" customHeight="false" outlineLevel="0" collapsed="false">
      <c r="A3028" s="32" t="str">
        <f aca="false">IF(B3028="","",ROW()-7)</f>
        <v/>
      </c>
      <c r="B3028" s="30"/>
      <c r="C3028" s="29"/>
      <c r="D3028" s="29"/>
      <c r="E3028" s="29"/>
      <c r="F3028" s="30"/>
      <c r="G3028" s="29"/>
      <c r="H3028" s="30"/>
      <c r="I3028" s="29"/>
      <c r="J3028" s="30"/>
      <c r="K3028" s="30"/>
      <c r="L3028" s="29"/>
      <c r="M3028" s="32" t="str">
        <f aca="false">IF(OR(C3028="",L3028=""),"",IF(C3028=L3028,"同一","変更"))</f>
        <v/>
      </c>
      <c r="N3028" s="29"/>
      <c r="O3028" s="30"/>
      <c r="P3028" s="29"/>
      <c r="Q3028" s="31"/>
      <c r="R3028" s="29"/>
      <c r="S3028" s="29"/>
      <c r="T3028" s="30"/>
      <c r="U3028" s="47" t="str">
        <f aca="false">IF(AND(B3028&lt;&gt;"",B3028=SW別シート!$C$3),COUNTIF(B$5:B3028,B3028),"")</f>
        <v/>
      </c>
      <c r="V3028" s="47" t="n">
        <f aca="false">V3027+IF(OR(O3028&lt;&gt;"",W3028&lt;&gt;""),1,0)</f>
        <v>3</v>
      </c>
      <c r="W3028" s="29"/>
    </row>
    <row r="3029" customFormat="false" ht="15" hidden="false" customHeight="false" outlineLevel="0" collapsed="false">
      <c r="A3029" s="32" t="str">
        <f aca="false">IF(B3029="","",ROW()-7)</f>
        <v/>
      </c>
      <c r="B3029" s="30"/>
      <c r="C3029" s="29"/>
      <c r="D3029" s="29"/>
      <c r="E3029" s="29"/>
      <c r="F3029" s="30"/>
      <c r="G3029" s="29"/>
      <c r="H3029" s="30"/>
      <c r="I3029" s="29"/>
      <c r="J3029" s="30"/>
      <c r="K3029" s="30"/>
      <c r="L3029" s="29"/>
      <c r="M3029" s="32" t="str">
        <f aca="false">IF(OR(C3029="",L3029=""),"",IF(C3029=L3029,"同一","変更"))</f>
        <v/>
      </c>
      <c r="N3029" s="29"/>
      <c r="O3029" s="30"/>
      <c r="P3029" s="29"/>
      <c r="Q3029" s="31"/>
      <c r="R3029" s="29"/>
      <c r="S3029" s="29"/>
      <c r="T3029" s="30"/>
      <c r="U3029" s="47" t="str">
        <f aca="false">IF(AND(B3029&lt;&gt;"",B3029=SW別シート!$C$3),COUNTIF(B$5:B3029,B3029),"")</f>
        <v/>
      </c>
      <c r="V3029" s="47" t="n">
        <f aca="false">V3028+IF(OR(O3029&lt;&gt;"",W3029&lt;&gt;""),1,0)</f>
        <v>3</v>
      </c>
      <c r="W3029" s="29"/>
    </row>
    <row r="3030" customFormat="false" ht="15" hidden="false" customHeight="false" outlineLevel="0" collapsed="false">
      <c r="A3030" s="32" t="str">
        <f aca="false">IF(B3030="","",ROW()-7)</f>
        <v/>
      </c>
      <c r="B3030" s="30"/>
      <c r="C3030" s="29"/>
      <c r="D3030" s="29"/>
      <c r="E3030" s="29"/>
      <c r="F3030" s="30"/>
      <c r="G3030" s="29"/>
      <c r="H3030" s="30"/>
      <c r="I3030" s="29"/>
      <c r="J3030" s="30"/>
      <c r="K3030" s="30"/>
      <c r="L3030" s="29"/>
      <c r="M3030" s="32" t="str">
        <f aca="false">IF(OR(C3030="",L3030=""),"",IF(C3030=L3030,"同一","変更"))</f>
        <v/>
      </c>
      <c r="N3030" s="29"/>
      <c r="O3030" s="30"/>
      <c r="P3030" s="29"/>
      <c r="Q3030" s="31"/>
      <c r="R3030" s="29"/>
      <c r="S3030" s="29"/>
      <c r="T3030" s="30"/>
      <c r="U3030" s="47" t="str">
        <f aca="false">IF(AND(B3030&lt;&gt;"",B3030=SW別シート!$C$3),COUNTIF(B$5:B3030,B3030),"")</f>
        <v/>
      </c>
      <c r="V3030" s="47" t="n">
        <f aca="false">V3029+IF(OR(O3030&lt;&gt;"",W3030&lt;&gt;""),1,0)</f>
        <v>3</v>
      </c>
      <c r="W3030" s="29"/>
    </row>
    <row r="3031" customFormat="false" ht="15" hidden="false" customHeight="false" outlineLevel="0" collapsed="false">
      <c r="A3031" s="32" t="str">
        <f aca="false">IF(B3031="","",ROW()-7)</f>
        <v/>
      </c>
      <c r="B3031" s="30"/>
      <c r="C3031" s="29"/>
      <c r="D3031" s="29"/>
      <c r="E3031" s="29"/>
      <c r="F3031" s="30"/>
      <c r="G3031" s="29"/>
      <c r="H3031" s="30"/>
      <c r="I3031" s="29"/>
      <c r="J3031" s="30"/>
      <c r="K3031" s="30"/>
      <c r="L3031" s="29"/>
      <c r="M3031" s="32" t="str">
        <f aca="false">IF(OR(C3031="",L3031=""),"",IF(C3031=L3031,"同一","変更"))</f>
        <v/>
      </c>
      <c r="N3031" s="29"/>
      <c r="O3031" s="30"/>
      <c r="P3031" s="29"/>
      <c r="Q3031" s="31"/>
      <c r="R3031" s="29"/>
      <c r="S3031" s="29"/>
      <c r="T3031" s="30"/>
      <c r="U3031" s="47" t="str">
        <f aca="false">IF(AND(B3031&lt;&gt;"",B3031=SW別シート!$C$3),COUNTIF(B$5:B3031,B3031),"")</f>
        <v/>
      </c>
      <c r="V3031" s="47" t="n">
        <f aca="false">V3030+IF(OR(O3031&lt;&gt;"",W3031&lt;&gt;""),1,0)</f>
        <v>3</v>
      </c>
      <c r="W3031" s="29"/>
    </row>
    <row r="3032" customFormat="false" ht="15" hidden="false" customHeight="false" outlineLevel="0" collapsed="false">
      <c r="A3032" s="32" t="str">
        <f aca="false">IF(B3032="","",ROW()-7)</f>
        <v/>
      </c>
      <c r="B3032" s="30"/>
      <c r="C3032" s="29"/>
      <c r="D3032" s="29"/>
      <c r="E3032" s="29"/>
      <c r="F3032" s="30"/>
      <c r="G3032" s="29"/>
      <c r="H3032" s="30"/>
      <c r="I3032" s="29"/>
      <c r="J3032" s="30"/>
      <c r="K3032" s="30"/>
      <c r="L3032" s="29"/>
      <c r="M3032" s="32" t="str">
        <f aca="false">IF(OR(C3032="",L3032=""),"",IF(C3032=L3032,"同一","変更"))</f>
        <v/>
      </c>
      <c r="N3032" s="29"/>
      <c r="O3032" s="30"/>
      <c r="P3032" s="29"/>
      <c r="Q3032" s="31"/>
      <c r="R3032" s="29"/>
      <c r="S3032" s="29"/>
      <c r="T3032" s="30"/>
      <c r="U3032" s="47" t="str">
        <f aca="false">IF(AND(B3032&lt;&gt;"",B3032=SW別シート!$C$3),COUNTIF(B$5:B3032,B3032),"")</f>
        <v/>
      </c>
      <c r="V3032" s="47" t="n">
        <f aca="false">V3031+IF(OR(O3032&lt;&gt;"",W3032&lt;&gt;""),1,0)</f>
        <v>3</v>
      </c>
      <c r="W3032" s="29"/>
    </row>
    <row r="3033" customFormat="false" ht="15" hidden="false" customHeight="false" outlineLevel="0" collapsed="false">
      <c r="A3033" s="32" t="str">
        <f aca="false">IF(B3033="","",ROW()-7)</f>
        <v/>
      </c>
      <c r="B3033" s="30"/>
      <c r="C3033" s="29"/>
      <c r="D3033" s="29"/>
      <c r="E3033" s="29"/>
      <c r="F3033" s="30"/>
      <c r="G3033" s="29"/>
      <c r="H3033" s="30"/>
      <c r="I3033" s="29"/>
      <c r="J3033" s="30"/>
      <c r="K3033" s="30"/>
      <c r="L3033" s="29"/>
      <c r="M3033" s="32" t="str">
        <f aca="false">IF(OR(C3033="",L3033=""),"",IF(C3033=L3033,"同一","変更"))</f>
        <v/>
      </c>
      <c r="N3033" s="29"/>
      <c r="O3033" s="30"/>
      <c r="P3033" s="29"/>
      <c r="Q3033" s="31"/>
      <c r="R3033" s="29"/>
      <c r="S3033" s="29"/>
      <c r="T3033" s="30"/>
      <c r="U3033" s="47" t="str">
        <f aca="false">IF(AND(B3033&lt;&gt;"",B3033=SW別シート!$C$3),COUNTIF(B$5:B3033,B3033),"")</f>
        <v/>
      </c>
      <c r="V3033" s="47" t="n">
        <f aca="false">V3032+IF(OR(O3033&lt;&gt;"",W3033&lt;&gt;""),1,0)</f>
        <v>3</v>
      </c>
      <c r="W3033" s="29"/>
    </row>
    <row r="3034" customFormat="false" ht="15" hidden="false" customHeight="false" outlineLevel="0" collapsed="false">
      <c r="A3034" s="32" t="str">
        <f aca="false">IF(B3034="","",ROW()-7)</f>
        <v/>
      </c>
      <c r="B3034" s="30"/>
      <c r="C3034" s="29"/>
      <c r="D3034" s="29"/>
      <c r="E3034" s="29"/>
      <c r="F3034" s="30"/>
      <c r="G3034" s="29"/>
      <c r="H3034" s="30"/>
      <c r="I3034" s="29"/>
      <c r="J3034" s="30"/>
      <c r="K3034" s="30"/>
      <c r="L3034" s="29"/>
      <c r="M3034" s="32" t="str">
        <f aca="false">IF(OR(C3034="",L3034=""),"",IF(C3034=L3034,"同一","変更"))</f>
        <v/>
      </c>
      <c r="N3034" s="29"/>
      <c r="O3034" s="30"/>
      <c r="P3034" s="29"/>
      <c r="Q3034" s="31"/>
      <c r="R3034" s="29"/>
      <c r="S3034" s="29"/>
      <c r="T3034" s="30"/>
      <c r="U3034" s="47" t="str">
        <f aca="false">IF(AND(B3034&lt;&gt;"",B3034=SW別シート!$C$3),COUNTIF(B$5:B3034,B3034),"")</f>
        <v/>
      </c>
      <c r="V3034" s="47" t="n">
        <f aca="false">V3033+IF(OR(O3034&lt;&gt;"",W3034&lt;&gt;""),1,0)</f>
        <v>3</v>
      </c>
      <c r="W3034" s="29"/>
    </row>
    <row r="3035" customFormat="false" ht="15" hidden="false" customHeight="false" outlineLevel="0" collapsed="false">
      <c r="A3035" s="32" t="str">
        <f aca="false">IF(B3035="","",ROW()-7)</f>
        <v/>
      </c>
      <c r="B3035" s="30"/>
      <c r="C3035" s="29"/>
      <c r="D3035" s="29"/>
      <c r="E3035" s="29"/>
      <c r="F3035" s="30"/>
      <c r="G3035" s="29"/>
      <c r="H3035" s="30"/>
      <c r="I3035" s="29"/>
      <c r="J3035" s="30"/>
      <c r="K3035" s="30"/>
      <c r="L3035" s="29"/>
      <c r="M3035" s="32" t="str">
        <f aca="false">IF(OR(C3035="",L3035=""),"",IF(C3035=L3035,"同一","変更"))</f>
        <v/>
      </c>
      <c r="N3035" s="29"/>
      <c r="O3035" s="30"/>
      <c r="P3035" s="29"/>
      <c r="Q3035" s="31"/>
      <c r="R3035" s="29"/>
      <c r="S3035" s="29"/>
      <c r="T3035" s="30"/>
      <c r="U3035" s="47" t="str">
        <f aca="false">IF(AND(B3035&lt;&gt;"",B3035=SW別シート!$C$3),COUNTIF(B$5:B3035,B3035),"")</f>
        <v/>
      </c>
      <c r="V3035" s="47" t="n">
        <f aca="false">V3034+IF(OR(O3035&lt;&gt;"",W3035&lt;&gt;""),1,0)</f>
        <v>3</v>
      </c>
      <c r="W3035" s="29"/>
    </row>
    <row r="3036" customFormat="false" ht="15" hidden="false" customHeight="false" outlineLevel="0" collapsed="false">
      <c r="A3036" s="32" t="str">
        <f aca="false">IF(B3036="","",ROW()-7)</f>
        <v/>
      </c>
      <c r="B3036" s="30"/>
      <c r="C3036" s="29"/>
      <c r="D3036" s="29"/>
      <c r="E3036" s="29"/>
      <c r="F3036" s="30"/>
      <c r="G3036" s="29"/>
      <c r="H3036" s="30"/>
      <c r="I3036" s="29"/>
      <c r="J3036" s="30"/>
      <c r="K3036" s="30"/>
      <c r="L3036" s="29"/>
      <c r="M3036" s="32" t="str">
        <f aca="false">IF(OR(C3036="",L3036=""),"",IF(C3036=L3036,"同一","変更"))</f>
        <v/>
      </c>
      <c r="N3036" s="29"/>
      <c r="O3036" s="30"/>
      <c r="P3036" s="29"/>
      <c r="Q3036" s="31"/>
      <c r="R3036" s="29"/>
      <c r="S3036" s="29"/>
      <c r="T3036" s="30"/>
      <c r="U3036" s="47" t="str">
        <f aca="false">IF(AND(B3036&lt;&gt;"",B3036=SW別シート!$C$3),COUNTIF(B$5:B3036,B3036),"")</f>
        <v/>
      </c>
      <c r="V3036" s="47" t="n">
        <f aca="false">V3035+IF(OR(O3036&lt;&gt;"",W3036&lt;&gt;""),1,0)</f>
        <v>3</v>
      </c>
      <c r="W3036" s="29"/>
    </row>
    <row r="3037" customFormat="false" ht="15" hidden="false" customHeight="false" outlineLevel="0" collapsed="false">
      <c r="A3037" s="32" t="str">
        <f aca="false">IF(B3037="","",ROW()-7)</f>
        <v/>
      </c>
      <c r="B3037" s="30"/>
      <c r="C3037" s="29"/>
      <c r="D3037" s="29"/>
      <c r="E3037" s="29"/>
      <c r="F3037" s="30"/>
      <c r="G3037" s="29"/>
      <c r="H3037" s="30"/>
      <c r="I3037" s="29"/>
      <c r="J3037" s="30"/>
      <c r="K3037" s="30"/>
      <c r="L3037" s="29"/>
      <c r="M3037" s="32" t="str">
        <f aca="false">IF(OR(C3037="",L3037=""),"",IF(C3037=L3037,"同一","変更"))</f>
        <v/>
      </c>
      <c r="N3037" s="29"/>
      <c r="O3037" s="30"/>
      <c r="P3037" s="29"/>
      <c r="Q3037" s="31"/>
      <c r="R3037" s="29"/>
      <c r="S3037" s="29"/>
      <c r="T3037" s="30"/>
      <c r="U3037" s="47" t="str">
        <f aca="false">IF(AND(B3037&lt;&gt;"",B3037=SW別シート!$C$3),COUNTIF(B$5:B3037,B3037),"")</f>
        <v/>
      </c>
      <c r="V3037" s="47" t="n">
        <f aca="false">V3036+IF(OR(O3037&lt;&gt;"",W3037&lt;&gt;""),1,0)</f>
        <v>3</v>
      </c>
      <c r="W3037" s="29"/>
    </row>
    <row r="3038" customFormat="false" ht="15" hidden="false" customHeight="false" outlineLevel="0" collapsed="false">
      <c r="A3038" s="32" t="str">
        <f aca="false">IF(B3038="","",ROW()-7)</f>
        <v/>
      </c>
      <c r="B3038" s="30"/>
      <c r="C3038" s="29"/>
      <c r="D3038" s="29"/>
      <c r="E3038" s="29"/>
      <c r="F3038" s="30"/>
      <c r="G3038" s="29"/>
      <c r="H3038" s="30"/>
      <c r="I3038" s="29"/>
      <c r="J3038" s="30"/>
      <c r="K3038" s="30"/>
      <c r="L3038" s="29"/>
      <c r="M3038" s="32" t="str">
        <f aca="false">IF(OR(C3038="",L3038=""),"",IF(C3038=L3038,"同一","変更"))</f>
        <v/>
      </c>
      <c r="N3038" s="29"/>
      <c r="O3038" s="30"/>
      <c r="P3038" s="29"/>
      <c r="Q3038" s="31"/>
      <c r="R3038" s="29"/>
      <c r="S3038" s="29"/>
      <c r="T3038" s="30"/>
      <c r="U3038" s="47" t="str">
        <f aca="false">IF(AND(B3038&lt;&gt;"",B3038=SW別シート!$C$3),COUNTIF(B$5:B3038,B3038),"")</f>
        <v/>
      </c>
      <c r="V3038" s="47" t="n">
        <f aca="false">V3037+IF(OR(O3038&lt;&gt;"",W3038&lt;&gt;""),1,0)</f>
        <v>3</v>
      </c>
      <c r="W3038" s="29"/>
    </row>
    <row r="3039" customFormat="false" ht="15" hidden="false" customHeight="false" outlineLevel="0" collapsed="false">
      <c r="A3039" s="32" t="str">
        <f aca="false">IF(B3039="","",ROW()-7)</f>
        <v/>
      </c>
      <c r="B3039" s="30"/>
      <c r="C3039" s="29"/>
      <c r="D3039" s="29"/>
      <c r="E3039" s="29"/>
      <c r="F3039" s="30"/>
      <c r="G3039" s="29"/>
      <c r="H3039" s="30"/>
      <c r="I3039" s="29"/>
      <c r="J3039" s="30"/>
      <c r="K3039" s="30"/>
      <c r="L3039" s="29"/>
      <c r="M3039" s="32" t="str">
        <f aca="false">IF(OR(C3039="",L3039=""),"",IF(C3039=L3039,"同一","変更"))</f>
        <v/>
      </c>
      <c r="N3039" s="29"/>
      <c r="O3039" s="30"/>
      <c r="P3039" s="29"/>
      <c r="Q3039" s="31"/>
      <c r="R3039" s="29"/>
      <c r="S3039" s="29"/>
      <c r="T3039" s="30"/>
      <c r="U3039" s="47" t="str">
        <f aca="false">IF(AND(B3039&lt;&gt;"",B3039=SW別シート!$C$3),COUNTIF(B$5:B3039,B3039),"")</f>
        <v/>
      </c>
      <c r="V3039" s="47" t="n">
        <f aca="false">V3038+IF(OR(O3039&lt;&gt;"",W3039&lt;&gt;""),1,0)</f>
        <v>3</v>
      </c>
      <c r="W3039" s="29"/>
    </row>
    <row r="3040" customFormat="false" ht="15" hidden="false" customHeight="false" outlineLevel="0" collapsed="false">
      <c r="A3040" s="32" t="str">
        <f aca="false">IF(B3040="","",ROW()-7)</f>
        <v/>
      </c>
      <c r="B3040" s="30"/>
      <c r="C3040" s="29"/>
      <c r="D3040" s="29"/>
      <c r="E3040" s="29"/>
      <c r="F3040" s="30"/>
      <c r="G3040" s="29"/>
      <c r="H3040" s="30"/>
      <c r="I3040" s="29"/>
      <c r="J3040" s="30"/>
      <c r="K3040" s="30"/>
      <c r="L3040" s="29"/>
      <c r="M3040" s="32" t="str">
        <f aca="false">IF(OR(C3040="",L3040=""),"",IF(C3040=L3040,"同一","変更"))</f>
        <v/>
      </c>
      <c r="N3040" s="29"/>
      <c r="O3040" s="30"/>
      <c r="P3040" s="29"/>
      <c r="Q3040" s="31"/>
      <c r="R3040" s="29"/>
      <c r="S3040" s="29"/>
      <c r="T3040" s="30"/>
      <c r="U3040" s="47" t="str">
        <f aca="false">IF(AND(B3040&lt;&gt;"",B3040=SW別シート!$C$3),COUNTIF(B$5:B3040,B3040),"")</f>
        <v/>
      </c>
      <c r="V3040" s="47" t="n">
        <f aca="false">V3039+IF(OR(O3040&lt;&gt;"",W3040&lt;&gt;""),1,0)</f>
        <v>3</v>
      </c>
      <c r="W3040" s="29"/>
    </row>
    <row r="3041" customFormat="false" ht="15" hidden="false" customHeight="false" outlineLevel="0" collapsed="false">
      <c r="A3041" s="32" t="str">
        <f aca="false">IF(B3041="","",ROW()-7)</f>
        <v/>
      </c>
      <c r="B3041" s="30"/>
      <c r="C3041" s="29"/>
      <c r="D3041" s="29"/>
      <c r="E3041" s="29"/>
      <c r="F3041" s="30"/>
      <c r="G3041" s="29"/>
      <c r="H3041" s="30"/>
      <c r="I3041" s="29"/>
      <c r="J3041" s="30"/>
      <c r="K3041" s="30"/>
      <c r="L3041" s="29"/>
      <c r="M3041" s="32" t="str">
        <f aca="false">IF(OR(C3041="",L3041=""),"",IF(C3041=L3041,"同一","変更"))</f>
        <v/>
      </c>
      <c r="N3041" s="29"/>
      <c r="O3041" s="30"/>
      <c r="P3041" s="29"/>
      <c r="Q3041" s="31"/>
      <c r="R3041" s="29"/>
      <c r="S3041" s="29"/>
      <c r="T3041" s="30"/>
      <c r="U3041" s="47" t="str">
        <f aca="false">IF(AND(B3041&lt;&gt;"",B3041=SW別シート!$C$3),COUNTIF(B$5:B3041,B3041),"")</f>
        <v/>
      </c>
      <c r="V3041" s="47" t="n">
        <f aca="false">V3040+IF(OR(O3041&lt;&gt;"",W3041&lt;&gt;""),1,0)</f>
        <v>3</v>
      </c>
      <c r="W3041" s="29"/>
    </row>
    <row r="3042" customFormat="false" ht="15" hidden="false" customHeight="false" outlineLevel="0" collapsed="false">
      <c r="A3042" s="32" t="str">
        <f aca="false">IF(B3042="","",ROW()-7)</f>
        <v/>
      </c>
      <c r="B3042" s="30"/>
      <c r="C3042" s="29"/>
      <c r="D3042" s="29"/>
      <c r="E3042" s="29"/>
      <c r="F3042" s="30"/>
      <c r="G3042" s="29"/>
      <c r="H3042" s="30"/>
      <c r="I3042" s="29"/>
      <c r="J3042" s="30"/>
      <c r="K3042" s="30"/>
      <c r="L3042" s="29"/>
      <c r="M3042" s="32" t="str">
        <f aca="false">IF(OR(C3042="",L3042=""),"",IF(C3042=L3042,"同一","変更"))</f>
        <v/>
      </c>
      <c r="N3042" s="29"/>
      <c r="O3042" s="30"/>
      <c r="P3042" s="29"/>
      <c r="Q3042" s="31"/>
      <c r="R3042" s="29"/>
      <c r="S3042" s="29"/>
      <c r="T3042" s="30"/>
      <c r="U3042" s="47" t="str">
        <f aca="false">IF(AND(B3042&lt;&gt;"",B3042=SW別シート!$C$3),COUNTIF(B$5:B3042,B3042),"")</f>
        <v/>
      </c>
      <c r="V3042" s="47" t="n">
        <f aca="false">V3041+IF(OR(O3042&lt;&gt;"",W3042&lt;&gt;""),1,0)</f>
        <v>3</v>
      </c>
      <c r="W3042" s="29"/>
    </row>
    <row r="3043" customFormat="false" ht="15" hidden="false" customHeight="false" outlineLevel="0" collapsed="false">
      <c r="A3043" s="32" t="str">
        <f aca="false">IF(B3043="","",ROW()-7)</f>
        <v/>
      </c>
      <c r="B3043" s="30"/>
      <c r="C3043" s="29"/>
      <c r="D3043" s="29"/>
      <c r="E3043" s="29"/>
      <c r="F3043" s="30"/>
      <c r="G3043" s="29"/>
      <c r="H3043" s="30"/>
      <c r="I3043" s="29"/>
      <c r="J3043" s="30"/>
      <c r="K3043" s="30"/>
      <c r="L3043" s="29"/>
      <c r="M3043" s="32" t="str">
        <f aca="false">IF(OR(C3043="",L3043=""),"",IF(C3043=L3043,"同一","変更"))</f>
        <v/>
      </c>
      <c r="N3043" s="29"/>
      <c r="O3043" s="30"/>
      <c r="P3043" s="29"/>
      <c r="Q3043" s="31"/>
      <c r="R3043" s="29"/>
      <c r="S3043" s="29"/>
      <c r="T3043" s="30"/>
      <c r="U3043" s="47" t="str">
        <f aca="false">IF(AND(B3043&lt;&gt;"",B3043=SW別シート!$C$3),COUNTIF(B$5:B3043,B3043),"")</f>
        <v/>
      </c>
      <c r="V3043" s="47" t="n">
        <f aca="false">V3042+IF(OR(O3043&lt;&gt;"",W3043&lt;&gt;""),1,0)</f>
        <v>3</v>
      </c>
      <c r="W3043" s="29"/>
    </row>
    <row r="3044" customFormat="false" ht="15" hidden="false" customHeight="false" outlineLevel="0" collapsed="false">
      <c r="A3044" s="32" t="str">
        <f aca="false">IF(B3044="","",ROW()-7)</f>
        <v/>
      </c>
      <c r="B3044" s="30"/>
      <c r="C3044" s="29"/>
      <c r="D3044" s="29"/>
      <c r="E3044" s="29"/>
      <c r="F3044" s="30"/>
      <c r="G3044" s="29"/>
      <c r="H3044" s="30"/>
      <c r="I3044" s="29"/>
      <c r="J3044" s="30"/>
      <c r="K3044" s="30"/>
      <c r="L3044" s="29"/>
      <c r="M3044" s="32" t="str">
        <f aca="false">IF(OR(C3044="",L3044=""),"",IF(C3044=L3044,"同一","変更"))</f>
        <v/>
      </c>
      <c r="N3044" s="29"/>
      <c r="O3044" s="30"/>
      <c r="P3044" s="29"/>
      <c r="Q3044" s="31"/>
      <c r="R3044" s="29"/>
      <c r="S3044" s="29"/>
      <c r="T3044" s="30"/>
      <c r="U3044" s="47" t="str">
        <f aca="false">IF(AND(B3044&lt;&gt;"",B3044=SW別シート!$C$3),COUNTIF(B$5:B3044,B3044),"")</f>
        <v/>
      </c>
      <c r="V3044" s="47" t="n">
        <f aca="false">V3043+IF(OR(O3044&lt;&gt;"",W3044&lt;&gt;""),1,0)</f>
        <v>3</v>
      </c>
      <c r="W3044" s="29"/>
    </row>
    <row r="3045" customFormat="false" ht="15" hidden="false" customHeight="false" outlineLevel="0" collapsed="false">
      <c r="A3045" s="32" t="str">
        <f aca="false">IF(B3045="","",ROW()-7)</f>
        <v/>
      </c>
      <c r="B3045" s="30"/>
      <c r="C3045" s="29"/>
      <c r="D3045" s="29"/>
      <c r="E3045" s="29"/>
      <c r="F3045" s="30"/>
      <c r="G3045" s="29"/>
      <c r="H3045" s="30"/>
      <c r="I3045" s="29"/>
      <c r="J3045" s="30"/>
      <c r="K3045" s="30"/>
      <c r="L3045" s="29"/>
      <c r="M3045" s="32" t="str">
        <f aca="false">IF(OR(C3045="",L3045=""),"",IF(C3045=L3045,"同一","変更"))</f>
        <v/>
      </c>
      <c r="N3045" s="29"/>
      <c r="O3045" s="30"/>
      <c r="P3045" s="29"/>
      <c r="Q3045" s="31"/>
      <c r="R3045" s="29"/>
      <c r="S3045" s="29"/>
      <c r="T3045" s="30"/>
      <c r="U3045" s="47" t="str">
        <f aca="false">IF(AND(B3045&lt;&gt;"",B3045=SW別シート!$C$3),COUNTIF(B$5:B3045,B3045),"")</f>
        <v/>
      </c>
      <c r="V3045" s="47" t="n">
        <f aca="false">V3044+IF(OR(O3045&lt;&gt;"",W3045&lt;&gt;""),1,0)</f>
        <v>3</v>
      </c>
      <c r="W3045" s="29"/>
    </row>
    <row r="3046" customFormat="false" ht="15" hidden="false" customHeight="false" outlineLevel="0" collapsed="false">
      <c r="A3046" s="32" t="str">
        <f aca="false">IF(B3046="","",ROW()-7)</f>
        <v/>
      </c>
      <c r="B3046" s="30"/>
      <c r="C3046" s="29"/>
      <c r="D3046" s="29"/>
      <c r="E3046" s="29"/>
      <c r="F3046" s="30"/>
      <c r="G3046" s="29"/>
      <c r="H3046" s="30"/>
      <c r="I3046" s="29"/>
      <c r="J3046" s="30"/>
      <c r="K3046" s="30"/>
      <c r="L3046" s="29"/>
      <c r="M3046" s="32" t="str">
        <f aca="false">IF(OR(C3046="",L3046=""),"",IF(C3046=L3046,"同一","変更"))</f>
        <v/>
      </c>
      <c r="N3046" s="29"/>
      <c r="O3046" s="30"/>
      <c r="P3046" s="29"/>
      <c r="Q3046" s="31"/>
      <c r="R3046" s="29"/>
      <c r="S3046" s="29"/>
      <c r="T3046" s="30"/>
      <c r="U3046" s="47" t="str">
        <f aca="false">IF(AND(B3046&lt;&gt;"",B3046=SW別シート!$C$3),COUNTIF(B$5:B3046,B3046),"")</f>
        <v/>
      </c>
      <c r="V3046" s="47" t="n">
        <f aca="false">V3045+IF(OR(O3046&lt;&gt;"",W3046&lt;&gt;""),1,0)</f>
        <v>3</v>
      </c>
      <c r="W3046" s="29"/>
    </row>
    <row r="3047" customFormat="false" ht="15" hidden="false" customHeight="false" outlineLevel="0" collapsed="false">
      <c r="A3047" s="32" t="str">
        <f aca="false">IF(B3047="","",ROW()-7)</f>
        <v/>
      </c>
      <c r="B3047" s="30"/>
      <c r="C3047" s="29"/>
      <c r="D3047" s="29"/>
      <c r="E3047" s="29"/>
      <c r="F3047" s="30"/>
      <c r="G3047" s="29"/>
      <c r="H3047" s="30"/>
      <c r="I3047" s="29"/>
      <c r="J3047" s="30"/>
      <c r="K3047" s="30"/>
      <c r="L3047" s="29"/>
      <c r="M3047" s="32" t="str">
        <f aca="false">IF(OR(C3047="",L3047=""),"",IF(C3047=L3047,"同一","変更"))</f>
        <v/>
      </c>
      <c r="N3047" s="29"/>
      <c r="O3047" s="30"/>
      <c r="P3047" s="29"/>
      <c r="Q3047" s="31"/>
      <c r="R3047" s="29"/>
      <c r="S3047" s="29"/>
      <c r="T3047" s="30"/>
      <c r="U3047" s="47" t="str">
        <f aca="false">IF(AND(B3047&lt;&gt;"",B3047=SW別シート!$C$3),COUNTIF(B$5:B3047,B3047),"")</f>
        <v/>
      </c>
      <c r="V3047" s="47" t="n">
        <f aca="false">V3046+IF(OR(O3047&lt;&gt;"",W3047&lt;&gt;""),1,0)</f>
        <v>3</v>
      </c>
      <c r="W3047" s="29"/>
    </row>
    <row r="3048" customFormat="false" ht="15" hidden="false" customHeight="false" outlineLevel="0" collapsed="false">
      <c r="A3048" s="32" t="str">
        <f aca="false">IF(B3048="","",ROW()-7)</f>
        <v/>
      </c>
      <c r="B3048" s="30"/>
      <c r="C3048" s="29"/>
      <c r="D3048" s="29"/>
      <c r="E3048" s="29"/>
      <c r="F3048" s="30"/>
      <c r="G3048" s="29"/>
      <c r="H3048" s="30"/>
      <c r="I3048" s="29"/>
      <c r="J3048" s="30"/>
      <c r="K3048" s="30"/>
      <c r="L3048" s="29"/>
      <c r="M3048" s="32" t="str">
        <f aca="false">IF(OR(C3048="",L3048=""),"",IF(C3048=L3048,"同一","変更"))</f>
        <v/>
      </c>
      <c r="N3048" s="29"/>
      <c r="O3048" s="30"/>
      <c r="P3048" s="29"/>
      <c r="Q3048" s="31"/>
      <c r="R3048" s="29"/>
      <c r="S3048" s="29"/>
      <c r="T3048" s="30"/>
      <c r="U3048" s="47" t="str">
        <f aca="false">IF(AND(B3048&lt;&gt;"",B3048=SW別シート!$C$3),COUNTIF(B$5:B3048,B3048),"")</f>
        <v/>
      </c>
      <c r="V3048" s="47" t="n">
        <f aca="false">V3047+IF(OR(O3048&lt;&gt;"",W3048&lt;&gt;""),1,0)</f>
        <v>3</v>
      </c>
      <c r="W3048" s="29"/>
    </row>
    <row r="3049" customFormat="false" ht="15" hidden="false" customHeight="false" outlineLevel="0" collapsed="false">
      <c r="A3049" s="32" t="str">
        <f aca="false">IF(B3049="","",ROW()-7)</f>
        <v/>
      </c>
      <c r="B3049" s="30"/>
      <c r="C3049" s="29"/>
      <c r="D3049" s="29"/>
      <c r="E3049" s="29"/>
      <c r="F3049" s="30"/>
      <c r="G3049" s="29"/>
      <c r="H3049" s="30"/>
      <c r="I3049" s="29"/>
      <c r="J3049" s="30"/>
      <c r="K3049" s="30"/>
      <c r="L3049" s="29"/>
      <c r="M3049" s="32" t="str">
        <f aca="false">IF(OR(C3049="",L3049=""),"",IF(C3049=L3049,"同一","変更"))</f>
        <v/>
      </c>
      <c r="N3049" s="29"/>
      <c r="O3049" s="30"/>
      <c r="P3049" s="29"/>
      <c r="Q3049" s="31"/>
      <c r="R3049" s="29"/>
      <c r="S3049" s="29"/>
      <c r="T3049" s="30"/>
      <c r="U3049" s="47" t="str">
        <f aca="false">IF(AND(B3049&lt;&gt;"",B3049=SW別シート!$C$3),COUNTIF(B$5:B3049,B3049),"")</f>
        <v/>
      </c>
      <c r="V3049" s="47" t="n">
        <f aca="false">V3048+IF(OR(O3049&lt;&gt;"",W3049&lt;&gt;""),1,0)</f>
        <v>3</v>
      </c>
      <c r="W3049" s="29"/>
    </row>
    <row r="3050" customFormat="false" ht="15" hidden="false" customHeight="false" outlineLevel="0" collapsed="false">
      <c r="A3050" s="32" t="str">
        <f aca="false">IF(B3050="","",ROW()-7)</f>
        <v/>
      </c>
      <c r="B3050" s="30"/>
      <c r="C3050" s="29"/>
      <c r="D3050" s="29"/>
      <c r="E3050" s="29"/>
      <c r="F3050" s="30"/>
      <c r="G3050" s="29"/>
      <c r="H3050" s="30"/>
      <c r="I3050" s="29"/>
      <c r="J3050" s="30"/>
      <c r="K3050" s="30"/>
      <c r="L3050" s="29"/>
      <c r="M3050" s="32" t="str">
        <f aca="false">IF(OR(C3050="",L3050=""),"",IF(C3050=L3050,"同一","変更"))</f>
        <v/>
      </c>
      <c r="N3050" s="29"/>
      <c r="O3050" s="30"/>
      <c r="P3050" s="29"/>
      <c r="Q3050" s="31"/>
      <c r="R3050" s="29"/>
      <c r="S3050" s="29"/>
      <c r="T3050" s="30"/>
      <c r="U3050" s="47" t="str">
        <f aca="false">IF(AND(B3050&lt;&gt;"",B3050=SW別シート!$C$3),COUNTIF(B$5:B3050,B3050),"")</f>
        <v/>
      </c>
      <c r="V3050" s="47" t="n">
        <f aca="false">V3049+IF(OR(O3050&lt;&gt;"",W3050&lt;&gt;""),1,0)</f>
        <v>3</v>
      </c>
      <c r="W3050" s="29"/>
    </row>
    <row r="3051" customFormat="false" ht="15" hidden="false" customHeight="false" outlineLevel="0" collapsed="false">
      <c r="A3051" s="32" t="str">
        <f aca="false">IF(B3051="","",ROW()-7)</f>
        <v/>
      </c>
      <c r="B3051" s="30"/>
      <c r="C3051" s="29"/>
      <c r="D3051" s="29"/>
      <c r="E3051" s="29"/>
      <c r="F3051" s="30"/>
      <c r="G3051" s="29"/>
      <c r="H3051" s="30"/>
      <c r="I3051" s="29"/>
      <c r="J3051" s="30"/>
      <c r="K3051" s="30"/>
      <c r="L3051" s="29"/>
      <c r="M3051" s="32" t="str">
        <f aca="false">IF(OR(C3051="",L3051=""),"",IF(C3051=L3051,"同一","変更"))</f>
        <v/>
      </c>
      <c r="N3051" s="29"/>
      <c r="O3051" s="30"/>
      <c r="P3051" s="29"/>
      <c r="Q3051" s="31"/>
      <c r="R3051" s="29"/>
      <c r="S3051" s="29"/>
      <c r="T3051" s="30"/>
      <c r="U3051" s="47" t="str">
        <f aca="false">IF(AND(B3051&lt;&gt;"",B3051=SW別シート!$C$3),COUNTIF(B$5:B3051,B3051),"")</f>
        <v/>
      </c>
      <c r="V3051" s="47" t="n">
        <f aca="false">V3050+IF(OR(O3051&lt;&gt;"",W3051&lt;&gt;""),1,0)</f>
        <v>3</v>
      </c>
      <c r="W3051" s="29"/>
    </row>
    <row r="3052" customFormat="false" ht="15" hidden="false" customHeight="false" outlineLevel="0" collapsed="false">
      <c r="A3052" s="32" t="str">
        <f aca="false">IF(B3052="","",ROW()-7)</f>
        <v/>
      </c>
      <c r="B3052" s="30"/>
      <c r="C3052" s="29"/>
      <c r="D3052" s="29"/>
      <c r="E3052" s="29"/>
      <c r="F3052" s="30"/>
      <c r="G3052" s="29"/>
      <c r="H3052" s="30"/>
      <c r="I3052" s="29"/>
      <c r="J3052" s="30"/>
      <c r="K3052" s="30"/>
      <c r="L3052" s="29"/>
      <c r="M3052" s="32" t="str">
        <f aca="false">IF(OR(C3052="",L3052=""),"",IF(C3052=L3052,"同一","変更"))</f>
        <v/>
      </c>
      <c r="N3052" s="29"/>
      <c r="O3052" s="30"/>
      <c r="P3052" s="29"/>
      <c r="Q3052" s="31"/>
      <c r="R3052" s="29"/>
      <c r="S3052" s="29"/>
      <c r="T3052" s="30"/>
      <c r="U3052" s="47" t="str">
        <f aca="false">IF(AND(B3052&lt;&gt;"",B3052=SW別シート!$C$3),COUNTIF(B$5:B3052,B3052),"")</f>
        <v/>
      </c>
      <c r="V3052" s="47" t="n">
        <f aca="false">V3051+IF(OR(O3052&lt;&gt;"",W3052&lt;&gt;""),1,0)</f>
        <v>3</v>
      </c>
      <c r="W3052" s="29"/>
    </row>
    <row r="3053" customFormat="false" ht="15" hidden="false" customHeight="false" outlineLevel="0" collapsed="false">
      <c r="A3053" s="32" t="str">
        <f aca="false">IF(B3053="","",ROW()-7)</f>
        <v/>
      </c>
      <c r="B3053" s="30"/>
      <c r="C3053" s="29"/>
      <c r="D3053" s="29"/>
      <c r="E3053" s="29"/>
      <c r="F3053" s="30"/>
      <c r="G3053" s="29"/>
      <c r="H3053" s="30"/>
      <c r="I3053" s="29"/>
      <c r="J3053" s="30"/>
      <c r="K3053" s="30"/>
      <c r="L3053" s="29"/>
      <c r="M3053" s="32" t="str">
        <f aca="false">IF(OR(C3053="",L3053=""),"",IF(C3053=L3053,"同一","変更"))</f>
        <v/>
      </c>
      <c r="N3053" s="29"/>
      <c r="O3053" s="30"/>
      <c r="P3053" s="29"/>
      <c r="Q3053" s="31"/>
      <c r="R3053" s="29"/>
      <c r="S3053" s="29"/>
      <c r="T3053" s="30"/>
      <c r="U3053" s="47" t="str">
        <f aca="false">IF(AND(B3053&lt;&gt;"",B3053=SW別シート!$C$3),COUNTIF(B$5:B3053,B3053),"")</f>
        <v/>
      </c>
      <c r="V3053" s="47" t="n">
        <f aca="false">V3052+IF(OR(O3053&lt;&gt;"",W3053&lt;&gt;""),1,0)</f>
        <v>3</v>
      </c>
      <c r="W3053" s="29"/>
    </row>
    <row r="3054" customFormat="false" ht="15" hidden="false" customHeight="false" outlineLevel="0" collapsed="false">
      <c r="A3054" s="32" t="str">
        <f aca="false">IF(B3054="","",ROW()-7)</f>
        <v/>
      </c>
      <c r="B3054" s="30"/>
      <c r="C3054" s="29"/>
      <c r="D3054" s="29"/>
      <c r="E3054" s="29"/>
      <c r="F3054" s="30"/>
      <c r="G3054" s="29"/>
      <c r="H3054" s="30"/>
      <c r="I3054" s="29"/>
      <c r="J3054" s="30"/>
      <c r="K3054" s="30"/>
      <c r="L3054" s="29"/>
      <c r="M3054" s="32" t="str">
        <f aca="false">IF(OR(C3054="",L3054=""),"",IF(C3054=L3054,"同一","変更"))</f>
        <v/>
      </c>
      <c r="N3054" s="29"/>
      <c r="O3054" s="30"/>
      <c r="P3054" s="29"/>
      <c r="Q3054" s="31"/>
      <c r="R3054" s="29"/>
      <c r="S3054" s="29"/>
      <c r="T3054" s="30"/>
      <c r="U3054" s="47" t="str">
        <f aca="false">IF(AND(B3054&lt;&gt;"",B3054=SW別シート!$C$3),COUNTIF(B$5:B3054,B3054),"")</f>
        <v/>
      </c>
      <c r="V3054" s="47" t="n">
        <f aca="false">V3053+IF(OR(O3054&lt;&gt;"",W3054&lt;&gt;""),1,0)</f>
        <v>3</v>
      </c>
      <c r="W3054" s="29"/>
    </row>
    <row r="3055" customFormat="false" ht="15" hidden="false" customHeight="false" outlineLevel="0" collapsed="false">
      <c r="A3055" s="32" t="str">
        <f aca="false">IF(B3055="","",ROW()-7)</f>
        <v/>
      </c>
      <c r="B3055" s="30"/>
      <c r="C3055" s="29"/>
      <c r="D3055" s="29"/>
      <c r="E3055" s="29"/>
      <c r="F3055" s="30"/>
      <c r="G3055" s="29"/>
      <c r="H3055" s="30"/>
      <c r="I3055" s="29"/>
      <c r="J3055" s="30"/>
      <c r="K3055" s="30"/>
      <c r="L3055" s="29"/>
      <c r="M3055" s="32" t="str">
        <f aca="false">IF(OR(C3055="",L3055=""),"",IF(C3055=L3055,"同一","変更"))</f>
        <v/>
      </c>
      <c r="N3055" s="29"/>
      <c r="O3055" s="30"/>
      <c r="P3055" s="29"/>
      <c r="Q3055" s="31"/>
      <c r="R3055" s="29"/>
      <c r="S3055" s="29"/>
      <c r="T3055" s="30"/>
      <c r="U3055" s="47" t="str">
        <f aca="false">IF(AND(B3055&lt;&gt;"",B3055=SW別シート!$C$3),COUNTIF(B$5:B3055,B3055),"")</f>
        <v/>
      </c>
      <c r="V3055" s="47" t="n">
        <f aca="false">V3054+IF(OR(O3055&lt;&gt;"",W3055&lt;&gt;""),1,0)</f>
        <v>3</v>
      </c>
      <c r="W3055" s="29"/>
    </row>
    <row r="3056" customFormat="false" ht="15" hidden="false" customHeight="false" outlineLevel="0" collapsed="false">
      <c r="A3056" s="32" t="str">
        <f aca="false">IF(B3056="","",ROW()-7)</f>
        <v/>
      </c>
      <c r="B3056" s="30"/>
      <c r="C3056" s="29"/>
      <c r="D3056" s="29"/>
      <c r="E3056" s="29"/>
      <c r="F3056" s="30"/>
      <c r="G3056" s="29"/>
      <c r="H3056" s="30"/>
      <c r="I3056" s="29"/>
      <c r="J3056" s="30"/>
      <c r="K3056" s="30"/>
      <c r="L3056" s="29"/>
      <c r="M3056" s="32" t="str">
        <f aca="false">IF(OR(C3056="",L3056=""),"",IF(C3056=L3056,"同一","変更"))</f>
        <v/>
      </c>
      <c r="N3056" s="29"/>
      <c r="O3056" s="30"/>
      <c r="P3056" s="29"/>
      <c r="Q3056" s="31"/>
      <c r="R3056" s="29"/>
      <c r="S3056" s="29"/>
      <c r="T3056" s="30"/>
      <c r="U3056" s="47" t="str">
        <f aca="false">IF(AND(B3056&lt;&gt;"",B3056=SW別シート!$C$3),COUNTIF(B$5:B3056,B3056),"")</f>
        <v/>
      </c>
      <c r="V3056" s="47" t="n">
        <f aca="false">V3055+IF(OR(O3056&lt;&gt;"",W3056&lt;&gt;""),1,0)</f>
        <v>3</v>
      </c>
      <c r="W3056" s="29"/>
    </row>
    <row r="3057" customFormat="false" ht="15" hidden="false" customHeight="false" outlineLevel="0" collapsed="false">
      <c r="A3057" s="32" t="str">
        <f aca="false">IF(B3057="","",ROW()-7)</f>
        <v/>
      </c>
      <c r="B3057" s="30"/>
      <c r="C3057" s="29"/>
      <c r="D3057" s="29"/>
      <c r="E3057" s="29"/>
      <c r="F3057" s="30"/>
      <c r="G3057" s="29"/>
      <c r="H3057" s="30"/>
      <c r="I3057" s="29"/>
      <c r="J3057" s="30"/>
      <c r="K3057" s="30"/>
      <c r="L3057" s="29"/>
      <c r="M3057" s="32" t="str">
        <f aca="false">IF(OR(C3057="",L3057=""),"",IF(C3057=L3057,"同一","変更"))</f>
        <v/>
      </c>
      <c r="N3057" s="29"/>
      <c r="O3057" s="30"/>
      <c r="P3057" s="29"/>
      <c r="Q3057" s="31"/>
      <c r="R3057" s="29"/>
      <c r="S3057" s="29"/>
      <c r="T3057" s="30"/>
      <c r="U3057" s="47" t="str">
        <f aca="false">IF(AND(B3057&lt;&gt;"",B3057=SW別シート!$C$3),COUNTIF(B$5:B3057,B3057),"")</f>
        <v/>
      </c>
      <c r="V3057" s="47" t="n">
        <f aca="false">V3056+IF(OR(O3057&lt;&gt;"",W3057&lt;&gt;""),1,0)</f>
        <v>3</v>
      </c>
      <c r="W3057" s="29"/>
    </row>
    <row r="3058" customFormat="false" ht="15" hidden="false" customHeight="false" outlineLevel="0" collapsed="false">
      <c r="A3058" s="32" t="str">
        <f aca="false">IF(B3058="","",ROW()-7)</f>
        <v/>
      </c>
      <c r="B3058" s="30"/>
      <c r="C3058" s="29"/>
      <c r="D3058" s="29"/>
      <c r="E3058" s="29"/>
      <c r="F3058" s="30"/>
      <c r="G3058" s="29"/>
      <c r="H3058" s="30"/>
      <c r="I3058" s="29"/>
      <c r="J3058" s="30"/>
      <c r="K3058" s="30"/>
      <c r="L3058" s="29"/>
      <c r="M3058" s="32" t="str">
        <f aca="false">IF(OR(C3058="",L3058=""),"",IF(C3058=L3058,"同一","変更"))</f>
        <v/>
      </c>
      <c r="N3058" s="29"/>
      <c r="O3058" s="30"/>
      <c r="P3058" s="29"/>
      <c r="Q3058" s="31"/>
      <c r="R3058" s="29"/>
      <c r="S3058" s="29"/>
      <c r="T3058" s="30"/>
      <c r="U3058" s="47" t="str">
        <f aca="false">IF(AND(B3058&lt;&gt;"",B3058=SW別シート!$C$3),COUNTIF(B$5:B3058,B3058),"")</f>
        <v/>
      </c>
      <c r="V3058" s="47" t="n">
        <f aca="false">V3057+IF(OR(O3058&lt;&gt;"",W3058&lt;&gt;""),1,0)</f>
        <v>3</v>
      </c>
      <c r="W3058" s="29"/>
    </row>
    <row r="3059" customFormat="false" ht="15" hidden="false" customHeight="false" outlineLevel="0" collapsed="false">
      <c r="A3059" s="32" t="str">
        <f aca="false">IF(B3059="","",ROW()-7)</f>
        <v/>
      </c>
      <c r="B3059" s="30"/>
      <c r="C3059" s="29"/>
      <c r="D3059" s="29"/>
      <c r="E3059" s="29"/>
      <c r="F3059" s="30"/>
      <c r="G3059" s="29"/>
      <c r="H3059" s="30"/>
      <c r="I3059" s="29"/>
      <c r="J3059" s="30"/>
      <c r="K3059" s="30"/>
      <c r="L3059" s="29"/>
      <c r="M3059" s="32" t="str">
        <f aca="false">IF(OR(C3059="",L3059=""),"",IF(C3059=L3059,"同一","変更"))</f>
        <v/>
      </c>
      <c r="N3059" s="29"/>
      <c r="O3059" s="30"/>
      <c r="P3059" s="29"/>
      <c r="Q3059" s="31"/>
      <c r="R3059" s="29"/>
      <c r="S3059" s="29"/>
      <c r="T3059" s="30"/>
      <c r="U3059" s="47" t="str">
        <f aca="false">IF(AND(B3059&lt;&gt;"",B3059=SW別シート!$C$3),COUNTIF(B$5:B3059,B3059),"")</f>
        <v/>
      </c>
      <c r="V3059" s="47" t="n">
        <f aca="false">V3058+IF(OR(O3059&lt;&gt;"",W3059&lt;&gt;""),1,0)</f>
        <v>3</v>
      </c>
      <c r="W3059" s="29"/>
    </row>
    <row r="3060" customFormat="false" ht="15" hidden="false" customHeight="false" outlineLevel="0" collapsed="false">
      <c r="A3060" s="32" t="str">
        <f aca="false">IF(B3060="","",ROW()-7)</f>
        <v/>
      </c>
      <c r="B3060" s="30"/>
      <c r="C3060" s="29"/>
      <c r="D3060" s="29"/>
      <c r="E3060" s="29"/>
      <c r="F3060" s="30"/>
      <c r="G3060" s="29"/>
      <c r="H3060" s="30"/>
      <c r="I3060" s="29"/>
      <c r="J3060" s="30"/>
      <c r="K3060" s="30"/>
      <c r="L3060" s="29"/>
      <c r="M3060" s="32" t="str">
        <f aca="false">IF(OR(C3060="",L3060=""),"",IF(C3060=L3060,"同一","変更"))</f>
        <v/>
      </c>
      <c r="N3060" s="29"/>
      <c r="O3060" s="30"/>
      <c r="P3060" s="29"/>
      <c r="Q3060" s="31"/>
      <c r="R3060" s="29"/>
      <c r="S3060" s="29"/>
      <c r="T3060" s="30"/>
      <c r="U3060" s="47" t="str">
        <f aca="false">IF(AND(B3060&lt;&gt;"",B3060=SW別シート!$C$3),COUNTIF(B$5:B3060,B3060),"")</f>
        <v/>
      </c>
      <c r="V3060" s="47" t="n">
        <f aca="false">V3059+IF(OR(O3060&lt;&gt;"",W3060&lt;&gt;""),1,0)</f>
        <v>3</v>
      </c>
      <c r="W3060" s="29"/>
    </row>
    <row r="3061" customFormat="false" ht="15" hidden="false" customHeight="false" outlineLevel="0" collapsed="false">
      <c r="A3061" s="32" t="str">
        <f aca="false">IF(B3061="","",ROW()-7)</f>
        <v/>
      </c>
      <c r="B3061" s="30"/>
      <c r="C3061" s="29"/>
      <c r="D3061" s="29"/>
      <c r="E3061" s="29"/>
      <c r="F3061" s="30"/>
      <c r="G3061" s="29"/>
      <c r="H3061" s="30"/>
      <c r="I3061" s="29"/>
      <c r="J3061" s="30"/>
      <c r="K3061" s="30"/>
      <c r="L3061" s="29"/>
      <c r="M3061" s="32" t="str">
        <f aca="false">IF(OR(C3061="",L3061=""),"",IF(C3061=L3061,"同一","変更"))</f>
        <v/>
      </c>
      <c r="N3061" s="29"/>
      <c r="O3061" s="30"/>
      <c r="P3061" s="29"/>
      <c r="Q3061" s="31"/>
      <c r="R3061" s="29"/>
      <c r="S3061" s="29"/>
      <c r="T3061" s="30"/>
      <c r="U3061" s="47" t="str">
        <f aca="false">IF(AND(B3061&lt;&gt;"",B3061=SW別シート!$C$3),COUNTIF(B$5:B3061,B3061),"")</f>
        <v/>
      </c>
      <c r="V3061" s="47" t="n">
        <f aca="false">V3060+IF(OR(O3061&lt;&gt;"",W3061&lt;&gt;""),1,0)</f>
        <v>3</v>
      </c>
      <c r="W3061" s="29"/>
    </row>
    <row r="3062" customFormat="false" ht="15" hidden="false" customHeight="false" outlineLevel="0" collapsed="false">
      <c r="A3062" s="32" t="str">
        <f aca="false">IF(B3062="","",ROW()-7)</f>
        <v/>
      </c>
      <c r="B3062" s="30"/>
      <c r="C3062" s="29"/>
      <c r="D3062" s="29"/>
      <c r="E3062" s="29"/>
      <c r="F3062" s="30"/>
      <c r="G3062" s="29"/>
      <c r="H3062" s="30"/>
      <c r="I3062" s="29"/>
      <c r="J3062" s="30"/>
      <c r="K3062" s="30"/>
      <c r="L3062" s="29"/>
      <c r="M3062" s="32" t="str">
        <f aca="false">IF(OR(C3062="",L3062=""),"",IF(C3062=L3062,"同一","変更"))</f>
        <v/>
      </c>
      <c r="N3062" s="29"/>
      <c r="O3062" s="30"/>
      <c r="P3062" s="29"/>
      <c r="Q3062" s="31"/>
      <c r="R3062" s="29"/>
      <c r="S3062" s="29"/>
      <c r="T3062" s="30"/>
      <c r="U3062" s="47" t="str">
        <f aca="false">IF(AND(B3062&lt;&gt;"",B3062=SW別シート!$C$3),COUNTIF(B$5:B3062,B3062),"")</f>
        <v/>
      </c>
      <c r="V3062" s="47" t="n">
        <f aca="false">V3061+IF(OR(O3062&lt;&gt;"",W3062&lt;&gt;""),1,0)</f>
        <v>3</v>
      </c>
      <c r="W3062" s="29"/>
    </row>
    <row r="3063" customFormat="false" ht="15" hidden="false" customHeight="false" outlineLevel="0" collapsed="false">
      <c r="A3063" s="32" t="str">
        <f aca="false">IF(B3063="","",ROW()-7)</f>
        <v/>
      </c>
      <c r="B3063" s="30"/>
      <c r="C3063" s="29"/>
      <c r="D3063" s="29"/>
      <c r="E3063" s="29"/>
      <c r="F3063" s="30"/>
      <c r="G3063" s="29"/>
      <c r="H3063" s="30"/>
      <c r="I3063" s="29"/>
      <c r="J3063" s="30"/>
      <c r="K3063" s="30"/>
      <c r="L3063" s="29"/>
      <c r="M3063" s="32" t="str">
        <f aca="false">IF(OR(C3063="",L3063=""),"",IF(C3063=L3063,"同一","変更"))</f>
        <v/>
      </c>
      <c r="N3063" s="29"/>
      <c r="O3063" s="30"/>
      <c r="P3063" s="29"/>
      <c r="Q3063" s="31"/>
      <c r="R3063" s="29"/>
      <c r="S3063" s="29"/>
      <c r="T3063" s="30"/>
      <c r="U3063" s="47" t="str">
        <f aca="false">IF(AND(B3063&lt;&gt;"",B3063=SW別シート!$C$3),COUNTIF(B$5:B3063,B3063),"")</f>
        <v/>
      </c>
      <c r="V3063" s="47" t="n">
        <f aca="false">V3062+IF(OR(O3063&lt;&gt;"",W3063&lt;&gt;""),1,0)</f>
        <v>3</v>
      </c>
      <c r="W3063" s="29"/>
    </row>
    <row r="3064" customFormat="false" ht="15" hidden="false" customHeight="false" outlineLevel="0" collapsed="false">
      <c r="A3064" s="32" t="str">
        <f aca="false">IF(B3064="","",ROW()-7)</f>
        <v/>
      </c>
      <c r="B3064" s="30"/>
      <c r="C3064" s="29"/>
      <c r="D3064" s="29"/>
      <c r="E3064" s="29"/>
      <c r="F3064" s="30"/>
      <c r="G3064" s="29"/>
      <c r="H3064" s="30"/>
      <c r="I3064" s="29"/>
      <c r="J3064" s="30"/>
      <c r="K3064" s="30"/>
      <c r="L3064" s="29"/>
      <c r="M3064" s="32" t="str">
        <f aca="false">IF(OR(C3064="",L3064=""),"",IF(C3064=L3064,"同一","変更"))</f>
        <v/>
      </c>
      <c r="N3064" s="29"/>
      <c r="O3064" s="30"/>
      <c r="P3064" s="29"/>
      <c r="Q3064" s="31"/>
      <c r="R3064" s="29"/>
      <c r="S3064" s="29"/>
      <c r="T3064" s="30"/>
      <c r="U3064" s="47" t="str">
        <f aca="false">IF(AND(B3064&lt;&gt;"",B3064=SW別シート!$C$3),COUNTIF(B$5:B3064,B3064),"")</f>
        <v/>
      </c>
      <c r="V3064" s="47" t="n">
        <f aca="false">V3063+IF(OR(O3064&lt;&gt;"",W3064&lt;&gt;""),1,0)</f>
        <v>3</v>
      </c>
      <c r="W3064" s="29"/>
    </row>
    <row r="3065" customFormat="false" ht="15" hidden="false" customHeight="false" outlineLevel="0" collapsed="false">
      <c r="A3065" s="32" t="str">
        <f aca="false">IF(B3065="","",ROW()-7)</f>
        <v/>
      </c>
      <c r="B3065" s="30"/>
      <c r="C3065" s="29"/>
      <c r="D3065" s="29"/>
      <c r="E3065" s="29"/>
      <c r="F3065" s="30"/>
      <c r="G3065" s="29"/>
      <c r="H3065" s="30"/>
      <c r="I3065" s="29"/>
      <c r="J3065" s="30"/>
      <c r="K3065" s="30"/>
      <c r="L3065" s="29"/>
      <c r="M3065" s="32" t="str">
        <f aca="false">IF(OR(C3065="",L3065=""),"",IF(C3065=L3065,"同一","変更"))</f>
        <v/>
      </c>
      <c r="N3065" s="29"/>
      <c r="O3065" s="30"/>
      <c r="P3065" s="29"/>
      <c r="Q3065" s="31"/>
      <c r="R3065" s="29"/>
      <c r="S3065" s="29"/>
      <c r="T3065" s="30"/>
      <c r="U3065" s="47" t="str">
        <f aca="false">IF(AND(B3065&lt;&gt;"",B3065=SW別シート!$C$3),COUNTIF(B$5:B3065,B3065),"")</f>
        <v/>
      </c>
      <c r="V3065" s="47" t="n">
        <f aca="false">V3064+IF(OR(O3065&lt;&gt;"",W3065&lt;&gt;""),1,0)</f>
        <v>3</v>
      </c>
      <c r="W3065" s="29"/>
    </row>
    <row r="3066" customFormat="false" ht="15" hidden="false" customHeight="false" outlineLevel="0" collapsed="false">
      <c r="A3066" s="32" t="str">
        <f aca="false">IF(B3066="","",ROW()-7)</f>
        <v/>
      </c>
      <c r="B3066" s="30"/>
      <c r="C3066" s="29"/>
      <c r="D3066" s="29"/>
      <c r="E3066" s="29"/>
      <c r="F3066" s="30"/>
      <c r="G3066" s="29"/>
      <c r="H3066" s="30"/>
      <c r="I3066" s="29"/>
      <c r="J3066" s="30"/>
      <c r="K3066" s="30"/>
      <c r="L3066" s="29"/>
      <c r="M3066" s="32" t="str">
        <f aca="false">IF(OR(C3066="",L3066=""),"",IF(C3066=L3066,"同一","変更"))</f>
        <v/>
      </c>
      <c r="N3066" s="29"/>
      <c r="O3066" s="30"/>
      <c r="P3066" s="29"/>
      <c r="Q3066" s="31"/>
      <c r="R3066" s="29"/>
      <c r="S3066" s="29"/>
      <c r="T3066" s="30"/>
      <c r="U3066" s="47" t="str">
        <f aca="false">IF(AND(B3066&lt;&gt;"",B3066=SW別シート!$C$3),COUNTIF(B$5:B3066,B3066),"")</f>
        <v/>
      </c>
      <c r="V3066" s="47" t="n">
        <f aca="false">V3065+IF(OR(O3066&lt;&gt;"",W3066&lt;&gt;""),1,0)</f>
        <v>3</v>
      </c>
      <c r="W3066" s="29"/>
    </row>
    <row r="3067" customFormat="false" ht="15" hidden="false" customHeight="false" outlineLevel="0" collapsed="false">
      <c r="A3067" s="32" t="str">
        <f aca="false">IF(B3067="","",ROW()-7)</f>
        <v/>
      </c>
      <c r="B3067" s="30"/>
      <c r="C3067" s="29"/>
      <c r="D3067" s="29"/>
      <c r="E3067" s="29"/>
      <c r="F3067" s="30"/>
      <c r="G3067" s="29"/>
      <c r="H3067" s="30"/>
      <c r="I3067" s="29"/>
      <c r="J3067" s="30"/>
      <c r="K3067" s="30"/>
      <c r="L3067" s="29"/>
      <c r="M3067" s="32" t="str">
        <f aca="false">IF(OR(C3067="",L3067=""),"",IF(C3067=L3067,"同一","変更"))</f>
        <v/>
      </c>
      <c r="N3067" s="29"/>
      <c r="O3067" s="30"/>
      <c r="P3067" s="29"/>
      <c r="Q3067" s="31"/>
      <c r="R3067" s="29"/>
      <c r="S3067" s="29"/>
      <c r="T3067" s="30"/>
      <c r="U3067" s="47" t="str">
        <f aca="false">IF(AND(B3067&lt;&gt;"",B3067=SW別シート!$C$3),COUNTIF(B$5:B3067,B3067),"")</f>
        <v/>
      </c>
      <c r="V3067" s="47" t="n">
        <f aca="false">V3066+IF(OR(O3067&lt;&gt;"",W3067&lt;&gt;""),1,0)</f>
        <v>3</v>
      </c>
      <c r="W3067" s="29"/>
    </row>
    <row r="3068" customFormat="false" ht="15" hidden="false" customHeight="false" outlineLevel="0" collapsed="false">
      <c r="A3068" s="32" t="str">
        <f aca="false">IF(B3068="","",ROW()-7)</f>
        <v/>
      </c>
      <c r="B3068" s="30"/>
      <c r="C3068" s="29"/>
      <c r="D3068" s="29"/>
      <c r="E3068" s="29"/>
      <c r="F3068" s="30"/>
      <c r="G3068" s="29"/>
      <c r="H3068" s="30"/>
      <c r="I3068" s="29"/>
      <c r="J3068" s="30"/>
      <c r="K3068" s="30"/>
      <c r="L3068" s="29"/>
      <c r="M3068" s="32" t="str">
        <f aca="false">IF(OR(C3068="",L3068=""),"",IF(C3068=L3068,"同一","変更"))</f>
        <v/>
      </c>
      <c r="N3068" s="29"/>
      <c r="O3068" s="30"/>
      <c r="P3068" s="29"/>
      <c r="Q3068" s="31"/>
      <c r="R3068" s="29"/>
      <c r="S3068" s="29"/>
      <c r="T3068" s="30"/>
      <c r="U3068" s="47" t="str">
        <f aca="false">IF(AND(B3068&lt;&gt;"",B3068=SW別シート!$C$3),COUNTIF(B$5:B3068,B3068),"")</f>
        <v/>
      </c>
      <c r="V3068" s="47" t="n">
        <f aca="false">V3067+IF(OR(O3068&lt;&gt;"",W3068&lt;&gt;""),1,0)</f>
        <v>3</v>
      </c>
      <c r="W3068" s="29"/>
    </row>
    <row r="3069" customFormat="false" ht="15" hidden="false" customHeight="false" outlineLevel="0" collapsed="false">
      <c r="A3069" s="32" t="str">
        <f aca="false">IF(B3069="","",ROW()-7)</f>
        <v/>
      </c>
      <c r="B3069" s="30"/>
      <c r="C3069" s="29"/>
      <c r="D3069" s="29"/>
      <c r="E3069" s="29"/>
      <c r="F3069" s="30"/>
      <c r="G3069" s="29"/>
      <c r="H3069" s="30"/>
      <c r="I3069" s="29"/>
      <c r="J3069" s="30"/>
      <c r="K3069" s="30"/>
      <c r="L3069" s="29"/>
      <c r="M3069" s="32" t="str">
        <f aca="false">IF(OR(C3069="",L3069=""),"",IF(C3069=L3069,"同一","変更"))</f>
        <v/>
      </c>
      <c r="N3069" s="29"/>
      <c r="O3069" s="30"/>
      <c r="P3069" s="29"/>
      <c r="Q3069" s="31"/>
      <c r="R3069" s="29"/>
      <c r="S3069" s="29"/>
      <c r="T3069" s="30"/>
      <c r="U3069" s="47" t="str">
        <f aca="false">IF(AND(B3069&lt;&gt;"",B3069=SW別シート!$C$3),COUNTIF(B$5:B3069,B3069),"")</f>
        <v/>
      </c>
      <c r="V3069" s="47" t="n">
        <f aca="false">V3068+IF(OR(O3069&lt;&gt;"",W3069&lt;&gt;""),1,0)</f>
        <v>3</v>
      </c>
      <c r="W3069" s="29"/>
    </row>
    <row r="3070" customFormat="false" ht="15" hidden="false" customHeight="false" outlineLevel="0" collapsed="false">
      <c r="A3070" s="32" t="str">
        <f aca="false">IF(B3070="","",ROW()-7)</f>
        <v/>
      </c>
      <c r="B3070" s="30"/>
      <c r="C3070" s="29"/>
      <c r="D3070" s="29"/>
      <c r="E3070" s="29"/>
      <c r="F3070" s="30"/>
      <c r="G3070" s="29"/>
      <c r="H3070" s="30"/>
      <c r="I3070" s="29"/>
      <c r="J3070" s="30"/>
      <c r="K3070" s="30"/>
      <c r="L3070" s="29"/>
      <c r="M3070" s="32" t="str">
        <f aca="false">IF(OR(C3070="",L3070=""),"",IF(C3070=L3070,"同一","変更"))</f>
        <v/>
      </c>
      <c r="N3070" s="29"/>
      <c r="O3070" s="30"/>
      <c r="P3070" s="29"/>
      <c r="Q3070" s="31"/>
      <c r="R3070" s="29"/>
      <c r="S3070" s="29"/>
      <c r="T3070" s="30"/>
      <c r="U3070" s="47" t="str">
        <f aca="false">IF(AND(B3070&lt;&gt;"",B3070=SW別シート!$C$3),COUNTIF(B$5:B3070,B3070),"")</f>
        <v/>
      </c>
      <c r="V3070" s="47" t="n">
        <f aca="false">V3069+IF(OR(O3070&lt;&gt;"",W3070&lt;&gt;""),1,0)</f>
        <v>3</v>
      </c>
      <c r="W3070" s="29"/>
    </row>
    <row r="3071" customFormat="false" ht="15" hidden="false" customHeight="false" outlineLevel="0" collapsed="false">
      <c r="A3071" s="32" t="str">
        <f aca="false">IF(B3071="","",ROW()-7)</f>
        <v/>
      </c>
      <c r="B3071" s="30"/>
      <c r="C3071" s="29"/>
      <c r="D3071" s="29"/>
      <c r="E3071" s="29"/>
      <c r="F3071" s="30"/>
      <c r="G3071" s="29"/>
      <c r="H3071" s="30"/>
      <c r="I3071" s="29"/>
      <c r="J3071" s="30"/>
      <c r="K3071" s="30"/>
      <c r="L3071" s="29"/>
      <c r="M3071" s="32" t="str">
        <f aca="false">IF(OR(C3071="",L3071=""),"",IF(C3071=L3071,"同一","変更"))</f>
        <v/>
      </c>
      <c r="N3071" s="29"/>
      <c r="O3071" s="30"/>
      <c r="P3071" s="29"/>
      <c r="Q3071" s="31"/>
      <c r="R3071" s="29"/>
      <c r="S3071" s="29"/>
      <c r="T3071" s="30"/>
      <c r="U3071" s="47" t="str">
        <f aca="false">IF(AND(B3071&lt;&gt;"",B3071=SW別シート!$C$3),COUNTIF(B$5:B3071,B3071),"")</f>
        <v/>
      </c>
      <c r="V3071" s="47" t="n">
        <f aca="false">V3070+IF(OR(O3071&lt;&gt;"",W3071&lt;&gt;""),1,0)</f>
        <v>3</v>
      </c>
      <c r="W3071" s="29"/>
    </row>
    <row r="3072" customFormat="false" ht="15" hidden="false" customHeight="false" outlineLevel="0" collapsed="false">
      <c r="A3072" s="32" t="str">
        <f aca="false">IF(B3072="","",ROW()-7)</f>
        <v/>
      </c>
      <c r="B3072" s="30"/>
      <c r="C3072" s="29"/>
      <c r="D3072" s="29"/>
      <c r="E3072" s="29"/>
      <c r="F3072" s="30"/>
      <c r="G3072" s="29"/>
      <c r="H3072" s="30"/>
      <c r="I3072" s="29"/>
      <c r="J3072" s="30"/>
      <c r="K3072" s="30"/>
      <c r="L3072" s="29"/>
      <c r="M3072" s="32" t="str">
        <f aca="false">IF(OR(C3072="",L3072=""),"",IF(C3072=L3072,"同一","変更"))</f>
        <v/>
      </c>
      <c r="N3072" s="29"/>
      <c r="O3072" s="30"/>
      <c r="P3072" s="29"/>
      <c r="Q3072" s="31"/>
      <c r="R3072" s="29"/>
      <c r="S3072" s="29"/>
      <c r="T3072" s="30"/>
      <c r="U3072" s="47" t="str">
        <f aca="false">IF(AND(B3072&lt;&gt;"",B3072=SW別シート!$C$3),COUNTIF(B$5:B3072,B3072),"")</f>
        <v/>
      </c>
      <c r="V3072" s="47" t="n">
        <f aca="false">V3071+IF(OR(O3072&lt;&gt;"",W3072&lt;&gt;""),1,0)</f>
        <v>3</v>
      </c>
      <c r="W3072" s="29"/>
    </row>
    <row r="3073" customFormat="false" ht="15" hidden="false" customHeight="false" outlineLevel="0" collapsed="false">
      <c r="A3073" s="32" t="str">
        <f aca="false">IF(B3073="","",ROW()-7)</f>
        <v/>
      </c>
      <c r="B3073" s="30"/>
      <c r="C3073" s="29"/>
      <c r="D3073" s="29"/>
      <c r="E3073" s="29"/>
      <c r="F3073" s="30"/>
      <c r="G3073" s="29"/>
      <c r="H3073" s="30"/>
      <c r="I3073" s="29"/>
      <c r="J3073" s="30"/>
      <c r="K3073" s="30"/>
      <c r="L3073" s="29"/>
      <c r="M3073" s="32" t="str">
        <f aca="false">IF(OR(C3073="",L3073=""),"",IF(C3073=L3073,"同一","変更"))</f>
        <v/>
      </c>
      <c r="N3073" s="29"/>
      <c r="O3073" s="30"/>
      <c r="P3073" s="29"/>
      <c r="Q3073" s="31"/>
      <c r="R3073" s="29"/>
      <c r="S3073" s="29"/>
      <c r="T3073" s="30"/>
      <c r="U3073" s="47" t="str">
        <f aca="false">IF(AND(B3073&lt;&gt;"",B3073=SW別シート!$C$3),COUNTIF(B$5:B3073,B3073),"")</f>
        <v/>
      </c>
      <c r="V3073" s="47" t="n">
        <f aca="false">V3072+IF(OR(O3073&lt;&gt;"",W3073&lt;&gt;""),1,0)</f>
        <v>3</v>
      </c>
      <c r="W3073" s="29"/>
    </row>
    <row r="3074" customFormat="false" ht="15" hidden="false" customHeight="false" outlineLevel="0" collapsed="false">
      <c r="A3074" s="32" t="str">
        <f aca="false">IF(B3074="","",ROW()-7)</f>
        <v/>
      </c>
      <c r="B3074" s="30"/>
      <c r="C3074" s="29"/>
      <c r="D3074" s="29"/>
      <c r="E3074" s="29"/>
      <c r="F3074" s="30"/>
      <c r="G3074" s="29"/>
      <c r="H3074" s="30"/>
      <c r="I3074" s="29"/>
      <c r="J3074" s="30"/>
      <c r="K3074" s="30"/>
      <c r="L3074" s="29"/>
      <c r="M3074" s="32" t="str">
        <f aca="false">IF(OR(C3074="",L3074=""),"",IF(C3074=L3074,"同一","変更"))</f>
        <v/>
      </c>
      <c r="N3074" s="29"/>
      <c r="O3074" s="30"/>
      <c r="P3074" s="29"/>
      <c r="Q3074" s="31"/>
      <c r="R3074" s="29"/>
      <c r="S3074" s="29"/>
      <c r="T3074" s="30"/>
      <c r="U3074" s="47" t="str">
        <f aca="false">IF(AND(B3074&lt;&gt;"",B3074=SW別シート!$C$3),COUNTIF(B$5:B3074,B3074),"")</f>
        <v/>
      </c>
      <c r="V3074" s="47" t="n">
        <f aca="false">V3073+IF(OR(O3074&lt;&gt;"",W3074&lt;&gt;""),1,0)</f>
        <v>3</v>
      </c>
      <c r="W3074" s="29"/>
    </row>
    <row r="3075" customFormat="false" ht="15" hidden="false" customHeight="false" outlineLevel="0" collapsed="false">
      <c r="A3075" s="32" t="str">
        <f aca="false">IF(B3075="","",ROW()-7)</f>
        <v/>
      </c>
      <c r="B3075" s="30"/>
      <c r="C3075" s="29"/>
      <c r="D3075" s="29"/>
      <c r="E3075" s="29"/>
      <c r="F3075" s="30"/>
      <c r="G3075" s="29"/>
      <c r="H3075" s="30"/>
      <c r="I3075" s="29"/>
      <c r="J3075" s="30"/>
      <c r="K3075" s="30"/>
      <c r="L3075" s="29"/>
      <c r="M3075" s="32" t="str">
        <f aca="false">IF(OR(C3075="",L3075=""),"",IF(C3075=L3075,"同一","変更"))</f>
        <v/>
      </c>
      <c r="N3075" s="29"/>
      <c r="O3075" s="30"/>
      <c r="P3075" s="29"/>
      <c r="Q3075" s="31"/>
      <c r="R3075" s="29"/>
      <c r="S3075" s="29"/>
      <c r="T3075" s="30"/>
      <c r="U3075" s="47" t="str">
        <f aca="false">IF(AND(B3075&lt;&gt;"",B3075=SW別シート!$C$3),COUNTIF(B$5:B3075,B3075),"")</f>
        <v/>
      </c>
      <c r="V3075" s="47" t="n">
        <f aca="false">V3074+IF(OR(O3075&lt;&gt;"",W3075&lt;&gt;""),1,0)</f>
        <v>3</v>
      </c>
      <c r="W3075" s="29"/>
    </row>
    <row r="3076" customFormat="false" ht="15" hidden="false" customHeight="false" outlineLevel="0" collapsed="false">
      <c r="A3076" s="32" t="str">
        <f aca="false">IF(B3076="","",ROW()-7)</f>
        <v/>
      </c>
      <c r="B3076" s="30"/>
      <c r="C3076" s="29"/>
      <c r="D3076" s="29"/>
      <c r="E3076" s="29"/>
      <c r="F3076" s="30"/>
      <c r="G3076" s="29"/>
      <c r="H3076" s="30"/>
      <c r="I3076" s="29"/>
      <c r="J3076" s="30"/>
      <c r="K3076" s="30"/>
      <c r="L3076" s="29"/>
      <c r="M3076" s="32" t="str">
        <f aca="false">IF(OR(C3076="",L3076=""),"",IF(C3076=L3076,"同一","変更"))</f>
        <v/>
      </c>
      <c r="N3076" s="29"/>
      <c r="O3076" s="30"/>
      <c r="P3076" s="29"/>
      <c r="Q3076" s="31"/>
      <c r="R3076" s="29"/>
      <c r="S3076" s="29"/>
      <c r="T3076" s="30"/>
      <c r="U3076" s="47" t="str">
        <f aca="false">IF(AND(B3076&lt;&gt;"",B3076=SW別シート!$C$3),COUNTIF(B$5:B3076,B3076),"")</f>
        <v/>
      </c>
      <c r="V3076" s="47" t="n">
        <f aca="false">V3075+IF(OR(O3076&lt;&gt;"",W3076&lt;&gt;""),1,0)</f>
        <v>3</v>
      </c>
      <c r="W3076" s="29"/>
    </row>
    <row r="3077" customFormat="false" ht="15" hidden="false" customHeight="false" outlineLevel="0" collapsed="false">
      <c r="A3077" s="32" t="str">
        <f aca="false">IF(B3077="","",ROW()-7)</f>
        <v/>
      </c>
      <c r="B3077" s="30"/>
      <c r="C3077" s="29"/>
      <c r="D3077" s="29"/>
      <c r="E3077" s="29"/>
      <c r="F3077" s="30"/>
      <c r="G3077" s="29"/>
      <c r="H3077" s="30"/>
      <c r="I3077" s="29"/>
      <c r="J3077" s="30"/>
      <c r="K3077" s="30"/>
      <c r="L3077" s="29"/>
      <c r="M3077" s="32" t="str">
        <f aca="false">IF(OR(C3077="",L3077=""),"",IF(C3077=L3077,"同一","変更"))</f>
        <v/>
      </c>
      <c r="N3077" s="29"/>
      <c r="O3077" s="30"/>
      <c r="P3077" s="29"/>
      <c r="Q3077" s="31"/>
      <c r="R3077" s="29"/>
      <c r="S3077" s="29"/>
      <c r="T3077" s="30"/>
      <c r="U3077" s="47" t="str">
        <f aca="false">IF(AND(B3077&lt;&gt;"",B3077=SW別シート!$C$3),COUNTIF(B$5:B3077,B3077),"")</f>
        <v/>
      </c>
      <c r="V3077" s="47" t="n">
        <f aca="false">V3076+IF(OR(O3077&lt;&gt;"",W3077&lt;&gt;""),1,0)</f>
        <v>3</v>
      </c>
      <c r="W3077" s="29"/>
    </row>
    <row r="3078" customFormat="false" ht="15" hidden="false" customHeight="false" outlineLevel="0" collapsed="false">
      <c r="A3078" s="32" t="str">
        <f aca="false">IF(B3078="","",ROW()-7)</f>
        <v/>
      </c>
      <c r="B3078" s="30"/>
      <c r="C3078" s="29"/>
      <c r="D3078" s="29"/>
      <c r="E3078" s="29"/>
      <c r="F3078" s="30"/>
      <c r="G3078" s="29"/>
      <c r="H3078" s="30"/>
      <c r="I3078" s="29"/>
      <c r="J3078" s="30"/>
      <c r="K3078" s="30"/>
      <c r="L3078" s="29"/>
      <c r="M3078" s="32" t="str">
        <f aca="false">IF(OR(C3078="",L3078=""),"",IF(C3078=L3078,"同一","変更"))</f>
        <v/>
      </c>
      <c r="N3078" s="29"/>
      <c r="O3078" s="30"/>
      <c r="P3078" s="29"/>
      <c r="Q3078" s="31"/>
      <c r="R3078" s="29"/>
      <c r="S3078" s="29"/>
      <c r="T3078" s="30"/>
      <c r="U3078" s="47" t="str">
        <f aca="false">IF(AND(B3078&lt;&gt;"",B3078=SW別シート!$C$3),COUNTIF(B$5:B3078,B3078),"")</f>
        <v/>
      </c>
      <c r="V3078" s="47" t="n">
        <f aca="false">V3077+IF(OR(O3078&lt;&gt;"",W3078&lt;&gt;""),1,0)</f>
        <v>3</v>
      </c>
      <c r="W3078" s="29"/>
    </row>
    <row r="3079" customFormat="false" ht="15" hidden="false" customHeight="false" outlineLevel="0" collapsed="false">
      <c r="A3079" s="32" t="str">
        <f aca="false">IF(B3079="","",ROW()-7)</f>
        <v/>
      </c>
      <c r="B3079" s="30"/>
      <c r="C3079" s="29"/>
      <c r="D3079" s="29"/>
      <c r="E3079" s="29"/>
      <c r="F3079" s="30"/>
      <c r="G3079" s="29"/>
      <c r="H3079" s="30"/>
      <c r="I3079" s="29"/>
      <c r="J3079" s="30"/>
      <c r="K3079" s="30"/>
      <c r="L3079" s="29"/>
      <c r="M3079" s="32" t="str">
        <f aca="false">IF(OR(C3079="",L3079=""),"",IF(C3079=L3079,"同一","変更"))</f>
        <v/>
      </c>
      <c r="N3079" s="29"/>
      <c r="O3079" s="30"/>
      <c r="P3079" s="29"/>
      <c r="Q3079" s="31"/>
      <c r="R3079" s="29"/>
      <c r="S3079" s="29"/>
      <c r="T3079" s="30"/>
      <c r="U3079" s="47" t="str">
        <f aca="false">IF(AND(B3079&lt;&gt;"",B3079=SW別シート!$C$3),COUNTIF(B$5:B3079,B3079),"")</f>
        <v/>
      </c>
      <c r="V3079" s="47" t="n">
        <f aca="false">V3078+IF(OR(O3079&lt;&gt;"",W3079&lt;&gt;""),1,0)</f>
        <v>3</v>
      </c>
      <c r="W3079" s="29"/>
    </row>
    <row r="3080" customFormat="false" ht="15" hidden="false" customHeight="false" outlineLevel="0" collapsed="false">
      <c r="A3080" s="32" t="str">
        <f aca="false">IF(B3080="","",ROW()-7)</f>
        <v/>
      </c>
      <c r="B3080" s="30"/>
      <c r="C3080" s="29"/>
      <c r="D3080" s="29"/>
      <c r="E3080" s="29"/>
      <c r="F3080" s="30"/>
      <c r="G3080" s="29"/>
      <c r="H3080" s="30"/>
      <c r="I3080" s="29"/>
      <c r="J3080" s="30"/>
      <c r="K3080" s="30"/>
      <c r="L3080" s="29"/>
      <c r="M3080" s="32" t="str">
        <f aca="false">IF(OR(C3080="",L3080=""),"",IF(C3080=L3080,"同一","変更"))</f>
        <v/>
      </c>
      <c r="N3080" s="29"/>
      <c r="O3080" s="30"/>
      <c r="P3080" s="29"/>
      <c r="Q3080" s="31"/>
      <c r="R3080" s="29"/>
      <c r="S3080" s="29"/>
      <c r="T3080" s="30"/>
      <c r="U3080" s="47" t="str">
        <f aca="false">IF(AND(B3080&lt;&gt;"",B3080=SW別シート!$C$3),COUNTIF(B$5:B3080,B3080),"")</f>
        <v/>
      </c>
      <c r="V3080" s="47" t="n">
        <f aca="false">V3079+IF(OR(O3080&lt;&gt;"",W3080&lt;&gt;""),1,0)</f>
        <v>3</v>
      </c>
      <c r="W3080" s="29"/>
    </row>
    <row r="3081" customFormat="false" ht="15" hidden="false" customHeight="false" outlineLevel="0" collapsed="false">
      <c r="A3081" s="32" t="str">
        <f aca="false">IF(B3081="","",ROW()-7)</f>
        <v/>
      </c>
      <c r="B3081" s="30"/>
      <c r="C3081" s="29"/>
      <c r="D3081" s="29"/>
      <c r="E3081" s="29"/>
      <c r="F3081" s="30"/>
      <c r="G3081" s="29"/>
      <c r="H3081" s="30"/>
      <c r="I3081" s="29"/>
      <c r="J3081" s="30"/>
      <c r="K3081" s="30"/>
      <c r="L3081" s="29"/>
      <c r="M3081" s="32" t="str">
        <f aca="false">IF(OR(C3081="",L3081=""),"",IF(C3081=L3081,"同一","変更"))</f>
        <v/>
      </c>
      <c r="N3081" s="29"/>
      <c r="O3081" s="30"/>
      <c r="P3081" s="29"/>
      <c r="Q3081" s="31"/>
      <c r="R3081" s="29"/>
      <c r="S3081" s="29"/>
      <c r="T3081" s="30"/>
      <c r="U3081" s="47" t="str">
        <f aca="false">IF(AND(B3081&lt;&gt;"",B3081=SW別シート!$C$3),COUNTIF(B$5:B3081,B3081),"")</f>
        <v/>
      </c>
      <c r="V3081" s="47" t="n">
        <f aca="false">V3080+IF(OR(O3081&lt;&gt;"",W3081&lt;&gt;""),1,0)</f>
        <v>3</v>
      </c>
      <c r="W3081" s="29"/>
    </row>
    <row r="3082" customFormat="false" ht="15" hidden="false" customHeight="false" outlineLevel="0" collapsed="false">
      <c r="A3082" s="32" t="str">
        <f aca="false">IF(B3082="","",ROW()-7)</f>
        <v/>
      </c>
      <c r="B3082" s="30"/>
      <c r="C3082" s="29"/>
      <c r="D3082" s="29"/>
      <c r="E3082" s="29"/>
      <c r="F3082" s="30"/>
      <c r="G3082" s="29"/>
      <c r="H3082" s="30"/>
      <c r="I3082" s="29"/>
      <c r="J3082" s="30"/>
      <c r="K3082" s="30"/>
      <c r="L3082" s="29"/>
      <c r="M3082" s="32" t="str">
        <f aca="false">IF(OR(C3082="",L3082=""),"",IF(C3082=L3082,"同一","変更"))</f>
        <v/>
      </c>
      <c r="N3082" s="29"/>
      <c r="O3082" s="30"/>
      <c r="P3082" s="29"/>
      <c r="Q3082" s="31"/>
      <c r="R3082" s="29"/>
      <c r="S3082" s="29"/>
      <c r="T3082" s="30"/>
      <c r="U3082" s="47" t="str">
        <f aca="false">IF(AND(B3082&lt;&gt;"",B3082=SW別シート!$C$3),COUNTIF(B$5:B3082,B3082),"")</f>
        <v/>
      </c>
      <c r="V3082" s="47" t="n">
        <f aca="false">V3081+IF(OR(O3082&lt;&gt;"",W3082&lt;&gt;""),1,0)</f>
        <v>3</v>
      </c>
      <c r="W3082" s="29"/>
    </row>
    <row r="3083" customFormat="false" ht="15" hidden="false" customHeight="false" outlineLevel="0" collapsed="false">
      <c r="A3083" s="32" t="str">
        <f aca="false">IF(B3083="","",ROW()-7)</f>
        <v/>
      </c>
      <c r="B3083" s="30"/>
      <c r="C3083" s="29"/>
      <c r="D3083" s="29"/>
      <c r="E3083" s="29"/>
      <c r="F3083" s="30"/>
      <c r="G3083" s="29"/>
      <c r="H3083" s="30"/>
      <c r="I3083" s="29"/>
      <c r="J3083" s="30"/>
      <c r="K3083" s="30"/>
      <c r="L3083" s="29"/>
      <c r="M3083" s="32" t="str">
        <f aca="false">IF(OR(C3083="",L3083=""),"",IF(C3083=L3083,"同一","変更"))</f>
        <v/>
      </c>
      <c r="N3083" s="29"/>
      <c r="O3083" s="30"/>
      <c r="P3083" s="29"/>
      <c r="Q3083" s="31"/>
      <c r="R3083" s="29"/>
      <c r="S3083" s="29"/>
      <c r="T3083" s="30"/>
      <c r="U3083" s="47" t="str">
        <f aca="false">IF(AND(B3083&lt;&gt;"",B3083=SW別シート!$C$3),COUNTIF(B$5:B3083,B3083),"")</f>
        <v/>
      </c>
      <c r="V3083" s="47" t="n">
        <f aca="false">V3082+IF(OR(O3083&lt;&gt;"",W3083&lt;&gt;""),1,0)</f>
        <v>3</v>
      </c>
      <c r="W3083" s="29"/>
    </row>
    <row r="3084" customFormat="false" ht="15" hidden="false" customHeight="false" outlineLevel="0" collapsed="false">
      <c r="A3084" s="32" t="str">
        <f aca="false">IF(B3084="","",ROW()-7)</f>
        <v/>
      </c>
      <c r="B3084" s="30"/>
      <c r="C3084" s="29"/>
      <c r="D3084" s="29"/>
      <c r="E3084" s="29"/>
      <c r="F3084" s="30"/>
      <c r="G3084" s="29"/>
      <c r="H3084" s="30"/>
      <c r="I3084" s="29"/>
      <c r="J3084" s="30"/>
      <c r="K3084" s="30"/>
      <c r="L3084" s="29"/>
      <c r="M3084" s="32" t="str">
        <f aca="false">IF(OR(C3084="",L3084=""),"",IF(C3084=L3084,"同一","変更"))</f>
        <v/>
      </c>
      <c r="N3084" s="29"/>
      <c r="O3084" s="30"/>
      <c r="P3084" s="29"/>
      <c r="Q3084" s="31"/>
      <c r="R3084" s="29"/>
      <c r="S3084" s="29"/>
      <c r="T3084" s="30"/>
      <c r="U3084" s="47" t="str">
        <f aca="false">IF(AND(B3084&lt;&gt;"",B3084=SW別シート!$C$3),COUNTIF(B$5:B3084,B3084),"")</f>
        <v/>
      </c>
      <c r="V3084" s="47" t="n">
        <f aca="false">V3083+IF(OR(O3084&lt;&gt;"",W3084&lt;&gt;""),1,0)</f>
        <v>3</v>
      </c>
      <c r="W3084" s="29"/>
    </row>
    <row r="3085" customFormat="false" ht="15" hidden="false" customHeight="false" outlineLevel="0" collapsed="false">
      <c r="A3085" s="32" t="str">
        <f aca="false">IF(B3085="","",ROW()-7)</f>
        <v/>
      </c>
      <c r="B3085" s="30"/>
      <c r="C3085" s="29"/>
      <c r="D3085" s="29"/>
      <c r="E3085" s="29"/>
      <c r="F3085" s="30"/>
      <c r="G3085" s="29"/>
      <c r="H3085" s="30"/>
      <c r="I3085" s="29"/>
      <c r="J3085" s="30"/>
      <c r="K3085" s="30"/>
      <c r="L3085" s="29"/>
      <c r="M3085" s="32" t="str">
        <f aca="false">IF(OR(C3085="",L3085=""),"",IF(C3085=L3085,"同一","変更"))</f>
        <v/>
      </c>
      <c r="N3085" s="29"/>
      <c r="O3085" s="30"/>
      <c r="P3085" s="29"/>
      <c r="Q3085" s="31"/>
      <c r="R3085" s="29"/>
      <c r="S3085" s="29"/>
      <c r="T3085" s="30"/>
      <c r="U3085" s="47" t="str">
        <f aca="false">IF(AND(B3085&lt;&gt;"",B3085=SW別シート!$C$3),COUNTIF(B$5:B3085,B3085),"")</f>
        <v/>
      </c>
      <c r="V3085" s="47" t="n">
        <f aca="false">V3084+IF(OR(O3085&lt;&gt;"",W3085&lt;&gt;""),1,0)</f>
        <v>3</v>
      </c>
      <c r="W3085" s="29"/>
    </row>
    <row r="3086" customFormat="false" ht="15" hidden="false" customHeight="false" outlineLevel="0" collapsed="false">
      <c r="A3086" s="32" t="str">
        <f aca="false">IF(B3086="","",ROW()-7)</f>
        <v/>
      </c>
      <c r="B3086" s="30"/>
      <c r="C3086" s="29"/>
      <c r="D3086" s="29"/>
      <c r="E3086" s="29"/>
      <c r="F3086" s="30"/>
      <c r="G3086" s="29"/>
      <c r="H3086" s="30"/>
      <c r="I3086" s="29"/>
      <c r="J3086" s="30"/>
      <c r="K3086" s="30"/>
      <c r="L3086" s="29"/>
      <c r="M3086" s="32" t="str">
        <f aca="false">IF(OR(C3086="",L3086=""),"",IF(C3086=L3086,"同一","変更"))</f>
        <v/>
      </c>
      <c r="N3086" s="29"/>
      <c r="O3086" s="30"/>
      <c r="P3086" s="29"/>
      <c r="Q3086" s="31"/>
      <c r="R3086" s="29"/>
      <c r="S3086" s="29"/>
      <c r="T3086" s="30"/>
      <c r="U3086" s="47" t="str">
        <f aca="false">IF(AND(B3086&lt;&gt;"",B3086=SW別シート!$C$3),COUNTIF(B$5:B3086,B3086),"")</f>
        <v/>
      </c>
      <c r="V3086" s="47" t="n">
        <f aca="false">V3085+IF(OR(O3086&lt;&gt;"",W3086&lt;&gt;""),1,0)</f>
        <v>3</v>
      </c>
      <c r="W3086" s="29"/>
    </row>
    <row r="3087" customFormat="false" ht="15" hidden="false" customHeight="false" outlineLevel="0" collapsed="false">
      <c r="A3087" s="32" t="str">
        <f aca="false">IF(B3087="","",ROW()-7)</f>
        <v/>
      </c>
      <c r="B3087" s="30"/>
      <c r="C3087" s="29"/>
      <c r="D3087" s="29"/>
      <c r="E3087" s="29"/>
      <c r="F3087" s="30"/>
      <c r="G3087" s="29"/>
      <c r="H3087" s="30"/>
      <c r="I3087" s="29"/>
      <c r="J3087" s="30"/>
      <c r="K3087" s="30"/>
      <c r="L3087" s="29"/>
      <c r="M3087" s="32" t="str">
        <f aca="false">IF(OR(C3087="",L3087=""),"",IF(C3087=L3087,"同一","変更"))</f>
        <v/>
      </c>
      <c r="N3087" s="29"/>
      <c r="O3087" s="30"/>
      <c r="P3087" s="29"/>
      <c r="Q3087" s="31"/>
      <c r="R3087" s="29"/>
      <c r="S3087" s="29"/>
      <c r="T3087" s="30"/>
      <c r="U3087" s="47" t="str">
        <f aca="false">IF(AND(B3087&lt;&gt;"",B3087=SW別シート!$C$3),COUNTIF(B$5:B3087,B3087),"")</f>
        <v/>
      </c>
      <c r="V3087" s="47" t="n">
        <f aca="false">V3086+IF(OR(O3087&lt;&gt;"",W3087&lt;&gt;""),1,0)</f>
        <v>3</v>
      </c>
      <c r="W3087" s="29"/>
    </row>
    <row r="3088" customFormat="false" ht="15" hidden="false" customHeight="false" outlineLevel="0" collapsed="false">
      <c r="A3088" s="32" t="str">
        <f aca="false">IF(B3088="","",ROW()-7)</f>
        <v/>
      </c>
      <c r="B3088" s="30"/>
      <c r="C3088" s="29"/>
      <c r="D3088" s="29"/>
      <c r="E3088" s="29"/>
      <c r="F3088" s="30"/>
      <c r="G3088" s="29"/>
      <c r="H3088" s="30"/>
      <c r="I3088" s="29"/>
      <c r="J3088" s="30"/>
      <c r="K3088" s="30"/>
      <c r="L3088" s="29"/>
      <c r="M3088" s="32" t="str">
        <f aca="false">IF(OR(C3088="",L3088=""),"",IF(C3088=L3088,"同一","変更"))</f>
        <v/>
      </c>
      <c r="N3088" s="29"/>
      <c r="O3088" s="30"/>
      <c r="P3088" s="29"/>
      <c r="Q3088" s="31"/>
      <c r="R3088" s="29"/>
      <c r="S3088" s="29"/>
      <c r="T3088" s="30"/>
      <c r="U3088" s="47" t="str">
        <f aca="false">IF(AND(B3088&lt;&gt;"",B3088=SW別シート!$C$3),COUNTIF(B$5:B3088,B3088),"")</f>
        <v/>
      </c>
      <c r="V3088" s="47" t="n">
        <f aca="false">V3087+IF(OR(O3088&lt;&gt;"",W3088&lt;&gt;""),1,0)</f>
        <v>3</v>
      </c>
      <c r="W3088" s="29"/>
    </row>
    <row r="3089" customFormat="false" ht="15" hidden="false" customHeight="false" outlineLevel="0" collapsed="false">
      <c r="A3089" s="32" t="str">
        <f aca="false">IF(B3089="","",ROW()-7)</f>
        <v/>
      </c>
      <c r="B3089" s="30"/>
      <c r="C3089" s="29"/>
      <c r="D3089" s="29"/>
      <c r="E3089" s="29"/>
      <c r="F3089" s="30"/>
      <c r="G3089" s="29"/>
      <c r="H3089" s="30"/>
      <c r="I3089" s="29"/>
      <c r="J3089" s="30"/>
      <c r="K3089" s="30"/>
      <c r="L3089" s="29"/>
      <c r="M3089" s="32" t="str">
        <f aca="false">IF(OR(C3089="",L3089=""),"",IF(C3089=L3089,"同一","変更"))</f>
        <v/>
      </c>
      <c r="N3089" s="29"/>
      <c r="O3089" s="30"/>
      <c r="P3089" s="29"/>
      <c r="Q3089" s="31"/>
      <c r="R3089" s="29"/>
      <c r="S3089" s="29"/>
      <c r="T3089" s="30"/>
      <c r="U3089" s="47" t="str">
        <f aca="false">IF(AND(B3089&lt;&gt;"",B3089=SW別シート!$C$3),COUNTIF(B$5:B3089,B3089),"")</f>
        <v/>
      </c>
      <c r="V3089" s="47" t="n">
        <f aca="false">V3088+IF(OR(O3089&lt;&gt;"",W3089&lt;&gt;""),1,0)</f>
        <v>3</v>
      </c>
      <c r="W3089" s="29"/>
    </row>
    <row r="3090" customFormat="false" ht="15" hidden="false" customHeight="false" outlineLevel="0" collapsed="false">
      <c r="A3090" s="32" t="str">
        <f aca="false">IF(B3090="","",ROW()-7)</f>
        <v/>
      </c>
      <c r="B3090" s="30"/>
      <c r="C3090" s="29"/>
      <c r="D3090" s="29"/>
      <c r="E3090" s="29"/>
      <c r="F3090" s="30"/>
      <c r="G3090" s="29"/>
      <c r="H3090" s="30"/>
      <c r="I3090" s="29"/>
      <c r="J3090" s="30"/>
      <c r="K3090" s="30"/>
      <c r="L3090" s="29"/>
      <c r="M3090" s="32" t="str">
        <f aca="false">IF(OR(C3090="",L3090=""),"",IF(C3090=L3090,"同一","変更"))</f>
        <v/>
      </c>
      <c r="N3090" s="29"/>
      <c r="O3090" s="30"/>
      <c r="P3090" s="29"/>
      <c r="Q3090" s="31"/>
      <c r="R3090" s="29"/>
      <c r="S3090" s="29"/>
      <c r="T3090" s="30"/>
      <c r="U3090" s="47" t="str">
        <f aca="false">IF(AND(B3090&lt;&gt;"",B3090=SW別シート!$C$3),COUNTIF(B$5:B3090,B3090),"")</f>
        <v/>
      </c>
      <c r="V3090" s="47" t="n">
        <f aca="false">V3089+IF(OR(O3090&lt;&gt;"",W3090&lt;&gt;""),1,0)</f>
        <v>3</v>
      </c>
      <c r="W3090" s="29"/>
    </row>
    <row r="3091" customFormat="false" ht="15" hidden="false" customHeight="false" outlineLevel="0" collapsed="false">
      <c r="A3091" s="32" t="str">
        <f aca="false">IF(B3091="","",ROW()-7)</f>
        <v/>
      </c>
      <c r="B3091" s="30"/>
      <c r="C3091" s="29"/>
      <c r="D3091" s="29"/>
      <c r="E3091" s="29"/>
      <c r="F3091" s="30"/>
      <c r="G3091" s="29"/>
      <c r="H3091" s="30"/>
      <c r="I3091" s="29"/>
      <c r="J3091" s="30"/>
      <c r="K3091" s="30"/>
      <c r="L3091" s="29"/>
      <c r="M3091" s="32" t="str">
        <f aca="false">IF(OR(C3091="",L3091=""),"",IF(C3091=L3091,"同一","変更"))</f>
        <v/>
      </c>
      <c r="N3091" s="29"/>
      <c r="O3091" s="30"/>
      <c r="P3091" s="29"/>
      <c r="Q3091" s="31"/>
      <c r="R3091" s="29"/>
      <c r="S3091" s="29"/>
      <c r="T3091" s="30"/>
      <c r="U3091" s="47" t="str">
        <f aca="false">IF(AND(B3091&lt;&gt;"",B3091=SW別シート!$C$3),COUNTIF(B$5:B3091,B3091),"")</f>
        <v/>
      </c>
      <c r="V3091" s="47" t="n">
        <f aca="false">V3090+IF(OR(O3091&lt;&gt;"",W3091&lt;&gt;""),1,0)</f>
        <v>3</v>
      </c>
      <c r="W3091" s="29"/>
    </row>
    <row r="3092" customFormat="false" ht="15" hidden="false" customHeight="false" outlineLevel="0" collapsed="false">
      <c r="A3092" s="32" t="str">
        <f aca="false">IF(B3092="","",ROW()-7)</f>
        <v/>
      </c>
      <c r="B3092" s="30"/>
      <c r="C3092" s="29"/>
      <c r="D3092" s="29"/>
      <c r="E3092" s="29"/>
      <c r="F3092" s="30"/>
      <c r="G3092" s="29"/>
      <c r="H3092" s="30"/>
      <c r="I3092" s="29"/>
      <c r="J3092" s="30"/>
      <c r="K3092" s="30"/>
      <c r="L3092" s="29"/>
      <c r="M3092" s="32" t="str">
        <f aca="false">IF(OR(C3092="",L3092=""),"",IF(C3092=L3092,"同一","変更"))</f>
        <v/>
      </c>
      <c r="N3092" s="29"/>
      <c r="O3092" s="30"/>
      <c r="P3092" s="29"/>
      <c r="Q3092" s="31"/>
      <c r="R3092" s="29"/>
      <c r="S3092" s="29"/>
      <c r="T3092" s="30"/>
      <c r="U3092" s="47" t="str">
        <f aca="false">IF(AND(B3092&lt;&gt;"",B3092=SW別シート!$C$3),COUNTIF(B$5:B3092,B3092),"")</f>
        <v/>
      </c>
      <c r="V3092" s="47" t="n">
        <f aca="false">V3091+IF(OR(O3092&lt;&gt;"",W3092&lt;&gt;""),1,0)</f>
        <v>3</v>
      </c>
      <c r="W3092" s="29"/>
    </row>
    <row r="3093" customFormat="false" ht="15" hidden="false" customHeight="false" outlineLevel="0" collapsed="false">
      <c r="A3093" s="32" t="str">
        <f aca="false">IF(B3093="","",ROW()-7)</f>
        <v/>
      </c>
      <c r="B3093" s="30"/>
      <c r="C3093" s="29"/>
      <c r="D3093" s="29"/>
      <c r="E3093" s="29"/>
      <c r="F3093" s="30"/>
      <c r="G3093" s="29"/>
      <c r="H3093" s="30"/>
      <c r="I3093" s="29"/>
      <c r="J3093" s="30"/>
      <c r="K3093" s="30"/>
      <c r="L3093" s="29"/>
      <c r="M3093" s="32" t="str">
        <f aca="false">IF(OR(C3093="",L3093=""),"",IF(C3093=L3093,"同一","変更"))</f>
        <v/>
      </c>
      <c r="N3093" s="29"/>
      <c r="O3093" s="30"/>
      <c r="P3093" s="29"/>
      <c r="Q3093" s="31"/>
      <c r="R3093" s="29"/>
      <c r="S3093" s="29"/>
      <c r="T3093" s="30"/>
      <c r="U3093" s="47" t="str">
        <f aca="false">IF(AND(B3093&lt;&gt;"",B3093=SW別シート!$C$3),COUNTIF(B$5:B3093,B3093),"")</f>
        <v/>
      </c>
      <c r="V3093" s="47" t="n">
        <f aca="false">V3092+IF(OR(O3093&lt;&gt;"",W3093&lt;&gt;""),1,0)</f>
        <v>3</v>
      </c>
      <c r="W3093" s="29"/>
    </row>
    <row r="3094" customFormat="false" ht="15" hidden="false" customHeight="false" outlineLevel="0" collapsed="false">
      <c r="A3094" s="32" t="str">
        <f aca="false">IF(B3094="","",ROW()-7)</f>
        <v/>
      </c>
      <c r="B3094" s="30"/>
      <c r="C3094" s="29"/>
      <c r="D3094" s="29"/>
      <c r="E3094" s="29"/>
      <c r="F3094" s="30"/>
      <c r="G3094" s="29"/>
      <c r="H3094" s="30"/>
      <c r="I3094" s="29"/>
      <c r="J3094" s="30"/>
      <c r="K3094" s="30"/>
      <c r="L3094" s="29"/>
      <c r="M3094" s="32" t="str">
        <f aca="false">IF(OR(C3094="",L3094=""),"",IF(C3094=L3094,"同一","変更"))</f>
        <v/>
      </c>
      <c r="N3094" s="29"/>
      <c r="O3094" s="30"/>
      <c r="P3094" s="29"/>
      <c r="Q3094" s="31"/>
      <c r="R3094" s="29"/>
      <c r="S3094" s="29"/>
      <c r="T3094" s="30"/>
      <c r="U3094" s="47" t="str">
        <f aca="false">IF(AND(B3094&lt;&gt;"",B3094=SW別シート!$C$3),COUNTIF(B$5:B3094,B3094),"")</f>
        <v/>
      </c>
      <c r="V3094" s="47" t="n">
        <f aca="false">V3093+IF(OR(O3094&lt;&gt;"",W3094&lt;&gt;""),1,0)</f>
        <v>3</v>
      </c>
      <c r="W3094" s="29"/>
    </row>
    <row r="3095" customFormat="false" ht="15" hidden="false" customHeight="false" outlineLevel="0" collapsed="false">
      <c r="A3095" s="32" t="str">
        <f aca="false">IF(B3095="","",ROW()-7)</f>
        <v/>
      </c>
      <c r="B3095" s="30"/>
      <c r="C3095" s="29"/>
      <c r="D3095" s="29"/>
      <c r="E3095" s="29"/>
      <c r="F3095" s="30"/>
      <c r="G3095" s="29"/>
      <c r="H3095" s="30"/>
      <c r="I3095" s="29"/>
      <c r="J3095" s="30"/>
      <c r="K3095" s="30"/>
      <c r="L3095" s="29"/>
      <c r="M3095" s="32" t="str">
        <f aca="false">IF(OR(C3095="",L3095=""),"",IF(C3095=L3095,"同一","変更"))</f>
        <v/>
      </c>
      <c r="N3095" s="29"/>
      <c r="O3095" s="30"/>
      <c r="P3095" s="29"/>
      <c r="Q3095" s="31"/>
      <c r="R3095" s="29"/>
      <c r="S3095" s="29"/>
      <c r="T3095" s="30"/>
      <c r="U3095" s="47" t="str">
        <f aca="false">IF(AND(B3095&lt;&gt;"",B3095=SW別シート!$C$3),COUNTIF(B$5:B3095,B3095),"")</f>
        <v/>
      </c>
      <c r="V3095" s="47" t="n">
        <f aca="false">V3094+IF(OR(O3095&lt;&gt;"",W3095&lt;&gt;""),1,0)</f>
        <v>3</v>
      </c>
      <c r="W3095" s="29"/>
    </row>
    <row r="3096" customFormat="false" ht="15" hidden="false" customHeight="false" outlineLevel="0" collapsed="false">
      <c r="A3096" s="32" t="str">
        <f aca="false">IF(B3096="","",ROW()-7)</f>
        <v/>
      </c>
      <c r="B3096" s="30"/>
      <c r="C3096" s="29"/>
      <c r="D3096" s="29"/>
      <c r="E3096" s="29"/>
      <c r="F3096" s="30"/>
      <c r="G3096" s="29"/>
      <c r="H3096" s="30"/>
      <c r="I3096" s="29"/>
      <c r="J3096" s="30"/>
      <c r="K3096" s="30"/>
      <c r="L3096" s="29"/>
      <c r="M3096" s="32" t="str">
        <f aca="false">IF(OR(C3096="",L3096=""),"",IF(C3096=L3096,"同一","変更"))</f>
        <v/>
      </c>
      <c r="N3096" s="29"/>
      <c r="O3096" s="30"/>
      <c r="P3096" s="29"/>
      <c r="Q3096" s="31"/>
      <c r="R3096" s="29"/>
      <c r="S3096" s="29"/>
      <c r="T3096" s="30"/>
      <c r="U3096" s="47" t="str">
        <f aca="false">IF(AND(B3096&lt;&gt;"",B3096=SW別シート!$C$3),COUNTIF(B$5:B3096,B3096),"")</f>
        <v/>
      </c>
      <c r="V3096" s="47" t="n">
        <f aca="false">V3095+IF(OR(O3096&lt;&gt;"",W3096&lt;&gt;""),1,0)</f>
        <v>3</v>
      </c>
      <c r="W3096" s="29"/>
    </row>
    <row r="3097" customFormat="false" ht="15" hidden="false" customHeight="false" outlineLevel="0" collapsed="false">
      <c r="A3097" s="32" t="str">
        <f aca="false">IF(B3097="","",ROW()-7)</f>
        <v/>
      </c>
      <c r="B3097" s="30"/>
      <c r="C3097" s="29"/>
      <c r="D3097" s="29"/>
      <c r="E3097" s="29"/>
      <c r="F3097" s="30"/>
      <c r="G3097" s="29"/>
      <c r="H3097" s="30"/>
      <c r="I3097" s="29"/>
      <c r="J3097" s="30"/>
      <c r="K3097" s="30"/>
      <c r="L3097" s="29"/>
      <c r="M3097" s="32" t="str">
        <f aca="false">IF(OR(C3097="",L3097=""),"",IF(C3097=L3097,"同一","変更"))</f>
        <v/>
      </c>
      <c r="N3097" s="29"/>
      <c r="O3097" s="30"/>
      <c r="P3097" s="29"/>
      <c r="Q3097" s="31"/>
      <c r="R3097" s="29"/>
      <c r="S3097" s="29"/>
      <c r="T3097" s="30"/>
      <c r="U3097" s="47" t="str">
        <f aca="false">IF(AND(B3097&lt;&gt;"",B3097=SW別シート!$C$3),COUNTIF(B$5:B3097,B3097),"")</f>
        <v/>
      </c>
      <c r="V3097" s="47" t="n">
        <f aca="false">V3096+IF(OR(O3097&lt;&gt;"",W3097&lt;&gt;""),1,0)</f>
        <v>3</v>
      </c>
      <c r="W3097" s="29"/>
    </row>
    <row r="3098" customFormat="false" ht="15" hidden="false" customHeight="false" outlineLevel="0" collapsed="false">
      <c r="A3098" s="32" t="str">
        <f aca="false">IF(B3098="","",ROW()-7)</f>
        <v/>
      </c>
      <c r="B3098" s="30"/>
      <c r="C3098" s="29"/>
      <c r="D3098" s="29"/>
      <c r="E3098" s="29"/>
      <c r="F3098" s="30"/>
      <c r="G3098" s="29"/>
      <c r="H3098" s="30"/>
      <c r="I3098" s="29"/>
      <c r="J3098" s="30"/>
      <c r="K3098" s="30"/>
      <c r="L3098" s="29"/>
      <c r="M3098" s="32" t="str">
        <f aca="false">IF(OR(C3098="",L3098=""),"",IF(C3098=L3098,"同一","変更"))</f>
        <v/>
      </c>
      <c r="N3098" s="29"/>
      <c r="O3098" s="30"/>
      <c r="P3098" s="29"/>
      <c r="Q3098" s="31"/>
      <c r="R3098" s="29"/>
      <c r="S3098" s="29"/>
      <c r="T3098" s="30"/>
      <c r="U3098" s="47" t="str">
        <f aca="false">IF(AND(B3098&lt;&gt;"",B3098=SW別シート!$C$3),COUNTIF(B$5:B3098,B3098),"")</f>
        <v/>
      </c>
      <c r="V3098" s="47" t="n">
        <f aca="false">V3097+IF(OR(O3098&lt;&gt;"",W3098&lt;&gt;""),1,0)</f>
        <v>3</v>
      </c>
      <c r="W3098" s="29"/>
    </row>
    <row r="3099" customFormat="false" ht="15" hidden="false" customHeight="false" outlineLevel="0" collapsed="false">
      <c r="A3099" s="32" t="str">
        <f aca="false">IF(B3099="","",ROW()-7)</f>
        <v/>
      </c>
      <c r="B3099" s="30"/>
      <c r="C3099" s="29"/>
      <c r="D3099" s="29"/>
      <c r="E3099" s="29"/>
      <c r="F3099" s="30"/>
      <c r="G3099" s="29"/>
      <c r="H3099" s="30"/>
      <c r="I3099" s="29"/>
      <c r="J3099" s="30"/>
      <c r="K3099" s="30"/>
      <c r="L3099" s="29"/>
      <c r="M3099" s="32" t="str">
        <f aca="false">IF(OR(C3099="",L3099=""),"",IF(C3099=L3099,"同一","変更"))</f>
        <v/>
      </c>
      <c r="N3099" s="29"/>
      <c r="O3099" s="30"/>
      <c r="P3099" s="29"/>
      <c r="Q3099" s="31"/>
      <c r="R3099" s="29"/>
      <c r="S3099" s="29"/>
      <c r="T3099" s="30"/>
      <c r="U3099" s="47" t="str">
        <f aca="false">IF(AND(B3099&lt;&gt;"",B3099=SW別シート!$C$3),COUNTIF(B$5:B3099,B3099),"")</f>
        <v/>
      </c>
      <c r="V3099" s="47" t="n">
        <f aca="false">V3098+IF(OR(O3099&lt;&gt;"",W3099&lt;&gt;""),1,0)</f>
        <v>3</v>
      </c>
      <c r="W3099" s="29"/>
    </row>
    <row r="3100" customFormat="false" ht="15" hidden="false" customHeight="false" outlineLevel="0" collapsed="false">
      <c r="A3100" s="32" t="str">
        <f aca="false">IF(B3100="","",ROW()-7)</f>
        <v/>
      </c>
      <c r="B3100" s="30"/>
      <c r="C3100" s="29"/>
      <c r="D3100" s="29"/>
      <c r="E3100" s="29"/>
      <c r="F3100" s="30"/>
      <c r="G3100" s="29"/>
      <c r="H3100" s="30"/>
      <c r="I3100" s="29"/>
      <c r="J3100" s="30"/>
      <c r="K3100" s="30"/>
      <c r="L3100" s="29"/>
      <c r="M3100" s="32" t="str">
        <f aca="false">IF(OR(C3100="",L3100=""),"",IF(C3100=L3100,"同一","変更"))</f>
        <v/>
      </c>
      <c r="N3100" s="29"/>
      <c r="O3100" s="30"/>
      <c r="P3100" s="29"/>
      <c r="Q3100" s="31"/>
      <c r="R3100" s="29"/>
      <c r="S3100" s="29"/>
      <c r="T3100" s="30"/>
      <c r="U3100" s="47" t="str">
        <f aca="false">IF(AND(B3100&lt;&gt;"",B3100=SW別シート!$C$3),COUNTIF(B$5:B3100,B3100),"")</f>
        <v/>
      </c>
      <c r="V3100" s="47" t="n">
        <f aca="false">V3099+IF(OR(O3100&lt;&gt;"",W3100&lt;&gt;""),1,0)</f>
        <v>3</v>
      </c>
      <c r="W3100" s="29"/>
    </row>
    <row r="3101" customFormat="false" ht="15" hidden="false" customHeight="false" outlineLevel="0" collapsed="false">
      <c r="A3101" s="32" t="str">
        <f aca="false">IF(B3101="","",ROW()-7)</f>
        <v/>
      </c>
      <c r="B3101" s="30"/>
      <c r="C3101" s="29"/>
      <c r="D3101" s="29"/>
      <c r="E3101" s="29"/>
      <c r="F3101" s="30"/>
      <c r="G3101" s="29"/>
      <c r="H3101" s="30"/>
      <c r="I3101" s="29"/>
      <c r="J3101" s="30"/>
      <c r="K3101" s="30"/>
      <c r="L3101" s="29"/>
      <c r="M3101" s="32" t="str">
        <f aca="false">IF(OR(C3101="",L3101=""),"",IF(C3101=L3101,"同一","変更"))</f>
        <v/>
      </c>
      <c r="N3101" s="29"/>
      <c r="O3101" s="30"/>
      <c r="P3101" s="29"/>
      <c r="Q3101" s="31"/>
      <c r="R3101" s="29"/>
      <c r="S3101" s="29"/>
      <c r="T3101" s="30"/>
      <c r="U3101" s="47" t="str">
        <f aca="false">IF(AND(B3101&lt;&gt;"",B3101=SW別シート!$C$3),COUNTIF(B$5:B3101,B3101),"")</f>
        <v/>
      </c>
      <c r="V3101" s="47" t="n">
        <f aca="false">V3100+IF(OR(O3101&lt;&gt;"",W3101&lt;&gt;""),1,0)</f>
        <v>3</v>
      </c>
      <c r="W3101" s="29"/>
    </row>
    <row r="3102" customFormat="false" ht="15" hidden="false" customHeight="false" outlineLevel="0" collapsed="false">
      <c r="A3102" s="32" t="str">
        <f aca="false">IF(B3102="","",ROW()-7)</f>
        <v/>
      </c>
      <c r="B3102" s="30"/>
      <c r="C3102" s="29"/>
      <c r="D3102" s="29"/>
      <c r="E3102" s="29"/>
      <c r="F3102" s="30"/>
      <c r="G3102" s="29"/>
      <c r="H3102" s="30"/>
      <c r="I3102" s="29"/>
      <c r="J3102" s="30"/>
      <c r="K3102" s="30"/>
      <c r="L3102" s="29"/>
      <c r="M3102" s="32" t="str">
        <f aca="false">IF(OR(C3102="",L3102=""),"",IF(C3102=L3102,"同一","変更"))</f>
        <v/>
      </c>
      <c r="N3102" s="29"/>
      <c r="O3102" s="30"/>
      <c r="P3102" s="29"/>
      <c r="Q3102" s="31"/>
      <c r="R3102" s="29"/>
      <c r="S3102" s="29"/>
      <c r="T3102" s="30"/>
      <c r="U3102" s="47" t="str">
        <f aca="false">IF(AND(B3102&lt;&gt;"",B3102=SW別シート!$C$3),COUNTIF(B$5:B3102,B3102),"")</f>
        <v/>
      </c>
      <c r="V3102" s="47" t="n">
        <f aca="false">V3101+IF(OR(O3102&lt;&gt;"",W3102&lt;&gt;""),1,0)</f>
        <v>3</v>
      </c>
      <c r="W3102" s="29"/>
    </row>
    <row r="3103" customFormat="false" ht="15" hidden="false" customHeight="false" outlineLevel="0" collapsed="false">
      <c r="A3103" s="32" t="str">
        <f aca="false">IF(B3103="","",ROW()-7)</f>
        <v/>
      </c>
      <c r="B3103" s="30"/>
      <c r="C3103" s="29"/>
      <c r="D3103" s="29"/>
      <c r="E3103" s="29"/>
      <c r="F3103" s="30"/>
      <c r="G3103" s="29"/>
      <c r="H3103" s="30"/>
      <c r="I3103" s="29"/>
      <c r="J3103" s="30"/>
      <c r="K3103" s="30"/>
      <c r="L3103" s="29"/>
      <c r="M3103" s="32" t="str">
        <f aca="false">IF(OR(C3103="",L3103=""),"",IF(C3103=L3103,"同一","変更"))</f>
        <v/>
      </c>
      <c r="N3103" s="29"/>
      <c r="O3103" s="30"/>
      <c r="P3103" s="29"/>
      <c r="Q3103" s="31"/>
      <c r="R3103" s="29"/>
      <c r="S3103" s="29"/>
      <c r="T3103" s="30"/>
      <c r="U3103" s="47" t="str">
        <f aca="false">IF(AND(B3103&lt;&gt;"",B3103=SW別シート!$C$3),COUNTIF(B$5:B3103,B3103),"")</f>
        <v/>
      </c>
      <c r="V3103" s="47" t="n">
        <f aca="false">V3102+IF(OR(O3103&lt;&gt;"",W3103&lt;&gt;""),1,0)</f>
        <v>3</v>
      </c>
      <c r="W3103" s="29"/>
    </row>
    <row r="3104" customFormat="false" ht="15" hidden="false" customHeight="false" outlineLevel="0" collapsed="false">
      <c r="A3104" s="32" t="str">
        <f aca="false">IF(B3104="","",ROW()-7)</f>
        <v/>
      </c>
      <c r="B3104" s="30"/>
      <c r="C3104" s="29"/>
      <c r="D3104" s="29"/>
      <c r="E3104" s="29"/>
      <c r="F3104" s="30"/>
      <c r="G3104" s="29"/>
      <c r="H3104" s="30"/>
      <c r="I3104" s="29"/>
      <c r="J3104" s="30"/>
      <c r="K3104" s="30"/>
      <c r="L3104" s="29"/>
      <c r="M3104" s="32" t="str">
        <f aca="false">IF(OR(C3104="",L3104=""),"",IF(C3104=L3104,"同一","変更"))</f>
        <v/>
      </c>
      <c r="N3104" s="29"/>
      <c r="O3104" s="30"/>
      <c r="P3104" s="29"/>
      <c r="Q3104" s="31"/>
      <c r="R3104" s="29"/>
      <c r="S3104" s="29"/>
      <c r="T3104" s="30"/>
      <c r="U3104" s="47" t="str">
        <f aca="false">IF(AND(B3104&lt;&gt;"",B3104=SW別シート!$C$3),COUNTIF(B$5:B3104,B3104),"")</f>
        <v/>
      </c>
      <c r="V3104" s="47" t="n">
        <f aca="false">V3103+IF(OR(O3104&lt;&gt;"",W3104&lt;&gt;""),1,0)</f>
        <v>3</v>
      </c>
      <c r="W3104" s="29"/>
    </row>
    <row r="3105" customFormat="false" ht="15" hidden="false" customHeight="false" outlineLevel="0" collapsed="false">
      <c r="A3105" s="32" t="str">
        <f aca="false">IF(B3105="","",ROW()-7)</f>
        <v/>
      </c>
      <c r="B3105" s="30"/>
      <c r="C3105" s="29"/>
      <c r="D3105" s="29"/>
      <c r="E3105" s="29"/>
      <c r="F3105" s="30"/>
      <c r="G3105" s="29"/>
      <c r="H3105" s="30"/>
      <c r="I3105" s="29"/>
      <c r="J3105" s="30"/>
      <c r="K3105" s="30"/>
      <c r="L3105" s="29"/>
      <c r="M3105" s="32" t="str">
        <f aca="false">IF(OR(C3105="",L3105=""),"",IF(C3105=L3105,"同一","変更"))</f>
        <v/>
      </c>
      <c r="N3105" s="29"/>
      <c r="O3105" s="30"/>
      <c r="P3105" s="29"/>
      <c r="Q3105" s="31"/>
      <c r="R3105" s="29"/>
      <c r="S3105" s="29"/>
      <c r="T3105" s="30"/>
      <c r="U3105" s="47" t="str">
        <f aca="false">IF(AND(B3105&lt;&gt;"",B3105=SW別シート!$C$3),COUNTIF(B$5:B3105,B3105),"")</f>
        <v/>
      </c>
      <c r="V3105" s="47" t="n">
        <f aca="false">V3104+IF(OR(O3105&lt;&gt;"",W3105&lt;&gt;""),1,0)</f>
        <v>3</v>
      </c>
      <c r="W3105" s="29"/>
    </row>
    <row r="3106" customFormat="false" ht="15" hidden="false" customHeight="false" outlineLevel="0" collapsed="false">
      <c r="A3106" s="32" t="str">
        <f aca="false">IF(B3106="","",ROW()-7)</f>
        <v/>
      </c>
      <c r="B3106" s="30"/>
      <c r="C3106" s="29"/>
      <c r="D3106" s="29"/>
      <c r="E3106" s="29"/>
      <c r="F3106" s="30"/>
      <c r="G3106" s="29"/>
      <c r="H3106" s="30"/>
      <c r="I3106" s="29"/>
      <c r="J3106" s="30"/>
      <c r="K3106" s="30"/>
      <c r="L3106" s="29"/>
      <c r="M3106" s="32" t="str">
        <f aca="false">IF(OR(C3106="",L3106=""),"",IF(C3106=L3106,"同一","変更"))</f>
        <v/>
      </c>
      <c r="N3106" s="29"/>
      <c r="O3106" s="30"/>
      <c r="P3106" s="29"/>
      <c r="Q3106" s="31"/>
      <c r="R3106" s="29"/>
      <c r="S3106" s="29"/>
      <c r="T3106" s="30"/>
      <c r="U3106" s="47" t="str">
        <f aca="false">IF(AND(B3106&lt;&gt;"",B3106=SW別シート!$C$3),COUNTIF(B$5:B3106,B3106),"")</f>
        <v/>
      </c>
      <c r="V3106" s="47" t="n">
        <f aca="false">V3105+IF(OR(O3106&lt;&gt;"",W3106&lt;&gt;""),1,0)</f>
        <v>3</v>
      </c>
      <c r="W3106" s="29"/>
    </row>
    <row r="3107" customFormat="false" ht="15" hidden="false" customHeight="false" outlineLevel="0" collapsed="false">
      <c r="A3107" s="32" t="str">
        <f aca="false">IF(B3107="","",ROW()-7)</f>
        <v/>
      </c>
      <c r="B3107" s="30"/>
      <c r="C3107" s="29"/>
      <c r="D3107" s="29"/>
      <c r="E3107" s="29"/>
      <c r="F3107" s="30"/>
      <c r="G3107" s="29"/>
      <c r="H3107" s="30"/>
      <c r="I3107" s="29"/>
      <c r="J3107" s="30"/>
      <c r="K3107" s="30"/>
      <c r="L3107" s="29"/>
      <c r="M3107" s="32" t="str">
        <f aca="false">IF(OR(C3107="",L3107=""),"",IF(C3107=L3107,"同一","変更"))</f>
        <v/>
      </c>
      <c r="N3107" s="29"/>
      <c r="O3107" s="30"/>
      <c r="P3107" s="29"/>
      <c r="Q3107" s="31"/>
      <c r="R3107" s="29"/>
      <c r="S3107" s="29"/>
      <c r="T3107" s="30"/>
      <c r="U3107" s="47" t="str">
        <f aca="false">IF(AND(B3107&lt;&gt;"",B3107=SW別シート!$C$3),COUNTIF(B$5:B3107,B3107),"")</f>
        <v/>
      </c>
      <c r="V3107" s="47" t="n">
        <f aca="false">V3106+IF(OR(O3107&lt;&gt;"",W3107&lt;&gt;""),1,0)</f>
        <v>3</v>
      </c>
      <c r="W3107" s="29"/>
    </row>
    <row r="3108" customFormat="false" ht="15" hidden="false" customHeight="false" outlineLevel="0" collapsed="false">
      <c r="A3108" s="32" t="str">
        <f aca="false">IF(B3108="","",ROW()-7)</f>
        <v/>
      </c>
      <c r="B3108" s="30"/>
      <c r="C3108" s="29"/>
      <c r="D3108" s="29"/>
      <c r="E3108" s="29"/>
      <c r="F3108" s="30"/>
      <c r="G3108" s="29"/>
      <c r="H3108" s="30"/>
      <c r="I3108" s="29"/>
      <c r="J3108" s="30"/>
      <c r="K3108" s="30"/>
      <c r="L3108" s="29"/>
      <c r="M3108" s="32" t="str">
        <f aca="false">IF(OR(C3108="",L3108=""),"",IF(C3108=L3108,"同一","変更"))</f>
        <v/>
      </c>
      <c r="N3108" s="29"/>
      <c r="O3108" s="30"/>
      <c r="P3108" s="29"/>
      <c r="Q3108" s="31"/>
      <c r="R3108" s="29"/>
      <c r="S3108" s="29"/>
      <c r="T3108" s="30"/>
      <c r="U3108" s="47" t="str">
        <f aca="false">IF(AND(B3108&lt;&gt;"",B3108=SW別シート!$C$3),COUNTIF(B$5:B3108,B3108),"")</f>
        <v/>
      </c>
      <c r="V3108" s="47" t="n">
        <f aca="false">V3107+IF(OR(O3108&lt;&gt;"",W3108&lt;&gt;""),1,0)</f>
        <v>3</v>
      </c>
      <c r="W3108" s="29"/>
    </row>
    <row r="3109" customFormat="false" ht="15" hidden="false" customHeight="false" outlineLevel="0" collapsed="false">
      <c r="A3109" s="32" t="str">
        <f aca="false">IF(B3109="","",ROW()-7)</f>
        <v/>
      </c>
      <c r="B3109" s="30"/>
      <c r="C3109" s="29"/>
      <c r="D3109" s="29"/>
      <c r="E3109" s="29"/>
      <c r="F3109" s="30"/>
      <c r="G3109" s="29"/>
      <c r="H3109" s="30"/>
      <c r="I3109" s="29"/>
      <c r="J3109" s="30"/>
      <c r="K3109" s="30"/>
      <c r="L3109" s="29"/>
      <c r="M3109" s="32" t="str">
        <f aca="false">IF(OR(C3109="",L3109=""),"",IF(C3109=L3109,"同一","変更"))</f>
        <v/>
      </c>
      <c r="N3109" s="29"/>
      <c r="O3109" s="30"/>
      <c r="P3109" s="29"/>
      <c r="Q3109" s="31"/>
      <c r="R3109" s="29"/>
      <c r="S3109" s="29"/>
      <c r="T3109" s="30"/>
      <c r="U3109" s="47" t="str">
        <f aca="false">IF(AND(B3109&lt;&gt;"",B3109=SW別シート!$C$3),COUNTIF(B$5:B3109,B3109),"")</f>
        <v/>
      </c>
      <c r="V3109" s="47" t="n">
        <f aca="false">V3108+IF(OR(O3109&lt;&gt;"",W3109&lt;&gt;""),1,0)</f>
        <v>3</v>
      </c>
      <c r="W3109" s="29"/>
    </row>
    <row r="3110" customFormat="false" ht="15" hidden="false" customHeight="false" outlineLevel="0" collapsed="false">
      <c r="A3110" s="32" t="str">
        <f aca="false">IF(B3110="","",ROW()-7)</f>
        <v/>
      </c>
      <c r="B3110" s="30"/>
      <c r="C3110" s="29"/>
      <c r="D3110" s="29"/>
      <c r="E3110" s="29"/>
      <c r="F3110" s="30"/>
      <c r="G3110" s="29"/>
      <c r="H3110" s="30"/>
      <c r="I3110" s="29"/>
      <c r="J3110" s="30"/>
      <c r="K3110" s="30"/>
      <c r="L3110" s="29"/>
      <c r="M3110" s="32" t="str">
        <f aca="false">IF(OR(C3110="",L3110=""),"",IF(C3110=L3110,"同一","変更"))</f>
        <v/>
      </c>
      <c r="N3110" s="29"/>
      <c r="O3110" s="30"/>
      <c r="P3110" s="29"/>
      <c r="Q3110" s="31"/>
      <c r="R3110" s="29"/>
      <c r="S3110" s="29"/>
      <c r="T3110" s="30"/>
      <c r="U3110" s="47" t="str">
        <f aca="false">IF(AND(B3110&lt;&gt;"",B3110=SW別シート!$C$3),COUNTIF(B$5:B3110,B3110),"")</f>
        <v/>
      </c>
      <c r="V3110" s="47" t="n">
        <f aca="false">V3109+IF(OR(O3110&lt;&gt;"",W3110&lt;&gt;""),1,0)</f>
        <v>3</v>
      </c>
      <c r="W3110" s="29"/>
    </row>
    <row r="3111" customFormat="false" ht="15" hidden="false" customHeight="false" outlineLevel="0" collapsed="false">
      <c r="A3111" s="32" t="str">
        <f aca="false">IF(B3111="","",ROW()-7)</f>
        <v/>
      </c>
      <c r="B3111" s="30"/>
      <c r="C3111" s="29"/>
      <c r="D3111" s="29"/>
      <c r="E3111" s="29"/>
      <c r="F3111" s="30"/>
      <c r="G3111" s="29"/>
      <c r="H3111" s="30"/>
      <c r="I3111" s="29"/>
      <c r="J3111" s="30"/>
      <c r="K3111" s="30"/>
      <c r="L3111" s="29"/>
      <c r="M3111" s="32" t="str">
        <f aca="false">IF(OR(C3111="",L3111=""),"",IF(C3111=L3111,"同一","変更"))</f>
        <v/>
      </c>
      <c r="N3111" s="29"/>
      <c r="O3111" s="30"/>
      <c r="P3111" s="29"/>
      <c r="Q3111" s="31"/>
      <c r="R3111" s="29"/>
      <c r="S3111" s="29"/>
      <c r="T3111" s="30"/>
      <c r="U3111" s="47" t="str">
        <f aca="false">IF(AND(B3111&lt;&gt;"",B3111=SW別シート!$C$3),COUNTIF(B$5:B3111,B3111),"")</f>
        <v/>
      </c>
      <c r="V3111" s="47" t="n">
        <f aca="false">V3110+IF(OR(O3111&lt;&gt;"",W3111&lt;&gt;""),1,0)</f>
        <v>3</v>
      </c>
      <c r="W3111" s="29"/>
    </row>
    <row r="3112" customFormat="false" ht="15" hidden="false" customHeight="false" outlineLevel="0" collapsed="false">
      <c r="A3112" s="32" t="str">
        <f aca="false">IF(B3112="","",ROW()-7)</f>
        <v/>
      </c>
      <c r="B3112" s="30"/>
      <c r="C3112" s="29"/>
      <c r="D3112" s="29"/>
      <c r="E3112" s="29"/>
      <c r="F3112" s="30"/>
      <c r="G3112" s="29"/>
      <c r="H3112" s="30"/>
      <c r="I3112" s="29"/>
      <c r="J3112" s="30"/>
      <c r="K3112" s="30"/>
      <c r="L3112" s="29"/>
      <c r="M3112" s="32" t="str">
        <f aca="false">IF(OR(C3112="",L3112=""),"",IF(C3112=L3112,"同一","変更"))</f>
        <v/>
      </c>
      <c r="N3112" s="29"/>
      <c r="O3112" s="30"/>
      <c r="P3112" s="29"/>
      <c r="Q3112" s="31"/>
      <c r="R3112" s="29"/>
      <c r="S3112" s="29"/>
      <c r="T3112" s="30"/>
      <c r="U3112" s="47" t="str">
        <f aca="false">IF(AND(B3112&lt;&gt;"",B3112=SW別シート!$C$3),COUNTIF(B$5:B3112,B3112),"")</f>
        <v/>
      </c>
      <c r="V3112" s="47" t="n">
        <f aca="false">V3111+IF(OR(O3112&lt;&gt;"",W3112&lt;&gt;""),1,0)</f>
        <v>3</v>
      </c>
      <c r="W3112" s="29"/>
    </row>
    <row r="3113" customFormat="false" ht="15" hidden="false" customHeight="false" outlineLevel="0" collapsed="false">
      <c r="A3113" s="32" t="str">
        <f aca="false">IF(B3113="","",ROW()-7)</f>
        <v/>
      </c>
      <c r="B3113" s="30"/>
      <c r="C3113" s="29"/>
      <c r="D3113" s="29"/>
      <c r="E3113" s="29"/>
      <c r="F3113" s="30"/>
      <c r="G3113" s="29"/>
      <c r="H3113" s="30"/>
      <c r="I3113" s="29"/>
      <c r="J3113" s="30"/>
      <c r="K3113" s="30"/>
      <c r="L3113" s="29"/>
      <c r="M3113" s="32" t="str">
        <f aca="false">IF(OR(C3113="",L3113=""),"",IF(C3113=L3113,"同一","変更"))</f>
        <v/>
      </c>
      <c r="N3113" s="29"/>
      <c r="O3113" s="30"/>
      <c r="P3113" s="29"/>
      <c r="Q3113" s="31"/>
      <c r="R3113" s="29"/>
      <c r="S3113" s="29"/>
      <c r="T3113" s="30"/>
      <c r="U3113" s="47" t="str">
        <f aca="false">IF(AND(B3113&lt;&gt;"",B3113=SW別シート!$C$3),COUNTIF(B$5:B3113,B3113),"")</f>
        <v/>
      </c>
      <c r="V3113" s="47" t="n">
        <f aca="false">V3112+IF(OR(O3113&lt;&gt;"",W3113&lt;&gt;""),1,0)</f>
        <v>3</v>
      </c>
      <c r="W3113" s="29"/>
    </row>
    <row r="3114" customFormat="false" ht="15" hidden="false" customHeight="false" outlineLevel="0" collapsed="false">
      <c r="A3114" s="32" t="str">
        <f aca="false">IF(B3114="","",ROW()-7)</f>
        <v/>
      </c>
      <c r="B3114" s="30"/>
      <c r="C3114" s="29"/>
      <c r="D3114" s="29"/>
      <c r="E3114" s="29"/>
      <c r="F3114" s="30"/>
      <c r="G3114" s="29"/>
      <c r="H3114" s="30"/>
      <c r="I3114" s="29"/>
      <c r="J3114" s="30"/>
      <c r="K3114" s="30"/>
      <c r="L3114" s="29"/>
      <c r="M3114" s="32" t="str">
        <f aca="false">IF(OR(C3114="",L3114=""),"",IF(C3114=L3114,"同一","変更"))</f>
        <v/>
      </c>
      <c r="N3114" s="29"/>
      <c r="O3114" s="30"/>
      <c r="P3114" s="29"/>
      <c r="Q3114" s="31"/>
      <c r="R3114" s="29"/>
      <c r="S3114" s="29"/>
      <c r="T3114" s="30"/>
      <c r="U3114" s="47" t="str">
        <f aca="false">IF(AND(B3114&lt;&gt;"",B3114=SW別シート!$C$3),COUNTIF(B$5:B3114,B3114),"")</f>
        <v/>
      </c>
      <c r="V3114" s="47" t="n">
        <f aca="false">V3113+IF(OR(O3114&lt;&gt;"",W3114&lt;&gt;""),1,0)</f>
        <v>3</v>
      </c>
      <c r="W3114" s="29"/>
    </row>
    <row r="3115" customFormat="false" ht="15" hidden="false" customHeight="false" outlineLevel="0" collapsed="false">
      <c r="A3115" s="32" t="str">
        <f aca="false">IF(B3115="","",ROW()-7)</f>
        <v/>
      </c>
      <c r="B3115" s="30"/>
      <c r="C3115" s="29"/>
      <c r="D3115" s="29"/>
      <c r="E3115" s="29"/>
      <c r="F3115" s="30"/>
      <c r="G3115" s="29"/>
      <c r="H3115" s="30"/>
      <c r="I3115" s="29"/>
      <c r="J3115" s="30"/>
      <c r="K3115" s="30"/>
      <c r="L3115" s="29"/>
      <c r="M3115" s="32" t="str">
        <f aca="false">IF(OR(C3115="",L3115=""),"",IF(C3115=L3115,"同一","変更"))</f>
        <v/>
      </c>
      <c r="N3115" s="29"/>
      <c r="O3115" s="30"/>
      <c r="P3115" s="29"/>
      <c r="Q3115" s="31"/>
      <c r="R3115" s="29"/>
      <c r="S3115" s="29"/>
      <c r="T3115" s="30"/>
      <c r="U3115" s="47" t="str">
        <f aca="false">IF(AND(B3115&lt;&gt;"",B3115=SW別シート!$C$3),COUNTIF(B$5:B3115,B3115),"")</f>
        <v/>
      </c>
      <c r="V3115" s="47" t="n">
        <f aca="false">V3114+IF(OR(O3115&lt;&gt;"",W3115&lt;&gt;""),1,0)</f>
        <v>3</v>
      </c>
      <c r="W3115" s="29"/>
    </row>
    <row r="3116" customFormat="false" ht="15" hidden="false" customHeight="false" outlineLevel="0" collapsed="false">
      <c r="A3116" s="32" t="str">
        <f aca="false">IF(B3116="","",ROW()-7)</f>
        <v/>
      </c>
      <c r="B3116" s="30"/>
      <c r="C3116" s="29"/>
      <c r="D3116" s="29"/>
      <c r="E3116" s="29"/>
      <c r="F3116" s="30"/>
      <c r="G3116" s="29"/>
      <c r="H3116" s="30"/>
      <c r="I3116" s="29"/>
      <c r="J3116" s="30"/>
      <c r="K3116" s="30"/>
      <c r="L3116" s="29"/>
      <c r="M3116" s="32" t="str">
        <f aca="false">IF(OR(C3116="",L3116=""),"",IF(C3116=L3116,"同一","変更"))</f>
        <v/>
      </c>
      <c r="N3116" s="29"/>
      <c r="O3116" s="30"/>
      <c r="P3116" s="29"/>
      <c r="Q3116" s="31"/>
      <c r="R3116" s="29"/>
      <c r="S3116" s="29"/>
      <c r="T3116" s="30"/>
      <c r="U3116" s="47" t="str">
        <f aca="false">IF(AND(B3116&lt;&gt;"",B3116=SW別シート!$C$3),COUNTIF(B$5:B3116,B3116),"")</f>
        <v/>
      </c>
      <c r="V3116" s="47" t="n">
        <f aca="false">V3115+IF(OR(O3116&lt;&gt;"",W3116&lt;&gt;""),1,0)</f>
        <v>3</v>
      </c>
      <c r="W3116" s="29"/>
    </row>
    <row r="3117" customFormat="false" ht="15" hidden="false" customHeight="false" outlineLevel="0" collapsed="false">
      <c r="A3117" s="32" t="str">
        <f aca="false">IF(B3117="","",ROW()-7)</f>
        <v/>
      </c>
      <c r="B3117" s="30"/>
      <c r="C3117" s="29"/>
      <c r="D3117" s="29"/>
      <c r="E3117" s="29"/>
      <c r="F3117" s="30"/>
      <c r="G3117" s="29"/>
      <c r="H3117" s="30"/>
      <c r="I3117" s="29"/>
      <c r="J3117" s="30"/>
      <c r="K3117" s="30"/>
      <c r="L3117" s="29"/>
      <c r="M3117" s="32" t="str">
        <f aca="false">IF(OR(C3117="",L3117=""),"",IF(C3117=L3117,"同一","変更"))</f>
        <v/>
      </c>
      <c r="N3117" s="29"/>
      <c r="O3117" s="30"/>
      <c r="P3117" s="29"/>
      <c r="Q3117" s="31"/>
      <c r="R3117" s="29"/>
      <c r="S3117" s="29"/>
      <c r="T3117" s="30"/>
      <c r="U3117" s="47" t="str">
        <f aca="false">IF(AND(B3117&lt;&gt;"",B3117=SW別シート!$C$3),COUNTIF(B$5:B3117,B3117),"")</f>
        <v/>
      </c>
      <c r="V3117" s="47" t="n">
        <f aca="false">V3116+IF(OR(O3117&lt;&gt;"",W3117&lt;&gt;""),1,0)</f>
        <v>3</v>
      </c>
      <c r="W3117" s="29"/>
    </row>
    <row r="3118" customFormat="false" ht="15" hidden="false" customHeight="false" outlineLevel="0" collapsed="false">
      <c r="A3118" s="32" t="str">
        <f aca="false">IF(B3118="","",ROW()-7)</f>
        <v/>
      </c>
      <c r="B3118" s="30"/>
      <c r="C3118" s="29"/>
      <c r="D3118" s="29"/>
      <c r="E3118" s="29"/>
      <c r="F3118" s="30"/>
      <c r="G3118" s="29"/>
      <c r="H3118" s="30"/>
      <c r="I3118" s="29"/>
      <c r="J3118" s="30"/>
      <c r="K3118" s="30"/>
      <c r="L3118" s="29"/>
      <c r="M3118" s="32" t="str">
        <f aca="false">IF(OR(C3118="",L3118=""),"",IF(C3118=L3118,"同一","変更"))</f>
        <v/>
      </c>
      <c r="N3118" s="29"/>
      <c r="O3118" s="30"/>
      <c r="P3118" s="29"/>
      <c r="Q3118" s="31"/>
      <c r="R3118" s="29"/>
      <c r="S3118" s="29"/>
      <c r="T3118" s="30"/>
      <c r="U3118" s="47" t="str">
        <f aca="false">IF(AND(B3118&lt;&gt;"",B3118=SW別シート!$C$3),COUNTIF(B$5:B3118,B3118),"")</f>
        <v/>
      </c>
      <c r="V3118" s="47" t="n">
        <f aca="false">V3117+IF(OR(O3118&lt;&gt;"",W3118&lt;&gt;""),1,0)</f>
        <v>3</v>
      </c>
      <c r="W3118" s="29"/>
    </row>
    <row r="3119" customFormat="false" ht="15" hidden="false" customHeight="false" outlineLevel="0" collapsed="false">
      <c r="A3119" s="32" t="str">
        <f aca="false">IF(B3119="","",ROW()-7)</f>
        <v/>
      </c>
      <c r="B3119" s="30"/>
      <c r="C3119" s="29"/>
      <c r="D3119" s="29"/>
      <c r="E3119" s="29"/>
      <c r="F3119" s="30"/>
      <c r="G3119" s="29"/>
      <c r="H3119" s="30"/>
      <c r="I3119" s="29"/>
      <c r="J3119" s="30"/>
      <c r="K3119" s="30"/>
      <c r="L3119" s="29"/>
      <c r="M3119" s="32" t="str">
        <f aca="false">IF(OR(C3119="",L3119=""),"",IF(C3119=L3119,"同一","変更"))</f>
        <v/>
      </c>
      <c r="N3119" s="29"/>
      <c r="O3119" s="30"/>
      <c r="P3119" s="29"/>
      <c r="Q3119" s="31"/>
      <c r="R3119" s="29"/>
      <c r="S3119" s="29"/>
      <c r="T3119" s="30"/>
      <c r="U3119" s="47" t="str">
        <f aca="false">IF(AND(B3119&lt;&gt;"",B3119=SW別シート!$C$3),COUNTIF(B$5:B3119,B3119),"")</f>
        <v/>
      </c>
      <c r="V3119" s="47" t="n">
        <f aca="false">V3118+IF(OR(O3119&lt;&gt;"",W3119&lt;&gt;""),1,0)</f>
        <v>3</v>
      </c>
      <c r="W3119" s="29"/>
    </row>
    <row r="3120" customFormat="false" ht="15" hidden="false" customHeight="false" outlineLevel="0" collapsed="false">
      <c r="A3120" s="32" t="str">
        <f aca="false">IF(B3120="","",ROW()-7)</f>
        <v/>
      </c>
      <c r="B3120" s="30"/>
      <c r="C3120" s="29"/>
      <c r="D3120" s="29"/>
      <c r="E3120" s="29"/>
      <c r="F3120" s="30"/>
      <c r="G3120" s="29"/>
      <c r="H3120" s="30"/>
      <c r="I3120" s="29"/>
      <c r="J3120" s="30"/>
      <c r="K3120" s="30"/>
      <c r="L3120" s="29"/>
      <c r="M3120" s="32" t="str">
        <f aca="false">IF(OR(C3120="",L3120=""),"",IF(C3120=L3120,"同一","変更"))</f>
        <v/>
      </c>
      <c r="N3120" s="29"/>
      <c r="O3120" s="30"/>
      <c r="P3120" s="29"/>
      <c r="Q3120" s="31"/>
      <c r="R3120" s="29"/>
      <c r="S3120" s="29"/>
      <c r="T3120" s="30"/>
      <c r="U3120" s="47" t="str">
        <f aca="false">IF(AND(B3120&lt;&gt;"",B3120=SW別シート!$C$3),COUNTIF(B$5:B3120,B3120),"")</f>
        <v/>
      </c>
      <c r="V3120" s="47" t="n">
        <f aca="false">V3119+IF(OR(O3120&lt;&gt;"",W3120&lt;&gt;""),1,0)</f>
        <v>3</v>
      </c>
      <c r="W3120" s="29"/>
    </row>
    <row r="3121" customFormat="false" ht="15" hidden="false" customHeight="false" outlineLevel="0" collapsed="false">
      <c r="A3121" s="32" t="str">
        <f aca="false">IF(B3121="","",ROW()-7)</f>
        <v/>
      </c>
      <c r="B3121" s="30"/>
      <c r="C3121" s="29"/>
      <c r="D3121" s="29"/>
      <c r="E3121" s="29"/>
      <c r="F3121" s="30"/>
      <c r="G3121" s="29"/>
      <c r="H3121" s="30"/>
      <c r="I3121" s="29"/>
      <c r="J3121" s="30"/>
      <c r="K3121" s="30"/>
      <c r="L3121" s="29"/>
      <c r="M3121" s="32" t="str">
        <f aca="false">IF(OR(C3121="",L3121=""),"",IF(C3121=L3121,"同一","変更"))</f>
        <v/>
      </c>
      <c r="N3121" s="29"/>
      <c r="O3121" s="30"/>
      <c r="P3121" s="29"/>
      <c r="Q3121" s="31"/>
      <c r="R3121" s="29"/>
      <c r="S3121" s="29"/>
      <c r="T3121" s="30"/>
      <c r="U3121" s="47" t="str">
        <f aca="false">IF(AND(B3121&lt;&gt;"",B3121=SW別シート!$C$3),COUNTIF(B$5:B3121,B3121),"")</f>
        <v/>
      </c>
      <c r="V3121" s="47" t="n">
        <f aca="false">V3120+IF(OR(O3121&lt;&gt;"",W3121&lt;&gt;""),1,0)</f>
        <v>3</v>
      </c>
      <c r="W3121" s="29"/>
    </row>
    <row r="3122" customFormat="false" ht="15" hidden="false" customHeight="false" outlineLevel="0" collapsed="false">
      <c r="A3122" s="32" t="str">
        <f aca="false">IF(B3122="","",ROW()-7)</f>
        <v/>
      </c>
      <c r="B3122" s="30"/>
      <c r="C3122" s="29"/>
      <c r="D3122" s="29"/>
      <c r="E3122" s="29"/>
      <c r="F3122" s="30"/>
      <c r="G3122" s="29"/>
      <c r="H3122" s="30"/>
      <c r="I3122" s="29"/>
      <c r="J3122" s="30"/>
      <c r="K3122" s="30"/>
      <c r="L3122" s="29"/>
      <c r="M3122" s="32" t="str">
        <f aca="false">IF(OR(C3122="",L3122=""),"",IF(C3122=L3122,"同一","変更"))</f>
        <v/>
      </c>
      <c r="N3122" s="29"/>
      <c r="O3122" s="30"/>
      <c r="P3122" s="29"/>
      <c r="Q3122" s="31"/>
      <c r="R3122" s="29"/>
      <c r="S3122" s="29"/>
      <c r="T3122" s="30"/>
      <c r="U3122" s="47" t="str">
        <f aca="false">IF(AND(B3122&lt;&gt;"",B3122=SW別シート!$C$3),COUNTIF(B$5:B3122,B3122),"")</f>
        <v/>
      </c>
      <c r="V3122" s="47" t="n">
        <f aca="false">V3121+IF(OR(O3122&lt;&gt;"",W3122&lt;&gt;""),1,0)</f>
        <v>3</v>
      </c>
      <c r="W3122" s="29"/>
    </row>
    <row r="3123" customFormat="false" ht="15" hidden="false" customHeight="false" outlineLevel="0" collapsed="false">
      <c r="A3123" s="32" t="str">
        <f aca="false">IF(B3123="","",ROW()-7)</f>
        <v/>
      </c>
      <c r="B3123" s="30"/>
      <c r="C3123" s="29"/>
      <c r="D3123" s="29"/>
      <c r="E3123" s="29"/>
      <c r="F3123" s="30"/>
      <c r="G3123" s="29"/>
      <c r="H3123" s="30"/>
      <c r="I3123" s="29"/>
      <c r="J3123" s="30"/>
      <c r="K3123" s="30"/>
      <c r="L3123" s="29"/>
      <c r="M3123" s="32" t="str">
        <f aca="false">IF(OR(C3123="",L3123=""),"",IF(C3123=L3123,"同一","変更"))</f>
        <v/>
      </c>
      <c r="N3123" s="29"/>
      <c r="O3123" s="30"/>
      <c r="P3123" s="29"/>
      <c r="Q3123" s="31"/>
      <c r="R3123" s="29"/>
      <c r="S3123" s="29"/>
      <c r="T3123" s="30"/>
      <c r="U3123" s="47" t="str">
        <f aca="false">IF(AND(B3123&lt;&gt;"",B3123=SW別シート!$C$3),COUNTIF(B$5:B3123,B3123),"")</f>
        <v/>
      </c>
      <c r="V3123" s="47" t="n">
        <f aca="false">V3122+IF(OR(O3123&lt;&gt;"",W3123&lt;&gt;""),1,0)</f>
        <v>3</v>
      </c>
      <c r="W3123" s="29"/>
    </row>
    <row r="3124" customFormat="false" ht="15" hidden="false" customHeight="false" outlineLevel="0" collapsed="false">
      <c r="A3124" s="32" t="str">
        <f aca="false">IF(B3124="","",ROW()-7)</f>
        <v/>
      </c>
      <c r="B3124" s="30"/>
      <c r="C3124" s="29"/>
      <c r="D3124" s="29"/>
      <c r="E3124" s="29"/>
      <c r="F3124" s="30"/>
      <c r="G3124" s="29"/>
      <c r="H3124" s="30"/>
      <c r="I3124" s="29"/>
      <c r="J3124" s="30"/>
      <c r="K3124" s="30"/>
      <c r="L3124" s="29"/>
      <c r="M3124" s="32" t="str">
        <f aca="false">IF(OR(C3124="",L3124=""),"",IF(C3124=L3124,"同一","変更"))</f>
        <v/>
      </c>
      <c r="N3124" s="29"/>
      <c r="O3124" s="30"/>
      <c r="P3124" s="29"/>
      <c r="Q3124" s="31"/>
      <c r="R3124" s="29"/>
      <c r="S3124" s="29"/>
      <c r="T3124" s="30"/>
      <c r="U3124" s="47" t="str">
        <f aca="false">IF(AND(B3124&lt;&gt;"",B3124=SW別シート!$C$3),COUNTIF(B$5:B3124,B3124),"")</f>
        <v/>
      </c>
      <c r="V3124" s="47" t="n">
        <f aca="false">V3123+IF(OR(O3124&lt;&gt;"",W3124&lt;&gt;""),1,0)</f>
        <v>3</v>
      </c>
      <c r="W3124" s="29"/>
    </row>
    <row r="3125" customFormat="false" ht="15" hidden="false" customHeight="false" outlineLevel="0" collapsed="false">
      <c r="A3125" s="32" t="str">
        <f aca="false">IF(B3125="","",ROW()-7)</f>
        <v/>
      </c>
      <c r="B3125" s="30"/>
      <c r="C3125" s="29"/>
      <c r="D3125" s="29"/>
      <c r="E3125" s="29"/>
      <c r="F3125" s="30"/>
      <c r="G3125" s="29"/>
      <c r="H3125" s="30"/>
      <c r="I3125" s="29"/>
      <c r="J3125" s="30"/>
      <c r="K3125" s="30"/>
      <c r="L3125" s="29"/>
      <c r="M3125" s="32" t="str">
        <f aca="false">IF(OR(C3125="",L3125=""),"",IF(C3125=L3125,"同一","変更"))</f>
        <v/>
      </c>
      <c r="N3125" s="29"/>
      <c r="O3125" s="30"/>
      <c r="P3125" s="29"/>
      <c r="Q3125" s="31"/>
      <c r="R3125" s="29"/>
      <c r="S3125" s="29"/>
      <c r="T3125" s="30"/>
      <c r="U3125" s="47" t="str">
        <f aca="false">IF(AND(B3125&lt;&gt;"",B3125=SW別シート!$C$3),COUNTIF(B$5:B3125,B3125),"")</f>
        <v/>
      </c>
      <c r="V3125" s="47" t="n">
        <f aca="false">V3124+IF(OR(O3125&lt;&gt;"",W3125&lt;&gt;""),1,0)</f>
        <v>3</v>
      </c>
      <c r="W3125" s="29"/>
    </row>
    <row r="3126" customFormat="false" ht="15" hidden="false" customHeight="false" outlineLevel="0" collapsed="false">
      <c r="A3126" s="32" t="str">
        <f aca="false">IF(B3126="","",ROW()-7)</f>
        <v/>
      </c>
      <c r="B3126" s="30"/>
      <c r="C3126" s="29"/>
      <c r="D3126" s="29"/>
      <c r="E3126" s="29"/>
      <c r="F3126" s="30"/>
      <c r="G3126" s="29"/>
      <c r="H3126" s="30"/>
      <c r="I3126" s="29"/>
      <c r="J3126" s="30"/>
      <c r="K3126" s="30"/>
      <c r="L3126" s="29"/>
      <c r="M3126" s="32" t="str">
        <f aca="false">IF(OR(C3126="",L3126=""),"",IF(C3126=L3126,"同一","変更"))</f>
        <v/>
      </c>
      <c r="N3126" s="29"/>
      <c r="O3126" s="30"/>
      <c r="P3126" s="29"/>
      <c r="Q3126" s="31"/>
      <c r="R3126" s="29"/>
      <c r="S3126" s="29"/>
      <c r="T3126" s="30"/>
      <c r="U3126" s="47" t="str">
        <f aca="false">IF(AND(B3126&lt;&gt;"",B3126=SW別シート!$C$3),COUNTIF(B$5:B3126,B3126),"")</f>
        <v/>
      </c>
      <c r="V3126" s="47" t="n">
        <f aca="false">V3125+IF(OR(O3126&lt;&gt;"",W3126&lt;&gt;""),1,0)</f>
        <v>3</v>
      </c>
      <c r="W3126" s="29"/>
    </row>
    <row r="3127" customFormat="false" ht="15" hidden="false" customHeight="false" outlineLevel="0" collapsed="false">
      <c r="A3127" s="32" t="str">
        <f aca="false">IF(B3127="","",ROW()-7)</f>
        <v/>
      </c>
      <c r="B3127" s="30"/>
      <c r="C3127" s="29"/>
      <c r="D3127" s="29"/>
      <c r="E3127" s="29"/>
      <c r="F3127" s="30"/>
      <c r="G3127" s="29"/>
      <c r="H3127" s="30"/>
      <c r="I3127" s="29"/>
      <c r="J3127" s="30"/>
      <c r="K3127" s="30"/>
      <c r="L3127" s="29"/>
      <c r="M3127" s="32" t="str">
        <f aca="false">IF(OR(C3127="",L3127=""),"",IF(C3127=L3127,"同一","変更"))</f>
        <v/>
      </c>
      <c r="N3127" s="29"/>
      <c r="O3127" s="30"/>
      <c r="P3127" s="29"/>
      <c r="Q3127" s="31"/>
      <c r="R3127" s="29"/>
      <c r="S3127" s="29"/>
      <c r="T3127" s="30"/>
      <c r="U3127" s="47" t="str">
        <f aca="false">IF(AND(B3127&lt;&gt;"",B3127=SW別シート!$C$3),COUNTIF(B$5:B3127,B3127),"")</f>
        <v/>
      </c>
      <c r="V3127" s="47" t="n">
        <f aca="false">V3126+IF(OR(O3127&lt;&gt;"",W3127&lt;&gt;""),1,0)</f>
        <v>3</v>
      </c>
      <c r="W3127" s="29"/>
    </row>
    <row r="3128" customFormat="false" ht="15" hidden="false" customHeight="false" outlineLevel="0" collapsed="false">
      <c r="A3128" s="32" t="str">
        <f aca="false">IF(B3128="","",ROW()-7)</f>
        <v/>
      </c>
      <c r="B3128" s="30"/>
      <c r="C3128" s="29"/>
      <c r="D3128" s="29"/>
      <c r="E3128" s="29"/>
      <c r="F3128" s="30"/>
      <c r="G3128" s="29"/>
      <c r="H3128" s="30"/>
      <c r="I3128" s="29"/>
      <c r="J3128" s="30"/>
      <c r="K3128" s="30"/>
      <c r="L3128" s="29"/>
      <c r="M3128" s="32" t="str">
        <f aca="false">IF(OR(C3128="",L3128=""),"",IF(C3128=L3128,"同一","変更"))</f>
        <v/>
      </c>
      <c r="N3128" s="29"/>
      <c r="O3128" s="30"/>
      <c r="P3128" s="29"/>
      <c r="Q3128" s="31"/>
      <c r="R3128" s="29"/>
      <c r="S3128" s="29"/>
      <c r="T3128" s="30"/>
      <c r="U3128" s="47" t="str">
        <f aca="false">IF(AND(B3128&lt;&gt;"",B3128=SW別シート!$C$3),COUNTIF(B$5:B3128,B3128),"")</f>
        <v/>
      </c>
      <c r="V3128" s="47" t="n">
        <f aca="false">V3127+IF(OR(O3128&lt;&gt;"",W3128&lt;&gt;""),1,0)</f>
        <v>3</v>
      </c>
      <c r="W3128" s="29"/>
    </row>
    <row r="3129" customFormat="false" ht="15" hidden="false" customHeight="false" outlineLevel="0" collapsed="false">
      <c r="A3129" s="32" t="str">
        <f aca="false">IF(B3129="","",ROW()-7)</f>
        <v/>
      </c>
      <c r="B3129" s="30"/>
      <c r="C3129" s="29"/>
      <c r="D3129" s="29"/>
      <c r="E3129" s="29"/>
      <c r="F3129" s="30"/>
      <c r="G3129" s="29"/>
      <c r="H3129" s="30"/>
      <c r="I3129" s="29"/>
      <c r="J3129" s="30"/>
      <c r="K3129" s="30"/>
      <c r="L3129" s="29"/>
      <c r="M3129" s="32" t="str">
        <f aca="false">IF(OR(C3129="",L3129=""),"",IF(C3129=L3129,"同一","変更"))</f>
        <v/>
      </c>
      <c r="N3129" s="29"/>
      <c r="O3129" s="30"/>
      <c r="P3129" s="29"/>
      <c r="Q3129" s="31"/>
      <c r="R3129" s="29"/>
      <c r="S3129" s="29"/>
      <c r="T3129" s="30"/>
      <c r="U3129" s="47" t="str">
        <f aca="false">IF(AND(B3129&lt;&gt;"",B3129=SW別シート!$C$3),COUNTIF(B$5:B3129,B3129),"")</f>
        <v/>
      </c>
      <c r="V3129" s="47" t="n">
        <f aca="false">V3128+IF(OR(O3129&lt;&gt;"",W3129&lt;&gt;""),1,0)</f>
        <v>3</v>
      </c>
      <c r="W3129" s="29"/>
    </row>
    <row r="3130" customFormat="false" ht="15" hidden="false" customHeight="false" outlineLevel="0" collapsed="false">
      <c r="A3130" s="32" t="str">
        <f aca="false">IF(B3130="","",ROW()-7)</f>
        <v/>
      </c>
      <c r="B3130" s="30"/>
      <c r="C3130" s="29"/>
      <c r="D3130" s="29"/>
      <c r="E3130" s="29"/>
      <c r="F3130" s="30"/>
      <c r="G3130" s="29"/>
      <c r="H3130" s="30"/>
      <c r="I3130" s="29"/>
      <c r="J3130" s="30"/>
      <c r="K3130" s="30"/>
      <c r="L3130" s="29"/>
      <c r="M3130" s="32" t="str">
        <f aca="false">IF(OR(C3130="",L3130=""),"",IF(C3130=L3130,"同一","変更"))</f>
        <v/>
      </c>
      <c r="N3130" s="29"/>
      <c r="O3130" s="30"/>
      <c r="P3130" s="29"/>
      <c r="Q3130" s="31"/>
      <c r="R3130" s="29"/>
      <c r="S3130" s="29"/>
      <c r="T3130" s="30"/>
      <c r="U3130" s="47" t="str">
        <f aca="false">IF(AND(B3130&lt;&gt;"",B3130=SW別シート!$C$3),COUNTIF(B$5:B3130,B3130),"")</f>
        <v/>
      </c>
      <c r="V3130" s="47" t="n">
        <f aca="false">V3129+IF(OR(O3130&lt;&gt;"",W3130&lt;&gt;""),1,0)</f>
        <v>3</v>
      </c>
      <c r="W3130" s="29"/>
    </row>
    <row r="3131" customFormat="false" ht="15" hidden="false" customHeight="false" outlineLevel="0" collapsed="false">
      <c r="A3131" s="32" t="str">
        <f aca="false">IF(B3131="","",ROW()-7)</f>
        <v/>
      </c>
      <c r="B3131" s="30"/>
      <c r="C3131" s="29"/>
      <c r="D3131" s="29"/>
      <c r="E3131" s="29"/>
      <c r="F3131" s="30"/>
      <c r="G3131" s="29"/>
      <c r="H3131" s="30"/>
      <c r="I3131" s="29"/>
      <c r="J3131" s="30"/>
      <c r="K3131" s="30"/>
      <c r="L3131" s="29"/>
      <c r="M3131" s="32" t="str">
        <f aca="false">IF(OR(C3131="",L3131=""),"",IF(C3131=L3131,"同一","変更"))</f>
        <v/>
      </c>
      <c r="N3131" s="29"/>
      <c r="O3131" s="30"/>
      <c r="P3131" s="29"/>
      <c r="Q3131" s="31"/>
      <c r="R3131" s="29"/>
      <c r="S3131" s="29"/>
      <c r="T3131" s="30"/>
      <c r="U3131" s="47" t="str">
        <f aca="false">IF(AND(B3131&lt;&gt;"",B3131=SW別シート!$C$3),COUNTIF(B$5:B3131,B3131),"")</f>
        <v/>
      </c>
      <c r="V3131" s="47" t="n">
        <f aca="false">V3130+IF(OR(O3131&lt;&gt;"",W3131&lt;&gt;""),1,0)</f>
        <v>3</v>
      </c>
      <c r="W3131" s="29"/>
    </row>
    <row r="3132" customFormat="false" ht="15" hidden="false" customHeight="false" outlineLevel="0" collapsed="false">
      <c r="A3132" s="32" t="str">
        <f aca="false">IF(B3132="","",ROW()-7)</f>
        <v/>
      </c>
      <c r="B3132" s="30"/>
      <c r="C3132" s="29"/>
      <c r="D3132" s="29"/>
      <c r="E3132" s="29"/>
      <c r="F3132" s="30"/>
      <c r="G3132" s="29"/>
      <c r="H3132" s="30"/>
      <c r="I3132" s="29"/>
      <c r="J3132" s="30"/>
      <c r="K3132" s="30"/>
      <c r="L3132" s="29"/>
      <c r="M3132" s="32" t="str">
        <f aca="false">IF(OR(C3132="",L3132=""),"",IF(C3132=L3132,"同一","変更"))</f>
        <v/>
      </c>
      <c r="N3132" s="29"/>
      <c r="O3132" s="30"/>
      <c r="P3132" s="29"/>
      <c r="Q3132" s="31"/>
      <c r="R3132" s="29"/>
      <c r="S3132" s="29"/>
      <c r="T3132" s="30"/>
      <c r="U3132" s="47" t="str">
        <f aca="false">IF(AND(B3132&lt;&gt;"",B3132=SW別シート!$C$3),COUNTIF(B$5:B3132,B3132),"")</f>
        <v/>
      </c>
      <c r="V3132" s="47" t="n">
        <f aca="false">V3131+IF(OR(O3132&lt;&gt;"",W3132&lt;&gt;""),1,0)</f>
        <v>3</v>
      </c>
      <c r="W3132" s="29"/>
    </row>
    <row r="3133" customFormat="false" ht="15" hidden="false" customHeight="false" outlineLevel="0" collapsed="false">
      <c r="A3133" s="32" t="str">
        <f aca="false">IF(B3133="","",ROW()-7)</f>
        <v/>
      </c>
      <c r="B3133" s="30"/>
      <c r="C3133" s="29"/>
      <c r="D3133" s="29"/>
      <c r="E3133" s="29"/>
      <c r="F3133" s="30"/>
      <c r="G3133" s="29"/>
      <c r="H3133" s="30"/>
      <c r="I3133" s="29"/>
      <c r="J3133" s="30"/>
      <c r="K3133" s="30"/>
      <c r="L3133" s="29"/>
      <c r="M3133" s="32" t="str">
        <f aca="false">IF(OR(C3133="",L3133=""),"",IF(C3133=L3133,"同一","変更"))</f>
        <v/>
      </c>
      <c r="N3133" s="29"/>
      <c r="O3133" s="30"/>
      <c r="P3133" s="29"/>
      <c r="Q3133" s="31"/>
      <c r="R3133" s="29"/>
      <c r="S3133" s="29"/>
      <c r="T3133" s="30"/>
      <c r="U3133" s="47" t="str">
        <f aca="false">IF(AND(B3133&lt;&gt;"",B3133=SW別シート!$C$3),COUNTIF(B$5:B3133,B3133),"")</f>
        <v/>
      </c>
      <c r="V3133" s="47" t="n">
        <f aca="false">V3132+IF(OR(O3133&lt;&gt;"",W3133&lt;&gt;""),1,0)</f>
        <v>3</v>
      </c>
      <c r="W3133" s="29"/>
    </row>
    <row r="3134" customFormat="false" ht="15" hidden="false" customHeight="false" outlineLevel="0" collapsed="false">
      <c r="A3134" s="32" t="str">
        <f aca="false">IF(B3134="","",ROW()-7)</f>
        <v/>
      </c>
      <c r="B3134" s="30"/>
      <c r="C3134" s="29"/>
      <c r="D3134" s="29"/>
      <c r="E3134" s="29"/>
      <c r="F3134" s="30"/>
      <c r="G3134" s="29"/>
      <c r="H3134" s="30"/>
      <c r="I3134" s="29"/>
      <c r="J3134" s="30"/>
      <c r="K3134" s="30"/>
      <c r="L3134" s="29"/>
      <c r="M3134" s="32" t="str">
        <f aca="false">IF(OR(C3134="",L3134=""),"",IF(C3134=L3134,"同一","変更"))</f>
        <v/>
      </c>
      <c r="N3134" s="29"/>
      <c r="O3134" s="30"/>
      <c r="P3134" s="29"/>
      <c r="Q3134" s="31"/>
      <c r="R3134" s="29"/>
      <c r="S3134" s="29"/>
      <c r="T3134" s="30"/>
      <c r="U3134" s="47" t="str">
        <f aca="false">IF(AND(B3134&lt;&gt;"",B3134=SW別シート!$C$3),COUNTIF(B$5:B3134,B3134),"")</f>
        <v/>
      </c>
      <c r="V3134" s="47" t="n">
        <f aca="false">V3133+IF(OR(O3134&lt;&gt;"",W3134&lt;&gt;""),1,0)</f>
        <v>3</v>
      </c>
      <c r="W3134" s="29"/>
    </row>
    <row r="3135" customFormat="false" ht="15" hidden="false" customHeight="false" outlineLevel="0" collapsed="false">
      <c r="A3135" s="32" t="str">
        <f aca="false">IF(B3135="","",ROW()-7)</f>
        <v/>
      </c>
      <c r="B3135" s="30"/>
      <c r="C3135" s="29"/>
      <c r="D3135" s="29"/>
      <c r="E3135" s="29"/>
      <c r="F3135" s="30"/>
      <c r="G3135" s="29"/>
      <c r="H3135" s="30"/>
      <c r="I3135" s="29"/>
      <c r="J3135" s="30"/>
      <c r="K3135" s="30"/>
      <c r="L3135" s="29"/>
      <c r="M3135" s="32" t="str">
        <f aca="false">IF(OR(C3135="",L3135=""),"",IF(C3135=L3135,"同一","変更"))</f>
        <v/>
      </c>
      <c r="N3135" s="29"/>
      <c r="O3135" s="30"/>
      <c r="P3135" s="29"/>
      <c r="Q3135" s="31"/>
      <c r="R3135" s="29"/>
      <c r="S3135" s="29"/>
      <c r="T3135" s="30"/>
      <c r="U3135" s="47" t="str">
        <f aca="false">IF(AND(B3135&lt;&gt;"",B3135=SW別シート!$C$3),COUNTIF(B$5:B3135,B3135),"")</f>
        <v/>
      </c>
      <c r="V3135" s="47" t="n">
        <f aca="false">V3134+IF(OR(O3135&lt;&gt;"",W3135&lt;&gt;""),1,0)</f>
        <v>3</v>
      </c>
      <c r="W3135" s="29"/>
    </row>
    <row r="3136" customFormat="false" ht="15" hidden="false" customHeight="false" outlineLevel="0" collapsed="false">
      <c r="A3136" s="32" t="str">
        <f aca="false">IF(B3136="","",ROW()-7)</f>
        <v/>
      </c>
      <c r="B3136" s="30"/>
      <c r="C3136" s="29"/>
      <c r="D3136" s="29"/>
      <c r="E3136" s="29"/>
      <c r="F3136" s="30"/>
      <c r="G3136" s="29"/>
      <c r="H3136" s="30"/>
      <c r="I3136" s="29"/>
      <c r="J3136" s="30"/>
      <c r="K3136" s="30"/>
      <c r="L3136" s="29"/>
      <c r="M3136" s="32" t="str">
        <f aca="false">IF(OR(C3136="",L3136=""),"",IF(C3136=L3136,"同一","変更"))</f>
        <v/>
      </c>
      <c r="N3136" s="29"/>
      <c r="O3136" s="30"/>
      <c r="P3136" s="29"/>
      <c r="Q3136" s="31"/>
      <c r="R3136" s="29"/>
      <c r="S3136" s="29"/>
      <c r="T3136" s="30"/>
      <c r="U3136" s="47" t="str">
        <f aca="false">IF(AND(B3136&lt;&gt;"",B3136=SW別シート!$C$3),COUNTIF(B$5:B3136,B3136),"")</f>
        <v/>
      </c>
      <c r="V3136" s="47" t="n">
        <f aca="false">V3135+IF(OR(O3136&lt;&gt;"",W3136&lt;&gt;""),1,0)</f>
        <v>3</v>
      </c>
      <c r="W3136" s="29"/>
    </row>
    <row r="3137" customFormat="false" ht="15" hidden="false" customHeight="false" outlineLevel="0" collapsed="false">
      <c r="A3137" s="32" t="str">
        <f aca="false">IF(B3137="","",ROW()-7)</f>
        <v/>
      </c>
      <c r="B3137" s="30"/>
      <c r="C3137" s="29"/>
      <c r="D3137" s="29"/>
      <c r="E3137" s="29"/>
      <c r="F3137" s="30"/>
      <c r="G3137" s="29"/>
      <c r="H3137" s="30"/>
      <c r="I3137" s="29"/>
      <c r="J3137" s="30"/>
      <c r="K3137" s="30"/>
      <c r="L3137" s="29"/>
      <c r="M3137" s="32" t="str">
        <f aca="false">IF(OR(C3137="",L3137=""),"",IF(C3137=L3137,"同一","変更"))</f>
        <v/>
      </c>
      <c r="N3137" s="29"/>
      <c r="O3137" s="30"/>
      <c r="P3137" s="29"/>
      <c r="Q3137" s="31"/>
      <c r="R3137" s="29"/>
      <c r="S3137" s="29"/>
      <c r="T3137" s="30"/>
      <c r="U3137" s="47" t="str">
        <f aca="false">IF(AND(B3137&lt;&gt;"",B3137=SW別シート!$C$3),COUNTIF(B$5:B3137,B3137),"")</f>
        <v/>
      </c>
      <c r="V3137" s="47" t="n">
        <f aca="false">V3136+IF(OR(O3137&lt;&gt;"",W3137&lt;&gt;""),1,0)</f>
        <v>3</v>
      </c>
      <c r="W3137" s="29"/>
    </row>
    <row r="3138" customFormat="false" ht="15" hidden="false" customHeight="false" outlineLevel="0" collapsed="false">
      <c r="A3138" s="32" t="str">
        <f aca="false">IF(B3138="","",ROW()-7)</f>
        <v/>
      </c>
      <c r="B3138" s="30"/>
      <c r="C3138" s="29"/>
      <c r="D3138" s="29"/>
      <c r="E3138" s="29"/>
      <c r="F3138" s="30"/>
      <c r="G3138" s="29"/>
      <c r="H3138" s="30"/>
      <c r="I3138" s="29"/>
      <c r="J3138" s="30"/>
      <c r="K3138" s="30"/>
      <c r="L3138" s="29"/>
      <c r="M3138" s="32" t="str">
        <f aca="false">IF(OR(C3138="",L3138=""),"",IF(C3138=L3138,"同一","変更"))</f>
        <v/>
      </c>
      <c r="N3138" s="29"/>
      <c r="O3138" s="30"/>
      <c r="P3138" s="29"/>
      <c r="Q3138" s="31"/>
      <c r="R3138" s="29"/>
      <c r="S3138" s="29"/>
      <c r="T3138" s="30"/>
      <c r="U3138" s="47" t="str">
        <f aca="false">IF(AND(B3138&lt;&gt;"",B3138=SW別シート!$C$3),COUNTIF(B$5:B3138,B3138),"")</f>
        <v/>
      </c>
      <c r="V3138" s="47" t="n">
        <f aca="false">V3137+IF(OR(O3138&lt;&gt;"",W3138&lt;&gt;""),1,0)</f>
        <v>3</v>
      </c>
      <c r="W3138" s="29"/>
    </row>
    <row r="3139" customFormat="false" ht="15" hidden="false" customHeight="false" outlineLevel="0" collapsed="false">
      <c r="A3139" s="32" t="str">
        <f aca="false">IF(B3139="","",ROW()-7)</f>
        <v/>
      </c>
      <c r="B3139" s="30"/>
      <c r="C3139" s="29"/>
      <c r="D3139" s="29"/>
      <c r="E3139" s="29"/>
      <c r="F3139" s="30"/>
      <c r="G3139" s="29"/>
      <c r="H3139" s="30"/>
      <c r="I3139" s="29"/>
      <c r="J3139" s="30"/>
      <c r="K3139" s="30"/>
      <c r="L3139" s="29"/>
      <c r="M3139" s="32" t="str">
        <f aca="false">IF(OR(C3139="",L3139=""),"",IF(C3139=L3139,"同一","変更"))</f>
        <v/>
      </c>
      <c r="N3139" s="29"/>
      <c r="O3139" s="30"/>
      <c r="P3139" s="29"/>
      <c r="Q3139" s="31"/>
      <c r="R3139" s="29"/>
      <c r="S3139" s="29"/>
      <c r="T3139" s="30"/>
      <c r="U3139" s="47" t="str">
        <f aca="false">IF(AND(B3139&lt;&gt;"",B3139=SW別シート!$C$3),COUNTIF(B$5:B3139,B3139),"")</f>
        <v/>
      </c>
      <c r="V3139" s="47" t="n">
        <f aca="false">V3138+IF(OR(O3139&lt;&gt;"",W3139&lt;&gt;""),1,0)</f>
        <v>3</v>
      </c>
      <c r="W3139" s="29"/>
    </row>
    <row r="3140" customFormat="false" ht="15" hidden="false" customHeight="false" outlineLevel="0" collapsed="false">
      <c r="A3140" s="32" t="str">
        <f aca="false">IF(B3140="","",ROW()-7)</f>
        <v/>
      </c>
      <c r="B3140" s="30"/>
      <c r="C3140" s="29"/>
      <c r="D3140" s="29"/>
      <c r="E3140" s="29"/>
      <c r="F3140" s="30"/>
      <c r="G3140" s="29"/>
      <c r="H3140" s="30"/>
      <c r="I3140" s="29"/>
      <c r="J3140" s="30"/>
      <c r="K3140" s="30"/>
      <c r="L3140" s="29"/>
      <c r="M3140" s="32" t="str">
        <f aca="false">IF(OR(C3140="",L3140=""),"",IF(C3140=L3140,"同一","変更"))</f>
        <v/>
      </c>
      <c r="N3140" s="29"/>
      <c r="O3140" s="30"/>
      <c r="P3140" s="29"/>
      <c r="Q3140" s="31"/>
      <c r="R3140" s="29"/>
      <c r="S3140" s="29"/>
      <c r="T3140" s="30"/>
      <c r="U3140" s="47" t="str">
        <f aca="false">IF(AND(B3140&lt;&gt;"",B3140=SW別シート!$C$3),COUNTIF(B$5:B3140,B3140),"")</f>
        <v/>
      </c>
      <c r="V3140" s="47" t="n">
        <f aca="false">V3139+IF(OR(O3140&lt;&gt;"",W3140&lt;&gt;""),1,0)</f>
        <v>3</v>
      </c>
      <c r="W3140" s="29"/>
    </row>
    <row r="3141" customFormat="false" ht="15" hidden="false" customHeight="false" outlineLevel="0" collapsed="false">
      <c r="A3141" s="32" t="str">
        <f aca="false">IF(B3141="","",ROW()-7)</f>
        <v/>
      </c>
      <c r="B3141" s="30"/>
      <c r="C3141" s="29"/>
      <c r="D3141" s="29"/>
      <c r="E3141" s="29"/>
      <c r="F3141" s="30"/>
      <c r="G3141" s="29"/>
      <c r="H3141" s="30"/>
      <c r="I3141" s="29"/>
      <c r="J3141" s="30"/>
      <c r="K3141" s="30"/>
      <c r="L3141" s="29"/>
      <c r="M3141" s="32" t="str">
        <f aca="false">IF(OR(C3141="",L3141=""),"",IF(C3141=L3141,"同一","変更"))</f>
        <v/>
      </c>
      <c r="N3141" s="29"/>
      <c r="O3141" s="30"/>
      <c r="P3141" s="29"/>
      <c r="Q3141" s="31"/>
      <c r="R3141" s="29"/>
      <c r="S3141" s="29"/>
      <c r="T3141" s="30"/>
      <c r="U3141" s="47" t="str">
        <f aca="false">IF(AND(B3141&lt;&gt;"",B3141=SW別シート!$C$3),COUNTIF(B$5:B3141,B3141),"")</f>
        <v/>
      </c>
      <c r="V3141" s="47" t="n">
        <f aca="false">V3140+IF(OR(O3141&lt;&gt;"",W3141&lt;&gt;""),1,0)</f>
        <v>3</v>
      </c>
      <c r="W3141" s="29"/>
    </row>
    <row r="3142" customFormat="false" ht="15" hidden="false" customHeight="false" outlineLevel="0" collapsed="false">
      <c r="A3142" s="32" t="str">
        <f aca="false">IF(B3142="","",ROW()-7)</f>
        <v/>
      </c>
      <c r="B3142" s="30"/>
      <c r="C3142" s="29"/>
      <c r="D3142" s="29"/>
      <c r="E3142" s="29"/>
      <c r="F3142" s="30"/>
      <c r="G3142" s="29"/>
      <c r="H3142" s="30"/>
      <c r="I3142" s="29"/>
      <c r="J3142" s="30"/>
      <c r="K3142" s="30"/>
      <c r="L3142" s="29"/>
      <c r="M3142" s="32" t="str">
        <f aca="false">IF(OR(C3142="",L3142=""),"",IF(C3142=L3142,"同一","変更"))</f>
        <v/>
      </c>
      <c r="N3142" s="29"/>
      <c r="O3142" s="30"/>
      <c r="P3142" s="29"/>
      <c r="Q3142" s="31"/>
      <c r="R3142" s="29"/>
      <c r="S3142" s="29"/>
      <c r="T3142" s="30"/>
      <c r="U3142" s="47" t="str">
        <f aca="false">IF(AND(B3142&lt;&gt;"",B3142=SW別シート!$C$3),COUNTIF(B$5:B3142,B3142),"")</f>
        <v/>
      </c>
      <c r="V3142" s="47" t="n">
        <f aca="false">V3141+IF(OR(O3142&lt;&gt;"",W3142&lt;&gt;""),1,0)</f>
        <v>3</v>
      </c>
      <c r="W3142" s="29"/>
    </row>
    <row r="3143" customFormat="false" ht="15" hidden="false" customHeight="false" outlineLevel="0" collapsed="false">
      <c r="A3143" s="32" t="str">
        <f aca="false">IF(B3143="","",ROW()-7)</f>
        <v/>
      </c>
      <c r="B3143" s="30"/>
      <c r="C3143" s="29"/>
      <c r="D3143" s="29"/>
      <c r="E3143" s="29"/>
      <c r="F3143" s="30"/>
      <c r="G3143" s="29"/>
      <c r="H3143" s="30"/>
      <c r="I3143" s="29"/>
      <c r="J3143" s="30"/>
      <c r="K3143" s="30"/>
      <c r="L3143" s="29"/>
      <c r="M3143" s="32" t="str">
        <f aca="false">IF(OR(C3143="",L3143=""),"",IF(C3143=L3143,"同一","変更"))</f>
        <v/>
      </c>
      <c r="N3143" s="29"/>
      <c r="O3143" s="30"/>
      <c r="P3143" s="29"/>
      <c r="Q3143" s="31"/>
      <c r="R3143" s="29"/>
      <c r="S3143" s="29"/>
      <c r="T3143" s="30"/>
      <c r="U3143" s="47" t="str">
        <f aca="false">IF(AND(B3143&lt;&gt;"",B3143=SW別シート!$C$3),COUNTIF(B$5:B3143,B3143),"")</f>
        <v/>
      </c>
      <c r="V3143" s="47" t="n">
        <f aca="false">V3142+IF(OR(O3143&lt;&gt;"",W3143&lt;&gt;""),1,0)</f>
        <v>3</v>
      </c>
      <c r="W3143" s="29"/>
    </row>
    <row r="3144" customFormat="false" ht="15" hidden="false" customHeight="false" outlineLevel="0" collapsed="false">
      <c r="A3144" s="32" t="str">
        <f aca="false">IF(B3144="","",ROW()-7)</f>
        <v/>
      </c>
      <c r="B3144" s="30"/>
      <c r="C3144" s="29"/>
      <c r="D3144" s="29"/>
      <c r="E3144" s="29"/>
      <c r="F3144" s="30"/>
      <c r="G3144" s="29"/>
      <c r="H3144" s="30"/>
      <c r="I3144" s="29"/>
      <c r="J3144" s="30"/>
      <c r="K3144" s="30"/>
      <c r="L3144" s="29"/>
      <c r="M3144" s="32" t="str">
        <f aca="false">IF(OR(C3144="",L3144=""),"",IF(C3144=L3144,"同一","変更"))</f>
        <v/>
      </c>
      <c r="N3144" s="29"/>
      <c r="O3144" s="30"/>
      <c r="P3144" s="29"/>
      <c r="Q3144" s="31"/>
      <c r="R3144" s="29"/>
      <c r="S3144" s="29"/>
      <c r="T3144" s="30"/>
      <c r="U3144" s="47" t="str">
        <f aca="false">IF(AND(B3144&lt;&gt;"",B3144=SW別シート!$C$3),COUNTIF(B$5:B3144,B3144),"")</f>
        <v/>
      </c>
      <c r="V3144" s="47" t="n">
        <f aca="false">V3143+IF(OR(O3144&lt;&gt;"",W3144&lt;&gt;""),1,0)</f>
        <v>3</v>
      </c>
      <c r="W3144" s="29"/>
    </row>
    <row r="3145" customFormat="false" ht="15" hidden="false" customHeight="false" outlineLevel="0" collapsed="false">
      <c r="A3145" s="32" t="str">
        <f aca="false">IF(B3145="","",ROW()-7)</f>
        <v/>
      </c>
      <c r="B3145" s="30"/>
      <c r="C3145" s="29"/>
      <c r="D3145" s="29"/>
      <c r="E3145" s="29"/>
      <c r="F3145" s="30"/>
      <c r="G3145" s="29"/>
      <c r="H3145" s="30"/>
      <c r="I3145" s="29"/>
      <c r="J3145" s="30"/>
      <c r="K3145" s="30"/>
      <c r="L3145" s="29"/>
      <c r="M3145" s="32" t="str">
        <f aca="false">IF(OR(C3145="",L3145=""),"",IF(C3145=L3145,"同一","変更"))</f>
        <v/>
      </c>
      <c r="N3145" s="29"/>
      <c r="O3145" s="30"/>
      <c r="P3145" s="29"/>
      <c r="Q3145" s="31"/>
      <c r="R3145" s="29"/>
      <c r="S3145" s="29"/>
      <c r="T3145" s="30"/>
      <c r="U3145" s="47" t="str">
        <f aca="false">IF(AND(B3145&lt;&gt;"",B3145=SW別シート!$C$3),COUNTIF(B$5:B3145,B3145),"")</f>
        <v/>
      </c>
      <c r="V3145" s="47" t="n">
        <f aca="false">V3144+IF(OR(O3145&lt;&gt;"",W3145&lt;&gt;""),1,0)</f>
        <v>3</v>
      </c>
      <c r="W3145" s="29"/>
    </row>
    <row r="3146" customFormat="false" ht="15" hidden="false" customHeight="false" outlineLevel="0" collapsed="false">
      <c r="A3146" s="32" t="str">
        <f aca="false">IF(B3146="","",ROW()-7)</f>
        <v/>
      </c>
      <c r="B3146" s="30"/>
      <c r="C3146" s="29"/>
      <c r="D3146" s="29"/>
      <c r="E3146" s="29"/>
      <c r="F3146" s="30"/>
      <c r="G3146" s="29"/>
      <c r="H3146" s="30"/>
      <c r="I3146" s="29"/>
      <c r="J3146" s="30"/>
      <c r="K3146" s="30"/>
      <c r="L3146" s="29"/>
      <c r="M3146" s="32" t="str">
        <f aca="false">IF(OR(C3146="",L3146=""),"",IF(C3146=L3146,"同一","変更"))</f>
        <v/>
      </c>
      <c r="N3146" s="29"/>
      <c r="O3146" s="30"/>
      <c r="P3146" s="29"/>
      <c r="Q3146" s="31"/>
      <c r="R3146" s="29"/>
      <c r="S3146" s="29"/>
      <c r="T3146" s="30"/>
      <c r="U3146" s="47" t="str">
        <f aca="false">IF(AND(B3146&lt;&gt;"",B3146=SW別シート!$C$3),COUNTIF(B$5:B3146,B3146),"")</f>
        <v/>
      </c>
      <c r="V3146" s="47" t="n">
        <f aca="false">V3145+IF(OR(O3146&lt;&gt;"",W3146&lt;&gt;""),1,0)</f>
        <v>3</v>
      </c>
      <c r="W3146" s="29"/>
    </row>
    <row r="3147" customFormat="false" ht="15" hidden="false" customHeight="false" outlineLevel="0" collapsed="false">
      <c r="A3147" s="32" t="str">
        <f aca="false">IF(B3147="","",ROW()-7)</f>
        <v/>
      </c>
      <c r="B3147" s="30"/>
      <c r="C3147" s="29"/>
      <c r="D3147" s="29"/>
      <c r="E3147" s="29"/>
      <c r="F3147" s="30"/>
      <c r="G3147" s="29"/>
      <c r="H3147" s="30"/>
      <c r="I3147" s="29"/>
      <c r="J3147" s="30"/>
      <c r="K3147" s="30"/>
      <c r="L3147" s="29"/>
      <c r="M3147" s="32" t="str">
        <f aca="false">IF(OR(C3147="",L3147=""),"",IF(C3147=L3147,"同一","変更"))</f>
        <v/>
      </c>
      <c r="N3147" s="29"/>
      <c r="O3147" s="30"/>
      <c r="P3147" s="29"/>
      <c r="Q3147" s="31"/>
      <c r="R3147" s="29"/>
      <c r="S3147" s="29"/>
      <c r="T3147" s="30"/>
      <c r="U3147" s="47" t="str">
        <f aca="false">IF(AND(B3147&lt;&gt;"",B3147=SW別シート!$C$3),COUNTIF(B$5:B3147,B3147),"")</f>
        <v/>
      </c>
      <c r="V3147" s="47" t="n">
        <f aca="false">V3146+IF(OR(O3147&lt;&gt;"",W3147&lt;&gt;""),1,0)</f>
        <v>3</v>
      </c>
      <c r="W3147" s="29"/>
    </row>
    <row r="3148" customFormat="false" ht="15" hidden="false" customHeight="false" outlineLevel="0" collapsed="false">
      <c r="A3148" s="32" t="str">
        <f aca="false">IF(B3148="","",ROW()-7)</f>
        <v/>
      </c>
      <c r="B3148" s="30"/>
      <c r="C3148" s="29"/>
      <c r="D3148" s="29"/>
      <c r="E3148" s="29"/>
      <c r="F3148" s="30"/>
      <c r="G3148" s="29"/>
      <c r="H3148" s="30"/>
      <c r="I3148" s="29"/>
      <c r="J3148" s="30"/>
      <c r="K3148" s="30"/>
      <c r="L3148" s="29"/>
      <c r="M3148" s="32" t="str">
        <f aca="false">IF(OR(C3148="",L3148=""),"",IF(C3148=L3148,"同一","変更"))</f>
        <v/>
      </c>
      <c r="N3148" s="29"/>
      <c r="O3148" s="30"/>
      <c r="P3148" s="29"/>
      <c r="Q3148" s="31"/>
      <c r="R3148" s="29"/>
      <c r="S3148" s="29"/>
      <c r="T3148" s="30"/>
      <c r="U3148" s="47" t="str">
        <f aca="false">IF(AND(B3148&lt;&gt;"",B3148=SW別シート!$C$3),COUNTIF(B$5:B3148,B3148),"")</f>
        <v/>
      </c>
      <c r="V3148" s="47" t="n">
        <f aca="false">V3147+IF(OR(O3148&lt;&gt;"",W3148&lt;&gt;""),1,0)</f>
        <v>3</v>
      </c>
      <c r="W3148" s="29"/>
    </row>
    <row r="3149" customFormat="false" ht="15" hidden="false" customHeight="false" outlineLevel="0" collapsed="false">
      <c r="A3149" s="32" t="str">
        <f aca="false">IF(B3149="","",ROW()-7)</f>
        <v/>
      </c>
      <c r="B3149" s="30"/>
      <c r="C3149" s="29"/>
      <c r="D3149" s="29"/>
      <c r="E3149" s="29"/>
      <c r="F3149" s="30"/>
      <c r="G3149" s="29"/>
      <c r="H3149" s="30"/>
      <c r="I3149" s="29"/>
      <c r="J3149" s="30"/>
      <c r="K3149" s="30"/>
      <c r="L3149" s="29"/>
      <c r="M3149" s="32" t="str">
        <f aca="false">IF(OR(C3149="",L3149=""),"",IF(C3149=L3149,"同一","変更"))</f>
        <v/>
      </c>
      <c r="N3149" s="29"/>
      <c r="O3149" s="30"/>
      <c r="P3149" s="29"/>
      <c r="Q3149" s="31"/>
      <c r="R3149" s="29"/>
      <c r="S3149" s="29"/>
      <c r="T3149" s="30"/>
      <c r="U3149" s="47" t="str">
        <f aca="false">IF(AND(B3149&lt;&gt;"",B3149=SW別シート!$C$3),COUNTIF(B$5:B3149,B3149),"")</f>
        <v/>
      </c>
      <c r="V3149" s="47" t="n">
        <f aca="false">V3148+IF(OR(O3149&lt;&gt;"",W3149&lt;&gt;""),1,0)</f>
        <v>3</v>
      </c>
      <c r="W3149" s="29"/>
    </row>
    <row r="3150" customFormat="false" ht="15" hidden="false" customHeight="false" outlineLevel="0" collapsed="false">
      <c r="A3150" s="32" t="str">
        <f aca="false">IF(B3150="","",ROW()-7)</f>
        <v/>
      </c>
      <c r="B3150" s="30"/>
      <c r="C3150" s="29"/>
      <c r="D3150" s="29"/>
      <c r="E3150" s="29"/>
      <c r="F3150" s="30"/>
      <c r="G3150" s="29"/>
      <c r="H3150" s="30"/>
      <c r="I3150" s="29"/>
      <c r="J3150" s="30"/>
      <c r="K3150" s="30"/>
      <c r="L3150" s="29"/>
      <c r="M3150" s="32" t="str">
        <f aca="false">IF(OR(C3150="",L3150=""),"",IF(C3150=L3150,"同一","変更"))</f>
        <v/>
      </c>
      <c r="N3150" s="29"/>
      <c r="O3150" s="30"/>
      <c r="P3150" s="29"/>
      <c r="Q3150" s="31"/>
      <c r="R3150" s="29"/>
      <c r="S3150" s="29"/>
      <c r="T3150" s="30"/>
      <c r="U3150" s="47" t="str">
        <f aca="false">IF(AND(B3150&lt;&gt;"",B3150=SW別シート!$C$3),COUNTIF(B$5:B3150,B3150),"")</f>
        <v/>
      </c>
      <c r="V3150" s="47" t="n">
        <f aca="false">V3149+IF(OR(O3150&lt;&gt;"",W3150&lt;&gt;""),1,0)</f>
        <v>3</v>
      </c>
      <c r="W3150" s="29"/>
    </row>
    <row r="3151" customFormat="false" ht="15" hidden="false" customHeight="false" outlineLevel="0" collapsed="false">
      <c r="A3151" s="32" t="str">
        <f aca="false">IF(B3151="","",ROW()-7)</f>
        <v/>
      </c>
      <c r="B3151" s="30"/>
      <c r="C3151" s="29"/>
      <c r="D3151" s="29"/>
      <c r="E3151" s="29"/>
      <c r="F3151" s="30"/>
      <c r="G3151" s="29"/>
      <c r="H3151" s="30"/>
      <c r="I3151" s="29"/>
      <c r="J3151" s="30"/>
      <c r="K3151" s="30"/>
      <c r="L3151" s="29"/>
      <c r="M3151" s="32" t="str">
        <f aca="false">IF(OR(C3151="",L3151=""),"",IF(C3151=L3151,"同一","変更"))</f>
        <v/>
      </c>
      <c r="N3151" s="29"/>
      <c r="O3151" s="30"/>
      <c r="P3151" s="29"/>
      <c r="Q3151" s="31"/>
      <c r="R3151" s="29"/>
      <c r="S3151" s="29"/>
      <c r="T3151" s="30"/>
      <c r="U3151" s="47" t="str">
        <f aca="false">IF(AND(B3151&lt;&gt;"",B3151=SW別シート!$C$3),COUNTIF(B$5:B3151,B3151),"")</f>
        <v/>
      </c>
      <c r="V3151" s="47" t="n">
        <f aca="false">V3150+IF(OR(O3151&lt;&gt;"",W3151&lt;&gt;""),1,0)</f>
        <v>3</v>
      </c>
      <c r="W3151" s="29"/>
    </row>
    <row r="3152" customFormat="false" ht="15" hidden="false" customHeight="false" outlineLevel="0" collapsed="false">
      <c r="A3152" s="32" t="str">
        <f aca="false">IF(B3152="","",ROW()-7)</f>
        <v/>
      </c>
      <c r="B3152" s="30"/>
      <c r="C3152" s="29"/>
      <c r="D3152" s="29"/>
      <c r="E3152" s="29"/>
      <c r="F3152" s="30"/>
      <c r="G3152" s="29"/>
      <c r="H3152" s="30"/>
      <c r="I3152" s="29"/>
      <c r="J3152" s="30"/>
      <c r="K3152" s="30"/>
      <c r="L3152" s="29"/>
      <c r="M3152" s="32" t="str">
        <f aca="false">IF(OR(C3152="",L3152=""),"",IF(C3152=L3152,"同一","変更"))</f>
        <v/>
      </c>
      <c r="N3152" s="29"/>
      <c r="O3152" s="30"/>
      <c r="P3152" s="29"/>
      <c r="Q3152" s="31"/>
      <c r="R3152" s="29"/>
      <c r="S3152" s="29"/>
      <c r="T3152" s="30"/>
      <c r="U3152" s="47" t="str">
        <f aca="false">IF(AND(B3152&lt;&gt;"",B3152=SW別シート!$C$3),COUNTIF(B$5:B3152,B3152),"")</f>
        <v/>
      </c>
      <c r="V3152" s="47" t="n">
        <f aca="false">V3151+IF(OR(O3152&lt;&gt;"",W3152&lt;&gt;""),1,0)</f>
        <v>3</v>
      </c>
      <c r="W3152" s="29"/>
    </row>
    <row r="3153" customFormat="false" ht="15" hidden="false" customHeight="false" outlineLevel="0" collapsed="false">
      <c r="A3153" s="32" t="str">
        <f aca="false">IF(B3153="","",ROW()-7)</f>
        <v/>
      </c>
      <c r="B3153" s="30"/>
      <c r="C3153" s="29"/>
      <c r="D3153" s="29"/>
      <c r="E3153" s="29"/>
      <c r="F3153" s="30"/>
      <c r="G3153" s="29"/>
      <c r="H3153" s="30"/>
      <c r="I3153" s="29"/>
      <c r="J3153" s="30"/>
      <c r="K3153" s="30"/>
      <c r="L3153" s="29"/>
      <c r="M3153" s="32" t="str">
        <f aca="false">IF(OR(C3153="",L3153=""),"",IF(C3153=L3153,"同一","変更"))</f>
        <v/>
      </c>
      <c r="N3153" s="29"/>
      <c r="O3153" s="30"/>
      <c r="P3153" s="29"/>
      <c r="Q3153" s="31"/>
      <c r="R3153" s="29"/>
      <c r="S3153" s="29"/>
      <c r="T3153" s="30"/>
      <c r="U3153" s="47" t="str">
        <f aca="false">IF(AND(B3153&lt;&gt;"",B3153=SW別シート!$C$3),COUNTIF(B$5:B3153,B3153),"")</f>
        <v/>
      </c>
      <c r="V3153" s="47" t="n">
        <f aca="false">V3152+IF(OR(O3153&lt;&gt;"",W3153&lt;&gt;""),1,0)</f>
        <v>3</v>
      </c>
      <c r="W3153" s="29"/>
    </row>
    <row r="3154" customFormat="false" ht="15" hidden="false" customHeight="false" outlineLevel="0" collapsed="false">
      <c r="A3154" s="32" t="str">
        <f aca="false">IF(B3154="","",ROW()-7)</f>
        <v/>
      </c>
      <c r="B3154" s="30"/>
      <c r="C3154" s="29"/>
      <c r="D3154" s="29"/>
      <c r="E3154" s="29"/>
      <c r="F3154" s="30"/>
      <c r="G3154" s="29"/>
      <c r="H3154" s="30"/>
      <c r="I3154" s="29"/>
      <c r="J3154" s="30"/>
      <c r="K3154" s="30"/>
      <c r="L3154" s="29"/>
      <c r="M3154" s="32" t="str">
        <f aca="false">IF(OR(C3154="",L3154=""),"",IF(C3154=L3154,"同一","変更"))</f>
        <v/>
      </c>
      <c r="N3154" s="29"/>
      <c r="O3154" s="30"/>
      <c r="P3154" s="29"/>
      <c r="Q3154" s="31"/>
      <c r="R3154" s="29"/>
      <c r="S3154" s="29"/>
      <c r="T3154" s="30"/>
      <c r="U3154" s="47" t="str">
        <f aca="false">IF(AND(B3154&lt;&gt;"",B3154=SW別シート!$C$3),COUNTIF(B$5:B3154,B3154),"")</f>
        <v/>
      </c>
      <c r="V3154" s="47" t="n">
        <f aca="false">V3153+IF(OR(O3154&lt;&gt;"",W3154&lt;&gt;""),1,0)</f>
        <v>3</v>
      </c>
      <c r="W3154" s="29"/>
    </row>
    <row r="3155" customFormat="false" ht="15" hidden="false" customHeight="false" outlineLevel="0" collapsed="false">
      <c r="A3155" s="32" t="str">
        <f aca="false">IF(B3155="","",ROW()-7)</f>
        <v/>
      </c>
      <c r="B3155" s="30"/>
      <c r="C3155" s="29"/>
      <c r="D3155" s="29"/>
      <c r="E3155" s="29"/>
      <c r="F3155" s="30"/>
      <c r="G3155" s="29"/>
      <c r="H3155" s="30"/>
      <c r="I3155" s="29"/>
      <c r="J3155" s="30"/>
      <c r="K3155" s="30"/>
      <c r="L3155" s="29"/>
      <c r="M3155" s="32" t="str">
        <f aca="false">IF(OR(C3155="",L3155=""),"",IF(C3155=L3155,"同一","変更"))</f>
        <v/>
      </c>
      <c r="N3155" s="29"/>
      <c r="O3155" s="30"/>
      <c r="P3155" s="29"/>
      <c r="Q3155" s="31"/>
      <c r="R3155" s="29"/>
      <c r="S3155" s="29"/>
      <c r="T3155" s="30"/>
      <c r="U3155" s="47" t="str">
        <f aca="false">IF(AND(B3155&lt;&gt;"",B3155=SW別シート!$C$3),COUNTIF(B$5:B3155,B3155),"")</f>
        <v/>
      </c>
      <c r="V3155" s="47" t="n">
        <f aca="false">V3154+IF(OR(O3155&lt;&gt;"",W3155&lt;&gt;""),1,0)</f>
        <v>3</v>
      </c>
      <c r="W3155" s="29"/>
    </row>
    <row r="3156" customFormat="false" ht="15" hidden="false" customHeight="false" outlineLevel="0" collapsed="false">
      <c r="A3156" s="32" t="str">
        <f aca="false">IF(B3156="","",ROW()-7)</f>
        <v/>
      </c>
      <c r="B3156" s="30"/>
      <c r="C3156" s="29"/>
      <c r="D3156" s="29"/>
      <c r="E3156" s="29"/>
      <c r="F3156" s="30"/>
      <c r="G3156" s="29"/>
      <c r="H3156" s="30"/>
      <c r="I3156" s="29"/>
      <c r="J3156" s="30"/>
      <c r="K3156" s="30"/>
      <c r="L3156" s="29"/>
      <c r="M3156" s="32" t="str">
        <f aca="false">IF(OR(C3156="",L3156=""),"",IF(C3156=L3156,"同一","変更"))</f>
        <v/>
      </c>
      <c r="N3156" s="29"/>
      <c r="O3156" s="30"/>
      <c r="P3156" s="29"/>
      <c r="Q3156" s="31"/>
      <c r="R3156" s="29"/>
      <c r="S3156" s="29"/>
      <c r="T3156" s="30"/>
      <c r="U3156" s="47" t="str">
        <f aca="false">IF(AND(B3156&lt;&gt;"",B3156=SW別シート!$C$3),COUNTIF(B$5:B3156,B3156),"")</f>
        <v/>
      </c>
      <c r="V3156" s="47" t="n">
        <f aca="false">V3155+IF(OR(O3156&lt;&gt;"",W3156&lt;&gt;""),1,0)</f>
        <v>3</v>
      </c>
      <c r="W3156" s="29"/>
    </row>
    <row r="3157" customFormat="false" ht="15" hidden="false" customHeight="false" outlineLevel="0" collapsed="false">
      <c r="A3157" s="32" t="str">
        <f aca="false">IF(B3157="","",ROW()-7)</f>
        <v/>
      </c>
      <c r="B3157" s="30"/>
      <c r="C3157" s="29"/>
      <c r="D3157" s="29"/>
      <c r="E3157" s="29"/>
      <c r="F3157" s="30"/>
      <c r="G3157" s="29"/>
      <c r="H3157" s="30"/>
      <c r="I3157" s="29"/>
      <c r="J3157" s="30"/>
      <c r="K3157" s="30"/>
      <c r="L3157" s="29"/>
      <c r="M3157" s="32" t="str">
        <f aca="false">IF(OR(C3157="",L3157=""),"",IF(C3157=L3157,"同一","変更"))</f>
        <v/>
      </c>
      <c r="N3157" s="29"/>
      <c r="O3157" s="30"/>
      <c r="P3157" s="29"/>
      <c r="Q3157" s="31"/>
      <c r="R3157" s="29"/>
      <c r="S3157" s="29"/>
      <c r="T3157" s="30"/>
      <c r="U3157" s="47" t="str">
        <f aca="false">IF(AND(B3157&lt;&gt;"",B3157=SW別シート!$C$3),COUNTIF(B$5:B3157,B3157),"")</f>
        <v/>
      </c>
      <c r="V3157" s="47" t="n">
        <f aca="false">V3156+IF(OR(O3157&lt;&gt;"",W3157&lt;&gt;""),1,0)</f>
        <v>3</v>
      </c>
      <c r="W3157" s="29"/>
    </row>
    <row r="3158" customFormat="false" ht="15" hidden="false" customHeight="false" outlineLevel="0" collapsed="false">
      <c r="A3158" s="32" t="str">
        <f aca="false">IF(B3158="","",ROW()-7)</f>
        <v/>
      </c>
      <c r="B3158" s="30"/>
      <c r="C3158" s="29"/>
      <c r="D3158" s="29"/>
      <c r="E3158" s="29"/>
      <c r="F3158" s="30"/>
      <c r="G3158" s="29"/>
      <c r="H3158" s="30"/>
      <c r="I3158" s="29"/>
      <c r="J3158" s="30"/>
      <c r="K3158" s="30"/>
      <c r="L3158" s="29"/>
      <c r="M3158" s="32" t="str">
        <f aca="false">IF(OR(C3158="",L3158=""),"",IF(C3158=L3158,"同一","変更"))</f>
        <v/>
      </c>
      <c r="N3158" s="29"/>
      <c r="O3158" s="30"/>
      <c r="P3158" s="29"/>
      <c r="Q3158" s="31"/>
      <c r="R3158" s="29"/>
      <c r="S3158" s="29"/>
      <c r="T3158" s="30"/>
      <c r="U3158" s="47" t="str">
        <f aca="false">IF(AND(B3158&lt;&gt;"",B3158=SW別シート!$C$3),COUNTIF(B$5:B3158,B3158),"")</f>
        <v/>
      </c>
      <c r="V3158" s="47" t="n">
        <f aca="false">V3157+IF(OR(O3158&lt;&gt;"",W3158&lt;&gt;""),1,0)</f>
        <v>3</v>
      </c>
      <c r="W3158" s="29"/>
    </row>
    <row r="3159" customFormat="false" ht="15" hidden="false" customHeight="false" outlineLevel="0" collapsed="false">
      <c r="A3159" s="32" t="str">
        <f aca="false">IF(B3159="","",ROW()-7)</f>
        <v/>
      </c>
      <c r="B3159" s="30"/>
      <c r="C3159" s="29"/>
      <c r="D3159" s="29"/>
      <c r="E3159" s="29"/>
      <c r="F3159" s="30"/>
      <c r="G3159" s="29"/>
      <c r="H3159" s="30"/>
      <c r="I3159" s="29"/>
      <c r="J3159" s="30"/>
      <c r="K3159" s="30"/>
      <c r="L3159" s="29"/>
      <c r="M3159" s="32" t="str">
        <f aca="false">IF(OR(C3159="",L3159=""),"",IF(C3159=L3159,"同一","変更"))</f>
        <v/>
      </c>
      <c r="N3159" s="29"/>
      <c r="O3159" s="30"/>
      <c r="P3159" s="29"/>
      <c r="Q3159" s="31"/>
      <c r="R3159" s="29"/>
      <c r="S3159" s="29"/>
      <c r="T3159" s="30"/>
      <c r="U3159" s="47" t="str">
        <f aca="false">IF(AND(B3159&lt;&gt;"",B3159=SW別シート!$C$3),COUNTIF(B$5:B3159,B3159),"")</f>
        <v/>
      </c>
      <c r="V3159" s="47" t="n">
        <f aca="false">V3158+IF(OR(O3159&lt;&gt;"",W3159&lt;&gt;""),1,0)</f>
        <v>3</v>
      </c>
      <c r="W3159" s="29"/>
    </row>
    <row r="3160" customFormat="false" ht="15" hidden="false" customHeight="false" outlineLevel="0" collapsed="false">
      <c r="A3160" s="32" t="str">
        <f aca="false">IF(B3160="","",ROW()-7)</f>
        <v/>
      </c>
      <c r="B3160" s="30"/>
      <c r="C3160" s="29"/>
      <c r="D3160" s="29"/>
      <c r="E3160" s="29"/>
      <c r="F3160" s="30"/>
      <c r="G3160" s="29"/>
      <c r="H3160" s="30"/>
      <c r="I3160" s="29"/>
      <c r="J3160" s="30"/>
      <c r="K3160" s="30"/>
      <c r="L3160" s="29"/>
      <c r="M3160" s="32" t="str">
        <f aca="false">IF(OR(C3160="",L3160=""),"",IF(C3160=L3160,"同一","変更"))</f>
        <v/>
      </c>
      <c r="N3160" s="29"/>
      <c r="O3160" s="30"/>
      <c r="P3160" s="29"/>
      <c r="Q3160" s="31"/>
      <c r="R3160" s="29"/>
      <c r="S3160" s="29"/>
      <c r="T3160" s="30"/>
      <c r="U3160" s="47" t="str">
        <f aca="false">IF(AND(B3160&lt;&gt;"",B3160=SW別シート!$C$3),COUNTIF(B$5:B3160,B3160),"")</f>
        <v/>
      </c>
      <c r="V3160" s="47" t="n">
        <f aca="false">V3159+IF(OR(O3160&lt;&gt;"",W3160&lt;&gt;""),1,0)</f>
        <v>3</v>
      </c>
      <c r="W3160" s="29"/>
    </row>
    <row r="3161" customFormat="false" ht="15" hidden="false" customHeight="false" outlineLevel="0" collapsed="false">
      <c r="A3161" s="32" t="str">
        <f aca="false">IF(B3161="","",ROW()-7)</f>
        <v/>
      </c>
      <c r="B3161" s="30"/>
      <c r="C3161" s="29"/>
      <c r="D3161" s="29"/>
      <c r="E3161" s="29"/>
      <c r="F3161" s="30"/>
      <c r="G3161" s="29"/>
      <c r="H3161" s="30"/>
      <c r="I3161" s="29"/>
      <c r="J3161" s="30"/>
      <c r="K3161" s="30"/>
      <c r="L3161" s="29"/>
      <c r="M3161" s="32" t="str">
        <f aca="false">IF(OR(C3161="",L3161=""),"",IF(C3161=L3161,"同一","変更"))</f>
        <v/>
      </c>
      <c r="N3161" s="29"/>
      <c r="O3161" s="30"/>
      <c r="P3161" s="29"/>
      <c r="Q3161" s="31"/>
      <c r="R3161" s="29"/>
      <c r="S3161" s="29"/>
      <c r="T3161" s="30"/>
      <c r="U3161" s="47" t="str">
        <f aca="false">IF(AND(B3161&lt;&gt;"",B3161=SW別シート!$C$3),COUNTIF(B$5:B3161,B3161),"")</f>
        <v/>
      </c>
      <c r="V3161" s="47" t="n">
        <f aca="false">V3160+IF(OR(O3161&lt;&gt;"",W3161&lt;&gt;""),1,0)</f>
        <v>3</v>
      </c>
      <c r="W3161" s="29"/>
    </row>
    <row r="3162" customFormat="false" ht="15" hidden="false" customHeight="false" outlineLevel="0" collapsed="false">
      <c r="A3162" s="32" t="str">
        <f aca="false">IF(B3162="","",ROW()-7)</f>
        <v/>
      </c>
      <c r="B3162" s="30"/>
      <c r="C3162" s="29"/>
      <c r="D3162" s="29"/>
      <c r="E3162" s="29"/>
      <c r="F3162" s="30"/>
      <c r="G3162" s="29"/>
      <c r="H3162" s="30"/>
      <c r="I3162" s="29"/>
      <c r="J3162" s="30"/>
      <c r="K3162" s="30"/>
      <c r="L3162" s="29"/>
      <c r="M3162" s="32" t="str">
        <f aca="false">IF(OR(C3162="",L3162=""),"",IF(C3162=L3162,"同一","変更"))</f>
        <v/>
      </c>
      <c r="N3162" s="29"/>
      <c r="O3162" s="30"/>
      <c r="P3162" s="29"/>
      <c r="Q3162" s="31"/>
      <c r="R3162" s="29"/>
      <c r="S3162" s="29"/>
      <c r="T3162" s="30"/>
      <c r="U3162" s="47" t="str">
        <f aca="false">IF(AND(B3162&lt;&gt;"",B3162=SW別シート!$C$3),COUNTIF(B$5:B3162,B3162),"")</f>
        <v/>
      </c>
      <c r="V3162" s="47" t="n">
        <f aca="false">V3161+IF(OR(O3162&lt;&gt;"",W3162&lt;&gt;""),1,0)</f>
        <v>3</v>
      </c>
      <c r="W3162" s="29"/>
    </row>
    <row r="3163" customFormat="false" ht="15" hidden="false" customHeight="false" outlineLevel="0" collapsed="false">
      <c r="A3163" s="32" t="str">
        <f aca="false">IF(B3163="","",ROW()-7)</f>
        <v/>
      </c>
      <c r="B3163" s="30"/>
      <c r="C3163" s="29"/>
      <c r="D3163" s="29"/>
      <c r="E3163" s="29"/>
      <c r="F3163" s="30"/>
      <c r="G3163" s="29"/>
      <c r="H3163" s="30"/>
      <c r="I3163" s="29"/>
      <c r="J3163" s="30"/>
      <c r="K3163" s="30"/>
      <c r="L3163" s="29"/>
      <c r="M3163" s="32" t="str">
        <f aca="false">IF(OR(C3163="",L3163=""),"",IF(C3163=L3163,"同一","変更"))</f>
        <v/>
      </c>
      <c r="N3163" s="29"/>
      <c r="O3163" s="30"/>
      <c r="P3163" s="29"/>
      <c r="Q3163" s="31"/>
      <c r="R3163" s="29"/>
      <c r="S3163" s="29"/>
      <c r="T3163" s="30"/>
      <c r="U3163" s="47" t="str">
        <f aca="false">IF(AND(B3163&lt;&gt;"",B3163=SW別シート!$C$3),COUNTIF(B$5:B3163,B3163),"")</f>
        <v/>
      </c>
      <c r="V3163" s="47" t="n">
        <f aca="false">V3162+IF(OR(O3163&lt;&gt;"",W3163&lt;&gt;""),1,0)</f>
        <v>3</v>
      </c>
      <c r="W3163" s="29"/>
    </row>
    <row r="3164" customFormat="false" ht="15" hidden="false" customHeight="false" outlineLevel="0" collapsed="false">
      <c r="A3164" s="32" t="str">
        <f aca="false">IF(B3164="","",ROW()-7)</f>
        <v/>
      </c>
      <c r="B3164" s="30"/>
      <c r="C3164" s="29"/>
      <c r="D3164" s="29"/>
      <c r="E3164" s="29"/>
      <c r="F3164" s="30"/>
      <c r="G3164" s="29"/>
      <c r="H3164" s="30"/>
      <c r="I3164" s="29"/>
      <c r="J3164" s="30"/>
      <c r="K3164" s="30"/>
      <c r="L3164" s="29"/>
      <c r="M3164" s="32" t="str">
        <f aca="false">IF(OR(C3164="",L3164=""),"",IF(C3164=L3164,"同一","変更"))</f>
        <v/>
      </c>
      <c r="N3164" s="29"/>
      <c r="O3164" s="30"/>
      <c r="P3164" s="29"/>
      <c r="Q3164" s="31"/>
      <c r="R3164" s="29"/>
      <c r="S3164" s="29"/>
      <c r="T3164" s="30"/>
      <c r="U3164" s="47" t="str">
        <f aca="false">IF(AND(B3164&lt;&gt;"",B3164=SW別シート!$C$3),COUNTIF(B$5:B3164,B3164),"")</f>
        <v/>
      </c>
      <c r="V3164" s="47" t="n">
        <f aca="false">V3163+IF(OR(O3164&lt;&gt;"",W3164&lt;&gt;""),1,0)</f>
        <v>3</v>
      </c>
      <c r="W3164" s="29"/>
    </row>
    <row r="3165" customFormat="false" ht="15" hidden="false" customHeight="false" outlineLevel="0" collapsed="false">
      <c r="A3165" s="32" t="str">
        <f aca="false">IF(B3165="","",ROW()-7)</f>
        <v/>
      </c>
      <c r="B3165" s="30"/>
      <c r="C3165" s="29"/>
      <c r="D3165" s="29"/>
      <c r="E3165" s="29"/>
      <c r="F3165" s="30"/>
      <c r="G3165" s="29"/>
      <c r="H3165" s="30"/>
      <c r="I3165" s="29"/>
      <c r="J3165" s="30"/>
      <c r="K3165" s="30"/>
      <c r="L3165" s="29"/>
      <c r="M3165" s="32" t="str">
        <f aca="false">IF(OR(C3165="",L3165=""),"",IF(C3165=L3165,"同一","変更"))</f>
        <v/>
      </c>
      <c r="N3165" s="29"/>
      <c r="O3165" s="30"/>
      <c r="P3165" s="29"/>
      <c r="Q3165" s="31"/>
      <c r="R3165" s="29"/>
      <c r="S3165" s="29"/>
      <c r="T3165" s="30"/>
      <c r="U3165" s="47" t="str">
        <f aca="false">IF(AND(B3165&lt;&gt;"",B3165=SW別シート!$C$3),COUNTIF(B$5:B3165,B3165),"")</f>
        <v/>
      </c>
      <c r="V3165" s="47" t="n">
        <f aca="false">V3164+IF(OR(O3165&lt;&gt;"",W3165&lt;&gt;""),1,0)</f>
        <v>3</v>
      </c>
      <c r="W3165" s="29"/>
    </row>
    <row r="3166" customFormat="false" ht="15" hidden="false" customHeight="false" outlineLevel="0" collapsed="false">
      <c r="A3166" s="32" t="str">
        <f aca="false">IF(B3166="","",ROW()-7)</f>
        <v/>
      </c>
      <c r="B3166" s="30"/>
      <c r="C3166" s="29"/>
      <c r="D3166" s="29"/>
      <c r="E3166" s="29"/>
      <c r="F3166" s="30"/>
      <c r="G3166" s="29"/>
      <c r="H3166" s="30"/>
      <c r="I3166" s="29"/>
      <c r="J3166" s="30"/>
      <c r="K3166" s="30"/>
      <c r="L3166" s="29"/>
      <c r="M3166" s="32" t="str">
        <f aca="false">IF(OR(C3166="",L3166=""),"",IF(C3166=L3166,"同一","変更"))</f>
        <v/>
      </c>
      <c r="N3166" s="29"/>
      <c r="O3166" s="30"/>
      <c r="P3166" s="29"/>
      <c r="Q3166" s="31"/>
      <c r="R3166" s="29"/>
      <c r="S3166" s="29"/>
      <c r="T3166" s="30"/>
      <c r="U3166" s="47" t="str">
        <f aca="false">IF(AND(B3166&lt;&gt;"",B3166=SW別シート!$C$3),COUNTIF(B$5:B3166,B3166),"")</f>
        <v/>
      </c>
      <c r="V3166" s="47" t="n">
        <f aca="false">V3165+IF(OR(O3166&lt;&gt;"",W3166&lt;&gt;""),1,0)</f>
        <v>3</v>
      </c>
      <c r="W3166" s="29"/>
    </row>
    <row r="3167" customFormat="false" ht="15" hidden="false" customHeight="false" outlineLevel="0" collapsed="false">
      <c r="A3167" s="32" t="str">
        <f aca="false">IF(B3167="","",ROW()-7)</f>
        <v/>
      </c>
      <c r="B3167" s="30"/>
      <c r="C3167" s="29"/>
      <c r="D3167" s="29"/>
      <c r="E3167" s="29"/>
      <c r="F3167" s="30"/>
      <c r="G3167" s="29"/>
      <c r="H3167" s="30"/>
      <c r="I3167" s="29"/>
      <c r="J3167" s="30"/>
      <c r="K3167" s="30"/>
      <c r="L3167" s="29"/>
      <c r="M3167" s="32" t="str">
        <f aca="false">IF(OR(C3167="",L3167=""),"",IF(C3167=L3167,"同一","変更"))</f>
        <v/>
      </c>
      <c r="N3167" s="29"/>
      <c r="O3167" s="30"/>
      <c r="P3167" s="29"/>
      <c r="Q3167" s="31"/>
      <c r="R3167" s="29"/>
      <c r="S3167" s="29"/>
      <c r="T3167" s="30"/>
      <c r="U3167" s="47" t="str">
        <f aca="false">IF(AND(B3167&lt;&gt;"",B3167=SW別シート!$C$3),COUNTIF(B$5:B3167,B3167),"")</f>
        <v/>
      </c>
      <c r="V3167" s="47" t="n">
        <f aca="false">V3166+IF(OR(O3167&lt;&gt;"",W3167&lt;&gt;""),1,0)</f>
        <v>3</v>
      </c>
      <c r="W3167" s="29"/>
    </row>
    <row r="3168" customFormat="false" ht="15" hidden="false" customHeight="false" outlineLevel="0" collapsed="false">
      <c r="A3168" s="32" t="str">
        <f aca="false">IF(B3168="","",ROW()-7)</f>
        <v/>
      </c>
      <c r="B3168" s="30"/>
      <c r="C3168" s="29"/>
      <c r="D3168" s="29"/>
      <c r="E3168" s="29"/>
      <c r="F3168" s="30"/>
      <c r="G3168" s="29"/>
      <c r="H3168" s="30"/>
      <c r="I3168" s="29"/>
      <c r="J3168" s="30"/>
      <c r="K3168" s="30"/>
      <c r="L3168" s="29"/>
      <c r="M3168" s="32" t="str">
        <f aca="false">IF(OR(C3168="",L3168=""),"",IF(C3168=L3168,"同一","変更"))</f>
        <v/>
      </c>
      <c r="N3168" s="29"/>
      <c r="O3168" s="30"/>
      <c r="P3168" s="29"/>
      <c r="Q3168" s="31"/>
      <c r="R3168" s="29"/>
      <c r="S3168" s="29"/>
      <c r="T3168" s="30"/>
      <c r="U3168" s="47" t="str">
        <f aca="false">IF(AND(B3168&lt;&gt;"",B3168=SW別シート!$C$3),COUNTIF(B$5:B3168,B3168),"")</f>
        <v/>
      </c>
      <c r="V3168" s="47" t="n">
        <f aca="false">V3167+IF(OR(O3168&lt;&gt;"",W3168&lt;&gt;""),1,0)</f>
        <v>3</v>
      </c>
      <c r="W3168" s="29"/>
    </row>
    <row r="3169" customFormat="false" ht="15" hidden="false" customHeight="false" outlineLevel="0" collapsed="false">
      <c r="A3169" s="32" t="str">
        <f aca="false">IF(B3169="","",ROW()-7)</f>
        <v/>
      </c>
      <c r="B3169" s="30"/>
      <c r="C3169" s="29"/>
      <c r="D3169" s="29"/>
      <c r="E3169" s="29"/>
      <c r="F3169" s="30"/>
      <c r="G3169" s="29"/>
      <c r="H3169" s="30"/>
      <c r="I3169" s="29"/>
      <c r="J3169" s="30"/>
      <c r="K3169" s="30"/>
      <c r="L3169" s="29"/>
      <c r="M3169" s="32" t="str">
        <f aca="false">IF(OR(C3169="",L3169=""),"",IF(C3169=L3169,"同一","変更"))</f>
        <v/>
      </c>
      <c r="N3169" s="29"/>
      <c r="O3169" s="30"/>
      <c r="P3169" s="29"/>
      <c r="Q3169" s="31"/>
      <c r="R3169" s="29"/>
      <c r="S3169" s="29"/>
      <c r="T3169" s="30"/>
      <c r="U3169" s="47" t="str">
        <f aca="false">IF(AND(B3169&lt;&gt;"",B3169=SW別シート!$C$3),COUNTIF(B$5:B3169,B3169),"")</f>
        <v/>
      </c>
      <c r="V3169" s="47" t="n">
        <f aca="false">V3168+IF(OR(O3169&lt;&gt;"",W3169&lt;&gt;""),1,0)</f>
        <v>3</v>
      </c>
      <c r="W3169" s="29"/>
    </row>
    <row r="3170" customFormat="false" ht="15" hidden="false" customHeight="false" outlineLevel="0" collapsed="false">
      <c r="A3170" s="32" t="str">
        <f aca="false">IF(B3170="","",ROW()-7)</f>
        <v/>
      </c>
      <c r="B3170" s="30"/>
      <c r="C3170" s="29"/>
      <c r="D3170" s="29"/>
      <c r="E3170" s="29"/>
      <c r="F3170" s="30"/>
      <c r="G3170" s="29"/>
      <c r="H3170" s="30"/>
      <c r="I3170" s="29"/>
      <c r="J3170" s="30"/>
      <c r="K3170" s="30"/>
      <c r="L3170" s="29"/>
      <c r="M3170" s="32" t="str">
        <f aca="false">IF(OR(C3170="",L3170=""),"",IF(C3170=L3170,"同一","変更"))</f>
        <v/>
      </c>
      <c r="N3170" s="29"/>
      <c r="O3170" s="30"/>
      <c r="P3170" s="29"/>
      <c r="Q3170" s="31"/>
      <c r="R3170" s="29"/>
      <c r="S3170" s="29"/>
      <c r="T3170" s="30"/>
      <c r="U3170" s="47" t="str">
        <f aca="false">IF(AND(B3170&lt;&gt;"",B3170=SW別シート!$C$3),COUNTIF(B$5:B3170,B3170),"")</f>
        <v/>
      </c>
      <c r="V3170" s="47" t="n">
        <f aca="false">V3169+IF(OR(O3170&lt;&gt;"",W3170&lt;&gt;""),1,0)</f>
        <v>3</v>
      </c>
      <c r="W3170" s="29"/>
    </row>
    <row r="3171" customFormat="false" ht="15" hidden="false" customHeight="false" outlineLevel="0" collapsed="false">
      <c r="A3171" s="32" t="str">
        <f aca="false">IF(B3171="","",ROW()-7)</f>
        <v/>
      </c>
      <c r="B3171" s="30"/>
      <c r="C3171" s="29"/>
      <c r="D3171" s="29"/>
      <c r="E3171" s="29"/>
      <c r="F3171" s="30"/>
      <c r="G3171" s="29"/>
      <c r="H3171" s="30"/>
      <c r="I3171" s="29"/>
      <c r="J3171" s="30"/>
      <c r="K3171" s="30"/>
      <c r="L3171" s="29"/>
      <c r="M3171" s="32" t="str">
        <f aca="false">IF(OR(C3171="",L3171=""),"",IF(C3171=L3171,"同一","変更"))</f>
        <v/>
      </c>
      <c r="N3171" s="29"/>
      <c r="O3171" s="30"/>
      <c r="P3171" s="29"/>
      <c r="Q3171" s="31"/>
      <c r="R3171" s="29"/>
      <c r="S3171" s="29"/>
      <c r="T3171" s="30"/>
      <c r="U3171" s="47" t="str">
        <f aca="false">IF(AND(B3171&lt;&gt;"",B3171=SW別シート!$C$3),COUNTIF(B$5:B3171,B3171),"")</f>
        <v/>
      </c>
      <c r="V3171" s="47" t="n">
        <f aca="false">V3170+IF(OR(O3171&lt;&gt;"",W3171&lt;&gt;""),1,0)</f>
        <v>3</v>
      </c>
      <c r="W3171" s="29"/>
    </row>
    <row r="3172" customFormat="false" ht="15" hidden="false" customHeight="false" outlineLevel="0" collapsed="false">
      <c r="A3172" s="32" t="str">
        <f aca="false">IF(B3172="","",ROW()-7)</f>
        <v/>
      </c>
      <c r="B3172" s="30"/>
      <c r="C3172" s="29"/>
      <c r="D3172" s="29"/>
      <c r="E3172" s="29"/>
      <c r="F3172" s="30"/>
      <c r="G3172" s="29"/>
      <c r="H3172" s="30"/>
      <c r="I3172" s="29"/>
      <c r="J3172" s="30"/>
      <c r="K3172" s="30"/>
      <c r="L3172" s="29"/>
      <c r="M3172" s="32" t="str">
        <f aca="false">IF(OR(C3172="",L3172=""),"",IF(C3172=L3172,"同一","変更"))</f>
        <v/>
      </c>
      <c r="N3172" s="29"/>
      <c r="O3172" s="30"/>
      <c r="P3172" s="29"/>
      <c r="Q3172" s="31"/>
      <c r="R3172" s="29"/>
      <c r="S3172" s="29"/>
      <c r="T3172" s="30"/>
      <c r="U3172" s="47" t="str">
        <f aca="false">IF(AND(B3172&lt;&gt;"",B3172=SW別シート!$C$3),COUNTIF(B$5:B3172,B3172),"")</f>
        <v/>
      </c>
      <c r="V3172" s="47" t="n">
        <f aca="false">V3171+IF(OR(O3172&lt;&gt;"",W3172&lt;&gt;""),1,0)</f>
        <v>3</v>
      </c>
      <c r="W3172" s="29"/>
    </row>
    <row r="3173" customFormat="false" ht="15" hidden="false" customHeight="false" outlineLevel="0" collapsed="false">
      <c r="A3173" s="32" t="str">
        <f aca="false">IF(B3173="","",ROW()-7)</f>
        <v/>
      </c>
      <c r="B3173" s="30"/>
      <c r="C3173" s="29"/>
      <c r="D3173" s="29"/>
      <c r="E3173" s="29"/>
      <c r="F3173" s="30"/>
      <c r="G3173" s="29"/>
      <c r="H3173" s="30"/>
      <c r="I3173" s="29"/>
      <c r="J3173" s="30"/>
      <c r="K3173" s="30"/>
      <c r="L3173" s="29"/>
      <c r="M3173" s="32" t="str">
        <f aca="false">IF(OR(C3173="",L3173=""),"",IF(C3173=L3173,"同一","変更"))</f>
        <v/>
      </c>
      <c r="N3173" s="29"/>
      <c r="O3173" s="30"/>
      <c r="P3173" s="29"/>
      <c r="Q3173" s="31"/>
      <c r="R3173" s="29"/>
      <c r="S3173" s="29"/>
      <c r="T3173" s="30"/>
      <c r="U3173" s="47" t="str">
        <f aca="false">IF(AND(B3173&lt;&gt;"",B3173=SW別シート!$C$3),COUNTIF(B$5:B3173,B3173),"")</f>
        <v/>
      </c>
      <c r="V3173" s="47" t="n">
        <f aca="false">V3172+IF(OR(O3173&lt;&gt;"",W3173&lt;&gt;""),1,0)</f>
        <v>3</v>
      </c>
      <c r="W3173" s="29"/>
    </row>
    <row r="3174" customFormat="false" ht="15" hidden="false" customHeight="false" outlineLevel="0" collapsed="false">
      <c r="A3174" s="32" t="str">
        <f aca="false">IF(B3174="","",ROW()-7)</f>
        <v/>
      </c>
      <c r="B3174" s="30"/>
      <c r="C3174" s="29"/>
      <c r="D3174" s="29"/>
      <c r="E3174" s="29"/>
      <c r="F3174" s="30"/>
      <c r="G3174" s="29"/>
      <c r="H3174" s="30"/>
      <c r="I3174" s="29"/>
      <c r="J3174" s="30"/>
      <c r="K3174" s="30"/>
      <c r="L3174" s="29"/>
      <c r="M3174" s="32" t="str">
        <f aca="false">IF(OR(C3174="",L3174=""),"",IF(C3174=L3174,"同一","変更"))</f>
        <v/>
      </c>
      <c r="N3174" s="29"/>
      <c r="O3174" s="30"/>
      <c r="P3174" s="29"/>
      <c r="Q3174" s="31"/>
      <c r="R3174" s="29"/>
      <c r="S3174" s="29"/>
      <c r="T3174" s="30"/>
      <c r="U3174" s="47" t="str">
        <f aca="false">IF(AND(B3174&lt;&gt;"",B3174=SW別シート!$C$3),COUNTIF(B$5:B3174,B3174),"")</f>
        <v/>
      </c>
      <c r="V3174" s="47" t="n">
        <f aca="false">V3173+IF(OR(O3174&lt;&gt;"",W3174&lt;&gt;""),1,0)</f>
        <v>3</v>
      </c>
      <c r="W3174" s="29"/>
    </row>
    <row r="3175" customFormat="false" ht="15" hidden="false" customHeight="false" outlineLevel="0" collapsed="false">
      <c r="A3175" s="32" t="str">
        <f aca="false">IF(B3175="","",ROW()-7)</f>
        <v/>
      </c>
      <c r="B3175" s="30"/>
      <c r="C3175" s="29"/>
      <c r="D3175" s="29"/>
      <c r="E3175" s="29"/>
      <c r="F3175" s="30"/>
      <c r="G3175" s="29"/>
      <c r="H3175" s="30"/>
      <c r="I3175" s="29"/>
      <c r="J3175" s="30"/>
      <c r="K3175" s="30"/>
      <c r="L3175" s="29"/>
      <c r="M3175" s="32" t="str">
        <f aca="false">IF(OR(C3175="",L3175=""),"",IF(C3175=L3175,"同一","変更"))</f>
        <v/>
      </c>
      <c r="N3175" s="29"/>
      <c r="O3175" s="30"/>
      <c r="P3175" s="29"/>
      <c r="Q3175" s="31"/>
      <c r="R3175" s="29"/>
      <c r="S3175" s="29"/>
      <c r="T3175" s="30"/>
      <c r="U3175" s="47" t="str">
        <f aca="false">IF(AND(B3175&lt;&gt;"",B3175=SW別シート!$C$3),COUNTIF(B$5:B3175,B3175),"")</f>
        <v/>
      </c>
      <c r="V3175" s="47" t="n">
        <f aca="false">V3174+IF(OR(O3175&lt;&gt;"",W3175&lt;&gt;""),1,0)</f>
        <v>3</v>
      </c>
      <c r="W3175" s="29"/>
    </row>
    <row r="3176" customFormat="false" ht="15" hidden="false" customHeight="false" outlineLevel="0" collapsed="false">
      <c r="A3176" s="32" t="str">
        <f aca="false">IF(B3176="","",ROW()-7)</f>
        <v/>
      </c>
      <c r="B3176" s="30"/>
      <c r="C3176" s="29"/>
      <c r="D3176" s="29"/>
      <c r="E3176" s="29"/>
      <c r="F3176" s="30"/>
      <c r="G3176" s="29"/>
      <c r="H3176" s="30"/>
      <c r="I3176" s="29"/>
      <c r="J3176" s="30"/>
      <c r="K3176" s="30"/>
      <c r="L3176" s="29"/>
      <c r="M3176" s="32" t="str">
        <f aca="false">IF(OR(C3176="",L3176=""),"",IF(C3176=L3176,"同一","変更"))</f>
        <v/>
      </c>
      <c r="N3176" s="29"/>
      <c r="O3176" s="30"/>
      <c r="P3176" s="29"/>
      <c r="Q3176" s="31"/>
      <c r="R3176" s="29"/>
      <c r="S3176" s="29"/>
      <c r="T3176" s="30"/>
      <c r="U3176" s="47" t="str">
        <f aca="false">IF(AND(B3176&lt;&gt;"",B3176=SW別シート!$C$3),COUNTIF(B$5:B3176,B3176),"")</f>
        <v/>
      </c>
      <c r="V3176" s="47" t="n">
        <f aca="false">V3175+IF(OR(O3176&lt;&gt;"",W3176&lt;&gt;""),1,0)</f>
        <v>3</v>
      </c>
      <c r="W3176" s="29"/>
    </row>
    <row r="3177" customFormat="false" ht="15" hidden="false" customHeight="false" outlineLevel="0" collapsed="false">
      <c r="A3177" s="32" t="str">
        <f aca="false">IF(B3177="","",ROW()-7)</f>
        <v/>
      </c>
      <c r="B3177" s="30"/>
      <c r="C3177" s="29"/>
      <c r="D3177" s="29"/>
      <c r="E3177" s="29"/>
      <c r="F3177" s="30"/>
      <c r="G3177" s="29"/>
      <c r="H3177" s="30"/>
      <c r="I3177" s="29"/>
      <c r="J3177" s="30"/>
      <c r="K3177" s="30"/>
      <c r="L3177" s="29"/>
      <c r="M3177" s="32" t="str">
        <f aca="false">IF(OR(C3177="",L3177=""),"",IF(C3177=L3177,"同一","変更"))</f>
        <v/>
      </c>
      <c r="N3177" s="29"/>
      <c r="O3177" s="30"/>
      <c r="P3177" s="29"/>
      <c r="Q3177" s="31"/>
      <c r="R3177" s="29"/>
      <c r="S3177" s="29"/>
      <c r="T3177" s="30"/>
      <c r="U3177" s="47" t="str">
        <f aca="false">IF(AND(B3177&lt;&gt;"",B3177=SW別シート!$C$3),COUNTIF(B$5:B3177,B3177),"")</f>
        <v/>
      </c>
      <c r="V3177" s="47" t="n">
        <f aca="false">V3176+IF(OR(O3177&lt;&gt;"",W3177&lt;&gt;""),1,0)</f>
        <v>3</v>
      </c>
      <c r="W3177" s="29"/>
    </row>
    <row r="3178" customFormat="false" ht="15" hidden="false" customHeight="false" outlineLevel="0" collapsed="false">
      <c r="A3178" s="32" t="str">
        <f aca="false">IF(B3178="","",ROW()-7)</f>
        <v/>
      </c>
      <c r="B3178" s="30"/>
      <c r="C3178" s="29"/>
      <c r="D3178" s="29"/>
      <c r="E3178" s="29"/>
      <c r="F3178" s="30"/>
      <c r="G3178" s="29"/>
      <c r="H3178" s="30"/>
      <c r="I3178" s="29"/>
      <c r="J3178" s="30"/>
      <c r="K3178" s="30"/>
      <c r="L3178" s="29"/>
      <c r="M3178" s="32" t="str">
        <f aca="false">IF(OR(C3178="",L3178=""),"",IF(C3178=L3178,"同一","変更"))</f>
        <v/>
      </c>
      <c r="N3178" s="29"/>
      <c r="O3178" s="30"/>
      <c r="P3178" s="29"/>
      <c r="Q3178" s="31"/>
      <c r="R3178" s="29"/>
      <c r="S3178" s="29"/>
      <c r="T3178" s="30"/>
      <c r="U3178" s="47" t="str">
        <f aca="false">IF(AND(B3178&lt;&gt;"",B3178=SW別シート!$C$3),COUNTIF(B$5:B3178,B3178),"")</f>
        <v/>
      </c>
      <c r="V3178" s="47" t="n">
        <f aca="false">V3177+IF(OR(O3178&lt;&gt;"",W3178&lt;&gt;""),1,0)</f>
        <v>3</v>
      </c>
      <c r="W3178" s="29"/>
    </row>
    <row r="3179" customFormat="false" ht="15" hidden="false" customHeight="false" outlineLevel="0" collapsed="false">
      <c r="A3179" s="32" t="str">
        <f aca="false">IF(B3179="","",ROW()-7)</f>
        <v/>
      </c>
      <c r="B3179" s="30"/>
      <c r="C3179" s="29"/>
      <c r="D3179" s="29"/>
      <c r="E3179" s="29"/>
      <c r="F3179" s="30"/>
      <c r="G3179" s="29"/>
      <c r="H3179" s="30"/>
      <c r="I3179" s="29"/>
      <c r="J3179" s="30"/>
      <c r="K3179" s="30"/>
      <c r="L3179" s="29"/>
      <c r="M3179" s="32" t="str">
        <f aca="false">IF(OR(C3179="",L3179=""),"",IF(C3179=L3179,"同一","変更"))</f>
        <v/>
      </c>
      <c r="N3179" s="29"/>
      <c r="O3179" s="30"/>
      <c r="P3179" s="29"/>
      <c r="Q3179" s="31"/>
      <c r="R3179" s="29"/>
      <c r="S3179" s="29"/>
      <c r="T3179" s="30"/>
      <c r="U3179" s="47" t="str">
        <f aca="false">IF(AND(B3179&lt;&gt;"",B3179=SW別シート!$C$3),COUNTIF(B$5:B3179,B3179),"")</f>
        <v/>
      </c>
      <c r="V3179" s="47" t="n">
        <f aca="false">V3178+IF(OR(O3179&lt;&gt;"",W3179&lt;&gt;""),1,0)</f>
        <v>3</v>
      </c>
      <c r="W3179" s="29"/>
    </row>
    <row r="3180" customFormat="false" ht="15" hidden="false" customHeight="false" outlineLevel="0" collapsed="false">
      <c r="A3180" s="32" t="str">
        <f aca="false">IF(B3180="","",ROW()-7)</f>
        <v/>
      </c>
      <c r="B3180" s="30"/>
      <c r="C3180" s="29"/>
      <c r="D3180" s="29"/>
      <c r="E3180" s="29"/>
      <c r="F3180" s="30"/>
      <c r="G3180" s="29"/>
      <c r="H3180" s="30"/>
      <c r="I3180" s="29"/>
      <c r="J3180" s="30"/>
      <c r="K3180" s="30"/>
      <c r="L3180" s="29"/>
      <c r="M3180" s="32" t="str">
        <f aca="false">IF(OR(C3180="",L3180=""),"",IF(C3180=L3180,"同一","変更"))</f>
        <v/>
      </c>
      <c r="N3180" s="29"/>
      <c r="O3180" s="30"/>
      <c r="P3180" s="29"/>
      <c r="Q3180" s="31"/>
      <c r="R3180" s="29"/>
      <c r="S3180" s="29"/>
      <c r="T3180" s="30"/>
      <c r="U3180" s="47" t="str">
        <f aca="false">IF(AND(B3180&lt;&gt;"",B3180=SW別シート!$C$3),COUNTIF(B$5:B3180,B3180),"")</f>
        <v/>
      </c>
      <c r="V3180" s="47" t="n">
        <f aca="false">V3179+IF(OR(O3180&lt;&gt;"",W3180&lt;&gt;""),1,0)</f>
        <v>3</v>
      </c>
      <c r="W3180" s="29"/>
    </row>
    <row r="3181" customFormat="false" ht="15" hidden="false" customHeight="false" outlineLevel="0" collapsed="false">
      <c r="A3181" s="32" t="str">
        <f aca="false">IF(B3181="","",ROW()-7)</f>
        <v/>
      </c>
      <c r="B3181" s="30"/>
      <c r="C3181" s="29"/>
      <c r="D3181" s="29"/>
      <c r="E3181" s="29"/>
      <c r="F3181" s="30"/>
      <c r="G3181" s="29"/>
      <c r="H3181" s="30"/>
      <c r="I3181" s="29"/>
      <c r="J3181" s="30"/>
      <c r="K3181" s="30"/>
      <c r="L3181" s="29"/>
      <c r="M3181" s="32" t="str">
        <f aca="false">IF(OR(C3181="",L3181=""),"",IF(C3181=L3181,"同一","変更"))</f>
        <v/>
      </c>
      <c r="N3181" s="29"/>
      <c r="O3181" s="30"/>
      <c r="P3181" s="29"/>
      <c r="Q3181" s="31"/>
      <c r="R3181" s="29"/>
      <c r="S3181" s="29"/>
      <c r="T3181" s="30"/>
      <c r="U3181" s="47" t="str">
        <f aca="false">IF(AND(B3181&lt;&gt;"",B3181=SW別シート!$C$3),COUNTIF(B$5:B3181,B3181),"")</f>
        <v/>
      </c>
      <c r="V3181" s="47" t="n">
        <f aca="false">V3180+IF(OR(O3181&lt;&gt;"",W3181&lt;&gt;""),1,0)</f>
        <v>3</v>
      </c>
      <c r="W3181" s="29"/>
    </row>
    <row r="3182" customFormat="false" ht="15" hidden="false" customHeight="false" outlineLevel="0" collapsed="false">
      <c r="A3182" s="32" t="str">
        <f aca="false">IF(B3182="","",ROW()-7)</f>
        <v/>
      </c>
      <c r="B3182" s="30"/>
      <c r="C3182" s="29"/>
      <c r="D3182" s="29"/>
      <c r="E3182" s="29"/>
      <c r="F3182" s="30"/>
      <c r="G3182" s="29"/>
      <c r="H3182" s="30"/>
      <c r="I3182" s="29"/>
      <c r="J3182" s="30"/>
      <c r="K3182" s="30"/>
      <c r="L3182" s="29"/>
      <c r="M3182" s="32" t="str">
        <f aca="false">IF(OR(C3182="",L3182=""),"",IF(C3182=L3182,"同一","変更"))</f>
        <v/>
      </c>
      <c r="N3182" s="29"/>
      <c r="O3182" s="30"/>
      <c r="P3182" s="29"/>
      <c r="Q3182" s="31"/>
      <c r="R3182" s="29"/>
      <c r="S3182" s="29"/>
      <c r="T3182" s="30"/>
      <c r="U3182" s="47" t="str">
        <f aca="false">IF(AND(B3182&lt;&gt;"",B3182=SW別シート!$C$3),COUNTIF(B$5:B3182,B3182),"")</f>
        <v/>
      </c>
      <c r="V3182" s="47" t="n">
        <f aca="false">V3181+IF(OR(O3182&lt;&gt;"",W3182&lt;&gt;""),1,0)</f>
        <v>3</v>
      </c>
      <c r="W3182" s="29"/>
    </row>
    <row r="3183" customFormat="false" ht="15" hidden="false" customHeight="false" outlineLevel="0" collapsed="false">
      <c r="A3183" s="32" t="str">
        <f aca="false">IF(B3183="","",ROW()-7)</f>
        <v/>
      </c>
      <c r="B3183" s="30"/>
      <c r="C3183" s="29"/>
      <c r="D3183" s="29"/>
      <c r="E3183" s="29"/>
      <c r="F3183" s="30"/>
      <c r="G3183" s="29"/>
      <c r="H3183" s="30"/>
      <c r="I3183" s="29"/>
      <c r="J3183" s="30"/>
      <c r="K3183" s="30"/>
      <c r="L3183" s="29"/>
      <c r="M3183" s="32" t="str">
        <f aca="false">IF(OR(C3183="",L3183=""),"",IF(C3183=L3183,"同一","変更"))</f>
        <v/>
      </c>
      <c r="N3183" s="29"/>
      <c r="O3183" s="30"/>
      <c r="P3183" s="29"/>
      <c r="Q3183" s="31"/>
      <c r="R3183" s="29"/>
      <c r="S3183" s="29"/>
      <c r="T3183" s="30"/>
      <c r="U3183" s="47" t="str">
        <f aca="false">IF(AND(B3183&lt;&gt;"",B3183=SW別シート!$C$3),COUNTIF(B$5:B3183,B3183),"")</f>
        <v/>
      </c>
      <c r="V3183" s="47" t="n">
        <f aca="false">V3182+IF(OR(O3183&lt;&gt;"",W3183&lt;&gt;""),1,0)</f>
        <v>3</v>
      </c>
      <c r="W3183" s="29"/>
    </row>
    <row r="3184" customFormat="false" ht="15" hidden="false" customHeight="false" outlineLevel="0" collapsed="false">
      <c r="A3184" s="32" t="str">
        <f aca="false">IF(B3184="","",ROW()-7)</f>
        <v/>
      </c>
      <c r="B3184" s="30"/>
      <c r="C3184" s="29"/>
      <c r="D3184" s="29"/>
      <c r="E3184" s="29"/>
      <c r="F3184" s="30"/>
      <c r="G3184" s="29"/>
      <c r="H3184" s="30"/>
      <c r="I3184" s="29"/>
      <c r="J3184" s="30"/>
      <c r="K3184" s="30"/>
      <c r="L3184" s="29"/>
      <c r="M3184" s="32" t="str">
        <f aca="false">IF(OR(C3184="",L3184=""),"",IF(C3184=L3184,"同一","変更"))</f>
        <v/>
      </c>
      <c r="N3184" s="29"/>
      <c r="O3184" s="30"/>
      <c r="P3184" s="29"/>
      <c r="Q3184" s="31"/>
      <c r="R3184" s="29"/>
      <c r="S3184" s="29"/>
      <c r="T3184" s="30"/>
      <c r="U3184" s="47" t="str">
        <f aca="false">IF(AND(B3184&lt;&gt;"",B3184=SW別シート!$C$3),COUNTIF(B$5:B3184,B3184),"")</f>
        <v/>
      </c>
      <c r="V3184" s="47" t="n">
        <f aca="false">V3183+IF(OR(O3184&lt;&gt;"",W3184&lt;&gt;""),1,0)</f>
        <v>3</v>
      </c>
      <c r="W3184" s="29"/>
    </row>
    <row r="3185" customFormat="false" ht="15" hidden="false" customHeight="false" outlineLevel="0" collapsed="false">
      <c r="A3185" s="32" t="str">
        <f aca="false">IF(B3185="","",ROW()-7)</f>
        <v/>
      </c>
      <c r="B3185" s="30"/>
      <c r="C3185" s="29"/>
      <c r="D3185" s="29"/>
      <c r="E3185" s="29"/>
      <c r="F3185" s="30"/>
      <c r="G3185" s="29"/>
      <c r="H3185" s="30"/>
      <c r="I3185" s="29"/>
      <c r="J3185" s="30"/>
      <c r="K3185" s="30"/>
      <c r="L3185" s="29"/>
      <c r="M3185" s="32" t="str">
        <f aca="false">IF(OR(C3185="",L3185=""),"",IF(C3185=L3185,"同一","変更"))</f>
        <v/>
      </c>
      <c r="N3185" s="29"/>
      <c r="O3185" s="30"/>
      <c r="P3185" s="29"/>
      <c r="Q3185" s="31"/>
      <c r="R3185" s="29"/>
      <c r="S3185" s="29"/>
      <c r="T3185" s="30"/>
      <c r="U3185" s="47" t="str">
        <f aca="false">IF(AND(B3185&lt;&gt;"",B3185=SW別シート!$C$3),COUNTIF(B$5:B3185,B3185),"")</f>
        <v/>
      </c>
      <c r="V3185" s="47" t="n">
        <f aca="false">V3184+IF(OR(O3185&lt;&gt;"",W3185&lt;&gt;""),1,0)</f>
        <v>3</v>
      </c>
      <c r="W3185" s="29"/>
    </row>
    <row r="3186" customFormat="false" ht="15" hidden="false" customHeight="false" outlineLevel="0" collapsed="false">
      <c r="A3186" s="32" t="str">
        <f aca="false">IF(B3186="","",ROW()-7)</f>
        <v/>
      </c>
      <c r="B3186" s="30"/>
      <c r="C3186" s="29"/>
      <c r="D3186" s="29"/>
      <c r="E3186" s="29"/>
      <c r="F3186" s="30"/>
      <c r="G3186" s="29"/>
      <c r="H3186" s="30"/>
      <c r="I3186" s="29"/>
      <c r="J3186" s="30"/>
      <c r="K3186" s="30"/>
      <c r="L3186" s="29"/>
      <c r="M3186" s="32" t="str">
        <f aca="false">IF(OR(C3186="",L3186=""),"",IF(C3186=L3186,"同一","変更"))</f>
        <v/>
      </c>
      <c r="N3186" s="29"/>
      <c r="O3186" s="30"/>
      <c r="P3186" s="29"/>
      <c r="Q3186" s="31"/>
      <c r="R3186" s="29"/>
      <c r="S3186" s="29"/>
      <c r="T3186" s="30"/>
      <c r="U3186" s="47" t="str">
        <f aca="false">IF(AND(B3186&lt;&gt;"",B3186=SW別シート!$C$3),COUNTIF(B$5:B3186,B3186),"")</f>
        <v/>
      </c>
      <c r="V3186" s="47" t="n">
        <f aca="false">V3185+IF(OR(O3186&lt;&gt;"",W3186&lt;&gt;""),1,0)</f>
        <v>3</v>
      </c>
      <c r="W3186" s="29"/>
    </row>
    <row r="3187" customFormat="false" ht="15" hidden="false" customHeight="false" outlineLevel="0" collapsed="false">
      <c r="A3187" s="32" t="str">
        <f aca="false">IF(B3187="","",ROW()-7)</f>
        <v/>
      </c>
      <c r="B3187" s="30"/>
      <c r="C3187" s="29"/>
      <c r="D3187" s="29"/>
      <c r="E3187" s="29"/>
      <c r="F3187" s="30"/>
      <c r="G3187" s="29"/>
      <c r="H3187" s="30"/>
      <c r="I3187" s="29"/>
      <c r="J3187" s="30"/>
      <c r="K3187" s="30"/>
      <c r="L3187" s="29"/>
      <c r="M3187" s="32" t="str">
        <f aca="false">IF(OR(C3187="",L3187=""),"",IF(C3187=L3187,"同一","変更"))</f>
        <v/>
      </c>
      <c r="N3187" s="29"/>
      <c r="O3187" s="30"/>
      <c r="P3187" s="29"/>
      <c r="Q3187" s="31"/>
      <c r="R3187" s="29"/>
      <c r="S3187" s="29"/>
      <c r="T3187" s="30"/>
      <c r="U3187" s="47" t="str">
        <f aca="false">IF(AND(B3187&lt;&gt;"",B3187=SW別シート!$C$3),COUNTIF(B$5:B3187,B3187),"")</f>
        <v/>
      </c>
      <c r="V3187" s="47" t="n">
        <f aca="false">V3186+IF(OR(O3187&lt;&gt;"",W3187&lt;&gt;""),1,0)</f>
        <v>3</v>
      </c>
      <c r="W3187" s="29"/>
    </row>
    <row r="3188" customFormat="false" ht="15" hidden="false" customHeight="false" outlineLevel="0" collapsed="false">
      <c r="A3188" s="32" t="str">
        <f aca="false">IF(B3188="","",ROW()-7)</f>
        <v/>
      </c>
      <c r="B3188" s="30"/>
      <c r="C3188" s="29"/>
      <c r="D3188" s="29"/>
      <c r="E3188" s="29"/>
      <c r="F3188" s="30"/>
      <c r="G3188" s="29"/>
      <c r="H3188" s="30"/>
      <c r="I3188" s="29"/>
      <c r="J3188" s="30"/>
      <c r="K3188" s="30"/>
      <c r="L3188" s="29"/>
      <c r="M3188" s="32" t="str">
        <f aca="false">IF(OR(C3188="",L3188=""),"",IF(C3188=L3188,"同一","変更"))</f>
        <v/>
      </c>
      <c r="N3188" s="29"/>
      <c r="O3188" s="30"/>
      <c r="P3188" s="29"/>
      <c r="Q3188" s="31"/>
      <c r="R3188" s="29"/>
      <c r="S3188" s="29"/>
      <c r="T3188" s="30"/>
      <c r="U3188" s="47" t="str">
        <f aca="false">IF(AND(B3188&lt;&gt;"",B3188=SW別シート!$C$3),COUNTIF(B$5:B3188,B3188),"")</f>
        <v/>
      </c>
      <c r="V3188" s="47" t="n">
        <f aca="false">V3187+IF(OR(O3188&lt;&gt;"",W3188&lt;&gt;""),1,0)</f>
        <v>3</v>
      </c>
      <c r="W3188" s="29"/>
    </row>
    <row r="3189" customFormat="false" ht="15" hidden="false" customHeight="false" outlineLevel="0" collapsed="false">
      <c r="A3189" s="32" t="str">
        <f aca="false">IF(B3189="","",ROW()-7)</f>
        <v/>
      </c>
      <c r="B3189" s="30"/>
      <c r="C3189" s="29"/>
      <c r="D3189" s="29"/>
      <c r="E3189" s="29"/>
      <c r="F3189" s="30"/>
      <c r="G3189" s="29"/>
      <c r="H3189" s="30"/>
      <c r="I3189" s="29"/>
      <c r="J3189" s="30"/>
      <c r="K3189" s="30"/>
      <c r="L3189" s="29"/>
      <c r="M3189" s="32" t="str">
        <f aca="false">IF(OR(C3189="",L3189=""),"",IF(C3189=L3189,"同一","変更"))</f>
        <v/>
      </c>
      <c r="N3189" s="29"/>
      <c r="O3189" s="30"/>
      <c r="P3189" s="29"/>
      <c r="Q3189" s="31"/>
      <c r="R3189" s="29"/>
      <c r="S3189" s="29"/>
      <c r="T3189" s="30"/>
      <c r="U3189" s="47" t="str">
        <f aca="false">IF(AND(B3189&lt;&gt;"",B3189=SW別シート!$C$3),COUNTIF(B$5:B3189,B3189),"")</f>
        <v/>
      </c>
      <c r="V3189" s="47" t="n">
        <f aca="false">V3188+IF(OR(O3189&lt;&gt;"",W3189&lt;&gt;""),1,0)</f>
        <v>3</v>
      </c>
      <c r="W3189" s="29"/>
    </row>
    <row r="3190" customFormat="false" ht="15" hidden="false" customHeight="false" outlineLevel="0" collapsed="false">
      <c r="A3190" s="32" t="str">
        <f aca="false">IF(B3190="","",ROW()-7)</f>
        <v/>
      </c>
      <c r="B3190" s="30"/>
      <c r="C3190" s="29"/>
      <c r="D3190" s="29"/>
      <c r="E3190" s="29"/>
      <c r="F3190" s="30"/>
      <c r="G3190" s="29"/>
      <c r="H3190" s="30"/>
      <c r="I3190" s="29"/>
      <c r="J3190" s="30"/>
      <c r="K3190" s="30"/>
      <c r="L3190" s="29"/>
      <c r="M3190" s="32" t="str">
        <f aca="false">IF(OR(C3190="",L3190=""),"",IF(C3190=L3190,"同一","変更"))</f>
        <v/>
      </c>
      <c r="N3190" s="29"/>
      <c r="O3190" s="30"/>
      <c r="P3190" s="29"/>
      <c r="Q3190" s="31"/>
      <c r="R3190" s="29"/>
      <c r="S3190" s="29"/>
      <c r="T3190" s="30"/>
      <c r="U3190" s="47" t="str">
        <f aca="false">IF(AND(B3190&lt;&gt;"",B3190=SW別シート!$C$3),COUNTIF(B$5:B3190,B3190),"")</f>
        <v/>
      </c>
      <c r="V3190" s="47" t="n">
        <f aca="false">V3189+IF(OR(O3190&lt;&gt;"",W3190&lt;&gt;""),1,0)</f>
        <v>3</v>
      </c>
      <c r="W3190" s="29"/>
    </row>
    <row r="3191" customFormat="false" ht="15" hidden="false" customHeight="false" outlineLevel="0" collapsed="false">
      <c r="A3191" s="32" t="str">
        <f aca="false">IF(B3191="","",ROW()-7)</f>
        <v/>
      </c>
      <c r="B3191" s="30"/>
      <c r="C3191" s="29"/>
      <c r="D3191" s="29"/>
      <c r="E3191" s="29"/>
      <c r="F3191" s="30"/>
      <c r="G3191" s="29"/>
      <c r="H3191" s="30"/>
      <c r="I3191" s="29"/>
      <c r="J3191" s="30"/>
      <c r="K3191" s="30"/>
      <c r="L3191" s="29"/>
      <c r="M3191" s="32" t="str">
        <f aca="false">IF(OR(C3191="",L3191=""),"",IF(C3191=L3191,"同一","変更"))</f>
        <v/>
      </c>
      <c r="N3191" s="29"/>
      <c r="O3191" s="30"/>
      <c r="P3191" s="29"/>
      <c r="Q3191" s="31"/>
      <c r="R3191" s="29"/>
      <c r="S3191" s="29"/>
      <c r="T3191" s="30"/>
      <c r="U3191" s="47" t="str">
        <f aca="false">IF(AND(B3191&lt;&gt;"",B3191=SW別シート!$C$3),COUNTIF(B$5:B3191,B3191),"")</f>
        <v/>
      </c>
      <c r="V3191" s="47" t="n">
        <f aca="false">V3190+IF(OR(O3191&lt;&gt;"",W3191&lt;&gt;""),1,0)</f>
        <v>3</v>
      </c>
      <c r="W3191" s="29"/>
    </row>
    <row r="3192" customFormat="false" ht="15" hidden="false" customHeight="false" outlineLevel="0" collapsed="false">
      <c r="A3192" s="32" t="str">
        <f aca="false">IF(B3192="","",ROW()-7)</f>
        <v/>
      </c>
      <c r="B3192" s="30"/>
      <c r="C3192" s="29"/>
      <c r="D3192" s="29"/>
      <c r="E3192" s="29"/>
      <c r="F3192" s="30"/>
      <c r="G3192" s="29"/>
      <c r="H3192" s="30"/>
      <c r="I3192" s="29"/>
      <c r="J3192" s="30"/>
      <c r="K3192" s="30"/>
      <c r="L3192" s="29"/>
      <c r="M3192" s="32" t="str">
        <f aca="false">IF(OR(C3192="",L3192=""),"",IF(C3192=L3192,"同一","変更"))</f>
        <v/>
      </c>
      <c r="N3192" s="29"/>
      <c r="O3192" s="30"/>
      <c r="P3192" s="29"/>
      <c r="Q3192" s="31"/>
      <c r="R3192" s="29"/>
      <c r="S3192" s="29"/>
      <c r="T3192" s="30"/>
      <c r="U3192" s="47" t="str">
        <f aca="false">IF(AND(B3192&lt;&gt;"",B3192=SW別シート!$C$3),COUNTIF(B$5:B3192,B3192),"")</f>
        <v/>
      </c>
      <c r="V3192" s="47" t="n">
        <f aca="false">V3191+IF(OR(O3192&lt;&gt;"",W3192&lt;&gt;""),1,0)</f>
        <v>3</v>
      </c>
      <c r="W3192" s="29"/>
    </row>
    <row r="3193" customFormat="false" ht="15" hidden="false" customHeight="false" outlineLevel="0" collapsed="false">
      <c r="A3193" s="32" t="str">
        <f aca="false">IF(B3193="","",ROW()-7)</f>
        <v/>
      </c>
      <c r="B3193" s="30"/>
      <c r="C3193" s="29"/>
      <c r="D3193" s="29"/>
      <c r="E3193" s="29"/>
      <c r="F3193" s="30"/>
      <c r="G3193" s="29"/>
      <c r="H3193" s="30"/>
      <c r="I3193" s="29"/>
      <c r="J3193" s="30"/>
      <c r="K3193" s="30"/>
      <c r="L3193" s="29"/>
      <c r="M3193" s="32" t="str">
        <f aca="false">IF(OR(C3193="",L3193=""),"",IF(C3193=L3193,"同一","変更"))</f>
        <v/>
      </c>
      <c r="N3193" s="29"/>
      <c r="O3193" s="30"/>
      <c r="P3193" s="29"/>
      <c r="Q3193" s="31"/>
      <c r="R3193" s="29"/>
      <c r="S3193" s="29"/>
      <c r="T3193" s="30"/>
      <c r="U3193" s="47" t="str">
        <f aca="false">IF(AND(B3193&lt;&gt;"",B3193=SW別シート!$C$3),COUNTIF(B$5:B3193,B3193),"")</f>
        <v/>
      </c>
      <c r="V3193" s="47" t="n">
        <f aca="false">V3192+IF(OR(O3193&lt;&gt;"",W3193&lt;&gt;""),1,0)</f>
        <v>3</v>
      </c>
      <c r="W3193" s="29"/>
    </row>
    <row r="3194" customFormat="false" ht="15" hidden="false" customHeight="false" outlineLevel="0" collapsed="false">
      <c r="A3194" s="32" t="str">
        <f aca="false">IF(B3194="","",ROW()-7)</f>
        <v/>
      </c>
      <c r="B3194" s="30"/>
      <c r="C3194" s="29"/>
      <c r="D3194" s="29"/>
      <c r="E3194" s="29"/>
      <c r="F3194" s="30"/>
      <c r="G3194" s="29"/>
      <c r="H3194" s="30"/>
      <c r="I3194" s="29"/>
      <c r="J3194" s="30"/>
      <c r="K3194" s="30"/>
      <c r="L3194" s="29"/>
      <c r="M3194" s="32" t="str">
        <f aca="false">IF(OR(C3194="",L3194=""),"",IF(C3194=L3194,"同一","変更"))</f>
        <v/>
      </c>
      <c r="N3194" s="29"/>
      <c r="O3194" s="30"/>
      <c r="P3194" s="29"/>
      <c r="Q3194" s="31"/>
      <c r="R3194" s="29"/>
      <c r="S3194" s="29"/>
      <c r="T3194" s="30"/>
      <c r="U3194" s="47" t="str">
        <f aca="false">IF(AND(B3194&lt;&gt;"",B3194=SW別シート!$C$3),COUNTIF(B$5:B3194,B3194),"")</f>
        <v/>
      </c>
      <c r="V3194" s="47" t="n">
        <f aca="false">V3193+IF(OR(O3194&lt;&gt;"",W3194&lt;&gt;""),1,0)</f>
        <v>3</v>
      </c>
      <c r="W3194" s="29"/>
    </row>
    <row r="3195" customFormat="false" ht="15" hidden="false" customHeight="false" outlineLevel="0" collapsed="false">
      <c r="A3195" s="32" t="str">
        <f aca="false">IF(B3195="","",ROW()-7)</f>
        <v/>
      </c>
      <c r="B3195" s="30"/>
      <c r="C3195" s="29"/>
      <c r="D3195" s="29"/>
      <c r="E3195" s="29"/>
      <c r="F3195" s="30"/>
      <c r="G3195" s="29"/>
      <c r="H3195" s="30"/>
      <c r="I3195" s="29"/>
      <c r="J3195" s="30"/>
      <c r="K3195" s="30"/>
      <c r="L3195" s="29"/>
      <c r="M3195" s="32" t="str">
        <f aca="false">IF(OR(C3195="",L3195=""),"",IF(C3195=L3195,"同一","変更"))</f>
        <v/>
      </c>
      <c r="N3195" s="29"/>
      <c r="O3195" s="30"/>
      <c r="P3195" s="29"/>
      <c r="Q3195" s="31"/>
      <c r="R3195" s="29"/>
      <c r="S3195" s="29"/>
      <c r="T3195" s="30"/>
      <c r="U3195" s="47" t="str">
        <f aca="false">IF(AND(B3195&lt;&gt;"",B3195=SW別シート!$C$3),COUNTIF(B$5:B3195,B3195),"")</f>
        <v/>
      </c>
      <c r="V3195" s="47" t="n">
        <f aca="false">V3194+IF(OR(O3195&lt;&gt;"",W3195&lt;&gt;""),1,0)</f>
        <v>3</v>
      </c>
      <c r="W3195" s="29"/>
    </row>
    <row r="3196" customFormat="false" ht="15" hidden="false" customHeight="false" outlineLevel="0" collapsed="false">
      <c r="A3196" s="32" t="str">
        <f aca="false">IF(B3196="","",ROW()-7)</f>
        <v/>
      </c>
      <c r="B3196" s="30"/>
      <c r="C3196" s="29"/>
      <c r="D3196" s="29"/>
      <c r="E3196" s="29"/>
      <c r="F3196" s="30"/>
      <c r="G3196" s="29"/>
      <c r="H3196" s="30"/>
      <c r="I3196" s="29"/>
      <c r="J3196" s="30"/>
      <c r="K3196" s="30"/>
      <c r="L3196" s="29"/>
      <c r="M3196" s="32" t="str">
        <f aca="false">IF(OR(C3196="",L3196=""),"",IF(C3196=L3196,"同一","変更"))</f>
        <v/>
      </c>
      <c r="N3196" s="29"/>
      <c r="O3196" s="30"/>
      <c r="P3196" s="29"/>
      <c r="Q3196" s="31"/>
      <c r="R3196" s="29"/>
      <c r="S3196" s="29"/>
      <c r="T3196" s="30"/>
      <c r="U3196" s="47" t="str">
        <f aca="false">IF(AND(B3196&lt;&gt;"",B3196=SW別シート!$C$3),COUNTIF(B$5:B3196,B3196),"")</f>
        <v/>
      </c>
      <c r="V3196" s="47" t="n">
        <f aca="false">V3195+IF(OR(O3196&lt;&gt;"",W3196&lt;&gt;""),1,0)</f>
        <v>3</v>
      </c>
      <c r="W3196" s="29"/>
    </row>
    <row r="3197" customFormat="false" ht="15" hidden="false" customHeight="false" outlineLevel="0" collapsed="false">
      <c r="A3197" s="32" t="str">
        <f aca="false">IF(B3197="","",ROW()-7)</f>
        <v/>
      </c>
      <c r="B3197" s="30"/>
      <c r="C3197" s="29"/>
      <c r="D3197" s="29"/>
      <c r="E3197" s="29"/>
      <c r="F3197" s="30"/>
      <c r="G3197" s="29"/>
      <c r="H3197" s="30"/>
      <c r="I3197" s="29"/>
      <c r="J3197" s="30"/>
      <c r="K3197" s="30"/>
      <c r="L3197" s="29"/>
      <c r="M3197" s="32" t="str">
        <f aca="false">IF(OR(C3197="",L3197=""),"",IF(C3197=L3197,"同一","変更"))</f>
        <v/>
      </c>
      <c r="N3197" s="29"/>
      <c r="O3197" s="30"/>
      <c r="P3197" s="29"/>
      <c r="Q3197" s="31"/>
      <c r="R3197" s="29"/>
      <c r="S3197" s="29"/>
      <c r="T3197" s="30"/>
      <c r="U3197" s="47" t="str">
        <f aca="false">IF(AND(B3197&lt;&gt;"",B3197=SW別シート!$C$3),COUNTIF(B$5:B3197,B3197),"")</f>
        <v/>
      </c>
      <c r="V3197" s="47" t="n">
        <f aca="false">V3196+IF(OR(O3197&lt;&gt;"",W3197&lt;&gt;""),1,0)</f>
        <v>3</v>
      </c>
      <c r="W3197" s="29"/>
    </row>
    <row r="3198" customFormat="false" ht="15" hidden="false" customHeight="false" outlineLevel="0" collapsed="false">
      <c r="A3198" s="32" t="str">
        <f aca="false">IF(B3198="","",ROW()-7)</f>
        <v/>
      </c>
      <c r="B3198" s="30"/>
      <c r="C3198" s="29"/>
      <c r="D3198" s="29"/>
      <c r="E3198" s="29"/>
      <c r="F3198" s="30"/>
      <c r="G3198" s="29"/>
      <c r="H3198" s="30"/>
      <c r="I3198" s="29"/>
      <c r="J3198" s="30"/>
      <c r="K3198" s="30"/>
      <c r="L3198" s="29"/>
      <c r="M3198" s="32" t="str">
        <f aca="false">IF(OR(C3198="",L3198=""),"",IF(C3198=L3198,"同一","変更"))</f>
        <v/>
      </c>
      <c r="N3198" s="29"/>
      <c r="O3198" s="30"/>
      <c r="P3198" s="29"/>
      <c r="Q3198" s="31"/>
      <c r="R3198" s="29"/>
      <c r="S3198" s="29"/>
      <c r="T3198" s="30"/>
      <c r="U3198" s="47" t="str">
        <f aca="false">IF(AND(B3198&lt;&gt;"",B3198=SW別シート!$C$3),COUNTIF(B$5:B3198,B3198),"")</f>
        <v/>
      </c>
      <c r="V3198" s="47" t="n">
        <f aca="false">V3197+IF(OR(O3198&lt;&gt;"",W3198&lt;&gt;""),1,0)</f>
        <v>3</v>
      </c>
      <c r="W3198" s="29"/>
    </row>
    <row r="3199" customFormat="false" ht="15" hidden="false" customHeight="false" outlineLevel="0" collapsed="false">
      <c r="A3199" s="32" t="str">
        <f aca="false">IF(B3199="","",ROW()-7)</f>
        <v/>
      </c>
      <c r="B3199" s="30"/>
      <c r="C3199" s="29"/>
      <c r="D3199" s="29"/>
      <c r="E3199" s="29"/>
      <c r="F3199" s="30"/>
      <c r="G3199" s="29"/>
      <c r="H3199" s="30"/>
      <c r="I3199" s="29"/>
      <c r="J3199" s="30"/>
      <c r="K3199" s="30"/>
      <c r="L3199" s="29"/>
      <c r="M3199" s="32" t="str">
        <f aca="false">IF(OR(C3199="",L3199=""),"",IF(C3199=L3199,"同一","変更"))</f>
        <v/>
      </c>
      <c r="N3199" s="29"/>
      <c r="O3199" s="30"/>
      <c r="P3199" s="29"/>
      <c r="Q3199" s="31"/>
      <c r="R3199" s="29"/>
      <c r="S3199" s="29"/>
      <c r="T3199" s="30"/>
      <c r="U3199" s="47" t="str">
        <f aca="false">IF(AND(B3199&lt;&gt;"",B3199=SW別シート!$C$3),COUNTIF(B$5:B3199,B3199),"")</f>
        <v/>
      </c>
      <c r="V3199" s="47" t="n">
        <f aca="false">V3198+IF(OR(O3199&lt;&gt;"",W3199&lt;&gt;""),1,0)</f>
        <v>3</v>
      </c>
      <c r="W3199" s="29"/>
    </row>
    <row r="3200" customFormat="false" ht="15" hidden="false" customHeight="false" outlineLevel="0" collapsed="false">
      <c r="A3200" s="32" t="str">
        <f aca="false">IF(B3200="","",ROW()-7)</f>
        <v/>
      </c>
      <c r="B3200" s="30"/>
      <c r="C3200" s="29"/>
      <c r="D3200" s="29"/>
      <c r="E3200" s="29"/>
      <c r="F3200" s="30"/>
      <c r="G3200" s="29"/>
      <c r="H3200" s="30"/>
      <c r="I3200" s="29"/>
      <c r="J3200" s="30"/>
      <c r="K3200" s="30"/>
      <c r="L3200" s="29"/>
      <c r="M3200" s="32" t="str">
        <f aca="false">IF(OR(C3200="",L3200=""),"",IF(C3200=L3200,"同一","変更"))</f>
        <v/>
      </c>
      <c r="N3200" s="29"/>
      <c r="O3200" s="30"/>
      <c r="P3200" s="29"/>
      <c r="Q3200" s="31"/>
      <c r="R3200" s="29"/>
      <c r="S3200" s="29"/>
      <c r="T3200" s="30"/>
      <c r="U3200" s="47" t="str">
        <f aca="false">IF(AND(B3200&lt;&gt;"",B3200=SW別シート!$C$3),COUNTIF(B$5:B3200,B3200),"")</f>
        <v/>
      </c>
      <c r="V3200" s="47" t="n">
        <f aca="false">V3199+IF(OR(O3200&lt;&gt;"",W3200&lt;&gt;""),1,0)</f>
        <v>3</v>
      </c>
      <c r="W3200" s="29"/>
    </row>
    <row r="3201" customFormat="false" ht="15" hidden="false" customHeight="false" outlineLevel="0" collapsed="false">
      <c r="A3201" s="32" t="str">
        <f aca="false">IF(B3201="","",ROW()-7)</f>
        <v/>
      </c>
      <c r="B3201" s="30"/>
      <c r="C3201" s="29"/>
      <c r="D3201" s="29"/>
      <c r="E3201" s="29"/>
      <c r="F3201" s="30"/>
      <c r="G3201" s="29"/>
      <c r="H3201" s="30"/>
      <c r="I3201" s="29"/>
      <c r="J3201" s="30"/>
      <c r="K3201" s="30"/>
      <c r="L3201" s="29"/>
      <c r="M3201" s="32" t="str">
        <f aca="false">IF(OR(C3201="",L3201=""),"",IF(C3201=L3201,"同一","変更"))</f>
        <v/>
      </c>
      <c r="N3201" s="29"/>
      <c r="O3201" s="30"/>
      <c r="P3201" s="29"/>
      <c r="Q3201" s="31"/>
      <c r="R3201" s="29"/>
      <c r="S3201" s="29"/>
      <c r="T3201" s="30"/>
      <c r="U3201" s="47" t="str">
        <f aca="false">IF(AND(B3201&lt;&gt;"",B3201=SW別シート!$C$3),COUNTIF(B$5:B3201,B3201),"")</f>
        <v/>
      </c>
      <c r="V3201" s="47" t="n">
        <f aca="false">V3200+IF(OR(O3201&lt;&gt;"",W3201&lt;&gt;""),1,0)</f>
        <v>3</v>
      </c>
      <c r="W3201" s="29"/>
    </row>
    <row r="3202" customFormat="false" ht="15" hidden="false" customHeight="false" outlineLevel="0" collapsed="false">
      <c r="A3202" s="32" t="str">
        <f aca="false">IF(B3202="","",ROW()-7)</f>
        <v/>
      </c>
      <c r="B3202" s="30"/>
      <c r="C3202" s="29"/>
      <c r="D3202" s="29"/>
      <c r="E3202" s="29"/>
      <c r="F3202" s="30"/>
      <c r="G3202" s="29"/>
      <c r="H3202" s="30"/>
      <c r="I3202" s="29"/>
      <c r="J3202" s="30"/>
      <c r="K3202" s="30"/>
      <c r="L3202" s="29"/>
      <c r="M3202" s="32" t="str">
        <f aca="false">IF(OR(C3202="",L3202=""),"",IF(C3202=L3202,"同一","変更"))</f>
        <v/>
      </c>
      <c r="N3202" s="29"/>
      <c r="O3202" s="30"/>
      <c r="P3202" s="29"/>
      <c r="Q3202" s="31"/>
      <c r="R3202" s="29"/>
      <c r="S3202" s="29"/>
      <c r="T3202" s="30"/>
      <c r="U3202" s="47" t="str">
        <f aca="false">IF(AND(B3202&lt;&gt;"",B3202=SW別シート!$C$3),COUNTIF(B$5:B3202,B3202),"")</f>
        <v/>
      </c>
      <c r="V3202" s="47" t="n">
        <f aca="false">V3201+IF(OR(O3202&lt;&gt;"",W3202&lt;&gt;""),1,0)</f>
        <v>3</v>
      </c>
      <c r="W3202" s="29"/>
    </row>
    <row r="3203" customFormat="false" ht="15" hidden="false" customHeight="false" outlineLevel="0" collapsed="false">
      <c r="A3203" s="32" t="str">
        <f aca="false">IF(B3203="","",ROW()-7)</f>
        <v/>
      </c>
      <c r="B3203" s="30"/>
      <c r="C3203" s="29"/>
      <c r="D3203" s="29"/>
      <c r="E3203" s="29"/>
      <c r="F3203" s="30"/>
      <c r="G3203" s="29"/>
      <c r="H3203" s="30"/>
      <c r="I3203" s="29"/>
      <c r="J3203" s="30"/>
      <c r="K3203" s="30"/>
      <c r="L3203" s="29"/>
      <c r="M3203" s="32" t="str">
        <f aca="false">IF(OR(C3203="",L3203=""),"",IF(C3203=L3203,"同一","変更"))</f>
        <v/>
      </c>
      <c r="N3203" s="29"/>
      <c r="O3203" s="30"/>
      <c r="P3203" s="29"/>
      <c r="Q3203" s="31"/>
      <c r="R3203" s="29"/>
      <c r="S3203" s="29"/>
      <c r="T3203" s="30"/>
      <c r="U3203" s="47" t="str">
        <f aca="false">IF(AND(B3203&lt;&gt;"",B3203=SW別シート!$C$3),COUNTIF(B$5:B3203,B3203),"")</f>
        <v/>
      </c>
      <c r="V3203" s="47" t="n">
        <f aca="false">V3202+IF(OR(O3203&lt;&gt;"",W3203&lt;&gt;""),1,0)</f>
        <v>3</v>
      </c>
      <c r="W3203" s="29"/>
    </row>
    <row r="3204" customFormat="false" ht="15" hidden="false" customHeight="false" outlineLevel="0" collapsed="false">
      <c r="A3204" s="32" t="str">
        <f aca="false">IF(B3204="","",ROW()-7)</f>
        <v/>
      </c>
      <c r="B3204" s="30"/>
      <c r="C3204" s="29"/>
      <c r="D3204" s="29"/>
      <c r="E3204" s="29"/>
      <c r="F3204" s="30"/>
      <c r="G3204" s="29"/>
      <c r="H3204" s="30"/>
      <c r="I3204" s="29"/>
      <c r="J3204" s="30"/>
      <c r="K3204" s="30"/>
      <c r="L3204" s="29"/>
      <c r="M3204" s="32" t="str">
        <f aca="false">IF(OR(C3204="",L3204=""),"",IF(C3204=L3204,"同一","変更"))</f>
        <v/>
      </c>
      <c r="N3204" s="29"/>
      <c r="O3204" s="30"/>
      <c r="P3204" s="29"/>
      <c r="Q3204" s="31"/>
      <c r="R3204" s="29"/>
      <c r="S3204" s="29"/>
      <c r="T3204" s="30"/>
      <c r="U3204" s="47" t="str">
        <f aca="false">IF(AND(B3204&lt;&gt;"",B3204=SW別シート!$C$3),COUNTIF(B$5:B3204,B3204),"")</f>
        <v/>
      </c>
      <c r="V3204" s="47" t="n">
        <f aca="false">V3203+IF(OR(O3204&lt;&gt;"",W3204&lt;&gt;""),1,0)</f>
        <v>3</v>
      </c>
      <c r="W3204" s="29"/>
    </row>
    <row r="3205" customFormat="false" ht="15" hidden="false" customHeight="false" outlineLevel="0" collapsed="false">
      <c r="A3205" s="32" t="str">
        <f aca="false">IF(B3205="","",ROW()-7)</f>
        <v/>
      </c>
      <c r="B3205" s="30"/>
      <c r="C3205" s="29"/>
      <c r="D3205" s="29"/>
      <c r="E3205" s="29"/>
      <c r="F3205" s="30"/>
      <c r="G3205" s="29"/>
      <c r="H3205" s="30"/>
      <c r="I3205" s="29"/>
      <c r="J3205" s="30"/>
      <c r="K3205" s="30"/>
      <c r="L3205" s="29"/>
      <c r="M3205" s="32" t="str">
        <f aca="false">IF(OR(C3205="",L3205=""),"",IF(C3205=L3205,"同一","変更"))</f>
        <v/>
      </c>
      <c r="N3205" s="29"/>
      <c r="O3205" s="30"/>
      <c r="P3205" s="29"/>
      <c r="Q3205" s="31"/>
      <c r="R3205" s="29"/>
      <c r="S3205" s="29"/>
      <c r="T3205" s="30"/>
      <c r="U3205" s="47" t="str">
        <f aca="false">IF(AND(B3205&lt;&gt;"",B3205=SW別シート!$C$3),COUNTIF(B$5:B3205,B3205),"")</f>
        <v/>
      </c>
      <c r="V3205" s="47" t="n">
        <f aca="false">V3204+IF(OR(O3205&lt;&gt;"",W3205&lt;&gt;""),1,0)</f>
        <v>3</v>
      </c>
      <c r="W3205" s="29"/>
    </row>
    <row r="3206" customFormat="false" ht="15" hidden="false" customHeight="false" outlineLevel="0" collapsed="false">
      <c r="A3206" s="32" t="str">
        <f aca="false">IF(B3206="","",ROW()-7)</f>
        <v/>
      </c>
      <c r="B3206" s="30"/>
      <c r="C3206" s="29"/>
      <c r="D3206" s="29"/>
      <c r="E3206" s="29"/>
      <c r="F3206" s="30"/>
      <c r="G3206" s="29"/>
      <c r="H3206" s="30"/>
      <c r="I3206" s="29"/>
      <c r="J3206" s="30"/>
      <c r="K3206" s="30"/>
      <c r="L3206" s="29"/>
      <c r="M3206" s="32" t="str">
        <f aca="false">IF(OR(C3206="",L3206=""),"",IF(C3206=L3206,"同一","変更"))</f>
        <v/>
      </c>
      <c r="N3206" s="29"/>
      <c r="O3206" s="30"/>
      <c r="P3206" s="29"/>
      <c r="Q3206" s="31"/>
      <c r="R3206" s="29"/>
      <c r="S3206" s="29"/>
      <c r="T3206" s="30"/>
      <c r="U3206" s="47" t="str">
        <f aca="false">IF(AND(B3206&lt;&gt;"",B3206=SW別シート!$C$3),COUNTIF(B$5:B3206,B3206),"")</f>
        <v/>
      </c>
      <c r="V3206" s="47" t="n">
        <f aca="false">V3205+IF(OR(O3206&lt;&gt;"",W3206&lt;&gt;""),1,0)</f>
        <v>3</v>
      </c>
      <c r="W3206" s="29"/>
    </row>
    <row r="3207" customFormat="false" ht="15" hidden="false" customHeight="false" outlineLevel="0" collapsed="false">
      <c r="A3207" s="32" t="str">
        <f aca="false">IF(B3207="","",ROW()-7)</f>
        <v/>
      </c>
      <c r="B3207" s="30"/>
      <c r="C3207" s="29"/>
      <c r="D3207" s="29"/>
      <c r="E3207" s="29"/>
      <c r="F3207" s="30"/>
      <c r="G3207" s="29"/>
      <c r="H3207" s="30"/>
      <c r="I3207" s="29"/>
      <c r="J3207" s="30"/>
      <c r="K3207" s="30"/>
      <c r="L3207" s="29"/>
      <c r="M3207" s="32" t="str">
        <f aca="false">IF(OR(C3207="",L3207=""),"",IF(C3207=L3207,"同一","変更"))</f>
        <v/>
      </c>
      <c r="N3207" s="29"/>
      <c r="O3207" s="30"/>
      <c r="P3207" s="29"/>
      <c r="Q3207" s="31"/>
      <c r="R3207" s="29"/>
      <c r="S3207" s="29"/>
      <c r="T3207" s="30"/>
      <c r="U3207" s="47" t="str">
        <f aca="false">IF(AND(B3207&lt;&gt;"",B3207=SW別シート!$C$3),COUNTIF(B$5:B3207,B3207),"")</f>
        <v/>
      </c>
      <c r="V3207" s="47" t="n">
        <f aca="false">V3206+IF(OR(O3207&lt;&gt;"",W3207&lt;&gt;""),1,0)</f>
        <v>3</v>
      </c>
      <c r="W3207" s="29"/>
    </row>
    <row r="3208" customFormat="false" ht="15" hidden="false" customHeight="false" outlineLevel="0" collapsed="false">
      <c r="A3208" s="32" t="str">
        <f aca="false">IF(B3208="","",ROW()-7)</f>
        <v/>
      </c>
      <c r="B3208" s="30"/>
      <c r="C3208" s="29"/>
      <c r="D3208" s="29"/>
      <c r="E3208" s="29"/>
      <c r="F3208" s="30"/>
      <c r="G3208" s="29"/>
      <c r="H3208" s="30"/>
      <c r="I3208" s="29"/>
      <c r="J3208" s="30"/>
      <c r="K3208" s="30"/>
      <c r="L3208" s="29"/>
      <c r="M3208" s="32" t="str">
        <f aca="false">IF(OR(C3208="",L3208=""),"",IF(C3208=L3208,"同一","変更"))</f>
        <v/>
      </c>
      <c r="N3208" s="29"/>
      <c r="O3208" s="30"/>
      <c r="P3208" s="29"/>
      <c r="Q3208" s="31"/>
      <c r="R3208" s="29"/>
      <c r="S3208" s="29"/>
      <c r="T3208" s="30"/>
      <c r="U3208" s="47" t="str">
        <f aca="false">IF(AND(B3208&lt;&gt;"",B3208=SW別シート!$C$3),COUNTIF(B$5:B3208,B3208),"")</f>
        <v/>
      </c>
      <c r="V3208" s="47" t="n">
        <f aca="false">V3207+IF(OR(O3208&lt;&gt;"",W3208&lt;&gt;""),1,0)</f>
        <v>3</v>
      </c>
      <c r="W3208" s="29"/>
    </row>
    <row r="3209" customFormat="false" ht="15" hidden="false" customHeight="false" outlineLevel="0" collapsed="false">
      <c r="A3209" s="32" t="str">
        <f aca="false">IF(B3209="","",ROW()-7)</f>
        <v/>
      </c>
      <c r="B3209" s="30"/>
      <c r="C3209" s="29"/>
      <c r="D3209" s="29"/>
      <c r="E3209" s="29"/>
      <c r="F3209" s="30"/>
      <c r="G3209" s="29"/>
      <c r="H3209" s="30"/>
      <c r="I3209" s="29"/>
      <c r="J3209" s="30"/>
      <c r="K3209" s="30"/>
      <c r="L3209" s="29"/>
      <c r="M3209" s="32" t="str">
        <f aca="false">IF(OR(C3209="",L3209=""),"",IF(C3209=L3209,"同一","変更"))</f>
        <v/>
      </c>
      <c r="N3209" s="29"/>
      <c r="O3209" s="30"/>
      <c r="P3209" s="29"/>
      <c r="Q3209" s="31"/>
      <c r="R3209" s="29"/>
      <c r="S3209" s="29"/>
      <c r="T3209" s="30"/>
      <c r="U3209" s="47" t="str">
        <f aca="false">IF(AND(B3209&lt;&gt;"",B3209=SW別シート!$C$3),COUNTIF(B$5:B3209,B3209),"")</f>
        <v/>
      </c>
      <c r="V3209" s="47" t="n">
        <f aca="false">V3208+IF(OR(O3209&lt;&gt;"",W3209&lt;&gt;""),1,0)</f>
        <v>3</v>
      </c>
      <c r="W3209" s="29"/>
    </row>
    <row r="3210" customFormat="false" ht="15" hidden="false" customHeight="false" outlineLevel="0" collapsed="false">
      <c r="A3210" s="32" t="str">
        <f aca="false">IF(B3210="","",ROW()-7)</f>
        <v/>
      </c>
      <c r="B3210" s="30"/>
      <c r="C3210" s="29"/>
      <c r="D3210" s="29"/>
      <c r="E3210" s="29"/>
      <c r="F3210" s="30"/>
      <c r="G3210" s="29"/>
      <c r="H3210" s="30"/>
      <c r="I3210" s="29"/>
      <c r="J3210" s="30"/>
      <c r="K3210" s="30"/>
      <c r="L3210" s="29"/>
      <c r="M3210" s="32" t="str">
        <f aca="false">IF(OR(C3210="",L3210=""),"",IF(C3210=L3210,"同一","変更"))</f>
        <v/>
      </c>
      <c r="N3210" s="29"/>
      <c r="O3210" s="30"/>
      <c r="P3210" s="29"/>
      <c r="Q3210" s="31"/>
      <c r="R3210" s="29"/>
      <c r="S3210" s="29"/>
      <c r="T3210" s="30"/>
      <c r="U3210" s="47" t="str">
        <f aca="false">IF(AND(B3210&lt;&gt;"",B3210=SW別シート!$C$3),COUNTIF(B$5:B3210,B3210),"")</f>
        <v/>
      </c>
      <c r="V3210" s="47" t="n">
        <f aca="false">V3209+IF(OR(O3210&lt;&gt;"",W3210&lt;&gt;""),1,0)</f>
        <v>3</v>
      </c>
      <c r="W3210" s="29"/>
    </row>
    <row r="3211" customFormat="false" ht="15" hidden="false" customHeight="false" outlineLevel="0" collapsed="false">
      <c r="A3211" s="32" t="str">
        <f aca="false">IF(B3211="","",ROW()-7)</f>
        <v/>
      </c>
      <c r="B3211" s="30"/>
      <c r="C3211" s="29"/>
      <c r="D3211" s="29"/>
      <c r="E3211" s="29"/>
      <c r="F3211" s="30"/>
      <c r="G3211" s="29"/>
      <c r="H3211" s="30"/>
      <c r="I3211" s="29"/>
      <c r="J3211" s="30"/>
      <c r="K3211" s="30"/>
      <c r="L3211" s="29"/>
      <c r="M3211" s="32" t="str">
        <f aca="false">IF(OR(C3211="",L3211=""),"",IF(C3211=L3211,"同一","変更"))</f>
        <v/>
      </c>
      <c r="N3211" s="29"/>
      <c r="O3211" s="30"/>
      <c r="P3211" s="29"/>
      <c r="Q3211" s="31"/>
      <c r="R3211" s="29"/>
      <c r="S3211" s="29"/>
      <c r="T3211" s="30"/>
      <c r="U3211" s="47" t="str">
        <f aca="false">IF(AND(B3211&lt;&gt;"",B3211=SW別シート!$C$3),COUNTIF(B$5:B3211,B3211),"")</f>
        <v/>
      </c>
      <c r="V3211" s="47" t="n">
        <f aca="false">V3210+IF(OR(O3211&lt;&gt;"",W3211&lt;&gt;""),1,0)</f>
        <v>3</v>
      </c>
      <c r="W3211" s="29"/>
    </row>
    <row r="3212" customFormat="false" ht="15" hidden="false" customHeight="false" outlineLevel="0" collapsed="false">
      <c r="A3212" s="32" t="str">
        <f aca="false">IF(B3212="","",ROW()-7)</f>
        <v/>
      </c>
      <c r="B3212" s="30"/>
      <c r="C3212" s="29"/>
      <c r="D3212" s="29"/>
      <c r="E3212" s="29"/>
      <c r="F3212" s="30"/>
      <c r="G3212" s="29"/>
      <c r="H3212" s="30"/>
      <c r="I3212" s="29"/>
      <c r="J3212" s="30"/>
      <c r="K3212" s="30"/>
      <c r="L3212" s="29"/>
      <c r="M3212" s="32" t="str">
        <f aca="false">IF(OR(C3212="",L3212=""),"",IF(C3212=L3212,"同一","変更"))</f>
        <v/>
      </c>
      <c r="N3212" s="29"/>
      <c r="O3212" s="30"/>
      <c r="P3212" s="29"/>
      <c r="Q3212" s="31"/>
      <c r="R3212" s="29"/>
      <c r="S3212" s="29"/>
      <c r="T3212" s="30"/>
      <c r="U3212" s="47" t="str">
        <f aca="false">IF(AND(B3212&lt;&gt;"",B3212=SW別シート!$C$3),COUNTIF(B$5:B3212,B3212),"")</f>
        <v/>
      </c>
      <c r="V3212" s="47" t="n">
        <f aca="false">V3211+IF(OR(O3212&lt;&gt;"",W3212&lt;&gt;""),1,0)</f>
        <v>3</v>
      </c>
      <c r="W3212" s="29"/>
    </row>
    <row r="3213" customFormat="false" ht="15" hidden="false" customHeight="false" outlineLevel="0" collapsed="false">
      <c r="A3213" s="32" t="str">
        <f aca="false">IF(B3213="","",ROW()-7)</f>
        <v/>
      </c>
      <c r="B3213" s="30"/>
      <c r="C3213" s="29"/>
      <c r="D3213" s="29"/>
      <c r="E3213" s="29"/>
      <c r="F3213" s="30"/>
      <c r="G3213" s="29"/>
      <c r="H3213" s="30"/>
      <c r="I3213" s="29"/>
      <c r="J3213" s="30"/>
      <c r="K3213" s="30"/>
      <c r="L3213" s="29"/>
      <c r="M3213" s="32" t="str">
        <f aca="false">IF(OR(C3213="",L3213=""),"",IF(C3213=L3213,"同一","変更"))</f>
        <v/>
      </c>
      <c r="N3213" s="29"/>
      <c r="O3213" s="30"/>
      <c r="P3213" s="29"/>
      <c r="Q3213" s="31"/>
      <c r="R3213" s="29"/>
      <c r="S3213" s="29"/>
      <c r="T3213" s="30"/>
      <c r="U3213" s="47" t="str">
        <f aca="false">IF(AND(B3213&lt;&gt;"",B3213=SW別シート!$C$3),COUNTIF(B$5:B3213,B3213),"")</f>
        <v/>
      </c>
      <c r="V3213" s="47" t="n">
        <f aca="false">V3212+IF(OR(O3213&lt;&gt;"",W3213&lt;&gt;""),1,0)</f>
        <v>3</v>
      </c>
      <c r="W3213" s="29"/>
    </row>
    <row r="3214" customFormat="false" ht="15" hidden="false" customHeight="false" outlineLevel="0" collapsed="false">
      <c r="A3214" s="32" t="str">
        <f aca="false">IF(B3214="","",ROW()-7)</f>
        <v/>
      </c>
      <c r="B3214" s="30"/>
      <c r="C3214" s="29"/>
      <c r="D3214" s="29"/>
      <c r="E3214" s="29"/>
      <c r="F3214" s="30"/>
      <c r="G3214" s="29"/>
      <c r="H3214" s="30"/>
      <c r="I3214" s="29"/>
      <c r="J3214" s="30"/>
      <c r="K3214" s="30"/>
      <c r="L3214" s="29"/>
      <c r="M3214" s="32" t="str">
        <f aca="false">IF(OR(C3214="",L3214=""),"",IF(C3214=L3214,"同一","変更"))</f>
        <v/>
      </c>
      <c r="N3214" s="29"/>
      <c r="O3214" s="30"/>
      <c r="P3214" s="29"/>
      <c r="Q3214" s="31"/>
      <c r="R3214" s="29"/>
      <c r="S3214" s="29"/>
      <c r="T3214" s="30"/>
      <c r="U3214" s="47" t="str">
        <f aca="false">IF(AND(B3214&lt;&gt;"",B3214=SW別シート!$C$3),COUNTIF(B$5:B3214,B3214),"")</f>
        <v/>
      </c>
      <c r="V3214" s="47" t="n">
        <f aca="false">V3213+IF(OR(O3214&lt;&gt;"",W3214&lt;&gt;""),1,0)</f>
        <v>3</v>
      </c>
      <c r="W3214" s="29"/>
    </row>
    <row r="3215" customFormat="false" ht="15" hidden="false" customHeight="false" outlineLevel="0" collapsed="false">
      <c r="A3215" s="32" t="str">
        <f aca="false">IF(B3215="","",ROW()-7)</f>
        <v/>
      </c>
      <c r="B3215" s="30"/>
      <c r="C3215" s="29"/>
      <c r="D3215" s="29"/>
      <c r="E3215" s="29"/>
      <c r="F3215" s="30"/>
      <c r="G3215" s="29"/>
      <c r="H3215" s="30"/>
      <c r="I3215" s="29"/>
      <c r="J3215" s="30"/>
      <c r="K3215" s="30"/>
      <c r="L3215" s="29"/>
      <c r="M3215" s="32" t="str">
        <f aca="false">IF(OR(C3215="",L3215=""),"",IF(C3215=L3215,"同一","変更"))</f>
        <v/>
      </c>
      <c r="N3215" s="29"/>
      <c r="O3215" s="30"/>
      <c r="P3215" s="29"/>
      <c r="Q3215" s="31"/>
      <c r="R3215" s="29"/>
      <c r="S3215" s="29"/>
      <c r="T3215" s="30"/>
      <c r="U3215" s="47" t="str">
        <f aca="false">IF(AND(B3215&lt;&gt;"",B3215=SW別シート!$C$3),COUNTIF(B$5:B3215,B3215),"")</f>
        <v/>
      </c>
      <c r="V3215" s="47" t="n">
        <f aca="false">V3214+IF(OR(O3215&lt;&gt;"",W3215&lt;&gt;""),1,0)</f>
        <v>3</v>
      </c>
      <c r="W3215" s="29"/>
    </row>
    <row r="3216" customFormat="false" ht="15" hidden="false" customHeight="false" outlineLevel="0" collapsed="false">
      <c r="A3216" s="32" t="str">
        <f aca="false">IF(B3216="","",ROW()-7)</f>
        <v/>
      </c>
      <c r="B3216" s="30"/>
      <c r="C3216" s="29"/>
      <c r="D3216" s="29"/>
      <c r="E3216" s="29"/>
      <c r="F3216" s="30"/>
      <c r="G3216" s="29"/>
      <c r="H3216" s="30"/>
      <c r="I3216" s="29"/>
      <c r="J3216" s="30"/>
      <c r="K3216" s="30"/>
      <c r="L3216" s="29"/>
      <c r="M3216" s="32" t="str">
        <f aca="false">IF(OR(C3216="",L3216=""),"",IF(C3216=L3216,"同一","変更"))</f>
        <v/>
      </c>
      <c r="N3216" s="29"/>
      <c r="O3216" s="30"/>
      <c r="P3216" s="29"/>
      <c r="Q3216" s="31"/>
      <c r="R3216" s="29"/>
      <c r="S3216" s="29"/>
      <c r="T3216" s="30"/>
      <c r="U3216" s="47" t="str">
        <f aca="false">IF(AND(B3216&lt;&gt;"",B3216=SW別シート!$C$3),COUNTIF(B$5:B3216,B3216),"")</f>
        <v/>
      </c>
      <c r="V3216" s="47" t="n">
        <f aca="false">V3215+IF(OR(O3216&lt;&gt;"",W3216&lt;&gt;""),1,0)</f>
        <v>3</v>
      </c>
      <c r="W3216" s="29"/>
    </row>
    <row r="3217" customFormat="false" ht="15" hidden="false" customHeight="false" outlineLevel="0" collapsed="false">
      <c r="A3217" s="32" t="str">
        <f aca="false">IF(B3217="","",ROW()-7)</f>
        <v/>
      </c>
      <c r="B3217" s="30"/>
      <c r="C3217" s="29"/>
      <c r="D3217" s="29"/>
      <c r="E3217" s="29"/>
      <c r="F3217" s="30"/>
      <c r="G3217" s="29"/>
      <c r="H3217" s="30"/>
      <c r="I3217" s="29"/>
      <c r="J3217" s="30"/>
      <c r="K3217" s="30"/>
      <c r="L3217" s="29"/>
      <c r="M3217" s="32" t="str">
        <f aca="false">IF(OR(C3217="",L3217=""),"",IF(C3217=L3217,"同一","変更"))</f>
        <v/>
      </c>
      <c r="N3217" s="29"/>
      <c r="O3217" s="30"/>
      <c r="P3217" s="29"/>
      <c r="Q3217" s="31"/>
      <c r="R3217" s="29"/>
      <c r="S3217" s="29"/>
      <c r="T3217" s="30"/>
      <c r="U3217" s="47" t="str">
        <f aca="false">IF(AND(B3217&lt;&gt;"",B3217=SW別シート!$C$3),COUNTIF(B$5:B3217,B3217),"")</f>
        <v/>
      </c>
      <c r="V3217" s="47" t="n">
        <f aca="false">V3216+IF(OR(O3217&lt;&gt;"",W3217&lt;&gt;""),1,0)</f>
        <v>3</v>
      </c>
      <c r="W3217" s="29"/>
    </row>
    <row r="3218" customFormat="false" ht="15" hidden="false" customHeight="false" outlineLevel="0" collapsed="false">
      <c r="A3218" s="32" t="str">
        <f aca="false">IF(B3218="","",ROW()-7)</f>
        <v/>
      </c>
      <c r="B3218" s="30"/>
      <c r="C3218" s="29"/>
      <c r="D3218" s="29"/>
      <c r="E3218" s="29"/>
      <c r="F3218" s="30"/>
      <c r="G3218" s="29"/>
      <c r="H3218" s="30"/>
      <c r="I3218" s="29"/>
      <c r="J3218" s="30"/>
      <c r="K3218" s="30"/>
      <c r="L3218" s="29"/>
      <c r="M3218" s="32" t="str">
        <f aca="false">IF(OR(C3218="",L3218=""),"",IF(C3218=L3218,"同一","変更"))</f>
        <v/>
      </c>
      <c r="N3218" s="29"/>
      <c r="O3218" s="30"/>
      <c r="P3218" s="29"/>
      <c r="Q3218" s="31"/>
      <c r="R3218" s="29"/>
      <c r="S3218" s="29"/>
      <c r="T3218" s="30"/>
      <c r="U3218" s="47" t="str">
        <f aca="false">IF(AND(B3218&lt;&gt;"",B3218=SW別シート!$C$3),COUNTIF(B$5:B3218,B3218),"")</f>
        <v/>
      </c>
      <c r="V3218" s="47" t="n">
        <f aca="false">V3217+IF(OR(O3218&lt;&gt;"",W3218&lt;&gt;""),1,0)</f>
        <v>3</v>
      </c>
      <c r="W3218" s="29"/>
    </row>
    <row r="3219" customFormat="false" ht="15" hidden="false" customHeight="false" outlineLevel="0" collapsed="false">
      <c r="A3219" s="32" t="str">
        <f aca="false">IF(B3219="","",ROW()-7)</f>
        <v/>
      </c>
      <c r="B3219" s="30"/>
      <c r="C3219" s="29"/>
      <c r="D3219" s="29"/>
      <c r="E3219" s="29"/>
      <c r="F3219" s="30"/>
      <c r="G3219" s="29"/>
      <c r="H3219" s="30"/>
      <c r="I3219" s="29"/>
      <c r="J3219" s="30"/>
      <c r="K3219" s="30"/>
      <c r="L3219" s="29"/>
      <c r="M3219" s="32" t="str">
        <f aca="false">IF(OR(C3219="",L3219=""),"",IF(C3219=L3219,"同一","変更"))</f>
        <v/>
      </c>
      <c r="N3219" s="29"/>
      <c r="O3219" s="30"/>
      <c r="P3219" s="29"/>
      <c r="Q3219" s="31"/>
      <c r="R3219" s="29"/>
      <c r="S3219" s="29"/>
      <c r="T3219" s="30"/>
      <c r="U3219" s="47" t="str">
        <f aca="false">IF(AND(B3219&lt;&gt;"",B3219=SW別シート!$C$3),COUNTIF(B$5:B3219,B3219),"")</f>
        <v/>
      </c>
      <c r="V3219" s="47" t="n">
        <f aca="false">V3218+IF(OR(O3219&lt;&gt;"",W3219&lt;&gt;""),1,0)</f>
        <v>3</v>
      </c>
      <c r="W3219" s="29"/>
    </row>
    <row r="3220" customFormat="false" ht="15" hidden="false" customHeight="false" outlineLevel="0" collapsed="false">
      <c r="A3220" s="32" t="str">
        <f aca="false">IF(B3220="","",ROW()-7)</f>
        <v/>
      </c>
      <c r="B3220" s="30"/>
      <c r="C3220" s="29"/>
      <c r="D3220" s="29"/>
      <c r="E3220" s="29"/>
      <c r="F3220" s="30"/>
      <c r="G3220" s="29"/>
      <c r="H3220" s="30"/>
      <c r="I3220" s="29"/>
      <c r="J3220" s="30"/>
      <c r="K3220" s="30"/>
      <c r="L3220" s="29"/>
      <c r="M3220" s="32" t="str">
        <f aca="false">IF(OR(C3220="",L3220=""),"",IF(C3220=L3220,"同一","変更"))</f>
        <v/>
      </c>
      <c r="N3220" s="29"/>
      <c r="O3220" s="30"/>
      <c r="P3220" s="29"/>
      <c r="Q3220" s="31"/>
      <c r="R3220" s="29"/>
      <c r="S3220" s="29"/>
      <c r="T3220" s="30"/>
      <c r="U3220" s="47" t="str">
        <f aca="false">IF(AND(B3220&lt;&gt;"",B3220=SW別シート!$C$3),COUNTIF(B$5:B3220,B3220),"")</f>
        <v/>
      </c>
      <c r="V3220" s="47" t="n">
        <f aca="false">V3219+IF(OR(O3220&lt;&gt;"",W3220&lt;&gt;""),1,0)</f>
        <v>3</v>
      </c>
      <c r="W3220" s="29"/>
    </row>
    <row r="3221" customFormat="false" ht="15" hidden="false" customHeight="false" outlineLevel="0" collapsed="false">
      <c r="A3221" s="32" t="str">
        <f aca="false">IF(B3221="","",ROW()-7)</f>
        <v/>
      </c>
      <c r="B3221" s="30"/>
      <c r="C3221" s="29"/>
      <c r="D3221" s="29"/>
      <c r="E3221" s="29"/>
      <c r="F3221" s="30"/>
      <c r="G3221" s="29"/>
      <c r="H3221" s="30"/>
      <c r="I3221" s="29"/>
      <c r="J3221" s="30"/>
      <c r="K3221" s="30"/>
      <c r="L3221" s="29"/>
      <c r="M3221" s="32" t="str">
        <f aca="false">IF(OR(C3221="",L3221=""),"",IF(C3221=L3221,"同一","変更"))</f>
        <v/>
      </c>
      <c r="N3221" s="29"/>
      <c r="O3221" s="30"/>
      <c r="P3221" s="29"/>
      <c r="Q3221" s="31"/>
      <c r="R3221" s="29"/>
      <c r="S3221" s="29"/>
      <c r="T3221" s="30"/>
      <c r="U3221" s="47" t="str">
        <f aca="false">IF(AND(B3221&lt;&gt;"",B3221=SW別シート!$C$3),COUNTIF(B$5:B3221,B3221),"")</f>
        <v/>
      </c>
      <c r="V3221" s="47" t="n">
        <f aca="false">V3220+IF(OR(O3221&lt;&gt;"",W3221&lt;&gt;""),1,0)</f>
        <v>3</v>
      </c>
      <c r="W3221" s="29"/>
    </row>
    <row r="3222" customFormat="false" ht="15" hidden="false" customHeight="false" outlineLevel="0" collapsed="false">
      <c r="A3222" s="32" t="str">
        <f aca="false">IF(B3222="","",ROW()-7)</f>
        <v/>
      </c>
      <c r="B3222" s="30"/>
      <c r="C3222" s="29"/>
      <c r="D3222" s="29"/>
      <c r="E3222" s="29"/>
      <c r="F3222" s="30"/>
      <c r="G3222" s="29"/>
      <c r="H3222" s="30"/>
      <c r="I3222" s="29"/>
      <c r="J3222" s="30"/>
      <c r="K3222" s="30"/>
      <c r="L3222" s="29"/>
      <c r="M3222" s="32" t="str">
        <f aca="false">IF(OR(C3222="",L3222=""),"",IF(C3222=L3222,"同一","変更"))</f>
        <v/>
      </c>
      <c r="N3222" s="29"/>
      <c r="O3222" s="30"/>
      <c r="P3222" s="29"/>
      <c r="Q3222" s="31"/>
      <c r="R3222" s="29"/>
      <c r="S3222" s="29"/>
      <c r="T3222" s="30"/>
      <c r="U3222" s="47" t="str">
        <f aca="false">IF(AND(B3222&lt;&gt;"",B3222=SW別シート!$C$3),COUNTIF(B$5:B3222,B3222),"")</f>
        <v/>
      </c>
      <c r="V3222" s="47" t="n">
        <f aca="false">V3221+IF(OR(O3222&lt;&gt;"",W3222&lt;&gt;""),1,0)</f>
        <v>3</v>
      </c>
      <c r="W3222" s="29"/>
    </row>
    <row r="3223" customFormat="false" ht="15" hidden="false" customHeight="false" outlineLevel="0" collapsed="false">
      <c r="A3223" s="32" t="str">
        <f aca="false">IF(B3223="","",ROW()-7)</f>
        <v/>
      </c>
      <c r="B3223" s="30"/>
      <c r="C3223" s="29"/>
      <c r="D3223" s="29"/>
      <c r="E3223" s="29"/>
      <c r="F3223" s="30"/>
      <c r="G3223" s="29"/>
      <c r="H3223" s="30"/>
      <c r="I3223" s="29"/>
      <c r="J3223" s="30"/>
      <c r="K3223" s="30"/>
      <c r="L3223" s="29"/>
      <c r="M3223" s="32" t="str">
        <f aca="false">IF(OR(C3223="",L3223=""),"",IF(C3223=L3223,"同一","変更"))</f>
        <v/>
      </c>
      <c r="N3223" s="29"/>
      <c r="O3223" s="30"/>
      <c r="P3223" s="29"/>
      <c r="Q3223" s="31"/>
      <c r="R3223" s="29"/>
      <c r="S3223" s="29"/>
      <c r="T3223" s="30"/>
      <c r="U3223" s="47" t="str">
        <f aca="false">IF(AND(B3223&lt;&gt;"",B3223=SW別シート!$C$3),COUNTIF(B$5:B3223,B3223),"")</f>
        <v/>
      </c>
      <c r="V3223" s="47" t="n">
        <f aca="false">V3222+IF(OR(O3223&lt;&gt;"",W3223&lt;&gt;""),1,0)</f>
        <v>3</v>
      </c>
      <c r="W3223" s="29"/>
    </row>
    <row r="3224" customFormat="false" ht="15" hidden="false" customHeight="false" outlineLevel="0" collapsed="false">
      <c r="A3224" s="32" t="str">
        <f aca="false">IF(B3224="","",ROW()-7)</f>
        <v/>
      </c>
      <c r="B3224" s="30"/>
      <c r="C3224" s="29"/>
      <c r="D3224" s="29"/>
      <c r="E3224" s="29"/>
      <c r="F3224" s="30"/>
      <c r="G3224" s="29"/>
      <c r="H3224" s="30"/>
      <c r="I3224" s="29"/>
      <c r="J3224" s="30"/>
      <c r="K3224" s="30"/>
      <c r="L3224" s="29"/>
      <c r="M3224" s="32" t="str">
        <f aca="false">IF(OR(C3224="",L3224=""),"",IF(C3224=L3224,"同一","変更"))</f>
        <v/>
      </c>
      <c r="N3224" s="29"/>
      <c r="O3224" s="30"/>
      <c r="P3224" s="29"/>
      <c r="Q3224" s="31"/>
      <c r="R3224" s="29"/>
      <c r="S3224" s="29"/>
      <c r="T3224" s="30"/>
      <c r="U3224" s="47" t="str">
        <f aca="false">IF(AND(B3224&lt;&gt;"",B3224=SW別シート!$C$3),COUNTIF(B$5:B3224,B3224),"")</f>
        <v/>
      </c>
      <c r="V3224" s="47" t="n">
        <f aca="false">V3223+IF(OR(O3224&lt;&gt;"",W3224&lt;&gt;""),1,0)</f>
        <v>3</v>
      </c>
      <c r="W3224" s="29"/>
    </row>
    <row r="3225" customFormat="false" ht="15" hidden="false" customHeight="false" outlineLevel="0" collapsed="false">
      <c r="A3225" s="32" t="str">
        <f aca="false">IF(B3225="","",ROW()-7)</f>
        <v/>
      </c>
      <c r="B3225" s="30"/>
      <c r="C3225" s="29"/>
      <c r="D3225" s="29"/>
      <c r="E3225" s="29"/>
      <c r="F3225" s="30"/>
      <c r="G3225" s="29"/>
      <c r="H3225" s="30"/>
      <c r="I3225" s="29"/>
      <c r="J3225" s="30"/>
      <c r="K3225" s="30"/>
      <c r="L3225" s="29"/>
      <c r="M3225" s="32" t="str">
        <f aca="false">IF(OR(C3225="",L3225=""),"",IF(C3225=L3225,"同一","変更"))</f>
        <v/>
      </c>
      <c r="N3225" s="29"/>
      <c r="O3225" s="30"/>
      <c r="P3225" s="29"/>
      <c r="Q3225" s="31"/>
      <c r="R3225" s="29"/>
      <c r="S3225" s="29"/>
      <c r="T3225" s="30"/>
      <c r="U3225" s="47" t="str">
        <f aca="false">IF(AND(B3225&lt;&gt;"",B3225=SW別シート!$C$3),COUNTIF(B$5:B3225,B3225),"")</f>
        <v/>
      </c>
      <c r="V3225" s="47" t="n">
        <f aca="false">V3224+IF(OR(O3225&lt;&gt;"",W3225&lt;&gt;""),1,0)</f>
        <v>3</v>
      </c>
      <c r="W3225" s="29"/>
    </row>
    <row r="3226" customFormat="false" ht="15" hidden="false" customHeight="false" outlineLevel="0" collapsed="false">
      <c r="A3226" s="32" t="str">
        <f aca="false">IF(B3226="","",ROW()-7)</f>
        <v/>
      </c>
      <c r="B3226" s="30"/>
      <c r="C3226" s="29"/>
      <c r="D3226" s="29"/>
      <c r="E3226" s="29"/>
      <c r="F3226" s="30"/>
      <c r="G3226" s="29"/>
      <c r="H3226" s="30"/>
      <c r="I3226" s="29"/>
      <c r="J3226" s="30"/>
      <c r="K3226" s="30"/>
      <c r="L3226" s="29"/>
      <c r="M3226" s="32" t="str">
        <f aca="false">IF(OR(C3226="",L3226=""),"",IF(C3226=L3226,"同一","変更"))</f>
        <v/>
      </c>
      <c r="N3226" s="29"/>
      <c r="O3226" s="30"/>
      <c r="P3226" s="29"/>
      <c r="Q3226" s="31"/>
      <c r="R3226" s="29"/>
      <c r="S3226" s="29"/>
      <c r="T3226" s="30"/>
      <c r="U3226" s="47" t="str">
        <f aca="false">IF(AND(B3226&lt;&gt;"",B3226=SW別シート!$C$3),COUNTIF(B$5:B3226,B3226),"")</f>
        <v/>
      </c>
      <c r="V3226" s="47" t="n">
        <f aca="false">V3225+IF(OR(O3226&lt;&gt;"",W3226&lt;&gt;""),1,0)</f>
        <v>3</v>
      </c>
      <c r="W3226" s="29"/>
    </row>
    <row r="3227" customFormat="false" ht="15" hidden="false" customHeight="false" outlineLevel="0" collapsed="false">
      <c r="A3227" s="32" t="str">
        <f aca="false">IF(B3227="","",ROW()-7)</f>
        <v/>
      </c>
      <c r="B3227" s="30"/>
      <c r="C3227" s="29"/>
      <c r="D3227" s="29"/>
      <c r="E3227" s="29"/>
      <c r="F3227" s="30"/>
      <c r="G3227" s="29"/>
      <c r="H3227" s="30"/>
      <c r="I3227" s="29"/>
      <c r="J3227" s="30"/>
      <c r="K3227" s="30"/>
      <c r="L3227" s="29"/>
      <c r="M3227" s="32" t="str">
        <f aca="false">IF(OR(C3227="",L3227=""),"",IF(C3227=L3227,"同一","変更"))</f>
        <v/>
      </c>
      <c r="N3227" s="29"/>
      <c r="O3227" s="30"/>
      <c r="P3227" s="29"/>
      <c r="Q3227" s="31"/>
      <c r="R3227" s="29"/>
      <c r="S3227" s="29"/>
      <c r="T3227" s="30"/>
      <c r="U3227" s="47" t="str">
        <f aca="false">IF(AND(B3227&lt;&gt;"",B3227=SW別シート!$C$3),COUNTIF(B$5:B3227,B3227),"")</f>
        <v/>
      </c>
      <c r="V3227" s="47" t="n">
        <f aca="false">V3226+IF(OR(O3227&lt;&gt;"",W3227&lt;&gt;""),1,0)</f>
        <v>3</v>
      </c>
      <c r="W3227" s="29"/>
    </row>
    <row r="3228" customFormat="false" ht="15" hidden="false" customHeight="false" outlineLevel="0" collapsed="false">
      <c r="A3228" s="32" t="str">
        <f aca="false">IF(B3228="","",ROW()-7)</f>
        <v/>
      </c>
      <c r="B3228" s="30"/>
      <c r="C3228" s="29"/>
      <c r="D3228" s="29"/>
      <c r="E3228" s="29"/>
      <c r="F3228" s="30"/>
      <c r="G3228" s="29"/>
      <c r="H3228" s="30"/>
      <c r="I3228" s="29"/>
      <c r="J3228" s="30"/>
      <c r="K3228" s="30"/>
      <c r="L3228" s="29"/>
      <c r="M3228" s="32" t="str">
        <f aca="false">IF(OR(C3228="",L3228=""),"",IF(C3228=L3228,"同一","変更"))</f>
        <v/>
      </c>
      <c r="N3228" s="29"/>
      <c r="O3228" s="30"/>
      <c r="P3228" s="29"/>
      <c r="Q3228" s="31"/>
      <c r="R3228" s="29"/>
      <c r="S3228" s="29"/>
      <c r="T3228" s="30"/>
      <c r="U3228" s="47" t="str">
        <f aca="false">IF(AND(B3228&lt;&gt;"",B3228=SW別シート!$C$3),COUNTIF(B$5:B3228,B3228),"")</f>
        <v/>
      </c>
      <c r="V3228" s="47" t="n">
        <f aca="false">V3227+IF(OR(O3228&lt;&gt;"",W3228&lt;&gt;""),1,0)</f>
        <v>3</v>
      </c>
      <c r="W3228" s="29"/>
    </row>
    <row r="3229" customFormat="false" ht="15" hidden="false" customHeight="false" outlineLevel="0" collapsed="false">
      <c r="A3229" s="32" t="str">
        <f aca="false">IF(B3229="","",ROW()-7)</f>
        <v/>
      </c>
      <c r="B3229" s="30"/>
      <c r="C3229" s="29"/>
      <c r="D3229" s="29"/>
      <c r="E3229" s="29"/>
      <c r="F3229" s="30"/>
      <c r="G3229" s="29"/>
      <c r="H3229" s="30"/>
      <c r="I3229" s="29"/>
      <c r="J3229" s="30"/>
      <c r="K3229" s="30"/>
      <c r="L3229" s="29"/>
      <c r="M3229" s="32" t="str">
        <f aca="false">IF(OR(C3229="",L3229=""),"",IF(C3229=L3229,"同一","変更"))</f>
        <v/>
      </c>
      <c r="N3229" s="29"/>
      <c r="O3229" s="30"/>
      <c r="P3229" s="29"/>
      <c r="Q3229" s="31"/>
      <c r="R3229" s="29"/>
      <c r="S3229" s="29"/>
      <c r="T3229" s="30"/>
      <c r="U3229" s="47" t="str">
        <f aca="false">IF(AND(B3229&lt;&gt;"",B3229=SW別シート!$C$3),COUNTIF(B$5:B3229,B3229),"")</f>
        <v/>
      </c>
      <c r="V3229" s="47" t="n">
        <f aca="false">V3228+IF(OR(O3229&lt;&gt;"",W3229&lt;&gt;""),1,0)</f>
        <v>3</v>
      </c>
      <c r="W3229" s="29"/>
    </row>
    <row r="3230" customFormat="false" ht="15" hidden="false" customHeight="false" outlineLevel="0" collapsed="false">
      <c r="A3230" s="32" t="str">
        <f aca="false">IF(B3230="","",ROW()-7)</f>
        <v/>
      </c>
      <c r="B3230" s="30"/>
      <c r="C3230" s="29"/>
      <c r="D3230" s="29"/>
      <c r="E3230" s="29"/>
      <c r="F3230" s="30"/>
      <c r="G3230" s="29"/>
      <c r="H3230" s="30"/>
      <c r="I3230" s="29"/>
      <c r="J3230" s="30"/>
      <c r="K3230" s="30"/>
      <c r="L3230" s="29"/>
      <c r="M3230" s="32" t="str">
        <f aca="false">IF(OR(C3230="",L3230=""),"",IF(C3230=L3230,"同一","変更"))</f>
        <v/>
      </c>
      <c r="N3230" s="29"/>
      <c r="O3230" s="30"/>
      <c r="P3230" s="29"/>
      <c r="Q3230" s="31"/>
      <c r="R3230" s="29"/>
      <c r="S3230" s="29"/>
      <c r="T3230" s="30"/>
      <c r="U3230" s="47" t="str">
        <f aca="false">IF(AND(B3230&lt;&gt;"",B3230=SW別シート!$C$3),COUNTIF(B$5:B3230,B3230),"")</f>
        <v/>
      </c>
      <c r="V3230" s="47" t="n">
        <f aca="false">V3229+IF(OR(O3230&lt;&gt;"",W3230&lt;&gt;""),1,0)</f>
        <v>3</v>
      </c>
      <c r="W3230" s="29"/>
    </row>
    <row r="3231" customFormat="false" ht="15" hidden="false" customHeight="false" outlineLevel="0" collapsed="false">
      <c r="A3231" s="32" t="str">
        <f aca="false">IF(B3231="","",ROW()-7)</f>
        <v/>
      </c>
      <c r="B3231" s="30"/>
      <c r="C3231" s="29"/>
      <c r="D3231" s="29"/>
      <c r="E3231" s="29"/>
      <c r="F3231" s="30"/>
      <c r="G3231" s="29"/>
      <c r="H3231" s="30"/>
      <c r="I3231" s="29"/>
      <c r="J3231" s="30"/>
      <c r="K3231" s="30"/>
      <c r="L3231" s="29"/>
      <c r="M3231" s="32" t="str">
        <f aca="false">IF(OR(C3231="",L3231=""),"",IF(C3231=L3231,"同一","変更"))</f>
        <v/>
      </c>
      <c r="N3231" s="29"/>
      <c r="O3231" s="30"/>
      <c r="P3231" s="29"/>
      <c r="Q3231" s="31"/>
      <c r="R3231" s="29"/>
      <c r="S3231" s="29"/>
      <c r="T3231" s="30"/>
      <c r="U3231" s="47" t="str">
        <f aca="false">IF(AND(B3231&lt;&gt;"",B3231=SW別シート!$C$3),COUNTIF(B$5:B3231,B3231),"")</f>
        <v/>
      </c>
      <c r="V3231" s="47" t="n">
        <f aca="false">V3230+IF(OR(O3231&lt;&gt;"",W3231&lt;&gt;""),1,0)</f>
        <v>3</v>
      </c>
      <c r="W3231" s="29"/>
    </row>
    <row r="3232" customFormat="false" ht="15" hidden="false" customHeight="false" outlineLevel="0" collapsed="false">
      <c r="A3232" s="32" t="str">
        <f aca="false">IF(B3232="","",ROW()-7)</f>
        <v/>
      </c>
      <c r="B3232" s="30"/>
      <c r="C3232" s="29"/>
      <c r="D3232" s="29"/>
      <c r="E3232" s="29"/>
      <c r="F3232" s="30"/>
      <c r="G3232" s="29"/>
      <c r="H3232" s="30"/>
      <c r="I3232" s="29"/>
      <c r="J3232" s="30"/>
      <c r="K3232" s="30"/>
      <c r="L3232" s="29"/>
      <c r="M3232" s="32" t="str">
        <f aca="false">IF(OR(C3232="",L3232=""),"",IF(C3232=L3232,"同一","変更"))</f>
        <v/>
      </c>
      <c r="N3232" s="29"/>
      <c r="O3232" s="30"/>
      <c r="P3232" s="29"/>
      <c r="Q3232" s="31"/>
      <c r="R3232" s="29"/>
      <c r="S3232" s="29"/>
      <c r="T3232" s="30"/>
      <c r="U3232" s="47" t="str">
        <f aca="false">IF(AND(B3232&lt;&gt;"",B3232=SW別シート!$C$3),COUNTIF(B$5:B3232,B3232),"")</f>
        <v/>
      </c>
      <c r="V3232" s="47" t="n">
        <f aca="false">V3231+IF(OR(O3232&lt;&gt;"",W3232&lt;&gt;""),1,0)</f>
        <v>3</v>
      </c>
      <c r="W3232" s="29"/>
    </row>
    <row r="3233" customFormat="false" ht="15" hidden="false" customHeight="false" outlineLevel="0" collapsed="false">
      <c r="A3233" s="32" t="str">
        <f aca="false">IF(B3233="","",ROW()-7)</f>
        <v/>
      </c>
      <c r="B3233" s="30"/>
      <c r="C3233" s="29"/>
      <c r="D3233" s="29"/>
      <c r="E3233" s="29"/>
      <c r="F3233" s="30"/>
      <c r="G3233" s="29"/>
      <c r="H3233" s="30"/>
      <c r="I3233" s="29"/>
      <c r="J3233" s="30"/>
      <c r="K3233" s="30"/>
      <c r="L3233" s="29"/>
      <c r="M3233" s="32" t="str">
        <f aca="false">IF(OR(C3233="",L3233=""),"",IF(C3233=L3233,"同一","変更"))</f>
        <v/>
      </c>
      <c r="N3233" s="29"/>
      <c r="O3233" s="30"/>
      <c r="P3233" s="29"/>
      <c r="Q3233" s="31"/>
      <c r="R3233" s="29"/>
      <c r="S3233" s="29"/>
      <c r="T3233" s="30"/>
      <c r="U3233" s="47" t="str">
        <f aca="false">IF(AND(B3233&lt;&gt;"",B3233=SW別シート!$C$3),COUNTIF(B$5:B3233,B3233),"")</f>
        <v/>
      </c>
      <c r="V3233" s="47" t="n">
        <f aca="false">V3232+IF(OR(O3233&lt;&gt;"",W3233&lt;&gt;""),1,0)</f>
        <v>3</v>
      </c>
      <c r="W3233" s="29"/>
    </row>
    <row r="3234" customFormat="false" ht="15" hidden="false" customHeight="false" outlineLevel="0" collapsed="false">
      <c r="A3234" s="32" t="str">
        <f aca="false">IF(B3234="","",ROW()-7)</f>
        <v/>
      </c>
      <c r="B3234" s="30"/>
      <c r="C3234" s="29"/>
      <c r="D3234" s="29"/>
      <c r="E3234" s="29"/>
      <c r="F3234" s="30"/>
      <c r="G3234" s="29"/>
      <c r="H3234" s="30"/>
      <c r="I3234" s="29"/>
      <c r="J3234" s="30"/>
      <c r="K3234" s="30"/>
      <c r="L3234" s="29"/>
      <c r="M3234" s="32" t="str">
        <f aca="false">IF(OR(C3234="",L3234=""),"",IF(C3234=L3234,"同一","変更"))</f>
        <v/>
      </c>
      <c r="N3234" s="29"/>
      <c r="O3234" s="30"/>
      <c r="P3234" s="29"/>
      <c r="Q3234" s="31"/>
      <c r="R3234" s="29"/>
      <c r="S3234" s="29"/>
      <c r="T3234" s="30"/>
      <c r="U3234" s="47" t="str">
        <f aca="false">IF(AND(B3234&lt;&gt;"",B3234=SW別シート!$C$3),COUNTIF(B$5:B3234,B3234),"")</f>
        <v/>
      </c>
      <c r="V3234" s="47" t="n">
        <f aca="false">V3233+IF(OR(O3234&lt;&gt;"",W3234&lt;&gt;""),1,0)</f>
        <v>3</v>
      </c>
      <c r="W3234" s="29"/>
    </row>
    <row r="3235" customFormat="false" ht="15" hidden="false" customHeight="false" outlineLevel="0" collapsed="false">
      <c r="A3235" s="32" t="str">
        <f aca="false">IF(B3235="","",ROW()-7)</f>
        <v/>
      </c>
      <c r="B3235" s="30"/>
      <c r="C3235" s="29"/>
      <c r="D3235" s="29"/>
      <c r="E3235" s="29"/>
      <c r="F3235" s="30"/>
      <c r="G3235" s="29"/>
      <c r="H3235" s="30"/>
      <c r="I3235" s="29"/>
      <c r="J3235" s="30"/>
      <c r="K3235" s="30"/>
      <c r="L3235" s="29"/>
      <c r="M3235" s="32" t="str">
        <f aca="false">IF(OR(C3235="",L3235=""),"",IF(C3235=L3235,"同一","変更"))</f>
        <v/>
      </c>
      <c r="N3235" s="29"/>
      <c r="O3235" s="30"/>
      <c r="P3235" s="29"/>
      <c r="Q3235" s="31"/>
      <c r="R3235" s="29"/>
      <c r="S3235" s="29"/>
      <c r="T3235" s="30"/>
      <c r="U3235" s="47" t="str">
        <f aca="false">IF(AND(B3235&lt;&gt;"",B3235=SW別シート!$C$3),COUNTIF(B$5:B3235,B3235),"")</f>
        <v/>
      </c>
      <c r="V3235" s="47" t="n">
        <f aca="false">V3234+IF(OR(O3235&lt;&gt;"",W3235&lt;&gt;""),1,0)</f>
        <v>3</v>
      </c>
      <c r="W3235" s="29"/>
    </row>
    <row r="3236" customFormat="false" ht="15" hidden="false" customHeight="false" outlineLevel="0" collapsed="false">
      <c r="A3236" s="32" t="str">
        <f aca="false">IF(B3236="","",ROW()-7)</f>
        <v/>
      </c>
      <c r="B3236" s="30"/>
      <c r="C3236" s="29"/>
      <c r="D3236" s="29"/>
      <c r="E3236" s="29"/>
      <c r="F3236" s="30"/>
      <c r="G3236" s="29"/>
      <c r="H3236" s="30"/>
      <c r="I3236" s="29"/>
      <c r="J3236" s="30"/>
      <c r="K3236" s="30"/>
      <c r="L3236" s="29"/>
      <c r="M3236" s="32" t="str">
        <f aca="false">IF(OR(C3236="",L3236=""),"",IF(C3236=L3236,"同一","変更"))</f>
        <v/>
      </c>
      <c r="N3236" s="29"/>
      <c r="O3236" s="30"/>
      <c r="P3236" s="29"/>
      <c r="Q3236" s="31"/>
      <c r="R3236" s="29"/>
      <c r="S3236" s="29"/>
      <c r="T3236" s="30"/>
      <c r="U3236" s="47" t="str">
        <f aca="false">IF(AND(B3236&lt;&gt;"",B3236=SW別シート!$C$3),COUNTIF(B$5:B3236,B3236),"")</f>
        <v/>
      </c>
      <c r="V3236" s="47" t="n">
        <f aca="false">V3235+IF(OR(O3236&lt;&gt;"",W3236&lt;&gt;""),1,0)</f>
        <v>3</v>
      </c>
      <c r="W3236" s="29"/>
    </row>
    <row r="3237" customFormat="false" ht="15" hidden="false" customHeight="false" outlineLevel="0" collapsed="false">
      <c r="A3237" s="32" t="str">
        <f aca="false">IF(B3237="","",ROW()-7)</f>
        <v/>
      </c>
      <c r="B3237" s="30"/>
      <c r="C3237" s="29"/>
      <c r="D3237" s="29"/>
      <c r="E3237" s="29"/>
      <c r="F3237" s="30"/>
      <c r="G3237" s="29"/>
      <c r="H3237" s="30"/>
      <c r="I3237" s="29"/>
      <c r="J3237" s="30"/>
      <c r="K3237" s="30"/>
      <c r="L3237" s="29"/>
      <c r="M3237" s="32" t="str">
        <f aca="false">IF(OR(C3237="",L3237=""),"",IF(C3237=L3237,"同一","変更"))</f>
        <v/>
      </c>
      <c r="N3237" s="29"/>
      <c r="O3237" s="30"/>
      <c r="P3237" s="29"/>
      <c r="Q3237" s="31"/>
      <c r="R3237" s="29"/>
      <c r="S3237" s="29"/>
      <c r="T3237" s="30"/>
      <c r="U3237" s="47" t="str">
        <f aca="false">IF(AND(B3237&lt;&gt;"",B3237=SW別シート!$C$3),COUNTIF(B$5:B3237,B3237),"")</f>
        <v/>
      </c>
      <c r="V3237" s="47" t="n">
        <f aca="false">V3236+IF(OR(O3237&lt;&gt;"",W3237&lt;&gt;""),1,0)</f>
        <v>3</v>
      </c>
      <c r="W3237" s="29"/>
    </row>
    <row r="3238" customFormat="false" ht="15" hidden="false" customHeight="false" outlineLevel="0" collapsed="false">
      <c r="A3238" s="32" t="str">
        <f aca="false">IF(B3238="","",ROW()-7)</f>
        <v/>
      </c>
      <c r="B3238" s="30"/>
      <c r="C3238" s="29"/>
      <c r="D3238" s="29"/>
      <c r="E3238" s="29"/>
      <c r="F3238" s="30"/>
      <c r="G3238" s="29"/>
      <c r="H3238" s="30"/>
      <c r="I3238" s="29"/>
      <c r="J3238" s="30"/>
      <c r="K3238" s="30"/>
      <c r="L3238" s="29"/>
      <c r="M3238" s="32" t="str">
        <f aca="false">IF(OR(C3238="",L3238=""),"",IF(C3238=L3238,"同一","変更"))</f>
        <v/>
      </c>
      <c r="N3238" s="29"/>
      <c r="O3238" s="30"/>
      <c r="P3238" s="29"/>
      <c r="Q3238" s="31"/>
      <c r="R3238" s="29"/>
      <c r="S3238" s="29"/>
      <c r="T3238" s="30"/>
      <c r="U3238" s="47" t="str">
        <f aca="false">IF(AND(B3238&lt;&gt;"",B3238=SW別シート!$C$3),COUNTIF(B$5:B3238,B3238),"")</f>
        <v/>
      </c>
      <c r="V3238" s="47" t="n">
        <f aca="false">V3237+IF(OR(O3238&lt;&gt;"",W3238&lt;&gt;""),1,0)</f>
        <v>3</v>
      </c>
      <c r="W3238" s="29"/>
    </row>
    <row r="3239" customFormat="false" ht="15" hidden="false" customHeight="false" outlineLevel="0" collapsed="false">
      <c r="A3239" s="32" t="str">
        <f aca="false">IF(B3239="","",ROW()-7)</f>
        <v/>
      </c>
      <c r="B3239" s="30"/>
      <c r="C3239" s="29"/>
      <c r="D3239" s="29"/>
      <c r="E3239" s="29"/>
      <c r="F3239" s="30"/>
      <c r="G3239" s="29"/>
      <c r="H3239" s="30"/>
      <c r="I3239" s="29"/>
      <c r="J3239" s="30"/>
      <c r="K3239" s="30"/>
      <c r="L3239" s="29"/>
      <c r="M3239" s="32" t="str">
        <f aca="false">IF(OR(C3239="",L3239=""),"",IF(C3239=L3239,"同一","変更"))</f>
        <v/>
      </c>
      <c r="N3239" s="29"/>
      <c r="O3239" s="30"/>
      <c r="P3239" s="29"/>
      <c r="Q3239" s="31"/>
      <c r="R3239" s="29"/>
      <c r="S3239" s="29"/>
      <c r="T3239" s="30"/>
      <c r="U3239" s="47" t="str">
        <f aca="false">IF(AND(B3239&lt;&gt;"",B3239=SW別シート!$C$3),COUNTIF(B$5:B3239,B3239),"")</f>
        <v/>
      </c>
      <c r="V3239" s="47" t="n">
        <f aca="false">V3238+IF(OR(O3239&lt;&gt;"",W3239&lt;&gt;""),1,0)</f>
        <v>3</v>
      </c>
      <c r="W3239" s="29"/>
    </row>
    <row r="3240" customFormat="false" ht="15" hidden="false" customHeight="false" outlineLevel="0" collapsed="false">
      <c r="A3240" s="32" t="str">
        <f aca="false">IF(B3240="","",ROW()-7)</f>
        <v/>
      </c>
      <c r="B3240" s="30"/>
      <c r="C3240" s="29"/>
      <c r="D3240" s="29"/>
      <c r="E3240" s="29"/>
      <c r="F3240" s="30"/>
      <c r="G3240" s="29"/>
      <c r="H3240" s="30"/>
      <c r="I3240" s="29"/>
      <c r="J3240" s="30"/>
      <c r="K3240" s="30"/>
      <c r="L3240" s="29"/>
      <c r="M3240" s="32" t="str">
        <f aca="false">IF(OR(C3240="",L3240=""),"",IF(C3240=L3240,"同一","変更"))</f>
        <v/>
      </c>
      <c r="N3240" s="29"/>
      <c r="O3240" s="30"/>
      <c r="P3240" s="29"/>
      <c r="Q3240" s="31"/>
      <c r="R3240" s="29"/>
      <c r="S3240" s="29"/>
      <c r="T3240" s="30"/>
      <c r="U3240" s="47" t="str">
        <f aca="false">IF(AND(B3240&lt;&gt;"",B3240=SW別シート!$C$3),COUNTIF(B$5:B3240,B3240),"")</f>
        <v/>
      </c>
      <c r="V3240" s="47" t="n">
        <f aca="false">V3239+IF(OR(O3240&lt;&gt;"",W3240&lt;&gt;""),1,0)</f>
        <v>3</v>
      </c>
      <c r="W3240" s="29"/>
    </row>
    <row r="3241" customFormat="false" ht="15" hidden="false" customHeight="false" outlineLevel="0" collapsed="false">
      <c r="A3241" s="32" t="str">
        <f aca="false">IF(B3241="","",ROW()-7)</f>
        <v/>
      </c>
      <c r="B3241" s="30"/>
      <c r="C3241" s="29"/>
      <c r="D3241" s="29"/>
      <c r="E3241" s="29"/>
      <c r="F3241" s="30"/>
      <c r="G3241" s="29"/>
      <c r="H3241" s="30"/>
      <c r="I3241" s="29"/>
      <c r="J3241" s="30"/>
      <c r="K3241" s="30"/>
      <c r="L3241" s="29"/>
      <c r="M3241" s="32" t="str">
        <f aca="false">IF(OR(C3241="",L3241=""),"",IF(C3241=L3241,"同一","変更"))</f>
        <v/>
      </c>
      <c r="N3241" s="29"/>
      <c r="O3241" s="30"/>
      <c r="P3241" s="29"/>
      <c r="Q3241" s="31"/>
      <c r="R3241" s="29"/>
      <c r="S3241" s="29"/>
      <c r="T3241" s="30"/>
      <c r="U3241" s="47" t="str">
        <f aca="false">IF(AND(B3241&lt;&gt;"",B3241=SW別シート!$C$3),COUNTIF(B$5:B3241,B3241),"")</f>
        <v/>
      </c>
      <c r="V3241" s="47" t="n">
        <f aca="false">V3240+IF(OR(O3241&lt;&gt;"",W3241&lt;&gt;""),1,0)</f>
        <v>3</v>
      </c>
      <c r="W3241" s="29"/>
    </row>
    <row r="3242" customFormat="false" ht="15" hidden="false" customHeight="false" outlineLevel="0" collapsed="false">
      <c r="A3242" s="32" t="str">
        <f aca="false">IF(B3242="","",ROW()-7)</f>
        <v/>
      </c>
      <c r="B3242" s="30"/>
      <c r="C3242" s="29"/>
      <c r="D3242" s="29"/>
      <c r="E3242" s="29"/>
      <c r="F3242" s="30"/>
      <c r="G3242" s="29"/>
      <c r="H3242" s="30"/>
      <c r="I3242" s="29"/>
      <c r="J3242" s="30"/>
      <c r="K3242" s="30"/>
      <c r="L3242" s="29"/>
      <c r="M3242" s="32" t="str">
        <f aca="false">IF(OR(C3242="",L3242=""),"",IF(C3242=L3242,"同一","変更"))</f>
        <v/>
      </c>
      <c r="N3242" s="29"/>
      <c r="O3242" s="30"/>
      <c r="P3242" s="29"/>
      <c r="Q3242" s="31"/>
      <c r="R3242" s="29"/>
      <c r="S3242" s="29"/>
      <c r="T3242" s="30"/>
      <c r="U3242" s="47" t="str">
        <f aca="false">IF(AND(B3242&lt;&gt;"",B3242=SW別シート!$C$3),COUNTIF(B$5:B3242,B3242),"")</f>
        <v/>
      </c>
      <c r="V3242" s="47" t="n">
        <f aca="false">V3241+IF(OR(O3242&lt;&gt;"",W3242&lt;&gt;""),1,0)</f>
        <v>3</v>
      </c>
      <c r="W3242" s="29"/>
    </row>
    <row r="3243" customFormat="false" ht="15" hidden="false" customHeight="false" outlineLevel="0" collapsed="false">
      <c r="A3243" s="32" t="str">
        <f aca="false">IF(B3243="","",ROW()-7)</f>
        <v/>
      </c>
      <c r="B3243" s="30"/>
      <c r="C3243" s="29"/>
      <c r="D3243" s="29"/>
      <c r="E3243" s="29"/>
      <c r="F3243" s="30"/>
      <c r="G3243" s="29"/>
      <c r="H3243" s="30"/>
      <c r="I3243" s="29"/>
      <c r="J3243" s="30"/>
      <c r="K3243" s="30"/>
      <c r="L3243" s="29"/>
      <c r="M3243" s="32" t="str">
        <f aca="false">IF(OR(C3243="",L3243=""),"",IF(C3243=L3243,"同一","変更"))</f>
        <v/>
      </c>
      <c r="N3243" s="29"/>
      <c r="O3243" s="30"/>
      <c r="P3243" s="29"/>
      <c r="Q3243" s="31"/>
      <c r="R3243" s="29"/>
      <c r="S3243" s="29"/>
      <c r="T3243" s="30"/>
      <c r="U3243" s="47" t="str">
        <f aca="false">IF(AND(B3243&lt;&gt;"",B3243=SW別シート!$C$3),COUNTIF(B$5:B3243,B3243),"")</f>
        <v/>
      </c>
      <c r="V3243" s="47" t="n">
        <f aca="false">V3242+IF(OR(O3243&lt;&gt;"",W3243&lt;&gt;""),1,0)</f>
        <v>3</v>
      </c>
      <c r="W3243" s="29"/>
    </row>
    <row r="3244" customFormat="false" ht="15" hidden="false" customHeight="false" outlineLevel="0" collapsed="false">
      <c r="A3244" s="32" t="str">
        <f aca="false">IF(B3244="","",ROW()-7)</f>
        <v/>
      </c>
      <c r="B3244" s="30"/>
      <c r="C3244" s="29"/>
      <c r="D3244" s="29"/>
      <c r="E3244" s="29"/>
      <c r="F3244" s="30"/>
      <c r="G3244" s="29"/>
      <c r="H3244" s="30"/>
      <c r="I3244" s="29"/>
      <c r="J3244" s="30"/>
      <c r="K3244" s="30"/>
      <c r="L3244" s="29"/>
      <c r="M3244" s="32" t="str">
        <f aca="false">IF(OR(C3244="",L3244=""),"",IF(C3244=L3244,"同一","変更"))</f>
        <v/>
      </c>
      <c r="N3244" s="29"/>
      <c r="O3244" s="30"/>
      <c r="P3244" s="29"/>
      <c r="Q3244" s="31"/>
      <c r="R3244" s="29"/>
      <c r="S3244" s="29"/>
      <c r="T3244" s="30"/>
      <c r="U3244" s="47" t="str">
        <f aca="false">IF(AND(B3244&lt;&gt;"",B3244=SW別シート!$C$3),COUNTIF(B$5:B3244,B3244),"")</f>
        <v/>
      </c>
      <c r="V3244" s="47" t="n">
        <f aca="false">V3243+IF(OR(O3244&lt;&gt;"",W3244&lt;&gt;""),1,0)</f>
        <v>3</v>
      </c>
      <c r="W3244" s="29"/>
    </row>
    <row r="3245" customFormat="false" ht="15" hidden="false" customHeight="false" outlineLevel="0" collapsed="false">
      <c r="A3245" s="32" t="str">
        <f aca="false">IF(B3245="","",ROW()-7)</f>
        <v/>
      </c>
      <c r="B3245" s="30"/>
      <c r="C3245" s="29"/>
      <c r="D3245" s="29"/>
      <c r="E3245" s="29"/>
      <c r="F3245" s="30"/>
      <c r="G3245" s="29"/>
      <c r="H3245" s="30"/>
      <c r="I3245" s="29"/>
      <c r="J3245" s="30"/>
      <c r="K3245" s="30"/>
      <c r="L3245" s="29"/>
      <c r="M3245" s="32" t="str">
        <f aca="false">IF(OR(C3245="",L3245=""),"",IF(C3245=L3245,"同一","変更"))</f>
        <v/>
      </c>
      <c r="N3245" s="29"/>
      <c r="O3245" s="30"/>
      <c r="P3245" s="29"/>
      <c r="Q3245" s="31"/>
      <c r="R3245" s="29"/>
      <c r="S3245" s="29"/>
      <c r="T3245" s="30"/>
      <c r="U3245" s="47" t="str">
        <f aca="false">IF(AND(B3245&lt;&gt;"",B3245=SW別シート!$C$3),COUNTIF(B$5:B3245,B3245),"")</f>
        <v/>
      </c>
      <c r="V3245" s="47" t="n">
        <f aca="false">V3244+IF(OR(O3245&lt;&gt;"",W3245&lt;&gt;""),1,0)</f>
        <v>3</v>
      </c>
      <c r="W3245" s="29"/>
    </row>
    <row r="3246" customFormat="false" ht="15" hidden="false" customHeight="false" outlineLevel="0" collapsed="false">
      <c r="A3246" s="32" t="str">
        <f aca="false">IF(B3246="","",ROW()-7)</f>
        <v/>
      </c>
      <c r="B3246" s="30"/>
      <c r="C3246" s="29"/>
      <c r="D3246" s="29"/>
      <c r="E3246" s="29"/>
      <c r="F3246" s="30"/>
      <c r="G3246" s="29"/>
      <c r="H3246" s="30"/>
      <c r="I3246" s="29"/>
      <c r="J3246" s="30"/>
      <c r="K3246" s="30"/>
      <c r="L3246" s="29"/>
      <c r="M3246" s="32" t="str">
        <f aca="false">IF(OR(C3246="",L3246=""),"",IF(C3246=L3246,"同一","変更"))</f>
        <v/>
      </c>
      <c r="N3246" s="29"/>
      <c r="O3246" s="30"/>
      <c r="P3246" s="29"/>
      <c r="Q3246" s="31"/>
      <c r="R3246" s="29"/>
      <c r="S3246" s="29"/>
      <c r="T3246" s="30"/>
      <c r="U3246" s="47" t="str">
        <f aca="false">IF(AND(B3246&lt;&gt;"",B3246=SW別シート!$C$3),COUNTIF(B$5:B3246,B3246),"")</f>
        <v/>
      </c>
      <c r="V3246" s="47" t="n">
        <f aca="false">V3245+IF(OR(O3246&lt;&gt;"",W3246&lt;&gt;""),1,0)</f>
        <v>3</v>
      </c>
      <c r="W3246" s="29"/>
    </row>
    <row r="3247" customFormat="false" ht="15" hidden="false" customHeight="false" outlineLevel="0" collapsed="false">
      <c r="A3247" s="32" t="str">
        <f aca="false">IF(B3247="","",ROW()-7)</f>
        <v/>
      </c>
      <c r="B3247" s="30"/>
      <c r="C3247" s="29"/>
      <c r="D3247" s="29"/>
      <c r="E3247" s="29"/>
      <c r="F3247" s="30"/>
      <c r="G3247" s="29"/>
      <c r="H3247" s="30"/>
      <c r="I3247" s="29"/>
      <c r="J3247" s="30"/>
      <c r="K3247" s="30"/>
      <c r="L3247" s="29"/>
      <c r="M3247" s="32" t="str">
        <f aca="false">IF(OR(C3247="",L3247=""),"",IF(C3247=L3247,"同一","変更"))</f>
        <v/>
      </c>
      <c r="N3247" s="29"/>
      <c r="O3247" s="30"/>
      <c r="P3247" s="29"/>
      <c r="Q3247" s="31"/>
      <c r="R3247" s="29"/>
      <c r="S3247" s="29"/>
      <c r="T3247" s="30"/>
      <c r="U3247" s="47" t="str">
        <f aca="false">IF(AND(B3247&lt;&gt;"",B3247=SW別シート!$C$3),COUNTIF(B$5:B3247,B3247),"")</f>
        <v/>
      </c>
      <c r="V3247" s="47" t="n">
        <f aca="false">V3246+IF(OR(O3247&lt;&gt;"",W3247&lt;&gt;""),1,0)</f>
        <v>3</v>
      </c>
      <c r="W3247" s="29"/>
    </row>
    <row r="3248" customFormat="false" ht="15" hidden="false" customHeight="false" outlineLevel="0" collapsed="false">
      <c r="A3248" s="32" t="str">
        <f aca="false">IF(B3248="","",ROW()-7)</f>
        <v/>
      </c>
      <c r="B3248" s="30"/>
      <c r="C3248" s="29"/>
      <c r="D3248" s="29"/>
      <c r="E3248" s="29"/>
      <c r="F3248" s="30"/>
      <c r="G3248" s="29"/>
      <c r="H3248" s="30"/>
      <c r="I3248" s="29"/>
      <c r="J3248" s="30"/>
      <c r="K3248" s="30"/>
      <c r="L3248" s="29"/>
      <c r="M3248" s="32" t="str">
        <f aca="false">IF(OR(C3248="",L3248=""),"",IF(C3248=L3248,"同一","変更"))</f>
        <v/>
      </c>
      <c r="N3248" s="29"/>
      <c r="O3248" s="30"/>
      <c r="P3248" s="29"/>
      <c r="Q3248" s="31"/>
      <c r="R3248" s="29"/>
      <c r="S3248" s="29"/>
      <c r="T3248" s="30"/>
      <c r="U3248" s="47" t="str">
        <f aca="false">IF(AND(B3248&lt;&gt;"",B3248=SW別シート!$C$3),COUNTIF(B$5:B3248,B3248),"")</f>
        <v/>
      </c>
      <c r="V3248" s="47" t="n">
        <f aca="false">V3247+IF(OR(O3248&lt;&gt;"",W3248&lt;&gt;""),1,0)</f>
        <v>3</v>
      </c>
      <c r="W3248" s="29"/>
    </row>
    <row r="3249" customFormat="false" ht="15" hidden="false" customHeight="false" outlineLevel="0" collapsed="false">
      <c r="A3249" s="32" t="str">
        <f aca="false">IF(B3249="","",ROW()-7)</f>
        <v/>
      </c>
      <c r="B3249" s="30"/>
      <c r="C3249" s="29"/>
      <c r="D3249" s="29"/>
      <c r="E3249" s="29"/>
      <c r="F3249" s="30"/>
      <c r="G3249" s="29"/>
      <c r="H3249" s="30"/>
      <c r="I3249" s="29"/>
      <c r="J3249" s="30"/>
      <c r="K3249" s="30"/>
      <c r="L3249" s="29"/>
      <c r="M3249" s="32" t="str">
        <f aca="false">IF(OR(C3249="",L3249=""),"",IF(C3249=L3249,"同一","変更"))</f>
        <v/>
      </c>
      <c r="N3249" s="29"/>
      <c r="O3249" s="30"/>
      <c r="P3249" s="29"/>
      <c r="Q3249" s="31"/>
      <c r="R3249" s="29"/>
      <c r="S3249" s="29"/>
      <c r="T3249" s="30"/>
      <c r="U3249" s="47" t="str">
        <f aca="false">IF(AND(B3249&lt;&gt;"",B3249=SW別シート!$C$3),COUNTIF(B$5:B3249,B3249),"")</f>
        <v/>
      </c>
      <c r="V3249" s="47" t="n">
        <f aca="false">V3248+IF(OR(O3249&lt;&gt;"",W3249&lt;&gt;""),1,0)</f>
        <v>3</v>
      </c>
      <c r="W3249" s="29"/>
    </row>
    <row r="3250" customFormat="false" ht="15" hidden="false" customHeight="false" outlineLevel="0" collapsed="false">
      <c r="A3250" s="32" t="str">
        <f aca="false">IF(B3250="","",ROW()-7)</f>
        <v/>
      </c>
      <c r="B3250" s="30"/>
      <c r="C3250" s="29"/>
      <c r="D3250" s="29"/>
      <c r="E3250" s="29"/>
      <c r="F3250" s="30"/>
      <c r="G3250" s="29"/>
      <c r="H3250" s="30"/>
      <c r="I3250" s="29"/>
      <c r="J3250" s="30"/>
      <c r="K3250" s="30"/>
      <c r="L3250" s="29"/>
      <c r="M3250" s="32" t="str">
        <f aca="false">IF(OR(C3250="",L3250=""),"",IF(C3250=L3250,"同一","変更"))</f>
        <v/>
      </c>
      <c r="N3250" s="29"/>
      <c r="O3250" s="30"/>
      <c r="P3250" s="29"/>
      <c r="Q3250" s="31"/>
      <c r="R3250" s="29"/>
      <c r="S3250" s="29"/>
      <c r="T3250" s="30"/>
      <c r="U3250" s="47" t="str">
        <f aca="false">IF(AND(B3250&lt;&gt;"",B3250=SW別シート!$C$3),COUNTIF(B$5:B3250,B3250),"")</f>
        <v/>
      </c>
      <c r="V3250" s="47" t="n">
        <f aca="false">V3249+IF(OR(O3250&lt;&gt;"",W3250&lt;&gt;""),1,0)</f>
        <v>3</v>
      </c>
      <c r="W3250" s="29"/>
    </row>
    <row r="3251" customFormat="false" ht="15" hidden="false" customHeight="false" outlineLevel="0" collapsed="false">
      <c r="A3251" s="32" t="str">
        <f aca="false">IF(B3251="","",ROW()-7)</f>
        <v/>
      </c>
      <c r="B3251" s="30"/>
      <c r="C3251" s="29"/>
      <c r="D3251" s="29"/>
      <c r="E3251" s="29"/>
      <c r="F3251" s="30"/>
      <c r="G3251" s="29"/>
      <c r="H3251" s="30"/>
      <c r="I3251" s="29"/>
      <c r="J3251" s="30"/>
      <c r="K3251" s="30"/>
      <c r="L3251" s="29"/>
      <c r="M3251" s="32" t="str">
        <f aca="false">IF(OR(C3251="",L3251=""),"",IF(C3251=L3251,"同一","変更"))</f>
        <v/>
      </c>
      <c r="N3251" s="29"/>
      <c r="O3251" s="30"/>
      <c r="P3251" s="29"/>
      <c r="Q3251" s="31"/>
      <c r="R3251" s="29"/>
      <c r="S3251" s="29"/>
      <c r="T3251" s="30"/>
      <c r="U3251" s="47" t="str">
        <f aca="false">IF(AND(B3251&lt;&gt;"",B3251=SW別シート!$C$3),COUNTIF(B$5:B3251,B3251),"")</f>
        <v/>
      </c>
      <c r="V3251" s="47" t="n">
        <f aca="false">V3250+IF(OR(O3251&lt;&gt;"",W3251&lt;&gt;""),1,0)</f>
        <v>3</v>
      </c>
      <c r="W3251" s="29"/>
    </row>
    <row r="3252" customFormat="false" ht="15" hidden="false" customHeight="false" outlineLevel="0" collapsed="false">
      <c r="A3252" s="32" t="str">
        <f aca="false">IF(B3252="","",ROW()-7)</f>
        <v/>
      </c>
      <c r="B3252" s="30"/>
      <c r="C3252" s="29"/>
      <c r="D3252" s="29"/>
      <c r="E3252" s="29"/>
      <c r="F3252" s="30"/>
      <c r="G3252" s="29"/>
      <c r="H3252" s="30"/>
      <c r="I3252" s="29"/>
      <c r="J3252" s="30"/>
      <c r="K3252" s="30"/>
      <c r="L3252" s="29"/>
      <c r="M3252" s="32" t="str">
        <f aca="false">IF(OR(C3252="",L3252=""),"",IF(C3252=L3252,"同一","変更"))</f>
        <v/>
      </c>
      <c r="N3252" s="29"/>
      <c r="O3252" s="30"/>
      <c r="P3252" s="29"/>
      <c r="Q3252" s="31"/>
      <c r="R3252" s="29"/>
      <c r="S3252" s="29"/>
      <c r="T3252" s="30"/>
      <c r="U3252" s="47" t="str">
        <f aca="false">IF(AND(B3252&lt;&gt;"",B3252=SW別シート!$C$3),COUNTIF(B$5:B3252,B3252),"")</f>
        <v/>
      </c>
      <c r="V3252" s="47" t="n">
        <f aca="false">V3251+IF(OR(O3252&lt;&gt;"",W3252&lt;&gt;""),1,0)</f>
        <v>3</v>
      </c>
      <c r="W3252" s="29"/>
    </row>
    <row r="3253" customFormat="false" ht="15" hidden="false" customHeight="false" outlineLevel="0" collapsed="false">
      <c r="A3253" s="32" t="str">
        <f aca="false">IF(B3253="","",ROW()-7)</f>
        <v/>
      </c>
      <c r="B3253" s="30"/>
      <c r="C3253" s="29"/>
      <c r="D3253" s="29"/>
      <c r="E3253" s="29"/>
      <c r="F3253" s="30"/>
      <c r="G3253" s="29"/>
      <c r="H3253" s="30"/>
      <c r="I3253" s="29"/>
      <c r="J3253" s="30"/>
      <c r="K3253" s="30"/>
      <c r="L3253" s="29"/>
      <c r="M3253" s="32" t="str">
        <f aca="false">IF(OR(C3253="",L3253=""),"",IF(C3253=L3253,"同一","変更"))</f>
        <v/>
      </c>
      <c r="N3253" s="29"/>
      <c r="O3253" s="30"/>
      <c r="P3253" s="29"/>
      <c r="Q3253" s="31"/>
      <c r="R3253" s="29"/>
      <c r="S3253" s="29"/>
      <c r="T3253" s="30"/>
      <c r="U3253" s="47" t="str">
        <f aca="false">IF(AND(B3253&lt;&gt;"",B3253=SW別シート!$C$3),COUNTIF(B$5:B3253,B3253),"")</f>
        <v/>
      </c>
      <c r="V3253" s="47" t="n">
        <f aca="false">V3252+IF(OR(O3253&lt;&gt;"",W3253&lt;&gt;""),1,0)</f>
        <v>3</v>
      </c>
      <c r="W3253" s="29"/>
    </row>
    <row r="3254" customFormat="false" ht="15" hidden="false" customHeight="false" outlineLevel="0" collapsed="false">
      <c r="A3254" s="32" t="str">
        <f aca="false">IF(B3254="","",ROW()-7)</f>
        <v/>
      </c>
      <c r="B3254" s="30"/>
      <c r="C3254" s="29"/>
      <c r="D3254" s="29"/>
      <c r="E3254" s="29"/>
      <c r="F3254" s="30"/>
      <c r="G3254" s="29"/>
      <c r="H3254" s="30"/>
      <c r="I3254" s="29"/>
      <c r="J3254" s="30"/>
      <c r="K3254" s="30"/>
      <c r="L3254" s="29"/>
      <c r="M3254" s="32" t="str">
        <f aca="false">IF(OR(C3254="",L3254=""),"",IF(C3254=L3254,"同一","変更"))</f>
        <v/>
      </c>
      <c r="N3254" s="29"/>
      <c r="O3254" s="30"/>
      <c r="P3254" s="29"/>
      <c r="Q3254" s="31"/>
      <c r="R3254" s="29"/>
      <c r="S3254" s="29"/>
      <c r="T3254" s="30"/>
      <c r="U3254" s="47" t="str">
        <f aca="false">IF(AND(B3254&lt;&gt;"",B3254=SW別シート!$C$3),COUNTIF(B$5:B3254,B3254),"")</f>
        <v/>
      </c>
      <c r="V3254" s="47" t="n">
        <f aca="false">V3253+IF(OR(O3254&lt;&gt;"",W3254&lt;&gt;""),1,0)</f>
        <v>3</v>
      </c>
      <c r="W3254" s="29"/>
    </row>
    <row r="3255" customFormat="false" ht="15" hidden="false" customHeight="false" outlineLevel="0" collapsed="false">
      <c r="A3255" s="32" t="str">
        <f aca="false">IF(B3255="","",ROW()-7)</f>
        <v/>
      </c>
      <c r="B3255" s="30"/>
      <c r="C3255" s="29"/>
      <c r="D3255" s="29"/>
      <c r="E3255" s="29"/>
      <c r="F3255" s="30"/>
      <c r="G3255" s="29"/>
      <c r="H3255" s="30"/>
      <c r="I3255" s="29"/>
      <c r="J3255" s="30"/>
      <c r="K3255" s="30"/>
      <c r="L3255" s="29"/>
      <c r="M3255" s="32" t="str">
        <f aca="false">IF(OR(C3255="",L3255=""),"",IF(C3255=L3255,"同一","変更"))</f>
        <v/>
      </c>
      <c r="N3255" s="29"/>
      <c r="O3255" s="30"/>
      <c r="P3255" s="29"/>
      <c r="Q3255" s="31"/>
      <c r="R3255" s="29"/>
      <c r="S3255" s="29"/>
      <c r="T3255" s="30"/>
      <c r="U3255" s="47" t="str">
        <f aca="false">IF(AND(B3255&lt;&gt;"",B3255=SW別シート!$C$3),COUNTIF(B$5:B3255,B3255),"")</f>
        <v/>
      </c>
      <c r="V3255" s="47" t="n">
        <f aca="false">V3254+IF(OR(O3255&lt;&gt;"",W3255&lt;&gt;""),1,0)</f>
        <v>3</v>
      </c>
      <c r="W3255" s="29"/>
    </row>
    <row r="3256" customFormat="false" ht="15" hidden="false" customHeight="false" outlineLevel="0" collapsed="false">
      <c r="A3256" s="32" t="str">
        <f aca="false">IF(B3256="","",ROW()-7)</f>
        <v/>
      </c>
      <c r="B3256" s="30"/>
      <c r="C3256" s="29"/>
      <c r="D3256" s="29"/>
      <c r="E3256" s="29"/>
      <c r="F3256" s="30"/>
      <c r="G3256" s="29"/>
      <c r="H3256" s="30"/>
      <c r="I3256" s="29"/>
      <c r="J3256" s="30"/>
      <c r="K3256" s="30"/>
      <c r="L3256" s="29"/>
      <c r="M3256" s="32" t="str">
        <f aca="false">IF(OR(C3256="",L3256=""),"",IF(C3256=L3256,"同一","変更"))</f>
        <v/>
      </c>
      <c r="N3256" s="29"/>
      <c r="O3256" s="30"/>
      <c r="P3256" s="29"/>
      <c r="Q3256" s="31"/>
      <c r="R3256" s="29"/>
      <c r="S3256" s="29"/>
      <c r="T3256" s="30"/>
      <c r="U3256" s="47" t="str">
        <f aca="false">IF(AND(B3256&lt;&gt;"",B3256=SW別シート!$C$3),COUNTIF(B$5:B3256,B3256),"")</f>
        <v/>
      </c>
      <c r="V3256" s="47" t="n">
        <f aca="false">V3255+IF(OR(O3256&lt;&gt;"",W3256&lt;&gt;""),1,0)</f>
        <v>3</v>
      </c>
      <c r="W3256" s="29"/>
    </row>
    <row r="3257" customFormat="false" ht="15" hidden="false" customHeight="false" outlineLevel="0" collapsed="false">
      <c r="A3257" s="32" t="str">
        <f aca="false">IF(B3257="","",ROW()-7)</f>
        <v/>
      </c>
      <c r="B3257" s="30"/>
      <c r="C3257" s="29"/>
      <c r="D3257" s="29"/>
      <c r="E3257" s="29"/>
      <c r="F3257" s="30"/>
      <c r="G3257" s="29"/>
      <c r="H3257" s="30"/>
      <c r="I3257" s="29"/>
      <c r="J3257" s="30"/>
      <c r="K3257" s="30"/>
      <c r="L3257" s="29"/>
      <c r="M3257" s="32" t="str">
        <f aca="false">IF(OR(C3257="",L3257=""),"",IF(C3257=L3257,"同一","変更"))</f>
        <v/>
      </c>
      <c r="N3257" s="29"/>
      <c r="O3257" s="30"/>
      <c r="P3257" s="29"/>
      <c r="Q3257" s="31"/>
      <c r="R3257" s="29"/>
      <c r="S3257" s="29"/>
      <c r="T3257" s="30"/>
      <c r="U3257" s="47" t="str">
        <f aca="false">IF(AND(B3257&lt;&gt;"",B3257=SW別シート!$C$3),COUNTIF(B$5:B3257,B3257),"")</f>
        <v/>
      </c>
      <c r="V3257" s="47" t="n">
        <f aca="false">V3256+IF(OR(O3257&lt;&gt;"",W3257&lt;&gt;""),1,0)</f>
        <v>3</v>
      </c>
      <c r="W3257" s="29"/>
    </row>
    <row r="3258" customFormat="false" ht="15" hidden="false" customHeight="false" outlineLevel="0" collapsed="false">
      <c r="A3258" s="32" t="str">
        <f aca="false">IF(B3258="","",ROW()-7)</f>
        <v/>
      </c>
      <c r="B3258" s="30"/>
      <c r="C3258" s="29"/>
      <c r="D3258" s="29"/>
      <c r="E3258" s="29"/>
      <c r="F3258" s="30"/>
      <c r="G3258" s="29"/>
      <c r="H3258" s="30"/>
      <c r="I3258" s="29"/>
      <c r="J3258" s="30"/>
      <c r="K3258" s="30"/>
      <c r="L3258" s="29"/>
      <c r="M3258" s="32" t="str">
        <f aca="false">IF(OR(C3258="",L3258=""),"",IF(C3258=L3258,"同一","変更"))</f>
        <v/>
      </c>
      <c r="N3258" s="29"/>
      <c r="O3258" s="30"/>
      <c r="P3258" s="29"/>
      <c r="Q3258" s="31"/>
      <c r="R3258" s="29"/>
      <c r="S3258" s="29"/>
      <c r="T3258" s="30"/>
      <c r="U3258" s="47" t="str">
        <f aca="false">IF(AND(B3258&lt;&gt;"",B3258=SW別シート!$C$3),COUNTIF(B$5:B3258,B3258),"")</f>
        <v/>
      </c>
      <c r="V3258" s="47" t="n">
        <f aca="false">V3257+IF(OR(O3258&lt;&gt;"",W3258&lt;&gt;""),1,0)</f>
        <v>3</v>
      </c>
      <c r="W3258" s="29"/>
    </row>
    <row r="3259" customFormat="false" ht="15" hidden="false" customHeight="false" outlineLevel="0" collapsed="false">
      <c r="A3259" s="32" t="str">
        <f aca="false">IF(B3259="","",ROW()-7)</f>
        <v/>
      </c>
      <c r="B3259" s="30"/>
      <c r="C3259" s="29"/>
      <c r="D3259" s="29"/>
      <c r="E3259" s="29"/>
      <c r="F3259" s="30"/>
      <c r="G3259" s="29"/>
      <c r="H3259" s="30"/>
      <c r="I3259" s="29"/>
      <c r="J3259" s="30"/>
      <c r="K3259" s="30"/>
      <c r="L3259" s="29"/>
      <c r="M3259" s="32" t="str">
        <f aca="false">IF(OR(C3259="",L3259=""),"",IF(C3259=L3259,"同一","変更"))</f>
        <v/>
      </c>
      <c r="N3259" s="29"/>
      <c r="O3259" s="30"/>
      <c r="P3259" s="29"/>
      <c r="Q3259" s="31"/>
      <c r="R3259" s="29"/>
      <c r="S3259" s="29"/>
      <c r="T3259" s="30"/>
      <c r="U3259" s="47" t="str">
        <f aca="false">IF(AND(B3259&lt;&gt;"",B3259=SW別シート!$C$3),COUNTIF(B$5:B3259,B3259),"")</f>
        <v/>
      </c>
      <c r="V3259" s="47" t="n">
        <f aca="false">V3258+IF(OR(O3259&lt;&gt;"",W3259&lt;&gt;""),1,0)</f>
        <v>3</v>
      </c>
      <c r="W3259" s="29"/>
    </row>
    <row r="3260" customFormat="false" ht="15" hidden="false" customHeight="false" outlineLevel="0" collapsed="false">
      <c r="A3260" s="32" t="str">
        <f aca="false">IF(B3260="","",ROW()-7)</f>
        <v/>
      </c>
      <c r="B3260" s="30"/>
      <c r="C3260" s="29"/>
      <c r="D3260" s="29"/>
      <c r="E3260" s="29"/>
      <c r="F3260" s="30"/>
      <c r="G3260" s="29"/>
      <c r="H3260" s="30"/>
      <c r="I3260" s="29"/>
      <c r="J3260" s="30"/>
      <c r="K3260" s="30"/>
      <c r="L3260" s="29"/>
      <c r="M3260" s="32" t="str">
        <f aca="false">IF(OR(C3260="",L3260=""),"",IF(C3260=L3260,"同一","変更"))</f>
        <v/>
      </c>
      <c r="N3260" s="29"/>
      <c r="O3260" s="30"/>
      <c r="P3260" s="29"/>
      <c r="Q3260" s="31"/>
      <c r="R3260" s="29"/>
      <c r="S3260" s="29"/>
      <c r="T3260" s="30"/>
      <c r="U3260" s="47" t="str">
        <f aca="false">IF(AND(B3260&lt;&gt;"",B3260=SW別シート!$C$3),COUNTIF(B$5:B3260,B3260),"")</f>
        <v/>
      </c>
      <c r="V3260" s="47" t="n">
        <f aca="false">V3259+IF(OR(O3260&lt;&gt;"",W3260&lt;&gt;""),1,0)</f>
        <v>3</v>
      </c>
      <c r="W3260" s="29"/>
    </row>
    <row r="3261" customFormat="false" ht="15" hidden="false" customHeight="false" outlineLevel="0" collapsed="false">
      <c r="A3261" s="32" t="str">
        <f aca="false">IF(B3261="","",ROW()-7)</f>
        <v/>
      </c>
      <c r="B3261" s="30"/>
      <c r="C3261" s="29"/>
      <c r="D3261" s="29"/>
      <c r="E3261" s="29"/>
      <c r="F3261" s="30"/>
      <c r="G3261" s="29"/>
      <c r="H3261" s="30"/>
      <c r="I3261" s="29"/>
      <c r="J3261" s="30"/>
      <c r="K3261" s="30"/>
      <c r="L3261" s="29"/>
      <c r="M3261" s="32" t="str">
        <f aca="false">IF(OR(C3261="",L3261=""),"",IF(C3261=L3261,"同一","変更"))</f>
        <v/>
      </c>
      <c r="N3261" s="29"/>
      <c r="O3261" s="30"/>
      <c r="P3261" s="29"/>
      <c r="Q3261" s="31"/>
      <c r="R3261" s="29"/>
      <c r="S3261" s="29"/>
      <c r="T3261" s="30"/>
      <c r="U3261" s="47" t="str">
        <f aca="false">IF(AND(B3261&lt;&gt;"",B3261=SW別シート!$C$3),COUNTIF(B$5:B3261,B3261),"")</f>
        <v/>
      </c>
      <c r="V3261" s="47" t="n">
        <f aca="false">V3260+IF(OR(O3261&lt;&gt;"",W3261&lt;&gt;""),1,0)</f>
        <v>3</v>
      </c>
      <c r="W3261" s="29"/>
    </row>
    <row r="3262" customFormat="false" ht="15" hidden="false" customHeight="false" outlineLevel="0" collapsed="false">
      <c r="A3262" s="32" t="str">
        <f aca="false">IF(B3262="","",ROW()-7)</f>
        <v/>
      </c>
      <c r="B3262" s="30"/>
      <c r="C3262" s="29"/>
      <c r="D3262" s="29"/>
      <c r="E3262" s="29"/>
      <c r="F3262" s="30"/>
      <c r="G3262" s="29"/>
      <c r="H3262" s="30"/>
      <c r="I3262" s="29"/>
      <c r="J3262" s="30"/>
      <c r="K3262" s="30"/>
      <c r="L3262" s="29"/>
      <c r="M3262" s="32" t="str">
        <f aca="false">IF(OR(C3262="",L3262=""),"",IF(C3262=L3262,"同一","変更"))</f>
        <v/>
      </c>
      <c r="N3262" s="29"/>
      <c r="O3262" s="30"/>
      <c r="P3262" s="29"/>
      <c r="Q3262" s="31"/>
      <c r="R3262" s="29"/>
      <c r="S3262" s="29"/>
      <c r="T3262" s="30"/>
      <c r="U3262" s="47" t="str">
        <f aca="false">IF(AND(B3262&lt;&gt;"",B3262=SW別シート!$C$3),COUNTIF(B$5:B3262,B3262),"")</f>
        <v/>
      </c>
      <c r="V3262" s="47" t="n">
        <f aca="false">V3261+IF(OR(O3262&lt;&gt;"",W3262&lt;&gt;""),1,0)</f>
        <v>3</v>
      </c>
      <c r="W3262" s="29"/>
    </row>
    <row r="3263" customFormat="false" ht="15" hidden="false" customHeight="false" outlineLevel="0" collapsed="false">
      <c r="A3263" s="32" t="str">
        <f aca="false">IF(B3263="","",ROW()-7)</f>
        <v/>
      </c>
      <c r="B3263" s="30"/>
      <c r="C3263" s="29"/>
      <c r="D3263" s="29"/>
      <c r="E3263" s="29"/>
      <c r="F3263" s="30"/>
      <c r="G3263" s="29"/>
      <c r="H3263" s="30"/>
      <c r="I3263" s="29"/>
      <c r="J3263" s="30"/>
      <c r="K3263" s="30"/>
      <c r="L3263" s="29"/>
      <c r="M3263" s="32" t="str">
        <f aca="false">IF(OR(C3263="",L3263=""),"",IF(C3263=L3263,"同一","変更"))</f>
        <v/>
      </c>
      <c r="N3263" s="29"/>
      <c r="O3263" s="30"/>
      <c r="P3263" s="29"/>
      <c r="Q3263" s="31"/>
      <c r="R3263" s="29"/>
      <c r="S3263" s="29"/>
      <c r="T3263" s="30"/>
      <c r="U3263" s="47" t="str">
        <f aca="false">IF(AND(B3263&lt;&gt;"",B3263=SW別シート!$C$3),COUNTIF(B$5:B3263,B3263),"")</f>
        <v/>
      </c>
      <c r="V3263" s="47" t="n">
        <f aca="false">V3262+IF(OR(O3263&lt;&gt;"",W3263&lt;&gt;""),1,0)</f>
        <v>3</v>
      </c>
      <c r="W3263" s="29"/>
    </row>
    <row r="3264" customFormat="false" ht="15" hidden="false" customHeight="false" outlineLevel="0" collapsed="false">
      <c r="A3264" s="32" t="str">
        <f aca="false">IF(B3264="","",ROW()-7)</f>
        <v/>
      </c>
      <c r="B3264" s="30"/>
      <c r="C3264" s="29"/>
      <c r="D3264" s="29"/>
      <c r="E3264" s="29"/>
      <c r="F3264" s="30"/>
      <c r="G3264" s="29"/>
      <c r="H3264" s="30"/>
      <c r="I3264" s="29"/>
      <c r="J3264" s="30"/>
      <c r="K3264" s="30"/>
      <c r="L3264" s="29"/>
      <c r="M3264" s="32" t="str">
        <f aca="false">IF(OR(C3264="",L3264=""),"",IF(C3264=L3264,"同一","変更"))</f>
        <v/>
      </c>
      <c r="N3264" s="29"/>
      <c r="O3264" s="30"/>
      <c r="P3264" s="29"/>
      <c r="Q3264" s="31"/>
      <c r="R3264" s="29"/>
      <c r="S3264" s="29"/>
      <c r="T3264" s="30"/>
      <c r="U3264" s="47" t="str">
        <f aca="false">IF(AND(B3264&lt;&gt;"",B3264=SW別シート!$C$3),COUNTIF(B$5:B3264,B3264),"")</f>
        <v/>
      </c>
      <c r="V3264" s="47" t="n">
        <f aca="false">V3263+IF(OR(O3264&lt;&gt;"",W3264&lt;&gt;""),1,0)</f>
        <v>3</v>
      </c>
      <c r="W3264" s="29"/>
    </row>
    <row r="3265" customFormat="false" ht="15" hidden="false" customHeight="false" outlineLevel="0" collapsed="false">
      <c r="A3265" s="32" t="str">
        <f aca="false">IF(B3265="","",ROW()-7)</f>
        <v/>
      </c>
      <c r="B3265" s="30"/>
      <c r="C3265" s="29"/>
      <c r="D3265" s="29"/>
      <c r="E3265" s="29"/>
      <c r="F3265" s="30"/>
      <c r="G3265" s="29"/>
      <c r="H3265" s="30"/>
      <c r="I3265" s="29"/>
      <c r="J3265" s="30"/>
      <c r="K3265" s="30"/>
      <c r="L3265" s="29"/>
      <c r="M3265" s="32" t="str">
        <f aca="false">IF(OR(C3265="",L3265=""),"",IF(C3265=L3265,"同一","変更"))</f>
        <v/>
      </c>
      <c r="N3265" s="29"/>
      <c r="O3265" s="30"/>
      <c r="P3265" s="29"/>
      <c r="Q3265" s="31"/>
      <c r="R3265" s="29"/>
      <c r="S3265" s="29"/>
      <c r="T3265" s="30"/>
      <c r="U3265" s="47" t="str">
        <f aca="false">IF(AND(B3265&lt;&gt;"",B3265=SW別シート!$C$3),COUNTIF(B$5:B3265,B3265),"")</f>
        <v/>
      </c>
      <c r="V3265" s="47" t="n">
        <f aca="false">V3264+IF(OR(O3265&lt;&gt;"",W3265&lt;&gt;""),1,0)</f>
        <v>3</v>
      </c>
      <c r="W3265" s="29"/>
    </row>
    <row r="3266" customFormat="false" ht="15" hidden="false" customHeight="false" outlineLevel="0" collapsed="false">
      <c r="A3266" s="32" t="str">
        <f aca="false">IF(B3266="","",ROW()-7)</f>
        <v/>
      </c>
      <c r="B3266" s="30"/>
      <c r="C3266" s="29"/>
      <c r="D3266" s="29"/>
      <c r="E3266" s="29"/>
      <c r="F3266" s="30"/>
      <c r="G3266" s="29"/>
      <c r="H3266" s="30"/>
      <c r="I3266" s="29"/>
      <c r="J3266" s="30"/>
      <c r="K3266" s="30"/>
      <c r="L3266" s="29"/>
      <c r="M3266" s="32" t="str">
        <f aca="false">IF(OR(C3266="",L3266=""),"",IF(C3266=L3266,"同一","変更"))</f>
        <v/>
      </c>
      <c r="N3266" s="29"/>
      <c r="O3266" s="30"/>
      <c r="P3266" s="29"/>
      <c r="Q3266" s="31"/>
      <c r="R3266" s="29"/>
      <c r="S3266" s="29"/>
      <c r="T3266" s="30"/>
      <c r="U3266" s="47" t="str">
        <f aca="false">IF(AND(B3266&lt;&gt;"",B3266=SW別シート!$C$3),COUNTIF(B$5:B3266,B3266),"")</f>
        <v/>
      </c>
      <c r="V3266" s="47" t="n">
        <f aca="false">V3265+IF(OR(O3266&lt;&gt;"",W3266&lt;&gt;""),1,0)</f>
        <v>3</v>
      </c>
      <c r="W3266" s="29"/>
    </row>
    <row r="3267" customFormat="false" ht="15" hidden="false" customHeight="false" outlineLevel="0" collapsed="false">
      <c r="A3267" s="32" t="str">
        <f aca="false">IF(B3267="","",ROW()-7)</f>
        <v/>
      </c>
      <c r="B3267" s="30"/>
      <c r="C3267" s="29"/>
      <c r="D3267" s="29"/>
      <c r="E3267" s="29"/>
      <c r="F3267" s="30"/>
      <c r="G3267" s="29"/>
      <c r="H3267" s="30"/>
      <c r="I3267" s="29"/>
      <c r="J3267" s="30"/>
      <c r="K3267" s="30"/>
      <c r="L3267" s="29"/>
      <c r="M3267" s="32" t="str">
        <f aca="false">IF(OR(C3267="",L3267=""),"",IF(C3267=L3267,"同一","変更"))</f>
        <v/>
      </c>
      <c r="N3267" s="29"/>
      <c r="O3267" s="30"/>
      <c r="P3267" s="29"/>
      <c r="Q3267" s="31"/>
      <c r="R3267" s="29"/>
      <c r="S3267" s="29"/>
      <c r="T3267" s="30"/>
      <c r="U3267" s="47" t="str">
        <f aca="false">IF(AND(B3267&lt;&gt;"",B3267=SW別シート!$C$3),COUNTIF(B$5:B3267,B3267),"")</f>
        <v/>
      </c>
      <c r="V3267" s="47" t="n">
        <f aca="false">V3266+IF(OR(O3267&lt;&gt;"",W3267&lt;&gt;""),1,0)</f>
        <v>3</v>
      </c>
      <c r="W3267" s="29"/>
    </row>
    <row r="3268" customFormat="false" ht="15" hidden="false" customHeight="false" outlineLevel="0" collapsed="false">
      <c r="A3268" s="32" t="str">
        <f aca="false">IF(B3268="","",ROW()-7)</f>
        <v/>
      </c>
      <c r="B3268" s="30"/>
      <c r="C3268" s="29"/>
      <c r="D3268" s="29"/>
      <c r="E3268" s="29"/>
      <c r="F3268" s="30"/>
      <c r="G3268" s="29"/>
      <c r="H3268" s="30"/>
      <c r="I3268" s="29"/>
      <c r="J3268" s="30"/>
      <c r="K3268" s="30"/>
      <c r="L3268" s="29"/>
      <c r="M3268" s="32" t="str">
        <f aca="false">IF(OR(C3268="",L3268=""),"",IF(C3268=L3268,"同一","変更"))</f>
        <v/>
      </c>
      <c r="N3268" s="29"/>
      <c r="O3268" s="30"/>
      <c r="P3268" s="29"/>
      <c r="Q3268" s="31"/>
      <c r="R3268" s="29"/>
      <c r="S3268" s="29"/>
      <c r="T3268" s="30"/>
      <c r="U3268" s="47" t="str">
        <f aca="false">IF(AND(B3268&lt;&gt;"",B3268=SW別シート!$C$3),COUNTIF(B$5:B3268,B3268),"")</f>
        <v/>
      </c>
      <c r="V3268" s="47" t="n">
        <f aca="false">V3267+IF(OR(O3268&lt;&gt;"",W3268&lt;&gt;""),1,0)</f>
        <v>3</v>
      </c>
      <c r="W3268" s="29"/>
    </row>
    <row r="3269" customFormat="false" ht="15" hidden="false" customHeight="false" outlineLevel="0" collapsed="false">
      <c r="A3269" s="32" t="str">
        <f aca="false">IF(B3269="","",ROW()-7)</f>
        <v/>
      </c>
      <c r="B3269" s="30"/>
      <c r="C3269" s="29"/>
      <c r="D3269" s="29"/>
      <c r="E3269" s="29"/>
      <c r="F3269" s="30"/>
      <c r="G3269" s="29"/>
      <c r="H3269" s="30"/>
      <c r="I3269" s="29"/>
      <c r="J3269" s="30"/>
      <c r="K3269" s="30"/>
      <c r="L3269" s="29"/>
      <c r="M3269" s="32" t="str">
        <f aca="false">IF(OR(C3269="",L3269=""),"",IF(C3269=L3269,"同一","変更"))</f>
        <v/>
      </c>
      <c r="N3269" s="29"/>
      <c r="O3269" s="30"/>
      <c r="P3269" s="29"/>
      <c r="Q3269" s="31"/>
      <c r="R3269" s="29"/>
      <c r="S3269" s="29"/>
      <c r="T3269" s="30"/>
      <c r="U3269" s="47" t="str">
        <f aca="false">IF(AND(B3269&lt;&gt;"",B3269=SW別シート!$C$3),COUNTIF(B$5:B3269,B3269),"")</f>
        <v/>
      </c>
      <c r="V3269" s="47" t="n">
        <f aca="false">V3268+IF(OR(O3269&lt;&gt;"",W3269&lt;&gt;""),1,0)</f>
        <v>3</v>
      </c>
      <c r="W3269" s="29"/>
    </row>
    <row r="3270" customFormat="false" ht="15" hidden="false" customHeight="false" outlineLevel="0" collapsed="false">
      <c r="A3270" s="32" t="str">
        <f aca="false">IF(B3270="","",ROW()-7)</f>
        <v/>
      </c>
      <c r="B3270" s="30"/>
      <c r="C3270" s="29"/>
      <c r="D3270" s="29"/>
      <c r="E3270" s="29"/>
      <c r="F3270" s="30"/>
      <c r="G3270" s="29"/>
      <c r="H3270" s="30"/>
      <c r="I3270" s="29"/>
      <c r="J3270" s="30"/>
      <c r="K3270" s="30"/>
      <c r="L3270" s="29"/>
      <c r="M3270" s="32" t="str">
        <f aca="false">IF(OR(C3270="",L3270=""),"",IF(C3270=L3270,"同一","変更"))</f>
        <v/>
      </c>
      <c r="N3270" s="29"/>
      <c r="O3270" s="30"/>
      <c r="P3270" s="29"/>
      <c r="Q3270" s="31"/>
      <c r="R3270" s="29"/>
      <c r="S3270" s="29"/>
      <c r="T3270" s="30"/>
      <c r="U3270" s="47" t="str">
        <f aca="false">IF(AND(B3270&lt;&gt;"",B3270=SW別シート!$C$3),COUNTIF(B$5:B3270,B3270),"")</f>
        <v/>
      </c>
      <c r="V3270" s="47" t="n">
        <f aca="false">V3269+IF(OR(O3270&lt;&gt;"",W3270&lt;&gt;""),1,0)</f>
        <v>3</v>
      </c>
      <c r="W3270" s="29"/>
    </row>
    <row r="3271" customFormat="false" ht="15" hidden="false" customHeight="false" outlineLevel="0" collapsed="false">
      <c r="A3271" s="32" t="str">
        <f aca="false">IF(B3271="","",ROW()-7)</f>
        <v/>
      </c>
      <c r="B3271" s="30"/>
      <c r="C3271" s="29"/>
      <c r="D3271" s="29"/>
      <c r="E3271" s="29"/>
      <c r="F3271" s="30"/>
      <c r="G3271" s="29"/>
      <c r="H3271" s="30"/>
      <c r="I3271" s="29"/>
      <c r="J3271" s="30"/>
      <c r="K3271" s="30"/>
      <c r="L3271" s="29"/>
      <c r="M3271" s="32" t="str">
        <f aca="false">IF(OR(C3271="",L3271=""),"",IF(C3271=L3271,"同一","変更"))</f>
        <v/>
      </c>
      <c r="N3271" s="29"/>
      <c r="O3271" s="30"/>
      <c r="P3271" s="29"/>
      <c r="Q3271" s="31"/>
      <c r="R3271" s="29"/>
      <c r="S3271" s="29"/>
      <c r="T3271" s="30"/>
      <c r="U3271" s="47" t="str">
        <f aca="false">IF(AND(B3271&lt;&gt;"",B3271=SW別シート!$C$3),COUNTIF(B$5:B3271,B3271),"")</f>
        <v/>
      </c>
      <c r="V3271" s="47" t="n">
        <f aca="false">V3270+IF(OR(O3271&lt;&gt;"",W3271&lt;&gt;""),1,0)</f>
        <v>3</v>
      </c>
      <c r="W3271" s="29"/>
    </row>
    <row r="3272" customFormat="false" ht="15" hidden="false" customHeight="false" outlineLevel="0" collapsed="false">
      <c r="A3272" s="32" t="str">
        <f aca="false">IF(B3272="","",ROW()-7)</f>
        <v/>
      </c>
      <c r="B3272" s="30"/>
      <c r="C3272" s="29"/>
      <c r="D3272" s="29"/>
      <c r="E3272" s="29"/>
      <c r="F3272" s="30"/>
      <c r="G3272" s="29"/>
      <c r="H3272" s="30"/>
      <c r="I3272" s="29"/>
      <c r="J3272" s="30"/>
      <c r="K3272" s="30"/>
      <c r="L3272" s="29"/>
      <c r="M3272" s="32" t="str">
        <f aca="false">IF(OR(C3272="",L3272=""),"",IF(C3272=L3272,"同一","変更"))</f>
        <v/>
      </c>
      <c r="N3272" s="29"/>
      <c r="O3272" s="30"/>
      <c r="P3272" s="29"/>
      <c r="Q3272" s="31"/>
      <c r="R3272" s="29"/>
      <c r="S3272" s="29"/>
      <c r="T3272" s="30"/>
      <c r="U3272" s="47" t="str">
        <f aca="false">IF(AND(B3272&lt;&gt;"",B3272=SW別シート!$C$3),COUNTIF(B$5:B3272,B3272),"")</f>
        <v/>
      </c>
      <c r="V3272" s="47" t="n">
        <f aca="false">V3271+IF(OR(O3272&lt;&gt;"",W3272&lt;&gt;""),1,0)</f>
        <v>3</v>
      </c>
      <c r="W3272" s="29"/>
    </row>
    <row r="3273" customFormat="false" ht="15" hidden="false" customHeight="false" outlineLevel="0" collapsed="false">
      <c r="A3273" s="32" t="str">
        <f aca="false">IF(B3273="","",ROW()-7)</f>
        <v/>
      </c>
      <c r="B3273" s="30"/>
      <c r="C3273" s="29"/>
      <c r="D3273" s="29"/>
      <c r="E3273" s="29"/>
      <c r="F3273" s="30"/>
      <c r="G3273" s="29"/>
      <c r="H3273" s="30"/>
      <c r="I3273" s="29"/>
      <c r="J3273" s="30"/>
      <c r="K3273" s="30"/>
      <c r="L3273" s="29"/>
      <c r="M3273" s="32" t="str">
        <f aca="false">IF(OR(C3273="",L3273=""),"",IF(C3273=L3273,"同一","変更"))</f>
        <v/>
      </c>
      <c r="N3273" s="29"/>
      <c r="O3273" s="30"/>
      <c r="P3273" s="29"/>
      <c r="Q3273" s="31"/>
      <c r="R3273" s="29"/>
      <c r="S3273" s="29"/>
      <c r="T3273" s="30"/>
      <c r="U3273" s="47" t="str">
        <f aca="false">IF(AND(B3273&lt;&gt;"",B3273=SW別シート!$C$3),COUNTIF(B$5:B3273,B3273),"")</f>
        <v/>
      </c>
      <c r="V3273" s="47" t="n">
        <f aca="false">V3272+IF(OR(O3273&lt;&gt;"",W3273&lt;&gt;""),1,0)</f>
        <v>3</v>
      </c>
      <c r="W3273" s="29"/>
    </row>
    <row r="3274" customFormat="false" ht="15" hidden="false" customHeight="false" outlineLevel="0" collapsed="false">
      <c r="A3274" s="32" t="str">
        <f aca="false">IF(B3274="","",ROW()-7)</f>
        <v/>
      </c>
      <c r="B3274" s="30"/>
      <c r="C3274" s="29"/>
      <c r="D3274" s="29"/>
      <c r="E3274" s="29"/>
      <c r="F3274" s="30"/>
      <c r="G3274" s="29"/>
      <c r="H3274" s="30"/>
      <c r="I3274" s="29"/>
      <c r="J3274" s="30"/>
      <c r="K3274" s="30"/>
      <c r="L3274" s="29"/>
      <c r="M3274" s="32" t="str">
        <f aca="false">IF(OR(C3274="",L3274=""),"",IF(C3274=L3274,"同一","変更"))</f>
        <v/>
      </c>
      <c r="N3274" s="29"/>
      <c r="O3274" s="30"/>
      <c r="P3274" s="29"/>
      <c r="Q3274" s="31"/>
      <c r="R3274" s="29"/>
      <c r="S3274" s="29"/>
      <c r="T3274" s="30"/>
      <c r="U3274" s="47" t="str">
        <f aca="false">IF(AND(B3274&lt;&gt;"",B3274=SW別シート!$C$3),COUNTIF(B$5:B3274,B3274),"")</f>
        <v/>
      </c>
      <c r="V3274" s="47" t="n">
        <f aca="false">V3273+IF(OR(O3274&lt;&gt;"",W3274&lt;&gt;""),1,0)</f>
        <v>3</v>
      </c>
      <c r="W3274" s="29"/>
    </row>
    <row r="3275" customFormat="false" ht="15" hidden="false" customHeight="false" outlineLevel="0" collapsed="false">
      <c r="A3275" s="32" t="str">
        <f aca="false">IF(B3275="","",ROW()-7)</f>
        <v/>
      </c>
      <c r="B3275" s="30"/>
      <c r="C3275" s="29"/>
      <c r="D3275" s="29"/>
      <c r="E3275" s="29"/>
      <c r="F3275" s="30"/>
      <c r="G3275" s="29"/>
      <c r="H3275" s="30"/>
      <c r="I3275" s="29"/>
      <c r="J3275" s="30"/>
      <c r="K3275" s="30"/>
      <c r="L3275" s="29"/>
      <c r="M3275" s="32" t="str">
        <f aca="false">IF(OR(C3275="",L3275=""),"",IF(C3275=L3275,"同一","変更"))</f>
        <v/>
      </c>
      <c r="N3275" s="29"/>
      <c r="O3275" s="30"/>
      <c r="P3275" s="29"/>
      <c r="Q3275" s="31"/>
      <c r="R3275" s="29"/>
      <c r="S3275" s="29"/>
      <c r="T3275" s="30"/>
      <c r="U3275" s="47" t="str">
        <f aca="false">IF(AND(B3275&lt;&gt;"",B3275=SW別シート!$C$3),COUNTIF(B$5:B3275,B3275),"")</f>
        <v/>
      </c>
      <c r="V3275" s="47" t="n">
        <f aca="false">V3274+IF(OR(O3275&lt;&gt;"",W3275&lt;&gt;""),1,0)</f>
        <v>3</v>
      </c>
      <c r="W3275" s="29"/>
    </row>
    <row r="3276" customFormat="false" ht="15" hidden="false" customHeight="false" outlineLevel="0" collapsed="false">
      <c r="A3276" s="32" t="str">
        <f aca="false">IF(B3276="","",ROW()-7)</f>
        <v/>
      </c>
      <c r="B3276" s="30"/>
      <c r="C3276" s="29"/>
      <c r="D3276" s="29"/>
      <c r="E3276" s="29"/>
      <c r="F3276" s="30"/>
      <c r="G3276" s="29"/>
      <c r="H3276" s="30"/>
      <c r="I3276" s="29"/>
      <c r="J3276" s="30"/>
      <c r="K3276" s="30"/>
      <c r="L3276" s="29"/>
      <c r="M3276" s="32" t="str">
        <f aca="false">IF(OR(C3276="",L3276=""),"",IF(C3276=L3276,"同一","変更"))</f>
        <v/>
      </c>
      <c r="N3276" s="29"/>
      <c r="O3276" s="30"/>
      <c r="P3276" s="29"/>
      <c r="Q3276" s="31"/>
      <c r="R3276" s="29"/>
      <c r="S3276" s="29"/>
      <c r="T3276" s="30"/>
      <c r="U3276" s="47" t="str">
        <f aca="false">IF(AND(B3276&lt;&gt;"",B3276=SW別シート!$C$3),COUNTIF(B$5:B3276,B3276),"")</f>
        <v/>
      </c>
      <c r="V3276" s="47" t="n">
        <f aca="false">V3275+IF(OR(O3276&lt;&gt;"",W3276&lt;&gt;""),1,0)</f>
        <v>3</v>
      </c>
      <c r="W3276" s="29"/>
    </row>
    <row r="3277" customFormat="false" ht="15" hidden="false" customHeight="false" outlineLevel="0" collapsed="false">
      <c r="A3277" s="32" t="str">
        <f aca="false">IF(B3277="","",ROW()-7)</f>
        <v/>
      </c>
      <c r="B3277" s="30"/>
      <c r="C3277" s="29"/>
      <c r="D3277" s="29"/>
      <c r="E3277" s="29"/>
      <c r="F3277" s="30"/>
      <c r="G3277" s="29"/>
      <c r="H3277" s="30"/>
      <c r="I3277" s="29"/>
      <c r="J3277" s="30"/>
      <c r="K3277" s="30"/>
      <c r="L3277" s="29"/>
      <c r="M3277" s="32" t="str">
        <f aca="false">IF(OR(C3277="",L3277=""),"",IF(C3277=L3277,"同一","変更"))</f>
        <v/>
      </c>
      <c r="N3277" s="29"/>
      <c r="O3277" s="30"/>
      <c r="P3277" s="29"/>
      <c r="Q3277" s="31"/>
      <c r="R3277" s="29"/>
      <c r="S3277" s="29"/>
      <c r="T3277" s="30"/>
      <c r="U3277" s="47" t="str">
        <f aca="false">IF(AND(B3277&lt;&gt;"",B3277=SW別シート!$C$3),COUNTIF(B$5:B3277,B3277),"")</f>
        <v/>
      </c>
      <c r="V3277" s="47" t="n">
        <f aca="false">V3276+IF(OR(O3277&lt;&gt;"",W3277&lt;&gt;""),1,0)</f>
        <v>3</v>
      </c>
      <c r="W3277" s="29"/>
    </row>
    <row r="3278" customFormat="false" ht="15" hidden="false" customHeight="false" outlineLevel="0" collapsed="false">
      <c r="A3278" s="32" t="str">
        <f aca="false">IF(B3278="","",ROW()-7)</f>
        <v/>
      </c>
      <c r="B3278" s="30"/>
      <c r="C3278" s="29"/>
      <c r="D3278" s="29"/>
      <c r="E3278" s="29"/>
      <c r="F3278" s="30"/>
      <c r="G3278" s="29"/>
      <c r="H3278" s="30"/>
      <c r="I3278" s="29"/>
      <c r="J3278" s="30"/>
      <c r="K3278" s="30"/>
      <c r="L3278" s="29"/>
      <c r="M3278" s="32" t="str">
        <f aca="false">IF(OR(C3278="",L3278=""),"",IF(C3278=L3278,"同一","変更"))</f>
        <v/>
      </c>
      <c r="N3278" s="29"/>
      <c r="O3278" s="30"/>
      <c r="P3278" s="29"/>
      <c r="Q3278" s="31"/>
      <c r="R3278" s="29"/>
      <c r="S3278" s="29"/>
      <c r="T3278" s="30"/>
      <c r="U3278" s="47" t="str">
        <f aca="false">IF(AND(B3278&lt;&gt;"",B3278=SW別シート!$C$3),COUNTIF(B$5:B3278,B3278),"")</f>
        <v/>
      </c>
      <c r="V3278" s="47" t="n">
        <f aca="false">V3277+IF(OR(O3278&lt;&gt;"",W3278&lt;&gt;""),1,0)</f>
        <v>3</v>
      </c>
      <c r="W3278" s="29"/>
    </row>
    <row r="3279" customFormat="false" ht="15" hidden="false" customHeight="false" outlineLevel="0" collapsed="false">
      <c r="A3279" s="32" t="str">
        <f aca="false">IF(B3279="","",ROW()-7)</f>
        <v/>
      </c>
      <c r="B3279" s="30"/>
      <c r="C3279" s="29"/>
      <c r="D3279" s="29"/>
      <c r="E3279" s="29"/>
      <c r="F3279" s="30"/>
      <c r="G3279" s="29"/>
      <c r="H3279" s="30"/>
      <c r="I3279" s="29"/>
      <c r="J3279" s="30"/>
      <c r="K3279" s="30"/>
      <c r="L3279" s="29"/>
      <c r="M3279" s="32" t="str">
        <f aca="false">IF(OR(C3279="",L3279=""),"",IF(C3279=L3279,"同一","変更"))</f>
        <v/>
      </c>
      <c r="N3279" s="29"/>
      <c r="O3279" s="30"/>
      <c r="P3279" s="29"/>
      <c r="Q3279" s="31"/>
      <c r="R3279" s="29"/>
      <c r="S3279" s="29"/>
      <c r="T3279" s="30"/>
      <c r="U3279" s="47" t="str">
        <f aca="false">IF(AND(B3279&lt;&gt;"",B3279=SW別シート!$C$3),COUNTIF(B$5:B3279,B3279),"")</f>
        <v/>
      </c>
      <c r="V3279" s="47" t="n">
        <f aca="false">V3278+IF(OR(O3279&lt;&gt;"",W3279&lt;&gt;""),1,0)</f>
        <v>3</v>
      </c>
      <c r="W3279" s="29"/>
    </row>
    <row r="3280" customFormat="false" ht="15" hidden="false" customHeight="false" outlineLevel="0" collapsed="false">
      <c r="A3280" s="32" t="str">
        <f aca="false">IF(B3280="","",ROW()-7)</f>
        <v/>
      </c>
      <c r="B3280" s="30"/>
      <c r="C3280" s="29"/>
      <c r="D3280" s="29"/>
      <c r="E3280" s="29"/>
      <c r="F3280" s="30"/>
      <c r="G3280" s="29"/>
      <c r="H3280" s="30"/>
      <c r="I3280" s="29"/>
      <c r="J3280" s="30"/>
      <c r="K3280" s="30"/>
      <c r="L3280" s="29"/>
      <c r="M3280" s="32" t="str">
        <f aca="false">IF(OR(C3280="",L3280=""),"",IF(C3280=L3280,"同一","変更"))</f>
        <v/>
      </c>
      <c r="N3280" s="29"/>
      <c r="O3280" s="30"/>
      <c r="P3280" s="29"/>
      <c r="Q3280" s="31"/>
      <c r="R3280" s="29"/>
      <c r="S3280" s="29"/>
      <c r="T3280" s="30"/>
      <c r="U3280" s="47" t="str">
        <f aca="false">IF(AND(B3280&lt;&gt;"",B3280=SW別シート!$C$3),COUNTIF(B$5:B3280,B3280),"")</f>
        <v/>
      </c>
      <c r="V3280" s="47" t="n">
        <f aca="false">V3279+IF(OR(O3280&lt;&gt;"",W3280&lt;&gt;""),1,0)</f>
        <v>3</v>
      </c>
      <c r="W3280" s="29"/>
    </row>
    <row r="3281" customFormat="false" ht="15" hidden="false" customHeight="false" outlineLevel="0" collapsed="false">
      <c r="A3281" s="32" t="str">
        <f aca="false">IF(B3281="","",ROW()-7)</f>
        <v/>
      </c>
      <c r="B3281" s="30"/>
      <c r="C3281" s="29"/>
      <c r="D3281" s="29"/>
      <c r="E3281" s="29"/>
      <c r="F3281" s="30"/>
      <c r="G3281" s="29"/>
      <c r="H3281" s="30"/>
      <c r="I3281" s="29"/>
      <c r="J3281" s="30"/>
      <c r="K3281" s="30"/>
      <c r="L3281" s="29"/>
      <c r="M3281" s="32" t="str">
        <f aca="false">IF(OR(C3281="",L3281=""),"",IF(C3281=L3281,"同一","変更"))</f>
        <v/>
      </c>
      <c r="N3281" s="29"/>
      <c r="O3281" s="30"/>
      <c r="P3281" s="29"/>
      <c r="Q3281" s="31"/>
      <c r="R3281" s="29"/>
      <c r="S3281" s="29"/>
      <c r="T3281" s="30"/>
      <c r="U3281" s="47" t="str">
        <f aca="false">IF(AND(B3281&lt;&gt;"",B3281=SW別シート!$C$3),COUNTIF(B$5:B3281,B3281),"")</f>
        <v/>
      </c>
      <c r="V3281" s="47" t="n">
        <f aca="false">V3280+IF(OR(O3281&lt;&gt;"",W3281&lt;&gt;""),1,0)</f>
        <v>3</v>
      </c>
      <c r="W3281" s="29"/>
    </row>
    <row r="3282" customFormat="false" ht="15" hidden="false" customHeight="false" outlineLevel="0" collapsed="false">
      <c r="A3282" s="32" t="str">
        <f aca="false">IF(B3282="","",ROW()-7)</f>
        <v/>
      </c>
      <c r="B3282" s="30"/>
      <c r="C3282" s="29"/>
      <c r="D3282" s="29"/>
      <c r="E3282" s="29"/>
      <c r="F3282" s="30"/>
      <c r="G3282" s="29"/>
      <c r="H3282" s="30"/>
      <c r="I3282" s="29"/>
      <c r="J3282" s="30"/>
      <c r="K3282" s="30"/>
      <c r="L3282" s="29"/>
      <c r="M3282" s="32" t="str">
        <f aca="false">IF(OR(C3282="",L3282=""),"",IF(C3282=L3282,"同一","変更"))</f>
        <v/>
      </c>
      <c r="N3282" s="29"/>
      <c r="O3282" s="30"/>
      <c r="P3282" s="29"/>
      <c r="Q3282" s="31"/>
      <c r="R3282" s="29"/>
      <c r="S3282" s="29"/>
      <c r="T3282" s="30"/>
      <c r="U3282" s="47" t="str">
        <f aca="false">IF(AND(B3282&lt;&gt;"",B3282=SW別シート!$C$3),COUNTIF(B$5:B3282,B3282),"")</f>
        <v/>
      </c>
      <c r="V3282" s="47" t="n">
        <f aca="false">V3281+IF(OR(O3282&lt;&gt;"",W3282&lt;&gt;""),1,0)</f>
        <v>3</v>
      </c>
      <c r="W3282" s="29"/>
    </row>
    <row r="3283" customFormat="false" ht="15" hidden="false" customHeight="false" outlineLevel="0" collapsed="false">
      <c r="A3283" s="32" t="str">
        <f aca="false">IF(B3283="","",ROW()-7)</f>
        <v/>
      </c>
      <c r="B3283" s="30"/>
      <c r="C3283" s="29"/>
      <c r="D3283" s="29"/>
      <c r="E3283" s="29"/>
      <c r="F3283" s="30"/>
      <c r="G3283" s="29"/>
      <c r="H3283" s="30"/>
      <c r="I3283" s="29"/>
      <c r="J3283" s="30"/>
      <c r="K3283" s="30"/>
      <c r="L3283" s="29"/>
      <c r="M3283" s="32" t="str">
        <f aca="false">IF(OR(C3283="",L3283=""),"",IF(C3283=L3283,"同一","変更"))</f>
        <v/>
      </c>
      <c r="N3283" s="29"/>
      <c r="O3283" s="30"/>
      <c r="P3283" s="29"/>
      <c r="Q3283" s="31"/>
      <c r="R3283" s="29"/>
      <c r="S3283" s="29"/>
      <c r="T3283" s="30"/>
      <c r="U3283" s="47" t="str">
        <f aca="false">IF(AND(B3283&lt;&gt;"",B3283=SW別シート!$C$3),COUNTIF(B$5:B3283,B3283),"")</f>
        <v/>
      </c>
      <c r="V3283" s="47" t="n">
        <f aca="false">V3282+IF(OR(O3283&lt;&gt;"",W3283&lt;&gt;""),1,0)</f>
        <v>3</v>
      </c>
      <c r="W3283" s="29"/>
    </row>
    <row r="3284" customFormat="false" ht="15" hidden="false" customHeight="false" outlineLevel="0" collapsed="false">
      <c r="A3284" s="32" t="str">
        <f aca="false">IF(B3284="","",ROW()-7)</f>
        <v/>
      </c>
      <c r="B3284" s="30"/>
      <c r="C3284" s="29"/>
      <c r="D3284" s="29"/>
      <c r="E3284" s="29"/>
      <c r="F3284" s="30"/>
      <c r="G3284" s="29"/>
      <c r="H3284" s="30"/>
      <c r="I3284" s="29"/>
      <c r="J3284" s="30"/>
      <c r="K3284" s="30"/>
      <c r="L3284" s="29"/>
      <c r="M3284" s="32" t="str">
        <f aca="false">IF(OR(C3284="",L3284=""),"",IF(C3284=L3284,"同一","変更"))</f>
        <v/>
      </c>
      <c r="N3284" s="29"/>
      <c r="O3284" s="30"/>
      <c r="P3284" s="29"/>
      <c r="Q3284" s="31"/>
      <c r="R3284" s="29"/>
      <c r="S3284" s="29"/>
      <c r="T3284" s="30"/>
      <c r="U3284" s="47" t="str">
        <f aca="false">IF(AND(B3284&lt;&gt;"",B3284=SW別シート!$C$3),COUNTIF(B$5:B3284,B3284),"")</f>
        <v/>
      </c>
      <c r="V3284" s="47" t="n">
        <f aca="false">V3283+IF(OR(O3284&lt;&gt;"",W3284&lt;&gt;""),1,0)</f>
        <v>3</v>
      </c>
      <c r="W3284" s="29"/>
    </row>
    <row r="3285" customFormat="false" ht="15" hidden="false" customHeight="false" outlineLevel="0" collapsed="false">
      <c r="A3285" s="32" t="str">
        <f aca="false">IF(B3285="","",ROW()-7)</f>
        <v/>
      </c>
      <c r="B3285" s="30"/>
      <c r="C3285" s="29"/>
      <c r="D3285" s="29"/>
      <c r="E3285" s="29"/>
      <c r="F3285" s="30"/>
      <c r="G3285" s="29"/>
      <c r="H3285" s="30"/>
      <c r="I3285" s="29"/>
      <c r="J3285" s="30"/>
      <c r="K3285" s="30"/>
      <c r="L3285" s="29"/>
      <c r="M3285" s="32" t="str">
        <f aca="false">IF(OR(C3285="",L3285=""),"",IF(C3285=L3285,"同一","変更"))</f>
        <v/>
      </c>
      <c r="N3285" s="29"/>
      <c r="O3285" s="30"/>
      <c r="P3285" s="29"/>
      <c r="Q3285" s="31"/>
      <c r="R3285" s="29"/>
      <c r="S3285" s="29"/>
      <c r="T3285" s="30"/>
      <c r="U3285" s="47" t="str">
        <f aca="false">IF(AND(B3285&lt;&gt;"",B3285=SW別シート!$C$3),COUNTIF(B$5:B3285,B3285),"")</f>
        <v/>
      </c>
      <c r="V3285" s="47" t="n">
        <f aca="false">V3284+IF(OR(O3285&lt;&gt;"",W3285&lt;&gt;""),1,0)</f>
        <v>3</v>
      </c>
      <c r="W3285" s="29"/>
    </row>
    <row r="3286" customFormat="false" ht="15" hidden="false" customHeight="false" outlineLevel="0" collapsed="false">
      <c r="A3286" s="32" t="str">
        <f aca="false">IF(B3286="","",ROW()-7)</f>
        <v/>
      </c>
      <c r="B3286" s="30"/>
      <c r="C3286" s="29"/>
      <c r="D3286" s="29"/>
      <c r="E3286" s="29"/>
      <c r="F3286" s="30"/>
      <c r="G3286" s="29"/>
      <c r="H3286" s="30"/>
      <c r="I3286" s="29"/>
      <c r="J3286" s="30"/>
      <c r="K3286" s="30"/>
      <c r="L3286" s="29"/>
      <c r="M3286" s="32" t="str">
        <f aca="false">IF(OR(C3286="",L3286=""),"",IF(C3286=L3286,"同一","変更"))</f>
        <v/>
      </c>
      <c r="N3286" s="29"/>
      <c r="O3286" s="30"/>
      <c r="P3286" s="29"/>
      <c r="Q3286" s="31"/>
      <c r="R3286" s="29"/>
      <c r="S3286" s="29"/>
      <c r="T3286" s="30"/>
      <c r="U3286" s="47" t="str">
        <f aca="false">IF(AND(B3286&lt;&gt;"",B3286=SW別シート!$C$3),COUNTIF(B$5:B3286,B3286),"")</f>
        <v/>
      </c>
      <c r="V3286" s="47" t="n">
        <f aca="false">V3285+IF(OR(O3286&lt;&gt;"",W3286&lt;&gt;""),1,0)</f>
        <v>3</v>
      </c>
      <c r="W3286" s="29"/>
    </row>
    <row r="3287" customFormat="false" ht="15" hidden="false" customHeight="false" outlineLevel="0" collapsed="false">
      <c r="A3287" s="32" t="str">
        <f aca="false">IF(B3287="","",ROW()-7)</f>
        <v/>
      </c>
      <c r="B3287" s="30"/>
      <c r="C3287" s="29"/>
      <c r="D3287" s="29"/>
      <c r="E3287" s="29"/>
      <c r="F3287" s="30"/>
      <c r="G3287" s="29"/>
      <c r="H3287" s="30"/>
      <c r="I3287" s="29"/>
      <c r="J3287" s="30"/>
      <c r="K3287" s="30"/>
      <c r="L3287" s="29"/>
      <c r="M3287" s="32" t="str">
        <f aca="false">IF(OR(C3287="",L3287=""),"",IF(C3287=L3287,"同一","変更"))</f>
        <v/>
      </c>
      <c r="N3287" s="29"/>
      <c r="O3287" s="30"/>
      <c r="P3287" s="29"/>
      <c r="Q3287" s="31"/>
      <c r="R3287" s="29"/>
      <c r="S3287" s="29"/>
      <c r="T3287" s="30"/>
      <c r="U3287" s="47" t="str">
        <f aca="false">IF(AND(B3287&lt;&gt;"",B3287=SW別シート!$C$3),COUNTIF(B$5:B3287,B3287),"")</f>
        <v/>
      </c>
      <c r="V3287" s="47" t="n">
        <f aca="false">V3286+IF(OR(O3287&lt;&gt;"",W3287&lt;&gt;""),1,0)</f>
        <v>3</v>
      </c>
      <c r="W3287" s="29"/>
    </row>
    <row r="3288" customFormat="false" ht="15" hidden="false" customHeight="false" outlineLevel="0" collapsed="false">
      <c r="A3288" s="32" t="str">
        <f aca="false">IF(B3288="","",ROW()-7)</f>
        <v/>
      </c>
      <c r="B3288" s="30"/>
      <c r="C3288" s="29"/>
      <c r="D3288" s="29"/>
      <c r="E3288" s="29"/>
      <c r="F3288" s="30"/>
      <c r="G3288" s="29"/>
      <c r="H3288" s="30"/>
      <c r="I3288" s="29"/>
      <c r="J3288" s="30"/>
      <c r="K3288" s="30"/>
      <c r="L3288" s="29"/>
      <c r="M3288" s="32" t="str">
        <f aca="false">IF(OR(C3288="",L3288=""),"",IF(C3288=L3288,"同一","変更"))</f>
        <v/>
      </c>
      <c r="N3288" s="29"/>
      <c r="O3288" s="30"/>
      <c r="P3288" s="29"/>
      <c r="Q3288" s="31"/>
      <c r="R3288" s="29"/>
      <c r="S3288" s="29"/>
      <c r="T3288" s="30"/>
      <c r="U3288" s="47" t="str">
        <f aca="false">IF(AND(B3288&lt;&gt;"",B3288=SW別シート!$C$3),COUNTIF(B$5:B3288,B3288),"")</f>
        <v/>
      </c>
      <c r="V3288" s="47" t="n">
        <f aca="false">V3287+IF(OR(O3288&lt;&gt;"",W3288&lt;&gt;""),1,0)</f>
        <v>3</v>
      </c>
      <c r="W3288" s="29"/>
    </row>
    <row r="3289" customFormat="false" ht="15" hidden="false" customHeight="false" outlineLevel="0" collapsed="false">
      <c r="A3289" s="32" t="str">
        <f aca="false">IF(B3289="","",ROW()-7)</f>
        <v/>
      </c>
      <c r="B3289" s="30"/>
      <c r="C3289" s="29"/>
      <c r="D3289" s="29"/>
      <c r="E3289" s="29"/>
      <c r="F3289" s="30"/>
      <c r="G3289" s="29"/>
      <c r="H3289" s="30"/>
      <c r="I3289" s="29"/>
      <c r="J3289" s="30"/>
      <c r="K3289" s="30"/>
      <c r="L3289" s="29"/>
      <c r="M3289" s="32" t="str">
        <f aca="false">IF(OR(C3289="",L3289=""),"",IF(C3289=L3289,"同一","変更"))</f>
        <v/>
      </c>
      <c r="N3289" s="29"/>
      <c r="O3289" s="30"/>
      <c r="P3289" s="29"/>
      <c r="Q3289" s="31"/>
      <c r="R3289" s="29"/>
      <c r="S3289" s="29"/>
      <c r="T3289" s="30"/>
      <c r="U3289" s="47" t="str">
        <f aca="false">IF(AND(B3289&lt;&gt;"",B3289=SW別シート!$C$3),COUNTIF(B$5:B3289,B3289),"")</f>
        <v/>
      </c>
      <c r="V3289" s="47" t="n">
        <f aca="false">V3288+IF(OR(O3289&lt;&gt;"",W3289&lt;&gt;""),1,0)</f>
        <v>3</v>
      </c>
      <c r="W3289" s="29"/>
    </row>
    <row r="3290" customFormat="false" ht="15" hidden="false" customHeight="false" outlineLevel="0" collapsed="false">
      <c r="A3290" s="32" t="str">
        <f aca="false">IF(B3290="","",ROW()-7)</f>
        <v/>
      </c>
      <c r="B3290" s="30"/>
      <c r="C3290" s="29"/>
      <c r="D3290" s="29"/>
      <c r="E3290" s="29"/>
      <c r="F3290" s="30"/>
      <c r="G3290" s="29"/>
      <c r="H3290" s="30"/>
      <c r="I3290" s="29"/>
      <c r="J3290" s="30"/>
      <c r="K3290" s="30"/>
      <c r="L3290" s="29"/>
      <c r="M3290" s="32" t="str">
        <f aca="false">IF(OR(C3290="",L3290=""),"",IF(C3290=L3290,"同一","変更"))</f>
        <v/>
      </c>
      <c r="N3290" s="29"/>
      <c r="O3290" s="30"/>
      <c r="P3290" s="29"/>
      <c r="Q3290" s="31"/>
      <c r="R3290" s="29"/>
      <c r="S3290" s="29"/>
      <c r="T3290" s="30"/>
      <c r="U3290" s="47" t="str">
        <f aca="false">IF(AND(B3290&lt;&gt;"",B3290=SW別シート!$C$3),COUNTIF(B$5:B3290,B3290),"")</f>
        <v/>
      </c>
      <c r="V3290" s="47" t="n">
        <f aca="false">V3289+IF(OR(O3290&lt;&gt;"",W3290&lt;&gt;""),1,0)</f>
        <v>3</v>
      </c>
      <c r="W3290" s="29"/>
    </row>
    <row r="3291" customFormat="false" ht="15" hidden="false" customHeight="false" outlineLevel="0" collapsed="false">
      <c r="A3291" s="32" t="str">
        <f aca="false">IF(B3291="","",ROW()-7)</f>
        <v/>
      </c>
      <c r="B3291" s="30"/>
      <c r="C3291" s="29"/>
      <c r="D3291" s="29"/>
      <c r="E3291" s="29"/>
      <c r="F3291" s="30"/>
      <c r="G3291" s="29"/>
      <c r="H3291" s="30"/>
      <c r="I3291" s="29"/>
      <c r="J3291" s="30"/>
      <c r="K3291" s="30"/>
      <c r="L3291" s="29"/>
      <c r="M3291" s="32" t="str">
        <f aca="false">IF(OR(C3291="",L3291=""),"",IF(C3291=L3291,"同一","変更"))</f>
        <v/>
      </c>
      <c r="N3291" s="29"/>
      <c r="O3291" s="30"/>
      <c r="P3291" s="29"/>
      <c r="Q3291" s="31"/>
      <c r="R3291" s="29"/>
      <c r="S3291" s="29"/>
      <c r="T3291" s="30"/>
      <c r="U3291" s="47" t="str">
        <f aca="false">IF(AND(B3291&lt;&gt;"",B3291=SW別シート!$C$3),COUNTIF(B$5:B3291,B3291),"")</f>
        <v/>
      </c>
      <c r="V3291" s="47" t="n">
        <f aca="false">V3290+IF(OR(O3291&lt;&gt;"",W3291&lt;&gt;""),1,0)</f>
        <v>3</v>
      </c>
      <c r="W3291" s="29"/>
    </row>
    <row r="3292" customFormat="false" ht="15" hidden="false" customHeight="false" outlineLevel="0" collapsed="false">
      <c r="A3292" s="32" t="str">
        <f aca="false">IF(B3292="","",ROW()-7)</f>
        <v/>
      </c>
      <c r="B3292" s="30"/>
      <c r="C3292" s="29"/>
      <c r="D3292" s="29"/>
      <c r="E3292" s="29"/>
      <c r="F3292" s="30"/>
      <c r="G3292" s="29"/>
      <c r="H3292" s="30"/>
      <c r="I3292" s="29"/>
      <c r="J3292" s="30"/>
      <c r="K3292" s="30"/>
      <c r="L3292" s="29"/>
      <c r="M3292" s="32" t="str">
        <f aca="false">IF(OR(C3292="",L3292=""),"",IF(C3292=L3292,"同一","変更"))</f>
        <v/>
      </c>
      <c r="N3292" s="29"/>
      <c r="O3292" s="30"/>
      <c r="P3292" s="29"/>
      <c r="Q3292" s="31"/>
      <c r="R3292" s="29"/>
      <c r="S3292" s="29"/>
      <c r="T3292" s="30"/>
      <c r="U3292" s="47" t="str">
        <f aca="false">IF(AND(B3292&lt;&gt;"",B3292=SW別シート!$C$3),COUNTIF(B$5:B3292,B3292),"")</f>
        <v/>
      </c>
      <c r="V3292" s="47" t="n">
        <f aca="false">V3291+IF(OR(O3292&lt;&gt;"",W3292&lt;&gt;""),1,0)</f>
        <v>3</v>
      </c>
      <c r="W3292" s="29"/>
    </row>
    <row r="3293" customFormat="false" ht="15" hidden="false" customHeight="false" outlineLevel="0" collapsed="false">
      <c r="A3293" s="32" t="str">
        <f aca="false">IF(B3293="","",ROW()-7)</f>
        <v/>
      </c>
      <c r="B3293" s="30"/>
      <c r="C3293" s="29"/>
      <c r="D3293" s="29"/>
      <c r="E3293" s="29"/>
      <c r="F3293" s="30"/>
      <c r="G3293" s="29"/>
      <c r="H3293" s="30"/>
      <c r="I3293" s="29"/>
      <c r="J3293" s="30"/>
      <c r="K3293" s="30"/>
      <c r="L3293" s="29"/>
      <c r="M3293" s="32" t="str">
        <f aca="false">IF(OR(C3293="",L3293=""),"",IF(C3293=L3293,"同一","変更"))</f>
        <v/>
      </c>
      <c r="N3293" s="29"/>
      <c r="O3293" s="30"/>
      <c r="P3293" s="29"/>
      <c r="Q3293" s="31"/>
      <c r="R3293" s="29"/>
      <c r="S3293" s="29"/>
      <c r="T3293" s="30"/>
      <c r="U3293" s="47" t="str">
        <f aca="false">IF(AND(B3293&lt;&gt;"",B3293=SW別シート!$C$3),COUNTIF(B$5:B3293,B3293),"")</f>
        <v/>
      </c>
      <c r="V3293" s="47" t="n">
        <f aca="false">V3292+IF(OR(O3293&lt;&gt;"",W3293&lt;&gt;""),1,0)</f>
        <v>3</v>
      </c>
      <c r="W3293" s="29"/>
    </row>
    <row r="3294" customFormat="false" ht="15" hidden="false" customHeight="false" outlineLevel="0" collapsed="false">
      <c r="A3294" s="32" t="str">
        <f aca="false">IF(B3294="","",ROW()-7)</f>
        <v/>
      </c>
      <c r="B3294" s="30"/>
      <c r="C3294" s="29"/>
      <c r="D3294" s="29"/>
      <c r="E3294" s="29"/>
      <c r="F3294" s="30"/>
      <c r="G3294" s="29"/>
      <c r="H3294" s="30"/>
      <c r="I3294" s="29"/>
      <c r="J3294" s="30"/>
      <c r="K3294" s="30"/>
      <c r="L3294" s="29"/>
      <c r="M3294" s="32" t="str">
        <f aca="false">IF(OR(C3294="",L3294=""),"",IF(C3294=L3294,"同一","変更"))</f>
        <v/>
      </c>
      <c r="N3294" s="29"/>
      <c r="O3294" s="30"/>
      <c r="P3294" s="29"/>
      <c r="Q3294" s="31"/>
      <c r="R3294" s="29"/>
      <c r="S3294" s="29"/>
      <c r="T3294" s="30"/>
      <c r="U3294" s="47" t="str">
        <f aca="false">IF(AND(B3294&lt;&gt;"",B3294=SW別シート!$C$3),COUNTIF(B$5:B3294,B3294),"")</f>
        <v/>
      </c>
      <c r="V3294" s="47" t="n">
        <f aca="false">V3293+IF(OR(O3294&lt;&gt;"",W3294&lt;&gt;""),1,0)</f>
        <v>3</v>
      </c>
      <c r="W3294" s="29"/>
    </row>
    <row r="3295" customFormat="false" ht="15" hidden="false" customHeight="false" outlineLevel="0" collapsed="false">
      <c r="A3295" s="32" t="str">
        <f aca="false">IF(B3295="","",ROW()-7)</f>
        <v/>
      </c>
      <c r="B3295" s="30"/>
      <c r="C3295" s="29"/>
      <c r="D3295" s="29"/>
      <c r="E3295" s="29"/>
      <c r="F3295" s="30"/>
      <c r="G3295" s="29"/>
      <c r="H3295" s="30"/>
      <c r="I3295" s="29"/>
      <c r="J3295" s="30"/>
      <c r="K3295" s="30"/>
      <c r="L3295" s="29"/>
      <c r="M3295" s="32" t="str">
        <f aca="false">IF(OR(C3295="",L3295=""),"",IF(C3295=L3295,"同一","変更"))</f>
        <v/>
      </c>
      <c r="N3295" s="29"/>
      <c r="O3295" s="30"/>
      <c r="P3295" s="29"/>
      <c r="Q3295" s="31"/>
      <c r="R3295" s="29"/>
      <c r="S3295" s="29"/>
      <c r="T3295" s="30"/>
      <c r="U3295" s="47" t="str">
        <f aca="false">IF(AND(B3295&lt;&gt;"",B3295=SW別シート!$C$3),COUNTIF(B$5:B3295,B3295),"")</f>
        <v/>
      </c>
      <c r="V3295" s="47" t="n">
        <f aca="false">V3294+IF(OR(O3295&lt;&gt;"",W3295&lt;&gt;""),1,0)</f>
        <v>3</v>
      </c>
      <c r="W3295" s="29"/>
    </row>
    <row r="3296" customFormat="false" ht="15" hidden="false" customHeight="false" outlineLevel="0" collapsed="false">
      <c r="A3296" s="32" t="str">
        <f aca="false">IF(B3296="","",ROW()-7)</f>
        <v/>
      </c>
      <c r="B3296" s="30"/>
      <c r="C3296" s="29"/>
      <c r="D3296" s="29"/>
      <c r="E3296" s="29"/>
      <c r="F3296" s="30"/>
      <c r="G3296" s="29"/>
      <c r="H3296" s="30"/>
      <c r="I3296" s="29"/>
      <c r="J3296" s="30"/>
      <c r="K3296" s="30"/>
      <c r="L3296" s="29"/>
      <c r="M3296" s="32" t="str">
        <f aca="false">IF(OR(C3296="",L3296=""),"",IF(C3296=L3296,"同一","変更"))</f>
        <v/>
      </c>
      <c r="N3296" s="29"/>
      <c r="O3296" s="30"/>
      <c r="P3296" s="29"/>
      <c r="Q3296" s="31"/>
      <c r="R3296" s="29"/>
      <c r="S3296" s="29"/>
      <c r="T3296" s="30"/>
      <c r="U3296" s="47" t="str">
        <f aca="false">IF(AND(B3296&lt;&gt;"",B3296=SW別シート!$C$3),COUNTIF(B$5:B3296,B3296),"")</f>
        <v/>
      </c>
      <c r="V3296" s="47" t="n">
        <f aca="false">V3295+IF(OR(O3296&lt;&gt;"",W3296&lt;&gt;""),1,0)</f>
        <v>3</v>
      </c>
      <c r="W3296" s="29"/>
    </row>
    <row r="3297" customFormat="false" ht="15" hidden="false" customHeight="false" outlineLevel="0" collapsed="false">
      <c r="A3297" s="32" t="str">
        <f aca="false">IF(B3297="","",ROW()-7)</f>
        <v/>
      </c>
      <c r="B3297" s="30"/>
      <c r="C3297" s="29"/>
      <c r="D3297" s="29"/>
      <c r="E3297" s="29"/>
      <c r="F3297" s="30"/>
      <c r="G3297" s="29"/>
      <c r="H3297" s="30"/>
      <c r="I3297" s="29"/>
      <c r="J3297" s="30"/>
      <c r="K3297" s="30"/>
      <c r="L3297" s="29"/>
      <c r="M3297" s="32" t="str">
        <f aca="false">IF(OR(C3297="",L3297=""),"",IF(C3297=L3297,"同一","変更"))</f>
        <v/>
      </c>
      <c r="N3297" s="29"/>
      <c r="O3297" s="30"/>
      <c r="P3297" s="29"/>
      <c r="Q3297" s="31"/>
      <c r="R3297" s="29"/>
      <c r="S3297" s="29"/>
      <c r="T3297" s="30"/>
      <c r="U3297" s="47" t="str">
        <f aca="false">IF(AND(B3297&lt;&gt;"",B3297=SW別シート!$C$3),COUNTIF(B$5:B3297,B3297),"")</f>
        <v/>
      </c>
      <c r="V3297" s="47" t="n">
        <f aca="false">V3296+IF(OR(O3297&lt;&gt;"",W3297&lt;&gt;""),1,0)</f>
        <v>3</v>
      </c>
      <c r="W3297" s="29"/>
    </row>
    <row r="3298" customFormat="false" ht="15" hidden="false" customHeight="false" outlineLevel="0" collapsed="false">
      <c r="A3298" s="32" t="str">
        <f aca="false">IF(B3298="","",ROW()-7)</f>
        <v/>
      </c>
      <c r="B3298" s="30"/>
      <c r="C3298" s="29"/>
      <c r="D3298" s="29"/>
      <c r="E3298" s="29"/>
      <c r="F3298" s="30"/>
      <c r="G3298" s="29"/>
      <c r="H3298" s="30"/>
      <c r="I3298" s="29"/>
      <c r="J3298" s="30"/>
      <c r="K3298" s="30"/>
      <c r="L3298" s="29"/>
      <c r="M3298" s="32" t="str">
        <f aca="false">IF(OR(C3298="",L3298=""),"",IF(C3298=L3298,"同一","変更"))</f>
        <v/>
      </c>
      <c r="N3298" s="29"/>
      <c r="O3298" s="30"/>
      <c r="P3298" s="29"/>
      <c r="Q3298" s="31"/>
      <c r="R3298" s="29"/>
      <c r="S3298" s="29"/>
      <c r="T3298" s="30"/>
      <c r="U3298" s="47" t="str">
        <f aca="false">IF(AND(B3298&lt;&gt;"",B3298=SW別シート!$C$3),COUNTIF(B$5:B3298,B3298),"")</f>
        <v/>
      </c>
      <c r="V3298" s="47" t="n">
        <f aca="false">V3297+IF(OR(O3298&lt;&gt;"",W3298&lt;&gt;""),1,0)</f>
        <v>3</v>
      </c>
      <c r="W3298" s="29"/>
    </row>
    <row r="3299" customFormat="false" ht="15" hidden="false" customHeight="false" outlineLevel="0" collapsed="false">
      <c r="A3299" s="32" t="str">
        <f aca="false">IF(B3299="","",ROW()-7)</f>
        <v/>
      </c>
      <c r="B3299" s="30"/>
      <c r="C3299" s="29"/>
      <c r="D3299" s="29"/>
      <c r="E3299" s="29"/>
      <c r="F3299" s="30"/>
      <c r="G3299" s="29"/>
      <c r="H3299" s="30"/>
      <c r="I3299" s="29"/>
      <c r="J3299" s="30"/>
      <c r="K3299" s="30"/>
      <c r="L3299" s="29"/>
      <c r="M3299" s="32" t="str">
        <f aca="false">IF(OR(C3299="",L3299=""),"",IF(C3299=L3299,"同一","変更"))</f>
        <v/>
      </c>
      <c r="N3299" s="29"/>
      <c r="O3299" s="30"/>
      <c r="P3299" s="29"/>
      <c r="Q3299" s="31"/>
      <c r="R3299" s="29"/>
      <c r="S3299" s="29"/>
      <c r="T3299" s="30"/>
      <c r="U3299" s="47" t="str">
        <f aca="false">IF(AND(B3299&lt;&gt;"",B3299=SW別シート!$C$3),COUNTIF(B$5:B3299,B3299),"")</f>
        <v/>
      </c>
      <c r="V3299" s="47" t="n">
        <f aca="false">V3298+IF(OR(O3299&lt;&gt;"",W3299&lt;&gt;""),1,0)</f>
        <v>3</v>
      </c>
      <c r="W3299" s="29"/>
    </row>
    <row r="3300" customFormat="false" ht="15" hidden="false" customHeight="false" outlineLevel="0" collapsed="false">
      <c r="A3300" s="32" t="str">
        <f aca="false">IF(B3300="","",ROW()-7)</f>
        <v/>
      </c>
      <c r="B3300" s="30"/>
      <c r="C3300" s="29"/>
      <c r="D3300" s="29"/>
      <c r="E3300" s="29"/>
      <c r="F3300" s="30"/>
      <c r="G3300" s="29"/>
      <c r="H3300" s="30"/>
      <c r="I3300" s="29"/>
      <c r="J3300" s="30"/>
      <c r="K3300" s="30"/>
      <c r="L3300" s="29"/>
      <c r="M3300" s="32" t="str">
        <f aca="false">IF(OR(C3300="",L3300=""),"",IF(C3300=L3300,"同一","変更"))</f>
        <v/>
      </c>
      <c r="N3300" s="29"/>
      <c r="O3300" s="30"/>
      <c r="P3300" s="29"/>
      <c r="Q3300" s="31"/>
      <c r="R3300" s="29"/>
      <c r="S3300" s="29"/>
      <c r="T3300" s="30"/>
      <c r="U3300" s="47" t="str">
        <f aca="false">IF(AND(B3300&lt;&gt;"",B3300=SW別シート!$C$3),COUNTIF(B$5:B3300,B3300),"")</f>
        <v/>
      </c>
      <c r="V3300" s="47" t="n">
        <f aca="false">V3299+IF(OR(O3300&lt;&gt;"",W3300&lt;&gt;""),1,0)</f>
        <v>3</v>
      </c>
      <c r="W3300" s="29"/>
    </row>
    <row r="3301" customFormat="false" ht="15" hidden="false" customHeight="false" outlineLevel="0" collapsed="false">
      <c r="A3301" s="32" t="str">
        <f aca="false">IF(B3301="","",ROW()-7)</f>
        <v/>
      </c>
      <c r="B3301" s="30"/>
      <c r="C3301" s="29"/>
      <c r="D3301" s="29"/>
      <c r="E3301" s="29"/>
      <c r="F3301" s="30"/>
      <c r="G3301" s="29"/>
      <c r="H3301" s="30"/>
      <c r="I3301" s="29"/>
      <c r="J3301" s="30"/>
      <c r="K3301" s="30"/>
      <c r="L3301" s="29"/>
      <c r="M3301" s="32" t="str">
        <f aca="false">IF(OR(C3301="",L3301=""),"",IF(C3301=L3301,"同一","変更"))</f>
        <v/>
      </c>
      <c r="N3301" s="29"/>
      <c r="O3301" s="30"/>
      <c r="P3301" s="29"/>
      <c r="Q3301" s="31"/>
      <c r="R3301" s="29"/>
      <c r="S3301" s="29"/>
      <c r="T3301" s="30"/>
      <c r="U3301" s="47" t="str">
        <f aca="false">IF(AND(B3301&lt;&gt;"",B3301=SW別シート!$C$3),COUNTIF(B$5:B3301,B3301),"")</f>
        <v/>
      </c>
      <c r="V3301" s="47" t="n">
        <f aca="false">V3300+IF(OR(O3301&lt;&gt;"",W3301&lt;&gt;""),1,0)</f>
        <v>3</v>
      </c>
      <c r="W3301" s="29"/>
    </row>
    <row r="3302" customFormat="false" ht="15" hidden="false" customHeight="false" outlineLevel="0" collapsed="false">
      <c r="A3302" s="32" t="str">
        <f aca="false">IF(B3302="","",ROW()-7)</f>
        <v/>
      </c>
      <c r="B3302" s="30"/>
      <c r="C3302" s="29"/>
      <c r="D3302" s="29"/>
      <c r="E3302" s="29"/>
      <c r="F3302" s="30"/>
      <c r="G3302" s="29"/>
      <c r="H3302" s="30"/>
      <c r="I3302" s="29"/>
      <c r="J3302" s="30"/>
      <c r="K3302" s="30"/>
      <c r="L3302" s="29"/>
      <c r="M3302" s="32" t="str">
        <f aca="false">IF(OR(C3302="",L3302=""),"",IF(C3302=L3302,"同一","変更"))</f>
        <v/>
      </c>
      <c r="N3302" s="29"/>
      <c r="O3302" s="30"/>
      <c r="P3302" s="29"/>
      <c r="Q3302" s="31"/>
      <c r="R3302" s="29"/>
      <c r="S3302" s="29"/>
      <c r="T3302" s="30"/>
      <c r="U3302" s="47" t="str">
        <f aca="false">IF(AND(B3302&lt;&gt;"",B3302=SW別シート!$C$3),COUNTIF(B$5:B3302,B3302),"")</f>
        <v/>
      </c>
      <c r="V3302" s="47" t="n">
        <f aca="false">V3301+IF(OR(O3302&lt;&gt;"",W3302&lt;&gt;""),1,0)</f>
        <v>3</v>
      </c>
      <c r="W3302" s="29"/>
    </row>
    <row r="3303" customFormat="false" ht="15" hidden="false" customHeight="false" outlineLevel="0" collapsed="false">
      <c r="A3303" s="32" t="str">
        <f aca="false">IF(B3303="","",ROW()-7)</f>
        <v/>
      </c>
      <c r="B3303" s="30"/>
      <c r="C3303" s="29"/>
      <c r="D3303" s="29"/>
      <c r="E3303" s="29"/>
      <c r="F3303" s="30"/>
      <c r="G3303" s="29"/>
      <c r="H3303" s="30"/>
      <c r="I3303" s="29"/>
      <c r="J3303" s="30"/>
      <c r="K3303" s="30"/>
      <c r="L3303" s="29"/>
      <c r="M3303" s="32" t="str">
        <f aca="false">IF(OR(C3303="",L3303=""),"",IF(C3303=L3303,"同一","変更"))</f>
        <v/>
      </c>
      <c r="N3303" s="29"/>
      <c r="O3303" s="30"/>
      <c r="P3303" s="29"/>
      <c r="Q3303" s="31"/>
      <c r="R3303" s="29"/>
      <c r="S3303" s="29"/>
      <c r="T3303" s="30"/>
      <c r="U3303" s="47" t="str">
        <f aca="false">IF(AND(B3303&lt;&gt;"",B3303=SW別シート!$C$3),COUNTIF(B$5:B3303,B3303),"")</f>
        <v/>
      </c>
      <c r="V3303" s="47" t="n">
        <f aca="false">V3302+IF(OR(O3303&lt;&gt;"",W3303&lt;&gt;""),1,0)</f>
        <v>3</v>
      </c>
      <c r="W3303" s="29"/>
    </row>
    <row r="3304" customFormat="false" ht="15" hidden="false" customHeight="false" outlineLevel="0" collapsed="false">
      <c r="A3304" s="32" t="str">
        <f aca="false">IF(B3304="","",ROW()-7)</f>
        <v/>
      </c>
      <c r="B3304" s="30"/>
      <c r="C3304" s="29"/>
      <c r="D3304" s="29"/>
      <c r="E3304" s="29"/>
      <c r="F3304" s="30"/>
      <c r="G3304" s="29"/>
      <c r="H3304" s="30"/>
      <c r="I3304" s="29"/>
      <c r="J3304" s="30"/>
      <c r="K3304" s="30"/>
      <c r="L3304" s="29"/>
      <c r="M3304" s="32" t="str">
        <f aca="false">IF(OR(C3304="",L3304=""),"",IF(C3304=L3304,"同一","変更"))</f>
        <v/>
      </c>
      <c r="N3304" s="29"/>
      <c r="O3304" s="30"/>
      <c r="P3304" s="29"/>
      <c r="Q3304" s="31"/>
      <c r="R3304" s="29"/>
      <c r="S3304" s="29"/>
      <c r="T3304" s="30"/>
      <c r="U3304" s="47" t="str">
        <f aca="false">IF(AND(B3304&lt;&gt;"",B3304=SW別シート!$C$3),COUNTIF(B$5:B3304,B3304),"")</f>
        <v/>
      </c>
      <c r="V3304" s="47" t="n">
        <f aca="false">V3303+IF(OR(O3304&lt;&gt;"",W3304&lt;&gt;""),1,0)</f>
        <v>3</v>
      </c>
      <c r="W3304" s="29"/>
    </row>
    <row r="3305" customFormat="false" ht="15" hidden="false" customHeight="false" outlineLevel="0" collapsed="false">
      <c r="A3305" s="32" t="str">
        <f aca="false">IF(B3305="","",ROW()-7)</f>
        <v/>
      </c>
      <c r="B3305" s="30"/>
      <c r="C3305" s="29"/>
      <c r="D3305" s="29"/>
      <c r="E3305" s="29"/>
      <c r="F3305" s="30"/>
      <c r="G3305" s="29"/>
      <c r="H3305" s="30"/>
      <c r="I3305" s="29"/>
      <c r="J3305" s="30"/>
      <c r="K3305" s="30"/>
      <c r="L3305" s="29"/>
      <c r="M3305" s="32" t="str">
        <f aca="false">IF(OR(C3305="",L3305=""),"",IF(C3305=L3305,"同一","変更"))</f>
        <v/>
      </c>
      <c r="N3305" s="29"/>
      <c r="O3305" s="30"/>
      <c r="P3305" s="29"/>
      <c r="Q3305" s="31"/>
      <c r="R3305" s="29"/>
      <c r="S3305" s="29"/>
      <c r="T3305" s="30"/>
      <c r="U3305" s="47" t="str">
        <f aca="false">IF(AND(B3305&lt;&gt;"",B3305=SW別シート!$C$3),COUNTIF(B$5:B3305,B3305),"")</f>
        <v/>
      </c>
      <c r="V3305" s="47" t="n">
        <f aca="false">V3304+IF(OR(O3305&lt;&gt;"",W3305&lt;&gt;""),1,0)</f>
        <v>3</v>
      </c>
      <c r="W3305" s="29"/>
    </row>
    <row r="3306" customFormat="false" ht="15" hidden="false" customHeight="false" outlineLevel="0" collapsed="false">
      <c r="A3306" s="32" t="str">
        <f aca="false">IF(B3306="","",ROW()-7)</f>
        <v/>
      </c>
      <c r="B3306" s="30"/>
      <c r="C3306" s="29"/>
      <c r="D3306" s="29"/>
      <c r="E3306" s="29"/>
      <c r="F3306" s="30"/>
      <c r="G3306" s="29"/>
      <c r="H3306" s="30"/>
      <c r="I3306" s="29"/>
      <c r="J3306" s="30"/>
      <c r="K3306" s="30"/>
      <c r="L3306" s="29"/>
      <c r="M3306" s="32" t="str">
        <f aca="false">IF(OR(C3306="",L3306=""),"",IF(C3306=L3306,"同一","変更"))</f>
        <v/>
      </c>
      <c r="N3306" s="29"/>
      <c r="O3306" s="30"/>
      <c r="P3306" s="29"/>
      <c r="Q3306" s="31"/>
      <c r="R3306" s="29"/>
      <c r="S3306" s="29"/>
      <c r="T3306" s="30"/>
      <c r="U3306" s="47" t="str">
        <f aca="false">IF(AND(B3306&lt;&gt;"",B3306=SW別シート!$C$3),COUNTIF(B$5:B3306,B3306),"")</f>
        <v/>
      </c>
      <c r="V3306" s="47" t="n">
        <f aca="false">V3305+IF(OR(O3306&lt;&gt;"",W3306&lt;&gt;""),1,0)</f>
        <v>3</v>
      </c>
      <c r="W3306" s="29"/>
    </row>
    <row r="3307" customFormat="false" ht="15" hidden="false" customHeight="false" outlineLevel="0" collapsed="false">
      <c r="A3307" s="32" t="str">
        <f aca="false">IF(B3307="","",ROW()-7)</f>
        <v/>
      </c>
      <c r="B3307" s="30"/>
      <c r="C3307" s="29"/>
      <c r="D3307" s="29"/>
      <c r="E3307" s="29"/>
      <c r="F3307" s="30"/>
      <c r="G3307" s="29"/>
      <c r="H3307" s="30"/>
      <c r="I3307" s="29"/>
      <c r="J3307" s="30"/>
      <c r="K3307" s="30"/>
      <c r="L3307" s="29"/>
      <c r="M3307" s="32" t="str">
        <f aca="false">IF(OR(C3307="",L3307=""),"",IF(C3307=L3307,"同一","変更"))</f>
        <v/>
      </c>
      <c r="N3307" s="29"/>
      <c r="O3307" s="30"/>
      <c r="P3307" s="29"/>
      <c r="Q3307" s="31"/>
      <c r="R3307" s="29"/>
      <c r="S3307" s="29"/>
      <c r="T3307" s="30"/>
      <c r="U3307" s="47" t="str">
        <f aca="false">IF(AND(B3307&lt;&gt;"",B3307=SW別シート!$C$3),COUNTIF(B$5:B3307,B3307),"")</f>
        <v/>
      </c>
      <c r="V3307" s="47" t="n">
        <f aca="false">V3306+IF(OR(O3307&lt;&gt;"",W3307&lt;&gt;""),1,0)</f>
        <v>3</v>
      </c>
      <c r="W3307" s="29"/>
    </row>
    <row r="3308" customFormat="false" ht="15" hidden="false" customHeight="false" outlineLevel="0" collapsed="false">
      <c r="A3308" s="32" t="str">
        <f aca="false">IF(B3308="","",ROW()-7)</f>
        <v/>
      </c>
      <c r="B3308" s="30"/>
      <c r="C3308" s="29"/>
      <c r="D3308" s="29"/>
      <c r="E3308" s="29"/>
      <c r="F3308" s="30"/>
      <c r="G3308" s="29"/>
      <c r="H3308" s="30"/>
      <c r="I3308" s="29"/>
      <c r="J3308" s="30"/>
      <c r="K3308" s="30"/>
      <c r="L3308" s="29"/>
      <c r="M3308" s="32" t="str">
        <f aca="false">IF(OR(C3308="",L3308=""),"",IF(C3308=L3308,"同一","変更"))</f>
        <v/>
      </c>
      <c r="N3308" s="29"/>
      <c r="O3308" s="30"/>
      <c r="P3308" s="29"/>
      <c r="Q3308" s="31"/>
      <c r="R3308" s="29"/>
      <c r="S3308" s="29"/>
      <c r="T3308" s="30"/>
      <c r="U3308" s="47" t="str">
        <f aca="false">IF(AND(B3308&lt;&gt;"",B3308=SW別シート!$C$3),COUNTIF(B$5:B3308,B3308),"")</f>
        <v/>
      </c>
      <c r="V3308" s="47" t="n">
        <f aca="false">V3307+IF(OR(O3308&lt;&gt;"",W3308&lt;&gt;""),1,0)</f>
        <v>3</v>
      </c>
      <c r="W3308" s="29"/>
    </row>
    <row r="3309" customFormat="false" ht="15" hidden="false" customHeight="false" outlineLevel="0" collapsed="false">
      <c r="A3309" s="32" t="str">
        <f aca="false">IF(B3309="","",ROW()-7)</f>
        <v/>
      </c>
      <c r="B3309" s="30"/>
      <c r="C3309" s="29"/>
      <c r="D3309" s="29"/>
      <c r="E3309" s="29"/>
      <c r="F3309" s="30"/>
      <c r="G3309" s="29"/>
      <c r="H3309" s="30"/>
      <c r="I3309" s="29"/>
      <c r="J3309" s="30"/>
      <c r="K3309" s="30"/>
      <c r="L3309" s="29"/>
      <c r="M3309" s="32" t="str">
        <f aca="false">IF(OR(C3309="",L3309=""),"",IF(C3309=L3309,"同一","変更"))</f>
        <v/>
      </c>
      <c r="N3309" s="29"/>
      <c r="O3309" s="30"/>
      <c r="P3309" s="29"/>
      <c r="Q3309" s="31"/>
      <c r="R3309" s="29"/>
      <c r="S3309" s="29"/>
      <c r="T3309" s="30"/>
      <c r="U3309" s="47" t="str">
        <f aca="false">IF(AND(B3309&lt;&gt;"",B3309=SW別シート!$C$3),COUNTIF(B$5:B3309,B3309),"")</f>
        <v/>
      </c>
      <c r="V3309" s="47" t="n">
        <f aca="false">V3308+IF(OR(O3309&lt;&gt;"",W3309&lt;&gt;""),1,0)</f>
        <v>3</v>
      </c>
      <c r="W3309" s="29"/>
    </row>
    <row r="3310" customFormat="false" ht="15" hidden="false" customHeight="false" outlineLevel="0" collapsed="false">
      <c r="A3310" s="32" t="str">
        <f aca="false">IF(B3310="","",ROW()-7)</f>
        <v/>
      </c>
      <c r="B3310" s="30"/>
      <c r="C3310" s="29"/>
      <c r="D3310" s="29"/>
      <c r="E3310" s="29"/>
      <c r="F3310" s="30"/>
      <c r="G3310" s="29"/>
      <c r="H3310" s="30"/>
      <c r="I3310" s="29"/>
      <c r="J3310" s="30"/>
      <c r="K3310" s="30"/>
      <c r="L3310" s="29"/>
      <c r="M3310" s="32" t="str">
        <f aca="false">IF(OR(C3310="",L3310=""),"",IF(C3310=L3310,"同一","変更"))</f>
        <v/>
      </c>
      <c r="N3310" s="29"/>
      <c r="O3310" s="30"/>
      <c r="P3310" s="29"/>
      <c r="Q3310" s="31"/>
      <c r="R3310" s="29"/>
      <c r="S3310" s="29"/>
      <c r="T3310" s="30"/>
      <c r="U3310" s="47" t="str">
        <f aca="false">IF(AND(B3310&lt;&gt;"",B3310=SW別シート!$C$3),COUNTIF(B$5:B3310,B3310),"")</f>
        <v/>
      </c>
      <c r="V3310" s="47" t="n">
        <f aca="false">V3309+IF(OR(O3310&lt;&gt;"",W3310&lt;&gt;""),1,0)</f>
        <v>3</v>
      </c>
      <c r="W3310" s="29"/>
    </row>
    <row r="3311" customFormat="false" ht="15" hidden="false" customHeight="false" outlineLevel="0" collapsed="false">
      <c r="A3311" s="32" t="str">
        <f aca="false">IF(B3311="","",ROW()-7)</f>
        <v/>
      </c>
      <c r="B3311" s="30"/>
      <c r="C3311" s="29"/>
      <c r="D3311" s="29"/>
      <c r="E3311" s="29"/>
      <c r="F3311" s="30"/>
      <c r="G3311" s="29"/>
      <c r="H3311" s="30"/>
      <c r="I3311" s="29"/>
      <c r="J3311" s="30"/>
      <c r="K3311" s="30"/>
      <c r="L3311" s="29"/>
      <c r="M3311" s="32" t="str">
        <f aca="false">IF(OR(C3311="",L3311=""),"",IF(C3311=L3311,"同一","変更"))</f>
        <v/>
      </c>
      <c r="N3311" s="29"/>
      <c r="O3311" s="30"/>
      <c r="P3311" s="29"/>
      <c r="Q3311" s="31"/>
      <c r="R3311" s="29"/>
      <c r="S3311" s="29"/>
      <c r="T3311" s="30"/>
      <c r="U3311" s="47" t="str">
        <f aca="false">IF(AND(B3311&lt;&gt;"",B3311=SW別シート!$C$3),COUNTIF(B$5:B3311,B3311),"")</f>
        <v/>
      </c>
      <c r="V3311" s="47" t="n">
        <f aca="false">V3310+IF(OR(O3311&lt;&gt;"",W3311&lt;&gt;""),1,0)</f>
        <v>3</v>
      </c>
      <c r="W3311" s="29"/>
    </row>
    <row r="3312" customFormat="false" ht="15" hidden="false" customHeight="false" outlineLevel="0" collapsed="false">
      <c r="A3312" s="32" t="str">
        <f aca="false">IF(B3312="","",ROW()-7)</f>
        <v/>
      </c>
      <c r="B3312" s="30"/>
      <c r="C3312" s="29"/>
      <c r="D3312" s="29"/>
      <c r="E3312" s="29"/>
      <c r="F3312" s="30"/>
      <c r="G3312" s="29"/>
      <c r="H3312" s="30"/>
      <c r="I3312" s="29"/>
      <c r="J3312" s="30"/>
      <c r="K3312" s="30"/>
      <c r="L3312" s="29"/>
      <c r="M3312" s="32" t="str">
        <f aca="false">IF(OR(C3312="",L3312=""),"",IF(C3312=L3312,"同一","変更"))</f>
        <v/>
      </c>
      <c r="N3312" s="29"/>
      <c r="O3312" s="30"/>
      <c r="P3312" s="29"/>
      <c r="Q3312" s="31"/>
      <c r="R3312" s="29"/>
      <c r="S3312" s="29"/>
      <c r="T3312" s="30"/>
      <c r="U3312" s="47" t="str">
        <f aca="false">IF(AND(B3312&lt;&gt;"",B3312=SW別シート!$C$3),COUNTIF(B$5:B3312,B3312),"")</f>
        <v/>
      </c>
      <c r="V3312" s="47" t="n">
        <f aca="false">V3311+IF(OR(O3312&lt;&gt;"",W3312&lt;&gt;""),1,0)</f>
        <v>3</v>
      </c>
      <c r="W3312" s="29"/>
    </row>
    <row r="3313" customFormat="false" ht="15" hidden="false" customHeight="false" outlineLevel="0" collapsed="false">
      <c r="A3313" s="32" t="str">
        <f aca="false">IF(B3313="","",ROW()-7)</f>
        <v/>
      </c>
      <c r="B3313" s="30"/>
      <c r="C3313" s="29"/>
      <c r="D3313" s="29"/>
      <c r="E3313" s="29"/>
      <c r="F3313" s="30"/>
      <c r="G3313" s="29"/>
      <c r="H3313" s="30"/>
      <c r="I3313" s="29"/>
      <c r="J3313" s="30"/>
      <c r="K3313" s="30"/>
      <c r="L3313" s="29"/>
      <c r="M3313" s="32" t="str">
        <f aca="false">IF(OR(C3313="",L3313=""),"",IF(C3313=L3313,"同一","変更"))</f>
        <v/>
      </c>
      <c r="N3313" s="29"/>
      <c r="O3313" s="30"/>
      <c r="P3313" s="29"/>
      <c r="Q3313" s="31"/>
      <c r="R3313" s="29"/>
      <c r="S3313" s="29"/>
      <c r="T3313" s="30"/>
      <c r="U3313" s="47" t="str">
        <f aca="false">IF(AND(B3313&lt;&gt;"",B3313=SW別シート!$C$3),COUNTIF(B$5:B3313,B3313),"")</f>
        <v/>
      </c>
      <c r="V3313" s="47" t="n">
        <f aca="false">V3312+IF(OR(O3313&lt;&gt;"",W3313&lt;&gt;""),1,0)</f>
        <v>3</v>
      </c>
      <c r="W3313" s="29"/>
    </row>
    <row r="3314" customFormat="false" ht="15" hidden="false" customHeight="false" outlineLevel="0" collapsed="false">
      <c r="A3314" s="32" t="str">
        <f aca="false">IF(B3314="","",ROW()-7)</f>
        <v/>
      </c>
      <c r="B3314" s="30"/>
      <c r="C3314" s="29"/>
      <c r="D3314" s="29"/>
      <c r="E3314" s="29"/>
      <c r="F3314" s="30"/>
      <c r="G3314" s="29"/>
      <c r="H3314" s="30"/>
      <c r="I3314" s="29"/>
      <c r="J3314" s="30"/>
      <c r="K3314" s="30"/>
      <c r="L3314" s="29"/>
      <c r="M3314" s="32" t="str">
        <f aca="false">IF(OR(C3314="",L3314=""),"",IF(C3314=L3314,"同一","変更"))</f>
        <v/>
      </c>
      <c r="N3314" s="29"/>
      <c r="O3314" s="30"/>
      <c r="P3314" s="29"/>
      <c r="Q3314" s="31"/>
      <c r="R3314" s="29"/>
      <c r="S3314" s="29"/>
      <c r="T3314" s="30"/>
      <c r="U3314" s="47" t="str">
        <f aca="false">IF(AND(B3314&lt;&gt;"",B3314=SW別シート!$C$3),COUNTIF(B$5:B3314,B3314),"")</f>
        <v/>
      </c>
      <c r="V3314" s="47" t="n">
        <f aca="false">V3313+IF(OR(O3314&lt;&gt;"",W3314&lt;&gt;""),1,0)</f>
        <v>3</v>
      </c>
      <c r="W3314" s="29"/>
    </row>
    <row r="3315" customFormat="false" ht="15" hidden="false" customHeight="false" outlineLevel="0" collapsed="false">
      <c r="A3315" s="32" t="str">
        <f aca="false">IF(B3315="","",ROW()-7)</f>
        <v/>
      </c>
      <c r="B3315" s="30"/>
      <c r="C3315" s="29"/>
      <c r="D3315" s="29"/>
      <c r="E3315" s="29"/>
      <c r="F3315" s="30"/>
      <c r="G3315" s="29"/>
      <c r="H3315" s="30"/>
      <c r="I3315" s="29"/>
      <c r="J3315" s="30"/>
      <c r="K3315" s="30"/>
      <c r="L3315" s="29"/>
      <c r="M3315" s="32" t="str">
        <f aca="false">IF(OR(C3315="",L3315=""),"",IF(C3315=L3315,"同一","変更"))</f>
        <v/>
      </c>
      <c r="N3315" s="29"/>
      <c r="O3315" s="30"/>
      <c r="P3315" s="29"/>
      <c r="Q3315" s="31"/>
      <c r="R3315" s="29"/>
      <c r="S3315" s="29"/>
      <c r="T3315" s="30"/>
      <c r="U3315" s="47" t="str">
        <f aca="false">IF(AND(B3315&lt;&gt;"",B3315=SW別シート!$C$3),COUNTIF(B$5:B3315,B3315),"")</f>
        <v/>
      </c>
      <c r="V3315" s="47" t="n">
        <f aca="false">V3314+IF(OR(O3315&lt;&gt;"",W3315&lt;&gt;""),1,0)</f>
        <v>3</v>
      </c>
      <c r="W3315" s="29"/>
    </row>
    <row r="3316" customFormat="false" ht="15" hidden="false" customHeight="false" outlineLevel="0" collapsed="false">
      <c r="A3316" s="32" t="str">
        <f aca="false">IF(B3316="","",ROW()-7)</f>
        <v/>
      </c>
      <c r="B3316" s="30"/>
      <c r="C3316" s="29"/>
      <c r="D3316" s="29"/>
      <c r="E3316" s="29"/>
      <c r="F3316" s="30"/>
      <c r="G3316" s="29"/>
      <c r="H3316" s="30"/>
      <c r="I3316" s="29"/>
      <c r="J3316" s="30"/>
      <c r="K3316" s="30"/>
      <c r="L3316" s="29"/>
      <c r="M3316" s="32" t="str">
        <f aca="false">IF(OR(C3316="",L3316=""),"",IF(C3316=L3316,"同一","変更"))</f>
        <v/>
      </c>
      <c r="N3316" s="29"/>
      <c r="O3316" s="30"/>
      <c r="P3316" s="29"/>
      <c r="Q3316" s="31"/>
      <c r="R3316" s="29"/>
      <c r="S3316" s="29"/>
      <c r="T3316" s="30"/>
      <c r="U3316" s="47" t="str">
        <f aca="false">IF(AND(B3316&lt;&gt;"",B3316=SW別シート!$C$3),COUNTIF(B$5:B3316,B3316),"")</f>
        <v/>
      </c>
      <c r="V3316" s="47" t="n">
        <f aca="false">V3315+IF(OR(O3316&lt;&gt;"",W3316&lt;&gt;""),1,0)</f>
        <v>3</v>
      </c>
      <c r="W3316" s="29"/>
    </row>
    <row r="3317" customFormat="false" ht="15" hidden="false" customHeight="false" outlineLevel="0" collapsed="false">
      <c r="A3317" s="32" t="str">
        <f aca="false">IF(B3317="","",ROW()-7)</f>
        <v/>
      </c>
      <c r="B3317" s="30"/>
      <c r="C3317" s="29"/>
      <c r="D3317" s="29"/>
      <c r="E3317" s="29"/>
      <c r="F3317" s="30"/>
      <c r="G3317" s="29"/>
      <c r="H3317" s="30"/>
      <c r="I3317" s="29"/>
      <c r="J3317" s="30"/>
      <c r="K3317" s="30"/>
      <c r="L3317" s="29"/>
      <c r="M3317" s="32" t="str">
        <f aca="false">IF(OR(C3317="",L3317=""),"",IF(C3317=L3317,"同一","変更"))</f>
        <v/>
      </c>
      <c r="N3317" s="29"/>
      <c r="O3317" s="30"/>
      <c r="P3317" s="29"/>
      <c r="Q3317" s="31"/>
      <c r="R3317" s="29"/>
      <c r="S3317" s="29"/>
      <c r="T3317" s="30"/>
      <c r="U3317" s="47" t="str">
        <f aca="false">IF(AND(B3317&lt;&gt;"",B3317=SW別シート!$C$3),COUNTIF(B$5:B3317,B3317),"")</f>
        <v/>
      </c>
      <c r="V3317" s="47" t="n">
        <f aca="false">V3316+IF(OR(O3317&lt;&gt;"",W3317&lt;&gt;""),1,0)</f>
        <v>3</v>
      </c>
      <c r="W3317" s="29"/>
    </row>
    <row r="3318" customFormat="false" ht="15" hidden="false" customHeight="false" outlineLevel="0" collapsed="false">
      <c r="A3318" s="32" t="str">
        <f aca="false">IF(B3318="","",ROW()-7)</f>
        <v/>
      </c>
      <c r="B3318" s="30"/>
      <c r="C3318" s="29"/>
      <c r="D3318" s="29"/>
      <c r="E3318" s="29"/>
      <c r="F3318" s="30"/>
      <c r="G3318" s="29"/>
      <c r="H3318" s="30"/>
      <c r="I3318" s="29"/>
      <c r="J3318" s="30"/>
      <c r="K3318" s="30"/>
      <c r="L3318" s="29"/>
      <c r="M3318" s="32" t="str">
        <f aca="false">IF(OR(C3318="",L3318=""),"",IF(C3318=L3318,"同一","変更"))</f>
        <v/>
      </c>
      <c r="N3318" s="29"/>
      <c r="O3318" s="30"/>
      <c r="P3318" s="29"/>
      <c r="Q3318" s="31"/>
      <c r="R3318" s="29"/>
      <c r="S3318" s="29"/>
      <c r="T3318" s="30"/>
      <c r="U3318" s="47" t="str">
        <f aca="false">IF(AND(B3318&lt;&gt;"",B3318=SW別シート!$C$3),COUNTIF(B$5:B3318,B3318),"")</f>
        <v/>
      </c>
      <c r="V3318" s="47" t="n">
        <f aca="false">V3317+IF(OR(O3318&lt;&gt;"",W3318&lt;&gt;""),1,0)</f>
        <v>3</v>
      </c>
      <c r="W3318" s="29"/>
    </row>
    <row r="3319" customFormat="false" ht="15" hidden="false" customHeight="false" outlineLevel="0" collapsed="false">
      <c r="A3319" s="32" t="str">
        <f aca="false">IF(B3319="","",ROW()-7)</f>
        <v/>
      </c>
      <c r="B3319" s="30"/>
      <c r="C3319" s="29"/>
      <c r="D3319" s="29"/>
      <c r="E3319" s="29"/>
      <c r="F3319" s="30"/>
      <c r="G3319" s="29"/>
      <c r="H3319" s="30"/>
      <c r="I3319" s="29"/>
      <c r="J3319" s="30"/>
      <c r="K3319" s="30"/>
      <c r="L3319" s="29"/>
      <c r="M3319" s="32" t="str">
        <f aca="false">IF(OR(C3319="",L3319=""),"",IF(C3319=L3319,"同一","変更"))</f>
        <v/>
      </c>
      <c r="N3319" s="29"/>
      <c r="O3319" s="30"/>
      <c r="P3319" s="29"/>
      <c r="Q3319" s="31"/>
      <c r="R3319" s="29"/>
      <c r="S3319" s="29"/>
      <c r="T3319" s="30"/>
      <c r="U3319" s="47" t="str">
        <f aca="false">IF(AND(B3319&lt;&gt;"",B3319=SW別シート!$C$3),COUNTIF(B$5:B3319,B3319),"")</f>
        <v/>
      </c>
      <c r="V3319" s="47" t="n">
        <f aca="false">V3318+IF(OR(O3319&lt;&gt;"",W3319&lt;&gt;""),1,0)</f>
        <v>3</v>
      </c>
      <c r="W3319" s="29"/>
    </row>
    <row r="3320" customFormat="false" ht="15" hidden="false" customHeight="false" outlineLevel="0" collapsed="false">
      <c r="A3320" s="32" t="str">
        <f aca="false">IF(B3320="","",ROW()-7)</f>
        <v/>
      </c>
      <c r="B3320" s="30"/>
      <c r="C3320" s="29"/>
      <c r="D3320" s="29"/>
      <c r="E3320" s="29"/>
      <c r="F3320" s="30"/>
      <c r="G3320" s="29"/>
      <c r="H3320" s="30"/>
      <c r="I3320" s="29"/>
      <c r="J3320" s="30"/>
      <c r="K3320" s="30"/>
      <c r="L3320" s="29"/>
      <c r="M3320" s="32" t="str">
        <f aca="false">IF(OR(C3320="",L3320=""),"",IF(C3320=L3320,"同一","変更"))</f>
        <v/>
      </c>
      <c r="N3320" s="29"/>
      <c r="O3320" s="30"/>
      <c r="P3320" s="29"/>
      <c r="Q3320" s="31"/>
      <c r="R3320" s="29"/>
      <c r="S3320" s="29"/>
      <c r="T3320" s="30"/>
      <c r="U3320" s="47" t="str">
        <f aca="false">IF(AND(B3320&lt;&gt;"",B3320=SW別シート!$C$3),COUNTIF(B$5:B3320,B3320),"")</f>
        <v/>
      </c>
      <c r="V3320" s="47" t="n">
        <f aca="false">V3319+IF(OR(O3320&lt;&gt;"",W3320&lt;&gt;""),1,0)</f>
        <v>3</v>
      </c>
      <c r="W3320" s="29"/>
    </row>
    <row r="3321" customFormat="false" ht="15" hidden="false" customHeight="false" outlineLevel="0" collapsed="false">
      <c r="A3321" s="32" t="str">
        <f aca="false">IF(B3321="","",ROW()-7)</f>
        <v/>
      </c>
      <c r="B3321" s="30"/>
      <c r="C3321" s="29"/>
      <c r="D3321" s="29"/>
      <c r="E3321" s="29"/>
      <c r="F3321" s="30"/>
      <c r="G3321" s="29"/>
      <c r="H3321" s="30"/>
      <c r="I3321" s="29"/>
      <c r="J3321" s="30"/>
      <c r="K3321" s="30"/>
      <c r="L3321" s="29"/>
      <c r="M3321" s="32" t="str">
        <f aca="false">IF(OR(C3321="",L3321=""),"",IF(C3321=L3321,"同一","変更"))</f>
        <v/>
      </c>
      <c r="N3321" s="29"/>
      <c r="O3321" s="30"/>
      <c r="P3321" s="29"/>
      <c r="Q3321" s="31"/>
      <c r="R3321" s="29"/>
      <c r="S3321" s="29"/>
      <c r="T3321" s="30"/>
      <c r="U3321" s="47" t="str">
        <f aca="false">IF(AND(B3321&lt;&gt;"",B3321=SW別シート!$C$3),COUNTIF(B$5:B3321,B3321),"")</f>
        <v/>
      </c>
      <c r="V3321" s="47" t="n">
        <f aca="false">V3320+IF(OR(O3321&lt;&gt;"",W3321&lt;&gt;""),1,0)</f>
        <v>3</v>
      </c>
      <c r="W3321" s="29"/>
    </row>
    <row r="3322" customFormat="false" ht="15" hidden="false" customHeight="false" outlineLevel="0" collapsed="false">
      <c r="A3322" s="32" t="str">
        <f aca="false">IF(B3322="","",ROW()-7)</f>
        <v/>
      </c>
      <c r="B3322" s="30"/>
      <c r="C3322" s="29"/>
      <c r="D3322" s="29"/>
      <c r="E3322" s="29"/>
      <c r="F3322" s="30"/>
      <c r="G3322" s="29"/>
      <c r="H3322" s="30"/>
      <c r="I3322" s="29"/>
      <c r="J3322" s="30"/>
      <c r="K3322" s="30"/>
      <c r="L3322" s="29"/>
      <c r="M3322" s="32" t="str">
        <f aca="false">IF(OR(C3322="",L3322=""),"",IF(C3322=L3322,"同一","変更"))</f>
        <v/>
      </c>
      <c r="N3322" s="29"/>
      <c r="O3322" s="30"/>
      <c r="P3322" s="29"/>
      <c r="Q3322" s="31"/>
      <c r="R3322" s="29"/>
      <c r="S3322" s="29"/>
      <c r="T3322" s="30"/>
      <c r="U3322" s="47" t="str">
        <f aca="false">IF(AND(B3322&lt;&gt;"",B3322=SW別シート!$C$3),COUNTIF(B$5:B3322,B3322),"")</f>
        <v/>
      </c>
      <c r="V3322" s="47" t="n">
        <f aca="false">V3321+IF(OR(O3322&lt;&gt;"",W3322&lt;&gt;""),1,0)</f>
        <v>3</v>
      </c>
      <c r="W3322" s="29"/>
    </row>
    <row r="3323" customFormat="false" ht="15" hidden="false" customHeight="false" outlineLevel="0" collapsed="false">
      <c r="A3323" s="32" t="str">
        <f aca="false">IF(B3323="","",ROW()-7)</f>
        <v/>
      </c>
      <c r="B3323" s="30"/>
      <c r="C3323" s="29"/>
      <c r="D3323" s="29"/>
      <c r="E3323" s="29"/>
      <c r="F3323" s="30"/>
      <c r="G3323" s="29"/>
      <c r="H3323" s="30"/>
      <c r="I3323" s="29"/>
      <c r="J3323" s="30"/>
      <c r="K3323" s="30"/>
      <c r="L3323" s="29"/>
      <c r="M3323" s="32" t="str">
        <f aca="false">IF(OR(C3323="",L3323=""),"",IF(C3323=L3323,"同一","変更"))</f>
        <v/>
      </c>
      <c r="N3323" s="29"/>
      <c r="O3323" s="30"/>
      <c r="P3323" s="29"/>
      <c r="Q3323" s="31"/>
      <c r="R3323" s="29"/>
      <c r="S3323" s="29"/>
      <c r="T3323" s="30"/>
      <c r="U3323" s="47" t="str">
        <f aca="false">IF(AND(B3323&lt;&gt;"",B3323=SW別シート!$C$3),COUNTIF(B$5:B3323,B3323),"")</f>
        <v/>
      </c>
      <c r="V3323" s="47" t="n">
        <f aca="false">V3322+IF(OR(O3323&lt;&gt;"",W3323&lt;&gt;""),1,0)</f>
        <v>3</v>
      </c>
      <c r="W3323" s="29"/>
    </row>
    <row r="3324" customFormat="false" ht="15" hidden="false" customHeight="false" outlineLevel="0" collapsed="false">
      <c r="A3324" s="32" t="str">
        <f aca="false">IF(B3324="","",ROW()-7)</f>
        <v/>
      </c>
      <c r="B3324" s="30"/>
      <c r="C3324" s="29"/>
      <c r="D3324" s="29"/>
      <c r="E3324" s="29"/>
      <c r="F3324" s="30"/>
      <c r="G3324" s="29"/>
      <c r="H3324" s="30"/>
      <c r="I3324" s="29"/>
      <c r="J3324" s="30"/>
      <c r="K3324" s="30"/>
      <c r="L3324" s="29"/>
      <c r="M3324" s="32" t="str">
        <f aca="false">IF(OR(C3324="",L3324=""),"",IF(C3324=L3324,"同一","変更"))</f>
        <v/>
      </c>
      <c r="N3324" s="29"/>
      <c r="O3324" s="30"/>
      <c r="P3324" s="29"/>
      <c r="Q3324" s="31"/>
      <c r="R3324" s="29"/>
      <c r="S3324" s="29"/>
      <c r="T3324" s="30"/>
      <c r="U3324" s="47" t="str">
        <f aca="false">IF(AND(B3324&lt;&gt;"",B3324=SW別シート!$C$3),COUNTIF(B$5:B3324,B3324),"")</f>
        <v/>
      </c>
      <c r="V3324" s="47" t="n">
        <f aca="false">V3323+IF(OR(O3324&lt;&gt;"",W3324&lt;&gt;""),1,0)</f>
        <v>3</v>
      </c>
      <c r="W3324" s="29"/>
    </row>
    <row r="3325" customFormat="false" ht="15" hidden="false" customHeight="false" outlineLevel="0" collapsed="false">
      <c r="A3325" s="32" t="str">
        <f aca="false">IF(B3325="","",ROW()-7)</f>
        <v/>
      </c>
      <c r="B3325" s="30"/>
      <c r="C3325" s="29"/>
      <c r="D3325" s="29"/>
      <c r="E3325" s="29"/>
      <c r="F3325" s="30"/>
      <c r="G3325" s="29"/>
      <c r="H3325" s="30"/>
      <c r="I3325" s="29"/>
      <c r="J3325" s="30"/>
      <c r="K3325" s="30"/>
      <c r="L3325" s="29"/>
      <c r="M3325" s="32" t="str">
        <f aca="false">IF(OR(C3325="",L3325=""),"",IF(C3325=L3325,"同一","変更"))</f>
        <v/>
      </c>
      <c r="N3325" s="29"/>
      <c r="O3325" s="30"/>
      <c r="P3325" s="29"/>
      <c r="Q3325" s="31"/>
      <c r="R3325" s="29"/>
      <c r="S3325" s="29"/>
      <c r="T3325" s="30"/>
      <c r="U3325" s="47" t="str">
        <f aca="false">IF(AND(B3325&lt;&gt;"",B3325=SW別シート!$C$3),COUNTIF(B$5:B3325,B3325),"")</f>
        <v/>
      </c>
      <c r="V3325" s="47" t="n">
        <f aca="false">V3324+IF(OR(O3325&lt;&gt;"",W3325&lt;&gt;""),1,0)</f>
        <v>3</v>
      </c>
      <c r="W3325" s="29"/>
    </row>
    <row r="3326" customFormat="false" ht="15" hidden="false" customHeight="false" outlineLevel="0" collapsed="false">
      <c r="A3326" s="32" t="str">
        <f aca="false">IF(B3326="","",ROW()-7)</f>
        <v/>
      </c>
      <c r="B3326" s="30"/>
      <c r="C3326" s="29"/>
      <c r="D3326" s="29"/>
      <c r="E3326" s="29"/>
      <c r="F3326" s="30"/>
      <c r="G3326" s="29"/>
      <c r="H3326" s="30"/>
      <c r="I3326" s="29"/>
      <c r="J3326" s="30"/>
      <c r="K3326" s="30"/>
      <c r="L3326" s="29"/>
      <c r="M3326" s="32" t="str">
        <f aca="false">IF(OR(C3326="",L3326=""),"",IF(C3326=L3326,"同一","変更"))</f>
        <v/>
      </c>
      <c r="N3326" s="29"/>
      <c r="O3326" s="30"/>
      <c r="P3326" s="29"/>
      <c r="Q3326" s="31"/>
      <c r="R3326" s="29"/>
      <c r="S3326" s="29"/>
      <c r="T3326" s="30"/>
      <c r="U3326" s="47" t="str">
        <f aca="false">IF(AND(B3326&lt;&gt;"",B3326=SW別シート!$C$3),COUNTIF(B$5:B3326,B3326),"")</f>
        <v/>
      </c>
      <c r="V3326" s="47" t="n">
        <f aca="false">V3325+IF(OR(O3326&lt;&gt;"",W3326&lt;&gt;""),1,0)</f>
        <v>3</v>
      </c>
      <c r="W3326" s="29"/>
    </row>
    <row r="3327" customFormat="false" ht="15" hidden="false" customHeight="false" outlineLevel="0" collapsed="false">
      <c r="A3327" s="32" t="str">
        <f aca="false">IF(B3327="","",ROW()-7)</f>
        <v/>
      </c>
      <c r="B3327" s="30"/>
      <c r="C3327" s="29"/>
      <c r="D3327" s="29"/>
      <c r="E3327" s="29"/>
      <c r="F3327" s="30"/>
      <c r="G3327" s="29"/>
      <c r="H3327" s="30"/>
      <c r="I3327" s="29"/>
      <c r="J3327" s="30"/>
      <c r="K3327" s="30"/>
      <c r="L3327" s="29"/>
      <c r="M3327" s="32" t="str">
        <f aca="false">IF(OR(C3327="",L3327=""),"",IF(C3327=L3327,"同一","変更"))</f>
        <v/>
      </c>
      <c r="N3327" s="29"/>
      <c r="O3327" s="30"/>
      <c r="P3327" s="29"/>
      <c r="Q3327" s="31"/>
      <c r="R3327" s="29"/>
      <c r="S3327" s="29"/>
      <c r="T3327" s="30"/>
      <c r="U3327" s="47" t="str">
        <f aca="false">IF(AND(B3327&lt;&gt;"",B3327=SW別シート!$C$3),COUNTIF(B$5:B3327,B3327),"")</f>
        <v/>
      </c>
      <c r="V3327" s="47" t="n">
        <f aca="false">V3326+IF(OR(O3327&lt;&gt;"",W3327&lt;&gt;""),1,0)</f>
        <v>3</v>
      </c>
      <c r="W3327" s="29"/>
    </row>
    <row r="3328" customFormat="false" ht="15" hidden="false" customHeight="false" outlineLevel="0" collapsed="false">
      <c r="A3328" s="32" t="str">
        <f aca="false">IF(B3328="","",ROW()-7)</f>
        <v/>
      </c>
      <c r="B3328" s="30"/>
      <c r="C3328" s="29"/>
      <c r="D3328" s="29"/>
      <c r="E3328" s="29"/>
      <c r="F3328" s="30"/>
      <c r="G3328" s="29"/>
      <c r="H3328" s="30"/>
      <c r="I3328" s="29"/>
      <c r="J3328" s="30"/>
      <c r="K3328" s="30"/>
      <c r="L3328" s="29"/>
      <c r="M3328" s="32" t="str">
        <f aca="false">IF(OR(C3328="",L3328=""),"",IF(C3328=L3328,"同一","変更"))</f>
        <v/>
      </c>
      <c r="N3328" s="29"/>
      <c r="O3328" s="30"/>
      <c r="P3328" s="29"/>
      <c r="Q3328" s="31"/>
      <c r="R3328" s="29"/>
      <c r="S3328" s="29"/>
      <c r="T3328" s="30"/>
      <c r="U3328" s="47" t="str">
        <f aca="false">IF(AND(B3328&lt;&gt;"",B3328=SW別シート!$C$3),COUNTIF(B$5:B3328,B3328),"")</f>
        <v/>
      </c>
      <c r="V3328" s="47" t="n">
        <f aca="false">V3327+IF(OR(O3328&lt;&gt;"",W3328&lt;&gt;""),1,0)</f>
        <v>3</v>
      </c>
      <c r="W3328" s="29"/>
    </row>
    <row r="3329" customFormat="false" ht="15" hidden="false" customHeight="false" outlineLevel="0" collapsed="false">
      <c r="A3329" s="32" t="str">
        <f aca="false">IF(B3329="","",ROW()-7)</f>
        <v/>
      </c>
      <c r="B3329" s="30"/>
      <c r="C3329" s="29"/>
      <c r="D3329" s="29"/>
      <c r="E3329" s="29"/>
      <c r="F3329" s="30"/>
      <c r="G3329" s="29"/>
      <c r="H3329" s="30"/>
      <c r="I3329" s="29"/>
      <c r="J3329" s="30"/>
      <c r="K3329" s="30"/>
      <c r="L3329" s="29"/>
      <c r="M3329" s="32" t="str">
        <f aca="false">IF(OR(C3329="",L3329=""),"",IF(C3329=L3329,"同一","変更"))</f>
        <v/>
      </c>
      <c r="N3329" s="29"/>
      <c r="O3329" s="30"/>
      <c r="P3329" s="29"/>
      <c r="Q3329" s="31"/>
      <c r="R3329" s="29"/>
      <c r="S3329" s="29"/>
      <c r="T3329" s="30"/>
      <c r="U3329" s="47" t="str">
        <f aca="false">IF(AND(B3329&lt;&gt;"",B3329=SW別シート!$C$3),COUNTIF(B$5:B3329,B3329),"")</f>
        <v/>
      </c>
      <c r="V3329" s="47" t="n">
        <f aca="false">V3328+IF(OR(O3329&lt;&gt;"",W3329&lt;&gt;""),1,0)</f>
        <v>3</v>
      </c>
      <c r="W3329" s="29"/>
    </row>
    <row r="3330" customFormat="false" ht="15" hidden="false" customHeight="false" outlineLevel="0" collapsed="false">
      <c r="A3330" s="32" t="str">
        <f aca="false">IF(B3330="","",ROW()-7)</f>
        <v/>
      </c>
      <c r="B3330" s="30"/>
      <c r="C3330" s="29"/>
      <c r="D3330" s="29"/>
      <c r="E3330" s="29"/>
      <c r="F3330" s="30"/>
      <c r="G3330" s="29"/>
      <c r="H3330" s="30"/>
      <c r="I3330" s="29"/>
      <c r="J3330" s="30"/>
      <c r="K3330" s="30"/>
      <c r="L3330" s="29"/>
      <c r="M3330" s="32" t="str">
        <f aca="false">IF(OR(C3330="",L3330=""),"",IF(C3330=L3330,"同一","変更"))</f>
        <v/>
      </c>
      <c r="N3330" s="29"/>
      <c r="O3330" s="30"/>
      <c r="P3330" s="29"/>
      <c r="Q3330" s="31"/>
      <c r="R3330" s="29"/>
      <c r="S3330" s="29"/>
      <c r="T3330" s="30"/>
      <c r="U3330" s="47" t="str">
        <f aca="false">IF(AND(B3330&lt;&gt;"",B3330=SW別シート!$C$3),COUNTIF(B$5:B3330,B3330),"")</f>
        <v/>
      </c>
      <c r="V3330" s="47" t="n">
        <f aca="false">V3329+IF(OR(O3330&lt;&gt;"",W3330&lt;&gt;""),1,0)</f>
        <v>3</v>
      </c>
      <c r="W3330" s="29"/>
    </row>
    <row r="3331" customFormat="false" ht="15" hidden="false" customHeight="false" outlineLevel="0" collapsed="false">
      <c r="A3331" s="32" t="str">
        <f aca="false">IF(B3331="","",ROW()-7)</f>
        <v/>
      </c>
      <c r="B3331" s="30"/>
      <c r="C3331" s="29"/>
      <c r="D3331" s="29"/>
      <c r="E3331" s="29"/>
      <c r="F3331" s="30"/>
      <c r="G3331" s="29"/>
      <c r="H3331" s="30"/>
      <c r="I3331" s="29"/>
      <c r="J3331" s="30"/>
      <c r="K3331" s="30"/>
      <c r="L3331" s="29"/>
      <c r="M3331" s="32" t="str">
        <f aca="false">IF(OR(C3331="",L3331=""),"",IF(C3331=L3331,"同一","変更"))</f>
        <v/>
      </c>
      <c r="N3331" s="29"/>
      <c r="O3331" s="30"/>
      <c r="P3331" s="29"/>
      <c r="Q3331" s="31"/>
      <c r="R3331" s="29"/>
      <c r="S3331" s="29"/>
      <c r="T3331" s="30"/>
      <c r="U3331" s="47" t="str">
        <f aca="false">IF(AND(B3331&lt;&gt;"",B3331=SW別シート!$C$3),COUNTIF(B$5:B3331,B3331),"")</f>
        <v/>
      </c>
      <c r="V3331" s="47" t="n">
        <f aca="false">V3330+IF(OR(O3331&lt;&gt;"",W3331&lt;&gt;""),1,0)</f>
        <v>3</v>
      </c>
      <c r="W3331" s="29"/>
    </row>
    <row r="3332" customFormat="false" ht="15" hidden="false" customHeight="false" outlineLevel="0" collapsed="false">
      <c r="A3332" s="32" t="str">
        <f aca="false">IF(B3332="","",ROW()-7)</f>
        <v/>
      </c>
      <c r="B3332" s="30"/>
      <c r="C3332" s="29"/>
      <c r="D3332" s="29"/>
      <c r="E3332" s="29"/>
      <c r="F3332" s="30"/>
      <c r="G3332" s="29"/>
      <c r="H3332" s="30"/>
      <c r="I3332" s="29"/>
      <c r="J3332" s="30"/>
      <c r="K3332" s="30"/>
      <c r="L3332" s="29"/>
      <c r="M3332" s="32" t="str">
        <f aca="false">IF(OR(C3332="",L3332=""),"",IF(C3332=L3332,"同一","変更"))</f>
        <v/>
      </c>
      <c r="N3332" s="29"/>
      <c r="O3332" s="30"/>
      <c r="P3332" s="29"/>
      <c r="Q3332" s="31"/>
      <c r="R3332" s="29"/>
      <c r="S3332" s="29"/>
      <c r="T3332" s="30"/>
      <c r="U3332" s="47" t="str">
        <f aca="false">IF(AND(B3332&lt;&gt;"",B3332=SW別シート!$C$3),COUNTIF(B$5:B3332,B3332),"")</f>
        <v/>
      </c>
      <c r="V3332" s="47" t="n">
        <f aca="false">V3331+IF(OR(O3332&lt;&gt;"",W3332&lt;&gt;""),1,0)</f>
        <v>3</v>
      </c>
      <c r="W3332" s="29"/>
    </row>
    <row r="3333" customFormat="false" ht="15" hidden="false" customHeight="false" outlineLevel="0" collapsed="false">
      <c r="A3333" s="32" t="str">
        <f aca="false">IF(B3333="","",ROW()-7)</f>
        <v/>
      </c>
      <c r="B3333" s="30"/>
      <c r="C3333" s="29"/>
      <c r="D3333" s="29"/>
      <c r="E3333" s="29"/>
      <c r="F3333" s="30"/>
      <c r="G3333" s="29"/>
      <c r="H3333" s="30"/>
      <c r="I3333" s="29"/>
      <c r="J3333" s="30"/>
      <c r="K3333" s="30"/>
      <c r="L3333" s="29"/>
      <c r="M3333" s="32" t="str">
        <f aca="false">IF(OR(C3333="",L3333=""),"",IF(C3333=L3333,"同一","変更"))</f>
        <v/>
      </c>
      <c r="N3333" s="29"/>
      <c r="O3333" s="30"/>
      <c r="P3333" s="29"/>
      <c r="Q3333" s="31"/>
      <c r="R3333" s="29"/>
      <c r="S3333" s="29"/>
      <c r="T3333" s="30"/>
      <c r="U3333" s="47" t="str">
        <f aca="false">IF(AND(B3333&lt;&gt;"",B3333=SW別シート!$C$3),COUNTIF(B$5:B3333,B3333),"")</f>
        <v/>
      </c>
      <c r="V3333" s="47" t="n">
        <f aca="false">V3332+IF(OR(O3333&lt;&gt;"",W3333&lt;&gt;""),1,0)</f>
        <v>3</v>
      </c>
      <c r="W3333" s="29"/>
    </row>
    <row r="3334" customFormat="false" ht="15" hidden="false" customHeight="false" outlineLevel="0" collapsed="false">
      <c r="A3334" s="32" t="str">
        <f aca="false">IF(B3334="","",ROW()-7)</f>
        <v/>
      </c>
      <c r="B3334" s="30"/>
      <c r="C3334" s="29"/>
      <c r="D3334" s="29"/>
      <c r="E3334" s="29"/>
      <c r="F3334" s="30"/>
      <c r="G3334" s="29"/>
      <c r="H3334" s="30"/>
      <c r="I3334" s="29"/>
      <c r="J3334" s="30"/>
      <c r="K3334" s="30"/>
      <c r="L3334" s="29"/>
      <c r="M3334" s="32" t="str">
        <f aca="false">IF(OR(C3334="",L3334=""),"",IF(C3334=L3334,"同一","変更"))</f>
        <v/>
      </c>
      <c r="N3334" s="29"/>
      <c r="O3334" s="30"/>
      <c r="P3334" s="29"/>
      <c r="Q3334" s="31"/>
      <c r="R3334" s="29"/>
      <c r="S3334" s="29"/>
      <c r="T3334" s="30"/>
      <c r="U3334" s="47" t="str">
        <f aca="false">IF(AND(B3334&lt;&gt;"",B3334=SW別シート!$C$3),COUNTIF(B$5:B3334,B3334),"")</f>
        <v/>
      </c>
      <c r="V3334" s="47" t="n">
        <f aca="false">V3333+IF(OR(O3334&lt;&gt;"",W3334&lt;&gt;""),1,0)</f>
        <v>3</v>
      </c>
      <c r="W3334" s="29"/>
    </row>
    <row r="3335" customFormat="false" ht="15" hidden="false" customHeight="false" outlineLevel="0" collapsed="false">
      <c r="A3335" s="32" t="str">
        <f aca="false">IF(B3335="","",ROW()-7)</f>
        <v/>
      </c>
      <c r="B3335" s="30"/>
      <c r="C3335" s="29"/>
      <c r="D3335" s="29"/>
      <c r="E3335" s="29"/>
      <c r="F3335" s="30"/>
      <c r="G3335" s="29"/>
      <c r="H3335" s="30"/>
      <c r="I3335" s="29"/>
      <c r="J3335" s="30"/>
      <c r="K3335" s="30"/>
      <c r="L3335" s="29"/>
      <c r="M3335" s="32" t="str">
        <f aca="false">IF(OR(C3335="",L3335=""),"",IF(C3335=L3335,"同一","変更"))</f>
        <v/>
      </c>
      <c r="N3335" s="29"/>
      <c r="O3335" s="30"/>
      <c r="P3335" s="29"/>
      <c r="Q3335" s="31"/>
      <c r="R3335" s="29"/>
      <c r="S3335" s="29"/>
      <c r="T3335" s="30"/>
      <c r="U3335" s="47" t="str">
        <f aca="false">IF(AND(B3335&lt;&gt;"",B3335=SW別シート!$C$3),COUNTIF(B$5:B3335,B3335),"")</f>
        <v/>
      </c>
      <c r="V3335" s="47" t="n">
        <f aca="false">V3334+IF(OR(O3335&lt;&gt;"",W3335&lt;&gt;""),1,0)</f>
        <v>3</v>
      </c>
      <c r="W3335" s="29"/>
    </row>
    <row r="3336" customFormat="false" ht="15" hidden="false" customHeight="false" outlineLevel="0" collapsed="false">
      <c r="A3336" s="32" t="str">
        <f aca="false">IF(B3336="","",ROW()-7)</f>
        <v/>
      </c>
      <c r="B3336" s="30"/>
      <c r="C3336" s="29"/>
      <c r="D3336" s="29"/>
      <c r="E3336" s="29"/>
      <c r="F3336" s="30"/>
      <c r="G3336" s="29"/>
      <c r="H3336" s="30"/>
      <c r="I3336" s="29"/>
      <c r="J3336" s="30"/>
      <c r="K3336" s="30"/>
      <c r="L3336" s="29"/>
      <c r="M3336" s="32" t="str">
        <f aca="false">IF(OR(C3336="",L3336=""),"",IF(C3336=L3336,"同一","変更"))</f>
        <v/>
      </c>
      <c r="N3336" s="29"/>
      <c r="O3336" s="30"/>
      <c r="P3336" s="29"/>
      <c r="Q3336" s="31"/>
      <c r="R3336" s="29"/>
      <c r="S3336" s="29"/>
      <c r="T3336" s="30"/>
      <c r="U3336" s="47" t="str">
        <f aca="false">IF(AND(B3336&lt;&gt;"",B3336=SW別シート!$C$3),COUNTIF(B$5:B3336,B3336),"")</f>
        <v/>
      </c>
      <c r="V3336" s="47" t="n">
        <f aca="false">V3335+IF(OR(O3336&lt;&gt;"",W3336&lt;&gt;""),1,0)</f>
        <v>3</v>
      </c>
      <c r="W3336" s="29"/>
    </row>
    <row r="3337" customFormat="false" ht="15" hidden="false" customHeight="false" outlineLevel="0" collapsed="false">
      <c r="A3337" s="32" t="str">
        <f aca="false">IF(B3337="","",ROW()-7)</f>
        <v/>
      </c>
      <c r="B3337" s="30"/>
      <c r="C3337" s="29"/>
      <c r="D3337" s="29"/>
      <c r="E3337" s="29"/>
      <c r="F3337" s="30"/>
      <c r="G3337" s="29"/>
      <c r="H3337" s="30"/>
      <c r="I3337" s="29"/>
      <c r="J3337" s="30"/>
      <c r="K3337" s="30"/>
      <c r="L3337" s="29"/>
      <c r="M3337" s="32" t="str">
        <f aca="false">IF(OR(C3337="",L3337=""),"",IF(C3337=L3337,"同一","変更"))</f>
        <v/>
      </c>
      <c r="N3337" s="29"/>
      <c r="O3337" s="30"/>
      <c r="P3337" s="29"/>
      <c r="Q3337" s="31"/>
      <c r="R3337" s="29"/>
      <c r="S3337" s="29"/>
      <c r="T3337" s="30"/>
      <c r="U3337" s="47" t="str">
        <f aca="false">IF(AND(B3337&lt;&gt;"",B3337=SW別シート!$C$3),COUNTIF(B$5:B3337,B3337),"")</f>
        <v/>
      </c>
      <c r="V3337" s="47" t="n">
        <f aca="false">V3336+IF(OR(O3337&lt;&gt;"",W3337&lt;&gt;""),1,0)</f>
        <v>3</v>
      </c>
      <c r="W3337" s="29"/>
    </row>
    <row r="3338" customFormat="false" ht="15" hidden="false" customHeight="false" outlineLevel="0" collapsed="false">
      <c r="A3338" s="32" t="str">
        <f aca="false">IF(B3338="","",ROW()-7)</f>
        <v/>
      </c>
      <c r="B3338" s="30"/>
      <c r="C3338" s="29"/>
      <c r="D3338" s="29"/>
      <c r="E3338" s="29"/>
      <c r="F3338" s="30"/>
      <c r="G3338" s="29"/>
      <c r="H3338" s="30"/>
      <c r="I3338" s="29"/>
      <c r="J3338" s="30"/>
      <c r="K3338" s="30"/>
      <c r="L3338" s="29"/>
      <c r="M3338" s="32" t="str">
        <f aca="false">IF(OR(C3338="",L3338=""),"",IF(C3338=L3338,"同一","変更"))</f>
        <v/>
      </c>
      <c r="N3338" s="29"/>
      <c r="O3338" s="30"/>
      <c r="P3338" s="29"/>
      <c r="Q3338" s="31"/>
      <c r="R3338" s="29"/>
      <c r="S3338" s="29"/>
      <c r="T3338" s="30"/>
      <c r="U3338" s="47" t="str">
        <f aca="false">IF(AND(B3338&lt;&gt;"",B3338=SW別シート!$C$3),COUNTIF(B$5:B3338,B3338),"")</f>
        <v/>
      </c>
      <c r="V3338" s="47" t="n">
        <f aca="false">V3337+IF(OR(O3338&lt;&gt;"",W3338&lt;&gt;""),1,0)</f>
        <v>3</v>
      </c>
      <c r="W3338" s="29"/>
    </row>
    <row r="3339" customFormat="false" ht="15" hidden="false" customHeight="false" outlineLevel="0" collapsed="false">
      <c r="A3339" s="32" t="str">
        <f aca="false">IF(B3339="","",ROW()-7)</f>
        <v/>
      </c>
      <c r="B3339" s="30"/>
      <c r="C3339" s="29"/>
      <c r="D3339" s="29"/>
      <c r="E3339" s="29"/>
      <c r="F3339" s="30"/>
      <c r="G3339" s="29"/>
      <c r="H3339" s="30"/>
      <c r="I3339" s="29"/>
      <c r="J3339" s="30"/>
      <c r="K3339" s="30"/>
      <c r="L3339" s="29"/>
      <c r="M3339" s="32" t="str">
        <f aca="false">IF(OR(C3339="",L3339=""),"",IF(C3339=L3339,"同一","変更"))</f>
        <v/>
      </c>
      <c r="N3339" s="29"/>
      <c r="O3339" s="30"/>
      <c r="P3339" s="29"/>
      <c r="Q3339" s="31"/>
      <c r="R3339" s="29"/>
      <c r="S3339" s="29"/>
      <c r="T3339" s="30"/>
      <c r="U3339" s="47" t="str">
        <f aca="false">IF(AND(B3339&lt;&gt;"",B3339=SW別シート!$C$3),COUNTIF(B$5:B3339,B3339),"")</f>
        <v/>
      </c>
      <c r="V3339" s="47" t="n">
        <f aca="false">V3338+IF(OR(O3339&lt;&gt;"",W3339&lt;&gt;""),1,0)</f>
        <v>3</v>
      </c>
      <c r="W3339" s="29"/>
    </row>
    <row r="3340" customFormat="false" ht="15" hidden="false" customHeight="false" outlineLevel="0" collapsed="false">
      <c r="A3340" s="32" t="str">
        <f aca="false">IF(B3340="","",ROW()-7)</f>
        <v/>
      </c>
      <c r="B3340" s="30"/>
      <c r="C3340" s="29"/>
      <c r="D3340" s="29"/>
      <c r="E3340" s="29"/>
      <c r="F3340" s="30"/>
      <c r="G3340" s="29"/>
      <c r="H3340" s="30"/>
      <c r="I3340" s="29"/>
      <c r="J3340" s="30"/>
      <c r="K3340" s="30"/>
      <c r="L3340" s="29"/>
      <c r="M3340" s="32" t="str">
        <f aca="false">IF(OR(C3340="",L3340=""),"",IF(C3340=L3340,"同一","変更"))</f>
        <v/>
      </c>
      <c r="N3340" s="29"/>
      <c r="O3340" s="30"/>
      <c r="P3340" s="29"/>
      <c r="Q3340" s="31"/>
      <c r="R3340" s="29"/>
      <c r="S3340" s="29"/>
      <c r="T3340" s="30"/>
      <c r="U3340" s="47" t="str">
        <f aca="false">IF(AND(B3340&lt;&gt;"",B3340=SW別シート!$C$3),COUNTIF(B$5:B3340,B3340),"")</f>
        <v/>
      </c>
      <c r="V3340" s="47" t="n">
        <f aca="false">V3339+IF(OR(O3340&lt;&gt;"",W3340&lt;&gt;""),1,0)</f>
        <v>3</v>
      </c>
      <c r="W3340" s="29"/>
    </row>
    <row r="3341" customFormat="false" ht="15" hidden="false" customHeight="false" outlineLevel="0" collapsed="false">
      <c r="A3341" s="32" t="str">
        <f aca="false">IF(B3341="","",ROW()-7)</f>
        <v/>
      </c>
      <c r="B3341" s="30"/>
      <c r="C3341" s="29"/>
      <c r="D3341" s="29"/>
      <c r="E3341" s="29"/>
      <c r="F3341" s="30"/>
      <c r="G3341" s="29"/>
      <c r="H3341" s="30"/>
      <c r="I3341" s="29"/>
      <c r="J3341" s="30"/>
      <c r="K3341" s="30"/>
      <c r="L3341" s="29"/>
      <c r="M3341" s="32" t="str">
        <f aca="false">IF(OR(C3341="",L3341=""),"",IF(C3341=L3341,"同一","変更"))</f>
        <v/>
      </c>
      <c r="N3341" s="29"/>
      <c r="O3341" s="30"/>
      <c r="P3341" s="29"/>
      <c r="Q3341" s="31"/>
      <c r="R3341" s="29"/>
      <c r="S3341" s="29"/>
      <c r="T3341" s="30"/>
      <c r="U3341" s="47" t="str">
        <f aca="false">IF(AND(B3341&lt;&gt;"",B3341=SW別シート!$C$3),COUNTIF(B$5:B3341,B3341),"")</f>
        <v/>
      </c>
      <c r="V3341" s="47" t="n">
        <f aca="false">V3340+IF(OR(O3341&lt;&gt;"",W3341&lt;&gt;""),1,0)</f>
        <v>3</v>
      </c>
      <c r="W3341" s="29"/>
    </row>
    <row r="3342" customFormat="false" ht="15" hidden="false" customHeight="false" outlineLevel="0" collapsed="false">
      <c r="A3342" s="32" t="str">
        <f aca="false">IF(B3342="","",ROW()-7)</f>
        <v/>
      </c>
      <c r="B3342" s="30"/>
      <c r="C3342" s="29"/>
      <c r="D3342" s="29"/>
      <c r="E3342" s="29"/>
      <c r="F3342" s="30"/>
      <c r="G3342" s="29"/>
      <c r="H3342" s="30"/>
      <c r="I3342" s="29"/>
      <c r="J3342" s="30"/>
      <c r="K3342" s="30"/>
      <c r="L3342" s="29"/>
      <c r="M3342" s="32" t="str">
        <f aca="false">IF(OR(C3342="",L3342=""),"",IF(C3342=L3342,"同一","変更"))</f>
        <v/>
      </c>
      <c r="N3342" s="29"/>
      <c r="O3342" s="30"/>
      <c r="P3342" s="29"/>
      <c r="Q3342" s="31"/>
      <c r="R3342" s="29"/>
      <c r="S3342" s="29"/>
      <c r="T3342" s="30"/>
      <c r="U3342" s="47" t="str">
        <f aca="false">IF(AND(B3342&lt;&gt;"",B3342=SW別シート!$C$3),COUNTIF(B$5:B3342,B3342),"")</f>
        <v/>
      </c>
      <c r="V3342" s="47" t="n">
        <f aca="false">V3341+IF(OR(O3342&lt;&gt;"",W3342&lt;&gt;""),1,0)</f>
        <v>3</v>
      </c>
      <c r="W3342" s="29"/>
    </row>
    <row r="3343" customFormat="false" ht="15" hidden="false" customHeight="false" outlineLevel="0" collapsed="false">
      <c r="A3343" s="32" t="str">
        <f aca="false">IF(B3343="","",ROW()-7)</f>
        <v/>
      </c>
      <c r="B3343" s="30"/>
      <c r="C3343" s="29"/>
      <c r="D3343" s="29"/>
      <c r="E3343" s="29"/>
      <c r="F3343" s="30"/>
      <c r="G3343" s="29"/>
      <c r="H3343" s="30"/>
      <c r="I3343" s="29"/>
      <c r="J3343" s="30"/>
      <c r="K3343" s="30"/>
      <c r="L3343" s="29"/>
      <c r="M3343" s="32" t="str">
        <f aca="false">IF(OR(C3343="",L3343=""),"",IF(C3343=L3343,"同一","変更"))</f>
        <v/>
      </c>
      <c r="N3343" s="29"/>
      <c r="O3343" s="30"/>
      <c r="P3343" s="29"/>
      <c r="Q3343" s="31"/>
      <c r="R3343" s="29"/>
      <c r="S3343" s="29"/>
      <c r="T3343" s="30"/>
      <c r="U3343" s="47" t="str">
        <f aca="false">IF(AND(B3343&lt;&gt;"",B3343=SW別シート!$C$3),COUNTIF(B$5:B3343,B3343),"")</f>
        <v/>
      </c>
      <c r="V3343" s="47" t="n">
        <f aca="false">V3342+IF(OR(O3343&lt;&gt;"",W3343&lt;&gt;""),1,0)</f>
        <v>3</v>
      </c>
      <c r="W3343" s="29"/>
    </row>
    <row r="3344" customFormat="false" ht="15" hidden="false" customHeight="false" outlineLevel="0" collapsed="false">
      <c r="A3344" s="32" t="str">
        <f aca="false">IF(B3344="","",ROW()-7)</f>
        <v/>
      </c>
      <c r="B3344" s="30"/>
      <c r="C3344" s="29"/>
      <c r="D3344" s="29"/>
      <c r="E3344" s="29"/>
      <c r="F3344" s="30"/>
      <c r="G3344" s="29"/>
      <c r="H3344" s="30"/>
      <c r="I3344" s="29"/>
      <c r="J3344" s="30"/>
      <c r="K3344" s="30"/>
      <c r="L3344" s="29"/>
      <c r="M3344" s="32" t="str">
        <f aca="false">IF(OR(C3344="",L3344=""),"",IF(C3344=L3344,"同一","変更"))</f>
        <v/>
      </c>
      <c r="N3344" s="29"/>
      <c r="O3344" s="30"/>
      <c r="P3344" s="29"/>
      <c r="Q3344" s="31"/>
      <c r="R3344" s="29"/>
      <c r="S3344" s="29"/>
      <c r="T3344" s="30"/>
      <c r="U3344" s="47" t="str">
        <f aca="false">IF(AND(B3344&lt;&gt;"",B3344=SW別シート!$C$3),COUNTIF(B$5:B3344,B3344),"")</f>
        <v/>
      </c>
      <c r="V3344" s="47" t="n">
        <f aca="false">V3343+IF(OR(O3344&lt;&gt;"",W3344&lt;&gt;""),1,0)</f>
        <v>3</v>
      </c>
      <c r="W3344" s="29"/>
    </row>
    <row r="3345" customFormat="false" ht="15" hidden="false" customHeight="false" outlineLevel="0" collapsed="false">
      <c r="A3345" s="32" t="str">
        <f aca="false">IF(B3345="","",ROW()-7)</f>
        <v/>
      </c>
      <c r="B3345" s="30"/>
      <c r="C3345" s="29"/>
      <c r="D3345" s="29"/>
      <c r="E3345" s="29"/>
      <c r="F3345" s="30"/>
      <c r="G3345" s="29"/>
      <c r="H3345" s="30"/>
      <c r="I3345" s="29"/>
      <c r="J3345" s="30"/>
      <c r="K3345" s="30"/>
      <c r="L3345" s="29"/>
      <c r="M3345" s="32" t="str">
        <f aca="false">IF(OR(C3345="",L3345=""),"",IF(C3345=L3345,"同一","変更"))</f>
        <v/>
      </c>
      <c r="N3345" s="29"/>
      <c r="O3345" s="30"/>
      <c r="P3345" s="29"/>
      <c r="Q3345" s="31"/>
      <c r="R3345" s="29"/>
      <c r="S3345" s="29"/>
      <c r="T3345" s="30"/>
      <c r="U3345" s="47" t="str">
        <f aca="false">IF(AND(B3345&lt;&gt;"",B3345=SW別シート!$C$3),COUNTIF(B$5:B3345,B3345),"")</f>
        <v/>
      </c>
      <c r="V3345" s="47" t="n">
        <f aca="false">V3344+IF(OR(O3345&lt;&gt;"",W3345&lt;&gt;""),1,0)</f>
        <v>3</v>
      </c>
      <c r="W3345" s="29"/>
    </row>
    <row r="3346" customFormat="false" ht="15" hidden="false" customHeight="false" outlineLevel="0" collapsed="false">
      <c r="A3346" s="32" t="str">
        <f aca="false">IF(B3346="","",ROW()-7)</f>
        <v/>
      </c>
      <c r="B3346" s="30"/>
      <c r="C3346" s="29"/>
      <c r="D3346" s="29"/>
      <c r="E3346" s="29"/>
      <c r="F3346" s="30"/>
      <c r="G3346" s="29"/>
      <c r="H3346" s="30"/>
      <c r="I3346" s="29"/>
      <c r="J3346" s="30"/>
      <c r="K3346" s="30"/>
      <c r="L3346" s="29"/>
      <c r="M3346" s="32" t="str">
        <f aca="false">IF(OR(C3346="",L3346=""),"",IF(C3346=L3346,"同一","変更"))</f>
        <v/>
      </c>
      <c r="N3346" s="29"/>
      <c r="O3346" s="30"/>
      <c r="P3346" s="29"/>
      <c r="Q3346" s="31"/>
      <c r="R3346" s="29"/>
      <c r="S3346" s="29"/>
      <c r="T3346" s="30"/>
      <c r="U3346" s="47" t="str">
        <f aca="false">IF(AND(B3346&lt;&gt;"",B3346=SW別シート!$C$3),COUNTIF(B$5:B3346,B3346),"")</f>
        <v/>
      </c>
      <c r="V3346" s="47" t="n">
        <f aca="false">V3345+IF(OR(O3346&lt;&gt;"",W3346&lt;&gt;""),1,0)</f>
        <v>3</v>
      </c>
      <c r="W3346" s="29"/>
    </row>
    <row r="3347" customFormat="false" ht="15" hidden="false" customHeight="false" outlineLevel="0" collapsed="false">
      <c r="A3347" s="32" t="str">
        <f aca="false">IF(B3347="","",ROW()-7)</f>
        <v/>
      </c>
      <c r="B3347" s="30"/>
      <c r="C3347" s="29"/>
      <c r="D3347" s="29"/>
      <c r="E3347" s="29"/>
      <c r="F3347" s="30"/>
      <c r="G3347" s="29"/>
      <c r="H3347" s="30"/>
      <c r="I3347" s="29"/>
      <c r="J3347" s="30"/>
      <c r="K3347" s="30"/>
      <c r="L3347" s="29"/>
      <c r="M3347" s="32" t="str">
        <f aca="false">IF(OR(C3347="",L3347=""),"",IF(C3347=L3347,"同一","変更"))</f>
        <v/>
      </c>
      <c r="N3347" s="29"/>
      <c r="O3347" s="30"/>
      <c r="P3347" s="29"/>
      <c r="Q3347" s="31"/>
      <c r="R3347" s="29"/>
      <c r="S3347" s="29"/>
      <c r="T3347" s="30"/>
      <c r="U3347" s="47" t="str">
        <f aca="false">IF(AND(B3347&lt;&gt;"",B3347=SW別シート!$C$3),COUNTIF(B$5:B3347,B3347),"")</f>
        <v/>
      </c>
      <c r="V3347" s="47" t="n">
        <f aca="false">V3346+IF(OR(O3347&lt;&gt;"",W3347&lt;&gt;""),1,0)</f>
        <v>3</v>
      </c>
      <c r="W3347" s="29"/>
    </row>
    <row r="3348" customFormat="false" ht="15" hidden="false" customHeight="false" outlineLevel="0" collapsed="false">
      <c r="A3348" s="32" t="str">
        <f aca="false">IF(B3348="","",ROW()-7)</f>
        <v/>
      </c>
      <c r="B3348" s="30"/>
      <c r="C3348" s="29"/>
      <c r="D3348" s="29"/>
      <c r="E3348" s="29"/>
      <c r="F3348" s="30"/>
      <c r="G3348" s="29"/>
      <c r="H3348" s="30"/>
      <c r="I3348" s="29"/>
      <c r="J3348" s="30"/>
      <c r="K3348" s="30"/>
      <c r="L3348" s="29"/>
      <c r="M3348" s="32" t="str">
        <f aca="false">IF(OR(C3348="",L3348=""),"",IF(C3348=L3348,"同一","変更"))</f>
        <v/>
      </c>
      <c r="N3348" s="29"/>
      <c r="O3348" s="30"/>
      <c r="P3348" s="29"/>
      <c r="Q3348" s="31"/>
      <c r="R3348" s="29"/>
      <c r="S3348" s="29"/>
      <c r="T3348" s="30"/>
      <c r="U3348" s="47" t="str">
        <f aca="false">IF(AND(B3348&lt;&gt;"",B3348=SW別シート!$C$3),COUNTIF(B$5:B3348,B3348),"")</f>
        <v/>
      </c>
      <c r="V3348" s="47" t="n">
        <f aca="false">V3347+IF(OR(O3348&lt;&gt;"",W3348&lt;&gt;""),1,0)</f>
        <v>3</v>
      </c>
      <c r="W3348" s="29"/>
    </row>
    <row r="3349" customFormat="false" ht="15" hidden="false" customHeight="false" outlineLevel="0" collapsed="false">
      <c r="A3349" s="32" t="str">
        <f aca="false">IF(B3349="","",ROW()-7)</f>
        <v/>
      </c>
      <c r="B3349" s="30"/>
      <c r="C3349" s="29"/>
      <c r="D3349" s="29"/>
      <c r="E3349" s="29"/>
      <c r="F3349" s="30"/>
      <c r="G3349" s="29"/>
      <c r="H3349" s="30"/>
      <c r="I3349" s="29"/>
      <c r="J3349" s="30"/>
      <c r="K3349" s="30"/>
      <c r="L3349" s="29"/>
      <c r="M3349" s="32" t="str">
        <f aca="false">IF(OR(C3349="",L3349=""),"",IF(C3349=L3349,"同一","変更"))</f>
        <v/>
      </c>
      <c r="N3349" s="29"/>
      <c r="O3349" s="30"/>
      <c r="P3349" s="29"/>
      <c r="Q3349" s="31"/>
      <c r="R3349" s="29"/>
      <c r="S3349" s="29"/>
      <c r="T3349" s="30"/>
      <c r="U3349" s="47" t="str">
        <f aca="false">IF(AND(B3349&lt;&gt;"",B3349=SW別シート!$C$3),COUNTIF(B$5:B3349,B3349),"")</f>
        <v/>
      </c>
      <c r="V3349" s="47" t="n">
        <f aca="false">V3348+IF(OR(O3349&lt;&gt;"",W3349&lt;&gt;""),1,0)</f>
        <v>3</v>
      </c>
      <c r="W3349" s="29"/>
    </row>
    <row r="3350" customFormat="false" ht="15" hidden="false" customHeight="false" outlineLevel="0" collapsed="false">
      <c r="A3350" s="32" t="str">
        <f aca="false">IF(B3350="","",ROW()-7)</f>
        <v/>
      </c>
      <c r="B3350" s="30"/>
      <c r="C3350" s="29"/>
      <c r="D3350" s="29"/>
      <c r="E3350" s="29"/>
      <c r="F3350" s="30"/>
      <c r="G3350" s="29"/>
      <c r="H3350" s="30"/>
      <c r="I3350" s="29"/>
      <c r="J3350" s="30"/>
      <c r="K3350" s="30"/>
      <c r="L3350" s="29"/>
      <c r="M3350" s="32" t="str">
        <f aca="false">IF(OR(C3350="",L3350=""),"",IF(C3350=L3350,"同一","変更"))</f>
        <v/>
      </c>
      <c r="N3350" s="29"/>
      <c r="O3350" s="30"/>
      <c r="P3350" s="29"/>
      <c r="Q3350" s="31"/>
      <c r="R3350" s="29"/>
      <c r="S3350" s="29"/>
      <c r="T3350" s="30"/>
      <c r="U3350" s="47" t="str">
        <f aca="false">IF(AND(B3350&lt;&gt;"",B3350=SW別シート!$C$3),COUNTIF(B$5:B3350,B3350),"")</f>
        <v/>
      </c>
      <c r="V3350" s="47" t="n">
        <f aca="false">V3349+IF(OR(O3350&lt;&gt;"",W3350&lt;&gt;""),1,0)</f>
        <v>3</v>
      </c>
      <c r="W3350" s="29"/>
    </row>
    <row r="3351" customFormat="false" ht="15" hidden="false" customHeight="false" outlineLevel="0" collapsed="false">
      <c r="A3351" s="32" t="str">
        <f aca="false">IF(B3351="","",ROW()-7)</f>
        <v/>
      </c>
      <c r="B3351" s="30"/>
      <c r="C3351" s="29"/>
      <c r="D3351" s="29"/>
      <c r="E3351" s="29"/>
      <c r="F3351" s="30"/>
      <c r="G3351" s="29"/>
      <c r="H3351" s="30"/>
      <c r="I3351" s="29"/>
      <c r="J3351" s="30"/>
      <c r="K3351" s="30"/>
      <c r="L3351" s="29"/>
      <c r="M3351" s="32" t="str">
        <f aca="false">IF(OR(C3351="",L3351=""),"",IF(C3351=L3351,"同一","変更"))</f>
        <v/>
      </c>
      <c r="N3351" s="29"/>
      <c r="O3351" s="30"/>
      <c r="P3351" s="29"/>
      <c r="Q3351" s="31"/>
      <c r="R3351" s="29"/>
      <c r="S3351" s="29"/>
      <c r="T3351" s="30"/>
      <c r="U3351" s="47" t="str">
        <f aca="false">IF(AND(B3351&lt;&gt;"",B3351=SW別シート!$C$3),COUNTIF(B$5:B3351,B3351),"")</f>
        <v/>
      </c>
      <c r="V3351" s="47" t="n">
        <f aca="false">V3350+IF(OR(O3351&lt;&gt;"",W3351&lt;&gt;""),1,0)</f>
        <v>3</v>
      </c>
      <c r="W3351" s="29"/>
    </row>
    <row r="3352" customFormat="false" ht="15" hidden="false" customHeight="false" outlineLevel="0" collapsed="false">
      <c r="A3352" s="32" t="str">
        <f aca="false">IF(B3352="","",ROW()-7)</f>
        <v/>
      </c>
      <c r="B3352" s="30"/>
      <c r="C3352" s="29"/>
      <c r="D3352" s="29"/>
      <c r="E3352" s="29"/>
      <c r="F3352" s="30"/>
      <c r="G3352" s="29"/>
      <c r="H3352" s="30"/>
      <c r="I3352" s="29"/>
      <c r="J3352" s="30"/>
      <c r="K3352" s="30"/>
      <c r="L3352" s="29"/>
      <c r="M3352" s="32" t="str">
        <f aca="false">IF(OR(C3352="",L3352=""),"",IF(C3352=L3352,"同一","変更"))</f>
        <v/>
      </c>
      <c r="N3352" s="29"/>
      <c r="O3352" s="30"/>
      <c r="P3352" s="29"/>
      <c r="Q3352" s="31"/>
      <c r="R3352" s="29"/>
      <c r="S3352" s="29"/>
      <c r="T3352" s="30"/>
      <c r="U3352" s="47" t="str">
        <f aca="false">IF(AND(B3352&lt;&gt;"",B3352=SW別シート!$C$3),COUNTIF(B$5:B3352,B3352),"")</f>
        <v/>
      </c>
      <c r="V3352" s="47" t="n">
        <f aca="false">V3351+IF(OR(O3352&lt;&gt;"",W3352&lt;&gt;""),1,0)</f>
        <v>3</v>
      </c>
      <c r="W3352" s="29"/>
    </row>
    <row r="3353" customFormat="false" ht="15" hidden="false" customHeight="false" outlineLevel="0" collapsed="false">
      <c r="A3353" s="32" t="str">
        <f aca="false">IF(B3353="","",ROW()-7)</f>
        <v/>
      </c>
      <c r="B3353" s="30"/>
      <c r="C3353" s="29"/>
      <c r="D3353" s="29"/>
      <c r="E3353" s="29"/>
      <c r="F3353" s="30"/>
      <c r="G3353" s="29"/>
      <c r="H3353" s="30"/>
      <c r="I3353" s="29"/>
      <c r="J3353" s="30"/>
      <c r="K3353" s="30"/>
      <c r="L3353" s="29"/>
      <c r="M3353" s="32" t="str">
        <f aca="false">IF(OR(C3353="",L3353=""),"",IF(C3353=L3353,"同一","変更"))</f>
        <v/>
      </c>
      <c r="N3353" s="29"/>
      <c r="O3353" s="30"/>
      <c r="P3353" s="29"/>
      <c r="Q3353" s="31"/>
      <c r="R3353" s="29"/>
      <c r="S3353" s="29"/>
      <c r="T3353" s="30"/>
      <c r="U3353" s="47" t="str">
        <f aca="false">IF(AND(B3353&lt;&gt;"",B3353=SW別シート!$C$3),COUNTIF(B$5:B3353,B3353),"")</f>
        <v/>
      </c>
      <c r="V3353" s="47" t="n">
        <f aca="false">V3352+IF(OR(O3353&lt;&gt;"",W3353&lt;&gt;""),1,0)</f>
        <v>3</v>
      </c>
      <c r="W3353" s="29"/>
    </row>
    <row r="3354" customFormat="false" ht="15" hidden="false" customHeight="false" outlineLevel="0" collapsed="false">
      <c r="A3354" s="32" t="str">
        <f aca="false">IF(B3354="","",ROW()-7)</f>
        <v/>
      </c>
      <c r="B3354" s="30"/>
      <c r="C3354" s="29"/>
      <c r="D3354" s="29"/>
      <c r="E3354" s="29"/>
      <c r="F3354" s="30"/>
      <c r="G3354" s="29"/>
      <c r="H3354" s="30"/>
      <c r="I3354" s="29"/>
      <c r="J3354" s="30"/>
      <c r="K3354" s="30"/>
      <c r="L3354" s="29"/>
      <c r="M3354" s="32" t="str">
        <f aca="false">IF(OR(C3354="",L3354=""),"",IF(C3354=L3354,"同一","変更"))</f>
        <v/>
      </c>
      <c r="N3354" s="29"/>
      <c r="O3354" s="30"/>
      <c r="P3354" s="29"/>
      <c r="Q3354" s="31"/>
      <c r="R3354" s="29"/>
      <c r="S3354" s="29"/>
      <c r="T3354" s="30"/>
      <c r="U3354" s="47" t="str">
        <f aca="false">IF(AND(B3354&lt;&gt;"",B3354=SW別シート!$C$3),COUNTIF(B$5:B3354,B3354),"")</f>
        <v/>
      </c>
      <c r="V3354" s="47" t="n">
        <f aca="false">V3353+IF(OR(O3354&lt;&gt;"",W3354&lt;&gt;""),1,0)</f>
        <v>3</v>
      </c>
      <c r="W3354" s="29"/>
    </row>
    <row r="3355" customFormat="false" ht="15" hidden="false" customHeight="false" outlineLevel="0" collapsed="false">
      <c r="A3355" s="32" t="str">
        <f aca="false">IF(B3355="","",ROW()-7)</f>
        <v/>
      </c>
      <c r="B3355" s="30"/>
      <c r="C3355" s="29"/>
      <c r="D3355" s="29"/>
      <c r="E3355" s="29"/>
      <c r="F3355" s="30"/>
      <c r="G3355" s="29"/>
      <c r="H3355" s="30"/>
      <c r="I3355" s="29"/>
      <c r="J3355" s="30"/>
      <c r="K3355" s="30"/>
      <c r="L3355" s="29"/>
      <c r="M3355" s="32" t="str">
        <f aca="false">IF(OR(C3355="",L3355=""),"",IF(C3355=L3355,"同一","変更"))</f>
        <v/>
      </c>
      <c r="N3355" s="29"/>
      <c r="O3355" s="30"/>
      <c r="P3355" s="29"/>
      <c r="Q3355" s="31"/>
      <c r="R3355" s="29"/>
      <c r="S3355" s="29"/>
      <c r="T3355" s="30"/>
      <c r="U3355" s="47" t="str">
        <f aca="false">IF(AND(B3355&lt;&gt;"",B3355=SW別シート!$C$3),COUNTIF(B$5:B3355,B3355),"")</f>
        <v/>
      </c>
      <c r="V3355" s="47" t="n">
        <f aca="false">V3354+IF(OR(O3355&lt;&gt;"",W3355&lt;&gt;""),1,0)</f>
        <v>3</v>
      </c>
      <c r="W3355" s="29"/>
    </row>
    <row r="3356" customFormat="false" ht="15" hidden="false" customHeight="false" outlineLevel="0" collapsed="false">
      <c r="A3356" s="32" t="str">
        <f aca="false">IF(B3356="","",ROW()-7)</f>
        <v/>
      </c>
      <c r="B3356" s="30"/>
      <c r="C3356" s="29"/>
      <c r="D3356" s="29"/>
      <c r="E3356" s="29"/>
      <c r="F3356" s="30"/>
      <c r="G3356" s="29"/>
      <c r="H3356" s="30"/>
      <c r="I3356" s="29"/>
      <c r="J3356" s="30"/>
      <c r="K3356" s="30"/>
      <c r="L3356" s="29"/>
      <c r="M3356" s="32" t="str">
        <f aca="false">IF(OR(C3356="",L3356=""),"",IF(C3356=L3356,"同一","変更"))</f>
        <v/>
      </c>
      <c r="N3356" s="29"/>
      <c r="O3356" s="30"/>
      <c r="P3356" s="29"/>
      <c r="Q3356" s="31"/>
      <c r="R3356" s="29"/>
      <c r="S3356" s="29"/>
      <c r="T3356" s="30"/>
      <c r="U3356" s="47" t="str">
        <f aca="false">IF(AND(B3356&lt;&gt;"",B3356=SW別シート!$C$3),COUNTIF(B$5:B3356,B3356),"")</f>
        <v/>
      </c>
      <c r="V3356" s="47" t="n">
        <f aca="false">V3355+IF(OR(O3356&lt;&gt;"",W3356&lt;&gt;""),1,0)</f>
        <v>3</v>
      </c>
      <c r="W3356" s="29"/>
    </row>
    <row r="3357" customFormat="false" ht="15" hidden="false" customHeight="false" outlineLevel="0" collapsed="false">
      <c r="A3357" s="32" t="str">
        <f aca="false">IF(B3357="","",ROW()-7)</f>
        <v/>
      </c>
      <c r="B3357" s="30"/>
      <c r="C3357" s="29"/>
      <c r="D3357" s="29"/>
      <c r="E3357" s="29"/>
      <c r="F3357" s="30"/>
      <c r="G3357" s="29"/>
      <c r="H3357" s="30"/>
      <c r="I3357" s="29"/>
      <c r="J3357" s="30"/>
      <c r="K3357" s="30"/>
      <c r="L3357" s="29"/>
      <c r="M3357" s="32" t="str">
        <f aca="false">IF(OR(C3357="",L3357=""),"",IF(C3357=L3357,"同一","変更"))</f>
        <v/>
      </c>
      <c r="N3357" s="29"/>
      <c r="O3357" s="30"/>
      <c r="P3357" s="29"/>
      <c r="Q3357" s="31"/>
      <c r="R3357" s="29"/>
      <c r="S3357" s="29"/>
      <c r="T3357" s="30"/>
      <c r="U3357" s="47" t="str">
        <f aca="false">IF(AND(B3357&lt;&gt;"",B3357=SW別シート!$C$3),COUNTIF(B$5:B3357,B3357),"")</f>
        <v/>
      </c>
      <c r="V3357" s="47" t="n">
        <f aca="false">V3356+IF(OR(O3357&lt;&gt;"",W3357&lt;&gt;""),1,0)</f>
        <v>3</v>
      </c>
      <c r="W3357" s="29"/>
    </row>
    <row r="3358" customFormat="false" ht="15" hidden="false" customHeight="false" outlineLevel="0" collapsed="false">
      <c r="A3358" s="32" t="str">
        <f aca="false">IF(B3358="","",ROW()-7)</f>
        <v/>
      </c>
      <c r="B3358" s="30"/>
      <c r="C3358" s="29"/>
      <c r="D3358" s="29"/>
      <c r="E3358" s="29"/>
      <c r="F3358" s="30"/>
      <c r="G3358" s="29"/>
      <c r="H3358" s="30"/>
      <c r="I3358" s="29"/>
      <c r="J3358" s="30"/>
      <c r="K3358" s="30"/>
      <c r="L3358" s="29"/>
      <c r="M3358" s="32" t="str">
        <f aca="false">IF(OR(C3358="",L3358=""),"",IF(C3358=L3358,"同一","変更"))</f>
        <v/>
      </c>
      <c r="N3358" s="29"/>
      <c r="O3358" s="30"/>
      <c r="P3358" s="29"/>
      <c r="Q3358" s="31"/>
      <c r="R3358" s="29"/>
      <c r="S3358" s="29"/>
      <c r="T3358" s="30"/>
      <c r="U3358" s="47" t="str">
        <f aca="false">IF(AND(B3358&lt;&gt;"",B3358=SW別シート!$C$3),COUNTIF(B$5:B3358,B3358),"")</f>
        <v/>
      </c>
      <c r="V3358" s="47" t="n">
        <f aca="false">V3357+IF(OR(O3358&lt;&gt;"",W3358&lt;&gt;""),1,0)</f>
        <v>3</v>
      </c>
      <c r="W3358" s="29"/>
    </row>
    <row r="3359" customFormat="false" ht="15" hidden="false" customHeight="false" outlineLevel="0" collapsed="false">
      <c r="A3359" s="32" t="str">
        <f aca="false">IF(B3359="","",ROW()-7)</f>
        <v/>
      </c>
      <c r="B3359" s="30"/>
      <c r="C3359" s="29"/>
      <c r="D3359" s="29"/>
      <c r="E3359" s="29"/>
      <c r="F3359" s="30"/>
      <c r="G3359" s="29"/>
      <c r="H3359" s="30"/>
      <c r="I3359" s="29"/>
      <c r="J3359" s="30"/>
      <c r="K3359" s="30"/>
      <c r="L3359" s="29"/>
      <c r="M3359" s="32" t="str">
        <f aca="false">IF(OR(C3359="",L3359=""),"",IF(C3359=L3359,"同一","変更"))</f>
        <v/>
      </c>
      <c r="N3359" s="29"/>
      <c r="O3359" s="30"/>
      <c r="P3359" s="29"/>
      <c r="Q3359" s="31"/>
      <c r="R3359" s="29"/>
      <c r="S3359" s="29"/>
      <c r="T3359" s="30"/>
      <c r="U3359" s="47" t="str">
        <f aca="false">IF(AND(B3359&lt;&gt;"",B3359=SW別シート!$C$3),COUNTIF(B$5:B3359,B3359),"")</f>
        <v/>
      </c>
      <c r="V3359" s="47" t="n">
        <f aca="false">V3358+IF(OR(O3359&lt;&gt;"",W3359&lt;&gt;""),1,0)</f>
        <v>3</v>
      </c>
      <c r="W3359" s="29"/>
    </row>
    <row r="3360" customFormat="false" ht="15" hidden="false" customHeight="false" outlineLevel="0" collapsed="false">
      <c r="A3360" s="32" t="str">
        <f aca="false">IF(B3360="","",ROW()-7)</f>
        <v/>
      </c>
      <c r="B3360" s="30"/>
      <c r="C3360" s="29"/>
      <c r="D3360" s="29"/>
      <c r="E3360" s="29"/>
      <c r="F3360" s="30"/>
      <c r="G3360" s="29"/>
      <c r="H3360" s="30"/>
      <c r="I3360" s="29"/>
      <c r="J3360" s="30"/>
      <c r="K3360" s="30"/>
      <c r="L3360" s="29"/>
      <c r="M3360" s="32" t="str">
        <f aca="false">IF(OR(C3360="",L3360=""),"",IF(C3360=L3360,"同一","変更"))</f>
        <v/>
      </c>
      <c r="N3360" s="29"/>
      <c r="O3360" s="30"/>
      <c r="P3360" s="29"/>
      <c r="Q3360" s="31"/>
      <c r="R3360" s="29"/>
      <c r="S3360" s="29"/>
      <c r="T3360" s="30"/>
      <c r="U3360" s="47" t="str">
        <f aca="false">IF(AND(B3360&lt;&gt;"",B3360=SW別シート!$C$3),COUNTIF(B$5:B3360,B3360),"")</f>
        <v/>
      </c>
      <c r="V3360" s="47" t="n">
        <f aca="false">V3359+IF(OR(O3360&lt;&gt;"",W3360&lt;&gt;""),1,0)</f>
        <v>3</v>
      </c>
      <c r="W3360" s="29"/>
    </row>
    <row r="3361" customFormat="false" ht="15" hidden="false" customHeight="false" outlineLevel="0" collapsed="false">
      <c r="A3361" s="32" t="str">
        <f aca="false">IF(B3361="","",ROW()-7)</f>
        <v/>
      </c>
      <c r="B3361" s="30"/>
      <c r="C3361" s="29"/>
      <c r="D3361" s="29"/>
      <c r="E3361" s="29"/>
      <c r="F3361" s="30"/>
      <c r="G3361" s="29"/>
      <c r="H3361" s="30"/>
      <c r="I3361" s="29"/>
      <c r="J3361" s="30"/>
      <c r="K3361" s="30"/>
      <c r="L3361" s="29"/>
      <c r="M3361" s="32" t="str">
        <f aca="false">IF(OR(C3361="",L3361=""),"",IF(C3361=L3361,"同一","変更"))</f>
        <v/>
      </c>
      <c r="N3361" s="29"/>
      <c r="O3361" s="30"/>
      <c r="P3361" s="29"/>
      <c r="Q3361" s="31"/>
      <c r="R3361" s="29"/>
      <c r="S3361" s="29"/>
      <c r="T3361" s="30"/>
      <c r="U3361" s="47" t="str">
        <f aca="false">IF(AND(B3361&lt;&gt;"",B3361=SW別シート!$C$3),COUNTIF(B$5:B3361,B3361),"")</f>
        <v/>
      </c>
      <c r="V3361" s="47" t="n">
        <f aca="false">V3360+IF(OR(O3361&lt;&gt;"",W3361&lt;&gt;""),1,0)</f>
        <v>3</v>
      </c>
      <c r="W3361" s="29"/>
    </row>
    <row r="3362" customFormat="false" ht="15" hidden="false" customHeight="false" outlineLevel="0" collapsed="false">
      <c r="A3362" s="32" t="str">
        <f aca="false">IF(B3362="","",ROW()-7)</f>
        <v/>
      </c>
      <c r="B3362" s="30"/>
      <c r="C3362" s="29"/>
      <c r="D3362" s="29"/>
      <c r="E3362" s="29"/>
      <c r="F3362" s="30"/>
      <c r="G3362" s="29"/>
      <c r="H3362" s="30"/>
      <c r="I3362" s="29"/>
      <c r="J3362" s="30"/>
      <c r="K3362" s="30"/>
      <c r="L3362" s="29"/>
      <c r="M3362" s="32" t="str">
        <f aca="false">IF(OR(C3362="",L3362=""),"",IF(C3362=L3362,"同一","変更"))</f>
        <v/>
      </c>
      <c r="N3362" s="29"/>
      <c r="O3362" s="30"/>
      <c r="P3362" s="29"/>
      <c r="Q3362" s="31"/>
      <c r="R3362" s="29"/>
      <c r="S3362" s="29"/>
      <c r="T3362" s="30"/>
      <c r="U3362" s="47" t="str">
        <f aca="false">IF(AND(B3362&lt;&gt;"",B3362=SW別シート!$C$3),COUNTIF(B$5:B3362,B3362),"")</f>
        <v/>
      </c>
      <c r="V3362" s="47" t="n">
        <f aca="false">V3361+IF(OR(O3362&lt;&gt;"",W3362&lt;&gt;""),1,0)</f>
        <v>3</v>
      </c>
      <c r="W3362" s="29"/>
    </row>
    <row r="3363" customFormat="false" ht="15" hidden="false" customHeight="false" outlineLevel="0" collapsed="false">
      <c r="A3363" s="32" t="str">
        <f aca="false">IF(B3363="","",ROW()-7)</f>
        <v/>
      </c>
      <c r="B3363" s="30"/>
      <c r="C3363" s="29"/>
      <c r="D3363" s="29"/>
      <c r="E3363" s="29"/>
      <c r="F3363" s="30"/>
      <c r="G3363" s="29"/>
      <c r="H3363" s="30"/>
      <c r="I3363" s="29"/>
      <c r="J3363" s="30"/>
      <c r="K3363" s="30"/>
      <c r="L3363" s="29"/>
      <c r="M3363" s="32" t="str">
        <f aca="false">IF(OR(C3363="",L3363=""),"",IF(C3363=L3363,"同一","変更"))</f>
        <v/>
      </c>
      <c r="N3363" s="29"/>
      <c r="O3363" s="30"/>
      <c r="P3363" s="29"/>
      <c r="Q3363" s="31"/>
      <c r="R3363" s="29"/>
      <c r="S3363" s="29"/>
      <c r="T3363" s="30"/>
      <c r="U3363" s="47" t="str">
        <f aca="false">IF(AND(B3363&lt;&gt;"",B3363=SW別シート!$C$3),COUNTIF(B$5:B3363,B3363),"")</f>
        <v/>
      </c>
      <c r="V3363" s="47" t="n">
        <f aca="false">V3362+IF(OR(O3363&lt;&gt;"",W3363&lt;&gt;""),1,0)</f>
        <v>3</v>
      </c>
      <c r="W3363" s="29"/>
    </row>
    <row r="3364" customFormat="false" ht="15" hidden="false" customHeight="false" outlineLevel="0" collapsed="false">
      <c r="A3364" s="32" t="str">
        <f aca="false">IF(B3364="","",ROW()-7)</f>
        <v/>
      </c>
      <c r="B3364" s="30"/>
      <c r="C3364" s="29"/>
      <c r="D3364" s="29"/>
      <c r="E3364" s="29"/>
      <c r="F3364" s="30"/>
      <c r="G3364" s="29"/>
      <c r="H3364" s="30"/>
      <c r="I3364" s="29"/>
      <c r="J3364" s="30"/>
      <c r="K3364" s="30"/>
      <c r="L3364" s="29"/>
      <c r="M3364" s="32" t="str">
        <f aca="false">IF(OR(C3364="",L3364=""),"",IF(C3364=L3364,"同一","変更"))</f>
        <v/>
      </c>
      <c r="N3364" s="29"/>
      <c r="O3364" s="30"/>
      <c r="P3364" s="29"/>
      <c r="Q3364" s="31"/>
      <c r="R3364" s="29"/>
      <c r="S3364" s="29"/>
      <c r="T3364" s="30"/>
      <c r="U3364" s="47" t="str">
        <f aca="false">IF(AND(B3364&lt;&gt;"",B3364=SW別シート!$C$3),COUNTIF(B$5:B3364,B3364),"")</f>
        <v/>
      </c>
      <c r="V3364" s="47" t="n">
        <f aca="false">V3363+IF(OR(O3364&lt;&gt;"",W3364&lt;&gt;""),1,0)</f>
        <v>3</v>
      </c>
      <c r="W3364" s="29"/>
    </row>
    <row r="3365" customFormat="false" ht="15" hidden="false" customHeight="false" outlineLevel="0" collapsed="false">
      <c r="A3365" s="32" t="str">
        <f aca="false">IF(B3365="","",ROW()-7)</f>
        <v/>
      </c>
      <c r="B3365" s="30"/>
      <c r="C3365" s="29"/>
      <c r="D3365" s="29"/>
      <c r="E3365" s="29"/>
      <c r="F3365" s="30"/>
      <c r="G3365" s="29"/>
      <c r="H3365" s="30"/>
      <c r="I3365" s="29"/>
      <c r="J3365" s="30"/>
      <c r="K3365" s="30"/>
      <c r="L3365" s="29"/>
      <c r="M3365" s="32" t="str">
        <f aca="false">IF(OR(C3365="",L3365=""),"",IF(C3365=L3365,"同一","変更"))</f>
        <v/>
      </c>
      <c r="N3365" s="29"/>
      <c r="O3365" s="30"/>
      <c r="P3365" s="29"/>
      <c r="Q3365" s="31"/>
      <c r="R3365" s="29"/>
      <c r="S3365" s="29"/>
      <c r="T3365" s="30"/>
      <c r="U3365" s="47" t="str">
        <f aca="false">IF(AND(B3365&lt;&gt;"",B3365=SW別シート!$C$3),COUNTIF(B$5:B3365,B3365),"")</f>
        <v/>
      </c>
      <c r="V3365" s="47" t="n">
        <f aca="false">V3364+IF(OR(O3365&lt;&gt;"",W3365&lt;&gt;""),1,0)</f>
        <v>3</v>
      </c>
      <c r="W3365" s="29"/>
    </row>
    <row r="3366" customFormat="false" ht="15" hidden="false" customHeight="false" outlineLevel="0" collapsed="false">
      <c r="A3366" s="32" t="str">
        <f aca="false">IF(B3366="","",ROW()-7)</f>
        <v/>
      </c>
      <c r="B3366" s="30"/>
      <c r="C3366" s="29"/>
      <c r="D3366" s="29"/>
      <c r="E3366" s="29"/>
      <c r="F3366" s="30"/>
      <c r="G3366" s="29"/>
      <c r="H3366" s="30"/>
      <c r="I3366" s="29"/>
      <c r="J3366" s="30"/>
      <c r="K3366" s="30"/>
      <c r="L3366" s="29"/>
      <c r="M3366" s="32" t="str">
        <f aca="false">IF(OR(C3366="",L3366=""),"",IF(C3366=L3366,"同一","変更"))</f>
        <v/>
      </c>
      <c r="N3366" s="29"/>
      <c r="O3366" s="30"/>
      <c r="P3366" s="29"/>
      <c r="Q3366" s="31"/>
      <c r="R3366" s="29"/>
      <c r="S3366" s="29"/>
      <c r="T3366" s="30"/>
      <c r="U3366" s="47" t="str">
        <f aca="false">IF(AND(B3366&lt;&gt;"",B3366=SW別シート!$C$3),COUNTIF(B$5:B3366,B3366),"")</f>
        <v/>
      </c>
      <c r="V3366" s="47" t="n">
        <f aca="false">V3365+IF(OR(O3366&lt;&gt;"",W3366&lt;&gt;""),1,0)</f>
        <v>3</v>
      </c>
      <c r="W3366" s="29"/>
    </row>
    <row r="3367" customFormat="false" ht="15" hidden="false" customHeight="false" outlineLevel="0" collapsed="false">
      <c r="A3367" s="32" t="str">
        <f aca="false">IF(B3367="","",ROW()-7)</f>
        <v/>
      </c>
      <c r="B3367" s="30"/>
      <c r="C3367" s="29"/>
      <c r="D3367" s="29"/>
      <c r="E3367" s="29"/>
      <c r="F3367" s="30"/>
      <c r="G3367" s="29"/>
      <c r="H3367" s="30"/>
      <c r="I3367" s="29"/>
      <c r="J3367" s="30"/>
      <c r="K3367" s="30"/>
      <c r="L3367" s="29"/>
      <c r="M3367" s="32" t="str">
        <f aca="false">IF(OR(C3367="",L3367=""),"",IF(C3367=L3367,"同一","変更"))</f>
        <v/>
      </c>
      <c r="N3367" s="29"/>
      <c r="O3367" s="30"/>
      <c r="P3367" s="29"/>
      <c r="Q3367" s="31"/>
      <c r="R3367" s="29"/>
      <c r="S3367" s="29"/>
      <c r="T3367" s="30"/>
      <c r="U3367" s="47" t="str">
        <f aca="false">IF(AND(B3367&lt;&gt;"",B3367=SW別シート!$C$3),COUNTIF(B$5:B3367,B3367),"")</f>
        <v/>
      </c>
      <c r="V3367" s="47" t="n">
        <f aca="false">V3366+IF(OR(O3367&lt;&gt;"",W3367&lt;&gt;""),1,0)</f>
        <v>3</v>
      </c>
      <c r="W3367" s="29"/>
    </row>
    <row r="3368" customFormat="false" ht="15" hidden="false" customHeight="false" outlineLevel="0" collapsed="false">
      <c r="A3368" s="32" t="str">
        <f aca="false">IF(B3368="","",ROW()-7)</f>
        <v/>
      </c>
      <c r="B3368" s="30"/>
      <c r="C3368" s="29"/>
      <c r="D3368" s="29"/>
      <c r="E3368" s="29"/>
      <c r="F3368" s="30"/>
      <c r="G3368" s="29"/>
      <c r="H3368" s="30"/>
      <c r="I3368" s="29"/>
      <c r="J3368" s="30"/>
      <c r="K3368" s="30"/>
      <c r="L3368" s="29"/>
      <c r="M3368" s="32" t="str">
        <f aca="false">IF(OR(C3368="",L3368=""),"",IF(C3368=L3368,"同一","変更"))</f>
        <v/>
      </c>
      <c r="N3368" s="29"/>
      <c r="O3368" s="30"/>
      <c r="P3368" s="29"/>
      <c r="Q3368" s="31"/>
      <c r="R3368" s="29"/>
      <c r="S3368" s="29"/>
      <c r="T3368" s="30"/>
      <c r="U3368" s="47" t="str">
        <f aca="false">IF(AND(B3368&lt;&gt;"",B3368=SW別シート!$C$3),COUNTIF(B$5:B3368,B3368),"")</f>
        <v/>
      </c>
      <c r="V3368" s="47" t="n">
        <f aca="false">V3367+IF(OR(O3368&lt;&gt;"",W3368&lt;&gt;""),1,0)</f>
        <v>3</v>
      </c>
      <c r="W3368" s="29"/>
    </row>
    <row r="3369" customFormat="false" ht="15" hidden="false" customHeight="false" outlineLevel="0" collapsed="false">
      <c r="A3369" s="32" t="str">
        <f aca="false">IF(B3369="","",ROW()-7)</f>
        <v/>
      </c>
      <c r="B3369" s="30"/>
      <c r="C3369" s="29"/>
      <c r="D3369" s="29"/>
      <c r="E3369" s="29"/>
      <c r="F3369" s="30"/>
      <c r="G3369" s="29"/>
      <c r="H3369" s="30"/>
      <c r="I3369" s="29"/>
      <c r="J3369" s="30"/>
      <c r="K3369" s="30"/>
      <c r="L3369" s="29"/>
      <c r="M3369" s="32" t="str">
        <f aca="false">IF(OR(C3369="",L3369=""),"",IF(C3369=L3369,"同一","変更"))</f>
        <v/>
      </c>
      <c r="N3369" s="29"/>
      <c r="O3369" s="30"/>
      <c r="P3369" s="29"/>
      <c r="Q3369" s="31"/>
      <c r="R3369" s="29"/>
      <c r="S3369" s="29"/>
      <c r="T3369" s="30"/>
      <c r="U3369" s="47" t="str">
        <f aca="false">IF(AND(B3369&lt;&gt;"",B3369=SW別シート!$C$3),COUNTIF(B$5:B3369,B3369),"")</f>
        <v/>
      </c>
      <c r="V3369" s="47" t="n">
        <f aca="false">V3368+IF(OR(O3369&lt;&gt;"",W3369&lt;&gt;""),1,0)</f>
        <v>3</v>
      </c>
      <c r="W3369" s="29"/>
    </row>
    <row r="3370" customFormat="false" ht="15" hidden="false" customHeight="false" outlineLevel="0" collapsed="false">
      <c r="A3370" s="32" t="str">
        <f aca="false">IF(B3370="","",ROW()-7)</f>
        <v/>
      </c>
      <c r="B3370" s="30"/>
      <c r="C3370" s="29"/>
      <c r="D3370" s="29"/>
      <c r="E3370" s="29"/>
      <c r="F3370" s="30"/>
      <c r="G3370" s="29"/>
      <c r="H3370" s="30"/>
      <c r="I3370" s="29"/>
      <c r="J3370" s="30"/>
      <c r="K3370" s="30"/>
      <c r="L3370" s="29"/>
      <c r="M3370" s="32" t="str">
        <f aca="false">IF(OR(C3370="",L3370=""),"",IF(C3370=L3370,"同一","変更"))</f>
        <v/>
      </c>
      <c r="N3370" s="29"/>
      <c r="O3370" s="30"/>
      <c r="P3370" s="29"/>
      <c r="Q3370" s="31"/>
      <c r="R3370" s="29"/>
      <c r="S3370" s="29"/>
      <c r="T3370" s="30"/>
      <c r="U3370" s="47" t="str">
        <f aca="false">IF(AND(B3370&lt;&gt;"",B3370=SW別シート!$C$3),COUNTIF(B$5:B3370,B3370),"")</f>
        <v/>
      </c>
      <c r="V3370" s="47" t="n">
        <f aca="false">V3369+IF(OR(O3370&lt;&gt;"",W3370&lt;&gt;""),1,0)</f>
        <v>3</v>
      </c>
      <c r="W3370" s="29"/>
    </row>
    <row r="3371" customFormat="false" ht="15" hidden="false" customHeight="false" outlineLevel="0" collapsed="false">
      <c r="A3371" s="32" t="str">
        <f aca="false">IF(B3371="","",ROW()-7)</f>
        <v/>
      </c>
      <c r="B3371" s="30"/>
      <c r="C3371" s="29"/>
      <c r="D3371" s="29"/>
      <c r="E3371" s="29"/>
      <c r="F3371" s="30"/>
      <c r="G3371" s="29"/>
      <c r="H3371" s="30"/>
      <c r="I3371" s="29"/>
      <c r="J3371" s="30"/>
      <c r="K3371" s="30"/>
      <c r="L3371" s="29"/>
      <c r="M3371" s="32" t="str">
        <f aca="false">IF(OR(C3371="",L3371=""),"",IF(C3371=L3371,"同一","変更"))</f>
        <v/>
      </c>
      <c r="N3371" s="29"/>
      <c r="O3371" s="30"/>
      <c r="P3371" s="29"/>
      <c r="Q3371" s="31"/>
      <c r="R3371" s="29"/>
      <c r="S3371" s="29"/>
      <c r="T3371" s="30"/>
      <c r="U3371" s="47" t="str">
        <f aca="false">IF(AND(B3371&lt;&gt;"",B3371=SW別シート!$C$3),COUNTIF(B$5:B3371,B3371),"")</f>
        <v/>
      </c>
      <c r="V3371" s="47" t="n">
        <f aca="false">V3370+IF(OR(O3371&lt;&gt;"",W3371&lt;&gt;""),1,0)</f>
        <v>3</v>
      </c>
      <c r="W3371" s="29"/>
    </row>
    <row r="3372" customFormat="false" ht="15" hidden="false" customHeight="false" outlineLevel="0" collapsed="false">
      <c r="A3372" s="32" t="str">
        <f aca="false">IF(B3372="","",ROW()-7)</f>
        <v/>
      </c>
      <c r="B3372" s="30"/>
      <c r="C3372" s="29"/>
      <c r="D3372" s="29"/>
      <c r="E3372" s="29"/>
      <c r="F3372" s="30"/>
      <c r="G3372" s="29"/>
      <c r="H3372" s="30"/>
      <c r="I3372" s="29"/>
      <c r="J3372" s="30"/>
      <c r="K3372" s="30"/>
      <c r="L3372" s="29"/>
      <c r="M3372" s="32" t="str">
        <f aca="false">IF(OR(C3372="",L3372=""),"",IF(C3372=L3372,"同一","変更"))</f>
        <v/>
      </c>
      <c r="N3372" s="29"/>
      <c r="O3372" s="30"/>
      <c r="P3372" s="29"/>
      <c r="Q3372" s="31"/>
      <c r="R3372" s="29"/>
      <c r="S3372" s="29"/>
      <c r="T3372" s="30"/>
      <c r="U3372" s="47" t="str">
        <f aca="false">IF(AND(B3372&lt;&gt;"",B3372=SW別シート!$C$3),COUNTIF(B$5:B3372,B3372),"")</f>
        <v/>
      </c>
      <c r="V3372" s="47" t="n">
        <f aca="false">V3371+IF(OR(O3372&lt;&gt;"",W3372&lt;&gt;""),1,0)</f>
        <v>3</v>
      </c>
      <c r="W3372" s="29"/>
    </row>
    <row r="3373" customFormat="false" ht="15" hidden="false" customHeight="false" outlineLevel="0" collapsed="false">
      <c r="A3373" s="32" t="str">
        <f aca="false">IF(B3373="","",ROW()-7)</f>
        <v/>
      </c>
      <c r="B3373" s="30"/>
      <c r="C3373" s="29"/>
      <c r="D3373" s="29"/>
      <c r="E3373" s="29"/>
      <c r="F3373" s="30"/>
      <c r="G3373" s="29"/>
      <c r="H3373" s="30"/>
      <c r="I3373" s="29"/>
      <c r="J3373" s="30"/>
      <c r="K3373" s="30"/>
      <c r="L3373" s="29"/>
      <c r="M3373" s="32" t="str">
        <f aca="false">IF(OR(C3373="",L3373=""),"",IF(C3373=L3373,"同一","変更"))</f>
        <v/>
      </c>
      <c r="N3373" s="29"/>
      <c r="O3373" s="30"/>
      <c r="P3373" s="29"/>
      <c r="Q3373" s="31"/>
      <c r="R3373" s="29"/>
      <c r="S3373" s="29"/>
      <c r="T3373" s="30"/>
      <c r="U3373" s="47" t="str">
        <f aca="false">IF(AND(B3373&lt;&gt;"",B3373=SW別シート!$C$3),COUNTIF(B$5:B3373,B3373),"")</f>
        <v/>
      </c>
      <c r="V3373" s="47" t="n">
        <f aca="false">V3372+IF(OR(O3373&lt;&gt;"",W3373&lt;&gt;""),1,0)</f>
        <v>3</v>
      </c>
      <c r="W3373" s="29"/>
    </row>
    <row r="3374" customFormat="false" ht="15" hidden="false" customHeight="false" outlineLevel="0" collapsed="false">
      <c r="A3374" s="32" t="str">
        <f aca="false">IF(B3374="","",ROW()-7)</f>
        <v/>
      </c>
      <c r="B3374" s="30"/>
      <c r="C3374" s="29"/>
      <c r="D3374" s="29"/>
      <c r="E3374" s="29"/>
      <c r="F3374" s="30"/>
      <c r="G3374" s="29"/>
      <c r="H3374" s="30"/>
      <c r="I3374" s="29"/>
      <c r="J3374" s="30"/>
      <c r="K3374" s="30"/>
      <c r="L3374" s="29"/>
      <c r="M3374" s="32" t="str">
        <f aca="false">IF(OR(C3374="",L3374=""),"",IF(C3374=L3374,"同一","変更"))</f>
        <v/>
      </c>
      <c r="N3374" s="29"/>
      <c r="O3374" s="30"/>
      <c r="P3374" s="29"/>
      <c r="Q3374" s="31"/>
      <c r="R3374" s="29"/>
      <c r="S3374" s="29"/>
      <c r="T3374" s="30"/>
      <c r="U3374" s="47" t="str">
        <f aca="false">IF(AND(B3374&lt;&gt;"",B3374=SW別シート!$C$3),COUNTIF(B$5:B3374,B3374),"")</f>
        <v/>
      </c>
      <c r="V3374" s="47" t="n">
        <f aca="false">V3373+IF(OR(O3374&lt;&gt;"",W3374&lt;&gt;""),1,0)</f>
        <v>3</v>
      </c>
      <c r="W3374" s="29"/>
    </row>
    <row r="3375" customFormat="false" ht="15" hidden="false" customHeight="false" outlineLevel="0" collapsed="false">
      <c r="A3375" s="32" t="str">
        <f aca="false">IF(B3375="","",ROW()-7)</f>
        <v/>
      </c>
      <c r="B3375" s="30"/>
      <c r="C3375" s="29"/>
      <c r="D3375" s="29"/>
      <c r="E3375" s="29"/>
      <c r="F3375" s="30"/>
      <c r="G3375" s="29"/>
      <c r="H3375" s="30"/>
      <c r="I3375" s="29"/>
      <c r="J3375" s="30"/>
      <c r="K3375" s="30"/>
      <c r="L3375" s="29"/>
      <c r="M3375" s="32" t="str">
        <f aca="false">IF(OR(C3375="",L3375=""),"",IF(C3375=L3375,"同一","変更"))</f>
        <v/>
      </c>
      <c r="N3375" s="29"/>
      <c r="O3375" s="30"/>
      <c r="P3375" s="29"/>
      <c r="Q3375" s="31"/>
      <c r="R3375" s="29"/>
      <c r="S3375" s="29"/>
      <c r="T3375" s="30"/>
      <c r="U3375" s="47" t="str">
        <f aca="false">IF(AND(B3375&lt;&gt;"",B3375=SW別シート!$C$3),COUNTIF(B$5:B3375,B3375),"")</f>
        <v/>
      </c>
      <c r="V3375" s="47" t="n">
        <f aca="false">V3374+IF(OR(O3375&lt;&gt;"",W3375&lt;&gt;""),1,0)</f>
        <v>3</v>
      </c>
      <c r="W3375" s="29"/>
    </row>
    <row r="3376" customFormat="false" ht="15" hidden="false" customHeight="false" outlineLevel="0" collapsed="false">
      <c r="A3376" s="32" t="str">
        <f aca="false">IF(B3376="","",ROW()-7)</f>
        <v/>
      </c>
      <c r="B3376" s="30"/>
      <c r="C3376" s="29"/>
      <c r="D3376" s="29"/>
      <c r="E3376" s="29"/>
      <c r="F3376" s="30"/>
      <c r="G3376" s="29"/>
      <c r="H3376" s="30"/>
      <c r="I3376" s="29"/>
      <c r="J3376" s="30"/>
      <c r="K3376" s="30"/>
      <c r="L3376" s="29"/>
      <c r="M3376" s="32" t="str">
        <f aca="false">IF(OR(C3376="",L3376=""),"",IF(C3376=L3376,"同一","変更"))</f>
        <v/>
      </c>
      <c r="N3376" s="29"/>
      <c r="O3376" s="30"/>
      <c r="P3376" s="29"/>
      <c r="Q3376" s="31"/>
      <c r="R3376" s="29"/>
      <c r="S3376" s="29"/>
      <c r="T3376" s="30"/>
      <c r="U3376" s="47" t="str">
        <f aca="false">IF(AND(B3376&lt;&gt;"",B3376=SW別シート!$C$3),COUNTIF(B$5:B3376,B3376),"")</f>
        <v/>
      </c>
      <c r="V3376" s="47" t="n">
        <f aca="false">V3375+IF(OR(O3376&lt;&gt;"",W3376&lt;&gt;""),1,0)</f>
        <v>3</v>
      </c>
      <c r="W3376" s="29"/>
    </row>
    <row r="3377" customFormat="false" ht="15" hidden="false" customHeight="false" outlineLevel="0" collapsed="false">
      <c r="A3377" s="32" t="str">
        <f aca="false">IF(B3377="","",ROW()-7)</f>
        <v/>
      </c>
      <c r="B3377" s="30"/>
      <c r="C3377" s="29"/>
      <c r="D3377" s="29"/>
      <c r="E3377" s="29"/>
      <c r="F3377" s="30"/>
      <c r="G3377" s="29"/>
      <c r="H3377" s="30"/>
      <c r="I3377" s="29"/>
      <c r="J3377" s="30"/>
      <c r="K3377" s="30"/>
      <c r="L3377" s="29"/>
      <c r="M3377" s="32" t="str">
        <f aca="false">IF(OR(C3377="",L3377=""),"",IF(C3377=L3377,"同一","変更"))</f>
        <v/>
      </c>
      <c r="N3377" s="29"/>
      <c r="O3377" s="30"/>
      <c r="P3377" s="29"/>
      <c r="Q3377" s="31"/>
      <c r="R3377" s="29"/>
      <c r="S3377" s="29"/>
      <c r="T3377" s="30"/>
      <c r="U3377" s="47" t="str">
        <f aca="false">IF(AND(B3377&lt;&gt;"",B3377=SW別シート!$C$3),COUNTIF(B$5:B3377,B3377),"")</f>
        <v/>
      </c>
      <c r="V3377" s="47" t="n">
        <f aca="false">V3376+IF(OR(O3377&lt;&gt;"",W3377&lt;&gt;""),1,0)</f>
        <v>3</v>
      </c>
      <c r="W3377" s="29"/>
    </row>
    <row r="3378" customFormat="false" ht="15" hidden="false" customHeight="false" outlineLevel="0" collapsed="false">
      <c r="A3378" s="32" t="str">
        <f aca="false">IF(B3378="","",ROW()-7)</f>
        <v/>
      </c>
      <c r="B3378" s="30"/>
      <c r="C3378" s="29"/>
      <c r="D3378" s="29"/>
      <c r="E3378" s="29"/>
      <c r="F3378" s="30"/>
      <c r="G3378" s="29"/>
      <c r="H3378" s="30"/>
      <c r="I3378" s="29"/>
      <c r="J3378" s="30"/>
      <c r="K3378" s="30"/>
      <c r="L3378" s="29"/>
      <c r="M3378" s="32" t="str">
        <f aca="false">IF(OR(C3378="",L3378=""),"",IF(C3378=L3378,"同一","変更"))</f>
        <v/>
      </c>
      <c r="N3378" s="29"/>
      <c r="O3378" s="30"/>
      <c r="P3378" s="29"/>
      <c r="Q3378" s="31"/>
      <c r="R3378" s="29"/>
      <c r="S3378" s="29"/>
      <c r="T3378" s="30"/>
      <c r="U3378" s="47" t="str">
        <f aca="false">IF(AND(B3378&lt;&gt;"",B3378=SW別シート!$C$3),COUNTIF(B$5:B3378,B3378),"")</f>
        <v/>
      </c>
      <c r="V3378" s="47" t="n">
        <f aca="false">V3377+IF(OR(O3378&lt;&gt;"",W3378&lt;&gt;""),1,0)</f>
        <v>3</v>
      </c>
      <c r="W3378" s="29"/>
    </row>
    <row r="3379" customFormat="false" ht="15" hidden="false" customHeight="false" outlineLevel="0" collapsed="false">
      <c r="A3379" s="32" t="str">
        <f aca="false">IF(B3379="","",ROW()-7)</f>
        <v/>
      </c>
      <c r="B3379" s="30"/>
      <c r="C3379" s="29"/>
      <c r="D3379" s="29"/>
      <c r="E3379" s="29"/>
      <c r="F3379" s="30"/>
      <c r="G3379" s="29"/>
      <c r="H3379" s="30"/>
      <c r="I3379" s="29"/>
      <c r="J3379" s="30"/>
      <c r="K3379" s="30"/>
      <c r="L3379" s="29"/>
      <c r="M3379" s="32" t="str">
        <f aca="false">IF(OR(C3379="",L3379=""),"",IF(C3379=L3379,"同一","変更"))</f>
        <v/>
      </c>
      <c r="N3379" s="29"/>
      <c r="O3379" s="30"/>
      <c r="P3379" s="29"/>
      <c r="Q3379" s="31"/>
      <c r="R3379" s="29"/>
      <c r="S3379" s="29"/>
      <c r="T3379" s="30"/>
      <c r="U3379" s="47" t="str">
        <f aca="false">IF(AND(B3379&lt;&gt;"",B3379=SW別シート!$C$3),COUNTIF(B$5:B3379,B3379),"")</f>
        <v/>
      </c>
      <c r="V3379" s="47" t="n">
        <f aca="false">V3378+IF(OR(O3379&lt;&gt;"",W3379&lt;&gt;""),1,0)</f>
        <v>3</v>
      </c>
      <c r="W3379" s="29"/>
    </row>
    <row r="3380" customFormat="false" ht="15" hidden="false" customHeight="false" outlineLevel="0" collapsed="false">
      <c r="A3380" s="32" t="str">
        <f aca="false">IF(B3380="","",ROW()-7)</f>
        <v/>
      </c>
      <c r="B3380" s="30"/>
      <c r="C3380" s="29"/>
      <c r="D3380" s="29"/>
      <c r="E3380" s="29"/>
      <c r="F3380" s="30"/>
      <c r="G3380" s="29"/>
      <c r="H3380" s="30"/>
      <c r="I3380" s="29"/>
      <c r="J3380" s="30"/>
      <c r="K3380" s="30"/>
      <c r="L3380" s="29"/>
      <c r="M3380" s="32" t="str">
        <f aca="false">IF(OR(C3380="",L3380=""),"",IF(C3380=L3380,"同一","変更"))</f>
        <v/>
      </c>
      <c r="N3380" s="29"/>
      <c r="O3380" s="30"/>
      <c r="P3380" s="29"/>
      <c r="Q3380" s="31"/>
      <c r="R3380" s="29"/>
      <c r="S3380" s="29"/>
      <c r="T3380" s="30"/>
      <c r="U3380" s="47" t="str">
        <f aca="false">IF(AND(B3380&lt;&gt;"",B3380=SW別シート!$C$3),COUNTIF(B$5:B3380,B3380),"")</f>
        <v/>
      </c>
      <c r="V3380" s="47" t="n">
        <f aca="false">V3379+IF(OR(O3380&lt;&gt;"",W3380&lt;&gt;""),1,0)</f>
        <v>3</v>
      </c>
      <c r="W3380" s="29"/>
    </row>
    <row r="3381" customFormat="false" ht="15" hidden="false" customHeight="false" outlineLevel="0" collapsed="false">
      <c r="A3381" s="32" t="str">
        <f aca="false">IF(B3381="","",ROW()-7)</f>
        <v/>
      </c>
      <c r="B3381" s="30"/>
      <c r="C3381" s="29"/>
      <c r="D3381" s="29"/>
      <c r="E3381" s="29"/>
      <c r="F3381" s="30"/>
      <c r="G3381" s="29"/>
      <c r="H3381" s="30"/>
      <c r="I3381" s="29"/>
      <c r="J3381" s="30"/>
      <c r="K3381" s="30"/>
      <c r="L3381" s="29"/>
      <c r="M3381" s="32" t="str">
        <f aca="false">IF(OR(C3381="",L3381=""),"",IF(C3381=L3381,"同一","変更"))</f>
        <v/>
      </c>
      <c r="N3381" s="29"/>
      <c r="O3381" s="30"/>
      <c r="P3381" s="29"/>
      <c r="Q3381" s="31"/>
      <c r="R3381" s="29"/>
      <c r="S3381" s="29"/>
      <c r="T3381" s="30"/>
      <c r="U3381" s="47" t="str">
        <f aca="false">IF(AND(B3381&lt;&gt;"",B3381=SW別シート!$C$3),COUNTIF(B$5:B3381,B3381),"")</f>
        <v/>
      </c>
      <c r="V3381" s="47" t="n">
        <f aca="false">V3380+IF(OR(O3381&lt;&gt;"",W3381&lt;&gt;""),1,0)</f>
        <v>3</v>
      </c>
      <c r="W3381" s="29"/>
    </row>
    <row r="3382" customFormat="false" ht="15" hidden="false" customHeight="false" outlineLevel="0" collapsed="false">
      <c r="A3382" s="32" t="str">
        <f aca="false">IF(B3382="","",ROW()-7)</f>
        <v/>
      </c>
      <c r="B3382" s="30"/>
      <c r="C3382" s="29"/>
      <c r="D3382" s="29"/>
      <c r="E3382" s="29"/>
      <c r="F3382" s="30"/>
      <c r="G3382" s="29"/>
      <c r="H3382" s="30"/>
      <c r="I3382" s="29"/>
      <c r="J3382" s="30"/>
      <c r="K3382" s="30"/>
      <c r="L3382" s="29"/>
      <c r="M3382" s="32" t="str">
        <f aca="false">IF(OR(C3382="",L3382=""),"",IF(C3382=L3382,"同一","変更"))</f>
        <v/>
      </c>
      <c r="N3382" s="29"/>
      <c r="O3382" s="30"/>
      <c r="P3382" s="29"/>
      <c r="Q3382" s="31"/>
      <c r="R3382" s="29"/>
      <c r="S3382" s="29"/>
      <c r="T3382" s="30"/>
      <c r="U3382" s="47" t="str">
        <f aca="false">IF(AND(B3382&lt;&gt;"",B3382=SW別シート!$C$3),COUNTIF(B$5:B3382,B3382),"")</f>
        <v/>
      </c>
      <c r="V3382" s="47" t="n">
        <f aca="false">V3381+IF(OR(O3382&lt;&gt;"",W3382&lt;&gt;""),1,0)</f>
        <v>3</v>
      </c>
      <c r="W3382" s="29"/>
    </row>
    <row r="3383" customFormat="false" ht="15" hidden="false" customHeight="false" outlineLevel="0" collapsed="false">
      <c r="A3383" s="32" t="str">
        <f aca="false">IF(B3383="","",ROW()-7)</f>
        <v/>
      </c>
      <c r="B3383" s="30"/>
      <c r="C3383" s="29"/>
      <c r="D3383" s="29"/>
      <c r="E3383" s="29"/>
      <c r="F3383" s="30"/>
      <c r="G3383" s="29"/>
      <c r="H3383" s="30"/>
      <c r="I3383" s="29"/>
      <c r="J3383" s="30"/>
      <c r="K3383" s="30"/>
      <c r="L3383" s="29"/>
      <c r="M3383" s="32" t="str">
        <f aca="false">IF(OR(C3383="",L3383=""),"",IF(C3383=L3383,"同一","変更"))</f>
        <v/>
      </c>
      <c r="N3383" s="29"/>
      <c r="O3383" s="30"/>
      <c r="P3383" s="29"/>
      <c r="Q3383" s="31"/>
      <c r="R3383" s="29"/>
      <c r="S3383" s="29"/>
      <c r="T3383" s="30"/>
      <c r="U3383" s="47" t="str">
        <f aca="false">IF(AND(B3383&lt;&gt;"",B3383=SW別シート!$C$3),COUNTIF(B$5:B3383,B3383),"")</f>
        <v/>
      </c>
      <c r="V3383" s="47" t="n">
        <f aca="false">V3382+IF(OR(O3383&lt;&gt;"",W3383&lt;&gt;""),1,0)</f>
        <v>3</v>
      </c>
      <c r="W3383" s="29"/>
    </row>
    <row r="3384" customFormat="false" ht="15" hidden="false" customHeight="false" outlineLevel="0" collapsed="false">
      <c r="A3384" s="32" t="str">
        <f aca="false">IF(B3384="","",ROW()-7)</f>
        <v/>
      </c>
      <c r="B3384" s="30"/>
      <c r="C3384" s="29"/>
      <c r="D3384" s="29"/>
      <c r="E3384" s="29"/>
      <c r="F3384" s="30"/>
      <c r="G3384" s="29"/>
      <c r="H3384" s="30"/>
      <c r="I3384" s="29"/>
      <c r="J3384" s="30"/>
      <c r="K3384" s="30"/>
      <c r="L3384" s="29"/>
      <c r="M3384" s="32" t="str">
        <f aca="false">IF(OR(C3384="",L3384=""),"",IF(C3384=L3384,"同一","変更"))</f>
        <v/>
      </c>
      <c r="N3384" s="29"/>
      <c r="O3384" s="30"/>
      <c r="P3384" s="29"/>
      <c r="Q3384" s="31"/>
      <c r="R3384" s="29"/>
      <c r="S3384" s="29"/>
      <c r="T3384" s="30"/>
      <c r="U3384" s="47" t="str">
        <f aca="false">IF(AND(B3384&lt;&gt;"",B3384=SW別シート!$C$3),COUNTIF(B$5:B3384,B3384),"")</f>
        <v/>
      </c>
      <c r="V3384" s="47" t="n">
        <f aca="false">V3383+IF(OR(O3384&lt;&gt;"",W3384&lt;&gt;""),1,0)</f>
        <v>3</v>
      </c>
      <c r="W3384" s="29"/>
    </row>
    <row r="3385" customFormat="false" ht="15" hidden="false" customHeight="false" outlineLevel="0" collapsed="false">
      <c r="A3385" s="32" t="str">
        <f aca="false">IF(B3385="","",ROW()-7)</f>
        <v/>
      </c>
      <c r="B3385" s="30"/>
      <c r="C3385" s="29"/>
      <c r="D3385" s="29"/>
      <c r="E3385" s="29"/>
      <c r="F3385" s="30"/>
      <c r="G3385" s="29"/>
      <c r="H3385" s="30"/>
      <c r="I3385" s="29"/>
      <c r="J3385" s="30"/>
      <c r="K3385" s="30"/>
      <c r="L3385" s="29"/>
      <c r="M3385" s="32" t="str">
        <f aca="false">IF(OR(C3385="",L3385=""),"",IF(C3385=L3385,"同一","変更"))</f>
        <v/>
      </c>
      <c r="N3385" s="29"/>
      <c r="O3385" s="30"/>
      <c r="P3385" s="29"/>
      <c r="Q3385" s="31"/>
      <c r="R3385" s="29"/>
      <c r="S3385" s="29"/>
      <c r="T3385" s="30"/>
      <c r="U3385" s="47" t="str">
        <f aca="false">IF(AND(B3385&lt;&gt;"",B3385=SW別シート!$C$3),COUNTIF(B$5:B3385,B3385),"")</f>
        <v/>
      </c>
      <c r="V3385" s="47" t="n">
        <f aca="false">V3384+IF(OR(O3385&lt;&gt;"",W3385&lt;&gt;""),1,0)</f>
        <v>3</v>
      </c>
      <c r="W3385" s="29"/>
    </row>
    <row r="3386" customFormat="false" ht="15" hidden="false" customHeight="false" outlineLevel="0" collapsed="false">
      <c r="A3386" s="32" t="str">
        <f aca="false">IF(B3386="","",ROW()-7)</f>
        <v/>
      </c>
      <c r="B3386" s="30"/>
      <c r="C3386" s="29"/>
      <c r="D3386" s="29"/>
      <c r="E3386" s="29"/>
      <c r="F3386" s="30"/>
      <c r="G3386" s="29"/>
      <c r="H3386" s="30"/>
      <c r="I3386" s="29"/>
      <c r="J3386" s="30"/>
      <c r="K3386" s="30"/>
      <c r="L3386" s="29"/>
      <c r="M3386" s="32" t="str">
        <f aca="false">IF(OR(C3386="",L3386=""),"",IF(C3386=L3386,"同一","変更"))</f>
        <v/>
      </c>
      <c r="N3386" s="29"/>
      <c r="O3386" s="30"/>
      <c r="P3386" s="29"/>
      <c r="Q3386" s="31"/>
      <c r="R3386" s="29"/>
      <c r="S3386" s="29"/>
      <c r="T3386" s="30"/>
      <c r="U3386" s="47" t="str">
        <f aca="false">IF(AND(B3386&lt;&gt;"",B3386=SW別シート!$C$3),COUNTIF(B$5:B3386,B3386),"")</f>
        <v/>
      </c>
      <c r="V3386" s="47" t="n">
        <f aca="false">V3385+IF(OR(O3386&lt;&gt;"",W3386&lt;&gt;""),1,0)</f>
        <v>3</v>
      </c>
      <c r="W3386" s="29"/>
    </row>
    <row r="3387" customFormat="false" ht="15" hidden="false" customHeight="false" outlineLevel="0" collapsed="false">
      <c r="A3387" s="32" t="str">
        <f aca="false">IF(B3387="","",ROW()-7)</f>
        <v/>
      </c>
      <c r="B3387" s="30"/>
      <c r="C3387" s="29"/>
      <c r="D3387" s="29"/>
      <c r="E3387" s="29"/>
      <c r="F3387" s="30"/>
      <c r="G3387" s="29"/>
      <c r="H3387" s="30"/>
      <c r="I3387" s="29"/>
      <c r="J3387" s="30"/>
      <c r="K3387" s="30"/>
      <c r="L3387" s="29"/>
      <c r="M3387" s="32" t="str">
        <f aca="false">IF(OR(C3387="",L3387=""),"",IF(C3387=L3387,"同一","変更"))</f>
        <v/>
      </c>
      <c r="N3387" s="29"/>
      <c r="O3387" s="30"/>
      <c r="P3387" s="29"/>
      <c r="Q3387" s="31"/>
      <c r="R3387" s="29"/>
      <c r="S3387" s="29"/>
      <c r="T3387" s="30"/>
      <c r="U3387" s="47" t="str">
        <f aca="false">IF(AND(B3387&lt;&gt;"",B3387=SW別シート!$C$3),COUNTIF(B$5:B3387,B3387),"")</f>
        <v/>
      </c>
      <c r="V3387" s="47" t="n">
        <f aca="false">V3386+IF(OR(O3387&lt;&gt;"",W3387&lt;&gt;""),1,0)</f>
        <v>3</v>
      </c>
      <c r="W3387" s="29"/>
    </row>
    <row r="3388" customFormat="false" ht="15" hidden="false" customHeight="false" outlineLevel="0" collapsed="false">
      <c r="A3388" s="32" t="str">
        <f aca="false">IF(B3388="","",ROW()-7)</f>
        <v/>
      </c>
      <c r="B3388" s="30"/>
      <c r="C3388" s="29"/>
      <c r="D3388" s="29"/>
      <c r="E3388" s="29"/>
      <c r="F3388" s="30"/>
      <c r="G3388" s="29"/>
      <c r="H3388" s="30"/>
      <c r="I3388" s="29"/>
      <c r="J3388" s="30"/>
      <c r="K3388" s="30"/>
      <c r="L3388" s="29"/>
      <c r="M3388" s="32" t="str">
        <f aca="false">IF(OR(C3388="",L3388=""),"",IF(C3388=L3388,"同一","変更"))</f>
        <v/>
      </c>
      <c r="N3388" s="29"/>
      <c r="O3388" s="30"/>
      <c r="P3388" s="29"/>
      <c r="Q3388" s="31"/>
      <c r="R3388" s="29"/>
      <c r="S3388" s="29"/>
      <c r="T3388" s="30"/>
      <c r="U3388" s="47" t="str">
        <f aca="false">IF(AND(B3388&lt;&gt;"",B3388=SW別シート!$C$3),COUNTIF(B$5:B3388,B3388),"")</f>
        <v/>
      </c>
      <c r="V3388" s="47" t="n">
        <f aca="false">V3387+IF(OR(O3388&lt;&gt;"",W3388&lt;&gt;""),1,0)</f>
        <v>3</v>
      </c>
      <c r="W3388" s="29"/>
    </row>
    <row r="3389" customFormat="false" ht="15" hidden="false" customHeight="false" outlineLevel="0" collapsed="false">
      <c r="A3389" s="32" t="str">
        <f aca="false">IF(B3389="","",ROW()-7)</f>
        <v/>
      </c>
      <c r="B3389" s="30"/>
      <c r="C3389" s="29"/>
      <c r="D3389" s="29"/>
      <c r="E3389" s="29"/>
      <c r="F3389" s="30"/>
      <c r="G3389" s="29"/>
      <c r="H3389" s="30"/>
      <c r="I3389" s="29"/>
      <c r="J3389" s="30"/>
      <c r="K3389" s="30"/>
      <c r="L3389" s="29"/>
      <c r="M3389" s="32" t="str">
        <f aca="false">IF(OR(C3389="",L3389=""),"",IF(C3389=L3389,"同一","変更"))</f>
        <v/>
      </c>
      <c r="N3389" s="29"/>
      <c r="O3389" s="30"/>
      <c r="P3389" s="29"/>
      <c r="Q3389" s="31"/>
      <c r="R3389" s="29"/>
      <c r="S3389" s="29"/>
      <c r="T3389" s="30"/>
      <c r="U3389" s="47" t="str">
        <f aca="false">IF(AND(B3389&lt;&gt;"",B3389=SW別シート!$C$3),COUNTIF(B$5:B3389,B3389),"")</f>
        <v/>
      </c>
      <c r="V3389" s="47" t="n">
        <f aca="false">V3388+IF(OR(O3389&lt;&gt;"",W3389&lt;&gt;""),1,0)</f>
        <v>3</v>
      </c>
      <c r="W3389" s="29"/>
    </row>
    <row r="3390" customFormat="false" ht="15" hidden="false" customHeight="false" outlineLevel="0" collapsed="false">
      <c r="A3390" s="32" t="str">
        <f aca="false">IF(B3390="","",ROW()-7)</f>
        <v/>
      </c>
      <c r="B3390" s="30"/>
      <c r="C3390" s="29"/>
      <c r="D3390" s="29"/>
      <c r="E3390" s="29"/>
      <c r="F3390" s="30"/>
      <c r="G3390" s="29"/>
      <c r="H3390" s="30"/>
      <c r="I3390" s="29"/>
      <c r="J3390" s="30"/>
      <c r="K3390" s="30"/>
      <c r="L3390" s="29"/>
      <c r="M3390" s="32" t="str">
        <f aca="false">IF(OR(C3390="",L3390=""),"",IF(C3390=L3390,"同一","変更"))</f>
        <v/>
      </c>
      <c r="N3390" s="29"/>
      <c r="O3390" s="30"/>
      <c r="P3390" s="29"/>
      <c r="Q3390" s="31"/>
      <c r="R3390" s="29"/>
      <c r="S3390" s="29"/>
      <c r="T3390" s="30"/>
      <c r="U3390" s="47" t="str">
        <f aca="false">IF(AND(B3390&lt;&gt;"",B3390=SW別シート!$C$3),COUNTIF(B$5:B3390,B3390),"")</f>
        <v/>
      </c>
      <c r="V3390" s="47" t="n">
        <f aca="false">V3389+IF(OR(O3390&lt;&gt;"",W3390&lt;&gt;""),1,0)</f>
        <v>3</v>
      </c>
      <c r="W3390" s="29"/>
    </row>
    <row r="3391" customFormat="false" ht="15" hidden="false" customHeight="false" outlineLevel="0" collapsed="false">
      <c r="A3391" s="32" t="str">
        <f aca="false">IF(B3391="","",ROW()-7)</f>
        <v/>
      </c>
      <c r="B3391" s="30"/>
      <c r="C3391" s="29"/>
      <c r="D3391" s="29"/>
      <c r="E3391" s="29"/>
      <c r="F3391" s="30"/>
      <c r="G3391" s="29"/>
      <c r="H3391" s="30"/>
      <c r="I3391" s="29"/>
      <c r="J3391" s="30"/>
      <c r="K3391" s="30"/>
      <c r="L3391" s="29"/>
      <c r="M3391" s="32" t="str">
        <f aca="false">IF(OR(C3391="",L3391=""),"",IF(C3391=L3391,"同一","変更"))</f>
        <v/>
      </c>
      <c r="N3391" s="29"/>
      <c r="O3391" s="30"/>
      <c r="P3391" s="29"/>
      <c r="Q3391" s="31"/>
      <c r="R3391" s="29"/>
      <c r="S3391" s="29"/>
      <c r="T3391" s="30"/>
      <c r="U3391" s="47" t="str">
        <f aca="false">IF(AND(B3391&lt;&gt;"",B3391=SW別シート!$C$3),COUNTIF(B$5:B3391,B3391),"")</f>
        <v/>
      </c>
      <c r="V3391" s="47" t="n">
        <f aca="false">V3390+IF(OR(O3391&lt;&gt;"",W3391&lt;&gt;""),1,0)</f>
        <v>3</v>
      </c>
      <c r="W3391" s="29"/>
    </row>
    <row r="3392" customFormat="false" ht="15" hidden="false" customHeight="false" outlineLevel="0" collapsed="false">
      <c r="A3392" s="32" t="str">
        <f aca="false">IF(B3392="","",ROW()-7)</f>
        <v/>
      </c>
      <c r="B3392" s="30"/>
      <c r="C3392" s="29"/>
      <c r="D3392" s="29"/>
      <c r="E3392" s="29"/>
      <c r="F3392" s="30"/>
      <c r="G3392" s="29"/>
      <c r="H3392" s="30"/>
      <c r="I3392" s="29"/>
      <c r="J3392" s="30"/>
      <c r="K3392" s="30"/>
      <c r="L3392" s="29"/>
      <c r="M3392" s="32" t="str">
        <f aca="false">IF(OR(C3392="",L3392=""),"",IF(C3392=L3392,"同一","変更"))</f>
        <v/>
      </c>
      <c r="N3392" s="29"/>
      <c r="O3392" s="30"/>
      <c r="P3392" s="29"/>
      <c r="Q3392" s="31"/>
      <c r="R3392" s="29"/>
      <c r="S3392" s="29"/>
      <c r="T3392" s="30"/>
      <c r="U3392" s="47" t="str">
        <f aca="false">IF(AND(B3392&lt;&gt;"",B3392=SW別シート!$C$3),COUNTIF(B$5:B3392,B3392),"")</f>
        <v/>
      </c>
      <c r="V3392" s="47" t="n">
        <f aca="false">V3391+IF(OR(O3392&lt;&gt;"",W3392&lt;&gt;""),1,0)</f>
        <v>3</v>
      </c>
      <c r="W3392" s="29"/>
    </row>
    <row r="3393" customFormat="false" ht="15" hidden="false" customHeight="false" outlineLevel="0" collapsed="false">
      <c r="A3393" s="32" t="str">
        <f aca="false">IF(B3393="","",ROW()-7)</f>
        <v/>
      </c>
      <c r="B3393" s="30"/>
      <c r="C3393" s="29"/>
      <c r="D3393" s="29"/>
      <c r="E3393" s="29"/>
      <c r="F3393" s="30"/>
      <c r="G3393" s="29"/>
      <c r="H3393" s="30"/>
      <c r="I3393" s="29"/>
      <c r="J3393" s="30"/>
      <c r="K3393" s="30"/>
      <c r="L3393" s="29"/>
      <c r="M3393" s="32" t="str">
        <f aca="false">IF(OR(C3393="",L3393=""),"",IF(C3393=L3393,"同一","変更"))</f>
        <v/>
      </c>
      <c r="N3393" s="29"/>
      <c r="O3393" s="30"/>
      <c r="P3393" s="29"/>
      <c r="Q3393" s="31"/>
      <c r="R3393" s="29"/>
      <c r="S3393" s="29"/>
      <c r="T3393" s="30"/>
      <c r="U3393" s="47" t="str">
        <f aca="false">IF(AND(B3393&lt;&gt;"",B3393=SW別シート!$C$3),COUNTIF(B$5:B3393,B3393),"")</f>
        <v/>
      </c>
      <c r="V3393" s="47" t="n">
        <f aca="false">V3392+IF(OR(O3393&lt;&gt;"",W3393&lt;&gt;""),1,0)</f>
        <v>3</v>
      </c>
      <c r="W3393" s="29"/>
    </row>
    <row r="3394" customFormat="false" ht="15" hidden="false" customHeight="false" outlineLevel="0" collapsed="false">
      <c r="A3394" s="32" t="str">
        <f aca="false">IF(B3394="","",ROW()-7)</f>
        <v/>
      </c>
      <c r="B3394" s="30"/>
      <c r="C3394" s="29"/>
      <c r="D3394" s="29"/>
      <c r="E3394" s="29"/>
      <c r="F3394" s="30"/>
      <c r="G3394" s="29"/>
      <c r="H3394" s="30"/>
      <c r="I3394" s="29"/>
      <c r="J3394" s="30"/>
      <c r="K3394" s="30"/>
      <c r="L3394" s="29"/>
      <c r="M3394" s="32" t="str">
        <f aca="false">IF(OR(C3394="",L3394=""),"",IF(C3394=L3394,"同一","変更"))</f>
        <v/>
      </c>
      <c r="N3394" s="29"/>
      <c r="O3394" s="30"/>
      <c r="P3394" s="29"/>
      <c r="Q3394" s="31"/>
      <c r="R3394" s="29"/>
      <c r="S3394" s="29"/>
      <c r="T3394" s="30"/>
      <c r="U3394" s="47" t="str">
        <f aca="false">IF(AND(B3394&lt;&gt;"",B3394=SW別シート!$C$3),COUNTIF(B$5:B3394,B3394),"")</f>
        <v/>
      </c>
      <c r="V3394" s="47" t="n">
        <f aca="false">V3393+IF(OR(O3394&lt;&gt;"",W3394&lt;&gt;""),1,0)</f>
        <v>3</v>
      </c>
      <c r="W3394" s="29"/>
    </row>
    <row r="3395" customFormat="false" ht="15" hidden="false" customHeight="false" outlineLevel="0" collapsed="false">
      <c r="A3395" s="32" t="str">
        <f aca="false">IF(B3395="","",ROW()-7)</f>
        <v/>
      </c>
      <c r="B3395" s="30"/>
      <c r="C3395" s="29"/>
      <c r="D3395" s="29"/>
      <c r="E3395" s="29"/>
      <c r="F3395" s="30"/>
      <c r="G3395" s="29"/>
      <c r="H3395" s="30"/>
      <c r="I3395" s="29"/>
      <c r="J3395" s="30"/>
      <c r="K3395" s="30"/>
      <c r="L3395" s="29"/>
      <c r="M3395" s="32" t="str">
        <f aca="false">IF(OR(C3395="",L3395=""),"",IF(C3395=L3395,"同一","変更"))</f>
        <v/>
      </c>
      <c r="N3395" s="29"/>
      <c r="O3395" s="30"/>
      <c r="P3395" s="29"/>
      <c r="Q3395" s="31"/>
      <c r="R3395" s="29"/>
      <c r="S3395" s="29"/>
      <c r="T3395" s="30"/>
      <c r="U3395" s="47" t="str">
        <f aca="false">IF(AND(B3395&lt;&gt;"",B3395=SW別シート!$C$3),COUNTIF(B$5:B3395,B3395),"")</f>
        <v/>
      </c>
      <c r="V3395" s="47" t="n">
        <f aca="false">V3394+IF(OR(O3395&lt;&gt;"",W3395&lt;&gt;""),1,0)</f>
        <v>3</v>
      </c>
      <c r="W3395" s="29"/>
    </row>
    <row r="3396" customFormat="false" ht="15" hidden="false" customHeight="false" outlineLevel="0" collapsed="false">
      <c r="A3396" s="32" t="str">
        <f aca="false">IF(B3396="","",ROW()-7)</f>
        <v/>
      </c>
      <c r="B3396" s="30"/>
      <c r="C3396" s="29"/>
      <c r="D3396" s="29"/>
      <c r="E3396" s="29"/>
      <c r="F3396" s="30"/>
      <c r="G3396" s="29"/>
      <c r="H3396" s="30"/>
      <c r="I3396" s="29"/>
      <c r="J3396" s="30"/>
      <c r="K3396" s="30"/>
      <c r="L3396" s="29"/>
      <c r="M3396" s="32" t="str">
        <f aca="false">IF(OR(C3396="",L3396=""),"",IF(C3396=L3396,"同一","変更"))</f>
        <v/>
      </c>
      <c r="N3396" s="29"/>
      <c r="O3396" s="30"/>
      <c r="P3396" s="29"/>
      <c r="Q3396" s="31"/>
      <c r="R3396" s="29"/>
      <c r="S3396" s="29"/>
      <c r="T3396" s="30"/>
      <c r="U3396" s="47" t="str">
        <f aca="false">IF(AND(B3396&lt;&gt;"",B3396=SW別シート!$C$3),COUNTIF(B$5:B3396,B3396),"")</f>
        <v/>
      </c>
      <c r="V3396" s="47" t="n">
        <f aca="false">V3395+IF(OR(O3396&lt;&gt;"",W3396&lt;&gt;""),1,0)</f>
        <v>3</v>
      </c>
      <c r="W3396" s="29"/>
    </row>
    <row r="3397" customFormat="false" ht="15" hidden="false" customHeight="false" outlineLevel="0" collapsed="false">
      <c r="A3397" s="32" t="str">
        <f aca="false">IF(B3397="","",ROW()-7)</f>
        <v/>
      </c>
      <c r="B3397" s="30"/>
      <c r="C3397" s="29"/>
      <c r="D3397" s="29"/>
      <c r="E3397" s="29"/>
      <c r="F3397" s="30"/>
      <c r="G3397" s="29"/>
      <c r="H3397" s="30"/>
      <c r="I3397" s="29"/>
      <c r="J3397" s="30"/>
      <c r="K3397" s="30"/>
      <c r="L3397" s="29"/>
      <c r="M3397" s="32" t="str">
        <f aca="false">IF(OR(C3397="",L3397=""),"",IF(C3397=L3397,"同一","変更"))</f>
        <v/>
      </c>
      <c r="N3397" s="29"/>
      <c r="O3397" s="30"/>
      <c r="P3397" s="29"/>
      <c r="Q3397" s="31"/>
      <c r="R3397" s="29"/>
      <c r="S3397" s="29"/>
      <c r="T3397" s="30"/>
      <c r="U3397" s="47" t="str">
        <f aca="false">IF(AND(B3397&lt;&gt;"",B3397=SW別シート!$C$3),COUNTIF(B$5:B3397,B3397),"")</f>
        <v/>
      </c>
      <c r="V3397" s="47" t="n">
        <f aca="false">V3396+IF(OR(O3397&lt;&gt;"",W3397&lt;&gt;""),1,0)</f>
        <v>3</v>
      </c>
      <c r="W3397" s="29"/>
    </row>
    <row r="3398" customFormat="false" ht="15" hidden="false" customHeight="false" outlineLevel="0" collapsed="false">
      <c r="A3398" s="32" t="str">
        <f aca="false">IF(B3398="","",ROW()-7)</f>
        <v/>
      </c>
      <c r="B3398" s="30"/>
      <c r="C3398" s="29"/>
      <c r="D3398" s="29"/>
      <c r="E3398" s="29"/>
      <c r="F3398" s="30"/>
      <c r="G3398" s="29"/>
      <c r="H3398" s="30"/>
      <c r="I3398" s="29"/>
      <c r="J3398" s="30"/>
      <c r="K3398" s="30"/>
      <c r="L3398" s="29"/>
      <c r="M3398" s="32" t="str">
        <f aca="false">IF(OR(C3398="",L3398=""),"",IF(C3398=L3398,"同一","変更"))</f>
        <v/>
      </c>
      <c r="N3398" s="29"/>
      <c r="O3398" s="30"/>
      <c r="P3398" s="29"/>
      <c r="Q3398" s="31"/>
      <c r="R3398" s="29"/>
      <c r="S3398" s="29"/>
      <c r="T3398" s="30"/>
      <c r="U3398" s="47" t="str">
        <f aca="false">IF(AND(B3398&lt;&gt;"",B3398=SW別シート!$C$3),COUNTIF(B$5:B3398,B3398),"")</f>
        <v/>
      </c>
      <c r="V3398" s="47" t="n">
        <f aca="false">V3397+IF(OR(O3398&lt;&gt;"",W3398&lt;&gt;""),1,0)</f>
        <v>3</v>
      </c>
      <c r="W3398" s="29"/>
    </row>
    <row r="3399" customFormat="false" ht="15" hidden="false" customHeight="false" outlineLevel="0" collapsed="false">
      <c r="A3399" s="32" t="str">
        <f aca="false">IF(B3399="","",ROW()-7)</f>
        <v/>
      </c>
      <c r="B3399" s="30"/>
      <c r="C3399" s="29"/>
      <c r="D3399" s="29"/>
      <c r="E3399" s="29"/>
      <c r="F3399" s="30"/>
      <c r="G3399" s="29"/>
      <c r="H3399" s="30"/>
      <c r="I3399" s="29"/>
      <c r="J3399" s="30"/>
      <c r="K3399" s="30"/>
      <c r="L3399" s="29"/>
      <c r="M3399" s="32" t="str">
        <f aca="false">IF(OR(C3399="",L3399=""),"",IF(C3399=L3399,"同一","変更"))</f>
        <v/>
      </c>
      <c r="N3399" s="29"/>
      <c r="O3399" s="30"/>
      <c r="P3399" s="29"/>
      <c r="Q3399" s="31"/>
      <c r="R3399" s="29"/>
      <c r="S3399" s="29"/>
      <c r="T3399" s="30"/>
      <c r="U3399" s="47" t="str">
        <f aca="false">IF(AND(B3399&lt;&gt;"",B3399=SW別シート!$C$3),COUNTIF(B$5:B3399,B3399),"")</f>
        <v/>
      </c>
      <c r="V3399" s="47" t="n">
        <f aca="false">V3398+IF(OR(O3399&lt;&gt;"",W3399&lt;&gt;""),1,0)</f>
        <v>3</v>
      </c>
      <c r="W3399" s="29"/>
    </row>
    <row r="3400" customFormat="false" ht="15" hidden="false" customHeight="false" outlineLevel="0" collapsed="false">
      <c r="A3400" s="32" t="str">
        <f aca="false">IF(B3400="","",ROW()-7)</f>
        <v/>
      </c>
      <c r="B3400" s="30"/>
      <c r="C3400" s="29"/>
      <c r="D3400" s="29"/>
      <c r="E3400" s="29"/>
      <c r="F3400" s="30"/>
      <c r="G3400" s="29"/>
      <c r="H3400" s="30"/>
      <c r="I3400" s="29"/>
      <c r="J3400" s="30"/>
      <c r="K3400" s="30"/>
      <c r="L3400" s="29"/>
      <c r="M3400" s="32" t="str">
        <f aca="false">IF(OR(C3400="",L3400=""),"",IF(C3400=L3400,"同一","変更"))</f>
        <v/>
      </c>
      <c r="N3400" s="29"/>
      <c r="O3400" s="30"/>
      <c r="P3400" s="29"/>
      <c r="Q3400" s="31"/>
      <c r="R3400" s="29"/>
      <c r="S3400" s="29"/>
      <c r="T3400" s="30"/>
      <c r="U3400" s="47" t="str">
        <f aca="false">IF(AND(B3400&lt;&gt;"",B3400=SW別シート!$C$3),COUNTIF(B$5:B3400,B3400),"")</f>
        <v/>
      </c>
      <c r="V3400" s="47" t="n">
        <f aca="false">V3399+IF(OR(O3400&lt;&gt;"",W3400&lt;&gt;""),1,0)</f>
        <v>3</v>
      </c>
      <c r="W3400" s="29"/>
    </row>
    <row r="3401" customFormat="false" ht="15" hidden="false" customHeight="false" outlineLevel="0" collapsed="false">
      <c r="A3401" s="32" t="str">
        <f aca="false">IF(B3401="","",ROW()-7)</f>
        <v/>
      </c>
      <c r="B3401" s="30"/>
      <c r="C3401" s="29"/>
      <c r="D3401" s="29"/>
      <c r="E3401" s="29"/>
      <c r="F3401" s="30"/>
      <c r="G3401" s="29"/>
      <c r="H3401" s="30"/>
      <c r="I3401" s="29"/>
      <c r="J3401" s="30"/>
      <c r="K3401" s="30"/>
      <c r="L3401" s="29"/>
      <c r="M3401" s="32" t="str">
        <f aca="false">IF(OR(C3401="",L3401=""),"",IF(C3401=L3401,"同一","変更"))</f>
        <v/>
      </c>
      <c r="N3401" s="29"/>
      <c r="O3401" s="30"/>
      <c r="P3401" s="29"/>
      <c r="Q3401" s="31"/>
      <c r="R3401" s="29"/>
      <c r="S3401" s="29"/>
      <c r="T3401" s="30"/>
      <c r="U3401" s="47" t="str">
        <f aca="false">IF(AND(B3401&lt;&gt;"",B3401=SW別シート!$C$3),COUNTIF(B$5:B3401,B3401),"")</f>
        <v/>
      </c>
      <c r="V3401" s="47" t="n">
        <f aca="false">V3400+IF(OR(O3401&lt;&gt;"",W3401&lt;&gt;""),1,0)</f>
        <v>3</v>
      </c>
      <c r="W3401" s="29"/>
    </row>
    <row r="3402" customFormat="false" ht="15" hidden="false" customHeight="false" outlineLevel="0" collapsed="false">
      <c r="A3402" s="32" t="str">
        <f aca="false">IF(B3402="","",ROW()-7)</f>
        <v/>
      </c>
      <c r="B3402" s="30"/>
      <c r="C3402" s="29"/>
      <c r="D3402" s="29"/>
      <c r="E3402" s="29"/>
      <c r="F3402" s="30"/>
      <c r="G3402" s="29"/>
      <c r="H3402" s="30"/>
      <c r="I3402" s="29"/>
      <c r="J3402" s="30"/>
      <c r="K3402" s="30"/>
      <c r="L3402" s="29"/>
      <c r="M3402" s="32" t="str">
        <f aca="false">IF(OR(C3402="",L3402=""),"",IF(C3402=L3402,"同一","変更"))</f>
        <v/>
      </c>
      <c r="N3402" s="29"/>
      <c r="O3402" s="30"/>
      <c r="P3402" s="29"/>
      <c r="Q3402" s="31"/>
      <c r="R3402" s="29"/>
      <c r="S3402" s="29"/>
      <c r="T3402" s="30"/>
      <c r="U3402" s="47" t="str">
        <f aca="false">IF(AND(B3402&lt;&gt;"",B3402=SW別シート!$C$3),COUNTIF(B$5:B3402,B3402),"")</f>
        <v/>
      </c>
      <c r="V3402" s="47" t="n">
        <f aca="false">V3401+IF(OR(O3402&lt;&gt;"",W3402&lt;&gt;""),1,0)</f>
        <v>3</v>
      </c>
      <c r="W3402" s="29"/>
    </row>
    <row r="3403" customFormat="false" ht="15" hidden="false" customHeight="false" outlineLevel="0" collapsed="false">
      <c r="A3403" s="32" t="str">
        <f aca="false">IF(B3403="","",ROW()-7)</f>
        <v/>
      </c>
      <c r="B3403" s="30"/>
      <c r="C3403" s="29"/>
      <c r="D3403" s="29"/>
      <c r="E3403" s="29"/>
      <c r="F3403" s="30"/>
      <c r="G3403" s="29"/>
      <c r="H3403" s="30"/>
      <c r="I3403" s="29"/>
      <c r="J3403" s="30"/>
      <c r="K3403" s="30"/>
      <c r="L3403" s="29"/>
      <c r="M3403" s="32" t="str">
        <f aca="false">IF(OR(C3403="",L3403=""),"",IF(C3403=L3403,"同一","変更"))</f>
        <v/>
      </c>
      <c r="N3403" s="29"/>
      <c r="O3403" s="30"/>
      <c r="P3403" s="29"/>
      <c r="Q3403" s="31"/>
      <c r="R3403" s="29"/>
      <c r="S3403" s="29"/>
      <c r="T3403" s="30"/>
      <c r="U3403" s="47" t="str">
        <f aca="false">IF(AND(B3403&lt;&gt;"",B3403=SW別シート!$C$3),COUNTIF(B$5:B3403,B3403),"")</f>
        <v/>
      </c>
      <c r="V3403" s="47" t="n">
        <f aca="false">V3402+IF(OR(O3403&lt;&gt;"",W3403&lt;&gt;""),1,0)</f>
        <v>3</v>
      </c>
      <c r="W3403" s="29"/>
    </row>
    <row r="3404" customFormat="false" ht="15" hidden="false" customHeight="false" outlineLevel="0" collapsed="false">
      <c r="A3404" s="32" t="str">
        <f aca="false">IF(B3404="","",ROW()-7)</f>
        <v/>
      </c>
      <c r="B3404" s="30"/>
      <c r="C3404" s="29"/>
      <c r="D3404" s="29"/>
      <c r="E3404" s="29"/>
      <c r="F3404" s="30"/>
      <c r="G3404" s="29"/>
      <c r="H3404" s="30"/>
      <c r="I3404" s="29"/>
      <c r="J3404" s="30"/>
      <c r="K3404" s="30"/>
      <c r="L3404" s="29"/>
      <c r="M3404" s="32" t="str">
        <f aca="false">IF(OR(C3404="",L3404=""),"",IF(C3404=L3404,"同一","変更"))</f>
        <v/>
      </c>
      <c r="N3404" s="29"/>
      <c r="O3404" s="30"/>
      <c r="P3404" s="29"/>
      <c r="Q3404" s="31"/>
      <c r="R3404" s="29"/>
      <c r="S3404" s="29"/>
      <c r="T3404" s="30"/>
      <c r="U3404" s="47" t="str">
        <f aca="false">IF(AND(B3404&lt;&gt;"",B3404=SW別シート!$C$3),COUNTIF(B$5:B3404,B3404),"")</f>
        <v/>
      </c>
      <c r="V3404" s="47" t="n">
        <f aca="false">V3403+IF(OR(O3404&lt;&gt;"",W3404&lt;&gt;""),1,0)</f>
        <v>3</v>
      </c>
      <c r="W3404" s="29"/>
    </row>
    <row r="3405" customFormat="false" ht="15" hidden="false" customHeight="false" outlineLevel="0" collapsed="false">
      <c r="A3405" s="32" t="str">
        <f aca="false">IF(B3405="","",ROW()-7)</f>
        <v/>
      </c>
      <c r="B3405" s="30"/>
      <c r="C3405" s="29"/>
      <c r="D3405" s="29"/>
      <c r="E3405" s="29"/>
      <c r="F3405" s="30"/>
      <c r="G3405" s="29"/>
      <c r="H3405" s="30"/>
      <c r="I3405" s="29"/>
      <c r="J3405" s="30"/>
      <c r="K3405" s="30"/>
      <c r="L3405" s="29"/>
      <c r="M3405" s="32" t="str">
        <f aca="false">IF(OR(C3405="",L3405=""),"",IF(C3405=L3405,"同一","変更"))</f>
        <v/>
      </c>
      <c r="N3405" s="29"/>
      <c r="O3405" s="30"/>
      <c r="P3405" s="29"/>
      <c r="Q3405" s="31"/>
      <c r="R3405" s="29"/>
      <c r="S3405" s="29"/>
      <c r="T3405" s="30"/>
      <c r="U3405" s="47" t="str">
        <f aca="false">IF(AND(B3405&lt;&gt;"",B3405=SW別シート!$C$3),COUNTIF(B$5:B3405,B3405),"")</f>
        <v/>
      </c>
      <c r="V3405" s="47" t="n">
        <f aca="false">V3404+IF(OR(O3405&lt;&gt;"",W3405&lt;&gt;""),1,0)</f>
        <v>3</v>
      </c>
      <c r="W3405" s="29"/>
    </row>
    <row r="3406" customFormat="false" ht="15" hidden="false" customHeight="false" outlineLevel="0" collapsed="false">
      <c r="A3406" s="32" t="str">
        <f aca="false">IF(B3406="","",ROW()-7)</f>
        <v/>
      </c>
      <c r="B3406" s="30"/>
      <c r="C3406" s="29"/>
      <c r="D3406" s="29"/>
      <c r="E3406" s="29"/>
      <c r="F3406" s="30"/>
      <c r="G3406" s="29"/>
      <c r="H3406" s="30"/>
      <c r="I3406" s="29"/>
      <c r="J3406" s="30"/>
      <c r="K3406" s="30"/>
      <c r="L3406" s="29"/>
      <c r="M3406" s="32" t="str">
        <f aca="false">IF(OR(C3406="",L3406=""),"",IF(C3406=L3406,"同一","変更"))</f>
        <v/>
      </c>
      <c r="N3406" s="29"/>
      <c r="O3406" s="30"/>
      <c r="P3406" s="29"/>
      <c r="Q3406" s="31"/>
      <c r="R3406" s="29"/>
      <c r="S3406" s="29"/>
      <c r="T3406" s="30"/>
      <c r="U3406" s="47" t="str">
        <f aca="false">IF(AND(B3406&lt;&gt;"",B3406=SW別シート!$C$3),COUNTIF(B$5:B3406,B3406),"")</f>
        <v/>
      </c>
      <c r="V3406" s="47" t="n">
        <f aca="false">V3405+IF(OR(O3406&lt;&gt;"",W3406&lt;&gt;""),1,0)</f>
        <v>3</v>
      </c>
      <c r="W3406" s="29"/>
    </row>
    <row r="3407" customFormat="false" ht="15" hidden="false" customHeight="false" outlineLevel="0" collapsed="false">
      <c r="A3407" s="32" t="str">
        <f aca="false">IF(B3407="","",ROW()-7)</f>
        <v/>
      </c>
      <c r="B3407" s="30"/>
      <c r="C3407" s="29"/>
      <c r="D3407" s="29"/>
      <c r="E3407" s="29"/>
      <c r="F3407" s="30"/>
      <c r="G3407" s="29"/>
      <c r="H3407" s="30"/>
      <c r="I3407" s="29"/>
      <c r="J3407" s="30"/>
      <c r="K3407" s="30"/>
      <c r="L3407" s="29"/>
      <c r="M3407" s="32" t="str">
        <f aca="false">IF(OR(C3407="",L3407=""),"",IF(C3407=L3407,"同一","変更"))</f>
        <v/>
      </c>
      <c r="N3407" s="29"/>
      <c r="O3407" s="30"/>
      <c r="P3407" s="29"/>
      <c r="Q3407" s="31"/>
      <c r="R3407" s="29"/>
      <c r="S3407" s="29"/>
      <c r="T3407" s="30"/>
      <c r="U3407" s="47" t="str">
        <f aca="false">IF(AND(B3407&lt;&gt;"",B3407=SW別シート!$C$3),COUNTIF(B$5:B3407,B3407),"")</f>
        <v/>
      </c>
      <c r="V3407" s="47" t="n">
        <f aca="false">V3406+IF(OR(O3407&lt;&gt;"",W3407&lt;&gt;""),1,0)</f>
        <v>3</v>
      </c>
      <c r="W3407" s="29"/>
    </row>
    <row r="3408" customFormat="false" ht="15" hidden="false" customHeight="false" outlineLevel="0" collapsed="false">
      <c r="A3408" s="32" t="str">
        <f aca="false">IF(B3408="","",ROW()-7)</f>
        <v/>
      </c>
      <c r="B3408" s="30"/>
      <c r="C3408" s="29"/>
      <c r="D3408" s="29"/>
      <c r="E3408" s="29"/>
      <c r="F3408" s="30"/>
      <c r="G3408" s="29"/>
      <c r="H3408" s="30"/>
      <c r="I3408" s="29"/>
      <c r="J3408" s="30"/>
      <c r="K3408" s="30"/>
      <c r="L3408" s="29"/>
      <c r="M3408" s="32" t="str">
        <f aca="false">IF(OR(C3408="",L3408=""),"",IF(C3408=L3408,"同一","変更"))</f>
        <v/>
      </c>
      <c r="N3408" s="29"/>
      <c r="O3408" s="30"/>
      <c r="P3408" s="29"/>
      <c r="Q3408" s="31"/>
      <c r="R3408" s="29"/>
      <c r="S3408" s="29"/>
      <c r="T3408" s="30"/>
      <c r="U3408" s="47" t="str">
        <f aca="false">IF(AND(B3408&lt;&gt;"",B3408=SW別シート!$C$3),COUNTIF(B$5:B3408,B3408),"")</f>
        <v/>
      </c>
      <c r="V3408" s="47" t="n">
        <f aca="false">V3407+IF(OR(O3408&lt;&gt;"",W3408&lt;&gt;""),1,0)</f>
        <v>3</v>
      </c>
      <c r="W3408" s="29"/>
    </row>
    <row r="3409" customFormat="false" ht="15" hidden="false" customHeight="false" outlineLevel="0" collapsed="false">
      <c r="A3409" s="32" t="str">
        <f aca="false">IF(B3409="","",ROW()-7)</f>
        <v/>
      </c>
      <c r="B3409" s="30"/>
      <c r="C3409" s="29"/>
      <c r="D3409" s="29"/>
      <c r="E3409" s="29"/>
      <c r="F3409" s="30"/>
      <c r="G3409" s="29"/>
      <c r="H3409" s="30"/>
      <c r="I3409" s="29"/>
      <c r="J3409" s="30"/>
      <c r="K3409" s="30"/>
      <c r="L3409" s="29"/>
      <c r="M3409" s="32" t="str">
        <f aca="false">IF(OR(C3409="",L3409=""),"",IF(C3409=L3409,"同一","変更"))</f>
        <v/>
      </c>
      <c r="N3409" s="29"/>
      <c r="O3409" s="30"/>
      <c r="P3409" s="29"/>
      <c r="Q3409" s="31"/>
      <c r="R3409" s="29"/>
      <c r="S3409" s="29"/>
      <c r="T3409" s="30"/>
      <c r="U3409" s="47" t="str">
        <f aca="false">IF(AND(B3409&lt;&gt;"",B3409=SW別シート!$C$3),COUNTIF(B$5:B3409,B3409),"")</f>
        <v/>
      </c>
      <c r="V3409" s="47" t="n">
        <f aca="false">V3408+IF(OR(O3409&lt;&gt;"",W3409&lt;&gt;""),1,0)</f>
        <v>3</v>
      </c>
      <c r="W3409" s="29"/>
    </row>
    <row r="3410" customFormat="false" ht="15" hidden="false" customHeight="false" outlineLevel="0" collapsed="false">
      <c r="A3410" s="32" t="str">
        <f aca="false">IF(B3410="","",ROW()-7)</f>
        <v/>
      </c>
      <c r="B3410" s="30"/>
      <c r="C3410" s="29"/>
      <c r="D3410" s="29"/>
      <c r="E3410" s="29"/>
      <c r="F3410" s="30"/>
      <c r="G3410" s="29"/>
      <c r="H3410" s="30"/>
      <c r="I3410" s="29"/>
      <c r="J3410" s="30"/>
      <c r="K3410" s="30"/>
      <c r="L3410" s="29"/>
      <c r="M3410" s="32" t="str">
        <f aca="false">IF(OR(C3410="",L3410=""),"",IF(C3410=L3410,"同一","変更"))</f>
        <v/>
      </c>
      <c r="N3410" s="29"/>
      <c r="O3410" s="30"/>
      <c r="P3410" s="29"/>
      <c r="Q3410" s="31"/>
      <c r="R3410" s="29"/>
      <c r="S3410" s="29"/>
      <c r="T3410" s="30"/>
      <c r="U3410" s="47" t="str">
        <f aca="false">IF(AND(B3410&lt;&gt;"",B3410=SW別シート!$C$3),COUNTIF(B$5:B3410,B3410),"")</f>
        <v/>
      </c>
      <c r="V3410" s="47" t="n">
        <f aca="false">V3409+IF(OR(O3410&lt;&gt;"",W3410&lt;&gt;""),1,0)</f>
        <v>3</v>
      </c>
      <c r="W3410" s="29"/>
    </row>
    <row r="3411" customFormat="false" ht="15" hidden="false" customHeight="false" outlineLevel="0" collapsed="false">
      <c r="A3411" s="32" t="str">
        <f aca="false">IF(B3411="","",ROW()-7)</f>
        <v/>
      </c>
      <c r="B3411" s="30"/>
      <c r="C3411" s="29"/>
      <c r="D3411" s="29"/>
      <c r="E3411" s="29"/>
      <c r="F3411" s="30"/>
      <c r="G3411" s="29"/>
      <c r="H3411" s="30"/>
      <c r="I3411" s="29"/>
      <c r="J3411" s="30"/>
      <c r="K3411" s="30"/>
      <c r="L3411" s="29"/>
      <c r="M3411" s="32" t="str">
        <f aca="false">IF(OR(C3411="",L3411=""),"",IF(C3411=L3411,"同一","変更"))</f>
        <v/>
      </c>
      <c r="N3411" s="29"/>
      <c r="O3411" s="30"/>
      <c r="P3411" s="29"/>
      <c r="Q3411" s="31"/>
      <c r="R3411" s="29"/>
      <c r="S3411" s="29"/>
      <c r="T3411" s="30"/>
      <c r="U3411" s="47" t="str">
        <f aca="false">IF(AND(B3411&lt;&gt;"",B3411=SW別シート!$C$3),COUNTIF(B$5:B3411,B3411),"")</f>
        <v/>
      </c>
      <c r="V3411" s="47" t="n">
        <f aca="false">V3410+IF(OR(O3411&lt;&gt;"",W3411&lt;&gt;""),1,0)</f>
        <v>3</v>
      </c>
      <c r="W3411" s="29"/>
    </row>
    <row r="3412" customFormat="false" ht="15" hidden="false" customHeight="false" outlineLevel="0" collapsed="false">
      <c r="A3412" s="32" t="str">
        <f aca="false">IF(B3412="","",ROW()-7)</f>
        <v/>
      </c>
      <c r="B3412" s="30"/>
      <c r="C3412" s="29"/>
      <c r="D3412" s="29"/>
      <c r="E3412" s="29"/>
      <c r="F3412" s="30"/>
      <c r="G3412" s="29"/>
      <c r="H3412" s="30"/>
      <c r="I3412" s="29"/>
      <c r="J3412" s="30"/>
      <c r="K3412" s="30"/>
      <c r="L3412" s="29"/>
      <c r="M3412" s="32" t="str">
        <f aca="false">IF(OR(C3412="",L3412=""),"",IF(C3412=L3412,"同一","変更"))</f>
        <v/>
      </c>
      <c r="N3412" s="29"/>
      <c r="O3412" s="30"/>
      <c r="P3412" s="29"/>
      <c r="Q3412" s="31"/>
      <c r="R3412" s="29"/>
      <c r="S3412" s="29"/>
      <c r="T3412" s="30"/>
      <c r="U3412" s="47" t="str">
        <f aca="false">IF(AND(B3412&lt;&gt;"",B3412=SW別シート!$C$3),COUNTIF(B$5:B3412,B3412),"")</f>
        <v/>
      </c>
      <c r="V3412" s="47" t="n">
        <f aca="false">V3411+IF(OR(O3412&lt;&gt;"",W3412&lt;&gt;""),1,0)</f>
        <v>3</v>
      </c>
      <c r="W3412" s="29"/>
    </row>
    <row r="3413" customFormat="false" ht="15" hidden="false" customHeight="false" outlineLevel="0" collapsed="false">
      <c r="A3413" s="32" t="str">
        <f aca="false">IF(B3413="","",ROW()-7)</f>
        <v/>
      </c>
      <c r="B3413" s="30"/>
      <c r="C3413" s="29"/>
      <c r="D3413" s="29"/>
      <c r="E3413" s="29"/>
      <c r="F3413" s="30"/>
      <c r="G3413" s="29"/>
      <c r="H3413" s="30"/>
      <c r="I3413" s="29"/>
      <c r="J3413" s="30"/>
      <c r="K3413" s="30"/>
      <c r="L3413" s="29"/>
      <c r="M3413" s="32" t="str">
        <f aca="false">IF(OR(C3413="",L3413=""),"",IF(C3413=L3413,"同一","変更"))</f>
        <v/>
      </c>
      <c r="N3413" s="29"/>
      <c r="O3413" s="30"/>
      <c r="P3413" s="29"/>
      <c r="Q3413" s="31"/>
      <c r="R3413" s="29"/>
      <c r="S3413" s="29"/>
      <c r="T3413" s="30"/>
      <c r="U3413" s="47" t="str">
        <f aca="false">IF(AND(B3413&lt;&gt;"",B3413=SW別シート!$C$3),COUNTIF(B$5:B3413,B3413),"")</f>
        <v/>
      </c>
      <c r="V3413" s="47" t="n">
        <f aca="false">V3412+IF(OR(O3413&lt;&gt;"",W3413&lt;&gt;""),1,0)</f>
        <v>3</v>
      </c>
      <c r="W3413" s="29"/>
    </row>
    <row r="3414" customFormat="false" ht="15" hidden="false" customHeight="false" outlineLevel="0" collapsed="false">
      <c r="A3414" s="32" t="str">
        <f aca="false">IF(B3414="","",ROW()-7)</f>
        <v/>
      </c>
      <c r="B3414" s="30"/>
      <c r="C3414" s="29"/>
      <c r="D3414" s="29"/>
      <c r="E3414" s="29"/>
      <c r="F3414" s="30"/>
      <c r="G3414" s="29"/>
      <c r="H3414" s="30"/>
      <c r="I3414" s="29"/>
      <c r="J3414" s="30"/>
      <c r="K3414" s="30"/>
      <c r="L3414" s="29"/>
      <c r="M3414" s="32" t="str">
        <f aca="false">IF(OR(C3414="",L3414=""),"",IF(C3414=L3414,"同一","変更"))</f>
        <v/>
      </c>
      <c r="N3414" s="29"/>
      <c r="O3414" s="30"/>
      <c r="P3414" s="29"/>
      <c r="Q3414" s="31"/>
      <c r="R3414" s="29"/>
      <c r="S3414" s="29"/>
      <c r="T3414" s="30"/>
      <c r="U3414" s="47" t="str">
        <f aca="false">IF(AND(B3414&lt;&gt;"",B3414=SW別シート!$C$3),COUNTIF(B$5:B3414,B3414),"")</f>
        <v/>
      </c>
      <c r="V3414" s="47" t="n">
        <f aca="false">V3413+IF(OR(O3414&lt;&gt;"",W3414&lt;&gt;""),1,0)</f>
        <v>3</v>
      </c>
      <c r="W3414" s="29"/>
    </row>
    <row r="3415" customFormat="false" ht="15" hidden="false" customHeight="false" outlineLevel="0" collapsed="false">
      <c r="A3415" s="32" t="str">
        <f aca="false">IF(B3415="","",ROW()-7)</f>
        <v/>
      </c>
      <c r="B3415" s="30"/>
      <c r="C3415" s="29"/>
      <c r="D3415" s="29"/>
      <c r="E3415" s="29"/>
      <c r="F3415" s="30"/>
      <c r="G3415" s="29"/>
      <c r="H3415" s="30"/>
      <c r="I3415" s="29"/>
      <c r="J3415" s="30"/>
      <c r="K3415" s="30"/>
      <c r="L3415" s="29"/>
      <c r="M3415" s="32" t="str">
        <f aca="false">IF(OR(C3415="",L3415=""),"",IF(C3415=L3415,"同一","変更"))</f>
        <v/>
      </c>
      <c r="N3415" s="29"/>
      <c r="O3415" s="30"/>
      <c r="P3415" s="29"/>
      <c r="Q3415" s="31"/>
      <c r="R3415" s="29"/>
      <c r="S3415" s="29"/>
      <c r="T3415" s="30"/>
      <c r="U3415" s="47" t="str">
        <f aca="false">IF(AND(B3415&lt;&gt;"",B3415=SW別シート!$C$3),COUNTIF(B$5:B3415,B3415),"")</f>
        <v/>
      </c>
      <c r="V3415" s="47" t="n">
        <f aca="false">V3414+IF(OR(O3415&lt;&gt;"",W3415&lt;&gt;""),1,0)</f>
        <v>3</v>
      </c>
      <c r="W3415" s="29"/>
    </row>
    <row r="3416" customFormat="false" ht="15" hidden="false" customHeight="false" outlineLevel="0" collapsed="false">
      <c r="A3416" s="32" t="str">
        <f aca="false">IF(B3416="","",ROW()-7)</f>
        <v/>
      </c>
      <c r="B3416" s="30"/>
      <c r="C3416" s="29"/>
      <c r="D3416" s="29"/>
      <c r="E3416" s="29"/>
      <c r="F3416" s="30"/>
      <c r="G3416" s="29"/>
      <c r="H3416" s="30"/>
      <c r="I3416" s="29"/>
      <c r="J3416" s="30"/>
      <c r="K3416" s="30"/>
      <c r="L3416" s="29"/>
      <c r="M3416" s="32" t="str">
        <f aca="false">IF(OR(C3416="",L3416=""),"",IF(C3416=L3416,"同一","変更"))</f>
        <v/>
      </c>
      <c r="N3416" s="29"/>
      <c r="O3416" s="30"/>
      <c r="P3416" s="29"/>
      <c r="Q3416" s="31"/>
      <c r="R3416" s="29"/>
      <c r="S3416" s="29"/>
      <c r="T3416" s="30"/>
      <c r="U3416" s="47" t="str">
        <f aca="false">IF(AND(B3416&lt;&gt;"",B3416=SW別シート!$C$3),COUNTIF(B$5:B3416,B3416),"")</f>
        <v/>
      </c>
      <c r="V3416" s="47" t="n">
        <f aca="false">V3415+IF(OR(O3416&lt;&gt;"",W3416&lt;&gt;""),1,0)</f>
        <v>3</v>
      </c>
      <c r="W3416" s="29"/>
    </row>
    <row r="3417" customFormat="false" ht="15" hidden="false" customHeight="false" outlineLevel="0" collapsed="false">
      <c r="A3417" s="32" t="str">
        <f aca="false">IF(B3417="","",ROW()-7)</f>
        <v/>
      </c>
      <c r="B3417" s="30"/>
      <c r="C3417" s="29"/>
      <c r="D3417" s="29"/>
      <c r="E3417" s="29"/>
      <c r="F3417" s="30"/>
      <c r="G3417" s="29"/>
      <c r="H3417" s="30"/>
      <c r="I3417" s="29"/>
      <c r="J3417" s="30"/>
      <c r="K3417" s="30"/>
      <c r="L3417" s="29"/>
      <c r="M3417" s="32" t="str">
        <f aca="false">IF(OR(C3417="",L3417=""),"",IF(C3417=L3417,"同一","変更"))</f>
        <v/>
      </c>
      <c r="N3417" s="29"/>
      <c r="O3417" s="30"/>
      <c r="P3417" s="29"/>
      <c r="Q3417" s="31"/>
      <c r="R3417" s="29"/>
      <c r="S3417" s="29"/>
      <c r="T3417" s="30"/>
      <c r="U3417" s="47" t="str">
        <f aca="false">IF(AND(B3417&lt;&gt;"",B3417=SW別シート!$C$3),COUNTIF(B$5:B3417,B3417),"")</f>
        <v/>
      </c>
      <c r="V3417" s="47" t="n">
        <f aca="false">V3416+IF(OR(O3417&lt;&gt;"",W3417&lt;&gt;""),1,0)</f>
        <v>3</v>
      </c>
      <c r="W3417" s="29"/>
    </row>
    <row r="3418" customFormat="false" ht="15" hidden="false" customHeight="false" outlineLevel="0" collapsed="false">
      <c r="A3418" s="32" t="str">
        <f aca="false">IF(B3418="","",ROW()-7)</f>
        <v/>
      </c>
      <c r="B3418" s="30"/>
      <c r="C3418" s="29"/>
      <c r="D3418" s="29"/>
      <c r="E3418" s="29"/>
      <c r="F3418" s="30"/>
      <c r="G3418" s="29"/>
      <c r="H3418" s="30"/>
      <c r="I3418" s="29"/>
      <c r="J3418" s="30"/>
      <c r="K3418" s="30"/>
      <c r="L3418" s="29"/>
      <c r="M3418" s="32" t="str">
        <f aca="false">IF(OR(C3418="",L3418=""),"",IF(C3418=L3418,"同一","変更"))</f>
        <v/>
      </c>
      <c r="N3418" s="29"/>
      <c r="O3418" s="30"/>
      <c r="P3418" s="29"/>
      <c r="Q3418" s="31"/>
      <c r="R3418" s="29"/>
      <c r="S3418" s="29"/>
      <c r="T3418" s="30"/>
      <c r="U3418" s="47" t="str">
        <f aca="false">IF(AND(B3418&lt;&gt;"",B3418=SW別シート!$C$3),COUNTIF(B$5:B3418,B3418),"")</f>
        <v/>
      </c>
      <c r="V3418" s="47" t="n">
        <f aca="false">V3417+IF(OR(O3418&lt;&gt;"",W3418&lt;&gt;""),1,0)</f>
        <v>3</v>
      </c>
      <c r="W3418" s="29"/>
    </row>
    <row r="3419" customFormat="false" ht="15" hidden="false" customHeight="false" outlineLevel="0" collapsed="false">
      <c r="A3419" s="32" t="str">
        <f aca="false">IF(B3419="","",ROW()-7)</f>
        <v/>
      </c>
      <c r="B3419" s="30"/>
      <c r="C3419" s="29"/>
      <c r="D3419" s="29"/>
      <c r="E3419" s="29"/>
      <c r="F3419" s="30"/>
      <c r="G3419" s="29"/>
      <c r="H3419" s="30"/>
      <c r="I3419" s="29"/>
      <c r="J3419" s="30"/>
      <c r="K3419" s="30"/>
      <c r="L3419" s="29"/>
      <c r="M3419" s="32" t="str">
        <f aca="false">IF(OR(C3419="",L3419=""),"",IF(C3419=L3419,"同一","変更"))</f>
        <v/>
      </c>
      <c r="N3419" s="29"/>
      <c r="O3419" s="30"/>
      <c r="P3419" s="29"/>
      <c r="Q3419" s="31"/>
      <c r="R3419" s="29"/>
      <c r="S3419" s="29"/>
      <c r="T3419" s="30"/>
      <c r="U3419" s="47" t="str">
        <f aca="false">IF(AND(B3419&lt;&gt;"",B3419=SW別シート!$C$3),COUNTIF(B$5:B3419,B3419),"")</f>
        <v/>
      </c>
      <c r="V3419" s="47" t="n">
        <f aca="false">V3418+IF(OR(O3419&lt;&gt;"",W3419&lt;&gt;""),1,0)</f>
        <v>3</v>
      </c>
      <c r="W3419" s="29"/>
    </row>
    <row r="3420" customFormat="false" ht="15" hidden="false" customHeight="false" outlineLevel="0" collapsed="false">
      <c r="A3420" s="32" t="str">
        <f aca="false">IF(B3420="","",ROW()-7)</f>
        <v/>
      </c>
      <c r="B3420" s="30"/>
      <c r="C3420" s="29"/>
      <c r="D3420" s="29"/>
      <c r="E3420" s="29"/>
      <c r="F3420" s="30"/>
      <c r="G3420" s="29"/>
      <c r="H3420" s="30"/>
      <c r="I3420" s="29"/>
      <c r="J3420" s="30"/>
      <c r="K3420" s="30"/>
      <c r="L3420" s="29"/>
      <c r="M3420" s="32" t="str">
        <f aca="false">IF(OR(C3420="",L3420=""),"",IF(C3420=L3420,"同一","変更"))</f>
        <v/>
      </c>
      <c r="N3420" s="29"/>
      <c r="O3420" s="30"/>
      <c r="P3420" s="29"/>
      <c r="Q3420" s="31"/>
      <c r="R3420" s="29"/>
      <c r="S3420" s="29"/>
      <c r="T3420" s="30"/>
      <c r="U3420" s="47" t="str">
        <f aca="false">IF(AND(B3420&lt;&gt;"",B3420=SW別シート!$C$3),COUNTIF(B$5:B3420,B3420),"")</f>
        <v/>
      </c>
      <c r="V3420" s="47" t="n">
        <f aca="false">V3419+IF(OR(O3420&lt;&gt;"",W3420&lt;&gt;""),1,0)</f>
        <v>3</v>
      </c>
      <c r="W3420" s="29"/>
    </row>
    <row r="3421" customFormat="false" ht="15" hidden="false" customHeight="false" outlineLevel="0" collapsed="false">
      <c r="A3421" s="32" t="str">
        <f aca="false">IF(B3421="","",ROW()-7)</f>
        <v/>
      </c>
      <c r="B3421" s="30"/>
      <c r="C3421" s="29"/>
      <c r="D3421" s="29"/>
      <c r="E3421" s="29"/>
      <c r="F3421" s="30"/>
      <c r="G3421" s="29"/>
      <c r="H3421" s="30"/>
      <c r="I3421" s="29"/>
      <c r="J3421" s="30"/>
      <c r="K3421" s="30"/>
      <c r="L3421" s="29"/>
      <c r="M3421" s="32" t="str">
        <f aca="false">IF(OR(C3421="",L3421=""),"",IF(C3421=L3421,"同一","変更"))</f>
        <v/>
      </c>
      <c r="N3421" s="29"/>
      <c r="O3421" s="30"/>
      <c r="P3421" s="29"/>
      <c r="Q3421" s="31"/>
      <c r="R3421" s="29"/>
      <c r="S3421" s="29"/>
      <c r="T3421" s="30"/>
      <c r="U3421" s="47" t="str">
        <f aca="false">IF(AND(B3421&lt;&gt;"",B3421=SW別シート!$C$3),COUNTIF(B$5:B3421,B3421),"")</f>
        <v/>
      </c>
      <c r="V3421" s="47" t="n">
        <f aca="false">V3420+IF(OR(O3421&lt;&gt;"",W3421&lt;&gt;""),1,0)</f>
        <v>3</v>
      </c>
      <c r="W3421" s="29"/>
    </row>
    <row r="3422" customFormat="false" ht="15" hidden="false" customHeight="false" outlineLevel="0" collapsed="false">
      <c r="A3422" s="32" t="str">
        <f aca="false">IF(B3422="","",ROW()-7)</f>
        <v/>
      </c>
      <c r="B3422" s="30"/>
      <c r="C3422" s="29"/>
      <c r="D3422" s="29"/>
      <c r="E3422" s="29"/>
      <c r="F3422" s="30"/>
      <c r="G3422" s="29"/>
      <c r="H3422" s="30"/>
      <c r="I3422" s="29"/>
      <c r="J3422" s="30"/>
      <c r="K3422" s="30"/>
      <c r="L3422" s="29"/>
      <c r="M3422" s="32" t="str">
        <f aca="false">IF(OR(C3422="",L3422=""),"",IF(C3422=L3422,"同一","変更"))</f>
        <v/>
      </c>
      <c r="N3422" s="29"/>
      <c r="O3422" s="30"/>
      <c r="P3422" s="29"/>
      <c r="Q3422" s="31"/>
      <c r="R3422" s="29"/>
      <c r="S3422" s="29"/>
      <c r="T3422" s="30"/>
      <c r="U3422" s="47" t="str">
        <f aca="false">IF(AND(B3422&lt;&gt;"",B3422=SW別シート!$C$3),COUNTIF(B$5:B3422,B3422),"")</f>
        <v/>
      </c>
      <c r="V3422" s="47" t="n">
        <f aca="false">V3421+IF(OR(O3422&lt;&gt;"",W3422&lt;&gt;""),1,0)</f>
        <v>3</v>
      </c>
      <c r="W3422" s="29"/>
    </row>
    <row r="3423" customFormat="false" ht="15" hidden="false" customHeight="false" outlineLevel="0" collapsed="false">
      <c r="A3423" s="32" t="str">
        <f aca="false">IF(B3423="","",ROW()-7)</f>
        <v/>
      </c>
      <c r="B3423" s="30"/>
      <c r="C3423" s="29"/>
      <c r="D3423" s="29"/>
      <c r="E3423" s="29"/>
      <c r="F3423" s="30"/>
      <c r="G3423" s="29"/>
      <c r="H3423" s="30"/>
      <c r="I3423" s="29"/>
      <c r="J3423" s="30"/>
      <c r="K3423" s="30"/>
      <c r="L3423" s="29"/>
      <c r="M3423" s="32" t="str">
        <f aca="false">IF(OR(C3423="",L3423=""),"",IF(C3423=L3423,"同一","変更"))</f>
        <v/>
      </c>
      <c r="N3423" s="29"/>
      <c r="O3423" s="30"/>
      <c r="P3423" s="29"/>
      <c r="Q3423" s="31"/>
      <c r="R3423" s="29"/>
      <c r="S3423" s="29"/>
      <c r="T3423" s="30"/>
      <c r="U3423" s="47" t="str">
        <f aca="false">IF(AND(B3423&lt;&gt;"",B3423=SW別シート!$C$3),COUNTIF(B$5:B3423,B3423),"")</f>
        <v/>
      </c>
      <c r="V3423" s="47" t="n">
        <f aca="false">V3422+IF(OR(O3423&lt;&gt;"",W3423&lt;&gt;""),1,0)</f>
        <v>3</v>
      </c>
      <c r="W3423" s="29"/>
    </row>
    <row r="3424" customFormat="false" ht="15" hidden="false" customHeight="false" outlineLevel="0" collapsed="false">
      <c r="A3424" s="32" t="str">
        <f aca="false">IF(B3424="","",ROW()-7)</f>
        <v/>
      </c>
      <c r="B3424" s="30"/>
      <c r="C3424" s="29"/>
      <c r="D3424" s="29"/>
      <c r="E3424" s="29"/>
      <c r="F3424" s="30"/>
      <c r="G3424" s="29"/>
      <c r="H3424" s="30"/>
      <c r="I3424" s="29"/>
      <c r="J3424" s="30"/>
      <c r="K3424" s="30"/>
      <c r="L3424" s="29"/>
      <c r="M3424" s="32" t="str">
        <f aca="false">IF(OR(C3424="",L3424=""),"",IF(C3424=L3424,"同一","変更"))</f>
        <v/>
      </c>
      <c r="N3424" s="29"/>
      <c r="O3424" s="30"/>
      <c r="P3424" s="29"/>
      <c r="Q3424" s="31"/>
      <c r="R3424" s="29"/>
      <c r="S3424" s="29"/>
      <c r="T3424" s="30"/>
      <c r="U3424" s="47" t="str">
        <f aca="false">IF(AND(B3424&lt;&gt;"",B3424=SW別シート!$C$3),COUNTIF(B$5:B3424,B3424),"")</f>
        <v/>
      </c>
      <c r="V3424" s="47" t="n">
        <f aca="false">V3423+IF(OR(O3424&lt;&gt;"",W3424&lt;&gt;""),1,0)</f>
        <v>3</v>
      </c>
      <c r="W3424" s="29"/>
    </row>
    <row r="3425" customFormat="false" ht="15" hidden="false" customHeight="false" outlineLevel="0" collapsed="false">
      <c r="A3425" s="32" t="str">
        <f aca="false">IF(B3425="","",ROW()-7)</f>
        <v/>
      </c>
      <c r="B3425" s="30"/>
      <c r="C3425" s="29"/>
      <c r="D3425" s="29"/>
      <c r="E3425" s="29"/>
      <c r="F3425" s="30"/>
      <c r="G3425" s="29"/>
      <c r="H3425" s="30"/>
      <c r="I3425" s="29"/>
      <c r="J3425" s="30"/>
      <c r="K3425" s="30"/>
      <c r="L3425" s="29"/>
      <c r="M3425" s="32" t="str">
        <f aca="false">IF(OR(C3425="",L3425=""),"",IF(C3425=L3425,"同一","変更"))</f>
        <v/>
      </c>
      <c r="N3425" s="29"/>
      <c r="O3425" s="30"/>
      <c r="P3425" s="29"/>
      <c r="Q3425" s="31"/>
      <c r="R3425" s="29"/>
      <c r="S3425" s="29"/>
      <c r="T3425" s="30"/>
      <c r="U3425" s="47" t="str">
        <f aca="false">IF(AND(B3425&lt;&gt;"",B3425=SW別シート!$C$3),COUNTIF(B$5:B3425,B3425),"")</f>
        <v/>
      </c>
      <c r="V3425" s="47" t="n">
        <f aca="false">V3424+IF(OR(O3425&lt;&gt;"",W3425&lt;&gt;""),1,0)</f>
        <v>3</v>
      </c>
      <c r="W3425" s="29"/>
    </row>
    <row r="3426" customFormat="false" ht="15" hidden="false" customHeight="false" outlineLevel="0" collapsed="false">
      <c r="A3426" s="32" t="str">
        <f aca="false">IF(B3426="","",ROW()-7)</f>
        <v/>
      </c>
      <c r="B3426" s="30"/>
      <c r="C3426" s="29"/>
      <c r="D3426" s="29"/>
      <c r="E3426" s="29"/>
      <c r="F3426" s="30"/>
      <c r="G3426" s="29"/>
      <c r="H3426" s="30"/>
      <c r="I3426" s="29"/>
      <c r="J3426" s="30"/>
      <c r="K3426" s="30"/>
      <c r="L3426" s="29"/>
      <c r="M3426" s="32" t="str">
        <f aca="false">IF(OR(C3426="",L3426=""),"",IF(C3426=L3426,"同一","変更"))</f>
        <v/>
      </c>
      <c r="N3426" s="29"/>
      <c r="O3426" s="30"/>
      <c r="P3426" s="29"/>
      <c r="Q3426" s="31"/>
      <c r="R3426" s="29"/>
      <c r="S3426" s="29"/>
      <c r="T3426" s="30"/>
      <c r="U3426" s="47" t="str">
        <f aca="false">IF(AND(B3426&lt;&gt;"",B3426=SW別シート!$C$3),COUNTIF(B$5:B3426,B3426),"")</f>
        <v/>
      </c>
      <c r="V3426" s="47" t="n">
        <f aca="false">V3425+IF(OR(O3426&lt;&gt;"",W3426&lt;&gt;""),1,0)</f>
        <v>3</v>
      </c>
      <c r="W3426" s="29"/>
    </row>
    <row r="3427" customFormat="false" ht="15" hidden="false" customHeight="false" outlineLevel="0" collapsed="false">
      <c r="A3427" s="32" t="str">
        <f aca="false">IF(B3427="","",ROW()-7)</f>
        <v/>
      </c>
      <c r="B3427" s="30"/>
      <c r="C3427" s="29"/>
      <c r="D3427" s="29"/>
      <c r="E3427" s="29"/>
      <c r="F3427" s="30"/>
      <c r="G3427" s="29"/>
      <c r="H3427" s="30"/>
      <c r="I3427" s="29"/>
      <c r="J3427" s="30"/>
      <c r="K3427" s="30"/>
      <c r="L3427" s="29"/>
      <c r="M3427" s="32" t="str">
        <f aca="false">IF(OR(C3427="",L3427=""),"",IF(C3427=L3427,"同一","変更"))</f>
        <v/>
      </c>
      <c r="N3427" s="29"/>
      <c r="O3427" s="30"/>
      <c r="P3427" s="29"/>
      <c r="Q3427" s="31"/>
      <c r="R3427" s="29"/>
      <c r="S3427" s="29"/>
      <c r="T3427" s="30"/>
      <c r="U3427" s="47" t="str">
        <f aca="false">IF(AND(B3427&lt;&gt;"",B3427=SW別シート!$C$3),COUNTIF(B$5:B3427,B3427),"")</f>
        <v/>
      </c>
      <c r="V3427" s="47" t="n">
        <f aca="false">V3426+IF(OR(O3427&lt;&gt;"",W3427&lt;&gt;""),1,0)</f>
        <v>3</v>
      </c>
      <c r="W3427" s="29"/>
    </row>
    <row r="3428" customFormat="false" ht="15" hidden="false" customHeight="false" outlineLevel="0" collapsed="false">
      <c r="A3428" s="32" t="str">
        <f aca="false">IF(B3428="","",ROW()-7)</f>
        <v/>
      </c>
      <c r="B3428" s="30"/>
      <c r="C3428" s="29"/>
      <c r="D3428" s="29"/>
      <c r="E3428" s="29"/>
      <c r="F3428" s="30"/>
      <c r="G3428" s="29"/>
      <c r="H3428" s="30"/>
      <c r="I3428" s="29"/>
      <c r="J3428" s="30"/>
      <c r="K3428" s="30"/>
      <c r="L3428" s="29"/>
      <c r="M3428" s="32" t="str">
        <f aca="false">IF(OR(C3428="",L3428=""),"",IF(C3428=L3428,"同一","変更"))</f>
        <v/>
      </c>
      <c r="N3428" s="29"/>
      <c r="O3428" s="30"/>
      <c r="P3428" s="29"/>
      <c r="Q3428" s="31"/>
      <c r="R3428" s="29"/>
      <c r="S3428" s="29"/>
      <c r="T3428" s="30"/>
      <c r="U3428" s="47" t="str">
        <f aca="false">IF(AND(B3428&lt;&gt;"",B3428=SW別シート!$C$3),COUNTIF(B$5:B3428,B3428),"")</f>
        <v/>
      </c>
      <c r="V3428" s="47" t="n">
        <f aca="false">V3427+IF(OR(O3428&lt;&gt;"",W3428&lt;&gt;""),1,0)</f>
        <v>3</v>
      </c>
      <c r="W3428" s="29"/>
    </row>
    <row r="3429" customFormat="false" ht="15" hidden="false" customHeight="false" outlineLevel="0" collapsed="false">
      <c r="A3429" s="32" t="str">
        <f aca="false">IF(B3429="","",ROW()-7)</f>
        <v/>
      </c>
      <c r="B3429" s="30"/>
      <c r="C3429" s="29"/>
      <c r="D3429" s="29"/>
      <c r="E3429" s="29"/>
      <c r="F3429" s="30"/>
      <c r="G3429" s="29"/>
      <c r="H3429" s="30"/>
      <c r="I3429" s="29"/>
      <c r="J3429" s="30"/>
      <c r="K3429" s="30"/>
      <c r="L3429" s="29"/>
      <c r="M3429" s="32" t="str">
        <f aca="false">IF(OR(C3429="",L3429=""),"",IF(C3429=L3429,"同一","変更"))</f>
        <v/>
      </c>
      <c r="N3429" s="29"/>
      <c r="O3429" s="30"/>
      <c r="P3429" s="29"/>
      <c r="Q3429" s="31"/>
      <c r="R3429" s="29"/>
      <c r="S3429" s="29"/>
      <c r="T3429" s="30"/>
      <c r="U3429" s="47" t="str">
        <f aca="false">IF(AND(B3429&lt;&gt;"",B3429=SW別シート!$C$3),COUNTIF(B$5:B3429,B3429),"")</f>
        <v/>
      </c>
      <c r="V3429" s="47" t="n">
        <f aca="false">V3428+IF(OR(O3429&lt;&gt;"",W3429&lt;&gt;""),1,0)</f>
        <v>3</v>
      </c>
      <c r="W3429" s="29"/>
    </row>
    <row r="3430" customFormat="false" ht="15" hidden="false" customHeight="false" outlineLevel="0" collapsed="false">
      <c r="A3430" s="32" t="str">
        <f aca="false">IF(B3430="","",ROW()-7)</f>
        <v/>
      </c>
      <c r="B3430" s="30"/>
      <c r="C3430" s="29"/>
      <c r="D3430" s="29"/>
      <c r="E3430" s="29"/>
      <c r="F3430" s="30"/>
      <c r="G3430" s="29"/>
      <c r="H3430" s="30"/>
      <c r="I3430" s="29"/>
      <c r="J3430" s="30"/>
      <c r="K3430" s="30"/>
      <c r="L3430" s="29"/>
      <c r="M3430" s="32" t="str">
        <f aca="false">IF(OR(C3430="",L3430=""),"",IF(C3430=L3430,"同一","変更"))</f>
        <v/>
      </c>
      <c r="N3430" s="29"/>
      <c r="O3430" s="30"/>
      <c r="P3430" s="29"/>
      <c r="Q3430" s="31"/>
      <c r="R3430" s="29"/>
      <c r="S3430" s="29"/>
      <c r="T3430" s="30"/>
      <c r="U3430" s="47" t="str">
        <f aca="false">IF(AND(B3430&lt;&gt;"",B3430=SW別シート!$C$3),COUNTIF(B$5:B3430,B3430),"")</f>
        <v/>
      </c>
      <c r="V3430" s="47" t="n">
        <f aca="false">V3429+IF(OR(O3430&lt;&gt;"",W3430&lt;&gt;""),1,0)</f>
        <v>3</v>
      </c>
      <c r="W3430" s="29"/>
    </row>
    <row r="3431" customFormat="false" ht="15" hidden="false" customHeight="false" outlineLevel="0" collapsed="false">
      <c r="A3431" s="32" t="str">
        <f aca="false">IF(B3431="","",ROW()-7)</f>
        <v/>
      </c>
      <c r="B3431" s="30"/>
      <c r="C3431" s="29"/>
      <c r="D3431" s="29"/>
      <c r="E3431" s="29"/>
      <c r="F3431" s="30"/>
      <c r="G3431" s="29"/>
      <c r="H3431" s="30"/>
      <c r="I3431" s="29"/>
      <c r="J3431" s="30"/>
      <c r="K3431" s="30"/>
      <c r="L3431" s="29"/>
      <c r="M3431" s="32" t="str">
        <f aca="false">IF(OR(C3431="",L3431=""),"",IF(C3431=L3431,"同一","変更"))</f>
        <v/>
      </c>
      <c r="N3431" s="29"/>
      <c r="O3431" s="30"/>
      <c r="P3431" s="29"/>
      <c r="Q3431" s="31"/>
      <c r="R3431" s="29"/>
      <c r="S3431" s="29"/>
      <c r="T3431" s="30"/>
      <c r="U3431" s="47" t="str">
        <f aca="false">IF(AND(B3431&lt;&gt;"",B3431=SW別シート!$C$3),COUNTIF(B$5:B3431,B3431),"")</f>
        <v/>
      </c>
      <c r="V3431" s="47" t="n">
        <f aca="false">V3430+IF(OR(O3431&lt;&gt;"",W3431&lt;&gt;""),1,0)</f>
        <v>3</v>
      </c>
      <c r="W3431" s="29"/>
    </row>
    <row r="3432" customFormat="false" ht="15" hidden="false" customHeight="false" outlineLevel="0" collapsed="false">
      <c r="A3432" s="32" t="str">
        <f aca="false">IF(B3432="","",ROW()-7)</f>
        <v/>
      </c>
      <c r="B3432" s="30"/>
      <c r="C3432" s="29"/>
      <c r="D3432" s="29"/>
      <c r="E3432" s="29"/>
      <c r="F3432" s="30"/>
      <c r="G3432" s="29"/>
      <c r="H3432" s="30"/>
      <c r="I3432" s="29"/>
      <c r="J3432" s="30"/>
      <c r="K3432" s="30"/>
      <c r="L3432" s="29"/>
      <c r="M3432" s="32" t="str">
        <f aca="false">IF(OR(C3432="",L3432=""),"",IF(C3432=L3432,"同一","変更"))</f>
        <v/>
      </c>
      <c r="N3432" s="29"/>
      <c r="O3432" s="30"/>
      <c r="P3432" s="29"/>
      <c r="Q3432" s="31"/>
      <c r="R3432" s="29"/>
      <c r="S3432" s="29"/>
      <c r="T3432" s="30"/>
      <c r="U3432" s="47" t="str">
        <f aca="false">IF(AND(B3432&lt;&gt;"",B3432=SW別シート!$C$3),COUNTIF(B$5:B3432,B3432),"")</f>
        <v/>
      </c>
      <c r="V3432" s="47" t="n">
        <f aca="false">V3431+IF(OR(O3432&lt;&gt;"",W3432&lt;&gt;""),1,0)</f>
        <v>3</v>
      </c>
      <c r="W3432" s="29"/>
    </row>
    <row r="3433" customFormat="false" ht="15" hidden="false" customHeight="false" outlineLevel="0" collapsed="false">
      <c r="A3433" s="32" t="str">
        <f aca="false">IF(B3433="","",ROW()-7)</f>
        <v/>
      </c>
      <c r="B3433" s="30"/>
      <c r="C3433" s="29"/>
      <c r="D3433" s="29"/>
      <c r="E3433" s="29"/>
      <c r="F3433" s="30"/>
      <c r="G3433" s="29"/>
      <c r="H3433" s="30"/>
      <c r="I3433" s="29"/>
      <c r="J3433" s="30"/>
      <c r="K3433" s="30"/>
      <c r="L3433" s="29"/>
      <c r="M3433" s="32" t="str">
        <f aca="false">IF(OR(C3433="",L3433=""),"",IF(C3433=L3433,"同一","変更"))</f>
        <v/>
      </c>
      <c r="N3433" s="29"/>
      <c r="O3433" s="30"/>
      <c r="P3433" s="29"/>
      <c r="Q3433" s="31"/>
      <c r="R3433" s="29"/>
      <c r="S3433" s="29"/>
      <c r="T3433" s="30"/>
      <c r="U3433" s="47" t="str">
        <f aca="false">IF(AND(B3433&lt;&gt;"",B3433=SW別シート!$C$3),COUNTIF(B$5:B3433,B3433),"")</f>
        <v/>
      </c>
      <c r="V3433" s="47" t="n">
        <f aca="false">V3432+IF(OR(O3433&lt;&gt;"",W3433&lt;&gt;""),1,0)</f>
        <v>3</v>
      </c>
      <c r="W3433" s="29"/>
    </row>
    <row r="3434" customFormat="false" ht="15" hidden="false" customHeight="false" outlineLevel="0" collapsed="false">
      <c r="A3434" s="32" t="str">
        <f aca="false">IF(B3434="","",ROW()-7)</f>
        <v/>
      </c>
      <c r="B3434" s="30"/>
      <c r="C3434" s="29"/>
      <c r="D3434" s="29"/>
      <c r="E3434" s="29"/>
      <c r="F3434" s="30"/>
      <c r="G3434" s="29"/>
      <c r="H3434" s="30"/>
      <c r="I3434" s="29"/>
      <c r="J3434" s="30"/>
      <c r="K3434" s="30"/>
      <c r="L3434" s="29"/>
      <c r="M3434" s="32" t="str">
        <f aca="false">IF(OR(C3434="",L3434=""),"",IF(C3434=L3434,"同一","変更"))</f>
        <v/>
      </c>
      <c r="N3434" s="29"/>
      <c r="O3434" s="30"/>
      <c r="P3434" s="29"/>
      <c r="Q3434" s="31"/>
      <c r="R3434" s="29"/>
      <c r="S3434" s="29"/>
      <c r="T3434" s="30"/>
      <c r="U3434" s="47" t="str">
        <f aca="false">IF(AND(B3434&lt;&gt;"",B3434=SW別シート!$C$3),COUNTIF(B$5:B3434,B3434),"")</f>
        <v/>
      </c>
      <c r="V3434" s="47" t="n">
        <f aca="false">V3433+IF(OR(O3434&lt;&gt;"",W3434&lt;&gt;""),1,0)</f>
        <v>3</v>
      </c>
      <c r="W3434" s="29"/>
    </row>
    <row r="3435" customFormat="false" ht="15" hidden="false" customHeight="false" outlineLevel="0" collapsed="false">
      <c r="A3435" s="32" t="str">
        <f aca="false">IF(B3435="","",ROW()-7)</f>
        <v/>
      </c>
      <c r="B3435" s="30"/>
      <c r="C3435" s="29"/>
      <c r="D3435" s="29"/>
      <c r="E3435" s="29"/>
      <c r="F3435" s="30"/>
      <c r="G3435" s="29"/>
      <c r="H3435" s="30"/>
      <c r="I3435" s="29"/>
      <c r="J3435" s="30"/>
      <c r="K3435" s="30"/>
      <c r="L3435" s="29"/>
      <c r="M3435" s="32" t="str">
        <f aca="false">IF(OR(C3435="",L3435=""),"",IF(C3435=L3435,"同一","変更"))</f>
        <v/>
      </c>
      <c r="N3435" s="29"/>
      <c r="O3435" s="30"/>
      <c r="P3435" s="29"/>
      <c r="Q3435" s="31"/>
      <c r="R3435" s="29"/>
      <c r="S3435" s="29"/>
      <c r="T3435" s="30"/>
      <c r="U3435" s="47" t="str">
        <f aca="false">IF(AND(B3435&lt;&gt;"",B3435=SW別シート!$C$3),COUNTIF(B$5:B3435,B3435),"")</f>
        <v/>
      </c>
      <c r="V3435" s="47" t="n">
        <f aca="false">V3434+IF(OR(O3435&lt;&gt;"",W3435&lt;&gt;""),1,0)</f>
        <v>3</v>
      </c>
      <c r="W3435" s="29"/>
    </row>
    <row r="3436" customFormat="false" ht="15" hidden="false" customHeight="false" outlineLevel="0" collapsed="false">
      <c r="A3436" s="32" t="str">
        <f aca="false">IF(B3436="","",ROW()-7)</f>
        <v/>
      </c>
      <c r="B3436" s="30"/>
      <c r="C3436" s="29"/>
      <c r="D3436" s="29"/>
      <c r="E3436" s="29"/>
      <c r="F3436" s="30"/>
      <c r="G3436" s="29"/>
      <c r="H3436" s="30"/>
      <c r="I3436" s="29"/>
      <c r="J3436" s="30"/>
      <c r="K3436" s="30"/>
      <c r="L3436" s="29"/>
      <c r="M3436" s="32" t="str">
        <f aca="false">IF(OR(C3436="",L3436=""),"",IF(C3436=L3436,"同一","変更"))</f>
        <v/>
      </c>
      <c r="N3436" s="29"/>
      <c r="O3436" s="30"/>
      <c r="P3436" s="29"/>
      <c r="Q3436" s="31"/>
      <c r="R3436" s="29"/>
      <c r="S3436" s="29"/>
      <c r="T3436" s="30"/>
      <c r="U3436" s="47" t="str">
        <f aca="false">IF(AND(B3436&lt;&gt;"",B3436=SW別シート!$C$3),COUNTIF(B$5:B3436,B3436),"")</f>
        <v/>
      </c>
      <c r="V3436" s="47" t="n">
        <f aca="false">V3435+IF(OR(O3436&lt;&gt;"",W3436&lt;&gt;""),1,0)</f>
        <v>3</v>
      </c>
      <c r="W3436" s="29"/>
    </row>
    <row r="3437" customFormat="false" ht="15" hidden="false" customHeight="false" outlineLevel="0" collapsed="false">
      <c r="A3437" s="32" t="str">
        <f aca="false">IF(B3437="","",ROW()-7)</f>
        <v/>
      </c>
      <c r="B3437" s="30"/>
      <c r="C3437" s="29"/>
      <c r="D3437" s="29"/>
      <c r="E3437" s="29"/>
      <c r="F3437" s="30"/>
      <c r="G3437" s="29"/>
      <c r="H3437" s="30"/>
      <c r="I3437" s="29"/>
      <c r="J3437" s="30"/>
      <c r="K3437" s="30"/>
      <c r="L3437" s="29"/>
      <c r="M3437" s="32" t="str">
        <f aca="false">IF(OR(C3437="",L3437=""),"",IF(C3437=L3437,"同一","変更"))</f>
        <v/>
      </c>
      <c r="N3437" s="29"/>
      <c r="O3437" s="30"/>
      <c r="P3437" s="29"/>
      <c r="Q3437" s="31"/>
      <c r="R3437" s="29"/>
      <c r="S3437" s="29"/>
      <c r="T3437" s="30"/>
      <c r="U3437" s="47" t="str">
        <f aca="false">IF(AND(B3437&lt;&gt;"",B3437=SW別シート!$C$3),COUNTIF(B$5:B3437,B3437),"")</f>
        <v/>
      </c>
      <c r="V3437" s="47" t="n">
        <f aca="false">V3436+IF(OR(O3437&lt;&gt;"",W3437&lt;&gt;""),1,0)</f>
        <v>3</v>
      </c>
      <c r="W3437" s="29"/>
    </row>
    <row r="3438" customFormat="false" ht="15" hidden="false" customHeight="false" outlineLevel="0" collapsed="false">
      <c r="A3438" s="32" t="str">
        <f aca="false">IF(B3438="","",ROW()-7)</f>
        <v/>
      </c>
      <c r="B3438" s="30"/>
      <c r="C3438" s="29"/>
      <c r="D3438" s="29"/>
      <c r="E3438" s="29"/>
      <c r="F3438" s="30"/>
      <c r="G3438" s="29"/>
      <c r="H3438" s="30"/>
      <c r="I3438" s="29"/>
      <c r="J3438" s="30"/>
      <c r="K3438" s="30"/>
      <c r="L3438" s="29"/>
      <c r="M3438" s="32" t="str">
        <f aca="false">IF(OR(C3438="",L3438=""),"",IF(C3438=L3438,"同一","変更"))</f>
        <v/>
      </c>
      <c r="N3438" s="29"/>
      <c r="O3438" s="30"/>
      <c r="P3438" s="29"/>
      <c r="Q3438" s="31"/>
      <c r="R3438" s="29"/>
      <c r="S3438" s="29"/>
      <c r="T3438" s="30"/>
      <c r="U3438" s="47" t="str">
        <f aca="false">IF(AND(B3438&lt;&gt;"",B3438=SW別シート!$C$3),COUNTIF(B$5:B3438,B3438),"")</f>
        <v/>
      </c>
      <c r="V3438" s="47" t="n">
        <f aca="false">V3437+IF(OR(O3438&lt;&gt;"",W3438&lt;&gt;""),1,0)</f>
        <v>3</v>
      </c>
      <c r="W3438" s="29"/>
    </row>
    <row r="3439" customFormat="false" ht="15" hidden="false" customHeight="false" outlineLevel="0" collapsed="false">
      <c r="A3439" s="32" t="str">
        <f aca="false">IF(B3439="","",ROW()-7)</f>
        <v/>
      </c>
      <c r="B3439" s="30"/>
      <c r="C3439" s="29"/>
      <c r="D3439" s="29"/>
      <c r="E3439" s="29"/>
      <c r="F3439" s="30"/>
      <c r="G3439" s="29"/>
      <c r="H3439" s="30"/>
      <c r="I3439" s="29"/>
      <c r="J3439" s="30"/>
      <c r="K3439" s="30"/>
      <c r="L3439" s="29"/>
      <c r="M3439" s="32" t="str">
        <f aca="false">IF(OR(C3439="",L3439=""),"",IF(C3439=L3439,"同一","変更"))</f>
        <v/>
      </c>
      <c r="N3439" s="29"/>
      <c r="O3439" s="30"/>
      <c r="P3439" s="29"/>
      <c r="Q3439" s="31"/>
      <c r="R3439" s="29"/>
      <c r="S3439" s="29"/>
      <c r="T3439" s="30"/>
      <c r="U3439" s="47" t="str">
        <f aca="false">IF(AND(B3439&lt;&gt;"",B3439=SW別シート!$C$3),COUNTIF(B$5:B3439,B3439),"")</f>
        <v/>
      </c>
      <c r="V3439" s="47" t="n">
        <f aca="false">V3438+IF(OR(O3439&lt;&gt;"",W3439&lt;&gt;""),1,0)</f>
        <v>3</v>
      </c>
      <c r="W3439" s="29"/>
    </row>
    <row r="3440" customFormat="false" ht="15" hidden="false" customHeight="false" outlineLevel="0" collapsed="false">
      <c r="A3440" s="32" t="str">
        <f aca="false">IF(B3440="","",ROW()-7)</f>
        <v/>
      </c>
      <c r="B3440" s="30"/>
      <c r="C3440" s="29"/>
      <c r="D3440" s="29"/>
      <c r="E3440" s="29"/>
      <c r="F3440" s="30"/>
      <c r="G3440" s="29"/>
      <c r="H3440" s="30"/>
      <c r="I3440" s="29"/>
      <c r="J3440" s="30"/>
      <c r="K3440" s="30"/>
      <c r="L3440" s="29"/>
      <c r="M3440" s="32" t="str">
        <f aca="false">IF(OR(C3440="",L3440=""),"",IF(C3440=L3440,"同一","変更"))</f>
        <v/>
      </c>
      <c r="N3440" s="29"/>
      <c r="O3440" s="30"/>
      <c r="P3440" s="29"/>
      <c r="Q3440" s="31"/>
      <c r="R3440" s="29"/>
      <c r="S3440" s="29"/>
      <c r="T3440" s="30"/>
      <c r="U3440" s="47" t="str">
        <f aca="false">IF(AND(B3440&lt;&gt;"",B3440=SW別シート!$C$3),COUNTIF(B$5:B3440,B3440),"")</f>
        <v/>
      </c>
      <c r="V3440" s="47" t="n">
        <f aca="false">V3439+IF(OR(O3440&lt;&gt;"",W3440&lt;&gt;""),1,0)</f>
        <v>3</v>
      </c>
      <c r="W3440" s="29"/>
    </row>
    <row r="3441" customFormat="false" ht="15" hidden="false" customHeight="false" outlineLevel="0" collapsed="false">
      <c r="A3441" s="32" t="str">
        <f aca="false">IF(B3441="","",ROW()-7)</f>
        <v/>
      </c>
      <c r="B3441" s="30"/>
      <c r="C3441" s="29"/>
      <c r="D3441" s="29"/>
      <c r="E3441" s="29"/>
      <c r="F3441" s="30"/>
      <c r="G3441" s="29"/>
      <c r="H3441" s="30"/>
      <c r="I3441" s="29"/>
      <c r="J3441" s="30"/>
      <c r="K3441" s="30"/>
      <c r="L3441" s="29"/>
      <c r="M3441" s="32" t="str">
        <f aca="false">IF(OR(C3441="",L3441=""),"",IF(C3441=L3441,"同一","変更"))</f>
        <v/>
      </c>
      <c r="N3441" s="29"/>
      <c r="O3441" s="30"/>
      <c r="P3441" s="29"/>
      <c r="Q3441" s="31"/>
      <c r="R3441" s="29"/>
      <c r="S3441" s="29"/>
      <c r="T3441" s="30"/>
      <c r="U3441" s="47" t="str">
        <f aca="false">IF(AND(B3441&lt;&gt;"",B3441=SW別シート!$C$3),COUNTIF(B$5:B3441,B3441),"")</f>
        <v/>
      </c>
      <c r="V3441" s="47" t="n">
        <f aca="false">V3440+IF(OR(O3441&lt;&gt;"",W3441&lt;&gt;""),1,0)</f>
        <v>3</v>
      </c>
      <c r="W3441" s="29"/>
    </row>
    <row r="3442" customFormat="false" ht="15" hidden="false" customHeight="false" outlineLevel="0" collapsed="false">
      <c r="A3442" s="32" t="str">
        <f aca="false">IF(B3442="","",ROW()-7)</f>
        <v/>
      </c>
      <c r="B3442" s="30"/>
      <c r="C3442" s="29"/>
      <c r="D3442" s="29"/>
      <c r="E3442" s="29"/>
      <c r="F3442" s="30"/>
      <c r="G3442" s="29"/>
      <c r="H3442" s="30"/>
      <c r="I3442" s="29"/>
      <c r="J3442" s="30"/>
      <c r="K3442" s="30"/>
      <c r="L3442" s="29"/>
      <c r="M3442" s="32" t="str">
        <f aca="false">IF(OR(C3442="",L3442=""),"",IF(C3442=L3442,"同一","変更"))</f>
        <v/>
      </c>
      <c r="N3442" s="29"/>
      <c r="O3442" s="30"/>
      <c r="P3442" s="29"/>
      <c r="Q3442" s="31"/>
      <c r="R3442" s="29"/>
      <c r="S3442" s="29"/>
      <c r="T3442" s="30"/>
      <c r="U3442" s="47" t="str">
        <f aca="false">IF(AND(B3442&lt;&gt;"",B3442=SW別シート!$C$3),COUNTIF(B$5:B3442,B3442),"")</f>
        <v/>
      </c>
      <c r="V3442" s="47" t="n">
        <f aca="false">V3441+IF(OR(O3442&lt;&gt;"",W3442&lt;&gt;""),1,0)</f>
        <v>3</v>
      </c>
      <c r="W3442" s="29"/>
    </row>
    <row r="3443" customFormat="false" ht="15" hidden="false" customHeight="false" outlineLevel="0" collapsed="false">
      <c r="A3443" s="32" t="str">
        <f aca="false">IF(B3443="","",ROW()-7)</f>
        <v/>
      </c>
      <c r="B3443" s="30"/>
      <c r="C3443" s="29"/>
      <c r="D3443" s="29"/>
      <c r="E3443" s="29"/>
      <c r="F3443" s="30"/>
      <c r="G3443" s="29"/>
      <c r="H3443" s="30"/>
      <c r="I3443" s="29"/>
      <c r="J3443" s="30"/>
      <c r="K3443" s="30"/>
      <c r="L3443" s="29"/>
      <c r="M3443" s="32" t="str">
        <f aca="false">IF(OR(C3443="",L3443=""),"",IF(C3443=L3443,"同一","変更"))</f>
        <v/>
      </c>
      <c r="N3443" s="29"/>
      <c r="O3443" s="30"/>
      <c r="P3443" s="29"/>
      <c r="Q3443" s="31"/>
      <c r="R3443" s="29"/>
      <c r="S3443" s="29"/>
      <c r="T3443" s="30"/>
      <c r="U3443" s="47" t="str">
        <f aca="false">IF(AND(B3443&lt;&gt;"",B3443=SW別シート!$C$3),COUNTIF(B$5:B3443,B3443),"")</f>
        <v/>
      </c>
      <c r="V3443" s="47" t="n">
        <f aca="false">V3442+IF(OR(O3443&lt;&gt;"",W3443&lt;&gt;""),1,0)</f>
        <v>3</v>
      </c>
      <c r="W3443" s="29"/>
    </row>
    <row r="3444" customFormat="false" ht="15" hidden="false" customHeight="false" outlineLevel="0" collapsed="false">
      <c r="A3444" s="32" t="str">
        <f aca="false">IF(B3444="","",ROW()-7)</f>
        <v/>
      </c>
      <c r="B3444" s="30"/>
      <c r="C3444" s="29"/>
      <c r="D3444" s="29"/>
      <c r="E3444" s="29"/>
      <c r="F3444" s="30"/>
      <c r="G3444" s="29"/>
      <c r="H3444" s="30"/>
      <c r="I3444" s="29"/>
      <c r="J3444" s="30"/>
      <c r="K3444" s="30"/>
      <c r="L3444" s="29"/>
      <c r="M3444" s="32" t="str">
        <f aca="false">IF(OR(C3444="",L3444=""),"",IF(C3444=L3444,"同一","変更"))</f>
        <v/>
      </c>
      <c r="N3444" s="29"/>
      <c r="O3444" s="30"/>
      <c r="P3444" s="29"/>
      <c r="Q3444" s="31"/>
      <c r="R3444" s="29"/>
      <c r="S3444" s="29"/>
      <c r="T3444" s="30"/>
      <c r="U3444" s="47" t="str">
        <f aca="false">IF(AND(B3444&lt;&gt;"",B3444=SW別シート!$C$3),COUNTIF(B$5:B3444,B3444),"")</f>
        <v/>
      </c>
      <c r="V3444" s="47" t="n">
        <f aca="false">V3443+IF(OR(O3444&lt;&gt;"",W3444&lt;&gt;""),1,0)</f>
        <v>3</v>
      </c>
      <c r="W3444" s="29"/>
    </row>
    <row r="3445" customFormat="false" ht="15" hidden="false" customHeight="false" outlineLevel="0" collapsed="false">
      <c r="A3445" s="32" t="str">
        <f aca="false">IF(B3445="","",ROW()-7)</f>
        <v/>
      </c>
      <c r="B3445" s="30"/>
      <c r="C3445" s="29"/>
      <c r="D3445" s="29"/>
      <c r="E3445" s="29"/>
      <c r="F3445" s="30"/>
      <c r="G3445" s="29"/>
      <c r="H3445" s="30"/>
      <c r="I3445" s="29"/>
      <c r="J3445" s="30"/>
      <c r="K3445" s="30"/>
      <c r="L3445" s="29"/>
      <c r="M3445" s="32" t="str">
        <f aca="false">IF(OR(C3445="",L3445=""),"",IF(C3445=L3445,"同一","変更"))</f>
        <v/>
      </c>
      <c r="N3445" s="29"/>
      <c r="O3445" s="30"/>
      <c r="P3445" s="29"/>
      <c r="Q3445" s="31"/>
      <c r="R3445" s="29"/>
      <c r="S3445" s="29"/>
      <c r="T3445" s="30"/>
      <c r="U3445" s="47" t="str">
        <f aca="false">IF(AND(B3445&lt;&gt;"",B3445=SW別シート!$C$3),COUNTIF(B$5:B3445,B3445),"")</f>
        <v/>
      </c>
      <c r="V3445" s="47" t="n">
        <f aca="false">V3444+IF(OR(O3445&lt;&gt;"",W3445&lt;&gt;""),1,0)</f>
        <v>3</v>
      </c>
      <c r="W3445" s="29"/>
    </row>
    <row r="3446" customFormat="false" ht="15" hidden="false" customHeight="false" outlineLevel="0" collapsed="false">
      <c r="A3446" s="32" t="str">
        <f aca="false">IF(B3446="","",ROW()-7)</f>
        <v/>
      </c>
      <c r="B3446" s="30"/>
      <c r="C3446" s="29"/>
      <c r="D3446" s="29"/>
      <c r="E3446" s="29"/>
      <c r="F3446" s="30"/>
      <c r="G3446" s="29"/>
      <c r="H3446" s="30"/>
      <c r="I3446" s="29"/>
      <c r="J3446" s="30"/>
      <c r="K3446" s="30"/>
      <c r="L3446" s="29"/>
      <c r="M3446" s="32" t="str">
        <f aca="false">IF(OR(C3446="",L3446=""),"",IF(C3446=L3446,"同一","変更"))</f>
        <v/>
      </c>
      <c r="N3446" s="29"/>
      <c r="O3446" s="30"/>
      <c r="P3446" s="29"/>
      <c r="Q3446" s="31"/>
      <c r="R3446" s="29"/>
      <c r="S3446" s="29"/>
      <c r="T3446" s="30"/>
      <c r="U3446" s="47" t="str">
        <f aca="false">IF(AND(B3446&lt;&gt;"",B3446=SW別シート!$C$3),COUNTIF(B$5:B3446,B3446),"")</f>
        <v/>
      </c>
      <c r="V3446" s="47" t="n">
        <f aca="false">V3445+IF(OR(O3446&lt;&gt;"",W3446&lt;&gt;""),1,0)</f>
        <v>3</v>
      </c>
      <c r="W3446" s="29"/>
    </row>
    <row r="3447" customFormat="false" ht="15" hidden="false" customHeight="false" outlineLevel="0" collapsed="false">
      <c r="A3447" s="32" t="str">
        <f aca="false">IF(B3447="","",ROW()-7)</f>
        <v/>
      </c>
      <c r="B3447" s="30"/>
      <c r="C3447" s="29"/>
      <c r="D3447" s="29"/>
      <c r="E3447" s="29"/>
      <c r="F3447" s="30"/>
      <c r="G3447" s="29"/>
      <c r="H3447" s="30"/>
      <c r="I3447" s="29"/>
      <c r="J3447" s="30"/>
      <c r="K3447" s="30"/>
      <c r="L3447" s="29"/>
      <c r="M3447" s="32" t="str">
        <f aca="false">IF(OR(C3447="",L3447=""),"",IF(C3447=L3447,"同一","変更"))</f>
        <v/>
      </c>
      <c r="N3447" s="29"/>
      <c r="O3447" s="30"/>
      <c r="P3447" s="29"/>
      <c r="Q3447" s="31"/>
      <c r="R3447" s="29"/>
      <c r="S3447" s="29"/>
      <c r="T3447" s="30"/>
      <c r="U3447" s="47" t="str">
        <f aca="false">IF(AND(B3447&lt;&gt;"",B3447=SW別シート!$C$3),COUNTIF(B$5:B3447,B3447),"")</f>
        <v/>
      </c>
      <c r="V3447" s="47" t="n">
        <f aca="false">V3446+IF(OR(O3447&lt;&gt;"",W3447&lt;&gt;""),1,0)</f>
        <v>3</v>
      </c>
      <c r="W3447" s="29"/>
    </row>
    <row r="3448" customFormat="false" ht="15" hidden="false" customHeight="false" outlineLevel="0" collapsed="false">
      <c r="A3448" s="32" t="str">
        <f aca="false">IF(B3448="","",ROW()-7)</f>
        <v/>
      </c>
      <c r="B3448" s="30"/>
      <c r="C3448" s="29"/>
      <c r="D3448" s="29"/>
      <c r="E3448" s="29"/>
      <c r="F3448" s="30"/>
      <c r="G3448" s="29"/>
      <c r="H3448" s="30"/>
      <c r="I3448" s="29"/>
      <c r="J3448" s="30"/>
      <c r="K3448" s="30"/>
      <c r="L3448" s="29"/>
      <c r="M3448" s="32" t="str">
        <f aca="false">IF(OR(C3448="",L3448=""),"",IF(C3448=L3448,"同一","変更"))</f>
        <v/>
      </c>
      <c r="N3448" s="29"/>
      <c r="O3448" s="30"/>
      <c r="P3448" s="29"/>
      <c r="Q3448" s="31"/>
      <c r="R3448" s="29"/>
      <c r="S3448" s="29"/>
      <c r="T3448" s="30"/>
      <c r="U3448" s="47" t="str">
        <f aca="false">IF(AND(B3448&lt;&gt;"",B3448=SW別シート!$C$3),COUNTIF(B$5:B3448,B3448),"")</f>
        <v/>
      </c>
      <c r="V3448" s="47" t="n">
        <f aca="false">V3447+IF(OR(O3448&lt;&gt;"",W3448&lt;&gt;""),1,0)</f>
        <v>3</v>
      </c>
      <c r="W3448" s="29"/>
    </row>
    <row r="3449" customFormat="false" ht="15" hidden="false" customHeight="false" outlineLevel="0" collapsed="false">
      <c r="A3449" s="32" t="str">
        <f aca="false">IF(B3449="","",ROW()-7)</f>
        <v/>
      </c>
      <c r="B3449" s="30"/>
      <c r="C3449" s="29"/>
      <c r="D3449" s="29"/>
      <c r="E3449" s="29"/>
      <c r="F3449" s="30"/>
      <c r="G3449" s="29"/>
      <c r="H3449" s="30"/>
      <c r="I3449" s="29"/>
      <c r="J3449" s="30"/>
      <c r="K3449" s="30"/>
      <c r="L3449" s="29"/>
      <c r="M3449" s="32" t="str">
        <f aca="false">IF(OR(C3449="",L3449=""),"",IF(C3449=L3449,"同一","変更"))</f>
        <v/>
      </c>
      <c r="N3449" s="29"/>
      <c r="O3449" s="30"/>
      <c r="P3449" s="29"/>
      <c r="Q3449" s="31"/>
      <c r="R3449" s="29"/>
      <c r="S3449" s="29"/>
      <c r="T3449" s="30"/>
      <c r="U3449" s="47" t="str">
        <f aca="false">IF(AND(B3449&lt;&gt;"",B3449=SW別シート!$C$3),COUNTIF(B$5:B3449,B3449),"")</f>
        <v/>
      </c>
      <c r="V3449" s="47" t="n">
        <f aca="false">V3448+IF(OR(O3449&lt;&gt;"",W3449&lt;&gt;""),1,0)</f>
        <v>3</v>
      </c>
      <c r="W3449" s="29"/>
    </row>
    <row r="3450" customFormat="false" ht="15" hidden="false" customHeight="false" outlineLevel="0" collapsed="false">
      <c r="A3450" s="32" t="str">
        <f aca="false">IF(B3450="","",ROW()-7)</f>
        <v/>
      </c>
      <c r="B3450" s="30"/>
      <c r="C3450" s="29"/>
      <c r="D3450" s="29"/>
      <c r="E3450" s="29"/>
      <c r="F3450" s="30"/>
      <c r="G3450" s="29"/>
      <c r="H3450" s="30"/>
      <c r="I3450" s="29"/>
      <c r="J3450" s="30"/>
      <c r="K3450" s="30"/>
      <c r="L3450" s="29"/>
      <c r="M3450" s="32" t="str">
        <f aca="false">IF(OR(C3450="",L3450=""),"",IF(C3450=L3450,"同一","変更"))</f>
        <v/>
      </c>
      <c r="N3450" s="29"/>
      <c r="O3450" s="30"/>
      <c r="P3450" s="29"/>
      <c r="Q3450" s="31"/>
      <c r="R3450" s="29"/>
      <c r="S3450" s="29"/>
      <c r="T3450" s="30"/>
      <c r="U3450" s="47" t="str">
        <f aca="false">IF(AND(B3450&lt;&gt;"",B3450=SW別シート!$C$3),COUNTIF(B$5:B3450,B3450),"")</f>
        <v/>
      </c>
      <c r="V3450" s="47" t="n">
        <f aca="false">V3449+IF(OR(O3450&lt;&gt;"",W3450&lt;&gt;""),1,0)</f>
        <v>3</v>
      </c>
      <c r="W3450" s="29"/>
    </row>
    <row r="3451" customFormat="false" ht="15" hidden="false" customHeight="false" outlineLevel="0" collapsed="false">
      <c r="A3451" s="32" t="str">
        <f aca="false">IF(B3451="","",ROW()-7)</f>
        <v/>
      </c>
      <c r="B3451" s="30"/>
      <c r="C3451" s="29"/>
      <c r="D3451" s="29"/>
      <c r="E3451" s="29"/>
      <c r="F3451" s="30"/>
      <c r="G3451" s="29"/>
      <c r="H3451" s="30"/>
      <c r="I3451" s="29"/>
      <c r="J3451" s="30"/>
      <c r="K3451" s="30"/>
      <c r="L3451" s="29"/>
      <c r="M3451" s="32" t="str">
        <f aca="false">IF(OR(C3451="",L3451=""),"",IF(C3451=L3451,"同一","変更"))</f>
        <v/>
      </c>
      <c r="N3451" s="29"/>
      <c r="O3451" s="30"/>
      <c r="P3451" s="29"/>
      <c r="Q3451" s="31"/>
      <c r="R3451" s="29"/>
      <c r="S3451" s="29"/>
      <c r="T3451" s="30"/>
      <c r="U3451" s="47" t="str">
        <f aca="false">IF(AND(B3451&lt;&gt;"",B3451=SW別シート!$C$3),COUNTIF(B$5:B3451,B3451),"")</f>
        <v/>
      </c>
      <c r="V3451" s="47" t="n">
        <f aca="false">V3450+IF(OR(O3451&lt;&gt;"",W3451&lt;&gt;""),1,0)</f>
        <v>3</v>
      </c>
      <c r="W3451" s="29"/>
    </row>
    <row r="3452" customFormat="false" ht="15" hidden="false" customHeight="false" outlineLevel="0" collapsed="false">
      <c r="A3452" s="32" t="str">
        <f aca="false">IF(B3452="","",ROW()-7)</f>
        <v/>
      </c>
      <c r="B3452" s="30"/>
      <c r="C3452" s="29"/>
      <c r="D3452" s="29"/>
      <c r="E3452" s="29"/>
      <c r="F3452" s="30"/>
      <c r="G3452" s="29"/>
      <c r="H3452" s="30"/>
      <c r="I3452" s="29"/>
      <c r="J3452" s="30"/>
      <c r="K3452" s="30"/>
      <c r="L3452" s="29"/>
      <c r="M3452" s="32" t="str">
        <f aca="false">IF(OR(C3452="",L3452=""),"",IF(C3452=L3452,"同一","変更"))</f>
        <v/>
      </c>
      <c r="N3452" s="29"/>
      <c r="O3452" s="30"/>
      <c r="P3452" s="29"/>
      <c r="Q3452" s="31"/>
      <c r="R3452" s="29"/>
      <c r="S3452" s="29"/>
      <c r="T3452" s="30"/>
      <c r="U3452" s="47" t="str">
        <f aca="false">IF(AND(B3452&lt;&gt;"",B3452=SW別シート!$C$3),COUNTIF(B$5:B3452,B3452),"")</f>
        <v/>
      </c>
      <c r="V3452" s="47" t="n">
        <f aca="false">V3451+IF(OR(O3452&lt;&gt;"",W3452&lt;&gt;""),1,0)</f>
        <v>3</v>
      </c>
      <c r="W3452" s="29"/>
    </row>
    <row r="3453" customFormat="false" ht="15" hidden="false" customHeight="false" outlineLevel="0" collapsed="false">
      <c r="A3453" s="32" t="str">
        <f aca="false">IF(B3453="","",ROW()-7)</f>
        <v/>
      </c>
      <c r="B3453" s="30"/>
      <c r="C3453" s="29"/>
      <c r="D3453" s="29"/>
      <c r="E3453" s="29"/>
      <c r="F3453" s="30"/>
      <c r="G3453" s="29"/>
      <c r="H3453" s="30"/>
      <c r="I3453" s="29"/>
      <c r="J3453" s="30"/>
      <c r="K3453" s="30"/>
      <c r="L3453" s="29"/>
      <c r="M3453" s="32" t="str">
        <f aca="false">IF(OR(C3453="",L3453=""),"",IF(C3453=L3453,"同一","変更"))</f>
        <v/>
      </c>
      <c r="N3453" s="29"/>
      <c r="O3453" s="30"/>
      <c r="P3453" s="29"/>
      <c r="Q3453" s="31"/>
      <c r="R3453" s="29"/>
      <c r="S3453" s="29"/>
      <c r="T3453" s="30"/>
      <c r="U3453" s="47" t="str">
        <f aca="false">IF(AND(B3453&lt;&gt;"",B3453=SW別シート!$C$3),COUNTIF(B$5:B3453,B3453),"")</f>
        <v/>
      </c>
      <c r="V3453" s="47" t="n">
        <f aca="false">V3452+IF(OR(O3453&lt;&gt;"",W3453&lt;&gt;""),1,0)</f>
        <v>3</v>
      </c>
      <c r="W3453" s="29"/>
    </row>
    <row r="3454" customFormat="false" ht="15" hidden="false" customHeight="false" outlineLevel="0" collapsed="false">
      <c r="A3454" s="32" t="str">
        <f aca="false">IF(B3454="","",ROW()-7)</f>
        <v/>
      </c>
      <c r="B3454" s="30"/>
      <c r="C3454" s="29"/>
      <c r="D3454" s="29"/>
      <c r="E3454" s="29"/>
      <c r="F3454" s="30"/>
      <c r="G3454" s="29"/>
      <c r="H3454" s="30"/>
      <c r="I3454" s="29"/>
      <c r="J3454" s="30"/>
      <c r="K3454" s="30"/>
      <c r="L3454" s="29"/>
      <c r="M3454" s="32" t="str">
        <f aca="false">IF(OR(C3454="",L3454=""),"",IF(C3454=L3454,"同一","変更"))</f>
        <v/>
      </c>
      <c r="N3454" s="29"/>
      <c r="O3454" s="30"/>
      <c r="P3454" s="29"/>
      <c r="Q3454" s="31"/>
      <c r="R3454" s="29"/>
      <c r="S3454" s="29"/>
      <c r="T3454" s="30"/>
      <c r="U3454" s="47" t="str">
        <f aca="false">IF(AND(B3454&lt;&gt;"",B3454=SW別シート!$C$3),COUNTIF(B$5:B3454,B3454),"")</f>
        <v/>
      </c>
      <c r="V3454" s="47" t="n">
        <f aca="false">V3453+IF(OR(O3454&lt;&gt;"",W3454&lt;&gt;""),1,0)</f>
        <v>3</v>
      </c>
      <c r="W3454" s="29"/>
    </row>
    <row r="3455" customFormat="false" ht="15" hidden="false" customHeight="false" outlineLevel="0" collapsed="false">
      <c r="A3455" s="32" t="str">
        <f aca="false">IF(B3455="","",ROW()-7)</f>
        <v/>
      </c>
      <c r="B3455" s="30"/>
      <c r="C3455" s="29"/>
      <c r="D3455" s="29"/>
      <c r="E3455" s="29"/>
      <c r="F3455" s="30"/>
      <c r="G3455" s="29"/>
      <c r="H3455" s="30"/>
      <c r="I3455" s="29"/>
      <c r="J3455" s="30"/>
      <c r="K3455" s="30"/>
      <c r="L3455" s="29"/>
      <c r="M3455" s="32" t="str">
        <f aca="false">IF(OR(C3455="",L3455=""),"",IF(C3455=L3455,"同一","変更"))</f>
        <v/>
      </c>
      <c r="N3455" s="29"/>
      <c r="O3455" s="30"/>
      <c r="P3455" s="29"/>
      <c r="Q3455" s="31"/>
      <c r="R3455" s="29"/>
      <c r="S3455" s="29"/>
      <c r="T3455" s="30"/>
      <c r="U3455" s="47" t="str">
        <f aca="false">IF(AND(B3455&lt;&gt;"",B3455=SW別シート!$C$3),COUNTIF(B$5:B3455,B3455),"")</f>
        <v/>
      </c>
      <c r="V3455" s="47" t="n">
        <f aca="false">V3454+IF(OR(O3455&lt;&gt;"",W3455&lt;&gt;""),1,0)</f>
        <v>3</v>
      </c>
      <c r="W3455" s="29"/>
    </row>
    <row r="3456" customFormat="false" ht="15" hidden="false" customHeight="false" outlineLevel="0" collapsed="false">
      <c r="A3456" s="32" t="str">
        <f aca="false">IF(B3456="","",ROW()-7)</f>
        <v/>
      </c>
      <c r="B3456" s="30"/>
      <c r="C3456" s="29"/>
      <c r="D3456" s="29"/>
      <c r="E3456" s="29"/>
      <c r="F3456" s="30"/>
      <c r="G3456" s="29"/>
      <c r="H3456" s="30"/>
      <c r="I3456" s="29"/>
      <c r="J3456" s="30"/>
      <c r="K3456" s="30"/>
      <c r="L3456" s="29"/>
      <c r="M3456" s="32" t="str">
        <f aca="false">IF(OR(C3456="",L3456=""),"",IF(C3456=L3456,"同一","変更"))</f>
        <v/>
      </c>
      <c r="N3456" s="29"/>
      <c r="O3456" s="30"/>
      <c r="P3456" s="29"/>
      <c r="Q3456" s="31"/>
      <c r="R3456" s="29"/>
      <c r="S3456" s="29"/>
      <c r="T3456" s="30"/>
      <c r="U3456" s="47" t="str">
        <f aca="false">IF(AND(B3456&lt;&gt;"",B3456=SW別シート!$C$3),COUNTIF(B$5:B3456,B3456),"")</f>
        <v/>
      </c>
      <c r="V3456" s="47" t="n">
        <f aca="false">V3455+IF(OR(O3456&lt;&gt;"",W3456&lt;&gt;""),1,0)</f>
        <v>3</v>
      </c>
      <c r="W3456" s="29"/>
    </row>
    <row r="3457" customFormat="false" ht="15" hidden="false" customHeight="false" outlineLevel="0" collapsed="false">
      <c r="A3457" s="32" t="str">
        <f aca="false">IF(B3457="","",ROW()-7)</f>
        <v/>
      </c>
      <c r="B3457" s="30"/>
      <c r="C3457" s="29"/>
      <c r="D3457" s="29"/>
      <c r="E3457" s="29"/>
      <c r="F3457" s="30"/>
      <c r="G3457" s="29"/>
      <c r="H3457" s="30"/>
      <c r="I3457" s="29"/>
      <c r="J3457" s="30"/>
      <c r="K3457" s="30"/>
      <c r="L3457" s="29"/>
      <c r="M3457" s="32" t="str">
        <f aca="false">IF(OR(C3457="",L3457=""),"",IF(C3457=L3457,"同一","変更"))</f>
        <v/>
      </c>
      <c r="N3457" s="29"/>
      <c r="O3457" s="30"/>
      <c r="P3457" s="29"/>
      <c r="Q3457" s="31"/>
      <c r="R3457" s="29"/>
      <c r="S3457" s="29"/>
      <c r="T3457" s="30"/>
      <c r="U3457" s="47" t="str">
        <f aca="false">IF(AND(B3457&lt;&gt;"",B3457=SW別シート!$C$3),COUNTIF(B$5:B3457,B3457),"")</f>
        <v/>
      </c>
      <c r="V3457" s="47" t="n">
        <f aca="false">V3456+IF(OR(O3457&lt;&gt;"",W3457&lt;&gt;""),1,0)</f>
        <v>3</v>
      </c>
      <c r="W3457" s="29"/>
    </row>
    <row r="3458" customFormat="false" ht="15" hidden="false" customHeight="false" outlineLevel="0" collapsed="false">
      <c r="A3458" s="32" t="str">
        <f aca="false">IF(B3458="","",ROW()-7)</f>
        <v/>
      </c>
      <c r="B3458" s="30"/>
      <c r="C3458" s="29"/>
      <c r="D3458" s="29"/>
      <c r="E3458" s="29"/>
      <c r="F3458" s="30"/>
      <c r="G3458" s="29"/>
      <c r="H3458" s="30"/>
      <c r="I3458" s="29"/>
      <c r="J3458" s="30"/>
      <c r="K3458" s="30"/>
      <c r="L3458" s="29"/>
      <c r="M3458" s="32" t="str">
        <f aca="false">IF(OR(C3458="",L3458=""),"",IF(C3458=L3458,"同一","変更"))</f>
        <v/>
      </c>
      <c r="N3458" s="29"/>
      <c r="O3458" s="30"/>
      <c r="P3458" s="29"/>
      <c r="Q3458" s="31"/>
      <c r="R3458" s="29"/>
      <c r="S3458" s="29"/>
      <c r="T3458" s="30"/>
      <c r="U3458" s="47" t="str">
        <f aca="false">IF(AND(B3458&lt;&gt;"",B3458=SW別シート!$C$3),COUNTIF(B$5:B3458,B3458),"")</f>
        <v/>
      </c>
      <c r="V3458" s="47" t="n">
        <f aca="false">V3457+IF(OR(O3458&lt;&gt;"",W3458&lt;&gt;""),1,0)</f>
        <v>3</v>
      </c>
      <c r="W3458" s="29"/>
    </row>
    <row r="3459" customFormat="false" ht="15" hidden="false" customHeight="false" outlineLevel="0" collapsed="false">
      <c r="A3459" s="32" t="str">
        <f aca="false">IF(B3459="","",ROW()-7)</f>
        <v/>
      </c>
      <c r="B3459" s="30"/>
      <c r="C3459" s="29"/>
      <c r="D3459" s="29"/>
      <c r="E3459" s="29"/>
      <c r="F3459" s="30"/>
      <c r="G3459" s="29"/>
      <c r="H3459" s="30"/>
      <c r="I3459" s="29"/>
      <c r="J3459" s="30"/>
      <c r="K3459" s="30"/>
      <c r="L3459" s="29"/>
      <c r="M3459" s="32" t="str">
        <f aca="false">IF(OR(C3459="",L3459=""),"",IF(C3459=L3459,"同一","変更"))</f>
        <v/>
      </c>
      <c r="N3459" s="29"/>
      <c r="O3459" s="30"/>
      <c r="P3459" s="29"/>
      <c r="Q3459" s="31"/>
      <c r="R3459" s="29"/>
      <c r="S3459" s="29"/>
      <c r="T3459" s="30"/>
      <c r="U3459" s="47" t="str">
        <f aca="false">IF(AND(B3459&lt;&gt;"",B3459=SW別シート!$C$3),COUNTIF(B$5:B3459,B3459),"")</f>
        <v/>
      </c>
      <c r="V3459" s="47" t="n">
        <f aca="false">V3458+IF(OR(O3459&lt;&gt;"",W3459&lt;&gt;""),1,0)</f>
        <v>3</v>
      </c>
      <c r="W3459" s="29"/>
    </row>
    <row r="3460" customFormat="false" ht="15" hidden="false" customHeight="false" outlineLevel="0" collapsed="false">
      <c r="A3460" s="32" t="str">
        <f aca="false">IF(B3460="","",ROW()-7)</f>
        <v/>
      </c>
      <c r="B3460" s="30"/>
      <c r="C3460" s="29"/>
      <c r="D3460" s="29"/>
      <c r="E3460" s="29"/>
      <c r="F3460" s="30"/>
      <c r="G3460" s="29"/>
      <c r="H3460" s="30"/>
      <c r="I3460" s="29"/>
      <c r="J3460" s="30"/>
      <c r="K3460" s="30"/>
      <c r="L3460" s="29"/>
      <c r="M3460" s="32" t="str">
        <f aca="false">IF(OR(C3460="",L3460=""),"",IF(C3460=L3460,"同一","変更"))</f>
        <v/>
      </c>
      <c r="N3460" s="29"/>
      <c r="O3460" s="30"/>
      <c r="P3460" s="29"/>
      <c r="Q3460" s="31"/>
      <c r="R3460" s="29"/>
      <c r="S3460" s="29"/>
      <c r="T3460" s="30"/>
      <c r="U3460" s="47" t="str">
        <f aca="false">IF(AND(B3460&lt;&gt;"",B3460=SW別シート!$C$3),COUNTIF(B$5:B3460,B3460),"")</f>
        <v/>
      </c>
      <c r="V3460" s="47" t="n">
        <f aca="false">V3459+IF(OR(O3460&lt;&gt;"",W3460&lt;&gt;""),1,0)</f>
        <v>3</v>
      </c>
      <c r="W3460" s="29"/>
    </row>
    <row r="3461" customFormat="false" ht="15" hidden="false" customHeight="false" outlineLevel="0" collapsed="false">
      <c r="A3461" s="32" t="str">
        <f aca="false">IF(B3461="","",ROW()-7)</f>
        <v/>
      </c>
      <c r="B3461" s="30"/>
      <c r="C3461" s="29"/>
      <c r="D3461" s="29"/>
      <c r="E3461" s="29"/>
      <c r="F3461" s="30"/>
      <c r="G3461" s="29"/>
      <c r="H3461" s="30"/>
      <c r="I3461" s="29"/>
      <c r="J3461" s="30"/>
      <c r="K3461" s="30"/>
      <c r="L3461" s="29"/>
      <c r="M3461" s="32" t="str">
        <f aca="false">IF(OR(C3461="",L3461=""),"",IF(C3461=L3461,"同一","変更"))</f>
        <v/>
      </c>
      <c r="N3461" s="29"/>
      <c r="O3461" s="30"/>
      <c r="P3461" s="29"/>
      <c r="Q3461" s="31"/>
      <c r="R3461" s="29"/>
      <c r="S3461" s="29"/>
      <c r="T3461" s="30"/>
      <c r="U3461" s="47" t="str">
        <f aca="false">IF(AND(B3461&lt;&gt;"",B3461=SW別シート!$C$3),COUNTIF(B$5:B3461,B3461),"")</f>
        <v/>
      </c>
      <c r="V3461" s="47" t="n">
        <f aca="false">V3460+IF(OR(O3461&lt;&gt;"",W3461&lt;&gt;""),1,0)</f>
        <v>3</v>
      </c>
      <c r="W3461" s="29"/>
    </row>
    <row r="3462" customFormat="false" ht="15" hidden="false" customHeight="false" outlineLevel="0" collapsed="false">
      <c r="A3462" s="32" t="str">
        <f aca="false">IF(B3462="","",ROW()-7)</f>
        <v/>
      </c>
      <c r="B3462" s="30"/>
      <c r="C3462" s="29"/>
      <c r="D3462" s="29"/>
      <c r="E3462" s="29"/>
      <c r="F3462" s="30"/>
      <c r="G3462" s="29"/>
      <c r="H3462" s="30"/>
      <c r="I3462" s="29"/>
      <c r="J3462" s="30"/>
      <c r="K3462" s="30"/>
      <c r="L3462" s="29"/>
      <c r="M3462" s="32" t="str">
        <f aca="false">IF(OR(C3462="",L3462=""),"",IF(C3462=L3462,"同一","変更"))</f>
        <v/>
      </c>
      <c r="N3462" s="29"/>
      <c r="O3462" s="30"/>
      <c r="P3462" s="29"/>
      <c r="Q3462" s="31"/>
      <c r="R3462" s="29"/>
      <c r="S3462" s="29"/>
      <c r="T3462" s="30"/>
      <c r="U3462" s="47" t="str">
        <f aca="false">IF(AND(B3462&lt;&gt;"",B3462=SW別シート!$C$3),COUNTIF(B$5:B3462,B3462),"")</f>
        <v/>
      </c>
      <c r="V3462" s="47" t="n">
        <f aca="false">V3461+IF(OR(O3462&lt;&gt;"",W3462&lt;&gt;""),1,0)</f>
        <v>3</v>
      </c>
      <c r="W3462" s="29"/>
    </row>
    <row r="3463" customFormat="false" ht="15" hidden="false" customHeight="false" outlineLevel="0" collapsed="false">
      <c r="A3463" s="32" t="str">
        <f aca="false">IF(B3463="","",ROW()-7)</f>
        <v/>
      </c>
      <c r="B3463" s="30"/>
      <c r="C3463" s="29"/>
      <c r="D3463" s="29"/>
      <c r="E3463" s="29"/>
      <c r="F3463" s="30"/>
      <c r="G3463" s="29"/>
      <c r="H3463" s="30"/>
      <c r="I3463" s="29"/>
      <c r="J3463" s="30"/>
      <c r="K3463" s="30"/>
      <c r="L3463" s="29"/>
      <c r="M3463" s="32" t="str">
        <f aca="false">IF(OR(C3463="",L3463=""),"",IF(C3463=L3463,"同一","変更"))</f>
        <v/>
      </c>
      <c r="N3463" s="29"/>
      <c r="O3463" s="30"/>
      <c r="P3463" s="29"/>
      <c r="Q3463" s="31"/>
      <c r="R3463" s="29"/>
      <c r="S3463" s="29"/>
      <c r="T3463" s="30"/>
      <c r="U3463" s="47" t="str">
        <f aca="false">IF(AND(B3463&lt;&gt;"",B3463=SW別シート!$C$3),COUNTIF(B$5:B3463,B3463),"")</f>
        <v/>
      </c>
      <c r="V3463" s="47" t="n">
        <f aca="false">V3462+IF(OR(O3463&lt;&gt;"",W3463&lt;&gt;""),1,0)</f>
        <v>3</v>
      </c>
      <c r="W3463" s="29"/>
    </row>
    <row r="3464" customFormat="false" ht="15" hidden="false" customHeight="false" outlineLevel="0" collapsed="false">
      <c r="A3464" s="32" t="str">
        <f aca="false">IF(B3464="","",ROW()-7)</f>
        <v/>
      </c>
      <c r="B3464" s="30"/>
      <c r="C3464" s="29"/>
      <c r="D3464" s="29"/>
      <c r="E3464" s="29"/>
      <c r="F3464" s="30"/>
      <c r="G3464" s="29"/>
      <c r="H3464" s="30"/>
      <c r="I3464" s="29"/>
      <c r="J3464" s="30"/>
      <c r="K3464" s="30"/>
      <c r="L3464" s="29"/>
      <c r="M3464" s="32" t="str">
        <f aca="false">IF(OR(C3464="",L3464=""),"",IF(C3464=L3464,"同一","変更"))</f>
        <v/>
      </c>
      <c r="N3464" s="29"/>
      <c r="O3464" s="30"/>
      <c r="P3464" s="29"/>
      <c r="Q3464" s="31"/>
      <c r="R3464" s="29"/>
      <c r="S3464" s="29"/>
      <c r="T3464" s="30"/>
      <c r="U3464" s="47" t="str">
        <f aca="false">IF(AND(B3464&lt;&gt;"",B3464=SW別シート!$C$3),COUNTIF(B$5:B3464,B3464),"")</f>
        <v/>
      </c>
      <c r="V3464" s="47" t="n">
        <f aca="false">V3463+IF(OR(O3464&lt;&gt;"",W3464&lt;&gt;""),1,0)</f>
        <v>3</v>
      </c>
      <c r="W3464" s="29"/>
    </row>
    <row r="3465" customFormat="false" ht="15" hidden="false" customHeight="false" outlineLevel="0" collapsed="false">
      <c r="A3465" s="32" t="str">
        <f aca="false">IF(B3465="","",ROW()-7)</f>
        <v/>
      </c>
      <c r="B3465" s="30"/>
      <c r="C3465" s="29"/>
      <c r="D3465" s="29"/>
      <c r="E3465" s="29"/>
      <c r="F3465" s="30"/>
      <c r="G3465" s="29"/>
      <c r="H3465" s="30"/>
      <c r="I3465" s="29"/>
      <c r="J3465" s="30"/>
      <c r="K3465" s="30"/>
      <c r="L3465" s="29"/>
      <c r="M3465" s="32" t="str">
        <f aca="false">IF(OR(C3465="",L3465=""),"",IF(C3465=L3465,"同一","変更"))</f>
        <v/>
      </c>
      <c r="N3465" s="29"/>
      <c r="O3465" s="30"/>
      <c r="P3465" s="29"/>
      <c r="Q3465" s="31"/>
      <c r="R3465" s="29"/>
      <c r="S3465" s="29"/>
      <c r="T3465" s="30"/>
      <c r="U3465" s="47" t="str">
        <f aca="false">IF(AND(B3465&lt;&gt;"",B3465=SW別シート!$C$3),COUNTIF(B$5:B3465,B3465),"")</f>
        <v/>
      </c>
      <c r="V3465" s="47" t="n">
        <f aca="false">V3464+IF(OR(O3465&lt;&gt;"",W3465&lt;&gt;""),1,0)</f>
        <v>3</v>
      </c>
      <c r="W3465" s="29"/>
    </row>
    <row r="3466" customFormat="false" ht="15" hidden="false" customHeight="false" outlineLevel="0" collapsed="false">
      <c r="A3466" s="32" t="str">
        <f aca="false">IF(B3466="","",ROW()-7)</f>
        <v/>
      </c>
      <c r="B3466" s="30"/>
      <c r="C3466" s="29"/>
      <c r="D3466" s="29"/>
      <c r="E3466" s="29"/>
      <c r="F3466" s="30"/>
      <c r="G3466" s="29"/>
      <c r="H3466" s="30"/>
      <c r="I3466" s="29"/>
      <c r="J3466" s="30"/>
      <c r="K3466" s="30"/>
      <c r="L3466" s="29"/>
      <c r="M3466" s="32" t="str">
        <f aca="false">IF(OR(C3466="",L3466=""),"",IF(C3466=L3466,"同一","変更"))</f>
        <v/>
      </c>
      <c r="N3466" s="29"/>
      <c r="O3466" s="30"/>
      <c r="P3466" s="29"/>
      <c r="Q3466" s="31"/>
      <c r="R3466" s="29"/>
      <c r="S3466" s="29"/>
      <c r="T3466" s="30"/>
      <c r="U3466" s="47" t="str">
        <f aca="false">IF(AND(B3466&lt;&gt;"",B3466=SW別シート!$C$3),COUNTIF(B$5:B3466,B3466),"")</f>
        <v/>
      </c>
      <c r="V3466" s="47" t="n">
        <f aca="false">V3465+IF(OR(O3466&lt;&gt;"",W3466&lt;&gt;""),1,0)</f>
        <v>3</v>
      </c>
      <c r="W3466" s="29"/>
    </row>
    <row r="3467" customFormat="false" ht="15" hidden="false" customHeight="false" outlineLevel="0" collapsed="false">
      <c r="A3467" s="32" t="str">
        <f aca="false">IF(B3467="","",ROW()-7)</f>
        <v/>
      </c>
      <c r="B3467" s="30"/>
      <c r="C3467" s="29"/>
      <c r="D3467" s="29"/>
      <c r="E3467" s="29"/>
      <c r="F3467" s="30"/>
      <c r="G3467" s="29"/>
      <c r="H3467" s="30"/>
      <c r="I3467" s="29"/>
      <c r="J3467" s="30"/>
      <c r="K3467" s="30"/>
      <c r="L3467" s="29"/>
      <c r="M3467" s="32" t="str">
        <f aca="false">IF(OR(C3467="",L3467=""),"",IF(C3467=L3467,"同一","変更"))</f>
        <v/>
      </c>
      <c r="N3467" s="29"/>
      <c r="O3467" s="30"/>
      <c r="P3467" s="29"/>
      <c r="Q3467" s="31"/>
      <c r="R3467" s="29"/>
      <c r="S3467" s="29"/>
      <c r="T3467" s="30"/>
      <c r="U3467" s="47" t="str">
        <f aca="false">IF(AND(B3467&lt;&gt;"",B3467=SW別シート!$C$3),COUNTIF(B$5:B3467,B3467),"")</f>
        <v/>
      </c>
      <c r="V3467" s="47" t="n">
        <f aca="false">V3466+IF(OR(O3467&lt;&gt;"",W3467&lt;&gt;""),1,0)</f>
        <v>3</v>
      </c>
      <c r="W3467" s="29"/>
    </row>
    <row r="3468" customFormat="false" ht="15" hidden="false" customHeight="false" outlineLevel="0" collapsed="false">
      <c r="A3468" s="32" t="str">
        <f aca="false">IF(B3468="","",ROW()-7)</f>
        <v/>
      </c>
      <c r="B3468" s="30"/>
      <c r="C3468" s="29"/>
      <c r="D3468" s="29"/>
      <c r="E3468" s="29"/>
      <c r="F3468" s="30"/>
      <c r="G3468" s="29"/>
      <c r="H3468" s="30"/>
      <c r="I3468" s="29"/>
      <c r="J3468" s="30"/>
      <c r="K3468" s="30"/>
      <c r="L3468" s="29"/>
      <c r="M3468" s="32" t="str">
        <f aca="false">IF(OR(C3468="",L3468=""),"",IF(C3468=L3468,"同一","変更"))</f>
        <v/>
      </c>
      <c r="N3468" s="29"/>
      <c r="O3468" s="30"/>
      <c r="P3468" s="29"/>
      <c r="Q3468" s="31"/>
      <c r="R3468" s="29"/>
      <c r="S3468" s="29"/>
      <c r="T3468" s="30"/>
      <c r="U3468" s="47" t="str">
        <f aca="false">IF(AND(B3468&lt;&gt;"",B3468=SW別シート!$C$3),COUNTIF(B$5:B3468,B3468),"")</f>
        <v/>
      </c>
      <c r="V3468" s="47" t="n">
        <f aca="false">V3467+IF(OR(O3468&lt;&gt;"",W3468&lt;&gt;""),1,0)</f>
        <v>3</v>
      </c>
      <c r="W3468" s="29"/>
    </row>
    <row r="3469" customFormat="false" ht="15" hidden="false" customHeight="false" outlineLevel="0" collapsed="false">
      <c r="A3469" s="32" t="str">
        <f aca="false">IF(B3469="","",ROW()-7)</f>
        <v/>
      </c>
      <c r="B3469" s="30"/>
      <c r="C3469" s="29"/>
      <c r="D3469" s="29"/>
      <c r="E3469" s="29"/>
      <c r="F3469" s="30"/>
      <c r="G3469" s="29"/>
      <c r="H3469" s="30"/>
      <c r="I3469" s="29"/>
      <c r="J3469" s="30"/>
      <c r="K3469" s="30"/>
      <c r="L3469" s="29"/>
      <c r="M3469" s="32" t="str">
        <f aca="false">IF(OR(C3469="",L3469=""),"",IF(C3469=L3469,"同一","変更"))</f>
        <v/>
      </c>
      <c r="N3469" s="29"/>
      <c r="O3469" s="30"/>
      <c r="P3469" s="29"/>
      <c r="Q3469" s="31"/>
      <c r="R3469" s="29"/>
      <c r="S3469" s="29"/>
      <c r="T3469" s="30"/>
      <c r="U3469" s="47" t="str">
        <f aca="false">IF(AND(B3469&lt;&gt;"",B3469=SW別シート!$C$3),COUNTIF(B$5:B3469,B3469),"")</f>
        <v/>
      </c>
      <c r="V3469" s="47" t="n">
        <f aca="false">V3468+IF(OR(O3469&lt;&gt;"",W3469&lt;&gt;""),1,0)</f>
        <v>3</v>
      </c>
      <c r="W3469" s="29"/>
    </row>
    <row r="3470" customFormat="false" ht="15" hidden="false" customHeight="false" outlineLevel="0" collapsed="false">
      <c r="A3470" s="32" t="str">
        <f aca="false">IF(B3470="","",ROW()-7)</f>
        <v/>
      </c>
      <c r="B3470" s="30"/>
      <c r="C3470" s="29"/>
      <c r="D3470" s="29"/>
      <c r="E3470" s="29"/>
      <c r="F3470" s="30"/>
      <c r="G3470" s="29"/>
      <c r="H3470" s="30"/>
      <c r="I3470" s="29"/>
      <c r="J3470" s="30"/>
      <c r="K3470" s="30"/>
      <c r="L3470" s="29"/>
      <c r="M3470" s="32" t="str">
        <f aca="false">IF(OR(C3470="",L3470=""),"",IF(C3470=L3470,"同一","変更"))</f>
        <v/>
      </c>
      <c r="N3470" s="29"/>
      <c r="O3470" s="30"/>
      <c r="P3470" s="29"/>
      <c r="Q3470" s="31"/>
      <c r="R3470" s="29"/>
      <c r="S3470" s="29"/>
      <c r="T3470" s="30"/>
      <c r="U3470" s="47" t="str">
        <f aca="false">IF(AND(B3470&lt;&gt;"",B3470=SW別シート!$C$3),COUNTIF(B$5:B3470,B3470),"")</f>
        <v/>
      </c>
      <c r="V3470" s="47" t="n">
        <f aca="false">V3469+IF(OR(O3470&lt;&gt;"",W3470&lt;&gt;""),1,0)</f>
        <v>3</v>
      </c>
      <c r="W3470" s="29"/>
    </row>
    <row r="3471" customFormat="false" ht="15" hidden="false" customHeight="false" outlineLevel="0" collapsed="false">
      <c r="A3471" s="32" t="str">
        <f aca="false">IF(B3471="","",ROW()-7)</f>
        <v/>
      </c>
      <c r="B3471" s="30"/>
      <c r="C3471" s="29"/>
      <c r="D3471" s="29"/>
      <c r="E3471" s="29"/>
      <c r="F3471" s="30"/>
      <c r="G3471" s="29"/>
      <c r="H3471" s="30"/>
      <c r="I3471" s="29"/>
      <c r="J3471" s="30"/>
      <c r="K3471" s="30"/>
      <c r="L3471" s="29"/>
      <c r="M3471" s="32" t="str">
        <f aca="false">IF(OR(C3471="",L3471=""),"",IF(C3471=L3471,"同一","変更"))</f>
        <v/>
      </c>
      <c r="N3471" s="29"/>
      <c r="O3471" s="30"/>
      <c r="P3471" s="29"/>
      <c r="Q3471" s="31"/>
      <c r="R3471" s="29"/>
      <c r="S3471" s="29"/>
      <c r="T3471" s="30"/>
      <c r="U3471" s="47" t="str">
        <f aca="false">IF(AND(B3471&lt;&gt;"",B3471=SW別シート!$C$3),COUNTIF(B$5:B3471,B3471),"")</f>
        <v/>
      </c>
      <c r="V3471" s="47" t="n">
        <f aca="false">V3470+IF(OR(O3471&lt;&gt;"",W3471&lt;&gt;""),1,0)</f>
        <v>3</v>
      </c>
      <c r="W3471" s="29"/>
    </row>
    <row r="3472" customFormat="false" ht="15" hidden="false" customHeight="false" outlineLevel="0" collapsed="false">
      <c r="A3472" s="32" t="str">
        <f aca="false">IF(B3472="","",ROW()-7)</f>
        <v/>
      </c>
      <c r="B3472" s="30"/>
      <c r="C3472" s="29"/>
      <c r="D3472" s="29"/>
      <c r="E3472" s="29"/>
      <c r="F3472" s="30"/>
      <c r="G3472" s="29"/>
      <c r="H3472" s="30"/>
      <c r="I3472" s="29"/>
      <c r="J3472" s="30"/>
      <c r="K3472" s="30"/>
      <c r="L3472" s="29"/>
      <c r="M3472" s="32" t="str">
        <f aca="false">IF(OR(C3472="",L3472=""),"",IF(C3472=L3472,"同一","変更"))</f>
        <v/>
      </c>
      <c r="N3472" s="29"/>
      <c r="O3472" s="30"/>
      <c r="P3472" s="29"/>
      <c r="Q3472" s="31"/>
      <c r="R3472" s="29"/>
      <c r="S3472" s="29"/>
      <c r="T3472" s="30"/>
      <c r="U3472" s="47" t="str">
        <f aca="false">IF(AND(B3472&lt;&gt;"",B3472=SW別シート!$C$3),COUNTIF(B$5:B3472,B3472),"")</f>
        <v/>
      </c>
      <c r="V3472" s="47" t="n">
        <f aca="false">V3471+IF(OR(O3472&lt;&gt;"",W3472&lt;&gt;""),1,0)</f>
        <v>3</v>
      </c>
      <c r="W3472" s="29"/>
    </row>
    <row r="3473" customFormat="false" ht="15" hidden="false" customHeight="false" outlineLevel="0" collapsed="false">
      <c r="A3473" s="32" t="str">
        <f aca="false">IF(B3473="","",ROW()-7)</f>
        <v/>
      </c>
      <c r="B3473" s="30"/>
      <c r="C3473" s="29"/>
      <c r="D3473" s="29"/>
      <c r="E3473" s="29"/>
      <c r="F3473" s="30"/>
      <c r="G3473" s="29"/>
      <c r="H3473" s="30"/>
      <c r="I3473" s="29"/>
      <c r="J3473" s="30"/>
      <c r="K3473" s="30"/>
      <c r="L3473" s="29"/>
      <c r="M3473" s="32" t="str">
        <f aca="false">IF(OR(C3473="",L3473=""),"",IF(C3473=L3473,"同一","変更"))</f>
        <v/>
      </c>
      <c r="N3473" s="29"/>
      <c r="O3473" s="30"/>
      <c r="P3473" s="29"/>
      <c r="Q3473" s="31"/>
      <c r="R3473" s="29"/>
      <c r="S3473" s="29"/>
      <c r="T3473" s="30"/>
      <c r="U3473" s="47" t="str">
        <f aca="false">IF(AND(B3473&lt;&gt;"",B3473=SW別シート!$C$3),COUNTIF(B$5:B3473,B3473),"")</f>
        <v/>
      </c>
      <c r="V3473" s="47" t="n">
        <f aca="false">V3472+IF(OR(O3473&lt;&gt;"",W3473&lt;&gt;""),1,0)</f>
        <v>3</v>
      </c>
      <c r="W3473" s="29"/>
    </row>
    <row r="3474" customFormat="false" ht="15" hidden="false" customHeight="false" outlineLevel="0" collapsed="false">
      <c r="A3474" s="32" t="str">
        <f aca="false">IF(B3474="","",ROW()-7)</f>
        <v/>
      </c>
      <c r="B3474" s="30"/>
      <c r="C3474" s="29"/>
      <c r="D3474" s="29"/>
      <c r="E3474" s="29"/>
      <c r="F3474" s="30"/>
      <c r="G3474" s="29"/>
      <c r="H3474" s="30"/>
      <c r="I3474" s="29"/>
      <c r="J3474" s="30"/>
      <c r="K3474" s="30"/>
      <c r="L3474" s="29"/>
      <c r="M3474" s="32" t="str">
        <f aca="false">IF(OR(C3474="",L3474=""),"",IF(C3474=L3474,"同一","変更"))</f>
        <v/>
      </c>
      <c r="N3474" s="29"/>
      <c r="O3474" s="30"/>
      <c r="P3474" s="29"/>
      <c r="Q3474" s="31"/>
      <c r="R3474" s="29"/>
      <c r="S3474" s="29"/>
      <c r="T3474" s="30"/>
      <c r="U3474" s="47" t="str">
        <f aca="false">IF(AND(B3474&lt;&gt;"",B3474=SW別シート!$C$3),COUNTIF(B$5:B3474,B3474),"")</f>
        <v/>
      </c>
      <c r="V3474" s="47" t="n">
        <f aca="false">V3473+IF(OR(O3474&lt;&gt;"",W3474&lt;&gt;""),1,0)</f>
        <v>3</v>
      </c>
      <c r="W3474" s="29"/>
    </row>
    <row r="3475" customFormat="false" ht="15" hidden="false" customHeight="false" outlineLevel="0" collapsed="false">
      <c r="A3475" s="32" t="str">
        <f aca="false">IF(B3475="","",ROW()-7)</f>
        <v/>
      </c>
      <c r="B3475" s="30"/>
      <c r="C3475" s="29"/>
      <c r="D3475" s="29"/>
      <c r="E3475" s="29"/>
      <c r="F3475" s="30"/>
      <c r="G3475" s="29"/>
      <c r="H3475" s="30"/>
      <c r="I3475" s="29"/>
      <c r="J3475" s="30"/>
      <c r="K3475" s="30"/>
      <c r="L3475" s="29"/>
      <c r="M3475" s="32" t="str">
        <f aca="false">IF(OR(C3475="",L3475=""),"",IF(C3475=L3475,"同一","変更"))</f>
        <v/>
      </c>
      <c r="N3475" s="29"/>
      <c r="O3475" s="30"/>
      <c r="P3475" s="29"/>
      <c r="Q3475" s="31"/>
      <c r="R3475" s="29"/>
      <c r="S3475" s="29"/>
      <c r="T3475" s="30"/>
      <c r="U3475" s="47" t="str">
        <f aca="false">IF(AND(B3475&lt;&gt;"",B3475=SW別シート!$C$3),COUNTIF(B$5:B3475,B3475),"")</f>
        <v/>
      </c>
      <c r="V3475" s="47" t="n">
        <f aca="false">V3474+IF(OR(O3475&lt;&gt;"",W3475&lt;&gt;""),1,0)</f>
        <v>3</v>
      </c>
      <c r="W3475" s="29"/>
    </row>
    <row r="3476" customFormat="false" ht="15" hidden="false" customHeight="false" outlineLevel="0" collapsed="false">
      <c r="A3476" s="32" t="str">
        <f aca="false">IF(B3476="","",ROW()-7)</f>
        <v/>
      </c>
      <c r="B3476" s="30"/>
      <c r="C3476" s="29"/>
      <c r="D3476" s="29"/>
      <c r="E3476" s="29"/>
      <c r="F3476" s="30"/>
      <c r="G3476" s="29"/>
      <c r="H3476" s="30"/>
      <c r="I3476" s="29"/>
      <c r="J3476" s="30"/>
      <c r="K3476" s="30"/>
      <c r="L3476" s="29"/>
      <c r="M3476" s="32" t="str">
        <f aca="false">IF(OR(C3476="",L3476=""),"",IF(C3476=L3476,"同一","変更"))</f>
        <v/>
      </c>
      <c r="N3476" s="29"/>
      <c r="O3476" s="30"/>
      <c r="P3476" s="29"/>
      <c r="Q3476" s="31"/>
      <c r="R3476" s="29"/>
      <c r="S3476" s="29"/>
      <c r="T3476" s="30"/>
      <c r="U3476" s="47" t="str">
        <f aca="false">IF(AND(B3476&lt;&gt;"",B3476=SW別シート!$C$3),COUNTIF(B$5:B3476,B3476),"")</f>
        <v/>
      </c>
      <c r="V3476" s="47" t="n">
        <f aca="false">V3475+IF(OR(O3476&lt;&gt;"",W3476&lt;&gt;""),1,0)</f>
        <v>3</v>
      </c>
      <c r="W3476" s="29"/>
    </row>
    <row r="3477" customFormat="false" ht="15" hidden="false" customHeight="false" outlineLevel="0" collapsed="false">
      <c r="A3477" s="32" t="str">
        <f aca="false">IF(B3477="","",ROW()-7)</f>
        <v/>
      </c>
      <c r="B3477" s="30"/>
      <c r="C3477" s="29"/>
      <c r="D3477" s="29"/>
      <c r="E3477" s="29"/>
      <c r="F3477" s="30"/>
      <c r="G3477" s="29"/>
      <c r="H3477" s="30"/>
      <c r="I3477" s="29"/>
      <c r="J3477" s="30"/>
      <c r="K3477" s="30"/>
      <c r="L3477" s="29"/>
      <c r="M3477" s="32" t="str">
        <f aca="false">IF(OR(C3477="",L3477=""),"",IF(C3477=L3477,"同一","変更"))</f>
        <v/>
      </c>
      <c r="N3477" s="29"/>
      <c r="O3477" s="30"/>
      <c r="P3477" s="29"/>
      <c r="Q3477" s="31"/>
      <c r="R3477" s="29"/>
      <c r="S3477" s="29"/>
      <c r="T3477" s="30"/>
      <c r="U3477" s="47" t="str">
        <f aca="false">IF(AND(B3477&lt;&gt;"",B3477=SW別シート!$C$3),COUNTIF(B$5:B3477,B3477),"")</f>
        <v/>
      </c>
      <c r="V3477" s="47" t="n">
        <f aca="false">V3476+IF(OR(O3477&lt;&gt;"",W3477&lt;&gt;""),1,0)</f>
        <v>3</v>
      </c>
      <c r="W3477" s="29"/>
    </row>
    <row r="3478" customFormat="false" ht="15" hidden="false" customHeight="false" outlineLevel="0" collapsed="false">
      <c r="A3478" s="32" t="str">
        <f aca="false">IF(B3478="","",ROW()-7)</f>
        <v/>
      </c>
      <c r="B3478" s="30"/>
      <c r="C3478" s="29"/>
      <c r="D3478" s="29"/>
      <c r="E3478" s="29"/>
      <c r="F3478" s="30"/>
      <c r="G3478" s="29"/>
      <c r="H3478" s="30"/>
      <c r="I3478" s="29"/>
      <c r="J3478" s="30"/>
      <c r="K3478" s="30"/>
      <c r="L3478" s="29"/>
      <c r="M3478" s="32" t="str">
        <f aca="false">IF(OR(C3478="",L3478=""),"",IF(C3478=L3478,"同一","変更"))</f>
        <v/>
      </c>
      <c r="N3478" s="29"/>
      <c r="O3478" s="30"/>
      <c r="P3478" s="29"/>
      <c r="Q3478" s="31"/>
      <c r="R3478" s="29"/>
      <c r="S3478" s="29"/>
      <c r="T3478" s="30"/>
      <c r="U3478" s="47" t="str">
        <f aca="false">IF(AND(B3478&lt;&gt;"",B3478=SW別シート!$C$3),COUNTIF(B$5:B3478,B3478),"")</f>
        <v/>
      </c>
      <c r="V3478" s="47" t="n">
        <f aca="false">V3477+IF(OR(O3478&lt;&gt;"",W3478&lt;&gt;""),1,0)</f>
        <v>3</v>
      </c>
      <c r="W3478" s="29"/>
    </row>
    <row r="3479" customFormat="false" ht="15" hidden="false" customHeight="false" outlineLevel="0" collapsed="false">
      <c r="A3479" s="32" t="str">
        <f aca="false">IF(B3479="","",ROW()-7)</f>
        <v/>
      </c>
      <c r="B3479" s="30"/>
      <c r="C3479" s="29"/>
      <c r="D3479" s="29"/>
      <c r="E3479" s="29"/>
      <c r="F3479" s="30"/>
      <c r="G3479" s="29"/>
      <c r="H3479" s="30"/>
      <c r="I3479" s="29"/>
      <c r="J3479" s="30"/>
      <c r="K3479" s="30"/>
      <c r="L3479" s="29"/>
      <c r="M3479" s="32" t="str">
        <f aca="false">IF(OR(C3479="",L3479=""),"",IF(C3479=L3479,"同一","変更"))</f>
        <v/>
      </c>
      <c r="N3479" s="29"/>
      <c r="O3479" s="30"/>
      <c r="P3479" s="29"/>
      <c r="Q3479" s="31"/>
      <c r="R3479" s="29"/>
      <c r="S3479" s="29"/>
      <c r="T3479" s="30"/>
      <c r="U3479" s="47" t="str">
        <f aca="false">IF(AND(B3479&lt;&gt;"",B3479=SW別シート!$C$3),COUNTIF(B$5:B3479,B3479),"")</f>
        <v/>
      </c>
      <c r="V3479" s="47" t="n">
        <f aca="false">V3478+IF(OR(O3479&lt;&gt;"",W3479&lt;&gt;""),1,0)</f>
        <v>3</v>
      </c>
      <c r="W3479" s="29"/>
    </row>
    <row r="3480" customFormat="false" ht="15" hidden="false" customHeight="false" outlineLevel="0" collapsed="false">
      <c r="A3480" s="32" t="str">
        <f aca="false">IF(B3480="","",ROW()-7)</f>
        <v/>
      </c>
      <c r="B3480" s="30"/>
      <c r="C3480" s="29"/>
      <c r="D3480" s="29"/>
      <c r="E3480" s="29"/>
      <c r="F3480" s="30"/>
      <c r="G3480" s="29"/>
      <c r="H3480" s="30"/>
      <c r="I3480" s="29"/>
      <c r="J3480" s="30"/>
      <c r="K3480" s="30"/>
      <c r="L3480" s="29"/>
      <c r="M3480" s="32" t="str">
        <f aca="false">IF(OR(C3480="",L3480=""),"",IF(C3480=L3480,"同一","変更"))</f>
        <v/>
      </c>
      <c r="N3480" s="29"/>
      <c r="O3480" s="30"/>
      <c r="P3480" s="29"/>
      <c r="Q3480" s="31"/>
      <c r="R3480" s="29"/>
      <c r="S3480" s="29"/>
      <c r="T3480" s="30"/>
      <c r="U3480" s="47" t="str">
        <f aca="false">IF(AND(B3480&lt;&gt;"",B3480=SW別シート!$C$3),COUNTIF(B$5:B3480,B3480),"")</f>
        <v/>
      </c>
      <c r="V3480" s="47" t="n">
        <f aca="false">V3479+IF(OR(O3480&lt;&gt;"",W3480&lt;&gt;""),1,0)</f>
        <v>3</v>
      </c>
      <c r="W3480" s="29"/>
    </row>
    <row r="3481" customFormat="false" ht="15" hidden="false" customHeight="false" outlineLevel="0" collapsed="false">
      <c r="A3481" s="32" t="str">
        <f aca="false">IF(B3481="","",ROW()-7)</f>
        <v/>
      </c>
      <c r="B3481" s="30"/>
      <c r="C3481" s="29"/>
      <c r="D3481" s="29"/>
      <c r="E3481" s="29"/>
      <c r="F3481" s="30"/>
      <c r="G3481" s="29"/>
      <c r="H3481" s="30"/>
      <c r="I3481" s="29"/>
      <c r="J3481" s="30"/>
      <c r="K3481" s="30"/>
      <c r="L3481" s="29"/>
      <c r="M3481" s="32" t="str">
        <f aca="false">IF(OR(C3481="",L3481=""),"",IF(C3481=L3481,"同一","変更"))</f>
        <v/>
      </c>
      <c r="N3481" s="29"/>
      <c r="O3481" s="30"/>
      <c r="P3481" s="29"/>
      <c r="Q3481" s="31"/>
      <c r="R3481" s="29"/>
      <c r="S3481" s="29"/>
      <c r="T3481" s="30"/>
      <c r="U3481" s="47" t="str">
        <f aca="false">IF(AND(B3481&lt;&gt;"",B3481=SW別シート!$C$3),COUNTIF(B$5:B3481,B3481),"")</f>
        <v/>
      </c>
      <c r="V3481" s="47" t="n">
        <f aca="false">V3480+IF(OR(O3481&lt;&gt;"",W3481&lt;&gt;""),1,0)</f>
        <v>3</v>
      </c>
      <c r="W3481" s="29"/>
    </row>
    <row r="3482" customFormat="false" ht="15" hidden="false" customHeight="false" outlineLevel="0" collapsed="false">
      <c r="A3482" s="32" t="str">
        <f aca="false">IF(B3482="","",ROW()-7)</f>
        <v/>
      </c>
      <c r="B3482" s="30"/>
      <c r="C3482" s="29"/>
      <c r="D3482" s="29"/>
      <c r="E3482" s="29"/>
      <c r="F3482" s="30"/>
      <c r="G3482" s="29"/>
      <c r="H3482" s="30"/>
      <c r="I3482" s="29"/>
      <c r="J3482" s="30"/>
      <c r="K3482" s="30"/>
      <c r="L3482" s="29"/>
      <c r="M3482" s="32" t="str">
        <f aca="false">IF(OR(C3482="",L3482=""),"",IF(C3482=L3482,"同一","変更"))</f>
        <v/>
      </c>
      <c r="N3482" s="29"/>
      <c r="O3482" s="30"/>
      <c r="P3482" s="29"/>
      <c r="Q3482" s="31"/>
      <c r="R3482" s="29"/>
      <c r="S3482" s="29"/>
      <c r="T3482" s="30"/>
      <c r="U3482" s="47" t="str">
        <f aca="false">IF(AND(B3482&lt;&gt;"",B3482=SW別シート!$C$3),COUNTIF(B$5:B3482,B3482),"")</f>
        <v/>
      </c>
      <c r="V3482" s="47" t="n">
        <f aca="false">V3481+IF(OR(O3482&lt;&gt;"",W3482&lt;&gt;""),1,0)</f>
        <v>3</v>
      </c>
      <c r="W3482" s="29"/>
    </row>
    <row r="3483" customFormat="false" ht="15" hidden="false" customHeight="false" outlineLevel="0" collapsed="false">
      <c r="A3483" s="32" t="str">
        <f aca="false">IF(B3483="","",ROW()-7)</f>
        <v/>
      </c>
      <c r="B3483" s="30"/>
      <c r="C3483" s="29"/>
      <c r="D3483" s="29"/>
      <c r="E3483" s="29"/>
      <c r="F3483" s="30"/>
      <c r="G3483" s="29"/>
      <c r="H3483" s="30"/>
      <c r="I3483" s="29"/>
      <c r="J3483" s="30"/>
      <c r="K3483" s="30"/>
      <c r="L3483" s="29"/>
      <c r="M3483" s="32" t="str">
        <f aca="false">IF(OR(C3483="",L3483=""),"",IF(C3483=L3483,"同一","変更"))</f>
        <v/>
      </c>
      <c r="N3483" s="29"/>
      <c r="O3483" s="30"/>
      <c r="P3483" s="29"/>
      <c r="Q3483" s="31"/>
      <c r="R3483" s="29"/>
      <c r="S3483" s="29"/>
      <c r="T3483" s="30"/>
      <c r="U3483" s="47" t="str">
        <f aca="false">IF(AND(B3483&lt;&gt;"",B3483=SW別シート!$C$3),COUNTIF(B$5:B3483,B3483),"")</f>
        <v/>
      </c>
      <c r="V3483" s="47" t="n">
        <f aca="false">V3482+IF(OR(O3483&lt;&gt;"",W3483&lt;&gt;""),1,0)</f>
        <v>3</v>
      </c>
      <c r="W3483" s="29"/>
    </row>
    <row r="3484" customFormat="false" ht="15" hidden="false" customHeight="false" outlineLevel="0" collapsed="false">
      <c r="A3484" s="32" t="str">
        <f aca="false">IF(B3484="","",ROW()-7)</f>
        <v/>
      </c>
      <c r="B3484" s="30"/>
      <c r="C3484" s="29"/>
      <c r="D3484" s="29"/>
      <c r="E3484" s="29"/>
      <c r="F3484" s="30"/>
      <c r="G3484" s="29"/>
      <c r="H3484" s="30"/>
      <c r="I3484" s="29"/>
      <c r="J3484" s="30"/>
      <c r="K3484" s="30"/>
      <c r="L3484" s="29"/>
      <c r="M3484" s="32" t="str">
        <f aca="false">IF(OR(C3484="",L3484=""),"",IF(C3484=L3484,"同一","変更"))</f>
        <v/>
      </c>
      <c r="N3484" s="29"/>
      <c r="O3484" s="30"/>
      <c r="P3484" s="29"/>
      <c r="Q3484" s="31"/>
      <c r="R3484" s="29"/>
      <c r="S3484" s="29"/>
      <c r="T3484" s="30"/>
      <c r="U3484" s="47" t="str">
        <f aca="false">IF(AND(B3484&lt;&gt;"",B3484=SW別シート!$C$3),COUNTIF(B$5:B3484,B3484),"")</f>
        <v/>
      </c>
      <c r="V3484" s="47" t="n">
        <f aca="false">V3483+IF(OR(O3484&lt;&gt;"",W3484&lt;&gt;""),1,0)</f>
        <v>3</v>
      </c>
      <c r="W3484" s="29"/>
    </row>
    <row r="3485" customFormat="false" ht="15" hidden="false" customHeight="false" outlineLevel="0" collapsed="false">
      <c r="A3485" s="32" t="str">
        <f aca="false">IF(B3485="","",ROW()-7)</f>
        <v/>
      </c>
      <c r="B3485" s="30"/>
      <c r="C3485" s="29"/>
      <c r="D3485" s="29"/>
      <c r="E3485" s="29"/>
      <c r="F3485" s="30"/>
      <c r="G3485" s="29"/>
      <c r="H3485" s="30"/>
      <c r="I3485" s="29"/>
      <c r="J3485" s="30"/>
      <c r="K3485" s="30"/>
      <c r="L3485" s="29"/>
      <c r="M3485" s="32" t="str">
        <f aca="false">IF(OR(C3485="",L3485=""),"",IF(C3485=L3485,"同一","変更"))</f>
        <v/>
      </c>
      <c r="N3485" s="29"/>
      <c r="O3485" s="30"/>
      <c r="P3485" s="29"/>
      <c r="Q3485" s="31"/>
      <c r="R3485" s="29"/>
      <c r="S3485" s="29"/>
      <c r="T3485" s="30"/>
      <c r="U3485" s="47" t="str">
        <f aca="false">IF(AND(B3485&lt;&gt;"",B3485=SW別シート!$C$3),COUNTIF(B$5:B3485,B3485),"")</f>
        <v/>
      </c>
      <c r="V3485" s="47" t="n">
        <f aca="false">V3484+IF(OR(O3485&lt;&gt;"",W3485&lt;&gt;""),1,0)</f>
        <v>3</v>
      </c>
      <c r="W3485" s="29"/>
    </row>
    <row r="3486" customFormat="false" ht="15" hidden="false" customHeight="false" outlineLevel="0" collapsed="false">
      <c r="A3486" s="32" t="str">
        <f aca="false">IF(B3486="","",ROW()-7)</f>
        <v/>
      </c>
      <c r="B3486" s="30"/>
      <c r="C3486" s="29"/>
      <c r="D3486" s="29"/>
      <c r="E3486" s="29"/>
      <c r="F3486" s="30"/>
      <c r="G3486" s="29"/>
      <c r="H3486" s="30"/>
      <c r="I3486" s="29"/>
      <c r="J3486" s="30"/>
      <c r="K3486" s="30"/>
      <c r="L3486" s="29"/>
      <c r="M3486" s="32" t="str">
        <f aca="false">IF(OR(C3486="",L3486=""),"",IF(C3486=L3486,"同一","変更"))</f>
        <v/>
      </c>
      <c r="N3486" s="29"/>
      <c r="O3486" s="30"/>
      <c r="P3486" s="29"/>
      <c r="Q3486" s="31"/>
      <c r="R3486" s="29"/>
      <c r="S3486" s="29"/>
      <c r="T3486" s="30"/>
      <c r="U3486" s="47" t="str">
        <f aca="false">IF(AND(B3486&lt;&gt;"",B3486=SW別シート!$C$3),COUNTIF(B$5:B3486,B3486),"")</f>
        <v/>
      </c>
      <c r="V3486" s="47" t="n">
        <f aca="false">V3485+IF(OR(O3486&lt;&gt;"",W3486&lt;&gt;""),1,0)</f>
        <v>3</v>
      </c>
      <c r="W3486" s="29"/>
    </row>
    <row r="3487" customFormat="false" ht="15" hidden="false" customHeight="false" outlineLevel="0" collapsed="false">
      <c r="A3487" s="32" t="str">
        <f aca="false">IF(B3487="","",ROW()-7)</f>
        <v/>
      </c>
      <c r="B3487" s="30"/>
      <c r="C3487" s="29"/>
      <c r="D3487" s="29"/>
      <c r="E3487" s="29"/>
      <c r="F3487" s="30"/>
      <c r="G3487" s="29"/>
      <c r="H3487" s="30"/>
      <c r="I3487" s="29"/>
      <c r="J3487" s="30"/>
      <c r="K3487" s="30"/>
      <c r="L3487" s="29"/>
      <c r="M3487" s="32" t="str">
        <f aca="false">IF(OR(C3487="",L3487=""),"",IF(C3487=L3487,"同一","変更"))</f>
        <v/>
      </c>
      <c r="N3487" s="29"/>
      <c r="O3487" s="30"/>
      <c r="P3487" s="29"/>
      <c r="Q3487" s="31"/>
      <c r="R3487" s="29"/>
      <c r="S3487" s="29"/>
      <c r="T3487" s="30"/>
      <c r="U3487" s="47" t="str">
        <f aca="false">IF(AND(B3487&lt;&gt;"",B3487=SW別シート!$C$3),COUNTIF(B$5:B3487,B3487),"")</f>
        <v/>
      </c>
      <c r="V3487" s="47" t="n">
        <f aca="false">V3486+IF(OR(O3487&lt;&gt;"",W3487&lt;&gt;""),1,0)</f>
        <v>3</v>
      </c>
      <c r="W3487" s="29"/>
    </row>
    <row r="3488" customFormat="false" ht="15" hidden="false" customHeight="false" outlineLevel="0" collapsed="false">
      <c r="A3488" s="32" t="str">
        <f aca="false">IF(B3488="","",ROW()-7)</f>
        <v/>
      </c>
      <c r="B3488" s="30"/>
      <c r="C3488" s="29"/>
      <c r="D3488" s="29"/>
      <c r="E3488" s="29"/>
      <c r="F3488" s="30"/>
      <c r="G3488" s="29"/>
      <c r="H3488" s="30"/>
      <c r="I3488" s="29"/>
      <c r="J3488" s="30"/>
      <c r="K3488" s="30"/>
      <c r="L3488" s="29"/>
      <c r="M3488" s="32" t="str">
        <f aca="false">IF(OR(C3488="",L3488=""),"",IF(C3488=L3488,"同一","変更"))</f>
        <v/>
      </c>
      <c r="N3488" s="29"/>
      <c r="O3488" s="30"/>
      <c r="P3488" s="29"/>
      <c r="Q3488" s="31"/>
      <c r="R3488" s="29"/>
      <c r="S3488" s="29"/>
      <c r="T3488" s="30"/>
      <c r="U3488" s="47" t="str">
        <f aca="false">IF(AND(B3488&lt;&gt;"",B3488=SW別シート!$C$3),COUNTIF(B$5:B3488,B3488),"")</f>
        <v/>
      </c>
      <c r="V3488" s="47" t="n">
        <f aca="false">V3487+IF(OR(O3488&lt;&gt;"",W3488&lt;&gt;""),1,0)</f>
        <v>3</v>
      </c>
      <c r="W3488" s="29"/>
    </row>
    <row r="3489" customFormat="false" ht="15" hidden="false" customHeight="false" outlineLevel="0" collapsed="false">
      <c r="A3489" s="32" t="str">
        <f aca="false">IF(B3489="","",ROW()-7)</f>
        <v/>
      </c>
      <c r="B3489" s="30"/>
      <c r="C3489" s="29"/>
      <c r="D3489" s="29"/>
      <c r="E3489" s="29"/>
      <c r="F3489" s="30"/>
      <c r="G3489" s="29"/>
      <c r="H3489" s="30"/>
      <c r="I3489" s="29"/>
      <c r="J3489" s="30"/>
      <c r="K3489" s="30"/>
      <c r="L3489" s="29"/>
      <c r="M3489" s="32" t="str">
        <f aca="false">IF(OR(C3489="",L3489=""),"",IF(C3489=L3489,"同一","変更"))</f>
        <v/>
      </c>
      <c r="N3489" s="29"/>
      <c r="O3489" s="30"/>
      <c r="P3489" s="29"/>
      <c r="Q3489" s="31"/>
      <c r="R3489" s="29"/>
      <c r="S3489" s="29"/>
      <c r="T3489" s="30"/>
      <c r="U3489" s="47" t="str">
        <f aca="false">IF(AND(B3489&lt;&gt;"",B3489=SW別シート!$C$3),COUNTIF(B$5:B3489,B3489),"")</f>
        <v/>
      </c>
      <c r="V3489" s="47" t="n">
        <f aca="false">V3488+IF(OR(O3489&lt;&gt;"",W3489&lt;&gt;""),1,0)</f>
        <v>3</v>
      </c>
      <c r="W3489" s="29"/>
    </row>
    <row r="3490" customFormat="false" ht="15" hidden="false" customHeight="false" outlineLevel="0" collapsed="false">
      <c r="A3490" s="32" t="str">
        <f aca="false">IF(B3490="","",ROW()-7)</f>
        <v/>
      </c>
      <c r="B3490" s="30"/>
      <c r="C3490" s="29"/>
      <c r="D3490" s="29"/>
      <c r="E3490" s="29"/>
      <c r="F3490" s="30"/>
      <c r="G3490" s="29"/>
      <c r="H3490" s="30"/>
      <c r="I3490" s="29"/>
      <c r="J3490" s="30"/>
      <c r="K3490" s="30"/>
      <c r="L3490" s="29"/>
      <c r="M3490" s="32" t="str">
        <f aca="false">IF(OR(C3490="",L3490=""),"",IF(C3490=L3490,"同一","変更"))</f>
        <v/>
      </c>
      <c r="N3490" s="29"/>
      <c r="O3490" s="30"/>
      <c r="P3490" s="29"/>
      <c r="Q3490" s="31"/>
      <c r="R3490" s="29"/>
      <c r="S3490" s="29"/>
      <c r="T3490" s="30"/>
      <c r="U3490" s="47" t="str">
        <f aca="false">IF(AND(B3490&lt;&gt;"",B3490=SW別シート!$C$3),COUNTIF(B$5:B3490,B3490),"")</f>
        <v/>
      </c>
      <c r="V3490" s="47" t="n">
        <f aca="false">V3489+IF(OR(O3490&lt;&gt;"",W3490&lt;&gt;""),1,0)</f>
        <v>3</v>
      </c>
      <c r="W3490" s="29"/>
    </row>
    <row r="3491" customFormat="false" ht="15" hidden="false" customHeight="false" outlineLevel="0" collapsed="false">
      <c r="A3491" s="32" t="str">
        <f aca="false">IF(B3491="","",ROW()-7)</f>
        <v/>
      </c>
      <c r="B3491" s="30"/>
      <c r="C3491" s="29"/>
      <c r="D3491" s="29"/>
      <c r="E3491" s="29"/>
      <c r="F3491" s="30"/>
      <c r="G3491" s="29"/>
      <c r="H3491" s="30"/>
      <c r="I3491" s="29"/>
      <c r="J3491" s="30"/>
      <c r="K3491" s="30"/>
      <c r="L3491" s="29"/>
      <c r="M3491" s="32" t="str">
        <f aca="false">IF(OR(C3491="",L3491=""),"",IF(C3491=L3491,"同一","変更"))</f>
        <v/>
      </c>
      <c r="N3491" s="29"/>
      <c r="O3491" s="30"/>
      <c r="P3491" s="29"/>
      <c r="Q3491" s="31"/>
      <c r="R3491" s="29"/>
      <c r="S3491" s="29"/>
      <c r="T3491" s="30"/>
      <c r="U3491" s="47" t="str">
        <f aca="false">IF(AND(B3491&lt;&gt;"",B3491=SW別シート!$C$3),COUNTIF(B$5:B3491,B3491),"")</f>
        <v/>
      </c>
      <c r="V3491" s="47" t="n">
        <f aca="false">V3490+IF(OR(O3491&lt;&gt;"",W3491&lt;&gt;""),1,0)</f>
        <v>3</v>
      </c>
      <c r="W3491" s="29"/>
    </row>
    <row r="3492" customFormat="false" ht="15" hidden="false" customHeight="false" outlineLevel="0" collapsed="false">
      <c r="A3492" s="32" t="str">
        <f aca="false">IF(B3492="","",ROW()-7)</f>
        <v/>
      </c>
      <c r="B3492" s="30"/>
      <c r="C3492" s="29"/>
      <c r="D3492" s="29"/>
      <c r="E3492" s="29"/>
      <c r="F3492" s="30"/>
      <c r="G3492" s="29"/>
      <c r="H3492" s="30"/>
      <c r="I3492" s="29"/>
      <c r="J3492" s="30"/>
      <c r="K3492" s="30"/>
      <c r="L3492" s="29"/>
      <c r="M3492" s="32" t="str">
        <f aca="false">IF(OR(C3492="",L3492=""),"",IF(C3492=L3492,"同一","変更"))</f>
        <v/>
      </c>
      <c r="N3492" s="29"/>
      <c r="O3492" s="30"/>
      <c r="P3492" s="29"/>
      <c r="Q3492" s="31"/>
      <c r="R3492" s="29"/>
      <c r="S3492" s="29"/>
      <c r="T3492" s="30"/>
      <c r="U3492" s="47" t="str">
        <f aca="false">IF(AND(B3492&lt;&gt;"",B3492=SW別シート!$C$3),COUNTIF(B$5:B3492,B3492),"")</f>
        <v/>
      </c>
      <c r="V3492" s="47" t="n">
        <f aca="false">V3491+IF(OR(O3492&lt;&gt;"",W3492&lt;&gt;""),1,0)</f>
        <v>3</v>
      </c>
      <c r="W3492" s="29"/>
    </row>
    <row r="3493" customFormat="false" ht="15" hidden="false" customHeight="false" outlineLevel="0" collapsed="false">
      <c r="A3493" s="32" t="str">
        <f aca="false">IF(B3493="","",ROW()-7)</f>
        <v/>
      </c>
      <c r="B3493" s="30"/>
      <c r="C3493" s="29"/>
      <c r="D3493" s="29"/>
      <c r="E3493" s="29"/>
      <c r="F3493" s="30"/>
      <c r="G3493" s="29"/>
      <c r="H3493" s="30"/>
      <c r="I3493" s="29"/>
      <c r="J3493" s="30"/>
      <c r="K3493" s="30"/>
      <c r="L3493" s="29"/>
      <c r="M3493" s="32" t="str">
        <f aca="false">IF(OR(C3493="",L3493=""),"",IF(C3493=L3493,"同一","変更"))</f>
        <v/>
      </c>
      <c r="N3493" s="29"/>
      <c r="O3493" s="30"/>
      <c r="P3493" s="29"/>
      <c r="Q3493" s="31"/>
      <c r="R3493" s="29"/>
      <c r="S3493" s="29"/>
      <c r="T3493" s="30"/>
      <c r="U3493" s="47" t="str">
        <f aca="false">IF(AND(B3493&lt;&gt;"",B3493=SW別シート!$C$3),COUNTIF(B$5:B3493,B3493),"")</f>
        <v/>
      </c>
      <c r="V3493" s="47" t="n">
        <f aca="false">V3492+IF(OR(O3493&lt;&gt;"",W3493&lt;&gt;""),1,0)</f>
        <v>3</v>
      </c>
      <c r="W3493" s="29"/>
    </row>
    <row r="3494" customFormat="false" ht="15" hidden="false" customHeight="false" outlineLevel="0" collapsed="false">
      <c r="A3494" s="32" t="str">
        <f aca="false">IF(B3494="","",ROW()-7)</f>
        <v/>
      </c>
      <c r="B3494" s="30"/>
      <c r="C3494" s="29"/>
      <c r="D3494" s="29"/>
      <c r="E3494" s="29"/>
      <c r="F3494" s="30"/>
      <c r="G3494" s="29"/>
      <c r="H3494" s="30"/>
      <c r="I3494" s="29"/>
      <c r="J3494" s="30"/>
      <c r="K3494" s="30"/>
      <c r="L3494" s="29"/>
      <c r="M3494" s="32" t="str">
        <f aca="false">IF(OR(C3494="",L3494=""),"",IF(C3494=L3494,"同一","変更"))</f>
        <v/>
      </c>
      <c r="N3494" s="29"/>
      <c r="O3494" s="30"/>
      <c r="P3494" s="29"/>
      <c r="Q3494" s="31"/>
      <c r="R3494" s="29"/>
      <c r="S3494" s="29"/>
      <c r="T3494" s="30"/>
      <c r="U3494" s="47" t="str">
        <f aca="false">IF(AND(B3494&lt;&gt;"",B3494=SW別シート!$C$3),COUNTIF(B$5:B3494,B3494),"")</f>
        <v/>
      </c>
      <c r="V3494" s="47" t="n">
        <f aca="false">V3493+IF(OR(O3494&lt;&gt;"",W3494&lt;&gt;""),1,0)</f>
        <v>3</v>
      </c>
      <c r="W3494" s="29"/>
    </row>
    <row r="3495" customFormat="false" ht="15" hidden="false" customHeight="false" outlineLevel="0" collapsed="false">
      <c r="A3495" s="32" t="str">
        <f aca="false">IF(B3495="","",ROW()-7)</f>
        <v/>
      </c>
      <c r="B3495" s="30"/>
      <c r="C3495" s="29"/>
      <c r="D3495" s="29"/>
      <c r="E3495" s="29"/>
      <c r="F3495" s="30"/>
      <c r="G3495" s="29"/>
      <c r="H3495" s="30"/>
      <c r="I3495" s="29"/>
      <c r="J3495" s="30"/>
      <c r="K3495" s="30"/>
      <c r="L3495" s="29"/>
      <c r="M3495" s="32" t="str">
        <f aca="false">IF(OR(C3495="",L3495=""),"",IF(C3495=L3495,"同一","変更"))</f>
        <v/>
      </c>
      <c r="N3495" s="29"/>
      <c r="O3495" s="30"/>
      <c r="P3495" s="29"/>
      <c r="Q3495" s="31"/>
      <c r="R3495" s="29"/>
      <c r="S3495" s="29"/>
      <c r="T3495" s="30"/>
      <c r="U3495" s="47" t="str">
        <f aca="false">IF(AND(B3495&lt;&gt;"",B3495=SW別シート!$C$3),COUNTIF(B$5:B3495,B3495),"")</f>
        <v/>
      </c>
      <c r="V3495" s="47" t="n">
        <f aca="false">V3494+IF(OR(O3495&lt;&gt;"",W3495&lt;&gt;""),1,0)</f>
        <v>3</v>
      </c>
      <c r="W3495" s="29"/>
    </row>
    <row r="3496" customFormat="false" ht="15" hidden="false" customHeight="false" outlineLevel="0" collapsed="false">
      <c r="A3496" s="32" t="str">
        <f aca="false">IF(B3496="","",ROW()-7)</f>
        <v/>
      </c>
      <c r="B3496" s="30"/>
      <c r="C3496" s="29"/>
      <c r="D3496" s="29"/>
      <c r="E3496" s="29"/>
      <c r="F3496" s="30"/>
      <c r="G3496" s="29"/>
      <c r="H3496" s="30"/>
      <c r="I3496" s="29"/>
      <c r="J3496" s="30"/>
      <c r="K3496" s="30"/>
      <c r="L3496" s="29"/>
      <c r="M3496" s="32" t="str">
        <f aca="false">IF(OR(C3496="",L3496=""),"",IF(C3496=L3496,"同一","変更"))</f>
        <v/>
      </c>
      <c r="N3496" s="29"/>
      <c r="O3496" s="30"/>
      <c r="P3496" s="29"/>
      <c r="Q3496" s="31"/>
      <c r="R3496" s="29"/>
      <c r="S3496" s="29"/>
      <c r="T3496" s="30"/>
      <c r="U3496" s="47" t="str">
        <f aca="false">IF(AND(B3496&lt;&gt;"",B3496=SW別シート!$C$3),COUNTIF(B$5:B3496,B3496),"")</f>
        <v/>
      </c>
      <c r="V3496" s="47" t="n">
        <f aca="false">V3495+IF(OR(O3496&lt;&gt;"",W3496&lt;&gt;""),1,0)</f>
        <v>3</v>
      </c>
      <c r="W3496" s="29"/>
    </row>
    <row r="3497" customFormat="false" ht="15" hidden="false" customHeight="false" outlineLevel="0" collapsed="false">
      <c r="A3497" s="32" t="str">
        <f aca="false">IF(B3497="","",ROW()-7)</f>
        <v/>
      </c>
      <c r="B3497" s="30"/>
      <c r="C3497" s="29"/>
      <c r="D3497" s="29"/>
      <c r="E3497" s="29"/>
      <c r="F3497" s="30"/>
      <c r="G3497" s="29"/>
      <c r="H3497" s="30"/>
      <c r="I3497" s="29"/>
      <c r="J3497" s="30"/>
      <c r="K3497" s="30"/>
      <c r="L3497" s="29"/>
      <c r="M3497" s="32" t="str">
        <f aca="false">IF(OR(C3497="",L3497=""),"",IF(C3497=L3497,"同一","変更"))</f>
        <v/>
      </c>
      <c r="N3497" s="29"/>
      <c r="O3497" s="30"/>
      <c r="P3497" s="29"/>
      <c r="Q3497" s="31"/>
      <c r="R3497" s="29"/>
      <c r="S3497" s="29"/>
      <c r="T3497" s="30"/>
      <c r="U3497" s="47" t="str">
        <f aca="false">IF(AND(B3497&lt;&gt;"",B3497=SW別シート!$C$3),COUNTIF(B$5:B3497,B3497),"")</f>
        <v/>
      </c>
      <c r="V3497" s="47" t="n">
        <f aca="false">V3496+IF(OR(O3497&lt;&gt;"",W3497&lt;&gt;""),1,0)</f>
        <v>3</v>
      </c>
      <c r="W3497" s="29"/>
    </row>
    <row r="3498" customFormat="false" ht="15" hidden="false" customHeight="false" outlineLevel="0" collapsed="false">
      <c r="A3498" s="32" t="str">
        <f aca="false">IF(B3498="","",ROW()-7)</f>
        <v/>
      </c>
      <c r="B3498" s="30"/>
      <c r="C3498" s="29"/>
      <c r="D3498" s="29"/>
      <c r="E3498" s="29"/>
      <c r="F3498" s="30"/>
      <c r="G3498" s="29"/>
      <c r="H3498" s="30"/>
      <c r="I3498" s="29"/>
      <c r="J3498" s="30"/>
      <c r="K3498" s="30"/>
      <c r="L3498" s="29"/>
      <c r="M3498" s="32" t="str">
        <f aca="false">IF(OR(C3498="",L3498=""),"",IF(C3498=L3498,"同一","変更"))</f>
        <v/>
      </c>
      <c r="N3498" s="29"/>
      <c r="O3498" s="30"/>
      <c r="P3498" s="29"/>
      <c r="Q3498" s="31"/>
      <c r="R3498" s="29"/>
      <c r="S3498" s="29"/>
      <c r="T3498" s="30"/>
      <c r="U3498" s="47" t="str">
        <f aca="false">IF(AND(B3498&lt;&gt;"",B3498=SW別シート!$C$3),COUNTIF(B$5:B3498,B3498),"")</f>
        <v/>
      </c>
      <c r="V3498" s="47" t="n">
        <f aca="false">V3497+IF(OR(O3498&lt;&gt;"",W3498&lt;&gt;""),1,0)</f>
        <v>3</v>
      </c>
      <c r="W3498" s="29"/>
    </row>
    <row r="3499" customFormat="false" ht="15" hidden="false" customHeight="false" outlineLevel="0" collapsed="false">
      <c r="A3499" s="32" t="str">
        <f aca="false">IF(B3499="","",ROW()-7)</f>
        <v/>
      </c>
      <c r="B3499" s="30"/>
      <c r="C3499" s="29"/>
      <c r="D3499" s="29"/>
      <c r="E3499" s="29"/>
      <c r="F3499" s="30"/>
      <c r="G3499" s="29"/>
      <c r="H3499" s="30"/>
      <c r="I3499" s="29"/>
      <c r="J3499" s="30"/>
      <c r="K3499" s="30"/>
      <c r="L3499" s="29"/>
      <c r="M3499" s="32" t="str">
        <f aca="false">IF(OR(C3499="",L3499=""),"",IF(C3499=L3499,"同一","変更"))</f>
        <v/>
      </c>
      <c r="N3499" s="29"/>
      <c r="O3499" s="30"/>
      <c r="P3499" s="29"/>
      <c r="Q3499" s="31"/>
      <c r="R3499" s="29"/>
      <c r="S3499" s="29"/>
      <c r="T3499" s="30"/>
      <c r="U3499" s="47" t="str">
        <f aca="false">IF(AND(B3499&lt;&gt;"",B3499=SW別シート!$C$3),COUNTIF(B$5:B3499,B3499),"")</f>
        <v/>
      </c>
      <c r="V3499" s="47" t="n">
        <f aca="false">V3498+IF(OR(O3499&lt;&gt;"",W3499&lt;&gt;""),1,0)</f>
        <v>3</v>
      </c>
      <c r="W3499" s="29"/>
    </row>
    <row r="3500" customFormat="false" ht="15" hidden="false" customHeight="false" outlineLevel="0" collapsed="false">
      <c r="A3500" s="32" t="str">
        <f aca="false">IF(B3500="","",ROW()-7)</f>
        <v/>
      </c>
      <c r="B3500" s="30"/>
      <c r="C3500" s="29"/>
      <c r="D3500" s="29"/>
      <c r="E3500" s="29"/>
      <c r="F3500" s="30"/>
      <c r="G3500" s="29"/>
      <c r="H3500" s="30"/>
      <c r="I3500" s="29"/>
      <c r="J3500" s="30"/>
      <c r="K3500" s="30"/>
      <c r="L3500" s="29"/>
      <c r="M3500" s="32" t="str">
        <f aca="false">IF(OR(C3500="",L3500=""),"",IF(C3500=L3500,"同一","変更"))</f>
        <v/>
      </c>
      <c r="N3500" s="29"/>
      <c r="O3500" s="30"/>
      <c r="P3500" s="29"/>
      <c r="Q3500" s="31"/>
      <c r="R3500" s="29"/>
      <c r="S3500" s="29"/>
      <c r="T3500" s="30"/>
      <c r="U3500" s="47" t="str">
        <f aca="false">IF(AND(B3500&lt;&gt;"",B3500=SW別シート!$C$3),COUNTIF(B$5:B3500,B3500),"")</f>
        <v/>
      </c>
      <c r="V3500" s="47" t="n">
        <f aca="false">V3499+IF(OR(O3500&lt;&gt;"",W3500&lt;&gt;""),1,0)</f>
        <v>3</v>
      </c>
      <c r="W3500" s="29"/>
    </row>
    <row r="3501" customFormat="false" ht="15" hidden="false" customHeight="false" outlineLevel="0" collapsed="false">
      <c r="A3501" s="32" t="str">
        <f aca="false">IF(B3501="","",ROW()-7)</f>
        <v/>
      </c>
      <c r="B3501" s="30"/>
      <c r="C3501" s="29"/>
      <c r="D3501" s="29"/>
      <c r="E3501" s="29"/>
      <c r="F3501" s="30"/>
      <c r="G3501" s="29"/>
      <c r="H3501" s="30"/>
      <c r="I3501" s="29"/>
      <c r="J3501" s="30"/>
      <c r="K3501" s="30"/>
      <c r="L3501" s="29"/>
      <c r="M3501" s="32" t="str">
        <f aca="false">IF(OR(C3501="",L3501=""),"",IF(C3501=L3501,"同一","変更"))</f>
        <v/>
      </c>
      <c r="N3501" s="29"/>
      <c r="O3501" s="30"/>
      <c r="P3501" s="29"/>
      <c r="Q3501" s="31"/>
      <c r="R3501" s="29"/>
      <c r="S3501" s="29"/>
      <c r="T3501" s="30"/>
      <c r="U3501" s="47" t="str">
        <f aca="false">IF(AND(B3501&lt;&gt;"",B3501=SW別シート!$C$3),COUNTIF(B$5:B3501,B3501),"")</f>
        <v/>
      </c>
      <c r="V3501" s="47" t="n">
        <f aca="false">V3500+IF(OR(O3501&lt;&gt;"",W3501&lt;&gt;""),1,0)</f>
        <v>3</v>
      </c>
      <c r="W3501" s="29"/>
    </row>
    <row r="3502" customFormat="false" ht="15" hidden="false" customHeight="false" outlineLevel="0" collapsed="false">
      <c r="A3502" s="32" t="str">
        <f aca="false">IF(B3502="","",ROW()-7)</f>
        <v/>
      </c>
      <c r="B3502" s="30"/>
      <c r="C3502" s="29"/>
      <c r="D3502" s="29"/>
      <c r="E3502" s="29"/>
      <c r="F3502" s="30"/>
      <c r="G3502" s="29"/>
      <c r="H3502" s="30"/>
      <c r="I3502" s="29"/>
      <c r="J3502" s="30"/>
      <c r="K3502" s="30"/>
      <c r="L3502" s="29"/>
      <c r="M3502" s="32" t="str">
        <f aca="false">IF(OR(C3502="",L3502=""),"",IF(C3502=L3502,"同一","変更"))</f>
        <v/>
      </c>
      <c r="N3502" s="29"/>
      <c r="O3502" s="30"/>
      <c r="P3502" s="29"/>
      <c r="Q3502" s="31"/>
      <c r="R3502" s="29"/>
      <c r="S3502" s="29"/>
      <c r="T3502" s="30"/>
      <c r="U3502" s="47" t="str">
        <f aca="false">IF(AND(B3502&lt;&gt;"",B3502=SW別シート!$C$3),COUNTIF(B$5:B3502,B3502),"")</f>
        <v/>
      </c>
      <c r="V3502" s="47" t="n">
        <f aca="false">V3501+IF(OR(O3502&lt;&gt;"",W3502&lt;&gt;""),1,0)</f>
        <v>3</v>
      </c>
      <c r="W3502" s="29"/>
    </row>
    <row r="3503" customFormat="false" ht="15" hidden="false" customHeight="false" outlineLevel="0" collapsed="false">
      <c r="A3503" s="32" t="str">
        <f aca="false">IF(B3503="","",ROW()-7)</f>
        <v/>
      </c>
      <c r="B3503" s="30"/>
      <c r="C3503" s="29"/>
      <c r="D3503" s="29"/>
      <c r="E3503" s="29"/>
      <c r="F3503" s="30"/>
      <c r="G3503" s="29"/>
      <c r="H3503" s="30"/>
      <c r="I3503" s="29"/>
      <c r="J3503" s="30"/>
      <c r="K3503" s="30"/>
      <c r="L3503" s="29"/>
      <c r="M3503" s="32" t="str">
        <f aca="false">IF(OR(C3503="",L3503=""),"",IF(C3503=L3503,"同一","変更"))</f>
        <v/>
      </c>
      <c r="N3503" s="29"/>
      <c r="O3503" s="30"/>
      <c r="P3503" s="29"/>
      <c r="Q3503" s="31"/>
      <c r="R3503" s="29"/>
      <c r="S3503" s="29"/>
      <c r="T3503" s="30"/>
      <c r="U3503" s="47" t="str">
        <f aca="false">IF(AND(B3503&lt;&gt;"",B3503=SW別シート!$C$3),COUNTIF(B$5:B3503,B3503),"")</f>
        <v/>
      </c>
      <c r="V3503" s="47" t="n">
        <f aca="false">V3502+IF(OR(O3503&lt;&gt;"",W3503&lt;&gt;""),1,0)</f>
        <v>3</v>
      </c>
      <c r="W3503" s="29"/>
    </row>
    <row r="3504" customFormat="false" ht="15" hidden="false" customHeight="false" outlineLevel="0" collapsed="false">
      <c r="A3504" s="32" t="str">
        <f aca="false">IF(B3504="","",ROW()-7)</f>
        <v/>
      </c>
      <c r="B3504" s="30"/>
      <c r="C3504" s="29"/>
      <c r="D3504" s="29"/>
      <c r="E3504" s="29"/>
      <c r="F3504" s="30"/>
      <c r="G3504" s="29"/>
      <c r="H3504" s="30"/>
      <c r="I3504" s="29"/>
      <c r="J3504" s="30"/>
      <c r="K3504" s="30"/>
      <c r="L3504" s="29"/>
      <c r="M3504" s="32" t="str">
        <f aca="false">IF(OR(C3504="",L3504=""),"",IF(C3504=L3504,"同一","変更"))</f>
        <v/>
      </c>
      <c r="N3504" s="29"/>
      <c r="O3504" s="30"/>
      <c r="P3504" s="29"/>
      <c r="Q3504" s="31"/>
      <c r="R3504" s="29"/>
      <c r="S3504" s="29"/>
      <c r="T3504" s="30"/>
      <c r="U3504" s="47" t="str">
        <f aca="false">IF(AND(B3504&lt;&gt;"",B3504=SW別シート!$C$3),COUNTIF(B$5:B3504,B3504),"")</f>
        <v/>
      </c>
      <c r="V3504" s="47" t="n">
        <f aca="false">V3503+IF(OR(O3504&lt;&gt;"",W3504&lt;&gt;""),1,0)</f>
        <v>3</v>
      </c>
      <c r="W3504" s="29"/>
    </row>
    <row r="3505" customFormat="false" ht="15" hidden="false" customHeight="false" outlineLevel="0" collapsed="false">
      <c r="A3505" s="32" t="str">
        <f aca="false">IF(B3505="","",ROW()-7)</f>
        <v/>
      </c>
      <c r="B3505" s="30"/>
      <c r="C3505" s="29"/>
      <c r="D3505" s="29"/>
      <c r="E3505" s="29"/>
      <c r="F3505" s="30"/>
      <c r="G3505" s="29"/>
      <c r="H3505" s="30"/>
      <c r="I3505" s="29"/>
      <c r="J3505" s="30"/>
      <c r="K3505" s="30"/>
      <c r="L3505" s="29"/>
      <c r="M3505" s="32" t="str">
        <f aca="false">IF(OR(C3505="",L3505=""),"",IF(C3505=L3505,"同一","変更"))</f>
        <v/>
      </c>
      <c r="N3505" s="29"/>
      <c r="O3505" s="30"/>
      <c r="P3505" s="29"/>
      <c r="Q3505" s="31"/>
      <c r="R3505" s="29"/>
      <c r="S3505" s="29"/>
      <c r="T3505" s="30"/>
      <c r="U3505" s="47" t="str">
        <f aca="false">IF(AND(B3505&lt;&gt;"",B3505=SW別シート!$C$3),COUNTIF(B$5:B3505,B3505),"")</f>
        <v/>
      </c>
      <c r="V3505" s="47" t="n">
        <f aca="false">V3504+IF(OR(O3505&lt;&gt;"",W3505&lt;&gt;""),1,0)</f>
        <v>3</v>
      </c>
      <c r="W3505" s="29"/>
    </row>
    <row r="3506" customFormat="false" ht="15" hidden="false" customHeight="false" outlineLevel="0" collapsed="false">
      <c r="A3506" s="32" t="str">
        <f aca="false">IF(B3506="","",ROW()-7)</f>
        <v/>
      </c>
      <c r="B3506" s="30"/>
      <c r="C3506" s="29"/>
      <c r="D3506" s="29"/>
      <c r="E3506" s="29"/>
      <c r="F3506" s="30"/>
      <c r="G3506" s="29"/>
      <c r="H3506" s="30"/>
      <c r="I3506" s="29"/>
      <c r="J3506" s="30"/>
      <c r="K3506" s="30"/>
      <c r="L3506" s="29"/>
      <c r="M3506" s="32" t="str">
        <f aca="false">IF(OR(C3506="",L3506=""),"",IF(C3506=L3506,"同一","変更"))</f>
        <v/>
      </c>
      <c r="N3506" s="29"/>
      <c r="O3506" s="30"/>
      <c r="P3506" s="29"/>
      <c r="Q3506" s="31"/>
      <c r="R3506" s="29"/>
      <c r="S3506" s="29"/>
      <c r="T3506" s="30"/>
      <c r="U3506" s="47" t="str">
        <f aca="false">IF(AND(B3506&lt;&gt;"",B3506=SW別シート!$C$3),COUNTIF(B$5:B3506,B3506),"")</f>
        <v/>
      </c>
      <c r="V3506" s="47" t="n">
        <f aca="false">V3505+IF(OR(O3506&lt;&gt;"",W3506&lt;&gt;""),1,0)</f>
        <v>3</v>
      </c>
      <c r="W3506" s="29"/>
    </row>
    <row r="3507" customFormat="false" ht="15" hidden="false" customHeight="false" outlineLevel="0" collapsed="false">
      <c r="A3507" s="32" t="str">
        <f aca="false">IF(B3507="","",ROW()-7)</f>
        <v/>
      </c>
      <c r="B3507" s="30"/>
      <c r="C3507" s="29"/>
      <c r="D3507" s="29"/>
      <c r="E3507" s="29"/>
      <c r="F3507" s="30"/>
      <c r="G3507" s="29"/>
      <c r="H3507" s="30"/>
      <c r="I3507" s="29"/>
      <c r="J3507" s="30"/>
      <c r="K3507" s="30"/>
      <c r="L3507" s="29"/>
      <c r="M3507" s="32" t="str">
        <f aca="false">IF(OR(C3507="",L3507=""),"",IF(C3507=L3507,"同一","変更"))</f>
        <v/>
      </c>
      <c r="N3507" s="29"/>
      <c r="O3507" s="30"/>
      <c r="P3507" s="29"/>
      <c r="Q3507" s="31"/>
      <c r="R3507" s="29"/>
      <c r="S3507" s="29"/>
      <c r="T3507" s="30"/>
      <c r="U3507" s="47" t="str">
        <f aca="false">IF(AND(B3507&lt;&gt;"",B3507=SW別シート!$C$3),COUNTIF(B$5:B3507,B3507),"")</f>
        <v/>
      </c>
      <c r="V3507" s="47" t="n">
        <f aca="false">V3506+IF(OR(O3507&lt;&gt;"",W3507&lt;&gt;""),1,0)</f>
        <v>3</v>
      </c>
      <c r="W3507" s="29"/>
    </row>
  </sheetData>
  <autoFilter ref="A4:W3507"/>
  <mergeCells count="3">
    <mergeCell ref="B3:J3"/>
    <mergeCell ref="K3:O3"/>
    <mergeCell ref="P3:T3"/>
  </mergeCells>
  <conditionalFormatting sqref="M5:M3507">
    <cfRule type="cellIs" priority="2" operator="equal" aboveAverage="0" equalAverage="0" bottom="0" percent="0" rank="0" text="" dxfId="19">
      <formula>"変更"</formula>
    </cfRule>
  </conditionalFormatting>
  <conditionalFormatting sqref="P5:P3507">
    <cfRule type="cellIs" priority="3" operator="equal" aboveAverage="0" equalAverage="0" bottom="0" percent="0" rank="0" text="" dxfId="8">
      <formula>"疎通確認済"</formula>
    </cfRule>
    <cfRule type="cellIs" priority="4" operator="equal" aboveAverage="0" equalAverage="0" bottom="0" percent="0" rank="0" text="" dxfId="20">
      <formula>"切替済"</formula>
    </cfRule>
    <cfRule type="cellIs" priority="5" operator="equal" aboveAverage="0" equalAverage="0" bottom="0" percent="0" rank="0" text="" dxfId="21">
      <formula>"準備済"</formula>
    </cfRule>
    <cfRule type="cellIs" priority="6" operator="equal" aboveAverage="0" equalAverage="0" bottom="0" percent="0" rank="0" text="" dxfId="22">
      <formula>"保留"</formula>
    </cfRule>
  </conditionalFormatting>
  <conditionalFormatting sqref="B5:B3507">
    <cfRule type="expression" priority="7" aboveAverage="0" equalAverage="0" bottom="0" percent="0" rank="0" text="" dxfId="23">
      <formula>AND($B5&lt;&gt;"",$K5="")</formula>
    </cfRule>
  </conditionalFormatting>
  <conditionalFormatting sqref="K5:L3507">
    <cfRule type="expression" priority="8" aboveAverage="0" equalAverage="0" bottom="0" percent="0" rank="0" text="" dxfId="24">
      <formula>AND($K5&lt;&gt;"",$L5&lt;&gt;"",COUNTIFS($K$5:$K$3507,$K5,$L$5:$L$3507,$L5)&gt;1)</formula>
    </cfRule>
  </conditionalFormatting>
  <dataValidations count="7">
    <dataValidation allowBlank="true" error="日付(例: 2026/11/14)を入力してください" errorStyle="warning" operator="greaterThan" showDropDown="false" showErrorMessage="false" showInputMessage="false" sqref="Q5:Q3507" type="date">
      <formula1>36526</formula1>
      <formula2>0</formula2>
    </dataValidation>
    <dataValidation allowBlank="true" error="リストから選択してください(「リスト」シートで選択肢を編集できます)" errorStyle="warning" operator="between" showDropDown="false" showErrorMessage="false" showInputMessage="false" sqref="B5:B3507" type="list">
      <formula1>機器一覧!$D$5:$D$75</formula1>
      <formula2>0</formula2>
    </dataValidation>
    <dataValidation allowBlank="true" error="リストから選択してください(「リスト」シートで選択肢を編集できます)" errorStyle="warning" operator="between" showDropDown="false" showErrorMessage="false" showInputMessage="false" sqref="K5:K3507" type="list">
      <formula1>機器一覧!$G$5:$G$75</formula1>
      <formula2>0</formula2>
    </dataValidation>
    <dataValidation allowBlank="true" error="リストから選択してください(「リスト」シートで選択肢を編集できます)" errorStyle="warning" operator="between" showDropDown="false" showErrorMessage="false" showInputMessage="false" sqref="D5:D3507" type="list">
      <formula1>リスト!$A$4:$A$23</formula1>
      <formula2>0</formula2>
    </dataValidation>
    <dataValidation allowBlank="true" error="リストから選択してください(「リスト」シートで選択肢を編集できます)" errorStyle="warning" operator="between" showDropDown="false" showErrorMessage="false" showInputMessage="false" sqref="G5:G3507" type="list">
      <formula1>リスト!$B$4:$B$23</formula1>
      <formula2>0</formula2>
    </dataValidation>
    <dataValidation allowBlank="true" error="リストから選択してください(「リスト」シートで選択肢を編集できます)" errorStyle="warning" operator="between" showDropDown="false" showErrorMessage="false" showInputMessage="false" sqref="N5:N3507" type="list">
      <formula1>リスト!$C$4:$C$23</formula1>
      <formula2>0</formula2>
    </dataValidation>
    <dataValidation allowBlank="true" error="リストから選択してください(「リスト」シートで選択肢を編集できます)" errorStyle="stop" operator="between" showDropDown="false" showErrorMessage="false" showInputMessage="false" sqref="P5:P3507" type="list">
      <formula1>リスト!$D$4:$D$23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N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5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8"/>
  </cols>
  <sheetData>
    <row r="1" customFormat="false" ht="23.85" hidden="false" customHeight="false" outlineLevel="0" collapsed="false">
      <c r="A1" s="48" t="s">
        <v>145</v>
      </c>
    </row>
    <row r="3" customFormat="false" ht="19.4" hidden="false" customHeight="true" outlineLevel="0" collapsed="false">
      <c r="A3" s="49" t="s">
        <v>146</v>
      </c>
      <c r="B3" s="49"/>
      <c r="C3" s="50" t="s">
        <v>147</v>
      </c>
      <c r="D3" s="50"/>
      <c r="E3" s="51" t="s">
        <v>148</v>
      </c>
    </row>
    <row r="5" customFormat="false" ht="15" hidden="false" customHeight="true" outlineLevel="0" collapsed="false">
      <c r="A5" s="16" t="s">
        <v>149</v>
      </c>
      <c r="B5" s="16"/>
      <c r="C5" s="52" t="str">
        <f aca="false">IFERROR(INDEX(機器一覧!$B$5:$B$75,MATCH($C$3,機器一覧!$D$5:$D$75,0))&amp;"","")</f>
        <v>本社 3F</v>
      </c>
      <c r="D5" s="52"/>
      <c r="F5" s="16" t="s">
        <v>65</v>
      </c>
      <c r="G5" s="16"/>
      <c r="H5" s="52" t="str">
        <f aca="false">IFERROR(INDEX(機器一覧!$G$5:$G$75,MATCH($C$3,機器一覧!$D$5:$D$75,0))&amp;"","")</f>
        <v>例_新SW01</v>
      </c>
      <c r="I5" s="52"/>
      <c r="J5" s="52"/>
      <c r="K5" s="16" t="s">
        <v>150</v>
      </c>
      <c r="L5" s="16"/>
      <c r="M5" s="53"/>
    </row>
    <row r="6" customFormat="false" ht="15" hidden="false" customHeight="true" outlineLevel="0" collapsed="false">
      <c r="A6" s="16" t="s">
        <v>151</v>
      </c>
      <c r="B6" s="16"/>
      <c r="C6" s="52" t="str">
        <f aca="false">IFERROR(INDEX(機器一覧!$C$5:$C$75,MATCH($C$3,機器一覧!$D$5:$D$75,0))&amp;"","")</f>
        <v>Rack-A / 12U</v>
      </c>
      <c r="D6" s="52"/>
      <c r="F6" s="16" t="s">
        <v>152</v>
      </c>
      <c r="G6" s="16"/>
      <c r="H6" s="52" t="str">
        <f aca="false">IFERROR(INDEX(機器一覧!$H$5:$H$75,MATCH($C$3,機器一覧!$D$5:$D$75,0))&amp;" / "&amp;INDEX(機器一覧!$I$5:$I$75,MATCH($C$3,機器一覧!$D$5:$D$75,0)),"")</f>
        <v>新機種 48P PoE / 192.0.2.111</v>
      </c>
      <c r="I6" s="52"/>
      <c r="J6" s="52"/>
      <c r="K6" s="54" t="str">
        <f aca="false">IFERROR(INDEX(機器一覧!$M$5:$M$75,MATCH($C$3,機器一覧!$D$5:$D$75,0))&amp;" / "&amp;INDEX(機器一覧!$L$5:$L$75,MATCH($C$3,機器一覧!$D$5:$D$75,0))&amp;" ポート完了","")</f>
        <v>1 / 3 ポート完了</v>
      </c>
      <c r="L6" s="54"/>
      <c r="M6" s="54"/>
    </row>
    <row r="7" customFormat="false" ht="15" hidden="false" customHeight="true" outlineLevel="0" collapsed="false">
      <c r="A7" s="16" t="s">
        <v>153</v>
      </c>
      <c r="B7" s="16"/>
      <c r="C7" s="52" t="str">
        <f aca="false">IFERROR(INDEX(機器一覧!$E$5:$E$75,MATCH($C$3,機器一覧!$D$5:$D$75,0))&amp;" / "&amp;INDEX(機器一覧!$F$5:$F$75,MATCH($C$3,機器一覧!$D$5:$D$75,0)),"")</f>
        <v>Catalyst 2960 / 192.0.2.11</v>
      </c>
      <c r="D7" s="52"/>
      <c r="F7" s="16" t="s">
        <v>154</v>
      </c>
      <c r="G7" s="16"/>
      <c r="H7" s="52" t="str">
        <f aca="false">IFERROR(TEXT(INDEX(機器一覧!$J$5:$J$75,MATCH($C$3,機器一覧!$D$5:$D$75,0)),"yyyy/mm/dd")&amp;" / "&amp;INDEX(機器一覧!$K$5:$K$75,MATCH($C$3,機器一覧!$D$5:$D$75,0)),"")</f>
        <v>2026/11/14 / 山田</v>
      </c>
      <c r="I7" s="52"/>
      <c r="J7" s="52"/>
      <c r="K7" s="54"/>
      <c r="L7" s="54"/>
      <c r="M7" s="54"/>
    </row>
    <row r="9" customFormat="false" ht="27.75" hidden="false" customHeight="true" outlineLevel="0" collapsed="false">
      <c r="A9" s="21" t="s">
        <v>59</v>
      </c>
      <c r="B9" s="22" t="s">
        <v>90</v>
      </c>
      <c r="C9" s="22" t="s">
        <v>91</v>
      </c>
      <c r="D9" s="21" t="s">
        <v>155</v>
      </c>
      <c r="E9" s="21" t="s">
        <v>93</v>
      </c>
      <c r="F9" s="22" t="s">
        <v>95</v>
      </c>
      <c r="G9" s="22" t="s">
        <v>96</v>
      </c>
      <c r="H9" s="22" t="s">
        <v>156</v>
      </c>
      <c r="I9" s="43" t="s">
        <v>98</v>
      </c>
      <c r="J9" s="43" t="s">
        <v>99</v>
      </c>
      <c r="K9" s="43" t="s">
        <v>101</v>
      </c>
      <c r="L9" s="43" t="s">
        <v>102</v>
      </c>
      <c r="M9" s="16" t="s">
        <v>103</v>
      </c>
      <c r="N9" s="16" t="s">
        <v>157</v>
      </c>
    </row>
    <row r="10" customFormat="false" ht="21" hidden="false" customHeight="true" outlineLevel="0" collapsed="false">
      <c r="A10" s="55" t="n">
        <v>1</v>
      </c>
      <c r="B10" s="29" t="str">
        <f aca="false">IFERROR(INDEX(ポート振替表!$C$5:$C$3507,MATCH($A10,ポート振替表!$U$5:$U$3507,0))&amp;"","")</f>
        <v>Gi1/0/1</v>
      </c>
      <c r="C10" s="29" t="str">
        <f aca="false">IFERROR(INDEX(ポート振替表!$D$5:$D$3507,MATCH($A10,ポート振替表!$U$5:$U$3507,0))&amp;"","")</f>
        <v>Access</v>
      </c>
      <c r="D10" s="29" t="str">
        <f aca="false">IFERROR(INDEX(ポート振替表!$E$5:$E$3507,MATCH($A10,ポート振替表!$U$5:$U$3507,0))&amp;"","")</f>
        <v>10</v>
      </c>
      <c r="E10" s="30" t="str">
        <f aca="false">IFERROR(INDEX(ポート振替表!$F$5:$F$3507,MATCH($A10,ポート振替表!$U$5:$U$3507,0))&amp;"","")</f>
        <v/>
      </c>
      <c r="F10" s="30" t="str">
        <f aca="false">IFERROR(INDEX(ポート振替表!$H$5:$H$3507,MATCH($A10,ポート振替表!$U$5:$U$3507,0))&amp;"","")</f>
        <v>PC-0123</v>
      </c>
      <c r="G10" s="29" t="str">
        <f aca="false">IFERROR(INDEX(ポート振替表!$I$5:$I$3507,MATCH($A10,ポート振替表!$U$5:$U$3507,0))&amp;"","")</f>
        <v>LAN</v>
      </c>
      <c r="H10" s="30" t="str">
        <f aca="false">IFERROR(INDEX(ポート振替表!$J$5:$J$3507,MATCH($A10,ポート振替表!$U$5:$U$3507,0))&amp;"","")</f>
        <v>事務エリア 席A-12</v>
      </c>
      <c r="I10" s="30" t="str">
        <f aca="false">IFERROR(INDEX(ポート振替表!$K$5:$K$3507,MATCH($A10,ポート振替表!$U$5:$U$3507,0))&amp;"","")</f>
        <v>例_新SW01</v>
      </c>
      <c r="J10" s="29" t="str">
        <f aca="false">IFERROR(INDEX(ポート振替表!$L$5:$L$3507,MATCH($A10,ポート振替表!$U$5:$U$3507,0))&amp;"","")</f>
        <v>Gi1/0/1</v>
      </c>
      <c r="K10" s="29" t="str">
        <f aca="false">IFERROR(INDEX(ポート振替表!$N$5:$N$3507,MATCH($A10,ポート振替表!$U$5:$U$3507,0))&amp;"","")</f>
        <v>UTP Cat6</v>
      </c>
      <c r="L10" s="29" t="str">
        <f aca="false">IFERROR(INDEX(ポート振替表!$O$5:$O$3507,MATCH($A10,ポート振替表!$U$5:$U$3507,0))&amp;"","")</f>
        <v>L-0001</v>
      </c>
      <c r="M10" s="56" t="str">
        <f aca="false">IFERROR(INDEX(ポート振替表!$P$5:$P$3507,MATCH($A10,ポート振替表!$U$5:$U$3507,0))&amp;"","")</f>
        <v>疎通確認済</v>
      </c>
      <c r="N10" s="57" t="s">
        <v>158</v>
      </c>
    </row>
    <row r="11" customFormat="false" ht="21" hidden="false" customHeight="true" outlineLevel="0" collapsed="false">
      <c r="A11" s="55" t="n">
        <v>2</v>
      </c>
      <c r="B11" s="29" t="str">
        <f aca="false">IFERROR(INDEX(ポート振替表!$C$5:$C$3507,MATCH($A11,ポート振替表!$U$5:$U$3507,0))&amp;"","")</f>
        <v>Gi1/0/2</v>
      </c>
      <c r="C11" s="29" t="str">
        <f aca="false">IFERROR(INDEX(ポート振替表!$D$5:$D$3507,MATCH($A11,ポート振替表!$U$5:$U$3507,0))&amp;"","")</f>
        <v>Access</v>
      </c>
      <c r="D11" s="29" t="str">
        <f aca="false">IFERROR(INDEX(ポート振替表!$E$5:$E$3507,MATCH($A11,ポート振替表!$U$5:$U$3507,0))&amp;"","")</f>
        <v>20</v>
      </c>
      <c r="E11" s="30" t="str">
        <f aca="false">IFERROR(INDEX(ポート振替表!$F$5:$F$3507,MATCH($A11,ポート振替表!$U$5:$U$3507,0))&amp;"","")</f>
        <v/>
      </c>
      <c r="F11" s="30" t="str">
        <f aca="false">IFERROR(INDEX(ポート振替表!$H$5:$H$3507,MATCH($A11,ポート振替表!$U$5:$U$3507,0))&amp;"","")</f>
        <v>AP-3F-01</v>
      </c>
      <c r="G11" s="29" t="str">
        <f aca="false">IFERROR(INDEX(ポート振替表!$I$5:$I$3507,MATCH($A11,ポート振替表!$U$5:$U$3507,0))&amp;"","")</f>
        <v>eth0</v>
      </c>
      <c r="H11" s="30" t="str">
        <f aca="false">IFERROR(INDEX(ポート振替表!$J$5:$J$3507,MATCH($A11,ポート振替表!$U$5:$U$3507,0))&amp;"","")</f>
        <v>3F 無線AP</v>
      </c>
      <c r="I11" s="30" t="str">
        <f aca="false">IFERROR(INDEX(ポート振替表!$K$5:$K$3507,MATCH($A11,ポート振替表!$U$5:$U$3507,0))&amp;"","")</f>
        <v>例_新SW01</v>
      </c>
      <c r="J11" s="29" t="str">
        <f aca="false">IFERROR(INDEX(ポート振替表!$L$5:$L$3507,MATCH($A11,ポート振替表!$U$5:$U$3507,0))&amp;"","")</f>
        <v>Gi1/0/3</v>
      </c>
      <c r="K11" s="29" t="str">
        <f aca="false">IFERROR(INDEX(ポート振替表!$N$5:$N$3507,MATCH($A11,ポート振替表!$U$5:$U$3507,0))&amp;"","")</f>
        <v>UTP Cat6A</v>
      </c>
      <c r="L11" s="29" t="str">
        <f aca="false">IFERROR(INDEX(ポート振替表!$O$5:$O$3507,MATCH($A11,ポート振替表!$U$5:$U$3507,0))&amp;"","")</f>
        <v>L-0002</v>
      </c>
      <c r="M11" s="56" t="str">
        <f aca="false">IFERROR(INDEX(ポート振替表!$P$5:$P$3507,MATCH($A11,ポート振替表!$U$5:$U$3507,0))&amp;"","")</f>
        <v>切替済</v>
      </c>
      <c r="N11" s="57" t="s">
        <v>158</v>
      </c>
    </row>
    <row r="12" customFormat="false" ht="21" hidden="false" customHeight="true" outlineLevel="0" collapsed="false">
      <c r="A12" s="55" t="n">
        <v>3</v>
      </c>
      <c r="B12" s="29" t="str">
        <f aca="false">IFERROR(INDEX(ポート振替表!$C$5:$C$3507,MATCH($A12,ポート振替表!$U$5:$U$3507,0))&amp;"","")</f>
        <v>Gi1/0/48</v>
      </c>
      <c r="C12" s="29" t="str">
        <f aca="false">IFERROR(INDEX(ポート振替表!$D$5:$D$3507,MATCH($A12,ポート振替表!$U$5:$U$3507,0))&amp;"","")</f>
        <v>Trunk</v>
      </c>
      <c r="D12" s="29" t="str">
        <f aca="false">IFERROR(INDEX(ポート振替表!$E$5:$E$3507,MATCH($A12,ポート振替表!$U$5:$U$3507,0))&amp;"","")</f>
        <v>1</v>
      </c>
      <c r="E12" s="30" t="str">
        <f aca="false">IFERROR(INDEX(ポート振替表!$F$5:$F$3507,MATCH($A12,ポート振替表!$U$5:$U$3507,0))&amp;"","")</f>
        <v>10,20,100</v>
      </c>
      <c r="F12" s="30" t="str">
        <f aca="false">IFERROR(INDEX(ポート振替表!$H$5:$H$3507,MATCH($A12,ポート振替表!$U$5:$U$3507,0))&amp;"","")</f>
        <v>CORE-SW01</v>
      </c>
      <c r="G12" s="29" t="str">
        <f aca="false">IFERROR(INDEX(ポート振替表!$I$5:$I$3507,MATCH($A12,ポート振替表!$U$5:$U$3507,0))&amp;"","")</f>
        <v>Te1/0/5</v>
      </c>
      <c r="H12" s="30" t="str">
        <f aca="false">IFERROR(INDEX(ポート振替表!$J$5:$J$3507,MATCH($A12,ポート振替表!$U$5:$U$3507,0))&amp;"","")</f>
        <v>上位接続(アップリンク)</v>
      </c>
      <c r="I12" s="30" t="str">
        <f aca="false">IFERROR(INDEX(ポート振替表!$K$5:$K$3507,MATCH($A12,ポート振替表!$U$5:$U$3507,0))&amp;"","")</f>
        <v>例_新SW01</v>
      </c>
      <c r="J12" s="29" t="str">
        <f aca="false">IFERROR(INDEX(ポート振替表!$L$5:$L$3507,MATCH($A12,ポート振替表!$U$5:$U$3507,0))&amp;"","")</f>
        <v>Te1/0/49</v>
      </c>
      <c r="K12" s="29" t="str">
        <f aca="false">IFERROR(INDEX(ポート振替表!$N$5:$N$3507,MATCH($A12,ポート振替表!$U$5:$U$3507,0))&amp;"","")</f>
        <v>光 MMF</v>
      </c>
      <c r="L12" s="29" t="str">
        <f aca="false">IFERROR(INDEX(ポート振替表!$O$5:$O$3507,MATCH($A12,ポート振替表!$U$5:$U$3507,0))&amp;"","")</f>
        <v>L-0048</v>
      </c>
      <c r="M12" s="56" t="str">
        <f aca="false">IFERROR(INDEX(ポート振替表!$P$5:$P$3507,MATCH($A12,ポート振替表!$U$5:$U$3507,0))&amp;"","")</f>
        <v>準備済</v>
      </c>
      <c r="N12" s="57" t="s">
        <v>158</v>
      </c>
    </row>
    <row r="13" customFormat="false" ht="21" hidden="false" customHeight="true" outlineLevel="0" collapsed="false">
      <c r="A13" s="55" t="n">
        <v>4</v>
      </c>
      <c r="B13" s="29" t="str">
        <f aca="false">IFERROR(INDEX(ポート振替表!$C$5:$C$3507,MATCH($A13,ポート振替表!$U$5:$U$3507,0))&amp;"","")</f>
        <v/>
      </c>
      <c r="C13" s="29" t="str">
        <f aca="false">IFERROR(INDEX(ポート振替表!$D$5:$D$3507,MATCH($A13,ポート振替表!$U$5:$U$3507,0))&amp;"","")</f>
        <v/>
      </c>
      <c r="D13" s="29" t="str">
        <f aca="false">IFERROR(INDEX(ポート振替表!$E$5:$E$3507,MATCH($A13,ポート振替表!$U$5:$U$3507,0))&amp;"","")</f>
        <v/>
      </c>
      <c r="E13" s="30" t="str">
        <f aca="false">IFERROR(INDEX(ポート振替表!$F$5:$F$3507,MATCH($A13,ポート振替表!$U$5:$U$3507,0))&amp;"","")</f>
        <v/>
      </c>
      <c r="F13" s="30" t="str">
        <f aca="false">IFERROR(INDEX(ポート振替表!$H$5:$H$3507,MATCH($A13,ポート振替表!$U$5:$U$3507,0))&amp;"","")</f>
        <v/>
      </c>
      <c r="G13" s="29" t="str">
        <f aca="false">IFERROR(INDEX(ポート振替表!$I$5:$I$3507,MATCH($A13,ポート振替表!$U$5:$U$3507,0))&amp;"","")</f>
        <v/>
      </c>
      <c r="H13" s="30" t="str">
        <f aca="false">IFERROR(INDEX(ポート振替表!$J$5:$J$3507,MATCH($A13,ポート振替表!$U$5:$U$3507,0))&amp;"","")</f>
        <v/>
      </c>
      <c r="I13" s="30" t="str">
        <f aca="false">IFERROR(INDEX(ポート振替表!$K$5:$K$3507,MATCH($A13,ポート振替表!$U$5:$U$3507,0))&amp;"","")</f>
        <v/>
      </c>
      <c r="J13" s="29" t="str">
        <f aca="false">IFERROR(INDEX(ポート振替表!$L$5:$L$3507,MATCH($A13,ポート振替表!$U$5:$U$3507,0))&amp;"","")</f>
        <v/>
      </c>
      <c r="K13" s="29" t="str">
        <f aca="false">IFERROR(INDEX(ポート振替表!$N$5:$N$3507,MATCH($A13,ポート振替表!$U$5:$U$3507,0))&amp;"","")</f>
        <v/>
      </c>
      <c r="L13" s="29" t="str">
        <f aca="false">IFERROR(INDEX(ポート振替表!$O$5:$O$3507,MATCH($A13,ポート振替表!$U$5:$U$3507,0))&amp;"","")</f>
        <v/>
      </c>
      <c r="M13" s="56" t="str">
        <f aca="false">IFERROR(INDEX(ポート振替表!$P$5:$P$3507,MATCH($A13,ポート振替表!$U$5:$U$3507,0))&amp;"","")</f>
        <v/>
      </c>
      <c r="N13" s="57" t="s">
        <v>158</v>
      </c>
    </row>
    <row r="14" customFormat="false" ht="21" hidden="false" customHeight="true" outlineLevel="0" collapsed="false">
      <c r="A14" s="55" t="n">
        <v>5</v>
      </c>
      <c r="B14" s="29" t="str">
        <f aca="false">IFERROR(INDEX(ポート振替表!$C$5:$C$3507,MATCH($A14,ポート振替表!$U$5:$U$3507,0))&amp;"","")</f>
        <v/>
      </c>
      <c r="C14" s="29" t="str">
        <f aca="false">IFERROR(INDEX(ポート振替表!$D$5:$D$3507,MATCH($A14,ポート振替表!$U$5:$U$3507,0))&amp;"","")</f>
        <v/>
      </c>
      <c r="D14" s="29" t="str">
        <f aca="false">IFERROR(INDEX(ポート振替表!$E$5:$E$3507,MATCH($A14,ポート振替表!$U$5:$U$3507,0))&amp;"","")</f>
        <v/>
      </c>
      <c r="E14" s="30" t="str">
        <f aca="false">IFERROR(INDEX(ポート振替表!$F$5:$F$3507,MATCH($A14,ポート振替表!$U$5:$U$3507,0))&amp;"","")</f>
        <v/>
      </c>
      <c r="F14" s="30" t="str">
        <f aca="false">IFERROR(INDEX(ポート振替表!$H$5:$H$3507,MATCH($A14,ポート振替表!$U$5:$U$3507,0))&amp;"","")</f>
        <v/>
      </c>
      <c r="G14" s="29" t="str">
        <f aca="false">IFERROR(INDEX(ポート振替表!$I$5:$I$3507,MATCH($A14,ポート振替表!$U$5:$U$3507,0))&amp;"","")</f>
        <v/>
      </c>
      <c r="H14" s="30" t="str">
        <f aca="false">IFERROR(INDEX(ポート振替表!$J$5:$J$3507,MATCH($A14,ポート振替表!$U$5:$U$3507,0))&amp;"","")</f>
        <v/>
      </c>
      <c r="I14" s="30" t="str">
        <f aca="false">IFERROR(INDEX(ポート振替表!$K$5:$K$3507,MATCH($A14,ポート振替表!$U$5:$U$3507,0))&amp;"","")</f>
        <v/>
      </c>
      <c r="J14" s="29" t="str">
        <f aca="false">IFERROR(INDEX(ポート振替表!$L$5:$L$3507,MATCH($A14,ポート振替表!$U$5:$U$3507,0))&amp;"","")</f>
        <v/>
      </c>
      <c r="K14" s="29" t="str">
        <f aca="false">IFERROR(INDEX(ポート振替表!$N$5:$N$3507,MATCH($A14,ポート振替表!$U$5:$U$3507,0))&amp;"","")</f>
        <v/>
      </c>
      <c r="L14" s="29" t="str">
        <f aca="false">IFERROR(INDEX(ポート振替表!$O$5:$O$3507,MATCH($A14,ポート振替表!$U$5:$U$3507,0))&amp;"","")</f>
        <v/>
      </c>
      <c r="M14" s="56" t="str">
        <f aca="false">IFERROR(INDEX(ポート振替表!$P$5:$P$3507,MATCH($A14,ポート振替表!$U$5:$U$3507,0))&amp;"","")</f>
        <v/>
      </c>
      <c r="N14" s="57" t="s">
        <v>158</v>
      </c>
    </row>
    <row r="15" customFormat="false" ht="21" hidden="false" customHeight="true" outlineLevel="0" collapsed="false">
      <c r="A15" s="55" t="n">
        <v>6</v>
      </c>
      <c r="B15" s="29" t="str">
        <f aca="false">IFERROR(INDEX(ポート振替表!$C$5:$C$3507,MATCH($A15,ポート振替表!$U$5:$U$3507,0))&amp;"","")</f>
        <v/>
      </c>
      <c r="C15" s="29" t="str">
        <f aca="false">IFERROR(INDEX(ポート振替表!$D$5:$D$3507,MATCH($A15,ポート振替表!$U$5:$U$3507,0))&amp;"","")</f>
        <v/>
      </c>
      <c r="D15" s="29" t="str">
        <f aca="false">IFERROR(INDEX(ポート振替表!$E$5:$E$3507,MATCH($A15,ポート振替表!$U$5:$U$3507,0))&amp;"","")</f>
        <v/>
      </c>
      <c r="E15" s="30" t="str">
        <f aca="false">IFERROR(INDEX(ポート振替表!$F$5:$F$3507,MATCH($A15,ポート振替表!$U$5:$U$3507,0))&amp;"","")</f>
        <v/>
      </c>
      <c r="F15" s="30" t="str">
        <f aca="false">IFERROR(INDEX(ポート振替表!$H$5:$H$3507,MATCH($A15,ポート振替表!$U$5:$U$3507,0))&amp;"","")</f>
        <v/>
      </c>
      <c r="G15" s="29" t="str">
        <f aca="false">IFERROR(INDEX(ポート振替表!$I$5:$I$3507,MATCH($A15,ポート振替表!$U$5:$U$3507,0))&amp;"","")</f>
        <v/>
      </c>
      <c r="H15" s="30" t="str">
        <f aca="false">IFERROR(INDEX(ポート振替表!$J$5:$J$3507,MATCH($A15,ポート振替表!$U$5:$U$3507,0))&amp;"","")</f>
        <v/>
      </c>
      <c r="I15" s="30" t="str">
        <f aca="false">IFERROR(INDEX(ポート振替表!$K$5:$K$3507,MATCH($A15,ポート振替表!$U$5:$U$3507,0))&amp;"","")</f>
        <v/>
      </c>
      <c r="J15" s="29" t="str">
        <f aca="false">IFERROR(INDEX(ポート振替表!$L$5:$L$3507,MATCH($A15,ポート振替表!$U$5:$U$3507,0))&amp;"","")</f>
        <v/>
      </c>
      <c r="K15" s="29" t="str">
        <f aca="false">IFERROR(INDEX(ポート振替表!$N$5:$N$3507,MATCH($A15,ポート振替表!$U$5:$U$3507,0))&amp;"","")</f>
        <v/>
      </c>
      <c r="L15" s="29" t="str">
        <f aca="false">IFERROR(INDEX(ポート振替表!$O$5:$O$3507,MATCH($A15,ポート振替表!$U$5:$U$3507,0))&amp;"","")</f>
        <v/>
      </c>
      <c r="M15" s="56" t="str">
        <f aca="false">IFERROR(INDEX(ポート振替表!$P$5:$P$3507,MATCH($A15,ポート振替表!$U$5:$U$3507,0))&amp;"","")</f>
        <v/>
      </c>
      <c r="N15" s="57" t="s">
        <v>158</v>
      </c>
    </row>
    <row r="16" customFormat="false" ht="21" hidden="false" customHeight="true" outlineLevel="0" collapsed="false">
      <c r="A16" s="55" t="n">
        <v>7</v>
      </c>
      <c r="B16" s="29" t="str">
        <f aca="false">IFERROR(INDEX(ポート振替表!$C$5:$C$3507,MATCH($A16,ポート振替表!$U$5:$U$3507,0))&amp;"","")</f>
        <v/>
      </c>
      <c r="C16" s="29" t="str">
        <f aca="false">IFERROR(INDEX(ポート振替表!$D$5:$D$3507,MATCH($A16,ポート振替表!$U$5:$U$3507,0))&amp;"","")</f>
        <v/>
      </c>
      <c r="D16" s="29" t="str">
        <f aca="false">IFERROR(INDEX(ポート振替表!$E$5:$E$3507,MATCH($A16,ポート振替表!$U$5:$U$3507,0))&amp;"","")</f>
        <v/>
      </c>
      <c r="E16" s="30" t="str">
        <f aca="false">IFERROR(INDEX(ポート振替表!$F$5:$F$3507,MATCH($A16,ポート振替表!$U$5:$U$3507,0))&amp;"","")</f>
        <v/>
      </c>
      <c r="F16" s="30" t="str">
        <f aca="false">IFERROR(INDEX(ポート振替表!$H$5:$H$3507,MATCH($A16,ポート振替表!$U$5:$U$3507,0))&amp;"","")</f>
        <v/>
      </c>
      <c r="G16" s="29" t="str">
        <f aca="false">IFERROR(INDEX(ポート振替表!$I$5:$I$3507,MATCH($A16,ポート振替表!$U$5:$U$3507,0))&amp;"","")</f>
        <v/>
      </c>
      <c r="H16" s="30" t="str">
        <f aca="false">IFERROR(INDEX(ポート振替表!$J$5:$J$3507,MATCH($A16,ポート振替表!$U$5:$U$3507,0))&amp;"","")</f>
        <v/>
      </c>
      <c r="I16" s="30" t="str">
        <f aca="false">IFERROR(INDEX(ポート振替表!$K$5:$K$3507,MATCH($A16,ポート振替表!$U$5:$U$3507,0))&amp;"","")</f>
        <v/>
      </c>
      <c r="J16" s="29" t="str">
        <f aca="false">IFERROR(INDEX(ポート振替表!$L$5:$L$3507,MATCH($A16,ポート振替表!$U$5:$U$3507,0))&amp;"","")</f>
        <v/>
      </c>
      <c r="K16" s="29" t="str">
        <f aca="false">IFERROR(INDEX(ポート振替表!$N$5:$N$3507,MATCH($A16,ポート振替表!$U$5:$U$3507,0))&amp;"","")</f>
        <v/>
      </c>
      <c r="L16" s="29" t="str">
        <f aca="false">IFERROR(INDEX(ポート振替表!$O$5:$O$3507,MATCH($A16,ポート振替表!$U$5:$U$3507,0))&amp;"","")</f>
        <v/>
      </c>
      <c r="M16" s="56" t="str">
        <f aca="false">IFERROR(INDEX(ポート振替表!$P$5:$P$3507,MATCH($A16,ポート振替表!$U$5:$U$3507,0))&amp;"","")</f>
        <v/>
      </c>
      <c r="N16" s="57" t="s">
        <v>158</v>
      </c>
    </row>
    <row r="17" customFormat="false" ht="21" hidden="false" customHeight="true" outlineLevel="0" collapsed="false">
      <c r="A17" s="55" t="n">
        <v>8</v>
      </c>
      <c r="B17" s="29" t="str">
        <f aca="false">IFERROR(INDEX(ポート振替表!$C$5:$C$3507,MATCH($A17,ポート振替表!$U$5:$U$3507,0))&amp;"","")</f>
        <v/>
      </c>
      <c r="C17" s="29" t="str">
        <f aca="false">IFERROR(INDEX(ポート振替表!$D$5:$D$3507,MATCH($A17,ポート振替表!$U$5:$U$3507,0))&amp;"","")</f>
        <v/>
      </c>
      <c r="D17" s="29" t="str">
        <f aca="false">IFERROR(INDEX(ポート振替表!$E$5:$E$3507,MATCH($A17,ポート振替表!$U$5:$U$3507,0))&amp;"","")</f>
        <v/>
      </c>
      <c r="E17" s="30" t="str">
        <f aca="false">IFERROR(INDEX(ポート振替表!$F$5:$F$3507,MATCH($A17,ポート振替表!$U$5:$U$3507,0))&amp;"","")</f>
        <v/>
      </c>
      <c r="F17" s="30" t="str">
        <f aca="false">IFERROR(INDEX(ポート振替表!$H$5:$H$3507,MATCH($A17,ポート振替表!$U$5:$U$3507,0))&amp;"","")</f>
        <v/>
      </c>
      <c r="G17" s="29" t="str">
        <f aca="false">IFERROR(INDEX(ポート振替表!$I$5:$I$3507,MATCH($A17,ポート振替表!$U$5:$U$3507,0))&amp;"","")</f>
        <v/>
      </c>
      <c r="H17" s="30" t="str">
        <f aca="false">IFERROR(INDEX(ポート振替表!$J$5:$J$3507,MATCH($A17,ポート振替表!$U$5:$U$3507,0))&amp;"","")</f>
        <v/>
      </c>
      <c r="I17" s="30" t="str">
        <f aca="false">IFERROR(INDEX(ポート振替表!$K$5:$K$3507,MATCH($A17,ポート振替表!$U$5:$U$3507,0))&amp;"","")</f>
        <v/>
      </c>
      <c r="J17" s="29" t="str">
        <f aca="false">IFERROR(INDEX(ポート振替表!$L$5:$L$3507,MATCH($A17,ポート振替表!$U$5:$U$3507,0))&amp;"","")</f>
        <v/>
      </c>
      <c r="K17" s="29" t="str">
        <f aca="false">IFERROR(INDEX(ポート振替表!$N$5:$N$3507,MATCH($A17,ポート振替表!$U$5:$U$3507,0))&amp;"","")</f>
        <v/>
      </c>
      <c r="L17" s="29" t="str">
        <f aca="false">IFERROR(INDEX(ポート振替表!$O$5:$O$3507,MATCH($A17,ポート振替表!$U$5:$U$3507,0))&amp;"","")</f>
        <v/>
      </c>
      <c r="M17" s="56" t="str">
        <f aca="false">IFERROR(INDEX(ポート振替表!$P$5:$P$3507,MATCH($A17,ポート振替表!$U$5:$U$3507,0))&amp;"","")</f>
        <v/>
      </c>
      <c r="N17" s="57" t="s">
        <v>158</v>
      </c>
    </row>
    <row r="18" customFormat="false" ht="21" hidden="false" customHeight="true" outlineLevel="0" collapsed="false">
      <c r="A18" s="55" t="n">
        <v>9</v>
      </c>
      <c r="B18" s="29" t="str">
        <f aca="false">IFERROR(INDEX(ポート振替表!$C$5:$C$3507,MATCH($A18,ポート振替表!$U$5:$U$3507,0))&amp;"","")</f>
        <v/>
      </c>
      <c r="C18" s="29" t="str">
        <f aca="false">IFERROR(INDEX(ポート振替表!$D$5:$D$3507,MATCH($A18,ポート振替表!$U$5:$U$3507,0))&amp;"","")</f>
        <v/>
      </c>
      <c r="D18" s="29" t="str">
        <f aca="false">IFERROR(INDEX(ポート振替表!$E$5:$E$3507,MATCH($A18,ポート振替表!$U$5:$U$3507,0))&amp;"","")</f>
        <v/>
      </c>
      <c r="E18" s="30" t="str">
        <f aca="false">IFERROR(INDEX(ポート振替表!$F$5:$F$3507,MATCH($A18,ポート振替表!$U$5:$U$3507,0))&amp;"","")</f>
        <v/>
      </c>
      <c r="F18" s="30" t="str">
        <f aca="false">IFERROR(INDEX(ポート振替表!$H$5:$H$3507,MATCH($A18,ポート振替表!$U$5:$U$3507,0))&amp;"","")</f>
        <v/>
      </c>
      <c r="G18" s="29" t="str">
        <f aca="false">IFERROR(INDEX(ポート振替表!$I$5:$I$3507,MATCH($A18,ポート振替表!$U$5:$U$3507,0))&amp;"","")</f>
        <v/>
      </c>
      <c r="H18" s="30" t="str">
        <f aca="false">IFERROR(INDEX(ポート振替表!$J$5:$J$3507,MATCH($A18,ポート振替表!$U$5:$U$3507,0))&amp;"","")</f>
        <v/>
      </c>
      <c r="I18" s="30" t="str">
        <f aca="false">IFERROR(INDEX(ポート振替表!$K$5:$K$3507,MATCH($A18,ポート振替表!$U$5:$U$3507,0))&amp;"","")</f>
        <v/>
      </c>
      <c r="J18" s="29" t="str">
        <f aca="false">IFERROR(INDEX(ポート振替表!$L$5:$L$3507,MATCH($A18,ポート振替表!$U$5:$U$3507,0))&amp;"","")</f>
        <v/>
      </c>
      <c r="K18" s="29" t="str">
        <f aca="false">IFERROR(INDEX(ポート振替表!$N$5:$N$3507,MATCH($A18,ポート振替表!$U$5:$U$3507,0))&amp;"","")</f>
        <v/>
      </c>
      <c r="L18" s="29" t="str">
        <f aca="false">IFERROR(INDEX(ポート振替表!$O$5:$O$3507,MATCH($A18,ポート振替表!$U$5:$U$3507,0))&amp;"","")</f>
        <v/>
      </c>
      <c r="M18" s="56" t="str">
        <f aca="false">IFERROR(INDEX(ポート振替表!$P$5:$P$3507,MATCH($A18,ポート振替表!$U$5:$U$3507,0))&amp;"","")</f>
        <v/>
      </c>
      <c r="N18" s="57" t="s">
        <v>158</v>
      </c>
    </row>
    <row r="19" customFormat="false" ht="21" hidden="false" customHeight="true" outlineLevel="0" collapsed="false">
      <c r="A19" s="55" t="n">
        <v>10</v>
      </c>
      <c r="B19" s="29" t="str">
        <f aca="false">IFERROR(INDEX(ポート振替表!$C$5:$C$3507,MATCH($A19,ポート振替表!$U$5:$U$3507,0))&amp;"","")</f>
        <v/>
      </c>
      <c r="C19" s="29" t="str">
        <f aca="false">IFERROR(INDEX(ポート振替表!$D$5:$D$3507,MATCH($A19,ポート振替表!$U$5:$U$3507,0))&amp;"","")</f>
        <v/>
      </c>
      <c r="D19" s="29" t="str">
        <f aca="false">IFERROR(INDEX(ポート振替表!$E$5:$E$3507,MATCH($A19,ポート振替表!$U$5:$U$3507,0))&amp;"","")</f>
        <v/>
      </c>
      <c r="E19" s="30" t="str">
        <f aca="false">IFERROR(INDEX(ポート振替表!$F$5:$F$3507,MATCH($A19,ポート振替表!$U$5:$U$3507,0))&amp;"","")</f>
        <v/>
      </c>
      <c r="F19" s="30" t="str">
        <f aca="false">IFERROR(INDEX(ポート振替表!$H$5:$H$3507,MATCH($A19,ポート振替表!$U$5:$U$3507,0))&amp;"","")</f>
        <v/>
      </c>
      <c r="G19" s="29" t="str">
        <f aca="false">IFERROR(INDEX(ポート振替表!$I$5:$I$3507,MATCH($A19,ポート振替表!$U$5:$U$3507,0))&amp;"","")</f>
        <v/>
      </c>
      <c r="H19" s="30" t="str">
        <f aca="false">IFERROR(INDEX(ポート振替表!$J$5:$J$3507,MATCH($A19,ポート振替表!$U$5:$U$3507,0))&amp;"","")</f>
        <v/>
      </c>
      <c r="I19" s="30" t="str">
        <f aca="false">IFERROR(INDEX(ポート振替表!$K$5:$K$3507,MATCH($A19,ポート振替表!$U$5:$U$3507,0))&amp;"","")</f>
        <v/>
      </c>
      <c r="J19" s="29" t="str">
        <f aca="false">IFERROR(INDEX(ポート振替表!$L$5:$L$3507,MATCH($A19,ポート振替表!$U$5:$U$3507,0))&amp;"","")</f>
        <v/>
      </c>
      <c r="K19" s="29" t="str">
        <f aca="false">IFERROR(INDEX(ポート振替表!$N$5:$N$3507,MATCH($A19,ポート振替表!$U$5:$U$3507,0))&amp;"","")</f>
        <v/>
      </c>
      <c r="L19" s="29" t="str">
        <f aca="false">IFERROR(INDEX(ポート振替表!$O$5:$O$3507,MATCH($A19,ポート振替表!$U$5:$U$3507,0))&amp;"","")</f>
        <v/>
      </c>
      <c r="M19" s="56" t="str">
        <f aca="false">IFERROR(INDEX(ポート振替表!$P$5:$P$3507,MATCH($A19,ポート振替表!$U$5:$U$3507,0))&amp;"","")</f>
        <v/>
      </c>
      <c r="N19" s="57" t="s">
        <v>158</v>
      </c>
    </row>
    <row r="20" customFormat="false" ht="21" hidden="false" customHeight="true" outlineLevel="0" collapsed="false">
      <c r="A20" s="55" t="n">
        <v>11</v>
      </c>
      <c r="B20" s="29" t="str">
        <f aca="false">IFERROR(INDEX(ポート振替表!$C$5:$C$3507,MATCH($A20,ポート振替表!$U$5:$U$3507,0))&amp;"","")</f>
        <v/>
      </c>
      <c r="C20" s="29" t="str">
        <f aca="false">IFERROR(INDEX(ポート振替表!$D$5:$D$3507,MATCH($A20,ポート振替表!$U$5:$U$3507,0))&amp;"","")</f>
        <v/>
      </c>
      <c r="D20" s="29" t="str">
        <f aca="false">IFERROR(INDEX(ポート振替表!$E$5:$E$3507,MATCH($A20,ポート振替表!$U$5:$U$3507,0))&amp;"","")</f>
        <v/>
      </c>
      <c r="E20" s="30" t="str">
        <f aca="false">IFERROR(INDEX(ポート振替表!$F$5:$F$3507,MATCH($A20,ポート振替表!$U$5:$U$3507,0))&amp;"","")</f>
        <v/>
      </c>
      <c r="F20" s="30" t="str">
        <f aca="false">IFERROR(INDEX(ポート振替表!$H$5:$H$3507,MATCH($A20,ポート振替表!$U$5:$U$3507,0))&amp;"","")</f>
        <v/>
      </c>
      <c r="G20" s="29" t="str">
        <f aca="false">IFERROR(INDEX(ポート振替表!$I$5:$I$3507,MATCH($A20,ポート振替表!$U$5:$U$3507,0))&amp;"","")</f>
        <v/>
      </c>
      <c r="H20" s="30" t="str">
        <f aca="false">IFERROR(INDEX(ポート振替表!$J$5:$J$3507,MATCH($A20,ポート振替表!$U$5:$U$3507,0))&amp;"","")</f>
        <v/>
      </c>
      <c r="I20" s="30" t="str">
        <f aca="false">IFERROR(INDEX(ポート振替表!$K$5:$K$3507,MATCH($A20,ポート振替表!$U$5:$U$3507,0))&amp;"","")</f>
        <v/>
      </c>
      <c r="J20" s="29" t="str">
        <f aca="false">IFERROR(INDEX(ポート振替表!$L$5:$L$3507,MATCH($A20,ポート振替表!$U$5:$U$3507,0))&amp;"","")</f>
        <v/>
      </c>
      <c r="K20" s="29" t="str">
        <f aca="false">IFERROR(INDEX(ポート振替表!$N$5:$N$3507,MATCH($A20,ポート振替表!$U$5:$U$3507,0))&amp;"","")</f>
        <v/>
      </c>
      <c r="L20" s="29" t="str">
        <f aca="false">IFERROR(INDEX(ポート振替表!$O$5:$O$3507,MATCH($A20,ポート振替表!$U$5:$U$3507,0))&amp;"","")</f>
        <v/>
      </c>
      <c r="M20" s="56" t="str">
        <f aca="false">IFERROR(INDEX(ポート振替表!$P$5:$P$3507,MATCH($A20,ポート振替表!$U$5:$U$3507,0))&amp;"","")</f>
        <v/>
      </c>
      <c r="N20" s="57" t="s">
        <v>158</v>
      </c>
    </row>
    <row r="21" customFormat="false" ht="21" hidden="false" customHeight="true" outlineLevel="0" collapsed="false">
      <c r="A21" s="55" t="n">
        <v>12</v>
      </c>
      <c r="B21" s="29" t="str">
        <f aca="false">IFERROR(INDEX(ポート振替表!$C$5:$C$3507,MATCH($A21,ポート振替表!$U$5:$U$3507,0))&amp;"","")</f>
        <v/>
      </c>
      <c r="C21" s="29" t="str">
        <f aca="false">IFERROR(INDEX(ポート振替表!$D$5:$D$3507,MATCH($A21,ポート振替表!$U$5:$U$3507,0))&amp;"","")</f>
        <v/>
      </c>
      <c r="D21" s="29" t="str">
        <f aca="false">IFERROR(INDEX(ポート振替表!$E$5:$E$3507,MATCH($A21,ポート振替表!$U$5:$U$3507,0))&amp;"","")</f>
        <v/>
      </c>
      <c r="E21" s="30" t="str">
        <f aca="false">IFERROR(INDEX(ポート振替表!$F$5:$F$3507,MATCH($A21,ポート振替表!$U$5:$U$3507,0))&amp;"","")</f>
        <v/>
      </c>
      <c r="F21" s="30" t="str">
        <f aca="false">IFERROR(INDEX(ポート振替表!$H$5:$H$3507,MATCH($A21,ポート振替表!$U$5:$U$3507,0))&amp;"","")</f>
        <v/>
      </c>
      <c r="G21" s="29" t="str">
        <f aca="false">IFERROR(INDEX(ポート振替表!$I$5:$I$3507,MATCH($A21,ポート振替表!$U$5:$U$3507,0))&amp;"","")</f>
        <v/>
      </c>
      <c r="H21" s="30" t="str">
        <f aca="false">IFERROR(INDEX(ポート振替表!$J$5:$J$3507,MATCH($A21,ポート振替表!$U$5:$U$3507,0))&amp;"","")</f>
        <v/>
      </c>
      <c r="I21" s="30" t="str">
        <f aca="false">IFERROR(INDEX(ポート振替表!$K$5:$K$3507,MATCH($A21,ポート振替表!$U$5:$U$3507,0))&amp;"","")</f>
        <v/>
      </c>
      <c r="J21" s="29" t="str">
        <f aca="false">IFERROR(INDEX(ポート振替表!$L$5:$L$3507,MATCH($A21,ポート振替表!$U$5:$U$3507,0))&amp;"","")</f>
        <v/>
      </c>
      <c r="K21" s="29" t="str">
        <f aca="false">IFERROR(INDEX(ポート振替表!$N$5:$N$3507,MATCH($A21,ポート振替表!$U$5:$U$3507,0))&amp;"","")</f>
        <v/>
      </c>
      <c r="L21" s="29" t="str">
        <f aca="false">IFERROR(INDEX(ポート振替表!$O$5:$O$3507,MATCH($A21,ポート振替表!$U$5:$U$3507,0))&amp;"","")</f>
        <v/>
      </c>
      <c r="M21" s="56" t="str">
        <f aca="false">IFERROR(INDEX(ポート振替表!$P$5:$P$3507,MATCH($A21,ポート振替表!$U$5:$U$3507,0))&amp;"","")</f>
        <v/>
      </c>
      <c r="N21" s="57" t="s">
        <v>158</v>
      </c>
    </row>
    <row r="22" customFormat="false" ht="21" hidden="false" customHeight="true" outlineLevel="0" collapsed="false">
      <c r="A22" s="55" t="n">
        <v>13</v>
      </c>
      <c r="B22" s="29" t="str">
        <f aca="false">IFERROR(INDEX(ポート振替表!$C$5:$C$3507,MATCH($A22,ポート振替表!$U$5:$U$3507,0))&amp;"","")</f>
        <v/>
      </c>
      <c r="C22" s="29" t="str">
        <f aca="false">IFERROR(INDEX(ポート振替表!$D$5:$D$3507,MATCH($A22,ポート振替表!$U$5:$U$3507,0))&amp;"","")</f>
        <v/>
      </c>
      <c r="D22" s="29" t="str">
        <f aca="false">IFERROR(INDEX(ポート振替表!$E$5:$E$3507,MATCH($A22,ポート振替表!$U$5:$U$3507,0))&amp;"","")</f>
        <v/>
      </c>
      <c r="E22" s="30" t="str">
        <f aca="false">IFERROR(INDEX(ポート振替表!$F$5:$F$3507,MATCH($A22,ポート振替表!$U$5:$U$3507,0))&amp;"","")</f>
        <v/>
      </c>
      <c r="F22" s="30" t="str">
        <f aca="false">IFERROR(INDEX(ポート振替表!$H$5:$H$3507,MATCH($A22,ポート振替表!$U$5:$U$3507,0))&amp;"","")</f>
        <v/>
      </c>
      <c r="G22" s="29" t="str">
        <f aca="false">IFERROR(INDEX(ポート振替表!$I$5:$I$3507,MATCH($A22,ポート振替表!$U$5:$U$3507,0))&amp;"","")</f>
        <v/>
      </c>
      <c r="H22" s="30" t="str">
        <f aca="false">IFERROR(INDEX(ポート振替表!$J$5:$J$3507,MATCH($A22,ポート振替表!$U$5:$U$3507,0))&amp;"","")</f>
        <v/>
      </c>
      <c r="I22" s="30" t="str">
        <f aca="false">IFERROR(INDEX(ポート振替表!$K$5:$K$3507,MATCH($A22,ポート振替表!$U$5:$U$3507,0))&amp;"","")</f>
        <v/>
      </c>
      <c r="J22" s="29" t="str">
        <f aca="false">IFERROR(INDEX(ポート振替表!$L$5:$L$3507,MATCH($A22,ポート振替表!$U$5:$U$3507,0))&amp;"","")</f>
        <v/>
      </c>
      <c r="K22" s="29" t="str">
        <f aca="false">IFERROR(INDEX(ポート振替表!$N$5:$N$3507,MATCH($A22,ポート振替表!$U$5:$U$3507,0))&amp;"","")</f>
        <v/>
      </c>
      <c r="L22" s="29" t="str">
        <f aca="false">IFERROR(INDEX(ポート振替表!$O$5:$O$3507,MATCH($A22,ポート振替表!$U$5:$U$3507,0))&amp;"","")</f>
        <v/>
      </c>
      <c r="M22" s="56" t="str">
        <f aca="false">IFERROR(INDEX(ポート振替表!$P$5:$P$3507,MATCH($A22,ポート振替表!$U$5:$U$3507,0))&amp;"","")</f>
        <v/>
      </c>
      <c r="N22" s="57" t="s">
        <v>158</v>
      </c>
    </row>
    <row r="23" customFormat="false" ht="21" hidden="false" customHeight="true" outlineLevel="0" collapsed="false">
      <c r="A23" s="55" t="n">
        <v>14</v>
      </c>
      <c r="B23" s="29" t="str">
        <f aca="false">IFERROR(INDEX(ポート振替表!$C$5:$C$3507,MATCH($A23,ポート振替表!$U$5:$U$3507,0))&amp;"","")</f>
        <v/>
      </c>
      <c r="C23" s="29" t="str">
        <f aca="false">IFERROR(INDEX(ポート振替表!$D$5:$D$3507,MATCH($A23,ポート振替表!$U$5:$U$3507,0))&amp;"","")</f>
        <v/>
      </c>
      <c r="D23" s="29" t="str">
        <f aca="false">IFERROR(INDEX(ポート振替表!$E$5:$E$3507,MATCH($A23,ポート振替表!$U$5:$U$3507,0))&amp;"","")</f>
        <v/>
      </c>
      <c r="E23" s="30" t="str">
        <f aca="false">IFERROR(INDEX(ポート振替表!$F$5:$F$3507,MATCH($A23,ポート振替表!$U$5:$U$3507,0))&amp;"","")</f>
        <v/>
      </c>
      <c r="F23" s="30" t="str">
        <f aca="false">IFERROR(INDEX(ポート振替表!$H$5:$H$3507,MATCH($A23,ポート振替表!$U$5:$U$3507,0))&amp;"","")</f>
        <v/>
      </c>
      <c r="G23" s="29" t="str">
        <f aca="false">IFERROR(INDEX(ポート振替表!$I$5:$I$3507,MATCH($A23,ポート振替表!$U$5:$U$3507,0))&amp;"","")</f>
        <v/>
      </c>
      <c r="H23" s="30" t="str">
        <f aca="false">IFERROR(INDEX(ポート振替表!$J$5:$J$3507,MATCH($A23,ポート振替表!$U$5:$U$3507,0))&amp;"","")</f>
        <v/>
      </c>
      <c r="I23" s="30" t="str">
        <f aca="false">IFERROR(INDEX(ポート振替表!$K$5:$K$3507,MATCH($A23,ポート振替表!$U$5:$U$3507,0))&amp;"","")</f>
        <v/>
      </c>
      <c r="J23" s="29" t="str">
        <f aca="false">IFERROR(INDEX(ポート振替表!$L$5:$L$3507,MATCH($A23,ポート振替表!$U$5:$U$3507,0))&amp;"","")</f>
        <v/>
      </c>
      <c r="K23" s="29" t="str">
        <f aca="false">IFERROR(INDEX(ポート振替表!$N$5:$N$3507,MATCH($A23,ポート振替表!$U$5:$U$3507,0))&amp;"","")</f>
        <v/>
      </c>
      <c r="L23" s="29" t="str">
        <f aca="false">IFERROR(INDEX(ポート振替表!$O$5:$O$3507,MATCH($A23,ポート振替表!$U$5:$U$3507,0))&amp;"","")</f>
        <v/>
      </c>
      <c r="M23" s="56" t="str">
        <f aca="false">IFERROR(INDEX(ポート振替表!$P$5:$P$3507,MATCH($A23,ポート振替表!$U$5:$U$3507,0))&amp;"","")</f>
        <v/>
      </c>
      <c r="N23" s="57" t="s">
        <v>158</v>
      </c>
    </row>
    <row r="24" customFormat="false" ht="21" hidden="false" customHeight="true" outlineLevel="0" collapsed="false">
      <c r="A24" s="55" t="n">
        <v>15</v>
      </c>
      <c r="B24" s="29" t="str">
        <f aca="false">IFERROR(INDEX(ポート振替表!$C$5:$C$3507,MATCH($A24,ポート振替表!$U$5:$U$3507,0))&amp;"","")</f>
        <v/>
      </c>
      <c r="C24" s="29" t="str">
        <f aca="false">IFERROR(INDEX(ポート振替表!$D$5:$D$3507,MATCH($A24,ポート振替表!$U$5:$U$3507,0))&amp;"","")</f>
        <v/>
      </c>
      <c r="D24" s="29" t="str">
        <f aca="false">IFERROR(INDEX(ポート振替表!$E$5:$E$3507,MATCH($A24,ポート振替表!$U$5:$U$3507,0))&amp;"","")</f>
        <v/>
      </c>
      <c r="E24" s="30" t="str">
        <f aca="false">IFERROR(INDEX(ポート振替表!$F$5:$F$3507,MATCH($A24,ポート振替表!$U$5:$U$3507,0))&amp;"","")</f>
        <v/>
      </c>
      <c r="F24" s="30" t="str">
        <f aca="false">IFERROR(INDEX(ポート振替表!$H$5:$H$3507,MATCH($A24,ポート振替表!$U$5:$U$3507,0))&amp;"","")</f>
        <v/>
      </c>
      <c r="G24" s="29" t="str">
        <f aca="false">IFERROR(INDEX(ポート振替表!$I$5:$I$3507,MATCH($A24,ポート振替表!$U$5:$U$3507,0))&amp;"","")</f>
        <v/>
      </c>
      <c r="H24" s="30" t="str">
        <f aca="false">IFERROR(INDEX(ポート振替表!$J$5:$J$3507,MATCH($A24,ポート振替表!$U$5:$U$3507,0))&amp;"","")</f>
        <v/>
      </c>
      <c r="I24" s="30" t="str">
        <f aca="false">IFERROR(INDEX(ポート振替表!$K$5:$K$3507,MATCH($A24,ポート振替表!$U$5:$U$3507,0))&amp;"","")</f>
        <v/>
      </c>
      <c r="J24" s="29" t="str">
        <f aca="false">IFERROR(INDEX(ポート振替表!$L$5:$L$3507,MATCH($A24,ポート振替表!$U$5:$U$3507,0))&amp;"","")</f>
        <v/>
      </c>
      <c r="K24" s="29" t="str">
        <f aca="false">IFERROR(INDEX(ポート振替表!$N$5:$N$3507,MATCH($A24,ポート振替表!$U$5:$U$3507,0))&amp;"","")</f>
        <v/>
      </c>
      <c r="L24" s="29" t="str">
        <f aca="false">IFERROR(INDEX(ポート振替表!$O$5:$O$3507,MATCH($A24,ポート振替表!$U$5:$U$3507,0))&amp;"","")</f>
        <v/>
      </c>
      <c r="M24" s="56" t="str">
        <f aca="false">IFERROR(INDEX(ポート振替表!$P$5:$P$3507,MATCH($A24,ポート振替表!$U$5:$U$3507,0))&amp;"","")</f>
        <v/>
      </c>
      <c r="N24" s="57" t="s">
        <v>158</v>
      </c>
    </row>
    <row r="25" customFormat="false" ht="21" hidden="false" customHeight="true" outlineLevel="0" collapsed="false">
      <c r="A25" s="55" t="n">
        <v>16</v>
      </c>
      <c r="B25" s="29" t="str">
        <f aca="false">IFERROR(INDEX(ポート振替表!$C$5:$C$3507,MATCH($A25,ポート振替表!$U$5:$U$3507,0))&amp;"","")</f>
        <v/>
      </c>
      <c r="C25" s="29" t="str">
        <f aca="false">IFERROR(INDEX(ポート振替表!$D$5:$D$3507,MATCH($A25,ポート振替表!$U$5:$U$3507,0))&amp;"","")</f>
        <v/>
      </c>
      <c r="D25" s="29" t="str">
        <f aca="false">IFERROR(INDEX(ポート振替表!$E$5:$E$3507,MATCH($A25,ポート振替表!$U$5:$U$3507,0))&amp;"","")</f>
        <v/>
      </c>
      <c r="E25" s="30" t="str">
        <f aca="false">IFERROR(INDEX(ポート振替表!$F$5:$F$3507,MATCH($A25,ポート振替表!$U$5:$U$3507,0))&amp;"","")</f>
        <v/>
      </c>
      <c r="F25" s="30" t="str">
        <f aca="false">IFERROR(INDEX(ポート振替表!$H$5:$H$3507,MATCH($A25,ポート振替表!$U$5:$U$3507,0))&amp;"","")</f>
        <v/>
      </c>
      <c r="G25" s="29" t="str">
        <f aca="false">IFERROR(INDEX(ポート振替表!$I$5:$I$3507,MATCH($A25,ポート振替表!$U$5:$U$3507,0))&amp;"","")</f>
        <v/>
      </c>
      <c r="H25" s="30" t="str">
        <f aca="false">IFERROR(INDEX(ポート振替表!$J$5:$J$3507,MATCH($A25,ポート振替表!$U$5:$U$3507,0))&amp;"","")</f>
        <v/>
      </c>
      <c r="I25" s="30" t="str">
        <f aca="false">IFERROR(INDEX(ポート振替表!$K$5:$K$3507,MATCH($A25,ポート振替表!$U$5:$U$3507,0))&amp;"","")</f>
        <v/>
      </c>
      <c r="J25" s="29" t="str">
        <f aca="false">IFERROR(INDEX(ポート振替表!$L$5:$L$3507,MATCH($A25,ポート振替表!$U$5:$U$3507,0))&amp;"","")</f>
        <v/>
      </c>
      <c r="K25" s="29" t="str">
        <f aca="false">IFERROR(INDEX(ポート振替表!$N$5:$N$3507,MATCH($A25,ポート振替表!$U$5:$U$3507,0))&amp;"","")</f>
        <v/>
      </c>
      <c r="L25" s="29" t="str">
        <f aca="false">IFERROR(INDEX(ポート振替表!$O$5:$O$3507,MATCH($A25,ポート振替表!$U$5:$U$3507,0))&amp;"","")</f>
        <v/>
      </c>
      <c r="M25" s="56" t="str">
        <f aca="false">IFERROR(INDEX(ポート振替表!$P$5:$P$3507,MATCH($A25,ポート振替表!$U$5:$U$3507,0))&amp;"","")</f>
        <v/>
      </c>
      <c r="N25" s="57" t="s">
        <v>158</v>
      </c>
    </row>
    <row r="26" customFormat="false" ht="21" hidden="false" customHeight="true" outlineLevel="0" collapsed="false">
      <c r="A26" s="55" t="n">
        <v>17</v>
      </c>
      <c r="B26" s="29" t="str">
        <f aca="false">IFERROR(INDEX(ポート振替表!$C$5:$C$3507,MATCH($A26,ポート振替表!$U$5:$U$3507,0))&amp;"","")</f>
        <v/>
      </c>
      <c r="C26" s="29" t="str">
        <f aca="false">IFERROR(INDEX(ポート振替表!$D$5:$D$3507,MATCH($A26,ポート振替表!$U$5:$U$3507,0))&amp;"","")</f>
        <v/>
      </c>
      <c r="D26" s="29" t="str">
        <f aca="false">IFERROR(INDEX(ポート振替表!$E$5:$E$3507,MATCH($A26,ポート振替表!$U$5:$U$3507,0))&amp;"","")</f>
        <v/>
      </c>
      <c r="E26" s="30" t="str">
        <f aca="false">IFERROR(INDEX(ポート振替表!$F$5:$F$3507,MATCH($A26,ポート振替表!$U$5:$U$3507,0))&amp;"","")</f>
        <v/>
      </c>
      <c r="F26" s="30" t="str">
        <f aca="false">IFERROR(INDEX(ポート振替表!$H$5:$H$3507,MATCH($A26,ポート振替表!$U$5:$U$3507,0))&amp;"","")</f>
        <v/>
      </c>
      <c r="G26" s="29" t="str">
        <f aca="false">IFERROR(INDEX(ポート振替表!$I$5:$I$3507,MATCH($A26,ポート振替表!$U$5:$U$3507,0))&amp;"","")</f>
        <v/>
      </c>
      <c r="H26" s="30" t="str">
        <f aca="false">IFERROR(INDEX(ポート振替表!$J$5:$J$3507,MATCH($A26,ポート振替表!$U$5:$U$3507,0))&amp;"","")</f>
        <v/>
      </c>
      <c r="I26" s="30" t="str">
        <f aca="false">IFERROR(INDEX(ポート振替表!$K$5:$K$3507,MATCH($A26,ポート振替表!$U$5:$U$3507,0))&amp;"","")</f>
        <v/>
      </c>
      <c r="J26" s="29" t="str">
        <f aca="false">IFERROR(INDEX(ポート振替表!$L$5:$L$3507,MATCH($A26,ポート振替表!$U$5:$U$3507,0))&amp;"","")</f>
        <v/>
      </c>
      <c r="K26" s="29" t="str">
        <f aca="false">IFERROR(INDEX(ポート振替表!$N$5:$N$3507,MATCH($A26,ポート振替表!$U$5:$U$3507,0))&amp;"","")</f>
        <v/>
      </c>
      <c r="L26" s="29" t="str">
        <f aca="false">IFERROR(INDEX(ポート振替表!$O$5:$O$3507,MATCH($A26,ポート振替表!$U$5:$U$3507,0))&amp;"","")</f>
        <v/>
      </c>
      <c r="M26" s="56" t="str">
        <f aca="false">IFERROR(INDEX(ポート振替表!$P$5:$P$3507,MATCH($A26,ポート振替表!$U$5:$U$3507,0))&amp;"","")</f>
        <v/>
      </c>
      <c r="N26" s="57" t="s">
        <v>158</v>
      </c>
    </row>
    <row r="27" customFormat="false" ht="21" hidden="false" customHeight="true" outlineLevel="0" collapsed="false">
      <c r="A27" s="55" t="n">
        <v>18</v>
      </c>
      <c r="B27" s="29" t="str">
        <f aca="false">IFERROR(INDEX(ポート振替表!$C$5:$C$3507,MATCH($A27,ポート振替表!$U$5:$U$3507,0))&amp;"","")</f>
        <v/>
      </c>
      <c r="C27" s="29" t="str">
        <f aca="false">IFERROR(INDEX(ポート振替表!$D$5:$D$3507,MATCH($A27,ポート振替表!$U$5:$U$3507,0))&amp;"","")</f>
        <v/>
      </c>
      <c r="D27" s="29" t="str">
        <f aca="false">IFERROR(INDEX(ポート振替表!$E$5:$E$3507,MATCH($A27,ポート振替表!$U$5:$U$3507,0))&amp;"","")</f>
        <v/>
      </c>
      <c r="E27" s="30" t="str">
        <f aca="false">IFERROR(INDEX(ポート振替表!$F$5:$F$3507,MATCH($A27,ポート振替表!$U$5:$U$3507,0))&amp;"","")</f>
        <v/>
      </c>
      <c r="F27" s="30" t="str">
        <f aca="false">IFERROR(INDEX(ポート振替表!$H$5:$H$3507,MATCH($A27,ポート振替表!$U$5:$U$3507,0))&amp;"","")</f>
        <v/>
      </c>
      <c r="G27" s="29" t="str">
        <f aca="false">IFERROR(INDEX(ポート振替表!$I$5:$I$3507,MATCH($A27,ポート振替表!$U$5:$U$3507,0))&amp;"","")</f>
        <v/>
      </c>
      <c r="H27" s="30" t="str">
        <f aca="false">IFERROR(INDEX(ポート振替表!$J$5:$J$3507,MATCH($A27,ポート振替表!$U$5:$U$3507,0))&amp;"","")</f>
        <v/>
      </c>
      <c r="I27" s="30" t="str">
        <f aca="false">IFERROR(INDEX(ポート振替表!$K$5:$K$3507,MATCH($A27,ポート振替表!$U$5:$U$3507,0))&amp;"","")</f>
        <v/>
      </c>
      <c r="J27" s="29" t="str">
        <f aca="false">IFERROR(INDEX(ポート振替表!$L$5:$L$3507,MATCH($A27,ポート振替表!$U$5:$U$3507,0))&amp;"","")</f>
        <v/>
      </c>
      <c r="K27" s="29" t="str">
        <f aca="false">IFERROR(INDEX(ポート振替表!$N$5:$N$3507,MATCH($A27,ポート振替表!$U$5:$U$3507,0))&amp;"","")</f>
        <v/>
      </c>
      <c r="L27" s="29" t="str">
        <f aca="false">IFERROR(INDEX(ポート振替表!$O$5:$O$3507,MATCH($A27,ポート振替表!$U$5:$U$3507,0))&amp;"","")</f>
        <v/>
      </c>
      <c r="M27" s="56" t="str">
        <f aca="false">IFERROR(INDEX(ポート振替表!$P$5:$P$3507,MATCH($A27,ポート振替表!$U$5:$U$3507,0))&amp;"","")</f>
        <v/>
      </c>
      <c r="N27" s="57" t="s">
        <v>158</v>
      </c>
    </row>
    <row r="28" customFormat="false" ht="21" hidden="false" customHeight="true" outlineLevel="0" collapsed="false">
      <c r="A28" s="55" t="n">
        <v>19</v>
      </c>
      <c r="B28" s="29" t="str">
        <f aca="false">IFERROR(INDEX(ポート振替表!$C$5:$C$3507,MATCH($A28,ポート振替表!$U$5:$U$3507,0))&amp;"","")</f>
        <v/>
      </c>
      <c r="C28" s="29" t="str">
        <f aca="false">IFERROR(INDEX(ポート振替表!$D$5:$D$3507,MATCH($A28,ポート振替表!$U$5:$U$3507,0))&amp;"","")</f>
        <v/>
      </c>
      <c r="D28" s="29" t="str">
        <f aca="false">IFERROR(INDEX(ポート振替表!$E$5:$E$3507,MATCH($A28,ポート振替表!$U$5:$U$3507,0))&amp;"","")</f>
        <v/>
      </c>
      <c r="E28" s="30" t="str">
        <f aca="false">IFERROR(INDEX(ポート振替表!$F$5:$F$3507,MATCH($A28,ポート振替表!$U$5:$U$3507,0))&amp;"","")</f>
        <v/>
      </c>
      <c r="F28" s="30" t="str">
        <f aca="false">IFERROR(INDEX(ポート振替表!$H$5:$H$3507,MATCH($A28,ポート振替表!$U$5:$U$3507,0))&amp;"","")</f>
        <v/>
      </c>
      <c r="G28" s="29" t="str">
        <f aca="false">IFERROR(INDEX(ポート振替表!$I$5:$I$3507,MATCH($A28,ポート振替表!$U$5:$U$3507,0))&amp;"","")</f>
        <v/>
      </c>
      <c r="H28" s="30" t="str">
        <f aca="false">IFERROR(INDEX(ポート振替表!$J$5:$J$3507,MATCH($A28,ポート振替表!$U$5:$U$3507,0))&amp;"","")</f>
        <v/>
      </c>
      <c r="I28" s="30" t="str">
        <f aca="false">IFERROR(INDEX(ポート振替表!$K$5:$K$3507,MATCH($A28,ポート振替表!$U$5:$U$3507,0))&amp;"","")</f>
        <v/>
      </c>
      <c r="J28" s="29" t="str">
        <f aca="false">IFERROR(INDEX(ポート振替表!$L$5:$L$3507,MATCH($A28,ポート振替表!$U$5:$U$3507,0))&amp;"","")</f>
        <v/>
      </c>
      <c r="K28" s="29" t="str">
        <f aca="false">IFERROR(INDEX(ポート振替表!$N$5:$N$3507,MATCH($A28,ポート振替表!$U$5:$U$3507,0))&amp;"","")</f>
        <v/>
      </c>
      <c r="L28" s="29" t="str">
        <f aca="false">IFERROR(INDEX(ポート振替表!$O$5:$O$3507,MATCH($A28,ポート振替表!$U$5:$U$3507,0))&amp;"","")</f>
        <v/>
      </c>
      <c r="M28" s="56" t="str">
        <f aca="false">IFERROR(INDEX(ポート振替表!$P$5:$P$3507,MATCH($A28,ポート振替表!$U$5:$U$3507,0))&amp;"","")</f>
        <v/>
      </c>
      <c r="N28" s="57" t="s">
        <v>158</v>
      </c>
    </row>
    <row r="29" customFormat="false" ht="21" hidden="false" customHeight="true" outlineLevel="0" collapsed="false">
      <c r="A29" s="55" t="n">
        <v>20</v>
      </c>
      <c r="B29" s="29" t="str">
        <f aca="false">IFERROR(INDEX(ポート振替表!$C$5:$C$3507,MATCH($A29,ポート振替表!$U$5:$U$3507,0))&amp;"","")</f>
        <v/>
      </c>
      <c r="C29" s="29" t="str">
        <f aca="false">IFERROR(INDEX(ポート振替表!$D$5:$D$3507,MATCH($A29,ポート振替表!$U$5:$U$3507,0))&amp;"","")</f>
        <v/>
      </c>
      <c r="D29" s="29" t="str">
        <f aca="false">IFERROR(INDEX(ポート振替表!$E$5:$E$3507,MATCH($A29,ポート振替表!$U$5:$U$3507,0))&amp;"","")</f>
        <v/>
      </c>
      <c r="E29" s="30" t="str">
        <f aca="false">IFERROR(INDEX(ポート振替表!$F$5:$F$3507,MATCH($A29,ポート振替表!$U$5:$U$3507,0))&amp;"","")</f>
        <v/>
      </c>
      <c r="F29" s="30" t="str">
        <f aca="false">IFERROR(INDEX(ポート振替表!$H$5:$H$3507,MATCH($A29,ポート振替表!$U$5:$U$3507,0))&amp;"","")</f>
        <v/>
      </c>
      <c r="G29" s="29" t="str">
        <f aca="false">IFERROR(INDEX(ポート振替表!$I$5:$I$3507,MATCH($A29,ポート振替表!$U$5:$U$3507,0))&amp;"","")</f>
        <v/>
      </c>
      <c r="H29" s="30" t="str">
        <f aca="false">IFERROR(INDEX(ポート振替表!$J$5:$J$3507,MATCH($A29,ポート振替表!$U$5:$U$3507,0))&amp;"","")</f>
        <v/>
      </c>
      <c r="I29" s="30" t="str">
        <f aca="false">IFERROR(INDEX(ポート振替表!$K$5:$K$3507,MATCH($A29,ポート振替表!$U$5:$U$3507,0))&amp;"","")</f>
        <v/>
      </c>
      <c r="J29" s="29" t="str">
        <f aca="false">IFERROR(INDEX(ポート振替表!$L$5:$L$3507,MATCH($A29,ポート振替表!$U$5:$U$3507,0))&amp;"","")</f>
        <v/>
      </c>
      <c r="K29" s="29" t="str">
        <f aca="false">IFERROR(INDEX(ポート振替表!$N$5:$N$3507,MATCH($A29,ポート振替表!$U$5:$U$3507,0))&amp;"","")</f>
        <v/>
      </c>
      <c r="L29" s="29" t="str">
        <f aca="false">IFERROR(INDEX(ポート振替表!$O$5:$O$3507,MATCH($A29,ポート振替表!$U$5:$U$3507,0))&amp;"","")</f>
        <v/>
      </c>
      <c r="M29" s="56" t="str">
        <f aca="false">IFERROR(INDEX(ポート振替表!$P$5:$P$3507,MATCH($A29,ポート振替表!$U$5:$U$3507,0))&amp;"","")</f>
        <v/>
      </c>
      <c r="N29" s="57" t="s">
        <v>158</v>
      </c>
    </row>
    <row r="30" customFormat="false" ht="21" hidden="false" customHeight="true" outlineLevel="0" collapsed="false">
      <c r="A30" s="55" t="n">
        <v>21</v>
      </c>
      <c r="B30" s="29" t="str">
        <f aca="false">IFERROR(INDEX(ポート振替表!$C$5:$C$3507,MATCH($A30,ポート振替表!$U$5:$U$3507,0))&amp;"","")</f>
        <v/>
      </c>
      <c r="C30" s="29" t="str">
        <f aca="false">IFERROR(INDEX(ポート振替表!$D$5:$D$3507,MATCH($A30,ポート振替表!$U$5:$U$3507,0))&amp;"","")</f>
        <v/>
      </c>
      <c r="D30" s="29" t="str">
        <f aca="false">IFERROR(INDEX(ポート振替表!$E$5:$E$3507,MATCH($A30,ポート振替表!$U$5:$U$3507,0))&amp;"","")</f>
        <v/>
      </c>
      <c r="E30" s="30" t="str">
        <f aca="false">IFERROR(INDEX(ポート振替表!$F$5:$F$3507,MATCH($A30,ポート振替表!$U$5:$U$3507,0))&amp;"","")</f>
        <v/>
      </c>
      <c r="F30" s="30" t="str">
        <f aca="false">IFERROR(INDEX(ポート振替表!$H$5:$H$3507,MATCH($A30,ポート振替表!$U$5:$U$3507,0))&amp;"","")</f>
        <v/>
      </c>
      <c r="G30" s="29" t="str">
        <f aca="false">IFERROR(INDEX(ポート振替表!$I$5:$I$3507,MATCH($A30,ポート振替表!$U$5:$U$3507,0))&amp;"","")</f>
        <v/>
      </c>
      <c r="H30" s="30" t="str">
        <f aca="false">IFERROR(INDEX(ポート振替表!$J$5:$J$3507,MATCH($A30,ポート振替表!$U$5:$U$3507,0))&amp;"","")</f>
        <v/>
      </c>
      <c r="I30" s="30" t="str">
        <f aca="false">IFERROR(INDEX(ポート振替表!$K$5:$K$3507,MATCH($A30,ポート振替表!$U$5:$U$3507,0))&amp;"","")</f>
        <v/>
      </c>
      <c r="J30" s="29" t="str">
        <f aca="false">IFERROR(INDEX(ポート振替表!$L$5:$L$3507,MATCH($A30,ポート振替表!$U$5:$U$3507,0))&amp;"","")</f>
        <v/>
      </c>
      <c r="K30" s="29" t="str">
        <f aca="false">IFERROR(INDEX(ポート振替表!$N$5:$N$3507,MATCH($A30,ポート振替表!$U$5:$U$3507,0))&amp;"","")</f>
        <v/>
      </c>
      <c r="L30" s="29" t="str">
        <f aca="false">IFERROR(INDEX(ポート振替表!$O$5:$O$3507,MATCH($A30,ポート振替表!$U$5:$U$3507,0))&amp;"","")</f>
        <v/>
      </c>
      <c r="M30" s="56" t="str">
        <f aca="false">IFERROR(INDEX(ポート振替表!$P$5:$P$3507,MATCH($A30,ポート振替表!$U$5:$U$3507,0))&amp;"","")</f>
        <v/>
      </c>
      <c r="N30" s="57" t="s">
        <v>158</v>
      </c>
    </row>
    <row r="31" customFormat="false" ht="21" hidden="false" customHeight="true" outlineLevel="0" collapsed="false">
      <c r="A31" s="55" t="n">
        <v>22</v>
      </c>
      <c r="B31" s="29" t="str">
        <f aca="false">IFERROR(INDEX(ポート振替表!$C$5:$C$3507,MATCH($A31,ポート振替表!$U$5:$U$3507,0))&amp;"","")</f>
        <v/>
      </c>
      <c r="C31" s="29" t="str">
        <f aca="false">IFERROR(INDEX(ポート振替表!$D$5:$D$3507,MATCH($A31,ポート振替表!$U$5:$U$3507,0))&amp;"","")</f>
        <v/>
      </c>
      <c r="D31" s="29" t="str">
        <f aca="false">IFERROR(INDEX(ポート振替表!$E$5:$E$3507,MATCH($A31,ポート振替表!$U$5:$U$3507,0))&amp;"","")</f>
        <v/>
      </c>
      <c r="E31" s="30" t="str">
        <f aca="false">IFERROR(INDEX(ポート振替表!$F$5:$F$3507,MATCH($A31,ポート振替表!$U$5:$U$3507,0))&amp;"","")</f>
        <v/>
      </c>
      <c r="F31" s="30" t="str">
        <f aca="false">IFERROR(INDEX(ポート振替表!$H$5:$H$3507,MATCH($A31,ポート振替表!$U$5:$U$3507,0))&amp;"","")</f>
        <v/>
      </c>
      <c r="G31" s="29" t="str">
        <f aca="false">IFERROR(INDEX(ポート振替表!$I$5:$I$3507,MATCH($A31,ポート振替表!$U$5:$U$3507,0))&amp;"","")</f>
        <v/>
      </c>
      <c r="H31" s="30" t="str">
        <f aca="false">IFERROR(INDEX(ポート振替表!$J$5:$J$3507,MATCH($A31,ポート振替表!$U$5:$U$3507,0))&amp;"","")</f>
        <v/>
      </c>
      <c r="I31" s="30" t="str">
        <f aca="false">IFERROR(INDEX(ポート振替表!$K$5:$K$3507,MATCH($A31,ポート振替表!$U$5:$U$3507,0))&amp;"","")</f>
        <v/>
      </c>
      <c r="J31" s="29" t="str">
        <f aca="false">IFERROR(INDEX(ポート振替表!$L$5:$L$3507,MATCH($A31,ポート振替表!$U$5:$U$3507,0))&amp;"","")</f>
        <v/>
      </c>
      <c r="K31" s="29" t="str">
        <f aca="false">IFERROR(INDEX(ポート振替表!$N$5:$N$3507,MATCH($A31,ポート振替表!$U$5:$U$3507,0))&amp;"","")</f>
        <v/>
      </c>
      <c r="L31" s="29" t="str">
        <f aca="false">IFERROR(INDEX(ポート振替表!$O$5:$O$3507,MATCH($A31,ポート振替表!$U$5:$U$3507,0))&amp;"","")</f>
        <v/>
      </c>
      <c r="M31" s="56" t="str">
        <f aca="false">IFERROR(INDEX(ポート振替表!$P$5:$P$3507,MATCH($A31,ポート振替表!$U$5:$U$3507,0))&amp;"","")</f>
        <v/>
      </c>
      <c r="N31" s="57" t="s">
        <v>158</v>
      </c>
    </row>
    <row r="32" customFormat="false" ht="21" hidden="false" customHeight="true" outlineLevel="0" collapsed="false">
      <c r="A32" s="55" t="n">
        <v>23</v>
      </c>
      <c r="B32" s="29" t="str">
        <f aca="false">IFERROR(INDEX(ポート振替表!$C$5:$C$3507,MATCH($A32,ポート振替表!$U$5:$U$3507,0))&amp;"","")</f>
        <v/>
      </c>
      <c r="C32" s="29" t="str">
        <f aca="false">IFERROR(INDEX(ポート振替表!$D$5:$D$3507,MATCH($A32,ポート振替表!$U$5:$U$3507,0))&amp;"","")</f>
        <v/>
      </c>
      <c r="D32" s="29" t="str">
        <f aca="false">IFERROR(INDEX(ポート振替表!$E$5:$E$3507,MATCH($A32,ポート振替表!$U$5:$U$3507,0))&amp;"","")</f>
        <v/>
      </c>
      <c r="E32" s="30" t="str">
        <f aca="false">IFERROR(INDEX(ポート振替表!$F$5:$F$3507,MATCH($A32,ポート振替表!$U$5:$U$3507,0))&amp;"","")</f>
        <v/>
      </c>
      <c r="F32" s="30" t="str">
        <f aca="false">IFERROR(INDEX(ポート振替表!$H$5:$H$3507,MATCH($A32,ポート振替表!$U$5:$U$3507,0))&amp;"","")</f>
        <v/>
      </c>
      <c r="G32" s="29" t="str">
        <f aca="false">IFERROR(INDEX(ポート振替表!$I$5:$I$3507,MATCH($A32,ポート振替表!$U$5:$U$3507,0))&amp;"","")</f>
        <v/>
      </c>
      <c r="H32" s="30" t="str">
        <f aca="false">IFERROR(INDEX(ポート振替表!$J$5:$J$3507,MATCH($A32,ポート振替表!$U$5:$U$3507,0))&amp;"","")</f>
        <v/>
      </c>
      <c r="I32" s="30" t="str">
        <f aca="false">IFERROR(INDEX(ポート振替表!$K$5:$K$3507,MATCH($A32,ポート振替表!$U$5:$U$3507,0))&amp;"","")</f>
        <v/>
      </c>
      <c r="J32" s="29" t="str">
        <f aca="false">IFERROR(INDEX(ポート振替表!$L$5:$L$3507,MATCH($A32,ポート振替表!$U$5:$U$3507,0))&amp;"","")</f>
        <v/>
      </c>
      <c r="K32" s="29" t="str">
        <f aca="false">IFERROR(INDEX(ポート振替表!$N$5:$N$3507,MATCH($A32,ポート振替表!$U$5:$U$3507,0))&amp;"","")</f>
        <v/>
      </c>
      <c r="L32" s="29" t="str">
        <f aca="false">IFERROR(INDEX(ポート振替表!$O$5:$O$3507,MATCH($A32,ポート振替表!$U$5:$U$3507,0))&amp;"","")</f>
        <v/>
      </c>
      <c r="M32" s="56" t="str">
        <f aca="false">IFERROR(INDEX(ポート振替表!$P$5:$P$3507,MATCH($A32,ポート振替表!$U$5:$U$3507,0))&amp;"","")</f>
        <v/>
      </c>
      <c r="N32" s="57" t="s">
        <v>158</v>
      </c>
    </row>
    <row r="33" customFormat="false" ht="21" hidden="false" customHeight="true" outlineLevel="0" collapsed="false">
      <c r="A33" s="55" t="n">
        <v>24</v>
      </c>
      <c r="B33" s="29" t="str">
        <f aca="false">IFERROR(INDEX(ポート振替表!$C$5:$C$3507,MATCH($A33,ポート振替表!$U$5:$U$3507,0))&amp;"","")</f>
        <v/>
      </c>
      <c r="C33" s="29" t="str">
        <f aca="false">IFERROR(INDEX(ポート振替表!$D$5:$D$3507,MATCH($A33,ポート振替表!$U$5:$U$3507,0))&amp;"","")</f>
        <v/>
      </c>
      <c r="D33" s="29" t="str">
        <f aca="false">IFERROR(INDEX(ポート振替表!$E$5:$E$3507,MATCH($A33,ポート振替表!$U$5:$U$3507,0))&amp;"","")</f>
        <v/>
      </c>
      <c r="E33" s="30" t="str">
        <f aca="false">IFERROR(INDEX(ポート振替表!$F$5:$F$3507,MATCH($A33,ポート振替表!$U$5:$U$3507,0))&amp;"","")</f>
        <v/>
      </c>
      <c r="F33" s="30" t="str">
        <f aca="false">IFERROR(INDEX(ポート振替表!$H$5:$H$3507,MATCH($A33,ポート振替表!$U$5:$U$3507,0))&amp;"","")</f>
        <v/>
      </c>
      <c r="G33" s="29" t="str">
        <f aca="false">IFERROR(INDEX(ポート振替表!$I$5:$I$3507,MATCH($A33,ポート振替表!$U$5:$U$3507,0))&amp;"","")</f>
        <v/>
      </c>
      <c r="H33" s="30" t="str">
        <f aca="false">IFERROR(INDEX(ポート振替表!$J$5:$J$3507,MATCH($A33,ポート振替表!$U$5:$U$3507,0))&amp;"","")</f>
        <v/>
      </c>
      <c r="I33" s="30" t="str">
        <f aca="false">IFERROR(INDEX(ポート振替表!$K$5:$K$3507,MATCH($A33,ポート振替表!$U$5:$U$3507,0))&amp;"","")</f>
        <v/>
      </c>
      <c r="J33" s="29" t="str">
        <f aca="false">IFERROR(INDEX(ポート振替表!$L$5:$L$3507,MATCH($A33,ポート振替表!$U$5:$U$3507,0))&amp;"","")</f>
        <v/>
      </c>
      <c r="K33" s="29" t="str">
        <f aca="false">IFERROR(INDEX(ポート振替表!$N$5:$N$3507,MATCH($A33,ポート振替表!$U$5:$U$3507,0))&amp;"","")</f>
        <v/>
      </c>
      <c r="L33" s="29" t="str">
        <f aca="false">IFERROR(INDEX(ポート振替表!$O$5:$O$3507,MATCH($A33,ポート振替表!$U$5:$U$3507,0))&amp;"","")</f>
        <v/>
      </c>
      <c r="M33" s="56" t="str">
        <f aca="false">IFERROR(INDEX(ポート振替表!$P$5:$P$3507,MATCH($A33,ポート振替表!$U$5:$U$3507,0))&amp;"","")</f>
        <v/>
      </c>
      <c r="N33" s="57" t="s">
        <v>158</v>
      </c>
    </row>
    <row r="34" customFormat="false" ht="21" hidden="false" customHeight="true" outlineLevel="0" collapsed="false">
      <c r="A34" s="55" t="n">
        <v>25</v>
      </c>
      <c r="B34" s="29" t="str">
        <f aca="false">IFERROR(INDEX(ポート振替表!$C$5:$C$3507,MATCH($A34,ポート振替表!$U$5:$U$3507,0))&amp;"","")</f>
        <v/>
      </c>
      <c r="C34" s="29" t="str">
        <f aca="false">IFERROR(INDEX(ポート振替表!$D$5:$D$3507,MATCH($A34,ポート振替表!$U$5:$U$3507,0))&amp;"","")</f>
        <v/>
      </c>
      <c r="D34" s="29" t="str">
        <f aca="false">IFERROR(INDEX(ポート振替表!$E$5:$E$3507,MATCH($A34,ポート振替表!$U$5:$U$3507,0))&amp;"","")</f>
        <v/>
      </c>
      <c r="E34" s="30" t="str">
        <f aca="false">IFERROR(INDEX(ポート振替表!$F$5:$F$3507,MATCH($A34,ポート振替表!$U$5:$U$3507,0))&amp;"","")</f>
        <v/>
      </c>
      <c r="F34" s="30" t="str">
        <f aca="false">IFERROR(INDEX(ポート振替表!$H$5:$H$3507,MATCH($A34,ポート振替表!$U$5:$U$3507,0))&amp;"","")</f>
        <v/>
      </c>
      <c r="G34" s="29" t="str">
        <f aca="false">IFERROR(INDEX(ポート振替表!$I$5:$I$3507,MATCH($A34,ポート振替表!$U$5:$U$3507,0))&amp;"","")</f>
        <v/>
      </c>
      <c r="H34" s="30" t="str">
        <f aca="false">IFERROR(INDEX(ポート振替表!$J$5:$J$3507,MATCH($A34,ポート振替表!$U$5:$U$3507,0))&amp;"","")</f>
        <v/>
      </c>
      <c r="I34" s="30" t="str">
        <f aca="false">IFERROR(INDEX(ポート振替表!$K$5:$K$3507,MATCH($A34,ポート振替表!$U$5:$U$3507,0))&amp;"","")</f>
        <v/>
      </c>
      <c r="J34" s="29" t="str">
        <f aca="false">IFERROR(INDEX(ポート振替表!$L$5:$L$3507,MATCH($A34,ポート振替表!$U$5:$U$3507,0))&amp;"","")</f>
        <v/>
      </c>
      <c r="K34" s="29" t="str">
        <f aca="false">IFERROR(INDEX(ポート振替表!$N$5:$N$3507,MATCH($A34,ポート振替表!$U$5:$U$3507,0))&amp;"","")</f>
        <v/>
      </c>
      <c r="L34" s="29" t="str">
        <f aca="false">IFERROR(INDEX(ポート振替表!$O$5:$O$3507,MATCH($A34,ポート振替表!$U$5:$U$3507,0))&amp;"","")</f>
        <v/>
      </c>
      <c r="M34" s="56" t="str">
        <f aca="false">IFERROR(INDEX(ポート振替表!$P$5:$P$3507,MATCH($A34,ポート振替表!$U$5:$U$3507,0))&amp;"","")</f>
        <v/>
      </c>
      <c r="N34" s="57" t="s">
        <v>158</v>
      </c>
    </row>
    <row r="35" customFormat="false" ht="21" hidden="false" customHeight="true" outlineLevel="0" collapsed="false">
      <c r="A35" s="55" t="n">
        <v>26</v>
      </c>
      <c r="B35" s="29" t="str">
        <f aca="false">IFERROR(INDEX(ポート振替表!$C$5:$C$3507,MATCH($A35,ポート振替表!$U$5:$U$3507,0))&amp;"","")</f>
        <v/>
      </c>
      <c r="C35" s="29" t="str">
        <f aca="false">IFERROR(INDEX(ポート振替表!$D$5:$D$3507,MATCH($A35,ポート振替表!$U$5:$U$3507,0))&amp;"","")</f>
        <v/>
      </c>
      <c r="D35" s="29" t="str">
        <f aca="false">IFERROR(INDEX(ポート振替表!$E$5:$E$3507,MATCH($A35,ポート振替表!$U$5:$U$3507,0))&amp;"","")</f>
        <v/>
      </c>
      <c r="E35" s="30" t="str">
        <f aca="false">IFERROR(INDEX(ポート振替表!$F$5:$F$3507,MATCH($A35,ポート振替表!$U$5:$U$3507,0))&amp;"","")</f>
        <v/>
      </c>
      <c r="F35" s="30" t="str">
        <f aca="false">IFERROR(INDEX(ポート振替表!$H$5:$H$3507,MATCH($A35,ポート振替表!$U$5:$U$3507,0))&amp;"","")</f>
        <v/>
      </c>
      <c r="G35" s="29" t="str">
        <f aca="false">IFERROR(INDEX(ポート振替表!$I$5:$I$3507,MATCH($A35,ポート振替表!$U$5:$U$3507,0))&amp;"","")</f>
        <v/>
      </c>
      <c r="H35" s="30" t="str">
        <f aca="false">IFERROR(INDEX(ポート振替表!$J$5:$J$3507,MATCH($A35,ポート振替表!$U$5:$U$3507,0))&amp;"","")</f>
        <v/>
      </c>
      <c r="I35" s="30" t="str">
        <f aca="false">IFERROR(INDEX(ポート振替表!$K$5:$K$3507,MATCH($A35,ポート振替表!$U$5:$U$3507,0))&amp;"","")</f>
        <v/>
      </c>
      <c r="J35" s="29" t="str">
        <f aca="false">IFERROR(INDEX(ポート振替表!$L$5:$L$3507,MATCH($A35,ポート振替表!$U$5:$U$3507,0))&amp;"","")</f>
        <v/>
      </c>
      <c r="K35" s="29" t="str">
        <f aca="false">IFERROR(INDEX(ポート振替表!$N$5:$N$3507,MATCH($A35,ポート振替表!$U$5:$U$3507,0))&amp;"","")</f>
        <v/>
      </c>
      <c r="L35" s="29" t="str">
        <f aca="false">IFERROR(INDEX(ポート振替表!$O$5:$O$3507,MATCH($A35,ポート振替表!$U$5:$U$3507,0))&amp;"","")</f>
        <v/>
      </c>
      <c r="M35" s="56" t="str">
        <f aca="false">IFERROR(INDEX(ポート振替表!$P$5:$P$3507,MATCH($A35,ポート振替表!$U$5:$U$3507,0))&amp;"","")</f>
        <v/>
      </c>
      <c r="N35" s="57" t="s">
        <v>158</v>
      </c>
    </row>
    <row r="36" customFormat="false" ht="21" hidden="false" customHeight="true" outlineLevel="0" collapsed="false">
      <c r="A36" s="55" t="n">
        <v>27</v>
      </c>
      <c r="B36" s="29" t="str">
        <f aca="false">IFERROR(INDEX(ポート振替表!$C$5:$C$3507,MATCH($A36,ポート振替表!$U$5:$U$3507,0))&amp;"","")</f>
        <v/>
      </c>
      <c r="C36" s="29" t="str">
        <f aca="false">IFERROR(INDEX(ポート振替表!$D$5:$D$3507,MATCH($A36,ポート振替表!$U$5:$U$3507,0))&amp;"","")</f>
        <v/>
      </c>
      <c r="D36" s="29" t="str">
        <f aca="false">IFERROR(INDEX(ポート振替表!$E$5:$E$3507,MATCH($A36,ポート振替表!$U$5:$U$3507,0))&amp;"","")</f>
        <v/>
      </c>
      <c r="E36" s="30" t="str">
        <f aca="false">IFERROR(INDEX(ポート振替表!$F$5:$F$3507,MATCH($A36,ポート振替表!$U$5:$U$3507,0))&amp;"","")</f>
        <v/>
      </c>
      <c r="F36" s="30" t="str">
        <f aca="false">IFERROR(INDEX(ポート振替表!$H$5:$H$3507,MATCH($A36,ポート振替表!$U$5:$U$3507,0))&amp;"","")</f>
        <v/>
      </c>
      <c r="G36" s="29" t="str">
        <f aca="false">IFERROR(INDEX(ポート振替表!$I$5:$I$3507,MATCH($A36,ポート振替表!$U$5:$U$3507,0))&amp;"","")</f>
        <v/>
      </c>
      <c r="H36" s="30" t="str">
        <f aca="false">IFERROR(INDEX(ポート振替表!$J$5:$J$3507,MATCH($A36,ポート振替表!$U$5:$U$3507,0))&amp;"","")</f>
        <v/>
      </c>
      <c r="I36" s="30" t="str">
        <f aca="false">IFERROR(INDEX(ポート振替表!$K$5:$K$3507,MATCH($A36,ポート振替表!$U$5:$U$3507,0))&amp;"","")</f>
        <v/>
      </c>
      <c r="J36" s="29" t="str">
        <f aca="false">IFERROR(INDEX(ポート振替表!$L$5:$L$3507,MATCH($A36,ポート振替表!$U$5:$U$3507,0))&amp;"","")</f>
        <v/>
      </c>
      <c r="K36" s="29" t="str">
        <f aca="false">IFERROR(INDEX(ポート振替表!$N$5:$N$3507,MATCH($A36,ポート振替表!$U$5:$U$3507,0))&amp;"","")</f>
        <v/>
      </c>
      <c r="L36" s="29" t="str">
        <f aca="false">IFERROR(INDEX(ポート振替表!$O$5:$O$3507,MATCH($A36,ポート振替表!$U$5:$U$3507,0))&amp;"","")</f>
        <v/>
      </c>
      <c r="M36" s="56" t="str">
        <f aca="false">IFERROR(INDEX(ポート振替表!$P$5:$P$3507,MATCH($A36,ポート振替表!$U$5:$U$3507,0))&amp;"","")</f>
        <v/>
      </c>
      <c r="N36" s="57" t="s">
        <v>158</v>
      </c>
    </row>
    <row r="37" customFormat="false" ht="21" hidden="false" customHeight="true" outlineLevel="0" collapsed="false">
      <c r="A37" s="55" t="n">
        <v>28</v>
      </c>
      <c r="B37" s="29" t="str">
        <f aca="false">IFERROR(INDEX(ポート振替表!$C$5:$C$3507,MATCH($A37,ポート振替表!$U$5:$U$3507,0))&amp;"","")</f>
        <v/>
      </c>
      <c r="C37" s="29" t="str">
        <f aca="false">IFERROR(INDEX(ポート振替表!$D$5:$D$3507,MATCH($A37,ポート振替表!$U$5:$U$3507,0))&amp;"","")</f>
        <v/>
      </c>
      <c r="D37" s="29" t="str">
        <f aca="false">IFERROR(INDEX(ポート振替表!$E$5:$E$3507,MATCH($A37,ポート振替表!$U$5:$U$3507,0))&amp;"","")</f>
        <v/>
      </c>
      <c r="E37" s="30" t="str">
        <f aca="false">IFERROR(INDEX(ポート振替表!$F$5:$F$3507,MATCH($A37,ポート振替表!$U$5:$U$3507,0))&amp;"","")</f>
        <v/>
      </c>
      <c r="F37" s="30" t="str">
        <f aca="false">IFERROR(INDEX(ポート振替表!$H$5:$H$3507,MATCH($A37,ポート振替表!$U$5:$U$3507,0))&amp;"","")</f>
        <v/>
      </c>
      <c r="G37" s="29" t="str">
        <f aca="false">IFERROR(INDEX(ポート振替表!$I$5:$I$3507,MATCH($A37,ポート振替表!$U$5:$U$3507,0))&amp;"","")</f>
        <v/>
      </c>
      <c r="H37" s="30" t="str">
        <f aca="false">IFERROR(INDEX(ポート振替表!$J$5:$J$3507,MATCH($A37,ポート振替表!$U$5:$U$3507,0))&amp;"","")</f>
        <v/>
      </c>
      <c r="I37" s="30" t="str">
        <f aca="false">IFERROR(INDEX(ポート振替表!$K$5:$K$3507,MATCH($A37,ポート振替表!$U$5:$U$3507,0))&amp;"","")</f>
        <v/>
      </c>
      <c r="J37" s="29" t="str">
        <f aca="false">IFERROR(INDEX(ポート振替表!$L$5:$L$3507,MATCH($A37,ポート振替表!$U$5:$U$3507,0))&amp;"","")</f>
        <v/>
      </c>
      <c r="K37" s="29" t="str">
        <f aca="false">IFERROR(INDEX(ポート振替表!$N$5:$N$3507,MATCH($A37,ポート振替表!$U$5:$U$3507,0))&amp;"","")</f>
        <v/>
      </c>
      <c r="L37" s="29" t="str">
        <f aca="false">IFERROR(INDEX(ポート振替表!$O$5:$O$3507,MATCH($A37,ポート振替表!$U$5:$U$3507,0))&amp;"","")</f>
        <v/>
      </c>
      <c r="M37" s="56" t="str">
        <f aca="false">IFERROR(INDEX(ポート振替表!$P$5:$P$3507,MATCH($A37,ポート振替表!$U$5:$U$3507,0))&amp;"","")</f>
        <v/>
      </c>
      <c r="N37" s="57" t="s">
        <v>158</v>
      </c>
    </row>
    <row r="38" customFormat="false" ht="21" hidden="false" customHeight="true" outlineLevel="0" collapsed="false">
      <c r="A38" s="55" t="n">
        <v>29</v>
      </c>
      <c r="B38" s="29" t="str">
        <f aca="false">IFERROR(INDEX(ポート振替表!$C$5:$C$3507,MATCH($A38,ポート振替表!$U$5:$U$3507,0))&amp;"","")</f>
        <v/>
      </c>
      <c r="C38" s="29" t="str">
        <f aca="false">IFERROR(INDEX(ポート振替表!$D$5:$D$3507,MATCH($A38,ポート振替表!$U$5:$U$3507,0))&amp;"","")</f>
        <v/>
      </c>
      <c r="D38" s="29" t="str">
        <f aca="false">IFERROR(INDEX(ポート振替表!$E$5:$E$3507,MATCH($A38,ポート振替表!$U$5:$U$3507,0))&amp;"","")</f>
        <v/>
      </c>
      <c r="E38" s="30" t="str">
        <f aca="false">IFERROR(INDEX(ポート振替表!$F$5:$F$3507,MATCH($A38,ポート振替表!$U$5:$U$3507,0))&amp;"","")</f>
        <v/>
      </c>
      <c r="F38" s="30" t="str">
        <f aca="false">IFERROR(INDEX(ポート振替表!$H$5:$H$3507,MATCH($A38,ポート振替表!$U$5:$U$3507,0))&amp;"","")</f>
        <v/>
      </c>
      <c r="G38" s="29" t="str">
        <f aca="false">IFERROR(INDEX(ポート振替表!$I$5:$I$3507,MATCH($A38,ポート振替表!$U$5:$U$3507,0))&amp;"","")</f>
        <v/>
      </c>
      <c r="H38" s="30" t="str">
        <f aca="false">IFERROR(INDEX(ポート振替表!$J$5:$J$3507,MATCH($A38,ポート振替表!$U$5:$U$3507,0))&amp;"","")</f>
        <v/>
      </c>
      <c r="I38" s="30" t="str">
        <f aca="false">IFERROR(INDEX(ポート振替表!$K$5:$K$3507,MATCH($A38,ポート振替表!$U$5:$U$3507,0))&amp;"","")</f>
        <v/>
      </c>
      <c r="J38" s="29" t="str">
        <f aca="false">IFERROR(INDEX(ポート振替表!$L$5:$L$3507,MATCH($A38,ポート振替表!$U$5:$U$3507,0))&amp;"","")</f>
        <v/>
      </c>
      <c r="K38" s="29" t="str">
        <f aca="false">IFERROR(INDEX(ポート振替表!$N$5:$N$3507,MATCH($A38,ポート振替表!$U$5:$U$3507,0))&amp;"","")</f>
        <v/>
      </c>
      <c r="L38" s="29" t="str">
        <f aca="false">IFERROR(INDEX(ポート振替表!$O$5:$O$3507,MATCH($A38,ポート振替表!$U$5:$U$3507,0))&amp;"","")</f>
        <v/>
      </c>
      <c r="M38" s="56" t="str">
        <f aca="false">IFERROR(INDEX(ポート振替表!$P$5:$P$3507,MATCH($A38,ポート振替表!$U$5:$U$3507,0))&amp;"","")</f>
        <v/>
      </c>
      <c r="N38" s="57" t="s">
        <v>158</v>
      </c>
    </row>
    <row r="39" customFormat="false" ht="21" hidden="false" customHeight="true" outlineLevel="0" collapsed="false">
      <c r="A39" s="55" t="n">
        <v>30</v>
      </c>
      <c r="B39" s="29" t="str">
        <f aca="false">IFERROR(INDEX(ポート振替表!$C$5:$C$3507,MATCH($A39,ポート振替表!$U$5:$U$3507,0))&amp;"","")</f>
        <v/>
      </c>
      <c r="C39" s="29" t="str">
        <f aca="false">IFERROR(INDEX(ポート振替表!$D$5:$D$3507,MATCH($A39,ポート振替表!$U$5:$U$3507,0))&amp;"","")</f>
        <v/>
      </c>
      <c r="D39" s="29" t="str">
        <f aca="false">IFERROR(INDEX(ポート振替表!$E$5:$E$3507,MATCH($A39,ポート振替表!$U$5:$U$3507,0))&amp;"","")</f>
        <v/>
      </c>
      <c r="E39" s="30" t="str">
        <f aca="false">IFERROR(INDEX(ポート振替表!$F$5:$F$3507,MATCH($A39,ポート振替表!$U$5:$U$3507,0))&amp;"","")</f>
        <v/>
      </c>
      <c r="F39" s="30" t="str">
        <f aca="false">IFERROR(INDEX(ポート振替表!$H$5:$H$3507,MATCH($A39,ポート振替表!$U$5:$U$3507,0))&amp;"","")</f>
        <v/>
      </c>
      <c r="G39" s="29" t="str">
        <f aca="false">IFERROR(INDEX(ポート振替表!$I$5:$I$3507,MATCH($A39,ポート振替表!$U$5:$U$3507,0))&amp;"","")</f>
        <v/>
      </c>
      <c r="H39" s="30" t="str">
        <f aca="false">IFERROR(INDEX(ポート振替表!$J$5:$J$3507,MATCH($A39,ポート振替表!$U$5:$U$3507,0))&amp;"","")</f>
        <v/>
      </c>
      <c r="I39" s="30" t="str">
        <f aca="false">IFERROR(INDEX(ポート振替表!$K$5:$K$3507,MATCH($A39,ポート振替表!$U$5:$U$3507,0))&amp;"","")</f>
        <v/>
      </c>
      <c r="J39" s="29" t="str">
        <f aca="false">IFERROR(INDEX(ポート振替表!$L$5:$L$3507,MATCH($A39,ポート振替表!$U$5:$U$3507,0))&amp;"","")</f>
        <v/>
      </c>
      <c r="K39" s="29" t="str">
        <f aca="false">IFERROR(INDEX(ポート振替表!$N$5:$N$3507,MATCH($A39,ポート振替表!$U$5:$U$3507,0))&amp;"","")</f>
        <v/>
      </c>
      <c r="L39" s="29" t="str">
        <f aca="false">IFERROR(INDEX(ポート振替表!$O$5:$O$3507,MATCH($A39,ポート振替表!$U$5:$U$3507,0))&amp;"","")</f>
        <v/>
      </c>
      <c r="M39" s="56" t="str">
        <f aca="false">IFERROR(INDEX(ポート振替表!$P$5:$P$3507,MATCH($A39,ポート振替表!$U$5:$U$3507,0))&amp;"","")</f>
        <v/>
      </c>
      <c r="N39" s="57" t="s">
        <v>158</v>
      </c>
    </row>
    <row r="40" customFormat="false" ht="21" hidden="false" customHeight="true" outlineLevel="0" collapsed="false">
      <c r="A40" s="55" t="n">
        <v>31</v>
      </c>
      <c r="B40" s="29" t="str">
        <f aca="false">IFERROR(INDEX(ポート振替表!$C$5:$C$3507,MATCH($A40,ポート振替表!$U$5:$U$3507,0))&amp;"","")</f>
        <v/>
      </c>
      <c r="C40" s="29" t="str">
        <f aca="false">IFERROR(INDEX(ポート振替表!$D$5:$D$3507,MATCH($A40,ポート振替表!$U$5:$U$3507,0))&amp;"","")</f>
        <v/>
      </c>
      <c r="D40" s="29" t="str">
        <f aca="false">IFERROR(INDEX(ポート振替表!$E$5:$E$3507,MATCH($A40,ポート振替表!$U$5:$U$3507,0))&amp;"","")</f>
        <v/>
      </c>
      <c r="E40" s="30" t="str">
        <f aca="false">IFERROR(INDEX(ポート振替表!$F$5:$F$3507,MATCH($A40,ポート振替表!$U$5:$U$3507,0))&amp;"","")</f>
        <v/>
      </c>
      <c r="F40" s="30" t="str">
        <f aca="false">IFERROR(INDEX(ポート振替表!$H$5:$H$3507,MATCH($A40,ポート振替表!$U$5:$U$3507,0))&amp;"","")</f>
        <v/>
      </c>
      <c r="G40" s="29" t="str">
        <f aca="false">IFERROR(INDEX(ポート振替表!$I$5:$I$3507,MATCH($A40,ポート振替表!$U$5:$U$3507,0))&amp;"","")</f>
        <v/>
      </c>
      <c r="H40" s="30" t="str">
        <f aca="false">IFERROR(INDEX(ポート振替表!$J$5:$J$3507,MATCH($A40,ポート振替表!$U$5:$U$3507,0))&amp;"","")</f>
        <v/>
      </c>
      <c r="I40" s="30" t="str">
        <f aca="false">IFERROR(INDEX(ポート振替表!$K$5:$K$3507,MATCH($A40,ポート振替表!$U$5:$U$3507,0))&amp;"","")</f>
        <v/>
      </c>
      <c r="J40" s="29" t="str">
        <f aca="false">IFERROR(INDEX(ポート振替表!$L$5:$L$3507,MATCH($A40,ポート振替表!$U$5:$U$3507,0))&amp;"","")</f>
        <v/>
      </c>
      <c r="K40" s="29" t="str">
        <f aca="false">IFERROR(INDEX(ポート振替表!$N$5:$N$3507,MATCH($A40,ポート振替表!$U$5:$U$3507,0))&amp;"","")</f>
        <v/>
      </c>
      <c r="L40" s="29" t="str">
        <f aca="false">IFERROR(INDEX(ポート振替表!$O$5:$O$3507,MATCH($A40,ポート振替表!$U$5:$U$3507,0))&amp;"","")</f>
        <v/>
      </c>
      <c r="M40" s="56" t="str">
        <f aca="false">IFERROR(INDEX(ポート振替表!$P$5:$P$3507,MATCH($A40,ポート振替表!$U$5:$U$3507,0))&amp;"","")</f>
        <v/>
      </c>
      <c r="N40" s="57" t="s">
        <v>158</v>
      </c>
    </row>
    <row r="41" customFormat="false" ht="21" hidden="false" customHeight="true" outlineLevel="0" collapsed="false">
      <c r="A41" s="55" t="n">
        <v>32</v>
      </c>
      <c r="B41" s="29" t="str">
        <f aca="false">IFERROR(INDEX(ポート振替表!$C$5:$C$3507,MATCH($A41,ポート振替表!$U$5:$U$3507,0))&amp;"","")</f>
        <v/>
      </c>
      <c r="C41" s="29" t="str">
        <f aca="false">IFERROR(INDEX(ポート振替表!$D$5:$D$3507,MATCH($A41,ポート振替表!$U$5:$U$3507,0))&amp;"","")</f>
        <v/>
      </c>
      <c r="D41" s="29" t="str">
        <f aca="false">IFERROR(INDEX(ポート振替表!$E$5:$E$3507,MATCH($A41,ポート振替表!$U$5:$U$3507,0))&amp;"","")</f>
        <v/>
      </c>
      <c r="E41" s="30" t="str">
        <f aca="false">IFERROR(INDEX(ポート振替表!$F$5:$F$3507,MATCH($A41,ポート振替表!$U$5:$U$3507,0))&amp;"","")</f>
        <v/>
      </c>
      <c r="F41" s="30" t="str">
        <f aca="false">IFERROR(INDEX(ポート振替表!$H$5:$H$3507,MATCH($A41,ポート振替表!$U$5:$U$3507,0))&amp;"","")</f>
        <v/>
      </c>
      <c r="G41" s="29" t="str">
        <f aca="false">IFERROR(INDEX(ポート振替表!$I$5:$I$3507,MATCH($A41,ポート振替表!$U$5:$U$3507,0))&amp;"","")</f>
        <v/>
      </c>
      <c r="H41" s="30" t="str">
        <f aca="false">IFERROR(INDEX(ポート振替表!$J$5:$J$3507,MATCH($A41,ポート振替表!$U$5:$U$3507,0))&amp;"","")</f>
        <v/>
      </c>
      <c r="I41" s="30" t="str">
        <f aca="false">IFERROR(INDEX(ポート振替表!$K$5:$K$3507,MATCH($A41,ポート振替表!$U$5:$U$3507,0))&amp;"","")</f>
        <v/>
      </c>
      <c r="J41" s="29" t="str">
        <f aca="false">IFERROR(INDEX(ポート振替表!$L$5:$L$3507,MATCH($A41,ポート振替表!$U$5:$U$3507,0))&amp;"","")</f>
        <v/>
      </c>
      <c r="K41" s="29" t="str">
        <f aca="false">IFERROR(INDEX(ポート振替表!$N$5:$N$3507,MATCH($A41,ポート振替表!$U$5:$U$3507,0))&amp;"","")</f>
        <v/>
      </c>
      <c r="L41" s="29" t="str">
        <f aca="false">IFERROR(INDEX(ポート振替表!$O$5:$O$3507,MATCH($A41,ポート振替表!$U$5:$U$3507,0))&amp;"","")</f>
        <v/>
      </c>
      <c r="M41" s="56" t="str">
        <f aca="false">IFERROR(INDEX(ポート振替表!$P$5:$P$3507,MATCH($A41,ポート振替表!$U$5:$U$3507,0))&amp;"","")</f>
        <v/>
      </c>
      <c r="N41" s="57" t="s">
        <v>158</v>
      </c>
    </row>
    <row r="42" customFormat="false" ht="21" hidden="false" customHeight="true" outlineLevel="0" collapsed="false">
      <c r="A42" s="55" t="n">
        <v>33</v>
      </c>
      <c r="B42" s="29" t="str">
        <f aca="false">IFERROR(INDEX(ポート振替表!$C$5:$C$3507,MATCH($A42,ポート振替表!$U$5:$U$3507,0))&amp;"","")</f>
        <v/>
      </c>
      <c r="C42" s="29" t="str">
        <f aca="false">IFERROR(INDEX(ポート振替表!$D$5:$D$3507,MATCH($A42,ポート振替表!$U$5:$U$3507,0))&amp;"","")</f>
        <v/>
      </c>
      <c r="D42" s="29" t="str">
        <f aca="false">IFERROR(INDEX(ポート振替表!$E$5:$E$3507,MATCH($A42,ポート振替表!$U$5:$U$3507,0))&amp;"","")</f>
        <v/>
      </c>
      <c r="E42" s="30" t="str">
        <f aca="false">IFERROR(INDEX(ポート振替表!$F$5:$F$3507,MATCH($A42,ポート振替表!$U$5:$U$3507,0))&amp;"","")</f>
        <v/>
      </c>
      <c r="F42" s="30" t="str">
        <f aca="false">IFERROR(INDEX(ポート振替表!$H$5:$H$3507,MATCH($A42,ポート振替表!$U$5:$U$3507,0))&amp;"","")</f>
        <v/>
      </c>
      <c r="G42" s="29" t="str">
        <f aca="false">IFERROR(INDEX(ポート振替表!$I$5:$I$3507,MATCH($A42,ポート振替表!$U$5:$U$3507,0))&amp;"","")</f>
        <v/>
      </c>
      <c r="H42" s="30" t="str">
        <f aca="false">IFERROR(INDEX(ポート振替表!$J$5:$J$3507,MATCH($A42,ポート振替表!$U$5:$U$3507,0))&amp;"","")</f>
        <v/>
      </c>
      <c r="I42" s="30" t="str">
        <f aca="false">IFERROR(INDEX(ポート振替表!$K$5:$K$3507,MATCH($A42,ポート振替表!$U$5:$U$3507,0))&amp;"","")</f>
        <v/>
      </c>
      <c r="J42" s="29" t="str">
        <f aca="false">IFERROR(INDEX(ポート振替表!$L$5:$L$3507,MATCH($A42,ポート振替表!$U$5:$U$3507,0))&amp;"","")</f>
        <v/>
      </c>
      <c r="K42" s="29" t="str">
        <f aca="false">IFERROR(INDEX(ポート振替表!$N$5:$N$3507,MATCH($A42,ポート振替表!$U$5:$U$3507,0))&amp;"","")</f>
        <v/>
      </c>
      <c r="L42" s="29" t="str">
        <f aca="false">IFERROR(INDEX(ポート振替表!$O$5:$O$3507,MATCH($A42,ポート振替表!$U$5:$U$3507,0))&amp;"","")</f>
        <v/>
      </c>
      <c r="M42" s="56" t="str">
        <f aca="false">IFERROR(INDEX(ポート振替表!$P$5:$P$3507,MATCH($A42,ポート振替表!$U$5:$U$3507,0))&amp;"","")</f>
        <v/>
      </c>
      <c r="N42" s="57" t="s">
        <v>158</v>
      </c>
    </row>
    <row r="43" customFormat="false" ht="21" hidden="false" customHeight="true" outlineLevel="0" collapsed="false">
      <c r="A43" s="55" t="n">
        <v>34</v>
      </c>
      <c r="B43" s="29" t="str">
        <f aca="false">IFERROR(INDEX(ポート振替表!$C$5:$C$3507,MATCH($A43,ポート振替表!$U$5:$U$3507,0))&amp;"","")</f>
        <v/>
      </c>
      <c r="C43" s="29" t="str">
        <f aca="false">IFERROR(INDEX(ポート振替表!$D$5:$D$3507,MATCH($A43,ポート振替表!$U$5:$U$3507,0))&amp;"","")</f>
        <v/>
      </c>
      <c r="D43" s="29" t="str">
        <f aca="false">IFERROR(INDEX(ポート振替表!$E$5:$E$3507,MATCH($A43,ポート振替表!$U$5:$U$3507,0))&amp;"","")</f>
        <v/>
      </c>
      <c r="E43" s="30" t="str">
        <f aca="false">IFERROR(INDEX(ポート振替表!$F$5:$F$3507,MATCH($A43,ポート振替表!$U$5:$U$3507,0))&amp;"","")</f>
        <v/>
      </c>
      <c r="F43" s="30" t="str">
        <f aca="false">IFERROR(INDEX(ポート振替表!$H$5:$H$3507,MATCH($A43,ポート振替表!$U$5:$U$3507,0))&amp;"","")</f>
        <v/>
      </c>
      <c r="G43" s="29" t="str">
        <f aca="false">IFERROR(INDEX(ポート振替表!$I$5:$I$3507,MATCH($A43,ポート振替表!$U$5:$U$3507,0))&amp;"","")</f>
        <v/>
      </c>
      <c r="H43" s="30" t="str">
        <f aca="false">IFERROR(INDEX(ポート振替表!$J$5:$J$3507,MATCH($A43,ポート振替表!$U$5:$U$3507,0))&amp;"","")</f>
        <v/>
      </c>
      <c r="I43" s="30" t="str">
        <f aca="false">IFERROR(INDEX(ポート振替表!$K$5:$K$3507,MATCH($A43,ポート振替表!$U$5:$U$3507,0))&amp;"","")</f>
        <v/>
      </c>
      <c r="J43" s="29" t="str">
        <f aca="false">IFERROR(INDEX(ポート振替表!$L$5:$L$3507,MATCH($A43,ポート振替表!$U$5:$U$3507,0))&amp;"","")</f>
        <v/>
      </c>
      <c r="K43" s="29" t="str">
        <f aca="false">IFERROR(INDEX(ポート振替表!$N$5:$N$3507,MATCH($A43,ポート振替表!$U$5:$U$3507,0))&amp;"","")</f>
        <v/>
      </c>
      <c r="L43" s="29" t="str">
        <f aca="false">IFERROR(INDEX(ポート振替表!$O$5:$O$3507,MATCH($A43,ポート振替表!$U$5:$U$3507,0))&amp;"","")</f>
        <v/>
      </c>
      <c r="M43" s="56" t="str">
        <f aca="false">IFERROR(INDEX(ポート振替表!$P$5:$P$3507,MATCH($A43,ポート振替表!$U$5:$U$3507,0))&amp;"","")</f>
        <v/>
      </c>
      <c r="N43" s="57" t="s">
        <v>158</v>
      </c>
    </row>
    <row r="44" customFormat="false" ht="21" hidden="false" customHeight="true" outlineLevel="0" collapsed="false">
      <c r="A44" s="55" t="n">
        <v>35</v>
      </c>
      <c r="B44" s="29" t="str">
        <f aca="false">IFERROR(INDEX(ポート振替表!$C$5:$C$3507,MATCH($A44,ポート振替表!$U$5:$U$3507,0))&amp;"","")</f>
        <v/>
      </c>
      <c r="C44" s="29" t="str">
        <f aca="false">IFERROR(INDEX(ポート振替表!$D$5:$D$3507,MATCH($A44,ポート振替表!$U$5:$U$3507,0))&amp;"","")</f>
        <v/>
      </c>
      <c r="D44" s="29" t="str">
        <f aca="false">IFERROR(INDEX(ポート振替表!$E$5:$E$3507,MATCH($A44,ポート振替表!$U$5:$U$3507,0))&amp;"","")</f>
        <v/>
      </c>
      <c r="E44" s="30" t="str">
        <f aca="false">IFERROR(INDEX(ポート振替表!$F$5:$F$3507,MATCH($A44,ポート振替表!$U$5:$U$3507,0))&amp;"","")</f>
        <v/>
      </c>
      <c r="F44" s="30" t="str">
        <f aca="false">IFERROR(INDEX(ポート振替表!$H$5:$H$3507,MATCH($A44,ポート振替表!$U$5:$U$3507,0))&amp;"","")</f>
        <v/>
      </c>
      <c r="G44" s="29" t="str">
        <f aca="false">IFERROR(INDEX(ポート振替表!$I$5:$I$3507,MATCH($A44,ポート振替表!$U$5:$U$3507,0))&amp;"","")</f>
        <v/>
      </c>
      <c r="H44" s="30" t="str">
        <f aca="false">IFERROR(INDEX(ポート振替表!$J$5:$J$3507,MATCH($A44,ポート振替表!$U$5:$U$3507,0))&amp;"","")</f>
        <v/>
      </c>
      <c r="I44" s="30" t="str">
        <f aca="false">IFERROR(INDEX(ポート振替表!$K$5:$K$3507,MATCH($A44,ポート振替表!$U$5:$U$3507,0))&amp;"","")</f>
        <v/>
      </c>
      <c r="J44" s="29" t="str">
        <f aca="false">IFERROR(INDEX(ポート振替表!$L$5:$L$3507,MATCH($A44,ポート振替表!$U$5:$U$3507,0))&amp;"","")</f>
        <v/>
      </c>
      <c r="K44" s="29" t="str">
        <f aca="false">IFERROR(INDEX(ポート振替表!$N$5:$N$3507,MATCH($A44,ポート振替表!$U$5:$U$3507,0))&amp;"","")</f>
        <v/>
      </c>
      <c r="L44" s="29" t="str">
        <f aca="false">IFERROR(INDEX(ポート振替表!$O$5:$O$3507,MATCH($A44,ポート振替表!$U$5:$U$3507,0))&amp;"","")</f>
        <v/>
      </c>
      <c r="M44" s="56" t="str">
        <f aca="false">IFERROR(INDEX(ポート振替表!$P$5:$P$3507,MATCH($A44,ポート振替表!$U$5:$U$3507,0))&amp;"","")</f>
        <v/>
      </c>
      <c r="N44" s="57" t="s">
        <v>158</v>
      </c>
    </row>
    <row r="45" customFormat="false" ht="21" hidden="false" customHeight="true" outlineLevel="0" collapsed="false">
      <c r="A45" s="55" t="n">
        <v>36</v>
      </c>
      <c r="B45" s="29" t="str">
        <f aca="false">IFERROR(INDEX(ポート振替表!$C$5:$C$3507,MATCH($A45,ポート振替表!$U$5:$U$3507,0))&amp;"","")</f>
        <v/>
      </c>
      <c r="C45" s="29" t="str">
        <f aca="false">IFERROR(INDEX(ポート振替表!$D$5:$D$3507,MATCH($A45,ポート振替表!$U$5:$U$3507,0))&amp;"","")</f>
        <v/>
      </c>
      <c r="D45" s="29" t="str">
        <f aca="false">IFERROR(INDEX(ポート振替表!$E$5:$E$3507,MATCH($A45,ポート振替表!$U$5:$U$3507,0))&amp;"","")</f>
        <v/>
      </c>
      <c r="E45" s="30" t="str">
        <f aca="false">IFERROR(INDEX(ポート振替表!$F$5:$F$3507,MATCH($A45,ポート振替表!$U$5:$U$3507,0))&amp;"","")</f>
        <v/>
      </c>
      <c r="F45" s="30" t="str">
        <f aca="false">IFERROR(INDEX(ポート振替表!$H$5:$H$3507,MATCH($A45,ポート振替表!$U$5:$U$3507,0))&amp;"","")</f>
        <v/>
      </c>
      <c r="G45" s="29" t="str">
        <f aca="false">IFERROR(INDEX(ポート振替表!$I$5:$I$3507,MATCH($A45,ポート振替表!$U$5:$U$3507,0))&amp;"","")</f>
        <v/>
      </c>
      <c r="H45" s="30" t="str">
        <f aca="false">IFERROR(INDEX(ポート振替表!$J$5:$J$3507,MATCH($A45,ポート振替表!$U$5:$U$3507,0))&amp;"","")</f>
        <v/>
      </c>
      <c r="I45" s="30" t="str">
        <f aca="false">IFERROR(INDEX(ポート振替表!$K$5:$K$3507,MATCH($A45,ポート振替表!$U$5:$U$3507,0))&amp;"","")</f>
        <v/>
      </c>
      <c r="J45" s="29" t="str">
        <f aca="false">IFERROR(INDEX(ポート振替表!$L$5:$L$3507,MATCH($A45,ポート振替表!$U$5:$U$3507,0))&amp;"","")</f>
        <v/>
      </c>
      <c r="K45" s="29" t="str">
        <f aca="false">IFERROR(INDEX(ポート振替表!$N$5:$N$3507,MATCH($A45,ポート振替表!$U$5:$U$3507,0))&amp;"","")</f>
        <v/>
      </c>
      <c r="L45" s="29" t="str">
        <f aca="false">IFERROR(INDEX(ポート振替表!$O$5:$O$3507,MATCH($A45,ポート振替表!$U$5:$U$3507,0))&amp;"","")</f>
        <v/>
      </c>
      <c r="M45" s="56" t="str">
        <f aca="false">IFERROR(INDEX(ポート振替表!$P$5:$P$3507,MATCH($A45,ポート振替表!$U$5:$U$3507,0))&amp;"","")</f>
        <v/>
      </c>
      <c r="N45" s="57" t="s">
        <v>158</v>
      </c>
    </row>
    <row r="46" customFormat="false" ht="21" hidden="false" customHeight="true" outlineLevel="0" collapsed="false">
      <c r="A46" s="55" t="n">
        <v>37</v>
      </c>
      <c r="B46" s="29" t="str">
        <f aca="false">IFERROR(INDEX(ポート振替表!$C$5:$C$3507,MATCH($A46,ポート振替表!$U$5:$U$3507,0))&amp;"","")</f>
        <v/>
      </c>
      <c r="C46" s="29" t="str">
        <f aca="false">IFERROR(INDEX(ポート振替表!$D$5:$D$3507,MATCH($A46,ポート振替表!$U$5:$U$3507,0))&amp;"","")</f>
        <v/>
      </c>
      <c r="D46" s="29" t="str">
        <f aca="false">IFERROR(INDEX(ポート振替表!$E$5:$E$3507,MATCH($A46,ポート振替表!$U$5:$U$3507,0))&amp;"","")</f>
        <v/>
      </c>
      <c r="E46" s="30" t="str">
        <f aca="false">IFERROR(INDEX(ポート振替表!$F$5:$F$3507,MATCH($A46,ポート振替表!$U$5:$U$3507,0))&amp;"","")</f>
        <v/>
      </c>
      <c r="F46" s="30" t="str">
        <f aca="false">IFERROR(INDEX(ポート振替表!$H$5:$H$3507,MATCH($A46,ポート振替表!$U$5:$U$3507,0))&amp;"","")</f>
        <v/>
      </c>
      <c r="G46" s="29" t="str">
        <f aca="false">IFERROR(INDEX(ポート振替表!$I$5:$I$3507,MATCH($A46,ポート振替表!$U$5:$U$3507,0))&amp;"","")</f>
        <v/>
      </c>
      <c r="H46" s="30" t="str">
        <f aca="false">IFERROR(INDEX(ポート振替表!$J$5:$J$3507,MATCH($A46,ポート振替表!$U$5:$U$3507,0))&amp;"","")</f>
        <v/>
      </c>
      <c r="I46" s="30" t="str">
        <f aca="false">IFERROR(INDEX(ポート振替表!$K$5:$K$3507,MATCH($A46,ポート振替表!$U$5:$U$3507,0))&amp;"","")</f>
        <v/>
      </c>
      <c r="J46" s="29" t="str">
        <f aca="false">IFERROR(INDEX(ポート振替表!$L$5:$L$3507,MATCH($A46,ポート振替表!$U$5:$U$3507,0))&amp;"","")</f>
        <v/>
      </c>
      <c r="K46" s="29" t="str">
        <f aca="false">IFERROR(INDEX(ポート振替表!$N$5:$N$3507,MATCH($A46,ポート振替表!$U$5:$U$3507,0))&amp;"","")</f>
        <v/>
      </c>
      <c r="L46" s="29" t="str">
        <f aca="false">IFERROR(INDEX(ポート振替表!$O$5:$O$3507,MATCH($A46,ポート振替表!$U$5:$U$3507,0))&amp;"","")</f>
        <v/>
      </c>
      <c r="M46" s="56" t="str">
        <f aca="false">IFERROR(INDEX(ポート振替表!$P$5:$P$3507,MATCH($A46,ポート振替表!$U$5:$U$3507,0))&amp;"","")</f>
        <v/>
      </c>
      <c r="N46" s="57" t="s">
        <v>158</v>
      </c>
    </row>
    <row r="47" customFormat="false" ht="21" hidden="false" customHeight="true" outlineLevel="0" collapsed="false">
      <c r="A47" s="55" t="n">
        <v>38</v>
      </c>
      <c r="B47" s="29" t="str">
        <f aca="false">IFERROR(INDEX(ポート振替表!$C$5:$C$3507,MATCH($A47,ポート振替表!$U$5:$U$3507,0))&amp;"","")</f>
        <v/>
      </c>
      <c r="C47" s="29" t="str">
        <f aca="false">IFERROR(INDEX(ポート振替表!$D$5:$D$3507,MATCH($A47,ポート振替表!$U$5:$U$3507,0))&amp;"","")</f>
        <v/>
      </c>
      <c r="D47" s="29" t="str">
        <f aca="false">IFERROR(INDEX(ポート振替表!$E$5:$E$3507,MATCH($A47,ポート振替表!$U$5:$U$3507,0))&amp;"","")</f>
        <v/>
      </c>
      <c r="E47" s="30" t="str">
        <f aca="false">IFERROR(INDEX(ポート振替表!$F$5:$F$3507,MATCH($A47,ポート振替表!$U$5:$U$3507,0))&amp;"","")</f>
        <v/>
      </c>
      <c r="F47" s="30" t="str">
        <f aca="false">IFERROR(INDEX(ポート振替表!$H$5:$H$3507,MATCH($A47,ポート振替表!$U$5:$U$3507,0))&amp;"","")</f>
        <v/>
      </c>
      <c r="G47" s="29" t="str">
        <f aca="false">IFERROR(INDEX(ポート振替表!$I$5:$I$3507,MATCH($A47,ポート振替表!$U$5:$U$3507,0))&amp;"","")</f>
        <v/>
      </c>
      <c r="H47" s="30" t="str">
        <f aca="false">IFERROR(INDEX(ポート振替表!$J$5:$J$3507,MATCH($A47,ポート振替表!$U$5:$U$3507,0))&amp;"","")</f>
        <v/>
      </c>
      <c r="I47" s="30" t="str">
        <f aca="false">IFERROR(INDEX(ポート振替表!$K$5:$K$3507,MATCH($A47,ポート振替表!$U$5:$U$3507,0))&amp;"","")</f>
        <v/>
      </c>
      <c r="J47" s="29" t="str">
        <f aca="false">IFERROR(INDEX(ポート振替表!$L$5:$L$3507,MATCH($A47,ポート振替表!$U$5:$U$3507,0))&amp;"","")</f>
        <v/>
      </c>
      <c r="K47" s="29" t="str">
        <f aca="false">IFERROR(INDEX(ポート振替表!$N$5:$N$3507,MATCH($A47,ポート振替表!$U$5:$U$3507,0))&amp;"","")</f>
        <v/>
      </c>
      <c r="L47" s="29" t="str">
        <f aca="false">IFERROR(INDEX(ポート振替表!$O$5:$O$3507,MATCH($A47,ポート振替表!$U$5:$U$3507,0))&amp;"","")</f>
        <v/>
      </c>
      <c r="M47" s="56" t="str">
        <f aca="false">IFERROR(INDEX(ポート振替表!$P$5:$P$3507,MATCH($A47,ポート振替表!$U$5:$U$3507,0))&amp;"","")</f>
        <v/>
      </c>
      <c r="N47" s="57" t="s">
        <v>158</v>
      </c>
    </row>
    <row r="48" customFormat="false" ht="21" hidden="false" customHeight="true" outlineLevel="0" collapsed="false">
      <c r="A48" s="55" t="n">
        <v>39</v>
      </c>
      <c r="B48" s="29" t="str">
        <f aca="false">IFERROR(INDEX(ポート振替表!$C$5:$C$3507,MATCH($A48,ポート振替表!$U$5:$U$3507,0))&amp;"","")</f>
        <v/>
      </c>
      <c r="C48" s="29" t="str">
        <f aca="false">IFERROR(INDEX(ポート振替表!$D$5:$D$3507,MATCH($A48,ポート振替表!$U$5:$U$3507,0))&amp;"","")</f>
        <v/>
      </c>
      <c r="D48" s="29" t="str">
        <f aca="false">IFERROR(INDEX(ポート振替表!$E$5:$E$3507,MATCH($A48,ポート振替表!$U$5:$U$3507,0))&amp;"","")</f>
        <v/>
      </c>
      <c r="E48" s="30" t="str">
        <f aca="false">IFERROR(INDEX(ポート振替表!$F$5:$F$3507,MATCH($A48,ポート振替表!$U$5:$U$3507,0))&amp;"","")</f>
        <v/>
      </c>
      <c r="F48" s="30" t="str">
        <f aca="false">IFERROR(INDEX(ポート振替表!$H$5:$H$3507,MATCH($A48,ポート振替表!$U$5:$U$3507,0))&amp;"","")</f>
        <v/>
      </c>
      <c r="G48" s="29" t="str">
        <f aca="false">IFERROR(INDEX(ポート振替表!$I$5:$I$3507,MATCH($A48,ポート振替表!$U$5:$U$3507,0))&amp;"","")</f>
        <v/>
      </c>
      <c r="H48" s="30" t="str">
        <f aca="false">IFERROR(INDEX(ポート振替表!$J$5:$J$3507,MATCH($A48,ポート振替表!$U$5:$U$3507,0))&amp;"","")</f>
        <v/>
      </c>
      <c r="I48" s="30" t="str">
        <f aca="false">IFERROR(INDEX(ポート振替表!$K$5:$K$3507,MATCH($A48,ポート振替表!$U$5:$U$3507,0))&amp;"","")</f>
        <v/>
      </c>
      <c r="J48" s="29" t="str">
        <f aca="false">IFERROR(INDEX(ポート振替表!$L$5:$L$3507,MATCH($A48,ポート振替表!$U$5:$U$3507,0))&amp;"","")</f>
        <v/>
      </c>
      <c r="K48" s="29" t="str">
        <f aca="false">IFERROR(INDEX(ポート振替表!$N$5:$N$3507,MATCH($A48,ポート振替表!$U$5:$U$3507,0))&amp;"","")</f>
        <v/>
      </c>
      <c r="L48" s="29" t="str">
        <f aca="false">IFERROR(INDEX(ポート振替表!$O$5:$O$3507,MATCH($A48,ポート振替表!$U$5:$U$3507,0))&amp;"","")</f>
        <v/>
      </c>
      <c r="M48" s="56" t="str">
        <f aca="false">IFERROR(INDEX(ポート振替表!$P$5:$P$3507,MATCH($A48,ポート振替表!$U$5:$U$3507,0))&amp;"","")</f>
        <v/>
      </c>
      <c r="N48" s="57" t="s">
        <v>158</v>
      </c>
    </row>
    <row r="49" customFormat="false" ht="21" hidden="false" customHeight="true" outlineLevel="0" collapsed="false">
      <c r="A49" s="55" t="n">
        <v>40</v>
      </c>
      <c r="B49" s="29" t="str">
        <f aca="false">IFERROR(INDEX(ポート振替表!$C$5:$C$3507,MATCH($A49,ポート振替表!$U$5:$U$3507,0))&amp;"","")</f>
        <v/>
      </c>
      <c r="C49" s="29" t="str">
        <f aca="false">IFERROR(INDEX(ポート振替表!$D$5:$D$3507,MATCH($A49,ポート振替表!$U$5:$U$3507,0))&amp;"","")</f>
        <v/>
      </c>
      <c r="D49" s="29" t="str">
        <f aca="false">IFERROR(INDEX(ポート振替表!$E$5:$E$3507,MATCH($A49,ポート振替表!$U$5:$U$3507,0))&amp;"","")</f>
        <v/>
      </c>
      <c r="E49" s="30" t="str">
        <f aca="false">IFERROR(INDEX(ポート振替表!$F$5:$F$3507,MATCH($A49,ポート振替表!$U$5:$U$3507,0))&amp;"","")</f>
        <v/>
      </c>
      <c r="F49" s="30" t="str">
        <f aca="false">IFERROR(INDEX(ポート振替表!$H$5:$H$3507,MATCH($A49,ポート振替表!$U$5:$U$3507,0))&amp;"","")</f>
        <v/>
      </c>
      <c r="G49" s="29" t="str">
        <f aca="false">IFERROR(INDEX(ポート振替表!$I$5:$I$3507,MATCH($A49,ポート振替表!$U$5:$U$3507,0))&amp;"","")</f>
        <v/>
      </c>
      <c r="H49" s="30" t="str">
        <f aca="false">IFERROR(INDEX(ポート振替表!$J$5:$J$3507,MATCH($A49,ポート振替表!$U$5:$U$3507,0))&amp;"","")</f>
        <v/>
      </c>
      <c r="I49" s="30" t="str">
        <f aca="false">IFERROR(INDEX(ポート振替表!$K$5:$K$3507,MATCH($A49,ポート振替表!$U$5:$U$3507,0))&amp;"","")</f>
        <v/>
      </c>
      <c r="J49" s="29" t="str">
        <f aca="false">IFERROR(INDEX(ポート振替表!$L$5:$L$3507,MATCH($A49,ポート振替表!$U$5:$U$3507,0))&amp;"","")</f>
        <v/>
      </c>
      <c r="K49" s="29" t="str">
        <f aca="false">IFERROR(INDEX(ポート振替表!$N$5:$N$3507,MATCH($A49,ポート振替表!$U$5:$U$3507,0))&amp;"","")</f>
        <v/>
      </c>
      <c r="L49" s="29" t="str">
        <f aca="false">IFERROR(INDEX(ポート振替表!$O$5:$O$3507,MATCH($A49,ポート振替表!$U$5:$U$3507,0))&amp;"","")</f>
        <v/>
      </c>
      <c r="M49" s="56" t="str">
        <f aca="false">IFERROR(INDEX(ポート振替表!$P$5:$P$3507,MATCH($A49,ポート振替表!$U$5:$U$3507,0))&amp;"","")</f>
        <v/>
      </c>
      <c r="N49" s="57" t="s">
        <v>158</v>
      </c>
    </row>
    <row r="50" customFormat="false" ht="21" hidden="false" customHeight="true" outlineLevel="0" collapsed="false">
      <c r="A50" s="55" t="n">
        <v>41</v>
      </c>
      <c r="B50" s="29" t="str">
        <f aca="false">IFERROR(INDEX(ポート振替表!$C$5:$C$3507,MATCH($A50,ポート振替表!$U$5:$U$3507,0))&amp;"","")</f>
        <v/>
      </c>
      <c r="C50" s="29" t="str">
        <f aca="false">IFERROR(INDEX(ポート振替表!$D$5:$D$3507,MATCH($A50,ポート振替表!$U$5:$U$3507,0))&amp;"","")</f>
        <v/>
      </c>
      <c r="D50" s="29" t="str">
        <f aca="false">IFERROR(INDEX(ポート振替表!$E$5:$E$3507,MATCH($A50,ポート振替表!$U$5:$U$3507,0))&amp;"","")</f>
        <v/>
      </c>
      <c r="E50" s="30" t="str">
        <f aca="false">IFERROR(INDEX(ポート振替表!$F$5:$F$3507,MATCH($A50,ポート振替表!$U$5:$U$3507,0))&amp;"","")</f>
        <v/>
      </c>
      <c r="F50" s="30" t="str">
        <f aca="false">IFERROR(INDEX(ポート振替表!$H$5:$H$3507,MATCH($A50,ポート振替表!$U$5:$U$3507,0))&amp;"","")</f>
        <v/>
      </c>
      <c r="G50" s="29" t="str">
        <f aca="false">IFERROR(INDEX(ポート振替表!$I$5:$I$3507,MATCH($A50,ポート振替表!$U$5:$U$3507,0))&amp;"","")</f>
        <v/>
      </c>
      <c r="H50" s="30" t="str">
        <f aca="false">IFERROR(INDEX(ポート振替表!$J$5:$J$3507,MATCH($A50,ポート振替表!$U$5:$U$3507,0))&amp;"","")</f>
        <v/>
      </c>
      <c r="I50" s="30" t="str">
        <f aca="false">IFERROR(INDEX(ポート振替表!$K$5:$K$3507,MATCH($A50,ポート振替表!$U$5:$U$3507,0))&amp;"","")</f>
        <v/>
      </c>
      <c r="J50" s="29" t="str">
        <f aca="false">IFERROR(INDEX(ポート振替表!$L$5:$L$3507,MATCH($A50,ポート振替表!$U$5:$U$3507,0))&amp;"","")</f>
        <v/>
      </c>
      <c r="K50" s="29" t="str">
        <f aca="false">IFERROR(INDEX(ポート振替表!$N$5:$N$3507,MATCH($A50,ポート振替表!$U$5:$U$3507,0))&amp;"","")</f>
        <v/>
      </c>
      <c r="L50" s="29" t="str">
        <f aca="false">IFERROR(INDEX(ポート振替表!$O$5:$O$3507,MATCH($A50,ポート振替表!$U$5:$U$3507,0))&amp;"","")</f>
        <v/>
      </c>
      <c r="M50" s="56" t="str">
        <f aca="false">IFERROR(INDEX(ポート振替表!$P$5:$P$3507,MATCH($A50,ポート振替表!$U$5:$U$3507,0))&amp;"","")</f>
        <v/>
      </c>
      <c r="N50" s="57" t="s">
        <v>158</v>
      </c>
    </row>
    <row r="51" customFormat="false" ht="21" hidden="false" customHeight="true" outlineLevel="0" collapsed="false">
      <c r="A51" s="55" t="n">
        <v>42</v>
      </c>
      <c r="B51" s="29" t="str">
        <f aca="false">IFERROR(INDEX(ポート振替表!$C$5:$C$3507,MATCH($A51,ポート振替表!$U$5:$U$3507,0))&amp;"","")</f>
        <v/>
      </c>
      <c r="C51" s="29" t="str">
        <f aca="false">IFERROR(INDEX(ポート振替表!$D$5:$D$3507,MATCH($A51,ポート振替表!$U$5:$U$3507,0))&amp;"","")</f>
        <v/>
      </c>
      <c r="D51" s="29" t="str">
        <f aca="false">IFERROR(INDEX(ポート振替表!$E$5:$E$3507,MATCH($A51,ポート振替表!$U$5:$U$3507,0))&amp;"","")</f>
        <v/>
      </c>
      <c r="E51" s="30" t="str">
        <f aca="false">IFERROR(INDEX(ポート振替表!$F$5:$F$3507,MATCH($A51,ポート振替表!$U$5:$U$3507,0))&amp;"","")</f>
        <v/>
      </c>
      <c r="F51" s="30" t="str">
        <f aca="false">IFERROR(INDEX(ポート振替表!$H$5:$H$3507,MATCH($A51,ポート振替表!$U$5:$U$3507,0))&amp;"","")</f>
        <v/>
      </c>
      <c r="G51" s="29" t="str">
        <f aca="false">IFERROR(INDEX(ポート振替表!$I$5:$I$3507,MATCH($A51,ポート振替表!$U$5:$U$3507,0))&amp;"","")</f>
        <v/>
      </c>
      <c r="H51" s="30" t="str">
        <f aca="false">IFERROR(INDEX(ポート振替表!$J$5:$J$3507,MATCH($A51,ポート振替表!$U$5:$U$3507,0))&amp;"","")</f>
        <v/>
      </c>
      <c r="I51" s="30" t="str">
        <f aca="false">IFERROR(INDEX(ポート振替表!$K$5:$K$3507,MATCH($A51,ポート振替表!$U$5:$U$3507,0))&amp;"","")</f>
        <v/>
      </c>
      <c r="J51" s="29" t="str">
        <f aca="false">IFERROR(INDEX(ポート振替表!$L$5:$L$3507,MATCH($A51,ポート振替表!$U$5:$U$3507,0))&amp;"","")</f>
        <v/>
      </c>
      <c r="K51" s="29" t="str">
        <f aca="false">IFERROR(INDEX(ポート振替表!$N$5:$N$3507,MATCH($A51,ポート振替表!$U$5:$U$3507,0))&amp;"","")</f>
        <v/>
      </c>
      <c r="L51" s="29" t="str">
        <f aca="false">IFERROR(INDEX(ポート振替表!$O$5:$O$3507,MATCH($A51,ポート振替表!$U$5:$U$3507,0))&amp;"","")</f>
        <v/>
      </c>
      <c r="M51" s="56" t="str">
        <f aca="false">IFERROR(INDEX(ポート振替表!$P$5:$P$3507,MATCH($A51,ポート振替表!$U$5:$U$3507,0))&amp;"","")</f>
        <v/>
      </c>
      <c r="N51" s="57" t="s">
        <v>158</v>
      </c>
    </row>
    <row r="52" customFormat="false" ht="21" hidden="false" customHeight="true" outlineLevel="0" collapsed="false">
      <c r="A52" s="55" t="n">
        <v>43</v>
      </c>
      <c r="B52" s="29" t="str">
        <f aca="false">IFERROR(INDEX(ポート振替表!$C$5:$C$3507,MATCH($A52,ポート振替表!$U$5:$U$3507,0))&amp;"","")</f>
        <v/>
      </c>
      <c r="C52" s="29" t="str">
        <f aca="false">IFERROR(INDEX(ポート振替表!$D$5:$D$3507,MATCH($A52,ポート振替表!$U$5:$U$3507,0))&amp;"","")</f>
        <v/>
      </c>
      <c r="D52" s="29" t="str">
        <f aca="false">IFERROR(INDEX(ポート振替表!$E$5:$E$3507,MATCH($A52,ポート振替表!$U$5:$U$3507,0))&amp;"","")</f>
        <v/>
      </c>
      <c r="E52" s="30" t="str">
        <f aca="false">IFERROR(INDEX(ポート振替表!$F$5:$F$3507,MATCH($A52,ポート振替表!$U$5:$U$3507,0))&amp;"","")</f>
        <v/>
      </c>
      <c r="F52" s="30" t="str">
        <f aca="false">IFERROR(INDEX(ポート振替表!$H$5:$H$3507,MATCH($A52,ポート振替表!$U$5:$U$3507,0))&amp;"","")</f>
        <v/>
      </c>
      <c r="G52" s="29" t="str">
        <f aca="false">IFERROR(INDEX(ポート振替表!$I$5:$I$3507,MATCH($A52,ポート振替表!$U$5:$U$3507,0))&amp;"","")</f>
        <v/>
      </c>
      <c r="H52" s="30" t="str">
        <f aca="false">IFERROR(INDEX(ポート振替表!$J$5:$J$3507,MATCH($A52,ポート振替表!$U$5:$U$3507,0))&amp;"","")</f>
        <v/>
      </c>
      <c r="I52" s="30" t="str">
        <f aca="false">IFERROR(INDEX(ポート振替表!$K$5:$K$3507,MATCH($A52,ポート振替表!$U$5:$U$3507,0))&amp;"","")</f>
        <v/>
      </c>
      <c r="J52" s="29" t="str">
        <f aca="false">IFERROR(INDEX(ポート振替表!$L$5:$L$3507,MATCH($A52,ポート振替表!$U$5:$U$3507,0))&amp;"","")</f>
        <v/>
      </c>
      <c r="K52" s="29" t="str">
        <f aca="false">IFERROR(INDEX(ポート振替表!$N$5:$N$3507,MATCH($A52,ポート振替表!$U$5:$U$3507,0))&amp;"","")</f>
        <v/>
      </c>
      <c r="L52" s="29" t="str">
        <f aca="false">IFERROR(INDEX(ポート振替表!$O$5:$O$3507,MATCH($A52,ポート振替表!$U$5:$U$3507,0))&amp;"","")</f>
        <v/>
      </c>
      <c r="M52" s="56" t="str">
        <f aca="false">IFERROR(INDEX(ポート振替表!$P$5:$P$3507,MATCH($A52,ポート振替表!$U$5:$U$3507,0))&amp;"","")</f>
        <v/>
      </c>
      <c r="N52" s="57" t="s">
        <v>158</v>
      </c>
    </row>
    <row r="53" customFormat="false" ht="21" hidden="false" customHeight="true" outlineLevel="0" collapsed="false">
      <c r="A53" s="55" t="n">
        <v>44</v>
      </c>
      <c r="B53" s="29" t="str">
        <f aca="false">IFERROR(INDEX(ポート振替表!$C$5:$C$3507,MATCH($A53,ポート振替表!$U$5:$U$3507,0))&amp;"","")</f>
        <v/>
      </c>
      <c r="C53" s="29" t="str">
        <f aca="false">IFERROR(INDEX(ポート振替表!$D$5:$D$3507,MATCH($A53,ポート振替表!$U$5:$U$3507,0))&amp;"","")</f>
        <v/>
      </c>
      <c r="D53" s="29" t="str">
        <f aca="false">IFERROR(INDEX(ポート振替表!$E$5:$E$3507,MATCH($A53,ポート振替表!$U$5:$U$3507,0))&amp;"","")</f>
        <v/>
      </c>
      <c r="E53" s="30" t="str">
        <f aca="false">IFERROR(INDEX(ポート振替表!$F$5:$F$3507,MATCH($A53,ポート振替表!$U$5:$U$3507,0))&amp;"","")</f>
        <v/>
      </c>
      <c r="F53" s="30" t="str">
        <f aca="false">IFERROR(INDEX(ポート振替表!$H$5:$H$3507,MATCH($A53,ポート振替表!$U$5:$U$3507,0))&amp;"","")</f>
        <v/>
      </c>
      <c r="G53" s="29" t="str">
        <f aca="false">IFERROR(INDEX(ポート振替表!$I$5:$I$3507,MATCH($A53,ポート振替表!$U$5:$U$3507,0))&amp;"","")</f>
        <v/>
      </c>
      <c r="H53" s="30" t="str">
        <f aca="false">IFERROR(INDEX(ポート振替表!$J$5:$J$3507,MATCH($A53,ポート振替表!$U$5:$U$3507,0))&amp;"","")</f>
        <v/>
      </c>
      <c r="I53" s="30" t="str">
        <f aca="false">IFERROR(INDEX(ポート振替表!$K$5:$K$3507,MATCH($A53,ポート振替表!$U$5:$U$3507,0))&amp;"","")</f>
        <v/>
      </c>
      <c r="J53" s="29" t="str">
        <f aca="false">IFERROR(INDEX(ポート振替表!$L$5:$L$3507,MATCH($A53,ポート振替表!$U$5:$U$3507,0))&amp;"","")</f>
        <v/>
      </c>
      <c r="K53" s="29" t="str">
        <f aca="false">IFERROR(INDEX(ポート振替表!$N$5:$N$3507,MATCH($A53,ポート振替表!$U$5:$U$3507,0))&amp;"","")</f>
        <v/>
      </c>
      <c r="L53" s="29" t="str">
        <f aca="false">IFERROR(INDEX(ポート振替表!$O$5:$O$3507,MATCH($A53,ポート振替表!$U$5:$U$3507,0))&amp;"","")</f>
        <v/>
      </c>
      <c r="M53" s="56" t="str">
        <f aca="false">IFERROR(INDEX(ポート振替表!$P$5:$P$3507,MATCH($A53,ポート振替表!$U$5:$U$3507,0))&amp;"","")</f>
        <v/>
      </c>
      <c r="N53" s="57" t="s">
        <v>158</v>
      </c>
    </row>
    <row r="54" customFormat="false" ht="21" hidden="false" customHeight="true" outlineLevel="0" collapsed="false">
      <c r="A54" s="55" t="n">
        <v>45</v>
      </c>
      <c r="B54" s="29" t="str">
        <f aca="false">IFERROR(INDEX(ポート振替表!$C$5:$C$3507,MATCH($A54,ポート振替表!$U$5:$U$3507,0))&amp;"","")</f>
        <v/>
      </c>
      <c r="C54" s="29" t="str">
        <f aca="false">IFERROR(INDEX(ポート振替表!$D$5:$D$3507,MATCH($A54,ポート振替表!$U$5:$U$3507,0))&amp;"","")</f>
        <v/>
      </c>
      <c r="D54" s="29" t="str">
        <f aca="false">IFERROR(INDEX(ポート振替表!$E$5:$E$3507,MATCH($A54,ポート振替表!$U$5:$U$3507,0))&amp;"","")</f>
        <v/>
      </c>
      <c r="E54" s="30" t="str">
        <f aca="false">IFERROR(INDEX(ポート振替表!$F$5:$F$3507,MATCH($A54,ポート振替表!$U$5:$U$3507,0))&amp;"","")</f>
        <v/>
      </c>
      <c r="F54" s="30" t="str">
        <f aca="false">IFERROR(INDEX(ポート振替表!$H$5:$H$3507,MATCH($A54,ポート振替表!$U$5:$U$3507,0))&amp;"","")</f>
        <v/>
      </c>
      <c r="G54" s="29" t="str">
        <f aca="false">IFERROR(INDEX(ポート振替表!$I$5:$I$3507,MATCH($A54,ポート振替表!$U$5:$U$3507,0))&amp;"","")</f>
        <v/>
      </c>
      <c r="H54" s="30" t="str">
        <f aca="false">IFERROR(INDEX(ポート振替表!$J$5:$J$3507,MATCH($A54,ポート振替表!$U$5:$U$3507,0))&amp;"","")</f>
        <v/>
      </c>
      <c r="I54" s="30" t="str">
        <f aca="false">IFERROR(INDEX(ポート振替表!$K$5:$K$3507,MATCH($A54,ポート振替表!$U$5:$U$3507,0))&amp;"","")</f>
        <v/>
      </c>
      <c r="J54" s="29" t="str">
        <f aca="false">IFERROR(INDEX(ポート振替表!$L$5:$L$3507,MATCH($A54,ポート振替表!$U$5:$U$3507,0))&amp;"","")</f>
        <v/>
      </c>
      <c r="K54" s="29" t="str">
        <f aca="false">IFERROR(INDEX(ポート振替表!$N$5:$N$3507,MATCH($A54,ポート振替表!$U$5:$U$3507,0))&amp;"","")</f>
        <v/>
      </c>
      <c r="L54" s="29" t="str">
        <f aca="false">IFERROR(INDEX(ポート振替表!$O$5:$O$3507,MATCH($A54,ポート振替表!$U$5:$U$3507,0))&amp;"","")</f>
        <v/>
      </c>
      <c r="M54" s="56" t="str">
        <f aca="false">IFERROR(INDEX(ポート振替表!$P$5:$P$3507,MATCH($A54,ポート振替表!$U$5:$U$3507,0))&amp;"","")</f>
        <v/>
      </c>
      <c r="N54" s="57" t="s">
        <v>158</v>
      </c>
    </row>
    <row r="55" customFormat="false" ht="21" hidden="false" customHeight="true" outlineLevel="0" collapsed="false">
      <c r="A55" s="55" t="n">
        <v>46</v>
      </c>
      <c r="B55" s="29" t="str">
        <f aca="false">IFERROR(INDEX(ポート振替表!$C$5:$C$3507,MATCH($A55,ポート振替表!$U$5:$U$3507,0))&amp;"","")</f>
        <v/>
      </c>
      <c r="C55" s="29" t="str">
        <f aca="false">IFERROR(INDEX(ポート振替表!$D$5:$D$3507,MATCH($A55,ポート振替表!$U$5:$U$3507,0))&amp;"","")</f>
        <v/>
      </c>
      <c r="D55" s="29" t="str">
        <f aca="false">IFERROR(INDEX(ポート振替表!$E$5:$E$3507,MATCH($A55,ポート振替表!$U$5:$U$3507,0))&amp;"","")</f>
        <v/>
      </c>
      <c r="E55" s="30" t="str">
        <f aca="false">IFERROR(INDEX(ポート振替表!$F$5:$F$3507,MATCH($A55,ポート振替表!$U$5:$U$3507,0))&amp;"","")</f>
        <v/>
      </c>
      <c r="F55" s="30" t="str">
        <f aca="false">IFERROR(INDEX(ポート振替表!$H$5:$H$3507,MATCH($A55,ポート振替表!$U$5:$U$3507,0))&amp;"","")</f>
        <v/>
      </c>
      <c r="G55" s="29" t="str">
        <f aca="false">IFERROR(INDEX(ポート振替表!$I$5:$I$3507,MATCH($A55,ポート振替表!$U$5:$U$3507,0))&amp;"","")</f>
        <v/>
      </c>
      <c r="H55" s="30" t="str">
        <f aca="false">IFERROR(INDEX(ポート振替表!$J$5:$J$3507,MATCH($A55,ポート振替表!$U$5:$U$3507,0))&amp;"","")</f>
        <v/>
      </c>
      <c r="I55" s="30" t="str">
        <f aca="false">IFERROR(INDEX(ポート振替表!$K$5:$K$3507,MATCH($A55,ポート振替表!$U$5:$U$3507,0))&amp;"","")</f>
        <v/>
      </c>
      <c r="J55" s="29" t="str">
        <f aca="false">IFERROR(INDEX(ポート振替表!$L$5:$L$3507,MATCH($A55,ポート振替表!$U$5:$U$3507,0))&amp;"","")</f>
        <v/>
      </c>
      <c r="K55" s="29" t="str">
        <f aca="false">IFERROR(INDEX(ポート振替表!$N$5:$N$3507,MATCH($A55,ポート振替表!$U$5:$U$3507,0))&amp;"","")</f>
        <v/>
      </c>
      <c r="L55" s="29" t="str">
        <f aca="false">IFERROR(INDEX(ポート振替表!$O$5:$O$3507,MATCH($A55,ポート振替表!$U$5:$U$3507,0))&amp;"","")</f>
        <v/>
      </c>
      <c r="M55" s="56" t="str">
        <f aca="false">IFERROR(INDEX(ポート振替表!$P$5:$P$3507,MATCH($A55,ポート振替表!$U$5:$U$3507,0))&amp;"","")</f>
        <v/>
      </c>
      <c r="N55" s="57" t="s">
        <v>158</v>
      </c>
    </row>
    <row r="56" customFormat="false" ht="21" hidden="false" customHeight="true" outlineLevel="0" collapsed="false">
      <c r="A56" s="55" t="n">
        <v>47</v>
      </c>
      <c r="B56" s="29" t="str">
        <f aca="false">IFERROR(INDEX(ポート振替表!$C$5:$C$3507,MATCH($A56,ポート振替表!$U$5:$U$3507,0))&amp;"","")</f>
        <v/>
      </c>
      <c r="C56" s="29" t="str">
        <f aca="false">IFERROR(INDEX(ポート振替表!$D$5:$D$3507,MATCH($A56,ポート振替表!$U$5:$U$3507,0))&amp;"","")</f>
        <v/>
      </c>
      <c r="D56" s="29" t="str">
        <f aca="false">IFERROR(INDEX(ポート振替表!$E$5:$E$3507,MATCH($A56,ポート振替表!$U$5:$U$3507,0))&amp;"","")</f>
        <v/>
      </c>
      <c r="E56" s="30" t="str">
        <f aca="false">IFERROR(INDEX(ポート振替表!$F$5:$F$3507,MATCH($A56,ポート振替表!$U$5:$U$3507,0))&amp;"","")</f>
        <v/>
      </c>
      <c r="F56" s="30" t="str">
        <f aca="false">IFERROR(INDEX(ポート振替表!$H$5:$H$3507,MATCH($A56,ポート振替表!$U$5:$U$3507,0))&amp;"","")</f>
        <v/>
      </c>
      <c r="G56" s="29" t="str">
        <f aca="false">IFERROR(INDEX(ポート振替表!$I$5:$I$3507,MATCH($A56,ポート振替表!$U$5:$U$3507,0))&amp;"","")</f>
        <v/>
      </c>
      <c r="H56" s="30" t="str">
        <f aca="false">IFERROR(INDEX(ポート振替表!$J$5:$J$3507,MATCH($A56,ポート振替表!$U$5:$U$3507,0))&amp;"","")</f>
        <v/>
      </c>
      <c r="I56" s="30" t="str">
        <f aca="false">IFERROR(INDEX(ポート振替表!$K$5:$K$3507,MATCH($A56,ポート振替表!$U$5:$U$3507,0))&amp;"","")</f>
        <v/>
      </c>
      <c r="J56" s="29" t="str">
        <f aca="false">IFERROR(INDEX(ポート振替表!$L$5:$L$3507,MATCH($A56,ポート振替表!$U$5:$U$3507,0))&amp;"","")</f>
        <v/>
      </c>
      <c r="K56" s="29" t="str">
        <f aca="false">IFERROR(INDEX(ポート振替表!$N$5:$N$3507,MATCH($A56,ポート振替表!$U$5:$U$3507,0))&amp;"","")</f>
        <v/>
      </c>
      <c r="L56" s="29" t="str">
        <f aca="false">IFERROR(INDEX(ポート振替表!$O$5:$O$3507,MATCH($A56,ポート振替表!$U$5:$U$3507,0))&amp;"","")</f>
        <v/>
      </c>
      <c r="M56" s="56" t="str">
        <f aca="false">IFERROR(INDEX(ポート振替表!$P$5:$P$3507,MATCH($A56,ポート振替表!$U$5:$U$3507,0))&amp;"","")</f>
        <v/>
      </c>
      <c r="N56" s="57" t="s">
        <v>158</v>
      </c>
    </row>
    <row r="57" customFormat="false" ht="21" hidden="false" customHeight="true" outlineLevel="0" collapsed="false">
      <c r="A57" s="55" t="n">
        <v>48</v>
      </c>
      <c r="B57" s="29" t="str">
        <f aca="false">IFERROR(INDEX(ポート振替表!$C$5:$C$3507,MATCH($A57,ポート振替表!$U$5:$U$3507,0))&amp;"","")</f>
        <v/>
      </c>
      <c r="C57" s="29" t="str">
        <f aca="false">IFERROR(INDEX(ポート振替表!$D$5:$D$3507,MATCH($A57,ポート振替表!$U$5:$U$3507,0))&amp;"","")</f>
        <v/>
      </c>
      <c r="D57" s="29" t="str">
        <f aca="false">IFERROR(INDEX(ポート振替表!$E$5:$E$3507,MATCH($A57,ポート振替表!$U$5:$U$3507,0))&amp;"","")</f>
        <v/>
      </c>
      <c r="E57" s="30" t="str">
        <f aca="false">IFERROR(INDEX(ポート振替表!$F$5:$F$3507,MATCH($A57,ポート振替表!$U$5:$U$3507,0))&amp;"","")</f>
        <v/>
      </c>
      <c r="F57" s="30" t="str">
        <f aca="false">IFERROR(INDEX(ポート振替表!$H$5:$H$3507,MATCH($A57,ポート振替表!$U$5:$U$3507,0))&amp;"","")</f>
        <v/>
      </c>
      <c r="G57" s="29" t="str">
        <f aca="false">IFERROR(INDEX(ポート振替表!$I$5:$I$3507,MATCH($A57,ポート振替表!$U$5:$U$3507,0))&amp;"","")</f>
        <v/>
      </c>
      <c r="H57" s="30" t="str">
        <f aca="false">IFERROR(INDEX(ポート振替表!$J$5:$J$3507,MATCH($A57,ポート振替表!$U$5:$U$3507,0))&amp;"","")</f>
        <v/>
      </c>
      <c r="I57" s="30" t="str">
        <f aca="false">IFERROR(INDEX(ポート振替表!$K$5:$K$3507,MATCH($A57,ポート振替表!$U$5:$U$3507,0))&amp;"","")</f>
        <v/>
      </c>
      <c r="J57" s="29" t="str">
        <f aca="false">IFERROR(INDEX(ポート振替表!$L$5:$L$3507,MATCH($A57,ポート振替表!$U$5:$U$3507,0))&amp;"","")</f>
        <v/>
      </c>
      <c r="K57" s="29" t="str">
        <f aca="false">IFERROR(INDEX(ポート振替表!$N$5:$N$3507,MATCH($A57,ポート振替表!$U$5:$U$3507,0))&amp;"","")</f>
        <v/>
      </c>
      <c r="L57" s="29" t="str">
        <f aca="false">IFERROR(INDEX(ポート振替表!$O$5:$O$3507,MATCH($A57,ポート振替表!$U$5:$U$3507,0))&amp;"","")</f>
        <v/>
      </c>
      <c r="M57" s="56" t="str">
        <f aca="false">IFERROR(INDEX(ポート振替表!$P$5:$P$3507,MATCH($A57,ポート振替表!$U$5:$U$3507,0))&amp;"","")</f>
        <v/>
      </c>
      <c r="N57" s="57" t="s">
        <v>158</v>
      </c>
    </row>
    <row r="58" customFormat="false" ht="21" hidden="false" customHeight="true" outlineLevel="0" collapsed="false">
      <c r="A58" s="55" t="n">
        <v>49</v>
      </c>
      <c r="B58" s="29" t="str">
        <f aca="false">IFERROR(INDEX(ポート振替表!$C$5:$C$3507,MATCH($A58,ポート振替表!$U$5:$U$3507,0))&amp;"","")</f>
        <v/>
      </c>
      <c r="C58" s="29" t="str">
        <f aca="false">IFERROR(INDEX(ポート振替表!$D$5:$D$3507,MATCH($A58,ポート振替表!$U$5:$U$3507,0))&amp;"","")</f>
        <v/>
      </c>
      <c r="D58" s="29" t="str">
        <f aca="false">IFERROR(INDEX(ポート振替表!$E$5:$E$3507,MATCH($A58,ポート振替表!$U$5:$U$3507,0))&amp;"","")</f>
        <v/>
      </c>
      <c r="E58" s="30" t="str">
        <f aca="false">IFERROR(INDEX(ポート振替表!$F$5:$F$3507,MATCH($A58,ポート振替表!$U$5:$U$3507,0))&amp;"","")</f>
        <v/>
      </c>
      <c r="F58" s="30" t="str">
        <f aca="false">IFERROR(INDEX(ポート振替表!$H$5:$H$3507,MATCH($A58,ポート振替表!$U$5:$U$3507,0))&amp;"","")</f>
        <v/>
      </c>
      <c r="G58" s="29" t="str">
        <f aca="false">IFERROR(INDEX(ポート振替表!$I$5:$I$3507,MATCH($A58,ポート振替表!$U$5:$U$3507,0))&amp;"","")</f>
        <v/>
      </c>
      <c r="H58" s="30" t="str">
        <f aca="false">IFERROR(INDEX(ポート振替表!$J$5:$J$3507,MATCH($A58,ポート振替表!$U$5:$U$3507,0))&amp;"","")</f>
        <v/>
      </c>
      <c r="I58" s="30" t="str">
        <f aca="false">IFERROR(INDEX(ポート振替表!$K$5:$K$3507,MATCH($A58,ポート振替表!$U$5:$U$3507,0))&amp;"","")</f>
        <v/>
      </c>
      <c r="J58" s="29" t="str">
        <f aca="false">IFERROR(INDEX(ポート振替表!$L$5:$L$3507,MATCH($A58,ポート振替表!$U$5:$U$3507,0))&amp;"","")</f>
        <v/>
      </c>
      <c r="K58" s="29" t="str">
        <f aca="false">IFERROR(INDEX(ポート振替表!$N$5:$N$3507,MATCH($A58,ポート振替表!$U$5:$U$3507,0))&amp;"","")</f>
        <v/>
      </c>
      <c r="L58" s="29" t="str">
        <f aca="false">IFERROR(INDEX(ポート振替表!$O$5:$O$3507,MATCH($A58,ポート振替表!$U$5:$U$3507,0))&amp;"","")</f>
        <v/>
      </c>
      <c r="M58" s="56" t="str">
        <f aca="false">IFERROR(INDEX(ポート振替表!$P$5:$P$3507,MATCH($A58,ポート振替表!$U$5:$U$3507,0))&amp;"","")</f>
        <v/>
      </c>
      <c r="N58" s="57" t="s">
        <v>158</v>
      </c>
    </row>
    <row r="59" customFormat="false" ht="21" hidden="false" customHeight="true" outlineLevel="0" collapsed="false">
      <c r="A59" s="55" t="n">
        <v>50</v>
      </c>
      <c r="B59" s="29" t="str">
        <f aca="false">IFERROR(INDEX(ポート振替表!$C$5:$C$3507,MATCH($A59,ポート振替表!$U$5:$U$3507,0))&amp;"","")</f>
        <v/>
      </c>
      <c r="C59" s="29" t="str">
        <f aca="false">IFERROR(INDEX(ポート振替表!$D$5:$D$3507,MATCH($A59,ポート振替表!$U$5:$U$3507,0))&amp;"","")</f>
        <v/>
      </c>
      <c r="D59" s="29" t="str">
        <f aca="false">IFERROR(INDEX(ポート振替表!$E$5:$E$3507,MATCH($A59,ポート振替表!$U$5:$U$3507,0))&amp;"","")</f>
        <v/>
      </c>
      <c r="E59" s="30" t="str">
        <f aca="false">IFERROR(INDEX(ポート振替表!$F$5:$F$3507,MATCH($A59,ポート振替表!$U$5:$U$3507,0))&amp;"","")</f>
        <v/>
      </c>
      <c r="F59" s="30" t="str">
        <f aca="false">IFERROR(INDEX(ポート振替表!$H$5:$H$3507,MATCH($A59,ポート振替表!$U$5:$U$3507,0))&amp;"","")</f>
        <v/>
      </c>
      <c r="G59" s="29" t="str">
        <f aca="false">IFERROR(INDEX(ポート振替表!$I$5:$I$3507,MATCH($A59,ポート振替表!$U$5:$U$3507,0))&amp;"","")</f>
        <v/>
      </c>
      <c r="H59" s="30" t="str">
        <f aca="false">IFERROR(INDEX(ポート振替表!$J$5:$J$3507,MATCH($A59,ポート振替表!$U$5:$U$3507,0))&amp;"","")</f>
        <v/>
      </c>
      <c r="I59" s="30" t="str">
        <f aca="false">IFERROR(INDEX(ポート振替表!$K$5:$K$3507,MATCH($A59,ポート振替表!$U$5:$U$3507,0))&amp;"","")</f>
        <v/>
      </c>
      <c r="J59" s="29" t="str">
        <f aca="false">IFERROR(INDEX(ポート振替表!$L$5:$L$3507,MATCH($A59,ポート振替表!$U$5:$U$3507,0))&amp;"","")</f>
        <v/>
      </c>
      <c r="K59" s="29" t="str">
        <f aca="false">IFERROR(INDEX(ポート振替表!$N$5:$N$3507,MATCH($A59,ポート振替表!$U$5:$U$3507,0))&amp;"","")</f>
        <v/>
      </c>
      <c r="L59" s="29" t="str">
        <f aca="false">IFERROR(INDEX(ポート振替表!$O$5:$O$3507,MATCH($A59,ポート振替表!$U$5:$U$3507,0))&amp;"","")</f>
        <v/>
      </c>
      <c r="M59" s="56" t="str">
        <f aca="false">IFERROR(INDEX(ポート振替表!$P$5:$P$3507,MATCH($A59,ポート振替表!$U$5:$U$3507,0))&amp;"","")</f>
        <v/>
      </c>
      <c r="N59" s="57" t="s">
        <v>158</v>
      </c>
    </row>
    <row r="60" customFormat="false" ht="21" hidden="false" customHeight="true" outlineLevel="0" collapsed="false">
      <c r="A60" s="55" t="n">
        <v>51</v>
      </c>
      <c r="B60" s="29" t="str">
        <f aca="false">IFERROR(INDEX(ポート振替表!$C$5:$C$3507,MATCH($A60,ポート振替表!$U$5:$U$3507,0))&amp;"","")</f>
        <v/>
      </c>
      <c r="C60" s="29" t="str">
        <f aca="false">IFERROR(INDEX(ポート振替表!$D$5:$D$3507,MATCH($A60,ポート振替表!$U$5:$U$3507,0))&amp;"","")</f>
        <v/>
      </c>
      <c r="D60" s="29" t="str">
        <f aca="false">IFERROR(INDEX(ポート振替表!$E$5:$E$3507,MATCH($A60,ポート振替表!$U$5:$U$3507,0))&amp;"","")</f>
        <v/>
      </c>
      <c r="E60" s="30" t="str">
        <f aca="false">IFERROR(INDEX(ポート振替表!$F$5:$F$3507,MATCH($A60,ポート振替表!$U$5:$U$3507,0))&amp;"","")</f>
        <v/>
      </c>
      <c r="F60" s="30" t="str">
        <f aca="false">IFERROR(INDEX(ポート振替表!$H$5:$H$3507,MATCH($A60,ポート振替表!$U$5:$U$3507,0))&amp;"","")</f>
        <v/>
      </c>
      <c r="G60" s="29" t="str">
        <f aca="false">IFERROR(INDEX(ポート振替表!$I$5:$I$3507,MATCH($A60,ポート振替表!$U$5:$U$3507,0))&amp;"","")</f>
        <v/>
      </c>
      <c r="H60" s="30" t="str">
        <f aca="false">IFERROR(INDEX(ポート振替表!$J$5:$J$3507,MATCH($A60,ポート振替表!$U$5:$U$3507,0))&amp;"","")</f>
        <v/>
      </c>
      <c r="I60" s="30" t="str">
        <f aca="false">IFERROR(INDEX(ポート振替表!$K$5:$K$3507,MATCH($A60,ポート振替表!$U$5:$U$3507,0))&amp;"","")</f>
        <v/>
      </c>
      <c r="J60" s="29" t="str">
        <f aca="false">IFERROR(INDEX(ポート振替表!$L$5:$L$3507,MATCH($A60,ポート振替表!$U$5:$U$3507,0))&amp;"","")</f>
        <v/>
      </c>
      <c r="K60" s="29" t="str">
        <f aca="false">IFERROR(INDEX(ポート振替表!$N$5:$N$3507,MATCH($A60,ポート振替表!$U$5:$U$3507,0))&amp;"","")</f>
        <v/>
      </c>
      <c r="L60" s="29" t="str">
        <f aca="false">IFERROR(INDEX(ポート振替表!$O$5:$O$3507,MATCH($A60,ポート振替表!$U$5:$U$3507,0))&amp;"","")</f>
        <v/>
      </c>
      <c r="M60" s="56" t="str">
        <f aca="false">IFERROR(INDEX(ポート振替表!$P$5:$P$3507,MATCH($A60,ポート振替表!$U$5:$U$3507,0))&amp;"","")</f>
        <v/>
      </c>
      <c r="N60" s="57" t="s">
        <v>158</v>
      </c>
    </row>
    <row r="61" customFormat="false" ht="21" hidden="false" customHeight="true" outlineLevel="0" collapsed="false">
      <c r="A61" s="55" t="n">
        <v>52</v>
      </c>
      <c r="B61" s="29" t="str">
        <f aca="false">IFERROR(INDEX(ポート振替表!$C$5:$C$3507,MATCH($A61,ポート振替表!$U$5:$U$3507,0))&amp;"","")</f>
        <v/>
      </c>
      <c r="C61" s="29" t="str">
        <f aca="false">IFERROR(INDEX(ポート振替表!$D$5:$D$3507,MATCH($A61,ポート振替表!$U$5:$U$3507,0))&amp;"","")</f>
        <v/>
      </c>
      <c r="D61" s="29" t="str">
        <f aca="false">IFERROR(INDEX(ポート振替表!$E$5:$E$3507,MATCH($A61,ポート振替表!$U$5:$U$3507,0))&amp;"","")</f>
        <v/>
      </c>
      <c r="E61" s="30" t="str">
        <f aca="false">IFERROR(INDEX(ポート振替表!$F$5:$F$3507,MATCH($A61,ポート振替表!$U$5:$U$3507,0))&amp;"","")</f>
        <v/>
      </c>
      <c r="F61" s="30" t="str">
        <f aca="false">IFERROR(INDEX(ポート振替表!$H$5:$H$3507,MATCH($A61,ポート振替表!$U$5:$U$3507,0))&amp;"","")</f>
        <v/>
      </c>
      <c r="G61" s="29" t="str">
        <f aca="false">IFERROR(INDEX(ポート振替表!$I$5:$I$3507,MATCH($A61,ポート振替表!$U$5:$U$3507,0))&amp;"","")</f>
        <v/>
      </c>
      <c r="H61" s="30" t="str">
        <f aca="false">IFERROR(INDEX(ポート振替表!$J$5:$J$3507,MATCH($A61,ポート振替表!$U$5:$U$3507,0))&amp;"","")</f>
        <v/>
      </c>
      <c r="I61" s="30" t="str">
        <f aca="false">IFERROR(INDEX(ポート振替表!$K$5:$K$3507,MATCH($A61,ポート振替表!$U$5:$U$3507,0))&amp;"","")</f>
        <v/>
      </c>
      <c r="J61" s="29" t="str">
        <f aca="false">IFERROR(INDEX(ポート振替表!$L$5:$L$3507,MATCH($A61,ポート振替表!$U$5:$U$3507,0))&amp;"","")</f>
        <v/>
      </c>
      <c r="K61" s="29" t="str">
        <f aca="false">IFERROR(INDEX(ポート振替表!$N$5:$N$3507,MATCH($A61,ポート振替表!$U$5:$U$3507,0))&amp;"","")</f>
        <v/>
      </c>
      <c r="L61" s="29" t="str">
        <f aca="false">IFERROR(INDEX(ポート振替表!$O$5:$O$3507,MATCH($A61,ポート振替表!$U$5:$U$3507,0))&amp;"","")</f>
        <v/>
      </c>
      <c r="M61" s="56" t="str">
        <f aca="false">IFERROR(INDEX(ポート振替表!$P$5:$P$3507,MATCH($A61,ポート振替表!$U$5:$U$3507,0))&amp;"","")</f>
        <v/>
      </c>
      <c r="N61" s="57" t="s">
        <v>158</v>
      </c>
    </row>
    <row r="62" customFormat="false" ht="21" hidden="false" customHeight="true" outlineLevel="0" collapsed="false">
      <c r="A62" s="55" t="n">
        <v>53</v>
      </c>
      <c r="B62" s="29" t="str">
        <f aca="false">IFERROR(INDEX(ポート振替表!$C$5:$C$3507,MATCH($A62,ポート振替表!$U$5:$U$3507,0))&amp;"","")</f>
        <v/>
      </c>
      <c r="C62" s="29" t="str">
        <f aca="false">IFERROR(INDEX(ポート振替表!$D$5:$D$3507,MATCH($A62,ポート振替表!$U$5:$U$3507,0))&amp;"","")</f>
        <v/>
      </c>
      <c r="D62" s="29" t="str">
        <f aca="false">IFERROR(INDEX(ポート振替表!$E$5:$E$3507,MATCH($A62,ポート振替表!$U$5:$U$3507,0))&amp;"","")</f>
        <v/>
      </c>
      <c r="E62" s="30" t="str">
        <f aca="false">IFERROR(INDEX(ポート振替表!$F$5:$F$3507,MATCH($A62,ポート振替表!$U$5:$U$3507,0))&amp;"","")</f>
        <v/>
      </c>
      <c r="F62" s="30" t="str">
        <f aca="false">IFERROR(INDEX(ポート振替表!$H$5:$H$3507,MATCH($A62,ポート振替表!$U$5:$U$3507,0))&amp;"","")</f>
        <v/>
      </c>
      <c r="G62" s="29" t="str">
        <f aca="false">IFERROR(INDEX(ポート振替表!$I$5:$I$3507,MATCH($A62,ポート振替表!$U$5:$U$3507,0))&amp;"","")</f>
        <v/>
      </c>
      <c r="H62" s="30" t="str">
        <f aca="false">IFERROR(INDEX(ポート振替表!$J$5:$J$3507,MATCH($A62,ポート振替表!$U$5:$U$3507,0))&amp;"","")</f>
        <v/>
      </c>
      <c r="I62" s="30" t="str">
        <f aca="false">IFERROR(INDEX(ポート振替表!$K$5:$K$3507,MATCH($A62,ポート振替表!$U$5:$U$3507,0))&amp;"","")</f>
        <v/>
      </c>
      <c r="J62" s="29" t="str">
        <f aca="false">IFERROR(INDEX(ポート振替表!$L$5:$L$3507,MATCH($A62,ポート振替表!$U$5:$U$3507,0))&amp;"","")</f>
        <v/>
      </c>
      <c r="K62" s="29" t="str">
        <f aca="false">IFERROR(INDEX(ポート振替表!$N$5:$N$3507,MATCH($A62,ポート振替表!$U$5:$U$3507,0))&amp;"","")</f>
        <v/>
      </c>
      <c r="L62" s="29" t="str">
        <f aca="false">IFERROR(INDEX(ポート振替表!$O$5:$O$3507,MATCH($A62,ポート振替表!$U$5:$U$3507,0))&amp;"","")</f>
        <v/>
      </c>
      <c r="M62" s="56" t="str">
        <f aca="false">IFERROR(INDEX(ポート振替表!$P$5:$P$3507,MATCH($A62,ポート振替表!$U$5:$U$3507,0))&amp;"","")</f>
        <v/>
      </c>
      <c r="N62" s="57" t="s">
        <v>158</v>
      </c>
    </row>
    <row r="63" customFormat="false" ht="21" hidden="false" customHeight="true" outlineLevel="0" collapsed="false">
      <c r="A63" s="55" t="n">
        <v>54</v>
      </c>
      <c r="B63" s="29" t="str">
        <f aca="false">IFERROR(INDEX(ポート振替表!$C$5:$C$3507,MATCH($A63,ポート振替表!$U$5:$U$3507,0))&amp;"","")</f>
        <v/>
      </c>
      <c r="C63" s="29" t="str">
        <f aca="false">IFERROR(INDEX(ポート振替表!$D$5:$D$3507,MATCH($A63,ポート振替表!$U$5:$U$3507,0))&amp;"","")</f>
        <v/>
      </c>
      <c r="D63" s="29" t="str">
        <f aca="false">IFERROR(INDEX(ポート振替表!$E$5:$E$3507,MATCH($A63,ポート振替表!$U$5:$U$3507,0))&amp;"","")</f>
        <v/>
      </c>
      <c r="E63" s="30" t="str">
        <f aca="false">IFERROR(INDEX(ポート振替表!$F$5:$F$3507,MATCH($A63,ポート振替表!$U$5:$U$3507,0))&amp;"","")</f>
        <v/>
      </c>
      <c r="F63" s="30" t="str">
        <f aca="false">IFERROR(INDEX(ポート振替表!$H$5:$H$3507,MATCH($A63,ポート振替表!$U$5:$U$3507,0))&amp;"","")</f>
        <v/>
      </c>
      <c r="G63" s="29" t="str">
        <f aca="false">IFERROR(INDEX(ポート振替表!$I$5:$I$3507,MATCH($A63,ポート振替表!$U$5:$U$3507,0))&amp;"","")</f>
        <v/>
      </c>
      <c r="H63" s="30" t="str">
        <f aca="false">IFERROR(INDEX(ポート振替表!$J$5:$J$3507,MATCH($A63,ポート振替表!$U$5:$U$3507,0))&amp;"","")</f>
        <v/>
      </c>
      <c r="I63" s="30" t="str">
        <f aca="false">IFERROR(INDEX(ポート振替表!$K$5:$K$3507,MATCH($A63,ポート振替表!$U$5:$U$3507,0))&amp;"","")</f>
        <v/>
      </c>
      <c r="J63" s="29" t="str">
        <f aca="false">IFERROR(INDEX(ポート振替表!$L$5:$L$3507,MATCH($A63,ポート振替表!$U$5:$U$3507,0))&amp;"","")</f>
        <v/>
      </c>
      <c r="K63" s="29" t="str">
        <f aca="false">IFERROR(INDEX(ポート振替表!$N$5:$N$3507,MATCH($A63,ポート振替表!$U$5:$U$3507,0))&amp;"","")</f>
        <v/>
      </c>
      <c r="L63" s="29" t="str">
        <f aca="false">IFERROR(INDEX(ポート振替表!$O$5:$O$3507,MATCH($A63,ポート振替表!$U$5:$U$3507,0))&amp;"","")</f>
        <v/>
      </c>
      <c r="M63" s="56" t="str">
        <f aca="false">IFERROR(INDEX(ポート振替表!$P$5:$P$3507,MATCH($A63,ポート振替表!$U$5:$U$3507,0))&amp;"","")</f>
        <v/>
      </c>
      <c r="N63" s="57" t="s">
        <v>158</v>
      </c>
    </row>
    <row r="64" customFormat="false" ht="21" hidden="false" customHeight="true" outlineLevel="0" collapsed="false">
      <c r="A64" s="55" t="n">
        <v>55</v>
      </c>
      <c r="B64" s="29" t="str">
        <f aca="false">IFERROR(INDEX(ポート振替表!$C$5:$C$3507,MATCH($A64,ポート振替表!$U$5:$U$3507,0))&amp;"","")</f>
        <v/>
      </c>
      <c r="C64" s="29" t="str">
        <f aca="false">IFERROR(INDEX(ポート振替表!$D$5:$D$3507,MATCH($A64,ポート振替表!$U$5:$U$3507,0))&amp;"","")</f>
        <v/>
      </c>
      <c r="D64" s="29" t="str">
        <f aca="false">IFERROR(INDEX(ポート振替表!$E$5:$E$3507,MATCH($A64,ポート振替表!$U$5:$U$3507,0))&amp;"","")</f>
        <v/>
      </c>
      <c r="E64" s="30" t="str">
        <f aca="false">IFERROR(INDEX(ポート振替表!$F$5:$F$3507,MATCH($A64,ポート振替表!$U$5:$U$3507,0))&amp;"","")</f>
        <v/>
      </c>
      <c r="F64" s="30" t="str">
        <f aca="false">IFERROR(INDEX(ポート振替表!$H$5:$H$3507,MATCH($A64,ポート振替表!$U$5:$U$3507,0))&amp;"","")</f>
        <v/>
      </c>
      <c r="G64" s="29" t="str">
        <f aca="false">IFERROR(INDEX(ポート振替表!$I$5:$I$3507,MATCH($A64,ポート振替表!$U$5:$U$3507,0))&amp;"","")</f>
        <v/>
      </c>
      <c r="H64" s="30" t="str">
        <f aca="false">IFERROR(INDEX(ポート振替表!$J$5:$J$3507,MATCH($A64,ポート振替表!$U$5:$U$3507,0))&amp;"","")</f>
        <v/>
      </c>
      <c r="I64" s="30" t="str">
        <f aca="false">IFERROR(INDEX(ポート振替表!$K$5:$K$3507,MATCH($A64,ポート振替表!$U$5:$U$3507,0))&amp;"","")</f>
        <v/>
      </c>
      <c r="J64" s="29" t="str">
        <f aca="false">IFERROR(INDEX(ポート振替表!$L$5:$L$3507,MATCH($A64,ポート振替表!$U$5:$U$3507,0))&amp;"","")</f>
        <v/>
      </c>
      <c r="K64" s="29" t="str">
        <f aca="false">IFERROR(INDEX(ポート振替表!$N$5:$N$3507,MATCH($A64,ポート振替表!$U$5:$U$3507,0))&amp;"","")</f>
        <v/>
      </c>
      <c r="L64" s="29" t="str">
        <f aca="false">IFERROR(INDEX(ポート振替表!$O$5:$O$3507,MATCH($A64,ポート振替表!$U$5:$U$3507,0))&amp;"","")</f>
        <v/>
      </c>
      <c r="M64" s="56" t="str">
        <f aca="false">IFERROR(INDEX(ポート振替表!$P$5:$P$3507,MATCH($A64,ポート振替表!$U$5:$U$3507,0))&amp;"","")</f>
        <v/>
      </c>
      <c r="N64" s="57" t="s">
        <v>158</v>
      </c>
    </row>
    <row r="65" customFormat="false" ht="21" hidden="false" customHeight="true" outlineLevel="0" collapsed="false">
      <c r="A65" s="55" t="n">
        <v>56</v>
      </c>
      <c r="B65" s="29" t="str">
        <f aca="false">IFERROR(INDEX(ポート振替表!$C$5:$C$3507,MATCH($A65,ポート振替表!$U$5:$U$3507,0))&amp;"","")</f>
        <v/>
      </c>
      <c r="C65" s="29" t="str">
        <f aca="false">IFERROR(INDEX(ポート振替表!$D$5:$D$3507,MATCH($A65,ポート振替表!$U$5:$U$3507,0))&amp;"","")</f>
        <v/>
      </c>
      <c r="D65" s="29" t="str">
        <f aca="false">IFERROR(INDEX(ポート振替表!$E$5:$E$3507,MATCH($A65,ポート振替表!$U$5:$U$3507,0))&amp;"","")</f>
        <v/>
      </c>
      <c r="E65" s="30" t="str">
        <f aca="false">IFERROR(INDEX(ポート振替表!$F$5:$F$3507,MATCH($A65,ポート振替表!$U$5:$U$3507,0))&amp;"","")</f>
        <v/>
      </c>
      <c r="F65" s="30" t="str">
        <f aca="false">IFERROR(INDEX(ポート振替表!$H$5:$H$3507,MATCH($A65,ポート振替表!$U$5:$U$3507,0))&amp;"","")</f>
        <v/>
      </c>
      <c r="G65" s="29" t="str">
        <f aca="false">IFERROR(INDEX(ポート振替表!$I$5:$I$3507,MATCH($A65,ポート振替表!$U$5:$U$3507,0))&amp;"","")</f>
        <v/>
      </c>
      <c r="H65" s="30" t="str">
        <f aca="false">IFERROR(INDEX(ポート振替表!$J$5:$J$3507,MATCH($A65,ポート振替表!$U$5:$U$3507,0))&amp;"","")</f>
        <v/>
      </c>
      <c r="I65" s="30" t="str">
        <f aca="false">IFERROR(INDEX(ポート振替表!$K$5:$K$3507,MATCH($A65,ポート振替表!$U$5:$U$3507,0))&amp;"","")</f>
        <v/>
      </c>
      <c r="J65" s="29" t="str">
        <f aca="false">IFERROR(INDEX(ポート振替表!$L$5:$L$3507,MATCH($A65,ポート振替表!$U$5:$U$3507,0))&amp;"","")</f>
        <v/>
      </c>
      <c r="K65" s="29" t="str">
        <f aca="false">IFERROR(INDEX(ポート振替表!$N$5:$N$3507,MATCH($A65,ポート振替表!$U$5:$U$3507,0))&amp;"","")</f>
        <v/>
      </c>
      <c r="L65" s="29" t="str">
        <f aca="false">IFERROR(INDEX(ポート振替表!$O$5:$O$3507,MATCH($A65,ポート振替表!$U$5:$U$3507,0))&amp;"","")</f>
        <v/>
      </c>
      <c r="M65" s="56" t="str">
        <f aca="false">IFERROR(INDEX(ポート振替表!$P$5:$P$3507,MATCH($A65,ポート振替表!$U$5:$U$3507,0))&amp;"","")</f>
        <v/>
      </c>
      <c r="N65" s="57" t="s">
        <v>158</v>
      </c>
    </row>
    <row r="66" customFormat="false" ht="15" hidden="false" customHeight="false" outlineLevel="0" collapsed="false">
      <c r="A66" s="35" t="s">
        <v>159</v>
      </c>
    </row>
  </sheetData>
  <mergeCells count="16">
    <mergeCell ref="A3:B3"/>
    <mergeCell ref="C3:D3"/>
    <mergeCell ref="A5:B5"/>
    <mergeCell ref="C5:D5"/>
    <mergeCell ref="F5:G5"/>
    <mergeCell ref="H5:J5"/>
    <mergeCell ref="K5:L5"/>
    <mergeCell ref="A6:B6"/>
    <mergeCell ref="C6:D6"/>
    <mergeCell ref="F6:G6"/>
    <mergeCell ref="H6:J6"/>
    <mergeCell ref="K6:M7"/>
    <mergeCell ref="A7:B7"/>
    <mergeCell ref="C7:D7"/>
    <mergeCell ref="F7:G7"/>
    <mergeCell ref="H7:J7"/>
  </mergeCells>
  <conditionalFormatting sqref="B10:M65">
    <cfRule type="expression" priority="2" aboveAverage="0" equalAverage="0" bottom="0" percent="0" rank="0" text="" dxfId="25">
      <formula>AND($B10&lt;&gt;"",$J10&lt;&gt;"",$B10&lt;&gt;$J10)</formula>
    </cfRule>
  </conditionalFormatting>
  <conditionalFormatting sqref="M10:M65">
    <cfRule type="cellIs" priority="3" operator="equal" aboveAverage="0" equalAverage="0" bottom="0" percent="0" rank="0" text="" dxfId="8">
      <formula>"疎通確認済"</formula>
    </cfRule>
    <cfRule type="cellIs" priority="4" operator="equal" aboveAverage="0" equalAverage="0" bottom="0" percent="0" rank="0" text="" dxfId="20">
      <formula>"切替済"</formula>
    </cfRule>
    <cfRule type="cellIs" priority="5" operator="equal" aboveAverage="0" equalAverage="0" bottom="0" percent="0" rank="0" text="" dxfId="21">
      <formula>"準備済"</formula>
    </cfRule>
    <cfRule type="cellIs" priority="6" operator="equal" aboveAverage="0" equalAverage="0" bottom="0" percent="0" rank="0" text="" dxfId="22">
      <formula>"保留"</formula>
    </cfRule>
  </conditionalFormatting>
  <dataValidations count="1">
    <dataValidation allowBlank="false" error="機器一覧に登録した旧機器名から選んでください" errorStyle="stop" operator="between" showDropDown="false" showErrorMessage="false" showInputMessage="false" sqref="C3" type="list">
      <formula1>機器一覧!$D$5:$D$75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L35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44"/>
    <col collapsed="false" customWidth="true" hidden="false" outlineLevel="0" max="12" min="12" style="0" width="7"/>
  </cols>
  <sheetData>
    <row r="1" customFormat="false" ht="23.85" hidden="false" customHeight="false" outlineLevel="0" collapsed="false">
      <c r="A1" s="15" t="s">
        <v>160</v>
      </c>
    </row>
    <row r="2" customFormat="false" ht="15" hidden="false" customHeight="false" outlineLevel="0" collapsed="false">
      <c r="A2" s="2" t="s">
        <v>161</v>
      </c>
    </row>
    <row r="3" customFormat="false" ht="17.15" hidden="false" customHeight="true" outlineLevel="0" collapsed="false">
      <c r="A3" s="36"/>
      <c r="B3" s="37" t="s">
        <v>162</v>
      </c>
      <c r="C3" s="37"/>
      <c r="D3" s="37"/>
      <c r="E3" s="38" t="s">
        <v>163</v>
      </c>
      <c r="F3" s="38"/>
      <c r="G3" s="38"/>
      <c r="H3" s="39" t="s">
        <v>87</v>
      </c>
      <c r="I3" s="39"/>
      <c r="J3" s="39"/>
      <c r="K3" s="39"/>
      <c r="L3" s="39"/>
    </row>
    <row r="4" customFormat="false" ht="31.5" hidden="false" customHeight="true" outlineLevel="0" collapsed="false">
      <c r="A4" s="21" t="s">
        <v>59</v>
      </c>
      <c r="B4" s="41" t="s">
        <v>164</v>
      </c>
      <c r="C4" s="41" t="s">
        <v>165</v>
      </c>
      <c r="D4" s="41" t="s">
        <v>166</v>
      </c>
      <c r="E4" s="43" t="s">
        <v>167</v>
      </c>
      <c r="F4" s="43" t="s">
        <v>168</v>
      </c>
      <c r="G4" s="43" t="s">
        <v>169</v>
      </c>
      <c r="H4" s="16" t="s">
        <v>101</v>
      </c>
      <c r="I4" s="16" t="s">
        <v>103</v>
      </c>
      <c r="J4" s="16" t="s">
        <v>100</v>
      </c>
      <c r="K4" s="23" t="s">
        <v>170</v>
      </c>
      <c r="L4" s="23" t="s">
        <v>171</v>
      </c>
    </row>
    <row r="5" customFormat="false" ht="39.55" hidden="false" customHeight="false" outlineLevel="0" collapsed="false">
      <c r="A5" s="32" t="n">
        <f aca="false">IF(L5="","",ROW()-4)</f>
        <v>1</v>
      </c>
      <c r="B5" s="58" t="str">
        <f aca="false">IF(L5="","",IF(INDEX(ポート振替表!$W$5:$W$3507,$L5)="","(なし)",INDEX(ポート振替表!$W$5:$W$3507,$L5)&amp;""))</f>
        <v>OLD-0001</v>
      </c>
      <c r="C5" s="52" t="str">
        <f aca="false">IF(L5="","",INDEX(ポート振替表!$B$5:$B$3507,$L5)&amp;" "&amp;INDEX(ポート振替表!$C$5:$C$3507,$L5)&amp;"  ⇔  "&amp;INDEX(ポート振替表!$H$5:$H$3507,$L5)&amp;" "&amp;INDEX(ポート振替表!$I$5:$I$3507,$L5))</f>
        <v>例_旧SW01 Gi1/0/1  ⇔  PC-0123 LAN</v>
      </c>
      <c r="D5" s="57" t="s">
        <v>158</v>
      </c>
      <c r="E5" s="59" t="str">
        <f aca="false">IF(L5="","",IF(INDEX(ポート振替表!$O$5:$O$3507,$L5)="","(未設定)",INDEX(ポート振替表!$O$5:$O$3507,$L5)&amp;""))</f>
        <v>L-0001</v>
      </c>
      <c r="F5" s="52" t="str">
        <f aca="false">IF(L5="","",INDEX(ポート振替表!$K$5:$K$3507,$L5)&amp;" "&amp;INDEX(ポート振替表!$L$5:$L$3507,$L5)&amp;"  ⇔  "&amp;INDEX(ポート振替表!$H$5:$H$3507,$L5)&amp;" "&amp;INDEX(ポート振替表!$I$5:$I$3507,$L5))</f>
        <v>例_新SW01 Gi1/0/1  ⇔  PC-0123 LAN</v>
      </c>
      <c r="G5" s="57" t="s">
        <v>158</v>
      </c>
      <c r="H5" s="32" t="str">
        <f aca="false">IF(L5="","",INDEX(ポート振替表!$N$5:$N$3507,$L5)&amp;"")</f>
        <v>UTP Cat6</v>
      </c>
      <c r="I5" s="32" t="str">
        <f aca="false">IF(L5="","",INDEX(ポート振替表!$P$5:$P$3507,$L5)&amp;"")</f>
        <v>疎通確認済</v>
      </c>
      <c r="J5" s="60" t="str">
        <f aca="false">IF(L5="","",INDEX(ポート振替表!$M$5:$M$3507,$L5)&amp;"")</f>
        <v>同一</v>
      </c>
      <c r="K5" s="52" t="str">
        <f aca="false">IF(L5="","",E5&amp;CHAR(10)&amp;INDEX(ポート振替表!$K$5:$K$3507,$L5)&amp;" "&amp;INDEX(ポート振替表!$L$5:$L$3507,$L5)&amp;CHAR(10)&amp;"⇔ "&amp;INDEX(ポート振替表!$H$5:$H$3507,$L5)&amp;" "&amp;INDEX(ポート振替表!$I$5:$I$3507,$L5))</f>
        <v>L-0001
例_新SW01 Gi1/0/1
⇔ PC-0123 LAN</v>
      </c>
      <c r="L5" s="47" t="n">
        <f aca="false">IFERROR(MATCH(ROW()-4,ポート振替表!$V$5:$V$3507,0),"")</f>
        <v>1</v>
      </c>
    </row>
    <row r="6" customFormat="false" ht="39.55" hidden="false" customHeight="false" outlineLevel="0" collapsed="false">
      <c r="A6" s="32" t="n">
        <f aca="false">IF(L6="","",ROW()-4)</f>
        <v>2</v>
      </c>
      <c r="B6" s="58" t="str">
        <f aca="false">IF(L6="","",IF(INDEX(ポート振替表!$W$5:$W$3507,$L6)="","(なし)",INDEX(ポート振替表!$W$5:$W$3507,$L6)&amp;""))</f>
        <v>OLD-0002</v>
      </c>
      <c r="C6" s="52" t="str">
        <f aca="false">IF(L6="","",INDEX(ポート振替表!$B$5:$B$3507,$L6)&amp;" "&amp;INDEX(ポート振替表!$C$5:$C$3507,$L6)&amp;"  ⇔  "&amp;INDEX(ポート振替表!$H$5:$H$3507,$L6)&amp;" "&amp;INDEX(ポート振替表!$I$5:$I$3507,$L6))</f>
        <v>例_旧SW01 Gi1/0/2  ⇔  AP-3F-01 eth0</v>
      </c>
      <c r="D6" s="57" t="s">
        <v>158</v>
      </c>
      <c r="E6" s="59" t="str">
        <f aca="false">IF(L6="","",IF(INDEX(ポート振替表!$O$5:$O$3507,$L6)="","(未設定)",INDEX(ポート振替表!$O$5:$O$3507,$L6)&amp;""))</f>
        <v>L-0002</v>
      </c>
      <c r="F6" s="52" t="str">
        <f aca="false">IF(L6="","",INDEX(ポート振替表!$K$5:$K$3507,$L6)&amp;" "&amp;INDEX(ポート振替表!$L$5:$L$3507,$L6)&amp;"  ⇔  "&amp;INDEX(ポート振替表!$H$5:$H$3507,$L6)&amp;" "&amp;INDEX(ポート振替表!$I$5:$I$3507,$L6))</f>
        <v>例_新SW01 Gi1/0/3  ⇔  AP-3F-01 eth0</v>
      </c>
      <c r="G6" s="57" t="s">
        <v>158</v>
      </c>
      <c r="H6" s="32" t="str">
        <f aca="false">IF(L6="","",INDEX(ポート振替表!$N$5:$N$3507,$L6)&amp;"")</f>
        <v>UTP Cat6A</v>
      </c>
      <c r="I6" s="32" t="str">
        <f aca="false">IF(L6="","",INDEX(ポート振替表!$P$5:$P$3507,$L6)&amp;"")</f>
        <v>切替済</v>
      </c>
      <c r="J6" s="60" t="str">
        <f aca="false">IF(L6="","",INDEX(ポート振替表!$M$5:$M$3507,$L6)&amp;"")</f>
        <v>変更</v>
      </c>
      <c r="K6" s="52" t="str">
        <f aca="false">IF(L6="","",E6&amp;CHAR(10)&amp;INDEX(ポート振替表!$K$5:$K$3507,$L6)&amp;" "&amp;INDEX(ポート振替表!$L$5:$L$3507,$L6)&amp;CHAR(10)&amp;"⇔ "&amp;INDEX(ポート振替表!$H$5:$H$3507,$L6)&amp;" "&amp;INDEX(ポート振替表!$I$5:$I$3507,$L6))</f>
        <v>L-0002
例_新SW01 Gi1/0/3
⇔ AP-3F-01 eth0</v>
      </c>
      <c r="L6" s="47" t="n">
        <f aca="false">IFERROR(MATCH(ROW()-4,ポート振替表!$V$5:$V$3507,0),"")</f>
        <v>2</v>
      </c>
    </row>
    <row r="7" customFormat="false" ht="39.55" hidden="false" customHeight="false" outlineLevel="0" collapsed="false">
      <c r="A7" s="32" t="n">
        <f aca="false">IF(L7="","",ROW()-4)</f>
        <v>3</v>
      </c>
      <c r="B7" s="58" t="str">
        <f aca="false">IF(L7="","",IF(INDEX(ポート振替表!$W$5:$W$3507,$L7)="","(なし)",INDEX(ポート振替表!$W$5:$W$3507,$L7)&amp;""))</f>
        <v>OLD-0048</v>
      </c>
      <c r="C7" s="52" t="str">
        <f aca="false">IF(L7="","",INDEX(ポート振替表!$B$5:$B$3507,$L7)&amp;" "&amp;INDEX(ポート振替表!$C$5:$C$3507,$L7)&amp;"  ⇔  "&amp;INDEX(ポート振替表!$H$5:$H$3507,$L7)&amp;" "&amp;INDEX(ポート振替表!$I$5:$I$3507,$L7))</f>
        <v>例_旧SW01 Gi1/0/48  ⇔  CORE-SW01 Te1/0/5</v>
      </c>
      <c r="D7" s="57" t="s">
        <v>158</v>
      </c>
      <c r="E7" s="59" t="str">
        <f aca="false">IF(L7="","",IF(INDEX(ポート振替表!$O$5:$O$3507,$L7)="","(未設定)",INDEX(ポート振替表!$O$5:$O$3507,$L7)&amp;""))</f>
        <v>L-0048</v>
      </c>
      <c r="F7" s="52" t="str">
        <f aca="false">IF(L7="","",INDEX(ポート振替表!$K$5:$K$3507,$L7)&amp;" "&amp;INDEX(ポート振替表!$L$5:$L$3507,$L7)&amp;"  ⇔  "&amp;INDEX(ポート振替表!$H$5:$H$3507,$L7)&amp;" "&amp;INDEX(ポート振替表!$I$5:$I$3507,$L7))</f>
        <v>例_新SW01 Te1/0/49  ⇔  CORE-SW01 Te1/0/5</v>
      </c>
      <c r="G7" s="57" t="s">
        <v>158</v>
      </c>
      <c r="H7" s="32" t="str">
        <f aca="false">IF(L7="","",INDEX(ポート振替表!$N$5:$N$3507,$L7)&amp;"")</f>
        <v>光 MMF</v>
      </c>
      <c r="I7" s="32" t="str">
        <f aca="false">IF(L7="","",INDEX(ポート振替表!$P$5:$P$3507,$L7)&amp;"")</f>
        <v>準備済</v>
      </c>
      <c r="J7" s="60" t="str">
        <f aca="false">IF(L7="","",INDEX(ポート振替表!$M$5:$M$3507,$L7)&amp;"")</f>
        <v>変更</v>
      </c>
      <c r="K7" s="52" t="str">
        <f aca="false">IF(L7="","",E7&amp;CHAR(10)&amp;INDEX(ポート振替表!$K$5:$K$3507,$L7)&amp;" "&amp;INDEX(ポート振替表!$L$5:$L$3507,$L7)&amp;CHAR(10)&amp;"⇔ "&amp;INDEX(ポート振替表!$H$5:$H$3507,$L7)&amp;" "&amp;INDEX(ポート振替表!$I$5:$I$3507,$L7))</f>
        <v>L-0048
例_新SW01 Te1/0/49
⇔ CORE-SW01 Te1/0/5</v>
      </c>
      <c r="L7" s="47" t="n">
        <f aca="false">IFERROR(MATCH(ROW()-4,ポート振替表!$V$5:$V$3507,0),"")</f>
        <v>3</v>
      </c>
    </row>
    <row r="8" customFormat="false" ht="16.4" hidden="false" customHeight="false" outlineLevel="0" collapsed="false">
      <c r="A8" s="32" t="str">
        <f aca="false">IF(L8="","",ROW()-4)</f>
        <v/>
      </c>
      <c r="B8" s="58" t="str">
        <f aca="false">IF(L8="","",IF(INDEX(ポート振替表!$W$5:$W$3507,$L8)="","(なし)",INDEX(ポート振替表!$W$5:$W$3507,$L8)&amp;""))</f>
        <v/>
      </c>
      <c r="C8" s="52" t="str">
        <f aca="false">IF(L8="","",INDEX(ポート振替表!$B$5:$B$3507,$L8)&amp;" "&amp;INDEX(ポート振替表!$C$5:$C$3507,$L8)&amp;"  ⇔  "&amp;INDEX(ポート振替表!$H$5:$H$3507,$L8)&amp;" "&amp;INDEX(ポート振替表!$I$5:$I$3507,$L8))</f>
        <v/>
      </c>
      <c r="D8" s="57" t="s">
        <v>158</v>
      </c>
      <c r="E8" s="59" t="str">
        <f aca="false">IF(L8="","",IF(INDEX(ポート振替表!$O$5:$O$3507,$L8)="","(未設定)",INDEX(ポート振替表!$O$5:$O$3507,$L8)&amp;""))</f>
        <v/>
      </c>
      <c r="F8" s="52" t="str">
        <f aca="false">IF(L8="","",INDEX(ポート振替表!$K$5:$K$3507,$L8)&amp;" "&amp;INDEX(ポート振替表!$L$5:$L$3507,$L8)&amp;"  ⇔  "&amp;INDEX(ポート振替表!$H$5:$H$3507,$L8)&amp;" "&amp;INDEX(ポート振替表!$I$5:$I$3507,$L8))</f>
        <v/>
      </c>
      <c r="G8" s="57" t="s">
        <v>158</v>
      </c>
      <c r="H8" s="32" t="str">
        <f aca="false">IF(L8="","",INDEX(ポート振替表!$N$5:$N$3507,$L8)&amp;"")</f>
        <v/>
      </c>
      <c r="I8" s="32" t="str">
        <f aca="false">IF(L8="","",INDEX(ポート振替表!$P$5:$P$3507,$L8)&amp;"")</f>
        <v/>
      </c>
      <c r="J8" s="60" t="str">
        <f aca="false">IF(L8="","",INDEX(ポート振替表!$M$5:$M$3507,$L8)&amp;"")</f>
        <v/>
      </c>
      <c r="K8" s="52" t="str">
        <f aca="false">IF(L8="","",E8&amp;CHAR(10)&amp;INDEX(ポート振替表!$K$5:$K$3507,$L8)&amp;" "&amp;INDEX(ポート振替表!$L$5:$L$3507,$L8)&amp;CHAR(10)&amp;"⇔ "&amp;INDEX(ポート振替表!$H$5:$H$3507,$L8)&amp;" "&amp;INDEX(ポート振替表!$I$5:$I$3507,$L8))</f>
        <v/>
      </c>
      <c r="L8" s="47" t="str">
        <f aca="false">IFERROR(MATCH(ROW()-4,ポート振替表!$V$5:$V$3507,0),"")</f>
        <v/>
      </c>
    </row>
    <row r="9" customFormat="false" ht="16.4" hidden="false" customHeight="false" outlineLevel="0" collapsed="false">
      <c r="A9" s="32" t="str">
        <f aca="false">IF(L9="","",ROW()-4)</f>
        <v/>
      </c>
      <c r="B9" s="58" t="str">
        <f aca="false">IF(L9="","",IF(INDEX(ポート振替表!$W$5:$W$3507,$L9)="","(なし)",INDEX(ポート振替表!$W$5:$W$3507,$L9)&amp;""))</f>
        <v/>
      </c>
      <c r="C9" s="52" t="str">
        <f aca="false">IF(L9="","",INDEX(ポート振替表!$B$5:$B$3507,$L9)&amp;" "&amp;INDEX(ポート振替表!$C$5:$C$3507,$L9)&amp;"  ⇔  "&amp;INDEX(ポート振替表!$H$5:$H$3507,$L9)&amp;" "&amp;INDEX(ポート振替表!$I$5:$I$3507,$L9))</f>
        <v/>
      </c>
      <c r="D9" s="57" t="s">
        <v>158</v>
      </c>
      <c r="E9" s="59" t="str">
        <f aca="false">IF(L9="","",IF(INDEX(ポート振替表!$O$5:$O$3507,$L9)="","(未設定)",INDEX(ポート振替表!$O$5:$O$3507,$L9)&amp;""))</f>
        <v/>
      </c>
      <c r="F9" s="52" t="str">
        <f aca="false">IF(L9="","",INDEX(ポート振替表!$K$5:$K$3507,$L9)&amp;" "&amp;INDEX(ポート振替表!$L$5:$L$3507,$L9)&amp;"  ⇔  "&amp;INDEX(ポート振替表!$H$5:$H$3507,$L9)&amp;" "&amp;INDEX(ポート振替表!$I$5:$I$3507,$L9))</f>
        <v/>
      </c>
      <c r="G9" s="57" t="s">
        <v>158</v>
      </c>
      <c r="H9" s="32" t="str">
        <f aca="false">IF(L9="","",INDEX(ポート振替表!$N$5:$N$3507,$L9)&amp;"")</f>
        <v/>
      </c>
      <c r="I9" s="32" t="str">
        <f aca="false">IF(L9="","",INDEX(ポート振替表!$P$5:$P$3507,$L9)&amp;"")</f>
        <v/>
      </c>
      <c r="J9" s="60" t="str">
        <f aca="false">IF(L9="","",INDEX(ポート振替表!$M$5:$M$3507,$L9)&amp;"")</f>
        <v/>
      </c>
      <c r="K9" s="52" t="str">
        <f aca="false">IF(L9="","",E9&amp;CHAR(10)&amp;INDEX(ポート振替表!$K$5:$K$3507,$L9)&amp;" "&amp;INDEX(ポート振替表!$L$5:$L$3507,$L9)&amp;CHAR(10)&amp;"⇔ "&amp;INDEX(ポート振替表!$H$5:$H$3507,$L9)&amp;" "&amp;INDEX(ポート振替表!$I$5:$I$3507,$L9))</f>
        <v/>
      </c>
      <c r="L9" s="47" t="str">
        <f aca="false">IFERROR(MATCH(ROW()-4,ポート振替表!$V$5:$V$3507,0),"")</f>
        <v/>
      </c>
    </row>
    <row r="10" customFormat="false" ht="16.4" hidden="false" customHeight="false" outlineLevel="0" collapsed="false">
      <c r="A10" s="32" t="str">
        <f aca="false">IF(L10="","",ROW()-4)</f>
        <v/>
      </c>
      <c r="B10" s="58" t="str">
        <f aca="false">IF(L10="","",IF(INDEX(ポート振替表!$W$5:$W$3507,$L10)="","(なし)",INDEX(ポート振替表!$W$5:$W$3507,$L10)&amp;""))</f>
        <v/>
      </c>
      <c r="C10" s="52" t="str">
        <f aca="false">IF(L10="","",INDEX(ポート振替表!$B$5:$B$3507,$L10)&amp;" "&amp;INDEX(ポート振替表!$C$5:$C$3507,$L10)&amp;"  ⇔  "&amp;INDEX(ポート振替表!$H$5:$H$3507,$L10)&amp;" "&amp;INDEX(ポート振替表!$I$5:$I$3507,$L10))</f>
        <v/>
      </c>
      <c r="D10" s="57" t="s">
        <v>158</v>
      </c>
      <c r="E10" s="59" t="str">
        <f aca="false">IF(L10="","",IF(INDEX(ポート振替表!$O$5:$O$3507,$L10)="","(未設定)",INDEX(ポート振替表!$O$5:$O$3507,$L10)&amp;""))</f>
        <v/>
      </c>
      <c r="F10" s="52" t="str">
        <f aca="false">IF(L10="","",INDEX(ポート振替表!$K$5:$K$3507,$L10)&amp;" "&amp;INDEX(ポート振替表!$L$5:$L$3507,$L10)&amp;"  ⇔  "&amp;INDEX(ポート振替表!$H$5:$H$3507,$L10)&amp;" "&amp;INDEX(ポート振替表!$I$5:$I$3507,$L10))</f>
        <v/>
      </c>
      <c r="G10" s="57" t="s">
        <v>158</v>
      </c>
      <c r="H10" s="32" t="str">
        <f aca="false">IF(L10="","",INDEX(ポート振替表!$N$5:$N$3507,$L10)&amp;"")</f>
        <v/>
      </c>
      <c r="I10" s="32" t="str">
        <f aca="false">IF(L10="","",INDEX(ポート振替表!$P$5:$P$3507,$L10)&amp;"")</f>
        <v/>
      </c>
      <c r="J10" s="60" t="str">
        <f aca="false">IF(L10="","",INDEX(ポート振替表!$M$5:$M$3507,$L10)&amp;"")</f>
        <v/>
      </c>
      <c r="K10" s="52" t="str">
        <f aca="false">IF(L10="","",E10&amp;CHAR(10)&amp;INDEX(ポート振替表!$K$5:$K$3507,$L10)&amp;" "&amp;INDEX(ポート振替表!$L$5:$L$3507,$L10)&amp;CHAR(10)&amp;"⇔ "&amp;INDEX(ポート振替表!$H$5:$H$3507,$L10)&amp;" "&amp;INDEX(ポート振替表!$I$5:$I$3507,$L10))</f>
        <v/>
      </c>
      <c r="L10" s="47" t="str">
        <f aca="false">IFERROR(MATCH(ROW()-4,ポート振替表!$V$5:$V$3507,0),"")</f>
        <v/>
      </c>
    </row>
    <row r="11" customFormat="false" ht="16.4" hidden="false" customHeight="false" outlineLevel="0" collapsed="false">
      <c r="A11" s="32" t="str">
        <f aca="false">IF(L11="","",ROW()-4)</f>
        <v/>
      </c>
      <c r="B11" s="58" t="str">
        <f aca="false">IF(L11="","",IF(INDEX(ポート振替表!$W$5:$W$3507,$L11)="","(なし)",INDEX(ポート振替表!$W$5:$W$3507,$L11)&amp;""))</f>
        <v/>
      </c>
      <c r="C11" s="52" t="str">
        <f aca="false">IF(L11="","",INDEX(ポート振替表!$B$5:$B$3507,$L11)&amp;" "&amp;INDEX(ポート振替表!$C$5:$C$3507,$L11)&amp;"  ⇔  "&amp;INDEX(ポート振替表!$H$5:$H$3507,$L11)&amp;" "&amp;INDEX(ポート振替表!$I$5:$I$3507,$L11))</f>
        <v/>
      </c>
      <c r="D11" s="57" t="s">
        <v>158</v>
      </c>
      <c r="E11" s="59" t="str">
        <f aca="false">IF(L11="","",IF(INDEX(ポート振替表!$O$5:$O$3507,$L11)="","(未設定)",INDEX(ポート振替表!$O$5:$O$3507,$L11)&amp;""))</f>
        <v/>
      </c>
      <c r="F11" s="52" t="str">
        <f aca="false">IF(L11="","",INDEX(ポート振替表!$K$5:$K$3507,$L11)&amp;" "&amp;INDEX(ポート振替表!$L$5:$L$3507,$L11)&amp;"  ⇔  "&amp;INDEX(ポート振替表!$H$5:$H$3507,$L11)&amp;" "&amp;INDEX(ポート振替表!$I$5:$I$3507,$L11))</f>
        <v/>
      </c>
      <c r="G11" s="57" t="s">
        <v>158</v>
      </c>
      <c r="H11" s="32" t="str">
        <f aca="false">IF(L11="","",INDEX(ポート振替表!$N$5:$N$3507,$L11)&amp;"")</f>
        <v/>
      </c>
      <c r="I11" s="32" t="str">
        <f aca="false">IF(L11="","",INDEX(ポート振替表!$P$5:$P$3507,$L11)&amp;"")</f>
        <v/>
      </c>
      <c r="J11" s="60" t="str">
        <f aca="false">IF(L11="","",INDEX(ポート振替表!$M$5:$M$3507,$L11)&amp;"")</f>
        <v/>
      </c>
      <c r="K11" s="52" t="str">
        <f aca="false">IF(L11="","",E11&amp;CHAR(10)&amp;INDEX(ポート振替表!$K$5:$K$3507,$L11)&amp;" "&amp;INDEX(ポート振替表!$L$5:$L$3507,$L11)&amp;CHAR(10)&amp;"⇔ "&amp;INDEX(ポート振替表!$H$5:$H$3507,$L11)&amp;" "&amp;INDEX(ポート振替表!$I$5:$I$3507,$L11))</f>
        <v/>
      </c>
      <c r="L11" s="47" t="str">
        <f aca="false">IFERROR(MATCH(ROW()-4,ポート振替表!$V$5:$V$3507,0),"")</f>
        <v/>
      </c>
    </row>
    <row r="12" customFormat="false" ht="16.4" hidden="false" customHeight="false" outlineLevel="0" collapsed="false">
      <c r="A12" s="32" t="str">
        <f aca="false">IF(L12="","",ROW()-4)</f>
        <v/>
      </c>
      <c r="B12" s="58" t="str">
        <f aca="false">IF(L12="","",IF(INDEX(ポート振替表!$W$5:$W$3507,$L12)="","(なし)",INDEX(ポート振替表!$W$5:$W$3507,$L12)&amp;""))</f>
        <v/>
      </c>
      <c r="C12" s="52" t="str">
        <f aca="false">IF(L12="","",INDEX(ポート振替表!$B$5:$B$3507,$L12)&amp;" "&amp;INDEX(ポート振替表!$C$5:$C$3507,$L12)&amp;"  ⇔  "&amp;INDEX(ポート振替表!$H$5:$H$3507,$L12)&amp;" "&amp;INDEX(ポート振替表!$I$5:$I$3507,$L12))</f>
        <v/>
      </c>
      <c r="D12" s="57" t="s">
        <v>158</v>
      </c>
      <c r="E12" s="59" t="str">
        <f aca="false">IF(L12="","",IF(INDEX(ポート振替表!$O$5:$O$3507,$L12)="","(未設定)",INDEX(ポート振替表!$O$5:$O$3507,$L12)&amp;""))</f>
        <v/>
      </c>
      <c r="F12" s="52" t="str">
        <f aca="false">IF(L12="","",INDEX(ポート振替表!$K$5:$K$3507,$L12)&amp;" "&amp;INDEX(ポート振替表!$L$5:$L$3507,$L12)&amp;"  ⇔  "&amp;INDEX(ポート振替表!$H$5:$H$3507,$L12)&amp;" "&amp;INDEX(ポート振替表!$I$5:$I$3507,$L12))</f>
        <v/>
      </c>
      <c r="G12" s="57" t="s">
        <v>158</v>
      </c>
      <c r="H12" s="32" t="str">
        <f aca="false">IF(L12="","",INDEX(ポート振替表!$N$5:$N$3507,$L12)&amp;"")</f>
        <v/>
      </c>
      <c r="I12" s="32" t="str">
        <f aca="false">IF(L12="","",INDEX(ポート振替表!$P$5:$P$3507,$L12)&amp;"")</f>
        <v/>
      </c>
      <c r="J12" s="60" t="str">
        <f aca="false">IF(L12="","",INDEX(ポート振替表!$M$5:$M$3507,$L12)&amp;"")</f>
        <v/>
      </c>
      <c r="K12" s="52" t="str">
        <f aca="false">IF(L12="","",E12&amp;CHAR(10)&amp;INDEX(ポート振替表!$K$5:$K$3507,$L12)&amp;" "&amp;INDEX(ポート振替表!$L$5:$L$3507,$L12)&amp;CHAR(10)&amp;"⇔ "&amp;INDEX(ポート振替表!$H$5:$H$3507,$L12)&amp;" "&amp;INDEX(ポート振替表!$I$5:$I$3507,$L12))</f>
        <v/>
      </c>
      <c r="L12" s="47" t="str">
        <f aca="false">IFERROR(MATCH(ROW()-4,ポート振替表!$V$5:$V$3507,0),"")</f>
        <v/>
      </c>
    </row>
    <row r="13" customFormat="false" ht="16.4" hidden="false" customHeight="false" outlineLevel="0" collapsed="false">
      <c r="A13" s="32" t="str">
        <f aca="false">IF(L13="","",ROW()-4)</f>
        <v/>
      </c>
      <c r="B13" s="58" t="str">
        <f aca="false">IF(L13="","",IF(INDEX(ポート振替表!$W$5:$W$3507,$L13)="","(なし)",INDEX(ポート振替表!$W$5:$W$3507,$L13)&amp;""))</f>
        <v/>
      </c>
      <c r="C13" s="52" t="str">
        <f aca="false">IF(L13="","",INDEX(ポート振替表!$B$5:$B$3507,$L13)&amp;" "&amp;INDEX(ポート振替表!$C$5:$C$3507,$L13)&amp;"  ⇔  "&amp;INDEX(ポート振替表!$H$5:$H$3507,$L13)&amp;" "&amp;INDEX(ポート振替表!$I$5:$I$3507,$L13))</f>
        <v/>
      </c>
      <c r="D13" s="57" t="s">
        <v>158</v>
      </c>
      <c r="E13" s="59" t="str">
        <f aca="false">IF(L13="","",IF(INDEX(ポート振替表!$O$5:$O$3507,$L13)="","(未設定)",INDEX(ポート振替表!$O$5:$O$3507,$L13)&amp;""))</f>
        <v/>
      </c>
      <c r="F13" s="52" t="str">
        <f aca="false">IF(L13="","",INDEX(ポート振替表!$K$5:$K$3507,$L13)&amp;" "&amp;INDEX(ポート振替表!$L$5:$L$3507,$L13)&amp;"  ⇔  "&amp;INDEX(ポート振替表!$H$5:$H$3507,$L13)&amp;" "&amp;INDEX(ポート振替表!$I$5:$I$3507,$L13))</f>
        <v/>
      </c>
      <c r="G13" s="57" t="s">
        <v>158</v>
      </c>
      <c r="H13" s="32" t="str">
        <f aca="false">IF(L13="","",INDEX(ポート振替表!$N$5:$N$3507,$L13)&amp;"")</f>
        <v/>
      </c>
      <c r="I13" s="32" t="str">
        <f aca="false">IF(L13="","",INDEX(ポート振替表!$P$5:$P$3507,$L13)&amp;"")</f>
        <v/>
      </c>
      <c r="J13" s="60" t="str">
        <f aca="false">IF(L13="","",INDEX(ポート振替表!$M$5:$M$3507,$L13)&amp;"")</f>
        <v/>
      </c>
      <c r="K13" s="52" t="str">
        <f aca="false">IF(L13="","",E13&amp;CHAR(10)&amp;INDEX(ポート振替表!$K$5:$K$3507,$L13)&amp;" "&amp;INDEX(ポート振替表!$L$5:$L$3507,$L13)&amp;CHAR(10)&amp;"⇔ "&amp;INDEX(ポート振替表!$H$5:$H$3507,$L13)&amp;" "&amp;INDEX(ポート振替表!$I$5:$I$3507,$L13))</f>
        <v/>
      </c>
      <c r="L13" s="47" t="str">
        <f aca="false">IFERROR(MATCH(ROW()-4,ポート振替表!$V$5:$V$3507,0),"")</f>
        <v/>
      </c>
    </row>
    <row r="14" customFormat="false" ht="16.4" hidden="false" customHeight="false" outlineLevel="0" collapsed="false">
      <c r="A14" s="32" t="str">
        <f aca="false">IF(L14="","",ROW()-4)</f>
        <v/>
      </c>
      <c r="B14" s="58" t="str">
        <f aca="false">IF(L14="","",IF(INDEX(ポート振替表!$W$5:$W$3507,$L14)="","(なし)",INDEX(ポート振替表!$W$5:$W$3507,$L14)&amp;""))</f>
        <v/>
      </c>
      <c r="C14" s="52" t="str">
        <f aca="false">IF(L14="","",INDEX(ポート振替表!$B$5:$B$3507,$L14)&amp;" "&amp;INDEX(ポート振替表!$C$5:$C$3507,$L14)&amp;"  ⇔  "&amp;INDEX(ポート振替表!$H$5:$H$3507,$L14)&amp;" "&amp;INDEX(ポート振替表!$I$5:$I$3507,$L14))</f>
        <v/>
      </c>
      <c r="D14" s="57" t="s">
        <v>158</v>
      </c>
      <c r="E14" s="59" t="str">
        <f aca="false">IF(L14="","",IF(INDEX(ポート振替表!$O$5:$O$3507,$L14)="","(未設定)",INDEX(ポート振替表!$O$5:$O$3507,$L14)&amp;""))</f>
        <v/>
      </c>
      <c r="F14" s="52" t="str">
        <f aca="false">IF(L14="","",INDEX(ポート振替表!$K$5:$K$3507,$L14)&amp;" "&amp;INDEX(ポート振替表!$L$5:$L$3507,$L14)&amp;"  ⇔  "&amp;INDEX(ポート振替表!$H$5:$H$3507,$L14)&amp;" "&amp;INDEX(ポート振替表!$I$5:$I$3507,$L14))</f>
        <v/>
      </c>
      <c r="G14" s="57" t="s">
        <v>158</v>
      </c>
      <c r="H14" s="32" t="str">
        <f aca="false">IF(L14="","",INDEX(ポート振替表!$N$5:$N$3507,$L14)&amp;"")</f>
        <v/>
      </c>
      <c r="I14" s="32" t="str">
        <f aca="false">IF(L14="","",INDEX(ポート振替表!$P$5:$P$3507,$L14)&amp;"")</f>
        <v/>
      </c>
      <c r="J14" s="60" t="str">
        <f aca="false">IF(L14="","",INDEX(ポート振替表!$M$5:$M$3507,$L14)&amp;"")</f>
        <v/>
      </c>
      <c r="K14" s="52" t="str">
        <f aca="false">IF(L14="","",E14&amp;CHAR(10)&amp;INDEX(ポート振替表!$K$5:$K$3507,$L14)&amp;" "&amp;INDEX(ポート振替表!$L$5:$L$3507,$L14)&amp;CHAR(10)&amp;"⇔ "&amp;INDEX(ポート振替表!$H$5:$H$3507,$L14)&amp;" "&amp;INDEX(ポート振替表!$I$5:$I$3507,$L14))</f>
        <v/>
      </c>
      <c r="L14" s="47" t="str">
        <f aca="false">IFERROR(MATCH(ROW()-4,ポート振替表!$V$5:$V$3507,0),"")</f>
        <v/>
      </c>
    </row>
    <row r="15" customFormat="false" ht="16.4" hidden="false" customHeight="false" outlineLevel="0" collapsed="false">
      <c r="A15" s="32" t="str">
        <f aca="false">IF(L15="","",ROW()-4)</f>
        <v/>
      </c>
      <c r="B15" s="58" t="str">
        <f aca="false">IF(L15="","",IF(INDEX(ポート振替表!$W$5:$W$3507,$L15)="","(なし)",INDEX(ポート振替表!$W$5:$W$3507,$L15)&amp;""))</f>
        <v/>
      </c>
      <c r="C15" s="52" t="str">
        <f aca="false">IF(L15="","",INDEX(ポート振替表!$B$5:$B$3507,$L15)&amp;" "&amp;INDEX(ポート振替表!$C$5:$C$3507,$L15)&amp;"  ⇔  "&amp;INDEX(ポート振替表!$H$5:$H$3507,$L15)&amp;" "&amp;INDEX(ポート振替表!$I$5:$I$3507,$L15))</f>
        <v/>
      </c>
      <c r="D15" s="57" t="s">
        <v>158</v>
      </c>
      <c r="E15" s="59" t="str">
        <f aca="false">IF(L15="","",IF(INDEX(ポート振替表!$O$5:$O$3507,$L15)="","(未設定)",INDEX(ポート振替表!$O$5:$O$3507,$L15)&amp;""))</f>
        <v/>
      </c>
      <c r="F15" s="52" t="str">
        <f aca="false">IF(L15="","",INDEX(ポート振替表!$K$5:$K$3507,$L15)&amp;" "&amp;INDEX(ポート振替表!$L$5:$L$3507,$L15)&amp;"  ⇔  "&amp;INDEX(ポート振替表!$H$5:$H$3507,$L15)&amp;" "&amp;INDEX(ポート振替表!$I$5:$I$3507,$L15))</f>
        <v/>
      </c>
      <c r="G15" s="57" t="s">
        <v>158</v>
      </c>
      <c r="H15" s="32" t="str">
        <f aca="false">IF(L15="","",INDEX(ポート振替表!$N$5:$N$3507,$L15)&amp;"")</f>
        <v/>
      </c>
      <c r="I15" s="32" t="str">
        <f aca="false">IF(L15="","",INDEX(ポート振替表!$P$5:$P$3507,$L15)&amp;"")</f>
        <v/>
      </c>
      <c r="J15" s="60" t="str">
        <f aca="false">IF(L15="","",INDEX(ポート振替表!$M$5:$M$3507,$L15)&amp;"")</f>
        <v/>
      </c>
      <c r="K15" s="52" t="str">
        <f aca="false">IF(L15="","",E15&amp;CHAR(10)&amp;INDEX(ポート振替表!$K$5:$K$3507,$L15)&amp;" "&amp;INDEX(ポート振替表!$L$5:$L$3507,$L15)&amp;CHAR(10)&amp;"⇔ "&amp;INDEX(ポート振替表!$H$5:$H$3507,$L15)&amp;" "&amp;INDEX(ポート振替表!$I$5:$I$3507,$L15))</f>
        <v/>
      </c>
      <c r="L15" s="47" t="str">
        <f aca="false">IFERROR(MATCH(ROW()-4,ポート振替表!$V$5:$V$3507,0),"")</f>
        <v/>
      </c>
    </row>
    <row r="16" customFormat="false" ht="16.4" hidden="false" customHeight="false" outlineLevel="0" collapsed="false">
      <c r="A16" s="32" t="str">
        <f aca="false">IF(L16="","",ROW()-4)</f>
        <v/>
      </c>
      <c r="B16" s="58" t="str">
        <f aca="false">IF(L16="","",IF(INDEX(ポート振替表!$W$5:$W$3507,$L16)="","(なし)",INDEX(ポート振替表!$W$5:$W$3507,$L16)&amp;""))</f>
        <v/>
      </c>
      <c r="C16" s="52" t="str">
        <f aca="false">IF(L16="","",INDEX(ポート振替表!$B$5:$B$3507,$L16)&amp;" "&amp;INDEX(ポート振替表!$C$5:$C$3507,$L16)&amp;"  ⇔  "&amp;INDEX(ポート振替表!$H$5:$H$3507,$L16)&amp;" "&amp;INDEX(ポート振替表!$I$5:$I$3507,$L16))</f>
        <v/>
      </c>
      <c r="D16" s="57" t="s">
        <v>158</v>
      </c>
      <c r="E16" s="59" t="str">
        <f aca="false">IF(L16="","",IF(INDEX(ポート振替表!$O$5:$O$3507,$L16)="","(未設定)",INDEX(ポート振替表!$O$5:$O$3507,$L16)&amp;""))</f>
        <v/>
      </c>
      <c r="F16" s="52" t="str">
        <f aca="false">IF(L16="","",INDEX(ポート振替表!$K$5:$K$3507,$L16)&amp;" "&amp;INDEX(ポート振替表!$L$5:$L$3507,$L16)&amp;"  ⇔  "&amp;INDEX(ポート振替表!$H$5:$H$3507,$L16)&amp;" "&amp;INDEX(ポート振替表!$I$5:$I$3507,$L16))</f>
        <v/>
      </c>
      <c r="G16" s="57" t="s">
        <v>158</v>
      </c>
      <c r="H16" s="32" t="str">
        <f aca="false">IF(L16="","",INDEX(ポート振替表!$N$5:$N$3507,$L16)&amp;"")</f>
        <v/>
      </c>
      <c r="I16" s="32" t="str">
        <f aca="false">IF(L16="","",INDEX(ポート振替表!$P$5:$P$3507,$L16)&amp;"")</f>
        <v/>
      </c>
      <c r="J16" s="60" t="str">
        <f aca="false">IF(L16="","",INDEX(ポート振替表!$M$5:$M$3507,$L16)&amp;"")</f>
        <v/>
      </c>
      <c r="K16" s="52" t="str">
        <f aca="false">IF(L16="","",E16&amp;CHAR(10)&amp;INDEX(ポート振替表!$K$5:$K$3507,$L16)&amp;" "&amp;INDEX(ポート振替表!$L$5:$L$3507,$L16)&amp;CHAR(10)&amp;"⇔ "&amp;INDEX(ポート振替表!$H$5:$H$3507,$L16)&amp;" "&amp;INDEX(ポート振替表!$I$5:$I$3507,$L16))</f>
        <v/>
      </c>
      <c r="L16" s="47" t="str">
        <f aca="false">IFERROR(MATCH(ROW()-4,ポート振替表!$V$5:$V$3507,0),"")</f>
        <v/>
      </c>
    </row>
    <row r="17" customFormat="false" ht="16.4" hidden="false" customHeight="false" outlineLevel="0" collapsed="false">
      <c r="A17" s="32" t="str">
        <f aca="false">IF(L17="","",ROW()-4)</f>
        <v/>
      </c>
      <c r="B17" s="58" t="str">
        <f aca="false">IF(L17="","",IF(INDEX(ポート振替表!$W$5:$W$3507,$L17)="","(なし)",INDEX(ポート振替表!$W$5:$W$3507,$L17)&amp;""))</f>
        <v/>
      </c>
      <c r="C17" s="52" t="str">
        <f aca="false">IF(L17="","",INDEX(ポート振替表!$B$5:$B$3507,$L17)&amp;" "&amp;INDEX(ポート振替表!$C$5:$C$3507,$L17)&amp;"  ⇔  "&amp;INDEX(ポート振替表!$H$5:$H$3507,$L17)&amp;" "&amp;INDEX(ポート振替表!$I$5:$I$3507,$L17))</f>
        <v/>
      </c>
      <c r="D17" s="57" t="s">
        <v>158</v>
      </c>
      <c r="E17" s="59" t="str">
        <f aca="false">IF(L17="","",IF(INDEX(ポート振替表!$O$5:$O$3507,$L17)="","(未設定)",INDEX(ポート振替表!$O$5:$O$3507,$L17)&amp;""))</f>
        <v/>
      </c>
      <c r="F17" s="52" t="str">
        <f aca="false">IF(L17="","",INDEX(ポート振替表!$K$5:$K$3507,$L17)&amp;" "&amp;INDEX(ポート振替表!$L$5:$L$3507,$L17)&amp;"  ⇔  "&amp;INDEX(ポート振替表!$H$5:$H$3507,$L17)&amp;" "&amp;INDEX(ポート振替表!$I$5:$I$3507,$L17))</f>
        <v/>
      </c>
      <c r="G17" s="57" t="s">
        <v>158</v>
      </c>
      <c r="H17" s="32" t="str">
        <f aca="false">IF(L17="","",INDEX(ポート振替表!$N$5:$N$3507,$L17)&amp;"")</f>
        <v/>
      </c>
      <c r="I17" s="32" t="str">
        <f aca="false">IF(L17="","",INDEX(ポート振替表!$P$5:$P$3507,$L17)&amp;"")</f>
        <v/>
      </c>
      <c r="J17" s="60" t="str">
        <f aca="false">IF(L17="","",INDEX(ポート振替表!$M$5:$M$3507,$L17)&amp;"")</f>
        <v/>
      </c>
      <c r="K17" s="52" t="str">
        <f aca="false">IF(L17="","",E17&amp;CHAR(10)&amp;INDEX(ポート振替表!$K$5:$K$3507,$L17)&amp;" "&amp;INDEX(ポート振替表!$L$5:$L$3507,$L17)&amp;CHAR(10)&amp;"⇔ "&amp;INDEX(ポート振替表!$H$5:$H$3507,$L17)&amp;" "&amp;INDEX(ポート振替表!$I$5:$I$3507,$L17))</f>
        <v/>
      </c>
      <c r="L17" s="47" t="str">
        <f aca="false">IFERROR(MATCH(ROW()-4,ポート振替表!$V$5:$V$3507,0),"")</f>
        <v/>
      </c>
    </row>
    <row r="18" customFormat="false" ht="16.4" hidden="false" customHeight="false" outlineLevel="0" collapsed="false">
      <c r="A18" s="32" t="str">
        <f aca="false">IF(L18="","",ROW()-4)</f>
        <v/>
      </c>
      <c r="B18" s="58" t="str">
        <f aca="false">IF(L18="","",IF(INDEX(ポート振替表!$W$5:$W$3507,$L18)="","(なし)",INDEX(ポート振替表!$W$5:$W$3507,$L18)&amp;""))</f>
        <v/>
      </c>
      <c r="C18" s="52" t="str">
        <f aca="false">IF(L18="","",INDEX(ポート振替表!$B$5:$B$3507,$L18)&amp;" "&amp;INDEX(ポート振替表!$C$5:$C$3507,$L18)&amp;"  ⇔  "&amp;INDEX(ポート振替表!$H$5:$H$3507,$L18)&amp;" "&amp;INDEX(ポート振替表!$I$5:$I$3507,$L18))</f>
        <v/>
      </c>
      <c r="D18" s="57" t="s">
        <v>158</v>
      </c>
      <c r="E18" s="59" t="str">
        <f aca="false">IF(L18="","",IF(INDEX(ポート振替表!$O$5:$O$3507,$L18)="","(未設定)",INDEX(ポート振替表!$O$5:$O$3507,$L18)&amp;""))</f>
        <v/>
      </c>
      <c r="F18" s="52" t="str">
        <f aca="false">IF(L18="","",INDEX(ポート振替表!$K$5:$K$3507,$L18)&amp;" "&amp;INDEX(ポート振替表!$L$5:$L$3507,$L18)&amp;"  ⇔  "&amp;INDEX(ポート振替表!$H$5:$H$3507,$L18)&amp;" "&amp;INDEX(ポート振替表!$I$5:$I$3507,$L18))</f>
        <v/>
      </c>
      <c r="G18" s="57" t="s">
        <v>158</v>
      </c>
      <c r="H18" s="32" t="str">
        <f aca="false">IF(L18="","",INDEX(ポート振替表!$N$5:$N$3507,$L18)&amp;"")</f>
        <v/>
      </c>
      <c r="I18" s="32" t="str">
        <f aca="false">IF(L18="","",INDEX(ポート振替表!$P$5:$P$3507,$L18)&amp;"")</f>
        <v/>
      </c>
      <c r="J18" s="60" t="str">
        <f aca="false">IF(L18="","",INDEX(ポート振替表!$M$5:$M$3507,$L18)&amp;"")</f>
        <v/>
      </c>
      <c r="K18" s="52" t="str">
        <f aca="false">IF(L18="","",E18&amp;CHAR(10)&amp;INDEX(ポート振替表!$K$5:$K$3507,$L18)&amp;" "&amp;INDEX(ポート振替表!$L$5:$L$3507,$L18)&amp;CHAR(10)&amp;"⇔ "&amp;INDEX(ポート振替表!$H$5:$H$3507,$L18)&amp;" "&amp;INDEX(ポート振替表!$I$5:$I$3507,$L18))</f>
        <v/>
      </c>
      <c r="L18" s="47" t="str">
        <f aca="false">IFERROR(MATCH(ROW()-4,ポート振替表!$V$5:$V$3507,0),"")</f>
        <v/>
      </c>
    </row>
    <row r="19" customFormat="false" ht="16.4" hidden="false" customHeight="false" outlineLevel="0" collapsed="false">
      <c r="A19" s="32" t="str">
        <f aca="false">IF(L19="","",ROW()-4)</f>
        <v/>
      </c>
      <c r="B19" s="58" t="str">
        <f aca="false">IF(L19="","",IF(INDEX(ポート振替表!$W$5:$W$3507,$L19)="","(なし)",INDEX(ポート振替表!$W$5:$W$3507,$L19)&amp;""))</f>
        <v/>
      </c>
      <c r="C19" s="52" t="str">
        <f aca="false">IF(L19="","",INDEX(ポート振替表!$B$5:$B$3507,$L19)&amp;" "&amp;INDEX(ポート振替表!$C$5:$C$3507,$L19)&amp;"  ⇔  "&amp;INDEX(ポート振替表!$H$5:$H$3507,$L19)&amp;" "&amp;INDEX(ポート振替表!$I$5:$I$3507,$L19))</f>
        <v/>
      </c>
      <c r="D19" s="57" t="s">
        <v>158</v>
      </c>
      <c r="E19" s="59" t="str">
        <f aca="false">IF(L19="","",IF(INDEX(ポート振替表!$O$5:$O$3507,$L19)="","(未設定)",INDEX(ポート振替表!$O$5:$O$3507,$L19)&amp;""))</f>
        <v/>
      </c>
      <c r="F19" s="52" t="str">
        <f aca="false">IF(L19="","",INDEX(ポート振替表!$K$5:$K$3507,$L19)&amp;" "&amp;INDEX(ポート振替表!$L$5:$L$3507,$L19)&amp;"  ⇔  "&amp;INDEX(ポート振替表!$H$5:$H$3507,$L19)&amp;" "&amp;INDEX(ポート振替表!$I$5:$I$3507,$L19))</f>
        <v/>
      </c>
      <c r="G19" s="57" t="s">
        <v>158</v>
      </c>
      <c r="H19" s="32" t="str">
        <f aca="false">IF(L19="","",INDEX(ポート振替表!$N$5:$N$3507,$L19)&amp;"")</f>
        <v/>
      </c>
      <c r="I19" s="32" t="str">
        <f aca="false">IF(L19="","",INDEX(ポート振替表!$P$5:$P$3507,$L19)&amp;"")</f>
        <v/>
      </c>
      <c r="J19" s="60" t="str">
        <f aca="false">IF(L19="","",INDEX(ポート振替表!$M$5:$M$3507,$L19)&amp;"")</f>
        <v/>
      </c>
      <c r="K19" s="52" t="str">
        <f aca="false">IF(L19="","",E19&amp;CHAR(10)&amp;INDEX(ポート振替表!$K$5:$K$3507,$L19)&amp;" "&amp;INDEX(ポート振替表!$L$5:$L$3507,$L19)&amp;CHAR(10)&amp;"⇔ "&amp;INDEX(ポート振替表!$H$5:$H$3507,$L19)&amp;" "&amp;INDEX(ポート振替表!$I$5:$I$3507,$L19))</f>
        <v/>
      </c>
      <c r="L19" s="47" t="str">
        <f aca="false">IFERROR(MATCH(ROW()-4,ポート振替表!$V$5:$V$3507,0),"")</f>
        <v/>
      </c>
    </row>
    <row r="20" customFormat="false" ht="16.4" hidden="false" customHeight="false" outlineLevel="0" collapsed="false">
      <c r="A20" s="32" t="str">
        <f aca="false">IF(L20="","",ROW()-4)</f>
        <v/>
      </c>
      <c r="B20" s="58" t="str">
        <f aca="false">IF(L20="","",IF(INDEX(ポート振替表!$W$5:$W$3507,$L20)="","(なし)",INDEX(ポート振替表!$W$5:$W$3507,$L20)&amp;""))</f>
        <v/>
      </c>
      <c r="C20" s="52" t="str">
        <f aca="false">IF(L20="","",INDEX(ポート振替表!$B$5:$B$3507,$L20)&amp;" "&amp;INDEX(ポート振替表!$C$5:$C$3507,$L20)&amp;"  ⇔  "&amp;INDEX(ポート振替表!$H$5:$H$3507,$L20)&amp;" "&amp;INDEX(ポート振替表!$I$5:$I$3507,$L20))</f>
        <v/>
      </c>
      <c r="D20" s="57" t="s">
        <v>158</v>
      </c>
      <c r="E20" s="59" t="str">
        <f aca="false">IF(L20="","",IF(INDEX(ポート振替表!$O$5:$O$3507,$L20)="","(未設定)",INDEX(ポート振替表!$O$5:$O$3507,$L20)&amp;""))</f>
        <v/>
      </c>
      <c r="F20" s="52" t="str">
        <f aca="false">IF(L20="","",INDEX(ポート振替表!$K$5:$K$3507,$L20)&amp;" "&amp;INDEX(ポート振替表!$L$5:$L$3507,$L20)&amp;"  ⇔  "&amp;INDEX(ポート振替表!$H$5:$H$3507,$L20)&amp;" "&amp;INDEX(ポート振替表!$I$5:$I$3507,$L20))</f>
        <v/>
      </c>
      <c r="G20" s="57" t="s">
        <v>158</v>
      </c>
      <c r="H20" s="32" t="str">
        <f aca="false">IF(L20="","",INDEX(ポート振替表!$N$5:$N$3507,$L20)&amp;"")</f>
        <v/>
      </c>
      <c r="I20" s="32" t="str">
        <f aca="false">IF(L20="","",INDEX(ポート振替表!$P$5:$P$3507,$L20)&amp;"")</f>
        <v/>
      </c>
      <c r="J20" s="60" t="str">
        <f aca="false">IF(L20="","",INDEX(ポート振替表!$M$5:$M$3507,$L20)&amp;"")</f>
        <v/>
      </c>
      <c r="K20" s="52" t="str">
        <f aca="false">IF(L20="","",E20&amp;CHAR(10)&amp;INDEX(ポート振替表!$K$5:$K$3507,$L20)&amp;" "&amp;INDEX(ポート振替表!$L$5:$L$3507,$L20)&amp;CHAR(10)&amp;"⇔ "&amp;INDEX(ポート振替表!$H$5:$H$3507,$L20)&amp;" "&amp;INDEX(ポート振替表!$I$5:$I$3507,$L20))</f>
        <v/>
      </c>
      <c r="L20" s="47" t="str">
        <f aca="false">IFERROR(MATCH(ROW()-4,ポート振替表!$V$5:$V$3507,0),"")</f>
        <v/>
      </c>
    </row>
    <row r="21" customFormat="false" ht="16.4" hidden="false" customHeight="false" outlineLevel="0" collapsed="false">
      <c r="A21" s="32" t="str">
        <f aca="false">IF(L21="","",ROW()-4)</f>
        <v/>
      </c>
      <c r="B21" s="58" t="str">
        <f aca="false">IF(L21="","",IF(INDEX(ポート振替表!$W$5:$W$3507,$L21)="","(なし)",INDEX(ポート振替表!$W$5:$W$3507,$L21)&amp;""))</f>
        <v/>
      </c>
      <c r="C21" s="52" t="str">
        <f aca="false">IF(L21="","",INDEX(ポート振替表!$B$5:$B$3507,$L21)&amp;" "&amp;INDEX(ポート振替表!$C$5:$C$3507,$L21)&amp;"  ⇔  "&amp;INDEX(ポート振替表!$H$5:$H$3507,$L21)&amp;" "&amp;INDEX(ポート振替表!$I$5:$I$3507,$L21))</f>
        <v/>
      </c>
      <c r="D21" s="57" t="s">
        <v>158</v>
      </c>
      <c r="E21" s="59" t="str">
        <f aca="false">IF(L21="","",IF(INDEX(ポート振替表!$O$5:$O$3507,$L21)="","(未設定)",INDEX(ポート振替表!$O$5:$O$3507,$L21)&amp;""))</f>
        <v/>
      </c>
      <c r="F21" s="52" t="str">
        <f aca="false">IF(L21="","",INDEX(ポート振替表!$K$5:$K$3507,$L21)&amp;" "&amp;INDEX(ポート振替表!$L$5:$L$3507,$L21)&amp;"  ⇔  "&amp;INDEX(ポート振替表!$H$5:$H$3507,$L21)&amp;" "&amp;INDEX(ポート振替表!$I$5:$I$3507,$L21))</f>
        <v/>
      </c>
      <c r="G21" s="57" t="s">
        <v>158</v>
      </c>
      <c r="H21" s="32" t="str">
        <f aca="false">IF(L21="","",INDEX(ポート振替表!$N$5:$N$3507,$L21)&amp;"")</f>
        <v/>
      </c>
      <c r="I21" s="32" t="str">
        <f aca="false">IF(L21="","",INDEX(ポート振替表!$P$5:$P$3507,$L21)&amp;"")</f>
        <v/>
      </c>
      <c r="J21" s="60" t="str">
        <f aca="false">IF(L21="","",INDEX(ポート振替表!$M$5:$M$3507,$L21)&amp;"")</f>
        <v/>
      </c>
      <c r="K21" s="52" t="str">
        <f aca="false">IF(L21="","",E21&amp;CHAR(10)&amp;INDEX(ポート振替表!$K$5:$K$3507,$L21)&amp;" "&amp;INDEX(ポート振替表!$L$5:$L$3507,$L21)&amp;CHAR(10)&amp;"⇔ "&amp;INDEX(ポート振替表!$H$5:$H$3507,$L21)&amp;" "&amp;INDEX(ポート振替表!$I$5:$I$3507,$L21))</f>
        <v/>
      </c>
      <c r="L21" s="47" t="str">
        <f aca="false">IFERROR(MATCH(ROW()-4,ポート振替表!$V$5:$V$3507,0),"")</f>
        <v/>
      </c>
    </row>
    <row r="22" customFormat="false" ht="16.4" hidden="false" customHeight="false" outlineLevel="0" collapsed="false">
      <c r="A22" s="32" t="str">
        <f aca="false">IF(L22="","",ROW()-4)</f>
        <v/>
      </c>
      <c r="B22" s="58" t="str">
        <f aca="false">IF(L22="","",IF(INDEX(ポート振替表!$W$5:$W$3507,$L22)="","(なし)",INDEX(ポート振替表!$W$5:$W$3507,$L22)&amp;""))</f>
        <v/>
      </c>
      <c r="C22" s="52" t="str">
        <f aca="false">IF(L22="","",INDEX(ポート振替表!$B$5:$B$3507,$L22)&amp;" "&amp;INDEX(ポート振替表!$C$5:$C$3507,$L22)&amp;"  ⇔  "&amp;INDEX(ポート振替表!$H$5:$H$3507,$L22)&amp;" "&amp;INDEX(ポート振替表!$I$5:$I$3507,$L22))</f>
        <v/>
      </c>
      <c r="D22" s="57" t="s">
        <v>158</v>
      </c>
      <c r="E22" s="59" t="str">
        <f aca="false">IF(L22="","",IF(INDEX(ポート振替表!$O$5:$O$3507,$L22)="","(未設定)",INDEX(ポート振替表!$O$5:$O$3507,$L22)&amp;""))</f>
        <v/>
      </c>
      <c r="F22" s="52" t="str">
        <f aca="false">IF(L22="","",INDEX(ポート振替表!$K$5:$K$3507,$L22)&amp;" "&amp;INDEX(ポート振替表!$L$5:$L$3507,$L22)&amp;"  ⇔  "&amp;INDEX(ポート振替表!$H$5:$H$3507,$L22)&amp;" "&amp;INDEX(ポート振替表!$I$5:$I$3507,$L22))</f>
        <v/>
      </c>
      <c r="G22" s="57" t="s">
        <v>158</v>
      </c>
      <c r="H22" s="32" t="str">
        <f aca="false">IF(L22="","",INDEX(ポート振替表!$N$5:$N$3507,$L22)&amp;"")</f>
        <v/>
      </c>
      <c r="I22" s="32" t="str">
        <f aca="false">IF(L22="","",INDEX(ポート振替表!$P$5:$P$3507,$L22)&amp;"")</f>
        <v/>
      </c>
      <c r="J22" s="60" t="str">
        <f aca="false">IF(L22="","",INDEX(ポート振替表!$M$5:$M$3507,$L22)&amp;"")</f>
        <v/>
      </c>
      <c r="K22" s="52" t="str">
        <f aca="false">IF(L22="","",E22&amp;CHAR(10)&amp;INDEX(ポート振替表!$K$5:$K$3507,$L22)&amp;" "&amp;INDEX(ポート振替表!$L$5:$L$3507,$L22)&amp;CHAR(10)&amp;"⇔ "&amp;INDEX(ポート振替表!$H$5:$H$3507,$L22)&amp;" "&amp;INDEX(ポート振替表!$I$5:$I$3507,$L22))</f>
        <v/>
      </c>
      <c r="L22" s="47" t="str">
        <f aca="false">IFERROR(MATCH(ROW()-4,ポート振替表!$V$5:$V$3507,0),"")</f>
        <v/>
      </c>
    </row>
    <row r="23" customFormat="false" ht="16.4" hidden="false" customHeight="false" outlineLevel="0" collapsed="false">
      <c r="A23" s="32" t="str">
        <f aca="false">IF(L23="","",ROW()-4)</f>
        <v/>
      </c>
      <c r="B23" s="58" t="str">
        <f aca="false">IF(L23="","",IF(INDEX(ポート振替表!$W$5:$W$3507,$L23)="","(なし)",INDEX(ポート振替表!$W$5:$W$3507,$L23)&amp;""))</f>
        <v/>
      </c>
      <c r="C23" s="52" t="str">
        <f aca="false">IF(L23="","",INDEX(ポート振替表!$B$5:$B$3507,$L23)&amp;" "&amp;INDEX(ポート振替表!$C$5:$C$3507,$L23)&amp;"  ⇔  "&amp;INDEX(ポート振替表!$H$5:$H$3507,$L23)&amp;" "&amp;INDEX(ポート振替表!$I$5:$I$3507,$L23))</f>
        <v/>
      </c>
      <c r="D23" s="57" t="s">
        <v>158</v>
      </c>
      <c r="E23" s="59" t="str">
        <f aca="false">IF(L23="","",IF(INDEX(ポート振替表!$O$5:$O$3507,$L23)="","(未設定)",INDEX(ポート振替表!$O$5:$O$3507,$L23)&amp;""))</f>
        <v/>
      </c>
      <c r="F23" s="52" t="str">
        <f aca="false">IF(L23="","",INDEX(ポート振替表!$K$5:$K$3507,$L23)&amp;" "&amp;INDEX(ポート振替表!$L$5:$L$3507,$L23)&amp;"  ⇔  "&amp;INDEX(ポート振替表!$H$5:$H$3507,$L23)&amp;" "&amp;INDEX(ポート振替表!$I$5:$I$3507,$L23))</f>
        <v/>
      </c>
      <c r="G23" s="57" t="s">
        <v>158</v>
      </c>
      <c r="H23" s="32" t="str">
        <f aca="false">IF(L23="","",INDEX(ポート振替表!$N$5:$N$3507,$L23)&amp;"")</f>
        <v/>
      </c>
      <c r="I23" s="32" t="str">
        <f aca="false">IF(L23="","",INDEX(ポート振替表!$P$5:$P$3507,$L23)&amp;"")</f>
        <v/>
      </c>
      <c r="J23" s="60" t="str">
        <f aca="false">IF(L23="","",INDEX(ポート振替表!$M$5:$M$3507,$L23)&amp;"")</f>
        <v/>
      </c>
      <c r="K23" s="52" t="str">
        <f aca="false">IF(L23="","",E23&amp;CHAR(10)&amp;INDEX(ポート振替表!$K$5:$K$3507,$L23)&amp;" "&amp;INDEX(ポート振替表!$L$5:$L$3507,$L23)&amp;CHAR(10)&amp;"⇔ "&amp;INDEX(ポート振替表!$H$5:$H$3507,$L23)&amp;" "&amp;INDEX(ポート振替表!$I$5:$I$3507,$L23))</f>
        <v/>
      </c>
      <c r="L23" s="47" t="str">
        <f aca="false">IFERROR(MATCH(ROW()-4,ポート振替表!$V$5:$V$3507,0),"")</f>
        <v/>
      </c>
    </row>
    <row r="24" customFormat="false" ht="16.4" hidden="false" customHeight="false" outlineLevel="0" collapsed="false">
      <c r="A24" s="32" t="str">
        <f aca="false">IF(L24="","",ROW()-4)</f>
        <v/>
      </c>
      <c r="B24" s="58" t="str">
        <f aca="false">IF(L24="","",IF(INDEX(ポート振替表!$W$5:$W$3507,$L24)="","(なし)",INDEX(ポート振替表!$W$5:$W$3507,$L24)&amp;""))</f>
        <v/>
      </c>
      <c r="C24" s="52" t="str">
        <f aca="false">IF(L24="","",INDEX(ポート振替表!$B$5:$B$3507,$L24)&amp;" "&amp;INDEX(ポート振替表!$C$5:$C$3507,$L24)&amp;"  ⇔  "&amp;INDEX(ポート振替表!$H$5:$H$3507,$L24)&amp;" "&amp;INDEX(ポート振替表!$I$5:$I$3507,$L24))</f>
        <v/>
      </c>
      <c r="D24" s="57" t="s">
        <v>158</v>
      </c>
      <c r="E24" s="59" t="str">
        <f aca="false">IF(L24="","",IF(INDEX(ポート振替表!$O$5:$O$3507,$L24)="","(未設定)",INDEX(ポート振替表!$O$5:$O$3507,$L24)&amp;""))</f>
        <v/>
      </c>
      <c r="F24" s="52" t="str">
        <f aca="false">IF(L24="","",INDEX(ポート振替表!$K$5:$K$3507,$L24)&amp;" "&amp;INDEX(ポート振替表!$L$5:$L$3507,$L24)&amp;"  ⇔  "&amp;INDEX(ポート振替表!$H$5:$H$3507,$L24)&amp;" "&amp;INDEX(ポート振替表!$I$5:$I$3507,$L24))</f>
        <v/>
      </c>
      <c r="G24" s="57" t="s">
        <v>158</v>
      </c>
      <c r="H24" s="32" t="str">
        <f aca="false">IF(L24="","",INDEX(ポート振替表!$N$5:$N$3507,$L24)&amp;"")</f>
        <v/>
      </c>
      <c r="I24" s="32" t="str">
        <f aca="false">IF(L24="","",INDEX(ポート振替表!$P$5:$P$3507,$L24)&amp;"")</f>
        <v/>
      </c>
      <c r="J24" s="60" t="str">
        <f aca="false">IF(L24="","",INDEX(ポート振替表!$M$5:$M$3507,$L24)&amp;"")</f>
        <v/>
      </c>
      <c r="K24" s="52" t="str">
        <f aca="false">IF(L24="","",E24&amp;CHAR(10)&amp;INDEX(ポート振替表!$K$5:$K$3507,$L24)&amp;" "&amp;INDEX(ポート振替表!$L$5:$L$3507,$L24)&amp;CHAR(10)&amp;"⇔ "&amp;INDEX(ポート振替表!$H$5:$H$3507,$L24)&amp;" "&amp;INDEX(ポート振替表!$I$5:$I$3507,$L24))</f>
        <v/>
      </c>
      <c r="L24" s="47" t="str">
        <f aca="false">IFERROR(MATCH(ROW()-4,ポート振替表!$V$5:$V$3507,0),"")</f>
        <v/>
      </c>
    </row>
    <row r="25" customFormat="false" ht="16.4" hidden="false" customHeight="false" outlineLevel="0" collapsed="false">
      <c r="A25" s="32" t="str">
        <f aca="false">IF(L25="","",ROW()-4)</f>
        <v/>
      </c>
      <c r="B25" s="58" t="str">
        <f aca="false">IF(L25="","",IF(INDEX(ポート振替表!$W$5:$W$3507,$L25)="","(なし)",INDEX(ポート振替表!$W$5:$W$3507,$L25)&amp;""))</f>
        <v/>
      </c>
      <c r="C25" s="52" t="str">
        <f aca="false">IF(L25="","",INDEX(ポート振替表!$B$5:$B$3507,$L25)&amp;" "&amp;INDEX(ポート振替表!$C$5:$C$3507,$L25)&amp;"  ⇔  "&amp;INDEX(ポート振替表!$H$5:$H$3507,$L25)&amp;" "&amp;INDEX(ポート振替表!$I$5:$I$3507,$L25))</f>
        <v/>
      </c>
      <c r="D25" s="57" t="s">
        <v>158</v>
      </c>
      <c r="E25" s="59" t="str">
        <f aca="false">IF(L25="","",IF(INDEX(ポート振替表!$O$5:$O$3507,$L25)="","(未設定)",INDEX(ポート振替表!$O$5:$O$3507,$L25)&amp;""))</f>
        <v/>
      </c>
      <c r="F25" s="52" t="str">
        <f aca="false">IF(L25="","",INDEX(ポート振替表!$K$5:$K$3507,$L25)&amp;" "&amp;INDEX(ポート振替表!$L$5:$L$3507,$L25)&amp;"  ⇔  "&amp;INDEX(ポート振替表!$H$5:$H$3507,$L25)&amp;" "&amp;INDEX(ポート振替表!$I$5:$I$3507,$L25))</f>
        <v/>
      </c>
      <c r="G25" s="57" t="s">
        <v>158</v>
      </c>
      <c r="H25" s="32" t="str">
        <f aca="false">IF(L25="","",INDEX(ポート振替表!$N$5:$N$3507,$L25)&amp;"")</f>
        <v/>
      </c>
      <c r="I25" s="32" t="str">
        <f aca="false">IF(L25="","",INDEX(ポート振替表!$P$5:$P$3507,$L25)&amp;"")</f>
        <v/>
      </c>
      <c r="J25" s="60" t="str">
        <f aca="false">IF(L25="","",INDEX(ポート振替表!$M$5:$M$3507,$L25)&amp;"")</f>
        <v/>
      </c>
      <c r="K25" s="52" t="str">
        <f aca="false">IF(L25="","",E25&amp;CHAR(10)&amp;INDEX(ポート振替表!$K$5:$K$3507,$L25)&amp;" "&amp;INDEX(ポート振替表!$L$5:$L$3507,$L25)&amp;CHAR(10)&amp;"⇔ "&amp;INDEX(ポート振替表!$H$5:$H$3507,$L25)&amp;" "&amp;INDEX(ポート振替表!$I$5:$I$3507,$L25))</f>
        <v/>
      </c>
      <c r="L25" s="47" t="str">
        <f aca="false">IFERROR(MATCH(ROW()-4,ポート振替表!$V$5:$V$3507,0),"")</f>
        <v/>
      </c>
    </row>
    <row r="26" customFormat="false" ht="16.4" hidden="false" customHeight="false" outlineLevel="0" collapsed="false">
      <c r="A26" s="32" t="str">
        <f aca="false">IF(L26="","",ROW()-4)</f>
        <v/>
      </c>
      <c r="B26" s="58" t="str">
        <f aca="false">IF(L26="","",IF(INDEX(ポート振替表!$W$5:$W$3507,$L26)="","(なし)",INDEX(ポート振替表!$W$5:$W$3507,$L26)&amp;""))</f>
        <v/>
      </c>
      <c r="C26" s="52" t="str">
        <f aca="false">IF(L26="","",INDEX(ポート振替表!$B$5:$B$3507,$L26)&amp;" "&amp;INDEX(ポート振替表!$C$5:$C$3507,$L26)&amp;"  ⇔  "&amp;INDEX(ポート振替表!$H$5:$H$3507,$L26)&amp;" "&amp;INDEX(ポート振替表!$I$5:$I$3507,$L26))</f>
        <v/>
      </c>
      <c r="D26" s="57" t="s">
        <v>158</v>
      </c>
      <c r="E26" s="59" t="str">
        <f aca="false">IF(L26="","",IF(INDEX(ポート振替表!$O$5:$O$3507,$L26)="","(未設定)",INDEX(ポート振替表!$O$5:$O$3507,$L26)&amp;""))</f>
        <v/>
      </c>
      <c r="F26" s="52" t="str">
        <f aca="false">IF(L26="","",INDEX(ポート振替表!$K$5:$K$3507,$L26)&amp;" "&amp;INDEX(ポート振替表!$L$5:$L$3507,$L26)&amp;"  ⇔  "&amp;INDEX(ポート振替表!$H$5:$H$3507,$L26)&amp;" "&amp;INDEX(ポート振替表!$I$5:$I$3507,$L26))</f>
        <v/>
      </c>
      <c r="G26" s="57" t="s">
        <v>158</v>
      </c>
      <c r="H26" s="32" t="str">
        <f aca="false">IF(L26="","",INDEX(ポート振替表!$N$5:$N$3507,$L26)&amp;"")</f>
        <v/>
      </c>
      <c r="I26" s="32" t="str">
        <f aca="false">IF(L26="","",INDEX(ポート振替表!$P$5:$P$3507,$L26)&amp;"")</f>
        <v/>
      </c>
      <c r="J26" s="60" t="str">
        <f aca="false">IF(L26="","",INDEX(ポート振替表!$M$5:$M$3507,$L26)&amp;"")</f>
        <v/>
      </c>
      <c r="K26" s="52" t="str">
        <f aca="false">IF(L26="","",E26&amp;CHAR(10)&amp;INDEX(ポート振替表!$K$5:$K$3507,$L26)&amp;" "&amp;INDEX(ポート振替表!$L$5:$L$3507,$L26)&amp;CHAR(10)&amp;"⇔ "&amp;INDEX(ポート振替表!$H$5:$H$3507,$L26)&amp;" "&amp;INDEX(ポート振替表!$I$5:$I$3507,$L26))</f>
        <v/>
      </c>
      <c r="L26" s="47" t="str">
        <f aca="false">IFERROR(MATCH(ROW()-4,ポート振替表!$V$5:$V$3507,0),"")</f>
        <v/>
      </c>
    </row>
    <row r="27" customFormat="false" ht="16.4" hidden="false" customHeight="false" outlineLevel="0" collapsed="false">
      <c r="A27" s="32" t="str">
        <f aca="false">IF(L27="","",ROW()-4)</f>
        <v/>
      </c>
      <c r="B27" s="58" t="str">
        <f aca="false">IF(L27="","",IF(INDEX(ポート振替表!$W$5:$W$3507,$L27)="","(なし)",INDEX(ポート振替表!$W$5:$W$3507,$L27)&amp;""))</f>
        <v/>
      </c>
      <c r="C27" s="52" t="str">
        <f aca="false">IF(L27="","",INDEX(ポート振替表!$B$5:$B$3507,$L27)&amp;" "&amp;INDEX(ポート振替表!$C$5:$C$3507,$L27)&amp;"  ⇔  "&amp;INDEX(ポート振替表!$H$5:$H$3507,$L27)&amp;" "&amp;INDEX(ポート振替表!$I$5:$I$3507,$L27))</f>
        <v/>
      </c>
      <c r="D27" s="57" t="s">
        <v>158</v>
      </c>
      <c r="E27" s="59" t="str">
        <f aca="false">IF(L27="","",IF(INDEX(ポート振替表!$O$5:$O$3507,$L27)="","(未設定)",INDEX(ポート振替表!$O$5:$O$3507,$L27)&amp;""))</f>
        <v/>
      </c>
      <c r="F27" s="52" t="str">
        <f aca="false">IF(L27="","",INDEX(ポート振替表!$K$5:$K$3507,$L27)&amp;" "&amp;INDEX(ポート振替表!$L$5:$L$3507,$L27)&amp;"  ⇔  "&amp;INDEX(ポート振替表!$H$5:$H$3507,$L27)&amp;" "&amp;INDEX(ポート振替表!$I$5:$I$3507,$L27))</f>
        <v/>
      </c>
      <c r="G27" s="57" t="s">
        <v>158</v>
      </c>
      <c r="H27" s="32" t="str">
        <f aca="false">IF(L27="","",INDEX(ポート振替表!$N$5:$N$3507,$L27)&amp;"")</f>
        <v/>
      </c>
      <c r="I27" s="32" t="str">
        <f aca="false">IF(L27="","",INDEX(ポート振替表!$P$5:$P$3507,$L27)&amp;"")</f>
        <v/>
      </c>
      <c r="J27" s="60" t="str">
        <f aca="false">IF(L27="","",INDEX(ポート振替表!$M$5:$M$3507,$L27)&amp;"")</f>
        <v/>
      </c>
      <c r="K27" s="52" t="str">
        <f aca="false">IF(L27="","",E27&amp;CHAR(10)&amp;INDEX(ポート振替表!$K$5:$K$3507,$L27)&amp;" "&amp;INDEX(ポート振替表!$L$5:$L$3507,$L27)&amp;CHAR(10)&amp;"⇔ "&amp;INDEX(ポート振替表!$H$5:$H$3507,$L27)&amp;" "&amp;INDEX(ポート振替表!$I$5:$I$3507,$L27))</f>
        <v/>
      </c>
      <c r="L27" s="47" t="str">
        <f aca="false">IFERROR(MATCH(ROW()-4,ポート振替表!$V$5:$V$3507,0),"")</f>
        <v/>
      </c>
    </row>
    <row r="28" customFormat="false" ht="16.4" hidden="false" customHeight="false" outlineLevel="0" collapsed="false">
      <c r="A28" s="32" t="str">
        <f aca="false">IF(L28="","",ROW()-4)</f>
        <v/>
      </c>
      <c r="B28" s="58" t="str">
        <f aca="false">IF(L28="","",IF(INDEX(ポート振替表!$W$5:$W$3507,$L28)="","(なし)",INDEX(ポート振替表!$W$5:$W$3507,$L28)&amp;""))</f>
        <v/>
      </c>
      <c r="C28" s="52" t="str">
        <f aca="false">IF(L28="","",INDEX(ポート振替表!$B$5:$B$3507,$L28)&amp;" "&amp;INDEX(ポート振替表!$C$5:$C$3507,$L28)&amp;"  ⇔  "&amp;INDEX(ポート振替表!$H$5:$H$3507,$L28)&amp;" "&amp;INDEX(ポート振替表!$I$5:$I$3507,$L28))</f>
        <v/>
      </c>
      <c r="D28" s="57" t="s">
        <v>158</v>
      </c>
      <c r="E28" s="59" t="str">
        <f aca="false">IF(L28="","",IF(INDEX(ポート振替表!$O$5:$O$3507,$L28)="","(未設定)",INDEX(ポート振替表!$O$5:$O$3507,$L28)&amp;""))</f>
        <v/>
      </c>
      <c r="F28" s="52" t="str">
        <f aca="false">IF(L28="","",INDEX(ポート振替表!$K$5:$K$3507,$L28)&amp;" "&amp;INDEX(ポート振替表!$L$5:$L$3507,$L28)&amp;"  ⇔  "&amp;INDEX(ポート振替表!$H$5:$H$3507,$L28)&amp;" "&amp;INDEX(ポート振替表!$I$5:$I$3507,$L28))</f>
        <v/>
      </c>
      <c r="G28" s="57" t="s">
        <v>158</v>
      </c>
      <c r="H28" s="32" t="str">
        <f aca="false">IF(L28="","",INDEX(ポート振替表!$N$5:$N$3507,$L28)&amp;"")</f>
        <v/>
      </c>
      <c r="I28" s="32" t="str">
        <f aca="false">IF(L28="","",INDEX(ポート振替表!$P$5:$P$3507,$L28)&amp;"")</f>
        <v/>
      </c>
      <c r="J28" s="60" t="str">
        <f aca="false">IF(L28="","",INDEX(ポート振替表!$M$5:$M$3507,$L28)&amp;"")</f>
        <v/>
      </c>
      <c r="K28" s="52" t="str">
        <f aca="false">IF(L28="","",E28&amp;CHAR(10)&amp;INDEX(ポート振替表!$K$5:$K$3507,$L28)&amp;" "&amp;INDEX(ポート振替表!$L$5:$L$3507,$L28)&amp;CHAR(10)&amp;"⇔ "&amp;INDEX(ポート振替表!$H$5:$H$3507,$L28)&amp;" "&amp;INDEX(ポート振替表!$I$5:$I$3507,$L28))</f>
        <v/>
      </c>
      <c r="L28" s="47" t="str">
        <f aca="false">IFERROR(MATCH(ROW()-4,ポート振替表!$V$5:$V$3507,0),"")</f>
        <v/>
      </c>
    </row>
    <row r="29" customFormat="false" ht="16.4" hidden="false" customHeight="false" outlineLevel="0" collapsed="false">
      <c r="A29" s="32" t="str">
        <f aca="false">IF(L29="","",ROW()-4)</f>
        <v/>
      </c>
      <c r="B29" s="58" t="str">
        <f aca="false">IF(L29="","",IF(INDEX(ポート振替表!$W$5:$W$3507,$L29)="","(なし)",INDEX(ポート振替表!$W$5:$W$3507,$L29)&amp;""))</f>
        <v/>
      </c>
      <c r="C29" s="52" t="str">
        <f aca="false">IF(L29="","",INDEX(ポート振替表!$B$5:$B$3507,$L29)&amp;" "&amp;INDEX(ポート振替表!$C$5:$C$3507,$L29)&amp;"  ⇔  "&amp;INDEX(ポート振替表!$H$5:$H$3507,$L29)&amp;" "&amp;INDEX(ポート振替表!$I$5:$I$3507,$L29))</f>
        <v/>
      </c>
      <c r="D29" s="57" t="s">
        <v>158</v>
      </c>
      <c r="E29" s="59" t="str">
        <f aca="false">IF(L29="","",IF(INDEX(ポート振替表!$O$5:$O$3507,$L29)="","(未設定)",INDEX(ポート振替表!$O$5:$O$3507,$L29)&amp;""))</f>
        <v/>
      </c>
      <c r="F29" s="52" t="str">
        <f aca="false">IF(L29="","",INDEX(ポート振替表!$K$5:$K$3507,$L29)&amp;" "&amp;INDEX(ポート振替表!$L$5:$L$3507,$L29)&amp;"  ⇔  "&amp;INDEX(ポート振替表!$H$5:$H$3507,$L29)&amp;" "&amp;INDEX(ポート振替表!$I$5:$I$3507,$L29))</f>
        <v/>
      </c>
      <c r="G29" s="57" t="s">
        <v>158</v>
      </c>
      <c r="H29" s="32" t="str">
        <f aca="false">IF(L29="","",INDEX(ポート振替表!$N$5:$N$3507,$L29)&amp;"")</f>
        <v/>
      </c>
      <c r="I29" s="32" t="str">
        <f aca="false">IF(L29="","",INDEX(ポート振替表!$P$5:$P$3507,$L29)&amp;"")</f>
        <v/>
      </c>
      <c r="J29" s="60" t="str">
        <f aca="false">IF(L29="","",INDEX(ポート振替表!$M$5:$M$3507,$L29)&amp;"")</f>
        <v/>
      </c>
      <c r="K29" s="52" t="str">
        <f aca="false">IF(L29="","",E29&amp;CHAR(10)&amp;INDEX(ポート振替表!$K$5:$K$3507,$L29)&amp;" "&amp;INDEX(ポート振替表!$L$5:$L$3507,$L29)&amp;CHAR(10)&amp;"⇔ "&amp;INDEX(ポート振替表!$H$5:$H$3507,$L29)&amp;" "&amp;INDEX(ポート振替表!$I$5:$I$3507,$L29))</f>
        <v/>
      </c>
      <c r="L29" s="47" t="str">
        <f aca="false">IFERROR(MATCH(ROW()-4,ポート振替表!$V$5:$V$3507,0),"")</f>
        <v/>
      </c>
    </row>
    <row r="30" customFormat="false" ht="16.4" hidden="false" customHeight="false" outlineLevel="0" collapsed="false">
      <c r="A30" s="32" t="str">
        <f aca="false">IF(L30="","",ROW()-4)</f>
        <v/>
      </c>
      <c r="B30" s="58" t="str">
        <f aca="false">IF(L30="","",IF(INDEX(ポート振替表!$W$5:$W$3507,$L30)="","(なし)",INDEX(ポート振替表!$W$5:$W$3507,$L30)&amp;""))</f>
        <v/>
      </c>
      <c r="C30" s="52" t="str">
        <f aca="false">IF(L30="","",INDEX(ポート振替表!$B$5:$B$3507,$L30)&amp;" "&amp;INDEX(ポート振替表!$C$5:$C$3507,$L30)&amp;"  ⇔  "&amp;INDEX(ポート振替表!$H$5:$H$3507,$L30)&amp;" "&amp;INDEX(ポート振替表!$I$5:$I$3507,$L30))</f>
        <v/>
      </c>
      <c r="D30" s="57" t="s">
        <v>158</v>
      </c>
      <c r="E30" s="59" t="str">
        <f aca="false">IF(L30="","",IF(INDEX(ポート振替表!$O$5:$O$3507,$L30)="","(未設定)",INDEX(ポート振替表!$O$5:$O$3507,$L30)&amp;""))</f>
        <v/>
      </c>
      <c r="F30" s="52" t="str">
        <f aca="false">IF(L30="","",INDEX(ポート振替表!$K$5:$K$3507,$L30)&amp;" "&amp;INDEX(ポート振替表!$L$5:$L$3507,$L30)&amp;"  ⇔  "&amp;INDEX(ポート振替表!$H$5:$H$3507,$L30)&amp;" "&amp;INDEX(ポート振替表!$I$5:$I$3507,$L30))</f>
        <v/>
      </c>
      <c r="G30" s="57" t="s">
        <v>158</v>
      </c>
      <c r="H30" s="32" t="str">
        <f aca="false">IF(L30="","",INDEX(ポート振替表!$N$5:$N$3507,$L30)&amp;"")</f>
        <v/>
      </c>
      <c r="I30" s="32" t="str">
        <f aca="false">IF(L30="","",INDEX(ポート振替表!$P$5:$P$3507,$L30)&amp;"")</f>
        <v/>
      </c>
      <c r="J30" s="60" t="str">
        <f aca="false">IF(L30="","",INDEX(ポート振替表!$M$5:$M$3507,$L30)&amp;"")</f>
        <v/>
      </c>
      <c r="K30" s="52" t="str">
        <f aca="false">IF(L30="","",E30&amp;CHAR(10)&amp;INDEX(ポート振替表!$K$5:$K$3507,$L30)&amp;" "&amp;INDEX(ポート振替表!$L$5:$L$3507,$L30)&amp;CHAR(10)&amp;"⇔ "&amp;INDEX(ポート振替表!$H$5:$H$3507,$L30)&amp;" "&amp;INDEX(ポート振替表!$I$5:$I$3507,$L30))</f>
        <v/>
      </c>
      <c r="L30" s="47" t="str">
        <f aca="false">IFERROR(MATCH(ROW()-4,ポート振替表!$V$5:$V$3507,0),"")</f>
        <v/>
      </c>
    </row>
    <row r="31" customFormat="false" ht="16.4" hidden="false" customHeight="false" outlineLevel="0" collapsed="false">
      <c r="A31" s="32" t="str">
        <f aca="false">IF(L31="","",ROW()-4)</f>
        <v/>
      </c>
      <c r="B31" s="58" t="str">
        <f aca="false">IF(L31="","",IF(INDEX(ポート振替表!$W$5:$W$3507,$L31)="","(なし)",INDEX(ポート振替表!$W$5:$W$3507,$L31)&amp;""))</f>
        <v/>
      </c>
      <c r="C31" s="52" t="str">
        <f aca="false">IF(L31="","",INDEX(ポート振替表!$B$5:$B$3507,$L31)&amp;" "&amp;INDEX(ポート振替表!$C$5:$C$3507,$L31)&amp;"  ⇔  "&amp;INDEX(ポート振替表!$H$5:$H$3507,$L31)&amp;" "&amp;INDEX(ポート振替表!$I$5:$I$3507,$L31))</f>
        <v/>
      </c>
      <c r="D31" s="57" t="s">
        <v>158</v>
      </c>
      <c r="E31" s="59" t="str">
        <f aca="false">IF(L31="","",IF(INDEX(ポート振替表!$O$5:$O$3507,$L31)="","(未設定)",INDEX(ポート振替表!$O$5:$O$3507,$L31)&amp;""))</f>
        <v/>
      </c>
      <c r="F31" s="52" t="str">
        <f aca="false">IF(L31="","",INDEX(ポート振替表!$K$5:$K$3507,$L31)&amp;" "&amp;INDEX(ポート振替表!$L$5:$L$3507,$L31)&amp;"  ⇔  "&amp;INDEX(ポート振替表!$H$5:$H$3507,$L31)&amp;" "&amp;INDEX(ポート振替表!$I$5:$I$3507,$L31))</f>
        <v/>
      </c>
      <c r="G31" s="57" t="s">
        <v>158</v>
      </c>
      <c r="H31" s="32" t="str">
        <f aca="false">IF(L31="","",INDEX(ポート振替表!$N$5:$N$3507,$L31)&amp;"")</f>
        <v/>
      </c>
      <c r="I31" s="32" t="str">
        <f aca="false">IF(L31="","",INDEX(ポート振替表!$P$5:$P$3507,$L31)&amp;"")</f>
        <v/>
      </c>
      <c r="J31" s="60" t="str">
        <f aca="false">IF(L31="","",INDEX(ポート振替表!$M$5:$M$3507,$L31)&amp;"")</f>
        <v/>
      </c>
      <c r="K31" s="52" t="str">
        <f aca="false">IF(L31="","",E31&amp;CHAR(10)&amp;INDEX(ポート振替表!$K$5:$K$3507,$L31)&amp;" "&amp;INDEX(ポート振替表!$L$5:$L$3507,$L31)&amp;CHAR(10)&amp;"⇔ "&amp;INDEX(ポート振替表!$H$5:$H$3507,$L31)&amp;" "&amp;INDEX(ポート振替表!$I$5:$I$3507,$L31))</f>
        <v/>
      </c>
      <c r="L31" s="47" t="str">
        <f aca="false">IFERROR(MATCH(ROW()-4,ポート振替表!$V$5:$V$3507,0),"")</f>
        <v/>
      </c>
    </row>
    <row r="32" customFormat="false" ht="16.4" hidden="false" customHeight="false" outlineLevel="0" collapsed="false">
      <c r="A32" s="32" t="str">
        <f aca="false">IF(L32="","",ROW()-4)</f>
        <v/>
      </c>
      <c r="B32" s="58" t="str">
        <f aca="false">IF(L32="","",IF(INDEX(ポート振替表!$W$5:$W$3507,$L32)="","(なし)",INDEX(ポート振替表!$W$5:$W$3507,$L32)&amp;""))</f>
        <v/>
      </c>
      <c r="C32" s="52" t="str">
        <f aca="false">IF(L32="","",INDEX(ポート振替表!$B$5:$B$3507,$L32)&amp;" "&amp;INDEX(ポート振替表!$C$5:$C$3507,$L32)&amp;"  ⇔  "&amp;INDEX(ポート振替表!$H$5:$H$3507,$L32)&amp;" "&amp;INDEX(ポート振替表!$I$5:$I$3507,$L32))</f>
        <v/>
      </c>
      <c r="D32" s="57" t="s">
        <v>158</v>
      </c>
      <c r="E32" s="59" t="str">
        <f aca="false">IF(L32="","",IF(INDEX(ポート振替表!$O$5:$O$3507,$L32)="","(未設定)",INDEX(ポート振替表!$O$5:$O$3507,$L32)&amp;""))</f>
        <v/>
      </c>
      <c r="F32" s="52" t="str">
        <f aca="false">IF(L32="","",INDEX(ポート振替表!$K$5:$K$3507,$L32)&amp;" "&amp;INDEX(ポート振替表!$L$5:$L$3507,$L32)&amp;"  ⇔  "&amp;INDEX(ポート振替表!$H$5:$H$3507,$L32)&amp;" "&amp;INDEX(ポート振替表!$I$5:$I$3507,$L32))</f>
        <v/>
      </c>
      <c r="G32" s="57" t="s">
        <v>158</v>
      </c>
      <c r="H32" s="32" t="str">
        <f aca="false">IF(L32="","",INDEX(ポート振替表!$N$5:$N$3507,$L32)&amp;"")</f>
        <v/>
      </c>
      <c r="I32" s="32" t="str">
        <f aca="false">IF(L32="","",INDEX(ポート振替表!$P$5:$P$3507,$L32)&amp;"")</f>
        <v/>
      </c>
      <c r="J32" s="60" t="str">
        <f aca="false">IF(L32="","",INDEX(ポート振替表!$M$5:$M$3507,$L32)&amp;"")</f>
        <v/>
      </c>
      <c r="K32" s="52" t="str">
        <f aca="false">IF(L32="","",E32&amp;CHAR(10)&amp;INDEX(ポート振替表!$K$5:$K$3507,$L32)&amp;" "&amp;INDEX(ポート振替表!$L$5:$L$3507,$L32)&amp;CHAR(10)&amp;"⇔ "&amp;INDEX(ポート振替表!$H$5:$H$3507,$L32)&amp;" "&amp;INDEX(ポート振替表!$I$5:$I$3507,$L32))</f>
        <v/>
      </c>
      <c r="L32" s="47" t="str">
        <f aca="false">IFERROR(MATCH(ROW()-4,ポート振替表!$V$5:$V$3507,0),"")</f>
        <v/>
      </c>
    </row>
    <row r="33" customFormat="false" ht="16.4" hidden="false" customHeight="false" outlineLevel="0" collapsed="false">
      <c r="A33" s="32" t="str">
        <f aca="false">IF(L33="","",ROW()-4)</f>
        <v/>
      </c>
      <c r="B33" s="58" t="str">
        <f aca="false">IF(L33="","",IF(INDEX(ポート振替表!$W$5:$W$3507,$L33)="","(なし)",INDEX(ポート振替表!$W$5:$W$3507,$L33)&amp;""))</f>
        <v/>
      </c>
      <c r="C33" s="52" t="str">
        <f aca="false">IF(L33="","",INDEX(ポート振替表!$B$5:$B$3507,$L33)&amp;" "&amp;INDEX(ポート振替表!$C$5:$C$3507,$L33)&amp;"  ⇔  "&amp;INDEX(ポート振替表!$H$5:$H$3507,$L33)&amp;" "&amp;INDEX(ポート振替表!$I$5:$I$3507,$L33))</f>
        <v/>
      </c>
      <c r="D33" s="57" t="s">
        <v>158</v>
      </c>
      <c r="E33" s="59" t="str">
        <f aca="false">IF(L33="","",IF(INDEX(ポート振替表!$O$5:$O$3507,$L33)="","(未設定)",INDEX(ポート振替表!$O$5:$O$3507,$L33)&amp;""))</f>
        <v/>
      </c>
      <c r="F33" s="52" t="str">
        <f aca="false">IF(L33="","",INDEX(ポート振替表!$K$5:$K$3507,$L33)&amp;" "&amp;INDEX(ポート振替表!$L$5:$L$3507,$L33)&amp;"  ⇔  "&amp;INDEX(ポート振替表!$H$5:$H$3507,$L33)&amp;" "&amp;INDEX(ポート振替表!$I$5:$I$3507,$L33))</f>
        <v/>
      </c>
      <c r="G33" s="57" t="s">
        <v>158</v>
      </c>
      <c r="H33" s="32" t="str">
        <f aca="false">IF(L33="","",INDEX(ポート振替表!$N$5:$N$3507,$L33)&amp;"")</f>
        <v/>
      </c>
      <c r="I33" s="32" t="str">
        <f aca="false">IF(L33="","",INDEX(ポート振替表!$P$5:$P$3507,$L33)&amp;"")</f>
        <v/>
      </c>
      <c r="J33" s="60" t="str">
        <f aca="false">IF(L33="","",INDEX(ポート振替表!$M$5:$M$3507,$L33)&amp;"")</f>
        <v/>
      </c>
      <c r="K33" s="52" t="str">
        <f aca="false">IF(L33="","",E33&amp;CHAR(10)&amp;INDEX(ポート振替表!$K$5:$K$3507,$L33)&amp;" "&amp;INDEX(ポート振替表!$L$5:$L$3507,$L33)&amp;CHAR(10)&amp;"⇔ "&amp;INDEX(ポート振替表!$H$5:$H$3507,$L33)&amp;" "&amp;INDEX(ポート振替表!$I$5:$I$3507,$L33))</f>
        <v/>
      </c>
      <c r="L33" s="47" t="str">
        <f aca="false">IFERROR(MATCH(ROW()-4,ポート振替表!$V$5:$V$3507,0),"")</f>
        <v/>
      </c>
    </row>
    <row r="34" customFormat="false" ht="16.4" hidden="false" customHeight="false" outlineLevel="0" collapsed="false">
      <c r="A34" s="32" t="str">
        <f aca="false">IF(L34="","",ROW()-4)</f>
        <v/>
      </c>
      <c r="B34" s="58" t="str">
        <f aca="false">IF(L34="","",IF(INDEX(ポート振替表!$W$5:$W$3507,$L34)="","(なし)",INDEX(ポート振替表!$W$5:$W$3507,$L34)&amp;""))</f>
        <v/>
      </c>
      <c r="C34" s="52" t="str">
        <f aca="false">IF(L34="","",INDEX(ポート振替表!$B$5:$B$3507,$L34)&amp;" "&amp;INDEX(ポート振替表!$C$5:$C$3507,$L34)&amp;"  ⇔  "&amp;INDEX(ポート振替表!$H$5:$H$3507,$L34)&amp;" "&amp;INDEX(ポート振替表!$I$5:$I$3507,$L34))</f>
        <v/>
      </c>
      <c r="D34" s="57" t="s">
        <v>158</v>
      </c>
      <c r="E34" s="59" t="str">
        <f aca="false">IF(L34="","",IF(INDEX(ポート振替表!$O$5:$O$3507,$L34)="","(未設定)",INDEX(ポート振替表!$O$5:$O$3507,$L34)&amp;""))</f>
        <v/>
      </c>
      <c r="F34" s="52" t="str">
        <f aca="false">IF(L34="","",INDEX(ポート振替表!$K$5:$K$3507,$L34)&amp;" "&amp;INDEX(ポート振替表!$L$5:$L$3507,$L34)&amp;"  ⇔  "&amp;INDEX(ポート振替表!$H$5:$H$3507,$L34)&amp;" "&amp;INDEX(ポート振替表!$I$5:$I$3507,$L34))</f>
        <v/>
      </c>
      <c r="G34" s="57" t="s">
        <v>158</v>
      </c>
      <c r="H34" s="32" t="str">
        <f aca="false">IF(L34="","",INDEX(ポート振替表!$N$5:$N$3507,$L34)&amp;"")</f>
        <v/>
      </c>
      <c r="I34" s="32" t="str">
        <f aca="false">IF(L34="","",INDEX(ポート振替表!$P$5:$P$3507,$L34)&amp;"")</f>
        <v/>
      </c>
      <c r="J34" s="60" t="str">
        <f aca="false">IF(L34="","",INDEX(ポート振替表!$M$5:$M$3507,$L34)&amp;"")</f>
        <v/>
      </c>
      <c r="K34" s="52" t="str">
        <f aca="false">IF(L34="","",E34&amp;CHAR(10)&amp;INDEX(ポート振替表!$K$5:$K$3507,$L34)&amp;" "&amp;INDEX(ポート振替表!$L$5:$L$3507,$L34)&amp;CHAR(10)&amp;"⇔ "&amp;INDEX(ポート振替表!$H$5:$H$3507,$L34)&amp;" "&amp;INDEX(ポート振替表!$I$5:$I$3507,$L34))</f>
        <v/>
      </c>
      <c r="L34" s="47" t="str">
        <f aca="false">IFERROR(MATCH(ROW()-4,ポート振替表!$V$5:$V$3507,0),"")</f>
        <v/>
      </c>
    </row>
    <row r="35" customFormat="false" ht="16.4" hidden="false" customHeight="false" outlineLevel="0" collapsed="false">
      <c r="A35" s="32" t="str">
        <f aca="false">IF(L35="","",ROW()-4)</f>
        <v/>
      </c>
      <c r="B35" s="58" t="str">
        <f aca="false">IF(L35="","",IF(INDEX(ポート振替表!$W$5:$W$3507,$L35)="","(なし)",INDEX(ポート振替表!$W$5:$W$3507,$L35)&amp;""))</f>
        <v/>
      </c>
      <c r="C35" s="52" t="str">
        <f aca="false">IF(L35="","",INDEX(ポート振替表!$B$5:$B$3507,$L35)&amp;" "&amp;INDEX(ポート振替表!$C$5:$C$3507,$L35)&amp;"  ⇔  "&amp;INDEX(ポート振替表!$H$5:$H$3507,$L35)&amp;" "&amp;INDEX(ポート振替表!$I$5:$I$3507,$L35))</f>
        <v/>
      </c>
      <c r="D35" s="57" t="s">
        <v>158</v>
      </c>
      <c r="E35" s="59" t="str">
        <f aca="false">IF(L35="","",IF(INDEX(ポート振替表!$O$5:$O$3507,$L35)="","(未設定)",INDEX(ポート振替表!$O$5:$O$3507,$L35)&amp;""))</f>
        <v/>
      </c>
      <c r="F35" s="52" t="str">
        <f aca="false">IF(L35="","",INDEX(ポート振替表!$K$5:$K$3507,$L35)&amp;" "&amp;INDEX(ポート振替表!$L$5:$L$3507,$L35)&amp;"  ⇔  "&amp;INDEX(ポート振替表!$H$5:$H$3507,$L35)&amp;" "&amp;INDEX(ポート振替表!$I$5:$I$3507,$L35))</f>
        <v/>
      </c>
      <c r="G35" s="57" t="s">
        <v>158</v>
      </c>
      <c r="H35" s="32" t="str">
        <f aca="false">IF(L35="","",INDEX(ポート振替表!$N$5:$N$3507,$L35)&amp;"")</f>
        <v/>
      </c>
      <c r="I35" s="32" t="str">
        <f aca="false">IF(L35="","",INDEX(ポート振替表!$P$5:$P$3507,$L35)&amp;"")</f>
        <v/>
      </c>
      <c r="J35" s="60" t="str">
        <f aca="false">IF(L35="","",INDEX(ポート振替表!$M$5:$M$3507,$L35)&amp;"")</f>
        <v/>
      </c>
      <c r="K35" s="52" t="str">
        <f aca="false">IF(L35="","",E35&amp;CHAR(10)&amp;INDEX(ポート振替表!$K$5:$K$3507,$L35)&amp;" "&amp;INDEX(ポート振替表!$L$5:$L$3507,$L35)&amp;CHAR(10)&amp;"⇔ "&amp;INDEX(ポート振替表!$H$5:$H$3507,$L35)&amp;" "&amp;INDEX(ポート振替表!$I$5:$I$3507,$L35))</f>
        <v/>
      </c>
      <c r="L35" s="47" t="str">
        <f aca="false">IFERROR(MATCH(ROW()-4,ポート振替表!$V$5:$V$3507,0),"")</f>
        <v/>
      </c>
    </row>
    <row r="36" customFormat="false" ht="16.4" hidden="false" customHeight="false" outlineLevel="0" collapsed="false">
      <c r="A36" s="32" t="str">
        <f aca="false">IF(L36="","",ROW()-4)</f>
        <v/>
      </c>
      <c r="B36" s="58" t="str">
        <f aca="false">IF(L36="","",IF(INDEX(ポート振替表!$W$5:$W$3507,$L36)="","(なし)",INDEX(ポート振替表!$W$5:$W$3507,$L36)&amp;""))</f>
        <v/>
      </c>
      <c r="C36" s="52" t="str">
        <f aca="false">IF(L36="","",INDEX(ポート振替表!$B$5:$B$3507,$L36)&amp;" "&amp;INDEX(ポート振替表!$C$5:$C$3507,$L36)&amp;"  ⇔  "&amp;INDEX(ポート振替表!$H$5:$H$3507,$L36)&amp;" "&amp;INDEX(ポート振替表!$I$5:$I$3507,$L36))</f>
        <v/>
      </c>
      <c r="D36" s="57" t="s">
        <v>158</v>
      </c>
      <c r="E36" s="59" t="str">
        <f aca="false">IF(L36="","",IF(INDEX(ポート振替表!$O$5:$O$3507,$L36)="","(未設定)",INDEX(ポート振替表!$O$5:$O$3507,$L36)&amp;""))</f>
        <v/>
      </c>
      <c r="F36" s="52" t="str">
        <f aca="false">IF(L36="","",INDEX(ポート振替表!$K$5:$K$3507,$L36)&amp;" "&amp;INDEX(ポート振替表!$L$5:$L$3507,$L36)&amp;"  ⇔  "&amp;INDEX(ポート振替表!$H$5:$H$3507,$L36)&amp;" "&amp;INDEX(ポート振替表!$I$5:$I$3507,$L36))</f>
        <v/>
      </c>
      <c r="G36" s="57" t="s">
        <v>158</v>
      </c>
      <c r="H36" s="32" t="str">
        <f aca="false">IF(L36="","",INDEX(ポート振替表!$N$5:$N$3507,$L36)&amp;"")</f>
        <v/>
      </c>
      <c r="I36" s="32" t="str">
        <f aca="false">IF(L36="","",INDEX(ポート振替表!$P$5:$P$3507,$L36)&amp;"")</f>
        <v/>
      </c>
      <c r="J36" s="60" t="str">
        <f aca="false">IF(L36="","",INDEX(ポート振替表!$M$5:$M$3507,$L36)&amp;"")</f>
        <v/>
      </c>
      <c r="K36" s="52" t="str">
        <f aca="false">IF(L36="","",E36&amp;CHAR(10)&amp;INDEX(ポート振替表!$K$5:$K$3507,$L36)&amp;" "&amp;INDEX(ポート振替表!$L$5:$L$3507,$L36)&amp;CHAR(10)&amp;"⇔ "&amp;INDEX(ポート振替表!$H$5:$H$3507,$L36)&amp;" "&amp;INDEX(ポート振替表!$I$5:$I$3507,$L36))</f>
        <v/>
      </c>
      <c r="L36" s="47" t="str">
        <f aca="false">IFERROR(MATCH(ROW()-4,ポート振替表!$V$5:$V$3507,0),"")</f>
        <v/>
      </c>
    </row>
    <row r="37" customFormat="false" ht="16.4" hidden="false" customHeight="false" outlineLevel="0" collapsed="false">
      <c r="A37" s="32" t="str">
        <f aca="false">IF(L37="","",ROW()-4)</f>
        <v/>
      </c>
      <c r="B37" s="58" t="str">
        <f aca="false">IF(L37="","",IF(INDEX(ポート振替表!$W$5:$W$3507,$L37)="","(なし)",INDEX(ポート振替表!$W$5:$W$3507,$L37)&amp;""))</f>
        <v/>
      </c>
      <c r="C37" s="52" t="str">
        <f aca="false">IF(L37="","",INDEX(ポート振替表!$B$5:$B$3507,$L37)&amp;" "&amp;INDEX(ポート振替表!$C$5:$C$3507,$L37)&amp;"  ⇔  "&amp;INDEX(ポート振替表!$H$5:$H$3507,$L37)&amp;" "&amp;INDEX(ポート振替表!$I$5:$I$3507,$L37))</f>
        <v/>
      </c>
      <c r="D37" s="57" t="s">
        <v>158</v>
      </c>
      <c r="E37" s="59" t="str">
        <f aca="false">IF(L37="","",IF(INDEX(ポート振替表!$O$5:$O$3507,$L37)="","(未設定)",INDEX(ポート振替表!$O$5:$O$3507,$L37)&amp;""))</f>
        <v/>
      </c>
      <c r="F37" s="52" t="str">
        <f aca="false">IF(L37="","",INDEX(ポート振替表!$K$5:$K$3507,$L37)&amp;" "&amp;INDEX(ポート振替表!$L$5:$L$3507,$L37)&amp;"  ⇔  "&amp;INDEX(ポート振替表!$H$5:$H$3507,$L37)&amp;" "&amp;INDEX(ポート振替表!$I$5:$I$3507,$L37))</f>
        <v/>
      </c>
      <c r="G37" s="57" t="s">
        <v>158</v>
      </c>
      <c r="H37" s="32" t="str">
        <f aca="false">IF(L37="","",INDEX(ポート振替表!$N$5:$N$3507,$L37)&amp;"")</f>
        <v/>
      </c>
      <c r="I37" s="32" t="str">
        <f aca="false">IF(L37="","",INDEX(ポート振替表!$P$5:$P$3507,$L37)&amp;"")</f>
        <v/>
      </c>
      <c r="J37" s="60" t="str">
        <f aca="false">IF(L37="","",INDEX(ポート振替表!$M$5:$M$3507,$L37)&amp;"")</f>
        <v/>
      </c>
      <c r="K37" s="52" t="str">
        <f aca="false">IF(L37="","",E37&amp;CHAR(10)&amp;INDEX(ポート振替表!$K$5:$K$3507,$L37)&amp;" "&amp;INDEX(ポート振替表!$L$5:$L$3507,$L37)&amp;CHAR(10)&amp;"⇔ "&amp;INDEX(ポート振替表!$H$5:$H$3507,$L37)&amp;" "&amp;INDEX(ポート振替表!$I$5:$I$3507,$L37))</f>
        <v/>
      </c>
      <c r="L37" s="47" t="str">
        <f aca="false">IFERROR(MATCH(ROW()-4,ポート振替表!$V$5:$V$3507,0),"")</f>
        <v/>
      </c>
    </row>
    <row r="38" customFormat="false" ht="16.4" hidden="false" customHeight="false" outlineLevel="0" collapsed="false">
      <c r="A38" s="32" t="str">
        <f aca="false">IF(L38="","",ROW()-4)</f>
        <v/>
      </c>
      <c r="B38" s="58" t="str">
        <f aca="false">IF(L38="","",IF(INDEX(ポート振替表!$W$5:$W$3507,$L38)="","(なし)",INDEX(ポート振替表!$W$5:$W$3507,$L38)&amp;""))</f>
        <v/>
      </c>
      <c r="C38" s="52" t="str">
        <f aca="false">IF(L38="","",INDEX(ポート振替表!$B$5:$B$3507,$L38)&amp;" "&amp;INDEX(ポート振替表!$C$5:$C$3507,$L38)&amp;"  ⇔  "&amp;INDEX(ポート振替表!$H$5:$H$3507,$L38)&amp;" "&amp;INDEX(ポート振替表!$I$5:$I$3507,$L38))</f>
        <v/>
      </c>
      <c r="D38" s="57" t="s">
        <v>158</v>
      </c>
      <c r="E38" s="59" t="str">
        <f aca="false">IF(L38="","",IF(INDEX(ポート振替表!$O$5:$O$3507,$L38)="","(未設定)",INDEX(ポート振替表!$O$5:$O$3507,$L38)&amp;""))</f>
        <v/>
      </c>
      <c r="F38" s="52" t="str">
        <f aca="false">IF(L38="","",INDEX(ポート振替表!$K$5:$K$3507,$L38)&amp;" "&amp;INDEX(ポート振替表!$L$5:$L$3507,$L38)&amp;"  ⇔  "&amp;INDEX(ポート振替表!$H$5:$H$3507,$L38)&amp;" "&amp;INDEX(ポート振替表!$I$5:$I$3507,$L38))</f>
        <v/>
      </c>
      <c r="G38" s="57" t="s">
        <v>158</v>
      </c>
      <c r="H38" s="32" t="str">
        <f aca="false">IF(L38="","",INDEX(ポート振替表!$N$5:$N$3507,$L38)&amp;"")</f>
        <v/>
      </c>
      <c r="I38" s="32" t="str">
        <f aca="false">IF(L38="","",INDEX(ポート振替表!$P$5:$P$3507,$L38)&amp;"")</f>
        <v/>
      </c>
      <c r="J38" s="60" t="str">
        <f aca="false">IF(L38="","",INDEX(ポート振替表!$M$5:$M$3507,$L38)&amp;"")</f>
        <v/>
      </c>
      <c r="K38" s="52" t="str">
        <f aca="false">IF(L38="","",E38&amp;CHAR(10)&amp;INDEX(ポート振替表!$K$5:$K$3507,$L38)&amp;" "&amp;INDEX(ポート振替表!$L$5:$L$3507,$L38)&amp;CHAR(10)&amp;"⇔ "&amp;INDEX(ポート振替表!$H$5:$H$3507,$L38)&amp;" "&amp;INDEX(ポート振替表!$I$5:$I$3507,$L38))</f>
        <v/>
      </c>
      <c r="L38" s="47" t="str">
        <f aca="false">IFERROR(MATCH(ROW()-4,ポート振替表!$V$5:$V$3507,0),"")</f>
        <v/>
      </c>
    </row>
    <row r="39" customFormat="false" ht="16.4" hidden="false" customHeight="false" outlineLevel="0" collapsed="false">
      <c r="A39" s="32" t="str">
        <f aca="false">IF(L39="","",ROW()-4)</f>
        <v/>
      </c>
      <c r="B39" s="58" t="str">
        <f aca="false">IF(L39="","",IF(INDEX(ポート振替表!$W$5:$W$3507,$L39)="","(なし)",INDEX(ポート振替表!$W$5:$W$3507,$L39)&amp;""))</f>
        <v/>
      </c>
      <c r="C39" s="52" t="str">
        <f aca="false">IF(L39="","",INDEX(ポート振替表!$B$5:$B$3507,$L39)&amp;" "&amp;INDEX(ポート振替表!$C$5:$C$3507,$L39)&amp;"  ⇔  "&amp;INDEX(ポート振替表!$H$5:$H$3507,$L39)&amp;" "&amp;INDEX(ポート振替表!$I$5:$I$3507,$L39))</f>
        <v/>
      </c>
      <c r="D39" s="57" t="s">
        <v>158</v>
      </c>
      <c r="E39" s="59" t="str">
        <f aca="false">IF(L39="","",IF(INDEX(ポート振替表!$O$5:$O$3507,$L39)="","(未設定)",INDEX(ポート振替表!$O$5:$O$3507,$L39)&amp;""))</f>
        <v/>
      </c>
      <c r="F39" s="52" t="str">
        <f aca="false">IF(L39="","",INDEX(ポート振替表!$K$5:$K$3507,$L39)&amp;" "&amp;INDEX(ポート振替表!$L$5:$L$3507,$L39)&amp;"  ⇔  "&amp;INDEX(ポート振替表!$H$5:$H$3507,$L39)&amp;" "&amp;INDEX(ポート振替表!$I$5:$I$3507,$L39))</f>
        <v/>
      </c>
      <c r="G39" s="57" t="s">
        <v>158</v>
      </c>
      <c r="H39" s="32" t="str">
        <f aca="false">IF(L39="","",INDEX(ポート振替表!$N$5:$N$3507,$L39)&amp;"")</f>
        <v/>
      </c>
      <c r="I39" s="32" t="str">
        <f aca="false">IF(L39="","",INDEX(ポート振替表!$P$5:$P$3507,$L39)&amp;"")</f>
        <v/>
      </c>
      <c r="J39" s="60" t="str">
        <f aca="false">IF(L39="","",INDEX(ポート振替表!$M$5:$M$3507,$L39)&amp;"")</f>
        <v/>
      </c>
      <c r="K39" s="52" t="str">
        <f aca="false">IF(L39="","",E39&amp;CHAR(10)&amp;INDEX(ポート振替表!$K$5:$K$3507,$L39)&amp;" "&amp;INDEX(ポート振替表!$L$5:$L$3507,$L39)&amp;CHAR(10)&amp;"⇔ "&amp;INDEX(ポート振替表!$H$5:$H$3507,$L39)&amp;" "&amp;INDEX(ポート振替表!$I$5:$I$3507,$L39))</f>
        <v/>
      </c>
      <c r="L39" s="47" t="str">
        <f aca="false">IFERROR(MATCH(ROW()-4,ポート振替表!$V$5:$V$3507,0),"")</f>
        <v/>
      </c>
    </row>
    <row r="40" customFormat="false" ht="16.4" hidden="false" customHeight="false" outlineLevel="0" collapsed="false">
      <c r="A40" s="32" t="str">
        <f aca="false">IF(L40="","",ROW()-4)</f>
        <v/>
      </c>
      <c r="B40" s="58" t="str">
        <f aca="false">IF(L40="","",IF(INDEX(ポート振替表!$W$5:$W$3507,$L40)="","(なし)",INDEX(ポート振替表!$W$5:$W$3507,$L40)&amp;""))</f>
        <v/>
      </c>
      <c r="C40" s="52" t="str">
        <f aca="false">IF(L40="","",INDEX(ポート振替表!$B$5:$B$3507,$L40)&amp;" "&amp;INDEX(ポート振替表!$C$5:$C$3507,$L40)&amp;"  ⇔  "&amp;INDEX(ポート振替表!$H$5:$H$3507,$L40)&amp;" "&amp;INDEX(ポート振替表!$I$5:$I$3507,$L40))</f>
        <v/>
      </c>
      <c r="D40" s="57" t="s">
        <v>158</v>
      </c>
      <c r="E40" s="59" t="str">
        <f aca="false">IF(L40="","",IF(INDEX(ポート振替表!$O$5:$O$3507,$L40)="","(未設定)",INDEX(ポート振替表!$O$5:$O$3507,$L40)&amp;""))</f>
        <v/>
      </c>
      <c r="F40" s="52" t="str">
        <f aca="false">IF(L40="","",INDEX(ポート振替表!$K$5:$K$3507,$L40)&amp;" "&amp;INDEX(ポート振替表!$L$5:$L$3507,$L40)&amp;"  ⇔  "&amp;INDEX(ポート振替表!$H$5:$H$3507,$L40)&amp;" "&amp;INDEX(ポート振替表!$I$5:$I$3507,$L40))</f>
        <v/>
      </c>
      <c r="G40" s="57" t="s">
        <v>158</v>
      </c>
      <c r="H40" s="32" t="str">
        <f aca="false">IF(L40="","",INDEX(ポート振替表!$N$5:$N$3507,$L40)&amp;"")</f>
        <v/>
      </c>
      <c r="I40" s="32" t="str">
        <f aca="false">IF(L40="","",INDEX(ポート振替表!$P$5:$P$3507,$L40)&amp;"")</f>
        <v/>
      </c>
      <c r="J40" s="60" t="str">
        <f aca="false">IF(L40="","",INDEX(ポート振替表!$M$5:$M$3507,$L40)&amp;"")</f>
        <v/>
      </c>
      <c r="K40" s="52" t="str">
        <f aca="false">IF(L40="","",E40&amp;CHAR(10)&amp;INDEX(ポート振替表!$K$5:$K$3507,$L40)&amp;" "&amp;INDEX(ポート振替表!$L$5:$L$3507,$L40)&amp;CHAR(10)&amp;"⇔ "&amp;INDEX(ポート振替表!$H$5:$H$3507,$L40)&amp;" "&amp;INDEX(ポート振替表!$I$5:$I$3507,$L40))</f>
        <v/>
      </c>
      <c r="L40" s="47" t="str">
        <f aca="false">IFERROR(MATCH(ROW()-4,ポート振替表!$V$5:$V$3507,0),"")</f>
        <v/>
      </c>
    </row>
    <row r="41" customFormat="false" ht="16.4" hidden="false" customHeight="false" outlineLevel="0" collapsed="false">
      <c r="A41" s="32" t="str">
        <f aca="false">IF(L41="","",ROW()-4)</f>
        <v/>
      </c>
      <c r="B41" s="58" t="str">
        <f aca="false">IF(L41="","",IF(INDEX(ポート振替表!$W$5:$W$3507,$L41)="","(なし)",INDEX(ポート振替表!$W$5:$W$3507,$L41)&amp;""))</f>
        <v/>
      </c>
      <c r="C41" s="52" t="str">
        <f aca="false">IF(L41="","",INDEX(ポート振替表!$B$5:$B$3507,$L41)&amp;" "&amp;INDEX(ポート振替表!$C$5:$C$3507,$L41)&amp;"  ⇔  "&amp;INDEX(ポート振替表!$H$5:$H$3507,$L41)&amp;" "&amp;INDEX(ポート振替表!$I$5:$I$3507,$L41))</f>
        <v/>
      </c>
      <c r="D41" s="57" t="s">
        <v>158</v>
      </c>
      <c r="E41" s="59" t="str">
        <f aca="false">IF(L41="","",IF(INDEX(ポート振替表!$O$5:$O$3507,$L41)="","(未設定)",INDEX(ポート振替表!$O$5:$O$3507,$L41)&amp;""))</f>
        <v/>
      </c>
      <c r="F41" s="52" t="str">
        <f aca="false">IF(L41="","",INDEX(ポート振替表!$K$5:$K$3507,$L41)&amp;" "&amp;INDEX(ポート振替表!$L$5:$L$3507,$L41)&amp;"  ⇔  "&amp;INDEX(ポート振替表!$H$5:$H$3507,$L41)&amp;" "&amp;INDEX(ポート振替表!$I$5:$I$3507,$L41))</f>
        <v/>
      </c>
      <c r="G41" s="57" t="s">
        <v>158</v>
      </c>
      <c r="H41" s="32" t="str">
        <f aca="false">IF(L41="","",INDEX(ポート振替表!$N$5:$N$3507,$L41)&amp;"")</f>
        <v/>
      </c>
      <c r="I41" s="32" t="str">
        <f aca="false">IF(L41="","",INDEX(ポート振替表!$P$5:$P$3507,$L41)&amp;"")</f>
        <v/>
      </c>
      <c r="J41" s="60" t="str">
        <f aca="false">IF(L41="","",INDEX(ポート振替表!$M$5:$M$3507,$L41)&amp;"")</f>
        <v/>
      </c>
      <c r="K41" s="52" t="str">
        <f aca="false">IF(L41="","",E41&amp;CHAR(10)&amp;INDEX(ポート振替表!$K$5:$K$3507,$L41)&amp;" "&amp;INDEX(ポート振替表!$L$5:$L$3507,$L41)&amp;CHAR(10)&amp;"⇔ "&amp;INDEX(ポート振替表!$H$5:$H$3507,$L41)&amp;" "&amp;INDEX(ポート振替表!$I$5:$I$3507,$L41))</f>
        <v/>
      </c>
      <c r="L41" s="47" t="str">
        <f aca="false">IFERROR(MATCH(ROW()-4,ポート振替表!$V$5:$V$3507,0),"")</f>
        <v/>
      </c>
    </row>
    <row r="42" customFormat="false" ht="16.4" hidden="false" customHeight="false" outlineLevel="0" collapsed="false">
      <c r="A42" s="32" t="str">
        <f aca="false">IF(L42="","",ROW()-4)</f>
        <v/>
      </c>
      <c r="B42" s="58" t="str">
        <f aca="false">IF(L42="","",IF(INDEX(ポート振替表!$W$5:$W$3507,$L42)="","(なし)",INDEX(ポート振替表!$W$5:$W$3507,$L42)&amp;""))</f>
        <v/>
      </c>
      <c r="C42" s="52" t="str">
        <f aca="false">IF(L42="","",INDEX(ポート振替表!$B$5:$B$3507,$L42)&amp;" "&amp;INDEX(ポート振替表!$C$5:$C$3507,$L42)&amp;"  ⇔  "&amp;INDEX(ポート振替表!$H$5:$H$3507,$L42)&amp;" "&amp;INDEX(ポート振替表!$I$5:$I$3507,$L42))</f>
        <v/>
      </c>
      <c r="D42" s="57" t="s">
        <v>158</v>
      </c>
      <c r="E42" s="59" t="str">
        <f aca="false">IF(L42="","",IF(INDEX(ポート振替表!$O$5:$O$3507,$L42)="","(未設定)",INDEX(ポート振替表!$O$5:$O$3507,$L42)&amp;""))</f>
        <v/>
      </c>
      <c r="F42" s="52" t="str">
        <f aca="false">IF(L42="","",INDEX(ポート振替表!$K$5:$K$3507,$L42)&amp;" "&amp;INDEX(ポート振替表!$L$5:$L$3507,$L42)&amp;"  ⇔  "&amp;INDEX(ポート振替表!$H$5:$H$3507,$L42)&amp;" "&amp;INDEX(ポート振替表!$I$5:$I$3507,$L42))</f>
        <v/>
      </c>
      <c r="G42" s="57" t="s">
        <v>158</v>
      </c>
      <c r="H42" s="32" t="str">
        <f aca="false">IF(L42="","",INDEX(ポート振替表!$N$5:$N$3507,$L42)&amp;"")</f>
        <v/>
      </c>
      <c r="I42" s="32" t="str">
        <f aca="false">IF(L42="","",INDEX(ポート振替表!$P$5:$P$3507,$L42)&amp;"")</f>
        <v/>
      </c>
      <c r="J42" s="60" t="str">
        <f aca="false">IF(L42="","",INDEX(ポート振替表!$M$5:$M$3507,$L42)&amp;"")</f>
        <v/>
      </c>
      <c r="K42" s="52" t="str">
        <f aca="false">IF(L42="","",E42&amp;CHAR(10)&amp;INDEX(ポート振替表!$K$5:$K$3507,$L42)&amp;" "&amp;INDEX(ポート振替表!$L$5:$L$3507,$L42)&amp;CHAR(10)&amp;"⇔ "&amp;INDEX(ポート振替表!$H$5:$H$3507,$L42)&amp;" "&amp;INDEX(ポート振替表!$I$5:$I$3507,$L42))</f>
        <v/>
      </c>
      <c r="L42" s="47" t="str">
        <f aca="false">IFERROR(MATCH(ROW()-4,ポート振替表!$V$5:$V$3507,0),"")</f>
        <v/>
      </c>
    </row>
    <row r="43" customFormat="false" ht="16.4" hidden="false" customHeight="false" outlineLevel="0" collapsed="false">
      <c r="A43" s="32" t="str">
        <f aca="false">IF(L43="","",ROW()-4)</f>
        <v/>
      </c>
      <c r="B43" s="58" t="str">
        <f aca="false">IF(L43="","",IF(INDEX(ポート振替表!$W$5:$W$3507,$L43)="","(なし)",INDEX(ポート振替表!$W$5:$W$3507,$L43)&amp;""))</f>
        <v/>
      </c>
      <c r="C43" s="52" t="str">
        <f aca="false">IF(L43="","",INDEX(ポート振替表!$B$5:$B$3507,$L43)&amp;" "&amp;INDEX(ポート振替表!$C$5:$C$3507,$L43)&amp;"  ⇔  "&amp;INDEX(ポート振替表!$H$5:$H$3507,$L43)&amp;" "&amp;INDEX(ポート振替表!$I$5:$I$3507,$L43))</f>
        <v/>
      </c>
      <c r="D43" s="57" t="s">
        <v>158</v>
      </c>
      <c r="E43" s="59" t="str">
        <f aca="false">IF(L43="","",IF(INDEX(ポート振替表!$O$5:$O$3507,$L43)="","(未設定)",INDEX(ポート振替表!$O$5:$O$3507,$L43)&amp;""))</f>
        <v/>
      </c>
      <c r="F43" s="52" t="str">
        <f aca="false">IF(L43="","",INDEX(ポート振替表!$K$5:$K$3507,$L43)&amp;" "&amp;INDEX(ポート振替表!$L$5:$L$3507,$L43)&amp;"  ⇔  "&amp;INDEX(ポート振替表!$H$5:$H$3507,$L43)&amp;" "&amp;INDEX(ポート振替表!$I$5:$I$3507,$L43))</f>
        <v/>
      </c>
      <c r="G43" s="57" t="s">
        <v>158</v>
      </c>
      <c r="H43" s="32" t="str">
        <f aca="false">IF(L43="","",INDEX(ポート振替表!$N$5:$N$3507,$L43)&amp;"")</f>
        <v/>
      </c>
      <c r="I43" s="32" t="str">
        <f aca="false">IF(L43="","",INDEX(ポート振替表!$P$5:$P$3507,$L43)&amp;"")</f>
        <v/>
      </c>
      <c r="J43" s="60" t="str">
        <f aca="false">IF(L43="","",INDEX(ポート振替表!$M$5:$M$3507,$L43)&amp;"")</f>
        <v/>
      </c>
      <c r="K43" s="52" t="str">
        <f aca="false">IF(L43="","",E43&amp;CHAR(10)&amp;INDEX(ポート振替表!$K$5:$K$3507,$L43)&amp;" "&amp;INDEX(ポート振替表!$L$5:$L$3507,$L43)&amp;CHAR(10)&amp;"⇔ "&amp;INDEX(ポート振替表!$H$5:$H$3507,$L43)&amp;" "&amp;INDEX(ポート振替表!$I$5:$I$3507,$L43))</f>
        <v/>
      </c>
      <c r="L43" s="47" t="str">
        <f aca="false">IFERROR(MATCH(ROW()-4,ポート振替表!$V$5:$V$3507,0),"")</f>
        <v/>
      </c>
    </row>
    <row r="44" customFormat="false" ht="16.4" hidden="false" customHeight="false" outlineLevel="0" collapsed="false">
      <c r="A44" s="32" t="str">
        <f aca="false">IF(L44="","",ROW()-4)</f>
        <v/>
      </c>
      <c r="B44" s="58" t="str">
        <f aca="false">IF(L44="","",IF(INDEX(ポート振替表!$W$5:$W$3507,$L44)="","(なし)",INDEX(ポート振替表!$W$5:$W$3507,$L44)&amp;""))</f>
        <v/>
      </c>
      <c r="C44" s="52" t="str">
        <f aca="false">IF(L44="","",INDEX(ポート振替表!$B$5:$B$3507,$L44)&amp;" "&amp;INDEX(ポート振替表!$C$5:$C$3507,$L44)&amp;"  ⇔  "&amp;INDEX(ポート振替表!$H$5:$H$3507,$L44)&amp;" "&amp;INDEX(ポート振替表!$I$5:$I$3507,$L44))</f>
        <v/>
      </c>
      <c r="D44" s="57" t="s">
        <v>158</v>
      </c>
      <c r="E44" s="59" t="str">
        <f aca="false">IF(L44="","",IF(INDEX(ポート振替表!$O$5:$O$3507,$L44)="","(未設定)",INDEX(ポート振替表!$O$5:$O$3507,$L44)&amp;""))</f>
        <v/>
      </c>
      <c r="F44" s="52" t="str">
        <f aca="false">IF(L44="","",INDEX(ポート振替表!$K$5:$K$3507,$L44)&amp;" "&amp;INDEX(ポート振替表!$L$5:$L$3507,$L44)&amp;"  ⇔  "&amp;INDEX(ポート振替表!$H$5:$H$3507,$L44)&amp;" "&amp;INDEX(ポート振替表!$I$5:$I$3507,$L44))</f>
        <v/>
      </c>
      <c r="G44" s="57" t="s">
        <v>158</v>
      </c>
      <c r="H44" s="32" t="str">
        <f aca="false">IF(L44="","",INDEX(ポート振替表!$N$5:$N$3507,$L44)&amp;"")</f>
        <v/>
      </c>
      <c r="I44" s="32" t="str">
        <f aca="false">IF(L44="","",INDEX(ポート振替表!$P$5:$P$3507,$L44)&amp;"")</f>
        <v/>
      </c>
      <c r="J44" s="60" t="str">
        <f aca="false">IF(L44="","",INDEX(ポート振替表!$M$5:$M$3507,$L44)&amp;"")</f>
        <v/>
      </c>
      <c r="K44" s="52" t="str">
        <f aca="false">IF(L44="","",E44&amp;CHAR(10)&amp;INDEX(ポート振替表!$K$5:$K$3507,$L44)&amp;" "&amp;INDEX(ポート振替表!$L$5:$L$3507,$L44)&amp;CHAR(10)&amp;"⇔ "&amp;INDEX(ポート振替表!$H$5:$H$3507,$L44)&amp;" "&amp;INDEX(ポート振替表!$I$5:$I$3507,$L44))</f>
        <v/>
      </c>
      <c r="L44" s="47" t="str">
        <f aca="false">IFERROR(MATCH(ROW()-4,ポート振替表!$V$5:$V$3507,0),"")</f>
        <v/>
      </c>
    </row>
    <row r="45" customFormat="false" ht="16.4" hidden="false" customHeight="false" outlineLevel="0" collapsed="false">
      <c r="A45" s="32" t="str">
        <f aca="false">IF(L45="","",ROW()-4)</f>
        <v/>
      </c>
      <c r="B45" s="58" t="str">
        <f aca="false">IF(L45="","",IF(INDEX(ポート振替表!$W$5:$W$3507,$L45)="","(なし)",INDEX(ポート振替表!$W$5:$W$3507,$L45)&amp;""))</f>
        <v/>
      </c>
      <c r="C45" s="52" t="str">
        <f aca="false">IF(L45="","",INDEX(ポート振替表!$B$5:$B$3507,$L45)&amp;" "&amp;INDEX(ポート振替表!$C$5:$C$3507,$L45)&amp;"  ⇔  "&amp;INDEX(ポート振替表!$H$5:$H$3507,$L45)&amp;" "&amp;INDEX(ポート振替表!$I$5:$I$3507,$L45))</f>
        <v/>
      </c>
      <c r="D45" s="57" t="s">
        <v>158</v>
      </c>
      <c r="E45" s="59" t="str">
        <f aca="false">IF(L45="","",IF(INDEX(ポート振替表!$O$5:$O$3507,$L45)="","(未設定)",INDEX(ポート振替表!$O$5:$O$3507,$L45)&amp;""))</f>
        <v/>
      </c>
      <c r="F45" s="52" t="str">
        <f aca="false">IF(L45="","",INDEX(ポート振替表!$K$5:$K$3507,$L45)&amp;" "&amp;INDEX(ポート振替表!$L$5:$L$3507,$L45)&amp;"  ⇔  "&amp;INDEX(ポート振替表!$H$5:$H$3507,$L45)&amp;" "&amp;INDEX(ポート振替表!$I$5:$I$3507,$L45))</f>
        <v/>
      </c>
      <c r="G45" s="57" t="s">
        <v>158</v>
      </c>
      <c r="H45" s="32" t="str">
        <f aca="false">IF(L45="","",INDEX(ポート振替表!$N$5:$N$3507,$L45)&amp;"")</f>
        <v/>
      </c>
      <c r="I45" s="32" t="str">
        <f aca="false">IF(L45="","",INDEX(ポート振替表!$P$5:$P$3507,$L45)&amp;"")</f>
        <v/>
      </c>
      <c r="J45" s="60" t="str">
        <f aca="false">IF(L45="","",INDEX(ポート振替表!$M$5:$M$3507,$L45)&amp;"")</f>
        <v/>
      </c>
      <c r="K45" s="52" t="str">
        <f aca="false">IF(L45="","",E45&amp;CHAR(10)&amp;INDEX(ポート振替表!$K$5:$K$3507,$L45)&amp;" "&amp;INDEX(ポート振替表!$L$5:$L$3507,$L45)&amp;CHAR(10)&amp;"⇔ "&amp;INDEX(ポート振替表!$H$5:$H$3507,$L45)&amp;" "&amp;INDEX(ポート振替表!$I$5:$I$3507,$L45))</f>
        <v/>
      </c>
      <c r="L45" s="47" t="str">
        <f aca="false">IFERROR(MATCH(ROW()-4,ポート振替表!$V$5:$V$3507,0),"")</f>
        <v/>
      </c>
    </row>
    <row r="46" customFormat="false" ht="16.4" hidden="false" customHeight="false" outlineLevel="0" collapsed="false">
      <c r="A46" s="32" t="str">
        <f aca="false">IF(L46="","",ROW()-4)</f>
        <v/>
      </c>
      <c r="B46" s="58" t="str">
        <f aca="false">IF(L46="","",IF(INDEX(ポート振替表!$W$5:$W$3507,$L46)="","(なし)",INDEX(ポート振替表!$W$5:$W$3507,$L46)&amp;""))</f>
        <v/>
      </c>
      <c r="C46" s="52" t="str">
        <f aca="false">IF(L46="","",INDEX(ポート振替表!$B$5:$B$3507,$L46)&amp;" "&amp;INDEX(ポート振替表!$C$5:$C$3507,$L46)&amp;"  ⇔  "&amp;INDEX(ポート振替表!$H$5:$H$3507,$L46)&amp;" "&amp;INDEX(ポート振替表!$I$5:$I$3507,$L46))</f>
        <v/>
      </c>
      <c r="D46" s="57" t="s">
        <v>158</v>
      </c>
      <c r="E46" s="59" t="str">
        <f aca="false">IF(L46="","",IF(INDEX(ポート振替表!$O$5:$O$3507,$L46)="","(未設定)",INDEX(ポート振替表!$O$5:$O$3507,$L46)&amp;""))</f>
        <v/>
      </c>
      <c r="F46" s="52" t="str">
        <f aca="false">IF(L46="","",INDEX(ポート振替表!$K$5:$K$3507,$L46)&amp;" "&amp;INDEX(ポート振替表!$L$5:$L$3507,$L46)&amp;"  ⇔  "&amp;INDEX(ポート振替表!$H$5:$H$3507,$L46)&amp;" "&amp;INDEX(ポート振替表!$I$5:$I$3507,$L46))</f>
        <v/>
      </c>
      <c r="G46" s="57" t="s">
        <v>158</v>
      </c>
      <c r="H46" s="32" t="str">
        <f aca="false">IF(L46="","",INDEX(ポート振替表!$N$5:$N$3507,$L46)&amp;"")</f>
        <v/>
      </c>
      <c r="I46" s="32" t="str">
        <f aca="false">IF(L46="","",INDEX(ポート振替表!$P$5:$P$3507,$L46)&amp;"")</f>
        <v/>
      </c>
      <c r="J46" s="60" t="str">
        <f aca="false">IF(L46="","",INDEX(ポート振替表!$M$5:$M$3507,$L46)&amp;"")</f>
        <v/>
      </c>
      <c r="K46" s="52" t="str">
        <f aca="false">IF(L46="","",E46&amp;CHAR(10)&amp;INDEX(ポート振替表!$K$5:$K$3507,$L46)&amp;" "&amp;INDEX(ポート振替表!$L$5:$L$3507,$L46)&amp;CHAR(10)&amp;"⇔ "&amp;INDEX(ポート振替表!$H$5:$H$3507,$L46)&amp;" "&amp;INDEX(ポート振替表!$I$5:$I$3507,$L46))</f>
        <v/>
      </c>
      <c r="L46" s="47" t="str">
        <f aca="false">IFERROR(MATCH(ROW()-4,ポート振替表!$V$5:$V$3507,0),"")</f>
        <v/>
      </c>
    </row>
    <row r="47" customFormat="false" ht="16.4" hidden="false" customHeight="false" outlineLevel="0" collapsed="false">
      <c r="A47" s="32" t="str">
        <f aca="false">IF(L47="","",ROW()-4)</f>
        <v/>
      </c>
      <c r="B47" s="58" t="str">
        <f aca="false">IF(L47="","",IF(INDEX(ポート振替表!$W$5:$W$3507,$L47)="","(なし)",INDEX(ポート振替表!$W$5:$W$3507,$L47)&amp;""))</f>
        <v/>
      </c>
      <c r="C47" s="52" t="str">
        <f aca="false">IF(L47="","",INDEX(ポート振替表!$B$5:$B$3507,$L47)&amp;" "&amp;INDEX(ポート振替表!$C$5:$C$3507,$L47)&amp;"  ⇔  "&amp;INDEX(ポート振替表!$H$5:$H$3507,$L47)&amp;" "&amp;INDEX(ポート振替表!$I$5:$I$3507,$L47))</f>
        <v/>
      </c>
      <c r="D47" s="57" t="s">
        <v>158</v>
      </c>
      <c r="E47" s="59" t="str">
        <f aca="false">IF(L47="","",IF(INDEX(ポート振替表!$O$5:$O$3507,$L47)="","(未設定)",INDEX(ポート振替表!$O$5:$O$3507,$L47)&amp;""))</f>
        <v/>
      </c>
      <c r="F47" s="52" t="str">
        <f aca="false">IF(L47="","",INDEX(ポート振替表!$K$5:$K$3507,$L47)&amp;" "&amp;INDEX(ポート振替表!$L$5:$L$3507,$L47)&amp;"  ⇔  "&amp;INDEX(ポート振替表!$H$5:$H$3507,$L47)&amp;" "&amp;INDEX(ポート振替表!$I$5:$I$3507,$L47))</f>
        <v/>
      </c>
      <c r="G47" s="57" t="s">
        <v>158</v>
      </c>
      <c r="H47" s="32" t="str">
        <f aca="false">IF(L47="","",INDEX(ポート振替表!$N$5:$N$3507,$L47)&amp;"")</f>
        <v/>
      </c>
      <c r="I47" s="32" t="str">
        <f aca="false">IF(L47="","",INDEX(ポート振替表!$P$5:$P$3507,$L47)&amp;"")</f>
        <v/>
      </c>
      <c r="J47" s="60" t="str">
        <f aca="false">IF(L47="","",INDEX(ポート振替表!$M$5:$M$3507,$L47)&amp;"")</f>
        <v/>
      </c>
      <c r="K47" s="52" t="str">
        <f aca="false">IF(L47="","",E47&amp;CHAR(10)&amp;INDEX(ポート振替表!$K$5:$K$3507,$L47)&amp;" "&amp;INDEX(ポート振替表!$L$5:$L$3507,$L47)&amp;CHAR(10)&amp;"⇔ "&amp;INDEX(ポート振替表!$H$5:$H$3507,$L47)&amp;" "&amp;INDEX(ポート振替表!$I$5:$I$3507,$L47))</f>
        <v/>
      </c>
      <c r="L47" s="47" t="str">
        <f aca="false">IFERROR(MATCH(ROW()-4,ポート振替表!$V$5:$V$3507,0),"")</f>
        <v/>
      </c>
    </row>
    <row r="48" customFormat="false" ht="16.4" hidden="false" customHeight="false" outlineLevel="0" collapsed="false">
      <c r="A48" s="32" t="str">
        <f aca="false">IF(L48="","",ROW()-4)</f>
        <v/>
      </c>
      <c r="B48" s="58" t="str">
        <f aca="false">IF(L48="","",IF(INDEX(ポート振替表!$W$5:$W$3507,$L48)="","(なし)",INDEX(ポート振替表!$W$5:$W$3507,$L48)&amp;""))</f>
        <v/>
      </c>
      <c r="C48" s="52" t="str">
        <f aca="false">IF(L48="","",INDEX(ポート振替表!$B$5:$B$3507,$L48)&amp;" "&amp;INDEX(ポート振替表!$C$5:$C$3507,$L48)&amp;"  ⇔  "&amp;INDEX(ポート振替表!$H$5:$H$3507,$L48)&amp;" "&amp;INDEX(ポート振替表!$I$5:$I$3507,$L48))</f>
        <v/>
      </c>
      <c r="D48" s="57" t="s">
        <v>158</v>
      </c>
      <c r="E48" s="59" t="str">
        <f aca="false">IF(L48="","",IF(INDEX(ポート振替表!$O$5:$O$3507,$L48)="","(未設定)",INDEX(ポート振替表!$O$5:$O$3507,$L48)&amp;""))</f>
        <v/>
      </c>
      <c r="F48" s="52" t="str">
        <f aca="false">IF(L48="","",INDEX(ポート振替表!$K$5:$K$3507,$L48)&amp;" "&amp;INDEX(ポート振替表!$L$5:$L$3507,$L48)&amp;"  ⇔  "&amp;INDEX(ポート振替表!$H$5:$H$3507,$L48)&amp;" "&amp;INDEX(ポート振替表!$I$5:$I$3507,$L48))</f>
        <v/>
      </c>
      <c r="G48" s="57" t="s">
        <v>158</v>
      </c>
      <c r="H48" s="32" t="str">
        <f aca="false">IF(L48="","",INDEX(ポート振替表!$N$5:$N$3507,$L48)&amp;"")</f>
        <v/>
      </c>
      <c r="I48" s="32" t="str">
        <f aca="false">IF(L48="","",INDEX(ポート振替表!$P$5:$P$3507,$L48)&amp;"")</f>
        <v/>
      </c>
      <c r="J48" s="60" t="str">
        <f aca="false">IF(L48="","",INDEX(ポート振替表!$M$5:$M$3507,$L48)&amp;"")</f>
        <v/>
      </c>
      <c r="K48" s="52" t="str">
        <f aca="false">IF(L48="","",E48&amp;CHAR(10)&amp;INDEX(ポート振替表!$K$5:$K$3507,$L48)&amp;" "&amp;INDEX(ポート振替表!$L$5:$L$3507,$L48)&amp;CHAR(10)&amp;"⇔ "&amp;INDEX(ポート振替表!$H$5:$H$3507,$L48)&amp;" "&amp;INDEX(ポート振替表!$I$5:$I$3507,$L48))</f>
        <v/>
      </c>
      <c r="L48" s="47" t="str">
        <f aca="false">IFERROR(MATCH(ROW()-4,ポート振替表!$V$5:$V$3507,0),"")</f>
        <v/>
      </c>
    </row>
    <row r="49" customFormat="false" ht="16.4" hidden="false" customHeight="false" outlineLevel="0" collapsed="false">
      <c r="A49" s="32" t="str">
        <f aca="false">IF(L49="","",ROW()-4)</f>
        <v/>
      </c>
      <c r="B49" s="58" t="str">
        <f aca="false">IF(L49="","",IF(INDEX(ポート振替表!$W$5:$W$3507,$L49)="","(なし)",INDEX(ポート振替表!$W$5:$W$3507,$L49)&amp;""))</f>
        <v/>
      </c>
      <c r="C49" s="52" t="str">
        <f aca="false">IF(L49="","",INDEX(ポート振替表!$B$5:$B$3507,$L49)&amp;" "&amp;INDEX(ポート振替表!$C$5:$C$3507,$L49)&amp;"  ⇔  "&amp;INDEX(ポート振替表!$H$5:$H$3507,$L49)&amp;" "&amp;INDEX(ポート振替表!$I$5:$I$3507,$L49))</f>
        <v/>
      </c>
      <c r="D49" s="57" t="s">
        <v>158</v>
      </c>
      <c r="E49" s="59" t="str">
        <f aca="false">IF(L49="","",IF(INDEX(ポート振替表!$O$5:$O$3507,$L49)="","(未設定)",INDEX(ポート振替表!$O$5:$O$3507,$L49)&amp;""))</f>
        <v/>
      </c>
      <c r="F49" s="52" t="str">
        <f aca="false">IF(L49="","",INDEX(ポート振替表!$K$5:$K$3507,$L49)&amp;" "&amp;INDEX(ポート振替表!$L$5:$L$3507,$L49)&amp;"  ⇔  "&amp;INDEX(ポート振替表!$H$5:$H$3507,$L49)&amp;" "&amp;INDEX(ポート振替表!$I$5:$I$3507,$L49))</f>
        <v/>
      </c>
      <c r="G49" s="57" t="s">
        <v>158</v>
      </c>
      <c r="H49" s="32" t="str">
        <f aca="false">IF(L49="","",INDEX(ポート振替表!$N$5:$N$3507,$L49)&amp;"")</f>
        <v/>
      </c>
      <c r="I49" s="32" t="str">
        <f aca="false">IF(L49="","",INDEX(ポート振替表!$P$5:$P$3507,$L49)&amp;"")</f>
        <v/>
      </c>
      <c r="J49" s="60" t="str">
        <f aca="false">IF(L49="","",INDEX(ポート振替表!$M$5:$M$3507,$L49)&amp;"")</f>
        <v/>
      </c>
      <c r="K49" s="52" t="str">
        <f aca="false">IF(L49="","",E49&amp;CHAR(10)&amp;INDEX(ポート振替表!$K$5:$K$3507,$L49)&amp;" "&amp;INDEX(ポート振替表!$L$5:$L$3507,$L49)&amp;CHAR(10)&amp;"⇔ "&amp;INDEX(ポート振替表!$H$5:$H$3507,$L49)&amp;" "&amp;INDEX(ポート振替表!$I$5:$I$3507,$L49))</f>
        <v/>
      </c>
      <c r="L49" s="47" t="str">
        <f aca="false">IFERROR(MATCH(ROW()-4,ポート振替表!$V$5:$V$3507,0),"")</f>
        <v/>
      </c>
    </row>
    <row r="50" customFormat="false" ht="16.4" hidden="false" customHeight="false" outlineLevel="0" collapsed="false">
      <c r="A50" s="32" t="str">
        <f aca="false">IF(L50="","",ROW()-4)</f>
        <v/>
      </c>
      <c r="B50" s="58" t="str">
        <f aca="false">IF(L50="","",IF(INDEX(ポート振替表!$W$5:$W$3507,$L50)="","(なし)",INDEX(ポート振替表!$W$5:$W$3507,$L50)&amp;""))</f>
        <v/>
      </c>
      <c r="C50" s="52" t="str">
        <f aca="false">IF(L50="","",INDEX(ポート振替表!$B$5:$B$3507,$L50)&amp;" "&amp;INDEX(ポート振替表!$C$5:$C$3507,$L50)&amp;"  ⇔  "&amp;INDEX(ポート振替表!$H$5:$H$3507,$L50)&amp;" "&amp;INDEX(ポート振替表!$I$5:$I$3507,$L50))</f>
        <v/>
      </c>
      <c r="D50" s="57" t="s">
        <v>158</v>
      </c>
      <c r="E50" s="59" t="str">
        <f aca="false">IF(L50="","",IF(INDEX(ポート振替表!$O$5:$O$3507,$L50)="","(未設定)",INDEX(ポート振替表!$O$5:$O$3507,$L50)&amp;""))</f>
        <v/>
      </c>
      <c r="F50" s="52" t="str">
        <f aca="false">IF(L50="","",INDEX(ポート振替表!$K$5:$K$3507,$L50)&amp;" "&amp;INDEX(ポート振替表!$L$5:$L$3507,$L50)&amp;"  ⇔  "&amp;INDEX(ポート振替表!$H$5:$H$3507,$L50)&amp;" "&amp;INDEX(ポート振替表!$I$5:$I$3507,$L50))</f>
        <v/>
      </c>
      <c r="G50" s="57" t="s">
        <v>158</v>
      </c>
      <c r="H50" s="32" t="str">
        <f aca="false">IF(L50="","",INDEX(ポート振替表!$N$5:$N$3507,$L50)&amp;"")</f>
        <v/>
      </c>
      <c r="I50" s="32" t="str">
        <f aca="false">IF(L50="","",INDEX(ポート振替表!$P$5:$P$3507,$L50)&amp;"")</f>
        <v/>
      </c>
      <c r="J50" s="60" t="str">
        <f aca="false">IF(L50="","",INDEX(ポート振替表!$M$5:$M$3507,$L50)&amp;"")</f>
        <v/>
      </c>
      <c r="K50" s="52" t="str">
        <f aca="false">IF(L50="","",E50&amp;CHAR(10)&amp;INDEX(ポート振替表!$K$5:$K$3507,$L50)&amp;" "&amp;INDEX(ポート振替表!$L$5:$L$3507,$L50)&amp;CHAR(10)&amp;"⇔ "&amp;INDEX(ポート振替表!$H$5:$H$3507,$L50)&amp;" "&amp;INDEX(ポート振替表!$I$5:$I$3507,$L50))</f>
        <v/>
      </c>
      <c r="L50" s="47" t="str">
        <f aca="false">IFERROR(MATCH(ROW()-4,ポート振替表!$V$5:$V$3507,0),"")</f>
        <v/>
      </c>
    </row>
    <row r="51" customFormat="false" ht="16.4" hidden="false" customHeight="false" outlineLevel="0" collapsed="false">
      <c r="A51" s="32" t="str">
        <f aca="false">IF(L51="","",ROW()-4)</f>
        <v/>
      </c>
      <c r="B51" s="58" t="str">
        <f aca="false">IF(L51="","",IF(INDEX(ポート振替表!$W$5:$W$3507,$L51)="","(なし)",INDEX(ポート振替表!$W$5:$W$3507,$L51)&amp;""))</f>
        <v/>
      </c>
      <c r="C51" s="52" t="str">
        <f aca="false">IF(L51="","",INDEX(ポート振替表!$B$5:$B$3507,$L51)&amp;" "&amp;INDEX(ポート振替表!$C$5:$C$3507,$L51)&amp;"  ⇔  "&amp;INDEX(ポート振替表!$H$5:$H$3507,$L51)&amp;" "&amp;INDEX(ポート振替表!$I$5:$I$3507,$L51))</f>
        <v/>
      </c>
      <c r="D51" s="57" t="s">
        <v>158</v>
      </c>
      <c r="E51" s="59" t="str">
        <f aca="false">IF(L51="","",IF(INDEX(ポート振替表!$O$5:$O$3507,$L51)="","(未設定)",INDEX(ポート振替表!$O$5:$O$3507,$L51)&amp;""))</f>
        <v/>
      </c>
      <c r="F51" s="52" t="str">
        <f aca="false">IF(L51="","",INDEX(ポート振替表!$K$5:$K$3507,$L51)&amp;" "&amp;INDEX(ポート振替表!$L$5:$L$3507,$L51)&amp;"  ⇔  "&amp;INDEX(ポート振替表!$H$5:$H$3507,$L51)&amp;" "&amp;INDEX(ポート振替表!$I$5:$I$3507,$L51))</f>
        <v/>
      </c>
      <c r="G51" s="57" t="s">
        <v>158</v>
      </c>
      <c r="H51" s="32" t="str">
        <f aca="false">IF(L51="","",INDEX(ポート振替表!$N$5:$N$3507,$L51)&amp;"")</f>
        <v/>
      </c>
      <c r="I51" s="32" t="str">
        <f aca="false">IF(L51="","",INDEX(ポート振替表!$P$5:$P$3507,$L51)&amp;"")</f>
        <v/>
      </c>
      <c r="J51" s="60" t="str">
        <f aca="false">IF(L51="","",INDEX(ポート振替表!$M$5:$M$3507,$L51)&amp;"")</f>
        <v/>
      </c>
      <c r="K51" s="52" t="str">
        <f aca="false">IF(L51="","",E51&amp;CHAR(10)&amp;INDEX(ポート振替表!$K$5:$K$3507,$L51)&amp;" "&amp;INDEX(ポート振替表!$L$5:$L$3507,$L51)&amp;CHAR(10)&amp;"⇔ "&amp;INDEX(ポート振替表!$H$5:$H$3507,$L51)&amp;" "&amp;INDEX(ポート振替表!$I$5:$I$3507,$L51))</f>
        <v/>
      </c>
      <c r="L51" s="47" t="str">
        <f aca="false">IFERROR(MATCH(ROW()-4,ポート振替表!$V$5:$V$3507,0),"")</f>
        <v/>
      </c>
    </row>
    <row r="52" customFormat="false" ht="16.4" hidden="false" customHeight="false" outlineLevel="0" collapsed="false">
      <c r="A52" s="32" t="str">
        <f aca="false">IF(L52="","",ROW()-4)</f>
        <v/>
      </c>
      <c r="B52" s="58" t="str">
        <f aca="false">IF(L52="","",IF(INDEX(ポート振替表!$W$5:$W$3507,$L52)="","(なし)",INDEX(ポート振替表!$W$5:$W$3507,$L52)&amp;""))</f>
        <v/>
      </c>
      <c r="C52" s="52" t="str">
        <f aca="false">IF(L52="","",INDEX(ポート振替表!$B$5:$B$3507,$L52)&amp;" "&amp;INDEX(ポート振替表!$C$5:$C$3507,$L52)&amp;"  ⇔  "&amp;INDEX(ポート振替表!$H$5:$H$3507,$L52)&amp;" "&amp;INDEX(ポート振替表!$I$5:$I$3507,$L52))</f>
        <v/>
      </c>
      <c r="D52" s="57" t="s">
        <v>158</v>
      </c>
      <c r="E52" s="59" t="str">
        <f aca="false">IF(L52="","",IF(INDEX(ポート振替表!$O$5:$O$3507,$L52)="","(未設定)",INDEX(ポート振替表!$O$5:$O$3507,$L52)&amp;""))</f>
        <v/>
      </c>
      <c r="F52" s="52" t="str">
        <f aca="false">IF(L52="","",INDEX(ポート振替表!$K$5:$K$3507,$L52)&amp;" "&amp;INDEX(ポート振替表!$L$5:$L$3507,$L52)&amp;"  ⇔  "&amp;INDEX(ポート振替表!$H$5:$H$3507,$L52)&amp;" "&amp;INDEX(ポート振替表!$I$5:$I$3507,$L52))</f>
        <v/>
      </c>
      <c r="G52" s="57" t="s">
        <v>158</v>
      </c>
      <c r="H52" s="32" t="str">
        <f aca="false">IF(L52="","",INDEX(ポート振替表!$N$5:$N$3507,$L52)&amp;"")</f>
        <v/>
      </c>
      <c r="I52" s="32" t="str">
        <f aca="false">IF(L52="","",INDEX(ポート振替表!$P$5:$P$3507,$L52)&amp;"")</f>
        <v/>
      </c>
      <c r="J52" s="60" t="str">
        <f aca="false">IF(L52="","",INDEX(ポート振替表!$M$5:$M$3507,$L52)&amp;"")</f>
        <v/>
      </c>
      <c r="K52" s="52" t="str">
        <f aca="false">IF(L52="","",E52&amp;CHAR(10)&amp;INDEX(ポート振替表!$K$5:$K$3507,$L52)&amp;" "&amp;INDEX(ポート振替表!$L$5:$L$3507,$L52)&amp;CHAR(10)&amp;"⇔ "&amp;INDEX(ポート振替表!$H$5:$H$3507,$L52)&amp;" "&amp;INDEX(ポート振替表!$I$5:$I$3507,$L52))</f>
        <v/>
      </c>
      <c r="L52" s="47" t="str">
        <f aca="false">IFERROR(MATCH(ROW()-4,ポート振替表!$V$5:$V$3507,0),"")</f>
        <v/>
      </c>
    </row>
    <row r="53" customFormat="false" ht="16.4" hidden="false" customHeight="false" outlineLevel="0" collapsed="false">
      <c r="A53" s="32" t="str">
        <f aca="false">IF(L53="","",ROW()-4)</f>
        <v/>
      </c>
      <c r="B53" s="58" t="str">
        <f aca="false">IF(L53="","",IF(INDEX(ポート振替表!$W$5:$W$3507,$L53)="","(なし)",INDEX(ポート振替表!$W$5:$W$3507,$L53)&amp;""))</f>
        <v/>
      </c>
      <c r="C53" s="52" t="str">
        <f aca="false">IF(L53="","",INDEX(ポート振替表!$B$5:$B$3507,$L53)&amp;" "&amp;INDEX(ポート振替表!$C$5:$C$3507,$L53)&amp;"  ⇔  "&amp;INDEX(ポート振替表!$H$5:$H$3507,$L53)&amp;" "&amp;INDEX(ポート振替表!$I$5:$I$3507,$L53))</f>
        <v/>
      </c>
      <c r="D53" s="57" t="s">
        <v>158</v>
      </c>
      <c r="E53" s="59" t="str">
        <f aca="false">IF(L53="","",IF(INDEX(ポート振替表!$O$5:$O$3507,$L53)="","(未設定)",INDEX(ポート振替表!$O$5:$O$3507,$L53)&amp;""))</f>
        <v/>
      </c>
      <c r="F53" s="52" t="str">
        <f aca="false">IF(L53="","",INDEX(ポート振替表!$K$5:$K$3507,$L53)&amp;" "&amp;INDEX(ポート振替表!$L$5:$L$3507,$L53)&amp;"  ⇔  "&amp;INDEX(ポート振替表!$H$5:$H$3507,$L53)&amp;" "&amp;INDEX(ポート振替表!$I$5:$I$3507,$L53))</f>
        <v/>
      </c>
      <c r="G53" s="57" t="s">
        <v>158</v>
      </c>
      <c r="H53" s="32" t="str">
        <f aca="false">IF(L53="","",INDEX(ポート振替表!$N$5:$N$3507,$L53)&amp;"")</f>
        <v/>
      </c>
      <c r="I53" s="32" t="str">
        <f aca="false">IF(L53="","",INDEX(ポート振替表!$P$5:$P$3507,$L53)&amp;"")</f>
        <v/>
      </c>
      <c r="J53" s="60" t="str">
        <f aca="false">IF(L53="","",INDEX(ポート振替表!$M$5:$M$3507,$L53)&amp;"")</f>
        <v/>
      </c>
      <c r="K53" s="52" t="str">
        <f aca="false">IF(L53="","",E53&amp;CHAR(10)&amp;INDEX(ポート振替表!$K$5:$K$3507,$L53)&amp;" "&amp;INDEX(ポート振替表!$L$5:$L$3507,$L53)&amp;CHAR(10)&amp;"⇔ "&amp;INDEX(ポート振替表!$H$5:$H$3507,$L53)&amp;" "&amp;INDEX(ポート振替表!$I$5:$I$3507,$L53))</f>
        <v/>
      </c>
      <c r="L53" s="47" t="str">
        <f aca="false">IFERROR(MATCH(ROW()-4,ポート振替表!$V$5:$V$3507,0),"")</f>
        <v/>
      </c>
    </row>
    <row r="54" customFormat="false" ht="16.4" hidden="false" customHeight="false" outlineLevel="0" collapsed="false">
      <c r="A54" s="32" t="str">
        <f aca="false">IF(L54="","",ROW()-4)</f>
        <v/>
      </c>
      <c r="B54" s="58" t="str">
        <f aca="false">IF(L54="","",IF(INDEX(ポート振替表!$W$5:$W$3507,$L54)="","(なし)",INDEX(ポート振替表!$W$5:$W$3507,$L54)&amp;""))</f>
        <v/>
      </c>
      <c r="C54" s="52" t="str">
        <f aca="false">IF(L54="","",INDEX(ポート振替表!$B$5:$B$3507,$L54)&amp;" "&amp;INDEX(ポート振替表!$C$5:$C$3507,$L54)&amp;"  ⇔  "&amp;INDEX(ポート振替表!$H$5:$H$3507,$L54)&amp;" "&amp;INDEX(ポート振替表!$I$5:$I$3507,$L54))</f>
        <v/>
      </c>
      <c r="D54" s="57" t="s">
        <v>158</v>
      </c>
      <c r="E54" s="59" t="str">
        <f aca="false">IF(L54="","",IF(INDEX(ポート振替表!$O$5:$O$3507,$L54)="","(未設定)",INDEX(ポート振替表!$O$5:$O$3507,$L54)&amp;""))</f>
        <v/>
      </c>
      <c r="F54" s="52" t="str">
        <f aca="false">IF(L54="","",INDEX(ポート振替表!$K$5:$K$3507,$L54)&amp;" "&amp;INDEX(ポート振替表!$L$5:$L$3507,$L54)&amp;"  ⇔  "&amp;INDEX(ポート振替表!$H$5:$H$3507,$L54)&amp;" "&amp;INDEX(ポート振替表!$I$5:$I$3507,$L54))</f>
        <v/>
      </c>
      <c r="G54" s="57" t="s">
        <v>158</v>
      </c>
      <c r="H54" s="32" t="str">
        <f aca="false">IF(L54="","",INDEX(ポート振替表!$N$5:$N$3507,$L54)&amp;"")</f>
        <v/>
      </c>
      <c r="I54" s="32" t="str">
        <f aca="false">IF(L54="","",INDEX(ポート振替表!$P$5:$P$3507,$L54)&amp;"")</f>
        <v/>
      </c>
      <c r="J54" s="60" t="str">
        <f aca="false">IF(L54="","",INDEX(ポート振替表!$M$5:$M$3507,$L54)&amp;"")</f>
        <v/>
      </c>
      <c r="K54" s="52" t="str">
        <f aca="false">IF(L54="","",E54&amp;CHAR(10)&amp;INDEX(ポート振替表!$K$5:$K$3507,$L54)&amp;" "&amp;INDEX(ポート振替表!$L$5:$L$3507,$L54)&amp;CHAR(10)&amp;"⇔ "&amp;INDEX(ポート振替表!$H$5:$H$3507,$L54)&amp;" "&amp;INDEX(ポート振替表!$I$5:$I$3507,$L54))</f>
        <v/>
      </c>
      <c r="L54" s="47" t="str">
        <f aca="false">IFERROR(MATCH(ROW()-4,ポート振替表!$V$5:$V$3507,0),"")</f>
        <v/>
      </c>
    </row>
    <row r="55" customFormat="false" ht="16.4" hidden="false" customHeight="false" outlineLevel="0" collapsed="false">
      <c r="A55" s="32" t="str">
        <f aca="false">IF(L55="","",ROW()-4)</f>
        <v/>
      </c>
      <c r="B55" s="58" t="str">
        <f aca="false">IF(L55="","",IF(INDEX(ポート振替表!$W$5:$W$3507,$L55)="","(なし)",INDEX(ポート振替表!$W$5:$W$3507,$L55)&amp;""))</f>
        <v/>
      </c>
      <c r="C55" s="52" t="str">
        <f aca="false">IF(L55="","",INDEX(ポート振替表!$B$5:$B$3507,$L55)&amp;" "&amp;INDEX(ポート振替表!$C$5:$C$3507,$L55)&amp;"  ⇔  "&amp;INDEX(ポート振替表!$H$5:$H$3507,$L55)&amp;" "&amp;INDEX(ポート振替表!$I$5:$I$3507,$L55))</f>
        <v/>
      </c>
      <c r="D55" s="57" t="s">
        <v>158</v>
      </c>
      <c r="E55" s="59" t="str">
        <f aca="false">IF(L55="","",IF(INDEX(ポート振替表!$O$5:$O$3507,$L55)="","(未設定)",INDEX(ポート振替表!$O$5:$O$3507,$L55)&amp;""))</f>
        <v/>
      </c>
      <c r="F55" s="52" t="str">
        <f aca="false">IF(L55="","",INDEX(ポート振替表!$K$5:$K$3507,$L55)&amp;" "&amp;INDEX(ポート振替表!$L$5:$L$3507,$L55)&amp;"  ⇔  "&amp;INDEX(ポート振替表!$H$5:$H$3507,$L55)&amp;" "&amp;INDEX(ポート振替表!$I$5:$I$3507,$L55))</f>
        <v/>
      </c>
      <c r="G55" s="57" t="s">
        <v>158</v>
      </c>
      <c r="H55" s="32" t="str">
        <f aca="false">IF(L55="","",INDEX(ポート振替表!$N$5:$N$3507,$L55)&amp;"")</f>
        <v/>
      </c>
      <c r="I55" s="32" t="str">
        <f aca="false">IF(L55="","",INDEX(ポート振替表!$P$5:$P$3507,$L55)&amp;"")</f>
        <v/>
      </c>
      <c r="J55" s="60" t="str">
        <f aca="false">IF(L55="","",INDEX(ポート振替表!$M$5:$M$3507,$L55)&amp;"")</f>
        <v/>
      </c>
      <c r="K55" s="52" t="str">
        <f aca="false">IF(L55="","",E55&amp;CHAR(10)&amp;INDEX(ポート振替表!$K$5:$K$3507,$L55)&amp;" "&amp;INDEX(ポート振替表!$L$5:$L$3507,$L55)&amp;CHAR(10)&amp;"⇔ "&amp;INDEX(ポート振替表!$H$5:$H$3507,$L55)&amp;" "&amp;INDEX(ポート振替表!$I$5:$I$3507,$L55))</f>
        <v/>
      </c>
      <c r="L55" s="47" t="str">
        <f aca="false">IFERROR(MATCH(ROW()-4,ポート振替表!$V$5:$V$3507,0),"")</f>
        <v/>
      </c>
    </row>
    <row r="56" customFormat="false" ht="16.4" hidden="false" customHeight="false" outlineLevel="0" collapsed="false">
      <c r="A56" s="32" t="str">
        <f aca="false">IF(L56="","",ROW()-4)</f>
        <v/>
      </c>
      <c r="B56" s="58" t="str">
        <f aca="false">IF(L56="","",IF(INDEX(ポート振替表!$W$5:$W$3507,$L56)="","(なし)",INDEX(ポート振替表!$W$5:$W$3507,$L56)&amp;""))</f>
        <v/>
      </c>
      <c r="C56" s="52" t="str">
        <f aca="false">IF(L56="","",INDEX(ポート振替表!$B$5:$B$3507,$L56)&amp;" "&amp;INDEX(ポート振替表!$C$5:$C$3507,$L56)&amp;"  ⇔  "&amp;INDEX(ポート振替表!$H$5:$H$3507,$L56)&amp;" "&amp;INDEX(ポート振替表!$I$5:$I$3507,$L56))</f>
        <v/>
      </c>
      <c r="D56" s="57" t="s">
        <v>158</v>
      </c>
      <c r="E56" s="59" t="str">
        <f aca="false">IF(L56="","",IF(INDEX(ポート振替表!$O$5:$O$3507,$L56)="","(未設定)",INDEX(ポート振替表!$O$5:$O$3507,$L56)&amp;""))</f>
        <v/>
      </c>
      <c r="F56" s="52" t="str">
        <f aca="false">IF(L56="","",INDEX(ポート振替表!$K$5:$K$3507,$L56)&amp;" "&amp;INDEX(ポート振替表!$L$5:$L$3507,$L56)&amp;"  ⇔  "&amp;INDEX(ポート振替表!$H$5:$H$3507,$L56)&amp;" "&amp;INDEX(ポート振替表!$I$5:$I$3507,$L56))</f>
        <v/>
      </c>
      <c r="G56" s="57" t="s">
        <v>158</v>
      </c>
      <c r="H56" s="32" t="str">
        <f aca="false">IF(L56="","",INDEX(ポート振替表!$N$5:$N$3507,$L56)&amp;"")</f>
        <v/>
      </c>
      <c r="I56" s="32" t="str">
        <f aca="false">IF(L56="","",INDEX(ポート振替表!$P$5:$P$3507,$L56)&amp;"")</f>
        <v/>
      </c>
      <c r="J56" s="60" t="str">
        <f aca="false">IF(L56="","",INDEX(ポート振替表!$M$5:$M$3507,$L56)&amp;"")</f>
        <v/>
      </c>
      <c r="K56" s="52" t="str">
        <f aca="false">IF(L56="","",E56&amp;CHAR(10)&amp;INDEX(ポート振替表!$K$5:$K$3507,$L56)&amp;" "&amp;INDEX(ポート振替表!$L$5:$L$3507,$L56)&amp;CHAR(10)&amp;"⇔ "&amp;INDEX(ポート振替表!$H$5:$H$3507,$L56)&amp;" "&amp;INDEX(ポート振替表!$I$5:$I$3507,$L56))</f>
        <v/>
      </c>
      <c r="L56" s="47" t="str">
        <f aca="false">IFERROR(MATCH(ROW()-4,ポート振替表!$V$5:$V$3507,0),"")</f>
        <v/>
      </c>
    </row>
    <row r="57" customFormat="false" ht="16.4" hidden="false" customHeight="false" outlineLevel="0" collapsed="false">
      <c r="A57" s="32" t="str">
        <f aca="false">IF(L57="","",ROW()-4)</f>
        <v/>
      </c>
      <c r="B57" s="58" t="str">
        <f aca="false">IF(L57="","",IF(INDEX(ポート振替表!$W$5:$W$3507,$L57)="","(なし)",INDEX(ポート振替表!$W$5:$W$3507,$L57)&amp;""))</f>
        <v/>
      </c>
      <c r="C57" s="52" t="str">
        <f aca="false">IF(L57="","",INDEX(ポート振替表!$B$5:$B$3507,$L57)&amp;" "&amp;INDEX(ポート振替表!$C$5:$C$3507,$L57)&amp;"  ⇔  "&amp;INDEX(ポート振替表!$H$5:$H$3507,$L57)&amp;" "&amp;INDEX(ポート振替表!$I$5:$I$3507,$L57))</f>
        <v/>
      </c>
      <c r="D57" s="57" t="s">
        <v>158</v>
      </c>
      <c r="E57" s="59" t="str">
        <f aca="false">IF(L57="","",IF(INDEX(ポート振替表!$O$5:$O$3507,$L57)="","(未設定)",INDEX(ポート振替表!$O$5:$O$3507,$L57)&amp;""))</f>
        <v/>
      </c>
      <c r="F57" s="52" t="str">
        <f aca="false">IF(L57="","",INDEX(ポート振替表!$K$5:$K$3507,$L57)&amp;" "&amp;INDEX(ポート振替表!$L$5:$L$3507,$L57)&amp;"  ⇔  "&amp;INDEX(ポート振替表!$H$5:$H$3507,$L57)&amp;" "&amp;INDEX(ポート振替表!$I$5:$I$3507,$L57))</f>
        <v/>
      </c>
      <c r="G57" s="57" t="s">
        <v>158</v>
      </c>
      <c r="H57" s="32" t="str">
        <f aca="false">IF(L57="","",INDEX(ポート振替表!$N$5:$N$3507,$L57)&amp;"")</f>
        <v/>
      </c>
      <c r="I57" s="32" t="str">
        <f aca="false">IF(L57="","",INDEX(ポート振替表!$P$5:$P$3507,$L57)&amp;"")</f>
        <v/>
      </c>
      <c r="J57" s="60" t="str">
        <f aca="false">IF(L57="","",INDEX(ポート振替表!$M$5:$M$3507,$L57)&amp;"")</f>
        <v/>
      </c>
      <c r="K57" s="52" t="str">
        <f aca="false">IF(L57="","",E57&amp;CHAR(10)&amp;INDEX(ポート振替表!$K$5:$K$3507,$L57)&amp;" "&amp;INDEX(ポート振替表!$L$5:$L$3507,$L57)&amp;CHAR(10)&amp;"⇔ "&amp;INDEX(ポート振替表!$H$5:$H$3507,$L57)&amp;" "&amp;INDEX(ポート振替表!$I$5:$I$3507,$L57))</f>
        <v/>
      </c>
      <c r="L57" s="47" t="str">
        <f aca="false">IFERROR(MATCH(ROW()-4,ポート振替表!$V$5:$V$3507,0),"")</f>
        <v/>
      </c>
    </row>
    <row r="58" customFormat="false" ht="16.4" hidden="false" customHeight="false" outlineLevel="0" collapsed="false">
      <c r="A58" s="32" t="str">
        <f aca="false">IF(L58="","",ROW()-4)</f>
        <v/>
      </c>
      <c r="B58" s="58" t="str">
        <f aca="false">IF(L58="","",IF(INDEX(ポート振替表!$W$5:$W$3507,$L58)="","(なし)",INDEX(ポート振替表!$W$5:$W$3507,$L58)&amp;""))</f>
        <v/>
      </c>
      <c r="C58" s="52" t="str">
        <f aca="false">IF(L58="","",INDEX(ポート振替表!$B$5:$B$3507,$L58)&amp;" "&amp;INDEX(ポート振替表!$C$5:$C$3507,$L58)&amp;"  ⇔  "&amp;INDEX(ポート振替表!$H$5:$H$3507,$L58)&amp;" "&amp;INDEX(ポート振替表!$I$5:$I$3507,$L58))</f>
        <v/>
      </c>
      <c r="D58" s="57" t="s">
        <v>158</v>
      </c>
      <c r="E58" s="59" t="str">
        <f aca="false">IF(L58="","",IF(INDEX(ポート振替表!$O$5:$O$3507,$L58)="","(未設定)",INDEX(ポート振替表!$O$5:$O$3507,$L58)&amp;""))</f>
        <v/>
      </c>
      <c r="F58" s="52" t="str">
        <f aca="false">IF(L58="","",INDEX(ポート振替表!$K$5:$K$3507,$L58)&amp;" "&amp;INDEX(ポート振替表!$L$5:$L$3507,$L58)&amp;"  ⇔  "&amp;INDEX(ポート振替表!$H$5:$H$3507,$L58)&amp;" "&amp;INDEX(ポート振替表!$I$5:$I$3507,$L58))</f>
        <v/>
      </c>
      <c r="G58" s="57" t="s">
        <v>158</v>
      </c>
      <c r="H58" s="32" t="str">
        <f aca="false">IF(L58="","",INDEX(ポート振替表!$N$5:$N$3507,$L58)&amp;"")</f>
        <v/>
      </c>
      <c r="I58" s="32" t="str">
        <f aca="false">IF(L58="","",INDEX(ポート振替表!$P$5:$P$3507,$L58)&amp;"")</f>
        <v/>
      </c>
      <c r="J58" s="60" t="str">
        <f aca="false">IF(L58="","",INDEX(ポート振替表!$M$5:$M$3507,$L58)&amp;"")</f>
        <v/>
      </c>
      <c r="K58" s="52" t="str">
        <f aca="false">IF(L58="","",E58&amp;CHAR(10)&amp;INDEX(ポート振替表!$K$5:$K$3507,$L58)&amp;" "&amp;INDEX(ポート振替表!$L$5:$L$3507,$L58)&amp;CHAR(10)&amp;"⇔ "&amp;INDEX(ポート振替表!$H$5:$H$3507,$L58)&amp;" "&amp;INDEX(ポート振替表!$I$5:$I$3507,$L58))</f>
        <v/>
      </c>
      <c r="L58" s="47" t="str">
        <f aca="false">IFERROR(MATCH(ROW()-4,ポート振替表!$V$5:$V$3507,0),"")</f>
        <v/>
      </c>
    </row>
    <row r="59" customFormat="false" ht="16.4" hidden="false" customHeight="false" outlineLevel="0" collapsed="false">
      <c r="A59" s="32" t="str">
        <f aca="false">IF(L59="","",ROW()-4)</f>
        <v/>
      </c>
      <c r="B59" s="58" t="str">
        <f aca="false">IF(L59="","",IF(INDEX(ポート振替表!$W$5:$W$3507,$L59)="","(なし)",INDEX(ポート振替表!$W$5:$W$3507,$L59)&amp;""))</f>
        <v/>
      </c>
      <c r="C59" s="52" t="str">
        <f aca="false">IF(L59="","",INDEX(ポート振替表!$B$5:$B$3507,$L59)&amp;" "&amp;INDEX(ポート振替表!$C$5:$C$3507,$L59)&amp;"  ⇔  "&amp;INDEX(ポート振替表!$H$5:$H$3507,$L59)&amp;" "&amp;INDEX(ポート振替表!$I$5:$I$3507,$L59))</f>
        <v/>
      </c>
      <c r="D59" s="57" t="s">
        <v>158</v>
      </c>
      <c r="E59" s="59" t="str">
        <f aca="false">IF(L59="","",IF(INDEX(ポート振替表!$O$5:$O$3507,$L59)="","(未設定)",INDEX(ポート振替表!$O$5:$O$3507,$L59)&amp;""))</f>
        <v/>
      </c>
      <c r="F59" s="52" t="str">
        <f aca="false">IF(L59="","",INDEX(ポート振替表!$K$5:$K$3507,$L59)&amp;" "&amp;INDEX(ポート振替表!$L$5:$L$3507,$L59)&amp;"  ⇔  "&amp;INDEX(ポート振替表!$H$5:$H$3507,$L59)&amp;" "&amp;INDEX(ポート振替表!$I$5:$I$3507,$L59))</f>
        <v/>
      </c>
      <c r="G59" s="57" t="s">
        <v>158</v>
      </c>
      <c r="H59" s="32" t="str">
        <f aca="false">IF(L59="","",INDEX(ポート振替表!$N$5:$N$3507,$L59)&amp;"")</f>
        <v/>
      </c>
      <c r="I59" s="32" t="str">
        <f aca="false">IF(L59="","",INDEX(ポート振替表!$P$5:$P$3507,$L59)&amp;"")</f>
        <v/>
      </c>
      <c r="J59" s="60" t="str">
        <f aca="false">IF(L59="","",INDEX(ポート振替表!$M$5:$M$3507,$L59)&amp;"")</f>
        <v/>
      </c>
      <c r="K59" s="52" t="str">
        <f aca="false">IF(L59="","",E59&amp;CHAR(10)&amp;INDEX(ポート振替表!$K$5:$K$3507,$L59)&amp;" "&amp;INDEX(ポート振替表!$L$5:$L$3507,$L59)&amp;CHAR(10)&amp;"⇔ "&amp;INDEX(ポート振替表!$H$5:$H$3507,$L59)&amp;" "&amp;INDEX(ポート振替表!$I$5:$I$3507,$L59))</f>
        <v/>
      </c>
      <c r="L59" s="47" t="str">
        <f aca="false">IFERROR(MATCH(ROW()-4,ポート振替表!$V$5:$V$3507,0),"")</f>
        <v/>
      </c>
    </row>
    <row r="60" customFormat="false" ht="16.4" hidden="false" customHeight="false" outlineLevel="0" collapsed="false">
      <c r="A60" s="32" t="str">
        <f aca="false">IF(L60="","",ROW()-4)</f>
        <v/>
      </c>
      <c r="B60" s="58" t="str">
        <f aca="false">IF(L60="","",IF(INDEX(ポート振替表!$W$5:$W$3507,$L60)="","(なし)",INDEX(ポート振替表!$W$5:$W$3507,$L60)&amp;""))</f>
        <v/>
      </c>
      <c r="C60" s="52" t="str">
        <f aca="false">IF(L60="","",INDEX(ポート振替表!$B$5:$B$3507,$L60)&amp;" "&amp;INDEX(ポート振替表!$C$5:$C$3507,$L60)&amp;"  ⇔  "&amp;INDEX(ポート振替表!$H$5:$H$3507,$L60)&amp;" "&amp;INDEX(ポート振替表!$I$5:$I$3507,$L60))</f>
        <v/>
      </c>
      <c r="D60" s="57" t="s">
        <v>158</v>
      </c>
      <c r="E60" s="59" t="str">
        <f aca="false">IF(L60="","",IF(INDEX(ポート振替表!$O$5:$O$3507,$L60)="","(未設定)",INDEX(ポート振替表!$O$5:$O$3507,$L60)&amp;""))</f>
        <v/>
      </c>
      <c r="F60" s="52" t="str">
        <f aca="false">IF(L60="","",INDEX(ポート振替表!$K$5:$K$3507,$L60)&amp;" "&amp;INDEX(ポート振替表!$L$5:$L$3507,$L60)&amp;"  ⇔  "&amp;INDEX(ポート振替表!$H$5:$H$3507,$L60)&amp;" "&amp;INDEX(ポート振替表!$I$5:$I$3507,$L60))</f>
        <v/>
      </c>
      <c r="G60" s="57" t="s">
        <v>158</v>
      </c>
      <c r="H60" s="32" t="str">
        <f aca="false">IF(L60="","",INDEX(ポート振替表!$N$5:$N$3507,$L60)&amp;"")</f>
        <v/>
      </c>
      <c r="I60" s="32" t="str">
        <f aca="false">IF(L60="","",INDEX(ポート振替表!$P$5:$P$3507,$L60)&amp;"")</f>
        <v/>
      </c>
      <c r="J60" s="60" t="str">
        <f aca="false">IF(L60="","",INDEX(ポート振替表!$M$5:$M$3507,$L60)&amp;"")</f>
        <v/>
      </c>
      <c r="K60" s="52" t="str">
        <f aca="false">IF(L60="","",E60&amp;CHAR(10)&amp;INDEX(ポート振替表!$K$5:$K$3507,$L60)&amp;" "&amp;INDEX(ポート振替表!$L$5:$L$3507,$L60)&amp;CHAR(10)&amp;"⇔ "&amp;INDEX(ポート振替表!$H$5:$H$3507,$L60)&amp;" "&amp;INDEX(ポート振替表!$I$5:$I$3507,$L60))</f>
        <v/>
      </c>
      <c r="L60" s="47" t="str">
        <f aca="false">IFERROR(MATCH(ROW()-4,ポート振替表!$V$5:$V$3507,0),"")</f>
        <v/>
      </c>
    </row>
    <row r="61" customFormat="false" ht="16.4" hidden="false" customHeight="false" outlineLevel="0" collapsed="false">
      <c r="A61" s="32" t="str">
        <f aca="false">IF(L61="","",ROW()-4)</f>
        <v/>
      </c>
      <c r="B61" s="58" t="str">
        <f aca="false">IF(L61="","",IF(INDEX(ポート振替表!$W$5:$W$3507,$L61)="","(なし)",INDEX(ポート振替表!$W$5:$W$3507,$L61)&amp;""))</f>
        <v/>
      </c>
      <c r="C61" s="52" t="str">
        <f aca="false">IF(L61="","",INDEX(ポート振替表!$B$5:$B$3507,$L61)&amp;" "&amp;INDEX(ポート振替表!$C$5:$C$3507,$L61)&amp;"  ⇔  "&amp;INDEX(ポート振替表!$H$5:$H$3507,$L61)&amp;" "&amp;INDEX(ポート振替表!$I$5:$I$3507,$L61))</f>
        <v/>
      </c>
      <c r="D61" s="57" t="s">
        <v>158</v>
      </c>
      <c r="E61" s="59" t="str">
        <f aca="false">IF(L61="","",IF(INDEX(ポート振替表!$O$5:$O$3507,$L61)="","(未設定)",INDEX(ポート振替表!$O$5:$O$3507,$L61)&amp;""))</f>
        <v/>
      </c>
      <c r="F61" s="52" t="str">
        <f aca="false">IF(L61="","",INDEX(ポート振替表!$K$5:$K$3507,$L61)&amp;" "&amp;INDEX(ポート振替表!$L$5:$L$3507,$L61)&amp;"  ⇔  "&amp;INDEX(ポート振替表!$H$5:$H$3507,$L61)&amp;" "&amp;INDEX(ポート振替表!$I$5:$I$3507,$L61))</f>
        <v/>
      </c>
      <c r="G61" s="57" t="s">
        <v>158</v>
      </c>
      <c r="H61" s="32" t="str">
        <f aca="false">IF(L61="","",INDEX(ポート振替表!$N$5:$N$3507,$L61)&amp;"")</f>
        <v/>
      </c>
      <c r="I61" s="32" t="str">
        <f aca="false">IF(L61="","",INDEX(ポート振替表!$P$5:$P$3507,$L61)&amp;"")</f>
        <v/>
      </c>
      <c r="J61" s="60" t="str">
        <f aca="false">IF(L61="","",INDEX(ポート振替表!$M$5:$M$3507,$L61)&amp;"")</f>
        <v/>
      </c>
      <c r="K61" s="52" t="str">
        <f aca="false">IF(L61="","",E61&amp;CHAR(10)&amp;INDEX(ポート振替表!$K$5:$K$3507,$L61)&amp;" "&amp;INDEX(ポート振替表!$L$5:$L$3507,$L61)&amp;CHAR(10)&amp;"⇔ "&amp;INDEX(ポート振替表!$H$5:$H$3507,$L61)&amp;" "&amp;INDEX(ポート振替表!$I$5:$I$3507,$L61))</f>
        <v/>
      </c>
      <c r="L61" s="47" t="str">
        <f aca="false">IFERROR(MATCH(ROW()-4,ポート振替表!$V$5:$V$3507,0),"")</f>
        <v/>
      </c>
    </row>
    <row r="62" customFormat="false" ht="16.4" hidden="false" customHeight="false" outlineLevel="0" collapsed="false">
      <c r="A62" s="32" t="str">
        <f aca="false">IF(L62="","",ROW()-4)</f>
        <v/>
      </c>
      <c r="B62" s="58" t="str">
        <f aca="false">IF(L62="","",IF(INDEX(ポート振替表!$W$5:$W$3507,$L62)="","(なし)",INDEX(ポート振替表!$W$5:$W$3507,$L62)&amp;""))</f>
        <v/>
      </c>
      <c r="C62" s="52" t="str">
        <f aca="false">IF(L62="","",INDEX(ポート振替表!$B$5:$B$3507,$L62)&amp;" "&amp;INDEX(ポート振替表!$C$5:$C$3507,$L62)&amp;"  ⇔  "&amp;INDEX(ポート振替表!$H$5:$H$3507,$L62)&amp;" "&amp;INDEX(ポート振替表!$I$5:$I$3507,$L62))</f>
        <v/>
      </c>
      <c r="D62" s="57" t="s">
        <v>158</v>
      </c>
      <c r="E62" s="59" t="str">
        <f aca="false">IF(L62="","",IF(INDEX(ポート振替表!$O$5:$O$3507,$L62)="","(未設定)",INDEX(ポート振替表!$O$5:$O$3507,$L62)&amp;""))</f>
        <v/>
      </c>
      <c r="F62" s="52" t="str">
        <f aca="false">IF(L62="","",INDEX(ポート振替表!$K$5:$K$3507,$L62)&amp;" "&amp;INDEX(ポート振替表!$L$5:$L$3507,$L62)&amp;"  ⇔  "&amp;INDEX(ポート振替表!$H$5:$H$3507,$L62)&amp;" "&amp;INDEX(ポート振替表!$I$5:$I$3507,$L62))</f>
        <v/>
      </c>
      <c r="G62" s="57" t="s">
        <v>158</v>
      </c>
      <c r="H62" s="32" t="str">
        <f aca="false">IF(L62="","",INDEX(ポート振替表!$N$5:$N$3507,$L62)&amp;"")</f>
        <v/>
      </c>
      <c r="I62" s="32" t="str">
        <f aca="false">IF(L62="","",INDEX(ポート振替表!$P$5:$P$3507,$L62)&amp;"")</f>
        <v/>
      </c>
      <c r="J62" s="60" t="str">
        <f aca="false">IF(L62="","",INDEX(ポート振替表!$M$5:$M$3507,$L62)&amp;"")</f>
        <v/>
      </c>
      <c r="K62" s="52" t="str">
        <f aca="false">IF(L62="","",E62&amp;CHAR(10)&amp;INDEX(ポート振替表!$K$5:$K$3507,$L62)&amp;" "&amp;INDEX(ポート振替表!$L$5:$L$3507,$L62)&amp;CHAR(10)&amp;"⇔ "&amp;INDEX(ポート振替表!$H$5:$H$3507,$L62)&amp;" "&amp;INDEX(ポート振替表!$I$5:$I$3507,$L62))</f>
        <v/>
      </c>
      <c r="L62" s="47" t="str">
        <f aca="false">IFERROR(MATCH(ROW()-4,ポート振替表!$V$5:$V$3507,0),"")</f>
        <v/>
      </c>
    </row>
    <row r="63" customFormat="false" ht="16.4" hidden="false" customHeight="false" outlineLevel="0" collapsed="false">
      <c r="A63" s="32" t="str">
        <f aca="false">IF(L63="","",ROW()-4)</f>
        <v/>
      </c>
      <c r="B63" s="58" t="str">
        <f aca="false">IF(L63="","",IF(INDEX(ポート振替表!$W$5:$W$3507,$L63)="","(なし)",INDEX(ポート振替表!$W$5:$W$3507,$L63)&amp;""))</f>
        <v/>
      </c>
      <c r="C63" s="52" t="str">
        <f aca="false">IF(L63="","",INDEX(ポート振替表!$B$5:$B$3507,$L63)&amp;" "&amp;INDEX(ポート振替表!$C$5:$C$3507,$L63)&amp;"  ⇔  "&amp;INDEX(ポート振替表!$H$5:$H$3507,$L63)&amp;" "&amp;INDEX(ポート振替表!$I$5:$I$3507,$L63))</f>
        <v/>
      </c>
      <c r="D63" s="57" t="s">
        <v>158</v>
      </c>
      <c r="E63" s="59" t="str">
        <f aca="false">IF(L63="","",IF(INDEX(ポート振替表!$O$5:$O$3507,$L63)="","(未設定)",INDEX(ポート振替表!$O$5:$O$3507,$L63)&amp;""))</f>
        <v/>
      </c>
      <c r="F63" s="52" t="str">
        <f aca="false">IF(L63="","",INDEX(ポート振替表!$K$5:$K$3507,$L63)&amp;" "&amp;INDEX(ポート振替表!$L$5:$L$3507,$L63)&amp;"  ⇔  "&amp;INDEX(ポート振替表!$H$5:$H$3507,$L63)&amp;" "&amp;INDEX(ポート振替表!$I$5:$I$3507,$L63))</f>
        <v/>
      </c>
      <c r="G63" s="57" t="s">
        <v>158</v>
      </c>
      <c r="H63" s="32" t="str">
        <f aca="false">IF(L63="","",INDEX(ポート振替表!$N$5:$N$3507,$L63)&amp;"")</f>
        <v/>
      </c>
      <c r="I63" s="32" t="str">
        <f aca="false">IF(L63="","",INDEX(ポート振替表!$P$5:$P$3507,$L63)&amp;"")</f>
        <v/>
      </c>
      <c r="J63" s="60" t="str">
        <f aca="false">IF(L63="","",INDEX(ポート振替表!$M$5:$M$3507,$L63)&amp;"")</f>
        <v/>
      </c>
      <c r="K63" s="52" t="str">
        <f aca="false">IF(L63="","",E63&amp;CHAR(10)&amp;INDEX(ポート振替表!$K$5:$K$3507,$L63)&amp;" "&amp;INDEX(ポート振替表!$L$5:$L$3507,$L63)&amp;CHAR(10)&amp;"⇔ "&amp;INDEX(ポート振替表!$H$5:$H$3507,$L63)&amp;" "&amp;INDEX(ポート振替表!$I$5:$I$3507,$L63))</f>
        <v/>
      </c>
      <c r="L63" s="47" t="str">
        <f aca="false">IFERROR(MATCH(ROW()-4,ポート振替表!$V$5:$V$3507,0),"")</f>
        <v/>
      </c>
    </row>
    <row r="64" customFormat="false" ht="16.4" hidden="false" customHeight="false" outlineLevel="0" collapsed="false">
      <c r="A64" s="32" t="str">
        <f aca="false">IF(L64="","",ROW()-4)</f>
        <v/>
      </c>
      <c r="B64" s="58" t="str">
        <f aca="false">IF(L64="","",IF(INDEX(ポート振替表!$W$5:$W$3507,$L64)="","(なし)",INDEX(ポート振替表!$W$5:$W$3507,$L64)&amp;""))</f>
        <v/>
      </c>
      <c r="C64" s="52" t="str">
        <f aca="false">IF(L64="","",INDEX(ポート振替表!$B$5:$B$3507,$L64)&amp;" "&amp;INDEX(ポート振替表!$C$5:$C$3507,$L64)&amp;"  ⇔  "&amp;INDEX(ポート振替表!$H$5:$H$3507,$L64)&amp;" "&amp;INDEX(ポート振替表!$I$5:$I$3507,$L64))</f>
        <v/>
      </c>
      <c r="D64" s="57" t="s">
        <v>158</v>
      </c>
      <c r="E64" s="59" t="str">
        <f aca="false">IF(L64="","",IF(INDEX(ポート振替表!$O$5:$O$3507,$L64)="","(未設定)",INDEX(ポート振替表!$O$5:$O$3507,$L64)&amp;""))</f>
        <v/>
      </c>
      <c r="F64" s="52" t="str">
        <f aca="false">IF(L64="","",INDEX(ポート振替表!$K$5:$K$3507,$L64)&amp;" "&amp;INDEX(ポート振替表!$L$5:$L$3507,$L64)&amp;"  ⇔  "&amp;INDEX(ポート振替表!$H$5:$H$3507,$L64)&amp;" "&amp;INDEX(ポート振替表!$I$5:$I$3507,$L64))</f>
        <v/>
      </c>
      <c r="G64" s="57" t="s">
        <v>158</v>
      </c>
      <c r="H64" s="32" t="str">
        <f aca="false">IF(L64="","",INDEX(ポート振替表!$N$5:$N$3507,$L64)&amp;"")</f>
        <v/>
      </c>
      <c r="I64" s="32" t="str">
        <f aca="false">IF(L64="","",INDEX(ポート振替表!$P$5:$P$3507,$L64)&amp;"")</f>
        <v/>
      </c>
      <c r="J64" s="60" t="str">
        <f aca="false">IF(L64="","",INDEX(ポート振替表!$M$5:$M$3507,$L64)&amp;"")</f>
        <v/>
      </c>
      <c r="K64" s="52" t="str">
        <f aca="false">IF(L64="","",E64&amp;CHAR(10)&amp;INDEX(ポート振替表!$K$5:$K$3507,$L64)&amp;" "&amp;INDEX(ポート振替表!$L$5:$L$3507,$L64)&amp;CHAR(10)&amp;"⇔ "&amp;INDEX(ポート振替表!$H$5:$H$3507,$L64)&amp;" "&amp;INDEX(ポート振替表!$I$5:$I$3507,$L64))</f>
        <v/>
      </c>
      <c r="L64" s="47" t="str">
        <f aca="false">IFERROR(MATCH(ROW()-4,ポート振替表!$V$5:$V$3507,0),"")</f>
        <v/>
      </c>
    </row>
    <row r="65" customFormat="false" ht="16.4" hidden="false" customHeight="false" outlineLevel="0" collapsed="false">
      <c r="A65" s="32" t="str">
        <f aca="false">IF(L65="","",ROW()-4)</f>
        <v/>
      </c>
      <c r="B65" s="58" t="str">
        <f aca="false">IF(L65="","",IF(INDEX(ポート振替表!$W$5:$W$3507,$L65)="","(なし)",INDEX(ポート振替表!$W$5:$W$3507,$L65)&amp;""))</f>
        <v/>
      </c>
      <c r="C65" s="52" t="str">
        <f aca="false">IF(L65="","",INDEX(ポート振替表!$B$5:$B$3507,$L65)&amp;" "&amp;INDEX(ポート振替表!$C$5:$C$3507,$L65)&amp;"  ⇔  "&amp;INDEX(ポート振替表!$H$5:$H$3507,$L65)&amp;" "&amp;INDEX(ポート振替表!$I$5:$I$3507,$L65))</f>
        <v/>
      </c>
      <c r="D65" s="57" t="s">
        <v>158</v>
      </c>
      <c r="E65" s="59" t="str">
        <f aca="false">IF(L65="","",IF(INDEX(ポート振替表!$O$5:$O$3507,$L65)="","(未設定)",INDEX(ポート振替表!$O$5:$O$3507,$L65)&amp;""))</f>
        <v/>
      </c>
      <c r="F65" s="52" t="str">
        <f aca="false">IF(L65="","",INDEX(ポート振替表!$K$5:$K$3507,$L65)&amp;" "&amp;INDEX(ポート振替表!$L$5:$L$3507,$L65)&amp;"  ⇔  "&amp;INDEX(ポート振替表!$H$5:$H$3507,$L65)&amp;" "&amp;INDEX(ポート振替表!$I$5:$I$3507,$L65))</f>
        <v/>
      </c>
      <c r="G65" s="57" t="s">
        <v>158</v>
      </c>
      <c r="H65" s="32" t="str">
        <f aca="false">IF(L65="","",INDEX(ポート振替表!$N$5:$N$3507,$L65)&amp;"")</f>
        <v/>
      </c>
      <c r="I65" s="32" t="str">
        <f aca="false">IF(L65="","",INDEX(ポート振替表!$P$5:$P$3507,$L65)&amp;"")</f>
        <v/>
      </c>
      <c r="J65" s="60" t="str">
        <f aca="false">IF(L65="","",INDEX(ポート振替表!$M$5:$M$3507,$L65)&amp;"")</f>
        <v/>
      </c>
      <c r="K65" s="52" t="str">
        <f aca="false">IF(L65="","",E65&amp;CHAR(10)&amp;INDEX(ポート振替表!$K$5:$K$3507,$L65)&amp;" "&amp;INDEX(ポート振替表!$L$5:$L$3507,$L65)&amp;CHAR(10)&amp;"⇔ "&amp;INDEX(ポート振替表!$H$5:$H$3507,$L65)&amp;" "&amp;INDEX(ポート振替表!$I$5:$I$3507,$L65))</f>
        <v/>
      </c>
      <c r="L65" s="47" t="str">
        <f aca="false">IFERROR(MATCH(ROW()-4,ポート振替表!$V$5:$V$3507,0),"")</f>
        <v/>
      </c>
    </row>
    <row r="66" customFormat="false" ht="16.4" hidden="false" customHeight="false" outlineLevel="0" collapsed="false">
      <c r="A66" s="32" t="str">
        <f aca="false">IF(L66="","",ROW()-4)</f>
        <v/>
      </c>
      <c r="B66" s="58" t="str">
        <f aca="false">IF(L66="","",IF(INDEX(ポート振替表!$W$5:$W$3507,$L66)="","(なし)",INDEX(ポート振替表!$W$5:$W$3507,$L66)&amp;""))</f>
        <v/>
      </c>
      <c r="C66" s="52" t="str">
        <f aca="false">IF(L66="","",INDEX(ポート振替表!$B$5:$B$3507,$L66)&amp;" "&amp;INDEX(ポート振替表!$C$5:$C$3507,$L66)&amp;"  ⇔  "&amp;INDEX(ポート振替表!$H$5:$H$3507,$L66)&amp;" "&amp;INDEX(ポート振替表!$I$5:$I$3507,$L66))</f>
        <v/>
      </c>
      <c r="D66" s="57" t="s">
        <v>158</v>
      </c>
      <c r="E66" s="59" t="str">
        <f aca="false">IF(L66="","",IF(INDEX(ポート振替表!$O$5:$O$3507,$L66)="","(未設定)",INDEX(ポート振替表!$O$5:$O$3507,$L66)&amp;""))</f>
        <v/>
      </c>
      <c r="F66" s="52" t="str">
        <f aca="false">IF(L66="","",INDEX(ポート振替表!$K$5:$K$3507,$L66)&amp;" "&amp;INDEX(ポート振替表!$L$5:$L$3507,$L66)&amp;"  ⇔  "&amp;INDEX(ポート振替表!$H$5:$H$3507,$L66)&amp;" "&amp;INDEX(ポート振替表!$I$5:$I$3507,$L66))</f>
        <v/>
      </c>
      <c r="G66" s="57" t="s">
        <v>158</v>
      </c>
      <c r="H66" s="32" t="str">
        <f aca="false">IF(L66="","",INDEX(ポート振替表!$N$5:$N$3507,$L66)&amp;"")</f>
        <v/>
      </c>
      <c r="I66" s="32" t="str">
        <f aca="false">IF(L66="","",INDEX(ポート振替表!$P$5:$P$3507,$L66)&amp;"")</f>
        <v/>
      </c>
      <c r="J66" s="60" t="str">
        <f aca="false">IF(L66="","",INDEX(ポート振替表!$M$5:$M$3507,$L66)&amp;"")</f>
        <v/>
      </c>
      <c r="K66" s="52" t="str">
        <f aca="false">IF(L66="","",E66&amp;CHAR(10)&amp;INDEX(ポート振替表!$K$5:$K$3507,$L66)&amp;" "&amp;INDEX(ポート振替表!$L$5:$L$3507,$L66)&amp;CHAR(10)&amp;"⇔ "&amp;INDEX(ポート振替表!$H$5:$H$3507,$L66)&amp;" "&amp;INDEX(ポート振替表!$I$5:$I$3507,$L66))</f>
        <v/>
      </c>
      <c r="L66" s="47" t="str">
        <f aca="false">IFERROR(MATCH(ROW()-4,ポート振替表!$V$5:$V$3507,0),"")</f>
        <v/>
      </c>
    </row>
    <row r="67" customFormat="false" ht="16.4" hidden="false" customHeight="false" outlineLevel="0" collapsed="false">
      <c r="A67" s="32" t="str">
        <f aca="false">IF(L67="","",ROW()-4)</f>
        <v/>
      </c>
      <c r="B67" s="58" t="str">
        <f aca="false">IF(L67="","",IF(INDEX(ポート振替表!$W$5:$W$3507,$L67)="","(なし)",INDEX(ポート振替表!$W$5:$W$3507,$L67)&amp;""))</f>
        <v/>
      </c>
      <c r="C67" s="52" t="str">
        <f aca="false">IF(L67="","",INDEX(ポート振替表!$B$5:$B$3507,$L67)&amp;" "&amp;INDEX(ポート振替表!$C$5:$C$3507,$L67)&amp;"  ⇔  "&amp;INDEX(ポート振替表!$H$5:$H$3507,$L67)&amp;" "&amp;INDEX(ポート振替表!$I$5:$I$3507,$L67))</f>
        <v/>
      </c>
      <c r="D67" s="57" t="s">
        <v>158</v>
      </c>
      <c r="E67" s="59" t="str">
        <f aca="false">IF(L67="","",IF(INDEX(ポート振替表!$O$5:$O$3507,$L67)="","(未設定)",INDEX(ポート振替表!$O$5:$O$3507,$L67)&amp;""))</f>
        <v/>
      </c>
      <c r="F67" s="52" t="str">
        <f aca="false">IF(L67="","",INDEX(ポート振替表!$K$5:$K$3507,$L67)&amp;" "&amp;INDEX(ポート振替表!$L$5:$L$3507,$L67)&amp;"  ⇔  "&amp;INDEX(ポート振替表!$H$5:$H$3507,$L67)&amp;" "&amp;INDEX(ポート振替表!$I$5:$I$3507,$L67))</f>
        <v/>
      </c>
      <c r="G67" s="57" t="s">
        <v>158</v>
      </c>
      <c r="H67" s="32" t="str">
        <f aca="false">IF(L67="","",INDEX(ポート振替表!$N$5:$N$3507,$L67)&amp;"")</f>
        <v/>
      </c>
      <c r="I67" s="32" t="str">
        <f aca="false">IF(L67="","",INDEX(ポート振替表!$P$5:$P$3507,$L67)&amp;"")</f>
        <v/>
      </c>
      <c r="J67" s="60" t="str">
        <f aca="false">IF(L67="","",INDEX(ポート振替表!$M$5:$M$3507,$L67)&amp;"")</f>
        <v/>
      </c>
      <c r="K67" s="52" t="str">
        <f aca="false">IF(L67="","",E67&amp;CHAR(10)&amp;INDEX(ポート振替表!$K$5:$K$3507,$L67)&amp;" "&amp;INDEX(ポート振替表!$L$5:$L$3507,$L67)&amp;CHAR(10)&amp;"⇔ "&amp;INDEX(ポート振替表!$H$5:$H$3507,$L67)&amp;" "&amp;INDEX(ポート振替表!$I$5:$I$3507,$L67))</f>
        <v/>
      </c>
      <c r="L67" s="47" t="str">
        <f aca="false">IFERROR(MATCH(ROW()-4,ポート振替表!$V$5:$V$3507,0),"")</f>
        <v/>
      </c>
    </row>
    <row r="68" customFormat="false" ht="16.4" hidden="false" customHeight="false" outlineLevel="0" collapsed="false">
      <c r="A68" s="32" t="str">
        <f aca="false">IF(L68="","",ROW()-4)</f>
        <v/>
      </c>
      <c r="B68" s="58" t="str">
        <f aca="false">IF(L68="","",IF(INDEX(ポート振替表!$W$5:$W$3507,$L68)="","(なし)",INDEX(ポート振替表!$W$5:$W$3507,$L68)&amp;""))</f>
        <v/>
      </c>
      <c r="C68" s="52" t="str">
        <f aca="false">IF(L68="","",INDEX(ポート振替表!$B$5:$B$3507,$L68)&amp;" "&amp;INDEX(ポート振替表!$C$5:$C$3507,$L68)&amp;"  ⇔  "&amp;INDEX(ポート振替表!$H$5:$H$3507,$L68)&amp;" "&amp;INDEX(ポート振替表!$I$5:$I$3507,$L68))</f>
        <v/>
      </c>
      <c r="D68" s="57" t="s">
        <v>158</v>
      </c>
      <c r="E68" s="59" t="str">
        <f aca="false">IF(L68="","",IF(INDEX(ポート振替表!$O$5:$O$3507,$L68)="","(未設定)",INDEX(ポート振替表!$O$5:$O$3507,$L68)&amp;""))</f>
        <v/>
      </c>
      <c r="F68" s="52" t="str">
        <f aca="false">IF(L68="","",INDEX(ポート振替表!$K$5:$K$3507,$L68)&amp;" "&amp;INDEX(ポート振替表!$L$5:$L$3507,$L68)&amp;"  ⇔  "&amp;INDEX(ポート振替表!$H$5:$H$3507,$L68)&amp;" "&amp;INDEX(ポート振替表!$I$5:$I$3507,$L68))</f>
        <v/>
      </c>
      <c r="G68" s="57" t="s">
        <v>158</v>
      </c>
      <c r="H68" s="32" t="str">
        <f aca="false">IF(L68="","",INDEX(ポート振替表!$N$5:$N$3507,$L68)&amp;"")</f>
        <v/>
      </c>
      <c r="I68" s="32" t="str">
        <f aca="false">IF(L68="","",INDEX(ポート振替表!$P$5:$P$3507,$L68)&amp;"")</f>
        <v/>
      </c>
      <c r="J68" s="60" t="str">
        <f aca="false">IF(L68="","",INDEX(ポート振替表!$M$5:$M$3507,$L68)&amp;"")</f>
        <v/>
      </c>
      <c r="K68" s="52" t="str">
        <f aca="false">IF(L68="","",E68&amp;CHAR(10)&amp;INDEX(ポート振替表!$K$5:$K$3507,$L68)&amp;" "&amp;INDEX(ポート振替表!$L$5:$L$3507,$L68)&amp;CHAR(10)&amp;"⇔ "&amp;INDEX(ポート振替表!$H$5:$H$3507,$L68)&amp;" "&amp;INDEX(ポート振替表!$I$5:$I$3507,$L68))</f>
        <v/>
      </c>
      <c r="L68" s="47" t="str">
        <f aca="false">IFERROR(MATCH(ROW()-4,ポート振替表!$V$5:$V$3507,0),"")</f>
        <v/>
      </c>
    </row>
    <row r="69" customFormat="false" ht="16.4" hidden="false" customHeight="false" outlineLevel="0" collapsed="false">
      <c r="A69" s="32" t="str">
        <f aca="false">IF(L69="","",ROW()-4)</f>
        <v/>
      </c>
      <c r="B69" s="58" t="str">
        <f aca="false">IF(L69="","",IF(INDEX(ポート振替表!$W$5:$W$3507,$L69)="","(なし)",INDEX(ポート振替表!$W$5:$W$3507,$L69)&amp;""))</f>
        <v/>
      </c>
      <c r="C69" s="52" t="str">
        <f aca="false">IF(L69="","",INDEX(ポート振替表!$B$5:$B$3507,$L69)&amp;" "&amp;INDEX(ポート振替表!$C$5:$C$3507,$L69)&amp;"  ⇔  "&amp;INDEX(ポート振替表!$H$5:$H$3507,$L69)&amp;" "&amp;INDEX(ポート振替表!$I$5:$I$3507,$L69))</f>
        <v/>
      </c>
      <c r="D69" s="57" t="s">
        <v>158</v>
      </c>
      <c r="E69" s="59" t="str">
        <f aca="false">IF(L69="","",IF(INDEX(ポート振替表!$O$5:$O$3507,$L69)="","(未設定)",INDEX(ポート振替表!$O$5:$O$3507,$L69)&amp;""))</f>
        <v/>
      </c>
      <c r="F69" s="52" t="str">
        <f aca="false">IF(L69="","",INDEX(ポート振替表!$K$5:$K$3507,$L69)&amp;" "&amp;INDEX(ポート振替表!$L$5:$L$3507,$L69)&amp;"  ⇔  "&amp;INDEX(ポート振替表!$H$5:$H$3507,$L69)&amp;" "&amp;INDEX(ポート振替表!$I$5:$I$3507,$L69))</f>
        <v/>
      </c>
      <c r="G69" s="57" t="s">
        <v>158</v>
      </c>
      <c r="H69" s="32" t="str">
        <f aca="false">IF(L69="","",INDEX(ポート振替表!$N$5:$N$3507,$L69)&amp;"")</f>
        <v/>
      </c>
      <c r="I69" s="32" t="str">
        <f aca="false">IF(L69="","",INDEX(ポート振替表!$P$5:$P$3507,$L69)&amp;"")</f>
        <v/>
      </c>
      <c r="J69" s="60" t="str">
        <f aca="false">IF(L69="","",INDEX(ポート振替表!$M$5:$M$3507,$L69)&amp;"")</f>
        <v/>
      </c>
      <c r="K69" s="52" t="str">
        <f aca="false">IF(L69="","",E69&amp;CHAR(10)&amp;INDEX(ポート振替表!$K$5:$K$3507,$L69)&amp;" "&amp;INDEX(ポート振替表!$L$5:$L$3507,$L69)&amp;CHAR(10)&amp;"⇔ "&amp;INDEX(ポート振替表!$H$5:$H$3507,$L69)&amp;" "&amp;INDEX(ポート振替表!$I$5:$I$3507,$L69))</f>
        <v/>
      </c>
      <c r="L69" s="47" t="str">
        <f aca="false">IFERROR(MATCH(ROW()-4,ポート振替表!$V$5:$V$3507,0),"")</f>
        <v/>
      </c>
    </row>
    <row r="70" customFormat="false" ht="16.4" hidden="false" customHeight="false" outlineLevel="0" collapsed="false">
      <c r="A70" s="32" t="str">
        <f aca="false">IF(L70="","",ROW()-4)</f>
        <v/>
      </c>
      <c r="B70" s="58" t="str">
        <f aca="false">IF(L70="","",IF(INDEX(ポート振替表!$W$5:$W$3507,$L70)="","(なし)",INDEX(ポート振替表!$W$5:$W$3507,$L70)&amp;""))</f>
        <v/>
      </c>
      <c r="C70" s="52" t="str">
        <f aca="false">IF(L70="","",INDEX(ポート振替表!$B$5:$B$3507,$L70)&amp;" "&amp;INDEX(ポート振替表!$C$5:$C$3507,$L70)&amp;"  ⇔  "&amp;INDEX(ポート振替表!$H$5:$H$3507,$L70)&amp;" "&amp;INDEX(ポート振替表!$I$5:$I$3507,$L70))</f>
        <v/>
      </c>
      <c r="D70" s="57" t="s">
        <v>158</v>
      </c>
      <c r="E70" s="59" t="str">
        <f aca="false">IF(L70="","",IF(INDEX(ポート振替表!$O$5:$O$3507,$L70)="","(未設定)",INDEX(ポート振替表!$O$5:$O$3507,$L70)&amp;""))</f>
        <v/>
      </c>
      <c r="F70" s="52" t="str">
        <f aca="false">IF(L70="","",INDEX(ポート振替表!$K$5:$K$3507,$L70)&amp;" "&amp;INDEX(ポート振替表!$L$5:$L$3507,$L70)&amp;"  ⇔  "&amp;INDEX(ポート振替表!$H$5:$H$3507,$L70)&amp;" "&amp;INDEX(ポート振替表!$I$5:$I$3507,$L70))</f>
        <v/>
      </c>
      <c r="G70" s="57" t="s">
        <v>158</v>
      </c>
      <c r="H70" s="32" t="str">
        <f aca="false">IF(L70="","",INDEX(ポート振替表!$N$5:$N$3507,$L70)&amp;"")</f>
        <v/>
      </c>
      <c r="I70" s="32" t="str">
        <f aca="false">IF(L70="","",INDEX(ポート振替表!$P$5:$P$3507,$L70)&amp;"")</f>
        <v/>
      </c>
      <c r="J70" s="60" t="str">
        <f aca="false">IF(L70="","",INDEX(ポート振替表!$M$5:$M$3507,$L70)&amp;"")</f>
        <v/>
      </c>
      <c r="K70" s="52" t="str">
        <f aca="false">IF(L70="","",E70&amp;CHAR(10)&amp;INDEX(ポート振替表!$K$5:$K$3507,$L70)&amp;" "&amp;INDEX(ポート振替表!$L$5:$L$3507,$L70)&amp;CHAR(10)&amp;"⇔ "&amp;INDEX(ポート振替表!$H$5:$H$3507,$L70)&amp;" "&amp;INDEX(ポート振替表!$I$5:$I$3507,$L70))</f>
        <v/>
      </c>
      <c r="L70" s="47" t="str">
        <f aca="false">IFERROR(MATCH(ROW()-4,ポート振替表!$V$5:$V$3507,0),"")</f>
        <v/>
      </c>
    </row>
    <row r="71" customFormat="false" ht="16.4" hidden="false" customHeight="false" outlineLevel="0" collapsed="false">
      <c r="A71" s="32" t="str">
        <f aca="false">IF(L71="","",ROW()-4)</f>
        <v/>
      </c>
      <c r="B71" s="58" t="str">
        <f aca="false">IF(L71="","",IF(INDEX(ポート振替表!$W$5:$W$3507,$L71)="","(なし)",INDEX(ポート振替表!$W$5:$W$3507,$L71)&amp;""))</f>
        <v/>
      </c>
      <c r="C71" s="52" t="str">
        <f aca="false">IF(L71="","",INDEX(ポート振替表!$B$5:$B$3507,$L71)&amp;" "&amp;INDEX(ポート振替表!$C$5:$C$3507,$L71)&amp;"  ⇔  "&amp;INDEX(ポート振替表!$H$5:$H$3507,$L71)&amp;" "&amp;INDEX(ポート振替表!$I$5:$I$3507,$L71))</f>
        <v/>
      </c>
      <c r="D71" s="57" t="s">
        <v>158</v>
      </c>
      <c r="E71" s="59" t="str">
        <f aca="false">IF(L71="","",IF(INDEX(ポート振替表!$O$5:$O$3507,$L71)="","(未設定)",INDEX(ポート振替表!$O$5:$O$3507,$L71)&amp;""))</f>
        <v/>
      </c>
      <c r="F71" s="52" t="str">
        <f aca="false">IF(L71="","",INDEX(ポート振替表!$K$5:$K$3507,$L71)&amp;" "&amp;INDEX(ポート振替表!$L$5:$L$3507,$L71)&amp;"  ⇔  "&amp;INDEX(ポート振替表!$H$5:$H$3507,$L71)&amp;" "&amp;INDEX(ポート振替表!$I$5:$I$3507,$L71))</f>
        <v/>
      </c>
      <c r="G71" s="57" t="s">
        <v>158</v>
      </c>
      <c r="H71" s="32" t="str">
        <f aca="false">IF(L71="","",INDEX(ポート振替表!$N$5:$N$3507,$L71)&amp;"")</f>
        <v/>
      </c>
      <c r="I71" s="32" t="str">
        <f aca="false">IF(L71="","",INDEX(ポート振替表!$P$5:$P$3507,$L71)&amp;"")</f>
        <v/>
      </c>
      <c r="J71" s="60" t="str">
        <f aca="false">IF(L71="","",INDEX(ポート振替表!$M$5:$M$3507,$L71)&amp;"")</f>
        <v/>
      </c>
      <c r="K71" s="52" t="str">
        <f aca="false">IF(L71="","",E71&amp;CHAR(10)&amp;INDEX(ポート振替表!$K$5:$K$3507,$L71)&amp;" "&amp;INDEX(ポート振替表!$L$5:$L$3507,$L71)&amp;CHAR(10)&amp;"⇔ "&amp;INDEX(ポート振替表!$H$5:$H$3507,$L71)&amp;" "&amp;INDEX(ポート振替表!$I$5:$I$3507,$L71))</f>
        <v/>
      </c>
      <c r="L71" s="47" t="str">
        <f aca="false">IFERROR(MATCH(ROW()-4,ポート振替表!$V$5:$V$3507,0),"")</f>
        <v/>
      </c>
    </row>
    <row r="72" customFormat="false" ht="16.4" hidden="false" customHeight="false" outlineLevel="0" collapsed="false">
      <c r="A72" s="32" t="str">
        <f aca="false">IF(L72="","",ROW()-4)</f>
        <v/>
      </c>
      <c r="B72" s="58" t="str">
        <f aca="false">IF(L72="","",IF(INDEX(ポート振替表!$W$5:$W$3507,$L72)="","(なし)",INDEX(ポート振替表!$W$5:$W$3507,$L72)&amp;""))</f>
        <v/>
      </c>
      <c r="C72" s="52" t="str">
        <f aca="false">IF(L72="","",INDEX(ポート振替表!$B$5:$B$3507,$L72)&amp;" "&amp;INDEX(ポート振替表!$C$5:$C$3507,$L72)&amp;"  ⇔  "&amp;INDEX(ポート振替表!$H$5:$H$3507,$L72)&amp;" "&amp;INDEX(ポート振替表!$I$5:$I$3507,$L72))</f>
        <v/>
      </c>
      <c r="D72" s="57" t="s">
        <v>158</v>
      </c>
      <c r="E72" s="59" t="str">
        <f aca="false">IF(L72="","",IF(INDEX(ポート振替表!$O$5:$O$3507,$L72)="","(未設定)",INDEX(ポート振替表!$O$5:$O$3507,$L72)&amp;""))</f>
        <v/>
      </c>
      <c r="F72" s="52" t="str">
        <f aca="false">IF(L72="","",INDEX(ポート振替表!$K$5:$K$3507,$L72)&amp;" "&amp;INDEX(ポート振替表!$L$5:$L$3507,$L72)&amp;"  ⇔  "&amp;INDEX(ポート振替表!$H$5:$H$3507,$L72)&amp;" "&amp;INDEX(ポート振替表!$I$5:$I$3507,$L72))</f>
        <v/>
      </c>
      <c r="G72" s="57" t="s">
        <v>158</v>
      </c>
      <c r="H72" s="32" t="str">
        <f aca="false">IF(L72="","",INDEX(ポート振替表!$N$5:$N$3507,$L72)&amp;"")</f>
        <v/>
      </c>
      <c r="I72" s="32" t="str">
        <f aca="false">IF(L72="","",INDEX(ポート振替表!$P$5:$P$3507,$L72)&amp;"")</f>
        <v/>
      </c>
      <c r="J72" s="60" t="str">
        <f aca="false">IF(L72="","",INDEX(ポート振替表!$M$5:$M$3507,$L72)&amp;"")</f>
        <v/>
      </c>
      <c r="K72" s="52" t="str">
        <f aca="false">IF(L72="","",E72&amp;CHAR(10)&amp;INDEX(ポート振替表!$K$5:$K$3507,$L72)&amp;" "&amp;INDEX(ポート振替表!$L$5:$L$3507,$L72)&amp;CHAR(10)&amp;"⇔ "&amp;INDEX(ポート振替表!$H$5:$H$3507,$L72)&amp;" "&amp;INDEX(ポート振替表!$I$5:$I$3507,$L72))</f>
        <v/>
      </c>
      <c r="L72" s="47" t="str">
        <f aca="false">IFERROR(MATCH(ROW()-4,ポート振替表!$V$5:$V$3507,0),"")</f>
        <v/>
      </c>
    </row>
    <row r="73" customFormat="false" ht="16.4" hidden="false" customHeight="false" outlineLevel="0" collapsed="false">
      <c r="A73" s="32" t="str">
        <f aca="false">IF(L73="","",ROW()-4)</f>
        <v/>
      </c>
      <c r="B73" s="58" t="str">
        <f aca="false">IF(L73="","",IF(INDEX(ポート振替表!$W$5:$W$3507,$L73)="","(なし)",INDEX(ポート振替表!$W$5:$W$3507,$L73)&amp;""))</f>
        <v/>
      </c>
      <c r="C73" s="52" t="str">
        <f aca="false">IF(L73="","",INDEX(ポート振替表!$B$5:$B$3507,$L73)&amp;" "&amp;INDEX(ポート振替表!$C$5:$C$3507,$L73)&amp;"  ⇔  "&amp;INDEX(ポート振替表!$H$5:$H$3507,$L73)&amp;" "&amp;INDEX(ポート振替表!$I$5:$I$3507,$L73))</f>
        <v/>
      </c>
      <c r="D73" s="57" t="s">
        <v>158</v>
      </c>
      <c r="E73" s="59" t="str">
        <f aca="false">IF(L73="","",IF(INDEX(ポート振替表!$O$5:$O$3507,$L73)="","(未設定)",INDEX(ポート振替表!$O$5:$O$3507,$L73)&amp;""))</f>
        <v/>
      </c>
      <c r="F73" s="52" t="str">
        <f aca="false">IF(L73="","",INDEX(ポート振替表!$K$5:$K$3507,$L73)&amp;" "&amp;INDEX(ポート振替表!$L$5:$L$3507,$L73)&amp;"  ⇔  "&amp;INDEX(ポート振替表!$H$5:$H$3507,$L73)&amp;" "&amp;INDEX(ポート振替表!$I$5:$I$3507,$L73))</f>
        <v/>
      </c>
      <c r="G73" s="57" t="s">
        <v>158</v>
      </c>
      <c r="H73" s="32" t="str">
        <f aca="false">IF(L73="","",INDEX(ポート振替表!$N$5:$N$3507,$L73)&amp;"")</f>
        <v/>
      </c>
      <c r="I73" s="32" t="str">
        <f aca="false">IF(L73="","",INDEX(ポート振替表!$P$5:$P$3507,$L73)&amp;"")</f>
        <v/>
      </c>
      <c r="J73" s="60" t="str">
        <f aca="false">IF(L73="","",INDEX(ポート振替表!$M$5:$M$3507,$L73)&amp;"")</f>
        <v/>
      </c>
      <c r="K73" s="52" t="str">
        <f aca="false">IF(L73="","",E73&amp;CHAR(10)&amp;INDEX(ポート振替表!$K$5:$K$3507,$L73)&amp;" "&amp;INDEX(ポート振替表!$L$5:$L$3507,$L73)&amp;CHAR(10)&amp;"⇔ "&amp;INDEX(ポート振替表!$H$5:$H$3507,$L73)&amp;" "&amp;INDEX(ポート振替表!$I$5:$I$3507,$L73))</f>
        <v/>
      </c>
      <c r="L73" s="47" t="str">
        <f aca="false">IFERROR(MATCH(ROW()-4,ポート振替表!$V$5:$V$3507,0),"")</f>
        <v/>
      </c>
    </row>
    <row r="74" customFormat="false" ht="16.4" hidden="false" customHeight="false" outlineLevel="0" collapsed="false">
      <c r="A74" s="32" t="str">
        <f aca="false">IF(L74="","",ROW()-4)</f>
        <v/>
      </c>
      <c r="B74" s="58" t="str">
        <f aca="false">IF(L74="","",IF(INDEX(ポート振替表!$W$5:$W$3507,$L74)="","(なし)",INDEX(ポート振替表!$W$5:$W$3507,$L74)&amp;""))</f>
        <v/>
      </c>
      <c r="C74" s="52" t="str">
        <f aca="false">IF(L74="","",INDEX(ポート振替表!$B$5:$B$3507,$L74)&amp;" "&amp;INDEX(ポート振替表!$C$5:$C$3507,$L74)&amp;"  ⇔  "&amp;INDEX(ポート振替表!$H$5:$H$3507,$L74)&amp;" "&amp;INDEX(ポート振替表!$I$5:$I$3507,$L74))</f>
        <v/>
      </c>
      <c r="D74" s="57" t="s">
        <v>158</v>
      </c>
      <c r="E74" s="59" t="str">
        <f aca="false">IF(L74="","",IF(INDEX(ポート振替表!$O$5:$O$3507,$L74)="","(未設定)",INDEX(ポート振替表!$O$5:$O$3507,$L74)&amp;""))</f>
        <v/>
      </c>
      <c r="F74" s="52" t="str">
        <f aca="false">IF(L74="","",INDEX(ポート振替表!$K$5:$K$3507,$L74)&amp;" "&amp;INDEX(ポート振替表!$L$5:$L$3507,$L74)&amp;"  ⇔  "&amp;INDEX(ポート振替表!$H$5:$H$3507,$L74)&amp;" "&amp;INDEX(ポート振替表!$I$5:$I$3507,$L74))</f>
        <v/>
      </c>
      <c r="G74" s="57" t="s">
        <v>158</v>
      </c>
      <c r="H74" s="32" t="str">
        <f aca="false">IF(L74="","",INDEX(ポート振替表!$N$5:$N$3507,$L74)&amp;"")</f>
        <v/>
      </c>
      <c r="I74" s="32" t="str">
        <f aca="false">IF(L74="","",INDEX(ポート振替表!$P$5:$P$3507,$L74)&amp;"")</f>
        <v/>
      </c>
      <c r="J74" s="60" t="str">
        <f aca="false">IF(L74="","",INDEX(ポート振替表!$M$5:$M$3507,$L74)&amp;"")</f>
        <v/>
      </c>
      <c r="K74" s="52" t="str">
        <f aca="false">IF(L74="","",E74&amp;CHAR(10)&amp;INDEX(ポート振替表!$K$5:$K$3507,$L74)&amp;" "&amp;INDEX(ポート振替表!$L$5:$L$3507,$L74)&amp;CHAR(10)&amp;"⇔ "&amp;INDEX(ポート振替表!$H$5:$H$3507,$L74)&amp;" "&amp;INDEX(ポート振替表!$I$5:$I$3507,$L74))</f>
        <v/>
      </c>
      <c r="L74" s="47" t="str">
        <f aca="false">IFERROR(MATCH(ROW()-4,ポート振替表!$V$5:$V$3507,0),"")</f>
        <v/>
      </c>
    </row>
    <row r="75" customFormat="false" ht="16.4" hidden="false" customHeight="false" outlineLevel="0" collapsed="false">
      <c r="A75" s="32" t="str">
        <f aca="false">IF(L75="","",ROW()-4)</f>
        <v/>
      </c>
      <c r="B75" s="58" t="str">
        <f aca="false">IF(L75="","",IF(INDEX(ポート振替表!$W$5:$W$3507,$L75)="","(なし)",INDEX(ポート振替表!$W$5:$W$3507,$L75)&amp;""))</f>
        <v/>
      </c>
      <c r="C75" s="52" t="str">
        <f aca="false">IF(L75="","",INDEX(ポート振替表!$B$5:$B$3507,$L75)&amp;" "&amp;INDEX(ポート振替表!$C$5:$C$3507,$L75)&amp;"  ⇔  "&amp;INDEX(ポート振替表!$H$5:$H$3507,$L75)&amp;" "&amp;INDEX(ポート振替表!$I$5:$I$3507,$L75))</f>
        <v/>
      </c>
      <c r="D75" s="57" t="s">
        <v>158</v>
      </c>
      <c r="E75" s="59" t="str">
        <f aca="false">IF(L75="","",IF(INDEX(ポート振替表!$O$5:$O$3507,$L75)="","(未設定)",INDEX(ポート振替表!$O$5:$O$3507,$L75)&amp;""))</f>
        <v/>
      </c>
      <c r="F75" s="52" t="str">
        <f aca="false">IF(L75="","",INDEX(ポート振替表!$K$5:$K$3507,$L75)&amp;" "&amp;INDEX(ポート振替表!$L$5:$L$3507,$L75)&amp;"  ⇔  "&amp;INDEX(ポート振替表!$H$5:$H$3507,$L75)&amp;" "&amp;INDEX(ポート振替表!$I$5:$I$3507,$L75))</f>
        <v/>
      </c>
      <c r="G75" s="57" t="s">
        <v>158</v>
      </c>
      <c r="H75" s="32" t="str">
        <f aca="false">IF(L75="","",INDEX(ポート振替表!$N$5:$N$3507,$L75)&amp;"")</f>
        <v/>
      </c>
      <c r="I75" s="32" t="str">
        <f aca="false">IF(L75="","",INDEX(ポート振替表!$P$5:$P$3507,$L75)&amp;"")</f>
        <v/>
      </c>
      <c r="J75" s="60" t="str">
        <f aca="false">IF(L75="","",INDEX(ポート振替表!$M$5:$M$3507,$L75)&amp;"")</f>
        <v/>
      </c>
      <c r="K75" s="52" t="str">
        <f aca="false">IF(L75="","",E75&amp;CHAR(10)&amp;INDEX(ポート振替表!$K$5:$K$3507,$L75)&amp;" "&amp;INDEX(ポート振替表!$L$5:$L$3507,$L75)&amp;CHAR(10)&amp;"⇔ "&amp;INDEX(ポート振替表!$H$5:$H$3507,$L75)&amp;" "&amp;INDEX(ポート振替表!$I$5:$I$3507,$L75))</f>
        <v/>
      </c>
      <c r="L75" s="47" t="str">
        <f aca="false">IFERROR(MATCH(ROW()-4,ポート振替表!$V$5:$V$3507,0),"")</f>
        <v/>
      </c>
    </row>
    <row r="76" customFormat="false" ht="16.4" hidden="false" customHeight="false" outlineLevel="0" collapsed="false">
      <c r="A76" s="32" t="str">
        <f aca="false">IF(L76="","",ROW()-4)</f>
        <v/>
      </c>
      <c r="B76" s="58" t="str">
        <f aca="false">IF(L76="","",IF(INDEX(ポート振替表!$W$5:$W$3507,$L76)="","(なし)",INDEX(ポート振替表!$W$5:$W$3507,$L76)&amp;""))</f>
        <v/>
      </c>
      <c r="C76" s="52" t="str">
        <f aca="false">IF(L76="","",INDEX(ポート振替表!$B$5:$B$3507,$L76)&amp;" "&amp;INDEX(ポート振替表!$C$5:$C$3507,$L76)&amp;"  ⇔  "&amp;INDEX(ポート振替表!$H$5:$H$3507,$L76)&amp;" "&amp;INDEX(ポート振替表!$I$5:$I$3507,$L76))</f>
        <v/>
      </c>
      <c r="D76" s="57" t="s">
        <v>158</v>
      </c>
      <c r="E76" s="59" t="str">
        <f aca="false">IF(L76="","",IF(INDEX(ポート振替表!$O$5:$O$3507,$L76)="","(未設定)",INDEX(ポート振替表!$O$5:$O$3507,$L76)&amp;""))</f>
        <v/>
      </c>
      <c r="F76" s="52" t="str">
        <f aca="false">IF(L76="","",INDEX(ポート振替表!$K$5:$K$3507,$L76)&amp;" "&amp;INDEX(ポート振替表!$L$5:$L$3507,$L76)&amp;"  ⇔  "&amp;INDEX(ポート振替表!$H$5:$H$3507,$L76)&amp;" "&amp;INDEX(ポート振替表!$I$5:$I$3507,$L76))</f>
        <v/>
      </c>
      <c r="G76" s="57" t="s">
        <v>158</v>
      </c>
      <c r="H76" s="32" t="str">
        <f aca="false">IF(L76="","",INDEX(ポート振替表!$N$5:$N$3507,$L76)&amp;"")</f>
        <v/>
      </c>
      <c r="I76" s="32" t="str">
        <f aca="false">IF(L76="","",INDEX(ポート振替表!$P$5:$P$3507,$L76)&amp;"")</f>
        <v/>
      </c>
      <c r="J76" s="60" t="str">
        <f aca="false">IF(L76="","",INDEX(ポート振替表!$M$5:$M$3507,$L76)&amp;"")</f>
        <v/>
      </c>
      <c r="K76" s="52" t="str">
        <f aca="false">IF(L76="","",E76&amp;CHAR(10)&amp;INDEX(ポート振替表!$K$5:$K$3507,$L76)&amp;" "&amp;INDEX(ポート振替表!$L$5:$L$3507,$L76)&amp;CHAR(10)&amp;"⇔ "&amp;INDEX(ポート振替表!$H$5:$H$3507,$L76)&amp;" "&amp;INDEX(ポート振替表!$I$5:$I$3507,$L76))</f>
        <v/>
      </c>
      <c r="L76" s="47" t="str">
        <f aca="false">IFERROR(MATCH(ROW()-4,ポート振替表!$V$5:$V$3507,0),"")</f>
        <v/>
      </c>
    </row>
    <row r="77" customFormat="false" ht="16.4" hidden="false" customHeight="false" outlineLevel="0" collapsed="false">
      <c r="A77" s="32" t="str">
        <f aca="false">IF(L77="","",ROW()-4)</f>
        <v/>
      </c>
      <c r="B77" s="58" t="str">
        <f aca="false">IF(L77="","",IF(INDEX(ポート振替表!$W$5:$W$3507,$L77)="","(なし)",INDEX(ポート振替表!$W$5:$W$3507,$L77)&amp;""))</f>
        <v/>
      </c>
      <c r="C77" s="52" t="str">
        <f aca="false">IF(L77="","",INDEX(ポート振替表!$B$5:$B$3507,$L77)&amp;" "&amp;INDEX(ポート振替表!$C$5:$C$3507,$L77)&amp;"  ⇔  "&amp;INDEX(ポート振替表!$H$5:$H$3507,$L77)&amp;" "&amp;INDEX(ポート振替表!$I$5:$I$3507,$L77))</f>
        <v/>
      </c>
      <c r="D77" s="57" t="s">
        <v>158</v>
      </c>
      <c r="E77" s="59" t="str">
        <f aca="false">IF(L77="","",IF(INDEX(ポート振替表!$O$5:$O$3507,$L77)="","(未設定)",INDEX(ポート振替表!$O$5:$O$3507,$L77)&amp;""))</f>
        <v/>
      </c>
      <c r="F77" s="52" t="str">
        <f aca="false">IF(L77="","",INDEX(ポート振替表!$K$5:$K$3507,$L77)&amp;" "&amp;INDEX(ポート振替表!$L$5:$L$3507,$L77)&amp;"  ⇔  "&amp;INDEX(ポート振替表!$H$5:$H$3507,$L77)&amp;" "&amp;INDEX(ポート振替表!$I$5:$I$3507,$L77))</f>
        <v/>
      </c>
      <c r="G77" s="57" t="s">
        <v>158</v>
      </c>
      <c r="H77" s="32" t="str">
        <f aca="false">IF(L77="","",INDEX(ポート振替表!$N$5:$N$3507,$L77)&amp;"")</f>
        <v/>
      </c>
      <c r="I77" s="32" t="str">
        <f aca="false">IF(L77="","",INDEX(ポート振替表!$P$5:$P$3507,$L77)&amp;"")</f>
        <v/>
      </c>
      <c r="J77" s="60" t="str">
        <f aca="false">IF(L77="","",INDEX(ポート振替表!$M$5:$M$3507,$L77)&amp;"")</f>
        <v/>
      </c>
      <c r="K77" s="52" t="str">
        <f aca="false">IF(L77="","",E77&amp;CHAR(10)&amp;INDEX(ポート振替表!$K$5:$K$3507,$L77)&amp;" "&amp;INDEX(ポート振替表!$L$5:$L$3507,$L77)&amp;CHAR(10)&amp;"⇔ "&amp;INDEX(ポート振替表!$H$5:$H$3507,$L77)&amp;" "&amp;INDEX(ポート振替表!$I$5:$I$3507,$L77))</f>
        <v/>
      </c>
      <c r="L77" s="47" t="str">
        <f aca="false">IFERROR(MATCH(ROW()-4,ポート振替表!$V$5:$V$3507,0),"")</f>
        <v/>
      </c>
    </row>
    <row r="78" customFormat="false" ht="16.4" hidden="false" customHeight="false" outlineLevel="0" collapsed="false">
      <c r="A78" s="32" t="str">
        <f aca="false">IF(L78="","",ROW()-4)</f>
        <v/>
      </c>
      <c r="B78" s="58" t="str">
        <f aca="false">IF(L78="","",IF(INDEX(ポート振替表!$W$5:$W$3507,$L78)="","(なし)",INDEX(ポート振替表!$W$5:$W$3507,$L78)&amp;""))</f>
        <v/>
      </c>
      <c r="C78" s="52" t="str">
        <f aca="false">IF(L78="","",INDEX(ポート振替表!$B$5:$B$3507,$L78)&amp;" "&amp;INDEX(ポート振替表!$C$5:$C$3507,$L78)&amp;"  ⇔  "&amp;INDEX(ポート振替表!$H$5:$H$3507,$L78)&amp;" "&amp;INDEX(ポート振替表!$I$5:$I$3507,$L78))</f>
        <v/>
      </c>
      <c r="D78" s="57" t="s">
        <v>158</v>
      </c>
      <c r="E78" s="59" t="str">
        <f aca="false">IF(L78="","",IF(INDEX(ポート振替表!$O$5:$O$3507,$L78)="","(未設定)",INDEX(ポート振替表!$O$5:$O$3507,$L78)&amp;""))</f>
        <v/>
      </c>
      <c r="F78" s="52" t="str">
        <f aca="false">IF(L78="","",INDEX(ポート振替表!$K$5:$K$3507,$L78)&amp;" "&amp;INDEX(ポート振替表!$L$5:$L$3507,$L78)&amp;"  ⇔  "&amp;INDEX(ポート振替表!$H$5:$H$3507,$L78)&amp;" "&amp;INDEX(ポート振替表!$I$5:$I$3507,$L78))</f>
        <v/>
      </c>
      <c r="G78" s="57" t="s">
        <v>158</v>
      </c>
      <c r="H78" s="32" t="str">
        <f aca="false">IF(L78="","",INDEX(ポート振替表!$N$5:$N$3507,$L78)&amp;"")</f>
        <v/>
      </c>
      <c r="I78" s="32" t="str">
        <f aca="false">IF(L78="","",INDEX(ポート振替表!$P$5:$P$3507,$L78)&amp;"")</f>
        <v/>
      </c>
      <c r="J78" s="60" t="str">
        <f aca="false">IF(L78="","",INDEX(ポート振替表!$M$5:$M$3507,$L78)&amp;"")</f>
        <v/>
      </c>
      <c r="K78" s="52" t="str">
        <f aca="false">IF(L78="","",E78&amp;CHAR(10)&amp;INDEX(ポート振替表!$K$5:$K$3507,$L78)&amp;" "&amp;INDEX(ポート振替表!$L$5:$L$3507,$L78)&amp;CHAR(10)&amp;"⇔ "&amp;INDEX(ポート振替表!$H$5:$H$3507,$L78)&amp;" "&amp;INDEX(ポート振替表!$I$5:$I$3507,$L78))</f>
        <v/>
      </c>
      <c r="L78" s="47" t="str">
        <f aca="false">IFERROR(MATCH(ROW()-4,ポート振替表!$V$5:$V$3507,0),"")</f>
        <v/>
      </c>
    </row>
    <row r="79" customFormat="false" ht="16.4" hidden="false" customHeight="false" outlineLevel="0" collapsed="false">
      <c r="A79" s="32" t="str">
        <f aca="false">IF(L79="","",ROW()-4)</f>
        <v/>
      </c>
      <c r="B79" s="58" t="str">
        <f aca="false">IF(L79="","",IF(INDEX(ポート振替表!$W$5:$W$3507,$L79)="","(なし)",INDEX(ポート振替表!$W$5:$W$3507,$L79)&amp;""))</f>
        <v/>
      </c>
      <c r="C79" s="52" t="str">
        <f aca="false">IF(L79="","",INDEX(ポート振替表!$B$5:$B$3507,$L79)&amp;" "&amp;INDEX(ポート振替表!$C$5:$C$3507,$L79)&amp;"  ⇔  "&amp;INDEX(ポート振替表!$H$5:$H$3507,$L79)&amp;" "&amp;INDEX(ポート振替表!$I$5:$I$3507,$L79))</f>
        <v/>
      </c>
      <c r="D79" s="57" t="s">
        <v>158</v>
      </c>
      <c r="E79" s="59" t="str">
        <f aca="false">IF(L79="","",IF(INDEX(ポート振替表!$O$5:$O$3507,$L79)="","(未設定)",INDEX(ポート振替表!$O$5:$O$3507,$L79)&amp;""))</f>
        <v/>
      </c>
      <c r="F79" s="52" t="str">
        <f aca="false">IF(L79="","",INDEX(ポート振替表!$K$5:$K$3507,$L79)&amp;" "&amp;INDEX(ポート振替表!$L$5:$L$3507,$L79)&amp;"  ⇔  "&amp;INDEX(ポート振替表!$H$5:$H$3507,$L79)&amp;" "&amp;INDEX(ポート振替表!$I$5:$I$3507,$L79))</f>
        <v/>
      </c>
      <c r="G79" s="57" t="s">
        <v>158</v>
      </c>
      <c r="H79" s="32" t="str">
        <f aca="false">IF(L79="","",INDEX(ポート振替表!$N$5:$N$3507,$L79)&amp;"")</f>
        <v/>
      </c>
      <c r="I79" s="32" t="str">
        <f aca="false">IF(L79="","",INDEX(ポート振替表!$P$5:$P$3507,$L79)&amp;"")</f>
        <v/>
      </c>
      <c r="J79" s="60" t="str">
        <f aca="false">IF(L79="","",INDEX(ポート振替表!$M$5:$M$3507,$L79)&amp;"")</f>
        <v/>
      </c>
      <c r="K79" s="52" t="str">
        <f aca="false">IF(L79="","",E79&amp;CHAR(10)&amp;INDEX(ポート振替表!$K$5:$K$3507,$L79)&amp;" "&amp;INDEX(ポート振替表!$L$5:$L$3507,$L79)&amp;CHAR(10)&amp;"⇔ "&amp;INDEX(ポート振替表!$H$5:$H$3507,$L79)&amp;" "&amp;INDEX(ポート振替表!$I$5:$I$3507,$L79))</f>
        <v/>
      </c>
      <c r="L79" s="47" t="str">
        <f aca="false">IFERROR(MATCH(ROW()-4,ポート振替表!$V$5:$V$3507,0),"")</f>
        <v/>
      </c>
    </row>
    <row r="80" customFormat="false" ht="16.4" hidden="false" customHeight="false" outlineLevel="0" collapsed="false">
      <c r="A80" s="32" t="str">
        <f aca="false">IF(L80="","",ROW()-4)</f>
        <v/>
      </c>
      <c r="B80" s="58" t="str">
        <f aca="false">IF(L80="","",IF(INDEX(ポート振替表!$W$5:$W$3507,$L80)="","(なし)",INDEX(ポート振替表!$W$5:$W$3507,$L80)&amp;""))</f>
        <v/>
      </c>
      <c r="C80" s="52" t="str">
        <f aca="false">IF(L80="","",INDEX(ポート振替表!$B$5:$B$3507,$L80)&amp;" "&amp;INDEX(ポート振替表!$C$5:$C$3507,$L80)&amp;"  ⇔  "&amp;INDEX(ポート振替表!$H$5:$H$3507,$L80)&amp;" "&amp;INDEX(ポート振替表!$I$5:$I$3507,$L80))</f>
        <v/>
      </c>
      <c r="D80" s="57" t="s">
        <v>158</v>
      </c>
      <c r="E80" s="59" t="str">
        <f aca="false">IF(L80="","",IF(INDEX(ポート振替表!$O$5:$O$3507,$L80)="","(未設定)",INDEX(ポート振替表!$O$5:$O$3507,$L80)&amp;""))</f>
        <v/>
      </c>
      <c r="F80" s="52" t="str">
        <f aca="false">IF(L80="","",INDEX(ポート振替表!$K$5:$K$3507,$L80)&amp;" "&amp;INDEX(ポート振替表!$L$5:$L$3507,$L80)&amp;"  ⇔  "&amp;INDEX(ポート振替表!$H$5:$H$3507,$L80)&amp;" "&amp;INDEX(ポート振替表!$I$5:$I$3507,$L80))</f>
        <v/>
      </c>
      <c r="G80" s="57" t="s">
        <v>158</v>
      </c>
      <c r="H80" s="32" t="str">
        <f aca="false">IF(L80="","",INDEX(ポート振替表!$N$5:$N$3507,$L80)&amp;"")</f>
        <v/>
      </c>
      <c r="I80" s="32" t="str">
        <f aca="false">IF(L80="","",INDEX(ポート振替表!$P$5:$P$3507,$L80)&amp;"")</f>
        <v/>
      </c>
      <c r="J80" s="60" t="str">
        <f aca="false">IF(L80="","",INDEX(ポート振替表!$M$5:$M$3507,$L80)&amp;"")</f>
        <v/>
      </c>
      <c r="K80" s="52" t="str">
        <f aca="false">IF(L80="","",E80&amp;CHAR(10)&amp;INDEX(ポート振替表!$K$5:$K$3507,$L80)&amp;" "&amp;INDEX(ポート振替表!$L$5:$L$3507,$L80)&amp;CHAR(10)&amp;"⇔ "&amp;INDEX(ポート振替表!$H$5:$H$3507,$L80)&amp;" "&amp;INDEX(ポート振替表!$I$5:$I$3507,$L80))</f>
        <v/>
      </c>
      <c r="L80" s="47" t="str">
        <f aca="false">IFERROR(MATCH(ROW()-4,ポート振替表!$V$5:$V$3507,0),"")</f>
        <v/>
      </c>
    </row>
    <row r="81" customFormat="false" ht="16.4" hidden="false" customHeight="false" outlineLevel="0" collapsed="false">
      <c r="A81" s="32" t="str">
        <f aca="false">IF(L81="","",ROW()-4)</f>
        <v/>
      </c>
      <c r="B81" s="58" t="str">
        <f aca="false">IF(L81="","",IF(INDEX(ポート振替表!$W$5:$W$3507,$L81)="","(なし)",INDEX(ポート振替表!$W$5:$W$3507,$L81)&amp;""))</f>
        <v/>
      </c>
      <c r="C81" s="52" t="str">
        <f aca="false">IF(L81="","",INDEX(ポート振替表!$B$5:$B$3507,$L81)&amp;" "&amp;INDEX(ポート振替表!$C$5:$C$3507,$L81)&amp;"  ⇔  "&amp;INDEX(ポート振替表!$H$5:$H$3507,$L81)&amp;" "&amp;INDEX(ポート振替表!$I$5:$I$3507,$L81))</f>
        <v/>
      </c>
      <c r="D81" s="57" t="s">
        <v>158</v>
      </c>
      <c r="E81" s="59" t="str">
        <f aca="false">IF(L81="","",IF(INDEX(ポート振替表!$O$5:$O$3507,$L81)="","(未設定)",INDEX(ポート振替表!$O$5:$O$3507,$L81)&amp;""))</f>
        <v/>
      </c>
      <c r="F81" s="52" t="str">
        <f aca="false">IF(L81="","",INDEX(ポート振替表!$K$5:$K$3507,$L81)&amp;" "&amp;INDEX(ポート振替表!$L$5:$L$3507,$L81)&amp;"  ⇔  "&amp;INDEX(ポート振替表!$H$5:$H$3507,$L81)&amp;" "&amp;INDEX(ポート振替表!$I$5:$I$3507,$L81))</f>
        <v/>
      </c>
      <c r="G81" s="57" t="s">
        <v>158</v>
      </c>
      <c r="H81" s="32" t="str">
        <f aca="false">IF(L81="","",INDEX(ポート振替表!$N$5:$N$3507,$L81)&amp;"")</f>
        <v/>
      </c>
      <c r="I81" s="32" t="str">
        <f aca="false">IF(L81="","",INDEX(ポート振替表!$P$5:$P$3507,$L81)&amp;"")</f>
        <v/>
      </c>
      <c r="J81" s="60" t="str">
        <f aca="false">IF(L81="","",INDEX(ポート振替表!$M$5:$M$3507,$L81)&amp;"")</f>
        <v/>
      </c>
      <c r="K81" s="52" t="str">
        <f aca="false">IF(L81="","",E81&amp;CHAR(10)&amp;INDEX(ポート振替表!$K$5:$K$3507,$L81)&amp;" "&amp;INDEX(ポート振替表!$L$5:$L$3507,$L81)&amp;CHAR(10)&amp;"⇔ "&amp;INDEX(ポート振替表!$H$5:$H$3507,$L81)&amp;" "&amp;INDEX(ポート振替表!$I$5:$I$3507,$L81))</f>
        <v/>
      </c>
      <c r="L81" s="47" t="str">
        <f aca="false">IFERROR(MATCH(ROW()-4,ポート振替表!$V$5:$V$3507,0),"")</f>
        <v/>
      </c>
    </row>
    <row r="82" customFormat="false" ht="16.4" hidden="false" customHeight="false" outlineLevel="0" collapsed="false">
      <c r="A82" s="32" t="str">
        <f aca="false">IF(L82="","",ROW()-4)</f>
        <v/>
      </c>
      <c r="B82" s="58" t="str">
        <f aca="false">IF(L82="","",IF(INDEX(ポート振替表!$W$5:$W$3507,$L82)="","(なし)",INDEX(ポート振替表!$W$5:$W$3507,$L82)&amp;""))</f>
        <v/>
      </c>
      <c r="C82" s="52" t="str">
        <f aca="false">IF(L82="","",INDEX(ポート振替表!$B$5:$B$3507,$L82)&amp;" "&amp;INDEX(ポート振替表!$C$5:$C$3507,$L82)&amp;"  ⇔  "&amp;INDEX(ポート振替表!$H$5:$H$3507,$L82)&amp;" "&amp;INDEX(ポート振替表!$I$5:$I$3507,$L82))</f>
        <v/>
      </c>
      <c r="D82" s="57" t="s">
        <v>158</v>
      </c>
      <c r="E82" s="59" t="str">
        <f aca="false">IF(L82="","",IF(INDEX(ポート振替表!$O$5:$O$3507,$L82)="","(未設定)",INDEX(ポート振替表!$O$5:$O$3507,$L82)&amp;""))</f>
        <v/>
      </c>
      <c r="F82" s="52" t="str">
        <f aca="false">IF(L82="","",INDEX(ポート振替表!$K$5:$K$3507,$L82)&amp;" "&amp;INDEX(ポート振替表!$L$5:$L$3507,$L82)&amp;"  ⇔  "&amp;INDEX(ポート振替表!$H$5:$H$3507,$L82)&amp;" "&amp;INDEX(ポート振替表!$I$5:$I$3507,$L82))</f>
        <v/>
      </c>
      <c r="G82" s="57" t="s">
        <v>158</v>
      </c>
      <c r="H82" s="32" t="str">
        <f aca="false">IF(L82="","",INDEX(ポート振替表!$N$5:$N$3507,$L82)&amp;"")</f>
        <v/>
      </c>
      <c r="I82" s="32" t="str">
        <f aca="false">IF(L82="","",INDEX(ポート振替表!$P$5:$P$3507,$L82)&amp;"")</f>
        <v/>
      </c>
      <c r="J82" s="60" t="str">
        <f aca="false">IF(L82="","",INDEX(ポート振替表!$M$5:$M$3507,$L82)&amp;"")</f>
        <v/>
      </c>
      <c r="K82" s="52" t="str">
        <f aca="false">IF(L82="","",E82&amp;CHAR(10)&amp;INDEX(ポート振替表!$K$5:$K$3507,$L82)&amp;" "&amp;INDEX(ポート振替表!$L$5:$L$3507,$L82)&amp;CHAR(10)&amp;"⇔ "&amp;INDEX(ポート振替表!$H$5:$H$3507,$L82)&amp;" "&amp;INDEX(ポート振替表!$I$5:$I$3507,$L82))</f>
        <v/>
      </c>
      <c r="L82" s="47" t="str">
        <f aca="false">IFERROR(MATCH(ROW()-4,ポート振替表!$V$5:$V$3507,0),"")</f>
        <v/>
      </c>
    </row>
    <row r="83" customFormat="false" ht="16.4" hidden="false" customHeight="false" outlineLevel="0" collapsed="false">
      <c r="A83" s="32" t="str">
        <f aca="false">IF(L83="","",ROW()-4)</f>
        <v/>
      </c>
      <c r="B83" s="58" t="str">
        <f aca="false">IF(L83="","",IF(INDEX(ポート振替表!$W$5:$W$3507,$L83)="","(なし)",INDEX(ポート振替表!$W$5:$W$3507,$L83)&amp;""))</f>
        <v/>
      </c>
      <c r="C83" s="52" t="str">
        <f aca="false">IF(L83="","",INDEX(ポート振替表!$B$5:$B$3507,$L83)&amp;" "&amp;INDEX(ポート振替表!$C$5:$C$3507,$L83)&amp;"  ⇔  "&amp;INDEX(ポート振替表!$H$5:$H$3507,$L83)&amp;" "&amp;INDEX(ポート振替表!$I$5:$I$3507,$L83))</f>
        <v/>
      </c>
      <c r="D83" s="57" t="s">
        <v>158</v>
      </c>
      <c r="E83" s="59" t="str">
        <f aca="false">IF(L83="","",IF(INDEX(ポート振替表!$O$5:$O$3507,$L83)="","(未設定)",INDEX(ポート振替表!$O$5:$O$3507,$L83)&amp;""))</f>
        <v/>
      </c>
      <c r="F83" s="52" t="str">
        <f aca="false">IF(L83="","",INDEX(ポート振替表!$K$5:$K$3507,$L83)&amp;" "&amp;INDEX(ポート振替表!$L$5:$L$3507,$L83)&amp;"  ⇔  "&amp;INDEX(ポート振替表!$H$5:$H$3507,$L83)&amp;" "&amp;INDEX(ポート振替表!$I$5:$I$3507,$L83))</f>
        <v/>
      </c>
      <c r="G83" s="57" t="s">
        <v>158</v>
      </c>
      <c r="H83" s="32" t="str">
        <f aca="false">IF(L83="","",INDEX(ポート振替表!$N$5:$N$3507,$L83)&amp;"")</f>
        <v/>
      </c>
      <c r="I83" s="32" t="str">
        <f aca="false">IF(L83="","",INDEX(ポート振替表!$P$5:$P$3507,$L83)&amp;"")</f>
        <v/>
      </c>
      <c r="J83" s="60" t="str">
        <f aca="false">IF(L83="","",INDEX(ポート振替表!$M$5:$M$3507,$L83)&amp;"")</f>
        <v/>
      </c>
      <c r="K83" s="52" t="str">
        <f aca="false">IF(L83="","",E83&amp;CHAR(10)&amp;INDEX(ポート振替表!$K$5:$K$3507,$L83)&amp;" "&amp;INDEX(ポート振替表!$L$5:$L$3507,$L83)&amp;CHAR(10)&amp;"⇔ "&amp;INDEX(ポート振替表!$H$5:$H$3507,$L83)&amp;" "&amp;INDEX(ポート振替表!$I$5:$I$3507,$L83))</f>
        <v/>
      </c>
      <c r="L83" s="47" t="str">
        <f aca="false">IFERROR(MATCH(ROW()-4,ポート振替表!$V$5:$V$3507,0),"")</f>
        <v/>
      </c>
    </row>
    <row r="84" customFormat="false" ht="16.4" hidden="false" customHeight="false" outlineLevel="0" collapsed="false">
      <c r="A84" s="32" t="str">
        <f aca="false">IF(L84="","",ROW()-4)</f>
        <v/>
      </c>
      <c r="B84" s="58" t="str">
        <f aca="false">IF(L84="","",IF(INDEX(ポート振替表!$W$5:$W$3507,$L84)="","(なし)",INDEX(ポート振替表!$W$5:$W$3507,$L84)&amp;""))</f>
        <v/>
      </c>
      <c r="C84" s="52" t="str">
        <f aca="false">IF(L84="","",INDEX(ポート振替表!$B$5:$B$3507,$L84)&amp;" "&amp;INDEX(ポート振替表!$C$5:$C$3507,$L84)&amp;"  ⇔  "&amp;INDEX(ポート振替表!$H$5:$H$3507,$L84)&amp;" "&amp;INDEX(ポート振替表!$I$5:$I$3507,$L84))</f>
        <v/>
      </c>
      <c r="D84" s="57" t="s">
        <v>158</v>
      </c>
      <c r="E84" s="59" t="str">
        <f aca="false">IF(L84="","",IF(INDEX(ポート振替表!$O$5:$O$3507,$L84)="","(未設定)",INDEX(ポート振替表!$O$5:$O$3507,$L84)&amp;""))</f>
        <v/>
      </c>
      <c r="F84" s="52" t="str">
        <f aca="false">IF(L84="","",INDEX(ポート振替表!$K$5:$K$3507,$L84)&amp;" "&amp;INDEX(ポート振替表!$L$5:$L$3507,$L84)&amp;"  ⇔  "&amp;INDEX(ポート振替表!$H$5:$H$3507,$L84)&amp;" "&amp;INDEX(ポート振替表!$I$5:$I$3507,$L84))</f>
        <v/>
      </c>
      <c r="G84" s="57" t="s">
        <v>158</v>
      </c>
      <c r="H84" s="32" t="str">
        <f aca="false">IF(L84="","",INDEX(ポート振替表!$N$5:$N$3507,$L84)&amp;"")</f>
        <v/>
      </c>
      <c r="I84" s="32" t="str">
        <f aca="false">IF(L84="","",INDEX(ポート振替表!$P$5:$P$3507,$L84)&amp;"")</f>
        <v/>
      </c>
      <c r="J84" s="60" t="str">
        <f aca="false">IF(L84="","",INDEX(ポート振替表!$M$5:$M$3507,$L84)&amp;"")</f>
        <v/>
      </c>
      <c r="K84" s="52" t="str">
        <f aca="false">IF(L84="","",E84&amp;CHAR(10)&amp;INDEX(ポート振替表!$K$5:$K$3507,$L84)&amp;" "&amp;INDEX(ポート振替表!$L$5:$L$3507,$L84)&amp;CHAR(10)&amp;"⇔ "&amp;INDEX(ポート振替表!$H$5:$H$3507,$L84)&amp;" "&amp;INDEX(ポート振替表!$I$5:$I$3507,$L84))</f>
        <v/>
      </c>
      <c r="L84" s="47" t="str">
        <f aca="false">IFERROR(MATCH(ROW()-4,ポート振替表!$V$5:$V$3507,0),"")</f>
        <v/>
      </c>
    </row>
    <row r="85" customFormat="false" ht="16.4" hidden="false" customHeight="false" outlineLevel="0" collapsed="false">
      <c r="A85" s="32" t="str">
        <f aca="false">IF(L85="","",ROW()-4)</f>
        <v/>
      </c>
      <c r="B85" s="58" t="str">
        <f aca="false">IF(L85="","",IF(INDEX(ポート振替表!$W$5:$W$3507,$L85)="","(なし)",INDEX(ポート振替表!$W$5:$W$3507,$L85)&amp;""))</f>
        <v/>
      </c>
      <c r="C85" s="52" t="str">
        <f aca="false">IF(L85="","",INDEX(ポート振替表!$B$5:$B$3507,$L85)&amp;" "&amp;INDEX(ポート振替表!$C$5:$C$3507,$L85)&amp;"  ⇔  "&amp;INDEX(ポート振替表!$H$5:$H$3507,$L85)&amp;" "&amp;INDEX(ポート振替表!$I$5:$I$3507,$L85))</f>
        <v/>
      </c>
      <c r="D85" s="57" t="s">
        <v>158</v>
      </c>
      <c r="E85" s="59" t="str">
        <f aca="false">IF(L85="","",IF(INDEX(ポート振替表!$O$5:$O$3507,$L85)="","(未設定)",INDEX(ポート振替表!$O$5:$O$3507,$L85)&amp;""))</f>
        <v/>
      </c>
      <c r="F85" s="52" t="str">
        <f aca="false">IF(L85="","",INDEX(ポート振替表!$K$5:$K$3507,$L85)&amp;" "&amp;INDEX(ポート振替表!$L$5:$L$3507,$L85)&amp;"  ⇔  "&amp;INDEX(ポート振替表!$H$5:$H$3507,$L85)&amp;" "&amp;INDEX(ポート振替表!$I$5:$I$3507,$L85))</f>
        <v/>
      </c>
      <c r="G85" s="57" t="s">
        <v>158</v>
      </c>
      <c r="H85" s="32" t="str">
        <f aca="false">IF(L85="","",INDEX(ポート振替表!$N$5:$N$3507,$L85)&amp;"")</f>
        <v/>
      </c>
      <c r="I85" s="32" t="str">
        <f aca="false">IF(L85="","",INDEX(ポート振替表!$P$5:$P$3507,$L85)&amp;"")</f>
        <v/>
      </c>
      <c r="J85" s="60" t="str">
        <f aca="false">IF(L85="","",INDEX(ポート振替表!$M$5:$M$3507,$L85)&amp;"")</f>
        <v/>
      </c>
      <c r="K85" s="52" t="str">
        <f aca="false">IF(L85="","",E85&amp;CHAR(10)&amp;INDEX(ポート振替表!$K$5:$K$3507,$L85)&amp;" "&amp;INDEX(ポート振替表!$L$5:$L$3507,$L85)&amp;CHAR(10)&amp;"⇔ "&amp;INDEX(ポート振替表!$H$5:$H$3507,$L85)&amp;" "&amp;INDEX(ポート振替表!$I$5:$I$3507,$L85))</f>
        <v/>
      </c>
      <c r="L85" s="47" t="str">
        <f aca="false">IFERROR(MATCH(ROW()-4,ポート振替表!$V$5:$V$3507,0),"")</f>
        <v/>
      </c>
    </row>
    <row r="86" customFormat="false" ht="16.4" hidden="false" customHeight="false" outlineLevel="0" collapsed="false">
      <c r="A86" s="32" t="str">
        <f aca="false">IF(L86="","",ROW()-4)</f>
        <v/>
      </c>
      <c r="B86" s="58" t="str">
        <f aca="false">IF(L86="","",IF(INDEX(ポート振替表!$W$5:$W$3507,$L86)="","(なし)",INDEX(ポート振替表!$W$5:$W$3507,$L86)&amp;""))</f>
        <v/>
      </c>
      <c r="C86" s="52" t="str">
        <f aca="false">IF(L86="","",INDEX(ポート振替表!$B$5:$B$3507,$L86)&amp;" "&amp;INDEX(ポート振替表!$C$5:$C$3507,$L86)&amp;"  ⇔  "&amp;INDEX(ポート振替表!$H$5:$H$3507,$L86)&amp;" "&amp;INDEX(ポート振替表!$I$5:$I$3507,$L86))</f>
        <v/>
      </c>
      <c r="D86" s="57" t="s">
        <v>158</v>
      </c>
      <c r="E86" s="59" t="str">
        <f aca="false">IF(L86="","",IF(INDEX(ポート振替表!$O$5:$O$3507,$L86)="","(未設定)",INDEX(ポート振替表!$O$5:$O$3507,$L86)&amp;""))</f>
        <v/>
      </c>
      <c r="F86" s="52" t="str">
        <f aca="false">IF(L86="","",INDEX(ポート振替表!$K$5:$K$3507,$L86)&amp;" "&amp;INDEX(ポート振替表!$L$5:$L$3507,$L86)&amp;"  ⇔  "&amp;INDEX(ポート振替表!$H$5:$H$3507,$L86)&amp;" "&amp;INDEX(ポート振替表!$I$5:$I$3507,$L86))</f>
        <v/>
      </c>
      <c r="G86" s="57" t="s">
        <v>158</v>
      </c>
      <c r="H86" s="32" t="str">
        <f aca="false">IF(L86="","",INDEX(ポート振替表!$N$5:$N$3507,$L86)&amp;"")</f>
        <v/>
      </c>
      <c r="I86" s="32" t="str">
        <f aca="false">IF(L86="","",INDEX(ポート振替表!$P$5:$P$3507,$L86)&amp;"")</f>
        <v/>
      </c>
      <c r="J86" s="60" t="str">
        <f aca="false">IF(L86="","",INDEX(ポート振替表!$M$5:$M$3507,$L86)&amp;"")</f>
        <v/>
      </c>
      <c r="K86" s="52" t="str">
        <f aca="false">IF(L86="","",E86&amp;CHAR(10)&amp;INDEX(ポート振替表!$K$5:$K$3507,$L86)&amp;" "&amp;INDEX(ポート振替表!$L$5:$L$3507,$L86)&amp;CHAR(10)&amp;"⇔ "&amp;INDEX(ポート振替表!$H$5:$H$3507,$L86)&amp;" "&amp;INDEX(ポート振替表!$I$5:$I$3507,$L86))</f>
        <v/>
      </c>
      <c r="L86" s="47" t="str">
        <f aca="false">IFERROR(MATCH(ROW()-4,ポート振替表!$V$5:$V$3507,0),"")</f>
        <v/>
      </c>
    </row>
    <row r="87" customFormat="false" ht="16.4" hidden="false" customHeight="false" outlineLevel="0" collapsed="false">
      <c r="A87" s="32" t="str">
        <f aca="false">IF(L87="","",ROW()-4)</f>
        <v/>
      </c>
      <c r="B87" s="58" t="str">
        <f aca="false">IF(L87="","",IF(INDEX(ポート振替表!$W$5:$W$3507,$L87)="","(なし)",INDEX(ポート振替表!$W$5:$W$3507,$L87)&amp;""))</f>
        <v/>
      </c>
      <c r="C87" s="52" t="str">
        <f aca="false">IF(L87="","",INDEX(ポート振替表!$B$5:$B$3507,$L87)&amp;" "&amp;INDEX(ポート振替表!$C$5:$C$3507,$L87)&amp;"  ⇔  "&amp;INDEX(ポート振替表!$H$5:$H$3507,$L87)&amp;" "&amp;INDEX(ポート振替表!$I$5:$I$3507,$L87))</f>
        <v/>
      </c>
      <c r="D87" s="57" t="s">
        <v>158</v>
      </c>
      <c r="E87" s="59" t="str">
        <f aca="false">IF(L87="","",IF(INDEX(ポート振替表!$O$5:$O$3507,$L87)="","(未設定)",INDEX(ポート振替表!$O$5:$O$3507,$L87)&amp;""))</f>
        <v/>
      </c>
      <c r="F87" s="52" t="str">
        <f aca="false">IF(L87="","",INDEX(ポート振替表!$K$5:$K$3507,$L87)&amp;" "&amp;INDEX(ポート振替表!$L$5:$L$3507,$L87)&amp;"  ⇔  "&amp;INDEX(ポート振替表!$H$5:$H$3507,$L87)&amp;" "&amp;INDEX(ポート振替表!$I$5:$I$3507,$L87))</f>
        <v/>
      </c>
      <c r="G87" s="57" t="s">
        <v>158</v>
      </c>
      <c r="H87" s="32" t="str">
        <f aca="false">IF(L87="","",INDEX(ポート振替表!$N$5:$N$3507,$L87)&amp;"")</f>
        <v/>
      </c>
      <c r="I87" s="32" t="str">
        <f aca="false">IF(L87="","",INDEX(ポート振替表!$P$5:$P$3507,$L87)&amp;"")</f>
        <v/>
      </c>
      <c r="J87" s="60" t="str">
        <f aca="false">IF(L87="","",INDEX(ポート振替表!$M$5:$M$3507,$L87)&amp;"")</f>
        <v/>
      </c>
      <c r="K87" s="52" t="str">
        <f aca="false">IF(L87="","",E87&amp;CHAR(10)&amp;INDEX(ポート振替表!$K$5:$K$3507,$L87)&amp;" "&amp;INDEX(ポート振替表!$L$5:$L$3507,$L87)&amp;CHAR(10)&amp;"⇔ "&amp;INDEX(ポート振替表!$H$5:$H$3507,$L87)&amp;" "&amp;INDEX(ポート振替表!$I$5:$I$3507,$L87))</f>
        <v/>
      </c>
      <c r="L87" s="47" t="str">
        <f aca="false">IFERROR(MATCH(ROW()-4,ポート振替表!$V$5:$V$3507,0),"")</f>
        <v/>
      </c>
    </row>
    <row r="88" customFormat="false" ht="16.4" hidden="false" customHeight="false" outlineLevel="0" collapsed="false">
      <c r="A88" s="32" t="str">
        <f aca="false">IF(L88="","",ROW()-4)</f>
        <v/>
      </c>
      <c r="B88" s="58" t="str">
        <f aca="false">IF(L88="","",IF(INDEX(ポート振替表!$W$5:$W$3507,$L88)="","(なし)",INDEX(ポート振替表!$W$5:$W$3507,$L88)&amp;""))</f>
        <v/>
      </c>
      <c r="C88" s="52" t="str">
        <f aca="false">IF(L88="","",INDEX(ポート振替表!$B$5:$B$3507,$L88)&amp;" "&amp;INDEX(ポート振替表!$C$5:$C$3507,$L88)&amp;"  ⇔  "&amp;INDEX(ポート振替表!$H$5:$H$3507,$L88)&amp;" "&amp;INDEX(ポート振替表!$I$5:$I$3507,$L88))</f>
        <v/>
      </c>
      <c r="D88" s="57" t="s">
        <v>158</v>
      </c>
      <c r="E88" s="59" t="str">
        <f aca="false">IF(L88="","",IF(INDEX(ポート振替表!$O$5:$O$3507,$L88)="","(未設定)",INDEX(ポート振替表!$O$5:$O$3507,$L88)&amp;""))</f>
        <v/>
      </c>
      <c r="F88" s="52" t="str">
        <f aca="false">IF(L88="","",INDEX(ポート振替表!$K$5:$K$3507,$L88)&amp;" "&amp;INDEX(ポート振替表!$L$5:$L$3507,$L88)&amp;"  ⇔  "&amp;INDEX(ポート振替表!$H$5:$H$3507,$L88)&amp;" "&amp;INDEX(ポート振替表!$I$5:$I$3507,$L88))</f>
        <v/>
      </c>
      <c r="G88" s="57" t="s">
        <v>158</v>
      </c>
      <c r="H88" s="32" t="str">
        <f aca="false">IF(L88="","",INDEX(ポート振替表!$N$5:$N$3507,$L88)&amp;"")</f>
        <v/>
      </c>
      <c r="I88" s="32" t="str">
        <f aca="false">IF(L88="","",INDEX(ポート振替表!$P$5:$P$3507,$L88)&amp;"")</f>
        <v/>
      </c>
      <c r="J88" s="60" t="str">
        <f aca="false">IF(L88="","",INDEX(ポート振替表!$M$5:$M$3507,$L88)&amp;"")</f>
        <v/>
      </c>
      <c r="K88" s="52" t="str">
        <f aca="false">IF(L88="","",E88&amp;CHAR(10)&amp;INDEX(ポート振替表!$K$5:$K$3507,$L88)&amp;" "&amp;INDEX(ポート振替表!$L$5:$L$3507,$L88)&amp;CHAR(10)&amp;"⇔ "&amp;INDEX(ポート振替表!$H$5:$H$3507,$L88)&amp;" "&amp;INDEX(ポート振替表!$I$5:$I$3507,$L88))</f>
        <v/>
      </c>
      <c r="L88" s="47" t="str">
        <f aca="false">IFERROR(MATCH(ROW()-4,ポート振替表!$V$5:$V$3507,0),"")</f>
        <v/>
      </c>
    </row>
    <row r="89" customFormat="false" ht="16.4" hidden="false" customHeight="false" outlineLevel="0" collapsed="false">
      <c r="A89" s="32" t="str">
        <f aca="false">IF(L89="","",ROW()-4)</f>
        <v/>
      </c>
      <c r="B89" s="58" t="str">
        <f aca="false">IF(L89="","",IF(INDEX(ポート振替表!$W$5:$W$3507,$L89)="","(なし)",INDEX(ポート振替表!$W$5:$W$3507,$L89)&amp;""))</f>
        <v/>
      </c>
      <c r="C89" s="52" t="str">
        <f aca="false">IF(L89="","",INDEX(ポート振替表!$B$5:$B$3507,$L89)&amp;" "&amp;INDEX(ポート振替表!$C$5:$C$3507,$L89)&amp;"  ⇔  "&amp;INDEX(ポート振替表!$H$5:$H$3507,$L89)&amp;" "&amp;INDEX(ポート振替表!$I$5:$I$3507,$L89))</f>
        <v/>
      </c>
      <c r="D89" s="57" t="s">
        <v>158</v>
      </c>
      <c r="E89" s="59" t="str">
        <f aca="false">IF(L89="","",IF(INDEX(ポート振替表!$O$5:$O$3507,$L89)="","(未設定)",INDEX(ポート振替表!$O$5:$O$3507,$L89)&amp;""))</f>
        <v/>
      </c>
      <c r="F89" s="52" t="str">
        <f aca="false">IF(L89="","",INDEX(ポート振替表!$K$5:$K$3507,$L89)&amp;" "&amp;INDEX(ポート振替表!$L$5:$L$3507,$L89)&amp;"  ⇔  "&amp;INDEX(ポート振替表!$H$5:$H$3507,$L89)&amp;" "&amp;INDEX(ポート振替表!$I$5:$I$3507,$L89))</f>
        <v/>
      </c>
      <c r="G89" s="57" t="s">
        <v>158</v>
      </c>
      <c r="H89" s="32" t="str">
        <f aca="false">IF(L89="","",INDEX(ポート振替表!$N$5:$N$3507,$L89)&amp;"")</f>
        <v/>
      </c>
      <c r="I89" s="32" t="str">
        <f aca="false">IF(L89="","",INDEX(ポート振替表!$P$5:$P$3507,$L89)&amp;"")</f>
        <v/>
      </c>
      <c r="J89" s="60" t="str">
        <f aca="false">IF(L89="","",INDEX(ポート振替表!$M$5:$M$3507,$L89)&amp;"")</f>
        <v/>
      </c>
      <c r="K89" s="52" t="str">
        <f aca="false">IF(L89="","",E89&amp;CHAR(10)&amp;INDEX(ポート振替表!$K$5:$K$3507,$L89)&amp;" "&amp;INDEX(ポート振替表!$L$5:$L$3507,$L89)&amp;CHAR(10)&amp;"⇔ "&amp;INDEX(ポート振替表!$H$5:$H$3507,$L89)&amp;" "&amp;INDEX(ポート振替表!$I$5:$I$3507,$L89))</f>
        <v/>
      </c>
      <c r="L89" s="47" t="str">
        <f aca="false">IFERROR(MATCH(ROW()-4,ポート振替表!$V$5:$V$3507,0),"")</f>
        <v/>
      </c>
    </row>
    <row r="90" customFormat="false" ht="16.4" hidden="false" customHeight="false" outlineLevel="0" collapsed="false">
      <c r="A90" s="32" t="str">
        <f aca="false">IF(L90="","",ROW()-4)</f>
        <v/>
      </c>
      <c r="B90" s="58" t="str">
        <f aca="false">IF(L90="","",IF(INDEX(ポート振替表!$W$5:$W$3507,$L90)="","(なし)",INDEX(ポート振替表!$W$5:$W$3507,$L90)&amp;""))</f>
        <v/>
      </c>
      <c r="C90" s="52" t="str">
        <f aca="false">IF(L90="","",INDEX(ポート振替表!$B$5:$B$3507,$L90)&amp;" "&amp;INDEX(ポート振替表!$C$5:$C$3507,$L90)&amp;"  ⇔  "&amp;INDEX(ポート振替表!$H$5:$H$3507,$L90)&amp;" "&amp;INDEX(ポート振替表!$I$5:$I$3507,$L90))</f>
        <v/>
      </c>
      <c r="D90" s="57" t="s">
        <v>158</v>
      </c>
      <c r="E90" s="59" t="str">
        <f aca="false">IF(L90="","",IF(INDEX(ポート振替表!$O$5:$O$3507,$L90)="","(未設定)",INDEX(ポート振替表!$O$5:$O$3507,$L90)&amp;""))</f>
        <v/>
      </c>
      <c r="F90" s="52" t="str">
        <f aca="false">IF(L90="","",INDEX(ポート振替表!$K$5:$K$3507,$L90)&amp;" "&amp;INDEX(ポート振替表!$L$5:$L$3507,$L90)&amp;"  ⇔  "&amp;INDEX(ポート振替表!$H$5:$H$3507,$L90)&amp;" "&amp;INDEX(ポート振替表!$I$5:$I$3507,$L90))</f>
        <v/>
      </c>
      <c r="G90" s="57" t="s">
        <v>158</v>
      </c>
      <c r="H90" s="32" t="str">
        <f aca="false">IF(L90="","",INDEX(ポート振替表!$N$5:$N$3507,$L90)&amp;"")</f>
        <v/>
      </c>
      <c r="I90" s="32" t="str">
        <f aca="false">IF(L90="","",INDEX(ポート振替表!$P$5:$P$3507,$L90)&amp;"")</f>
        <v/>
      </c>
      <c r="J90" s="60" t="str">
        <f aca="false">IF(L90="","",INDEX(ポート振替表!$M$5:$M$3507,$L90)&amp;"")</f>
        <v/>
      </c>
      <c r="K90" s="52" t="str">
        <f aca="false">IF(L90="","",E90&amp;CHAR(10)&amp;INDEX(ポート振替表!$K$5:$K$3507,$L90)&amp;" "&amp;INDEX(ポート振替表!$L$5:$L$3507,$L90)&amp;CHAR(10)&amp;"⇔ "&amp;INDEX(ポート振替表!$H$5:$H$3507,$L90)&amp;" "&amp;INDEX(ポート振替表!$I$5:$I$3507,$L90))</f>
        <v/>
      </c>
      <c r="L90" s="47" t="str">
        <f aca="false">IFERROR(MATCH(ROW()-4,ポート振替表!$V$5:$V$3507,0),"")</f>
        <v/>
      </c>
    </row>
    <row r="91" customFormat="false" ht="16.4" hidden="false" customHeight="false" outlineLevel="0" collapsed="false">
      <c r="A91" s="32" t="str">
        <f aca="false">IF(L91="","",ROW()-4)</f>
        <v/>
      </c>
      <c r="B91" s="58" t="str">
        <f aca="false">IF(L91="","",IF(INDEX(ポート振替表!$W$5:$W$3507,$L91)="","(なし)",INDEX(ポート振替表!$W$5:$W$3507,$L91)&amp;""))</f>
        <v/>
      </c>
      <c r="C91" s="52" t="str">
        <f aca="false">IF(L91="","",INDEX(ポート振替表!$B$5:$B$3507,$L91)&amp;" "&amp;INDEX(ポート振替表!$C$5:$C$3507,$L91)&amp;"  ⇔  "&amp;INDEX(ポート振替表!$H$5:$H$3507,$L91)&amp;" "&amp;INDEX(ポート振替表!$I$5:$I$3507,$L91))</f>
        <v/>
      </c>
      <c r="D91" s="57" t="s">
        <v>158</v>
      </c>
      <c r="E91" s="59" t="str">
        <f aca="false">IF(L91="","",IF(INDEX(ポート振替表!$O$5:$O$3507,$L91)="","(未設定)",INDEX(ポート振替表!$O$5:$O$3507,$L91)&amp;""))</f>
        <v/>
      </c>
      <c r="F91" s="52" t="str">
        <f aca="false">IF(L91="","",INDEX(ポート振替表!$K$5:$K$3507,$L91)&amp;" "&amp;INDEX(ポート振替表!$L$5:$L$3507,$L91)&amp;"  ⇔  "&amp;INDEX(ポート振替表!$H$5:$H$3507,$L91)&amp;" "&amp;INDEX(ポート振替表!$I$5:$I$3507,$L91))</f>
        <v/>
      </c>
      <c r="G91" s="57" t="s">
        <v>158</v>
      </c>
      <c r="H91" s="32" t="str">
        <f aca="false">IF(L91="","",INDEX(ポート振替表!$N$5:$N$3507,$L91)&amp;"")</f>
        <v/>
      </c>
      <c r="I91" s="32" t="str">
        <f aca="false">IF(L91="","",INDEX(ポート振替表!$P$5:$P$3507,$L91)&amp;"")</f>
        <v/>
      </c>
      <c r="J91" s="60" t="str">
        <f aca="false">IF(L91="","",INDEX(ポート振替表!$M$5:$M$3507,$L91)&amp;"")</f>
        <v/>
      </c>
      <c r="K91" s="52" t="str">
        <f aca="false">IF(L91="","",E91&amp;CHAR(10)&amp;INDEX(ポート振替表!$K$5:$K$3507,$L91)&amp;" "&amp;INDEX(ポート振替表!$L$5:$L$3507,$L91)&amp;CHAR(10)&amp;"⇔ "&amp;INDEX(ポート振替表!$H$5:$H$3507,$L91)&amp;" "&amp;INDEX(ポート振替表!$I$5:$I$3507,$L91))</f>
        <v/>
      </c>
      <c r="L91" s="47" t="str">
        <f aca="false">IFERROR(MATCH(ROW()-4,ポート振替表!$V$5:$V$3507,0),"")</f>
        <v/>
      </c>
    </row>
    <row r="92" customFormat="false" ht="16.4" hidden="false" customHeight="false" outlineLevel="0" collapsed="false">
      <c r="A92" s="32" t="str">
        <f aca="false">IF(L92="","",ROW()-4)</f>
        <v/>
      </c>
      <c r="B92" s="58" t="str">
        <f aca="false">IF(L92="","",IF(INDEX(ポート振替表!$W$5:$W$3507,$L92)="","(なし)",INDEX(ポート振替表!$W$5:$W$3507,$L92)&amp;""))</f>
        <v/>
      </c>
      <c r="C92" s="52" t="str">
        <f aca="false">IF(L92="","",INDEX(ポート振替表!$B$5:$B$3507,$L92)&amp;" "&amp;INDEX(ポート振替表!$C$5:$C$3507,$L92)&amp;"  ⇔  "&amp;INDEX(ポート振替表!$H$5:$H$3507,$L92)&amp;" "&amp;INDEX(ポート振替表!$I$5:$I$3507,$L92))</f>
        <v/>
      </c>
      <c r="D92" s="57" t="s">
        <v>158</v>
      </c>
      <c r="E92" s="59" t="str">
        <f aca="false">IF(L92="","",IF(INDEX(ポート振替表!$O$5:$O$3507,$L92)="","(未設定)",INDEX(ポート振替表!$O$5:$O$3507,$L92)&amp;""))</f>
        <v/>
      </c>
      <c r="F92" s="52" t="str">
        <f aca="false">IF(L92="","",INDEX(ポート振替表!$K$5:$K$3507,$L92)&amp;" "&amp;INDEX(ポート振替表!$L$5:$L$3507,$L92)&amp;"  ⇔  "&amp;INDEX(ポート振替表!$H$5:$H$3507,$L92)&amp;" "&amp;INDEX(ポート振替表!$I$5:$I$3507,$L92))</f>
        <v/>
      </c>
      <c r="G92" s="57" t="s">
        <v>158</v>
      </c>
      <c r="H92" s="32" t="str">
        <f aca="false">IF(L92="","",INDEX(ポート振替表!$N$5:$N$3507,$L92)&amp;"")</f>
        <v/>
      </c>
      <c r="I92" s="32" t="str">
        <f aca="false">IF(L92="","",INDEX(ポート振替表!$P$5:$P$3507,$L92)&amp;"")</f>
        <v/>
      </c>
      <c r="J92" s="60" t="str">
        <f aca="false">IF(L92="","",INDEX(ポート振替表!$M$5:$M$3507,$L92)&amp;"")</f>
        <v/>
      </c>
      <c r="K92" s="52" t="str">
        <f aca="false">IF(L92="","",E92&amp;CHAR(10)&amp;INDEX(ポート振替表!$K$5:$K$3507,$L92)&amp;" "&amp;INDEX(ポート振替表!$L$5:$L$3507,$L92)&amp;CHAR(10)&amp;"⇔ "&amp;INDEX(ポート振替表!$H$5:$H$3507,$L92)&amp;" "&amp;INDEX(ポート振替表!$I$5:$I$3507,$L92))</f>
        <v/>
      </c>
      <c r="L92" s="47" t="str">
        <f aca="false">IFERROR(MATCH(ROW()-4,ポート振替表!$V$5:$V$3507,0),"")</f>
        <v/>
      </c>
    </row>
    <row r="93" customFormat="false" ht="16.4" hidden="false" customHeight="false" outlineLevel="0" collapsed="false">
      <c r="A93" s="32" t="str">
        <f aca="false">IF(L93="","",ROW()-4)</f>
        <v/>
      </c>
      <c r="B93" s="58" t="str">
        <f aca="false">IF(L93="","",IF(INDEX(ポート振替表!$W$5:$W$3507,$L93)="","(なし)",INDEX(ポート振替表!$W$5:$W$3507,$L93)&amp;""))</f>
        <v/>
      </c>
      <c r="C93" s="52" t="str">
        <f aca="false">IF(L93="","",INDEX(ポート振替表!$B$5:$B$3507,$L93)&amp;" "&amp;INDEX(ポート振替表!$C$5:$C$3507,$L93)&amp;"  ⇔  "&amp;INDEX(ポート振替表!$H$5:$H$3507,$L93)&amp;" "&amp;INDEX(ポート振替表!$I$5:$I$3507,$L93))</f>
        <v/>
      </c>
      <c r="D93" s="57" t="s">
        <v>158</v>
      </c>
      <c r="E93" s="59" t="str">
        <f aca="false">IF(L93="","",IF(INDEX(ポート振替表!$O$5:$O$3507,$L93)="","(未設定)",INDEX(ポート振替表!$O$5:$O$3507,$L93)&amp;""))</f>
        <v/>
      </c>
      <c r="F93" s="52" t="str">
        <f aca="false">IF(L93="","",INDEX(ポート振替表!$K$5:$K$3507,$L93)&amp;" "&amp;INDEX(ポート振替表!$L$5:$L$3507,$L93)&amp;"  ⇔  "&amp;INDEX(ポート振替表!$H$5:$H$3507,$L93)&amp;" "&amp;INDEX(ポート振替表!$I$5:$I$3507,$L93))</f>
        <v/>
      </c>
      <c r="G93" s="57" t="s">
        <v>158</v>
      </c>
      <c r="H93" s="32" t="str">
        <f aca="false">IF(L93="","",INDEX(ポート振替表!$N$5:$N$3507,$L93)&amp;"")</f>
        <v/>
      </c>
      <c r="I93" s="32" t="str">
        <f aca="false">IF(L93="","",INDEX(ポート振替表!$P$5:$P$3507,$L93)&amp;"")</f>
        <v/>
      </c>
      <c r="J93" s="60" t="str">
        <f aca="false">IF(L93="","",INDEX(ポート振替表!$M$5:$M$3507,$L93)&amp;"")</f>
        <v/>
      </c>
      <c r="K93" s="52" t="str">
        <f aca="false">IF(L93="","",E93&amp;CHAR(10)&amp;INDEX(ポート振替表!$K$5:$K$3507,$L93)&amp;" "&amp;INDEX(ポート振替表!$L$5:$L$3507,$L93)&amp;CHAR(10)&amp;"⇔ "&amp;INDEX(ポート振替表!$H$5:$H$3507,$L93)&amp;" "&amp;INDEX(ポート振替表!$I$5:$I$3507,$L93))</f>
        <v/>
      </c>
      <c r="L93" s="47" t="str">
        <f aca="false">IFERROR(MATCH(ROW()-4,ポート振替表!$V$5:$V$3507,0),"")</f>
        <v/>
      </c>
    </row>
    <row r="94" customFormat="false" ht="16.4" hidden="false" customHeight="false" outlineLevel="0" collapsed="false">
      <c r="A94" s="32" t="str">
        <f aca="false">IF(L94="","",ROW()-4)</f>
        <v/>
      </c>
      <c r="B94" s="58" t="str">
        <f aca="false">IF(L94="","",IF(INDEX(ポート振替表!$W$5:$W$3507,$L94)="","(なし)",INDEX(ポート振替表!$W$5:$W$3507,$L94)&amp;""))</f>
        <v/>
      </c>
      <c r="C94" s="52" t="str">
        <f aca="false">IF(L94="","",INDEX(ポート振替表!$B$5:$B$3507,$L94)&amp;" "&amp;INDEX(ポート振替表!$C$5:$C$3507,$L94)&amp;"  ⇔  "&amp;INDEX(ポート振替表!$H$5:$H$3507,$L94)&amp;" "&amp;INDEX(ポート振替表!$I$5:$I$3507,$L94))</f>
        <v/>
      </c>
      <c r="D94" s="57" t="s">
        <v>158</v>
      </c>
      <c r="E94" s="59" t="str">
        <f aca="false">IF(L94="","",IF(INDEX(ポート振替表!$O$5:$O$3507,$L94)="","(未設定)",INDEX(ポート振替表!$O$5:$O$3507,$L94)&amp;""))</f>
        <v/>
      </c>
      <c r="F94" s="52" t="str">
        <f aca="false">IF(L94="","",INDEX(ポート振替表!$K$5:$K$3507,$L94)&amp;" "&amp;INDEX(ポート振替表!$L$5:$L$3507,$L94)&amp;"  ⇔  "&amp;INDEX(ポート振替表!$H$5:$H$3507,$L94)&amp;" "&amp;INDEX(ポート振替表!$I$5:$I$3507,$L94))</f>
        <v/>
      </c>
      <c r="G94" s="57" t="s">
        <v>158</v>
      </c>
      <c r="H94" s="32" t="str">
        <f aca="false">IF(L94="","",INDEX(ポート振替表!$N$5:$N$3507,$L94)&amp;"")</f>
        <v/>
      </c>
      <c r="I94" s="32" t="str">
        <f aca="false">IF(L94="","",INDEX(ポート振替表!$P$5:$P$3507,$L94)&amp;"")</f>
        <v/>
      </c>
      <c r="J94" s="60" t="str">
        <f aca="false">IF(L94="","",INDEX(ポート振替表!$M$5:$M$3507,$L94)&amp;"")</f>
        <v/>
      </c>
      <c r="K94" s="52" t="str">
        <f aca="false">IF(L94="","",E94&amp;CHAR(10)&amp;INDEX(ポート振替表!$K$5:$K$3507,$L94)&amp;" "&amp;INDEX(ポート振替表!$L$5:$L$3507,$L94)&amp;CHAR(10)&amp;"⇔ "&amp;INDEX(ポート振替表!$H$5:$H$3507,$L94)&amp;" "&amp;INDEX(ポート振替表!$I$5:$I$3507,$L94))</f>
        <v/>
      </c>
      <c r="L94" s="47" t="str">
        <f aca="false">IFERROR(MATCH(ROW()-4,ポート振替表!$V$5:$V$3507,0),"")</f>
        <v/>
      </c>
    </row>
    <row r="95" customFormat="false" ht="16.4" hidden="false" customHeight="false" outlineLevel="0" collapsed="false">
      <c r="A95" s="32" t="str">
        <f aca="false">IF(L95="","",ROW()-4)</f>
        <v/>
      </c>
      <c r="B95" s="58" t="str">
        <f aca="false">IF(L95="","",IF(INDEX(ポート振替表!$W$5:$W$3507,$L95)="","(なし)",INDEX(ポート振替表!$W$5:$W$3507,$L95)&amp;""))</f>
        <v/>
      </c>
      <c r="C95" s="52" t="str">
        <f aca="false">IF(L95="","",INDEX(ポート振替表!$B$5:$B$3507,$L95)&amp;" "&amp;INDEX(ポート振替表!$C$5:$C$3507,$L95)&amp;"  ⇔  "&amp;INDEX(ポート振替表!$H$5:$H$3507,$L95)&amp;" "&amp;INDEX(ポート振替表!$I$5:$I$3507,$L95))</f>
        <v/>
      </c>
      <c r="D95" s="57" t="s">
        <v>158</v>
      </c>
      <c r="E95" s="59" t="str">
        <f aca="false">IF(L95="","",IF(INDEX(ポート振替表!$O$5:$O$3507,$L95)="","(未設定)",INDEX(ポート振替表!$O$5:$O$3507,$L95)&amp;""))</f>
        <v/>
      </c>
      <c r="F95" s="52" t="str">
        <f aca="false">IF(L95="","",INDEX(ポート振替表!$K$5:$K$3507,$L95)&amp;" "&amp;INDEX(ポート振替表!$L$5:$L$3507,$L95)&amp;"  ⇔  "&amp;INDEX(ポート振替表!$H$5:$H$3507,$L95)&amp;" "&amp;INDEX(ポート振替表!$I$5:$I$3507,$L95))</f>
        <v/>
      </c>
      <c r="G95" s="57" t="s">
        <v>158</v>
      </c>
      <c r="H95" s="32" t="str">
        <f aca="false">IF(L95="","",INDEX(ポート振替表!$N$5:$N$3507,$L95)&amp;"")</f>
        <v/>
      </c>
      <c r="I95" s="32" t="str">
        <f aca="false">IF(L95="","",INDEX(ポート振替表!$P$5:$P$3507,$L95)&amp;"")</f>
        <v/>
      </c>
      <c r="J95" s="60" t="str">
        <f aca="false">IF(L95="","",INDEX(ポート振替表!$M$5:$M$3507,$L95)&amp;"")</f>
        <v/>
      </c>
      <c r="K95" s="52" t="str">
        <f aca="false">IF(L95="","",E95&amp;CHAR(10)&amp;INDEX(ポート振替表!$K$5:$K$3507,$L95)&amp;" "&amp;INDEX(ポート振替表!$L$5:$L$3507,$L95)&amp;CHAR(10)&amp;"⇔ "&amp;INDEX(ポート振替表!$H$5:$H$3507,$L95)&amp;" "&amp;INDEX(ポート振替表!$I$5:$I$3507,$L95))</f>
        <v/>
      </c>
      <c r="L95" s="47" t="str">
        <f aca="false">IFERROR(MATCH(ROW()-4,ポート振替表!$V$5:$V$3507,0),"")</f>
        <v/>
      </c>
    </row>
    <row r="96" customFormat="false" ht="16.4" hidden="false" customHeight="false" outlineLevel="0" collapsed="false">
      <c r="A96" s="32" t="str">
        <f aca="false">IF(L96="","",ROW()-4)</f>
        <v/>
      </c>
      <c r="B96" s="58" t="str">
        <f aca="false">IF(L96="","",IF(INDEX(ポート振替表!$W$5:$W$3507,$L96)="","(なし)",INDEX(ポート振替表!$W$5:$W$3507,$L96)&amp;""))</f>
        <v/>
      </c>
      <c r="C96" s="52" t="str">
        <f aca="false">IF(L96="","",INDEX(ポート振替表!$B$5:$B$3507,$L96)&amp;" "&amp;INDEX(ポート振替表!$C$5:$C$3507,$L96)&amp;"  ⇔  "&amp;INDEX(ポート振替表!$H$5:$H$3507,$L96)&amp;" "&amp;INDEX(ポート振替表!$I$5:$I$3507,$L96))</f>
        <v/>
      </c>
      <c r="D96" s="57" t="s">
        <v>158</v>
      </c>
      <c r="E96" s="59" t="str">
        <f aca="false">IF(L96="","",IF(INDEX(ポート振替表!$O$5:$O$3507,$L96)="","(未設定)",INDEX(ポート振替表!$O$5:$O$3507,$L96)&amp;""))</f>
        <v/>
      </c>
      <c r="F96" s="52" t="str">
        <f aca="false">IF(L96="","",INDEX(ポート振替表!$K$5:$K$3507,$L96)&amp;" "&amp;INDEX(ポート振替表!$L$5:$L$3507,$L96)&amp;"  ⇔  "&amp;INDEX(ポート振替表!$H$5:$H$3507,$L96)&amp;" "&amp;INDEX(ポート振替表!$I$5:$I$3507,$L96))</f>
        <v/>
      </c>
      <c r="G96" s="57" t="s">
        <v>158</v>
      </c>
      <c r="H96" s="32" t="str">
        <f aca="false">IF(L96="","",INDEX(ポート振替表!$N$5:$N$3507,$L96)&amp;"")</f>
        <v/>
      </c>
      <c r="I96" s="32" t="str">
        <f aca="false">IF(L96="","",INDEX(ポート振替表!$P$5:$P$3507,$L96)&amp;"")</f>
        <v/>
      </c>
      <c r="J96" s="60" t="str">
        <f aca="false">IF(L96="","",INDEX(ポート振替表!$M$5:$M$3507,$L96)&amp;"")</f>
        <v/>
      </c>
      <c r="K96" s="52" t="str">
        <f aca="false">IF(L96="","",E96&amp;CHAR(10)&amp;INDEX(ポート振替表!$K$5:$K$3507,$L96)&amp;" "&amp;INDEX(ポート振替表!$L$5:$L$3507,$L96)&amp;CHAR(10)&amp;"⇔ "&amp;INDEX(ポート振替表!$H$5:$H$3507,$L96)&amp;" "&amp;INDEX(ポート振替表!$I$5:$I$3507,$L96))</f>
        <v/>
      </c>
      <c r="L96" s="47" t="str">
        <f aca="false">IFERROR(MATCH(ROW()-4,ポート振替表!$V$5:$V$3507,0),"")</f>
        <v/>
      </c>
    </row>
    <row r="97" customFormat="false" ht="16.4" hidden="false" customHeight="false" outlineLevel="0" collapsed="false">
      <c r="A97" s="32" t="str">
        <f aca="false">IF(L97="","",ROW()-4)</f>
        <v/>
      </c>
      <c r="B97" s="58" t="str">
        <f aca="false">IF(L97="","",IF(INDEX(ポート振替表!$W$5:$W$3507,$L97)="","(なし)",INDEX(ポート振替表!$W$5:$W$3507,$L97)&amp;""))</f>
        <v/>
      </c>
      <c r="C97" s="52" t="str">
        <f aca="false">IF(L97="","",INDEX(ポート振替表!$B$5:$B$3507,$L97)&amp;" "&amp;INDEX(ポート振替表!$C$5:$C$3507,$L97)&amp;"  ⇔  "&amp;INDEX(ポート振替表!$H$5:$H$3507,$L97)&amp;" "&amp;INDEX(ポート振替表!$I$5:$I$3507,$L97))</f>
        <v/>
      </c>
      <c r="D97" s="57" t="s">
        <v>158</v>
      </c>
      <c r="E97" s="59" t="str">
        <f aca="false">IF(L97="","",IF(INDEX(ポート振替表!$O$5:$O$3507,$L97)="","(未設定)",INDEX(ポート振替表!$O$5:$O$3507,$L97)&amp;""))</f>
        <v/>
      </c>
      <c r="F97" s="52" t="str">
        <f aca="false">IF(L97="","",INDEX(ポート振替表!$K$5:$K$3507,$L97)&amp;" "&amp;INDEX(ポート振替表!$L$5:$L$3507,$L97)&amp;"  ⇔  "&amp;INDEX(ポート振替表!$H$5:$H$3507,$L97)&amp;" "&amp;INDEX(ポート振替表!$I$5:$I$3507,$L97))</f>
        <v/>
      </c>
      <c r="G97" s="57" t="s">
        <v>158</v>
      </c>
      <c r="H97" s="32" t="str">
        <f aca="false">IF(L97="","",INDEX(ポート振替表!$N$5:$N$3507,$L97)&amp;"")</f>
        <v/>
      </c>
      <c r="I97" s="32" t="str">
        <f aca="false">IF(L97="","",INDEX(ポート振替表!$P$5:$P$3507,$L97)&amp;"")</f>
        <v/>
      </c>
      <c r="J97" s="60" t="str">
        <f aca="false">IF(L97="","",INDEX(ポート振替表!$M$5:$M$3507,$L97)&amp;"")</f>
        <v/>
      </c>
      <c r="K97" s="52" t="str">
        <f aca="false">IF(L97="","",E97&amp;CHAR(10)&amp;INDEX(ポート振替表!$K$5:$K$3507,$L97)&amp;" "&amp;INDEX(ポート振替表!$L$5:$L$3507,$L97)&amp;CHAR(10)&amp;"⇔ "&amp;INDEX(ポート振替表!$H$5:$H$3507,$L97)&amp;" "&amp;INDEX(ポート振替表!$I$5:$I$3507,$L97))</f>
        <v/>
      </c>
      <c r="L97" s="47" t="str">
        <f aca="false">IFERROR(MATCH(ROW()-4,ポート振替表!$V$5:$V$3507,0),"")</f>
        <v/>
      </c>
    </row>
    <row r="98" customFormat="false" ht="16.4" hidden="false" customHeight="false" outlineLevel="0" collapsed="false">
      <c r="A98" s="32" t="str">
        <f aca="false">IF(L98="","",ROW()-4)</f>
        <v/>
      </c>
      <c r="B98" s="58" t="str">
        <f aca="false">IF(L98="","",IF(INDEX(ポート振替表!$W$5:$W$3507,$L98)="","(なし)",INDEX(ポート振替表!$W$5:$W$3507,$L98)&amp;""))</f>
        <v/>
      </c>
      <c r="C98" s="52" t="str">
        <f aca="false">IF(L98="","",INDEX(ポート振替表!$B$5:$B$3507,$L98)&amp;" "&amp;INDEX(ポート振替表!$C$5:$C$3507,$L98)&amp;"  ⇔  "&amp;INDEX(ポート振替表!$H$5:$H$3507,$L98)&amp;" "&amp;INDEX(ポート振替表!$I$5:$I$3507,$L98))</f>
        <v/>
      </c>
      <c r="D98" s="57" t="s">
        <v>158</v>
      </c>
      <c r="E98" s="59" t="str">
        <f aca="false">IF(L98="","",IF(INDEX(ポート振替表!$O$5:$O$3507,$L98)="","(未設定)",INDEX(ポート振替表!$O$5:$O$3507,$L98)&amp;""))</f>
        <v/>
      </c>
      <c r="F98" s="52" t="str">
        <f aca="false">IF(L98="","",INDEX(ポート振替表!$K$5:$K$3507,$L98)&amp;" "&amp;INDEX(ポート振替表!$L$5:$L$3507,$L98)&amp;"  ⇔  "&amp;INDEX(ポート振替表!$H$5:$H$3507,$L98)&amp;" "&amp;INDEX(ポート振替表!$I$5:$I$3507,$L98))</f>
        <v/>
      </c>
      <c r="G98" s="57" t="s">
        <v>158</v>
      </c>
      <c r="H98" s="32" t="str">
        <f aca="false">IF(L98="","",INDEX(ポート振替表!$N$5:$N$3507,$L98)&amp;"")</f>
        <v/>
      </c>
      <c r="I98" s="32" t="str">
        <f aca="false">IF(L98="","",INDEX(ポート振替表!$P$5:$P$3507,$L98)&amp;"")</f>
        <v/>
      </c>
      <c r="J98" s="60" t="str">
        <f aca="false">IF(L98="","",INDEX(ポート振替表!$M$5:$M$3507,$L98)&amp;"")</f>
        <v/>
      </c>
      <c r="K98" s="52" t="str">
        <f aca="false">IF(L98="","",E98&amp;CHAR(10)&amp;INDEX(ポート振替表!$K$5:$K$3507,$L98)&amp;" "&amp;INDEX(ポート振替表!$L$5:$L$3507,$L98)&amp;CHAR(10)&amp;"⇔ "&amp;INDEX(ポート振替表!$H$5:$H$3507,$L98)&amp;" "&amp;INDEX(ポート振替表!$I$5:$I$3507,$L98))</f>
        <v/>
      </c>
      <c r="L98" s="47" t="str">
        <f aca="false">IFERROR(MATCH(ROW()-4,ポート振替表!$V$5:$V$3507,0),"")</f>
        <v/>
      </c>
    </row>
    <row r="99" customFormat="false" ht="16.4" hidden="false" customHeight="false" outlineLevel="0" collapsed="false">
      <c r="A99" s="32" t="str">
        <f aca="false">IF(L99="","",ROW()-4)</f>
        <v/>
      </c>
      <c r="B99" s="58" t="str">
        <f aca="false">IF(L99="","",IF(INDEX(ポート振替表!$W$5:$W$3507,$L99)="","(なし)",INDEX(ポート振替表!$W$5:$W$3507,$L99)&amp;""))</f>
        <v/>
      </c>
      <c r="C99" s="52" t="str">
        <f aca="false">IF(L99="","",INDEX(ポート振替表!$B$5:$B$3507,$L99)&amp;" "&amp;INDEX(ポート振替表!$C$5:$C$3507,$L99)&amp;"  ⇔  "&amp;INDEX(ポート振替表!$H$5:$H$3507,$L99)&amp;" "&amp;INDEX(ポート振替表!$I$5:$I$3507,$L99))</f>
        <v/>
      </c>
      <c r="D99" s="57" t="s">
        <v>158</v>
      </c>
      <c r="E99" s="59" t="str">
        <f aca="false">IF(L99="","",IF(INDEX(ポート振替表!$O$5:$O$3507,$L99)="","(未設定)",INDEX(ポート振替表!$O$5:$O$3507,$L99)&amp;""))</f>
        <v/>
      </c>
      <c r="F99" s="52" t="str">
        <f aca="false">IF(L99="","",INDEX(ポート振替表!$K$5:$K$3507,$L99)&amp;" "&amp;INDEX(ポート振替表!$L$5:$L$3507,$L99)&amp;"  ⇔  "&amp;INDEX(ポート振替表!$H$5:$H$3507,$L99)&amp;" "&amp;INDEX(ポート振替表!$I$5:$I$3507,$L99))</f>
        <v/>
      </c>
      <c r="G99" s="57" t="s">
        <v>158</v>
      </c>
      <c r="H99" s="32" t="str">
        <f aca="false">IF(L99="","",INDEX(ポート振替表!$N$5:$N$3507,$L99)&amp;"")</f>
        <v/>
      </c>
      <c r="I99" s="32" t="str">
        <f aca="false">IF(L99="","",INDEX(ポート振替表!$P$5:$P$3507,$L99)&amp;"")</f>
        <v/>
      </c>
      <c r="J99" s="60" t="str">
        <f aca="false">IF(L99="","",INDEX(ポート振替表!$M$5:$M$3507,$L99)&amp;"")</f>
        <v/>
      </c>
      <c r="K99" s="52" t="str">
        <f aca="false">IF(L99="","",E99&amp;CHAR(10)&amp;INDEX(ポート振替表!$K$5:$K$3507,$L99)&amp;" "&amp;INDEX(ポート振替表!$L$5:$L$3507,$L99)&amp;CHAR(10)&amp;"⇔ "&amp;INDEX(ポート振替表!$H$5:$H$3507,$L99)&amp;" "&amp;INDEX(ポート振替表!$I$5:$I$3507,$L99))</f>
        <v/>
      </c>
      <c r="L99" s="47" t="str">
        <f aca="false">IFERROR(MATCH(ROW()-4,ポート振替表!$V$5:$V$3507,0),"")</f>
        <v/>
      </c>
    </row>
    <row r="100" customFormat="false" ht="16.4" hidden="false" customHeight="false" outlineLevel="0" collapsed="false">
      <c r="A100" s="32" t="str">
        <f aca="false">IF(L100="","",ROW()-4)</f>
        <v/>
      </c>
      <c r="B100" s="58" t="str">
        <f aca="false">IF(L100="","",IF(INDEX(ポート振替表!$W$5:$W$3507,$L100)="","(なし)",INDEX(ポート振替表!$W$5:$W$3507,$L100)&amp;""))</f>
        <v/>
      </c>
      <c r="C100" s="52" t="str">
        <f aca="false">IF(L100="","",INDEX(ポート振替表!$B$5:$B$3507,$L100)&amp;" "&amp;INDEX(ポート振替表!$C$5:$C$3507,$L100)&amp;"  ⇔  "&amp;INDEX(ポート振替表!$H$5:$H$3507,$L100)&amp;" "&amp;INDEX(ポート振替表!$I$5:$I$3507,$L100))</f>
        <v/>
      </c>
      <c r="D100" s="57" t="s">
        <v>158</v>
      </c>
      <c r="E100" s="59" t="str">
        <f aca="false">IF(L100="","",IF(INDEX(ポート振替表!$O$5:$O$3507,$L100)="","(未設定)",INDEX(ポート振替表!$O$5:$O$3507,$L100)&amp;""))</f>
        <v/>
      </c>
      <c r="F100" s="52" t="str">
        <f aca="false">IF(L100="","",INDEX(ポート振替表!$K$5:$K$3507,$L100)&amp;" "&amp;INDEX(ポート振替表!$L$5:$L$3507,$L100)&amp;"  ⇔  "&amp;INDEX(ポート振替表!$H$5:$H$3507,$L100)&amp;" "&amp;INDEX(ポート振替表!$I$5:$I$3507,$L100))</f>
        <v/>
      </c>
      <c r="G100" s="57" t="s">
        <v>158</v>
      </c>
      <c r="H100" s="32" t="str">
        <f aca="false">IF(L100="","",INDEX(ポート振替表!$N$5:$N$3507,$L100)&amp;"")</f>
        <v/>
      </c>
      <c r="I100" s="32" t="str">
        <f aca="false">IF(L100="","",INDEX(ポート振替表!$P$5:$P$3507,$L100)&amp;"")</f>
        <v/>
      </c>
      <c r="J100" s="60" t="str">
        <f aca="false">IF(L100="","",INDEX(ポート振替表!$M$5:$M$3507,$L100)&amp;"")</f>
        <v/>
      </c>
      <c r="K100" s="52" t="str">
        <f aca="false">IF(L100="","",E100&amp;CHAR(10)&amp;INDEX(ポート振替表!$K$5:$K$3507,$L100)&amp;" "&amp;INDEX(ポート振替表!$L$5:$L$3507,$L100)&amp;CHAR(10)&amp;"⇔ "&amp;INDEX(ポート振替表!$H$5:$H$3507,$L100)&amp;" "&amp;INDEX(ポート振替表!$I$5:$I$3507,$L100))</f>
        <v/>
      </c>
      <c r="L100" s="47" t="str">
        <f aca="false">IFERROR(MATCH(ROW()-4,ポート振替表!$V$5:$V$3507,0),"")</f>
        <v/>
      </c>
    </row>
    <row r="101" customFormat="false" ht="16.4" hidden="false" customHeight="false" outlineLevel="0" collapsed="false">
      <c r="A101" s="32" t="str">
        <f aca="false">IF(L101="","",ROW()-4)</f>
        <v/>
      </c>
      <c r="B101" s="58" t="str">
        <f aca="false">IF(L101="","",IF(INDEX(ポート振替表!$W$5:$W$3507,$L101)="","(なし)",INDEX(ポート振替表!$W$5:$W$3507,$L101)&amp;""))</f>
        <v/>
      </c>
      <c r="C101" s="52" t="str">
        <f aca="false">IF(L101="","",INDEX(ポート振替表!$B$5:$B$3507,$L101)&amp;" "&amp;INDEX(ポート振替表!$C$5:$C$3507,$L101)&amp;"  ⇔  "&amp;INDEX(ポート振替表!$H$5:$H$3507,$L101)&amp;" "&amp;INDEX(ポート振替表!$I$5:$I$3507,$L101))</f>
        <v/>
      </c>
      <c r="D101" s="57" t="s">
        <v>158</v>
      </c>
      <c r="E101" s="59" t="str">
        <f aca="false">IF(L101="","",IF(INDEX(ポート振替表!$O$5:$O$3507,$L101)="","(未設定)",INDEX(ポート振替表!$O$5:$O$3507,$L101)&amp;""))</f>
        <v/>
      </c>
      <c r="F101" s="52" t="str">
        <f aca="false">IF(L101="","",INDEX(ポート振替表!$K$5:$K$3507,$L101)&amp;" "&amp;INDEX(ポート振替表!$L$5:$L$3507,$L101)&amp;"  ⇔  "&amp;INDEX(ポート振替表!$H$5:$H$3507,$L101)&amp;" "&amp;INDEX(ポート振替表!$I$5:$I$3507,$L101))</f>
        <v/>
      </c>
      <c r="G101" s="57" t="s">
        <v>158</v>
      </c>
      <c r="H101" s="32" t="str">
        <f aca="false">IF(L101="","",INDEX(ポート振替表!$N$5:$N$3507,$L101)&amp;"")</f>
        <v/>
      </c>
      <c r="I101" s="32" t="str">
        <f aca="false">IF(L101="","",INDEX(ポート振替表!$P$5:$P$3507,$L101)&amp;"")</f>
        <v/>
      </c>
      <c r="J101" s="60" t="str">
        <f aca="false">IF(L101="","",INDEX(ポート振替表!$M$5:$M$3507,$L101)&amp;"")</f>
        <v/>
      </c>
      <c r="K101" s="52" t="str">
        <f aca="false">IF(L101="","",E101&amp;CHAR(10)&amp;INDEX(ポート振替表!$K$5:$K$3507,$L101)&amp;" "&amp;INDEX(ポート振替表!$L$5:$L$3507,$L101)&amp;CHAR(10)&amp;"⇔ "&amp;INDEX(ポート振替表!$H$5:$H$3507,$L101)&amp;" "&amp;INDEX(ポート振替表!$I$5:$I$3507,$L101))</f>
        <v/>
      </c>
      <c r="L101" s="47" t="str">
        <f aca="false">IFERROR(MATCH(ROW()-4,ポート振替表!$V$5:$V$3507,0),"")</f>
        <v/>
      </c>
    </row>
    <row r="102" customFormat="false" ht="16.4" hidden="false" customHeight="false" outlineLevel="0" collapsed="false">
      <c r="A102" s="32" t="str">
        <f aca="false">IF(L102="","",ROW()-4)</f>
        <v/>
      </c>
      <c r="B102" s="58" t="str">
        <f aca="false">IF(L102="","",IF(INDEX(ポート振替表!$W$5:$W$3507,$L102)="","(なし)",INDEX(ポート振替表!$W$5:$W$3507,$L102)&amp;""))</f>
        <v/>
      </c>
      <c r="C102" s="52" t="str">
        <f aca="false">IF(L102="","",INDEX(ポート振替表!$B$5:$B$3507,$L102)&amp;" "&amp;INDEX(ポート振替表!$C$5:$C$3507,$L102)&amp;"  ⇔  "&amp;INDEX(ポート振替表!$H$5:$H$3507,$L102)&amp;" "&amp;INDEX(ポート振替表!$I$5:$I$3507,$L102))</f>
        <v/>
      </c>
      <c r="D102" s="57" t="s">
        <v>158</v>
      </c>
      <c r="E102" s="59" t="str">
        <f aca="false">IF(L102="","",IF(INDEX(ポート振替表!$O$5:$O$3507,$L102)="","(未設定)",INDEX(ポート振替表!$O$5:$O$3507,$L102)&amp;""))</f>
        <v/>
      </c>
      <c r="F102" s="52" t="str">
        <f aca="false">IF(L102="","",INDEX(ポート振替表!$K$5:$K$3507,$L102)&amp;" "&amp;INDEX(ポート振替表!$L$5:$L$3507,$L102)&amp;"  ⇔  "&amp;INDEX(ポート振替表!$H$5:$H$3507,$L102)&amp;" "&amp;INDEX(ポート振替表!$I$5:$I$3507,$L102))</f>
        <v/>
      </c>
      <c r="G102" s="57" t="s">
        <v>158</v>
      </c>
      <c r="H102" s="32" t="str">
        <f aca="false">IF(L102="","",INDEX(ポート振替表!$N$5:$N$3507,$L102)&amp;"")</f>
        <v/>
      </c>
      <c r="I102" s="32" t="str">
        <f aca="false">IF(L102="","",INDEX(ポート振替表!$P$5:$P$3507,$L102)&amp;"")</f>
        <v/>
      </c>
      <c r="J102" s="60" t="str">
        <f aca="false">IF(L102="","",INDEX(ポート振替表!$M$5:$M$3507,$L102)&amp;"")</f>
        <v/>
      </c>
      <c r="K102" s="52" t="str">
        <f aca="false">IF(L102="","",E102&amp;CHAR(10)&amp;INDEX(ポート振替表!$K$5:$K$3507,$L102)&amp;" "&amp;INDEX(ポート振替表!$L$5:$L$3507,$L102)&amp;CHAR(10)&amp;"⇔ "&amp;INDEX(ポート振替表!$H$5:$H$3507,$L102)&amp;" "&amp;INDEX(ポート振替表!$I$5:$I$3507,$L102))</f>
        <v/>
      </c>
      <c r="L102" s="47" t="str">
        <f aca="false">IFERROR(MATCH(ROW()-4,ポート振替表!$V$5:$V$3507,0),"")</f>
        <v/>
      </c>
    </row>
    <row r="103" customFormat="false" ht="16.4" hidden="false" customHeight="false" outlineLevel="0" collapsed="false">
      <c r="A103" s="32" t="str">
        <f aca="false">IF(L103="","",ROW()-4)</f>
        <v/>
      </c>
      <c r="B103" s="58" t="str">
        <f aca="false">IF(L103="","",IF(INDEX(ポート振替表!$W$5:$W$3507,$L103)="","(なし)",INDEX(ポート振替表!$W$5:$W$3507,$L103)&amp;""))</f>
        <v/>
      </c>
      <c r="C103" s="52" t="str">
        <f aca="false">IF(L103="","",INDEX(ポート振替表!$B$5:$B$3507,$L103)&amp;" "&amp;INDEX(ポート振替表!$C$5:$C$3507,$L103)&amp;"  ⇔  "&amp;INDEX(ポート振替表!$H$5:$H$3507,$L103)&amp;" "&amp;INDEX(ポート振替表!$I$5:$I$3507,$L103))</f>
        <v/>
      </c>
      <c r="D103" s="57" t="s">
        <v>158</v>
      </c>
      <c r="E103" s="59" t="str">
        <f aca="false">IF(L103="","",IF(INDEX(ポート振替表!$O$5:$O$3507,$L103)="","(未設定)",INDEX(ポート振替表!$O$5:$O$3507,$L103)&amp;""))</f>
        <v/>
      </c>
      <c r="F103" s="52" t="str">
        <f aca="false">IF(L103="","",INDEX(ポート振替表!$K$5:$K$3507,$L103)&amp;" "&amp;INDEX(ポート振替表!$L$5:$L$3507,$L103)&amp;"  ⇔  "&amp;INDEX(ポート振替表!$H$5:$H$3507,$L103)&amp;" "&amp;INDEX(ポート振替表!$I$5:$I$3507,$L103))</f>
        <v/>
      </c>
      <c r="G103" s="57" t="s">
        <v>158</v>
      </c>
      <c r="H103" s="32" t="str">
        <f aca="false">IF(L103="","",INDEX(ポート振替表!$N$5:$N$3507,$L103)&amp;"")</f>
        <v/>
      </c>
      <c r="I103" s="32" t="str">
        <f aca="false">IF(L103="","",INDEX(ポート振替表!$P$5:$P$3507,$L103)&amp;"")</f>
        <v/>
      </c>
      <c r="J103" s="60" t="str">
        <f aca="false">IF(L103="","",INDEX(ポート振替表!$M$5:$M$3507,$L103)&amp;"")</f>
        <v/>
      </c>
      <c r="K103" s="52" t="str">
        <f aca="false">IF(L103="","",E103&amp;CHAR(10)&amp;INDEX(ポート振替表!$K$5:$K$3507,$L103)&amp;" "&amp;INDEX(ポート振替表!$L$5:$L$3507,$L103)&amp;CHAR(10)&amp;"⇔ "&amp;INDEX(ポート振替表!$H$5:$H$3507,$L103)&amp;" "&amp;INDEX(ポート振替表!$I$5:$I$3507,$L103))</f>
        <v/>
      </c>
      <c r="L103" s="47" t="str">
        <f aca="false">IFERROR(MATCH(ROW()-4,ポート振替表!$V$5:$V$3507,0),"")</f>
        <v/>
      </c>
    </row>
    <row r="104" customFormat="false" ht="16.4" hidden="false" customHeight="false" outlineLevel="0" collapsed="false">
      <c r="A104" s="32" t="str">
        <f aca="false">IF(L104="","",ROW()-4)</f>
        <v/>
      </c>
      <c r="B104" s="58" t="str">
        <f aca="false">IF(L104="","",IF(INDEX(ポート振替表!$W$5:$W$3507,$L104)="","(なし)",INDEX(ポート振替表!$W$5:$W$3507,$L104)&amp;""))</f>
        <v/>
      </c>
      <c r="C104" s="52" t="str">
        <f aca="false">IF(L104="","",INDEX(ポート振替表!$B$5:$B$3507,$L104)&amp;" "&amp;INDEX(ポート振替表!$C$5:$C$3507,$L104)&amp;"  ⇔  "&amp;INDEX(ポート振替表!$H$5:$H$3507,$L104)&amp;" "&amp;INDEX(ポート振替表!$I$5:$I$3507,$L104))</f>
        <v/>
      </c>
      <c r="D104" s="57" t="s">
        <v>158</v>
      </c>
      <c r="E104" s="59" t="str">
        <f aca="false">IF(L104="","",IF(INDEX(ポート振替表!$O$5:$O$3507,$L104)="","(未設定)",INDEX(ポート振替表!$O$5:$O$3507,$L104)&amp;""))</f>
        <v/>
      </c>
      <c r="F104" s="52" t="str">
        <f aca="false">IF(L104="","",INDEX(ポート振替表!$K$5:$K$3507,$L104)&amp;" "&amp;INDEX(ポート振替表!$L$5:$L$3507,$L104)&amp;"  ⇔  "&amp;INDEX(ポート振替表!$H$5:$H$3507,$L104)&amp;" "&amp;INDEX(ポート振替表!$I$5:$I$3507,$L104))</f>
        <v/>
      </c>
      <c r="G104" s="57" t="s">
        <v>158</v>
      </c>
      <c r="H104" s="32" t="str">
        <f aca="false">IF(L104="","",INDEX(ポート振替表!$N$5:$N$3507,$L104)&amp;"")</f>
        <v/>
      </c>
      <c r="I104" s="32" t="str">
        <f aca="false">IF(L104="","",INDEX(ポート振替表!$P$5:$P$3507,$L104)&amp;"")</f>
        <v/>
      </c>
      <c r="J104" s="60" t="str">
        <f aca="false">IF(L104="","",INDEX(ポート振替表!$M$5:$M$3507,$L104)&amp;"")</f>
        <v/>
      </c>
      <c r="K104" s="52" t="str">
        <f aca="false">IF(L104="","",E104&amp;CHAR(10)&amp;INDEX(ポート振替表!$K$5:$K$3507,$L104)&amp;" "&amp;INDEX(ポート振替表!$L$5:$L$3507,$L104)&amp;CHAR(10)&amp;"⇔ "&amp;INDEX(ポート振替表!$H$5:$H$3507,$L104)&amp;" "&amp;INDEX(ポート振替表!$I$5:$I$3507,$L104))</f>
        <v/>
      </c>
      <c r="L104" s="47" t="str">
        <f aca="false">IFERROR(MATCH(ROW()-4,ポート振替表!$V$5:$V$3507,0),"")</f>
        <v/>
      </c>
    </row>
    <row r="105" customFormat="false" ht="16.4" hidden="false" customHeight="false" outlineLevel="0" collapsed="false">
      <c r="A105" s="32" t="str">
        <f aca="false">IF(L105="","",ROW()-4)</f>
        <v/>
      </c>
      <c r="B105" s="58" t="str">
        <f aca="false">IF(L105="","",IF(INDEX(ポート振替表!$W$5:$W$3507,$L105)="","(なし)",INDEX(ポート振替表!$W$5:$W$3507,$L105)&amp;""))</f>
        <v/>
      </c>
      <c r="C105" s="52" t="str">
        <f aca="false">IF(L105="","",INDEX(ポート振替表!$B$5:$B$3507,$L105)&amp;" "&amp;INDEX(ポート振替表!$C$5:$C$3507,$L105)&amp;"  ⇔  "&amp;INDEX(ポート振替表!$H$5:$H$3507,$L105)&amp;" "&amp;INDEX(ポート振替表!$I$5:$I$3507,$L105))</f>
        <v/>
      </c>
      <c r="D105" s="57" t="s">
        <v>158</v>
      </c>
      <c r="E105" s="59" t="str">
        <f aca="false">IF(L105="","",IF(INDEX(ポート振替表!$O$5:$O$3507,$L105)="","(未設定)",INDEX(ポート振替表!$O$5:$O$3507,$L105)&amp;""))</f>
        <v/>
      </c>
      <c r="F105" s="52" t="str">
        <f aca="false">IF(L105="","",INDEX(ポート振替表!$K$5:$K$3507,$L105)&amp;" "&amp;INDEX(ポート振替表!$L$5:$L$3507,$L105)&amp;"  ⇔  "&amp;INDEX(ポート振替表!$H$5:$H$3507,$L105)&amp;" "&amp;INDEX(ポート振替表!$I$5:$I$3507,$L105))</f>
        <v/>
      </c>
      <c r="G105" s="57" t="s">
        <v>158</v>
      </c>
      <c r="H105" s="32" t="str">
        <f aca="false">IF(L105="","",INDEX(ポート振替表!$N$5:$N$3507,$L105)&amp;"")</f>
        <v/>
      </c>
      <c r="I105" s="32" t="str">
        <f aca="false">IF(L105="","",INDEX(ポート振替表!$P$5:$P$3507,$L105)&amp;"")</f>
        <v/>
      </c>
      <c r="J105" s="60" t="str">
        <f aca="false">IF(L105="","",INDEX(ポート振替表!$M$5:$M$3507,$L105)&amp;"")</f>
        <v/>
      </c>
      <c r="K105" s="52" t="str">
        <f aca="false">IF(L105="","",E105&amp;CHAR(10)&amp;INDEX(ポート振替表!$K$5:$K$3507,$L105)&amp;" "&amp;INDEX(ポート振替表!$L$5:$L$3507,$L105)&amp;CHAR(10)&amp;"⇔ "&amp;INDEX(ポート振替表!$H$5:$H$3507,$L105)&amp;" "&amp;INDEX(ポート振替表!$I$5:$I$3507,$L105))</f>
        <v/>
      </c>
      <c r="L105" s="47" t="str">
        <f aca="false">IFERROR(MATCH(ROW()-4,ポート振替表!$V$5:$V$3507,0),"")</f>
        <v/>
      </c>
    </row>
    <row r="106" customFormat="false" ht="16.4" hidden="false" customHeight="false" outlineLevel="0" collapsed="false">
      <c r="A106" s="32" t="str">
        <f aca="false">IF(L106="","",ROW()-4)</f>
        <v/>
      </c>
      <c r="B106" s="58" t="str">
        <f aca="false">IF(L106="","",IF(INDEX(ポート振替表!$W$5:$W$3507,$L106)="","(なし)",INDEX(ポート振替表!$W$5:$W$3507,$L106)&amp;""))</f>
        <v/>
      </c>
      <c r="C106" s="52" t="str">
        <f aca="false">IF(L106="","",INDEX(ポート振替表!$B$5:$B$3507,$L106)&amp;" "&amp;INDEX(ポート振替表!$C$5:$C$3507,$L106)&amp;"  ⇔  "&amp;INDEX(ポート振替表!$H$5:$H$3507,$L106)&amp;" "&amp;INDEX(ポート振替表!$I$5:$I$3507,$L106))</f>
        <v/>
      </c>
      <c r="D106" s="57" t="s">
        <v>158</v>
      </c>
      <c r="E106" s="59" t="str">
        <f aca="false">IF(L106="","",IF(INDEX(ポート振替表!$O$5:$O$3507,$L106)="","(未設定)",INDEX(ポート振替表!$O$5:$O$3507,$L106)&amp;""))</f>
        <v/>
      </c>
      <c r="F106" s="52" t="str">
        <f aca="false">IF(L106="","",INDEX(ポート振替表!$K$5:$K$3507,$L106)&amp;" "&amp;INDEX(ポート振替表!$L$5:$L$3507,$L106)&amp;"  ⇔  "&amp;INDEX(ポート振替表!$H$5:$H$3507,$L106)&amp;" "&amp;INDEX(ポート振替表!$I$5:$I$3507,$L106))</f>
        <v/>
      </c>
      <c r="G106" s="57" t="s">
        <v>158</v>
      </c>
      <c r="H106" s="32" t="str">
        <f aca="false">IF(L106="","",INDEX(ポート振替表!$N$5:$N$3507,$L106)&amp;"")</f>
        <v/>
      </c>
      <c r="I106" s="32" t="str">
        <f aca="false">IF(L106="","",INDEX(ポート振替表!$P$5:$P$3507,$L106)&amp;"")</f>
        <v/>
      </c>
      <c r="J106" s="60" t="str">
        <f aca="false">IF(L106="","",INDEX(ポート振替表!$M$5:$M$3507,$L106)&amp;"")</f>
        <v/>
      </c>
      <c r="K106" s="52" t="str">
        <f aca="false">IF(L106="","",E106&amp;CHAR(10)&amp;INDEX(ポート振替表!$K$5:$K$3507,$L106)&amp;" "&amp;INDEX(ポート振替表!$L$5:$L$3507,$L106)&amp;CHAR(10)&amp;"⇔ "&amp;INDEX(ポート振替表!$H$5:$H$3507,$L106)&amp;" "&amp;INDEX(ポート振替表!$I$5:$I$3507,$L106))</f>
        <v/>
      </c>
      <c r="L106" s="47" t="str">
        <f aca="false">IFERROR(MATCH(ROW()-4,ポート振替表!$V$5:$V$3507,0),"")</f>
        <v/>
      </c>
    </row>
    <row r="107" customFormat="false" ht="16.4" hidden="false" customHeight="false" outlineLevel="0" collapsed="false">
      <c r="A107" s="32" t="str">
        <f aca="false">IF(L107="","",ROW()-4)</f>
        <v/>
      </c>
      <c r="B107" s="58" t="str">
        <f aca="false">IF(L107="","",IF(INDEX(ポート振替表!$W$5:$W$3507,$L107)="","(なし)",INDEX(ポート振替表!$W$5:$W$3507,$L107)&amp;""))</f>
        <v/>
      </c>
      <c r="C107" s="52" t="str">
        <f aca="false">IF(L107="","",INDEX(ポート振替表!$B$5:$B$3507,$L107)&amp;" "&amp;INDEX(ポート振替表!$C$5:$C$3507,$L107)&amp;"  ⇔  "&amp;INDEX(ポート振替表!$H$5:$H$3507,$L107)&amp;" "&amp;INDEX(ポート振替表!$I$5:$I$3507,$L107))</f>
        <v/>
      </c>
      <c r="D107" s="57" t="s">
        <v>158</v>
      </c>
      <c r="E107" s="59" t="str">
        <f aca="false">IF(L107="","",IF(INDEX(ポート振替表!$O$5:$O$3507,$L107)="","(未設定)",INDEX(ポート振替表!$O$5:$O$3507,$L107)&amp;""))</f>
        <v/>
      </c>
      <c r="F107" s="52" t="str">
        <f aca="false">IF(L107="","",INDEX(ポート振替表!$K$5:$K$3507,$L107)&amp;" "&amp;INDEX(ポート振替表!$L$5:$L$3507,$L107)&amp;"  ⇔  "&amp;INDEX(ポート振替表!$H$5:$H$3507,$L107)&amp;" "&amp;INDEX(ポート振替表!$I$5:$I$3507,$L107))</f>
        <v/>
      </c>
      <c r="G107" s="57" t="s">
        <v>158</v>
      </c>
      <c r="H107" s="32" t="str">
        <f aca="false">IF(L107="","",INDEX(ポート振替表!$N$5:$N$3507,$L107)&amp;"")</f>
        <v/>
      </c>
      <c r="I107" s="32" t="str">
        <f aca="false">IF(L107="","",INDEX(ポート振替表!$P$5:$P$3507,$L107)&amp;"")</f>
        <v/>
      </c>
      <c r="J107" s="60" t="str">
        <f aca="false">IF(L107="","",INDEX(ポート振替表!$M$5:$M$3507,$L107)&amp;"")</f>
        <v/>
      </c>
      <c r="K107" s="52" t="str">
        <f aca="false">IF(L107="","",E107&amp;CHAR(10)&amp;INDEX(ポート振替表!$K$5:$K$3507,$L107)&amp;" "&amp;INDEX(ポート振替表!$L$5:$L$3507,$L107)&amp;CHAR(10)&amp;"⇔ "&amp;INDEX(ポート振替表!$H$5:$H$3507,$L107)&amp;" "&amp;INDEX(ポート振替表!$I$5:$I$3507,$L107))</f>
        <v/>
      </c>
      <c r="L107" s="47" t="str">
        <f aca="false">IFERROR(MATCH(ROW()-4,ポート振替表!$V$5:$V$3507,0),"")</f>
        <v/>
      </c>
    </row>
    <row r="108" customFormat="false" ht="16.4" hidden="false" customHeight="false" outlineLevel="0" collapsed="false">
      <c r="A108" s="32" t="str">
        <f aca="false">IF(L108="","",ROW()-4)</f>
        <v/>
      </c>
      <c r="B108" s="58" t="str">
        <f aca="false">IF(L108="","",IF(INDEX(ポート振替表!$W$5:$W$3507,$L108)="","(なし)",INDEX(ポート振替表!$W$5:$W$3507,$L108)&amp;""))</f>
        <v/>
      </c>
      <c r="C108" s="52" t="str">
        <f aca="false">IF(L108="","",INDEX(ポート振替表!$B$5:$B$3507,$L108)&amp;" "&amp;INDEX(ポート振替表!$C$5:$C$3507,$L108)&amp;"  ⇔  "&amp;INDEX(ポート振替表!$H$5:$H$3507,$L108)&amp;" "&amp;INDEX(ポート振替表!$I$5:$I$3507,$L108))</f>
        <v/>
      </c>
      <c r="D108" s="57" t="s">
        <v>158</v>
      </c>
      <c r="E108" s="59" t="str">
        <f aca="false">IF(L108="","",IF(INDEX(ポート振替表!$O$5:$O$3507,$L108)="","(未設定)",INDEX(ポート振替表!$O$5:$O$3507,$L108)&amp;""))</f>
        <v/>
      </c>
      <c r="F108" s="52" t="str">
        <f aca="false">IF(L108="","",INDEX(ポート振替表!$K$5:$K$3507,$L108)&amp;" "&amp;INDEX(ポート振替表!$L$5:$L$3507,$L108)&amp;"  ⇔  "&amp;INDEX(ポート振替表!$H$5:$H$3507,$L108)&amp;" "&amp;INDEX(ポート振替表!$I$5:$I$3507,$L108))</f>
        <v/>
      </c>
      <c r="G108" s="57" t="s">
        <v>158</v>
      </c>
      <c r="H108" s="32" t="str">
        <f aca="false">IF(L108="","",INDEX(ポート振替表!$N$5:$N$3507,$L108)&amp;"")</f>
        <v/>
      </c>
      <c r="I108" s="32" t="str">
        <f aca="false">IF(L108="","",INDEX(ポート振替表!$P$5:$P$3507,$L108)&amp;"")</f>
        <v/>
      </c>
      <c r="J108" s="60" t="str">
        <f aca="false">IF(L108="","",INDEX(ポート振替表!$M$5:$M$3507,$L108)&amp;"")</f>
        <v/>
      </c>
      <c r="K108" s="52" t="str">
        <f aca="false">IF(L108="","",E108&amp;CHAR(10)&amp;INDEX(ポート振替表!$K$5:$K$3507,$L108)&amp;" "&amp;INDEX(ポート振替表!$L$5:$L$3507,$L108)&amp;CHAR(10)&amp;"⇔ "&amp;INDEX(ポート振替表!$H$5:$H$3507,$L108)&amp;" "&amp;INDEX(ポート振替表!$I$5:$I$3507,$L108))</f>
        <v/>
      </c>
      <c r="L108" s="47" t="str">
        <f aca="false">IFERROR(MATCH(ROW()-4,ポート振替表!$V$5:$V$3507,0),"")</f>
        <v/>
      </c>
    </row>
    <row r="109" customFormat="false" ht="16.4" hidden="false" customHeight="false" outlineLevel="0" collapsed="false">
      <c r="A109" s="32" t="str">
        <f aca="false">IF(L109="","",ROW()-4)</f>
        <v/>
      </c>
      <c r="B109" s="58" t="str">
        <f aca="false">IF(L109="","",IF(INDEX(ポート振替表!$W$5:$W$3507,$L109)="","(なし)",INDEX(ポート振替表!$W$5:$W$3507,$L109)&amp;""))</f>
        <v/>
      </c>
      <c r="C109" s="52" t="str">
        <f aca="false">IF(L109="","",INDEX(ポート振替表!$B$5:$B$3507,$L109)&amp;" "&amp;INDEX(ポート振替表!$C$5:$C$3507,$L109)&amp;"  ⇔  "&amp;INDEX(ポート振替表!$H$5:$H$3507,$L109)&amp;" "&amp;INDEX(ポート振替表!$I$5:$I$3507,$L109))</f>
        <v/>
      </c>
      <c r="D109" s="57" t="s">
        <v>158</v>
      </c>
      <c r="E109" s="59" t="str">
        <f aca="false">IF(L109="","",IF(INDEX(ポート振替表!$O$5:$O$3507,$L109)="","(未設定)",INDEX(ポート振替表!$O$5:$O$3507,$L109)&amp;""))</f>
        <v/>
      </c>
      <c r="F109" s="52" t="str">
        <f aca="false">IF(L109="","",INDEX(ポート振替表!$K$5:$K$3507,$L109)&amp;" "&amp;INDEX(ポート振替表!$L$5:$L$3507,$L109)&amp;"  ⇔  "&amp;INDEX(ポート振替表!$H$5:$H$3507,$L109)&amp;" "&amp;INDEX(ポート振替表!$I$5:$I$3507,$L109))</f>
        <v/>
      </c>
      <c r="G109" s="57" t="s">
        <v>158</v>
      </c>
      <c r="H109" s="32" t="str">
        <f aca="false">IF(L109="","",INDEX(ポート振替表!$N$5:$N$3507,$L109)&amp;"")</f>
        <v/>
      </c>
      <c r="I109" s="32" t="str">
        <f aca="false">IF(L109="","",INDEX(ポート振替表!$P$5:$P$3507,$L109)&amp;"")</f>
        <v/>
      </c>
      <c r="J109" s="60" t="str">
        <f aca="false">IF(L109="","",INDEX(ポート振替表!$M$5:$M$3507,$L109)&amp;"")</f>
        <v/>
      </c>
      <c r="K109" s="52" t="str">
        <f aca="false">IF(L109="","",E109&amp;CHAR(10)&amp;INDEX(ポート振替表!$K$5:$K$3507,$L109)&amp;" "&amp;INDEX(ポート振替表!$L$5:$L$3507,$L109)&amp;CHAR(10)&amp;"⇔ "&amp;INDEX(ポート振替表!$H$5:$H$3507,$L109)&amp;" "&amp;INDEX(ポート振替表!$I$5:$I$3507,$L109))</f>
        <v/>
      </c>
      <c r="L109" s="47" t="str">
        <f aca="false">IFERROR(MATCH(ROW()-4,ポート振替表!$V$5:$V$3507,0),"")</f>
        <v/>
      </c>
    </row>
    <row r="110" customFormat="false" ht="16.4" hidden="false" customHeight="false" outlineLevel="0" collapsed="false">
      <c r="A110" s="32" t="str">
        <f aca="false">IF(L110="","",ROW()-4)</f>
        <v/>
      </c>
      <c r="B110" s="58" t="str">
        <f aca="false">IF(L110="","",IF(INDEX(ポート振替表!$W$5:$W$3507,$L110)="","(なし)",INDEX(ポート振替表!$W$5:$W$3507,$L110)&amp;""))</f>
        <v/>
      </c>
      <c r="C110" s="52" t="str">
        <f aca="false">IF(L110="","",INDEX(ポート振替表!$B$5:$B$3507,$L110)&amp;" "&amp;INDEX(ポート振替表!$C$5:$C$3507,$L110)&amp;"  ⇔  "&amp;INDEX(ポート振替表!$H$5:$H$3507,$L110)&amp;" "&amp;INDEX(ポート振替表!$I$5:$I$3507,$L110))</f>
        <v/>
      </c>
      <c r="D110" s="57" t="s">
        <v>158</v>
      </c>
      <c r="E110" s="59" t="str">
        <f aca="false">IF(L110="","",IF(INDEX(ポート振替表!$O$5:$O$3507,$L110)="","(未設定)",INDEX(ポート振替表!$O$5:$O$3507,$L110)&amp;""))</f>
        <v/>
      </c>
      <c r="F110" s="52" t="str">
        <f aca="false">IF(L110="","",INDEX(ポート振替表!$K$5:$K$3507,$L110)&amp;" "&amp;INDEX(ポート振替表!$L$5:$L$3507,$L110)&amp;"  ⇔  "&amp;INDEX(ポート振替表!$H$5:$H$3507,$L110)&amp;" "&amp;INDEX(ポート振替表!$I$5:$I$3507,$L110))</f>
        <v/>
      </c>
      <c r="G110" s="57" t="s">
        <v>158</v>
      </c>
      <c r="H110" s="32" t="str">
        <f aca="false">IF(L110="","",INDEX(ポート振替表!$N$5:$N$3507,$L110)&amp;"")</f>
        <v/>
      </c>
      <c r="I110" s="32" t="str">
        <f aca="false">IF(L110="","",INDEX(ポート振替表!$P$5:$P$3507,$L110)&amp;"")</f>
        <v/>
      </c>
      <c r="J110" s="60" t="str">
        <f aca="false">IF(L110="","",INDEX(ポート振替表!$M$5:$M$3507,$L110)&amp;"")</f>
        <v/>
      </c>
      <c r="K110" s="52" t="str">
        <f aca="false">IF(L110="","",E110&amp;CHAR(10)&amp;INDEX(ポート振替表!$K$5:$K$3507,$L110)&amp;" "&amp;INDEX(ポート振替表!$L$5:$L$3507,$L110)&amp;CHAR(10)&amp;"⇔ "&amp;INDEX(ポート振替表!$H$5:$H$3507,$L110)&amp;" "&amp;INDEX(ポート振替表!$I$5:$I$3507,$L110))</f>
        <v/>
      </c>
      <c r="L110" s="47" t="str">
        <f aca="false">IFERROR(MATCH(ROW()-4,ポート振替表!$V$5:$V$3507,0),"")</f>
        <v/>
      </c>
    </row>
    <row r="111" customFormat="false" ht="16.4" hidden="false" customHeight="false" outlineLevel="0" collapsed="false">
      <c r="A111" s="32" t="str">
        <f aca="false">IF(L111="","",ROW()-4)</f>
        <v/>
      </c>
      <c r="B111" s="58" t="str">
        <f aca="false">IF(L111="","",IF(INDEX(ポート振替表!$W$5:$W$3507,$L111)="","(なし)",INDEX(ポート振替表!$W$5:$W$3507,$L111)&amp;""))</f>
        <v/>
      </c>
      <c r="C111" s="52" t="str">
        <f aca="false">IF(L111="","",INDEX(ポート振替表!$B$5:$B$3507,$L111)&amp;" "&amp;INDEX(ポート振替表!$C$5:$C$3507,$L111)&amp;"  ⇔  "&amp;INDEX(ポート振替表!$H$5:$H$3507,$L111)&amp;" "&amp;INDEX(ポート振替表!$I$5:$I$3507,$L111))</f>
        <v/>
      </c>
      <c r="D111" s="57" t="s">
        <v>158</v>
      </c>
      <c r="E111" s="59" t="str">
        <f aca="false">IF(L111="","",IF(INDEX(ポート振替表!$O$5:$O$3507,$L111)="","(未設定)",INDEX(ポート振替表!$O$5:$O$3507,$L111)&amp;""))</f>
        <v/>
      </c>
      <c r="F111" s="52" t="str">
        <f aca="false">IF(L111="","",INDEX(ポート振替表!$K$5:$K$3507,$L111)&amp;" "&amp;INDEX(ポート振替表!$L$5:$L$3507,$L111)&amp;"  ⇔  "&amp;INDEX(ポート振替表!$H$5:$H$3507,$L111)&amp;" "&amp;INDEX(ポート振替表!$I$5:$I$3507,$L111))</f>
        <v/>
      </c>
      <c r="G111" s="57" t="s">
        <v>158</v>
      </c>
      <c r="H111" s="32" t="str">
        <f aca="false">IF(L111="","",INDEX(ポート振替表!$N$5:$N$3507,$L111)&amp;"")</f>
        <v/>
      </c>
      <c r="I111" s="32" t="str">
        <f aca="false">IF(L111="","",INDEX(ポート振替表!$P$5:$P$3507,$L111)&amp;"")</f>
        <v/>
      </c>
      <c r="J111" s="60" t="str">
        <f aca="false">IF(L111="","",INDEX(ポート振替表!$M$5:$M$3507,$L111)&amp;"")</f>
        <v/>
      </c>
      <c r="K111" s="52" t="str">
        <f aca="false">IF(L111="","",E111&amp;CHAR(10)&amp;INDEX(ポート振替表!$K$5:$K$3507,$L111)&amp;" "&amp;INDEX(ポート振替表!$L$5:$L$3507,$L111)&amp;CHAR(10)&amp;"⇔ "&amp;INDEX(ポート振替表!$H$5:$H$3507,$L111)&amp;" "&amp;INDEX(ポート振替表!$I$5:$I$3507,$L111))</f>
        <v/>
      </c>
      <c r="L111" s="47" t="str">
        <f aca="false">IFERROR(MATCH(ROW()-4,ポート振替表!$V$5:$V$3507,0),"")</f>
        <v/>
      </c>
    </row>
    <row r="112" customFormat="false" ht="16.4" hidden="false" customHeight="false" outlineLevel="0" collapsed="false">
      <c r="A112" s="32" t="str">
        <f aca="false">IF(L112="","",ROW()-4)</f>
        <v/>
      </c>
      <c r="B112" s="58" t="str">
        <f aca="false">IF(L112="","",IF(INDEX(ポート振替表!$W$5:$W$3507,$L112)="","(なし)",INDEX(ポート振替表!$W$5:$W$3507,$L112)&amp;""))</f>
        <v/>
      </c>
      <c r="C112" s="52" t="str">
        <f aca="false">IF(L112="","",INDEX(ポート振替表!$B$5:$B$3507,$L112)&amp;" "&amp;INDEX(ポート振替表!$C$5:$C$3507,$L112)&amp;"  ⇔  "&amp;INDEX(ポート振替表!$H$5:$H$3507,$L112)&amp;" "&amp;INDEX(ポート振替表!$I$5:$I$3507,$L112))</f>
        <v/>
      </c>
      <c r="D112" s="57" t="s">
        <v>158</v>
      </c>
      <c r="E112" s="59" t="str">
        <f aca="false">IF(L112="","",IF(INDEX(ポート振替表!$O$5:$O$3507,$L112)="","(未設定)",INDEX(ポート振替表!$O$5:$O$3507,$L112)&amp;""))</f>
        <v/>
      </c>
      <c r="F112" s="52" t="str">
        <f aca="false">IF(L112="","",INDEX(ポート振替表!$K$5:$K$3507,$L112)&amp;" "&amp;INDEX(ポート振替表!$L$5:$L$3507,$L112)&amp;"  ⇔  "&amp;INDEX(ポート振替表!$H$5:$H$3507,$L112)&amp;" "&amp;INDEX(ポート振替表!$I$5:$I$3507,$L112))</f>
        <v/>
      </c>
      <c r="G112" s="57" t="s">
        <v>158</v>
      </c>
      <c r="H112" s="32" t="str">
        <f aca="false">IF(L112="","",INDEX(ポート振替表!$N$5:$N$3507,$L112)&amp;"")</f>
        <v/>
      </c>
      <c r="I112" s="32" t="str">
        <f aca="false">IF(L112="","",INDEX(ポート振替表!$P$5:$P$3507,$L112)&amp;"")</f>
        <v/>
      </c>
      <c r="J112" s="60" t="str">
        <f aca="false">IF(L112="","",INDEX(ポート振替表!$M$5:$M$3507,$L112)&amp;"")</f>
        <v/>
      </c>
      <c r="K112" s="52" t="str">
        <f aca="false">IF(L112="","",E112&amp;CHAR(10)&amp;INDEX(ポート振替表!$K$5:$K$3507,$L112)&amp;" "&amp;INDEX(ポート振替表!$L$5:$L$3507,$L112)&amp;CHAR(10)&amp;"⇔ "&amp;INDEX(ポート振替表!$H$5:$H$3507,$L112)&amp;" "&amp;INDEX(ポート振替表!$I$5:$I$3507,$L112))</f>
        <v/>
      </c>
      <c r="L112" s="47" t="str">
        <f aca="false">IFERROR(MATCH(ROW()-4,ポート振替表!$V$5:$V$3507,0),"")</f>
        <v/>
      </c>
    </row>
    <row r="113" customFormat="false" ht="16.4" hidden="false" customHeight="false" outlineLevel="0" collapsed="false">
      <c r="A113" s="32" t="str">
        <f aca="false">IF(L113="","",ROW()-4)</f>
        <v/>
      </c>
      <c r="B113" s="58" t="str">
        <f aca="false">IF(L113="","",IF(INDEX(ポート振替表!$W$5:$W$3507,$L113)="","(なし)",INDEX(ポート振替表!$W$5:$W$3507,$L113)&amp;""))</f>
        <v/>
      </c>
      <c r="C113" s="52" t="str">
        <f aca="false">IF(L113="","",INDEX(ポート振替表!$B$5:$B$3507,$L113)&amp;" "&amp;INDEX(ポート振替表!$C$5:$C$3507,$L113)&amp;"  ⇔  "&amp;INDEX(ポート振替表!$H$5:$H$3507,$L113)&amp;" "&amp;INDEX(ポート振替表!$I$5:$I$3507,$L113))</f>
        <v/>
      </c>
      <c r="D113" s="57" t="s">
        <v>158</v>
      </c>
      <c r="E113" s="59" t="str">
        <f aca="false">IF(L113="","",IF(INDEX(ポート振替表!$O$5:$O$3507,$L113)="","(未設定)",INDEX(ポート振替表!$O$5:$O$3507,$L113)&amp;""))</f>
        <v/>
      </c>
      <c r="F113" s="52" t="str">
        <f aca="false">IF(L113="","",INDEX(ポート振替表!$K$5:$K$3507,$L113)&amp;" "&amp;INDEX(ポート振替表!$L$5:$L$3507,$L113)&amp;"  ⇔  "&amp;INDEX(ポート振替表!$H$5:$H$3507,$L113)&amp;" "&amp;INDEX(ポート振替表!$I$5:$I$3507,$L113))</f>
        <v/>
      </c>
      <c r="G113" s="57" t="s">
        <v>158</v>
      </c>
      <c r="H113" s="32" t="str">
        <f aca="false">IF(L113="","",INDEX(ポート振替表!$N$5:$N$3507,$L113)&amp;"")</f>
        <v/>
      </c>
      <c r="I113" s="32" t="str">
        <f aca="false">IF(L113="","",INDEX(ポート振替表!$P$5:$P$3507,$L113)&amp;"")</f>
        <v/>
      </c>
      <c r="J113" s="60" t="str">
        <f aca="false">IF(L113="","",INDEX(ポート振替表!$M$5:$M$3507,$L113)&amp;"")</f>
        <v/>
      </c>
      <c r="K113" s="52" t="str">
        <f aca="false">IF(L113="","",E113&amp;CHAR(10)&amp;INDEX(ポート振替表!$K$5:$K$3507,$L113)&amp;" "&amp;INDEX(ポート振替表!$L$5:$L$3507,$L113)&amp;CHAR(10)&amp;"⇔ "&amp;INDEX(ポート振替表!$H$5:$H$3507,$L113)&amp;" "&amp;INDEX(ポート振替表!$I$5:$I$3507,$L113))</f>
        <v/>
      </c>
      <c r="L113" s="47" t="str">
        <f aca="false">IFERROR(MATCH(ROW()-4,ポート振替表!$V$5:$V$3507,0),"")</f>
        <v/>
      </c>
    </row>
    <row r="114" customFormat="false" ht="16.4" hidden="false" customHeight="false" outlineLevel="0" collapsed="false">
      <c r="A114" s="32" t="str">
        <f aca="false">IF(L114="","",ROW()-4)</f>
        <v/>
      </c>
      <c r="B114" s="58" t="str">
        <f aca="false">IF(L114="","",IF(INDEX(ポート振替表!$W$5:$W$3507,$L114)="","(なし)",INDEX(ポート振替表!$W$5:$W$3507,$L114)&amp;""))</f>
        <v/>
      </c>
      <c r="C114" s="52" t="str">
        <f aca="false">IF(L114="","",INDEX(ポート振替表!$B$5:$B$3507,$L114)&amp;" "&amp;INDEX(ポート振替表!$C$5:$C$3507,$L114)&amp;"  ⇔  "&amp;INDEX(ポート振替表!$H$5:$H$3507,$L114)&amp;" "&amp;INDEX(ポート振替表!$I$5:$I$3507,$L114))</f>
        <v/>
      </c>
      <c r="D114" s="57" t="s">
        <v>158</v>
      </c>
      <c r="E114" s="59" t="str">
        <f aca="false">IF(L114="","",IF(INDEX(ポート振替表!$O$5:$O$3507,$L114)="","(未設定)",INDEX(ポート振替表!$O$5:$O$3507,$L114)&amp;""))</f>
        <v/>
      </c>
      <c r="F114" s="52" t="str">
        <f aca="false">IF(L114="","",INDEX(ポート振替表!$K$5:$K$3507,$L114)&amp;" "&amp;INDEX(ポート振替表!$L$5:$L$3507,$L114)&amp;"  ⇔  "&amp;INDEX(ポート振替表!$H$5:$H$3507,$L114)&amp;" "&amp;INDEX(ポート振替表!$I$5:$I$3507,$L114))</f>
        <v/>
      </c>
      <c r="G114" s="57" t="s">
        <v>158</v>
      </c>
      <c r="H114" s="32" t="str">
        <f aca="false">IF(L114="","",INDEX(ポート振替表!$N$5:$N$3507,$L114)&amp;"")</f>
        <v/>
      </c>
      <c r="I114" s="32" t="str">
        <f aca="false">IF(L114="","",INDEX(ポート振替表!$P$5:$P$3507,$L114)&amp;"")</f>
        <v/>
      </c>
      <c r="J114" s="60" t="str">
        <f aca="false">IF(L114="","",INDEX(ポート振替表!$M$5:$M$3507,$L114)&amp;"")</f>
        <v/>
      </c>
      <c r="K114" s="52" t="str">
        <f aca="false">IF(L114="","",E114&amp;CHAR(10)&amp;INDEX(ポート振替表!$K$5:$K$3507,$L114)&amp;" "&amp;INDEX(ポート振替表!$L$5:$L$3507,$L114)&amp;CHAR(10)&amp;"⇔ "&amp;INDEX(ポート振替表!$H$5:$H$3507,$L114)&amp;" "&amp;INDEX(ポート振替表!$I$5:$I$3507,$L114))</f>
        <v/>
      </c>
      <c r="L114" s="47" t="str">
        <f aca="false">IFERROR(MATCH(ROW()-4,ポート振替表!$V$5:$V$3507,0),"")</f>
        <v/>
      </c>
    </row>
    <row r="115" customFormat="false" ht="16.4" hidden="false" customHeight="false" outlineLevel="0" collapsed="false">
      <c r="A115" s="32" t="str">
        <f aca="false">IF(L115="","",ROW()-4)</f>
        <v/>
      </c>
      <c r="B115" s="58" t="str">
        <f aca="false">IF(L115="","",IF(INDEX(ポート振替表!$W$5:$W$3507,$L115)="","(なし)",INDEX(ポート振替表!$W$5:$W$3507,$L115)&amp;""))</f>
        <v/>
      </c>
      <c r="C115" s="52" t="str">
        <f aca="false">IF(L115="","",INDEX(ポート振替表!$B$5:$B$3507,$L115)&amp;" "&amp;INDEX(ポート振替表!$C$5:$C$3507,$L115)&amp;"  ⇔  "&amp;INDEX(ポート振替表!$H$5:$H$3507,$L115)&amp;" "&amp;INDEX(ポート振替表!$I$5:$I$3507,$L115))</f>
        <v/>
      </c>
      <c r="D115" s="57" t="s">
        <v>158</v>
      </c>
      <c r="E115" s="59" t="str">
        <f aca="false">IF(L115="","",IF(INDEX(ポート振替表!$O$5:$O$3507,$L115)="","(未設定)",INDEX(ポート振替表!$O$5:$O$3507,$L115)&amp;""))</f>
        <v/>
      </c>
      <c r="F115" s="52" t="str">
        <f aca="false">IF(L115="","",INDEX(ポート振替表!$K$5:$K$3507,$L115)&amp;" "&amp;INDEX(ポート振替表!$L$5:$L$3507,$L115)&amp;"  ⇔  "&amp;INDEX(ポート振替表!$H$5:$H$3507,$L115)&amp;" "&amp;INDEX(ポート振替表!$I$5:$I$3507,$L115))</f>
        <v/>
      </c>
      <c r="G115" s="57" t="s">
        <v>158</v>
      </c>
      <c r="H115" s="32" t="str">
        <f aca="false">IF(L115="","",INDEX(ポート振替表!$N$5:$N$3507,$L115)&amp;"")</f>
        <v/>
      </c>
      <c r="I115" s="32" t="str">
        <f aca="false">IF(L115="","",INDEX(ポート振替表!$P$5:$P$3507,$L115)&amp;"")</f>
        <v/>
      </c>
      <c r="J115" s="60" t="str">
        <f aca="false">IF(L115="","",INDEX(ポート振替表!$M$5:$M$3507,$L115)&amp;"")</f>
        <v/>
      </c>
      <c r="K115" s="52" t="str">
        <f aca="false">IF(L115="","",E115&amp;CHAR(10)&amp;INDEX(ポート振替表!$K$5:$K$3507,$L115)&amp;" "&amp;INDEX(ポート振替表!$L$5:$L$3507,$L115)&amp;CHAR(10)&amp;"⇔ "&amp;INDEX(ポート振替表!$H$5:$H$3507,$L115)&amp;" "&amp;INDEX(ポート振替表!$I$5:$I$3507,$L115))</f>
        <v/>
      </c>
      <c r="L115" s="47" t="str">
        <f aca="false">IFERROR(MATCH(ROW()-4,ポート振替表!$V$5:$V$3507,0),"")</f>
        <v/>
      </c>
    </row>
    <row r="116" customFormat="false" ht="16.4" hidden="false" customHeight="false" outlineLevel="0" collapsed="false">
      <c r="A116" s="32" t="str">
        <f aca="false">IF(L116="","",ROW()-4)</f>
        <v/>
      </c>
      <c r="B116" s="58" t="str">
        <f aca="false">IF(L116="","",IF(INDEX(ポート振替表!$W$5:$W$3507,$L116)="","(なし)",INDEX(ポート振替表!$W$5:$W$3507,$L116)&amp;""))</f>
        <v/>
      </c>
      <c r="C116" s="52" t="str">
        <f aca="false">IF(L116="","",INDEX(ポート振替表!$B$5:$B$3507,$L116)&amp;" "&amp;INDEX(ポート振替表!$C$5:$C$3507,$L116)&amp;"  ⇔  "&amp;INDEX(ポート振替表!$H$5:$H$3507,$L116)&amp;" "&amp;INDEX(ポート振替表!$I$5:$I$3507,$L116))</f>
        <v/>
      </c>
      <c r="D116" s="57" t="s">
        <v>158</v>
      </c>
      <c r="E116" s="59" t="str">
        <f aca="false">IF(L116="","",IF(INDEX(ポート振替表!$O$5:$O$3507,$L116)="","(未設定)",INDEX(ポート振替表!$O$5:$O$3507,$L116)&amp;""))</f>
        <v/>
      </c>
      <c r="F116" s="52" t="str">
        <f aca="false">IF(L116="","",INDEX(ポート振替表!$K$5:$K$3507,$L116)&amp;" "&amp;INDEX(ポート振替表!$L$5:$L$3507,$L116)&amp;"  ⇔  "&amp;INDEX(ポート振替表!$H$5:$H$3507,$L116)&amp;" "&amp;INDEX(ポート振替表!$I$5:$I$3507,$L116))</f>
        <v/>
      </c>
      <c r="G116" s="57" t="s">
        <v>158</v>
      </c>
      <c r="H116" s="32" t="str">
        <f aca="false">IF(L116="","",INDEX(ポート振替表!$N$5:$N$3507,$L116)&amp;"")</f>
        <v/>
      </c>
      <c r="I116" s="32" t="str">
        <f aca="false">IF(L116="","",INDEX(ポート振替表!$P$5:$P$3507,$L116)&amp;"")</f>
        <v/>
      </c>
      <c r="J116" s="60" t="str">
        <f aca="false">IF(L116="","",INDEX(ポート振替表!$M$5:$M$3507,$L116)&amp;"")</f>
        <v/>
      </c>
      <c r="K116" s="52" t="str">
        <f aca="false">IF(L116="","",E116&amp;CHAR(10)&amp;INDEX(ポート振替表!$K$5:$K$3507,$L116)&amp;" "&amp;INDEX(ポート振替表!$L$5:$L$3507,$L116)&amp;CHAR(10)&amp;"⇔ "&amp;INDEX(ポート振替表!$H$5:$H$3507,$L116)&amp;" "&amp;INDEX(ポート振替表!$I$5:$I$3507,$L116))</f>
        <v/>
      </c>
      <c r="L116" s="47" t="str">
        <f aca="false">IFERROR(MATCH(ROW()-4,ポート振替表!$V$5:$V$3507,0),"")</f>
        <v/>
      </c>
    </row>
    <row r="117" customFormat="false" ht="16.4" hidden="false" customHeight="false" outlineLevel="0" collapsed="false">
      <c r="A117" s="32" t="str">
        <f aca="false">IF(L117="","",ROW()-4)</f>
        <v/>
      </c>
      <c r="B117" s="58" t="str">
        <f aca="false">IF(L117="","",IF(INDEX(ポート振替表!$W$5:$W$3507,$L117)="","(なし)",INDEX(ポート振替表!$W$5:$W$3507,$L117)&amp;""))</f>
        <v/>
      </c>
      <c r="C117" s="52" t="str">
        <f aca="false">IF(L117="","",INDEX(ポート振替表!$B$5:$B$3507,$L117)&amp;" "&amp;INDEX(ポート振替表!$C$5:$C$3507,$L117)&amp;"  ⇔  "&amp;INDEX(ポート振替表!$H$5:$H$3507,$L117)&amp;" "&amp;INDEX(ポート振替表!$I$5:$I$3507,$L117))</f>
        <v/>
      </c>
      <c r="D117" s="57" t="s">
        <v>158</v>
      </c>
      <c r="E117" s="59" t="str">
        <f aca="false">IF(L117="","",IF(INDEX(ポート振替表!$O$5:$O$3507,$L117)="","(未設定)",INDEX(ポート振替表!$O$5:$O$3507,$L117)&amp;""))</f>
        <v/>
      </c>
      <c r="F117" s="52" t="str">
        <f aca="false">IF(L117="","",INDEX(ポート振替表!$K$5:$K$3507,$L117)&amp;" "&amp;INDEX(ポート振替表!$L$5:$L$3507,$L117)&amp;"  ⇔  "&amp;INDEX(ポート振替表!$H$5:$H$3507,$L117)&amp;" "&amp;INDEX(ポート振替表!$I$5:$I$3507,$L117))</f>
        <v/>
      </c>
      <c r="G117" s="57" t="s">
        <v>158</v>
      </c>
      <c r="H117" s="32" t="str">
        <f aca="false">IF(L117="","",INDEX(ポート振替表!$N$5:$N$3507,$L117)&amp;"")</f>
        <v/>
      </c>
      <c r="I117" s="32" t="str">
        <f aca="false">IF(L117="","",INDEX(ポート振替表!$P$5:$P$3507,$L117)&amp;"")</f>
        <v/>
      </c>
      <c r="J117" s="60" t="str">
        <f aca="false">IF(L117="","",INDEX(ポート振替表!$M$5:$M$3507,$L117)&amp;"")</f>
        <v/>
      </c>
      <c r="K117" s="52" t="str">
        <f aca="false">IF(L117="","",E117&amp;CHAR(10)&amp;INDEX(ポート振替表!$K$5:$K$3507,$L117)&amp;" "&amp;INDEX(ポート振替表!$L$5:$L$3507,$L117)&amp;CHAR(10)&amp;"⇔ "&amp;INDEX(ポート振替表!$H$5:$H$3507,$L117)&amp;" "&amp;INDEX(ポート振替表!$I$5:$I$3507,$L117))</f>
        <v/>
      </c>
      <c r="L117" s="47" t="str">
        <f aca="false">IFERROR(MATCH(ROW()-4,ポート振替表!$V$5:$V$3507,0),"")</f>
        <v/>
      </c>
    </row>
    <row r="118" customFormat="false" ht="16.4" hidden="false" customHeight="false" outlineLevel="0" collapsed="false">
      <c r="A118" s="32" t="str">
        <f aca="false">IF(L118="","",ROW()-4)</f>
        <v/>
      </c>
      <c r="B118" s="58" t="str">
        <f aca="false">IF(L118="","",IF(INDEX(ポート振替表!$W$5:$W$3507,$L118)="","(なし)",INDEX(ポート振替表!$W$5:$W$3507,$L118)&amp;""))</f>
        <v/>
      </c>
      <c r="C118" s="52" t="str">
        <f aca="false">IF(L118="","",INDEX(ポート振替表!$B$5:$B$3507,$L118)&amp;" "&amp;INDEX(ポート振替表!$C$5:$C$3507,$L118)&amp;"  ⇔  "&amp;INDEX(ポート振替表!$H$5:$H$3507,$L118)&amp;" "&amp;INDEX(ポート振替表!$I$5:$I$3507,$L118))</f>
        <v/>
      </c>
      <c r="D118" s="57" t="s">
        <v>158</v>
      </c>
      <c r="E118" s="59" t="str">
        <f aca="false">IF(L118="","",IF(INDEX(ポート振替表!$O$5:$O$3507,$L118)="","(未設定)",INDEX(ポート振替表!$O$5:$O$3507,$L118)&amp;""))</f>
        <v/>
      </c>
      <c r="F118" s="52" t="str">
        <f aca="false">IF(L118="","",INDEX(ポート振替表!$K$5:$K$3507,$L118)&amp;" "&amp;INDEX(ポート振替表!$L$5:$L$3507,$L118)&amp;"  ⇔  "&amp;INDEX(ポート振替表!$H$5:$H$3507,$L118)&amp;" "&amp;INDEX(ポート振替表!$I$5:$I$3507,$L118))</f>
        <v/>
      </c>
      <c r="G118" s="57" t="s">
        <v>158</v>
      </c>
      <c r="H118" s="32" t="str">
        <f aca="false">IF(L118="","",INDEX(ポート振替表!$N$5:$N$3507,$L118)&amp;"")</f>
        <v/>
      </c>
      <c r="I118" s="32" t="str">
        <f aca="false">IF(L118="","",INDEX(ポート振替表!$P$5:$P$3507,$L118)&amp;"")</f>
        <v/>
      </c>
      <c r="J118" s="60" t="str">
        <f aca="false">IF(L118="","",INDEX(ポート振替表!$M$5:$M$3507,$L118)&amp;"")</f>
        <v/>
      </c>
      <c r="K118" s="52" t="str">
        <f aca="false">IF(L118="","",E118&amp;CHAR(10)&amp;INDEX(ポート振替表!$K$5:$K$3507,$L118)&amp;" "&amp;INDEX(ポート振替表!$L$5:$L$3507,$L118)&amp;CHAR(10)&amp;"⇔ "&amp;INDEX(ポート振替表!$H$5:$H$3507,$L118)&amp;" "&amp;INDEX(ポート振替表!$I$5:$I$3507,$L118))</f>
        <v/>
      </c>
      <c r="L118" s="47" t="str">
        <f aca="false">IFERROR(MATCH(ROW()-4,ポート振替表!$V$5:$V$3507,0),"")</f>
        <v/>
      </c>
    </row>
    <row r="119" customFormat="false" ht="16.4" hidden="false" customHeight="false" outlineLevel="0" collapsed="false">
      <c r="A119" s="32" t="str">
        <f aca="false">IF(L119="","",ROW()-4)</f>
        <v/>
      </c>
      <c r="B119" s="58" t="str">
        <f aca="false">IF(L119="","",IF(INDEX(ポート振替表!$W$5:$W$3507,$L119)="","(なし)",INDEX(ポート振替表!$W$5:$W$3507,$L119)&amp;""))</f>
        <v/>
      </c>
      <c r="C119" s="52" t="str">
        <f aca="false">IF(L119="","",INDEX(ポート振替表!$B$5:$B$3507,$L119)&amp;" "&amp;INDEX(ポート振替表!$C$5:$C$3507,$L119)&amp;"  ⇔  "&amp;INDEX(ポート振替表!$H$5:$H$3507,$L119)&amp;" "&amp;INDEX(ポート振替表!$I$5:$I$3507,$L119))</f>
        <v/>
      </c>
      <c r="D119" s="57" t="s">
        <v>158</v>
      </c>
      <c r="E119" s="59" t="str">
        <f aca="false">IF(L119="","",IF(INDEX(ポート振替表!$O$5:$O$3507,$L119)="","(未設定)",INDEX(ポート振替表!$O$5:$O$3507,$L119)&amp;""))</f>
        <v/>
      </c>
      <c r="F119" s="52" t="str">
        <f aca="false">IF(L119="","",INDEX(ポート振替表!$K$5:$K$3507,$L119)&amp;" "&amp;INDEX(ポート振替表!$L$5:$L$3507,$L119)&amp;"  ⇔  "&amp;INDEX(ポート振替表!$H$5:$H$3507,$L119)&amp;" "&amp;INDEX(ポート振替表!$I$5:$I$3507,$L119))</f>
        <v/>
      </c>
      <c r="G119" s="57" t="s">
        <v>158</v>
      </c>
      <c r="H119" s="32" t="str">
        <f aca="false">IF(L119="","",INDEX(ポート振替表!$N$5:$N$3507,$L119)&amp;"")</f>
        <v/>
      </c>
      <c r="I119" s="32" t="str">
        <f aca="false">IF(L119="","",INDEX(ポート振替表!$P$5:$P$3507,$L119)&amp;"")</f>
        <v/>
      </c>
      <c r="J119" s="60" t="str">
        <f aca="false">IF(L119="","",INDEX(ポート振替表!$M$5:$M$3507,$L119)&amp;"")</f>
        <v/>
      </c>
      <c r="K119" s="52" t="str">
        <f aca="false">IF(L119="","",E119&amp;CHAR(10)&amp;INDEX(ポート振替表!$K$5:$K$3507,$L119)&amp;" "&amp;INDEX(ポート振替表!$L$5:$L$3507,$L119)&amp;CHAR(10)&amp;"⇔ "&amp;INDEX(ポート振替表!$H$5:$H$3507,$L119)&amp;" "&amp;INDEX(ポート振替表!$I$5:$I$3507,$L119))</f>
        <v/>
      </c>
      <c r="L119" s="47" t="str">
        <f aca="false">IFERROR(MATCH(ROW()-4,ポート振替表!$V$5:$V$3507,0),"")</f>
        <v/>
      </c>
    </row>
    <row r="120" customFormat="false" ht="16.4" hidden="false" customHeight="false" outlineLevel="0" collapsed="false">
      <c r="A120" s="32" t="str">
        <f aca="false">IF(L120="","",ROW()-4)</f>
        <v/>
      </c>
      <c r="B120" s="58" t="str">
        <f aca="false">IF(L120="","",IF(INDEX(ポート振替表!$W$5:$W$3507,$L120)="","(なし)",INDEX(ポート振替表!$W$5:$W$3507,$L120)&amp;""))</f>
        <v/>
      </c>
      <c r="C120" s="52" t="str">
        <f aca="false">IF(L120="","",INDEX(ポート振替表!$B$5:$B$3507,$L120)&amp;" "&amp;INDEX(ポート振替表!$C$5:$C$3507,$L120)&amp;"  ⇔  "&amp;INDEX(ポート振替表!$H$5:$H$3507,$L120)&amp;" "&amp;INDEX(ポート振替表!$I$5:$I$3507,$L120))</f>
        <v/>
      </c>
      <c r="D120" s="57" t="s">
        <v>158</v>
      </c>
      <c r="E120" s="59" t="str">
        <f aca="false">IF(L120="","",IF(INDEX(ポート振替表!$O$5:$O$3507,$L120)="","(未設定)",INDEX(ポート振替表!$O$5:$O$3507,$L120)&amp;""))</f>
        <v/>
      </c>
      <c r="F120" s="52" t="str">
        <f aca="false">IF(L120="","",INDEX(ポート振替表!$K$5:$K$3507,$L120)&amp;" "&amp;INDEX(ポート振替表!$L$5:$L$3507,$L120)&amp;"  ⇔  "&amp;INDEX(ポート振替表!$H$5:$H$3507,$L120)&amp;" "&amp;INDEX(ポート振替表!$I$5:$I$3507,$L120))</f>
        <v/>
      </c>
      <c r="G120" s="57" t="s">
        <v>158</v>
      </c>
      <c r="H120" s="32" t="str">
        <f aca="false">IF(L120="","",INDEX(ポート振替表!$N$5:$N$3507,$L120)&amp;"")</f>
        <v/>
      </c>
      <c r="I120" s="32" t="str">
        <f aca="false">IF(L120="","",INDEX(ポート振替表!$P$5:$P$3507,$L120)&amp;"")</f>
        <v/>
      </c>
      <c r="J120" s="60" t="str">
        <f aca="false">IF(L120="","",INDEX(ポート振替表!$M$5:$M$3507,$L120)&amp;"")</f>
        <v/>
      </c>
      <c r="K120" s="52" t="str">
        <f aca="false">IF(L120="","",E120&amp;CHAR(10)&amp;INDEX(ポート振替表!$K$5:$K$3507,$L120)&amp;" "&amp;INDEX(ポート振替表!$L$5:$L$3507,$L120)&amp;CHAR(10)&amp;"⇔ "&amp;INDEX(ポート振替表!$H$5:$H$3507,$L120)&amp;" "&amp;INDEX(ポート振替表!$I$5:$I$3507,$L120))</f>
        <v/>
      </c>
      <c r="L120" s="47" t="str">
        <f aca="false">IFERROR(MATCH(ROW()-4,ポート振替表!$V$5:$V$3507,0),"")</f>
        <v/>
      </c>
    </row>
    <row r="121" customFormat="false" ht="16.4" hidden="false" customHeight="false" outlineLevel="0" collapsed="false">
      <c r="A121" s="32" t="str">
        <f aca="false">IF(L121="","",ROW()-4)</f>
        <v/>
      </c>
      <c r="B121" s="58" t="str">
        <f aca="false">IF(L121="","",IF(INDEX(ポート振替表!$W$5:$W$3507,$L121)="","(なし)",INDEX(ポート振替表!$W$5:$W$3507,$L121)&amp;""))</f>
        <v/>
      </c>
      <c r="C121" s="52" t="str">
        <f aca="false">IF(L121="","",INDEX(ポート振替表!$B$5:$B$3507,$L121)&amp;" "&amp;INDEX(ポート振替表!$C$5:$C$3507,$L121)&amp;"  ⇔  "&amp;INDEX(ポート振替表!$H$5:$H$3507,$L121)&amp;" "&amp;INDEX(ポート振替表!$I$5:$I$3507,$L121))</f>
        <v/>
      </c>
      <c r="D121" s="57" t="s">
        <v>158</v>
      </c>
      <c r="E121" s="59" t="str">
        <f aca="false">IF(L121="","",IF(INDEX(ポート振替表!$O$5:$O$3507,$L121)="","(未設定)",INDEX(ポート振替表!$O$5:$O$3507,$L121)&amp;""))</f>
        <v/>
      </c>
      <c r="F121" s="52" t="str">
        <f aca="false">IF(L121="","",INDEX(ポート振替表!$K$5:$K$3507,$L121)&amp;" "&amp;INDEX(ポート振替表!$L$5:$L$3507,$L121)&amp;"  ⇔  "&amp;INDEX(ポート振替表!$H$5:$H$3507,$L121)&amp;" "&amp;INDEX(ポート振替表!$I$5:$I$3507,$L121))</f>
        <v/>
      </c>
      <c r="G121" s="57" t="s">
        <v>158</v>
      </c>
      <c r="H121" s="32" t="str">
        <f aca="false">IF(L121="","",INDEX(ポート振替表!$N$5:$N$3507,$L121)&amp;"")</f>
        <v/>
      </c>
      <c r="I121" s="32" t="str">
        <f aca="false">IF(L121="","",INDEX(ポート振替表!$P$5:$P$3507,$L121)&amp;"")</f>
        <v/>
      </c>
      <c r="J121" s="60" t="str">
        <f aca="false">IF(L121="","",INDEX(ポート振替表!$M$5:$M$3507,$L121)&amp;"")</f>
        <v/>
      </c>
      <c r="K121" s="52" t="str">
        <f aca="false">IF(L121="","",E121&amp;CHAR(10)&amp;INDEX(ポート振替表!$K$5:$K$3507,$L121)&amp;" "&amp;INDEX(ポート振替表!$L$5:$L$3507,$L121)&amp;CHAR(10)&amp;"⇔ "&amp;INDEX(ポート振替表!$H$5:$H$3507,$L121)&amp;" "&amp;INDEX(ポート振替表!$I$5:$I$3507,$L121))</f>
        <v/>
      </c>
      <c r="L121" s="47" t="str">
        <f aca="false">IFERROR(MATCH(ROW()-4,ポート振替表!$V$5:$V$3507,0),"")</f>
        <v/>
      </c>
    </row>
    <row r="122" customFormat="false" ht="16.4" hidden="false" customHeight="false" outlineLevel="0" collapsed="false">
      <c r="A122" s="32" t="str">
        <f aca="false">IF(L122="","",ROW()-4)</f>
        <v/>
      </c>
      <c r="B122" s="58" t="str">
        <f aca="false">IF(L122="","",IF(INDEX(ポート振替表!$W$5:$W$3507,$L122)="","(なし)",INDEX(ポート振替表!$W$5:$W$3507,$L122)&amp;""))</f>
        <v/>
      </c>
      <c r="C122" s="52" t="str">
        <f aca="false">IF(L122="","",INDEX(ポート振替表!$B$5:$B$3507,$L122)&amp;" "&amp;INDEX(ポート振替表!$C$5:$C$3507,$L122)&amp;"  ⇔  "&amp;INDEX(ポート振替表!$H$5:$H$3507,$L122)&amp;" "&amp;INDEX(ポート振替表!$I$5:$I$3507,$L122))</f>
        <v/>
      </c>
      <c r="D122" s="57" t="s">
        <v>158</v>
      </c>
      <c r="E122" s="59" t="str">
        <f aca="false">IF(L122="","",IF(INDEX(ポート振替表!$O$5:$O$3507,$L122)="","(未設定)",INDEX(ポート振替表!$O$5:$O$3507,$L122)&amp;""))</f>
        <v/>
      </c>
      <c r="F122" s="52" t="str">
        <f aca="false">IF(L122="","",INDEX(ポート振替表!$K$5:$K$3507,$L122)&amp;" "&amp;INDEX(ポート振替表!$L$5:$L$3507,$L122)&amp;"  ⇔  "&amp;INDEX(ポート振替表!$H$5:$H$3507,$L122)&amp;" "&amp;INDEX(ポート振替表!$I$5:$I$3507,$L122))</f>
        <v/>
      </c>
      <c r="G122" s="57" t="s">
        <v>158</v>
      </c>
      <c r="H122" s="32" t="str">
        <f aca="false">IF(L122="","",INDEX(ポート振替表!$N$5:$N$3507,$L122)&amp;"")</f>
        <v/>
      </c>
      <c r="I122" s="32" t="str">
        <f aca="false">IF(L122="","",INDEX(ポート振替表!$P$5:$P$3507,$L122)&amp;"")</f>
        <v/>
      </c>
      <c r="J122" s="60" t="str">
        <f aca="false">IF(L122="","",INDEX(ポート振替表!$M$5:$M$3507,$L122)&amp;"")</f>
        <v/>
      </c>
      <c r="K122" s="52" t="str">
        <f aca="false">IF(L122="","",E122&amp;CHAR(10)&amp;INDEX(ポート振替表!$K$5:$K$3507,$L122)&amp;" "&amp;INDEX(ポート振替表!$L$5:$L$3507,$L122)&amp;CHAR(10)&amp;"⇔ "&amp;INDEX(ポート振替表!$H$5:$H$3507,$L122)&amp;" "&amp;INDEX(ポート振替表!$I$5:$I$3507,$L122))</f>
        <v/>
      </c>
      <c r="L122" s="47" t="str">
        <f aca="false">IFERROR(MATCH(ROW()-4,ポート振替表!$V$5:$V$3507,0),"")</f>
        <v/>
      </c>
    </row>
    <row r="123" customFormat="false" ht="16.4" hidden="false" customHeight="false" outlineLevel="0" collapsed="false">
      <c r="A123" s="32" t="str">
        <f aca="false">IF(L123="","",ROW()-4)</f>
        <v/>
      </c>
      <c r="B123" s="58" t="str">
        <f aca="false">IF(L123="","",IF(INDEX(ポート振替表!$W$5:$W$3507,$L123)="","(なし)",INDEX(ポート振替表!$W$5:$W$3507,$L123)&amp;""))</f>
        <v/>
      </c>
      <c r="C123" s="52" t="str">
        <f aca="false">IF(L123="","",INDEX(ポート振替表!$B$5:$B$3507,$L123)&amp;" "&amp;INDEX(ポート振替表!$C$5:$C$3507,$L123)&amp;"  ⇔  "&amp;INDEX(ポート振替表!$H$5:$H$3507,$L123)&amp;" "&amp;INDEX(ポート振替表!$I$5:$I$3507,$L123))</f>
        <v/>
      </c>
      <c r="D123" s="57" t="s">
        <v>158</v>
      </c>
      <c r="E123" s="59" t="str">
        <f aca="false">IF(L123="","",IF(INDEX(ポート振替表!$O$5:$O$3507,$L123)="","(未設定)",INDEX(ポート振替表!$O$5:$O$3507,$L123)&amp;""))</f>
        <v/>
      </c>
      <c r="F123" s="52" t="str">
        <f aca="false">IF(L123="","",INDEX(ポート振替表!$K$5:$K$3507,$L123)&amp;" "&amp;INDEX(ポート振替表!$L$5:$L$3507,$L123)&amp;"  ⇔  "&amp;INDEX(ポート振替表!$H$5:$H$3507,$L123)&amp;" "&amp;INDEX(ポート振替表!$I$5:$I$3507,$L123))</f>
        <v/>
      </c>
      <c r="G123" s="57" t="s">
        <v>158</v>
      </c>
      <c r="H123" s="32" t="str">
        <f aca="false">IF(L123="","",INDEX(ポート振替表!$N$5:$N$3507,$L123)&amp;"")</f>
        <v/>
      </c>
      <c r="I123" s="32" t="str">
        <f aca="false">IF(L123="","",INDEX(ポート振替表!$P$5:$P$3507,$L123)&amp;"")</f>
        <v/>
      </c>
      <c r="J123" s="60" t="str">
        <f aca="false">IF(L123="","",INDEX(ポート振替表!$M$5:$M$3507,$L123)&amp;"")</f>
        <v/>
      </c>
      <c r="K123" s="52" t="str">
        <f aca="false">IF(L123="","",E123&amp;CHAR(10)&amp;INDEX(ポート振替表!$K$5:$K$3507,$L123)&amp;" "&amp;INDEX(ポート振替表!$L$5:$L$3507,$L123)&amp;CHAR(10)&amp;"⇔ "&amp;INDEX(ポート振替表!$H$5:$H$3507,$L123)&amp;" "&amp;INDEX(ポート振替表!$I$5:$I$3507,$L123))</f>
        <v/>
      </c>
      <c r="L123" s="47" t="str">
        <f aca="false">IFERROR(MATCH(ROW()-4,ポート振替表!$V$5:$V$3507,0),"")</f>
        <v/>
      </c>
    </row>
    <row r="124" customFormat="false" ht="16.4" hidden="false" customHeight="false" outlineLevel="0" collapsed="false">
      <c r="A124" s="32" t="str">
        <f aca="false">IF(L124="","",ROW()-4)</f>
        <v/>
      </c>
      <c r="B124" s="58" t="str">
        <f aca="false">IF(L124="","",IF(INDEX(ポート振替表!$W$5:$W$3507,$L124)="","(なし)",INDEX(ポート振替表!$W$5:$W$3507,$L124)&amp;""))</f>
        <v/>
      </c>
      <c r="C124" s="52" t="str">
        <f aca="false">IF(L124="","",INDEX(ポート振替表!$B$5:$B$3507,$L124)&amp;" "&amp;INDEX(ポート振替表!$C$5:$C$3507,$L124)&amp;"  ⇔  "&amp;INDEX(ポート振替表!$H$5:$H$3507,$L124)&amp;" "&amp;INDEX(ポート振替表!$I$5:$I$3507,$L124))</f>
        <v/>
      </c>
      <c r="D124" s="57" t="s">
        <v>158</v>
      </c>
      <c r="E124" s="59" t="str">
        <f aca="false">IF(L124="","",IF(INDEX(ポート振替表!$O$5:$O$3507,$L124)="","(未設定)",INDEX(ポート振替表!$O$5:$O$3507,$L124)&amp;""))</f>
        <v/>
      </c>
      <c r="F124" s="52" t="str">
        <f aca="false">IF(L124="","",INDEX(ポート振替表!$K$5:$K$3507,$L124)&amp;" "&amp;INDEX(ポート振替表!$L$5:$L$3507,$L124)&amp;"  ⇔  "&amp;INDEX(ポート振替表!$H$5:$H$3507,$L124)&amp;" "&amp;INDEX(ポート振替表!$I$5:$I$3507,$L124))</f>
        <v/>
      </c>
      <c r="G124" s="57" t="s">
        <v>158</v>
      </c>
      <c r="H124" s="32" t="str">
        <f aca="false">IF(L124="","",INDEX(ポート振替表!$N$5:$N$3507,$L124)&amp;"")</f>
        <v/>
      </c>
      <c r="I124" s="32" t="str">
        <f aca="false">IF(L124="","",INDEX(ポート振替表!$P$5:$P$3507,$L124)&amp;"")</f>
        <v/>
      </c>
      <c r="J124" s="60" t="str">
        <f aca="false">IF(L124="","",INDEX(ポート振替表!$M$5:$M$3507,$L124)&amp;"")</f>
        <v/>
      </c>
      <c r="K124" s="52" t="str">
        <f aca="false">IF(L124="","",E124&amp;CHAR(10)&amp;INDEX(ポート振替表!$K$5:$K$3507,$L124)&amp;" "&amp;INDEX(ポート振替表!$L$5:$L$3507,$L124)&amp;CHAR(10)&amp;"⇔ "&amp;INDEX(ポート振替表!$H$5:$H$3507,$L124)&amp;" "&amp;INDEX(ポート振替表!$I$5:$I$3507,$L124))</f>
        <v/>
      </c>
      <c r="L124" s="47" t="str">
        <f aca="false">IFERROR(MATCH(ROW()-4,ポート振替表!$V$5:$V$3507,0),"")</f>
        <v/>
      </c>
    </row>
    <row r="125" customFormat="false" ht="16.4" hidden="false" customHeight="false" outlineLevel="0" collapsed="false">
      <c r="A125" s="32" t="str">
        <f aca="false">IF(L125="","",ROW()-4)</f>
        <v/>
      </c>
      <c r="B125" s="58" t="str">
        <f aca="false">IF(L125="","",IF(INDEX(ポート振替表!$W$5:$W$3507,$L125)="","(なし)",INDEX(ポート振替表!$W$5:$W$3507,$L125)&amp;""))</f>
        <v/>
      </c>
      <c r="C125" s="52" t="str">
        <f aca="false">IF(L125="","",INDEX(ポート振替表!$B$5:$B$3507,$L125)&amp;" "&amp;INDEX(ポート振替表!$C$5:$C$3507,$L125)&amp;"  ⇔  "&amp;INDEX(ポート振替表!$H$5:$H$3507,$L125)&amp;" "&amp;INDEX(ポート振替表!$I$5:$I$3507,$L125))</f>
        <v/>
      </c>
      <c r="D125" s="57" t="s">
        <v>158</v>
      </c>
      <c r="E125" s="59" t="str">
        <f aca="false">IF(L125="","",IF(INDEX(ポート振替表!$O$5:$O$3507,$L125)="","(未設定)",INDEX(ポート振替表!$O$5:$O$3507,$L125)&amp;""))</f>
        <v/>
      </c>
      <c r="F125" s="52" t="str">
        <f aca="false">IF(L125="","",INDEX(ポート振替表!$K$5:$K$3507,$L125)&amp;" "&amp;INDEX(ポート振替表!$L$5:$L$3507,$L125)&amp;"  ⇔  "&amp;INDEX(ポート振替表!$H$5:$H$3507,$L125)&amp;" "&amp;INDEX(ポート振替表!$I$5:$I$3507,$L125))</f>
        <v/>
      </c>
      <c r="G125" s="57" t="s">
        <v>158</v>
      </c>
      <c r="H125" s="32" t="str">
        <f aca="false">IF(L125="","",INDEX(ポート振替表!$N$5:$N$3507,$L125)&amp;"")</f>
        <v/>
      </c>
      <c r="I125" s="32" t="str">
        <f aca="false">IF(L125="","",INDEX(ポート振替表!$P$5:$P$3507,$L125)&amp;"")</f>
        <v/>
      </c>
      <c r="J125" s="60" t="str">
        <f aca="false">IF(L125="","",INDEX(ポート振替表!$M$5:$M$3507,$L125)&amp;"")</f>
        <v/>
      </c>
      <c r="K125" s="52" t="str">
        <f aca="false">IF(L125="","",E125&amp;CHAR(10)&amp;INDEX(ポート振替表!$K$5:$K$3507,$L125)&amp;" "&amp;INDEX(ポート振替表!$L$5:$L$3507,$L125)&amp;CHAR(10)&amp;"⇔ "&amp;INDEX(ポート振替表!$H$5:$H$3507,$L125)&amp;" "&amp;INDEX(ポート振替表!$I$5:$I$3507,$L125))</f>
        <v/>
      </c>
      <c r="L125" s="47" t="str">
        <f aca="false">IFERROR(MATCH(ROW()-4,ポート振替表!$V$5:$V$3507,0),"")</f>
        <v/>
      </c>
    </row>
    <row r="126" customFormat="false" ht="16.4" hidden="false" customHeight="false" outlineLevel="0" collapsed="false">
      <c r="A126" s="32" t="str">
        <f aca="false">IF(L126="","",ROW()-4)</f>
        <v/>
      </c>
      <c r="B126" s="58" t="str">
        <f aca="false">IF(L126="","",IF(INDEX(ポート振替表!$W$5:$W$3507,$L126)="","(なし)",INDEX(ポート振替表!$W$5:$W$3507,$L126)&amp;""))</f>
        <v/>
      </c>
      <c r="C126" s="52" t="str">
        <f aca="false">IF(L126="","",INDEX(ポート振替表!$B$5:$B$3507,$L126)&amp;" "&amp;INDEX(ポート振替表!$C$5:$C$3507,$L126)&amp;"  ⇔  "&amp;INDEX(ポート振替表!$H$5:$H$3507,$L126)&amp;" "&amp;INDEX(ポート振替表!$I$5:$I$3507,$L126))</f>
        <v/>
      </c>
      <c r="D126" s="57" t="s">
        <v>158</v>
      </c>
      <c r="E126" s="59" t="str">
        <f aca="false">IF(L126="","",IF(INDEX(ポート振替表!$O$5:$O$3507,$L126)="","(未設定)",INDEX(ポート振替表!$O$5:$O$3507,$L126)&amp;""))</f>
        <v/>
      </c>
      <c r="F126" s="52" t="str">
        <f aca="false">IF(L126="","",INDEX(ポート振替表!$K$5:$K$3507,$L126)&amp;" "&amp;INDEX(ポート振替表!$L$5:$L$3507,$L126)&amp;"  ⇔  "&amp;INDEX(ポート振替表!$H$5:$H$3507,$L126)&amp;" "&amp;INDEX(ポート振替表!$I$5:$I$3507,$L126))</f>
        <v/>
      </c>
      <c r="G126" s="57" t="s">
        <v>158</v>
      </c>
      <c r="H126" s="32" t="str">
        <f aca="false">IF(L126="","",INDEX(ポート振替表!$N$5:$N$3507,$L126)&amp;"")</f>
        <v/>
      </c>
      <c r="I126" s="32" t="str">
        <f aca="false">IF(L126="","",INDEX(ポート振替表!$P$5:$P$3507,$L126)&amp;"")</f>
        <v/>
      </c>
      <c r="J126" s="60" t="str">
        <f aca="false">IF(L126="","",INDEX(ポート振替表!$M$5:$M$3507,$L126)&amp;"")</f>
        <v/>
      </c>
      <c r="K126" s="52" t="str">
        <f aca="false">IF(L126="","",E126&amp;CHAR(10)&amp;INDEX(ポート振替表!$K$5:$K$3507,$L126)&amp;" "&amp;INDEX(ポート振替表!$L$5:$L$3507,$L126)&amp;CHAR(10)&amp;"⇔ "&amp;INDEX(ポート振替表!$H$5:$H$3507,$L126)&amp;" "&amp;INDEX(ポート振替表!$I$5:$I$3507,$L126))</f>
        <v/>
      </c>
      <c r="L126" s="47" t="str">
        <f aca="false">IFERROR(MATCH(ROW()-4,ポート振替表!$V$5:$V$3507,0),"")</f>
        <v/>
      </c>
    </row>
    <row r="127" customFormat="false" ht="16.4" hidden="false" customHeight="false" outlineLevel="0" collapsed="false">
      <c r="A127" s="32" t="str">
        <f aca="false">IF(L127="","",ROW()-4)</f>
        <v/>
      </c>
      <c r="B127" s="58" t="str">
        <f aca="false">IF(L127="","",IF(INDEX(ポート振替表!$W$5:$W$3507,$L127)="","(なし)",INDEX(ポート振替表!$W$5:$W$3507,$L127)&amp;""))</f>
        <v/>
      </c>
      <c r="C127" s="52" t="str">
        <f aca="false">IF(L127="","",INDEX(ポート振替表!$B$5:$B$3507,$L127)&amp;" "&amp;INDEX(ポート振替表!$C$5:$C$3507,$L127)&amp;"  ⇔  "&amp;INDEX(ポート振替表!$H$5:$H$3507,$L127)&amp;" "&amp;INDEX(ポート振替表!$I$5:$I$3507,$L127))</f>
        <v/>
      </c>
      <c r="D127" s="57" t="s">
        <v>158</v>
      </c>
      <c r="E127" s="59" t="str">
        <f aca="false">IF(L127="","",IF(INDEX(ポート振替表!$O$5:$O$3507,$L127)="","(未設定)",INDEX(ポート振替表!$O$5:$O$3507,$L127)&amp;""))</f>
        <v/>
      </c>
      <c r="F127" s="52" t="str">
        <f aca="false">IF(L127="","",INDEX(ポート振替表!$K$5:$K$3507,$L127)&amp;" "&amp;INDEX(ポート振替表!$L$5:$L$3507,$L127)&amp;"  ⇔  "&amp;INDEX(ポート振替表!$H$5:$H$3507,$L127)&amp;" "&amp;INDEX(ポート振替表!$I$5:$I$3507,$L127))</f>
        <v/>
      </c>
      <c r="G127" s="57" t="s">
        <v>158</v>
      </c>
      <c r="H127" s="32" t="str">
        <f aca="false">IF(L127="","",INDEX(ポート振替表!$N$5:$N$3507,$L127)&amp;"")</f>
        <v/>
      </c>
      <c r="I127" s="32" t="str">
        <f aca="false">IF(L127="","",INDEX(ポート振替表!$P$5:$P$3507,$L127)&amp;"")</f>
        <v/>
      </c>
      <c r="J127" s="60" t="str">
        <f aca="false">IF(L127="","",INDEX(ポート振替表!$M$5:$M$3507,$L127)&amp;"")</f>
        <v/>
      </c>
      <c r="K127" s="52" t="str">
        <f aca="false">IF(L127="","",E127&amp;CHAR(10)&amp;INDEX(ポート振替表!$K$5:$K$3507,$L127)&amp;" "&amp;INDEX(ポート振替表!$L$5:$L$3507,$L127)&amp;CHAR(10)&amp;"⇔ "&amp;INDEX(ポート振替表!$H$5:$H$3507,$L127)&amp;" "&amp;INDEX(ポート振替表!$I$5:$I$3507,$L127))</f>
        <v/>
      </c>
      <c r="L127" s="47" t="str">
        <f aca="false">IFERROR(MATCH(ROW()-4,ポート振替表!$V$5:$V$3507,0),"")</f>
        <v/>
      </c>
    </row>
    <row r="128" customFormat="false" ht="16.4" hidden="false" customHeight="false" outlineLevel="0" collapsed="false">
      <c r="A128" s="32" t="str">
        <f aca="false">IF(L128="","",ROW()-4)</f>
        <v/>
      </c>
      <c r="B128" s="58" t="str">
        <f aca="false">IF(L128="","",IF(INDEX(ポート振替表!$W$5:$W$3507,$L128)="","(なし)",INDEX(ポート振替表!$W$5:$W$3507,$L128)&amp;""))</f>
        <v/>
      </c>
      <c r="C128" s="52" t="str">
        <f aca="false">IF(L128="","",INDEX(ポート振替表!$B$5:$B$3507,$L128)&amp;" "&amp;INDEX(ポート振替表!$C$5:$C$3507,$L128)&amp;"  ⇔  "&amp;INDEX(ポート振替表!$H$5:$H$3507,$L128)&amp;" "&amp;INDEX(ポート振替表!$I$5:$I$3507,$L128))</f>
        <v/>
      </c>
      <c r="D128" s="57" t="s">
        <v>158</v>
      </c>
      <c r="E128" s="59" t="str">
        <f aca="false">IF(L128="","",IF(INDEX(ポート振替表!$O$5:$O$3507,$L128)="","(未設定)",INDEX(ポート振替表!$O$5:$O$3507,$L128)&amp;""))</f>
        <v/>
      </c>
      <c r="F128" s="52" t="str">
        <f aca="false">IF(L128="","",INDEX(ポート振替表!$K$5:$K$3507,$L128)&amp;" "&amp;INDEX(ポート振替表!$L$5:$L$3507,$L128)&amp;"  ⇔  "&amp;INDEX(ポート振替表!$H$5:$H$3507,$L128)&amp;" "&amp;INDEX(ポート振替表!$I$5:$I$3507,$L128))</f>
        <v/>
      </c>
      <c r="G128" s="57" t="s">
        <v>158</v>
      </c>
      <c r="H128" s="32" t="str">
        <f aca="false">IF(L128="","",INDEX(ポート振替表!$N$5:$N$3507,$L128)&amp;"")</f>
        <v/>
      </c>
      <c r="I128" s="32" t="str">
        <f aca="false">IF(L128="","",INDEX(ポート振替表!$P$5:$P$3507,$L128)&amp;"")</f>
        <v/>
      </c>
      <c r="J128" s="60" t="str">
        <f aca="false">IF(L128="","",INDEX(ポート振替表!$M$5:$M$3507,$L128)&amp;"")</f>
        <v/>
      </c>
      <c r="K128" s="52" t="str">
        <f aca="false">IF(L128="","",E128&amp;CHAR(10)&amp;INDEX(ポート振替表!$K$5:$K$3507,$L128)&amp;" "&amp;INDEX(ポート振替表!$L$5:$L$3507,$L128)&amp;CHAR(10)&amp;"⇔ "&amp;INDEX(ポート振替表!$H$5:$H$3507,$L128)&amp;" "&amp;INDEX(ポート振替表!$I$5:$I$3507,$L128))</f>
        <v/>
      </c>
      <c r="L128" s="47" t="str">
        <f aca="false">IFERROR(MATCH(ROW()-4,ポート振替表!$V$5:$V$3507,0),"")</f>
        <v/>
      </c>
    </row>
    <row r="129" customFormat="false" ht="16.4" hidden="false" customHeight="false" outlineLevel="0" collapsed="false">
      <c r="A129" s="32" t="str">
        <f aca="false">IF(L129="","",ROW()-4)</f>
        <v/>
      </c>
      <c r="B129" s="58" t="str">
        <f aca="false">IF(L129="","",IF(INDEX(ポート振替表!$W$5:$W$3507,$L129)="","(なし)",INDEX(ポート振替表!$W$5:$W$3507,$L129)&amp;""))</f>
        <v/>
      </c>
      <c r="C129" s="52" t="str">
        <f aca="false">IF(L129="","",INDEX(ポート振替表!$B$5:$B$3507,$L129)&amp;" "&amp;INDEX(ポート振替表!$C$5:$C$3507,$L129)&amp;"  ⇔  "&amp;INDEX(ポート振替表!$H$5:$H$3507,$L129)&amp;" "&amp;INDEX(ポート振替表!$I$5:$I$3507,$L129))</f>
        <v/>
      </c>
      <c r="D129" s="57" t="s">
        <v>158</v>
      </c>
      <c r="E129" s="59" t="str">
        <f aca="false">IF(L129="","",IF(INDEX(ポート振替表!$O$5:$O$3507,$L129)="","(未設定)",INDEX(ポート振替表!$O$5:$O$3507,$L129)&amp;""))</f>
        <v/>
      </c>
      <c r="F129" s="52" t="str">
        <f aca="false">IF(L129="","",INDEX(ポート振替表!$K$5:$K$3507,$L129)&amp;" "&amp;INDEX(ポート振替表!$L$5:$L$3507,$L129)&amp;"  ⇔  "&amp;INDEX(ポート振替表!$H$5:$H$3507,$L129)&amp;" "&amp;INDEX(ポート振替表!$I$5:$I$3507,$L129))</f>
        <v/>
      </c>
      <c r="G129" s="57" t="s">
        <v>158</v>
      </c>
      <c r="H129" s="32" t="str">
        <f aca="false">IF(L129="","",INDEX(ポート振替表!$N$5:$N$3507,$L129)&amp;"")</f>
        <v/>
      </c>
      <c r="I129" s="32" t="str">
        <f aca="false">IF(L129="","",INDEX(ポート振替表!$P$5:$P$3507,$L129)&amp;"")</f>
        <v/>
      </c>
      <c r="J129" s="60" t="str">
        <f aca="false">IF(L129="","",INDEX(ポート振替表!$M$5:$M$3507,$L129)&amp;"")</f>
        <v/>
      </c>
      <c r="K129" s="52" t="str">
        <f aca="false">IF(L129="","",E129&amp;CHAR(10)&amp;INDEX(ポート振替表!$K$5:$K$3507,$L129)&amp;" "&amp;INDEX(ポート振替表!$L$5:$L$3507,$L129)&amp;CHAR(10)&amp;"⇔ "&amp;INDEX(ポート振替表!$H$5:$H$3507,$L129)&amp;" "&amp;INDEX(ポート振替表!$I$5:$I$3507,$L129))</f>
        <v/>
      </c>
      <c r="L129" s="47" t="str">
        <f aca="false">IFERROR(MATCH(ROW()-4,ポート振替表!$V$5:$V$3507,0),"")</f>
        <v/>
      </c>
    </row>
    <row r="130" customFormat="false" ht="16.4" hidden="false" customHeight="false" outlineLevel="0" collapsed="false">
      <c r="A130" s="32" t="str">
        <f aca="false">IF(L130="","",ROW()-4)</f>
        <v/>
      </c>
      <c r="B130" s="58" t="str">
        <f aca="false">IF(L130="","",IF(INDEX(ポート振替表!$W$5:$W$3507,$L130)="","(なし)",INDEX(ポート振替表!$W$5:$W$3507,$L130)&amp;""))</f>
        <v/>
      </c>
      <c r="C130" s="52" t="str">
        <f aca="false">IF(L130="","",INDEX(ポート振替表!$B$5:$B$3507,$L130)&amp;" "&amp;INDEX(ポート振替表!$C$5:$C$3507,$L130)&amp;"  ⇔  "&amp;INDEX(ポート振替表!$H$5:$H$3507,$L130)&amp;" "&amp;INDEX(ポート振替表!$I$5:$I$3507,$L130))</f>
        <v/>
      </c>
      <c r="D130" s="57" t="s">
        <v>158</v>
      </c>
      <c r="E130" s="59" t="str">
        <f aca="false">IF(L130="","",IF(INDEX(ポート振替表!$O$5:$O$3507,$L130)="","(未設定)",INDEX(ポート振替表!$O$5:$O$3507,$L130)&amp;""))</f>
        <v/>
      </c>
      <c r="F130" s="52" t="str">
        <f aca="false">IF(L130="","",INDEX(ポート振替表!$K$5:$K$3507,$L130)&amp;" "&amp;INDEX(ポート振替表!$L$5:$L$3507,$L130)&amp;"  ⇔  "&amp;INDEX(ポート振替表!$H$5:$H$3507,$L130)&amp;" "&amp;INDEX(ポート振替表!$I$5:$I$3507,$L130))</f>
        <v/>
      </c>
      <c r="G130" s="57" t="s">
        <v>158</v>
      </c>
      <c r="H130" s="32" t="str">
        <f aca="false">IF(L130="","",INDEX(ポート振替表!$N$5:$N$3507,$L130)&amp;"")</f>
        <v/>
      </c>
      <c r="I130" s="32" t="str">
        <f aca="false">IF(L130="","",INDEX(ポート振替表!$P$5:$P$3507,$L130)&amp;"")</f>
        <v/>
      </c>
      <c r="J130" s="60" t="str">
        <f aca="false">IF(L130="","",INDEX(ポート振替表!$M$5:$M$3507,$L130)&amp;"")</f>
        <v/>
      </c>
      <c r="K130" s="52" t="str">
        <f aca="false">IF(L130="","",E130&amp;CHAR(10)&amp;INDEX(ポート振替表!$K$5:$K$3507,$L130)&amp;" "&amp;INDEX(ポート振替表!$L$5:$L$3507,$L130)&amp;CHAR(10)&amp;"⇔ "&amp;INDEX(ポート振替表!$H$5:$H$3507,$L130)&amp;" "&amp;INDEX(ポート振替表!$I$5:$I$3507,$L130))</f>
        <v/>
      </c>
      <c r="L130" s="47" t="str">
        <f aca="false">IFERROR(MATCH(ROW()-4,ポート振替表!$V$5:$V$3507,0),"")</f>
        <v/>
      </c>
    </row>
    <row r="131" customFormat="false" ht="16.4" hidden="false" customHeight="false" outlineLevel="0" collapsed="false">
      <c r="A131" s="32" t="str">
        <f aca="false">IF(L131="","",ROW()-4)</f>
        <v/>
      </c>
      <c r="B131" s="58" t="str">
        <f aca="false">IF(L131="","",IF(INDEX(ポート振替表!$W$5:$W$3507,$L131)="","(なし)",INDEX(ポート振替表!$W$5:$W$3507,$L131)&amp;""))</f>
        <v/>
      </c>
      <c r="C131" s="52" t="str">
        <f aca="false">IF(L131="","",INDEX(ポート振替表!$B$5:$B$3507,$L131)&amp;" "&amp;INDEX(ポート振替表!$C$5:$C$3507,$L131)&amp;"  ⇔  "&amp;INDEX(ポート振替表!$H$5:$H$3507,$L131)&amp;" "&amp;INDEX(ポート振替表!$I$5:$I$3507,$L131))</f>
        <v/>
      </c>
      <c r="D131" s="57" t="s">
        <v>158</v>
      </c>
      <c r="E131" s="59" t="str">
        <f aca="false">IF(L131="","",IF(INDEX(ポート振替表!$O$5:$O$3507,$L131)="","(未設定)",INDEX(ポート振替表!$O$5:$O$3507,$L131)&amp;""))</f>
        <v/>
      </c>
      <c r="F131" s="52" t="str">
        <f aca="false">IF(L131="","",INDEX(ポート振替表!$K$5:$K$3507,$L131)&amp;" "&amp;INDEX(ポート振替表!$L$5:$L$3507,$L131)&amp;"  ⇔  "&amp;INDEX(ポート振替表!$H$5:$H$3507,$L131)&amp;" "&amp;INDEX(ポート振替表!$I$5:$I$3507,$L131))</f>
        <v/>
      </c>
      <c r="G131" s="57" t="s">
        <v>158</v>
      </c>
      <c r="H131" s="32" t="str">
        <f aca="false">IF(L131="","",INDEX(ポート振替表!$N$5:$N$3507,$L131)&amp;"")</f>
        <v/>
      </c>
      <c r="I131" s="32" t="str">
        <f aca="false">IF(L131="","",INDEX(ポート振替表!$P$5:$P$3507,$L131)&amp;"")</f>
        <v/>
      </c>
      <c r="J131" s="60" t="str">
        <f aca="false">IF(L131="","",INDEX(ポート振替表!$M$5:$M$3507,$L131)&amp;"")</f>
        <v/>
      </c>
      <c r="K131" s="52" t="str">
        <f aca="false">IF(L131="","",E131&amp;CHAR(10)&amp;INDEX(ポート振替表!$K$5:$K$3507,$L131)&amp;" "&amp;INDEX(ポート振替表!$L$5:$L$3507,$L131)&amp;CHAR(10)&amp;"⇔ "&amp;INDEX(ポート振替表!$H$5:$H$3507,$L131)&amp;" "&amp;INDEX(ポート振替表!$I$5:$I$3507,$L131))</f>
        <v/>
      </c>
      <c r="L131" s="47" t="str">
        <f aca="false">IFERROR(MATCH(ROW()-4,ポート振替表!$V$5:$V$3507,0),"")</f>
        <v/>
      </c>
    </row>
    <row r="132" customFormat="false" ht="16.4" hidden="false" customHeight="false" outlineLevel="0" collapsed="false">
      <c r="A132" s="32" t="str">
        <f aca="false">IF(L132="","",ROW()-4)</f>
        <v/>
      </c>
      <c r="B132" s="58" t="str">
        <f aca="false">IF(L132="","",IF(INDEX(ポート振替表!$W$5:$W$3507,$L132)="","(なし)",INDEX(ポート振替表!$W$5:$W$3507,$L132)&amp;""))</f>
        <v/>
      </c>
      <c r="C132" s="52" t="str">
        <f aca="false">IF(L132="","",INDEX(ポート振替表!$B$5:$B$3507,$L132)&amp;" "&amp;INDEX(ポート振替表!$C$5:$C$3507,$L132)&amp;"  ⇔  "&amp;INDEX(ポート振替表!$H$5:$H$3507,$L132)&amp;" "&amp;INDEX(ポート振替表!$I$5:$I$3507,$L132))</f>
        <v/>
      </c>
      <c r="D132" s="57" t="s">
        <v>158</v>
      </c>
      <c r="E132" s="59" t="str">
        <f aca="false">IF(L132="","",IF(INDEX(ポート振替表!$O$5:$O$3507,$L132)="","(未設定)",INDEX(ポート振替表!$O$5:$O$3507,$L132)&amp;""))</f>
        <v/>
      </c>
      <c r="F132" s="52" t="str">
        <f aca="false">IF(L132="","",INDEX(ポート振替表!$K$5:$K$3507,$L132)&amp;" "&amp;INDEX(ポート振替表!$L$5:$L$3507,$L132)&amp;"  ⇔  "&amp;INDEX(ポート振替表!$H$5:$H$3507,$L132)&amp;" "&amp;INDEX(ポート振替表!$I$5:$I$3507,$L132))</f>
        <v/>
      </c>
      <c r="G132" s="57" t="s">
        <v>158</v>
      </c>
      <c r="H132" s="32" t="str">
        <f aca="false">IF(L132="","",INDEX(ポート振替表!$N$5:$N$3507,$L132)&amp;"")</f>
        <v/>
      </c>
      <c r="I132" s="32" t="str">
        <f aca="false">IF(L132="","",INDEX(ポート振替表!$P$5:$P$3507,$L132)&amp;"")</f>
        <v/>
      </c>
      <c r="J132" s="60" t="str">
        <f aca="false">IF(L132="","",INDEX(ポート振替表!$M$5:$M$3507,$L132)&amp;"")</f>
        <v/>
      </c>
      <c r="K132" s="52" t="str">
        <f aca="false">IF(L132="","",E132&amp;CHAR(10)&amp;INDEX(ポート振替表!$K$5:$K$3507,$L132)&amp;" "&amp;INDEX(ポート振替表!$L$5:$L$3507,$L132)&amp;CHAR(10)&amp;"⇔ "&amp;INDEX(ポート振替表!$H$5:$H$3507,$L132)&amp;" "&amp;INDEX(ポート振替表!$I$5:$I$3507,$L132))</f>
        <v/>
      </c>
      <c r="L132" s="47" t="str">
        <f aca="false">IFERROR(MATCH(ROW()-4,ポート振替表!$V$5:$V$3507,0),"")</f>
        <v/>
      </c>
    </row>
    <row r="133" customFormat="false" ht="16.4" hidden="false" customHeight="false" outlineLevel="0" collapsed="false">
      <c r="A133" s="32" t="str">
        <f aca="false">IF(L133="","",ROW()-4)</f>
        <v/>
      </c>
      <c r="B133" s="58" t="str">
        <f aca="false">IF(L133="","",IF(INDEX(ポート振替表!$W$5:$W$3507,$L133)="","(なし)",INDEX(ポート振替表!$W$5:$W$3507,$L133)&amp;""))</f>
        <v/>
      </c>
      <c r="C133" s="52" t="str">
        <f aca="false">IF(L133="","",INDEX(ポート振替表!$B$5:$B$3507,$L133)&amp;" "&amp;INDEX(ポート振替表!$C$5:$C$3507,$L133)&amp;"  ⇔  "&amp;INDEX(ポート振替表!$H$5:$H$3507,$L133)&amp;" "&amp;INDEX(ポート振替表!$I$5:$I$3507,$L133))</f>
        <v/>
      </c>
      <c r="D133" s="57" t="s">
        <v>158</v>
      </c>
      <c r="E133" s="59" t="str">
        <f aca="false">IF(L133="","",IF(INDEX(ポート振替表!$O$5:$O$3507,$L133)="","(未設定)",INDEX(ポート振替表!$O$5:$O$3507,$L133)&amp;""))</f>
        <v/>
      </c>
      <c r="F133" s="52" t="str">
        <f aca="false">IF(L133="","",INDEX(ポート振替表!$K$5:$K$3507,$L133)&amp;" "&amp;INDEX(ポート振替表!$L$5:$L$3507,$L133)&amp;"  ⇔  "&amp;INDEX(ポート振替表!$H$5:$H$3507,$L133)&amp;" "&amp;INDEX(ポート振替表!$I$5:$I$3507,$L133))</f>
        <v/>
      </c>
      <c r="G133" s="57" t="s">
        <v>158</v>
      </c>
      <c r="H133" s="32" t="str">
        <f aca="false">IF(L133="","",INDEX(ポート振替表!$N$5:$N$3507,$L133)&amp;"")</f>
        <v/>
      </c>
      <c r="I133" s="32" t="str">
        <f aca="false">IF(L133="","",INDEX(ポート振替表!$P$5:$P$3507,$L133)&amp;"")</f>
        <v/>
      </c>
      <c r="J133" s="60" t="str">
        <f aca="false">IF(L133="","",INDEX(ポート振替表!$M$5:$M$3507,$L133)&amp;"")</f>
        <v/>
      </c>
      <c r="K133" s="52" t="str">
        <f aca="false">IF(L133="","",E133&amp;CHAR(10)&amp;INDEX(ポート振替表!$K$5:$K$3507,$L133)&amp;" "&amp;INDEX(ポート振替表!$L$5:$L$3507,$L133)&amp;CHAR(10)&amp;"⇔ "&amp;INDEX(ポート振替表!$H$5:$H$3507,$L133)&amp;" "&amp;INDEX(ポート振替表!$I$5:$I$3507,$L133))</f>
        <v/>
      </c>
      <c r="L133" s="47" t="str">
        <f aca="false">IFERROR(MATCH(ROW()-4,ポート振替表!$V$5:$V$3507,0),"")</f>
        <v/>
      </c>
    </row>
    <row r="134" customFormat="false" ht="16.4" hidden="false" customHeight="false" outlineLevel="0" collapsed="false">
      <c r="A134" s="32" t="str">
        <f aca="false">IF(L134="","",ROW()-4)</f>
        <v/>
      </c>
      <c r="B134" s="58" t="str">
        <f aca="false">IF(L134="","",IF(INDEX(ポート振替表!$W$5:$W$3507,$L134)="","(なし)",INDEX(ポート振替表!$W$5:$W$3507,$L134)&amp;""))</f>
        <v/>
      </c>
      <c r="C134" s="52" t="str">
        <f aca="false">IF(L134="","",INDEX(ポート振替表!$B$5:$B$3507,$L134)&amp;" "&amp;INDEX(ポート振替表!$C$5:$C$3507,$L134)&amp;"  ⇔  "&amp;INDEX(ポート振替表!$H$5:$H$3507,$L134)&amp;" "&amp;INDEX(ポート振替表!$I$5:$I$3507,$L134))</f>
        <v/>
      </c>
      <c r="D134" s="57" t="s">
        <v>158</v>
      </c>
      <c r="E134" s="59" t="str">
        <f aca="false">IF(L134="","",IF(INDEX(ポート振替表!$O$5:$O$3507,$L134)="","(未設定)",INDEX(ポート振替表!$O$5:$O$3507,$L134)&amp;""))</f>
        <v/>
      </c>
      <c r="F134" s="52" t="str">
        <f aca="false">IF(L134="","",INDEX(ポート振替表!$K$5:$K$3507,$L134)&amp;" "&amp;INDEX(ポート振替表!$L$5:$L$3507,$L134)&amp;"  ⇔  "&amp;INDEX(ポート振替表!$H$5:$H$3507,$L134)&amp;" "&amp;INDEX(ポート振替表!$I$5:$I$3507,$L134))</f>
        <v/>
      </c>
      <c r="G134" s="57" t="s">
        <v>158</v>
      </c>
      <c r="H134" s="32" t="str">
        <f aca="false">IF(L134="","",INDEX(ポート振替表!$N$5:$N$3507,$L134)&amp;"")</f>
        <v/>
      </c>
      <c r="I134" s="32" t="str">
        <f aca="false">IF(L134="","",INDEX(ポート振替表!$P$5:$P$3507,$L134)&amp;"")</f>
        <v/>
      </c>
      <c r="J134" s="60" t="str">
        <f aca="false">IF(L134="","",INDEX(ポート振替表!$M$5:$M$3507,$L134)&amp;"")</f>
        <v/>
      </c>
      <c r="K134" s="52" t="str">
        <f aca="false">IF(L134="","",E134&amp;CHAR(10)&amp;INDEX(ポート振替表!$K$5:$K$3507,$L134)&amp;" "&amp;INDEX(ポート振替表!$L$5:$L$3507,$L134)&amp;CHAR(10)&amp;"⇔ "&amp;INDEX(ポート振替表!$H$5:$H$3507,$L134)&amp;" "&amp;INDEX(ポート振替表!$I$5:$I$3507,$L134))</f>
        <v/>
      </c>
      <c r="L134" s="47" t="str">
        <f aca="false">IFERROR(MATCH(ROW()-4,ポート振替表!$V$5:$V$3507,0),"")</f>
        <v/>
      </c>
    </row>
    <row r="135" customFormat="false" ht="16.4" hidden="false" customHeight="false" outlineLevel="0" collapsed="false">
      <c r="A135" s="32" t="str">
        <f aca="false">IF(L135="","",ROW()-4)</f>
        <v/>
      </c>
      <c r="B135" s="58" t="str">
        <f aca="false">IF(L135="","",IF(INDEX(ポート振替表!$W$5:$W$3507,$L135)="","(なし)",INDEX(ポート振替表!$W$5:$W$3507,$L135)&amp;""))</f>
        <v/>
      </c>
      <c r="C135" s="52" t="str">
        <f aca="false">IF(L135="","",INDEX(ポート振替表!$B$5:$B$3507,$L135)&amp;" "&amp;INDEX(ポート振替表!$C$5:$C$3507,$L135)&amp;"  ⇔  "&amp;INDEX(ポート振替表!$H$5:$H$3507,$L135)&amp;" "&amp;INDEX(ポート振替表!$I$5:$I$3507,$L135))</f>
        <v/>
      </c>
      <c r="D135" s="57" t="s">
        <v>158</v>
      </c>
      <c r="E135" s="59" t="str">
        <f aca="false">IF(L135="","",IF(INDEX(ポート振替表!$O$5:$O$3507,$L135)="","(未設定)",INDEX(ポート振替表!$O$5:$O$3507,$L135)&amp;""))</f>
        <v/>
      </c>
      <c r="F135" s="52" t="str">
        <f aca="false">IF(L135="","",INDEX(ポート振替表!$K$5:$K$3507,$L135)&amp;" "&amp;INDEX(ポート振替表!$L$5:$L$3507,$L135)&amp;"  ⇔  "&amp;INDEX(ポート振替表!$H$5:$H$3507,$L135)&amp;" "&amp;INDEX(ポート振替表!$I$5:$I$3507,$L135))</f>
        <v/>
      </c>
      <c r="G135" s="57" t="s">
        <v>158</v>
      </c>
      <c r="H135" s="32" t="str">
        <f aca="false">IF(L135="","",INDEX(ポート振替表!$N$5:$N$3507,$L135)&amp;"")</f>
        <v/>
      </c>
      <c r="I135" s="32" t="str">
        <f aca="false">IF(L135="","",INDEX(ポート振替表!$P$5:$P$3507,$L135)&amp;"")</f>
        <v/>
      </c>
      <c r="J135" s="60" t="str">
        <f aca="false">IF(L135="","",INDEX(ポート振替表!$M$5:$M$3507,$L135)&amp;"")</f>
        <v/>
      </c>
      <c r="K135" s="52" t="str">
        <f aca="false">IF(L135="","",E135&amp;CHAR(10)&amp;INDEX(ポート振替表!$K$5:$K$3507,$L135)&amp;" "&amp;INDEX(ポート振替表!$L$5:$L$3507,$L135)&amp;CHAR(10)&amp;"⇔ "&amp;INDEX(ポート振替表!$H$5:$H$3507,$L135)&amp;" "&amp;INDEX(ポート振替表!$I$5:$I$3507,$L135))</f>
        <v/>
      </c>
      <c r="L135" s="47" t="str">
        <f aca="false">IFERROR(MATCH(ROW()-4,ポート振替表!$V$5:$V$3507,0),"")</f>
        <v/>
      </c>
    </row>
    <row r="136" customFormat="false" ht="16.4" hidden="false" customHeight="false" outlineLevel="0" collapsed="false">
      <c r="A136" s="32" t="str">
        <f aca="false">IF(L136="","",ROW()-4)</f>
        <v/>
      </c>
      <c r="B136" s="58" t="str">
        <f aca="false">IF(L136="","",IF(INDEX(ポート振替表!$W$5:$W$3507,$L136)="","(なし)",INDEX(ポート振替表!$W$5:$W$3507,$L136)&amp;""))</f>
        <v/>
      </c>
      <c r="C136" s="52" t="str">
        <f aca="false">IF(L136="","",INDEX(ポート振替表!$B$5:$B$3507,$L136)&amp;" "&amp;INDEX(ポート振替表!$C$5:$C$3507,$L136)&amp;"  ⇔  "&amp;INDEX(ポート振替表!$H$5:$H$3507,$L136)&amp;" "&amp;INDEX(ポート振替表!$I$5:$I$3507,$L136))</f>
        <v/>
      </c>
      <c r="D136" s="57" t="s">
        <v>158</v>
      </c>
      <c r="E136" s="59" t="str">
        <f aca="false">IF(L136="","",IF(INDEX(ポート振替表!$O$5:$O$3507,$L136)="","(未設定)",INDEX(ポート振替表!$O$5:$O$3507,$L136)&amp;""))</f>
        <v/>
      </c>
      <c r="F136" s="52" t="str">
        <f aca="false">IF(L136="","",INDEX(ポート振替表!$K$5:$K$3507,$L136)&amp;" "&amp;INDEX(ポート振替表!$L$5:$L$3507,$L136)&amp;"  ⇔  "&amp;INDEX(ポート振替表!$H$5:$H$3507,$L136)&amp;" "&amp;INDEX(ポート振替表!$I$5:$I$3507,$L136))</f>
        <v/>
      </c>
      <c r="G136" s="57" t="s">
        <v>158</v>
      </c>
      <c r="H136" s="32" t="str">
        <f aca="false">IF(L136="","",INDEX(ポート振替表!$N$5:$N$3507,$L136)&amp;"")</f>
        <v/>
      </c>
      <c r="I136" s="32" t="str">
        <f aca="false">IF(L136="","",INDEX(ポート振替表!$P$5:$P$3507,$L136)&amp;"")</f>
        <v/>
      </c>
      <c r="J136" s="60" t="str">
        <f aca="false">IF(L136="","",INDEX(ポート振替表!$M$5:$M$3507,$L136)&amp;"")</f>
        <v/>
      </c>
      <c r="K136" s="52" t="str">
        <f aca="false">IF(L136="","",E136&amp;CHAR(10)&amp;INDEX(ポート振替表!$K$5:$K$3507,$L136)&amp;" "&amp;INDEX(ポート振替表!$L$5:$L$3507,$L136)&amp;CHAR(10)&amp;"⇔ "&amp;INDEX(ポート振替表!$H$5:$H$3507,$L136)&amp;" "&amp;INDEX(ポート振替表!$I$5:$I$3507,$L136))</f>
        <v/>
      </c>
      <c r="L136" s="47" t="str">
        <f aca="false">IFERROR(MATCH(ROW()-4,ポート振替表!$V$5:$V$3507,0),"")</f>
        <v/>
      </c>
    </row>
    <row r="137" customFormat="false" ht="16.4" hidden="false" customHeight="false" outlineLevel="0" collapsed="false">
      <c r="A137" s="32" t="str">
        <f aca="false">IF(L137="","",ROW()-4)</f>
        <v/>
      </c>
      <c r="B137" s="58" t="str">
        <f aca="false">IF(L137="","",IF(INDEX(ポート振替表!$W$5:$W$3507,$L137)="","(なし)",INDEX(ポート振替表!$W$5:$W$3507,$L137)&amp;""))</f>
        <v/>
      </c>
      <c r="C137" s="52" t="str">
        <f aca="false">IF(L137="","",INDEX(ポート振替表!$B$5:$B$3507,$L137)&amp;" "&amp;INDEX(ポート振替表!$C$5:$C$3507,$L137)&amp;"  ⇔  "&amp;INDEX(ポート振替表!$H$5:$H$3507,$L137)&amp;" "&amp;INDEX(ポート振替表!$I$5:$I$3507,$L137))</f>
        <v/>
      </c>
      <c r="D137" s="57" t="s">
        <v>158</v>
      </c>
      <c r="E137" s="59" t="str">
        <f aca="false">IF(L137="","",IF(INDEX(ポート振替表!$O$5:$O$3507,$L137)="","(未設定)",INDEX(ポート振替表!$O$5:$O$3507,$L137)&amp;""))</f>
        <v/>
      </c>
      <c r="F137" s="52" t="str">
        <f aca="false">IF(L137="","",INDEX(ポート振替表!$K$5:$K$3507,$L137)&amp;" "&amp;INDEX(ポート振替表!$L$5:$L$3507,$L137)&amp;"  ⇔  "&amp;INDEX(ポート振替表!$H$5:$H$3507,$L137)&amp;" "&amp;INDEX(ポート振替表!$I$5:$I$3507,$L137))</f>
        <v/>
      </c>
      <c r="G137" s="57" t="s">
        <v>158</v>
      </c>
      <c r="H137" s="32" t="str">
        <f aca="false">IF(L137="","",INDEX(ポート振替表!$N$5:$N$3507,$L137)&amp;"")</f>
        <v/>
      </c>
      <c r="I137" s="32" t="str">
        <f aca="false">IF(L137="","",INDEX(ポート振替表!$P$5:$P$3507,$L137)&amp;"")</f>
        <v/>
      </c>
      <c r="J137" s="60" t="str">
        <f aca="false">IF(L137="","",INDEX(ポート振替表!$M$5:$M$3507,$L137)&amp;"")</f>
        <v/>
      </c>
      <c r="K137" s="52" t="str">
        <f aca="false">IF(L137="","",E137&amp;CHAR(10)&amp;INDEX(ポート振替表!$K$5:$K$3507,$L137)&amp;" "&amp;INDEX(ポート振替表!$L$5:$L$3507,$L137)&amp;CHAR(10)&amp;"⇔ "&amp;INDEX(ポート振替表!$H$5:$H$3507,$L137)&amp;" "&amp;INDEX(ポート振替表!$I$5:$I$3507,$L137))</f>
        <v/>
      </c>
      <c r="L137" s="47" t="str">
        <f aca="false">IFERROR(MATCH(ROW()-4,ポート振替表!$V$5:$V$3507,0),"")</f>
        <v/>
      </c>
    </row>
    <row r="138" customFormat="false" ht="16.4" hidden="false" customHeight="false" outlineLevel="0" collapsed="false">
      <c r="A138" s="32" t="str">
        <f aca="false">IF(L138="","",ROW()-4)</f>
        <v/>
      </c>
      <c r="B138" s="58" t="str">
        <f aca="false">IF(L138="","",IF(INDEX(ポート振替表!$W$5:$W$3507,$L138)="","(なし)",INDEX(ポート振替表!$W$5:$W$3507,$L138)&amp;""))</f>
        <v/>
      </c>
      <c r="C138" s="52" t="str">
        <f aca="false">IF(L138="","",INDEX(ポート振替表!$B$5:$B$3507,$L138)&amp;" "&amp;INDEX(ポート振替表!$C$5:$C$3507,$L138)&amp;"  ⇔  "&amp;INDEX(ポート振替表!$H$5:$H$3507,$L138)&amp;" "&amp;INDEX(ポート振替表!$I$5:$I$3507,$L138))</f>
        <v/>
      </c>
      <c r="D138" s="57" t="s">
        <v>158</v>
      </c>
      <c r="E138" s="59" t="str">
        <f aca="false">IF(L138="","",IF(INDEX(ポート振替表!$O$5:$O$3507,$L138)="","(未設定)",INDEX(ポート振替表!$O$5:$O$3507,$L138)&amp;""))</f>
        <v/>
      </c>
      <c r="F138" s="52" t="str">
        <f aca="false">IF(L138="","",INDEX(ポート振替表!$K$5:$K$3507,$L138)&amp;" "&amp;INDEX(ポート振替表!$L$5:$L$3507,$L138)&amp;"  ⇔  "&amp;INDEX(ポート振替表!$H$5:$H$3507,$L138)&amp;" "&amp;INDEX(ポート振替表!$I$5:$I$3507,$L138))</f>
        <v/>
      </c>
      <c r="G138" s="57" t="s">
        <v>158</v>
      </c>
      <c r="H138" s="32" t="str">
        <f aca="false">IF(L138="","",INDEX(ポート振替表!$N$5:$N$3507,$L138)&amp;"")</f>
        <v/>
      </c>
      <c r="I138" s="32" t="str">
        <f aca="false">IF(L138="","",INDEX(ポート振替表!$P$5:$P$3507,$L138)&amp;"")</f>
        <v/>
      </c>
      <c r="J138" s="60" t="str">
        <f aca="false">IF(L138="","",INDEX(ポート振替表!$M$5:$M$3507,$L138)&amp;"")</f>
        <v/>
      </c>
      <c r="K138" s="52" t="str">
        <f aca="false">IF(L138="","",E138&amp;CHAR(10)&amp;INDEX(ポート振替表!$K$5:$K$3507,$L138)&amp;" "&amp;INDEX(ポート振替表!$L$5:$L$3507,$L138)&amp;CHAR(10)&amp;"⇔ "&amp;INDEX(ポート振替表!$H$5:$H$3507,$L138)&amp;" "&amp;INDEX(ポート振替表!$I$5:$I$3507,$L138))</f>
        <v/>
      </c>
      <c r="L138" s="47" t="str">
        <f aca="false">IFERROR(MATCH(ROW()-4,ポート振替表!$V$5:$V$3507,0),"")</f>
        <v/>
      </c>
    </row>
    <row r="139" customFormat="false" ht="16.4" hidden="false" customHeight="false" outlineLevel="0" collapsed="false">
      <c r="A139" s="32" t="str">
        <f aca="false">IF(L139="","",ROW()-4)</f>
        <v/>
      </c>
      <c r="B139" s="58" t="str">
        <f aca="false">IF(L139="","",IF(INDEX(ポート振替表!$W$5:$W$3507,$L139)="","(なし)",INDEX(ポート振替表!$W$5:$W$3507,$L139)&amp;""))</f>
        <v/>
      </c>
      <c r="C139" s="52" t="str">
        <f aca="false">IF(L139="","",INDEX(ポート振替表!$B$5:$B$3507,$L139)&amp;" "&amp;INDEX(ポート振替表!$C$5:$C$3507,$L139)&amp;"  ⇔  "&amp;INDEX(ポート振替表!$H$5:$H$3507,$L139)&amp;" "&amp;INDEX(ポート振替表!$I$5:$I$3507,$L139))</f>
        <v/>
      </c>
      <c r="D139" s="57" t="s">
        <v>158</v>
      </c>
      <c r="E139" s="59" t="str">
        <f aca="false">IF(L139="","",IF(INDEX(ポート振替表!$O$5:$O$3507,$L139)="","(未設定)",INDEX(ポート振替表!$O$5:$O$3507,$L139)&amp;""))</f>
        <v/>
      </c>
      <c r="F139" s="52" t="str">
        <f aca="false">IF(L139="","",INDEX(ポート振替表!$K$5:$K$3507,$L139)&amp;" "&amp;INDEX(ポート振替表!$L$5:$L$3507,$L139)&amp;"  ⇔  "&amp;INDEX(ポート振替表!$H$5:$H$3507,$L139)&amp;" "&amp;INDEX(ポート振替表!$I$5:$I$3507,$L139))</f>
        <v/>
      </c>
      <c r="G139" s="57" t="s">
        <v>158</v>
      </c>
      <c r="H139" s="32" t="str">
        <f aca="false">IF(L139="","",INDEX(ポート振替表!$N$5:$N$3507,$L139)&amp;"")</f>
        <v/>
      </c>
      <c r="I139" s="32" t="str">
        <f aca="false">IF(L139="","",INDEX(ポート振替表!$P$5:$P$3507,$L139)&amp;"")</f>
        <v/>
      </c>
      <c r="J139" s="60" t="str">
        <f aca="false">IF(L139="","",INDEX(ポート振替表!$M$5:$M$3507,$L139)&amp;"")</f>
        <v/>
      </c>
      <c r="K139" s="52" t="str">
        <f aca="false">IF(L139="","",E139&amp;CHAR(10)&amp;INDEX(ポート振替表!$K$5:$K$3507,$L139)&amp;" "&amp;INDEX(ポート振替表!$L$5:$L$3507,$L139)&amp;CHAR(10)&amp;"⇔ "&amp;INDEX(ポート振替表!$H$5:$H$3507,$L139)&amp;" "&amp;INDEX(ポート振替表!$I$5:$I$3507,$L139))</f>
        <v/>
      </c>
      <c r="L139" s="47" t="str">
        <f aca="false">IFERROR(MATCH(ROW()-4,ポート振替表!$V$5:$V$3507,0),"")</f>
        <v/>
      </c>
    </row>
    <row r="140" customFormat="false" ht="16.4" hidden="false" customHeight="false" outlineLevel="0" collapsed="false">
      <c r="A140" s="32" t="str">
        <f aca="false">IF(L140="","",ROW()-4)</f>
        <v/>
      </c>
      <c r="B140" s="58" t="str">
        <f aca="false">IF(L140="","",IF(INDEX(ポート振替表!$W$5:$W$3507,$L140)="","(なし)",INDEX(ポート振替表!$W$5:$W$3507,$L140)&amp;""))</f>
        <v/>
      </c>
      <c r="C140" s="52" t="str">
        <f aca="false">IF(L140="","",INDEX(ポート振替表!$B$5:$B$3507,$L140)&amp;" "&amp;INDEX(ポート振替表!$C$5:$C$3507,$L140)&amp;"  ⇔  "&amp;INDEX(ポート振替表!$H$5:$H$3507,$L140)&amp;" "&amp;INDEX(ポート振替表!$I$5:$I$3507,$L140))</f>
        <v/>
      </c>
      <c r="D140" s="57" t="s">
        <v>158</v>
      </c>
      <c r="E140" s="59" t="str">
        <f aca="false">IF(L140="","",IF(INDEX(ポート振替表!$O$5:$O$3507,$L140)="","(未設定)",INDEX(ポート振替表!$O$5:$O$3507,$L140)&amp;""))</f>
        <v/>
      </c>
      <c r="F140" s="52" t="str">
        <f aca="false">IF(L140="","",INDEX(ポート振替表!$K$5:$K$3507,$L140)&amp;" "&amp;INDEX(ポート振替表!$L$5:$L$3507,$L140)&amp;"  ⇔  "&amp;INDEX(ポート振替表!$H$5:$H$3507,$L140)&amp;" "&amp;INDEX(ポート振替表!$I$5:$I$3507,$L140))</f>
        <v/>
      </c>
      <c r="G140" s="57" t="s">
        <v>158</v>
      </c>
      <c r="H140" s="32" t="str">
        <f aca="false">IF(L140="","",INDEX(ポート振替表!$N$5:$N$3507,$L140)&amp;"")</f>
        <v/>
      </c>
      <c r="I140" s="32" t="str">
        <f aca="false">IF(L140="","",INDEX(ポート振替表!$P$5:$P$3507,$L140)&amp;"")</f>
        <v/>
      </c>
      <c r="J140" s="60" t="str">
        <f aca="false">IF(L140="","",INDEX(ポート振替表!$M$5:$M$3507,$L140)&amp;"")</f>
        <v/>
      </c>
      <c r="K140" s="52" t="str">
        <f aca="false">IF(L140="","",E140&amp;CHAR(10)&amp;INDEX(ポート振替表!$K$5:$K$3507,$L140)&amp;" "&amp;INDEX(ポート振替表!$L$5:$L$3507,$L140)&amp;CHAR(10)&amp;"⇔ "&amp;INDEX(ポート振替表!$H$5:$H$3507,$L140)&amp;" "&amp;INDEX(ポート振替表!$I$5:$I$3507,$L140))</f>
        <v/>
      </c>
      <c r="L140" s="47" t="str">
        <f aca="false">IFERROR(MATCH(ROW()-4,ポート振替表!$V$5:$V$3507,0),"")</f>
        <v/>
      </c>
    </row>
    <row r="141" customFormat="false" ht="16.4" hidden="false" customHeight="false" outlineLevel="0" collapsed="false">
      <c r="A141" s="32" t="str">
        <f aca="false">IF(L141="","",ROW()-4)</f>
        <v/>
      </c>
      <c r="B141" s="58" t="str">
        <f aca="false">IF(L141="","",IF(INDEX(ポート振替表!$W$5:$W$3507,$L141)="","(なし)",INDEX(ポート振替表!$W$5:$W$3507,$L141)&amp;""))</f>
        <v/>
      </c>
      <c r="C141" s="52" t="str">
        <f aca="false">IF(L141="","",INDEX(ポート振替表!$B$5:$B$3507,$L141)&amp;" "&amp;INDEX(ポート振替表!$C$5:$C$3507,$L141)&amp;"  ⇔  "&amp;INDEX(ポート振替表!$H$5:$H$3507,$L141)&amp;" "&amp;INDEX(ポート振替表!$I$5:$I$3507,$L141))</f>
        <v/>
      </c>
      <c r="D141" s="57" t="s">
        <v>158</v>
      </c>
      <c r="E141" s="59" t="str">
        <f aca="false">IF(L141="","",IF(INDEX(ポート振替表!$O$5:$O$3507,$L141)="","(未設定)",INDEX(ポート振替表!$O$5:$O$3507,$L141)&amp;""))</f>
        <v/>
      </c>
      <c r="F141" s="52" t="str">
        <f aca="false">IF(L141="","",INDEX(ポート振替表!$K$5:$K$3507,$L141)&amp;" "&amp;INDEX(ポート振替表!$L$5:$L$3507,$L141)&amp;"  ⇔  "&amp;INDEX(ポート振替表!$H$5:$H$3507,$L141)&amp;" "&amp;INDEX(ポート振替表!$I$5:$I$3507,$L141))</f>
        <v/>
      </c>
      <c r="G141" s="57" t="s">
        <v>158</v>
      </c>
      <c r="H141" s="32" t="str">
        <f aca="false">IF(L141="","",INDEX(ポート振替表!$N$5:$N$3507,$L141)&amp;"")</f>
        <v/>
      </c>
      <c r="I141" s="32" t="str">
        <f aca="false">IF(L141="","",INDEX(ポート振替表!$P$5:$P$3507,$L141)&amp;"")</f>
        <v/>
      </c>
      <c r="J141" s="60" t="str">
        <f aca="false">IF(L141="","",INDEX(ポート振替表!$M$5:$M$3507,$L141)&amp;"")</f>
        <v/>
      </c>
      <c r="K141" s="52" t="str">
        <f aca="false">IF(L141="","",E141&amp;CHAR(10)&amp;INDEX(ポート振替表!$K$5:$K$3507,$L141)&amp;" "&amp;INDEX(ポート振替表!$L$5:$L$3507,$L141)&amp;CHAR(10)&amp;"⇔ "&amp;INDEX(ポート振替表!$H$5:$H$3507,$L141)&amp;" "&amp;INDEX(ポート振替表!$I$5:$I$3507,$L141))</f>
        <v/>
      </c>
      <c r="L141" s="47" t="str">
        <f aca="false">IFERROR(MATCH(ROW()-4,ポート振替表!$V$5:$V$3507,0),"")</f>
        <v/>
      </c>
    </row>
    <row r="142" customFormat="false" ht="16.4" hidden="false" customHeight="false" outlineLevel="0" collapsed="false">
      <c r="A142" s="32" t="str">
        <f aca="false">IF(L142="","",ROW()-4)</f>
        <v/>
      </c>
      <c r="B142" s="58" t="str">
        <f aca="false">IF(L142="","",IF(INDEX(ポート振替表!$W$5:$W$3507,$L142)="","(なし)",INDEX(ポート振替表!$W$5:$W$3507,$L142)&amp;""))</f>
        <v/>
      </c>
      <c r="C142" s="52" t="str">
        <f aca="false">IF(L142="","",INDEX(ポート振替表!$B$5:$B$3507,$L142)&amp;" "&amp;INDEX(ポート振替表!$C$5:$C$3507,$L142)&amp;"  ⇔  "&amp;INDEX(ポート振替表!$H$5:$H$3507,$L142)&amp;" "&amp;INDEX(ポート振替表!$I$5:$I$3507,$L142))</f>
        <v/>
      </c>
      <c r="D142" s="57" t="s">
        <v>158</v>
      </c>
      <c r="E142" s="59" t="str">
        <f aca="false">IF(L142="","",IF(INDEX(ポート振替表!$O$5:$O$3507,$L142)="","(未設定)",INDEX(ポート振替表!$O$5:$O$3507,$L142)&amp;""))</f>
        <v/>
      </c>
      <c r="F142" s="52" t="str">
        <f aca="false">IF(L142="","",INDEX(ポート振替表!$K$5:$K$3507,$L142)&amp;" "&amp;INDEX(ポート振替表!$L$5:$L$3507,$L142)&amp;"  ⇔  "&amp;INDEX(ポート振替表!$H$5:$H$3507,$L142)&amp;" "&amp;INDEX(ポート振替表!$I$5:$I$3507,$L142))</f>
        <v/>
      </c>
      <c r="G142" s="57" t="s">
        <v>158</v>
      </c>
      <c r="H142" s="32" t="str">
        <f aca="false">IF(L142="","",INDEX(ポート振替表!$N$5:$N$3507,$L142)&amp;"")</f>
        <v/>
      </c>
      <c r="I142" s="32" t="str">
        <f aca="false">IF(L142="","",INDEX(ポート振替表!$P$5:$P$3507,$L142)&amp;"")</f>
        <v/>
      </c>
      <c r="J142" s="60" t="str">
        <f aca="false">IF(L142="","",INDEX(ポート振替表!$M$5:$M$3507,$L142)&amp;"")</f>
        <v/>
      </c>
      <c r="K142" s="52" t="str">
        <f aca="false">IF(L142="","",E142&amp;CHAR(10)&amp;INDEX(ポート振替表!$K$5:$K$3507,$L142)&amp;" "&amp;INDEX(ポート振替表!$L$5:$L$3507,$L142)&amp;CHAR(10)&amp;"⇔ "&amp;INDEX(ポート振替表!$H$5:$H$3507,$L142)&amp;" "&amp;INDEX(ポート振替表!$I$5:$I$3507,$L142))</f>
        <v/>
      </c>
      <c r="L142" s="47" t="str">
        <f aca="false">IFERROR(MATCH(ROW()-4,ポート振替表!$V$5:$V$3507,0),"")</f>
        <v/>
      </c>
    </row>
    <row r="143" customFormat="false" ht="16.4" hidden="false" customHeight="false" outlineLevel="0" collapsed="false">
      <c r="A143" s="32" t="str">
        <f aca="false">IF(L143="","",ROW()-4)</f>
        <v/>
      </c>
      <c r="B143" s="58" t="str">
        <f aca="false">IF(L143="","",IF(INDEX(ポート振替表!$W$5:$W$3507,$L143)="","(なし)",INDEX(ポート振替表!$W$5:$W$3507,$L143)&amp;""))</f>
        <v/>
      </c>
      <c r="C143" s="52" t="str">
        <f aca="false">IF(L143="","",INDEX(ポート振替表!$B$5:$B$3507,$L143)&amp;" "&amp;INDEX(ポート振替表!$C$5:$C$3507,$L143)&amp;"  ⇔  "&amp;INDEX(ポート振替表!$H$5:$H$3507,$L143)&amp;" "&amp;INDEX(ポート振替表!$I$5:$I$3507,$L143))</f>
        <v/>
      </c>
      <c r="D143" s="57" t="s">
        <v>158</v>
      </c>
      <c r="E143" s="59" t="str">
        <f aca="false">IF(L143="","",IF(INDEX(ポート振替表!$O$5:$O$3507,$L143)="","(未設定)",INDEX(ポート振替表!$O$5:$O$3507,$L143)&amp;""))</f>
        <v/>
      </c>
      <c r="F143" s="52" t="str">
        <f aca="false">IF(L143="","",INDEX(ポート振替表!$K$5:$K$3507,$L143)&amp;" "&amp;INDEX(ポート振替表!$L$5:$L$3507,$L143)&amp;"  ⇔  "&amp;INDEX(ポート振替表!$H$5:$H$3507,$L143)&amp;" "&amp;INDEX(ポート振替表!$I$5:$I$3507,$L143))</f>
        <v/>
      </c>
      <c r="G143" s="57" t="s">
        <v>158</v>
      </c>
      <c r="H143" s="32" t="str">
        <f aca="false">IF(L143="","",INDEX(ポート振替表!$N$5:$N$3507,$L143)&amp;"")</f>
        <v/>
      </c>
      <c r="I143" s="32" t="str">
        <f aca="false">IF(L143="","",INDEX(ポート振替表!$P$5:$P$3507,$L143)&amp;"")</f>
        <v/>
      </c>
      <c r="J143" s="60" t="str">
        <f aca="false">IF(L143="","",INDEX(ポート振替表!$M$5:$M$3507,$L143)&amp;"")</f>
        <v/>
      </c>
      <c r="K143" s="52" t="str">
        <f aca="false">IF(L143="","",E143&amp;CHAR(10)&amp;INDEX(ポート振替表!$K$5:$K$3507,$L143)&amp;" "&amp;INDEX(ポート振替表!$L$5:$L$3507,$L143)&amp;CHAR(10)&amp;"⇔ "&amp;INDEX(ポート振替表!$H$5:$H$3507,$L143)&amp;" "&amp;INDEX(ポート振替表!$I$5:$I$3507,$L143))</f>
        <v/>
      </c>
      <c r="L143" s="47" t="str">
        <f aca="false">IFERROR(MATCH(ROW()-4,ポート振替表!$V$5:$V$3507,0),"")</f>
        <v/>
      </c>
    </row>
    <row r="144" customFormat="false" ht="16.4" hidden="false" customHeight="false" outlineLevel="0" collapsed="false">
      <c r="A144" s="32" t="str">
        <f aca="false">IF(L144="","",ROW()-4)</f>
        <v/>
      </c>
      <c r="B144" s="58" t="str">
        <f aca="false">IF(L144="","",IF(INDEX(ポート振替表!$W$5:$W$3507,$L144)="","(なし)",INDEX(ポート振替表!$W$5:$W$3507,$L144)&amp;""))</f>
        <v/>
      </c>
      <c r="C144" s="52" t="str">
        <f aca="false">IF(L144="","",INDEX(ポート振替表!$B$5:$B$3507,$L144)&amp;" "&amp;INDEX(ポート振替表!$C$5:$C$3507,$L144)&amp;"  ⇔  "&amp;INDEX(ポート振替表!$H$5:$H$3507,$L144)&amp;" "&amp;INDEX(ポート振替表!$I$5:$I$3507,$L144))</f>
        <v/>
      </c>
      <c r="D144" s="57" t="s">
        <v>158</v>
      </c>
      <c r="E144" s="59" t="str">
        <f aca="false">IF(L144="","",IF(INDEX(ポート振替表!$O$5:$O$3507,$L144)="","(未設定)",INDEX(ポート振替表!$O$5:$O$3507,$L144)&amp;""))</f>
        <v/>
      </c>
      <c r="F144" s="52" t="str">
        <f aca="false">IF(L144="","",INDEX(ポート振替表!$K$5:$K$3507,$L144)&amp;" "&amp;INDEX(ポート振替表!$L$5:$L$3507,$L144)&amp;"  ⇔  "&amp;INDEX(ポート振替表!$H$5:$H$3507,$L144)&amp;" "&amp;INDEX(ポート振替表!$I$5:$I$3507,$L144))</f>
        <v/>
      </c>
      <c r="G144" s="57" t="s">
        <v>158</v>
      </c>
      <c r="H144" s="32" t="str">
        <f aca="false">IF(L144="","",INDEX(ポート振替表!$N$5:$N$3507,$L144)&amp;"")</f>
        <v/>
      </c>
      <c r="I144" s="32" t="str">
        <f aca="false">IF(L144="","",INDEX(ポート振替表!$P$5:$P$3507,$L144)&amp;"")</f>
        <v/>
      </c>
      <c r="J144" s="60" t="str">
        <f aca="false">IF(L144="","",INDEX(ポート振替表!$M$5:$M$3507,$L144)&amp;"")</f>
        <v/>
      </c>
      <c r="K144" s="52" t="str">
        <f aca="false">IF(L144="","",E144&amp;CHAR(10)&amp;INDEX(ポート振替表!$K$5:$K$3507,$L144)&amp;" "&amp;INDEX(ポート振替表!$L$5:$L$3507,$L144)&amp;CHAR(10)&amp;"⇔ "&amp;INDEX(ポート振替表!$H$5:$H$3507,$L144)&amp;" "&amp;INDEX(ポート振替表!$I$5:$I$3507,$L144))</f>
        <v/>
      </c>
      <c r="L144" s="47" t="str">
        <f aca="false">IFERROR(MATCH(ROW()-4,ポート振替表!$V$5:$V$3507,0),"")</f>
        <v/>
      </c>
    </row>
    <row r="145" customFormat="false" ht="16.4" hidden="false" customHeight="false" outlineLevel="0" collapsed="false">
      <c r="A145" s="32" t="str">
        <f aca="false">IF(L145="","",ROW()-4)</f>
        <v/>
      </c>
      <c r="B145" s="58" t="str">
        <f aca="false">IF(L145="","",IF(INDEX(ポート振替表!$W$5:$W$3507,$L145)="","(なし)",INDEX(ポート振替表!$W$5:$W$3507,$L145)&amp;""))</f>
        <v/>
      </c>
      <c r="C145" s="52" t="str">
        <f aca="false">IF(L145="","",INDEX(ポート振替表!$B$5:$B$3507,$L145)&amp;" "&amp;INDEX(ポート振替表!$C$5:$C$3507,$L145)&amp;"  ⇔  "&amp;INDEX(ポート振替表!$H$5:$H$3507,$L145)&amp;" "&amp;INDEX(ポート振替表!$I$5:$I$3507,$L145))</f>
        <v/>
      </c>
      <c r="D145" s="57" t="s">
        <v>158</v>
      </c>
      <c r="E145" s="59" t="str">
        <f aca="false">IF(L145="","",IF(INDEX(ポート振替表!$O$5:$O$3507,$L145)="","(未設定)",INDEX(ポート振替表!$O$5:$O$3507,$L145)&amp;""))</f>
        <v/>
      </c>
      <c r="F145" s="52" t="str">
        <f aca="false">IF(L145="","",INDEX(ポート振替表!$K$5:$K$3507,$L145)&amp;" "&amp;INDEX(ポート振替表!$L$5:$L$3507,$L145)&amp;"  ⇔  "&amp;INDEX(ポート振替表!$H$5:$H$3507,$L145)&amp;" "&amp;INDEX(ポート振替表!$I$5:$I$3507,$L145))</f>
        <v/>
      </c>
      <c r="G145" s="57" t="s">
        <v>158</v>
      </c>
      <c r="H145" s="32" t="str">
        <f aca="false">IF(L145="","",INDEX(ポート振替表!$N$5:$N$3507,$L145)&amp;"")</f>
        <v/>
      </c>
      <c r="I145" s="32" t="str">
        <f aca="false">IF(L145="","",INDEX(ポート振替表!$P$5:$P$3507,$L145)&amp;"")</f>
        <v/>
      </c>
      <c r="J145" s="60" t="str">
        <f aca="false">IF(L145="","",INDEX(ポート振替表!$M$5:$M$3507,$L145)&amp;"")</f>
        <v/>
      </c>
      <c r="K145" s="52" t="str">
        <f aca="false">IF(L145="","",E145&amp;CHAR(10)&amp;INDEX(ポート振替表!$K$5:$K$3507,$L145)&amp;" "&amp;INDEX(ポート振替表!$L$5:$L$3507,$L145)&amp;CHAR(10)&amp;"⇔ "&amp;INDEX(ポート振替表!$H$5:$H$3507,$L145)&amp;" "&amp;INDEX(ポート振替表!$I$5:$I$3507,$L145))</f>
        <v/>
      </c>
      <c r="L145" s="47" t="str">
        <f aca="false">IFERROR(MATCH(ROW()-4,ポート振替表!$V$5:$V$3507,0),"")</f>
        <v/>
      </c>
    </row>
    <row r="146" customFormat="false" ht="16.4" hidden="false" customHeight="false" outlineLevel="0" collapsed="false">
      <c r="A146" s="32" t="str">
        <f aca="false">IF(L146="","",ROW()-4)</f>
        <v/>
      </c>
      <c r="B146" s="58" t="str">
        <f aca="false">IF(L146="","",IF(INDEX(ポート振替表!$W$5:$W$3507,$L146)="","(なし)",INDEX(ポート振替表!$W$5:$W$3507,$L146)&amp;""))</f>
        <v/>
      </c>
      <c r="C146" s="52" t="str">
        <f aca="false">IF(L146="","",INDEX(ポート振替表!$B$5:$B$3507,$L146)&amp;" "&amp;INDEX(ポート振替表!$C$5:$C$3507,$L146)&amp;"  ⇔  "&amp;INDEX(ポート振替表!$H$5:$H$3507,$L146)&amp;" "&amp;INDEX(ポート振替表!$I$5:$I$3507,$L146))</f>
        <v/>
      </c>
      <c r="D146" s="57" t="s">
        <v>158</v>
      </c>
      <c r="E146" s="59" t="str">
        <f aca="false">IF(L146="","",IF(INDEX(ポート振替表!$O$5:$O$3507,$L146)="","(未設定)",INDEX(ポート振替表!$O$5:$O$3507,$L146)&amp;""))</f>
        <v/>
      </c>
      <c r="F146" s="52" t="str">
        <f aca="false">IF(L146="","",INDEX(ポート振替表!$K$5:$K$3507,$L146)&amp;" "&amp;INDEX(ポート振替表!$L$5:$L$3507,$L146)&amp;"  ⇔  "&amp;INDEX(ポート振替表!$H$5:$H$3507,$L146)&amp;" "&amp;INDEX(ポート振替表!$I$5:$I$3507,$L146))</f>
        <v/>
      </c>
      <c r="G146" s="57" t="s">
        <v>158</v>
      </c>
      <c r="H146" s="32" t="str">
        <f aca="false">IF(L146="","",INDEX(ポート振替表!$N$5:$N$3507,$L146)&amp;"")</f>
        <v/>
      </c>
      <c r="I146" s="32" t="str">
        <f aca="false">IF(L146="","",INDEX(ポート振替表!$P$5:$P$3507,$L146)&amp;"")</f>
        <v/>
      </c>
      <c r="J146" s="60" t="str">
        <f aca="false">IF(L146="","",INDEX(ポート振替表!$M$5:$M$3507,$L146)&amp;"")</f>
        <v/>
      </c>
      <c r="K146" s="52" t="str">
        <f aca="false">IF(L146="","",E146&amp;CHAR(10)&amp;INDEX(ポート振替表!$K$5:$K$3507,$L146)&amp;" "&amp;INDEX(ポート振替表!$L$5:$L$3507,$L146)&amp;CHAR(10)&amp;"⇔ "&amp;INDEX(ポート振替表!$H$5:$H$3507,$L146)&amp;" "&amp;INDEX(ポート振替表!$I$5:$I$3507,$L146))</f>
        <v/>
      </c>
      <c r="L146" s="47" t="str">
        <f aca="false">IFERROR(MATCH(ROW()-4,ポート振替表!$V$5:$V$3507,0),"")</f>
        <v/>
      </c>
    </row>
    <row r="147" customFormat="false" ht="16.4" hidden="false" customHeight="false" outlineLevel="0" collapsed="false">
      <c r="A147" s="32" t="str">
        <f aca="false">IF(L147="","",ROW()-4)</f>
        <v/>
      </c>
      <c r="B147" s="58" t="str">
        <f aca="false">IF(L147="","",IF(INDEX(ポート振替表!$W$5:$W$3507,$L147)="","(なし)",INDEX(ポート振替表!$W$5:$W$3507,$L147)&amp;""))</f>
        <v/>
      </c>
      <c r="C147" s="52" t="str">
        <f aca="false">IF(L147="","",INDEX(ポート振替表!$B$5:$B$3507,$L147)&amp;" "&amp;INDEX(ポート振替表!$C$5:$C$3507,$L147)&amp;"  ⇔  "&amp;INDEX(ポート振替表!$H$5:$H$3507,$L147)&amp;" "&amp;INDEX(ポート振替表!$I$5:$I$3507,$L147))</f>
        <v/>
      </c>
      <c r="D147" s="57" t="s">
        <v>158</v>
      </c>
      <c r="E147" s="59" t="str">
        <f aca="false">IF(L147="","",IF(INDEX(ポート振替表!$O$5:$O$3507,$L147)="","(未設定)",INDEX(ポート振替表!$O$5:$O$3507,$L147)&amp;""))</f>
        <v/>
      </c>
      <c r="F147" s="52" t="str">
        <f aca="false">IF(L147="","",INDEX(ポート振替表!$K$5:$K$3507,$L147)&amp;" "&amp;INDEX(ポート振替表!$L$5:$L$3507,$L147)&amp;"  ⇔  "&amp;INDEX(ポート振替表!$H$5:$H$3507,$L147)&amp;" "&amp;INDEX(ポート振替表!$I$5:$I$3507,$L147))</f>
        <v/>
      </c>
      <c r="G147" s="57" t="s">
        <v>158</v>
      </c>
      <c r="H147" s="32" t="str">
        <f aca="false">IF(L147="","",INDEX(ポート振替表!$N$5:$N$3507,$L147)&amp;"")</f>
        <v/>
      </c>
      <c r="I147" s="32" t="str">
        <f aca="false">IF(L147="","",INDEX(ポート振替表!$P$5:$P$3507,$L147)&amp;"")</f>
        <v/>
      </c>
      <c r="J147" s="60" t="str">
        <f aca="false">IF(L147="","",INDEX(ポート振替表!$M$5:$M$3507,$L147)&amp;"")</f>
        <v/>
      </c>
      <c r="K147" s="52" t="str">
        <f aca="false">IF(L147="","",E147&amp;CHAR(10)&amp;INDEX(ポート振替表!$K$5:$K$3507,$L147)&amp;" "&amp;INDEX(ポート振替表!$L$5:$L$3507,$L147)&amp;CHAR(10)&amp;"⇔ "&amp;INDEX(ポート振替表!$H$5:$H$3507,$L147)&amp;" "&amp;INDEX(ポート振替表!$I$5:$I$3507,$L147))</f>
        <v/>
      </c>
      <c r="L147" s="47" t="str">
        <f aca="false">IFERROR(MATCH(ROW()-4,ポート振替表!$V$5:$V$3507,0),"")</f>
        <v/>
      </c>
    </row>
    <row r="148" customFormat="false" ht="16.4" hidden="false" customHeight="false" outlineLevel="0" collapsed="false">
      <c r="A148" s="32" t="str">
        <f aca="false">IF(L148="","",ROW()-4)</f>
        <v/>
      </c>
      <c r="B148" s="58" t="str">
        <f aca="false">IF(L148="","",IF(INDEX(ポート振替表!$W$5:$W$3507,$L148)="","(なし)",INDEX(ポート振替表!$W$5:$W$3507,$L148)&amp;""))</f>
        <v/>
      </c>
      <c r="C148" s="52" t="str">
        <f aca="false">IF(L148="","",INDEX(ポート振替表!$B$5:$B$3507,$L148)&amp;" "&amp;INDEX(ポート振替表!$C$5:$C$3507,$L148)&amp;"  ⇔  "&amp;INDEX(ポート振替表!$H$5:$H$3507,$L148)&amp;" "&amp;INDEX(ポート振替表!$I$5:$I$3507,$L148))</f>
        <v/>
      </c>
      <c r="D148" s="57" t="s">
        <v>158</v>
      </c>
      <c r="E148" s="59" t="str">
        <f aca="false">IF(L148="","",IF(INDEX(ポート振替表!$O$5:$O$3507,$L148)="","(未設定)",INDEX(ポート振替表!$O$5:$O$3507,$L148)&amp;""))</f>
        <v/>
      </c>
      <c r="F148" s="52" t="str">
        <f aca="false">IF(L148="","",INDEX(ポート振替表!$K$5:$K$3507,$L148)&amp;" "&amp;INDEX(ポート振替表!$L$5:$L$3507,$L148)&amp;"  ⇔  "&amp;INDEX(ポート振替表!$H$5:$H$3507,$L148)&amp;" "&amp;INDEX(ポート振替表!$I$5:$I$3507,$L148))</f>
        <v/>
      </c>
      <c r="G148" s="57" t="s">
        <v>158</v>
      </c>
      <c r="H148" s="32" t="str">
        <f aca="false">IF(L148="","",INDEX(ポート振替表!$N$5:$N$3507,$L148)&amp;"")</f>
        <v/>
      </c>
      <c r="I148" s="32" t="str">
        <f aca="false">IF(L148="","",INDEX(ポート振替表!$P$5:$P$3507,$L148)&amp;"")</f>
        <v/>
      </c>
      <c r="J148" s="60" t="str">
        <f aca="false">IF(L148="","",INDEX(ポート振替表!$M$5:$M$3507,$L148)&amp;"")</f>
        <v/>
      </c>
      <c r="K148" s="52" t="str">
        <f aca="false">IF(L148="","",E148&amp;CHAR(10)&amp;INDEX(ポート振替表!$K$5:$K$3507,$L148)&amp;" "&amp;INDEX(ポート振替表!$L$5:$L$3507,$L148)&amp;CHAR(10)&amp;"⇔ "&amp;INDEX(ポート振替表!$H$5:$H$3507,$L148)&amp;" "&amp;INDEX(ポート振替表!$I$5:$I$3507,$L148))</f>
        <v/>
      </c>
      <c r="L148" s="47" t="str">
        <f aca="false">IFERROR(MATCH(ROW()-4,ポート振替表!$V$5:$V$3507,0),"")</f>
        <v/>
      </c>
    </row>
    <row r="149" customFormat="false" ht="16.4" hidden="false" customHeight="false" outlineLevel="0" collapsed="false">
      <c r="A149" s="32" t="str">
        <f aca="false">IF(L149="","",ROW()-4)</f>
        <v/>
      </c>
      <c r="B149" s="58" t="str">
        <f aca="false">IF(L149="","",IF(INDEX(ポート振替表!$W$5:$W$3507,$L149)="","(なし)",INDEX(ポート振替表!$W$5:$W$3507,$L149)&amp;""))</f>
        <v/>
      </c>
      <c r="C149" s="52" t="str">
        <f aca="false">IF(L149="","",INDEX(ポート振替表!$B$5:$B$3507,$L149)&amp;" "&amp;INDEX(ポート振替表!$C$5:$C$3507,$L149)&amp;"  ⇔  "&amp;INDEX(ポート振替表!$H$5:$H$3507,$L149)&amp;" "&amp;INDEX(ポート振替表!$I$5:$I$3507,$L149))</f>
        <v/>
      </c>
      <c r="D149" s="57" t="s">
        <v>158</v>
      </c>
      <c r="E149" s="59" t="str">
        <f aca="false">IF(L149="","",IF(INDEX(ポート振替表!$O$5:$O$3507,$L149)="","(未設定)",INDEX(ポート振替表!$O$5:$O$3507,$L149)&amp;""))</f>
        <v/>
      </c>
      <c r="F149" s="52" t="str">
        <f aca="false">IF(L149="","",INDEX(ポート振替表!$K$5:$K$3507,$L149)&amp;" "&amp;INDEX(ポート振替表!$L$5:$L$3507,$L149)&amp;"  ⇔  "&amp;INDEX(ポート振替表!$H$5:$H$3507,$L149)&amp;" "&amp;INDEX(ポート振替表!$I$5:$I$3507,$L149))</f>
        <v/>
      </c>
      <c r="G149" s="57" t="s">
        <v>158</v>
      </c>
      <c r="H149" s="32" t="str">
        <f aca="false">IF(L149="","",INDEX(ポート振替表!$N$5:$N$3507,$L149)&amp;"")</f>
        <v/>
      </c>
      <c r="I149" s="32" t="str">
        <f aca="false">IF(L149="","",INDEX(ポート振替表!$P$5:$P$3507,$L149)&amp;"")</f>
        <v/>
      </c>
      <c r="J149" s="60" t="str">
        <f aca="false">IF(L149="","",INDEX(ポート振替表!$M$5:$M$3507,$L149)&amp;"")</f>
        <v/>
      </c>
      <c r="K149" s="52" t="str">
        <f aca="false">IF(L149="","",E149&amp;CHAR(10)&amp;INDEX(ポート振替表!$K$5:$K$3507,$L149)&amp;" "&amp;INDEX(ポート振替表!$L$5:$L$3507,$L149)&amp;CHAR(10)&amp;"⇔ "&amp;INDEX(ポート振替表!$H$5:$H$3507,$L149)&amp;" "&amp;INDEX(ポート振替表!$I$5:$I$3507,$L149))</f>
        <v/>
      </c>
      <c r="L149" s="47" t="str">
        <f aca="false">IFERROR(MATCH(ROW()-4,ポート振替表!$V$5:$V$3507,0),"")</f>
        <v/>
      </c>
    </row>
    <row r="150" customFormat="false" ht="16.4" hidden="false" customHeight="false" outlineLevel="0" collapsed="false">
      <c r="A150" s="32" t="str">
        <f aca="false">IF(L150="","",ROW()-4)</f>
        <v/>
      </c>
      <c r="B150" s="58" t="str">
        <f aca="false">IF(L150="","",IF(INDEX(ポート振替表!$W$5:$W$3507,$L150)="","(なし)",INDEX(ポート振替表!$W$5:$W$3507,$L150)&amp;""))</f>
        <v/>
      </c>
      <c r="C150" s="52" t="str">
        <f aca="false">IF(L150="","",INDEX(ポート振替表!$B$5:$B$3507,$L150)&amp;" "&amp;INDEX(ポート振替表!$C$5:$C$3507,$L150)&amp;"  ⇔  "&amp;INDEX(ポート振替表!$H$5:$H$3507,$L150)&amp;" "&amp;INDEX(ポート振替表!$I$5:$I$3507,$L150))</f>
        <v/>
      </c>
      <c r="D150" s="57" t="s">
        <v>158</v>
      </c>
      <c r="E150" s="59" t="str">
        <f aca="false">IF(L150="","",IF(INDEX(ポート振替表!$O$5:$O$3507,$L150)="","(未設定)",INDEX(ポート振替表!$O$5:$O$3507,$L150)&amp;""))</f>
        <v/>
      </c>
      <c r="F150" s="52" t="str">
        <f aca="false">IF(L150="","",INDEX(ポート振替表!$K$5:$K$3507,$L150)&amp;" "&amp;INDEX(ポート振替表!$L$5:$L$3507,$L150)&amp;"  ⇔  "&amp;INDEX(ポート振替表!$H$5:$H$3507,$L150)&amp;" "&amp;INDEX(ポート振替表!$I$5:$I$3507,$L150))</f>
        <v/>
      </c>
      <c r="G150" s="57" t="s">
        <v>158</v>
      </c>
      <c r="H150" s="32" t="str">
        <f aca="false">IF(L150="","",INDEX(ポート振替表!$N$5:$N$3507,$L150)&amp;"")</f>
        <v/>
      </c>
      <c r="I150" s="32" t="str">
        <f aca="false">IF(L150="","",INDEX(ポート振替表!$P$5:$P$3507,$L150)&amp;"")</f>
        <v/>
      </c>
      <c r="J150" s="60" t="str">
        <f aca="false">IF(L150="","",INDEX(ポート振替表!$M$5:$M$3507,$L150)&amp;"")</f>
        <v/>
      </c>
      <c r="K150" s="52" t="str">
        <f aca="false">IF(L150="","",E150&amp;CHAR(10)&amp;INDEX(ポート振替表!$K$5:$K$3507,$L150)&amp;" "&amp;INDEX(ポート振替表!$L$5:$L$3507,$L150)&amp;CHAR(10)&amp;"⇔ "&amp;INDEX(ポート振替表!$H$5:$H$3507,$L150)&amp;" "&amp;INDEX(ポート振替表!$I$5:$I$3507,$L150))</f>
        <v/>
      </c>
      <c r="L150" s="47" t="str">
        <f aca="false">IFERROR(MATCH(ROW()-4,ポート振替表!$V$5:$V$3507,0),"")</f>
        <v/>
      </c>
    </row>
    <row r="151" customFormat="false" ht="16.4" hidden="false" customHeight="false" outlineLevel="0" collapsed="false">
      <c r="A151" s="32" t="str">
        <f aca="false">IF(L151="","",ROW()-4)</f>
        <v/>
      </c>
      <c r="B151" s="58" t="str">
        <f aca="false">IF(L151="","",IF(INDEX(ポート振替表!$W$5:$W$3507,$L151)="","(なし)",INDEX(ポート振替表!$W$5:$W$3507,$L151)&amp;""))</f>
        <v/>
      </c>
      <c r="C151" s="52" t="str">
        <f aca="false">IF(L151="","",INDEX(ポート振替表!$B$5:$B$3507,$L151)&amp;" "&amp;INDEX(ポート振替表!$C$5:$C$3507,$L151)&amp;"  ⇔  "&amp;INDEX(ポート振替表!$H$5:$H$3507,$L151)&amp;" "&amp;INDEX(ポート振替表!$I$5:$I$3507,$L151))</f>
        <v/>
      </c>
      <c r="D151" s="57" t="s">
        <v>158</v>
      </c>
      <c r="E151" s="59" t="str">
        <f aca="false">IF(L151="","",IF(INDEX(ポート振替表!$O$5:$O$3507,$L151)="","(未設定)",INDEX(ポート振替表!$O$5:$O$3507,$L151)&amp;""))</f>
        <v/>
      </c>
      <c r="F151" s="52" t="str">
        <f aca="false">IF(L151="","",INDEX(ポート振替表!$K$5:$K$3507,$L151)&amp;" "&amp;INDEX(ポート振替表!$L$5:$L$3507,$L151)&amp;"  ⇔  "&amp;INDEX(ポート振替表!$H$5:$H$3507,$L151)&amp;" "&amp;INDEX(ポート振替表!$I$5:$I$3507,$L151))</f>
        <v/>
      </c>
      <c r="G151" s="57" t="s">
        <v>158</v>
      </c>
      <c r="H151" s="32" t="str">
        <f aca="false">IF(L151="","",INDEX(ポート振替表!$N$5:$N$3507,$L151)&amp;"")</f>
        <v/>
      </c>
      <c r="I151" s="32" t="str">
        <f aca="false">IF(L151="","",INDEX(ポート振替表!$P$5:$P$3507,$L151)&amp;"")</f>
        <v/>
      </c>
      <c r="J151" s="60" t="str">
        <f aca="false">IF(L151="","",INDEX(ポート振替表!$M$5:$M$3507,$L151)&amp;"")</f>
        <v/>
      </c>
      <c r="K151" s="52" t="str">
        <f aca="false">IF(L151="","",E151&amp;CHAR(10)&amp;INDEX(ポート振替表!$K$5:$K$3507,$L151)&amp;" "&amp;INDEX(ポート振替表!$L$5:$L$3507,$L151)&amp;CHAR(10)&amp;"⇔ "&amp;INDEX(ポート振替表!$H$5:$H$3507,$L151)&amp;" "&amp;INDEX(ポート振替表!$I$5:$I$3507,$L151))</f>
        <v/>
      </c>
      <c r="L151" s="47" t="str">
        <f aca="false">IFERROR(MATCH(ROW()-4,ポート振替表!$V$5:$V$3507,0),"")</f>
        <v/>
      </c>
    </row>
    <row r="152" customFormat="false" ht="16.4" hidden="false" customHeight="false" outlineLevel="0" collapsed="false">
      <c r="A152" s="32" t="str">
        <f aca="false">IF(L152="","",ROW()-4)</f>
        <v/>
      </c>
      <c r="B152" s="58" t="str">
        <f aca="false">IF(L152="","",IF(INDEX(ポート振替表!$W$5:$W$3507,$L152)="","(なし)",INDEX(ポート振替表!$W$5:$W$3507,$L152)&amp;""))</f>
        <v/>
      </c>
      <c r="C152" s="52" t="str">
        <f aca="false">IF(L152="","",INDEX(ポート振替表!$B$5:$B$3507,$L152)&amp;" "&amp;INDEX(ポート振替表!$C$5:$C$3507,$L152)&amp;"  ⇔  "&amp;INDEX(ポート振替表!$H$5:$H$3507,$L152)&amp;" "&amp;INDEX(ポート振替表!$I$5:$I$3507,$L152))</f>
        <v/>
      </c>
      <c r="D152" s="57" t="s">
        <v>158</v>
      </c>
      <c r="E152" s="59" t="str">
        <f aca="false">IF(L152="","",IF(INDEX(ポート振替表!$O$5:$O$3507,$L152)="","(未設定)",INDEX(ポート振替表!$O$5:$O$3507,$L152)&amp;""))</f>
        <v/>
      </c>
      <c r="F152" s="52" t="str">
        <f aca="false">IF(L152="","",INDEX(ポート振替表!$K$5:$K$3507,$L152)&amp;" "&amp;INDEX(ポート振替表!$L$5:$L$3507,$L152)&amp;"  ⇔  "&amp;INDEX(ポート振替表!$H$5:$H$3507,$L152)&amp;" "&amp;INDEX(ポート振替表!$I$5:$I$3507,$L152))</f>
        <v/>
      </c>
      <c r="G152" s="57" t="s">
        <v>158</v>
      </c>
      <c r="H152" s="32" t="str">
        <f aca="false">IF(L152="","",INDEX(ポート振替表!$N$5:$N$3507,$L152)&amp;"")</f>
        <v/>
      </c>
      <c r="I152" s="32" t="str">
        <f aca="false">IF(L152="","",INDEX(ポート振替表!$P$5:$P$3507,$L152)&amp;"")</f>
        <v/>
      </c>
      <c r="J152" s="60" t="str">
        <f aca="false">IF(L152="","",INDEX(ポート振替表!$M$5:$M$3507,$L152)&amp;"")</f>
        <v/>
      </c>
      <c r="K152" s="52" t="str">
        <f aca="false">IF(L152="","",E152&amp;CHAR(10)&amp;INDEX(ポート振替表!$K$5:$K$3507,$L152)&amp;" "&amp;INDEX(ポート振替表!$L$5:$L$3507,$L152)&amp;CHAR(10)&amp;"⇔ "&amp;INDEX(ポート振替表!$H$5:$H$3507,$L152)&amp;" "&amp;INDEX(ポート振替表!$I$5:$I$3507,$L152))</f>
        <v/>
      </c>
      <c r="L152" s="47" t="str">
        <f aca="false">IFERROR(MATCH(ROW()-4,ポート振替表!$V$5:$V$3507,0),"")</f>
        <v/>
      </c>
    </row>
    <row r="153" customFormat="false" ht="16.4" hidden="false" customHeight="false" outlineLevel="0" collapsed="false">
      <c r="A153" s="32" t="str">
        <f aca="false">IF(L153="","",ROW()-4)</f>
        <v/>
      </c>
      <c r="B153" s="58" t="str">
        <f aca="false">IF(L153="","",IF(INDEX(ポート振替表!$W$5:$W$3507,$L153)="","(なし)",INDEX(ポート振替表!$W$5:$W$3507,$L153)&amp;""))</f>
        <v/>
      </c>
      <c r="C153" s="52" t="str">
        <f aca="false">IF(L153="","",INDEX(ポート振替表!$B$5:$B$3507,$L153)&amp;" "&amp;INDEX(ポート振替表!$C$5:$C$3507,$L153)&amp;"  ⇔  "&amp;INDEX(ポート振替表!$H$5:$H$3507,$L153)&amp;" "&amp;INDEX(ポート振替表!$I$5:$I$3507,$L153))</f>
        <v/>
      </c>
      <c r="D153" s="57" t="s">
        <v>158</v>
      </c>
      <c r="E153" s="59" t="str">
        <f aca="false">IF(L153="","",IF(INDEX(ポート振替表!$O$5:$O$3507,$L153)="","(未設定)",INDEX(ポート振替表!$O$5:$O$3507,$L153)&amp;""))</f>
        <v/>
      </c>
      <c r="F153" s="52" t="str">
        <f aca="false">IF(L153="","",INDEX(ポート振替表!$K$5:$K$3507,$L153)&amp;" "&amp;INDEX(ポート振替表!$L$5:$L$3507,$L153)&amp;"  ⇔  "&amp;INDEX(ポート振替表!$H$5:$H$3507,$L153)&amp;" "&amp;INDEX(ポート振替表!$I$5:$I$3507,$L153))</f>
        <v/>
      </c>
      <c r="G153" s="57" t="s">
        <v>158</v>
      </c>
      <c r="H153" s="32" t="str">
        <f aca="false">IF(L153="","",INDEX(ポート振替表!$N$5:$N$3507,$L153)&amp;"")</f>
        <v/>
      </c>
      <c r="I153" s="32" t="str">
        <f aca="false">IF(L153="","",INDEX(ポート振替表!$P$5:$P$3507,$L153)&amp;"")</f>
        <v/>
      </c>
      <c r="J153" s="60" t="str">
        <f aca="false">IF(L153="","",INDEX(ポート振替表!$M$5:$M$3507,$L153)&amp;"")</f>
        <v/>
      </c>
      <c r="K153" s="52" t="str">
        <f aca="false">IF(L153="","",E153&amp;CHAR(10)&amp;INDEX(ポート振替表!$K$5:$K$3507,$L153)&amp;" "&amp;INDEX(ポート振替表!$L$5:$L$3507,$L153)&amp;CHAR(10)&amp;"⇔ "&amp;INDEX(ポート振替表!$H$5:$H$3507,$L153)&amp;" "&amp;INDEX(ポート振替表!$I$5:$I$3507,$L153))</f>
        <v/>
      </c>
      <c r="L153" s="47" t="str">
        <f aca="false">IFERROR(MATCH(ROW()-4,ポート振替表!$V$5:$V$3507,0),"")</f>
        <v/>
      </c>
    </row>
    <row r="154" customFormat="false" ht="16.4" hidden="false" customHeight="false" outlineLevel="0" collapsed="false">
      <c r="A154" s="32" t="str">
        <f aca="false">IF(L154="","",ROW()-4)</f>
        <v/>
      </c>
      <c r="B154" s="58" t="str">
        <f aca="false">IF(L154="","",IF(INDEX(ポート振替表!$W$5:$W$3507,$L154)="","(なし)",INDEX(ポート振替表!$W$5:$W$3507,$L154)&amp;""))</f>
        <v/>
      </c>
      <c r="C154" s="52" t="str">
        <f aca="false">IF(L154="","",INDEX(ポート振替表!$B$5:$B$3507,$L154)&amp;" "&amp;INDEX(ポート振替表!$C$5:$C$3507,$L154)&amp;"  ⇔  "&amp;INDEX(ポート振替表!$H$5:$H$3507,$L154)&amp;" "&amp;INDEX(ポート振替表!$I$5:$I$3507,$L154))</f>
        <v/>
      </c>
      <c r="D154" s="57" t="s">
        <v>158</v>
      </c>
      <c r="E154" s="59" t="str">
        <f aca="false">IF(L154="","",IF(INDEX(ポート振替表!$O$5:$O$3507,$L154)="","(未設定)",INDEX(ポート振替表!$O$5:$O$3507,$L154)&amp;""))</f>
        <v/>
      </c>
      <c r="F154" s="52" t="str">
        <f aca="false">IF(L154="","",INDEX(ポート振替表!$K$5:$K$3507,$L154)&amp;" "&amp;INDEX(ポート振替表!$L$5:$L$3507,$L154)&amp;"  ⇔  "&amp;INDEX(ポート振替表!$H$5:$H$3507,$L154)&amp;" "&amp;INDEX(ポート振替表!$I$5:$I$3507,$L154))</f>
        <v/>
      </c>
      <c r="G154" s="57" t="s">
        <v>158</v>
      </c>
      <c r="H154" s="32" t="str">
        <f aca="false">IF(L154="","",INDEX(ポート振替表!$N$5:$N$3507,$L154)&amp;"")</f>
        <v/>
      </c>
      <c r="I154" s="32" t="str">
        <f aca="false">IF(L154="","",INDEX(ポート振替表!$P$5:$P$3507,$L154)&amp;"")</f>
        <v/>
      </c>
      <c r="J154" s="60" t="str">
        <f aca="false">IF(L154="","",INDEX(ポート振替表!$M$5:$M$3507,$L154)&amp;"")</f>
        <v/>
      </c>
      <c r="K154" s="52" t="str">
        <f aca="false">IF(L154="","",E154&amp;CHAR(10)&amp;INDEX(ポート振替表!$K$5:$K$3507,$L154)&amp;" "&amp;INDEX(ポート振替表!$L$5:$L$3507,$L154)&amp;CHAR(10)&amp;"⇔ "&amp;INDEX(ポート振替表!$H$5:$H$3507,$L154)&amp;" "&amp;INDEX(ポート振替表!$I$5:$I$3507,$L154))</f>
        <v/>
      </c>
      <c r="L154" s="47" t="str">
        <f aca="false">IFERROR(MATCH(ROW()-4,ポート振替表!$V$5:$V$3507,0),"")</f>
        <v/>
      </c>
    </row>
    <row r="155" customFormat="false" ht="16.4" hidden="false" customHeight="false" outlineLevel="0" collapsed="false">
      <c r="A155" s="32" t="str">
        <f aca="false">IF(L155="","",ROW()-4)</f>
        <v/>
      </c>
      <c r="B155" s="58" t="str">
        <f aca="false">IF(L155="","",IF(INDEX(ポート振替表!$W$5:$W$3507,$L155)="","(なし)",INDEX(ポート振替表!$W$5:$W$3507,$L155)&amp;""))</f>
        <v/>
      </c>
      <c r="C155" s="52" t="str">
        <f aca="false">IF(L155="","",INDEX(ポート振替表!$B$5:$B$3507,$L155)&amp;" "&amp;INDEX(ポート振替表!$C$5:$C$3507,$L155)&amp;"  ⇔  "&amp;INDEX(ポート振替表!$H$5:$H$3507,$L155)&amp;" "&amp;INDEX(ポート振替表!$I$5:$I$3507,$L155))</f>
        <v/>
      </c>
      <c r="D155" s="57" t="s">
        <v>158</v>
      </c>
      <c r="E155" s="59" t="str">
        <f aca="false">IF(L155="","",IF(INDEX(ポート振替表!$O$5:$O$3507,$L155)="","(未設定)",INDEX(ポート振替表!$O$5:$O$3507,$L155)&amp;""))</f>
        <v/>
      </c>
      <c r="F155" s="52" t="str">
        <f aca="false">IF(L155="","",INDEX(ポート振替表!$K$5:$K$3507,$L155)&amp;" "&amp;INDEX(ポート振替表!$L$5:$L$3507,$L155)&amp;"  ⇔  "&amp;INDEX(ポート振替表!$H$5:$H$3507,$L155)&amp;" "&amp;INDEX(ポート振替表!$I$5:$I$3507,$L155))</f>
        <v/>
      </c>
      <c r="G155" s="57" t="s">
        <v>158</v>
      </c>
      <c r="H155" s="32" t="str">
        <f aca="false">IF(L155="","",INDEX(ポート振替表!$N$5:$N$3507,$L155)&amp;"")</f>
        <v/>
      </c>
      <c r="I155" s="32" t="str">
        <f aca="false">IF(L155="","",INDEX(ポート振替表!$P$5:$P$3507,$L155)&amp;"")</f>
        <v/>
      </c>
      <c r="J155" s="60" t="str">
        <f aca="false">IF(L155="","",INDEX(ポート振替表!$M$5:$M$3507,$L155)&amp;"")</f>
        <v/>
      </c>
      <c r="K155" s="52" t="str">
        <f aca="false">IF(L155="","",E155&amp;CHAR(10)&amp;INDEX(ポート振替表!$K$5:$K$3507,$L155)&amp;" "&amp;INDEX(ポート振替表!$L$5:$L$3507,$L155)&amp;CHAR(10)&amp;"⇔ "&amp;INDEX(ポート振替表!$H$5:$H$3507,$L155)&amp;" "&amp;INDEX(ポート振替表!$I$5:$I$3507,$L155))</f>
        <v/>
      </c>
      <c r="L155" s="47" t="str">
        <f aca="false">IFERROR(MATCH(ROW()-4,ポート振替表!$V$5:$V$3507,0),"")</f>
        <v/>
      </c>
    </row>
    <row r="156" customFormat="false" ht="16.4" hidden="false" customHeight="false" outlineLevel="0" collapsed="false">
      <c r="A156" s="32" t="str">
        <f aca="false">IF(L156="","",ROW()-4)</f>
        <v/>
      </c>
      <c r="B156" s="58" t="str">
        <f aca="false">IF(L156="","",IF(INDEX(ポート振替表!$W$5:$W$3507,$L156)="","(なし)",INDEX(ポート振替表!$W$5:$W$3507,$L156)&amp;""))</f>
        <v/>
      </c>
      <c r="C156" s="52" t="str">
        <f aca="false">IF(L156="","",INDEX(ポート振替表!$B$5:$B$3507,$L156)&amp;" "&amp;INDEX(ポート振替表!$C$5:$C$3507,$L156)&amp;"  ⇔  "&amp;INDEX(ポート振替表!$H$5:$H$3507,$L156)&amp;" "&amp;INDEX(ポート振替表!$I$5:$I$3507,$L156))</f>
        <v/>
      </c>
      <c r="D156" s="57" t="s">
        <v>158</v>
      </c>
      <c r="E156" s="59" t="str">
        <f aca="false">IF(L156="","",IF(INDEX(ポート振替表!$O$5:$O$3507,$L156)="","(未設定)",INDEX(ポート振替表!$O$5:$O$3507,$L156)&amp;""))</f>
        <v/>
      </c>
      <c r="F156" s="52" t="str">
        <f aca="false">IF(L156="","",INDEX(ポート振替表!$K$5:$K$3507,$L156)&amp;" "&amp;INDEX(ポート振替表!$L$5:$L$3507,$L156)&amp;"  ⇔  "&amp;INDEX(ポート振替表!$H$5:$H$3507,$L156)&amp;" "&amp;INDEX(ポート振替表!$I$5:$I$3507,$L156))</f>
        <v/>
      </c>
      <c r="G156" s="57" t="s">
        <v>158</v>
      </c>
      <c r="H156" s="32" t="str">
        <f aca="false">IF(L156="","",INDEX(ポート振替表!$N$5:$N$3507,$L156)&amp;"")</f>
        <v/>
      </c>
      <c r="I156" s="32" t="str">
        <f aca="false">IF(L156="","",INDEX(ポート振替表!$P$5:$P$3507,$L156)&amp;"")</f>
        <v/>
      </c>
      <c r="J156" s="60" t="str">
        <f aca="false">IF(L156="","",INDEX(ポート振替表!$M$5:$M$3507,$L156)&amp;"")</f>
        <v/>
      </c>
      <c r="K156" s="52" t="str">
        <f aca="false">IF(L156="","",E156&amp;CHAR(10)&amp;INDEX(ポート振替表!$K$5:$K$3507,$L156)&amp;" "&amp;INDEX(ポート振替表!$L$5:$L$3507,$L156)&amp;CHAR(10)&amp;"⇔ "&amp;INDEX(ポート振替表!$H$5:$H$3507,$L156)&amp;" "&amp;INDEX(ポート振替表!$I$5:$I$3507,$L156))</f>
        <v/>
      </c>
      <c r="L156" s="47" t="str">
        <f aca="false">IFERROR(MATCH(ROW()-4,ポート振替表!$V$5:$V$3507,0),"")</f>
        <v/>
      </c>
    </row>
    <row r="157" customFormat="false" ht="16.4" hidden="false" customHeight="false" outlineLevel="0" collapsed="false">
      <c r="A157" s="32" t="str">
        <f aca="false">IF(L157="","",ROW()-4)</f>
        <v/>
      </c>
      <c r="B157" s="58" t="str">
        <f aca="false">IF(L157="","",IF(INDEX(ポート振替表!$W$5:$W$3507,$L157)="","(なし)",INDEX(ポート振替表!$W$5:$W$3507,$L157)&amp;""))</f>
        <v/>
      </c>
      <c r="C157" s="52" t="str">
        <f aca="false">IF(L157="","",INDEX(ポート振替表!$B$5:$B$3507,$L157)&amp;" "&amp;INDEX(ポート振替表!$C$5:$C$3507,$L157)&amp;"  ⇔  "&amp;INDEX(ポート振替表!$H$5:$H$3507,$L157)&amp;" "&amp;INDEX(ポート振替表!$I$5:$I$3507,$L157))</f>
        <v/>
      </c>
      <c r="D157" s="57" t="s">
        <v>158</v>
      </c>
      <c r="E157" s="59" t="str">
        <f aca="false">IF(L157="","",IF(INDEX(ポート振替表!$O$5:$O$3507,$L157)="","(未設定)",INDEX(ポート振替表!$O$5:$O$3507,$L157)&amp;""))</f>
        <v/>
      </c>
      <c r="F157" s="52" t="str">
        <f aca="false">IF(L157="","",INDEX(ポート振替表!$K$5:$K$3507,$L157)&amp;" "&amp;INDEX(ポート振替表!$L$5:$L$3507,$L157)&amp;"  ⇔  "&amp;INDEX(ポート振替表!$H$5:$H$3507,$L157)&amp;" "&amp;INDEX(ポート振替表!$I$5:$I$3507,$L157))</f>
        <v/>
      </c>
      <c r="G157" s="57" t="s">
        <v>158</v>
      </c>
      <c r="H157" s="32" t="str">
        <f aca="false">IF(L157="","",INDEX(ポート振替表!$N$5:$N$3507,$L157)&amp;"")</f>
        <v/>
      </c>
      <c r="I157" s="32" t="str">
        <f aca="false">IF(L157="","",INDEX(ポート振替表!$P$5:$P$3507,$L157)&amp;"")</f>
        <v/>
      </c>
      <c r="J157" s="60" t="str">
        <f aca="false">IF(L157="","",INDEX(ポート振替表!$M$5:$M$3507,$L157)&amp;"")</f>
        <v/>
      </c>
      <c r="K157" s="52" t="str">
        <f aca="false">IF(L157="","",E157&amp;CHAR(10)&amp;INDEX(ポート振替表!$K$5:$K$3507,$L157)&amp;" "&amp;INDEX(ポート振替表!$L$5:$L$3507,$L157)&amp;CHAR(10)&amp;"⇔ "&amp;INDEX(ポート振替表!$H$5:$H$3507,$L157)&amp;" "&amp;INDEX(ポート振替表!$I$5:$I$3507,$L157))</f>
        <v/>
      </c>
      <c r="L157" s="47" t="str">
        <f aca="false">IFERROR(MATCH(ROW()-4,ポート振替表!$V$5:$V$3507,0),"")</f>
        <v/>
      </c>
    </row>
    <row r="158" customFormat="false" ht="16.4" hidden="false" customHeight="false" outlineLevel="0" collapsed="false">
      <c r="A158" s="32" t="str">
        <f aca="false">IF(L158="","",ROW()-4)</f>
        <v/>
      </c>
      <c r="B158" s="58" t="str">
        <f aca="false">IF(L158="","",IF(INDEX(ポート振替表!$W$5:$W$3507,$L158)="","(なし)",INDEX(ポート振替表!$W$5:$W$3507,$L158)&amp;""))</f>
        <v/>
      </c>
      <c r="C158" s="52" t="str">
        <f aca="false">IF(L158="","",INDEX(ポート振替表!$B$5:$B$3507,$L158)&amp;" "&amp;INDEX(ポート振替表!$C$5:$C$3507,$L158)&amp;"  ⇔  "&amp;INDEX(ポート振替表!$H$5:$H$3507,$L158)&amp;" "&amp;INDEX(ポート振替表!$I$5:$I$3507,$L158))</f>
        <v/>
      </c>
      <c r="D158" s="57" t="s">
        <v>158</v>
      </c>
      <c r="E158" s="59" t="str">
        <f aca="false">IF(L158="","",IF(INDEX(ポート振替表!$O$5:$O$3507,$L158)="","(未設定)",INDEX(ポート振替表!$O$5:$O$3507,$L158)&amp;""))</f>
        <v/>
      </c>
      <c r="F158" s="52" t="str">
        <f aca="false">IF(L158="","",INDEX(ポート振替表!$K$5:$K$3507,$L158)&amp;" "&amp;INDEX(ポート振替表!$L$5:$L$3507,$L158)&amp;"  ⇔  "&amp;INDEX(ポート振替表!$H$5:$H$3507,$L158)&amp;" "&amp;INDEX(ポート振替表!$I$5:$I$3507,$L158))</f>
        <v/>
      </c>
      <c r="G158" s="57" t="s">
        <v>158</v>
      </c>
      <c r="H158" s="32" t="str">
        <f aca="false">IF(L158="","",INDEX(ポート振替表!$N$5:$N$3507,$L158)&amp;"")</f>
        <v/>
      </c>
      <c r="I158" s="32" t="str">
        <f aca="false">IF(L158="","",INDEX(ポート振替表!$P$5:$P$3507,$L158)&amp;"")</f>
        <v/>
      </c>
      <c r="J158" s="60" t="str">
        <f aca="false">IF(L158="","",INDEX(ポート振替表!$M$5:$M$3507,$L158)&amp;"")</f>
        <v/>
      </c>
      <c r="K158" s="52" t="str">
        <f aca="false">IF(L158="","",E158&amp;CHAR(10)&amp;INDEX(ポート振替表!$K$5:$K$3507,$L158)&amp;" "&amp;INDEX(ポート振替表!$L$5:$L$3507,$L158)&amp;CHAR(10)&amp;"⇔ "&amp;INDEX(ポート振替表!$H$5:$H$3507,$L158)&amp;" "&amp;INDEX(ポート振替表!$I$5:$I$3507,$L158))</f>
        <v/>
      </c>
      <c r="L158" s="47" t="str">
        <f aca="false">IFERROR(MATCH(ROW()-4,ポート振替表!$V$5:$V$3507,0),"")</f>
        <v/>
      </c>
    </row>
    <row r="159" customFormat="false" ht="16.4" hidden="false" customHeight="false" outlineLevel="0" collapsed="false">
      <c r="A159" s="32" t="str">
        <f aca="false">IF(L159="","",ROW()-4)</f>
        <v/>
      </c>
      <c r="B159" s="58" t="str">
        <f aca="false">IF(L159="","",IF(INDEX(ポート振替表!$W$5:$W$3507,$L159)="","(なし)",INDEX(ポート振替表!$W$5:$W$3507,$L159)&amp;""))</f>
        <v/>
      </c>
      <c r="C159" s="52" t="str">
        <f aca="false">IF(L159="","",INDEX(ポート振替表!$B$5:$B$3507,$L159)&amp;" "&amp;INDEX(ポート振替表!$C$5:$C$3507,$L159)&amp;"  ⇔  "&amp;INDEX(ポート振替表!$H$5:$H$3507,$L159)&amp;" "&amp;INDEX(ポート振替表!$I$5:$I$3507,$L159))</f>
        <v/>
      </c>
      <c r="D159" s="57" t="s">
        <v>158</v>
      </c>
      <c r="E159" s="59" t="str">
        <f aca="false">IF(L159="","",IF(INDEX(ポート振替表!$O$5:$O$3507,$L159)="","(未設定)",INDEX(ポート振替表!$O$5:$O$3507,$L159)&amp;""))</f>
        <v/>
      </c>
      <c r="F159" s="52" t="str">
        <f aca="false">IF(L159="","",INDEX(ポート振替表!$K$5:$K$3507,$L159)&amp;" "&amp;INDEX(ポート振替表!$L$5:$L$3507,$L159)&amp;"  ⇔  "&amp;INDEX(ポート振替表!$H$5:$H$3507,$L159)&amp;" "&amp;INDEX(ポート振替表!$I$5:$I$3507,$L159))</f>
        <v/>
      </c>
      <c r="G159" s="57" t="s">
        <v>158</v>
      </c>
      <c r="H159" s="32" t="str">
        <f aca="false">IF(L159="","",INDEX(ポート振替表!$N$5:$N$3507,$L159)&amp;"")</f>
        <v/>
      </c>
      <c r="I159" s="32" t="str">
        <f aca="false">IF(L159="","",INDEX(ポート振替表!$P$5:$P$3507,$L159)&amp;"")</f>
        <v/>
      </c>
      <c r="J159" s="60" t="str">
        <f aca="false">IF(L159="","",INDEX(ポート振替表!$M$5:$M$3507,$L159)&amp;"")</f>
        <v/>
      </c>
      <c r="K159" s="52" t="str">
        <f aca="false">IF(L159="","",E159&amp;CHAR(10)&amp;INDEX(ポート振替表!$K$5:$K$3507,$L159)&amp;" "&amp;INDEX(ポート振替表!$L$5:$L$3507,$L159)&amp;CHAR(10)&amp;"⇔ "&amp;INDEX(ポート振替表!$H$5:$H$3507,$L159)&amp;" "&amp;INDEX(ポート振替表!$I$5:$I$3507,$L159))</f>
        <v/>
      </c>
      <c r="L159" s="47" t="str">
        <f aca="false">IFERROR(MATCH(ROW()-4,ポート振替表!$V$5:$V$3507,0),"")</f>
        <v/>
      </c>
    </row>
    <row r="160" customFormat="false" ht="16.4" hidden="false" customHeight="false" outlineLevel="0" collapsed="false">
      <c r="A160" s="32" t="str">
        <f aca="false">IF(L160="","",ROW()-4)</f>
        <v/>
      </c>
      <c r="B160" s="58" t="str">
        <f aca="false">IF(L160="","",IF(INDEX(ポート振替表!$W$5:$W$3507,$L160)="","(なし)",INDEX(ポート振替表!$W$5:$W$3507,$L160)&amp;""))</f>
        <v/>
      </c>
      <c r="C160" s="52" t="str">
        <f aca="false">IF(L160="","",INDEX(ポート振替表!$B$5:$B$3507,$L160)&amp;" "&amp;INDEX(ポート振替表!$C$5:$C$3507,$L160)&amp;"  ⇔  "&amp;INDEX(ポート振替表!$H$5:$H$3507,$L160)&amp;" "&amp;INDEX(ポート振替表!$I$5:$I$3507,$L160))</f>
        <v/>
      </c>
      <c r="D160" s="57" t="s">
        <v>158</v>
      </c>
      <c r="E160" s="59" t="str">
        <f aca="false">IF(L160="","",IF(INDEX(ポート振替表!$O$5:$O$3507,$L160)="","(未設定)",INDEX(ポート振替表!$O$5:$O$3507,$L160)&amp;""))</f>
        <v/>
      </c>
      <c r="F160" s="52" t="str">
        <f aca="false">IF(L160="","",INDEX(ポート振替表!$K$5:$K$3507,$L160)&amp;" "&amp;INDEX(ポート振替表!$L$5:$L$3507,$L160)&amp;"  ⇔  "&amp;INDEX(ポート振替表!$H$5:$H$3507,$L160)&amp;" "&amp;INDEX(ポート振替表!$I$5:$I$3507,$L160))</f>
        <v/>
      </c>
      <c r="G160" s="57" t="s">
        <v>158</v>
      </c>
      <c r="H160" s="32" t="str">
        <f aca="false">IF(L160="","",INDEX(ポート振替表!$N$5:$N$3507,$L160)&amp;"")</f>
        <v/>
      </c>
      <c r="I160" s="32" t="str">
        <f aca="false">IF(L160="","",INDEX(ポート振替表!$P$5:$P$3507,$L160)&amp;"")</f>
        <v/>
      </c>
      <c r="J160" s="60" t="str">
        <f aca="false">IF(L160="","",INDEX(ポート振替表!$M$5:$M$3507,$L160)&amp;"")</f>
        <v/>
      </c>
      <c r="K160" s="52" t="str">
        <f aca="false">IF(L160="","",E160&amp;CHAR(10)&amp;INDEX(ポート振替表!$K$5:$K$3507,$L160)&amp;" "&amp;INDEX(ポート振替表!$L$5:$L$3507,$L160)&amp;CHAR(10)&amp;"⇔ "&amp;INDEX(ポート振替表!$H$5:$H$3507,$L160)&amp;" "&amp;INDEX(ポート振替表!$I$5:$I$3507,$L160))</f>
        <v/>
      </c>
      <c r="L160" s="47" t="str">
        <f aca="false">IFERROR(MATCH(ROW()-4,ポート振替表!$V$5:$V$3507,0),"")</f>
        <v/>
      </c>
    </row>
    <row r="161" customFormat="false" ht="16.4" hidden="false" customHeight="false" outlineLevel="0" collapsed="false">
      <c r="A161" s="32" t="str">
        <f aca="false">IF(L161="","",ROW()-4)</f>
        <v/>
      </c>
      <c r="B161" s="58" t="str">
        <f aca="false">IF(L161="","",IF(INDEX(ポート振替表!$W$5:$W$3507,$L161)="","(なし)",INDEX(ポート振替表!$W$5:$W$3507,$L161)&amp;""))</f>
        <v/>
      </c>
      <c r="C161" s="52" t="str">
        <f aca="false">IF(L161="","",INDEX(ポート振替表!$B$5:$B$3507,$L161)&amp;" "&amp;INDEX(ポート振替表!$C$5:$C$3507,$L161)&amp;"  ⇔  "&amp;INDEX(ポート振替表!$H$5:$H$3507,$L161)&amp;" "&amp;INDEX(ポート振替表!$I$5:$I$3507,$L161))</f>
        <v/>
      </c>
      <c r="D161" s="57" t="s">
        <v>158</v>
      </c>
      <c r="E161" s="59" t="str">
        <f aca="false">IF(L161="","",IF(INDEX(ポート振替表!$O$5:$O$3507,$L161)="","(未設定)",INDEX(ポート振替表!$O$5:$O$3507,$L161)&amp;""))</f>
        <v/>
      </c>
      <c r="F161" s="52" t="str">
        <f aca="false">IF(L161="","",INDEX(ポート振替表!$K$5:$K$3507,$L161)&amp;" "&amp;INDEX(ポート振替表!$L$5:$L$3507,$L161)&amp;"  ⇔  "&amp;INDEX(ポート振替表!$H$5:$H$3507,$L161)&amp;" "&amp;INDEX(ポート振替表!$I$5:$I$3507,$L161))</f>
        <v/>
      </c>
      <c r="G161" s="57" t="s">
        <v>158</v>
      </c>
      <c r="H161" s="32" t="str">
        <f aca="false">IF(L161="","",INDEX(ポート振替表!$N$5:$N$3507,$L161)&amp;"")</f>
        <v/>
      </c>
      <c r="I161" s="32" t="str">
        <f aca="false">IF(L161="","",INDEX(ポート振替表!$P$5:$P$3507,$L161)&amp;"")</f>
        <v/>
      </c>
      <c r="J161" s="60" t="str">
        <f aca="false">IF(L161="","",INDEX(ポート振替表!$M$5:$M$3507,$L161)&amp;"")</f>
        <v/>
      </c>
      <c r="K161" s="52" t="str">
        <f aca="false">IF(L161="","",E161&amp;CHAR(10)&amp;INDEX(ポート振替表!$K$5:$K$3507,$L161)&amp;" "&amp;INDEX(ポート振替表!$L$5:$L$3507,$L161)&amp;CHAR(10)&amp;"⇔ "&amp;INDEX(ポート振替表!$H$5:$H$3507,$L161)&amp;" "&amp;INDEX(ポート振替表!$I$5:$I$3507,$L161))</f>
        <v/>
      </c>
      <c r="L161" s="47" t="str">
        <f aca="false">IFERROR(MATCH(ROW()-4,ポート振替表!$V$5:$V$3507,0),"")</f>
        <v/>
      </c>
    </row>
    <row r="162" customFormat="false" ht="16.4" hidden="false" customHeight="false" outlineLevel="0" collapsed="false">
      <c r="A162" s="32" t="str">
        <f aca="false">IF(L162="","",ROW()-4)</f>
        <v/>
      </c>
      <c r="B162" s="58" t="str">
        <f aca="false">IF(L162="","",IF(INDEX(ポート振替表!$W$5:$W$3507,$L162)="","(なし)",INDEX(ポート振替表!$W$5:$W$3507,$L162)&amp;""))</f>
        <v/>
      </c>
      <c r="C162" s="52" t="str">
        <f aca="false">IF(L162="","",INDEX(ポート振替表!$B$5:$B$3507,$L162)&amp;" "&amp;INDEX(ポート振替表!$C$5:$C$3507,$L162)&amp;"  ⇔  "&amp;INDEX(ポート振替表!$H$5:$H$3507,$L162)&amp;" "&amp;INDEX(ポート振替表!$I$5:$I$3507,$L162))</f>
        <v/>
      </c>
      <c r="D162" s="57" t="s">
        <v>158</v>
      </c>
      <c r="E162" s="59" t="str">
        <f aca="false">IF(L162="","",IF(INDEX(ポート振替表!$O$5:$O$3507,$L162)="","(未設定)",INDEX(ポート振替表!$O$5:$O$3507,$L162)&amp;""))</f>
        <v/>
      </c>
      <c r="F162" s="52" t="str">
        <f aca="false">IF(L162="","",INDEX(ポート振替表!$K$5:$K$3507,$L162)&amp;" "&amp;INDEX(ポート振替表!$L$5:$L$3507,$L162)&amp;"  ⇔  "&amp;INDEX(ポート振替表!$H$5:$H$3507,$L162)&amp;" "&amp;INDEX(ポート振替表!$I$5:$I$3507,$L162))</f>
        <v/>
      </c>
      <c r="G162" s="57" t="s">
        <v>158</v>
      </c>
      <c r="H162" s="32" t="str">
        <f aca="false">IF(L162="","",INDEX(ポート振替表!$N$5:$N$3507,$L162)&amp;"")</f>
        <v/>
      </c>
      <c r="I162" s="32" t="str">
        <f aca="false">IF(L162="","",INDEX(ポート振替表!$P$5:$P$3507,$L162)&amp;"")</f>
        <v/>
      </c>
      <c r="J162" s="60" t="str">
        <f aca="false">IF(L162="","",INDEX(ポート振替表!$M$5:$M$3507,$L162)&amp;"")</f>
        <v/>
      </c>
      <c r="K162" s="52" t="str">
        <f aca="false">IF(L162="","",E162&amp;CHAR(10)&amp;INDEX(ポート振替表!$K$5:$K$3507,$L162)&amp;" "&amp;INDEX(ポート振替表!$L$5:$L$3507,$L162)&amp;CHAR(10)&amp;"⇔ "&amp;INDEX(ポート振替表!$H$5:$H$3507,$L162)&amp;" "&amp;INDEX(ポート振替表!$I$5:$I$3507,$L162))</f>
        <v/>
      </c>
      <c r="L162" s="47" t="str">
        <f aca="false">IFERROR(MATCH(ROW()-4,ポート振替表!$V$5:$V$3507,0),"")</f>
        <v/>
      </c>
    </row>
    <row r="163" customFormat="false" ht="16.4" hidden="false" customHeight="false" outlineLevel="0" collapsed="false">
      <c r="A163" s="32" t="str">
        <f aca="false">IF(L163="","",ROW()-4)</f>
        <v/>
      </c>
      <c r="B163" s="58" t="str">
        <f aca="false">IF(L163="","",IF(INDEX(ポート振替表!$W$5:$W$3507,$L163)="","(なし)",INDEX(ポート振替表!$W$5:$W$3507,$L163)&amp;""))</f>
        <v/>
      </c>
      <c r="C163" s="52" t="str">
        <f aca="false">IF(L163="","",INDEX(ポート振替表!$B$5:$B$3507,$L163)&amp;" "&amp;INDEX(ポート振替表!$C$5:$C$3507,$L163)&amp;"  ⇔  "&amp;INDEX(ポート振替表!$H$5:$H$3507,$L163)&amp;" "&amp;INDEX(ポート振替表!$I$5:$I$3507,$L163))</f>
        <v/>
      </c>
      <c r="D163" s="57" t="s">
        <v>158</v>
      </c>
      <c r="E163" s="59" t="str">
        <f aca="false">IF(L163="","",IF(INDEX(ポート振替表!$O$5:$O$3507,$L163)="","(未設定)",INDEX(ポート振替表!$O$5:$O$3507,$L163)&amp;""))</f>
        <v/>
      </c>
      <c r="F163" s="52" t="str">
        <f aca="false">IF(L163="","",INDEX(ポート振替表!$K$5:$K$3507,$L163)&amp;" "&amp;INDEX(ポート振替表!$L$5:$L$3507,$L163)&amp;"  ⇔  "&amp;INDEX(ポート振替表!$H$5:$H$3507,$L163)&amp;" "&amp;INDEX(ポート振替表!$I$5:$I$3507,$L163))</f>
        <v/>
      </c>
      <c r="G163" s="57" t="s">
        <v>158</v>
      </c>
      <c r="H163" s="32" t="str">
        <f aca="false">IF(L163="","",INDEX(ポート振替表!$N$5:$N$3507,$L163)&amp;"")</f>
        <v/>
      </c>
      <c r="I163" s="32" t="str">
        <f aca="false">IF(L163="","",INDEX(ポート振替表!$P$5:$P$3507,$L163)&amp;"")</f>
        <v/>
      </c>
      <c r="J163" s="60" t="str">
        <f aca="false">IF(L163="","",INDEX(ポート振替表!$M$5:$M$3507,$L163)&amp;"")</f>
        <v/>
      </c>
      <c r="K163" s="52" t="str">
        <f aca="false">IF(L163="","",E163&amp;CHAR(10)&amp;INDEX(ポート振替表!$K$5:$K$3507,$L163)&amp;" "&amp;INDEX(ポート振替表!$L$5:$L$3507,$L163)&amp;CHAR(10)&amp;"⇔ "&amp;INDEX(ポート振替表!$H$5:$H$3507,$L163)&amp;" "&amp;INDEX(ポート振替表!$I$5:$I$3507,$L163))</f>
        <v/>
      </c>
      <c r="L163" s="47" t="str">
        <f aca="false">IFERROR(MATCH(ROW()-4,ポート振替表!$V$5:$V$3507,0),"")</f>
        <v/>
      </c>
    </row>
    <row r="164" customFormat="false" ht="16.4" hidden="false" customHeight="false" outlineLevel="0" collapsed="false">
      <c r="A164" s="32" t="str">
        <f aca="false">IF(L164="","",ROW()-4)</f>
        <v/>
      </c>
      <c r="B164" s="58" t="str">
        <f aca="false">IF(L164="","",IF(INDEX(ポート振替表!$W$5:$W$3507,$L164)="","(なし)",INDEX(ポート振替表!$W$5:$W$3507,$L164)&amp;""))</f>
        <v/>
      </c>
      <c r="C164" s="52" t="str">
        <f aca="false">IF(L164="","",INDEX(ポート振替表!$B$5:$B$3507,$L164)&amp;" "&amp;INDEX(ポート振替表!$C$5:$C$3507,$L164)&amp;"  ⇔  "&amp;INDEX(ポート振替表!$H$5:$H$3507,$L164)&amp;" "&amp;INDEX(ポート振替表!$I$5:$I$3507,$L164))</f>
        <v/>
      </c>
      <c r="D164" s="57" t="s">
        <v>158</v>
      </c>
      <c r="E164" s="59" t="str">
        <f aca="false">IF(L164="","",IF(INDEX(ポート振替表!$O$5:$O$3507,$L164)="","(未設定)",INDEX(ポート振替表!$O$5:$O$3507,$L164)&amp;""))</f>
        <v/>
      </c>
      <c r="F164" s="52" t="str">
        <f aca="false">IF(L164="","",INDEX(ポート振替表!$K$5:$K$3507,$L164)&amp;" "&amp;INDEX(ポート振替表!$L$5:$L$3507,$L164)&amp;"  ⇔  "&amp;INDEX(ポート振替表!$H$5:$H$3507,$L164)&amp;" "&amp;INDEX(ポート振替表!$I$5:$I$3507,$L164))</f>
        <v/>
      </c>
      <c r="G164" s="57" t="s">
        <v>158</v>
      </c>
      <c r="H164" s="32" t="str">
        <f aca="false">IF(L164="","",INDEX(ポート振替表!$N$5:$N$3507,$L164)&amp;"")</f>
        <v/>
      </c>
      <c r="I164" s="32" t="str">
        <f aca="false">IF(L164="","",INDEX(ポート振替表!$P$5:$P$3507,$L164)&amp;"")</f>
        <v/>
      </c>
      <c r="J164" s="60" t="str">
        <f aca="false">IF(L164="","",INDEX(ポート振替表!$M$5:$M$3507,$L164)&amp;"")</f>
        <v/>
      </c>
      <c r="K164" s="52" t="str">
        <f aca="false">IF(L164="","",E164&amp;CHAR(10)&amp;INDEX(ポート振替表!$K$5:$K$3507,$L164)&amp;" "&amp;INDEX(ポート振替表!$L$5:$L$3507,$L164)&amp;CHAR(10)&amp;"⇔ "&amp;INDEX(ポート振替表!$H$5:$H$3507,$L164)&amp;" "&amp;INDEX(ポート振替表!$I$5:$I$3507,$L164))</f>
        <v/>
      </c>
      <c r="L164" s="47" t="str">
        <f aca="false">IFERROR(MATCH(ROW()-4,ポート振替表!$V$5:$V$3507,0),"")</f>
        <v/>
      </c>
    </row>
    <row r="165" customFormat="false" ht="16.4" hidden="false" customHeight="false" outlineLevel="0" collapsed="false">
      <c r="A165" s="32" t="str">
        <f aca="false">IF(L165="","",ROW()-4)</f>
        <v/>
      </c>
      <c r="B165" s="58" t="str">
        <f aca="false">IF(L165="","",IF(INDEX(ポート振替表!$W$5:$W$3507,$L165)="","(なし)",INDEX(ポート振替表!$W$5:$W$3507,$L165)&amp;""))</f>
        <v/>
      </c>
      <c r="C165" s="52" t="str">
        <f aca="false">IF(L165="","",INDEX(ポート振替表!$B$5:$B$3507,$L165)&amp;" "&amp;INDEX(ポート振替表!$C$5:$C$3507,$L165)&amp;"  ⇔  "&amp;INDEX(ポート振替表!$H$5:$H$3507,$L165)&amp;" "&amp;INDEX(ポート振替表!$I$5:$I$3507,$L165))</f>
        <v/>
      </c>
      <c r="D165" s="57" t="s">
        <v>158</v>
      </c>
      <c r="E165" s="59" t="str">
        <f aca="false">IF(L165="","",IF(INDEX(ポート振替表!$O$5:$O$3507,$L165)="","(未設定)",INDEX(ポート振替表!$O$5:$O$3507,$L165)&amp;""))</f>
        <v/>
      </c>
      <c r="F165" s="52" t="str">
        <f aca="false">IF(L165="","",INDEX(ポート振替表!$K$5:$K$3507,$L165)&amp;" "&amp;INDEX(ポート振替表!$L$5:$L$3507,$L165)&amp;"  ⇔  "&amp;INDEX(ポート振替表!$H$5:$H$3507,$L165)&amp;" "&amp;INDEX(ポート振替表!$I$5:$I$3507,$L165))</f>
        <v/>
      </c>
      <c r="G165" s="57" t="s">
        <v>158</v>
      </c>
      <c r="H165" s="32" t="str">
        <f aca="false">IF(L165="","",INDEX(ポート振替表!$N$5:$N$3507,$L165)&amp;"")</f>
        <v/>
      </c>
      <c r="I165" s="32" t="str">
        <f aca="false">IF(L165="","",INDEX(ポート振替表!$P$5:$P$3507,$L165)&amp;"")</f>
        <v/>
      </c>
      <c r="J165" s="60" t="str">
        <f aca="false">IF(L165="","",INDEX(ポート振替表!$M$5:$M$3507,$L165)&amp;"")</f>
        <v/>
      </c>
      <c r="K165" s="52" t="str">
        <f aca="false">IF(L165="","",E165&amp;CHAR(10)&amp;INDEX(ポート振替表!$K$5:$K$3507,$L165)&amp;" "&amp;INDEX(ポート振替表!$L$5:$L$3507,$L165)&amp;CHAR(10)&amp;"⇔ "&amp;INDEX(ポート振替表!$H$5:$H$3507,$L165)&amp;" "&amp;INDEX(ポート振替表!$I$5:$I$3507,$L165))</f>
        <v/>
      </c>
      <c r="L165" s="47" t="str">
        <f aca="false">IFERROR(MATCH(ROW()-4,ポート振替表!$V$5:$V$3507,0),"")</f>
        <v/>
      </c>
    </row>
    <row r="166" customFormat="false" ht="16.4" hidden="false" customHeight="false" outlineLevel="0" collapsed="false">
      <c r="A166" s="32" t="str">
        <f aca="false">IF(L166="","",ROW()-4)</f>
        <v/>
      </c>
      <c r="B166" s="58" t="str">
        <f aca="false">IF(L166="","",IF(INDEX(ポート振替表!$W$5:$W$3507,$L166)="","(なし)",INDEX(ポート振替表!$W$5:$W$3507,$L166)&amp;""))</f>
        <v/>
      </c>
      <c r="C166" s="52" t="str">
        <f aca="false">IF(L166="","",INDEX(ポート振替表!$B$5:$B$3507,$L166)&amp;" "&amp;INDEX(ポート振替表!$C$5:$C$3507,$L166)&amp;"  ⇔  "&amp;INDEX(ポート振替表!$H$5:$H$3507,$L166)&amp;" "&amp;INDEX(ポート振替表!$I$5:$I$3507,$L166))</f>
        <v/>
      </c>
      <c r="D166" s="57" t="s">
        <v>158</v>
      </c>
      <c r="E166" s="59" t="str">
        <f aca="false">IF(L166="","",IF(INDEX(ポート振替表!$O$5:$O$3507,$L166)="","(未設定)",INDEX(ポート振替表!$O$5:$O$3507,$L166)&amp;""))</f>
        <v/>
      </c>
      <c r="F166" s="52" t="str">
        <f aca="false">IF(L166="","",INDEX(ポート振替表!$K$5:$K$3507,$L166)&amp;" "&amp;INDEX(ポート振替表!$L$5:$L$3507,$L166)&amp;"  ⇔  "&amp;INDEX(ポート振替表!$H$5:$H$3507,$L166)&amp;" "&amp;INDEX(ポート振替表!$I$5:$I$3507,$L166))</f>
        <v/>
      </c>
      <c r="G166" s="57" t="s">
        <v>158</v>
      </c>
      <c r="H166" s="32" t="str">
        <f aca="false">IF(L166="","",INDEX(ポート振替表!$N$5:$N$3507,$L166)&amp;"")</f>
        <v/>
      </c>
      <c r="I166" s="32" t="str">
        <f aca="false">IF(L166="","",INDEX(ポート振替表!$P$5:$P$3507,$L166)&amp;"")</f>
        <v/>
      </c>
      <c r="J166" s="60" t="str">
        <f aca="false">IF(L166="","",INDEX(ポート振替表!$M$5:$M$3507,$L166)&amp;"")</f>
        <v/>
      </c>
      <c r="K166" s="52" t="str">
        <f aca="false">IF(L166="","",E166&amp;CHAR(10)&amp;INDEX(ポート振替表!$K$5:$K$3507,$L166)&amp;" "&amp;INDEX(ポート振替表!$L$5:$L$3507,$L166)&amp;CHAR(10)&amp;"⇔ "&amp;INDEX(ポート振替表!$H$5:$H$3507,$L166)&amp;" "&amp;INDEX(ポート振替表!$I$5:$I$3507,$L166))</f>
        <v/>
      </c>
      <c r="L166" s="47" t="str">
        <f aca="false">IFERROR(MATCH(ROW()-4,ポート振替表!$V$5:$V$3507,0),"")</f>
        <v/>
      </c>
    </row>
    <row r="167" customFormat="false" ht="16.4" hidden="false" customHeight="false" outlineLevel="0" collapsed="false">
      <c r="A167" s="32" t="str">
        <f aca="false">IF(L167="","",ROW()-4)</f>
        <v/>
      </c>
      <c r="B167" s="58" t="str">
        <f aca="false">IF(L167="","",IF(INDEX(ポート振替表!$W$5:$W$3507,$L167)="","(なし)",INDEX(ポート振替表!$W$5:$W$3507,$L167)&amp;""))</f>
        <v/>
      </c>
      <c r="C167" s="52" t="str">
        <f aca="false">IF(L167="","",INDEX(ポート振替表!$B$5:$B$3507,$L167)&amp;" "&amp;INDEX(ポート振替表!$C$5:$C$3507,$L167)&amp;"  ⇔  "&amp;INDEX(ポート振替表!$H$5:$H$3507,$L167)&amp;" "&amp;INDEX(ポート振替表!$I$5:$I$3507,$L167))</f>
        <v/>
      </c>
      <c r="D167" s="57" t="s">
        <v>158</v>
      </c>
      <c r="E167" s="59" t="str">
        <f aca="false">IF(L167="","",IF(INDEX(ポート振替表!$O$5:$O$3507,$L167)="","(未設定)",INDEX(ポート振替表!$O$5:$O$3507,$L167)&amp;""))</f>
        <v/>
      </c>
      <c r="F167" s="52" t="str">
        <f aca="false">IF(L167="","",INDEX(ポート振替表!$K$5:$K$3507,$L167)&amp;" "&amp;INDEX(ポート振替表!$L$5:$L$3507,$L167)&amp;"  ⇔  "&amp;INDEX(ポート振替表!$H$5:$H$3507,$L167)&amp;" "&amp;INDEX(ポート振替表!$I$5:$I$3507,$L167))</f>
        <v/>
      </c>
      <c r="G167" s="57" t="s">
        <v>158</v>
      </c>
      <c r="H167" s="32" t="str">
        <f aca="false">IF(L167="","",INDEX(ポート振替表!$N$5:$N$3507,$L167)&amp;"")</f>
        <v/>
      </c>
      <c r="I167" s="32" t="str">
        <f aca="false">IF(L167="","",INDEX(ポート振替表!$P$5:$P$3507,$L167)&amp;"")</f>
        <v/>
      </c>
      <c r="J167" s="60" t="str">
        <f aca="false">IF(L167="","",INDEX(ポート振替表!$M$5:$M$3507,$L167)&amp;"")</f>
        <v/>
      </c>
      <c r="K167" s="52" t="str">
        <f aca="false">IF(L167="","",E167&amp;CHAR(10)&amp;INDEX(ポート振替表!$K$5:$K$3507,$L167)&amp;" "&amp;INDEX(ポート振替表!$L$5:$L$3507,$L167)&amp;CHAR(10)&amp;"⇔ "&amp;INDEX(ポート振替表!$H$5:$H$3507,$L167)&amp;" "&amp;INDEX(ポート振替表!$I$5:$I$3507,$L167))</f>
        <v/>
      </c>
      <c r="L167" s="47" t="str">
        <f aca="false">IFERROR(MATCH(ROW()-4,ポート振替表!$V$5:$V$3507,0),"")</f>
        <v/>
      </c>
    </row>
    <row r="168" customFormat="false" ht="16.4" hidden="false" customHeight="false" outlineLevel="0" collapsed="false">
      <c r="A168" s="32" t="str">
        <f aca="false">IF(L168="","",ROW()-4)</f>
        <v/>
      </c>
      <c r="B168" s="58" t="str">
        <f aca="false">IF(L168="","",IF(INDEX(ポート振替表!$W$5:$W$3507,$L168)="","(なし)",INDEX(ポート振替表!$W$5:$W$3507,$L168)&amp;""))</f>
        <v/>
      </c>
      <c r="C168" s="52" t="str">
        <f aca="false">IF(L168="","",INDEX(ポート振替表!$B$5:$B$3507,$L168)&amp;" "&amp;INDEX(ポート振替表!$C$5:$C$3507,$L168)&amp;"  ⇔  "&amp;INDEX(ポート振替表!$H$5:$H$3507,$L168)&amp;" "&amp;INDEX(ポート振替表!$I$5:$I$3507,$L168))</f>
        <v/>
      </c>
      <c r="D168" s="57" t="s">
        <v>158</v>
      </c>
      <c r="E168" s="59" t="str">
        <f aca="false">IF(L168="","",IF(INDEX(ポート振替表!$O$5:$O$3507,$L168)="","(未設定)",INDEX(ポート振替表!$O$5:$O$3507,$L168)&amp;""))</f>
        <v/>
      </c>
      <c r="F168" s="52" t="str">
        <f aca="false">IF(L168="","",INDEX(ポート振替表!$K$5:$K$3507,$L168)&amp;" "&amp;INDEX(ポート振替表!$L$5:$L$3507,$L168)&amp;"  ⇔  "&amp;INDEX(ポート振替表!$H$5:$H$3507,$L168)&amp;" "&amp;INDEX(ポート振替表!$I$5:$I$3507,$L168))</f>
        <v/>
      </c>
      <c r="G168" s="57" t="s">
        <v>158</v>
      </c>
      <c r="H168" s="32" t="str">
        <f aca="false">IF(L168="","",INDEX(ポート振替表!$N$5:$N$3507,$L168)&amp;"")</f>
        <v/>
      </c>
      <c r="I168" s="32" t="str">
        <f aca="false">IF(L168="","",INDEX(ポート振替表!$P$5:$P$3507,$L168)&amp;"")</f>
        <v/>
      </c>
      <c r="J168" s="60" t="str">
        <f aca="false">IF(L168="","",INDEX(ポート振替表!$M$5:$M$3507,$L168)&amp;"")</f>
        <v/>
      </c>
      <c r="K168" s="52" t="str">
        <f aca="false">IF(L168="","",E168&amp;CHAR(10)&amp;INDEX(ポート振替表!$K$5:$K$3507,$L168)&amp;" "&amp;INDEX(ポート振替表!$L$5:$L$3507,$L168)&amp;CHAR(10)&amp;"⇔ "&amp;INDEX(ポート振替表!$H$5:$H$3507,$L168)&amp;" "&amp;INDEX(ポート振替表!$I$5:$I$3507,$L168))</f>
        <v/>
      </c>
      <c r="L168" s="47" t="str">
        <f aca="false">IFERROR(MATCH(ROW()-4,ポート振替表!$V$5:$V$3507,0),"")</f>
        <v/>
      </c>
    </row>
    <row r="169" customFormat="false" ht="16.4" hidden="false" customHeight="false" outlineLevel="0" collapsed="false">
      <c r="A169" s="32" t="str">
        <f aca="false">IF(L169="","",ROW()-4)</f>
        <v/>
      </c>
      <c r="B169" s="58" t="str">
        <f aca="false">IF(L169="","",IF(INDEX(ポート振替表!$W$5:$W$3507,$L169)="","(なし)",INDEX(ポート振替表!$W$5:$W$3507,$L169)&amp;""))</f>
        <v/>
      </c>
      <c r="C169" s="52" t="str">
        <f aca="false">IF(L169="","",INDEX(ポート振替表!$B$5:$B$3507,$L169)&amp;" "&amp;INDEX(ポート振替表!$C$5:$C$3507,$L169)&amp;"  ⇔  "&amp;INDEX(ポート振替表!$H$5:$H$3507,$L169)&amp;" "&amp;INDEX(ポート振替表!$I$5:$I$3507,$L169))</f>
        <v/>
      </c>
      <c r="D169" s="57" t="s">
        <v>158</v>
      </c>
      <c r="E169" s="59" t="str">
        <f aca="false">IF(L169="","",IF(INDEX(ポート振替表!$O$5:$O$3507,$L169)="","(未設定)",INDEX(ポート振替表!$O$5:$O$3507,$L169)&amp;""))</f>
        <v/>
      </c>
      <c r="F169" s="52" t="str">
        <f aca="false">IF(L169="","",INDEX(ポート振替表!$K$5:$K$3507,$L169)&amp;" "&amp;INDEX(ポート振替表!$L$5:$L$3507,$L169)&amp;"  ⇔  "&amp;INDEX(ポート振替表!$H$5:$H$3507,$L169)&amp;" "&amp;INDEX(ポート振替表!$I$5:$I$3507,$L169))</f>
        <v/>
      </c>
      <c r="G169" s="57" t="s">
        <v>158</v>
      </c>
      <c r="H169" s="32" t="str">
        <f aca="false">IF(L169="","",INDEX(ポート振替表!$N$5:$N$3507,$L169)&amp;"")</f>
        <v/>
      </c>
      <c r="I169" s="32" t="str">
        <f aca="false">IF(L169="","",INDEX(ポート振替表!$P$5:$P$3507,$L169)&amp;"")</f>
        <v/>
      </c>
      <c r="J169" s="60" t="str">
        <f aca="false">IF(L169="","",INDEX(ポート振替表!$M$5:$M$3507,$L169)&amp;"")</f>
        <v/>
      </c>
      <c r="K169" s="52" t="str">
        <f aca="false">IF(L169="","",E169&amp;CHAR(10)&amp;INDEX(ポート振替表!$K$5:$K$3507,$L169)&amp;" "&amp;INDEX(ポート振替表!$L$5:$L$3507,$L169)&amp;CHAR(10)&amp;"⇔ "&amp;INDEX(ポート振替表!$H$5:$H$3507,$L169)&amp;" "&amp;INDEX(ポート振替表!$I$5:$I$3507,$L169))</f>
        <v/>
      </c>
      <c r="L169" s="47" t="str">
        <f aca="false">IFERROR(MATCH(ROW()-4,ポート振替表!$V$5:$V$3507,0),"")</f>
        <v/>
      </c>
    </row>
    <row r="170" customFormat="false" ht="16.4" hidden="false" customHeight="false" outlineLevel="0" collapsed="false">
      <c r="A170" s="32" t="str">
        <f aca="false">IF(L170="","",ROW()-4)</f>
        <v/>
      </c>
      <c r="B170" s="58" t="str">
        <f aca="false">IF(L170="","",IF(INDEX(ポート振替表!$W$5:$W$3507,$L170)="","(なし)",INDEX(ポート振替表!$W$5:$W$3507,$L170)&amp;""))</f>
        <v/>
      </c>
      <c r="C170" s="52" t="str">
        <f aca="false">IF(L170="","",INDEX(ポート振替表!$B$5:$B$3507,$L170)&amp;" "&amp;INDEX(ポート振替表!$C$5:$C$3507,$L170)&amp;"  ⇔  "&amp;INDEX(ポート振替表!$H$5:$H$3507,$L170)&amp;" "&amp;INDEX(ポート振替表!$I$5:$I$3507,$L170))</f>
        <v/>
      </c>
      <c r="D170" s="57" t="s">
        <v>158</v>
      </c>
      <c r="E170" s="59" t="str">
        <f aca="false">IF(L170="","",IF(INDEX(ポート振替表!$O$5:$O$3507,$L170)="","(未設定)",INDEX(ポート振替表!$O$5:$O$3507,$L170)&amp;""))</f>
        <v/>
      </c>
      <c r="F170" s="52" t="str">
        <f aca="false">IF(L170="","",INDEX(ポート振替表!$K$5:$K$3507,$L170)&amp;" "&amp;INDEX(ポート振替表!$L$5:$L$3507,$L170)&amp;"  ⇔  "&amp;INDEX(ポート振替表!$H$5:$H$3507,$L170)&amp;" "&amp;INDEX(ポート振替表!$I$5:$I$3507,$L170))</f>
        <v/>
      </c>
      <c r="G170" s="57" t="s">
        <v>158</v>
      </c>
      <c r="H170" s="32" t="str">
        <f aca="false">IF(L170="","",INDEX(ポート振替表!$N$5:$N$3507,$L170)&amp;"")</f>
        <v/>
      </c>
      <c r="I170" s="32" t="str">
        <f aca="false">IF(L170="","",INDEX(ポート振替表!$P$5:$P$3507,$L170)&amp;"")</f>
        <v/>
      </c>
      <c r="J170" s="60" t="str">
        <f aca="false">IF(L170="","",INDEX(ポート振替表!$M$5:$M$3507,$L170)&amp;"")</f>
        <v/>
      </c>
      <c r="K170" s="52" t="str">
        <f aca="false">IF(L170="","",E170&amp;CHAR(10)&amp;INDEX(ポート振替表!$K$5:$K$3507,$L170)&amp;" "&amp;INDEX(ポート振替表!$L$5:$L$3507,$L170)&amp;CHAR(10)&amp;"⇔ "&amp;INDEX(ポート振替表!$H$5:$H$3507,$L170)&amp;" "&amp;INDEX(ポート振替表!$I$5:$I$3507,$L170))</f>
        <v/>
      </c>
      <c r="L170" s="47" t="str">
        <f aca="false">IFERROR(MATCH(ROW()-4,ポート振替表!$V$5:$V$3507,0),"")</f>
        <v/>
      </c>
    </row>
    <row r="171" customFormat="false" ht="16.4" hidden="false" customHeight="false" outlineLevel="0" collapsed="false">
      <c r="A171" s="32" t="str">
        <f aca="false">IF(L171="","",ROW()-4)</f>
        <v/>
      </c>
      <c r="B171" s="58" t="str">
        <f aca="false">IF(L171="","",IF(INDEX(ポート振替表!$W$5:$W$3507,$L171)="","(なし)",INDEX(ポート振替表!$W$5:$W$3507,$L171)&amp;""))</f>
        <v/>
      </c>
      <c r="C171" s="52" t="str">
        <f aca="false">IF(L171="","",INDEX(ポート振替表!$B$5:$B$3507,$L171)&amp;" "&amp;INDEX(ポート振替表!$C$5:$C$3507,$L171)&amp;"  ⇔  "&amp;INDEX(ポート振替表!$H$5:$H$3507,$L171)&amp;" "&amp;INDEX(ポート振替表!$I$5:$I$3507,$L171))</f>
        <v/>
      </c>
      <c r="D171" s="57" t="s">
        <v>158</v>
      </c>
      <c r="E171" s="59" t="str">
        <f aca="false">IF(L171="","",IF(INDEX(ポート振替表!$O$5:$O$3507,$L171)="","(未設定)",INDEX(ポート振替表!$O$5:$O$3507,$L171)&amp;""))</f>
        <v/>
      </c>
      <c r="F171" s="52" t="str">
        <f aca="false">IF(L171="","",INDEX(ポート振替表!$K$5:$K$3507,$L171)&amp;" "&amp;INDEX(ポート振替表!$L$5:$L$3507,$L171)&amp;"  ⇔  "&amp;INDEX(ポート振替表!$H$5:$H$3507,$L171)&amp;" "&amp;INDEX(ポート振替表!$I$5:$I$3507,$L171))</f>
        <v/>
      </c>
      <c r="G171" s="57" t="s">
        <v>158</v>
      </c>
      <c r="H171" s="32" t="str">
        <f aca="false">IF(L171="","",INDEX(ポート振替表!$N$5:$N$3507,$L171)&amp;"")</f>
        <v/>
      </c>
      <c r="I171" s="32" t="str">
        <f aca="false">IF(L171="","",INDEX(ポート振替表!$P$5:$P$3507,$L171)&amp;"")</f>
        <v/>
      </c>
      <c r="J171" s="60" t="str">
        <f aca="false">IF(L171="","",INDEX(ポート振替表!$M$5:$M$3507,$L171)&amp;"")</f>
        <v/>
      </c>
      <c r="K171" s="52" t="str">
        <f aca="false">IF(L171="","",E171&amp;CHAR(10)&amp;INDEX(ポート振替表!$K$5:$K$3507,$L171)&amp;" "&amp;INDEX(ポート振替表!$L$5:$L$3507,$L171)&amp;CHAR(10)&amp;"⇔ "&amp;INDEX(ポート振替表!$H$5:$H$3507,$L171)&amp;" "&amp;INDEX(ポート振替表!$I$5:$I$3507,$L171))</f>
        <v/>
      </c>
      <c r="L171" s="47" t="str">
        <f aca="false">IFERROR(MATCH(ROW()-4,ポート振替表!$V$5:$V$3507,0),"")</f>
        <v/>
      </c>
    </row>
    <row r="172" customFormat="false" ht="16.4" hidden="false" customHeight="false" outlineLevel="0" collapsed="false">
      <c r="A172" s="32" t="str">
        <f aca="false">IF(L172="","",ROW()-4)</f>
        <v/>
      </c>
      <c r="B172" s="58" t="str">
        <f aca="false">IF(L172="","",IF(INDEX(ポート振替表!$W$5:$W$3507,$L172)="","(なし)",INDEX(ポート振替表!$W$5:$W$3507,$L172)&amp;""))</f>
        <v/>
      </c>
      <c r="C172" s="52" t="str">
        <f aca="false">IF(L172="","",INDEX(ポート振替表!$B$5:$B$3507,$L172)&amp;" "&amp;INDEX(ポート振替表!$C$5:$C$3507,$L172)&amp;"  ⇔  "&amp;INDEX(ポート振替表!$H$5:$H$3507,$L172)&amp;" "&amp;INDEX(ポート振替表!$I$5:$I$3507,$L172))</f>
        <v/>
      </c>
      <c r="D172" s="57" t="s">
        <v>158</v>
      </c>
      <c r="E172" s="59" t="str">
        <f aca="false">IF(L172="","",IF(INDEX(ポート振替表!$O$5:$O$3507,$L172)="","(未設定)",INDEX(ポート振替表!$O$5:$O$3507,$L172)&amp;""))</f>
        <v/>
      </c>
      <c r="F172" s="52" t="str">
        <f aca="false">IF(L172="","",INDEX(ポート振替表!$K$5:$K$3507,$L172)&amp;" "&amp;INDEX(ポート振替表!$L$5:$L$3507,$L172)&amp;"  ⇔  "&amp;INDEX(ポート振替表!$H$5:$H$3507,$L172)&amp;" "&amp;INDEX(ポート振替表!$I$5:$I$3507,$L172))</f>
        <v/>
      </c>
      <c r="G172" s="57" t="s">
        <v>158</v>
      </c>
      <c r="H172" s="32" t="str">
        <f aca="false">IF(L172="","",INDEX(ポート振替表!$N$5:$N$3507,$L172)&amp;"")</f>
        <v/>
      </c>
      <c r="I172" s="32" t="str">
        <f aca="false">IF(L172="","",INDEX(ポート振替表!$P$5:$P$3507,$L172)&amp;"")</f>
        <v/>
      </c>
      <c r="J172" s="60" t="str">
        <f aca="false">IF(L172="","",INDEX(ポート振替表!$M$5:$M$3507,$L172)&amp;"")</f>
        <v/>
      </c>
      <c r="K172" s="52" t="str">
        <f aca="false">IF(L172="","",E172&amp;CHAR(10)&amp;INDEX(ポート振替表!$K$5:$K$3507,$L172)&amp;" "&amp;INDEX(ポート振替表!$L$5:$L$3507,$L172)&amp;CHAR(10)&amp;"⇔ "&amp;INDEX(ポート振替表!$H$5:$H$3507,$L172)&amp;" "&amp;INDEX(ポート振替表!$I$5:$I$3507,$L172))</f>
        <v/>
      </c>
      <c r="L172" s="47" t="str">
        <f aca="false">IFERROR(MATCH(ROW()-4,ポート振替表!$V$5:$V$3507,0),"")</f>
        <v/>
      </c>
    </row>
    <row r="173" customFormat="false" ht="16.4" hidden="false" customHeight="false" outlineLevel="0" collapsed="false">
      <c r="A173" s="32" t="str">
        <f aca="false">IF(L173="","",ROW()-4)</f>
        <v/>
      </c>
      <c r="B173" s="58" t="str">
        <f aca="false">IF(L173="","",IF(INDEX(ポート振替表!$W$5:$W$3507,$L173)="","(なし)",INDEX(ポート振替表!$W$5:$W$3507,$L173)&amp;""))</f>
        <v/>
      </c>
      <c r="C173" s="52" t="str">
        <f aca="false">IF(L173="","",INDEX(ポート振替表!$B$5:$B$3507,$L173)&amp;" "&amp;INDEX(ポート振替表!$C$5:$C$3507,$L173)&amp;"  ⇔  "&amp;INDEX(ポート振替表!$H$5:$H$3507,$L173)&amp;" "&amp;INDEX(ポート振替表!$I$5:$I$3507,$L173))</f>
        <v/>
      </c>
      <c r="D173" s="57" t="s">
        <v>158</v>
      </c>
      <c r="E173" s="59" t="str">
        <f aca="false">IF(L173="","",IF(INDEX(ポート振替表!$O$5:$O$3507,$L173)="","(未設定)",INDEX(ポート振替表!$O$5:$O$3507,$L173)&amp;""))</f>
        <v/>
      </c>
      <c r="F173" s="52" t="str">
        <f aca="false">IF(L173="","",INDEX(ポート振替表!$K$5:$K$3507,$L173)&amp;" "&amp;INDEX(ポート振替表!$L$5:$L$3507,$L173)&amp;"  ⇔  "&amp;INDEX(ポート振替表!$H$5:$H$3507,$L173)&amp;" "&amp;INDEX(ポート振替表!$I$5:$I$3507,$L173))</f>
        <v/>
      </c>
      <c r="G173" s="57" t="s">
        <v>158</v>
      </c>
      <c r="H173" s="32" t="str">
        <f aca="false">IF(L173="","",INDEX(ポート振替表!$N$5:$N$3507,$L173)&amp;"")</f>
        <v/>
      </c>
      <c r="I173" s="32" t="str">
        <f aca="false">IF(L173="","",INDEX(ポート振替表!$P$5:$P$3507,$L173)&amp;"")</f>
        <v/>
      </c>
      <c r="J173" s="60" t="str">
        <f aca="false">IF(L173="","",INDEX(ポート振替表!$M$5:$M$3507,$L173)&amp;"")</f>
        <v/>
      </c>
      <c r="K173" s="52" t="str">
        <f aca="false">IF(L173="","",E173&amp;CHAR(10)&amp;INDEX(ポート振替表!$K$5:$K$3507,$L173)&amp;" "&amp;INDEX(ポート振替表!$L$5:$L$3507,$L173)&amp;CHAR(10)&amp;"⇔ "&amp;INDEX(ポート振替表!$H$5:$H$3507,$L173)&amp;" "&amp;INDEX(ポート振替表!$I$5:$I$3507,$L173))</f>
        <v/>
      </c>
      <c r="L173" s="47" t="str">
        <f aca="false">IFERROR(MATCH(ROW()-4,ポート振替表!$V$5:$V$3507,0),"")</f>
        <v/>
      </c>
    </row>
    <row r="174" customFormat="false" ht="16.4" hidden="false" customHeight="false" outlineLevel="0" collapsed="false">
      <c r="A174" s="32" t="str">
        <f aca="false">IF(L174="","",ROW()-4)</f>
        <v/>
      </c>
      <c r="B174" s="58" t="str">
        <f aca="false">IF(L174="","",IF(INDEX(ポート振替表!$W$5:$W$3507,$L174)="","(なし)",INDEX(ポート振替表!$W$5:$W$3507,$L174)&amp;""))</f>
        <v/>
      </c>
      <c r="C174" s="52" t="str">
        <f aca="false">IF(L174="","",INDEX(ポート振替表!$B$5:$B$3507,$L174)&amp;" "&amp;INDEX(ポート振替表!$C$5:$C$3507,$L174)&amp;"  ⇔  "&amp;INDEX(ポート振替表!$H$5:$H$3507,$L174)&amp;" "&amp;INDEX(ポート振替表!$I$5:$I$3507,$L174))</f>
        <v/>
      </c>
      <c r="D174" s="57" t="s">
        <v>158</v>
      </c>
      <c r="E174" s="59" t="str">
        <f aca="false">IF(L174="","",IF(INDEX(ポート振替表!$O$5:$O$3507,$L174)="","(未設定)",INDEX(ポート振替表!$O$5:$O$3507,$L174)&amp;""))</f>
        <v/>
      </c>
      <c r="F174" s="52" t="str">
        <f aca="false">IF(L174="","",INDEX(ポート振替表!$K$5:$K$3507,$L174)&amp;" "&amp;INDEX(ポート振替表!$L$5:$L$3507,$L174)&amp;"  ⇔  "&amp;INDEX(ポート振替表!$H$5:$H$3507,$L174)&amp;" "&amp;INDEX(ポート振替表!$I$5:$I$3507,$L174))</f>
        <v/>
      </c>
      <c r="G174" s="57" t="s">
        <v>158</v>
      </c>
      <c r="H174" s="32" t="str">
        <f aca="false">IF(L174="","",INDEX(ポート振替表!$N$5:$N$3507,$L174)&amp;"")</f>
        <v/>
      </c>
      <c r="I174" s="32" t="str">
        <f aca="false">IF(L174="","",INDEX(ポート振替表!$P$5:$P$3507,$L174)&amp;"")</f>
        <v/>
      </c>
      <c r="J174" s="60" t="str">
        <f aca="false">IF(L174="","",INDEX(ポート振替表!$M$5:$M$3507,$L174)&amp;"")</f>
        <v/>
      </c>
      <c r="K174" s="52" t="str">
        <f aca="false">IF(L174="","",E174&amp;CHAR(10)&amp;INDEX(ポート振替表!$K$5:$K$3507,$L174)&amp;" "&amp;INDEX(ポート振替表!$L$5:$L$3507,$L174)&amp;CHAR(10)&amp;"⇔ "&amp;INDEX(ポート振替表!$H$5:$H$3507,$L174)&amp;" "&amp;INDEX(ポート振替表!$I$5:$I$3507,$L174))</f>
        <v/>
      </c>
      <c r="L174" s="47" t="str">
        <f aca="false">IFERROR(MATCH(ROW()-4,ポート振替表!$V$5:$V$3507,0),"")</f>
        <v/>
      </c>
    </row>
    <row r="175" customFormat="false" ht="16.4" hidden="false" customHeight="false" outlineLevel="0" collapsed="false">
      <c r="A175" s="32" t="str">
        <f aca="false">IF(L175="","",ROW()-4)</f>
        <v/>
      </c>
      <c r="B175" s="58" t="str">
        <f aca="false">IF(L175="","",IF(INDEX(ポート振替表!$W$5:$W$3507,$L175)="","(なし)",INDEX(ポート振替表!$W$5:$W$3507,$L175)&amp;""))</f>
        <v/>
      </c>
      <c r="C175" s="52" t="str">
        <f aca="false">IF(L175="","",INDEX(ポート振替表!$B$5:$B$3507,$L175)&amp;" "&amp;INDEX(ポート振替表!$C$5:$C$3507,$L175)&amp;"  ⇔  "&amp;INDEX(ポート振替表!$H$5:$H$3507,$L175)&amp;" "&amp;INDEX(ポート振替表!$I$5:$I$3507,$L175))</f>
        <v/>
      </c>
      <c r="D175" s="57" t="s">
        <v>158</v>
      </c>
      <c r="E175" s="59" t="str">
        <f aca="false">IF(L175="","",IF(INDEX(ポート振替表!$O$5:$O$3507,$L175)="","(未設定)",INDEX(ポート振替表!$O$5:$O$3507,$L175)&amp;""))</f>
        <v/>
      </c>
      <c r="F175" s="52" t="str">
        <f aca="false">IF(L175="","",INDEX(ポート振替表!$K$5:$K$3507,$L175)&amp;" "&amp;INDEX(ポート振替表!$L$5:$L$3507,$L175)&amp;"  ⇔  "&amp;INDEX(ポート振替表!$H$5:$H$3507,$L175)&amp;" "&amp;INDEX(ポート振替表!$I$5:$I$3507,$L175))</f>
        <v/>
      </c>
      <c r="G175" s="57" t="s">
        <v>158</v>
      </c>
      <c r="H175" s="32" t="str">
        <f aca="false">IF(L175="","",INDEX(ポート振替表!$N$5:$N$3507,$L175)&amp;"")</f>
        <v/>
      </c>
      <c r="I175" s="32" t="str">
        <f aca="false">IF(L175="","",INDEX(ポート振替表!$P$5:$P$3507,$L175)&amp;"")</f>
        <v/>
      </c>
      <c r="J175" s="60" t="str">
        <f aca="false">IF(L175="","",INDEX(ポート振替表!$M$5:$M$3507,$L175)&amp;"")</f>
        <v/>
      </c>
      <c r="K175" s="52" t="str">
        <f aca="false">IF(L175="","",E175&amp;CHAR(10)&amp;INDEX(ポート振替表!$K$5:$K$3507,$L175)&amp;" "&amp;INDEX(ポート振替表!$L$5:$L$3507,$L175)&amp;CHAR(10)&amp;"⇔ "&amp;INDEX(ポート振替表!$H$5:$H$3507,$L175)&amp;" "&amp;INDEX(ポート振替表!$I$5:$I$3507,$L175))</f>
        <v/>
      </c>
      <c r="L175" s="47" t="str">
        <f aca="false">IFERROR(MATCH(ROW()-4,ポート振替表!$V$5:$V$3507,0),"")</f>
        <v/>
      </c>
    </row>
    <row r="176" customFormat="false" ht="16.4" hidden="false" customHeight="false" outlineLevel="0" collapsed="false">
      <c r="A176" s="32" t="str">
        <f aca="false">IF(L176="","",ROW()-4)</f>
        <v/>
      </c>
      <c r="B176" s="58" t="str">
        <f aca="false">IF(L176="","",IF(INDEX(ポート振替表!$W$5:$W$3507,$L176)="","(なし)",INDEX(ポート振替表!$W$5:$W$3507,$L176)&amp;""))</f>
        <v/>
      </c>
      <c r="C176" s="52" t="str">
        <f aca="false">IF(L176="","",INDEX(ポート振替表!$B$5:$B$3507,$L176)&amp;" "&amp;INDEX(ポート振替表!$C$5:$C$3507,$L176)&amp;"  ⇔  "&amp;INDEX(ポート振替表!$H$5:$H$3507,$L176)&amp;" "&amp;INDEX(ポート振替表!$I$5:$I$3507,$L176))</f>
        <v/>
      </c>
      <c r="D176" s="57" t="s">
        <v>158</v>
      </c>
      <c r="E176" s="59" t="str">
        <f aca="false">IF(L176="","",IF(INDEX(ポート振替表!$O$5:$O$3507,$L176)="","(未設定)",INDEX(ポート振替表!$O$5:$O$3507,$L176)&amp;""))</f>
        <v/>
      </c>
      <c r="F176" s="52" t="str">
        <f aca="false">IF(L176="","",INDEX(ポート振替表!$K$5:$K$3507,$L176)&amp;" "&amp;INDEX(ポート振替表!$L$5:$L$3507,$L176)&amp;"  ⇔  "&amp;INDEX(ポート振替表!$H$5:$H$3507,$L176)&amp;" "&amp;INDEX(ポート振替表!$I$5:$I$3507,$L176))</f>
        <v/>
      </c>
      <c r="G176" s="57" t="s">
        <v>158</v>
      </c>
      <c r="H176" s="32" t="str">
        <f aca="false">IF(L176="","",INDEX(ポート振替表!$N$5:$N$3507,$L176)&amp;"")</f>
        <v/>
      </c>
      <c r="I176" s="32" t="str">
        <f aca="false">IF(L176="","",INDEX(ポート振替表!$P$5:$P$3507,$L176)&amp;"")</f>
        <v/>
      </c>
      <c r="J176" s="60" t="str">
        <f aca="false">IF(L176="","",INDEX(ポート振替表!$M$5:$M$3507,$L176)&amp;"")</f>
        <v/>
      </c>
      <c r="K176" s="52" t="str">
        <f aca="false">IF(L176="","",E176&amp;CHAR(10)&amp;INDEX(ポート振替表!$K$5:$K$3507,$L176)&amp;" "&amp;INDEX(ポート振替表!$L$5:$L$3507,$L176)&amp;CHAR(10)&amp;"⇔ "&amp;INDEX(ポート振替表!$H$5:$H$3507,$L176)&amp;" "&amp;INDEX(ポート振替表!$I$5:$I$3507,$L176))</f>
        <v/>
      </c>
      <c r="L176" s="47" t="str">
        <f aca="false">IFERROR(MATCH(ROW()-4,ポート振替表!$V$5:$V$3507,0),"")</f>
        <v/>
      </c>
    </row>
    <row r="177" customFormat="false" ht="16.4" hidden="false" customHeight="false" outlineLevel="0" collapsed="false">
      <c r="A177" s="32" t="str">
        <f aca="false">IF(L177="","",ROW()-4)</f>
        <v/>
      </c>
      <c r="B177" s="58" t="str">
        <f aca="false">IF(L177="","",IF(INDEX(ポート振替表!$W$5:$W$3507,$L177)="","(なし)",INDEX(ポート振替表!$W$5:$W$3507,$L177)&amp;""))</f>
        <v/>
      </c>
      <c r="C177" s="52" t="str">
        <f aca="false">IF(L177="","",INDEX(ポート振替表!$B$5:$B$3507,$L177)&amp;" "&amp;INDEX(ポート振替表!$C$5:$C$3507,$L177)&amp;"  ⇔  "&amp;INDEX(ポート振替表!$H$5:$H$3507,$L177)&amp;" "&amp;INDEX(ポート振替表!$I$5:$I$3507,$L177))</f>
        <v/>
      </c>
      <c r="D177" s="57" t="s">
        <v>158</v>
      </c>
      <c r="E177" s="59" t="str">
        <f aca="false">IF(L177="","",IF(INDEX(ポート振替表!$O$5:$O$3507,$L177)="","(未設定)",INDEX(ポート振替表!$O$5:$O$3507,$L177)&amp;""))</f>
        <v/>
      </c>
      <c r="F177" s="52" t="str">
        <f aca="false">IF(L177="","",INDEX(ポート振替表!$K$5:$K$3507,$L177)&amp;" "&amp;INDEX(ポート振替表!$L$5:$L$3507,$L177)&amp;"  ⇔  "&amp;INDEX(ポート振替表!$H$5:$H$3507,$L177)&amp;" "&amp;INDEX(ポート振替表!$I$5:$I$3507,$L177))</f>
        <v/>
      </c>
      <c r="G177" s="57" t="s">
        <v>158</v>
      </c>
      <c r="H177" s="32" t="str">
        <f aca="false">IF(L177="","",INDEX(ポート振替表!$N$5:$N$3507,$L177)&amp;"")</f>
        <v/>
      </c>
      <c r="I177" s="32" t="str">
        <f aca="false">IF(L177="","",INDEX(ポート振替表!$P$5:$P$3507,$L177)&amp;"")</f>
        <v/>
      </c>
      <c r="J177" s="60" t="str">
        <f aca="false">IF(L177="","",INDEX(ポート振替表!$M$5:$M$3507,$L177)&amp;"")</f>
        <v/>
      </c>
      <c r="K177" s="52" t="str">
        <f aca="false">IF(L177="","",E177&amp;CHAR(10)&amp;INDEX(ポート振替表!$K$5:$K$3507,$L177)&amp;" "&amp;INDEX(ポート振替表!$L$5:$L$3507,$L177)&amp;CHAR(10)&amp;"⇔ "&amp;INDEX(ポート振替表!$H$5:$H$3507,$L177)&amp;" "&amp;INDEX(ポート振替表!$I$5:$I$3507,$L177))</f>
        <v/>
      </c>
      <c r="L177" s="47" t="str">
        <f aca="false">IFERROR(MATCH(ROW()-4,ポート振替表!$V$5:$V$3507,0),"")</f>
        <v/>
      </c>
    </row>
    <row r="178" customFormat="false" ht="16.4" hidden="false" customHeight="false" outlineLevel="0" collapsed="false">
      <c r="A178" s="32" t="str">
        <f aca="false">IF(L178="","",ROW()-4)</f>
        <v/>
      </c>
      <c r="B178" s="58" t="str">
        <f aca="false">IF(L178="","",IF(INDEX(ポート振替表!$W$5:$W$3507,$L178)="","(なし)",INDEX(ポート振替表!$W$5:$W$3507,$L178)&amp;""))</f>
        <v/>
      </c>
      <c r="C178" s="52" t="str">
        <f aca="false">IF(L178="","",INDEX(ポート振替表!$B$5:$B$3507,$L178)&amp;" "&amp;INDEX(ポート振替表!$C$5:$C$3507,$L178)&amp;"  ⇔  "&amp;INDEX(ポート振替表!$H$5:$H$3507,$L178)&amp;" "&amp;INDEX(ポート振替表!$I$5:$I$3507,$L178))</f>
        <v/>
      </c>
      <c r="D178" s="57" t="s">
        <v>158</v>
      </c>
      <c r="E178" s="59" t="str">
        <f aca="false">IF(L178="","",IF(INDEX(ポート振替表!$O$5:$O$3507,$L178)="","(未設定)",INDEX(ポート振替表!$O$5:$O$3507,$L178)&amp;""))</f>
        <v/>
      </c>
      <c r="F178" s="52" t="str">
        <f aca="false">IF(L178="","",INDEX(ポート振替表!$K$5:$K$3507,$L178)&amp;" "&amp;INDEX(ポート振替表!$L$5:$L$3507,$L178)&amp;"  ⇔  "&amp;INDEX(ポート振替表!$H$5:$H$3507,$L178)&amp;" "&amp;INDEX(ポート振替表!$I$5:$I$3507,$L178))</f>
        <v/>
      </c>
      <c r="G178" s="57" t="s">
        <v>158</v>
      </c>
      <c r="H178" s="32" t="str">
        <f aca="false">IF(L178="","",INDEX(ポート振替表!$N$5:$N$3507,$L178)&amp;"")</f>
        <v/>
      </c>
      <c r="I178" s="32" t="str">
        <f aca="false">IF(L178="","",INDEX(ポート振替表!$P$5:$P$3507,$L178)&amp;"")</f>
        <v/>
      </c>
      <c r="J178" s="60" t="str">
        <f aca="false">IF(L178="","",INDEX(ポート振替表!$M$5:$M$3507,$L178)&amp;"")</f>
        <v/>
      </c>
      <c r="K178" s="52" t="str">
        <f aca="false">IF(L178="","",E178&amp;CHAR(10)&amp;INDEX(ポート振替表!$K$5:$K$3507,$L178)&amp;" "&amp;INDEX(ポート振替表!$L$5:$L$3507,$L178)&amp;CHAR(10)&amp;"⇔ "&amp;INDEX(ポート振替表!$H$5:$H$3507,$L178)&amp;" "&amp;INDEX(ポート振替表!$I$5:$I$3507,$L178))</f>
        <v/>
      </c>
      <c r="L178" s="47" t="str">
        <f aca="false">IFERROR(MATCH(ROW()-4,ポート振替表!$V$5:$V$3507,0),"")</f>
        <v/>
      </c>
    </row>
    <row r="179" customFormat="false" ht="16.4" hidden="false" customHeight="false" outlineLevel="0" collapsed="false">
      <c r="A179" s="32" t="str">
        <f aca="false">IF(L179="","",ROW()-4)</f>
        <v/>
      </c>
      <c r="B179" s="58" t="str">
        <f aca="false">IF(L179="","",IF(INDEX(ポート振替表!$W$5:$W$3507,$L179)="","(なし)",INDEX(ポート振替表!$W$5:$W$3507,$L179)&amp;""))</f>
        <v/>
      </c>
      <c r="C179" s="52" t="str">
        <f aca="false">IF(L179="","",INDEX(ポート振替表!$B$5:$B$3507,$L179)&amp;" "&amp;INDEX(ポート振替表!$C$5:$C$3507,$L179)&amp;"  ⇔  "&amp;INDEX(ポート振替表!$H$5:$H$3507,$L179)&amp;" "&amp;INDEX(ポート振替表!$I$5:$I$3507,$L179))</f>
        <v/>
      </c>
      <c r="D179" s="57" t="s">
        <v>158</v>
      </c>
      <c r="E179" s="59" t="str">
        <f aca="false">IF(L179="","",IF(INDEX(ポート振替表!$O$5:$O$3507,$L179)="","(未設定)",INDEX(ポート振替表!$O$5:$O$3507,$L179)&amp;""))</f>
        <v/>
      </c>
      <c r="F179" s="52" t="str">
        <f aca="false">IF(L179="","",INDEX(ポート振替表!$K$5:$K$3507,$L179)&amp;" "&amp;INDEX(ポート振替表!$L$5:$L$3507,$L179)&amp;"  ⇔  "&amp;INDEX(ポート振替表!$H$5:$H$3507,$L179)&amp;" "&amp;INDEX(ポート振替表!$I$5:$I$3507,$L179))</f>
        <v/>
      </c>
      <c r="G179" s="57" t="s">
        <v>158</v>
      </c>
      <c r="H179" s="32" t="str">
        <f aca="false">IF(L179="","",INDEX(ポート振替表!$N$5:$N$3507,$L179)&amp;"")</f>
        <v/>
      </c>
      <c r="I179" s="32" t="str">
        <f aca="false">IF(L179="","",INDEX(ポート振替表!$P$5:$P$3507,$L179)&amp;"")</f>
        <v/>
      </c>
      <c r="J179" s="60" t="str">
        <f aca="false">IF(L179="","",INDEX(ポート振替表!$M$5:$M$3507,$L179)&amp;"")</f>
        <v/>
      </c>
      <c r="K179" s="52" t="str">
        <f aca="false">IF(L179="","",E179&amp;CHAR(10)&amp;INDEX(ポート振替表!$K$5:$K$3507,$L179)&amp;" "&amp;INDEX(ポート振替表!$L$5:$L$3507,$L179)&amp;CHAR(10)&amp;"⇔ "&amp;INDEX(ポート振替表!$H$5:$H$3507,$L179)&amp;" "&amp;INDEX(ポート振替表!$I$5:$I$3507,$L179))</f>
        <v/>
      </c>
      <c r="L179" s="47" t="str">
        <f aca="false">IFERROR(MATCH(ROW()-4,ポート振替表!$V$5:$V$3507,0),"")</f>
        <v/>
      </c>
    </row>
    <row r="180" customFormat="false" ht="16.4" hidden="false" customHeight="false" outlineLevel="0" collapsed="false">
      <c r="A180" s="32" t="str">
        <f aca="false">IF(L180="","",ROW()-4)</f>
        <v/>
      </c>
      <c r="B180" s="58" t="str">
        <f aca="false">IF(L180="","",IF(INDEX(ポート振替表!$W$5:$W$3507,$L180)="","(なし)",INDEX(ポート振替表!$W$5:$W$3507,$L180)&amp;""))</f>
        <v/>
      </c>
      <c r="C180" s="52" t="str">
        <f aca="false">IF(L180="","",INDEX(ポート振替表!$B$5:$B$3507,$L180)&amp;" "&amp;INDEX(ポート振替表!$C$5:$C$3507,$L180)&amp;"  ⇔  "&amp;INDEX(ポート振替表!$H$5:$H$3507,$L180)&amp;" "&amp;INDEX(ポート振替表!$I$5:$I$3507,$L180))</f>
        <v/>
      </c>
      <c r="D180" s="57" t="s">
        <v>158</v>
      </c>
      <c r="E180" s="59" t="str">
        <f aca="false">IF(L180="","",IF(INDEX(ポート振替表!$O$5:$O$3507,$L180)="","(未設定)",INDEX(ポート振替表!$O$5:$O$3507,$L180)&amp;""))</f>
        <v/>
      </c>
      <c r="F180" s="52" t="str">
        <f aca="false">IF(L180="","",INDEX(ポート振替表!$K$5:$K$3507,$L180)&amp;" "&amp;INDEX(ポート振替表!$L$5:$L$3507,$L180)&amp;"  ⇔  "&amp;INDEX(ポート振替表!$H$5:$H$3507,$L180)&amp;" "&amp;INDEX(ポート振替表!$I$5:$I$3507,$L180))</f>
        <v/>
      </c>
      <c r="G180" s="57" t="s">
        <v>158</v>
      </c>
      <c r="H180" s="32" t="str">
        <f aca="false">IF(L180="","",INDEX(ポート振替表!$N$5:$N$3507,$L180)&amp;"")</f>
        <v/>
      </c>
      <c r="I180" s="32" t="str">
        <f aca="false">IF(L180="","",INDEX(ポート振替表!$P$5:$P$3507,$L180)&amp;"")</f>
        <v/>
      </c>
      <c r="J180" s="60" t="str">
        <f aca="false">IF(L180="","",INDEX(ポート振替表!$M$5:$M$3507,$L180)&amp;"")</f>
        <v/>
      </c>
      <c r="K180" s="52" t="str">
        <f aca="false">IF(L180="","",E180&amp;CHAR(10)&amp;INDEX(ポート振替表!$K$5:$K$3507,$L180)&amp;" "&amp;INDEX(ポート振替表!$L$5:$L$3507,$L180)&amp;CHAR(10)&amp;"⇔ "&amp;INDEX(ポート振替表!$H$5:$H$3507,$L180)&amp;" "&amp;INDEX(ポート振替表!$I$5:$I$3507,$L180))</f>
        <v/>
      </c>
      <c r="L180" s="47" t="str">
        <f aca="false">IFERROR(MATCH(ROW()-4,ポート振替表!$V$5:$V$3507,0),"")</f>
        <v/>
      </c>
    </row>
    <row r="181" customFormat="false" ht="16.4" hidden="false" customHeight="false" outlineLevel="0" collapsed="false">
      <c r="A181" s="32" t="str">
        <f aca="false">IF(L181="","",ROW()-4)</f>
        <v/>
      </c>
      <c r="B181" s="58" t="str">
        <f aca="false">IF(L181="","",IF(INDEX(ポート振替表!$W$5:$W$3507,$L181)="","(なし)",INDEX(ポート振替表!$W$5:$W$3507,$L181)&amp;""))</f>
        <v/>
      </c>
      <c r="C181" s="52" t="str">
        <f aca="false">IF(L181="","",INDEX(ポート振替表!$B$5:$B$3507,$L181)&amp;" "&amp;INDEX(ポート振替表!$C$5:$C$3507,$L181)&amp;"  ⇔  "&amp;INDEX(ポート振替表!$H$5:$H$3507,$L181)&amp;" "&amp;INDEX(ポート振替表!$I$5:$I$3507,$L181))</f>
        <v/>
      </c>
      <c r="D181" s="57" t="s">
        <v>158</v>
      </c>
      <c r="E181" s="59" t="str">
        <f aca="false">IF(L181="","",IF(INDEX(ポート振替表!$O$5:$O$3507,$L181)="","(未設定)",INDEX(ポート振替表!$O$5:$O$3507,$L181)&amp;""))</f>
        <v/>
      </c>
      <c r="F181" s="52" t="str">
        <f aca="false">IF(L181="","",INDEX(ポート振替表!$K$5:$K$3507,$L181)&amp;" "&amp;INDEX(ポート振替表!$L$5:$L$3507,$L181)&amp;"  ⇔  "&amp;INDEX(ポート振替表!$H$5:$H$3507,$L181)&amp;" "&amp;INDEX(ポート振替表!$I$5:$I$3507,$L181))</f>
        <v/>
      </c>
      <c r="G181" s="57" t="s">
        <v>158</v>
      </c>
      <c r="H181" s="32" t="str">
        <f aca="false">IF(L181="","",INDEX(ポート振替表!$N$5:$N$3507,$L181)&amp;"")</f>
        <v/>
      </c>
      <c r="I181" s="32" t="str">
        <f aca="false">IF(L181="","",INDEX(ポート振替表!$P$5:$P$3507,$L181)&amp;"")</f>
        <v/>
      </c>
      <c r="J181" s="60" t="str">
        <f aca="false">IF(L181="","",INDEX(ポート振替表!$M$5:$M$3507,$L181)&amp;"")</f>
        <v/>
      </c>
      <c r="K181" s="52" t="str">
        <f aca="false">IF(L181="","",E181&amp;CHAR(10)&amp;INDEX(ポート振替表!$K$5:$K$3507,$L181)&amp;" "&amp;INDEX(ポート振替表!$L$5:$L$3507,$L181)&amp;CHAR(10)&amp;"⇔ "&amp;INDEX(ポート振替表!$H$5:$H$3507,$L181)&amp;" "&amp;INDEX(ポート振替表!$I$5:$I$3507,$L181))</f>
        <v/>
      </c>
      <c r="L181" s="47" t="str">
        <f aca="false">IFERROR(MATCH(ROW()-4,ポート振替表!$V$5:$V$3507,0),"")</f>
        <v/>
      </c>
    </row>
    <row r="182" customFormat="false" ht="16.4" hidden="false" customHeight="false" outlineLevel="0" collapsed="false">
      <c r="A182" s="32" t="str">
        <f aca="false">IF(L182="","",ROW()-4)</f>
        <v/>
      </c>
      <c r="B182" s="58" t="str">
        <f aca="false">IF(L182="","",IF(INDEX(ポート振替表!$W$5:$W$3507,$L182)="","(なし)",INDEX(ポート振替表!$W$5:$W$3507,$L182)&amp;""))</f>
        <v/>
      </c>
      <c r="C182" s="52" t="str">
        <f aca="false">IF(L182="","",INDEX(ポート振替表!$B$5:$B$3507,$L182)&amp;" "&amp;INDEX(ポート振替表!$C$5:$C$3507,$L182)&amp;"  ⇔  "&amp;INDEX(ポート振替表!$H$5:$H$3507,$L182)&amp;" "&amp;INDEX(ポート振替表!$I$5:$I$3507,$L182))</f>
        <v/>
      </c>
      <c r="D182" s="57" t="s">
        <v>158</v>
      </c>
      <c r="E182" s="59" t="str">
        <f aca="false">IF(L182="","",IF(INDEX(ポート振替表!$O$5:$O$3507,$L182)="","(未設定)",INDEX(ポート振替表!$O$5:$O$3507,$L182)&amp;""))</f>
        <v/>
      </c>
      <c r="F182" s="52" t="str">
        <f aca="false">IF(L182="","",INDEX(ポート振替表!$K$5:$K$3507,$L182)&amp;" "&amp;INDEX(ポート振替表!$L$5:$L$3507,$L182)&amp;"  ⇔  "&amp;INDEX(ポート振替表!$H$5:$H$3507,$L182)&amp;" "&amp;INDEX(ポート振替表!$I$5:$I$3507,$L182))</f>
        <v/>
      </c>
      <c r="G182" s="57" t="s">
        <v>158</v>
      </c>
      <c r="H182" s="32" t="str">
        <f aca="false">IF(L182="","",INDEX(ポート振替表!$N$5:$N$3507,$L182)&amp;"")</f>
        <v/>
      </c>
      <c r="I182" s="32" t="str">
        <f aca="false">IF(L182="","",INDEX(ポート振替表!$P$5:$P$3507,$L182)&amp;"")</f>
        <v/>
      </c>
      <c r="J182" s="60" t="str">
        <f aca="false">IF(L182="","",INDEX(ポート振替表!$M$5:$M$3507,$L182)&amp;"")</f>
        <v/>
      </c>
      <c r="K182" s="52" t="str">
        <f aca="false">IF(L182="","",E182&amp;CHAR(10)&amp;INDEX(ポート振替表!$K$5:$K$3507,$L182)&amp;" "&amp;INDEX(ポート振替表!$L$5:$L$3507,$L182)&amp;CHAR(10)&amp;"⇔ "&amp;INDEX(ポート振替表!$H$5:$H$3507,$L182)&amp;" "&amp;INDEX(ポート振替表!$I$5:$I$3507,$L182))</f>
        <v/>
      </c>
      <c r="L182" s="47" t="str">
        <f aca="false">IFERROR(MATCH(ROW()-4,ポート振替表!$V$5:$V$3507,0),"")</f>
        <v/>
      </c>
    </row>
    <row r="183" customFormat="false" ht="16.4" hidden="false" customHeight="false" outlineLevel="0" collapsed="false">
      <c r="A183" s="32" t="str">
        <f aca="false">IF(L183="","",ROW()-4)</f>
        <v/>
      </c>
      <c r="B183" s="58" t="str">
        <f aca="false">IF(L183="","",IF(INDEX(ポート振替表!$W$5:$W$3507,$L183)="","(なし)",INDEX(ポート振替表!$W$5:$W$3507,$L183)&amp;""))</f>
        <v/>
      </c>
      <c r="C183" s="52" t="str">
        <f aca="false">IF(L183="","",INDEX(ポート振替表!$B$5:$B$3507,$L183)&amp;" "&amp;INDEX(ポート振替表!$C$5:$C$3507,$L183)&amp;"  ⇔  "&amp;INDEX(ポート振替表!$H$5:$H$3507,$L183)&amp;" "&amp;INDEX(ポート振替表!$I$5:$I$3507,$L183))</f>
        <v/>
      </c>
      <c r="D183" s="57" t="s">
        <v>158</v>
      </c>
      <c r="E183" s="59" t="str">
        <f aca="false">IF(L183="","",IF(INDEX(ポート振替表!$O$5:$O$3507,$L183)="","(未設定)",INDEX(ポート振替表!$O$5:$O$3507,$L183)&amp;""))</f>
        <v/>
      </c>
      <c r="F183" s="52" t="str">
        <f aca="false">IF(L183="","",INDEX(ポート振替表!$K$5:$K$3507,$L183)&amp;" "&amp;INDEX(ポート振替表!$L$5:$L$3507,$L183)&amp;"  ⇔  "&amp;INDEX(ポート振替表!$H$5:$H$3507,$L183)&amp;" "&amp;INDEX(ポート振替表!$I$5:$I$3507,$L183))</f>
        <v/>
      </c>
      <c r="G183" s="57" t="s">
        <v>158</v>
      </c>
      <c r="H183" s="32" t="str">
        <f aca="false">IF(L183="","",INDEX(ポート振替表!$N$5:$N$3507,$L183)&amp;"")</f>
        <v/>
      </c>
      <c r="I183" s="32" t="str">
        <f aca="false">IF(L183="","",INDEX(ポート振替表!$P$5:$P$3507,$L183)&amp;"")</f>
        <v/>
      </c>
      <c r="J183" s="60" t="str">
        <f aca="false">IF(L183="","",INDEX(ポート振替表!$M$5:$M$3507,$L183)&amp;"")</f>
        <v/>
      </c>
      <c r="K183" s="52" t="str">
        <f aca="false">IF(L183="","",E183&amp;CHAR(10)&amp;INDEX(ポート振替表!$K$5:$K$3507,$L183)&amp;" "&amp;INDEX(ポート振替表!$L$5:$L$3507,$L183)&amp;CHAR(10)&amp;"⇔ "&amp;INDEX(ポート振替表!$H$5:$H$3507,$L183)&amp;" "&amp;INDEX(ポート振替表!$I$5:$I$3507,$L183))</f>
        <v/>
      </c>
      <c r="L183" s="47" t="str">
        <f aca="false">IFERROR(MATCH(ROW()-4,ポート振替表!$V$5:$V$3507,0),"")</f>
        <v/>
      </c>
    </row>
    <row r="184" customFormat="false" ht="16.4" hidden="false" customHeight="false" outlineLevel="0" collapsed="false">
      <c r="A184" s="32" t="str">
        <f aca="false">IF(L184="","",ROW()-4)</f>
        <v/>
      </c>
      <c r="B184" s="58" t="str">
        <f aca="false">IF(L184="","",IF(INDEX(ポート振替表!$W$5:$W$3507,$L184)="","(なし)",INDEX(ポート振替表!$W$5:$W$3507,$L184)&amp;""))</f>
        <v/>
      </c>
      <c r="C184" s="52" t="str">
        <f aca="false">IF(L184="","",INDEX(ポート振替表!$B$5:$B$3507,$L184)&amp;" "&amp;INDEX(ポート振替表!$C$5:$C$3507,$L184)&amp;"  ⇔  "&amp;INDEX(ポート振替表!$H$5:$H$3507,$L184)&amp;" "&amp;INDEX(ポート振替表!$I$5:$I$3507,$L184))</f>
        <v/>
      </c>
      <c r="D184" s="57" t="s">
        <v>158</v>
      </c>
      <c r="E184" s="59" t="str">
        <f aca="false">IF(L184="","",IF(INDEX(ポート振替表!$O$5:$O$3507,$L184)="","(未設定)",INDEX(ポート振替表!$O$5:$O$3507,$L184)&amp;""))</f>
        <v/>
      </c>
      <c r="F184" s="52" t="str">
        <f aca="false">IF(L184="","",INDEX(ポート振替表!$K$5:$K$3507,$L184)&amp;" "&amp;INDEX(ポート振替表!$L$5:$L$3507,$L184)&amp;"  ⇔  "&amp;INDEX(ポート振替表!$H$5:$H$3507,$L184)&amp;" "&amp;INDEX(ポート振替表!$I$5:$I$3507,$L184))</f>
        <v/>
      </c>
      <c r="G184" s="57" t="s">
        <v>158</v>
      </c>
      <c r="H184" s="32" t="str">
        <f aca="false">IF(L184="","",INDEX(ポート振替表!$N$5:$N$3507,$L184)&amp;"")</f>
        <v/>
      </c>
      <c r="I184" s="32" t="str">
        <f aca="false">IF(L184="","",INDEX(ポート振替表!$P$5:$P$3507,$L184)&amp;"")</f>
        <v/>
      </c>
      <c r="J184" s="60" t="str">
        <f aca="false">IF(L184="","",INDEX(ポート振替表!$M$5:$M$3507,$L184)&amp;"")</f>
        <v/>
      </c>
      <c r="K184" s="52" t="str">
        <f aca="false">IF(L184="","",E184&amp;CHAR(10)&amp;INDEX(ポート振替表!$K$5:$K$3507,$L184)&amp;" "&amp;INDEX(ポート振替表!$L$5:$L$3507,$L184)&amp;CHAR(10)&amp;"⇔ "&amp;INDEX(ポート振替表!$H$5:$H$3507,$L184)&amp;" "&amp;INDEX(ポート振替表!$I$5:$I$3507,$L184))</f>
        <v/>
      </c>
      <c r="L184" s="47" t="str">
        <f aca="false">IFERROR(MATCH(ROW()-4,ポート振替表!$V$5:$V$3507,0),"")</f>
        <v/>
      </c>
    </row>
    <row r="185" customFormat="false" ht="16.4" hidden="false" customHeight="false" outlineLevel="0" collapsed="false">
      <c r="A185" s="32" t="str">
        <f aca="false">IF(L185="","",ROW()-4)</f>
        <v/>
      </c>
      <c r="B185" s="58" t="str">
        <f aca="false">IF(L185="","",IF(INDEX(ポート振替表!$W$5:$W$3507,$L185)="","(なし)",INDEX(ポート振替表!$W$5:$W$3507,$L185)&amp;""))</f>
        <v/>
      </c>
      <c r="C185" s="52" t="str">
        <f aca="false">IF(L185="","",INDEX(ポート振替表!$B$5:$B$3507,$L185)&amp;" "&amp;INDEX(ポート振替表!$C$5:$C$3507,$L185)&amp;"  ⇔  "&amp;INDEX(ポート振替表!$H$5:$H$3507,$L185)&amp;" "&amp;INDEX(ポート振替表!$I$5:$I$3507,$L185))</f>
        <v/>
      </c>
      <c r="D185" s="57" t="s">
        <v>158</v>
      </c>
      <c r="E185" s="59" t="str">
        <f aca="false">IF(L185="","",IF(INDEX(ポート振替表!$O$5:$O$3507,$L185)="","(未設定)",INDEX(ポート振替表!$O$5:$O$3507,$L185)&amp;""))</f>
        <v/>
      </c>
      <c r="F185" s="52" t="str">
        <f aca="false">IF(L185="","",INDEX(ポート振替表!$K$5:$K$3507,$L185)&amp;" "&amp;INDEX(ポート振替表!$L$5:$L$3507,$L185)&amp;"  ⇔  "&amp;INDEX(ポート振替表!$H$5:$H$3507,$L185)&amp;" "&amp;INDEX(ポート振替表!$I$5:$I$3507,$L185))</f>
        <v/>
      </c>
      <c r="G185" s="57" t="s">
        <v>158</v>
      </c>
      <c r="H185" s="32" t="str">
        <f aca="false">IF(L185="","",INDEX(ポート振替表!$N$5:$N$3507,$L185)&amp;"")</f>
        <v/>
      </c>
      <c r="I185" s="32" t="str">
        <f aca="false">IF(L185="","",INDEX(ポート振替表!$P$5:$P$3507,$L185)&amp;"")</f>
        <v/>
      </c>
      <c r="J185" s="60" t="str">
        <f aca="false">IF(L185="","",INDEX(ポート振替表!$M$5:$M$3507,$L185)&amp;"")</f>
        <v/>
      </c>
      <c r="K185" s="52" t="str">
        <f aca="false">IF(L185="","",E185&amp;CHAR(10)&amp;INDEX(ポート振替表!$K$5:$K$3507,$L185)&amp;" "&amp;INDEX(ポート振替表!$L$5:$L$3507,$L185)&amp;CHAR(10)&amp;"⇔ "&amp;INDEX(ポート振替表!$H$5:$H$3507,$L185)&amp;" "&amp;INDEX(ポート振替表!$I$5:$I$3507,$L185))</f>
        <v/>
      </c>
      <c r="L185" s="47" t="str">
        <f aca="false">IFERROR(MATCH(ROW()-4,ポート振替表!$V$5:$V$3507,0),"")</f>
        <v/>
      </c>
    </row>
    <row r="186" customFormat="false" ht="16.4" hidden="false" customHeight="false" outlineLevel="0" collapsed="false">
      <c r="A186" s="32" t="str">
        <f aca="false">IF(L186="","",ROW()-4)</f>
        <v/>
      </c>
      <c r="B186" s="58" t="str">
        <f aca="false">IF(L186="","",IF(INDEX(ポート振替表!$W$5:$W$3507,$L186)="","(なし)",INDEX(ポート振替表!$W$5:$W$3507,$L186)&amp;""))</f>
        <v/>
      </c>
      <c r="C186" s="52" t="str">
        <f aca="false">IF(L186="","",INDEX(ポート振替表!$B$5:$B$3507,$L186)&amp;" "&amp;INDEX(ポート振替表!$C$5:$C$3507,$L186)&amp;"  ⇔  "&amp;INDEX(ポート振替表!$H$5:$H$3507,$L186)&amp;" "&amp;INDEX(ポート振替表!$I$5:$I$3507,$L186))</f>
        <v/>
      </c>
      <c r="D186" s="57" t="s">
        <v>158</v>
      </c>
      <c r="E186" s="59" t="str">
        <f aca="false">IF(L186="","",IF(INDEX(ポート振替表!$O$5:$O$3507,$L186)="","(未設定)",INDEX(ポート振替表!$O$5:$O$3507,$L186)&amp;""))</f>
        <v/>
      </c>
      <c r="F186" s="52" t="str">
        <f aca="false">IF(L186="","",INDEX(ポート振替表!$K$5:$K$3507,$L186)&amp;" "&amp;INDEX(ポート振替表!$L$5:$L$3507,$L186)&amp;"  ⇔  "&amp;INDEX(ポート振替表!$H$5:$H$3507,$L186)&amp;" "&amp;INDEX(ポート振替表!$I$5:$I$3507,$L186))</f>
        <v/>
      </c>
      <c r="G186" s="57" t="s">
        <v>158</v>
      </c>
      <c r="H186" s="32" t="str">
        <f aca="false">IF(L186="","",INDEX(ポート振替表!$N$5:$N$3507,$L186)&amp;"")</f>
        <v/>
      </c>
      <c r="I186" s="32" t="str">
        <f aca="false">IF(L186="","",INDEX(ポート振替表!$P$5:$P$3507,$L186)&amp;"")</f>
        <v/>
      </c>
      <c r="J186" s="60" t="str">
        <f aca="false">IF(L186="","",INDEX(ポート振替表!$M$5:$M$3507,$L186)&amp;"")</f>
        <v/>
      </c>
      <c r="K186" s="52" t="str">
        <f aca="false">IF(L186="","",E186&amp;CHAR(10)&amp;INDEX(ポート振替表!$K$5:$K$3507,$L186)&amp;" "&amp;INDEX(ポート振替表!$L$5:$L$3507,$L186)&amp;CHAR(10)&amp;"⇔ "&amp;INDEX(ポート振替表!$H$5:$H$3507,$L186)&amp;" "&amp;INDEX(ポート振替表!$I$5:$I$3507,$L186))</f>
        <v/>
      </c>
      <c r="L186" s="47" t="str">
        <f aca="false">IFERROR(MATCH(ROW()-4,ポート振替表!$V$5:$V$3507,0),"")</f>
        <v/>
      </c>
    </row>
    <row r="187" customFormat="false" ht="16.4" hidden="false" customHeight="false" outlineLevel="0" collapsed="false">
      <c r="A187" s="32" t="str">
        <f aca="false">IF(L187="","",ROW()-4)</f>
        <v/>
      </c>
      <c r="B187" s="58" t="str">
        <f aca="false">IF(L187="","",IF(INDEX(ポート振替表!$W$5:$W$3507,$L187)="","(なし)",INDEX(ポート振替表!$W$5:$W$3507,$L187)&amp;""))</f>
        <v/>
      </c>
      <c r="C187" s="52" t="str">
        <f aca="false">IF(L187="","",INDEX(ポート振替表!$B$5:$B$3507,$L187)&amp;" "&amp;INDEX(ポート振替表!$C$5:$C$3507,$L187)&amp;"  ⇔  "&amp;INDEX(ポート振替表!$H$5:$H$3507,$L187)&amp;" "&amp;INDEX(ポート振替表!$I$5:$I$3507,$L187))</f>
        <v/>
      </c>
      <c r="D187" s="57" t="s">
        <v>158</v>
      </c>
      <c r="E187" s="59" t="str">
        <f aca="false">IF(L187="","",IF(INDEX(ポート振替表!$O$5:$O$3507,$L187)="","(未設定)",INDEX(ポート振替表!$O$5:$O$3507,$L187)&amp;""))</f>
        <v/>
      </c>
      <c r="F187" s="52" t="str">
        <f aca="false">IF(L187="","",INDEX(ポート振替表!$K$5:$K$3507,$L187)&amp;" "&amp;INDEX(ポート振替表!$L$5:$L$3507,$L187)&amp;"  ⇔  "&amp;INDEX(ポート振替表!$H$5:$H$3507,$L187)&amp;" "&amp;INDEX(ポート振替表!$I$5:$I$3507,$L187))</f>
        <v/>
      </c>
      <c r="G187" s="57" t="s">
        <v>158</v>
      </c>
      <c r="H187" s="32" t="str">
        <f aca="false">IF(L187="","",INDEX(ポート振替表!$N$5:$N$3507,$L187)&amp;"")</f>
        <v/>
      </c>
      <c r="I187" s="32" t="str">
        <f aca="false">IF(L187="","",INDEX(ポート振替表!$P$5:$P$3507,$L187)&amp;"")</f>
        <v/>
      </c>
      <c r="J187" s="60" t="str">
        <f aca="false">IF(L187="","",INDEX(ポート振替表!$M$5:$M$3507,$L187)&amp;"")</f>
        <v/>
      </c>
      <c r="K187" s="52" t="str">
        <f aca="false">IF(L187="","",E187&amp;CHAR(10)&amp;INDEX(ポート振替表!$K$5:$K$3507,$L187)&amp;" "&amp;INDEX(ポート振替表!$L$5:$L$3507,$L187)&amp;CHAR(10)&amp;"⇔ "&amp;INDEX(ポート振替表!$H$5:$H$3507,$L187)&amp;" "&amp;INDEX(ポート振替表!$I$5:$I$3507,$L187))</f>
        <v/>
      </c>
      <c r="L187" s="47" t="str">
        <f aca="false">IFERROR(MATCH(ROW()-4,ポート振替表!$V$5:$V$3507,0),"")</f>
        <v/>
      </c>
    </row>
    <row r="188" customFormat="false" ht="16.4" hidden="false" customHeight="false" outlineLevel="0" collapsed="false">
      <c r="A188" s="32" t="str">
        <f aca="false">IF(L188="","",ROW()-4)</f>
        <v/>
      </c>
      <c r="B188" s="58" t="str">
        <f aca="false">IF(L188="","",IF(INDEX(ポート振替表!$W$5:$W$3507,$L188)="","(なし)",INDEX(ポート振替表!$W$5:$W$3507,$L188)&amp;""))</f>
        <v/>
      </c>
      <c r="C188" s="52" t="str">
        <f aca="false">IF(L188="","",INDEX(ポート振替表!$B$5:$B$3507,$L188)&amp;" "&amp;INDEX(ポート振替表!$C$5:$C$3507,$L188)&amp;"  ⇔  "&amp;INDEX(ポート振替表!$H$5:$H$3507,$L188)&amp;" "&amp;INDEX(ポート振替表!$I$5:$I$3507,$L188))</f>
        <v/>
      </c>
      <c r="D188" s="57" t="s">
        <v>158</v>
      </c>
      <c r="E188" s="59" t="str">
        <f aca="false">IF(L188="","",IF(INDEX(ポート振替表!$O$5:$O$3507,$L188)="","(未設定)",INDEX(ポート振替表!$O$5:$O$3507,$L188)&amp;""))</f>
        <v/>
      </c>
      <c r="F188" s="52" t="str">
        <f aca="false">IF(L188="","",INDEX(ポート振替表!$K$5:$K$3507,$L188)&amp;" "&amp;INDEX(ポート振替表!$L$5:$L$3507,$L188)&amp;"  ⇔  "&amp;INDEX(ポート振替表!$H$5:$H$3507,$L188)&amp;" "&amp;INDEX(ポート振替表!$I$5:$I$3507,$L188))</f>
        <v/>
      </c>
      <c r="G188" s="57" t="s">
        <v>158</v>
      </c>
      <c r="H188" s="32" t="str">
        <f aca="false">IF(L188="","",INDEX(ポート振替表!$N$5:$N$3507,$L188)&amp;"")</f>
        <v/>
      </c>
      <c r="I188" s="32" t="str">
        <f aca="false">IF(L188="","",INDEX(ポート振替表!$P$5:$P$3507,$L188)&amp;"")</f>
        <v/>
      </c>
      <c r="J188" s="60" t="str">
        <f aca="false">IF(L188="","",INDEX(ポート振替表!$M$5:$M$3507,$L188)&amp;"")</f>
        <v/>
      </c>
      <c r="K188" s="52" t="str">
        <f aca="false">IF(L188="","",E188&amp;CHAR(10)&amp;INDEX(ポート振替表!$K$5:$K$3507,$L188)&amp;" "&amp;INDEX(ポート振替表!$L$5:$L$3507,$L188)&amp;CHAR(10)&amp;"⇔ "&amp;INDEX(ポート振替表!$H$5:$H$3507,$L188)&amp;" "&amp;INDEX(ポート振替表!$I$5:$I$3507,$L188))</f>
        <v/>
      </c>
      <c r="L188" s="47" t="str">
        <f aca="false">IFERROR(MATCH(ROW()-4,ポート振替表!$V$5:$V$3507,0),"")</f>
        <v/>
      </c>
    </row>
    <row r="189" customFormat="false" ht="16.4" hidden="false" customHeight="false" outlineLevel="0" collapsed="false">
      <c r="A189" s="32" t="str">
        <f aca="false">IF(L189="","",ROW()-4)</f>
        <v/>
      </c>
      <c r="B189" s="58" t="str">
        <f aca="false">IF(L189="","",IF(INDEX(ポート振替表!$W$5:$W$3507,$L189)="","(なし)",INDEX(ポート振替表!$W$5:$W$3507,$L189)&amp;""))</f>
        <v/>
      </c>
      <c r="C189" s="52" t="str">
        <f aca="false">IF(L189="","",INDEX(ポート振替表!$B$5:$B$3507,$L189)&amp;" "&amp;INDEX(ポート振替表!$C$5:$C$3507,$L189)&amp;"  ⇔  "&amp;INDEX(ポート振替表!$H$5:$H$3507,$L189)&amp;" "&amp;INDEX(ポート振替表!$I$5:$I$3507,$L189))</f>
        <v/>
      </c>
      <c r="D189" s="57" t="s">
        <v>158</v>
      </c>
      <c r="E189" s="59" t="str">
        <f aca="false">IF(L189="","",IF(INDEX(ポート振替表!$O$5:$O$3507,$L189)="","(未設定)",INDEX(ポート振替表!$O$5:$O$3507,$L189)&amp;""))</f>
        <v/>
      </c>
      <c r="F189" s="52" t="str">
        <f aca="false">IF(L189="","",INDEX(ポート振替表!$K$5:$K$3507,$L189)&amp;" "&amp;INDEX(ポート振替表!$L$5:$L$3507,$L189)&amp;"  ⇔  "&amp;INDEX(ポート振替表!$H$5:$H$3507,$L189)&amp;" "&amp;INDEX(ポート振替表!$I$5:$I$3507,$L189))</f>
        <v/>
      </c>
      <c r="G189" s="57" t="s">
        <v>158</v>
      </c>
      <c r="H189" s="32" t="str">
        <f aca="false">IF(L189="","",INDEX(ポート振替表!$N$5:$N$3507,$L189)&amp;"")</f>
        <v/>
      </c>
      <c r="I189" s="32" t="str">
        <f aca="false">IF(L189="","",INDEX(ポート振替表!$P$5:$P$3507,$L189)&amp;"")</f>
        <v/>
      </c>
      <c r="J189" s="60" t="str">
        <f aca="false">IF(L189="","",INDEX(ポート振替表!$M$5:$M$3507,$L189)&amp;"")</f>
        <v/>
      </c>
      <c r="K189" s="52" t="str">
        <f aca="false">IF(L189="","",E189&amp;CHAR(10)&amp;INDEX(ポート振替表!$K$5:$K$3507,$L189)&amp;" "&amp;INDEX(ポート振替表!$L$5:$L$3507,$L189)&amp;CHAR(10)&amp;"⇔ "&amp;INDEX(ポート振替表!$H$5:$H$3507,$L189)&amp;" "&amp;INDEX(ポート振替表!$I$5:$I$3507,$L189))</f>
        <v/>
      </c>
      <c r="L189" s="47" t="str">
        <f aca="false">IFERROR(MATCH(ROW()-4,ポート振替表!$V$5:$V$3507,0),"")</f>
        <v/>
      </c>
    </row>
    <row r="190" customFormat="false" ht="16.4" hidden="false" customHeight="false" outlineLevel="0" collapsed="false">
      <c r="A190" s="32" t="str">
        <f aca="false">IF(L190="","",ROW()-4)</f>
        <v/>
      </c>
      <c r="B190" s="58" t="str">
        <f aca="false">IF(L190="","",IF(INDEX(ポート振替表!$W$5:$W$3507,$L190)="","(なし)",INDEX(ポート振替表!$W$5:$W$3507,$L190)&amp;""))</f>
        <v/>
      </c>
      <c r="C190" s="52" t="str">
        <f aca="false">IF(L190="","",INDEX(ポート振替表!$B$5:$B$3507,$L190)&amp;" "&amp;INDEX(ポート振替表!$C$5:$C$3507,$L190)&amp;"  ⇔  "&amp;INDEX(ポート振替表!$H$5:$H$3507,$L190)&amp;" "&amp;INDEX(ポート振替表!$I$5:$I$3507,$L190))</f>
        <v/>
      </c>
      <c r="D190" s="57" t="s">
        <v>158</v>
      </c>
      <c r="E190" s="59" t="str">
        <f aca="false">IF(L190="","",IF(INDEX(ポート振替表!$O$5:$O$3507,$L190)="","(未設定)",INDEX(ポート振替表!$O$5:$O$3507,$L190)&amp;""))</f>
        <v/>
      </c>
      <c r="F190" s="52" t="str">
        <f aca="false">IF(L190="","",INDEX(ポート振替表!$K$5:$K$3507,$L190)&amp;" "&amp;INDEX(ポート振替表!$L$5:$L$3507,$L190)&amp;"  ⇔  "&amp;INDEX(ポート振替表!$H$5:$H$3507,$L190)&amp;" "&amp;INDEX(ポート振替表!$I$5:$I$3507,$L190))</f>
        <v/>
      </c>
      <c r="G190" s="57" t="s">
        <v>158</v>
      </c>
      <c r="H190" s="32" t="str">
        <f aca="false">IF(L190="","",INDEX(ポート振替表!$N$5:$N$3507,$L190)&amp;"")</f>
        <v/>
      </c>
      <c r="I190" s="32" t="str">
        <f aca="false">IF(L190="","",INDEX(ポート振替表!$P$5:$P$3507,$L190)&amp;"")</f>
        <v/>
      </c>
      <c r="J190" s="60" t="str">
        <f aca="false">IF(L190="","",INDEX(ポート振替表!$M$5:$M$3507,$L190)&amp;"")</f>
        <v/>
      </c>
      <c r="K190" s="52" t="str">
        <f aca="false">IF(L190="","",E190&amp;CHAR(10)&amp;INDEX(ポート振替表!$K$5:$K$3507,$L190)&amp;" "&amp;INDEX(ポート振替表!$L$5:$L$3507,$L190)&amp;CHAR(10)&amp;"⇔ "&amp;INDEX(ポート振替表!$H$5:$H$3507,$L190)&amp;" "&amp;INDEX(ポート振替表!$I$5:$I$3507,$L190))</f>
        <v/>
      </c>
      <c r="L190" s="47" t="str">
        <f aca="false">IFERROR(MATCH(ROW()-4,ポート振替表!$V$5:$V$3507,0),"")</f>
        <v/>
      </c>
    </row>
    <row r="191" customFormat="false" ht="16.4" hidden="false" customHeight="false" outlineLevel="0" collapsed="false">
      <c r="A191" s="32" t="str">
        <f aca="false">IF(L191="","",ROW()-4)</f>
        <v/>
      </c>
      <c r="B191" s="58" t="str">
        <f aca="false">IF(L191="","",IF(INDEX(ポート振替表!$W$5:$W$3507,$L191)="","(なし)",INDEX(ポート振替表!$W$5:$W$3507,$L191)&amp;""))</f>
        <v/>
      </c>
      <c r="C191" s="52" t="str">
        <f aca="false">IF(L191="","",INDEX(ポート振替表!$B$5:$B$3507,$L191)&amp;" "&amp;INDEX(ポート振替表!$C$5:$C$3507,$L191)&amp;"  ⇔  "&amp;INDEX(ポート振替表!$H$5:$H$3507,$L191)&amp;" "&amp;INDEX(ポート振替表!$I$5:$I$3507,$L191))</f>
        <v/>
      </c>
      <c r="D191" s="57" t="s">
        <v>158</v>
      </c>
      <c r="E191" s="59" t="str">
        <f aca="false">IF(L191="","",IF(INDEX(ポート振替表!$O$5:$O$3507,$L191)="","(未設定)",INDEX(ポート振替表!$O$5:$O$3507,$L191)&amp;""))</f>
        <v/>
      </c>
      <c r="F191" s="52" t="str">
        <f aca="false">IF(L191="","",INDEX(ポート振替表!$K$5:$K$3507,$L191)&amp;" "&amp;INDEX(ポート振替表!$L$5:$L$3507,$L191)&amp;"  ⇔  "&amp;INDEX(ポート振替表!$H$5:$H$3507,$L191)&amp;" "&amp;INDEX(ポート振替表!$I$5:$I$3507,$L191))</f>
        <v/>
      </c>
      <c r="G191" s="57" t="s">
        <v>158</v>
      </c>
      <c r="H191" s="32" t="str">
        <f aca="false">IF(L191="","",INDEX(ポート振替表!$N$5:$N$3507,$L191)&amp;"")</f>
        <v/>
      </c>
      <c r="I191" s="32" t="str">
        <f aca="false">IF(L191="","",INDEX(ポート振替表!$P$5:$P$3507,$L191)&amp;"")</f>
        <v/>
      </c>
      <c r="J191" s="60" t="str">
        <f aca="false">IF(L191="","",INDEX(ポート振替表!$M$5:$M$3507,$L191)&amp;"")</f>
        <v/>
      </c>
      <c r="K191" s="52" t="str">
        <f aca="false">IF(L191="","",E191&amp;CHAR(10)&amp;INDEX(ポート振替表!$K$5:$K$3507,$L191)&amp;" "&amp;INDEX(ポート振替表!$L$5:$L$3507,$L191)&amp;CHAR(10)&amp;"⇔ "&amp;INDEX(ポート振替表!$H$5:$H$3507,$L191)&amp;" "&amp;INDEX(ポート振替表!$I$5:$I$3507,$L191))</f>
        <v/>
      </c>
      <c r="L191" s="47" t="str">
        <f aca="false">IFERROR(MATCH(ROW()-4,ポート振替表!$V$5:$V$3507,0),"")</f>
        <v/>
      </c>
    </row>
    <row r="192" customFormat="false" ht="16.4" hidden="false" customHeight="false" outlineLevel="0" collapsed="false">
      <c r="A192" s="32" t="str">
        <f aca="false">IF(L192="","",ROW()-4)</f>
        <v/>
      </c>
      <c r="B192" s="58" t="str">
        <f aca="false">IF(L192="","",IF(INDEX(ポート振替表!$W$5:$W$3507,$L192)="","(なし)",INDEX(ポート振替表!$W$5:$W$3507,$L192)&amp;""))</f>
        <v/>
      </c>
      <c r="C192" s="52" t="str">
        <f aca="false">IF(L192="","",INDEX(ポート振替表!$B$5:$B$3507,$L192)&amp;" "&amp;INDEX(ポート振替表!$C$5:$C$3507,$L192)&amp;"  ⇔  "&amp;INDEX(ポート振替表!$H$5:$H$3507,$L192)&amp;" "&amp;INDEX(ポート振替表!$I$5:$I$3507,$L192))</f>
        <v/>
      </c>
      <c r="D192" s="57" t="s">
        <v>158</v>
      </c>
      <c r="E192" s="59" t="str">
        <f aca="false">IF(L192="","",IF(INDEX(ポート振替表!$O$5:$O$3507,$L192)="","(未設定)",INDEX(ポート振替表!$O$5:$O$3507,$L192)&amp;""))</f>
        <v/>
      </c>
      <c r="F192" s="52" t="str">
        <f aca="false">IF(L192="","",INDEX(ポート振替表!$K$5:$K$3507,$L192)&amp;" "&amp;INDEX(ポート振替表!$L$5:$L$3507,$L192)&amp;"  ⇔  "&amp;INDEX(ポート振替表!$H$5:$H$3507,$L192)&amp;" "&amp;INDEX(ポート振替表!$I$5:$I$3507,$L192))</f>
        <v/>
      </c>
      <c r="G192" s="57" t="s">
        <v>158</v>
      </c>
      <c r="H192" s="32" t="str">
        <f aca="false">IF(L192="","",INDEX(ポート振替表!$N$5:$N$3507,$L192)&amp;"")</f>
        <v/>
      </c>
      <c r="I192" s="32" t="str">
        <f aca="false">IF(L192="","",INDEX(ポート振替表!$P$5:$P$3507,$L192)&amp;"")</f>
        <v/>
      </c>
      <c r="J192" s="60" t="str">
        <f aca="false">IF(L192="","",INDEX(ポート振替表!$M$5:$M$3507,$L192)&amp;"")</f>
        <v/>
      </c>
      <c r="K192" s="52" t="str">
        <f aca="false">IF(L192="","",E192&amp;CHAR(10)&amp;INDEX(ポート振替表!$K$5:$K$3507,$L192)&amp;" "&amp;INDEX(ポート振替表!$L$5:$L$3507,$L192)&amp;CHAR(10)&amp;"⇔ "&amp;INDEX(ポート振替表!$H$5:$H$3507,$L192)&amp;" "&amp;INDEX(ポート振替表!$I$5:$I$3507,$L192))</f>
        <v/>
      </c>
      <c r="L192" s="47" t="str">
        <f aca="false">IFERROR(MATCH(ROW()-4,ポート振替表!$V$5:$V$3507,0),"")</f>
        <v/>
      </c>
    </row>
    <row r="193" customFormat="false" ht="16.4" hidden="false" customHeight="false" outlineLevel="0" collapsed="false">
      <c r="A193" s="32" t="str">
        <f aca="false">IF(L193="","",ROW()-4)</f>
        <v/>
      </c>
      <c r="B193" s="58" t="str">
        <f aca="false">IF(L193="","",IF(INDEX(ポート振替表!$W$5:$W$3507,$L193)="","(なし)",INDEX(ポート振替表!$W$5:$W$3507,$L193)&amp;""))</f>
        <v/>
      </c>
      <c r="C193" s="52" t="str">
        <f aca="false">IF(L193="","",INDEX(ポート振替表!$B$5:$B$3507,$L193)&amp;" "&amp;INDEX(ポート振替表!$C$5:$C$3507,$L193)&amp;"  ⇔  "&amp;INDEX(ポート振替表!$H$5:$H$3507,$L193)&amp;" "&amp;INDEX(ポート振替表!$I$5:$I$3507,$L193))</f>
        <v/>
      </c>
      <c r="D193" s="57" t="s">
        <v>158</v>
      </c>
      <c r="E193" s="59" t="str">
        <f aca="false">IF(L193="","",IF(INDEX(ポート振替表!$O$5:$O$3507,$L193)="","(未設定)",INDEX(ポート振替表!$O$5:$O$3507,$L193)&amp;""))</f>
        <v/>
      </c>
      <c r="F193" s="52" t="str">
        <f aca="false">IF(L193="","",INDEX(ポート振替表!$K$5:$K$3507,$L193)&amp;" "&amp;INDEX(ポート振替表!$L$5:$L$3507,$L193)&amp;"  ⇔  "&amp;INDEX(ポート振替表!$H$5:$H$3507,$L193)&amp;" "&amp;INDEX(ポート振替表!$I$5:$I$3507,$L193))</f>
        <v/>
      </c>
      <c r="G193" s="57" t="s">
        <v>158</v>
      </c>
      <c r="H193" s="32" t="str">
        <f aca="false">IF(L193="","",INDEX(ポート振替表!$N$5:$N$3507,$L193)&amp;"")</f>
        <v/>
      </c>
      <c r="I193" s="32" t="str">
        <f aca="false">IF(L193="","",INDEX(ポート振替表!$P$5:$P$3507,$L193)&amp;"")</f>
        <v/>
      </c>
      <c r="J193" s="60" t="str">
        <f aca="false">IF(L193="","",INDEX(ポート振替表!$M$5:$M$3507,$L193)&amp;"")</f>
        <v/>
      </c>
      <c r="K193" s="52" t="str">
        <f aca="false">IF(L193="","",E193&amp;CHAR(10)&amp;INDEX(ポート振替表!$K$5:$K$3507,$L193)&amp;" "&amp;INDEX(ポート振替表!$L$5:$L$3507,$L193)&amp;CHAR(10)&amp;"⇔ "&amp;INDEX(ポート振替表!$H$5:$H$3507,$L193)&amp;" "&amp;INDEX(ポート振替表!$I$5:$I$3507,$L193))</f>
        <v/>
      </c>
      <c r="L193" s="47" t="str">
        <f aca="false">IFERROR(MATCH(ROW()-4,ポート振替表!$V$5:$V$3507,0),"")</f>
        <v/>
      </c>
    </row>
    <row r="194" customFormat="false" ht="16.4" hidden="false" customHeight="false" outlineLevel="0" collapsed="false">
      <c r="A194" s="32" t="str">
        <f aca="false">IF(L194="","",ROW()-4)</f>
        <v/>
      </c>
      <c r="B194" s="58" t="str">
        <f aca="false">IF(L194="","",IF(INDEX(ポート振替表!$W$5:$W$3507,$L194)="","(なし)",INDEX(ポート振替表!$W$5:$W$3507,$L194)&amp;""))</f>
        <v/>
      </c>
      <c r="C194" s="52" t="str">
        <f aca="false">IF(L194="","",INDEX(ポート振替表!$B$5:$B$3507,$L194)&amp;" "&amp;INDEX(ポート振替表!$C$5:$C$3507,$L194)&amp;"  ⇔  "&amp;INDEX(ポート振替表!$H$5:$H$3507,$L194)&amp;" "&amp;INDEX(ポート振替表!$I$5:$I$3507,$L194))</f>
        <v/>
      </c>
      <c r="D194" s="57" t="s">
        <v>158</v>
      </c>
      <c r="E194" s="59" t="str">
        <f aca="false">IF(L194="","",IF(INDEX(ポート振替表!$O$5:$O$3507,$L194)="","(未設定)",INDEX(ポート振替表!$O$5:$O$3507,$L194)&amp;""))</f>
        <v/>
      </c>
      <c r="F194" s="52" t="str">
        <f aca="false">IF(L194="","",INDEX(ポート振替表!$K$5:$K$3507,$L194)&amp;" "&amp;INDEX(ポート振替表!$L$5:$L$3507,$L194)&amp;"  ⇔  "&amp;INDEX(ポート振替表!$H$5:$H$3507,$L194)&amp;" "&amp;INDEX(ポート振替表!$I$5:$I$3507,$L194))</f>
        <v/>
      </c>
      <c r="G194" s="57" t="s">
        <v>158</v>
      </c>
      <c r="H194" s="32" t="str">
        <f aca="false">IF(L194="","",INDEX(ポート振替表!$N$5:$N$3507,$L194)&amp;"")</f>
        <v/>
      </c>
      <c r="I194" s="32" t="str">
        <f aca="false">IF(L194="","",INDEX(ポート振替表!$P$5:$P$3507,$L194)&amp;"")</f>
        <v/>
      </c>
      <c r="J194" s="60" t="str">
        <f aca="false">IF(L194="","",INDEX(ポート振替表!$M$5:$M$3507,$L194)&amp;"")</f>
        <v/>
      </c>
      <c r="K194" s="52" t="str">
        <f aca="false">IF(L194="","",E194&amp;CHAR(10)&amp;INDEX(ポート振替表!$K$5:$K$3507,$L194)&amp;" "&amp;INDEX(ポート振替表!$L$5:$L$3507,$L194)&amp;CHAR(10)&amp;"⇔ "&amp;INDEX(ポート振替表!$H$5:$H$3507,$L194)&amp;" "&amp;INDEX(ポート振替表!$I$5:$I$3507,$L194))</f>
        <v/>
      </c>
      <c r="L194" s="47" t="str">
        <f aca="false">IFERROR(MATCH(ROW()-4,ポート振替表!$V$5:$V$3507,0),"")</f>
        <v/>
      </c>
    </row>
    <row r="195" customFormat="false" ht="16.4" hidden="false" customHeight="false" outlineLevel="0" collapsed="false">
      <c r="A195" s="32" t="str">
        <f aca="false">IF(L195="","",ROW()-4)</f>
        <v/>
      </c>
      <c r="B195" s="58" t="str">
        <f aca="false">IF(L195="","",IF(INDEX(ポート振替表!$W$5:$W$3507,$L195)="","(なし)",INDEX(ポート振替表!$W$5:$W$3507,$L195)&amp;""))</f>
        <v/>
      </c>
      <c r="C195" s="52" t="str">
        <f aca="false">IF(L195="","",INDEX(ポート振替表!$B$5:$B$3507,$L195)&amp;" "&amp;INDEX(ポート振替表!$C$5:$C$3507,$L195)&amp;"  ⇔  "&amp;INDEX(ポート振替表!$H$5:$H$3507,$L195)&amp;" "&amp;INDEX(ポート振替表!$I$5:$I$3507,$L195))</f>
        <v/>
      </c>
      <c r="D195" s="57" t="s">
        <v>158</v>
      </c>
      <c r="E195" s="59" t="str">
        <f aca="false">IF(L195="","",IF(INDEX(ポート振替表!$O$5:$O$3507,$L195)="","(未設定)",INDEX(ポート振替表!$O$5:$O$3507,$L195)&amp;""))</f>
        <v/>
      </c>
      <c r="F195" s="52" t="str">
        <f aca="false">IF(L195="","",INDEX(ポート振替表!$K$5:$K$3507,$L195)&amp;" "&amp;INDEX(ポート振替表!$L$5:$L$3507,$L195)&amp;"  ⇔  "&amp;INDEX(ポート振替表!$H$5:$H$3507,$L195)&amp;" "&amp;INDEX(ポート振替表!$I$5:$I$3507,$L195))</f>
        <v/>
      </c>
      <c r="G195" s="57" t="s">
        <v>158</v>
      </c>
      <c r="H195" s="32" t="str">
        <f aca="false">IF(L195="","",INDEX(ポート振替表!$N$5:$N$3507,$L195)&amp;"")</f>
        <v/>
      </c>
      <c r="I195" s="32" t="str">
        <f aca="false">IF(L195="","",INDEX(ポート振替表!$P$5:$P$3507,$L195)&amp;"")</f>
        <v/>
      </c>
      <c r="J195" s="60" t="str">
        <f aca="false">IF(L195="","",INDEX(ポート振替表!$M$5:$M$3507,$L195)&amp;"")</f>
        <v/>
      </c>
      <c r="K195" s="52" t="str">
        <f aca="false">IF(L195="","",E195&amp;CHAR(10)&amp;INDEX(ポート振替表!$K$5:$K$3507,$L195)&amp;" "&amp;INDEX(ポート振替表!$L$5:$L$3507,$L195)&amp;CHAR(10)&amp;"⇔ "&amp;INDEX(ポート振替表!$H$5:$H$3507,$L195)&amp;" "&amp;INDEX(ポート振替表!$I$5:$I$3507,$L195))</f>
        <v/>
      </c>
      <c r="L195" s="47" t="str">
        <f aca="false">IFERROR(MATCH(ROW()-4,ポート振替表!$V$5:$V$3507,0),"")</f>
        <v/>
      </c>
    </row>
    <row r="196" customFormat="false" ht="16.4" hidden="false" customHeight="false" outlineLevel="0" collapsed="false">
      <c r="A196" s="32" t="str">
        <f aca="false">IF(L196="","",ROW()-4)</f>
        <v/>
      </c>
      <c r="B196" s="58" t="str">
        <f aca="false">IF(L196="","",IF(INDEX(ポート振替表!$W$5:$W$3507,$L196)="","(なし)",INDEX(ポート振替表!$W$5:$W$3507,$L196)&amp;""))</f>
        <v/>
      </c>
      <c r="C196" s="52" t="str">
        <f aca="false">IF(L196="","",INDEX(ポート振替表!$B$5:$B$3507,$L196)&amp;" "&amp;INDEX(ポート振替表!$C$5:$C$3507,$L196)&amp;"  ⇔  "&amp;INDEX(ポート振替表!$H$5:$H$3507,$L196)&amp;" "&amp;INDEX(ポート振替表!$I$5:$I$3507,$L196))</f>
        <v/>
      </c>
      <c r="D196" s="57" t="s">
        <v>158</v>
      </c>
      <c r="E196" s="59" t="str">
        <f aca="false">IF(L196="","",IF(INDEX(ポート振替表!$O$5:$O$3507,$L196)="","(未設定)",INDEX(ポート振替表!$O$5:$O$3507,$L196)&amp;""))</f>
        <v/>
      </c>
      <c r="F196" s="52" t="str">
        <f aca="false">IF(L196="","",INDEX(ポート振替表!$K$5:$K$3507,$L196)&amp;" "&amp;INDEX(ポート振替表!$L$5:$L$3507,$L196)&amp;"  ⇔  "&amp;INDEX(ポート振替表!$H$5:$H$3507,$L196)&amp;" "&amp;INDEX(ポート振替表!$I$5:$I$3507,$L196))</f>
        <v/>
      </c>
      <c r="G196" s="57" t="s">
        <v>158</v>
      </c>
      <c r="H196" s="32" t="str">
        <f aca="false">IF(L196="","",INDEX(ポート振替表!$N$5:$N$3507,$L196)&amp;"")</f>
        <v/>
      </c>
      <c r="I196" s="32" t="str">
        <f aca="false">IF(L196="","",INDEX(ポート振替表!$P$5:$P$3507,$L196)&amp;"")</f>
        <v/>
      </c>
      <c r="J196" s="60" t="str">
        <f aca="false">IF(L196="","",INDEX(ポート振替表!$M$5:$M$3507,$L196)&amp;"")</f>
        <v/>
      </c>
      <c r="K196" s="52" t="str">
        <f aca="false">IF(L196="","",E196&amp;CHAR(10)&amp;INDEX(ポート振替表!$K$5:$K$3507,$L196)&amp;" "&amp;INDEX(ポート振替表!$L$5:$L$3507,$L196)&amp;CHAR(10)&amp;"⇔ "&amp;INDEX(ポート振替表!$H$5:$H$3507,$L196)&amp;" "&amp;INDEX(ポート振替表!$I$5:$I$3507,$L196))</f>
        <v/>
      </c>
      <c r="L196" s="47" t="str">
        <f aca="false">IFERROR(MATCH(ROW()-4,ポート振替表!$V$5:$V$3507,0),"")</f>
        <v/>
      </c>
    </row>
    <row r="197" customFormat="false" ht="16.4" hidden="false" customHeight="false" outlineLevel="0" collapsed="false">
      <c r="A197" s="32" t="str">
        <f aca="false">IF(L197="","",ROW()-4)</f>
        <v/>
      </c>
      <c r="B197" s="58" t="str">
        <f aca="false">IF(L197="","",IF(INDEX(ポート振替表!$W$5:$W$3507,$L197)="","(なし)",INDEX(ポート振替表!$W$5:$W$3507,$L197)&amp;""))</f>
        <v/>
      </c>
      <c r="C197" s="52" t="str">
        <f aca="false">IF(L197="","",INDEX(ポート振替表!$B$5:$B$3507,$L197)&amp;" "&amp;INDEX(ポート振替表!$C$5:$C$3507,$L197)&amp;"  ⇔  "&amp;INDEX(ポート振替表!$H$5:$H$3507,$L197)&amp;" "&amp;INDEX(ポート振替表!$I$5:$I$3507,$L197))</f>
        <v/>
      </c>
      <c r="D197" s="57" t="s">
        <v>158</v>
      </c>
      <c r="E197" s="59" t="str">
        <f aca="false">IF(L197="","",IF(INDEX(ポート振替表!$O$5:$O$3507,$L197)="","(未設定)",INDEX(ポート振替表!$O$5:$O$3507,$L197)&amp;""))</f>
        <v/>
      </c>
      <c r="F197" s="52" t="str">
        <f aca="false">IF(L197="","",INDEX(ポート振替表!$K$5:$K$3507,$L197)&amp;" "&amp;INDEX(ポート振替表!$L$5:$L$3507,$L197)&amp;"  ⇔  "&amp;INDEX(ポート振替表!$H$5:$H$3507,$L197)&amp;" "&amp;INDEX(ポート振替表!$I$5:$I$3507,$L197))</f>
        <v/>
      </c>
      <c r="G197" s="57" t="s">
        <v>158</v>
      </c>
      <c r="H197" s="32" t="str">
        <f aca="false">IF(L197="","",INDEX(ポート振替表!$N$5:$N$3507,$L197)&amp;"")</f>
        <v/>
      </c>
      <c r="I197" s="32" t="str">
        <f aca="false">IF(L197="","",INDEX(ポート振替表!$P$5:$P$3507,$L197)&amp;"")</f>
        <v/>
      </c>
      <c r="J197" s="60" t="str">
        <f aca="false">IF(L197="","",INDEX(ポート振替表!$M$5:$M$3507,$L197)&amp;"")</f>
        <v/>
      </c>
      <c r="K197" s="52" t="str">
        <f aca="false">IF(L197="","",E197&amp;CHAR(10)&amp;INDEX(ポート振替表!$K$5:$K$3507,$L197)&amp;" "&amp;INDEX(ポート振替表!$L$5:$L$3507,$L197)&amp;CHAR(10)&amp;"⇔ "&amp;INDEX(ポート振替表!$H$5:$H$3507,$L197)&amp;" "&amp;INDEX(ポート振替表!$I$5:$I$3507,$L197))</f>
        <v/>
      </c>
      <c r="L197" s="47" t="str">
        <f aca="false">IFERROR(MATCH(ROW()-4,ポート振替表!$V$5:$V$3507,0),"")</f>
        <v/>
      </c>
    </row>
    <row r="198" customFormat="false" ht="16.4" hidden="false" customHeight="false" outlineLevel="0" collapsed="false">
      <c r="A198" s="32" t="str">
        <f aca="false">IF(L198="","",ROW()-4)</f>
        <v/>
      </c>
      <c r="B198" s="58" t="str">
        <f aca="false">IF(L198="","",IF(INDEX(ポート振替表!$W$5:$W$3507,$L198)="","(なし)",INDEX(ポート振替表!$W$5:$W$3507,$L198)&amp;""))</f>
        <v/>
      </c>
      <c r="C198" s="52" t="str">
        <f aca="false">IF(L198="","",INDEX(ポート振替表!$B$5:$B$3507,$L198)&amp;" "&amp;INDEX(ポート振替表!$C$5:$C$3507,$L198)&amp;"  ⇔  "&amp;INDEX(ポート振替表!$H$5:$H$3507,$L198)&amp;" "&amp;INDEX(ポート振替表!$I$5:$I$3507,$L198))</f>
        <v/>
      </c>
      <c r="D198" s="57" t="s">
        <v>158</v>
      </c>
      <c r="E198" s="59" t="str">
        <f aca="false">IF(L198="","",IF(INDEX(ポート振替表!$O$5:$O$3507,$L198)="","(未設定)",INDEX(ポート振替表!$O$5:$O$3507,$L198)&amp;""))</f>
        <v/>
      </c>
      <c r="F198" s="52" t="str">
        <f aca="false">IF(L198="","",INDEX(ポート振替表!$K$5:$K$3507,$L198)&amp;" "&amp;INDEX(ポート振替表!$L$5:$L$3507,$L198)&amp;"  ⇔  "&amp;INDEX(ポート振替表!$H$5:$H$3507,$L198)&amp;" "&amp;INDEX(ポート振替表!$I$5:$I$3507,$L198))</f>
        <v/>
      </c>
      <c r="G198" s="57" t="s">
        <v>158</v>
      </c>
      <c r="H198" s="32" t="str">
        <f aca="false">IF(L198="","",INDEX(ポート振替表!$N$5:$N$3507,$L198)&amp;"")</f>
        <v/>
      </c>
      <c r="I198" s="32" t="str">
        <f aca="false">IF(L198="","",INDEX(ポート振替表!$P$5:$P$3507,$L198)&amp;"")</f>
        <v/>
      </c>
      <c r="J198" s="60" t="str">
        <f aca="false">IF(L198="","",INDEX(ポート振替表!$M$5:$M$3507,$L198)&amp;"")</f>
        <v/>
      </c>
      <c r="K198" s="52" t="str">
        <f aca="false">IF(L198="","",E198&amp;CHAR(10)&amp;INDEX(ポート振替表!$K$5:$K$3507,$L198)&amp;" "&amp;INDEX(ポート振替表!$L$5:$L$3507,$L198)&amp;CHAR(10)&amp;"⇔ "&amp;INDEX(ポート振替表!$H$5:$H$3507,$L198)&amp;" "&amp;INDEX(ポート振替表!$I$5:$I$3507,$L198))</f>
        <v/>
      </c>
      <c r="L198" s="47" t="str">
        <f aca="false">IFERROR(MATCH(ROW()-4,ポート振替表!$V$5:$V$3507,0),"")</f>
        <v/>
      </c>
    </row>
    <row r="199" customFormat="false" ht="16.4" hidden="false" customHeight="false" outlineLevel="0" collapsed="false">
      <c r="A199" s="32" t="str">
        <f aca="false">IF(L199="","",ROW()-4)</f>
        <v/>
      </c>
      <c r="B199" s="58" t="str">
        <f aca="false">IF(L199="","",IF(INDEX(ポート振替表!$W$5:$W$3507,$L199)="","(なし)",INDEX(ポート振替表!$W$5:$W$3507,$L199)&amp;""))</f>
        <v/>
      </c>
      <c r="C199" s="52" t="str">
        <f aca="false">IF(L199="","",INDEX(ポート振替表!$B$5:$B$3507,$L199)&amp;" "&amp;INDEX(ポート振替表!$C$5:$C$3507,$L199)&amp;"  ⇔  "&amp;INDEX(ポート振替表!$H$5:$H$3507,$L199)&amp;" "&amp;INDEX(ポート振替表!$I$5:$I$3507,$L199))</f>
        <v/>
      </c>
      <c r="D199" s="57" t="s">
        <v>158</v>
      </c>
      <c r="E199" s="59" t="str">
        <f aca="false">IF(L199="","",IF(INDEX(ポート振替表!$O$5:$O$3507,$L199)="","(未設定)",INDEX(ポート振替表!$O$5:$O$3507,$L199)&amp;""))</f>
        <v/>
      </c>
      <c r="F199" s="52" t="str">
        <f aca="false">IF(L199="","",INDEX(ポート振替表!$K$5:$K$3507,$L199)&amp;" "&amp;INDEX(ポート振替表!$L$5:$L$3507,$L199)&amp;"  ⇔  "&amp;INDEX(ポート振替表!$H$5:$H$3507,$L199)&amp;" "&amp;INDEX(ポート振替表!$I$5:$I$3507,$L199))</f>
        <v/>
      </c>
      <c r="G199" s="57" t="s">
        <v>158</v>
      </c>
      <c r="H199" s="32" t="str">
        <f aca="false">IF(L199="","",INDEX(ポート振替表!$N$5:$N$3507,$L199)&amp;"")</f>
        <v/>
      </c>
      <c r="I199" s="32" t="str">
        <f aca="false">IF(L199="","",INDEX(ポート振替表!$P$5:$P$3507,$L199)&amp;"")</f>
        <v/>
      </c>
      <c r="J199" s="60" t="str">
        <f aca="false">IF(L199="","",INDEX(ポート振替表!$M$5:$M$3507,$L199)&amp;"")</f>
        <v/>
      </c>
      <c r="K199" s="52" t="str">
        <f aca="false">IF(L199="","",E199&amp;CHAR(10)&amp;INDEX(ポート振替表!$K$5:$K$3507,$L199)&amp;" "&amp;INDEX(ポート振替表!$L$5:$L$3507,$L199)&amp;CHAR(10)&amp;"⇔ "&amp;INDEX(ポート振替表!$H$5:$H$3507,$L199)&amp;" "&amp;INDEX(ポート振替表!$I$5:$I$3507,$L199))</f>
        <v/>
      </c>
      <c r="L199" s="47" t="str">
        <f aca="false">IFERROR(MATCH(ROW()-4,ポート振替表!$V$5:$V$3507,0),"")</f>
        <v/>
      </c>
    </row>
    <row r="200" customFormat="false" ht="16.4" hidden="false" customHeight="false" outlineLevel="0" collapsed="false">
      <c r="A200" s="32" t="str">
        <f aca="false">IF(L200="","",ROW()-4)</f>
        <v/>
      </c>
      <c r="B200" s="58" t="str">
        <f aca="false">IF(L200="","",IF(INDEX(ポート振替表!$W$5:$W$3507,$L200)="","(なし)",INDEX(ポート振替表!$W$5:$W$3507,$L200)&amp;""))</f>
        <v/>
      </c>
      <c r="C200" s="52" t="str">
        <f aca="false">IF(L200="","",INDEX(ポート振替表!$B$5:$B$3507,$L200)&amp;" "&amp;INDEX(ポート振替表!$C$5:$C$3507,$L200)&amp;"  ⇔  "&amp;INDEX(ポート振替表!$H$5:$H$3507,$L200)&amp;" "&amp;INDEX(ポート振替表!$I$5:$I$3507,$L200))</f>
        <v/>
      </c>
      <c r="D200" s="57" t="s">
        <v>158</v>
      </c>
      <c r="E200" s="59" t="str">
        <f aca="false">IF(L200="","",IF(INDEX(ポート振替表!$O$5:$O$3507,$L200)="","(未設定)",INDEX(ポート振替表!$O$5:$O$3507,$L200)&amp;""))</f>
        <v/>
      </c>
      <c r="F200" s="52" t="str">
        <f aca="false">IF(L200="","",INDEX(ポート振替表!$K$5:$K$3507,$L200)&amp;" "&amp;INDEX(ポート振替表!$L$5:$L$3507,$L200)&amp;"  ⇔  "&amp;INDEX(ポート振替表!$H$5:$H$3507,$L200)&amp;" "&amp;INDEX(ポート振替表!$I$5:$I$3507,$L200))</f>
        <v/>
      </c>
      <c r="G200" s="57" t="s">
        <v>158</v>
      </c>
      <c r="H200" s="32" t="str">
        <f aca="false">IF(L200="","",INDEX(ポート振替表!$N$5:$N$3507,$L200)&amp;"")</f>
        <v/>
      </c>
      <c r="I200" s="32" t="str">
        <f aca="false">IF(L200="","",INDEX(ポート振替表!$P$5:$P$3507,$L200)&amp;"")</f>
        <v/>
      </c>
      <c r="J200" s="60" t="str">
        <f aca="false">IF(L200="","",INDEX(ポート振替表!$M$5:$M$3507,$L200)&amp;"")</f>
        <v/>
      </c>
      <c r="K200" s="52" t="str">
        <f aca="false">IF(L200="","",E200&amp;CHAR(10)&amp;INDEX(ポート振替表!$K$5:$K$3507,$L200)&amp;" "&amp;INDEX(ポート振替表!$L$5:$L$3507,$L200)&amp;CHAR(10)&amp;"⇔ "&amp;INDEX(ポート振替表!$H$5:$H$3507,$L200)&amp;" "&amp;INDEX(ポート振替表!$I$5:$I$3507,$L200))</f>
        <v/>
      </c>
      <c r="L200" s="47" t="str">
        <f aca="false">IFERROR(MATCH(ROW()-4,ポート振替表!$V$5:$V$3507,0),"")</f>
        <v/>
      </c>
    </row>
    <row r="201" customFormat="false" ht="16.4" hidden="false" customHeight="false" outlineLevel="0" collapsed="false">
      <c r="A201" s="32" t="str">
        <f aca="false">IF(L201="","",ROW()-4)</f>
        <v/>
      </c>
      <c r="B201" s="58" t="str">
        <f aca="false">IF(L201="","",IF(INDEX(ポート振替表!$W$5:$W$3507,$L201)="","(なし)",INDEX(ポート振替表!$W$5:$W$3507,$L201)&amp;""))</f>
        <v/>
      </c>
      <c r="C201" s="52" t="str">
        <f aca="false">IF(L201="","",INDEX(ポート振替表!$B$5:$B$3507,$L201)&amp;" "&amp;INDEX(ポート振替表!$C$5:$C$3507,$L201)&amp;"  ⇔  "&amp;INDEX(ポート振替表!$H$5:$H$3507,$L201)&amp;" "&amp;INDEX(ポート振替表!$I$5:$I$3507,$L201))</f>
        <v/>
      </c>
      <c r="D201" s="57" t="s">
        <v>158</v>
      </c>
      <c r="E201" s="59" t="str">
        <f aca="false">IF(L201="","",IF(INDEX(ポート振替表!$O$5:$O$3507,$L201)="","(未設定)",INDEX(ポート振替表!$O$5:$O$3507,$L201)&amp;""))</f>
        <v/>
      </c>
      <c r="F201" s="52" t="str">
        <f aca="false">IF(L201="","",INDEX(ポート振替表!$K$5:$K$3507,$L201)&amp;" "&amp;INDEX(ポート振替表!$L$5:$L$3507,$L201)&amp;"  ⇔  "&amp;INDEX(ポート振替表!$H$5:$H$3507,$L201)&amp;" "&amp;INDEX(ポート振替表!$I$5:$I$3507,$L201))</f>
        <v/>
      </c>
      <c r="G201" s="57" t="s">
        <v>158</v>
      </c>
      <c r="H201" s="32" t="str">
        <f aca="false">IF(L201="","",INDEX(ポート振替表!$N$5:$N$3507,$L201)&amp;"")</f>
        <v/>
      </c>
      <c r="I201" s="32" t="str">
        <f aca="false">IF(L201="","",INDEX(ポート振替表!$P$5:$P$3507,$L201)&amp;"")</f>
        <v/>
      </c>
      <c r="J201" s="60" t="str">
        <f aca="false">IF(L201="","",INDEX(ポート振替表!$M$5:$M$3507,$L201)&amp;"")</f>
        <v/>
      </c>
      <c r="K201" s="52" t="str">
        <f aca="false">IF(L201="","",E201&amp;CHAR(10)&amp;INDEX(ポート振替表!$K$5:$K$3507,$L201)&amp;" "&amp;INDEX(ポート振替表!$L$5:$L$3507,$L201)&amp;CHAR(10)&amp;"⇔ "&amp;INDEX(ポート振替表!$H$5:$H$3507,$L201)&amp;" "&amp;INDEX(ポート振替表!$I$5:$I$3507,$L201))</f>
        <v/>
      </c>
      <c r="L201" s="47" t="str">
        <f aca="false">IFERROR(MATCH(ROW()-4,ポート振替表!$V$5:$V$3507,0),"")</f>
        <v/>
      </c>
    </row>
    <row r="202" customFormat="false" ht="16.4" hidden="false" customHeight="false" outlineLevel="0" collapsed="false">
      <c r="A202" s="32" t="str">
        <f aca="false">IF(L202="","",ROW()-4)</f>
        <v/>
      </c>
      <c r="B202" s="58" t="str">
        <f aca="false">IF(L202="","",IF(INDEX(ポート振替表!$W$5:$W$3507,$L202)="","(なし)",INDEX(ポート振替表!$W$5:$W$3507,$L202)&amp;""))</f>
        <v/>
      </c>
      <c r="C202" s="52" t="str">
        <f aca="false">IF(L202="","",INDEX(ポート振替表!$B$5:$B$3507,$L202)&amp;" "&amp;INDEX(ポート振替表!$C$5:$C$3507,$L202)&amp;"  ⇔  "&amp;INDEX(ポート振替表!$H$5:$H$3507,$L202)&amp;" "&amp;INDEX(ポート振替表!$I$5:$I$3507,$L202))</f>
        <v/>
      </c>
      <c r="D202" s="57" t="s">
        <v>158</v>
      </c>
      <c r="E202" s="59" t="str">
        <f aca="false">IF(L202="","",IF(INDEX(ポート振替表!$O$5:$O$3507,$L202)="","(未設定)",INDEX(ポート振替表!$O$5:$O$3507,$L202)&amp;""))</f>
        <v/>
      </c>
      <c r="F202" s="52" t="str">
        <f aca="false">IF(L202="","",INDEX(ポート振替表!$K$5:$K$3507,$L202)&amp;" "&amp;INDEX(ポート振替表!$L$5:$L$3507,$L202)&amp;"  ⇔  "&amp;INDEX(ポート振替表!$H$5:$H$3507,$L202)&amp;" "&amp;INDEX(ポート振替表!$I$5:$I$3507,$L202))</f>
        <v/>
      </c>
      <c r="G202" s="57" t="s">
        <v>158</v>
      </c>
      <c r="H202" s="32" t="str">
        <f aca="false">IF(L202="","",INDEX(ポート振替表!$N$5:$N$3507,$L202)&amp;"")</f>
        <v/>
      </c>
      <c r="I202" s="32" t="str">
        <f aca="false">IF(L202="","",INDEX(ポート振替表!$P$5:$P$3507,$L202)&amp;"")</f>
        <v/>
      </c>
      <c r="J202" s="60" t="str">
        <f aca="false">IF(L202="","",INDEX(ポート振替表!$M$5:$M$3507,$L202)&amp;"")</f>
        <v/>
      </c>
      <c r="K202" s="52" t="str">
        <f aca="false">IF(L202="","",E202&amp;CHAR(10)&amp;INDEX(ポート振替表!$K$5:$K$3507,$L202)&amp;" "&amp;INDEX(ポート振替表!$L$5:$L$3507,$L202)&amp;CHAR(10)&amp;"⇔ "&amp;INDEX(ポート振替表!$H$5:$H$3507,$L202)&amp;" "&amp;INDEX(ポート振替表!$I$5:$I$3507,$L202))</f>
        <v/>
      </c>
      <c r="L202" s="47" t="str">
        <f aca="false">IFERROR(MATCH(ROW()-4,ポート振替表!$V$5:$V$3507,0),"")</f>
        <v/>
      </c>
    </row>
    <row r="203" customFormat="false" ht="16.4" hidden="false" customHeight="false" outlineLevel="0" collapsed="false">
      <c r="A203" s="32" t="str">
        <f aca="false">IF(L203="","",ROW()-4)</f>
        <v/>
      </c>
      <c r="B203" s="58" t="str">
        <f aca="false">IF(L203="","",IF(INDEX(ポート振替表!$W$5:$W$3507,$L203)="","(なし)",INDEX(ポート振替表!$W$5:$W$3507,$L203)&amp;""))</f>
        <v/>
      </c>
      <c r="C203" s="52" t="str">
        <f aca="false">IF(L203="","",INDEX(ポート振替表!$B$5:$B$3507,$L203)&amp;" "&amp;INDEX(ポート振替表!$C$5:$C$3507,$L203)&amp;"  ⇔  "&amp;INDEX(ポート振替表!$H$5:$H$3507,$L203)&amp;" "&amp;INDEX(ポート振替表!$I$5:$I$3507,$L203))</f>
        <v/>
      </c>
      <c r="D203" s="57" t="s">
        <v>158</v>
      </c>
      <c r="E203" s="59" t="str">
        <f aca="false">IF(L203="","",IF(INDEX(ポート振替表!$O$5:$O$3507,$L203)="","(未設定)",INDEX(ポート振替表!$O$5:$O$3507,$L203)&amp;""))</f>
        <v/>
      </c>
      <c r="F203" s="52" t="str">
        <f aca="false">IF(L203="","",INDEX(ポート振替表!$K$5:$K$3507,$L203)&amp;" "&amp;INDEX(ポート振替表!$L$5:$L$3507,$L203)&amp;"  ⇔  "&amp;INDEX(ポート振替表!$H$5:$H$3507,$L203)&amp;" "&amp;INDEX(ポート振替表!$I$5:$I$3507,$L203))</f>
        <v/>
      </c>
      <c r="G203" s="57" t="s">
        <v>158</v>
      </c>
      <c r="H203" s="32" t="str">
        <f aca="false">IF(L203="","",INDEX(ポート振替表!$N$5:$N$3507,$L203)&amp;"")</f>
        <v/>
      </c>
      <c r="I203" s="32" t="str">
        <f aca="false">IF(L203="","",INDEX(ポート振替表!$P$5:$P$3507,$L203)&amp;"")</f>
        <v/>
      </c>
      <c r="J203" s="60" t="str">
        <f aca="false">IF(L203="","",INDEX(ポート振替表!$M$5:$M$3507,$L203)&amp;"")</f>
        <v/>
      </c>
      <c r="K203" s="52" t="str">
        <f aca="false">IF(L203="","",E203&amp;CHAR(10)&amp;INDEX(ポート振替表!$K$5:$K$3507,$L203)&amp;" "&amp;INDEX(ポート振替表!$L$5:$L$3507,$L203)&amp;CHAR(10)&amp;"⇔ "&amp;INDEX(ポート振替表!$H$5:$H$3507,$L203)&amp;" "&amp;INDEX(ポート振替表!$I$5:$I$3507,$L203))</f>
        <v/>
      </c>
      <c r="L203" s="47" t="str">
        <f aca="false">IFERROR(MATCH(ROW()-4,ポート振替表!$V$5:$V$3507,0),"")</f>
        <v/>
      </c>
    </row>
    <row r="204" customFormat="false" ht="16.4" hidden="false" customHeight="false" outlineLevel="0" collapsed="false">
      <c r="A204" s="32" t="str">
        <f aca="false">IF(L204="","",ROW()-4)</f>
        <v/>
      </c>
      <c r="B204" s="58" t="str">
        <f aca="false">IF(L204="","",IF(INDEX(ポート振替表!$W$5:$W$3507,$L204)="","(なし)",INDEX(ポート振替表!$W$5:$W$3507,$L204)&amp;""))</f>
        <v/>
      </c>
      <c r="C204" s="52" t="str">
        <f aca="false">IF(L204="","",INDEX(ポート振替表!$B$5:$B$3507,$L204)&amp;" "&amp;INDEX(ポート振替表!$C$5:$C$3507,$L204)&amp;"  ⇔  "&amp;INDEX(ポート振替表!$H$5:$H$3507,$L204)&amp;" "&amp;INDEX(ポート振替表!$I$5:$I$3507,$L204))</f>
        <v/>
      </c>
      <c r="D204" s="57" t="s">
        <v>158</v>
      </c>
      <c r="E204" s="59" t="str">
        <f aca="false">IF(L204="","",IF(INDEX(ポート振替表!$O$5:$O$3507,$L204)="","(未設定)",INDEX(ポート振替表!$O$5:$O$3507,$L204)&amp;""))</f>
        <v/>
      </c>
      <c r="F204" s="52" t="str">
        <f aca="false">IF(L204="","",INDEX(ポート振替表!$K$5:$K$3507,$L204)&amp;" "&amp;INDEX(ポート振替表!$L$5:$L$3507,$L204)&amp;"  ⇔  "&amp;INDEX(ポート振替表!$H$5:$H$3507,$L204)&amp;" "&amp;INDEX(ポート振替表!$I$5:$I$3507,$L204))</f>
        <v/>
      </c>
      <c r="G204" s="57" t="s">
        <v>158</v>
      </c>
      <c r="H204" s="32" t="str">
        <f aca="false">IF(L204="","",INDEX(ポート振替表!$N$5:$N$3507,$L204)&amp;"")</f>
        <v/>
      </c>
      <c r="I204" s="32" t="str">
        <f aca="false">IF(L204="","",INDEX(ポート振替表!$P$5:$P$3507,$L204)&amp;"")</f>
        <v/>
      </c>
      <c r="J204" s="60" t="str">
        <f aca="false">IF(L204="","",INDEX(ポート振替表!$M$5:$M$3507,$L204)&amp;"")</f>
        <v/>
      </c>
      <c r="K204" s="52" t="str">
        <f aca="false">IF(L204="","",E204&amp;CHAR(10)&amp;INDEX(ポート振替表!$K$5:$K$3507,$L204)&amp;" "&amp;INDEX(ポート振替表!$L$5:$L$3507,$L204)&amp;CHAR(10)&amp;"⇔ "&amp;INDEX(ポート振替表!$H$5:$H$3507,$L204)&amp;" "&amp;INDEX(ポート振替表!$I$5:$I$3507,$L204))</f>
        <v/>
      </c>
      <c r="L204" s="47" t="str">
        <f aca="false">IFERROR(MATCH(ROW()-4,ポート振替表!$V$5:$V$3507,0),"")</f>
        <v/>
      </c>
    </row>
    <row r="205" customFormat="false" ht="16.4" hidden="false" customHeight="false" outlineLevel="0" collapsed="false">
      <c r="A205" s="32" t="str">
        <f aca="false">IF(L205="","",ROW()-4)</f>
        <v/>
      </c>
      <c r="B205" s="58" t="str">
        <f aca="false">IF(L205="","",IF(INDEX(ポート振替表!$W$5:$W$3507,$L205)="","(なし)",INDEX(ポート振替表!$W$5:$W$3507,$L205)&amp;""))</f>
        <v/>
      </c>
      <c r="C205" s="52" t="str">
        <f aca="false">IF(L205="","",INDEX(ポート振替表!$B$5:$B$3507,$L205)&amp;" "&amp;INDEX(ポート振替表!$C$5:$C$3507,$L205)&amp;"  ⇔  "&amp;INDEX(ポート振替表!$H$5:$H$3507,$L205)&amp;" "&amp;INDEX(ポート振替表!$I$5:$I$3507,$L205))</f>
        <v/>
      </c>
      <c r="D205" s="57" t="s">
        <v>158</v>
      </c>
      <c r="E205" s="59" t="str">
        <f aca="false">IF(L205="","",IF(INDEX(ポート振替表!$O$5:$O$3507,$L205)="","(未設定)",INDEX(ポート振替表!$O$5:$O$3507,$L205)&amp;""))</f>
        <v/>
      </c>
      <c r="F205" s="52" t="str">
        <f aca="false">IF(L205="","",INDEX(ポート振替表!$K$5:$K$3507,$L205)&amp;" "&amp;INDEX(ポート振替表!$L$5:$L$3507,$L205)&amp;"  ⇔  "&amp;INDEX(ポート振替表!$H$5:$H$3507,$L205)&amp;" "&amp;INDEX(ポート振替表!$I$5:$I$3507,$L205))</f>
        <v/>
      </c>
      <c r="G205" s="57" t="s">
        <v>158</v>
      </c>
      <c r="H205" s="32" t="str">
        <f aca="false">IF(L205="","",INDEX(ポート振替表!$N$5:$N$3507,$L205)&amp;"")</f>
        <v/>
      </c>
      <c r="I205" s="32" t="str">
        <f aca="false">IF(L205="","",INDEX(ポート振替表!$P$5:$P$3507,$L205)&amp;"")</f>
        <v/>
      </c>
      <c r="J205" s="60" t="str">
        <f aca="false">IF(L205="","",INDEX(ポート振替表!$M$5:$M$3507,$L205)&amp;"")</f>
        <v/>
      </c>
      <c r="K205" s="52" t="str">
        <f aca="false">IF(L205="","",E205&amp;CHAR(10)&amp;INDEX(ポート振替表!$K$5:$K$3507,$L205)&amp;" "&amp;INDEX(ポート振替表!$L$5:$L$3507,$L205)&amp;CHAR(10)&amp;"⇔ "&amp;INDEX(ポート振替表!$H$5:$H$3507,$L205)&amp;" "&amp;INDEX(ポート振替表!$I$5:$I$3507,$L205))</f>
        <v/>
      </c>
      <c r="L205" s="47" t="str">
        <f aca="false">IFERROR(MATCH(ROW()-4,ポート振替表!$V$5:$V$3507,0),"")</f>
        <v/>
      </c>
    </row>
    <row r="206" customFormat="false" ht="16.4" hidden="false" customHeight="false" outlineLevel="0" collapsed="false">
      <c r="A206" s="32" t="str">
        <f aca="false">IF(L206="","",ROW()-4)</f>
        <v/>
      </c>
      <c r="B206" s="58" t="str">
        <f aca="false">IF(L206="","",IF(INDEX(ポート振替表!$W$5:$W$3507,$L206)="","(なし)",INDEX(ポート振替表!$W$5:$W$3507,$L206)&amp;""))</f>
        <v/>
      </c>
      <c r="C206" s="52" t="str">
        <f aca="false">IF(L206="","",INDEX(ポート振替表!$B$5:$B$3507,$L206)&amp;" "&amp;INDEX(ポート振替表!$C$5:$C$3507,$L206)&amp;"  ⇔  "&amp;INDEX(ポート振替表!$H$5:$H$3507,$L206)&amp;" "&amp;INDEX(ポート振替表!$I$5:$I$3507,$L206))</f>
        <v/>
      </c>
      <c r="D206" s="57" t="s">
        <v>158</v>
      </c>
      <c r="E206" s="59" t="str">
        <f aca="false">IF(L206="","",IF(INDEX(ポート振替表!$O$5:$O$3507,$L206)="","(未設定)",INDEX(ポート振替表!$O$5:$O$3507,$L206)&amp;""))</f>
        <v/>
      </c>
      <c r="F206" s="52" t="str">
        <f aca="false">IF(L206="","",INDEX(ポート振替表!$K$5:$K$3507,$L206)&amp;" "&amp;INDEX(ポート振替表!$L$5:$L$3507,$L206)&amp;"  ⇔  "&amp;INDEX(ポート振替表!$H$5:$H$3507,$L206)&amp;" "&amp;INDEX(ポート振替表!$I$5:$I$3507,$L206))</f>
        <v/>
      </c>
      <c r="G206" s="57" t="s">
        <v>158</v>
      </c>
      <c r="H206" s="32" t="str">
        <f aca="false">IF(L206="","",INDEX(ポート振替表!$N$5:$N$3507,$L206)&amp;"")</f>
        <v/>
      </c>
      <c r="I206" s="32" t="str">
        <f aca="false">IF(L206="","",INDEX(ポート振替表!$P$5:$P$3507,$L206)&amp;"")</f>
        <v/>
      </c>
      <c r="J206" s="60" t="str">
        <f aca="false">IF(L206="","",INDEX(ポート振替表!$M$5:$M$3507,$L206)&amp;"")</f>
        <v/>
      </c>
      <c r="K206" s="52" t="str">
        <f aca="false">IF(L206="","",E206&amp;CHAR(10)&amp;INDEX(ポート振替表!$K$5:$K$3507,$L206)&amp;" "&amp;INDEX(ポート振替表!$L$5:$L$3507,$L206)&amp;CHAR(10)&amp;"⇔ "&amp;INDEX(ポート振替表!$H$5:$H$3507,$L206)&amp;" "&amp;INDEX(ポート振替表!$I$5:$I$3507,$L206))</f>
        <v/>
      </c>
      <c r="L206" s="47" t="str">
        <f aca="false">IFERROR(MATCH(ROW()-4,ポート振替表!$V$5:$V$3507,0),"")</f>
        <v/>
      </c>
    </row>
    <row r="207" customFormat="false" ht="16.4" hidden="false" customHeight="false" outlineLevel="0" collapsed="false">
      <c r="A207" s="32" t="str">
        <f aca="false">IF(L207="","",ROW()-4)</f>
        <v/>
      </c>
      <c r="B207" s="58" t="str">
        <f aca="false">IF(L207="","",IF(INDEX(ポート振替表!$W$5:$W$3507,$L207)="","(なし)",INDEX(ポート振替表!$W$5:$W$3507,$L207)&amp;""))</f>
        <v/>
      </c>
      <c r="C207" s="52" t="str">
        <f aca="false">IF(L207="","",INDEX(ポート振替表!$B$5:$B$3507,$L207)&amp;" "&amp;INDEX(ポート振替表!$C$5:$C$3507,$L207)&amp;"  ⇔  "&amp;INDEX(ポート振替表!$H$5:$H$3507,$L207)&amp;" "&amp;INDEX(ポート振替表!$I$5:$I$3507,$L207))</f>
        <v/>
      </c>
      <c r="D207" s="57" t="s">
        <v>158</v>
      </c>
      <c r="E207" s="59" t="str">
        <f aca="false">IF(L207="","",IF(INDEX(ポート振替表!$O$5:$O$3507,$L207)="","(未設定)",INDEX(ポート振替表!$O$5:$O$3507,$L207)&amp;""))</f>
        <v/>
      </c>
      <c r="F207" s="52" t="str">
        <f aca="false">IF(L207="","",INDEX(ポート振替表!$K$5:$K$3507,$L207)&amp;" "&amp;INDEX(ポート振替表!$L$5:$L$3507,$L207)&amp;"  ⇔  "&amp;INDEX(ポート振替表!$H$5:$H$3507,$L207)&amp;" "&amp;INDEX(ポート振替表!$I$5:$I$3507,$L207))</f>
        <v/>
      </c>
      <c r="G207" s="57" t="s">
        <v>158</v>
      </c>
      <c r="H207" s="32" t="str">
        <f aca="false">IF(L207="","",INDEX(ポート振替表!$N$5:$N$3507,$L207)&amp;"")</f>
        <v/>
      </c>
      <c r="I207" s="32" t="str">
        <f aca="false">IF(L207="","",INDEX(ポート振替表!$P$5:$P$3507,$L207)&amp;"")</f>
        <v/>
      </c>
      <c r="J207" s="60" t="str">
        <f aca="false">IF(L207="","",INDEX(ポート振替表!$M$5:$M$3507,$L207)&amp;"")</f>
        <v/>
      </c>
      <c r="K207" s="52" t="str">
        <f aca="false">IF(L207="","",E207&amp;CHAR(10)&amp;INDEX(ポート振替表!$K$5:$K$3507,$L207)&amp;" "&amp;INDEX(ポート振替表!$L$5:$L$3507,$L207)&amp;CHAR(10)&amp;"⇔ "&amp;INDEX(ポート振替表!$H$5:$H$3507,$L207)&amp;" "&amp;INDEX(ポート振替表!$I$5:$I$3507,$L207))</f>
        <v/>
      </c>
      <c r="L207" s="47" t="str">
        <f aca="false">IFERROR(MATCH(ROW()-4,ポート振替表!$V$5:$V$3507,0),"")</f>
        <v/>
      </c>
    </row>
    <row r="208" customFormat="false" ht="16.4" hidden="false" customHeight="false" outlineLevel="0" collapsed="false">
      <c r="A208" s="32" t="str">
        <f aca="false">IF(L208="","",ROW()-4)</f>
        <v/>
      </c>
      <c r="B208" s="58" t="str">
        <f aca="false">IF(L208="","",IF(INDEX(ポート振替表!$W$5:$W$3507,$L208)="","(なし)",INDEX(ポート振替表!$W$5:$W$3507,$L208)&amp;""))</f>
        <v/>
      </c>
      <c r="C208" s="52" t="str">
        <f aca="false">IF(L208="","",INDEX(ポート振替表!$B$5:$B$3507,$L208)&amp;" "&amp;INDEX(ポート振替表!$C$5:$C$3507,$L208)&amp;"  ⇔  "&amp;INDEX(ポート振替表!$H$5:$H$3507,$L208)&amp;" "&amp;INDEX(ポート振替表!$I$5:$I$3507,$L208))</f>
        <v/>
      </c>
      <c r="D208" s="57" t="s">
        <v>158</v>
      </c>
      <c r="E208" s="59" t="str">
        <f aca="false">IF(L208="","",IF(INDEX(ポート振替表!$O$5:$O$3507,$L208)="","(未設定)",INDEX(ポート振替表!$O$5:$O$3507,$L208)&amp;""))</f>
        <v/>
      </c>
      <c r="F208" s="52" t="str">
        <f aca="false">IF(L208="","",INDEX(ポート振替表!$K$5:$K$3507,$L208)&amp;" "&amp;INDEX(ポート振替表!$L$5:$L$3507,$L208)&amp;"  ⇔  "&amp;INDEX(ポート振替表!$H$5:$H$3507,$L208)&amp;" "&amp;INDEX(ポート振替表!$I$5:$I$3507,$L208))</f>
        <v/>
      </c>
      <c r="G208" s="57" t="s">
        <v>158</v>
      </c>
      <c r="H208" s="32" t="str">
        <f aca="false">IF(L208="","",INDEX(ポート振替表!$N$5:$N$3507,$L208)&amp;"")</f>
        <v/>
      </c>
      <c r="I208" s="32" t="str">
        <f aca="false">IF(L208="","",INDEX(ポート振替表!$P$5:$P$3507,$L208)&amp;"")</f>
        <v/>
      </c>
      <c r="J208" s="60" t="str">
        <f aca="false">IF(L208="","",INDEX(ポート振替表!$M$5:$M$3507,$L208)&amp;"")</f>
        <v/>
      </c>
      <c r="K208" s="52" t="str">
        <f aca="false">IF(L208="","",E208&amp;CHAR(10)&amp;INDEX(ポート振替表!$K$5:$K$3507,$L208)&amp;" "&amp;INDEX(ポート振替表!$L$5:$L$3507,$L208)&amp;CHAR(10)&amp;"⇔ "&amp;INDEX(ポート振替表!$H$5:$H$3507,$L208)&amp;" "&amp;INDEX(ポート振替表!$I$5:$I$3507,$L208))</f>
        <v/>
      </c>
      <c r="L208" s="47" t="str">
        <f aca="false">IFERROR(MATCH(ROW()-4,ポート振替表!$V$5:$V$3507,0),"")</f>
        <v/>
      </c>
    </row>
    <row r="209" customFormat="false" ht="16.4" hidden="false" customHeight="false" outlineLevel="0" collapsed="false">
      <c r="A209" s="32" t="str">
        <f aca="false">IF(L209="","",ROW()-4)</f>
        <v/>
      </c>
      <c r="B209" s="58" t="str">
        <f aca="false">IF(L209="","",IF(INDEX(ポート振替表!$W$5:$W$3507,$L209)="","(なし)",INDEX(ポート振替表!$W$5:$W$3507,$L209)&amp;""))</f>
        <v/>
      </c>
      <c r="C209" s="52" t="str">
        <f aca="false">IF(L209="","",INDEX(ポート振替表!$B$5:$B$3507,$L209)&amp;" "&amp;INDEX(ポート振替表!$C$5:$C$3507,$L209)&amp;"  ⇔  "&amp;INDEX(ポート振替表!$H$5:$H$3507,$L209)&amp;" "&amp;INDEX(ポート振替表!$I$5:$I$3507,$L209))</f>
        <v/>
      </c>
      <c r="D209" s="57" t="s">
        <v>158</v>
      </c>
      <c r="E209" s="59" t="str">
        <f aca="false">IF(L209="","",IF(INDEX(ポート振替表!$O$5:$O$3507,$L209)="","(未設定)",INDEX(ポート振替表!$O$5:$O$3507,$L209)&amp;""))</f>
        <v/>
      </c>
      <c r="F209" s="52" t="str">
        <f aca="false">IF(L209="","",INDEX(ポート振替表!$K$5:$K$3507,$L209)&amp;" "&amp;INDEX(ポート振替表!$L$5:$L$3507,$L209)&amp;"  ⇔  "&amp;INDEX(ポート振替表!$H$5:$H$3507,$L209)&amp;" "&amp;INDEX(ポート振替表!$I$5:$I$3507,$L209))</f>
        <v/>
      </c>
      <c r="G209" s="57" t="s">
        <v>158</v>
      </c>
      <c r="H209" s="32" t="str">
        <f aca="false">IF(L209="","",INDEX(ポート振替表!$N$5:$N$3507,$L209)&amp;"")</f>
        <v/>
      </c>
      <c r="I209" s="32" t="str">
        <f aca="false">IF(L209="","",INDEX(ポート振替表!$P$5:$P$3507,$L209)&amp;"")</f>
        <v/>
      </c>
      <c r="J209" s="60" t="str">
        <f aca="false">IF(L209="","",INDEX(ポート振替表!$M$5:$M$3507,$L209)&amp;"")</f>
        <v/>
      </c>
      <c r="K209" s="52" t="str">
        <f aca="false">IF(L209="","",E209&amp;CHAR(10)&amp;INDEX(ポート振替表!$K$5:$K$3507,$L209)&amp;" "&amp;INDEX(ポート振替表!$L$5:$L$3507,$L209)&amp;CHAR(10)&amp;"⇔ "&amp;INDEX(ポート振替表!$H$5:$H$3507,$L209)&amp;" "&amp;INDEX(ポート振替表!$I$5:$I$3507,$L209))</f>
        <v/>
      </c>
      <c r="L209" s="47" t="str">
        <f aca="false">IFERROR(MATCH(ROW()-4,ポート振替表!$V$5:$V$3507,0),"")</f>
        <v/>
      </c>
    </row>
    <row r="210" customFormat="false" ht="16.4" hidden="false" customHeight="false" outlineLevel="0" collapsed="false">
      <c r="A210" s="32" t="str">
        <f aca="false">IF(L210="","",ROW()-4)</f>
        <v/>
      </c>
      <c r="B210" s="58" t="str">
        <f aca="false">IF(L210="","",IF(INDEX(ポート振替表!$W$5:$W$3507,$L210)="","(なし)",INDEX(ポート振替表!$W$5:$W$3507,$L210)&amp;""))</f>
        <v/>
      </c>
      <c r="C210" s="52" t="str">
        <f aca="false">IF(L210="","",INDEX(ポート振替表!$B$5:$B$3507,$L210)&amp;" "&amp;INDEX(ポート振替表!$C$5:$C$3507,$L210)&amp;"  ⇔  "&amp;INDEX(ポート振替表!$H$5:$H$3507,$L210)&amp;" "&amp;INDEX(ポート振替表!$I$5:$I$3507,$L210))</f>
        <v/>
      </c>
      <c r="D210" s="57" t="s">
        <v>158</v>
      </c>
      <c r="E210" s="59" t="str">
        <f aca="false">IF(L210="","",IF(INDEX(ポート振替表!$O$5:$O$3507,$L210)="","(未設定)",INDEX(ポート振替表!$O$5:$O$3507,$L210)&amp;""))</f>
        <v/>
      </c>
      <c r="F210" s="52" t="str">
        <f aca="false">IF(L210="","",INDEX(ポート振替表!$K$5:$K$3507,$L210)&amp;" "&amp;INDEX(ポート振替表!$L$5:$L$3507,$L210)&amp;"  ⇔  "&amp;INDEX(ポート振替表!$H$5:$H$3507,$L210)&amp;" "&amp;INDEX(ポート振替表!$I$5:$I$3507,$L210))</f>
        <v/>
      </c>
      <c r="G210" s="57" t="s">
        <v>158</v>
      </c>
      <c r="H210" s="32" t="str">
        <f aca="false">IF(L210="","",INDEX(ポート振替表!$N$5:$N$3507,$L210)&amp;"")</f>
        <v/>
      </c>
      <c r="I210" s="32" t="str">
        <f aca="false">IF(L210="","",INDEX(ポート振替表!$P$5:$P$3507,$L210)&amp;"")</f>
        <v/>
      </c>
      <c r="J210" s="60" t="str">
        <f aca="false">IF(L210="","",INDEX(ポート振替表!$M$5:$M$3507,$L210)&amp;"")</f>
        <v/>
      </c>
      <c r="K210" s="52" t="str">
        <f aca="false">IF(L210="","",E210&amp;CHAR(10)&amp;INDEX(ポート振替表!$K$5:$K$3507,$L210)&amp;" "&amp;INDEX(ポート振替表!$L$5:$L$3507,$L210)&amp;CHAR(10)&amp;"⇔ "&amp;INDEX(ポート振替表!$H$5:$H$3507,$L210)&amp;" "&amp;INDEX(ポート振替表!$I$5:$I$3507,$L210))</f>
        <v/>
      </c>
      <c r="L210" s="47" t="str">
        <f aca="false">IFERROR(MATCH(ROW()-4,ポート振替表!$V$5:$V$3507,0),"")</f>
        <v/>
      </c>
    </row>
    <row r="211" customFormat="false" ht="16.4" hidden="false" customHeight="false" outlineLevel="0" collapsed="false">
      <c r="A211" s="32" t="str">
        <f aca="false">IF(L211="","",ROW()-4)</f>
        <v/>
      </c>
      <c r="B211" s="58" t="str">
        <f aca="false">IF(L211="","",IF(INDEX(ポート振替表!$W$5:$W$3507,$L211)="","(なし)",INDEX(ポート振替表!$W$5:$W$3507,$L211)&amp;""))</f>
        <v/>
      </c>
      <c r="C211" s="52" t="str">
        <f aca="false">IF(L211="","",INDEX(ポート振替表!$B$5:$B$3507,$L211)&amp;" "&amp;INDEX(ポート振替表!$C$5:$C$3507,$L211)&amp;"  ⇔  "&amp;INDEX(ポート振替表!$H$5:$H$3507,$L211)&amp;" "&amp;INDEX(ポート振替表!$I$5:$I$3507,$L211))</f>
        <v/>
      </c>
      <c r="D211" s="57" t="s">
        <v>158</v>
      </c>
      <c r="E211" s="59" t="str">
        <f aca="false">IF(L211="","",IF(INDEX(ポート振替表!$O$5:$O$3507,$L211)="","(未設定)",INDEX(ポート振替表!$O$5:$O$3507,$L211)&amp;""))</f>
        <v/>
      </c>
      <c r="F211" s="52" t="str">
        <f aca="false">IF(L211="","",INDEX(ポート振替表!$K$5:$K$3507,$L211)&amp;" "&amp;INDEX(ポート振替表!$L$5:$L$3507,$L211)&amp;"  ⇔  "&amp;INDEX(ポート振替表!$H$5:$H$3507,$L211)&amp;" "&amp;INDEX(ポート振替表!$I$5:$I$3507,$L211))</f>
        <v/>
      </c>
      <c r="G211" s="57" t="s">
        <v>158</v>
      </c>
      <c r="H211" s="32" t="str">
        <f aca="false">IF(L211="","",INDEX(ポート振替表!$N$5:$N$3507,$L211)&amp;"")</f>
        <v/>
      </c>
      <c r="I211" s="32" t="str">
        <f aca="false">IF(L211="","",INDEX(ポート振替表!$P$5:$P$3507,$L211)&amp;"")</f>
        <v/>
      </c>
      <c r="J211" s="60" t="str">
        <f aca="false">IF(L211="","",INDEX(ポート振替表!$M$5:$M$3507,$L211)&amp;"")</f>
        <v/>
      </c>
      <c r="K211" s="52" t="str">
        <f aca="false">IF(L211="","",E211&amp;CHAR(10)&amp;INDEX(ポート振替表!$K$5:$K$3507,$L211)&amp;" "&amp;INDEX(ポート振替表!$L$5:$L$3507,$L211)&amp;CHAR(10)&amp;"⇔ "&amp;INDEX(ポート振替表!$H$5:$H$3507,$L211)&amp;" "&amp;INDEX(ポート振替表!$I$5:$I$3507,$L211))</f>
        <v/>
      </c>
      <c r="L211" s="47" t="str">
        <f aca="false">IFERROR(MATCH(ROW()-4,ポート振替表!$V$5:$V$3507,0),"")</f>
        <v/>
      </c>
    </row>
    <row r="212" customFormat="false" ht="16.4" hidden="false" customHeight="false" outlineLevel="0" collapsed="false">
      <c r="A212" s="32" t="str">
        <f aca="false">IF(L212="","",ROW()-4)</f>
        <v/>
      </c>
      <c r="B212" s="58" t="str">
        <f aca="false">IF(L212="","",IF(INDEX(ポート振替表!$W$5:$W$3507,$L212)="","(なし)",INDEX(ポート振替表!$W$5:$W$3507,$L212)&amp;""))</f>
        <v/>
      </c>
      <c r="C212" s="52" t="str">
        <f aca="false">IF(L212="","",INDEX(ポート振替表!$B$5:$B$3507,$L212)&amp;" "&amp;INDEX(ポート振替表!$C$5:$C$3507,$L212)&amp;"  ⇔  "&amp;INDEX(ポート振替表!$H$5:$H$3507,$L212)&amp;" "&amp;INDEX(ポート振替表!$I$5:$I$3507,$L212))</f>
        <v/>
      </c>
      <c r="D212" s="57" t="s">
        <v>158</v>
      </c>
      <c r="E212" s="59" t="str">
        <f aca="false">IF(L212="","",IF(INDEX(ポート振替表!$O$5:$O$3507,$L212)="","(未設定)",INDEX(ポート振替表!$O$5:$O$3507,$L212)&amp;""))</f>
        <v/>
      </c>
      <c r="F212" s="52" t="str">
        <f aca="false">IF(L212="","",INDEX(ポート振替表!$K$5:$K$3507,$L212)&amp;" "&amp;INDEX(ポート振替表!$L$5:$L$3507,$L212)&amp;"  ⇔  "&amp;INDEX(ポート振替表!$H$5:$H$3507,$L212)&amp;" "&amp;INDEX(ポート振替表!$I$5:$I$3507,$L212))</f>
        <v/>
      </c>
      <c r="G212" s="57" t="s">
        <v>158</v>
      </c>
      <c r="H212" s="32" t="str">
        <f aca="false">IF(L212="","",INDEX(ポート振替表!$N$5:$N$3507,$L212)&amp;"")</f>
        <v/>
      </c>
      <c r="I212" s="32" t="str">
        <f aca="false">IF(L212="","",INDEX(ポート振替表!$P$5:$P$3507,$L212)&amp;"")</f>
        <v/>
      </c>
      <c r="J212" s="60" t="str">
        <f aca="false">IF(L212="","",INDEX(ポート振替表!$M$5:$M$3507,$L212)&amp;"")</f>
        <v/>
      </c>
      <c r="K212" s="52" t="str">
        <f aca="false">IF(L212="","",E212&amp;CHAR(10)&amp;INDEX(ポート振替表!$K$5:$K$3507,$L212)&amp;" "&amp;INDEX(ポート振替表!$L$5:$L$3507,$L212)&amp;CHAR(10)&amp;"⇔ "&amp;INDEX(ポート振替表!$H$5:$H$3507,$L212)&amp;" "&amp;INDEX(ポート振替表!$I$5:$I$3507,$L212))</f>
        <v/>
      </c>
      <c r="L212" s="47" t="str">
        <f aca="false">IFERROR(MATCH(ROW()-4,ポート振替表!$V$5:$V$3507,0),"")</f>
        <v/>
      </c>
    </row>
    <row r="213" customFormat="false" ht="16.4" hidden="false" customHeight="false" outlineLevel="0" collapsed="false">
      <c r="A213" s="32" t="str">
        <f aca="false">IF(L213="","",ROW()-4)</f>
        <v/>
      </c>
      <c r="B213" s="58" t="str">
        <f aca="false">IF(L213="","",IF(INDEX(ポート振替表!$W$5:$W$3507,$L213)="","(なし)",INDEX(ポート振替表!$W$5:$W$3507,$L213)&amp;""))</f>
        <v/>
      </c>
      <c r="C213" s="52" t="str">
        <f aca="false">IF(L213="","",INDEX(ポート振替表!$B$5:$B$3507,$L213)&amp;" "&amp;INDEX(ポート振替表!$C$5:$C$3507,$L213)&amp;"  ⇔  "&amp;INDEX(ポート振替表!$H$5:$H$3507,$L213)&amp;" "&amp;INDEX(ポート振替表!$I$5:$I$3507,$L213))</f>
        <v/>
      </c>
      <c r="D213" s="57" t="s">
        <v>158</v>
      </c>
      <c r="E213" s="59" t="str">
        <f aca="false">IF(L213="","",IF(INDEX(ポート振替表!$O$5:$O$3507,$L213)="","(未設定)",INDEX(ポート振替表!$O$5:$O$3507,$L213)&amp;""))</f>
        <v/>
      </c>
      <c r="F213" s="52" t="str">
        <f aca="false">IF(L213="","",INDEX(ポート振替表!$K$5:$K$3507,$L213)&amp;" "&amp;INDEX(ポート振替表!$L$5:$L$3507,$L213)&amp;"  ⇔  "&amp;INDEX(ポート振替表!$H$5:$H$3507,$L213)&amp;" "&amp;INDEX(ポート振替表!$I$5:$I$3507,$L213))</f>
        <v/>
      </c>
      <c r="G213" s="57" t="s">
        <v>158</v>
      </c>
      <c r="H213" s="32" t="str">
        <f aca="false">IF(L213="","",INDEX(ポート振替表!$N$5:$N$3507,$L213)&amp;"")</f>
        <v/>
      </c>
      <c r="I213" s="32" t="str">
        <f aca="false">IF(L213="","",INDEX(ポート振替表!$P$5:$P$3507,$L213)&amp;"")</f>
        <v/>
      </c>
      <c r="J213" s="60" t="str">
        <f aca="false">IF(L213="","",INDEX(ポート振替表!$M$5:$M$3507,$L213)&amp;"")</f>
        <v/>
      </c>
      <c r="K213" s="52" t="str">
        <f aca="false">IF(L213="","",E213&amp;CHAR(10)&amp;INDEX(ポート振替表!$K$5:$K$3507,$L213)&amp;" "&amp;INDEX(ポート振替表!$L$5:$L$3507,$L213)&amp;CHAR(10)&amp;"⇔ "&amp;INDEX(ポート振替表!$H$5:$H$3507,$L213)&amp;" "&amp;INDEX(ポート振替表!$I$5:$I$3507,$L213))</f>
        <v/>
      </c>
      <c r="L213" s="47" t="str">
        <f aca="false">IFERROR(MATCH(ROW()-4,ポート振替表!$V$5:$V$3507,0),"")</f>
        <v/>
      </c>
    </row>
    <row r="214" customFormat="false" ht="16.4" hidden="false" customHeight="false" outlineLevel="0" collapsed="false">
      <c r="A214" s="32" t="str">
        <f aca="false">IF(L214="","",ROW()-4)</f>
        <v/>
      </c>
      <c r="B214" s="58" t="str">
        <f aca="false">IF(L214="","",IF(INDEX(ポート振替表!$W$5:$W$3507,$L214)="","(なし)",INDEX(ポート振替表!$W$5:$W$3507,$L214)&amp;""))</f>
        <v/>
      </c>
      <c r="C214" s="52" t="str">
        <f aca="false">IF(L214="","",INDEX(ポート振替表!$B$5:$B$3507,$L214)&amp;" "&amp;INDEX(ポート振替表!$C$5:$C$3507,$L214)&amp;"  ⇔  "&amp;INDEX(ポート振替表!$H$5:$H$3507,$L214)&amp;" "&amp;INDEX(ポート振替表!$I$5:$I$3507,$L214))</f>
        <v/>
      </c>
      <c r="D214" s="57" t="s">
        <v>158</v>
      </c>
      <c r="E214" s="59" t="str">
        <f aca="false">IF(L214="","",IF(INDEX(ポート振替表!$O$5:$O$3507,$L214)="","(未設定)",INDEX(ポート振替表!$O$5:$O$3507,$L214)&amp;""))</f>
        <v/>
      </c>
      <c r="F214" s="52" t="str">
        <f aca="false">IF(L214="","",INDEX(ポート振替表!$K$5:$K$3507,$L214)&amp;" "&amp;INDEX(ポート振替表!$L$5:$L$3507,$L214)&amp;"  ⇔  "&amp;INDEX(ポート振替表!$H$5:$H$3507,$L214)&amp;" "&amp;INDEX(ポート振替表!$I$5:$I$3507,$L214))</f>
        <v/>
      </c>
      <c r="G214" s="57" t="s">
        <v>158</v>
      </c>
      <c r="H214" s="32" t="str">
        <f aca="false">IF(L214="","",INDEX(ポート振替表!$N$5:$N$3507,$L214)&amp;"")</f>
        <v/>
      </c>
      <c r="I214" s="32" t="str">
        <f aca="false">IF(L214="","",INDEX(ポート振替表!$P$5:$P$3507,$L214)&amp;"")</f>
        <v/>
      </c>
      <c r="J214" s="60" t="str">
        <f aca="false">IF(L214="","",INDEX(ポート振替表!$M$5:$M$3507,$L214)&amp;"")</f>
        <v/>
      </c>
      <c r="K214" s="52" t="str">
        <f aca="false">IF(L214="","",E214&amp;CHAR(10)&amp;INDEX(ポート振替表!$K$5:$K$3507,$L214)&amp;" "&amp;INDEX(ポート振替表!$L$5:$L$3507,$L214)&amp;CHAR(10)&amp;"⇔ "&amp;INDEX(ポート振替表!$H$5:$H$3507,$L214)&amp;" "&amp;INDEX(ポート振替表!$I$5:$I$3507,$L214))</f>
        <v/>
      </c>
      <c r="L214" s="47" t="str">
        <f aca="false">IFERROR(MATCH(ROW()-4,ポート振替表!$V$5:$V$3507,0),"")</f>
        <v/>
      </c>
    </row>
    <row r="215" customFormat="false" ht="16.4" hidden="false" customHeight="false" outlineLevel="0" collapsed="false">
      <c r="A215" s="32" t="str">
        <f aca="false">IF(L215="","",ROW()-4)</f>
        <v/>
      </c>
      <c r="B215" s="58" t="str">
        <f aca="false">IF(L215="","",IF(INDEX(ポート振替表!$W$5:$W$3507,$L215)="","(なし)",INDEX(ポート振替表!$W$5:$W$3507,$L215)&amp;""))</f>
        <v/>
      </c>
      <c r="C215" s="52" t="str">
        <f aca="false">IF(L215="","",INDEX(ポート振替表!$B$5:$B$3507,$L215)&amp;" "&amp;INDEX(ポート振替表!$C$5:$C$3507,$L215)&amp;"  ⇔  "&amp;INDEX(ポート振替表!$H$5:$H$3507,$L215)&amp;" "&amp;INDEX(ポート振替表!$I$5:$I$3507,$L215))</f>
        <v/>
      </c>
      <c r="D215" s="57" t="s">
        <v>158</v>
      </c>
      <c r="E215" s="59" t="str">
        <f aca="false">IF(L215="","",IF(INDEX(ポート振替表!$O$5:$O$3507,$L215)="","(未設定)",INDEX(ポート振替表!$O$5:$O$3507,$L215)&amp;""))</f>
        <v/>
      </c>
      <c r="F215" s="52" t="str">
        <f aca="false">IF(L215="","",INDEX(ポート振替表!$K$5:$K$3507,$L215)&amp;" "&amp;INDEX(ポート振替表!$L$5:$L$3507,$L215)&amp;"  ⇔  "&amp;INDEX(ポート振替表!$H$5:$H$3507,$L215)&amp;" "&amp;INDEX(ポート振替表!$I$5:$I$3507,$L215))</f>
        <v/>
      </c>
      <c r="G215" s="57" t="s">
        <v>158</v>
      </c>
      <c r="H215" s="32" t="str">
        <f aca="false">IF(L215="","",INDEX(ポート振替表!$N$5:$N$3507,$L215)&amp;"")</f>
        <v/>
      </c>
      <c r="I215" s="32" t="str">
        <f aca="false">IF(L215="","",INDEX(ポート振替表!$P$5:$P$3507,$L215)&amp;"")</f>
        <v/>
      </c>
      <c r="J215" s="60" t="str">
        <f aca="false">IF(L215="","",INDEX(ポート振替表!$M$5:$M$3507,$L215)&amp;"")</f>
        <v/>
      </c>
      <c r="K215" s="52" t="str">
        <f aca="false">IF(L215="","",E215&amp;CHAR(10)&amp;INDEX(ポート振替表!$K$5:$K$3507,$L215)&amp;" "&amp;INDEX(ポート振替表!$L$5:$L$3507,$L215)&amp;CHAR(10)&amp;"⇔ "&amp;INDEX(ポート振替表!$H$5:$H$3507,$L215)&amp;" "&amp;INDEX(ポート振替表!$I$5:$I$3507,$L215))</f>
        <v/>
      </c>
      <c r="L215" s="47" t="str">
        <f aca="false">IFERROR(MATCH(ROW()-4,ポート振替表!$V$5:$V$3507,0),"")</f>
        <v/>
      </c>
    </row>
    <row r="216" customFormat="false" ht="16.4" hidden="false" customHeight="false" outlineLevel="0" collapsed="false">
      <c r="A216" s="32" t="str">
        <f aca="false">IF(L216="","",ROW()-4)</f>
        <v/>
      </c>
      <c r="B216" s="58" t="str">
        <f aca="false">IF(L216="","",IF(INDEX(ポート振替表!$W$5:$W$3507,$L216)="","(なし)",INDEX(ポート振替表!$W$5:$W$3507,$L216)&amp;""))</f>
        <v/>
      </c>
      <c r="C216" s="52" t="str">
        <f aca="false">IF(L216="","",INDEX(ポート振替表!$B$5:$B$3507,$L216)&amp;" "&amp;INDEX(ポート振替表!$C$5:$C$3507,$L216)&amp;"  ⇔  "&amp;INDEX(ポート振替表!$H$5:$H$3507,$L216)&amp;" "&amp;INDEX(ポート振替表!$I$5:$I$3507,$L216))</f>
        <v/>
      </c>
      <c r="D216" s="57" t="s">
        <v>158</v>
      </c>
      <c r="E216" s="59" t="str">
        <f aca="false">IF(L216="","",IF(INDEX(ポート振替表!$O$5:$O$3507,$L216)="","(未設定)",INDEX(ポート振替表!$O$5:$O$3507,$L216)&amp;""))</f>
        <v/>
      </c>
      <c r="F216" s="52" t="str">
        <f aca="false">IF(L216="","",INDEX(ポート振替表!$K$5:$K$3507,$L216)&amp;" "&amp;INDEX(ポート振替表!$L$5:$L$3507,$L216)&amp;"  ⇔  "&amp;INDEX(ポート振替表!$H$5:$H$3507,$L216)&amp;" "&amp;INDEX(ポート振替表!$I$5:$I$3507,$L216))</f>
        <v/>
      </c>
      <c r="G216" s="57" t="s">
        <v>158</v>
      </c>
      <c r="H216" s="32" t="str">
        <f aca="false">IF(L216="","",INDEX(ポート振替表!$N$5:$N$3507,$L216)&amp;"")</f>
        <v/>
      </c>
      <c r="I216" s="32" t="str">
        <f aca="false">IF(L216="","",INDEX(ポート振替表!$P$5:$P$3507,$L216)&amp;"")</f>
        <v/>
      </c>
      <c r="J216" s="60" t="str">
        <f aca="false">IF(L216="","",INDEX(ポート振替表!$M$5:$M$3507,$L216)&amp;"")</f>
        <v/>
      </c>
      <c r="K216" s="52" t="str">
        <f aca="false">IF(L216="","",E216&amp;CHAR(10)&amp;INDEX(ポート振替表!$K$5:$K$3507,$L216)&amp;" "&amp;INDEX(ポート振替表!$L$5:$L$3507,$L216)&amp;CHAR(10)&amp;"⇔ "&amp;INDEX(ポート振替表!$H$5:$H$3507,$L216)&amp;" "&amp;INDEX(ポート振替表!$I$5:$I$3507,$L216))</f>
        <v/>
      </c>
      <c r="L216" s="47" t="str">
        <f aca="false">IFERROR(MATCH(ROW()-4,ポート振替表!$V$5:$V$3507,0),"")</f>
        <v/>
      </c>
    </row>
    <row r="217" customFormat="false" ht="16.4" hidden="false" customHeight="false" outlineLevel="0" collapsed="false">
      <c r="A217" s="32" t="str">
        <f aca="false">IF(L217="","",ROW()-4)</f>
        <v/>
      </c>
      <c r="B217" s="58" t="str">
        <f aca="false">IF(L217="","",IF(INDEX(ポート振替表!$W$5:$W$3507,$L217)="","(なし)",INDEX(ポート振替表!$W$5:$W$3507,$L217)&amp;""))</f>
        <v/>
      </c>
      <c r="C217" s="52" t="str">
        <f aca="false">IF(L217="","",INDEX(ポート振替表!$B$5:$B$3507,$L217)&amp;" "&amp;INDEX(ポート振替表!$C$5:$C$3507,$L217)&amp;"  ⇔  "&amp;INDEX(ポート振替表!$H$5:$H$3507,$L217)&amp;" "&amp;INDEX(ポート振替表!$I$5:$I$3507,$L217))</f>
        <v/>
      </c>
      <c r="D217" s="57" t="s">
        <v>158</v>
      </c>
      <c r="E217" s="59" t="str">
        <f aca="false">IF(L217="","",IF(INDEX(ポート振替表!$O$5:$O$3507,$L217)="","(未設定)",INDEX(ポート振替表!$O$5:$O$3507,$L217)&amp;""))</f>
        <v/>
      </c>
      <c r="F217" s="52" t="str">
        <f aca="false">IF(L217="","",INDEX(ポート振替表!$K$5:$K$3507,$L217)&amp;" "&amp;INDEX(ポート振替表!$L$5:$L$3507,$L217)&amp;"  ⇔  "&amp;INDEX(ポート振替表!$H$5:$H$3507,$L217)&amp;" "&amp;INDEX(ポート振替表!$I$5:$I$3507,$L217))</f>
        <v/>
      </c>
      <c r="G217" s="57" t="s">
        <v>158</v>
      </c>
      <c r="H217" s="32" t="str">
        <f aca="false">IF(L217="","",INDEX(ポート振替表!$N$5:$N$3507,$L217)&amp;"")</f>
        <v/>
      </c>
      <c r="I217" s="32" t="str">
        <f aca="false">IF(L217="","",INDEX(ポート振替表!$P$5:$P$3507,$L217)&amp;"")</f>
        <v/>
      </c>
      <c r="J217" s="60" t="str">
        <f aca="false">IF(L217="","",INDEX(ポート振替表!$M$5:$M$3507,$L217)&amp;"")</f>
        <v/>
      </c>
      <c r="K217" s="52" t="str">
        <f aca="false">IF(L217="","",E217&amp;CHAR(10)&amp;INDEX(ポート振替表!$K$5:$K$3507,$L217)&amp;" "&amp;INDEX(ポート振替表!$L$5:$L$3507,$L217)&amp;CHAR(10)&amp;"⇔ "&amp;INDEX(ポート振替表!$H$5:$H$3507,$L217)&amp;" "&amp;INDEX(ポート振替表!$I$5:$I$3507,$L217))</f>
        <v/>
      </c>
      <c r="L217" s="47" t="str">
        <f aca="false">IFERROR(MATCH(ROW()-4,ポート振替表!$V$5:$V$3507,0),"")</f>
        <v/>
      </c>
    </row>
    <row r="218" customFormat="false" ht="16.4" hidden="false" customHeight="false" outlineLevel="0" collapsed="false">
      <c r="A218" s="32" t="str">
        <f aca="false">IF(L218="","",ROW()-4)</f>
        <v/>
      </c>
      <c r="B218" s="58" t="str">
        <f aca="false">IF(L218="","",IF(INDEX(ポート振替表!$W$5:$W$3507,$L218)="","(なし)",INDEX(ポート振替表!$W$5:$W$3507,$L218)&amp;""))</f>
        <v/>
      </c>
      <c r="C218" s="52" t="str">
        <f aca="false">IF(L218="","",INDEX(ポート振替表!$B$5:$B$3507,$L218)&amp;" "&amp;INDEX(ポート振替表!$C$5:$C$3507,$L218)&amp;"  ⇔  "&amp;INDEX(ポート振替表!$H$5:$H$3507,$L218)&amp;" "&amp;INDEX(ポート振替表!$I$5:$I$3507,$L218))</f>
        <v/>
      </c>
      <c r="D218" s="57" t="s">
        <v>158</v>
      </c>
      <c r="E218" s="59" t="str">
        <f aca="false">IF(L218="","",IF(INDEX(ポート振替表!$O$5:$O$3507,$L218)="","(未設定)",INDEX(ポート振替表!$O$5:$O$3507,$L218)&amp;""))</f>
        <v/>
      </c>
      <c r="F218" s="52" t="str">
        <f aca="false">IF(L218="","",INDEX(ポート振替表!$K$5:$K$3507,$L218)&amp;" "&amp;INDEX(ポート振替表!$L$5:$L$3507,$L218)&amp;"  ⇔  "&amp;INDEX(ポート振替表!$H$5:$H$3507,$L218)&amp;" "&amp;INDEX(ポート振替表!$I$5:$I$3507,$L218))</f>
        <v/>
      </c>
      <c r="G218" s="57" t="s">
        <v>158</v>
      </c>
      <c r="H218" s="32" t="str">
        <f aca="false">IF(L218="","",INDEX(ポート振替表!$N$5:$N$3507,$L218)&amp;"")</f>
        <v/>
      </c>
      <c r="I218" s="32" t="str">
        <f aca="false">IF(L218="","",INDEX(ポート振替表!$P$5:$P$3507,$L218)&amp;"")</f>
        <v/>
      </c>
      <c r="J218" s="60" t="str">
        <f aca="false">IF(L218="","",INDEX(ポート振替表!$M$5:$M$3507,$L218)&amp;"")</f>
        <v/>
      </c>
      <c r="K218" s="52" t="str">
        <f aca="false">IF(L218="","",E218&amp;CHAR(10)&amp;INDEX(ポート振替表!$K$5:$K$3507,$L218)&amp;" "&amp;INDEX(ポート振替表!$L$5:$L$3507,$L218)&amp;CHAR(10)&amp;"⇔ "&amp;INDEX(ポート振替表!$H$5:$H$3507,$L218)&amp;" "&amp;INDEX(ポート振替表!$I$5:$I$3507,$L218))</f>
        <v/>
      </c>
      <c r="L218" s="47" t="str">
        <f aca="false">IFERROR(MATCH(ROW()-4,ポート振替表!$V$5:$V$3507,0),"")</f>
        <v/>
      </c>
    </row>
    <row r="219" customFormat="false" ht="16.4" hidden="false" customHeight="false" outlineLevel="0" collapsed="false">
      <c r="A219" s="32" t="str">
        <f aca="false">IF(L219="","",ROW()-4)</f>
        <v/>
      </c>
      <c r="B219" s="58" t="str">
        <f aca="false">IF(L219="","",IF(INDEX(ポート振替表!$W$5:$W$3507,$L219)="","(なし)",INDEX(ポート振替表!$W$5:$W$3507,$L219)&amp;""))</f>
        <v/>
      </c>
      <c r="C219" s="52" t="str">
        <f aca="false">IF(L219="","",INDEX(ポート振替表!$B$5:$B$3507,$L219)&amp;" "&amp;INDEX(ポート振替表!$C$5:$C$3507,$L219)&amp;"  ⇔  "&amp;INDEX(ポート振替表!$H$5:$H$3507,$L219)&amp;" "&amp;INDEX(ポート振替表!$I$5:$I$3507,$L219))</f>
        <v/>
      </c>
      <c r="D219" s="57" t="s">
        <v>158</v>
      </c>
      <c r="E219" s="59" t="str">
        <f aca="false">IF(L219="","",IF(INDEX(ポート振替表!$O$5:$O$3507,$L219)="","(未設定)",INDEX(ポート振替表!$O$5:$O$3507,$L219)&amp;""))</f>
        <v/>
      </c>
      <c r="F219" s="52" t="str">
        <f aca="false">IF(L219="","",INDEX(ポート振替表!$K$5:$K$3507,$L219)&amp;" "&amp;INDEX(ポート振替表!$L$5:$L$3507,$L219)&amp;"  ⇔  "&amp;INDEX(ポート振替表!$H$5:$H$3507,$L219)&amp;" "&amp;INDEX(ポート振替表!$I$5:$I$3507,$L219))</f>
        <v/>
      </c>
      <c r="G219" s="57" t="s">
        <v>158</v>
      </c>
      <c r="H219" s="32" t="str">
        <f aca="false">IF(L219="","",INDEX(ポート振替表!$N$5:$N$3507,$L219)&amp;"")</f>
        <v/>
      </c>
      <c r="I219" s="32" t="str">
        <f aca="false">IF(L219="","",INDEX(ポート振替表!$P$5:$P$3507,$L219)&amp;"")</f>
        <v/>
      </c>
      <c r="J219" s="60" t="str">
        <f aca="false">IF(L219="","",INDEX(ポート振替表!$M$5:$M$3507,$L219)&amp;"")</f>
        <v/>
      </c>
      <c r="K219" s="52" t="str">
        <f aca="false">IF(L219="","",E219&amp;CHAR(10)&amp;INDEX(ポート振替表!$K$5:$K$3507,$L219)&amp;" "&amp;INDEX(ポート振替表!$L$5:$L$3507,$L219)&amp;CHAR(10)&amp;"⇔ "&amp;INDEX(ポート振替表!$H$5:$H$3507,$L219)&amp;" "&amp;INDEX(ポート振替表!$I$5:$I$3507,$L219))</f>
        <v/>
      </c>
      <c r="L219" s="47" t="str">
        <f aca="false">IFERROR(MATCH(ROW()-4,ポート振替表!$V$5:$V$3507,0),"")</f>
        <v/>
      </c>
    </row>
    <row r="220" customFormat="false" ht="16.4" hidden="false" customHeight="false" outlineLevel="0" collapsed="false">
      <c r="A220" s="32" t="str">
        <f aca="false">IF(L220="","",ROW()-4)</f>
        <v/>
      </c>
      <c r="B220" s="58" t="str">
        <f aca="false">IF(L220="","",IF(INDEX(ポート振替表!$W$5:$W$3507,$L220)="","(なし)",INDEX(ポート振替表!$W$5:$W$3507,$L220)&amp;""))</f>
        <v/>
      </c>
      <c r="C220" s="52" t="str">
        <f aca="false">IF(L220="","",INDEX(ポート振替表!$B$5:$B$3507,$L220)&amp;" "&amp;INDEX(ポート振替表!$C$5:$C$3507,$L220)&amp;"  ⇔  "&amp;INDEX(ポート振替表!$H$5:$H$3507,$L220)&amp;" "&amp;INDEX(ポート振替表!$I$5:$I$3507,$L220))</f>
        <v/>
      </c>
      <c r="D220" s="57" t="s">
        <v>158</v>
      </c>
      <c r="E220" s="59" t="str">
        <f aca="false">IF(L220="","",IF(INDEX(ポート振替表!$O$5:$O$3507,$L220)="","(未設定)",INDEX(ポート振替表!$O$5:$O$3507,$L220)&amp;""))</f>
        <v/>
      </c>
      <c r="F220" s="52" t="str">
        <f aca="false">IF(L220="","",INDEX(ポート振替表!$K$5:$K$3507,$L220)&amp;" "&amp;INDEX(ポート振替表!$L$5:$L$3507,$L220)&amp;"  ⇔  "&amp;INDEX(ポート振替表!$H$5:$H$3507,$L220)&amp;" "&amp;INDEX(ポート振替表!$I$5:$I$3507,$L220))</f>
        <v/>
      </c>
      <c r="G220" s="57" t="s">
        <v>158</v>
      </c>
      <c r="H220" s="32" t="str">
        <f aca="false">IF(L220="","",INDEX(ポート振替表!$N$5:$N$3507,$L220)&amp;"")</f>
        <v/>
      </c>
      <c r="I220" s="32" t="str">
        <f aca="false">IF(L220="","",INDEX(ポート振替表!$P$5:$P$3507,$L220)&amp;"")</f>
        <v/>
      </c>
      <c r="J220" s="60" t="str">
        <f aca="false">IF(L220="","",INDEX(ポート振替表!$M$5:$M$3507,$L220)&amp;"")</f>
        <v/>
      </c>
      <c r="K220" s="52" t="str">
        <f aca="false">IF(L220="","",E220&amp;CHAR(10)&amp;INDEX(ポート振替表!$K$5:$K$3507,$L220)&amp;" "&amp;INDEX(ポート振替表!$L$5:$L$3507,$L220)&amp;CHAR(10)&amp;"⇔ "&amp;INDEX(ポート振替表!$H$5:$H$3507,$L220)&amp;" "&amp;INDEX(ポート振替表!$I$5:$I$3507,$L220))</f>
        <v/>
      </c>
      <c r="L220" s="47" t="str">
        <f aca="false">IFERROR(MATCH(ROW()-4,ポート振替表!$V$5:$V$3507,0),"")</f>
        <v/>
      </c>
    </row>
    <row r="221" customFormat="false" ht="16.4" hidden="false" customHeight="false" outlineLevel="0" collapsed="false">
      <c r="A221" s="32" t="str">
        <f aca="false">IF(L221="","",ROW()-4)</f>
        <v/>
      </c>
      <c r="B221" s="58" t="str">
        <f aca="false">IF(L221="","",IF(INDEX(ポート振替表!$W$5:$W$3507,$L221)="","(なし)",INDEX(ポート振替表!$W$5:$W$3507,$L221)&amp;""))</f>
        <v/>
      </c>
      <c r="C221" s="52" t="str">
        <f aca="false">IF(L221="","",INDEX(ポート振替表!$B$5:$B$3507,$L221)&amp;" "&amp;INDEX(ポート振替表!$C$5:$C$3507,$L221)&amp;"  ⇔  "&amp;INDEX(ポート振替表!$H$5:$H$3507,$L221)&amp;" "&amp;INDEX(ポート振替表!$I$5:$I$3507,$L221))</f>
        <v/>
      </c>
      <c r="D221" s="57" t="s">
        <v>158</v>
      </c>
      <c r="E221" s="59" t="str">
        <f aca="false">IF(L221="","",IF(INDEX(ポート振替表!$O$5:$O$3507,$L221)="","(未設定)",INDEX(ポート振替表!$O$5:$O$3507,$L221)&amp;""))</f>
        <v/>
      </c>
      <c r="F221" s="52" t="str">
        <f aca="false">IF(L221="","",INDEX(ポート振替表!$K$5:$K$3507,$L221)&amp;" "&amp;INDEX(ポート振替表!$L$5:$L$3507,$L221)&amp;"  ⇔  "&amp;INDEX(ポート振替表!$H$5:$H$3507,$L221)&amp;" "&amp;INDEX(ポート振替表!$I$5:$I$3507,$L221))</f>
        <v/>
      </c>
      <c r="G221" s="57" t="s">
        <v>158</v>
      </c>
      <c r="H221" s="32" t="str">
        <f aca="false">IF(L221="","",INDEX(ポート振替表!$N$5:$N$3507,$L221)&amp;"")</f>
        <v/>
      </c>
      <c r="I221" s="32" t="str">
        <f aca="false">IF(L221="","",INDEX(ポート振替表!$P$5:$P$3507,$L221)&amp;"")</f>
        <v/>
      </c>
      <c r="J221" s="60" t="str">
        <f aca="false">IF(L221="","",INDEX(ポート振替表!$M$5:$M$3507,$L221)&amp;"")</f>
        <v/>
      </c>
      <c r="K221" s="52" t="str">
        <f aca="false">IF(L221="","",E221&amp;CHAR(10)&amp;INDEX(ポート振替表!$K$5:$K$3507,$L221)&amp;" "&amp;INDEX(ポート振替表!$L$5:$L$3507,$L221)&amp;CHAR(10)&amp;"⇔ "&amp;INDEX(ポート振替表!$H$5:$H$3507,$L221)&amp;" "&amp;INDEX(ポート振替表!$I$5:$I$3507,$L221))</f>
        <v/>
      </c>
      <c r="L221" s="47" t="str">
        <f aca="false">IFERROR(MATCH(ROW()-4,ポート振替表!$V$5:$V$3507,0),"")</f>
        <v/>
      </c>
    </row>
    <row r="222" customFormat="false" ht="16.4" hidden="false" customHeight="false" outlineLevel="0" collapsed="false">
      <c r="A222" s="32" t="str">
        <f aca="false">IF(L222="","",ROW()-4)</f>
        <v/>
      </c>
      <c r="B222" s="58" t="str">
        <f aca="false">IF(L222="","",IF(INDEX(ポート振替表!$W$5:$W$3507,$L222)="","(なし)",INDEX(ポート振替表!$W$5:$W$3507,$L222)&amp;""))</f>
        <v/>
      </c>
      <c r="C222" s="52" t="str">
        <f aca="false">IF(L222="","",INDEX(ポート振替表!$B$5:$B$3507,$L222)&amp;" "&amp;INDEX(ポート振替表!$C$5:$C$3507,$L222)&amp;"  ⇔  "&amp;INDEX(ポート振替表!$H$5:$H$3507,$L222)&amp;" "&amp;INDEX(ポート振替表!$I$5:$I$3507,$L222))</f>
        <v/>
      </c>
      <c r="D222" s="57" t="s">
        <v>158</v>
      </c>
      <c r="E222" s="59" t="str">
        <f aca="false">IF(L222="","",IF(INDEX(ポート振替表!$O$5:$O$3507,$L222)="","(未設定)",INDEX(ポート振替表!$O$5:$O$3507,$L222)&amp;""))</f>
        <v/>
      </c>
      <c r="F222" s="52" t="str">
        <f aca="false">IF(L222="","",INDEX(ポート振替表!$K$5:$K$3507,$L222)&amp;" "&amp;INDEX(ポート振替表!$L$5:$L$3507,$L222)&amp;"  ⇔  "&amp;INDEX(ポート振替表!$H$5:$H$3507,$L222)&amp;" "&amp;INDEX(ポート振替表!$I$5:$I$3507,$L222))</f>
        <v/>
      </c>
      <c r="G222" s="57" t="s">
        <v>158</v>
      </c>
      <c r="H222" s="32" t="str">
        <f aca="false">IF(L222="","",INDEX(ポート振替表!$N$5:$N$3507,$L222)&amp;"")</f>
        <v/>
      </c>
      <c r="I222" s="32" t="str">
        <f aca="false">IF(L222="","",INDEX(ポート振替表!$P$5:$P$3507,$L222)&amp;"")</f>
        <v/>
      </c>
      <c r="J222" s="60" t="str">
        <f aca="false">IF(L222="","",INDEX(ポート振替表!$M$5:$M$3507,$L222)&amp;"")</f>
        <v/>
      </c>
      <c r="K222" s="52" t="str">
        <f aca="false">IF(L222="","",E222&amp;CHAR(10)&amp;INDEX(ポート振替表!$K$5:$K$3507,$L222)&amp;" "&amp;INDEX(ポート振替表!$L$5:$L$3507,$L222)&amp;CHAR(10)&amp;"⇔ "&amp;INDEX(ポート振替表!$H$5:$H$3507,$L222)&amp;" "&amp;INDEX(ポート振替表!$I$5:$I$3507,$L222))</f>
        <v/>
      </c>
      <c r="L222" s="47" t="str">
        <f aca="false">IFERROR(MATCH(ROW()-4,ポート振替表!$V$5:$V$3507,0),"")</f>
        <v/>
      </c>
    </row>
    <row r="223" customFormat="false" ht="16.4" hidden="false" customHeight="false" outlineLevel="0" collapsed="false">
      <c r="A223" s="32" t="str">
        <f aca="false">IF(L223="","",ROW()-4)</f>
        <v/>
      </c>
      <c r="B223" s="58" t="str">
        <f aca="false">IF(L223="","",IF(INDEX(ポート振替表!$W$5:$W$3507,$L223)="","(なし)",INDEX(ポート振替表!$W$5:$W$3507,$L223)&amp;""))</f>
        <v/>
      </c>
      <c r="C223" s="52" t="str">
        <f aca="false">IF(L223="","",INDEX(ポート振替表!$B$5:$B$3507,$L223)&amp;" "&amp;INDEX(ポート振替表!$C$5:$C$3507,$L223)&amp;"  ⇔  "&amp;INDEX(ポート振替表!$H$5:$H$3507,$L223)&amp;" "&amp;INDEX(ポート振替表!$I$5:$I$3507,$L223))</f>
        <v/>
      </c>
      <c r="D223" s="57" t="s">
        <v>158</v>
      </c>
      <c r="E223" s="59" t="str">
        <f aca="false">IF(L223="","",IF(INDEX(ポート振替表!$O$5:$O$3507,$L223)="","(未設定)",INDEX(ポート振替表!$O$5:$O$3507,$L223)&amp;""))</f>
        <v/>
      </c>
      <c r="F223" s="52" t="str">
        <f aca="false">IF(L223="","",INDEX(ポート振替表!$K$5:$K$3507,$L223)&amp;" "&amp;INDEX(ポート振替表!$L$5:$L$3507,$L223)&amp;"  ⇔  "&amp;INDEX(ポート振替表!$H$5:$H$3507,$L223)&amp;" "&amp;INDEX(ポート振替表!$I$5:$I$3507,$L223))</f>
        <v/>
      </c>
      <c r="G223" s="57" t="s">
        <v>158</v>
      </c>
      <c r="H223" s="32" t="str">
        <f aca="false">IF(L223="","",INDEX(ポート振替表!$N$5:$N$3507,$L223)&amp;"")</f>
        <v/>
      </c>
      <c r="I223" s="32" t="str">
        <f aca="false">IF(L223="","",INDEX(ポート振替表!$P$5:$P$3507,$L223)&amp;"")</f>
        <v/>
      </c>
      <c r="J223" s="60" t="str">
        <f aca="false">IF(L223="","",INDEX(ポート振替表!$M$5:$M$3507,$L223)&amp;"")</f>
        <v/>
      </c>
      <c r="K223" s="52" t="str">
        <f aca="false">IF(L223="","",E223&amp;CHAR(10)&amp;INDEX(ポート振替表!$K$5:$K$3507,$L223)&amp;" "&amp;INDEX(ポート振替表!$L$5:$L$3507,$L223)&amp;CHAR(10)&amp;"⇔ "&amp;INDEX(ポート振替表!$H$5:$H$3507,$L223)&amp;" "&amp;INDEX(ポート振替表!$I$5:$I$3507,$L223))</f>
        <v/>
      </c>
      <c r="L223" s="47" t="str">
        <f aca="false">IFERROR(MATCH(ROW()-4,ポート振替表!$V$5:$V$3507,0),"")</f>
        <v/>
      </c>
    </row>
    <row r="224" customFormat="false" ht="16.4" hidden="false" customHeight="false" outlineLevel="0" collapsed="false">
      <c r="A224" s="32" t="str">
        <f aca="false">IF(L224="","",ROW()-4)</f>
        <v/>
      </c>
      <c r="B224" s="58" t="str">
        <f aca="false">IF(L224="","",IF(INDEX(ポート振替表!$W$5:$W$3507,$L224)="","(なし)",INDEX(ポート振替表!$W$5:$W$3507,$L224)&amp;""))</f>
        <v/>
      </c>
      <c r="C224" s="52" t="str">
        <f aca="false">IF(L224="","",INDEX(ポート振替表!$B$5:$B$3507,$L224)&amp;" "&amp;INDEX(ポート振替表!$C$5:$C$3507,$L224)&amp;"  ⇔  "&amp;INDEX(ポート振替表!$H$5:$H$3507,$L224)&amp;" "&amp;INDEX(ポート振替表!$I$5:$I$3507,$L224))</f>
        <v/>
      </c>
      <c r="D224" s="57" t="s">
        <v>158</v>
      </c>
      <c r="E224" s="59" t="str">
        <f aca="false">IF(L224="","",IF(INDEX(ポート振替表!$O$5:$O$3507,$L224)="","(未設定)",INDEX(ポート振替表!$O$5:$O$3507,$L224)&amp;""))</f>
        <v/>
      </c>
      <c r="F224" s="52" t="str">
        <f aca="false">IF(L224="","",INDEX(ポート振替表!$K$5:$K$3507,$L224)&amp;" "&amp;INDEX(ポート振替表!$L$5:$L$3507,$L224)&amp;"  ⇔  "&amp;INDEX(ポート振替表!$H$5:$H$3507,$L224)&amp;" "&amp;INDEX(ポート振替表!$I$5:$I$3507,$L224))</f>
        <v/>
      </c>
      <c r="G224" s="57" t="s">
        <v>158</v>
      </c>
      <c r="H224" s="32" t="str">
        <f aca="false">IF(L224="","",INDEX(ポート振替表!$N$5:$N$3507,$L224)&amp;"")</f>
        <v/>
      </c>
      <c r="I224" s="32" t="str">
        <f aca="false">IF(L224="","",INDEX(ポート振替表!$P$5:$P$3507,$L224)&amp;"")</f>
        <v/>
      </c>
      <c r="J224" s="60" t="str">
        <f aca="false">IF(L224="","",INDEX(ポート振替表!$M$5:$M$3507,$L224)&amp;"")</f>
        <v/>
      </c>
      <c r="K224" s="52" t="str">
        <f aca="false">IF(L224="","",E224&amp;CHAR(10)&amp;INDEX(ポート振替表!$K$5:$K$3507,$L224)&amp;" "&amp;INDEX(ポート振替表!$L$5:$L$3507,$L224)&amp;CHAR(10)&amp;"⇔ "&amp;INDEX(ポート振替表!$H$5:$H$3507,$L224)&amp;" "&amp;INDEX(ポート振替表!$I$5:$I$3507,$L224))</f>
        <v/>
      </c>
      <c r="L224" s="47" t="str">
        <f aca="false">IFERROR(MATCH(ROW()-4,ポート振替表!$V$5:$V$3507,0),"")</f>
        <v/>
      </c>
    </row>
    <row r="225" customFormat="false" ht="16.4" hidden="false" customHeight="false" outlineLevel="0" collapsed="false">
      <c r="A225" s="32" t="str">
        <f aca="false">IF(L225="","",ROW()-4)</f>
        <v/>
      </c>
      <c r="B225" s="58" t="str">
        <f aca="false">IF(L225="","",IF(INDEX(ポート振替表!$W$5:$W$3507,$L225)="","(なし)",INDEX(ポート振替表!$W$5:$W$3507,$L225)&amp;""))</f>
        <v/>
      </c>
      <c r="C225" s="52" t="str">
        <f aca="false">IF(L225="","",INDEX(ポート振替表!$B$5:$B$3507,$L225)&amp;" "&amp;INDEX(ポート振替表!$C$5:$C$3507,$L225)&amp;"  ⇔  "&amp;INDEX(ポート振替表!$H$5:$H$3507,$L225)&amp;" "&amp;INDEX(ポート振替表!$I$5:$I$3507,$L225))</f>
        <v/>
      </c>
      <c r="D225" s="57" t="s">
        <v>158</v>
      </c>
      <c r="E225" s="59" t="str">
        <f aca="false">IF(L225="","",IF(INDEX(ポート振替表!$O$5:$O$3507,$L225)="","(未設定)",INDEX(ポート振替表!$O$5:$O$3507,$L225)&amp;""))</f>
        <v/>
      </c>
      <c r="F225" s="52" t="str">
        <f aca="false">IF(L225="","",INDEX(ポート振替表!$K$5:$K$3507,$L225)&amp;" "&amp;INDEX(ポート振替表!$L$5:$L$3507,$L225)&amp;"  ⇔  "&amp;INDEX(ポート振替表!$H$5:$H$3507,$L225)&amp;" "&amp;INDEX(ポート振替表!$I$5:$I$3507,$L225))</f>
        <v/>
      </c>
      <c r="G225" s="57" t="s">
        <v>158</v>
      </c>
      <c r="H225" s="32" t="str">
        <f aca="false">IF(L225="","",INDEX(ポート振替表!$N$5:$N$3507,$L225)&amp;"")</f>
        <v/>
      </c>
      <c r="I225" s="32" t="str">
        <f aca="false">IF(L225="","",INDEX(ポート振替表!$P$5:$P$3507,$L225)&amp;"")</f>
        <v/>
      </c>
      <c r="J225" s="60" t="str">
        <f aca="false">IF(L225="","",INDEX(ポート振替表!$M$5:$M$3507,$L225)&amp;"")</f>
        <v/>
      </c>
      <c r="K225" s="52" t="str">
        <f aca="false">IF(L225="","",E225&amp;CHAR(10)&amp;INDEX(ポート振替表!$K$5:$K$3507,$L225)&amp;" "&amp;INDEX(ポート振替表!$L$5:$L$3507,$L225)&amp;CHAR(10)&amp;"⇔ "&amp;INDEX(ポート振替表!$H$5:$H$3507,$L225)&amp;" "&amp;INDEX(ポート振替表!$I$5:$I$3507,$L225))</f>
        <v/>
      </c>
      <c r="L225" s="47" t="str">
        <f aca="false">IFERROR(MATCH(ROW()-4,ポート振替表!$V$5:$V$3507,0),"")</f>
        <v/>
      </c>
    </row>
    <row r="226" customFormat="false" ht="16.4" hidden="false" customHeight="false" outlineLevel="0" collapsed="false">
      <c r="A226" s="32" t="str">
        <f aca="false">IF(L226="","",ROW()-4)</f>
        <v/>
      </c>
      <c r="B226" s="58" t="str">
        <f aca="false">IF(L226="","",IF(INDEX(ポート振替表!$W$5:$W$3507,$L226)="","(なし)",INDEX(ポート振替表!$W$5:$W$3507,$L226)&amp;""))</f>
        <v/>
      </c>
      <c r="C226" s="52" t="str">
        <f aca="false">IF(L226="","",INDEX(ポート振替表!$B$5:$B$3507,$L226)&amp;" "&amp;INDEX(ポート振替表!$C$5:$C$3507,$L226)&amp;"  ⇔  "&amp;INDEX(ポート振替表!$H$5:$H$3507,$L226)&amp;" "&amp;INDEX(ポート振替表!$I$5:$I$3507,$L226))</f>
        <v/>
      </c>
      <c r="D226" s="57" t="s">
        <v>158</v>
      </c>
      <c r="E226" s="59" t="str">
        <f aca="false">IF(L226="","",IF(INDEX(ポート振替表!$O$5:$O$3507,$L226)="","(未設定)",INDEX(ポート振替表!$O$5:$O$3507,$L226)&amp;""))</f>
        <v/>
      </c>
      <c r="F226" s="52" t="str">
        <f aca="false">IF(L226="","",INDEX(ポート振替表!$K$5:$K$3507,$L226)&amp;" "&amp;INDEX(ポート振替表!$L$5:$L$3507,$L226)&amp;"  ⇔  "&amp;INDEX(ポート振替表!$H$5:$H$3507,$L226)&amp;" "&amp;INDEX(ポート振替表!$I$5:$I$3507,$L226))</f>
        <v/>
      </c>
      <c r="G226" s="57" t="s">
        <v>158</v>
      </c>
      <c r="H226" s="32" t="str">
        <f aca="false">IF(L226="","",INDEX(ポート振替表!$N$5:$N$3507,$L226)&amp;"")</f>
        <v/>
      </c>
      <c r="I226" s="32" t="str">
        <f aca="false">IF(L226="","",INDEX(ポート振替表!$P$5:$P$3507,$L226)&amp;"")</f>
        <v/>
      </c>
      <c r="J226" s="60" t="str">
        <f aca="false">IF(L226="","",INDEX(ポート振替表!$M$5:$M$3507,$L226)&amp;"")</f>
        <v/>
      </c>
      <c r="K226" s="52" t="str">
        <f aca="false">IF(L226="","",E226&amp;CHAR(10)&amp;INDEX(ポート振替表!$K$5:$K$3507,$L226)&amp;" "&amp;INDEX(ポート振替表!$L$5:$L$3507,$L226)&amp;CHAR(10)&amp;"⇔ "&amp;INDEX(ポート振替表!$H$5:$H$3507,$L226)&amp;" "&amp;INDEX(ポート振替表!$I$5:$I$3507,$L226))</f>
        <v/>
      </c>
      <c r="L226" s="47" t="str">
        <f aca="false">IFERROR(MATCH(ROW()-4,ポート振替表!$V$5:$V$3507,0),"")</f>
        <v/>
      </c>
    </row>
    <row r="227" customFormat="false" ht="16.4" hidden="false" customHeight="false" outlineLevel="0" collapsed="false">
      <c r="A227" s="32" t="str">
        <f aca="false">IF(L227="","",ROW()-4)</f>
        <v/>
      </c>
      <c r="B227" s="58" t="str">
        <f aca="false">IF(L227="","",IF(INDEX(ポート振替表!$W$5:$W$3507,$L227)="","(なし)",INDEX(ポート振替表!$W$5:$W$3507,$L227)&amp;""))</f>
        <v/>
      </c>
      <c r="C227" s="52" t="str">
        <f aca="false">IF(L227="","",INDEX(ポート振替表!$B$5:$B$3507,$L227)&amp;" "&amp;INDEX(ポート振替表!$C$5:$C$3507,$L227)&amp;"  ⇔  "&amp;INDEX(ポート振替表!$H$5:$H$3507,$L227)&amp;" "&amp;INDEX(ポート振替表!$I$5:$I$3507,$L227))</f>
        <v/>
      </c>
      <c r="D227" s="57" t="s">
        <v>158</v>
      </c>
      <c r="E227" s="59" t="str">
        <f aca="false">IF(L227="","",IF(INDEX(ポート振替表!$O$5:$O$3507,$L227)="","(未設定)",INDEX(ポート振替表!$O$5:$O$3507,$L227)&amp;""))</f>
        <v/>
      </c>
      <c r="F227" s="52" t="str">
        <f aca="false">IF(L227="","",INDEX(ポート振替表!$K$5:$K$3507,$L227)&amp;" "&amp;INDEX(ポート振替表!$L$5:$L$3507,$L227)&amp;"  ⇔  "&amp;INDEX(ポート振替表!$H$5:$H$3507,$L227)&amp;" "&amp;INDEX(ポート振替表!$I$5:$I$3507,$L227))</f>
        <v/>
      </c>
      <c r="G227" s="57" t="s">
        <v>158</v>
      </c>
      <c r="H227" s="32" t="str">
        <f aca="false">IF(L227="","",INDEX(ポート振替表!$N$5:$N$3507,$L227)&amp;"")</f>
        <v/>
      </c>
      <c r="I227" s="32" t="str">
        <f aca="false">IF(L227="","",INDEX(ポート振替表!$P$5:$P$3507,$L227)&amp;"")</f>
        <v/>
      </c>
      <c r="J227" s="60" t="str">
        <f aca="false">IF(L227="","",INDEX(ポート振替表!$M$5:$M$3507,$L227)&amp;"")</f>
        <v/>
      </c>
      <c r="K227" s="52" t="str">
        <f aca="false">IF(L227="","",E227&amp;CHAR(10)&amp;INDEX(ポート振替表!$K$5:$K$3507,$L227)&amp;" "&amp;INDEX(ポート振替表!$L$5:$L$3507,$L227)&amp;CHAR(10)&amp;"⇔ "&amp;INDEX(ポート振替表!$H$5:$H$3507,$L227)&amp;" "&amp;INDEX(ポート振替表!$I$5:$I$3507,$L227))</f>
        <v/>
      </c>
      <c r="L227" s="47" t="str">
        <f aca="false">IFERROR(MATCH(ROW()-4,ポート振替表!$V$5:$V$3507,0),"")</f>
        <v/>
      </c>
    </row>
    <row r="228" customFormat="false" ht="16.4" hidden="false" customHeight="false" outlineLevel="0" collapsed="false">
      <c r="A228" s="32" t="str">
        <f aca="false">IF(L228="","",ROW()-4)</f>
        <v/>
      </c>
      <c r="B228" s="58" t="str">
        <f aca="false">IF(L228="","",IF(INDEX(ポート振替表!$W$5:$W$3507,$L228)="","(なし)",INDEX(ポート振替表!$W$5:$W$3507,$L228)&amp;""))</f>
        <v/>
      </c>
      <c r="C228" s="52" t="str">
        <f aca="false">IF(L228="","",INDEX(ポート振替表!$B$5:$B$3507,$L228)&amp;" "&amp;INDEX(ポート振替表!$C$5:$C$3507,$L228)&amp;"  ⇔  "&amp;INDEX(ポート振替表!$H$5:$H$3507,$L228)&amp;" "&amp;INDEX(ポート振替表!$I$5:$I$3507,$L228))</f>
        <v/>
      </c>
      <c r="D228" s="57" t="s">
        <v>158</v>
      </c>
      <c r="E228" s="59" t="str">
        <f aca="false">IF(L228="","",IF(INDEX(ポート振替表!$O$5:$O$3507,$L228)="","(未設定)",INDEX(ポート振替表!$O$5:$O$3507,$L228)&amp;""))</f>
        <v/>
      </c>
      <c r="F228" s="52" t="str">
        <f aca="false">IF(L228="","",INDEX(ポート振替表!$K$5:$K$3507,$L228)&amp;" "&amp;INDEX(ポート振替表!$L$5:$L$3507,$L228)&amp;"  ⇔  "&amp;INDEX(ポート振替表!$H$5:$H$3507,$L228)&amp;" "&amp;INDEX(ポート振替表!$I$5:$I$3507,$L228))</f>
        <v/>
      </c>
      <c r="G228" s="57" t="s">
        <v>158</v>
      </c>
      <c r="H228" s="32" t="str">
        <f aca="false">IF(L228="","",INDEX(ポート振替表!$N$5:$N$3507,$L228)&amp;"")</f>
        <v/>
      </c>
      <c r="I228" s="32" t="str">
        <f aca="false">IF(L228="","",INDEX(ポート振替表!$P$5:$P$3507,$L228)&amp;"")</f>
        <v/>
      </c>
      <c r="J228" s="60" t="str">
        <f aca="false">IF(L228="","",INDEX(ポート振替表!$M$5:$M$3507,$L228)&amp;"")</f>
        <v/>
      </c>
      <c r="K228" s="52" t="str">
        <f aca="false">IF(L228="","",E228&amp;CHAR(10)&amp;INDEX(ポート振替表!$K$5:$K$3507,$L228)&amp;" "&amp;INDEX(ポート振替表!$L$5:$L$3507,$L228)&amp;CHAR(10)&amp;"⇔ "&amp;INDEX(ポート振替表!$H$5:$H$3507,$L228)&amp;" "&amp;INDEX(ポート振替表!$I$5:$I$3507,$L228))</f>
        <v/>
      </c>
      <c r="L228" s="47" t="str">
        <f aca="false">IFERROR(MATCH(ROW()-4,ポート振替表!$V$5:$V$3507,0),"")</f>
        <v/>
      </c>
    </row>
    <row r="229" customFormat="false" ht="16.4" hidden="false" customHeight="false" outlineLevel="0" collapsed="false">
      <c r="A229" s="32" t="str">
        <f aca="false">IF(L229="","",ROW()-4)</f>
        <v/>
      </c>
      <c r="B229" s="58" t="str">
        <f aca="false">IF(L229="","",IF(INDEX(ポート振替表!$W$5:$W$3507,$L229)="","(なし)",INDEX(ポート振替表!$W$5:$W$3507,$L229)&amp;""))</f>
        <v/>
      </c>
      <c r="C229" s="52" t="str">
        <f aca="false">IF(L229="","",INDEX(ポート振替表!$B$5:$B$3507,$L229)&amp;" "&amp;INDEX(ポート振替表!$C$5:$C$3507,$L229)&amp;"  ⇔  "&amp;INDEX(ポート振替表!$H$5:$H$3507,$L229)&amp;" "&amp;INDEX(ポート振替表!$I$5:$I$3507,$L229))</f>
        <v/>
      </c>
      <c r="D229" s="57" t="s">
        <v>158</v>
      </c>
      <c r="E229" s="59" t="str">
        <f aca="false">IF(L229="","",IF(INDEX(ポート振替表!$O$5:$O$3507,$L229)="","(未設定)",INDEX(ポート振替表!$O$5:$O$3507,$L229)&amp;""))</f>
        <v/>
      </c>
      <c r="F229" s="52" t="str">
        <f aca="false">IF(L229="","",INDEX(ポート振替表!$K$5:$K$3507,$L229)&amp;" "&amp;INDEX(ポート振替表!$L$5:$L$3507,$L229)&amp;"  ⇔  "&amp;INDEX(ポート振替表!$H$5:$H$3507,$L229)&amp;" "&amp;INDEX(ポート振替表!$I$5:$I$3507,$L229))</f>
        <v/>
      </c>
      <c r="G229" s="57" t="s">
        <v>158</v>
      </c>
      <c r="H229" s="32" t="str">
        <f aca="false">IF(L229="","",INDEX(ポート振替表!$N$5:$N$3507,$L229)&amp;"")</f>
        <v/>
      </c>
      <c r="I229" s="32" t="str">
        <f aca="false">IF(L229="","",INDEX(ポート振替表!$P$5:$P$3507,$L229)&amp;"")</f>
        <v/>
      </c>
      <c r="J229" s="60" t="str">
        <f aca="false">IF(L229="","",INDEX(ポート振替表!$M$5:$M$3507,$L229)&amp;"")</f>
        <v/>
      </c>
      <c r="K229" s="52" t="str">
        <f aca="false">IF(L229="","",E229&amp;CHAR(10)&amp;INDEX(ポート振替表!$K$5:$K$3507,$L229)&amp;" "&amp;INDEX(ポート振替表!$L$5:$L$3507,$L229)&amp;CHAR(10)&amp;"⇔ "&amp;INDEX(ポート振替表!$H$5:$H$3507,$L229)&amp;" "&amp;INDEX(ポート振替表!$I$5:$I$3507,$L229))</f>
        <v/>
      </c>
      <c r="L229" s="47" t="str">
        <f aca="false">IFERROR(MATCH(ROW()-4,ポート振替表!$V$5:$V$3507,0),"")</f>
        <v/>
      </c>
    </row>
    <row r="230" customFormat="false" ht="16.4" hidden="false" customHeight="false" outlineLevel="0" collapsed="false">
      <c r="A230" s="32" t="str">
        <f aca="false">IF(L230="","",ROW()-4)</f>
        <v/>
      </c>
      <c r="B230" s="58" t="str">
        <f aca="false">IF(L230="","",IF(INDEX(ポート振替表!$W$5:$W$3507,$L230)="","(なし)",INDEX(ポート振替表!$W$5:$W$3507,$L230)&amp;""))</f>
        <v/>
      </c>
      <c r="C230" s="52" t="str">
        <f aca="false">IF(L230="","",INDEX(ポート振替表!$B$5:$B$3507,$L230)&amp;" "&amp;INDEX(ポート振替表!$C$5:$C$3507,$L230)&amp;"  ⇔  "&amp;INDEX(ポート振替表!$H$5:$H$3507,$L230)&amp;" "&amp;INDEX(ポート振替表!$I$5:$I$3507,$L230))</f>
        <v/>
      </c>
      <c r="D230" s="57" t="s">
        <v>158</v>
      </c>
      <c r="E230" s="59" t="str">
        <f aca="false">IF(L230="","",IF(INDEX(ポート振替表!$O$5:$O$3507,$L230)="","(未設定)",INDEX(ポート振替表!$O$5:$O$3507,$L230)&amp;""))</f>
        <v/>
      </c>
      <c r="F230" s="52" t="str">
        <f aca="false">IF(L230="","",INDEX(ポート振替表!$K$5:$K$3507,$L230)&amp;" "&amp;INDEX(ポート振替表!$L$5:$L$3507,$L230)&amp;"  ⇔  "&amp;INDEX(ポート振替表!$H$5:$H$3507,$L230)&amp;" "&amp;INDEX(ポート振替表!$I$5:$I$3507,$L230))</f>
        <v/>
      </c>
      <c r="G230" s="57" t="s">
        <v>158</v>
      </c>
      <c r="H230" s="32" t="str">
        <f aca="false">IF(L230="","",INDEX(ポート振替表!$N$5:$N$3507,$L230)&amp;"")</f>
        <v/>
      </c>
      <c r="I230" s="32" t="str">
        <f aca="false">IF(L230="","",INDEX(ポート振替表!$P$5:$P$3507,$L230)&amp;"")</f>
        <v/>
      </c>
      <c r="J230" s="60" t="str">
        <f aca="false">IF(L230="","",INDEX(ポート振替表!$M$5:$M$3507,$L230)&amp;"")</f>
        <v/>
      </c>
      <c r="K230" s="52" t="str">
        <f aca="false">IF(L230="","",E230&amp;CHAR(10)&amp;INDEX(ポート振替表!$K$5:$K$3507,$L230)&amp;" "&amp;INDEX(ポート振替表!$L$5:$L$3507,$L230)&amp;CHAR(10)&amp;"⇔ "&amp;INDEX(ポート振替表!$H$5:$H$3507,$L230)&amp;" "&amp;INDEX(ポート振替表!$I$5:$I$3507,$L230))</f>
        <v/>
      </c>
      <c r="L230" s="47" t="str">
        <f aca="false">IFERROR(MATCH(ROW()-4,ポート振替表!$V$5:$V$3507,0),"")</f>
        <v/>
      </c>
    </row>
    <row r="231" customFormat="false" ht="16.4" hidden="false" customHeight="false" outlineLevel="0" collapsed="false">
      <c r="A231" s="32" t="str">
        <f aca="false">IF(L231="","",ROW()-4)</f>
        <v/>
      </c>
      <c r="B231" s="58" t="str">
        <f aca="false">IF(L231="","",IF(INDEX(ポート振替表!$W$5:$W$3507,$L231)="","(なし)",INDEX(ポート振替表!$W$5:$W$3507,$L231)&amp;""))</f>
        <v/>
      </c>
      <c r="C231" s="52" t="str">
        <f aca="false">IF(L231="","",INDEX(ポート振替表!$B$5:$B$3507,$L231)&amp;" "&amp;INDEX(ポート振替表!$C$5:$C$3507,$L231)&amp;"  ⇔  "&amp;INDEX(ポート振替表!$H$5:$H$3507,$L231)&amp;" "&amp;INDEX(ポート振替表!$I$5:$I$3507,$L231))</f>
        <v/>
      </c>
      <c r="D231" s="57" t="s">
        <v>158</v>
      </c>
      <c r="E231" s="59" t="str">
        <f aca="false">IF(L231="","",IF(INDEX(ポート振替表!$O$5:$O$3507,$L231)="","(未設定)",INDEX(ポート振替表!$O$5:$O$3507,$L231)&amp;""))</f>
        <v/>
      </c>
      <c r="F231" s="52" t="str">
        <f aca="false">IF(L231="","",INDEX(ポート振替表!$K$5:$K$3507,$L231)&amp;" "&amp;INDEX(ポート振替表!$L$5:$L$3507,$L231)&amp;"  ⇔  "&amp;INDEX(ポート振替表!$H$5:$H$3507,$L231)&amp;" "&amp;INDEX(ポート振替表!$I$5:$I$3507,$L231))</f>
        <v/>
      </c>
      <c r="G231" s="57" t="s">
        <v>158</v>
      </c>
      <c r="H231" s="32" t="str">
        <f aca="false">IF(L231="","",INDEX(ポート振替表!$N$5:$N$3507,$L231)&amp;"")</f>
        <v/>
      </c>
      <c r="I231" s="32" t="str">
        <f aca="false">IF(L231="","",INDEX(ポート振替表!$P$5:$P$3507,$L231)&amp;"")</f>
        <v/>
      </c>
      <c r="J231" s="60" t="str">
        <f aca="false">IF(L231="","",INDEX(ポート振替表!$M$5:$M$3507,$L231)&amp;"")</f>
        <v/>
      </c>
      <c r="K231" s="52" t="str">
        <f aca="false">IF(L231="","",E231&amp;CHAR(10)&amp;INDEX(ポート振替表!$K$5:$K$3507,$L231)&amp;" "&amp;INDEX(ポート振替表!$L$5:$L$3507,$L231)&amp;CHAR(10)&amp;"⇔ "&amp;INDEX(ポート振替表!$H$5:$H$3507,$L231)&amp;" "&amp;INDEX(ポート振替表!$I$5:$I$3507,$L231))</f>
        <v/>
      </c>
      <c r="L231" s="47" t="str">
        <f aca="false">IFERROR(MATCH(ROW()-4,ポート振替表!$V$5:$V$3507,0),"")</f>
        <v/>
      </c>
    </row>
    <row r="232" customFormat="false" ht="16.4" hidden="false" customHeight="false" outlineLevel="0" collapsed="false">
      <c r="A232" s="32" t="str">
        <f aca="false">IF(L232="","",ROW()-4)</f>
        <v/>
      </c>
      <c r="B232" s="58" t="str">
        <f aca="false">IF(L232="","",IF(INDEX(ポート振替表!$W$5:$W$3507,$L232)="","(なし)",INDEX(ポート振替表!$W$5:$W$3507,$L232)&amp;""))</f>
        <v/>
      </c>
      <c r="C232" s="52" t="str">
        <f aca="false">IF(L232="","",INDEX(ポート振替表!$B$5:$B$3507,$L232)&amp;" "&amp;INDEX(ポート振替表!$C$5:$C$3507,$L232)&amp;"  ⇔  "&amp;INDEX(ポート振替表!$H$5:$H$3507,$L232)&amp;" "&amp;INDEX(ポート振替表!$I$5:$I$3507,$L232))</f>
        <v/>
      </c>
      <c r="D232" s="57" t="s">
        <v>158</v>
      </c>
      <c r="E232" s="59" t="str">
        <f aca="false">IF(L232="","",IF(INDEX(ポート振替表!$O$5:$O$3507,$L232)="","(未設定)",INDEX(ポート振替表!$O$5:$O$3507,$L232)&amp;""))</f>
        <v/>
      </c>
      <c r="F232" s="52" t="str">
        <f aca="false">IF(L232="","",INDEX(ポート振替表!$K$5:$K$3507,$L232)&amp;" "&amp;INDEX(ポート振替表!$L$5:$L$3507,$L232)&amp;"  ⇔  "&amp;INDEX(ポート振替表!$H$5:$H$3507,$L232)&amp;" "&amp;INDEX(ポート振替表!$I$5:$I$3507,$L232))</f>
        <v/>
      </c>
      <c r="G232" s="57" t="s">
        <v>158</v>
      </c>
      <c r="H232" s="32" t="str">
        <f aca="false">IF(L232="","",INDEX(ポート振替表!$N$5:$N$3507,$L232)&amp;"")</f>
        <v/>
      </c>
      <c r="I232" s="32" t="str">
        <f aca="false">IF(L232="","",INDEX(ポート振替表!$P$5:$P$3507,$L232)&amp;"")</f>
        <v/>
      </c>
      <c r="J232" s="60" t="str">
        <f aca="false">IF(L232="","",INDEX(ポート振替表!$M$5:$M$3507,$L232)&amp;"")</f>
        <v/>
      </c>
      <c r="K232" s="52" t="str">
        <f aca="false">IF(L232="","",E232&amp;CHAR(10)&amp;INDEX(ポート振替表!$K$5:$K$3507,$L232)&amp;" "&amp;INDEX(ポート振替表!$L$5:$L$3507,$L232)&amp;CHAR(10)&amp;"⇔ "&amp;INDEX(ポート振替表!$H$5:$H$3507,$L232)&amp;" "&amp;INDEX(ポート振替表!$I$5:$I$3507,$L232))</f>
        <v/>
      </c>
      <c r="L232" s="47" t="str">
        <f aca="false">IFERROR(MATCH(ROW()-4,ポート振替表!$V$5:$V$3507,0),"")</f>
        <v/>
      </c>
    </row>
    <row r="233" customFormat="false" ht="16.4" hidden="false" customHeight="false" outlineLevel="0" collapsed="false">
      <c r="A233" s="32" t="str">
        <f aca="false">IF(L233="","",ROW()-4)</f>
        <v/>
      </c>
      <c r="B233" s="58" t="str">
        <f aca="false">IF(L233="","",IF(INDEX(ポート振替表!$W$5:$W$3507,$L233)="","(なし)",INDEX(ポート振替表!$W$5:$W$3507,$L233)&amp;""))</f>
        <v/>
      </c>
      <c r="C233" s="52" t="str">
        <f aca="false">IF(L233="","",INDEX(ポート振替表!$B$5:$B$3507,$L233)&amp;" "&amp;INDEX(ポート振替表!$C$5:$C$3507,$L233)&amp;"  ⇔  "&amp;INDEX(ポート振替表!$H$5:$H$3507,$L233)&amp;" "&amp;INDEX(ポート振替表!$I$5:$I$3507,$L233))</f>
        <v/>
      </c>
      <c r="D233" s="57" t="s">
        <v>158</v>
      </c>
      <c r="E233" s="59" t="str">
        <f aca="false">IF(L233="","",IF(INDEX(ポート振替表!$O$5:$O$3507,$L233)="","(未設定)",INDEX(ポート振替表!$O$5:$O$3507,$L233)&amp;""))</f>
        <v/>
      </c>
      <c r="F233" s="52" t="str">
        <f aca="false">IF(L233="","",INDEX(ポート振替表!$K$5:$K$3507,$L233)&amp;" "&amp;INDEX(ポート振替表!$L$5:$L$3507,$L233)&amp;"  ⇔  "&amp;INDEX(ポート振替表!$H$5:$H$3507,$L233)&amp;" "&amp;INDEX(ポート振替表!$I$5:$I$3507,$L233))</f>
        <v/>
      </c>
      <c r="G233" s="57" t="s">
        <v>158</v>
      </c>
      <c r="H233" s="32" t="str">
        <f aca="false">IF(L233="","",INDEX(ポート振替表!$N$5:$N$3507,$L233)&amp;"")</f>
        <v/>
      </c>
      <c r="I233" s="32" t="str">
        <f aca="false">IF(L233="","",INDEX(ポート振替表!$P$5:$P$3507,$L233)&amp;"")</f>
        <v/>
      </c>
      <c r="J233" s="60" t="str">
        <f aca="false">IF(L233="","",INDEX(ポート振替表!$M$5:$M$3507,$L233)&amp;"")</f>
        <v/>
      </c>
      <c r="K233" s="52" t="str">
        <f aca="false">IF(L233="","",E233&amp;CHAR(10)&amp;INDEX(ポート振替表!$K$5:$K$3507,$L233)&amp;" "&amp;INDEX(ポート振替表!$L$5:$L$3507,$L233)&amp;CHAR(10)&amp;"⇔ "&amp;INDEX(ポート振替表!$H$5:$H$3507,$L233)&amp;" "&amp;INDEX(ポート振替表!$I$5:$I$3507,$L233))</f>
        <v/>
      </c>
      <c r="L233" s="47" t="str">
        <f aca="false">IFERROR(MATCH(ROW()-4,ポート振替表!$V$5:$V$3507,0),"")</f>
        <v/>
      </c>
    </row>
    <row r="234" customFormat="false" ht="16.4" hidden="false" customHeight="false" outlineLevel="0" collapsed="false">
      <c r="A234" s="32" t="str">
        <f aca="false">IF(L234="","",ROW()-4)</f>
        <v/>
      </c>
      <c r="B234" s="58" t="str">
        <f aca="false">IF(L234="","",IF(INDEX(ポート振替表!$W$5:$W$3507,$L234)="","(なし)",INDEX(ポート振替表!$W$5:$W$3507,$L234)&amp;""))</f>
        <v/>
      </c>
      <c r="C234" s="52" t="str">
        <f aca="false">IF(L234="","",INDEX(ポート振替表!$B$5:$B$3507,$L234)&amp;" "&amp;INDEX(ポート振替表!$C$5:$C$3507,$L234)&amp;"  ⇔  "&amp;INDEX(ポート振替表!$H$5:$H$3507,$L234)&amp;" "&amp;INDEX(ポート振替表!$I$5:$I$3507,$L234))</f>
        <v/>
      </c>
      <c r="D234" s="57" t="s">
        <v>158</v>
      </c>
      <c r="E234" s="59" t="str">
        <f aca="false">IF(L234="","",IF(INDEX(ポート振替表!$O$5:$O$3507,$L234)="","(未設定)",INDEX(ポート振替表!$O$5:$O$3507,$L234)&amp;""))</f>
        <v/>
      </c>
      <c r="F234" s="52" t="str">
        <f aca="false">IF(L234="","",INDEX(ポート振替表!$K$5:$K$3507,$L234)&amp;" "&amp;INDEX(ポート振替表!$L$5:$L$3507,$L234)&amp;"  ⇔  "&amp;INDEX(ポート振替表!$H$5:$H$3507,$L234)&amp;" "&amp;INDEX(ポート振替表!$I$5:$I$3507,$L234))</f>
        <v/>
      </c>
      <c r="G234" s="57" t="s">
        <v>158</v>
      </c>
      <c r="H234" s="32" t="str">
        <f aca="false">IF(L234="","",INDEX(ポート振替表!$N$5:$N$3507,$L234)&amp;"")</f>
        <v/>
      </c>
      <c r="I234" s="32" t="str">
        <f aca="false">IF(L234="","",INDEX(ポート振替表!$P$5:$P$3507,$L234)&amp;"")</f>
        <v/>
      </c>
      <c r="J234" s="60" t="str">
        <f aca="false">IF(L234="","",INDEX(ポート振替表!$M$5:$M$3507,$L234)&amp;"")</f>
        <v/>
      </c>
      <c r="K234" s="52" t="str">
        <f aca="false">IF(L234="","",E234&amp;CHAR(10)&amp;INDEX(ポート振替表!$K$5:$K$3507,$L234)&amp;" "&amp;INDEX(ポート振替表!$L$5:$L$3507,$L234)&amp;CHAR(10)&amp;"⇔ "&amp;INDEX(ポート振替表!$H$5:$H$3507,$L234)&amp;" "&amp;INDEX(ポート振替表!$I$5:$I$3507,$L234))</f>
        <v/>
      </c>
      <c r="L234" s="47" t="str">
        <f aca="false">IFERROR(MATCH(ROW()-4,ポート振替表!$V$5:$V$3507,0),"")</f>
        <v/>
      </c>
    </row>
    <row r="235" customFormat="false" ht="16.4" hidden="false" customHeight="false" outlineLevel="0" collapsed="false">
      <c r="A235" s="32" t="str">
        <f aca="false">IF(L235="","",ROW()-4)</f>
        <v/>
      </c>
      <c r="B235" s="58" t="str">
        <f aca="false">IF(L235="","",IF(INDEX(ポート振替表!$W$5:$W$3507,$L235)="","(なし)",INDEX(ポート振替表!$W$5:$W$3507,$L235)&amp;""))</f>
        <v/>
      </c>
      <c r="C235" s="52" t="str">
        <f aca="false">IF(L235="","",INDEX(ポート振替表!$B$5:$B$3507,$L235)&amp;" "&amp;INDEX(ポート振替表!$C$5:$C$3507,$L235)&amp;"  ⇔  "&amp;INDEX(ポート振替表!$H$5:$H$3507,$L235)&amp;" "&amp;INDEX(ポート振替表!$I$5:$I$3507,$L235))</f>
        <v/>
      </c>
      <c r="D235" s="57" t="s">
        <v>158</v>
      </c>
      <c r="E235" s="59" t="str">
        <f aca="false">IF(L235="","",IF(INDEX(ポート振替表!$O$5:$O$3507,$L235)="","(未設定)",INDEX(ポート振替表!$O$5:$O$3507,$L235)&amp;""))</f>
        <v/>
      </c>
      <c r="F235" s="52" t="str">
        <f aca="false">IF(L235="","",INDEX(ポート振替表!$K$5:$K$3507,$L235)&amp;" "&amp;INDEX(ポート振替表!$L$5:$L$3507,$L235)&amp;"  ⇔  "&amp;INDEX(ポート振替表!$H$5:$H$3507,$L235)&amp;" "&amp;INDEX(ポート振替表!$I$5:$I$3507,$L235))</f>
        <v/>
      </c>
      <c r="G235" s="57" t="s">
        <v>158</v>
      </c>
      <c r="H235" s="32" t="str">
        <f aca="false">IF(L235="","",INDEX(ポート振替表!$N$5:$N$3507,$L235)&amp;"")</f>
        <v/>
      </c>
      <c r="I235" s="32" t="str">
        <f aca="false">IF(L235="","",INDEX(ポート振替表!$P$5:$P$3507,$L235)&amp;"")</f>
        <v/>
      </c>
      <c r="J235" s="60" t="str">
        <f aca="false">IF(L235="","",INDEX(ポート振替表!$M$5:$M$3507,$L235)&amp;"")</f>
        <v/>
      </c>
      <c r="K235" s="52" t="str">
        <f aca="false">IF(L235="","",E235&amp;CHAR(10)&amp;INDEX(ポート振替表!$K$5:$K$3507,$L235)&amp;" "&amp;INDEX(ポート振替表!$L$5:$L$3507,$L235)&amp;CHAR(10)&amp;"⇔ "&amp;INDEX(ポート振替表!$H$5:$H$3507,$L235)&amp;" "&amp;INDEX(ポート振替表!$I$5:$I$3507,$L235))</f>
        <v/>
      </c>
      <c r="L235" s="47" t="str">
        <f aca="false">IFERROR(MATCH(ROW()-4,ポート振替表!$V$5:$V$3507,0),"")</f>
        <v/>
      </c>
    </row>
    <row r="236" customFormat="false" ht="16.4" hidden="false" customHeight="false" outlineLevel="0" collapsed="false">
      <c r="A236" s="32" t="str">
        <f aca="false">IF(L236="","",ROW()-4)</f>
        <v/>
      </c>
      <c r="B236" s="58" t="str">
        <f aca="false">IF(L236="","",IF(INDEX(ポート振替表!$W$5:$W$3507,$L236)="","(なし)",INDEX(ポート振替表!$W$5:$W$3507,$L236)&amp;""))</f>
        <v/>
      </c>
      <c r="C236" s="52" t="str">
        <f aca="false">IF(L236="","",INDEX(ポート振替表!$B$5:$B$3507,$L236)&amp;" "&amp;INDEX(ポート振替表!$C$5:$C$3507,$L236)&amp;"  ⇔  "&amp;INDEX(ポート振替表!$H$5:$H$3507,$L236)&amp;" "&amp;INDEX(ポート振替表!$I$5:$I$3507,$L236))</f>
        <v/>
      </c>
      <c r="D236" s="57" t="s">
        <v>158</v>
      </c>
      <c r="E236" s="59" t="str">
        <f aca="false">IF(L236="","",IF(INDEX(ポート振替表!$O$5:$O$3507,$L236)="","(未設定)",INDEX(ポート振替表!$O$5:$O$3507,$L236)&amp;""))</f>
        <v/>
      </c>
      <c r="F236" s="52" t="str">
        <f aca="false">IF(L236="","",INDEX(ポート振替表!$K$5:$K$3507,$L236)&amp;" "&amp;INDEX(ポート振替表!$L$5:$L$3507,$L236)&amp;"  ⇔  "&amp;INDEX(ポート振替表!$H$5:$H$3507,$L236)&amp;" "&amp;INDEX(ポート振替表!$I$5:$I$3507,$L236))</f>
        <v/>
      </c>
      <c r="G236" s="57" t="s">
        <v>158</v>
      </c>
      <c r="H236" s="32" t="str">
        <f aca="false">IF(L236="","",INDEX(ポート振替表!$N$5:$N$3507,$L236)&amp;"")</f>
        <v/>
      </c>
      <c r="I236" s="32" t="str">
        <f aca="false">IF(L236="","",INDEX(ポート振替表!$P$5:$P$3507,$L236)&amp;"")</f>
        <v/>
      </c>
      <c r="J236" s="60" t="str">
        <f aca="false">IF(L236="","",INDEX(ポート振替表!$M$5:$M$3507,$L236)&amp;"")</f>
        <v/>
      </c>
      <c r="K236" s="52" t="str">
        <f aca="false">IF(L236="","",E236&amp;CHAR(10)&amp;INDEX(ポート振替表!$K$5:$K$3507,$L236)&amp;" "&amp;INDEX(ポート振替表!$L$5:$L$3507,$L236)&amp;CHAR(10)&amp;"⇔ "&amp;INDEX(ポート振替表!$H$5:$H$3507,$L236)&amp;" "&amp;INDEX(ポート振替表!$I$5:$I$3507,$L236))</f>
        <v/>
      </c>
      <c r="L236" s="47" t="str">
        <f aca="false">IFERROR(MATCH(ROW()-4,ポート振替表!$V$5:$V$3507,0),"")</f>
        <v/>
      </c>
    </row>
    <row r="237" customFormat="false" ht="16.4" hidden="false" customHeight="false" outlineLevel="0" collapsed="false">
      <c r="A237" s="32" t="str">
        <f aca="false">IF(L237="","",ROW()-4)</f>
        <v/>
      </c>
      <c r="B237" s="58" t="str">
        <f aca="false">IF(L237="","",IF(INDEX(ポート振替表!$W$5:$W$3507,$L237)="","(なし)",INDEX(ポート振替表!$W$5:$W$3507,$L237)&amp;""))</f>
        <v/>
      </c>
      <c r="C237" s="52" t="str">
        <f aca="false">IF(L237="","",INDEX(ポート振替表!$B$5:$B$3507,$L237)&amp;" "&amp;INDEX(ポート振替表!$C$5:$C$3507,$L237)&amp;"  ⇔  "&amp;INDEX(ポート振替表!$H$5:$H$3507,$L237)&amp;" "&amp;INDEX(ポート振替表!$I$5:$I$3507,$L237))</f>
        <v/>
      </c>
      <c r="D237" s="57" t="s">
        <v>158</v>
      </c>
      <c r="E237" s="59" t="str">
        <f aca="false">IF(L237="","",IF(INDEX(ポート振替表!$O$5:$O$3507,$L237)="","(未設定)",INDEX(ポート振替表!$O$5:$O$3507,$L237)&amp;""))</f>
        <v/>
      </c>
      <c r="F237" s="52" t="str">
        <f aca="false">IF(L237="","",INDEX(ポート振替表!$K$5:$K$3507,$L237)&amp;" "&amp;INDEX(ポート振替表!$L$5:$L$3507,$L237)&amp;"  ⇔  "&amp;INDEX(ポート振替表!$H$5:$H$3507,$L237)&amp;" "&amp;INDEX(ポート振替表!$I$5:$I$3507,$L237))</f>
        <v/>
      </c>
      <c r="G237" s="57" t="s">
        <v>158</v>
      </c>
      <c r="H237" s="32" t="str">
        <f aca="false">IF(L237="","",INDEX(ポート振替表!$N$5:$N$3507,$L237)&amp;"")</f>
        <v/>
      </c>
      <c r="I237" s="32" t="str">
        <f aca="false">IF(L237="","",INDEX(ポート振替表!$P$5:$P$3507,$L237)&amp;"")</f>
        <v/>
      </c>
      <c r="J237" s="60" t="str">
        <f aca="false">IF(L237="","",INDEX(ポート振替表!$M$5:$M$3507,$L237)&amp;"")</f>
        <v/>
      </c>
      <c r="K237" s="52" t="str">
        <f aca="false">IF(L237="","",E237&amp;CHAR(10)&amp;INDEX(ポート振替表!$K$5:$K$3507,$L237)&amp;" "&amp;INDEX(ポート振替表!$L$5:$L$3507,$L237)&amp;CHAR(10)&amp;"⇔ "&amp;INDEX(ポート振替表!$H$5:$H$3507,$L237)&amp;" "&amp;INDEX(ポート振替表!$I$5:$I$3507,$L237))</f>
        <v/>
      </c>
      <c r="L237" s="47" t="str">
        <f aca="false">IFERROR(MATCH(ROW()-4,ポート振替表!$V$5:$V$3507,0),"")</f>
        <v/>
      </c>
    </row>
    <row r="238" customFormat="false" ht="16.4" hidden="false" customHeight="false" outlineLevel="0" collapsed="false">
      <c r="A238" s="32" t="str">
        <f aca="false">IF(L238="","",ROW()-4)</f>
        <v/>
      </c>
      <c r="B238" s="58" t="str">
        <f aca="false">IF(L238="","",IF(INDEX(ポート振替表!$W$5:$W$3507,$L238)="","(なし)",INDEX(ポート振替表!$W$5:$W$3507,$L238)&amp;""))</f>
        <v/>
      </c>
      <c r="C238" s="52" t="str">
        <f aca="false">IF(L238="","",INDEX(ポート振替表!$B$5:$B$3507,$L238)&amp;" "&amp;INDEX(ポート振替表!$C$5:$C$3507,$L238)&amp;"  ⇔  "&amp;INDEX(ポート振替表!$H$5:$H$3507,$L238)&amp;" "&amp;INDEX(ポート振替表!$I$5:$I$3507,$L238))</f>
        <v/>
      </c>
      <c r="D238" s="57" t="s">
        <v>158</v>
      </c>
      <c r="E238" s="59" t="str">
        <f aca="false">IF(L238="","",IF(INDEX(ポート振替表!$O$5:$O$3507,$L238)="","(未設定)",INDEX(ポート振替表!$O$5:$O$3507,$L238)&amp;""))</f>
        <v/>
      </c>
      <c r="F238" s="52" t="str">
        <f aca="false">IF(L238="","",INDEX(ポート振替表!$K$5:$K$3507,$L238)&amp;" "&amp;INDEX(ポート振替表!$L$5:$L$3507,$L238)&amp;"  ⇔  "&amp;INDEX(ポート振替表!$H$5:$H$3507,$L238)&amp;" "&amp;INDEX(ポート振替表!$I$5:$I$3507,$L238))</f>
        <v/>
      </c>
      <c r="G238" s="57" t="s">
        <v>158</v>
      </c>
      <c r="H238" s="32" t="str">
        <f aca="false">IF(L238="","",INDEX(ポート振替表!$N$5:$N$3507,$L238)&amp;"")</f>
        <v/>
      </c>
      <c r="I238" s="32" t="str">
        <f aca="false">IF(L238="","",INDEX(ポート振替表!$P$5:$P$3507,$L238)&amp;"")</f>
        <v/>
      </c>
      <c r="J238" s="60" t="str">
        <f aca="false">IF(L238="","",INDEX(ポート振替表!$M$5:$M$3507,$L238)&amp;"")</f>
        <v/>
      </c>
      <c r="K238" s="52" t="str">
        <f aca="false">IF(L238="","",E238&amp;CHAR(10)&amp;INDEX(ポート振替表!$K$5:$K$3507,$L238)&amp;" "&amp;INDEX(ポート振替表!$L$5:$L$3507,$L238)&amp;CHAR(10)&amp;"⇔ "&amp;INDEX(ポート振替表!$H$5:$H$3507,$L238)&amp;" "&amp;INDEX(ポート振替表!$I$5:$I$3507,$L238))</f>
        <v/>
      </c>
      <c r="L238" s="47" t="str">
        <f aca="false">IFERROR(MATCH(ROW()-4,ポート振替表!$V$5:$V$3507,0),"")</f>
        <v/>
      </c>
    </row>
    <row r="239" customFormat="false" ht="16.4" hidden="false" customHeight="false" outlineLevel="0" collapsed="false">
      <c r="A239" s="32" t="str">
        <f aca="false">IF(L239="","",ROW()-4)</f>
        <v/>
      </c>
      <c r="B239" s="58" t="str">
        <f aca="false">IF(L239="","",IF(INDEX(ポート振替表!$W$5:$W$3507,$L239)="","(なし)",INDEX(ポート振替表!$W$5:$W$3507,$L239)&amp;""))</f>
        <v/>
      </c>
      <c r="C239" s="52" t="str">
        <f aca="false">IF(L239="","",INDEX(ポート振替表!$B$5:$B$3507,$L239)&amp;" "&amp;INDEX(ポート振替表!$C$5:$C$3507,$L239)&amp;"  ⇔  "&amp;INDEX(ポート振替表!$H$5:$H$3507,$L239)&amp;" "&amp;INDEX(ポート振替表!$I$5:$I$3507,$L239))</f>
        <v/>
      </c>
      <c r="D239" s="57" t="s">
        <v>158</v>
      </c>
      <c r="E239" s="59" t="str">
        <f aca="false">IF(L239="","",IF(INDEX(ポート振替表!$O$5:$O$3507,$L239)="","(未設定)",INDEX(ポート振替表!$O$5:$O$3507,$L239)&amp;""))</f>
        <v/>
      </c>
      <c r="F239" s="52" t="str">
        <f aca="false">IF(L239="","",INDEX(ポート振替表!$K$5:$K$3507,$L239)&amp;" "&amp;INDEX(ポート振替表!$L$5:$L$3507,$L239)&amp;"  ⇔  "&amp;INDEX(ポート振替表!$H$5:$H$3507,$L239)&amp;" "&amp;INDEX(ポート振替表!$I$5:$I$3507,$L239))</f>
        <v/>
      </c>
      <c r="G239" s="57" t="s">
        <v>158</v>
      </c>
      <c r="H239" s="32" t="str">
        <f aca="false">IF(L239="","",INDEX(ポート振替表!$N$5:$N$3507,$L239)&amp;"")</f>
        <v/>
      </c>
      <c r="I239" s="32" t="str">
        <f aca="false">IF(L239="","",INDEX(ポート振替表!$P$5:$P$3507,$L239)&amp;"")</f>
        <v/>
      </c>
      <c r="J239" s="60" t="str">
        <f aca="false">IF(L239="","",INDEX(ポート振替表!$M$5:$M$3507,$L239)&amp;"")</f>
        <v/>
      </c>
      <c r="K239" s="52" t="str">
        <f aca="false">IF(L239="","",E239&amp;CHAR(10)&amp;INDEX(ポート振替表!$K$5:$K$3507,$L239)&amp;" "&amp;INDEX(ポート振替表!$L$5:$L$3507,$L239)&amp;CHAR(10)&amp;"⇔ "&amp;INDEX(ポート振替表!$H$5:$H$3507,$L239)&amp;" "&amp;INDEX(ポート振替表!$I$5:$I$3507,$L239))</f>
        <v/>
      </c>
      <c r="L239" s="47" t="str">
        <f aca="false">IFERROR(MATCH(ROW()-4,ポート振替表!$V$5:$V$3507,0),"")</f>
        <v/>
      </c>
    </row>
    <row r="240" customFormat="false" ht="16.4" hidden="false" customHeight="false" outlineLevel="0" collapsed="false">
      <c r="A240" s="32" t="str">
        <f aca="false">IF(L240="","",ROW()-4)</f>
        <v/>
      </c>
      <c r="B240" s="58" t="str">
        <f aca="false">IF(L240="","",IF(INDEX(ポート振替表!$W$5:$W$3507,$L240)="","(なし)",INDEX(ポート振替表!$W$5:$W$3507,$L240)&amp;""))</f>
        <v/>
      </c>
      <c r="C240" s="52" t="str">
        <f aca="false">IF(L240="","",INDEX(ポート振替表!$B$5:$B$3507,$L240)&amp;" "&amp;INDEX(ポート振替表!$C$5:$C$3507,$L240)&amp;"  ⇔  "&amp;INDEX(ポート振替表!$H$5:$H$3507,$L240)&amp;" "&amp;INDEX(ポート振替表!$I$5:$I$3507,$L240))</f>
        <v/>
      </c>
      <c r="D240" s="57" t="s">
        <v>158</v>
      </c>
      <c r="E240" s="59" t="str">
        <f aca="false">IF(L240="","",IF(INDEX(ポート振替表!$O$5:$O$3507,$L240)="","(未設定)",INDEX(ポート振替表!$O$5:$O$3507,$L240)&amp;""))</f>
        <v/>
      </c>
      <c r="F240" s="52" t="str">
        <f aca="false">IF(L240="","",INDEX(ポート振替表!$K$5:$K$3507,$L240)&amp;" "&amp;INDEX(ポート振替表!$L$5:$L$3507,$L240)&amp;"  ⇔  "&amp;INDEX(ポート振替表!$H$5:$H$3507,$L240)&amp;" "&amp;INDEX(ポート振替表!$I$5:$I$3507,$L240))</f>
        <v/>
      </c>
      <c r="G240" s="57" t="s">
        <v>158</v>
      </c>
      <c r="H240" s="32" t="str">
        <f aca="false">IF(L240="","",INDEX(ポート振替表!$N$5:$N$3507,$L240)&amp;"")</f>
        <v/>
      </c>
      <c r="I240" s="32" t="str">
        <f aca="false">IF(L240="","",INDEX(ポート振替表!$P$5:$P$3507,$L240)&amp;"")</f>
        <v/>
      </c>
      <c r="J240" s="60" t="str">
        <f aca="false">IF(L240="","",INDEX(ポート振替表!$M$5:$M$3507,$L240)&amp;"")</f>
        <v/>
      </c>
      <c r="K240" s="52" t="str">
        <f aca="false">IF(L240="","",E240&amp;CHAR(10)&amp;INDEX(ポート振替表!$K$5:$K$3507,$L240)&amp;" "&amp;INDEX(ポート振替表!$L$5:$L$3507,$L240)&amp;CHAR(10)&amp;"⇔ "&amp;INDEX(ポート振替表!$H$5:$H$3507,$L240)&amp;" "&amp;INDEX(ポート振替表!$I$5:$I$3507,$L240))</f>
        <v/>
      </c>
      <c r="L240" s="47" t="str">
        <f aca="false">IFERROR(MATCH(ROW()-4,ポート振替表!$V$5:$V$3507,0),"")</f>
        <v/>
      </c>
    </row>
    <row r="241" customFormat="false" ht="16.4" hidden="false" customHeight="false" outlineLevel="0" collapsed="false">
      <c r="A241" s="32" t="str">
        <f aca="false">IF(L241="","",ROW()-4)</f>
        <v/>
      </c>
      <c r="B241" s="58" t="str">
        <f aca="false">IF(L241="","",IF(INDEX(ポート振替表!$W$5:$W$3507,$L241)="","(なし)",INDEX(ポート振替表!$W$5:$W$3507,$L241)&amp;""))</f>
        <v/>
      </c>
      <c r="C241" s="52" t="str">
        <f aca="false">IF(L241="","",INDEX(ポート振替表!$B$5:$B$3507,$L241)&amp;" "&amp;INDEX(ポート振替表!$C$5:$C$3507,$L241)&amp;"  ⇔  "&amp;INDEX(ポート振替表!$H$5:$H$3507,$L241)&amp;" "&amp;INDEX(ポート振替表!$I$5:$I$3507,$L241))</f>
        <v/>
      </c>
      <c r="D241" s="57" t="s">
        <v>158</v>
      </c>
      <c r="E241" s="59" t="str">
        <f aca="false">IF(L241="","",IF(INDEX(ポート振替表!$O$5:$O$3507,$L241)="","(未設定)",INDEX(ポート振替表!$O$5:$O$3507,$L241)&amp;""))</f>
        <v/>
      </c>
      <c r="F241" s="52" t="str">
        <f aca="false">IF(L241="","",INDEX(ポート振替表!$K$5:$K$3507,$L241)&amp;" "&amp;INDEX(ポート振替表!$L$5:$L$3507,$L241)&amp;"  ⇔  "&amp;INDEX(ポート振替表!$H$5:$H$3507,$L241)&amp;" "&amp;INDEX(ポート振替表!$I$5:$I$3507,$L241))</f>
        <v/>
      </c>
      <c r="G241" s="57" t="s">
        <v>158</v>
      </c>
      <c r="H241" s="32" t="str">
        <f aca="false">IF(L241="","",INDEX(ポート振替表!$N$5:$N$3507,$L241)&amp;"")</f>
        <v/>
      </c>
      <c r="I241" s="32" t="str">
        <f aca="false">IF(L241="","",INDEX(ポート振替表!$P$5:$P$3507,$L241)&amp;"")</f>
        <v/>
      </c>
      <c r="J241" s="60" t="str">
        <f aca="false">IF(L241="","",INDEX(ポート振替表!$M$5:$M$3507,$L241)&amp;"")</f>
        <v/>
      </c>
      <c r="K241" s="52" t="str">
        <f aca="false">IF(L241="","",E241&amp;CHAR(10)&amp;INDEX(ポート振替表!$K$5:$K$3507,$L241)&amp;" "&amp;INDEX(ポート振替表!$L$5:$L$3507,$L241)&amp;CHAR(10)&amp;"⇔ "&amp;INDEX(ポート振替表!$H$5:$H$3507,$L241)&amp;" "&amp;INDEX(ポート振替表!$I$5:$I$3507,$L241))</f>
        <v/>
      </c>
      <c r="L241" s="47" t="str">
        <f aca="false">IFERROR(MATCH(ROW()-4,ポート振替表!$V$5:$V$3507,0),"")</f>
        <v/>
      </c>
    </row>
    <row r="242" customFormat="false" ht="16.4" hidden="false" customHeight="false" outlineLevel="0" collapsed="false">
      <c r="A242" s="32" t="str">
        <f aca="false">IF(L242="","",ROW()-4)</f>
        <v/>
      </c>
      <c r="B242" s="58" t="str">
        <f aca="false">IF(L242="","",IF(INDEX(ポート振替表!$W$5:$W$3507,$L242)="","(なし)",INDEX(ポート振替表!$W$5:$W$3507,$L242)&amp;""))</f>
        <v/>
      </c>
      <c r="C242" s="52" t="str">
        <f aca="false">IF(L242="","",INDEX(ポート振替表!$B$5:$B$3507,$L242)&amp;" "&amp;INDEX(ポート振替表!$C$5:$C$3507,$L242)&amp;"  ⇔  "&amp;INDEX(ポート振替表!$H$5:$H$3507,$L242)&amp;" "&amp;INDEX(ポート振替表!$I$5:$I$3507,$L242))</f>
        <v/>
      </c>
      <c r="D242" s="57" t="s">
        <v>158</v>
      </c>
      <c r="E242" s="59" t="str">
        <f aca="false">IF(L242="","",IF(INDEX(ポート振替表!$O$5:$O$3507,$L242)="","(未設定)",INDEX(ポート振替表!$O$5:$O$3507,$L242)&amp;""))</f>
        <v/>
      </c>
      <c r="F242" s="52" t="str">
        <f aca="false">IF(L242="","",INDEX(ポート振替表!$K$5:$K$3507,$L242)&amp;" "&amp;INDEX(ポート振替表!$L$5:$L$3507,$L242)&amp;"  ⇔  "&amp;INDEX(ポート振替表!$H$5:$H$3507,$L242)&amp;" "&amp;INDEX(ポート振替表!$I$5:$I$3507,$L242))</f>
        <v/>
      </c>
      <c r="G242" s="57" t="s">
        <v>158</v>
      </c>
      <c r="H242" s="32" t="str">
        <f aca="false">IF(L242="","",INDEX(ポート振替表!$N$5:$N$3507,$L242)&amp;"")</f>
        <v/>
      </c>
      <c r="I242" s="32" t="str">
        <f aca="false">IF(L242="","",INDEX(ポート振替表!$P$5:$P$3507,$L242)&amp;"")</f>
        <v/>
      </c>
      <c r="J242" s="60" t="str">
        <f aca="false">IF(L242="","",INDEX(ポート振替表!$M$5:$M$3507,$L242)&amp;"")</f>
        <v/>
      </c>
      <c r="K242" s="52" t="str">
        <f aca="false">IF(L242="","",E242&amp;CHAR(10)&amp;INDEX(ポート振替表!$K$5:$K$3507,$L242)&amp;" "&amp;INDEX(ポート振替表!$L$5:$L$3507,$L242)&amp;CHAR(10)&amp;"⇔ "&amp;INDEX(ポート振替表!$H$5:$H$3507,$L242)&amp;" "&amp;INDEX(ポート振替表!$I$5:$I$3507,$L242))</f>
        <v/>
      </c>
      <c r="L242" s="47" t="str">
        <f aca="false">IFERROR(MATCH(ROW()-4,ポート振替表!$V$5:$V$3507,0),"")</f>
        <v/>
      </c>
    </row>
    <row r="243" customFormat="false" ht="16.4" hidden="false" customHeight="false" outlineLevel="0" collapsed="false">
      <c r="A243" s="32" t="str">
        <f aca="false">IF(L243="","",ROW()-4)</f>
        <v/>
      </c>
      <c r="B243" s="58" t="str">
        <f aca="false">IF(L243="","",IF(INDEX(ポート振替表!$W$5:$W$3507,$L243)="","(なし)",INDEX(ポート振替表!$W$5:$W$3507,$L243)&amp;""))</f>
        <v/>
      </c>
      <c r="C243" s="52" t="str">
        <f aca="false">IF(L243="","",INDEX(ポート振替表!$B$5:$B$3507,$L243)&amp;" "&amp;INDEX(ポート振替表!$C$5:$C$3507,$L243)&amp;"  ⇔  "&amp;INDEX(ポート振替表!$H$5:$H$3507,$L243)&amp;" "&amp;INDEX(ポート振替表!$I$5:$I$3507,$L243))</f>
        <v/>
      </c>
      <c r="D243" s="57" t="s">
        <v>158</v>
      </c>
      <c r="E243" s="59" t="str">
        <f aca="false">IF(L243="","",IF(INDEX(ポート振替表!$O$5:$O$3507,$L243)="","(未設定)",INDEX(ポート振替表!$O$5:$O$3507,$L243)&amp;""))</f>
        <v/>
      </c>
      <c r="F243" s="52" t="str">
        <f aca="false">IF(L243="","",INDEX(ポート振替表!$K$5:$K$3507,$L243)&amp;" "&amp;INDEX(ポート振替表!$L$5:$L$3507,$L243)&amp;"  ⇔  "&amp;INDEX(ポート振替表!$H$5:$H$3507,$L243)&amp;" "&amp;INDEX(ポート振替表!$I$5:$I$3507,$L243))</f>
        <v/>
      </c>
      <c r="G243" s="57" t="s">
        <v>158</v>
      </c>
      <c r="H243" s="32" t="str">
        <f aca="false">IF(L243="","",INDEX(ポート振替表!$N$5:$N$3507,$L243)&amp;"")</f>
        <v/>
      </c>
      <c r="I243" s="32" t="str">
        <f aca="false">IF(L243="","",INDEX(ポート振替表!$P$5:$P$3507,$L243)&amp;"")</f>
        <v/>
      </c>
      <c r="J243" s="60" t="str">
        <f aca="false">IF(L243="","",INDEX(ポート振替表!$M$5:$M$3507,$L243)&amp;"")</f>
        <v/>
      </c>
      <c r="K243" s="52" t="str">
        <f aca="false">IF(L243="","",E243&amp;CHAR(10)&amp;INDEX(ポート振替表!$K$5:$K$3507,$L243)&amp;" "&amp;INDEX(ポート振替表!$L$5:$L$3507,$L243)&amp;CHAR(10)&amp;"⇔ "&amp;INDEX(ポート振替表!$H$5:$H$3507,$L243)&amp;" "&amp;INDEX(ポート振替表!$I$5:$I$3507,$L243))</f>
        <v/>
      </c>
      <c r="L243" s="47" t="str">
        <f aca="false">IFERROR(MATCH(ROW()-4,ポート振替表!$V$5:$V$3507,0),"")</f>
        <v/>
      </c>
    </row>
    <row r="244" customFormat="false" ht="16.4" hidden="false" customHeight="false" outlineLevel="0" collapsed="false">
      <c r="A244" s="32" t="str">
        <f aca="false">IF(L244="","",ROW()-4)</f>
        <v/>
      </c>
      <c r="B244" s="58" t="str">
        <f aca="false">IF(L244="","",IF(INDEX(ポート振替表!$W$5:$W$3507,$L244)="","(なし)",INDEX(ポート振替表!$W$5:$W$3507,$L244)&amp;""))</f>
        <v/>
      </c>
      <c r="C244" s="52" t="str">
        <f aca="false">IF(L244="","",INDEX(ポート振替表!$B$5:$B$3507,$L244)&amp;" "&amp;INDEX(ポート振替表!$C$5:$C$3507,$L244)&amp;"  ⇔  "&amp;INDEX(ポート振替表!$H$5:$H$3507,$L244)&amp;" "&amp;INDEX(ポート振替表!$I$5:$I$3507,$L244))</f>
        <v/>
      </c>
      <c r="D244" s="57" t="s">
        <v>158</v>
      </c>
      <c r="E244" s="59" t="str">
        <f aca="false">IF(L244="","",IF(INDEX(ポート振替表!$O$5:$O$3507,$L244)="","(未設定)",INDEX(ポート振替表!$O$5:$O$3507,$L244)&amp;""))</f>
        <v/>
      </c>
      <c r="F244" s="52" t="str">
        <f aca="false">IF(L244="","",INDEX(ポート振替表!$K$5:$K$3507,$L244)&amp;" "&amp;INDEX(ポート振替表!$L$5:$L$3507,$L244)&amp;"  ⇔  "&amp;INDEX(ポート振替表!$H$5:$H$3507,$L244)&amp;" "&amp;INDEX(ポート振替表!$I$5:$I$3507,$L244))</f>
        <v/>
      </c>
      <c r="G244" s="57" t="s">
        <v>158</v>
      </c>
      <c r="H244" s="32" t="str">
        <f aca="false">IF(L244="","",INDEX(ポート振替表!$N$5:$N$3507,$L244)&amp;"")</f>
        <v/>
      </c>
      <c r="I244" s="32" t="str">
        <f aca="false">IF(L244="","",INDEX(ポート振替表!$P$5:$P$3507,$L244)&amp;"")</f>
        <v/>
      </c>
      <c r="J244" s="60" t="str">
        <f aca="false">IF(L244="","",INDEX(ポート振替表!$M$5:$M$3507,$L244)&amp;"")</f>
        <v/>
      </c>
      <c r="K244" s="52" t="str">
        <f aca="false">IF(L244="","",E244&amp;CHAR(10)&amp;INDEX(ポート振替表!$K$5:$K$3507,$L244)&amp;" "&amp;INDEX(ポート振替表!$L$5:$L$3507,$L244)&amp;CHAR(10)&amp;"⇔ "&amp;INDEX(ポート振替表!$H$5:$H$3507,$L244)&amp;" "&amp;INDEX(ポート振替表!$I$5:$I$3507,$L244))</f>
        <v/>
      </c>
      <c r="L244" s="47" t="str">
        <f aca="false">IFERROR(MATCH(ROW()-4,ポート振替表!$V$5:$V$3507,0),"")</f>
        <v/>
      </c>
    </row>
    <row r="245" customFormat="false" ht="16.4" hidden="false" customHeight="false" outlineLevel="0" collapsed="false">
      <c r="A245" s="32" t="str">
        <f aca="false">IF(L245="","",ROW()-4)</f>
        <v/>
      </c>
      <c r="B245" s="58" t="str">
        <f aca="false">IF(L245="","",IF(INDEX(ポート振替表!$W$5:$W$3507,$L245)="","(なし)",INDEX(ポート振替表!$W$5:$W$3507,$L245)&amp;""))</f>
        <v/>
      </c>
      <c r="C245" s="52" t="str">
        <f aca="false">IF(L245="","",INDEX(ポート振替表!$B$5:$B$3507,$L245)&amp;" "&amp;INDEX(ポート振替表!$C$5:$C$3507,$L245)&amp;"  ⇔  "&amp;INDEX(ポート振替表!$H$5:$H$3507,$L245)&amp;" "&amp;INDEX(ポート振替表!$I$5:$I$3507,$L245))</f>
        <v/>
      </c>
      <c r="D245" s="57" t="s">
        <v>158</v>
      </c>
      <c r="E245" s="59" t="str">
        <f aca="false">IF(L245="","",IF(INDEX(ポート振替表!$O$5:$O$3507,$L245)="","(未設定)",INDEX(ポート振替表!$O$5:$O$3507,$L245)&amp;""))</f>
        <v/>
      </c>
      <c r="F245" s="52" t="str">
        <f aca="false">IF(L245="","",INDEX(ポート振替表!$K$5:$K$3507,$L245)&amp;" "&amp;INDEX(ポート振替表!$L$5:$L$3507,$L245)&amp;"  ⇔  "&amp;INDEX(ポート振替表!$H$5:$H$3507,$L245)&amp;" "&amp;INDEX(ポート振替表!$I$5:$I$3507,$L245))</f>
        <v/>
      </c>
      <c r="G245" s="57" t="s">
        <v>158</v>
      </c>
      <c r="H245" s="32" t="str">
        <f aca="false">IF(L245="","",INDEX(ポート振替表!$N$5:$N$3507,$L245)&amp;"")</f>
        <v/>
      </c>
      <c r="I245" s="32" t="str">
        <f aca="false">IF(L245="","",INDEX(ポート振替表!$P$5:$P$3507,$L245)&amp;"")</f>
        <v/>
      </c>
      <c r="J245" s="60" t="str">
        <f aca="false">IF(L245="","",INDEX(ポート振替表!$M$5:$M$3507,$L245)&amp;"")</f>
        <v/>
      </c>
      <c r="K245" s="52" t="str">
        <f aca="false">IF(L245="","",E245&amp;CHAR(10)&amp;INDEX(ポート振替表!$K$5:$K$3507,$L245)&amp;" "&amp;INDEX(ポート振替表!$L$5:$L$3507,$L245)&amp;CHAR(10)&amp;"⇔ "&amp;INDEX(ポート振替表!$H$5:$H$3507,$L245)&amp;" "&amp;INDEX(ポート振替表!$I$5:$I$3507,$L245))</f>
        <v/>
      </c>
      <c r="L245" s="47" t="str">
        <f aca="false">IFERROR(MATCH(ROW()-4,ポート振替表!$V$5:$V$3507,0),"")</f>
        <v/>
      </c>
    </row>
    <row r="246" customFormat="false" ht="16.4" hidden="false" customHeight="false" outlineLevel="0" collapsed="false">
      <c r="A246" s="32" t="str">
        <f aca="false">IF(L246="","",ROW()-4)</f>
        <v/>
      </c>
      <c r="B246" s="58" t="str">
        <f aca="false">IF(L246="","",IF(INDEX(ポート振替表!$W$5:$W$3507,$L246)="","(なし)",INDEX(ポート振替表!$W$5:$W$3507,$L246)&amp;""))</f>
        <v/>
      </c>
      <c r="C246" s="52" t="str">
        <f aca="false">IF(L246="","",INDEX(ポート振替表!$B$5:$B$3507,$L246)&amp;" "&amp;INDEX(ポート振替表!$C$5:$C$3507,$L246)&amp;"  ⇔  "&amp;INDEX(ポート振替表!$H$5:$H$3507,$L246)&amp;" "&amp;INDEX(ポート振替表!$I$5:$I$3507,$L246))</f>
        <v/>
      </c>
      <c r="D246" s="57" t="s">
        <v>158</v>
      </c>
      <c r="E246" s="59" t="str">
        <f aca="false">IF(L246="","",IF(INDEX(ポート振替表!$O$5:$O$3507,$L246)="","(未設定)",INDEX(ポート振替表!$O$5:$O$3507,$L246)&amp;""))</f>
        <v/>
      </c>
      <c r="F246" s="52" t="str">
        <f aca="false">IF(L246="","",INDEX(ポート振替表!$K$5:$K$3507,$L246)&amp;" "&amp;INDEX(ポート振替表!$L$5:$L$3507,$L246)&amp;"  ⇔  "&amp;INDEX(ポート振替表!$H$5:$H$3507,$L246)&amp;" "&amp;INDEX(ポート振替表!$I$5:$I$3507,$L246))</f>
        <v/>
      </c>
      <c r="G246" s="57" t="s">
        <v>158</v>
      </c>
      <c r="H246" s="32" t="str">
        <f aca="false">IF(L246="","",INDEX(ポート振替表!$N$5:$N$3507,$L246)&amp;"")</f>
        <v/>
      </c>
      <c r="I246" s="32" t="str">
        <f aca="false">IF(L246="","",INDEX(ポート振替表!$P$5:$P$3507,$L246)&amp;"")</f>
        <v/>
      </c>
      <c r="J246" s="60" t="str">
        <f aca="false">IF(L246="","",INDEX(ポート振替表!$M$5:$M$3507,$L246)&amp;"")</f>
        <v/>
      </c>
      <c r="K246" s="52" t="str">
        <f aca="false">IF(L246="","",E246&amp;CHAR(10)&amp;INDEX(ポート振替表!$K$5:$K$3507,$L246)&amp;" "&amp;INDEX(ポート振替表!$L$5:$L$3507,$L246)&amp;CHAR(10)&amp;"⇔ "&amp;INDEX(ポート振替表!$H$5:$H$3507,$L246)&amp;" "&amp;INDEX(ポート振替表!$I$5:$I$3507,$L246))</f>
        <v/>
      </c>
      <c r="L246" s="47" t="str">
        <f aca="false">IFERROR(MATCH(ROW()-4,ポート振替表!$V$5:$V$3507,0),"")</f>
        <v/>
      </c>
    </row>
    <row r="247" customFormat="false" ht="16.4" hidden="false" customHeight="false" outlineLevel="0" collapsed="false">
      <c r="A247" s="32" t="str">
        <f aca="false">IF(L247="","",ROW()-4)</f>
        <v/>
      </c>
      <c r="B247" s="58" t="str">
        <f aca="false">IF(L247="","",IF(INDEX(ポート振替表!$W$5:$W$3507,$L247)="","(なし)",INDEX(ポート振替表!$W$5:$W$3507,$L247)&amp;""))</f>
        <v/>
      </c>
      <c r="C247" s="52" t="str">
        <f aca="false">IF(L247="","",INDEX(ポート振替表!$B$5:$B$3507,$L247)&amp;" "&amp;INDEX(ポート振替表!$C$5:$C$3507,$L247)&amp;"  ⇔  "&amp;INDEX(ポート振替表!$H$5:$H$3507,$L247)&amp;" "&amp;INDEX(ポート振替表!$I$5:$I$3507,$L247))</f>
        <v/>
      </c>
      <c r="D247" s="57" t="s">
        <v>158</v>
      </c>
      <c r="E247" s="59" t="str">
        <f aca="false">IF(L247="","",IF(INDEX(ポート振替表!$O$5:$O$3507,$L247)="","(未設定)",INDEX(ポート振替表!$O$5:$O$3507,$L247)&amp;""))</f>
        <v/>
      </c>
      <c r="F247" s="52" t="str">
        <f aca="false">IF(L247="","",INDEX(ポート振替表!$K$5:$K$3507,$L247)&amp;" "&amp;INDEX(ポート振替表!$L$5:$L$3507,$L247)&amp;"  ⇔  "&amp;INDEX(ポート振替表!$H$5:$H$3507,$L247)&amp;" "&amp;INDEX(ポート振替表!$I$5:$I$3507,$L247))</f>
        <v/>
      </c>
      <c r="G247" s="57" t="s">
        <v>158</v>
      </c>
      <c r="H247" s="32" t="str">
        <f aca="false">IF(L247="","",INDEX(ポート振替表!$N$5:$N$3507,$L247)&amp;"")</f>
        <v/>
      </c>
      <c r="I247" s="32" t="str">
        <f aca="false">IF(L247="","",INDEX(ポート振替表!$P$5:$P$3507,$L247)&amp;"")</f>
        <v/>
      </c>
      <c r="J247" s="60" t="str">
        <f aca="false">IF(L247="","",INDEX(ポート振替表!$M$5:$M$3507,$L247)&amp;"")</f>
        <v/>
      </c>
      <c r="K247" s="52" t="str">
        <f aca="false">IF(L247="","",E247&amp;CHAR(10)&amp;INDEX(ポート振替表!$K$5:$K$3507,$L247)&amp;" "&amp;INDEX(ポート振替表!$L$5:$L$3507,$L247)&amp;CHAR(10)&amp;"⇔ "&amp;INDEX(ポート振替表!$H$5:$H$3507,$L247)&amp;" "&amp;INDEX(ポート振替表!$I$5:$I$3507,$L247))</f>
        <v/>
      </c>
      <c r="L247" s="47" t="str">
        <f aca="false">IFERROR(MATCH(ROW()-4,ポート振替表!$V$5:$V$3507,0),"")</f>
        <v/>
      </c>
    </row>
    <row r="248" customFormat="false" ht="16.4" hidden="false" customHeight="false" outlineLevel="0" collapsed="false">
      <c r="A248" s="32" t="str">
        <f aca="false">IF(L248="","",ROW()-4)</f>
        <v/>
      </c>
      <c r="B248" s="58" t="str">
        <f aca="false">IF(L248="","",IF(INDEX(ポート振替表!$W$5:$W$3507,$L248)="","(なし)",INDEX(ポート振替表!$W$5:$W$3507,$L248)&amp;""))</f>
        <v/>
      </c>
      <c r="C248" s="52" t="str">
        <f aca="false">IF(L248="","",INDEX(ポート振替表!$B$5:$B$3507,$L248)&amp;" "&amp;INDEX(ポート振替表!$C$5:$C$3507,$L248)&amp;"  ⇔  "&amp;INDEX(ポート振替表!$H$5:$H$3507,$L248)&amp;" "&amp;INDEX(ポート振替表!$I$5:$I$3507,$L248))</f>
        <v/>
      </c>
      <c r="D248" s="57" t="s">
        <v>158</v>
      </c>
      <c r="E248" s="59" t="str">
        <f aca="false">IF(L248="","",IF(INDEX(ポート振替表!$O$5:$O$3507,$L248)="","(未設定)",INDEX(ポート振替表!$O$5:$O$3507,$L248)&amp;""))</f>
        <v/>
      </c>
      <c r="F248" s="52" t="str">
        <f aca="false">IF(L248="","",INDEX(ポート振替表!$K$5:$K$3507,$L248)&amp;" "&amp;INDEX(ポート振替表!$L$5:$L$3507,$L248)&amp;"  ⇔  "&amp;INDEX(ポート振替表!$H$5:$H$3507,$L248)&amp;" "&amp;INDEX(ポート振替表!$I$5:$I$3507,$L248))</f>
        <v/>
      </c>
      <c r="G248" s="57" t="s">
        <v>158</v>
      </c>
      <c r="H248" s="32" t="str">
        <f aca="false">IF(L248="","",INDEX(ポート振替表!$N$5:$N$3507,$L248)&amp;"")</f>
        <v/>
      </c>
      <c r="I248" s="32" t="str">
        <f aca="false">IF(L248="","",INDEX(ポート振替表!$P$5:$P$3507,$L248)&amp;"")</f>
        <v/>
      </c>
      <c r="J248" s="60" t="str">
        <f aca="false">IF(L248="","",INDEX(ポート振替表!$M$5:$M$3507,$L248)&amp;"")</f>
        <v/>
      </c>
      <c r="K248" s="52" t="str">
        <f aca="false">IF(L248="","",E248&amp;CHAR(10)&amp;INDEX(ポート振替表!$K$5:$K$3507,$L248)&amp;" "&amp;INDEX(ポート振替表!$L$5:$L$3507,$L248)&amp;CHAR(10)&amp;"⇔ "&amp;INDEX(ポート振替表!$H$5:$H$3507,$L248)&amp;" "&amp;INDEX(ポート振替表!$I$5:$I$3507,$L248))</f>
        <v/>
      </c>
      <c r="L248" s="47" t="str">
        <f aca="false">IFERROR(MATCH(ROW()-4,ポート振替表!$V$5:$V$3507,0),"")</f>
        <v/>
      </c>
    </row>
    <row r="249" customFormat="false" ht="16.4" hidden="false" customHeight="false" outlineLevel="0" collapsed="false">
      <c r="A249" s="32" t="str">
        <f aca="false">IF(L249="","",ROW()-4)</f>
        <v/>
      </c>
      <c r="B249" s="58" t="str">
        <f aca="false">IF(L249="","",IF(INDEX(ポート振替表!$W$5:$W$3507,$L249)="","(なし)",INDEX(ポート振替表!$W$5:$W$3507,$L249)&amp;""))</f>
        <v/>
      </c>
      <c r="C249" s="52" t="str">
        <f aca="false">IF(L249="","",INDEX(ポート振替表!$B$5:$B$3507,$L249)&amp;" "&amp;INDEX(ポート振替表!$C$5:$C$3507,$L249)&amp;"  ⇔  "&amp;INDEX(ポート振替表!$H$5:$H$3507,$L249)&amp;" "&amp;INDEX(ポート振替表!$I$5:$I$3507,$L249))</f>
        <v/>
      </c>
      <c r="D249" s="57" t="s">
        <v>158</v>
      </c>
      <c r="E249" s="59" t="str">
        <f aca="false">IF(L249="","",IF(INDEX(ポート振替表!$O$5:$O$3507,$L249)="","(未設定)",INDEX(ポート振替表!$O$5:$O$3507,$L249)&amp;""))</f>
        <v/>
      </c>
      <c r="F249" s="52" t="str">
        <f aca="false">IF(L249="","",INDEX(ポート振替表!$K$5:$K$3507,$L249)&amp;" "&amp;INDEX(ポート振替表!$L$5:$L$3507,$L249)&amp;"  ⇔  "&amp;INDEX(ポート振替表!$H$5:$H$3507,$L249)&amp;" "&amp;INDEX(ポート振替表!$I$5:$I$3507,$L249))</f>
        <v/>
      </c>
      <c r="G249" s="57" t="s">
        <v>158</v>
      </c>
      <c r="H249" s="32" t="str">
        <f aca="false">IF(L249="","",INDEX(ポート振替表!$N$5:$N$3507,$L249)&amp;"")</f>
        <v/>
      </c>
      <c r="I249" s="32" t="str">
        <f aca="false">IF(L249="","",INDEX(ポート振替表!$P$5:$P$3507,$L249)&amp;"")</f>
        <v/>
      </c>
      <c r="J249" s="60" t="str">
        <f aca="false">IF(L249="","",INDEX(ポート振替表!$M$5:$M$3507,$L249)&amp;"")</f>
        <v/>
      </c>
      <c r="K249" s="52" t="str">
        <f aca="false">IF(L249="","",E249&amp;CHAR(10)&amp;INDEX(ポート振替表!$K$5:$K$3507,$L249)&amp;" "&amp;INDEX(ポート振替表!$L$5:$L$3507,$L249)&amp;CHAR(10)&amp;"⇔ "&amp;INDEX(ポート振替表!$H$5:$H$3507,$L249)&amp;" "&amp;INDEX(ポート振替表!$I$5:$I$3507,$L249))</f>
        <v/>
      </c>
      <c r="L249" s="47" t="str">
        <f aca="false">IFERROR(MATCH(ROW()-4,ポート振替表!$V$5:$V$3507,0),"")</f>
        <v/>
      </c>
    </row>
    <row r="250" customFormat="false" ht="16.4" hidden="false" customHeight="false" outlineLevel="0" collapsed="false">
      <c r="A250" s="32" t="str">
        <f aca="false">IF(L250="","",ROW()-4)</f>
        <v/>
      </c>
      <c r="B250" s="58" t="str">
        <f aca="false">IF(L250="","",IF(INDEX(ポート振替表!$W$5:$W$3507,$L250)="","(なし)",INDEX(ポート振替表!$W$5:$W$3507,$L250)&amp;""))</f>
        <v/>
      </c>
      <c r="C250" s="52" t="str">
        <f aca="false">IF(L250="","",INDEX(ポート振替表!$B$5:$B$3507,$L250)&amp;" "&amp;INDEX(ポート振替表!$C$5:$C$3507,$L250)&amp;"  ⇔  "&amp;INDEX(ポート振替表!$H$5:$H$3507,$L250)&amp;" "&amp;INDEX(ポート振替表!$I$5:$I$3507,$L250))</f>
        <v/>
      </c>
      <c r="D250" s="57" t="s">
        <v>158</v>
      </c>
      <c r="E250" s="59" t="str">
        <f aca="false">IF(L250="","",IF(INDEX(ポート振替表!$O$5:$O$3507,$L250)="","(未設定)",INDEX(ポート振替表!$O$5:$O$3507,$L250)&amp;""))</f>
        <v/>
      </c>
      <c r="F250" s="52" t="str">
        <f aca="false">IF(L250="","",INDEX(ポート振替表!$K$5:$K$3507,$L250)&amp;" "&amp;INDEX(ポート振替表!$L$5:$L$3507,$L250)&amp;"  ⇔  "&amp;INDEX(ポート振替表!$H$5:$H$3507,$L250)&amp;" "&amp;INDEX(ポート振替表!$I$5:$I$3507,$L250))</f>
        <v/>
      </c>
      <c r="G250" s="57" t="s">
        <v>158</v>
      </c>
      <c r="H250" s="32" t="str">
        <f aca="false">IF(L250="","",INDEX(ポート振替表!$N$5:$N$3507,$L250)&amp;"")</f>
        <v/>
      </c>
      <c r="I250" s="32" t="str">
        <f aca="false">IF(L250="","",INDEX(ポート振替表!$P$5:$P$3507,$L250)&amp;"")</f>
        <v/>
      </c>
      <c r="J250" s="60" t="str">
        <f aca="false">IF(L250="","",INDEX(ポート振替表!$M$5:$M$3507,$L250)&amp;"")</f>
        <v/>
      </c>
      <c r="K250" s="52" t="str">
        <f aca="false">IF(L250="","",E250&amp;CHAR(10)&amp;INDEX(ポート振替表!$K$5:$K$3507,$L250)&amp;" "&amp;INDEX(ポート振替表!$L$5:$L$3507,$L250)&amp;CHAR(10)&amp;"⇔ "&amp;INDEX(ポート振替表!$H$5:$H$3507,$L250)&amp;" "&amp;INDEX(ポート振替表!$I$5:$I$3507,$L250))</f>
        <v/>
      </c>
      <c r="L250" s="47" t="str">
        <f aca="false">IFERROR(MATCH(ROW()-4,ポート振替表!$V$5:$V$3507,0),"")</f>
        <v/>
      </c>
    </row>
    <row r="251" customFormat="false" ht="16.4" hidden="false" customHeight="false" outlineLevel="0" collapsed="false">
      <c r="A251" s="32" t="str">
        <f aca="false">IF(L251="","",ROW()-4)</f>
        <v/>
      </c>
      <c r="B251" s="58" t="str">
        <f aca="false">IF(L251="","",IF(INDEX(ポート振替表!$W$5:$W$3507,$L251)="","(なし)",INDEX(ポート振替表!$W$5:$W$3507,$L251)&amp;""))</f>
        <v/>
      </c>
      <c r="C251" s="52" t="str">
        <f aca="false">IF(L251="","",INDEX(ポート振替表!$B$5:$B$3507,$L251)&amp;" "&amp;INDEX(ポート振替表!$C$5:$C$3507,$L251)&amp;"  ⇔  "&amp;INDEX(ポート振替表!$H$5:$H$3507,$L251)&amp;" "&amp;INDEX(ポート振替表!$I$5:$I$3507,$L251))</f>
        <v/>
      </c>
      <c r="D251" s="57" t="s">
        <v>158</v>
      </c>
      <c r="E251" s="59" t="str">
        <f aca="false">IF(L251="","",IF(INDEX(ポート振替表!$O$5:$O$3507,$L251)="","(未設定)",INDEX(ポート振替表!$O$5:$O$3507,$L251)&amp;""))</f>
        <v/>
      </c>
      <c r="F251" s="52" t="str">
        <f aca="false">IF(L251="","",INDEX(ポート振替表!$K$5:$K$3507,$L251)&amp;" "&amp;INDEX(ポート振替表!$L$5:$L$3507,$L251)&amp;"  ⇔  "&amp;INDEX(ポート振替表!$H$5:$H$3507,$L251)&amp;" "&amp;INDEX(ポート振替表!$I$5:$I$3507,$L251))</f>
        <v/>
      </c>
      <c r="G251" s="57" t="s">
        <v>158</v>
      </c>
      <c r="H251" s="32" t="str">
        <f aca="false">IF(L251="","",INDEX(ポート振替表!$N$5:$N$3507,$L251)&amp;"")</f>
        <v/>
      </c>
      <c r="I251" s="32" t="str">
        <f aca="false">IF(L251="","",INDEX(ポート振替表!$P$5:$P$3507,$L251)&amp;"")</f>
        <v/>
      </c>
      <c r="J251" s="60" t="str">
        <f aca="false">IF(L251="","",INDEX(ポート振替表!$M$5:$M$3507,$L251)&amp;"")</f>
        <v/>
      </c>
      <c r="K251" s="52" t="str">
        <f aca="false">IF(L251="","",E251&amp;CHAR(10)&amp;INDEX(ポート振替表!$K$5:$K$3507,$L251)&amp;" "&amp;INDEX(ポート振替表!$L$5:$L$3507,$L251)&amp;CHAR(10)&amp;"⇔ "&amp;INDEX(ポート振替表!$H$5:$H$3507,$L251)&amp;" "&amp;INDEX(ポート振替表!$I$5:$I$3507,$L251))</f>
        <v/>
      </c>
      <c r="L251" s="47" t="str">
        <f aca="false">IFERROR(MATCH(ROW()-4,ポート振替表!$V$5:$V$3507,0),"")</f>
        <v/>
      </c>
    </row>
    <row r="252" customFormat="false" ht="16.4" hidden="false" customHeight="false" outlineLevel="0" collapsed="false">
      <c r="A252" s="32" t="str">
        <f aca="false">IF(L252="","",ROW()-4)</f>
        <v/>
      </c>
      <c r="B252" s="58" t="str">
        <f aca="false">IF(L252="","",IF(INDEX(ポート振替表!$W$5:$W$3507,$L252)="","(なし)",INDEX(ポート振替表!$W$5:$W$3507,$L252)&amp;""))</f>
        <v/>
      </c>
      <c r="C252" s="52" t="str">
        <f aca="false">IF(L252="","",INDEX(ポート振替表!$B$5:$B$3507,$L252)&amp;" "&amp;INDEX(ポート振替表!$C$5:$C$3507,$L252)&amp;"  ⇔  "&amp;INDEX(ポート振替表!$H$5:$H$3507,$L252)&amp;" "&amp;INDEX(ポート振替表!$I$5:$I$3507,$L252))</f>
        <v/>
      </c>
      <c r="D252" s="57" t="s">
        <v>158</v>
      </c>
      <c r="E252" s="59" t="str">
        <f aca="false">IF(L252="","",IF(INDEX(ポート振替表!$O$5:$O$3507,$L252)="","(未設定)",INDEX(ポート振替表!$O$5:$O$3507,$L252)&amp;""))</f>
        <v/>
      </c>
      <c r="F252" s="52" t="str">
        <f aca="false">IF(L252="","",INDEX(ポート振替表!$K$5:$K$3507,$L252)&amp;" "&amp;INDEX(ポート振替表!$L$5:$L$3507,$L252)&amp;"  ⇔  "&amp;INDEX(ポート振替表!$H$5:$H$3507,$L252)&amp;" "&amp;INDEX(ポート振替表!$I$5:$I$3507,$L252))</f>
        <v/>
      </c>
      <c r="G252" s="57" t="s">
        <v>158</v>
      </c>
      <c r="H252" s="32" t="str">
        <f aca="false">IF(L252="","",INDEX(ポート振替表!$N$5:$N$3507,$L252)&amp;"")</f>
        <v/>
      </c>
      <c r="I252" s="32" t="str">
        <f aca="false">IF(L252="","",INDEX(ポート振替表!$P$5:$P$3507,$L252)&amp;"")</f>
        <v/>
      </c>
      <c r="J252" s="60" t="str">
        <f aca="false">IF(L252="","",INDEX(ポート振替表!$M$5:$M$3507,$L252)&amp;"")</f>
        <v/>
      </c>
      <c r="K252" s="52" t="str">
        <f aca="false">IF(L252="","",E252&amp;CHAR(10)&amp;INDEX(ポート振替表!$K$5:$K$3507,$L252)&amp;" "&amp;INDEX(ポート振替表!$L$5:$L$3507,$L252)&amp;CHAR(10)&amp;"⇔ "&amp;INDEX(ポート振替表!$H$5:$H$3507,$L252)&amp;" "&amp;INDEX(ポート振替表!$I$5:$I$3507,$L252))</f>
        <v/>
      </c>
      <c r="L252" s="47" t="str">
        <f aca="false">IFERROR(MATCH(ROW()-4,ポート振替表!$V$5:$V$3507,0),"")</f>
        <v/>
      </c>
    </row>
    <row r="253" customFormat="false" ht="16.4" hidden="false" customHeight="false" outlineLevel="0" collapsed="false">
      <c r="A253" s="32" t="str">
        <f aca="false">IF(L253="","",ROW()-4)</f>
        <v/>
      </c>
      <c r="B253" s="58" t="str">
        <f aca="false">IF(L253="","",IF(INDEX(ポート振替表!$W$5:$W$3507,$L253)="","(なし)",INDEX(ポート振替表!$W$5:$W$3507,$L253)&amp;""))</f>
        <v/>
      </c>
      <c r="C253" s="52" t="str">
        <f aca="false">IF(L253="","",INDEX(ポート振替表!$B$5:$B$3507,$L253)&amp;" "&amp;INDEX(ポート振替表!$C$5:$C$3507,$L253)&amp;"  ⇔  "&amp;INDEX(ポート振替表!$H$5:$H$3507,$L253)&amp;" "&amp;INDEX(ポート振替表!$I$5:$I$3507,$L253))</f>
        <v/>
      </c>
      <c r="D253" s="57" t="s">
        <v>158</v>
      </c>
      <c r="E253" s="59" t="str">
        <f aca="false">IF(L253="","",IF(INDEX(ポート振替表!$O$5:$O$3507,$L253)="","(未設定)",INDEX(ポート振替表!$O$5:$O$3507,$L253)&amp;""))</f>
        <v/>
      </c>
      <c r="F253" s="52" t="str">
        <f aca="false">IF(L253="","",INDEX(ポート振替表!$K$5:$K$3507,$L253)&amp;" "&amp;INDEX(ポート振替表!$L$5:$L$3507,$L253)&amp;"  ⇔  "&amp;INDEX(ポート振替表!$H$5:$H$3507,$L253)&amp;" "&amp;INDEX(ポート振替表!$I$5:$I$3507,$L253))</f>
        <v/>
      </c>
      <c r="G253" s="57" t="s">
        <v>158</v>
      </c>
      <c r="H253" s="32" t="str">
        <f aca="false">IF(L253="","",INDEX(ポート振替表!$N$5:$N$3507,$L253)&amp;"")</f>
        <v/>
      </c>
      <c r="I253" s="32" t="str">
        <f aca="false">IF(L253="","",INDEX(ポート振替表!$P$5:$P$3507,$L253)&amp;"")</f>
        <v/>
      </c>
      <c r="J253" s="60" t="str">
        <f aca="false">IF(L253="","",INDEX(ポート振替表!$M$5:$M$3507,$L253)&amp;"")</f>
        <v/>
      </c>
      <c r="K253" s="52" t="str">
        <f aca="false">IF(L253="","",E253&amp;CHAR(10)&amp;INDEX(ポート振替表!$K$5:$K$3507,$L253)&amp;" "&amp;INDEX(ポート振替表!$L$5:$L$3507,$L253)&amp;CHAR(10)&amp;"⇔ "&amp;INDEX(ポート振替表!$H$5:$H$3507,$L253)&amp;" "&amp;INDEX(ポート振替表!$I$5:$I$3507,$L253))</f>
        <v/>
      </c>
      <c r="L253" s="47" t="str">
        <f aca="false">IFERROR(MATCH(ROW()-4,ポート振替表!$V$5:$V$3507,0),"")</f>
        <v/>
      </c>
    </row>
    <row r="254" customFormat="false" ht="16.4" hidden="false" customHeight="false" outlineLevel="0" collapsed="false">
      <c r="A254" s="32" t="str">
        <f aca="false">IF(L254="","",ROW()-4)</f>
        <v/>
      </c>
      <c r="B254" s="58" t="str">
        <f aca="false">IF(L254="","",IF(INDEX(ポート振替表!$W$5:$W$3507,$L254)="","(なし)",INDEX(ポート振替表!$W$5:$W$3507,$L254)&amp;""))</f>
        <v/>
      </c>
      <c r="C254" s="52" t="str">
        <f aca="false">IF(L254="","",INDEX(ポート振替表!$B$5:$B$3507,$L254)&amp;" "&amp;INDEX(ポート振替表!$C$5:$C$3507,$L254)&amp;"  ⇔  "&amp;INDEX(ポート振替表!$H$5:$H$3507,$L254)&amp;" "&amp;INDEX(ポート振替表!$I$5:$I$3507,$L254))</f>
        <v/>
      </c>
      <c r="D254" s="57" t="s">
        <v>158</v>
      </c>
      <c r="E254" s="59" t="str">
        <f aca="false">IF(L254="","",IF(INDEX(ポート振替表!$O$5:$O$3507,$L254)="","(未設定)",INDEX(ポート振替表!$O$5:$O$3507,$L254)&amp;""))</f>
        <v/>
      </c>
      <c r="F254" s="52" t="str">
        <f aca="false">IF(L254="","",INDEX(ポート振替表!$K$5:$K$3507,$L254)&amp;" "&amp;INDEX(ポート振替表!$L$5:$L$3507,$L254)&amp;"  ⇔  "&amp;INDEX(ポート振替表!$H$5:$H$3507,$L254)&amp;" "&amp;INDEX(ポート振替表!$I$5:$I$3507,$L254))</f>
        <v/>
      </c>
      <c r="G254" s="57" t="s">
        <v>158</v>
      </c>
      <c r="H254" s="32" t="str">
        <f aca="false">IF(L254="","",INDEX(ポート振替表!$N$5:$N$3507,$L254)&amp;"")</f>
        <v/>
      </c>
      <c r="I254" s="32" t="str">
        <f aca="false">IF(L254="","",INDEX(ポート振替表!$P$5:$P$3507,$L254)&amp;"")</f>
        <v/>
      </c>
      <c r="J254" s="60" t="str">
        <f aca="false">IF(L254="","",INDEX(ポート振替表!$M$5:$M$3507,$L254)&amp;"")</f>
        <v/>
      </c>
      <c r="K254" s="52" t="str">
        <f aca="false">IF(L254="","",E254&amp;CHAR(10)&amp;INDEX(ポート振替表!$K$5:$K$3507,$L254)&amp;" "&amp;INDEX(ポート振替表!$L$5:$L$3507,$L254)&amp;CHAR(10)&amp;"⇔ "&amp;INDEX(ポート振替表!$H$5:$H$3507,$L254)&amp;" "&amp;INDEX(ポート振替表!$I$5:$I$3507,$L254))</f>
        <v/>
      </c>
      <c r="L254" s="47" t="str">
        <f aca="false">IFERROR(MATCH(ROW()-4,ポート振替表!$V$5:$V$3507,0),"")</f>
        <v/>
      </c>
    </row>
    <row r="255" customFormat="false" ht="16.4" hidden="false" customHeight="false" outlineLevel="0" collapsed="false">
      <c r="A255" s="32" t="str">
        <f aca="false">IF(L255="","",ROW()-4)</f>
        <v/>
      </c>
      <c r="B255" s="58" t="str">
        <f aca="false">IF(L255="","",IF(INDEX(ポート振替表!$W$5:$W$3507,$L255)="","(なし)",INDEX(ポート振替表!$W$5:$W$3507,$L255)&amp;""))</f>
        <v/>
      </c>
      <c r="C255" s="52" t="str">
        <f aca="false">IF(L255="","",INDEX(ポート振替表!$B$5:$B$3507,$L255)&amp;" "&amp;INDEX(ポート振替表!$C$5:$C$3507,$L255)&amp;"  ⇔  "&amp;INDEX(ポート振替表!$H$5:$H$3507,$L255)&amp;" "&amp;INDEX(ポート振替表!$I$5:$I$3507,$L255))</f>
        <v/>
      </c>
      <c r="D255" s="57" t="s">
        <v>158</v>
      </c>
      <c r="E255" s="59" t="str">
        <f aca="false">IF(L255="","",IF(INDEX(ポート振替表!$O$5:$O$3507,$L255)="","(未設定)",INDEX(ポート振替表!$O$5:$O$3507,$L255)&amp;""))</f>
        <v/>
      </c>
      <c r="F255" s="52" t="str">
        <f aca="false">IF(L255="","",INDEX(ポート振替表!$K$5:$K$3507,$L255)&amp;" "&amp;INDEX(ポート振替表!$L$5:$L$3507,$L255)&amp;"  ⇔  "&amp;INDEX(ポート振替表!$H$5:$H$3507,$L255)&amp;" "&amp;INDEX(ポート振替表!$I$5:$I$3507,$L255))</f>
        <v/>
      </c>
      <c r="G255" s="57" t="s">
        <v>158</v>
      </c>
      <c r="H255" s="32" t="str">
        <f aca="false">IF(L255="","",INDEX(ポート振替表!$N$5:$N$3507,$L255)&amp;"")</f>
        <v/>
      </c>
      <c r="I255" s="32" t="str">
        <f aca="false">IF(L255="","",INDEX(ポート振替表!$P$5:$P$3507,$L255)&amp;"")</f>
        <v/>
      </c>
      <c r="J255" s="60" t="str">
        <f aca="false">IF(L255="","",INDEX(ポート振替表!$M$5:$M$3507,$L255)&amp;"")</f>
        <v/>
      </c>
      <c r="K255" s="52" t="str">
        <f aca="false">IF(L255="","",E255&amp;CHAR(10)&amp;INDEX(ポート振替表!$K$5:$K$3507,$L255)&amp;" "&amp;INDEX(ポート振替表!$L$5:$L$3507,$L255)&amp;CHAR(10)&amp;"⇔ "&amp;INDEX(ポート振替表!$H$5:$H$3507,$L255)&amp;" "&amp;INDEX(ポート振替表!$I$5:$I$3507,$L255))</f>
        <v/>
      </c>
      <c r="L255" s="47" t="str">
        <f aca="false">IFERROR(MATCH(ROW()-4,ポート振替表!$V$5:$V$3507,0),"")</f>
        <v/>
      </c>
    </row>
    <row r="256" customFormat="false" ht="16.4" hidden="false" customHeight="false" outlineLevel="0" collapsed="false">
      <c r="A256" s="32" t="str">
        <f aca="false">IF(L256="","",ROW()-4)</f>
        <v/>
      </c>
      <c r="B256" s="58" t="str">
        <f aca="false">IF(L256="","",IF(INDEX(ポート振替表!$W$5:$W$3507,$L256)="","(なし)",INDEX(ポート振替表!$W$5:$W$3507,$L256)&amp;""))</f>
        <v/>
      </c>
      <c r="C256" s="52" t="str">
        <f aca="false">IF(L256="","",INDEX(ポート振替表!$B$5:$B$3507,$L256)&amp;" "&amp;INDEX(ポート振替表!$C$5:$C$3507,$L256)&amp;"  ⇔  "&amp;INDEX(ポート振替表!$H$5:$H$3507,$L256)&amp;" "&amp;INDEX(ポート振替表!$I$5:$I$3507,$L256))</f>
        <v/>
      </c>
      <c r="D256" s="57" t="s">
        <v>158</v>
      </c>
      <c r="E256" s="59" t="str">
        <f aca="false">IF(L256="","",IF(INDEX(ポート振替表!$O$5:$O$3507,$L256)="","(未設定)",INDEX(ポート振替表!$O$5:$O$3507,$L256)&amp;""))</f>
        <v/>
      </c>
      <c r="F256" s="52" t="str">
        <f aca="false">IF(L256="","",INDEX(ポート振替表!$K$5:$K$3507,$L256)&amp;" "&amp;INDEX(ポート振替表!$L$5:$L$3507,$L256)&amp;"  ⇔  "&amp;INDEX(ポート振替表!$H$5:$H$3507,$L256)&amp;" "&amp;INDEX(ポート振替表!$I$5:$I$3507,$L256))</f>
        <v/>
      </c>
      <c r="G256" s="57" t="s">
        <v>158</v>
      </c>
      <c r="H256" s="32" t="str">
        <f aca="false">IF(L256="","",INDEX(ポート振替表!$N$5:$N$3507,$L256)&amp;"")</f>
        <v/>
      </c>
      <c r="I256" s="32" t="str">
        <f aca="false">IF(L256="","",INDEX(ポート振替表!$P$5:$P$3507,$L256)&amp;"")</f>
        <v/>
      </c>
      <c r="J256" s="60" t="str">
        <f aca="false">IF(L256="","",INDEX(ポート振替表!$M$5:$M$3507,$L256)&amp;"")</f>
        <v/>
      </c>
      <c r="K256" s="52" t="str">
        <f aca="false">IF(L256="","",E256&amp;CHAR(10)&amp;INDEX(ポート振替表!$K$5:$K$3507,$L256)&amp;" "&amp;INDEX(ポート振替表!$L$5:$L$3507,$L256)&amp;CHAR(10)&amp;"⇔ "&amp;INDEX(ポート振替表!$H$5:$H$3507,$L256)&amp;" "&amp;INDEX(ポート振替表!$I$5:$I$3507,$L256))</f>
        <v/>
      </c>
      <c r="L256" s="47" t="str">
        <f aca="false">IFERROR(MATCH(ROW()-4,ポート振替表!$V$5:$V$3507,0),"")</f>
        <v/>
      </c>
    </row>
    <row r="257" customFormat="false" ht="16.4" hidden="false" customHeight="false" outlineLevel="0" collapsed="false">
      <c r="A257" s="32" t="str">
        <f aca="false">IF(L257="","",ROW()-4)</f>
        <v/>
      </c>
      <c r="B257" s="58" t="str">
        <f aca="false">IF(L257="","",IF(INDEX(ポート振替表!$W$5:$W$3507,$L257)="","(なし)",INDEX(ポート振替表!$W$5:$W$3507,$L257)&amp;""))</f>
        <v/>
      </c>
      <c r="C257" s="52" t="str">
        <f aca="false">IF(L257="","",INDEX(ポート振替表!$B$5:$B$3507,$L257)&amp;" "&amp;INDEX(ポート振替表!$C$5:$C$3507,$L257)&amp;"  ⇔  "&amp;INDEX(ポート振替表!$H$5:$H$3507,$L257)&amp;" "&amp;INDEX(ポート振替表!$I$5:$I$3507,$L257))</f>
        <v/>
      </c>
      <c r="D257" s="57" t="s">
        <v>158</v>
      </c>
      <c r="E257" s="59" t="str">
        <f aca="false">IF(L257="","",IF(INDEX(ポート振替表!$O$5:$O$3507,$L257)="","(未設定)",INDEX(ポート振替表!$O$5:$O$3507,$L257)&amp;""))</f>
        <v/>
      </c>
      <c r="F257" s="52" t="str">
        <f aca="false">IF(L257="","",INDEX(ポート振替表!$K$5:$K$3507,$L257)&amp;" "&amp;INDEX(ポート振替表!$L$5:$L$3507,$L257)&amp;"  ⇔  "&amp;INDEX(ポート振替表!$H$5:$H$3507,$L257)&amp;" "&amp;INDEX(ポート振替表!$I$5:$I$3507,$L257))</f>
        <v/>
      </c>
      <c r="G257" s="57" t="s">
        <v>158</v>
      </c>
      <c r="H257" s="32" t="str">
        <f aca="false">IF(L257="","",INDEX(ポート振替表!$N$5:$N$3507,$L257)&amp;"")</f>
        <v/>
      </c>
      <c r="I257" s="32" t="str">
        <f aca="false">IF(L257="","",INDEX(ポート振替表!$P$5:$P$3507,$L257)&amp;"")</f>
        <v/>
      </c>
      <c r="J257" s="60" t="str">
        <f aca="false">IF(L257="","",INDEX(ポート振替表!$M$5:$M$3507,$L257)&amp;"")</f>
        <v/>
      </c>
      <c r="K257" s="52" t="str">
        <f aca="false">IF(L257="","",E257&amp;CHAR(10)&amp;INDEX(ポート振替表!$K$5:$K$3507,$L257)&amp;" "&amp;INDEX(ポート振替表!$L$5:$L$3507,$L257)&amp;CHAR(10)&amp;"⇔ "&amp;INDEX(ポート振替表!$H$5:$H$3507,$L257)&amp;" "&amp;INDEX(ポート振替表!$I$5:$I$3507,$L257))</f>
        <v/>
      </c>
      <c r="L257" s="47" t="str">
        <f aca="false">IFERROR(MATCH(ROW()-4,ポート振替表!$V$5:$V$3507,0),"")</f>
        <v/>
      </c>
    </row>
    <row r="258" customFormat="false" ht="16.4" hidden="false" customHeight="false" outlineLevel="0" collapsed="false">
      <c r="A258" s="32" t="str">
        <f aca="false">IF(L258="","",ROW()-4)</f>
        <v/>
      </c>
      <c r="B258" s="58" t="str">
        <f aca="false">IF(L258="","",IF(INDEX(ポート振替表!$W$5:$W$3507,$L258)="","(なし)",INDEX(ポート振替表!$W$5:$W$3507,$L258)&amp;""))</f>
        <v/>
      </c>
      <c r="C258" s="52" t="str">
        <f aca="false">IF(L258="","",INDEX(ポート振替表!$B$5:$B$3507,$L258)&amp;" "&amp;INDEX(ポート振替表!$C$5:$C$3507,$L258)&amp;"  ⇔  "&amp;INDEX(ポート振替表!$H$5:$H$3507,$L258)&amp;" "&amp;INDEX(ポート振替表!$I$5:$I$3507,$L258))</f>
        <v/>
      </c>
      <c r="D258" s="57" t="s">
        <v>158</v>
      </c>
      <c r="E258" s="59" t="str">
        <f aca="false">IF(L258="","",IF(INDEX(ポート振替表!$O$5:$O$3507,$L258)="","(未設定)",INDEX(ポート振替表!$O$5:$O$3507,$L258)&amp;""))</f>
        <v/>
      </c>
      <c r="F258" s="52" t="str">
        <f aca="false">IF(L258="","",INDEX(ポート振替表!$K$5:$K$3507,$L258)&amp;" "&amp;INDEX(ポート振替表!$L$5:$L$3507,$L258)&amp;"  ⇔  "&amp;INDEX(ポート振替表!$H$5:$H$3507,$L258)&amp;" "&amp;INDEX(ポート振替表!$I$5:$I$3507,$L258))</f>
        <v/>
      </c>
      <c r="G258" s="57" t="s">
        <v>158</v>
      </c>
      <c r="H258" s="32" t="str">
        <f aca="false">IF(L258="","",INDEX(ポート振替表!$N$5:$N$3507,$L258)&amp;"")</f>
        <v/>
      </c>
      <c r="I258" s="32" t="str">
        <f aca="false">IF(L258="","",INDEX(ポート振替表!$P$5:$P$3507,$L258)&amp;"")</f>
        <v/>
      </c>
      <c r="J258" s="60" t="str">
        <f aca="false">IF(L258="","",INDEX(ポート振替表!$M$5:$M$3507,$L258)&amp;"")</f>
        <v/>
      </c>
      <c r="K258" s="52" t="str">
        <f aca="false">IF(L258="","",E258&amp;CHAR(10)&amp;INDEX(ポート振替表!$K$5:$K$3507,$L258)&amp;" "&amp;INDEX(ポート振替表!$L$5:$L$3507,$L258)&amp;CHAR(10)&amp;"⇔ "&amp;INDEX(ポート振替表!$H$5:$H$3507,$L258)&amp;" "&amp;INDEX(ポート振替表!$I$5:$I$3507,$L258))</f>
        <v/>
      </c>
      <c r="L258" s="47" t="str">
        <f aca="false">IFERROR(MATCH(ROW()-4,ポート振替表!$V$5:$V$3507,0),"")</f>
        <v/>
      </c>
    </row>
    <row r="259" customFormat="false" ht="16.4" hidden="false" customHeight="false" outlineLevel="0" collapsed="false">
      <c r="A259" s="32" t="str">
        <f aca="false">IF(L259="","",ROW()-4)</f>
        <v/>
      </c>
      <c r="B259" s="58" t="str">
        <f aca="false">IF(L259="","",IF(INDEX(ポート振替表!$W$5:$W$3507,$L259)="","(なし)",INDEX(ポート振替表!$W$5:$W$3507,$L259)&amp;""))</f>
        <v/>
      </c>
      <c r="C259" s="52" t="str">
        <f aca="false">IF(L259="","",INDEX(ポート振替表!$B$5:$B$3507,$L259)&amp;" "&amp;INDEX(ポート振替表!$C$5:$C$3507,$L259)&amp;"  ⇔  "&amp;INDEX(ポート振替表!$H$5:$H$3507,$L259)&amp;" "&amp;INDEX(ポート振替表!$I$5:$I$3507,$L259))</f>
        <v/>
      </c>
      <c r="D259" s="57" t="s">
        <v>158</v>
      </c>
      <c r="E259" s="59" t="str">
        <f aca="false">IF(L259="","",IF(INDEX(ポート振替表!$O$5:$O$3507,$L259)="","(未設定)",INDEX(ポート振替表!$O$5:$O$3507,$L259)&amp;""))</f>
        <v/>
      </c>
      <c r="F259" s="52" t="str">
        <f aca="false">IF(L259="","",INDEX(ポート振替表!$K$5:$K$3507,$L259)&amp;" "&amp;INDEX(ポート振替表!$L$5:$L$3507,$L259)&amp;"  ⇔  "&amp;INDEX(ポート振替表!$H$5:$H$3507,$L259)&amp;" "&amp;INDEX(ポート振替表!$I$5:$I$3507,$L259))</f>
        <v/>
      </c>
      <c r="G259" s="57" t="s">
        <v>158</v>
      </c>
      <c r="H259" s="32" t="str">
        <f aca="false">IF(L259="","",INDEX(ポート振替表!$N$5:$N$3507,$L259)&amp;"")</f>
        <v/>
      </c>
      <c r="I259" s="32" t="str">
        <f aca="false">IF(L259="","",INDEX(ポート振替表!$P$5:$P$3507,$L259)&amp;"")</f>
        <v/>
      </c>
      <c r="J259" s="60" t="str">
        <f aca="false">IF(L259="","",INDEX(ポート振替表!$M$5:$M$3507,$L259)&amp;"")</f>
        <v/>
      </c>
      <c r="K259" s="52" t="str">
        <f aca="false">IF(L259="","",E259&amp;CHAR(10)&amp;INDEX(ポート振替表!$K$5:$K$3507,$L259)&amp;" "&amp;INDEX(ポート振替表!$L$5:$L$3507,$L259)&amp;CHAR(10)&amp;"⇔ "&amp;INDEX(ポート振替表!$H$5:$H$3507,$L259)&amp;" "&amp;INDEX(ポート振替表!$I$5:$I$3507,$L259))</f>
        <v/>
      </c>
      <c r="L259" s="47" t="str">
        <f aca="false">IFERROR(MATCH(ROW()-4,ポート振替表!$V$5:$V$3507,0),"")</f>
        <v/>
      </c>
    </row>
    <row r="260" customFormat="false" ht="16.4" hidden="false" customHeight="false" outlineLevel="0" collapsed="false">
      <c r="A260" s="32" t="str">
        <f aca="false">IF(L260="","",ROW()-4)</f>
        <v/>
      </c>
      <c r="B260" s="58" t="str">
        <f aca="false">IF(L260="","",IF(INDEX(ポート振替表!$W$5:$W$3507,$L260)="","(なし)",INDEX(ポート振替表!$W$5:$W$3507,$L260)&amp;""))</f>
        <v/>
      </c>
      <c r="C260" s="52" t="str">
        <f aca="false">IF(L260="","",INDEX(ポート振替表!$B$5:$B$3507,$L260)&amp;" "&amp;INDEX(ポート振替表!$C$5:$C$3507,$L260)&amp;"  ⇔  "&amp;INDEX(ポート振替表!$H$5:$H$3507,$L260)&amp;" "&amp;INDEX(ポート振替表!$I$5:$I$3507,$L260))</f>
        <v/>
      </c>
      <c r="D260" s="57" t="s">
        <v>158</v>
      </c>
      <c r="E260" s="59" t="str">
        <f aca="false">IF(L260="","",IF(INDEX(ポート振替表!$O$5:$O$3507,$L260)="","(未設定)",INDEX(ポート振替表!$O$5:$O$3507,$L260)&amp;""))</f>
        <v/>
      </c>
      <c r="F260" s="52" t="str">
        <f aca="false">IF(L260="","",INDEX(ポート振替表!$K$5:$K$3507,$L260)&amp;" "&amp;INDEX(ポート振替表!$L$5:$L$3507,$L260)&amp;"  ⇔  "&amp;INDEX(ポート振替表!$H$5:$H$3507,$L260)&amp;" "&amp;INDEX(ポート振替表!$I$5:$I$3507,$L260))</f>
        <v/>
      </c>
      <c r="G260" s="57" t="s">
        <v>158</v>
      </c>
      <c r="H260" s="32" t="str">
        <f aca="false">IF(L260="","",INDEX(ポート振替表!$N$5:$N$3507,$L260)&amp;"")</f>
        <v/>
      </c>
      <c r="I260" s="32" t="str">
        <f aca="false">IF(L260="","",INDEX(ポート振替表!$P$5:$P$3507,$L260)&amp;"")</f>
        <v/>
      </c>
      <c r="J260" s="60" t="str">
        <f aca="false">IF(L260="","",INDEX(ポート振替表!$M$5:$M$3507,$L260)&amp;"")</f>
        <v/>
      </c>
      <c r="K260" s="52" t="str">
        <f aca="false">IF(L260="","",E260&amp;CHAR(10)&amp;INDEX(ポート振替表!$K$5:$K$3507,$L260)&amp;" "&amp;INDEX(ポート振替表!$L$5:$L$3507,$L260)&amp;CHAR(10)&amp;"⇔ "&amp;INDEX(ポート振替表!$H$5:$H$3507,$L260)&amp;" "&amp;INDEX(ポート振替表!$I$5:$I$3507,$L260))</f>
        <v/>
      </c>
      <c r="L260" s="47" t="str">
        <f aca="false">IFERROR(MATCH(ROW()-4,ポート振替表!$V$5:$V$3507,0),"")</f>
        <v/>
      </c>
    </row>
    <row r="261" customFormat="false" ht="16.4" hidden="false" customHeight="false" outlineLevel="0" collapsed="false">
      <c r="A261" s="32" t="str">
        <f aca="false">IF(L261="","",ROW()-4)</f>
        <v/>
      </c>
      <c r="B261" s="58" t="str">
        <f aca="false">IF(L261="","",IF(INDEX(ポート振替表!$W$5:$W$3507,$L261)="","(なし)",INDEX(ポート振替表!$W$5:$W$3507,$L261)&amp;""))</f>
        <v/>
      </c>
      <c r="C261" s="52" t="str">
        <f aca="false">IF(L261="","",INDEX(ポート振替表!$B$5:$B$3507,$L261)&amp;" "&amp;INDEX(ポート振替表!$C$5:$C$3507,$L261)&amp;"  ⇔  "&amp;INDEX(ポート振替表!$H$5:$H$3507,$L261)&amp;" "&amp;INDEX(ポート振替表!$I$5:$I$3507,$L261))</f>
        <v/>
      </c>
      <c r="D261" s="57" t="s">
        <v>158</v>
      </c>
      <c r="E261" s="59" t="str">
        <f aca="false">IF(L261="","",IF(INDEX(ポート振替表!$O$5:$O$3507,$L261)="","(未設定)",INDEX(ポート振替表!$O$5:$O$3507,$L261)&amp;""))</f>
        <v/>
      </c>
      <c r="F261" s="52" t="str">
        <f aca="false">IF(L261="","",INDEX(ポート振替表!$K$5:$K$3507,$L261)&amp;" "&amp;INDEX(ポート振替表!$L$5:$L$3507,$L261)&amp;"  ⇔  "&amp;INDEX(ポート振替表!$H$5:$H$3507,$L261)&amp;" "&amp;INDEX(ポート振替表!$I$5:$I$3507,$L261))</f>
        <v/>
      </c>
      <c r="G261" s="57" t="s">
        <v>158</v>
      </c>
      <c r="H261" s="32" t="str">
        <f aca="false">IF(L261="","",INDEX(ポート振替表!$N$5:$N$3507,$L261)&amp;"")</f>
        <v/>
      </c>
      <c r="I261" s="32" t="str">
        <f aca="false">IF(L261="","",INDEX(ポート振替表!$P$5:$P$3507,$L261)&amp;"")</f>
        <v/>
      </c>
      <c r="J261" s="60" t="str">
        <f aca="false">IF(L261="","",INDEX(ポート振替表!$M$5:$M$3507,$L261)&amp;"")</f>
        <v/>
      </c>
      <c r="K261" s="52" t="str">
        <f aca="false">IF(L261="","",E261&amp;CHAR(10)&amp;INDEX(ポート振替表!$K$5:$K$3507,$L261)&amp;" "&amp;INDEX(ポート振替表!$L$5:$L$3507,$L261)&amp;CHAR(10)&amp;"⇔ "&amp;INDEX(ポート振替表!$H$5:$H$3507,$L261)&amp;" "&amp;INDEX(ポート振替表!$I$5:$I$3507,$L261))</f>
        <v/>
      </c>
      <c r="L261" s="47" t="str">
        <f aca="false">IFERROR(MATCH(ROW()-4,ポート振替表!$V$5:$V$3507,0),"")</f>
        <v/>
      </c>
    </row>
    <row r="262" customFormat="false" ht="16.4" hidden="false" customHeight="false" outlineLevel="0" collapsed="false">
      <c r="A262" s="32" t="str">
        <f aca="false">IF(L262="","",ROW()-4)</f>
        <v/>
      </c>
      <c r="B262" s="58" t="str">
        <f aca="false">IF(L262="","",IF(INDEX(ポート振替表!$W$5:$W$3507,$L262)="","(なし)",INDEX(ポート振替表!$W$5:$W$3507,$L262)&amp;""))</f>
        <v/>
      </c>
      <c r="C262" s="52" t="str">
        <f aca="false">IF(L262="","",INDEX(ポート振替表!$B$5:$B$3507,$L262)&amp;" "&amp;INDEX(ポート振替表!$C$5:$C$3507,$L262)&amp;"  ⇔  "&amp;INDEX(ポート振替表!$H$5:$H$3507,$L262)&amp;" "&amp;INDEX(ポート振替表!$I$5:$I$3507,$L262))</f>
        <v/>
      </c>
      <c r="D262" s="57" t="s">
        <v>158</v>
      </c>
      <c r="E262" s="59" t="str">
        <f aca="false">IF(L262="","",IF(INDEX(ポート振替表!$O$5:$O$3507,$L262)="","(未設定)",INDEX(ポート振替表!$O$5:$O$3507,$L262)&amp;""))</f>
        <v/>
      </c>
      <c r="F262" s="52" t="str">
        <f aca="false">IF(L262="","",INDEX(ポート振替表!$K$5:$K$3507,$L262)&amp;" "&amp;INDEX(ポート振替表!$L$5:$L$3507,$L262)&amp;"  ⇔  "&amp;INDEX(ポート振替表!$H$5:$H$3507,$L262)&amp;" "&amp;INDEX(ポート振替表!$I$5:$I$3507,$L262))</f>
        <v/>
      </c>
      <c r="G262" s="57" t="s">
        <v>158</v>
      </c>
      <c r="H262" s="32" t="str">
        <f aca="false">IF(L262="","",INDEX(ポート振替表!$N$5:$N$3507,$L262)&amp;"")</f>
        <v/>
      </c>
      <c r="I262" s="32" t="str">
        <f aca="false">IF(L262="","",INDEX(ポート振替表!$P$5:$P$3507,$L262)&amp;"")</f>
        <v/>
      </c>
      <c r="J262" s="60" t="str">
        <f aca="false">IF(L262="","",INDEX(ポート振替表!$M$5:$M$3507,$L262)&amp;"")</f>
        <v/>
      </c>
      <c r="K262" s="52" t="str">
        <f aca="false">IF(L262="","",E262&amp;CHAR(10)&amp;INDEX(ポート振替表!$K$5:$K$3507,$L262)&amp;" "&amp;INDEX(ポート振替表!$L$5:$L$3507,$L262)&amp;CHAR(10)&amp;"⇔ "&amp;INDEX(ポート振替表!$H$5:$H$3507,$L262)&amp;" "&amp;INDEX(ポート振替表!$I$5:$I$3507,$L262))</f>
        <v/>
      </c>
      <c r="L262" s="47" t="str">
        <f aca="false">IFERROR(MATCH(ROW()-4,ポート振替表!$V$5:$V$3507,0),"")</f>
        <v/>
      </c>
    </row>
    <row r="263" customFormat="false" ht="16.4" hidden="false" customHeight="false" outlineLevel="0" collapsed="false">
      <c r="A263" s="32" t="str">
        <f aca="false">IF(L263="","",ROW()-4)</f>
        <v/>
      </c>
      <c r="B263" s="58" t="str">
        <f aca="false">IF(L263="","",IF(INDEX(ポート振替表!$W$5:$W$3507,$L263)="","(なし)",INDEX(ポート振替表!$W$5:$W$3507,$L263)&amp;""))</f>
        <v/>
      </c>
      <c r="C263" s="52" t="str">
        <f aca="false">IF(L263="","",INDEX(ポート振替表!$B$5:$B$3507,$L263)&amp;" "&amp;INDEX(ポート振替表!$C$5:$C$3507,$L263)&amp;"  ⇔  "&amp;INDEX(ポート振替表!$H$5:$H$3507,$L263)&amp;" "&amp;INDEX(ポート振替表!$I$5:$I$3507,$L263))</f>
        <v/>
      </c>
      <c r="D263" s="57" t="s">
        <v>158</v>
      </c>
      <c r="E263" s="59" t="str">
        <f aca="false">IF(L263="","",IF(INDEX(ポート振替表!$O$5:$O$3507,$L263)="","(未設定)",INDEX(ポート振替表!$O$5:$O$3507,$L263)&amp;""))</f>
        <v/>
      </c>
      <c r="F263" s="52" t="str">
        <f aca="false">IF(L263="","",INDEX(ポート振替表!$K$5:$K$3507,$L263)&amp;" "&amp;INDEX(ポート振替表!$L$5:$L$3507,$L263)&amp;"  ⇔  "&amp;INDEX(ポート振替表!$H$5:$H$3507,$L263)&amp;" "&amp;INDEX(ポート振替表!$I$5:$I$3507,$L263))</f>
        <v/>
      </c>
      <c r="G263" s="57" t="s">
        <v>158</v>
      </c>
      <c r="H263" s="32" t="str">
        <f aca="false">IF(L263="","",INDEX(ポート振替表!$N$5:$N$3507,$L263)&amp;"")</f>
        <v/>
      </c>
      <c r="I263" s="32" t="str">
        <f aca="false">IF(L263="","",INDEX(ポート振替表!$P$5:$P$3507,$L263)&amp;"")</f>
        <v/>
      </c>
      <c r="J263" s="60" t="str">
        <f aca="false">IF(L263="","",INDEX(ポート振替表!$M$5:$M$3507,$L263)&amp;"")</f>
        <v/>
      </c>
      <c r="K263" s="52" t="str">
        <f aca="false">IF(L263="","",E263&amp;CHAR(10)&amp;INDEX(ポート振替表!$K$5:$K$3507,$L263)&amp;" "&amp;INDEX(ポート振替表!$L$5:$L$3507,$L263)&amp;CHAR(10)&amp;"⇔ "&amp;INDEX(ポート振替表!$H$5:$H$3507,$L263)&amp;" "&amp;INDEX(ポート振替表!$I$5:$I$3507,$L263))</f>
        <v/>
      </c>
      <c r="L263" s="47" t="str">
        <f aca="false">IFERROR(MATCH(ROW()-4,ポート振替表!$V$5:$V$3507,0),"")</f>
        <v/>
      </c>
    </row>
    <row r="264" customFormat="false" ht="16.4" hidden="false" customHeight="false" outlineLevel="0" collapsed="false">
      <c r="A264" s="32" t="str">
        <f aca="false">IF(L264="","",ROW()-4)</f>
        <v/>
      </c>
      <c r="B264" s="58" t="str">
        <f aca="false">IF(L264="","",IF(INDEX(ポート振替表!$W$5:$W$3507,$L264)="","(なし)",INDEX(ポート振替表!$W$5:$W$3507,$L264)&amp;""))</f>
        <v/>
      </c>
      <c r="C264" s="52" t="str">
        <f aca="false">IF(L264="","",INDEX(ポート振替表!$B$5:$B$3507,$L264)&amp;" "&amp;INDEX(ポート振替表!$C$5:$C$3507,$L264)&amp;"  ⇔  "&amp;INDEX(ポート振替表!$H$5:$H$3507,$L264)&amp;" "&amp;INDEX(ポート振替表!$I$5:$I$3507,$L264))</f>
        <v/>
      </c>
      <c r="D264" s="57" t="s">
        <v>158</v>
      </c>
      <c r="E264" s="59" t="str">
        <f aca="false">IF(L264="","",IF(INDEX(ポート振替表!$O$5:$O$3507,$L264)="","(未設定)",INDEX(ポート振替表!$O$5:$O$3507,$L264)&amp;""))</f>
        <v/>
      </c>
      <c r="F264" s="52" t="str">
        <f aca="false">IF(L264="","",INDEX(ポート振替表!$K$5:$K$3507,$L264)&amp;" "&amp;INDEX(ポート振替表!$L$5:$L$3507,$L264)&amp;"  ⇔  "&amp;INDEX(ポート振替表!$H$5:$H$3507,$L264)&amp;" "&amp;INDEX(ポート振替表!$I$5:$I$3507,$L264))</f>
        <v/>
      </c>
      <c r="G264" s="57" t="s">
        <v>158</v>
      </c>
      <c r="H264" s="32" t="str">
        <f aca="false">IF(L264="","",INDEX(ポート振替表!$N$5:$N$3507,$L264)&amp;"")</f>
        <v/>
      </c>
      <c r="I264" s="32" t="str">
        <f aca="false">IF(L264="","",INDEX(ポート振替表!$P$5:$P$3507,$L264)&amp;"")</f>
        <v/>
      </c>
      <c r="J264" s="60" t="str">
        <f aca="false">IF(L264="","",INDEX(ポート振替表!$M$5:$M$3507,$L264)&amp;"")</f>
        <v/>
      </c>
      <c r="K264" s="52" t="str">
        <f aca="false">IF(L264="","",E264&amp;CHAR(10)&amp;INDEX(ポート振替表!$K$5:$K$3507,$L264)&amp;" "&amp;INDEX(ポート振替表!$L$5:$L$3507,$L264)&amp;CHAR(10)&amp;"⇔ "&amp;INDEX(ポート振替表!$H$5:$H$3507,$L264)&amp;" "&amp;INDEX(ポート振替表!$I$5:$I$3507,$L264))</f>
        <v/>
      </c>
      <c r="L264" s="47" t="str">
        <f aca="false">IFERROR(MATCH(ROW()-4,ポート振替表!$V$5:$V$3507,0),"")</f>
        <v/>
      </c>
    </row>
    <row r="265" customFormat="false" ht="16.4" hidden="false" customHeight="false" outlineLevel="0" collapsed="false">
      <c r="A265" s="32" t="str">
        <f aca="false">IF(L265="","",ROW()-4)</f>
        <v/>
      </c>
      <c r="B265" s="58" t="str">
        <f aca="false">IF(L265="","",IF(INDEX(ポート振替表!$W$5:$W$3507,$L265)="","(なし)",INDEX(ポート振替表!$W$5:$W$3507,$L265)&amp;""))</f>
        <v/>
      </c>
      <c r="C265" s="52" t="str">
        <f aca="false">IF(L265="","",INDEX(ポート振替表!$B$5:$B$3507,$L265)&amp;" "&amp;INDEX(ポート振替表!$C$5:$C$3507,$L265)&amp;"  ⇔  "&amp;INDEX(ポート振替表!$H$5:$H$3507,$L265)&amp;" "&amp;INDEX(ポート振替表!$I$5:$I$3507,$L265))</f>
        <v/>
      </c>
      <c r="D265" s="57" t="s">
        <v>158</v>
      </c>
      <c r="E265" s="59" t="str">
        <f aca="false">IF(L265="","",IF(INDEX(ポート振替表!$O$5:$O$3507,$L265)="","(未設定)",INDEX(ポート振替表!$O$5:$O$3507,$L265)&amp;""))</f>
        <v/>
      </c>
      <c r="F265" s="52" t="str">
        <f aca="false">IF(L265="","",INDEX(ポート振替表!$K$5:$K$3507,$L265)&amp;" "&amp;INDEX(ポート振替表!$L$5:$L$3507,$L265)&amp;"  ⇔  "&amp;INDEX(ポート振替表!$H$5:$H$3507,$L265)&amp;" "&amp;INDEX(ポート振替表!$I$5:$I$3507,$L265))</f>
        <v/>
      </c>
      <c r="G265" s="57" t="s">
        <v>158</v>
      </c>
      <c r="H265" s="32" t="str">
        <f aca="false">IF(L265="","",INDEX(ポート振替表!$N$5:$N$3507,$L265)&amp;"")</f>
        <v/>
      </c>
      <c r="I265" s="32" t="str">
        <f aca="false">IF(L265="","",INDEX(ポート振替表!$P$5:$P$3507,$L265)&amp;"")</f>
        <v/>
      </c>
      <c r="J265" s="60" t="str">
        <f aca="false">IF(L265="","",INDEX(ポート振替表!$M$5:$M$3507,$L265)&amp;"")</f>
        <v/>
      </c>
      <c r="K265" s="52" t="str">
        <f aca="false">IF(L265="","",E265&amp;CHAR(10)&amp;INDEX(ポート振替表!$K$5:$K$3507,$L265)&amp;" "&amp;INDEX(ポート振替表!$L$5:$L$3507,$L265)&amp;CHAR(10)&amp;"⇔ "&amp;INDEX(ポート振替表!$H$5:$H$3507,$L265)&amp;" "&amp;INDEX(ポート振替表!$I$5:$I$3507,$L265))</f>
        <v/>
      </c>
      <c r="L265" s="47" t="str">
        <f aca="false">IFERROR(MATCH(ROW()-4,ポート振替表!$V$5:$V$3507,0),"")</f>
        <v/>
      </c>
    </row>
    <row r="266" customFormat="false" ht="16.4" hidden="false" customHeight="false" outlineLevel="0" collapsed="false">
      <c r="A266" s="32" t="str">
        <f aca="false">IF(L266="","",ROW()-4)</f>
        <v/>
      </c>
      <c r="B266" s="58" t="str">
        <f aca="false">IF(L266="","",IF(INDEX(ポート振替表!$W$5:$W$3507,$L266)="","(なし)",INDEX(ポート振替表!$W$5:$W$3507,$L266)&amp;""))</f>
        <v/>
      </c>
      <c r="C266" s="52" t="str">
        <f aca="false">IF(L266="","",INDEX(ポート振替表!$B$5:$B$3507,$L266)&amp;" "&amp;INDEX(ポート振替表!$C$5:$C$3507,$L266)&amp;"  ⇔  "&amp;INDEX(ポート振替表!$H$5:$H$3507,$L266)&amp;" "&amp;INDEX(ポート振替表!$I$5:$I$3507,$L266))</f>
        <v/>
      </c>
      <c r="D266" s="57" t="s">
        <v>158</v>
      </c>
      <c r="E266" s="59" t="str">
        <f aca="false">IF(L266="","",IF(INDEX(ポート振替表!$O$5:$O$3507,$L266)="","(未設定)",INDEX(ポート振替表!$O$5:$O$3507,$L266)&amp;""))</f>
        <v/>
      </c>
      <c r="F266" s="52" t="str">
        <f aca="false">IF(L266="","",INDEX(ポート振替表!$K$5:$K$3507,$L266)&amp;" "&amp;INDEX(ポート振替表!$L$5:$L$3507,$L266)&amp;"  ⇔  "&amp;INDEX(ポート振替表!$H$5:$H$3507,$L266)&amp;" "&amp;INDEX(ポート振替表!$I$5:$I$3507,$L266))</f>
        <v/>
      </c>
      <c r="G266" s="57" t="s">
        <v>158</v>
      </c>
      <c r="H266" s="32" t="str">
        <f aca="false">IF(L266="","",INDEX(ポート振替表!$N$5:$N$3507,$L266)&amp;"")</f>
        <v/>
      </c>
      <c r="I266" s="32" t="str">
        <f aca="false">IF(L266="","",INDEX(ポート振替表!$P$5:$P$3507,$L266)&amp;"")</f>
        <v/>
      </c>
      <c r="J266" s="60" t="str">
        <f aca="false">IF(L266="","",INDEX(ポート振替表!$M$5:$M$3507,$L266)&amp;"")</f>
        <v/>
      </c>
      <c r="K266" s="52" t="str">
        <f aca="false">IF(L266="","",E266&amp;CHAR(10)&amp;INDEX(ポート振替表!$K$5:$K$3507,$L266)&amp;" "&amp;INDEX(ポート振替表!$L$5:$L$3507,$L266)&amp;CHAR(10)&amp;"⇔ "&amp;INDEX(ポート振替表!$H$5:$H$3507,$L266)&amp;" "&amp;INDEX(ポート振替表!$I$5:$I$3507,$L266))</f>
        <v/>
      </c>
      <c r="L266" s="47" t="str">
        <f aca="false">IFERROR(MATCH(ROW()-4,ポート振替表!$V$5:$V$3507,0),"")</f>
        <v/>
      </c>
    </row>
    <row r="267" customFormat="false" ht="16.4" hidden="false" customHeight="false" outlineLevel="0" collapsed="false">
      <c r="A267" s="32" t="str">
        <f aca="false">IF(L267="","",ROW()-4)</f>
        <v/>
      </c>
      <c r="B267" s="58" t="str">
        <f aca="false">IF(L267="","",IF(INDEX(ポート振替表!$W$5:$W$3507,$L267)="","(なし)",INDEX(ポート振替表!$W$5:$W$3507,$L267)&amp;""))</f>
        <v/>
      </c>
      <c r="C267" s="52" t="str">
        <f aca="false">IF(L267="","",INDEX(ポート振替表!$B$5:$B$3507,$L267)&amp;" "&amp;INDEX(ポート振替表!$C$5:$C$3507,$L267)&amp;"  ⇔  "&amp;INDEX(ポート振替表!$H$5:$H$3507,$L267)&amp;" "&amp;INDEX(ポート振替表!$I$5:$I$3507,$L267))</f>
        <v/>
      </c>
      <c r="D267" s="57" t="s">
        <v>158</v>
      </c>
      <c r="E267" s="59" t="str">
        <f aca="false">IF(L267="","",IF(INDEX(ポート振替表!$O$5:$O$3507,$L267)="","(未設定)",INDEX(ポート振替表!$O$5:$O$3507,$L267)&amp;""))</f>
        <v/>
      </c>
      <c r="F267" s="52" t="str">
        <f aca="false">IF(L267="","",INDEX(ポート振替表!$K$5:$K$3507,$L267)&amp;" "&amp;INDEX(ポート振替表!$L$5:$L$3507,$L267)&amp;"  ⇔  "&amp;INDEX(ポート振替表!$H$5:$H$3507,$L267)&amp;" "&amp;INDEX(ポート振替表!$I$5:$I$3507,$L267))</f>
        <v/>
      </c>
      <c r="G267" s="57" t="s">
        <v>158</v>
      </c>
      <c r="H267" s="32" t="str">
        <f aca="false">IF(L267="","",INDEX(ポート振替表!$N$5:$N$3507,$L267)&amp;"")</f>
        <v/>
      </c>
      <c r="I267" s="32" t="str">
        <f aca="false">IF(L267="","",INDEX(ポート振替表!$P$5:$P$3507,$L267)&amp;"")</f>
        <v/>
      </c>
      <c r="J267" s="60" t="str">
        <f aca="false">IF(L267="","",INDEX(ポート振替表!$M$5:$M$3507,$L267)&amp;"")</f>
        <v/>
      </c>
      <c r="K267" s="52" t="str">
        <f aca="false">IF(L267="","",E267&amp;CHAR(10)&amp;INDEX(ポート振替表!$K$5:$K$3507,$L267)&amp;" "&amp;INDEX(ポート振替表!$L$5:$L$3507,$L267)&amp;CHAR(10)&amp;"⇔ "&amp;INDEX(ポート振替表!$H$5:$H$3507,$L267)&amp;" "&amp;INDEX(ポート振替表!$I$5:$I$3507,$L267))</f>
        <v/>
      </c>
      <c r="L267" s="47" t="str">
        <f aca="false">IFERROR(MATCH(ROW()-4,ポート振替表!$V$5:$V$3507,0),"")</f>
        <v/>
      </c>
    </row>
    <row r="268" customFormat="false" ht="16.4" hidden="false" customHeight="false" outlineLevel="0" collapsed="false">
      <c r="A268" s="32" t="str">
        <f aca="false">IF(L268="","",ROW()-4)</f>
        <v/>
      </c>
      <c r="B268" s="58" t="str">
        <f aca="false">IF(L268="","",IF(INDEX(ポート振替表!$W$5:$W$3507,$L268)="","(なし)",INDEX(ポート振替表!$W$5:$W$3507,$L268)&amp;""))</f>
        <v/>
      </c>
      <c r="C268" s="52" t="str">
        <f aca="false">IF(L268="","",INDEX(ポート振替表!$B$5:$B$3507,$L268)&amp;" "&amp;INDEX(ポート振替表!$C$5:$C$3507,$L268)&amp;"  ⇔  "&amp;INDEX(ポート振替表!$H$5:$H$3507,$L268)&amp;" "&amp;INDEX(ポート振替表!$I$5:$I$3507,$L268))</f>
        <v/>
      </c>
      <c r="D268" s="57" t="s">
        <v>158</v>
      </c>
      <c r="E268" s="59" t="str">
        <f aca="false">IF(L268="","",IF(INDEX(ポート振替表!$O$5:$O$3507,$L268)="","(未設定)",INDEX(ポート振替表!$O$5:$O$3507,$L268)&amp;""))</f>
        <v/>
      </c>
      <c r="F268" s="52" t="str">
        <f aca="false">IF(L268="","",INDEX(ポート振替表!$K$5:$K$3507,$L268)&amp;" "&amp;INDEX(ポート振替表!$L$5:$L$3507,$L268)&amp;"  ⇔  "&amp;INDEX(ポート振替表!$H$5:$H$3507,$L268)&amp;" "&amp;INDEX(ポート振替表!$I$5:$I$3507,$L268))</f>
        <v/>
      </c>
      <c r="G268" s="57" t="s">
        <v>158</v>
      </c>
      <c r="H268" s="32" t="str">
        <f aca="false">IF(L268="","",INDEX(ポート振替表!$N$5:$N$3507,$L268)&amp;"")</f>
        <v/>
      </c>
      <c r="I268" s="32" t="str">
        <f aca="false">IF(L268="","",INDEX(ポート振替表!$P$5:$P$3507,$L268)&amp;"")</f>
        <v/>
      </c>
      <c r="J268" s="60" t="str">
        <f aca="false">IF(L268="","",INDEX(ポート振替表!$M$5:$M$3507,$L268)&amp;"")</f>
        <v/>
      </c>
      <c r="K268" s="52" t="str">
        <f aca="false">IF(L268="","",E268&amp;CHAR(10)&amp;INDEX(ポート振替表!$K$5:$K$3507,$L268)&amp;" "&amp;INDEX(ポート振替表!$L$5:$L$3507,$L268)&amp;CHAR(10)&amp;"⇔ "&amp;INDEX(ポート振替表!$H$5:$H$3507,$L268)&amp;" "&amp;INDEX(ポート振替表!$I$5:$I$3507,$L268))</f>
        <v/>
      </c>
      <c r="L268" s="47" t="str">
        <f aca="false">IFERROR(MATCH(ROW()-4,ポート振替表!$V$5:$V$3507,0),"")</f>
        <v/>
      </c>
    </row>
    <row r="269" customFormat="false" ht="16.4" hidden="false" customHeight="false" outlineLevel="0" collapsed="false">
      <c r="A269" s="32" t="str">
        <f aca="false">IF(L269="","",ROW()-4)</f>
        <v/>
      </c>
      <c r="B269" s="58" t="str">
        <f aca="false">IF(L269="","",IF(INDEX(ポート振替表!$W$5:$W$3507,$L269)="","(なし)",INDEX(ポート振替表!$W$5:$W$3507,$L269)&amp;""))</f>
        <v/>
      </c>
      <c r="C269" s="52" t="str">
        <f aca="false">IF(L269="","",INDEX(ポート振替表!$B$5:$B$3507,$L269)&amp;" "&amp;INDEX(ポート振替表!$C$5:$C$3507,$L269)&amp;"  ⇔  "&amp;INDEX(ポート振替表!$H$5:$H$3507,$L269)&amp;" "&amp;INDEX(ポート振替表!$I$5:$I$3507,$L269))</f>
        <v/>
      </c>
      <c r="D269" s="57" t="s">
        <v>158</v>
      </c>
      <c r="E269" s="59" t="str">
        <f aca="false">IF(L269="","",IF(INDEX(ポート振替表!$O$5:$O$3507,$L269)="","(未設定)",INDEX(ポート振替表!$O$5:$O$3507,$L269)&amp;""))</f>
        <v/>
      </c>
      <c r="F269" s="52" t="str">
        <f aca="false">IF(L269="","",INDEX(ポート振替表!$K$5:$K$3507,$L269)&amp;" "&amp;INDEX(ポート振替表!$L$5:$L$3507,$L269)&amp;"  ⇔  "&amp;INDEX(ポート振替表!$H$5:$H$3507,$L269)&amp;" "&amp;INDEX(ポート振替表!$I$5:$I$3507,$L269))</f>
        <v/>
      </c>
      <c r="G269" s="57" t="s">
        <v>158</v>
      </c>
      <c r="H269" s="32" t="str">
        <f aca="false">IF(L269="","",INDEX(ポート振替表!$N$5:$N$3507,$L269)&amp;"")</f>
        <v/>
      </c>
      <c r="I269" s="32" t="str">
        <f aca="false">IF(L269="","",INDEX(ポート振替表!$P$5:$P$3507,$L269)&amp;"")</f>
        <v/>
      </c>
      <c r="J269" s="60" t="str">
        <f aca="false">IF(L269="","",INDEX(ポート振替表!$M$5:$M$3507,$L269)&amp;"")</f>
        <v/>
      </c>
      <c r="K269" s="52" t="str">
        <f aca="false">IF(L269="","",E269&amp;CHAR(10)&amp;INDEX(ポート振替表!$K$5:$K$3507,$L269)&amp;" "&amp;INDEX(ポート振替表!$L$5:$L$3507,$L269)&amp;CHAR(10)&amp;"⇔ "&amp;INDEX(ポート振替表!$H$5:$H$3507,$L269)&amp;" "&amp;INDEX(ポート振替表!$I$5:$I$3507,$L269))</f>
        <v/>
      </c>
      <c r="L269" s="47" t="str">
        <f aca="false">IFERROR(MATCH(ROW()-4,ポート振替表!$V$5:$V$3507,0),"")</f>
        <v/>
      </c>
    </row>
    <row r="270" customFormat="false" ht="16.4" hidden="false" customHeight="false" outlineLevel="0" collapsed="false">
      <c r="A270" s="32" t="str">
        <f aca="false">IF(L270="","",ROW()-4)</f>
        <v/>
      </c>
      <c r="B270" s="58" t="str">
        <f aca="false">IF(L270="","",IF(INDEX(ポート振替表!$W$5:$W$3507,$L270)="","(なし)",INDEX(ポート振替表!$W$5:$W$3507,$L270)&amp;""))</f>
        <v/>
      </c>
      <c r="C270" s="52" t="str">
        <f aca="false">IF(L270="","",INDEX(ポート振替表!$B$5:$B$3507,$L270)&amp;" "&amp;INDEX(ポート振替表!$C$5:$C$3507,$L270)&amp;"  ⇔  "&amp;INDEX(ポート振替表!$H$5:$H$3507,$L270)&amp;" "&amp;INDEX(ポート振替表!$I$5:$I$3507,$L270))</f>
        <v/>
      </c>
      <c r="D270" s="57" t="s">
        <v>158</v>
      </c>
      <c r="E270" s="59" t="str">
        <f aca="false">IF(L270="","",IF(INDEX(ポート振替表!$O$5:$O$3507,$L270)="","(未設定)",INDEX(ポート振替表!$O$5:$O$3507,$L270)&amp;""))</f>
        <v/>
      </c>
      <c r="F270" s="52" t="str">
        <f aca="false">IF(L270="","",INDEX(ポート振替表!$K$5:$K$3507,$L270)&amp;" "&amp;INDEX(ポート振替表!$L$5:$L$3507,$L270)&amp;"  ⇔  "&amp;INDEX(ポート振替表!$H$5:$H$3507,$L270)&amp;" "&amp;INDEX(ポート振替表!$I$5:$I$3507,$L270))</f>
        <v/>
      </c>
      <c r="G270" s="57" t="s">
        <v>158</v>
      </c>
      <c r="H270" s="32" t="str">
        <f aca="false">IF(L270="","",INDEX(ポート振替表!$N$5:$N$3507,$L270)&amp;"")</f>
        <v/>
      </c>
      <c r="I270" s="32" t="str">
        <f aca="false">IF(L270="","",INDEX(ポート振替表!$P$5:$P$3507,$L270)&amp;"")</f>
        <v/>
      </c>
      <c r="J270" s="60" t="str">
        <f aca="false">IF(L270="","",INDEX(ポート振替表!$M$5:$M$3507,$L270)&amp;"")</f>
        <v/>
      </c>
      <c r="K270" s="52" t="str">
        <f aca="false">IF(L270="","",E270&amp;CHAR(10)&amp;INDEX(ポート振替表!$K$5:$K$3507,$L270)&amp;" "&amp;INDEX(ポート振替表!$L$5:$L$3507,$L270)&amp;CHAR(10)&amp;"⇔ "&amp;INDEX(ポート振替表!$H$5:$H$3507,$L270)&amp;" "&amp;INDEX(ポート振替表!$I$5:$I$3507,$L270))</f>
        <v/>
      </c>
      <c r="L270" s="47" t="str">
        <f aca="false">IFERROR(MATCH(ROW()-4,ポート振替表!$V$5:$V$3507,0),"")</f>
        <v/>
      </c>
    </row>
    <row r="271" customFormat="false" ht="16.4" hidden="false" customHeight="false" outlineLevel="0" collapsed="false">
      <c r="A271" s="32" t="str">
        <f aca="false">IF(L271="","",ROW()-4)</f>
        <v/>
      </c>
      <c r="B271" s="58" t="str">
        <f aca="false">IF(L271="","",IF(INDEX(ポート振替表!$W$5:$W$3507,$L271)="","(なし)",INDEX(ポート振替表!$W$5:$W$3507,$L271)&amp;""))</f>
        <v/>
      </c>
      <c r="C271" s="52" t="str">
        <f aca="false">IF(L271="","",INDEX(ポート振替表!$B$5:$B$3507,$L271)&amp;" "&amp;INDEX(ポート振替表!$C$5:$C$3507,$L271)&amp;"  ⇔  "&amp;INDEX(ポート振替表!$H$5:$H$3507,$L271)&amp;" "&amp;INDEX(ポート振替表!$I$5:$I$3507,$L271))</f>
        <v/>
      </c>
      <c r="D271" s="57" t="s">
        <v>158</v>
      </c>
      <c r="E271" s="59" t="str">
        <f aca="false">IF(L271="","",IF(INDEX(ポート振替表!$O$5:$O$3507,$L271)="","(未設定)",INDEX(ポート振替表!$O$5:$O$3507,$L271)&amp;""))</f>
        <v/>
      </c>
      <c r="F271" s="52" t="str">
        <f aca="false">IF(L271="","",INDEX(ポート振替表!$K$5:$K$3507,$L271)&amp;" "&amp;INDEX(ポート振替表!$L$5:$L$3507,$L271)&amp;"  ⇔  "&amp;INDEX(ポート振替表!$H$5:$H$3507,$L271)&amp;" "&amp;INDEX(ポート振替表!$I$5:$I$3507,$L271))</f>
        <v/>
      </c>
      <c r="G271" s="57" t="s">
        <v>158</v>
      </c>
      <c r="H271" s="32" t="str">
        <f aca="false">IF(L271="","",INDEX(ポート振替表!$N$5:$N$3507,$L271)&amp;"")</f>
        <v/>
      </c>
      <c r="I271" s="32" t="str">
        <f aca="false">IF(L271="","",INDEX(ポート振替表!$P$5:$P$3507,$L271)&amp;"")</f>
        <v/>
      </c>
      <c r="J271" s="60" t="str">
        <f aca="false">IF(L271="","",INDEX(ポート振替表!$M$5:$M$3507,$L271)&amp;"")</f>
        <v/>
      </c>
      <c r="K271" s="52" t="str">
        <f aca="false">IF(L271="","",E271&amp;CHAR(10)&amp;INDEX(ポート振替表!$K$5:$K$3507,$L271)&amp;" "&amp;INDEX(ポート振替表!$L$5:$L$3507,$L271)&amp;CHAR(10)&amp;"⇔ "&amp;INDEX(ポート振替表!$H$5:$H$3507,$L271)&amp;" "&amp;INDEX(ポート振替表!$I$5:$I$3507,$L271))</f>
        <v/>
      </c>
      <c r="L271" s="47" t="str">
        <f aca="false">IFERROR(MATCH(ROW()-4,ポート振替表!$V$5:$V$3507,0),"")</f>
        <v/>
      </c>
    </row>
    <row r="272" customFormat="false" ht="16.4" hidden="false" customHeight="false" outlineLevel="0" collapsed="false">
      <c r="A272" s="32" t="str">
        <f aca="false">IF(L272="","",ROW()-4)</f>
        <v/>
      </c>
      <c r="B272" s="58" t="str">
        <f aca="false">IF(L272="","",IF(INDEX(ポート振替表!$W$5:$W$3507,$L272)="","(なし)",INDEX(ポート振替表!$W$5:$W$3507,$L272)&amp;""))</f>
        <v/>
      </c>
      <c r="C272" s="52" t="str">
        <f aca="false">IF(L272="","",INDEX(ポート振替表!$B$5:$B$3507,$L272)&amp;" "&amp;INDEX(ポート振替表!$C$5:$C$3507,$L272)&amp;"  ⇔  "&amp;INDEX(ポート振替表!$H$5:$H$3507,$L272)&amp;" "&amp;INDEX(ポート振替表!$I$5:$I$3507,$L272))</f>
        <v/>
      </c>
      <c r="D272" s="57" t="s">
        <v>158</v>
      </c>
      <c r="E272" s="59" t="str">
        <f aca="false">IF(L272="","",IF(INDEX(ポート振替表!$O$5:$O$3507,$L272)="","(未設定)",INDEX(ポート振替表!$O$5:$O$3507,$L272)&amp;""))</f>
        <v/>
      </c>
      <c r="F272" s="52" t="str">
        <f aca="false">IF(L272="","",INDEX(ポート振替表!$K$5:$K$3507,$L272)&amp;" "&amp;INDEX(ポート振替表!$L$5:$L$3507,$L272)&amp;"  ⇔  "&amp;INDEX(ポート振替表!$H$5:$H$3507,$L272)&amp;" "&amp;INDEX(ポート振替表!$I$5:$I$3507,$L272))</f>
        <v/>
      </c>
      <c r="G272" s="57" t="s">
        <v>158</v>
      </c>
      <c r="H272" s="32" t="str">
        <f aca="false">IF(L272="","",INDEX(ポート振替表!$N$5:$N$3507,$L272)&amp;"")</f>
        <v/>
      </c>
      <c r="I272" s="32" t="str">
        <f aca="false">IF(L272="","",INDEX(ポート振替表!$P$5:$P$3507,$L272)&amp;"")</f>
        <v/>
      </c>
      <c r="J272" s="60" t="str">
        <f aca="false">IF(L272="","",INDEX(ポート振替表!$M$5:$M$3507,$L272)&amp;"")</f>
        <v/>
      </c>
      <c r="K272" s="52" t="str">
        <f aca="false">IF(L272="","",E272&amp;CHAR(10)&amp;INDEX(ポート振替表!$K$5:$K$3507,$L272)&amp;" "&amp;INDEX(ポート振替表!$L$5:$L$3507,$L272)&amp;CHAR(10)&amp;"⇔ "&amp;INDEX(ポート振替表!$H$5:$H$3507,$L272)&amp;" "&amp;INDEX(ポート振替表!$I$5:$I$3507,$L272))</f>
        <v/>
      </c>
      <c r="L272" s="47" t="str">
        <f aca="false">IFERROR(MATCH(ROW()-4,ポート振替表!$V$5:$V$3507,0),"")</f>
        <v/>
      </c>
    </row>
    <row r="273" customFormat="false" ht="16.4" hidden="false" customHeight="false" outlineLevel="0" collapsed="false">
      <c r="A273" s="32" t="str">
        <f aca="false">IF(L273="","",ROW()-4)</f>
        <v/>
      </c>
      <c r="B273" s="58" t="str">
        <f aca="false">IF(L273="","",IF(INDEX(ポート振替表!$W$5:$W$3507,$L273)="","(なし)",INDEX(ポート振替表!$W$5:$W$3507,$L273)&amp;""))</f>
        <v/>
      </c>
      <c r="C273" s="52" t="str">
        <f aca="false">IF(L273="","",INDEX(ポート振替表!$B$5:$B$3507,$L273)&amp;" "&amp;INDEX(ポート振替表!$C$5:$C$3507,$L273)&amp;"  ⇔  "&amp;INDEX(ポート振替表!$H$5:$H$3507,$L273)&amp;" "&amp;INDEX(ポート振替表!$I$5:$I$3507,$L273))</f>
        <v/>
      </c>
      <c r="D273" s="57" t="s">
        <v>158</v>
      </c>
      <c r="E273" s="59" t="str">
        <f aca="false">IF(L273="","",IF(INDEX(ポート振替表!$O$5:$O$3507,$L273)="","(未設定)",INDEX(ポート振替表!$O$5:$O$3507,$L273)&amp;""))</f>
        <v/>
      </c>
      <c r="F273" s="52" t="str">
        <f aca="false">IF(L273="","",INDEX(ポート振替表!$K$5:$K$3507,$L273)&amp;" "&amp;INDEX(ポート振替表!$L$5:$L$3507,$L273)&amp;"  ⇔  "&amp;INDEX(ポート振替表!$H$5:$H$3507,$L273)&amp;" "&amp;INDEX(ポート振替表!$I$5:$I$3507,$L273))</f>
        <v/>
      </c>
      <c r="G273" s="57" t="s">
        <v>158</v>
      </c>
      <c r="H273" s="32" t="str">
        <f aca="false">IF(L273="","",INDEX(ポート振替表!$N$5:$N$3507,$L273)&amp;"")</f>
        <v/>
      </c>
      <c r="I273" s="32" t="str">
        <f aca="false">IF(L273="","",INDEX(ポート振替表!$P$5:$P$3507,$L273)&amp;"")</f>
        <v/>
      </c>
      <c r="J273" s="60" t="str">
        <f aca="false">IF(L273="","",INDEX(ポート振替表!$M$5:$M$3507,$L273)&amp;"")</f>
        <v/>
      </c>
      <c r="K273" s="52" t="str">
        <f aca="false">IF(L273="","",E273&amp;CHAR(10)&amp;INDEX(ポート振替表!$K$5:$K$3507,$L273)&amp;" "&amp;INDEX(ポート振替表!$L$5:$L$3507,$L273)&amp;CHAR(10)&amp;"⇔ "&amp;INDEX(ポート振替表!$H$5:$H$3507,$L273)&amp;" "&amp;INDEX(ポート振替表!$I$5:$I$3507,$L273))</f>
        <v/>
      </c>
      <c r="L273" s="47" t="str">
        <f aca="false">IFERROR(MATCH(ROW()-4,ポート振替表!$V$5:$V$3507,0),"")</f>
        <v/>
      </c>
    </row>
    <row r="274" customFormat="false" ht="16.4" hidden="false" customHeight="false" outlineLevel="0" collapsed="false">
      <c r="A274" s="32" t="str">
        <f aca="false">IF(L274="","",ROW()-4)</f>
        <v/>
      </c>
      <c r="B274" s="58" t="str">
        <f aca="false">IF(L274="","",IF(INDEX(ポート振替表!$W$5:$W$3507,$L274)="","(なし)",INDEX(ポート振替表!$W$5:$W$3507,$L274)&amp;""))</f>
        <v/>
      </c>
      <c r="C274" s="52" t="str">
        <f aca="false">IF(L274="","",INDEX(ポート振替表!$B$5:$B$3507,$L274)&amp;" "&amp;INDEX(ポート振替表!$C$5:$C$3507,$L274)&amp;"  ⇔  "&amp;INDEX(ポート振替表!$H$5:$H$3507,$L274)&amp;" "&amp;INDEX(ポート振替表!$I$5:$I$3507,$L274))</f>
        <v/>
      </c>
      <c r="D274" s="57" t="s">
        <v>158</v>
      </c>
      <c r="E274" s="59" t="str">
        <f aca="false">IF(L274="","",IF(INDEX(ポート振替表!$O$5:$O$3507,$L274)="","(未設定)",INDEX(ポート振替表!$O$5:$O$3507,$L274)&amp;""))</f>
        <v/>
      </c>
      <c r="F274" s="52" t="str">
        <f aca="false">IF(L274="","",INDEX(ポート振替表!$K$5:$K$3507,$L274)&amp;" "&amp;INDEX(ポート振替表!$L$5:$L$3507,$L274)&amp;"  ⇔  "&amp;INDEX(ポート振替表!$H$5:$H$3507,$L274)&amp;" "&amp;INDEX(ポート振替表!$I$5:$I$3507,$L274))</f>
        <v/>
      </c>
      <c r="G274" s="57" t="s">
        <v>158</v>
      </c>
      <c r="H274" s="32" t="str">
        <f aca="false">IF(L274="","",INDEX(ポート振替表!$N$5:$N$3507,$L274)&amp;"")</f>
        <v/>
      </c>
      <c r="I274" s="32" t="str">
        <f aca="false">IF(L274="","",INDEX(ポート振替表!$P$5:$P$3507,$L274)&amp;"")</f>
        <v/>
      </c>
      <c r="J274" s="60" t="str">
        <f aca="false">IF(L274="","",INDEX(ポート振替表!$M$5:$M$3507,$L274)&amp;"")</f>
        <v/>
      </c>
      <c r="K274" s="52" t="str">
        <f aca="false">IF(L274="","",E274&amp;CHAR(10)&amp;INDEX(ポート振替表!$K$5:$K$3507,$L274)&amp;" "&amp;INDEX(ポート振替表!$L$5:$L$3507,$L274)&amp;CHAR(10)&amp;"⇔ "&amp;INDEX(ポート振替表!$H$5:$H$3507,$L274)&amp;" "&amp;INDEX(ポート振替表!$I$5:$I$3507,$L274))</f>
        <v/>
      </c>
      <c r="L274" s="47" t="str">
        <f aca="false">IFERROR(MATCH(ROW()-4,ポート振替表!$V$5:$V$3507,0),"")</f>
        <v/>
      </c>
    </row>
    <row r="275" customFormat="false" ht="16.4" hidden="false" customHeight="false" outlineLevel="0" collapsed="false">
      <c r="A275" s="32" t="str">
        <f aca="false">IF(L275="","",ROW()-4)</f>
        <v/>
      </c>
      <c r="B275" s="58" t="str">
        <f aca="false">IF(L275="","",IF(INDEX(ポート振替表!$W$5:$W$3507,$L275)="","(なし)",INDEX(ポート振替表!$W$5:$W$3507,$L275)&amp;""))</f>
        <v/>
      </c>
      <c r="C275" s="52" t="str">
        <f aca="false">IF(L275="","",INDEX(ポート振替表!$B$5:$B$3507,$L275)&amp;" "&amp;INDEX(ポート振替表!$C$5:$C$3507,$L275)&amp;"  ⇔  "&amp;INDEX(ポート振替表!$H$5:$H$3507,$L275)&amp;" "&amp;INDEX(ポート振替表!$I$5:$I$3507,$L275))</f>
        <v/>
      </c>
      <c r="D275" s="57" t="s">
        <v>158</v>
      </c>
      <c r="E275" s="59" t="str">
        <f aca="false">IF(L275="","",IF(INDEX(ポート振替表!$O$5:$O$3507,$L275)="","(未設定)",INDEX(ポート振替表!$O$5:$O$3507,$L275)&amp;""))</f>
        <v/>
      </c>
      <c r="F275" s="52" t="str">
        <f aca="false">IF(L275="","",INDEX(ポート振替表!$K$5:$K$3507,$L275)&amp;" "&amp;INDEX(ポート振替表!$L$5:$L$3507,$L275)&amp;"  ⇔  "&amp;INDEX(ポート振替表!$H$5:$H$3507,$L275)&amp;" "&amp;INDEX(ポート振替表!$I$5:$I$3507,$L275))</f>
        <v/>
      </c>
      <c r="G275" s="57" t="s">
        <v>158</v>
      </c>
      <c r="H275" s="32" t="str">
        <f aca="false">IF(L275="","",INDEX(ポート振替表!$N$5:$N$3507,$L275)&amp;"")</f>
        <v/>
      </c>
      <c r="I275" s="32" t="str">
        <f aca="false">IF(L275="","",INDEX(ポート振替表!$P$5:$P$3507,$L275)&amp;"")</f>
        <v/>
      </c>
      <c r="J275" s="60" t="str">
        <f aca="false">IF(L275="","",INDEX(ポート振替表!$M$5:$M$3507,$L275)&amp;"")</f>
        <v/>
      </c>
      <c r="K275" s="52" t="str">
        <f aca="false">IF(L275="","",E275&amp;CHAR(10)&amp;INDEX(ポート振替表!$K$5:$K$3507,$L275)&amp;" "&amp;INDEX(ポート振替表!$L$5:$L$3507,$L275)&amp;CHAR(10)&amp;"⇔ "&amp;INDEX(ポート振替表!$H$5:$H$3507,$L275)&amp;" "&amp;INDEX(ポート振替表!$I$5:$I$3507,$L275))</f>
        <v/>
      </c>
      <c r="L275" s="47" t="str">
        <f aca="false">IFERROR(MATCH(ROW()-4,ポート振替表!$V$5:$V$3507,0),"")</f>
        <v/>
      </c>
    </row>
    <row r="276" customFormat="false" ht="16.4" hidden="false" customHeight="false" outlineLevel="0" collapsed="false">
      <c r="A276" s="32" t="str">
        <f aca="false">IF(L276="","",ROW()-4)</f>
        <v/>
      </c>
      <c r="B276" s="58" t="str">
        <f aca="false">IF(L276="","",IF(INDEX(ポート振替表!$W$5:$W$3507,$L276)="","(なし)",INDEX(ポート振替表!$W$5:$W$3507,$L276)&amp;""))</f>
        <v/>
      </c>
      <c r="C276" s="52" t="str">
        <f aca="false">IF(L276="","",INDEX(ポート振替表!$B$5:$B$3507,$L276)&amp;" "&amp;INDEX(ポート振替表!$C$5:$C$3507,$L276)&amp;"  ⇔  "&amp;INDEX(ポート振替表!$H$5:$H$3507,$L276)&amp;" "&amp;INDEX(ポート振替表!$I$5:$I$3507,$L276))</f>
        <v/>
      </c>
      <c r="D276" s="57" t="s">
        <v>158</v>
      </c>
      <c r="E276" s="59" t="str">
        <f aca="false">IF(L276="","",IF(INDEX(ポート振替表!$O$5:$O$3507,$L276)="","(未設定)",INDEX(ポート振替表!$O$5:$O$3507,$L276)&amp;""))</f>
        <v/>
      </c>
      <c r="F276" s="52" t="str">
        <f aca="false">IF(L276="","",INDEX(ポート振替表!$K$5:$K$3507,$L276)&amp;" "&amp;INDEX(ポート振替表!$L$5:$L$3507,$L276)&amp;"  ⇔  "&amp;INDEX(ポート振替表!$H$5:$H$3507,$L276)&amp;" "&amp;INDEX(ポート振替表!$I$5:$I$3507,$L276))</f>
        <v/>
      </c>
      <c r="G276" s="57" t="s">
        <v>158</v>
      </c>
      <c r="H276" s="32" t="str">
        <f aca="false">IF(L276="","",INDEX(ポート振替表!$N$5:$N$3507,$L276)&amp;"")</f>
        <v/>
      </c>
      <c r="I276" s="32" t="str">
        <f aca="false">IF(L276="","",INDEX(ポート振替表!$P$5:$P$3507,$L276)&amp;"")</f>
        <v/>
      </c>
      <c r="J276" s="60" t="str">
        <f aca="false">IF(L276="","",INDEX(ポート振替表!$M$5:$M$3507,$L276)&amp;"")</f>
        <v/>
      </c>
      <c r="K276" s="52" t="str">
        <f aca="false">IF(L276="","",E276&amp;CHAR(10)&amp;INDEX(ポート振替表!$K$5:$K$3507,$L276)&amp;" "&amp;INDEX(ポート振替表!$L$5:$L$3507,$L276)&amp;CHAR(10)&amp;"⇔ "&amp;INDEX(ポート振替表!$H$5:$H$3507,$L276)&amp;" "&amp;INDEX(ポート振替表!$I$5:$I$3507,$L276))</f>
        <v/>
      </c>
      <c r="L276" s="47" t="str">
        <f aca="false">IFERROR(MATCH(ROW()-4,ポート振替表!$V$5:$V$3507,0),"")</f>
        <v/>
      </c>
    </row>
    <row r="277" customFormat="false" ht="16.4" hidden="false" customHeight="false" outlineLevel="0" collapsed="false">
      <c r="A277" s="32" t="str">
        <f aca="false">IF(L277="","",ROW()-4)</f>
        <v/>
      </c>
      <c r="B277" s="58" t="str">
        <f aca="false">IF(L277="","",IF(INDEX(ポート振替表!$W$5:$W$3507,$L277)="","(なし)",INDEX(ポート振替表!$W$5:$W$3507,$L277)&amp;""))</f>
        <v/>
      </c>
      <c r="C277" s="52" t="str">
        <f aca="false">IF(L277="","",INDEX(ポート振替表!$B$5:$B$3507,$L277)&amp;" "&amp;INDEX(ポート振替表!$C$5:$C$3507,$L277)&amp;"  ⇔  "&amp;INDEX(ポート振替表!$H$5:$H$3507,$L277)&amp;" "&amp;INDEX(ポート振替表!$I$5:$I$3507,$L277))</f>
        <v/>
      </c>
      <c r="D277" s="57" t="s">
        <v>158</v>
      </c>
      <c r="E277" s="59" t="str">
        <f aca="false">IF(L277="","",IF(INDEX(ポート振替表!$O$5:$O$3507,$L277)="","(未設定)",INDEX(ポート振替表!$O$5:$O$3507,$L277)&amp;""))</f>
        <v/>
      </c>
      <c r="F277" s="52" t="str">
        <f aca="false">IF(L277="","",INDEX(ポート振替表!$K$5:$K$3507,$L277)&amp;" "&amp;INDEX(ポート振替表!$L$5:$L$3507,$L277)&amp;"  ⇔  "&amp;INDEX(ポート振替表!$H$5:$H$3507,$L277)&amp;" "&amp;INDEX(ポート振替表!$I$5:$I$3507,$L277))</f>
        <v/>
      </c>
      <c r="G277" s="57" t="s">
        <v>158</v>
      </c>
      <c r="H277" s="32" t="str">
        <f aca="false">IF(L277="","",INDEX(ポート振替表!$N$5:$N$3507,$L277)&amp;"")</f>
        <v/>
      </c>
      <c r="I277" s="32" t="str">
        <f aca="false">IF(L277="","",INDEX(ポート振替表!$P$5:$P$3507,$L277)&amp;"")</f>
        <v/>
      </c>
      <c r="J277" s="60" t="str">
        <f aca="false">IF(L277="","",INDEX(ポート振替表!$M$5:$M$3507,$L277)&amp;"")</f>
        <v/>
      </c>
      <c r="K277" s="52" t="str">
        <f aca="false">IF(L277="","",E277&amp;CHAR(10)&amp;INDEX(ポート振替表!$K$5:$K$3507,$L277)&amp;" "&amp;INDEX(ポート振替表!$L$5:$L$3507,$L277)&amp;CHAR(10)&amp;"⇔ "&amp;INDEX(ポート振替表!$H$5:$H$3507,$L277)&amp;" "&amp;INDEX(ポート振替表!$I$5:$I$3507,$L277))</f>
        <v/>
      </c>
      <c r="L277" s="47" t="str">
        <f aca="false">IFERROR(MATCH(ROW()-4,ポート振替表!$V$5:$V$3507,0),"")</f>
        <v/>
      </c>
    </row>
    <row r="278" customFormat="false" ht="16.4" hidden="false" customHeight="false" outlineLevel="0" collapsed="false">
      <c r="A278" s="32" t="str">
        <f aca="false">IF(L278="","",ROW()-4)</f>
        <v/>
      </c>
      <c r="B278" s="58" t="str">
        <f aca="false">IF(L278="","",IF(INDEX(ポート振替表!$W$5:$W$3507,$L278)="","(なし)",INDEX(ポート振替表!$W$5:$W$3507,$L278)&amp;""))</f>
        <v/>
      </c>
      <c r="C278" s="52" t="str">
        <f aca="false">IF(L278="","",INDEX(ポート振替表!$B$5:$B$3507,$L278)&amp;" "&amp;INDEX(ポート振替表!$C$5:$C$3507,$L278)&amp;"  ⇔  "&amp;INDEX(ポート振替表!$H$5:$H$3507,$L278)&amp;" "&amp;INDEX(ポート振替表!$I$5:$I$3507,$L278))</f>
        <v/>
      </c>
      <c r="D278" s="57" t="s">
        <v>158</v>
      </c>
      <c r="E278" s="59" t="str">
        <f aca="false">IF(L278="","",IF(INDEX(ポート振替表!$O$5:$O$3507,$L278)="","(未設定)",INDEX(ポート振替表!$O$5:$O$3507,$L278)&amp;""))</f>
        <v/>
      </c>
      <c r="F278" s="52" t="str">
        <f aca="false">IF(L278="","",INDEX(ポート振替表!$K$5:$K$3507,$L278)&amp;" "&amp;INDEX(ポート振替表!$L$5:$L$3507,$L278)&amp;"  ⇔  "&amp;INDEX(ポート振替表!$H$5:$H$3507,$L278)&amp;" "&amp;INDEX(ポート振替表!$I$5:$I$3507,$L278))</f>
        <v/>
      </c>
      <c r="G278" s="57" t="s">
        <v>158</v>
      </c>
      <c r="H278" s="32" t="str">
        <f aca="false">IF(L278="","",INDEX(ポート振替表!$N$5:$N$3507,$L278)&amp;"")</f>
        <v/>
      </c>
      <c r="I278" s="32" t="str">
        <f aca="false">IF(L278="","",INDEX(ポート振替表!$P$5:$P$3507,$L278)&amp;"")</f>
        <v/>
      </c>
      <c r="J278" s="60" t="str">
        <f aca="false">IF(L278="","",INDEX(ポート振替表!$M$5:$M$3507,$L278)&amp;"")</f>
        <v/>
      </c>
      <c r="K278" s="52" t="str">
        <f aca="false">IF(L278="","",E278&amp;CHAR(10)&amp;INDEX(ポート振替表!$K$5:$K$3507,$L278)&amp;" "&amp;INDEX(ポート振替表!$L$5:$L$3507,$L278)&amp;CHAR(10)&amp;"⇔ "&amp;INDEX(ポート振替表!$H$5:$H$3507,$L278)&amp;" "&amp;INDEX(ポート振替表!$I$5:$I$3507,$L278))</f>
        <v/>
      </c>
      <c r="L278" s="47" t="str">
        <f aca="false">IFERROR(MATCH(ROW()-4,ポート振替表!$V$5:$V$3507,0),"")</f>
        <v/>
      </c>
    </row>
    <row r="279" customFormat="false" ht="16.4" hidden="false" customHeight="false" outlineLevel="0" collapsed="false">
      <c r="A279" s="32" t="str">
        <f aca="false">IF(L279="","",ROW()-4)</f>
        <v/>
      </c>
      <c r="B279" s="58" t="str">
        <f aca="false">IF(L279="","",IF(INDEX(ポート振替表!$W$5:$W$3507,$L279)="","(なし)",INDEX(ポート振替表!$W$5:$W$3507,$L279)&amp;""))</f>
        <v/>
      </c>
      <c r="C279" s="52" t="str">
        <f aca="false">IF(L279="","",INDEX(ポート振替表!$B$5:$B$3507,$L279)&amp;" "&amp;INDEX(ポート振替表!$C$5:$C$3507,$L279)&amp;"  ⇔  "&amp;INDEX(ポート振替表!$H$5:$H$3507,$L279)&amp;" "&amp;INDEX(ポート振替表!$I$5:$I$3507,$L279))</f>
        <v/>
      </c>
      <c r="D279" s="57" t="s">
        <v>158</v>
      </c>
      <c r="E279" s="59" t="str">
        <f aca="false">IF(L279="","",IF(INDEX(ポート振替表!$O$5:$O$3507,$L279)="","(未設定)",INDEX(ポート振替表!$O$5:$O$3507,$L279)&amp;""))</f>
        <v/>
      </c>
      <c r="F279" s="52" t="str">
        <f aca="false">IF(L279="","",INDEX(ポート振替表!$K$5:$K$3507,$L279)&amp;" "&amp;INDEX(ポート振替表!$L$5:$L$3507,$L279)&amp;"  ⇔  "&amp;INDEX(ポート振替表!$H$5:$H$3507,$L279)&amp;" "&amp;INDEX(ポート振替表!$I$5:$I$3507,$L279))</f>
        <v/>
      </c>
      <c r="G279" s="57" t="s">
        <v>158</v>
      </c>
      <c r="H279" s="32" t="str">
        <f aca="false">IF(L279="","",INDEX(ポート振替表!$N$5:$N$3507,$L279)&amp;"")</f>
        <v/>
      </c>
      <c r="I279" s="32" t="str">
        <f aca="false">IF(L279="","",INDEX(ポート振替表!$P$5:$P$3507,$L279)&amp;"")</f>
        <v/>
      </c>
      <c r="J279" s="60" t="str">
        <f aca="false">IF(L279="","",INDEX(ポート振替表!$M$5:$M$3507,$L279)&amp;"")</f>
        <v/>
      </c>
      <c r="K279" s="52" t="str">
        <f aca="false">IF(L279="","",E279&amp;CHAR(10)&amp;INDEX(ポート振替表!$K$5:$K$3507,$L279)&amp;" "&amp;INDEX(ポート振替表!$L$5:$L$3507,$L279)&amp;CHAR(10)&amp;"⇔ "&amp;INDEX(ポート振替表!$H$5:$H$3507,$L279)&amp;" "&amp;INDEX(ポート振替表!$I$5:$I$3507,$L279))</f>
        <v/>
      </c>
      <c r="L279" s="47" t="str">
        <f aca="false">IFERROR(MATCH(ROW()-4,ポート振替表!$V$5:$V$3507,0),"")</f>
        <v/>
      </c>
    </row>
    <row r="280" customFormat="false" ht="16.4" hidden="false" customHeight="false" outlineLevel="0" collapsed="false">
      <c r="A280" s="32" t="str">
        <f aca="false">IF(L280="","",ROW()-4)</f>
        <v/>
      </c>
      <c r="B280" s="58" t="str">
        <f aca="false">IF(L280="","",IF(INDEX(ポート振替表!$W$5:$W$3507,$L280)="","(なし)",INDEX(ポート振替表!$W$5:$W$3507,$L280)&amp;""))</f>
        <v/>
      </c>
      <c r="C280" s="52" t="str">
        <f aca="false">IF(L280="","",INDEX(ポート振替表!$B$5:$B$3507,$L280)&amp;" "&amp;INDEX(ポート振替表!$C$5:$C$3507,$L280)&amp;"  ⇔  "&amp;INDEX(ポート振替表!$H$5:$H$3507,$L280)&amp;" "&amp;INDEX(ポート振替表!$I$5:$I$3507,$L280))</f>
        <v/>
      </c>
      <c r="D280" s="57" t="s">
        <v>158</v>
      </c>
      <c r="E280" s="59" t="str">
        <f aca="false">IF(L280="","",IF(INDEX(ポート振替表!$O$5:$O$3507,$L280)="","(未設定)",INDEX(ポート振替表!$O$5:$O$3507,$L280)&amp;""))</f>
        <v/>
      </c>
      <c r="F280" s="52" t="str">
        <f aca="false">IF(L280="","",INDEX(ポート振替表!$K$5:$K$3507,$L280)&amp;" "&amp;INDEX(ポート振替表!$L$5:$L$3507,$L280)&amp;"  ⇔  "&amp;INDEX(ポート振替表!$H$5:$H$3507,$L280)&amp;" "&amp;INDEX(ポート振替表!$I$5:$I$3507,$L280))</f>
        <v/>
      </c>
      <c r="G280" s="57" t="s">
        <v>158</v>
      </c>
      <c r="H280" s="32" t="str">
        <f aca="false">IF(L280="","",INDEX(ポート振替表!$N$5:$N$3507,$L280)&amp;"")</f>
        <v/>
      </c>
      <c r="I280" s="32" t="str">
        <f aca="false">IF(L280="","",INDEX(ポート振替表!$P$5:$P$3507,$L280)&amp;"")</f>
        <v/>
      </c>
      <c r="J280" s="60" t="str">
        <f aca="false">IF(L280="","",INDEX(ポート振替表!$M$5:$M$3507,$L280)&amp;"")</f>
        <v/>
      </c>
      <c r="K280" s="52" t="str">
        <f aca="false">IF(L280="","",E280&amp;CHAR(10)&amp;INDEX(ポート振替表!$K$5:$K$3507,$L280)&amp;" "&amp;INDEX(ポート振替表!$L$5:$L$3507,$L280)&amp;CHAR(10)&amp;"⇔ "&amp;INDEX(ポート振替表!$H$5:$H$3507,$L280)&amp;" "&amp;INDEX(ポート振替表!$I$5:$I$3507,$L280))</f>
        <v/>
      </c>
      <c r="L280" s="47" t="str">
        <f aca="false">IFERROR(MATCH(ROW()-4,ポート振替表!$V$5:$V$3507,0),"")</f>
        <v/>
      </c>
    </row>
    <row r="281" customFormat="false" ht="16.4" hidden="false" customHeight="false" outlineLevel="0" collapsed="false">
      <c r="A281" s="32" t="str">
        <f aca="false">IF(L281="","",ROW()-4)</f>
        <v/>
      </c>
      <c r="B281" s="58" t="str">
        <f aca="false">IF(L281="","",IF(INDEX(ポート振替表!$W$5:$W$3507,$L281)="","(なし)",INDEX(ポート振替表!$W$5:$W$3507,$L281)&amp;""))</f>
        <v/>
      </c>
      <c r="C281" s="52" t="str">
        <f aca="false">IF(L281="","",INDEX(ポート振替表!$B$5:$B$3507,$L281)&amp;" "&amp;INDEX(ポート振替表!$C$5:$C$3507,$L281)&amp;"  ⇔  "&amp;INDEX(ポート振替表!$H$5:$H$3507,$L281)&amp;" "&amp;INDEX(ポート振替表!$I$5:$I$3507,$L281))</f>
        <v/>
      </c>
      <c r="D281" s="57" t="s">
        <v>158</v>
      </c>
      <c r="E281" s="59" t="str">
        <f aca="false">IF(L281="","",IF(INDEX(ポート振替表!$O$5:$O$3507,$L281)="","(未設定)",INDEX(ポート振替表!$O$5:$O$3507,$L281)&amp;""))</f>
        <v/>
      </c>
      <c r="F281" s="52" t="str">
        <f aca="false">IF(L281="","",INDEX(ポート振替表!$K$5:$K$3507,$L281)&amp;" "&amp;INDEX(ポート振替表!$L$5:$L$3507,$L281)&amp;"  ⇔  "&amp;INDEX(ポート振替表!$H$5:$H$3507,$L281)&amp;" "&amp;INDEX(ポート振替表!$I$5:$I$3507,$L281))</f>
        <v/>
      </c>
      <c r="G281" s="57" t="s">
        <v>158</v>
      </c>
      <c r="H281" s="32" t="str">
        <f aca="false">IF(L281="","",INDEX(ポート振替表!$N$5:$N$3507,$L281)&amp;"")</f>
        <v/>
      </c>
      <c r="I281" s="32" t="str">
        <f aca="false">IF(L281="","",INDEX(ポート振替表!$P$5:$P$3507,$L281)&amp;"")</f>
        <v/>
      </c>
      <c r="J281" s="60" t="str">
        <f aca="false">IF(L281="","",INDEX(ポート振替表!$M$5:$M$3507,$L281)&amp;"")</f>
        <v/>
      </c>
      <c r="K281" s="52" t="str">
        <f aca="false">IF(L281="","",E281&amp;CHAR(10)&amp;INDEX(ポート振替表!$K$5:$K$3507,$L281)&amp;" "&amp;INDEX(ポート振替表!$L$5:$L$3507,$L281)&amp;CHAR(10)&amp;"⇔ "&amp;INDEX(ポート振替表!$H$5:$H$3507,$L281)&amp;" "&amp;INDEX(ポート振替表!$I$5:$I$3507,$L281))</f>
        <v/>
      </c>
      <c r="L281" s="47" t="str">
        <f aca="false">IFERROR(MATCH(ROW()-4,ポート振替表!$V$5:$V$3507,0),"")</f>
        <v/>
      </c>
    </row>
    <row r="282" customFormat="false" ht="16.4" hidden="false" customHeight="false" outlineLevel="0" collapsed="false">
      <c r="A282" s="32" t="str">
        <f aca="false">IF(L282="","",ROW()-4)</f>
        <v/>
      </c>
      <c r="B282" s="58" t="str">
        <f aca="false">IF(L282="","",IF(INDEX(ポート振替表!$W$5:$W$3507,$L282)="","(なし)",INDEX(ポート振替表!$W$5:$W$3507,$L282)&amp;""))</f>
        <v/>
      </c>
      <c r="C282" s="52" t="str">
        <f aca="false">IF(L282="","",INDEX(ポート振替表!$B$5:$B$3507,$L282)&amp;" "&amp;INDEX(ポート振替表!$C$5:$C$3507,$L282)&amp;"  ⇔  "&amp;INDEX(ポート振替表!$H$5:$H$3507,$L282)&amp;" "&amp;INDEX(ポート振替表!$I$5:$I$3507,$L282))</f>
        <v/>
      </c>
      <c r="D282" s="57" t="s">
        <v>158</v>
      </c>
      <c r="E282" s="59" t="str">
        <f aca="false">IF(L282="","",IF(INDEX(ポート振替表!$O$5:$O$3507,$L282)="","(未設定)",INDEX(ポート振替表!$O$5:$O$3507,$L282)&amp;""))</f>
        <v/>
      </c>
      <c r="F282" s="52" t="str">
        <f aca="false">IF(L282="","",INDEX(ポート振替表!$K$5:$K$3507,$L282)&amp;" "&amp;INDEX(ポート振替表!$L$5:$L$3507,$L282)&amp;"  ⇔  "&amp;INDEX(ポート振替表!$H$5:$H$3507,$L282)&amp;" "&amp;INDEX(ポート振替表!$I$5:$I$3507,$L282))</f>
        <v/>
      </c>
      <c r="G282" s="57" t="s">
        <v>158</v>
      </c>
      <c r="H282" s="32" t="str">
        <f aca="false">IF(L282="","",INDEX(ポート振替表!$N$5:$N$3507,$L282)&amp;"")</f>
        <v/>
      </c>
      <c r="I282" s="32" t="str">
        <f aca="false">IF(L282="","",INDEX(ポート振替表!$P$5:$P$3507,$L282)&amp;"")</f>
        <v/>
      </c>
      <c r="J282" s="60" t="str">
        <f aca="false">IF(L282="","",INDEX(ポート振替表!$M$5:$M$3507,$L282)&amp;"")</f>
        <v/>
      </c>
      <c r="K282" s="52" t="str">
        <f aca="false">IF(L282="","",E282&amp;CHAR(10)&amp;INDEX(ポート振替表!$K$5:$K$3507,$L282)&amp;" "&amp;INDEX(ポート振替表!$L$5:$L$3507,$L282)&amp;CHAR(10)&amp;"⇔ "&amp;INDEX(ポート振替表!$H$5:$H$3507,$L282)&amp;" "&amp;INDEX(ポート振替表!$I$5:$I$3507,$L282))</f>
        <v/>
      </c>
      <c r="L282" s="47" t="str">
        <f aca="false">IFERROR(MATCH(ROW()-4,ポート振替表!$V$5:$V$3507,0),"")</f>
        <v/>
      </c>
    </row>
    <row r="283" customFormat="false" ht="16.4" hidden="false" customHeight="false" outlineLevel="0" collapsed="false">
      <c r="A283" s="32" t="str">
        <f aca="false">IF(L283="","",ROW()-4)</f>
        <v/>
      </c>
      <c r="B283" s="58" t="str">
        <f aca="false">IF(L283="","",IF(INDEX(ポート振替表!$W$5:$W$3507,$L283)="","(なし)",INDEX(ポート振替表!$W$5:$W$3507,$L283)&amp;""))</f>
        <v/>
      </c>
      <c r="C283" s="52" t="str">
        <f aca="false">IF(L283="","",INDEX(ポート振替表!$B$5:$B$3507,$L283)&amp;" "&amp;INDEX(ポート振替表!$C$5:$C$3507,$L283)&amp;"  ⇔  "&amp;INDEX(ポート振替表!$H$5:$H$3507,$L283)&amp;" "&amp;INDEX(ポート振替表!$I$5:$I$3507,$L283))</f>
        <v/>
      </c>
      <c r="D283" s="57" t="s">
        <v>158</v>
      </c>
      <c r="E283" s="59" t="str">
        <f aca="false">IF(L283="","",IF(INDEX(ポート振替表!$O$5:$O$3507,$L283)="","(未設定)",INDEX(ポート振替表!$O$5:$O$3507,$L283)&amp;""))</f>
        <v/>
      </c>
      <c r="F283" s="52" t="str">
        <f aca="false">IF(L283="","",INDEX(ポート振替表!$K$5:$K$3507,$L283)&amp;" "&amp;INDEX(ポート振替表!$L$5:$L$3507,$L283)&amp;"  ⇔  "&amp;INDEX(ポート振替表!$H$5:$H$3507,$L283)&amp;" "&amp;INDEX(ポート振替表!$I$5:$I$3507,$L283))</f>
        <v/>
      </c>
      <c r="G283" s="57" t="s">
        <v>158</v>
      </c>
      <c r="H283" s="32" t="str">
        <f aca="false">IF(L283="","",INDEX(ポート振替表!$N$5:$N$3507,$L283)&amp;"")</f>
        <v/>
      </c>
      <c r="I283" s="32" t="str">
        <f aca="false">IF(L283="","",INDEX(ポート振替表!$P$5:$P$3507,$L283)&amp;"")</f>
        <v/>
      </c>
      <c r="J283" s="60" t="str">
        <f aca="false">IF(L283="","",INDEX(ポート振替表!$M$5:$M$3507,$L283)&amp;"")</f>
        <v/>
      </c>
      <c r="K283" s="52" t="str">
        <f aca="false">IF(L283="","",E283&amp;CHAR(10)&amp;INDEX(ポート振替表!$K$5:$K$3507,$L283)&amp;" "&amp;INDEX(ポート振替表!$L$5:$L$3507,$L283)&amp;CHAR(10)&amp;"⇔ "&amp;INDEX(ポート振替表!$H$5:$H$3507,$L283)&amp;" "&amp;INDEX(ポート振替表!$I$5:$I$3507,$L283))</f>
        <v/>
      </c>
      <c r="L283" s="47" t="str">
        <f aca="false">IFERROR(MATCH(ROW()-4,ポート振替表!$V$5:$V$3507,0),"")</f>
        <v/>
      </c>
    </row>
    <row r="284" customFormat="false" ht="16.4" hidden="false" customHeight="false" outlineLevel="0" collapsed="false">
      <c r="A284" s="32" t="str">
        <f aca="false">IF(L284="","",ROW()-4)</f>
        <v/>
      </c>
      <c r="B284" s="58" t="str">
        <f aca="false">IF(L284="","",IF(INDEX(ポート振替表!$W$5:$W$3507,$L284)="","(なし)",INDEX(ポート振替表!$W$5:$W$3507,$L284)&amp;""))</f>
        <v/>
      </c>
      <c r="C284" s="52" t="str">
        <f aca="false">IF(L284="","",INDEX(ポート振替表!$B$5:$B$3507,$L284)&amp;" "&amp;INDEX(ポート振替表!$C$5:$C$3507,$L284)&amp;"  ⇔  "&amp;INDEX(ポート振替表!$H$5:$H$3507,$L284)&amp;" "&amp;INDEX(ポート振替表!$I$5:$I$3507,$L284))</f>
        <v/>
      </c>
      <c r="D284" s="57" t="s">
        <v>158</v>
      </c>
      <c r="E284" s="59" t="str">
        <f aca="false">IF(L284="","",IF(INDEX(ポート振替表!$O$5:$O$3507,$L284)="","(未設定)",INDEX(ポート振替表!$O$5:$O$3507,$L284)&amp;""))</f>
        <v/>
      </c>
      <c r="F284" s="52" t="str">
        <f aca="false">IF(L284="","",INDEX(ポート振替表!$K$5:$K$3507,$L284)&amp;" "&amp;INDEX(ポート振替表!$L$5:$L$3507,$L284)&amp;"  ⇔  "&amp;INDEX(ポート振替表!$H$5:$H$3507,$L284)&amp;" "&amp;INDEX(ポート振替表!$I$5:$I$3507,$L284))</f>
        <v/>
      </c>
      <c r="G284" s="57" t="s">
        <v>158</v>
      </c>
      <c r="H284" s="32" t="str">
        <f aca="false">IF(L284="","",INDEX(ポート振替表!$N$5:$N$3507,$L284)&amp;"")</f>
        <v/>
      </c>
      <c r="I284" s="32" t="str">
        <f aca="false">IF(L284="","",INDEX(ポート振替表!$P$5:$P$3507,$L284)&amp;"")</f>
        <v/>
      </c>
      <c r="J284" s="60" t="str">
        <f aca="false">IF(L284="","",INDEX(ポート振替表!$M$5:$M$3507,$L284)&amp;"")</f>
        <v/>
      </c>
      <c r="K284" s="52" t="str">
        <f aca="false">IF(L284="","",E284&amp;CHAR(10)&amp;INDEX(ポート振替表!$K$5:$K$3507,$L284)&amp;" "&amp;INDEX(ポート振替表!$L$5:$L$3507,$L284)&amp;CHAR(10)&amp;"⇔ "&amp;INDEX(ポート振替表!$H$5:$H$3507,$L284)&amp;" "&amp;INDEX(ポート振替表!$I$5:$I$3507,$L284))</f>
        <v/>
      </c>
      <c r="L284" s="47" t="str">
        <f aca="false">IFERROR(MATCH(ROW()-4,ポート振替表!$V$5:$V$3507,0),"")</f>
        <v/>
      </c>
    </row>
    <row r="285" customFormat="false" ht="16.4" hidden="false" customHeight="false" outlineLevel="0" collapsed="false">
      <c r="A285" s="32" t="str">
        <f aca="false">IF(L285="","",ROW()-4)</f>
        <v/>
      </c>
      <c r="B285" s="58" t="str">
        <f aca="false">IF(L285="","",IF(INDEX(ポート振替表!$W$5:$W$3507,$L285)="","(なし)",INDEX(ポート振替表!$W$5:$W$3507,$L285)&amp;""))</f>
        <v/>
      </c>
      <c r="C285" s="52" t="str">
        <f aca="false">IF(L285="","",INDEX(ポート振替表!$B$5:$B$3507,$L285)&amp;" "&amp;INDEX(ポート振替表!$C$5:$C$3507,$L285)&amp;"  ⇔  "&amp;INDEX(ポート振替表!$H$5:$H$3507,$L285)&amp;" "&amp;INDEX(ポート振替表!$I$5:$I$3507,$L285))</f>
        <v/>
      </c>
      <c r="D285" s="57" t="s">
        <v>158</v>
      </c>
      <c r="E285" s="59" t="str">
        <f aca="false">IF(L285="","",IF(INDEX(ポート振替表!$O$5:$O$3507,$L285)="","(未設定)",INDEX(ポート振替表!$O$5:$O$3507,$L285)&amp;""))</f>
        <v/>
      </c>
      <c r="F285" s="52" t="str">
        <f aca="false">IF(L285="","",INDEX(ポート振替表!$K$5:$K$3507,$L285)&amp;" "&amp;INDEX(ポート振替表!$L$5:$L$3507,$L285)&amp;"  ⇔  "&amp;INDEX(ポート振替表!$H$5:$H$3507,$L285)&amp;" "&amp;INDEX(ポート振替表!$I$5:$I$3507,$L285))</f>
        <v/>
      </c>
      <c r="G285" s="57" t="s">
        <v>158</v>
      </c>
      <c r="H285" s="32" t="str">
        <f aca="false">IF(L285="","",INDEX(ポート振替表!$N$5:$N$3507,$L285)&amp;"")</f>
        <v/>
      </c>
      <c r="I285" s="32" t="str">
        <f aca="false">IF(L285="","",INDEX(ポート振替表!$P$5:$P$3507,$L285)&amp;"")</f>
        <v/>
      </c>
      <c r="J285" s="60" t="str">
        <f aca="false">IF(L285="","",INDEX(ポート振替表!$M$5:$M$3507,$L285)&amp;"")</f>
        <v/>
      </c>
      <c r="K285" s="52" t="str">
        <f aca="false">IF(L285="","",E285&amp;CHAR(10)&amp;INDEX(ポート振替表!$K$5:$K$3507,$L285)&amp;" "&amp;INDEX(ポート振替表!$L$5:$L$3507,$L285)&amp;CHAR(10)&amp;"⇔ "&amp;INDEX(ポート振替表!$H$5:$H$3507,$L285)&amp;" "&amp;INDEX(ポート振替表!$I$5:$I$3507,$L285))</f>
        <v/>
      </c>
      <c r="L285" s="47" t="str">
        <f aca="false">IFERROR(MATCH(ROW()-4,ポート振替表!$V$5:$V$3507,0),"")</f>
        <v/>
      </c>
    </row>
    <row r="286" customFormat="false" ht="16.4" hidden="false" customHeight="false" outlineLevel="0" collapsed="false">
      <c r="A286" s="32" t="str">
        <f aca="false">IF(L286="","",ROW()-4)</f>
        <v/>
      </c>
      <c r="B286" s="58" t="str">
        <f aca="false">IF(L286="","",IF(INDEX(ポート振替表!$W$5:$W$3507,$L286)="","(なし)",INDEX(ポート振替表!$W$5:$W$3507,$L286)&amp;""))</f>
        <v/>
      </c>
      <c r="C286" s="52" t="str">
        <f aca="false">IF(L286="","",INDEX(ポート振替表!$B$5:$B$3507,$L286)&amp;" "&amp;INDEX(ポート振替表!$C$5:$C$3507,$L286)&amp;"  ⇔  "&amp;INDEX(ポート振替表!$H$5:$H$3507,$L286)&amp;" "&amp;INDEX(ポート振替表!$I$5:$I$3507,$L286))</f>
        <v/>
      </c>
      <c r="D286" s="57" t="s">
        <v>158</v>
      </c>
      <c r="E286" s="59" t="str">
        <f aca="false">IF(L286="","",IF(INDEX(ポート振替表!$O$5:$O$3507,$L286)="","(未設定)",INDEX(ポート振替表!$O$5:$O$3507,$L286)&amp;""))</f>
        <v/>
      </c>
      <c r="F286" s="52" t="str">
        <f aca="false">IF(L286="","",INDEX(ポート振替表!$K$5:$K$3507,$L286)&amp;" "&amp;INDEX(ポート振替表!$L$5:$L$3507,$L286)&amp;"  ⇔  "&amp;INDEX(ポート振替表!$H$5:$H$3507,$L286)&amp;" "&amp;INDEX(ポート振替表!$I$5:$I$3507,$L286))</f>
        <v/>
      </c>
      <c r="G286" s="57" t="s">
        <v>158</v>
      </c>
      <c r="H286" s="32" t="str">
        <f aca="false">IF(L286="","",INDEX(ポート振替表!$N$5:$N$3507,$L286)&amp;"")</f>
        <v/>
      </c>
      <c r="I286" s="32" t="str">
        <f aca="false">IF(L286="","",INDEX(ポート振替表!$P$5:$P$3507,$L286)&amp;"")</f>
        <v/>
      </c>
      <c r="J286" s="60" t="str">
        <f aca="false">IF(L286="","",INDEX(ポート振替表!$M$5:$M$3507,$L286)&amp;"")</f>
        <v/>
      </c>
      <c r="K286" s="52" t="str">
        <f aca="false">IF(L286="","",E286&amp;CHAR(10)&amp;INDEX(ポート振替表!$K$5:$K$3507,$L286)&amp;" "&amp;INDEX(ポート振替表!$L$5:$L$3507,$L286)&amp;CHAR(10)&amp;"⇔ "&amp;INDEX(ポート振替表!$H$5:$H$3507,$L286)&amp;" "&amp;INDEX(ポート振替表!$I$5:$I$3507,$L286))</f>
        <v/>
      </c>
      <c r="L286" s="47" t="str">
        <f aca="false">IFERROR(MATCH(ROW()-4,ポート振替表!$V$5:$V$3507,0),"")</f>
        <v/>
      </c>
    </row>
    <row r="287" customFormat="false" ht="16.4" hidden="false" customHeight="false" outlineLevel="0" collapsed="false">
      <c r="A287" s="32" t="str">
        <f aca="false">IF(L287="","",ROW()-4)</f>
        <v/>
      </c>
      <c r="B287" s="58" t="str">
        <f aca="false">IF(L287="","",IF(INDEX(ポート振替表!$W$5:$W$3507,$L287)="","(なし)",INDEX(ポート振替表!$W$5:$W$3507,$L287)&amp;""))</f>
        <v/>
      </c>
      <c r="C287" s="52" t="str">
        <f aca="false">IF(L287="","",INDEX(ポート振替表!$B$5:$B$3507,$L287)&amp;" "&amp;INDEX(ポート振替表!$C$5:$C$3507,$L287)&amp;"  ⇔  "&amp;INDEX(ポート振替表!$H$5:$H$3507,$L287)&amp;" "&amp;INDEX(ポート振替表!$I$5:$I$3507,$L287))</f>
        <v/>
      </c>
      <c r="D287" s="57" t="s">
        <v>158</v>
      </c>
      <c r="E287" s="59" t="str">
        <f aca="false">IF(L287="","",IF(INDEX(ポート振替表!$O$5:$O$3507,$L287)="","(未設定)",INDEX(ポート振替表!$O$5:$O$3507,$L287)&amp;""))</f>
        <v/>
      </c>
      <c r="F287" s="52" t="str">
        <f aca="false">IF(L287="","",INDEX(ポート振替表!$K$5:$K$3507,$L287)&amp;" "&amp;INDEX(ポート振替表!$L$5:$L$3507,$L287)&amp;"  ⇔  "&amp;INDEX(ポート振替表!$H$5:$H$3507,$L287)&amp;" "&amp;INDEX(ポート振替表!$I$5:$I$3507,$L287))</f>
        <v/>
      </c>
      <c r="G287" s="57" t="s">
        <v>158</v>
      </c>
      <c r="H287" s="32" t="str">
        <f aca="false">IF(L287="","",INDEX(ポート振替表!$N$5:$N$3507,$L287)&amp;"")</f>
        <v/>
      </c>
      <c r="I287" s="32" t="str">
        <f aca="false">IF(L287="","",INDEX(ポート振替表!$P$5:$P$3507,$L287)&amp;"")</f>
        <v/>
      </c>
      <c r="J287" s="60" t="str">
        <f aca="false">IF(L287="","",INDEX(ポート振替表!$M$5:$M$3507,$L287)&amp;"")</f>
        <v/>
      </c>
      <c r="K287" s="52" t="str">
        <f aca="false">IF(L287="","",E287&amp;CHAR(10)&amp;INDEX(ポート振替表!$K$5:$K$3507,$L287)&amp;" "&amp;INDEX(ポート振替表!$L$5:$L$3507,$L287)&amp;CHAR(10)&amp;"⇔ "&amp;INDEX(ポート振替表!$H$5:$H$3507,$L287)&amp;" "&amp;INDEX(ポート振替表!$I$5:$I$3507,$L287))</f>
        <v/>
      </c>
      <c r="L287" s="47" t="str">
        <f aca="false">IFERROR(MATCH(ROW()-4,ポート振替表!$V$5:$V$3507,0),"")</f>
        <v/>
      </c>
    </row>
    <row r="288" customFormat="false" ht="16.4" hidden="false" customHeight="false" outlineLevel="0" collapsed="false">
      <c r="A288" s="32" t="str">
        <f aca="false">IF(L288="","",ROW()-4)</f>
        <v/>
      </c>
      <c r="B288" s="58" t="str">
        <f aca="false">IF(L288="","",IF(INDEX(ポート振替表!$W$5:$W$3507,$L288)="","(なし)",INDEX(ポート振替表!$W$5:$W$3507,$L288)&amp;""))</f>
        <v/>
      </c>
      <c r="C288" s="52" t="str">
        <f aca="false">IF(L288="","",INDEX(ポート振替表!$B$5:$B$3507,$L288)&amp;" "&amp;INDEX(ポート振替表!$C$5:$C$3507,$L288)&amp;"  ⇔  "&amp;INDEX(ポート振替表!$H$5:$H$3507,$L288)&amp;" "&amp;INDEX(ポート振替表!$I$5:$I$3507,$L288))</f>
        <v/>
      </c>
      <c r="D288" s="57" t="s">
        <v>158</v>
      </c>
      <c r="E288" s="59" t="str">
        <f aca="false">IF(L288="","",IF(INDEX(ポート振替表!$O$5:$O$3507,$L288)="","(未設定)",INDEX(ポート振替表!$O$5:$O$3507,$L288)&amp;""))</f>
        <v/>
      </c>
      <c r="F288" s="52" t="str">
        <f aca="false">IF(L288="","",INDEX(ポート振替表!$K$5:$K$3507,$L288)&amp;" "&amp;INDEX(ポート振替表!$L$5:$L$3507,$L288)&amp;"  ⇔  "&amp;INDEX(ポート振替表!$H$5:$H$3507,$L288)&amp;" "&amp;INDEX(ポート振替表!$I$5:$I$3507,$L288))</f>
        <v/>
      </c>
      <c r="G288" s="57" t="s">
        <v>158</v>
      </c>
      <c r="H288" s="32" t="str">
        <f aca="false">IF(L288="","",INDEX(ポート振替表!$N$5:$N$3507,$L288)&amp;"")</f>
        <v/>
      </c>
      <c r="I288" s="32" t="str">
        <f aca="false">IF(L288="","",INDEX(ポート振替表!$P$5:$P$3507,$L288)&amp;"")</f>
        <v/>
      </c>
      <c r="J288" s="60" t="str">
        <f aca="false">IF(L288="","",INDEX(ポート振替表!$M$5:$M$3507,$L288)&amp;"")</f>
        <v/>
      </c>
      <c r="K288" s="52" t="str">
        <f aca="false">IF(L288="","",E288&amp;CHAR(10)&amp;INDEX(ポート振替表!$K$5:$K$3507,$L288)&amp;" "&amp;INDEX(ポート振替表!$L$5:$L$3507,$L288)&amp;CHAR(10)&amp;"⇔ "&amp;INDEX(ポート振替表!$H$5:$H$3507,$L288)&amp;" "&amp;INDEX(ポート振替表!$I$5:$I$3507,$L288))</f>
        <v/>
      </c>
      <c r="L288" s="47" t="str">
        <f aca="false">IFERROR(MATCH(ROW()-4,ポート振替表!$V$5:$V$3507,0),"")</f>
        <v/>
      </c>
    </row>
    <row r="289" customFormat="false" ht="16.4" hidden="false" customHeight="false" outlineLevel="0" collapsed="false">
      <c r="A289" s="32" t="str">
        <f aca="false">IF(L289="","",ROW()-4)</f>
        <v/>
      </c>
      <c r="B289" s="58" t="str">
        <f aca="false">IF(L289="","",IF(INDEX(ポート振替表!$W$5:$W$3507,$L289)="","(なし)",INDEX(ポート振替表!$W$5:$W$3507,$L289)&amp;""))</f>
        <v/>
      </c>
      <c r="C289" s="52" t="str">
        <f aca="false">IF(L289="","",INDEX(ポート振替表!$B$5:$B$3507,$L289)&amp;" "&amp;INDEX(ポート振替表!$C$5:$C$3507,$L289)&amp;"  ⇔  "&amp;INDEX(ポート振替表!$H$5:$H$3507,$L289)&amp;" "&amp;INDEX(ポート振替表!$I$5:$I$3507,$L289))</f>
        <v/>
      </c>
      <c r="D289" s="57" t="s">
        <v>158</v>
      </c>
      <c r="E289" s="59" t="str">
        <f aca="false">IF(L289="","",IF(INDEX(ポート振替表!$O$5:$O$3507,$L289)="","(未設定)",INDEX(ポート振替表!$O$5:$O$3507,$L289)&amp;""))</f>
        <v/>
      </c>
      <c r="F289" s="52" t="str">
        <f aca="false">IF(L289="","",INDEX(ポート振替表!$K$5:$K$3507,$L289)&amp;" "&amp;INDEX(ポート振替表!$L$5:$L$3507,$L289)&amp;"  ⇔  "&amp;INDEX(ポート振替表!$H$5:$H$3507,$L289)&amp;" "&amp;INDEX(ポート振替表!$I$5:$I$3507,$L289))</f>
        <v/>
      </c>
      <c r="G289" s="57" t="s">
        <v>158</v>
      </c>
      <c r="H289" s="32" t="str">
        <f aca="false">IF(L289="","",INDEX(ポート振替表!$N$5:$N$3507,$L289)&amp;"")</f>
        <v/>
      </c>
      <c r="I289" s="32" t="str">
        <f aca="false">IF(L289="","",INDEX(ポート振替表!$P$5:$P$3507,$L289)&amp;"")</f>
        <v/>
      </c>
      <c r="J289" s="60" t="str">
        <f aca="false">IF(L289="","",INDEX(ポート振替表!$M$5:$M$3507,$L289)&amp;"")</f>
        <v/>
      </c>
      <c r="K289" s="52" t="str">
        <f aca="false">IF(L289="","",E289&amp;CHAR(10)&amp;INDEX(ポート振替表!$K$5:$K$3507,$L289)&amp;" "&amp;INDEX(ポート振替表!$L$5:$L$3507,$L289)&amp;CHAR(10)&amp;"⇔ "&amp;INDEX(ポート振替表!$H$5:$H$3507,$L289)&amp;" "&amp;INDEX(ポート振替表!$I$5:$I$3507,$L289))</f>
        <v/>
      </c>
      <c r="L289" s="47" t="str">
        <f aca="false">IFERROR(MATCH(ROW()-4,ポート振替表!$V$5:$V$3507,0),"")</f>
        <v/>
      </c>
    </row>
    <row r="290" customFormat="false" ht="16.4" hidden="false" customHeight="false" outlineLevel="0" collapsed="false">
      <c r="A290" s="32" t="str">
        <f aca="false">IF(L290="","",ROW()-4)</f>
        <v/>
      </c>
      <c r="B290" s="58" t="str">
        <f aca="false">IF(L290="","",IF(INDEX(ポート振替表!$W$5:$W$3507,$L290)="","(なし)",INDEX(ポート振替表!$W$5:$W$3507,$L290)&amp;""))</f>
        <v/>
      </c>
      <c r="C290" s="52" t="str">
        <f aca="false">IF(L290="","",INDEX(ポート振替表!$B$5:$B$3507,$L290)&amp;" "&amp;INDEX(ポート振替表!$C$5:$C$3507,$L290)&amp;"  ⇔  "&amp;INDEX(ポート振替表!$H$5:$H$3507,$L290)&amp;" "&amp;INDEX(ポート振替表!$I$5:$I$3507,$L290))</f>
        <v/>
      </c>
      <c r="D290" s="57" t="s">
        <v>158</v>
      </c>
      <c r="E290" s="59" t="str">
        <f aca="false">IF(L290="","",IF(INDEX(ポート振替表!$O$5:$O$3507,$L290)="","(未設定)",INDEX(ポート振替表!$O$5:$O$3507,$L290)&amp;""))</f>
        <v/>
      </c>
      <c r="F290" s="52" t="str">
        <f aca="false">IF(L290="","",INDEX(ポート振替表!$K$5:$K$3507,$L290)&amp;" "&amp;INDEX(ポート振替表!$L$5:$L$3507,$L290)&amp;"  ⇔  "&amp;INDEX(ポート振替表!$H$5:$H$3507,$L290)&amp;" "&amp;INDEX(ポート振替表!$I$5:$I$3507,$L290))</f>
        <v/>
      </c>
      <c r="G290" s="57" t="s">
        <v>158</v>
      </c>
      <c r="H290" s="32" t="str">
        <f aca="false">IF(L290="","",INDEX(ポート振替表!$N$5:$N$3507,$L290)&amp;"")</f>
        <v/>
      </c>
      <c r="I290" s="32" t="str">
        <f aca="false">IF(L290="","",INDEX(ポート振替表!$P$5:$P$3507,$L290)&amp;"")</f>
        <v/>
      </c>
      <c r="J290" s="60" t="str">
        <f aca="false">IF(L290="","",INDEX(ポート振替表!$M$5:$M$3507,$L290)&amp;"")</f>
        <v/>
      </c>
      <c r="K290" s="52" t="str">
        <f aca="false">IF(L290="","",E290&amp;CHAR(10)&amp;INDEX(ポート振替表!$K$5:$K$3507,$L290)&amp;" "&amp;INDEX(ポート振替表!$L$5:$L$3507,$L290)&amp;CHAR(10)&amp;"⇔ "&amp;INDEX(ポート振替表!$H$5:$H$3507,$L290)&amp;" "&amp;INDEX(ポート振替表!$I$5:$I$3507,$L290))</f>
        <v/>
      </c>
      <c r="L290" s="47" t="str">
        <f aca="false">IFERROR(MATCH(ROW()-4,ポート振替表!$V$5:$V$3507,0),"")</f>
        <v/>
      </c>
    </row>
    <row r="291" customFormat="false" ht="16.4" hidden="false" customHeight="false" outlineLevel="0" collapsed="false">
      <c r="A291" s="32" t="str">
        <f aca="false">IF(L291="","",ROW()-4)</f>
        <v/>
      </c>
      <c r="B291" s="58" t="str">
        <f aca="false">IF(L291="","",IF(INDEX(ポート振替表!$W$5:$W$3507,$L291)="","(なし)",INDEX(ポート振替表!$W$5:$W$3507,$L291)&amp;""))</f>
        <v/>
      </c>
      <c r="C291" s="52" t="str">
        <f aca="false">IF(L291="","",INDEX(ポート振替表!$B$5:$B$3507,$L291)&amp;" "&amp;INDEX(ポート振替表!$C$5:$C$3507,$L291)&amp;"  ⇔  "&amp;INDEX(ポート振替表!$H$5:$H$3507,$L291)&amp;" "&amp;INDEX(ポート振替表!$I$5:$I$3507,$L291))</f>
        <v/>
      </c>
      <c r="D291" s="57" t="s">
        <v>158</v>
      </c>
      <c r="E291" s="59" t="str">
        <f aca="false">IF(L291="","",IF(INDEX(ポート振替表!$O$5:$O$3507,$L291)="","(未設定)",INDEX(ポート振替表!$O$5:$O$3507,$L291)&amp;""))</f>
        <v/>
      </c>
      <c r="F291" s="52" t="str">
        <f aca="false">IF(L291="","",INDEX(ポート振替表!$K$5:$K$3507,$L291)&amp;" "&amp;INDEX(ポート振替表!$L$5:$L$3507,$L291)&amp;"  ⇔  "&amp;INDEX(ポート振替表!$H$5:$H$3507,$L291)&amp;" "&amp;INDEX(ポート振替表!$I$5:$I$3507,$L291))</f>
        <v/>
      </c>
      <c r="G291" s="57" t="s">
        <v>158</v>
      </c>
      <c r="H291" s="32" t="str">
        <f aca="false">IF(L291="","",INDEX(ポート振替表!$N$5:$N$3507,$L291)&amp;"")</f>
        <v/>
      </c>
      <c r="I291" s="32" t="str">
        <f aca="false">IF(L291="","",INDEX(ポート振替表!$P$5:$P$3507,$L291)&amp;"")</f>
        <v/>
      </c>
      <c r="J291" s="60" t="str">
        <f aca="false">IF(L291="","",INDEX(ポート振替表!$M$5:$M$3507,$L291)&amp;"")</f>
        <v/>
      </c>
      <c r="K291" s="52" t="str">
        <f aca="false">IF(L291="","",E291&amp;CHAR(10)&amp;INDEX(ポート振替表!$K$5:$K$3507,$L291)&amp;" "&amp;INDEX(ポート振替表!$L$5:$L$3507,$L291)&amp;CHAR(10)&amp;"⇔ "&amp;INDEX(ポート振替表!$H$5:$H$3507,$L291)&amp;" "&amp;INDEX(ポート振替表!$I$5:$I$3507,$L291))</f>
        <v/>
      </c>
      <c r="L291" s="47" t="str">
        <f aca="false">IFERROR(MATCH(ROW()-4,ポート振替表!$V$5:$V$3507,0),"")</f>
        <v/>
      </c>
    </row>
    <row r="292" customFormat="false" ht="16.4" hidden="false" customHeight="false" outlineLevel="0" collapsed="false">
      <c r="A292" s="32" t="str">
        <f aca="false">IF(L292="","",ROW()-4)</f>
        <v/>
      </c>
      <c r="B292" s="58" t="str">
        <f aca="false">IF(L292="","",IF(INDEX(ポート振替表!$W$5:$W$3507,$L292)="","(なし)",INDEX(ポート振替表!$W$5:$W$3507,$L292)&amp;""))</f>
        <v/>
      </c>
      <c r="C292" s="52" t="str">
        <f aca="false">IF(L292="","",INDEX(ポート振替表!$B$5:$B$3507,$L292)&amp;" "&amp;INDEX(ポート振替表!$C$5:$C$3507,$L292)&amp;"  ⇔  "&amp;INDEX(ポート振替表!$H$5:$H$3507,$L292)&amp;" "&amp;INDEX(ポート振替表!$I$5:$I$3507,$L292))</f>
        <v/>
      </c>
      <c r="D292" s="57" t="s">
        <v>158</v>
      </c>
      <c r="E292" s="59" t="str">
        <f aca="false">IF(L292="","",IF(INDEX(ポート振替表!$O$5:$O$3507,$L292)="","(未設定)",INDEX(ポート振替表!$O$5:$O$3507,$L292)&amp;""))</f>
        <v/>
      </c>
      <c r="F292" s="52" t="str">
        <f aca="false">IF(L292="","",INDEX(ポート振替表!$K$5:$K$3507,$L292)&amp;" "&amp;INDEX(ポート振替表!$L$5:$L$3507,$L292)&amp;"  ⇔  "&amp;INDEX(ポート振替表!$H$5:$H$3507,$L292)&amp;" "&amp;INDEX(ポート振替表!$I$5:$I$3507,$L292))</f>
        <v/>
      </c>
      <c r="G292" s="57" t="s">
        <v>158</v>
      </c>
      <c r="H292" s="32" t="str">
        <f aca="false">IF(L292="","",INDEX(ポート振替表!$N$5:$N$3507,$L292)&amp;"")</f>
        <v/>
      </c>
      <c r="I292" s="32" t="str">
        <f aca="false">IF(L292="","",INDEX(ポート振替表!$P$5:$P$3507,$L292)&amp;"")</f>
        <v/>
      </c>
      <c r="J292" s="60" t="str">
        <f aca="false">IF(L292="","",INDEX(ポート振替表!$M$5:$M$3507,$L292)&amp;"")</f>
        <v/>
      </c>
      <c r="K292" s="52" t="str">
        <f aca="false">IF(L292="","",E292&amp;CHAR(10)&amp;INDEX(ポート振替表!$K$5:$K$3507,$L292)&amp;" "&amp;INDEX(ポート振替表!$L$5:$L$3507,$L292)&amp;CHAR(10)&amp;"⇔ "&amp;INDEX(ポート振替表!$H$5:$H$3507,$L292)&amp;" "&amp;INDEX(ポート振替表!$I$5:$I$3507,$L292))</f>
        <v/>
      </c>
      <c r="L292" s="47" t="str">
        <f aca="false">IFERROR(MATCH(ROW()-4,ポート振替表!$V$5:$V$3507,0),"")</f>
        <v/>
      </c>
    </row>
    <row r="293" customFormat="false" ht="16.4" hidden="false" customHeight="false" outlineLevel="0" collapsed="false">
      <c r="A293" s="32" t="str">
        <f aca="false">IF(L293="","",ROW()-4)</f>
        <v/>
      </c>
      <c r="B293" s="58" t="str">
        <f aca="false">IF(L293="","",IF(INDEX(ポート振替表!$W$5:$W$3507,$L293)="","(なし)",INDEX(ポート振替表!$W$5:$W$3507,$L293)&amp;""))</f>
        <v/>
      </c>
      <c r="C293" s="52" t="str">
        <f aca="false">IF(L293="","",INDEX(ポート振替表!$B$5:$B$3507,$L293)&amp;" "&amp;INDEX(ポート振替表!$C$5:$C$3507,$L293)&amp;"  ⇔  "&amp;INDEX(ポート振替表!$H$5:$H$3507,$L293)&amp;" "&amp;INDEX(ポート振替表!$I$5:$I$3507,$L293))</f>
        <v/>
      </c>
      <c r="D293" s="57" t="s">
        <v>158</v>
      </c>
      <c r="E293" s="59" t="str">
        <f aca="false">IF(L293="","",IF(INDEX(ポート振替表!$O$5:$O$3507,$L293)="","(未設定)",INDEX(ポート振替表!$O$5:$O$3507,$L293)&amp;""))</f>
        <v/>
      </c>
      <c r="F293" s="52" t="str">
        <f aca="false">IF(L293="","",INDEX(ポート振替表!$K$5:$K$3507,$L293)&amp;" "&amp;INDEX(ポート振替表!$L$5:$L$3507,$L293)&amp;"  ⇔  "&amp;INDEX(ポート振替表!$H$5:$H$3507,$L293)&amp;" "&amp;INDEX(ポート振替表!$I$5:$I$3507,$L293))</f>
        <v/>
      </c>
      <c r="G293" s="57" t="s">
        <v>158</v>
      </c>
      <c r="H293" s="32" t="str">
        <f aca="false">IF(L293="","",INDEX(ポート振替表!$N$5:$N$3507,$L293)&amp;"")</f>
        <v/>
      </c>
      <c r="I293" s="32" t="str">
        <f aca="false">IF(L293="","",INDEX(ポート振替表!$P$5:$P$3507,$L293)&amp;"")</f>
        <v/>
      </c>
      <c r="J293" s="60" t="str">
        <f aca="false">IF(L293="","",INDEX(ポート振替表!$M$5:$M$3507,$L293)&amp;"")</f>
        <v/>
      </c>
      <c r="K293" s="52" t="str">
        <f aca="false">IF(L293="","",E293&amp;CHAR(10)&amp;INDEX(ポート振替表!$K$5:$K$3507,$L293)&amp;" "&amp;INDEX(ポート振替表!$L$5:$L$3507,$L293)&amp;CHAR(10)&amp;"⇔ "&amp;INDEX(ポート振替表!$H$5:$H$3507,$L293)&amp;" "&amp;INDEX(ポート振替表!$I$5:$I$3507,$L293))</f>
        <v/>
      </c>
      <c r="L293" s="47" t="str">
        <f aca="false">IFERROR(MATCH(ROW()-4,ポート振替表!$V$5:$V$3507,0),"")</f>
        <v/>
      </c>
    </row>
    <row r="294" customFormat="false" ht="16.4" hidden="false" customHeight="false" outlineLevel="0" collapsed="false">
      <c r="A294" s="32" t="str">
        <f aca="false">IF(L294="","",ROW()-4)</f>
        <v/>
      </c>
      <c r="B294" s="58" t="str">
        <f aca="false">IF(L294="","",IF(INDEX(ポート振替表!$W$5:$W$3507,$L294)="","(なし)",INDEX(ポート振替表!$W$5:$W$3507,$L294)&amp;""))</f>
        <v/>
      </c>
      <c r="C294" s="52" t="str">
        <f aca="false">IF(L294="","",INDEX(ポート振替表!$B$5:$B$3507,$L294)&amp;" "&amp;INDEX(ポート振替表!$C$5:$C$3507,$L294)&amp;"  ⇔  "&amp;INDEX(ポート振替表!$H$5:$H$3507,$L294)&amp;" "&amp;INDEX(ポート振替表!$I$5:$I$3507,$L294))</f>
        <v/>
      </c>
      <c r="D294" s="57" t="s">
        <v>158</v>
      </c>
      <c r="E294" s="59" t="str">
        <f aca="false">IF(L294="","",IF(INDEX(ポート振替表!$O$5:$O$3507,$L294)="","(未設定)",INDEX(ポート振替表!$O$5:$O$3507,$L294)&amp;""))</f>
        <v/>
      </c>
      <c r="F294" s="52" t="str">
        <f aca="false">IF(L294="","",INDEX(ポート振替表!$K$5:$K$3507,$L294)&amp;" "&amp;INDEX(ポート振替表!$L$5:$L$3507,$L294)&amp;"  ⇔  "&amp;INDEX(ポート振替表!$H$5:$H$3507,$L294)&amp;" "&amp;INDEX(ポート振替表!$I$5:$I$3507,$L294))</f>
        <v/>
      </c>
      <c r="G294" s="57" t="s">
        <v>158</v>
      </c>
      <c r="H294" s="32" t="str">
        <f aca="false">IF(L294="","",INDEX(ポート振替表!$N$5:$N$3507,$L294)&amp;"")</f>
        <v/>
      </c>
      <c r="I294" s="32" t="str">
        <f aca="false">IF(L294="","",INDEX(ポート振替表!$P$5:$P$3507,$L294)&amp;"")</f>
        <v/>
      </c>
      <c r="J294" s="60" t="str">
        <f aca="false">IF(L294="","",INDEX(ポート振替表!$M$5:$M$3507,$L294)&amp;"")</f>
        <v/>
      </c>
      <c r="K294" s="52" t="str">
        <f aca="false">IF(L294="","",E294&amp;CHAR(10)&amp;INDEX(ポート振替表!$K$5:$K$3507,$L294)&amp;" "&amp;INDEX(ポート振替表!$L$5:$L$3507,$L294)&amp;CHAR(10)&amp;"⇔ "&amp;INDEX(ポート振替表!$H$5:$H$3507,$L294)&amp;" "&amp;INDEX(ポート振替表!$I$5:$I$3507,$L294))</f>
        <v/>
      </c>
      <c r="L294" s="47" t="str">
        <f aca="false">IFERROR(MATCH(ROW()-4,ポート振替表!$V$5:$V$3507,0),"")</f>
        <v/>
      </c>
    </row>
    <row r="295" customFormat="false" ht="16.4" hidden="false" customHeight="false" outlineLevel="0" collapsed="false">
      <c r="A295" s="32" t="str">
        <f aca="false">IF(L295="","",ROW()-4)</f>
        <v/>
      </c>
      <c r="B295" s="58" t="str">
        <f aca="false">IF(L295="","",IF(INDEX(ポート振替表!$W$5:$W$3507,$L295)="","(なし)",INDEX(ポート振替表!$W$5:$W$3507,$L295)&amp;""))</f>
        <v/>
      </c>
      <c r="C295" s="52" t="str">
        <f aca="false">IF(L295="","",INDEX(ポート振替表!$B$5:$B$3507,$L295)&amp;" "&amp;INDEX(ポート振替表!$C$5:$C$3507,$L295)&amp;"  ⇔  "&amp;INDEX(ポート振替表!$H$5:$H$3507,$L295)&amp;" "&amp;INDEX(ポート振替表!$I$5:$I$3507,$L295))</f>
        <v/>
      </c>
      <c r="D295" s="57" t="s">
        <v>158</v>
      </c>
      <c r="E295" s="59" t="str">
        <f aca="false">IF(L295="","",IF(INDEX(ポート振替表!$O$5:$O$3507,$L295)="","(未設定)",INDEX(ポート振替表!$O$5:$O$3507,$L295)&amp;""))</f>
        <v/>
      </c>
      <c r="F295" s="52" t="str">
        <f aca="false">IF(L295="","",INDEX(ポート振替表!$K$5:$K$3507,$L295)&amp;" "&amp;INDEX(ポート振替表!$L$5:$L$3507,$L295)&amp;"  ⇔  "&amp;INDEX(ポート振替表!$H$5:$H$3507,$L295)&amp;" "&amp;INDEX(ポート振替表!$I$5:$I$3507,$L295))</f>
        <v/>
      </c>
      <c r="G295" s="57" t="s">
        <v>158</v>
      </c>
      <c r="H295" s="32" t="str">
        <f aca="false">IF(L295="","",INDEX(ポート振替表!$N$5:$N$3507,$L295)&amp;"")</f>
        <v/>
      </c>
      <c r="I295" s="32" t="str">
        <f aca="false">IF(L295="","",INDEX(ポート振替表!$P$5:$P$3507,$L295)&amp;"")</f>
        <v/>
      </c>
      <c r="J295" s="60" t="str">
        <f aca="false">IF(L295="","",INDEX(ポート振替表!$M$5:$M$3507,$L295)&amp;"")</f>
        <v/>
      </c>
      <c r="K295" s="52" t="str">
        <f aca="false">IF(L295="","",E295&amp;CHAR(10)&amp;INDEX(ポート振替表!$K$5:$K$3507,$L295)&amp;" "&amp;INDEX(ポート振替表!$L$5:$L$3507,$L295)&amp;CHAR(10)&amp;"⇔ "&amp;INDEX(ポート振替表!$H$5:$H$3507,$L295)&amp;" "&amp;INDEX(ポート振替表!$I$5:$I$3507,$L295))</f>
        <v/>
      </c>
      <c r="L295" s="47" t="str">
        <f aca="false">IFERROR(MATCH(ROW()-4,ポート振替表!$V$5:$V$3507,0),"")</f>
        <v/>
      </c>
    </row>
    <row r="296" customFormat="false" ht="16.4" hidden="false" customHeight="false" outlineLevel="0" collapsed="false">
      <c r="A296" s="32" t="str">
        <f aca="false">IF(L296="","",ROW()-4)</f>
        <v/>
      </c>
      <c r="B296" s="58" t="str">
        <f aca="false">IF(L296="","",IF(INDEX(ポート振替表!$W$5:$W$3507,$L296)="","(なし)",INDEX(ポート振替表!$W$5:$W$3507,$L296)&amp;""))</f>
        <v/>
      </c>
      <c r="C296" s="52" t="str">
        <f aca="false">IF(L296="","",INDEX(ポート振替表!$B$5:$B$3507,$L296)&amp;" "&amp;INDEX(ポート振替表!$C$5:$C$3507,$L296)&amp;"  ⇔  "&amp;INDEX(ポート振替表!$H$5:$H$3507,$L296)&amp;" "&amp;INDEX(ポート振替表!$I$5:$I$3507,$L296))</f>
        <v/>
      </c>
      <c r="D296" s="57" t="s">
        <v>158</v>
      </c>
      <c r="E296" s="59" t="str">
        <f aca="false">IF(L296="","",IF(INDEX(ポート振替表!$O$5:$O$3507,$L296)="","(未設定)",INDEX(ポート振替表!$O$5:$O$3507,$L296)&amp;""))</f>
        <v/>
      </c>
      <c r="F296" s="52" t="str">
        <f aca="false">IF(L296="","",INDEX(ポート振替表!$K$5:$K$3507,$L296)&amp;" "&amp;INDEX(ポート振替表!$L$5:$L$3507,$L296)&amp;"  ⇔  "&amp;INDEX(ポート振替表!$H$5:$H$3507,$L296)&amp;" "&amp;INDEX(ポート振替表!$I$5:$I$3507,$L296))</f>
        <v/>
      </c>
      <c r="G296" s="57" t="s">
        <v>158</v>
      </c>
      <c r="H296" s="32" t="str">
        <f aca="false">IF(L296="","",INDEX(ポート振替表!$N$5:$N$3507,$L296)&amp;"")</f>
        <v/>
      </c>
      <c r="I296" s="32" t="str">
        <f aca="false">IF(L296="","",INDEX(ポート振替表!$P$5:$P$3507,$L296)&amp;"")</f>
        <v/>
      </c>
      <c r="J296" s="60" t="str">
        <f aca="false">IF(L296="","",INDEX(ポート振替表!$M$5:$M$3507,$L296)&amp;"")</f>
        <v/>
      </c>
      <c r="K296" s="52" t="str">
        <f aca="false">IF(L296="","",E296&amp;CHAR(10)&amp;INDEX(ポート振替表!$K$5:$K$3507,$L296)&amp;" "&amp;INDEX(ポート振替表!$L$5:$L$3507,$L296)&amp;CHAR(10)&amp;"⇔ "&amp;INDEX(ポート振替表!$H$5:$H$3507,$L296)&amp;" "&amp;INDEX(ポート振替表!$I$5:$I$3507,$L296))</f>
        <v/>
      </c>
      <c r="L296" s="47" t="str">
        <f aca="false">IFERROR(MATCH(ROW()-4,ポート振替表!$V$5:$V$3507,0),"")</f>
        <v/>
      </c>
    </row>
    <row r="297" customFormat="false" ht="16.4" hidden="false" customHeight="false" outlineLevel="0" collapsed="false">
      <c r="A297" s="32" t="str">
        <f aca="false">IF(L297="","",ROW()-4)</f>
        <v/>
      </c>
      <c r="B297" s="58" t="str">
        <f aca="false">IF(L297="","",IF(INDEX(ポート振替表!$W$5:$W$3507,$L297)="","(なし)",INDEX(ポート振替表!$W$5:$W$3507,$L297)&amp;""))</f>
        <v/>
      </c>
      <c r="C297" s="52" t="str">
        <f aca="false">IF(L297="","",INDEX(ポート振替表!$B$5:$B$3507,$L297)&amp;" "&amp;INDEX(ポート振替表!$C$5:$C$3507,$L297)&amp;"  ⇔  "&amp;INDEX(ポート振替表!$H$5:$H$3507,$L297)&amp;" "&amp;INDEX(ポート振替表!$I$5:$I$3507,$L297))</f>
        <v/>
      </c>
      <c r="D297" s="57" t="s">
        <v>158</v>
      </c>
      <c r="E297" s="59" t="str">
        <f aca="false">IF(L297="","",IF(INDEX(ポート振替表!$O$5:$O$3507,$L297)="","(未設定)",INDEX(ポート振替表!$O$5:$O$3507,$L297)&amp;""))</f>
        <v/>
      </c>
      <c r="F297" s="52" t="str">
        <f aca="false">IF(L297="","",INDEX(ポート振替表!$K$5:$K$3507,$L297)&amp;" "&amp;INDEX(ポート振替表!$L$5:$L$3507,$L297)&amp;"  ⇔  "&amp;INDEX(ポート振替表!$H$5:$H$3507,$L297)&amp;" "&amp;INDEX(ポート振替表!$I$5:$I$3507,$L297))</f>
        <v/>
      </c>
      <c r="G297" s="57" t="s">
        <v>158</v>
      </c>
      <c r="H297" s="32" t="str">
        <f aca="false">IF(L297="","",INDEX(ポート振替表!$N$5:$N$3507,$L297)&amp;"")</f>
        <v/>
      </c>
      <c r="I297" s="32" t="str">
        <f aca="false">IF(L297="","",INDEX(ポート振替表!$P$5:$P$3507,$L297)&amp;"")</f>
        <v/>
      </c>
      <c r="J297" s="60" t="str">
        <f aca="false">IF(L297="","",INDEX(ポート振替表!$M$5:$M$3507,$L297)&amp;"")</f>
        <v/>
      </c>
      <c r="K297" s="52" t="str">
        <f aca="false">IF(L297="","",E297&amp;CHAR(10)&amp;INDEX(ポート振替表!$K$5:$K$3507,$L297)&amp;" "&amp;INDEX(ポート振替表!$L$5:$L$3507,$L297)&amp;CHAR(10)&amp;"⇔ "&amp;INDEX(ポート振替表!$H$5:$H$3507,$L297)&amp;" "&amp;INDEX(ポート振替表!$I$5:$I$3507,$L297))</f>
        <v/>
      </c>
      <c r="L297" s="47" t="str">
        <f aca="false">IFERROR(MATCH(ROW()-4,ポート振替表!$V$5:$V$3507,0),"")</f>
        <v/>
      </c>
    </row>
    <row r="298" customFormat="false" ht="16.4" hidden="false" customHeight="false" outlineLevel="0" collapsed="false">
      <c r="A298" s="32" t="str">
        <f aca="false">IF(L298="","",ROW()-4)</f>
        <v/>
      </c>
      <c r="B298" s="58" t="str">
        <f aca="false">IF(L298="","",IF(INDEX(ポート振替表!$W$5:$W$3507,$L298)="","(なし)",INDEX(ポート振替表!$W$5:$W$3507,$L298)&amp;""))</f>
        <v/>
      </c>
      <c r="C298" s="52" t="str">
        <f aca="false">IF(L298="","",INDEX(ポート振替表!$B$5:$B$3507,$L298)&amp;" "&amp;INDEX(ポート振替表!$C$5:$C$3507,$L298)&amp;"  ⇔  "&amp;INDEX(ポート振替表!$H$5:$H$3507,$L298)&amp;" "&amp;INDEX(ポート振替表!$I$5:$I$3507,$L298))</f>
        <v/>
      </c>
      <c r="D298" s="57" t="s">
        <v>158</v>
      </c>
      <c r="E298" s="59" t="str">
        <f aca="false">IF(L298="","",IF(INDEX(ポート振替表!$O$5:$O$3507,$L298)="","(未設定)",INDEX(ポート振替表!$O$5:$O$3507,$L298)&amp;""))</f>
        <v/>
      </c>
      <c r="F298" s="52" t="str">
        <f aca="false">IF(L298="","",INDEX(ポート振替表!$K$5:$K$3507,$L298)&amp;" "&amp;INDEX(ポート振替表!$L$5:$L$3507,$L298)&amp;"  ⇔  "&amp;INDEX(ポート振替表!$H$5:$H$3507,$L298)&amp;" "&amp;INDEX(ポート振替表!$I$5:$I$3507,$L298))</f>
        <v/>
      </c>
      <c r="G298" s="57" t="s">
        <v>158</v>
      </c>
      <c r="H298" s="32" t="str">
        <f aca="false">IF(L298="","",INDEX(ポート振替表!$N$5:$N$3507,$L298)&amp;"")</f>
        <v/>
      </c>
      <c r="I298" s="32" t="str">
        <f aca="false">IF(L298="","",INDEX(ポート振替表!$P$5:$P$3507,$L298)&amp;"")</f>
        <v/>
      </c>
      <c r="J298" s="60" t="str">
        <f aca="false">IF(L298="","",INDEX(ポート振替表!$M$5:$M$3507,$L298)&amp;"")</f>
        <v/>
      </c>
      <c r="K298" s="52" t="str">
        <f aca="false">IF(L298="","",E298&amp;CHAR(10)&amp;INDEX(ポート振替表!$K$5:$K$3507,$L298)&amp;" "&amp;INDEX(ポート振替表!$L$5:$L$3507,$L298)&amp;CHAR(10)&amp;"⇔ "&amp;INDEX(ポート振替表!$H$5:$H$3507,$L298)&amp;" "&amp;INDEX(ポート振替表!$I$5:$I$3507,$L298))</f>
        <v/>
      </c>
      <c r="L298" s="47" t="str">
        <f aca="false">IFERROR(MATCH(ROW()-4,ポート振替表!$V$5:$V$3507,0),"")</f>
        <v/>
      </c>
    </row>
    <row r="299" customFormat="false" ht="16.4" hidden="false" customHeight="false" outlineLevel="0" collapsed="false">
      <c r="A299" s="32" t="str">
        <f aca="false">IF(L299="","",ROW()-4)</f>
        <v/>
      </c>
      <c r="B299" s="58" t="str">
        <f aca="false">IF(L299="","",IF(INDEX(ポート振替表!$W$5:$W$3507,$L299)="","(なし)",INDEX(ポート振替表!$W$5:$W$3507,$L299)&amp;""))</f>
        <v/>
      </c>
      <c r="C299" s="52" t="str">
        <f aca="false">IF(L299="","",INDEX(ポート振替表!$B$5:$B$3507,$L299)&amp;" "&amp;INDEX(ポート振替表!$C$5:$C$3507,$L299)&amp;"  ⇔  "&amp;INDEX(ポート振替表!$H$5:$H$3507,$L299)&amp;" "&amp;INDEX(ポート振替表!$I$5:$I$3507,$L299))</f>
        <v/>
      </c>
      <c r="D299" s="57" t="s">
        <v>158</v>
      </c>
      <c r="E299" s="59" t="str">
        <f aca="false">IF(L299="","",IF(INDEX(ポート振替表!$O$5:$O$3507,$L299)="","(未設定)",INDEX(ポート振替表!$O$5:$O$3507,$L299)&amp;""))</f>
        <v/>
      </c>
      <c r="F299" s="52" t="str">
        <f aca="false">IF(L299="","",INDEX(ポート振替表!$K$5:$K$3507,$L299)&amp;" "&amp;INDEX(ポート振替表!$L$5:$L$3507,$L299)&amp;"  ⇔  "&amp;INDEX(ポート振替表!$H$5:$H$3507,$L299)&amp;" "&amp;INDEX(ポート振替表!$I$5:$I$3507,$L299))</f>
        <v/>
      </c>
      <c r="G299" s="57" t="s">
        <v>158</v>
      </c>
      <c r="H299" s="32" t="str">
        <f aca="false">IF(L299="","",INDEX(ポート振替表!$N$5:$N$3507,$L299)&amp;"")</f>
        <v/>
      </c>
      <c r="I299" s="32" t="str">
        <f aca="false">IF(L299="","",INDEX(ポート振替表!$P$5:$P$3507,$L299)&amp;"")</f>
        <v/>
      </c>
      <c r="J299" s="60" t="str">
        <f aca="false">IF(L299="","",INDEX(ポート振替表!$M$5:$M$3507,$L299)&amp;"")</f>
        <v/>
      </c>
      <c r="K299" s="52" t="str">
        <f aca="false">IF(L299="","",E299&amp;CHAR(10)&amp;INDEX(ポート振替表!$K$5:$K$3507,$L299)&amp;" "&amp;INDEX(ポート振替表!$L$5:$L$3507,$L299)&amp;CHAR(10)&amp;"⇔ "&amp;INDEX(ポート振替表!$H$5:$H$3507,$L299)&amp;" "&amp;INDEX(ポート振替表!$I$5:$I$3507,$L299))</f>
        <v/>
      </c>
      <c r="L299" s="47" t="str">
        <f aca="false">IFERROR(MATCH(ROW()-4,ポート振替表!$V$5:$V$3507,0),"")</f>
        <v/>
      </c>
    </row>
    <row r="300" customFormat="false" ht="16.4" hidden="false" customHeight="false" outlineLevel="0" collapsed="false">
      <c r="A300" s="32" t="str">
        <f aca="false">IF(L300="","",ROW()-4)</f>
        <v/>
      </c>
      <c r="B300" s="58" t="str">
        <f aca="false">IF(L300="","",IF(INDEX(ポート振替表!$W$5:$W$3507,$L300)="","(なし)",INDEX(ポート振替表!$W$5:$W$3507,$L300)&amp;""))</f>
        <v/>
      </c>
      <c r="C300" s="52" t="str">
        <f aca="false">IF(L300="","",INDEX(ポート振替表!$B$5:$B$3507,$L300)&amp;" "&amp;INDEX(ポート振替表!$C$5:$C$3507,$L300)&amp;"  ⇔  "&amp;INDEX(ポート振替表!$H$5:$H$3507,$L300)&amp;" "&amp;INDEX(ポート振替表!$I$5:$I$3507,$L300))</f>
        <v/>
      </c>
      <c r="D300" s="57" t="s">
        <v>158</v>
      </c>
      <c r="E300" s="59" t="str">
        <f aca="false">IF(L300="","",IF(INDEX(ポート振替表!$O$5:$O$3507,$L300)="","(未設定)",INDEX(ポート振替表!$O$5:$O$3507,$L300)&amp;""))</f>
        <v/>
      </c>
      <c r="F300" s="52" t="str">
        <f aca="false">IF(L300="","",INDEX(ポート振替表!$K$5:$K$3507,$L300)&amp;" "&amp;INDEX(ポート振替表!$L$5:$L$3507,$L300)&amp;"  ⇔  "&amp;INDEX(ポート振替表!$H$5:$H$3507,$L300)&amp;" "&amp;INDEX(ポート振替表!$I$5:$I$3507,$L300))</f>
        <v/>
      </c>
      <c r="G300" s="57" t="s">
        <v>158</v>
      </c>
      <c r="H300" s="32" t="str">
        <f aca="false">IF(L300="","",INDEX(ポート振替表!$N$5:$N$3507,$L300)&amp;"")</f>
        <v/>
      </c>
      <c r="I300" s="32" t="str">
        <f aca="false">IF(L300="","",INDEX(ポート振替表!$P$5:$P$3507,$L300)&amp;"")</f>
        <v/>
      </c>
      <c r="J300" s="60" t="str">
        <f aca="false">IF(L300="","",INDEX(ポート振替表!$M$5:$M$3507,$L300)&amp;"")</f>
        <v/>
      </c>
      <c r="K300" s="52" t="str">
        <f aca="false">IF(L300="","",E300&amp;CHAR(10)&amp;INDEX(ポート振替表!$K$5:$K$3507,$L300)&amp;" "&amp;INDEX(ポート振替表!$L$5:$L$3507,$L300)&amp;CHAR(10)&amp;"⇔ "&amp;INDEX(ポート振替表!$H$5:$H$3507,$L300)&amp;" "&amp;INDEX(ポート振替表!$I$5:$I$3507,$L300))</f>
        <v/>
      </c>
      <c r="L300" s="47" t="str">
        <f aca="false">IFERROR(MATCH(ROW()-4,ポート振替表!$V$5:$V$3507,0),"")</f>
        <v/>
      </c>
    </row>
    <row r="301" customFormat="false" ht="16.4" hidden="false" customHeight="false" outlineLevel="0" collapsed="false">
      <c r="A301" s="32" t="str">
        <f aca="false">IF(L301="","",ROW()-4)</f>
        <v/>
      </c>
      <c r="B301" s="58" t="str">
        <f aca="false">IF(L301="","",IF(INDEX(ポート振替表!$W$5:$W$3507,$L301)="","(なし)",INDEX(ポート振替表!$W$5:$W$3507,$L301)&amp;""))</f>
        <v/>
      </c>
      <c r="C301" s="52" t="str">
        <f aca="false">IF(L301="","",INDEX(ポート振替表!$B$5:$B$3507,$L301)&amp;" "&amp;INDEX(ポート振替表!$C$5:$C$3507,$L301)&amp;"  ⇔  "&amp;INDEX(ポート振替表!$H$5:$H$3507,$L301)&amp;" "&amp;INDEX(ポート振替表!$I$5:$I$3507,$L301))</f>
        <v/>
      </c>
      <c r="D301" s="57" t="s">
        <v>158</v>
      </c>
      <c r="E301" s="59" t="str">
        <f aca="false">IF(L301="","",IF(INDEX(ポート振替表!$O$5:$O$3507,$L301)="","(未設定)",INDEX(ポート振替表!$O$5:$O$3507,$L301)&amp;""))</f>
        <v/>
      </c>
      <c r="F301" s="52" t="str">
        <f aca="false">IF(L301="","",INDEX(ポート振替表!$K$5:$K$3507,$L301)&amp;" "&amp;INDEX(ポート振替表!$L$5:$L$3507,$L301)&amp;"  ⇔  "&amp;INDEX(ポート振替表!$H$5:$H$3507,$L301)&amp;" "&amp;INDEX(ポート振替表!$I$5:$I$3507,$L301))</f>
        <v/>
      </c>
      <c r="G301" s="57" t="s">
        <v>158</v>
      </c>
      <c r="H301" s="32" t="str">
        <f aca="false">IF(L301="","",INDEX(ポート振替表!$N$5:$N$3507,$L301)&amp;"")</f>
        <v/>
      </c>
      <c r="I301" s="32" t="str">
        <f aca="false">IF(L301="","",INDEX(ポート振替表!$P$5:$P$3507,$L301)&amp;"")</f>
        <v/>
      </c>
      <c r="J301" s="60" t="str">
        <f aca="false">IF(L301="","",INDEX(ポート振替表!$M$5:$M$3507,$L301)&amp;"")</f>
        <v/>
      </c>
      <c r="K301" s="52" t="str">
        <f aca="false">IF(L301="","",E301&amp;CHAR(10)&amp;INDEX(ポート振替表!$K$5:$K$3507,$L301)&amp;" "&amp;INDEX(ポート振替表!$L$5:$L$3507,$L301)&amp;CHAR(10)&amp;"⇔ "&amp;INDEX(ポート振替表!$H$5:$H$3507,$L301)&amp;" "&amp;INDEX(ポート振替表!$I$5:$I$3507,$L301))</f>
        <v/>
      </c>
      <c r="L301" s="47" t="str">
        <f aca="false">IFERROR(MATCH(ROW()-4,ポート振替表!$V$5:$V$3507,0),"")</f>
        <v/>
      </c>
    </row>
    <row r="302" customFormat="false" ht="16.4" hidden="false" customHeight="false" outlineLevel="0" collapsed="false">
      <c r="A302" s="32" t="str">
        <f aca="false">IF(L302="","",ROW()-4)</f>
        <v/>
      </c>
      <c r="B302" s="58" t="str">
        <f aca="false">IF(L302="","",IF(INDEX(ポート振替表!$W$5:$W$3507,$L302)="","(なし)",INDEX(ポート振替表!$W$5:$W$3507,$L302)&amp;""))</f>
        <v/>
      </c>
      <c r="C302" s="52" t="str">
        <f aca="false">IF(L302="","",INDEX(ポート振替表!$B$5:$B$3507,$L302)&amp;" "&amp;INDEX(ポート振替表!$C$5:$C$3507,$L302)&amp;"  ⇔  "&amp;INDEX(ポート振替表!$H$5:$H$3507,$L302)&amp;" "&amp;INDEX(ポート振替表!$I$5:$I$3507,$L302))</f>
        <v/>
      </c>
      <c r="D302" s="57" t="s">
        <v>158</v>
      </c>
      <c r="E302" s="59" t="str">
        <f aca="false">IF(L302="","",IF(INDEX(ポート振替表!$O$5:$O$3507,$L302)="","(未設定)",INDEX(ポート振替表!$O$5:$O$3507,$L302)&amp;""))</f>
        <v/>
      </c>
      <c r="F302" s="52" t="str">
        <f aca="false">IF(L302="","",INDEX(ポート振替表!$K$5:$K$3507,$L302)&amp;" "&amp;INDEX(ポート振替表!$L$5:$L$3507,$L302)&amp;"  ⇔  "&amp;INDEX(ポート振替表!$H$5:$H$3507,$L302)&amp;" "&amp;INDEX(ポート振替表!$I$5:$I$3507,$L302))</f>
        <v/>
      </c>
      <c r="G302" s="57" t="s">
        <v>158</v>
      </c>
      <c r="H302" s="32" t="str">
        <f aca="false">IF(L302="","",INDEX(ポート振替表!$N$5:$N$3507,$L302)&amp;"")</f>
        <v/>
      </c>
      <c r="I302" s="32" t="str">
        <f aca="false">IF(L302="","",INDEX(ポート振替表!$P$5:$P$3507,$L302)&amp;"")</f>
        <v/>
      </c>
      <c r="J302" s="60" t="str">
        <f aca="false">IF(L302="","",INDEX(ポート振替表!$M$5:$M$3507,$L302)&amp;"")</f>
        <v/>
      </c>
      <c r="K302" s="52" t="str">
        <f aca="false">IF(L302="","",E302&amp;CHAR(10)&amp;INDEX(ポート振替表!$K$5:$K$3507,$L302)&amp;" "&amp;INDEX(ポート振替表!$L$5:$L$3507,$L302)&amp;CHAR(10)&amp;"⇔ "&amp;INDEX(ポート振替表!$H$5:$H$3507,$L302)&amp;" "&amp;INDEX(ポート振替表!$I$5:$I$3507,$L302))</f>
        <v/>
      </c>
      <c r="L302" s="47" t="str">
        <f aca="false">IFERROR(MATCH(ROW()-4,ポート振替表!$V$5:$V$3507,0),"")</f>
        <v/>
      </c>
    </row>
    <row r="303" customFormat="false" ht="16.4" hidden="false" customHeight="false" outlineLevel="0" collapsed="false">
      <c r="A303" s="32" t="str">
        <f aca="false">IF(L303="","",ROW()-4)</f>
        <v/>
      </c>
      <c r="B303" s="58" t="str">
        <f aca="false">IF(L303="","",IF(INDEX(ポート振替表!$W$5:$W$3507,$L303)="","(なし)",INDEX(ポート振替表!$W$5:$W$3507,$L303)&amp;""))</f>
        <v/>
      </c>
      <c r="C303" s="52" t="str">
        <f aca="false">IF(L303="","",INDEX(ポート振替表!$B$5:$B$3507,$L303)&amp;" "&amp;INDEX(ポート振替表!$C$5:$C$3507,$L303)&amp;"  ⇔  "&amp;INDEX(ポート振替表!$H$5:$H$3507,$L303)&amp;" "&amp;INDEX(ポート振替表!$I$5:$I$3507,$L303))</f>
        <v/>
      </c>
      <c r="D303" s="57" t="s">
        <v>158</v>
      </c>
      <c r="E303" s="59" t="str">
        <f aca="false">IF(L303="","",IF(INDEX(ポート振替表!$O$5:$O$3507,$L303)="","(未設定)",INDEX(ポート振替表!$O$5:$O$3507,$L303)&amp;""))</f>
        <v/>
      </c>
      <c r="F303" s="52" t="str">
        <f aca="false">IF(L303="","",INDEX(ポート振替表!$K$5:$K$3507,$L303)&amp;" "&amp;INDEX(ポート振替表!$L$5:$L$3507,$L303)&amp;"  ⇔  "&amp;INDEX(ポート振替表!$H$5:$H$3507,$L303)&amp;" "&amp;INDEX(ポート振替表!$I$5:$I$3507,$L303))</f>
        <v/>
      </c>
      <c r="G303" s="57" t="s">
        <v>158</v>
      </c>
      <c r="H303" s="32" t="str">
        <f aca="false">IF(L303="","",INDEX(ポート振替表!$N$5:$N$3507,$L303)&amp;"")</f>
        <v/>
      </c>
      <c r="I303" s="32" t="str">
        <f aca="false">IF(L303="","",INDEX(ポート振替表!$P$5:$P$3507,$L303)&amp;"")</f>
        <v/>
      </c>
      <c r="J303" s="60" t="str">
        <f aca="false">IF(L303="","",INDEX(ポート振替表!$M$5:$M$3507,$L303)&amp;"")</f>
        <v/>
      </c>
      <c r="K303" s="52" t="str">
        <f aca="false">IF(L303="","",E303&amp;CHAR(10)&amp;INDEX(ポート振替表!$K$5:$K$3507,$L303)&amp;" "&amp;INDEX(ポート振替表!$L$5:$L$3507,$L303)&amp;CHAR(10)&amp;"⇔ "&amp;INDEX(ポート振替表!$H$5:$H$3507,$L303)&amp;" "&amp;INDEX(ポート振替表!$I$5:$I$3507,$L303))</f>
        <v/>
      </c>
      <c r="L303" s="47" t="str">
        <f aca="false">IFERROR(MATCH(ROW()-4,ポート振替表!$V$5:$V$3507,0),"")</f>
        <v/>
      </c>
    </row>
    <row r="304" customFormat="false" ht="16.4" hidden="false" customHeight="false" outlineLevel="0" collapsed="false">
      <c r="A304" s="32" t="str">
        <f aca="false">IF(L304="","",ROW()-4)</f>
        <v/>
      </c>
      <c r="B304" s="58" t="str">
        <f aca="false">IF(L304="","",IF(INDEX(ポート振替表!$W$5:$W$3507,$L304)="","(なし)",INDEX(ポート振替表!$W$5:$W$3507,$L304)&amp;""))</f>
        <v/>
      </c>
      <c r="C304" s="52" t="str">
        <f aca="false">IF(L304="","",INDEX(ポート振替表!$B$5:$B$3507,$L304)&amp;" "&amp;INDEX(ポート振替表!$C$5:$C$3507,$L304)&amp;"  ⇔  "&amp;INDEX(ポート振替表!$H$5:$H$3507,$L304)&amp;" "&amp;INDEX(ポート振替表!$I$5:$I$3507,$L304))</f>
        <v/>
      </c>
      <c r="D304" s="57" t="s">
        <v>158</v>
      </c>
      <c r="E304" s="59" t="str">
        <f aca="false">IF(L304="","",IF(INDEX(ポート振替表!$O$5:$O$3507,$L304)="","(未設定)",INDEX(ポート振替表!$O$5:$O$3507,$L304)&amp;""))</f>
        <v/>
      </c>
      <c r="F304" s="52" t="str">
        <f aca="false">IF(L304="","",INDEX(ポート振替表!$K$5:$K$3507,$L304)&amp;" "&amp;INDEX(ポート振替表!$L$5:$L$3507,$L304)&amp;"  ⇔  "&amp;INDEX(ポート振替表!$H$5:$H$3507,$L304)&amp;" "&amp;INDEX(ポート振替表!$I$5:$I$3507,$L304))</f>
        <v/>
      </c>
      <c r="G304" s="57" t="s">
        <v>158</v>
      </c>
      <c r="H304" s="32" t="str">
        <f aca="false">IF(L304="","",INDEX(ポート振替表!$N$5:$N$3507,$L304)&amp;"")</f>
        <v/>
      </c>
      <c r="I304" s="32" t="str">
        <f aca="false">IF(L304="","",INDEX(ポート振替表!$P$5:$P$3507,$L304)&amp;"")</f>
        <v/>
      </c>
      <c r="J304" s="60" t="str">
        <f aca="false">IF(L304="","",INDEX(ポート振替表!$M$5:$M$3507,$L304)&amp;"")</f>
        <v/>
      </c>
      <c r="K304" s="52" t="str">
        <f aca="false">IF(L304="","",E304&amp;CHAR(10)&amp;INDEX(ポート振替表!$K$5:$K$3507,$L304)&amp;" "&amp;INDEX(ポート振替表!$L$5:$L$3507,$L304)&amp;CHAR(10)&amp;"⇔ "&amp;INDEX(ポート振替表!$H$5:$H$3507,$L304)&amp;" "&amp;INDEX(ポート振替表!$I$5:$I$3507,$L304))</f>
        <v/>
      </c>
      <c r="L304" s="47" t="str">
        <f aca="false">IFERROR(MATCH(ROW()-4,ポート振替表!$V$5:$V$3507,0),"")</f>
        <v/>
      </c>
    </row>
    <row r="305" customFormat="false" ht="16.4" hidden="false" customHeight="false" outlineLevel="0" collapsed="false">
      <c r="A305" s="32" t="str">
        <f aca="false">IF(L305="","",ROW()-4)</f>
        <v/>
      </c>
      <c r="B305" s="58" t="str">
        <f aca="false">IF(L305="","",IF(INDEX(ポート振替表!$W$5:$W$3507,$L305)="","(なし)",INDEX(ポート振替表!$W$5:$W$3507,$L305)&amp;""))</f>
        <v/>
      </c>
      <c r="C305" s="52" t="str">
        <f aca="false">IF(L305="","",INDEX(ポート振替表!$B$5:$B$3507,$L305)&amp;" "&amp;INDEX(ポート振替表!$C$5:$C$3507,$L305)&amp;"  ⇔  "&amp;INDEX(ポート振替表!$H$5:$H$3507,$L305)&amp;" "&amp;INDEX(ポート振替表!$I$5:$I$3507,$L305))</f>
        <v/>
      </c>
      <c r="D305" s="57" t="s">
        <v>158</v>
      </c>
      <c r="E305" s="59" t="str">
        <f aca="false">IF(L305="","",IF(INDEX(ポート振替表!$O$5:$O$3507,$L305)="","(未設定)",INDEX(ポート振替表!$O$5:$O$3507,$L305)&amp;""))</f>
        <v/>
      </c>
      <c r="F305" s="52" t="str">
        <f aca="false">IF(L305="","",INDEX(ポート振替表!$K$5:$K$3507,$L305)&amp;" "&amp;INDEX(ポート振替表!$L$5:$L$3507,$L305)&amp;"  ⇔  "&amp;INDEX(ポート振替表!$H$5:$H$3507,$L305)&amp;" "&amp;INDEX(ポート振替表!$I$5:$I$3507,$L305))</f>
        <v/>
      </c>
      <c r="G305" s="57" t="s">
        <v>158</v>
      </c>
      <c r="H305" s="32" t="str">
        <f aca="false">IF(L305="","",INDEX(ポート振替表!$N$5:$N$3507,$L305)&amp;"")</f>
        <v/>
      </c>
      <c r="I305" s="32" t="str">
        <f aca="false">IF(L305="","",INDEX(ポート振替表!$P$5:$P$3507,$L305)&amp;"")</f>
        <v/>
      </c>
      <c r="J305" s="60" t="str">
        <f aca="false">IF(L305="","",INDEX(ポート振替表!$M$5:$M$3507,$L305)&amp;"")</f>
        <v/>
      </c>
      <c r="K305" s="52" t="str">
        <f aca="false">IF(L305="","",E305&amp;CHAR(10)&amp;INDEX(ポート振替表!$K$5:$K$3507,$L305)&amp;" "&amp;INDEX(ポート振替表!$L$5:$L$3507,$L305)&amp;CHAR(10)&amp;"⇔ "&amp;INDEX(ポート振替表!$H$5:$H$3507,$L305)&amp;" "&amp;INDEX(ポート振替表!$I$5:$I$3507,$L305))</f>
        <v/>
      </c>
      <c r="L305" s="47" t="str">
        <f aca="false">IFERROR(MATCH(ROW()-4,ポート振替表!$V$5:$V$3507,0),"")</f>
        <v/>
      </c>
    </row>
    <row r="306" customFormat="false" ht="16.4" hidden="false" customHeight="false" outlineLevel="0" collapsed="false">
      <c r="A306" s="32" t="str">
        <f aca="false">IF(L306="","",ROW()-4)</f>
        <v/>
      </c>
      <c r="B306" s="58" t="str">
        <f aca="false">IF(L306="","",IF(INDEX(ポート振替表!$W$5:$W$3507,$L306)="","(なし)",INDEX(ポート振替表!$W$5:$W$3507,$L306)&amp;""))</f>
        <v/>
      </c>
      <c r="C306" s="52" t="str">
        <f aca="false">IF(L306="","",INDEX(ポート振替表!$B$5:$B$3507,$L306)&amp;" "&amp;INDEX(ポート振替表!$C$5:$C$3507,$L306)&amp;"  ⇔  "&amp;INDEX(ポート振替表!$H$5:$H$3507,$L306)&amp;" "&amp;INDEX(ポート振替表!$I$5:$I$3507,$L306))</f>
        <v/>
      </c>
      <c r="D306" s="57" t="s">
        <v>158</v>
      </c>
      <c r="E306" s="59" t="str">
        <f aca="false">IF(L306="","",IF(INDEX(ポート振替表!$O$5:$O$3507,$L306)="","(未設定)",INDEX(ポート振替表!$O$5:$O$3507,$L306)&amp;""))</f>
        <v/>
      </c>
      <c r="F306" s="52" t="str">
        <f aca="false">IF(L306="","",INDEX(ポート振替表!$K$5:$K$3507,$L306)&amp;" "&amp;INDEX(ポート振替表!$L$5:$L$3507,$L306)&amp;"  ⇔  "&amp;INDEX(ポート振替表!$H$5:$H$3507,$L306)&amp;" "&amp;INDEX(ポート振替表!$I$5:$I$3507,$L306))</f>
        <v/>
      </c>
      <c r="G306" s="57" t="s">
        <v>158</v>
      </c>
      <c r="H306" s="32" t="str">
        <f aca="false">IF(L306="","",INDEX(ポート振替表!$N$5:$N$3507,$L306)&amp;"")</f>
        <v/>
      </c>
      <c r="I306" s="32" t="str">
        <f aca="false">IF(L306="","",INDEX(ポート振替表!$P$5:$P$3507,$L306)&amp;"")</f>
        <v/>
      </c>
      <c r="J306" s="60" t="str">
        <f aca="false">IF(L306="","",INDEX(ポート振替表!$M$5:$M$3507,$L306)&amp;"")</f>
        <v/>
      </c>
      <c r="K306" s="52" t="str">
        <f aca="false">IF(L306="","",E306&amp;CHAR(10)&amp;INDEX(ポート振替表!$K$5:$K$3507,$L306)&amp;" "&amp;INDEX(ポート振替表!$L$5:$L$3507,$L306)&amp;CHAR(10)&amp;"⇔ "&amp;INDEX(ポート振替表!$H$5:$H$3507,$L306)&amp;" "&amp;INDEX(ポート振替表!$I$5:$I$3507,$L306))</f>
        <v/>
      </c>
      <c r="L306" s="47" t="str">
        <f aca="false">IFERROR(MATCH(ROW()-4,ポート振替表!$V$5:$V$3507,0),"")</f>
        <v/>
      </c>
    </row>
    <row r="307" customFormat="false" ht="16.4" hidden="false" customHeight="false" outlineLevel="0" collapsed="false">
      <c r="A307" s="32" t="str">
        <f aca="false">IF(L307="","",ROW()-4)</f>
        <v/>
      </c>
      <c r="B307" s="58" t="str">
        <f aca="false">IF(L307="","",IF(INDEX(ポート振替表!$W$5:$W$3507,$L307)="","(なし)",INDEX(ポート振替表!$W$5:$W$3507,$L307)&amp;""))</f>
        <v/>
      </c>
      <c r="C307" s="52" t="str">
        <f aca="false">IF(L307="","",INDEX(ポート振替表!$B$5:$B$3507,$L307)&amp;" "&amp;INDEX(ポート振替表!$C$5:$C$3507,$L307)&amp;"  ⇔  "&amp;INDEX(ポート振替表!$H$5:$H$3507,$L307)&amp;" "&amp;INDEX(ポート振替表!$I$5:$I$3507,$L307))</f>
        <v/>
      </c>
      <c r="D307" s="57" t="s">
        <v>158</v>
      </c>
      <c r="E307" s="59" t="str">
        <f aca="false">IF(L307="","",IF(INDEX(ポート振替表!$O$5:$O$3507,$L307)="","(未設定)",INDEX(ポート振替表!$O$5:$O$3507,$L307)&amp;""))</f>
        <v/>
      </c>
      <c r="F307" s="52" t="str">
        <f aca="false">IF(L307="","",INDEX(ポート振替表!$K$5:$K$3507,$L307)&amp;" "&amp;INDEX(ポート振替表!$L$5:$L$3507,$L307)&amp;"  ⇔  "&amp;INDEX(ポート振替表!$H$5:$H$3507,$L307)&amp;" "&amp;INDEX(ポート振替表!$I$5:$I$3507,$L307))</f>
        <v/>
      </c>
      <c r="G307" s="57" t="s">
        <v>158</v>
      </c>
      <c r="H307" s="32" t="str">
        <f aca="false">IF(L307="","",INDEX(ポート振替表!$N$5:$N$3507,$L307)&amp;"")</f>
        <v/>
      </c>
      <c r="I307" s="32" t="str">
        <f aca="false">IF(L307="","",INDEX(ポート振替表!$P$5:$P$3507,$L307)&amp;"")</f>
        <v/>
      </c>
      <c r="J307" s="60" t="str">
        <f aca="false">IF(L307="","",INDEX(ポート振替表!$M$5:$M$3507,$L307)&amp;"")</f>
        <v/>
      </c>
      <c r="K307" s="52" t="str">
        <f aca="false">IF(L307="","",E307&amp;CHAR(10)&amp;INDEX(ポート振替表!$K$5:$K$3507,$L307)&amp;" "&amp;INDEX(ポート振替表!$L$5:$L$3507,$L307)&amp;CHAR(10)&amp;"⇔ "&amp;INDEX(ポート振替表!$H$5:$H$3507,$L307)&amp;" "&amp;INDEX(ポート振替表!$I$5:$I$3507,$L307))</f>
        <v/>
      </c>
      <c r="L307" s="47" t="str">
        <f aca="false">IFERROR(MATCH(ROW()-4,ポート振替表!$V$5:$V$3507,0),"")</f>
        <v/>
      </c>
    </row>
    <row r="308" customFormat="false" ht="16.4" hidden="false" customHeight="false" outlineLevel="0" collapsed="false">
      <c r="A308" s="32" t="str">
        <f aca="false">IF(L308="","",ROW()-4)</f>
        <v/>
      </c>
      <c r="B308" s="58" t="str">
        <f aca="false">IF(L308="","",IF(INDEX(ポート振替表!$W$5:$W$3507,$L308)="","(なし)",INDEX(ポート振替表!$W$5:$W$3507,$L308)&amp;""))</f>
        <v/>
      </c>
      <c r="C308" s="52" t="str">
        <f aca="false">IF(L308="","",INDEX(ポート振替表!$B$5:$B$3507,$L308)&amp;" "&amp;INDEX(ポート振替表!$C$5:$C$3507,$L308)&amp;"  ⇔  "&amp;INDEX(ポート振替表!$H$5:$H$3507,$L308)&amp;" "&amp;INDEX(ポート振替表!$I$5:$I$3507,$L308))</f>
        <v/>
      </c>
      <c r="D308" s="57" t="s">
        <v>158</v>
      </c>
      <c r="E308" s="59" t="str">
        <f aca="false">IF(L308="","",IF(INDEX(ポート振替表!$O$5:$O$3507,$L308)="","(未設定)",INDEX(ポート振替表!$O$5:$O$3507,$L308)&amp;""))</f>
        <v/>
      </c>
      <c r="F308" s="52" t="str">
        <f aca="false">IF(L308="","",INDEX(ポート振替表!$K$5:$K$3507,$L308)&amp;" "&amp;INDEX(ポート振替表!$L$5:$L$3507,$L308)&amp;"  ⇔  "&amp;INDEX(ポート振替表!$H$5:$H$3507,$L308)&amp;" "&amp;INDEX(ポート振替表!$I$5:$I$3507,$L308))</f>
        <v/>
      </c>
      <c r="G308" s="57" t="s">
        <v>158</v>
      </c>
      <c r="H308" s="32" t="str">
        <f aca="false">IF(L308="","",INDEX(ポート振替表!$N$5:$N$3507,$L308)&amp;"")</f>
        <v/>
      </c>
      <c r="I308" s="32" t="str">
        <f aca="false">IF(L308="","",INDEX(ポート振替表!$P$5:$P$3507,$L308)&amp;"")</f>
        <v/>
      </c>
      <c r="J308" s="60" t="str">
        <f aca="false">IF(L308="","",INDEX(ポート振替表!$M$5:$M$3507,$L308)&amp;"")</f>
        <v/>
      </c>
      <c r="K308" s="52" t="str">
        <f aca="false">IF(L308="","",E308&amp;CHAR(10)&amp;INDEX(ポート振替表!$K$5:$K$3507,$L308)&amp;" "&amp;INDEX(ポート振替表!$L$5:$L$3507,$L308)&amp;CHAR(10)&amp;"⇔ "&amp;INDEX(ポート振替表!$H$5:$H$3507,$L308)&amp;" "&amp;INDEX(ポート振替表!$I$5:$I$3507,$L308))</f>
        <v/>
      </c>
      <c r="L308" s="47" t="str">
        <f aca="false">IFERROR(MATCH(ROW()-4,ポート振替表!$V$5:$V$3507,0),"")</f>
        <v/>
      </c>
    </row>
    <row r="309" customFormat="false" ht="16.4" hidden="false" customHeight="false" outlineLevel="0" collapsed="false">
      <c r="A309" s="32" t="str">
        <f aca="false">IF(L309="","",ROW()-4)</f>
        <v/>
      </c>
      <c r="B309" s="58" t="str">
        <f aca="false">IF(L309="","",IF(INDEX(ポート振替表!$W$5:$W$3507,$L309)="","(なし)",INDEX(ポート振替表!$W$5:$W$3507,$L309)&amp;""))</f>
        <v/>
      </c>
      <c r="C309" s="52" t="str">
        <f aca="false">IF(L309="","",INDEX(ポート振替表!$B$5:$B$3507,$L309)&amp;" "&amp;INDEX(ポート振替表!$C$5:$C$3507,$L309)&amp;"  ⇔  "&amp;INDEX(ポート振替表!$H$5:$H$3507,$L309)&amp;" "&amp;INDEX(ポート振替表!$I$5:$I$3507,$L309))</f>
        <v/>
      </c>
      <c r="D309" s="57" t="s">
        <v>158</v>
      </c>
      <c r="E309" s="59" t="str">
        <f aca="false">IF(L309="","",IF(INDEX(ポート振替表!$O$5:$O$3507,$L309)="","(未設定)",INDEX(ポート振替表!$O$5:$O$3507,$L309)&amp;""))</f>
        <v/>
      </c>
      <c r="F309" s="52" t="str">
        <f aca="false">IF(L309="","",INDEX(ポート振替表!$K$5:$K$3507,$L309)&amp;" "&amp;INDEX(ポート振替表!$L$5:$L$3507,$L309)&amp;"  ⇔  "&amp;INDEX(ポート振替表!$H$5:$H$3507,$L309)&amp;" "&amp;INDEX(ポート振替表!$I$5:$I$3507,$L309))</f>
        <v/>
      </c>
      <c r="G309" s="57" t="s">
        <v>158</v>
      </c>
      <c r="H309" s="32" t="str">
        <f aca="false">IF(L309="","",INDEX(ポート振替表!$N$5:$N$3507,$L309)&amp;"")</f>
        <v/>
      </c>
      <c r="I309" s="32" t="str">
        <f aca="false">IF(L309="","",INDEX(ポート振替表!$P$5:$P$3507,$L309)&amp;"")</f>
        <v/>
      </c>
      <c r="J309" s="60" t="str">
        <f aca="false">IF(L309="","",INDEX(ポート振替表!$M$5:$M$3507,$L309)&amp;"")</f>
        <v/>
      </c>
      <c r="K309" s="52" t="str">
        <f aca="false">IF(L309="","",E309&amp;CHAR(10)&amp;INDEX(ポート振替表!$K$5:$K$3507,$L309)&amp;" "&amp;INDEX(ポート振替表!$L$5:$L$3507,$L309)&amp;CHAR(10)&amp;"⇔ "&amp;INDEX(ポート振替表!$H$5:$H$3507,$L309)&amp;" "&amp;INDEX(ポート振替表!$I$5:$I$3507,$L309))</f>
        <v/>
      </c>
      <c r="L309" s="47" t="str">
        <f aca="false">IFERROR(MATCH(ROW()-4,ポート振替表!$V$5:$V$3507,0),"")</f>
        <v/>
      </c>
    </row>
    <row r="310" customFormat="false" ht="16.4" hidden="false" customHeight="false" outlineLevel="0" collapsed="false">
      <c r="A310" s="32" t="str">
        <f aca="false">IF(L310="","",ROW()-4)</f>
        <v/>
      </c>
      <c r="B310" s="58" t="str">
        <f aca="false">IF(L310="","",IF(INDEX(ポート振替表!$W$5:$W$3507,$L310)="","(なし)",INDEX(ポート振替表!$W$5:$W$3507,$L310)&amp;""))</f>
        <v/>
      </c>
      <c r="C310" s="52" t="str">
        <f aca="false">IF(L310="","",INDEX(ポート振替表!$B$5:$B$3507,$L310)&amp;" "&amp;INDEX(ポート振替表!$C$5:$C$3507,$L310)&amp;"  ⇔  "&amp;INDEX(ポート振替表!$H$5:$H$3507,$L310)&amp;" "&amp;INDEX(ポート振替表!$I$5:$I$3507,$L310))</f>
        <v/>
      </c>
      <c r="D310" s="57" t="s">
        <v>158</v>
      </c>
      <c r="E310" s="59" t="str">
        <f aca="false">IF(L310="","",IF(INDEX(ポート振替表!$O$5:$O$3507,$L310)="","(未設定)",INDEX(ポート振替表!$O$5:$O$3507,$L310)&amp;""))</f>
        <v/>
      </c>
      <c r="F310" s="52" t="str">
        <f aca="false">IF(L310="","",INDEX(ポート振替表!$K$5:$K$3507,$L310)&amp;" "&amp;INDEX(ポート振替表!$L$5:$L$3507,$L310)&amp;"  ⇔  "&amp;INDEX(ポート振替表!$H$5:$H$3507,$L310)&amp;" "&amp;INDEX(ポート振替表!$I$5:$I$3507,$L310))</f>
        <v/>
      </c>
      <c r="G310" s="57" t="s">
        <v>158</v>
      </c>
      <c r="H310" s="32" t="str">
        <f aca="false">IF(L310="","",INDEX(ポート振替表!$N$5:$N$3507,$L310)&amp;"")</f>
        <v/>
      </c>
      <c r="I310" s="32" t="str">
        <f aca="false">IF(L310="","",INDEX(ポート振替表!$P$5:$P$3507,$L310)&amp;"")</f>
        <v/>
      </c>
      <c r="J310" s="60" t="str">
        <f aca="false">IF(L310="","",INDEX(ポート振替表!$M$5:$M$3507,$L310)&amp;"")</f>
        <v/>
      </c>
      <c r="K310" s="52" t="str">
        <f aca="false">IF(L310="","",E310&amp;CHAR(10)&amp;INDEX(ポート振替表!$K$5:$K$3507,$L310)&amp;" "&amp;INDEX(ポート振替表!$L$5:$L$3507,$L310)&amp;CHAR(10)&amp;"⇔ "&amp;INDEX(ポート振替表!$H$5:$H$3507,$L310)&amp;" "&amp;INDEX(ポート振替表!$I$5:$I$3507,$L310))</f>
        <v/>
      </c>
      <c r="L310" s="47" t="str">
        <f aca="false">IFERROR(MATCH(ROW()-4,ポート振替表!$V$5:$V$3507,0),"")</f>
        <v/>
      </c>
    </row>
    <row r="311" customFormat="false" ht="16.4" hidden="false" customHeight="false" outlineLevel="0" collapsed="false">
      <c r="A311" s="32" t="str">
        <f aca="false">IF(L311="","",ROW()-4)</f>
        <v/>
      </c>
      <c r="B311" s="58" t="str">
        <f aca="false">IF(L311="","",IF(INDEX(ポート振替表!$W$5:$W$3507,$L311)="","(なし)",INDEX(ポート振替表!$W$5:$W$3507,$L311)&amp;""))</f>
        <v/>
      </c>
      <c r="C311" s="52" t="str">
        <f aca="false">IF(L311="","",INDEX(ポート振替表!$B$5:$B$3507,$L311)&amp;" "&amp;INDEX(ポート振替表!$C$5:$C$3507,$L311)&amp;"  ⇔  "&amp;INDEX(ポート振替表!$H$5:$H$3507,$L311)&amp;" "&amp;INDEX(ポート振替表!$I$5:$I$3507,$L311))</f>
        <v/>
      </c>
      <c r="D311" s="57" t="s">
        <v>158</v>
      </c>
      <c r="E311" s="59" t="str">
        <f aca="false">IF(L311="","",IF(INDEX(ポート振替表!$O$5:$O$3507,$L311)="","(未設定)",INDEX(ポート振替表!$O$5:$O$3507,$L311)&amp;""))</f>
        <v/>
      </c>
      <c r="F311" s="52" t="str">
        <f aca="false">IF(L311="","",INDEX(ポート振替表!$K$5:$K$3507,$L311)&amp;" "&amp;INDEX(ポート振替表!$L$5:$L$3507,$L311)&amp;"  ⇔  "&amp;INDEX(ポート振替表!$H$5:$H$3507,$L311)&amp;" "&amp;INDEX(ポート振替表!$I$5:$I$3507,$L311))</f>
        <v/>
      </c>
      <c r="G311" s="57" t="s">
        <v>158</v>
      </c>
      <c r="H311" s="32" t="str">
        <f aca="false">IF(L311="","",INDEX(ポート振替表!$N$5:$N$3507,$L311)&amp;"")</f>
        <v/>
      </c>
      <c r="I311" s="32" t="str">
        <f aca="false">IF(L311="","",INDEX(ポート振替表!$P$5:$P$3507,$L311)&amp;"")</f>
        <v/>
      </c>
      <c r="J311" s="60" t="str">
        <f aca="false">IF(L311="","",INDEX(ポート振替表!$M$5:$M$3507,$L311)&amp;"")</f>
        <v/>
      </c>
      <c r="K311" s="52" t="str">
        <f aca="false">IF(L311="","",E311&amp;CHAR(10)&amp;INDEX(ポート振替表!$K$5:$K$3507,$L311)&amp;" "&amp;INDEX(ポート振替表!$L$5:$L$3507,$L311)&amp;CHAR(10)&amp;"⇔ "&amp;INDEX(ポート振替表!$H$5:$H$3507,$L311)&amp;" "&amp;INDEX(ポート振替表!$I$5:$I$3507,$L311))</f>
        <v/>
      </c>
      <c r="L311" s="47" t="str">
        <f aca="false">IFERROR(MATCH(ROW()-4,ポート振替表!$V$5:$V$3507,0),"")</f>
        <v/>
      </c>
    </row>
    <row r="312" customFormat="false" ht="16.4" hidden="false" customHeight="false" outlineLevel="0" collapsed="false">
      <c r="A312" s="32" t="str">
        <f aca="false">IF(L312="","",ROW()-4)</f>
        <v/>
      </c>
      <c r="B312" s="58" t="str">
        <f aca="false">IF(L312="","",IF(INDEX(ポート振替表!$W$5:$W$3507,$L312)="","(なし)",INDEX(ポート振替表!$W$5:$W$3507,$L312)&amp;""))</f>
        <v/>
      </c>
      <c r="C312" s="52" t="str">
        <f aca="false">IF(L312="","",INDEX(ポート振替表!$B$5:$B$3507,$L312)&amp;" "&amp;INDEX(ポート振替表!$C$5:$C$3507,$L312)&amp;"  ⇔  "&amp;INDEX(ポート振替表!$H$5:$H$3507,$L312)&amp;" "&amp;INDEX(ポート振替表!$I$5:$I$3507,$L312))</f>
        <v/>
      </c>
      <c r="D312" s="57" t="s">
        <v>158</v>
      </c>
      <c r="E312" s="59" t="str">
        <f aca="false">IF(L312="","",IF(INDEX(ポート振替表!$O$5:$O$3507,$L312)="","(未設定)",INDEX(ポート振替表!$O$5:$O$3507,$L312)&amp;""))</f>
        <v/>
      </c>
      <c r="F312" s="52" t="str">
        <f aca="false">IF(L312="","",INDEX(ポート振替表!$K$5:$K$3507,$L312)&amp;" "&amp;INDEX(ポート振替表!$L$5:$L$3507,$L312)&amp;"  ⇔  "&amp;INDEX(ポート振替表!$H$5:$H$3507,$L312)&amp;" "&amp;INDEX(ポート振替表!$I$5:$I$3507,$L312))</f>
        <v/>
      </c>
      <c r="G312" s="57" t="s">
        <v>158</v>
      </c>
      <c r="H312" s="32" t="str">
        <f aca="false">IF(L312="","",INDEX(ポート振替表!$N$5:$N$3507,$L312)&amp;"")</f>
        <v/>
      </c>
      <c r="I312" s="32" t="str">
        <f aca="false">IF(L312="","",INDEX(ポート振替表!$P$5:$P$3507,$L312)&amp;"")</f>
        <v/>
      </c>
      <c r="J312" s="60" t="str">
        <f aca="false">IF(L312="","",INDEX(ポート振替表!$M$5:$M$3507,$L312)&amp;"")</f>
        <v/>
      </c>
      <c r="K312" s="52" t="str">
        <f aca="false">IF(L312="","",E312&amp;CHAR(10)&amp;INDEX(ポート振替表!$K$5:$K$3507,$L312)&amp;" "&amp;INDEX(ポート振替表!$L$5:$L$3507,$L312)&amp;CHAR(10)&amp;"⇔ "&amp;INDEX(ポート振替表!$H$5:$H$3507,$L312)&amp;" "&amp;INDEX(ポート振替表!$I$5:$I$3507,$L312))</f>
        <v/>
      </c>
      <c r="L312" s="47" t="str">
        <f aca="false">IFERROR(MATCH(ROW()-4,ポート振替表!$V$5:$V$3507,0),"")</f>
        <v/>
      </c>
    </row>
    <row r="313" customFormat="false" ht="16.4" hidden="false" customHeight="false" outlineLevel="0" collapsed="false">
      <c r="A313" s="32" t="str">
        <f aca="false">IF(L313="","",ROW()-4)</f>
        <v/>
      </c>
      <c r="B313" s="58" t="str">
        <f aca="false">IF(L313="","",IF(INDEX(ポート振替表!$W$5:$W$3507,$L313)="","(なし)",INDEX(ポート振替表!$W$5:$W$3507,$L313)&amp;""))</f>
        <v/>
      </c>
      <c r="C313" s="52" t="str">
        <f aca="false">IF(L313="","",INDEX(ポート振替表!$B$5:$B$3507,$L313)&amp;" "&amp;INDEX(ポート振替表!$C$5:$C$3507,$L313)&amp;"  ⇔  "&amp;INDEX(ポート振替表!$H$5:$H$3507,$L313)&amp;" "&amp;INDEX(ポート振替表!$I$5:$I$3507,$L313))</f>
        <v/>
      </c>
      <c r="D313" s="57" t="s">
        <v>158</v>
      </c>
      <c r="E313" s="59" t="str">
        <f aca="false">IF(L313="","",IF(INDEX(ポート振替表!$O$5:$O$3507,$L313)="","(未設定)",INDEX(ポート振替表!$O$5:$O$3507,$L313)&amp;""))</f>
        <v/>
      </c>
      <c r="F313" s="52" t="str">
        <f aca="false">IF(L313="","",INDEX(ポート振替表!$K$5:$K$3507,$L313)&amp;" "&amp;INDEX(ポート振替表!$L$5:$L$3507,$L313)&amp;"  ⇔  "&amp;INDEX(ポート振替表!$H$5:$H$3507,$L313)&amp;" "&amp;INDEX(ポート振替表!$I$5:$I$3507,$L313))</f>
        <v/>
      </c>
      <c r="G313" s="57" t="s">
        <v>158</v>
      </c>
      <c r="H313" s="32" t="str">
        <f aca="false">IF(L313="","",INDEX(ポート振替表!$N$5:$N$3507,$L313)&amp;"")</f>
        <v/>
      </c>
      <c r="I313" s="32" t="str">
        <f aca="false">IF(L313="","",INDEX(ポート振替表!$P$5:$P$3507,$L313)&amp;"")</f>
        <v/>
      </c>
      <c r="J313" s="60" t="str">
        <f aca="false">IF(L313="","",INDEX(ポート振替表!$M$5:$M$3507,$L313)&amp;"")</f>
        <v/>
      </c>
      <c r="K313" s="52" t="str">
        <f aca="false">IF(L313="","",E313&amp;CHAR(10)&amp;INDEX(ポート振替表!$K$5:$K$3507,$L313)&amp;" "&amp;INDEX(ポート振替表!$L$5:$L$3507,$L313)&amp;CHAR(10)&amp;"⇔ "&amp;INDEX(ポート振替表!$H$5:$H$3507,$L313)&amp;" "&amp;INDEX(ポート振替表!$I$5:$I$3507,$L313))</f>
        <v/>
      </c>
      <c r="L313" s="47" t="str">
        <f aca="false">IFERROR(MATCH(ROW()-4,ポート振替表!$V$5:$V$3507,0),"")</f>
        <v/>
      </c>
    </row>
    <row r="314" customFormat="false" ht="16.4" hidden="false" customHeight="false" outlineLevel="0" collapsed="false">
      <c r="A314" s="32" t="str">
        <f aca="false">IF(L314="","",ROW()-4)</f>
        <v/>
      </c>
      <c r="B314" s="58" t="str">
        <f aca="false">IF(L314="","",IF(INDEX(ポート振替表!$W$5:$W$3507,$L314)="","(なし)",INDEX(ポート振替表!$W$5:$W$3507,$L314)&amp;""))</f>
        <v/>
      </c>
      <c r="C314" s="52" t="str">
        <f aca="false">IF(L314="","",INDEX(ポート振替表!$B$5:$B$3507,$L314)&amp;" "&amp;INDEX(ポート振替表!$C$5:$C$3507,$L314)&amp;"  ⇔  "&amp;INDEX(ポート振替表!$H$5:$H$3507,$L314)&amp;" "&amp;INDEX(ポート振替表!$I$5:$I$3507,$L314))</f>
        <v/>
      </c>
      <c r="D314" s="57" t="s">
        <v>158</v>
      </c>
      <c r="E314" s="59" t="str">
        <f aca="false">IF(L314="","",IF(INDEX(ポート振替表!$O$5:$O$3507,$L314)="","(未設定)",INDEX(ポート振替表!$O$5:$O$3507,$L314)&amp;""))</f>
        <v/>
      </c>
      <c r="F314" s="52" t="str">
        <f aca="false">IF(L314="","",INDEX(ポート振替表!$K$5:$K$3507,$L314)&amp;" "&amp;INDEX(ポート振替表!$L$5:$L$3507,$L314)&amp;"  ⇔  "&amp;INDEX(ポート振替表!$H$5:$H$3507,$L314)&amp;" "&amp;INDEX(ポート振替表!$I$5:$I$3507,$L314))</f>
        <v/>
      </c>
      <c r="G314" s="57" t="s">
        <v>158</v>
      </c>
      <c r="H314" s="32" t="str">
        <f aca="false">IF(L314="","",INDEX(ポート振替表!$N$5:$N$3507,$L314)&amp;"")</f>
        <v/>
      </c>
      <c r="I314" s="32" t="str">
        <f aca="false">IF(L314="","",INDEX(ポート振替表!$P$5:$P$3507,$L314)&amp;"")</f>
        <v/>
      </c>
      <c r="J314" s="60" t="str">
        <f aca="false">IF(L314="","",INDEX(ポート振替表!$M$5:$M$3507,$L314)&amp;"")</f>
        <v/>
      </c>
      <c r="K314" s="52" t="str">
        <f aca="false">IF(L314="","",E314&amp;CHAR(10)&amp;INDEX(ポート振替表!$K$5:$K$3507,$L314)&amp;" "&amp;INDEX(ポート振替表!$L$5:$L$3507,$L314)&amp;CHAR(10)&amp;"⇔ "&amp;INDEX(ポート振替表!$H$5:$H$3507,$L314)&amp;" "&amp;INDEX(ポート振替表!$I$5:$I$3507,$L314))</f>
        <v/>
      </c>
      <c r="L314" s="47" t="str">
        <f aca="false">IFERROR(MATCH(ROW()-4,ポート振替表!$V$5:$V$3507,0),"")</f>
        <v/>
      </c>
    </row>
    <row r="315" customFormat="false" ht="16.4" hidden="false" customHeight="false" outlineLevel="0" collapsed="false">
      <c r="A315" s="32" t="str">
        <f aca="false">IF(L315="","",ROW()-4)</f>
        <v/>
      </c>
      <c r="B315" s="58" t="str">
        <f aca="false">IF(L315="","",IF(INDEX(ポート振替表!$W$5:$W$3507,$L315)="","(なし)",INDEX(ポート振替表!$W$5:$W$3507,$L315)&amp;""))</f>
        <v/>
      </c>
      <c r="C315" s="52" t="str">
        <f aca="false">IF(L315="","",INDEX(ポート振替表!$B$5:$B$3507,$L315)&amp;" "&amp;INDEX(ポート振替表!$C$5:$C$3507,$L315)&amp;"  ⇔  "&amp;INDEX(ポート振替表!$H$5:$H$3507,$L315)&amp;" "&amp;INDEX(ポート振替表!$I$5:$I$3507,$L315))</f>
        <v/>
      </c>
      <c r="D315" s="57" t="s">
        <v>158</v>
      </c>
      <c r="E315" s="59" t="str">
        <f aca="false">IF(L315="","",IF(INDEX(ポート振替表!$O$5:$O$3507,$L315)="","(未設定)",INDEX(ポート振替表!$O$5:$O$3507,$L315)&amp;""))</f>
        <v/>
      </c>
      <c r="F315" s="52" t="str">
        <f aca="false">IF(L315="","",INDEX(ポート振替表!$K$5:$K$3507,$L315)&amp;" "&amp;INDEX(ポート振替表!$L$5:$L$3507,$L315)&amp;"  ⇔  "&amp;INDEX(ポート振替表!$H$5:$H$3507,$L315)&amp;" "&amp;INDEX(ポート振替表!$I$5:$I$3507,$L315))</f>
        <v/>
      </c>
      <c r="G315" s="57" t="s">
        <v>158</v>
      </c>
      <c r="H315" s="32" t="str">
        <f aca="false">IF(L315="","",INDEX(ポート振替表!$N$5:$N$3507,$L315)&amp;"")</f>
        <v/>
      </c>
      <c r="I315" s="32" t="str">
        <f aca="false">IF(L315="","",INDEX(ポート振替表!$P$5:$P$3507,$L315)&amp;"")</f>
        <v/>
      </c>
      <c r="J315" s="60" t="str">
        <f aca="false">IF(L315="","",INDEX(ポート振替表!$M$5:$M$3507,$L315)&amp;"")</f>
        <v/>
      </c>
      <c r="K315" s="52" t="str">
        <f aca="false">IF(L315="","",E315&amp;CHAR(10)&amp;INDEX(ポート振替表!$K$5:$K$3507,$L315)&amp;" "&amp;INDEX(ポート振替表!$L$5:$L$3507,$L315)&amp;CHAR(10)&amp;"⇔ "&amp;INDEX(ポート振替表!$H$5:$H$3507,$L315)&amp;" "&amp;INDEX(ポート振替表!$I$5:$I$3507,$L315))</f>
        <v/>
      </c>
      <c r="L315" s="47" t="str">
        <f aca="false">IFERROR(MATCH(ROW()-4,ポート振替表!$V$5:$V$3507,0),"")</f>
        <v/>
      </c>
    </row>
    <row r="316" customFormat="false" ht="16.4" hidden="false" customHeight="false" outlineLevel="0" collapsed="false">
      <c r="A316" s="32" t="str">
        <f aca="false">IF(L316="","",ROW()-4)</f>
        <v/>
      </c>
      <c r="B316" s="58" t="str">
        <f aca="false">IF(L316="","",IF(INDEX(ポート振替表!$W$5:$W$3507,$L316)="","(なし)",INDEX(ポート振替表!$W$5:$W$3507,$L316)&amp;""))</f>
        <v/>
      </c>
      <c r="C316" s="52" t="str">
        <f aca="false">IF(L316="","",INDEX(ポート振替表!$B$5:$B$3507,$L316)&amp;" "&amp;INDEX(ポート振替表!$C$5:$C$3507,$L316)&amp;"  ⇔  "&amp;INDEX(ポート振替表!$H$5:$H$3507,$L316)&amp;" "&amp;INDEX(ポート振替表!$I$5:$I$3507,$L316))</f>
        <v/>
      </c>
      <c r="D316" s="57" t="s">
        <v>158</v>
      </c>
      <c r="E316" s="59" t="str">
        <f aca="false">IF(L316="","",IF(INDEX(ポート振替表!$O$5:$O$3507,$L316)="","(未設定)",INDEX(ポート振替表!$O$5:$O$3507,$L316)&amp;""))</f>
        <v/>
      </c>
      <c r="F316" s="52" t="str">
        <f aca="false">IF(L316="","",INDEX(ポート振替表!$K$5:$K$3507,$L316)&amp;" "&amp;INDEX(ポート振替表!$L$5:$L$3507,$L316)&amp;"  ⇔  "&amp;INDEX(ポート振替表!$H$5:$H$3507,$L316)&amp;" "&amp;INDEX(ポート振替表!$I$5:$I$3507,$L316))</f>
        <v/>
      </c>
      <c r="G316" s="57" t="s">
        <v>158</v>
      </c>
      <c r="H316" s="32" t="str">
        <f aca="false">IF(L316="","",INDEX(ポート振替表!$N$5:$N$3507,$L316)&amp;"")</f>
        <v/>
      </c>
      <c r="I316" s="32" t="str">
        <f aca="false">IF(L316="","",INDEX(ポート振替表!$P$5:$P$3507,$L316)&amp;"")</f>
        <v/>
      </c>
      <c r="J316" s="60" t="str">
        <f aca="false">IF(L316="","",INDEX(ポート振替表!$M$5:$M$3507,$L316)&amp;"")</f>
        <v/>
      </c>
      <c r="K316" s="52" t="str">
        <f aca="false">IF(L316="","",E316&amp;CHAR(10)&amp;INDEX(ポート振替表!$K$5:$K$3507,$L316)&amp;" "&amp;INDEX(ポート振替表!$L$5:$L$3507,$L316)&amp;CHAR(10)&amp;"⇔ "&amp;INDEX(ポート振替表!$H$5:$H$3507,$L316)&amp;" "&amp;INDEX(ポート振替表!$I$5:$I$3507,$L316))</f>
        <v/>
      </c>
      <c r="L316" s="47" t="str">
        <f aca="false">IFERROR(MATCH(ROW()-4,ポート振替表!$V$5:$V$3507,0),"")</f>
        <v/>
      </c>
    </row>
    <row r="317" customFormat="false" ht="16.4" hidden="false" customHeight="false" outlineLevel="0" collapsed="false">
      <c r="A317" s="32" t="str">
        <f aca="false">IF(L317="","",ROW()-4)</f>
        <v/>
      </c>
      <c r="B317" s="58" t="str">
        <f aca="false">IF(L317="","",IF(INDEX(ポート振替表!$W$5:$W$3507,$L317)="","(なし)",INDEX(ポート振替表!$W$5:$W$3507,$L317)&amp;""))</f>
        <v/>
      </c>
      <c r="C317" s="52" t="str">
        <f aca="false">IF(L317="","",INDEX(ポート振替表!$B$5:$B$3507,$L317)&amp;" "&amp;INDEX(ポート振替表!$C$5:$C$3507,$L317)&amp;"  ⇔  "&amp;INDEX(ポート振替表!$H$5:$H$3507,$L317)&amp;" "&amp;INDEX(ポート振替表!$I$5:$I$3507,$L317))</f>
        <v/>
      </c>
      <c r="D317" s="57" t="s">
        <v>158</v>
      </c>
      <c r="E317" s="59" t="str">
        <f aca="false">IF(L317="","",IF(INDEX(ポート振替表!$O$5:$O$3507,$L317)="","(未設定)",INDEX(ポート振替表!$O$5:$O$3507,$L317)&amp;""))</f>
        <v/>
      </c>
      <c r="F317" s="52" t="str">
        <f aca="false">IF(L317="","",INDEX(ポート振替表!$K$5:$K$3507,$L317)&amp;" "&amp;INDEX(ポート振替表!$L$5:$L$3507,$L317)&amp;"  ⇔  "&amp;INDEX(ポート振替表!$H$5:$H$3507,$L317)&amp;" "&amp;INDEX(ポート振替表!$I$5:$I$3507,$L317))</f>
        <v/>
      </c>
      <c r="G317" s="57" t="s">
        <v>158</v>
      </c>
      <c r="H317" s="32" t="str">
        <f aca="false">IF(L317="","",INDEX(ポート振替表!$N$5:$N$3507,$L317)&amp;"")</f>
        <v/>
      </c>
      <c r="I317" s="32" t="str">
        <f aca="false">IF(L317="","",INDEX(ポート振替表!$P$5:$P$3507,$L317)&amp;"")</f>
        <v/>
      </c>
      <c r="J317" s="60" t="str">
        <f aca="false">IF(L317="","",INDEX(ポート振替表!$M$5:$M$3507,$L317)&amp;"")</f>
        <v/>
      </c>
      <c r="K317" s="52" t="str">
        <f aca="false">IF(L317="","",E317&amp;CHAR(10)&amp;INDEX(ポート振替表!$K$5:$K$3507,$L317)&amp;" "&amp;INDEX(ポート振替表!$L$5:$L$3507,$L317)&amp;CHAR(10)&amp;"⇔ "&amp;INDEX(ポート振替表!$H$5:$H$3507,$L317)&amp;" "&amp;INDEX(ポート振替表!$I$5:$I$3507,$L317))</f>
        <v/>
      </c>
      <c r="L317" s="47" t="str">
        <f aca="false">IFERROR(MATCH(ROW()-4,ポート振替表!$V$5:$V$3507,0),"")</f>
        <v/>
      </c>
    </row>
    <row r="318" customFormat="false" ht="16.4" hidden="false" customHeight="false" outlineLevel="0" collapsed="false">
      <c r="A318" s="32" t="str">
        <f aca="false">IF(L318="","",ROW()-4)</f>
        <v/>
      </c>
      <c r="B318" s="58" t="str">
        <f aca="false">IF(L318="","",IF(INDEX(ポート振替表!$W$5:$W$3507,$L318)="","(なし)",INDEX(ポート振替表!$W$5:$W$3507,$L318)&amp;""))</f>
        <v/>
      </c>
      <c r="C318" s="52" t="str">
        <f aca="false">IF(L318="","",INDEX(ポート振替表!$B$5:$B$3507,$L318)&amp;" "&amp;INDEX(ポート振替表!$C$5:$C$3507,$L318)&amp;"  ⇔  "&amp;INDEX(ポート振替表!$H$5:$H$3507,$L318)&amp;" "&amp;INDEX(ポート振替表!$I$5:$I$3507,$L318))</f>
        <v/>
      </c>
      <c r="D318" s="57" t="s">
        <v>158</v>
      </c>
      <c r="E318" s="59" t="str">
        <f aca="false">IF(L318="","",IF(INDEX(ポート振替表!$O$5:$O$3507,$L318)="","(未設定)",INDEX(ポート振替表!$O$5:$O$3507,$L318)&amp;""))</f>
        <v/>
      </c>
      <c r="F318" s="52" t="str">
        <f aca="false">IF(L318="","",INDEX(ポート振替表!$K$5:$K$3507,$L318)&amp;" "&amp;INDEX(ポート振替表!$L$5:$L$3507,$L318)&amp;"  ⇔  "&amp;INDEX(ポート振替表!$H$5:$H$3507,$L318)&amp;" "&amp;INDEX(ポート振替表!$I$5:$I$3507,$L318))</f>
        <v/>
      </c>
      <c r="G318" s="57" t="s">
        <v>158</v>
      </c>
      <c r="H318" s="32" t="str">
        <f aca="false">IF(L318="","",INDEX(ポート振替表!$N$5:$N$3507,$L318)&amp;"")</f>
        <v/>
      </c>
      <c r="I318" s="32" t="str">
        <f aca="false">IF(L318="","",INDEX(ポート振替表!$P$5:$P$3507,$L318)&amp;"")</f>
        <v/>
      </c>
      <c r="J318" s="60" t="str">
        <f aca="false">IF(L318="","",INDEX(ポート振替表!$M$5:$M$3507,$L318)&amp;"")</f>
        <v/>
      </c>
      <c r="K318" s="52" t="str">
        <f aca="false">IF(L318="","",E318&amp;CHAR(10)&amp;INDEX(ポート振替表!$K$5:$K$3507,$L318)&amp;" "&amp;INDEX(ポート振替表!$L$5:$L$3507,$L318)&amp;CHAR(10)&amp;"⇔ "&amp;INDEX(ポート振替表!$H$5:$H$3507,$L318)&amp;" "&amp;INDEX(ポート振替表!$I$5:$I$3507,$L318))</f>
        <v/>
      </c>
      <c r="L318" s="47" t="str">
        <f aca="false">IFERROR(MATCH(ROW()-4,ポート振替表!$V$5:$V$3507,0),"")</f>
        <v/>
      </c>
    </row>
    <row r="319" customFormat="false" ht="16.4" hidden="false" customHeight="false" outlineLevel="0" collapsed="false">
      <c r="A319" s="32" t="str">
        <f aca="false">IF(L319="","",ROW()-4)</f>
        <v/>
      </c>
      <c r="B319" s="58" t="str">
        <f aca="false">IF(L319="","",IF(INDEX(ポート振替表!$W$5:$W$3507,$L319)="","(なし)",INDEX(ポート振替表!$W$5:$W$3507,$L319)&amp;""))</f>
        <v/>
      </c>
      <c r="C319" s="52" t="str">
        <f aca="false">IF(L319="","",INDEX(ポート振替表!$B$5:$B$3507,$L319)&amp;" "&amp;INDEX(ポート振替表!$C$5:$C$3507,$L319)&amp;"  ⇔  "&amp;INDEX(ポート振替表!$H$5:$H$3507,$L319)&amp;" "&amp;INDEX(ポート振替表!$I$5:$I$3507,$L319))</f>
        <v/>
      </c>
      <c r="D319" s="57" t="s">
        <v>158</v>
      </c>
      <c r="E319" s="59" t="str">
        <f aca="false">IF(L319="","",IF(INDEX(ポート振替表!$O$5:$O$3507,$L319)="","(未設定)",INDEX(ポート振替表!$O$5:$O$3507,$L319)&amp;""))</f>
        <v/>
      </c>
      <c r="F319" s="52" t="str">
        <f aca="false">IF(L319="","",INDEX(ポート振替表!$K$5:$K$3507,$L319)&amp;" "&amp;INDEX(ポート振替表!$L$5:$L$3507,$L319)&amp;"  ⇔  "&amp;INDEX(ポート振替表!$H$5:$H$3507,$L319)&amp;" "&amp;INDEX(ポート振替表!$I$5:$I$3507,$L319))</f>
        <v/>
      </c>
      <c r="G319" s="57" t="s">
        <v>158</v>
      </c>
      <c r="H319" s="32" t="str">
        <f aca="false">IF(L319="","",INDEX(ポート振替表!$N$5:$N$3507,$L319)&amp;"")</f>
        <v/>
      </c>
      <c r="I319" s="32" t="str">
        <f aca="false">IF(L319="","",INDEX(ポート振替表!$P$5:$P$3507,$L319)&amp;"")</f>
        <v/>
      </c>
      <c r="J319" s="60" t="str">
        <f aca="false">IF(L319="","",INDEX(ポート振替表!$M$5:$M$3507,$L319)&amp;"")</f>
        <v/>
      </c>
      <c r="K319" s="52" t="str">
        <f aca="false">IF(L319="","",E319&amp;CHAR(10)&amp;INDEX(ポート振替表!$K$5:$K$3507,$L319)&amp;" "&amp;INDEX(ポート振替表!$L$5:$L$3507,$L319)&amp;CHAR(10)&amp;"⇔ "&amp;INDEX(ポート振替表!$H$5:$H$3507,$L319)&amp;" "&amp;INDEX(ポート振替表!$I$5:$I$3507,$L319))</f>
        <v/>
      </c>
      <c r="L319" s="47" t="str">
        <f aca="false">IFERROR(MATCH(ROW()-4,ポート振替表!$V$5:$V$3507,0),"")</f>
        <v/>
      </c>
    </row>
    <row r="320" customFormat="false" ht="16.4" hidden="false" customHeight="false" outlineLevel="0" collapsed="false">
      <c r="A320" s="32" t="str">
        <f aca="false">IF(L320="","",ROW()-4)</f>
        <v/>
      </c>
      <c r="B320" s="58" t="str">
        <f aca="false">IF(L320="","",IF(INDEX(ポート振替表!$W$5:$W$3507,$L320)="","(なし)",INDEX(ポート振替表!$W$5:$W$3507,$L320)&amp;""))</f>
        <v/>
      </c>
      <c r="C320" s="52" t="str">
        <f aca="false">IF(L320="","",INDEX(ポート振替表!$B$5:$B$3507,$L320)&amp;" "&amp;INDEX(ポート振替表!$C$5:$C$3507,$L320)&amp;"  ⇔  "&amp;INDEX(ポート振替表!$H$5:$H$3507,$L320)&amp;" "&amp;INDEX(ポート振替表!$I$5:$I$3507,$L320))</f>
        <v/>
      </c>
      <c r="D320" s="57" t="s">
        <v>158</v>
      </c>
      <c r="E320" s="59" t="str">
        <f aca="false">IF(L320="","",IF(INDEX(ポート振替表!$O$5:$O$3507,$L320)="","(未設定)",INDEX(ポート振替表!$O$5:$O$3507,$L320)&amp;""))</f>
        <v/>
      </c>
      <c r="F320" s="52" t="str">
        <f aca="false">IF(L320="","",INDEX(ポート振替表!$K$5:$K$3507,$L320)&amp;" "&amp;INDEX(ポート振替表!$L$5:$L$3507,$L320)&amp;"  ⇔  "&amp;INDEX(ポート振替表!$H$5:$H$3507,$L320)&amp;" "&amp;INDEX(ポート振替表!$I$5:$I$3507,$L320))</f>
        <v/>
      </c>
      <c r="G320" s="57" t="s">
        <v>158</v>
      </c>
      <c r="H320" s="32" t="str">
        <f aca="false">IF(L320="","",INDEX(ポート振替表!$N$5:$N$3507,$L320)&amp;"")</f>
        <v/>
      </c>
      <c r="I320" s="32" t="str">
        <f aca="false">IF(L320="","",INDEX(ポート振替表!$P$5:$P$3507,$L320)&amp;"")</f>
        <v/>
      </c>
      <c r="J320" s="60" t="str">
        <f aca="false">IF(L320="","",INDEX(ポート振替表!$M$5:$M$3507,$L320)&amp;"")</f>
        <v/>
      </c>
      <c r="K320" s="52" t="str">
        <f aca="false">IF(L320="","",E320&amp;CHAR(10)&amp;INDEX(ポート振替表!$K$5:$K$3507,$L320)&amp;" "&amp;INDEX(ポート振替表!$L$5:$L$3507,$L320)&amp;CHAR(10)&amp;"⇔ "&amp;INDEX(ポート振替表!$H$5:$H$3507,$L320)&amp;" "&amp;INDEX(ポート振替表!$I$5:$I$3507,$L320))</f>
        <v/>
      </c>
      <c r="L320" s="47" t="str">
        <f aca="false">IFERROR(MATCH(ROW()-4,ポート振替表!$V$5:$V$3507,0),"")</f>
        <v/>
      </c>
    </row>
    <row r="321" customFormat="false" ht="16.4" hidden="false" customHeight="false" outlineLevel="0" collapsed="false">
      <c r="A321" s="32" t="str">
        <f aca="false">IF(L321="","",ROW()-4)</f>
        <v/>
      </c>
      <c r="B321" s="58" t="str">
        <f aca="false">IF(L321="","",IF(INDEX(ポート振替表!$W$5:$W$3507,$L321)="","(なし)",INDEX(ポート振替表!$W$5:$W$3507,$L321)&amp;""))</f>
        <v/>
      </c>
      <c r="C321" s="52" t="str">
        <f aca="false">IF(L321="","",INDEX(ポート振替表!$B$5:$B$3507,$L321)&amp;" "&amp;INDEX(ポート振替表!$C$5:$C$3507,$L321)&amp;"  ⇔  "&amp;INDEX(ポート振替表!$H$5:$H$3507,$L321)&amp;" "&amp;INDEX(ポート振替表!$I$5:$I$3507,$L321))</f>
        <v/>
      </c>
      <c r="D321" s="57" t="s">
        <v>158</v>
      </c>
      <c r="E321" s="59" t="str">
        <f aca="false">IF(L321="","",IF(INDEX(ポート振替表!$O$5:$O$3507,$L321)="","(未設定)",INDEX(ポート振替表!$O$5:$O$3507,$L321)&amp;""))</f>
        <v/>
      </c>
      <c r="F321" s="52" t="str">
        <f aca="false">IF(L321="","",INDEX(ポート振替表!$K$5:$K$3507,$L321)&amp;" "&amp;INDEX(ポート振替表!$L$5:$L$3507,$L321)&amp;"  ⇔  "&amp;INDEX(ポート振替表!$H$5:$H$3507,$L321)&amp;" "&amp;INDEX(ポート振替表!$I$5:$I$3507,$L321))</f>
        <v/>
      </c>
      <c r="G321" s="57" t="s">
        <v>158</v>
      </c>
      <c r="H321" s="32" t="str">
        <f aca="false">IF(L321="","",INDEX(ポート振替表!$N$5:$N$3507,$L321)&amp;"")</f>
        <v/>
      </c>
      <c r="I321" s="32" t="str">
        <f aca="false">IF(L321="","",INDEX(ポート振替表!$P$5:$P$3507,$L321)&amp;"")</f>
        <v/>
      </c>
      <c r="J321" s="60" t="str">
        <f aca="false">IF(L321="","",INDEX(ポート振替表!$M$5:$M$3507,$L321)&amp;"")</f>
        <v/>
      </c>
      <c r="K321" s="52" t="str">
        <f aca="false">IF(L321="","",E321&amp;CHAR(10)&amp;INDEX(ポート振替表!$K$5:$K$3507,$L321)&amp;" "&amp;INDEX(ポート振替表!$L$5:$L$3507,$L321)&amp;CHAR(10)&amp;"⇔ "&amp;INDEX(ポート振替表!$H$5:$H$3507,$L321)&amp;" "&amp;INDEX(ポート振替表!$I$5:$I$3507,$L321))</f>
        <v/>
      </c>
      <c r="L321" s="47" t="str">
        <f aca="false">IFERROR(MATCH(ROW()-4,ポート振替表!$V$5:$V$3507,0),"")</f>
        <v/>
      </c>
    </row>
    <row r="322" customFormat="false" ht="16.4" hidden="false" customHeight="false" outlineLevel="0" collapsed="false">
      <c r="A322" s="32" t="str">
        <f aca="false">IF(L322="","",ROW()-4)</f>
        <v/>
      </c>
      <c r="B322" s="58" t="str">
        <f aca="false">IF(L322="","",IF(INDEX(ポート振替表!$W$5:$W$3507,$L322)="","(なし)",INDEX(ポート振替表!$W$5:$W$3507,$L322)&amp;""))</f>
        <v/>
      </c>
      <c r="C322" s="52" t="str">
        <f aca="false">IF(L322="","",INDEX(ポート振替表!$B$5:$B$3507,$L322)&amp;" "&amp;INDEX(ポート振替表!$C$5:$C$3507,$L322)&amp;"  ⇔  "&amp;INDEX(ポート振替表!$H$5:$H$3507,$L322)&amp;" "&amp;INDEX(ポート振替表!$I$5:$I$3507,$L322))</f>
        <v/>
      </c>
      <c r="D322" s="57" t="s">
        <v>158</v>
      </c>
      <c r="E322" s="59" t="str">
        <f aca="false">IF(L322="","",IF(INDEX(ポート振替表!$O$5:$O$3507,$L322)="","(未設定)",INDEX(ポート振替表!$O$5:$O$3507,$L322)&amp;""))</f>
        <v/>
      </c>
      <c r="F322" s="52" t="str">
        <f aca="false">IF(L322="","",INDEX(ポート振替表!$K$5:$K$3507,$L322)&amp;" "&amp;INDEX(ポート振替表!$L$5:$L$3507,$L322)&amp;"  ⇔  "&amp;INDEX(ポート振替表!$H$5:$H$3507,$L322)&amp;" "&amp;INDEX(ポート振替表!$I$5:$I$3507,$L322))</f>
        <v/>
      </c>
      <c r="G322" s="57" t="s">
        <v>158</v>
      </c>
      <c r="H322" s="32" t="str">
        <f aca="false">IF(L322="","",INDEX(ポート振替表!$N$5:$N$3507,$L322)&amp;"")</f>
        <v/>
      </c>
      <c r="I322" s="32" t="str">
        <f aca="false">IF(L322="","",INDEX(ポート振替表!$P$5:$P$3507,$L322)&amp;"")</f>
        <v/>
      </c>
      <c r="J322" s="60" t="str">
        <f aca="false">IF(L322="","",INDEX(ポート振替表!$M$5:$M$3507,$L322)&amp;"")</f>
        <v/>
      </c>
      <c r="K322" s="52" t="str">
        <f aca="false">IF(L322="","",E322&amp;CHAR(10)&amp;INDEX(ポート振替表!$K$5:$K$3507,$L322)&amp;" "&amp;INDEX(ポート振替表!$L$5:$L$3507,$L322)&amp;CHAR(10)&amp;"⇔ "&amp;INDEX(ポート振替表!$H$5:$H$3507,$L322)&amp;" "&amp;INDEX(ポート振替表!$I$5:$I$3507,$L322))</f>
        <v/>
      </c>
      <c r="L322" s="47" t="str">
        <f aca="false">IFERROR(MATCH(ROW()-4,ポート振替表!$V$5:$V$3507,0),"")</f>
        <v/>
      </c>
    </row>
    <row r="323" customFormat="false" ht="16.4" hidden="false" customHeight="false" outlineLevel="0" collapsed="false">
      <c r="A323" s="32" t="str">
        <f aca="false">IF(L323="","",ROW()-4)</f>
        <v/>
      </c>
      <c r="B323" s="58" t="str">
        <f aca="false">IF(L323="","",IF(INDEX(ポート振替表!$W$5:$W$3507,$L323)="","(なし)",INDEX(ポート振替表!$W$5:$W$3507,$L323)&amp;""))</f>
        <v/>
      </c>
      <c r="C323" s="52" t="str">
        <f aca="false">IF(L323="","",INDEX(ポート振替表!$B$5:$B$3507,$L323)&amp;" "&amp;INDEX(ポート振替表!$C$5:$C$3507,$L323)&amp;"  ⇔  "&amp;INDEX(ポート振替表!$H$5:$H$3507,$L323)&amp;" "&amp;INDEX(ポート振替表!$I$5:$I$3507,$L323))</f>
        <v/>
      </c>
      <c r="D323" s="57" t="s">
        <v>158</v>
      </c>
      <c r="E323" s="59" t="str">
        <f aca="false">IF(L323="","",IF(INDEX(ポート振替表!$O$5:$O$3507,$L323)="","(未設定)",INDEX(ポート振替表!$O$5:$O$3507,$L323)&amp;""))</f>
        <v/>
      </c>
      <c r="F323" s="52" t="str">
        <f aca="false">IF(L323="","",INDEX(ポート振替表!$K$5:$K$3507,$L323)&amp;" "&amp;INDEX(ポート振替表!$L$5:$L$3507,$L323)&amp;"  ⇔  "&amp;INDEX(ポート振替表!$H$5:$H$3507,$L323)&amp;" "&amp;INDEX(ポート振替表!$I$5:$I$3507,$L323))</f>
        <v/>
      </c>
      <c r="G323" s="57" t="s">
        <v>158</v>
      </c>
      <c r="H323" s="32" t="str">
        <f aca="false">IF(L323="","",INDEX(ポート振替表!$N$5:$N$3507,$L323)&amp;"")</f>
        <v/>
      </c>
      <c r="I323" s="32" t="str">
        <f aca="false">IF(L323="","",INDEX(ポート振替表!$P$5:$P$3507,$L323)&amp;"")</f>
        <v/>
      </c>
      <c r="J323" s="60" t="str">
        <f aca="false">IF(L323="","",INDEX(ポート振替表!$M$5:$M$3507,$L323)&amp;"")</f>
        <v/>
      </c>
      <c r="K323" s="52" t="str">
        <f aca="false">IF(L323="","",E323&amp;CHAR(10)&amp;INDEX(ポート振替表!$K$5:$K$3507,$L323)&amp;" "&amp;INDEX(ポート振替表!$L$5:$L$3507,$L323)&amp;CHAR(10)&amp;"⇔ "&amp;INDEX(ポート振替表!$H$5:$H$3507,$L323)&amp;" "&amp;INDEX(ポート振替表!$I$5:$I$3507,$L323))</f>
        <v/>
      </c>
      <c r="L323" s="47" t="str">
        <f aca="false">IFERROR(MATCH(ROW()-4,ポート振替表!$V$5:$V$3507,0),"")</f>
        <v/>
      </c>
    </row>
    <row r="324" customFormat="false" ht="16.4" hidden="false" customHeight="false" outlineLevel="0" collapsed="false">
      <c r="A324" s="32" t="str">
        <f aca="false">IF(L324="","",ROW()-4)</f>
        <v/>
      </c>
      <c r="B324" s="58" t="str">
        <f aca="false">IF(L324="","",IF(INDEX(ポート振替表!$W$5:$W$3507,$L324)="","(なし)",INDEX(ポート振替表!$W$5:$W$3507,$L324)&amp;""))</f>
        <v/>
      </c>
      <c r="C324" s="52" t="str">
        <f aca="false">IF(L324="","",INDEX(ポート振替表!$B$5:$B$3507,$L324)&amp;" "&amp;INDEX(ポート振替表!$C$5:$C$3507,$L324)&amp;"  ⇔  "&amp;INDEX(ポート振替表!$H$5:$H$3507,$L324)&amp;" "&amp;INDEX(ポート振替表!$I$5:$I$3507,$L324))</f>
        <v/>
      </c>
      <c r="D324" s="57" t="s">
        <v>158</v>
      </c>
      <c r="E324" s="59" t="str">
        <f aca="false">IF(L324="","",IF(INDEX(ポート振替表!$O$5:$O$3507,$L324)="","(未設定)",INDEX(ポート振替表!$O$5:$O$3507,$L324)&amp;""))</f>
        <v/>
      </c>
      <c r="F324" s="52" t="str">
        <f aca="false">IF(L324="","",INDEX(ポート振替表!$K$5:$K$3507,$L324)&amp;" "&amp;INDEX(ポート振替表!$L$5:$L$3507,$L324)&amp;"  ⇔  "&amp;INDEX(ポート振替表!$H$5:$H$3507,$L324)&amp;" "&amp;INDEX(ポート振替表!$I$5:$I$3507,$L324))</f>
        <v/>
      </c>
      <c r="G324" s="57" t="s">
        <v>158</v>
      </c>
      <c r="H324" s="32" t="str">
        <f aca="false">IF(L324="","",INDEX(ポート振替表!$N$5:$N$3507,$L324)&amp;"")</f>
        <v/>
      </c>
      <c r="I324" s="32" t="str">
        <f aca="false">IF(L324="","",INDEX(ポート振替表!$P$5:$P$3507,$L324)&amp;"")</f>
        <v/>
      </c>
      <c r="J324" s="60" t="str">
        <f aca="false">IF(L324="","",INDEX(ポート振替表!$M$5:$M$3507,$L324)&amp;"")</f>
        <v/>
      </c>
      <c r="K324" s="52" t="str">
        <f aca="false">IF(L324="","",E324&amp;CHAR(10)&amp;INDEX(ポート振替表!$K$5:$K$3507,$L324)&amp;" "&amp;INDEX(ポート振替表!$L$5:$L$3507,$L324)&amp;CHAR(10)&amp;"⇔ "&amp;INDEX(ポート振替表!$H$5:$H$3507,$L324)&amp;" "&amp;INDEX(ポート振替表!$I$5:$I$3507,$L324))</f>
        <v/>
      </c>
      <c r="L324" s="47" t="str">
        <f aca="false">IFERROR(MATCH(ROW()-4,ポート振替表!$V$5:$V$3507,0),"")</f>
        <v/>
      </c>
    </row>
    <row r="325" customFormat="false" ht="16.4" hidden="false" customHeight="false" outlineLevel="0" collapsed="false">
      <c r="A325" s="32" t="str">
        <f aca="false">IF(L325="","",ROW()-4)</f>
        <v/>
      </c>
      <c r="B325" s="58" t="str">
        <f aca="false">IF(L325="","",IF(INDEX(ポート振替表!$W$5:$W$3507,$L325)="","(なし)",INDEX(ポート振替表!$W$5:$W$3507,$L325)&amp;""))</f>
        <v/>
      </c>
      <c r="C325" s="52" t="str">
        <f aca="false">IF(L325="","",INDEX(ポート振替表!$B$5:$B$3507,$L325)&amp;" "&amp;INDEX(ポート振替表!$C$5:$C$3507,$L325)&amp;"  ⇔  "&amp;INDEX(ポート振替表!$H$5:$H$3507,$L325)&amp;" "&amp;INDEX(ポート振替表!$I$5:$I$3507,$L325))</f>
        <v/>
      </c>
      <c r="D325" s="57" t="s">
        <v>158</v>
      </c>
      <c r="E325" s="59" t="str">
        <f aca="false">IF(L325="","",IF(INDEX(ポート振替表!$O$5:$O$3507,$L325)="","(未設定)",INDEX(ポート振替表!$O$5:$O$3507,$L325)&amp;""))</f>
        <v/>
      </c>
      <c r="F325" s="52" t="str">
        <f aca="false">IF(L325="","",INDEX(ポート振替表!$K$5:$K$3507,$L325)&amp;" "&amp;INDEX(ポート振替表!$L$5:$L$3507,$L325)&amp;"  ⇔  "&amp;INDEX(ポート振替表!$H$5:$H$3507,$L325)&amp;" "&amp;INDEX(ポート振替表!$I$5:$I$3507,$L325))</f>
        <v/>
      </c>
      <c r="G325" s="57" t="s">
        <v>158</v>
      </c>
      <c r="H325" s="32" t="str">
        <f aca="false">IF(L325="","",INDEX(ポート振替表!$N$5:$N$3507,$L325)&amp;"")</f>
        <v/>
      </c>
      <c r="I325" s="32" t="str">
        <f aca="false">IF(L325="","",INDEX(ポート振替表!$P$5:$P$3507,$L325)&amp;"")</f>
        <v/>
      </c>
      <c r="J325" s="60" t="str">
        <f aca="false">IF(L325="","",INDEX(ポート振替表!$M$5:$M$3507,$L325)&amp;"")</f>
        <v/>
      </c>
      <c r="K325" s="52" t="str">
        <f aca="false">IF(L325="","",E325&amp;CHAR(10)&amp;INDEX(ポート振替表!$K$5:$K$3507,$L325)&amp;" "&amp;INDEX(ポート振替表!$L$5:$L$3507,$L325)&amp;CHAR(10)&amp;"⇔ "&amp;INDEX(ポート振替表!$H$5:$H$3507,$L325)&amp;" "&amp;INDEX(ポート振替表!$I$5:$I$3507,$L325))</f>
        <v/>
      </c>
      <c r="L325" s="47" t="str">
        <f aca="false">IFERROR(MATCH(ROW()-4,ポート振替表!$V$5:$V$3507,0),"")</f>
        <v/>
      </c>
    </row>
    <row r="326" customFormat="false" ht="16.4" hidden="false" customHeight="false" outlineLevel="0" collapsed="false">
      <c r="A326" s="32" t="str">
        <f aca="false">IF(L326="","",ROW()-4)</f>
        <v/>
      </c>
      <c r="B326" s="58" t="str">
        <f aca="false">IF(L326="","",IF(INDEX(ポート振替表!$W$5:$W$3507,$L326)="","(なし)",INDEX(ポート振替表!$W$5:$W$3507,$L326)&amp;""))</f>
        <v/>
      </c>
      <c r="C326" s="52" t="str">
        <f aca="false">IF(L326="","",INDEX(ポート振替表!$B$5:$B$3507,$L326)&amp;" "&amp;INDEX(ポート振替表!$C$5:$C$3507,$L326)&amp;"  ⇔  "&amp;INDEX(ポート振替表!$H$5:$H$3507,$L326)&amp;" "&amp;INDEX(ポート振替表!$I$5:$I$3507,$L326))</f>
        <v/>
      </c>
      <c r="D326" s="57" t="s">
        <v>158</v>
      </c>
      <c r="E326" s="59" t="str">
        <f aca="false">IF(L326="","",IF(INDEX(ポート振替表!$O$5:$O$3507,$L326)="","(未設定)",INDEX(ポート振替表!$O$5:$O$3507,$L326)&amp;""))</f>
        <v/>
      </c>
      <c r="F326" s="52" t="str">
        <f aca="false">IF(L326="","",INDEX(ポート振替表!$K$5:$K$3507,$L326)&amp;" "&amp;INDEX(ポート振替表!$L$5:$L$3507,$L326)&amp;"  ⇔  "&amp;INDEX(ポート振替表!$H$5:$H$3507,$L326)&amp;" "&amp;INDEX(ポート振替表!$I$5:$I$3507,$L326))</f>
        <v/>
      </c>
      <c r="G326" s="57" t="s">
        <v>158</v>
      </c>
      <c r="H326" s="32" t="str">
        <f aca="false">IF(L326="","",INDEX(ポート振替表!$N$5:$N$3507,$L326)&amp;"")</f>
        <v/>
      </c>
      <c r="I326" s="32" t="str">
        <f aca="false">IF(L326="","",INDEX(ポート振替表!$P$5:$P$3507,$L326)&amp;"")</f>
        <v/>
      </c>
      <c r="J326" s="60" t="str">
        <f aca="false">IF(L326="","",INDEX(ポート振替表!$M$5:$M$3507,$L326)&amp;"")</f>
        <v/>
      </c>
      <c r="K326" s="52" t="str">
        <f aca="false">IF(L326="","",E326&amp;CHAR(10)&amp;INDEX(ポート振替表!$K$5:$K$3507,$L326)&amp;" "&amp;INDEX(ポート振替表!$L$5:$L$3507,$L326)&amp;CHAR(10)&amp;"⇔ "&amp;INDEX(ポート振替表!$H$5:$H$3507,$L326)&amp;" "&amp;INDEX(ポート振替表!$I$5:$I$3507,$L326))</f>
        <v/>
      </c>
      <c r="L326" s="47" t="str">
        <f aca="false">IFERROR(MATCH(ROW()-4,ポート振替表!$V$5:$V$3507,0),"")</f>
        <v/>
      </c>
    </row>
    <row r="327" customFormat="false" ht="16.4" hidden="false" customHeight="false" outlineLevel="0" collapsed="false">
      <c r="A327" s="32" t="str">
        <f aca="false">IF(L327="","",ROW()-4)</f>
        <v/>
      </c>
      <c r="B327" s="58" t="str">
        <f aca="false">IF(L327="","",IF(INDEX(ポート振替表!$W$5:$W$3507,$L327)="","(なし)",INDEX(ポート振替表!$W$5:$W$3507,$L327)&amp;""))</f>
        <v/>
      </c>
      <c r="C327" s="52" t="str">
        <f aca="false">IF(L327="","",INDEX(ポート振替表!$B$5:$B$3507,$L327)&amp;" "&amp;INDEX(ポート振替表!$C$5:$C$3507,$L327)&amp;"  ⇔  "&amp;INDEX(ポート振替表!$H$5:$H$3507,$L327)&amp;" "&amp;INDEX(ポート振替表!$I$5:$I$3507,$L327))</f>
        <v/>
      </c>
      <c r="D327" s="57" t="s">
        <v>158</v>
      </c>
      <c r="E327" s="59" t="str">
        <f aca="false">IF(L327="","",IF(INDEX(ポート振替表!$O$5:$O$3507,$L327)="","(未設定)",INDEX(ポート振替表!$O$5:$O$3507,$L327)&amp;""))</f>
        <v/>
      </c>
      <c r="F327" s="52" t="str">
        <f aca="false">IF(L327="","",INDEX(ポート振替表!$K$5:$K$3507,$L327)&amp;" "&amp;INDEX(ポート振替表!$L$5:$L$3507,$L327)&amp;"  ⇔  "&amp;INDEX(ポート振替表!$H$5:$H$3507,$L327)&amp;" "&amp;INDEX(ポート振替表!$I$5:$I$3507,$L327))</f>
        <v/>
      </c>
      <c r="G327" s="57" t="s">
        <v>158</v>
      </c>
      <c r="H327" s="32" t="str">
        <f aca="false">IF(L327="","",INDEX(ポート振替表!$N$5:$N$3507,$L327)&amp;"")</f>
        <v/>
      </c>
      <c r="I327" s="32" t="str">
        <f aca="false">IF(L327="","",INDEX(ポート振替表!$P$5:$P$3507,$L327)&amp;"")</f>
        <v/>
      </c>
      <c r="J327" s="60" t="str">
        <f aca="false">IF(L327="","",INDEX(ポート振替表!$M$5:$M$3507,$L327)&amp;"")</f>
        <v/>
      </c>
      <c r="K327" s="52" t="str">
        <f aca="false">IF(L327="","",E327&amp;CHAR(10)&amp;INDEX(ポート振替表!$K$5:$K$3507,$L327)&amp;" "&amp;INDEX(ポート振替表!$L$5:$L$3507,$L327)&amp;CHAR(10)&amp;"⇔ "&amp;INDEX(ポート振替表!$H$5:$H$3507,$L327)&amp;" "&amp;INDEX(ポート振替表!$I$5:$I$3507,$L327))</f>
        <v/>
      </c>
      <c r="L327" s="47" t="str">
        <f aca="false">IFERROR(MATCH(ROW()-4,ポート振替表!$V$5:$V$3507,0),"")</f>
        <v/>
      </c>
    </row>
    <row r="328" customFormat="false" ht="16.4" hidden="false" customHeight="false" outlineLevel="0" collapsed="false">
      <c r="A328" s="32" t="str">
        <f aca="false">IF(L328="","",ROW()-4)</f>
        <v/>
      </c>
      <c r="B328" s="58" t="str">
        <f aca="false">IF(L328="","",IF(INDEX(ポート振替表!$W$5:$W$3507,$L328)="","(なし)",INDEX(ポート振替表!$W$5:$W$3507,$L328)&amp;""))</f>
        <v/>
      </c>
      <c r="C328" s="52" t="str">
        <f aca="false">IF(L328="","",INDEX(ポート振替表!$B$5:$B$3507,$L328)&amp;" "&amp;INDEX(ポート振替表!$C$5:$C$3507,$L328)&amp;"  ⇔  "&amp;INDEX(ポート振替表!$H$5:$H$3507,$L328)&amp;" "&amp;INDEX(ポート振替表!$I$5:$I$3507,$L328))</f>
        <v/>
      </c>
      <c r="D328" s="57" t="s">
        <v>158</v>
      </c>
      <c r="E328" s="59" t="str">
        <f aca="false">IF(L328="","",IF(INDEX(ポート振替表!$O$5:$O$3507,$L328)="","(未設定)",INDEX(ポート振替表!$O$5:$O$3507,$L328)&amp;""))</f>
        <v/>
      </c>
      <c r="F328" s="52" t="str">
        <f aca="false">IF(L328="","",INDEX(ポート振替表!$K$5:$K$3507,$L328)&amp;" "&amp;INDEX(ポート振替表!$L$5:$L$3507,$L328)&amp;"  ⇔  "&amp;INDEX(ポート振替表!$H$5:$H$3507,$L328)&amp;" "&amp;INDEX(ポート振替表!$I$5:$I$3507,$L328))</f>
        <v/>
      </c>
      <c r="G328" s="57" t="s">
        <v>158</v>
      </c>
      <c r="H328" s="32" t="str">
        <f aca="false">IF(L328="","",INDEX(ポート振替表!$N$5:$N$3507,$L328)&amp;"")</f>
        <v/>
      </c>
      <c r="I328" s="32" t="str">
        <f aca="false">IF(L328="","",INDEX(ポート振替表!$P$5:$P$3507,$L328)&amp;"")</f>
        <v/>
      </c>
      <c r="J328" s="60" t="str">
        <f aca="false">IF(L328="","",INDEX(ポート振替表!$M$5:$M$3507,$L328)&amp;"")</f>
        <v/>
      </c>
      <c r="K328" s="52" t="str">
        <f aca="false">IF(L328="","",E328&amp;CHAR(10)&amp;INDEX(ポート振替表!$K$5:$K$3507,$L328)&amp;" "&amp;INDEX(ポート振替表!$L$5:$L$3507,$L328)&amp;CHAR(10)&amp;"⇔ "&amp;INDEX(ポート振替表!$H$5:$H$3507,$L328)&amp;" "&amp;INDEX(ポート振替表!$I$5:$I$3507,$L328))</f>
        <v/>
      </c>
      <c r="L328" s="47" t="str">
        <f aca="false">IFERROR(MATCH(ROW()-4,ポート振替表!$V$5:$V$3507,0),"")</f>
        <v/>
      </c>
    </row>
    <row r="329" customFormat="false" ht="16.4" hidden="false" customHeight="false" outlineLevel="0" collapsed="false">
      <c r="A329" s="32" t="str">
        <f aca="false">IF(L329="","",ROW()-4)</f>
        <v/>
      </c>
      <c r="B329" s="58" t="str">
        <f aca="false">IF(L329="","",IF(INDEX(ポート振替表!$W$5:$W$3507,$L329)="","(なし)",INDEX(ポート振替表!$W$5:$W$3507,$L329)&amp;""))</f>
        <v/>
      </c>
      <c r="C329" s="52" t="str">
        <f aca="false">IF(L329="","",INDEX(ポート振替表!$B$5:$B$3507,$L329)&amp;" "&amp;INDEX(ポート振替表!$C$5:$C$3507,$L329)&amp;"  ⇔  "&amp;INDEX(ポート振替表!$H$5:$H$3507,$L329)&amp;" "&amp;INDEX(ポート振替表!$I$5:$I$3507,$L329))</f>
        <v/>
      </c>
      <c r="D329" s="57" t="s">
        <v>158</v>
      </c>
      <c r="E329" s="59" t="str">
        <f aca="false">IF(L329="","",IF(INDEX(ポート振替表!$O$5:$O$3507,$L329)="","(未設定)",INDEX(ポート振替表!$O$5:$O$3507,$L329)&amp;""))</f>
        <v/>
      </c>
      <c r="F329" s="52" t="str">
        <f aca="false">IF(L329="","",INDEX(ポート振替表!$K$5:$K$3507,$L329)&amp;" "&amp;INDEX(ポート振替表!$L$5:$L$3507,$L329)&amp;"  ⇔  "&amp;INDEX(ポート振替表!$H$5:$H$3507,$L329)&amp;" "&amp;INDEX(ポート振替表!$I$5:$I$3507,$L329))</f>
        <v/>
      </c>
      <c r="G329" s="57" t="s">
        <v>158</v>
      </c>
      <c r="H329" s="32" t="str">
        <f aca="false">IF(L329="","",INDEX(ポート振替表!$N$5:$N$3507,$L329)&amp;"")</f>
        <v/>
      </c>
      <c r="I329" s="32" t="str">
        <f aca="false">IF(L329="","",INDEX(ポート振替表!$P$5:$P$3507,$L329)&amp;"")</f>
        <v/>
      </c>
      <c r="J329" s="60" t="str">
        <f aca="false">IF(L329="","",INDEX(ポート振替表!$M$5:$M$3507,$L329)&amp;"")</f>
        <v/>
      </c>
      <c r="K329" s="52" t="str">
        <f aca="false">IF(L329="","",E329&amp;CHAR(10)&amp;INDEX(ポート振替表!$K$5:$K$3507,$L329)&amp;" "&amp;INDEX(ポート振替表!$L$5:$L$3507,$L329)&amp;CHAR(10)&amp;"⇔ "&amp;INDEX(ポート振替表!$H$5:$H$3507,$L329)&amp;" "&amp;INDEX(ポート振替表!$I$5:$I$3507,$L329))</f>
        <v/>
      </c>
      <c r="L329" s="47" t="str">
        <f aca="false">IFERROR(MATCH(ROW()-4,ポート振替表!$V$5:$V$3507,0),"")</f>
        <v/>
      </c>
    </row>
    <row r="330" customFormat="false" ht="16.4" hidden="false" customHeight="false" outlineLevel="0" collapsed="false">
      <c r="A330" s="32" t="str">
        <f aca="false">IF(L330="","",ROW()-4)</f>
        <v/>
      </c>
      <c r="B330" s="58" t="str">
        <f aca="false">IF(L330="","",IF(INDEX(ポート振替表!$W$5:$W$3507,$L330)="","(なし)",INDEX(ポート振替表!$W$5:$W$3507,$L330)&amp;""))</f>
        <v/>
      </c>
      <c r="C330" s="52" t="str">
        <f aca="false">IF(L330="","",INDEX(ポート振替表!$B$5:$B$3507,$L330)&amp;" "&amp;INDEX(ポート振替表!$C$5:$C$3507,$L330)&amp;"  ⇔  "&amp;INDEX(ポート振替表!$H$5:$H$3507,$L330)&amp;" "&amp;INDEX(ポート振替表!$I$5:$I$3507,$L330))</f>
        <v/>
      </c>
      <c r="D330" s="57" t="s">
        <v>158</v>
      </c>
      <c r="E330" s="59" t="str">
        <f aca="false">IF(L330="","",IF(INDEX(ポート振替表!$O$5:$O$3507,$L330)="","(未設定)",INDEX(ポート振替表!$O$5:$O$3507,$L330)&amp;""))</f>
        <v/>
      </c>
      <c r="F330" s="52" t="str">
        <f aca="false">IF(L330="","",INDEX(ポート振替表!$K$5:$K$3507,$L330)&amp;" "&amp;INDEX(ポート振替表!$L$5:$L$3507,$L330)&amp;"  ⇔  "&amp;INDEX(ポート振替表!$H$5:$H$3507,$L330)&amp;" "&amp;INDEX(ポート振替表!$I$5:$I$3507,$L330))</f>
        <v/>
      </c>
      <c r="G330" s="57" t="s">
        <v>158</v>
      </c>
      <c r="H330" s="32" t="str">
        <f aca="false">IF(L330="","",INDEX(ポート振替表!$N$5:$N$3507,$L330)&amp;"")</f>
        <v/>
      </c>
      <c r="I330" s="32" t="str">
        <f aca="false">IF(L330="","",INDEX(ポート振替表!$P$5:$P$3507,$L330)&amp;"")</f>
        <v/>
      </c>
      <c r="J330" s="60" t="str">
        <f aca="false">IF(L330="","",INDEX(ポート振替表!$M$5:$M$3507,$L330)&amp;"")</f>
        <v/>
      </c>
      <c r="K330" s="52" t="str">
        <f aca="false">IF(L330="","",E330&amp;CHAR(10)&amp;INDEX(ポート振替表!$K$5:$K$3507,$L330)&amp;" "&amp;INDEX(ポート振替表!$L$5:$L$3507,$L330)&amp;CHAR(10)&amp;"⇔ "&amp;INDEX(ポート振替表!$H$5:$H$3507,$L330)&amp;" "&amp;INDEX(ポート振替表!$I$5:$I$3507,$L330))</f>
        <v/>
      </c>
      <c r="L330" s="47" t="str">
        <f aca="false">IFERROR(MATCH(ROW()-4,ポート振替表!$V$5:$V$3507,0),"")</f>
        <v/>
      </c>
    </row>
    <row r="331" customFormat="false" ht="16.4" hidden="false" customHeight="false" outlineLevel="0" collapsed="false">
      <c r="A331" s="32" t="str">
        <f aca="false">IF(L331="","",ROW()-4)</f>
        <v/>
      </c>
      <c r="B331" s="58" t="str">
        <f aca="false">IF(L331="","",IF(INDEX(ポート振替表!$W$5:$W$3507,$L331)="","(なし)",INDEX(ポート振替表!$W$5:$W$3507,$L331)&amp;""))</f>
        <v/>
      </c>
      <c r="C331" s="52" t="str">
        <f aca="false">IF(L331="","",INDEX(ポート振替表!$B$5:$B$3507,$L331)&amp;" "&amp;INDEX(ポート振替表!$C$5:$C$3507,$L331)&amp;"  ⇔  "&amp;INDEX(ポート振替表!$H$5:$H$3507,$L331)&amp;" "&amp;INDEX(ポート振替表!$I$5:$I$3507,$L331))</f>
        <v/>
      </c>
      <c r="D331" s="57" t="s">
        <v>158</v>
      </c>
      <c r="E331" s="59" t="str">
        <f aca="false">IF(L331="","",IF(INDEX(ポート振替表!$O$5:$O$3507,$L331)="","(未設定)",INDEX(ポート振替表!$O$5:$O$3507,$L331)&amp;""))</f>
        <v/>
      </c>
      <c r="F331" s="52" t="str">
        <f aca="false">IF(L331="","",INDEX(ポート振替表!$K$5:$K$3507,$L331)&amp;" "&amp;INDEX(ポート振替表!$L$5:$L$3507,$L331)&amp;"  ⇔  "&amp;INDEX(ポート振替表!$H$5:$H$3507,$L331)&amp;" "&amp;INDEX(ポート振替表!$I$5:$I$3507,$L331))</f>
        <v/>
      </c>
      <c r="G331" s="57" t="s">
        <v>158</v>
      </c>
      <c r="H331" s="32" t="str">
        <f aca="false">IF(L331="","",INDEX(ポート振替表!$N$5:$N$3507,$L331)&amp;"")</f>
        <v/>
      </c>
      <c r="I331" s="32" t="str">
        <f aca="false">IF(L331="","",INDEX(ポート振替表!$P$5:$P$3507,$L331)&amp;"")</f>
        <v/>
      </c>
      <c r="J331" s="60" t="str">
        <f aca="false">IF(L331="","",INDEX(ポート振替表!$M$5:$M$3507,$L331)&amp;"")</f>
        <v/>
      </c>
      <c r="K331" s="52" t="str">
        <f aca="false">IF(L331="","",E331&amp;CHAR(10)&amp;INDEX(ポート振替表!$K$5:$K$3507,$L331)&amp;" "&amp;INDEX(ポート振替表!$L$5:$L$3507,$L331)&amp;CHAR(10)&amp;"⇔ "&amp;INDEX(ポート振替表!$H$5:$H$3507,$L331)&amp;" "&amp;INDEX(ポート振替表!$I$5:$I$3507,$L331))</f>
        <v/>
      </c>
      <c r="L331" s="47" t="str">
        <f aca="false">IFERROR(MATCH(ROW()-4,ポート振替表!$V$5:$V$3507,0),"")</f>
        <v/>
      </c>
    </row>
    <row r="332" customFormat="false" ht="16.4" hidden="false" customHeight="false" outlineLevel="0" collapsed="false">
      <c r="A332" s="32" t="str">
        <f aca="false">IF(L332="","",ROW()-4)</f>
        <v/>
      </c>
      <c r="B332" s="58" t="str">
        <f aca="false">IF(L332="","",IF(INDEX(ポート振替表!$W$5:$W$3507,$L332)="","(なし)",INDEX(ポート振替表!$W$5:$W$3507,$L332)&amp;""))</f>
        <v/>
      </c>
      <c r="C332" s="52" t="str">
        <f aca="false">IF(L332="","",INDEX(ポート振替表!$B$5:$B$3507,$L332)&amp;" "&amp;INDEX(ポート振替表!$C$5:$C$3507,$L332)&amp;"  ⇔  "&amp;INDEX(ポート振替表!$H$5:$H$3507,$L332)&amp;" "&amp;INDEX(ポート振替表!$I$5:$I$3507,$L332))</f>
        <v/>
      </c>
      <c r="D332" s="57" t="s">
        <v>158</v>
      </c>
      <c r="E332" s="59" t="str">
        <f aca="false">IF(L332="","",IF(INDEX(ポート振替表!$O$5:$O$3507,$L332)="","(未設定)",INDEX(ポート振替表!$O$5:$O$3507,$L332)&amp;""))</f>
        <v/>
      </c>
      <c r="F332" s="52" t="str">
        <f aca="false">IF(L332="","",INDEX(ポート振替表!$K$5:$K$3507,$L332)&amp;" "&amp;INDEX(ポート振替表!$L$5:$L$3507,$L332)&amp;"  ⇔  "&amp;INDEX(ポート振替表!$H$5:$H$3507,$L332)&amp;" "&amp;INDEX(ポート振替表!$I$5:$I$3507,$L332))</f>
        <v/>
      </c>
      <c r="G332" s="57" t="s">
        <v>158</v>
      </c>
      <c r="H332" s="32" t="str">
        <f aca="false">IF(L332="","",INDEX(ポート振替表!$N$5:$N$3507,$L332)&amp;"")</f>
        <v/>
      </c>
      <c r="I332" s="32" t="str">
        <f aca="false">IF(L332="","",INDEX(ポート振替表!$P$5:$P$3507,$L332)&amp;"")</f>
        <v/>
      </c>
      <c r="J332" s="60" t="str">
        <f aca="false">IF(L332="","",INDEX(ポート振替表!$M$5:$M$3507,$L332)&amp;"")</f>
        <v/>
      </c>
      <c r="K332" s="52" t="str">
        <f aca="false">IF(L332="","",E332&amp;CHAR(10)&amp;INDEX(ポート振替表!$K$5:$K$3507,$L332)&amp;" "&amp;INDEX(ポート振替表!$L$5:$L$3507,$L332)&amp;CHAR(10)&amp;"⇔ "&amp;INDEX(ポート振替表!$H$5:$H$3507,$L332)&amp;" "&amp;INDEX(ポート振替表!$I$5:$I$3507,$L332))</f>
        <v/>
      </c>
      <c r="L332" s="47" t="str">
        <f aca="false">IFERROR(MATCH(ROW()-4,ポート振替表!$V$5:$V$3507,0),"")</f>
        <v/>
      </c>
    </row>
    <row r="333" customFormat="false" ht="16.4" hidden="false" customHeight="false" outlineLevel="0" collapsed="false">
      <c r="A333" s="32" t="str">
        <f aca="false">IF(L333="","",ROW()-4)</f>
        <v/>
      </c>
      <c r="B333" s="58" t="str">
        <f aca="false">IF(L333="","",IF(INDEX(ポート振替表!$W$5:$W$3507,$L333)="","(なし)",INDEX(ポート振替表!$W$5:$W$3507,$L333)&amp;""))</f>
        <v/>
      </c>
      <c r="C333" s="52" t="str">
        <f aca="false">IF(L333="","",INDEX(ポート振替表!$B$5:$B$3507,$L333)&amp;" "&amp;INDEX(ポート振替表!$C$5:$C$3507,$L333)&amp;"  ⇔  "&amp;INDEX(ポート振替表!$H$5:$H$3507,$L333)&amp;" "&amp;INDEX(ポート振替表!$I$5:$I$3507,$L333))</f>
        <v/>
      </c>
      <c r="D333" s="57" t="s">
        <v>158</v>
      </c>
      <c r="E333" s="59" t="str">
        <f aca="false">IF(L333="","",IF(INDEX(ポート振替表!$O$5:$O$3507,$L333)="","(未設定)",INDEX(ポート振替表!$O$5:$O$3507,$L333)&amp;""))</f>
        <v/>
      </c>
      <c r="F333" s="52" t="str">
        <f aca="false">IF(L333="","",INDEX(ポート振替表!$K$5:$K$3507,$L333)&amp;" "&amp;INDEX(ポート振替表!$L$5:$L$3507,$L333)&amp;"  ⇔  "&amp;INDEX(ポート振替表!$H$5:$H$3507,$L333)&amp;" "&amp;INDEX(ポート振替表!$I$5:$I$3507,$L333))</f>
        <v/>
      </c>
      <c r="G333" s="57" t="s">
        <v>158</v>
      </c>
      <c r="H333" s="32" t="str">
        <f aca="false">IF(L333="","",INDEX(ポート振替表!$N$5:$N$3507,$L333)&amp;"")</f>
        <v/>
      </c>
      <c r="I333" s="32" t="str">
        <f aca="false">IF(L333="","",INDEX(ポート振替表!$P$5:$P$3507,$L333)&amp;"")</f>
        <v/>
      </c>
      <c r="J333" s="60" t="str">
        <f aca="false">IF(L333="","",INDEX(ポート振替表!$M$5:$M$3507,$L333)&amp;"")</f>
        <v/>
      </c>
      <c r="K333" s="52" t="str">
        <f aca="false">IF(L333="","",E333&amp;CHAR(10)&amp;INDEX(ポート振替表!$K$5:$K$3507,$L333)&amp;" "&amp;INDEX(ポート振替表!$L$5:$L$3507,$L333)&amp;CHAR(10)&amp;"⇔ "&amp;INDEX(ポート振替表!$H$5:$H$3507,$L333)&amp;" "&amp;INDEX(ポート振替表!$I$5:$I$3507,$L333))</f>
        <v/>
      </c>
      <c r="L333" s="47" t="str">
        <f aca="false">IFERROR(MATCH(ROW()-4,ポート振替表!$V$5:$V$3507,0),"")</f>
        <v/>
      </c>
    </row>
    <row r="334" customFormat="false" ht="16.4" hidden="false" customHeight="false" outlineLevel="0" collapsed="false">
      <c r="A334" s="32" t="str">
        <f aca="false">IF(L334="","",ROW()-4)</f>
        <v/>
      </c>
      <c r="B334" s="58" t="str">
        <f aca="false">IF(L334="","",IF(INDEX(ポート振替表!$W$5:$W$3507,$L334)="","(なし)",INDEX(ポート振替表!$W$5:$W$3507,$L334)&amp;""))</f>
        <v/>
      </c>
      <c r="C334" s="52" t="str">
        <f aca="false">IF(L334="","",INDEX(ポート振替表!$B$5:$B$3507,$L334)&amp;" "&amp;INDEX(ポート振替表!$C$5:$C$3507,$L334)&amp;"  ⇔  "&amp;INDEX(ポート振替表!$H$5:$H$3507,$L334)&amp;" "&amp;INDEX(ポート振替表!$I$5:$I$3507,$L334))</f>
        <v/>
      </c>
      <c r="D334" s="57" t="s">
        <v>158</v>
      </c>
      <c r="E334" s="59" t="str">
        <f aca="false">IF(L334="","",IF(INDEX(ポート振替表!$O$5:$O$3507,$L334)="","(未設定)",INDEX(ポート振替表!$O$5:$O$3507,$L334)&amp;""))</f>
        <v/>
      </c>
      <c r="F334" s="52" t="str">
        <f aca="false">IF(L334="","",INDEX(ポート振替表!$K$5:$K$3507,$L334)&amp;" "&amp;INDEX(ポート振替表!$L$5:$L$3507,$L334)&amp;"  ⇔  "&amp;INDEX(ポート振替表!$H$5:$H$3507,$L334)&amp;" "&amp;INDEX(ポート振替表!$I$5:$I$3507,$L334))</f>
        <v/>
      </c>
      <c r="G334" s="57" t="s">
        <v>158</v>
      </c>
      <c r="H334" s="32" t="str">
        <f aca="false">IF(L334="","",INDEX(ポート振替表!$N$5:$N$3507,$L334)&amp;"")</f>
        <v/>
      </c>
      <c r="I334" s="32" t="str">
        <f aca="false">IF(L334="","",INDEX(ポート振替表!$P$5:$P$3507,$L334)&amp;"")</f>
        <v/>
      </c>
      <c r="J334" s="60" t="str">
        <f aca="false">IF(L334="","",INDEX(ポート振替表!$M$5:$M$3507,$L334)&amp;"")</f>
        <v/>
      </c>
      <c r="K334" s="52" t="str">
        <f aca="false">IF(L334="","",E334&amp;CHAR(10)&amp;INDEX(ポート振替表!$K$5:$K$3507,$L334)&amp;" "&amp;INDEX(ポート振替表!$L$5:$L$3507,$L334)&amp;CHAR(10)&amp;"⇔ "&amp;INDEX(ポート振替表!$H$5:$H$3507,$L334)&amp;" "&amp;INDEX(ポート振替表!$I$5:$I$3507,$L334))</f>
        <v/>
      </c>
      <c r="L334" s="47" t="str">
        <f aca="false">IFERROR(MATCH(ROW()-4,ポート振替表!$V$5:$V$3507,0),"")</f>
        <v/>
      </c>
    </row>
    <row r="335" customFormat="false" ht="16.4" hidden="false" customHeight="false" outlineLevel="0" collapsed="false">
      <c r="A335" s="32" t="str">
        <f aca="false">IF(L335="","",ROW()-4)</f>
        <v/>
      </c>
      <c r="B335" s="58" t="str">
        <f aca="false">IF(L335="","",IF(INDEX(ポート振替表!$W$5:$W$3507,$L335)="","(なし)",INDEX(ポート振替表!$W$5:$W$3507,$L335)&amp;""))</f>
        <v/>
      </c>
      <c r="C335" s="52" t="str">
        <f aca="false">IF(L335="","",INDEX(ポート振替表!$B$5:$B$3507,$L335)&amp;" "&amp;INDEX(ポート振替表!$C$5:$C$3507,$L335)&amp;"  ⇔  "&amp;INDEX(ポート振替表!$H$5:$H$3507,$L335)&amp;" "&amp;INDEX(ポート振替表!$I$5:$I$3507,$L335))</f>
        <v/>
      </c>
      <c r="D335" s="57" t="s">
        <v>158</v>
      </c>
      <c r="E335" s="59" t="str">
        <f aca="false">IF(L335="","",IF(INDEX(ポート振替表!$O$5:$O$3507,$L335)="","(未設定)",INDEX(ポート振替表!$O$5:$O$3507,$L335)&amp;""))</f>
        <v/>
      </c>
      <c r="F335" s="52" t="str">
        <f aca="false">IF(L335="","",INDEX(ポート振替表!$K$5:$K$3507,$L335)&amp;" "&amp;INDEX(ポート振替表!$L$5:$L$3507,$L335)&amp;"  ⇔  "&amp;INDEX(ポート振替表!$H$5:$H$3507,$L335)&amp;" "&amp;INDEX(ポート振替表!$I$5:$I$3507,$L335))</f>
        <v/>
      </c>
      <c r="G335" s="57" t="s">
        <v>158</v>
      </c>
      <c r="H335" s="32" t="str">
        <f aca="false">IF(L335="","",INDEX(ポート振替表!$N$5:$N$3507,$L335)&amp;"")</f>
        <v/>
      </c>
      <c r="I335" s="32" t="str">
        <f aca="false">IF(L335="","",INDEX(ポート振替表!$P$5:$P$3507,$L335)&amp;"")</f>
        <v/>
      </c>
      <c r="J335" s="60" t="str">
        <f aca="false">IF(L335="","",INDEX(ポート振替表!$M$5:$M$3507,$L335)&amp;"")</f>
        <v/>
      </c>
      <c r="K335" s="52" t="str">
        <f aca="false">IF(L335="","",E335&amp;CHAR(10)&amp;INDEX(ポート振替表!$K$5:$K$3507,$L335)&amp;" "&amp;INDEX(ポート振替表!$L$5:$L$3507,$L335)&amp;CHAR(10)&amp;"⇔ "&amp;INDEX(ポート振替表!$H$5:$H$3507,$L335)&amp;" "&amp;INDEX(ポート振替表!$I$5:$I$3507,$L335))</f>
        <v/>
      </c>
      <c r="L335" s="47" t="str">
        <f aca="false">IFERROR(MATCH(ROW()-4,ポート振替表!$V$5:$V$3507,0),"")</f>
        <v/>
      </c>
    </row>
    <row r="336" customFormat="false" ht="16.4" hidden="false" customHeight="false" outlineLevel="0" collapsed="false">
      <c r="A336" s="32" t="str">
        <f aca="false">IF(L336="","",ROW()-4)</f>
        <v/>
      </c>
      <c r="B336" s="58" t="str">
        <f aca="false">IF(L336="","",IF(INDEX(ポート振替表!$W$5:$W$3507,$L336)="","(なし)",INDEX(ポート振替表!$W$5:$W$3507,$L336)&amp;""))</f>
        <v/>
      </c>
      <c r="C336" s="52" t="str">
        <f aca="false">IF(L336="","",INDEX(ポート振替表!$B$5:$B$3507,$L336)&amp;" "&amp;INDEX(ポート振替表!$C$5:$C$3507,$L336)&amp;"  ⇔  "&amp;INDEX(ポート振替表!$H$5:$H$3507,$L336)&amp;" "&amp;INDEX(ポート振替表!$I$5:$I$3507,$L336))</f>
        <v/>
      </c>
      <c r="D336" s="57" t="s">
        <v>158</v>
      </c>
      <c r="E336" s="59" t="str">
        <f aca="false">IF(L336="","",IF(INDEX(ポート振替表!$O$5:$O$3507,$L336)="","(未設定)",INDEX(ポート振替表!$O$5:$O$3507,$L336)&amp;""))</f>
        <v/>
      </c>
      <c r="F336" s="52" t="str">
        <f aca="false">IF(L336="","",INDEX(ポート振替表!$K$5:$K$3507,$L336)&amp;" "&amp;INDEX(ポート振替表!$L$5:$L$3507,$L336)&amp;"  ⇔  "&amp;INDEX(ポート振替表!$H$5:$H$3507,$L336)&amp;" "&amp;INDEX(ポート振替表!$I$5:$I$3507,$L336))</f>
        <v/>
      </c>
      <c r="G336" s="57" t="s">
        <v>158</v>
      </c>
      <c r="H336" s="32" t="str">
        <f aca="false">IF(L336="","",INDEX(ポート振替表!$N$5:$N$3507,$L336)&amp;"")</f>
        <v/>
      </c>
      <c r="I336" s="32" t="str">
        <f aca="false">IF(L336="","",INDEX(ポート振替表!$P$5:$P$3507,$L336)&amp;"")</f>
        <v/>
      </c>
      <c r="J336" s="60" t="str">
        <f aca="false">IF(L336="","",INDEX(ポート振替表!$M$5:$M$3507,$L336)&amp;"")</f>
        <v/>
      </c>
      <c r="K336" s="52" t="str">
        <f aca="false">IF(L336="","",E336&amp;CHAR(10)&amp;INDEX(ポート振替表!$K$5:$K$3507,$L336)&amp;" "&amp;INDEX(ポート振替表!$L$5:$L$3507,$L336)&amp;CHAR(10)&amp;"⇔ "&amp;INDEX(ポート振替表!$H$5:$H$3507,$L336)&amp;" "&amp;INDEX(ポート振替表!$I$5:$I$3507,$L336))</f>
        <v/>
      </c>
      <c r="L336" s="47" t="str">
        <f aca="false">IFERROR(MATCH(ROW()-4,ポート振替表!$V$5:$V$3507,0),"")</f>
        <v/>
      </c>
    </row>
    <row r="337" customFormat="false" ht="16.4" hidden="false" customHeight="false" outlineLevel="0" collapsed="false">
      <c r="A337" s="32" t="str">
        <f aca="false">IF(L337="","",ROW()-4)</f>
        <v/>
      </c>
      <c r="B337" s="58" t="str">
        <f aca="false">IF(L337="","",IF(INDEX(ポート振替表!$W$5:$W$3507,$L337)="","(なし)",INDEX(ポート振替表!$W$5:$W$3507,$L337)&amp;""))</f>
        <v/>
      </c>
      <c r="C337" s="52" t="str">
        <f aca="false">IF(L337="","",INDEX(ポート振替表!$B$5:$B$3507,$L337)&amp;" "&amp;INDEX(ポート振替表!$C$5:$C$3507,$L337)&amp;"  ⇔  "&amp;INDEX(ポート振替表!$H$5:$H$3507,$L337)&amp;" "&amp;INDEX(ポート振替表!$I$5:$I$3507,$L337))</f>
        <v/>
      </c>
      <c r="D337" s="57" t="s">
        <v>158</v>
      </c>
      <c r="E337" s="59" t="str">
        <f aca="false">IF(L337="","",IF(INDEX(ポート振替表!$O$5:$O$3507,$L337)="","(未設定)",INDEX(ポート振替表!$O$5:$O$3507,$L337)&amp;""))</f>
        <v/>
      </c>
      <c r="F337" s="52" t="str">
        <f aca="false">IF(L337="","",INDEX(ポート振替表!$K$5:$K$3507,$L337)&amp;" "&amp;INDEX(ポート振替表!$L$5:$L$3507,$L337)&amp;"  ⇔  "&amp;INDEX(ポート振替表!$H$5:$H$3507,$L337)&amp;" "&amp;INDEX(ポート振替表!$I$5:$I$3507,$L337))</f>
        <v/>
      </c>
      <c r="G337" s="57" t="s">
        <v>158</v>
      </c>
      <c r="H337" s="32" t="str">
        <f aca="false">IF(L337="","",INDEX(ポート振替表!$N$5:$N$3507,$L337)&amp;"")</f>
        <v/>
      </c>
      <c r="I337" s="32" t="str">
        <f aca="false">IF(L337="","",INDEX(ポート振替表!$P$5:$P$3507,$L337)&amp;"")</f>
        <v/>
      </c>
      <c r="J337" s="60" t="str">
        <f aca="false">IF(L337="","",INDEX(ポート振替表!$M$5:$M$3507,$L337)&amp;"")</f>
        <v/>
      </c>
      <c r="K337" s="52" t="str">
        <f aca="false">IF(L337="","",E337&amp;CHAR(10)&amp;INDEX(ポート振替表!$K$5:$K$3507,$L337)&amp;" "&amp;INDEX(ポート振替表!$L$5:$L$3507,$L337)&amp;CHAR(10)&amp;"⇔ "&amp;INDEX(ポート振替表!$H$5:$H$3507,$L337)&amp;" "&amp;INDEX(ポート振替表!$I$5:$I$3507,$L337))</f>
        <v/>
      </c>
      <c r="L337" s="47" t="str">
        <f aca="false">IFERROR(MATCH(ROW()-4,ポート振替表!$V$5:$V$3507,0),"")</f>
        <v/>
      </c>
    </row>
    <row r="338" customFormat="false" ht="16.4" hidden="false" customHeight="false" outlineLevel="0" collapsed="false">
      <c r="A338" s="32" t="str">
        <f aca="false">IF(L338="","",ROW()-4)</f>
        <v/>
      </c>
      <c r="B338" s="58" t="str">
        <f aca="false">IF(L338="","",IF(INDEX(ポート振替表!$W$5:$W$3507,$L338)="","(なし)",INDEX(ポート振替表!$W$5:$W$3507,$L338)&amp;""))</f>
        <v/>
      </c>
      <c r="C338" s="52" t="str">
        <f aca="false">IF(L338="","",INDEX(ポート振替表!$B$5:$B$3507,$L338)&amp;" "&amp;INDEX(ポート振替表!$C$5:$C$3507,$L338)&amp;"  ⇔  "&amp;INDEX(ポート振替表!$H$5:$H$3507,$L338)&amp;" "&amp;INDEX(ポート振替表!$I$5:$I$3507,$L338))</f>
        <v/>
      </c>
      <c r="D338" s="57" t="s">
        <v>158</v>
      </c>
      <c r="E338" s="59" t="str">
        <f aca="false">IF(L338="","",IF(INDEX(ポート振替表!$O$5:$O$3507,$L338)="","(未設定)",INDEX(ポート振替表!$O$5:$O$3507,$L338)&amp;""))</f>
        <v/>
      </c>
      <c r="F338" s="52" t="str">
        <f aca="false">IF(L338="","",INDEX(ポート振替表!$K$5:$K$3507,$L338)&amp;" "&amp;INDEX(ポート振替表!$L$5:$L$3507,$L338)&amp;"  ⇔  "&amp;INDEX(ポート振替表!$H$5:$H$3507,$L338)&amp;" "&amp;INDEX(ポート振替表!$I$5:$I$3507,$L338))</f>
        <v/>
      </c>
      <c r="G338" s="57" t="s">
        <v>158</v>
      </c>
      <c r="H338" s="32" t="str">
        <f aca="false">IF(L338="","",INDEX(ポート振替表!$N$5:$N$3507,$L338)&amp;"")</f>
        <v/>
      </c>
      <c r="I338" s="32" t="str">
        <f aca="false">IF(L338="","",INDEX(ポート振替表!$P$5:$P$3507,$L338)&amp;"")</f>
        <v/>
      </c>
      <c r="J338" s="60" t="str">
        <f aca="false">IF(L338="","",INDEX(ポート振替表!$M$5:$M$3507,$L338)&amp;"")</f>
        <v/>
      </c>
      <c r="K338" s="52" t="str">
        <f aca="false">IF(L338="","",E338&amp;CHAR(10)&amp;INDEX(ポート振替表!$K$5:$K$3507,$L338)&amp;" "&amp;INDEX(ポート振替表!$L$5:$L$3507,$L338)&amp;CHAR(10)&amp;"⇔ "&amp;INDEX(ポート振替表!$H$5:$H$3507,$L338)&amp;" "&amp;INDEX(ポート振替表!$I$5:$I$3507,$L338))</f>
        <v/>
      </c>
      <c r="L338" s="47" t="str">
        <f aca="false">IFERROR(MATCH(ROW()-4,ポート振替表!$V$5:$V$3507,0),"")</f>
        <v/>
      </c>
    </row>
    <row r="339" customFormat="false" ht="16.4" hidden="false" customHeight="false" outlineLevel="0" collapsed="false">
      <c r="A339" s="32" t="str">
        <f aca="false">IF(L339="","",ROW()-4)</f>
        <v/>
      </c>
      <c r="B339" s="58" t="str">
        <f aca="false">IF(L339="","",IF(INDEX(ポート振替表!$W$5:$W$3507,$L339)="","(なし)",INDEX(ポート振替表!$W$5:$W$3507,$L339)&amp;""))</f>
        <v/>
      </c>
      <c r="C339" s="52" t="str">
        <f aca="false">IF(L339="","",INDEX(ポート振替表!$B$5:$B$3507,$L339)&amp;" "&amp;INDEX(ポート振替表!$C$5:$C$3507,$L339)&amp;"  ⇔  "&amp;INDEX(ポート振替表!$H$5:$H$3507,$L339)&amp;" "&amp;INDEX(ポート振替表!$I$5:$I$3507,$L339))</f>
        <v/>
      </c>
      <c r="D339" s="57" t="s">
        <v>158</v>
      </c>
      <c r="E339" s="59" t="str">
        <f aca="false">IF(L339="","",IF(INDEX(ポート振替表!$O$5:$O$3507,$L339)="","(未設定)",INDEX(ポート振替表!$O$5:$O$3507,$L339)&amp;""))</f>
        <v/>
      </c>
      <c r="F339" s="52" t="str">
        <f aca="false">IF(L339="","",INDEX(ポート振替表!$K$5:$K$3507,$L339)&amp;" "&amp;INDEX(ポート振替表!$L$5:$L$3507,$L339)&amp;"  ⇔  "&amp;INDEX(ポート振替表!$H$5:$H$3507,$L339)&amp;" "&amp;INDEX(ポート振替表!$I$5:$I$3507,$L339))</f>
        <v/>
      </c>
      <c r="G339" s="57" t="s">
        <v>158</v>
      </c>
      <c r="H339" s="32" t="str">
        <f aca="false">IF(L339="","",INDEX(ポート振替表!$N$5:$N$3507,$L339)&amp;"")</f>
        <v/>
      </c>
      <c r="I339" s="32" t="str">
        <f aca="false">IF(L339="","",INDEX(ポート振替表!$P$5:$P$3507,$L339)&amp;"")</f>
        <v/>
      </c>
      <c r="J339" s="60" t="str">
        <f aca="false">IF(L339="","",INDEX(ポート振替表!$M$5:$M$3507,$L339)&amp;"")</f>
        <v/>
      </c>
      <c r="K339" s="52" t="str">
        <f aca="false">IF(L339="","",E339&amp;CHAR(10)&amp;INDEX(ポート振替表!$K$5:$K$3507,$L339)&amp;" "&amp;INDEX(ポート振替表!$L$5:$L$3507,$L339)&amp;CHAR(10)&amp;"⇔ "&amp;INDEX(ポート振替表!$H$5:$H$3507,$L339)&amp;" "&amp;INDEX(ポート振替表!$I$5:$I$3507,$L339))</f>
        <v/>
      </c>
      <c r="L339" s="47" t="str">
        <f aca="false">IFERROR(MATCH(ROW()-4,ポート振替表!$V$5:$V$3507,0),"")</f>
        <v/>
      </c>
    </row>
    <row r="340" customFormat="false" ht="16.4" hidden="false" customHeight="false" outlineLevel="0" collapsed="false">
      <c r="A340" s="32" t="str">
        <f aca="false">IF(L340="","",ROW()-4)</f>
        <v/>
      </c>
      <c r="B340" s="58" t="str">
        <f aca="false">IF(L340="","",IF(INDEX(ポート振替表!$W$5:$W$3507,$L340)="","(なし)",INDEX(ポート振替表!$W$5:$W$3507,$L340)&amp;""))</f>
        <v/>
      </c>
      <c r="C340" s="52" t="str">
        <f aca="false">IF(L340="","",INDEX(ポート振替表!$B$5:$B$3507,$L340)&amp;" "&amp;INDEX(ポート振替表!$C$5:$C$3507,$L340)&amp;"  ⇔  "&amp;INDEX(ポート振替表!$H$5:$H$3507,$L340)&amp;" "&amp;INDEX(ポート振替表!$I$5:$I$3507,$L340))</f>
        <v/>
      </c>
      <c r="D340" s="57" t="s">
        <v>158</v>
      </c>
      <c r="E340" s="59" t="str">
        <f aca="false">IF(L340="","",IF(INDEX(ポート振替表!$O$5:$O$3507,$L340)="","(未設定)",INDEX(ポート振替表!$O$5:$O$3507,$L340)&amp;""))</f>
        <v/>
      </c>
      <c r="F340" s="52" t="str">
        <f aca="false">IF(L340="","",INDEX(ポート振替表!$K$5:$K$3507,$L340)&amp;" "&amp;INDEX(ポート振替表!$L$5:$L$3507,$L340)&amp;"  ⇔  "&amp;INDEX(ポート振替表!$H$5:$H$3507,$L340)&amp;" "&amp;INDEX(ポート振替表!$I$5:$I$3507,$L340))</f>
        <v/>
      </c>
      <c r="G340" s="57" t="s">
        <v>158</v>
      </c>
      <c r="H340" s="32" t="str">
        <f aca="false">IF(L340="","",INDEX(ポート振替表!$N$5:$N$3507,$L340)&amp;"")</f>
        <v/>
      </c>
      <c r="I340" s="32" t="str">
        <f aca="false">IF(L340="","",INDEX(ポート振替表!$P$5:$P$3507,$L340)&amp;"")</f>
        <v/>
      </c>
      <c r="J340" s="60" t="str">
        <f aca="false">IF(L340="","",INDEX(ポート振替表!$M$5:$M$3507,$L340)&amp;"")</f>
        <v/>
      </c>
      <c r="K340" s="52" t="str">
        <f aca="false">IF(L340="","",E340&amp;CHAR(10)&amp;INDEX(ポート振替表!$K$5:$K$3507,$L340)&amp;" "&amp;INDEX(ポート振替表!$L$5:$L$3507,$L340)&amp;CHAR(10)&amp;"⇔ "&amp;INDEX(ポート振替表!$H$5:$H$3507,$L340)&amp;" "&amp;INDEX(ポート振替表!$I$5:$I$3507,$L340))</f>
        <v/>
      </c>
      <c r="L340" s="47" t="str">
        <f aca="false">IFERROR(MATCH(ROW()-4,ポート振替表!$V$5:$V$3507,0),"")</f>
        <v/>
      </c>
    </row>
    <row r="341" customFormat="false" ht="16.4" hidden="false" customHeight="false" outlineLevel="0" collapsed="false">
      <c r="A341" s="32" t="str">
        <f aca="false">IF(L341="","",ROW()-4)</f>
        <v/>
      </c>
      <c r="B341" s="58" t="str">
        <f aca="false">IF(L341="","",IF(INDEX(ポート振替表!$W$5:$W$3507,$L341)="","(なし)",INDEX(ポート振替表!$W$5:$W$3507,$L341)&amp;""))</f>
        <v/>
      </c>
      <c r="C341" s="52" t="str">
        <f aca="false">IF(L341="","",INDEX(ポート振替表!$B$5:$B$3507,$L341)&amp;" "&amp;INDEX(ポート振替表!$C$5:$C$3507,$L341)&amp;"  ⇔  "&amp;INDEX(ポート振替表!$H$5:$H$3507,$L341)&amp;" "&amp;INDEX(ポート振替表!$I$5:$I$3507,$L341))</f>
        <v/>
      </c>
      <c r="D341" s="57" t="s">
        <v>158</v>
      </c>
      <c r="E341" s="59" t="str">
        <f aca="false">IF(L341="","",IF(INDEX(ポート振替表!$O$5:$O$3507,$L341)="","(未設定)",INDEX(ポート振替表!$O$5:$O$3507,$L341)&amp;""))</f>
        <v/>
      </c>
      <c r="F341" s="52" t="str">
        <f aca="false">IF(L341="","",INDEX(ポート振替表!$K$5:$K$3507,$L341)&amp;" "&amp;INDEX(ポート振替表!$L$5:$L$3507,$L341)&amp;"  ⇔  "&amp;INDEX(ポート振替表!$H$5:$H$3507,$L341)&amp;" "&amp;INDEX(ポート振替表!$I$5:$I$3507,$L341))</f>
        <v/>
      </c>
      <c r="G341" s="57" t="s">
        <v>158</v>
      </c>
      <c r="H341" s="32" t="str">
        <f aca="false">IF(L341="","",INDEX(ポート振替表!$N$5:$N$3507,$L341)&amp;"")</f>
        <v/>
      </c>
      <c r="I341" s="32" t="str">
        <f aca="false">IF(L341="","",INDEX(ポート振替表!$P$5:$P$3507,$L341)&amp;"")</f>
        <v/>
      </c>
      <c r="J341" s="60" t="str">
        <f aca="false">IF(L341="","",INDEX(ポート振替表!$M$5:$M$3507,$L341)&amp;"")</f>
        <v/>
      </c>
      <c r="K341" s="52" t="str">
        <f aca="false">IF(L341="","",E341&amp;CHAR(10)&amp;INDEX(ポート振替表!$K$5:$K$3507,$L341)&amp;" "&amp;INDEX(ポート振替表!$L$5:$L$3507,$L341)&amp;CHAR(10)&amp;"⇔ "&amp;INDEX(ポート振替表!$H$5:$H$3507,$L341)&amp;" "&amp;INDEX(ポート振替表!$I$5:$I$3507,$L341))</f>
        <v/>
      </c>
      <c r="L341" s="47" t="str">
        <f aca="false">IFERROR(MATCH(ROW()-4,ポート振替表!$V$5:$V$3507,0),"")</f>
        <v/>
      </c>
    </row>
    <row r="342" customFormat="false" ht="16.4" hidden="false" customHeight="false" outlineLevel="0" collapsed="false">
      <c r="A342" s="32" t="str">
        <f aca="false">IF(L342="","",ROW()-4)</f>
        <v/>
      </c>
      <c r="B342" s="58" t="str">
        <f aca="false">IF(L342="","",IF(INDEX(ポート振替表!$W$5:$W$3507,$L342)="","(なし)",INDEX(ポート振替表!$W$5:$W$3507,$L342)&amp;""))</f>
        <v/>
      </c>
      <c r="C342" s="52" t="str">
        <f aca="false">IF(L342="","",INDEX(ポート振替表!$B$5:$B$3507,$L342)&amp;" "&amp;INDEX(ポート振替表!$C$5:$C$3507,$L342)&amp;"  ⇔  "&amp;INDEX(ポート振替表!$H$5:$H$3507,$L342)&amp;" "&amp;INDEX(ポート振替表!$I$5:$I$3507,$L342))</f>
        <v/>
      </c>
      <c r="D342" s="57" t="s">
        <v>158</v>
      </c>
      <c r="E342" s="59" t="str">
        <f aca="false">IF(L342="","",IF(INDEX(ポート振替表!$O$5:$O$3507,$L342)="","(未設定)",INDEX(ポート振替表!$O$5:$O$3507,$L342)&amp;""))</f>
        <v/>
      </c>
      <c r="F342" s="52" t="str">
        <f aca="false">IF(L342="","",INDEX(ポート振替表!$K$5:$K$3507,$L342)&amp;" "&amp;INDEX(ポート振替表!$L$5:$L$3507,$L342)&amp;"  ⇔  "&amp;INDEX(ポート振替表!$H$5:$H$3507,$L342)&amp;" "&amp;INDEX(ポート振替表!$I$5:$I$3507,$L342))</f>
        <v/>
      </c>
      <c r="G342" s="57" t="s">
        <v>158</v>
      </c>
      <c r="H342" s="32" t="str">
        <f aca="false">IF(L342="","",INDEX(ポート振替表!$N$5:$N$3507,$L342)&amp;"")</f>
        <v/>
      </c>
      <c r="I342" s="32" t="str">
        <f aca="false">IF(L342="","",INDEX(ポート振替表!$P$5:$P$3507,$L342)&amp;"")</f>
        <v/>
      </c>
      <c r="J342" s="60" t="str">
        <f aca="false">IF(L342="","",INDEX(ポート振替表!$M$5:$M$3507,$L342)&amp;"")</f>
        <v/>
      </c>
      <c r="K342" s="52" t="str">
        <f aca="false">IF(L342="","",E342&amp;CHAR(10)&amp;INDEX(ポート振替表!$K$5:$K$3507,$L342)&amp;" "&amp;INDEX(ポート振替表!$L$5:$L$3507,$L342)&amp;CHAR(10)&amp;"⇔ "&amp;INDEX(ポート振替表!$H$5:$H$3507,$L342)&amp;" "&amp;INDEX(ポート振替表!$I$5:$I$3507,$L342))</f>
        <v/>
      </c>
      <c r="L342" s="47" t="str">
        <f aca="false">IFERROR(MATCH(ROW()-4,ポート振替表!$V$5:$V$3507,0),"")</f>
        <v/>
      </c>
    </row>
    <row r="343" customFormat="false" ht="16.4" hidden="false" customHeight="false" outlineLevel="0" collapsed="false">
      <c r="A343" s="32" t="str">
        <f aca="false">IF(L343="","",ROW()-4)</f>
        <v/>
      </c>
      <c r="B343" s="58" t="str">
        <f aca="false">IF(L343="","",IF(INDEX(ポート振替表!$W$5:$W$3507,$L343)="","(なし)",INDEX(ポート振替表!$W$5:$W$3507,$L343)&amp;""))</f>
        <v/>
      </c>
      <c r="C343" s="52" t="str">
        <f aca="false">IF(L343="","",INDEX(ポート振替表!$B$5:$B$3507,$L343)&amp;" "&amp;INDEX(ポート振替表!$C$5:$C$3507,$L343)&amp;"  ⇔  "&amp;INDEX(ポート振替表!$H$5:$H$3507,$L343)&amp;" "&amp;INDEX(ポート振替表!$I$5:$I$3507,$L343))</f>
        <v/>
      </c>
      <c r="D343" s="57" t="s">
        <v>158</v>
      </c>
      <c r="E343" s="59" t="str">
        <f aca="false">IF(L343="","",IF(INDEX(ポート振替表!$O$5:$O$3507,$L343)="","(未設定)",INDEX(ポート振替表!$O$5:$O$3507,$L343)&amp;""))</f>
        <v/>
      </c>
      <c r="F343" s="52" t="str">
        <f aca="false">IF(L343="","",INDEX(ポート振替表!$K$5:$K$3507,$L343)&amp;" "&amp;INDEX(ポート振替表!$L$5:$L$3507,$L343)&amp;"  ⇔  "&amp;INDEX(ポート振替表!$H$5:$H$3507,$L343)&amp;" "&amp;INDEX(ポート振替表!$I$5:$I$3507,$L343))</f>
        <v/>
      </c>
      <c r="G343" s="57" t="s">
        <v>158</v>
      </c>
      <c r="H343" s="32" t="str">
        <f aca="false">IF(L343="","",INDEX(ポート振替表!$N$5:$N$3507,$L343)&amp;"")</f>
        <v/>
      </c>
      <c r="I343" s="32" t="str">
        <f aca="false">IF(L343="","",INDEX(ポート振替表!$P$5:$P$3507,$L343)&amp;"")</f>
        <v/>
      </c>
      <c r="J343" s="60" t="str">
        <f aca="false">IF(L343="","",INDEX(ポート振替表!$M$5:$M$3507,$L343)&amp;"")</f>
        <v/>
      </c>
      <c r="K343" s="52" t="str">
        <f aca="false">IF(L343="","",E343&amp;CHAR(10)&amp;INDEX(ポート振替表!$K$5:$K$3507,$L343)&amp;" "&amp;INDEX(ポート振替表!$L$5:$L$3507,$L343)&amp;CHAR(10)&amp;"⇔ "&amp;INDEX(ポート振替表!$H$5:$H$3507,$L343)&amp;" "&amp;INDEX(ポート振替表!$I$5:$I$3507,$L343))</f>
        <v/>
      </c>
      <c r="L343" s="47" t="str">
        <f aca="false">IFERROR(MATCH(ROW()-4,ポート振替表!$V$5:$V$3507,0),"")</f>
        <v/>
      </c>
    </row>
    <row r="344" customFormat="false" ht="16.4" hidden="false" customHeight="false" outlineLevel="0" collapsed="false">
      <c r="A344" s="32" t="str">
        <f aca="false">IF(L344="","",ROW()-4)</f>
        <v/>
      </c>
      <c r="B344" s="58" t="str">
        <f aca="false">IF(L344="","",IF(INDEX(ポート振替表!$W$5:$W$3507,$L344)="","(なし)",INDEX(ポート振替表!$W$5:$W$3507,$L344)&amp;""))</f>
        <v/>
      </c>
      <c r="C344" s="52" t="str">
        <f aca="false">IF(L344="","",INDEX(ポート振替表!$B$5:$B$3507,$L344)&amp;" "&amp;INDEX(ポート振替表!$C$5:$C$3507,$L344)&amp;"  ⇔  "&amp;INDEX(ポート振替表!$H$5:$H$3507,$L344)&amp;" "&amp;INDEX(ポート振替表!$I$5:$I$3507,$L344))</f>
        <v/>
      </c>
      <c r="D344" s="57" t="s">
        <v>158</v>
      </c>
      <c r="E344" s="59" t="str">
        <f aca="false">IF(L344="","",IF(INDEX(ポート振替表!$O$5:$O$3507,$L344)="","(未設定)",INDEX(ポート振替表!$O$5:$O$3507,$L344)&amp;""))</f>
        <v/>
      </c>
      <c r="F344" s="52" t="str">
        <f aca="false">IF(L344="","",INDEX(ポート振替表!$K$5:$K$3507,$L344)&amp;" "&amp;INDEX(ポート振替表!$L$5:$L$3507,$L344)&amp;"  ⇔  "&amp;INDEX(ポート振替表!$H$5:$H$3507,$L344)&amp;" "&amp;INDEX(ポート振替表!$I$5:$I$3507,$L344))</f>
        <v/>
      </c>
      <c r="G344" s="57" t="s">
        <v>158</v>
      </c>
      <c r="H344" s="32" t="str">
        <f aca="false">IF(L344="","",INDEX(ポート振替表!$N$5:$N$3507,$L344)&amp;"")</f>
        <v/>
      </c>
      <c r="I344" s="32" t="str">
        <f aca="false">IF(L344="","",INDEX(ポート振替表!$P$5:$P$3507,$L344)&amp;"")</f>
        <v/>
      </c>
      <c r="J344" s="60" t="str">
        <f aca="false">IF(L344="","",INDEX(ポート振替表!$M$5:$M$3507,$L344)&amp;"")</f>
        <v/>
      </c>
      <c r="K344" s="52" t="str">
        <f aca="false">IF(L344="","",E344&amp;CHAR(10)&amp;INDEX(ポート振替表!$K$5:$K$3507,$L344)&amp;" "&amp;INDEX(ポート振替表!$L$5:$L$3507,$L344)&amp;CHAR(10)&amp;"⇔ "&amp;INDEX(ポート振替表!$H$5:$H$3507,$L344)&amp;" "&amp;INDEX(ポート振替表!$I$5:$I$3507,$L344))</f>
        <v/>
      </c>
      <c r="L344" s="47" t="str">
        <f aca="false">IFERROR(MATCH(ROW()-4,ポート振替表!$V$5:$V$3507,0),"")</f>
        <v/>
      </c>
    </row>
    <row r="345" customFormat="false" ht="16.4" hidden="false" customHeight="false" outlineLevel="0" collapsed="false">
      <c r="A345" s="32" t="str">
        <f aca="false">IF(L345="","",ROW()-4)</f>
        <v/>
      </c>
      <c r="B345" s="58" t="str">
        <f aca="false">IF(L345="","",IF(INDEX(ポート振替表!$W$5:$W$3507,$L345)="","(なし)",INDEX(ポート振替表!$W$5:$W$3507,$L345)&amp;""))</f>
        <v/>
      </c>
      <c r="C345" s="52" t="str">
        <f aca="false">IF(L345="","",INDEX(ポート振替表!$B$5:$B$3507,$L345)&amp;" "&amp;INDEX(ポート振替表!$C$5:$C$3507,$L345)&amp;"  ⇔  "&amp;INDEX(ポート振替表!$H$5:$H$3507,$L345)&amp;" "&amp;INDEX(ポート振替表!$I$5:$I$3507,$L345))</f>
        <v/>
      </c>
      <c r="D345" s="57" t="s">
        <v>158</v>
      </c>
      <c r="E345" s="59" t="str">
        <f aca="false">IF(L345="","",IF(INDEX(ポート振替表!$O$5:$O$3507,$L345)="","(未設定)",INDEX(ポート振替表!$O$5:$O$3507,$L345)&amp;""))</f>
        <v/>
      </c>
      <c r="F345" s="52" t="str">
        <f aca="false">IF(L345="","",INDEX(ポート振替表!$K$5:$K$3507,$L345)&amp;" "&amp;INDEX(ポート振替表!$L$5:$L$3507,$L345)&amp;"  ⇔  "&amp;INDEX(ポート振替表!$H$5:$H$3507,$L345)&amp;" "&amp;INDEX(ポート振替表!$I$5:$I$3507,$L345))</f>
        <v/>
      </c>
      <c r="G345" s="57" t="s">
        <v>158</v>
      </c>
      <c r="H345" s="32" t="str">
        <f aca="false">IF(L345="","",INDEX(ポート振替表!$N$5:$N$3507,$L345)&amp;"")</f>
        <v/>
      </c>
      <c r="I345" s="32" t="str">
        <f aca="false">IF(L345="","",INDEX(ポート振替表!$P$5:$P$3507,$L345)&amp;"")</f>
        <v/>
      </c>
      <c r="J345" s="60" t="str">
        <f aca="false">IF(L345="","",INDEX(ポート振替表!$M$5:$M$3507,$L345)&amp;"")</f>
        <v/>
      </c>
      <c r="K345" s="52" t="str">
        <f aca="false">IF(L345="","",E345&amp;CHAR(10)&amp;INDEX(ポート振替表!$K$5:$K$3507,$L345)&amp;" "&amp;INDEX(ポート振替表!$L$5:$L$3507,$L345)&amp;CHAR(10)&amp;"⇔ "&amp;INDEX(ポート振替表!$H$5:$H$3507,$L345)&amp;" "&amp;INDEX(ポート振替表!$I$5:$I$3507,$L345))</f>
        <v/>
      </c>
      <c r="L345" s="47" t="str">
        <f aca="false">IFERROR(MATCH(ROW()-4,ポート振替表!$V$5:$V$3507,0),"")</f>
        <v/>
      </c>
    </row>
    <row r="346" customFormat="false" ht="16.4" hidden="false" customHeight="false" outlineLevel="0" collapsed="false">
      <c r="A346" s="32" t="str">
        <f aca="false">IF(L346="","",ROW()-4)</f>
        <v/>
      </c>
      <c r="B346" s="58" t="str">
        <f aca="false">IF(L346="","",IF(INDEX(ポート振替表!$W$5:$W$3507,$L346)="","(なし)",INDEX(ポート振替表!$W$5:$W$3507,$L346)&amp;""))</f>
        <v/>
      </c>
      <c r="C346" s="52" t="str">
        <f aca="false">IF(L346="","",INDEX(ポート振替表!$B$5:$B$3507,$L346)&amp;" "&amp;INDEX(ポート振替表!$C$5:$C$3507,$L346)&amp;"  ⇔  "&amp;INDEX(ポート振替表!$H$5:$H$3507,$L346)&amp;" "&amp;INDEX(ポート振替表!$I$5:$I$3507,$L346))</f>
        <v/>
      </c>
      <c r="D346" s="57" t="s">
        <v>158</v>
      </c>
      <c r="E346" s="59" t="str">
        <f aca="false">IF(L346="","",IF(INDEX(ポート振替表!$O$5:$O$3507,$L346)="","(未設定)",INDEX(ポート振替表!$O$5:$O$3507,$L346)&amp;""))</f>
        <v/>
      </c>
      <c r="F346" s="52" t="str">
        <f aca="false">IF(L346="","",INDEX(ポート振替表!$K$5:$K$3507,$L346)&amp;" "&amp;INDEX(ポート振替表!$L$5:$L$3507,$L346)&amp;"  ⇔  "&amp;INDEX(ポート振替表!$H$5:$H$3507,$L346)&amp;" "&amp;INDEX(ポート振替表!$I$5:$I$3507,$L346))</f>
        <v/>
      </c>
      <c r="G346" s="57" t="s">
        <v>158</v>
      </c>
      <c r="H346" s="32" t="str">
        <f aca="false">IF(L346="","",INDEX(ポート振替表!$N$5:$N$3507,$L346)&amp;"")</f>
        <v/>
      </c>
      <c r="I346" s="32" t="str">
        <f aca="false">IF(L346="","",INDEX(ポート振替表!$P$5:$P$3507,$L346)&amp;"")</f>
        <v/>
      </c>
      <c r="J346" s="60" t="str">
        <f aca="false">IF(L346="","",INDEX(ポート振替表!$M$5:$M$3507,$L346)&amp;"")</f>
        <v/>
      </c>
      <c r="K346" s="52" t="str">
        <f aca="false">IF(L346="","",E346&amp;CHAR(10)&amp;INDEX(ポート振替表!$K$5:$K$3507,$L346)&amp;" "&amp;INDEX(ポート振替表!$L$5:$L$3507,$L346)&amp;CHAR(10)&amp;"⇔ "&amp;INDEX(ポート振替表!$H$5:$H$3507,$L346)&amp;" "&amp;INDEX(ポート振替表!$I$5:$I$3507,$L346))</f>
        <v/>
      </c>
      <c r="L346" s="47" t="str">
        <f aca="false">IFERROR(MATCH(ROW()-4,ポート振替表!$V$5:$V$3507,0),"")</f>
        <v/>
      </c>
    </row>
    <row r="347" customFormat="false" ht="16.4" hidden="false" customHeight="false" outlineLevel="0" collapsed="false">
      <c r="A347" s="32" t="str">
        <f aca="false">IF(L347="","",ROW()-4)</f>
        <v/>
      </c>
      <c r="B347" s="58" t="str">
        <f aca="false">IF(L347="","",IF(INDEX(ポート振替表!$W$5:$W$3507,$L347)="","(なし)",INDEX(ポート振替表!$W$5:$W$3507,$L347)&amp;""))</f>
        <v/>
      </c>
      <c r="C347" s="52" t="str">
        <f aca="false">IF(L347="","",INDEX(ポート振替表!$B$5:$B$3507,$L347)&amp;" "&amp;INDEX(ポート振替表!$C$5:$C$3507,$L347)&amp;"  ⇔  "&amp;INDEX(ポート振替表!$H$5:$H$3507,$L347)&amp;" "&amp;INDEX(ポート振替表!$I$5:$I$3507,$L347))</f>
        <v/>
      </c>
      <c r="D347" s="57" t="s">
        <v>158</v>
      </c>
      <c r="E347" s="59" t="str">
        <f aca="false">IF(L347="","",IF(INDEX(ポート振替表!$O$5:$O$3507,$L347)="","(未設定)",INDEX(ポート振替表!$O$5:$O$3507,$L347)&amp;""))</f>
        <v/>
      </c>
      <c r="F347" s="52" t="str">
        <f aca="false">IF(L347="","",INDEX(ポート振替表!$K$5:$K$3507,$L347)&amp;" "&amp;INDEX(ポート振替表!$L$5:$L$3507,$L347)&amp;"  ⇔  "&amp;INDEX(ポート振替表!$H$5:$H$3507,$L347)&amp;" "&amp;INDEX(ポート振替表!$I$5:$I$3507,$L347))</f>
        <v/>
      </c>
      <c r="G347" s="57" t="s">
        <v>158</v>
      </c>
      <c r="H347" s="32" t="str">
        <f aca="false">IF(L347="","",INDEX(ポート振替表!$N$5:$N$3507,$L347)&amp;"")</f>
        <v/>
      </c>
      <c r="I347" s="32" t="str">
        <f aca="false">IF(L347="","",INDEX(ポート振替表!$P$5:$P$3507,$L347)&amp;"")</f>
        <v/>
      </c>
      <c r="J347" s="60" t="str">
        <f aca="false">IF(L347="","",INDEX(ポート振替表!$M$5:$M$3507,$L347)&amp;"")</f>
        <v/>
      </c>
      <c r="K347" s="52" t="str">
        <f aca="false">IF(L347="","",E347&amp;CHAR(10)&amp;INDEX(ポート振替表!$K$5:$K$3507,$L347)&amp;" "&amp;INDEX(ポート振替表!$L$5:$L$3507,$L347)&amp;CHAR(10)&amp;"⇔ "&amp;INDEX(ポート振替表!$H$5:$H$3507,$L347)&amp;" "&amp;INDEX(ポート振替表!$I$5:$I$3507,$L347))</f>
        <v/>
      </c>
      <c r="L347" s="47" t="str">
        <f aca="false">IFERROR(MATCH(ROW()-4,ポート振替表!$V$5:$V$3507,0),"")</f>
        <v/>
      </c>
    </row>
    <row r="348" customFormat="false" ht="16.4" hidden="false" customHeight="false" outlineLevel="0" collapsed="false">
      <c r="A348" s="32" t="str">
        <f aca="false">IF(L348="","",ROW()-4)</f>
        <v/>
      </c>
      <c r="B348" s="58" t="str">
        <f aca="false">IF(L348="","",IF(INDEX(ポート振替表!$W$5:$W$3507,$L348)="","(なし)",INDEX(ポート振替表!$W$5:$W$3507,$L348)&amp;""))</f>
        <v/>
      </c>
      <c r="C348" s="52" t="str">
        <f aca="false">IF(L348="","",INDEX(ポート振替表!$B$5:$B$3507,$L348)&amp;" "&amp;INDEX(ポート振替表!$C$5:$C$3507,$L348)&amp;"  ⇔  "&amp;INDEX(ポート振替表!$H$5:$H$3507,$L348)&amp;" "&amp;INDEX(ポート振替表!$I$5:$I$3507,$L348))</f>
        <v/>
      </c>
      <c r="D348" s="57" t="s">
        <v>158</v>
      </c>
      <c r="E348" s="59" t="str">
        <f aca="false">IF(L348="","",IF(INDEX(ポート振替表!$O$5:$O$3507,$L348)="","(未設定)",INDEX(ポート振替表!$O$5:$O$3507,$L348)&amp;""))</f>
        <v/>
      </c>
      <c r="F348" s="52" t="str">
        <f aca="false">IF(L348="","",INDEX(ポート振替表!$K$5:$K$3507,$L348)&amp;" "&amp;INDEX(ポート振替表!$L$5:$L$3507,$L348)&amp;"  ⇔  "&amp;INDEX(ポート振替表!$H$5:$H$3507,$L348)&amp;" "&amp;INDEX(ポート振替表!$I$5:$I$3507,$L348))</f>
        <v/>
      </c>
      <c r="G348" s="57" t="s">
        <v>158</v>
      </c>
      <c r="H348" s="32" t="str">
        <f aca="false">IF(L348="","",INDEX(ポート振替表!$N$5:$N$3507,$L348)&amp;"")</f>
        <v/>
      </c>
      <c r="I348" s="32" t="str">
        <f aca="false">IF(L348="","",INDEX(ポート振替表!$P$5:$P$3507,$L348)&amp;"")</f>
        <v/>
      </c>
      <c r="J348" s="60" t="str">
        <f aca="false">IF(L348="","",INDEX(ポート振替表!$M$5:$M$3507,$L348)&amp;"")</f>
        <v/>
      </c>
      <c r="K348" s="52" t="str">
        <f aca="false">IF(L348="","",E348&amp;CHAR(10)&amp;INDEX(ポート振替表!$K$5:$K$3507,$L348)&amp;" "&amp;INDEX(ポート振替表!$L$5:$L$3507,$L348)&amp;CHAR(10)&amp;"⇔ "&amp;INDEX(ポート振替表!$H$5:$H$3507,$L348)&amp;" "&amp;INDEX(ポート振替表!$I$5:$I$3507,$L348))</f>
        <v/>
      </c>
      <c r="L348" s="47" t="str">
        <f aca="false">IFERROR(MATCH(ROW()-4,ポート振替表!$V$5:$V$3507,0),"")</f>
        <v/>
      </c>
    </row>
    <row r="349" customFormat="false" ht="16.4" hidden="false" customHeight="false" outlineLevel="0" collapsed="false">
      <c r="A349" s="32" t="str">
        <f aca="false">IF(L349="","",ROW()-4)</f>
        <v/>
      </c>
      <c r="B349" s="58" t="str">
        <f aca="false">IF(L349="","",IF(INDEX(ポート振替表!$W$5:$W$3507,$L349)="","(なし)",INDEX(ポート振替表!$W$5:$W$3507,$L349)&amp;""))</f>
        <v/>
      </c>
      <c r="C349" s="52" t="str">
        <f aca="false">IF(L349="","",INDEX(ポート振替表!$B$5:$B$3507,$L349)&amp;" "&amp;INDEX(ポート振替表!$C$5:$C$3507,$L349)&amp;"  ⇔  "&amp;INDEX(ポート振替表!$H$5:$H$3507,$L349)&amp;" "&amp;INDEX(ポート振替表!$I$5:$I$3507,$L349))</f>
        <v/>
      </c>
      <c r="D349" s="57" t="s">
        <v>158</v>
      </c>
      <c r="E349" s="59" t="str">
        <f aca="false">IF(L349="","",IF(INDEX(ポート振替表!$O$5:$O$3507,$L349)="","(未設定)",INDEX(ポート振替表!$O$5:$O$3507,$L349)&amp;""))</f>
        <v/>
      </c>
      <c r="F349" s="52" t="str">
        <f aca="false">IF(L349="","",INDEX(ポート振替表!$K$5:$K$3507,$L349)&amp;" "&amp;INDEX(ポート振替表!$L$5:$L$3507,$L349)&amp;"  ⇔  "&amp;INDEX(ポート振替表!$H$5:$H$3507,$L349)&amp;" "&amp;INDEX(ポート振替表!$I$5:$I$3507,$L349))</f>
        <v/>
      </c>
      <c r="G349" s="57" t="s">
        <v>158</v>
      </c>
      <c r="H349" s="32" t="str">
        <f aca="false">IF(L349="","",INDEX(ポート振替表!$N$5:$N$3507,$L349)&amp;"")</f>
        <v/>
      </c>
      <c r="I349" s="32" t="str">
        <f aca="false">IF(L349="","",INDEX(ポート振替表!$P$5:$P$3507,$L349)&amp;"")</f>
        <v/>
      </c>
      <c r="J349" s="60" t="str">
        <f aca="false">IF(L349="","",INDEX(ポート振替表!$M$5:$M$3507,$L349)&amp;"")</f>
        <v/>
      </c>
      <c r="K349" s="52" t="str">
        <f aca="false">IF(L349="","",E349&amp;CHAR(10)&amp;INDEX(ポート振替表!$K$5:$K$3507,$L349)&amp;" "&amp;INDEX(ポート振替表!$L$5:$L$3507,$L349)&amp;CHAR(10)&amp;"⇔ "&amp;INDEX(ポート振替表!$H$5:$H$3507,$L349)&amp;" "&amp;INDEX(ポート振替表!$I$5:$I$3507,$L349))</f>
        <v/>
      </c>
      <c r="L349" s="47" t="str">
        <f aca="false">IFERROR(MATCH(ROW()-4,ポート振替表!$V$5:$V$3507,0),"")</f>
        <v/>
      </c>
    </row>
    <row r="350" customFormat="false" ht="16.4" hidden="false" customHeight="false" outlineLevel="0" collapsed="false">
      <c r="A350" s="32" t="str">
        <f aca="false">IF(L350="","",ROW()-4)</f>
        <v/>
      </c>
      <c r="B350" s="58" t="str">
        <f aca="false">IF(L350="","",IF(INDEX(ポート振替表!$W$5:$W$3507,$L350)="","(なし)",INDEX(ポート振替表!$W$5:$W$3507,$L350)&amp;""))</f>
        <v/>
      </c>
      <c r="C350" s="52" t="str">
        <f aca="false">IF(L350="","",INDEX(ポート振替表!$B$5:$B$3507,$L350)&amp;" "&amp;INDEX(ポート振替表!$C$5:$C$3507,$L350)&amp;"  ⇔  "&amp;INDEX(ポート振替表!$H$5:$H$3507,$L350)&amp;" "&amp;INDEX(ポート振替表!$I$5:$I$3507,$L350))</f>
        <v/>
      </c>
      <c r="D350" s="57" t="s">
        <v>158</v>
      </c>
      <c r="E350" s="59" t="str">
        <f aca="false">IF(L350="","",IF(INDEX(ポート振替表!$O$5:$O$3507,$L350)="","(未設定)",INDEX(ポート振替表!$O$5:$O$3507,$L350)&amp;""))</f>
        <v/>
      </c>
      <c r="F350" s="52" t="str">
        <f aca="false">IF(L350="","",INDEX(ポート振替表!$K$5:$K$3507,$L350)&amp;" "&amp;INDEX(ポート振替表!$L$5:$L$3507,$L350)&amp;"  ⇔  "&amp;INDEX(ポート振替表!$H$5:$H$3507,$L350)&amp;" "&amp;INDEX(ポート振替表!$I$5:$I$3507,$L350))</f>
        <v/>
      </c>
      <c r="G350" s="57" t="s">
        <v>158</v>
      </c>
      <c r="H350" s="32" t="str">
        <f aca="false">IF(L350="","",INDEX(ポート振替表!$N$5:$N$3507,$L350)&amp;"")</f>
        <v/>
      </c>
      <c r="I350" s="32" t="str">
        <f aca="false">IF(L350="","",INDEX(ポート振替表!$P$5:$P$3507,$L350)&amp;"")</f>
        <v/>
      </c>
      <c r="J350" s="60" t="str">
        <f aca="false">IF(L350="","",INDEX(ポート振替表!$M$5:$M$3507,$L350)&amp;"")</f>
        <v/>
      </c>
      <c r="K350" s="52" t="str">
        <f aca="false">IF(L350="","",E350&amp;CHAR(10)&amp;INDEX(ポート振替表!$K$5:$K$3507,$L350)&amp;" "&amp;INDEX(ポート振替表!$L$5:$L$3507,$L350)&amp;CHAR(10)&amp;"⇔ "&amp;INDEX(ポート振替表!$H$5:$H$3507,$L350)&amp;" "&amp;INDEX(ポート振替表!$I$5:$I$3507,$L350))</f>
        <v/>
      </c>
      <c r="L350" s="47" t="str">
        <f aca="false">IFERROR(MATCH(ROW()-4,ポート振替表!$V$5:$V$3507,0),"")</f>
        <v/>
      </c>
    </row>
    <row r="351" customFormat="false" ht="16.4" hidden="false" customHeight="false" outlineLevel="0" collapsed="false">
      <c r="A351" s="32" t="str">
        <f aca="false">IF(L351="","",ROW()-4)</f>
        <v/>
      </c>
      <c r="B351" s="58" t="str">
        <f aca="false">IF(L351="","",IF(INDEX(ポート振替表!$W$5:$W$3507,$L351)="","(なし)",INDEX(ポート振替表!$W$5:$W$3507,$L351)&amp;""))</f>
        <v/>
      </c>
      <c r="C351" s="52" t="str">
        <f aca="false">IF(L351="","",INDEX(ポート振替表!$B$5:$B$3507,$L351)&amp;" "&amp;INDEX(ポート振替表!$C$5:$C$3507,$L351)&amp;"  ⇔  "&amp;INDEX(ポート振替表!$H$5:$H$3507,$L351)&amp;" "&amp;INDEX(ポート振替表!$I$5:$I$3507,$L351))</f>
        <v/>
      </c>
      <c r="D351" s="57" t="s">
        <v>158</v>
      </c>
      <c r="E351" s="59" t="str">
        <f aca="false">IF(L351="","",IF(INDEX(ポート振替表!$O$5:$O$3507,$L351)="","(未設定)",INDEX(ポート振替表!$O$5:$O$3507,$L351)&amp;""))</f>
        <v/>
      </c>
      <c r="F351" s="52" t="str">
        <f aca="false">IF(L351="","",INDEX(ポート振替表!$K$5:$K$3507,$L351)&amp;" "&amp;INDEX(ポート振替表!$L$5:$L$3507,$L351)&amp;"  ⇔  "&amp;INDEX(ポート振替表!$H$5:$H$3507,$L351)&amp;" "&amp;INDEX(ポート振替表!$I$5:$I$3507,$L351))</f>
        <v/>
      </c>
      <c r="G351" s="57" t="s">
        <v>158</v>
      </c>
      <c r="H351" s="32" t="str">
        <f aca="false">IF(L351="","",INDEX(ポート振替表!$N$5:$N$3507,$L351)&amp;"")</f>
        <v/>
      </c>
      <c r="I351" s="32" t="str">
        <f aca="false">IF(L351="","",INDEX(ポート振替表!$P$5:$P$3507,$L351)&amp;"")</f>
        <v/>
      </c>
      <c r="J351" s="60" t="str">
        <f aca="false">IF(L351="","",INDEX(ポート振替表!$M$5:$M$3507,$L351)&amp;"")</f>
        <v/>
      </c>
      <c r="K351" s="52" t="str">
        <f aca="false">IF(L351="","",E351&amp;CHAR(10)&amp;INDEX(ポート振替表!$K$5:$K$3507,$L351)&amp;" "&amp;INDEX(ポート振替表!$L$5:$L$3507,$L351)&amp;CHAR(10)&amp;"⇔ "&amp;INDEX(ポート振替表!$H$5:$H$3507,$L351)&amp;" "&amp;INDEX(ポート振替表!$I$5:$I$3507,$L351))</f>
        <v/>
      </c>
      <c r="L351" s="47" t="str">
        <f aca="false">IFERROR(MATCH(ROW()-4,ポート振替表!$V$5:$V$3507,0),"")</f>
        <v/>
      </c>
    </row>
    <row r="352" customFormat="false" ht="16.4" hidden="false" customHeight="false" outlineLevel="0" collapsed="false">
      <c r="A352" s="32" t="str">
        <f aca="false">IF(L352="","",ROW()-4)</f>
        <v/>
      </c>
      <c r="B352" s="58" t="str">
        <f aca="false">IF(L352="","",IF(INDEX(ポート振替表!$W$5:$W$3507,$L352)="","(なし)",INDEX(ポート振替表!$W$5:$W$3507,$L352)&amp;""))</f>
        <v/>
      </c>
      <c r="C352" s="52" t="str">
        <f aca="false">IF(L352="","",INDEX(ポート振替表!$B$5:$B$3507,$L352)&amp;" "&amp;INDEX(ポート振替表!$C$5:$C$3507,$L352)&amp;"  ⇔  "&amp;INDEX(ポート振替表!$H$5:$H$3507,$L352)&amp;" "&amp;INDEX(ポート振替表!$I$5:$I$3507,$L352))</f>
        <v/>
      </c>
      <c r="D352" s="57" t="s">
        <v>158</v>
      </c>
      <c r="E352" s="59" t="str">
        <f aca="false">IF(L352="","",IF(INDEX(ポート振替表!$O$5:$O$3507,$L352)="","(未設定)",INDEX(ポート振替表!$O$5:$O$3507,$L352)&amp;""))</f>
        <v/>
      </c>
      <c r="F352" s="52" t="str">
        <f aca="false">IF(L352="","",INDEX(ポート振替表!$K$5:$K$3507,$L352)&amp;" "&amp;INDEX(ポート振替表!$L$5:$L$3507,$L352)&amp;"  ⇔  "&amp;INDEX(ポート振替表!$H$5:$H$3507,$L352)&amp;" "&amp;INDEX(ポート振替表!$I$5:$I$3507,$L352))</f>
        <v/>
      </c>
      <c r="G352" s="57" t="s">
        <v>158</v>
      </c>
      <c r="H352" s="32" t="str">
        <f aca="false">IF(L352="","",INDEX(ポート振替表!$N$5:$N$3507,$L352)&amp;"")</f>
        <v/>
      </c>
      <c r="I352" s="32" t="str">
        <f aca="false">IF(L352="","",INDEX(ポート振替表!$P$5:$P$3507,$L352)&amp;"")</f>
        <v/>
      </c>
      <c r="J352" s="60" t="str">
        <f aca="false">IF(L352="","",INDEX(ポート振替表!$M$5:$M$3507,$L352)&amp;"")</f>
        <v/>
      </c>
      <c r="K352" s="52" t="str">
        <f aca="false">IF(L352="","",E352&amp;CHAR(10)&amp;INDEX(ポート振替表!$K$5:$K$3507,$L352)&amp;" "&amp;INDEX(ポート振替表!$L$5:$L$3507,$L352)&amp;CHAR(10)&amp;"⇔ "&amp;INDEX(ポート振替表!$H$5:$H$3507,$L352)&amp;" "&amp;INDEX(ポート振替表!$I$5:$I$3507,$L352))</f>
        <v/>
      </c>
      <c r="L352" s="47" t="str">
        <f aca="false">IFERROR(MATCH(ROW()-4,ポート振替表!$V$5:$V$3507,0),"")</f>
        <v/>
      </c>
    </row>
    <row r="353" customFormat="false" ht="16.4" hidden="false" customHeight="false" outlineLevel="0" collapsed="false">
      <c r="A353" s="32" t="str">
        <f aca="false">IF(L353="","",ROW()-4)</f>
        <v/>
      </c>
      <c r="B353" s="58" t="str">
        <f aca="false">IF(L353="","",IF(INDEX(ポート振替表!$W$5:$W$3507,$L353)="","(なし)",INDEX(ポート振替表!$W$5:$W$3507,$L353)&amp;""))</f>
        <v/>
      </c>
      <c r="C353" s="52" t="str">
        <f aca="false">IF(L353="","",INDEX(ポート振替表!$B$5:$B$3507,$L353)&amp;" "&amp;INDEX(ポート振替表!$C$5:$C$3507,$L353)&amp;"  ⇔  "&amp;INDEX(ポート振替表!$H$5:$H$3507,$L353)&amp;" "&amp;INDEX(ポート振替表!$I$5:$I$3507,$L353))</f>
        <v/>
      </c>
      <c r="D353" s="57" t="s">
        <v>158</v>
      </c>
      <c r="E353" s="59" t="str">
        <f aca="false">IF(L353="","",IF(INDEX(ポート振替表!$O$5:$O$3507,$L353)="","(未設定)",INDEX(ポート振替表!$O$5:$O$3507,$L353)&amp;""))</f>
        <v/>
      </c>
      <c r="F353" s="52" t="str">
        <f aca="false">IF(L353="","",INDEX(ポート振替表!$K$5:$K$3507,$L353)&amp;" "&amp;INDEX(ポート振替表!$L$5:$L$3507,$L353)&amp;"  ⇔  "&amp;INDEX(ポート振替表!$H$5:$H$3507,$L353)&amp;" "&amp;INDEX(ポート振替表!$I$5:$I$3507,$L353))</f>
        <v/>
      </c>
      <c r="G353" s="57" t="s">
        <v>158</v>
      </c>
      <c r="H353" s="32" t="str">
        <f aca="false">IF(L353="","",INDEX(ポート振替表!$N$5:$N$3507,$L353)&amp;"")</f>
        <v/>
      </c>
      <c r="I353" s="32" t="str">
        <f aca="false">IF(L353="","",INDEX(ポート振替表!$P$5:$P$3507,$L353)&amp;"")</f>
        <v/>
      </c>
      <c r="J353" s="60" t="str">
        <f aca="false">IF(L353="","",INDEX(ポート振替表!$M$5:$M$3507,$L353)&amp;"")</f>
        <v/>
      </c>
      <c r="K353" s="52" t="str">
        <f aca="false">IF(L353="","",E353&amp;CHAR(10)&amp;INDEX(ポート振替表!$K$5:$K$3507,$L353)&amp;" "&amp;INDEX(ポート振替表!$L$5:$L$3507,$L353)&amp;CHAR(10)&amp;"⇔ "&amp;INDEX(ポート振替表!$H$5:$H$3507,$L353)&amp;" "&amp;INDEX(ポート振替表!$I$5:$I$3507,$L353))</f>
        <v/>
      </c>
      <c r="L353" s="47" t="str">
        <f aca="false">IFERROR(MATCH(ROW()-4,ポート振替表!$V$5:$V$3507,0),"")</f>
        <v/>
      </c>
    </row>
    <row r="354" customFormat="false" ht="16.4" hidden="false" customHeight="false" outlineLevel="0" collapsed="false">
      <c r="A354" s="32" t="str">
        <f aca="false">IF(L354="","",ROW()-4)</f>
        <v/>
      </c>
      <c r="B354" s="58" t="str">
        <f aca="false">IF(L354="","",IF(INDEX(ポート振替表!$W$5:$W$3507,$L354)="","(なし)",INDEX(ポート振替表!$W$5:$W$3507,$L354)&amp;""))</f>
        <v/>
      </c>
      <c r="C354" s="52" t="str">
        <f aca="false">IF(L354="","",INDEX(ポート振替表!$B$5:$B$3507,$L354)&amp;" "&amp;INDEX(ポート振替表!$C$5:$C$3507,$L354)&amp;"  ⇔  "&amp;INDEX(ポート振替表!$H$5:$H$3507,$L354)&amp;" "&amp;INDEX(ポート振替表!$I$5:$I$3507,$L354))</f>
        <v/>
      </c>
      <c r="D354" s="57" t="s">
        <v>158</v>
      </c>
      <c r="E354" s="59" t="str">
        <f aca="false">IF(L354="","",IF(INDEX(ポート振替表!$O$5:$O$3507,$L354)="","(未設定)",INDEX(ポート振替表!$O$5:$O$3507,$L354)&amp;""))</f>
        <v/>
      </c>
      <c r="F354" s="52" t="str">
        <f aca="false">IF(L354="","",INDEX(ポート振替表!$K$5:$K$3507,$L354)&amp;" "&amp;INDEX(ポート振替表!$L$5:$L$3507,$L354)&amp;"  ⇔  "&amp;INDEX(ポート振替表!$H$5:$H$3507,$L354)&amp;" "&amp;INDEX(ポート振替表!$I$5:$I$3507,$L354))</f>
        <v/>
      </c>
      <c r="G354" s="57" t="s">
        <v>158</v>
      </c>
      <c r="H354" s="32" t="str">
        <f aca="false">IF(L354="","",INDEX(ポート振替表!$N$5:$N$3507,$L354)&amp;"")</f>
        <v/>
      </c>
      <c r="I354" s="32" t="str">
        <f aca="false">IF(L354="","",INDEX(ポート振替表!$P$5:$P$3507,$L354)&amp;"")</f>
        <v/>
      </c>
      <c r="J354" s="60" t="str">
        <f aca="false">IF(L354="","",INDEX(ポート振替表!$M$5:$M$3507,$L354)&amp;"")</f>
        <v/>
      </c>
      <c r="K354" s="52" t="str">
        <f aca="false">IF(L354="","",E354&amp;CHAR(10)&amp;INDEX(ポート振替表!$K$5:$K$3507,$L354)&amp;" "&amp;INDEX(ポート振替表!$L$5:$L$3507,$L354)&amp;CHAR(10)&amp;"⇔ "&amp;INDEX(ポート振替表!$H$5:$H$3507,$L354)&amp;" "&amp;INDEX(ポート振替表!$I$5:$I$3507,$L354))</f>
        <v/>
      </c>
      <c r="L354" s="47" t="str">
        <f aca="false">IFERROR(MATCH(ROW()-4,ポート振替表!$V$5:$V$3507,0),"")</f>
        <v/>
      </c>
    </row>
    <row r="355" customFormat="false" ht="16.4" hidden="false" customHeight="false" outlineLevel="0" collapsed="false">
      <c r="A355" s="32" t="str">
        <f aca="false">IF(L355="","",ROW()-4)</f>
        <v/>
      </c>
      <c r="B355" s="58" t="str">
        <f aca="false">IF(L355="","",IF(INDEX(ポート振替表!$W$5:$W$3507,$L355)="","(なし)",INDEX(ポート振替表!$W$5:$W$3507,$L355)&amp;""))</f>
        <v/>
      </c>
      <c r="C355" s="52" t="str">
        <f aca="false">IF(L355="","",INDEX(ポート振替表!$B$5:$B$3507,$L355)&amp;" "&amp;INDEX(ポート振替表!$C$5:$C$3507,$L355)&amp;"  ⇔  "&amp;INDEX(ポート振替表!$H$5:$H$3507,$L355)&amp;" "&amp;INDEX(ポート振替表!$I$5:$I$3507,$L355))</f>
        <v/>
      </c>
      <c r="D355" s="57" t="s">
        <v>158</v>
      </c>
      <c r="E355" s="59" t="str">
        <f aca="false">IF(L355="","",IF(INDEX(ポート振替表!$O$5:$O$3507,$L355)="","(未設定)",INDEX(ポート振替表!$O$5:$O$3507,$L355)&amp;""))</f>
        <v/>
      </c>
      <c r="F355" s="52" t="str">
        <f aca="false">IF(L355="","",INDEX(ポート振替表!$K$5:$K$3507,$L355)&amp;" "&amp;INDEX(ポート振替表!$L$5:$L$3507,$L355)&amp;"  ⇔  "&amp;INDEX(ポート振替表!$H$5:$H$3507,$L355)&amp;" "&amp;INDEX(ポート振替表!$I$5:$I$3507,$L355))</f>
        <v/>
      </c>
      <c r="G355" s="57" t="s">
        <v>158</v>
      </c>
      <c r="H355" s="32" t="str">
        <f aca="false">IF(L355="","",INDEX(ポート振替表!$N$5:$N$3507,$L355)&amp;"")</f>
        <v/>
      </c>
      <c r="I355" s="32" t="str">
        <f aca="false">IF(L355="","",INDEX(ポート振替表!$P$5:$P$3507,$L355)&amp;"")</f>
        <v/>
      </c>
      <c r="J355" s="60" t="str">
        <f aca="false">IF(L355="","",INDEX(ポート振替表!$M$5:$M$3507,$L355)&amp;"")</f>
        <v/>
      </c>
      <c r="K355" s="52" t="str">
        <f aca="false">IF(L355="","",E355&amp;CHAR(10)&amp;INDEX(ポート振替表!$K$5:$K$3507,$L355)&amp;" "&amp;INDEX(ポート振替表!$L$5:$L$3507,$L355)&amp;CHAR(10)&amp;"⇔ "&amp;INDEX(ポート振替表!$H$5:$H$3507,$L355)&amp;" "&amp;INDEX(ポート振替表!$I$5:$I$3507,$L355))</f>
        <v/>
      </c>
      <c r="L355" s="47" t="str">
        <f aca="false">IFERROR(MATCH(ROW()-4,ポート振替表!$V$5:$V$3507,0),"")</f>
        <v/>
      </c>
    </row>
    <row r="356" customFormat="false" ht="16.4" hidden="false" customHeight="false" outlineLevel="0" collapsed="false">
      <c r="A356" s="32" t="str">
        <f aca="false">IF(L356="","",ROW()-4)</f>
        <v/>
      </c>
      <c r="B356" s="58" t="str">
        <f aca="false">IF(L356="","",IF(INDEX(ポート振替表!$W$5:$W$3507,$L356)="","(なし)",INDEX(ポート振替表!$W$5:$W$3507,$L356)&amp;""))</f>
        <v/>
      </c>
      <c r="C356" s="52" t="str">
        <f aca="false">IF(L356="","",INDEX(ポート振替表!$B$5:$B$3507,$L356)&amp;" "&amp;INDEX(ポート振替表!$C$5:$C$3507,$L356)&amp;"  ⇔  "&amp;INDEX(ポート振替表!$H$5:$H$3507,$L356)&amp;" "&amp;INDEX(ポート振替表!$I$5:$I$3507,$L356))</f>
        <v/>
      </c>
      <c r="D356" s="57" t="s">
        <v>158</v>
      </c>
      <c r="E356" s="59" t="str">
        <f aca="false">IF(L356="","",IF(INDEX(ポート振替表!$O$5:$O$3507,$L356)="","(未設定)",INDEX(ポート振替表!$O$5:$O$3507,$L356)&amp;""))</f>
        <v/>
      </c>
      <c r="F356" s="52" t="str">
        <f aca="false">IF(L356="","",INDEX(ポート振替表!$K$5:$K$3507,$L356)&amp;" "&amp;INDEX(ポート振替表!$L$5:$L$3507,$L356)&amp;"  ⇔  "&amp;INDEX(ポート振替表!$H$5:$H$3507,$L356)&amp;" "&amp;INDEX(ポート振替表!$I$5:$I$3507,$L356))</f>
        <v/>
      </c>
      <c r="G356" s="57" t="s">
        <v>158</v>
      </c>
      <c r="H356" s="32" t="str">
        <f aca="false">IF(L356="","",INDEX(ポート振替表!$N$5:$N$3507,$L356)&amp;"")</f>
        <v/>
      </c>
      <c r="I356" s="32" t="str">
        <f aca="false">IF(L356="","",INDEX(ポート振替表!$P$5:$P$3507,$L356)&amp;"")</f>
        <v/>
      </c>
      <c r="J356" s="60" t="str">
        <f aca="false">IF(L356="","",INDEX(ポート振替表!$M$5:$M$3507,$L356)&amp;"")</f>
        <v/>
      </c>
      <c r="K356" s="52" t="str">
        <f aca="false">IF(L356="","",E356&amp;CHAR(10)&amp;INDEX(ポート振替表!$K$5:$K$3507,$L356)&amp;" "&amp;INDEX(ポート振替表!$L$5:$L$3507,$L356)&amp;CHAR(10)&amp;"⇔ "&amp;INDEX(ポート振替表!$H$5:$H$3507,$L356)&amp;" "&amp;INDEX(ポート振替表!$I$5:$I$3507,$L356))</f>
        <v/>
      </c>
      <c r="L356" s="47" t="str">
        <f aca="false">IFERROR(MATCH(ROW()-4,ポート振替表!$V$5:$V$3507,0),"")</f>
        <v/>
      </c>
    </row>
    <row r="357" customFormat="false" ht="16.4" hidden="false" customHeight="false" outlineLevel="0" collapsed="false">
      <c r="A357" s="32" t="str">
        <f aca="false">IF(L357="","",ROW()-4)</f>
        <v/>
      </c>
      <c r="B357" s="58" t="str">
        <f aca="false">IF(L357="","",IF(INDEX(ポート振替表!$W$5:$W$3507,$L357)="","(なし)",INDEX(ポート振替表!$W$5:$W$3507,$L357)&amp;""))</f>
        <v/>
      </c>
      <c r="C357" s="52" t="str">
        <f aca="false">IF(L357="","",INDEX(ポート振替表!$B$5:$B$3507,$L357)&amp;" "&amp;INDEX(ポート振替表!$C$5:$C$3507,$L357)&amp;"  ⇔  "&amp;INDEX(ポート振替表!$H$5:$H$3507,$L357)&amp;" "&amp;INDEX(ポート振替表!$I$5:$I$3507,$L357))</f>
        <v/>
      </c>
      <c r="D357" s="57" t="s">
        <v>158</v>
      </c>
      <c r="E357" s="59" t="str">
        <f aca="false">IF(L357="","",IF(INDEX(ポート振替表!$O$5:$O$3507,$L357)="","(未設定)",INDEX(ポート振替表!$O$5:$O$3507,$L357)&amp;""))</f>
        <v/>
      </c>
      <c r="F357" s="52" t="str">
        <f aca="false">IF(L357="","",INDEX(ポート振替表!$K$5:$K$3507,$L357)&amp;" "&amp;INDEX(ポート振替表!$L$5:$L$3507,$L357)&amp;"  ⇔  "&amp;INDEX(ポート振替表!$H$5:$H$3507,$L357)&amp;" "&amp;INDEX(ポート振替表!$I$5:$I$3507,$L357))</f>
        <v/>
      </c>
      <c r="G357" s="57" t="s">
        <v>158</v>
      </c>
      <c r="H357" s="32" t="str">
        <f aca="false">IF(L357="","",INDEX(ポート振替表!$N$5:$N$3507,$L357)&amp;"")</f>
        <v/>
      </c>
      <c r="I357" s="32" t="str">
        <f aca="false">IF(L357="","",INDEX(ポート振替表!$P$5:$P$3507,$L357)&amp;"")</f>
        <v/>
      </c>
      <c r="J357" s="60" t="str">
        <f aca="false">IF(L357="","",INDEX(ポート振替表!$M$5:$M$3507,$L357)&amp;"")</f>
        <v/>
      </c>
      <c r="K357" s="52" t="str">
        <f aca="false">IF(L357="","",E357&amp;CHAR(10)&amp;INDEX(ポート振替表!$K$5:$K$3507,$L357)&amp;" "&amp;INDEX(ポート振替表!$L$5:$L$3507,$L357)&amp;CHAR(10)&amp;"⇔ "&amp;INDEX(ポート振替表!$H$5:$H$3507,$L357)&amp;" "&amp;INDEX(ポート振替表!$I$5:$I$3507,$L357))</f>
        <v/>
      </c>
      <c r="L357" s="47" t="str">
        <f aca="false">IFERROR(MATCH(ROW()-4,ポート振替表!$V$5:$V$3507,0),"")</f>
        <v/>
      </c>
    </row>
    <row r="358" customFormat="false" ht="16.4" hidden="false" customHeight="false" outlineLevel="0" collapsed="false">
      <c r="A358" s="32" t="str">
        <f aca="false">IF(L358="","",ROW()-4)</f>
        <v/>
      </c>
      <c r="B358" s="58" t="str">
        <f aca="false">IF(L358="","",IF(INDEX(ポート振替表!$W$5:$W$3507,$L358)="","(なし)",INDEX(ポート振替表!$W$5:$W$3507,$L358)&amp;""))</f>
        <v/>
      </c>
      <c r="C358" s="52" t="str">
        <f aca="false">IF(L358="","",INDEX(ポート振替表!$B$5:$B$3507,$L358)&amp;" "&amp;INDEX(ポート振替表!$C$5:$C$3507,$L358)&amp;"  ⇔  "&amp;INDEX(ポート振替表!$H$5:$H$3507,$L358)&amp;" "&amp;INDEX(ポート振替表!$I$5:$I$3507,$L358))</f>
        <v/>
      </c>
      <c r="D358" s="57" t="s">
        <v>158</v>
      </c>
      <c r="E358" s="59" t="str">
        <f aca="false">IF(L358="","",IF(INDEX(ポート振替表!$O$5:$O$3507,$L358)="","(未設定)",INDEX(ポート振替表!$O$5:$O$3507,$L358)&amp;""))</f>
        <v/>
      </c>
      <c r="F358" s="52" t="str">
        <f aca="false">IF(L358="","",INDEX(ポート振替表!$K$5:$K$3507,$L358)&amp;" "&amp;INDEX(ポート振替表!$L$5:$L$3507,$L358)&amp;"  ⇔  "&amp;INDEX(ポート振替表!$H$5:$H$3507,$L358)&amp;" "&amp;INDEX(ポート振替表!$I$5:$I$3507,$L358))</f>
        <v/>
      </c>
      <c r="G358" s="57" t="s">
        <v>158</v>
      </c>
      <c r="H358" s="32" t="str">
        <f aca="false">IF(L358="","",INDEX(ポート振替表!$N$5:$N$3507,$L358)&amp;"")</f>
        <v/>
      </c>
      <c r="I358" s="32" t="str">
        <f aca="false">IF(L358="","",INDEX(ポート振替表!$P$5:$P$3507,$L358)&amp;"")</f>
        <v/>
      </c>
      <c r="J358" s="60" t="str">
        <f aca="false">IF(L358="","",INDEX(ポート振替表!$M$5:$M$3507,$L358)&amp;"")</f>
        <v/>
      </c>
      <c r="K358" s="52" t="str">
        <f aca="false">IF(L358="","",E358&amp;CHAR(10)&amp;INDEX(ポート振替表!$K$5:$K$3507,$L358)&amp;" "&amp;INDEX(ポート振替表!$L$5:$L$3507,$L358)&amp;CHAR(10)&amp;"⇔ "&amp;INDEX(ポート振替表!$H$5:$H$3507,$L358)&amp;" "&amp;INDEX(ポート振替表!$I$5:$I$3507,$L358))</f>
        <v/>
      </c>
      <c r="L358" s="47" t="str">
        <f aca="false">IFERROR(MATCH(ROW()-4,ポート振替表!$V$5:$V$3507,0),"")</f>
        <v/>
      </c>
    </row>
    <row r="359" customFormat="false" ht="16.4" hidden="false" customHeight="false" outlineLevel="0" collapsed="false">
      <c r="A359" s="32" t="str">
        <f aca="false">IF(L359="","",ROW()-4)</f>
        <v/>
      </c>
      <c r="B359" s="58" t="str">
        <f aca="false">IF(L359="","",IF(INDEX(ポート振替表!$W$5:$W$3507,$L359)="","(なし)",INDEX(ポート振替表!$W$5:$W$3507,$L359)&amp;""))</f>
        <v/>
      </c>
      <c r="C359" s="52" t="str">
        <f aca="false">IF(L359="","",INDEX(ポート振替表!$B$5:$B$3507,$L359)&amp;" "&amp;INDEX(ポート振替表!$C$5:$C$3507,$L359)&amp;"  ⇔  "&amp;INDEX(ポート振替表!$H$5:$H$3507,$L359)&amp;" "&amp;INDEX(ポート振替表!$I$5:$I$3507,$L359))</f>
        <v/>
      </c>
      <c r="D359" s="57" t="s">
        <v>158</v>
      </c>
      <c r="E359" s="59" t="str">
        <f aca="false">IF(L359="","",IF(INDEX(ポート振替表!$O$5:$O$3507,$L359)="","(未設定)",INDEX(ポート振替表!$O$5:$O$3507,$L359)&amp;""))</f>
        <v/>
      </c>
      <c r="F359" s="52" t="str">
        <f aca="false">IF(L359="","",INDEX(ポート振替表!$K$5:$K$3507,$L359)&amp;" "&amp;INDEX(ポート振替表!$L$5:$L$3507,$L359)&amp;"  ⇔  "&amp;INDEX(ポート振替表!$H$5:$H$3507,$L359)&amp;" "&amp;INDEX(ポート振替表!$I$5:$I$3507,$L359))</f>
        <v/>
      </c>
      <c r="G359" s="57" t="s">
        <v>158</v>
      </c>
      <c r="H359" s="32" t="str">
        <f aca="false">IF(L359="","",INDEX(ポート振替表!$N$5:$N$3507,$L359)&amp;"")</f>
        <v/>
      </c>
      <c r="I359" s="32" t="str">
        <f aca="false">IF(L359="","",INDEX(ポート振替表!$P$5:$P$3507,$L359)&amp;"")</f>
        <v/>
      </c>
      <c r="J359" s="60" t="str">
        <f aca="false">IF(L359="","",INDEX(ポート振替表!$M$5:$M$3507,$L359)&amp;"")</f>
        <v/>
      </c>
      <c r="K359" s="52" t="str">
        <f aca="false">IF(L359="","",E359&amp;CHAR(10)&amp;INDEX(ポート振替表!$K$5:$K$3507,$L359)&amp;" "&amp;INDEX(ポート振替表!$L$5:$L$3507,$L359)&amp;CHAR(10)&amp;"⇔ "&amp;INDEX(ポート振替表!$H$5:$H$3507,$L359)&amp;" "&amp;INDEX(ポート振替表!$I$5:$I$3507,$L359))</f>
        <v/>
      </c>
      <c r="L359" s="47" t="str">
        <f aca="false">IFERROR(MATCH(ROW()-4,ポート振替表!$V$5:$V$3507,0),"")</f>
        <v/>
      </c>
    </row>
    <row r="360" customFormat="false" ht="16.4" hidden="false" customHeight="false" outlineLevel="0" collapsed="false">
      <c r="A360" s="32" t="str">
        <f aca="false">IF(L360="","",ROW()-4)</f>
        <v/>
      </c>
      <c r="B360" s="58" t="str">
        <f aca="false">IF(L360="","",IF(INDEX(ポート振替表!$W$5:$W$3507,$L360)="","(なし)",INDEX(ポート振替表!$W$5:$W$3507,$L360)&amp;""))</f>
        <v/>
      </c>
      <c r="C360" s="52" t="str">
        <f aca="false">IF(L360="","",INDEX(ポート振替表!$B$5:$B$3507,$L360)&amp;" "&amp;INDEX(ポート振替表!$C$5:$C$3507,$L360)&amp;"  ⇔  "&amp;INDEX(ポート振替表!$H$5:$H$3507,$L360)&amp;" "&amp;INDEX(ポート振替表!$I$5:$I$3507,$L360))</f>
        <v/>
      </c>
      <c r="D360" s="57" t="s">
        <v>158</v>
      </c>
      <c r="E360" s="59" t="str">
        <f aca="false">IF(L360="","",IF(INDEX(ポート振替表!$O$5:$O$3507,$L360)="","(未設定)",INDEX(ポート振替表!$O$5:$O$3507,$L360)&amp;""))</f>
        <v/>
      </c>
      <c r="F360" s="52" t="str">
        <f aca="false">IF(L360="","",INDEX(ポート振替表!$K$5:$K$3507,$L360)&amp;" "&amp;INDEX(ポート振替表!$L$5:$L$3507,$L360)&amp;"  ⇔  "&amp;INDEX(ポート振替表!$H$5:$H$3507,$L360)&amp;" "&amp;INDEX(ポート振替表!$I$5:$I$3507,$L360))</f>
        <v/>
      </c>
      <c r="G360" s="57" t="s">
        <v>158</v>
      </c>
      <c r="H360" s="32" t="str">
        <f aca="false">IF(L360="","",INDEX(ポート振替表!$N$5:$N$3507,$L360)&amp;"")</f>
        <v/>
      </c>
      <c r="I360" s="32" t="str">
        <f aca="false">IF(L360="","",INDEX(ポート振替表!$P$5:$P$3507,$L360)&amp;"")</f>
        <v/>
      </c>
      <c r="J360" s="60" t="str">
        <f aca="false">IF(L360="","",INDEX(ポート振替表!$M$5:$M$3507,$L360)&amp;"")</f>
        <v/>
      </c>
      <c r="K360" s="52" t="str">
        <f aca="false">IF(L360="","",E360&amp;CHAR(10)&amp;INDEX(ポート振替表!$K$5:$K$3507,$L360)&amp;" "&amp;INDEX(ポート振替表!$L$5:$L$3507,$L360)&amp;CHAR(10)&amp;"⇔ "&amp;INDEX(ポート振替表!$H$5:$H$3507,$L360)&amp;" "&amp;INDEX(ポート振替表!$I$5:$I$3507,$L360))</f>
        <v/>
      </c>
      <c r="L360" s="47" t="str">
        <f aca="false">IFERROR(MATCH(ROW()-4,ポート振替表!$V$5:$V$3507,0),"")</f>
        <v/>
      </c>
    </row>
    <row r="361" customFormat="false" ht="16.4" hidden="false" customHeight="false" outlineLevel="0" collapsed="false">
      <c r="A361" s="32" t="str">
        <f aca="false">IF(L361="","",ROW()-4)</f>
        <v/>
      </c>
      <c r="B361" s="58" t="str">
        <f aca="false">IF(L361="","",IF(INDEX(ポート振替表!$W$5:$W$3507,$L361)="","(なし)",INDEX(ポート振替表!$W$5:$W$3507,$L361)&amp;""))</f>
        <v/>
      </c>
      <c r="C361" s="52" t="str">
        <f aca="false">IF(L361="","",INDEX(ポート振替表!$B$5:$B$3507,$L361)&amp;" "&amp;INDEX(ポート振替表!$C$5:$C$3507,$L361)&amp;"  ⇔  "&amp;INDEX(ポート振替表!$H$5:$H$3507,$L361)&amp;" "&amp;INDEX(ポート振替表!$I$5:$I$3507,$L361))</f>
        <v/>
      </c>
      <c r="D361" s="57" t="s">
        <v>158</v>
      </c>
      <c r="E361" s="59" t="str">
        <f aca="false">IF(L361="","",IF(INDEX(ポート振替表!$O$5:$O$3507,$L361)="","(未設定)",INDEX(ポート振替表!$O$5:$O$3507,$L361)&amp;""))</f>
        <v/>
      </c>
      <c r="F361" s="52" t="str">
        <f aca="false">IF(L361="","",INDEX(ポート振替表!$K$5:$K$3507,$L361)&amp;" "&amp;INDEX(ポート振替表!$L$5:$L$3507,$L361)&amp;"  ⇔  "&amp;INDEX(ポート振替表!$H$5:$H$3507,$L361)&amp;" "&amp;INDEX(ポート振替表!$I$5:$I$3507,$L361))</f>
        <v/>
      </c>
      <c r="G361" s="57" t="s">
        <v>158</v>
      </c>
      <c r="H361" s="32" t="str">
        <f aca="false">IF(L361="","",INDEX(ポート振替表!$N$5:$N$3507,$L361)&amp;"")</f>
        <v/>
      </c>
      <c r="I361" s="32" t="str">
        <f aca="false">IF(L361="","",INDEX(ポート振替表!$P$5:$P$3507,$L361)&amp;"")</f>
        <v/>
      </c>
      <c r="J361" s="60" t="str">
        <f aca="false">IF(L361="","",INDEX(ポート振替表!$M$5:$M$3507,$L361)&amp;"")</f>
        <v/>
      </c>
      <c r="K361" s="52" t="str">
        <f aca="false">IF(L361="","",E361&amp;CHAR(10)&amp;INDEX(ポート振替表!$K$5:$K$3507,$L361)&amp;" "&amp;INDEX(ポート振替表!$L$5:$L$3507,$L361)&amp;CHAR(10)&amp;"⇔ "&amp;INDEX(ポート振替表!$H$5:$H$3507,$L361)&amp;" "&amp;INDEX(ポート振替表!$I$5:$I$3507,$L361))</f>
        <v/>
      </c>
      <c r="L361" s="47" t="str">
        <f aca="false">IFERROR(MATCH(ROW()-4,ポート振替表!$V$5:$V$3507,0),"")</f>
        <v/>
      </c>
    </row>
    <row r="362" customFormat="false" ht="16.4" hidden="false" customHeight="false" outlineLevel="0" collapsed="false">
      <c r="A362" s="32" t="str">
        <f aca="false">IF(L362="","",ROW()-4)</f>
        <v/>
      </c>
      <c r="B362" s="58" t="str">
        <f aca="false">IF(L362="","",IF(INDEX(ポート振替表!$W$5:$W$3507,$L362)="","(なし)",INDEX(ポート振替表!$W$5:$W$3507,$L362)&amp;""))</f>
        <v/>
      </c>
      <c r="C362" s="52" t="str">
        <f aca="false">IF(L362="","",INDEX(ポート振替表!$B$5:$B$3507,$L362)&amp;" "&amp;INDEX(ポート振替表!$C$5:$C$3507,$L362)&amp;"  ⇔  "&amp;INDEX(ポート振替表!$H$5:$H$3507,$L362)&amp;" "&amp;INDEX(ポート振替表!$I$5:$I$3507,$L362))</f>
        <v/>
      </c>
      <c r="D362" s="57" t="s">
        <v>158</v>
      </c>
      <c r="E362" s="59" t="str">
        <f aca="false">IF(L362="","",IF(INDEX(ポート振替表!$O$5:$O$3507,$L362)="","(未設定)",INDEX(ポート振替表!$O$5:$O$3507,$L362)&amp;""))</f>
        <v/>
      </c>
      <c r="F362" s="52" t="str">
        <f aca="false">IF(L362="","",INDEX(ポート振替表!$K$5:$K$3507,$L362)&amp;" "&amp;INDEX(ポート振替表!$L$5:$L$3507,$L362)&amp;"  ⇔  "&amp;INDEX(ポート振替表!$H$5:$H$3507,$L362)&amp;" "&amp;INDEX(ポート振替表!$I$5:$I$3507,$L362))</f>
        <v/>
      </c>
      <c r="G362" s="57" t="s">
        <v>158</v>
      </c>
      <c r="H362" s="32" t="str">
        <f aca="false">IF(L362="","",INDEX(ポート振替表!$N$5:$N$3507,$L362)&amp;"")</f>
        <v/>
      </c>
      <c r="I362" s="32" t="str">
        <f aca="false">IF(L362="","",INDEX(ポート振替表!$P$5:$P$3507,$L362)&amp;"")</f>
        <v/>
      </c>
      <c r="J362" s="60" t="str">
        <f aca="false">IF(L362="","",INDEX(ポート振替表!$M$5:$M$3507,$L362)&amp;"")</f>
        <v/>
      </c>
      <c r="K362" s="52" t="str">
        <f aca="false">IF(L362="","",E362&amp;CHAR(10)&amp;INDEX(ポート振替表!$K$5:$K$3507,$L362)&amp;" "&amp;INDEX(ポート振替表!$L$5:$L$3507,$L362)&amp;CHAR(10)&amp;"⇔ "&amp;INDEX(ポート振替表!$H$5:$H$3507,$L362)&amp;" "&amp;INDEX(ポート振替表!$I$5:$I$3507,$L362))</f>
        <v/>
      </c>
      <c r="L362" s="47" t="str">
        <f aca="false">IFERROR(MATCH(ROW()-4,ポート振替表!$V$5:$V$3507,0),"")</f>
        <v/>
      </c>
    </row>
    <row r="363" customFormat="false" ht="16.4" hidden="false" customHeight="false" outlineLevel="0" collapsed="false">
      <c r="A363" s="32" t="str">
        <f aca="false">IF(L363="","",ROW()-4)</f>
        <v/>
      </c>
      <c r="B363" s="58" t="str">
        <f aca="false">IF(L363="","",IF(INDEX(ポート振替表!$W$5:$W$3507,$L363)="","(なし)",INDEX(ポート振替表!$W$5:$W$3507,$L363)&amp;""))</f>
        <v/>
      </c>
      <c r="C363" s="52" t="str">
        <f aca="false">IF(L363="","",INDEX(ポート振替表!$B$5:$B$3507,$L363)&amp;" "&amp;INDEX(ポート振替表!$C$5:$C$3507,$L363)&amp;"  ⇔  "&amp;INDEX(ポート振替表!$H$5:$H$3507,$L363)&amp;" "&amp;INDEX(ポート振替表!$I$5:$I$3507,$L363))</f>
        <v/>
      </c>
      <c r="D363" s="57" t="s">
        <v>158</v>
      </c>
      <c r="E363" s="59" t="str">
        <f aca="false">IF(L363="","",IF(INDEX(ポート振替表!$O$5:$O$3507,$L363)="","(未設定)",INDEX(ポート振替表!$O$5:$O$3507,$L363)&amp;""))</f>
        <v/>
      </c>
      <c r="F363" s="52" t="str">
        <f aca="false">IF(L363="","",INDEX(ポート振替表!$K$5:$K$3507,$L363)&amp;" "&amp;INDEX(ポート振替表!$L$5:$L$3507,$L363)&amp;"  ⇔  "&amp;INDEX(ポート振替表!$H$5:$H$3507,$L363)&amp;" "&amp;INDEX(ポート振替表!$I$5:$I$3507,$L363))</f>
        <v/>
      </c>
      <c r="G363" s="57" t="s">
        <v>158</v>
      </c>
      <c r="H363" s="32" t="str">
        <f aca="false">IF(L363="","",INDEX(ポート振替表!$N$5:$N$3507,$L363)&amp;"")</f>
        <v/>
      </c>
      <c r="I363" s="32" t="str">
        <f aca="false">IF(L363="","",INDEX(ポート振替表!$P$5:$P$3507,$L363)&amp;"")</f>
        <v/>
      </c>
      <c r="J363" s="60" t="str">
        <f aca="false">IF(L363="","",INDEX(ポート振替表!$M$5:$M$3507,$L363)&amp;"")</f>
        <v/>
      </c>
      <c r="K363" s="52" t="str">
        <f aca="false">IF(L363="","",E363&amp;CHAR(10)&amp;INDEX(ポート振替表!$K$5:$K$3507,$L363)&amp;" "&amp;INDEX(ポート振替表!$L$5:$L$3507,$L363)&amp;CHAR(10)&amp;"⇔ "&amp;INDEX(ポート振替表!$H$5:$H$3507,$L363)&amp;" "&amp;INDEX(ポート振替表!$I$5:$I$3507,$L363))</f>
        <v/>
      </c>
      <c r="L363" s="47" t="str">
        <f aca="false">IFERROR(MATCH(ROW()-4,ポート振替表!$V$5:$V$3507,0),"")</f>
        <v/>
      </c>
    </row>
    <row r="364" customFormat="false" ht="16.4" hidden="false" customHeight="false" outlineLevel="0" collapsed="false">
      <c r="A364" s="32" t="str">
        <f aca="false">IF(L364="","",ROW()-4)</f>
        <v/>
      </c>
      <c r="B364" s="58" t="str">
        <f aca="false">IF(L364="","",IF(INDEX(ポート振替表!$W$5:$W$3507,$L364)="","(なし)",INDEX(ポート振替表!$W$5:$W$3507,$L364)&amp;""))</f>
        <v/>
      </c>
      <c r="C364" s="52" t="str">
        <f aca="false">IF(L364="","",INDEX(ポート振替表!$B$5:$B$3507,$L364)&amp;" "&amp;INDEX(ポート振替表!$C$5:$C$3507,$L364)&amp;"  ⇔  "&amp;INDEX(ポート振替表!$H$5:$H$3507,$L364)&amp;" "&amp;INDEX(ポート振替表!$I$5:$I$3507,$L364))</f>
        <v/>
      </c>
      <c r="D364" s="57" t="s">
        <v>158</v>
      </c>
      <c r="E364" s="59" t="str">
        <f aca="false">IF(L364="","",IF(INDEX(ポート振替表!$O$5:$O$3507,$L364)="","(未設定)",INDEX(ポート振替表!$O$5:$O$3507,$L364)&amp;""))</f>
        <v/>
      </c>
      <c r="F364" s="52" t="str">
        <f aca="false">IF(L364="","",INDEX(ポート振替表!$K$5:$K$3507,$L364)&amp;" "&amp;INDEX(ポート振替表!$L$5:$L$3507,$L364)&amp;"  ⇔  "&amp;INDEX(ポート振替表!$H$5:$H$3507,$L364)&amp;" "&amp;INDEX(ポート振替表!$I$5:$I$3507,$L364))</f>
        <v/>
      </c>
      <c r="G364" s="57" t="s">
        <v>158</v>
      </c>
      <c r="H364" s="32" t="str">
        <f aca="false">IF(L364="","",INDEX(ポート振替表!$N$5:$N$3507,$L364)&amp;"")</f>
        <v/>
      </c>
      <c r="I364" s="32" t="str">
        <f aca="false">IF(L364="","",INDEX(ポート振替表!$P$5:$P$3507,$L364)&amp;"")</f>
        <v/>
      </c>
      <c r="J364" s="60" t="str">
        <f aca="false">IF(L364="","",INDEX(ポート振替表!$M$5:$M$3507,$L364)&amp;"")</f>
        <v/>
      </c>
      <c r="K364" s="52" t="str">
        <f aca="false">IF(L364="","",E364&amp;CHAR(10)&amp;INDEX(ポート振替表!$K$5:$K$3507,$L364)&amp;" "&amp;INDEX(ポート振替表!$L$5:$L$3507,$L364)&amp;CHAR(10)&amp;"⇔ "&amp;INDEX(ポート振替表!$H$5:$H$3507,$L364)&amp;" "&amp;INDEX(ポート振替表!$I$5:$I$3507,$L364))</f>
        <v/>
      </c>
      <c r="L364" s="47" t="str">
        <f aca="false">IFERROR(MATCH(ROW()-4,ポート振替表!$V$5:$V$3507,0),"")</f>
        <v/>
      </c>
    </row>
    <row r="365" customFormat="false" ht="16.4" hidden="false" customHeight="false" outlineLevel="0" collapsed="false">
      <c r="A365" s="32" t="str">
        <f aca="false">IF(L365="","",ROW()-4)</f>
        <v/>
      </c>
      <c r="B365" s="58" t="str">
        <f aca="false">IF(L365="","",IF(INDEX(ポート振替表!$W$5:$W$3507,$L365)="","(なし)",INDEX(ポート振替表!$W$5:$W$3507,$L365)&amp;""))</f>
        <v/>
      </c>
      <c r="C365" s="52" t="str">
        <f aca="false">IF(L365="","",INDEX(ポート振替表!$B$5:$B$3507,$L365)&amp;" "&amp;INDEX(ポート振替表!$C$5:$C$3507,$L365)&amp;"  ⇔  "&amp;INDEX(ポート振替表!$H$5:$H$3507,$L365)&amp;" "&amp;INDEX(ポート振替表!$I$5:$I$3507,$L365))</f>
        <v/>
      </c>
      <c r="D365" s="57" t="s">
        <v>158</v>
      </c>
      <c r="E365" s="59" t="str">
        <f aca="false">IF(L365="","",IF(INDEX(ポート振替表!$O$5:$O$3507,$L365)="","(未設定)",INDEX(ポート振替表!$O$5:$O$3507,$L365)&amp;""))</f>
        <v/>
      </c>
      <c r="F365" s="52" t="str">
        <f aca="false">IF(L365="","",INDEX(ポート振替表!$K$5:$K$3507,$L365)&amp;" "&amp;INDEX(ポート振替表!$L$5:$L$3507,$L365)&amp;"  ⇔  "&amp;INDEX(ポート振替表!$H$5:$H$3507,$L365)&amp;" "&amp;INDEX(ポート振替表!$I$5:$I$3507,$L365))</f>
        <v/>
      </c>
      <c r="G365" s="57" t="s">
        <v>158</v>
      </c>
      <c r="H365" s="32" t="str">
        <f aca="false">IF(L365="","",INDEX(ポート振替表!$N$5:$N$3507,$L365)&amp;"")</f>
        <v/>
      </c>
      <c r="I365" s="32" t="str">
        <f aca="false">IF(L365="","",INDEX(ポート振替表!$P$5:$P$3507,$L365)&amp;"")</f>
        <v/>
      </c>
      <c r="J365" s="60" t="str">
        <f aca="false">IF(L365="","",INDEX(ポート振替表!$M$5:$M$3507,$L365)&amp;"")</f>
        <v/>
      </c>
      <c r="K365" s="52" t="str">
        <f aca="false">IF(L365="","",E365&amp;CHAR(10)&amp;INDEX(ポート振替表!$K$5:$K$3507,$L365)&amp;" "&amp;INDEX(ポート振替表!$L$5:$L$3507,$L365)&amp;CHAR(10)&amp;"⇔ "&amp;INDEX(ポート振替表!$H$5:$H$3507,$L365)&amp;" "&amp;INDEX(ポート振替表!$I$5:$I$3507,$L365))</f>
        <v/>
      </c>
      <c r="L365" s="47" t="str">
        <f aca="false">IFERROR(MATCH(ROW()-4,ポート振替表!$V$5:$V$3507,0),"")</f>
        <v/>
      </c>
    </row>
    <row r="366" customFormat="false" ht="16.4" hidden="false" customHeight="false" outlineLevel="0" collapsed="false">
      <c r="A366" s="32" t="str">
        <f aca="false">IF(L366="","",ROW()-4)</f>
        <v/>
      </c>
      <c r="B366" s="58" t="str">
        <f aca="false">IF(L366="","",IF(INDEX(ポート振替表!$W$5:$W$3507,$L366)="","(なし)",INDEX(ポート振替表!$W$5:$W$3507,$L366)&amp;""))</f>
        <v/>
      </c>
      <c r="C366" s="52" t="str">
        <f aca="false">IF(L366="","",INDEX(ポート振替表!$B$5:$B$3507,$L366)&amp;" "&amp;INDEX(ポート振替表!$C$5:$C$3507,$L366)&amp;"  ⇔  "&amp;INDEX(ポート振替表!$H$5:$H$3507,$L366)&amp;" "&amp;INDEX(ポート振替表!$I$5:$I$3507,$L366))</f>
        <v/>
      </c>
      <c r="D366" s="57" t="s">
        <v>158</v>
      </c>
      <c r="E366" s="59" t="str">
        <f aca="false">IF(L366="","",IF(INDEX(ポート振替表!$O$5:$O$3507,$L366)="","(未設定)",INDEX(ポート振替表!$O$5:$O$3507,$L366)&amp;""))</f>
        <v/>
      </c>
      <c r="F366" s="52" t="str">
        <f aca="false">IF(L366="","",INDEX(ポート振替表!$K$5:$K$3507,$L366)&amp;" "&amp;INDEX(ポート振替表!$L$5:$L$3507,$L366)&amp;"  ⇔  "&amp;INDEX(ポート振替表!$H$5:$H$3507,$L366)&amp;" "&amp;INDEX(ポート振替表!$I$5:$I$3507,$L366))</f>
        <v/>
      </c>
      <c r="G366" s="57" t="s">
        <v>158</v>
      </c>
      <c r="H366" s="32" t="str">
        <f aca="false">IF(L366="","",INDEX(ポート振替表!$N$5:$N$3507,$L366)&amp;"")</f>
        <v/>
      </c>
      <c r="I366" s="32" t="str">
        <f aca="false">IF(L366="","",INDEX(ポート振替表!$P$5:$P$3507,$L366)&amp;"")</f>
        <v/>
      </c>
      <c r="J366" s="60" t="str">
        <f aca="false">IF(L366="","",INDEX(ポート振替表!$M$5:$M$3507,$L366)&amp;"")</f>
        <v/>
      </c>
      <c r="K366" s="52" t="str">
        <f aca="false">IF(L366="","",E366&amp;CHAR(10)&amp;INDEX(ポート振替表!$K$5:$K$3507,$L366)&amp;" "&amp;INDEX(ポート振替表!$L$5:$L$3507,$L366)&amp;CHAR(10)&amp;"⇔ "&amp;INDEX(ポート振替表!$H$5:$H$3507,$L366)&amp;" "&amp;INDEX(ポート振替表!$I$5:$I$3507,$L366))</f>
        <v/>
      </c>
      <c r="L366" s="47" t="str">
        <f aca="false">IFERROR(MATCH(ROW()-4,ポート振替表!$V$5:$V$3507,0),"")</f>
        <v/>
      </c>
    </row>
    <row r="367" customFormat="false" ht="16.4" hidden="false" customHeight="false" outlineLevel="0" collapsed="false">
      <c r="A367" s="32" t="str">
        <f aca="false">IF(L367="","",ROW()-4)</f>
        <v/>
      </c>
      <c r="B367" s="58" t="str">
        <f aca="false">IF(L367="","",IF(INDEX(ポート振替表!$W$5:$W$3507,$L367)="","(なし)",INDEX(ポート振替表!$W$5:$W$3507,$L367)&amp;""))</f>
        <v/>
      </c>
      <c r="C367" s="52" t="str">
        <f aca="false">IF(L367="","",INDEX(ポート振替表!$B$5:$B$3507,$L367)&amp;" "&amp;INDEX(ポート振替表!$C$5:$C$3507,$L367)&amp;"  ⇔  "&amp;INDEX(ポート振替表!$H$5:$H$3507,$L367)&amp;" "&amp;INDEX(ポート振替表!$I$5:$I$3507,$L367))</f>
        <v/>
      </c>
      <c r="D367" s="57" t="s">
        <v>158</v>
      </c>
      <c r="E367" s="59" t="str">
        <f aca="false">IF(L367="","",IF(INDEX(ポート振替表!$O$5:$O$3507,$L367)="","(未設定)",INDEX(ポート振替表!$O$5:$O$3507,$L367)&amp;""))</f>
        <v/>
      </c>
      <c r="F367" s="52" t="str">
        <f aca="false">IF(L367="","",INDEX(ポート振替表!$K$5:$K$3507,$L367)&amp;" "&amp;INDEX(ポート振替表!$L$5:$L$3507,$L367)&amp;"  ⇔  "&amp;INDEX(ポート振替表!$H$5:$H$3507,$L367)&amp;" "&amp;INDEX(ポート振替表!$I$5:$I$3507,$L367))</f>
        <v/>
      </c>
      <c r="G367" s="57" t="s">
        <v>158</v>
      </c>
      <c r="H367" s="32" t="str">
        <f aca="false">IF(L367="","",INDEX(ポート振替表!$N$5:$N$3507,$L367)&amp;"")</f>
        <v/>
      </c>
      <c r="I367" s="32" t="str">
        <f aca="false">IF(L367="","",INDEX(ポート振替表!$P$5:$P$3507,$L367)&amp;"")</f>
        <v/>
      </c>
      <c r="J367" s="60" t="str">
        <f aca="false">IF(L367="","",INDEX(ポート振替表!$M$5:$M$3507,$L367)&amp;"")</f>
        <v/>
      </c>
      <c r="K367" s="52" t="str">
        <f aca="false">IF(L367="","",E367&amp;CHAR(10)&amp;INDEX(ポート振替表!$K$5:$K$3507,$L367)&amp;" "&amp;INDEX(ポート振替表!$L$5:$L$3507,$L367)&amp;CHAR(10)&amp;"⇔ "&amp;INDEX(ポート振替表!$H$5:$H$3507,$L367)&amp;" "&amp;INDEX(ポート振替表!$I$5:$I$3507,$L367))</f>
        <v/>
      </c>
      <c r="L367" s="47" t="str">
        <f aca="false">IFERROR(MATCH(ROW()-4,ポート振替表!$V$5:$V$3507,0),"")</f>
        <v/>
      </c>
    </row>
    <row r="368" customFormat="false" ht="16.4" hidden="false" customHeight="false" outlineLevel="0" collapsed="false">
      <c r="A368" s="32" t="str">
        <f aca="false">IF(L368="","",ROW()-4)</f>
        <v/>
      </c>
      <c r="B368" s="58" t="str">
        <f aca="false">IF(L368="","",IF(INDEX(ポート振替表!$W$5:$W$3507,$L368)="","(なし)",INDEX(ポート振替表!$W$5:$W$3507,$L368)&amp;""))</f>
        <v/>
      </c>
      <c r="C368" s="52" t="str">
        <f aca="false">IF(L368="","",INDEX(ポート振替表!$B$5:$B$3507,$L368)&amp;" "&amp;INDEX(ポート振替表!$C$5:$C$3507,$L368)&amp;"  ⇔  "&amp;INDEX(ポート振替表!$H$5:$H$3507,$L368)&amp;" "&amp;INDEX(ポート振替表!$I$5:$I$3507,$L368))</f>
        <v/>
      </c>
      <c r="D368" s="57" t="s">
        <v>158</v>
      </c>
      <c r="E368" s="59" t="str">
        <f aca="false">IF(L368="","",IF(INDEX(ポート振替表!$O$5:$O$3507,$L368)="","(未設定)",INDEX(ポート振替表!$O$5:$O$3507,$L368)&amp;""))</f>
        <v/>
      </c>
      <c r="F368" s="52" t="str">
        <f aca="false">IF(L368="","",INDEX(ポート振替表!$K$5:$K$3507,$L368)&amp;" "&amp;INDEX(ポート振替表!$L$5:$L$3507,$L368)&amp;"  ⇔  "&amp;INDEX(ポート振替表!$H$5:$H$3507,$L368)&amp;" "&amp;INDEX(ポート振替表!$I$5:$I$3507,$L368))</f>
        <v/>
      </c>
      <c r="G368" s="57" t="s">
        <v>158</v>
      </c>
      <c r="H368" s="32" t="str">
        <f aca="false">IF(L368="","",INDEX(ポート振替表!$N$5:$N$3507,$L368)&amp;"")</f>
        <v/>
      </c>
      <c r="I368" s="32" t="str">
        <f aca="false">IF(L368="","",INDEX(ポート振替表!$P$5:$P$3507,$L368)&amp;"")</f>
        <v/>
      </c>
      <c r="J368" s="60" t="str">
        <f aca="false">IF(L368="","",INDEX(ポート振替表!$M$5:$M$3507,$L368)&amp;"")</f>
        <v/>
      </c>
      <c r="K368" s="52" t="str">
        <f aca="false">IF(L368="","",E368&amp;CHAR(10)&amp;INDEX(ポート振替表!$K$5:$K$3507,$L368)&amp;" "&amp;INDEX(ポート振替表!$L$5:$L$3507,$L368)&amp;CHAR(10)&amp;"⇔ "&amp;INDEX(ポート振替表!$H$5:$H$3507,$L368)&amp;" "&amp;INDEX(ポート振替表!$I$5:$I$3507,$L368))</f>
        <v/>
      </c>
      <c r="L368" s="47" t="str">
        <f aca="false">IFERROR(MATCH(ROW()-4,ポート振替表!$V$5:$V$3507,0),"")</f>
        <v/>
      </c>
    </row>
    <row r="369" customFormat="false" ht="16.4" hidden="false" customHeight="false" outlineLevel="0" collapsed="false">
      <c r="A369" s="32" t="str">
        <f aca="false">IF(L369="","",ROW()-4)</f>
        <v/>
      </c>
      <c r="B369" s="58" t="str">
        <f aca="false">IF(L369="","",IF(INDEX(ポート振替表!$W$5:$W$3507,$L369)="","(なし)",INDEX(ポート振替表!$W$5:$W$3507,$L369)&amp;""))</f>
        <v/>
      </c>
      <c r="C369" s="52" t="str">
        <f aca="false">IF(L369="","",INDEX(ポート振替表!$B$5:$B$3507,$L369)&amp;" "&amp;INDEX(ポート振替表!$C$5:$C$3507,$L369)&amp;"  ⇔  "&amp;INDEX(ポート振替表!$H$5:$H$3507,$L369)&amp;" "&amp;INDEX(ポート振替表!$I$5:$I$3507,$L369))</f>
        <v/>
      </c>
      <c r="D369" s="57" t="s">
        <v>158</v>
      </c>
      <c r="E369" s="59" t="str">
        <f aca="false">IF(L369="","",IF(INDEX(ポート振替表!$O$5:$O$3507,$L369)="","(未設定)",INDEX(ポート振替表!$O$5:$O$3507,$L369)&amp;""))</f>
        <v/>
      </c>
      <c r="F369" s="52" t="str">
        <f aca="false">IF(L369="","",INDEX(ポート振替表!$K$5:$K$3507,$L369)&amp;" "&amp;INDEX(ポート振替表!$L$5:$L$3507,$L369)&amp;"  ⇔  "&amp;INDEX(ポート振替表!$H$5:$H$3507,$L369)&amp;" "&amp;INDEX(ポート振替表!$I$5:$I$3507,$L369))</f>
        <v/>
      </c>
      <c r="G369" s="57" t="s">
        <v>158</v>
      </c>
      <c r="H369" s="32" t="str">
        <f aca="false">IF(L369="","",INDEX(ポート振替表!$N$5:$N$3507,$L369)&amp;"")</f>
        <v/>
      </c>
      <c r="I369" s="32" t="str">
        <f aca="false">IF(L369="","",INDEX(ポート振替表!$P$5:$P$3507,$L369)&amp;"")</f>
        <v/>
      </c>
      <c r="J369" s="60" t="str">
        <f aca="false">IF(L369="","",INDEX(ポート振替表!$M$5:$M$3507,$L369)&amp;"")</f>
        <v/>
      </c>
      <c r="K369" s="52" t="str">
        <f aca="false">IF(L369="","",E369&amp;CHAR(10)&amp;INDEX(ポート振替表!$K$5:$K$3507,$L369)&amp;" "&amp;INDEX(ポート振替表!$L$5:$L$3507,$L369)&amp;CHAR(10)&amp;"⇔ "&amp;INDEX(ポート振替表!$H$5:$H$3507,$L369)&amp;" "&amp;INDEX(ポート振替表!$I$5:$I$3507,$L369))</f>
        <v/>
      </c>
      <c r="L369" s="47" t="str">
        <f aca="false">IFERROR(MATCH(ROW()-4,ポート振替表!$V$5:$V$3507,0),"")</f>
        <v/>
      </c>
    </row>
    <row r="370" customFormat="false" ht="16.4" hidden="false" customHeight="false" outlineLevel="0" collapsed="false">
      <c r="A370" s="32" t="str">
        <f aca="false">IF(L370="","",ROW()-4)</f>
        <v/>
      </c>
      <c r="B370" s="58" t="str">
        <f aca="false">IF(L370="","",IF(INDEX(ポート振替表!$W$5:$W$3507,$L370)="","(なし)",INDEX(ポート振替表!$W$5:$W$3507,$L370)&amp;""))</f>
        <v/>
      </c>
      <c r="C370" s="52" t="str">
        <f aca="false">IF(L370="","",INDEX(ポート振替表!$B$5:$B$3507,$L370)&amp;" "&amp;INDEX(ポート振替表!$C$5:$C$3507,$L370)&amp;"  ⇔  "&amp;INDEX(ポート振替表!$H$5:$H$3507,$L370)&amp;" "&amp;INDEX(ポート振替表!$I$5:$I$3507,$L370))</f>
        <v/>
      </c>
      <c r="D370" s="57" t="s">
        <v>158</v>
      </c>
      <c r="E370" s="59" t="str">
        <f aca="false">IF(L370="","",IF(INDEX(ポート振替表!$O$5:$O$3507,$L370)="","(未設定)",INDEX(ポート振替表!$O$5:$O$3507,$L370)&amp;""))</f>
        <v/>
      </c>
      <c r="F370" s="52" t="str">
        <f aca="false">IF(L370="","",INDEX(ポート振替表!$K$5:$K$3507,$L370)&amp;" "&amp;INDEX(ポート振替表!$L$5:$L$3507,$L370)&amp;"  ⇔  "&amp;INDEX(ポート振替表!$H$5:$H$3507,$L370)&amp;" "&amp;INDEX(ポート振替表!$I$5:$I$3507,$L370))</f>
        <v/>
      </c>
      <c r="G370" s="57" t="s">
        <v>158</v>
      </c>
      <c r="H370" s="32" t="str">
        <f aca="false">IF(L370="","",INDEX(ポート振替表!$N$5:$N$3507,$L370)&amp;"")</f>
        <v/>
      </c>
      <c r="I370" s="32" t="str">
        <f aca="false">IF(L370="","",INDEX(ポート振替表!$P$5:$P$3507,$L370)&amp;"")</f>
        <v/>
      </c>
      <c r="J370" s="60" t="str">
        <f aca="false">IF(L370="","",INDEX(ポート振替表!$M$5:$M$3507,$L370)&amp;"")</f>
        <v/>
      </c>
      <c r="K370" s="52" t="str">
        <f aca="false">IF(L370="","",E370&amp;CHAR(10)&amp;INDEX(ポート振替表!$K$5:$K$3507,$L370)&amp;" "&amp;INDEX(ポート振替表!$L$5:$L$3507,$L370)&amp;CHAR(10)&amp;"⇔ "&amp;INDEX(ポート振替表!$H$5:$H$3507,$L370)&amp;" "&amp;INDEX(ポート振替表!$I$5:$I$3507,$L370))</f>
        <v/>
      </c>
      <c r="L370" s="47" t="str">
        <f aca="false">IFERROR(MATCH(ROW()-4,ポート振替表!$V$5:$V$3507,0),"")</f>
        <v/>
      </c>
    </row>
    <row r="371" customFormat="false" ht="16.4" hidden="false" customHeight="false" outlineLevel="0" collapsed="false">
      <c r="A371" s="32" t="str">
        <f aca="false">IF(L371="","",ROW()-4)</f>
        <v/>
      </c>
      <c r="B371" s="58" t="str">
        <f aca="false">IF(L371="","",IF(INDEX(ポート振替表!$W$5:$W$3507,$L371)="","(なし)",INDEX(ポート振替表!$W$5:$W$3507,$L371)&amp;""))</f>
        <v/>
      </c>
      <c r="C371" s="52" t="str">
        <f aca="false">IF(L371="","",INDEX(ポート振替表!$B$5:$B$3507,$L371)&amp;" "&amp;INDEX(ポート振替表!$C$5:$C$3507,$L371)&amp;"  ⇔  "&amp;INDEX(ポート振替表!$H$5:$H$3507,$L371)&amp;" "&amp;INDEX(ポート振替表!$I$5:$I$3507,$L371))</f>
        <v/>
      </c>
      <c r="D371" s="57" t="s">
        <v>158</v>
      </c>
      <c r="E371" s="59" t="str">
        <f aca="false">IF(L371="","",IF(INDEX(ポート振替表!$O$5:$O$3507,$L371)="","(未設定)",INDEX(ポート振替表!$O$5:$O$3507,$L371)&amp;""))</f>
        <v/>
      </c>
      <c r="F371" s="52" t="str">
        <f aca="false">IF(L371="","",INDEX(ポート振替表!$K$5:$K$3507,$L371)&amp;" "&amp;INDEX(ポート振替表!$L$5:$L$3507,$L371)&amp;"  ⇔  "&amp;INDEX(ポート振替表!$H$5:$H$3507,$L371)&amp;" "&amp;INDEX(ポート振替表!$I$5:$I$3507,$L371))</f>
        <v/>
      </c>
      <c r="G371" s="57" t="s">
        <v>158</v>
      </c>
      <c r="H371" s="32" t="str">
        <f aca="false">IF(L371="","",INDEX(ポート振替表!$N$5:$N$3507,$L371)&amp;"")</f>
        <v/>
      </c>
      <c r="I371" s="32" t="str">
        <f aca="false">IF(L371="","",INDEX(ポート振替表!$P$5:$P$3507,$L371)&amp;"")</f>
        <v/>
      </c>
      <c r="J371" s="60" t="str">
        <f aca="false">IF(L371="","",INDEX(ポート振替表!$M$5:$M$3507,$L371)&amp;"")</f>
        <v/>
      </c>
      <c r="K371" s="52" t="str">
        <f aca="false">IF(L371="","",E371&amp;CHAR(10)&amp;INDEX(ポート振替表!$K$5:$K$3507,$L371)&amp;" "&amp;INDEX(ポート振替表!$L$5:$L$3507,$L371)&amp;CHAR(10)&amp;"⇔ "&amp;INDEX(ポート振替表!$H$5:$H$3507,$L371)&amp;" "&amp;INDEX(ポート振替表!$I$5:$I$3507,$L371))</f>
        <v/>
      </c>
      <c r="L371" s="47" t="str">
        <f aca="false">IFERROR(MATCH(ROW()-4,ポート振替表!$V$5:$V$3507,0),"")</f>
        <v/>
      </c>
    </row>
    <row r="372" customFormat="false" ht="16.4" hidden="false" customHeight="false" outlineLevel="0" collapsed="false">
      <c r="A372" s="32" t="str">
        <f aca="false">IF(L372="","",ROW()-4)</f>
        <v/>
      </c>
      <c r="B372" s="58" t="str">
        <f aca="false">IF(L372="","",IF(INDEX(ポート振替表!$W$5:$W$3507,$L372)="","(なし)",INDEX(ポート振替表!$W$5:$W$3507,$L372)&amp;""))</f>
        <v/>
      </c>
      <c r="C372" s="52" t="str">
        <f aca="false">IF(L372="","",INDEX(ポート振替表!$B$5:$B$3507,$L372)&amp;" "&amp;INDEX(ポート振替表!$C$5:$C$3507,$L372)&amp;"  ⇔  "&amp;INDEX(ポート振替表!$H$5:$H$3507,$L372)&amp;" "&amp;INDEX(ポート振替表!$I$5:$I$3507,$L372))</f>
        <v/>
      </c>
      <c r="D372" s="57" t="s">
        <v>158</v>
      </c>
      <c r="E372" s="59" t="str">
        <f aca="false">IF(L372="","",IF(INDEX(ポート振替表!$O$5:$O$3507,$L372)="","(未設定)",INDEX(ポート振替表!$O$5:$O$3507,$L372)&amp;""))</f>
        <v/>
      </c>
      <c r="F372" s="52" t="str">
        <f aca="false">IF(L372="","",INDEX(ポート振替表!$K$5:$K$3507,$L372)&amp;" "&amp;INDEX(ポート振替表!$L$5:$L$3507,$L372)&amp;"  ⇔  "&amp;INDEX(ポート振替表!$H$5:$H$3507,$L372)&amp;" "&amp;INDEX(ポート振替表!$I$5:$I$3507,$L372))</f>
        <v/>
      </c>
      <c r="G372" s="57" t="s">
        <v>158</v>
      </c>
      <c r="H372" s="32" t="str">
        <f aca="false">IF(L372="","",INDEX(ポート振替表!$N$5:$N$3507,$L372)&amp;"")</f>
        <v/>
      </c>
      <c r="I372" s="32" t="str">
        <f aca="false">IF(L372="","",INDEX(ポート振替表!$P$5:$P$3507,$L372)&amp;"")</f>
        <v/>
      </c>
      <c r="J372" s="60" t="str">
        <f aca="false">IF(L372="","",INDEX(ポート振替表!$M$5:$M$3507,$L372)&amp;"")</f>
        <v/>
      </c>
      <c r="K372" s="52" t="str">
        <f aca="false">IF(L372="","",E372&amp;CHAR(10)&amp;INDEX(ポート振替表!$K$5:$K$3507,$L372)&amp;" "&amp;INDEX(ポート振替表!$L$5:$L$3507,$L372)&amp;CHAR(10)&amp;"⇔ "&amp;INDEX(ポート振替表!$H$5:$H$3507,$L372)&amp;" "&amp;INDEX(ポート振替表!$I$5:$I$3507,$L372))</f>
        <v/>
      </c>
      <c r="L372" s="47" t="str">
        <f aca="false">IFERROR(MATCH(ROW()-4,ポート振替表!$V$5:$V$3507,0),"")</f>
        <v/>
      </c>
    </row>
    <row r="373" customFormat="false" ht="16.4" hidden="false" customHeight="false" outlineLevel="0" collapsed="false">
      <c r="A373" s="32" t="str">
        <f aca="false">IF(L373="","",ROW()-4)</f>
        <v/>
      </c>
      <c r="B373" s="58" t="str">
        <f aca="false">IF(L373="","",IF(INDEX(ポート振替表!$W$5:$W$3507,$L373)="","(なし)",INDEX(ポート振替表!$W$5:$W$3507,$L373)&amp;""))</f>
        <v/>
      </c>
      <c r="C373" s="52" t="str">
        <f aca="false">IF(L373="","",INDEX(ポート振替表!$B$5:$B$3507,$L373)&amp;" "&amp;INDEX(ポート振替表!$C$5:$C$3507,$L373)&amp;"  ⇔  "&amp;INDEX(ポート振替表!$H$5:$H$3507,$L373)&amp;" "&amp;INDEX(ポート振替表!$I$5:$I$3507,$L373))</f>
        <v/>
      </c>
      <c r="D373" s="57" t="s">
        <v>158</v>
      </c>
      <c r="E373" s="59" t="str">
        <f aca="false">IF(L373="","",IF(INDEX(ポート振替表!$O$5:$O$3507,$L373)="","(未設定)",INDEX(ポート振替表!$O$5:$O$3507,$L373)&amp;""))</f>
        <v/>
      </c>
      <c r="F373" s="52" t="str">
        <f aca="false">IF(L373="","",INDEX(ポート振替表!$K$5:$K$3507,$L373)&amp;" "&amp;INDEX(ポート振替表!$L$5:$L$3507,$L373)&amp;"  ⇔  "&amp;INDEX(ポート振替表!$H$5:$H$3507,$L373)&amp;" "&amp;INDEX(ポート振替表!$I$5:$I$3507,$L373))</f>
        <v/>
      </c>
      <c r="G373" s="57" t="s">
        <v>158</v>
      </c>
      <c r="H373" s="32" t="str">
        <f aca="false">IF(L373="","",INDEX(ポート振替表!$N$5:$N$3507,$L373)&amp;"")</f>
        <v/>
      </c>
      <c r="I373" s="32" t="str">
        <f aca="false">IF(L373="","",INDEX(ポート振替表!$P$5:$P$3507,$L373)&amp;"")</f>
        <v/>
      </c>
      <c r="J373" s="60" t="str">
        <f aca="false">IF(L373="","",INDEX(ポート振替表!$M$5:$M$3507,$L373)&amp;"")</f>
        <v/>
      </c>
      <c r="K373" s="52" t="str">
        <f aca="false">IF(L373="","",E373&amp;CHAR(10)&amp;INDEX(ポート振替表!$K$5:$K$3507,$L373)&amp;" "&amp;INDEX(ポート振替表!$L$5:$L$3507,$L373)&amp;CHAR(10)&amp;"⇔ "&amp;INDEX(ポート振替表!$H$5:$H$3507,$L373)&amp;" "&amp;INDEX(ポート振替表!$I$5:$I$3507,$L373))</f>
        <v/>
      </c>
      <c r="L373" s="47" t="str">
        <f aca="false">IFERROR(MATCH(ROW()-4,ポート振替表!$V$5:$V$3507,0),"")</f>
        <v/>
      </c>
    </row>
    <row r="374" customFormat="false" ht="16.4" hidden="false" customHeight="false" outlineLevel="0" collapsed="false">
      <c r="A374" s="32" t="str">
        <f aca="false">IF(L374="","",ROW()-4)</f>
        <v/>
      </c>
      <c r="B374" s="58" t="str">
        <f aca="false">IF(L374="","",IF(INDEX(ポート振替表!$W$5:$W$3507,$L374)="","(なし)",INDEX(ポート振替表!$W$5:$W$3507,$L374)&amp;""))</f>
        <v/>
      </c>
      <c r="C374" s="52" t="str">
        <f aca="false">IF(L374="","",INDEX(ポート振替表!$B$5:$B$3507,$L374)&amp;" "&amp;INDEX(ポート振替表!$C$5:$C$3507,$L374)&amp;"  ⇔  "&amp;INDEX(ポート振替表!$H$5:$H$3507,$L374)&amp;" "&amp;INDEX(ポート振替表!$I$5:$I$3507,$L374))</f>
        <v/>
      </c>
      <c r="D374" s="57" t="s">
        <v>158</v>
      </c>
      <c r="E374" s="59" t="str">
        <f aca="false">IF(L374="","",IF(INDEX(ポート振替表!$O$5:$O$3507,$L374)="","(未設定)",INDEX(ポート振替表!$O$5:$O$3507,$L374)&amp;""))</f>
        <v/>
      </c>
      <c r="F374" s="52" t="str">
        <f aca="false">IF(L374="","",INDEX(ポート振替表!$K$5:$K$3507,$L374)&amp;" "&amp;INDEX(ポート振替表!$L$5:$L$3507,$L374)&amp;"  ⇔  "&amp;INDEX(ポート振替表!$H$5:$H$3507,$L374)&amp;" "&amp;INDEX(ポート振替表!$I$5:$I$3507,$L374))</f>
        <v/>
      </c>
      <c r="G374" s="57" t="s">
        <v>158</v>
      </c>
      <c r="H374" s="32" t="str">
        <f aca="false">IF(L374="","",INDEX(ポート振替表!$N$5:$N$3507,$L374)&amp;"")</f>
        <v/>
      </c>
      <c r="I374" s="32" t="str">
        <f aca="false">IF(L374="","",INDEX(ポート振替表!$P$5:$P$3507,$L374)&amp;"")</f>
        <v/>
      </c>
      <c r="J374" s="60" t="str">
        <f aca="false">IF(L374="","",INDEX(ポート振替表!$M$5:$M$3507,$L374)&amp;"")</f>
        <v/>
      </c>
      <c r="K374" s="52" t="str">
        <f aca="false">IF(L374="","",E374&amp;CHAR(10)&amp;INDEX(ポート振替表!$K$5:$K$3507,$L374)&amp;" "&amp;INDEX(ポート振替表!$L$5:$L$3507,$L374)&amp;CHAR(10)&amp;"⇔ "&amp;INDEX(ポート振替表!$H$5:$H$3507,$L374)&amp;" "&amp;INDEX(ポート振替表!$I$5:$I$3507,$L374))</f>
        <v/>
      </c>
      <c r="L374" s="47" t="str">
        <f aca="false">IFERROR(MATCH(ROW()-4,ポート振替表!$V$5:$V$3507,0),"")</f>
        <v/>
      </c>
    </row>
    <row r="375" customFormat="false" ht="16.4" hidden="false" customHeight="false" outlineLevel="0" collapsed="false">
      <c r="A375" s="32" t="str">
        <f aca="false">IF(L375="","",ROW()-4)</f>
        <v/>
      </c>
      <c r="B375" s="58" t="str">
        <f aca="false">IF(L375="","",IF(INDEX(ポート振替表!$W$5:$W$3507,$L375)="","(なし)",INDEX(ポート振替表!$W$5:$W$3507,$L375)&amp;""))</f>
        <v/>
      </c>
      <c r="C375" s="52" t="str">
        <f aca="false">IF(L375="","",INDEX(ポート振替表!$B$5:$B$3507,$L375)&amp;" "&amp;INDEX(ポート振替表!$C$5:$C$3507,$L375)&amp;"  ⇔  "&amp;INDEX(ポート振替表!$H$5:$H$3507,$L375)&amp;" "&amp;INDEX(ポート振替表!$I$5:$I$3507,$L375))</f>
        <v/>
      </c>
      <c r="D375" s="57" t="s">
        <v>158</v>
      </c>
      <c r="E375" s="59" t="str">
        <f aca="false">IF(L375="","",IF(INDEX(ポート振替表!$O$5:$O$3507,$L375)="","(未設定)",INDEX(ポート振替表!$O$5:$O$3507,$L375)&amp;""))</f>
        <v/>
      </c>
      <c r="F375" s="52" t="str">
        <f aca="false">IF(L375="","",INDEX(ポート振替表!$K$5:$K$3507,$L375)&amp;" "&amp;INDEX(ポート振替表!$L$5:$L$3507,$L375)&amp;"  ⇔  "&amp;INDEX(ポート振替表!$H$5:$H$3507,$L375)&amp;" "&amp;INDEX(ポート振替表!$I$5:$I$3507,$L375))</f>
        <v/>
      </c>
      <c r="G375" s="57" t="s">
        <v>158</v>
      </c>
      <c r="H375" s="32" t="str">
        <f aca="false">IF(L375="","",INDEX(ポート振替表!$N$5:$N$3507,$L375)&amp;"")</f>
        <v/>
      </c>
      <c r="I375" s="32" t="str">
        <f aca="false">IF(L375="","",INDEX(ポート振替表!$P$5:$P$3507,$L375)&amp;"")</f>
        <v/>
      </c>
      <c r="J375" s="60" t="str">
        <f aca="false">IF(L375="","",INDEX(ポート振替表!$M$5:$M$3507,$L375)&amp;"")</f>
        <v/>
      </c>
      <c r="K375" s="52" t="str">
        <f aca="false">IF(L375="","",E375&amp;CHAR(10)&amp;INDEX(ポート振替表!$K$5:$K$3507,$L375)&amp;" "&amp;INDEX(ポート振替表!$L$5:$L$3507,$L375)&amp;CHAR(10)&amp;"⇔ "&amp;INDEX(ポート振替表!$H$5:$H$3507,$L375)&amp;" "&amp;INDEX(ポート振替表!$I$5:$I$3507,$L375))</f>
        <v/>
      </c>
      <c r="L375" s="47" t="str">
        <f aca="false">IFERROR(MATCH(ROW()-4,ポート振替表!$V$5:$V$3507,0),"")</f>
        <v/>
      </c>
    </row>
    <row r="376" customFormat="false" ht="16.4" hidden="false" customHeight="false" outlineLevel="0" collapsed="false">
      <c r="A376" s="32" t="str">
        <f aca="false">IF(L376="","",ROW()-4)</f>
        <v/>
      </c>
      <c r="B376" s="58" t="str">
        <f aca="false">IF(L376="","",IF(INDEX(ポート振替表!$W$5:$W$3507,$L376)="","(なし)",INDEX(ポート振替表!$W$5:$W$3507,$L376)&amp;""))</f>
        <v/>
      </c>
      <c r="C376" s="52" t="str">
        <f aca="false">IF(L376="","",INDEX(ポート振替表!$B$5:$B$3507,$L376)&amp;" "&amp;INDEX(ポート振替表!$C$5:$C$3507,$L376)&amp;"  ⇔  "&amp;INDEX(ポート振替表!$H$5:$H$3507,$L376)&amp;" "&amp;INDEX(ポート振替表!$I$5:$I$3507,$L376))</f>
        <v/>
      </c>
      <c r="D376" s="57" t="s">
        <v>158</v>
      </c>
      <c r="E376" s="59" t="str">
        <f aca="false">IF(L376="","",IF(INDEX(ポート振替表!$O$5:$O$3507,$L376)="","(未設定)",INDEX(ポート振替表!$O$5:$O$3507,$L376)&amp;""))</f>
        <v/>
      </c>
      <c r="F376" s="52" t="str">
        <f aca="false">IF(L376="","",INDEX(ポート振替表!$K$5:$K$3507,$L376)&amp;" "&amp;INDEX(ポート振替表!$L$5:$L$3507,$L376)&amp;"  ⇔  "&amp;INDEX(ポート振替表!$H$5:$H$3507,$L376)&amp;" "&amp;INDEX(ポート振替表!$I$5:$I$3507,$L376))</f>
        <v/>
      </c>
      <c r="G376" s="57" t="s">
        <v>158</v>
      </c>
      <c r="H376" s="32" t="str">
        <f aca="false">IF(L376="","",INDEX(ポート振替表!$N$5:$N$3507,$L376)&amp;"")</f>
        <v/>
      </c>
      <c r="I376" s="32" t="str">
        <f aca="false">IF(L376="","",INDEX(ポート振替表!$P$5:$P$3507,$L376)&amp;"")</f>
        <v/>
      </c>
      <c r="J376" s="60" t="str">
        <f aca="false">IF(L376="","",INDEX(ポート振替表!$M$5:$M$3507,$L376)&amp;"")</f>
        <v/>
      </c>
      <c r="K376" s="52" t="str">
        <f aca="false">IF(L376="","",E376&amp;CHAR(10)&amp;INDEX(ポート振替表!$K$5:$K$3507,$L376)&amp;" "&amp;INDEX(ポート振替表!$L$5:$L$3507,$L376)&amp;CHAR(10)&amp;"⇔ "&amp;INDEX(ポート振替表!$H$5:$H$3507,$L376)&amp;" "&amp;INDEX(ポート振替表!$I$5:$I$3507,$L376))</f>
        <v/>
      </c>
      <c r="L376" s="47" t="str">
        <f aca="false">IFERROR(MATCH(ROW()-4,ポート振替表!$V$5:$V$3507,0),"")</f>
        <v/>
      </c>
    </row>
    <row r="377" customFormat="false" ht="16.4" hidden="false" customHeight="false" outlineLevel="0" collapsed="false">
      <c r="A377" s="32" t="str">
        <f aca="false">IF(L377="","",ROW()-4)</f>
        <v/>
      </c>
      <c r="B377" s="58" t="str">
        <f aca="false">IF(L377="","",IF(INDEX(ポート振替表!$W$5:$W$3507,$L377)="","(なし)",INDEX(ポート振替表!$W$5:$W$3507,$L377)&amp;""))</f>
        <v/>
      </c>
      <c r="C377" s="52" t="str">
        <f aca="false">IF(L377="","",INDEX(ポート振替表!$B$5:$B$3507,$L377)&amp;" "&amp;INDEX(ポート振替表!$C$5:$C$3507,$L377)&amp;"  ⇔  "&amp;INDEX(ポート振替表!$H$5:$H$3507,$L377)&amp;" "&amp;INDEX(ポート振替表!$I$5:$I$3507,$L377))</f>
        <v/>
      </c>
      <c r="D377" s="57" t="s">
        <v>158</v>
      </c>
      <c r="E377" s="59" t="str">
        <f aca="false">IF(L377="","",IF(INDEX(ポート振替表!$O$5:$O$3507,$L377)="","(未設定)",INDEX(ポート振替表!$O$5:$O$3507,$L377)&amp;""))</f>
        <v/>
      </c>
      <c r="F377" s="52" t="str">
        <f aca="false">IF(L377="","",INDEX(ポート振替表!$K$5:$K$3507,$L377)&amp;" "&amp;INDEX(ポート振替表!$L$5:$L$3507,$L377)&amp;"  ⇔  "&amp;INDEX(ポート振替表!$H$5:$H$3507,$L377)&amp;" "&amp;INDEX(ポート振替表!$I$5:$I$3507,$L377))</f>
        <v/>
      </c>
      <c r="G377" s="57" t="s">
        <v>158</v>
      </c>
      <c r="H377" s="32" t="str">
        <f aca="false">IF(L377="","",INDEX(ポート振替表!$N$5:$N$3507,$L377)&amp;"")</f>
        <v/>
      </c>
      <c r="I377" s="32" t="str">
        <f aca="false">IF(L377="","",INDEX(ポート振替表!$P$5:$P$3507,$L377)&amp;"")</f>
        <v/>
      </c>
      <c r="J377" s="60" t="str">
        <f aca="false">IF(L377="","",INDEX(ポート振替表!$M$5:$M$3507,$L377)&amp;"")</f>
        <v/>
      </c>
      <c r="K377" s="52" t="str">
        <f aca="false">IF(L377="","",E377&amp;CHAR(10)&amp;INDEX(ポート振替表!$K$5:$K$3507,$L377)&amp;" "&amp;INDEX(ポート振替表!$L$5:$L$3507,$L377)&amp;CHAR(10)&amp;"⇔ "&amp;INDEX(ポート振替表!$H$5:$H$3507,$L377)&amp;" "&amp;INDEX(ポート振替表!$I$5:$I$3507,$L377))</f>
        <v/>
      </c>
      <c r="L377" s="47" t="str">
        <f aca="false">IFERROR(MATCH(ROW()-4,ポート振替表!$V$5:$V$3507,0),"")</f>
        <v/>
      </c>
    </row>
    <row r="378" customFormat="false" ht="16.4" hidden="false" customHeight="false" outlineLevel="0" collapsed="false">
      <c r="A378" s="32" t="str">
        <f aca="false">IF(L378="","",ROW()-4)</f>
        <v/>
      </c>
      <c r="B378" s="58" t="str">
        <f aca="false">IF(L378="","",IF(INDEX(ポート振替表!$W$5:$W$3507,$L378)="","(なし)",INDEX(ポート振替表!$W$5:$W$3507,$L378)&amp;""))</f>
        <v/>
      </c>
      <c r="C378" s="52" t="str">
        <f aca="false">IF(L378="","",INDEX(ポート振替表!$B$5:$B$3507,$L378)&amp;" "&amp;INDEX(ポート振替表!$C$5:$C$3507,$L378)&amp;"  ⇔  "&amp;INDEX(ポート振替表!$H$5:$H$3507,$L378)&amp;" "&amp;INDEX(ポート振替表!$I$5:$I$3507,$L378))</f>
        <v/>
      </c>
      <c r="D378" s="57" t="s">
        <v>158</v>
      </c>
      <c r="E378" s="59" t="str">
        <f aca="false">IF(L378="","",IF(INDEX(ポート振替表!$O$5:$O$3507,$L378)="","(未設定)",INDEX(ポート振替表!$O$5:$O$3507,$L378)&amp;""))</f>
        <v/>
      </c>
      <c r="F378" s="52" t="str">
        <f aca="false">IF(L378="","",INDEX(ポート振替表!$K$5:$K$3507,$L378)&amp;" "&amp;INDEX(ポート振替表!$L$5:$L$3507,$L378)&amp;"  ⇔  "&amp;INDEX(ポート振替表!$H$5:$H$3507,$L378)&amp;" "&amp;INDEX(ポート振替表!$I$5:$I$3507,$L378))</f>
        <v/>
      </c>
      <c r="G378" s="57" t="s">
        <v>158</v>
      </c>
      <c r="H378" s="32" t="str">
        <f aca="false">IF(L378="","",INDEX(ポート振替表!$N$5:$N$3507,$L378)&amp;"")</f>
        <v/>
      </c>
      <c r="I378" s="32" t="str">
        <f aca="false">IF(L378="","",INDEX(ポート振替表!$P$5:$P$3507,$L378)&amp;"")</f>
        <v/>
      </c>
      <c r="J378" s="60" t="str">
        <f aca="false">IF(L378="","",INDEX(ポート振替表!$M$5:$M$3507,$L378)&amp;"")</f>
        <v/>
      </c>
      <c r="K378" s="52" t="str">
        <f aca="false">IF(L378="","",E378&amp;CHAR(10)&amp;INDEX(ポート振替表!$K$5:$K$3507,$L378)&amp;" "&amp;INDEX(ポート振替表!$L$5:$L$3507,$L378)&amp;CHAR(10)&amp;"⇔ "&amp;INDEX(ポート振替表!$H$5:$H$3507,$L378)&amp;" "&amp;INDEX(ポート振替表!$I$5:$I$3507,$L378))</f>
        <v/>
      </c>
      <c r="L378" s="47" t="str">
        <f aca="false">IFERROR(MATCH(ROW()-4,ポート振替表!$V$5:$V$3507,0),"")</f>
        <v/>
      </c>
    </row>
    <row r="379" customFormat="false" ht="16.4" hidden="false" customHeight="false" outlineLevel="0" collapsed="false">
      <c r="A379" s="32" t="str">
        <f aca="false">IF(L379="","",ROW()-4)</f>
        <v/>
      </c>
      <c r="B379" s="58" t="str">
        <f aca="false">IF(L379="","",IF(INDEX(ポート振替表!$W$5:$W$3507,$L379)="","(なし)",INDEX(ポート振替表!$W$5:$W$3507,$L379)&amp;""))</f>
        <v/>
      </c>
      <c r="C379" s="52" t="str">
        <f aca="false">IF(L379="","",INDEX(ポート振替表!$B$5:$B$3507,$L379)&amp;" "&amp;INDEX(ポート振替表!$C$5:$C$3507,$L379)&amp;"  ⇔  "&amp;INDEX(ポート振替表!$H$5:$H$3507,$L379)&amp;" "&amp;INDEX(ポート振替表!$I$5:$I$3507,$L379))</f>
        <v/>
      </c>
      <c r="D379" s="57" t="s">
        <v>158</v>
      </c>
      <c r="E379" s="59" t="str">
        <f aca="false">IF(L379="","",IF(INDEX(ポート振替表!$O$5:$O$3507,$L379)="","(未設定)",INDEX(ポート振替表!$O$5:$O$3507,$L379)&amp;""))</f>
        <v/>
      </c>
      <c r="F379" s="52" t="str">
        <f aca="false">IF(L379="","",INDEX(ポート振替表!$K$5:$K$3507,$L379)&amp;" "&amp;INDEX(ポート振替表!$L$5:$L$3507,$L379)&amp;"  ⇔  "&amp;INDEX(ポート振替表!$H$5:$H$3507,$L379)&amp;" "&amp;INDEX(ポート振替表!$I$5:$I$3507,$L379))</f>
        <v/>
      </c>
      <c r="G379" s="57" t="s">
        <v>158</v>
      </c>
      <c r="H379" s="32" t="str">
        <f aca="false">IF(L379="","",INDEX(ポート振替表!$N$5:$N$3507,$L379)&amp;"")</f>
        <v/>
      </c>
      <c r="I379" s="32" t="str">
        <f aca="false">IF(L379="","",INDEX(ポート振替表!$P$5:$P$3507,$L379)&amp;"")</f>
        <v/>
      </c>
      <c r="J379" s="60" t="str">
        <f aca="false">IF(L379="","",INDEX(ポート振替表!$M$5:$M$3507,$L379)&amp;"")</f>
        <v/>
      </c>
      <c r="K379" s="52" t="str">
        <f aca="false">IF(L379="","",E379&amp;CHAR(10)&amp;INDEX(ポート振替表!$K$5:$K$3507,$L379)&amp;" "&amp;INDEX(ポート振替表!$L$5:$L$3507,$L379)&amp;CHAR(10)&amp;"⇔ "&amp;INDEX(ポート振替表!$H$5:$H$3507,$L379)&amp;" "&amp;INDEX(ポート振替表!$I$5:$I$3507,$L379))</f>
        <v/>
      </c>
      <c r="L379" s="47" t="str">
        <f aca="false">IFERROR(MATCH(ROW()-4,ポート振替表!$V$5:$V$3507,0),"")</f>
        <v/>
      </c>
    </row>
    <row r="380" customFormat="false" ht="16.4" hidden="false" customHeight="false" outlineLevel="0" collapsed="false">
      <c r="A380" s="32" t="str">
        <f aca="false">IF(L380="","",ROW()-4)</f>
        <v/>
      </c>
      <c r="B380" s="58" t="str">
        <f aca="false">IF(L380="","",IF(INDEX(ポート振替表!$W$5:$W$3507,$L380)="","(なし)",INDEX(ポート振替表!$W$5:$W$3507,$L380)&amp;""))</f>
        <v/>
      </c>
      <c r="C380" s="52" t="str">
        <f aca="false">IF(L380="","",INDEX(ポート振替表!$B$5:$B$3507,$L380)&amp;" "&amp;INDEX(ポート振替表!$C$5:$C$3507,$L380)&amp;"  ⇔  "&amp;INDEX(ポート振替表!$H$5:$H$3507,$L380)&amp;" "&amp;INDEX(ポート振替表!$I$5:$I$3507,$L380))</f>
        <v/>
      </c>
      <c r="D380" s="57" t="s">
        <v>158</v>
      </c>
      <c r="E380" s="59" t="str">
        <f aca="false">IF(L380="","",IF(INDEX(ポート振替表!$O$5:$O$3507,$L380)="","(未設定)",INDEX(ポート振替表!$O$5:$O$3507,$L380)&amp;""))</f>
        <v/>
      </c>
      <c r="F380" s="52" t="str">
        <f aca="false">IF(L380="","",INDEX(ポート振替表!$K$5:$K$3507,$L380)&amp;" "&amp;INDEX(ポート振替表!$L$5:$L$3507,$L380)&amp;"  ⇔  "&amp;INDEX(ポート振替表!$H$5:$H$3507,$L380)&amp;" "&amp;INDEX(ポート振替表!$I$5:$I$3507,$L380))</f>
        <v/>
      </c>
      <c r="G380" s="57" t="s">
        <v>158</v>
      </c>
      <c r="H380" s="32" t="str">
        <f aca="false">IF(L380="","",INDEX(ポート振替表!$N$5:$N$3507,$L380)&amp;"")</f>
        <v/>
      </c>
      <c r="I380" s="32" t="str">
        <f aca="false">IF(L380="","",INDEX(ポート振替表!$P$5:$P$3507,$L380)&amp;"")</f>
        <v/>
      </c>
      <c r="J380" s="60" t="str">
        <f aca="false">IF(L380="","",INDEX(ポート振替表!$M$5:$M$3507,$L380)&amp;"")</f>
        <v/>
      </c>
      <c r="K380" s="52" t="str">
        <f aca="false">IF(L380="","",E380&amp;CHAR(10)&amp;INDEX(ポート振替表!$K$5:$K$3507,$L380)&amp;" "&amp;INDEX(ポート振替表!$L$5:$L$3507,$L380)&amp;CHAR(10)&amp;"⇔ "&amp;INDEX(ポート振替表!$H$5:$H$3507,$L380)&amp;" "&amp;INDEX(ポート振替表!$I$5:$I$3507,$L380))</f>
        <v/>
      </c>
      <c r="L380" s="47" t="str">
        <f aca="false">IFERROR(MATCH(ROW()-4,ポート振替表!$V$5:$V$3507,0),"")</f>
        <v/>
      </c>
    </row>
    <row r="381" customFormat="false" ht="16.4" hidden="false" customHeight="false" outlineLevel="0" collapsed="false">
      <c r="A381" s="32" t="str">
        <f aca="false">IF(L381="","",ROW()-4)</f>
        <v/>
      </c>
      <c r="B381" s="58" t="str">
        <f aca="false">IF(L381="","",IF(INDEX(ポート振替表!$W$5:$W$3507,$L381)="","(なし)",INDEX(ポート振替表!$W$5:$W$3507,$L381)&amp;""))</f>
        <v/>
      </c>
      <c r="C381" s="52" t="str">
        <f aca="false">IF(L381="","",INDEX(ポート振替表!$B$5:$B$3507,$L381)&amp;" "&amp;INDEX(ポート振替表!$C$5:$C$3507,$L381)&amp;"  ⇔  "&amp;INDEX(ポート振替表!$H$5:$H$3507,$L381)&amp;" "&amp;INDEX(ポート振替表!$I$5:$I$3507,$L381))</f>
        <v/>
      </c>
      <c r="D381" s="57" t="s">
        <v>158</v>
      </c>
      <c r="E381" s="59" t="str">
        <f aca="false">IF(L381="","",IF(INDEX(ポート振替表!$O$5:$O$3507,$L381)="","(未設定)",INDEX(ポート振替表!$O$5:$O$3507,$L381)&amp;""))</f>
        <v/>
      </c>
      <c r="F381" s="52" t="str">
        <f aca="false">IF(L381="","",INDEX(ポート振替表!$K$5:$K$3507,$L381)&amp;" "&amp;INDEX(ポート振替表!$L$5:$L$3507,$L381)&amp;"  ⇔  "&amp;INDEX(ポート振替表!$H$5:$H$3507,$L381)&amp;" "&amp;INDEX(ポート振替表!$I$5:$I$3507,$L381))</f>
        <v/>
      </c>
      <c r="G381" s="57" t="s">
        <v>158</v>
      </c>
      <c r="H381" s="32" t="str">
        <f aca="false">IF(L381="","",INDEX(ポート振替表!$N$5:$N$3507,$L381)&amp;"")</f>
        <v/>
      </c>
      <c r="I381" s="32" t="str">
        <f aca="false">IF(L381="","",INDEX(ポート振替表!$P$5:$P$3507,$L381)&amp;"")</f>
        <v/>
      </c>
      <c r="J381" s="60" t="str">
        <f aca="false">IF(L381="","",INDEX(ポート振替表!$M$5:$M$3507,$L381)&amp;"")</f>
        <v/>
      </c>
      <c r="K381" s="52" t="str">
        <f aca="false">IF(L381="","",E381&amp;CHAR(10)&amp;INDEX(ポート振替表!$K$5:$K$3507,$L381)&amp;" "&amp;INDEX(ポート振替表!$L$5:$L$3507,$L381)&amp;CHAR(10)&amp;"⇔ "&amp;INDEX(ポート振替表!$H$5:$H$3507,$L381)&amp;" "&amp;INDEX(ポート振替表!$I$5:$I$3507,$L381))</f>
        <v/>
      </c>
      <c r="L381" s="47" t="str">
        <f aca="false">IFERROR(MATCH(ROW()-4,ポート振替表!$V$5:$V$3507,0),"")</f>
        <v/>
      </c>
    </row>
    <row r="382" customFormat="false" ht="16.4" hidden="false" customHeight="false" outlineLevel="0" collapsed="false">
      <c r="A382" s="32" t="str">
        <f aca="false">IF(L382="","",ROW()-4)</f>
        <v/>
      </c>
      <c r="B382" s="58" t="str">
        <f aca="false">IF(L382="","",IF(INDEX(ポート振替表!$W$5:$W$3507,$L382)="","(なし)",INDEX(ポート振替表!$W$5:$W$3507,$L382)&amp;""))</f>
        <v/>
      </c>
      <c r="C382" s="52" t="str">
        <f aca="false">IF(L382="","",INDEX(ポート振替表!$B$5:$B$3507,$L382)&amp;" "&amp;INDEX(ポート振替表!$C$5:$C$3507,$L382)&amp;"  ⇔  "&amp;INDEX(ポート振替表!$H$5:$H$3507,$L382)&amp;" "&amp;INDEX(ポート振替表!$I$5:$I$3507,$L382))</f>
        <v/>
      </c>
      <c r="D382" s="57" t="s">
        <v>158</v>
      </c>
      <c r="E382" s="59" t="str">
        <f aca="false">IF(L382="","",IF(INDEX(ポート振替表!$O$5:$O$3507,$L382)="","(未設定)",INDEX(ポート振替表!$O$5:$O$3507,$L382)&amp;""))</f>
        <v/>
      </c>
      <c r="F382" s="52" t="str">
        <f aca="false">IF(L382="","",INDEX(ポート振替表!$K$5:$K$3507,$L382)&amp;" "&amp;INDEX(ポート振替表!$L$5:$L$3507,$L382)&amp;"  ⇔  "&amp;INDEX(ポート振替表!$H$5:$H$3507,$L382)&amp;" "&amp;INDEX(ポート振替表!$I$5:$I$3507,$L382))</f>
        <v/>
      </c>
      <c r="G382" s="57" t="s">
        <v>158</v>
      </c>
      <c r="H382" s="32" t="str">
        <f aca="false">IF(L382="","",INDEX(ポート振替表!$N$5:$N$3507,$L382)&amp;"")</f>
        <v/>
      </c>
      <c r="I382" s="32" t="str">
        <f aca="false">IF(L382="","",INDEX(ポート振替表!$P$5:$P$3507,$L382)&amp;"")</f>
        <v/>
      </c>
      <c r="J382" s="60" t="str">
        <f aca="false">IF(L382="","",INDEX(ポート振替表!$M$5:$M$3507,$L382)&amp;"")</f>
        <v/>
      </c>
      <c r="K382" s="52" t="str">
        <f aca="false">IF(L382="","",E382&amp;CHAR(10)&amp;INDEX(ポート振替表!$K$5:$K$3507,$L382)&amp;" "&amp;INDEX(ポート振替表!$L$5:$L$3507,$L382)&amp;CHAR(10)&amp;"⇔ "&amp;INDEX(ポート振替表!$H$5:$H$3507,$L382)&amp;" "&amp;INDEX(ポート振替表!$I$5:$I$3507,$L382))</f>
        <v/>
      </c>
      <c r="L382" s="47" t="str">
        <f aca="false">IFERROR(MATCH(ROW()-4,ポート振替表!$V$5:$V$3507,0),"")</f>
        <v/>
      </c>
    </row>
    <row r="383" customFormat="false" ht="16.4" hidden="false" customHeight="false" outlineLevel="0" collapsed="false">
      <c r="A383" s="32" t="str">
        <f aca="false">IF(L383="","",ROW()-4)</f>
        <v/>
      </c>
      <c r="B383" s="58" t="str">
        <f aca="false">IF(L383="","",IF(INDEX(ポート振替表!$W$5:$W$3507,$L383)="","(なし)",INDEX(ポート振替表!$W$5:$W$3507,$L383)&amp;""))</f>
        <v/>
      </c>
      <c r="C383" s="52" t="str">
        <f aca="false">IF(L383="","",INDEX(ポート振替表!$B$5:$B$3507,$L383)&amp;" "&amp;INDEX(ポート振替表!$C$5:$C$3507,$L383)&amp;"  ⇔  "&amp;INDEX(ポート振替表!$H$5:$H$3507,$L383)&amp;" "&amp;INDEX(ポート振替表!$I$5:$I$3507,$L383))</f>
        <v/>
      </c>
      <c r="D383" s="57" t="s">
        <v>158</v>
      </c>
      <c r="E383" s="59" t="str">
        <f aca="false">IF(L383="","",IF(INDEX(ポート振替表!$O$5:$O$3507,$L383)="","(未設定)",INDEX(ポート振替表!$O$5:$O$3507,$L383)&amp;""))</f>
        <v/>
      </c>
      <c r="F383" s="52" t="str">
        <f aca="false">IF(L383="","",INDEX(ポート振替表!$K$5:$K$3507,$L383)&amp;" "&amp;INDEX(ポート振替表!$L$5:$L$3507,$L383)&amp;"  ⇔  "&amp;INDEX(ポート振替表!$H$5:$H$3507,$L383)&amp;" "&amp;INDEX(ポート振替表!$I$5:$I$3507,$L383))</f>
        <v/>
      </c>
      <c r="G383" s="57" t="s">
        <v>158</v>
      </c>
      <c r="H383" s="32" t="str">
        <f aca="false">IF(L383="","",INDEX(ポート振替表!$N$5:$N$3507,$L383)&amp;"")</f>
        <v/>
      </c>
      <c r="I383" s="32" t="str">
        <f aca="false">IF(L383="","",INDEX(ポート振替表!$P$5:$P$3507,$L383)&amp;"")</f>
        <v/>
      </c>
      <c r="J383" s="60" t="str">
        <f aca="false">IF(L383="","",INDEX(ポート振替表!$M$5:$M$3507,$L383)&amp;"")</f>
        <v/>
      </c>
      <c r="K383" s="52" t="str">
        <f aca="false">IF(L383="","",E383&amp;CHAR(10)&amp;INDEX(ポート振替表!$K$5:$K$3507,$L383)&amp;" "&amp;INDEX(ポート振替表!$L$5:$L$3507,$L383)&amp;CHAR(10)&amp;"⇔ "&amp;INDEX(ポート振替表!$H$5:$H$3507,$L383)&amp;" "&amp;INDEX(ポート振替表!$I$5:$I$3507,$L383))</f>
        <v/>
      </c>
      <c r="L383" s="47" t="str">
        <f aca="false">IFERROR(MATCH(ROW()-4,ポート振替表!$V$5:$V$3507,0),"")</f>
        <v/>
      </c>
    </row>
    <row r="384" customFormat="false" ht="16.4" hidden="false" customHeight="false" outlineLevel="0" collapsed="false">
      <c r="A384" s="32" t="str">
        <f aca="false">IF(L384="","",ROW()-4)</f>
        <v/>
      </c>
      <c r="B384" s="58" t="str">
        <f aca="false">IF(L384="","",IF(INDEX(ポート振替表!$W$5:$W$3507,$L384)="","(なし)",INDEX(ポート振替表!$W$5:$W$3507,$L384)&amp;""))</f>
        <v/>
      </c>
      <c r="C384" s="52" t="str">
        <f aca="false">IF(L384="","",INDEX(ポート振替表!$B$5:$B$3507,$L384)&amp;" "&amp;INDEX(ポート振替表!$C$5:$C$3507,$L384)&amp;"  ⇔  "&amp;INDEX(ポート振替表!$H$5:$H$3507,$L384)&amp;" "&amp;INDEX(ポート振替表!$I$5:$I$3507,$L384))</f>
        <v/>
      </c>
      <c r="D384" s="57" t="s">
        <v>158</v>
      </c>
      <c r="E384" s="59" t="str">
        <f aca="false">IF(L384="","",IF(INDEX(ポート振替表!$O$5:$O$3507,$L384)="","(未設定)",INDEX(ポート振替表!$O$5:$O$3507,$L384)&amp;""))</f>
        <v/>
      </c>
      <c r="F384" s="52" t="str">
        <f aca="false">IF(L384="","",INDEX(ポート振替表!$K$5:$K$3507,$L384)&amp;" "&amp;INDEX(ポート振替表!$L$5:$L$3507,$L384)&amp;"  ⇔  "&amp;INDEX(ポート振替表!$H$5:$H$3507,$L384)&amp;" "&amp;INDEX(ポート振替表!$I$5:$I$3507,$L384))</f>
        <v/>
      </c>
      <c r="G384" s="57" t="s">
        <v>158</v>
      </c>
      <c r="H384" s="32" t="str">
        <f aca="false">IF(L384="","",INDEX(ポート振替表!$N$5:$N$3507,$L384)&amp;"")</f>
        <v/>
      </c>
      <c r="I384" s="32" t="str">
        <f aca="false">IF(L384="","",INDEX(ポート振替表!$P$5:$P$3507,$L384)&amp;"")</f>
        <v/>
      </c>
      <c r="J384" s="60" t="str">
        <f aca="false">IF(L384="","",INDEX(ポート振替表!$M$5:$M$3507,$L384)&amp;"")</f>
        <v/>
      </c>
      <c r="K384" s="52" t="str">
        <f aca="false">IF(L384="","",E384&amp;CHAR(10)&amp;INDEX(ポート振替表!$K$5:$K$3507,$L384)&amp;" "&amp;INDEX(ポート振替表!$L$5:$L$3507,$L384)&amp;CHAR(10)&amp;"⇔ "&amp;INDEX(ポート振替表!$H$5:$H$3507,$L384)&amp;" "&amp;INDEX(ポート振替表!$I$5:$I$3507,$L384))</f>
        <v/>
      </c>
      <c r="L384" s="47" t="str">
        <f aca="false">IFERROR(MATCH(ROW()-4,ポート振替表!$V$5:$V$3507,0),"")</f>
        <v/>
      </c>
    </row>
    <row r="385" customFormat="false" ht="16.4" hidden="false" customHeight="false" outlineLevel="0" collapsed="false">
      <c r="A385" s="32" t="str">
        <f aca="false">IF(L385="","",ROW()-4)</f>
        <v/>
      </c>
      <c r="B385" s="58" t="str">
        <f aca="false">IF(L385="","",IF(INDEX(ポート振替表!$W$5:$W$3507,$L385)="","(なし)",INDEX(ポート振替表!$W$5:$W$3507,$L385)&amp;""))</f>
        <v/>
      </c>
      <c r="C385" s="52" t="str">
        <f aca="false">IF(L385="","",INDEX(ポート振替表!$B$5:$B$3507,$L385)&amp;" "&amp;INDEX(ポート振替表!$C$5:$C$3507,$L385)&amp;"  ⇔  "&amp;INDEX(ポート振替表!$H$5:$H$3507,$L385)&amp;" "&amp;INDEX(ポート振替表!$I$5:$I$3507,$L385))</f>
        <v/>
      </c>
      <c r="D385" s="57" t="s">
        <v>158</v>
      </c>
      <c r="E385" s="59" t="str">
        <f aca="false">IF(L385="","",IF(INDEX(ポート振替表!$O$5:$O$3507,$L385)="","(未設定)",INDEX(ポート振替表!$O$5:$O$3507,$L385)&amp;""))</f>
        <v/>
      </c>
      <c r="F385" s="52" t="str">
        <f aca="false">IF(L385="","",INDEX(ポート振替表!$K$5:$K$3507,$L385)&amp;" "&amp;INDEX(ポート振替表!$L$5:$L$3507,$L385)&amp;"  ⇔  "&amp;INDEX(ポート振替表!$H$5:$H$3507,$L385)&amp;" "&amp;INDEX(ポート振替表!$I$5:$I$3507,$L385))</f>
        <v/>
      </c>
      <c r="G385" s="57" t="s">
        <v>158</v>
      </c>
      <c r="H385" s="32" t="str">
        <f aca="false">IF(L385="","",INDEX(ポート振替表!$N$5:$N$3507,$L385)&amp;"")</f>
        <v/>
      </c>
      <c r="I385" s="32" t="str">
        <f aca="false">IF(L385="","",INDEX(ポート振替表!$P$5:$P$3507,$L385)&amp;"")</f>
        <v/>
      </c>
      <c r="J385" s="60" t="str">
        <f aca="false">IF(L385="","",INDEX(ポート振替表!$M$5:$M$3507,$L385)&amp;"")</f>
        <v/>
      </c>
      <c r="K385" s="52" t="str">
        <f aca="false">IF(L385="","",E385&amp;CHAR(10)&amp;INDEX(ポート振替表!$K$5:$K$3507,$L385)&amp;" "&amp;INDEX(ポート振替表!$L$5:$L$3507,$L385)&amp;CHAR(10)&amp;"⇔ "&amp;INDEX(ポート振替表!$H$5:$H$3507,$L385)&amp;" "&amp;INDEX(ポート振替表!$I$5:$I$3507,$L385))</f>
        <v/>
      </c>
      <c r="L385" s="47" t="str">
        <f aca="false">IFERROR(MATCH(ROW()-4,ポート振替表!$V$5:$V$3507,0),"")</f>
        <v/>
      </c>
    </row>
    <row r="386" customFormat="false" ht="16.4" hidden="false" customHeight="false" outlineLevel="0" collapsed="false">
      <c r="A386" s="32" t="str">
        <f aca="false">IF(L386="","",ROW()-4)</f>
        <v/>
      </c>
      <c r="B386" s="58" t="str">
        <f aca="false">IF(L386="","",IF(INDEX(ポート振替表!$W$5:$W$3507,$L386)="","(なし)",INDEX(ポート振替表!$W$5:$W$3507,$L386)&amp;""))</f>
        <v/>
      </c>
      <c r="C386" s="52" t="str">
        <f aca="false">IF(L386="","",INDEX(ポート振替表!$B$5:$B$3507,$L386)&amp;" "&amp;INDEX(ポート振替表!$C$5:$C$3507,$L386)&amp;"  ⇔  "&amp;INDEX(ポート振替表!$H$5:$H$3507,$L386)&amp;" "&amp;INDEX(ポート振替表!$I$5:$I$3507,$L386))</f>
        <v/>
      </c>
      <c r="D386" s="57" t="s">
        <v>158</v>
      </c>
      <c r="E386" s="59" t="str">
        <f aca="false">IF(L386="","",IF(INDEX(ポート振替表!$O$5:$O$3507,$L386)="","(未設定)",INDEX(ポート振替表!$O$5:$O$3507,$L386)&amp;""))</f>
        <v/>
      </c>
      <c r="F386" s="52" t="str">
        <f aca="false">IF(L386="","",INDEX(ポート振替表!$K$5:$K$3507,$L386)&amp;" "&amp;INDEX(ポート振替表!$L$5:$L$3507,$L386)&amp;"  ⇔  "&amp;INDEX(ポート振替表!$H$5:$H$3507,$L386)&amp;" "&amp;INDEX(ポート振替表!$I$5:$I$3507,$L386))</f>
        <v/>
      </c>
      <c r="G386" s="57" t="s">
        <v>158</v>
      </c>
      <c r="H386" s="32" t="str">
        <f aca="false">IF(L386="","",INDEX(ポート振替表!$N$5:$N$3507,$L386)&amp;"")</f>
        <v/>
      </c>
      <c r="I386" s="32" t="str">
        <f aca="false">IF(L386="","",INDEX(ポート振替表!$P$5:$P$3507,$L386)&amp;"")</f>
        <v/>
      </c>
      <c r="J386" s="60" t="str">
        <f aca="false">IF(L386="","",INDEX(ポート振替表!$M$5:$M$3507,$L386)&amp;"")</f>
        <v/>
      </c>
      <c r="K386" s="52" t="str">
        <f aca="false">IF(L386="","",E386&amp;CHAR(10)&amp;INDEX(ポート振替表!$K$5:$K$3507,$L386)&amp;" "&amp;INDEX(ポート振替表!$L$5:$L$3507,$L386)&amp;CHAR(10)&amp;"⇔ "&amp;INDEX(ポート振替表!$H$5:$H$3507,$L386)&amp;" "&amp;INDEX(ポート振替表!$I$5:$I$3507,$L386))</f>
        <v/>
      </c>
      <c r="L386" s="47" t="str">
        <f aca="false">IFERROR(MATCH(ROW()-4,ポート振替表!$V$5:$V$3507,0),"")</f>
        <v/>
      </c>
    </row>
    <row r="387" customFormat="false" ht="16.4" hidden="false" customHeight="false" outlineLevel="0" collapsed="false">
      <c r="A387" s="32" t="str">
        <f aca="false">IF(L387="","",ROW()-4)</f>
        <v/>
      </c>
      <c r="B387" s="58" t="str">
        <f aca="false">IF(L387="","",IF(INDEX(ポート振替表!$W$5:$W$3507,$L387)="","(なし)",INDEX(ポート振替表!$W$5:$W$3507,$L387)&amp;""))</f>
        <v/>
      </c>
      <c r="C387" s="52" t="str">
        <f aca="false">IF(L387="","",INDEX(ポート振替表!$B$5:$B$3507,$L387)&amp;" "&amp;INDEX(ポート振替表!$C$5:$C$3507,$L387)&amp;"  ⇔  "&amp;INDEX(ポート振替表!$H$5:$H$3507,$L387)&amp;" "&amp;INDEX(ポート振替表!$I$5:$I$3507,$L387))</f>
        <v/>
      </c>
      <c r="D387" s="57" t="s">
        <v>158</v>
      </c>
      <c r="E387" s="59" t="str">
        <f aca="false">IF(L387="","",IF(INDEX(ポート振替表!$O$5:$O$3507,$L387)="","(未設定)",INDEX(ポート振替表!$O$5:$O$3507,$L387)&amp;""))</f>
        <v/>
      </c>
      <c r="F387" s="52" t="str">
        <f aca="false">IF(L387="","",INDEX(ポート振替表!$K$5:$K$3507,$L387)&amp;" "&amp;INDEX(ポート振替表!$L$5:$L$3507,$L387)&amp;"  ⇔  "&amp;INDEX(ポート振替表!$H$5:$H$3507,$L387)&amp;" "&amp;INDEX(ポート振替表!$I$5:$I$3507,$L387))</f>
        <v/>
      </c>
      <c r="G387" s="57" t="s">
        <v>158</v>
      </c>
      <c r="H387" s="32" t="str">
        <f aca="false">IF(L387="","",INDEX(ポート振替表!$N$5:$N$3507,$L387)&amp;"")</f>
        <v/>
      </c>
      <c r="I387" s="32" t="str">
        <f aca="false">IF(L387="","",INDEX(ポート振替表!$P$5:$P$3507,$L387)&amp;"")</f>
        <v/>
      </c>
      <c r="J387" s="60" t="str">
        <f aca="false">IF(L387="","",INDEX(ポート振替表!$M$5:$M$3507,$L387)&amp;"")</f>
        <v/>
      </c>
      <c r="K387" s="52" t="str">
        <f aca="false">IF(L387="","",E387&amp;CHAR(10)&amp;INDEX(ポート振替表!$K$5:$K$3507,$L387)&amp;" "&amp;INDEX(ポート振替表!$L$5:$L$3507,$L387)&amp;CHAR(10)&amp;"⇔ "&amp;INDEX(ポート振替表!$H$5:$H$3507,$L387)&amp;" "&amp;INDEX(ポート振替表!$I$5:$I$3507,$L387))</f>
        <v/>
      </c>
      <c r="L387" s="47" t="str">
        <f aca="false">IFERROR(MATCH(ROW()-4,ポート振替表!$V$5:$V$3507,0),"")</f>
        <v/>
      </c>
    </row>
    <row r="388" customFormat="false" ht="16.4" hidden="false" customHeight="false" outlineLevel="0" collapsed="false">
      <c r="A388" s="32" t="str">
        <f aca="false">IF(L388="","",ROW()-4)</f>
        <v/>
      </c>
      <c r="B388" s="58" t="str">
        <f aca="false">IF(L388="","",IF(INDEX(ポート振替表!$W$5:$W$3507,$L388)="","(なし)",INDEX(ポート振替表!$W$5:$W$3507,$L388)&amp;""))</f>
        <v/>
      </c>
      <c r="C388" s="52" t="str">
        <f aca="false">IF(L388="","",INDEX(ポート振替表!$B$5:$B$3507,$L388)&amp;" "&amp;INDEX(ポート振替表!$C$5:$C$3507,$L388)&amp;"  ⇔  "&amp;INDEX(ポート振替表!$H$5:$H$3507,$L388)&amp;" "&amp;INDEX(ポート振替表!$I$5:$I$3507,$L388))</f>
        <v/>
      </c>
      <c r="D388" s="57" t="s">
        <v>158</v>
      </c>
      <c r="E388" s="59" t="str">
        <f aca="false">IF(L388="","",IF(INDEX(ポート振替表!$O$5:$O$3507,$L388)="","(未設定)",INDEX(ポート振替表!$O$5:$O$3507,$L388)&amp;""))</f>
        <v/>
      </c>
      <c r="F388" s="52" t="str">
        <f aca="false">IF(L388="","",INDEX(ポート振替表!$K$5:$K$3507,$L388)&amp;" "&amp;INDEX(ポート振替表!$L$5:$L$3507,$L388)&amp;"  ⇔  "&amp;INDEX(ポート振替表!$H$5:$H$3507,$L388)&amp;" "&amp;INDEX(ポート振替表!$I$5:$I$3507,$L388))</f>
        <v/>
      </c>
      <c r="G388" s="57" t="s">
        <v>158</v>
      </c>
      <c r="H388" s="32" t="str">
        <f aca="false">IF(L388="","",INDEX(ポート振替表!$N$5:$N$3507,$L388)&amp;"")</f>
        <v/>
      </c>
      <c r="I388" s="32" t="str">
        <f aca="false">IF(L388="","",INDEX(ポート振替表!$P$5:$P$3507,$L388)&amp;"")</f>
        <v/>
      </c>
      <c r="J388" s="60" t="str">
        <f aca="false">IF(L388="","",INDEX(ポート振替表!$M$5:$M$3507,$L388)&amp;"")</f>
        <v/>
      </c>
      <c r="K388" s="52" t="str">
        <f aca="false">IF(L388="","",E388&amp;CHAR(10)&amp;INDEX(ポート振替表!$K$5:$K$3507,$L388)&amp;" "&amp;INDEX(ポート振替表!$L$5:$L$3507,$L388)&amp;CHAR(10)&amp;"⇔ "&amp;INDEX(ポート振替表!$H$5:$H$3507,$L388)&amp;" "&amp;INDEX(ポート振替表!$I$5:$I$3507,$L388))</f>
        <v/>
      </c>
      <c r="L388" s="47" t="str">
        <f aca="false">IFERROR(MATCH(ROW()-4,ポート振替表!$V$5:$V$3507,0),"")</f>
        <v/>
      </c>
    </row>
    <row r="389" customFormat="false" ht="16.4" hidden="false" customHeight="false" outlineLevel="0" collapsed="false">
      <c r="A389" s="32" t="str">
        <f aca="false">IF(L389="","",ROW()-4)</f>
        <v/>
      </c>
      <c r="B389" s="58" t="str">
        <f aca="false">IF(L389="","",IF(INDEX(ポート振替表!$W$5:$W$3507,$L389)="","(なし)",INDEX(ポート振替表!$W$5:$W$3507,$L389)&amp;""))</f>
        <v/>
      </c>
      <c r="C389" s="52" t="str">
        <f aca="false">IF(L389="","",INDEX(ポート振替表!$B$5:$B$3507,$L389)&amp;" "&amp;INDEX(ポート振替表!$C$5:$C$3507,$L389)&amp;"  ⇔  "&amp;INDEX(ポート振替表!$H$5:$H$3507,$L389)&amp;" "&amp;INDEX(ポート振替表!$I$5:$I$3507,$L389))</f>
        <v/>
      </c>
      <c r="D389" s="57" t="s">
        <v>158</v>
      </c>
      <c r="E389" s="59" t="str">
        <f aca="false">IF(L389="","",IF(INDEX(ポート振替表!$O$5:$O$3507,$L389)="","(未設定)",INDEX(ポート振替表!$O$5:$O$3507,$L389)&amp;""))</f>
        <v/>
      </c>
      <c r="F389" s="52" t="str">
        <f aca="false">IF(L389="","",INDEX(ポート振替表!$K$5:$K$3507,$L389)&amp;" "&amp;INDEX(ポート振替表!$L$5:$L$3507,$L389)&amp;"  ⇔  "&amp;INDEX(ポート振替表!$H$5:$H$3507,$L389)&amp;" "&amp;INDEX(ポート振替表!$I$5:$I$3507,$L389))</f>
        <v/>
      </c>
      <c r="G389" s="57" t="s">
        <v>158</v>
      </c>
      <c r="H389" s="32" t="str">
        <f aca="false">IF(L389="","",INDEX(ポート振替表!$N$5:$N$3507,$L389)&amp;"")</f>
        <v/>
      </c>
      <c r="I389" s="32" t="str">
        <f aca="false">IF(L389="","",INDEX(ポート振替表!$P$5:$P$3507,$L389)&amp;"")</f>
        <v/>
      </c>
      <c r="J389" s="60" t="str">
        <f aca="false">IF(L389="","",INDEX(ポート振替表!$M$5:$M$3507,$L389)&amp;"")</f>
        <v/>
      </c>
      <c r="K389" s="52" t="str">
        <f aca="false">IF(L389="","",E389&amp;CHAR(10)&amp;INDEX(ポート振替表!$K$5:$K$3507,$L389)&amp;" "&amp;INDEX(ポート振替表!$L$5:$L$3507,$L389)&amp;CHAR(10)&amp;"⇔ "&amp;INDEX(ポート振替表!$H$5:$H$3507,$L389)&amp;" "&amp;INDEX(ポート振替表!$I$5:$I$3507,$L389))</f>
        <v/>
      </c>
      <c r="L389" s="47" t="str">
        <f aca="false">IFERROR(MATCH(ROW()-4,ポート振替表!$V$5:$V$3507,0),"")</f>
        <v/>
      </c>
    </row>
    <row r="390" customFormat="false" ht="16.4" hidden="false" customHeight="false" outlineLevel="0" collapsed="false">
      <c r="A390" s="32" t="str">
        <f aca="false">IF(L390="","",ROW()-4)</f>
        <v/>
      </c>
      <c r="B390" s="58" t="str">
        <f aca="false">IF(L390="","",IF(INDEX(ポート振替表!$W$5:$W$3507,$L390)="","(なし)",INDEX(ポート振替表!$W$5:$W$3507,$L390)&amp;""))</f>
        <v/>
      </c>
      <c r="C390" s="52" t="str">
        <f aca="false">IF(L390="","",INDEX(ポート振替表!$B$5:$B$3507,$L390)&amp;" "&amp;INDEX(ポート振替表!$C$5:$C$3507,$L390)&amp;"  ⇔  "&amp;INDEX(ポート振替表!$H$5:$H$3507,$L390)&amp;" "&amp;INDEX(ポート振替表!$I$5:$I$3507,$L390))</f>
        <v/>
      </c>
      <c r="D390" s="57" t="s">
        <v>158</v>
      </c>
      <c r="E390" s="59" t="str">
        <f aca="false">IF(L390="","",IF(INDEX(ポート振替表!$O$5:$O$3507,$L390)="","(未設定)",INDEX(ポート振替表!$O$5:$O$3507,$L390)&amp;""))</f>
        <v/>
      </c>
      <c r="F390" s="52" t="str">
        <f aca="false">IF(L390="","",INDEX(ポート振替表!$K$5:$K$3507,$L390)&amp;" "&amp;INDEX(ポート振替表!$L$5:$L$3507,$L390)&amp;"  ⇔  "&amp;INDEX(ポート振替表!$H$5:$H$3507,$L390)&amp;" "&amp;INDEX(ポート振替表!$I$5:$I$3507,$L390))</f>
        <v/>
      </c>
      <c r="G390" s="57" t="s">
        <v>158</v>
      </c>
      <c r="H390" s="32" t="str">
        <f aca="false">IF(L390="","",INDEX(ポート振替表!$N$5:$N$3507,$L390)&amp;"")</f>
        <v/>
      </c>
      <c r="I390" s="32" t="str">
        <f aca="false">IF(L390="","",INDEX(ポート振替表!$P$5:$P$3507,$L390)&amp;"")</f>
        <v/>
      </c>
      <c r="J390" s="60" t="str">
        <f aca="false">IF(L390="","",INDEX(ポート振替表!$M$5:$M$3507,$L390)&amp;"")</f>
        <v/>
      </c>
      <c r="K390" s="52" t="str">
        <f aca="false">IF(L390="","",E390&amp;CHAR(10)&amp;INDEX(ポート振替表!$K$5:$K$3507,$L390)&amp;" "&amp;INDEX(ポート振替表!$L$5:$L$3507,$L390)&amp;CHAR(10)&amp;"⇔ "&amp;INDEX(ポート振替表!$H$5:$H$3507,$L390)&amp;" "&amp;INDEX(ポート振替表!$I$5:$I$3507,$L390))</f>
        <v/>
      </c>
      <c r="L390" s="47" t="str">
        <f aca="false">IFERROR(MATCH(ROW()-4,ポート振替表!$V$5:$V$3507,0),"")</f>
        <v/>
      </c>
    </row>
    <row r="391" customFormat="false" ht="16.4" hidden="false" customHeight="false" outlineLevel="0" collapsed="false">
      <c r="A391" s="32" t="str">
        <f aca="false">IF(L391="","",ROW()-4)</f>
        <v/>
      </c>
      <c r="B391" s="58" t="str">
        <f aca="false">IF(L391="","",IF(INDEX(ポート振替表!$W$5:$W$3507,$L391)="","(なし)",INDEX(ポート振替表!$W$5:$W$3507,$L391)&amp;""))</f>
        <v/>
      </c>
      <c r="C391" s="52" t="str">
        <f aca="false">IF(L391="","",INDEX(ポート振替表!$B$5:$B$3507,$L391)&amp;" "&amp;INDEX(ポート振替表!$C$5:$C$3507,$L391)&amp;"  ⇔  "&amp;INDEX(ポート振替表!$H$5:$H$3507,$L391)&amp;" "&amp;INDEX(ポート振替表!$I$5:$I$3507,$L391))</f>
        <v/>
      </c>
      <c r="D391" s="57" t="s">
        <v>158</v>
      </c>
      <c r="E391" s="59" t="str">
        <f aca="false">IF(L391="","",IF(INDEX(ポート振替表!$O$5:$O$3507,$L391)="","(未設定)",INDEX(ポート振替表!$O$5:$O$3507,$L391)&amp;""))</f>
        <v/>
      </c>
      <c r="F391" s="52" t="str">
        <f aca="false">IF(L391="","",INDEX(ポート振替表!$K$5:$K$3507,$L391)&amp;" "&amp;INDEX(ポート振替表!$L$5:$L$3507,$L391)&amp;"  ⇔  "&amp;INDEX(ポート振替表!$H$5:$H$3507,$L391)&amp;" "&amp;INDEX(ポート振替表!$I$5:$I$3507,$L391))</f>
        <v/>
      </c>
      <c r="G391" s="57" t="s">
        <v>158</v>
      </c>
      <c r="H391" s="32" t="str">
        <f aca="false">IF(L391="","",INDEX(ポート振替表!$N$5:$N$3507,$L391)&amp;"")</f>
        <v/>
      </c>
      <c r="I391" s="32" t="str">
        <f aca="false">IF(L391="","",INDEX(ポート振替表!$P$5:$P$3507,$L391)&amp;"")</f>
        <v/>
      </c>
      <c r="J391" s="60" t="str">
        <f aca="false">IF(L391="","",INDEX(ポート振替表!$M$5:$M$3507,$L391)&amp;"")</f>
        <v/>
      </c>
      <c r="K391" s="52" t="str">
        <f aca="false">IF(L391="","",E391&amp;CHAR(10)&amp;INDEX(ポート振替表!$K$5:$K$3507,$L391)&amp;" "&amp;INDEX(ポート振替表!$L$5:$L$3507,$L391)&amp;CHAR(10)&amp;"⇔ "&amp;INDEX(ポート振替表!$H$5:$H$3507,$L391)&amp;" "&amp;INDEX(ポート振替表!$I$5:$I$3507,$L391))</f>
        <v/>
      </c>
      <c r="L391" s="47" t="str">
        <f aca="false">IFERROR(MATCH(ROW()-4,ポート振替表!$V$5:$V$3507,0),"")</f>
        <v/>
      </c>
    </row>
    <row r="392" customFormat="false" ht="16.4" hidden="false" customHeight="false" outlineLevel="0" collapsed="false">
      <c r="A392" s="32" t="str">
        <f aca="false">IF(L392="","",ROW()-4)</f>
        <v/>
      </c>
      <c r="B392" s="58" t="str">
        <f aca="false">IF(L392="","",IF(INDEX(ポート振替表!$W$5:$W$3507,$L392)="","(なし)",INDEX(ポート振替表!$W$5:$W$3507,$L392)&amp;""))</f>
        <v/>
      </c>
      <c r="C392" s="52" t="str">
        <f aca="false">IF(L392="","",INDEX(ポート振替表!$B$5:$B$3507,$L392)&amp;" "&amp;INDEX(ポート振替表!$C$5:$C$3507,$L392)&amp;"  ⇔  "&amp;INDEX(ポート振替表!$H$5:$H$3507,$L392)&amp;" "&amp;INDEX(ポート振替表!$I$5:$I$3507,$L392))</f>
        <v/>
      </c>
      <c r="D392" s="57" t="s">
        <v>158</v>
      </c>
      <c r="E392" s="59" t="str">
        <f aca="false">IF(L392="","",IF(INDEX(ポート振替表!$O$5:$O$3507,$L392)="","(未設定)",INDEX(ポート振替表!$O$5:$O$3507,$L392)&amp;""))</f>
        <v/>
      </c>
      <c r="F392" s="52" t="str">
        <f aca="false">IF(L392="","",INDEX(ポート振替表!$K$5:$K$3507,$L392)&amp;" "&amp;INDEX(ポート振替表!$L$5:$L$3507,$L392)&amp;"  ⇔  "&amp;INDEX(ポート振替表!$H$5:$H$3507,$L392)&amp;" "&amp;INDEX(ポート振替表!$I$5:$I$3507,$L392))</f>
        <v/>
      </c>
      <c r="G392" s="57" t="s">
        <v>158</v>
      </c>
      <c r="H392" s="32" t="str">
        <f aca="false">IF(L392="","",INDEX(ポート振替表!$N$5:$N$3507,$L392)&amp;"")</f>
        <v/>
      </c>
      <c r="I392" s="32" t="str">
        <f aca="false">IF(L392="","",INDEX(ポート振替表!$P$5:$P$3507,$L392)&amp;"")</f>
        <v/>
      </c>
      <c r="J392" s="60" t="str">
        <f aca="false">IF(L392="","",INDEX(ポート振替表!$M$5:$M$3507,$L392)&amp;"")</f>
        <v/>
      </c>
      <c r="K392" s="52" t="str">
        <f aca="false">IF(L392="","",E392&amp;CHAR(10)&amp;INDEX(ポート振替表!$K$5:$K$3507,$L392)&amp;" "&amp;INDEX(ポート振替表!$L$5:$L$3507,$L392)&amp;CHAR(10)&amp;"⇔ "&amp;INDEX(ポート振替表!$H$5:$H$3507,$L392)&amp;" "&amp;INDEX(ポート振替表!$I$5:$I$3507,$L392))</f>
        <v/>
      </c>
      <c r="L392" s="47" t="str">
        <f aca="false">IFERROR(MATCH(ROW()-4,ポート振替表!$V$5:$V$3507,0),"")</f>
        <v/>
      </c>
    </row>
    <row r="393" customFormat="false" ht="16.4" hidden="false" customHeight="false" outlineLevel="0" collapsed="false">
      <c r="A393" s="32" t="str">
        <f aca="false">IF(L393="","",ROW()-4)</f>
        <v/>
      </c>
      <c r="B393" s="58" t="str">
        <f aca="false">IF(L393="","",IF(INDEX(ポート振替表!$W$5:$W$3507,$L393)="","(なし)",INDEX(ポート振替表!$W$5:$W$3507,$L393)&amp;""))</f>
        <v/>
      </c>
      <c r="C393" s="52" t="str">
        <f aca="false">IF(L393="","",INDEX(ポート振替表!$B$5:$B$3507,$L393)&amp;" "&amp;INDEX(ポート振替表!$C$5:$C$3507,$L393)&amp;"  ⇔  "&amp;INDEX(ポート振替表!$H$5:$H$3507,$L393)&amp;" "&amp;INDEX(ポート振替表!$I$5:$I$3507,$L393))</f>
        <v/>
      </c>
      <c r="D393" s="57" t="s">
        <v>158</v>
      </c>
      <c r="E393" s="59" t="str">
        <f aca="false">IF(L393="","",IF(INDEX(ポート振替表!$O$5:$O$3507,$L393)="","(未設定)",INDEX(ポート振替表!$O$5:$O$3507,$L393)&amp;""))</f>
        <v/>
      </c>
      <c r="F393" s="52" t="str">
        <f aca="false">IF(L393="","",INDEX(ポート振替表!$K$5:$K$3507,$L393)&amp;" "&amp;INDEX(ポート振替表!$L$5:$L$3507,$L393)&amp;"  ⇔  "&amp;INDEX(ポート振替表!$H$5:$H$3507,$L393)&amp;" "&amp;INDEX(ポート振替表!$I$5:$I$3507,$L393))</f>
        <v/>
      </c>
      <c r="G393" s="57" t="s">
        <v>158</v>
      </c>
      <c r="H393" s="32" t="str">
        <f aca="false">IF(L393="","",INDEX(ポート振替表!$N$5:$N$3507,$L393)&amp;"")</f>
        <v/>
      </c>
      <c r="I393" s="32" t="str">
        <f aca="false">IF(L393="","",INDEX(ポート振替表!$P$5:$P$3507,$L393)&amp;"")</f>
        <v/>
      </c>
      <c r="J393" s="60" t="str">
        <f aca="false">IF(L393="","",INDEX(ポート振替表!$M$5:$M$3507,$L393)&amp;"")</f>
        <v/>
      </c>
      <c r="K393" s="52" t="str">
        <f aca="false">IF(L393="","",E393&amp;CHAR(10)&amp;INDEX(ポート振替表!$K$5:$K$3507,$L393)&amp;" "&amp;INDEX(ポート振替表!$L$5:$L$3507,$L393)&amp;CHAR(10)&amp;"⇔ "&amp;INDEX(ポート振替表!$H$5:$H$3507,$L393)&amp;" "&amp;INDEX(ポート振替表!$I$5:$I$3507,$L393))</f>
        <v/>
      </c>
      <c r="L393" s="47" t="str">
        <f aca="false">IFERROR(MATCH(ROW()-4,ポート振替表!$V$5:$V$3507,0),"")</f>
        <v/>
      </c>
    </row>
    <row r="394" customFormat="false" ht="16.4" hidden="false" customHeight="false" outlineLevel="0" collapsed="false">
      <c r="A394" s="32" t="str">
        <f aca="false">IF(L394="","",ROW()-4)</f>
        <v/>
      </c>
      <c r="B394" s="58" t="str">
        <f aca="false">IF(L394="","",IF(INDEX(ポート振替表!$W$5:$W$3507,$L394)="","(なし)",INDEX(ポート振替表!$W$5:$W$3507,$L394)&amp;""))</f>
        <v/>
      </c>
      <c r="C394" s="52" t="str">
        <f aca="false">IF(L394="","",INDEX(ポート振替表!$B$5:$B$3507,$L394)&amp;" "&amp;INDEX(ポート振替表!$C$5:$C$3507,$L394)&amp;"  ⇔  "&amp;INDEX(ポート振替表!$H$5:$H$3507,$L394)&amp;" "&amp;INDEX(ポート振替表!$I$5:$I$3507,$L394))</f>
        <v/>
      </c>
      <c r="D394" s="57" t="s">
        <v>158</v>
      </c>
      <c r="E394" s="59" t="str">
        <f aca="false">IF(L394="","",IF(INDEX(ポート振替表!$O$5:$O$3507,$L394)="","(未設定)",INDEX(ポート振替表!$O$5:$O$3507,$L394)&amp;""))</f>
        <v/>
      </c>
      <c r="F394" s="52" t="str">
        <f aca="false">IF(L394="","",INDEX(ポート振替表!$K$5:$K$3507,$L394)&amp;" "&amp;INDEX(ポート振替表!$L$5:$L$3507,$L394)&amp;"  ⇔  "&amp;INDEX(ポート振替表!$H$5:$H$3507,$L394)&amp;" "&amp;INDEX(ポート振替表!$I$5:$I$3507,$L394))</f>
        <v/>
      </c>
      <c r="G394" s="57" t="s">
        <v>158</v>
      </c>
      <c r="H394" s="32" t="str">
        <f aca="false">IF(L394="","",INDEX(ポート振替表!$N$5:$N$3507,$L394)&amp;"")</f>
        <v/>
      </c>
      <c r="I394" s="32" t="str">
        <f aca="false">IF(L394="","",INDEX(ポート振替表!$P$5:$P$3507,$L394)&amp;"")</f>
        <v/>
      </c>
      <c r="J394" s="60" t="str">
        <f aca="false">IF(L394="","",INDEX(ポート振替表!$M$5:$M$3507,$L394)&amp;"")</f>
        <v/>
      </c>
      <c r="K394" s="52" t="str">
        <f aca="false">IF(L394="","",E394&amp;CHAR(10)&amp;INDEX(ポート振替表!$K$5:$K$3507,$L394)&amp;" "&amp;INDEX(ポート振替表!$L$5:$L$3507,$L394)&amp;CHAR(10)&amp;"⇔ "&amp;INDEX(ポート振替表!$H$5:$H$3507,$L394)&amp;" "&amp;INDEX(ポート振替表!$I$5:$I$3507,$L394))</f>
        <v/>
      </c>
      <c r="L394" s="47" t="str">
        <f aca="false">IFERROR(MATCH(ROW()-4,ポート振替表!$V$5:$V$3507,0),"")</f>
        <v/>
      </c>
    </row>
    <row r="395" customFormat="false" ht="16.4" hidden="false" customHeight="false" outlineLevel="0" collapsed="false">
      <c r="A395" s="32" t="str">
        <f aca="false">IF(L395="","",ROW()-4)</f>
        <v/>
      </c>
      <c r="B395" s="58" t="str">
        <f aca="false">IF(L395="","",IF(INDEX(ポート振替表!$W$5:$W$3507,$L395)="","(なし)",INDEX(ポート振替表!$W$5:$W$3507,$L395)&amp;""))</f>
        <v/>
      </c>
      <c r="C395" s="52" t="str">
        <f aca="false">IF(L395="","",INDEX(ポート振替表!$B$5:$B$3507,$L395)&amp;" "&amp;INDEX(ポート振替表!$C$5:$C$3507,$L395)&amp;"  ⇔  "&amp;INDEX(ポート振替表!$H$5:$H$3507,$L395)&amp;" "&amp;INDEX(ポート振替表!$I$5:$I$3507,$L395))</f>
        <v/>
      </c>
      <c r="D395" s="57" t="s">
        <v>158</v>
      </c>
      <c r="E395" s="59" t="str">
        <f aca="false">IF(L395="","",IF(INDEX(ポート振替表!$O$5:$O$3507,$L395)="","(未設定)",INDEX(ポート振替表!$O$5:$O$3507,$L395)&amp;""))</f>
        <v/>
      </c>
      <c r="F395" s="52" t="str">
        <f aca="false">IF(L395="","",INDEX(ポート振替表!$K$5:$K$3507,$L395)&amp;" "&amp;INDEX(ポート振替表!$L$5:$L$3507,$L395)&amp;"  ⇔  "&amp;INDEX(ポート振替表!$H$5:$H$3507,$L395)&amp;" "&amp;INDEX(ポート振替表!$I$5:$I$3507,$L395))</f>
        <v/>
      </c>
      <c r="G395" s="57" t="s">
        <v>158</v>
      </c>
      <c r="H395" s="32" t="str">
        <f aca="false">IF(L395="","",INDEX(ポート振替表!$N$5:$N$3507,$L395)&amp;"")</f>
        <v/>
      </c>
      <c r="I395" s="32" t="str">
        <f aca="false">IF(L395="","",INDEX(ポート振替表!$P$5:$P$3507,$L395)&amp;"")</f>
        <v/>
      </c>
      <c r="J395" s="60" t="str">
        <f aca="false">IF(L395="","",INDEX(ポート振替表!$M$5:$M$3507,$L395)&amp;"")</f>
        <v/>
      </c>
      <c r="K395" s="52" t="str">
        <f aca="false">IF(L395="","",E395&amp;CHAR(10)&amp;INDEX(ポート振替表!$K$5:$K$3507,$L395)&amp;" "&amp;INDEX(ポート振替表!$L$5:$L$3507,$L395)&amp;CHAR(10)&amp;"⇔ "&amp;INDEX(ポート振替表!$H$5:$H$3507,$L395)&amp;" "&amp;INDEX(ポート振替表!$I$5:$I$3507,$L395))</f>
        <v/>
      </c>
      <c r="L395" s="47" t="str">
        <f aca="false">IFERROR(MATCH(ROW()-4,ポート振替表!$V$5:$V$3507,0),"")</f>
        <v/>
      </c>
    </row>
    <row r="396" customFormat="false" ht="16.4" hidden="false" customHeight="false" outlineLevel="0" collapsed="false">
      <c r="A396" s="32" t="str">
        <f aca="false">IF(L396="","",ROW()-4)</f>
        <v/>
      </c>
      <c r="B396" s="58" t="str">
        <f aca="false">IF(L396="","",IF(INDEX(ポート振替表!$W$5:$W$3507,$L396)="","(なし)",INDEX(ポート振替表!$W$5:$W$3507,$L396)&amp;""))</f>
        <v/>
      </c>
      <c r="C396" s="52" t="str">
        <f aca="false">IF(L396="","",INDEX(ポート振替表!$B$5:$B$3507,$L396)&amp;" "&amp;INDEX(ポート振替表!$C$5:$C$3507,$L396)&amp;"  ⇔  "&amp;INDEX(ポート振替表!$H$5:$H$3507,$L396)&amp;" "&amp;INDEX(ポート振替表!$I$5:$I$3507,$L396))</f>
        <v/>
      </c>
      <c r="D396" s="57" t="s">
        <v>158</v>
      </c>
      <c r="E396" s="59" t="str">
        <f aca="false">IF(L396="","",IF(INDEX(ポート振替表!$O$5:$O$3507,$L396)="","(未設定)",INDEX(ポート振替表!$O$5:$O$3507,$L396)&amp;""))</f>
        <v/>
      </c>
      <c r="F396" s="52" t="str">
        <f aca="false">IF(L396="","",INDEX(ポート振替表!$K$5:$K$3507,$L396)&amp;" "&amp;INDEX(ポート振替表!$L$5:$L$3507,$L396)&amp;"  ⇔  "&amp;INDEX(ポート振替表!$H$5:$H$3507,$L396)&amp;" "&amp;INDEX(ポート振替表!$I$5:$I$3507,$L396))</f>
        <v/>
      </c>
      <c r="G396" s="57" t="s">
        <v>158</v>
      </c>
      <c r="H396" s="32" t="str">
        <f aca="false">IF(L396="","",INDEX(ポート振替表!$N$5:$N$3507,$L396)&amp;"")</f>
        <v/>
      </c>
      <c r="I396" s="32" t="str">
        <f aca="false">IF(L396="","",INDEX(ポート振替表!$P$5:$P$3507,$L396)&amp;"")</f>
        <v/>
      </c>
      <c r="J396" s="60" t="str">
        <f aca="false">IF(L396="","",INDEX(ポート振替表!$M$5:$M$3507,$L396)&amp;"")</f>
        <v/>
      </c>
      <c r="K396" s="52" t="str">
        <f aca="false">IF(L396="","",E396&amp;CHAR(10)&amp;INDEX(ポート振替表!$K$5:$K$3507,$L396)&amp;" "&amp;INDEX(ポート振替表!$L$5:$L$3507,$L396)&amp;CHAR(10)&amp;"⇔ "&amp;INDEX(ポート振替表!$H$5:$H$3507,$L396)&amp;" "&amp;INDEX(ポート振替表!$I$5:$I$3507,$L396))</f>
        <v/>
      </c>
      <c r="L396" s="47" t="str">
        <f aca="false">IFERROR(MATCH(ROW()-4,ポート振替表!$V$5:$V$3507,0),"")</f>
        <v/>
      </c>
    </row>
    <row r="397" customFormat="false" ht="16.4" hidden="false" customHeight="false" outlineLevel="0" collapsed="false">
      <c r="A397" s="32" t="str">
        <f aca="false">IF(L397="","",ROW()-4)</f>
        <v/>
      </c>
      <c r="B397" s="58" t="str">
        <f aca="false">IF(L397="","",IF(INDEX(ポート振替表!$W$5:$W$3507,$L397)="","(なし)",INDEX(ポート振替表!$W$5:$W$3507,$L397)&amp;""))</f>
        <v/>
      </c>
      <c r="C397" s="52" t="str">
        <f aca="false">IF(L397="","",INDEX(ポート振替表!$B$5:$B$3507,$L397)&amp;" "&amp;INDEX(ポート振替表!$C$5:$C$3507,$L397)&amp;"  ⇔  "&amp;INDEX(ポート振替表!$H$5:$H$3507,$L397)&amp;" "&amp;INDEX(ポート振替表!$I$5:$I$3507,$L397))</f>
        <v/>
      </c>
      <c r="D397" s="57" t="s">
        <v>158</v>
      </c>
      <c r="E397" s="59" t="str">
        <f aca="false">IF(L397="","",IF(INDEX(ポート振替表!$O$5:$O$3507,$L397)="","(未設定)",INDEX(ポート振替表!$O$5:$O$3507,$L397)&amp;""))</f>
        <v/>
      </c>
      <c r="F397" s="52" t="str">
        <f aca="false">IF(L397="","",INDEX(ポート振替表!$K$5:$K$3507,$L397)&amp;" "&amp;INDEX(ポート振替表!$L$5:$L$3507,$L397)&amp;"  ⇔  "&amp;INDEX(ポート振替表!$H$5:$H$3507,$L397)&amp;" "&amp;INDEX(ポート振替表!$I$5:$I$3507,$L397))</f>
        <v/>
      </c>
      <c r="G397" s="57" t="s">
        <v>158</v>
      </c>
      <c r="H397" s="32" t="str">
        <f aca="false">IF(L397="","",INDEX(ポート振替表!$N$5:$N$3507,$L397)&amp;"")</f>
        <v/>
      </c>
      <c r="I397" s="32" t="str">
        <f aca="false">IF(L397="","",INDEX(ポート振替表!$P$5:$P$3507,$L397)&amp;"")</f>
        <v/>
      </c>
      <c r="J397" s="60" t="str">
        <f aca="false">IF(L397="","",INDEX(ポート振替表!$M$5:$M$3507,$L397)&amp;"")</f>
        <v/>
      </c>
      <c r="K397" s="52" t="str">
        <f aca="false">IF(L397="","",E397&amp;CHAR(10)&amp;INDEX(ポート振替表!$K$5:$K$3507,$L397)&amp;" "&amp;INDEX(ポート振替表!$L$5:$L$3507,$L397)&amp;CHAR(10)&amp;"⇔ "&amp;INDEX(ポート振替表!$H$5:$H$3507,$L397)&amp;" "&amp;INDEX(ポート振替表!$I$5:$I$3507,$L397))</f>
        <v/>
      </c>
      <c r="L397" s="47" t="str">
        <f aca="false">IFERROR(MATCH(ROW()-4,ポート振替表!$V$5:$V$3507,0),"")</f>
        <v/>
      </c>
    </row>
    <row r="398" customFormat="false" ht="16.4" hidden="false" customHeight="false" outlineLevel="0" collapsed="false">
      <c r="A398" s="32" t="str">
        <f aca="false">IF(L398="","",ROW()-4)</f>
        <v/>
      </c>
      <c r="B398" s="58" t="str">
        <f aca="false">IF(L398="","",IF(INDEX(ポート振替表!$W$5:$W$3507,$L398)="","(なし)",INDEX(ポート振替表!$W$5:$W$3507,$L398)&amp;""))</f>
        <v/>
      </c>
      <c r="C398" s="52" t="str">
        <f aca="false">IF(L398="","",INDEX(ポート振替表!$B$5:$B$3507,$L398)&amp;" "&amp;INDEX(ポート振替表!$C$5:$C$3507,$L398)&amp;"  ⇔  "&amp;INDEX(ポート振替表!$H$5:$H$3507,$L398)&amp;" "&amp;INDEX(ポート振替表!$I$5:$I$3507,$L398))</f>
        <v/>
      </c>
      <c r="D398" s="57" t="s">
        <v>158</v>
      </c>
      <c r="E398" s="59" t="str">
        <f aca="false">IF(L398="","",IF(INDEX(ポート振替表!$O$5:$O$3507,$L398)="","(未設定)",INDEX(ポート振替表!$O$5:$O$3507,$L398)&amp;""))</f>
        <v/>
      </c>
      <c r="F398" s="52" t="str">
        <f aca="false">IF(L398="","",INDEX(ポート振替表!$K$5:$K$3507,$L398)&amp;" "&amp;INDEX(ポート振替表!$L$5:$L$3507,$L398)&amp;"  ⇔  "&amp;INDEX(ポート振替表!$H$5:$H$3507,$L398)&amp;" "&amp;INDEX(ポート振替表!$I$5:$I$3507,$L398))</f>
        <v/>
      </c>
      <c r="G398" s="57" t="s">
        <v>158</v>
      </c>
      <c r="H398" s="32" t="str">
        <f aca="false">IF(L398="","",INDEX(ポート振替表!$N$5:$N$3507,$L398)&amp;"")</f>
        <v/>
      </c>
      <c r="I398" s="32" t="str">
        <f aca="false">IF(L398="","",INDEX(ポート振替表!$P$5:$P$3507,$L398)&amp;"")</f>
        <v/>
      </c>
      <c r="J398" s="60" t="str">
        <f aca="false">IF(L398="","",INDEX(ポート振替表!$M$5:$M$3507,$L398)&amp;"")</f>
        <v/>
      </c>
      <c r="K398" s="52" t="str">
        <f aca="false">IF(L398="","",E398&amp;CHAR(10)&amp;INDEX(ポート振替表!$K$5:$K$3507,$L398)&amp;" "&amp;INDEX(ポート振替表!$L$5:$L$3507,$L398)&amp;CHAR(10)&amp;"⇔ "&amp;INDEX(ポート振替表!$H$5:$H$3507,$L398)&amp;" "&amp;INDEX(ポート振替表!$I$5:$I$3507,$L398))</f>
        <v/>
      </c>
      <c r="L398" s="47" t="str">
        <f aca="false">IFERROR(MATCH(ROW()-4,ポート振替表!$V$5:$V$3507,0),"")</f>
        <v/>
      </c>
    </row>
    <row r="399" customFormat="false" ht="16.4" hidden="false" customHeight="false" outlineLevel="0" collapsed="false">
      <c r="A399" s="32" t="str">
        <f aca="false">IF(L399="","",ROW()-4)</f>
        <v/>
      </c>
      <c r="B399" s="58" t="str">
        <f aca="false">IF(L399="","",IF(INDEX(ポート振替表!$W$5:$W$3507,$L399)="","(なし)",INDEX(ポート振替表!$W$5:$W$3507,$L399)&amp;""))</f>
        <v/>
      </c>
      <c r="C399" s="52" t="str">
        <f aca="false">IF(L399="","",INDEX(ポート振替表!$B$5:$B$3507,$L399)&amp;" "&amp;INDEX(ポート振替表!$C$5:$C$3507,$L399)&amp;"  ⇔  "&amp;INDEX(ポート振替表!$H$5:$H$3507,$L399)&amp;" "&amp;INDEX(ポート振替表!$I$5:$I$3507,$L399))</f>
        <v/>
      </c>
      <c r="D399" s="57" t="s">
        <v>158</v>
      </c>
      <c r="E399" s="59" t="str">
        <f aca="false">IF(L399="","",IF(INDEX(ポート振替表!$O$5:$O$3507,$L399)="","(未設定)",INDEX(ポート振替表!$O$5:$O$3507,$L399)&amp;""))</f>
        <v/>
      </c>
      <c r="F399" s="52" t="str">
        <f aca="false">IF(L399="","",INDEX(ポート振替表!$K$5:$K$3507,$L399)&amp;" "&amp;INDEX(ポート振替表!$L$5:$L$3507,$L399)&amp;"  ⇔  "&amp;INDEX(ポート振替表!$H$5:$H$3507,$L399)&amp;" "&amp;INDEX(ポート振替表!$I$5:$I$3507,$L399))</f>
        <v/>
      </c>
      <c r="G399" s="57" t="s">
        <v>158</v>
      </c>
      <c r="H399" s="32" t="str">
        <f aca="false">IF(L399="","",INDEX(ポート振替表!$N$5:$N$3507,$L399)&amp;"")</f>
        <v/>
      </c>
      <c r="I399" s="32" t="str">
        <f aca="false">IF(L399="","",INDEX(ポート振替表!$P$5:$P$3507,$L399)&amp;"")</f>
        <v/>
      </c>
      <c r="J399" s="60" t="str">
        <f aca="false">IF(L399="","",INDEX(ポート振替表!$M$5:$M$3507,$L399)&amp;"")</f>
        <v/>
      </c>
      <c r="K399" s="52" t="str">
        <f aca="false">IF(L399="","",E399&amp;CHAR(10)&amp;INDEX(ポート振替表!$K$5:$K$3507,$L399)&amp;" "&amp;INDEX(ポート振替表!$L$5:$L$3507,$L399)&amp;CHAR(10)&amp;"⇔ "&amp;INDEX(ポート振替表!$H$5:$H$3507,$L399)&amp;" "&amp;INDEX(ポート振替表!$I$5:$I$3507,$L399))</f>
        <v/>
      </c>
      <c r="L399" s="47" t="str">
        <f aca="false">IFERROR(MATCH(ROW()-4,ポート振替表!$V$5:$V$3507,0),"")</f>
        <v/>
      </c>
    </row>
    <row r="400" customFormat="false" ht="16.4" hidden="false" customHeight="false" outlineLevel="0" collapsed="false">
      <c r="A400" s="32" t="str">
        <f aca="false">IF(L400="","",ROW()-4)</f>
        <v/>
      </c>
      <c r="B400" s="58" t="str">
        <f aca="false">IF(L400="","",IF(INDEX(ポート振替表!$W$5:$W$3507,$L400)="","(なし)",INDEX(ポート振替表!$W$5:$W$3507,$L400)&amp;""))</f>
        <v/>
      </c>
      <c r="C400" s="52" t="str">
        <f aca="false">IF(L400="","",INDEX(ポート振替表!$B$5:$B$3507,$L400)&amp;" "&amp;INDEX(ポート振替表!$C$5:$C$3507,$L400)&amp;"  ⇔  "&amp;INDEX(ポート振替表!$H$5:$H$3507,$L400)&amp;" "&amp;INDEX(ポート振替表!$I$5:$I$3507,$L400))</f>
        <v/>
      </c>
      <c r="D400" s="57" t="s">
        <v>158</v>
      </c>
      <c r="E400" s="59" t="str">
        <f aca="false">IF(L400="","",IF(INDEX(ポート振替表!$O$5:$O$3507,$L400)="","(未設定)",INDEX(ポート振替表!$O$5:$O$3507,$L400)&amp;""))</f>
        <v/>
      </c>
      <c r="F400" s="52" t="str">
        <f aca="false">IF(L400="","",INDEX(ポート振替表!$K$5:$K$3507,$L400)&amp;" "&amp;INDEX(ポート振替表!$L$5:$L$3507,$L400)&amp;"  ⇔  "&amp;INDEX(ポート振替表!$H$5:$H$3507,$L400)&amp;" "&amp;INDEX(ポート振替表!$I$5:$I$3507,$L400))</f>
        <v/>
      </c>
      <c r="G400" s="57" t="s">
        <v>158</v>
      </c>
      <c r="H400" s="32" t="str">
        <f aca="false">IF(L400="","",INDEX(ポート振替表!$N$5:$N$3507,$L400)&amp;"")</f>
        <v/>
      </c>
      <c r="I400" s="32" t="str">
        <f aca="false">IF(L400="","",INDEX(ポート振替表!$P$5:$P$3507,$L400)&amp;"")</f>
        <v/>
      </c>
      <c r="J400" s="60" t="str">
        <f aca="false">IF(L400="","",INDEX(ポート振替表!$M$5:$M$3507,$L400)&amp;"")</f>
        <v/>
      </c>
      <c r="K400" s="52" t="str">
        <f aca="false">IF(L400="","",E400&amp;CHAR(10)&amp;INDEX(ポート振替表!$K$5:$K$3507,$L400)&amp;" "&amp;INDEX(ポート振替表!$L$5:$L$3507,$L400)&amp;CHAR(10)&amp;"⇔ "&amp;INDEX(ポート振替表!$H$5:$H$3507,$L400)&amp;" "&amp;INDEX(ポート振替表!$I$5:$I$3507,$L400))</f>
        <v/>
      </c>
      <c r="L400" s="47" t="str">
        <f aca="false">IFERROR(MATCH(ROW()-4,ポート振替表!$V$5:$V$3507,0),"")</f>
        <v/>
      </c>
    </row>
    <row r="401" customFormat="false" ht="16.4" hidden="false" customHeight="false" outlineLevel="0" collapsed="false">
      <c r="A401" s="32" t="str">
        <f aca="false">IF(L401="","",ROW()-4)</f>
        <v/>
      </c>
      <c r="B401" s="58" t="str">
        <f aca="false">IF(L401="","",IF(INDEX(ポート振替表!$W$5:$W$3507,$L401)="","(なし)",INDEX(ポート振替表!$W$5:$W$3507,$L401)&amp;""))</f>
        <v/>
      </c>
      <c r="C401" s="52" t="str">
        <f aca="false">IF(L401="","",INDEX(ポート振替表!$B$5:$B$3507,$L401)&amp;" "&amp;INDEX(ポート振替表!$C$5:$C$3507,$L401)&amp;"  ⇔  "&amp;INDEX(ポート振替表!$H$5:$H$3507,$L401)&amp;" "&amp;INDEX(ポート振替表!$I$5:$I$3507,$L401))</f>
        <v/>
      </c>
      <c r="D401" s="57" t="s">
        <v>158</v>
      </c>
      <c r="E401" s="59" t="str">
        <f aca="false">IF(L401="","",IF(INDEX(ポート振替表!$O$5:$O$3507,$L401)="","(未設定)",INDEX(ポート振替表!$O$5:$O$3507,$L401)&amp;""))</f>
        <v/>
      </c>
      <c r="F401" s="52" t="str">
        <f aca="false">IF(L401="","",INDEX(ポート振替表!$K$5:$K$3507,$L401)&amp;" "&amp;INDEX(ポート振替表!$L$5:$L$3507,$L401)&amp;"  ⇔  "&amp;INDEX(ポート振替表!$H$5:$H$3507,$L401)&amp;" "&amp;INDEX(ポート振替表!$I$5:$I$3507,$L401))</f>
        <v/>
      </c>
      <c r="G401" s="57" t="s">
        <v>158</v>
      </c>
      <c r="H401" s="32" t="str">
        <f aca="false">IF(L401="","",INDEX(ポート振替表!$N$5:$N$3507,$L401)&amp;"")</f>
        <v/>
      </c>
      <c r="I401" s="32" t="str">
        <f aca="false">IF(L401="","",INDEX(ポート振替表!$P$5:$P$3507,$L401)&amp;"")</f>
        <v/>
      </c>
      <c r="J401" s="60" t="str">
        <f aca="false">IF(L401="","",INDEX(ポート振替表!$M$5:$M$3507,$L401)&amp;"")</f>
        <v/>
      </c>
      <c r="K401" s="52" t="str">
        <f aca="false">IF(L401="","",E401&amp;CHAR(10)&amp;INDEX(ポート振替表!$K$5:$K$3507,$L401)&amp;" "&amp;INDEX(ポート振替表!$L$5:$L$3507,$L401)&amp;CHAR(10)&amp;"⇔ "&amp;INDEX(ポート振替表!$H$5:$H$3507,$L401)&amp;" "&amp;INDEX(ポート振替表!$I$5:$I$3507,$L401))</f>
        <v/>
      </c>
      <c r="L401" s="47" t="str">
        <f aca="false">IFERROR(MATCH(ROW()-4,ポート振替表!$V$5:$V$3507,0),"")</f>
        <v/>
      </c>
    </row>
    <row r="402" customFormat="false" ht="16.4" hidden="false" customHeight="false" outlineLevel="0" collapsed="false">
      <c r="A402" s="32" t="str">
        <f aca="false">IF(L402="","",ROW()-4)</f>
        <v/>
      </c>
      <c r="B402" s="58" t="str">
        <f aca="false">IF(L402="","",IF(INDEX(ポート振替表!$W$5:$W$3507,$L402)="","(なし)",INDEX(ポート振替表!$W$5:$W$3507,$L402)&amp;""))</f>
        <v/>
      </c>
      <c r="C402" s="52" t="str">
        <f aca="false">IF(L402="","",INDEX(ポート振替表!$B$5:$B$3507,$L402)&amp;" "&amp;INDEX(ポート振替表!$C$5:$C$3507,$L402)&amp;"  ⇔  "&amp;INDEX(ポート振替表!$H$5:$H$3507,$L402)&amp;" "&amp;INDEX(ポート振替表!$I$5:$I$3507,$L402))</f>
        <v/>
      </c>
      <c r="D402" s="57" t="s">
        <v>158</v>
      </c>
      <c r="E402" s="59" t="str">
        <f aca="false">IF(L402="","",IF(INDEX(ポート振替表!$O$5:$O$3507,$L402)="","(未設定)",INDEX(ポート振替表!$O$5:$O$3507,$L402)&amp;""))</f>
        <v/>
      </c>
      <c r="F402" s="52" t="str">
        <f aca="false">IF(L402="","",INDEX(ポート振替表!$K$5:$K$3507,$L402)&amp;" "&amp;INDEX(ポート振替表!$L$5:$L$3507,$L402)&amp;"  ⇔  "&amp;INDEX(ポート振替表!$H$5:$H$3507,$L402)&amp;" "&amp;INDEX(ポート振替表!$I$5:$I$3507,$L402))</f>
        <v/>
      </c>
      <c r="G402" s="57" t="s">
        <v>158</v>
      </c>
      <c r="H402" s="32" t="str">
        <f aca="false">IF(L402="","",INDEX(ポート振替表!$N$5:$N$3507,$L402)&amp;"")</f>
        <v/>
      </c>
      <c r="I402" s="32" t="str">
        <f aca="false">IF(L402="","",INDEX(ポート振替表!$P$5:$P$3507,$L402)&amp;"")</f>
        <v/>
      </c>
      <c r="J402" s="60" t="str">
        <f aca="false">IF(L402="","",INDEX(ポート振替表!$M$5:$M$3507,$L402)&amp;"")</f>
        <v/>
      </c>
      <c r="K402" s="52" t="str">
        <f aca="false">IF(L402="","",E402&amp;CHAR(10)&amp;INDEX(ポート振替表!$K$5:$K$3507,$L402)&amp;" "&amp;INDEX(ポート振替表!$L$5:$L$3507,$L402)&amp;CHAR(10)&amp;"⇔ "&amp;INDEX(ポート振替表!$H$5:$H$3507,$L402)&amp;" "&amp;INDEX(ポート振替表!$I$5:$I$3507,$L402))</f>
        <v/>
      </c>
      <c r="L402" s="47" t="str">
        <f aca="false">IFERROR(MATCH(ROW()-4,ポート振替表!$V$5:$V$3507,0),"")</f>
        <v/>
      </c>
    </row>
    <row r="403" customFormat="false" ht="16.4" hidden="false" customHeight="false" outlineLevel="0" collapsed="false">
      <c r="A403" s="32" t="str">
        <f aca="false">IF(L403="","",ROW()-4)</f>
        <v/>
      </c>
      <c r="B403" s="58" t="str">
        <f aca="false">IF(L403="","",IF(INDEX(ポート振替表!$W$5:$W$3507,$L403)="","(なし)",INDEX(ポート振替表!$W$5:$W$3507,$L403)&amp;""))</f>
        <v/>
      </c>
      <c r="C403" s="52" t="str">
        <f aca="false">IF(L403="","",INDEX(ポート振替表!$B$5:$B$3507,$L403)&amp;" "&amp;INDEX(ポート振替表!$C$5:$C$3507,$L403)&amp;"  ⇔  "&amp;INDEX(ポート振替表!$H$5:$H$3507,$L403)&amp;" "&amp;INDEX(ポート振替表!$I$5:$I$3507,$L403))</f>
        <v/>
      </c>
      <c r="D403" s="57" t="s">
        <v>158</v>
      </c>
      <c r="E403" s="59" t="str">
        <f aca="false">IF(L403="","",IF(INDEX(ポート振替表!$O$5:$O$3507,$L403)="","(未設定)",INDEX(ポート振替表!$O$5:$O$3507,$L403)&amp;""))</f>
        <v/>
      </c>
      <c r="F403" s="52" t="str">
        <f aca="false">IF(L403="","",INDEX(ポート振替表!$K$5:$K$3507,$L403)&amp;" "&amp;INDEX(ポート振替表!$L$5:$L$3507,$L403)&amp;"  ⇔  "&amp;INDEX(ポート振替表!$H$5:$H$3507,$L403)&amp;" "&amp;INDEX(ポート振替表!$I$5:$I$3507,$L403))</f>
        <v/>
      </c>
      <c r="G403" s="57" t="s">
        <v>158</v>
      </c>
      <c r="H403" s="32" t="str">
        <f aca="false">IF(L403="","",INDEX(ポート振替表!$N$5:$N$3507,$L403)&amp;"")</f>
        <v/>
      </c>
      <c r="I403" s="32" t="str">
        <f aca="false">IF(L403="","",INDEX(ポート振替表!$P$5:$P$3507,$L403)&amp;"")</f>
        <v/>
      </c>
      <c r="J403" s="60" t="str">
        <f aca="false">IF(L403="","",INDEX(ポート振替表!$M$5:$M$3507,$L403)&amp;"")</f>
        <v/>
      </c>
      <c r="K403" s="52" t="str">
        <f aca="false">IF(L403="","",E403&amp;CHAR(10)&amp;INDEX(ポート振替表!$K$5:$K$3507,$L403)&amp;" "&amp;INDEX(ポート振替表!$L$5:$L$3507,$L403)&amp;CHAR(10)&amp;"⇔ "&amp;INDEX(ポート振替表!$H$5:$H$3507,$L403)&amp;" "&amp;INDEX(ポート振替表!$I$5:$I$3507,$L403))</f>
        <v/>
      </c>
      <c r="L403" s="47" t="str">
        <f aca="false">IFERROR(MATCH(ROW()-4,ポート振替表!$V$5:$V$3507,0),"")</f>
        <v/>
      </c>
    </row>
    <row r="404" customFormat="false" ht="16.4" hidden="false" customHeight="false" outlineLevel="0" collapsed="false">
      <c r="A404" s="32" t="str">
        <f aca="false">IF(L404="","",ROW()-4)</f>
        <v/>
      </c>
      <c r="B404" s="58" t="str">
        <f aca="false">IF(L404="","",IF(INDEX(ポート振替表!$W$5:$W$3507,$L404)="","(なし)",INDEX(ポート振替表!$W$5:$W$3507,$L404)&amp;""))</f>
        <v/>
      </c>
      <c r="C404" s="52" t="str">
        <f aca="false">IF(L404="","",INDEX(ポート振替表!$B$5:$B$3507,$L404)&amp;" "&amp;INDEX(ポート振替表!$C$5:$C$3507,$L404)&amp;"  ⇔  "&amp;INDEX(ポート振替表!$H$5:$H$3507,$L404)&amp;" "&amp;INDEX(ポート振替表!$I$5:$I$3507,$L404))</f>
        <v/>
      </c>
      <c r="D404" s="57" t="s">
        <v>158</v>
      </c>
      <c r="E404" s="59" t="str">
        <f aca="false">IF(L404="","",IF(INDEX(ポート振替表!$O$5:$O$3507,$L404)="","(未設定)",INDEX(ポート振替表!$O$5:$O$3507,$L404)&amp;""))</f>
        <v/>
      </c>
      <c r="F404" s="52" t="str">
        <f aca="false">IF(L404="","",INDEX(ポート振替表!$K$5:$K$3507,$L404)&amp;" "&amp;INDEX(ポート振替表!$L$5:$L$3507,$L404)&amp;"  ⇔  "&amp;INDEX(ポート振替表!$H$5:$H$3507,$L404)&amp;" "&amp;INDEX(ポート振替表!$I$5:$I$3507,$L404))</f>
        <v/>
      </c>
      <c r="G404" s="57" t="s">
        <v>158</v>
      </c>
      <c r="H404" s="32" t="str">
        <f aca="false">IF(L404="","",INDEX(ポート振替表!$N$5:$N$3507,$L404)&amp;"")</f>
        <v/>
      </c>
      <c r="I404" s="32" t="str">
        <f aca="false">IF(L404="","",INDEX(ポート振替表!$P$5:$P$3507,$L404)&amp;"")</f>
        <v/>
      </c>
      <c r="J404" s="60" t="str">
        <f aca="false">IF(L404="","",INDEX(ポート振替表!$M$5:$M$3507,$L404)&amp;"")</f>
        <v/>
      </c>
      <c r="K404" s="52" t="str">
        <f aca="false">IF(L404="","",E404&amp;CHAR(10)&amp;INDEX(ポート振替表!$K$5:$K$3507,$L404)&amp;" "&amp;INDEX(ポート振替表!$L$5:$L$3507,$L404)&amp;CHAR(10)&amp;"⇔ "&amp;INDEX(ポート振替表!$H$5:$H$3507,$L404)&amp;" "&amp;INDEX(ポート振替表!$I$5:$I$3507,$L404))</f>
        <v/>
      </c>
      <c r="L404" s="47" t="str">
        <f aca="false">IFERROR(MATCH(ROW()-4,ポート振替表!$V$5:$V$3507,0),"")</f>
        <v/>
      </c>
    </row>
    <row r="405" customFormat="false" ht="16.4" hidden="false" customHeight="false" outlineLevel="0" collapsed="false">
      <c r="A405" s="32" t="str">
        <f aca="false">IF(L405="","",ROW()-4)</f>
        <v/>
      </c>
      <c r="B405" s="58" t="str">
        <f aca="false">IF(L405="","",IF(INDEX(ポート振替表!$W$5:$W$3507,$L405)="","(なし)",INDEX(ポート振替表!$W$5:$W$3507,$L405)&amp;""))</f>
        <v/>
      </c>
      <c r="C405" s="52" t="str">
        <f aca="false">IF(L405="","",INDEX(ポート振替表!$B$5:$B$3507,$L405)&amp;" "&amp;INDEX(ポート振替表!$C$5:$C$3507,$L405)&amp;"  ⇔  "&amp;INDEX(ポート振替表!$H$5:$H$3507,$L405)&amp;" "&amp;INDEX(ポート振替表!$I$5:$I$3507,$L405))</f>
        <v/>
      </c>
      <c r="D405" s="57" t="s">
        <v>158</v>
      </c>
      <c r="E405" s="59" t="str">
        <f aca="false">IF(L405="","",IF(INDEX(ポート振替表!$O$5:$O$3507,$L405)="","(未設定)",INDEX(ポート振替表!$O$5:$O$3507,$L405)&amp;""))</f>
        <v/>
      </c>
      <c r="F405" s="52" t="str">
        <f aca="false">IF(L405="","",INDEX(ポート振替表!$K$5:$K$3507,$L405)&amp;" "&amp;INDEX(ポート振替表!$L$5:$L$3507,$L405)&amp;"  ⇔  "&amp;INDEX(ポート振替表!$H$5:$H$3507,$L405)&amp;" "&amp;INDEX(ポート振替表!$I$5:$I$3507,$L405))</f>
        <v/>
      </c>
      <c r="G405" s="57" t="s">
        <v>158</v>
      </c>
      <c r="H405" s="32" t="str">
        <f aca="false">IF(L405="","",INDEX(ポート振替表!$N$5:$N$3507,$L405)&amp;"")</f>
        <v/>
      </c>
      <c r="I405" s="32" t="str">
        <f aca="false">IF(L405="","",INDEX(ポート振替表!$P$5:$P$3507,$L405)&amp;"")</f>
        <v/>
      </c>
      <c r="J405" s="60" t="str">
        <f aca="false">IF(L405="","",INDEX(ポート振替表!$M$5:$M$3507,$L405)&amp;"")</f>
        <v/>
      </c>
      <c r="K405" s="52" t="str">
        <f aca="false">IF(L405="","",E405&amp;CHAR(10)&amp;INDEX(ポート振替表!$K$5:$K$3507,$L405)&amp;" "&amp;INDEX(ポート振替表!$L$5:$L$3507,$L405)&amp;CHAR(10)&amp;"⇔ "&amp;INDEX(ポート振替表!$H$5:$H$3507,$L405)&amp;" "&amp;INDEX(ポート振替表!$I$5:$I$3507,$L405))</f>
        <v/>
      </c>
      <c r="L405" s="47" t="str">
        <f aca="false">IFERROR(MATCH(ROW()-4,ポート振替表!$V$5:$V$3507,0),"")</f>
        <v/>
      </c>
    </row>
    <row r="406" customFormat="false" ht="16.4" hidden="false" customHeight="false" outlineLevel="0" collapsed="false">
      <c r="A406" s="32" t="str">
        <f aca="false">IF(L406="","",ROW()-4)</f>
        <v/>
      </c>
      <c r="B406" s="58" t="str">
        <f aca="false">IF(L406="","",IF(INDEX(ポート振替表!$W$5:$W$3507,$L406)="","(なし)",INDEX(ポート振替表!$W$5:$W$3507,$L406)&amp;""))</f>
        <v/>
      </c>
      <c r="C406" s="52" t="str">
        <f aca="false">IF(L406="","",INDEX(ポート振替表!$B$5:$B$3507,$L406)&amp;" "&amp;INDEX(ポート振替表!$C$5:$C$3507,$L406)&amp;"  ⇔  "&amp;INDEX(ポート振替表!$H$5:$H$3507,$L406)&amp;" "&amp;INDEX(ポート振替表!$I$5:$I$3507,$L406))</f>
        <v/>
      </c>
      <c r="D406" s="57" t="s">
        <v>158</v>
      </c>
      <c r="E406" s="59" t="str">
        <f aca="false">IF(L406="","",IF(INDEX(ポート振替表!$O$5:$O$3507,$L406)="","(未設定)",INDEX(ポート振替表!$O$5:$O$3507,$L406)&amp;""))</f>
        <v/>
      </c>
      <c r="F406" s="52" t="str">
        <f aca="false">IF(L406="","",INDEX(ポート振替表!$K$5:$K$3507,$L406)&amp;" "&amp;INDEX(ポート振替表!$L$5:$L$3507,$L406)&amp;"  ⇔  "&amp;INDEX(ポート振替表!$H$5:$H$3507,$L406)&amp;" "&amp;INDEX(ポート振替表!$I$5:$I$3507,$L406))</f>
        <v/>
      </c>
      <c r="G406" s="57" t="s">
        <v>158</v>
      </c>
      <c r="H406" s="32" t="str">
        <f aca="false">IF(L406="","",INDEX(ポート振替表!$N$5:$N$3507,$L406)&amp;"")</f>
        <v/>
      </c>
      <c r="I406" s="32" t="str">
        <f aca="false">IF(L406="","",INDEX(ポート振替表!$P$5:$P$3507,$L406)&amp;"")</f>
        <v/>
      </c>
      <c r="J406" s="60" t="str">
        <f aca="false">IF(L406="","",INDEX(ポート振替表!$M$5:$M$3507,$L406)&amp;"")</f>
        <v/>
      </c>
      <c r="K406" s="52" t="str">
        <f aca="false">IF(L406="","",E406&amp;CHAR(10)&amp;INDEX(ポート振替表!$K$5:$K$3507,$L406)&amp;" "&amp;INDEX(ポート振替表!$L$5:$L$3507,$L406)&amp;CHAR(10)&amp;"⇔ "&amp;INDEX(ポート振替表!$H$5:$H$3507,$L406)&amp;" "&amp;INDEX(ポート振替表!$I$5:$I$3507,$L406))</f>
        <v/>
      </c>
      <c r="L406" s="47" t="str">
        <f aca="false">IFERROR(MATCH(ROW()-4,ポート振替表!$V$5:$V$3507,0),"")</f>
        <v/>
      </c>
    </row>
    <row r="407" customFormat="false" ht="16.4" hidden="false" customHeight="false" outlineLevel="0" collapsed="false">
      <c r="A407" s="32" t="str">
        <f aca="false">IF(L407="","",ROW()-4)</f>
        <v/>
      </c>
      <c r="B407" s="58" t="str">
        <f aca="false">IF(L407="","",IF(INDEX(ポート振替表!$W$5:$W$3507,$L407)="","(なし)",INDEX(ポート振替表!$W$5:$W$3507,$L407)&amp;""))</f>
        <v/>
      </c>
      <c r="C407" s="52" t="str">
        <f aca="false">IF(L407="","",INDEX(ポート振替表!$B$5:$B$3507,$L407)&amp;" "&amp;INDEX(ポート振替表!$C$5:$C$3507,$L407)&amp;"  ⇔  "&amp;INDEX(ポート振替表!$H$5:$H$3507,$L407)&amp;" "&amp;INDEX(ポート振替表!$I$5:$I$3507,$L407))</f>
        <v/>
      </c>
      <c r="D407" s="57" t="s">
        <v>158</v>
      </c>
      <c r="E407" s="59" t="str">
        <f aca="false">IF(L407="","",IF(INDEX(ポート振替表!$O$5:$O$3507,$L407)="","(未設定)",INDEX(ポート振替表!$O$5:$O$3507,$L407)&amp;""))</f>
        <v/>
      </c>
      <c r="F407" s="52" t="str">
        <f aca="false">IF(L407="","",INDEX(ポート振替表!$K$5:$K$3507,$L407)&amp;" "&amp;INDEX(ポート振替表!$L$5:$L$3507,$L407)&amp;"  ⇔  "&amp;INDEX(ポート振替表!$H$5:$H$3507,$L407)&amp;" "&amp;INDEX(ポート振替表!$I$5:$I$3507,$L407))</f>
        <v/>
      </c>
      <c r="G407" s="57" t="s">
        <v>158</v>
      </c>
      <c r="H407" s="32" t="str">
        <f aca="false">IF(L407="","",INDEX(ポート振替表!$N$5:$N$3507,$L407)&amp;"")</f>
        <v/>
      </c>
      <c r="I407" s="32" t="str">
        <f aca="false">IF(L407="","",INDEX(ポート振替表!$P$5:$P$3507,$L407)&amp;"")</f>
        <v/>
      </c>
      <c r="J407" s="60" t="str">
        <f aca="false">IF(L407="","",INDEX(ポート振替表!$M$5:$M$3507,$L407)&amp;"")</f>
        <v/>
      </c>
      <c r="K407" s="52" t="str">
        <f aca="false">IF(L407="","",E407&amp;CHAR(10)&amp;INDEX(ポート振替表!$K$5:$K$3507,$L407)&amp;" "&amp;INDEX(ポート振替表!$L$5:$L$3507,$L407)&amp;CHAR(10)&amp;"⇔ "&amp;INDEX(ポート振替表!$H$5:$H$3507,$L407)&amp;" "&amp;INDEX(ポート振替表!$I$5:$I$3507,$L407))</f>
        <v/>
      </c>
      <c r="L407" s="47" t="str">
        <f aca="false">IFERROR(MATCH(ROW()-4,ポート振替表!$V$5:$V$3507,0),"")</f>
        <v/>
      </c>
    </row>
    <row r="408" customFormat="false" ht="16.4" hidden="false" customHeight="false" outlineLevel="0" collapsed="false">
      <c r="A408" s="32" t="str">
        <f aca="false">IF(L408="","",ROW()-4)</f>
        <v/>
      </c>
      <c r="B408" s="58" t="str">
        <f aca="false">IF(L408="","",IF(INDEX(ポート振替表!$W$5:$W$3507,$L408)="","(なし)",INDEX(ポート振替表!$W$5:$W$3507,$L408)&amp;""))</f>
        <v/>
      </c>
      <c r="C408" s="52" t="str">
        <f aca="false">IF(L408="","",INDEX(ポート振替表!$B$5:$B$3507,$L408)&amp;" "&amp;INDEX(ポート振替表!$C$5:$C$3507,$L408)&amp;"  ⇔  "&amp;INDEX(ポート振替表!$H$5:$H$3507,$L408)&amp;" "&amp;INDEX(ポート振替表!$I$5:$I$3507,$L408))</f>
        <v/>
      </c>
      <c r="D408" s="57" t="s">
        <v>158</v>
      </c>
      <c r="E408" s="59" t="str">
        <f aca="false">IF(L408="","",IF(INDEX(ポート振替表!$O$5:$O$3507,$L408)="","(未設定)",INDEX(ポート振替表!$O$5:$O$3507,$L408)&amp;""))</f>
        <v/>
      </c>
      <c r="F408" s="52" t="str">
        <f aca="false">IF(L408="","",INDEX(ポート振替表!$K$5:$K$3507,$L408)&amp;" "&amp;INDEX(ポート振替表!$L$5:$L$3507,$L408)&amp;"  ⇔  "&amp;INDEX(ポート振替表!$H$5:$H$3507,$L408)&amp;" "&amp;INDEX(ポート振替表!$I$5:$I$3507,$L408))</f>
        <v/>
      </c>
      <c r="G408" s="57" t="s">
        <v>158</v>
      </c>
      <c r="H408" s="32" t="str">
        <f aca="false">IF(L408="","",INDEX(ポート振替表!$N$5:$N$3507,$L408)&amp;"")</f>
        <v/>
      </c>
      <c r="I408" s="32" t="str">
        <f aca="false">IF(L408="","",INDEX(ポート振替表!$P$5:$P$3507,$L408)&amp;"")</f>
        <v/>
      </c>
      <c r="J408" s="60" t="str">
        <f aca="false">IF(L408="","",INDEX(ポート振替表!$M$5:$M$3507,$L408)&amp;"")</f>
        <v/>
      </c>
      <c r="K408" s="52" t="str">
        <f aca="false">IF(L408="","",E408&amp;CHAR(10)&amp;INDEX(ポート振替表!$K$5:$K$3507,$L408)&amp;" "&amp;INDEX(ポート振替表!$L$5:$L$3507,$L408)&amp;CHAR(10)&amp;"⇔ "&amp;INDEX(ポート振替表!$H$5:$H$3507,$L408)&amp;" "&amp;INDEX(ポート振替表!$I$5:$I$3507,$L408))</f>
        <v/>
      </c>
      <c r="L408" s="47" t="str">
        <f aca="false">IFERROR(MATCH(ROW()-4,ポート振替表!$V$5:$V$3507,0),"")</f>
        <v/>
      </c>
    </row>
    <row r="409" customFormat="false" ht="16.4" hidden="false" customHeight="false" outlineLevel="0" collapsed="false">
      <c r="A409" s="32" t="str">
        <f aca="false">IF(L409="","",ROW()-4)</f>
        <v/>
      </c>
      <c r="B409" s="58" t="str">
        <f aca="false">IF(L409="","",IF(INDEX(ポート振替表!$W$5:$W$3507,$L409)="","(なし)",INDEX(ポート振替表!$W$5:$W$3507,$L409)&amp;""))</f>
        <v/>
      </c>
      <c r="C409" s="52" t="str">
        <f aca="false">IF(L409="","",INDEX(ポート振替表!$B$5:$B$3507,$L409)&amp;" "&amp;INDEX(ポート振替表!$C$5:$C$3507,$L409)&amp;"  ⇔  "&amp;INDEX(ポート振替表!$H$5:$H$3507,$L409)&amp;" "&amp;INDEX(ポート振替表!$I$5:$I$3507,$L409))</f>
        <v/>
      </c>
      <c r="D409" s="57" t="s">
        <v>158</v>
      </c>
      <c r="E409" s="59" t="str">
        <f aca="false">IF(L409="","",IF(INDEX(ポート振替表!$O$5:$O$3507,$L409)="","(未設定)",INDEX(ポート振替表!$O$5:$O$3507,$L409)&amp;""))</f>
        <v/>
      </c>
      <c r="F409" s="52" t="str">
        <f aca="false">IF(L409="","",INDEX(ポート振替表!$K$5:$K$3507,$L409)&amp;" "&amp;INDEX(ポート振替表!$L$5:$L$3507,$L409)&amp;"  ⇔  "&amp;INDEX(ポート振替表!$H$5:$H$3507,$L409)&amp;" "&amp;INDEX(ポート振替表!$I$5:$I$3507,$L409))</f>
        <v/>
      </c>
      <c r="G409" s="57" t="s">
        <v>158</v>
      </c>
      <c r="H409" s="32" t="str">
        <f aca="false">IF(L409="","",INDEX(ポート振替表!$N$5:$N$3507,$L409)&amp;"")</f>
        <v/>
      </c>
      <c r="I409" s="32" t="str">
        <f aca="false">IF(L409="","",INDEX(ポート振替表!$P$5:$P$3507,$L409)&amp;"")</f>
        <v/>
      </c>
      <c r="J409" s="60" t="str">
        <f aca="false">IF(L409="","",INDEX(ポート振替表!$M$5:$M$3507,$L409)&amp;"")</f>
        <v/>
      </c>
      <c r="K409" s="52" t="str">
        <f aca="false">IF(L409="","",E409&amp;CHAR(10)&amp;INDEX(ポート振替表!$K$5:$K$3507,$L409)&amp;" "&amp;INDEX(ポート振替表!$L$5:$L$3507,$L409)&amp;CHAR(10)&amp;"⇔ "&amp;INDEX(ポート振替表!$H$5:$H$3507,$L409)&amp;" "&amp;INDEX(ポート振替表!$I$5:$I$3507,$L409))</f>
        <v/>
      </c>
      <c r="L409" s="47" t="str">
        <f aca="false">IFERROR(MATCH(ROW()-4,ポート振替表!$V$5:$V$3507,0),"")</f>
        <v/>
      </c>
    </row>
    <row r="410" customFormat="false" ht="16.4" hidden="false" customHeight="false" outlineLevel="0" collapsed="false">
      <c r="A410" s="32" t="str">
        <f aca="false">IF(L410="","",ROW()-4)</f>
        <v/>
      </c>
      <c r="B410" s="58" t="str">
        <f aca="false">IF(L410="","",IF(INDEX(ポート振替表!$W$5:$W$3507,$L410)="","(なし)",INDEX(ポート振替表!$W$5:$W$3507,$L410)&amp;""))</f>
        <v/>
      </c>
      <c r="C410" s="52" t="str">
        <f aca="false">IF(L410="","",INDEX(ポート振替表!$B$5:$B$3507,$L410)&amp;" "&amp;INDEX(ポート振替表!$C$5:$C$3507,$L410)&amp;"  ⇔  "&amp;INDEX(ポート振替表!$H$5:$H$3507,$L410)&amp;" "&amp;INDEX(ポート振替表!$I$5:$I$3507,$L410))</f>
        <v/>
      </c>
      <c r="D410" s="57" t="s">
        <v>158</v>
      </c>
      <c r="E410" s="59" t="str">
        <f aca="false">IF(L410="","",IF(INDEX(ポート振替表!$O$5:$O$3507,$L410)="","(未設定)",INDEX(ポート振替表!$O$5:$O$3507,$L410)&amp;""))</f>
        <v/>
      </c>
      <c r="F410" s="52" t="str">
        <f aca="false">IF(L410="","",INDEX(ポート振替表!$K$5:$K$3507,$L410)&amp;" "&amp;INDEX(ポート振替表!$L$5:$L$3507,$L410)&amp;"  ⇔  "&amp;INDEX(ポート振替表!$H$5:$H$3507,$L410)&amp;" "&amp;INDEX(ポート振替表!$I$5:$I$3507,$L410))</f>
        <v/>
      </c>
      <c r="G410" s="57" t="s">
        <v>158</v>
      </c>
      <c r="H410" s="32" t="str">
        <f aca="false">IF(L410="","",INDEX(ポート振替表!$N$5:$N$3507,$L410)&amp;"")</f>
        <v/>
      </c>
      <c r="I410" s="32" t="str">
        <f aca="false">IF(L410="","",INDEX(ポート振替表!$P$5:$P$3507,$L410)&amp;"")</f>
        <v/>
      </c>
      <c r="J410" s="60" t="str">
        <f aca="false">IF(L410="","",INDEX(ポート振替表!$M$5:$M$3507,$L410)&amp;"")</f>
        <v/>
      </c>
      <c r="K410" s="52" t="str">
        <f aca="false">IF(L410="","",E410&amp;CHAR(10)&amp;INDEX(ポート振替表!$K$5:$K$3507,$L410)&amp;" "&amp;INDEX(ポート振替表!$L$5:$L$3507,$L410)&amp;CHAR(10)&amp;"⇔ "&amp;INDEX(ポート振替表!$H$5:$H$3507,$L410)&amp;" "&amp;INDEX(ポート振替表!$I$5:$I$3507,$L410))</f>
        <v/>
      </c>
      <c r="L410" s="47" t="str">
        <f aca="false">IFERROR(MATCH(ROW()-4,ポート振替表!$V$5:$V$3507,0),"")</f>
        <v/>
      </c>
    </row>
    <row r="411" customFormat="false" ht="16.4" hidden="false" customHeight="false" outlineLevel="0" collapsed="false">
      <c r="A411" s="32" t="str">
        <f aca="false">IF(L411="","",ROW()-4)</f>
        <v/>
      </c>
      <c r="B411" s="58" t="str">
        <f aca="false">IF(L411="","",IF(INDEX(ポート振替表!$W$5:$W$3507,$L411)="","(なし)",INDEX(ポート振替表!$W$5:$W$3507,$L411)&amp;""))</f>
        <v/>
      </c>
      <c r="C411" s="52" t="str">
        <f aca="false">IF(L411="","",INDEX(ポート振替表!$B$5:$B$3507,$L411)&amp;" "&amp;INDEX(ポート振替表!$C$5:$C$3507,$L411)&amp;"  ⇔  "&amp;INDEX(ポート振替表!$H$5:$H$3507,$L411)&amp;" "&amp;INDEX(ポート振替表!$I$5:$I$3507,$L411))</f>
        <v/>
      </c>
      <c r="D411" s="57" t="s">
        <v>158</v>
      </c>
      <c r="E411" s="59" t="str">
        <f aca="false">IF(L411="","",IF(INDEX(ポート振替表!$O$5:$O$3507,$L411)="","(未設定)",INDEX(ポート振替表!$O$5:$O$3507,$L411)&amp;""))</f>
        <v/>
      </c>
      <c r="F411" s="52" t="str">
        <f aca="false">IF(L411="","",INDEX(ポート振替表!$K$5:$K$3507,$L411)&amp;" "&amp;INDEX(ポート振替表!$L$5:$L$3507,$L411)&amp;"  ⇔  "&amp;INDEX(ポート振替表!$H$5:$H$3507,$L411)&amp;" "&amp;INDEX(ポート振替表!$I$5:$I$3507,$L411))</f>
        <v/>
      </c>
      <c r="G411" s="57" t="s">
        <v>158</v>
      </c>
      <c r="H411" s="32" t="str">
        <f aca="false">IF(L411="","",INDEX(ポート振替表!$N$5:$N$3507,$L411)&amp;"")</f>
        <v/>
      </c>
      <c r="I411" s="32" t="str">
        <f aca="false">IF(L411="","",INDEX(ポート振替表!$P$5:$P$3507,$L411)&amp;"")</f>
        <v/>
      </c>
      <c r="J411" s="60" t="str">
        <f aca="false">IF(L411="","",INDEX(ポート振替表!$M$5:$M$3507,$L411)&amp;"")</f>
        <v/>
      </c>
      <c r="K411" s="52" t="str">
        <f aca="false">IF(L411="","",E411&amp;CHAR(10)&amp;INDEX(ポート振替表!$K$5:$K$3507,$L411)&amp;" "&amp;INDEX(ポート振替表!$L$5:$L$3507,$L411)&amp;CHAR(10)&amp;"⇔ "&amp;INDEX(ポート振替表!$H$5:$H$3507,$L411)&amp;" "&amp;INDEX(ポート振替表!$I$5:$I$3507,$L411))</f>
        <v/>
      </c>
      <c r="L411" s="47" t="str">
        <f aca="false">IFERROR(MATCH(ROW()-4,ポート振替表!$V$5:$V$3507,0),"")</f>
        <v/>
      </c>
    </row>
    <row r="412" customFormat="false" ht="16.4" hidden="false" customHeight="false" outlineLevel="0" collapsed="false">
      <c r="A412" s="32" t="str">
        <f aca="false">IF(L412="","",ROW()-4)</f>
        <v/>
      </c>
      <c r="B412" s="58" t="str">
        <f aca="false">IF(L412="","",IF(INDEX(ポート振替表!$W$5:$W$3507,$L412)="","(なし)",INDEX(ポート振替表!$W$5:$W$3507,$L412)&amp;""))</f>
        <v/>
      </c>
      <c r="C412" s="52" t="str">
        <f aca="false">IF(L412="","",INDEX(ポート振替表!$B$5:$B$3507,$L412)&amp;" "&amp;INDEX(ポート振替表!$C$5:$C$3507,$L412)&amp;"  ⇔  "&amp;INDEX(ポート振替表!$H$5:$H$3507,$L412)&amp;" "&amp;INDEX(ポート振替表!$I$5:$I$3507,$L412))</f>
        <v/>
      </c>
      <c r="D412" s="57" t="s">
        <v>158</v>
      </c>
      <c r="E412" s="59" t="str">
        <f aca="false">IF(L412="","",IF(INDEX(ポート振替表!$O$5:$O$3507,$L412)="","(未設定)",INDEX(ポート振替表!$O$5:$O$3507,$L412)&amp;""))</f>
        <v/>
      </c>
      <c r="F412" s="52" t="str">
        <f aca="false">IF(L412="","",INDEX(ポート振替表!$K$5:$K$3507,$L412)&amp;" "&amp;INDEX(ポート振替表!$L$5:$L$3507,$L412)&amp;"  ⇔  "&amp;INDEX(ポート振替表!$H$5:$H$3507,$L412)&amp;" "&amp;INDEX(ポート振替表!$I$5:$I$3507,$L412))</f>
        <v/>
      </c>
      <c r="G412" s="57" t="s">
        <v>158</v>
      </c>
      <c r="H412" s="32" t="str">
        <f aca="false">IF(L412="","",INDEX(ポート振替表!$N$5:$N$3507,$L412)&amp;"")</f>
        <v/>
      </c>
      <c r="I412" s="32" t="str">
        <f aca="false">IF(L412="","",INDEX(ポート振替表!$P$5:$P$3507,$L412)&amp;"")</f>
        <v/>
      </c>
      <c r="J412" s="60" t="str">
        <f aca="false">IF(L412="","",INDEX(ポート振替表!$M$5:$M$3507,$L412)&amp;"")</f>
        <v/>
      </c>
      <c r="K412" s="52" t="str">
        <f aca="false">IF(L412="","",E412&amp;CHAR(10)&amp;INDEX(ポート振替表!$K$5:$K$3507,$L412)&amp;" "&amp;INDEX(ポート振替表!$L$5:$L$3507,$L412)&amp;CHAR(10)&amp;"⇔ "&amp;INDEX(ポート振替表!$H$5:$H$3507,$L412)&amp;" "&amp;INDEX(ポート振替表!$I$5:$I$3507,$L412))</f>
        <v/>
      </c>
      <c r="L412" s="47" t="str">
        <f aca="false">IFERROR(MATCH(ROW()-4,ポート振替表!$V$5:$V$3507,0),"")</f>
        <v/>
      </c>
    </row>
    <row r="413" customFormat="false" ht="16.4" hidden="false" customHeight="false" outlineLevel="0" collapsed="false">
      <c r="A413" s="32" t="str">
        <f aca="false">IF(L413="","",ROW()-4)</f>
        <v/>
      </c>
      <c r="B413" s="58" t="str">
        <f aca="false">IF(L413="","",IF(INDEX(ポート振替表!$W$5:$W$3507,$L413)="","(なし)",INDEX(ポート振替表!$W$5:$W$3507,$L413)&amp;""))</f>
        <v/>
      </c>
      <c r="C413" s="52" t="str">
        <f aca="false">IF(L413="","",INDEX(ポート振替表!$B$5:$B$3507,$L413)&amp;" "&amp;INDEX(ポート振替表!$C$5:$C$3507,$L413)&amp;"  ⇔  "&amp;INDEX(ポート振替表!$H$5:$H$3507,$L413)&amp;" "&amp;INDEX(ポート振替表!$I$5:$I$3507,$L413))</f>
        <v/>
      </c>
      <c r="D413" s="57" t="s">
        <v>158</v>
      </c>
      <c r="E413" s="59" t="str">
        <f aca="false">IF(L413="","",IF(INDEX(ポート振替表!$O$5:$O$3507,$L413)="","(未設定)",INDEX(ポート振替表!$O$5:$O$3507,$L413)&amp;""))</f>
        <v/>
      </c>
      <c r="F413" s="52" t="str">
        <f aca="false">IF(L413="","",INDEX(ポート振替表!$K$5:$K$3507,$L413)&amp;" "&amp;INDEX(ポート振替表!$L$5:$L$3507,$L413)&amp;"  ⇔  "&amp;INDEX(ポート振替表!$H$5:$H$3507,$L413)&amp;" "&amp;INDEX(ポート振替表!$I$5:$I$3507,$L413))</f>
        <v/>
      </c>
      <c r="G413" s="57" t="s">
        <v>158</v>
      </c>
      <c r="H413" s="32" t="str">
        <f aca="false">IF(L413="","",INDEX(ポート振替表!$N$5:$N$3507,$L413)&amp;"")</f>
        <v/>
      </c>
      <c r="I413" s="32" t="str">
        <f aca="false">IF(L413="","",INDEX(ポート振替表!$P$5:$P$3507,$L413)&amp;"")</f>
        <v/>
      </c>
      <c r="J413" s="60" t="str">
        <f aca="false">IF(L413="","",INDEX(ポート振替表!$M$5:$M$3507,$L413)&amp;"")</f>
        <v/>
      </c>
      <c r="K413" s="52" t="str">
        <f aca="false">IF(L413="","",E413&amp;CHAR(10)&amp;INDEX(ポート振替表!$K$5:$K$3507,$L413)&amp;" "&amp;INDEX(ポート振替表!$L$5:$L$3507,$L413)&amp;CHAR(10)&amp;"⇔ "&amp;INDEX(ポート振替表!$H$5:$H$3507,$L413)&amp;" "&amp;INDEX(ポート振替表!$I$5:$I$3507,$L413))</f>
        <v/>
      </c>
      <c r="L413" s="47" t="str">
        <f aca="false">IFERROR(MATCH(ROW()-4,ポート振替表!$V$5:$V$3507,0),"")</f>
        <v/>
      </c>
    </row>
    <row r="414" customFormat="false" ht="16.4" hidden="false" customHeight="false" outlineLevel="0" collapsed="false">
      <c r="A414" s="32" t="str">
        <f aca="false">IF(L414="","",ROW()-4)</f>
        <v/>
      </c>
      <c r="B414" s="58" t="str">
        <f aca="false">IF(L414="","",IF(INDEX(ポート振替表!$W$5:$W$3507,$L414)="","(なし)",INDEX(ポート振替表!$W$5:$W$3507,$L414)&amp;""))</f>
        <v/>
      </c>
      <c r="C414" s="52" t="str">
        <f aca="false">IF(L414="","",INDEX(ポート振替表!$B$5:$B$3507,$L414)&amp;" "&amp;INDEX(ポート振替表!$C$5:$C$3507,$L414)&amp;"  ⇔  "&amp;INDEX(ポート振替表!$H$5:$H$3507,$L414)&amp;" "&amp;INDEX(ポート振替表!$I$5:$I$3507,$L414))</f>
        <v/>
      </c>
      <c r="D414" s="57" t="s">
        <v>158</v>
      </c>
      <c r="E414" s="59" t="str">
        <f aca="false">IF(L414="","",IF(INDEX(ポート振替表!$O$5:$O$3507,$L414)="","(未設定)",INDEX(ポート振替表!$O$5:$O$3507,$L414)&amp;""))</f>
        <v/>
      </c>
      <c r="F414" s="52" t="str">
        <f aca="false">IF(L414="","",INDEX(ポート振替表!$K$5:$K$3507,$L414)&amp;" "&amp;INDEX(ポート振替表!$L$5:$L$3507,$L414)&amp;"  ⇔  "&amp;INDEX(ポート振替表!$H$5:$H$3507,$L414)&amp;" "&amp;INDEX(ポート振替表!$I$5:$I$3507,$L414))</f>
        <v/>
      </c>
      <c r="G414" s="57" t="s">
        <v>158</v>
      </c>
      <c r="H414" s="32" t="str">
        <f aca="false">IF(L414="","",INDEX(ポート振替表!$N$5:$N$3507,$L414)&amp;"")</f>
        <v/>
      </c>
      <c r="I414" s="32" t="str">
        <f aca="false">IF(L414="","",INDEX(ポート振替表!$P$5:$P$3507,$L414)&amp;"")</f>
        <v/>
      </c>
      <c r="J414" s="60" t="str">
        <f aca="false">IF(L414="","",INDEX(ポート振替表!$M$5:$M$3507,$L414)&amp;"")</f>
        <v/>
      </c>
      <c r="K414" s="52" t="str">
        <f aca="false">IF(L414="","",E414&amp;CHAR(10)&amp;INDEX(ポート振替表!$K$5:$K$3507,$L414)&amp;" "&amp;INDEX(ポート振替表!$L$5:$L$3507,$L414)&amp;CHAR(10)&amp;"⇔ "&amp;INDEX(ポート振替表!$H$5:$H$3507,$L414)&amp;" "&amp;INDEX(ポート振替表!$I$5:$I$3507,$L414))</f>
        <v/>
      </c>
      <c r="L414" s="47" t="str">
        <f aca="false">IFERROR(MATCH(ROW()-4,ポート振替表!$V$5:$V$3507,0),"")</f>
        <v/>
      </c>
    </row>
    <row r="415" customFormat="false" ht="16.4" hidden="false" customHeight="false" outlineLevel="0" collapsed="false">
      <c r="A415" s="32" t="str">
        <f aca="false">IF(L415="","",ROW()-4)</f>
        <v/>
      </c>
      <c r="B415" s="58" t="str">
        <f aca="false">IF(L415="","",IF(INDEX(ポート振替表!$W$5:$W$3507,$L415)="","(なし)",INDEX(ポート振替表!$W$5:$W$3507,$L415)&amp;""))</f>
        <v/>
      </c>
      <c r="C415" s="52" t="str">
        <f aca="false">IF(L415="","",INDEX(ポート振替表!$B$5:$B$3507,$L415)&amp;" "&amp;INDEX(ポート振替表!$C$5:$C$3507,$L415)&amp;"  ⇔  "&amp;INDEX(ポート振替表!$H$5:$H$3507,$L415)&amp;" "&amp;INDEX(ポート振替表!$I$5:$I$3507,$L415))</f>
        <v/>
      </c>
      <c r="D415" s="57" t="s">
        <v>158</v>
      </c>
      <c r="E415" s="59" t="str">
        <f aca="false">IF(L415="","",IF(INDEX(ポート振替表!$O$5:$O$3507,$L415)="","(未設定)",INDEX(ポート振替表!$O$5:$O$3507,$L415)&amp;""))</f>
        <v/>
      </c>
      <c r="F415" s="52" t="str">
        <f aca="false">IF(L415="","",INDEX(ポート振替表!$K$5:$K$3507,$L415)&amp;" "&amp;INDEX(ポート振替表!$L$5:$L$3507,$L415)&amp;"  ⇔  "&amp;INDEX(ポート振替表!$H$5:$H$3507,$L415)&amp;" "&amp;INDEX(ポート振替表!$I$5:$I$3507,$L415))</f>
        <v/>
      </c>
      <c r="G415" s="57" t="s">
        <v>158</v>
      </c>
      <c r="H415" s="32" t="str">
        <f aca="false">IF(L415="","",INDEX(ポート振替表!$N$5:$N$3507,$L415)&amp;"")</f>
        <v/>
      </c>
      <c r="I415" s="32" t="str">
        <f aca="false">IF(L415="","",INDEX(ポート振替表!$P$5:$P$3507,$L415)&amp;"")</f>
        <v/>
      </c>
      <c r="J415" s="60" t="str">
        <f aca="false">IF(L415="","",INDEX(ポート振替表!$M$5:$M$3507,$L415)&amp;"")</f>
        <v/>
      </c>
      <c r="K415" s="52" t="str">
        <f aca="false">IF(L415="","",E415&amp;CHAR(10)&amp;INDEX(ポート振替表!$K$5:$K$3507,$L415)&amp;" "&amp;INDEX(ポート振替表!$L$5:$L$3507,$L415)&amp;CHAR(10)&amp;"⇔ "&amp;INDEX(ポート振替表!$H$5:$H$3507,$L415)&amp;" "&amp;INDEX(ポート振替表!$I$5:$I$3507,$L415))</f>
        <v/>
      </c>
      <c r="L415" s="47" t="str">
        <f aca="false">IFERROR(MATCH(ROW()-4,ポート振替表!$V$5:$V$3507,0),"")</f>
        <v/>
      </c>
    </row>
    <row r="416" customFormat="false" ht="16.4" hidden="false" customHeight="false" outlineLevel="0" collapsed="false">
      <c r="A416" s="32" t="str">
        <f aca="false">IF(L416="","",ROW()-4)</f>
        <v/>
      </c>
      <c r="B416" s="58" t="str">
        <f aca="false">IF(L416="","",IF(INDEX(ポート振替表!$W$5:$W$3507,$L416)="","(なし)",INDEX(ポート振替表!$W$5:$W$3507,$L416)&amp;""))</f>
        <v/>
      </c>
      <c r="C416" s="52" t="str">
        <f aca="false">IF(L416="","",INDEX(ポート振替表!$B$5:$B$3507,$L416)&amp;" "&amp;INDEX(ポート振替表!$C$5:$C$3507,$L416)&amp;"  ⇔  "&amp;INDEX(ポート振替表!$H$5:$H$3507,$L416)&amp;" "&amp;INDEX(ポート振替表!$I$5:$I$3507,$L416))</f>
        <v/>
      </c>
      <c r="D416" s="57" t="s">
        <v>158</v>
      </c>
      <c r="E416" s="59" t="str">
        <f aca="false">IF(L416="","",IF(INDEX(ポート振替表!$O$5:$O$3507,$L416)="","(未設定)",INDEX(ポート振替表!$O$5:$O$3507,$L416)&amp;""))</f>
        <v/>
      </c>
      <c r="F416" s="52" t="str">
        <f aca="false">IF(L416="","",INDEX(ポート振替表!$K$5:$K$3507,$L416)&amp;" "&amp;INDEX(ポート振替表!$L$5:$L$3507,$L416)&amp;"  ⇔  "&amp;INDEX(ポート振替表!$H$5:$H$3507,$L416)&amp;" "&amp;INDEX(ポート振替表!$I$5:$I$3507,$L416))</f>
        <v/>
      </c>
      <c r="G416" s="57" t="s">
        <v>158</v>
      </c>
      <c r="H416" s="32" t="str">
        <f aca="false">IF(L416="","",INDEX(ポート振替表!$N$5:$N$3507,$L416)&amp;"")</f>
        <v/>
      </c>
      <c r="I416" s="32" t="str">
        <f aca="false">IF(L416="","",INDEX(ポート振替表!$P$5:$P$3507,$L416)&amp;"")</f>
        <v/>
      </c>
      <c r="J416" s="60" t="str">
        <f aca="false">IF(L416="","",INDEX(ポート振替表!$M$5:$M$3507,$L416)&amp;"")</f>
        <v/>
      </c>
      <c r="K416" s="52" t="str">
        <f aca="false">IF(L416="","",E416&amp;CHAR(10)&amp;INDEX(ポート振替表!$K$5:$K$3507,$L416)&amp;" "&amp;INDEX(ポート振替表!$L$5:$L$3507,$L416)&amp;CHAR(10)&amp;"⇔ "&amp;INDEX(ポート振替表!$H$5:$H$3507,$L416)&amp;" "&amp;INDEX(ポート振替表!$I$5:$I$3507,$L416))</f>
        <v/>
      </c>
      <c r="L416" s="47" t="str">
        <f aca="false">IFERROR(MATCH(ROW()-4,ポート振替表!$V$5:$V$3507,0),"")</f>
        <v/>
      </c>
    </row>
    <row r="417" customFormat="false" ht="16.4" hidden="false" customHeight="false" outlineLevel="0" collapsed="false">
      <c r="A417" s="32" t="str">
        <f aca="false">IF(L417="","",ROW()-4)</f>
        <v/>
      </c>
      <c r="B417" s="58" t="str">
        <f aca="false">IF(L417="","",IF(INDEX(ポート振替表!$W$5:$W$3507,$L417)="","(なし)",INDEX(ポート振替表!$W$5:$W$3507,$L417)&amp;""))</f>
        <v/>
      </c>
      <c r="C417" s="52" t="str">
        <f aca="false">IF(L417="","",INDEX(ポート振替表!$B$5:$B$3507,$L417)&amp;" "&amp;INDEX(ポート振替表!$C$5:$C$3507,$L417)&amp;"  ⇔  "&amp;INDEX(ポート振替表!$H$5:$H$3507,$L417)&amp;" "&amp;INDEX(ポート振替表!$I$5:$I$3507,$L417))</f>
        <v/>
      </c>
      <c r="D417" s="57" t="s">
        <v>158</v>
      </c>
      <c r="E417" s="59" t="str">
        <f aca="false">IF(L417="","",IF(INDEX(ポート振替表!$O$5:$O$3507,$L417)="","(未設定)",INDEX(ポート振替表!$O$5:$O$3507,$L417)&amp;""))</f>
        <v/>
      </c>
      <c r="F417" s="52" t="str">
        <f aca="false">IF(L417="","",INDEX(ポート振替表!$K$5:$K$3507,$L417)&amp;" "&amp;INDEX(ポート振替表!$L$5:$L$3507,$L417)&amp;"  ⇔  "&amp;INDEX(ポート振替表!$H$5:$H$3507,$L417)&amp;" "&amp;INDEX(ポート振替表!$I$5:$I$3507,$L417))</f>
        <v/>
      </c>
      <c r="G417" s="57" t="s">
        <v>158</v>
      </c>
      <c r="H417" s="32" t="str">
        <f aca="false">IF(L417="","",INDEX(ポート振替表!$N$5:$N$3507,$L417)&amp;"")</f>
        <v/>
      </c>
      <c r="I417" s="32" t="str">
        <f aca="false">IF(L417="","",INDEX(ポート振替表!$P$5:$P$3507,$L417)&amp;"")</f>
        <v/>
      </c>
      <c r="J417" s="60" t="str">
        <f aca="false">IF(L417="","",INDEX(ポート振替表!$M$5:$M$3507,$L417)&amp;"")</f>
        <v/>
      </c>
      <c r="K417" s="52" t="str">
        <f aca="false">IF(L417="","",E417&amp;CHAR(10)&amp;INDEX(ポート振替表!$K$5:$K$3507,$L417)&amp;" "&amp;INDEX(ポート振替表!$L$5:$L$3507,$L417)&amp;CHAR(10)&amp;"⇔ "&amp;INDEX(ポート振替表!$H$5:$H$3507,$L417)&amp;" "&amp;INDEX(ポート振替表!$I$5:$I$3507,$L417))</f>
        <v/>
      </c>
      <c r="L417" s="47" t="str">
        <f aca="false">IFERROR(MATCH(ROW()-4,ポート振替表!$V$5:$V$3507,0),"")</f>
        <v/>
      </c>
    </row>
    <row r="418" customFormat="false" ht="16.4" hidden="false" customHeight="false" outlineLevel="0" collapsed="false">
      <c r="A418" s="32" t="str">
        <f aca="false">IF(L418="","",ROW()-4)</f>
        <v/>
      </c>
      <c r="B418" s="58" t="str">
        <f aca="false">IF(L418="","",IF(INDEX(ポート振替表!$W$5:$W$3507,$L418)="","(なし)",INDEX(ポート振替表!$W$5:$W$3507,$L418)&amp;""))</f>
        <v/>
      </c>
      <c r="C418" s="52" t="str">
        <f aca="false">IF(L418="","",INDEX(ポート振替表!$B$5:$B$3507,$L418)&amp;" "&amp;INDEX(ポート振替表!$C$5:$C$3507,$L418)&amp;"  ⇔  "&amp;INDEX(ポート振替表!$H$5:$H$3507,$L418)&amp;" "&amp;INDEX(ポート振替表!$I$5:$I$3507,$L418))</f>
        <v/>
      </c>
      <c r="D418" s="57" t="s">
        <v>158</v>
      </c>
      <c r="E418" s="59" t="str">
        <f aca="false">IF(L418="","",IF(INDEX(ポート振替表!$O$5:$O$3507,$L418)="","(未設定)",INDEX(ポート振替表!$O$5:$O$3507,$L418)&amp;""))</f>
        <v/>
      </c>
      <c r="F418" s="52" t="str">
        <f aca="false">IF(L418="","",INDEX(ポート振替表!$K$5:$K$3507,$L418)&amp;" "&amp;INDEX(ポート振替表!$L$5:$L$3507,$L418)&amp;"  ⇔  "&amp;INDEX(ポート振替表!$H$5:$H$3507,$L418)&amp;" "&amp;INDEX(ポート振替表!$I$5:$I$3507,$L418))</f>
        <v/>
      </c>
      <c r="G418" s="57" t="s">
        <v>158</v>
      </c>
      <c r="H418" s="32" t="str">
        <f aca="false">IF(L418="","",INDEX(ポート振替表!$N$5:$N$3507,$L418)&amp;"")</f>
        <v/>
      </c>
      <c r="I418" s="32" t="str">
        <f aca="false">IF(L418="","",INDEX(ポート振替表!$P$5:$P$3507,$L418)&amp;"")</f>
        <v/>
      </c>
      <c r="J418" s="60" t="str">
        <f aca="false">IF(L418="","",INDEX(ポート振替表!$M$5:$M$3507,$L418)&amp;"")</f>
        <v/>
      </c>
      <c r="K418" s="52" t="str">
        <f aca="false">IF(L418="","",E418&amp;CHAR(10)&amp;INDEX(ポート振替表!$K$5:$K$3507,$L418)&amp;" "&amp;INDEX(ポート振替表!$L$5:$L$3507,$L418)&amp;CHAR(10)&amp;"⇔ "&amp;INDEX(ポート振替表!$H$5:$H$3507,$L418)&amp;" "&amp;INDEX(ポート振替表!$I$5:$I$3507,$L418))</f>
        <v/>
      </c>
      <c r="L418" s="47" t="str">
        <f aca="false">IFERROR(MATCH(ROW()-4,ポート振替表!$V$5:$V$3507,0),"")</f>
        <v/>
      </c>
    </row>
    <row r="419" customFormat="false" ht="16.4" hidden="false" customHeight="false" outlineLevel="0" collapsed="false">
      <c r="A419" s="32" t="str">
        <f aca="false">IF(L419="","",ROW()-4)</f>
        <v/>
      </c>
      <c r="B419" s="58" t="str">
        <f aca="false">IF(L419="","",IF(INDEX(ポート振替表!$W$5:$W$3507,$L419)="","(なし)",INDEX(ポート振替表!$W$5:$W$3507,$L419)&amp;""))</f>
        <v/>
      </c>
      <c r="C419" s="52" t="str">
        <f aca="false">IF(L419="","",INDEX(ポート振替表!$B$5:$B$3507,$L419)&amp;" "&amp;INDEX(ポート振替表!$C$5:$C$3507,$L419)&amp;"  ⇔  "&amp;INDEX(ポート振替表!$H$5:$H$3507,$L419)&amp;" "&amp;INDEX(ポート振替表!$I$5:$I$3507,$L419))</f>
        <v/>
      </c>
      <c r="D419" s="57" t="s">
        <v>158</v>
      </c>
      <c r="E419" s="59" t="str">
        <f aca="false">IF(L419="","",IF(INDEX(ポート振替表!$O$5:$O$3507,$L419)="","(未設定)",INDEX(ポート振替表!$O$5:$O$3507,$L419)&amp;""))</f>
        <v/>
      </c>
      <c r="F419" s="52" t="str">
        <f aca="false">IF(L419="","",INDEX(ポート振替表!$K$5:$K$3507,$L419)&amp;" "&amp;INDEX(ポート振替表!$L$5:$L$3507,$L419)&amp;"  ⇔  "&amp;INDEX(ポート振替表!$H$5:$H$3507,$L419)&amp;" "&amp;INDEX(ポート振替表!$I$5:$I$3507,$L419))</f>
        <v/>
      </c>
      <c r="G419" s="57" t="s">
        <v>158</v>
      </c>
      <c r="H419" s="32" t="str">
        <f aca="false">IF(L419="","",INDEX(ポート振替表!$N$5:$N$3507,$L419)&amp;"")</f>
        <v/>
      </c>
      <c r="I419" s="32" t="str">
        <f aca="false">IF(L419="","",INDEX(ポート振替表!$P$5:$P$3507,$L419)&amp;"")</f>
        <v/>
      </c>
      <c r="J419" s="60" t="str">
        <f aca="false">IF(L419="","",INDEX(ポート振替表!$M$5:$M$3507,$L419)&amp;"")</f>
        <v/>
      </c>
      <c r="K419" s="52" t="str">
        <f aca="false">IF(L419="","",E419&amp;CHAR(10)&amp;INDEX(ポート振替表!$K$5:$K$3507,$L419)&amp;" "&amp;INDEX(ポート振替表!$L$5:$L$3507,$L419)&amp;CHAR(10)&amp;"⇔ "&amp;INDEX(ポート振替表!$H$5:$H$3507,$L419)&amp;" "&amp;INDEX(ポート振替表!$I$5:$I$3507,$L419))</f>
        <v/>
      </c>
      <c r="L419" s="47" t="str">
        <f aca="false">IFERROR(MATCH(ROW()-4,ポート振替表!$V$5:$V$3507,0),"")</f>
        <v/>
      </c>
    </row>
    <row r="420" customFormat="false" ht="16.4" hidden="false" customHeight="false" outlineLevel="0" collapsed="false">
      <c r="A420" s="32" t="str">
        <f aca="false">IF(L420="","",ROW()-4)</f>
        <v/>
      </c>
      <c r="B420" s="58" t="str">
        <f aca="false">IF(L420="","",IF(INDEX(ポート振替表!$W$5:$W$3507,$L420)="","(なし)",INDEX(ポート振替表!$W$5:$W$3507,$L420)&amp;""))</f>
        <v/>
      </c>
      <c r="C420" s="52" t="str">
        <f aca="false">IF(L420="","",INDEX(ポート振替表!$B$5:$B$3507,$L420)&amp;" "&amp;INDEX(ポート振替表!$C$5:$C$3507,$L420)&amp;"  ⇔  "&amp;INDEX(ポート振替表!$H$5:$H$3507,$L420)&amp;" "&amp;INDEX(ポート振替表!$I$5:$I$3507,$L420))</f>
        <v/>
      </c>
      <c r="D420" s="57" t="s">
        <v>158</v>
      </c>
      <c r="E420" s="59" t="str">
        <f aca="false">IF(L420="","",IF(INDEX(ポート振替表!$O$5:$O$3507,$L420)="","(未設定)",INDEX(ポート振替表!$O$5:$O$3507,$L420)&amp;""))</f>
        <v/>
      </c>
      <c r="F420" s="52" t="str">
        <f aca="false">IF(L420="","",INDEX(ポート振替表!$K$5:$K$3507,$L420)&amp;" "&amp;INDEX(ポート振替表!$L$5:$L$3507,$L420)&amp;"  ⇔  "&amp;INDEX(ポート振替表!$H$5:$H$3507,$L420)&amp;" "&amp;INDEX(ポート振替表!$I$5:$I$3507,$L420))</f>
        <v/>
      </c>
      <c r="G420" s="57" t="s">
        <v>158</v>
      </c>
      <c r="H420" s="32" t="str">
        <f aca="false">IF(L420="","",INDEX(ポート振替表!$N$5:$N$3507,$L420)&amp;"")</f>
        <v/>
      </c>
      <c r="I420" s="32" t="str">
        <f aca="false">IF(L420="","",INDEX(ポート振替表!$P$5:$P$3507,$L420)&amp;"")</f>
        <v/>
      </c>
      <c r="J420" s="60" t="str">
        <f aca="false">IF(L420="","",INDEX(ポート振替表!$M$5:$M$3507,$L420)&amp;"")</f>
        <v/>
      </c>
      <c r="K420" s="52" t="str">
        <f aca="false">IF(L420="","",E420&amp;CHAR(10)&amp;INDEX(ポート振替表!$K$5:$K$3507,$L420)&amp;" "&amp;INDEX(ポート振替表!$L$5:$L$3507,$L420)&amp;CHAR(10)&amp;"⇔ "&amp;INDEX(ポート振替表!$H$5:$H$3507,$L420)&amp;" "&amp;INDEX(ポート振替表!$I$5:$I$3507,$L420))</f>
        <v/>
      </c>
      <c r="L420" s="47" t="str">
        <f aca="false">IFERROR(MATCH(ROW()-4,ポート振替表!$V$5:$V$3507,0),"")</f>
        <v/>
      </c>
    </row>
    <row r="421" customFormat="false" ht="16.4" hidden="false" customHeight="false" outlineLevel="0" collapsed="false">
      <c r="A421" s="32" t="str">
        <f aca="false">IF(L421="","",ROW()-4)</f>
        <v/>
      </c>
      <c r="B421" s="58" t="str">
        <f aca="false">IF(L421="","",IF(INDEX(ポート振替表!$W$5:$W$3507,$L421)="","(なし)",INDEX(ポート振替表!$W$5:$W$3507,$L421)&amp;""))</f>
        <v/>
      </c>
      <c r="C421" s="52" t="str">
        <f aca="false">IF(L421="","",INDEX(ポート振替表!$B$5:$B$3507,$L421)&amp;" "&amp;INDEX(ポート振替表!$C$5:$C$3507,$L421)&amp;"  ⇔  "&amp;INDEX(ポート振替表!$H$5:$H$3507,$L421)&amp;" "&amp;INDEX(ポート振替表!$I$5:$I$3507,$L421))</f>
        <v/>
      </c>
      <c r="D421" s="57" t="s">
        <v>158</v>
      </c>
      <c r="E421" s="59" t="str">
        <f aca="false">IF(L421="","",IF(INDEX(ポート振替表!$O$5:$O$3507,$L421)="","(未設定)",INDEX(ポート振替表!$O$5:$O$3507,$L421)&amp;""))</f>
        <v/>
      </c>
      <c r="F421" s="52" t="str">
        <f aca="false">IF(L421="","",INDEX(ポート振替表!$K$5:$K$3507,$L421)&amp;" "&amp;INDEX(ポート振替表!$L$5:$L$3507,$L421)&amp;"  ⇔  "&amp;INDEX(ポート振替表!$H$5:$H$3507,$L421)&amp;" "&amp;INDEX(ポート振替表!$I$5:$I$3507,$L421))</f>
        <v/>
      </c>
      <c r="G421" s="57" t="s">
        <v>158</v>
      </c>
      <c r="H421" s="32" t="str">
        <f aca="false">IF(L421="","",INDEX(ポート振替表!$N$5:$N$3507,$L421)&amp;"")</f>
        <v/>
      </c>
      <c r="I421" s="32" t="str">
        <f aca="false">IF(L421="","",INDEX(ポート振替表!$P$5:$P$3507,$L421)&amp;"")</f>
        <v/>
      </c>
      <c r="J421" s="60" t="str">
        <f aca="false">IF(L421="","",INDEX(ポート振替表!$M$5:$M$3507,$L421)&amp;"")</f>
        <v/>
      </c>
      <c r="K421" s="52" t="str">
        <f aca="false">IF(L421="","",E421&amp;CHAR(10)&amp;INDEX(ポート振替表!$K$5:$K$3507,$L421)&amp;" "&amp;INDEX(ポート振替表!$L$5:$L$3507,$L421)&amp;CHAR(10)&amp;"⇔ "&amp;INDEX(ポート振替表!$H$5:$H$3507,$L421)&amp;" "&amp;INDEX(ポート振替表!$I$5:$I$3507,$L421))</f>
        <v/>
      </c>
      <c r="L421" s="47" t="str">
        <f aca="false">IFERROR(MATCH(ROW()-4,ポート振替表!$V$5:$V$3507,0),"")</f>
        <v/>
      </c>
    </row>
    <row r="422" customFormat="false" ht="16.4" hidden="false" customHeight="false" outlineLevel="0" collapsed="false">
      <c r="A422" s="32" t="str">
        <f aca="false">IF(L422="","",ROW()-4)</f>
        <v/>
      </c>
      <c r="B422" s="58" t="str">
        <f aca="false">IF(L422="","",IF(INDEX(ポート振替表!$W$5:$W$3507,$L422)="","(なし)",INDEX(ポート振替表!$W$5:$W$3507,$L422)&amp;""))</f>
        <v/>
      </c>
      <c r="C422" s="52" t="str">
        <f aca="false">IF(L422="","",INDEX(ポート振替表!$B$5:$B$3507,$L422)&amp;" "&amp;INDEX(ポート振替表!$C$5:$C$3507,$L422)&amp;"  ⇔  "&amp;INDEX(ポート振替表!$H$5:$H$3507,$L422)&amp;" "&amp;INDEX(ポート振替表!$I$5:$I$3507,$L422))</f>
        <v/>
      </c>
      <c r="D422" s="57" t="s">
        <v>158</v>
      </c>
      <c r="E422" s="59" t="str">
        <f aca="false">IF(L422="","",IF(INDEX(ポート振替表!$O$5:$O$3507,$L422)="","(未設定)",INDEX(ポート振替表!$O$5:$O$3507,$L422)&amp;""))</f>
        <v/>
      </c>
      <c r="F422" s="52" t="str">
        <f aca="false">IF(L422="","",INDEX(ポート振替表!$K$5:$K$3507,$L422)&amp;" "&amp;INDEX(ポート振替表!$L$5:$L$3507,$L422)&amp;"  ⇔  "&amp;INDEX(ポート振替表!$H$5:$H$3507,$L422)&amp;" "&amp;INDEX(ポート振替表!$I$5:$I$3507,$L422))</f>
        <v/>
      </c>
      <c r="G422" s="57" t="s">
        <v>158</v>
      </c>
      <c r="H422" s="32" t="str">
        <f aca="false">IF(L422="","",INDEX(ポート振替表!$N$5:$N$3507,$L422)&amp;"")</f>
        <v/>
      </c>
      <c r="I422" s="32" t="str">
        <f aca="false">IF(L422="","",INDEX(ポート振替表!$P$5:$P$3507,$L422)&amp;"")</f>
        <v/>
      </c>
      <c r="J422" s="60" t="str">
        <f aca="false">IF(L422="","",INDEX(ポート振替表!$M$5:$M$3507,$L422)&amp;"")</f>
        <v/>
      </c>
      <c r="K422" s="52" t="str">
        <f aca="false">IF(L422="","",E422&amp;CHAR(10)&amp;INDEX(ポート振替表!$K$5:$K$3507,$L422)&amp;" "&amp;INDEX(ポート振替表!$L$5:$L$3507,$L422)&amp;CHAR(10)&amp;"⇔ "&amp;INDEX(ポート振替表!$H$5:$H$3507,$L422)&amp;" "&amp;INDEX(ポート振替表!$I$5:$I$3507,$L422))</f>
        <v/>
      </c>
      <c r="L422" s="47" t="str">
        <f aca="false">IFERROR(MATCH(ROW()-4,ポート振替表!$V$5:$V$3507,0),"")</f>
        <v/>
      </c>
    </row>
    <row r="423" customFormat="false" ht="16.4" hidden="false" customHeight="false" outlineLevel="0" collapsed="false">
      <c r="A423" s="32" t="str">
        <f aca="false">IF(L423="","",ROW()-4)</f>
        <v/>
      </c>
      <c r="B423" s="58" t="str">
        <f aca="false">IF(L423="","",IF(INDEX(ポート振替表!$W$5:$W$3507,$L423)="","(なし)",INDEX(ポート振替表!$W$5:$W$3507,$L423)&amp;""))</f>
        <v/>
      </c>
      <c r="C423" s="52" t="str">
        <f aca="false">IF(L423="","",INDEX(ポート振替表!$B$5:$B$3507,$L423)&amp;" "&amp;INDEX(ポート振替表!$C$5:$C$3507,$L423)&amp;"  ⇔  "&amp;INDEX(ポート振替表!$H$5:$H$3507,$L423)&amp;" "&amp;INDEX(ポート振替表!$I$5:$I$3507,$L423))</f>
        <v/>
      </c>
      <c r="D423" s="57" t="s">
        <v>158</v>
      </c>
      <c r="E423" s="59" t="str">
        <f aca="false">IF(L423="","",IF(INDEX(ポート振替表!$O$5:$O$3507,$L423)="","(未設定)",INDEX(ポート振替表!$O$5:$O$3507,$L423)&amp;""))</f>
        <v/>
      </c>
      <c r="F423" s="52" t="str">
        <f aca="false">IF(L423="","",INDEX(ポート振替表!$K$5:$K$3507,$L423)&amp;" "&amp;INDEX(ポート振替表!$L$5:$L$3507,$L423)&amp;"  ⇔  "&amp;INDEX(ポート振替表!$H$5:$H$3507,$L423)&amp;" "&amp;INDEX(ポート振替表!$I$5:$I$3507,$L423))</f>
        <v/>
      </c>
      <c r="G423" s="57" t="s">
        <v>158</v>
      </c>
      <c r="H423" s="32" t="str">
        <f aca="false">IF(L423="","",INDEX(ポート振替表!$N$5:$N$3507,$L423)&amp;"")</f>
        <v/>
      </c>
      <c r="I423" s="32" t="str">
        <f aca="false">IF(L423="","",INDEX(ポート振替表!$P$5:$P$3507,$L423)&amp;"")</f>
        <v/>
      </c>
      <c r="J423" s="60" t="str">
        <f aca="false">IF(L423="","",INDEX(ポート振替表!$M$5:$M$3507,$L423)&amp;"")</f>
        <v/>
      </c>
      <c r="K423" s="52" t="str">
        <f aca="false">IF(L423="","",E423&amp;CHAR(10)&amp;INDEX(ポート振替表!$K$5:$K$3507,$L423)&amp;" "&amp;INDEX(ポート振替表!$L$5:$L$3507,$L423)&amp;CHAR(10)&amp;"⇔ "&amp;INDEX(ポート振替表!$H$5:$H$3507,$L423)&amp;" "&amp;INDEX(ポート振替表!$I$5:$I$3507,$L423))</f>
        <v/>
      </c>
      <c r="L423" s="47" t="str">
        <f aca="false">IFERROR(MATCH(ROW()-4,ポート振替表!$V$5:$V$3507,0),"")</f>
        <v/>
      </c>
    </row>
    <row r="424" customFormat="false" ht="16.4" hidden="false" customHeight="false" outlineLevel="0" collapsed="false">
      <c r="A424" s="32" t="str">
        <f aca="false">IF(L424="","",ROW()-4)</f>
        <v/>
      </c>
      <c r="B424" s="58" t="str">
        <f aca="false">IF(L424="","",IF(INDEX(ポート振替表!$W$5:$W$3507,$L424)="","(なし)",INDEX(ポート振替表!$W$5:$W$3507,$L424)&amp;""))</f>
        <v/>
      </c>
      <c r="C424" s="52" t="str">
        <f aca="false">IF(L424="","",INDEX(ポート振替表!$B$5:$B$3507,$L424)&amp;" "&amp;INDEX(ポート振替表!$C$5:$C$3507,$L424)&amp;"  ⇔  "&amp;INDEX(ポート振替表!$H$5:$H$3507,$L424)&amp;" "&amp;INDEX(ポート振替表!$I$5:$I$3507,$L424))</f>
        <v/>
      </c>
      <c r="D424" s="57" t="s">
        <v>158</v>
      </c>
      <c r="E424" s="59" t="str">
        <f aca="false">IF(L424="","",IF(INDEX(ポート振替表!$O$5:$O$3507,$L424)="","(未設定)",INDEX(ポート振替表!$O$5:$O$3507,$L424)&amp;""))</f>
        <v/>
      </c>
      <c r="F424" s="52" t="str">
        <f aca="false">IF(L424="","",INDEX(ポート振替表!$K$5:$K$3507,$L424)&amp;" "&amp;INDEX(ポート振替表!$L$5:$L$3507,$L424)&amp;"  ⇔  "&amp;INDEX(ポート振替表!$H$5:$H$3507,$L424)&amp;" "&amp;INDEX(ポート振替表!$I$5:$I$3507,$L424))</f>
        <v/>
      </c>
      <c r="G424" s="57" t="s">
        <v>158</v>
      </c>
      <c r="H424" s="32" t="str">
        <f aca="false">IF(L424="","",INDEX(ポート振替表!$N$5:$N$3507,$L424)&amp;"")</f>
        <v/>
      </c>
      <c r="I424" s="32" t="str">
        <f aca="false">IF(L424="","",INDEX(ポート振替表!$P$5:$P$3507,$L424)&amp;"")</f>
        <v/>
      </c>
      <c r="J424" s="60" t="str">
        <f aca="false">IF(L424="","",INDEX(ポート振替表!$M$5:$M$3507,$L424)&amp;"")</f>
        <v/>
      </c>
      <c r="K424" s="52" t="str">
        <f aca="false">IF(L424="","",E424&amp;CHAR(10)&amp;INDEX(ポート振替表!$K$5:$K$3507,$L424)&amp;" "&amp;INDEX(ポート振替表!$L$5:$L$3507,$L424)&amp;CHAR(10)&amp;"⇔ "&amp;INDEX(ポート振替表!$H$5:$H$3507,$L424)&amp;" "&amp;INDEX(ポート振替表!$I$5:$I$3507,$L424))</f>
        <v/>
      </c>
      <c r="L424" s="47" t="str">
        <f aca="false">IFERROR(MATCH(ROW()-4,ポート振替表!$V$5:$V$3507,0),"")</f>
        <v/>
      </c>
    </row>
    <row r="425" customFormat="false" ht="16.4" hidden="false" customHeight="false" outlineLevel="0" collapsed="false">
      <c r="A425" s="32" t="str">
        <f aca="false">IF(L425="","",ROW()-4)</f>
        <v/>
      </c>
      <c r="B425" s="58" t="str">
        <f aca="false">IF(L425="","",IF(INDEX(ポート振替表!$W$5:$W$3507,$L425)="","(なし)",INDEX(ポート振替表!$W$5:$W$3507,$L425)&amp;""))</f>
        <v/>
      </c>
      <c r="C425" s="52" t="str">
        <f aca="false">IF(L425="","",INDEX(ポート振替表!$B$5:$B$3507,$L425)&amp;" "&amp;INDEX(ポート振替表!$C$5:$C$3507,$L425)&amp;"  ⇔  "&amp;INDEX(ポート振替表!$H$5:$H$3507,$L425)&amp;" "&amp;INDEX(ポート振替表!$I$5:$I$3507,$L425))</f>
        <v/>
      </c>
      <c r="D425" s="57" t="s">
        <v>158</v>
      </c>
      <c r="E425" s="59" t="str">
        <f aca="false">IF(L425="","",IF(INDEX(ポート振替表!$O$5:$O$3507,$L425)="","(未設定)",INDEX(ポート振替表!$O$5:$O$3507,$L425)&amp;""))</f>
        <v/>
      </c>
      <c r="F425" s="52" t="str">
        <f aca="false">IF(L425="","",INDEX(ポート振替表!$K$5:$K$3507,$L425)&amp;" "&amp;INDEX(ポート振替表!$L$5:$L$3507,$L425)&amp;"  ⇔  "&amp;INDEX(ポート振替表!$H$5:$H$3507,$L425)&amp;" "&amp;INDEX(ポート振替表!$I$5:$I$3507,$L425))</f>
        <v/>
      </c>
      <c r="G425" s="57" t="s">
        <v>158</v>
      </c>
      <c r="H425" s="32" t="str">
        <f aca="false">IF(L425="","",INDEX(ポート振替表!$N$5:$N$3507,$L425)&amp;"")</f>
        <v/>
      </c>
      <c r="I425" s="32" t="str">
        <f aca="false">IF(L425="","",INDEX(ポート振替表!$P$5:$P$3507,$L425)&amp;"")</f>
        <v/>
      </c>
      <c r="J425" s="60" t="str">
        <f aca="false">IF(L425="","",INDEX(ポート振替表!$M$5:$M$3507,$L425)&amp;"")</f>
        <v/>
      </c>
      <c r="K425" s="52" t="str">
        <f aca="false">IF(L425="","",E425&amp;CHAR(10)&amp;INDEX(ポート振替表!$K$5:$K$3507,$L425)&amp;" "&amp;INDEX(ポート振替表!$L$5:$L$3507,$L425)&amp;CHAR(10)&amp;"⇔ "&amp;INDEX(ポート振替表!$H$5:$H$3507,$L425)&amp;" "&amp;INDEX(ポート振替表!$I$5:$I$3507,$L425))</f>
        <v/>
      </c>
      <c r="L425" s="47" t="str">
        <f aca="false">IFERROR(MATCH(ROW()-4,ポート振替表!$V$5:$V$3507,0),"")</f>
        <v/>
      </c>
    </row>
    <row r="426" customFormat="false" ht="16.4" hidden="false" customHeight="false" outlineLevel="0" collapsed="false">
      <c r="A426" s="32" t="str">
        <f aca="false">IF(L426="","",ROW()-4)</f>
        <v/>
      </c>
      <c r="B426" s="58" t="str">
        <f aca="false">IF(L426="","",IF(INDEX(ポート振替表!$W$5:$W$3507,$L426)="","(なし)",INDEX(ポート振替表!$W$5:$W$3507,$L426)&amp;""))</f>
        <v/>
      </c>
      <c r="C426" s="52" t="str">
        <f aca="false">IF(L426="","",INDEX(ポート振替表!$B$5:$B$3507,$L426)&amp;" "&amp;INDEX(ポート振替表!$C$5:$C$3507,$L426)&amp;"  ⇔  "&amp;INDEX(ポート振替表!$H$5:$H$3507,$L426)&amp;" "&amp;INDEX(ポート振替表!$I$5:$I$3507,$L426))</f>
        <v/>
      </c>
      <c r="D426" s="57" t="s">
        <v>158</v>
      </c>
      <c r="E426" s="59" t="str">
        <f aca="false">IF(L426="","",IF(INDEX(ポート振替表!$O$5:$O$3507,$L426)="","(未設定)",INDEX(ポート振替表!$O$5:$O$3507,$L426)&amp;""))</f>
        <v/>
      </c>
      <c r="F426" s="52" t="str">
        <f aca="false">IF(L426="","",INDEX(ポート振替表!$K$5:$K$3507,$L426)&amp;" "&amp;INDEX(ポート振替表!$L$5:$L$3507,$L426)&amp;"  ⇔  "&amp;INDEX(ポート振替表!$H$5:$H$3507,$L426)&amp;" "&amp;INDEX(ポート振替表!$I$5:$I$3507,$L426))</f>
        <v/>
      </c>
      <c r="G426" s="57" t="s">
        <v>158</v>
      </c>
      <c r="H426" s="32" t="str">
        <f aca="false">IF(L426="","",INDEX(ポート振替表!$N$5:$N$3507,$L426)&amp;"")</f>
        <v/>
      </c>
      <c r="I426" s="32" t="str">
        <f aca="false">IF(L426="","",INDEX(ポート振替表!$P$5:$P$3507,$L426)&amp;"")</f>
        <v/>
      </c>
      <c r="J426" s="60" t="str">
        <f aca="false">IF(L426="","",INDEX(ポート振替表!$M$5:$M$3507,$L426)&amp;"")</f>
        <v/>
      </c>
      <c r="K426" s="52" t="str">
        <f aca="false">IF(L426="","",E426&amp;CHAR(10)&amp;INDEX(ポート振替表!$K$5:$K$3507,$L426)&amp;" "&amp;INDEX(ポート振替表!$L$5:$L$3507,$L426)&amp;CHAR(10)&amp;"⇔ "&amp;INDEX(ポート振替表!$H$5:$H$3507,$L426)&amp;" "&amp;INDEX(ポート振替表!$I$5:$I$3507,$L426))</f>
        <v/>
      </c>
      <c r="L426" s="47" t="str">
        <f aca="false">IFERROR(MATCH(ROW()-4,ポート振替表!$V$5:$V$3507,0),"")</f>
        <v/>
      </c>
    </row>
    <row r="427" customFormat="false" ht="16.4" hidden="false" customHeight="false" outlineLevel="0" collapsed="false">
      <c r="A427" s="32" t="str">
        <f aca="false">IF(L427="","",ROW()-4)</f>
        <v/>
      </c>
      <c r="B427" s="58" t="str">
        <f aca="false">IF(L427="","",IF(INDEX(ポート振替表!$W$5:$W$3507,$L427)="","(なし)",INDEX(ポート振替表!$W$5:$W$3507,$L427)&amp;""))</f>
        <v/>
      </c>
      <c r="C427" s="52" t="str">
        <f aca="false">IF(L427="","",INDEX(ポート振替表!$B$5:$B$3507,$L427)&amp;" "&amp;INDEX(ポート振替表!$C$5:$C$3507,$L427)&amp;"  ⇔  "&amp;INDEX(ポート振替表!$H$5:$H$3507,$L427)&amp;" "&amp;INDEX(ポート振替表!$I$5:$I$3507,$L427))</f>
        <v/>
      </c>
      <c r="D427" s="57" t="s">
        <v>158</v>
      </c>
      <c r="E427" s="59" t="str">
        <f aca="false">IF(L427="","",IF(INDEX(ポート振替表!$O$5:$O$3507,$L427)="","(未設定)",INDEX(ポート振替表!$O$5:$O$3507,$L427)&amp;""))</f>
        <v/>
      </c>
      <c r="F427" s="52" t="str">
        <f aca="false">IF(L427="","",INDEX(ポート振替表!$K$5:$K$3507,$L427)&amp;" "&amp;INDEX(ポート振替表!$L$5:$L$3507,$L427)&amp;"  ⇔  "&amp;INDEX(ポート振替表!$H$5:$H$3507,$L427)&amp;" "&amp;INDEX(ポート振替表!$I$5:$I$3507,$L427))</f>
        <v/>
      </c>
      <c r="G427" s="57" t="s">
        <v>158</v>
      </c>
      <c r="H427" s="32" t="str">
        <f aca="false">IF(L427="","",INDEX(ポート振替表!$N$5:$N$3507,$L427)&amp;"")</f>
        <v/>
      </c>
      <c r="I427" s="32" t="str">
        <f aca="false">IF(L427="","",INDEX(ポート振替表!$P$5:$P$3507,$L427)&amp;"")</f>
        <v/>
      </c>
      <c r="J427" s="60" t="str">
        <f aca="false">IF(L427="","",INDEX(ポート振替表!$M$5:$M$3507,$L427)&amp;"")</f>
        <v/>
      </c>
      <c r="K427" s="52" t="str">
        <f aca="false">IF(L427="","",E427&amp;CHAR(10)&amp;INDEX(ポート振替表!$K$5:$K$3507,$L427)&amp;" "&amp;INDEX(ポート振替表!$L$5:$L$3507,$L427)&amp;CHAR(10)&amp;"⇔ "&amp;INDEX(ポート振替表!$H$5:$H$3507,$L427)&amp;" "&amp;INDEX(ポート振替表!$I$5:$I$3507,$L427))</f>
        <v/>
      </c>
      <c r="L427" s="47" t="str">
        <f aca="false">IFERROR(MATCH(ROW()-4,ポート振替表!$V$5:$V$3507,0),"")</f>
        <v/>
      </c>
    </row>
    <row r="428" customFormat="false" ht="16.4" hidden="false" customHeight="false" outlineLevel="0" collapsed="false">
      <c r="A428" s="32" t="str">
        <f aca="false">IF(L428="","",ROW()-4)</f>
        <v/>
      </c>
      <c r="B428" s="58" t="str">
        <f aca="false">IF(L428="","",IF(INDEX(ポート振替表!$W$5:$W$3507,$L428)="","(なし)",INDEX(ポート振替表!$W$5:$W$3507,$L428)&amp;""))</f>
        <v/>
      </c>
      <c r="C428" s="52" t="str">
        <f aca="false">IF(L428="","",INDEX(ポート振替表!$B$5:$B$3507,$L428)&amp;" "&amp;INDEX(ポート振替表!$C$5:$C$3507,$L428)&amp;"  ⇔  "&amp;INDEX(ポート振替表!$H$5:$H$3507,$L428)&amp;" "&amp;INDEX(ポート振替表!$I$5:$I$3507,$L428))</f>
        <v/>
      </c>
      <c r="D428" s="57" t="s">
        <v>158</v>
      </c>
      <c r="E428" s="59" t="str">
        <f aca="false">IF(L428="","",IF(INDEX(ポート振替表!$O$5:$O$3507,$L428)="","(未設定)",INDEX(ポート振替表!$O$5:$O$3507,$L428)&amp;""))</f>
        <v/>
      </c>
      <c r="F428" s="52" t="str">
        <f aca="false">IF(L428="","",INDEX(ポート振替表!$K$5:$K$3507,$L428)&amp;" "&amp;INDEX(ポート振替表!$L$5:$L$3507,$L428)&amp;"  ⇔  "&amp;INDEX(ポート振替表!$H$5:$H$3507,$L428)&amp;" "&amp;INDEX(ポート振替表!$I$5:$I$3507,$L428))</f>
        <v/>
      </c>
      <c r="G428" s="57" t="s">
        <v>158</v>
      </c>
      <c r="H428" s="32" t="str">
        <f aca="false">IF(L428="","",INDEX(ポート振替表!$N$5:$N$3507,$L428)&amp;"")</f>
        <v/>
      </c>
      <c r="I428" s="32" t="str">
        <f aca="false">IF(L428="","",INDEX(ポート振替表!$P$5:$P$3507,$L428)&amp;"")</f>
        <v/>
      </c>
      <c r="J428" s="60" t="str">
        <f aca="false">IF(L428="","",INDEX(ポート振替表!$M$5:$M$3507,$L428)&amp;"")</f>
        <v/>
      </c>
      <c r="K428" s="52" t="str">
        <f aca="false">IF(L428="","",E428&amp;CHAR(10)&amp;INDEX(ポート振替表!$K$5:$K$3507,$L428)&amp;" "&amp;INDEX(ポート振替表!$L$5:$L$3507,$L428)&amp;CHAR(10)&amp;"⇔ "&amp;INDEX(ポート振替表!$H$5:$H$3507,$L428)&amp;" "&amp;INDEX(ポート振替表!$I$5:$I$3507,$L428))</f>
        <v/>
      </c>
      <c r="L428" s="47" t="str">
        <f aca="false">IFERROR(MATCH(ROW()-4,ポート振替表!$V$5:$V$3507,0),"")</f>
        <v/>
      </c>
    </row>
    <row r="429" customFormat="false" ht="16.4" hidden="false" customHeight="false" outlineLevel="0" collapsed="false">
      <c r="A429" s="32" t="str">
        <f aca="false">IF(L429="","",ROW()-4)</f>
        <v/>
      </c>
      <c r="B429" s="58" t="str">
        <f aca="false">IF(L429="","",IF(INDEX(ポート振替表!$W$5:$W$3507,$L429)="","(なし)",INDEX(ポート振替表!$W$5:$W$3507,$L429)&amp;""))</f>
        <v/>
      </c>
      <c r="C429" s="52" t="str">
        <f aca="false">IF(L429="","",INDEX(ポート振替表!$B$5:$B$3507,$L429)&amp;" "&amp;INDEX(ポート振替表!$C$5:$C$3507,$L429)&amp;"  ⇔  "&amp;INDEX(ポート振替表!$H$5:$H$3507,$L429)&amp;" "&amp;INDEX(ポート振替表!$I$5:$I$3507,$L429))</f>
        <v/>
      </c>
      <c r="D429" s="57" t="s">
        <v>158</v>
      </c>
      <c r="E429" s="59" t="str">
        <f aca="false">IF(L429="","",IF(INDEX(ポート振替表!$O$5:$O$3507,$L429)="","(未設定)",INDEX(ポート振替表!$O$5:$O$3507,$L429)&amp;""))</f>
        <v/>
      </c>
      <c r="F429" s="52" t="str">
        <f aca="false">IF(L429="","",INDEX(ポート振替表!$K$5:$K$3507,$L429)&amp;" "&amp;INDEX(ポート振替表!$L$5:$L$3507,$L429)&amp;"  ⇔  "&amp;INDEX(ポート振替表!$H$5:$H$3507,$L429)&amp;" "&amp;INDEX(ポート振替表!$I$5:$I$3507,$L429))</f>
        <v/>
      </c>
      <c r="G429" s="57" t="s">
        <v>158</v>
      </c>
      <c r="H429" s="32" t="str">
        <f aca="false">IF(L429="","",INDEX(ポート振替表!$N$5:$N$3507,$L429)&amp;"")</f>
        <v/>
      </c>
      <c r="I429" s="32" t="str">
        <f aca="false">IF(L429="","",INDEX(ポート振替表!$P$5:$P$3507,$L429)&amp;"")</f>
        <v/>
      </c>
      <c r="J429" s="60" t="str">
        <f aca="false">IF(L429="","",INDEX(ポート振替表!$M$5:$M$3507,$L429)&amp;"")</f>
        <v/>
      </c>
      <c r="K429" s="52" t="str">
        <f aca="false">IF(L429="","",E429&amp;CHAR(10)&amp;INDEX(ポート振替表!$K$5:$K$3507,$L429)&amp;" "&amp;INDEX(ポート振替表!$L$5:$L$3507,$L429)&amp;CHAR(10)&amp;"⇔ "&amp;INDEX(ポート振替表!$H$5:$H$3507,$L429)&amp;" "&amp;INDEX(ポート振替表!$I$5:$I$3507,$L429))</f>
        <v/>
      </c>
      <c r="L429" s="47" t="str">
        <f aca="false">IFERROR(MATCH(ROW()-4,ポート振替表!$V$5:$V$3507,0),"")</f>
        <v/>
      </c>
    </row>
    <row r="430" customFormat="false" ht="16.4" hidden="false" customHeight="false" outlineLevel="0" collapsed="false">
      <c r="A430" s="32" t="str">
        <f aca="false">IF(L430="","",ROW()-4)</f>
        <v/>
      </c>
      <c r="B430" s="58" t="str">
        <f aca="false">IF(L430="","",IF(INDEX(ポート振替表!$W$5:$W$3507,$L430)="","(なし)",INDEX(ポート振替表!$W$5:$W$3507,$L430)&amp;""))</f>
        <v/>
      </c>
      <c r="C430" s="52" t="str">
        <f aca="false">IF(L430="","",INDEX(ポート振替表!$B$5:$B$3507,$L430)&amp;" "&amp;INDEX(ポート振替表!$C$5:$C$3507,$L430)&amp;"  ⇔  "&amp;INDEX(ポート振替表!$H$5:$H$3507,$L430)&amp;" "&amp;INDEX(ポート振替表!$I$5:$I$3507,$L430))</f>
        <v/>
      </c>
      <c r="D430" s="57" t="s">
        <v>158</v>
      </c>
      <c r="E430" s="59" t="str">
        <f aca="false">IF(L430="","",IF(INDEX(ポート振替表!$O$5:$O$3507,$L430)="","(未設定)",INDEX(ポート振替表!$O$5:$O$3507,$L430)&amp;""))</f>
        <v/>
      </c>
      <c r="F430" s="52" t="str">
        <f aca="false">IF(L430="","",INDEX(ポート振替表!$K$5:$K$3507,$L430)&amp;" "&amp;INDEX(ポート振替表!$L$5:$L$3507,$L430)&amp;"  ⇔  "&amp;INDEX(ポート振替表!$H$5:$H$3507,$L430)&amp;" "&amp;INDEX(ポート振替表!$I$5:$I$3507,$L430))</f>
        <v/>
      </c>
      <c r="G430" s="57" t="s">
        <v>158</v>
      </c>
      <c r="H430" s="32" t="str">
        <f aca="false">IF(L430="","",INDEX(ポート振替表!$N$5:$N$3507,$L430)&amp;"")</f>
        <v/>
      </c>
      <c r="I430" s="32" t="str">
        <f aca="false">IF(L430="","",INDEX(ポート振替表!$P$5:$P$3507,$L430)&amp;"")</f>
        <v/>
      </c>
      <c r="J430" s="60" t="str">
        <f aca="false">IF(L430="","",INDEX(ポート振替表!$M$5:$M$3507,$L430)&amp;"")</f>
        <v/>
      </c>
      <c r="K430" s="52" t="str">
        <f aca="false">IF(L430="","",E430&amp;CHAR(10)&amp;INDEX(ポート振替表!$K$5:$K$3507,$L430)&amp;" "&amp;INDEX(ポート振替表!$L$5:$L$3507,$L430)&amp;CHAR(10)&amp;"⇔ "&amp;INDEX(ポート振替表!$H$5:$H$3507,$L430)&amp;" "&amp;INDEX(ポート振替表!$I$5:$I$3507,$L430))</f>
        <v/>
      </c>
      <c r="L430" s="47" t="str">
        <f aca="false">IFERROR(MATCH(ROW()-4,ポート振替表!$V$5:$V$3507,0),"")</f>
        <v/>
      </c>
    </row>
    <row r="431" customFormat="false" ht="16.4" hidden="false" customHeight="false" outlineLevel="0" collapsed="false">
      <c r="A431" s="32" t="str">
        <f aca="false">IF(L431="","",ROW()-4)</f>
        <v/>
      </c>
      <c r="B431" s="58" t="str">
        <f aca="false">IF(L431="","",IF(INDEX(ポート振替表!$W$5:$W$3507,$L431)="","(なし)",INDEX(ポート振替表!$W$5:$W$3507,$L431)&amp;""))</f>
        <v/>
      </c>
      <c r="C431" s="52" t="str">
        <f aca="false">IF(L431="","",INDEX(ポート振替表!$B$5:$B$3507,$L431)&amp;" "&amp;INDEX(ポート振替表!$C$5:$C$3507,$L431)&amp;"  ⇔  "&amp;INDEX(ポート振替表!$H$5:$H$3507,$L431)&amp;" "&amp;INDEX(ポート振替表!$I$5:$I$3507,$L431))</f>
        <v/>
      </c>
      <c r="D431" s="57" t="s">
        <v>158</v>
      </c>
      <c r="E431" s="59" t="str">
        <f aca="false">IF(L431="","",IF(INDEX(ポート振替表!$O$5:$O$3507,$L431)="","(未設定)",INDEX(ポート振替表!$O$5:$O$3507,$L431)&amp;""))</f>
        <v/>
      </c>
      <c r="F431" s="52" t="str">
        <f aca="false">IF(L431="","",INDEX(ポート振替表!$K$5:$K$3507,$L431)&amp;" "&amp;INDEX(ポート振替表!$L$5:$L$3507,$L431)&amp;"  ⇔  "&amp;INDEX(ポート振替表!$H$5:$H$3507,$L431)&amp;" "&amp;INDEX(ポート振替表!$I$5:$I$3507,$L431))</f>
        <v/>
      </c>
      <c r="G431" s="57" t="s">
        <v>158</v>
      </c>
      <c r="H431" s="32" t="str">
        <f aca="false">IF(L431="","",INDEX(ポート振替表!$N$5:$N$3507,$L431)&amp;"")</f>
        <v/>
      </c>
      <c r="I431" s="32" t="str">
        <f aca="false">IF(L431="","",INDEX(ポート振替表!$P$5:$P$3507,$L431)&amp;"")</f>
        <v/>
      </c>
      <c r="J431" s="60" t="str">
        <f aca="false">IF(L431="","",INDEX(ポート振替表!$M$5:$M$3507,$L431)&amp;"")</f>
        <v/>
      </c>
      <c r="K431" s="52" t="str">
        <f aca="false">IF(L431="","",E431&amp;CHAR(10)&amp;INDEX(ポート振替表!$K$5:$K$3507,$L431)&amp;" "&amp;INDEX(ポート振替表!$L$5:$L$3507,$L431)&amp;CHAR(10)&amp;"⇔ "&amp;INDEX(ポート振替表!$H$5:$H$3507,$L431)&amp;" "&amp;INDEX(ポート振替表!$I$5:$I$3507,$L431))</f>
        <v/>
      </c>
      <c r="L431" s="47" t="str">
        <f aca="false">IFERROR(MATCH(ROW()-4,ポート振替表!$V$5:$V$3507,0),"")</f>
        <v/>
      </c>
    </row>
    <row r="432" customFormat="false" ht="16.4" hidden="false" customHeight="false" outlineLevel="0" collapsed="false">
      <c r="A432" s="32" t="str">
        <f aca="false">IF(L432="","",ROW()-4)</f>
        <v/>
      </c>
      <c r="B432" s="58" t="str">
        <f aca="false">IF(L432="","",IF(INDEX(ポート振替表!$W$5:$W$3507,$L432)="","(なし)",INDEX(ポート振替表!$W$5:$W$3507,$L432)&amp;""))</f>
        <v/>
      </c>
      <c r="C432" s="52" t="str">
        <f aca="false">IF(L432="","",INDEX(ポート振替表!$B$5:$B$3507,$L432)&amp;" "&amp;INDEX(ポート振替表!$C$5:$C$3507,$L432)&amp;"  ⇔  "&amp;INDEX(ポート振替表!$H$5:$H$3507,$L432)&amp;" "&amp;INDEX(ポート振替表!$I$5:$I$3507,$L432))</f>
        <v/>
      </c>
      <c r="D432" s="57" t="s">
        <v>158</v>
      </c>
      <c r="E432" s="59" t="str">
        <f aca="false">IF(L432="","",IF(INDEX(ポート振替表!$O$5:$O$3507,$L432)="","(未設定)",INDEX(ポート振替表!$O$5:$O$3507,$L432)&amp;""))</f>
        <v/>
      </c>
      <c r="F432" s="52" t="str">
        <f aca="false">IF(L432="","",INDEX(ポート振替表!$K$5:$K$3507,$L432)&amp;" "&amp;INDEX(ポート振替表!$L$5:$L$3507,$L432)&amp;"  ⇔  "&amp;INDEX(ポート振替表!$H$5:$H$3507,$L432)&amp;" "&amp;INDEX(ポート振替表!$I$5:$I$3507,$L432))</f>
        <v/>
      </c>
      <c r="G432" s="57" t="s">
        <v>158</v>
      </c>
      <c r="H432" s="32" t="str">
        <f aca="false">IF(L432="","",INDEX(ポート振替表!$N$5:$N$3507,$L432)&amp;"")</f>
        <v/>
      </c>
      <c r="I432" s="32" t="str">
        <f aca="false">IF(L432="","",INDEX(ポート振替表!$P$5:$P$3507,$L432)&amp;"")</f>
        <v/>
      </c>
      <c r="J432" s="60" t="str">
        <f aca="false">IF(L432="","",INDEX(ポート振替表!$M$5:$M$3507,$L432)&amp;"")</f>
        <v/>
      </c>
      <c r="K432" s="52" t="str">
        <f aca="false">IF(L432="","",E432&amp;CHAR(10)&amp;INDEX(ポート振替表!$K$5:$K$3507,$L432)&amp;" "&amp;INDEX(ポート振替表!$L$5:$L$3507,$L432)&amp;CHAR(10)&amp;"⇔ "&amp;INDEX(ポート振替表!$H$5:$H$3507,$L432)&amp;" "&amp;INDEX(ポート振替表!$I$5:$I$3507,$L432))</f>
        <v/>
      </c>
      <c r="L432" s="47" t="str">
        <f aca="false">IFERROR(MATCH(ROW()-4,ポート振替表!$V$5:$V$3507,0),"")</f>
        <v/>
      </c>
    </row>
    <row r="433" customFormat="false" ht="16.4" hidden="false" customHeight="false" outlineLevel="0" collapsed="false">
      <c r="A433" s="32" t="str">
        <f aca="false">IF(L433="","",ROW()-4)</f>
        <v/>
      </c>
      <c r="B433" s="58" t="str">
        <f aca="false">IF(L433="","",IF(INDEX(ポート振替表!$W$5:$W$3507,$L433)="","(なし)",INDEX(ポート振替表!$W$5:$W$3507,$L433)&amp;""))</f>
        <v/>
      </c>
      <c r="C433" s="52" t="str">
        <f aca="false">IF(L433="","",INDEX(ポート振替表!$B$5:$B$3507,$L433)&amp;" "&amp;INDEX(ポート振替表!$C$5:$C$3507,$L433)&amp;"  ⇔  "&amp;INDEX(ポート振替表!$H$5:$H$3507,$L433)&amp;" "&amp;INDEX(ポート振替表!$I$5:$I$3507,$L433))</f>
        <v/>
      </c>
      <c r="D433" s="57" t="s">
        <v>158</v>
      </c>
      <c r="E433" s="59" t="str">
        <f aca="false">IF(L433="","",IF(INDEX(ポート振替表!$O$5:$O$3507,$L433)="","(未設定)",INDEX(ポート振替表!$O$5:$O$3507,$L433)&amp;""))</f>
        <v/>
      </c>
      <c r="F433" s="52" t="str">
        <f aca="false">IF(L433="","",INDEX(ポート振替表!$K$5:$K$3507,$L433)&amp;" "&amp;INDEX(ポート振替表!$L$5:$L$3507,$L433)&amp;"  ⇔  "&amp;INDEX(ポート振替表!$H$5:$H$3507,$L433)&amp;" "&amp;INDEX(ポート振替表!$I$5:$I$3507,$L433))</f>
        <v/>
      </c>
      <c r="G433" s="57" t="s">
        <v>158</v>
      </c>
      <c r="H433" s="32" t="str">
        <f aca="false">IF(L433="","",INDEX(ポート振替表!$N$5:$N$3507,$L433)&amp;"")</f>
        <v/>
      </c>
      <c r="I433" s="32" t="str">
        <f aca="false">IF(L433="","",INDEX(ポート振替表!$P$5:$P$3507,$L433)&amp;"")</f>
        <v/>
      </c>
      <c r="J433" s="60" t="str">
        <f aca="false">IF(L433="","",INDEX(ポート振替表!$M$5:$M$3507,$L433)&amp;"")</f>
        <v/>
      </c>
      <c r="K433" s="52" t="str">
        <f aca="false">IF(L433="","",E433&amp;CHAR(10)&amp;INDEX(ポート振替表!$K$5:$K$3507,$L433)&amp;" "&amp;INDEX(ポート振替表!$L$5:$L$3507,$L433)&amp;CHAR(10)&amp;"⇔ "&amp;INDEX(ポート振替表!$H$5:$H$3507,$L433)&amp;" "&amp;INDEX(ポート振替表!$I$5:$I$3507,$L433))</f>
        <v/>
      </c>
      <c r="L433" s="47" t="str">
        <f aca="false">IFERROR(MATCH(ROW()-4,ポート振替表!$V$5:$V$3507,0),"")</f>
        <v/>
      </c>
    </row>
    <row r="434" customFormat="false" ht="16.4" hidden="false" customHeight="false" outlineLevel="0" collapsed="false">
      <c r="A434" s="32" t="str">
        <f aca="false">IF(L434="","",ROW()-4)</f>
        <v/>
      </c>
      <c r="B434" s="58" t="str">
        <f aca="false">IF(L434="","",IF(INDEX(ポート振替表!$W$5:$W$3507,$L434)="","(なし)",INDEX(ポート振替表!$W$5:$W$3507,$L434)&amp;""))</f>
        <v/>
      </c>
      <c r="C434" s="52" t="str">
        <f aca="false">IF(L434="","",INDEX(ポート振替表!$B$5:$B$3507,$L434)&amp;" "&amp;INDEX(ポート振替表!$C$5:$C$3507,$L434)&amp;"  ⇔  "&amp;INDEX(ポート振替表!$H$5:$H$3507,$L434)&amp;" "&amp;INDEX(ポート振替表!$I$5:$I$3507,$L434))</f>
        <v/>
      </c>
      <c r="D434" s="57" t="s">
        <v>158</v>
      </c>
      <c r="E434" s="59" t="str">
        <f aca="false">IF(L434="","",IF(INDEX(ポート振替表!$O$5:$O$3507,$L434)="","(未設定)",INDEX(ポート振替表!$O$5:$O$3507,$L434)&amp;""))</f>
        <v/>
      </c>
      <c r="F434" s="52" t="str">
        <f aca="false">IF(L434="","",INDEX(ポート振替表!$K$5:$K$3507,$L434)&amp;" "&amp;INDEX(ポート振替表!$L$5:$L$3507,$L434)&amp;"  ⇔  "&amp;INDEX(ポート振替表!$H$5:$H$3507,$L434)&amp;" "&amp;INDEX(ポート振替表!$I$5:$I$3507,$L434))</f>
        <v/>
      </c>
      <c r="G434" s="57" t="s">
        <v>158</v>
      </c>
      <c r="H434" s="32" t="str">
        <f aca="false">IF(L434="","",INDEX(ポート振替表!$N$5:$N$3507,$L434)&amp;"")</f>
        <v/>
      </c>
      <c r="I434" s="32" t="str">
        <f aca="false">IF(L434="","",INDEX(ポート振替表!$P$5:$P$3507,$L434)&amp;"")</f>
        <v/>
      </c>
      <c r="J434" s="60" t="str">
        <f aca="false">IF(L434="","",INDEX(ポート振替表!$M$5:$M$3507,$L434)&amp;"")</f>
        <v/>
      </c>
      <c r="K434" s="52" t="str">
        <f aca="false">IF(L434="","",E434&amp;CHAR(10)&amp;INDEX(ポート振替表!$K$5:$K$3507,$L434)&amp;" "&amp;INDEX(ポート振替表!$L$5:$L$3507,$L434)&amp;CHAR(10)&amp;"⇔ "&amp;INDEX(ポート振替表!$H$5:$H$3507,$L434)&amp;" "&amp;INDEX(ポート振替表!$I$5:$I$3507,$L434))</f>
        <v/>
      </c>
      <c r="L434" s="47" t="str">
        <f aca="false">IFERROR(MATCH(ROW()-4,ポート振替表!$V$5:$V$3507,0),"")</f>
        <v/>
      </c>
    </row>
    <row r="435" customFormat="false" ht="16.4" hidden="false" customHeight="false" outlineLevel="0" collapsed="false">
      <c r="A435" s="32" t="str">
        <f aca="false">IF(L435="","",ROW()-4)</f>
        <v/>
      </c>
      <c r="B435" s="58" t="str">
        <f aca="false">IF(L435="","",IF(INDEX(ポート振替表!$W$5:$W$3507,$L435)="","(なし)",INDEX(ポート振替表!$W$5:$W$3507,$L435)&amp;""))</f>
        <v/>
      </c>
      <c r="C435" s="52" t="str">
        <f aca="false">IF(L435="","",INDEX(ポート振替表!$B$5:$B$3507,$L435)&amp;" "&amp;INDEX(ポート振替表!$C$5:$C$3507,$L435)&amp;"  ⇔  "&amp;INDEX(ポート振替表!$H$5:$H$3507,$L435)&amp;" "&amp;INDEX(ポート振替表!$I$5:$I$3507,$L435))</f>
        <v/>
      </c>
      <c r="D435" s="57" t="s">
        <v>158</v>
      </c>
      <c r="E435" s="59" t="str">
        <f aca="false">IF(L435="","",IF(INDEX(ポート振替表!$O$5:$O$3507,$L435)="","(未設定)",INDEX(ポート振替表!$O$5:$O$3507,$L435)&amp;""))</f>
        <v/>
      </c>
      <c r="F435" s="52" t="str">
        <f aca="false">IF(L435="","",INDEX(ポート振替表!$K$5:$K$3507,$L435)&amp;" "&amp;INDEX(ポート振替表!$L$5:$L$3507,$L435)&amp;"  ⇔  "&amp;INDEX(ポート振替表!$H$5:$H$3507,$L435)&amp;" "&amp;INDEX(ポート振替表!$I$5:$I$3507,$L435))</f>
        <v/>
      </c>
      <c r="G435" s="57" t="s">
        <v>158</v>
      </c>
      <c r="H435" s="32" t="str">
        <f aca="false">IF(L435="","",INDEX(ポート振替表!$N$5:$N$3507,$L435)&amp;"")</f>
        <v/>
      </c>
      <c r="I435" s="32" t="str">
        <f aca="false">IF(L435="","",INDEX(ポート振替表!$P$5:$P$3507,$L435)&amp;"")</f>
        <v/>
      </c>
      <c r="J435" s="60" t="str">
        <f aca="false">IF(L435="","",INDEX(ポート振替表!$M$5:$M$3507,$L435)&amp;"")</f>
        <v/>
      </c>
      <c r="K435" s="52" t="str">
        <f aca="false">IF(L435="","",E435&amp;CHAR(10)&amp;INDEX(ポート振替表!$K$5:$K$3507,$L435)&amp;" "&amp;INDEX(ポート振替表!$L$5:$L$3507,$L435)&amp;CHAR(10)&amp;"⇔ "&amp;INDEX(ポート振替表!$H$5:$H$3507,$L435)&amp;" "&amp;INDEX(ポート振替表!$I$5:$I$3507,$L435))</f>
        <v/>
      </c>
      <c r="L435" s="47" t="str">
        <f aca="false">IFERROR(MATCH(ROW()-4,ポート振替表!$V$5:$V$3507,0),"")</f>
        <v/>
      </c>
    </row>
    <row r="436" customFormat="false" ht="16.4" hidden="false" customHeight="false" outlineLevel="0" collapsed="false">
      <c r="A436" s="32" t="str">
        <f aca="false">IF(L436="","",ROW()-4)</f>
        <v/>
      </c>
      <c r="B436" s="58" t="str">
        <f aca="false">IF(L436="","",IF(INDEX(ポート振替表!$W$5:$W$3507,$L436)="","(なし)",INDEX(ポート振替表!$W$5:$W$3507,$L436)&amp;""))</f>
        <v/>
      </c>
      <c r="C436" s="52" t="str">
        <f aca="false">IF(L436="","",INDEX(ポート振替表!$B$5:$B$3507,$L436)&amp;" "&amp;INDEX(ポート振替表!$C$5:$C$3507,$L436)&amp;"  ⇔  "&amp;INDEX(ポート振替表!$H$5:$H$3507,$L436)&amp;" "&amp;INDEX(ポート振替表!$I$5:$I$3507,$L436))</f>
        <v/>
      </c>
      <c r="D436" s="57" t="s">
        <v>158</v>
      </c>
      <c r="E436" s="59" t="str">
        <f aca="false">IF(L436="","",IF(INDEX(ポート振替表!$O$5:$O$3507,$L436)="","(未設定)",INDEX(ポート振替表!$O$5:$O$3507,$L436)&amp;""))</f>
        <v/>
      </c>
      <c r="F436" s="52" t="str">
        <f aca="false">IF(L436="","",INDEX(ポート振替表!$K$5:$K$3507,$L436)&amp;" "&amp;INDEX(ポート振替表!$L$5:$L$3507,$L436)&amp;"  ⇔  "&amp;INDEX(ポート振替表!$H$5:$H$3507,$L436)&amp;" "&amp;INDEX(ポート振替表!$I$5:$I$3507,$L436))</f>
        <v/>
      </c>
      <c r="G436" s="57" t="s">
        <v>158</v>
      </c>
      <c r="H436" s="32" t="str">
        <f aca="false">IF(L436="","",INDEX(ポート振替表!$N$5:$N$3507,$L436)&amp;"")</f>
        <v/>
      </c>
      <c r="I436" s="32" t="str">
        <f aca="false">IF(L436="","",INDEX(ポート振替表!$P$5:$P$3507,$L436)&amp;"")</f>
        <v/>
      </c>
      <c r="J436" s="60" t="str">
        <f aca="false">IF(L436="","",INDEX(ポート振替表!$M$5:$M$3507,$L436)&amp;"")</f>
        <v/>
      </c>
      <c r="K436" s="52" t="str">
        <f aca="false">IF(L436="","",E436&amp;CHAR(10)&amp;INDEX(ポート振替表!$K$5:$K$3507,$L436)&amp;" "&amp;INDEX(ポート振替表!$L$5:$L$3507,$L436)&amp;CHAR(10)&amp;"⇔ "&amp;INDEX(ポート振替表!$H$5:$H$3507,$L436)&amp;" "&amp;INDEX(ポート振替表!$I$5:$I$3507,$L436))</f>
        <v/>
      </c>
      <c r="L436" s="47" t="str">
        <f aca="false">IFERROR(MATCH(ROW()-4,ポート振替表!$V$5:$V$3507,0),"")</f>
        <v/>
      </c>
    </row>
    <row r="437" customFormat="false" ht="16.4" hidden="false" customHeight="false" outlineLevel="0" collapsed="false">
      <c r="A437" s="32" t="str">
        <f aca="false">IF(L437="","",ROW()-4)</f>
        <v/>
      </c>
      <c r="B437" s="58" t="str">
        <f aca="false">IF(L437="","",IF(INDEX(ポート振替表!$W$5:$W$3507,$L437)="","(なし)",INDEX(ポート振替表!$W$5:$W$3507,$L437)&amp;""))</f>
        <v/>
      </c>
      <c r="C437" s="52" t="str">
        <f aca="false">IF(L437="","",INDEX(ポート振替表!$B$5:$B$3507,$L437)&amp;" "&amp;INDEX(ポート振替表!$C$5:$C$3507,$L437)&amp;"  ⇔  "&amp;INDEX(ポート振替表!$H$5:$H$3507,$L437)&amp;" "&amp;INDEX(ポート振替表!$I$5:$I$3507,$L437))</f>
        <v/>
      </c>
      <c r="D437" s="57" t="s">
        <v>158</v>
      </c>
      <c r="E437" s="59" t="str">
        <f aca="false">IF(L437="","",IF(INDEX(ポート振替表!$O$5:$O$3507,$L437)="","(未設定)",INDEX(ポート振替表!$O$5:$O$3507,$L437)&amp;""))</f>
        <v/>
      </c>
      <c r="F437" s="52" t="str">
        <f aca="false">IF(L437="","",INDEX(ポート振替表!$K$5:$K$3507,$L437)&amp;" "&amp;INDEX(ポート振替表!$L$5:$L$3507,$L437)&amp;"  ⇔  "&amp;INDEX(ポート振替表!$H$5:$H$3507,$L437)&amp;" "&amp;INDEX(ポート振替表!$I$5:$I$3507,$L437))</f>
        <v/>
      </c>
      <c r="G437" s="57" t="s">
        <v>158</v>
      </c>
      <c r="H437" s="32" t="str">
        <f aca="false">IF(L437="","",INDEX(ポート振替表!$N$5:$N$3507,$L437)&amp;"")</f>
        <v/>
      </c>
      <c r="I437" s="32" t="str">
        <f aca="false">IF(L437="","",INDEX(ポート振替表!$P$5:$P$3507,$L437)&amp;"")</f>
        <v/>
      </c>
      <c r="J437" s="60" t="str">
        <f aca="false">IF(L437="","",INDEX(ポート振替表!$M$5:$M$3507,$L437)&amp;"")</f>
        <v/>
      </c>
      <c r="K437" s="52" t="str">
        <f aca="false">IF(L437="","",E437&amp;CHAR(10)&amp;INDEX(ポート振替表!$K$5:$K$3507,$L437)&amp;" "&amp;INDEX(ポート振替表!$L$5:$L$3507,$L437)&amp;CHAR(10)&amp;"⇔ "&amp;INDEX(ポート振替表!$H$5:$H$3507,$L437)&amp;" "&amp;INDEX(ポート振替表!$I$5:$I$3507,$L437))</f>
        <v/>
      </c>
      <c r="L437" s="47" t="str">
        <f aca="false">IFERROR(MATCH(ROW()-4,ポート振替表!$V$5:$V$3507,0),"")</f>
        <v/>
      </c>
    </row>
    <row r="438" customFormat="false" ht="16.4" hidden="false" customHeight="false" outlineLevel="0" collapsed="false">
      <c r="A438" s="32" t="str">
        <f aca="false">IF(L438="","",ROW()-4)</f>
        <v/>
      </c>
      <c r="B438" s="58" t="str">
        <f aca="false">IF(L438="","",IF(INDEX(ポート振替表!$W$5:$W$3507,$L438)="","(なし)",INDEX(ポート振替表!$W$5:$W$3507,$L438)&amp;""))</f>
        <v/>
      </c>
      <c r="C438" s="52" t="str">
        <f aca="false">IF(L438="","",INDEX(ポート振替表!$B$5:$B$3507,$L438)&amp;" "&amp;INDEX(ポート振替表!$C$5:$C$3507,$L438)&amp;"  ⇔  "&amp;INDEX(ポート振替表!$H$5:$H$3507,$L438)&amp;" "&amp;INDEX(ポート振替表!$I$5:$I$3507,$L438))</f>
        <v/>
      </c>
      <c r="D438" s="57" t="s">
        <v>158</v>
      </c>
      <c r="E438" s="59" t="str">
        <f aca="false">IF(L438="","",IF(INDEX(ポート振替表!$O$5:$O$3507,$L438)="","(未設定)",INDEX(ポート振替表!$O$5:$O$3507,$L438)&amp;""))</f>
        <v/>
      </c>
      <c r="F438" s="52" t="str">
        <f aca="false">IF(L438="","",INDEX(ポート振替表!$K$5:$K$3507,$L438)&amp;" "&amp;INDEX(ポート振替表!$L$5:$L$3507,$L438)&amp;"  ⇔  "&amp;INDEX(ポート振替表!$H$5:$H$3507,$L438)&amp;" "&amp;INDEX(ポート振替表!$I$5:$I$3507,$L438))</f>
        <v/>
      </c>
      <c r="G438" s="57" t="s">
        <v>158</v>
      </c>
      <c r="H438" s="32" t="str">
        <f aca="false">IF(L438="","",INDEX(ポート振替表!$N$5:$N$3507,$L438)&amp;"")</f>
        <v/>
      </c>
      <c r="I438" s="32" t="str">
        <f aca="false">IF(L438="","",INDEX(ポート振替表!$P$5:$P$3507,$L438)&amp;"")</f>
        <v/>
      </c>
      <c r="J438" s="60" t="str">
        <f aca="false">IF(L438="","",INDEX(ポート振替表!$M$5:$M$3507,$L438)&amp;"")</f>
        <v/>
      </c>
      <c r="K438" s="52" t="str">
        <f aca="false">IF(L438="","",E438&amp;CHAR(10)&amp;INDEX(ポート振替表!$K$5:$K$3507,$L438)&amp;" "&amp;INDEX(ポート振替表!$L$5:$L$3507,$L438)&amp;CHAR(10)&amp;"⇔ "&amp;INDEX(ポート振替表!$H$5:$H$3507,$L438)&amp;" "&amp;INDEX(ポート振替表!$I$5:$I$3507,$L438))</f>
        <v/>
      </c>
      <c r="L438" s="47" t="str">
        <f aca="false">IFERROR(MATCH(ROW()-4,ポート振替表!$V$5:$V$3507,0),"")</f>
        <v/>
      </c>
    </row>
    <row r="439" customFormat="false" ht="16.4" hidden="false" customHeight="false" outlineLevel="0" collapsed="false">
      <c r="A439" s="32" t="str">
        <f aca="false">IF(L439="","",ROW()-4)</f>
        <v/>
      </c>
      <c r="B439" s="58" t="str">
        <f aca="false">IF(L439="","",IF(INDEX(ポート振替表!$W$5:$W$3507,$L439)="","(なし)",INDEX(ポート振替表!$W$5:$W$3507,$L439)&amp;""))</f>
        <v/>
      </c>
      <c r="C439" s="52" t="str">
        <f aca="false">IF(L439="","",INDEX(ポート振替表!$B$5:$B$3507,$L439)&amp;" "&amp;INDEX(ポート振替表!$C$5:$C$3507,$L439)&amp;"  ⇔  "&amp;INDEX(ポート振替表!$H$5:$H$3507,$L439)&amp;" "&amp;INDEX(ポート振替表!$I$5:$I$3507,$L439))</f>
        <v/>
      </c>
      <c r="D439" s="57" t="s">
        <v>158</v>
      </c>
      <c r="E439" s="59" t="str">
        <f aca="false">IF(L439="","",IF(INDEX(ポート振替表!$O$5:$O$3507,$L439)="","(未設定)",INDEX(ポート振替表!$O$5:$O$3507,$L439)&amp;""))</f>
        <v/>
      </c>
      <c r="F439" s="52" t="str">
        <f aca="false">IF(L439="","",INDEX(ポート振替表!$K$5:$K$3507,$L439)&amp;" "&amp;INDEX(ポート振替表!$L$5:$L$3507,$L439)&amp;"  ⇔  "&amp;INDEX(ポート振替表!$H$5:$H$3507,$L439)&amp;" "&amp;INDEX(ポート振替表!$I$5:$I$3507,$L439))</f>
        <v/>
      </c>
      <c r="G439" s="57" t="s">
        <v>158</v>
      </c>
      <c r="H439" s="32" t="str">
        <f aca="false">IF(L439="","",INDEX(ポート振替表!$N$5:$N$3507,$L439)&amp;"")</f>
        <v/>
      </c>
      <c r="I439" s="32" t="str">
        <f aca="false">IF(L439="","",INDEX(ポート振替表!$P$5:$P$3507,$L439)&amp;"")</f>
        <v/>
      </c>
      <c r="J439" s="60" t="str">
        <f aca="false">IF(L439="","",INDEX(ポート振替表!$M$5:$M$3507,$L439)&amp;"")</f>
        <v/>
      </c>
      <c r="K439" s="52" t="str">
        <f aca="false">IF(L439="","",E439&amp;CHAR(10)&amp;INDEX(ポート振替表!$K$5:$K$3507,$L439)&amp;" "&amp;INDEX(ポート振替表!$L$5:$L$3507,$L439)&amp;CHAR(10)&amp;"⇔ "&amp;INDEX(ポート振替表!$H$5:$H$3507,$L439)&amp;" "&amp;INDEX(ポート振替表!$I$5:$I$3507,$L439))</f>
        <v/>
      </c>
      <c r="L439" s="47" t="str">
        <f aca="false">IFERROR(MATCH(ROW()-4,ポート振替表!$V$5:$V$3507,0),"")</f>
        <v/>
      </c>
    </row>
    <row r="440" customFormat="false" ht="16.4" hidden="false" customHeight="false" outlineLevel="0" collapsed="false">
      <c r="A440" s="32" t="str">
        <f aca="false">IF(L440="","",ROW()-4)</f>
        <v/>
      </c>
      <c r="B440" s="58" t="str">
        <f aca="false">IF(L440="","",IF(INDEX(ポート振替表!$W$5:$W$3507,$L440)="","(なし)",INDEX(ポート振替表!$W$5:$W$3507,$L440)&amp;""))</f>
        <v/>
      </c>
      <c r="C440" s="52" t="str">
        <f aca="false">IF(L440="","",INDEX(ポート振替表!$B$5:$B$3507,$L440)&amp;" "&amp;INDEX(ポート振替表!$C$5:$C$3507,$L440)&amp;"  ⇔  "&amp;INDEX(ポート振替表!$H$5:$H$3507,$L440)&amp;" "&amp;INDEX(ポート振替表!$I$5:$I$3507,$L440))</f>
        <v/>
      </c>
      <c r="D440" s="57" t="s">
        <v>158</v>
      </c>
      <c r="E440" s="59" t="str">
        <f aca="false">IF(L440="","",IF(INDEX(ポート振替表!$O$5:$O$3507,$L440)="","(未設定)",INDEX(ポート振替表!$O$5:$O$3507,$L440)&amp;""))</f>
        <v/>
      </c>
      <c r="F440" s="52" t="str">
        <f aca="false">IF(L440="","",INDEX(ポート振替表!$K$5:$K$3507,$L440)&amp;" "&amp;INDEX(ポート振替表!$L$5:$L$3507,$L440)&amp;"  ⇔  "&amp;INDEX(ポート振替表!$H$5:$H$3507,$L440)&amp;" "&amp;INDEX(ポート振替表!$I$5:$I$3507,$L440))</f>
        <v/>
      </c>
      <c r="G440" s="57" t="s">
        <v>158</v>
      </c>
      <c r="H440" s="32" t="str">
        <f aca="false">IF(L440="","",INDEX(ポート振替表!$N$5:$N$3507,$L440)&amp;"")</f>
        <v/>
      </c>
      <c r="I440" s="32" t="str">
        <f aca="false">IF(L440="","",INDEX(ポート振替表!$P$5:$P$3507,$L440)&amp;"")</f>
        <v/>
      </c>
      <c r="J440" s="60" t="str">
        <f aca="false">IF(L440="","",INDEX(ポート振替表!$M$5:$M$3507,$L440)&amp;"")</f>
        <v/>
      </c>
      <c r="K440" s="52" t="str">
        <f aca="false">IF(L440="","",E440&amp;CHAR(10)&amp;INDEX(ポート振替表!$K$5:$K$3507,$L440)&amp;" "&amp;INDEX(ポート振替表!$L$5:$L$3507,$L440)&amp;CHAR(10)&amp;"⇔ "&amp;INDEX(ポート振替表!$H$5:$H$3507,$L440)&amp;" "&amp;INDEX(ポート振替表!$I$5:$I$3507,$L440))</f>
        <v/>
      </c>
      <c r="L440" s="47" t="str">
        <f aca="false">IFERROR(MATCH(ROW()-4,ポート振替表!$V$5:$V$3507,0),"")</f>
        <v/>
      </c>
    </row>
    <row r="441" customFormat="false" ht="16.4" hidden="false" customHeight="false" outlineLevel="0" collapsed="false">
      <c r="A441" s="32" t="str">
        <f aca="false">IF(L441="","",ROW()-4)</f>
        <v/>
      </c>
      <c r="B441" s="58" t="str">
        <f aca="false">IF(L441="","",IF(INDEX(ポート振替表!$W$5:$W$3507,$L441)="","(なし)",INDEX(ポート振替表!$W$5:$W$3507,$L441)&amp;""))</f>
        <v/>
      </c>
      <c r="C441" s="52" t="str">
        <f aca="false">IF(L441="","",INDEX(ポート振替表!$B$5:$B$3507,$L441)&amp;" "&amp;INDEX(ポート振替表!$C$5:$C$3507,$L441)&amp;"  ⇔  "&amp;INDEX(ポート振替表!$H$5:$H$3507,$L441)&amp;" "&amp;INDEX(ポート振替表!$I$5:$I$3507,$L441))</f>
        <v/>
      </c>
      <c r="D441" s="57" t="s">
        <v>158</v>
      </c>
      <c r="E441" s="59" t="str">
        <f aca="false">IF(L441="","",IF(INDEX(ポート振替表!$O$5:$O$3507,$L441)="","(未設定)",INDEX(ポート振替表!$O$5:$O$3507,$L441)&amp;""))</f>
        <v/>
      </c>
      <c r="F441" s="52" t="str">
        <f aca="false">IF(L441="","",INDEX(ポート振替表!$K$5:$K$3507,$L441)&amp;" "&amp;INDEX(ポート振替表!$L$5:$L$3507,$L441)&amp;"  ⇔  "&amp;INDEX(ポート振替表!$H$5:$H$3507,$L441)&amp;" "&amp;INDEX(ポート振替表!$I$5:$I$3507,$L441))</f>
        <v/>
      </c>
      <c r="G441" s="57" t="s">
        <v>158</v>
      </c>
      <c r="H441" s="32" t="str">
        <f aca="false">IF(L441="","",INDEX(ポート振替表!$N$5:$N$3507,$L441)&amp;"")</f>
        <v/>
      </c>
      <c r="I441" s="32" t="str">
        <f aca="false">IF(L441="","",INDEX(ポート振替表!$P$5:$P$3507,$L441)&amp;"")</f>
        <v/>
      </c>
      <c r="J441" s="60" t="str">
        <f aca="false">IF(L441="","",INDEX(ポート振替表!$M$5:$M$3507,$L441)&amp;"")</f>
        <v/>
      </c>
      <c r="K441" s="52" t="str">
        <f aca="false">IF(L441="","",E441&amp;CHAR(10)&amp;INDEX(ポート振替表!$K$5:$K$3507,$L441)&amp;" "&amp;INDEX(ポート振替表!$L$5:$L$3507,$L441)&amp;CHAR(10)&amp;"⇔ "&amp;INDEX(ポート振替表!$H$5:$H$3507,$L441)&amp;" "&amp;INDEX(ポート振替表!$I$5:$I$3507,$L441))</f>
        <v/>
      </c>
      <c r="L441" s="47" t="str">
        <f aca="false">IFERROR(MATCH(ROW()-4,ポート振替表!$V$5:$V$3507,0),"")</f>
        <v/>
      </c>
    </row>
    <row r="442" customFormat="false" ht="16.4" hidden="false" customHeight="false" outlineLevel="0" collapsed="false">
      <c r="A442" s="32" t="str">
        <f aca="false">IF(L442="","",ROW()-4)</f>
        <v/>
      </c>
      <c r="B442" s="58" t="str">
        <f aca="false">IF(L442="","",IF(INDEX(ポート振替表!$W$5:$W$3507,$L442)="","(なし)",INDEX(ポート振替表!$W$5:$W$3507,$L442)&amp;""))</f>
        <v/>
      </c>
      <c r="C442" s="52" t="str">
        <f aca="false">IF(L442="","",INDEX(ポート振替表!$B$5:$B$3507,$L442)&amp;" "&amp;INDEX(ポート振替表!$C$5:$C$3507,$L442)&amp;"  ⇔  "&amp;INDEX(ポート振替表!$H$5:$H$3507,$L442)&amp;" "&amp;INDEX(ポート振替表!$I$5:$I$3507,$L442))</f>
        <v/>
      </c>
      <c r="D442" s="57" t="s">
        <v>158</v>
      </c>
      <c r="E442" s="59" t="str">
        <f aca="false">IF(L442="","",IF(INDEX(ポート振替表!$O$5:$O$3507,$L442)="","(未設定)",INDEX(ポート振替表!$O$5:$O$3507,$L442)&amp;""))</f>
        <v/>
      </c>
      <c r="F442" s="52" t="str">
        <f aca="false">IF(L442="","",INDEX(ポート振替表!$K$5:$K$3507,$L442)&amp;" "&amp;INDEX(ポート振替表!$L$5:$L$3507,$L442)&amp;"  ⇔  "&amp;INDEX(ポート振替表!$H$5:$H$3507,$L442)&amp;" "&amp;INDEX(ポート振替表!$I$5:$I$3507,$L442))</f>
        <v/>
      </c>
      <c r="G442" s="57" t="s">
        <v>158</v>
      </c>
      <c r="H442" s="32" t="str">
        <f aca="false">IF(L442="","",INDEX(ポート振替表!$N$5:$N$3507,$L442)&amp;"")</f>
        <v/>
      </c>
      <c r="I442" s="32" t="str">
        <f aca="false">IF(L442="","",INDEX(ポート振替表!$P$5:$P$3507,$L442)&amp;"")</f>
        <v/>
      </c>
      <c r="J442" s="60" t="str">
        <f aca="false">IF(L442="","",INDEX(ポート振替表!$M$5:$M$3507,$L442)&amp;"")</f>
        <v/>
      </c>
      <c r="K442" s="52" t="str">
        <f aca="false">IF(L442="","",E442&amp;CHAR(10)&amp;INDEX(ポート振替表!$K$5:$K$3507,$L442)&amp;" "&amp;INDEX(ポート振替表!$L$5:$L$3507,$L442)&amp;CHAR(10)&amp;"⇔ "&amp;INDEX(ポート振替表!$H$5:$H$3507,$L442)&amp;" "&amp;INDEX(ポート振替表!$I$5:$I$3507,$L442))</f>
        <v/>
      </c>
      <c r="L442" s="47" t="str">
        <f aca="false">IFERROR(MATCH(ROW()-4,ポート振替表!$V$5:$V$3507,0),"")</f>
        <v/>
      </c>
    </row>
    <row r="443" customFormat="false" ht="16.4" hidden="false" customHeight="false" outlineLevel="0" collapsed="false">
      <c r="A443" s="32" t="str">
        <f aca="false">IF(L443="","",ROW()-4)</f>
        <v/>
      </c>
      <c r="B443" s="58" t="str">
        <f aca="false">IF(L443="","",IF(INDEX(ポート振替表!$W$5:$W$3507,$L443)="","(なし)",INDEX(ポート振替表!$W$5:$W$3507,$L443)&amp;""))</f>
        <v/>
      </c>
      <c r="C443" s="52" t="str">
        <f aca="false">IF(L443="","",INDEX(ポート振替表!$B$5:$B$3507,$L443)&amp;" "&amp;INDEX(ポート振替表!$C$5:$C$3507,$L443)&amp;"  ⇔  "&amp;INDEX(ポート振替表!$H$5:$H$3507,$L443)&amp;" "&amp;INDEX(ポート振替表!$I$5:$I$3507,$L443))</f>
        <v/>
      </c>
      <c r="D443" s="57" t="s">
        <v>158</v>
      </c>
      <c r="E443" s="59" t="str">
        <f aca="false">IF(L443="","",IF(INDEX(ポート振替表!$O$5:$O$3507,$L443)="","(未設定)",INDEX(ポート振替表!$O$5:$O$3507,$L443)&amp;""))</f>
        <v/>
      </c>
      <c r="F443" s="52" t="str">
        <f aca="false">IF(L443="","",INDEX(ポート振替表!$K$5:$K$3507,$L443)&amp;" "&amp;INDEX(ポート振替表!$L$5:$L$3507,$L443)&amp;"  ⇔  "&amp;INDEX(ポート振替表!$H$5:$H$3507,$L443)&amp;" "&amp;INDEX(ポート振替表!$I$5:$I$3507,$L443))</f>
        <v/>
      </c>
      <c r="G443" s="57" t="s">
        <v>158</v>
      </c>
      <c r="H443" s="32" t="str">
        <f aca="false">IF(L443="","",INDEX(ポート振替表!$N$5:$N$3507,$L443)&amp;"")</f>
        <v/>
      </c>
      <c r="I443" s="32" t="str">
        <f aca="false">IF(L443="","",INDEX(ポート振替表!$P$5:$P$3507,$L443)&amp;"")</f>
        <v/>
      </c>
      <c r="J443" s="60" t="str">
        <f aca="false">IF(L443="","",INDEX(ポート振替表!$M$5:$M$3507,$L443)&amp;"")</f>
        <v/>
      </c>
      <c r="K443" s="52" t="str">
        <f aca="false">IF(L443="","",E443&amp;CHAR(10)&amp;INDEX(ポート振替表!$K$5:$K$3507,$L443)&amp;" "&amp;INDEX(ポート振替表!$L$5:$L$3507,$L443)&amp;CHAR(10)&amp;"⇔ "&amp;INDEX(ポート振替表!$H$5:$H$3507,$L443)&amp;" "&amp;INDEX(ポート振替表!$I$5:$I$3507,$L443))</f>
        <v/>
      </c>
      <c r="L443" s="47" t="str">
        <f aca="false">IFERROR(MATCH(ROW()-4,ポート振替表!$V$5:$V$3507,0),"")</f>
        <v/>
      </c>
    </row>
    <row r="444" customFormat="false" ht="16.4" hidden="false" customHeight="false" outlineLevel="0" collapsed="false">
      <c r="A444" s="32" t="str">
        <f aca="false">IF(L444="","",ROW()-4)</f>
        <v/>
      </c>
      <c r="B444" s="58" t="str">
        <f aca="false">IF(L444="","",IF(INDEX(ポート振替表!$W$5:$W$3507,$L444)="","(なし)",INDEX(ポート振替表!$W$5:$W$3507,$L444)&amp;""))</f>
        <v/>
      </c>
      <c r="C444" s="52" t="str">
        <f aca="false">IF(L444="","",INDEX(ポート振替表!$B$5:$B$3507,$L444)&amp;" "&amp;INDEX(ポート振替表!$C$5:$C$3507,$L444)&amp;"  ⇔  "&amp;INDEX(ポート振替表!$H$5:$H$3507,$L444)&amp;" "&amp;INDEX(ポート振替表!$I$5:$I$3507,$L444))</f>
        <v/>
      </c>
      <c r="D444" s="57" t="s">
        <v>158</v>
      </c>
      <c r="E444" s="59" t="str">
        <f aca="false">IF(L444="","",IF(INDEX(ポート振替表!$O$5:$O$3507,$L444)="","(未設定)",INDEX(ポート振替表!$O$5:$O$3507,$L444)&amp;""))</f>
        <v/>
      </c>
      <c r="F444" s="52" t="str">
        <f aca="false">IF(L444="","",INDEX(ポート振替表!$K$5:$K$3507,$L444)&amp;" "&amp;INDEX(ポート振替表!$L$5:$L$3507,$L444)&amp;"  ⇔  "&amp;INDEX(ポート振替表!$H$5:$H$3507,$L444)&amp;" "&amp;INDEX(ポート振替表!$I$5:$I$3507,$L444))</f>
        <v/>
      </c>
      <c r="G444" s="57" t="s">
        <v>158</v>
      </c>
      <c r="H444" s="32" t="str">
        <f aca="false">IF(L444="","",INDEX(ポート振替表!$N$5:$N$3507,$L444)&amp;"")</f>
        <v/>
      </c>
      <c r="I444" s="32" t="str">
        <f aca="false">IF(L444="","",INDEX(ポート振替表!$P$5:$P$3507,$L444)&amp;"")</f>
        <v/>
      </c>
      <c r="J444" s="60" t="str">
        <f aca="false">IF(L444="","",INDEX(ポート振替表!$M$5:$M$3507,$L444)&amp;"")</f>
        <v/>
      </c>
      <c r="K444" s="52" t="str">
        <f aca="false">IF(L444="","",E444&amp;CHAR(10)&amp;INDEX(ポート振替表!$K$5:$K$3507,$L444)&amp;" "&amp;INDEX(ポート振替表!$L$5:$L$3507,$L444)&amp;CHAR(10)&amp;"⇔ "&amp;INDEX(ポート振替表!$H$5:$H$3507,$L444)&amp;" "&amp;INDEX(ポート振替表!$I$5:$I$3507,$L444))</f>
        <v/>
      </c>
      <c r="L444" s="47" t="str">
        <f aca="false">IFERROR(MATCH(ROW()-4,ポート振替表!$V$5:$V$3507,0),"")</f>
        <v/>
      </c>
    </row>
    <row r="445" customFormat="false" ht="16.4" hidden="false" customHeight="false" outlineLevel="0" collapsed="false">
      <c r="A445" s="32" t="str">
        <f aca="false">IF(L445="","",ROW()-4)</f>
        <v/>
      </c>
      <c r="B445" s="58" t="str">
        <f aca="false">IF(L445="","",IF(INDEX(ポート振替表!$W$5:$W$3507,$L445)="","(なし)",INDEX(ポート振替表!$W$5:$W$3507,$L445)&amp;""))</f>
        <v/>
      </c>
      <c r="C445" s="52" t="str">
        <f aca="false">IF(L445="","",INDEX(ポート振替表!$B$5:$B$3507,$L445)&amp;" "&amp;INDEX(ポート振替表!$C$5:$C$3507,$L445)&amp;"  ⇔  "&amp;INDEX(ポート振替表!$H$5:$H$3507,$L445)&amp;" "&amp;INDEX(ポート振替表!$I$5:$I$3507,$L445))</f>
        <v/>
      </c>
      <c r="D445" s="57" t="s">
        <v>158</v>
      </c>
      <c r="E445" s="59" t="str">
        <f aca="false">IF(L445="","",IF(INDEX(ポート振替表!$O$5:$O$3507,$L445)="","(未設定)",INDEX(ポート振替表!$O$5:$O$3507,$L445)&amp;""))</f>
        <v/>
      </c>
      <c r="F445" s="52" t="str">
        <f aca="false">IF(L445="","",INDEX(ポート振替表!$K$5:$K$3507,$L445)&amp;" "&amp;INDEX(ポート振替表!$L$5:$L$3507,$L445)&amp;"  ⇔  "&amp;INDEX(ポート振替表!$H$5:$H$3507,$L445)&amp;" "&amp;INDEX(ポート振替表!$I$5:$I$3507,$L445))</f>
        <v/>
      </c>
      <c r="G445" s="57" t="s">
        <v>158</v>
      </c>
      <c r="H445" s="32" t="str">
        <f aca="false">IF(L445="","",INDEX(ポート振替表!$N$5:$N$3507,$L445)&amp;"")</f>
        <v/>
      </c>
      <c r="I445" s="32" t="str">
        <f aca="false">IF(L445="","",INDEX(ポート振替表!$P$5:$P$3507,$L445)&amp;"")</f>
        <v/>
      </c>
      <c r="J445" s="60" t="str">
        <f aca="false">IF(L445="","",INDEX(ポート振替表!$M$5:$M$3507,$L445)&amp;"")</f>
        <v/>
      </c>
      <c r="K445" s="52" t="str">
        <f aca="false">IF(L445="","",E445&amp;CHAR(10)&amp;INDEX(ポート振替表!$K$5:$K$3507,$L445)&amp;" "&amp;INDEX(ポート振替表!$L$5:$L$3507,$L445)&amp;CHAR(10)&amp;"⇔ "&amp;INDEX(ポート振替表!$H$5:$H$3507,$L445)&amp;" "&amp;INDEX(ポート振替表!$I$5:$I$3507,$L445))</f>
        <v/>
      </c>
      <c r="L445" s="47" t="str">
        <f aca="false">IFERROR(MATCH(ROW()-4,ポート振替表!$V$5:$V$3507,0),"")</f>
        <v/>
      </c>
    </row>
    <row r="446" customFormat="false" ht="16.4" hidden="false" customHeight="false" outlineLevel="0" collapsed="false">
      <c r="A446" s="32" t="str">
        <f aca="false">IF(L446="","",ROW()-4)</f>
        <v/>
      </c>
      <c r="B446" s="58" t="str">
        <f aca="false">IF(L446="","",IF(INDEX(ポート振替表!$W$5:$W$3507,$L446)="","(なし)",INDEX(ポート振替表!$W$5:$W$3507,$L446)&amp;""))</f>
        <v/>
      </c>
      <c r="C446" s="52" t="str">
        <f aca="false">IF(L446="","",INDEX(ポート振替表!$B$5:$B$3507,$L446)&amp;" "&amp;INDEX(ポート振替表!$C$5:$C$3507,$L446)&amp;"  ⇔  "&amp;INDEX(ポート振替表!$H$5:$H$3507,$L446)&amp;" "&amp;INDEX(ポート振替表!$I$5:$I$3507,$L446))</f>
        <v/>
      </c>
      <c r="D446" s="57" t="s">
        <v>158</v>
      </c>
      <c r="E446" s="59" t="str">
        <f aca="false">IF(L446="","",IF(INDEX(ポート振替表!$O$5:$O$3507,$L446)="","(未設定)",INDEX(ポート振替表!$O$5:$O$3507,$L446)&amp;""))</f>
        <v/>
      </c>
      <c r="F446" s="52" t="str">
        <f aca="false">IF(L446="","",INDEX(ポート振替表!$K$5:$K$3507,$L446)&amp;" "&amp;INDEX(ポート振替表!$L$5:$L$3507,$L446)&amp;"  ⇔  "&amp;INDEX(ポート振替表!$H$5:$H$3507,$L446)&amp;" "&amp;INDEX(ポート振替表!$I$5:$I$3507,$L446))</f>
        <v/>
      </c>
      <c r="G446" s="57" t="s">
        <v>158</v>
      </c>
      <c r="H446" s="32" t="str">
        <f aca="false">IF(L446="","",INDEX(ポート振替表!$N$5:$N$3507,$L446)&amp;"")</f>
        <v/>
      </c>
      <c r="I446" s="32" t="str">
        <f aca="false">IF(L446="","",INDEX(ポート振替表!$P$5:$P$3507,$L446)&amp;"")</f>
        <v/>
      </c>
      <c r="J446" s="60" t="str">
        <f aca="false">IF(L446="","",INDEX(ポート振替表!$M$5:$M$3507,$L446)&amp;"")</f>
        <v/>
      </c>
      <c r="K446" s="52" t="str">
        <f aca="false">IF(L446="","",E446&amp;CHAR(10)&amp;INDEX(ポート振替表!$K$5:$K$3507,$L446)&amp;" "&amp;INDEX(ポート振替表!$L$5:$L$3507,$L446)&amp;CHAR(10)&amp;"⇔ "&amp;INDEX(ポート振替表!$H$5:$H$3507,$L446)&amp;" "&amp;INDEX(ポート振替表!$I$5:$I$3507,$L446))</f>
        <v/>
      </c>
      <c r="L446" s="47" t="str">
        <f aca="false">IFERROR(MATCH(ROW()-4,ポート振替表!$V$5:$V$3507,0),"")</f>
        <v/>
      </c>
    </row>
    <row r="447" customFormat="false" ht="16.4" hidden="false" customHeight="false" outlineLevel="0" collapsed="false">
      <c r="A447" s="32" t="str">
        <f aca="false">IF(L447="","",ROW()-4)</f>
        <v/>
      </c>
      <c r="B447" s="58" t="str">
        <f aca="false">IF(L447="","",IF(INDEX(ポート振替表!$W$5:$W$3507,$L447)="","(なし)",INDEX(ポート振替表!$W$5:$W$3507,$L447)&amp;""))</f>
        <v/>
      </c>
      <c r="C447" s="52" t="str">
        <f aca="false">IF(L447="","",INDEX(ポート振替表!$B$5:$B$3507,$L447)&amp;" "&amp;INDEX(ポート振替表!$C$5:$C$3507,$L447)&amp;"  ⇔  "&amp;INDEX(ポート振替表!$H$5:$H$3507,$L447)&amp;" "&amp;INDEX(ポート振替表!$I$5:$I$3507,$L447))</f>
        <v/>
      </c>
      <c r="D447" s="57" t="s">
        <v>158</v>
      </c>
      <c r="E447" s="59" t="str">
        <f aca="false">IF(L447="","",IF(INDEX(ポート振替表!$O$5:$O$3507,$L447)="","(未設定)",INDEX(ポート振替表!$O$5:$O$3507,$L447)&amp;""))</f>
        <v/>
      </c>
      <c r="F447" s="52" t="str">
        <f aca="false">IF(L447="","",INDEX(ポート振替表!$K$5:$K$3507,$L447)&amp;" "&amp;INDEX(ポート振替表!$L$5:$L$3507,$L447)&amp;"  ⇔  "&amp;INDEX(ポート振替表!$H$5:$H$3507,$L447)&amp;" "&amp;INDEX(ポート振替表!$I$5:$I$3507,$L447))</f>
        <v/>
      </c>
      <c r="G447" s="57" t="s">
        <v>158</v>
      </c>
      <c r="H447" s="32" t="str">
        <f aca="false">IF(L447="","",INDEX(ポート振替表!$N$5:$N$3507,$L447)&amp;"")</f>
        <v/>
      </c>
      <c r="I447" s="32" t="str">
        <f aca="false">IF(L447="","",INDEX(ポート振替表!$P$5:$P$3507,$L447)&amp;"")</f>
        <v/>
      </c>
      <c r="J447" s="60" t="str">
        <f aca="false">IF(L447="","",INDEX(ポート振替表!$M$5:$M$3507,$L447)&amp;"")</f>
        <v/>
      </c>
      <c r="K447" s="52" t="str">
        <f aca="false">IF(L447="","",E447&amp;CHAR(10)&amp;INDEX(ポート振替表!$K$5:$K$3507,$L447)&amp;" "&amp;INDEX(ポート振替表!$L$5:$L$3507,$L447)&amp;CHAR(10)&amp;"⇔ "&amp;INDEX(ポート振替表!$H$5:$H$3507,$L447)&amp;" "&amp;INDEX(ポート振替表!$I$5:$I$3507,$L447))</f>
        <v/>
      </c>
      <c r="L447" s="47" t="str">
        <f aca="false">IFERROR(MATCH(ROW()-4,ポート振替表!$V$5:$V$3507,0),"")</f>
        <v/>
      </c>
    </row>
    <row r="448" customFormat="false" ht="16.4" hidden="false" customHeight="false" outlineLevel="0" collapsed="false">
      <c r="A448" s="32" t="str">
        <f aca="false">IF(L448="","",ROW()-4)</f>
        <v/>
      </c>
      <c r="B448" s="58" t="str">
        <f aca="false">IF(L448="","",IF(INDEX(ポート振替表!$W$5:$W$3507,$L448)="","(なし)",INDEX(ポート振替表!$W$5:$W$3507,$L448)&amp;""))</f>
        <v/>
      </c>
      <c r="C448" s="52" t="str">
        <f aca="false">IF(L448="","",INDEX(ポート振替表!$B$5:$B$3507,$L448)&amp;" "&amp;INDEX(ポート振替表!$C$5:$C$3507,$L448)&amp;"  ⇔  "&amp;INDEX(ポート振替表!$H$5:$H$3507,$L448)&amp;" "&amp;INDEX(ポート振替表!$I$5:$I$3507,$L448))</f>
        <v/>
      </c>
      <c r="D448" s="57" t="s">
        <v>158</v>
      </c>
      <c r="E448" s="59" t="str">
        <f aca="false">IF(L448="","",IF(INDEX(ポート振替表!$O$5:$O$3507,$L448)="","(未設定)",INDEX(ポート振替表!$O$5:$O$3507,$L448)&amp;""))</f>
        <v/>
      </c>
      <c r="F448" s="52" t="str">
        <f aca="false">IF(L448="","",INDEX(ポート振替表!$K$5:$K$3507,$L448)&amp;" "&amp;INDEX(ポート振替表!$L$5:$L$3507,$L448)&amp;"  ⇔  "&amp;INDEX(ポート振替表!$H$5:$H$3507,$L448)&amp;" "&amp;INDEX(ポート振替表!$I$5:$I$3507,$L448))</f>
        <v/>
      </c>
      <c r="G448" s="57" t="s">
        <v>158</v>
      </c>
      <c r="H448" s="32" t="str">
        <f aca="false">IF(L448="","",INDEX(ポート振替表!$N$5:$N$3507,$L448)&amp;"")</f>
        <v/>
      </c>
      <c r="I448" s="32" t="str">
        <f aca="false">IF(L448="","",INDEX(ポート振替表!$P$5:$P$3507,$L448)&amp;"")</f>
        <v/>
      </c>
      <c r="J448" s="60" t="str">
        <f aca="false">IF(L448="","",INDEX(ポート振替表!$M$5:$M$3507,$L448)&amp;"")</f>
        <v/>
      </c>
      <c r="K448" s="52" t="str">
        <f aca="false">IF(L448="","",E448&amp;CHAR(10)&amp;INDEX(ポート振替表!$K$5:$K$3507,$L448)&amp;" "&amp;INDEX(ポート振替表!$L$5:$L$3507,$L448)&amp;CHAR(10)&amp;"⇔ "&amp;INDEX(ポート振替表!$H$5:$H$3507,$L448)&amp;" "&amp;INDEX(ポート振替表!$I$5:$I$3507,$L448))</f>
        <v/>
      </c>
      <c r="L448" s="47" t="str">
        <f aca="false">IFERROR(MATCH(ROW()-4,ポート振替表!$V$5:$V$3507,0),"")</f>
        <v/>
      </c>
    </row>
    <row r="449" customFormat="false" ht="16.4" hidden="false" customHeight="false" outlineLevel="0" collapsed="false">
      <c r="A449" s="32" t="str">
        <f aca="false">IF(L449="","",ROW()-4)</f>
        <v/>
      </c>
      <c r="B449" s="58" t="str">
        <f aca="false">IF(L449="","",IF(INDEX(ポート振替表!$W$5:$W$3507,$L449)="","(なし)",INDEX(ポート振替表!$W$5:$W$3507,$L449)&amp;""))</f>
        <v/>
      </c>
      <c r="C449" s="52" t="str">
        <f aca="false">IF(L449="","",INDEX(ポート振替表!$B$5:$B$3507,$L449)&amp;" "&amp;INDEX(ポート振替表!$C$5:$C$3507,$L449)&amp;"  ⇔  "&amp;INDEX(ポート振替表!$H$5:$H$3507,$L449)&amp;" "&amp;INDEX(ポート振替表!$I$5:$I$3507,$L449))</f>
        <v/>
      </c>
      <c r="D449" s="57" t="s">
        <v>158</v>
      </c>
      <c r="E449" s="59" t="str">
        <f aca="false">IF(L449="","",IF(INDEX(ポート振替表!$O$5:$O$3507,$L449)="","(未設定)",INDEX(ポート振替表!$O$5:$O$3507,$L449)&amp;""))</f>
        <v/>
      </c>
      <c r="F449" s="52" t="str">
        <f aca="false">IF(L449="","",INDEX(ポート振替表!$K$5:$K$3507,$L449)&amp;" "&amp;INDEX(ポート振替表!$L$5:$L$3507,$L449)&amp;"  ⇔  "&amp;INDEX(ポート振替表!$H$5:$H$3507,$L449)&amp;" "&amp;INDEX(ポート振替表!$I$5:$I$3507,$L449))</f>
        <v/>
      </c>
      <c r="G449" s="57" t="s">
        <v>158</v>
      </c>
      <c r="H449" s="32" t="str">
        <f aca="false">IF(L449="","",INDEX(ポート振替表!$N$5:$N$3507,$L449)&amp;"")</f>
        <v/>
      </c>
      <c r="I449" s="32" t="str">
        <f aca="false">IF(L449="","",INDEX(ポート振替表!$P$5:$P$3507,$L449)&amp;"")</f>
        <v/>
      </c>
      <c r="J449" s="60" t="str">
        <f aca="false">IF(L449="","",INDEX(ポート振替表!$M$5:$M$3507,$L449)&amp;"")</f>
        <v/>
      </c>
      <c r="K449" s="52" t="str">
        <f aca="false">IF(L449="","",E449&amp;CHAR(10)&amp;INDEX(ポート振替表!$K$5:$K$3507,$L449)&amp;" "&amp;INDEX(ポート振替表!$L$5:$L$3507,$L449)&amp;CHAR(10)&amp;"⇔ "&amp;INDEX(ポート振替表!$H$5:$H$3507,$L449)&amp;" "&amp;INDEX(ポート振替表!$I$5:$I$3507,$L449))</f>
        <v/>
      </c>
      <c r="L449" s="47" t="str">
        <f aca="false">IFERROR(MATCH(ROW()-4,ポート振替表!$V$5:$V$3507,0),"")</f>
        <v/>
      </c>
    </row>
    <row r="450" customFormat="false" ht="16.4" hidden="false" customHeight="false" outlineLevel="0" collapsed="false">
      <c r="A450" s="32" t="str">
        <f aca="false">IF(L450="","",ROW()-4)</f>
        <v/>
      </c>
      <c r="B450" s="58" t="str">
        <f aca="false">IF(L450="","",IF(INDEX(ポート振替表!$W$5:$W$3507,$L450)="","(なし)",INDEX(ポート振替表!$W$5:$W$3507,$L450)&amp;""))</f>
        <v/>
      </c>
      <c r="C450" s="52" t="str">
        <f aca="false">IF(L450="","",INDEX(ポート振替表!$B$5:$B$3507,$L450)&amp;" "&amp;INDEX(ポート振替表!$C$5:$C$3507,$L450)&amp;"  ⇔  "&amp;INDEX(ポート振替表!$H$5:$H$3507,$L450)&amp;" "&amp;INDEX(ポート振替表!$I$5:$I$3507,$L450))</f>
        <v/>
      </c>
      <c r="D450" s="57" t="s">
        <v>158</v>
      </c>
      <c r="E450" s="59" t="str">
        <f aca="false">IF(L450="","",IF(INDEX(ポート振替表!$O$5:$O$3507,$L450)="","(未設定)",INDEX(ポート振替表!$O$5:$O$3507,$L450)&amp;""))</f>
        <v/>
      </c>
      <c r="F450" s="52" t="str">
        <f aca="false">IF(L450="","",INDEX(ポート振替表!$K$5:$K$3507,$L450)&amp;" "&amp;INDEX(ポート振替表!$L$5:$L$3507,$L450)&amp;"  ⇔  "&amp;INDEX(ポート振替表!$H$5:$H$3507,$L450)&amp;" "&amp;INDEX(ポート振替表!$I$5:$I$3507,$L450))</f>
        <v/>
      </c>
      <c r="G450" s="57" t="s">
        <v>158</v>
      </c>
      <c r="H450" s="32" t="str">
        <f aca="false">IF(L450="","",INDEX(ポート振替表!$N$5:$N$3507,$L450)&amp;"")</f>
        <v/>
      </c>
      <c r="I450" s="32" t="str">
        <f aca="false">IF(L450="","",INDEX(ポート振替表!$P$5:$P$3507,$L450)&amp;"")</f>
        <v/>
      </c>
      <c r="J450" s="60" t="str">
        <f aca="false">IF(L450="","",INDEX(ポート振替表!$M$5:$M$3507,$L450)&amp;"")</f>
        <v/>
      </c>
      <c r="K450" s="52" t="str">
        <f aca="false">IF(L450="","",E450&amp;CHAR(10)&amp;INDEX(ポート振替表!$K$5:$K$3507,$L450)&amp;" "&amp;INDEX(ポート振替表!$L$5:$L$3507,$L450)&amp;CHAR(10)&amp;"⇔ "&amp;INDEX(ポート振替表!$H$5:$H$3507,$L450)&amp;" "&amp;INDEX(ポート振替表!$I$5:$I$3507,$L450))</f>
        <v/>
      </c>
      <c r="L450" s="47" t="str">
        <f aca="false">IFERROR(MATCH(ROW()-4,ポート振替表!$V$5:$V$3507,0),"")</f>
        <v/>
      </c>
    </row>
    <row r="451" customFormat="false" ht="16.4" hidden="false" customHeight="false" outlineLevel="0" collapsed="false">
      <c r="A451" s="32" t="str">
        <f aca="false">IF(L451="","",ROW()-4)</f>
        <v/>
      </c>
      <c r="B451" s="58" t="str">
        <f aca="false">IF(L451="","",IF(INDEX(ポート振替表!$W$5:$W$3507,$L451)="","(なし)",INDEX(ポート振替表!$W$5:$W$3507,$L451)&amp;""))</f>
        <v/>
      </c>
      <c r="C451" s="52" t="str">
        <f aca="false">IF(L451="","",INDEX(ポート振替表!$B$5:$B$3507,$L451)&amp;" "&amp;INDEX(ポート振替表!$C$5:$C$3507,$L451)&amp;"  ⇔  "&amp;INDEX(ポート振替表!$H$5:$H$3507,$L451)&amp;" "&amp;INDEX(ポート振替表!$I$5:$I$3507,$L451))</f>
        <v/>
      </c>
      <c r="D451" s="57" t="s">
        <v>158</v>
      </c>
      <c r="E451" s="59" t="str">
        <f aca="false">IF(L451="","",IF(INDEX(ポート振替表!$O$5:$O$3507,$L451)="","(未設定)",INDEX(ポート振替表!$O$5:$O$3507,$L451)&amp;""))</f>
        <v/>
      </c>
      <c r="F451" s="52" t="str">
        <f aca="false">IF(L451="","",INDEX(ポート振替表!$K$5:$K$3507,$L451)&amp;" "&amp;INDEX(ポート振替表!$L$5:$L$3507,$L451)&amp;"  ⇔  "&amp;INDEX(ポート振替表!$H$5:$H$3507,$L451)&amp;" "&amp;INDEX(ポート振替表!$I$5:$I$3507,$L451))</f>
        <v/>
      </c>
      <c r="G451" s="57" t="s">
        <v>158</v>
      </c>
      <c r="H451" s="32" t="str">
        <f aca="false">IF(L451="","",INDEX(ポート振替表!$N$5:$N$3507,$L451)&amp;"")</f>
        <v/>
      </c>
      <c r="I451" s="32" t="str">
        <f aca="false">IF(L451="","",INDEX(ポート振替表!$P$5:$P$3507,$L451)&amp;"")</f>
        <v/>
      </c>
      <c r="J451" s="60" t="str">
        <f aca="false">IF(L451="","",INDEX(ポート振替表!$M$5:$M$3507,$L451)&amp;"")</f>
        <v/>
      </c>
      <c r="K451" s="52" t="str">
        <f aca="false">IF(L451="","",E451&amp;CHAR(10)&amp;INDEX(ポート振替表!$K$5:$K$3507,$L451)&amp;" "&amp;INDEX(ポート振替表!$L$5:$L$3507,$L451)&amp;CHAR(10)&amp;"⇔ "&amp;INDEX(ポート振替表!$H$5:$H$3507,$L451)&amp;" "&amp;INDEX(ポート振替表!$I$5:$I$3507,$L451))</f>
        <v/>
      </c>
      <c r="L451" s="47" t="str">
        <f aca="false">IFERROR(MATCH(ROW()-4,ポート振替表!$V$5:$V$3507,0),"")</f>
        <v/>
      </c>
    </row>
    <row r="452" customFormat="false" ht="16.4" hidden="false" customHeight="false" outlineLevel="0" collapsed="false">
      <c r="A452" s="32" t="str">
        <f aca="false">IF(L452="","",ROW()-4)</f>
        <v/>
      </c>
      <c r="B452" s="58" t="str">
        <f aca="false">IF(L452="","",IF(INDEX(ポート振替表!$W$5:$W$3507,$L452)="","(なし)",INDEX(ポート振替表!$W$5:$W$3507,$L452)&amp;""))</f>
        <v/>
      </c>
      <c r="C452" s="52" t="str">
        <f aca="false">IF(L452="","",INDEX(ポート振替表!$B$5:$B$3507,$L452)&amp;" "&amp;INDEX(ポート振替表!$C$5:$C$3507,$L452)&amp;"  ⇔  "&amp;INDEX(ポート振替表!$H$5:$H$3507,$L452)&amp;" "&amp;INDEX(ポート振替表!$I$5:$I$3507,$L452))</f>
        <v/>
      </c>
      <c r="D452" s="57" t="s">
        <v>158</v>
      </c>
      <c r="E452" s="59" t="str">
        <f aca="false">IF(L452="","",IF(INDEX(ポート振替表!$O$5:$O$3507,$L452)="","(未設定)",INDEX(ポート振替表!$O$5:$O$3507,$L452)&amp;""))</f>
        <v/>
      </c>
      <c r="F452" s="52" t="str">
        <f aca="false">IF(L452="","",INDEX(ポート振替表!$K$5:$K$3507,$L452)&amp;" "&amp;INDEX(ポート振替表!$L$5:$L$3507,$L452)&amp;"  ⇔  "&amp;INDEX(ポート振替表!$H$5:$H$3507,$L452)&amp;" "&amp;INDEX(ポート振替表!$I$5:$I$3507,$L452))</f>
        <v/>
      </c>
      <c r="G452" s="57" t="s">
        <v>158</v>
      </c>
      <c r="H452" s="32" t="str">
        <f aca="false">IF(L452="","",INDEX(ポート振替表!$N$5:$N$3507,$L452)&amp;"")</f>
        <v/>
      </c>
      <c r="I452" s="32" t="str">
        <f aca="false">IF(L452="","",INDEX(ポート振替表!$P$5:$P$3507,$L452)&amp;"")</f>
        <v/>
      </c>
      <c r="J452" s="60" t="str">
        <f aca="false">IF(L452="","",INDEX(ポート振替表!$M$5:$M$3507,$L452)&amp;"")</f>
        <v/>
      </c>
      <c r="K452" s="52" t="str">
        <f aca="false">IF(L452="","",E452&amp;CHAR(10)&amp;INDEX(ポート振替表!$K$5:$K$3507,$L452)&amp;" "&amp;INDEX(ポート振替表!$L$5:$L$3507,$L452)&amp;CHAR(10)&amp;"⇔ "&amp;INDEX(ポート振替表!$H$5:$H$3507,$L452)&amp;" "&amp;INDEX(ポート振替表!$I$5:$I$3507,$L452))</f>
        <v/>
      </c>
      <c r="L452" s="47" t="str">
        <f aca="false">IFERROR(MATCH(ROW()-4,ポート振替表!$V$5:$V$3507,0),"")</f>
        <v/>
      </c>
    </row>
    <row r="453" customFormat="false" ht="16.4" hidden="false" customHeight="false" outlineLevel="0" collapsed="false">
      <c r="A453" s="32" t="str">
        <f aca="false">IF(L453="","",ROW()-4)</f>
        <v/>
      </c>
      <c r="B453" s="58" t="str">
        <f aca="false">IF(L453="","",IF(INDEX(ポート振替表!$W$5:$W$3507,$L453)="","(なし)",INDEX(ポート振替表!$W$5:$W$3507,$L453)&amp;""))</f>
        <v/>
      </c>
      <c r="C453" s="52" t="str">
        <f aca="false">IF(L453="","",INDEX(ポート振替表!$B$5:$B$3507,$L453)&amp;" "&amp;INDEX(ポート振替表!$C$5:$C$3507,$L453)&amp;"  ⇔  "&amp;INDEX(ポート振替表!$H$5:$H$3507,$L453)&amp;" "&amp;INDEX(ポート振替表!$I$5:$I$3507,$L453))</f>
        <v/>
      </c>
      <c r="D453" s="57" t="s">
        <v>158</v>
      </c>
      <c r="E453" s="59" t="str">
        <f aca="false">IF(L453="","",IF(INDEX(ポート振替表!$O$5:$O$3507,$L453)="","(未設定)",INDEX(ポート振替表!$O$5:$O$3507,$L453)&amp;""))</f>
        <v/>
      </c>
      <c r="F453" s="52" t="str">
        <f aca="false">IF(L453="","",INDEX(ポート振替表!$K$5:$K$3507,$L453)&amp;" "&amp;INDEX(ポート振替表!$L$5:$L$3507,$L453)&amp;"  ⇔  "&amp;INDEX(ポート振替表!$H$5:$H$3507,$L453)&amp;" "&amp;INDEX(ポート振替表!$I$5:$I$3507,$L453))</f>
        <v/>
      </c>
      <c r="G453" s="57" t="s">
        <v>158</v>
      </c>
      <c r="H453" s="32" t="str">
        <f aca="false">IF(L453="","",INDEX(ポート振替表!$N$5:$N$3507,$L453)&amp;"")</f>
        <v/>
      </c>
      <c r="I453" s="32" t="str">
        <f aca="false">IF(L453="","",INDEX(ポート振替表!$P$5:$P$3507,$L453)&amp;"")</f>
        <v/>
      </c>
      <c r="J453" s="60" t="str">
        <f aca="false">IF(L453="","",INDEX(ポート振替表!$M$5:$M$3507,$L453)&amp;"")</f>
        <v/>
      </c>
      <c r="K453" s="52" t="str">
        <f aca="false">IF(L453="","",E453&amp;CHAR(10)&amp;INDEX(ポート振替表!$K$5:$K$3507,$L453)&amp;" "&amp;INDEX(ポート振替表!$L$5:$L$3507,$L453)&amp;CHAR(10)&amp;"⇔ "&amp;INDEX(ポート振替表!$H$5:$H$3507,$L453)&amp;" "&amp;INDEX(ポート振替表!$I$5:$I$3507,$L453))</f>
        <v/>
      </c>
      <c r="L453" s="47" t="str">
        <f aca="false">IFERROR(MATCH(ROW()-4,ポート振替表!$V$5:$V$3507,0),"")</f>
        <v/>
      </c>
    </row>
    <row r="454" customFormat="false" ht="16.4" hidden="false" customHeight="false" outlineLevel="0" collapsed="false">
      <c r="A454" s="32" t="str">
        <f aca="false">IF(L454="","",ROW()-4)</f>
        <v/>
      </c>
      <c r="B454" s="58" t="str">
        <f aca="false">IF(L454="","",IF(INDEX(ポート振替表!$W$5:$W$3507,$L454)="","(なし)",INDEX(ポート振替表!$W$5:$W$3507,$L454)&amp;""))</f>
        <v/>
      </c>
      <c r="C454" s="52" t="str">
        <f aca="false">IF(L454="","",INDEX(ポート振替表!$B$5:$B$3507,$L454)&amp;" "&amp;INDEX(ポート振替表!$C$5:$C$3507,$L454)&amp;"  ⇔  "&amp;INDEX(ポート振替表!$H$5:$H$3507,$L454)&amp;" "&amp;INDEX(ポート振替表!$I$5:$I$3507,$L454))</f>
        <v/>
      </c>
      <c r="D454" s="57" t="s">
        <v>158</v>
      </c>
      <c r="E454" s="59" t="str">
        <f aca="false">IF(L454="","",IF(INDEX(ポート振替表!$O$5:$O$3507,$L454)="","(未設定)",INDEX(ポート振替表!$O$5:$O$3507,$L454)&amp;""))</f>
        <v/>
      </c>
      <c r="F454" s="52" t="str">
        <f aca="false">IF(L454="","",INDEX(ポート振替表!$K$5:$K$3507,$L454)&amp;" "&amp;INDEX(ポート振替表!$L$5:$L$3507,$L454)&amp;"  ⇔  "&amp;INDEX(ポート振替表!$H$5:$H$3507,$L454)&amp;" "&amp;INDEX(ポート振替表!$I$5:$I$3507,$L454))</f>
        <v/>
      </c>
      <c r="G454" s="57" t="s">
        <v>158</v>
      </c>
      <c r="H454" s="32" t="str">
        <f aca="false">IF(L454="","",INDEX(ポート振替表!$N$5:$N$3507,$L454)&amp;"")</f>
        <v/>
      </c>
      <c r="I454" s="32" t="str">
        <f aca="false">IF(L454="","",INDEX(ポート振替表!$P$5:$P$3507,$L454)&amp;"")</f>
        <v/>
      </c>
      <c r="J454" s="60" t="str">
        <f aca="false">IF(L454="","",INDEX(ポート振替表!$M$5:$M$3507,$L454)&amp;"")</f>
        <v/>
      </c>
      <c r="K454" s="52" t="str">
        <f aca="false">IF(L454="","",E454&amp;CHAR(10)&amp;INDEX(ポート振替表!$K$5:$K$3507,$L454)&amp;" "&amp;INDEX(ポート振替表!$L$5:$L$3507,$L454)&amp;CHAR(10)&amp;"⇔ "&amp;INDEX(ポート振替表!$H$5:$H$3507,$L454)&amp;" "&amp;INDEX(ポート振替表!$I$5:$I$3507,$L454))</f>
        <v/>
      </c>
      <c r="L454" s="47" t="str">
        <f aca="false">IFERROR(MATCH(ROW()-4,ポート振替表!$V$5:$V$3507,0),"")</f>
        <v/>
      </c>
    </row>
    <row r="455" customFormat="false" ht="16.4" hidden="false" customHeight="false" outlineLevel="0" collapsed="false">
      <c r="A455" s="32" t="str">
        <f aca="false">IF(L455="","",ROW()-4)</f>
        <v/>
      </c>
      <c r="B455" s="58" t="str">
        <f aca="false">IF(L455="","",IF(INDEX(ポート振替表!$W$5:$W$3507,$L455)="","(なし)",INDEX(ポート振替表!$W$5:$W$3507,$L455)&amp;""))</f>
        <v/>
      </c>
      <c r="C455" s="52" t="str">
        <f aca="false">IF(L455="","",INDEX(ポート振替表!$B$5:$B$3507,$L455)&amp;" "&amp;INDEX(ポート振替表!$C$5:$C$3507,$L455)&amp;"  ⇔  "&amp;INDEX(ポート振替表!$H$5:$H$3507,$L455)&amp;" "&amp;INDEX(ポート振替表!$I$5:$I$3507,$L455))</f>
        <v/>
      </c>
      <c r="D455" s="57" t="s">
        <v>158</v>
      </c>
      <c r="E455" s="59" t="str">
        <f aca="false">IF(L455="","",IF(INDEX(ポート振替表!$O$5:$O$3507,$L455)="","(未設定)",INDEX(ポート振替表!$O$5:$O$3507,$L455)&amp;""))</f>
        <v/>
      </c>
      <c r="F455" s="52" t="str">
        <f aca="false">IF(L455="","",INDEX(ポート振替表!$K$5:$K$3507,$L455)&amp;" "&amp;INDEX(ポート振替表!$L$5:$L$3507,$L455)&amp;"  ⇔  "&amp;INDEX(ポート振替表!$H$5:$H$3507,$L455)&amp;" "&amp;INDEX(ポート振替表!$I$5:$I$3507,$L455))</f>
        <v/>
      </c>
      <c r="G455" s="57" t="s">
        <v>158</v>
      </c>
      <c r="H455" s="32" t="str">
        <f aca="false">IF(L455="","",INDEX(ポート振替表!$N$5:$N$3507,$L455)&amp;"")</f>
        <v/>
      </c>
      <c r="I455" s="32" t="str">
        <f aca="false">IF(L455="","",INDEX(ポート振替表!$P$5:$P$3507,$L455)&amp;"")</f>
        <v/>
      </c>
      <c r="J455" s="60" t="str">
        <f aca="false">IF(L455="","",INDEX(ポート振替表!$M$5:$M$3507,$L455)&amp;"")</f>
        <v/>
      </c>
      <c r="K455" s="52" t="str">
        <f aca="false">IF(L455="","",E455&amp;CHAR(10)&amp;INDEX(ポート振替表!$K$5:$K$3507,$L455)&amp;" "&amp;INDEX(ポート振替表!$L$5:$L$3507,$L455)&amp;CHAR(10)&amp;"⇔ "&amp;INDEX(ポート振替表!$H$5:$H$3507,$L455)&amp;" "&amp;INDEX(ポート振替表!$I$5:$I$3507,$L455))</f>
        <v/>
      </c>
      <c r="L455" s="47" t="str">
        <f aca="false">IFERROR(MATCH(ROW()-4,ポート振替表!$V$5:$V$3507,0),"")</f>
        <v/>
      </c>
    </row>
    <row r="456" customFormat="false" ht="16.4" hidden="false" customHeight="false" outlineLevel="0" collapsed="false">
      <c r="A456" s="32" t="str">
        <f aca="false">IF(L456="","",ROW()-4)</f>
        <v/>
      </c>
      <c r="B456" s="58" t="str">
        <f aca="false">IF(L456="","",IF(INDEX(ポート振替表!$W$5:$W$3507,$L456)="","(なし)",INDEX(ポート振替表!$W$5:$W$3507,$L456)&amp;""))</f>
        <v/>
      </c>
      <c r="C456" s="52" t="str">
        <f aca="false">IF(L456="","",INDEX(ポート振替表!$B$5:$B$3507,$L456)&amp;" "&amp;INDEX(ポート振替表!$C$5:$C$3507,$L456)&amp;"  ⇔  "&amp;INDEX(ポート振替表!$H$5:$H$3507,$L456)&amp;" "&amp;INDEX(ポート振替表!$I$5:$I$3507,$L456))</f>
        <v/>
      </c>
      <c r="D456" s="57" t="s">
        <v>158</v>
      </c>
      <c r="E456" s="59" t="str">
        <f aca="false">IF(L456="","",IF(INDEX(ポート振替表!$O$5:$O$3507,$L456)="","(未設定)",INDEX(ポート振替表!$O$5:$O$3507,$L456)&amp;""))</f>
        <v/>
      </c>
      <c r="F456" s="52" t="str">
        <f aca="false">IF(L456="","",INDEX(ポート振替表!$K$5:$K$3507,$L456)&amp;" "&amp;INDEX(ポート振替表!$L$5:$L$3507,$L456)&amp;"  ⇔  "&amp;INDEX(ポート振替表!$H$5:$H$3507,$L456)&amp;" "&amp;INDEX(ポート振替表!$I$5:$I$3507,$L456))</f>
        <v/>
      </c>
      <c r="G456" s="57" t="s">
        <v>158</v>
      </c>
      <c r="H456" s="32" t="str">
        <f aca="false">IF(L456="","",INDEX(ポート振替表!$N$5:$N$3507,$L456)&amp;"")</f>
        <v/>
      </c>
      <c r="I456" s="32" t="str">
        <f aca="false">IF(L456="","",INDEX(ポート振替表!$P$5:$P$3507,$L456)&amp;"")</f>
        <v/>
      </c>
      <c r="J456" s="60" t="str">
        <f aca="false">IF(L456="","",INDEX(ポート振替表!$M$5:$M$3507,$L456)&amp;"")</f>
        <v/>
      </c>
      <c r="K456" s="52" t="str">
        <f aca="false">IF(L456="","",E456&amp;CHAR(10)&amp;INDEX(ポート振替表!$K$5:$K$3507,$L456)&amp;" "&amp;INDEX(ポート振替表!$L$5:$L$3507,$L456)&amp;CHAR(10)&amp;"⇔ "&amp;INDEX(ポート振替表!$H$5:$H$3507,$L456)&amp;" "&amp;INDEX(ポート振替表!$I$5:$I$3507,$L456))</f>
        <v/>
      </c>
      <c r="L456" s="47" t="str">
        <f aca="false">IFERROR(MATCH(ROW()-4,ポート振替表!$V$5:$V$3507,0),"")</f>
        <v/>
      </c>
    </row>
    <row r="457" customFormat="false" ht="16.4" hidden="false" customHeight="false" outlineLevel="0" collapsed="false">
      <c r="A457" s="32" t="str">
        <f aca="false">IF(L457="","",ROW()-4)</f>
        <v/>
      </c>
      <c r="B457" s="58" t="str">
        <f aca="false">IF(L457="","",IF(INDEX(ポート振替表!$W$5:$W$3507,$L457)="","(なし)",INDEX(ポート振替表!$W$5:$W$3507,$L457)&amp;""))</f>
        <v/>
      </c>
      <c r="C457" s="52" t="str">
        <f aca="false">IF(L457="","",INDEX(ポート振替表!$B$5:$B$3507,$L457)&amp;" "&amp;INDEX(ポート振替表!$C$5:$C$3507,$L457)&amp;"  ⇔  "&amp;INDEX(ポート振替表!$H$5:$H$3507,$L457)&amp;" "&amp;INDEX(ポート振替表!$I$5:$I$3507,$L457))</f>
        <v/>
      </c>
      <c r="D457" s="57" t="s">
        <v>158</v>
      </c>
      <c r="E457" s="59" t="str">
        <f aca="false">IF(L457="","",IF(INDEX(ポート振替表!$O$5:$O$3507,$L457)="","(未設定)",INDEX(ポート振替表!$O$5:$O$3507,$L457)&amp;""))</f>
        <v/>
      </c>
      <c r="F457" s="52" t="str">
        <f aca="false">IF(L457="","",INDEX(ポート振替表!$K$5:$K$3507,$L457)&amp;" "&amp;INDEX(ポート振替表!$L$5:$L$3507,$L457)&amp;"  ⇔  "&amp;INDEX(ポート振替表!$H$5:$H$3507,$L457)&amp;" "&amp;INDEX(ポート振替表!$I$5:$I$3507,$L457))</f>
        <v/>
      </c>
      <c r="G457" s="57" t="s">
        <v>158</v>
      </c>
      <c r="H457" s="32" t="str">
        <f aca="false">IF(L457="","",INDEX(ポート振替表!$N$5:$N$3507,$L457)&amp;"")</f>
        <v/>
      </c>
      <c r="I457" s="32" t="str">
        <f aca="false">IF(L457="","",INDEX(ポート振替表!$P$5:$P$3507,$L457)&amp;"")</f>
        <v/>
      </c>
      <c r="J457" s="60" t="str">
        <f aca="false">IF(L457="","",INDEX(ポート振替表!$M$5:$M$3507,$L457)&amp;"")</f>
        <v/>
      </c>
      <c r="K457" s="52" t="str">
        <f aca="false">IF(L457="","",E457&amp;CHAR(10)&amp;INDEX(ポート振替表!$K$5:$K$3507,$L457)&amp;" "&amp;INDEX(ポート振替表!$L$5:$L$3507,$L457)&amp;CHAR(10)&amp;"⇔ "&amp;INDEX(ポート振替表!$H$5:$H$3507,$L457)&amp;" "&amp;INDEX(ポート振替表!$I$5:$I$3507,$L457))</f>
        <v/>
      </c>
      <c r="L457" s="47" t="str">
        <f aca="false">IFERROR(MATCH(ROW()-4,ポート振替表!$V$5:$V$3507,0),"")</f>
        <v/>
      </c>
    </row>
    <row r="458" customFormat="false" ht="16.4" hidden="false" customHeight="false" outlineLevel="0" collapsed="false">
      <c r="A458" s="32" t="str">
        <f aca="false">IF(L458="","",ROW()-4)</f>
        <v/>
      </c>
      <c r="B458" s="58" t="str">
        <f aca="false">IF(L458="","",IF(INDEX(ポート振替表!$W$5:$W$3507,$L458)="","(なし)",INDEX(ポート振替表!$W$5:$W$3507,$L458)&amp;""))</f>
        <v/>
      </c>
      <c r="C458" s="52" t="str">
        <f aca="false">IF(L458="","",INDEX(ポート振替表!$B$5:$B$3507,$L458)&amp;" "&amp;INDEX(ポート振替表!$C$5:$C$3507,$L458)&amp;"  ⇔  "&amp;INDEX(ポート振替表!$H$5:$H$3507,$L458)&amp;" "&amp;INDEX(ポート振替表!$I$5:$I$3507,$L458))</f>
        <v/>
      </c>
      <c r="D458" s="57" t="s">
        <v>158</v>
      </c>
      <c r="E458" s="59" t="str">
        <f aca="false">IF(L458="","",IF(INDEX(ポート振替表!$O$5:$O$3507,$L458)="","(未設定)",INDEX(ポート振替表!$O$5:$O$3507,$L458)&amp;""))</f>
        <v/>
      </c>
      <c r="F458" s="52" t="str">
        <f aca="false">IF(L458="","",INDEX(ポート振替表!$K$5:$K$3507,$L458)&amp;" "&amp;INDEX(ポート振替表!$L$5:$L$3507,$L458)&amp;"  ⇔  "&amp;INDEX(ポート振替表!$H$5:$H$3507,$L458)&amp;" "&amp;INDEX(ポート振替表!$I$5:$I$3507,$L458))</f>
        <v/>
      </c>
      <c r="G458" s="57" t="s">
        <v>158</v>
      </c>
      <c r="H458" s="32" t="str">
        <f aca="false">IF(L458="","",INDEX(ポート振替表!$N$5:$N$3507,$L458)&amp;"")</f>
        <v/>
      </c>
      <c r="I458" s="32" t="str">
        <f aca="false">IF(L458="","",INDEX(ポート振替表!$P$5:$P$3507,$L458)&amp;"")</f>
        <v/>
      </c>
      <c r="J458" s="60" t="str">
        <f aca="false">IF(L458="","",INDEX(ポート振替表!$M$5:$M$3507,$L458)&amp;"")</f>
        <v/>
      </c>
      <c r="K458" s="52" t="str">
        <f aca="false">IF(L458="","",E458&amp;CHAR(10)&amp;INDEX(ポート振替表!$K$5:$K$3507,$L458)&amp;" "&amp;INDEX(ポート振替表!$L$5:$L$3507,$L458)&amp;CHAR(10)&amp;"⇔ "&amp;INDEX(ポート振替表!$H$5:$H$3507,$L458)&amp;" "&amp;INDEX(ポート振替表!$I$5:$I$3507,$L458))</f>
        <v/>
      </c>
      <c r="L458" s="47" t="str">
        <f aca="false">IFERROR(MATCH(ROW()-4,ポート振替表!$V$5:$V$3507,0),"")</f>
        <v/>
      </c>
    </row>
    <row r="459" customFormat="false" ht="16.4" hidden="false" customHeight="false" outlineLevel="0" collapsed="false">
      <c r="A459" s="32" t="str">
        <f aca="false">IF(L459="","",ROW()-4)</f>
        <v/>
      </c>
      <c r="B459" s="58" t="str">
        <f aca="false">IF(L459="","",IF(INDEX(ポート振替表!$W$5:$W$3507,$L459)="","(なし)",INDEX(ポート振替表!$W$5:$W$3507,$L459)&amp;""))</f>
        <v/>
      </c>
      <c r="C459" s="52" t="str">
        <f aca="false">IF(L459="","",INDEX(ポート振替表!$B$5:$B$3507,$L459)&amp;" "&amp;INDEX(ポート振替表!$C$5:$C$3507,$L459)&amp;"  ⇔  "&amp;INDEX(ポート振替表!$H$5:$H$3507,$L459)&amp;" "&amp;INDEX(ポート振替表!$I$5:$I$3507,$L459))</f>
        <v/>
      </c>
      <c r="D459" s="57" t="s">
        <v>158</v>
      </c>
      <c r="E459" s="59" t="str">
        <f aca="false">IF(L459="","",IF(INDEX(ポート振替表!$O$5:$O$3507,$L459)="","(未設定)",INDEX(ポート振替表!$O$5:$O$3507,$L459)&amp;""))</f>
        <v/>
      </c>
      <c r="F459" s="52" t="str">
        <f aca="false">IF(L459="","",INDEX(ポート振替表!$K$5:$K$3507,$L459)&amp;" "&amp;INDEX(ポート振替表!$L$5:$L$3507,$L459)&amp;"  ⇔  "&amp;INDEX(ポート振替表!$H$5:$H$3507,$L459)&amp;" "&amp;INDEX(ポート振替表!$I$5:$I$3507,$L459))</f>
        <v/>
      </c>
      <c r="G459" s="57" t="s">
        <v>158</v>
      </c>
      <c r="H459" s="32" t="str">
        <f aca="false">IF(L459="","",INDEX(ポート振替表!$N$5:$N$3507,$L459)&amp;"")</f>
        <v/>
      </c>
      <c r="I459" s="32" t="str">
        <f aca="false">IF(L459="","",INDEX(ポート振替表!$P$5:$P$3507,$L459)&amp;"")</f>
        <v/>
      </c>
      <c r="J459" s="60" t="str">
        <f aca="false">IF(L459="","",INDEX(ポート振替表!$M$5:$M$3507,$L459)&amp;"")</f>
        <v/>
      </c>
      <c r="K459" s="52" t="str">
        <f aca="false">IF(L459="","",E459&amp;CHAR(10)&amp;INDEX(ポート振替表!$K$5:$K$3507,$L459)&amp;" "&amp;INDEX(ポート振替表!$L$5:$L$3507,$L459)&amp;CHAR(10)&amp;"⇔ "&amp;INDEX(ポート振替表!$H$5:$H$3507,$L459)&amp;" "&amp;INDEX(ポート振替表!$I$5:$I$3507,$L459))</f>
        <v/>
      </c>
      <c r="L459" s="47" t="str">
        <f aca="false">IFERROR(MATCH(ROW()-4,ポート振替表!$V$5:$V$3507,0),"")</f>
        <v/>
      </c>
    </row>
    <row r="460" customFormat="false" ht="16.4" hidden="false" customHeight="false" outlineLevel="0" collapsed="false">
      <c r="A460" s="32" t="str">
        <f aca="false">IF(L460="","",ROW()-4)</f>
        <v/>
      </c>
      <c r="B460" s="58" t="str">
        <f aca="false">IF(L460="","",IF(INDEX(ポート振替表!$W$5:$W$3507,$L460)="","(なし)",INDEX(ポート振替表!$W$5:$W$3507,$L460)&amp;""))</f>
        <v/>
      </c>
      <c r="C460" s="52" t="str">
        <f aca="false">IF(L460="","",INDEX(ポート振替表!$B$5:$B$3507,$L460)&amp;" "&amp;INDEX(ポート振替表!$C$5:$C$3507,$L460)&amp;"  ⇔  "&amp;INDEX(ポート振替表!$H$5:$H$3507,$L460)&amp;" "&amp;INDEX(ポート振替表!$I$5:$I$3507,$L460))</f>
        <v/>
      </c>
      <c r="D460" s="57" t="s">
        <v>158</v>
      </c>
      <c r="E460" s="59" t="str">
        <f aca="false">IF(L460="","",IF(INDEX(ポート振替表!$O$5:$O$3507,$L460)="","(未設定)",INDEX(ポート振替表!$O$5:$O$3507,$L460)&amp;""))</f>
        <v/>
      </c>
      <c r="F460" s="52" t="str">
        <f aca="false">IF(L460="","",INDEX(ポート振替表!$K$5:$K$3507,$L460)&amp;" "&amp;INDEX(ポート振替表!$L$5:$L$3507,$L460)&amp;"  ⇔  "&amp;INDEX(ポート振替表!$H$5:$H$3507,$L460)&amp;" "&amp;INDEX(ポート振替表!$I$5:$I$3507,$L460))</f>
        <v/>
      </c>
      <c r="G460" s="57" t="s">
        <v>158</v>
      </c>
      <c r="H460" s="32" t="str">
        <f aca="false">IF(L460="","",INDEX(ポート振替表!$N$5:$N$3507,$L460)&amp;"")</f>
        <v/>
      </c>
      <c r="I460" s="32" t="str">
        <f aca="false">IF(L460="","",INDEX(ポート振替表!$P$5:$P$3507,$L460)&amp;"")</f>
        <v/>
      </c>
      <c r="J460" s="60" t="str">
        <f aca="false">IF(L460="","",INDEX(ポート振替表!$M$5:$M$3507,$L460)&amp;"")</f>
        <v/>
      </c>
      <c r="K460" s="52" t="str">
        <f aca="false">IF(L460="","",E460&amp;CHAR(10)&amp;INDEX(ポート振替表!$K$5:$K$3507,$L460)&amp;" "&amp;INDEX(ポート振替表!$L$5:$L$3507,$L460)&amp;CHAR(10)&amp;"⇔ "&amp;INDEX(ポート振替表!$H$5:$H$3507,$L460)&amp;" "&amp;INDEX(ポート振替表!$I$5:$I$3507,$L460))</f>
        <v/>
      </c>
      <c r="L460" s="47" t="str">
        <f aca="false">IFERROR(MATCH(ROW()-4,ポート振替表!$V$5:$V$3507,0),"")</f>
        <v/>
      </c>
    </row>
    <row r="461" customFormat="false" ht="16.4" hidden="false" customHeight="false" outlineLevel="0" collapsed="false">
      <c r="A461" s="32" t="str">
        <f aca="false">IF(L461="","",ROW()-4)</f>
        <v/>
      </c>
      <c r="B461" s="58" t="str">
        <f aca="false">IF(L461="","",IF(INDEX(ポート振替表!$W$5:$W$3507,$L461)="","(なし)",INDEX(ポート振替表!$W$5:$W$3507,$L461)&amp;""))</f>
        <v/>
      </c>
      <c r="C461" s="52" t="str">
        <f aca="false">IF(L461="","",INDEX(ポート振替表!$B$5:$B$3507,$L461)&amp;" "&amp;INDEX(ポート振替表!$C$5:$C$3507,$L461)&amp;"  ⇔  "&amp;INDEX(ポート振替表!$H$5:$H$3507,$L461)&amp;" "&amp;INDEX(ポート振替表!$I$5:$I$3507,$L461))</f>
        <v/>
      </c>
      <c r="D461" s="57" t="s">
        <v>158</v>
      </c>
      <c r="E461" s="59" t="str">
        <f aca="false">IF(L461="","",IF(INDEX(ポート振替表!$O$5:$O$3507,$L461)="","(未設定)",INDEX(ポート振替表!$O$5:$O$3507,$L461)&amp;""))</f>
        <v/>
      </c>
      <c r="F461" s="52" t="str">
        <f aca="false">IF(L461="","",INDEX(ポート振替表!$K$5:$K$3507,$L461)&amp;" "&amp;INDEX(ポート振替表!$L$5:$L$3507,$L461)&amp;"  ⇔  "&amp;INDEX(ポート振替表!$H$5:$H$3507,$L461)&amp;" "&amp;INDEX(ポート振替表!$I$5:$I$3507,$L461))</f>
        <v/>
      </c>
      <c r="G461" s="57" t="s">
        <v>158</v>
      </c>
      <c r="H461" s="32" t="str">
        <f aca="false">IF(L461="","",INDEX(ポート振替表!$N$5:$N$3507,$L461)&amp;"")</f>
        <v/>
      </c>
      <c r="I461" s="32" t="str">
        <f aca="false">IF(L461="","",INDEX(ポート振替表!$P$5:$P$3507,$L461)&amp;"")</f>
        <v/>
      </c>
      <c r="J461" s="60" t="str">
        <f aca="false">IF(L461="","",INDEX(ポート振替表!$M$5:$M$3507,$L461)&amp;"")</f>
        <v/>
      </c>
      <c r="K461" s="52" t="str">
        <f aca="false">IF(L461="","",E461&amp;CHAR(10)&amp;INDEX(ポート振替表!$K$5:$K$3507,$L461)&amp;" "&amp;INDEX(ポート振替表!$L$5:$L$3507,$L461)&amp;CHAR(10)&amp;"⇔ "&amp;INDEX(ポート振替表!$H$5:$H$3507,$L461)&amp;" "&amp;INDEX(ポート振替表!$I$5:$I$3507,$L461))</f>
        <v/>
      </c>
      <c r="L461" s="47" t="str">
        <f aca="false">IFERROR(MATCH(ROW()-4,ポート振替表!$V$5:$V$3507,0),"")</f>
        <v/>
      </c>
    </row>
    <row r="462" customFormat="false" ht="16.4" hidden="false" customHeight="false" outlineLevel="0" collapsed="false">
      <c r="A462" s="32" t="str">
        <f aca="false">IF(L462="","",ROW()-4)</f>
        <v/>
      </c>
      <c r="B462" s="58" t="str">
        <f aca="false">IF(L462="","",IF(INDEX(ポート振替表!$W$5:$W$3507,$L462)="","(なし)",INDEX(ポート振替表!$W$5:$W$3507,$L462)&amp;""))</f>
        <v/>
      </c>
      <c r="C462" s="52" t="str">
        <f aca="false">IF(L462="","",INDEX(ポート振替表!$B$5:$B$3507,$L462)&amp;" "&amp;INDEX(ポート振替表!$C$5:$C$3507,$L462)&amp;"  ⇔  "&amp;INDEX(ポート振替表!$H$5:$H$3507,$L462)&amp;" "&amp;INDEX(ポート振替表!$I$5:$I$3507,$L462))</f>
        <v/>
      </c>
      <c r="D462" s="57" t="s">
        <v>158</v>
      </c>
      <c r="E462" s="59" t="str">
        <f aca="false">IF(L462="","",IF(INDEX(ポート振替表!$O$5:$O$3507,$L462)="","(未設定)",INDEX(ポート振替表!$O$5:$O$3507,$L462)&amp;""))</f>
        <v/>
      </c>
      <c r="F462" s="52" t="str">
        <f aca="false">IF(L462="","",INDEX(ポート振替表!$K$5:$K$3507,$L462)&amp;" "&amp;INDEX(ポート振替表!$L$5:$L$3507,$L462)&amp;"  ⇔  "&amp;INDEX(ポート振替表!$H$5:$H$3507,$L462)&amp;" "&amp;INDEX(ポート振替表!$I$5:$I$3507,$L462))</f>
        <v/>
      </c>
      <c r="G462" s="57" t="s">
        <v>158</v>
      </c>
      <c r="H462" s="32" t="str">
        <f aca="false">IF(L462="","",INDEX(ポート振替表!$N$5:$N$3507,$L462)&amp;"")</f>
        <v/>
      </c>
      <c r="I462" s="32" t="str">
        <f aca="false">IF(L462="","",INDEX(ポート振替表!$P$5:$P$3507,$L462)&amp;"")</f>
        <v/>
      </c>
      <c r="J462" s="60" t="str">
        <f aca="false">IF(L462="","",INDEX(ポート振替表!$M$5:$M$3507,$L462)&amp;"")</f>
        <v/>
      </c>
      <c r="K462" s="52" t="str">
        <f aca="false">IF(L462="","",E462&amp;CHAR(10)&amp;INDEX(ポート振替表!$K$5:$K$3507,$L462)&amp;" "&amp;INDEX(ポート振替表!$L$5:$L$3507,$L462)&amp;CHAR(10)&amp;"⇔ "&amp;INDEX(ポート振替表!$H$5:$H$3507,$L462)&amp;" "&amp;INDEX(ポート振替表!$I$5:$I$3507,$L462))</f>
        <v/>
      </c>
      <c r="L462" s="47" t="str">
        <f aca="false">IFERROR(MATCH(ROW()-4,ポート振替表!$V$5:$V$3507,0),"")</f>
        <v/>
      </c>
    </row>
    <row r="463" customFormat="false" ht="16.4" hidden="false" customHeight="false" outlineLevel="0" collapsed="false">
      <c r="A463" s="32" t="str">
        <f aca="false">IF(L463="","",ROW()-4)</f>
        <v/>
      </c>
      <c r="B463" s="58" t="str">
        <f aca="false">IF(L463="","",IF(INDEX(ポート振替表!$W$5:$W$3507,$L463)="","(なし)",INDEX(ポート振替表!$W$5:$W$3507,$L463)&amp;""))</f>
        <v/>
      </c>
      <c r="C463" s="52" t="str">
        <f aca="false">IF(L463="","",INDEX(ポート振替表!$B$5:$B$3507,$L463)&amp;" "&amp;INDEX(ポート振替表!$C$5:$C$3507,$L463)&amp;"  ⇔  "&amp;INDEX(ポート振替表!$H$5:$H$3507,$L463)&amp;" "&amp;INDEX(ポート振替表!$I$5:$I$3507,$L463))</f>
        <v/>
      </c>
      <c r="D463" s="57" t="s">
        <v>158</v>
      </c>
      <c r="E463" s="59" t="str">
        <f aca="false">IF(L463="","",IF(INDEX(ポート振替表!$O$5:$O$3507,$L463)="","(未設定)",INDEX(ポート振替表!$O$5:$O$3507,$L463)&amp;""))</f>
        <v/>
      </c>
      <c r="F463" s="52" t="str">
        <f aca="false">IF(L463="","",INDEX(ポート振替表!$K$5:$K$3507,$L463)&amp;" "&amp;INDEX(ポート振替表!$L$5:$L$3507,$L463)&amp;"  ⇔  "&amp;INDEX(ポート振替表!$H$5:$H$3507,$L463)&amp;" "&amp;INDEX(ポート振替表!$I$5:$I$3507,$L463))</f>
        <v/>
      </c>
      <c r="G463" s="57" t="s">
        <v>158</v>
      </c>
      <c r="H463" s="32" t="str">
        <f aca="false">IF(L463="","",INDEX(ポート振替表!$N$5:$N$3507,$L463)&amp;"")</f>
        <v/>
      </c>
      <c r="I463" s="32" t="str">
        <f aca="false">IF(L463="","",INDEX(ポート振替表!$P$5:$P$3507,$L463)&amp;"")</f>
        <v/>
      </c>
      <c r="J463" s="60" t="str">
        <f aca="false">IF(L463="","",INDEX(ポート振替表!$M$5:$M$3507,$L463)&amp;"")</f>
        <v/>
      </c>
      <c r="K463" s="52" t="str">
        <f aca="false">IF(L463="","",E463&amp;CHAR(10)&amp;INDEX(ポート振替表!$K$5:$K$3507,$L463)&amp;" "&amp;INDEX(ポート振替表!$L$5:$L$3507,$L463)&amp;CHAR(10)&amp;"⇔ "&amp;INDEX(ポート振替表!$H$5:$H$3507,$L463)&amp;" "&amp;INDEX(ポート振替表!$I$5:$I$3507,$L463))</f>
        <v/>
      </c>
      <c r="L463" s="47" t="str">
        <f aca="false">IFERROR(MATCH(ROW()-4,ポート振替表!$V$5:$V$3507,0),"")</f>
        <v/>
      </c>
    </row>
    <row r="464" customFormat="false" ht="16.4" hidden="false" customHeight="false" outlineLevel="0" collapsed="false">
      <c r="A464" s="32" t="str">
        <f aca="false">IF(L464="","",ROW()-4)</f>
        <v/>
      </c>
      <c r="B464" s="58" t="str">
        <f aca="false">IF(L464="","",IF(INDEX(ポート振替表!$W$5:$W$3507,$L464)="","(なし)",INDEX(ポート振替表!$W$5:$W$3507,$L464)&amp;""))</f>
        <v/>
      </c>
      <c r="C464" s="52" t="str">
        <f aca="false">IF(L464="","",INDEX(ポート振替表!$B$5:$B$3507,$L464)&amp;" "&amp;INDEX(ポート振替表!$C$5:$C$3507,$L464)&amp;"  ⇔  "&amp;INDEX(ポート振替表!$H$5:$H$3507,$L464)&amp;" "&amp;INDEX(ポート振替表!$I$5:$I$3507,$L464))</f>
        <v/>
      </c>
      <c r="D464" s="57" t="s">
        <v>158</v>
      </c>
      <c r="E464" s="59" t="str">
        <f aca="false">IF(L464="","",IF(INDEX(ポート振替表!$O$5:$O$3507,$L464)="","(未設定)",INDEX(ポート振替表!$O$5:$O$3507,$L464)&amp;""))</f>
        <v/>
      </c>
      <c r="F464" s="52" t="str">
        <f aca="false">IF(L464="","",INDEX(ポート振替表!$K$5:$K$3507,$L464)&amp;" "&amp;INDEX(ポート振替表!$L$5:$L$3507,$L464)&amp;"  ⇔  "&amp;INDEX(ポート振替表!$H$5:$H$3507,$L464)&amp;" "&amp;INDEX(ポート振替表!$I$5:$I$3507,$L464))</f>
        <v/>
      </c>
      <c r="G464" s="57" t="s">
        <v>158</v>
      </c>
      <c r="H464" s="32" t="str">
        <f aca="false">IF(L464="","",INDEX(ポート振替表!$N$5:$N$3507,$L464)&amp;"")</f>
        <v/>
      </c>
      <c r="I464" s="32" t="str">
        <f aca="false">IF(L464="","",INDEX(ポート振替表!$P$5:$P$3507,$L464)&amp;"")</f>
        <v/>
      </c>
      <c r="J464" s="60" t="str">
        <f aca="false">IF(L464="","",INDEX(ポート振替表!$M$5:$M$3507,$L464)&amp;"")</f>
        <v/>
      </c>
      <c r="K464" s="52" t="str">
        <f aca="false">IF(L464="","",E464&amp;CHAR(10)&amp;INDEX(ポート振替表!$K$5:$K$3507,$L464)&amp;" "&amp;INDEX(ポート振替表!$L$5:$L$3507,$L464)&amp;CHAR(10)&amp;"⇔ "&amp;INDEX(ポート振替表!$H$5:$H$3507,$L464)&amp;" "&amp;INDEX(ポート振替表!$I$5:$I$3507,$L464))</f>
        <v/>
      </c>
      <c r="L464" s="47" t="str">
        <f aca="false">IFERROR(MATCH(ROW()-4,ポート振替表!$V$5:$V$3507,0),"")</f>
        <v/>
      </c>
    </row>
    <row r="465" customFormat="false" ht="16.4" hidden="false" customHeight="false" outlineLevel="0" collapsed="false">
      <c r="A465" s="32" t="str">
        <f aca="false">IF(L465="","",ROW()-4)</f>
        <v/>
      </c>
      <c r="B465" s="58" t="str">
        <f aca="false">IF(L465="","",IF(INDEX(ポート振替表!$W$5:$W$3507,$L465)="","(なし)",INDEX(ポート振替表!$W$5:$W$3507,$L465)&amp;""))</f>
        <v/>
      </c>
      <c r="C465" s="52" t="str">
        <f aca="false">IF(L465="","",INDEX(ポート振替表!$B$5:$B$3507,$L465)&amp;" "&amp;INDEX(ポート振替表!$C$5:$C$3507,$L465)&amp;"  ⇔  "&amp;INDEX(ポート振替表!$H$5:$H$3507,$L465)&amp;" "&amp;INDEX(ポート振替表!$I$5:$I$3507,$L465))</f>
        <v/>
      </c>
      <c r="D465" s="57" t="s">
        <v>158</v>
      </c>
      <c r="E465" s="59" t="str">
        <f aca="false">IF(L465="","",IF(INDEX(ポート振替表!$O$5:$O$3507,$L465)="","(未設定)",INDEX(ポート振替表!$O$5:$O$3507,$L465)&amp;""))</f>
        <v/>
      </c>
      <c r="F465" s="52" t="str">
        <f aca="false">IF(L465="","",INDEX(ポート振替表!$K$5:$K$3507,$L465)&amp;" "&amp;INDEX(ポート振替表!$L$5:$L$3507,$L465)&amp;"  ⇔  "&amp;INDEX(ポート振替表!$H$5:$H$3507,$L465)&amp;" "&amp;INDEX(ポート振替表!$I$5:$I$3507,$L465))</f>
        <v/>
      </c>
      <c r="G465" s="57" t="s">
        <v>158</v>
      </c>
      <c r="H465" s="32" t="str">
        <f aca="false">IF(L465="","",INDEX(ポート振替表!$N$5:$N$3507,$L465)&amp;"")</f>
        <v/>
      </c>
      <c r="I465" s="32" t="str">
        <f aca="false">IF(L465="","",INDEX(ポート振替表!$P$5:$P$3507,$L465)&amp;"")</f>
        <v/>
      </c>
      <c r="J465" s="60" t="str">
        <f aca="false">IF(L465="","",INDEX(ポート振替表!$M$5:$M$3507,$L465)&amp;"")</f>
        <v/>
      </c>
      <c r="K465" s="52" t="str">
        <f aca="false">IF(L465="","",E465&amp;CHAR(10)&amp;INDEX(ポート振替表!$K$5:$K$3507,$L465)&amp;" "&amp;INDEX(ポート振替表!$L$5:$L$3507,$L465)&amp;CHAR(10)&amp;"⇔ "&amp;INDEX(ポート振替表!$H$5:$H$3507,$L465)&amp;" "&amp;INDEX(ポート振替表!$I$5:$I$3507,$L465))</f>
        <v/>
      </c>
      <c r="L465" s="47" t="str">
        <f aca="false">IFERROR(MATCH(ROW()-4,ポート振替表!$V$5:$V$3507,0),"")</f>
        <v/>
      </c>
    </row>
    <row r="466" customFormat="false" ht="16.4" hidden="false" customHeight="false" outlineLevel="0" collapsed="false">
      <c r="A466" s="32" t="str">
        <f aca="false">IF(L466="","",ROW()-4)</f>
        <v/>
      </c>
      <c r="B466" s="58" t="str">
        <f aca="false">IF(L466="","",IF(INDEX(ポート振替表!$W$5:$W$3507,$L466)="","(なし)",INDEX(ポート振替表!$W$5:$W$3507,$L466)&amp;""))</f>
        <v/>
      </c>
      <c r="C466" s="52" t="str">
        <f aca="false">IF(L466="","",INDEX(ポート振替表!$B$5:$B$3507,$L466)&amp;" "&amp;INDEX(ポート振替表!$C$5:$C$3507,$L466)&amp;"  ⇔  "&amp;INDEX(ポート振替表!$H$5:$H$3507,$L466)&amp;" "&amp;INDEX(ポート振替表!$I$5:$I$3507,$L466))</f>
        <v/>
      </c>
      <c r="D466" s="57" t="s">
        <v>158</v>
      </c>
      <c r="E466" s="59" t="str">
        <f aca="false">IF(L466="","",IF(INDEX(ポート振替表!$O$5:$O$3507,$L466)="","(未設定)",INDEX(ポート振替表!$O$5:$O$3507,$L466)&amp;""))</f>
        <v/>
      </c>
      <c r="F466" s="52" t="str">
        <f aca="false">IF(L466="","",INDEX(ポート振替表!$K$5:$K$3507,$L466)&amp;" "&amp;INDEX(ポート振替表!$L$5:$L$3507,$L466)&amp;"  ⇔  "&amp;INDEX(ポート振替表!$H$5:$H$3507,$L466)&amp;" "&amp;INDEX(ポート振替表!$I$5:$I$3507,$L466))</f>
        <v/>
      </c>
      <c r="G466" s="57" t="s">
        <v>158</v>
      </c>
      <c r="H466" s="32" t="str">
        <f aca="false">IF(L466="","",INDEX(ポート振替表!$N$5:$N$3507,$L466)&amp;"")</f>
        <v/>
      </c>
      <c r="I466" s="32" t="str">
        <f aca="false">IF(L466="","",INDEX(ポート振替表!$P$5:$P$3507,$L466)&amp;"")</f>
        <v/>
      </c>
      <c r="J466" s="60" t="str">
        <f aca="false">IF(L466="","",INDEX(ポート振替表!$M$5:$M$3507,$L466)&amp;"")</f>
        <v/>
      </c>
      <c r="K466" s="52" t="str">
        <f aca="false">IF(L466="","",E466&amp;CHAR(10)&amp;INDEX(ポート振替表!$K$5:$K$3507,$L466)&amp;" "&amp;INDEX(ポート振替表!$L$5:$L$3507,$L466)&amp;CHAR(10)&amp;"⇔ "&amp;INDEX(ポート振替表!$H$5:$H$3507,$L466)&amp;" "&amp;INDEX(ポート振替表!$I$5:$I$3507,$L466))</f>
        <v/>
      </c>
      <c r="L466" s="47" t="str">
        <f aca="false">IFERROR(MATCH(ROW()-4,ポート振替表!$V$5:$V$3507,0),"")</f>
        <v/>
      </c>
    </row>
    <row r="467" customFormat="false" ht="16.4" hidden="false" customHeight="false" outlineLevel="0" collapsed="false">
      <c r="A467" s="32" t="str">
        <f aca="false">IF(L467="","",ROW()-4)</f>
        <v/>
      </c>
      <c r="B467" s="58" t="str">
        <f aca="false">IF(L467="","",IF(INDEX(ポート振替表!$W$5:$W$3507,$L467)="","(なし)",INDEX(ポート振替表!$W$5:$W$3507,$L467)&amp;""))</f>
        <v/>
      </c>
      <c r="C467" s="52" t="str">
        <f aca="false">IF(L467="","",INDEX(ポート振替表!$B$5:$B$3507,$L467)&amp;" "&amp;INDEX(ポート振替表!$C$5:$C$3507,$L467)&amp;"  ⇔  "&amp;INDEX(ポート振替表!$H$5:$H$3507,$L467)&amp;" "&amp;INDEX(ポート振替表!$I$5:$I$3507,$L467))</f>
        <v/>
      </c>
      <c r="D467" s="57" t="s">
        <v>158</v>
      </c>
      <c r="E467" s="59" t="str">
        <f aca="false">IF(L467="","",IF(INDEX(ポート振替表!$O$5:$O$3507,$L467)="","(未設定)",INDEX(ポート振替表!$O$5:$O$3507,$L467)&amp;""))</f>
        <v/>
      </c>
      <c r="F467" s="52" t="str">
        <f aca="false">IF(L467="","",INDEX(ポート振替表!$K$5:$K$3507,$L467)&amp;" "&amp;INDEX(ポート振替表!$L$5:$L$3507,$L467)&amp;"  ⇔  "&amp;INDEX(ポート振替表!$H$5:$H$3507,$L467)&amp;" "&amp;INDEX(ポート振替表!$I$5:$I$3507,$L467))</f>
        <v/>
      </c>
      <c r="G467" s="57" t="s">
        <v>158</v>
      </c>
      <c r="H467" s="32" t="str">
        <f aca="false">IF(L467="","",INDEX(ポート振替表!$N$5:$N$3507,$L467)&amp;"")</f>
        <v/>
      </c>
      <c r="I467" s="32" t="str">
        <f aca="false">IF(L467="","",INDEX(ポート振替表!$P$5:$P$3507,$L467)&amp;"")</f>
        <v/>
      </c>
      <c r="J467" s="60" t="str">
        <f aca="false">IF(L467="","",INDEX(ポート振替表!$M$5:$M$3507,$L467)&amp;"")</f>
        <v/>
      </c>
      <c r="K467" s="52" t="str">
        <f aca="false">IF(L467="","",E467&amp;CHAR(10)&amp;INDEX(ポート振替表!$K$5:$K$3507,$L467)&amp;" "&amp;INDEX(ポート振替表!$L$5:$L$3507,$L467)&amp;CHAR(10)&amp;"⇔ "&amp;INDEX(ポート振替表!$H$5:$H$3507,$L467)&amp;" "&amp;INDEX(ポート振替表!$I$5:$I$3507,$L467))</f>
        <v/>
      </c>
      <c r="L467" s="47" t="str">
        <f aca="false">IFERROR(MATCH(ROW()-4,ポート振替表!$V$5:$V$3507,0),"")</f>
        <v/>
      </c>
    </row>
    <row r="468" customFormat="false" ht="16.4" hidden="false" customHeight="false" outlineLevel="0" collapsed="false">
      <c r="A468" s="32" t="str">
        <f aca="false">IF(L468="","",ROW()-4)</f>
        <v/>
      </c>
      <c r="B468" s="58" t="str">
        <f aca="false">IF(L468="","",IF(INDEX(ポート振替表!$W$5:$W$3507,$L468)="","(なし)",INDEX(ポート振替表!$W$5:$W$3507,$L468)&amp;""))</f>
        <v/>
      </c>
      <c r="C468" s="52" t="str">
        <f aca="false">IF(L468="","",INDEX(ポート振替表!$B$5:$B$3507,$L468)&amp;" "&amp;INDEX(ポート振替表!$C$5:$C$3507,$L468)&amp;"  ⇔  "&amp;INDEX(ポート振替表!$H$5:$H$3507,$L468)&amp;" "&amp;INDEX(ポート振替表!$I$5:$I$3507,$L468))</f>
        <v/>
      </c>
      <c r="D468" s="57" t="s">
        <v>158</v>
      </c>
      <c r="E468" s="59" t="str">
        <f aca="false">IF(L468="","",IF(INDEX(ポート振替表!$O$5:$O$3507,$L468)="","(未設定)",INDEX(ポート振替表!$O$5:$O$3507,$L468)&amp;""))</f>
        <v/>
      </c>
      <c r="F468" s="52" t="str">
        <f aca="false">IF(L468="","",INDEX(ポート振替表!$K$5:$K$3507,$L468)&amp;" "&amp;INDEX(ポート振替表!$L$5:$L$3507,$L468)&amp;"  ⇔  "&amp;INDEX(ポート振替表!$H$5:$H$3507,$L468)&amp;" "&amp;INDEX(ポート振替表!$I$5:$I$3507,$L468))</f>
        <v/>
      </c>
      <c r="G468" s="57" t="s">
        <v>158</v>
      </c>
      <c r="H468" s="32" t="str">
        <f aca="false">IF(L468="","",INDEX(ポート振替表!$N$5:$N$3507,$L468)&amp;"")</f>
        <v/>
      </c>
      <c r="I468" s="32" t="str">
        <f aca="false">IF(L468="","",INDEX(ポート振替表!$P$5:$P$3507,$L468)&amp;"")</f>
        <v/>
      </c>
      <c r="J468" s="60" t="str">
        <f aca="false">IF(L468="","",INDEX(ポート振替表!$M$5:$M$3507,$L468)&amp;"")</f>
        <v/>
      </c>
      <c r="K468" s="52" t="str">
        <f aca="false">IF(L468="","",E468&amp;CHAR(10)&amp;INDEX(ポート振替表!$K$5:$K$3507,$L468)&amp;" "&amp;INDEX(ポート振替表!$L$5:$L$3507,$L468)&amp;CHAR(10)&amp;"⇔ "&amp;INDEX(ポート振替表!$H$5:$H$3507,$L468)&amp;" "&amp;INDEX(ポート振替表!$I$5:$I$3507,$L468))</f>
        <v/>
      </c>
      <c r="L468" s="47" t="str">
        <f aca="false">IFERROR(MATCH(ROW()-4,ポート振替表!$V$5:$V$3507,0),"")</f>
        <v/>
      </c>
    </row>
    <row r="469" customFormat="false" ht="16.4" hidden="false" customHeight="false" outlineLevel="0" collapsed="false">
      <c r="A469" s="32" t="str">
        <f aca="false">IF(L469="","",ROW()-4)</f>
        <v/>
      </c>
      <c r="B469" s="58" t="str">
        <f aca="false">IF(L469="","",IF(INDEX(ポート振替表!$W$5:$W$3507,$L469)="","(なし)",INDEX(ポート振替表!$W$5:$W$3507,$L469)&amp;""))</f>
        <v/>
      </c>
      <c r="C469" s="52" t="str">
        <f aca="false">IF(L469="","",INDEX(ポート振替表!$B$5:$B$3507,$L469)&amp;" "&amp;INDEX(ポート振替表!$C$5:$C$3507,$L469)&amp;"  ⇔  "&amp;INDEX(ポート振替表!$H$5:$H$3507,$L469)&amp;" "&amp;INDEX(ポート振替表!$I$5:$I$3507,$L469))</f>
        <v/>
      </c>
      <c r="D469" s="57" t="s">
        <v>158</v>
      </c>
      <c r="E469" s="59" t="str">
        <f aca="false">IF(L469="","",IF(INDEX(ポート振替表!$O$5:$O$3507,$L469)="","(未設定)",INDEX(ポート振替表!$O$5:$O$3507,$L469)&amp;""))</f>
        <v/>
      </c>
      <c r="F469" s="52" t="str">
        <f aca="false">IF(L469="","",INDEX(ポート振替表!$K$5:$K$3507,$L469)&amp;" "&amp;INDEX(ポート振替表!$L$5:$L$3507,$L469)&amp;"  ⇔  "&amp;INDEX(ポート振替表!$H$5:$H$3507,$L469)&amp;" "&amp;INDEX(ポート振替表!$I$5:$I$3507,$L469))</f>
        <v/>
      </c>
      <c r="G469" s="57" t="s">
        <v>158</v>
      </c>
      <c r="H469" s="32" t="str">
        <f aca="false">IF(L469="","",INDEX(ポート振替表!$N$5:$N$3507,$L469)&amp;"")</f>
        <v/>
      </c>
      <c r="I469" s="32" t="str">
        <f aca="false">IF(L469="","",INDEX(ポート振替表!$P$5:$P$3507,$L469)&amp;"")</f>
        <v/>
      </c>
      <c r="J469" s="60" t="str">
        <f aca="false">IF(L469="","",INDEX(ポート振替表!$M$5:$M$3507,$L469)&amp;"")</f>
        <v/>
      </c>
      <c r="K469" s="52" t="str">
        <f aca="false">IF(L469="","",E469&amp;CHAR(10)&amp;INDEX(ポート振替表!$K$5:$K$3507,$L469)&amp;" "&amp;INDEX(ポート振替表!$L$5:$L$3507,$L469)&amp;CHAR(10)&amp;"⇔ "&amp;INDEX(ポート振替表!$H$5:$H$3507,$L469)&amp;" "&amp;INDEX(ポート振替表!$I$5:$I$3507,$L469))</f>
        <v/>
      </c>
      <c r="L469" s="47" t="str">
        <f aca="false">IFERROR(MATCH(ROW()-4,ポート振替表!$V$5:$V$3507,0),"")</f>
        <v/>
      </c>
    </row>
    <row r="470" customFormat="false" ht="16.4" hidden="false" customHeight="false" outlineLevel="0" collapsed="false">
      <c r="A470" s="32" t="str">
        <f aca="false">IF(L470="","",ROW()-4)</f>
        <v/>
      </c>
      <c r="B470" s="58" t="str">
        <f aca="false">IF(L470="","",IF(INDEX(ポート振替表!$W$5:$W$3507,$L470)="","(なし)",INDEX(ポート振替表!$W$5:$W$3507,$L470)&amp;""))</f>
        <v/>
      </c>
      <c r="C470" s="52" t="str">
        <f aca="false">IF(L470="","",INDEX(ポート振替表!$B$5:$B$3507,$L470)&amp;" "&amp;INDEX(ポート振替表!$C$5:$C$3507,$L470)&amp;"  ⇔  "&amp;INDEX(ポート振替表!$H$5:$H$3507,$L470)&amp;" "&amp;INDEX(ポート振替表!$I$5:$I$3507,$L470))</f>
        <v/>
      </c>
      <c r="D470" s="57" t="s">
        <v>158</v>
      </c>
      <c r="E470" s="59" t="str">
        <f aca="false">IF(L470="","",IF(INDEX(ポート振替表!$O$5:$O$3507,$L470)="","(未設定)",INDEX(ポート振替表!$O$5:$O$3507,$L470)&amp;""))</f>
        <v/>
      </c>
      <c r="F470" s="52" t="str">
        <f aca="false">IF(L470="","",INDEX(ポート振替表!$K$5:$K$3507,$L470)&amp;" "&amp;INDEX(ポート振替表!$L$5:$L$3507,$L470)&amp;"  ⇔  "&amp;INDEX(ポート振替表!$H$5:$H$3507,$L470)&amp;" "&amp;INDEX(ポート振替表!$I$5:$I$3507,$L470))</f>
        <v/>
      </c>
      <c r="G470" s="57" t="s">
        <v>158</v>
      </c>
      <c r="H470" s="32" t="str">
        <f aca="false">IF(L470="","",INDEX(ポート振替表!$N$5:$N$3507,$L470)&amp;"")</f>
        <v/>
      </c>
      <c r="I470" s="32" t="str">
        <f aca="false">IF(L470="","",INDEX(ポート振替表!$P$5:$P$3507,$L470)&amp;"")</f>
        <v/>
      </c>
      <c r="J470" s="60" t="str">
        <f aca="false">IF(L470="","",INDEX(ポート振替表!$M$5:$M$3507,$L470)&amp;"")</f>
        <v/>
      </c>
      <c r="K470" s="52" t="str">
        <f aca="false">IF(L470="","",E470&amp;CHAR(10)&amp;INDEX(ポート振替表!$K$5:$K$3507,$L470)&amp;" "&amp;INDEX(ポート振替表!$L$5:$L$3507,$L470)&amp;CHAR(10)&amp;"⇔ "&amp;INDEX(ポート振替表!$H$5:$H$3507,$L470)&amp;" "&amp;INDEX(ポート振替表!$I$5:$I$3507,$L470))</f>
        <v/>
      </c>
      <c r="L470" s="47" t="str">
        <f aca="false">IFERROR(MATCH(ROW()-4,ポート振替表!$V$5:$V$3507,0),"")</f>
        <v/>
      </c>
    </row>
    <row r="471" customFormat="false" ht="16.4" hidden="false" customHeight="false" outlineLevel="0" collapsed="false">
      <c r="A471" s="32" t="str">
        <f aca="false">IF(L471="","",ROW()-4)</f>
        <v/>
      </c>
      <c r="B471" s="58" t="str">
        <f aca="false">IF(L471="","",IF(INDEX(ポート振替表!$W$5:$W$3507,$L471)="","(なし)",INDEX(ポート振替表!$W$5:$W$3507,$L471)&amp;""))</f>
        <v/>
      </c>
      <c r="C471" s="52" t="str">
        <f aca="false">IF(L471="","",INDEX(ポート振替表!$B$5:$B$3507,$L471)&amp;" "&amp;INDEX(ポート振替表!$C$5:$C$3507,$L471)&amp;"  ⇔  "&amp;INDEX(ポート振替表!$H$5:$H$3507,$L471)&amp;" "&amp;INDEX(ポート振替表!$I$5:$I$3507,$L471))</f>
        <v/>
      </c>
      <c r="D471" s="57" t="s">
        <v>158</v>
      </c>
      <c r="E471" s="59" t="str">
        <f aca="false">IF(L471="","",IF(INDEX(ポート振替表!$O$5:$O$3507,$L471)="","(未設定)",INDEX(ポート振替表!$O$5:$O$3507,$L471)&amp;""))</f>
        <v/>
      </c>
      <c r="F471" s="52" t="str">
        <f aca="false">IF(L471="","",INDEX(ポート振替表!$K$5:$K$3507,$L471)&amp;" "&amp;INDEX(ポート振替表!$L$5:$L$3507,$L471)&amp;"  ⇔  "&amp;INDEX(ポート振替表!$H$5:$H$3507,$L471)&amp;" "&amp;INDEX(ポート振替表!$I$5:$I$3507,$L471))</f>
        <v/>
      </c>
      <c r="G471" s="57" t="s">
        <v>158</v>
      </c>
      <c r="H471" s="32" t="str">
        <f aca="false">IF(L471="","",INDEX(ポート振替表!$N$5:$N$3507,$L471)&amp;"")</f>
        <v/>
      </c>
      <c r="I471" s="32" t="str">
        <f aca="false">IF(L471="","",INDEX(ポート振替表!$P$5:$P$3507,$L471)&amp;"")</f>
        <v/>
      </c>
      <c r="J471" s="60" t="str">
        <f aca="false">IF(L471="","",INDEX(ポート振替表!$M$5:$M$3507,$L471)&amp;"")</f>
        <v/>
      </c>
      <c r="K471" s="52" t="str">
        <f aca="false">IF(L471="","",E471&amp;CHAR(10)&amp;INDEX(ポート振替表!$K$5:$K$3507,$L471)&amp;" "&amp;INDEX(ポート振替表!$L$5:$L$3507,$L471)&amp;CHAR(10)&amp;"⇔ "&amp;INDEX(ポート振替表!$H$5:$H$3507,$L471)&amp;" "&amp;INDEX(ポート振替表!$I$5:$I$3507,$L471))</f>
        <v/>
      </c>
      <c r="L471" s="47" t="str">
        <f aca="false">IFERROR(MATCH(ROW()-4,ポート振替表!$V$5:$V$3507,0),"")</f>
        <v/>
      </c>
    </row>
    <row r="472" customFormat="false" ht="16.4" hidden="false" customHeight="false" outlineLevel="0" collapsed="false">
      <c r="A472" s="32" t="str">
        <f aca="false">IF(L472="","",ROW()-4)</f>
        <v/>
      </c>
      <c r="B472" s="58" t="str">
        <f aca="false">IF(L472="","",IF(INDEX(ポート振替表!$W$5:$W$3507,$L472)="","(なし)",INDEX(ポート振替表!$W$5:$W$3507,$L472)&amp;""))</f>
        <v/>
      </c>
      <c r="C472" s="52" t="str">
        <f aca="false">IF(L472="","",INDEX(ポート振替表!$B$5:$B$3507,$L472)&amp;" "&amp;INDEX(ポート振替表!$C$5:$C$3507,$L472)&amp;"  ⇔  "&amp;INDEX(ポート振替表!$H$5:$H$3507,$L472)&amp;" "&amp;INDEX(ポート振替表!$I$5:$I$3507,$L472))</f>
        <v/>
      </c>
      <c r="D472" s="57" t="s">
        <v>158</v>
      </c>
      <c r="E472" s="59" t="str">
        <f aca="false">IF(L472="","",IF(INDEX(ポート振替表!$O$5:$O$3507,$L472)="","(未設定)",INDEX(ポート振替表!$O$5:$O$3507,$L472)&amp;""))</f>
        <v/>
      </c>
      <c r="F472" s="52" t="str">
        <f aca="false">IF(L472="","",INDEX(ポート振替表!$K$5:$K$3507,$L472)&amp;" "&amp;INDEX(ポート振替表!$L$5:$L$3507,$L472)&amp;"  ⇔  "&amp;INDEX(ポート振替表!$H$5:$H$3507,$L472)&amp;" "&amp;INDEX(ポート振替表!$I$5:$I$3507,$L472))</f>
        <v/>
      </c>
      <c r="G472" s="57" t="s">
        <v>158</v>
      </c>
      <c r="H472" s="32" t="str">
        <f aca="false">IF(L472="","",INDEX(ポート振替表!$N$5:$N$3507,$L472)&amp;"")</f>
        <v/>
      </c>
      <c r="I472" s="32" t="str">
        <f aca="false">IF(L472="","",INDEX(ポート振替表!$P$5:$P$3507,$L472)&amp;"")</f>
        <v/>
      </c>
      <c r="J472" s="60" t="str">
        <f aca="false">IF(L472="","",INDEX(ポート振替表!$M$5:$M$3507,$L472)&amp;"")</f>
        <v/>
      </c>
      <c r="K472" s="52" t="str">
        <f aca="false">IF(L472="","",E472&amp;CHAR(10)&amp;INDEX(ポート振替表!$K$5:$K$3507,$L472)&amp;" "&amp;INDEX(ポート振替表!$L$5:$L$3507,$L472)&amp;CHAR(10)&amp;"⇔ "&amp;INDEX(ポート振替表!$H$5:$H$3507,$L472)&amp;" "&amp;INDEX(ポート振替表!$I$5:$I$3507,$L472))</f>
        <v/>
      </c>
      <c r="L472" s="47" t="str">
        <f aca="false">IFERROR(MATCH(ROW()-4,ポート振替表!$V$5:$V$3507,0),"")</f>
        <v/>
      </c>
    </row>
    <row r="473" customFormat="false" ht="16.4" hidden="false" customHeight="false" outlineLevel="0" collapsed="false">
      <c r="A473" s="32" t="str">
        <f aca="false">IF(L473="","",ROW()-4)</f>
        <v/>
      </c>
      <c r="B473" s="58" t="str">
        <f aca="false">IF(L473="","",IF(INDEX(ポート振替表!$W$5:$W$3507,$L473)="","(なし)",INDEX(ポート振替表!$W$5:$W$3507,$L473)&amp;""))</f>
        <v/>
      </c>
      <c r="C473" s="52" t="str">
        <f aca="false">IF(L473="","",INDEX(ポート振替表!$B$5:$B$3507,$L473)&amp;" "&amp;INDEX(ポート振替表!$C$5:$C$3507,$L473)&amp;"  ⇔  "&amp;INDEX(ポート振替表!$H$5:$H$3507,$L473)&amp;" "&amp;INDEX(ポート振替表!$I$5:$I$3507,$L473))</f>
        <v/>
      </c>
      <c r="D473" s="57" t="s">
        <v>158</v>
      </c>
      <c r="E473" s="59" t="str">
        <f aca="false">IF(L473="","",IF(INDEX(ポート振替表!$O$5:$O$3507,$L473)="","(未設定)",INDEX(ポート振替表!$O$5:$O$3507,$L473)&amp;""))</f>
        <v/>
      </c>
      <c r="F473" s="52" t="str">
        <f aca="false">IF(L473="","",INDEX(ポート振替表!$K$5:$K$3507,$L473)&amp;" "&amp;INDEX(ポート振替表!$L$5:$L$3507,$L473)&amp;"  ⇔  "&amp;INDEX(ポート振替表!$H$5:$H$3507,$L473)&amp;" "&amp;INDEX(ポート振替表!$I$5:$I$3507,$L473))</f>
        <v/>
      </c>
      <c r="G473" s="57" t="s">
        <v>158</v>
      </c>
      <c r="H473" s="32" t="str">
        <f aca="false">IF(L473="","",INDEX(ポート振替表!$N$5:$N$3507,$L473)&amp;"")</f>
        <v/>
      </c>
      <c r="I473" s="32" t="str">
        <f aca="false">IF(L473="","",INDEX(ポート振替表!$P$5:$P$3507,$L473)&amp;"")</f>
        <v/>
      </c>
      <c r="J473" s="60" t="str">
        <f aca="false">IF(L473="","",INDEX(ポート振替表!$M$5:$M$3507,$L473)&amp;"")</f>
        <v/>
      </c>
      <c r="K473" s="52" t="str">
        <f aca="false">IF(L473="","",E473&amp;CHAR(10)&amp;INDEX(ポート振替表!$K$5:$K$3507,$L473)&amp;" "&amp;INDEX(ポート振替表!$L$5:$L$3507,$L473)&amp;CHAR(10)&amp;"⇔ "&amp;INDEX(ポート振替表!$H$5:$H$3507,$L473)&amp;" "&amp;INDEX(ポート振替表!$I$5:$I$3507,$L473))</f>
        <v/>
      </c>
      <c r="L473" s="47" t="str">
        <f aca="false">IFERROR(MATCH(ROW()-4,ポート振替表!$V$5:$V$3507,0),"")</f>
        <v/>
      </c>
    </row>
    <row r="474" customFormat="false" ht="16.4" hidden="false" customHeight="false" outlineLevel="0" collapsed="false">
      <c r="A474" s="32" t="str">
        <f aca="false">IF(L474="","",ROW()-4)</f>
        <v/>
      </c>
      <c r="B474" s="58" t="str">
        <f aca="false">IF(L474="","",IF(INDEX(ポート振替表!$W$5:$W$3507,$L474)="","(なし)",INDEX(ポート振替表!$W$5:$W$3507,$L474)&amp;""))</f>
        <v/>
      </c>
      <c r="C474" s="52" t="str">
        <f aca="false">IF(L474="","",INDEX(ポート振替表!$B$5:$B$3507,$L474)&amp;" "&amp;INDEX(ポート振替表!$C$5:$C$3507,$L474)&amp;"  ⇔  "&amp;INDEX(ポート振替表!$H$5:$H$3507,$L474)&amp;" "&amp;INDEX(ポート振替表!$I$5:$I$3507,$L474))</f>
        <v/>
      </c>
      <c r="D474" s="57" t="s">
        <v>158</v>
      </c>
      <c r="E474" s="59" t="str">
        <f aca="false">IF(L474="","",IF(INDEX(ポート振替表!$O$5:$O$3507,$L474)="","(未設定)",INDEX(ポート振替表!$O$5:$O$3507,$L474)&amp;""))</f>
        <v/>
      </c>
      <c r="F474" s="52" t="str">
        <f aca="false">IF(L474="","",INDEX(ポート振替表!$K$5:$K$3507,$L474)&amp;" "&amp;INDEX(ポート振替表!$L$5:$L$3507,$L474)&amp;"  ⇔  "&amp;INDEX(ポート振替表!$H$5:$H$3507,$L474)&amp;" "&amp;INDEX(ポート振替表!$I$5:$I$3507,$L474))</f>
        <v/>
      </c>
      <c r="G474" s="57" t="s">
        <v>158</v>
      </c>
      <c r="H474" s="32" t="str">
        <f aca="false">IF(L474="","",INDEX(ポート振替表!$N$5:$N$3507,$L474)&amp;"")</f>
        <v/>
      </c>
      <c r="I474" s="32" t="str">
        <f aca="false">IF(L474="","",INDEX(ポート振替表!$P$5:$P$3507,$L474)&amp;"")</f>
        <v/>
      </c>
      <c r="J474" s="60" t="str">
        <f aca="false">IF(L474="","",INDEX(ポート振替表!$M$5:$M$3507,$L474)&amp;"")</f>
        <v/>
      </c>
      <c r="K474" s="52" t="str">
        <f aca="false">IF(L474="","",E474&amp;CHAR(10)&amp;INDEX(ポート振替表!$K$5:$K$3507,$L474)&amp;" "&amp;INDEX(ポート振替表!$L$5:$L$3507,$L474)&amp;CHAR(10)&amp;"⇔ "&amp;INDEX(ポート振替表!$H$5:$H$3507,$L474)&amp;" "&amp;INDEX(ポート振替表!$I$5:$I$3507,$L474))</f>
        <v/>
      </c>
      <c r="L474" s="47" t="str">
        <f aca="false">IFERROR(MATCH(ROW()-4,ポート振替表!$V$5:$V$3507,0),"")</f>
        <v/>
      </c>
    </row>
    <row r="475" customFormat="false" ht="16.4" hidden="false" customHeight="false" outlineLevel="0" collapsed="false">
      <c r="A475" s="32" t="str">
        <f aca="false">IF(L475="","",ROW()-4)</f>
        <v/>
      </c>
      <c r="B475" s="58" t="str">
        <f aca="false">IF(L475="","",IF(INDEX(ポート振替表!$W$5:$W$3507,$L475)="","(なし)",INDEX(ポート振替表!$W$5:$W$3507,$L475)&amp;""))</f>
        <v/>
      </c>
      <c r="C475" s="52" t="str">
        <f aca="false">IF(L475="","",INDEX(ポート振替表!$B$5:$B$3507,$L475)&amp;" "&amp;INDEX(ポート振替表!$C$5:$C$3507,$L475)&amp;"  ⇔  "&amp;INDEX(ポート振替表!$H$5:$H$3507,$L475)&amp;" "&amp;INDEX(ポート振替表!$I$5:$I$3507,$L475))</f>
        <v/>
      </c>
      <c r="D475" s="57" t="s">
        <v>158</v>
      </c>
      <c r="E475" s="59" t="str">
        <f aca="false">IF(L475="","",IF(INDEX(ポート振替表!$O$5:$O$3507,$L475)="","(未設定)",INDEX(ポート振替表!$O$5:$O$3507,$L475)&amp;""))</f>
        <v/>
      </c>
      <c r="F475" s="52" t="str">
        <f aca="false">IF(L475="","",INDEX(ポート振替表!$K$5:$K$3507,$L475)&amp;" "&amp;INDEX(ポート振替表!$L$5:$L$3507,$L475)&amp;"  ⇔  "&amp;INDEX(ポート振替表!$H$5:$H$3507,$L475)&amp;" "&amp;INDEX(ポート振替表!$I$5:$I$3507,$L475))</f>
        <v/>
      </c>
      <c r="G475" s="57" t="s">
        <v>158</v>
      </c>
      <c r="H475" s="32" t="str">
        <f aca="false">IF(L475="","",INDEX(ポート振替表!$N$5:$N$3507,$L475)&amp;"")</f>
        <v/>
      </c>
      <c r="I475" s="32" t="str">
        <f aca="false">IF(L475="","",INDEX(ポート振替表!$P$5:$P$3507,$L475)&amp;"")</f>
        <v/>
      </c>
      <c r="J475" s="60" t="str">
        <f aca="false">IF(L475="","",INDEX(ポート振替表!$M$5:$M$3507,$L475)&amp;"")</f>
        <v/>
      </c>
      <c r="K475" s="52" t="str">
        <f aca="false">IF(L475="","",E475&amp;CHAR(10)&amp;INDEX(ポート振替表!$K$5:$K$3507,$L475)&amp;" "&amp;INDEX(ポート振替表!$L$5:$L$3507,$L475)&amp;CHAR(10)&amp;"⇔ "&amp;INDEX(ポート振替表!$H$5:$H$3507,$L475)&amp;" "&amp;INDEX(ポート振替表!$I$5:$I$3507,$L475))</f>
        <v/>
      </c>
      <c r="L475" s="47" t="str">
        <f aca="false">IFERROR(MATCH(ROW()-4,ポート振替表!$V$5:$V$3507,0),"")</f>
        <v/>
      </c>
    </row>
    <row r="476" customFormat="false" ht="16.4" hidden="false" customHeight="false" outlineLevel="0" collapsed="false">
      <c r="A476" s="32" t="str">
        <f aca="false">IF(L476="","",ROW()-4)</f>
        <v/>
      </c>
      <c r="B476" s="58" t="str">
        <f aca="false">IF(L476="","",IF(INDEX(ポート振替表!$W$5:$W$3507,$L476)="","(なし)",INDEX(ポート振替表!$W$5:$W$3507,$L476)&amp;""))</f>
        <v/>
      </c>
      <c r="C476" s="52" t="str">
        <f aca="false">IF(L476="","",INDEX(ポート振替表!$B$5:$B$3507,$L476)&amp;" "&amp;INDEX(ポート振替表!$C$5:$C$3507,$L476)&amp;"  ⇔  "&amp;INDEX(ポート振替表!$H$5:$H$3507,$L476)&amp;" "&amp;INDEX(ポート振替表!$I$5:$I$3507,$L476))</f>
        <v/>
      </c>
      <c r="D476" s="57" t="s">
        <v>158</v>
      </c>
      <c r="E476" s="59" t="str">
        <f aca="false">IF(L476="","",IF(INDEX(ポート振替表!$O$5:$O$3507,$L476)="","(未設定)",INDEX(ポート振替表!$O$5:$O$3507,$L476)&amp;""))</f>
        <v/>
      </c>
      <c r="F476" s="52" t="str">
        <f aca="false">IF(L476="","",INDEX(ポート振替表!$K$5:$K$3507,$L476)&amp;" "&amp;INDEX(ポート振替表!$L$5:$L$3507,$L476)&amp;"  ⇔  "&amp;INDEX(ポート振替表!$H$5:$H$3507,$L476)&amp;" "&amp;INDEX(ポート振替表!$I$5:$I$3507,$L476))</f>
        <v/>
      </c>
      <c r="G476" s="57" t="s">
        <v>158</v>
      </c>
      <c r="H476" s="32" t="str">
        <f aca="false">IF(L476="","",INDEX(ポート振替表!$N$5:$N$3507,$L476)&amp;"")</f>
        <v/>
      </c>
      <c r="I476" s="32" t="str">
        <f aca="false">IF(L476="","",INDEX(ポート振替表!$P$5:$P$3507,$L476)&amp;"")</f>
        <v/>
      </c>
      <c r="J476" s="60" t="str">
        <f aca="false">IF(L476="","",INDEX(ポート振替表!$M$5:$M$3507,$L476)&amp;"")</f>
        <v/>
      </c>
      <c r="K476" s="52" t="str">
        <f aca="false">IF(L476="","",E476&amp;CHAR(10)&amp;INDEX(ポート振替表!$K$5:$K$3507,$L476)&amp;" "&amp;INDEX(ポート振替表!$L$5:$L$3507,$L476)&amp;CHAR(10)&amp;"⇔ "&amp;INDEX(ポート振替表!$H$5:$H$3507,$L476)&amp;" "&amp;INDEX(ポート振替表!$I$5:$I$3507,$L476))</f>
        <v/>
      </c>
      <c r="L476" s="47" t="str">
        <f aca="false">IFERROR(MATCH(ROW()-4,ポート振替表!$V$5:$V$3507,0),"")</f>
        <v/>
      </c>
    </row>
    <row r="477" customFormat="false" ht="16.4" hidden="false" customHeight="false" outlineLevel="0" collapsed="false">
      <c r="A477" s="32" t="str">
        <f aca="false">IF(L477="","",ROW()-4)</f>
        <v/>
      </c>
      <c r="B477" s="58" t="str">
        <f aca="false">IF(L477="","",IF(INDEX(ポート振替表!$W$5:$W$3507,$L477)="","(なし)",INDEX(ポート振替表!$W$5:$W$3507,$L477)&amp;""))</f>
        <v/>
      </c>
      <c r="C477" s="52" t="str">
        <f aca="false">IF(L477="","",INDEX(ポート振替表!$B$5:$B$3507,$L477)&amp;" "&amp;INDEX(ポート振替表!$C$5:$C$3507,$L477)&amp;"  ⇔  "&amp;INDEX(ポート振替表!$H$5:$H$3507,$L477)&amp;" "&amp;INDEX(ポート振替表!$I$5:$I$3507,$L477))</f>
        <v/>
      </c>
      <c r="D477" s="57" t="s">
        <v>158</v>
      </c>
      <c r="E477" s="59" t="str">
        <f aca="false">IF(L477="","",IF(INDEX(ポート振替表!$O$5:$O$3507,$L477)="","(未設定)",INDEX(ポート振替表!$O$5:$O$3507,$L477)&amp;""))</f>
        <v/>
      </c>
      <c r="F477" s="52" t="str">
        <f aca="false">IF(L477="","",INDEX(ポート振替表!$K$5:$K$3507,$L477)&amp;" "&amp;INDEX(ポート振替表!$L$5:$L$3507,$L477)&amp;"  ⇔  "&amp;INDEX(ポート振替表!$H$5:$H$3507,$L477)&amp;" "&amp;INDEX(ポート振替表!$I$5:$I$3507,$L477))</f>
        <v/>
      </c>
      <c r="G477" s="57" t="s">
        <v>158</v>
      </c>
      <c r="H477" s="32" t="str">
        <f aca="false">IF(L477="","",INDEX(ポート振替表!$N$5:$N$3507,$L477)&amp;"")</f>
        <v/>
      </c>
      <c r="I477" s="32" t="str">
        <f aca="false">IF(L477="","",INDEX(ポート振替表!$P$5:$P$3507,$L477)&amp;"")</f>
        <v/>
      </c>
      <c r="J477" s="60" t="str">
        <f aca="false">IF(L477="","",INDEX(ポート振替表!$M$5:$M$3507,$L477)&amp;"")</f>
        <v/>
      </c>
      <c r="K477" s="52" t="str">
        <f aca="false">IF(L477="","",E477&amp;CHAR(10)&amp;INDEX(ポート振替表!$K$5:$K$3507,$L477)&amp;" "&amp;INDEX(ポート振替表!$L$5:$L$3507,$L477)&amp;CHAR(10)&amp;"⇔ "&amp;INDEX(ポート振替表!$H$5:$H$3507,$L477)&amp;" "&amp;INDEX(ポート振替表!$I$5:$I$3507,$L477))</f>
        <v/>
      </c>
      <c r="L477" s="47" t="str">
        <f aca="false">IFERROR(MATCH(ROW()-4,ポート振替表!$V$5:$V$3507,0),"")</f>
        <v/>
      </c>
    </row>
    <row r="478" customFormat="false" ht="16.4" hidden="false" customHeight="false" outlineLevel="0" collapsed="false">
      <c r="A478" s="32" t="str">
        <f aca="false">IF(L478="","",ROW()-4)</f>
        <v/>
      </c>
      <c r="B478" s="58" t="str">
        <f aca="false">IF(L478="","",IF(INDEX(ポート振替表!$W$5:$W$3507,$L478)="","(なし)",INDEX(ポート振替表!$W$5:$W$3507,$L478)&amp;""))</f>
        <v/>
      </c>
      <c r="C478" s="52" t="str">
        <f aca="false">IF(L478="","",INDEX(ポート振替表!$B$5:$B$3507,$L478)&amp;" "&amp;INDEX(ポート振替表!$C$5:$C$3507,$L478)&amp;"  ⇔  "&amp;INDEX(ポート振替表!$H$5:$H$3507,$L478)&amp;" "&amp;INDEX(ポート振替表!$I$5:$I$3507,$L478))</f>
        <v/>
      </c>
      <c r="D478" s="57" t="s">
        <v>158</v>
      </c>
      <c r="E478" s="59" t="str">
        <f aca="false">IF(L478="","",IF(INDEX(ポート振替表!$O$5:$O$3507,$L478)="","(未設定)",INDEX(ポート振替表!$O$5:$O$3507,$L478)&amp;""))</f>
        <v/>
      </c>
      <c r="F478" s="52" t="str">
        <f aca="false">IF(L478="","",INDEX(ポート振替表!$K$5:$K$3507,$L478)&amp;" "&amp;INDEX(ポート振替表!$L$5:$L$3507,$L478)&amp;"  ⇔  "&amp;INDEX(ポート振替表!$H$5:$H$3507,$L478)&amp;" "&amp;INDEX(ポート振替表!$I$5:$I$3507,$L478))</f>
        <v/>
      </c>
      <c r="G478" s="57" t="s">
        <v>158</v>
      </c>
      <c r="H478" s="32" t="str">
        <f aca="false">IF(L478="","",INDEX(ポート振替表!$N$5:$N$3507,$L478)&amp;"")</f>
        <v/>
      </c>
      <c r="I478" s="32" t="str">
        <f aca="false">IF(L478="","",INDEX(ポート振替表!$P$5:$P$3507,$L478)&amp;"")</f>
        <v/>
      </c>
      <c r="J478" s="60" t="str">
        <f aca="false">IF(L478="","",INDEX(ポート振替表!$M$5:$M$3507,$L478)&amp;"")</f>
        <v/>
      </c>
      <c r="K478" s="52" t="str">
        <f aca="false">IF(L478="","",E478&amp;CHAR(10)&amp;INDEX(ポート振替表!$K$5:$K$3507,$L478)&amp;" "&amp;INDEX(ポート振替表!$L$5:$L$3507,$L478)&amp;CHAR(10)&amp;"⇔ "&amp;INDEX(ポート振替表!$H$5:$H$3507,$L478)&amp;" "&amp;INDEX(ポート振替表!$I$5:$I$3507,$L478))</f>
        <v/>
      </c>
      <c r="L478" s="47" t="str">
        <f aca="false">IFERROR(MATCH(ROW()-4,ポート振替表!$V$5:$V$3507,0),"")</f>
        <v/>
      </c>
    </row>
    <row r="479" customFormat="false" ht="16.4" hidden="false" customHeight="false" outlineLevel="0" collapsed="false">
      <c r="A479" s="32" t="str">
        <f aca="false">IF(L479="","",ROW()-4)</f>
        <v/>
      </c>
      <c r="B479" s="58" t="str">
        <f aca="false">IF(L479="","",IF(INDEX(ポート振替表!$W$5:$W$3507,$L479)="","(なし)",INDEX(ポート振替表!$W$5:$W$3507,$L479)&amp;""))</f>
        <v/>
      </c>
      <c r="C479" s="52" t="str">
        <f aca="false">IF(L479="","",INDEX(ポート振替表!$B$5:$B$3507,$L479)&amp;" "&amp;INDEX(ポート振替表!$C$5:$C$3507,$L479)&amp;"  ⇔  "&amp;INDEX(ポート振替表!$H$5:$H$3507,$L479)&amp;" "&amp;INDEX(ポート振替表!$I$5:$I$3507,$L479))</f>
        <v/>
      </c>
      <c r="D479" s="57" t="s">
        <v>158</v>
      </c>
      <c r="E479" s="59" t="str">
        <f aca="false">IF(L479="","",IF(INDEX(ポート振替表!$O$5:$O$3507,$L479)="","(未設定)",INDEX(ポート振替表!$O$5:$O$3507,$L479)&amp;""))</f>
        <v/>
      </c>
      <c r="F479" s="52" t="str">
        <f aca="false">IF(L479="","",INDEX(ポート振替表!$K$5:$K$3507,$L479)&amp;" "&amp;INDEX(ポート振替表!$L$5:$L$3507,$L479)&amp;"  ⇔  "&amp;INDEX(ポート振替表!$H$5:$H$3507,$L479)&amp;" "&amp;INDEX(ポート振替表!$I$5:$I$3507,$L479))</f>
        <v/>
      </c>
      <c r="G479" s="57" t="s">
        <v>158</v>
      </c>
      <c r="H479" s="32" t="str">
        <f aca="false">IF(L479="","",INDEX(ポート振替表!$N$5:$N$3507,$L479)&amp;"")</f>
        <v/>
      </c>
      <c r="I479" s="32" t="str">
        <f aca="false">IF(L479="","",INDEX(ポート振替表!$P$5:$P$3507,$L479)&amp;"")</f>
        <v/>
      </c>
      <c r="J479" s="60" t="str">
        <f aca="false">IF(L479="","",INDEX(ポート振替表!$M$5:$M$3507,$L479)&amp;"")</f>
        <v/>
      </c>
      <c r="K479" s="52" t="str">
        <f aca="false">IF(L479="","",E479&amp;CHAR(10)&amp;INDEX(ポート振替表!$K$5:$K$3507,$L479)&amp;" "&amp;INDEX(ポート振替表!$L$5:$L$3507,$L479)&amp;CHAR(10)&amp;"⇔ "&amp;INDEX(ポート振替表!$H$5:$H$3507,$L479)&amp;" "&amp;INDEX(ポート振替表!$I$5:$I$3507,$L479))</f>
        <v/>
      </c>
      <c r="L479" s="47" t="str">
        <f aca="false">IFERROR(MATCH(ROW()-4,ポート振替表!$V$5:$V$3507,0),"")</f>
        <v/>
      </c>
    </row>
    <row r="480" customFormat="false" ht="16.4" hidden="false" customHeight="false" outlineLevel="0" collapsed="false">
      <c r="A480" s="32" t="str">
        <f aca="false">IF(L480="","",ROW()-4)</f>
        <v/>
      </c>
      <c r="B480" s="58" t="str">
        <f aca="false">IF(L480="","",IF(INDEX(ポート振替表!$W$5:$W$3507,$L480)="","(なし)",INDEX(ポート振替表!$W$5:$W$3507,$L480)&amp;""))</f>
        <v/>
      </c>
      <c r="C480" s="52" t="str">
        <f aca="false">IF(L480="","",INDEX(ポート振替表!$B$5:$B$3507,$L480)&amp;" "&amp;INDEX(ポート振替表!$C$5:$C$3507,$L480)&amp;"  ⇔  "&amp;INDEX(ポート振替表!$H$5:$H$3507,$L480)&amp;" "&amp;INDEX(ポート振替表!$I$5:$I$3507,$L480))</f>
        <v/>
      </c>
      <c r="D480" s="57" t="s">
        <v>158</v>
      </c>
      <c r="E480" s="59" t="str">
        <f aca="false">IF(L480="","",IF(INDEX(ポート振替表!$O$5:$O$3507,$L480)="","(未設定)",INDEX(ポート振替表!$O$5:$O$3507,$L480)&amp;""))</f>
        <v/>
      </c>
      <c r="F480" s="52" t="str">
        <f aca="false">IF(L480="","",INDEX(ポート振替表!$K$5:$K$3507,$L480)&amp;" "&amp;INDEX(ポート振替表!$L$5:$L$3507,$L480)&amp;"  ⇔  "&amp;INDEX(ポート振替表!$H$5:$H$3507,$L480)&amp;" "&amp;INDEX(ポート振替表!$I$5:$I$3507,$L480))</f>
        <v/>
      </c>
      <c r="G480" s="57" t="s">
        <v>158</v>
      </c>
      <c r="H480" s="32" t="str">
        <f aca="false">IF(L480="","",INDEX(ポート振替表!$N$5:$N$3507,$L480)&amp;"")</f>
        <v/>
      </c>
      <c r="I480" s="32" t="str">
        <f aca="false">IF(L480="","",INDEX(ポート振替表!$P$5:$P$3507,$L480)&amp;"")</f>
        <v/>
      </c>
      <c r="J480" s="60" t="str">
        <f aca="false">IF(L480="","",INDEX(ポート振替表!$M$5:$M$3507,$L480)&amp;"")</f>
        <v/>
      </c>
      <c r="K480" s="52" t="str">
        <f aca="false">IF(L480="","",E480&amp;CHAR(10)&amp;INDEX(ポート振替表!$K$5:$K$3507,$L480)&amp;" "&amp;INDEX(ポート振替表!$L$5:$L$3507,$L480)&amp;CHAR(10)&amp;"⇔ "&amp;INDEX(ポート振替表!$H$5:$H$3507,$L480)&amp;" "&amp;INDEX(ポート振替表!$I$5:$I$3507,$L480))</f>
        <v/>
      </c>
      <c r="L480" s="47" t="str">
        <f aca="false">IFERROR(MATCH(ROW()-4,ポート振替表!$V$5:$V$3507,0),"")</f>
        <v/>
      </c>
    </row>
    <row r="481" customFormat="false" ht="16.4" hidden="false" customHeight="false" outlineLevel="0" collapsed="false">
      <c r="A481" s="32" t="str">
        <f aca="false">IF(L481="","",ROW()-4)</f>
        <v/>
      </c>
      <c r="B481" s="58" t="str">
        <f aca="false">IF(L481="","",IF(INDEX(ポート振替表!$W$5:$W$3507,$L481)="","(なし)",INDEX(ポート振替表!$W$5:$W$3507,$L481)&amp;""))</f>
        <v/>
      </c>
      <c r="C481" s="52" t="str">
        <f aca="false">IF(L481="","",INDEX(ポート振替表!$B$5:$B$3507,$L481)&amp;" "&amp;INDEX(ポート振替表!$C$5:$C$3507,$L481)&amp;"  ⇔  "&amp;INDEX(ポート振替表!$H$5:$H$3507,$L481)&amp;" "&amp;INDEX(ポート振替表!$I$5:$I$3507,$L481))</f>
        <v/>
      </c>
      <c r="D481" s="57" t="s">
        <v>158</v>
      </c>
      <c r="E481" s="59" t="str">
        <f aca="false">IF(L481="","",IF(INDEX(ポート振替表!$O$5:$O$3507,$L481)="","(未設定)",INDEX(ポート振替表!$O$5:$O$3507,$L481)&amp;""))</f>
        <v/>
      </c>
      <c r="F481" s="52" t="str">
        <f aca="false">IF(L481="","",INDEX(ポート振替表!$K$5:$K$3507,$L481)&amp;" "&amp;INDEX(ポート振替表!$L$5:$L$3507,$L481)&amp;"  ⇔  "&amp;INDEX(ポート振替表!$H$5:$H$3507,$L481)&amp;" "&amp;INDEX(ポート振替表!$I$5:$I$3507,$L481))</f>
        <v/>
      </c>
      <c r="G481" s="57" t="s">
        <v>158</v>
      </c>
      <c r="H481" s="32" t="str">
        <f aca="false">IF(L481="","",INDEX(ポート振替表!$N$5:$N$3507,$L481)&amp;"")</f>
        <v/>
      </c>
      <c r="I481" s="32" t="str">
        <f aca="false">IF(L481="","",INDEX(ポート振替表!$P$5:$P$3507,$L481)&amp;"")</f>
        <v/>
      </c>
      <c r="J481" s="60" t="str">
        <f aca="false">IF(L481="","",INDEX(ポート振替表!$M$5:$M$3507,$L481)&amp;"")</f>
        <v/>
      </c>
      <c r="K481" s="52" t="str">
        <f aca="false">IF(L481="","",E481&amp;CHAR(10)&amp;INDEX(ポート振替表!$K$5:$K$3507,$L481)&amp;" "&amp;INDEX(ポート振替表!$L$5:$L$3507,$L481)&amp;CHAR(10)&amp;"⇔ "&amp;INDEX(ポート振替表!$H$5:$H$3507,$L481)&amp;" "&amp;INDEX(ポート振替表!$I$5:$I$3507,$L481))</f>
        <v/>
      </c>
      <c r="L481" s="47" t="str">
        <f aca="false">IFERROR(MATCH(ROW()-4,ポート振替表!$V$5:$V$3507,0),"")</f>
        <v/>
      </c>
    </row>
    <row r="482" customFormat="false" ht="16.4" hidden="false" customHeight="false" outlineLevel="0" collapsed="false">
      <c r="A482" s="32" t="str">
        <f aca="false">IF(L482="","",ROW()-4)</f>
        <v/>
      </c>
      <c r="B482" s="58" t="str">
        <f aca="false">IF(L482="","",IF(INDEX(ポート振替表!$W$5:$W$3507,$L482)="","(なし)",INDEX(ポート振替表!$W$5:$W$3507,$L482)&amp;""))</f>
        <v/>
      </c>
      <c r="C482" s="52" t="str">
        <f aca="false">IF(L482="","",INDEX(ポート振替表!$B$5:$B$3507,$L482)&amp;" "&amp;INDEX(ポート振替表!$C$5:$C$3507,$L482)&amp;"  ⇔  "&amp;INDEX(ポート振替表!$H$5:$H$3507,$L482)&amp;" "&amp;INDEX(ポート振替表!$I$5:$I$3507,$L482))</f>
        <v/>
      </c>
      <c r="D482" s="57" t="s">
        <v>158</v>
      </c>
      <c r="E482" s="59" t="str">
        <f aca="false">IF(L482="","",IF(INDEX(ポート振替表!$O$5:$O$3507,$L482)="","(未設定)",INDEX(ポート振替表!$O$5:$O$3507,$L482)&amp;""))</f>
        <v/>
      </c>
      <c r="F482" s="52" t="str">
        <f aca="false">IF(L482="","",INDEX(ポート振替表!$K$5:$K$3507,$L482)&amp;" "&amp;INDEX(ポート振替表!$L$5:$L$3507,$L482)&amp;"  ⇔  "&amp;INDEX(ポート振替表!$H$5:$H$3507,$L482)&amp;" "&amp;INDEX(ポート振替表!$I$5:$I$3507,$L482))</f>
        <v/>
      </c>
      <c r="G482" s="57" t="s">
        <v>158</v>
      </c>
      <c r="H482" s="32" t="str">
        <f aca="false">IF(L482="","",INDEX(ポート振替表!$N$5:$N$3507,$L482)&amp;"")</f>
        <v/>
      </c>
      <c r="I482" s="32" t="str">
        <f aca="false">IF(L482="","",INDEX(ポート振替表!$P$5:$P$3507,$L482)&amp;"")</f>
        <v/>
      </c>
      <c r="J482" s="60" t="str">
        <f aca="false">IF(L482="","",INDEX(ポート振替表!$M$5:$M$3507,$L482)&amp;"")</f>
        <v/>
      </c>
      <c r="K482" s="52" t="str">
        <f aca="false">IF(L482="","",E482&amp;CHAR(10)&amp;INDEX(ポート振替表!$K$5:$K$3507,$L482)&amp;" "&amp;INDEX(ポート振替表!$L$5:$L$3507,$L482)&amp;CHAR(10)&amp;"⇔ "&amp;INDEX(ポート振替表!$H$5:$H$3507,$L482)&amp;" "&amp;INDEX(ポート振替表!$I$5:$I$3507,$L482))</f>
        <v/>
      </c>
      <c r="L482" s="47" t="str">
        <f aca="false">IFERROR(MATCH(ROW()-4,ポート振替表!$V$5:$V$3507,0),"")</f>
        <v/>
      </c>
    </row>
    <row r="483" customFormat="false" ht="16.4" hidden="false" customHeight="false" outlineLevel="0" collapsed="false">
      <c r="A483" s="32" t="str">
        <f aca="false">IF(L483="","",ROW()-4)</f>
        <v/>
      </c>
      <c r="B483" s="58" t="str">
        <f aca="false">IF(L483="","",IF(INDEX(ポート振替表!$W$5:$W$3507,$L483)="","(なし)",INDEX(ポート振替表!$W$5:$W$3507,$L483)&amp;""))</f>
        <v/>
      </c>
      <c r="C483" s="52" t="str">
        <f aca="false">IF(L483="","",INDEX(ポート振替表!$B$5:$B$3507,$L483)&amp;" "&amp;INDEX(ポート振替表!$C$5:$C$3507,$L483)&amp;"  ⇔  "&amp;INDEX(ポート振替表!$H$5:$H$3507,$L483)&amp;" "&amp;INDEX(ポート振替表!$I$5:$I$3507,$L483))</f>
        <v/>
      </c>
      <c r="D483" s="57" t="s">
        <v>158</v>
      </c>
      <c r="E483" s="59" t="str">
        <f aca="false">IF(L483="","",IF(INDEX(ポート振替表!$O$5:$O$3507,$L483)="","(未設定)",INDEX(ポート振替表!$O$5:$O$3507,$L483)&amp;""))</f>
        <v/>
      </c>
      <c r="F483" s="52" t="str">
        <f aca="false">IF(L483="","",INDEX(ポート振替表!$K$5:$K$3507,$L483)&amp;" "&amp;INDEX(ポート振替表!$L$5:$L$3507,$L483)&amp;"  ⇔  "&amp;INDEX(ポート振替表!$H$5:$H$3507,$L483)&amp;" "&amp;INDEX(ポート振替表!$I$5:$I$3507,$L483))</f>
        <v/>
      </c>
      <c r="G483" s="57" t="s">
        <v>158</v>
      </c>
      <c r="H483" s="32" t="str">
        <f aca="false">IF(L483="","",INDEX(ポート振替表!$N$5:$N$3507,$L483)&amp;"")</f>
        <v/>
      </c>
      <c r="I483" s="32" t="str">
        <f aca="false">IF(L483="","",INDEX(ポート振替表!$P$5:$P$3507,$L483)&amp;"")</f>
        <v/>
      </c>
      <c r="J483" s="60" t="str">
        <f aca="false">IF(L483="","",INDEX(ポート振替表!$M$5:$M$3507,$L483)&amp;"")</f>
        <v/>
      </c>
      <c r="K483" s="52" t="str">
        <f aca="false">IF(L483="","",E483&amp;CHAR(10)&amp;INDEX(ポート振替表!$K$5:$K$3507,$L483)&amp;" "&amp;INDEX(ポート振替表!$L$5:$L$3507,$L483)&amp;CHAR(10)&amp;"⇔ "&amp;INDEX(ポート振替表!$H$5:$H$3507,$L483)&amp;" "&amp;INDEX(ポート振替表!$I$5:$I$3507,$L483))</f>
        <v/>
      </c>
      <c r="L483" s="47" t="str">
        <f aca="false">IFERROR(MATCH(ROW()-4,ポート振替表!$V$5:$V$3507,0),"")</f>
        <v/>
      </c>
    </row>
    <row r="484" customFormat="false" ht="16.4" hidden="false" customHeight="false" outlineLevel="0" collapsed="false">
      <c r="A484" s="32" t="str">
        <f aca="false">IF(L484="","",ROW()-4)</f>
        <v/>
      </c>
      <c r="B484" s="58" t="str">
        <f aca="false">IF(L484="","",IF(INDEX(ポート振替表!$W$5:$W$3507,$L484)="","(なし)",INDEX(ポート振替表!$W$5:$W$3507,$L484)&amp;""))</f>
        <v/>
      </c>
      <c r="C484" s="52" t="str">
        <f aca="false">IF(L484="","",INDEX(ポート振替表!$B$5:$B$3507,$L484)&amp;" "&amp;INDEX(ポート振替表!$C$5:$C$3507,$L484)&amp;"  ⇔  "&amp;INDEX(ポート振替表!$H$5:$H$3507,$L484)&amp;" "&amp;INDEX(ポート振替表!$I$5:$I$3507,$L484))</f>
        <v/>
      </c>
      <c r="D484" s="57" t="s">
        <v>158</v>
      </c>
      <c r="E484" s="59" t="str">
        <f aca="false">IF(L484="","",IF(INDEX(ポート振替表!$O$5:$O$3507,$L484)="","(未設定)",INDEX(ポート振替表!$O$5:$O$3507,$L484)&amp;""))</f>
        <v/>
      </c>
      <c r="F484" s="52" t="str">
        <f aca="false">IF(L484="","",INDEX(ポート振替表!$K$5:$K$3507,$L484)&amp;" "&amp;INDEX(ポート振替表!$L$5:$L$3507,$L484)&amp;"  ⇔  "&amp;INDEX(ポート振替表!$H$5:$H$3507,$L484)&amp;" "&amp;INDEX(ポート振替表!$I$5:$I$3507,$L484))</f>
        <v/>
      </c>
      <c r="G484" s="57" t="s">
        <v>158</v>
      </c>
      <c r="H484" s="32" t="str">
        <f aca="false">IF(L484="","",INDEX(ポート振替表!$N$5:$N$3507,$L484)&amp;"")</f>
        <v/>
      </c>
      <c r="I484" s="32" t="str">
        <f aca="false">IF(L484="","",INDEX(ポート振替表!$P$5:$P$3507,$L484)&amp;"")</f>
        <v/>
      </c>
      <c r="J484" s="60" t="str">
        <f aca="false">IF(L484="","",INDEX(ポート振替表!$M$5:$M$3507,$L484)&amp;"")</f>
        <v/>
      </c>
      <c r="K484" s="52" t="str">
        <f aca="false">IF(L484="","",E484&amp;CHAR(10)&amp;INDEX(ポート振替表!$K$5:$K$3507,$L484)&amp;" "&amp;INDEX(ポート振替表!$L$5:$L$3507,$L484)&amp;CHAR(10)&amp;"⇔ "&amp;INDEX(ポート振替表!$H$5:$H$3507,$L484)&amp;" "&amp;INDEX(ポート振替表!$I$5:$I$3507,$L484))</f>
        <v/>
      </c>
      <c r="L484" s="47" t="str">
        <f aca="false">IFERROR(MATCH(ROW()-4,ポート振替表!$V$5:$V$3507,0),"")</f>
        <v/>
      </c>
    </row>
    <row r="485" customFormat="false" ht="16.4" hidden="false" customHeight="false" outlineLevel="0" collapsed="false">
      <c r="A485" s="32" t="str">
        <f aca="false">IF(L485="","",ROW()-4)</f>
        <v/>
      </c>
      <c r="B485" s="58" t="str">
        <f aca="false">IF(L485="","",IF(INDEX(ポート振替表!$W$5:$W$3507,$L485)="","(なし)",INDEX(ポート振替表!$W$5:$W$3507,$L485)&amp;""))</f>
        <v/>
      </c>
      <c r="C485" s="52" t="str">
        <f aca="false">IF(L485="","",INDEX(ポート振替表!$B$5:$B$3507,$L485)&amp;" "&amp;INDEX(ポート振替表!$C$5:$C$3507,$L485)&amp;"  ⇔  "&amp;INDEX(ポート振替表!$H$5:$H$3507,$L485)&amp;" "&amp;INDEX(ポート振替表!$I$5:$I$3507,$L485))</f>
        <v/>
      </c>
      <c r="D485" s="57" t="s">
        <v>158</v>
      </c>
      <c r="E485" s="59" t="str">
        <f aca="false">IF(L485="","",IF(INDEX(ポート振替表!$O$5:$O$3507,$L485)="","(未設定)",INDEX(ポート振替表!$O$5:$O$3507,$L485)&amp;""))</f>
        <v/>
      </c>
      <c r="F485" s="52" t="str">
        <f aca="false">IF(L485="","",INDEX(ポート振替表!$K$5:$K$3507,$L485)&amp;" "&amp;INDEX(ポート振替表!$L$5:$L$3507,$L485)&amp;"  ⇔  "&amp;INDEX(ポート振替表!$H$5:$H$3507,$L485)&amp;" "&amp;INDEX(ポート振替表!$I$5:$I$3507,$L485))</f>
        <v/>
      </c>
      <c r="G485" s="57" t="s">
        <v>158</v>
      </c>
      <c r="H485" s="32" t="str">
        <f aca="false">IF(L485="","",INDEX(ポート振替表!$N$5:$N$3507,$L485)&amp;"")</f>
        <v/>
      </c>
      <c r="I485" s="32" t="str">
        <f aca="false">IF(L485="","",INDEX(ポート振替表!$P$5:$P$3507,$L485)&amp;"")</f>
        <v/>
      </c>
      <c r="J485" s="60" t="str">
        <f aca="false">IF(L485="","",INDEX(ポート振替表!$M$5:$M$3507,$L485)&amp;"")</f>
        <v/>
      </c>
      <c r="K485" s="52" t="str">
        <f aca="false">IF(L485="","",E485&amp;CHAR(10)&amp;INDEX(ポート振替表!$K$5:$K$3507,$L485)&amp;" "&amp;INDEX(ポート振替表!$L$5:$L$3507,$L485)&amp;CHAR(10)&amp;"⇔ "&amp;INDEX(ポート振替表!$H$5:$H$3507,$L485)&amp;" "&amp;INDEX(ポート振替表!$I$5:$I$3507,$L485))</f>
        <v/>
      </c>
      <c r="L485" s="47" t="str">
        <f aca="false">IFERROR(MATCH(ROW()-4,ポート振替表!$V$5:$V$3507,0),"")</f>
        <v/>
      </c>
    </row>
    <row r="486" customFormat="false" ht="16.4" hidden="false" customHeight="false" outlineLevel="0" collapsed="false">
      <c r="A486" s="32" t="str">
        <f aca="false">IF(L486="","",ROW()-4)</f>
        <v/>
      </c>
      <c r="B486" s="58" t="str">
        <f aca="false">IF(L486="","",IF(INDEX(ポート振替表!$W$5:$W$3507,$L486)="","(なし)",INDEX(ポート振替表!$W$5:$W$3507,$L486)&amp;""))</f>
        <v/>
      </c>
      <c r="C486" s="52" t="str">
        <f aca="false">IF(L486="","",INDEX(ポート振替表!$B$5:$B$3507,$L486)&amp;" "&amp;INDEX(ポート振替表!$C$5:$C$3507,$L486)&amp;"  ⇔  "&amp;INDEX(ポート振替表!$H$5:$H$3507,$L486)&amp;" "&amp;INDEX(ポート振替表!$I$5:$I$3507,$L486))</f>
        <v/>
      </c>
      <c r="D486" s="57" t="s">
        <v>158</v>
      </c>
      <c r="E486" s="59" t="str">
        <f aca="false">IF(L486="","",IF(INDEX(ポート振替表!$O$5:$O$3507,$L486)="","(未設定)",INDEX(ポート振替表!$O$5:$O$3507,$L486)&amp;""))</f>
        <v/>
      </c>
      <c r="F486" s="52" t="str">
        <f aca="false">IF(L486="","",INDEX(ポート振替表!$K$5:$K$3507,$L486)&amp;" "&amp;INDEX(ポート振替表!$L$5:$L$3507,$L486)&amp;"  ⇔  "&amp;INDEX(ポート振替表!$H$5:$H$3507,$L486)&amp;" "&amp;INDEX(ポート振替表!$I$5:$I$3507,$L486))</f>
        <v/>
      </c>
      <c r="G486" s="57" t="s">
        <v>158</v>
      </c>
      <c r="H486" s="32" t="str">
        <f aca="false">IF(L486="","",INDEX(ポート振替表!$N$5:$N$3507,$L486)&amp;"")</f>
        <v/>
      </c>
      <c r="I486" s="32" t="str">
        <f aca="false">IF(L486="","",INDEX(ポート振替表!$P$5:$P$3507,$L486)&amp;"")</f>
        <v/>
      </c>
      <c r="J486" s="60" t="str">
        <f aca="false">IF(L486="","",INDEX(ポート振替表!$M$5:$M$3507,$L486)&amp;"")</f>
        <v/>
      </c>
      <c r="K486" s="52" t="str">
        <f aca="false">IF(L486="","",E486&amp;CHAR(10)&amp;INDEX(ポート振替表!$K$5:$K$3507,$L486)&amp;" "&amp;INDEX(ポート振替表!$L$5:$L$3507,$L486)&amp;CHAR(10)&amp;"⇔ "&amp;INDEX(ポート振替表!$H$5:$H$3507,$L486)&amp;" "&amp;INDEX(ポート振替表!$I$5:$I$3507,$L486))</f>
        <v/>
      </c>
      <c r="L486" s="47" t="str">
        <f aca="false">IFERROR(MATCH(ROW()-4,ポート振替表!$V$5:$V$3507,0),"")</f>
        <v/>
      </c>
    </row>
    <row r="487" customFormat="false" ht="16.4" hidden="false" customHeight="false" outlineLevel="0" collapsed="false">
      <c r="A487" s="32" t="str">
        <f aca="false">IF(L487="","",ROW()-4)</f>
        <v/>
      </c>
      <c r="B487" s="58" t="str">
        <f aca="false">IF(L487="","",IF(INDEX(ポート振替表!$W$5:$W$3507,$L487)="","(なし)",INDEX(ポート振替表!$W$5:$W$3507,$L487)&amp;""))</f>
        <v/>
      </c>
      <c r="C487" s="52" t="str">
        <f aca="false">IF(L487="","",INDEX(ポート振替表!$B$5:$B$3507,$L487)&amp;" "&amp;INDEX(ポート振替表!$C$5:$C$3507,$L487)&amp;"  ⇔  "&amp;INDEX(ポート振替表!$H$5:$H$3507,$L487)&amp;" "&amp;INDEX(ポート振替表!$I$5:$I$3507,$L487))</f>
        <v/>
      </c>
      <c r="D487" s="57" t="s">
        <v>158</v>
      </c>
      <c r="E487" s="59" t="str">
        <f aca="false">IF(L487="","",IF(INDEX(ポート振替表!$O$5:$O$3507,$L487)="","(未設定)",INDEX(ポート振替表!$O$5:$O$3507,$L487)&amp;""))</f>
        <v/>
      </c>
      <c r="F487" s="52" t="str">
        <f aca="false">IF(L487="","",INDEX(ポート振替表!$K$5:$K$3507,$L487)&amp;" "&amp;INDEX(ポート振替表!$L$5:$L$3507,$L487)&amp;"  ⇔  "&amp;INDEX(ポート振替表!$H$5:$H$3507,$L487)&amp;" "&amp;INDEX(ポート振替表!$I$5:$I$3507,$L487))</f>
        <v/>
      </c>
      <c r="G487" s="57" t="s">
        <v>158</v>
      </c>
      <c r="H487" s="32" t="str">
        <f aca="false">IF(L487="","",INDEX(ポート振替表!$N$5:$N$3507,$L487)&amp;"")</f>
        <v/>
      </c>
      <c r="I487" s="32" t="str">
        <f aca="false">IF(L487="","",INDEX(ポート振替表!$P$5:$P$3507,$L487)&amp;"")</f>
        <v/>
      </c>
      <c r="J487" s="60" t="str">
        <f aca="false">IF(L487="","",INDEX(ポート振替表!$M$5:$M$3507,$L487)&amp;"")</f>
        <v/>
      </c>
      <c r="K487" s="52" t="str">
        <f aca="false">IF(L487="","",E487&amp;CHAR(10)&amp;INDEX(ポート振替表!$K$5:$K$3507,$L487)&amp;" "&amp;INDEX(ポート振替表!$L$5:$L$3507,$L487)&amp;CHAR(10)&amp;"⇔ "&amp;INDEX(ポート振替表!$H$5:$H$3507,$L487)&amp;" "&amp;INDEX(ポート振替表!$I$5:$I$3507,$L487))</f>
        <v/>
      </c>
      <c r="L487" s="47" t="str">
        <f aca="false">IFERROR(MATCH(ROW()-4,ポート振替表!$V$5:$V$3507,0),"")</f>
        <v/>
      </c>
    </row>
    <row r="488" customFormat="false" ht="16.4" hidden="false" customHeight="false" outlineLevel="0" collapsed="false">
      <c r="A488" s="32" t="str">
        <f aca="false">IF(L488="","",ROW()-4)</f>
        <v/>
      </c>
      <c r="B488" s="58" t="str">
        <f aca="false">IF(L488="","",IF(INDEX(ポート振替表!$W$5:$W$3507,$L488)="","(なし)",INDEX(ポート振替表!$W$5:$W$3507,$L488)&amp;""))</f>
        <v/>
      </c>
      <c r="C488" s="52" t="str">
        <f aca="false">IF(L488="","",INDEX(ポート振替表!$B$5:$B$3507,$L488)&amp;" "&amp;INDEX(ポート振替表!$C$5:$C$3507,$L488)&amp;"  ⇔  "&amp;INDEX(ポート振替表!$H$5:$H$3507,$L488)&amp;" "&amp;INDEX(ポート振替表!$I$5:$I$3507,$L488))</f>
        <v/>
      </c>
      <c r="D488" s="57" t="s">
        <v>158</v>
      </c>
      <c r="E488" s="59" t="str">
        <f aca="false">IF(L488="","",IF(INDEX(ポート振替表!$O$5:$O$3507,$L488)="","(未設定)",INDEX(ポート振替表!$O$5:$O$3507,$L488)&amp;""))</f>
        <v/>
      </c>
      <c r="F488" s="52" t="str">
        <f aca="false">IF(L488="","",INDEX(ポート振替表!$K$5:$K$3507,$L488)&amp;" "&amp;INDEX(ポート振替表!$L$5:$L$3507,$L488)&amp;"  ⇔  "&amp;INDEX(ポート振替表!$H$5:$H$3507,$L488)&amp;" "&amp;INDEX(ポート振替表!$I$5:$I$3507,$L488))</f>
        <v/>
      </c>
      <c r="G488" s="57" t="s">
        <v>158</v>
      </c>
      <c r="H488" s="32" t="str">
        <f aca="false">IF(L488="","",INDEX(ポート振替表!$N$5:$N$3507,$L488)&amp;"")</f>
        <v/>
      </c>
      <c r="I488" s="32" t="str">
        <f aca="false">IF(L488="","",INDEX(ポート振替表!$P$5:$P$3507,$L488)&amp;"")</f>
        <v/>
      </c>
      <c r="J488" s="60" t="str">
        <f aca="false">IF(L488="","",INDEX(ポート振替表!$M$5:$M$3507,$L488)&amp;"")</f>
        <v/>
      </c>
      <c r="K488" s="52" t="str">
        <f aca="false">IF(L488="","",E488&amp;CHAR(10)&amp;INDEX(ポート振替表!$K$5:$K$3507,$L488)&amp;" "&amp;INDEX(ポート振替表!$L$5:$L$3507,$L488)&amp;CHAR(10)&amp;"⇔ "&amp;INDEX(ポート振替表!$H$5:$H$3507,$L488)&amp;" "&amp;INDEX(ポート振替表!$I$5:$I$3507,$L488))</f>
        <v/>
      </c>
      <c r="L488" s="47" t="str">
        <f aca="false">IFERROR(MATCH(ROW()-4,ポート振替表!$V$5:$V$3507,0),"")</f>
        <v/>
      </c>
    </row>
    <row r="489" customFormat="false" ht="16.4" hidden="false" customHeight="false" outlineLevel="0" collapsed="false">
      <c r="A489" s="32" t="str">
        <f aca="false">IF(L489="","",ROW()-4)</f>
        <v/>
      </c>
      <c r="B489" s="58" t="str">
        <f aca="false">IF(L489="","",IF(INDEX(ポート振替表!$W$5:$W$3507,$L489)="","(なし)",INDEX(ポート振替表!$W$5:$W$3507,$L489)&amp;""))</f>
        <v/>
      </c>
      <c r="C489" s="52" t="str">
        <f aca="false">IF(L489="","",INDEX(ポート振替表!$B$5:$B$3507,$L489)&amp;" "&amp;INDEX(ポート振替表!$C$5:$C$3507,$L489)&amp;"  ⇔  "&amp;INDEX(ポート振替表!$H$5:$H$3507,$L489)&amp;" "&amp;INDEX(ポート振替表!$I$5:$I$3507,$L489))</f>
        <v/>
      </c>
      <c r="D489" s="57" t="s">
        <v>158</v>
      </c>
      <c r="E489" s="59" t="str">
        <f aca="false">IF(L489="","",IF(INDEX(ポート振替表!$O$5:$O$3507,$L489)="","(未設定)",INDEX(ポート振替表!$O$5:$O$3507,$L489)&amp;""))</f>
        <v/>
      </c>
      <c r="F489" s="52" t="str">
        <f aca="false">IF(L489="","",INDEX(ポート振替表!$K$5:$K$3507,$L489)&amp;" "&amp;INDEX(ポート振替表!$L$5:$L$3507,$L489)&amp;"  ⇔  "&amp;INDEX(ポート振替表!$H$5:$H$3507,$L489)&amp;" "&amp;INDEX(ポート振替表!$I$5:$I$3507,$L489))</f>
        <v/>
      </c>
      <c r="G489" s="57" t="s">
        <v>158</v>
      </c>
      <c r="H489" s="32" t="str">
        <f aca="false">IF(L489="","",INDEX(ポート振替表!$N$5:$N$3507,$L489)&amp;"")</f>
        <v/>
      </c>
      <c r="I489" s="32" t="str">
        <f aca="false">IF(L489="","",INDEX(ポート振替表!$P$5:$P$3507,$L489)&amp;"")</f>
        <v/>
      </c>
      <c r="J489" s="60" t="str">
        <f aca="false">IF(L489="","",INDEX(ポート振替表!$M$5:$M$3507,$L489)&amp;"")</f>
        <v/>
      </c>
      <c r="K489" s="52" t="str">
        <f aca="false">IF(L489="","",E489&amp;CHAR(10)&amp;INDEX(ポート振替表!$K$5:$K$3507,$L489)&amp;" "&amp;INDEX(ポート振替表!$L$5:$L$3507,$L489)&amp;CHAR(10)&amp;"⇔ "&amp;INDEX(ポート振替表!$H$5:$H$3507,$L489)&amp;" "&amp;INDEX(ポート振替表!$I$5:$I$3507,$L489))</f>
        <v/>
      </c>
      <c r="L489" s="47" t="str">
        <f aca="false">IFERROR(MATCH(ROW()-4,ポート振替表!$V$5:$V$3507,0),"")</f>
        <v/>
      </c>
    </row>
    <row r="490" customFormat="false" ht="16.4" hidden="false" customHeight="false" outlineLevel="0" collapsed="false">
      <c r="A490" s="32" t="str">
        <f aca="false">IF(L490="","",ROW()-4)</f>
        <v/>
      </c>
      <c r="B490" s="58" t="str">
        <f aca="false">IF(L490="","",IF(INDEX(ポート振替表!$W$5:$W$3507,$L490)="","(なし)",INDEX(ポート振替表!$W$5:$W$3507,$L490)&amp;""))</f>
        <v/>
      </c>
      <c r="C490" s="52" t="str">
        <f aca="false">IF(L490="","",INDEX(ポート振替表!$B$5:$B$3507,$L490)&amp;" "&amp;INDEX(ポート振替表!$C$5:$C$3507,$L490)&amp;"  ⇔  "&amp;INDEX(ポート振替表!$H$5:$H$3507,$L490)&amp;" "&amp;INDEX(ポート振替表!$I$5:$I$3507,$L490))</f>
        <v/>
      </c>
      <c r="D490" s="57" t="s">
        <v>158</v>
      </c>
      <c r="E490" s="59" t="str">
        <f aca="false">IF(L490="","",IF(INDEX(ポート振替表!$O$5:$O$3507,$L490)="","(未設定)",INDEX(ポート振替表!$O$5:$O$3507,$L490)&amp;""))</f>
        <v/>
      </c>
      <c r="F490" s="52" t="str">
        <f aca="false">IF(L490="","",INDEX(ポート振替表!$K$5:$K$3507,$L490)&amp;" "&amp;INDEX(ポート振替表!$L$5:$L$3507,$L490)&amp;"  ⇔  "&amp;INDEX(ポート振替表!$H$5:$H$3507,$L490)&amp;" "&amp;INDEX(ポート振替表!$I$5:$I$3507,$L490))</f>
        <v/>
      </c>
      <c r="G490" s="57" t="s">
        <v>158</v>
      </c>
      <c r="H490" s="32" t="str">
        <f aca="false">IF(L490="","",INDEX(ポート振替表!$N$5:$N$3507,$L490)&amp;"")</f>
        <v/>
      </c>
      <c r="I490" s="32" t="str">
        <f aca="false">IF(L490="","",INDEX(ポート振替表!$P$5:$P$3507,$L490)&amp;"")</f>
        <v/>
      </c>
      <c r="J490" s="60" t="str">
        <f aca="false">IF(L490="","",INDEX(ポート振替表!$M$5:$M$3507,$L490)&amp;"")</f>
        <v/>
      </c>
      <c r="K490" s="52" t="str">
        <f aca="false">IF(L490="","",E490&amp;CHAR(10)&amp;INDEX(ポート振替表!$K$5:$K$3507,$L490)&amp;" "&amp;INDEX(ポート振替表!$L$5:$L$3507,$L490)&amp;CHAR(10)&amp;"⇔ "&amp;INDEX(ポート振替表!$H$5:$H$3507,$L490)&amp;" "&amp;INDEX(ポート振替表!$I$5:$I$3507,$L490))</f>
        <v/>
      </c>
      <c r="L490" s="47" t="str">
        <f aca="false">IFERROR(MATCH(ROW()-4,ポート振替表!$V$5:$V$3507,0),"")</f>
        <v/>
      </c>
    </row>
    <row r="491" customFormat="false" ht="16.4" hidden="false" customHeight="false" outlineLevel="0" collapsed="false">
      <c r="A491" s="32" t="str">
        <f aca="false">IF(L491="","",ROW()-4)</f>
        <v/>
      </c>
      <c r="B491" s="58" t="str">
        <f aca="false">IF(L491="","",IF(INDEX(ポート振替表!$W$5:$W$3507,$L491)="","(なし)",INDEX(ポート振替表!$W$5:$W$3507,$L491)&amp;""))</f>
        <v/>
      </c>
      <c r="C491" s="52" t="str">
        <f aca="false">IF(L491="","",INDEX(ポート振替表!$B$5:$B$3507,$L491)&amp;" "&amp;INDEX(ポート振替表!$C$5:$C$3507,$L491)&amp;"  ⇔  "&amp;INDEX(ポート振替表!$H$5:$H$3507,$L491)&amp;" "&amp;INDEX(ポート振替表!$I$5:$I$3507,$L491))</f>
        <v/>
      </c>
      <c r="D491" s="57" t="s">
        <v>158</v>
      </c>
      <c r="E491" s="59" t="str">
        <f aca="false">IF(L491="","",IF(INDEX(ポート振替表!$O$5:$O$3507,$L491)="","(未設定)",INDEX(ポート振替表!$O$5:$O$3507,$L491)&amp;""))</f>
        <v/>
      </c>
      <c r="F491" s="52" t="str">
        <f aca="false">IF(L491="","",INDEX(ポート振替表!$K$5:$K$3507,$L491)&amp;" "&amp;INDEX(ポート振替表!$L$5:$L$3507,$L491)&amp;"  ⇔  "&amp;INDEX(ポート振替表!$H$5:$H$3507,$L491)&amp;" "&amp;INDEX(ポート振替表!$I$5:$I$3507,$L491))</f>
        <v/>
      </c>
      <c r="G491" s="57" t="s">
        <v>158</v>
      </c>
      <c r="H491" s="32" t="str">
        <f aca="false">IF(L491="","",INDEX(ポート振替表!$N$5:$N$3507,$L491)&amp;"")</f>
        <v/>
      </c>
      <c r="I491" s="32" t="str">
        <f aca="false">IF(L491="","",INDEX(ポート振替表!$P$5:$P$3507,$L491)&amp;"")</f>
        <v/>
      </c>
      <c r="J491" s="60" t="str">
        <f aca="false">IF(L491="","",INDEX(ポート振替表!$M$5:$M$3507,$L491)&amp;"")</f>
        <v/>
      </c>
      <c r="K491" s="52" t="str">
        <f aca="false">IF(L491="","",E491&amp;CHAR(10)&amp;INDEX(ポート振替表!$K$5:$K$3507,$L491)&amp;" "&amp;INDEX(ポート振替表!$L$5:$L$3507,$L491)&amp;CHAR(10)&amp;"⇔ "&amp;INDEX(ポート振替表!$H$5:$H$3507,$L491)&amp;" "&amp;INDEX(ポート振替表!$I$5:$I$3507,$L491))</f>
        <v/>
      </c>
      <c r="L491" s="47" t="str">
        <f aca="false">IFERROR(MATCH(ROW()-4,ポート振替表!$V$5:$V$3507,0),"")</f>
        <v/>
      </c>
    </row>
    <row r="492" customFormat="false" ht="16.4" hidden="false" customHeight="false" outlineLevel="0" collapsed="false">
      <c r="A492" s="32" t="str">
        <f aca="false">IF(L492="","",ROW()-4)</f>
        <v/>
      </c>
      <c r="B492" s="58" t="str">
        <f aca="false">IF(L492="","",IF(INDEX(ポート振替表!$W$5:$W$3507,$L492)="","(なし)",INDEX(ポート振替表!$W$5:$W$3507,$L492)&amp;""))</f>
        <v/>
      </c>
      <c r="C492" s="52" t="str">
        <f aca="false">IF(L492="","",INDEX(ポート振替表!$B$5:$B$3507,$L492)&amp;" "&amp;INDEX(ポート振替表!$C$5:$C$3507,$L492)&amp;"  ⇔  "&amp;INDEX(ポート振替表!$H$5:$H$3507,$L492)&amp;" "&amp;INDEX(ポート振替表!$I$5:$I$3507,$L492))</f>
        <v/>
      </c>
      <c r="D492" s="57" t="s">
        <v>158</v>
      </c>
      <c r="E492" s="59" t="str">
        <f aca="false">IF(L492="","",IF(INDEX(ポート振替表!$O$5:$O$3507,$L492)="","(未設定)",INDEX(ポート振替表!$O$5:$O$3507,$L492)&amp;""))</f>
        <v/>
      </c>
      <c r="F492" s="52" t="str">
        <f aca="false">IF(L492="","",INDEX(ポート振替表!$K$5:$K$3507,$L492)&amp;" "&amp;INDEX(ポート振替表!$L$5:$L$3507,$L492)&amp;"  ⇔  "&amp;INDEX(ポート振替表!$H$5:$H$3507,$L492)&amp;" "&amp;INDEX(ポート振替表!$I$5:$I$3507,$L492))</f>
        <v/>
      </c>
      <c r="G492" s="57" t="s">
        <v>158</v>
      </c>
      <c r="H492" s="32" t="str">
        <f aca="false">IF(L492="","",INDEX(ポート振替表!$N$5:$N$3507,$L492)&amp;"")</f>
        <v/>
      </c>
      <c r="I492" s="32" t="str">
        <f aca="false">IF(L492="","",INDEX(ポート振替表!$P$5:$P$3507,$L492)&amp;"")</f>
        <v/>
      </c>
      <c r="J492" s="60" t="str">
        <f aca="false">IF(L492="","",INDEX(ポート振替表!$M$5:$M$3507,$L492)&amp;"")</f>
        <v/>
      </c>
      <c r="K492" s="52" t="str">
        <f aca="false">IF(L492="","",E492&amp;CHAR(10)&amp;INDEX(ポート振替表!$K$5:$K$3507,$L492)&amp;" "&amp;INDEX(ポート振替表!$L$5:$L$3507,$L492)&amp;CHAR(10)&amp;"⇔ "&amp;INDEX(ポート振替表!$H$5:$H$3507,$L492)&amp;" "&amp;INDEX(ポート振替表!$I$5:$I$3507,$L492))</f>
        <v/>
      </c>
      <c r="L492" s="47" t="str">
        <f aca="false">IFERROR(MATCH(ROW()-4,ポート振替表!$V$5:$V$3507,0),"")</f>
        <v/>
      </c>
    </row>
    <row r="493" customFormat="false" ht="16.4" hidden="false" customHeight="false" outlineLevel="0" collapsed="false">
      <c r="A493" s="32" t="str">
        <f aca="false">IF(L493="","",ROW()-4)</f>
        <v/>
      </c>
      <c r="B493" s="58" t="str">
        <f aca="false">IF(L493="","",IF(INDEX(ポート振替表!$W$5:$W$3507,$L493)="","(なし)",INDEX(ポート振替表!$W$5:$W$3507,$L493)&amp;""))</f>
        <v/>
      </c>
      <c r="C493" s="52" t="str">
        <f aca="false">IF(L493="","",INDEX(ポート振替表!$B$5:$B$3507,$L493)&amp;" "&amp;INDEX(ポート振替表!$C$5:$C$3507,$L493)&amp;"  ⇔  "&amp;INDEX(ポート振替表!$H$5:$H$3507,$L493)&amp;" "&amp;INDEX(ポート振替表!$I$5:$I$3507,$L493))</f>
        <v/>
      </c>
      <c r="D493" s="57" t="s">
        <v>158</v>
      </c>
      <c r="E493" s="59" t="str">
        <f aca="false">IF(L493="","",IF(INDEX(ポート振替表!$O$5:$O$3507,$L493)="","(未設定)",INDEX(ポート振替表!$O$5:$O$3507,$L493)&amp;""))</f>
        <v/>
      </c>
      <c r="F493" s="52" t="str">
        <f aca="false">IF(L493="","",INDEX(ポート振替表!$K$5:$K$3507,$L493)&amp;" "&amp;INDEX(ポート振替表!$L$5:$L$3507,$L493)&amp;"  ⇔  "&amp;INDEX(ポート振替表!$H$5:$H$3507,$L493)&amp;" "&amp;INDEX(ポート振替表!$I$5:$I$3507,$L493))</f>
        <v/>
      </c>
      <c r="G493" s="57" t="s">
        <v>158</v>
      </c>
      <c r="H493" s="32" t="str">
        <f aca="false">IF(L493="","",INDEX(ポート振替表!$N$5:$N$3507,$L493)&amp;"")</f>
        <v/>
      </c>
      <c r="I493" s="32" t="str">
        <f aca="false">IF(L493="","",INDEX(ポート振替表!$P$5:$P$3507,$L493)&amp;"")</f>
        <v/>
      </c>
      <c r="J493" s="60" t="str">
        <f aca="false">IF(L493="","",INDEX(ポート振替表!$M$5:$M$3507,$L493)&amp;"")</f>
        <v/>
      </c>
      <c r="K493" s="52" t="str">
        <f aca="false">IF(L493="","",E493&amp;CHAR(10)&amp;INDEX(ポート振替表!$K$5:$K$3507,$L493)&amp;" "&amp;INDEX(ポート振替表!$L$5:$L$3507,$L493)&amp;CHAR(10)&amp;"⇔ "&amp;INDEX(ポート振替表!$H$5:$H$3507,$L493)&amp;" "&amp;INDEX(ポート振替表!$I$5:$I$3507,$L493))</f>
        <v/>
      </c>
      <c r="L493" s="47" t="str">
        <f aca="false">IFERROR(MATCH(ROW()-4,ポート振替表!$V$5:$V$3507,0),"")</f>
        <v/>
      </c>
    </row>
    <row r="494" customFormat="false" ht="16.4" hidden="false" customHeight="false" outlineLevel="0" collapsed="false">
      <c r="A494" s="32" t="str">
        <f aca="false">IF(L494="","",ROW()-4)</f>
        <v/>
      </c>
      <c r="B494" s="58" t="str">
        <f aca="false">IF(L494="","",IF(INDEX(ポート振替表!$W$5:$W$3507,$L494)="","(なし)",INDEX(ポート振替表!$W$5:$W$3507,$L494)&amp;""))</f>
        <v/>
      </c>
      <c r="C494" s="52" t="str">
        <f aca="false">IF(L494="","",INDEX(ポート振替表!$B$5:$B$3507,$L494)&amp;" "&amp;INDEX(ポート振替表!$C$5:$C$3507,$L494)&amp;"  ⇔  "&amp;INDEX(ポート振替表!$H$5:$H$3507,$L494)&amp;" "&amp;INDEX(ポート振替表!$I$5:$I$3507,$L494))</f>
        <v/>
      </c>
      <c r="D494" s="57" t="s">
        <v>158</v>
      </c>
      <c r="E494" s="59" t="str">
        <f aca="false">IF(L494="","",IF(INDEX(ポート振替表!$O$5:$O$3507,$L494)="","(未設定)",INDEX(ポート振替表!$O$5:$O$3507,$L494)&amp;""))</f>
        <v/>
      </c>
      <c r="F494" s="52" t="str">
        <f aca="false">IF(L494="","",INDEX(ポート振替表!$K$5:$K$3507,$L494)&amp;" "&amp;INDEX(ポート振替表!$L$5:$L$3507,$L494)&amp;"  ⇔  "&amp;INDEX(ポート振替表!$H$5:$H$3507,$L494)&amp;" "&amp;INDEX(ポート振替表!$I$5:$I$3507,$L494))</f>
        <v/>
      </c>
      <c r="G494" s="57" t="s">
        <v>158</v>
      </c>
      <c r="H494" s="32" t="str">
        <f aca="false">IF(L494="","",INDEX(ポート振替表!$N$5:$N$3507,$L494)&amp;"")</f>
        <v/>
      </c>
      <c r="I494" s="32" t="str">
        <f aca="false">IF(L494="","",INDEX(ポート振替表!$P$5:$P$3507,$L494)&amp;"")</f>
        <v/>
      </c>
      <c r="J494" s="60" t="str">
        <f aca="false">IF(L494="","",INDEX(ポート振替表!$M$5:$M$3507,$L494)&amp;"")</f>
        <v/>
      </c>
      <c r="K494" s="52" t="str">
        <f aca="false">IF(L494="","",E494&amp;CHAR(10)&amp;INDEX(ポート振替表!$K$5:$K$3507,$L494)&amp;" "&amp;INDEX(ポート振替表!$L$5:$L$3507,$L494)&amp;CHAR(10)&amp;"⇔ "&amp;INDEX(ポート振替表!$H$5:$H$3507,$L494)&amp;" "&amp;INDEX(ポート振替表!$I$5:$I$3507,$L494))</f>
        <v/>
      </c>
      <c r="L494" s="47" t="str">
        <f aca="false">IFERROR(MATCH(ROW()-4,ポート振替表!$V$5:$V$3507,0),"")</f>
        <v/>
      </c>
    </row>
    <row r="495" customFormat="false" ht="16.4" hidden="false" customHeight="false" outlineLevel="0" collapsed="false">
      <c r="A495" s="32" t="str">
        <f aca="false">IF(L495="","",ROW()-4)</f>
        <v/>
      </c>
      <c r="B495" s="58" t="str">
        <f aca="false">IF(L495="","",IF(INDEX(ポート振替表!$W$5:$W$3507,$L495)="","(なし)",INDEX(ポート振替表!$W$5:$W$3507,$L495)&amp;""))</f>
        <v/>
      </c>
      <c r="C495" s="52" t="str">
        <f aca="false">IF(L495="","",INDEX(ポート振替表!$B$5:$B$3507,$L495)&amp;" "&amp;INDEX(ポート振替表!$C$5:$C$3507,$L495)&amp;"  ⇔  "&amp;INDEX(ポート振替表!$H$5:$H$3507,$L495)&amp;" "&amp;INDEX(ポート振替表!$I$5:$I$3507,$L495))</f>
        <v/>
      </c>
      <c r="D495" s="57" t="s">
        <v>158</v>
      </c>
      <c r="E495" s="59" t="str">
        <f aca="false">IF(L495="","",IF(INDEX(ポート振替表!$O$5:$O$3507,$L495)="","(未設定)",INDEX(ポート振替表!$O$5:$O$3507,$L495)&amp;""))</f>
        <v/>
      </c>
      <c r="F495" s="52" t="str">
        <f aca="false">IF(L495="","",INDEX(ポート振替表!$K$5:$K$3507,$L495)&amp;" "&amp;INDEX(ポート振替表!$L$5:$L$3507,$L495)&amp;"  ⇔  "&amp;INDEX(ポート振替表!$H$5:$H$3507,$L495)&amp;" "&amp;INDEX(ポート振替表!$I$5:$I$3507,$L495))</f>
        <v/>
      </c>
      <c r="G495" s="57" t="s">
        <v>158</v>
      </c>
      <c r="H495" s="32" t="str">
        <f aca="false">IF(L495="","",INDEX(ポート振替表!$N$5:$N$3507,$L495)&amp;"")</f>
        <v/>
      </c>
      <c r="I495" s="32" t="str">
        <f aca="false">IF(L495="","",INDEX(ポート振替表!$P$5:$P$3507,$L495)&amp;"")</f>
        <v/>
      </c>
      <c r="J495" s="60" t="str">
        <f aca="false">IF(L495="","",INDEX(ポート振替表!$M$5:$M$3507,$L495)&amp;"")</f>
        <v/>
      </c>
      <c r="K495" s="52" t="str">
        <f aca="false">IF(L495="","",E495&amp;CHAR(10)&amp;INDEX(ポート振替表!$K$5:$K$3507,$L495)&amp;" "&amp;INDEX(ポート振替表!$L$5:$L$3507,$L495)&amp;CHAR(10)&amp;"⇔ "&amp;INDEX(ポート振替表!$H$5:$H$3507,$L495)&amp;" "&amp;INDEX(ポート振替表!$I$5:$I$3507,$L495))</f>
        <v/>
      </c>
      <c r="L495" s="47" t="str">
        <f aca="false">IFERROR(MATCH(ROW()-4,ポート振替表!$V$5:$V$3507,0),"")</f>
        <v/>
      </c>
    </row>
    <row r="496" customFormat="false" ht="16.4" hidden="false" customHeight="false" outlineLevel="0" collapsed="false">
      <c r="A496" s="32" t="str">
        <f aca="false">IF(L496="","",ROW()-4)</f>
        <v/>
      </c>
      <c r="B496" s="58" t="str">
        <f aca="false">IF(L496="","",IF(INDEX(ポート振替表!$W$5:$W$3507,$L496)="","(なし)",INDEX(ポート振替表!$W$5:$W$3507,$L496)&amp;""))</f>
        <v/>
      </c>
      <c r="C496" s="52" t="str">
        <f aca="false">IF(L496="","",INDEX(ポート振替表!$B$5:$B$3507,$L496)&amp;" "&amp;INDEX(ポート振替表!$C$5:$C$3507,$L496)&amp;"  ⇔  "&amp;INDEX(ポート振替表!$H$5:$H$3507,$L496)&amp;" "&amp;INDEX(ポート振替表!$I$5:$I$3507,$L496))</f>
        <v/>
      </c>
      <c r="D496" s="57" t="s">
        <v>158</v>
      </c>
      <c r="E496" s="59" t="str">
        <f aca="false">IF(L496="","",IF(INDEX(ポート振替表!$O$5:$O$3507,$L496)="","(未設定)",INDEX(ポート振替表!$O$5:$O$3507,$L496)&amp;""))</f>
        <v/>
      </c>
      <c r="F496" s="52" t="str">
        <f aca="false">IF(L496="","",INDEX(ポート振替表!$K$5:$K$3507,$L496)&amp;" "&amp;INDEX(ポート振替表!$L$5:$L$3507,$L496)&amp;"  ⇔  "&amp;INDEX(ポート振替表!$H$5:$H$3507,$L496)&amp;" "&amp;INDEX(ポート振替表!$I$5:$I$3507,$L496))</f>
        <v/>
      </c>
      <c r="G496" s="57" t="s">
        <v>158</v>
      </c>
      <c r="H496" s="32" t="str">
        <f aca="false">IF(L496="","",INDEX(ポート振替表!$N$5:$N$3507,$L496)&amp;"")</f>
        <v/>
      </c>
      <c r="I496" s="32" t="str">
        <f aca="false">IF(L496="","",INDEX(ポート振替表!$P$5:$P$3507,$L496)&amp;"")</f>
        <v/>
      </c>
      <c r="J496" s="60" t="str">
        <f aca="false">IF(L496="","",INDEX(ポート振替表!$M$5:$M$3507,$L496)&amp;"")</f>
        <v/>
      </c>
      <c r="K496" s="52" t="str">
        <f aca="false">IF(L496="","",E496&amp;CHAR(10)&amp;INDEX(ポート振替表!$K$5:$K$3507,$L496)&amp;" "&amp;INDEX(ポート振替表!$L$5:$L$3507,$L496)&amp;CHAR(10)&amp;"⇔ "&amp;INDEX(ポート振替表!$H$5:$H$3507,$L496)&amp;" "&amp;INDEX(ポート振替表!$I$5:$I$3507,$L496))</f>
        <v/>
      </c>
      <c r="L496" s="47" t="str">
        <f aca="false">IFERROR(MATCH(ROW()-4,ポート振替表!$V$5:$V$3507,0),"")</f>
        <v/>
      </c>
    </row>
    <row r="497" customFormat="false" ht="16.4" hidden="false" customHeight="false" outlineLevel="0" collapsed="false">
      <c r="A497" s="32" t="str">
        <f aca="false">IF(L497="","",ROW()-4)</f>
        <v/>
      </c>
      <c r="B497" s="58" t="str">
        <f aca="false">IF(L497="","",IF(INDEX(ポート振替表!$W$5:$W$3507,$L497)="","(なし)",INDEX(ポート振替表!$W$5:$W$3507,$L497)&amp;""))</f>
        <v/>
      </c>
      <c r="C497" s="52" t="str">
        <f aca="false">IF(L497="","",INDEX(ポート振替表!$B$5:$B$3507,$L497)&amp;" "&amp;INDEX(ポート振替表!$C$5:$C$3507,$L497)&amp;"  ⇔  "&amp;INDEX(ポート振替表!$H$5:$H$3507,$L497)&amp;" "&amp;INDEX(ポート振替表!$I$5:$I$3507,$L497))</f>
        <v/>
      </c>
      <c r="D497" s="57" t="s">
        <v>158</v>
      </c>
      <c r="E497" s="59" t="str">
        <f aca="false">IF(L497="","",IF(INDEX(ポート振替表!$O$5:$O$3507,$L497)="","(未設定)",INDEX(ポート振替表!$O$5:$O$3507,$L497)&amp;""))</f>
        <v/>
      </c>
      <c r="F497" s="52" t="str">
        <f aca="false">IF(L497="","",INDEX(ポート振替表!$K$5:$K$3507,$L497)&amp;" "&amp;INDEX(ポート振替表!$L$5:$L$3507,$L497)&amp;"  ⇔  "&amp;INDEX(ポート振替表!$H$5:$H$3507,$L497)&amp;" "&amp;INDEX(ポート振替表!$I$5:$I$3507,$L497))</f>
        <v/>
      </c>
      <c r="G497" s="57" t="s">
        <v>158</v>
      </c>
      <c r="H497" s="32" t="str">
        <f aca="false">IF(L497="","",INDEX(ポート振替表!$N$5:$N$3507,$L497)&amp;"")</f>
        <v/>
      </c>
      <c r="I497" s="32" t="str">
        <f aca="false">IF(L497="","",INDEX(ポート振替表!$P$5:$P$3507,$L497)&amp;"")</f>
        <v/>
      </c>
      <c r="J497" s="60" t="str">
        <f aca="false">IF(L497="","",INDEX(ポート振替表!$M$5:$M$3507,$L497)&amp;"")</f>
        <v/>
      </c>
      <c r="K497" s="52" t="str">
        <f aca="false">IF(L497="","",E497&amp;CHAR(10)&amp;INDEX(ポート振替表!$K$5:$K$3507,$L497)&amp;" "&amp;INDEX(ポート振替表!$L$5:$L$3507,$L497)&amp;CHAR(10)&amp;"⇔ "&amp;INDEX(ポート振替表!$H$5:$H$3507,$L497)&amp;" "&amp;INDEX(ポート振替表!$I$5:$I$3507,$L497))</f>
        <v/>
      </c>
      <c r="L497" s="47" t="str">
        <f aca="false">IFERROR(MATCH(ROW()-4,ポート振替表!$V$5:$V$3507,0),"")</f>
        <v/>
      </c>
    </row>
    <row r="498" customFormat="false" ht="16.4" hidden="false" customHeight="false" outlineLevel="0" collapsed="false">
      <c r="A498" s="32" t="str">
        <f aca="false">IF(L498="","",ROW()-4)</f>
        <v/>
      </c>
      <c r="B498" s="58" t="str">
        <f aca="false">IF(L498="","",IF(INDEX(ポート振替表!$W$5:$W$3507,$L498)="","(なし)",INDEX(ポート振替表!$W$5:$W$3507,$L498)&amp;""))</f>
        <v/>
      </c>
      <c r="C498" s="52" t="str">
        <f aca="false">IF(L498="","",INDEX(ポート振替表!$B$5:$B$3507,$L498)&amp;" "&amp;INDEX(ポート振替表!$C$5:$C$3507,$L498)&amp;"  ⇔  "&amp;INDEX(ポート振替表!$H$5:$H$3507,$L498)&amp;" "&amp;INDEX(ポート振替表!$I$5:$I$3507,$L498))</f>
        <v/>
      </c>
      <c r="D498" s="57" t="s">
        <v>158</v>
      </c>
      <c r="E498" s="59" t="str">
        <f aca="false">IF(L498="","",IF(INDEX(ポート振替表!$O$5:$O$3507,$L498)="","(未設定)",INDEX(ポート振替表!$O$5:$O$3507,$L498)&amp;""))</f>
        <v/>
      </c>
      <c r="F498" s="52" t="str">
        <f aca="false">IF(L498="","",INDEX(ポート振替表!$K$5:$K$3507,$L498)&amp;" "&amp;INDEX(ポート振替表!$L$5:$L$3507,$L498)&amp;"  ⇔  "&amp;INDEX(ポート振替表!$H$5:$H$3507,$L498)&amp;" "&amp;INDEX(ポート振替表!$I$5:$I$3507,$L498))</f>
        <v/>
      </c>
      <c r="G498" s="57" t="s">
        <v>158</v>
      </c>
      <c r="H498" s="32" t="str">
        <f aca="false">IF(L498="","",INDEX(ポート振替表!$N$5:$N$3507,$L498)&amp;"")</f>
        <v/>
      </c>
      <c r="I498" s="32" t="str">
        <f aca="false">IF(L498="","",INDEX(ポート振替表!$P$5:$P$3507,$L498)&amp;"")</f>
        <v/>
      </c>
      <c r="J498" s="60" t="str">
        <f aca="false">IF(L498="","",INDEX(ポート振替表!$M$5:$M$3507,$L498)&amp;"")</f>
        <v/>
      </c>
      <c r="K498" s="52" t="str">
        <f aca="false">IF(L498="","",E498&amp;CHAR(10)&amp;INDEX(ポート振替表!$K$5:$K$3507,$L498)&amp;" "&amp;INDEX(ポート振替表!$L$5:$L$3507,$L498)&amp;CHAR(10)&amp;"⇔ "&amp;INDEX(ポート振替表!$H$5:$H$3507,$L498)&amp;" "&amp;INDEX(ポート振替表!$I$5:$I$3507,$L498))</f>
        <v/>
      </c>
      <c r="L498" s="47" t="str">
        <f aca="false">IFERROR(MATCH(ROW()-4,ポート振替表!$V$5:$V$3507,0),"")</f>
        <v/>
      </c>
    </row>
    <row r="499" customFormat="false" ht="16.4" hidden="false" customHeight="false" outlineLevel="0" collapsed="false">
      <c r="A499" s="32" t="str">
        <f aca="false">IF(L499="","",ROW()-4)</f>
        <v/>
      </c>
      <c r="B499" s="58" t="str">
        <f aca="false">IF(L499="","",IF(INDEX(ポート振替表!$W$5:$W$3507,$L499)="","(なし)",INDEX(ポート振替表!$W$5:$W$3507,$L499)&amp;""))</f>
        <v/>
      </c>
      <c r="C499" s="52" t="str">
        <f aca="false">IF(L499="","",INDEX(ポート振替表!$B$5:$B$3507,$L499)&amp;" "&amp;INDEX(ポート振替表!$C$5:$C$3507,$L499)&amp;"  ⇔  "&amp;INDEX(ポート振替表!$H$5:$H$3507,$L499)&amp;" "&amp;INDEX(ポート振替表!$I$5:$I$3507,$L499))</f>
        <v/>
      </c>
      <c r="D499" s="57" t="s">
        <v>158</v>
      </c>
      <c r="E499" s="59" t="str">
        <f aca="false">IF(L499="","",IF(INDEX(ポート振替表!$O$5:$O$3507,$L499)="","(未設定)",INDEX(ポート振替表!$O$5:$O$3507,$L499)&amp;""))</f>
        <v/>
      </c>
      <c r="F499" s="52" t="str">
        <f aca="false">IF(L499="","",INDEX(ポート振替表!$K$5:$K$3507,$L499)&amp;" "&amp;INDEX(ポート振替表!$L$5:$L$3507,$L499)&amp;"  ⇔  "&amp;INDEX(ポート振替表!$H$5:$H$3507,$L499)&amp;" "&amp;INDEX(ポート振替表!$I$5:$I$3507,$L499))</f>
        <v/>
      </c>
      <c r="G499" s="57" t="s">
        <v>158</v>
      </c>
      <c r="H499" s="32" t="str">
        <f aca="false">IF(L499="","",INDEX(ポート振替表!$N$5:$N$3507,$L499)&amp;"")</f>
        <v/>
      </c>
      <c r="I499" s="32" t="str">
        <f aca="false">IF(L499="","",INDEX(ポート振替表!$P$5:$P$3507,$L499)&amp;"")</f>
        <v/>
      </c>
      <c r="J499" s="60" t="str">
        <f aca="false">IF(L499="","",INDEX(ポート振替表!$M$5:$M$3507,$L499)&amp;"")</f>
        <v/>
      </c>
      <c r="K499" s="52" t="str">
        <f aca="false">IF(L499="","",E499&amp;CHAR(10)&amp;INDEX(ポート振替表!$K$5:$K$3507,$L499)&amp;" "&amp;INDEX(ポート振替表!$L$5:$L$3507,$L499)&amp;CHAR(10)&amp;"⇔ "&amp;INDEX(ポート振替表!$H$5:$H$3507,$L499)&amp;" "&amp;INDEX(ポート振替表!$I$5:$I$3507,$L499))</f>
        <v/>
      </c>
      <c r="L499" s="47" t="str">
        <f aca="false">IFERROR(MATCH(ROW()-4,ポート振替表!$V$5:$V$3507,0),"")</f>
        <v/>
      </c>
    </row>
    <row r="500" customFormat="false" ht="16.4" hidden="false" customHeight="false" outlineLevel="0" collapsed="false">
      <c r="A500" s="32" t="str">
        <f aca="false">IF(L500="","",ROW()-4)</f>
        <v/>
      </c>
      <c r="B500" s="58" t="str">
        <f aca="false">IF(L500="","",IF(INDEX(ポート振替表!$W$5:$W$3507,$L500)="","(なし)",INDEX(ポート振替表!$W$5:$W$3507,$L500)&amp;""))</f>
        <v/>
      </c>
      <c r="C500" s="52" t="str">
        <f aca="false">IF(L500="","",INDEX(ポート振替表!$B$5:$B$3507,$L500)&amp;" "&amp;INDEX(ポート振替表!$C$5:$C$3507,$L500)&amp;"  ⇔  "&amp;INDEX(ポート振替表!$H$5:$H$3507,$L500)&amp;" "&amp;INDEX(ポート振替表!$I$5:$I$3507,$L500))</f>
        <v/>
      </c>
      <c r="D500" s="57" t="s">
        <v>158</v>
      </c>
      <c r="E500" s="59" t="str">
        <f aca="false">IF(L500="","",IF(INDEX(ポート振替表!$O$5:$O$3507,$L500)="","(未設定)",INDEX(ポート振替表!$O$5:$O$3507,$L500)&amp;""))</f>
        <v/>
      </c>
      <c r="F500" s="52" t="str">
        <f aca="false">IF(L500="","",INDEX(ポート振替表!$K$5:$K$3507,$L500)&amp;" "&amp;INDEX(ポート振替表!$L$5:$L$3507,$L500)&amp;"  ⇔  "&amp;INDEX(ポート振替表!$H$5:$H$3507,$L500)&amp;" "&amp;INDEX(ポート振替表!$I$5:$I$3507,$L500))</f>
        <v/>
      </c>
      <c r="G500" s="57" t="s">
        <v>158</v>
      </c>
      <c r="H500" s="32" t="str">
        <f aca="false">IF(L500="","",INDEX(ポート振替表!$N$5:$N$3507,$L500)&amp;"")</f>
        <v/>
      </c>
      <c r="I500" s="32" t="str">
        <f aca="false">IF(L500="","",INDEX(ポート振替表!$P$5:$P$3507,$L500)&amp;"")</f>
        <v/>
      </c>
      <c r="J500" s="60" t="str">
        <f aca="false">IF(L500="","",INDEX(ポート振替表!$M$5:$M$3507,$L500)&amp;"")</f>
        <v/>
      </c>
      <c r="K500" s="52" t="str">
        <f aca="false">IF(L500="","",E500&amp;CHAR(10)&amp;INDEX(ポート振替表!$K$5:$K$3507,$L500)&amp;" "&amp;INDEX(ポート振替表!$L$5:$L$3507,$L500)&amp;CHAR(10)&amp;"⇔ "&amp;INDEX(ポート振替表!$H$5:$H$3507,$L500)&amp;" "&amp;INDEX(ポート振替表!$I$5:$I$3507,$L500))</f>
        <v/>
      </c>
      <c r="L500" s="47" t="str">
        <f aca="false">IFERROR(MATCH(ROW()-4,ポート振替表!$V$5:$V$3507,0),"")</f>
        <v/>
      </c>
    </row>
    <row r="501" customFormat="false" ht="16.4" hidden="false" customHeight="false" outlineLevel="0" collapsed="false">
      <c r="A501" s="32" t="str">
        <f aca="false">IF(L501="","",ROW()-4)</f>
        <v/>
      </c>
      <c r="B501" s="58" t="str">
        <f aca="false">IF(L501="","",IF(INDEX(ポート振替表!$W$5:$W$3507,$L501)="","(なし)",INDEX(ポート振替表!$W$5:$W$3507,$L501)&amp;""))</f>
        <v/>
      </c>
      <c r="C501" s="52" t="str">
        <f aca="false">IF(L501="","",INDEX(ポート振替表!$B$5:$B$3507,$L501)&amp;" "&amp;INDEX(ポート振替表!$C$5:$C$3507,$L501)&amp;"  ⇔  "&amp;INDEX(ポート振替表!$H$5:$H$3507,$L501)&amp;" "&amp;INDEX(ポート振替表!$I$5:$I$3507,$L501))</f>
        <v/>
      </c>
      <c r="D501" s="57" t="s">
        <v>158</v>
      </c>
      <c r="E501" s="59" t="str">
        <f aca="false">IF(L501="","",IF(INDEX(ポート振替表!$O$5:$O$3507,$L501)="","(未設定)",INDEX(ポート振替表!$O$5:$O$3507,$L501)&amp;""))</f>
        <v/>
      </c>
      <c r="F501" s="52" t="str">
        <f aca="false">IF(L501="","",INDEX(ポート振替表!$K$5:$K$3507,$L501)&amp;" "&amp;INDEX(ポート振替表!$L$5:$L$3507,$L501)&amp;"  ⇔  "&amp;INDEX(ポート振替表!$H$5:$H$3507,$L501)&amp;" "&amp;INDEX(ポート振替表!$I$5:$I$3507,$L501))</f>
        <v/>
      </c>
      <c r="G501" s="57" t="s">
        <v>158</v>
      </c>
      <c r="H501" s="32" t="str">
        <f aca="false">IF(L501="","",INDEX(ポート振替表!$N$5:$N$3507,$L501)&amp;"")</f>
        <v/>
      </c>
      <c r="I501" s="32" t="str">
        <f aca="false">IF(L501="","",INDEX(ポート振替表!$P$5:$P$3507,$L501)&amp;"")</f>
        <v/>
      </c>
      <c r="J501" s="60" t="str">
        <f aca="false">IF(L501="","",INDEX(ポート振替表!$M$5:$M$3507,$L501)&amp;"")</f>
        <v/>
      </c>
      <c r="K501" s="52" t="str">
        <f aca="false">IF(L501="","",E501&amp;CHAR(10)&amp;INDEX(ポート振替表!$K$5:$K$3507,$L501)&amp;" "&amp;INDEX(ポート振替表!$L$5:$L$3507,$L501)&amp;CHAR(10)&amp;"⇔ "&amp;INDEX(ポート振替表!$H$5:$H$3507,$L501)&amp;" "&amp;INDEX(ポート振替表!$I$5:$I$3507,$L501))</f>
        <v/>
      </c>
      <c r="L501" s="47" t="str">
        <f aca="false">IFERROR(MATCH(ROW()-4,ポート振替表!$V$5:$V$3507,0),"")</f>
        <v/>
      </c>
    </row>
    <row r="502" customFormat="false" ht="16.4" hidden="false" customHeight="false" outlineLevel="0" collapsed="false">
      <c r="A502" s="32" t="str">
        <f aca="false">IF(L502="","",ROW()-4)</f>
        <v/>
      </c>
      <c r="B502" s="58" t="str">
        <f aca="false">IF(L502="","",IF(INDEX(ポート振替表!$W$5:$W$3507,$L502)="","(なし)",INDEX(ポート振替表!$W$5:$W$3507,$L502)&amp;""))</f>
        <v/>
      </c>
      <c r="C502" s="52" t="str">
        <f aca="false">IF(L502="","",INDEX(ポート振替表!$B$5:$B$3507,$L502)&amp;" "&amp;INDEX(ポート振替表!$C$5:$C$3507,$L502)&amp;"  ⇔  "&amp;INDEX(ポート振替表!$H$5:$H$3507,$L502)&amp;" "&amp;INDEX(ポート振替表!$I$5:$I$3507,$L502))</f>
        <v/>
      </c>
      <c r="D502" s="57" t="s">
        <v>158</v>
      </c>
      <c r="E502" s="59" t="str">
        <f aca="false">IF(L502="","",IF(INDEX(ポート振替表!$O$5:$O$3507,$L502)="","(未設定)",INDEX(ポート振替表!$O$5:$O$3507,$L502)&amp;""))</f>
        <v/>
      </c>
      <c r="F502" s="52" t="str">
        <f aca="false">IF(L502="","",INDEX(ポート振替表!$K$5:$K$3507,$L502)&amp;" "&amp;INDEX(ポート振替表!$L$5:$L$3507,$L502)&amp;"  ⇔  "&amp;INDEX(ポート振替表!$H$5:$H$3507,$L502)&amp;" "&amp;INDEX(ポート振替表!$I$5:$I$3507,$L502))</f>
        <v/>
      </c>
      <c r="G502" s="57" t="s">
        <v>158</v>
      </c>
      <c r="H502" s="32" t="str">
        <f aca="false">IF(L502="","",INDEX(ポート振替表!$N$5:$N$3507,$L502)&amp;"")</f>
        <v/>
      </c>
      <c r="I502" s="32" t="str">
        <f aca="false">IF(L502="","",INDEX(ポート振替表!$P$5:$P$3507,$L502)&amp;"")</f>
        <v/>
      </c>
      <c r="J502" s="60" t="str">
        <f aca="false">IF(L502="","",INDEX(ポート振替表!$M$5:$M$3507,$L502)&amp;"")</f>
        <v/>
      </c>
      <c r="K502" s="52" t="str">
        <f aca="false">IF(L502="","",E502&amp;CHAR(10)&amp;INDEX(ポート振替表!$K$5:$K$3507,$L502)&amp;" "&amp;INDEX(ポート振替表!$L$5:$L$3507,$L502)&amp;CHAR(10)&amp;"⇔ "&amp;INDEX(ポート振替表!$H$5:$H$3507,$L502)&amp;" "&amp;INDEX(ポート振替表!$I$5:$I$3507,$L502))</f>
        <v/>
      </c>
      <c r="L502" s="47" t="str">
        <f aca="false">IFERROR(MATCH(ROW()-4,ポート振替表!$V$5:$V$3507,0),"")</f>
        <v/>
      </c>
    </row>
    <row r="503" customFormat="false" ht="16.4" hidden="false" customHeight="false" outlineLevel="0" collapsed="false">
      <c r="A503" s="32" t="str">
        <f aca="false">IF(L503="","",ROW()-4)</f>
        <v/>
      </c>
      <c r="B503" s="58" t="str">
        <f aca="false">IF(L503="","",IF(INDEX(ポート振替表!$W$5:$W$3507,$L503)="","(なし)",INDEX(ポート振替表!$W$5:$W$3507,$L503)&amp;""))</f>
        <v/>
      </c>
      <c r="C503" s="52" t="str">
        <f aca="false">IF(L503="","",INDEX(ポート振替表!$B$5:$B$3507,$L503)&amp;" "&amp;INDEX(ポート振替表!$C$5:$C$3507,$L503)&amp;"  ⇔  "&amp;INDEX(ポート振替表!$H$5:$H$3507,$L503)&amp;" "&amp;INDEX(ポート振替表!$I$5:$I$3507,$L503))</f>
        <v/>
      </c>
      <c r="D503" s="57" t="s">
        <v>158</v>
      </c>
      <c r="E503" s="59" t="str">
        <f aca="false">IF(L503="","",IF(INDEX(ポート振替表!$O$5:$O$3507,$L503)="","(未設定)",INDEX(ポート振替表!$O$5:$O$3507,$L503)&amp;""))</f>
        <v/>
      </c>
      <c r="F503" s="52" t="str">
        <f aca="false">IF(L503="","",INDEX(ポート振替表!$K$5:$K$3507,$L503)&amp;" "&amp;INDEX(ポート振替表!$L$5:$L$3507,$L503)&amp;"  ⇔  "&amp;INDEX(ポート振替表!$H$5:$H$3507,$L503)&amp;" "&amp;INDEX(ポート振替表!$I$5:$I$3507,$L503))</f>
        <v/>
      </c>
      <c r="G503" s="57" t="s">
        <v>158</v>
      </c>
      <c r="H503" s="32" t="str">
        <f aca="false">IF(L503="","",INDEX(ポート振替表!$N$5:$N$3507,$L503)&amp;"")</f>
        <v/>
      </c>
      <c r="I503" s="32" t="str">
        <f aca="false">IF(L503="","",INDEX(ポート振替表!$P$5:$P$3507,$L503)&amp;"")</f>
        <v/>
      </c>
      <c r="J503" s="60" t="str">
        <f aca="false">IF(L503="","",INDEX(ポート振替表!$M$5:$M$3507,$L503)&amp;"")</f>
        <v/>
      </c>
      <c r="K503" s="52" t="str">
        <f aca="false">IF(L503="","",E503&amp;CHAR(10)&amp;INDEX(ポート振替表!$K$5:$K$3507,$L503)&amp;" "&amp;INDEX(ポート振替表!$L$5:$L$3507,$L503)&amp;CHAR(10)&amp;"⇔ "&amp;INDEX(ポート振替表!$H$5:$H$3507,$L503)&amp;" "&amp;INDEX(ポート振替表!$I$5:$I$3507,$L503))</f>
        <v/>
      </c>
      <c r="L503" s="47" t="str">
        <f aca="false">IFERROR(MATCH(ROW()-4,ポート振替表!$V$5:$V$3507,0),"")</f>
        <v/>
      </c>
    </row>
    <row r="504" customFormat="false" ht="16.4" hidden="false" customHeight="false" outlineLevel="0" collapsed="false">
      <c r="A504" s="32" t="str">
        <f aca="false">IF(L504="","",ROW()-4)</f>
        <v/>
      </c>
      <c r="B504" s="58" t="str">
        <f aca="false">IF(L504="","",IF(INDEX(ポート振替表!$W$5:$W$3507,$L504)="","(なし)",INDEX(ポート振替表!$W$5:$W$3507,$L504)&amp;""))</f>
        <v/>
      </c>
      <c r="C504" s="52" t="str">
        <f aca="false">IF(L504="","",INDEX(ポート振替表!$B$5:$B$3507,$L504)&amp;" "&amp;INDEX(ポート振替表!$C$5:$C$3507,$L504)&amp;"  ⇔  "&amp;INDEX(ポート振替表!$H$5:$H$3507,$L504)&amp;" "&amp;INDEX(ポート振替表!$I$5:$I$3507,$L504))</f>
        <v/>
      </c>
      <c r="D504" s="57" t="s">
        <v>158</v>
      </c>
      <c r="E504" s="59" t="str">
        <f aca="false">IF(L504="","",IF(INDEX(ポート振替表!$O$5:$O$3507,$L504)="","(未設定)",INDEX(ポート振替表!$O$5:$O$3507,$L504)&amp;""))</f>
        <v/>
      </c>
      <c r="F504" s="52" t="str">
        <f aca="false">IF(L504="","",INDEX(ポート振替表!$K$5:$K$3507,$L504)&amp;" "&amp;INDEX(ポート振替表!$L$5:$L$3507,$L504)&amp;"  ⇔  "&amp;INDEX(ポート振替表!$H$5:$H$3507,$L504)&amp;" "&amp;INDEX(ポート振替表!$I$5:$I$3507,$L504))</f>
        <v/>
      </c>
      <c r="G504" s="57" t="s">
        <v>158</v>
      </c>
      <c r="H504" s="32" t="str">
        <f aca="false">IF(L504="","",INDEX(ポート振替表!$N$5:$N$3507,$L504)&amp;"")</f>
        <v/>
      </c>
      <c r="I504" s="32" t="str">
        <f aca="false">IF(L504="","",INDEX(ポート振替表!$P$5:$P$3507,$L504)&amp;"")</f>
        <v/>
      </c>
      <c r="J504" s="60" t="str">
        <f aca="false">IF(L504="","",INDEX(ポート振替表!$M$5:$M$3507,$L504)&amp;"")</f>
        <v/>
      </c>
      <c r="K504" s="52" t="str">
        <f aca="false">IF(L504="","",E504&amp;CHAR(10)&amp;INDEX(ポート振替表!$K$5:$K$3507,$L504)&amp;" "&amp;INDEX(ポート振替表!$L$5:$L$3507,$L504)&amp;CHAR(10)&amp;"⇔ "&amp;INDEX(ポート振替表!$H$5:$H$3507,$L504)&amp;" "&amp;INDEX(ポート振替表!$I$5:$I$3507,$L504))</f>
        <v/>
      </c>
      <c r="L504" s="47" t="str">
        <f aca="false">IFERROR(MATCH(ROW()-4,ポート振替表!$V$5:$V$3507,0),"")</f>
        <v/>
      </c>
    </row>
    <row r="505" customFormat="false" ht="16.4" hidden="false" customHeight="false" outlineLevel="0" collapsed="false">
      <c r="A505" s="32" t="str">
        <f aca="false">IF(L505="","",ROW()-4)</f>
        <v/>
      </c>
      <c r="B505" s="58" t="str">
        <f aca="false">IF(L505="","",IF(INDEX(ポート振替表!$W$5:$W$3507,$L505)="","(なし)",INDEX(ポート振替表!$W$5:$W$3507,$L505)&amp;""))</f>
        <v/>
      </c>
      <c r="C505" s="52" t="str">
        <f aca="false">IF(L505="","",INDEX(ポート振替表!$B$5:$B$3507,$L505)&amp;" "&amp;INDEX(ポート振替表!$C$5:$C$3507,$L505)&amp;"  ⇔  "&amp;INDEX(ポート振替表!$H$5:$H$3507,$L505)&amp;" "&amp;INDEX(ポート振替表!$I$5:$I$3507,$L505))</f>
        <v/>
      </c>
      <c r="D505" s="57" t="s">
        <v>158</v>
      </c>
      <c r="E505" s="59" t="str">
        <f aca="false">IF(L505="","",IF(INDEX(ポート振替表!$O$5:$O$3507,$L505)="","(未設定)",INDEX(ポート振替表!$O$5:$O$3507,$L505)&amp;""))</f>
        <v/>
      </c>
      <c r="F505" s="52" t="str">
        <f aca="false">IF(L505="","",INDEX(ポート振替表!$K$5:$K$3507,$L505)&amp;" "&amp;INDEX(ポート振替表!$L$5:$L$3507,$L505)&amp;"  ⇔  "&amp;INDEX(ポート振替表!$H$5:$H$3507,$L505)&amp;" "&amp;INDEX(ポート振替表!$I$5:$I$3507,$L505))</f>
        <v/>
      </c>
      <c r="G505" s="57" t="s">
        <v>158</v>
      </c>
      <c r="H505" s="32" t="str">
        <f aca="false">IF(L505="","",INDEX(ポート振替表!$N$5:$N$3507,$L505)&amp;"")</f>
        <v/>
      </c>
      <c r="I505" s="32" t="str">
        <f aca="false">IF(L505="","",INDEX(ポート振替表!$P$5:$P$3507,$L505)&amp;"")</f>
        <v/>
      </c>
      <c r="J505" s="60" t="str">
        <f aca="false">IF(L505="","",INDEX(ポート振替表!$M$5:$M$3507,$L505)&amp;"")</f>
        <v/>
      </c>
      <c r="K505" s="52" t="str">
        <f aca="false">IF(L505="","",E505&amp;CHAR(10)&amp;INDEX(ポート振替表!$K$5:$K$3507,$L505)&amp;" "&amp;INDEX(ポート振替表!$L$5:$L$3507,$L505)&amp;CHAR(10)&amp;"⇔ "&amp;INDEX(ポート振替表!$H$5:$H$3507,$L505)&amp;" "&amp;INDEX(ポート振替表!$I$5:$I$3507,$L505))</f>
        <v/>
      </c>
      <c r="L505" s="47" t="str">
        <f aca="false">IFERROR(MATCH(ROW()-4,ポート振替表!$V$5:$V$3507,0),"")</f>
        <v/>
      </c>
    </row>
    <row r="506" customFormat="false" ht="16.4" hidden="false" customHeight="false" outlineLevel="0" collapsed="false">
      <c r="A506" s="32" t="str">
        <f aca="false">IF(L506="","",ROW()-4)</f>
        <v/>
      </c>
      <c r="B506" s="58" t="str">
        <f aca="false">IF(L506="","",IF(INDEX(ポート振替表!$W$5:$W$3507,$L506)="","(なし)",INDEX(ポート振替表!$W$5:$W$3507,$L506)&amp;""))</f>
        <v/>
      </c>
      <c r="C506" s="52" t="str">
        <f aca="false">IF(L506="","",INDEX(ポート振替表!$B$5:$B$3507,$L506)&amp;" "&amp;INDEX(ポート振替表!$C$5:$C$3507,$L506)&amp;"  ⇔  "&amp;INDEX(ポート振替表!$H$5:$H$3507,$L506)&amp;" "&amp;INDEX(ポート振替表!$I$5:$I$3507,$L506))</f>
        <v/>
      </c>
      <c r="D506" s="57" t="s">
        <v>158</v>
      </c>
      <c r="E506" s="59" t="str">
        <f aca="false">IF(L506="","",IF(INDEX(ポート振替表!$O$5:$O$3507,$L506)="","(未設定)",INDEX(ポート振替表!$O$5:$O$3507,$L506)&amp;""))</f>
        <v/>
      </c>
      <c r="F506" s="52" t="str">
        <f aca="false">IF(L506="","",INDEX(ポート振替表!$K$5:$K$3507,$L506)&amp;" "&amp;INDEX(ポート振替表!$L$5:$L$3507,$L506)&amp;"  ⇔  "&amp;INDEX(ポート振替表!$H$5:$H$3507,$L506)&amp;" "&amp;INDEX(ポート振替表!$I$5:$I$3507,$L506))</f>
        <v/>
      </c>
      <c r="G506" s="57" t="s">
        <v>158</v>
      </c>
      <c r="H506" s="32" t="str">
        <f aca="false">IF(L506="","",INDEX(ポート振替表!$N$5:$N$3507,$L506)&amp;"")</f>
        <v/>
      </c>
      <c r="I506" s="32" t="str">
        <f aca="false">IF(L506="","",INDEX(ポート振替表!$P$5:$P$3507,$L506)&amp;"")</f>
        <v/>
      </c>
      <c r="J506" s="60" t="str">
        <f aca="false">IF(L506="","",INDEX(ポート振替表!$M$5:$M$3507,$L506)&amp;"")</f>
        <v/>
      </c>
      <c r="K506" s="52" t="str">
        <f aca="false">IF(L506="","",E506&amp;CHAR(10)&amp;INDEX(ポート振替表!$K$5:$K$3507,$L506)&amp;" "&amp;INDEX(ポート振替表!$L$5:$L$3507,$L506)&amp;CHAR(10)&amp;"⇔ "&amp;INDEX(ポート振替表!$H$5:$H$3507,$L506)&amp;" "&amp;INDEX(ポート振替表!$I$5:$I$3507,$L506))</f>
        <v/>
      </c>
      <c r="L506" s="47" t="str">
        <f aca="false">IFERROR(MATCH(ROW()-4,ポート振替表!$V$5:$V$3507,0),"")</f>
        <v/>
      </c>
    </row>
    <row r="507" customFormat="false" ht="16.4" hidden="false" customHeight="false" outlineLevel="0" collapsed="false">
      <c r="A507" s="32" t="str">
        <f aca="false">IF(L507="","",ROW()-4)</f>
        <v/>
      </c>
      <c r="B507" s="58" t="str">
        <f aca="false">IF(L507="","",IF(INDEX(ポート振替表!$W$5:$W$3507,$L507)="","(なし)",INDEX(ポート振替表!$W$5:$W$3507,$L507)&amp;""))</f>
        <v/>
      </c>
      <c r="C507" s="52" t="str">
        <f aca="false">IF(L507="","",INDEX(ポート振替表!$B$5:$B$3507,$L507)&amp;" "&amp;INDEX(ポート振替表!$C$5:$C$3507,$L507)&amp;"  ⇔  "&amp;INDEX(ポート振替表!$H$5:$H$3507,$L507)&amp;" "&amp;INDEX(ポート振替表!$I$5:$I$3507,$L507))</f>
        <v/>
      </c>
      <c r="D507" s="57" t="s">
        <v>158</v>
      </c>
      <c r="E507" s="59" t="str">
        <f aca="false">IF(L507="","",IF(INDEX(ポート振替表!$O$5:$O$3507,$L507)="","(未設定)",INDEX(ポート振替表!$O$5:$O$3507,$L507)&amp;""))</f>
        <v/>
      </c>
      <c r="F507" s="52" t="str">
        <f aca="false">IF(L507="","",INDEX(ポート振替表!$K$5:$K$3507,$L507)&amp;" "&amp;INDEX(ポート振替表!$L$5:$L$3507,$L507)&amp;"  ⇔  "&amp;INDEX(ポート振替表!$H$5:$H$3507,$L507)&amp;" "&amp;INDEX(ポート振替表!$I$5:$I$3507,$L507))</f>
        <v/>
      </c>
      <c r="G507" s="57" t="s">
        <v>158</v>
      </c>
      <c r="H507" s="32" t="str">
        <f aca="false">IF(L507="","",INDEX(ポート振替表!$N$5:$N$3507,$L507)&amp;"")</f>
        <v/>
      </c>
      <c r="I507" s="32" t="str">
        <f aca="false">IF(L507="","",INDEX(ポート振替表!$P$5:$P$3507,$L507)&amp;"")</f>
        <v/>
      </c>
      <c r="J507" s="60" t="str">
        <f aca="false">IF(L507="","",INDEX(ポート振替表!$M$5:$M$3507,$L507)&amp;"")</f>
        <v/>
      </c>
      <c r="K507" s="52" t="str">
        <f aca="false">IF(L507="","",E507&amp;CHAR(10)&amp;INDEX(ポート振替表!$K$5:$K$3507,$L507)&amp;" "&amp;INDEX(ポート振替表!$L$5:$L$3507,$L507)&amp;CHAR(10)&amp;"⇔ "&amp;INDEX(ポート振替表!$H$5:$H$3507,$L507)&amp;" "&amp;INDEX(ポート振替表!$I$5:$I$3507,$L507))</f>
        <v/>
      </c>
      <c r="L507" s="47" t="str">
        <f aca="false">IFERROR(MATCH(ROW()-4,ポート振替表!$V$5:$V$3507,0),"")</f>
        <v/>
      </c>
    </row>
    <row r="508" customFormat="false" ht="16.4" hidden="false" customHeight="false" outlineLevel="0" collapsed="false">
      <c r="A508" s="32" t="str">
        <f aca="false">IF(L508="","",ROW()-4)</f>
        <v/>
      </c>
      <c r="B508" s="58" t="str">
        <f aca="false">IF(L508="","",IF(INDEX(ポート振替表!$W$5:$W$3507,$L508)="","(なし)",INDEX(ポート振替表!$W$5:$W$3507,$L508)&amp;""))</f>
        <v/>
      </c>
      <c r="C508" s="52" t="str">
        <f aca="false">IF(L508="","",INDEX(ポート振替表!$B$5:$B$3507,$L508)&amp;" "&amp;INDEX(ポート振替表!$C$5:$C$3507,$L508)&amp;"  ⇔  "&amp;INDEX(ポート振替表!$H$5:$H$3507,$L508)&amp;" "&amp;INDEX(ポート振替表!$I$5:$I$3507,$L508))</f>
        <v/>
      </c>
      <c r="D508" s="57" t="s">
        <v>158</v>
      </c>
      <c r="E508" s="59" t="str">
        <f aca="false">IF(L508="","",IF(INDEX(ポート振替表!$O$5:$O$3507,$L508)="","(未設定)",INDEX(ポート振替表!$O$5:$O$3507,$L508)&amp;""))</f>
        <v/>
      </c>
      <c r="F508" s="52" t="str">
        <f aca="false">IF(L508="","",INDEX(ポート振替表!$K$5:$K$3507,$L508)&amp;" "&amp;INDEX(ポート振替表!$L$5:$L$3507,$L508)&amp;"  ⇔  "&amp;INDEX(ポート振替表!$H$5:$H$3507,$L508)&amp;" "&amp;INDEX(ポート振替表!$I$5:$I$3507,$L508))</f>
        <v/>
      </c>
      <c r="G508" s="57" t="s">
        <v>158</v>
      </c>
      <c r="H508" s="32" t="str">
        <f aca="false">IF(L508="","",INDEX(ポート振替表!$N$5:$N$3507,$L508)&amp;"")</f>
        <v/>
      </c>
      <c r="I508" s="32" t="str">
        <f aca="false">IF(L508="","",INDEX(ポート振替表!$P$5:$P$3507,$L508)&amp;"")</f>
        <v/>
      </c>
      <c r="J508" s="60" t="str">
        <f aca="false">IF(L508="","",INDEX(ポート振替表!$M$5:$M$3507,$L508)&amp;"")</f>
        <v/>
      </c>
      <c r="K508" s="52" t="str">
        <f aca="false">IF(L508="","",E508&amp;CHAR(10)&amp;INDEX(ポート振替表!$K$5:$K$3507,$L508)&amp;" "&amp;INDEX(ポート振替表!$L$5:$L$3507,$L508)&amp;CHAR(10)&amp;"⇔ "&amp;INDEX(ポート振替表!$H$5:$H$3507,$L508)&amp;" "&amp;INDEX(ポート振替表!$I$5:$I$3507,$L508))</f>
        <v/>
      </c>
      <c r="L508" s="47" t="str">
        <f aca="false">IFERROR(MATCH(ROW()-4,ポート振替表!$V$5:$V$3507,0),"")</f>
        <v/>
      </c>
    </row>
    <row r="509" customFormat="false" ht="16.4" hidden="false" customHeight="false" outlineLevel="0" collapsed="false">
      <c r="A509" s="32" t="str">
        <f aca="false">IF(L509="","",ROW()-4)</f>
        <v/>
      </c>
      <c r="B509" s="58" t="str">
        <f aca="false">IF(L509="","",IF(INDEX(ポート振替表!$W$5:$W$3507,$L509)="","(なし)",INDEX(ポート振替表!$W$5:$W$3507,$L509)&amp;""))</f>
        <v/>
      </c>
      <c r="C509" s="52" t="str">
        <f aca="false">IF(L509="","",INDEX(ポート振替表!$B$5:$B$3507,$L509)&amp;" "&amp;INDEX(ポート振替表!$C$5:$C$3507,$L509)&amp;"  ⇔  "&amp;INDEX(ポート振替表!$H$5:$H$3507,$L509)&amp;" "&amp;INDEX(ポート振替表!$I$5:$I$3507,$L509))</f>
        <v/>
      </c>
      <c r="D509" s="57" t="s">
        <v>158</v>
      </c>
      <c r="E509" s="59" t="str">
        <f aca="false">IF(L509="","",IF(INDEX(ポート振替表!$O$5:$O$3507,$L509)="","(未設定)",INDEX(ポート振替表!$O$5:$O$3507,$L509)&amp;""))</f>
        <v/>
      </c>
      <c r="F509" s="52" t="str">
        <f aca="false">IF(L509="","",INDEX(ポート振替表!$K$5:$K$3507,$L509)&amp;" "&amp;INDEX(ポート振替表!$L$5:$L$3507,$L509)&amp;"  ⇔  "&amp;INDEX(ポート振替表!$H$5:$H$3507,$L509)&amp;" "&amp;INDEX(ポート振替表!$I$5:$I$3507,$L509))</f>
        <v/>
      </c>
      <c r="G509" s="57" t="s">
        <v>158</v>
      </c>
      <c r="H509" s="32" t="str">
        <f aca="false">IF(L509="","",INDEX(ポート振替表!$N$5:$N$3507,$L509)&amp;"")</f>
        <v/>
      </c>
      <c r="I509" s="32" t="str">
        <f aca="false">IF(L509="","",INDEX(ポート振替表!$P$5:$P$3507,$L509)&amp;"")</f>
        <v/>
      </c>
      <c r="J509" s="60" t="str">
        <f aca="false">IF(L509="","",INDEX(ポート振替表!$M$5:$M$3507,$L509)&amp;"")</f>
        <v/>
      </c>
      <c r="K509" s="52" t="str">
        <f aca="false">IF(L509="","",E509&amp;CHAR(10)&amp;INDEX(ポート振替表!$K$5:$K$3507,$L509)&amp;" "&amp;INDEX(ポート振替表!$L$5:$L$3507,$L509)&amp;CHAR(10)&amp;"⇔ "&amp;INDEX(ポート振替表!$H$5:$H$3507,$L509)&amp;" "&amp;INDEX(ポート振替表!$I$5:$I$3507,$L509))</f>
        <v/>
      </c>
      <c r="L509" s="47" t="str">
        <f aca="false">IFERROR(MATCH(ROW()-4,ポート振替表!$V$5:$V$3507,0),"")</f>
        <v/>
      </c>
    </row>
    <row r="510" customFormat="false" ht="16.4" hidden="false" customHeight="false" outlineLevel="0" collapsed="false">
      <c r="A510" s="32" t="str">
        <f aca="false">IF(L510="","",ROW()-4)</f>
        <v/>
      </c>
      <c r="B510" s="58" t="str">
        <f aca="false">IF(L510="","",IF(INDEX(ポート振替表!$W$5:$W$3507,$L510)="","(なし)",INDEX(ポート振替表!$W$5:$W$3507,$L510)&amp;""))</f>
        <v/>
      </c>
      <c r="C510" s="52" t="str">
        <f aca="false">IF(L510="","",INDEX(ポート振替表!$B$5:$B$3507,$L510)&amp;" "&amp;INDEX(ポート振替表!$C$5:$C$3507,$L510)&amp;"  ⇔  "&amp;INDEX(ポート振替表!$H$5:$H$3507,$L510)&amp;" "&amp;INDEX(ポート振替表!$I$5:$I$3507,$L510))</f>
        <v/>
      </c>
      <c r="D510" s="57" t="s">
        <v>158</v>
      </c>
      <c r="E510" s="59" t="str">
        <f aca="false">IF(L510="","",IF(INDEX(ポート振替表!$O$5:$O$3507,$L510)="","(未設定)",INDEX(ポート振替表!$O$5:$O$3507,$L510)&amp;""))</f>
        <v/>
      </c>
      <c r="F510" s="52" t="str">
        <f aca="false">IF(L510="","",INDEX(ポート振替表!$K$5:$K$3507,$L510)&amp;" "&amp;INDEX(ポート振替表!$L$5:$L$3507,$L510)&amp;"  ⇔  "&amp;INDEX(ポート振替表!$H$5:$H$3507,$L510)&amp;" "&amp;INDEX(ポート振替表!$I$5:$I$3507,$L510))</f>
        <v/>
      </c>
      <c r="G510" s="57" t="s">
        <v>158</v>
      </c>
      <c r="H510" s="32" t="str">
        <f aca="false">IF(L510="","",INDEX(ポート振替表!$N$5:$N$3507,$L510)&amp;"")</f>
        <v/>
      </c>
      <c r="I510" s="32" t="str">
        <f aca="false">IF(L510="","",INDEX(ポート振替表!$P$5:$P$3507,$L510)&amp;"")</f>
        <v/>
      </c>
      <c r="J510" s="60" t="str">
        <f aca="false">IF(L510="","",INDEX(ポート振替表!$M$5:$M$3507,$L510)&amp;"")</f>
        <v/>
      </c>
      <c r="K510" s="52" t="str">
        <f aca="false">IF(L510="","",E510&amp;CHAR(10)&amp;INDEX(ポート振替表!$K$5:$K$3507,$L510)&amp;" "&amp;INDEX(ポート振替表!$L$5:$L$3507,$L510)&amp;CHAR(10)&amp;"⇔ "&amp;INDEX(ポート振替表!$H$5:$H$3507,$L510)&amp;" "&amp;INDEX(ポート振替表!$I$5:$I$3507,$L510))</f>
        <v/>
      </c>
      <c r="L510" s="47" t="str">
        <f aca="false">IFERROR(MATCH(ROW()-4,ポート振替表!$V$5:$V$3507,0),"")</f>
        <v/>
      </c>
    </row>
    <row r="511" customFormat="false" ht="16.4" hidden="false" customHeight="false" outlineLevel="0" collapsed="false">
      <c r="A511" s="32" t="str">
        <f aca="false">IF(L511="","",ROW()-4)</f>
        <v/>
      </c>
      <c r="B511" s="58" t="str">
        <f aca="false">IF(L511="","",IF(INDEX(ポート振替表!$W$5:$W$3507,$L511)="","(なし)",INDEX(ポート振替表!$W$5:$W$3507,$L511)&amp;""))</f>
        <v/>
      </c>
      <c r="C511" s="52" t="str">
        <f aca="false">IF(L511="","",INDEX(ポート振替表!$B$5:$B$3507,$L511)&amp;" "&amp;INDEX(ポート振替表!$C$5:$C$3507,$L511)&amp;"  ⇔  "&amp;INDEX(ポート振替表!$H$5:$H$3507,$L511)&amp;" "&amp;INDEX(ポート振替表!$I$5:$I$3507,$L511))</f>
        <v/>
      </c>
      <c r="D511" s="57" t="s">
        <v>158</v>
      </c>
      <c r="E511" s="59" t="str">
        <f aca="false">IF(L511="","",IF(INDEX(ポート振替表!$O$5:$O$3507,$L511)="","(未設定)",INDEX(ポート振替表!$O$5:$O$3507,$L511)&amp;""))</f>
        <v/>
      </c>
      <c r="F511" s="52" t="str">
        <f aca="false">IF(L511="","",INDEX(ポート振替表!$K$5:$K$3507,$L511)&amp;" "&amp;INDEX(ポート振替表!$L$5:$L$3507,$L511)&amp;"  ⇔  "&amp;INDEX(ポート振替表!$H$5:$H$3507,$L511)&amp;" "&amp;INDEX(ポート振替表!$I$5:$I$3507,$L511))</f>
        <v/>
      </c>
      <c r="G511" s="57" t="s">
        <v>158</v>
      </c>
      <c r="H511" s="32" t="str">
        <f aca="false">IF(L511="","",INDEX(ポート振替表!$N$5:$N$3507,$L511)&amp;"")</f>
        <v/>
      </c>
      <c r="I511" s="32" t="str">
        <f aca="false">IF(L511="","",INDEX(ポート振替表!$P$5:$P$3507,$L511)&amp;"")</f>
        <v/>
      </c>
      <c r="J511" s="60" t="str">
        <f aca="false">IF(L511="","",INDEX(ポート振替表!$M$5:$M$3507,$L511)&amp;"")</f>
        <v/>
      </c>
      <c r="K511" s="52" t="str">
        <f aca="false">IF(L511="","",E511&amp;CHAR(10)&amp;INDEX(ポート振替表!$K$5:$K$3507,$L511)&amp;" "&amp;INDEX(ポート振替表!$L$5:$L$3507,$L511)&amp;CHAR(10)&amp;"⇔ "&amp;INDEX(ポート振替表!$H$5:$H$3507,$L511)&amp;" "&amp;INDEX(ポート振替表!$I$5:$I$3507,$L511))</f>
        <v/>
      </c>
      <c r="L511" s="47" t="str">
        <f aca="false">IFERROR(MATCH(ROW()-4,ポート振替表!$V$5:$V$3507,0),"")</f>
        <v/>
      </c>
    </row>
    <row r="512" customFormat="false" ht="16.4" hidden="false" customHeight="false" outlineLevel="0" collapsed="false">
      <c r="A512" s="32" t="str">
        <f aca="false">IF(L512="","",ROW()-4)</f>
        <v/>
      </c>
      <c r="B512" s="58" t="str">
        <f aca="false">IF(L512="","",IF(INDEX(ポート振替表!$W$5:$W$3507,$L512)="","(なし)",INDEX(ポート振替表!$W$5:$W$3507,$L512)&amp;""))</f>
        <v/>
      </c>
      <c r="C512" s="52" t="str">
        <f aca="false">IF(L512="","",INDEX(ポート振替表!$B$5:$B$3507,$L512)&amp;" "&amp;INDEX(ポート振替表!$C$5:$C$3507,$L512)&amp;"  ⇔  "&amp;INDEX(ポート振替表!$H$5:$H$3507,$L512)&amp;" "&amp;INDEX(ポート振替表!$I$5:$I$3507,$L512))</f>
        <v/>
      </c>
      <c r="D512" s="57" t="s">
        <v>158</v>
      </c>
      <c r="E512" s="59" t="str">
        <f aca="false">IF(L512="","",IF(INDEX(ポート振替表!$O$5:$O$3507,$L512)="","(未設定)",INDEX(ポート振替表!$O$5:$O$3507,$L512)&amp;""))</f>
        <v/>
      </c>
      <c r="F512" s="52" t="str">
        <f aca="false">IF(L512="","",INDEX(ポート振替表!$K$5:$K$3507,$L512)&amp;" "&amp;INDEX(ポート振替表!$L$5:$L$3507,$L512)&amp;"  ⇔  "&amp;INDEX(ポート振替表!$H$5:$H$3507,$L512)&amp;" "&amp;INDEX(ポート振替表!$I$5:$I$3507,$L512))</f>
        <v/>
      </c>
      <c r="G512" s="57" t="s">
        <v>158</v>
      </c>
      <c r="H512" s="32" t="str">
        <f aca="false">IF(L512="","",INDEX(ポート振替表!$N$5:$N$3507,$L512)&amp;"")</f>
        <v/>
      </c>
      <c r="I512" s="32" t="str">
        <f aca="false">IF(L512="","",INDEX(ポート振替表!$P$5:$P$3507,$L512)&amp;"")</f>
        <v/>
      </c>
      <c r="J512" s="60" t="str">
        <f aca="false">IF(L512="","",INDEX(ポート振替表!$M$5:$M$3507,$L512)&amp;"")</f>
        <v/>
      </c>
      <c r="K512" s="52" t="str">
        <f aca="false">IF(L512="","",E512&amp;CHAR(10)&amp;INDEX(ポート振替表!$K$5:$K$3507,$L512)&amp;" "&amp;INDEX(ポート振替表!$L$5:$L$3507,$L512)&amp;CHAR(10)&amp;"⇔ "&amp;INDEX(ポート振替表!$H$5:$H$3507,$L512)&amp;" "&amp;INDEX(ポート振替表!$I$5:$I$3507,$L512))</f>
        <v/>
      </c>
      <c r="L512" s="47" t="str">
        <f aca="false">IFERROR(MATCH(ROW()-4,ポート振替表!$V$5:$V$3507,0),"")</f>
        <v/>
      </c>
    </row>
    <row r="513" customFormat="false" ht="16.4" hidden="false" customHeight="false" outlineLevel="0" collapsed="false">
      <c r="A513" s="32" t="str">
        <f aca="false">IF(L513="","",ROW()-4)</f>
        <v/>
      </c>
      <c r="B513" s="58" t="str">
        <f aca="false">IF(L513="","",IF(INDEX(ポート振替表!$W$5:$W$3507,$L513)="","(なし)",INDEX(ポート振替表!$W$5:$W$3507,$L513)&amp;""))</f>
        <v/>
      </c>
      <c r="C513" s="52" t="str">
        <f aca="false">IF(L513="","",INDEX(ポート振替表!$B$5:$B$3507,$L513)&amp;" "&amp;INDEX(ポート振替表!$C$5:$C$3507,$L513)&amp;"  ⇔  "&amp;INDEX(ポート振替表!$H$5:$H$3507,$L513)&amp;" "&amp;INDEX(ポート振替表!$I$5:$I$3507,$L513))</f>
        <v/>
      </c>
      <c r="D513" s="57" t="s">
        <v>158</v>
      </c>
      <c r="E513" s="59" t="str">
        <f aca="false">IF(L513="","",IF(INDEX(ポート振替表!$O$5:$O$3507,$L513)="","(未設定)",INDEX(ポート振替表!$O$5:$O$3507,$L513)&amp;""))</f>
        <v/>
      </c>
      <c r="F513" s="52" t="str">
        <f aca="false">IF(L513="","",INDEX(ポート振替表!$K$5:$K$3507,$L513)&amp;" "&amp;INDEX(ポート振替表!$L$5:$L$3507,$L513)&amp;"  ⇔  "&amp;INDEX(ポート振替表!$H$5:$H$3507,$L513)&amp;" "&amp;INDEX(ポート振替表!$I$5:$I$3507,$L513))</f>
        <v/>
      </c>
      <c r="G513" s="57" t="s">
        <v>158</v>
      </c>
      <c r="H513" s="32" t="str">
        <f aca="false">IF(L513="","",INDEX(ポート振替表!$N$5:$N$3507,$L513)&amp;"")</f>
        <v/>
      </c>
      <c r="I513" s="32" t="str">
        <f aca="false">IF(L513="","",INDEX(ポート振替表!$P$5:$P$3507,$L513)&amp;"")</f>
        <v/>
      </c>
      <c r="J513" s="60" t="str">
        <f aca="false">IF(L513="","",INDEX(ポート振替表!$M$5:$M$3507,$L513)&amp;"")</f>
        <v/>
      </c>
      <c r="K513" s="52" t="str">
        <f aca="false">IF(L513="","",E513&amp;CHAR(10)&amp;INDEX(ポート振替表!$K$5:$K$3507,$L513)&amp;" "&amp;INDEX(ポート振替表!$L$5:$L$3507,$L513)&amp;CHAR(10)&amp;"⇔ "&amp;INDEX(ポート振替表!$H$5:$H$3507,$L513)&amp;" "&amp;INDEX(ポート振替表!$I$5:$I$3507,$L513))</f>
        <v/>
      </c>
      <c r="L513" s="47" t="str">
        <f aca="false">IFERROR(MATCH(ROW()-4,ポート振替表!$V$5:$V$3507,0),"")</f>
        <v/>
      </c>
    </row>
    <row r="514" customFormat="false" ht="16.4" hidden="false" customHeight="false" outlineLevel="0" collapsed="false">
      <c r="A514" s="32" t="str">
        <f aca="false">IF(L514="","",ROW()-4)</f>
        <v/>
      </c>
      <c r="B514" s="58" t="str">
        <f aca="false">IF(L514="","",IF(INDEX(ポート振替表!$W$5:$W$3507,$L514)="","(なし)",INDEX(ポート振替表!$W$5:$W$3507,$L514)&amp;""))</f>
        <v/>
      </c>
      <c r="C514" s="52" t="str">
        <f aca="false">IF(L514="","",INDEX(ポート振替表!$B$5:$B$3507,$L514)&amp;" "&amp;INDEX(ポート振替表!$C$5:$C$3507,$L514)&amp;"  ⇔  "&amp;INDEX(ポート振替表!$H$5:$H$3507,$L514)&amp;" "&amp;INDEX(ポート振替表!$I$5:$I$3507,$L514))</f>
        <v/>
      </c>
      <c r="D514" s="57" t="s">
        <v>158</v>
      </c>
      <c r="E514" s="59" t="str">
        <f aca="false">IF(L514="","",IF(INDEX(ポート振替表!$O$5:$O$3507,$L514)="","(未設定)",INDEX(ポート振替表!$O$5:$O$3507,$L514)&amp;""))</f>
        <v/>
      </c>
      <c r="F514" s="52" t="str">
        <f aca="false">IF(L514="","",INDEX(ポート振替表!$K$5:$K$3507,$L514)&amp;" "&amp;INDEX(ポート振替表!$L$5:$L$3507,$L514)&amp;"  ⇔  "&amp;INDEX(ポート振替表!$H$5:$H$3507,$L514)&amp;" "&amp;INDEX(ポート振替表!$I$5:$I$3507,$L514))</f>
        <v/>
      </c>
      <c r="G514" s="57" t="s">
        <v>158</v>
      </c>
      <c r="H514" s="32" t="str">
        <f aca="false">IF(L514="","",INDEX(ポート振替表!$N$5:$N$3507,$L514)&amp;"")</f>
        <v/>
      </c>
      <c r="I514" s="32" t="str">
        <f aca="false">IF(L514="","",INDEX(ポート振替表!$P$5:$P$3507,$L514)&amp;"")</f>
        <v/>
      </c>
      <c r="J514" s="60" t="str">
        <f aca="false">IF(L514="","",INDEX(ポート振替表!$M$5:$M$3507,$L514)&amp;"")</f>
        <v/>
      </c>
      <c r="K514" s="52" t="str">
        <f aca="false">IF(L514="","",E514&amp;CHAR(10)&amp;INDEX(ポート振替表!$K$5:$K$3507,$L514)&amp;" "&amp;INDEX(ポート振替表!$L$5:$L$3507,$L514)&amp;CHAR(10)&amp;"⇔ "&amp;INDEX(ポート振替表!$H$5:$H$3507,$L514)&amp;" "&amp;INDEX(ポート振替表!$I$5:$I$3507,$L514))</f>
        <v/>
      </c>
      <c r="L514" s="47" t="str">
        <f aca="false">IFERROR(MATCH(ROW()-4,ポート振替表!$V$5:$V$3507,0),"")</f>
        <v/>
      </c>
    </row>
    <row r="515" customFormat="false" ht="16.4" hidden="false" customHeight="false" outlineLevel="0" collapsed="false">
      <c r="A515" s="32" t="str">
        <f aca="false">IF(L515="","",ROW()-4)</f>
        <v/>
      </c>
      <c r="B515" s="58" t="str">
        <f aca="false">IF(L515="","",IF(INDEX(ポート振替表!$W$5:$W$3507,$L515)="","(なし)",INDEX(ポート振替表!$W$5:$W$3507,$L515)&amp;""))</f>
        <v/>
      </c>
      <c r="C515" s="52" t="str">
        <f aca="false">IF(L515="","",INDEX(ポート振替表!$B$5:$B$3507,$L515)&amp;" "&amp;INDEX(ポート振替表!$C$5:$C$3507,$L515)&amp;"  ⇔  "&amp;INDEX(ポート振替表!$H$5:$H$3507,$L515)&amp;" "&amp;INDEX(ポート振替表!$I$5:$I$3507,$L515))</f>
        <v/>
      </c>
      <c r="D515" s="57" t="s">
        <v>158</v>
      </c>
      <c r="E515" s="59" t="str">
        <f aca="false">IF(L515="","",IF(INDEX(ポート振替表!$O$5:$O$3507,$L515)="","(未設定)",INDEX(ポート振替表!$O$5:$O$3507,$L515)&amp;""))</f>
        <v/>
      </c>
      <c r="F515" s="52" t="str">
        <f aca="false">IF(L515="","",INDEX(ポート振替表!$K$5:$K$3507,$L515)&amp;" "&amp;INDEX(ポート振替表!$L$5:$L$3507,$L515)&amp;"  ⇔  "&amp;INDEX(ポート振替表!$H$5:$H$3507,$L515)&amp;" "&amp;INDEX(ポート振替表!$I$5:$I$3507,$L515))</f>
        <v/>
      </c>
      <c r="G515" s="57" t="s">
        <v>158</v>
      </c>
      <c r="H515" s="32" t="str">
        <f aca="false">IF(L515="","",INDEX(ポート振替表!$N$5:$N$3507,$L515)&amp;"")</f>
        <v/>
      </c>
      <c r="I515" s="32" t="str">
        <f aca="false">IF(L515="","",INDEX(ポート振替表!$P$5:$P$3507,$L515)&amp;"")</f>
        <v/>
      </c>
      <c r="J515" s="60" t="str">
        <f aca="false">IF(L515="","",INDEX(ポート振替表!$M$5:$M$3507,$L515)&amp;"")</f>
        <v/>
      </c>
      <c r="K515" s="52" t="str">
        <f aca="false">IF(L515="","",E515&amp;CHAR(10)&amp;INDEX(ポート振替表!$K$5:$K$3507,$L515)&amp;" "&amp;INDEX(ポート振替表!$L$5:$L$3507,$L515)&amp;CHAR(10)&amp;"⇔ "&amp;INDEX(ポート振替表!$H$5:$H$3507,$L515)&amp;" "&amp;INDEX(ポート振替表!$I$5:$I$3507,$L515))</f>
        <v/>
      </c>
      <c r="L515" s="47" t="str">
        <f aca="false">IFERROR(MATCH(ROW()-4,ポート振替表!$V$5:$V$3507,0),"")</f>
        <v/>
      </c>
    </row>
    <row r="516" customFormat="false" ht="16.4" hidden="false" customHeight="false" outlineLevel="0" collapsed="false">
      <c r="A516" s="32" t="str">
        <f aca="false">IF(L516="","",ROW()-4)</f>
        <v/>
      </c>
      <c r="B516" s="58" t="str">
        <f aca="false">IF(L516="","",IF(INDEX(ポート振替表!$W$5:$W$3507,$L516)="","(なし)",INDEX(ポート振替表!$W$5:$W$3507,$L516)&amp;""))</f>
        <v/>
      </c>
      <c r="C516" s="52" t="str">
        <f aca="false">IF(L516="","",INDEX(ポート振替表!$B$5:$B$3507,$L516)&amp;" "&amp;INDEX(ポート振替表!$C$5:$C$3507,$L516)&amp;"  ⇔  "&amp;INDEX(ポート振替表!$H$5:$H$3507,$L516)&amp;" "&amp;INDEX(ポート振替表!$I$5:$I$3507,$L516))</f>
        <v/>
      </c>
      <c r="D516" s="57" t="s">
        <v>158</v>
      </c>
      <c r="E516" s="59" t="str">
        <f aca="false">IF(L516="","",IF(INDEX(ポート振替表!$O$5:$O$3507,$L516)="","(未設定)",INDEX(ポート振替表!$O$5:$O$3507,$L516)&amp;""))</f>
        <v/>
      </c>
      <c r="F516" s="52" t="str">
        <f aca="false">IF(L516="","",INDEX(ポート振替表!$K$5:$K$3507,$L516)&amp;" "&amp;INDEX(ポート振替表!$L$5:$L$3507,$L516)&amp;"  ⇔  "&amp;INDEX(ポート振替表!$H$5:$H$3507,$L516)&amp;" "&amp;INDEX(ポート振替表!$I$5:$I$3507,$L516))</f>
        <v/>
      </c>
      <c r="G516" s="57" t="s">
        <v>158</v>
      </c>
      <c r="H516" s="32" t="str">
        <f aca="false">IF(L516="","",INDEX(ポート振替表!$N$5:$N$3507,$L516)&amp;"")</f>
        <v/>
      </c>
      <c r="I516" s="32" t="str">
        <f aca="false">IF(L516="","",INDEX(ポート振替表!$P$5:$P$3507,$L516)&amp;"")</f>
        <v/>
      </c>
      <c r="J516" s="60" t="str">
        <f aca="false">IF(L516="","",INDEX(ポート振替表!$M$5:$M$3507,$L516)&amp;"")</f>
        <v/>
      </c>
      <c r="K516" s="52" t="str">
        <f aca="false">IF(L516="","",E516&amp;CHAR(10)&amp;INDEX(ポート振替表!$K$5:$K$3507,$L516)&amp;" "&amp;INDEX(ポート振替表!$L$5:$L$3507,$L516)&amp;CHAR(10)&amp;"⇔ "&amp;INDEX(ポート振替表!$H$5:$H$3507,$L516)&amp;" "&amp;INDEX(ポート振替表!$I$5:$I$3507,$L516))</f>
        <v/>
      </c>
      <c r="L516" s="47" t="str">
        <f aca="false">IFERROR(MATCH(ROW()-4,ポート振替表!$V$5:$V$3507,0),"")</f>
        <v/>
      </c>
    </row>
    <row r="517" customFormat="false" ht="16.4" hidden="false" customHeight="false" outlineLevel="0" collapsed="false">
      <c r="A517" s="32" t="str">
        <f aca="false">IF(L517="","",ROW()-4)</f>
        <v/>
      </c>
      <c r="B517" s="58" t="str">
        <f aca="false">IF(L517="","",IF(INDEX(ポート振替表!$W$5:$W$3507,$L517)="","(なし)",INDEX(ポート振替表!$W$5:$W$3507,$L517)&amp;""))</f>
        <v/>
      </c>
      <c r="C517" s="52" t="str">
        <f aca="false">IF(L517="","",INDEX(ポート振替表!$B$5:$B$3507,$L517)&amp;" "&amp;INDEX(ポート振替表!$C$5:$C$3507,$L517)&amp;"  ⇔  "&amp;INDEX(ポート振替表!$H$5:$H$3507,$L517)&amp;" "&amp;INDEX(ポート振替表!$I$5:$I$3507,$L517))</f>
        <v/>
      </c>
      <c r="D517" s="57" t="s">
        <v>158</v>
      </c>
      <c r="E517" s="59" t="str">
        <f aca="false">IF(L517="","",IF(INDEX(ポート振替表!$O$5:$O$3507,$L517)="","(未設定)",INDEX(ポート振替表!$O$5:$O$3507,$L517)&amp;""))</f>
        <v/>
      </c>
      <c r="F517" s="52" t="str">
        <f aca="false">IF(L517="","",INDEX(ポート振替表!$K$5:$K$3507,$L517)&amp;" "&amp;INDEX(ポート振替表!$L$5:$L$3507,$L517)&amp;"  ⇔  "&amp;INDEX(ポート振替表!$H$5:$H$3507,$L517)&amp;" "&amp;INDEX(ポート振替表!$I$5:$I$3507,$L517))</f>
        <v/>
      </c>
      <c r="G517" s="57" t="s">
        <v>158</v>
      </c>
      <c r="H517" s="32" t="str">
        <f aca="false">IF(L517="","",INDEX(ポート振替表!$N$5:$N$3507,$L517)&amp;"")</f>
        <v/>
      </c>
      <c r="I517" s="32" t="str">
        <f aca="false">IF(L517="","",INDEX(ポート振替表!$P$5:$P$3507,$L517)&amp;"")</f>
        <v/>
      </c>
      <c r="J517" s="60" t="str">
        <f aca="false">IF(L517="","",INDEX(ポート振替表!$M$5:$M$3507,$L517)&amp;"")</f>
        <v/>
      </c>
      <c r="K517" s="52" t="str">
        <f aca="false">IF(L517="","",E517&amp;CHAR(10)&amp;INDEX(ポート振替表!$K$5:$K$3507,$L517)&amp;" "&amp;INDEX(ポート振替表!$L$5:$L$3507,$L517)&amp;CHAR(10)&amp;"⇔ "&amp;INDEX(ポート振替表!$H$5:$H$3507,$L517)&amp;" "&amp;INDEX(ポート振替表!$I$5:$I$3507,$L517))</f>
        <v/>
      </c>
      <c r="L517" s="47" t="str">
        <f aca="false">IFERROR(MATCH(ROW()-4,ポート振替表!$V$5:$V$3507,0),"")</f>
        <v/>
      </c>
    </row>
    <row r="518" customFormat="false" ht="16.4" hidden="false" customHeight="false" outlineLevel="0" collapsed="false">
      <c r="A518" s="32" t="str">
        <f aca="false">IF(L518="","",ROW()-4)</f>
        <v/>
      </c>
      <c r="B518" s="58" t="str">
        <f aca="false">IF(L518="","",IF(INDEX(ポート振替表!$W$5:$W$3507,$L518)="","(なし)",INDEX(ポート振替表!$W$5:$W$3507,$L518)&amp;""))</f>
        <v/>
      </c>
      <c r="C518" s="52" t="str">
        <f aca="false">IF(L518="","",INDEX(ポート振替表!$B$5:$B$3507,$L518)&amp;" "&amp;INDEX(ポート振替表!$C$5:$C$3507,$L518)&amp;"  ⇔  "&amp;INDEX(ポート振替表!$H$5:$H$3507,$L518)&amp;" "&amp;INDEX(ポート振替表!$I$5:$I$3507,$L518))</f>
        <v/>
      </c>
      <c r="D518" s="57" t="s">
        <v>158</v>
      </c>
      <c r="E518" s="59" t="str">
        <f aca="false">IF(L518="","",IF(INDEX(ポート振替表!$O$5:$O$3507,$L518)="","(未設定)",INDEX(ポート振替表!$O$5:$O$3507,$L518)&amp;""))</f>
        <v/>
      </c>
      <c r="F518" s="52" t="str">
        <f aca="false">IF(L518="","",INDEX(ポート振替表!$K$5:$K$3507,$L518)&amp;" "&amp;INDEX(ポート振替表!$L$5:$L$3507,$L518)&amp;"  ⇔  "&amp;INDEX(ポート振替表!$H$5:$H$3507,$L518)&amp;" "&amp;INDEX(ポート振替表!$I$5:$I$3507,$L518))</f>
        <v/>
      </c>
      <c r="G518" s="57" t="s">
        <v>158</v>
      </c>
      <c r="H518" s="32" t="str">
        <f aca="false">IF(L518="","",INDEX(ポート振替表!$N$5:$N$3507,$L518)&amp;"")</f>
        <v/>
      </c>
      <c r="I518" s="32" t="str">
        <f aca="false">IF(L518="","",INDEX(ポート振替表!$P$5:$P$3507,$L518)&amp;"")</f>
        <v/>
      </c>
      <c r="J518" s="60" t="str">
        <f aca="false">IF(L518="","",INDEX(ポート振替表!$M$5:$M$3507,$L518)&amp;"")</f>
        <v/>
      </c>
      <c r="K518" s="52" t="str">
        <f aca="false">IF(L518="","",E518&amp;CHAR(10)&amp;INDEX(ポート振替表!$K$5:$K$3507,$L518)&amp;" "&amp;INDEX(ポート振替表!$L$5:$L$3507,$L518)&amp;CHAR(10)&amp;"⇔ "&amp;INDEX(ポート振替表!$H$5:$H$3507,$L518)&amp;" "&amp;INDEX(ポート振替表!$I$5:$I$3507,$L518))</f>
        <v/>
      </c>
      <c r="L518" s="47" t="str">
        <f aca="false">IFERROR(MATCH(ROW()-4,ポート振替表!$V$5:$V$3507,0),"")</f>
        <v/>
      </c>
    </row>
    <row r="519" customFormat="false" ht="16.4" hidden="false" customHeight="false" outlineLevel="0" collapsed="false">
      <c r="A519" s="32" t="str">
        <f aca="false">IF(L519="","",ROW()-4)</f>
        <v/>
      </c>
      <c r="B519" s="58" t="str">
        <f aca="false">IF(L519="","",IF(INDEX(ポート振替表!$W$5:$W$3507,$L519)="","(なし)",INDEX(ポート振替表!$W$5:$W$3507,$L519)&amp;""))</f>
        <v/>
      </c>
      <c r="C519" s="52" t="str">
        <f aca="false">IF(L519="","",INDEX(ポート振替表!$B$5:$B$3507,$L519)&amp;" "&amp;INDEX(ポート振替表!$C$5:$C$3507,$L519)&amp;"  ⇔  "&amp;INDEX(ポート振替表!$H$5:$H$3507,$L519)&amp;" "&amp;INDEX(ポート振替表!$I$5:$I$3507,$L519))</f>
        <v/>
      </c>
      <c r="D519" s="57" t="s">
        <v>158</v>
      </c>
      <c r="E519" s="59" t="str">
        <f aca="false">IF(L519="","",IF(INDEX(ポート振替表!$O$5:$O$3507,$L519)="","(未設定)",INDEX(ポート振替表!$O$5:$O$3507,$L519)&amp;""))</f>
        <v/>
      </c>
      <c r="F519" s="52" t="str">
        <f aca="false">IF(L519="","",INDEX(ポート振替表!$K$5:$K$3507,$L519)&amp;" "&amp;INDEX(ポート振替表!$L$5:$L$3507,$L519)&amp;"  ⇔  "&amp;INDEX(ポート振替表!$H$5:$H$3507,$L519)&amp;" "&amp;INDEX(ポート振替表!$I$5:$I$3507,$L519))</f>
        <v/>
      </c>
      <c r="G519" s="57" t="s">
        <v>158</v>
      </c>
      <c r="H519" s="32" t="str">
        <f aca="false">IF(L519="","",INDEX(ポート振替表!$N$5:$N$3507,$L519)&amp;"")</f>
        <v/>
      </c>
      <c r="I519" s="32" t="str">
        <f aca="false">IF(L519="","",INDEX(ポート振替表!$P$5:$P$3507,$L519)&amp;"")</f>
        <v/>
      </c>
      <c r="J519" s="60" t="str">
        <f aca="false">IF(L519="","",INDEX(ポート振替表!$M$5:$M$3507,$L519)&amp;"")</f>
        <v/>
      </c>
      <c r="K519" s="52" t="str">
        <f aca="false">IF(L519="","",E519&amp;CHAR(10)&amp;INDEX(ポート振替表!$K$5:$K$3507,$L519)&amp;" "&amp;INDEX(ポート振替表!$L$5:$L$3507,$L519)&amp;CHAR(10)&amp;"⇔ "&amp;INDEX(ポート振替表!$H$5:$H$3507,$L519)&amp;" "&amp;INDEX(ポート振替表!$I$5:$I$3507,$L519))</f>
        <v/>
      </c>
      <c r="L519" s="47" t="str">
        <f aca="false">IFERROR(MATCH(ROW()-4,ポート振替表!$V$5:$V$3507,0),"")</f>
        <v/>
      </c>
    </row>
    <row r="520" customFormat="false" ht="16.4" hidden="false" customHeight="false" outlineLevel="0" collapsed="false">
      <c r="A520" s="32" t="str">
        <f aca="false">IF(L520="","",ROW()-4)</f>
        <v/>
      </c>
      <c r="B520" s="58" t="str">
        <f aca="false">IF(L520="","",IF(INDEX(ポート振替表!$W$5:$W$3507,$L520)="","(なし)",INDEX(ポート振替表!$W$5:$W$3507,$L520)&amp;""))</f>
        <v/>
      </c>
      <c r="C520" s="52" t="str">
        <f aca="false">IF(L520="","",INDEX(ポート振替表!$B$5:$B$3507,$L520)&amp;" "&amp;INDEX(ポート振替表!$C$5:$C$3507,$L520)&amp;"  ⇔  "&amp;INDEX(ポート振替表!$H$5:$H$3507,$L520)&amp;" "&amp;INDEX(ポート振替表!$I$5:$I$3507,$L520))</f>
        <v/>
      </c>
      <c r="D520" s="57" t="s">
        <v>158</v>
      </c>
      <c r="E520" s="59" t="str">
        <f aca="false">IF(L520="","",IF(INDEX(ポート振替表!$O$5:$O$3507,$L520)="","(未設定)",INDEX(ポート振替表!$O$5:$O$3507,$L520)&amp;""))</f>
        <v/>
      </c>
      <c r="F520" s="52" t="str">
        <f aca="false">IF(L520="","",INDEX(ポート振替表!$K$5:$K$3507,$L520)&amp;" "&amp;INDEX(ポート振替表!$L$5:$L$3507,$L520)&amp;"  ⇔  "&amp;INDEX(ポート振替表!$H$5:$H$3507,$L520)&amp;" "&amp;INDEX(ポート振替表!$I$5:$I$3507,$L520))</f>
        <v/>
      </c>
      <c r="G520" s="57" t="s">
        <v>158</v>
      </c>
      <c r="H520" s="32" t="str">
        <f aca="false">IF(L520="","",INDEX(ポート振替表!$N$5:$N$3507,$L520)&amp;"")</f>
        <v/>
      </c>
      <c r="I520" s="32" t="str">
        <f aca="false">IF(L520="","",INDEX(ポート振替表!$P$5:$P$3507,$L520)&amp;"")</f>
        <v/>
      </c>
      <c r="J520" s="60" t="str">
        <f aca="false">IF(L520="","",INDEX(ポート振替表!$M$5:$M$3507,$L520)&amp;"")</f>
        <v/>
      </c>
      <c r="K520" s="52" t="str">
        <f aca="false">IF(L520="","",E520&amp;CHAR(10)&amp;INDEX(ポート振替表!$K$5:$K$3507,$L520)&amp;" "&amp;INDEX(ポート振替表!$L$5:$L$3507,$L520)&amp;CHAR(10)&amp;"⇔ "&amp;INDEX(ポート振替表!$H$5:$H$3507,$L520)&amp;" "&amp;INDEX(ポート振替表!$I$5:$I$3507,$L520))</f>
        <v/>
      </c>
      <c r="L520" s="47" t="str">
        <f aca="false">IFERROR(MATCH(ROW()-4,ポート振替表!$V$5:$V$3507,0),"")</f>
        <v/>
      </c>
    </row>
    <row r="521" customFormat="false" ht="16.4" hidden="false" customHeight="false" outlineLevel="0" collapsed="false">
      <c r="A521" s="32" t="str">
        <f aca="false">IF(L521="","",ROW()-4)</f>
        <v/>
      </c>
      <c r="B521" s="58" t="str">
        <f aca="false">IF(L521="","",IF(INDEX(ポート振替表!$W$5:$W$3507,$L521)="","(なし)",INDEX(ポート振替表!$W$5:$W$3507,$L521)&amp;""))</f>
        <v/>
      </c>
      <c r="C521" s="52" t="str">
        <f aca="false">IF(L521="","",INDEX(ポート振替表!$B$5:$B$3507,$L521)&amp;" "&amp;INDEX(ポート振替表!$C$5:$C$3507,$L521)&amp;"  ⇔  "&amp;INDEX(ポート振替表!$H$5:$H$3507,$L521)&amp;" "&amp;INDEX(ポート振替表!$I$5:$I$3507,$L521))</f>
        <v/>
      </c>
      <c r="D521" s="57" t="s">
        <v>158</v>
      </c>
      <c r="E521" s="59" t="str">
        <f aca="false">IF(L521="","",IF(INDEX(ポート振替表!$O$5:$O$3507,$L521)="","(未設定)",INDEX(ポート振替表!$O$5:$O$3507,$L521)&amp;""))</f>
        <v/>
      </c>
      <c r="F521" s="52" t="str">
        <f aca="false">IF(L521="","",INDEX(ポート振替表!$K$5:$K$3507,$L521)&amp;" "&amp;INDEX(ポート振替表!$L$5:$L$3507,$L521)&amp;"  ⇔  "&amp;INDEX(ポート振替表!$H$5:$H$3507,$L521)&amp;" "&amp;INDEX(ポート振替表!$I$5:$I$3507,$L521))</f>
        <v/>
      </c>
      <c r="G521" s="57" t="s">
        <v>158</v>
      </c>
      <c r="H521" s="32" t="str">
        <f aca="false">IF(L521="","",INDEX(ポート振替表!$N$5:$N$3507,$L521)&amp;"")</f>
        <v/>
      </c>
      <c r="I521" s="32" t="str">
        <f aca="false">IF(L521="","",INDEX(ポート振替表!$P$5:$P$3507,$L521)&amp;"")</f>
        <v/>
      </c>
      <c r="J521" s="60" t="str">
        <f aca="false">IF(L521="","",INDEX(ポート振替表!$M$5:$M$3507,$L521)&amp;"")</f>
        <v/>
      </c>
      <c r="K521" s="52" t="str">
        <f aca="false">IF(L521="","",E521&amp;CHAR(10)&amp;INDEX(ポート振替表!$K$5:$K$3507,$L521)&amp;" "&amp;INDEX(ポート振替表!$L$5:$L$3507,$L521)&amp;CHAR(10)&amp;"⇔ "&amp;INDEX(ポート振替表!$H$5:$H$3507,$L521)&amp;" "&amp;INDEX(ポート振替表!$I$5:$I$3507,$L521))</f>
        <v/>
      </c>
      <c r="L521" s="47" t="str">
        <f aca="false">IFERROR(MATCH(ROW()-4,ポート振替表!$V$5:$V$3507,0),"")</f>
        <v/>
      </c>
    </row>
    <row r="522" customFormat="false" ht="16.4" hidden="false" customHeight="false" outlineLevel="0" collapsed="false">
      <c r="A522" s="32" t="str">
        <f aca="false">IF(L522="","",ROW()-4)</f>
        <v/>
      </c>
      <c r="B522" s="58" t="str">
        <f aca="false">IF(L522="","",IF(INDEX(ポート振替表!$W$5:$W$3507,$L522)="","(なし)",INDEX(ポート振替表!$W$5:$W$3507,$L522)&amp;""))</f>
        <v/>
      </c>
      <c r="C522" s="52" t="str">
        <f aca="false">IF(L522="","",INDEX(ポート振替表!$B$5:$B$3507,$L522)&amp;" "&amp;INDEX(ポート振替表!$C$5:$C$3507,$L522)&amp;"  ⇔  "&amp;INDEX(ポート振替表!$H$5:$H$3507,$L522)&amp;" "&amp;INDEX(ポート振替表!$I$5:$I$3507,$L522))</f>
        <v/>
      </c>
      <c r="D522" s="57" t="s">
        <v>158</v>
      </c>
      <c r="E522" s="59" t="str">
        <f aca="false">IF(L522="","",IF(INDEX(ポート振替表!$O$5:$O$3507,$L522)="","(未設定)",INDEX(ポート振替表!$O$5:$O$3507,$L522)&amp;""))</f>
        <v/>
      </c>
      <c r="F522" s="52" t="str">
        <f aca="false">IF(L522="","",INDEX(ポート振替表!$K$5:$K$3507,$L522)&amp;" "&amp;INDEX(ポート振替表!$L$5:$L$3507,$L522)&amp;"  ⇔  "&amp;INDEX(ポート振替表!$H$5:$H$3507,$L522)&amp;" "&amp;INDEX(ポート振替表!$I$5:$I$3507,$L522))</f>
        <v/>
      </c>
      <c r="G522" s="57" t="s">
        <v>158</v>
      </c>
      <c r="H522" s="32" t="str">
        <f aca="false">IF(L522="","",INDEX(ポート振替表!$N$5:$N$3507,$L522)&amp;"")</f>
        <v/>
      </c>
      <c r="I522" s="32" t="str">
        <f aca="false">IF(L522="","",INDEX(ポート振替表!$P$5:$P$3507,$L522)&amp;"")</f>
        <v/>
      </c>
      <c r="J522" s="60" t="str">
        <f aca="false">IF(L522="","",INDEX(ポート振替表!$M$5:$M$3507,$L522)&amp;"")</f>
        <v/>
      </c>
      <c r="K522" s="52" t="str">
        <f aca="false">IF(L522="","",E522&amp;CHAR(10)&amp;INDEX(ポート振替表!$K$5:$K$3507,$L522)&amp;" "&amp;INDEX(ポート振替表!$L$5:$L$3507,$L522)&amp;CHAR(10)&amp;"⇔ "&amp;INDEX(ポート振替表!$H$5:$H$3507,$L522)&amp;" "&amp;INDEX(ポート振替表!$I$5:$I$3507,$L522))</f>
        <v/>
      </c>
      <c r="L522" s="47" t="str">
        <f aca="false">IFERROR(MATCH(ROW()-4,ポート振替表!$V$5:$V$3507,0),"")</f>
        <v/>
      </c>
    </row>
    <row r="523" customFormat="false" ht="16.4" hidden="false" customHeight="false" outlineLevel="0" collapsed="false">
      <c r="A523" s="32" t="str">
        <f aca="false">IF(L523="","",ROW()-4)</f>
        <v/>
      </c>
      <c r="B523" s="58" t="str">
        <f aca="false">IF(L523="","",IF(INDEX(ポート振替表!$W$5:$W$3507,$L523)="","(なし)",INDEX(ポート振替表!$W$5:$W$3507,$L523)&amp;""))</f>
        <v/>
      </c>
      <c r="C523" s="52" t="str">
        <f aca="false">IF(L523="","",INDEX(ポート振替表!$B$5:$B$3507,$L523)&amp;" "&amp;INDEX(ポート振替表!$C$5:$C$3507,$L523)&amp;"  ⇔  "&amp;INDEX(ポート振替表!$H$5:$H$3507,$L523)&amp;" "&amp;INDEX(ポート振替表!$I$5:$I$3507,$L523))</f>
        <v/>
      </c>
      <c r="D523" s="57" t="s">
        <v>158</v>
      </c>
      <c r="E523" s="59" t="str">
        <f aca="false">IF(L523="","",IF(INDEX(ポート振替表!$O$5:$O$3507,$L523)="","(未設定)",INDEX(ポート振替表!$O$5:$O$3507,$L523)&amp;""))</f>
        <v/>
      </c>
      <c r="F523" s="52" t="str">
        <f aca="false">IF(L523="","",INDEX(ポート振替表!$K$5:$K$3507,$L523)&amp;" "&amp;INDEX(ポート振替表!$L$5:$L$3507,$L523)&amp;"  ⇔  "&amp;INDEX(ポート振替表!$H$5:$H$3507,$L523)&amp;" "&amp;INDEX(ポート振替表!$I$5:$I$3507,$L523))</f>
        <v/>
      </c>
      <c r="G523" s="57" t="s">
        <v>158</v>
      </c>
      <c r="H523" s="32" t="str">
        <f aca="false">IF(L523="","",INDEX(ポート振替表!$N$5:$N$3507,$L523)&amp;"")</f>
        <v/>
      </c>
      <c r="I523" s="32" t="str">
        <f aca="false">IF(L523="","",INDEX(ポート振替表!$P$5:$P$3507,$L523)&amp;"")</f>
        <v/>
      </c>
      <c r="J523" s="60" t="str">
        <f aca="false">IF(L523="","",INDEX(ポート振替表!$M$5:$M$3507,$L523)&amp;"")</f>
        <v/>
      </c>
      <c r="K523" s="52" t="str">
        <f aca="false">IF(L523="","",E523&amp;CHAR(10)&amp;INDEX(ポート振替表!$K$5:$K$3507,$L523)&amp;" "&amp;INDEX(ポート振替表!$L$5:$L$3507,$L523)&amp;CHAR(10)&amp;"⇔ "&amp;INDEX(ポート振替表!$H$5:$H$3507,$L523)&amp;" "&amp;INDEX(ポート振替表!$I$5:$I$3507,$L523))</f>
        <v/>
      </c>
      <c r="L523" s="47" t="str">
        <f aca="false">IFERROR(MATCH(ROW()-4,ポート振替表!$V$5:$V$3507,0),"")</f>
        <v/>
      </c>
    </row>
    <row r="524" customFormat="false" ht="16.4" hidden="false" customHeight="false" outlineLevel="0" collapsed="false">
      <c r="A524" s="32" t="str">
        <f aca="false">IF(L524="","",ROW()-4)</f>
        <v/>
      </c>
      <c r="B524" s="58" t="str">
        <f aca="false">IF(L524="","",IF(INDEX(ポート振替表!$W$5:$W$3507,$L524)="","(なし)",INDEX(ポート振替表!$W$5:$W$3507,$L524)&amp;""))</f>
        <v/>
      </c>
      <c r="C524" s="52" t="str">
        <f aca="false">IF(L524="","",INDEX(ポート振替表!$B$5:$B$3507,$L524)&amp;" "&amp;INDEX(ポート振替表!$C$5:$C$3507,$L524)&amp;"  ⇔  "&amp;INDEX(ポート振替表!$H$5:$H$3507,$L524)&amp;" "&amp;INDEX(ポート振替表!$I$5:$I$3507,$L524))</f>
        <v/>
      </c>
      <c r="D524" s="57" t="s">
        <v>158</v>
      </c>
      <c r="E524" s="59" t="str">
        <f aca="false">IF(L524="","",IF(INDEX(ポート振替表!$O$5:$O$3507,$L524)="","(未設定)",INDEX(ポート振替表!$O$5:$O$3507,$L524)&amp;""))</f>
        <v/>
      </c>
      <c r="F524" s="52" t="str">
        <f aca="false">IF(L524="","",INDEX(ポート振替表!$K$5:$K$3507,$L524)&amp;" "&amp;INDEX(ポート振替表!$L$5:$L$3507,$L524)&amp;"  ⇔  "&amp;INDEX(ポート振替表!$H$5:$H$3507,$L524)&amp;" "&amp;INDEX(ポート振替表!$I$5:$I$3507,$L524))</f>
        <v/>
      </c>
      <c r="G524" s="57" t="s">
        <v>158</v>
      </c>
      <c r="H524" s="32" t="str">
        <f aca="false">IF(L524="","",INDEX(ポート振替表!$N$5:$N$3507,$L524)&amp;"")</f>
        <v/>
      </c>
      <c r="I524" s="32" t="str">
        <f aca="false">IF(L524="","",INDEX(ポート振替表!$P$5:$P$3507,$L524)&amp;"")</f>
        <v/>
      </c>
      <c r="J524" s="60" t="str">
        <f aca="false">IF(L524="","",INDEX(ポート振替表!$M$5:$M$3507,$L524)&amp;"")</f>
        <v/>
      </c>
      <c r="K524" s="52" t="str">
        <f aca="false">IF(L524="","",E524&amp;CHAR(10)&amp;INDEX(ポート振替表!$K$5:$K$3507,$L524)&amp;" "&amp;INDEX(ポート振替表!$L$5:$L$3507,$L524)&amp;CHAR(10)&amp;"⇔ "&amp;INDEX(ポート振替表!$H$5:$H$3507,$L524)&amp;" "&amp;INDEX(ポート振替表!$I$5:$I$3507,$L524))</f>
        <v/>
      </c>
      <c r="L524" s="47" t="str">
        <f aca="false">IFERROR(MATCH(ROW()-4,ポート振替表!$V$5:$V$3507,0),"")</f>
        <v/>
      </c>
    </row>
    <row r="525" customFormat="false" ht="16.4" hidden="false" customHeight="false" outlineLevel="0" collapsed="false">
      <c r="A525" s="32" t="str">
        <f aca="false">IF(L525="","",ROW()-4)</f>
        <v/>
      </c>
      <c r="B525" s="58" t="str">
        <f aca="false">IF(L525="","",IF(INDEX(ポート振替表!$W$5:$W$3507,$L525)="","(なし)",INDEX(ポート振替表!$W$5:$W$3507,$L525)&amp;""))</f>
        <v/>
      </c>
      <c r="C525" s="52" t="str">
        <f aca="false">IF(L525="","",INDEX(ポート振替表!$B$5:$B$3507,$L525)&amp;" "&amp;INDEX(ポート振替表!$C$5:$C$3507,$L525)&amp;"  ⇔  "&amp;INDEX(ポート振替表!$H$5:$H$3507,$L525)&amp;" "&amp;INDEX(ポート振替表!$I$5:$I$3507,$L525))</f>
        <v/>
      </c>
      <c r="D525" s="57" t="s">
        <v>158</v>
      </c>
      <c r="E525" s="59" t="str">
        <f aca="false">IF(L525="","",IF(INDEX(ポート振替表!$O$5:$O$3507,$L525)="","(未設定)",INDEX(ポート振替表!$O$5:$O$3507,$L525)&amp;""))</f>
        <v/>
      </c>
      <c r="F525" s="52" t="str">
        <f aca="false">IF(L525="","",INDEX(ポート振替表!$K$5:$K$3507,$L525)&amp;" "&amp;INDEX(ポート振替表!$L$5:$L$3507,$L525)&amp;"  ⇔  "&amp;INDEX(ポート振替表!$H$5:$H$3507,$L525)&amp;" "&amp;INDEX(ポート振替表!$I$5:$I$3507,$L525))</f>
        <v/>
      </c>
      <c r="G525" s="57" t="s">
        <v>158</v>
      </c>
      <c r="H525" s="32" t="str">
        <f aca="false">IF(L525="","",INDEX(ポート振替表!$N$5:$N$3507,$L525)&amp;"")</f>
        <v/>
      </c>
      <c r="I525" s="32" t="str">
        <f aca="false">IF(L525="","",INDEX(ポート振替表!$P$5:$P$3507,$L525)&amp;"")</f>
        <v/>
      </c>
      <c r="J525" s="60" t="str">
        <f aca="false">IF(L525="","",INDEX(ポート振替表!$M$5:$M$3507,$L525)&amp;"")</f>
        <v/>
      </c>
      <c r="K525" s="52" t="str">
        <f aca="false">IF(L525="","",E525&amp;CHAR(10)&amp;INDEX(ポート振替表!$K$5:$K$3507,$L525)&amp;" "&amp;INDEX(ポート振替表!$L$5:$L$3507,$L525)&amp;CHAR(10)&amp;"⇔ "&amp;INDEX(ポート振替表!$H$5:$H$3507,$L525)&amp;" "&amp;INDEX(ポート振替表!$I$5:$I$3507,$L525))</f>
        <v/>
      </c>
      <c r="L525" s="47" t="str">
        <f aca="false">IFERROR(MATCH(ROW()-4,ポート振替表!$V$5:$V$3507,0),"")</f>
        <v/>
      </c>
    </row>
    <row r="526" customFormat="false" ht="16.4" hidden="false" customHeight="false" outlineLevel="0" collapsed="false">
      <c r="A526" s="32" t="str">
        <f aca="false">IF(L526="","",ROW()-4)</f>
        <v/>
      </c>
      <c r="B526" s="58" t="str">
        <f aca="false">IF(L526="","",IF(INDEX(ポート振替表!$W$5:$W$3507,$L526)="","(なし)",INDEX(ポート振替表!$W$5:$W$3507,$L526)&amp;""))</f>
        <v/>
      </c>
      <c r="C526" s="52" t="str">
        <f aca="false">IF(L526="","",INDEX(ポート振替表!$B$5:$B$3507,$L526)&amp;" "&amp;INDEX(ポート振替表!$C$5:$C$3507,$L526)&amp;"  ⇔  "&amp;INDEX(ポート振替表!$H$5:$H$3507,$L526)&amp;" "&amp;INDEX(ポート振替表!$I$5:$I$3507,$L526))</f>
        <v/>
      </c>
      <c r="D526" s="57" t="s">
        <v>158</v>
      </c>
      <c r="E526" s="59" t="str">
        <f aca="false">IF(L526="","",IF(INDEX(ポート振替表!$O$5:$O$3507,$L526)="","(未設定)",INDEX(ポート振替表!$O$5:$O$3507,$L526)&amp;""))</f>
        <v/>
      </c>
      <c r="F526" s="52" t="str">
        <f aca="false">IF(L526="","",INDEX(ポート振替表!$K$5:$K$3507,$L526)&amp;" "&amp;INDEX(ポート振替表!$L$5:$L$3507,$L526)&amp;"  ⇔  "&amp;INDEX(ポート振替表!$H$5:$H$3507,$L526)&amp;" "&amp;INDEX(ポート振替表!$I$5:$I$3507,$L526))</f>
        <v/>
      </c>
      <c r="G526" s="57" t="s">
        <v>158</v>
      </c>
      <c r="H526" s="32" t="str">
        <f aca="false">IF(L526="","",INDEX(ポート振替表!$N$5:$N$3507,$L526)&amp;"")</f>
        <v/>
      </c>
      <c r="I526" s="32" t="str">
        <f aca="false">IF(L526="","",INDEX(ポート振替表!$P$5:$P$3507,$L526)&amp;"")</f>
        <v/>
      </c>
      <c r="J526" s="60" t="str">
        <f aca="false">IF(L526="","",INDEX(ポート振替表!$M$5:$M$3507,$L526)&amp;"")</f>
        <v/>
      </c>
      <c r="K526" s="52" t="str">
        <f aca="false">IF(L526="","",E526&amp;CHAR(10)&amp;INDEX(ポート振替表!$K$5:$K$3507,$L526)&amp;" "&amp;INDEX(ポート振替表!$L$5:$L$3507,$L526)&amp;CHAR(10)&amp;"⇔ "&amp;INDEX(ポート振替表!$H$5:$H$3507,$L526)&amp;" "&amp;INDEX(ポート振替表!$I$5:$I$3507,$L526))</f>
        <v/>
      </c>
      <c r="L526" s="47" t="str">
        <f aca="false">IFERROR(MATCH(ROW()-4,ポート振替表!$V$5:$V$3507,0),"")</f>
        <v/>
      </c>
    </row>
    <row r="527" customFormat="false" ht="16.4" hidden="false" customHeight="false" outlineLevel="0" collapsed="false">
      <c r="A527" s="32" t="str">
        <f aca="false">IF(L527="","",ROW()-4)</f>
        <v/>
      </c>
      <c r="B527" s="58" t="str">
        <f aca="false">IF(L527="","",IF(INDEX(ポート振替表!$W$5:$W$3507,$L527)="","(なし)",INDEX(ポート振替表!$W$5:$W$3507,$L527)&amp;""))</f>
        <v/>
      </c>
      <c r="C527" s="52" t="str">
        <f aca="false">IF(L527="","",INDEX(ポート振替表!$B$5:$B$3507,$L527)&amp;" "&amp;INDEX(ポート振替表!$C$5:$C$3507,$L527)&amp;"  ⇔  "&amp;INDEX(ポート振替表!$H$5:$H$3507,$L527)&amp;" "&amp;INDEX(ポート振替表!$I$5:$I$3507,$L527))</f>
        <v/>
      </c>
      <c r="D527" s="57" t="s">
        <v>158</v>
      </c>
      <c r="E527" s="59" t="str">
        <f aca="false">IF(L527="","",IF(INDEX(ポート振替表!$O$5:$O$3507,$L527)="","(未設定)",INDEX(ポート振替表!$O$5:$O$3507,$L527)&amp;""))</f>
        <v/>
      </c>
      <c r="F527" s="52" t="str">
        <f aca="false">IF(L527="","",INDEX(ポート振替表!$K$5:$K$3507,$L527)&amp;" "&amp;INDEX(ポート振替表!$L$5:$L$3507,$L527)&amp;"  ⇔  "&amp;INDEX(ポート振替表!$H$5:$H$3507,$L527)&amp;" "&amp;INDEX(ポート振替表!$I$5:$I$3507,$L527))</f>
        <v/>
      </c>
      <c r="G527" s="57" t="s">
        <v>158</v>
      </c>
      <c r="H527" s="32" t="str">
        <f aca="false">IF(L527="","",INDEX(ポート振替表!$N$5:$N$3507,$L527)&amp;"")</f>
        <v/>
      </c>
      <c r="I527" s="32" t="str">
        <f aca="false">IF(L527="","",INDEX(ポート振替表!$P$5:$P$3507,$L527)&amp;"")</f>
        <v/>
      </c>
      <c r="J527" s="60" t="str">
        <f aca="false">IF(L527="","",INDEX(ポート振替表!$M$5:$M$3507,$L527)&amp;"")</f>
        <v/>
      </c>
      <c r="K527" s="52" t="str">
        <f aca="false">IF(L527="","",E527&amp;CHAR(10)&amp;INDEX(ポート振替表!$K$5:$K$3507,$L527)&amp;" "&amp;INDEX(ポート振替表!$L$5:$L$3507,$L527)&amp;CHAR(10)&amp;"⇔ "&amp;INDEX(ポート振替表!$H$5:$H$3507,$L527)&amp;" "&amp;INDEX(ポート振替表!$I$5:$I$3507,$L527))</f>
        <v/>
      </c>
      <c r="L527" s="47" t="str">
        <f aca="false">IFERROR(MATCH(ROW()-4,ポート振替表!$V$5:$V$3507,0),"")</f>
        <v/>
      </c>
    </row>
    <row r="528" customFormat="false" ht="16.4" hidden="false" customHeight="false" outlineLevel="0" collapsed="false">
      <c r="A528" s="32" t="str">
        <f aca="false">IF(L528="","",ROW()-4)</f>
        <v/>
      </c>
      <c r="B528" s="58" t="str">
        <f aca="false">IF(L528="","",IF(INDEX(ポート振替表!$W$5:$W$3507,$L528)="","(なし)",INDEX(ポート振替表!$W$5:$W$3507,$L528)&amp;""))</f>
        <v/>
      </c>
      <c r="C528" s="52" t="str">
        <f aca="false">IF(L528="","",INDEX(ポート振替表!$B$5:$B$3507,$L528)&amp;" "&amp;INDEX(ポート振替表!$C$5:$C$3507,$L528)&amp;"  ⇔  "&amp;INDEX(ポート振替表!$H$5:$H$3507,$L528)&amp;" "&amp;INDEX(ポート振替表!$I$5:$I$3507,$L528))</f>
        <v/>
      </c>
      <c r="D528" s="57" t="s">
        <v>158</v>
      </c>
      <c r="E528" s="59" t="str">
        <f aca="false">IF(L528="","",IF(INDEX(ポート振替表!$O$5:$O$3507,$L528)="","(未設定)",INDEX(ポート振替表!$O$5:$O$3507,$L528)&amp;""))</f>
        <v/>
      </c>
      <c r="F528" s="52" t="str">
        <f aca="false">IF(L528="","",INDEX(ポート振替表!$K$5:$K$3507,$L528)&amp;" "&amp;INDEX(ポート振替表!$L$5:$L$3507,$L528)&amp;"  ⇔  "&amp;INDEX(ポート振替表!$H$5:$H$3507,$L528)&amp;" "&amp;INDEX(ポート振替表!$I$5:$I$3507,$L528))</f>
        <v/>
      </c>
      <c r="G528" s="57" t="s">
        <v>158</v>
      </c>
      <c r="H528" s="32" t="str">
        <f aca="false">IF(L528="","",INDEX(ポート振替表!$N$5:$N$3507,$L528)&amp;"")</f>
        <v/>
      </c>
      <c r="I528" s="32" t="str">
        <f aca="false">IF(L528="","",INDEX(ポート振替表!$P$5:$P$3507,$L528)&amp;"")</f>
        <v/>
      </c>
      <c r="J528" s="60" t="str">
        <f aca="false">IF(L528="","",INDEX(ポート振替表!$M$5:$M$3507,$L528)&amp;"")</f>
        <v/>
      </c>
      <c r="K528" s="52" t="str">
        <f aca="false">IF(L528="","",E528&amp;CHAR(10)&amp;INDEX(ポート振替表!$K$5:$K$3507,$L528)&amp;" "&amp;INDEX(ポート振替表!$L$5:$L$3507,$L528)&amp;CHAR(10)&amp;"⇔ "&amp;INDEX(ポート振替表!$H$5:$H$3507,$L528)&amp;" "&amp;INDEX(ポート振替表!$I$5:$I$3507,$L528))</f>
        <v/>
      </c>
      <c r="L528" s="47" t="str">
        <f aca="false">IFERROR(MATCH(ROW()-4,ポート振替表!$V$5:$V$3507,0),"")</f>
        <v/>
      </c>
    </row>
    <row r="529" customFormat="false" ht="16.4" hidden="false" customHeight="false" outlineLevel="0" collapsed="false">
      <c r="A529" s="32" t="str">
        <f aca="false">IF(L529="","",ROW()-4)</f>
        <v/>
      </c>
      <c r="B529" s="58" t="str">
        <f aca="false">IF(L529="","",IF(INDEX(ポート振替表!$W$5:$W$3507,$L529)="","(なし)",INDEX(ポート振替表!$W$5:$W$3507,$L529)&amp;""))</f>
        <v/>
      </c>
      <c r="C529" s="52" t="str">
        <f aca="false">IF(L529="","",INDEX(ポート振替表!$B$5:$B$3507,$L529)&amp;" "&amp;INDEX(ポート振替表!$C$5:$C$3507,$L529)&amp;"  ⇔  "&amp;INDEX(ポート振替表!$H$5:$H$3507,$L529)&amp;" "&amp;INDEX(ポート振替表!$I$5:$I$3507,$L529))</f>
        <v/>
      </c>
      <c r="D529" s="57" t="s">
        <v>158</v>
      </c>
      <c r="E529" s="59" t="str">
        <f aca="false">IF(L529="","",IF(INDEX(ポート振替表!$O$5:$O$3507,$L529)="","(未設定)",INDEX(ポート振替表!$O$5:$O$3507,$L529)&amp;""))</f>
        <v/>
      </c>
      <c r="F529" s="52" t="str">
        <f aca="false">IF(L529="","",INDEX(ポート振替表!$K$5:$K$3507,$L529)&amp;" "&amp;INDEX(ポート振替表!$L$5:$L$3507,$L529)&amp;"  ⇔  "&amp;INDEX(ポート振替表!$H$5:$H$3507,$L529)&amp;" "&amp;INDEX(ポート振替表!$I$5:$I$3507,$L529))</f>
        <v/>
      </c>
      <c r="G529" s="57" t="s">
        <v>158</v>
      </c>
      <c r="H529" s="32" t="str">
        <f aca="false">IF(L529="","",INDEX(ポート振替表!$N$5:$N$3507,$L529)&amp;"")</f>
        <v/>
      </c>
      <c r="I529" s="32" t="str">
        <f aca="false">IF(L529="","",INDEX(ポート振替表!$P$5:$P$3507,$L529)&amp;"")</f>
        <v/>
      </c>
      <c r="J529" s="60" t="str">
        <f aca="false">IF(L529="","",INDEX(ポート振替表!$M$5:$M$3507,$L529)&amp;"")</f>
        <v/>
      </c>
      <c r="K529" s="52" t="str">
        <f aca="false">IF(L529="","",E529&amp;CHAR(10)&amp;INDEX(ポート振替表!$K$5:$K$3507,$L529)&amp;" "&amp;INDEX(ポート振替表!$L$5:$L$3507,$L529)&amp;CHAR(10)&amp;"⇔ "&amp;INDEX(ポート振替表!$H$5:$H$3507,$L529)&amp;" "&amp;INDEX(ポート振替表!$I$5:$I$3507,$L529))</f>
        <v/>
      </c>
      <c r="L529" s="47" t="str">
        <f aca="false">IFERROR(MATCH(ROW()-4,ポート振替表!$V$5:$V$3507,0),"")</f>
        <v/>
      </c>
    </row>
    <row r="530" customFormat="false" ht="16.4" hidden="false" customHeight="false" outlineLevel="0" collapsed="false">
      <c r="A530" s="32" t="str">
        <f aca="false">IF(L530="","",ROW()-4)</f>
        <v/>
      </c>
      <c r="B530" s="58" t="str">
        <f aca="false">IF(L530="","",IF(INDEX(ポート振替表!$W$5:$W$3507,$L530)="","(なし)",INDEX(ポート振替表!$W$5:$W$3507,$L530)&amp;""))</f>
        <v/>
      </c>
      <c r="C530" s="52" t="str">
        <f aca="false">IF(L530="","",INDEX(ポート振替表!$B$5:$B$3507,$L530)&amp;" "&amp;INDEX(ポート振替表!$C$5:$C$3507,$L530)&amp;"  ⇔  "&amp;INDEX(ポート振替表!$H$5:$H$3507,$L530)&amp;" "&amp;INDEX(ポート振替表!$I$5:$I$3507,$L530))</f>
        <v/>
      </c>
      <c r="D530" s="57" t="s">
        <v>158</v>
      </c>
      <c r="E530" s="59" t="str">
        <f aca="false">IF(L530="","",IF(INDEX(ポート振替表!$O$5:$O$3507,$L530)="","(未設定)",INDEX(ポート振替表!$O$5:$O$3507,$L530)&amp;""))</f>
        <v/>
      </c>
      <c r="F530" s="52" t="str">
        <f aca="false">IF(L530="","",INDEX(ポート振替表!$K$5:$K$3507,$L530)&amp;" "&amp;INDEX(ポート振替表!$L$5:$L$3507,$L530)&amp;"  ⇔  "&amp;INDEX(ポート振替表!$H$5:$H$3507,$L530)&amp;" "&amp;INDEX(ポート振替表!$I$5:$I$3507,$L530))</f>
        <v/>
      </c>
      <c r="G530" s="57" t="s">
        <v>158</v>
      </c>
      <c r="H530" s="32" t="str">
        <f aca="false">IF(L530="","",INDEX(ポート振替表!$N$5:$N$3507,$L530)&amp;"")</f>
        <v/>
      </c>
      <c r="I530" s="32" t="str">
        <f aca="false">IF(L530="","",INDEX(ポート振替表!$P$5:$P$3507,$L530)&amp;"")</f>
        <v/>
      </c>
      <c r="J530" s="60" t="str">
        <f aca="false">IF(L530="","",INDEX(ポート振替表!$M$5:$M$3507,$L530)&amp;"")</f>
        <v/>
      </c>
      <c r="K530" s="52" t="str">
        <f aca="false">IF(L530="","",E530&amp;CHAR(10)&amp;INDEX(ポート振替表!$K$5:$K$3507,$L530)&amp;" "&amp;INDEX(ポート振替表!$L$5:$L$3507,$L530)&amp;CHAR(10)&amp;"⇔ "&amp;INDEX(ポート振替表!$H$5:$H$3507,$L530)&amp;" "&amp;INDEX(ポート振替表!$I$5:$I$3507,$L530))</f>
        <v/>
      </c>
      <c r="L530" s="47" t="str">
        <f aca="false">IFERROR(MATCH(ROW()-4,ポート振替表!$V$5:$V$3507,0),"")</f>
        <v/>
      </c>
    </row>
    <row r="531" customFormat="false" ht="16.4" hidden="false" customHeight="false" outlineLevel="0" collapsed="false">
      <c r="A531" s="32" t="str">
        <f aca="false">IF(L531="","",ROW()-4)</f>
        <v/>
      </c>
      <c r="B531" s="58" t="str">
        <f aca="false">IF(L531="","",IF(INDEX(ポート振替表!$W$5:$W$3507,$L531)="","(なし)",INDEX(ポート振替表!$W$5:$W$3507,$L531)&amp;""))</f>
        <v/>
      </c>
      <c r="C531" s="52" t="str">
        <f aca="false">IF(L531="","",INDEX(ポート振替表!$B$5:$B$3507,$L531)&amp;" "&amp;INDEX(ポート振替表!$C$5:$C$3507,$L531)&amp;"  ⇔  "&amp;INDEX(ポート振替表!$H$5:$H$3507,$L531)&amp;" "&amp;INDEX(ポート振替表!$I$5:$I$3507,$L531))</f>
        <v/>
      </c>
      <c r="D531" s="57" t="s">
        <v>158</v>
      </c>
      <c r="E531" s="59" t="str">
        <f aca="false">IF(L531="","",IF(INDEX(ポート振替表!$O$5:$O$3507,$L531)="","(未設定)",INDEX(ポート振替表!$O$5:$O$3507,$L531)&amp;""))</f>
        <v/>
      </c>
      <c r="F531" s="52" t="str">
        <f aca="false">IF(L531="","",INDEX(ポート振替表!$K$5:$K$3507,$L531)&amp;" "&amp;INDEX(ポート振替表!$L$5:$L$3507,$L531)&amp;"  ⇔  "&amp;INDEX(ポート振替表!$H$5:$H$3507,$L531)&amp;" "&amp;INDEX(ポート振替表!$I$5:$I$3507,$L531))</f>
        <v/>
      </c>
      <c r="G531" s="57" t="s">
        <v>158</v>
      </c>
      <c r="H531" s="32" t="str">
        <f aca="false">IF(L531="","",INDEX(ポート振替表!$N$5:$N$3507,$L531)&amp;"")</f>
        <v/>
      </c>
      <c r="I531" s="32" t="str">
        <f aca="false">IF(L531="","",INDEX(ポート振替表!$P$5:$P$3507,$L531)&amp;"")</f>
        <v/>
      </c>
      <c r="J531" s="60" t="str">
        <f aca="false">IF(L531="","",INDEX(ポート振替表!$M$5:$M$3507,$L531)&amp;"")</f>
        <v/>
      </c>
      <c r="K531" s="52" t="str">
        <f aca="false">IF(L531="","",E531&amp;CHAR(10)&amp;INDEX(ポート振替表!$K$5:$K$3507,$L531)&amp;" "&amp;INDEX(ポート振替表!$L$5:$L$3507,$L531)&amp;CHAR(10)&amp;"⇔ "&amp;INDEX(ポート振替表!$H$5:$H$3507,$L531)&amp;" "&amp;INDEX(ポート振替表!$I$5:$I$3507,$L531))</f>
        <v/>
      </c>
      <c r="L531" s="47" t="str">
        <f aca="false">IFERROR(MATCH(ROW()-4,ポート振替表!$V$5:$V$3507,0),"")</f>
        <v/>
      </c>
    </row>
    <row r="532" customFormat="false" ht="16.4" hidden="false" customHeight="false" outlineLevel="0" collapsed="false">
      <c r="A532" s="32" t="str">
        <f aca="false">IF(L532="","",ROW()-4)</f>
        <v/>
      </c>
      <c r="B532" s="58" t="str">
        <f aca="false">IF(L532="","",IF(INDEX(ポート振替表!$W$5:$W$3507,$L532)="","(なし)",INDEX(ポート振替表!$W$5:$W$3507,$L532)&amp;""))</f>
        <v/>
      </c>
      <c r="C532" s="52" t="str">
        <f aca="false">IF(L532="","",INDEX(ポート振替表!$B$5:$B$3507,$L532)&amp;" "&amp;INDEX(ポート振替表!$C$5:$C$3507,$L532)&amp;"  ⇔  "&amp;INDEX(ポート振替表!$H$5:$H$3507,$L532)&amp;" "&amp;INDEX(ポート振替表!$I$5:$I$3507,$L532))</f>
        <v/>
      </c>
      <c r="D532" s="57" t="s">
        <v>158</v>
      </c>
      <c r="E532" s="59" t="str">
        <f aca="false">IF(L532="","",IF(INDEX(ポート振替表!$O$5:$O$3507,$L532)="","(未設定)",INDEX(ポート振替表!$O$5:$O$3507,$L532)&amp;""))</f>
        <v/>
      </c>
      <c r="F532" s="52" t="str">
        <f aca="false">IF(L532="","",INDEX(ポート振替表!$K$5:$K$3507,$L532)&amp;" "&amp;INDEX(ポート振替表!$L$5:$L$3507,$L532)&amp;"  ⇔  "&amp;INDEX(ポート振替表!$H$5:$H$3507,$L532)&amp;" "&amp;INDEX(ポート振替表!$I$5:$I$3507,$L532))</f>
        <v/>
      </c>
      <c r="G532" s="57" t="s">
        <v>158</v>
      </c>
      <c r="H532" s="32" t="str">
        <f aca="false">IF(L532="","",INDEX(ポート振替表!$N$5:$N$3507,$L532)&amp;"")</f>
        <v/>
      </c>
      <c r="I532" s="32" t="str">
        <f aca="false">IF(L532="","",INDEX(ポート振替表!$P$5:$P$3507,$L532)&amp;"")</f>
        <v/>
      </c>
      <c r="J532" s="60" t="str">
        <f aca="false">IF(L532="","",INDEX(ポート振替表!$M$5:$M$3507,$L532)&amp;"")</f>
        <v/>
      </c>
      <c r="K532" s="52" t="str">
        <f aca="false">IF(L532="","",E532&amp;CHAR(10)&amp;INDEX(ポート振替表!$K$5:$K$3507,$L532)&amp;" "&amp;INDEX(ポート振替表!$L$5:$L$3507,$L532)&amp;CHAR(10)&amp;"⇔ "&amp;INDEX(ポート振替表!$H$5:$H$3507,$L532)&amp;" "&amp;INDEX(ポート振替表!$I$5:$I$3507,$L532))</f>
        <v/>
      </c>
      <c r="L532" s="47" t="str">
        <f aca="false">IFERROR(MATCH(ROW()-4,ポート振替表!$V$5:$V$3507,0),"")</f>
        <v/>
      </c>
    </row>
    <row r="533" customFormat="false" ht="16.4" hidden="false" customHeight="false" outlineLevel="0" collapsed="false">
      <c r="A533" s="32" t="str">
        <f aca="false">IF(L533="","",ROW()-4)</f>
        <v/>
      </c>
      <c r="B533" s="58" t="str">
        <f aca="false">IF(L533="","",IF(INDEX(ポート振替表!$W$5:$W$3507,$L533)="","(なし)",INDEX(ポート振替表!$W$5:$W$3507,$L533)&amp;""))</f>
        <v/>
      </c>
      <c r="C533" s="52" t="str">
        <f aca="false">IF(L533="","",INDEX(ポート振替表!$B$5:$B$3507,$L533)&amp;" "&amp;INDEX(ポート振替表!$C$5:$C$3507,$L533)&amp;"  ⇔  "&amp;INDEX(ポート振替表!$H$5:$H$3507,$L533)&amp;" "&amp;INDEX(ポート振替表!$I$5:$I$3507,$L533))</f>
        <v/>
      </c>
      <c r="D533" s="57" t="s">
        <v>158</v>
      </c>
      <c r="E533" s="59" t="str">
        <f aca="false">IF(L533="","",IF(INDEX(ポート振替表!$O$5:$O$3507,$L533)="","(未設定)",INDEX(ポート振替表!$O$5:$O$3507,$L533)&amp;""))</f>
        <v/>
      </c>
      <c r="F533" s="52" t="str">
        <f aca="false">IF(L533="","",INDEX(ポート振替表!$K$5:$K$3507,$L533)&amp;" "&amp;INDEX(ポート振替表!$L$5:$L$3507,$L533)&amp;"  ⇔  "&amp;INDEX(ポート振替表!$H$5:$H$3507,$L533)&amp;" "&amp;INDEX(ポート振替表!$I$5:$I$3507,$L533))</f>
        <v/>
      </c>
      <c r="G533" s="57" t="s">
        <v>158</v>
      </c>
      <c r="H533" s="32" t="str">
        <f aca="false">IF(L533="","",INDEX(ポート振替表!$N$5:$N$3507,$L533)&amp;"")</f>
        <v/>
      </c>
      <c r="I533" s="32" t="str">
        <f aca="false">IF(L533="","",INDEX(ポート振替表!$P$5:$P$3507,$L533)&amp;"")</f>
        <v/>
      </c>
      <c r="J533" s="60" t="str">
        <f aca="false">IF(L533="","",INDEX(ポート振替表!$M$5:$M$3507,$L533)&amp;"")</f>
        <v/>
      </c>
      <c r="K533" s="52" t="str">
        <f aca="false">IF(L533="","",E533&amp;CHAR(10)&amp;INDEX(ポート振替表!$K$5:$K$3507,$L533)&amp;" "&amp;INDEX(ポート振替表!$L$5:$L$3507,$L533)&amp;CHAR(10)&amp;"⇔ "&amp;INDEX(ポート振替表!$H$5:$H$3507,$L533)&amp;" "&amp;INDEX(ポート振替表!$I$5:$I$3507,$L533))</f>
        <v/>
      </c>
      <c r="L533" s="47" t="str">
        <f aca="false">IFERROR(MATCH(ROW()-4,ポート振替表!$V$5:$V$3507,0),"")</f>
        <v/>
      </c>
    </row>
    <row r="534" customFormat="false" ht="16.4" hidden="false" customHeight="false" outlineLevel="0" collapsed="false">
      <c r="A534" s="32" t="str">
        <f aca="false">IF(L534="","",ROW()-4)</f>
        <v/>
      </c>
      <c r="B534" s="58" t="str">
        <f aca="false">IF(L534="","",IF(INDEX(ポート振替表!$W$5:$W$3507,$L534)="","(なし)",INDEX(ポート振替表!$W$5:$W$3507,$L534)&amp;""))</f>
        <v/>
      </c>
      <c r="C534" s="52" t="str">
        <f aca="false">IF(L534="","",INDEX(ポート振替表!$B$5:$B$3507,$L534)&amp;" "&amp;INDEX(ポート振替表!$C$5:$C$3507,$L534)&amp;"  ⇔  "&amp;INDEX(ポート振替表!$H$5:$H$3507,$L534)&amp;" "&amp;INDEX(ポート振替表!$I$5:$I$3507,$L534))</f>
        <v/>
      </c>
      <c r="D534" s="57" t="s">
        <v>158</v>
      </c>
      <c r="E534" s="59" t="str">
        <f aca="false">IF(L534="","",IF(INDEX(ポート振替表!$O$5:$O$3507,$L534)="","(未設定)",INDEX(ポート振替表!$O$5:$O$3507,$L534)&amp;""))</f>
        <v/>
      </c>
      <c r="F534" s="52" t="str">
        <f aca="false">IF(L534="","",INDEX(ポート振替表!$K$5:$K$3507,$L534)&amp;" "&amp;INDEX(ポート振替表!$L$5:$L$3507,$L534)&amp;"  ⇔  "&amp;INDEX(ポート振替表!$H$5:$H$3507,$L534)&amp;" "&amp;INDEX(ポート振替表!$I$5:$I$3507,$L534))</f>
        <v/>
      </c>
      <c r="G534" s="57" t="s">
        <v>158</v>
      </c>
      <c r="H534" s="32" t="str">
        <f aca="false">IF(L534="","",INDEX(ポート振替表!$N$5:$N$3507,$L534)&amp;"")</f>
        <v/>
      </c>
      <c r="I534" s="32" t="str">
        <f aca="false">IF(L534="","",INDEX(ポート振替表!$P$5:$P$3507,$L534)&amp;"")</f>
        <v/>
      </c>
      <c r="J534" s="60" t="str">
        <f aca="false">IF(L534="","",INDEX(ポート振替表!$M$5:$M$3507,$L534)&amp;"")</f>
        <v/>
      </c>
      <c r="K534" s="52" t="str">
        <f aca="false">IF(L534="","",E534&amp;CHAR(10)&amp;INDEX(ポート振替表!$K$5:$K$3507,$L534)&amp;" "&amp;INDEX(ポート振替表!$L$5:$L$3507,$L534)&amp;CHAR(10)&amp;"⇔ "&amp;INDEX(ポート振替表!$H$5:$H$3507,$L534)&amp;" "&amp;INDEX(ポート振替表!$I$5:$I$3507,$L534))</f>
        <v/>
      </c>
      <c r="L534" s="47" t="str">
        <f aca="false">IFERROR(MATCH(ROW()-4,ポート振替表!$V$5:$V$3507,0),"")</f>
        <v/>
      </c>
    </row>
    <row r="535" customFormat="false" ht="16.4" hidden="false" customHeight="false" outlineLevel="0" collapsed="false">
      <c r="A535" s="32" t="str">
        <f aca="false">IF(L535="","",ROW()-4)</f>
        <v/>
      </c>
      <c r="B535" s="58" t="str">
        <f aca="false">IF(L535="","",IF(INDEX(ポート振替表!$W$5:$W$3507,$L535)="","(なし)",INDEX(ポート振替表!$W$5:$W$3507,$L535)&amp;""))</f>
        <v/>
      </c>
      <c r="C535" s="52" t="str">
        <f aca="false">IF(L535="","",INDEX(ポート振替表!$B$5:$B$3507,$L535)&amp;" "&amp;INDEX(ポート振替表!$C$5:$C$3507,$L535)&amp;"  ⇔  "&amp;INDEX(ポート振替表!$H$5:$H$3507,$L535)&amp;" "&amp;INDEX(ポート振替表!$I$5:$I$3507,$L535))</f>
        <v/>
      </c>
      <c r="D535" s="57" t="s">
        <v>158</v>
      </c>
      <c r="E535" s="59" t="str">
        <f aca="false">IF(L535="","",IF(INDEX(ポート振替表!$O$5:$O$3507,$L535)="","(未設定)",INDEX(ポート振替表!$O$5:$O$3507,$L535)&amp;""))</f>
        <v/>
      </c>
      <c r="F535" s="52" t="str">
        <f aca="false">IF(L535="","",INDEX(ポート振替表!$K$5:$K$3507,$L535)&amp;" "&amp;INDEX(ポート振替表!$L$5:$L$3507,$L535)&amp;"  ⇔  "&amp;INDEX(ポート振替表!$H$5:$H$3507,$L535)&amp;" "&amp;INDEX(ポート振替表!$I$5:$I$3507,$L535))</f>
        <v/>
      </c>
      <c r="G535" s="57" t="s">
        <v>158</v>
      </c>
      <c r="H535" s="32" t="str">
        <f aca="false">IF(L535="","",INDEX(ポート振替表!$N$5:$N$3507,$L535)&amp;"")</f>
        <v/>
      </c>
      <c r="I535" s="32" t="str">
        <f aca="false">IF(L535="","",INDEX(ポート振替表!$P$5:$P$3507,$L535)&amp;"")</f>
        <v/>
      </c>
      <c r="J535" s="60" t="str">
        <f aca="false">IF(L535="","",INDEX(ポート振替表!$M$5:$M$3507,$L535)&amp;"")</f>
        <v/>
      </c>
      <c r="K535" s="52" t="str">
        <f aca="false">IF(L535="","",E535&amp;CHAR(10)&amp;INDEX(ポート振替表!$K$5:$K$3507,$L535)&amp;" "&amp;INDEX(ポート振替表!$L$5:$L$3507,$L535)&amp;CHAR(10)&amp;"⇔ "&amp;INDEX(ポート振替表!$H$5:$H$3507,$L535)&amp;" "&amp;INDEX(ポート振替表!$I$5:$I$3507,$L535))</f>
        <v/>
      </c>
      <c r="L535" s="47" t="str">
        <f aca="false">IFERROR(MATCH(ROW()-4,ポート振替表!$V$5:$V$3507,0),"")</f>
        <v/>
      </c>
    </row>
    <row r="536" customFormat="false" ht="16.4" hidden="false" customHeight="false" outlineLevel="0" collapsed="false">
      <c r="A536" s="32" t="str">
        <f aca="false">IF(L536="","",ROW()-4)</f>
        <v/>
      </c>
      <c r="B536" s="58" t="str">
        <f aca="false">IF(L536="","",IF(INDEX(ポート振替表!$W$5:$W$3507,$L536)="","(なし)",INDEX(ポート振替表!$W$5:$W$3507,$L536)&amp;""))</f>
        <v/>
      </c>
      <c r="C536" s="52" t="str">
        <f aca="false">IF(L536="","",INDEX(ポート振替表!$B$5:$B$3507,$L536)&amp;" "&amp;INDEX(ポート振替表!$C$5:$C$3507,$L536)&amp;"  ⇔  "&amp;INDEX(ポート振替表!$H$5:$H$3507,$L536)&amp;" "&amp;INDEX(ポート振替表!$I$5:$I$3507,$L536))</f>
        <v/>
      </c>
      <c r="D536" s="57" t="s">
        <v>158</v>
      </c>
      <c r="E536" s="59" t="str">
        <f aca="false">IF(L536="","",IF(INDEX(ポート振替表!$O$5:$O$3507,$L536)="","(未設定)",INDEX(ポート振替表!$O$5:$O$3507,$L536)&amp;""))</f>
        <v/>
      </c>
      <c r="F536" s="52" t="str">
        <f aca="false">IF(L536="","",INDEX(ポート振替表!$K$5:$K$3507,$L536)&amp;" "&amp;INDEX(ポート振替表!$L$5:$L$3507,$L536)&amp;"  ⇔  "&amp;INDEX(ポート振替表!$H$5:$H$3507,$L536)&amp;" "&amp;INDEX(ポート振替表!$I$5:$I$3507,$L536))</f>
        <v/>
      </c>
      <c r="G536" s="57" t="s">
        <v>158</v>
      </c>
      <c r="H536" s="32" t="str">
        <f aca="false">IF(L536="","",INDEX(ポート振替表!$N$5:$N$3507,$L536)&amp;"")</f>
        <v/>
      </c>
      <c r="I536" s="32" t="str">
        <f aca="false">IF(L536="","",INDEX(ポート振替表!$P$5:$P$3507,$L536)&amp;"")</f>
        <v/>
      </c>
      <c r="J536" s="60" t="str">
        <f aca="false">IF(L536="","",INDEX(ポート振替表!$M$5:$M$3507,$L536)&amp;"")</f>
        <v/>
      </c>
      <c r="K536" s="52" t="str">
        <f aca="false">IF(L536="","",E536&amp;CHAR(10)&amp;INDEX(ポート振替表!$K$5:$K$3507,$L536)&amp;" "&amp;INDEX(ポート振替表!$L$5:$L$3507,$L536)&amp;CHAR(10)&amp;"⇔ "&amp;INDEX(ポート振替表!$H$5:$H$3507,$L536)&amp;" "&amp;INDEX(ポート振替表!$I$5:$I$3507,$L536))</f>
        <v/>
      </c>
      <c r="L536" s="47" t="str">
        <f aca="false">IFERROR(MATCH(ROW()-4,ポート振替表!$V$5:$V$3507,0),"")</f>
        <v/>
      </c>
    </row>
    <row r="537" customFormat="false" ht="16.4" hidden="false" customHeight="false" outlineLevel="0" collapsed="false">
      <c r="A537" s="32" t="str">
        <f aca="false">IF(L537="","",ROW()-4)</f>
        <v/>
      </c>
      <c r="B537" s="58" t="str">
        <f aca="false">IF(L537="","",IF(INDEX(ポート振替表!$W$5:$W$3507,$L537)="","(なし)",INDEX(ポート振替表!$W$5:$W$3507,$L537)&amp;""))</f>
        <v/>
      </c>
      <c r="C537" s="52" t="str">
        <f aca="false">IF(L537="","",INDEX(ポート振替表!$B$5:$B$3507,$L537)&amp;" "&amp;INDEX(ポート振替表!$C$5:$C$3507,$L537)&amp;"  ⇔  "&amp;INDEX(ポート振替表!$H$5:$H$3507,$L537)&amp;" "&amp;INDEX(ポート振替表!$I$5:$I$3507,$L537))</f>
        <v/>
      </c>
      <c r="D537" s="57" t="s">
        <v>158</v>
      </c>
      <c r="E537" s="59" t="str">
        <f aca="false">IF(L537="","",IF(INDEX(ポート振替表!$O$5:$O$3507,$L537)="","(未設定)",INDEX(ポート振替表!$O$5:$O$3507,$L537)&amp;""))</f>
        <v/>
      </c>
      <c r="F537" s="52" t="str">
        <f aca="false">IF(L537="","",INDEX(ポート振替表!$K$5:$K$3507,$L537)&amp;" "&amp;INDEX(ポート振替表!$L$5:$L$3507,$L537)&amp;"  ⇔  "&amp;INDEX(ポート振替表!$H$5:$H$3507,$L537)&amp;" "&amp;INDEX(ポート振替表!$I$5:$I$3507,$L537))</f>
        <v/>
      </c>
      <c r="G537" s="57" t="s">
        <v>158</v>
      </c>
      <c r="H537" s="32" t="str">
        <f aca="false">IF(L537="","",INDEX(ポート振替表!$N$5:$N$3507,$L537)&amp;"")</f>
        <v/>
      </c>
      <c r="I537" s="32" t="str">
        <f aca="false">IF(L537="","",INDEX(ポート振替表!$P$5:$P$3507,$L537)&amp;"")</f>
        <v/>
      </c>
      <c r="J537" s="60" t="str">
        <f aca="false">IF(L537="","",INDEX(ポート振替表!$M$5:$M$3507,$L537)&amp;"")</f>
        <v/>
      </c>
      <c r="K537" s="52" t="str">
        <f aca="false">IF(L537="","",E537&amp;CHAR(10)&amp;INDEX(ポート振替表!$K$5:$K$3507,$L537)&amp;" "&amp;INDEX(ポート振替表!$L$5:$L$3507,$L537)&amp;CHAR(10)&amp;"⇔ "&amp;INDEX(ポート振替表!$H$5:$H$3507,$L537)&amp;" "&amp;INDEX(ポート振替表!$I$5:$I$3507,$L537))</f>
        <v/>
      </c>
      <c r="L537" s="47" t="str">
        <f aca="false">IFERROR(MATCH(ROW()-4,ポート振替表!$V$5:$V$3507,0),"")</f>
        <v/>
      </c>
    </row>
    <row r="538" customFormat="false" ht="16.4" hidden="false" customHeight="false" outlineLevel="0" collapsed="false">
      <c r="A538" s="32" t="str">
        <f aca="false">IF(L538="","",ROW()-4)</f>
        <v/>
      </c>
      <c r="B538" s="58" t="str">
        <f aca="false">IF(L538="","",IF(INDEX(ポート振替表!$W$5:$W$3507,$L538)="","(なし)",INDEX(ポート振替表!$W$5:$W$3507,$L538)&amp;""))</f>
        <v/>
      </c>
      <c r="C538" s="52" t="str">
        <f aca="false">IF(L538="","",INDEX(ポート振替表!$B$5:$B$3507,$L538)&amp;" "&amp;INDEX(ポート振替表!$C$5:$C$3507,$L538)&amp;"  ⇔  "&amp;INDEX(ポート振替表!$H$5:$H$3507,$L538)&amp;" "&amp;INDEX(ポート振替表!$I$5:$I$3507,$L538))</f>
        <v/>
      </c>
      <c r="D538" s="57" t="s">
        <v>158</v>
      </c>
      <c r="E538" s="59" t="str">
        <f aca="false">IF(L538="","",IF(INDEX(ポート振替表!$O$5:$O$3507,$L538)="","(未設定)",INDEX(ポート振替表!$O$5:$O$3507,$L538)&amp;""))</f>
        <v/>
      </c>
      <c r="F538" s="52" t="str">
        <f aca="false">IF(L538="","",INDEX(ポート振替表!$K$5:$K$3507,$L538)&amp;" "&amp;INDEX(ポート振替表!$L$5:$L$3507,$L538)&amp;"  ⇔  "&amp;INDEX(ポート振替表!$H$5:$H$3507,$L538)&amp;" "&amp;INDEX(ポート振替表!$I$5:$I$3507,$L538))</f>
        <v/>
      </c>
      <c r="G538" s="57" t="s">
        <v>158</v>
      </c>
      <c r="H538" s="32" t="str">
        <f aca="false">IF(L538="","",INDEX(ポート振替表!$N$5:$N$3507,$L538)&amp;"")</f>
        <v/>
      </c>
      <c r="I538" s="32" t="str">
        <f aca="false">IF(L538="","",INDEX(ポート振替表!$P$5:$P$3507,$L538)&amp;"")</f>
        <v/>
      </c>
      <c r="J538" s="60" t="str">
        <f aca="false">IF(L538="","",INDEX(ポート振替表!$M$5:$M$3507,$L538)&amp;"")</f>
        <v/>
      </c>
      <c r="K538" s="52" t="str">
        <f aca="false">IF(L538="","",E538&amp;CHAR(10)&amp;INDEX(ポート振替表!$K$5:$K$3507,$L538)&amp;" "&amp;INDEX(ポート振替表!$L$5:$L$3507,$L538)&amp;CHAR(10)&amp;"⇔ "&amp;INDEX(ポート振替表!$H$5:$H$3507,$L538)&amp;" "&amp;INDEX(ポート振替表!$I$5:$I$3507,$L538))</f>
        <v/>
      </c>
      <c r="L538" s="47" t="str">
        <f aca="false">IFERROR(MATCH(ROW()-4,ポート振替表!$V$5:$V$3507,0),"")</f>
        <v/>
      </c>
    </row>
    <row r="539" customFormat="false" ht="16.4" hidden="false" customHeight="false" outlineLevel="0" collapsed="false">
      <c r="A539" s="32" t="str">
        <f aca="false">IF(L539="","",ROW()-4)</f>
        <v/>
      </c>
      <c r="B539" s="58" t="str">
        <f aca="false">IF(L539="","",IF(INDEX(ポート振替表!$W$5:$W$3507,$L539)="","(なし)",INDEX(ポート振替表!$W$5:$W$3507,$L539)&amp;""))</f>
        <v/>
      </c>
      <c r="C539" s="52" t="str">
        <f aca="false">IF(L539="","",INDEX(ポート振替表!$B$5:$B$3507,$L539)&amp;" "&amp;INDEX(ポート振替表!$C$5:$C$3507,$L539)&amp;"  ⇔  "&amp;INDEX(ポート振替表!$H$5:$H$3507,$L539)&amp;" "&amp;INDEX(ポート振替表!$I$5:$I$3507,$L539))</f>
        <v/>
      </c>
      <c r="D539" s="57" t="s">
        <v>158</v>
      </c>
      <c r="E539" s="59" t="str">
        <f aca="false">IF(L539="","",IF(INDEX(ポート振替表!$O$5:$O$3507,$L539)="","(未設定)",INDEX(ポート振替表!$O$5:$O$3507,$L539)&amp;""))</f>
        <v/>
      </c>
      <c r="F539" s="52" t="str">
        <f aca="false">IF(L539="","",INDEX(ポート振替表!$K$5:$K$3507,$L539)&amp;" "&amp;INDEX(ポート振替表!$L$5:$L$3507,$L539)&amp;"  ⇔  "&amp;INDEX(ポート振替表!$H$5:$H$3507,$L539)&amp;" "&amp;INDEX(ポート振替表!$I$5:$I$3507,$L539))</f>
        <v/>
      </c>
      <c r="G539" s="57" t="s">
        <v>158</v>
      </c>
      <c r="H539" s="32" t="str">
        <f aca="false">IF(L539="","",INDEX(ポート振替表!$N$5:$N$3507,$L539)&amp;"")</f>
        <v/>
      </c>
      <c r="I539" s="32" t="str">
        <f aca="false">IF(L539="","",INDEX(ポート振替表!$P$5:$P$3507,$L539)&amp;"")</f>
        <v/>
      </c>
      <c r="J539" s="60" t="str">
        <f aca="false">IF(L539="","",INDEX(ポート振替表!$M$5:$M$3507,$L539)&amp;"")</f>
        <v/>
      </c>
      <c r="K539" s="52" t="str">
        <f aca="false">IF(L539="","",E539&amp;CHAR(10)&amp;INDEX(ポート振替表!$K$5:$K$3507,$L539)&amp;" "&amp;INDEX(ポート振替表!$L$5:$L$3507,$L539)&amp;CHAR(10)&amp;"⇔ "&amp;INDEX(ポート振替表!$H$5:$H$3507,$L539)&amp;" "&amp;INDEX(ポート振替表!$I$5:$I$3507,$L539))</f>
        <v/>
      </c>
      <c r="L539" s="47" t="str">
        <f aca="false">IFERROR(MATCH(ROW()-4,ポート振替表!$V$5:$V$3507,0),"")</f>
        <v/>
      </c>
    </row>
    <row r="540" customFormat="false" ht="16.4" hidden="false" customHeight="false" outlineLevel="0" collapsed="false">
      <c r="A540" s="32" t="str">
        <f aca="false">IF(L540="","",ROW()-4)</f>
        <v/>
      </c>
      <c r="B540" s="58" t="str">
        <f aca="false">IF(L540="","",IF(INDEX(ポート振替表!$W$5:$W$3507,$L540)="","(なし)",INDEX(ポート振替表!$W$5:$W$3507,$L540)&amp;""))</f>
        <v/>
      </c>
      <c r="C540" s="52" t="str">
        <f aca="false">IF(L540="","",INDEX(ポート振替表!$B$5:$B$3507,$L540)&amp;" "&amp;INDEX(ポート振替表!$C$5:$C$3507,$L540)&amp;"  ⇔  "&amp;INDEX(ポート振替表!$H$5:$H$3507,$L540)&amp;" "&amp;INDEX(ポート振替表!$I$5:$I$3507,$L540))</f>
        <v/>
      </c>
      <c r="D540" s="57" t="s">
        <v>158</v>
      </c>
      <c r="E540" s="59" t="str">
        <f aca="false">IF(L540="","",IF(INDEX(ポート振替表!$O$5:$O$3507,$L540)="","(未設定)",INDEX(ポート振替表!$O$5:$O$3507,$L540)&amp;""))</f>
        <v/>
      </c>
      <c r="F540" s="52" t="str">
        <f aca="false">IF(L540="","",INDEX(ポート振替表!$K$5:$K$3507,$L540)&amp;" "&amp;INDEX(ポート振替表!$L$5:$L$3507,$L540)&amp;"  ⇔  "&amp;INDEX(ポート振替表!$H$5:$H$3507,$L540)&amp;" "&amp;INDEX(ポート振替表!$I$5:$I$3507,$L540))</f>
        <v/>
      </c>
      <c r="G540" s="57" t="s">
        <v>158</v>
      </c>
      <c r="H540" s="32" t="str">
        <f aca="false">IF(L540="","",INDEX(ポート振替表!$N$5:$N$3507,$L540)&amp;"")</f>
        <v/>
      </c>
      <c r="I540" s="32" t="str">
        <f aca="false">IF(L540="","",INDEX(ポート振替表!$P$5:$P$3507,$L540)&amp;"")</f>
        <v/>
      </c>
      <c r="J540" s="60" t="str">
        <f aca="false">IF(L540="","",INDEX(ポート振替表!$M$5:$M$3507,$L540)&amp;"")</f>
        <v/>
      </c>
      <c r="K540" s="52" t="str">
        <f aca="false">IF(L540="","",E540&amp;CHAR(10)&amp;INDEX(ポート振替表!$K$5:$K$3507,$L540)&amp;" "&amp;INDEX(ポート振替表!$L$5:$L$3507,$L540)&amp;CHAR(10)&amp;"⇔ "&amp;INDEX(ポート振替表!$H$5:$H$3507,$L540)&amp;" "&amp;INDEX(ポート振替表!$I$5:$I$3507,$L540))</f>
        <v/>
      </c>
      <c r="L540" s="47" t="str">
        <f aca="false">IFERROR(MATCH(ROW()-4,ポート振替表!$V$5:$V$3507,0),"")</f>
        <v/>
      </c>
    </row>
    <row r="541" customFormat="false" ht="16.4" hidden="false" customHeight="false" outlineLevel="0" collapsed="false">
      <c r="A541" s="32" t="str">
        <f aca="false">IF(L541="","",ROW()-4)</f>
        <v/>
      </c>
      <c r="B541" s="58" t="str">
        <f aca="false">IF(L541="","",IF(INDEX(ポート振替表!$W$5:$W$3507,$L541)="","(なし)",INDEX(ポート振替表!$W$5:$W$3507,$L541)&amp;""))</f>
        <v/>
      </c>
      <c r="C541" s="52" t="str">
        <f aca="false">IF(L541="","",INDEX(ポート振替表!$B$5:$B$3507,$L541)&amp;" "&amp;INDEX(ポート振替表!$C$5:$C$3507,$L541)&amp;"  ⇔  "&amp;INDEX(ポート振替表!$H$5:$H$3507,$L541)&amp;" "&amp;INDEX(ポート振替表!$I$5:$I$3507,$L541))</f>
        <v/>
      </c>
      <c r="D541" s="57" t="s">
        <v>158</v>
      </c>
      <c r="E541" s="59" t="str">
        <f aca="false">IF(L541="","",IF(INDEX(ポート振替表!$O$5:$O$3507,$L541)="","(未設定)",INDEX(ポート振替表!$O$5:$O$3507,$L541)&amp;""))</f>
        <v/>
      </c>
      <c r="F541" s="52" t="str">
        <f aca="false">IF(L541="","",INDEX(ポート振替表!$K$5:$K$3507,$L541)&amp;" "&amp;INDEX(ポート振替表!$L$5:$L$3507,$L541)&amp;"  ⇔  "&amp;INDEX(ポート振替表!$H$5:$H$3507,$L541)&amp;" "&amp;INDEX(ポート振替表!$I$5:$I$3507,$L541))</f>
        <v/>
      </c>
      <c r="G541" s="57" t="s">
        <v>158</v>
      </c>
      <c r="H541" s="32" t="str">
        <f aca="false">IF(L541="","",INDEX(ポート振替表!$N$5:$N$3507,$L541)&amp;"")</f>
        <v/>
      </c>
      <c r="I541" s="32" t="str">
        <f aca="false">IF(L541="","",INDEX(ポート振替表!$P$5:$P$3507,$L541)&amp;"")</f>
        <v/>
      </c>
      <c r="J541" s="60" t="str">
        <f aca="false">IF(L541="","",INDEX(ポート振替表!$M$5:$M$3507,$L541)&amp;"")</f>
        <v/>
      </c>
      <c r="K541" s="52" t="str">
        <f aca="false">IF(L541="","",E541&amp;CHAR(10)&amp;INDEX(ポート振替表!$K$5:$K$3507,$L541)&amp;" "&amp;INDEX(ポート振替表!$L$5:$L$3507,$L541)&amp;CHAR(10)&amp;"⇔ "&amp;INDEX(ポート振替表!$H$5:$H$3507,$L541)&amp;" "&amp;INDEX(ポート振替表!$I$5:$I$3507,$L541))</f>
        <v/>
      </c>
      <c r="L541" s="47" t="str">
        <f aca="false">IFERROR(MATCH(ROW()-4,ポート振替表!$V$5:$V$3507,0),"")</f>
        <v/>
      </c>
    </row>
    <row r="542" customFormat="false" ht="16.4" hidden="false" customHeight="false" outlineLevel="0" collapsed="false">
      <c r="A542" s="32" t="str">
        <f aca="false">IF(L542="","",ROW()-4)</f>
        <v/>
      </c>
      <c r="B542" s="58" t="str">
        <f aca="false">IF(L542="","",IF(INDEX(ポート振替表!$W$5:$W$3507,$L542)="","(なし)",INDEX(ポート振替表!$W$5:$W$3507,$L542)&amp;""))</f>
        <v/>
      </c>
      <c r="C542" s="52" t="str">
        <f aca="false">IF(L542="","",INDEX(ポート振替表!$B$5:$B$3507,$L542)&amp;" "&amp;INDEX(ポート振替表!$C$5:$C$3507,$L542)&amp;"  ⇔  "&amp;INDEX(ポート振替表!$H$5:$H$3507,$L542)&amp;" "&amp;INDEX(ポート振替表!$I$5:$I$3507,$L542))</f>
        <v/>
      </c>
      <c r="D542" s="57" t="s">
        <v>158</v>
      </c>
      <c r="E542" s="59" t="str">
        <f aca="false">IF(L542="","",IF(INDEX(ポート振替表!$O$5:$O$3507,$L542)="","(未設定)",INDEX(ポート振替表!$O$5:$O$3507,$L542)&amp;""))</f>
        <v/>
      </c>
      <c r="F542" s="52" t="str">
        <f aca="false">IF(L542="","",INDEX(ポート振替表!$K$5:$K$3507,$L542)&amp;" "&amp;INDEX(ポート振替表!$L$5:$L$3507,$L542)&amp;"  ⇔  "&amp;INDEX(ポート振替表!$H$5:$H$3507,$L542)&amp;" "&amp;INDEX(ポート振替表!$I$5:$I$3507,$L542))</f>
        <v/>
      </c>
      <c r="G542" s="57" t="s">
        <v>158</v>
      </c>
      <c r="H542" s="32" t="str">
        <f aca="false">IF(L542="","",INDEX(ポート振替表!$N$5:$N$3507,$L542)&amp;"")</f>
        <v/>
      </c>
      <c r="I542" s="32" t="str">
        <f aca="false">IF(L542="","",INDEX(ポート振替表!$P$5:$P$3507,$L542)&amp;"")</f>
        <v/>
      </c>
      <c r="J542" s="60" t="str">
        <f aca="false">IF(L542="","",INDEX(ポート振替表!$M$5:$M$3507,$L542)&amp;"")</f>
        <v/>
      </c>
      <c r="K542" s="52" t="str">
        <f aca="false">IF(L542="","",E542&amp;CHAR(10)&amp;INDEX(ポート振替表!$K$5:$K$3507,$L542)&amp;" "&amp;INDEX(ポート振替表!$L$5:$L$3507,$L542)&amp;CHAR(10)&amp;"⇔ "&amp;INDEX(ポート振替表!$H$5:$H$3507,$L542)&amp;" "&amp;INDEX(ポート振替表!$I$5:$I$3507,$L542))</f>
        <v/>
      </c>
      <c r="L542" s="47" t="str">
        <f aca="false">IFERROR(MATCH(ROW()-4,ポート振替表!$V$5:$V$3507,0),"")</f>
        <v/>
      </c>
    </row>
    <row r="543" customFormat="false" ht="16.4" hidden="false" customHeight="false" outlineLevel="0" collapsed="false">
      <c r="A543" s="32" t="str">
        <f aca="false">IF(L543="","",ROW()-4)</f>
        <v/>
      </c>
      <c r="B543" s="58" t="str">
        <f aca="false">IF(L543="","",IF(INDEX(ポート振替表!$W$5:$W$3507,$L543)="","(なし)",INDEX(ポート振替表!$W$5:$W$3507,$L543)&amp;""))</f>
        <v/>
      </c>
      <c r="C543" s="52" t="str">
        <f aca="false">IF(L543="","",INDEX(ポート振替表!$B$5:$B$3507,$L543)&amp;" "&amp;INDEX(ポート振替表!$C$5:$C$3507,$L543)&amp;"  ⇔  "&amp;INDEX(ポート振替表!$H$5:$H$3507,$L543)&amp;" "&amp;INDEX(ポート振替表!$I$5:$I$3507,$L543))</f>
        <v/>
      </c>
      <c r="D543" s="57" t="s">
        <v>158</v>
      </c>
      <c r="E543" s="59" t="str">
        <f aca="false">IF(L543="","",IF(INDEX(ポート振替表!$O$5:$O$3507,$L543)="","(未設定)",INDEX(ポート振替表!$O$5:$O$3507,$L543)&amp;""))</f>
        <v/>
      </c>
      <c r="F543" s="52" t="str">
        <f aca="false">IF(L543="","",INDEX(ポート振替表!$K$5:$K$3507,$L543)&amp;" "&amp;INDEX(ポート振替表!$L$5:$L$3507,$L543)&amp;"  ⇔  "&amp;INDEX(ポート振替表!$H$5:$H$3507,$L543)&amp;" "&amp;INDEX(ポート振替表!$I$5:$I$3507,$L543))</f>
        <v/>
      </c>
      <c r="G543" s="57" t="s">
        <v>158</v>
      </c>
      <c r="H543" s="32" t="str">
        <f aca="false">IF(L543="","",INDEX(ポート振替表!$N$5:$N$3507,$L543)&amp;"")</f>
        <v/>
      </c>
      <c r="I543" s="32" t="str">
        <f aca="false">IF(L543="","",INDEX(ポート振替表!$P$5:$P$3507,$L543)&amp;"")</f>
        <v/>
      </c>
      <c r="J543" s="60" t="str">
        <f aca="false">IF(L543="","",INDEX(ポート振替表!$M$5:$M$3507,$L543)&amp;"")</f>
        <v/>
      </c>
      <c r="K543" s="52" t="str">
        <f aca="false">IF(L543="","",E543&amp;CHAR(10)&amp;INDEX(ポート振替表!$K$5:$K$3507,$L543)&amp;" "&amp;INDEX(ポート振替表!$L$5:$L$3507,$L543)&amp;CHAR(10)&amp;"⇔ "&amp;INDEX(ポート振替表!$H$5:$H$3507,$L543)&amp;" "&amp;INDEX(ポート振替表!$I$5:$I$3507,$L543))</f>
        <v/>
      </c>
      <c r="L543" s="47" t="str">
        <f aca="false">IFERROR(MATCH(ROW()-4,ポート振替表!$V$5:$V$3507,0),"")</f>
        <v/>
      </c>
    </row>
    <row r="544" customFormat="false" ht="16.4" hidden="false" customHeight="false" outlineLevel="0" collapsed="false">
      <c r="A544" s="32" t="str">
        <f aca="false">IF(L544="","",ROW()-4)</f>
        <v/>
      </c>
      <c r="B544" s="58" t="str">
        <f aca="false">IF(L544="","",IF(INDEX(ポート振替表!$W$5:$W$3507,$L544)="","(なし)",INDEX(ポート振替表!$W$5:$W$3507,$L544)&amp;""))</f>
        <v/>
      </c>
      <c r="C544" s="52" t="str">
        <f aca="false">IF(L544="","",INDEX(ポート振替表!$B$5:$B$3507,$L544)&amp;" "&amp;INDEX(ポート振替表!$C$5:$C$3507,$L544)&amp;"  ⇔  "&amp;INDEX(ポート振替表!$H$5:$H$3507,$L544)&amp;" "&amp;INDEX(ポート振替表!$I$5:$I$3507,$L544))</f>
        <v/>
      </c>
      <c r="D544" s="57" t="s">
        <v>158</v>
      </c>
      <c r="E544" s="59" t="str">
        <f aca="false">IF(L544="","",IF(INDEX(ポート振替表!$O$5:$O$3507,$L544)="","(未設定)",INDEX(ポート振替表!$O$5:$O$3507,$L544)&amp;""))</f>
        <v/>
      </c>
      <c r="F544" s="52" t="str">
        <f aca="false">IF(L544="","",INDEX(ポート振替表!$K$5:$K$3507,$L544)&amp;" "&amp;INDEX(ポート振替表!$L$5:$L$3507,$L544)&amp;"  ⇔  "&amp;INDEX(ポート振替表!$H$5:$H$3507,$L544)&amp;" "&amp;INDEX(ポート振替表!$I$5:$I$3507,$L544))</f>
        <v/>
      </c>
      <c r="G544" s="57" t="s">
        <v>158</v>
      </c>
      <c r="H544" s="32" t="str">
        <f aca="false">IF(L544="","",INDEX(ポート振替表!$N$5:$N$3507,$L544)&amp;"")</f>
        <v/>
      </c>
      <c r="I544" s="32" t="str">
        <f aca="false">IF(L544="","",INDEX(ポート振替表!$P$5:$P$3507,$L544)&amp;"")</f>
        <v/>
      </c>
      <c r="J544" s="60" t="str">
        <f aca="false">IF(L544="","",INDEX(ポート振替表!$M$5:$M$3507,$L544)&amp;"")</f>
        <v/>
      </c>
      <c r="K544" s="52" t="str">
        <f aca="false">IF(L544="","",E544&amp;CHAR(10)&amp;INDEX(ポート振替表!$K$5:$K$3507,$L544)&amp;" "&amp;INDEX(ポート振替表!$L$5:$L$3507,$L544)&amp;CHAR(10)&amp;"⇔ "&amp;INDEX(ポート振替表!$H$5:$H$3507,$L544)&amp;" "&amp;INDEX(ポート振替表!$I$5:$I$3507,$L544))</f>
        <v/>
      </c>
      <c r="L544" s="47" t="str">
        <f aca="false">IFERROR(MATCH(ROW()-4,ポート振替表!$V$5:$V$3507,0),"")</f>
        <v/>
      </c>
    </row>
    <row r="545" customFormat="false" ht="16.4" hidden="false" customHeight="false" outlineLevel="0" collapsed="false">
      <c r="A545" s="32" t="str">
        <f aca="false">IF(L545="","",ROW()-4)</f>
        <v/>
      </c>
      <c r="B545" s="58" t="str">
        <f aca="false">IF(L545="","",IF(INDEX(ポート振替表!$W$5:$W$3507,$L545)="","(なし)",INDEX(ポート振替表!$W$5:$W$3507,$L545)&amp;""))</f>
        <v/>
      </c>
      <c r="C545" s="52" t="str">
        <f aca="false">IF(L545="","",INDEX(ポート振替表!$B$5:$B$3507,$L545)&amp;" "&amp;INDEX(ポート振替表!$C$5:$C$3507,$L545)&amp;"  ⇔  "&amp;INDEX(ポート振替表!$H$5:$H$3507,$L545)&amp;" "&amp;INDEX(ポート振替表!$I$5:$I$3507,$L545))</f>
        <v/>
      </c>
      <c r="D545" s="57" t="s">
        <v>158</v>
      </c>
      <c r="E545" s="59" t="str">
        <f aca="false">IF(L545="","",IF(INDEX(ポート振替表!$O$5:$O$3507,$L545)="","(未設定)",INDEX(ポート振替表!$O$5:$O$3507,$L545)&amp;""))</f>
        <v/>
      </c>
      <c r="F545" s="52" t="str">
        <f aca="false">IF(L545="","",INDEX(ポート振替表!$K$5:$K$3507,$L545)&amp;" "&amp;INDEX(ポート振替表!$L$5:$L$3507,$L545)&amp;"  ⇔  "&amp;INDEX(ポート振替表!$H$5:$H$3507,$L545)&amp;" "&amp;INDEX(ポート振替表!$I$5:$I$3507,$L545))</f>
        <v/>
      </c>
      <c r="G545" s="57" t="s">
        <v>158</v>
      </c>
      <c r="H545" s="32" t="str">
        <f aca="false">IF(L545="","",INDEX(ポート振替表!$N$5:$N$3507,$L545)&amp;"")</f>
        <v/>
      </c>
      <c r="I545" s="32" t="str">
        <f aca="false">IF(L545="","",INDEX(ポート振替表!$P$5:$P$3507,$L545)&amp;"")</f>
        <v/>
      </c>
      <c r="J545" s="60" t="str">
        <f aca="false">IF(L545="","",INDEX(ポート振替表!$M$5:$M$3507,$L545)&amp;"")</f>
        <v/>
      </c>
      <c r="K545" s="52" t="str">
        <f aca="false">IF(L545="","",E545&amp;CHAR(10)&amp;INDEX(ポート振替表!$K$5:$K$3507,$L545)&amp;" "&amp;INDEX(ポート振替表!$L$5:$L$3507,$L545)&amp;CHAR(10)&amp;"⇔ "&amp;INDEX(ポート振替表!$H$5:$H$3507,$L545)&amp;" "&amp;INDEX(ポート振替表!$I$5:$I$3507,$L545))</f>
        <v/>
      </c>
      <c r="L545" s="47" t="str">
        <f aca="false">IFERROR(MATCH(ROW()-4,ポート振替表!$V$5:$V$3507,0),"")</f>
        <v/>
      </c>
    </row>
    <row r="546" customFormat="false" ht="16.4" hidden="false" customHeight="false" outlineLevel="0" collapsed="false">
      <c r="A546" s="32" t="str">
        <f aca="false">IF(L546="","",ROW()-4)</f>
        <v/>
      </c>
      <c r="B546" s="58" t="str">
        <f aca="false">IF(L546="","",IF(INDEX(ポート振替表!$W$5:$W$3507,$L546)="","(なし)",INDEX(ポート振替表!$W$5:$W$3507,$L546)&amp;""))</f>
        <v/>
      </c>
      <c r="C546" s="52" t="str">
        <f aca="false">IF(L546="","",INDEX(ポート振替表!$B$5:$B$3507,$L546)&amp;" "&amp;INDEX(ポート振替表!$C$5:$C$3507,$L546)&amp;"  ⇔  "&amp;INDEX(ポート振替表!$H$5:$H$3507,$L546)&amp;" "&amp;INDEX(ポート振替表!$I$5:$I$3507,$L546))</f>
        <v/>
      </c>
      <c r="D546" s="57" t="s">
        <v>158</v>
      </c>
      <c r="E546" s="59" t="str">
        <f aca="false">IF(L546="","",IF(INDEX(ポート振替表!$O$5:$O$3507,$L546)="","(未設定)",INDEX(ポート振替表!$O$5:$O$3507,$L546)&amp;""))</f>
        <v/>
      </c>
      <c r="F546" s="52" t="str">
        <f aca="false">IF(L546="","",INDEX(ポート振替表!$K$5:$K$3507,$L546)&amp;" "&amp;INDEX(ポート振替表!$L$5:$L$3507,$L546)&amp;"  ⇔  "&amp;INDEX(ポート振替表!$H$5:$H$3507,$L546)&amp;" "&amp;INDEX(ポート振替表!$I$5:$I$3507,$L546))</f>
        <v/>
      </c>
      <c r="G546" s="57" t="s">
        <v>158</v>
      </c>
      <c r="H546" s="32" t="str">
        <f aca="false">IF(L546="","",INDEX(ポート振替表!$N$5:$N$3507,$L546)&amp;"")</f>
        <v/>
      </c>
      <c r="I546" s="32" t="str">
        <f aca="false">IF(L546="","",INDEX(ポート振替表!$P$5:$P$3507,$L546)&amp;"")</f>
        <v/>
      </c>
      <c r="J546" s="60" t="str">
        <f aca="false">IF(L546="","",INDEX(ポート振替表!$M$5:$M$3507,$L546)&amp;"")</f>
        <v/>
      </c>
      <c r="K546" s="52" t="str">
        <f aca="false">IF(L546="","",E546&amp;CHAR(10)&amp;INDEX(ポート振替表!$K$5:$K$3507,$L546)&amp;" "&amp;INDEX(ポート振替表!$L$5:$L$3507,$L546)&amp;CHAR(10)&amp;"⇔ "&amp;INDEX(ポート振替表!$H$5:$H$3507,$L546)&amp;" "&amp;INDEX(ポート振替表!$I$5:$I$3507,$L546))</f>
        <v/>
      </c>
      <c r="L546" s="47" t="str">
        <f aca="false">IFERROR(MATCH(ROW()-4,ポート振替表!$V$5:$V$3507,0),"")</f>
        <v/>
      </c>
    </row>
    <row r="547" customFormat="false" ht="16.4" hidden="false" customHeight="false" outlineLevel="0" collapsed="false">
      <c r="A547" s="32" t="str">
        <f aca="false">IF(L547="","",ROW()-4)</f>
        <v/>
      </c>
      <c r="B547" s="58" t="str">
        <f aca="false">IF(L547="","",IF(INDEX(ポート振替表!$W$5:$W$3507,$L547)="","(なし)",INDEX(ポート振替表!$W$5:$W$3507,$L547)&amp;""))</f>
        <v/>
      </c>
      <c r="C547" s="52" t="str">
        <f aca="false">IF(L547="","",INDEX(ポート振替表!$B$5:$B$3507,$L547)&amp;" "&amp;INDEX(ポート振替表!$C$5:$C$3507,$L547)&amp;"  ⇔  "&amp;INDEX(ポート振替表!$H$5:$H$3507,$L547)&amp;" "&amp;INDEX(ポート振替表!$I$5:$I$3507,$L547))</f>
        <v/>
      </c>
      <c r="D547" s="57" t="s">
        <v>158</v>
      </c>
      <c r="E547" s="59" t="str">
        <f aca="false">IF(L547="","",IF(INDEX(ポート振替表!$O$5:$O$3507,$L547)="","(未設定)",INDEX(ポート振替表!$O$5:$O$3507,$L547)&amp;""))</f>
        <v/>
      </c>
      <c r="F547" s="52" t="str">
        <f aca="false">IF(L547="","",INDEX(ポート振替表!$K$5:$K$3507,$L547)&amp;" "&amp;INDEX(ポート振替表!$L$5:$L$3507,$L547)&amp;"  ⇔  "&amp;INDEX(ポート振替表!$H$5:$H$3507,$L547)&amp;" "&amp;INDEX(ポート振替表!$I$5:$I$3507,$L547))</f>
        <v/>
      </c>
      <c r="G547" s="57" t="s">
        <v>158</v>
      </c>
      <c r="H547" s="32" t="str">
        <f aca="false">IF(L547="","",INDEX(ポート振替表!$N$5:$N$3507,$L547)&amp;"")</f>
        <v/>
      </c>
      <c r="I547" s="32" t="str">
        <f aca="false">IF(L547="","",INDEX(ポート振替表!$P$5:$P$3507,$L547)&amp;"")</f>
        <v/>
      </c>
      <c r="J547" s="60" t="str">
        <f aca="false">IF(L547="","",INDEX(ポート振替表!$M$5:$M$3507,$L547)&amp;"")</f>
        <v/>
      </c>
      <c r="K547" s="52" t="str">
        <f aca="false">IF(L547="","",E547&amp;CHAR(10)&amp;INDEX(ポート振替表!$K$5:$K$3507,$L547)&amp;" "&amp;INDEX(ポート振替表!$L$5:$L$3507,$L547)&amp;CHAR(10)&amp;"⇔ "&amp;INDEX(ポート振替表!$H$5:$H$3507,$L547)&amp;" "&amp;INDEX(ポート振替表!$I$5:$I$3507,$L547))</f>
        <v/>
      </c>
      <c r="L547" s="47" t="str">
        <f aca="false">IFERROR(MATCH(ROW()-4,ポート振替表!$V$5:$V$3507,0),"")</f>
        <v/>
      </c>
    </row>
    <row r="548" customFormat="false" ht="16.4" hidden="false" customHeight="false" outlineLevel="0" collapsed="false">
      <c r="A548" s="32" t="str">
        <f aca="false">IF(L548="","",ROW()-4)</f>
        <v/>
      </c>
      <c r="B548" s="58" t="str">
        <f aca="false">IF(L548="","",IF(INDEX(ポート振替表!$W$5:$W$3507,$L548)="","(なし)",INDEX(ポート振替表!$W$5:$W$3507,$L548)&amp;""))</f>
        <v/>
      </c>
      <c r="C548" s="52" t="str">
        <f aca="false">IF(L548="","",INDEX(ポート振替表!$B$5:$B$3507,$L548)&amp;" "&amp;INDEX(ポート振替表!$C$5:$C$3507,$L548)&amp;"  ⇔  "&amp;INDEX(ポート振替表!$H$5:$H$3507,$L548)&amp;" "&amp;INDEX(ポート振替表!$I$5:$I$3507,$L548))</f>
        <v/>
      </c>
      <c r="D548" s="57" t="s">
        <v>158</v>
      </c>
      <c r="E548" s="59" t="str">
        <f aca="false">IF(L548="","",IF(INDEX(ポート振替表!$O$5:$O$3507,$L548)="","(未設定)",INDEX(ポート振替表!$O$5:$O$3507,$L548)&amp;""))</f>
        <v/>
      </c>
      <c r="F548" s="52" t="str">
        <f aca="false">IF(L548="","",INDEX(ポート振替表!$K$5:$K$3507,$L548)&amp;" "&amp;INDEX(ポート振替表!$L$5:$L$3507,$L548)&amp;"  ⇔  "&amp;INDEX(ポート振替表!$H$5:$H$3507,$L548)&amp;" "&amp;INDEX(ポート振替表!$I$5:$I$3507,$L548))</f>
        <v/>
      </c>
      <c r="G548" s="57" t="s">
        <v>158</v>
      </c>
      <c r="H548" s="32" t="str">
        <f aca="false">IF(L548="","",INDEX(ポート振替表!$N$5:$N$3507,$L548)&amp;"")</f>
        <v/>
      </c>
      <c r="I548" s="32" t="str">
        <f aca="false">IF(L548="","",INDEX(ポート振替表!$P$5:$P$3507,$L548)&amp;"")</f>
        <v/>
      </c>
      <c r="J548" s="60" t="str">
        <f aca="false">IF(L548="","",INDEX(ポート振替表!$M$5:$M$3507,$L548)&amp;"")</f>
        <v/>
      </c>
      <c r="K548" s="52" t="str">
        <f aca="false">IF(L548="","",E548&amp;CHAR(10)&amp;INDEX(ポート振替表!$K$5:$K$3507,$L548)&amp;" "&amp;INDEX(ポート振替表!$L$5:$L$3507,$L548)&amp;CHAR(10)&amp;"⇔ "&amp;INDEX(ポート振替表!$H$5:$H$3507,$L548)&amp;" "&amp;INDEX(ポート振替表!$I$5:$I$3507,$L548))</f>
        <v/>
      </c>
      <c r="L548" s="47" t="str">
        <f aca="false">IFERROR(MATCH(ROW()-4,ポート振替表!$V$5:$V$3507,0),"")</f>
        <v/>
      </c>
    </row>
    <row r="549" customFormat="false" ht="16.4" hidden="false" customHeight="false" outlineLevel="0" collapsed="false">
      <c r="A549" s="32" t="str">
        <f aca="false">IF(L549="","",ROW()-4)</f>
        <v/>
      </c>
      <c r="B549" s="58" t="str">
        <f aca="false">IF(L549="","",IF(INDEX(ポート振替表!$W$5:$W$3507,$L549)="","(なし)",INDEX(ポート振替表!$W$5:$W$3507,$L549)&amp;""))</f>
        <v/>
      </c>
      <c r="C549" s="52" t="str">
        <f aca="false">IF(L549="","",INDEX(ポート振替表!$B$5:$B$3507,$L549)&amp;" "&amp;INDEX(ポート振替表!$C$5:$C$3507,$L549)&amp;"  ⇔  "&amp;INDEX(ポート振替表!$H$5:$H$3507,$L549)&amp;" "&amp;INDEX(ポート振替表!$I$5:$I$3507,$L549))</f>
        <v/>
      </c>
      <c r="D549" s="57" t="s">
        <v>158</v>
      </c>
      <c r="E549" s="59" t="str">
        <f aca="false">IF(L549="","",IF(INDEX(ポート振替表!$O$5:$O$3507,$L549)="","(未設定)",INDEX(ポート振替表!$O$5:$O$3507,$L549)&amp;""))</f>
        <v/>
      </c>
      <c r="F549" s="52" t="str">
        <f aca="false">IF(L549="","",INDEX(ポート振替表!$K$5:$K$3507,$L549)&amp;" "&amp;INDEX(ポート振替表!$L$5:$L$3507,$L549)&amp;"  ⇔  "&amp;INDEX(ポート振替表!$H$5:$H$3507,$L549)&amp;" "&amp;INDEX(ポート振替表!$I$5:$I$3507,$L549))</f>
        <v/>
      </c>
      <c r="G549" s="57" t="s">
        <v>158</v>
      </c>
      <c r="H549" s="32" t="str">
        <f aca="false">IF(L549="","",INDEX(ポート振替表!$N$5:$N$3507,$L549)&amp;"")</f>
        <v/>
      </c>
      <c r="I549" s="32" t="str">
        <f aca="false">IF(L549="","",INDEX(ポート振替表!$P$5:$P$3507,$L549)&amp;"")</f>
        <v/>
      </c>
      <c r="J549" s="60" t="str">
        <f aca="false">IF(L549="","",INDEX(ポート振替表!$M$5:$M$3507,$L549)&amp;"")</f>
        <v/>
      </c>
      <c r="K549" s="52" t="str">
        <f aca="false">IF(L549="","",E549&amp;CHAR(10)&amp;INDEX(ポート振替表!$K$5:$K$3507,$L549)&amp;" "&amp;INDEX(ポート振替表!$L$5:$L$3507,$L549)&amp;CHAR(10)&amp;"⇔ "&amp;INDEX(ポート振替表!$H$5:$H$3507,$L549)&amp;" "&amp;INDEX(ポート振替表!$I$5:$I$3507,$L549))</f>
        <v/>
      </c>
      <c r="L549" s="47" t="str">
        <f aca="false">IFERROR(MATCH(ROW()-4,ポート振替表!$V$5:$V$3507,0),"")</f>
        <v/>
      </c>
    </row>
    <row r="550" customFormat="false" ht="16.4" hidden="false" customHeight="false" outlineLevel="0" collapsed="false">
      <c r="A550" s="32" t="str">
        <f aca="false">IF(L550="","",ROW()-4)</f>
        <v/>
      </c>
      <c r="B550" s="58" t="str">
        <f aca="false">IF(L550="","",IF(INDEX(ポート振替表!$W$5:$W$3507,$L550)="","(なし)",INDEX(ポート振替表!$W$5:$W$3507,$L550)&amp;""))</f>
        <v/>
      </c>
      <c r="C550" s="52" t="str">
        <f aca="false">IF(L550="","",INDEX(ポート振替表!$B$5:$B$3507,$L550)&amp;" "&amp;INDEX(ポート振替表!$C$5:$C$3507,$L550)&amp;"  ⇔  "&amp;INDEX(ポート振替表!$H$5:$H$3507,$L550)&amp;" "&amp;INDEX(ポート振替表!$I$5:$I$3507,$L550))</f>
        <v/>
      </c>
      <c r="D550" s="57" t="s">
        <v>158</v>
      </c>
      <c r="E550" s="59" t="str">
        <f aca="false">IF(L550="","",IF(INDEX(ポート振替表!$O$5:$O$3507,$L550)="","(未設定)",INDEX(ポート振替表!$O$5:$O$3507,$L550)&amp;""))</f>
        <v/>
      </c>
      <c r="F550" s="52" t="str">
        <f aca="false">IF(L550="","",INDEX(ポート振替表!$K$5:$K$3507,$L550)&amp;" "&amp;INDEX(ポート振替表!$L$5:$L$3507,$L550)&amp;"  ⇔  "&amp;INDEX(ポート振替表!$H$5:$H$3507,$L550)&amp;" "&amp;INDEX(ポート振替表!$I$5:$I$3507,$L550))</f>
        <v/>
      </c>
      <c r="G550" s="57" t="s">
        <v>158</v>
      </c>
      <c r="H550" s="32" t="str">
        <f aca="false">IF(L550="","",INDEX(ポート振替表!$N$5:$N$3507,$L550)&amp;"")</f>
        <v/>
      </c>
      <c r="I550" s="32" t="str">
        <f aca="false">IF(L550="","",INDEX(ポート振替表!$P$5:$P$3507,$L550)&amp;"")</f>
        <v/>
      </c>
      <c r="J550" s="60" t="str">
        <f aca="false">IF(L550="","",INDEX(ポート振替表!$M$5:$M$3507,$L550)&amp;"")</f>
        <v/>
      </c>
      <c r="K550" s="52" t="str">
        <f aca="false">IF(L550="","",E550&amp;CHAR(10)&amp;INDEX(ポート振替表!$K$5:$K$3507,$L550)&amp;" "&amp;INDEX(ポート振替表!$L$5:$L$3507,$L550)&amp;CHAR(10)&amp;"⇔ "&amp;INDEX(ポート振替表!$H$5:$H$3507,$L550)&amp;" "&amp;INDEX(ポート振替表!$I$5:$I$3507,$L550))</f>
        <v/>
      </c>
      <c r="L550" s="47" t="str">
        <f aca="false">IFERROR(MATCH(ROW()-4,ポート振替表!$V$5:$V$3507,0),"")</f>
        <v/>
      </c>
    </row>
    <row r="551" customFormat="false" ht="16.4" hidden="false" customHeight="false" outlineLevel="0" collapsed="false">
      <c r="A551" s="32" t="str">
        <f aca="false">IF(L551="","",ROW()-4)</f>
        <v/>
      </c>
      <c r="B551" s="58" t="str">
        <f aca="false">IF(L551="","",IF(INDEX(ポート振替表!$W$5:$W$3507,$L551)="","(なし)",INDEX(ポート振替表!$W$5:$W$3507,$L551)&amp;""))</f>
        <v/>
      </c>
      <c r="C551" s="52" t="str">
        <f aca="false">IF(L551="","",INDEX(ポート振替表!$B$5:$B$3507,$L551)&amp;" "&amp;INDEX(ポート振替表!$C$5:$C$3507,$L551)&amp;"  ⇔  "&amp;INDEX(ポート振替表!$H$5:$H$3507,$L551)&amp;" "&amp;INDEX(ポート振替表!$I$5:$I$3507,$L551))</f>
        <v/>
      </c>
      <c r="D551" s="57" t="s">
        <v>158</v>
      </c>
      <c r="E551" s="59" t="str">
        <f aca="false">IF(L551="","",IF(INDEX(ポート振替表!$O$5:$O$3507,$L551)="","(未設定)",INDEX(ポート振替表!$O$5:$O$3507,$L551)&amp;""))</f>
        <v/>
      </c>
      <c r="F551" s="52" t="str">
        <f aca="false">IF(L551="","",INDEX(ポート振替表!$K$5:$K$3507,$L551)&amp;" "&amp;INDEX(ポート振替表!$L$5:$L$3507,$L551)&amp;"  ⇔  "&amp;INDEX(ポート振替表!$H$5:$H$3507,$L551)&amp;" "&amp;INDEX(ポート振替表!$I$5:$I$3507,$L551))</f>
        <v/>
      </c>
      <c r="G551" s="57" t="s">
        <v>158</v>
      </c>
      <c r="H551" s="32" t="str">
        <f aca="false">IF(L551="","",INDEX(ポート振替表!$N$5:$N$3507,$L551)&amp;"")</f>
        <v/>
      </c>
      <c r="I551" s="32" t="str">
        <f aca="false">IF(L551="","",INDEX(ポート振替表!$P$5:$P$3507,$L551)&amp;"")</f>
        <v/>
      </c>
      <c r="J551" s="60" t="str">
        <f aca="false">IF(L551="","",INDEX(ポート振替表!$M$5:$M$3507,$L551)&amp;"")</f>
        <v/>
      </c>
      <c r="K551" s="52" t="str">
        <f aca="false">IF(L551="","",E551&amp;CHAR(10)&amp;INDEX(ポート振替表!$K$5:$K$3507,$L551)&amp;" "&amp;INDEX(ポート振替表!$L$5:$L$3507,$L551)&amp;CHAR(10)&amp;"⇔ "&amp;INDEX(ポート振替表!$H$5:$H$3507,$L551)&amp;" "&amp;INDEX(ポート振替表!$I$5:$I$3507,$L551))</f>
        <v/>
      </c>
      <c r="L551" s="47" t="str">
        <f aca="false">IFERROR(MATCH(ROW()-4,ポート振替表!$V$5:$V$3507,0),"")</f>
        <v/>
      </c>
    </row>
    <row r="552" customFormat="false" ht="16.4" hidden="false" customHeight="false" outlineLevel="0" collapsed="false">
      <c r="A552" s="32" t="str">
        <f aca="false">IF(L552="","",ROW()-4)</f>
        <v/>
      </c>
      <c r="B552" s="58" t="str">
        <f aca="false">IF(L552="","",IF(INDEX(ポート振替表!$W$5:$W$3507,$L552)="","(なし)",INDEX(ポート振替表!$W$5:$W$3507,$L552)&amp;""))</f>
        <v/>
      </c>
      <c r="C552" s="52" t="str">
        <f aca="false">IF(L552="","",INDEX(ポート振替表!$B$5:$B$3507,$L552)&amp;" "&amp;INDEX(ポート振替表!$C$5:$C$3507,$L552)&amp;"  ⇔  "&amp;INDEX(ポート振替表!$H$5:$H$3507,$L552)&amp;" "&amp;INDEX(ポート振替表!$I$5:$I$3507,$L552))</f>
        <v/>
      </c>
      <c r="D552" s="57" t="s">
        <v>158</v>
      </c>
      <c r="E552" s="59" t="str">
        <f aca="false">IF(L552="","",IF(INDEX(ポート振替表!$O$5:$O$3507,$L552)="","(未設定)",INDEX(ポート振替表!$O$5:$O$3507,$L552)&amp;""))</f>
        <v/>
      </c>
      <c r="F552" s="52" t="str">
        <f aca="false">IF(L552="","",INDEX(ポート振替表!$K$5:$K$3507,$L552)&amp;" "&amp;INDEX(ポート振替表!$L$5:$L$3507,$L552)&amp;"  ⇔  "&amp;INDEX(ポート振替表!$H$5:$H$3507,$L552)&amp;" "&amp;INDEX(ポート振替表!$I$5:$I$3507,$L552))</f>
        <v/>
      </c>
      <c r="G552" s="57" t="s">
        <v>158</v>
      </c>
      <c r="H552" s="32" t="str">
        <f aca="false">IF(L552="","",INDEX(ポート振替表!$N$5:$N$3507,$L552)&amp;"")</f>
        <v/>
      </c>
      <c r="I552" s="32" t="str">
        <f aca="false">IF(L552="","",INDEX(ポート振替表!$P$5:$P$3507,$L552)&amp;"")</f>
        <v/>
      </c>
      <c r="J552" s="60" t="str">
        <f aca="false">IF(L552="","",INDEX(ポート振替表!$M$5:$M$3507,$L552)&amp;"")</f>
        <v/>
      </c>
      <c r="K552" s="52" t="str">
        <f aca="false">IF(L552="","",E552&amp;CHAR(10)&amp;INDEX(ポート振替表!$K$5:$K$3507,$L552)&amp;" "&amp;INDEX(ポート振替表!$L$5:$L$3507,$L552)&amp;CHAR(10)&amp;"⇔ "&amp;INDEX(ポート振替表!$H$5:$H$3507,$L552)&amp;" "&amp;INDEX(ポート振替表!$I$5:$I$3507,$L552))</f>
        <v/>
      </c>
      <c r="L552" s="47" t="str">
        <f aca="false">IFERROR(MATCH(ROW()-4,ポート振替表!$V$5:$V$3507,0),"")</f>
        <v/>
      </c>
    </row>
    <row r="553" customFormat="false" ht="16.4" hidden="false" customHeight="false" outlineLevel="0" collapsed="false">
      <c r="A553" s="32" t="str">
        <f aca="false">IF(L553="","",ROW()-4)</f>
        <v/>
      </c>
      <c r="B553" s="58" t="str">
        <f aca="false">IF(L553="","",IF(INDEX(ポート振替表!$W$5:$W$3507,$L553)="","(なし)",INDEX(ポート振替表!$W$5:$W$3507,$L553)&amp;""))</f>
        <v/>
      </c>
      <c r="C553" s="52" t="str">
        <f aca="false">IF(L553="","",INDEX(ポート振替表!$B$5:$B$3507,$L553)&amp;" "&amp;INDEX(ポート振替表!$C$5:$C$3507,$L553)&amp;"  ⇔  "&amp;INDEX(ポート振替表!$H$5:$H$3507,$L553)&amp;" "&amp;INDEX(ポート振替表!$I$5:$I$3507,$L553))</f>
        <v/>
      </c>
      <c r="D553" s="57" t="s">
        <v>158</v>
      </c>
      <c r="E553" s="59" t="str">
        <f aca="false">IF(L553="","",IF(INDEX(ポート振替表!$O$5:$O$3507,$L553)="","(未設定)",INDEX(ポート振替表!$O$5:$O$3507,$L553)&amp;""))</f>
        <v/>
      </c>
      <c r="F553" s="52" t="str">
        <f aca="false">IF(L553="","",INDEX(ポート振替表!$K$5:$K$3507,$L553)&amp;" "&amp;INDEX(ポート振替表!$L$5:$L$3507,$L553)&amp;"  ⇔  "&amp;INDEX(ポート振替表!$H$5:$H$3507,$L553)&amp;" "&amp;INDEX(ポート振替表!$I$5:$I$3507,$L553))</f>
        <v/>
      </c>
      <c r="G553" s="57" t="s">
        <v>158</v>
      </c>
      <c r="H553" s="32" t="str">
        <f aca="false">IF(L553="","",INDEX(ポート振替表!$N$5:$N$3507,$L553)&amp;"")</f>
        <v/>
      </c>
      <c r="I553" s="32" t="str">
        <f aca="false">IF(L553="","",INDEX(ポート振替表!$P$5:$P$3507,$L553)&amp;"")</f>
        <v/>
      </c>
      <c r="J553" s="60" t="str">
        <f aca="false">IF(L553="","",INDEX(ポート振替表!$M$5:$M$3507,$L553)&amp;"")</f>
        <v/>
      </c>
      <c r="K553" s="52" t="str">
        <f aca="false">IF(L553="","",E553&amp;CHAR(10)&amp;INDEX(ポート振替表!$K$5:$K$3507,$L553)&amp;" "&amp;INDEX(ポート振替表!$L$5:$L$3507,$L553)&amp;CHAR(10)&amp;"⇔ "&amp;INDEX(ポート振替表!$H$5:$H$3507,$L553)&amp;" "&amp;INDEX(ポート振替表!$I$5:$I$3507,$L553))</f>
        <v/>
      </c>
      <c r="L553" s="47" t="str">
        <f aca="false">IFERROR(MATCH(ROW()-4,ポート振替表!$V$5:$V$3507,0),"")</f>
        <v/>
      </c>
    </row>
    <row r="554" customFormat="false" ht="16.4" hidden="false" customHeight="false" outlineLevel="0" collapsed="false">
      <c r="A554" s="32" t="str">
        <f aca="false">IF(L554="","",ROW()-4)</f>
        <v/>
      </c>
      <c r="B554" s="58" t="str">
        <f aca="false">IF(L554="","",IF(INDEX(ポート振替表!$W$5:$W$3507,$L554)="","(なし)",INDEX(ポート振替表!$W$5:$W$3507,$L554)&amp;""))</f>
        <v/>
      </c>
      <c r="C554" s="52" t="str">
        <f aca="false">IF(L554="","",INDEX(ポート振替表!$B$5:$B$3507,$L554)&amp;" "&amp;INDEX(ポート振替表!$C$5:$C$3507,$L554)&amp;"  ⇔  "&amp;INDEX(ポート振替表!$H$5:$H$3507,$L554)&amp;" "&amp;INDEX(ポート振替表!$I$5:$I$3507,$L554))</f>
        <v/>
      </c>
      <c r="D554" s="57" t="s">
        <v>158</v>
      </c>
      <c r="E554" s="59" t="str">
        <f aca="false">IF(L554="","",IF(INDEX(ポート振替表!$O$5:$O$3507,$L554)="","(未設定)",INDEX(ポート振替表!$O$5:$O$3507,$L554)&amp;""))</f>
        <v/>
      </c>
      <c r="F554" s="52" t="str">
        <f aca="false">IF(L554="","",INDEX(ポート振替表!$K$5:$K$3507,$L554)&amp;" "&amp;INDEX(ポート振替表!$L$5:$L$3507,$L554)&amp;"  ⇔  "&amp;INDEX(ポート振替表!$H$5:$H$3507,$L554)&amp;" "&amp;INDEX(ポート振替表!$I$5:$I$3507,$L554))</f>
        <v/>
      </c>
      <c r="G554" s="57" t="s">
        <v>158</v>
      </c>
      <c r="H554" s="32" t="str">
        <f aca="false">IF(L554="","",INDEX(ポート振替表!$N$5:$N$3507,$L554)&amp;"")</f>
        <v/>
      </c>
      <c r="I554" s="32" t="str">
        <f aca="false">IF(L554="","",INDEX(ポート振替表!$P$5:$P$3507,$L554)&amp;"")</f>
        <v/>
      </c>
      <c r="J554" s="60" t="str">
        <f aca="false">IF(L554="","",INDEX(ポート振替表!$M$5:$M$3507,$L554)&amp;"")</f>
        <v/>
      </c>
      <c r="K554" s="52" t="str">
        <f aca="false">IF(L554="","",E554&amp;CHAR(10)&amp;INDEX(ポート振替表!$K$5:$K$3507,$L554)&amp;" "&amp;INDEX(ポート振替表!$L$5:$L$3507,$L554)&amp;CHAR(10)&amp;"⇔ "&amp;INDEX(ポート振替表!$H$5:$H$3507,$L554)&amp;" "&amp;INDEX(ポート振替表!$I$5:$I$3507,$L554))</f>
        <v/>
      </c>
      <c r="L554" s="47" t="str">
        <f aca="false">IFERROR(MATCH(ROW()-4,ポート振替表!$V$5:$V$3507,0),"")</f>
        <v/>
      </c>
    </row>
    <row r="555" customFormat="false" ht="16.4" hidden="false" customHeight="false" outlineLevel="0" collapsed="false">
      <c r="A555" s="32" t="str">
        <f aca="false">IF(L555="","",ROW()-4)</f>
        <v/>
      </c>
      <c r="B555" s="58" t="str">
        <f aca="false">IF(L555="","",IF(INDEX(ポート振替表!$W$5:$W$3507,$L555)="","(なし)",INDEX(ポート振替表!$W$5:$W$3507,$L555)&amp;""))</f>
        <v/>
      </c>
      <c r="C555" s="52" t="str">
        <f aca="false">IF(L555="","",INDEX(ポート振替表!$B$5:$B$3507,$L555)&amp;" "&amp;INDEX(ポート振替表!$C$5:$C$3507,$L555)&amp;"  ⇔  "&amp;INDEX(ポート振替表!$H$5:$H$3507,$L555)&amp;" "&amp;INDEX(ポート振替表!$I$5:$I$3507,$L555))</f>
        <v/>
      </c>
      <c r="D555" s="57" t="s">
        <v>158</v>
      </c>
      <c r="E555" s="59" t="str">
        <f aca="false">IF(L555="","",IF(INDEX(ポート振替表!$O$5:$O$3507,$L555)="","(未設定)",INDEX(ポート振替表!$O$5:$O$3507,$L555)&amp;""))</f>
        <v/>
      </c>
      <c r="F555" s="52" t="str">
        <f aca="false">IF(L555="","",INDEX(ポート振替表!$K$5:$K$3507,$L555)&amp;" "&amp;INDEX(ポート振替表!$L$5:$L$3507,$L555)&amp;"  ⇔  "&amp;INDEX(ポート振替表!$H$5:$H$3507,$L555)&amp;" "&amp;INDEX(ポート振替表!$I$5:$I$3507,$L555))</f>
        <v/>
      </c>
      <c r="G555" s="57" t="s">
        <v>158</v>
      </c>
      <c r="H555" s="32" t="str">
        <f aca="false">IF(L555="","",INDEX(ポート振替表!$N$5:$N$3507,$L555)&amp;"")</f>
        <v/>
      </c>
      <c r="I555" s="32" t="str">
        <f aca="false">IF(L555="","",INDEX(ポート振替表!$P$5:$P$3507,$L555)&amp;"")</f>
        <v/>
      </c>
      <c r="J555" s="60" t="str">
        <f aca="false">IF(L555="","",INDEX(ポート振替表!$M$5:$M$3507,$L555)&amp;"")</f>
        <v/>
      </c>
      <c r="K555" s="52" t="str">
        <f aca="false">IF(L555="","",E555&amp;CHAR(10)&amp;INDEX(ポート振替表!$K$5:$K$3507,$L555)&amp;" "&amp;INDEX(ポート振替表!$L$5:$L$3507,$L555)&amp;CHAR(10)&amp;"⇔ "&amp;INDEX(ポート振替表!$H$5:$H$3507,$L555)&amp;" "&amp;INDEX(ポート振替表!$I$5:$I$3507,$L555))</f>
        <v/>
      </c>
      <c r="L555" s="47" t="str">
        <f aca="false">IFERROR(MATCH(ROW()-4,ポート振替表!$V$5:$V$3507,0),"")</f>
        <v/>
      </c>
    </row>
    <row r="556" customFormat="false" ht="16.4" hidden="false" customHeight="false" outlineLevel="0" collapsed="false">
      <c r="A556" s="32" t="str">
        <f aca="false">IF(L556="","",ROW()-4)</f>
        <v/>
      </c>
      <c r="B556" s="58" t="str">
        <f aca="false">IF(L556="","",IF(INDEX(ポート振替表!$W$5:$W$3507,$L556)="","(なし)",INDEX(ポート振替表!$W$5:$W$3507,$L556)&amp;""))</f>
        <v/>
      </c>
      <c r="C556" s="52" t="str">
        <f aca="false">IF(L556="","",INDEX(ポート振替表!$B$5:$B$3507,$L556)&amp;" "&amp;INDEX(ポート振替表!$C$5:$C$3507,$L556)&amp;"  ⇔  "&amp;INDEX(ポート振替表!$H$5:$H$3507,$L556)&amp;" "&amp;INDEX(ポート振替表!$I$5:$I$3507,$L556))</f>
        <v/>
      </c>
      <c r="D556" s="57" t="s">
        <v>158</v>
      </c>
      <c r="E556" s="59" t="str">
        <f aca="false">IF(L556="","",IF(INDEX(ポート振替表!$O$5:$O$3507,$L556)="","(未設定)",INDEX(ポート振替表!$O$5:$O$3507,$L556)&amp;""))</f>
        <v/>
      </c>
      <c r="F556" s="52" t="str">
        <f aca="false">IF(L556="","",INDEX(ポート振替表!$K$5:$K$3507,$L556)&amp;" "&amp;INDEX(ポート振替表!$L$5:$L$3507,$L556)&amp;"  ⇔  "&amp;INDEX(ポート振替表!$H$5:$H$3507,$L556)&amp;" "&amp;INDEX(ポート振替表!$I$5:$I$3507,$L556))</f>
        <v/>
      </c>
      <c r="G556" s="57" t="s">
        <v>158</v>
      </c>
      <c r="H556" s="32" t="str">
        <f aca="false">IF(L556="","",INDEX(ポート振替表!$N$5:$N$3507,$L556)&amp;"")</f>
        <v/>
      </c>
      <c r="I556" s="32" t="str">
        <f aca="false">IF(L556="","",INDEX(ポート振替表!$P$5:$P$3507,$L556)&amp;"")</f>
        <v/>
      </c>
      <c r="J556" s="60" t="str">
        <f aca="false">IF(L556="","",INDEX(ポート振替表!$M$5:$M$3507,$L556)&amp;"")</f>
        <v/>
      </c>
      <c r="K556" s="52" t="str">
        <f aca="false">IF(L556="","",E556&amp;CHAR(10)&amp;INDEX(ポート振替表!$K$5:$K$3507,$L556)&amp;" "&amp;INDEX(ポート振替表!$L$5:$L$3507,$L556)&amp;CHAR(10)&amp;"⇔ "&amp;INDEX(ポート振替表!$H$5:$H$3507,$L556)&amp;" "&amp;INDEX(ポート振替表!$I$5:$I$3507,$L556))</f>
        <v/>
      </c>
      <c r="L556" s="47" t="str">
        <f aca="false">IFERROR(MATCH(ROW()-4,ポート振替表!$V$5:$V$3507,0),"")</f>
        <v/>
      </c>
    </row>
    <row r="557" customFormat="false" ht="16.4" hidden="false" customHeight="false" outlineLevel="0" collapsed="false">
      <c r="A557" s="32" t="str">
        <f aca="false">IF(L557="","",ROW()-4)</f>
        <v/>
      </c>
      <c r="B557" s="58" t="str">
        <f aca="false">IF(L557="","",IF(INDEX(ポート振替表!$W$5:$W$3507,$L557)="","(なし)",INDEX(ポート振替表!$W$5:$W$3507,$L557)&amp;""))</f>
        <v/>
      </c>
      <c r="C557" s="52" t="str">
        <f aca="false">IF(L557="","",INDEX(ポート振替表!$B$5:$B$3507,$L557)&amp;" "&amp;INDEX(ポート振替表!$C$5:$C$3507,$L557)&amp;"  ⇔  "&amp;INDEX(ポート振替表!$H$5:$H$3507,$L557)&amp;" "&amp;INDEX(ポート振替表!$I$5:$I$3507,$L557))</f>
        <v/>
      </c>
      <c r="D557" s="57" t="s">
        <v>158</v>
      </c>
      <c r="E557" s="59" t="str">
        <f aca="false">IF(L557="","",IF(INDEX(ポート振替表!$O$5:$O$3507,$L557)="","(未設定)",INDEX(ポート振替表!$O$5:$O$3507,$L557)&amp;""))</f>
        <v/>
      </c>
      <c r="F557" s="52" t="str">
        <f aca="false">IF(L557="","",INDEX(ポート振替表!$K$5:$K$3507,$L557)&amp;" "&amp;INDEX(ポート振替表!$L$5:$L$3507,$L557)&amp;"  ⇔  "&amp;INDEX(ポート振替表!$H$5:$H$3507,$L557)&amp;" "&amp;INDEX(ポート振替表!$I$5:$I$3507,$L557))</f>
        <v/>
      </c>
      <c r="G557" s="57" t="s">
        <v>158</v>
      </c>
      <c r="H557" s="32" t="str">
        <f aca="false">IF(L557="","",INDEX(ポート振替表!$N$5:$N$3507,$L557)&amp;"")</f>
        <v/>
      </c>
      <c r="I557" s="32" t="str">
        <f aca="false">IF(L557="","",INDEX(ポート振替表!$P$5:$P$3507,$L557)&amp;"")</f>
        <v/>
      </c>
      <c r="J557" s="60" t="str">
        <f aca="false">IF(L557="","",INDEX(ポート振替表!$M$5:$M$3507,$L557)&amp;"")</f>
        <v/>
      </c>
      <c r="K557" s="52" t="str">
        <f aca="false">IF(L557="","",E557&amp;CHAR(10)&amp;INDEX(ポート振替表!$K$5:$K$3507,$L557)&amp;" "&amp;INDEX(ポート振替表!$L$5:$L$3507,$L557)&amp;CHAR(10)&amp;"⇔ "&amp;INDEX(ポート振替表!$H$5:$H$3507,$L557)&amp;" "&amp;INDEX(ポート振替表!$I$5:$I$3507,$L557))</f>
        <v/>
      </c>
      <c r="L557" s="47" t="str">
        <f aca="false">IFERROR(MATCH(ROW()-4,ポート振替表!$V$5:$V$3507,0),"")</f>
        <v/>
      </c>
    </row>
    <row r="558" customFormat="false" ht="16.4" hidden="false" customHeight="false" outlineLevel="0" collapsed="false">
      <c r="A558" s="32" t="str">
        <f aca="false">IF(L558="","",ROW()-4)</f>
        <v/>
      </c>
      <c r="B558" s="58" t="str">
        <f aca="false">IF(L558="","",IF(INDEX(ポート振替表!$W$5:$W$3507,$L558)="","(なし)",INDEX(ポート振替表!$W$5:$W$3507,$L558)&amp;""))</f>
        <v/>
      </c>
      <c r="C558" s="52" t="str">
        <f aca="false">IF(L558="","",INDEX(ポート振替表!$B$5:$B$3507,$L558)&amp;" "&amp;INDEX(ポート振替表!$C$5:$C$3507,$L558)&amp;"  ⇔  "&amp;INDEX(ポート振替表!$H$5:$H$3507,$L558)&amp;" "&amp;INDEX(ポート振替表!$I$5:$I$3507,$L558))</f>
        <v/>
      </c>
      <c r="D558" s="57" t="s">
        <v>158</v>
      </c>
      <c r="E558" s="59" t="str">
        <f aca="false">IF(L558="","",IF(INDEX(ポート振替表!$O$5:$O$3507,$L558)="","(未設定)",INDEX(ポート振替表!$O$5:$O$3507,$L558)&amp;""))</f>
        <v/>
      </c>
      <c r="F558" s="52" t="str">
        <f aca="false">IF(L558="","",INDEX(ポート振替表!$K$5:$K$3507,$L558)&amp;" "&amp;INDEX(ポート振替表!$L$5:$L$3507,$L558)&amp;"  ⇔  "&amp;INDEX(ポート振替表!$H$5:$H$3507,$L558)&amp;" "&amp;INDEX(ポート振替表!$I$5:$I$3507,$L558))</f>
        <v/>
      </c>
      <c r="G558" s="57" t="s">
        <v>158</v>
      </c>
      <c r="H558" s="32" t="str">
        <f aca="false">IF(L558="","",INDEX(ポート振替表!$N$5:$N$3507,$L558)&amp;"")</f>
        <v/>
      </c>
      <c r="I558" s="32" t="str">
        <f aca="false">IF(L558="","",INDEX(ポート振替表!$P$5:$P$3507,$L558)&amp;"")</f>
        <v/>
      </c>
      <c r="J558" s="60" t="str">
        <f aca="false">IF(L558="","",INDEX(ポート振替表!$M$5:$M$3507,$L558)&amp;"")</f>
        <v/>
      </c>
      <c r="K558" s="52" t="str">
        <f aca="false">IF(L558="","",E558&amp;CHAR(10)&amp;INDEX(ポート振替表!$K$5:$K$3507,$L558)&amp;" "&amp;INDEX(ポート振替表!$L$5:$L$3507,$L558)&amp;CHAR(10)&amp;"⇔ "&amp;INDEX(ポート振替表!$H$5:$H$3507,$L558)&amp;" "&amp;INDEX(ポート振替表!$I$5:$I$3507,$L558))</f>
        <v/>
      </c>
      <c r="L558" s="47" t="str">
        <f aca="false">IFERROR(MATCH(ROW()-4,ポート振替表!$V$5:$V$3507,0),"")</f>
        <v/>
      </c>
    </row>
    <row r="559" customFormat="false" ht="16.4" hidden="false" customHeight="false" outlineLevel="0" collapsed="false">
      <c r="A559" s="32" t="str">
        <f aca="false">IF(L559="","",ROW()-4)</f>
        <v/>
      </c>
      <c r="B559" s="58" t="str">
        <f aca="false">IF(L559="","",IF(INDEX(ポート振替表!$W$5:$W$3507,$L559)="","(なし)",INDEX(ポート振替表!$W$5:$W$3507,$L559)&amp;""))</f>
        <v/>
      </c>
      <c r="C559" s="52" t="str">
        <f aca="false">IF(L559="","",INDEX(ポート振替表!$B$5:$B$3507,$L559)&amp;" "&amp;INDEX(ポート振替表!$C$5:$C$3507,$L559)&amp;"  ⇔  "&amp;INDEX(ポート振替表!$H$5:$H$3507,$L559)&amp;" "&amp;INDEX(ポート振替表!$I$5:$I$3507,$L559))</f>
        <v/>
      </c>
      <c r="D559" s="57" t="s">
        <v>158</v>
      </c>
      <c r="E559" s="59" t="str">
        <f aca="false">IF(L559="","",IF(INDEX(ポート振替表!$O$5:$O$3507,$L559)="","(未設定)",INDEX(ポート振替表!$O$5:$O$3507,$L559)&amp;""))</f>
        <v/>
      </c>
      <c r="F559" s="52" t="str">
        <f aca="false">IF(L559="","",INDEX(ポート振替表!$K$5:$K$3507,$L559)&amp;" "&amp;INDEX(ポート振替表!$L$5:$L$3507,$L559)&amp;"  ⇔  "&amp;INDEX(ポート振替表!$H$5:$H$3507,$L559)&amp;" "&amp;INDEX(ポート振替表!$I$5:$I$3507,$L559))</f>
        <v/>
      </c>
      <c r="G559" s="57" t="s">
        <v>158</v>
      </c>
      <c r="H559" s="32" t="str">
        <f aca="false">IF(L559="","",INDEX(ポート振替表!$N$5:$N$3507,$L559)&amp;"")</f>
        <v/>
      </c>
      <c r="I559" s="32" t="str">
        <f aca="false">IF(L559="","",INDEX(ポート振替表!$P$5:$P$3507,$L559)&amp;"")</f>
        <v/>
      </c>
      <c r="J559" s="60" t="str">
        <f aca="false">IF(L559="","",INDEX(ポート振替表!$M$5:$M$3507,$L559)&amp;"")</f>
        <v/>
      </c>
      <c r="K559" s="52" t="str">
        <f aca="false">IF(L559="","",E559&amp;CHAR(10)&amp;INDEX(ポート振替表!$K$5:$K$3507,$L559)&amp;" "&amp;INDEX(ポート振替表!$L$5:$L$3507,$L559)&amp;CHAR(10)&amp;"⇔ "&amp;INDEX(ポート振替表!$H$5:$H$3507,$L559)&amp;" "&amp;INDEX(ポート振替表!$I$5:$I$3507,$L559))</f>
        <v/>
      </c>
      <c r="L559" s="47" t="str">
        <f aca="false">IFERROR(MATCH(ROW()-4,ポート振替表!$V$5:$V$3507,0),"")</f>
        <v/>
      </c>
    </row>
    <row r="560" customFormat="false" ht="16.4" hidden="false" customHeight="false" outlineLevel="0" collapsed="false">
      <c r="A560" s="32" t="str">
        <f aca="false">IF(L560="","",ROW()-4)</f>
        <v/>
      </c>
      <c r="B560" s="58" t="str">
        <f aca="false">IF(L560="","",IF(INDEX(ポート振替表!$W$5:$W$3507,$L560)="","(なし)",INDEX(ポート振替表!$W$5:$W$3507,$L560)&amp;""))</f>
        <v/>
      </c>
      <c r="C560" s="52" t="str">
        <f aca="false">IF(L560="","",INDEX(ポート振替表!$B$5:$B$3507,$L560)&amp;" "&amp;INDEX(ポート振替表!$C$5:$C$3507,$L560)&amp;"  ⇔  "&amp;INDEX(ポート振替表!$H$5:$H$3507,$L560)&amp;" "&amp;INDEX(ポート振替表!$I$5:$I$3507,$L560))</f>
        <v/>
      </c>
      <c r="D560" s="57" t="s">
        <v>158</v>
      </c>
      <c r="E560" s="59" t="str">
        <f aca="false">IF(L560="","",IF(INDEX(ポート振替表!$O$5:$O$3507,$L560)="","(未設定)",INDEX(ポート振替表!$O$5:$O$3507,$L560)&amp;""))</f>
        <v/>
      </c>
      <c r="F560" s="52" t="str">
        <f aca="false">IF(L560="","",INDEX(ポート振替表!$K$5:$K$3507,$L560)&amp;" "&amp;INDEX(ポート振替表!$L$5:$L$3507,$L560)&amp;"  ⇔  "&amp;INDEX(ポート振替表!$H$5:$H$3507,$L560)&amp;" "&amp;INDEX(ポート振替表!$I$5:$I$3507,$L560))</f>
        <v/>
      </c>
      <c r="G560" s="57" t="s">
        <v>158</v>
      </c>
      <c r="H560" s="32" t="str">
        <f aca="false">IF(L560="","",INDEX(ポート振替表!$N$5:$N$3507,$L560)&amp;"")</f>
        <v/>
      </c>
      <c r="I560" s="32" t="str">
        <f aca="false">IF(L560="","",INDEX(ポート振替表!$P$5:$P$3507,$L560)&amp;"")</f>
        <v/>
      </c>
      <c r="J560" s="60" t="str">
        <f aca="false">IF(L560="","",INDEX(ポート振替表!$M$5:$M$3507,$L560)&amp;"")</f>
        <v/>
      </c>
      <c r="K560" s="52" t="str">
        <f aca="false">IF(L560="","",E560&amp;CHAR(10)&amp;INDEX(ポート振替表!$K$5:$K$3507,$L560)&amp;" "&amp;INDEX(ポート振替表!$L$5:$L$3507,$L560)&amp;CHAR(10)&amp;"⇔ "&amp;INDEX(ポート振替表!$H$5:$H$3507,$L560)&amp;" "&amp;INDEX(ポート振替表!$I$5:$I$3507,$L560))</f>
        <v/>
      </c>
      <c r="L560" s="47" t="str">
        <f aca="false">IFERROR(MATCH(ROW()-4,ポート振替表!$V$5:$V$3507,0),"")</f>
        <v/>
      </c>
    </row>
    <row r="561" customFormat="false" ht="16.4" hidden="false" customHeight="false" outlineLevel="0" collapsed="false">
      <c r="A561" s="32" t="str">
        <f aca="false">IF(L561="","",ROW()-4)</f>
        <v/>
      </c>
      <c r="B561" s="58" t="str">
        <f aca="false">IF(L561="","",IF(INDEX(ポート振替表!$W$5:$W$3507,$L561)="","(なし)",INDEX(ポート振替表!$W$5:$W$3507,$L561)&amp;""))</f>
        <v/>
      </c>
      <c r="C561" s="52" t="str">
        <f aca="false">IF(L561="","",INDEX(ポート振替表!$B$5:$B$3507,$L561)&amp;" "&amp;INDEX(ポート振替表!$C$5:$C$3507,$L561)&amp;"  ⇔  "&amp;INDEX(ポート振替表!$H$5:$H$3507,$L561)&amp;" "&amp;INDEX(ポート振替表!$I$5:$I$3507,$L561))</f>
        <v/>
      </c>
      <c r="D561" s="57" t="s">
        <v>158</v>
      </c>
      <c r="E561" s="59" t="str">
        <f aca="false">IF(L561="","",IF(INDEX(ポート振替表!$O$5:$O$3507,$L561)="","(未設定)",INDEX(ポート振替表!$O$5:$O$3507,$L561)&amp;""))</f>
        <v/>
      </c>
      <c r="F561" s="52" t="str">
        <f aca="false">IF(L561="","",INDEX(ポート振替表!$K$5:$K$3507,$L561)&amp;" "&amp;INDEX(ポート振替表!$L$5:$L$3507,$L561)&amp;"  ⇔  "&amp;INDEX(ポート振替表!$H$5:$H$3507,$L561)&amp;" "&amp;INDEX(ポート振替表!$I$5:$I$3507,$L561))</f>
        <v/>
      </c>
      <c r="G561" s="57" t="s">
        <v>158</v>
      </c>
      <c r="H561" s="32" t="str">
        <f aca="false">IF(L561="","",INDEX(ポート振替表!$N$5:$N$3507,$L561)&amp;"")</f>
        <v/>
      </c>
      <c r="I561" s="32" t="str">
        <f aca="false">IF(L561="","",INDEX(ポート振替表!$P$5:$P$3507,$L561)&amp;"")</f>
        <v/>
      </c>
      <c r="J561" s="60" t="str">
        <f aca="false">IF(L561="","",INDEX(ポート振替表!$M$5:$M$3507,$L561)&amp;"")</f>
        <v/>
      </c>
      <c r="K561" s="52" t="str">
        <f aca="false">IF(L561="","",E561&amp;CHAR(10)&amp;INDEX(ポート振替表!$K$5:$K$3507,$L561)&amp;" "&amp;INDEX(ポート振替表!$L$5:$L$3507,$L561)&amp;CHAR(10)&amp;"⇔ "&amp;INDEX(ポート振替表!$H$5:$H$3507,$L561)&amp;" "&amp;INDEX(ポート振替表!$I$5:$I$3507,$L561))</f>
        <v/>
      </c>
      <c r="L561" s="47" t="str">
        <f aca="false">IFERROR(MATCH(ROW()-4,ポート振替表!$V$5:$V$3507,0),"")</f>
        <v/>
      </c>
    </row>
    <row r="562" customFormat="false" ht="16.4" hidden="false" customHeight="false" outlineLevel="0" collapsed="false">
      <c r="A562" s="32" t="str">
        <f aca="false">IF(L562="","",ROW()-4)</f>
        <v/>
      </c>
      <c r="B562" s="58" t="str">
        <f aca="false">IF(L562="","",IF(INDEX(ポート振替表!$W$5:$W$3507,$L562)="","(なし)",INDEX(ポート振替表!$W$5:$W$3507,$L562)&amp;""))</f>
        <v/>
      </c>
      <c r="C562" s="52" t="str">
        <f aca="false">IF(L562="","",INDEX(ポート振替表!$B$5:$B$3507,$L562)&amp;" "&amp;INDEX(ポート振替表!$C$5:$C$3507,$L562)&amp;"  ⇔  "&amp;INDEX(ポート振替表!$H$5:$H$3507,$L562)&amp;" "&amp;INDEX(ポート振替表!$I$5:$I$3507,$L562))</f>
        <v/>
      </c>
      <c r="D562" s="57" t="s">
        <v>158</v>
      </c>
      <c r="E562" s="59" t="str">
        <f aca="false">IF(L562="","",IF(INDEX(ポート振替表!$O$5:$O$3507,$L562)="","(未設定)",INDEX(ポート振替表!$O$5:$O$3507,$L562)&amp;""))</f>
        <v/>
      </c>
      <c r="F562" s="52" t="str">
        <f aca="false">IF(L562="","",INDEX(ポート振替表!$K$5:$K$3507,$L562)&amp;" "&amp;INDEX(ポート振替表!$L$5:$L$3507,$L562)&amp;"  ⇔  "&amp;INDEX(ポート振替表!$H$5:$H$3507,$L562)&amp;" "&amp;INDEX(ポート振替表!$I$5:$I$3507,$L562))</f>
        <v/>
      </c>
      <c r="G562" s="57" t="s">
        <v>158</v>
      </c>
      <c r="H562" s="32" t="str">
        <f aca="false">IF(L562="","",INDEX(ポート振替表!$N$5:$N$3507,$L562)&amp;"")</f>
        <v/>
      </c>
      <c r="I562" s="32" t="str">
        <f aca="false">IF(L562="","",INDEX(ポート振替表!$P$5:$P$3507,$L562)&amp;"")</f>
        <v/>
      </c>
      <c r="J562" s="60" t="str">
        <f aca="false">IF(L562="","",INDEX(ポート振替表!$M$5:$M$3507,$L562)&amp;"")</f>
        <v/>
      </c>
      <c r="K562" s="52" t="str">
        <f aca="false">IF(L562="","",E562&amp;CHAR(10)&amp;INDEX(ポート振替表!$K$5:$K$3507,$L562)&amp;" "&amp;INDEX(ポート振替表!$L$5:$L$3507,$L562)&amp;CHAR(10)&amp;"⇔ "&amp;INDEX(ポート振替表!$H$5:$H$3507,$L562)&amp;" "&amp;INDEX(ポート振替表!$I$5:$I$3507,$L562))</f>
        <v/>
      </c>
      <c r="L562" s="47" t="str">
        <f aca="false">IFERROR(MATCH(ROW()-4,ポート振替表!$V$5:$V$3507,0),"")</f>
        <v/>
      </c>
    </row>
    <row r="563" customFormat="false" ht="16.4" hidden="false" customHeight="false" outlineLevel="0" collapsed="false">
      <c r="A563" s="32" t="str">
        <f aca="false">IF(L563="","",ROW()-4)</f>
        <v/>
      </c>
      <c r="B563" s="58" t="str">
        <f aca="false">IF(L563="","",IF(INDEX(ポート振替表!$W$5:$W$3507,$L563)="","(なし)",INDEX(ポート振替表!$W$5:$W$3507,$L563)&amp;""))</f>
        <v/>
      </c>
      <c r="C563" s="52" t="str">
        <f aca="false">IF(L563="","",INDEX(ポート振替表!$B$5:$B$3507,$L563)&amp;" "&amp;INDEX(ポート振替表!$C$5:$C$3507,$L563)&amp;"  ⇔  "&amp;INDEX(ポート振替表!$H$5:$H$3507,$L563)&amp;" "&amp;INDEX(ポート振替表!$I$5:$I$3507,$L563))</f>
        <v/>
      </c>
      <c r="D563" s="57" t="s">
        <v>158</v>
      </c>
      <c r="E563" s="59" t="str">
        <f aca="false">IF(L563="","",IF(INDEX(ポート振替表!$O$5:$O$3507,$L563)="","(未設定)",INDEX(ポート振替表!$O$5:$O$3507,$L563)&amp;""))</f>
        <v/>
      </c>
      <c r="F563" s="52" t="str">
        <f aca="false">IF(L563="","",INDEX(ポート振替表!$K$5:$K$3507,$L563)&amp;" "&amp;INDEX(ポート振替表!$L$5:$L$3507,$L563)&amp;"  ⇔  "&amp;INDEX(ポート振替表!$H$5:$H$3507,$L563)&amp;" "&amp;INDEX(ポート振替表!$I$5:$I$3507,$L563))</f>
        <v/>
      </c>
      <c r="G563" s="57" t="s">
        <v>158</v>
      </c>
      <c r="H563" s="32" t="str">
        <f aca="false">IF(L563="","",INDEX(ポート振替表!$N$5:$N$3507,$L563)&amp;"")</f>
        <v/>
      </c>
      <c r="I563" s="32" t="str">
        <f aca="false">IF(L563="","",INDEX(ポート振替表!$P$5:$P$3507,$L563)&amp;"")</f>
        <v/>
      </c>
      <c r="J563" s="60" t="str">
        <f aca="false">IF(L563="","",INDEX(ポート振替表!$M$5:$M$3507,$L563)&amp;"")</f>
        <v/>
      </c>
      <c r="K563" s="52" t="str">
        <f aca="false">IF(L563="","",E563&amp;CHAR(10)&amp;INDEX(ポート振替表!$K$5:$K$3507,$L563)&amp;" "&amp;INDEX(ポート振替表!$L$5:$L$3507,$L563)&amp;CHAR(10)&amp;"⇔ "&amp;INDEX(ポート振替表!$H$5:$H$3507,$L563)&amp;" "&amp;INDEX(ポート振替表!$I$5:$I$3507,$L563))</f>
        <v/>
      </c>
      <c r="L563" s="47" t="str">
        <f aca="false">IFERROR(MATCH(ROW()-4,ポート振替表!$V$5:$V$3507,0),"")</f>
        <v/>
      </c>
    </row>
    <row r="564" customFormat="false" ht="16.4" hidden="false" customHeight="false" outlineLevel="0" collapsed="false">
      <c r="A564" s="32" t="str">
        <f aca="false">IF(L564="","",ROW()-4)</f>
        <v/>
      </c>
      <c r="B564" s="58" t="str">
        <f aca="false">IF(L564="","",IF(INDEX(ポート振替表!$W$5:$W$3507,$L564)="","(なし)",INDEX(ポート振替表!$W$5:$W$3507,$L564)&amp;""))</f>
        <v/>
      </c>
      <c r="C564" s="52" t="str">
        <f aca="false">IF(L564="","",INDEX(ポート振替表!$B$5:$B$3507,$L564)&amp;" "&amp;INDEX(ポート振替表!$C$5:$C$3507,$L564)&amp;"  ⇔  "&amp;INDEX(ポート振替表!$H$5:$H$3507,$L564)&amp;" "&amp;INDEX(ポート振替表!$I$5:$I$3507,$L564))</f>
        <v/>
      </c>
      <c r="D564" s="57" t="s">
        <v>158</v>
      </c>
      <c r="E564" s="59" t="str">
        <f aca="false">IF(L564="","",IF(INDEX(ポート振替表!$O$5:$O$3507,$L564)="","(未設定)",INDEX(ポート振替表!$O$5:$O$3507,$L564)&amp;""))</f>
        <v/>
      </c>
      <c r="F564" s="52" t="str">
        <f aca="false">IF(L564="","",INDEX(ポート振替表!$K$5:$K$3507,$L564)&amp;" "&amp;INDEX(ポート振替表!$L$5:$L$3507,$L564)&amp;"  ⇔  "&amp;INDEX(ポート振替表!$H$5:$H$3507,$L564)&amp;" "&amp;INDEX(ポート振替表!$I$5:$I$3507,$L564))</f>
        <v/>
      </c>
      <c r="G564" s="57" t="s">
        <v>158</v>
      </c>
      <c r="H564" s="32" t="str">
        <f aca="false">IF(L564="","",INDEX(ポート振替表!$N$5:$N$3507,$L564)&amp;"")</f>
        <v/>
      </c>
      <c r="I564" s="32" t="str">
        <f aca="false">IF(L564="","",INDEX(ポート振替表!$P$5:$P$3507,$L564)&amp;"")</f>
        <v/>
      </c>
      <c r="J564" s="60" t="str">
        <f aca="false">IF(L564="","",INDEX(ポート振替表!$M$5:$M$3507,$L564)&amp;"")</f>
        <v/>
      </c>
      <c r="K564" s="52" t="str">
        <f aca="false">IF(L564="","",E564&amp;CHAR(10)&amp;INDEX(ポート振替表!$K$5:$K$3507,$L564)&amp;" "&amp;INDEX(ポート振替表!$L$5:$L$3507,$L564)&amp;CHAR(10)&amp;"⇔ "&amp;INDEX(ポート振替表!$H$5:$H$3507,$L564)&amp;" "&amp;INDEX(ポート振替表!$I$5:$I$3507,$L564))</f>
        <v/>
      </c>
      <c r="L564" s="47" t="str">
        <f aca="false">IFERROR(MATCH(ROW()-4,ポート振替表!$V$5:$V$3507,0),"")</f>
        <v/>
      </c>
    </row>
    <row r="565" customFormat="false" ht="16.4" hidden="false" customHeight="false" outlineLevel="0" collapsed="false">
      <c r="A565" s="32" t="str">
        <f aca="false">IF(L565="","",ROW()-4)</f>
        <v/>
      </c>
      <c r="B565" s="58" t="str">
        <f aca="false">IF(L565="","",IF(INDEX(ポート振替表!$W$5:$W$3507,$L565)="","(なし)",INDEX(ポート振替表!$W$5:$W$3507,$L565)&amp;""))</f>
        <v/>
      </c>
      <c r="C565" s="52" t="str">
        <f aca="false">IF(L565="","",INDEX(ポート振替表!$B$5:$B$3507,$L565)&amp;" "&amp;INDEX(ポート振替表!$C$5:$C$3507,$L565)&amp;"  ⇔  "&amp;INDEX(ポート振替表!$H$5:$H$3507,$L565)&amp;" "&amp;INDEX(ポート振替表!$I$5:$I$3507,$L565))</f>
        <v/>
      </c>
      <c r="D565" s="57" t="s">
        <v>158</v>
      </c>
      <c r="E565" s="59" t="str">
        <f aca="false">IF(L565="","",IF(INDEX(ポート振替表!$O$5:$O$3507,$L565)="","(未設定)",INDEX(ポート振替表!$O$5:$O$3507,$L565)&amp;""))</f>
        <v/>
      </c>
      <c r="F565" s="52" t="str">
        <f aca="false">IF(L565="","",INDEX(ポート振替表!$K$5:$K$3507,$L565)&amp;" "&amp;INDEX(ポート振替表!$L$5:$L$3507,$L565)&amp;"  ⇔  "&amp;INDEX(ポート振替表!$H$5:$H$3507,$L565)&amp;" "&amp;INDEX(ポート振替表!$I$5:$I$3507,$L565))</f>
        <v/>
      </c>
      <c r="G565" s="57" t="s">
        <v>158</v>
      </c>
      <c r="H565" s="32" t="str">
        <f aca="false">IF(L565="","",INDEX(ポート振替表!$N$5:$N$3507,$L565)&amp;"")</f>
        <v/>
      </c>
      <c r="I565" s="32" t="str">
        <f aca="false">IF(L565="","",INDEX(ポート振替表!$P$5:$P$3507,$L565)&amp;"")</f>
        <v/>
      </c>
      <c r="J565" s="60" t="str">
        <f aca="false">IF(L565="","",INDEX(ポート振替表!$M$5:$M$3507,$L565)&amp;"")</f>
        <v/>
      </c>
      <c r="K565" s="52" t="str">
        <f aca="false">IF(L565="","",E565&amp;CHAR(10)&amp;INDEX(ポート振替表!$K$5:$K$3507,$L565)&amp;" "&amp;INDEX(ポート振替表!$L$5:$L$3507,$L565)&amp;CHAR(10)&amp;"⇔ "&amp;INDEX(ポート振替表!$H$5:$H$3507,$L565)&amp;" "&amp;INDEX(ポート振替表!$I$5:$I$3507,$L565))</f>
        <v/>
      </c>
      <c r="L565" s="47" t="str">
        <f aca="false">IFERROR(MATCH(ROW()-4,ポート振替表!$V$5:$V$3507,0),"")</f>
        <v/>
      </c>
    </row>
    <row r="566" customFormat="false" ht="16.4" hidden="false" customHeight="false" outlineLevel="0" collapsed="false">
      <c r="A566" s="32" t="str">
        <f aca="false">IF(L566="","",ROW()-4)</f>
        <v/>
      </c>
      <c r="B566" s="58" t="str">
        <f aca="false">IF(L566="","",IF(INDEX(ポート振替表!$W$5:$W$3507,$L566)="","(なし)",INDEX(ポート振替表!$W$5:$W$3507,$L566)&amp;""))</f>
        <v/>
      </c>
      <c r="C566" s="52" t="str">
        <f aca="false">IF(L566="","",INDEX(ポート振替表!$B$5:$B$3507,$L566)&amp;" "&amp;INDEX(ポート振替表!$C$5:$C$3507,$L566)&amp;"  ⇔  "&amp;INDEX(ポート振替表!$H$5:$H$3507,$L566)&amp;" "&amp;INDEX(ポート振替表!$I$5:$I$3507,$L566))</f>
        <v/>
      </c>
      <c r="D566" s="57" t="s">
        <v>158</v>
      </c>
      <c r="E566" s="59" t="str">
        <f aca="false">IF(L566="","",IF(INDEX(ポート振替表!$O$5:$O$3507,$L566)="","(未設定)",INDEX(ポート振替表!$O$5:$O$3507,$L566)&amp;""))</f>
        <v/>
      </c>
      <c r="F566" s="52" t="str">
        <f aca="false">IF(L566="","",INDEX(ポート振替表!$K$5:$K$3507,$L566)&amp;" "&amp;INDEX(ポート振替表!$L$5:$L$3507,$L566)&amp;"  ⇔  "&amp;INDEX(ポート振替表!$H$5:$H$3507,$L566)&amp;" "&amp;INDEX(ポート振替表!$I$5:$I$3507,$L566))</f>
        <v/>
      </c>
      <c r="G566" s="57" t="s">
        <v>158</v>
      </c>
      <c r="H566" s="32" t="str">
        <f aca="false">IF(L566="","",INDEX(ポート振替表!$N$5:$N$3507,$L566)&amp;"")</f>
        <v/>
      </c>
      <c r="I566" s="32" t="str">
        <f aca="false">IF(L566="","",INDEX(ポート振替表!$P$5:$P$3507,$L566)&amp;"")</f>
        <v/>
      </c>
      <c r="J566" s="60" t="str">
        <f aca="false">IF(L566="","",INDEX(ポート振替表!$M$5:$M$3507,$L566)&amp;"")</f>
        <v/>
      </c>
      <c r="K566" s="52" t="str">
        <f aca="false">IF(L566="","",E566&amp;CHAR(10)&amp;INDEX(ポート振替表!$K$5:$K$3507,$L566)&amp;" "&amp;INDEX(ポート振替表!$L$5:$L$3507,$L566)&amp;CHAR(10)&amp;"⇔ "&amp;INDEX(ポート振替表!$H$5:$H$3507,$L566)&amp;" "&amp;INDEX(ポート振替表!$I$5:$I$3507,$L566))</f>
        <v/>
      </c>
      <c r="L566" s="47" t="str">
        <f aca="false">IFERROR(MATCH(ROW()-4,ポート振替表!$V$5:$V$3507,0),"")</f>
        <v/>
      </c>
    </row>
    <row r="567" customFormat="false" ht="16.4" hidden="false" customHeight="false" outlineLevel="0" collapsed="false">
      <c r="A567" s="32" t="str">
        <f aca="false">IF(L567="","",ROW()-4)</f>
        <v/>
      </c>
      <c r="B567" s="58" t="str">
        <f aca="false">IF(L567="","",IF(INDEX(ポート振替表!$W$5:$W$3507,$L567)="","(なし)",INDEX(ポート振替表!$W$5:$W$3507,$L567)&amp;""))</f>
        <v/>
      </c>
      <c r="C567" s="52" t="str">
        <f aca="false">IF(L567="","",INDEX(ポート振替表!$B$5:$B$3507,$L567)&amp;" "&amp;INDEX(ポート振替表!$C$5:$C$3507,$L567)&amp;"  ⇔  "&amp;INDEX(ポート振替表!$H$5:$H$3507,$L567)&amp;" "&amp;INDEX(ポート振替表!$I$5:$I$3507,$L567))</f>
        <v/>
      </c>
      <c r="D567" s="57" t="s">
        <v>158</v>
      </c>
      <c r="E567" s="59" t="str">
        <f aca="false">IF(L567="","",IF(INDEX(ポート振替表!$O$5:$O$3507,$L567)="","(未設定)",INDEX(ポート振替表!$O$5:$O$3507,$L567)&amp;""))</f>
        <v/>
      </c>
      <c r="F567" s="52" t="str">
        <f aca="false">IF(L567="","",INDEX(ポート振替表!$K$5:$K$3507,$L567)&amp;" "&amp;INDEX(ポート振替表!$L$5:$L$3507,$L567)&amp;"  ⇔  "&amp;INDEX(ポート振替表!$H$5:$H$3507,$L567)&amp;" "&amp;INDEX(ポート振替表!$I$5:$I$3507,$L567))</f>
        <v/>
      </c>
      <c r="G567" s="57" t="s">
        <v>158</v>
      </c>
      <c r="H567" s="32" t="str">
        <f aca="false">IF(L567="","",INDEX(ポート振替表!$N$5:$N$3507,$L567)&amp;"")</f>
        <v/>
      </c>
      <c r="I567" s="32" t="str">
        <f aca="false">IF(L567="","",INDEX(ポート振替表!$P$5:$P$3507,$L567)&amp;"")</f>
        <v/>
      </c>
      <c r="J567" s="60" t="str">
        <f aca="false">IF(L567="","",INDEX(ポート振替表!$M$5:$M$3507,$L567)&amp;"")</f>
        <v/>
      </c>
      <c r="K567" s="52" t="str">
        <f aca="false">IF(L567="","",E567&amp;CHAR(10)&amp;INDEX(ポート振替表!$K$5:$K$3507,$L567)&amp;" "&amp;INDEX(ポート振替表!$L$5:$L$3507,$L567)&amp;CHAR(10)&amp;"⇔ "&amp;INDEX(ポート振替表!$H$5:$H$3507,$L567)&amp;" "&amp;INDEX(ポート振替表!$I$5:$I$3507,$L567))</f>
        <v/>
      </c>
      <c r="L567" s="47" t="str">
        <f aca="false">IFERROR(MATCH(ROW()-4,ポート振替表!$V$5:$V$3507,0),"")</f>
        <v/>
      </c>
    </row>
    <row r="568" customFormat="false" ht="16.4" hidden="false" customHeight="false" outlineLevel="0" collapsed="false">
      <c r="A568" s="32" t="str">
        <f aca="false">IF(L568="","",ROW()-4)</f>
        <v/>
      </c>
      <c r="B568" s="58" t="str">
        <f aca="false">IF(L568="","",IF(INDEX(ポート振替表!$W$5:$W$3507,$L568)="","(なし)",INDEX(ポート振替表!$W$5:$W$3507,$L568)&amp;""))</f>
        <v/>
      </c>
      <c r="C568" s="52" t="str">
        <f aca="false">IF(L568="","",INDEX(ポート振替表!$B$5:$B$3507,$L568)&amp;" "&amp;INDEX(ポート振替表!$C$5:$C$3507,$L568)&amp;"  ⇔  "&amp;INDEX(ポート振替表!$H$5:$H$3507,$L568)&amp;" "&amp;INDEX(ポート振替表!$I$5:$I$3507,$L568))</f>
        <v/>
      </c>
      <c r="D568" s="57" t="s">
        <v>158</v>
      </c>
      <c r="E568" s="59" t="str">
        <f aca="false">IF(L568="","",IF(INDEX(ポート振替表!$O$5:$O$3507,$L568)="","(未設定)",INDEX(ポート振替表!$O$5:$O$3507,$L568)&amp;""))</f>
        <v/>
      </c>
      <c r="F568" s="52" t="str">
        <f aca="false">IF(L568="","",INDEX(ポート振替表!$K$5:$K$3507,$L568)&amp;" "&amp;INDEX(ポート振替表!$L$5:$L$3507,$L568)&amp;"  ⇔  "&amp;INDEX(ポート振替表!$H$5:$H$3507,$L568)&amp;" "&amp;INDEX(ポート振替表!$I$5:$I$3507,$L568))</f>
        <v/>
      </c>
      <c r="G568" s="57" t="s">
        <v>158</v>
      </c>
      <c r="H568" s="32" t="str">
        <f aca="false">IF(L568="","",INDEX(ポート振替表!$N$5:$N$3507,$L568)&amp;"")</f>
        <v/>
      </c>
      <c r="I568" s="32" t="str">
        <f aca="false">IF(L568="","",INDEX(ポート振替表!$P$5:$P$3507,$L568)&amp;"")</f>
        <v/>
      </c>
      <c r="J568" s="60" t="str">
        <f aca="false">IF(L568="","",INDEX(ポート振替表!$M$5:$M$3507,$L568)&amp;"")</f>
        <v/>
      </c>
      <c r="K568" s="52" t="str">
        <f aca="false">IF(L568="","",E568&amp;CHAR(10)&amp;INDEX(ポート振替表!$K$5:$K$3507,$L568)&amp;" "&amp;INDEX(ポート振替表!$L$5:$L$3507,$L568)&amp;CHAR(10)&amp;"⇔ "&amp;INDEX(ポート振替表!$H$5:$H$3507,$L568)&amp;" "&amp;INDEX(ポート振替表!$I$5:$I$3507,$L568))</f>
        <v/>
      </c>
      <c r="L568" s="47" t="str">
        <f aca="false">IFERROR(MATCH(ROW()-4,ポート振替表!$V$5:$V$3507,0),"")</f>
        <v/>
      </c>
    </row>
    <row r="569" customFormat="false" ht="16.4" hidden="false" customHeight="false" outlineLevel="0" collapsed="false">
      <c r="A569" s="32" t="str">
        <f aca="false">IF(L569="","",ROW()-4)</f>
        <v/>
      </c>
      <c r="B569" s="58" t="str">
        <f aca="false">IF(L569="","",IF(INDEX(ポート振替表!$W$5:$W$3507,$L569)="","(なし)",INDEX(ポート振替表!$W$5:$W$3507,$L569)&amp;""))</f>
        <v/>
      </c>
      <c r="C569" s="52" t="str">
        <f aca="false">IF(L569="","",INDEX(ポート振替表!$B$5:$B$3507,$L569)&amp;" "&amp;INDEX(ポート振替表!$C$5:$C$3507,$L569)&amp;"  ⇔  "&amp;INDEX(ポート振替表!$H$5:$H$3507,$L569)&amp;" "&amp;INDEX(ポート振替表!$I$5:$I$3507,$L569))</f>
        <v/>
      </c>
      <c r="D569" s="57" t="s">
        <v>158</v>
      </c>
      <c r="E569" s="59" t="str">
        <f aca="false">IF(L569="","",IF(INDEX(ポート振替表!$O$5:$O$3507,$L569)="","(未設定)",INDEX(ポート振替表!$O$5:$O$3507,$L569)&amp;""))</f>
        <v/>
      </c>
      <c r="F569" s="52" t="str">
        <f aca="false">IF(L569="","",INDEX(ポート振替表!$K$5:$K$3507,$L569)&amp;" "&amp;INDEX(ポート振替表!$L$5:$L$3507,$L569)&amp;"  ⇔  "&amp;INDEX(ポート振替表!$H$5:$H$3507,$L569)&amp;" "&amp;INDEX(ポート振替表!$I$5:$I$3507,$L569))</f>
        <v/>
      </c>
      <c r="G569" s="57" t="s">
        <v>158</v>
      </c>
      <c r="H569" s="32" t="str">
        <f aca="false">IF(L569="","",INDEX(ポート振替表!$N$5:$N$3507,$L569)&amp;"")</f>
        <v/>
      </c>
      <c r="I569" s="32" t="str">
        <f aca="false">IF(L569="","",INDEX(ポート振替表!$P$5:$P$3507,$L569)&amp;"")</f>
        <v/>
      </c>
      <c r="J569" s="60" t="str">
        <f aca="false">IF(L569="","",INDEX(ポート振替表!$M$5:$M$3507,$L569)&amp;"")</f>
        <v/>
      </c>
      <c r="K569" s="52" t="str">
        <f aca="false">IF(L569="","",E569&amp;CHAR(10)&amp;INDEX(ポート振替表!$K$5:$K$3507,$L569)&amp;" "&amp;INDEX(ポート振替表!$L$5:$L$3507,$L569)&amp;CHAR(10)&amp;"⇔ "&amp;INDEX(ポート振替表!$H$5:$H$3507,$L569)&amp;" "&amp;INDEX(ポート振替表!$I$5:$I$3507,$L569))</f>
        <v/>
      </c>
      <c r="L569" s="47" t="str">
        <f aca="false">IFERROR(MATCH(ROW()-4,ポート振替表!$V$5:$V$3507,0),"")</f>
        <v/>
      </c>
    </row>
    <row r="570" customFormat="false" ht="16.4" hidden="false" customHeight="false" outlineLevel="0" collapsed="false">
      <c r="A570" s="32" t="str">
        <f aca="false">IF(L570="","",ROW()-4)</f>
        <v/>
      </c>
      <c r="B570" s="58" t="str">
        <f aca="false">IF(L570="","",IF(INDEX(ポート振替表!$W$5:$W$3507,$L570)="","(なし)",INDEX(ポート振替表!$W$5:$W$3507,$L570)&amp;""))</f>
        <v/>
      </c>
      <c r="C570" s="52" t="str">
        <f aca="false">IF(L570="","",INDEX(ポート振替表!$B$5:$B$3507,$L570)&amp;" "&amp;INDEX(ポート振替表!$C$5:$C$3507,$L570)&amp;"  ⇔  "&amp;INDEX(ポート振替表!$H$5:$H$3507,$L570)&amp;" "&amp;INDEX(ポート振替表!$I$5:$I$3507,$L570))</f>
        <v/>
      </c>
      <c r="D570" s="57" t="s">
        <v>158</v>
      </c>
      <c r="E570" s="59" t="str">
        <f aca="false">IF(L570="","",IF(INDEX(ポート振替表!$O$5:$O$3507,$L570)="","(未設定)",INDEX(ポート振替表!$O$5:$O$3507,$L570)&amp;""))</f>
        <v/>
      </c>
      <c r="F570" s="52" t="str">
        <f aca="false">IF(L570="","",INDEX(ポート振替表!$K$5:$K$3507,$L570)&amp;" "&amp;INDEX(ポート振替表!$L$5:$L$3507,$L570)&amp;"  ⇔  "&amp;INDEX(ポート振替表!$H$5:$H$3507,$L570)&amp;" "&amp;INDEX(ポート振替表!$I$5:$I$3507,$L570))</f>
        <v/>
      </c>
      <c r="G570" s="57" t="s">
        <v>158</v>
      </c>
      <c r="H570" s="32" t="str">
        <f aca="false">IF(L570="","",INDEX(ポート振替表!$N$5:$N$3507,$L570)&amp;"")</f>
        <v/>
      </c>
      <c r="I570" s="32" t="str">
        <f aca="false">IF(L570="","",INDEX(ポート振替表!$P$5:$P$3507,$L570)&amp;"")</f>
        <v/>
      </c>
      <c r="J570" s="60" t="str">
        <f aca="false">IF(L570="","",INDEX(ポート振替表!$M$5:$M$3507,$L570)&amp;"")</f>
        <v/>
      </c>
      <c r="K570" s="52" t="str">
        <f aca="false">IF(L570="","",E570&amp;CHAR(10)&amp;INDEX(ポート振替表!$K$5:$K$3507,$L570)&amp;" "&amp;INDEX(ポート振替表!$L$5:$L$3507,$L570)&amp;CHAR(10)&amp;"⇔ "&amp;INDEX(ポート振替表!$H$5:$H$3507,$L570)&amp;" "&amp;INDEX(ポート振替表!$I$5:$I$3507,$L570))</f>
        <v/>
      </c>
      <c r="L570" s="47" t="str">
        <f aca="false">IFERROR(MATCH(ROW()-4,ポート振替表!$V$5:$V$3507,0),"")</f>
        <v/>
      </c>
    </row>
    <row r="571" customFormat="false" ht="16.4" hidden="false" customHeight="false" outlineLevel="0" collapsed="false">
      <c r="A571" s="32" t="str">
        <f aca="false">IF(L571="","",ROW()-4)</f>
        <v/>
      </c>
      <c r="B571" s="58" t="str">
        <f aca="false">IF(L571="","",IF(INDEX(ポート振替表!$W$5:$W$3507,$L571)="","(なし)",INDEX(ポート振替表!$W$5:$W$3507,$L571)&amp;""))</f>
        <v/>
      </c>
      <c r="C571" s="52" t="str">
        <f aca="false">IF(L571="","",INDEX(ポート振替表!$B$5:$B$3507,$L571)&amp;" "&amp;INDEX(ポート振替表!$C$5:$C$3507,$L571)&amp;"  ⇔  "&amp;INDEX(ポート振替表!$H$5:$H$3507,$L571)&amp;" "&amp;INDEX(ポート振替表!$I$5:$I$3507,$L571))</f>
        <v/>
      </c>
      <c r="D571" s="57" t="s">
        <v>158</v>
      </c>
      <c r="E571" s="59" t="str">
        <f aca="false">IF(L571="","",IF(INDEX(ポート振替表!$O$5:$O$3507,$L571)="","(未設定)",INDEX(ポート振替表!$O$5:$O$3507,$L571)&amp;""))</f>
        <v/>
      </c>
      <c r="F571" s="52" t="str">
        <f aca="false">IF(L571="","",INDEX(ポート振替表!$K$5:$K$3507,$L571)&amp;" "&amp;INDEX(ポート振替表!$L$5:$L$3507,$L571)&amp;"  ⇔  "&amp;INDEX(ポート振替表!$H$5:$H$3507,$L571)&amp;" "&amp;INDEX(ポート振替表!$I$5:$I$3507,$L571))</f>
        <v/>
      </c>
      <c r="G571" s="57" t="s">
        <v>158</v>
      </c>
      <c r="H571" s="32" t="str">
        <f aca="false">IF(L571="","",INDEX(ポート振替表!$N$5:$N$3507,$L571)&amp;"")</f>
        <v/>
      </c>
      <c r="I571" s="32" t="str">
        <f aca="false">IF(L571="","",INDEX(ポート振替表!$P$5:$P$3507,$L571)&amp;"")</f>
        <v/>
      </c>
      <c r="J571" s="60" t="str">
        <f aca="false">IF(L571="","",INDEX(ポート振替表!$M$5:$M$3507,$L571)&amp;"")</f>
        <v/>
      </c>
      <c r="K571" s="52" t="str">
        <f aca="false">IF(L571="","",E571&amp;CHAR(10)&amp;INDEX(ポート振替表!$K$5:$K$3507,$L571)&amp;" "&amp;INDEX(ポート振替表!$L$5:$L$3507,$L571)&amp;CHAR(10)&amp;"⇔ "&amp;INDEX(ポート振替表!$H$5:$H$3507,$L571)&amp;" "&amp;INDEX(ポート振替表!$I$5:$I$3507,$L571))</f>
        <v/>
      </c>
      <c r="L571" s="47" t="str">
        <f aca="false">IFERROR(MATCH(ROW()-4,ポート振替表!$V$5:$V$3507,0),"")</f>
        <v/>
      </c>
    </row>
    <row r="572" customFormat="false" ht="16.4" hidden="false" customHeight="false" outlineLevel="0" collapsed="false">
      <c r="A572" s="32" t="str">
        <f aca="false">IF(L572="","",ROW()-4)</f>
        <v/>
      </c>
      <c r="B572" s="58" t="str">
        <f aca="false">IF(L572="","",IF(INDEX(ポート振替表!$W$5:$W$3507,$L572)="","(なし)",INDEX(ポート振替表!$W$5:$W$3507,$L572)&amp;""))</f>
        <v/>
      </c>
      <c r="C572" s="52" t="str">
        <f aca="false">IF(L572="","",INDEX(ポート振替表!$B$5:$B$3507,$L572)&amp;" "&amp;INDEX(ポート振替表!$C$5:$C$3507,$L572)&amp;"  ⇔  "&amp;INDEX(ポート振替表!$H$5:$H$3507,$L572)&amp;" "&amp;INDEX(ポート振替表!$I$5:$I$3507,$L572))</f>
        <v/>
      </c>
      <c r="D572" s="57" t="s">
        <v>158</v>
      </c>
      <c r="E572" s="59" t="str">
        <f aca="false">IF(L572="","",IF(INDEX(ポート振替表!$O$5:$O$3507,$L572)="","(未設定)",INDEX(ポート振替表!$O$5:$O$3507,$L572)&amp;""))</f>
        <v/>
      </c>
      <c r="F572" s="52" t="str">
        <f aca="false">IF(L572="","",INDEX(ポート振替表!$K$5:$K$3507,$L572)&amp;" "&amp;INDEX(ポート振替表!$L$5:$L$3507,$L572)&amp;"  ⇔  "&amp;INDEX(ポート振替表!$H$5:$H$3507,$L572)&amp;" "&amp;INDEX(ポート振替表!$I$5:$I$3507,$L572))</f>
        <v/>
      </c>
      <c r="G572" s="57" t="s">
        <v>158</v>
      </c>
      <c r="H572" s="32" t="str">
        <f aca="false">IF(L572="","",INDEX(ポート振替表!$N$5:$N$3507,$L572)&amp;"")</f>
        <v/>
      </c>
      <c r="I572" s="32" t="str">
        <f aca="false">IF(L572="","",INDEX(ポート振替表!$P$5:$P$3507,$L572)&amp;"")</f>
        <v/>
      </c>
      <c r="J572" s="60" t="str">
        <f aca="false">IF(L572="","",INDEX(ポート振替表!$M$5:$M$3507,$L572)&amp;"")</f>
        <v/>
      </c>
      <c r="K572" s="52" t="str">
        <f aca="false">IF(L572="","",E572&amp;CHAR(10)&amp;INDEX(ポート振替表!$K$5:$K$3507,$L572)&amp;" "&amp;INDEX(ポート振替表!$L$5:$L$3507,$L572)&amp;CHAR(10)&amp;"⇔ "&amp;INDEX(ポート振替表!$H$5:$H$3507,$L572)&amp;" "&amp;INDEX(ポート振替表!$I$5:$I$3507,$L572))</f>
        <v/>
      </c>
      <c r="L572" s="47" t="str">
        <f aca="false">IFERROR(MATCH(ROW()-4,ポート振替表!$V$5:$V$3507,0),"")</f>
        <v/>
      </c>
    </row>
    <row r="573" customFormat="false" ht="16.4" hidden="false" customHeight="false" outlineLevel="0" collapsed="false">
      <c r="A573" s="32" t="str">
        <f aca="false">IF(L573="","",ROW()-4)</f>
        <v/>
      </c>
      <c r="B573" s="58" t="str">
        <f aca="false">IF(L573="","",IF(INDEX(ポート振替表!$W$5:$W$3507,$L573)="","(なし)",INDEX(ポート振替表!$W$5:$W$3507,$L573)&amp;""))</f>
        <v/>
      </c>
      <c r="C573" s="52" t="str">
        <f aca="false">IF(L573="","",INDEX(ポート振替表!$B$5:$B$3507,$L573)&amp;" "&amp;INDEX(ポート振替表!$C$5:$C$3507,$L573)&amp;"  ⇔  "&amp;INDEX(ポート振替表!$H$5:$H$3507,$L573)&amp;" "&amp;INDEX(ポート振替表!$I$5:$I$3507,$L573))</f>
        <v/>
      </c>
      <c r="D573" s="57" t="s">
        <v>158</v>
      </c>
      <c r="E573" s="59" t="str">
        <f aca="false">IF(L573="","",IF(INDEX(ポート振替表!$O$5:$O$3507,$L573)="","(未設定)",INDEX(ポート振替表!$O$5:$O$3507,$L573)&amp;""))</f>
        <v/>
      </c>
      <c r="F573" s="52" t="str">
        <f aca="false">IF(L573="","",INDEX(ポート振替表!$K$5:$K$3507,$L573)&amp;" "&amp;INDEX(ポート振替表!$L$5:$L$3507,$L573)&amp;"  ⇔  "&amp;INDEX(ポート振替表!$H$5:$H$3507,$L573)&amp;" "&amp;INDEX(ポート振替表!$I$5:$I$3507,$L573))</f>
        <v/>
      </c>
      <c r="G573" s="57" t="s">
        <v>158</v>
      </c>
      <c r="H573" s="32" t="str">
        <f aca="false">IF(L573="","",INDEX(ポート振替表!$N$5:$N$3507,$L573)&amp;"")</f>
        <v/>
      </c>
      <c r="I573" s="32" t="str">
        <f aca="false">IF(L573="","",INDEX(ポート振替表!$P$5:$P$3507,$L573)&amp;"")</f>
        <v/>
      </c>
      <c r="J573" s="60" t="str">
        <f aca="false">IF(L573="","",INDEX(ポート振替表!$M$5:$M$3507,$L573)&amp;"")</f>
        <v/>
      </c>
      <c r="K573" s="52" t="str">
        <f aca="false">IF(L573="","",E573&amp;CHAR(10)&amp;INDEX(ポート振替表!$K$5:$K$3507,$L573)&amp;" "&amp;INDEX(ポート振替表!$L$5:$L$3507,$L573)&amp;CHAR(10)&amp;"⇔ "&amp;INDEX(ポート振替表!$H$5:$H$3507,$L573)&amp;" "&amp;INDEX(ポート振替表!$I$5:$I$3507,$L573))</f>
        <v/>
      </c>
      <c r="L573" s="47" t="str">
        <f aca="false">IFERROR(MATCH(ROW()-4,ポート振替表!$V$5:$V$3507,0),"")</f>
        <v/>
      </c>
    </row>
    <row r="574" customFormat="false" ht="16.4" hidden="false" customHeight="false" outlineLevel="0" collapsed="false">
      <c r="A574" s="32" t="str">
        <f aca="false">IF(L574="","",ROW()-4)</f>
        <v/>
      </c>
      <c r="B574" s="58" t="str">
        <f aca="false">IF(L574="","",IF(INDEX(ポート振替表!$W$5:$W$3507,$L574)="","(なし)",INDEX(ポート振替表!$W$5:$W$3507,$L574)&amp;""))</f>
        <v/>
      </c>
      <c r="C574" s="52" t="str">
        <f aca="false">IF(L574="","",INDEX(ポート振替表!$B$5:$B$3507,$L574)&amp;" "&amp;INDEX(ポート振替表!$C$5:$C$3507,$L574)&amp;"  ⇔  "&amp;INDEX(ポート振替表!$H$5:$H$3507,$L574)&amp;" "&amp;INDEX(ポート振替表!$I$5:$I$3507,$L574))</f>
        <v/>
      </c>
      <c r="D574" s="57" t="s">
        <v>158</v>
      </c>
      <c r="E574" s="59" t="str">
        <f aca="false">IF(L574="","",IF(INDEX(ポート振替表!$O$5:$O$3507,$L574)="","(未設定)",INDEX(ポート振替表!$O$5:$O$3507,$L574)&amp;""))</f>
        <v/>
      </c>
      <c r="F574" s="52" t="str">
        <f aca="false">IF(L574="","",INDEX(ポート振替表!$K$5:$K$3507,$L574)&amp;" "&amp;INDEX(ポート振替表!$L$5:$L$3507,$L574)&amp;"  ⇔  "&amp;INDEX(ポート振替表!$H$5:$H$3507,$L574)&amp;" "&amp;INDEX(ポート振替表!$I$5:$I$3507,$L574))</f>
        <v/>
      </c>
      <c r="G574" s="57" t="s">
        <v>158</v>
      </c>
      <c r="H574" s="32" t="str">
        <f aca="false">IF(L574="","",INDEX(ポート振替表!$N$5:$N$3507,$L574)&amp;"")</f>
        <v/>
      </c>
      <c r="I574" s="32" t="str">
        <f aca="false">IF(L574="","",INDEX(ポート振替表!$P$5:$P$3507,$L574)&amp;"")</f>
        <v/>
      </c>
      <c r="J574" s="60" t="str">
        <f aca="false">IF(L574="","",INDEX(ポート振替表!$M$5:$M$3507,$L574)&amp;"")</f>
        <v/>
      </c>
      <c r="K574" s="52" t="str">
        <f aca="false">IF(L574="","",E574&amp;CHAR(10)&amp;INDEX(ポート振替表!$K$5:$K$3507,$L574)&amp;" "&amp;INDEX(ポート振替表!$L$5:$L$3507,$L574)&amp;CHAR(10)&amp;"⇔ "&amp;INDEX(ポート振替表!$H$5:$H$3507,$L574)&amp;" "&amp;INDEX(ポート振替表!$I$5:$I$3507,$L574))</f>
        <v/>
      </c>
      <c r="L574" s="47" t="str">
        <f aca="false">IFERROR(MATCH(ROW()-4,ポート振替表!$V$5:$V$3507,0),"")</f>
        <v/>
      </c>
    </row>
    <row r="575" customFormat="false" ht="16.4" hidden="false" customHeight="false" outlineLevel="0" collapsed="false">
      <c r="A575" s="32" t="str">
        <f aca="false">IF(L575="","",ROW()-4)</f>
        <v/>
      </c>
      <c r="B575" s="58" t="str">
        <f aca="false">IF(L575="","",IF(INDEX(ポート振替表!$W$5:$W$3507,$L575)="","(なし)",INDEX(ポート振替表!$W$5:$W$3507,$L575)&amp;""))</f>
        <v/>
      </c>
      <c r="C575" s="52" t="str">
        <f aca="false">IF(L575="","",INDEX(ポート振替表!$B$5:$B$3507,$L575)&amp;" "&amp;INDEX(ポート振替表!$C$5:$C$3507,$L575)&amp;"  ⇔  "&amp;INDEX(ポート振替表!$H$5:$H$3507,$L575)&amp;" "&amp;INDEX(ポート振替表!$I$5:$I$3507,$L575))</f>
        <v/>
      </c>
      <c r="D575" s="57" t="s">
        <v>158</v>
      </c>
      <c r="E575" s="59" t="str">
        <f aca="false">IF(L575="","",IF(INDEX(ポート振替表!$O$5:$O$3507,$L575)="","(未設定)",INDEX(ポート振替表!$O$5:$O$3507,$L575)&amp;""))</f>
        <v/>
      </c>
      <c r="F575" s="52" t="str">
        <f aca="false">IF(L575="","",INDEX(ポート振替表!$K$5:$K$3507,$L575)&amp;" "&amp;INDEX(ポート振替表!$L$5:$L$3507,$L575)&amp;"  ⇔  "&amp;INDEX(ポート振替表!$H$5:$H$3507,$L575)&amp;" "&amp;INDEX(ポート振替表!$I$5:$I$3507,$L575))</f>
        <v/>
      </c>
      <c r="G575" s="57" t="s">
        <v>158</v>
      </c>
      <c r="H575" s="32" t="str">
        <f aca="false">IF(L575="","",INDEX(ポート振替表!$N$5:$N$3507,$L575)&amp;"")</f>
        <v/>
      </c>
      <c r="I575" s="32" t="str">
        <f aca="false">IF(L575="","",INDEX(ポート振替表!$P$5:$P$3507,$L575)&amp;"")</f>
        <v/>
      </c>
      <c r="J575" s="60" t="str">
        <f aca="false">IF(L575="","",INDEX(ポート振替表!$M$5:$M$3507,$L575)&amp;"")</f>
        <v/>
      </c>
      <c r="K575" s="52" t="str">
        <f aca="false">IF(L575="","",E575&amp;CHAR(10)&amp;INDEX(ポート振替表!$K$5:$K$3507,$L575)&amp;" "&amp;INDEX(ポート振替表!$L$5:$L$3507,$L575)&amp;CHAR(10)&amp;"⇔ "&amp;INDEX(ポート振替表!$H$5:$H$3507,$L575)&amp;" "&amp;INDEX(ポート振替表!$I$5:$I$3507,$L575))</f>
        <v/>
      </c>
      <c r="L575" s="47" t="str">
        <f aca="false">IFERROR(MATCH(ROW()-4,ポート振替表!$V$5:$V$3507,0),"")</f>
        <v/>
      </c>
    </row>
    <row r="576" customFormat="false" ht="16.4" hidden="false" customHeight="false" outlineLevel="0" collapsed="false">
      <c r="A576" s="32" t="str">
        <f aca="false">IF(L576="","",ROW()-4)</f>
        <v/>
      </c>
      <c r="B576" s="58" t="str">
        <f aca="false">IF(L576="","",IF(INDEX(ポート振替表!$W$5:$W$3507,$L576)="","(なし)",INDEX(ポート振替表!$W$5:$W$3507,$L576)&amp;""))</f>
        <v/>
      </c>
      <c r="C576" s="52" t="str">
        <f aca="false">IF(L576="","",INDEX(ポート振替表!$B$5:$B$3507,$L576)&amp;" "&amp;INDEX(ポート振替表!$C$5:$C$3507,$L576)&amp;"  ⇔  "&amp;INDEX(ポート振替表!$H$5:$H$3507,$L576)&amp;" "&amp;INDEX(ポート振替表!$I$5:$I$3507,$L576))</f>
        <v/>
      </c>
      <c r="D576" s="57" t="s">
        <v>158</v>
      </c>
      <c r="E576" s="59" t="str">
        <f aca="false">IF(L576="","",IF(INDEX(ポート振替表!$O$5:$O$3507,$L576)="","(未設定)",INDEX(ポート振替表!$O$5:$O$3507,$L576)&amp;""))</f>
        <v/>
      </c>
      <c r="F576" s="52" t="str">
        <f aca="false">IF(L576="","",INDEX(ポート振替表!$K$5:$K$3507,$L576)&amp;" "&amp;INDEX(ポート振替表!$L$5:$L$3507,$L576)&amp;"  ⇔  "&amp;INDEX(ポート振替表!$H$5:$H$3507,$L576)&amp;" "&amp;INDEX(ポート振替表!$I$5:$I$3507,$L576))</f>
        <v/>
      </c>
      <c r="G576" s="57" t="s">
        <v>158</v>
      </c>
      <c r="H576" s="32" t="str">
        <f aca="false">IF(L576="","",INDEX(ポート振替表!$N$5:$N$3507,$L576)&amp;"")</f>
        <v/>
      </c>
      <c r="I576" s="32" t="str">
        <f aca="false">IF(L576="","",INDEX(ポート振替表!$P$5:$P$3507,$L576)&amp;"")</f>
        <v/>
      </c>
      <c r="J576" s="60" t="str">
        <f aca="false">IF(L576="","",INDEX(ポート振替表!$M$5:$M$3507,$L576)&amp;"")</f>
        <v/>
      </c>
      <c r="K576" s="52" t="str">
        <f aca="false">IF(L576="","",E576&amp;CHAR(10)&amp;INDEX(ポート振替表!$K$5:$K$3507,$L576)&amp;" "&amp;INDEX(ポート振替表!$L$5:$L$3507,$L576)&amp;CHAR(10)&amp;"⇔ "&amp;INDEX(ポート振替表!$H$5:$H$3507,$L576)&amp;" "&amp;INDEX(ポート振替表!$I$5:$I$3507,$L576))</f>
        <v/>
      </c>
      <c r="L576" s="47" t="str">
        <f aca="false">IFERROR(MATCH(ROW()-4,ポート振替表!$V$5:$V$3507,0),"")</f>
        <v/>
      </c>
    </row>
    <row r="577" customFormat="false" ht="16.4" hidden="false" customHeight="false" outlineLevel="0" collapsed="false">
      <c r="A577" s="32" t="str">
        <f aca="false">IF(L577="","",ROW()-4)</f>
        <v/>
      </c>
      <c r="B577" s="58" t="str">
        <f aca="false">IF(L577="","",IF(INDEX(ポート振替表!$W$5:$W$3507,$L577)="","(なし)",INDEX(ポート振替表!$W$5:$W$3507,$L577)&amp;""))</f>
        <v/>
      </c>
      <c r="C577" s="52" t="str">
        <f aca="false">IF(L577="","",INDEX(ポート振替表!$B$5:$B$3507,$L577)&amp;" "&amp;INDEX(ポート振替表!$C$5:$C$3507,$L577)&amp;"  ⇔  "&amp;INDEX(ポート振替表!$H$5:$H$3507,$L577)&amp;" "&amp;INDEX(ポート振替表!$I$5:$I$3507,$L577))</f>
        <v/>
      </c>
      <c r="D577" s="57" t="s">
        <v>158</v>
      </c>
      <c r="E577" s="59" t="str">
        <f aca="false">IF(L577="","",IF(INDEX(ポート振替表!$O$5:$O$3507,$L577)="","(未設定)",INDEX(ポート振替表!$O$5:$O$3507,$L577)&amp;""))</f>
        <v/>
      </c>
      <c r="F577" s="52" t="str">
        <f aca="false">IF(L577="","",INDEX(ポート振替表!$K$5:$K$3507,$L577)&amp;" "&amp;INDEX(ポート振替表!$L$5:$L$3507,$L577)&amp;"  ⇔  "&amp;INDEX(ポート振替表!$H$5:$H$3507,$L577)&amp;" "&amp;INDEX(ポート振替表!$I$5:$I$3507,$L577))</f>
        <v/>
      </c>
      <c r="G577" s="57" t="s">
        <v>158</v>
      </c>
      <c r="H577" s="32" t="str">
        <f aca="false">IF(L577="","",INDEX(ポート振替表!$N$5:$N$3507,$L577)&amp;"")</f>
        <v/>
      </c>
      <c r="I577" s="32" t="str">
        <f aca="false">IF(L577="","",INDEX(ポート振替表!$P$5:$P$3507,$L577)&amp;"")</f>
        <v/>
      </c>
      <c r="J577" s="60" t="str">
        <f aca="false">IF(L577="","",INDEX(ポート振替表!$M$5:$M$3507,$L577)&amp;"")</f>
        <v/>
      </c>
      <c r="K577" s="52" t="str">
        <f aca="false">IF(L577="","",E577&amp;CHAR(10)&amp;INDEX(ポート振替表!$K$5:$K$3507,$L577)&amp;" "&amp;INDEX(ポート振替表!$L$5:$L$3507,$L577)&amp;CHAR(10)&amp;"⇔ "&amp;INDEX(ポート振替表!$H$5:$H$3507,$L577)&amp;" "&amp;INDEX(ポート振替表!$I$5:$I$3507,$L577))</f>
        <v/>
      </c>
      <c r="L577" s="47" t="str">
        <f aca="false">IFERROR(MATCH(ROW()-4,ポート振替表!$V$5:$V$3507,0),"")</f>
        <v/>
      </c>
    </row>
    <row r="578" customFormat="false" ht="16.4" hidden="false" customHeight="false" outlineLevel="0" collapsed="false">
      <c r="A578" s="32" t="str">
        <f aca="false">IF(L578="","",ROW()-4)</f>
        <v/>
      </c>
      <c r="B578" s="58" t="str">
        <f aca="false">IF(L578="","",IF(INDEX(ポート振替表!$W$5:$W$3507,$L578)="","(なし)",INDEX(ポート振替表!$W$5:$W$3507,$L578)&amp;""))</f>
        <v/>
      </c>
      <c r="C578" s="52" t="str">
        <f aca="false">IF(L578="","",INDEX(ポート振替表!$B$5:$B$3507,$L578)&amp;" "&amp;INDEX(ポート振替表!$C$5:$C$3507,$L578)&amp;"  ⇔  "&amp;INDEX(ポート振替表!$H$5:$H$3507,$L578)&amp;" "&amp;INDEX(ポート振替表!$I$5:$I$3507,$L578))</f>
        <v/>
      </c>
      <c r="D578" s="57" t="s">
        <v>158</v>
      </c>
      <c r="E578" s="59" t="str">
        <f aca="false">IF(L578="","",IF(INDEX(ポート振替表!$O$5:$O$3507,$L578)="","(未設定)",INDEX(ポート振替表!$O$5:$O$3507,$L578)&amp;""))</f>
        <v/>
      </c>
      <c r="F578" s="52" t="str">
        <f aca="false">IF(L578="","",INDEX(ポート振替表!$K$5:$K$3507,$L578)&amp;" "&amp;INDEX(ポート振替表!$L$5:$L$3507,$L578)&amp;"  ⇔  "&amp;INDEX(ポート振替表!$H$5:$H$3507,$L578)&amp;" "&amp;INDEX(ポート振替表!$I$5:$I$3507,$L578))</f>
        <v/>
      </c>
      <c r="G578" s="57" t="s">
        <v>158</v>
      </c>
      <c r="H578" s="32" t="str">
        <f aca="false">IF(L578="","",INDEX(ポート振替表!$N$5:$N$3507,$L578)&amp;"")</f>
        <v/>
      </c>
      <c r="I578" s="32" t="str">
        <f aca="false">IF(L578="","",INDEX(ポート振替表!$P$5:$P$3507,$L578)&amp;"")</f>
        <v/>
      </c>
      <c r="J578" s="60" t="str">
        <f aca="false">IF(L578="","",INDEX(ポート振替表!$M$5:$M$3507,$L578)&amp;"")</f>
        <v/>
      </c>
      <c r="K578" s="52" t="str">
        <f aca="false">IF(L578="","",E578&amp;CHAR(10)&amp;INDEX(ポート振替表!$K$5:$K$3507,$L578)&amp;" "&amp;INDEX(ポート振替表!$L$5:$L$3507,$L578)&amp;CHAR(10)&amp;"⇔ "&amp;INDEX(ポート振替表!$H$5:$H$3507,$L578)&amp;" "&amp;INDEX(ポート振替表!$I$5:$I$3507,$L578))</f>
        <v/>
      </c>
      <c r="L578" s="47" t="str">
        <f aca="false">IFERROR(MATCH(ROW()-4,ポート振替表!$V$5:$V$3507,0),"")</f>
        <v/>
      </c>
    </row>
    <row r="579" customFormat="false" ht="16.4" hidden="false" customHeight="false" outlineLevel="0" collapsed="false">
      <c r="A579" s="32" t="str">
        <f aca="false">IF(L579="","",ROW()-4)</f>
        <v/>
      </c>
      <c r="B579" s="58" t="str">
        <f aca="false">IF(L579="","",IF(INDEX(ポート振替表!$W$5:$W$3507,$L579)="","(なし)",INDEX(ポート振替表!$W$5:$W$3507,$L579)&amp;""))</f>
        <v/>
      </c>
      <c r="C579" s="52" t="str">
        <f aca="false">IF(L579="","",INDEX(ポート振替表!$B$5:$B$3507,$L579)&amp;" "&amp;INDEX(ポート振替表!$C$5:$C$3507,$L579)&amp;"  ⇔  "&amp;INDEX(ポート振替表!$H$5:$H$3507,$L579)&amp;" "&amp;INDEX(ポート振替表!$I$5:$I$3507,$L579))</f>
        <v/>
      </c>
      <c r="D579" s="57" t="s">
        <v>158</v>
      </c>
      <c r="E579" s="59" t="str">
        <f aca="false">IF(L579="","",IF(INDEX(ポート振替表!$O$5:$O$3507,$L579)="","(未設定)",INDEX(ポート振替表!$O$5:$O$3507,$L579)&amp;""))</f>
        <v/>
      </c>
      <c r="F579" s="52" t="str">
        <f aca="false">IF(L579="","",INDEX(ポート振替表!$K$5:$K$3507,$L579)&amp;" "&amp;INDEX(ポート振替表!$L$5:$L$3507,$L579)&amp;"  ⇔  "&amp;INDEX(ポート振替表!$H$5:$H$3507,$L579)&amp;" "&amp;INDEX(ポート振替表!$I$5:$I$3507,$L579))</f>
        <v/>
      </c>
      <c r="G579" s="57" t="s">
        <v>158</v>
      </c>
      <c r="H579" s="32" t="str">
        <f aca="false">IF(L579="","",INDEX(ポート振替表!$N$5:$N$3507,$L579)&amp;"")</f>
        <v/>
      </c>
      <c r="I579" s="32" t="str">
        <f aca="false">IF(L579="","",INDEX(ポート振替表!$P$5:$P$3507,$L579)&amp;"")</f>
        <v/>
      </c>
      <c r="J579" s="60" t="str">
        <f aca="false">IF(L579="","",INDEX(ポート振替表!$M$5:$M$3507,$L579)&amp;"")</f>
        <v/>
      </c>
      <c r="K579" s="52" t="str">
        <f aca="false">IF(L579="","",E579&amp;CHAR(10)&amp;INDEX(ポート振替表!$K$5:$K$3507,$L579)&amp;" "&amp;INDEX(ポート振替表!$L$5:$L$3507,$L579)&amp;CHAR(10)&amp;"⇔ "&amp;INDEX(ポート振替表!$H$5:$H$3507,$L579)&amp;" "&amp;INDEX(ポート振替表!$I$5:$I$3507,$L579))</f>
        <v/>
      </c>
      <c r="L579" s="47" t="str">
        <f aca="false">IFERROR(MATCH(ROW()-4,ポート振替表!$V$5:$V$3507,0),"")</f>
        <v/>
      </c>
    </row>
    <row r="580" customFormat="false" ht="16.4" hidden="false" customHeight="false" outlineLevel="0" collapsed="false">
      <c r="A580" s="32" t="str">
        <f aca="false">IF(L580="","",ROW()-4)</f>
        <v/>
      </c>
      <c r="B580" s="58" t="str">
        <f aca="false">IF(L580="","",IF(INDEX(ポート振替表!$W$5:$W$3507,$L580)="","(なし)",INDEX(ポート振替表!$W$5:$W$3507,$L580)&amp;""))</f>
        <v/>
      </c>
      <c r="C580" s="52" t="str">
        <f aca="false">IF(L580="","",INDEX(ポート振替表!$B$5:$B$3507,$L580)&amp;" "&amp;INDEX(ポート振替表!$C$5:$C$3507,$L580)&amp;"  ⇔  "&amp;INDEX(ポート振替表!$H$5:$H$3507,$L580)&amp;" "&amp;INDEX(ポート振替表!$I$5:$I$3507,$L580))</f>
        <v/>
      </c>
      <c r="D580" s="57" t="s">
        <v>158</v>
      </c>
      <c r="E580" s="59" t="str">
        <f aca="false">IF(L580="","",IF(INDEX(ポート振替表!$O$5:$O$3507,$L580)="","(未設定)",INDEX(ポート振替表!$O$5:$O$3507,$L580)&amp;""))</f>
        <v/>
      </c>
      <c r="F580" s="52" t="str">
        <f aca="false">IF(L580="","",INDEX(ポート振替表!$K$5:$K$3507,$L580)&amp;" "&amp;INDEX(ポート振替表!$L$5:$L$3507,$L580)&amp;"  ⇔  "&amp;INDEX(ポート振替表!$H$5:$H$3507,$L580)&amp;" "&amp;INDEX(ポート振替表!$I$5:$I$3507,$L580))</f>
        <v/>
      </c>
      <c r="G580" s="57" t="s">
        <v>158</v>
      </c>
      <c r="H580" s="32" t="str">
        <f aca="false">IF(L580="","",INDEX(ポート振替表!$N$5:$N$3507,$L580)&amp;"")</f>
        <v/>
      </c>
      <c r="I580" s="32" t="str">
        <f aca="false">IF(L580="","",INDEX(ポート振替表!$P$5:$P$3507,$L580)&amp;"")</f>
        <v/>
      </c>
      <c r="J580" s="60" t="str">
        <f aca="false">IF(L580="","",INDEX(ポート振替表!$M$5:$M$3507,$L580)&amp;"")</f>
        <v/>
      </c>
      <c r="K580" s="52" t="str">
        <f aca="false">IF(L580="","",E580&amp;CHAR(10)&amp;INDEX(ポート振替表!$K$5:$K$3507,$L580)&amp;" "&amp;INDEX(ポート振替表!$L$5:$L$3507,$L580)&amp;CHAR(10)&amp;"⇔ "&amp;INDEX(ポート振替表!$H$5:$H$3507,$L580)&amp;" "&amp;INDEX(ポート振替表!$I$5:$I$3507,$L580))</f>
        <v/>
      </c>
      <c r="L580" s="47" t="str">
        <f aca="false">IFERROR(MATCH(ROW()-4,ポート振替表!$V$5:$V$3507,0),"")</f>
        <v/>
      </c>
    </row>
    <row r="581" customFormat="false" ht="16.4" hidden="false" customHeight="false" outlineLevel="0" collapsed="false">
      <c r="A581" s="32" t="str">
        <f aca="false">IF(L581="","",ROW()-4)</f>
        <v/>
      </c>
      <c r="B581" s="58" t="str">
        <f aca="false">IF(L581="","",IF(INDEX(ポート振替表!$W$5:$W$3507,$L581)="","(なし)",INDEX(ポート振替表!$W$5:$W$3507,$L581)&amp;""))</f>
        <v/>
      </c>
      <c r="C581" s="52" t="str">
        <f aca="false">IF(L581="","",INDEX(ポート振替表!$B$5:$B$3507,$L581)&amp;" "&amp;INDEX(ポート振替表!$C$5:$C$3507,$L581)&amp;"  ⇔  "&amp;INDEX(ポート振替表!$H$5:$H$3507,$L581)&amp;" "&amp;INDEX(ポート振替表!$I$5:$I$3507,$L581))</f>
        <v/>
      </c>
      <c r="D581" s="57" t="s">
        <v>158</v>
      </c>
      <c r="E581" s="59" t="str">
        <f aca="false">IF(L581="","",IF(INDEX(ポート振替表!$O$5:$O$3507,$L581)="","(未設定)",INDEX(ポート振替表!$O$5:$O$3507,$L581)&amp;""))</f>
        <v/>
      </c>
      <c r="F581" s="52" t="str">
        <f aca="false">IF(L581="","",INDEX(ポート振替表!$K$5:$K$3507,$L581)&amp;" "&amp;INDEX(ポート振替表!$L$5:$L$3507,$L581)&amp;"  ⇔  "&amp;INDEX(ポート振替表!$H$5:$H$3507,$L581)&amp;" "&amp;INDEX(ポート振替表!$I$5:$I$3507,$L581))</f>
        <v/>
      </c>
      <c r="G581" s="57" t="s">
        <v>158</v>
      </c>
      <c r="H581" s="32" t="str">
        <f aca="false">IF(L581="","",INDEX(ポート振替表!$N$5:$N$3507,$L581)&amp;"")</f>
        <v/>
      </c>
      <c r="I581" s="32" t="str">
        <f aca="false">IF(L581="","",INDEX(ポート振替表!$P$5:$P$3507,$L581)&amp;"")</f>
        <v/>
      </c>
      <c r="J581" s="60" t="str">
        <f aca="false">IF(L581="","",INDEX(ポート振替表!$M$5:$M$3507,$L581)&amp;"")</f>
        <v/>
      </c>
      <c r="K581" s="52" t="str">
        <f aca="false">IF(L581="","",E581&amp;CHAR(10)&amp;INDEX(ポート振替表!$K$5:$K$3507,$L581)&amp;" "&amp;INDEX(ポート振替表!$L$5:$L$3507,$L581)&amp;CHAR(10)&amp;"⇔ "&amp;INDEX(ポート振替表!$H$5:$H$3507,$L581)&amp;" "&amp;INDEX(ポート振替表!$I$5:$I$3507,$L581))</f>
        <v/>
      </c>
      <c r="L581" s="47" t="str">
        <f aca="false">IFERROR(MATCH(ROW()-4,ポート振替表!$V$5:$V$3507,0),"")</f>
        <v/>
      </c>
    </row>
    <row r="582" customFormat="false" ht="16.4" hidden="false" customHeight="false" outlineLevel="0" collapsed="false">
      <c r="A582" s="32" t="str">
        <f aca="false">IF(L582="","",ROW()-4)</f>
        <v/>
      </c>
      <c r="B582" s="58" t="str">
        <f aca="false">IF(L582="","",IF(INDEX(ポート振替表!$W$5:$W$3507,$L582)="","(なし)",INDEX(ポート振替表!$W$5:$W$3507,$L582)&amp;""))</f>
        <v/>
      </c>
      <c r="C582" s="52" t="str">
        <f aca="false">IF(L582="","",INDEX(ポート振替表!$B$5:$B$3507,$L582)&amp;" "&amp;INDEX(ポート振替表!$C$5:$C$3507,$L582)&amp;"  ⇔  "&amp;INDEX(ポート振替表!$H$5:$H$3507,$L582)&amp;" "&amp;INDEX(ポート振替表!$I$5:$I$3507,$L582))</f>
        <v/>
      </c>
      <c r="D582" s="57" t="s">
        <v>158</v>
      </c>
      <c r="E582" s="59" t="str">
        <f aca="false">IF(L582="","",IF(INDEX(ポート振替表!$O$5:$O$3507,$L582)="","(未設定)",INDEX(ポート振替表!$O$5:$O$3507,$L582)&amp;""))</f>
        <v/>
      </c>
      <c r="F582" s="52" t="str">
        <f aca="false">IF(L582="","",INDEX(ポート振替表!$K$5:$K$3507,$L582)&amp;" "&amp;INDEX(ポート振替表!$L$5:$L$3507,$L582)&amp;"  ⇔  "&amp;INDEX(ポート振替表!$H$5:$H$3507,$L582)&amp;" "&amp;INDEX(ポート振替表!$I$5:$I$3507,$L582))</f>
        <v/>
      </c>
      <c r="G582" s="57" t="s">
        <v>158</v>
      </c>
      <c r="H582" s="32" t="str">
        <f aca="false">IF(L582="","",INDEX(ポート振替表!$N$5:$N$3507,$L582)&amp;"")</f>
        <v/>
      </c>
      <c r="I582" s="32" t="str">
        <f aca="false">IF(L582="","",INDEX(ポート振替表!$P$5:$P$3507,$L582)&amp;"")</f>
        <v/>
      </c>
      <c r="J582" s="60" t="str">
        <f aca="false">IF(L582="","",INDEX(ポート振替表!$M$5:$M$3507,$L582)&amp;"")</f>
        <v/>
      </c>
      <c r="K582" s="52" t="str">
        <f aca="false">IF(L582="","",E582&amp;CHAR(10)&amp;INDEX(ポート振替表!$K$5:$K$3507,$L582)&amp;" "&amp;INDEX(ポート振替表!$L$5:$L$3507,$L582)&amp;CHAR(10)&amp;"⇔ "&amp;INDEX(ポート振替表!$H$5:$H$3507,$L582)&amp;" "&amp;INDEX(ポート振替表!$I$5:$I$3507,$L582))</f>
        <v/>
      </c>
      <c r="L582" s="47" t="str">
        <f aca="false">IFERROR(MATCH(ROW()-4,ポート振替表!$V$5:$V$3507,0),"")</f>
        <v/>
      </c>
    </row>
    <row r="583" customFormat="false" ht="16.4" hidden="false" customHeight="false" outlineLevel="0" collapsed="false">
      <c r="A583" s="32" t="str">
        <f aca="false">IF(L583="","",ROW()-4)</f>
        <v/>
      </c>
      <c r="B583" s="58" t="str">
        <f aca="false">IF(L583="","",IF(INDEX(ポート振替表!$W$5:$W$3507,$L583)="","(なし)",INDEX(ポート振替表!$W$5:$W$3507,$L583)&amp;""))</f>
        <v/>
      </c>
      <c r="C583" s="52" t="str">
        <f aca="false">IF(L583="","",INDEX(ポート振替表!$B$5:$B$3507,$L583)&amp;" "&amp;INDEX(ポート振替表!$C$5:$C$3507,$L583)&amp;"  ⇔  "&amp;INDEX(ポート振替表!$H$5:$H$3507,$L583)&amp;" "&amp;INDEX(ポート振替表!$I$5:$I$3507,$L583))</f>
        <v/>
      </c>
      <c r="D583" s="57" t="s">
        <v>158</v>
      </c>
      <c r="E583" s="59" t="str">
        <f aca="false">IF(L583="","",IF(INDEX(ポート振替表!$O$5:$O$3507,$L583)="","(未設定)",INDEX(ポート振替表!$O$5:$O$3507,$L583)&amp;""))</f>
        <v/>
      </c>
      <c r="F583" s="52" t="str">
        <f aca="false">IF(L583="","",INDEX(ポート振替表!$K$5:$K$3507,$L583)&amp;" "&amp;INDEX(ポート振替表!$L$5:$L$3507,$L583)&amp;"  ⇔  "&amp;INDEX(ポート振替表!$H$5:$H$3507,$L583)&amp;" "&amp;INDEX(ポート振替表!$I$5:$I$3507,$L583))</f>
        <v/>
      </c>
      <c r="G583" s="57" t="s">
        <v>158</v>
      </c>
      <c r="H583" s="32" t="str">
        <f aca="false">IF(L583="","",INDEX(ポート振替表!$N$5:$N$3507,$L583)&amp;"")</f>
        <v/>
      </c>
      <c r="I583" s="32" t="str">
        <f aca="false">IF(L583="","",INDEX(ポート振替表!$P$5:$P$3507,$L583)&amp;"")</f>
        <v/>
      </c>
      <c r="J583" s="60" t="str">
        <f aca="false">IF(L583="","",INDEX(ポート振替表!$M$5:$M$3507,$L583)&amp;"")</f>
        <v/>
      </c>
      <c r="K583" s="52" t="str">
        <f aca="false">IF(L583="","",E583&amp;CHAR(10)&amp;INDEX(ポート振替表!$K$5:$K$3507,$L583)&amp;" "&amp;INDEX(ポート振替表!$L$5:$L$3507,$L583)&amp;CHAR(10)&amp;"⇔ "&amp;INDEX(ポート振替表!$H$5:$H$3507,$L583)&amp;" "&amp;INDEX(ポート振替表!$I$5:$I$3507,$L583))</f>
        <v/>
      </c>
      <c r="L583" s="47" t="str">
        <f aca="false">IFERROR(MATCH(ROW()-4,ポート振替表!$V$5:$V$3507,0),"")</f>
        <v/>
      </c>
    </row>
    <row r="584" customFormat="false" ht="16.4" hidden="false" customHeight="false" outlineLevel="0" collapsed="false">
      <c r="A584" s="32" t="str">
        <f aca="false">IF(L584="","",ROW()-4)</f>
        <v/>
      </c>
      <c r="B584" s="58" t="str">
        <f aca="false">IF(L584="","",IF(INDEX(ポート振替表!$W$5:$W$3507,$L584)="","(なし)",INDEX(ポート振替表!$W$5:$W$3507,$L584)&amp;""))</f>
        <v/>
      </c>
      <c r="C584" s="52" t="str">
        <f aca="false">IF(L584="","",INDEX(ポート振替表!$B$5:$B$3507,$L584)&amp;" "&amp;INDEX(ポート振替表!$C$5:$C$3507,$L584)&amp;"  ⇔  "&amp;INDEX(ポート振替表!$H$5:$H$3507,$L584)&amp;" "&amp;INDEX(ポート振替表!$I$5:$I$3507,$L584))</f>
        <v/>
      </c>
      <c r="D584" s="57" t="s">
        <v>158</v>
      </c>
      <c r="E584" s="59" t="str">
        <f aca="false">IF(L584="","",IF(INDEX(ポート振替表!$O$5:$O$3507,$L584)="","(未設定)",INDEX(ポート振替表!$O$5:$O$3507,$L584)&amp;""))</f>
        <v/>
      </c>
      <c r="F584" s="52" t="str">
        <f aca="false">IF(L584="","",INDEX(ポート振替表!$K$5:$K$3507,$L584)&amp;" "&amp;INDEX(ポート振替表!$L$5:$L$3507,$L584)&amp;"  ⇔  "&amp;INDEX(ポート振替表!$H$5:$H$3507,$L584)&amp;" "&amp;INDEX(ポート振替表!$I$5:$I$3507,$L584))</f>
        <v/>
      </c>
      <c r="G584" s="57" t="s">
        <v>158</v>
      </c>
      <c r="H584" s="32" t="str">
        <f aca="false">IF(L584="","",INDEX(ポート振替表!$N$5:$N$3507,$L584)&amp;"")</f>
        <v/>
      </c>
      <c r="I584" s="32" t="str">
        <f aca="false">IF(L584="","",INDEX(ポート振替表!$P$5:$P$3507,$L584)&amp;"")</f>
        <v/>
      </c>
      <c r="J584" s="60" t="str">
        <f aca="false">IF(L584="","",INDEX(ポート振替表!$M$5:$M$3507,$L584)&amp;"")</f>
        <v/>
      </c>
      <c r="K584" s="52" t="str">
        <f aca="false">IF(L584="","",E584&amp;CHAR(10)&amp;INDEX(ポート振替表!$K$5:$K$3507,$L584)&amp;" "&amp;INDEX(ポート振替表!$L$5:$L$3507,$L584)&amp;CHAR(10)&amp;"⇔ "&amp;INDEX(ポート振替表!$H$5:$H$3507,$L584)&amp;" "&amp;INDEX(ポート振替表!$I$5:$I$3507,$L584))</f>
        <v/>
      </c>
      <c r="L584" s="47" t="str">
        <f aca="false">IFERROR(MATCH(ROW()-4,ポート振替表!$V$5:$V$3507,0),"")</f>
        <v/>
      </c>
    </row>
    <row r="585" customFormat="false" ht="16.4" hidden="false" customHeight="false" outlineLevel="0" collapsed="false">
      <c r="A585" s="32" t="str">
        <f aca="false">IF(L585="","",ROW()-4)</f>
        <v/>
      </c>
      <c r="B585" s="58" t="str">
        <f aca="false">IF(L585="","",IF(INDEX(ポート振替表!$W$5:$W$3507,$L585)="","(なし)",INDEX(ポート振替表!$W$5:$W$3507,$L585)&amp;""))</f>
        <v/>
      </c>
      <c r="C585" s="52" t="str">
        <f aca="false">IF(L585="","",INDEX(ポート振替表!$B$5:$B$3507,$L585)&amp;" "&amp;INDEX(ポート振替表!$C$5:$C$3507,$L585)&amp;"  ⇔  "&amp;INDEX(ポート振替表!$H$5:$H$3507,$L585)&amp;" "&amp;INDEX(ポート振替表!$I$5:$I$3507,$L585))</f>
        <v/>
      </c>
      <c r="D585" s="57" t="s">
        <v>158</v>
      </c>
      <c r="E585" s="59" t="str">
        <f aca="false">IF(L585="","",IF(INDEX(ポート振替表!$O$5:$O$3507,$L585)="","(未設定)",INDEX(ポート振替表!$O$5:$O$3507,$L585)&amp;""))</f>
        <v/>
      </c>
      <c r="F585" s="52" t="str">
        <f aca="false">IF(L585="","",INDEX(ポート振替表!$K$5:$K$3507,$L585)&amp;" "&amp;INDEX(ポート振替表!$L$5:$L$3507,$L585)&amp;"  ⇔  "&amp;INDEX(ポート振替表!$H$5:$H$3507,$L585)&amp;" "&amp;INDEX(ポート振替表!$I$5:$I$3507,$L585))</f>
        <v/>
      </c>
      <c r="G585" s="57" t="s">
        <v>158</v>
      </c>
      <c r="H585" s="32" t="str">
        <f aca="false">IF(L585="","",INDEX(ポート振替表!$N$5:$N$3507,$L585)&amp;"")</f>
        <v/>
      </c>
      <c r="I585" s="32" t="str">
        <f aca="false">IF(L585="","",INDEX(ポート振替表!$P$5:$P$3507,$L585)&amp;"")</f>
        <v/>
      </c>
      <c r="J585" s="60" t="str">
        <f aca="false">IF(L585="","",INDEX(ポート振替表!$M$5:$M$3507,$L585)&amp;"")</f>
        <v/>
      </c>
      <c r="K585" s="52" t="str">
        <f aca="false">IF(L585="","",E585&amp;CHAR(10)&amp;INDEX(ポート振替表!$K$5:$K$3507,$L585)&amp;" "&amp;INDEX(ポート振替表!$L$5:$L$3507,$L585)&amp;CHAR(10)&amp;"⇔ "&amp;INDEX(ポート振替表!$H$5:$H$3507,$L585)&amp;" "&amp;INDEX(ポート振替表!$I$5:$I$3507,$L585))</f>
        <v/>
      </c>
      <c r="L585" s="47" t="str">
        <f aca="false">IFERROR(MATCH(ROW()-4,ポート振替表!$V$5:$V$3507,0),"")</f>
        <v/>
      </c>
    </row>
    <row r="586" customFormat="false" ht="16.4" hidden="false" customHeight="false" outlineLevel="0" collapsed="false">
      <c r="A586" s="32" t="str">
        <f aca="false">IF(L586="","",ROW()-4)</f>
        <v/>
      </c>
      <c r="B586" s="58" t="str">
        <f aca="false">IF(L586="","",IF(INDEX(ポート振替表!$W$5:$W$3507,$L586)="","(なし)",INDEX(ポート振替表!$W$5:$W$3507,$L586)&amp;""))</f>
        <v/>
      </c>
      <c r="C586" s="52" t="str">
        <f aca="false">IF(L586="","",INDEX(ポート振替表!$B$5:$B$3507,$L586)&amp;" "&amp;INDEX(ポート振替表!$C$5:$C$3507,$L586)&amp;"  ⇔  "&amp;INDEX(ポート振替表!$H$5:$H$3507,$L586)&amp;" "&amp;INDEX(ポート振替表!$I$5:$I$3507,$L586))</f>
        <v/>
      </c>
      <c r="D586" s="57" t="s">
        <v>158</v>
      </c>
      <c r="E586" s="59" t="str">
        <f aca="false">IF(L586="","",IF(INDEX(ポート振替表!$O$5:$O$3507,$L586)="","(未設定)",INDEX(ポート振替表!$O$5:$O$3507,$L586)&amp;""))</f>
        <v/>
      </c>
      <c r="F586" s="52" t="str">
        <f aca="false">IF(L586="","",INDEX(ポート振替表!$K$5:$K$3507,$L586)&amp;" "&amp;INDEX(ポート振替表!$L$5:$L$3507,$L586)&amp;"  ⇔  "&amp;INDEX(ポート振替表!$H$5:$H$3507,$L586)&amp;" "&amp;INDEX(ポート振替表!$I$5:$I$3507,$L586))</f>
        <v/>
      </c>
      <c r="G586" s="57" t="s">
        <v>158</v>
      </c>
      <c r="H586" s="32" t="str">
        <f aca="false">IF(L586="","",INDEX(ポート振替表!$N$5:$N$3507,$L586)&amp;"")</f>
        <v/>
      </c>
      <c r="I586" s="32" t="str">
        <f aca="false">IF(L586="","",INDEX(ポート振替表!$P$5:$P$3507,$L586)&amp;"")</f>
        <v/>
      </c>
      <c r="J586" s="60" t="str">
        <f aca="false">IF(L586="","",INDEX(ポート振替表!$M$5:$M$3507,$L586)&amp;"")</f>
        <v/>
      </c>
      <c r="K586" s="52" t="str">
        <f aca="false">IF(L586="","",E586&amp;CHAR(10)&amp;INDEX(ポート振替表!$K$5:$K$3507,$L586)&amp;" "&amp;INDEX(ポート振替表!$L$5:$L$3507,$L586)&amp;CHAR(10)&amp;"⇔ "&amp;INDEX(ポート振替表!$H$5:$H$3507,$L586)&amp;" "&amp;INDEX(ポート振替表!$I$5:$I$3507,$L586))</f>
        <v/>
      </c>
      <c r="L586" s="47" t="str">
        <f aca="false">IFERROR(MATCH(ROW()-4,ポート振替表!$V$5:$V$3507,0),"")</f>
        <v/>
      </c>
    </row>
    <row r="587" customFormat="false" ht="16.4" hidden="false" customHeight="false" outlineLevel="0" collapsed="false">
      <c r="A587" s="32" t="str">
        <f aca="false">IF(L587="","",ROW()-4)</f>
        <v/>
      </c>
      <c r="B587" s="58" t="str">
        <f aca="false">IF(L587="","",IF(INDEX(ポート振替表!$W$5:$W$3507,$L587)="","(なし)",INDEX(ポート振替表!$W$5:$W$3507,$L587)&amp;""))</f>
        <v/>
      </c>
      <c r="C587" s="52" t="str">
        <f aca="false">IF(L587="","",INDEX(ポート振替表!$B$5:$B$3507,$L587)&amp;" "&amp;INDEX(ポート振替表!$C$5:$C$3507,$L587)&amp;"  ⇔  "&amp;INDEX(ポート振替表!$H$5:$H$3507,$L587)&amp;" "&amp;INDEX(ポート振替表!$I$5:$I$3507,$L587))</f>
        <v/>
      </c>
      <c r="D587" s="57" t="s">
        <v>158</v>
      </c>
      <c r="E587" s="59" t="str">
        <f aca="false">IF(L587="","",IF(INDEX(ポート振替表!$O$5:$O$3507,$L587)="","(未設定)",INDEX(ポート振替表!$O$5:$O$3507,$L587)&amp;""))</f>
        <v/>
      </c>
      <c r="F587" s="52" t="str">
        <f aca="false">IF(L587="","",INDEX(ポート振替表!$K$5:$K$3507,$L587)&amp;" "&amp;INDEX(ポート振替表!$L$5:$L$3507,$L587)&amp;"  ⇔  "&amp;INDEX(ポート振替表!$H$5:$H$3507,$L587)&amp;" "&amp;INDEX(ポート振替表!$I$5:$I$3507,$L587))</f>
        <v/>
      </c>
      <c r="G587" s="57" t="s">
        <v>158</v>
      </c>
      <c r="H587" s="32" t="str">
        <f aca="false">IF(L587="","",INDEX(ポート振替表!$N$5:$N$3507,$L587)&amp;"")</f>
        <v/>
      </c>
      <c r="I587" s="32" t="str">
        <f aca="false">IF(L587="","",INDEX(ポート振替表!$P$5:$P$3507,$L587)&amp;"")</f>
        <v/>
      </c>
      <c r="J587" s="60" t="str">
        <f aca="false">IF(L587="","",INDEX(ポート振替表!$M$5:$M$3507,$L587)&amp;"")</f>
        <v/>
      </c>
      <c r="K587" s="52" t="str">
        <f aca="false">IF(L587="","",E587&amp;CHAR(10)&amp;INDEX(ポート振替表!$K$5:$K$3507,$L587)&amp;" "&amp;INDEX(ポート振替表!$L$5:$L$3507,$L587)&amp;CHAR(10)&amp;"⇔ "&amp;INDEX(ポート振替表!$H$5:$H$3507,$L587)&amp;" "&amp;INDEX(ポート振替表!$I$5:$I$3507,$L587))</f>
        <v/>
      </c>
      <c r="L587" s="47" t="str">
        <f aca="false">IFERROR(MATCH(ROW()-4,ポート振替表!$V$5:$V$3507,0),"")</f>
        <v/>
      </c>
    </row>
    <row r="588" customFormat="false" ht="16.4" hidden="false" customHeight="false" outlineLevel="0" collapsed="false">
      <c r="A588" s="32" t="str">
        <f aca="false">IF(L588="","",ROW()-4)</f>
        <v/>
      </c>
      <c r="B588" s="58" t="str">
        <f aca="false">IF(L588="","",IF(INDEX(ポート振替表!$W$5:$W$3507,$L588)="","(なし)",INDEX(ポート振替表!$W$5:$W$3507,$L588)&amp;""))</f>
        <v/>
      </c>
      <c r="C588" s="52" t="str">
        <f aca="false">IF(L588="","",INDEX(ポート振替表!$B$5:$B$3507,$L588)&amp;" "&amp;INDEX(ポート振替表!$C$5:$C$3507,$L588)&amp;"  ⇔  "&amp;INDEX(ポート振替表!$H$5:$H$3507,$L588)&amp;" "&amp;INDEX(ポート振替表!$I$5:$I$3507,$L588))</f>
        <v/>
      </c>
      <c r="D588" s="57" t="s">
        <v>158</v>
      </c>
      <c r="E588" s="59" t="str">
        <f aca="false">IF(L588="","",IF(INDEX(ポート振替表!$O$5:$O$3507,$L588)="","(未設定)",INDEX(ポート振替表!$O$5:$O$3507,$L588)&amp;""))</f>
        <v/>
      </c>
      <c r="F588" s="52" t="str">
        <f aca="false">IF(L588="","",INDEX(ポート振替表!$K$5:$K$3507,$L588)&amp;" "&amp;INDEX(ポート振替表!$L$5:$L$3507,$L588)&amp;"  ⇔  "&amp;INDEX(ポート振替表!$H$5:$H$3507,$L588)&amp;" "&amp;INDEX(ポート振替表!$I$5:$I$3507,$L588))</f>
        <v/>
      </c>
      <c r="G588" s="57" t="s">
        <v>158</v>
      </c>
      <c r="H588" s="32" t="str">
        <f aca="false">IF(L588="","",INDEX(ポート振替表!$N$5:$N$3507,$L588)&amp;"")</f>
        <v/>
      </c>
      <c r="I588" s="32" t="str">
        <f aca="false">IF(L588="","",INDEX(ポート振替表!$P$5:$P$3507,$L588)&amp;"")</f>
        <v/>
      </c>
      <c r="J588" s="60" t="str">
        <f aca="false">IF(L588="","",INDEX(ポート振替表!$M$5:$M$3507,$L588)&amp;"")</f>
        <v/>
      </c>
      <c r="K588" s="52" t="str">
        <f aca="false">IF(L588="","",E588&amp;CHAR(10)&amp;INDEX(ポート振替表!$K$5:$K$3507,$L588)&amp;" "&amp;INDEX(ポート振替表!$L$5:$L$3507,$L588)&amp;CHAR(10)&amp;"⇔ "&amp;INDEX(ポート振替表!$H$5:$H$3507,$L588)&amp;" "&amp;INDEX(ポート振替表!$I$5:$I$3507,$L588))</f>
        <v/>
      </c>
      <c r="L588" s="47" t="str">
        <f aca="false">IFERROR(MATCH(ROW()-4,ポート振替表!$V$5:$V$3507,0),"")</f>
        <v/>
      </c>
    </row>
    <row r="589" customFormat="false" ht="16.4" hidden="false" customHeight="false" outlineLevel="0" collapsed="false">
      <c r="A589" s="32" t="str">
        <f aca="false">IF(L589="","",ROW()-4)</f>
        <v/>
      </c>
      <c r="B589" s="58" t="str">
        <f aca="false">IF(L589="","",IF(INDEX(ポート振替表!$W$5:$W$3507,$L589)="","(なし)",INDEX(ポート振替表!$W$5:$W$3507,$L589)&amp;""))</f>
        <v/>
      </c>
      <c r="C589" s="52" t="str">
        <f aca="false">IF(L589="","",INDEX(ポート振替表!$B$5:$B$3507,$L589)&amp;" "&amp;INDEX(ポート振替表!$C$5:$C$3507,$L589)&amp;"  ⇔  "&amp;INDEX(ポート振替表!$H$5:$H$3507,$L589)&amp;" "&amp;INDEX(ポート振替表!$I$5:$I$3507,$L589))</f>
        <v/>
      </c>
      <c r="D589" s="57" t="s">
        <v>158</v>
      </c>
      <c r="E589" s="59" t="str">
        <f aca="false">IF(L589="","",IF(INDEX(ポート振替表!$O$5:$O$3507,$L589)="","(未設定)",INDEX(ポート振替表!$O$5:$O$3507,$L589)&amp;""))</f>
        <v/>
      </c>
      <c r="F589" s="52" t="str">
        <f aca="false">IF(L589="","",INDEX(ポート振替表!$K$5:$K$3507,$L589)&amp;" "&amp;INDEX(ポート振替表!$L$5:$L$3507,$L589)&amp;"  ⇔  "&amp;INDEX(ポート振替表!$H$5:$H$3507,$L589)&amp;" "&amp;INDEX(ポート振替表!$I$5:$I$3507,$L589))</f>
        <v/>
      </c>
      <c r="G589" s="57" t="s">
        <v>158</v>
      </c>
      <c r="H589" s="32" t="str">
        <f aca="false">IF(L589="","",INDEX(ポート振替表!$N$5:$N$3507,$L589)&amp;"")</f>
        <v/>
      </c>
      <c r="I589" s="32" t="str">
        <f aca="false">IF(L589="","",INDEX(ポート振替表!$P$5:$P$3507,$L589)&amp;"")</f>
        <v/>
      </c>
      <c r="J589" s="60" t="str">
        <f aca="false">IF(L589="","",INDEX(ポート振替表!$M$5:$M$3507,$L589)&amp;"")</f>
        <v/>
      </c>
      <c r="K589" s="52" t="str">
        <f aca="false">IF(L589="","",E589&amp;CHAR(10)&amp;INDEX(ポート振替表!$K$5:$K$3507,$L589)&amp;" "&amp;INDEX(ポート振替表!$L$5:$L$3507,$L589)&amp;CHAR(10)&amp;"⇔ "&amp;INDEX(ポート振替表!$H$5:$H$3507,$L589)&amp;" "&amp;INDEX(ポート振替表!$I$5:$I$3507,$L589))</f>
        <v/>
      </c>
      <c r="L589" s="47" t="str">
        <f aca="false">IFERROR(MATCH(ROW()-4,ポート振替表!$V$5:$V$3507,0),"")</f>
        <v/>
      </c>
    </row>
    <row r="590" customFormat="false" ht="16.4" hidden="false" customHeight="false" outlineLevel="0" collapsed="false">
      <c r="A590" s="32" t="str">
        <f aca="false">IF(L590="","",ROW()-4)</f>
        <v/>
      </c>
      <c r="B590" s="58" t="str">
        <f aca="false">IF(L590="","",IF(INDEX(ポート振替表!$W$5:$W$3507,$L590)="","(なし)",INDEX(ポート振替表!$W$5:$W$3507,$L590)&amp;""))</f>
        <v/>
      </c>
      <c r="C590" s="52" t="str">
        <f aca="false">IF(L590="","",INDEX(ポート振替表!$B$5:$B$3507,$L590)&amp;" "&amp;INDEX(ポート振替表!$C$5:$C$3507,$L590)&amp;"  ⇔  "&amp;INDEX(ポート振替表!$H$5:$H$3507,$L590)&amp;" "&amp;INDEX(ポート振替表!$I$5:$I$3507,$L590))</f>
        <v/>
      </c>
      <c r="D590" s="57" t="s">
        <v>158</v>
      </c>
      <c r="E590" s="59" t="str">
        <f aca="false">IF(L590="","",IF(INDEX(ポート振替表!$O$5:$O$3507,$L590)="","(未設定)",INDEX(ポート振替表!$O$5:$O$3507,$L590)&amp;""))</f>
        <v/>
      </c>
      <c r="F590" s="52" t="str">
        <f aca="false">IF(L590="","",INDEX(ポート振替表!$K$5:$K$3507,$L590)&amp;" "&amp;INDEX(ポート振替表!$L$5:$L$3507,$L590)&amp;"  ⇔  "&amp;INDEX(ポート振替表!$H$5:$H$3507,$L590)&amp;" "&amp;INDEX(ポート振替表!$I$5:$I$3507,$L590))</f>
        <v/>
      </c>
      <c r="G590" s="57" t="s">
        <v>158</v>
      </c>
      <c r="H590" s="32" t="str">
        <f aca="false">IF(L590="","",INDEX(ポート振替表!$N$5:$N$3507,$L590)&amp;"")</f>
        <v/>
      </c>
      <c r="I590" s="32" t="str">
        <f aca="false">IF(L590="","",INDEX(ポート振替表!$P$5:$P$3507,$L590)&amp;"")</f>
        <v/>
      </c>
      <c r="J590" s="60" t="str">
        <f aca="false">IF(L590="","",INDEX(ポート振替表!$M$5:$M$3507,$L590)&amp;"")</f>
        <v/>
      </c>
      <c r="K590" s="52" t="str">
        <f aca="false">IF(L590="","",E590&amp;CHAR(10)&amp;INDEX(ポート振替表!$K$5:$K$3507,$L590)&amp;" "&amp;INDEX(ポート振替表!$L$5:$L$3507,$L590)&amp;CHAR(10)&amp;"⇔ "&amp;INDEX(ポート振替表!$H$5:$H$3507,$L590)&amp;" "&amp;INDEX(ポート振替表!$I$5:$I$3507,$L590))</f>
        <v/>
      </c>
      <c r="L590" s="47" t="str">
        <f aca="false">IFERROR(MATCH(ROW()-4,ポート振替表!$V$5:$V$3507,0),"")</f>
        <v/>
      </c>
    </row>
    <row r="591" customFormat="false" ht="16.4" hidden="false" customHeight="false" outlineLevel="0" collapsed="false">
      <c r="A591" s="32" t="str">
        <f aca="false">IF(L591="","",ROW()-4)</f>
        <v/>
      </c>
      <c r="B591" s="58" t="str">
        <f aca="false">IF(L591="","",IF(INDEX(ポート振替表!$W$5:$W$3507,$L591)="","(なし)",INDEX(ポート振替表!$W$5:$W$3507,$L591)&amp;""))</f>
        <v/>
      </c>
      <c r="C591" s="52" t="str">
        <f aca="false">IF(L591="","",INDEX(ポート振替表!$B$5:$B$3507,$L591)&amp;" "&amp;INDEX(ポート振替表!$C$5:$C$3507,$L591)&amp;"  ⇔  "&amp;INDEX(ポート振替表!$H$5:$H$3507,$L591)&amp;" "&amp;INDEX(ポート振替表!$I$5:$I$3507,$L591))</f>
        <v/>
      </c>
      <c r="D591" s="57" t="s">
        <v>158</v>
      </c>
      <c r="E591" s="59" t="str">
        <f aca="false">IF(L591="","",IF(INDEX(ポート振替表!$O$5:$O$3507,$L591)="","(未設定)",INDEX(ポート振替表!$O$5:$O$3507,$L591)&amp;""))</f>
        <v/>
      </c>
      <c r="F591" s="52" t="str">
        <f aca="false">IF(L591="","",INDEX(ポート振替表!$K$5:$K$3507,$L591)&amp;" "&amp;INDEX(ポート振替表!$L$5:$L$3507,$L591)&amp;"  ⇔  "&amp;INDEX(ポート振替表!$H$5:$H$3507,$L591)&amp;" "&amp;INDEX(ポート振替表!$I$5:$I$3507,$L591))</f>
        <v/>
      </c>
      <c r="G591" s="57" t="s">
        <v>158</v>
      </c>
      <c r="H591" s="32" t="str">
        <f aca="false">IF(L591="","",INDEX(ポート振替表!$N$5:$N$3507,$L591)&amp;"")</f>
        <v/>
      </c>
      <c r="I591" s="32" t="str">
        <f aca="false">IF(L591="","",INDEX(ポート振替表!$P$5:$P$3507,$L591)&amp;"")</f>
        <v/>
      </c>
      <c r="J591" s="60" t="str">
        <f aca="false">IF(L591="","",INDEX(ポート振替表!$M$5:$M$3507,$L591)&amp;"")</f>
        <v/>
      </c>
      <c r="K591" s="52" t="str">
        <f aca="false">IF(L591="","",E591&amp;CHAR(10)&amp;INDEX(ポート振替表!$K$5:$K$3507,$L591)&amp;" "&amp;INDEX(ポート振替表!$L$5:$L$3507,$L591)&amp;CHAR(10)&amp;"⇔ "&amp;INDEX(ポート振替表!$H$5:$H$3507,$L591)&amp;" "&amp;INDEX(ポート振替表!$I$5:$I$3507,$L591))</f>
        <v/>
      </c>
      <c r="L591" s="47" t="str">
        <f aca="false">IFERROR(MATCH(ROW()-4,ポート振替表!$V$5:$V$3507,0),"")</f>
        <v/>
      </c>
    </row>
    <row r="592" customFormat="false" ht="16.4" hidden="false" customHeight="false" outlineLevel="0" collapsed="false">
      <c r="A592" s="32" t="str">
        <f aca="false">IF(L592="","",ROW()-4)</f>
        <v/>
      </c>
      <c r="B592" s="58" t="str">
        <f aca="false">IF(L592="","",IF(INDEX(ポート振替表!$W$5:$W$3507,$L592)="","(なし)",INDEX(ポート振替表!$W$5:$W$3507,$L592)&amp;""))</f>
        <v/>
      </c>
      <c r="C592" s="52" t="str">
        <f aca="false">IF(L592="","",INDEX(ポート振替表!$B$5:$B$3507,$L592)&amp;" "&amp;INDEX(ポート振替表!$C$5:$C$3507,$L592)&amp;"  ⇔  "&amp;INDEX(ポート振替表!$H$5:$H$3507,$L592)&amp;" "&amp;INDEX(ポート振替表!$I$5:$I$3507,$L592))</f>
        <v/>
      </c>
      <c r="D592" s="57" t="s">
        <v>158</v>
      </c>
      <c r="E592" s="59" t="str">
        <f aca="false">IF(L592="","",IF(INDEX(ポート振替表!$O$5:$O$3507,$L592)="","(未設定)",INDEX(ポート振替表!$O$5:$O$3507,$L592)&amp;""))</f>
        <v/>
      </c>
      <c r="F592" s="52" t="str">
        <f aca="false">IF(L592="","",INDEX(ポート振替表!$K$5:$K$3507,$L592)&amp;" "&amp;INDEX(ポート振替表!$L$5:$L$3507,$L592)&amp;"  ⇔  "&amp;INDEX(ポート振替表!$H$5:$H$3507,$L592)&amp;" "&amp;INDEX(ポート振替表!$I$5:$I$3507,$L592))</f>
        <v/>
      </c>
      <c r="G592" s="57" t="s">
        <v>158</v>
      </c>
      <c r="H592" s="32" t="str">
        <f aca="false">IF(L592="","",INDEX(ポート振替表!$N$5:$N$3507,$L592)&amp;"")</f>
        <v/>
      </c>
      <c r="I592" s="32" t="str">
        <f aca="false">IF(L592="","",INDEX(ポート振替表!$P$5:$P$3507,$L592)&amp;"")</f>
        <v/>
      </c>
      <c r="J592" s="60" t="str">
        <f aca="false">IF(L592="","",INDEX(ポート振替表!$M$5:$M$3507,$L592)&amp;"")</f>
        <v/>
      </c>
      <c r="K592" s="52" t="str">
        <f aca="false">IF(L592="","",E592&amp;CHAR(10)&amp;INDEX(ポート振替表!$K$5:$K$3507,$L592)&amp;" "&amp;INDEX(ポート振替表!$L$5:$L$3507,$L592)&amp;CHAR(10)&amp;"⇔ "&amp;INDEX(ポート振替表!$H$5:$H$3507,$L592)&amp;" "&amp;INDEX(ポート振替表!$I$5:$I$3507,$L592))</f>
        <v/>
      </c>
      <c r="L592" s="47" t="str">
        <f aca="false">IFERROR(MATCH(ROW()-4,ポート振替表!$V$5:$V$3507,0),"")</f>
        <v/>
      </c>
    </row>
    <row r="593" customFormat="false" ht="16.4" hidden="false" customHeight="false" outlineLevel="0" collapsed="false">
      <c r="A593" s="32" t="str">
        <f aca="false">IF(L593="","",ROW()-4)</f>
        <v/>
      </c>
      <c r="B593" s="58" t="str">
        <f aca="false">IF(L593="","",IF(INDEX(ポート振替表!$W$5:$W$3507,$L593)="","(なし)",INDEX(ポート振替表!$W$5:$W$3507,$L593)&amp;""))</f>
        <v/>
      </c>
      <c r="C593" s="52" t="str">
        <f aca="false">IF(L593="","",INDEX(ポート振替表!$B$5:$B$3507,$L593)&amp;" "&amp;INDEX(ポート振替表!$C$5:$C$3507,$L593)&amp;"  ⇔  "&amp;INDEX(ポート振替表!$H$5:$H$3507,$L593)&amp;" "&amp;INDEX(ポート振替表!$I$5:$I$3507,$L593))</f>
        <v/>
      </c>
      <c r="D593" s="57" t="s">
        <v>158</v>
      </c>
      <c r="E593" s="59" t="str">
        <f aca="false">IF(L593="","",IF(INDEX(ポート振替表!$O$5:$O$3507,$L593)="","(未設定)",INDEX(ポート振替表!$O$5:$O$3507,$L593)&amp;""))</f>
        <v/>
      </c>
      <c r="F593" s="52" t="str">
        <f aca="false">IF(L593="","",INDEX(ポート振替表!$K$5:$K$3507,$L593)&amp;" "&amp;INDEX(ポート振替表!$L$5:$L$3507,$L593)&amp;"  ⇔  "&amp;INDEX(ポート振替表!$H$5:$H$3507,$L593)&amp;" "&amp;INDEX(ポート振替表!$I$5:$I$3507,$L593))</f>
        <v/>
      </c>
      <c r="G593" s="57" t="s">
        <v>158</v>
      </c>
      <c r="H593" s="32" t="str">
        <f aca="false">IF(L593="","",INDEX(ポート振替表!$N$5:$N$3507,$L593)&amp;"")</f>
        <v/>
      </c>
      <c r="I593" s="32" t="str">
        <f aca="false">IF(L593="","",INDEX(ポート振替表!$P$5:$P$3507,$L593)&amp;"")</f>
        <v/>
      </c>
      <c r="J593" s="60" t="str">
        <f aca="false">IF(L593="","",INDEX(ポート振替表!$M$5:$M$3507,$L593)&amp;"")</f>
        <v/>
      </c>
      <c r="K593" s="52" t="str">
        <f aca="false">IF(L593="","",E593&amp;CHAR(10)&amp;INDEX(ポート振替表!$K$5:$K$3507,$L593)&amp;" "&amp;INDEX(ポート振替表!$L$5:$L$3507,$L593)&amp;CHAR(10)&amp;"⇔ "&amp;INDEX(ポート振替表!$H$5:$H$3507,$L593)&amp;" "&amp;INDEX(ポート振替表!$I$5:$I$3507,$L593))</f>
        <v/>
      </c>
      <c r="L593" s="47" t="str">
        <f aca="false">IFERROR(MATCH(ROW()-4,ポート振替表!$V$5:$V$3507,0),"")</f>
        <v/>
      </c>
    </row>
    <row r="594" customFormat="false" ht="16.4" hidden="false" customHeight="false" outlineLevel="0" collapsed="false">
      <c r="A594" s="32" t="str">
        <f aca="false">IF(L594="","",ROW()-4)</f>
        <v/>
      </c>
      <c r="B594" s="58" t="str">
        <f aca="false">IF(L594="","",IF(INDEX(ポート振替表!$W$5:$W$3507,$L594)="","(なし)",INDEX(ポート振替表!$W$5:$W$3507,$L594)&amp;""))</f>
        <v/>
      </c>
      <c r="C594" s="52" t="str">
        <f aca="false">IF(L594="","",INDEX(ポート振替表!$B$5:$B$3507,$L594)&amp;" "&amp;INDEX(ポート振替表!$C$5:$C$3507,$L594)&amp;"  ⇔  "&amp;INDEX(ポート振替表!$H$5:$H$3507,$L594)&amp;" "&amp;INDEX(ポート振替表!$I$5:$I$3507,$L594))</f>
        <v/>
      </c>
      <c r="D594" s="57" t="s">
        <v>158</v>
      </c>
      <c r="E594" s="59" t="str">
        <f aca="false">IF(L594="","",IF(INDEX(ポート振替表!$O$5:$O$3507,$L594)="","(未設定)",INDEX(ポート振替表!$O$5:$O$3507,$L594)&amp;""))</f>
        <v/>
      </c>
      <c r="F594" s="52" t="str">
        <f aca="false">IF(L594="","",INDEX(ポート振替表!$K$5:$K$3507,$L594)&amp;" "&amp;INDEX(ポート振替表!$L$5:$L$3507,$L594)&amp;"  ⇔  "&amp;INDEX(ポート振替表!$H$5:$H$3507,$L594)&amp;" "&amp;INDEX(ポート振替表!$I$5:$I$3507,$L594))</f>
        <v/>
      </c>
      <c r="G594" s="57" t="s">
        <v>158</v>
      </c>
      <c r="H594" s="32" t="str">
        <f aca="false">IF(L594="","",INDEX(ポート振替表!$N$5:$N$3507,$L594)&amp;"")</f>
        <v/>
      </c>
      <c r="I594" s="32" t="str">
        <f aca="false">IF(L594="","",INDEX(ポート振替表!$P$5:$P$3507,$L594)&amp;"")</f>
        <v/>
      </c>
      <c r="J594" s="60" t="str">
        <f aca="false">IF(L594="","",INDEX(ポート振替表!$M$5:$M$3507,$L594)&amp;"")</f>
        <v/>
      </c>
      <c r="K594" s="52" t="str">
        <f aca="false">IF(L594="","",E594&amp;CHAR(10)&amp;INDEX(ポート振替表!$K$5:$K$3507,$L594)&amp;" "&amp;INDEX(ポート振替表!$L$5:$L$3507,$L594)&amp;CHAR(10)&amp;"⇔ "&amp;INDEX(ポート振替表!$H$5:$H$3507,$L594)&amp;" "&amp;INDEX(ポート振替表!$I$5:$I$3507,$L594))</f>
        <v/>
      </c>
      <c r="L594" s="47" t="str">
        <f aca="false">IFERROR(MATCH(ROW()-4,ポート振替表!$V$5:$V$3507,0),"")</f>
        <v/>
      </c>
    </row>
    <row r="595" customFormat="false" ht="16.4" hidden="false" customHeight="false" outlineLevel="0" collapsed="false">
      <c r="A595" s="32" t="str">
        <f aca="false">IF(L595="","",ROW()-4)</f>
        <v/>
      </c>
      <c r="B595" s="58" t="str">
        <f aca="false">IF(L595="","",IF(INDEX(ポート振替表!$W$5:$W$3507,$L595)="","(なし)",INDEX(ポート振替表!$W$5:$W$3507,$L595)&amp;""))</f>
        <v/>
      </c>
      <c r="C595" s="52" t="str">
        <f aca="false">IF(L595="","",INDEX(ポート振替表!$B$5:$B$3507,$L595)&amp;" "&amp;INDEX(ポート振替表!$C$5:$C$3507,$L595)&amp;"  ⇔  "&amp;INDEX(ポート振替表!$H$5:$H$3507,$L595)&amp;" "&amp;INDEX(ポート振替表!$I$5:$I$3507,$L595))</f>
        <v/>
      </c>
      <c r="D595" s="57" t="s">
        <v>158</v>
      </c>
      <c r="E595" s="59" t="str">
        <f aca="false">IF(L595="","",IF(INDEX(ポート振替表!$O$5:$O$3507,$L595)="","(未設定)",INDEX(ポート振替表!$O$5:$O$3507,$L595)&amp;""))</f>
        <v/>
      </c>
      <c r="F595" s="52" t="str">
        <f aca="false">IF(L595="","",INDEX(ポート振替表!$K$5:$K$3507,$L595)&amp;" "&amp;INDEX(ポート振替表!$L$5:$L$3507,$L595)&amp;"  ⇔  "&amp;INDEX(ポート振替表!$H$5:$H$3507,$L595)&amp;" "&amp;INDEX(ポート振替表!$I$5:$I$3507,$L595))</f>
        <v/>
      </c>
      <c r="G595" s="57" t="s">
        <v>158</v>
      </c>
      <c r="H595" s="32" t="str">
        <f aca="false">IF(L595="","",INDEX(ポート振替表!$N$5:$N$3507,$L595)&amp;"")</f>
        <v/>
      </c>
      <c r="I595" s="32" t="str">
        <f aca="false">IF(L595="","",INDEX(ポート振替表!$P$5:$P$3507,$L595)&amp;"")</f>
        <v/>
      </c>
      <c r="J595" s="60" t="str">
        <f aca="false">IF(L595="","",INDEX(ポート振替表!$M$5:$M$3507,$L595)&amp;"")</f>
        <v/>
      </c>
      <c r="K595" s="52" t="str">
        <f aca="false">IF(L595="","",E595&amp;CHAR(10)&amp;INDEX(ポート振替表!$K$5:$K$3507,$L595)&amp;" "&amp;INDEX(ポート振替表!$L$5:$L$3507,$L595)&amp;CHAR(10)&amp;"⇔ "&amp;INDEX(ポート振替表!$H$5:$H$3507,$L595)&amp;" "&amp;INDEX(ポート振替表!$I$5:$I$3507,$L595))</f>
        <v/>
      </c>
      <c r="L595" s="47" t="str">
        <f aca="false">IFERROR(MATCH(ROW()-4,ポート振替表!$V$5:$V$3507,0),"")</f>
        <v/>
      </c>
    </row>
    <row r="596" customFormat="false" ht="16.4" hidden="false" customHeight="false" outlineLevel="0" collapsed="false">
      <c r="A596" s="32" t="str">
        <f aca="false">IF(L596="","",ROW()-4)</f>
        <v/>
      </c>
      <c r="B596" s="58" t="str">
        <f aca="false">IF(L596="","",IF(INDEX(ポート振替表!$W$5:$W$3507,$L596)="","(なし)",INDEX(ポート振替表!$W$5:$W$3507,$L596)&amp;""))</f>
        <v/>
      </c>
      <c r="C596" s="52" t="str">
        <f aca="false">IF(L596="","",INDEX(ポート振替表!$B$5:$B$3507,$L596)&amp;" "&amp;INDEX(ポート振替表!$C$5:$C$3507,$L596)&amp;"  ⇔  "&amp;INDEX(ポート振替表!$H$5:$H$3507,$L596)&amp;" "&amp;INDEX(ポート振替表!$I$5:$I$3507,$L596))</f>
        <v/>
      </c>
      <c r="D596" s="57" t="s">
        <v>158</v>
      </c>
      <c r="E596" s="59" t="str">
        <f aca="false">IF(L596="","",IF(INDEX(ポート振替表!$O$5:$O$3507,$L596)="","(未設定)",INDEX(ポート振替表!$O$5:$O$3507,$L596)&amp;""))</f>
        <v/>
      </c>
      <c r="F596" s="52" t="str">
        <f aca="false">IF(L596="","",INDEX(ポート振替表!$K$5:$K$3507,$L596)&amp;" "&amp;INDEX(ポート振替表!$L$5:$L$3507,$L596)&amp;"  ⇔  "&amp;INDEX(ポート振替表!$H$5:$H$3507,$L596)&amp;" "&amp;INDEX(ポート振替表!$I$5:$I$3507,$L596))</f>
        <v/>
      </c>
      <c r="G596" s="57" t="s">
        <v>158</v>
      </c>
      <c r="H596" s="32" t="str">
        <f aca="false">IF(L596="","",INDEX(ポート振替表!$N$5:$N$3507,$L596)&amp;"")</f>
        <v/>
      </c>
      <c r="I596" s="32" t="str">
        <f aca="false">IF(L596="","",INDEX(ポート振替表!$P$5:$P$3507,$L596)&amp;"")</f>
        <v/>
      </c>
      <c r="J596" s="60" t="str">
        <f aca="false">IF(L596="","",INDEX(ポート振替表!$M$5:$M$3507,$L596)&amp;"")</f>
        <v/>
      </c>
      <c r="K596" s="52" t="str">
        <f aca="false">IF(L596="","",E596&amp;CHAR(10)&amp;INDEX(ポート振替表!$K$5:$K$3507,$L596)&amp;" "&amp;INDEX(ポート振替表!$L$5:$L$3507,$L596)&amp;CHAR(10)&amp;"⇔ "&amp;INDEX(ポート振替表!$H$5:$H$3507,$L596)&amp;" "&amp;INDEX(ポート振替表!$I$5:$I$3507,$L596))</f>
        <v/>
      </c>
      <c r="L596" s="47" t="str">
        <f aca="false">IFERROR(MATCH(ROW()-4,ポート振替表!$V$5:$V$3507,0),"")</f>
        <v/>
      </c>
    </row>
    <row r="597" customFormat="false" ht="16.4" hidden="false" customHeight="false" outlineLevel="0" collapsed="false">
      <c r="A597" s="32" t="str">
        <f aca="false">IF(L597="","",ROW()-4)</f>
        <v/>
      </c>
      <c r="B597" s="58" t="str">
        <f aca="false">IF(L597="","",IF(INDEX(ポート振替表!$W$5:$W$3507,$L597)="","(なし)",INDEX(ポート振替表!$W$5:$W$3507,$L597)&amp;""))</f>
        <v/>
      </c>
      <c r="C597" s="52" t="str">
        <f aca="false">IF(L597="","",INDEX(ポート振替表!$B$5:$B$3507,$L597)&amp;" "&amp;INDEX(ポート振替表!$C$5:$C$3507,$L597)&amp;"  ⇔  "&amp;INDEX(ポート振替表!$H$5:$H$3507,$L597)&amp;" "&amp;INDEX(ポート振替表!$I$5:$I$3507,$L597))</f>
        <v/>
      </c>
      <c r="D597" s="57" t="s">
        <v>158</v>
      </c>
      <c r="E597" s="59" t="str">
        <f aca="false">IF(L597="","",IF(INDEX(ポート振替表!$O$5:$O$3507,$L597)="","(未設定)",INDEX(ポート振替表!$O$5:$O$3507,$L597)&amp;""))</f>
        <v/>
      </c>
      <c r="F597" s="52" t="str">
        <f aca="false">IF(L597="","",INDEX(ポート振替表!$K$5:$K$3507,$L597)&amp;" "&amp;INDEX(ポート振替表!$L$5:$L$3507,$L597)&amp;"  ⇔  "&amp;INDEX(ポート振替表!$H$5:$H$3507,$L597)&amp;" "&amp;INDEX(ポート振替表!$I$5:$I$3507,$L597))</f>
        <v/>
      </c>
      <c r="G597" s="57" t="s">
        <v>158</v>
      </c>
      <c r="H597" s="32" t="str">
        <f aca="false">IF(L597="","",INDEX(ポート振替表!$N$5:$N$3507,$L597)&amp;"")</f>
        <v/>
      </c>
      <c r="I597" s="32" t="str">
        <f aca="false">IF(L597="","",INDEX(ポート振替表!$P$5:$P$3507,$L597)&amp;"")</f>
        <v/>
      </c>
      <c r="J597" s="60" t="str">
        <f aca="false">IF(L597="","",INDEX(ポート振替表!$M$5:$M$3507,$L597)&amp;"")</f>
        <v/>
      </c>
      <c r="K597" s="52" t="str">
        <f aca="false">IF(L597="","",E597&amp;CHAR(10)&amp;INDEX(ポート振替表!$K$5:$K$3507,$L597)&amp;" "&amp;INDEX(ポート振替表!$L$5:$L$3507,$L597)&amp;CHAR(10)&amp;"⇔ "&amp;INDEX(ポート振替表!$H$5:$H$3507,$L597)&amp;" "&amp;INDEX(ポート振替表!$I$5:$I$3507,$L597))</f>
        <v/>
      </c>
      <c r="L597" s="47" t="str">
        <f aca="false">IFERROR(MATCH(ROW()-4,ポート振替表!$V$5:$V$3507,0),"")</f>
        <v/>
      </c>
    </row>
    <row r="598" customFormat="false" ht="16.4" hidden="false" customHeight="false" outlineLevel="0" collapsed="false">
      <c r="A598" s="32" t="str">
        <f aca="false">IF(L598="","",ROW()-4)</f>
        <v/>
      </c>
      <c r="B598" s="58" t="str">
        <f aca="false">IF(L598="","",IF(INDEX(ポート振替表!$W$5:$W$3507,$L598)="","(なし)",INDEX(ポート振替表!$W$5:$W$3507,$L598)&amp;""))</f>
        <v/>
      </c>
      <c r="C598" s="52" t="str">
        <f aca="false">IF(L598="","",INDEX(ポート振替表!$B$5:$B$3507,$L598)&amp;" "&amp;INDEX(ポート振替表!$C$5:$C$3507,$L598)&amp;"  ⇔  "&amp;INDEX(ポート振替表!$H$5:$H$3507,$L598)&amp;" "&amp;INDEX(ポート振替表!$I$5:$I$3507,$L598))</f>
        <v/>
      </c>
      <c r="D598" s="57" t="s">
        <v>158</v>
      </c>
      <c r="E598" s="59" t="str">
        <f aca="false">IF(L598="","",IF(INDEX(ポート振替表!$O$5:$O$3507,$L598)="","(未設定)",INDEX(ポート振替表!$O$5:$O$3507,$L598)&amp;""))</f>
        <v/>
      </c>
      <c r="F598" s="52" t="str">
        <f aca="false">IF(L598="","",INDEX(ポート振替表!$K$5:$K$3507,$L598)&amp;" "&amp;INDEX(ポート振替表!$L$5:$L$3507,$L598)&amp;"  ⇔  "&amp;INDEX(ポート振替表!$H$5:$H$3507,$L598)&amp;" "&amp;INDEX(ポート振替表!$I$5:$I$3507,$L598))</f>
        <v/>
      </c>
      <c r="G598" s="57" t="s">
        <v>158</v>
      </c>
      <c r="H598" s="32" t="str">
        <f aca="false">IF(L598="","",INDEX(ポート振替表!$N$5:$N$3507,$L598)&amp;"")</f>
        <v/>
      </c>
      <c r="I598" s="32" t="str">
        <f aca="false">IF(L598="","",INDEX(ポート振替表!$P$5:$P$3507,$L598)&amp;"")</f>
        <v/>
      </c>
      <c r="J598" s="60" t="str">
        <f aca="false">IF(L598="","",INDEX(ポート振替表!$M$5:$M$3507,$L598)&amp;"")</f>
        <v/>
      </c>
      <c r="K598" s="52" t="str">
        <f aca="false">IF(L598="","",E598&amp;CHAR(10)&amp;INDEX(ポート振替表!$K$5:$K$3507,$L598)&amp;" "&amp;INDEX(ポート振替表!$L$5:$L$3507,$L598)&amp;CHAR(10)&amp;"⇔ "&amp;INDEX(ポート振替表!$H$5:$H$3507,$L598)&amp;" "&amp;INDEX(ポート振替表!$I$5:$I$3507,$L598))</f>
        <v/>
      </c>
      <c r="L598" s="47" t="str">
        <f aca="false">IFERROR(MATCH(ROW()-4,ポート振替表!$V$5:$V$3507,0),"")</f>
        <v/>
      </c>
    </row>
    <row r="599" customFormat="false" ht="16.4" hidden="false" customHeight="false" outlineLevel="0" collapsed="false">
      <c r="A599" s="32" t="str">
        <f aca="false">IF(L599="","",ROW()-4)</f>
        <v/>
      </c>
      <c r="B599" s="58" t="str">
        <f aca="false">IF(L599="","",IF(INDEX(ポート振替表!$W$5:$W$3507,$L599)="","(なし)",INDEX(ポート振替表!$W$5:$W$3507,$L599)&amp;""))</f>
        <v/>
      </c>
      <c r="C599" s="52" t="str">
        <f aca="false">IF(L599="","",INDEX(ポート振替表!$B$5:$B$3507,$L599)&amp;" "&amp;INDEX(ポート振替表!$C$5:$C$3507,$L599)&amp;"  ⇔  "&amp;INDEX(ポート振替表!$H$5:$H$3507,$L599)&amp;" "&amp;INDEX(ポート振替表!$I$5:$I$3507,$L599))</f>
        <v/>
      </c>
      <c r="D599" s="57" t="s">
        <v>158</v>
      </c>
      <c r="E599" s="59" t="str">
        <f aca="false">IF(L599="","",IF(INDEX(ポート振替表!$O$5:$O$3507,$L599)="","(未設定)",INDEX(ポート振替表!$O$5:$O$3507,$L599)&amp;""))</f>
        <v/>
      </c>
      <c r="F599" s="52" t="str">
        <f aca="false">IF(L599="","",INDEX(ポート振替表!$K$5:$K$3507,$L599)&amp;" "&amp;INDEX(ポート振替表!$L$5:$L$3507,$L599)&amp;"  ⇔  "&amp;INDEX(ポート振替表!$H$5:$H$3507,$L599)&amp;" "&amp;INDEX(ポート振替表!$I$5:$I$3507,$L599))</f>
        <v/>
      </c>
      <c r="G599" s="57" t="s">
        <v>158</v>
      </c>
      <c r="H599" s="32" t="str">
        <f aca="false">IF(L599="","",INDEX(ポート振替表!$N$5:$N$3507,$L599)&amp;"")</f>
        <v/>
      </c>
      <c r="I599" s="32" t="str">
        <f aca="false">IF(L599="","",INDEX(ポート振替表!$P$5:$P$3507,$L599)&amp;"")</f>
        <v/>
      </c>
      <c r="J599" s="60" t="str">
        <f aca="false">IF(L599="","",INDEX(ポート振替表!$M$5:$M$3507,$L599)&amp;"")</f>
        <v/>
      </c>
      <c r="K599" s="52" t="str">
        <f aca="false">IF(L599="","",E599&amp;CHAR(10)&amp;INDEX(ポート振替表!$K$5:$K$3507,$L599)&amp;" "&amp;INDEX(ポート振替表!$L$5:$L$3507,$L599)&amp;CHAR(10)&amp;"⇔ "&amp;INDEX(ポート振替表!$H$5:$H$3507,$L599)&amp;" "&amp;INDEX(ポート振替表!$I$5:$I$3507,$L599))</f>
        <v/>
      </c>
      <c r="L599" s="47" t="str">
        <f aca="false">IFERROR(MATCH(ROW()-4,ポート振替表!$V$5:$V$3507,0),"")</f>
        <v/>
      </c>
    </row>
    <row r="600" customFormat="false" ht="16.4" hidden="false" customHeight="false" outlineLevel="0" collapsed="false">
      <c r="A600" s="32" t="str">
        <f aca="false">IF(L600="","",ROW()-4)</f>
        <v/>
      </c>
      <c r="B600" s="58" t="str">
        <f aca="false">IF(L600="","",IF(INDEX(ポート振替表!$W$5:$W$3507,$L600)="","(なし)",INDEX(ポート振替表!$W$5:$W$3507,$L600)&amp;""))</f>
        <v/>
      </c>
      <c r="C600" s="52" t="str">
        <f aca="false">IF(L600="","",INDEX(ポート振替表!$B$5:$B$3507,$L600)&amp;" "&amp;INDEX(ポート振替表!$C$5:$C$3507,$L600)&amp;"  ⇔  "&amp;INDEX(ポート振替表!$H$5:$H$3507,$L600)&amp;" "&amp;INDEX(ポート振替表!$I$5:$I$3507,$L600))</f>
        <v/>
      </c>
      <c r="D600" s="57" t="s">
        <v>158</v>
      </c>
      <c r="E600" s="59" t="str">
        <f aca="false">IF(L600="","",IF(INDEX(ポート振替表!$O$5:$O$3507,$L600)="","(未設定)",INDEX(ポート振替表!$O$5:$O$3507,$L600)&amp;""))</f>
        <v/>
      </c>
      <c r="F600" s="52" t="str">
        <f aca="false">IF(L600="","",INDEX(ポート振替表!$K$5:$K$3507,$L600)&amp;" "&amp;INDEX(ポート振替表!$L$5:$L$3507,$L600)&amp;"  ⇔  "&amp;INDEX(ポート振替表!$H$5:$H$3507,$L600)&amp;" "&amp;INDEX(ポート振替表!$I$5:$I$3507,$L600))</f>
        <v/>
      </c>
      <c r="G600" s="57" t="s">
        <v>158</v>
      </c>
      <c r="H600" s="32" t="str">
        <f aca="false">IF(L600="","",INDEX(ポート振替表!$N$5:$N$3507,$L600)&amp;"")</f>
        <v/>
      </c>
      <c r="I600" s="32" t="str">
        <f aca="false">IF(L600="","",INDEX(ポート振替表!$P$5:$P$3507,$L600)&amp;"")</f>
        <v/>
      </c>
      <c r="J600" s="60" t="str">
        <f aca="false">IF(L600="","",INDEX(ポート振替表!$M$5:$M$3507,$L600)&amp;"")</f>
        <v/>
      </c>
      <c r="K600" s="52" t="str">
        <f aca="false">IF(L600="","",E600&amp;CHAR(10)&amp;INDEX(ポート振替表!$K$5:$K$3507,$L600)&amp;" "&amp;INDEX(ポート振替表!$L$5:$L$3507,$L600)&amp;CHAR(10)&amp;"⇔ "&amp;INDEX(ポート振替表!$H$5:$H$3507,$L600)&amp;" "&amp;INDEX(ポート振替表!$I$5:$I$3507,$L600))</f>
        <v/>
      </c>
      <c r="L600" s="47" t="str">
        <f aca="false">IFERROR(MATCH(ROW()-4,ポート振替表!$V$5:$V$3507,0),"")</f>
        <v/>
      </c>
    </row>
    <row r="601" customFormat="false" ht="16.4" hidden="false" customHeight="false" outlineLevel="0" collapsed="false">
      <c r="A601" s="32" t="str">
        <f aca="false">IF(L601="","",ROW()-4)</f>
        <v/>
      </c>
      <c r="B601" s="58" t="str">
        <f aca="false">IF(L601="","",IF(INDEX(ポート振替表!$W$5:$W$3507,$L601)="","(なし)",INDEX(ポート振替表!$W$5:$W$3507,$L601)&amp;""))</f>
        <v/>
      </c>
      <c r="C601" s="52" t="str">
        <f aca="false">IF(L601="","",INDEX(ポート振替表!$B$5:$B$3507,$L601)&amp;" "&amp;INDEX(ポート振替表!$C$5:$C$3507,$L601)&amp;"  ⇔  "&amp;INDEX(ポート振替表!$H$5:$H$3507,$L601)&amp;" "&amp;INDEX(ポート振替表!$I$5:$I$3507,$L601))</f>
        <v/>
      </c>
      <c r="D601" s="57" t="s">
        <v>158</v>
      </c>
      <c r="E601" s="59" t="str">
        <f aca="false">IF(L601="","",IF(INDEX(ポート振替表!$O$5:$O$3507,$L601)="","(未設定)",INDEX(ポート振替表!$O$5:$O$3507,$L601)&amp;""))</f>
        <v/>
      </c>
      <c r="F601" s="52" t="str">
        <f aca="false">IF(L601="","",INDEX(ポート振替表!$K$5:$K$3507,$L601)&amp;" "&amp;INDEX(ポート振替表!$L$5:$L$3507,$L601)&amp;"  ⇔  "&amp;INDEX(ポート振替表!$H$5:$H$3507,$L601)&amp;" "&amp;INDEX(ポート振替表!$I$5:$I$3507,$L601))</f>
        <v/>
      </c>
      <c r="G601" s="57" t="s">
        <v>158</v>
      </c>
      <c r="H601" s="32" t="str">
        <f aca="false">IF(L601="","",INDEX(ポート振替表!$N$5:$N$3507,$L601)&amp;"")</f>
        <v/>
      </c>
      <c r="I601" s="32" t="str">
        <f aca="false">IF(L601="","",INDEX(ポート振替表!$P$5:$P$3507,$L601)&amp;"")</f>
        <v/>
      </c>
      <c r="J601" s="60" t="str">
        <f aca="false">IF(L601="","",INDEX(ポート振替表!$M$5:$M$3507,$L601)&amp;"")</f>
        <v/>
      </c>
      <c r="K601" s="52" t="str">
        <f aca="false">IF(L601="","",E601&amp;CHAR(10)&amp;INDEX(ポート振替表!$K$5:$K$3507,$L601)&amp;" "&amp;INDEX(ポート振替表!$L$5:$L$3507,$L601)&amp;CHAR(10)&amp;"⇔ "&amp;INDEX(ポート振替表!$H$5:$H$3507,$L601)&amp;" "&amp;INDEX(ポート振替表!$I$5:$I$3507,$L601))</f>
        <v/>
      </c>
      <c r="L601" s="47" t="str">
        <f aca="false">IFERROR(MATCH(ROW()-4,ポート振替表!$V$5:$V$3507,0),"")</f>
        <v/>
      </c>
    </row>
    <row r="602" customFormat="false" ht="16.4" hidden="false" customHeight="false" outlineLevel="0" collapsed="false">
      <c r="A602" s="32" t="str">
        <f aca="false">IF(L602="","",ROW()-4)</f>
        <v/>
      </c>
      <c r="B602" s="58" t="str">
        <f aca="false">IF(L602="","",IF(INDEX(ポート振替表!$W$5:$W$3507,$L602)="","(なし)",INDEX(ポート振替表!$W$5:$W$3507,$L602)&amp;""))</f>
        <v/>
      </c>
      <c r="C602" s="52" t="str">
        <f aca="false">IF(L602="","",INDEX(ポート振替表!$B$5:$B$3507,$L602)&amp;" "&amp;INDEX(ポート振替表!$C$5:$C$3507,$L602)&amp;"  ⇔  "&amp;INDEX(ポート振替表!$H$5:$H$3507,$L602)&amp;" "&amp;INDEX(ポート振替表!$I$5:$I$3507,$L602))</f>
        <v/>
      </c>
      <c r="D602" s="57" t="s">
        <v>158</v>
      </c>
      <c r="E602" s="59" t="str">
        <f aca="false">IF(L602="","",IF(INDEX(ポート振替表!$O$5:$O$3507,$L602)="","(未設定)",INDEX(ポート振替表!$O$5:$O$3507,$L602)&amp;""))</f>
        <v/>
      </c>
      <c r="F602" s="52" t="str">
        <f aca="false">IF(L602="","",INDEX(ポート振替表!$K$5:$K$3507,$L602)&amp;" "&amp;INDEX(ポート振替表!$L$5:$L$3507,$L602)&amp;"  ⇔  "&amp;INDEX(ポート振替表!$H$5:$H$3507,$L602)&amp;" "&amp;INDEX(ポート振替表!$I$5:$I$3507,$L602))</f>
        <v/>
      </c>
      <c r="G602" s="57" t="s">
        <v>158</v>
      </c>
      <c r="H602" s="32" t="str">
        <f aca="false">IF(L602="","",INDEX(ポート振替表!$N$5:$N$3507,$L602)&amp;"")</f>
        <v/>
      </c>
      <c r="I602" s="32" t="str">
        <f aca="false">IF(L602="","",INDEX(ポート振替表!$P$5:$P$3507,$L602)&amp;"")</f>
        <v/>
      </c>
      <c r="J602" s="60" t="str">
        <f aca="false">IF(L602="","",INDEX(ポート振替表!$M$5:$M$3507,$L602)&amp;"")</f>
        <v/>
      </c>
      <c r="K602" s="52" t="str">
        <f aca="false">IF(L602="","",E602&amp;CHAR(10)&amp;INDEX(ポート振替表!$K$5:$K$3507,$L602)&amp;" "&amp;INDEX(ポート振替表!$L$5:$L$3507,$L602)&amp;CHAR(10)&amp;"⇔ "&amp;INDEX(ポート振替表!$H$5:$H$3507,$L602)&amp;" "&amp;INDEX(ポート振替表!$I$5:$I$3507,$L602))</f>
        <v/>
      </c>
      <c r="L602" s="47" t="str">
        <f aca="false">IFERROR(MATCH(ROW()-4,ポート振替表!$V$5:$V$3507,0),"")</f>
        <v/>
      </c>
    </row>
    <row r="603" customFormat="false" ht="16.4" hidden="false" customHeight="false" outlineLevel="0" collapsed="false">
      <c r="A603" s="32" t="str">
        <f aca="false">IF(L603="","",ROW()-4)</f>
        <v/>
      </c>
      <c r="B603" s="58" t="str">
        <f aca="false">IF(L603="","",IF(INDEX(ポート振替表!$W$5:$W$3507,$L603)="","(なし)",INDEX(ポート振替表!$W$5:$W$3507,$L603)&amp;""))</f>
        <v/>
      </c>
      <c r="C603" s="52" t="str">
        <f aca="false">IF(L603="","",INDEX(ポート振替表!$B$5:$B$3507,$L603)&amp;" "&amp;INDEX(ポート振替表!$C$5:$C$3507,$L603)&amp;"  ⇔  "&amp;INDEX(ポート振替表!$H$5:$H$3507,$L603)&amp;" "&amp;INDEX(ポート振替表!$I$5:$I$3507,$L603))</f>
        <v/>
      </c>
      <c r="D603" s="57" t="s">
        <v>158</v>
      </c>
      <c r="E603" s="59" t="str">
        <f aca="false">IF(L603="","",IF(INDEX(ポート振替表!$O$5:$O$3507,$L603)="","(未設定)",INDEX(ポート振替表!$O$5:$O$3507,$L603)&amp;""))</f>
        <v/>
      </c>
      <c r="F603" s="52" t="str">
        <f aca="false">IF(L603="","",INDEX(ポート振替表!$K$5:$K$3507,$L603)&amp;" "&amp;INDEX(ポート振替表!$L$5:$L$3507,$L603)&amp;"  ⇔  "&amp;INDEX(ポート振替表!$H$5:$H$3507,$L603)&amp;" "&amp;INDEX(ポート振替表!$I$5:$I$3507,$L603))</f>
        <v/>
      </c>
      <c r="G603" s="57" t="s">
        <v>158</v>
      </c>
      <c r="H603" s="32" t="str">
        <f aca="false">IF(L603="","",INDEX(ポート振替表!$N$5:$N$3507,$L603)&amp;"")</f>
        <v/>
      </c>
      <c r="I603" s="32" t="str">
        <f aca="false">IF(L603="","",INDEX(ポート振替表!$P$5:$P$3507,$L603)&amp;"")</f>
        <v/>
      </c>
      <c r="J603" s="60" t="str">
        <f aca="false">IF(L603="","",INDEX(ポート振替表!$M$5:$M$3507,$L603)&amp;"")</f>
        <v/>
      </c>
      <c r="K603" s="52" t="str">
        <f aca="false">IF(L603="","",E603&amp;CHAR(10)&amp;INDEX(ポート振替表!$K$5:$K$3507,$L603)&amp;" "&amp;INDEX(ポート振替表!$L$5:$L$3507,$L603)&amp;CHAR(10)&amp;"⇔ "&amp;INDEX(ポート振替表!$H$5:$H$3507,$L603)&amp;" "&amp;INDEX(ポート振替表!$I$5:$I$3507,$L603))</f>
        <v/>
      </c>
      <c r="L603" s="47" t="str">
        <f aca="false">IFERROR(MATCH(ROW()-4,ポート振替表!$V$5:$V$3507,0),"")</f>
        <v/>
      </c>
    </row>
    <row r="604" customFormat="false" ht="16.4" hidden="false" customHeight="false" outlineLevel="0" collapsed="false">
      <c r="A604" s="32" t="str">
        <f aca="false">IF(L604="","",ROW()-4)</f>
        <v/>
      </c>
      <c r="B604" s="58" t="str">
        <f aca="false">IF(L604="","",IF(INDEX(ポート振替表!$W$5:$W$3507,$L604)="","(なし)",INDEX(ポート振替表!$W$5:$W$3507,$L604)&amp;""))</f>
        <v/>
      </c>
      <c r="C604" s="52" t="str">
        <f aca="false">IF(L604="","",INDEX(ポート振替表!$B$5:$B$3507,$L604)&amp;" "&amp;INDEX(ポート振替表!$C$5:$C$3507,$L604)&amp;"  ⇔  "&amp;INDEX(ポート振替表!$H$5:$H$3507,$L604)&amp;" "&amp;INDEX(ポート振替表!$I$5:$I$3507,$L604))</f>
        <v/>
      </c>
      <c r="D604" s="57" t="s">
        <v>158</v>
      </c>
      <c r="E604" s="59" t="str">
        <f aca="false">IF(L604="","",IF(INDEX(ポート振替表!$O$5:$O$3507,$L604)="","(未設定)",INDEX(ポート振替表!$O$5:$O$3507,$L604)&amp;""))</f>
        <v/>
      </c>
      <c r="F604" s="52" t="str">
        <f aca="false">IF(L604="","",INDEX(ポート振替表!$K$5:$K$3507,$L604)&amp;" "&amp;INDEX(ポート振替表!$L$5:$L$3507,$L604)&amp;"  ⇔  "&amp;INDEX(ポート振替表!$H$5:$H$3507,$L604)&amp;" "&amp;INDEX(ポート振替表!$I$5:$I$3507,$L604))</f>
        <v/>
      </c>
      <c r="G604" s="57" t="s">
        <v>158</v>
      </c>
      <c r="H604" s="32" t="str">
        <f aca="false">IF(L604="","",INDEX(ポート振替表!$N$5:$N$3507,$L604)&amp;"")</f>
        <v/>
      </c>
      <c r="I604" s="32" t="str">
        <f aca="false">IF(L604="","",INDEX(ポート振替表!$P$5:$P$3507,$L604)&amp;"")</f>
        <v/>
      </c>
      <c r="J604" s="60" t="str">
        <f aca="false">IF(L604="","",INDEX(ポート振替表!$M$5:$M$3507,$L604)&amp;"")</f>
        <v/>
      </c>
      <c r="K604" s="52" t="str">
        <f aca="false">IF(L604="","",E604&amp;CHAR(10)&amp;INDEX(ポート振替表!$K$5:$K$3507,$L604)&amp;" "&amp;INDEX(ポート振替表!$L$5:$L$3507,$L604)&amp;CHAR(10)&amp;"⇔ "&amp;INDEX(ポート振替表!$H$5:$H$3507,$L604)&amp;" "&amp;INDEX(ポート振替表!$I$5:$I$3507,$L604))</f>
        <v/>
      </c>
      <c r="L604" s="47" t="str">
        <f aca="false">IFERROR(MATCH(ROW()-4,ポート振替表!$V$5:$V$3507,0),"")</f>
        <v/>
      </c>
    </row>
    <row r="605" customFormat="false" ht="16.4" hidden="false" customHeight="false" outlineLevel="0" collapsed="false">
      <c r="A605" s="32" t="str">
        <f aca="false">IF(L605="","",ROW()-4)</f>
        <v/>
      </c>
      <c r="B605" s="58" t="str">
        <f aca="false">IF(L605="","",IF(INDEX(ポート振替表!$W$5:$W$3507,$L605)="","(なし)",INDEX(ポート振替表!$W$5:$W$3507,$L605)&amp;""))</f>
        <v/>
      </c>
      <c r="C605" s="52" t="str">
        <f aca="false">IF(L605="","",INDEX(ポート振替表!$B$5:$B$3507,$L605)&amp;" "&amp;INDEX(ポート振替表!$C$5:$C$3507,$L605)&amp;"  ⇔  "&amp;INDEX(ポート振替表!$H$5:$H$3507,$L605)&amp;" "&amp;INDEX(ポート振替表!$I$5:$I$3507,$L605))</f>
        <v/>
      </c>
      <c r="D605" s="57" t="s">
        <v>158</v>
      </c>
      <c r="E605" s="59" t="str">
        <f aca="false">IF(L605="","",IF(INDEX(ポート振替表!$O$5:$O$3507,$L605)="","(未設定)",INDEX(ポート振替表!$O$5:$O$3507,$L605)&amp;""))</f>
        <v/>
      </c>
      <c r="F605" s="52" t="str">
        <f aca="false">IF(L605="","",INDEX(ポート振替表!$K$5:$K$3507,$L605)&amp;" "&amp;INDEX(ポート振替表!$L$5:$L$3507,$L605)&amp;"  ⇔  "&amp;INDEX(ポート振替表!$H$5:$H$3507,$L605)&amp;" "&amp;INDEX(ポート振替表!$I$5:$I$3507,$L605))</f>
        <v/>
      </c>
      <c r="G605" s="57" t="s">
        <v>158</v>
      </c>
      <c r="H605" s="32" t="str">
        <f aca="false">IF(L605="","",INDEX(ポート振替表!$N$5:$N$3507,$L605)&amp;"")</f>
        <v/>
      </c>
      <c r="I605" s="32" t="str">
        <f aca="false">IF(L605="","",INDEX(ポート振替表!$P$5:$P$3507,$L605)&amp;"")</f>
        <v/>
      </c>
      <c r="J605" s="60" t="str">
        <f aca="false">IF(L605="","",INDEX(ポート振替表!$M$5:$M$3507,$L605)&amp;"")</f>
        <v/>
      </c>
      <c r="K605" s="52" t="str">
        <f aca="false">IF(L605="","",E605&amp;CHAR(10)&amp;INDEX(ポート振替表!$K$5:$K$3507,$L605)&amp;" "&amp;INDEX(ポート振替表!$L$5:$L$3507,$L605)&amp;CHAR(10)&amp;"⇔ "&amp;INDEX(ポート振替表!$H$5:$H$3507,$L605)&amp;" "&amp;INDEX(ポート振替表!$I$5:$I$3507,$L605))</f>
        <v/>
      </c>
      <c r="L605" s="47" t="str">
        <f aca="false">IFERROR(MATCH(ROW()-4,ポート振替表!$V$5:$V$3507,0),"")</f>
        <v/>
      </c>
    </row>
    <row r="606" customFormat="false" ht="16.4" hidden="false" customHeight="false" outlineLevel="0" collapsed="false">
      <c r="A606" s="32" t="str">
        <f aca="false">IF(L606="","",ROW()-4)</f>
        <v/>
      </c>
      <c r="B606" s="58" t="str">
        <f aca="false">IF(L606="","",IF(INDEX(ポート振替表!$W$5:$W$3507,$L606)="","(なし)",INDEX(ポート振替表!$W$5:$W$3507,$L606)&amp;""))</f>
        <v/>
      </c>
      <c r="C606" s="52" t="str">
        <f aca="false">IF(L606="","",INDEX(ポート振替表!$B$5:$B$3507,$L606)&amp;" "&amp;INDEX(ポート振替表!$C$5:$C$3507,$L606)&amp;"  ⇔  "&amp;INDEX(ポート振替表!$H$5:$H$3507,$L606)&amp;" "&amp;INDEX(ポート振替表!$I$5:$I$3507,$L606))</f>
        <v/>
      </c>
      <c r="D606" s="57" t="s">
        <v>158</v>
      </c>
      <c r="E606" s="59" t="str">
        <f aca="false">IF(L606="","",IF(INDEX(ポート振替表!$O$5:$O$3507,$L606)="","(未設定)",INDEX(ポート振替表!$O$5:$O$3507,$L606)&amp;""))</f>
        <v/>
      </c>
      <c r="F606" s="52" t="str">
        <f aca="false">IF(L606="","",INDEX(ポート振替表!$K$5:$K$3507,$L606)&amp;" "&amp;INDEX(ポート振替表!$L$5:$L$3507,$L606)&amp;"  ⇔  "&amp;INDEX(ポート振替表!$H$5:$H$3507,$L606)&amp;" "&amp;INDEX(ポート振替表!$I$5:$I$3507,$L606))</f>
        <v/>
      </c>
      <c r="G606" s="57" t="s">
        <v>158</v>
      </c>
      <c r="H606" s="32" t="str">
        <f aca="false">IF(L606="","",INDEX(ポート振替表!$N$5:$N$3507,$L606)&amp;"")</f>
        <v/>
      </c>
      <c r="I606" s="32" t="str">
        <f aca="false">IF(L606="","",INDEX(ポート振替表!$P$5:$P$3507,$L606)&amp;"")</f>
        <v/>
      </c>
      <c r="J606" s="60" t="str">
        <f aca="false">IF(L606="","",INDEX(ポート振替表!$M$5:$M$3507,$L606)&amp;"")</f>
        <v/>
      </c>
      <c r="K606" s="52" t="str">
        <f aca="false">IF(L606="","",E606&amp;CHAR(10)&amp;INDEX(ポート振替表!$K$5:$K$3507,$L606)&amp;" "&amp;INDEX(ポート振替表!$L$5:$L$3507,$L606)&amp;CHAR(10)&amp;"⇔ "&amp;INDEX(ポート振替表!$H$5:$H$3507,$L606)&amp;" "&amp;INDEX(ポート振替表!$I$5:$I$3507,$L606))</f>
        <v/>
      </c>
      <c r="L606" s="47" t="str">
        <f aca="false">IFERROR(MATCH(ROW()-4,ポート振替表!$V$5:$V$3507,0),"")</f>
        <v/>
      </c>
    </row>
    <row r="607" customFormat="false" ht="16.4" hidden="false" customHeight="false" outlineLevel="0" collapsed="false">
      <c r="A607" s="32" t="str">
        <f aca="false">IF(L607="","",ROW()-4)</f>
        <v/>
      </c>
      <c r="B607" s="58" t="str">
        <f aca="false">IF(L607="","",IF(INDEX(ポート振替表!$W$5:$W$3507,$L607)="","(なし)",INDEX(ポート振替表!$W$5:$W$3507,$L607)&amp;""))</f>
        <v/>
      </c>
      <c r="C607" s="52" t="str">
        <f aca="false">IF(L607="","",INDEX(ポート振替表!$B$5:$B$3507,$L607)&amp;" "&amp;INDEX(ポート振替表!$C$5:$C$3507,$L607)&amp;"  ⇔  "&amp;INDEX(ポート振替表!$H$5:$H$3507,$L607)&amp;" "&amp;INDEX(ポート振替表!$I$5:$I$3507,$L607))</f>
        <v/>
      </c>
      <c r="D607" s="57" t="s">
        <v>158</v>
      </c>
      <c r="E607" s="59" t="str">
        <f aca="false">IF(L607="","",IF(INDEX(ポート振替表!$O$5:$O$3507,$L607)="","(未設定)",INDEX(ポート振替表!$O$5:$O$3507,$L607)&amp;""))</f>
        <v/>
      </c>
      <c r="F607" s="52" t="str">
        <f aca="false">IF(L607="","",INDEX(ポート振替表!$K$5:$K$3507,$L607)&amp;" "&amp;INDEX(ポート振替表!$L$5:$L$3507,$L607)&amp;"  ⇔  "&amp;INDEX(ポート振替表!$H$5:$H$3507,$L607)&amp;" "&amp;INDEX(ポート振替表!$I$5:$I$3507,$L607))</f>
        <v/>
      </c>
      <c r="G607" s="57" t="s">
        <v>158</v>
      </c>
      <c r="H607" s="32" t="str">
        <f aca="false">IF(L607="","",INDEX(ポート振替表!$N$5:$N$3507,$L607)&amp;"")</f>
        <v/>
      </c>
      <c r="I607" s="32" t="str">
        <f aca="false">IF(L607="","",INDEX(ポート振替表!$P$5:$P$3507,$L607)&amp;"")</f>
        <v/>
      </c>
      <c r="J607" s="60" t="str">
        <f aca="false">IF(L607="","",INDEX(ポート振替表!$M$5:$M$3507,$L607)&amp;"")</f>
        <v/>
      </c>
      <c r="K607" s="52" t="str">
        <f aca="false">IF(L607="","",E607&amp;CHAR(10)&amp;INDEX(ポート振替表!$K$5:$K$3507,$L607)&amp;" "&amp;INDEX(ポート振替表!$L$5:$L$3507,$L607)&amp;CHAR(10)&amp;"⇔ "&amp;INDEX(ポート振替表!$H$5:$H$3507,$L607)&amp;" "&amp;INDEX(ポート振替表!$I$5:$I$3507,$L607))</f>
        <v/>
      </c>
      <c r="L607" s="47" t="str">
        <f aca="false">IFERROR(MATCH(ROW()-4,ポート振替表!$V$5:$V$3507,0),"")</f>
        <v/>
      </c>
    </row>
    <row r="608" customFormat="false" ht="16.4" hidden="false" customHeight="false" outlineLevel="0" collapsed="false">
      <c r="A608" s="32" t="str">
        <f aca="false">IF(L608="","",ROW()-4)</f>
        <v/>
      </c>
      <c r="B608" s="58" t="str">
        <f aca="false">IF(L608="","",IF(INDEX(ポート振替表!$W$5:$W$3507,$L608)="","(なし)",INDEX(ポート振替表!$W$5:$W$3507,$L608)&amp;""))</f>
        <v/>
      </c>
      <c r="C608" s="52" t="str">
        <f aca="false">IF(L608="","",INDEX(ポート振替表!$B$5:$B$3507,$L608)&amp;" "&amp;INDEX(ポート振替表!$C$5:$C$3507,$L608)&amp;"  ⇔  "&amp;INDEX(ポート振替表!$H$5:$H$3507,$L608)&amp;" "&amp;INDEX(ポート振替表!$I$5:$I$3507,$L608))</f>
        <v/>
      </c>
      <c r="D608" s="57" t="s">
        <v>158</v>
      </c>
      <c r="E608" s="59" t="str">
        <f aca="false">IF(L608="","",IF(INDEX(ポート振替表!$O$5:$O$3507,$L608)="","(未設定)",INDEX(ポート振替表!$O$5:$O$3507,$L608)&amp;""))</f>
        <v/>
      </c>
      <c r="F608" s="52" t="str">
        <f aca="false">IF(L608="","",INDEX(ポート振替表!$K$5:$K$3507,$L608)&amp;" "&amp;INDEX(ポート振替表!$L$5:$L$3507,$L608)&amp;"  ⇔  "&amp;INDEX(ポート振替表!$H$5:$H$3507,$L608)&amp;" "&amp;INDEX(ポート振替表!$I$5:$I$3507,$L608))</f>
        <v/>
      </c>
      <c r="G608" s="57" t="s">
        <v>158</v>
      </c>
      <c r="H608" s="32" t="str">
        <f aca="false">IF(L608="","",INDEX(ポート振替表!$N$5:$N$3507,$L608)&amp;"")</f>
        <v/>
      </c>
      <c r="I608" s="32" t="str">
        <f aca="false">IF(L608="","",INDEX(ポート振替表!$P$5:$P$3507,$L608)&amp;"")</f>
        <v/>
      </c>
      <c r="J608" s="60" t="str">
        <f aca="false">IF(L608="","",INDEX(ポート振替表!$M$5:$M$3507,$L608)&amp;"")</f>
        <v/>
      </c>
      <c r="K608" s="52" t="str">
        <f aca="false">IF(L608="","",E608&amp;CHAR(10)&amp;INDEX(ポート振替表!$K$5:$K$3507,$L608)&amp;" "&amp;INDEX(ポート振替表!$L$5:$L$3507,$L608)&amp;CHAR(10)&amp;"⇔ "&amp;INDEX(ポート振替表!$H$5:$H$3507,$L608)&amp;" "&amp;INDEX(ポート振替表!$I$5:$I$3507,$L608))</f>
        <v/>
      </c>
      <c r="L608" s="47" t="str">
        <f aca="false">IFERROR(MATCH(ROW()-4,ポート振替表!$V$5:$V$3507,0),"")</f>
        <v/>
      </c>
    </row>
    <row r="609" customFormat="false" ht="16.4" hidden="false" customHeight="false" outlineLevel="0" collapsed="false">
      <c r="A609" s="32" t="str">
        <f aca="false">IF(L609="","",ROW()-4)</f>
        <v/>
      </c>
      <c r="B609" s="58" t="str">
        <f aca="false">IF(L609="","",IF(INDEX(ポート振替表!$W$5:$W$3507,$L609)="","(なし)",INDEX(ポート振替表!$W$5:$W$3507,$L609)&amp;""))</f>
        <v/>
      </c>
      <c r="C609" s="52" t="str">
        <f aca="false">IF(L609="","",INDEX(ポート振替表!$B$5:$B$3507,$L609)&amp;" "&amp;INDEX(ポート振替表!$C$5:$C$3507,$L609)&amp;"  ⇔  "&amp;INDEX(ポート振替表!$H$5:$H$3507,$L609)&amp;" "&amp;INDEX(ポート振替表!$I$5:$I$3507,$L609))</f>
        <v/>
      </c>
      <c r="D609" s="57" t="s">
        <v>158</v>
      </c>
      <c r="E609" s="59" t="str">
        <f aca="false">IF(L609="","",IF(INDEX(ポート振替表!$O$5:$O$3507,$L609)="","(未設定)",INDEX(ポート振替表!$O$5:$O$3507,$L609)&amp;""))</f>
        <v/>
      </c>
      <c r="F609" s="52" t="str">
        <f aca="false">IF(L609="","",INDEX(ポート振替表!$K$5:$K$3507,$L609)&amp;" "&amp;INDEX(ポート振替表!$L$5:$L$3507,$L609)&amp;"  ⇔  "&amp;INDEX(ポート振替表!$H$5:$H$3507,$L609)&amp;" "&amp;INDEX(ポート振替表!$I$5:$I$3507,$L609))</f>
        <v/>
      </c>
      <c r="G609" s="57" t="s">
        <v>158</v>
      </c>
      <c r="H609" s="32" t="str">
        <f aca="false">IF(L609="","",INDEX(ポート振替表!$N$5:$N$3507,$L609)&amp;"")</f>
        <v/>
      </c>
      <c r="I609" s="32" t="str">
        <f aca="false">IF(L609="","",INDEX(ポート振替表!$P$5:$P$3507,$L609)&amp;"")</f>
        <v/>
      </c>
      <c r="J609" s="60" t="str">
        <f aca="false">IF(L609="","",INDEX(ポート振替表!$M$5:$M$3507,$L609)&amp;"")</f>
        <v/>
      </c>
      <c r="K609" s="52" t="str">
        <f aca="false">IF(L609="","",E609&amp;CHAR(10)&amp;INDEX(ポート振替表!$K$5:$K$3507,$L609)&amp;" "&amp;INDEX(ポート振替表!$L$5:$L$3507,$L609)&amp;CHAR(10)&amp;"⇔ "&amp;INDEX(ポート振替表!$H$5:$H$3507,$L609)&amp;" "&amp;INDEX(ポート振替表!$I$5:$I$3507,$L609))</f>
        <v/>
      </c>
      <c r="L609" s="47" t="str">
        <f aca="false">IFERROR(MATCH(ROW()-4,ポート振替表!$V$5:$V$3507,0),"")</f>
        <v/>
      </c>
    </row>
    <row r="610" customFormat="false" ht="16.4" hidden="false" customHeight="false" outlineLevel="0" collapsed="false">
      <c r="A610" s="32" t="str">
        <f aca="false">IF(L610="","",ROW()-4)</f>
        <v/>
      </c>
      <c r="B610" s="58" t="str">
        <f aca="false">IF(L610="","",IF(INDEX(ポート振替表!$W$5:$W$3507,$L610)="","(なし)",INDEX(ポート振替表!$W$5:$W$3507,$L610)&amp;""))</f>
        <v/>
      </c>
      <c r="C610" s="52" t="str">
        <f aca="false">IF(L610="","",INDEX(ポート振替表!$B$5:$B$3507,$L610)&amp;" "&amp;INDEX(ポート振替表!$C$5:$C$3507,$L610)&amp;"  ⇔  "&amp;INDEX(ポート振替表!$H$5:$H$3507,$L610)&amp;" "&amp;INDEX(ポート振替表!$I$5:$I$3507,$L610))</f>
        <v/>
      </c>
      <c r="D610" s="57" t="s">
        <v>158</v>
      </c>
      <c r="E610" s="59" t="str">
        <f aca="false">IF(L610="","",IF(INDEX(ポート振替表!$O$5:$O$3507,$L610)="","(未設定)",INDEX(ポート振替表!$O$5:$O$3507,$L610)&amp;""))</f>
        <v/>
      </c>
      <c r="F610" s="52" t="str">
        <f aca="false">IF(L610="","",INDEX(ポート振替表!$K$5:$K$3507,$L610)&amp;" "&amp;INDEX(ポート振替表!$L$5:$L$3507,$L610)&amp;"  ⇔  "&amp;INDEX(ポート振替表!$H$5:$H$3507,$L610)&amp;" "&amp;INDEX(ポート振替表!$I$5:$I$3507,$L610))</f>
        <v/>
      </c>
      <c r="G610" s="57" t="s">
        <v>158</v>
      </c>
      <c r="H610" s="32" t="str">
        <f aca="false">IF(L610="","",INDEX(ポート振替表!$N$5:$N$3507,$L610)&amp;"")</f>
        <v/>
      </c>
      <c r="I610" s="32" t="str">
        <f aca="false">IF(L610="","",INDEX(ポート振替表!$P$5:$P$3507,$L610)&amp;"")</f>
        <v/>
      </c>
      <c r="J610" s="60" t="str">
        <f aca="false">IF(L610="","",INDEX(ポート振替表!$M$5:$M$3507,$L610)&amp;"")</f>
        <v/>
      </c>
      <c r="K610" s="52" t="str">
        <f aca="false">IF(L610="","",E610&amp;CHAR(10)&amp;INDEX(ポート振替表!$K$5:$K$3507,$L610)&amp;" "&amp;INDEX(ポート振替表!$L$5:$L$3507,$L610)&amp;CHAR(10)&amp;"⇔ "&amp;INDEX(ポート振替表!$H$5:$H$3507,$L610)&amp;" "&amp;INDEX(ポート振替表!$I$5:$I$3507,$L610))</f>
        <v/>
      </c>
      <c r="L610" s="47" t="str">
        <f aca="false">IFERROR(MATCH(ROW()-4,ポート振替表!$V$5:$V$3507,0),"")</f>
        <v/>
      </c>
    </row>
    <row r="611" customFormat="false" ht="16.4" hidden="false" customHeight="false" outlineLevel="0" collapsed="false">
      <c r="A611" s="32" t="str">
        <f aca="false">IF(L611="","",ROW()-4)</f>
        <v/>
      </c>
      <c r="B611" s="58" t="str">
        <f aca="false">IF(L611="","",IF(INDEX(ポート振替表!$W$5:$W$3507,$L611)="","(なし)",INDEX(ポート振替表!$W$5:$W$3507,$L611)&amp;""))</f>
        <v/>
      </c>
      <c r="C611" s="52" t="str">
        <f aca="false">IF(L611="","",INDEX(ポート振替表!$B$5:$B$3507,$L611)&amp;" "&amp;INDEX(ポート振替表!$C$5:$C$3507,$L611)&amp;"  ⇔  "&amp;INDEX(ポート振替表!$H$5:$H$3507,$L611)&amp;" "&amp;INDEX(ポート振替表!$I$5:$I$3507,$L611))</f>
        <v/>
      </c>
      <c r="D611" s="57" t="s">
        <v>158</v>
      </c>
      <c r="E611" s="59" t="str">
        <f aca="false">IF(L611="","",IF(INDEX(ポート振替表!$O$5:$O$3507,$L611)="","(未設定)",INDEX(ポート振替表!$O$5:$O$3507,$L611)&amp;""))</f>
        <v/>
      </c>
      <c r="F611" s="52" t="str">
        <f aca="false">IF(L611="","",INDEX(ポート振替表!$K$5:$K$3507,$L611)&amp;" "&amp;INDEX(ポート振替表!$L$5:$L$3507,$L611)&amp;"  ⇔  "&amp;INDEX(ポート振替表!$H$5:$H$3507,$L611)&amp;" "&amp;INDEX(ポート振替表!$I$5:$I$3507,$L611))</f>
        <v/>
      </c>
      <c r="G611" s="57" t="s">
        <v>158</v>
      </c>
      <c r="H611" s="32" t="str">
        <f aca="false">IF(L611="","",INDEX(ポート振替表!$N$5:$N$3507,$L611)&amp;"")</f>
        <v/>
      </c>
      <c r="I611" s="32" t="str">
        <f aca="false">IF(L611="","",INDEX(ポート振替表!$P$5:$P$3507,$L611)&amp;"")</f>
        <v/>
      </c>
      <c r="J611" s="60" t="str">
        <f aca="false">IF(L611="","",INDEX(ポート振替表!$M$5:$M$3507,$L611)&amp;"")</f>
        <v/>
      </c>
      <c r="K611" s="52" t="str">
        <f aca="false">IF(L611="","",E611&amp;CHAR(10)&amp;INDEX(ポート振替表!$K$5:$K$3507,$L611)&amp;" "&amp;INDEX(ポート振替表!$L$5:$L$3507,$L611)&amp;CHAR(10)&amp;"⇔ "&amp;INDEX(ポート振替表!$H$5:$H$3507,$L611)&amp;" "&amp;INDEX(ポート振替表!$I$5:$I$3507,$L611))</f>
        <v/>
      </c>
      <c r="L611" s="47" t="str">
        <f aca="false">IFERROR(MATCH(ROW()-4,ポート振替表!$V$5:$V$3507,0),"")</f>
        <v/>
      </c>
    </row>
    <row r="612" customFormat="false" ht="16.4" hidden="false" customHeight="false" outlineLevel="0" collapsed="false">
      <c r="A612" s="32" t="str">
        <f aca="false">IF(L612="","",ROW()-4)</f>
        <v/>
      </c>
      <c r="B612" s="58" t="str">
        <f aca="false">IF(L612="","",IF(INDEX(ポート振替表!$W$5:$W$3507,$L612)="","(なし)",INDEX(ポート振替表!$W$5:$W$3507,$L612)&amp;""))</f>
        <v/>
      </c>
      <c r="C612" s="52" t="str">
        <f aca="false">IF(L612="","",INDEX(ポート振替表!$B$5:$B$3507,$L612)&amp;" "&amp;INDEX(ポート振替表!$C$5:$C$3507,$L612)&amp;"  ⇔  "&amp;INDEX(ポート振替表!$H$5:$H$3507,$L612)&amp;" "&amp;INDEX(ポート振替表!$I$5:$I$3507,$L612))</f>
        <v/>
      </c>
      <c r="D612" s="57" t="s">
        <v>158</v>
      </c>
      <c r="E612" s="59" t="str">
        <f aca="false">IF(L612="","",IF(INDEX(ポート振替表!$O$5:$O$3507,$L612)="","(未設定)",INDEX(ポート振替表!$O$5:$O$3507,$L612)&amp;""))</f>
        <v/>
      </c>
      <c r="F612" s="52" t="str">
        <f aca="false">IF(L612="","",INDEX(ポート振替表!$K$5:$K$3507,$L612)&amp;" "&amp;INDEX(ポート振替表!$L$5:$L$3507,$L612)&amp;"  ⇔  "&amp;INDEX(ポート振替表!$H$5:$H$3507,$L612)&amp;" "&amp;INDEX(ポート振替表!$I$5:$I$3507,$L612))</f>
        <v/>
      </c>
      <c r="G612" s="57" t="s">
        <v>158</v>
      </c>
      <c r="H612" s="32" t="str">
        <f aca="false">IF(L612="","",INDEX(ポート振替表!$N$5:$N$3507,$L612)&amp;"")</f>
        <v/>
      </c>
      <c r="I612" s="32" t="str">
        <f aca="false">IF(L612="","",INDEX(ポート振替表!$P$5:$P$3507,$L612)&amp;"")</f>
        <v/>
      </c>
      <c r="J612" s="60" t="str">
        <f aca="false">IF(L612="","",INDEX(ポート振替表!$M$5:$M$3507,$L612)&amp;"")</f>
        <v/>
      </c>
      <c r="K612" s="52" t="str">
        <f aca="false">IF(L612="","",E612&amp;CHAR(10)&amp;INDEX(ポート振替表!$K$5:$K$3507,$L612)&amp;" "&amp;INDEX(ポート振替表!$L$5:$L$3507,$L612)&amp;CHAR(10)&amp;"⇔ "&amp;INDEX(ポート振替表!$H$5:$H$3507,$L612)&amp;" "&amp;INDEX(ポート振替表!$I$5:$I$3507,$L612))</f>
        <v/>
      </c>
      <c r="L612" s="47" t="str">
        <f aca="false">IFERROR(MATCH(ROW()-4,ポート振替表!$V$5:$V$3507,0),"")</f>
        <v/>
      </c>
    </row>
    <row r="613" customFormat="false" ht="16.4" hidden="false" customHeight="false" outlineLevel="0" collapsed="false">
      <c r="A613" s="32" t="str">
        <f aca="false">IF(L613="","",ROW()-4)</f>
        <v/>
      </c>
      <c r="B613" s="58" t="str">
        <f aca="false">IF(L613="","",IF(INDEX(ポート振替表!$W$5:$W$3507,$L613)="","(なし)",INDEX(ポート振替表!$W$5:$W$3507,$L613)&amp;""))</f>
        <v/>
      </c>
      <c r="C613" s="52" t="str">
        <f aca="false">IF(L613="","",INDEX(ポート振替表!$B$5:$B$3507,$L613)&amp;" "&amp;INDEX(ポート振替表!$C$5:$C$3507,$L613)&amp;"  ⇔  "&amp;INDEX(ポート振替表!$H$5:$H$3507,$L613)&amp;" "&amp;INDEX(ポート振替表!$I$5:$I$3507,$L613))</f>
        <v/>
      </c>
      <c r="D613" s="57" t="s">
        <v>158</v>
      </c>
      <c r="E613" s="59" t="str">
        <f aca="false">IF(L613="","",IF(INDEX(ポート振替表!$O$5:$O$3507,$L613)="","(未設定)",INDEX(ポート振替表!$O$5:$O$3507,$L613)&amp;""))</f>
        <v/>
      </c>
      <c r="F613" s="52" t="str">
        <f aca="false">IF(L613="","",INDEX(ポート振替表!$K$5:$K$3507,$L613)&amp;" "&amp;INDEX(ポート振替表!$L$5:$L$3507,$L613)&amp;"  ⇔  "&amp;INDEX(ポート振替表!$H$5:$H$3507,$L613)&amp;" "&amp;INDEX(ポート振替表!$I$5:$I$3507,$L613))</f>
        <v/>
      </c>
      <c r="G613" s="57" t="s">
        <v>158</v>
      </c>
      <c r="H613" s="32" t="str">
        <f aca="false">IF(L613="","",INDEX(ポート振替表!$N$5:$N$3507,$L613)&amp;"")</f>
        <v/>
      </c>
      <c r="I613" s="32" t="str">
        <f aca="false">IF(L613="","",INDEX(ポート振替表!$P$5:$P$3507,$L613)&amp;"")</f>
        <v/>
      </c>
      <c r="J613" s="60" t="str">
        <f aca="false">IF(L613="","",INDEX(ポート振替表!$M$5:$M$3507,$L613)&amp;"")</f>
        <v/>
      </c>
      <c r="K613" s="52" t="str">
        <f aca="false">IF(L613="","",E613&amp;CHAR(10)&amp;INDEX(ポート振替表!$K$5:$K$3507,$L613)&amp;" "&amp;INDEX(ポート振替表!$L$5:$L$3507,$L613)&amp;CHAR(10)&amp;"⇔ "&amp;INDEX(ポート振替表!$H$5:$H$3507,$L613)&amp;" "&amp;INDEX(ポート振替表!$I$5:$I$3507,$L613))</f>
        <v/>
      </c>
      <c r="L613" s="47" t="str">
        <f aca="false">IFERROR(MATCH(ROW()-4,ポート振替表!$V$5:$V$3507,0),"")</f>
        <v/>
      </c>
    </row>
    <row r="614" customFormat="false" ht="16.4" hidden="false" customHeight="false" outlineLevel="0" collapsed="false">
      <c r="A614" s="32" t="str">
        <f aca="false">IF(L614="","",ROW()-4)</f>
        <v/>
      </c>
      <c r="B614" s="58" t="str">
        <f aca="false">IF(L614="","",IF(INDEX(ポート振替表!$W$5:$W$3507,$L614)="","(なし)",INDEX(ポート振替表!$W$5:$W$3507,$L614)&amp;""))</f>
        <v/>
      </c>
      <c r="C614" s="52" t="str">
        <f aca="false">IF(L614="","",INDEX(ポート振替表!$B$5:$B$3507,$L614)&amp;" "&amp;INDEX(ポート振替表!$C$5:$C$3507,$L614)&amp;"  ⇔  "&amp;INDEX(ポート振替表!$H$5:$H$3507,$L614)&amp;" "&amp;INDEX(ポート振替表!$I$5:$I$3507,$L614))</f>
        <v/>
      </c>
      <c r="D614" s="57" t="s">
        <v>158</v>
      </c>
      <c r="E614" s="59" t="str">
        <f aca="false">IF(L614="","",IF(INDEX(ポート振替表!$O$5:$O$3507,$L614)="","(未設定)",INDEX(ポート振替表!$O$5:$O$3507,$L614)&amp;""))</f>
        <v/>
      </c>
      <c r="F614" s="52" t="str">
        <f aca="false">IF(L614="","",INDEX(ポート振替表!$K$5:$K$3507,$L614)&amp;" "&amp;INDEX(ポート振替表!$L$5:$L$3507,$L614)&amp;"  ⇔  "&amp;INDEX(ポート振替表!$H$5:$H$3507,$L614)&amp;" "&amp;INDEX(ポート振替表!$I$5:$I$3507,$L614))</f>
        <v/>
      </c>
      <c r="G614" s="57" t="s">
        <v>158</v>
      </c>
      <c r="H614" s="32" t="str">
        <f aca="false">IF(L614="","",INDEX(ポート振替表!$N$5:$N$3507,$L614)&amp;"")</f>
        <v/>
      </c>
      <c r="I614" s="32" t="str">
        <f aca="false">IF(L614="","",INDEX(ポート振替表!$P$5:$P$3507,$L614)&amp;"")</f>
        <v/>
      </c>
      <c r="J614" s="60" t="str">
        <f aca="false">IF(L614="","",INDEX(ポート振替表!$M$5:$M$3507,$L614)&amp;"")</f>
        <v/>
      </c>
      <c r="K614" s="52" t="str">
        <f aca="false">IF(L614="","",E614&amp;CHAR(10)&amp;INDEX(ポート振替表!$K$5:$K$3507,$L614)&amp;" "&amp;INDEX(ポート振替表!$L$5:$L$3507,$L614)&amp;CHAR(10)&amp;"⇔ "&amp;INDEX(ポート振替表!$H$5:$H$3507,$L614)&amp;" "&amp;INDEX(ポート振替表!$I$5:$I$3507,$L614))</f>
        <v/>
      </c>
      <c r="L614" s="47" t="str">
        <f aca="false">IFERROR(MATCH(ROW()-4,ポート振替表!$V$5:$V$3507,0),"")</f>
        <v/>
      </c>
    </row>
    <row r="615" customFormat="false" ht="16.4" hidden="false" customHeight="false" outlineLevel="0" collapsed="false">
      <c r="A615" s="32" t="str">
        <f aca="false">IF(L615="","",ROW()-4)</f>
        <v/>
      </c>
      <c r="B615" s="58" t="str">
        <f aca="false">IF(L615="","",IF(INDEX(ポート振替表!$W$5:$W$3507,$L615)="","(なし)",INDEX(ポート振替表!$W$5:$W$3507,$L615)&amp;""))</f>
        <v/>
      </c>
      <c r="C615" s="52" t="str">
        <f aca="false">IF(L615="","",INDEX(ポート振替表!$B$5:$B$3507,$L615)&amp;" "&amp;INDEX(ポート振替表!$C$5:$C$3507,$L615)&amp;"  ⇔  "&amp;INDEX(ポート振替表!$H$5:$H$3507,$L615)&amp;" "&amp;INDEX(ポート振替表!$I$5:$I$3507,$L615))</f>
        <v/>
      </c>
      <c r="D615" s="57" t="s">
        <v>158</v>
      </c>
      <c r="E615" s="59" t="str">
        <f aca="false">IF(L615="","",IF(INDEX(ポート振替表!$O$5:$O$3507,$L615)="","(未設定)",INDEX(ポート振替表!$O$5:$O$3507,$L615)&amp;""))</f>
        <v/>
      </c>
      <c r="F615" s="52" t="str">
        <f aca="false">IF(L615="","",INDEX(ポート振替表!$K$5:$K$3507,$L615)&amp;" "&amp;INDEX(ポート振替表!$L$5:$L$3507,$L615)&amp;"  ⇔  "&amp;INDEX(ポート振替表!$H$5:$H$3507,$L615)&amp;" "&amp;INDEX(ポート振替表!$I$5:$I$3507,$L615))</f>
        <v/>
      </c>
      <c r="G615" s="57" t="s">
        <v>158</v>
      </c>
      <c r="H615" s="32" t="str">
        <f aca="false">IF(L615="","",INDEX(ポート振替表!$N$5:$N$3507,$L615)&amp;"")</f>
        <v/>
      </c>
      <c r="I615" s="32" t="str">
        <f aca="false">IF(L615="","",INDEX(ポート振替表!$P$5:$P$3507,$L615)&amp;"")</f>
        <v/>
      </c>
      <c r="J615" s="60" t="str">
        <f aca="false">IF(L615="","",INDEX(ポート振替表!$M$5:$M$3507,$L615)&amp;"")</f>
        <v/>
      </c>
      <c r="K615" s="52" t="str">
        <f aca="false">IF(L615="","",E615&amp;CHAR(10)&amp;INDEX(ポート振替表!$K$5:$K$3507,$L615)&amp;" "&amp;INDEX(ポート振替表!$L$5:$L$3507,$L615)&amp;CHAR(10)&amp;"⇔ "&amp;INDEX(ポート振替表!$H$5:$H$3507,$L615)&amp;" "&amp;INDEX(ポート振替表!$I$5:$I$3507,$L615))</f>
        <v/>
      </c>
      <c r="L615" s="47" t="str">
        <f aca="false">IFERROR(MATCH(ROW()-4,ポート振替表!$V$5:$V$3507,0),"")</f>
        <v/>
      </c>
    </row>
    <row r="616" customFormat="false" ht="16.4" hidden="false" customHeight="false" outlineLevel="0" collapsed="false">
      <c r="A616" s="32" t="str">
        <f aca="false">IF(L616="","",ROW()-4)</f>
        <v/>
      </c>
      <c r="B616" s="58" t="str">
        <f aca="false">IF(L616="","",IF(INDEX(ポート振替表!$W$5:$W$3507,$L616)="","(なし)",INDEX(ポート振替表!$W$5:$W$3507,$L616)&amp;""))</f>
        <v/>
      </c>
      <c r="C616" s="52" t="str">
        <f aca="false">IF(L616="","",INDEX(ポート振替表!$B$5:$B$3507,$L616)&amp;" "&amp;INDEX(ポート振替表!$C$5:$C$3507,$L616)&amp;"  ⇔  "&amp;INDEX(ポート振替表!$H$5:$H$3507,$L616)&amp;" "&amp;INDEX(ポート振替表!$I$5:$I$3507,$L616))</f>
        <v/>
      </c>
      <c r="D616" s="57" t="s">
        <v>158</v>
      </c>
      <c r="E616" s="59" t="str">
        <f aca="false">IF(L616="","",IF(INDEX(ポート振替表!$O$5:$O$3507,$L616)="","(未設定)",INDEX(ポート振替表!$O$5:$O$3507,$L616)&amp;""))</f>
        <v/>
      </c>
      <c r="F616" s="52" t="str">
        <f aca="false">IF(L616="","",INDEX(ポート振替表!$K$5:$K$3507,$L616)&amp;" "&amp;INDEX(ポート振替表!$L$5:$L$3507,$L616)&amp;"  ⇔  "&amp;INDEX(ポート振替表!$H$5:$H$3507,$L616)&amp;" "&amp;INDEX(ポート振替表!$I$5:$I$3507,$L616))</f>
        <v/>
      </c>
      <c r="G616" s="57" t="s">
        <v>158</v>
      </c>
      <c r="H616" s="32" t="str">
        <f aca="false">IF(L616="","",INDEX(ポート振替表!$N$5:$N$3507,$L616)&amp;"")</f>
        <v/>
      </c>
      <c r="I616" s="32" t="str">
        <f aca="false">IF(L616="","",INDEX(ポート振替表!$P$5:$P$3507,$L616)&amp;"")</f>
        <v/>
      </c>
      <c r="J616" s="60" t="str">
        <f aca="false">IF(L616="","",INDEX(ポート振替表!$M$5:$M$3507,$L616)&amp;"")</f>
        <v/>
      </c>
      <c r="K616" s="52" t="str">
        <f aca="false">IF(L616="","",E616&amp;CHAR(10)&amp;INDEX(ポート振替表!$K$5:$K$3507,$L616)&amp;" "&amp;INDEX(ポート振替表!$L$5:$L$3507,$L616)&amp;CHAR(10)&amp;"⇔ "&amp;INDEX(ポート振替表!$H$5:$H$3507,$L616)&amp;" "&amp;INDEX(ポート振替表!$I$5:$I$3507,$L616))</f>
        <v/>
      </c>
      <c r="L616" s="47" t="str">
        <f aca="false">IFERROR(MATCH(ROW()-4,ポート振替表!$V$5:$V$3507,0),"")</f>
        <v/>
      </c>
    </row>
    <row r="617" customFormat="false" ht="16.4" hidden="false" customHeight="false" outlineLevel="0" collapsed="false">
      <c r="A617" s="32" t="str">
        <f aca="false">IF(L617="","",ROW()-4)</f>
        <v/>
      </c>
      <c r="B617" s="58" t="str">
        <f aca="false">IF(L617="","",IF(INDEX(ポート振替表!$W$5:$W$3507,$L617)="","(なし)",INDEX(ポート振替表!$W$5:$W$3507,$L617)&amp;""))</f>
        <v/>
      </c>
      <c r="C617" s="52" t="str">
        <f aca="false">IF(L617="","",INDEX(ポート振替表!$B$5:$B$3507,$L617)&amp;" "&amp;INDEX(ポート振替表!$C$5:$C$3507,$L617)&amp;"  ⇔  "&amp;INDEX(ポート振替表!$H$5:$H$3507,$L617)&amp;" "&amp;INDEX(ポート振替表!$I$5:$I$3507,$L617))</f>
        <v/>
      </c>
      <c r="D617" s="57" t="s">
        <v>158</v>
      </c>
      <c r="E617" s="59" t="str">
        <f aca="false">IF(L617="","",IF(INDEX(ポート振替表!$O$5:$O$3507,$L617)="","(未設定)",INDEX(ポート振替表!$O$5:$O$3507,$L617)&amp;""))</f>
        <v/>
      </c>
      <c r="F617" s="52" t="str">
        <f aca="false">IF(L617="","",INDEX(ポート振替表!$K$5:$K$3507,$L617)&amp;" "&amp;INDEX(ポート振替表!$L$5:$L$3507,$L617)&amp;"  ⇔  "&amp;INDEX(ポート振替表!$H$5:$H$3507,$L617)&amp;" "&amp;INDEX(ポート振替表!$I$5:$I$3507,$L617))</f>
        <v/>
      </c>
      <c r="G617" s="57" t="s">
        <v>158</v>
      </c>
      <c r="H617" s="32" t="str">
        <f aca="false">IF(L617="","",INDEX(ポート振替表!$N$5:$N$3507,$L617)&amp;"")</f>
        <v/>
      </c>
      <c r="I617" s="32" t="str">
        <f aca="false">IF(L617="","",INDEX(ポート振替表!$P$5:$P$3507,$L617)&amp;"")</f>
        <v/>
      </c>
      <c r="J617" s="60" t="str">
        <f aca="false">IF(L617="","",INDEX(ポート振替表!$M$5:$M$3507,$L617)&amp;"")</f>
        <v/>
      </c>
      <c r="K617" s="52" t="str">
        <f aca="false">IF(L617="","",E617&amp;CHAR(10)&amp;INDEX(ポート振替表!$K$5:$K$3507,$L617)&amp;" "&amp;INDEX(ポート振替表!$L$5:$L$3507,$L617)&amp;CHAR(10)&amp;"⇔ "&amp;INDEX(ポート振替表!$H$5:$H$3507,$L617)&amp;" "&amp;INDEX(ポート振替表!$I$5:$I$3507,$L617))</f>
        <v/>
      </c>
      <c r="L617" s="47" t="str">
        <f aca="false">IFERROR(MATCH(ROW()-4,ポート振替表!$V$5:$V$3507,0),"")</f>
        <v/>
      </c>
    </row>
    <row r="618" customFormat="false" ht="16.4" hidden="false" customHeight="false" outlineLevel="0" collapsed="false">
      <c r="A618" s="32" t="str">
        <f aca="false">IF(L618="","",ROW()-4)</f>
        <v/>
      </c>
      <c r="B618" s="58" t="str">
        <f aca="false">IF(L618="","",IF(INDEX(ポート振替表!$W$5:$W$3507,$L618)="","(なし)",INDEX(ポート振替表!$W$5:$W$3507,$L618)&amp;""))</f>
        <v/>
      </c>
      <c r="C618" s="52" t="str">
        <f aca="false">IF(L618="","",INDEX(ポート振替表!$B$5:$B$3507,$L618)&amp;" "&amp;INDEX(ポート振替表!$C$5:$C$3507,$L618)&amp;"  ⇔  "&amp;INDEX(ポート振替表!$H$5:$H$3507,$L618)&amp;" "&amp;INDEX(ポート振替表!$I$5:$I$3507,$L618))</f>
        <v/>
      </c>
      <c r="D618" s="57" t="s">
        <v>158</v>
      </c>
      <c r="E618" s="59" t="str">
        <f aca="false">IF(L618="","",IF(INDEX(ポート振替表!$O$5:$O$3507,$L618)="","(未設定)",INDEX(ポート振替表!$O$5:$O$3507,$L618)&amp;""))</f>
        <v/>
      </c>
      <c r="F618" s="52" t="str">
        <f aca="false">IF(L618="","",INDEX(ポート振替表!$K$5:$K$3507,$L618)&amp;" "&amp;INDEX(ポート振替表!$L$5:$L$3507,$L618)&amp;"  ⇔  "&amp;INDEX(ポート振替表!$H$5:$H$3507,$L618)&amp;" "&amp;INDEX(ポート振替表!$I$5:$I$3507,$L618))</f>
        <v/>
      </c>
      <c r="G618" s="57" t="s">
        <v>158</v>
      </c>
      <c r="H618" s="32" t="str">
        <f aca="false">IF(L618="","",INDEX(ポート振替表!$N$5:$N$3507,$L618)&amp;"")</f>
        <v/>
      </c>
      <c r="I618" s="32" t="str">
        <f aca="false">IF(L618="","",INDEX(ポート振替表!$P$5:$P$3507,$L618)&amp;"")</f>
        <v/>
      </c>
      <c r="J618" s="60" t="str">
        <f aca="false">IF(L618="","",INDEX(ポート振替表!$M$5:$M$3507,$L618)&amp;"")</f>
        <v/>
      </c>
      <c r="K618" s="52" t="str">
        <f aca="false">IF(L618="","",E618&amp;CHAR(10)&amp;INDEX(ポート振替表!$K$5:$K$3507,$L618)&amp;" "&amp;INDEX(ポート振替表!$L$5:$L$3507,$L618)&amp;CHAR(10)&amp;"⇔ "&amp;INDEX(ポート振替表!$H$5:$H$3507,$L618)&amp;" "&amp;INDEX(ポート振替表!$I$5:$I$3507,$L618))</f>
        <v/>
      </c>
      <c r="L618" s="47" t="str">
        <f aca="false">IFERROR(MATCH(ROW()-4,ポート振替表!$V$5:$V$3507,0),"")</f>
        <v/>
      </c>
    </row>
    <row r="619" customFormat="false" ht="16.4" hidden="false" customHeight="false" outlineLevel="0" collapsed="false">
      <c r="A619" s="32" t="str">
        <f aca="false">IF(L619="","",ROW()-4)</f>
        <v/>
      </c>
      <c r="B619" s="58" t="str">
        <f aca="false">IF(L619="","",IF(INDEX(ポート振替表!$W$5:$W$3507,$L619)="","(なし)",INDEX(ポート振替表!$W$5:$W$3507,$L619)&amp;""))</f>
        <v/>
      </c>
      <c r="C619" s="52" t="str">
        <f aca="false">IF(L619="","",INDEX(ポート振替表!$B$5:$B$3507,$L619)&amp;" "&amp;INDEX(ポート振替表!$C$5:$C$3507,$L619)&amp;"  ⇔  "&amp;INDEX(ポート振替表!$H$5:$H$3507,$L619)&amp;" "&amp;INDEX(ポート振替表!$I$5:$I$3507,$L619))</f>
        <v/>
      </c>
      <c r="D619" s="57" t="s">
        <v>158</v>
      </c>
      <c r="E619" s="59" t="str">
        <f aca="false">IF(L619="","",IF(INDEX(ポート振替表!$O$5:$O$3507,$L619)="","(未設定)",INDEX(ポート振替表!$O$5:$O$3507,$L619)&amp;""))</f>
        <v/>
      </c>
      <c r="F619" s="52" t="str">
        <f aca="false">IF(L619="","",INDEX(ポート振替表!$K$5:$K$3507,$L619)&amp;" "&amp;INDEX(ポート振替表!$L$5:$L$3507,$L619)&amp;"  ⇔  "&amp;INDEX(ポート振替表!$H$5:$H$3507,$L619)&amp;" "&amp;INDEX(ポート振替表!$I$5:$I$3507,$L619))</f>
        <v/>
      </c>
      <c r="G619" s="57" t="s">
        <v>158</v>
      </c>
      <c r="H619" s="32" t="str">
        <f aca="false">IF(L619="","",INDEX(ポート振替表!$N$5:$N$3507,$L619)&amp;"")</f>
        <v/>
      </c>
      <c r="I619" s="32" t="str">
        <f aca="false">IF(L619="","",INDEX(ポート振替表!$P$5:$P$3507,$L619)&amp;"")</f>
        <v/>
      </c>
      <c r="J619" s="60" t="str">
        <f aca="false">IF(L619="","",INDEX(ポート振替表!$M$5:$M$3507,$L619)&amp;"")</f>
        <v/>
      </c>
      <c r="K619" s="52" t="str">
        <f aca="false">IF(L619="","",E619&amp;CHAR(10)&amp;INDEX(ポート振替表!$K$5:$K$3507,$L619)&amp;" "&amp;INDEX(ポート振替表!$L$5:$L$3507,$L619)&amp;CHAR(10)&amp;"⇔ "&amp;INDEX(ポート振替表!$H$5:$H$3507,$L619)&amp;" "&amp;INDEX(ポート振替表!$I$5:$I$3507,$L619))</f>
        <v/>
      </c>
      <c r="L619" s="47" t="str">
        <f aca="false">IFERROR(MATCH(ROW()-4,ポート振替表!$V$5:$V$3507,0),"")</f>
        <v/>
      </c>
    </row>
    <row r="620" customFormat="false" ht="16.4" hidden="false" customHeight="false" outlineLevel="0" collapsed="false">
      <c r="A620" s="32" t="str">
        <f aca="false">IF(L620="","",ROW()-4)</f>
        <v/>
      </c>
      <c r="B620" s="58" t="str">
        <f aca="false">IF(L620="","",IF(INDEX(ポート振替表!$W$5:$W$3507,$L620)="","(なし)",INDEX(ポート振替表!$W$5:$W$3507,$L620)&amp;""))</f>
        <v/>
      </c>
      <c r="C620" s="52" t="str">
        <f aca="false">IF(L620="","",INDEX(ポート振替表!$B$5:$B$3507,$L620)&amp;" "&amp;INDEX(ポート振替表!$C$5:$C$3507,$L620)&amp;"  ⇔  "&amp;INDEX(ポート振替表!$H$5:$H$3507,$L620)&amp;" "&amp;INDEX(ポート振替表!$I$5:$I$3507,$L620))</f>
        <v/>
      </c>
      <c r="D620" s="57" t="s">
        <v>158</v>
      </c>
      <c r="E620" s="59" t="str">
        <f aca="false">IF(L620="","",IF(INDEX(ポート振替表!$O$5:$O$3507,$L620)="","(未設定)",INDEX(ポート振替表!$O$5:$O$3507,$L620)&amp;""))</f>
        <v/>
      </c>
      <c r="F620" s="52" t="str">
        <f aca="false">IF(L620="","",INDEX(ポート振替表!$K$5:$K$3507,$L620)&amp;" "&amp;INDEX(ポート振替表!$L$5:$L$3507,$L620)&amp;"  ⇔  "&amp;INDEX(ポート振替表!$H$5:$H$3507,$L620)&amp;" "&amp;INDEX(ポート振替表!$I$5:$I$3507,$L620))</f>
        <v/>
      </c>
      <c r="G620" s="57" t="s">
        <v>158</v>
      </c>
      <c r="H620" s="32" t="str">
        <f aca="false">IF(L620="","",INDEX(ポート振替表!$N$5:$N$3507,$L620)&amp;"")</f>
        <v/>
      </c>
      <c r="I620" s="32" t="str">
        <f aca="false">IF(L620="","",INDEX(ポート振替表!$P$5:$P$3507,$L620)&amp;"")</f>
        <v/>
      </c>
      <c r="J620" s="60" t="str">
        <f aca="false">IF(L620="","",INDEX(ポート振替表!$M$5:$M$3507,$L620)&amp;"")</f>
        <v/>
      </c>
      <c r="K620" s="52" t="str">
        <f aca="false">IF(L620="","",E620&amp;CHAR(10)&amp;INDEX(ポート振替表!$K$5:$K$3507,$L620)&amp;" "&amp;INDEX(ポート振替表!$L$5:$L$3507,$L620)&amp;CHAR(10)&amp;"⇔ "&amp;INDEX(ポート振替表!$H$5:$H$3507,$L620)&amp;" "&amp;INDEX(ポート振替表!$I$5:$I$3507,$L620))</f>
        <v/>
      </c>
      <c r="L620" s="47" t="str">
        <f aca="false">IFERROR(MATCH(ROW()-4,ポート振替表!$V$5:$V$3507,0),"")</f>
        <v/>
      </c>
    </row>
    <row r="621" customFormat="false" ht="16.4" hidden="false" customHeight="false" outlineLevel="0" collapsed="false">
      <c r="A621" s="32" t="str">
        <f aca="false">IF(L621="","",ROW()-4)</f>
        <v/>
      </c>
      <c r="B621" s="58" t="str">
        <f aca="false">IF(L621="","",IF(INDEX(ポート振替表!$W$5:$W$3507,$L621)="","(なし)",INDEX(ポート振替表!$W$5:$W$3507,$L621)&amp;""))</f>
        <v/>
      </c>
      <c r="C621" s="52" t="str">
        <f aca="false">IF(L621="","",INDEX(ポート振替表!$B$5:$B$3507,$L621)&amp;" "&amp;INDEX(ポート振替表!$C$5:$C$3507,$L621)&amp;"  ⇔  "&amp;INDEX(ポート振替表!$H$5:$H$3507,$L621)&amp;" "&amp;INDEX(ポート振替表!$I$5:$I$3507,$L621))</f>
        <v/>
      </c>
      <c r="D621" s="57" t="s">
        <v>158</v>
      </c>
      <c r="E621" s="59" t="str">
        <f aca="false">IF(L621="","",IF(INDEX(ポート振替表!$O$5:$O$3507,$L621)="","(未設定)",INDEX(ポート振替表!$O$5:$O$3507,$L621)&amp;""))</f>
        <v/>
      </c>
      <c r="F621" s="52" t="str">
        <f aca="false">IF(L621="","",INDEX(ポート振替表!$K$5:$K$3507,$L621)&amp;" "&amp;INDEX(ポート振替表!$L$5:$L$3507,$L621)&amp;"  ⇔  "&amp;INDEX(ポート振替表!$H$5:$H$3507,$L621)&amp;" "&amp;INDEX(ポート振替表!$I$5:$I$3507,$L621))</f>
        <v/>
      </c>
      <c r="G621" s="57" t="s">
        <v>158</v>
      </c>
      <c r="H621" s="32" t="str">
        <f aca="false">IF(L621="","",INDEX(ポート振替表!$N$5:$N$3507,$L621)&amp;"")</f>
        <v/>
      </c>
      <c r="I621" s="32" t="str">
        <f aca="false">IF(L621="","",INDEX(ポート振替表!$P$5:$P$3507,$L621)&amp;"")</f>
        <v/>
      </c>
      <c r="J621" s="60" t="str">
        <f aca="false">IF(L621="","",INDEX(ポート振替表!$M$5:$M$3507,$L621)&amp;"")</f>
        <v/>
      </c>
      <c r="K621" s="52" t="str">
        <f aca="false">IF(L621="","",E621&amp;CHAR(10)&amp;INDEX(ポート振替表!$K$5:$K$3507,$L621)&amp;" "&amp;INDEX(ポート振替表!$L$5:$L$3507,$L621)&amp;CHAR(10)&amp;"⇔ "&amp;INDEX(ポート振替表!$H$5:$H$3507,$L621)&amp;" "&amp;INDEX(ポート振替表!$I$5:$I$3507,$L621))</f>
        <v/>
      </c>
      <c r="L621" s="47" t="str">
        <f aca="false">IFERROR(MATCH(ROW()-4,ポート振替表!$V$5:$V$3507,0),"")</f>
        <v/>
      </c>
    </row>
    <row r="622" customFormat="false" ht="16.4" hidden="false" customHeight="false" outlineLevel="0" collapsed="false">
      <c r="A622" s="32" t="str">
        <f aca="false">IF(L622="","",ROW()-4)</f>
        <v/>
      </c>
      <c r="B622" s="58" t="str">
        <f aca="false">IF(L622="","",IF(INDEX(ポート振替表!$W$5:$W$3507,$L622)="","(なし)",INDEX(ポート振替表!$W$5:$W$3507,$L622)&amp;""))</f>
        <v/>
      </c>
      <c r="C622" s="52" t="str">
        <f aca="false">IF(L622="","",INDEX(ポート振替表!$B$5:$B$3507,$L622)&amp;" "&amp;INDEX(ポート振替表!$C$5:$C$3507,$L622)&amp;"  ⇔  "&amp;INDEX(ポート振替表!$H$5:$H$3507,$L622)&amp;" "&amp;INDEX(ポート振替表!$I$5:$I$3507,$L622))</f>
        <v/>
      </c>
      <c r="D622" s="57" t="s">
        <v>158</v>
      </c>
      <c r="E622" s="59" t="str">
        <f aca="false">IF(L622="","",IF(INDEX(ポート振替表!$O$5:$O$3507,$L622)="","(未設定)",INDEX(ポート振替表!$O$5:$O$3507,$L622)&amp;""))</f>
        <v/>
      </c>
      <c r="F622" s="52" t="str">
        <f aca="false">IF(L622="","",INDEX(ポート振替表!$K$5:$K$3507,$L622)&amp;" "&amp;INDEX(ポート振替表!$L$5:$L$3507,$L622)&amp;"  ⇔  "&amp;INDEX(ポート振替表!$H$5:$H$3507,$L622)&amp;" "&amp;INDEX(ポート振替表!$I$5:$I$3507,$L622))</f>
        <v/>
      </c>
      <c r="G622" s="57" t="s">
        <v>158</v>
      </c>
      <c r="H622" s="32" t="str">
        <f aca="false">IF(L622="","",INDEX(ポート振替表!$N$5:$N$3507,$L622)&amp;"")</f>
        <v/>
      </c>
      <c r="I622" s="32" t="str">
        <f aca="false">IF(L622="","",INDEX(ポート振替表!$P$5:$P$3507,$L622)&amp;"")</f>
        <v/>
      </c>
      <c r="J622" s="60" t="str">
        <f aca="false">IF(L622="","",INDEX(ポート振替表!$M$5:$M$3507,$L622)&amp;"")</f>
        <v/>
      </c>
      <c r="K622" s="52" t="str">
        <f aca="false">IF(L622="","",E622&amp;CHAR(10)&amp;INDEX(ポート振替表!$K$5:$K$3507,$L622)&amp;" "&amp;INDEX(ポート振替表!$L$5:$L$3507,$L622)&amp;CHAR(10)&amp;"⇔ "&amp;INDEX(ポート振替表!$H$5:$H$3507,$L622)&amp;" "&amp;INDEX(ポート振替表!$I$5:$I$3507,$L622))</f>
        <v/>
      </c>
      <c r="L622" s="47" t="str">
        <f aca="false">IFERROR(MATCH(ROW()-4,ポート振替表!$V$5:$V$3507,0),"")</f>
        <v/>
      </c>
    </row>
    <row r="623" customFormat="false" ht="16.4" hidden="false" customHeight="false" outlineLevel="0" collapsed="false">
      <c r="A623" s="32" t="str">
        <f aca="false">IF(L623="","",ROW()-4)</f>
        <v/>
      </c>
      <c r="B623" s="58" t="str">
        <f aca="false">IF(L623="","",IF(INDEX(ポート振替表!$W$5:$W$3507,$L623)="","(なし)",INDEX(ポート振替表!$W$5:$W$3507,$L623)&amp;""))</f>
        <v/>
      </c>
      <c r="C623" s="52" t="str">
        <f aca="false">IF(L623="","",INDEX(ポート振替表!$B$5:$B$3507,$L623)&amp;" "&amp;INDEX(ポート振替表!$C$5:$C$3507,$L623)&amp;"  ⇔  "&amp;INDEX(ポート振替表!$H$5:$H$3507,$L623)&amp;" "&amp;INDEX(ポート振替表!$I$5:$I$3507,$L623))</f>
        <v/>
      </c>
      <c r="D623" s="57" t="s">
        <v>158</v>
      </c>
      <c r="E623" s="59" t="str">
        <f aca="false">IF(L623="","",IF(INDEX(ポート振替表!$O$5:$O$3507,$L623)="","(未設定)",INDEX(ポート振替表!$O$5:$O$3507,$L623)&amp;""))</f>
        <v/>
      </c>
      <c r="F623" s="52" t="str">
        <f aca="false">IF(L623="","",INDEX(ポート振替表!$K$5:$K$3507,$L623)&amp;" "&amp;INDEX(ポート振替表!$L$5:$L$3507,$L623)&amp;"  ⇔  "&amp;INDEX(ポート振替表!$H$5:$H$3507,$L623)&amp;" "&amp;INDEX(ポート振替表!$I$5:$I$3507,$L623))</f>
        <v/>
      </c>
      <c r="G623" s="57" t="s">
        <v>158</v>
      </c>
      <c r="H623" s="32" t="str">
        <f aca="false">IF(L623="","",INDEX(ポート振替表!$N$5:$N$3507,$L623)&amp;"")</f>
        <v/>
      </c>
      <c r="I623" s="32" t="str">
        <f aca="false">IF(L623="","",INDEX(ポート振替表!$P$5:$P$3507,$L623)&amp;"")</f>
        <v/>
      </c>
      <c r="J623" s="60" t="str">
        <f aca="false">IF(L623="","",INDEX(ポート振替表!$M$5:$M$3507,$L623)&amp;"")</f>
        <v/>
      </c>
      <c r="K623" s="52" t="str">
        <f aca="false">IF(L623="","",E623&amp;CHAR(10)&amp;INDEX(ポート振替表!$K$5:$K$3507,$L623)&amp;" "&amp;INDEX(ポート振替表!$L$5:$L$3507,$L623)&amp;CHAR(10)&amp;"⇔ "&amp;INDEX(ポート振替表!$H$5:$H$3507,$L623)&amp;" "&amp;INDEX(ポート振替表!$I$5:$I$3507,$L623))</f>
        <v/>
      </c>
      <c r="L623" s="47" t="str">
        <f aca="false">IFERROR(MATCH(ROW()-4,ポート振替表!$V$5:$V$3507,0),"")</f>
        <v/>
      </c>
    </row>
    <row r="624" customFormat="false" ht="16.4" hidden="false" customHeight="false" outlineLevel="0" collapsed="false">
      <c r="A624" s="32" t="str">
        <f aca="false">IF(L624="","",ROW()-4)</f>
        <v/>
      </c>
      <c r="B624" s="58" t="str">
        <f aca="false">IF(L624="","",IF(INDEX(ポート振替表!$W$5:$W$3507,$L624)="","(なし)",INDEX(ポート振替表!$W$5:$W$3507,$L624)&amp;""))</f>
        <v/>
      </c>
      <c r="C624" s="52" t="str">
        <f aca="false">IF(L624="","",INDEX(ポート振替表!$B$5:$B$3507,$L624)&amp;" "&amp;INDEX(ポート振替表!$C$5:$C$3507,$L624)&amp;"  ⇔  "&amp;INDEX(ポート振替表!$H$5:$H$3507,$L624)&amp;" "&amp;INDEX(ポート振替表!$I$5:$I$3507,$L624))</f>
        <v/>
      </c>
      <c r="D624" s="57" t="s">
        <v>158</v>
      </c>
      <c r="E624" s="59" t="str">
        <f aca="false">IF(L624="","",IF(INDEX(ポート振替表!$O$5:$O$3507,$L624)="","(未設定)",INDEX(ポート振替表!$O$5:$O$3507,$L624)&amp;""))</f>
        <v/>
      </c>
      <c r="F624" s="52" t="str">
        <f aca="false">IF(L624="","",INDEX(ポート振替表!$K$5:$K$3507,$L624)&amp;" "&amp;INDEX(ポート振替表!$L$5:$L$3507,$L624)&amp;"  ⇔  "&amp;INDEX(ポート振替表!$H$5:$H$3507,$L624)&amp;" "&amp;INDEX(ポート振替表!$I$5:$I$3507,$L624))</f>
        <v/>
      </c>
      <c r="G624" s="57" t="s">
        <v>158</v>
      </c>
      <c r="H624" s="32" t="str">
        <f aca="false">IF(L624="","",INDEX(ポート振替表!$N$5:$N$3507,$L624)&amp;"")</f>
        <v/>
      </c>
      <c r="I624" s="32" t="str">
        <f aca="false">IF(L624="","",INDEX(ポート振替表!$P$5:$P$3507,$L624)&amp;"")</f>
        <v/>
      </c>
      <c r="J624" s="60" t="str">
        <f aca="false">IF(L624="","",INDEX(ポート振替表!$M$5:$M$3507,$L624)&amp;"")</f>
        <v/>
      </c>
      <c r="K624" s="52" t="str">
        <f aca="false">IF(L624="","",E624&amp;CHAR(10)&amp;INDEX(ポート振替表!$K$5:$K$3507,$L624)&amp;" "&amp;INDEX(ポート振替表!$L$5:$L$3507,$L624)&amp;CHAR(10)&amp;"⇔ "&amp;INDEX(ポート振替表!$H$5:$H$3507,$L624)&amp;" "&amp;INDEX(ポート振替表!$I$5:$I$3507,$L624))</f>
        <v/>
      </c>
      <c r="L624" s="47" t="str">
        <f aca="false">IFERROR(MATCH(ROW()-4,ポート振替表!$V$5:$V$3507,0),"")</f>
        <v/>
      </c>
    </row>
    <row r="625" customFormat="false" ht="16.4" hidden="false" customHeight="false" outlineLevel="0" collapsed="false">
      <c r="A625" s="32" t="str">
        <f aca="false">IF(L625="","",ROW()-4)</f>
        <v/>
      </c>
      <c r="B625" s="58" t="str">
        <f aca="false">IF(L625="","",IF(INDEX(ポート振替表!$W$5:$W$3507,$L625)="","(なし)",INDEX(ポート振替表!$W$5:$W$3507,$L625)&amp;""))</f>
        <v/>
      </c>
      <c r="C625" s="52" t="str">
        <f aca="false">IF(L625="","",INDEX(ポート振替表!$B$5:$B$3507,$L625)&amp;" "&amp;INDEX(ポート振替表!$C$5:$C$3507,$L625)&amp;"  ⇔  "&amp;INDEX(ポート振替表!$H$5:$H$3507,$L625)&amp;" "&amp;INDEX(ポート振替表!$I$5:$I$3507,$L625))</f>
        <v/>
      </c>
      <c r="D625" s="57" t="s">
        <v>158</v>
      </c>
      <c r="E625" s="59" t="str">
        <f aca="false">IF(L625="","",IF(INDEX(ポート振替表!$O$5:$O$3507,$L625)="","(未設定)",INDEX(ポート振替表!$O$5:$O$3507,$L625)&amp;""))</f>
        <v/>
      </c>
      <c r="F625" s="52" t="str">
        <f aca="false">IF(L625="","",INDEX(ポート振替表!$K$5:$K$3507,$L625)&amp;" "&amp;INDEX(ポート振替表!$L$5:$L$3507,$L625)&amp;"  ⇔  "&amp;INDEX(ポート振替表!$H$5:$H$3507,$L625)&amp;" "&amp;INDEX(ポート振替表!$I$5:$I$3507,$L625))</f>
        <v/>
      </c>
      <c r="G625" s="57" t="s">
        <v>158</v>
      </c>
      <c r="H625" s="32" t="str">
        <f aca="false">IF(L625="","",INDEX(ポート振替表!$N$5:$N$3507,$L625)&amp;"")</f>
        <v/>
      </c>
      <c r="I625" s="32" t="str">
        <f aca="false">IF(L625="","",INDEX(ポート振替表!$P$5:$P$3507,$L625)&amp;"")</f>
        <v/>
      </c>
      <c r="J625" s="60" t="str">
        <f aca="false">IF(L625="","",INDEX(ポート振替表!$M$5:$M$3507,$L625)&amp;"")</f>
        <v/>
      </c>
      <c r="K625" s="52" t="str">
        <f aca="false">IF(L625="","",E625&amp;CHAR(10)&amp;INDEX(ポート振替表!$K$5:$K$3507,$L625)&amp;" "&amp;INDEX(ポート振替表!$L$5:$L$3507,$L625)&amp;CHAR(10)&amp;"⇔ "&amp;INDEX(ポート振替表!$H$5:$H$3507,$L625)&amp;" "&amp;INDEX(ポート振替表!$I$5:$I$3507,$L625))</f>
        <v/>
      </c>
      <c r="L625" s="47" t="str">
        <f aca="false">IFERROR(MATCH(ROW()-4,ポート振替表!$V$5:$V$3507,0),"")</f>
        <v/>
      </c>
    </row>
    <row r="626" customFormat="false" ht="16.4" hidden="false" customHeight="false" outlineLevel="0" collapsed="false">
      <c r="A626" s="32" t="str">
        <f aca="false">IF(L626="","",ROW()-4)</f>
        <v/>
      </c>
      <c r="B626" s="58" t="str">
        <f aca="false">IF(L626="","",IF(INDEX(ポート振替表!$W$5:$W$3507,$L626)="","(なし)",INDEX(ポート振替表!$W$5:$W$3507,$L626)&amp;""))</f>
        <v/>
      </c>
      <c r="C626" s="52" t="str">
        <f aca="false">IF(L626="","",INDEX(ポート振替表!$B$5:$B$3507,$L626)&amp;" "&amp;INDEX(ポート振替表!$C$5:$C$3507,$L626)&amp;"  ⇔  "&amp;INDEX(ポート振替表!$H$5:$H$3507,$L626)&amp;" "&amp;INDEX(ポート振替表!$I$5:$I$3507,$L626))</f>
        <v/>
      </c>
      <c r="D626" s="57" t="s">
        <v>158</v>
      </c>
      <c r="E626" s="59" t="str">
        <f aca="false">IF(L626="","",IF(INDEX(ポート振替表!$O$5:$O$3507,$L626)="","(未設定)",INDEX(ポート振替表!$O$5:$O$3507,$L626)&amp;""))</f>
        <v/>
      </c>
      <c r="F626" s="52" t="str">
        <f aca="false">IF(L626="","",INDEX(ポート振替表!$K$5:$K$3507,$L626)&amp;" "&amp;INDEX(ポート振替表!$L$5:$L$3507,$L626)&amp;"  ⇔  "&amp;INDEX(ポート振替表!$H$5:$H$3507,$L626)&amp;" "&amp;INDEX(ポート振替表!$I$5:$I$3507,$L626))</f>
        <v/>
      </c>
      <c r="G626" s="57" t="s">
        <v>158</v>
      </c>
      <c r="H626" s="32" t="str">
        <f aca="false">IF(L626="","",INDEX(ポート振替表!$N$5:$N$3507,$L626)&amp;"")</f>
        <v/>
      </c>
      <c r="I626" s="32" t="str">
        <f aca="false">IF(L626="","",INDEX(ポート振替表!$P$5:$P$3507,$L626)&amp;"")</f>
        <v/>
      </c>
      <c r="J626" s="60" t="str">
        <f aca="false">IF(L626="","",INDEX(ポート振替表!$M$5:$M$3507,$L626)&amp;"")</f>
        <v/>
      </c>
      <c r="K626" s="52" t="str">
        <f aca="false">IF(L626="","",E626&amp;CHAR(10)&amp;INDEX(ポート振替表!$K$5:$K$3507,$L626)&amp;" "&amp;INDEX(ポート振替表!$L$5:$L$3507,$L626)&amp;CHAR(10)&amp;"⇔ "&amp;INDEX(ポート振替表!$H$5:$H$3507,$L626)&amp;" "&amp;INDEX(ポート振替表!$I$5:$I$3507,$L626))</f>
        <v/>
      </c>
      <c r="L626" s="47" t="str">
        <f aca="false">IFERROR(MATCH(ROW()-4,ポート振替表!$V$5:$V$3507,0),"")</f>
        <v/>
      </c>
    </row>
    <row r="627" customFormat="false" ht="16.4" hidden="false" customHeight="false" outlineLevel="0" collapsed="false">
      <c r="A627" s="32" t="str">
        <f aca="false">IF(L627="","",ROW()-4)</f>
        <v/>
      </c>
      <c r="B627" s="58" t="str">
        <f aca="false">IF(L627="","",IF(INDEX(ポート振替表!$W$5:$W$3507,$L627)="","(なし)",INDEX(ポート振替表!$W$5:$W$3507,$L627)&amp;""))</f>
        <v/>
      </c>
      <c r="C627" s="52" t="str">
        <f aca="false">IF(L627="","",INDEX(ポート振替表!$B$5:$B$3507,$L627)&amp;" "&amp;INDEX(ポート振替表!$C$5:$C$3507,$L627)&amp;"  ⇔  "&amp;INDEX(ポート振替表!$H$5:$H$3507,$L627)&amp;" "&amp;INDEX(ポート振替表!$I$5:$I$3507,$L627))</f>
        <v/>
      </c>
      <c r="D627" s="57" t="s">
        <v>158</v>
      </c>
      <c r="E627" s="59" t="str">
        <f aca="false">IF(L627="","",IF(INDEX(ポート振替表!$O$5:$O$3507,$L627)="","(未設定)",INDEX(ポート振替表!$O$5:$O$3507,$L627)&amp;""))</f>
        <v/>
      </c>
      <c r="F627" s="52" t="str">
        <f aca="false">IF(L627="","",INDEX(ポート振替表!$K$5:$K$3507,$L627)&amp;" "&amp;INDEX(ポート振替表!$L$5:$L$3507,$L627)&amp;"  ⇔  "&amp;INDEX(ポート振替表!$H$5:$H$3507,$L627)&amp;" "&amp;INDEX(ポート振替表!$I$5:$I$3507,$L627))</f>
        <v/>
      </c>
      <c r="G627" s="57" t="s">
        <v>158</v>
      </c>
      <c r="H627" s="32" t="str">
        <f aca="false">IF(L627="","",INDEX(ポート振替表!$N$5:$N$3507,$L627)&amp;"")</f>
        <v/>
      </c>
      <c r="I627" s="32" t="str">
        <f aca="false">IF(L627="","",INDEX(ポート振替表!$P$5:$P$3507,$L627)&amp;"")</f>
        <v/>
      </c>
      <c r="J627" s="60" t="str">
        <f aca="false">IF(L627="","",INDEX(ポート振替表!$M$5:$M$3507,$L627)&amp;"")</f>
        <v/>
      </c>
      <c r="K627" s="52" t="str">
        <f aca="false">IF(L627="","",E627&amp;CHAR(10)&amp;INDEX(ポート振替表!$K$5:$K$3507,$L627)&amp;" "&amp;INDEX(ポート振替表!$L$5:$L$3507,$L627)&amp;CHAR(10)&amp;"⇔ "&amp;INDEX(ポート振替表!$H$5:$H$3507,$L627)&amp;" "&amp;INDEX(ポート振替表!$I$5:$I$3507,$L627))</f>
        <v/>
      </c>
      <c r="L627" s="47" t="str">
        <f aca="false">IFERROR(MATCH(ROW()-4,ポート振替表!$V$5:$V$3507,0),"")</f>
        <v/>
      </c>
    </row>
    <row r="628" customFormat="false" ht="16.4" hidden="false" customHeight="false" outlineLevel="0" collapsed="false">
      <c r="A628" s="32" t="str">
        <f aca="false">IF(L628="","",ROW()-4)</f>
        <v/>
      </c>
      <c r="B628" s="58" t="str">
        <f aca="false">IF(L628="","",IF(INDEX(ポート振替表!$W$5:$W$3507,$L628)="","(なし)",INDEX(ポート振替表!$W$5:$W$3507,$L628)&amp;""))</f>
        <v/>
      </c>
      <c r="C628" s="52" t="str">
        <f aca="false">IF(L628="","",INDEX(ポート振替表!$B$5:$B$3507,$L628)&amp;" "&amp;INDEX(ポート振替表!$C$5:$C$3507,$L628)&amp;"  ⇔  "&amp;INDEX(ポート振替表!$H$5:$H$3507,$L628)&amp;" "&amp;INDEX(ポート振替表!$I$5:$I$3507,$L628))</f>
        <v/>
      </c>
      <c r="D628" s="57" t="s">
        <v>158</v>
      </c>
      <c r="E628" s="59" t="str">
        <f aca="false">IF(L628="","",IF(INDEX(ポート振替表!$O$5:$O$3507,$L628)="","(未設定)",INDEX(ポート振替表!$O$5:$O$3507,$L628)&amp;""))</f>
        <v/>
      </c>
      <c r="F628" s="52" t="str">
        <f aca="false">IF(L628="","",INDEX(ポート振替表!$K$5:$K$3507,$L628)&amp;" "&amp;INDEX(ポート振替表!$L$5:$L$3507,$L628)&amp;"  ⇔  "&amp;INDEX(ポート振替表!$H$5:$H$3507,$L628)&amp;" "&amp;INDEX(ポート振替表!$I$5:$I$3507,$L628))</f>
        <v/>
      </c>
      <c r="G628" s="57" t="s">
        <v>158</v>
      </c>
      <c r="H628" s="32" t="str">
        <f aca="false">IF(L628="","",INDEX(ポート振替表!$N$5:$N$3507,$L628)&amp;"")</f>
        <v/>
      </c>
      <c r="I628" s="32" t="str">
        <f aca="false">IF(L628="","",INDEX(ポート振替表!$P$5:$P$3507,$L628)&amp;"")</f>
        <v/>
      </c>
      <c r="J628" s="60" t="str">
        <f aca="false">IF(L628="","",INDEX(ポート振替表!$M$5:$M$3507,$L628)&amp;"")</f>
        <v/>
      </c>
      <c r="K628" s="52" t="str">
        <f aca="false">IF(L628="","",E628&amp;CHAR(10)&amp;INDEX(ポート振替表!$K$5:$K$3507,$L628)&amp;" "&amp;INDEX(ポート振替表!$L$5:$L$3507,$L628)&amp;CHAR(10)&amp;"⇔ "&amp;INDEX(ポート振替表!$H$5:$H$3507,$L628)&amp;" "&amp;INDEX(ポート振替表!$I$5:$I$3507,$L628))</f>
        <v/>
      </c>
      <c r="L628" s="47" t="str">
        <f aca="false">IFERROR(MATCH(ROW()-4,ポート振替表!$V$5:$V$3507,0),"")</f>
        <v/>
      </c>
    </row>
    <row r="629" customFormat="false" ht="16.4" hidden="false" customHeight="false" outlineLevel="0" collapsed="false">
      <c r="A629" s="32" t="str">
        <f aca="false">IF(L629="","",ROW()-4)</f>
        <v/>
      </c>
      <c r="B629" s="58" t="str">
        <f aca="false">IF(L629="","",IF(INDEX(ポート振替表!$W$5:$W$3507,$L629)="","(なし)",INDEX(ポート振替表!$W$5:$W$3507,$L629)&amp;""))</f>
        <v/>
      </c>
      <c r="C629" s="52" t="str">
        <f aca="false">IF(L629="","",INDEX(ポート振替表!$B$5:$B$3507,$L629)&amp;" "&amp;INDEX(ポート振替表!$C$5:$C$3507,$L629)&amp;"  ⇔  "&amp;INDEX(ポート振替表!$H$5:$H$3507,$L629)&amp;" "&amp;INDEX(ポート振替表!$I$5:$I$3507,$L629))</f>
        <v/>
      </c>
      <c r="D629" s="57" t="s">
        <v>158</v>
      </c>
      <c r="E629" s="59" t="str">
        <f aca="false">IF(L629="","",IF(INDEX(ポート振替表!$O$5:$O$3507,$L629)="","(未設定)",INDEX(ポート振替表!$O$5:$O$3507,$L629)&amp;""))</f>
        <v/>
      </c>
      <c r="F629" s="52" t="str">
        <f aca="false">IF(L629="","",INDEX(ポート振替表!$K$5:$K$3507,$L629)&amp;" "&amp;INDEX(ポート振替表!$L$5:$L$3507,$L629)&amp;"  ⇔  "&amp;INDEX(ポート振替表!$H$5:$H$3507,$L629)&amp;" "&amp;INDEX(ポート振替表!$I$5:$I$3507,$L629))</f>
        <v/>
      </c>
      <c r="G629" s="57" t="s">
        <v>158</v>
      </c>
      <c r="H629" s="32" t="str">
        <f aca="false">IF(L629="","",INDEX(ポート振替表!$N$5:$N$3507,$L629)&amp;"")</f>
        <v/>
      </c>
      <c r="I629" s="32" t="str">
        <f aca="false">IF(L629="","",INDEX(ポート振替表!$P$5:$P$3507,$L629)&amp;"")</f>
        <v/>
      </c>
      <c r="J629" s="60" t="str">
        <f aca="false">IF(L629="","",INDEX(ポート振替表!$M$5:$M$3507,$L629)&amp;"")</f>
        <v/>
      </c>
      <c r="K629" s="52" t="str">
        <f aca="false">IF(L629="","",E629&amp;CHAR(10)&amp;INDEX(ポート振替表!$K$5:$K$3507,$L629)&amp;" "&amp;INDEX(ポート振替表!$L$5:$L$3507,$L629)&amp;CHAR(10)&amp;"⇔ "&amp;INDEX(ポート振替表!$H$5:$H$3507,$L629)&amp;" "&amp;INDEX(ポート振替表!$I$5:$I$3507,$L629))</f>
        <v/>
      </c>
      <c r="L629" s="47" t="str">
        <f aca="false">IFERROR(MATCH(ROW()-4,ポート振替表!$V$5:$V$3507,0),"")</f>
        <v/>
      </c>
    </row>
    <row r="630" customFormat="false" ht="16.4" hidden="false" customHeight="false" outlineLevel="0" collapsed="false">
      <c r="A630" s="32" t="str">
        <f aca="false">IF(L630="","",ROW()-4)</f>
        <v/>
      </c>
      <c r="B630" s="58" t="str">
        <f aca="false">IF(L630="","",IF(INDEX(ポート振替表!$W$5:$W$3507,$L630)="","(なし)",INDEX(ポート振替表!$W$5:$W$3507,$L630)&amp;""))</f>
        <v/>
      </c>
      <c r="C630" s="52" t="str">
        <f aca="false">IF(L630="","",INDEX(ポート振替表!$B$5:$B$3507,$L630)&amp;" "&amp;INDEX(ポート振替表!$C$5:$C$3507,$L630)&amp;"  ⇔  "&amp;INDEX(ポート振替表!$H$5:$H$3507,$L630)&amp;" "&amp;INDEX(ポート振替表!$I$5:$I$3507,$L630))</f>
        <v/>
      </c>
      <c r="D630" s="57" t="s">
        <v>158</v>
      </c>
      <c r="E630" s="59" t="str">
        <f aca="false">IF(L630="","",IF(INDEX(ポート振替表!$O$5:$O$3507,$L630)="","(未設定)",INDEX(ポート振替表!$O$5:$O$3507,$L630)&amp;""))</f>
        <v/>
      </c>
      <c r="F630" s="52" t="str">
        <f aca="false">IF(L630="","",INDEX(ポート振替表!$K$5:$K$3507,$L630)&amp;" "&amp;INDEX(ポート振替表!$L$5:$L$3507,$L630)&amp;"  ⇔  "&amp;INDEX(ポート振替表!$H$5:$H$3507,$L630)&amp;" "&amp;INDEX(ポート振替表!$I$5:$I$3507,$L630))</f>
        <v/>
      </c>
      <c r="G630" s="57" t="s">
        <v>158</v>
      </c>
      <c r="H630" s="32" t="str">
        <f aca="false">IF(L630="","",INDEX(ポート振替表!$N$5:$N$3507,$L630)&amp;"")</f>
        <v/>
      </c>
      <c r="I630" s="32" t="str">
        <f aca="false">IF(L630="","",INDEX(ポート振替表!$P$5:$P$3507,$L630)&amp;"")</f>
        <v/>
      </c>
      <c r="J630" s="60" t="str">
        <f aca="false">IF(L630="","",INDEX(ポート振替表!$M$5:$M$3507,$L630)&amp;"")</f>
        <v/>
      </c>
      <c r="K630" s="52" t="str">
        <f aca="false">IF(L630="","",E630&amp;CHAR(10)&amp;INDEX(ポート振替表!$K$5:$K$3507,$L630)&amp;" "&amp;INDEX(ポート振替表!$L$5:$L$3507,$L630)&amp;CHAR(10)&amp;"⇔ "&amp;INDEX(ポート振替表!$H$5:$H$3507,$L630)&amp;" "&amp;INDEX(ポート振替表!$I$5:$I$3507,$L630))</f>
        <v/>
      </c>
      <c r="L630" s="47" t="str">
        <f aca="false">IFERROR(MATCH(ROW()-4,ポート振替表!$V$5:$V$3507,0),"")</f>
        <v/>
      </c>
    </row>
    <row r="631" customFormat="false" ht="16.4" hidden="false" customHeight="false" outlineLevel="0" collapsed="false">
      <c r="A631" s="32" t="str">
        <f aca="false">IF(L631="","",ROW()-4)</f>
        <v/>
      </c>
      <c r="B631" s="58" t="str">
        <f aca="false">IF(L631="","",IF(INDEX(ポート振替表!$W$5:$W$3507,$L631)="","(なし)",INDEX(ポート振替表!$W$5:$W$3507,$L631)&amp;""))</f>
        <v/>
      </c>
      <c r="C631" s="52" t="str">
        <f aca="false">IF(L631="","",INDEX(ポート振替表!$B$5:$B$3507,$L631)&amp;" "&amp;INDEX(ポート振替表!$C$5:$C$3507,$L631)&amp;"  ⇔  "&amp;INDEX(ポート振替表!$H$5:$H$3507,$L631)&amp;" "&amp;INDEX(ポート振替表!$I$5:$I$3507,$L631))</f>
        <v/>
      </c>
      <c r="D631" s="57" t="s">
        <v>158</v>
      </c>
      <c r="E631" s="59" t="str">
        <f aca="false">IF(L631="","",IF(INDEX(ポート振替表!$O$5:$O$3507,$L631)="","(未設定)",INDEX(ポート振替表!$O$5:$O$3507,$L631)&amp;""))</f>
        <v/>
      </c>
      <c r="F631" s="52" t="str">
        <f aca="false">IF(L631="","",INDEX(ポート振替表!$K$5:$K$3507,$L631)&amp;" "&amp;INDEX(ポート振替表!$L$5:$L$3507,$L631)&amp;"  ⇔  "&amp;INDEX(ポート振替表!$H$5:$H$3507,$L631)&amp;" "&amp;INDEX(ポート振替表!$I$5:$I$3507,$L631))</f>
        <v/>
      </c>
      <c r="G631" s="57" t="s">
        <v>158</v>
      </c>
      <c r="H631" s="32" t="str">
        <f aca="false">IF(L631="","",INDEX(ポート振替表!$N$5:$N$3507,$L631)&amp;"")</f>
        <v/>
      </c>
      <c r="I631" s="32" t="str">
        <f aca="false">IF(L631="","",INDEX(ポート振替表!$P$5:$P$3507,$L631)&amp;"")</f>
        <v/>
      </c>
      <c r="J631" s="60" t="str">
        <f aca="false">IF(L631="","",INDEX(ポート振替表!$M$5:$M$3507,$L631)&amp;"")</f>
        <v/>
      </c>
      <c r="K631" s="52" t="str">
        <f aca="false">IF(L631="","",E631&amp;CHAR(10)&amp;INDEX(ポート振替表!$K$5:$K$3507,$L631)&amp;" "&amp;INDEX(ポート振替表!$L$5:$L$3507,$L631)&amp;CHAR(10)&amp;"⇔ "&amp;INDEX(ポート振替表!$H$5:$H$3507,$L631)&amp;" "&amp;INDEX(ポート振替表!$I$5:$I$3507,$L631))</f>
        <v/>
      </c>
      <c r="L631" s="47" t="str">
        <f aca="false">IFERROR(MATCH(ROW()-4,ポート振替表!$V$5:$V$3507,0),"")</f>
        <v/>
      </c>
    </row>
    <row r="632" customFormat="false" ht="16.4" hidden="false" customHeight="false" outlineLevel="0" collapsed="false">
      <c r="A632" s="32" t="str">
        <f aca="false">IF(L632="","",ROW()-4)</f>
        <v/>
      </c>
      <c r="B632" s="58" t="str">
        <f aca="false">IF(L632="","",IF(INDEX(ポート振替表!$W$5:$W$3507,$L632)="","(なし)",INDEX(ポート振替表!$W$5:$W$3507,$L632)&amp;""))</f>
        <v/>
      </c>
      <c r="C632" s="52" t="str">
        <f aca="false">IF(L632="","",INDEX(ポート振替表!$B$5:$B$3507,$L632)&amp;" "&amp;INDEX(ポート振替表!$C$5:$C$3507,$L632)&amp;"  ⇔  "&amp;INDEX(ポート振替表!$H$5:$H$3507,$L632)&amp;" "&amp;INDEX(ポート振替表!$I$5:$I$3507,$L632))</f>
        <v/>
      </c>
      <c r="D632" s="57" t="s">
        <v>158</v>
      </c>
      <c r="E632" s="59" t="str">
        <f aca="false">IF(L632="","",IF(INDEX(ポート振替表!$O$5:$O$3507,$L632)="","(未設定)",INDEX(ポート振替表!$O$5:$O$3507,$L632)&amp;""))</f>
        <v/>
      </c>
      <c r="F632" s="52" t="str">
        <f aca="false">IF(L632="","",INDEX(ポート振替表!$K$5:$K$3507,$L632)&amp;" "&amp;INDEX(ポート振替表!$L$5:$L$3507,$L632)&amp;"  ⇔  "&amp;INDEX(ポート振替表!$H$5:$H$3507,$L632)&amp;" "&amp;INDEX(ポート振替表!$I$5:$I$3507,$L632))</f>
        <v/>
      </c>
      <c r="G632" s="57" t="s">
        <v>158</v>
      </c>
      <c r="H632" s="32" t="str">
        <f aca="false">IF(L632="","",INDEX(ポート振替表!$N$5:$N$3507,$L632)&amp;"")</f>
        <v/>
      </c>
      <c r="I632" s="32" t="str">
        <f aca="false">IF(L632="","",INDEX(ポート振替表!$P$5:$P$3507,$L632)&amp;"")</f>
        <v/>
      </c>
      <c r="J632" s="60" t="str">
        <f aca="false">IF(L632="","",INDEX(ポート振替表!$M$5:$M$3507,$L632)&amp;"")</f>
        <v/>
      </c>
      <c r="K632" s="52" t="str">
        <f aca="false">IF(L632="","",E632&amp;CHAR(10)&amp;INDEX(ポート振替表!$K$5:$K$3507,$L632)&amp;" "&amp;INDEX(ポート振替表!$L$5:$L$3507,$L632)&amp;CHAR(10)&amp;"⇔ "&amp;INDEX(ポート振替表!$H$5:$H$3507,$L632)&amp;" "&amp;INDEX(ポート振替表!$I$5:$I$3507,$L632))</f>
        <v/>
      </c>
      <c r="L632" s="47" t="str">
        <f aca="false">IFERROR(MATCH(ROW()-4,ポート振替表!$V$5:$V$3507,0),"")</f>
        <v/>
      </c>
    </row>
    <row r="633" customFormat="false" ht="16.4" hidden="false" customHeight="false" outlineLevel="0" collapsed="false">
      <c r="A633" s="32" t="str">
        <f aca="false">IF(L633="","",ROW()-4)</f>
        <v/>
      </c>
      <c r="B633" s="58" t="str">
        <f aca="false">IF(L633="","",IF(INDEX(ポート振替表!$W$5:$W$3507,$L633)="","(なし)",INDEX(ポート振替表!$W$5:$W$3507,$L633)&amp;""))</f>
        <v/>
      </c>
      <c r="C633" s="52" t="str">
        <f aca="false">IF(L633="","",INDEX(ポート振替表!$B$5:$B$3507,$L633)&amp;" "&amp;INDEX(ポート振替表!$C$5:$C$3507,$L633)&amp;"  ⇔  "&amp;INDEX(ポート振替表!$H$5:$H$3507,$L633)&amp;" "&amp;INDEX(ポート振替表!$I$5:$I$3507,$L633))</f>
        <v/>
      </c>
      <c r="D633" s="57" t="s">
        <v>158</v>
      </c>
      <c r="E633" s="59" t="str">
        <f aca="false">IF(L633="","",IF(INDEX(ポート振替表!$O$5:$O$3507,$L633)="","(未設定)",INDEX(ポート振替表!$O$5:$O$3507,$L633)&amp;""))</f>
        <v/>
      </c>
      <c r="F633" s="52" t="str">
        <f aca="false">IF(L633="","",INDEX(ポート振替表!$K$5:$K$3507,$L633)&amp;" "&amp;INDEX(ポート振替表!$L$5:$L$3507,$L633)&amp;"  ⇔  "&amp;INDEX(ポート振替表!$H$5:$H$3507,$L633)&amp;" "&amp;INDEX(ポート振替表!$I$5:$I$3507,$L633))</f>
        <v/>
      </c>
      <c r="G633" s="57" t="s">
        <v>158</v>
      </c>
      <c r="H633" s="32" t="str">
        <f aca="false">IF(L633="","",INDEX(ポート振替表!$N$5:$N$3507,$L633)&amp;"")</f>
        <v/>
      </c>
      <c r="I633" s="32" t="str">
        <f aca="false">IF(L633="","",INDEX(ポート振替表!$P$5:$P$3507,$L633)&amp;"")</f>
        <v/>
      </c>
      <c r="J633" s="60" t="str">
        <f aca="false">IF(L633="","",INDEX(ポート振替表!$M$5:$M$3507,$L633)&amp;"")</f>
        <v/>
      </c>
      <c r="K633" s="52" t="str">
        <f aca="false">IF(L633="","",E633&amp;CHAR(10)&amp;INDEX(ポート振替表!$K$5:$K$3507,$L633)&amp;" "&amp;INDEX(ポート振替表!$L$5:$L$3507,$L633)&amp;CHAR(10)&amp;"⇔ "&amp;INDEX(ポート振替表!$H$5:$H$3507,$L633)&amp;" "&amp;INDEX(ポート振替表!$I$5:$I$3507,$L633))</f>
        <v/>
      </c>
      <c r="L633" s="47" t="str">
        <f aca="false">IFERROR(MATCH(ROW()-4,ポート振替表!$V$5:$V$3507,0),"")</f>
        <v/>
      </c>
    </row>
    <row r="634" customFormat="false" ht="16.4" hidden="false" customHeight="false" outlineLevel="0" collapsed="false">
      <c r="A634" s="32" t="str">
        <f aca="false">IF(L634="","",ROW()-4)</f>
        <v/>
      </c>
      <c r="B634" s="58" t="str">
        <f aca="false">IF(L634="","",IF(INDEX(ポート振替表!$W$5:$W$3507,$L634)="","(なし)",INDEX(ポート振替表!$W$5:$W$3507,$L634)&amp;""))</f>
        <v/>
      </c>
      <c r="C634" s="52" t="str">
        <f aca="false">IF(L634="","",INDEX(ポート振替表!$B$5:$B$3507,$L634)&amp;" "&amp;INDEX(ポート振替表!$C$5:$C$3507,$L634)&amp;"  ⇔  "&amp;INDEX(ポート振替表!$H$5:$H$3507,$L634)&amp;" "&amp;INDEX(ポート振替表!$I$5:$I$3507,$L634))</f>
        <v/>
      </c>
      <c r="D634" s="57" t="s">
        <v>158</v>
      </c>
      <c r="E634" s="59" t="str">
        <f aca="false">IF(L634="","",IF(INDEX(ポート振替表!$O$5:$O$3507,$L634)="","(未設定)",INDEX(ポート振替表!$O$5:$O$3507,$L634)&amp;""))</f>
        <v/>
      </c>
      <c r="F634" s="52" t="str">
        <f aca="false">IF(L634="","",INDEX(ポート振替表!$K$5:$K$3507,$L634)&amp;" "&amp;INDEX(ポート振替表!$L$5:$L$3507,$L634)&amp;"  ⇔  "&amp;INDEX(ポート振替表!$H$5:$H$3507,$L634)&amp;" "&amp;INDEX(ポート振替表!$I$5:$I$3507,$L634))</f>
        <v/>
      </c>
      <c r="G634" s="57" t="s">
        <v>158</v>
      </c>
      <c r="H634" s="32" t="str">
        <f aca="false">IF(L634="","",INDEX(ポート振替表!$N$5:$N$3507,$L634)&amp;"")</f>
        <v/>
      </c>
      <c r="I634" s="32" t="str">
        <f aca="false">IF(L634="","",INDEX(ポート振替表!$P$5:$P$3507,$L634)&amp;"")</f>
        <v/>
      </c>
      <c r="J634" s="60" t="str">
        <f aca="false">IF(L634="","",INDEX(ポート振替表!$M$5:$M$3507,$L634)&amp;"")</f>
        <v/>
      </c>
      <c r="K634" s="52" t="str">
        <f aca="false">IF(L634="","",E634&amp;CHAR(10)&amp;INDEX(ポート振替表!$K$5:$K$3507,$L634)&amp;" "&amp;INDEX(ポート振替表!$L$5:$L$3507,$L634)&amp;CHAR(10)&amp;"⇔ "&amp;INDEX(ポート振替表!$H$5:$H$3507,$L634)&amp;" "&amp;INDEX(ポート振替表!$I$5:$I$3507,$L634))</f>
        <v/>
      </c>
      <c r="L634" s="47" t="str">
        <f aca="false">IFERROR(MATCH(ROW()-4,ポート振替表!$V$5:$V$3507,0),"")</f>
        <v/>
      </c>
    </row>
    <row r="635" customFormat="false" ht="16.4" hidden="false" customHeight="false" outlineLevel="0" collapsed="false">
      <c r="A635" s="32" t="str">
        <f aca="false">IF(L635="","",ROW()-4)</f>
        <v/>
      </c>
      <c r="B635" s="58" t="str">
        <f aca="false">IF(L635="","",IF(INDEX(ポート振替表!$W$5:$W$3507,$L635)="","(なし)",INDEX(ポート振替表!$W$5:$W$3507,$L635)&amp;""))</f>
        <v/>
      </c>
      <c r="C635" s="52" t="str">
        <f aca="false">IF(L635="","",INDEX(ポート振替表!$B$5:$B$3507,$L635)&amp;" "&amp;INDEX(ポート振替表!$C$5:$C$3507,$L635)&amp;"  ⇔  "&amp;INDEX(ポート振替表!$H$5:$H$3507,$L635)&amp;" "&amp;INDEX(ポート振替表!$I$5:$I$3507,$L635))</f>
        <v/>
      </c>
      <c r="D635" s="57" t="s">
        <v>158</v>
      </c>
      <c r="E635" s="59" t="str">
        <f aca="false">IF(L635="","",IF(INDEX(ポート振替表!$O$5:$O$3507,$L635)="","(未設定)",INDEX(ポート振替表!$O$5:$O$3507,$L635)&amp;""))</f>
        <v/>
      </c>
      <c r="F635" s="52" t="str">
        <f aca="false">IF(L635="","",INDEX(ポート振替表!$K$5:$K$3507,$L635)&amp;" "&amp;INDEX(ポート振替表!$L$5:$L$3507,$L635)&amp;"  ⇔  "&amp;INDEX(ポート振替表!$H$5:$H$3507,$L635)&amp;" "&amp;INDEX(ポート振替表!$I$5:$I$3507,$L635))</f>
        <v/>
      </c>
      <c r="G635" s="57" t="s">
        <v>158</v>
      </c>
      <c r="H635" s="32" t="str">
        <f aca="false">IF(L635="","",INDEX(ポート振替表!$N$5:$N$3507,$L635)&amp;"")</f>
        <v/>
      </c>
      <c r="I635" s="32" t="str">
        <f aca="false">IF(L635="","",INDEX(ポート振替表!$P$5:$P$3507,$L635)&amp;"")</f>
        <v/>
      </c>
      <c r="J635" s="60" t="str">
        <f aca="false">IF(L635="","",INDEX(ポート振替表!$M$5:$M$3507,$L635)&amp;"")</f>
        <v/>
      </c>
      <c r="K635" s="52" t="str">
        <f aca="false">IF(L635="","",E635&amp;CHAR(10)&amp;INDEX(ポート振替表!$K$5:$K$3507,$L635)&amp;" "&amp;INDEX(ポート振替表!$L$5:$L$3507,$L635)&amp;CHAR(10)&amp;"⇔ "&amp;INDEX(ポート振替表!$H$5:$H$3507,$L635)&amp;" "&amp;INDEX(ポート振替表!$I$5:$I$3507,$L635))</f>
        <v/>
      </c>
      <c r="L635" s="47" t="str">
        <f aca="false">IFERROR(MATCH(ROW()-4,ポート振替表!$V$5:$V$3507,0),"")</f>
        <v/>
      </c>
    </row>
    <row r="636" customFormat="false" ht="16.4" hidden="false" customHeight="false" outlineLevel="0" collapsed="false">
      <c r="A636" s="32" t="str">
        <f aca="false">IF(L636="","",ROW()-4)</f>
        <v/>
      </c>
      <c r="B636" s="58" t="str">
        <f aca="false">IF(L636="","",IF(INDEX(ポート振替表!$W$5:$W$3507,$L636)="","(なし)",INDEX(ポート振替表!$W$5:$W$3507,$L636)&amp;""))</f>
        <v/>
      </c>
      <c r="C636" s="52" t="str">
        <f aca="false">IF(L636="","",INDEX(ポート振替表!$B$5:$B$3507,$L636)&amp;" "&amp;INDEX(ポート振替表!$C$5:$C$3507,$L636)&amp;"  ⇔  "&amp;INDEX(ポート振替表!$H$5:$H$3507,$L636)&amp;" "&amp;INDEX(ポート振替表!$I$5:$I$3507,$L636))</f>
        <v/>
      </c>
      <c r="D636" s="57" t="s">
        <v>158</v>
      </c>
      <c r="E636" s="59" t="str">
        <f aca="false">IF(L636="","",IF(INDEX(ポート振替表!$O$5:$O$3507,$L636)="","(未設定)",INDEX(ポート振替表!$O$5:$O$3507,$L636)&amp;""))</f>
        <v/>
      </c>
      <c r="F636" s="52" t="str">
        <f aca="false">IF(L636="","",INDEX(ポート振替表!$K$5:$K$3507,$L636)&amp;" "&amp;INDEX(ポート振替表!$L$5:$L$3507,$L636)&amp;"  ⇔  "&amp;INDEX(ポート振替表!$H$5:$H$3507,$L636)&amp;" "&amp;INDEX(ポート振替表!$I$5:$I$3507,$L636))</f>
        <v/>
      </c>
      <c r="G636" s="57" t="s">
        <v>158</v>
      </c>
      <c r="H636" s="32" t="str">
        <f aca="false">IF(L636="","",INDEX(ポート振替表!$N$5:$N$3507,$L636)&amp;"")</f>
        <v/>
      </c>
      <c r="I636" s="32" t="str">
        <f aca="false">IF(L636="","",INDEX(ポート振替表!$P$5:$P$3507,$L636)&amp;"")</f>
        <v/>
      </c>
      <c r="J636" s="60" t="str">
        <f aca="false">IF(L636="","",INDEX(ポート振替表!$M$5:$M$3507,$L636)&amp;"")</f>
        <v/>
      </c>
      <c r="K636" s="52" t="str">
        <f aca="false">IF(L636="","",E636&amp;CHAR(10)&amp;INDEX(ポート振替表!$K$5:$K$3507,$L636)&amp;" "&amp;INDEX(ポート振替表!$L$5:$L$3507,$L636)&amp;CHAR(10)&amp;"⇔ "&amp;INDEX(ポート振替表!$H$5:$H$3507,$L636)&amp;" "&amp;INDEX(ポート振替表!$I$5:$I$3507,$L636))</f>
        <v/>
      </c>
      <c r="L636" s="47" t="str">
        <f aca="false">IFERROR(MATCH(ROW()-4,ポート振替表!$V$5:$V$3507,0),"")</f>
        <v/>
      </c>
    </row>
    <row r="637" customFormat="false" ht="16.4" hidden="false" customHeight="false" outlineLevel="0" collapsed="false">
      <c r="A637" s="32" t="str">
        <f aca="false">IF(L637="","",ROW()-4)</f>
        <v/>
      </c>
      <c r="B637" s="58" t="str">
        <f aca="false">IF(L637="","",IF(INDEX(ポート振替表!$W$5:$W$3507,$L637)="","(なし)",INDEX(ポート振替表!$W$5:$W$3507,$L637)&amp;""))</f>
        <v/>
      </c>
      <c r="C637" s="52" t="str">
        <f aca="false">IF(L637="","",INDEX(ポート振替表!$B$5:$B$3507,$L637)&amp;" "&amp;INDEX(ポート振替表!$C$5:$C$3507,$L637)&amp;"  ⇔  "&amp;INDEX(ポート振替表!$H$5:$H$3507,$L637)&amp;" "&amp;INDEX(ポート振替表!$I$5:$I$3507,$L637))</f>
        <v/>
      </c>
      <c r="D637" s="57" t="s">
        <v>158</v>
      </c>
      <c r="E637" s="59" t="str">
        <f aca="false">IF(L637="","",IF(INDEX(ポート振替表!$O$5:$O$3507,$L637)="","(未設定)",INDEX(ポート振替表!$O$5:$O$3507,$L637)&amp;""))</f>
        <v/>
      </c>
      <c r="F637" s="52" t="str">
        <f aca="false">IF(L637="","",INDEX(ポート振替表!$K$5:$K$3507,$L637)&amp;" "&amp;INDEX(ポート振替表!$L$5:$L$3507,$L637)&amp;"  ⇔  "&amp;INDEX(ポート振替表!$H$5:$H$3507,$L637)&amp;" "&amp;INDEX(ポート振替表!$I$5:$I$3507,$L637))</f>
        <v/>
      </c>
      <c r="G637" s="57" t="s">
        <v>158</v>
      </c>
      <c r="H637" s="32" t="str">
        <f aca="false">IF(L637="","",INDEX(ポート振替表!$N$5:$N$3507,$L637)&amp;"")</f>
        <v/>
      </c>
      <c r="I637" s="32" t="str">
        <f aca="false">IF(L637="","",INDEX(ポート振替表!$P$5:$P$3507,$L637)&amp;"")</f>
        <v/>
      </c>
      <c r="J637" s="60" t="str">
        <f aca="false">IF(L637="","",INDEX(ポート振替表!$M$5:$M$3507,$L637)&amp;"")</f>
        <v/>
      </c>
      <c r="K637" s="52" t="str">
        <f aca="false">IF(L637="","",E637&amp;CHAR(10)&amp;INDEX(ポート振替表!$K$5:$K$3507,$L637)&amp;" "&amp;INDEX(ポート振替表!$L$5:$L$3507,$L637)&amp;CHAR(10)&amp;"⇔ "&amp;INDEX(ポート振替表!$H$5:$H$3507,$L637)&amp;" "&amp;INDEX(ポート振替表!$I$5:$I$3507,$L637))</f>
        <v/>
      </c>
      <c r="L637" s="47" t="str">
        <f aca="false">IFERROR(MATCH(ROW()-4,ポート振替表!$V$5:$V$3507,0),"")</f>
        <v/>
      </c>
    </row>
    <row r="638" customFormat="false" ht="16.4" hidden="false" customHeight="false" outlineLevel="0" collapsed="false">
      <c r="A638" s="32" t="str">
        <f aca="false">IF(L638="","",ROW()-4)</f>
        <v/>
      </c>
      <c r="B638" s="58" t="str">
        <f aca="false">IF(L638="","",IF(INDEX(ポート振替表!$W$5:$W$3507,$L638)="","(なし)",INDEX(ポート振替表!$W$5:$W$3507,$L638)&amp;""))</f>
        <v/>
      </c>
      <c r="C638" s="52" t="str">
        <f aca="false">IF(L638="","",INDEX(ポート振替表!$B$5:$B$3507,$L638)&amp;" "&amp;INDEX(ポート振替表!$C$5:$C$3507,$L638)&amp;"  ⇔  "&amp;INDEX(ポート振替表!$H$5:$H$3507,$L638)&amp;" "&amp;INDEX(ポート振替表!$I$5:$I$3507,$L638))</f>
        <v/>
      </c>
      <c r="D638" s="57" t="s">
        <v>158</v>
      </c>
      <c r="E638" s="59" t="str">
        <f aca="false">IF(L638="","",IF(INDEX(ポート振替表!$O$5:$O$3507,$L638)="","(未設定)",INDEX(ポート振替表!$O$5:$O$3507,$L638)&amp;""))</f>
        <v/>
      </c>
      <c r="F638" s="52" t="str">
        <f aca="false">IF(L638="","",INDEX(ポート振替表!$K$5:$K$3507,$L638)&amp;" "&amp;INDEX(ポート振替表!$L$5:$L$3507,$L638)&amp;"  ⇔  "&amp;INDEX(ポート振替表!$H$5:$H$3507,$L638)&amp;" "&amp;INDEX(ポート振替表!$I$5:$I$3507,$L638))</f>
        <v/>
      </c>
      <c r="G638" s="57" t="s">
        <v>158</v>
      </c>
      <c r="H638" s="32" t="str">
        <f aca="false">IF(L638="","",INDEX(ポート振替表!$N$5:$N$3507,$L638)&amp;"")</f>
        <v/>
      </c>
      <c r="I638" s="32" t="str">
        <f aca="false">IF(L638="","",INDEX(ポート振替表!$P$5:$P$3507,$L638)&amp;"")</f>
        <v/>
      </c>
      <c r="J638" s="60" t="str">
        <f aca="false">IF(L638="","",INDEX(ポート振替表!$M$5:$M$3507,$L638)&amp;"")</f>
        <v/>
      </c>
      <c r="K638" s="52" t="str">
        <f aca="false">IF(L638="","",E638&amp;CHAR(10)&amp;INDEX(ポート振替表!$K$5:$K$3507,$L638)&amp;" "&amp;INDEX(ポート振替表!$L$5:$L$3507,$L638)&amp;CHAR(10)&amp;"⇔ "&amp;INDEX(ポート振替表!$H$5:$H$3507,$L638)&amp;" "&amp;INDEX(ポート振替表!$I$5:$I$3507,$L638))</f>
        <v/>
      </c>
      <c r="L638" s="47" t="str">
        <f aca="false">IFERROR(MATCH(ROW()-4,ポート振替表!$V$5:$V$3507,0),"")</f>
        <v/>
      </c>
    </row>
    <row r="639" customFormat="false" ht="16.4" hidden="false" customHeight="false" outlineLevel="0" collapsed="false">
      <c r="A639" s="32" t="str">
        <f aca="false">IF(L639="","",ROW()-4)</f>
        <v/>
      </c>
      <c r="B639" s="58" t="str">
        <f aca="false">IF(L639="","",IF(INDEX(ポート振替表!$W$5:$W$3507,$L639)="","(なし)",INDEX(ポート振替表!$W$5:$W$3507,$L639)&amp;""))</f>
        <v/>
      </c>
      <c r="C639" s="52" t="str">
        <f aca="false">IF(L639="","",INDEX(ポート振替表!$B$5:$B$3507,$L639)&amp;" "&amp;INDEX(ポート振替表!$C$5:$C$3507,$L639)&amp;"  ⇔  "&amp;INDEX(ポート振替表!$H$5:$H$3507,$L639)&amp;" "&amp;INDEX(ポート振替表!$I$5:$I$3507,$L639))</f>
        <v/>
      </c>
      <c r="D639" s="57" t="s">
        <v>158</v>
      </c>
      <c r="E639" s="59" t="str">
        <f aca="false">IF(L639="","",IF(INDEX(ポート振替表!$O$5:$O$3507,$L639)="","(未設定)",INDEX(ポート振替表!$O$5:$O$3507,$L639)&amp;""))</f>
        <v/>
      </c>
      <c r="F639" s="52" t="str">
        <f aca="false">IF(L639="","",INDEX(ポート振替表!$K$5:$K$3507,$L639)&amp;" "&amp;INDEX(ポート振替表!$L$5:$L$3507,$L639)&amp;"  ⇔  "&amp;INDEX(ポート振替表!$H$5:$H$3507,$L639)&amp;" "&amp;INDEX(ポート振替表!$I$5:$I$3507,$L639))</f>
        <v/>
      </c>
      <c r="G639" s="57" t="s">
        <v>158</v>
      </c>
      <c r="H639" s="32" t="str">
        <f aca="false">IF(L639="","",INDEX(ポート振替表!$N$5:$N$3507,$L639)&amp;"")</f>
        <v/>
      </c>
      <c r="I639" s="32" t="str">
        <f aca="false">IF(L639="","",INDEX(ポート振替表!$P$5:$P$3507,$L639)&amp;"")</f>
        <v/>
      </c>
      <c r="J639" s="60" t="str">
        <f aca="false">IF(L639="","",INDEX(ポート振替表!$M$5:$M$3507,$L639)&amp;"")</f>
        <v/>
      </c>
      <c r="K639" s="52" t="str">
        <f aca="false">IF(L639="","",E639&amp;CHAR(10)&amp;INDEX(ポート振替表!$K$5:$K$3507,$L639)&amp;" "&amp;INDEX(ポート振替表!$L$5:$L$3507,$L639)&amp;CHAR(10)&amp;"⇔ "&amp;INDEX(ポート振替表!$H$5:$H$3507,$L639)&amp;" "&amp;INDEX(ポート振替表!$I$5:$I$3507,$L639))</f>
        <v/>
      </c>
      <c r="L639" s="47" t="str">
        <f aca="false">IFERROR(MATCH(ROW()-4,ポート振替表!$V$5:$V$3507,0),"")</f>
        <v/>
      </c>
    </row>
    <row r="640" customFormat="false" ht="16.4" hidden="false" customHeight="false" outlineLevel="0" collapsed="false">
      <c r="A640" s="32" t="str">
        <f aca="false">IF(L640="","",ROW()-4)</f>
        <v/>
      </c>
      <c r="B640" s="58" t="str">
        <f aca="false">IF(L640="","",IF(INDEX(ポート振替表!$W$5:$W$3507,$L640)="","(なし)",INDEX(ポート振替表!$W$5:$W$3507,$L640)&amp;""))</f>
        <v/>
      </c>
      <c r="C640" s="52" t="str">
        <f aca="false">IF(L640="","",INDEX(ポート振替表!$B$5:$B$3507,$L640)&amp;" "&amp;INDEX(ポート振替表!$C$5:$C$3507,$L640)&amp;"  ⇔  "&amp;INDEX(ポート振替表!$H$5:$H$3507,$L640)&amp;" "&amp;INDEX(ポート振替表!$I$5:$I$3507,$L640))</f>
        <v/>
      </c>
      <c r="D640" s="57" t="s">
        <v>158</v>
      </c>
      <c r="E640" s="59" t="str">
        <f aca="false">IF(L640="","",IF(INDEX(ポート振替表!$O$5:$O$3507,$L640)="","(未設定)",INDEX(ポート振替表!$O$5:$O$3507,$L640)&amp;""))</f>
        <v/>
      </c>
      <c r="F640" s="52" t="str">
        <f aca="false">IF(L640="","",INDEX(ポート振替表!$K$5:$K$3507,$L640)&amp;" "&amp;INDEX(ポート振替表!$L$5:$L$3507,$L640)&amp;"  ⇔  "&amp;INDEX(ポート振替表!$H$5:$H$3507,$L640)&amp;" "&amp;INDEX(ポート振替表!$I$5:$I$3507,$L640))</f>
        <v/>
      </c>
      <c r="G640" s="57" t="s">
        <v>158</v>
      </c>
      <c r="H640" s="32" t="str">
        <f aca="false">IF(L640="","",INDEX(ポート振替表!$N$5:$N$3507,$L640)&amp;"")</f>
        <v/>
      </c>
      <c r="I640" s="32" t="str">
        <f aca="false">IF(L640="","",INDEX(ポート振替表!$P$5:$P$3507,$L640)&amp;"")</f>
        <v/>
      </c>
      <c r="J640" s="60" t="str">
        <f aca="false">IF(L640="","",INDEX(ポート振替表!$M$5:$M$3507,$L640)&amp;"")</f>
        <v/>
      </c>
      <c r="K640" s="52" t="str">
        <f aca="false">IF(L640="","",E640&amp;CHAR(10)&amp;INDEX(ポート振替表!$K$5:$K$3507,$L640)&amp;" "&amp;INDEX(ポート振替表!$L$5:$L$3507,$L640)&amp;CHAR(10)&amp;"⇔ "&amp;INDEX(ポート振替表!$H$5:$H$3507,$L640)&amp;" "&amp;INDEX(ポート振替表!$I$5:$I$3507,$L640))</f>
        <v/>
      </c>
      <c r="L640" s="47" t="str">
        <f aca="false">IFERROR(MATCH(ROW()-4,ポート振替表!$V$5:$V$3507,0),"")</f>
        <v/>
      </c>
    </row>
    <row r="641" customFormat="false" ht="16.4" hidden="false" customHeight="false" outlineLevel="0" collapsed="false">
      <c r="A641" s="32" t="str">
        <f aca="false">IF(L641="","",ROW()-4)</f>
        <v/>
      </c>
      <c r="B641" s="58" t="str">
        <f aca="false">IF(L641="","",IF(INDEX(ポート振替表!$W$5:$W$3507,$L641)="","(なし)",INDEX(ポート振替表!$W$5:$W$3507,$L641)&amp;""))</f>
        <v/>
      </c>
      <c r="C641" s="52" t="str">
        <f aca="false">IF(L641="","",INDEX(ポート振替表!$B$5:$B$3507,$L641)&amp;" "&amp;INDEX(ポート振替表!$C$5:$C$3507,$L641)&amp;"  ⇔  "&amp;INDEX(ポート振替表!$H$5:$H$3507,$L641)&amp;" "&amp;INDEX(ポート振替表!$I$5:$I$3507,$L641))</f>
        <v/>
      </c>
      <c r="D641" s="57" t="s">
        <v>158</v>
      </c>
      <c r="E641" s="59" t="str">
        <f aca="false">IF(L641="","",IF(INDEX(ポート振替表!$O$5:$O$3507,$L641)="","(未設定)",INDEX(ポート振替表!$O$5:$O$3507,$L641)&amp;""))</f>
        <v/>
      </c>
      <c r="F641" s="52" t="str">
        <f aca="false">IF(L641="","",INDEX(ポート振替表!$K$5:$K$3507,$L641)&amp;" "&amp;INDEX(ポート振替表!$L$5:$L$3507,$L641)&amp;"  ⇔  "&amp;INDEX(ポート振替表!$H$5:$H$3507,$L641)&amp;" "&amp;INDEX(ポート振替表!$I$5:$I$3507,$L641))</f>
        <v/>
      </c>
      <c r="G641" s="57" t="s">
        <v>158</v>
      </c>
      <c r="H641" s="32" t="str">
        <f aca="false">IF(L641="","",INDEX(ポート振替表!$N$5:$N$3507,$L641)&amp;"")</f>
        <v/>
      </c>
      <c r="I641" s="32" t="str">
        <f aca="false">IF(L641="","",INDEX(ポート振替表!$P$5:$P$3507,$L641)&amp;"")</f>
        <v/>
      </c>
      <c r="J641" s="60" t="str">
        <f aca="false">IF(L641="","",INDEX(ポート振替表!$M$5:$M$3507,$L641)&amp;"")</f>
        <v/>
      </c>
      <c r="K641" s="52" t="str">
        <f aca="false">IF(L641="","",E641&amp;CHAR(10)&amp;INDEX(ポート振替表!$K$5:$K$3507,$L641)&amp;" "&amp;INDEX(ポート振替表!$L$5:$L$3507,$L641)&amp;CHAR(10)&amp;"⇔ "&amp;INDEX(ポート振替表!$H$5:$H$3507,$L641)&amp;" "&amp;INDEX(ポート振替表!$I$5:$I$3507,$L641))</f>
        <v/>
      </c>
      <c r="L641" s="47" t="str">
        <f aca="false">IFERROR(MATCH(ROW()-4,ポート振替表!$V$5:$V$3507,0),"")</f>
        <v/>
      </c>
    </row>
    <row r="642" customFormat="false" ht="16.4" hidden="false" customHeight="false" outlineLevel="0" collapsed="false">
      <c r="A642" s="32" t="str">
        <f aca="false">IF(L642="","",ROW()-4)</f>
        <v/>
      </c>
      <c r="B642" s="58" t="str">
        <f aca="false">IF(L642="","",IF(INDEX(ポート振替表!$W$5:$W$3507,$L642)="","(なし)",INDEX(ポート振替表!$W$5:$W$3507,$L642)&amp;""))</f>
        <v/>
      </c>
      <c r="C642" s="52" t="str">
        <f aca="false">IF(L642="","",INDEX(ポート振替表!$B$5:$B$3507,$L642)&amp;" "&amp;INDEX(ポート振替表!$C$5:$C$3507,$L642)&amp;"  ⇔  "&amp;INDEX(ポート振替表!$H$5:$H$3507,$L642)&amp;" "&amp;INDEX(ポート振替表!$I$5:$I$3507,$L642))</f>
        <v/>
      </c>
      <c r="D642" s="57" t="s">
        <v>158</v>
      </c>
      <c r="E642" s="59" t="str">
        <f aca="false">IF(L642="","",IF(INDEX(ポート振替表!$O$5:$O$3507,$L642)="","(未設定)",INDEX(ポート振替表!$O$5:$O$3507,$L642)&amp;""))</f>
        <v/>
      </c>
      <c r="F642" s="52" t="str">
        <f aca="false">IF(L642="","",INDEX(ポート振替表!$K$5:$K$3507,$L642)&amp;" "&amp;INDEX(ポート振替表!$L$5:$L$3507,$L642)&amp;"  ⇔  "&amp;INDEX(ポート振替表!$H$5:$H$3507,$L642)&amp;" "&amp;INDEX(ポート振替表!$I$5:$I$3507,$L642))</f>
        <v/>
      </c>
      <c r="G642" s="57" t="s">
        <v>158</v>
      </c>
      <c r="H642" s="32" t="str">
        <f aca="false">IF(L642="","",INDEX(ポート振替表!$N$5:$N$3507,$L642)&amp;"")</f>
        <v/>
      </c>
      <c r="I642" s="32" t="str">
        <f aca="false">IF(L642="","",INDEX(ポート振替表!$P$5:$P$3507,$L642)&amp;"")</f>
        <v/>
      </c>
      <c r="J642" s="60" t="str">
        <f aca="false">IF(L642="","",INDEX(ポート振替表!$M$5:$M$3507,$L642)&amp;"")</f>
        <v/>
      </c>
      <c r="K642" s="52" t="str">
        <f aca="false">IF(L642="","",E642&amp;CHAR(10)&amp;INDEX(ポート振替表!$K$5:$K$3507,$L642)&amp;" "&amp;INDEX(ポート振替表!$L$5:$L$3507,$L642)&amp;CHAR(10)&amp;"⇔ "&amp;INDEX(ポート振替表!$H$5:$H$3507,$L642)&amp;" "&amp;INDEX(ポート振替表!$I$5:$I$3507,$L642))</f>
        <v/>
      </c>
      <c r="L642" s="47" t="str">
        <f aca="false">IFERROR(MATCH(ROW()-4,ポート振替表!$V$5:$V$3507,0),"")</f>
        <v/>
      </c>
    </row>
    <row r="643" customFormat="false" ht="16.4" hidden="false" customHeight="false" outlineLevel="0" collapsed="false">
      <c r="A643" s="32" t="str">
        <f aca="false">IF(L643="","",ROW()-4)</f>
        <v/>
      </c>
      <c r="B643" s="58" t="str">
        <f aca="false">IF(L643="","",IF(INDEX(ポート振替表!$W$5:$W$3507,$L643)="","(なし)",INDEX(ポート振替表!$W$5:$W$3507,$L643)&amp;""))</f>
        <v/>
      </c>
      <c r="C643" s="52" t="str">
        <f aca="false">IF(L643="","",INDEX(ポート振替表!$B$5:$B$3507,$L643)&amp;" "&amp;INDEX(ポート振替表!$C$5:$C$3507,$L643)&amp;"  ⇔  "&amp;INDEX(ポート振替表!$H$5:$H$3507,$L643)&amp;" "&amp;INDEX(ポート振替表!$I$5:$I$3507,$L643))</f>
        <v/>
      </c>
      <c r="D643" s="57" t="s">
        <v>158</v>
      </c>
      <c r="E643" s="59" t="str">
        <f aca="false">IF(L643="","",IF(INDEX(ポート振替表!$O$5:$O$3507,$L643)="","(未設定)",INDEX(ポート振替表!$O$5:$O$3507,$L643)&amp;""))</f>
        <v/>
      </c>
      <c r="F643" s="52" t="str">
        <f aca="false">IF(L643="","",INDEX(ポート振替表!$K$5:$K$3507,$L643)&amp;" "&amp;INDEX(ポート振替表!$L$5:$L$3507,$L643)&amp;"  ⇔  "&amp;INDEX(ポート振替表!$H$5:$H$3507,$L643)&amp;" "&amp;INDEX(ポート振替表!$I$5:$I$3507,$L643))</f>
        <v/>
      </c>
      <c r="G643" s="57" t="s">
        <v>158</v>
      </c>
      <c r="H643" s="32" t="str">
        <f aca="false">IF(L643="","",INDEX(ポート振替表!$N$5:$N$3507,$L643)&amp;"")</f>
        <v/>
      </c>
      <c r="I643" s="32" t="str">
        <f aca="false">IF(L643="","",INDEX(ポート振替表!$P$5:$P$3507,$L643)&amp;"")</f>
        <v/>
      </c>
      <c r="J643" s="60" t="str">
        <f aca="false">IF(L643="","",INDEX(ポート振替表!$M$5:$M$3507,$L643)&amp;"")</f>
        <v/>
      </c>
      <c r="K643" s="52" t="str">
        <f aca="false">IF(L643="","",E643&amp;CHAR(10)&amp;INDEX(ポート振替表!$K$5:$K$3507,$L643)&amp;" "&amp;INDEX(ポート振替表!$L$5:$L$3507,$L643)&amp;CHAR(10)&amp;"⇔ "&amp;INDEX(ポート振替表!$H$5:$H$3507,$L643)&amp;" "&amp;INDEX(ポート振替表!$I$5:$I$3507,$L643))</f>
        <v/>
      </c>
      <c r="L643" s="47" t="str">
        <f aca="false">IFERROR(MATCH(ROW()-4,ポート振替表!$V$5:$V$3507,0),"")</f>
        <v/>
      </c>
    </row>
    <row r="644" customFormat="false" ht="16.4" hidden="false" customHeight="false" outlineLevel="0" collapsed="false">
      <c r="A644" s="32" t="str">
        <f aca="false">IF(L644="","",ROW()-4)</f>
        <v/>
      </c>
      <c r="B644" s="58" t="str">
        <f aca="false">IF(L644="","",IF(INDEX(ポート振替表!$W$5:$W$3507,$L644)="","(なし)",INDEX(ポート振替表!$W$5:$W$3507,$L644)&amp;""))</f>
        <v/>
      </c>
      <c r="C644" s="52" t="str">
        <f aca="false">IF(L644="","",INDEX(ポート振替表!$B$5:$B$3507,$L644)&amp;" "&amp;INDEX(ポート振替表!$C$5:$C$3507,$L644)&amp;"  ⇔  "&amp;INDEX(ポート振替表!$H$5:$H$3507,$L644)&amp;" "&amp;INDEX(ポート振替表!$I$5:$I$3507,$L644))</f>
        <v/>
      </c>
      <c r="D644" s="57" t="s">
        <v>158</v>
      </c>
      <c r="E644" s="59" t="str">
        <f aca="false">IF(L644="","",IF(INDEX(ポート振替表!$O$5:$O$3507,$L644)="","(未設定)",INDEX(ポート振替表!$O$5:$O$3507,$L644)&amp;""))</f>
        <v/>
      </c>
      <c r="F644" s="52" t="str">
        <f aca="false">IF(L644="","",INDEX(ポート振替表!$K$5:$K$3507,$L644)&amp;" "&amp;INDEX(ポート振替表!$L$5:$L$3507,$L644)&amp;"  ⇔  "&amp;INDEX(ポート振替表!$H$5:$H$3507,$L644)&amp;" "&amp;INDEX(ポート振替表!$I$5:$I$3507,$L644))</f>
        <v/>
      </c>
      <c r="G644" s="57" t="s">
        <v>158</v>
      </c>
      <c r="H644" s="32" t="str">
        <f aca="false">IF(L644="","",INDEX(ポート振替表!$N$5:$N$3507,$L644)&amp;"")</f>
        <v/>
      </c>
      <c r="I644" s="32" t="str">
        <f aca="false">IF(L644="","",INDEX(ポート振替表!$P$5:$P$3507,$L644)&amp;"")</f>
        <v/>
      </c>
      <c r="J644" s="60" t="str">
        <f aca="false">IF(L644="","",INDEX(ポート振替表!$M$5:$M$3507,$L644)&amp;"")</f>
        <v/>
      </c>
      <c r="K644" s="52" t="str">
        <f aca="false">IF(L644="","",E644&amp;CHAR(10)&amp;INDEX(ポート振替表!$K$5:$K$3507,$L644)&amp;" "&amp;INDEX(ポート振替表!$L$5:$L$3507,$L644)&amp;CHAR(10)&amp;"⇔ "&amp;INDEX(ポート振替表!$H$5:$H$3507,$L644)&amp;" "&amp;INDEX(ポート振替表!$I$5:$I$3507,$L644))</f>
        <v/>
      </c>
      <c r="L644" s="47" t="str">
        <f aca="false">IFERROR(MATCH(ROW()-4,ポート振替表!$V$5:$V$3507,0),"")</f>
        <v/>
      </c>
    </row>
    <row r="645" customFormat="false" ht="16.4" hidden="false" customHeight="false" outlineLevel="0" collapsed="false">
      <c r="A645" s="32" t="str">
        <f aca="false">IF(L645="","",ROW()-4)</f>
        <v/>
      </c>
      <c r="B645" s="58" t="str">
        <f aca="false">IF(L645="","",IF(INDEX(ポート振替表!$W$5:$W$3507,$L645)="","(なし)",INDEX(ポート振替表!$W$5:$W$3507,$L645)&amp;""))</f>
        <v/>
      </c>
      <c r="C645" s="52" t="str">
        <f aca="false">IF(L645="","",INDEX(ポート振替表!$B$5:$B$3507,$L645)&amp;" "&amp;INDEX(ポート振替表!$C$5:$C$3507,$L645)&amp;"  ⇔  "&amp;INDEX(ポート振替表!$H$5:$H$3507,$L645)&amp;" "&amp;INDEX(ポート振替表!$I$5:$I$3507,$L645))</f>
        <v/>
      </c>
      <c r="D645" s="57" t="s">
        <v>158</v>
      </c>
      <c r="E645" s="59" t="str">
        <f aca="false">IF(L645="","",IF(INDEX(ポート振替表!$O$5:$O$3507,$L645)="","(未設定)",INDEX(ポート振替表!$O$5:$O$3507,$L645)&amp;""))</f>
        <v/>
      </c>
      <c r="F645" s="52" t="str">
        <f aca="false">IF(L645="","",INDEX(ポート振替表!$K$5:$K$3507,$L645)&amp;" "&amp;INDEX(ポート振替表!$L$5:$L$3507,$L645)&amp;"  ⇔  "&amp;INDEX(ポート振替表!$H$5:$H$3507,$L645)&amp;" "&amp;INDEX(ポート振替表!$I$5:$I$3507,$L645))</f>
        <v/>
      </c>
      <c r="G645" s="57" t="s">
        <v>158</v>
      </c>
      <c r="H645" s="32" t="str">
        <f aca="false">IF(L645="","",INDEX(ポート振替表!$N$5:$N$3507,$L645)&amp;"")</f>
        <v/>
      </c>
      <c r="I645" s="32" t="str">
        <f aca="false">IF(L645="","",INDEX(ポート振替表!$P$5:$P$3507,$L645)&amp;"")</f>
        <v/>
      </c>
      <c r="J645" s="60" t="str">
        <f aca="false">IF(L645="","",INDEX(ポート振替表!$M$5:$M$3507,$L645)&amp;"")</f>
        <v/>
      </c>
      <c r="K645" s="52" t="str">
        <f aca="false">IF(L645="","",E645&amp;CHAR(10)&amp;INDEX(ポート振替表!$K$5:$K$3507,$L645)&amp;" "&amp;INDEX(ポート振替表!$L$5:$L$3507,$L645)&amp;CHAR(10)&amp;"⇔ "&amp;INDEX(ポート振替表!$H$5:$H$3507,$L645)&amp;" "&amp;INDEX(ポート振替表!$I$5:$I$3507,$L645))</f>
        <v/>
      </c>
      <c r="L645" s="47" t="str">
        <f aca="false">IFERROR(MATCH(ROW()-4,ポート振替表!$V$5:$V$3507,0),"")</f>
        <v/>
      </c>
    </row>
    <row r="646" customFormat="false" ht="16.4" hidden="false" customHeight="false" outlineLevel="0" collapsed="false">
      <c r="A646" s="32" t="str">
        <f aca="false">IF(L646="","",ROW()-4)</f>
        <v/>
      </c>
      <c r="B646" s="58" t="str">
        <f aca="false">IF(L646="","",IF(INDEX(ポート振替表!$W$5:$W$3507,$L646)="","(なし)",INDEX(ポート振替表!$W$5:$W$3507,$L646)&amp;""))</f>
        <v/>
      </c>
      <c r="C646" s="52" t="str">
        <f aca="false">IF(L646="","",INDEX(ポート振替表!$B$5:$B$3507,$L646)&amp;" "&amp;INDEX(ポート振替表!$C$5:$C$3507,$L646)&amp;"  ⇔  "&amp;INDEX(ポート振替表!$H$5:$H$3507,$L646)&amp;" "&amp;INDEX(ポート振替表!$I$5:$I$3507,$L646))</f>
        <v/>
      </c>
      <c r="D646" s="57" t="s">
        <v>158</v>
      </c>
      <c r="E646" s="59" t="str">
        <f aca="false">IF(L646="","",IF(INDEX(ポート振替表!$O$5:$O$3507,$L646)="","(未設定)",INDEX(ポート振替表!$O$5:$O$3507,$L646)&amp;""))</f>
        <v/>
      </c>
      <c r="F646" s="52" t="str">
        <f aca="false">IF(L646="","",INDEX(ポート振替表!$K$5:$K$3507,$L646)&amp;" "&amp;INDEX(ポート振替表!$L$5:$L$3507,$L646)&amp;"  ⇔  "&amp;INDEX(ポート振替表!$H$5:$H$3507,$L646)&amp;" "&amp;INDEX(ポート振替表!$I$5:$I$3507,$L646))</f>
        <v/>
      </c>
      <c r="G646" s="57" t="s">
        <v>158</v>
      </c>
      <c r="H646" s="32" t="str">
        <f aca="false">IF(L646="","",INDEX(ポート振替表!$N$5:$N$3507,$L646)&amp;"")</f>
        <v/>
      </c>
      <c r="I646" s="32" t="str">
        <f aca="false">IF(L646="","",INDEX(ポート振替表!$P$5:$P$3507,$L646)&amp;"")</f>
        <v/>
      </c>
      <c r="J646" s="60" t="str">
        <f aca="false">IF(L646="","",INDEX(ポート振替表!$M$5:$M$3507,$L646)&amp;"")</f>
        <v/>
      </c>
      <c r="K646" s="52" t="str">
        <f aca="false">IF(L646="","",E646&amp;CHAR(10)&amp;INDEX(ポート振替表!$K$5:$K$3507,$L646)&amp;" "&amp;INDEX(ポート振替表!$L$5:$L$3507,$L646)&amp;CHAR(10)&amp;"⇔ "&amp;INDEX(ポート振替表!$H$5:$H$3507,$L646)&amp;" "&amp;INDEX(ポート振替表!$I$5:$I$3507,$L646))</f>
        <v/>
      </c>
      <c r="L646" s="47" t="str">
        <f aca="false">IFERROR(MATCH(ROW()-4,ポート振替表!$V$5:$V$3507,0),"")</f>
        <v/>
      </c>
    </row>
    <row r="647" customFormat="false" ht="16.4" hidden="false" customHeight="false" outlineLevel="0" collapsed="false">
      <c r="A647" s="32" t="str">
        <f aca="false">IF(L647="","",ROW()-4)</f>
        <v/>
      </c>
      <c r="B647" s="58" t="str">
        <f aca="false">IF(L647="","",IF(INDEX(ポート振替表!$W$5:$W$3507,$L647)="","(なし)",INDEX(ポート振替表!$W$5:$W$3507,$L647)&amp;""))</f>
        <v/>
      </c>
      <c r="C647" s="52" t="str">
        <f aca="false">IF(L647="","",INDEX(ポート振替表!$B$5:$B$3507,$L647)&amp;" "&amp;INDEX(ポート振替表!$C$5:$C$3507,$L647)&amp;"  ⇔  "&amp;INDEX(ポート振替表!$H$5:$H$3507,$L647)&amp;" "&amp;INDEX(ポート振替表!$I$5:$I$3507,$L647))</f>
        <v/>
      </c>
      <c r="D647" s="57" t="s">
        <v>158</v>
      </c>
      <c r="E647" s="59" t="str">
        <f aca="false">IF(L647="","",IF(INDEX(ポート振替表!$O$5:$O$3507,$L647)="","(未設定)",INDEX(ポート振替表!$O$5:$O$3507,$L647)&amp;""))</f>
        <v/>
      </c>
      <c r="F647" s="52" t="str">
        <f aca="false">IF(L647="","",INDEX(ポート振替表!$K$5:$K$3507,$L647)&amp;" "&amp;INDEX(ポート振替表!$L$5:$L$3507,$L647)&amp;"  ⇔  "&amp;INDEX(ポート振替表!$H$5:$H$3507,$L647)&amp;" "&amp;INDEX(ポート振替表!$I$5:$I$3507,$L647))</f>
        <v/>
      </c>
      <c r="G647" s="57" t="s">
        <v>158</v>
      </c>
      <c r="H647" s="32" t="str">
        <f aca="false">IF(L647="","",INDEX(ポート振替表!$N$5:$N$3507,$L647)&amp;"")</f>
        <v/>
      </c>
      <c r="I647" s="32" t="str">
        <f aca="false">IF(L647="","",INDEX(ポート振替表!$P$5:$P$3507,$L647)&amp;"")</f>
        <v/>
      </c>
      <c r="J647" s="60" t="str">
        <f aca="false">IF(L647="","",INDEX(ポート振替表!$M$5:$M$3507,$L647)&amp;"")</f>
        <v/>
      </c>
      <c r="K647" s="52" t="str">
        <f aca="false">IF(L647="","",E647&amp;CHAR(10)&amp;INDEX(ポート振替表!$K$5:$K$3507,$L647)&amp;" "&amp;INDEX(ポート振替表!$L$5:$L$3507,$L647)&amp;CHAR(10)&amp;"⇔ "&amp;INDEX(ポート振替表!$H$5:$H$3507,$L647)&amp;" "&amp;INDEX(ポート振替表!$I$5:$I$3507,$L647))</f>
        <v/>
      </c>
      <c r="L647" s="47" t="str">
        <f aca="false">IFERROR(MATCH(ROW()-4,ポート振替表!$V$5:$V$3507,0),"")</f>
        <v/>
      </c>
    </row>
    <row r="648" customFormat="false" ht="16.4" hidden="false" customHeight="false" outlineLevel="0" collapsed="false">
      <c r="A648" s="32" t="str">
        <f aca="false">IF(L648="","",ROW()-4)</f>
        <v/>
      </c>
      <c r="B648" s="58" t="str">
        <f aca="false">IF(L648="","",IF(INDEX(ポート振替表!$W$5:$W$3507,$L648)="","(なし)",INDEX(ポート振替表!$W$5:$W$3507,$L648)&amp;""))</f>
        <v/>
      </c>
      <c r="C648" s="52" t="str">
        <f aca="false">IF(L648="","",INDEX(ポート振替表!$B$5:$B$3507,$L648)&amp;" "&amp;INDEX(ポート振替表!$C$5:$C$3507,$L648)&amp;"  ⇔  "&amp;INDEX(ポート振替表!$H$5:$H$3507,$L648)&amp;" "&amp;INDEX(ポート振替表!$I$5:$I$3507,$L648))</f>
        <v/>
      </c>
      <c r="D648" s="57" t="s">
        <v>158</v>
      </c>
      <c r="E648" s="59" t="str">
        <f aca="false">IF(L648="","",IF(INDEX(ポート振替表!$O$5:$O$3507,$L648)="","(未設定)",INDEX(ポート振替表!$O$5:$O$3507,$L648)&amp;""))</f>
        <v/>
      </c>
      <c r="F648" s="52" t="str">
        <f aca="false">IF(L648="","",INDEX(ポート振替表!$K$5:$K$3507,$L648)&amp;" "&amp;INDEX(ポート振替表!$L$5:$L$3507,$L648)&amp;"  ⇔  "&amp;INDEX(ポート振替表!$H$5:$H$3507,$L648)&amp;" "&amp;INDEX(ポート振替表!$I$5:$I$3507,$L648))</f>
        <v/>
      </c>
      <c r="G648" s="57" t="s">
        <v>158</v>
      </c>
      <c r="H648" s="32" t="str">
        <f aca="false">IF(L648="","",INDEX(ポート振替表!$N$5:$N$3507,$L648)&amp;"")</f>
        <v/>
      </c>
      <c r="I648" s="32" t="str">
        <f aca="false">IF(L648="","",INDEX(ポート振替表!$P$5:$P$3507,$L648)&amp;"")</f>
        <v/>
      </c>
      <c r="J648" s="60" t="str">
        <f aca="false">IF(L648="","",INDEX(ポート振替表!$M$5:$M$3507,$L648)&amp;"")</f>
        <v/>
      </c>
      <c r="K648" s="52" t="str">
        <f aca="false">IF(L648="","",E648&amp;CHAR(10)&amp;INDEX(ポート振替表!$K$5:$K$3507,$L648)&amp;" "&amp;INDEX(ポート振替表!$L$5:$L$3507,$L648)&amp;CHAR(10)&amp;"⇔ "&amp;INDEX(ポート振替表!$H$5:$H$3507,$L648)&amp;" "&amp;INDEX(ポート振替表!$I$5:$I$3507,$L648))</f>
        <v/>
      </c>
      <c r="L648" s="47" t="str">
        <f aca="false">IFERROR(MATCH(ROW()-4,ポート振替表!$V$5:$V$3507,0),"")</f>
        <v/>
      </c>
    </row>
    <row r="649" customFormat="false" ht="16.4" hidden="false" customHeight="false" outlineLevel="0" collapsed="false">
      <c r="A649" s="32" t="str">
        <f aca="false">IF(L649="","",ROW()-4)</f>
        <v/>
      </c>
      <c r="B649" s="58" t="str">
        <f aca="false">IF(L649="","",IF(INDEX(ポート振替表!$W$5:$W$3507,$L649)="","(なし)",INDEX(ポート振替表!$W$5:$W$3507,$L649)&amp;""))</f>
        <v/>
      </c>
      <c r="C649" s="52" t="str">
        <f aca="false">IF(L649="","",INDEX(ポート振替表!$B$5:$B$3507,$L649)&amp;" "&amp;INDEX(ポート振替表!$C$5:$C$3507,$L649)&amp;"  ⇔  "&amp;INDEX(ポート振替表!$H$5:$H$3507,$L649)&amp;" "&amp;INDEX(ポート振替表!$I$5:$I$3507,$L649))</f>
        <v/>
      </c>
      <c r="D649" s="57" t="s">
        <v>158</v>
      </c>
      <c r="E649" s="59" t="str">
        <f aca="false">IF(L649="","",IF(INDEX(ポート振替表!$O$5:$O$3507,$L649)="","(未設定)",INDEX(ポート振替表!$O$5:$O$3507,$L649)&amp;""))</f>
        <v/>
      </c>
      <c r="F649" s="52" t="str">
        <f aca="false">IF(L649="","",INDEX(ポート振替表!$K$5:$K$3507,$L649)&amp;" "&amp;INDEX(ポート振替表!$L$5:$L$3507,$L649)&amp;"  ⇔  "&amp;INDEX(ポート振替表!$H$5:$H$3507,$L649)&amp;" "&amp;INDEX(ポート振替表!$I$5:$I$3507,$L649))</f>
        <v/>
      </c>
      <c r="G649" s="57" t="s">
        <v>158</v>
      </c>
      <c r="H649" s="32" t="str">
        <f aca="false">IF(L649="","",INDEX(ポート振替表!$N$5:$N$3507,$L649)&amp;"")</f>
        <v/>
      </c>
      <c r="I649" s="32" t="str">
        <f aca="false">IF(L649="","",INDEX(ポート振替表!$P$5:$P$3507,$L649)&amp;"")</f>
        <v/>
      </c>
      <c r="J649" s="60" t="str">
        <f aca="false">IF(L649="","",INDEX(ポート振替表!$M$5:$M$3507,$L649)&amp;"")</f>
        <v/>
      </c>
      <c r="K649" s="52" t="str">
        <f aca="false">IF(L649="","",E649&amp;CHAR(10)&amp;INDEX(ポート振替表!$K$5:$K$3507,$L649)&amp;" "&amp;INDEX(ポート振替表!$L$5:$L$3507,$L649)&amp;CHAR(10)&amp;"⇔ "&amp;INDEX(ポート振替表!$H$5:$H$3507,$L649)&amp;" "&amp;INDEX(ポート振替表!$I$5:$I$3507,$L649))</f>
        <v/>
      </c>
      <c r="L649" s="47" t="str">
        <f aca="false">IFERROR(MATCH(ROW()-4,ポート振替表!$V$5:$V$3507,0),"")</f>
        <v/>
      </c>
    </row>
    <row r="650" customFormat="false" ht="16.4" hidden="false" customHeight="false" outlineLevel="0" collapsed="false">
      <c r="A650" s="32" t="str">
        <f aca="false">IF(L650="","",ROW()-4)</f>
        <v/>
      </c>
      <c r="B650" s="58" t="str">
        <f aca="false">IF(L650="","",IF(INDEX(ポート振替表!$W$5:$W$3507,$L650)="","(なし)",INDEX(ポート振替表!$W$5:$W$3507,$L650)&amp;""))</f>
        <v/>
      </c>
      <c r="C650" s="52" t="str">
        <f aca="false">IF(L650="","",INDEX(ポート振替表!$B$5:$B$3507,$L650)&amp;" "&amp;INDEX(ポート振替表!$C$5:$C$3507,$L650)&amp;"  ⇔  "&amp;INDEX(ポート振替表!$H$5:$H$3507,$L650)&amp;" "&amp;INDEX(ポート振替表!$I$5:$I$3507,$L650))</f>
        <v/>
      </c>
      <c r="D650" s="57" t="s">
        <v>158</v>
      </c>
      <c r="E650" s="59" t="str">
        <f aca="false">IF(L650="","",IF(INDEX(ポート振替表!$O$5:$O$3507,$L650)="","(未設定)",INDEX(ポート振替表!$O$5:$O$3507,$L650)&amp;""))</f>
        <v/>
      </c>
      <c r="F650" s="52" t="str">
        <f aca="false">IF(L650="","",INDEX(ポート振替表!$K$5:$K$3507,$L650)&amp;" "&amp;INDEX(ポート振替表!$L$5:$L$3507,$L650)&amp;"  ⇔  "&amp;INDEX(ポート振替表!$H$5:$H$3507,$L650)&amp;" "&amp;INDEX(ポート振替表!$I$5:$I$3507,$L650))</f>
        <v/>
      </c>
      <c r="G650" s="57" t="s">
        <v>158</v>
      </c>
      <c r="H650" s="32" t="str">
        <f aca="false">IF(L650="","",INDEX(ポート振替表!$N$5:$N$3507,$L650)&amp;"")</f>
        <v/>
      </c>
      <c r="I650" s="32" t="str">
        <f aca="false">IF(L650="","",INDEX(ポート振替表!$P$5:$P$3507,$L650)&amp;"")</f>
        <v/>
      </c>
      <c r="J650" s="60" t="str">
        <f aca="false">IF(L650="","",INDEX(ポート振替表!$M$5:$M$3507,$L650)&amp;"")</f>
        <v/>
      </c>
      <c r="K650" s="52" t="str">
        <f aca="false">IF(L650="","",E650&amp;CHAR(10)&amp;INDEX(ポート振替表!$K$5:$K$3507,$L650)&amp;" "&amp;INDEX(ポート振替表!$L$5:$L$3507,$L650)&amp;CHAR(10)&amp;"⇔ "&amp;INDEX(ポート振替表!$H$5:$H$3507,$L650)&amp;" "&amp;INDEX(ポート振替表!$I$5:$I$3507,$L650))</f>
        <v/>
      </c>
      <c r="L650" s="47" t="str">
        <f aca="false">IFERROR(MATCH(ROW()-4,ポート振替表!$V$5:$V$3507,0),"")</f>
        <v/>
      </c>
    </row>
    <row r="651" customFormat="false" ht="16.4" hidden="false" customHeight="false" outlineLevel="0" collapsed="false">
      <c r="A651" s="32" t="str">
        <f aca="false">IF(L651="","",ROW()-4)</f>
        <v/>
      </c>
      <c r="B651" s="58" t="str">
        <f aca="false">IF(L651="","",IF(INDEX(ポート振替表!$W$5:$W$3507,$L651)="","(なし)",INDEX(ポート振替表!$W$5:$W$3507,$L651)&amp;""))</f>
        <v/>
      </c>
      <c r="C651" s="52" t="str">
        <f aca="false">IF(L651="","",INDEX(ポート振替表!$B$5:$B$3507,$L651)&amp;" "&amp;INDEX(ポート振替表!$C$5:$C$3507,$L651)&amp;"  ⇔  "&amp;INDEX(ポート振替表!$H$5:$H$3507,$L651)&amp;" "&amp;INDEX(ポート振替表!$I$5:$I$3507,$L651))</f>
        <v/>
      </c>
      <c r="D651" s="57" t="s">
        <v>158</v>
      </c>
      <c r="E651" s="59" t="str">
        <f aca="false">IF(L651="","",IF(INDEX(ポート振替表!$O$5:$O$3507,$L651)="","(未設定)",INDEX(ポート振替表!$O$5:$O$3507,$L651)&amp;""))</f>
        <v/>
      </c>
      <c r="F651" s="52" t="str">
        <f aca="false">IF(L651="","",INDEX(ポート振替表!$K$5:$K$3507,$L651)&amp;" "&amp;INDEX(ポート振替表!$L$5:$L$3507,$L651)&amp;"  ⇔  "&amp;INDEX(ポート振替表!$H$5:$H$3507,$L651)&amp;" "&amp;INDEX(ポート振替表!$I$5:$I$3507,$L651))</f>
        <v/>
      </c>
      <c r="G651" s="57" t="s">
        <v>158</v>
      </c>
      <c r="H651" s="32" t="str">
        <f aca="false">IF(L651="","",INDEX(ポート振替表!$N$5:$N$3507,$L651)&amp;"")</f>
        <v/>
      </c>
      <c r="I651" s="32" t="str">
        <f aca="false">IF(L651="","",INDEX(ポート振替表!$P$5:$P$3507,$L651)&amp;"")</f>
        <v/>
      </c>
      <c r="J651" s="60" t="str">
        <f aca="false">IF(L651="","",INDEX(ポート振替表!$M$5:$M$3507,$L651)&amp;"")</f>
        <v/>
      </c>
      <c r="K651" s="52" t="str">
        <f aca="false">IF(L651="","",E651&amp;CHAR(10)&amp;INDEX(ポート振替表!$K$5:$K$3507,$L651)&amp;" "&amp;INDEX(ポート振替表!$L$5:$L$3507,$L651)&amp;CHAR(10)&amp;"⇔ "&amp;INDEX(ポート振替表!$H$5:$H$3507,$L651)&amp;" "&amp;INDEX(ポート振替表!$I$5:$I$3507,$L651))</f>
        <v/>
      </c>
      <c r="L651" s="47" t="str">
        <f aca="false">IFERROR(MATCH(ROW()-4,ポート振替表!$V$5:$V$3507,0),"")</f>
        <v/>
      </c>
    </row>
    <row r="652" customFormat="false" ht="16.4" hidden="false" customHeight="false" outlineLevel="0" collapsed="false">
      <c r="A652" s="32" t="str">
        <f aca="false">IF(L652="","",ROW()-4)</f>
        <v/>
      </c>
      <c r="B652" s="58" t="str">
        <f aca="false">IF(L652="","",IF(INDEX(ポート振替表!$W$5:$W$3507,$L652)="","(なし)",INDEX(ポート振替表!$W$5:$W$3507,$L652)&amp;""))</f>
        <v/>
      </c>
      <c r="C652" s="52" t="str">
        <f aca="false">IF(L652="","",INDEX(ポート振替表!$B$5:$B$3507,$L652)&amp;" "&amp;INDEX(ポート振替表!$C$5:$C$3507,$L652)&amp;"  ⇔  "&amp;INDEX(ポート振替表!$H$5:$H$3507,$L652)&amp;" "&amp;INDEX(ポート振替表!$I$5:$I$3507,$L652))</f>
        <v/>
      </c>
      <c r="D652" s="57" t="s">
        <v>158</v>
      </c>
      <c r="E652" s="59" t="str">
        <f aca="false">IF(L652="","",IF(INDEX(ポート振替表!$O$5:$O$3507,$L652)="","(未設定)",INDEX(ポート振替表!$O$5:$O$3507,$L652)&amp;""))</f>
        <v/>
      </c>
      <c r="F652" s="52" t="str">
        <f aca="false">IF(L652="","",INDEX(ポート振替表!$K$5:$K$3507,$L652)&amp;" "&amp;INDEX(ポート振替表!$L$5:$L$3507,$L652)&amp;"  ⇔  "&amp;INDEX(ポート振替表!$H$5:$H$3507,$L652)&amp;" "&amp;INDEX(ポート振替表!$I$5:$I$3507,$L652))</f>
        <v/>
      </c>
      <c r="G652" s="57" t="s">
        <v>158</v>
      </c>
      <c r="H652" s="32" t="str">
        <f aca="false">IF(L652="","",INDEX(ポート振替表!$N$5:$N$3507,$L652)&amp;"")</f>
        <v/>
      </c>
      <c r="I652" s="32" t="str">
        <f aca="false">IF(L652="","",INDEX(ポート振替表!$P$5:$P$3507,$L652)&amp;"")</f>
        <v/>
      </c>
      <c r="J652" s="60" t="str">
        <f aca="false">IF(L652="","",INDEX(ポート振替表!$M$5:$M$3507,$L652)&amp;"")</f>
        <v/>
      </c>
      <c r="K652" s="52" t="str">
        <f aca="false">IF(L652="","",E652&amp;CHAR(10)&amp;INDEX(ポート振替表!$K$5:$K$3507,$L652)&amp;" "&amp;INDEX(ポート振替表!$L$5:$L$3507,$L652)&amp;CHAR(10)&amp;"⇔ "&amp;INDEX(ポート振替表!$H$5:$H$3507,$L652)&amp;" "&amp;INDEX(ポート振替表!$I$5:$I$3507,$L652))</f>
        <v/>
      </c>
      <c r="L652" s="47" t="str">
        <f aca="false">IFERROR(MATCH(ROW()-4,ポート振替表!$V$5:$V$3507,0),"")</f>
        <v/>
      </c>
    </row>
    <row r="653" customFormat="false" ht="16.4" hidden="false" customHeight="false" outlineLevel="0" collapsed="false">
      <c r="A653" s="32" t="str">
        <f aca="false">IF(L653="","",ROW()-4)</f>
        <v/>
      </c>
      <c r="B653" s="58" t="str">
        <f aca="false">IF(L653="","",IF(INDEX(ポート振替表!$W$5:$W$3507,$L653)="","(なし)",INDEX(ポート振替表!$W$5:$W$3507,$L653)&amp;""))</f>
        <v/>
      </c>
      <c r="C653" s="52" t="str">
        <f aca="false">IF(L653="","",INDEX(ポート振替表!$B$5:$B$3507,$L653)&amp;" "&amp;INDEX(ポート振替表!$C$5:$C$3507,$L653)&amp;"  ⇔  "&amp;INDEX(ポート振替表!$H$5:$H$3507,$L653)&amp;" "&amp;INDEX(ポート振替表!$I$5:$I$3507,$L653))</f>
        <v/>
      </c>
      <c r="D653" s="57" t="s">
        <v>158</v>
      </c>
      <c r="E653" s="59" t="str">
        <f aca="false">IF(L653="","",IF(INDEX(ポート振替表!$O$5:$O$3507,$L653)="","(未設定)",INDEX(ポート振替表!$O$5:$O$3507,$L653)&amp;""))</f>
        <v/>
      </c>
      <c r="F653" s="52" t="str">
        <f aca="false">IF(L653="","",INDEX(ポート振替表!$K$5:$K$3507,$L653)&amp;" "&amp;INDEX(ポート振替表!$L$5:$L$3507,$L653)&amp;"  ⇔  "&amp;INDEX(ポート振替表!$H$5:$H$3507,$L653)&amp;" "&amp;INDEX(ポート振替表!$I$5:$I$3507,$L653))</f>
        <v/>
      </c>
      <c r="G653" s="57" t="s">
        <v>158</v>
      </c>
      <c r="H653" s="32" t="str">
        <f aca="false">IF(L653="","",INDEX(ポート振替表!$N$5:$N$3507,$L653)&amp;"")</f>
        <v/>
      </c>
      <c r="I653" s="32" t="str">
        <f aca="false">IF(L653="","",INDEX(ポート振替表!$P$5:$P$3507,$L653)&amp;"")</f>
        <v/>
      </c>
      <c r="J653" s="60" t="str">
        <f aca="false">IF(L653="","",INDEX(ポート振替表!$M$5:$M$3507,$L653)&amp;"")</f>
        <v/>
      </c>
      <c r="K653" s="52" t="str">
        <f aca="false">IF(L653="","",E653&amp;CHAR(10)&amp;INDEX(ポート振替表!$K$5:$K$3507,$L653)&amp;" "&amp;INDEX(ポート振替表!$L$5:$L$3507,$L653)&amp;CHAR(10)&amp;"⇔ "&amp;INDEX(ポート振替表!$H$5:$H$3507,$L653)&amp;" "&amp;INDEX(ポート振替表!$I$5:$I$3507,$L653))</f>
        <v/>
      </c>
      <c r="L653" s="47" t="str">
        <f aca="false">IFERROR(MATCH(ROW()-4,ポート振替表!$V$5:$V$3507,0),"")</f>
        <v/>
      </c>
    </row>
    <row r="654" customFormat="false" ht="16.4" hidden="false" customHeight="false" outlineLevel="0" collapsed="false">
      <c r="A654" s="32" t="str">
        <f aca="false">IF(L654="","",ROW()-4)</f>
        <v/>
      </c>
      <c r="B654" s="58" t="str">
        <f aca="false">IF(L654="","",IF(INDEX(ポート振替表!$W$5:$W$3507,$L654)="","(なし)",INDEX(ポート振替表!$W$5:$W$3507,$L654)&amp;""))</f>
        <v/>
      </c>
      <c r="C654" s="52" t="str">
        <f aca="false">IF(L654="","",INDEX(ポート振替表!$B$5:$B$3507,$L654)&amp;" "&amp;INDEX(ポート振替表!$C$5:$C$3507,$L654)&amp;"  ⇔  "&amp;INDEX(ポート振替表!$H$5:$H$3507,$L654)&amp;" "&amp;INDEX(ポート振替表!$I$5:$I$3507,$L654))</f>
        <v/>
      </c>
      <c r="D654" s="57" t="s">
        <v>158</v>
      </c>
      <c r="E654" s="59" t="str">
        <f aca="false">IF(L654="","",IF(INDEX(ポート振替表!$O$5:$O$3507,$L654)="","(未設定)",INDEX(ポート振替表!$O$5:$O$3507,$L654)&amp;""))</f>
        <v/>
      </c>
      <c r="F654" s="52" t="str">
        <f aca="false">IF(L654="","",INDEX(ポート振替表!$K$5:$K$3507,$L654)&amp;" "&amp;INDEX(ポート振替表!$L$5:$L$3507,$L654)&amp;"  ⇔  "&amp;INDEX(ポート振替表!$H$5:$H$3507,$L654)&amp;" "&amp;INDEX(ポート振替表!$I$5:$I$3507,$L654))</f>
        <v/>
      </c>
      <c r="G654" s="57" t="s">
        <v>158</v>
      </c>
      <c r="H654" s="32" t="str">
        <f aca="false">IF(L654="","",INDEX(ポート振替表!$N$5:$N$3507,$L654)&amp;"")</f>
        <v/>
      </c>
      <c r="I654" s="32" t="str">
        <f aca="false">IF(L654="","",INDEX(ポート振替表!$P$5:$P$3507,$L654)&amp;"")</f>
        <v/>
      </c>
      <c r="J654" s="60" t="str">
        <f aca="false">IF(L654="","",INDEX(ポート振替表!$M$5:$M$3507,$L654)&amp;"")</f>
        <v/>
      </c>
      <c r="K654" s="52" t="str">
        <f aca="false">IF(L654="","",E654&amp;CHAR(10)&amp;INDEX(ポート振替表!$K$5:$K$3507,$L654)&amp;" "&amp;INDEX(ポート振替表!$L$5:$L$3507,$L654)&amp;CHAR(10)&amp;"⇔ "&amp;INDEX(ポート振替表!$H$5:$H$3507,$L654)&amp;" "&amp;INDEX(ポート振替表!$I$5:$I$3507,$L654))</f>
        <v/>
      </c>
      <c r="L654" s="47" t="str">
        <f aca="false">IFERROR(MATCH(ROW()-4,ポート振替表!$V$5:$V$3507,0),"")</f>
        <v/>
      </c>
    </row>
    <row r="655" customFormat="false" ht="16.4" hidden="false" customHeight="false" outlineLevel="0" collapsed="false">
      <c r="A655" s="32" t="str">
        <f aca="false">IF(L655="","",ROW()-4)</f>
        <v/>
      </c>
      <c r="B655" s="58" t="str">
        <f aca="false">IF(L655="","",IF(INDEX(ポート振替表!$W$5:$W$3507,$L655)="","(なし)",INDEX(ポート振替表!$W$5:$W$3507,$L655)&amp;""))</f>
        <v/>
      </c>
      <c r="C655" s="52" t="str">
        <f aca="false">IF(L655="","",INDEX(ポート振替表!$B$5:$B$3507,$L655)&amp;" "&amp;INDEX(ポート振替表!$C$5:$C$3507,$L655)&amp;"  ⇔  "&amp;INDEX(ポート振替表!$H$5:$H$3507,$L655)&amp;" "&amp;INDEX(ポート振替表!$I$5:$I$3507,$L655))</f>
        <v/>
      </c>
      <c r="D655" s="57" t="s">
        <v>158</v>
      </c>
      <c r="E655" s="59" t="str">
        <f aca="false">IF(L655="","",IF(INDEX(ポート振替表!$O$5:$O$3507,$L655)="","(未設定)",INDEX(ポート振替表!$O$5:$O$3507,$L655)&amp;""))</f>
        <v/>
      </c>
      <c r="F655" s="52" t="str">
        <f aca="false">IF(L655="","",INDEX(ポート振替表!$K$5:$K$3507,$L655)&amp;" "&amp;INDEX(ポート振替表!$L$5:$L$3507,$L655)&amp;"  ⇔  "&amp;INDEX(ポート振替表!$H$5:$H$3507,$L655)&amp;" "&amp;INDEX(ポート振替表!$I$5:$I$3507,$L655))</f>
        <v/>
      </c>
      <c r="G655" s="57" t="s">
        <v>158</v>
      </c>
      <c r="H655" s="32" t="str">
        <f aca="false">IF(L655="","",INDEX(ポート振替表!$N$5:$N$3507,$L655)&amp;"")</f>
        <v/>
      </c>
      <c r="I655" s="32" t="str">
        <f aca="false">IF(L655="","",INDEX(ポート振替表!$P$5:$P$3507,$L655)&amp;"")</f>
        <v/>
      </c>
      <c r="J655" s="60" t="str">
        <f aca="false">IF(L655="","",INDEX(ポート振替表!$M$5:$M$3507,$L655)&amp;"")</f>
        <v/>
      </c>
      <c r="K655" s="52" t="str">
        <f aca="false">IF(L655="","",E655&amp;CHAR(10)&amp;INDEX(ポート振替表!$K$5:$K$3507,$L655)&amp;" "&amp;INDEX(ポート振替表!$L$5:$L$3507,$L655)&amp;CHAR(10)&amp;"⇔ "&amp;INDEX(ポート振替表!$H$5:$H$3507,$L655)&amp;" "&amp;INDEX(ポート振替表!$I$5:$I$3507,$L655))</f>
        <v/>
      </c>
      <c r="L655" s="47" t="str">
        <f aca="false">IFERROR(MATCH(ROW()-4,ポート振替表!$V$5:$V$3507,0),"")</f>
        <v/>
      </c>
    </row>
    <row r="656" customFormat="false" ht="16.4" hidden="false" customHeight="false" outlineLevel="0" collapsed="false">
      <c r="A656" s="32" t="str">
        <f aca="false">IF(L656="","",ROW()-4)</f>
        <v/>
      </c>
      <c r="B656" s="58" t="str">
        <f aca="false">IF(L656="","",IF(INDEX(ポート振替表!$W$5:$W$3507,$L656)="","(なし)",INDEX(ポート振替表!$W$5:$W$3507,$L656)&amp;""))</f>
        <v/>
      </c>
      <c r="C656" s="52" t="str">
        <f aca="false">IF(L656="","",INDEX(ポート振替表!$B$5:$B$3507,$L656)&amp;" "&amp;INDEX(ポート振替表!$C$5:$C$3507,$L656)&amp;"  ⇔  "&amp;INDEX(ポート振替表!$H$5:$H$3507,$L656)&amp;" "&amp;INDEX(ポート振替表!$I$5:$I$3507,$L656))</f>
        <v/>
      </c>
      <c r="D656" s="57" t="s">
        <v>158</v>
      </c>
      <c r="E656" s="59" t="str">
        <f aca="false">IF(L656="","",IF(INDEX(ポート振替表!$O$5:$O$3507,$L656)="","(未設定)",INDEX(ポート振替表!$O$5:$O$3507,$L656)&amp;""))</f>
        <v/>
      </c>
      <c r="F656" s="52" t="str">
        <f aca="false">IF(L656="","",INDEX(ポート振替表!$K$5:$K$3507,$L656)&amp;" "&amp;INDEX(ポート振替表!$L$5:$L$3507,$L656)&amp;"  ⇔  "&amp;INDEX(ポート振替表!$H$5:$H$3507,$L656)&amp;" "&amp;INDEX(ポート振替表!$I$5:$I$3507,$L656))</f>
        <v/>
      </c>
      <c r="G656" s="57" t="s">
        <v>158</v>
      </c>
      <c r="H656" s="32" t="str">
        <f aca="false">IF(L656="","",INDEX(ポート振替表!$N$5:$N$3507,$L656)&amp;"")</f>
        <v/>
      </c>
      <c r="I656" s="32" t="str">
        <f aca="false">IF(L656="","",INDEX(ポート振替表!$P$5:$P$3507,$L656)&amp;"")</f>
        <v/>
      </c>
      <c r="J656" s="60" t="str">
        <f aca="false">IF(L656="","",INDEX(ポート振替表!$M$5:$M$3507,$L656)&amp;"")</f>
        <v/>
      </c>
      <c r="K656" s="52" t="str">
        <f aca="false">IF(L656="","",E656&amp;CHAR(10)&amp;INDEX(ポート振替表!$K$5:$K$3507,$L656)&amp;" "&amp;INDEX(ポート振替表!$L$5:$L$3507,$L656)&amp;CHAR(10)&amp;"⇔ "&amp;INDEX(ポート振替表!$H$5:$H$3507,$L656)&amp;" "&amp;INDEX(ポート振替表!$I$5:$I$3507,$L656))</f>
        <v/>
      </c>
      <c r="L656" s="47" t="str">
        <f aca="false">IFERROR(MATCH(ROW()-4,ポート振替表!$V$5:$V$3507,0),"")</f>
        <v/>
      </c>
    </row>
    <row r="657" customFormat="false" ht="16.4" hidden="false" customHeight="false" outlineLevel="0" collapsed="false">
      <c r="A657" s="32" t="str">
        <f aca="false">IF(L657="","",ROW()-4)</f>
        <v/>
      </c>
      <c r="B657" s="58" t="str">
        <f aca="false">IF(L657="","",IF(INDEX(ポート振替表!$W$5:$W$3507,$L657)="","(なし)",INDEX(ポート振替表!$W$5:$W$3507,$L657)&amp;""))</f>
        <v/>
      </c>
      <c r="C657" s="52" t="str">
        <f aca="false">IF(L657="","",INDEX(ポート振替表!$B$5:$B$3507,$L657)&amp;" "&amp;INDEX(ポート振替表!$C$5:$C$3507,$L657)&amp;"  ⇔  "&amp;INDEX(ポート振替表!$H$5:$H$3507,$L657)&amp;" "&amp;INDEX(ポート振替表!$I$5:$I$3507,$L657))</f>
        <v/>
      </c>
      <c r="D657" s="57" t="s">
        <v>158</v>
      </c>
      <c r="E657" s="59" t="str">
        <f aca="false">IF(L657="","",IF(INDEX(ポート振替表!$O$5:$O$3507,$L657)="","(未設定)",INDEX(ポート振替表!$O$5:$O$3507,$L657)&amp;""))</f>
        <v/>
      </c>
      <c r="F657" s="52" t="str">
        <f aca="false">IF(L657="","",INDEX(ポート振替表!$K$5:$K$3507,$L657)&amp;" "&amp;INDEX(ポート振替表!$L$5:$L$3507,$L657)&amp;"  ⇔  "&amp;INDEX(ポート振替表!$H$5:$H$3507,$L657)&amp;" "&amp;INDEX(ポート振替表!$I$5:$I$3507,$L657))</f>
        <v/>
      </c>
      <c r="G657" s="57" t="s">
        <v>158</v>
      </c>
      <c r="H657" s="32" t="str">
        <f aca="false">IF(L657="","",INDEX(ポート振替表!$N$5:$N$3507,$L657)&amp;"")</f>
        <v/>
      </c>
      <c r="I657" s="32" t="str">
        <f aca="false">IF(L657="","",INDEX(ポート振替表!$P$5:$P$3507,$L657)&amp;"")</f>
        <v/>
      </c>
      <c r="J657" s="60" t="str">
        <f aca="false">IF(L657="","",INDEX(ポート振替表!$M$5:$M$3507,$L657)&amp;"")</f>
        <v/>
      </c>
      <c r="K657" s="52" t="str">
        <f aca="false">IF(L657="","",E657&amp;CHAR(10)&amp;INDEX(ポート振替表!$K$5:$K$3507,$L657)&amp;" "&amp;INDEX(ポート振替表!$L$5:$L$3507,$L657)&amp;CHAR(10)&amp;"⇔ "&amp;INDEX(ポート振替表!$H$5:$H$3507,$L657)&amp;" "&amp;INDEX(ポート振替表!$I$5:$I$3507,$L657))</f>
        <v/>
      </c>
      <c r="L657" s="47" t="str">
        <f aca="false">IFERROR(MATCH(ROW()-4,ポート振替表!$V$5:$V$3507,0),"")</f>
        <v/>
      </c>
    </row>
    <row r="658" customFormat="false" ht="16.4" hidden="false" customHeight="false" outlineLevel="0" collapsed="false">
      <c r="A658" s="32" t="str">
        <f aca="false">IF(L658="","",ROW()-4)</f>
        <v/>
      </c>
      <c r="B658" s="58" t="str">
        <f aca="false">IF(L658="","",IF(INDEX(ポート振替表!$W$5:$W$3507,$L658)="","(なし)",INDEX(ポート振替表!$W$5:$W$3507,$L658)&amp;""))</f>
        <v/>
      </c>
      <c r="C658" s="52" t="str">
        <f aca="false">IF(L658="","",INDEX(ポート振替表!$B$5:$B$3507,$L658)&amp;" "&amp;INDEX(ポート振替表!$C$5:$C$3507,$L658)&amp;"  ⇔  "&amp;INDEX(ポート振替表!$H$5:$H$3507,$L658)&amp;" "&amp;INDEX(ポート振替表!$I$5:$I$3507,$L658))</f>
        <v/>
      </c>
      <c r="D658" s="57" t="s">
        <v>158</v>
      </c>
      <c r="E658" s="59" t="str">
        <f aca="false">IF(L658="","",IF(INDEX(ポート振替表!$O$5:$O$3507,$L658)="","(未設定)",INDEX(ポート振替表!$O$5:$O$3507,$L658)&amp;""))</f>
        <v/>
      </c>
      <c r="F658" s="52" t="str">
        <f aca="false">IF(L658="","",INDEX(ポート振替表!$K$5:$K$3507,$L658)&amp;" "&amp;INDEX(ポート振替表!$L$5:$L$3507,$L658)&amp;"  ⇔  "&amp;INDEX(ポート振替表!$H$5:$H$3507,$L658)&amp;" "&amp;INDEX(ポート振替表!$I$5:$I$3507,$L658))</f>
        <v/>
      </c>
      <c r="G658" s="57" t="s">
        <v>158</v>
      </c>
      <c r="H658" s="32" t="str">
        <f aca="false">IF(L658="","",INDEX(ポート振替表!$N$5:$N$3507,$L658)&amp;"")</f>
        <v/>
      </c>
      <c r="I658" s="32" t="str">
        <f aca="false">IF(L658="","",INDEX(ポート振替表!$P$5:$P$3507,$L658)&amp;"")</f>
        <v/>
      </c>
      <c r="J658" s="60" t="str">
        <f aca="false">IF(L658="","",INDEX(ポート振替表!$M$5:$M$3507,$L658)&amp;"")</f>
        <v/>
      </c>
      <c r="K658" s="52" t="str">
        <f aca="false">IF(L658="","",E658&amp;CHAR(10)&amp;INDEX(ポート振替表!$K$5:$K$3507,$L658)&amp;" "&amp;INDEX(ポート振替表!$L$5:$L$3507,$L658)&amp;CHAR(10)&amp;"⇔ "&amp;INDEX(ポート振替表!$H$5:$H$3507,$L658)&amp;" "&amp;INDEX(ポート振替表!$I$5:$I$3507,$L658))</f>
        <v/>
      </c>
      <c r="L658" s="47" t="str">
        <f aca="false">IFERROR(MATCH(ROW()-4,ポート振替表!$V$5:$V$3507,0),"")</f>
        <v/>
      </c>
    </row>
    <row r="659" customFormat="false" ht="16.4" hidden="false" customHeight="false" outlineLevel="0" collapsed="false">
      <c r="A659" s="32" t="str">
        <f aca="false">IF(L659="","",ROW()-4)</f>
        <v/>
      </c>
      <c r="B659" s="58" t="str">
        <f aca="false">IF(L659="","",IF(INDEX(ポート振替表!$W$5:$W$3507,$L659)="","(なし)",INDEX(ポート振替表!$W$5:$W$3507,$L659)&amp;""))</f>
        <v/>
      </c>
      <c r="C659" s="52" t="str">
        <f aca="false">IF(L659="","",INDEX(ポート振替表!$B$5:$B$3507,$L659)&amp;" "&amp;INDEX(ポート振替表!$C$5:$C$3507,$L659)&amp;"  ⇔  "&amp;INDEX(ポート振替表!$H$5:$H$3507,$L659)&amp;" "&amp;INDEX(ポート振替表!$I$5:$I$3507,$L659))</f>
        <v/>
      </c>
      <c r="D659" s="57" t="s">
        <v>158</v>
      </c>
      <c r="E659" s="59" t="str">
        <f aca="false">IF(L659="","",IF(INDEX(ポート振替表!$O$5:$O$3507,$L659)="","(未設定)",INDEX(ポート振替表!$O$5:$O$3507,$L659)&amp;""))</f>
        <v/>
      </c>
      <c r="F659" s="52" t="str">
        <f aca="false">IF(L659="","",INDEX(ポート振替表!$K$5:$K$3507,$L659)&amp;" "&amp;INDEX(ポート振替表!$L$5:$L$3507,$L659)&amp;"  ⇔  "&amp;INDEX(ポート振替表!$H$5:$H$3507,$L659)&amp;" "&amp;INDEX(ポート振替表!$I$5:$I$3507,$L659))</f>
        <v/>
      </c>
      <c r="G659" s="57" t="s">
        <v>158</v>
      </c>
      <c r="H659" s="32" t="str">
        <f aca="false">IF(L659="","",INDEX(ポート振替表!$N$5:$N$3507,$L659)&amp;"")</f>
        <v/>
      </c>
      <c r="I659" s="32" t="str">
        <f aca="false">IF(L659="","",INDEX(ポート振替表!$P$5:$P$3507,$L659)&amp;"")</f>
        <v/>
      </c>
      <c r="J659" s="60" t="str">
        <f aca="false">IF(L659="","",INDEX(ポート振替表!$M$5:$M$3507,$L659)&amp;"")</f>
        <v/>
      </c>
      <c r="K659" s="52" t="str">
        <f aca="false">IF(L659="","",E659&amp;CHAR(10)&amp;INDEX(ポート振替表!$K$5:$K$3507,$L659)&amp;" "&amp;INDEX(ポート振替表!$L$5:$L$3507,$L659)&amp;CHAR(10)&amp;"⇔ "&amp;INDEX(ポート振替表!$H$5:$H$3507,$L659)&amp;" "&amp;INDEX(ポート振替表!$I$5:$I$3507,$L659))</f>
        <v/>
      </c>
      <c r="L659" s="47" t="str">
        <f aca="false">IFERROR(MATCH(ROW()-4,ポート振替表!$V$5:$V$3507,0),"")</f>
        <v/>
      </c>
    </row>
    <row r="660" customFormat="false" ht="16.4" hidden="false" customHeight="false" outlineLevel="0" collapsed="false">
      <c r="A660" s="32" t="str">
        <f aca="false">IF(L660="","",ROW()-4)</f>
        <v/>
      </c>
      <c r="B660" s="58" t="str">
        <f aca="false">IF(L660="","",IF(INDEX(ポート振替表!$W$5:$W$3507,$L660)="","(なし)",INDEX(ポート振替表!$W$5:$W$3507,$L660)&amp;""))</f>
        <v/>
      </c>
      <c r="C660" s="52" t="str">
        <f aca="false">IF(L660="","",INDEX(ポート振替表!$B$5:$B$3507,$L660)&amp;" "&amp;INDEX(ポート振替表!$C$5:$C$3507,$L660)&amp;"  ⇔  "&amp;INDEX(ポート振替表!$H$5:$H$3507,$L660)&amp;" "&amp;INDEX(ポート振替表!$I$5:$I$3507,$L660))</f>
        <v/>
      </c>
      <c r="D660" s="57" t="s">
        <v>158</v>
      </c>
      <c r="E660" s="59" t="str">
        <f aca="false">IF(L660="","",IF(INDEX(ポート振替表!$O$5:$O$3507,$L660)="","(未設定)",INDEX(ポート振替表!$O$5:$O$3507,$L660)&amp;""))</f>
        <v/>
      </c>
      <c r="F660" s="52" t="str">
        <f aca="false">IF(L660="","",INDEX(ポート振替表!$K$5:$K$3507,$L660)&amp;" "&amp;INDEX(ポート振替表!$L$5:$L$3507,$L660)&amp;"  ⇔  "&amp;INDEX(ポート振替表!$H$5:$H$3507,$L660)&amp;" "&amp;INDEX(ポート振替表!$I$5:$I$3507,$L660))</f>
        <v/>
      </c>
      <c r="G660" s="57" t="s">
        <v>158</v>
      </c>
      <c r="H660" s="32" t="str">
        <f aca="false">IF(L660="","",INDEX(ポート振替表!$N$5:$N$3507,$L660)&amp;"")</f>
        <v/>
      </c>
      <c r="I660" s="32" t="str">
        <f aca="false">IF(L660="","",INDEX(ポート振替表!$P$5:$P$3507,$L660)&amp;"")</f>
        <v/>
      </c>
      <c r="J660" s="60" t="str">
        <f aca="false">IF(L660="","",INDEX(ポート振替表!$M$5:$M$3507,$L660)&amp;"")</f>
        <v/>
      </c>
      <c r="K660" s="52" t="str">
        <f aca="false">IF(L660="","",E660&amp;CHAR(10)&amp;INDEX(ポート振替表!$K$5:$K$3507,$L660)&amp;" "&amp;INDEX(ポート振替表!$L$5:$L$3507,$L660)&amp;CHAR(10)&amp;"⇔ "&amp;INDEX(ポート振替表!$H$5:$H$3507,$L660)&amp;" "&amp;INDEX(ポート振替表!$I$5:$I$3507,$L660))</f>
        <v/>
      </c>
      <c r="L660" s="47" t="str">
        <f aca="false">IFERROR(MATCH(ROW()-4,ポート振替表!$V$5:$V$3507,0),"")</f>
        <v/>
      </c>
    </row>
    <row r="661" customFormat="false" ht="16.4" hidden="false" customHeight="false" outlineLevel="0" collapsed="false">
      <c r="A661" s="32" t="str">
        <f aca="false">IF(L661="","",ROW()-4)</f>
        <v/>
      </c>
      <c r="B661" s="58" t="str">
        <f aca="false">IF(L661="","",IF(INDEX(ポート振替表!$W$5:$W$3507,$L661)="","(なし)",INDEX(ポート振替表!$W$5:$W$3507,$L661)&amp;""))</f>
        <v/>
      </c>
      <c r="C661" s="52" t="str">
        <f aca="false">IF(L661="","",INDEX(ポート振替表!$B$5:$B$3507,$L661)&amp;" "&amp;INDEX(ポート振替表!$C$5:$C$3507,$L661)&amp;"  ⇔  "&amp;INDEX(ポート振替表!$H$5:$H$3507,$L661)&amp;" "&amp;INDEX(ポート振替表!$I$5:$I$3507,$L661))</f>
        <v/>
      </c>
      <c r="D661" s="57" t="s">
        <v>158</v>
      </c>
      <c r="E661" s="59" t="str">
        <f aca="false">IF(L661="","",IF(INDEX(ポート振替表!$O$5:$O$3507,$L661)="","(未設定)",INDEX(ポート振替表!$O$5:$O$3507,$L661)&amp;""))</f>
        <v/>
      </c>
      <c r="F661" s="52" t="str">
        <f aca="false">IF(L661="","",INDEX(ポート振替表!$K$5:$K$3507,$L661)&amp;" "&amp;INDEX(ポート振替表!$L$5:$L$3507,$L661)&amp;"  ⇔  "&amp;INDEX(ポート振替表!$H$5:$H$3507,$L661)&amp;" "&amp;INDEX(ポート振替表!$I$5:$I$3507,$L661))</f>
        <v/>
      </c>
      <c r="G661" s="57" t="s">
        <v>158</v>
      </c>
      <c r="H661" s="32" t="str">
        <f aca="false">IF(L661="","",INDEX(ポート振替表!$N$5:$N$3507,$L661)&amp;"")</f>
        <v/>
      </c>
      <c r="I661" s="32" t="str">
        <f aca="false">IF(L661="","",INDEX(ポート振替表!$P$5:$P$3507,$L661)&amp;"")</f>
        <v/>
      </c>
      <c r="J661" s="60" t="str">
        <f aca="false">IF(L661="","",INDEX(ポート振替表!$M$5:$M$3507,$L661)&amp;"")</f>
        <v/>
      </c>
      <c r="K661" s="52" t="str">
        <f aca="false">IF(L661="","",E661&amp;CHAR(10)&amp;INDEX(ポート振替表!$K$5:$K$3507,$L661)&amp;" "&amp;INDEX(ポート振替表!$L$5:$L$3507,$L661)&amp;CHAR(10)&amp;"⇔ "&amp;INDEX(ポート振替表!$H$5:$H$3507,$L661)&amp;" "&amp;INDEX(ポート振替表!$I$5:$I$3507,$L661))</f>
        <v/>
      </c>
      <c r="L661" s="47" t="str">
        <f aca="false">IFERROR(MATCH(ROW()-4,ポート振替表!$V$5:$V$3507,0),"")</f>
        <v/>
      </c>
    </row>
    <row r="662" customFormat="false" ht="16.4" hidden="false" customHeight="false" outlineLevel="0" collapsed="false">
      <c r="A662" s="32" t="str">
        <f aca="false">IF(L662="","",ROW()-4)</f>
        <v/>
      </c>
      <c r="B662" s="58" t="str">
        <f aca="false">IF(L662="","",IF(INDEX(ポート振替表!$W$5:$W$3507,$L662)="","(なし)",INDEX(ポート振替表!$W$5:$W$3507,$L662)&amp;""))</f>
        <v/>
      </c>
      <c r="C662" s="52" t="str">
        <f aca="false">IF(L662="","",INDEX(ポート振替表!$B$5:$B$3507,$L662)&amp;" "&amp;INDEX(ポート振替表!$C$5:$C$3507,$L662)&amp;"  ⇔  "&amp;INDEX(ポート振替表!$H$5:$H$3507,$L662)&amp;" "&amp;INDEX(ポート振替表!$I$5:$I$3507,$L662))</f>
        <v/>
      </c>
      <c r="D662" s="57" t="s">
        <v>158</v>
      </c>
      <c r="E662" s="59" t="str">
        <f aca="false">IF(L662="","",IF(INDEX(ポート振替表!$O$5:$O$3507,$L662)="","(未設定)",INDEX(ポート振替表!$O$5:$O$3507,$L662)&amp;""))</f>
        <v/>
      </c>
      <c r="F662" s="52" t="str">
        <f aca="false">IF(L662="","",INDEX(ポート振替表!$K$5:$K$3507,$L662)&amp;" "&amp;INDEX(ポート振替表!$L$5:$L$3507,$L662)&amp;"  ⇔  "&amp;INDEX(ポート振替表!$H$5:$H$3507,$L662)&amp;" "&amp;INDEX(ポート振替表!$I$5:$I$3507,$L662))</f>
        <v/>
      </c>
      <c r="G662" s="57" t="s">
        <v>158</v>
      </c>
      <c r="H662" s="32" t="str">
        <f aca="false">IF(L662="","",INDEX(ポート振替表!$N$5:$N$3507,$L662)&amp;"")</f>
        <v/>
      </c>
      <c r="I662" s="32" t="str">
        <f aca="false">IF(L662="","",INDEX(ポート振替表!$P$5:$P$3507,$L662)&amp;"")</f>
        <v/>
      </c>
      <c r="J662" s="60" t="str">
        <f aca="false">IF(L662="","",INDEX(ポート振替表!$M$5:$M$3507,$L662)&amp;"")</f>
        <v/>
      </c>
      <c r="K662" s="52" t="str">
        <f aca="false">IF(L662="","",E662&amp;CHAR(10)&amp;INDEX(ポート振替表!$K$5:$K$3507,$L662)&amp;" "&amp;INDEX(ポート振替表!$L$5:$L$3507,$L662)&amp;CHAR(10)&amp;"⇔ "&amp;INDEX(ポート振替表!$H$5:$H$3507,$L662)&amp;" "&amp;INDEX(ポート振替表!$I$5:$I$3507,$L662))</f>
        <v/>
      </c>
      <c r="L662" s="47" t="str">
        <f aca="false">IFERROR(MATCH(ROW()-4,ポート振替表!$V$5:$V$3507,0),"")</f>
        <v/>
      </c>
    </row>
    <row r="663" customFormat="false" ht="16.4" hidden="false" customHeight="false" outlineLevel="0" collapsed="false">
      <c r="A663" s="32" t="str">
        <f aca="false">IF(L663="","",ROW()-4)</f>
        <v/>
      </c>
      <c r="B663" s="58" t="str">
        <f aca="false">IF(L663="","",IF(INDEX(ポート振替表!$W$5:$W$3507,$L663)="","(なし)",INDEX(ポート振替表!$W$5:$W$3507,$L663)&amp;""))</f>
        <v/>
      </c>
      <c r="C663" s="52" t="str">
        <f aca="false">IF(L663="","",INDEX(ポート振替表!$B$5:$B$3507,$L663)&amp;" "&amp;INDEX(ポート振替表!$C$5:$C$3507,$L663)&amp;"  ⇔  "&amp;INDEX(ポート振替表!$H$5:$H$3507,$L663)&amp;" "&amp;INDEX(ポート振替表!$I$5:$I$3507,$L663))</f>
        <v/>
      </c>
      <c r="D663" s="57" t="s">
        <v>158</v>
      </c>
      <c r="E663" s="59" t="str">
        <f aca="false">IF(L663="","",IF(INDEX(ポート振替表!$O$5:$O$3507,$L663)="","(未設定)",INDEX(ポート振替表!$O$5:$O$3507,$L663)&amp;""))</f>
        <v/>
      </c>
      <c r="F663" s="52" t="str">
        <f aca="false">IF(L663="","",INDEX(ポート振替表!$K$5:$K$3507,$L663)&amp;" "&amp;INDEX(ポート振替表!$L$5:$L$3507,$L663)&amp;"  ⇔  "&amp;INDEX(ポート振替表!$H$5:$H$3507,$L663)&amp;" "&amp;INDEX(ポート振替表!$I$5:$I$3507,$L663))</f>
        <v/>
      </c>
      <c r="G663" s="57" t="s">
        <v>158</v>
      </c>
      <c r="H663" s="32" t="str">
        <f aca="false">IF(L663="","",INDEX(ポート振替表!$N$5:$N$3507,$L663)&amp;"")</f>
        <v/>
      </c>
      <c r="I663" s="32" t="str">
        <f aca="false">IF(L663="","",INDEX(ポート振替表!$P$5:$P$3507,$L663)&amp;"")</f>
        <v/>
      </c>
      <c r="J663" s="60" t="str">
        <f aca="false">IF(L663="","",INDEX(ポート振替表!$M$5:$M$3507,$L663)&amp;"")</f>
        <v/>
      </c>
      <c r="K663" s="52" t="str">
        <f aca="false">IF(L663="","",E663&amp;CHAR(10)&amp;INDEX(ポート振替表!$K$5:$K$3507,$L663)&amp;" "&amp;INDEX(ポート振替表!$L$5:$L$3507,$L663)&amp;CHAR(10)&amp;"⇔ "&amp;INDEX(ポート振替表!$H$5:$H$3507,$L663)&amp;" "&amp;INDEX(ポート振替表!$I$5:$I$3507,$L663))</f>
        <v/>
      </c>
      <c r="L663" s="47" t="str">
        <f aca="false">IFERROR(MATCH(ROW()-4,ポート振替表!$V$5:$V$3507,0),"")</f>
        <v/>
      </c>
    </row>
    <row r="664" customFormat="false" ht="16.4" hidden="false" customHeight="false" outlineLevel="0" collapsed="false">
      <c r="A664" s="32" t="str">
        <f aca="false">IF(L664="","",ROW()-4)</f>
        <v/>
      </c>
      <c r="B664" s="58" t="str">
        <f aca="false">IF(L664="","",IF(INDEX(ポート振替表!$W$5:$W$3507,$L664)="","(なし)",INDEX(ポート振替表!$W$5:$W$3507,$L664)&amp;""))</f>
        <v/>
      </c>
      <c r="C664" s="52" t="str">
        <f aca="false">IF(L664="","",INDEX(ポート振替表!$B$5:$B$3507,$L664)&amp;" "&amp;INDEX(ポート振替表!$C$5:$C$3507,$L664)&amp;"  ⇔  "&amp;INDEX(ポート振替表!$H$5:$H$3507,$L664)&amp;" "&amp;INDEX(ポート振替表!$I$5:$I$3507,$L664))</f>
        <v/>
      </c>
      <c r="D664" s="57" t="s">
        <v>158</v>
      </c>
      <c r="E664" s="59" t="str">
        <f aca="false">IF(L664="","",IF(INDEX(ポート振替表!$O$5:$O$3507,$L664)="","(未設定)",INDEX(ポート振替表!$O$5:$O$3507,$L664)&amp;""))</f>
        <v/>
      </c>
      <c r="F664" s="52" t="str">
        <f aca="false">IF(L664="","",INDEX(ポート振替表!$K$5:$K$3507,$L664)&amp;" "&amp;INDEX(ポート振替表!$L$5:$L$3507,$L664)&amp;"  ⇔  "&amp;INDEX(ポート振替表!$H$5:$H$3507,$L664)&amp;" "&amp;INDEX(ポート振替表!$I$5:$I$3507,$L664))</f>
        <v/>
      </c>
      <c r="G664" s="57" t="s">
        <v>158</v>
      </c>
      <c r="H664" s="32" t="str">
        <f aca="false">IF(L664="","",INDEX(ポート振替表!$N$5:$N$3507,$L664)&amp;"")</f>
        <v/>
      </c>
      <c r="I664" s="32" t="str">
        <f aca="false">IF(L664="","",INDEX(ポート振替表!$P$5:$P$3507,$L664)&amp;"")</f>
        <v/>
      </c>
      <c r="J664" s="60" t="str">
        <f aca="false">IF(L664="","",INDEX(ポート振替表!$M$5:$M$3507,$L664)&amp;"")</f>
        <v/>
      </c>
      <c r="K664" s="52" t="str">
        <f aca="false">IF(L664="","",E664&amp;CHAR(10)&amp;INDEX(ポート振替表!$K$5:$K$3507,$L664)&amp;" "&amp;INDEX(ポート振替表!$L$5:$L$3507,$L664)&amp;CHAR(10)&amp;"⇔ "&amp;INDEX(ポート振替表!$H$5:$H$3507,$L664)&amp;" "&amp;INDEX(ポート振替表!$I$5:$I$3507,$L664))</f>
        <v/>
      </c>
      <c r="L664" s="47" t="str">
        <f aca="false">IFERROR(MATCH(ROW()-4,ポート振替表!$V$5:$V$3507,0),"")</f>
        <v/>
      </c>
    </row>
    <row r="665" customFormat="false" ht="16.4" hidden="false" customHeight="false" outlineLevel="0" collapsed="false">
      <c r="A665" s="32" t="str">
        <f aca="false">IF(L665="","",ROW()-4)</f>
        <v/>
      </c>
      <c r="B665" s="58" t="str">
        <f aca="false">IF(L665="","",IF(INDEX(ポート振替表!$W$5:$W$3507,$L665)="","(なし)",INDEX(ポート振替表!$W$5:$W$3507,$L665)&amp;""))</f>
        <v/>
      </c>
      <c r="C665" s="52" t="str">
        <f aca="false">IF(L665="","",INDEX(ポート振替表!$B$5:$B$3507,$L665)&amp;" "&amp;INDEX(ポート振替表!$C$5:$C$3507,$L665)&amp;"  ⇔  "&amp;INDEX(ポート振替表!$H$5:$H$3507,$L665)&amp;" "&amp;INDEX(ポート振替表!$I$5:$I$3507,$L665))</f>
        <v/>
      </c>
      <c r="D665" s="57" t="s">
        <v>158</v>
      </c>
      <c r="E665" s="59" t="str">
        <f aca="false">IF(L665="","",IF(INDEX(ポート振替表!$O$5:$O$3507,$L665)="","(未設定)",INDEX(ポート振替表!$O$5:$O$3507,$L665)&amp;""))</f>
        <v/>
      </c>
      <c r="F665" s="52" t="str">
        <f aca="false">IF(L665="","",INDEX(ポート振替表!$K$5:$K$3507,$L665)&amp;" "&amp;INDEX(ポート振替表!$L$5:$L$3507,$L665)&amp;"  ⇔  "&amp;INDEX(ポート振替表!$H$5:$H$3507,$L665)&amp;" "&amp;INDEX(ポート振替表!$I$5:$I$3507,$L665))</f>
        <v/>
      </c>
      <c r="G665" s="57" t="s">
        <v>158</v>
      </c>
      <c r="H665" s="32" t="str">
        <f aca="false">IF(L665="","",INDEX(ポート振替表!$N$5:$N$3507,$L665)&amp;"")</f>
        <v/>
      </c>
      <c r="I665" s="32" t="str">
        <f aca="false">IF(L665="","",INDEX(ポート振替表!$P$5:$P$3507,$L665)&amp;"")</f>
        <v/>
      </c>
      <c r="J665" s="60" t="str">
        <f aca="false">IF(L665="","",INDEX(ポート振替表!$M$5:$M$3507,$L665)&amp;"")</f>
        <v/>
      </c>
      <c r="K665" s="52" t="str">
        <f aca="false">IF(L665="","",E665&amp;CHAR(10)&amp;INDEX(ポート振替表!$K$5:$K$3507,$L665)&amp;" "&amp;INDEX(ポート振替表!$L$5:$L$3507,$L665)&amp;CHAR(10)&amp;"⇔ "&amp;INDEX(ポート振替表!$H$5:$H$3507,$L665)&amp;" "&amp;INDEX(ポート振替表!$I$5:$I$3507,$L665))</f>
        <v/>
      </c>
      <c r="L665" s="47" t="str">
        <f aca="false">IFERROR(MATCH(ROW()-4,ポート振替表!$V$5:$V$3507,0),"")</f>
        <v/>
      </c>
    </row>
    <row r="666" customFormat="false" ht="16.4" hidden="false" customHeight="false" outlineLevel="0" collapsed="false">
      <c r="A666" s="32" t="str">
        <f aca="false">IF(L666="","",ROW()-4)</f>
        <v/>
      </c>
      <c r="B666" s="58" t="str">
        <f aca="false">IF(L666="","",IF(INDEX(ポート振替表!$W$5:$W$3507,$L666)="","(なし)",INDEX(ポート振替表!$W$5:$W$3507,$L666)&amp;""))</f>
        <v/>
      </c>
      <c r="C666" s="52" t="str">
        <f aca="false">IF(L666="","",INDEX(ポート振替表!$B$5:$B$3507,$L666)&amp;" "&amp;INDEX(ポート振替表!$C$5:$C$3507,$L666)&amp;"  ⇔  "&amp;INDEX(ポート振替表!$H$5:$H$3507,$L666)&amp;" "&amp;INDEX(ポート振替表!$I$5:$I$3507,$L666))</f>
        <v/>
      </c>
      <c r="D666" s="57" t="s">
        <v>158</v>
      </c>
      <c r="E666" s="59" t="str">
        <f aca="false">IF(L666="","",IF(INDEX(ポート振替表!$O$5:$O$3507,$L666)="","(未設定)",INDEX(ポート振替表!$O$5:$O$3507,$L666)&amp;""))</f>
        <v/>
      </c>
      <c r="F666" s="52" t="str">
        <f aca="false">IF(L666="","",INDEX(ポート振替表!$K$5:$K$3507,$L666)&amp;" "&amp;INDEX(ポート振替表!$L$5:$L$3507,$L666)&amp;"  ⇔  "&amp;INDEX(ポート振替表!$H$5:$H$3507,$L666)&amp;" "&amp;INDEX(ポート振替表!$I$5:$I$3507,$L666))</f>
        <v/>
      </c>
      <c r="G666" s="57" t="s">
        <v>158</v>
      </c>
      <c r="H666" s="32" t="str">
        <f aca="false">IF(L666="","",INDEX(ポート振替表!$N$5:$N$3507,$L666)&amp;"")</f>
        <v/>
      </c>
      <c r="I666" s="32" t="str">
        <f aca="false">IF(L666="","",INDEX(ポート振替表!$P$5:$P$3507,$L666)&amp;"")</f>
        <v/>
      </c>
      <c r="J666" s="60" t="str">
        <f aca="false">IF(L666="","",INDEX(ポート振替表!$M$5:$M$3507,$L666)&amp;"")</f>
        <v/>
      </c>
      <c r="K666" s="52" t="str">
        <f aca="false">IF(L666="","",E666&amp;CHAR(10)&amp;INDEX(ポート振替表!$K$5:$K$3507,$L666)&amp;" "&amp;INDEX(ポート振替表!$L$5:$L$3507,$L666)&amp;CHAR(10)&amp;"⇔ "&amp;INDEX(ポート振替表!$H$5:$H$3507,$L666)&amp;" "&amp;INDEX(ポート振替表!$I$5:$I$3507,$L666))</f>
        <v/>
      </c>
      <c r="L666" s="47" t="str">
        <f aca="false">IFERROR(MATCH(ROW()-4,ポート振替表!$V$5:$V$3507,0),"")</f>
        <v/>
      </c>
    </row>
    <row r="667" customFormat="false" ht="16.4" hidden="false" customHeight="false" outlineLevel="0" collapsed="false">
      <c r="A667" s="32" t="str">
        <f aca="false">IF(L667="","",ROW()-4)</f>
        <v/>
      </c>
      <c r="B667" s="58" t="str">
        <f aca="false">IF(L667="","",IF(INDEX(ポート振替表!$W$5:$W$3507,$L667)="","(なし)",INDEX(ポート振替表!$W$5:$W$3507,$L667)&amp;""))</f>
        <v/>
      </c>
      <c r="C667" s="52" t="str">
        <f aca="false">IF(L667="","",INDEX(ポート振替表!$B$5:$B$3507,$L667)&amp;" "&amp;INDEX(ポート振替表!$C$5:$C$3507,$L667)&amp;"  ⇔  "&amp;INDEX(ポート振替表!$H$5:$H$3507,$L667)&amp;" "&amp;INDEX(ポート振替表!$I$5:$I$3507,$L667))</f>
        <v/>
      </c>
      <c r="D667" s="57" t="s">
        <v>158</v>
      </c>
      <c r="E667" s="59" t="str">
        <f aca="false">IF(L667="","",IF(INDEX(ポート振替表!$O$5:$O$3507,$L667)="","(未設定)",INDEX(ポート振替表!$O$5:$O$3507,$L667)&amp;""))</f>
        <v/>
      </c>
      <c r="F667" s="52" t="str">
        <f aca="false">IF(L667="","",INDEX(ポート振替表!$K$5:$K$3507,$L667)&amp;" "&amp;INDEX(ポート振替表!$L$5:$L$3507,$L667)&amp;"  ⇔  "&amp;INDEX(ポート振替表!$H$5:$H$3507,$L667)&amp;" "&amp;INDEX(ポート振替表!$I$5:$I$3507,$L667))</f>
        <v/>
      </c>
      <c r="G667" s="57" t="s">
        <v>158</v>
      </c>
      <c r="H667" s="32" t="str">
        <f aca="false">IF(L667="","",INDEX(ポート振替表!$N$5:$N$3507,$L667)&amp;"")</f>
        <v/>
      </c>
      <c r="I667" s="32" t="str">
        <f aca="false">IF(L667="","",INDEX(ポート振替表!$P$5:$P$3507,$L667)&amp;"")</f>
        <v/>
      </c>
      <c r="J667" s="60" t="str">
        <f aca="false">IF(L667="","",INDEX(ポート振替表!$M$5:$M$3507,$L667)&amp;"")</f>
        <v/>
      </c>
      <c r="K667" s="52" t="str">
        <f aca="false">IF(L667="","",E667&amp;CHAR(10)&amp;INDEX(ポート振替表!$K$5:$K$3507,$L667)&amp;" "&amp;INDEX(ポート振替表!$L$5:$L$3507,$L667)&amp;CHAR(10)&amp;"⇔ "&amp;INDEX(ポート振替表!$H$5:$H$3507,$L667)&amp;" "&amp;INDEX(ポート振替表!$I$5:$I$3507,$L667))</f>
        <v/>
      </c>
      <c r="L667" s="47" t="str">
        <f aca="false">IFERROR(MATCH(ROW()-4,ポート振替表!$V$5:$V$3507,0),"")</f>
        <v/>
      </c>
    </row>
    <row r="668" customFormat="false" ht="16.4" hidden="false" customHeight="false" outlineLevel="0" collapsed="false">
      <c r="A668" s="32" t="str">
        <f aca="false">IF(L668="","",ROW()-4)</f>
        <v/>
      </c>
      <c r="B668" s="58" t="str">
        <f aca="false">IF(L668="","",IF(INDEX(ポート振替表!$W$5:$W$3507,$L668)="","(なし)",INDEX(ポート振替表!$W$5:$W$3507,$L668)&amp;""))</f>
        <v/>
      </c>
      <c r="C668" s="52" t="str">
        <f aca="false">IF(L668="","",INDEX(ポート振替表!$B$5:$B$3507,$L668)&amp;" "&amp;INDEX(ポート振替表!$C$5:$C$3507,$L668)&amp;"  ⇔  "&amp;INDEX(ポート振替表!$H$5:$H$3507,$L668)&amp;" "&amp;INDEX(ポート振替表!$I$5:$I$3507,$L668))</f>
        <v/>
      </c>
      <c r="D668" s="57" t="s">
        <v>158</v>
      </c>
      <c r="E668" s="59" t="str">
        <f aca="false">IF(L668="","",IF(INDEX(ポート振替表!$O$5:$O$3507,$L668)="","(未設定)",INDEX(ポート振替表!$O$5:$O$3507,$L668)&amp;""))</f>
        <v/>
      </c>
      <c r="F668" s="52" t="str">
        <f aca="false">IF(L668="","",INDEX(ポート振替表!$K$5:$K$3507,$L668)&amp;" "&amp;INDEX(ポート振替表!$L$5:$L$3507,$L668)&amp;"  ⇔  "&amp;INDEX(ポート振替表!$H$5:$H$3507,$L668)&amp;" "&amp;INDEX(ポート振替表!$I$5:$I$3507,$L668))</f>
        <v/>
      </c>
      <c r="G668" s="57" t="s">
        <v>158</v>
      </c>
      <c r="H668" s="32" t="str">
        <f aca="false">IF(L668="","",INDEX(ポート振替表!$N$5:$N$3507,$L668)&amp;"")</f>
        <v/>
      </c>
      <c r="I668" s="32" t="str">
        <f aca="false">IF(L668="","",INDEX(ポート振替表!$P$5:$P$3507,$L668)&amp;"")</f>
        <v/>
      </c>
      <c r="J668" s="60" t="str">
        <f aca="false">IF(L668="","",INDEX(ポート振替表!$M$5:$M$3507,$L668)&amp;"")</f>
        <v/>
      </c>
      <c r="K668" s="52" t="str">
        <f aca="false">IF(L668="","",E668&amp;CHAR(10)&amp;INDEX(ポート振替表!$K$5:$K$3507,$L668)&amp;" "&amp;INDEX(ポート振替表!$L$5:$L$3507,$L668)&amp;CHAR(10)&amp;"⇔ "&amp;INDEX(ポート振替表!$H$5:$H$3507,$L668)&amp;" "&amp;INDEX(ポート振替表!$I$5:$I$3507,$L668))</f>
        <v/>
      </c>
      <c r="L668" s="47" t="str">
        <f aca="false">IFERROR(MATCH(ROW()-4,ポート振替表!$V$5:$V$3507,0),"")</f>
        <v/>
      </c>
    </row>
    <row r="669" customFormat="false" ht="16.4" hidden="false" customHeight="false" outlineLevel="0" collapsed="false">
      <c r="A669" s="32" t="str">
        <f aca="false">IF(L669="","",ROW()-4)</f>
        <v/>
      </c>
      <c r="B669" s="58" t="str">
        <f aca="false">IF(L669="","",IF(INDEX(ポート振替表!$W$5:$W$3507,$L669)="","(なし)",INDEX(ポート振替表!$W$5:$W$3507,$L669)&amp;""))</f>
        <v/>
      </c>
      <c r="C669" s="52" t="str">
        <f aca="false">IF(L669="","",INDEX(ポート振替表!$B$5:$B$3507,$L669)&amp;" "&amp;INDEX(ポート振替表!$C$5:$C$3507,$L669)&amp;"  ⇔  "&amp;INDEX(ポート振替表!$H$5:$H$3507,$L669)&amp;" "&amp;INDEX(ポート振替表!$I$5:$I$3507,$L669))</f>
        <v/>
      </c>
      <c r="D669" s="57" t="s">
        <v>158</v>
      </c>
      <c r="E669" s="59" t="str">
        <f aca="false">IF(L669="","",IF(INDEX(ポート振替表!$O$5:$O$3507,$L669)="","(未設定)",INDEX(ポート振替表!$O$5:$O$3507,$L669)&amp;""))</f>
        <v/>
      </c>
      <c r="F669" s="52" t="str">
        <f aca="false">IF(L669="","",INDEX(ポート振替表!$K$5:$K$3507,$L669)&amp;" "&amp;INDEX(ポート振替表!$L$5:$L$3507,$L669)&amp;"  ⇔  "&amp;INDEX(ポート振替表!$H$5:$H$3507,$L669)&amp;" "&amp;INDEX(ポート振替表!$I$5:$I$3507,$L669))</f>
        <v/>
      </c>
      <c r="G669" s="57" t="s">
        <v>158</v>
      </c>
      <c r="H669" s="32" t="str">
        <f aca="false">IF(L669="","",INDEX(ポート振替表!$N$5:$N$3507,$L669)&amp;"")</f>
        <v/>
      </c>
      <c r="I669" s="32" t="str">
        <f aca="false">IF(L669="","",INDEX(ポート振替表!$P$5:$P$3507,$L669)&amp;"")</f>
        <v/>
      </c>
      <c r="J669" s="60" t="str">
        <f aca="false">IF(L669="","",INDEX(ポート振替表!$M$5:$M$3507,$L669)&amp;"")</f>
        <v/>
      </c>
      <c r="K669" s="52" t="str">
        <f aca="false">IF(L669="","",E669&amp;CHAR(10)&amp;INDEX(ポート振替表!$K$5:$K$3507,$L669)&amp;" "&amp;INDEX(ポート振替表!$L$5:$L$3507,$L669)&amp;CHAR(10)&amp;"⇔ "&amp;INDEX(ポート振替表!$H$5:$H$3507,$L669)&amp;" "&amp;INDEX(ポート振替表!$I$5:$I$3507,$L669))</f>
        <v/>
      </c>
      <c r="L669" s="47" t="str">
        <f aca="false">IFERROR(MATCH(ROW()-4,ポート振替表!$V$5:$V$3507,0),"")</f>
        <v/>
      </c>
    </row>
    <row r="670" customFormat="false" ht="16.4" hidden="false" customHeight="false" outlineLevel="0" collapsed="false">
      <c r="A670" s="32" t="str">
        <f aca="false">IF(L670="","",ROW()-4)</f>
        <v/>
      </c>
      <c r="B670" s="58" t="str">
        <f aca="false">IF(L670="","",IF(INDEX(ポート振替表!$W$5:$W$3507,$L670)="","(なし)",INDEX(ポート振替表!$W$5:$W$3507,$L670)&amp;""))</f>
        <v/>
      </c>
      <c r="C670" s="52" t="str">
        <f aca="false">IF(L670="","",INDEX(ポート振替表!$B$5:$B$3507,$L670)&amp;" "&amp;INDEX(ポート振替表!$C$5:$C$3507,$L670)&amp;"  ⇔  "&amp;INDEX(ポート振替表!$H$5:$H$3507,$L670)&amp;" "&amp;INDEX(ポート振替表!$I$5:$I$3507,$L670))</f>
        <v/>
      </c>
      <c r="D670" s="57" t="s">
        <v>158</v>
      </c>
      <c r="E670" s="59" t="str">
        <f aca="false">IF(L670="","",IF(INDEX(ポート振替表!$O$5:$O$3507,$L670)="","(未設定)",INDEX(ポート振替表!$O$5:$O$3507,$L670)&amp;""))</f>
        <v/>
      </c>
      <c r="F670" s="52" t="str">
        <f aca="false">IF(L670="","",INDEX(ポート振替表!$K$5:$K$3507,$L670)&amp;" "&amp;INDEX(ポート振替表!$L$5:$L$3507,$L670)&amp;"  ⇔  "&amp;INDEX(ポート振替表!$H$5:$H$3507,$L670)&amp;" "&amp;INDEX(ポート振替表!$I$5:$I$3507,$L670))</f>
        <v/>
      </c>
      <c r="G670" s="57" t="s">
        <v>158</v>
      </c>
      <c r="H670" s="32" t="str">
        <f aca="false">IF(L670="","",INDEX(ポート振替表!$N$5:$N$3507,$L670)&amp;"")</f>
        <v/>
      </c>
      <c r="I670" s="32" t="str">
        <f aca="false">IF(L670="","",INDEX(ポート振替表!$P$5:$P$3507,$L670)&amp;"")</f>
        <v/>
      </c>
      <c r="J670" s="60" t="str">
        <f aca="false">IF(L670="","",INDEX(ポート振替表!$M$5:$M$3507,$L670)&amp;"")</f>
        <v/>
      </c>
      <c r="K670" s="52" t="str">
        <f aca="false">IF(L670="","",E670&amp;CHAR(10)&amp;INDEX(ポート振替表!$K$5:$K$3507,$L670)&amp;" "&amp;INDEX(ポート振替表!$L$5:$L$3507,$L670)&amp;CHAR(10)&amp;"⇔ "&amp;INDEX(ポート振替表!$H$5:$H$3507,$L670)&amp;" "&amp;INDEX(ポート振替表!$I$5:$I$3507,$L670))</f>
        <v/>
      </c>
      <c r="L670" s="47" t="str">
        <f aca="false">IFERROR(MATCH(ROW()-4,ポート振替表!$V$5:$V$3507,0),"")</f>
        <v/>
      </c>
    </row>
    <row r="671" customFormat="false" ht="16.4" hidden="false" customHeight="false" outlineLevel="0" collapsed="false">
      <c r="A671" s="32" t="str">
        <f aca="false">IF(L671="","",ROW()-4)</f>
        <v/>
      </c>
      <c r="B671" s="58" t="str">
        <f aca="false">IF(L671="","",IF(INDEX(ポート振替表!$W$5:$W$3507,$L671)="","(なし)",INDEX(ポート振替表!$W$5:$W$3507,$L671)&amp;""))</f>
        <v/>
      </c>
      <c r="C671" s="52" t="str">
        <f aca="false">IF(L671="","",INDEX(ポート振替表!$B$5:$B$3507,$L671)&amp;" "&amp;INDEX(ポート振替表!$C$5:$C$3507,$L671)&amp;"  ⇔  "&amp;INDEX(ポート振替表!$H$5:$H$3507,$L671)&amp;" "&amp;INDEX(ポート振替表!$I$5:$I$3507,$L671))</f>
        <v/>
      </c>
      <c r="D671" s="57" t="s">
        <v>158</v>
      </c>
      <c r="E671" s="59" t="str">
        <f aca="false">IF(L671="","",IF(INDEX(ポート振替表!$O$5:$O$3507,$L671)="","(未設定)",INDEX(ポート振替表!$O$5:$O$3507,$L671)&amp;""))</f>
        <v/>
      </c>
      <c r="F671" s="52" t="str">
        <f aca="false">IF(L671="","",INDEX(ポート振替表!$K$5:$K$3507,$L671)&amp;" "&amp;INDEX(ポート振替表!$L$5:$L$3507,$L671)&amp;"  ⇔  "&amp;INDEX(ポート振替表!$H$5:$H$3507,$L671)&amp;" "&amp;INDEX(ポート振替表!$I$5:$I$3507,$L671))</f>
        <v/>
      </c>
      <c r="G671" s="57" t="s">
        <v>158</v>
      </c>
      <c r="H671" s="32" t="str">
        <f aca="false">IF(L671="","",INDEX(ポート振替表!$N$5:$N$3507,$L671)&amp;"")</f>
        <v/>
      </c>
      <c r="I671" s="32" t="str">
        <f aca="false">IF(L671="","",INDEX(ポート振替表!$P$5:$P$3507,$L671)&amp;"")</f>
        <v/>
      </c>
      <c r="J671" s="60" t="str">
        <f aca="false">IF(L671="","",INDEX(ポート振替表!$M$5:$M$3507,$L671)&amp;"")</f>
        <v/>
      </c>
      <c r="K671" s="52" t="str">
        <f aca="false">IF(L671="","",E671&amp;CHAR(10)&amp;INDEX(ポート振替表!$K$5:$K$3507,$L671)&amp;" "&amp;INDEX(ポート振替表!$L$5:$L$3507,$L671)&amp;CHAR(10)&amp;"⇔ "&amp;INDEX(ポート振替表!$H$5:$H$3507,$L671)&amp;" "&amp;INDEX(ポート振替表!$I$5:$I$3507,$L671))</f>
        <v/>
      </c>
      <c r="L671" s="47" t="str">
        <f aca="false">IFERROR(MATCH(ROW()-4,ポート振替表!$V$5:$V$3507,0),"")</f>
        <v/>
      </c>
    </row>
    <row r="672" customFormat="false" ht="16.4" hidden="false" customHeight="false" outlineLevel="0" collapsed="false">
      <c r="A672" s="32" t="str">
        <f aca="false">IF(L672="","",ROW()-4)</f>
        <v/>
      </c>
      <c r="B672" s="58" t="str">
        <f aca="false">IF(L672="","",IF(INDEX(ポート振替表!$W$5:$W$3507,$L672)="","(なし)",INDEX(ポート振替表!$W$5:$W$3507,$L672)&amp;""))</f>
        <v/>
      </c>
      <c r="C672" s="52" t="str">
        <f aca="false">IF(L672="","",INDEX(ポート振替表!$B$5:$B$3507,$L672)&amp;" "&amp;INDEX(ポート振替表!$C$5:$C$3507,$L672)&amp;"  ⇔  "&amp;INDEX(ポート振替表!$H$5:$H$3507,$L672)&amp;" "&amp;INDEX(ポート振替表!$I$5:$I$3507,$L672))</f>
        <v/>
      </c>
      <c r="D672" s="57" t="s">
        <v>158</v>
      </c>
      <c r="E672" s="59" t="str">
        <f aca="false">IF(L672="","",IF(INDEX(ポート振替表!$O$5:$O$3507,$L672)="","(未設定)",INDEX(ポート振替表!$O$5:$O$3507,$L672)&amp;""))</f>
        <v/>
      </c>
      <c r="F672" s="52" t="str">
        <f aca="false">IF(L672="","",INDEX(ポート振替表!$K$5:$K$3507,$L672)&amp;" "&amp;INDEX(ポート振替表!$L$5:$L$3507,$L672)&amp;"  ⇔  "&amp;INDEX(ポート振替表!$H$5:$H$3507,$L672)&amp;" "&amp;INDEX(ポート振替表!$I$5:$I$3507,$L672))</f>
        <v/>
      </c>
      <c r="G672" s="57" t="s">
        <v>158</v>
      </c>
      <c r="H672" s="32" t="str">
        <f aca="false">IF(L672="","",INDEX(ポート振替表!$N$5:$N$3507,$L672)&amp;"")</f>
        <v/>
      </c>
      <c r="I672" s="32" t="str">
        <f aca="false">IF(L672="","",INDEX(ポート振替表!$P$5:$P$3507,$L672)&amp;"")</f>
        <v/>
      </c>
      <c r="J672" s="60" t="str">
        <f aca="false">IF(L672="","",INDEX(ポート振替表!$M$5:$M$3507,$L672)&amp;"")</f>
        <v/>
      </c>
      <c r="K672" s="52" t="str">
        <f aca="false">IF(L672="","",E672&amp;CHAR(10)&amp;INDEX(ポート振替表!$K$5:$K$3507,$L672)&amp;" "&amp;INDEX(ポート振替表!$L$5:$L$3507,$L672)&amp;CHAR(10)&amp;"⇔ "&amp;INDEX(ポート振替表!$H$5:$H$3507,$L672)&amp;" "&amp;INDEX(ポート振替表!$I$5:$I$3507,$L672))</f>
        <v/>
      </c>
      <c r="L672" s="47" t="str">
        <f aca="false">IFERROR(MATCH(ROW()-4,ポート振替表!$V$5:$V$3507,0),"")</f>
        <v/>
      </c>
    </row>
    <row r="673" customFormat="false" ht="16.4" hidden="false" customHeight="false" outlineLevel="0" collapsed="false">
      <c r="A673" s="32" t="str">
        <f aca="false">IF(L673="","",ROW()-4)</f>
        <v/>
      </c>
      <c r="B673" s="58" t="str">
        <f aca="false">IF(L673="","",IF(INDEX(ポート振替表!$W$5:$W$3507,$L673)="","(なし)",INDEX(ポート振替表!$W$5:$W$3507,$L673)&amp;""))</f>
        <v/>
      </c>
      <c r="C673" s="52" t="str">
        <f aca="false">IF(L673="","",INDEX(ポート振替表!$B$5:$B$3507,$L673)&amp;" "&amp;INDEX(ポート振替表!$C$5:$C$3507,$L673)&amp;"  ⇔  "&amp;INDEX(ポート振替表!$H$5:$H$3507,$L673)&amp;" "&amp;INDEX(ポート振替表!$I$5:$I$3507,$L673))</f>
        <v/>
      </c>
      <c r="D673" s="57" t="s">
        <v>158</v>
      </c>
      <c r="E673" s="59" t="str">
        <f aca="false">IF(L673="","",IF(INDEX(ポート振替表!$O$5:$O$3507,$L673)="","(未設定)",INDEX(ポート振替表!$O$5:$O$3507,$L673)&amp;""))</f>
        <v/>
      </c>
      <c r="F673" s="52" t="str">
        <f aca="false">IF(L673="","",INDEX(ポート振替表!$K$5:$K$3507,$L673)&amp;" "&amp;INDEX(ポート振替表!$L$5:$L$3507,$L673)&amp;"  ⇔  "&amp;INDEX(ポート振替表!$H$5:$H$3507,$L673)&amp;" "&amp;INDEX(ポート振替表!$I$5:$I$3507,$L673))</f>
        <v/>
      </c>
      <c r="G673" s="57" t="s">
        <v>158</v>
      </c>
      <c r="H673" s="32" t="str">
        <f aca="false">IF(L673="","",INDEX(ポート振替表!$N$5:$N$3507,$L673)&amp;"")</f>
        <v/>
      </c>
      <c r="I673" s="32" t="str">
        <f aca="false">IF(L673="","",INDEX(ポート振替表!$P$5:$P$3507,$L673)&amp;"")</f>
        <v/>
      </c>
      <c r="J673" s="60" t="str">
        <f aca="false">IF(L673="","",INDEX(ポート振替表!$M$5:$M$3507,$L673)&amp;"")</f>
        <v/>
      </c>
      <c r="K673" s="52" t="str">
        <f aca="false">IF(L673="","",E673&amp;CHAR(10)&amp;INDEX(ポート振替表!$K$5:$K$3507,$L673)&amp;" "&amp;INDEX(ポート振替表!$L$5:$L$3507,$L673)&amp;CHAR(10)&amp;"⇔ "&amp;INDEX(ポート振替表!$H$5:$H$3507,$L673)&amp;" "&amp;INDEX(ポート振替表!$I$5:$I$3507,$L673))</f>
        <v/>
      </c>
      <c r="L673" s="47" t="str">
        <f aca="false">IFERROR(MATCH(ROW()-4,ポート振替表!$V$5:$V$3507,0),"")</f>
        <v/>
      </c>
    </row>
    <row r="674" customFormat="false" ht="16.4" hidden="false" customHeight="false" outlineLevel="0" collapsed="false">
      <c r="A674" s="32" t="str">
        <f aca="false">IF(L674="","",ROW()-4)</f>
        <v/>
      </c>
      <c r="B674" s="58" t="str">
        <f aca="false">IF(L674="","",IF(INDEX(ポート振替表!$W$5:$W$3507,$L674)="","(なし)",INDEX(ポート振替表!$W$5:$W$3507,$L674)&amp;""))</f>
        <v/>
      </c>
      <c r="C674" s="52" t="str">
        <f aca="false">IF(L674="","",INDEX(ポート振替表!$B$5:$B$3507,$L674)&amp;" "&amp;INDEX(ポート振替表!$C$5:$C$3507,$L674)&amp;"  ⇔  "&amp;INDEX(ポート振替表!$H$5:$H$3507,$L674)&amp;" "&amp;INDEX(ポート振替表!$I$5:$I$3507,$L674))</f>
        <v/>
      </c>
      <c r="D674" s="57" t="s">
        <v>158</v>
      </c>
      <c r="E674" s="59" t="str">
        <f aca="false">IF(L674="","",IF(INDEX(ポート振替表!$O$5:$O$3507,$L674)="","(未設定)",INDEX(ポート振替表!$O$5:$O$3507,$L674)&amp;""))</f>
        <v/>
      </c>
      <c r="F674" s="52" t="str">
        <f aca="false">IF(L674="","",INDEX(ポート振替表!$K$5:$K$3507,$L674)&amp;" "&amp;INDEX(ポート振替表!$L$5:$L$3507,$L674)&amp;"  ⇔  "&amp;INDEX(ポート振替表!$H$5:$H$3507,$L674)&amp;" "&amp;INDEX(ポート振替表!$I$5:$I$3507,$L674))</f>
        <v/>
      </c>
      <c r="G674" s="57" t="s">
        <v>158</v>
      </c>
      <c r="H674" s="32" t="str">
        <f aca="false">IF(L674="","",INDEX(ポート振替表!$N$5:$N$3507,$L674)&amp;"")</f>
        <v/>
      </c>
      <c r="I674" s="32" t="str">
        <f aca="false">IF(L674="","",INDEX(ポート振替表!$P$5:$P$3507,$L674)&amp;"")</f>
        <v/>
      </c>
      <c r="J674" s="60" t="str">
        <f aca="false">IF(L674="","",INDEX(ポート振替表!$M$5:$M$3507,$L674)&amp;"")</f>
        <v/>
      </c>
      <c r="K674" s="52" t="str">
        <f aca="false">IF(L674="","",E674&amp;CHAR(10)&amp;INDEX(ポート振替表!$K$5:$K$3507,$L674)&amp;" "&amp;INDEX(ポート振替表!$L$5:$L$3507,$L674)&amp;CHAR(10)&amp;"⇔ "&amp;INDEX(ポート振替表!$H$5:$H$3507,$L674)&amp;" "&amp;INDEX(ポート振替表!$I$5:$I$3507,$L674))</f>
        <v/>
      </c>
      <c r="L674" s="47" t="str">
        <f aca="false">IFERROR(MATCH(ROW()-4,ポート振替表!$V$5:$V$3507,0),"")</f>
        <v/>
      </c>
    </row>
    <row r="675" customFormat="false" ht="16.4" hidden="false" customHeight="false" outlineLevel="0" collapsed="false">
      <c r="A675" s="32" t="str">
        <f aca="false">IF(L675="","",ROW()-4)</f>
        <v/>
      </c>
      <c r="B675" s="58" t="str">
        <f aca="false">IF(L675="","",IF(INDEX(ポート振替表!$W$5:$W$3507,$L675)="","(なし)",INDEX(ポート振替表!$W$5:$W$3507,$L675)&amp;""))</f>
        <v/>
      </c>
      <c r="C675" s="52" t="str">
        <f aca="false">IF(L675="","",INDEX(ポート振替表!$B$5:$B$3507,$L675)&amp;" "&amp;INDEX(ポート振替表!$C$5:$C$3507,$L675)&amp;"  ⇔  "&amp;INDEX(ポート振替表!$H$5:$H$3507,$L675)&amp;" "&amp;INDEX(ポート振替表!$I$5:$I$3507,$L675))</f>
        <v/>
      </c>
      <c r="D675" s="57" t="s">
        <v>158</v>
      </c>
      <c r="E675" s="59" t="str">
        <f aca="false">IF(L675="","",IF(INDEX(ポート振替表!$O$5:$O$3507,$L675)="","(未設定)",INDEX(ポート振替表!$O$5:$O$3507,$L675)&amp;""))</f>
        <v/>
      </c>
      <c r="F675" s="52" t="str">
        <f aca="false">IF(L675="","",INDEX(ポート振替表!$K$5:$K$3507,$L675)&amp;" "&amp;INDEX(ポート振替表!$L$5:$L$3507,$L675)&amp;"  ⇔  "&amp;INDEX(ポート振替表!$H$5:$H$3507,$L675)&amp;" "&amp;INDEX(ポート振替表!$I$5:$I$3507,$L675))</f>
        <v/>
      </c>
      <c r="G675" s="57" t="s">
        <v>158</v>
      </c>
      <c r="H675" s="32" t="str">
        <f aca="false">IF(L675="","",INDEX(ポート振替表!$N$5:$N$3507,$L675)&amp;"")</f>
        <v/>
      </c>
      <c r="I675" s="32" t="str">
        <f aca="false">IF(L675="","",INDEX(ポート振替表!$P$5:$P$3507,$L675)&amp;"")</f>
        <v/>
      </c>
      <c r="J675" s="60" t="str">
        <f aca="false">IF(L675="","",INDEX(ポート振替表!$M$5:$M$3507,$L675)&amp;"")</f>
        <v/>
      </c>
      <c r="K675" s="52" t="str">
        <f aca="false">IF(L675="","",E675&amp;CHAR(10)&amp;INDEX(ポート振替表!$K$5:$K$3507,$L675)&amp;" "&amp;INDEX(ポート振替表!$L$5:$L$3507,$L675)&amp;CHAR(10)&amp;"⇔ "&amp;INDEX(ポート振替表!$H$5:$H$3507,$L675)&amp;" "&amp;INDEX(ポート振替表!$I$5:$I$3507,$L675))</f>
        <v/>
      </c>
      <c r="L675" s="47" t="str">
        <f aca="false">IFERROR(MATCH(ROW()-4,ポート振替表!$V$5:$V$3507,0),"")</f>
        <v/>
      </c>
    </row>
    <row r="676" customFormat="false" ht="16.4" hidden="false" customHeight="false" outlineLevel="0" collapsed="false">
      <c r="A676" s="32" t="str">
        <f aca="false">IF(L676="","",ROW()-4)</f>
        <v/>
      </c>
      <c r="B676" s="58" t="str">
        <f aca="false">IF(L676="","",IF(INDEX(ポート振替表!$W$5:$W$3507,$L676)="","(なし)",INDEX(ポート振替表!$W$5:$W$3507,$L676)&amp;""))</f>
        <v/>
      </c>
      <c r="C676" s="52" t="str">
        <f aca="false">IF(L676="","",INDEX(ポート振替表!$B$5:$B$3507,$L676)&amp;" "&amp;INDEX(ポート振替表!$C$5:$C$3507,$L676)&amp;"  ⇔  "&amp;INDEX(ポート振替表!$H$5:$H$3507,$L676)&amp;" "&amp;INDEX(ポート振替表!$I$5:$I$3507,$L676))</f>
        <v/>
      </c>
      <c r="D676" s="57" t="s">
        <v>158</v>
      </c>
      <c r="E676" s="59" t="str">
        <f aca="false">IF(L676="","",IF(INDEX(ポート振替表!$O$5:$O$3507,$L676)="","(未設定)",INDEX(ポート振替表!$O$5:$O$3507,$L676)&amp;""))</f>
        <v/>
      </c>
      <c r="F676" s="52" t="str">
        <f aca="false">IF(L676="","",INDEX(ポート振替表!$K$5:$K$3507,$L676)&amp;" "&amp;INDEX(ポート振替表!$L$5:$L$3507,$L676)&amp;"  ⇔  "&amp;INDEX(ポート振替表!$H$5:$H$3507,$L676)&amp;" "&amp;INDEX(ポート振替表!$I$5:$I$3507,$L676))</f>
        <v/>
      </c>
      <c r="G676" s="57" t="s">
        <v>158</v>
      </c>
      <c r="H676" s="32" t="str">
        <f aca="false">IF(L676="","",INDEX(ポート振替表!$N$5:$N$3507,$L676)&amp;"")</f>
        <v/>
      </c>
      <c r="I676" s="32" t="str">
        <f aca="false">IF(L676="","",INDEX(ポート振替表!$P$5:$P$3507,$L676)&amp;"")</f>
        <v/>
      </c>
      <c r="J676" s="60" t="str">
        <f aca="false">IF(L676="","",INDEX(ポート振替表!$M$5:$M$3507,$L676)&amp;"")</f>
        <v/>
      </c>
      <c r="K676" s="52" t="str">
        <f aca="false">IF(L676="","",E676&amp;CHAR(10)&amp;INDEX(ポート振替表!$K$5:$K$3507,$L676)&amp;" "&amp;INDEX(ポート振替表!$L$5:$L$3507,$L676)&amp;CHAR(10)&amp;"⇔ "&amp;INDEX(ポート振替表!$H$5:$H$3507,$L676)&amp;" "&amp;INDEX(ポート振替表!$I$5:$I$3507,$L676))</f>
        <v/>
      </c>
      <c r="L676" s="47" t="str">
        <f aca="false">IFERROR(MATCH(ROW()-4,ポート振替表!$V$5:$V$3507,0),"")</f>
        <v/>
      </c>
    </row>
    <row r="677" customFormat="false" ht="16.4" hidden="false" customHeight="false" outlineLevel="0" collapsed="false">
      <c r="A677" s="32" t="str">
        <f aca="false">IF(L677="","",ROW()-4)</f>
        <v/>
      </c>
      <c r="B677" s="58" t="str">
        <f aca="false">IF(L677="","",IF(INDEX(ポート振替表!$W$5:$W$3507,$L677)="","(なし)",INDEX(ポート振替表!$W$5:$W$3507,$L677)&amp;""))</f>
        <v/>
      </c>
      <c r="C677" s="52" t="str">
        <f aca="false">IF(L677="","",INDEX(ポート振替表!$B$5:$B$3507,$L677)&amp;" "&amp;INDEX(ポート振替表!$C$5:$C$3507,$L677)&amp;"  ⇔  "&amp;INDEX(ポート振替表!$H$5:$H$3507,$L677)&amp;" "&amp;INDEX(ポート振替表!$I$5:$I$3507,$L677))</f>
        <v/>
      </c>
      <c r="D677" s="57" t="s">
        <v>158</v>
      </c>
      <c r="E677" s="59" t="str">
        <f aca="false">IF(L677="","",IF(INDEX(ポート振替表!$O$5:$O$3507,$L677)="","(未設定)",INDEX(ポート振替表!$O$5:$O$3507,$L677)&amp;""))</f>
        <v/>
      </c>
      <c r="F677" s="52" t="str">
        <f aca="false">IF(L677="","",INDEX(ポート振替表!$K$5:$K$3507,$L677)&amp;" "&amp;INDEX(ポート振替表!$L$5:$L$3507,$L677)&amp;"  ⇔  "&amp;INDEX(ポート振替表!$H$5:$H$3507,$L677)&amp;" "&amp;INDEX(ポート振替表!$I$5:$I$3507,$L677))</f>
        <v/>
      </c>
      <c r="G677" s="57" t="s">
        <v>158</v>
      </c>
      <c r="H677" s="32" t="str">
        <f aca="false">IF(L677="","",INDEX(ポート振替表!$N$5:$N$3507,$L677)&amp;"")</f>
        <v/>
      </c>
      <c r="I677" s="32" t="str">
        <f aca="false">IF(L677="","",INDEX(ポート振替表!$P$5:$P$3507,$L677)&amp;"")</f>
        <v/>
      </c>
      <c r="J677" s="60" t="str">
        <f aca="false">IF(L677="","",INDEX(ポート振替表!$M$5:$M$3507,$L677)&amp;"")</f>
        <v/>
      </c>
      <c r="K677" s="52" t="str">
        <f aca="false">IF(L677="","",E677&amp;CHAR(10)&amp;INDEX(ポート振替表!$K$5:$K$3507,$L677)&amp;" "&amp;INDEX(ポート振替表!$L$5:$L$3507,$L677)&amp;CHAR(10)&amp;"⇔ "&amp;INDEX(ポート振替表!$H$5:$H$3507,$L677)&amp;" "&amp;INDEX(ポート振替表!$I$5:$I$3507,$L677))</f>
        <v/>
      </c>
      <c r="L677" s="47" t="str">
        <f aca="false">IFERROR(MATCH(ROW()-4,ポート振替表!$V$5:$V$3507,0),"")</f>
        <v/>
      </c>
    </row>
    <row r="678" customFormat="false" ht="16.4" hidden="false" customHeight="false" outlineLevel="0" collapsed="false">
      <c r="A678" s="32" t="str">
        <f aca="false">IF(L678="","",ROW()-4)</f>
        <v/>
      </c>
      <c r="B678" s="58" t="str">
        <f aca="false">IF(L678="","",IF(INDEX(ポート振替表!$W$5:$W$3507,$L678)="","(なし)",INDEX(ポート振替表!$W$5:$W$3507,$L678)&amp;""))</f>
        <v/>
      </c>
      <c r="C678" s="52" t="str">
        <f aca="false">IF(L678="","",INDEX(ポート振替表!$B$5:$B$3507,$L678)&amp;" "&amp;INDEX(ポート振替表!$C$5:$C$3507,$L678)&amp;"  ⇔  "&amp;INDEX(ポート振替表!$H$5:$H$3507,$L678)&amp;" "&amp;INDEX(ポート振替表!$I$5:$I$3507,$L678))</f>
        <v/>
      </c>
      <c r="D678" s="57" t="s">
        <v>158</v>
      </c>
      <c r="E678" s="59" t="str">
        <f aca="false">IF(L678="","",IF(INDEX(ポート振替表!$O$5:$O$3507,$L678)="","(未設定)",INDEX(ポート振替表!$O$5:$O$3507,$L678)&amp;""))</f>
        <v/>
      </c>
      <c r="F678" s="52" t="str">
        <f aca="false">IF(L678="","",INDEX(ポート振替表!$K$5:$K$3507,$L678)&amp;" "&amp;INDEX(ポート振替表!$L$5:$L$3507,$L678)&amp;"  ⇔  "&amp;INDEX(ポート振替表!$H$5:$H$3507,$L678)&amp;" "&amp;INDEX(ポート振替表!$I$5:$I$3507,$L678))</f>
        <v/>
      </c>
      <c r="G678" s="57" t="s">
        <v>158</v>
      </c>
      <c r="H678" s="32" t="str">
        <f aca="false">IF(L678="","",INDEX(ポート振替表!$N$5:$N$3507,$L678)&amp;"")</f>
        <v/>
      </c>
      <c r="I678" s="32" t="str">
        <f aca="false">IF(L678="","",INDEX(ポート振替表!$P$5:$P$3507,$L678)&amp;"")</f>
        <v/>
      </c>
      <c r="J678" s="60" t="str">
        <f aca="false">IF(L678="","",INDEX(ポート振替表!$M$5:$M$3507,$L678)&amp;"")</f>
        <v/>
      </c>
      <c r="K678" s="52" t="str">
        <f aca="false">IF(L678="","",E678&amp;CHAR(10)&amp;INDEX(ポート振替表!$K$5:$K$3507,$L678)&amp;" "&amp;INDEX(ポート振替表!$L$5:$L$3507,$L678)&amp;CHAR(10)&amp;"⇔ "&amp;INDEX(ポート振替表!$H$5:$H$3507,$L678)&amp;" "&amp;INDEX(ポート振替表!$I$5:$I$3507,$L678))</f>
        <v/>
      </c>
      <c r="L678" s="47" t="str">
        <f aca="false">IFERROR(MATCH(ROW()-4,ポート振替表!$V$5:$V$3507,0),"")</f>
        <v/>
      </c>
    </row>
    <row r="679" customFormat="false" ht="16.4" hidden="false" customHeight="false" outlineLevel="0" collapsed="false">
      <c r="A679" s="32" t="str">
        <f aca="false">IF(L679="","",ROW()-4)</f>
        <v/>
      </c>
      <c r="B679" s="58" t="str">
        <f aca="false">IF(L679="","",IF(INDEX(ポート振替表!$W$5:$W$3507,$L679)="","(なし)",INDEX(ポート振替表!$W$5:$W$3507,$L679)&amp;""))</f>
        <v/>
      </c>
      <c r="C679" s="52" t="str">
        <f aca="false">IF(L679="","",INDEX(ポート振替表!$B$5:$B$3507,$L679)&amp;" "&amp;INDEX(ポート振替表!$C$5:$C$3507,$L679)&amp;"  ⇔  "&amp;INDEX(ポート振替表!$H$5:$H$3507,$L679)&amp;" "&amp;INDEX(ポート振替表!$I$5:$I$3507,$L679))</f>
        <v/>
      </c>
      <c r="D679" s="57" t="s">
        <v>158</v>
      </c>
      <c r="E679" s="59" t="str">
        <f aca="false">IF(L679="","",IF(INDEX(ポート振替表!$O$5:$O$3507,$L679)="","(未設定)",INDEX(ポート振替表!$O$5:$O$3507,$L679)&amp;""))</f>
        <v/>
      </c>
      <c r="F679" s="52" t="str">
        <f aca="false">IF(L679="","",INDEX(ポート振替表!$K$5:$K$3507,$L679)&amp;" "&amp;INDEX(ポート振替表!$L$5:$L$3507,$L679)&amp;"  ⇔  "&amp;INDEX(ポート振替表!$H$5:$H$3507,$L679)&amp;" "&amp;INDEX(ポート振替表!$I$5:$I$3507,$L679))</f>
        <v/>
      </c>
      <c r="G679" s="57" t="s">
        <v>158</v>
      </c>
      <c r="H679" s="32" t="str">
        <f aca="false">IF(L679="","",INDEX(ポート振替表!$N$5:$N$3507,$L679)&amp;"")</f>
        <v/>
      </c>
      <c r="I679" s="32" t="str">
        <f aca="false">IF(L679="","",INDEX(ポート振替表!$P$5:$P$3507,$L679)&amp;"")</f>
        <v/>
      </c>
      <c r="J679" s="60" t="str">
        <f aca="false">IF(L679="","",INDEX(ポート振替表!$M$5:$M$3507,$L679)&amp;"")</f>
        <v/>
      </c>
      <c r="K679" s="52" t="str">
        <f aca="false">IF(L679="","",E679&amp;CHAR(10)&amp;INDEX(ポート振替表!$K$5:$K$3507,$L679)&amp;" "&amp;INDEX(ポート振替表!$L$5:$L$3507,$L679)&amp;CHAR(10)&amp;"⇔ "&amp;INDEX(ポート振替表!$H$5:$H$3507,$L679)&amp;" "&amp;INDEX(ポート振替表!$I$5:$I$3507,$L679))</f>
        <v/>
      </c>
      <c r="L679" s="47" t="str">
        <f aca="false">IFERROR(MATCH(ROW()-4,ポート振替表!$V$5:$V$3507,0),"")</f>
        <v/>
      </c>
    </row>
    <row r="680" customFormat="false" ht="16.4" hidden="false" customHeight="false" outlineLevel="0" collapsed="false">
      <c r="A680" s="32" t="str">
        <f aca="false">IF(L680="","",ROW()-4)</f>
        <v/>
      </c>
      <c r="B680" s="58" t="str">
        <f aca="false">IF(L680="","",IF(INDEX(ポート振替表!$W$5:$W$3507,$L680)="","(なし)",INDEX(ポート振替表!$W$5:$W$3507,$L680)&amp;""))</f>
        <v/>
      </c>
      <c r="C680" s="52" t="str">
        <f aca="false">IF(L680="","",INDEX(ポート振替表!$B$5:$B$3507,$L680)&amp;" "&amp;INDEX(ポート振替表!$C$5:$C$3507,$L680)&amp;"  ⇔  "&amp;INDEX(ポート振替表!$H$5:$H$3507,$L680)&amp;" "&amp;INDEX(ポート振替表!$I$5:$I$3507,$L680))</f>
        <v/>
      </c>
      <c r="D680" s="57" t="s">
        <v>158</v>
      </c>
      <c r="E680" s="59" t="str">
        <f aca="false">IF(L680="","",IF(INDEX(ポート振替表!$O$5:$O$3507,$L680)="","(未設定)",INDEX(ポート振替表!$O$5:$O$3507,$L680)&amp;""))</f>
        <v/>
      </c>
      <c r="F680" s="52" t="str">
        <f aca="false">IF(L680="","",INDEX(ポート振替表!$K$5:$K$3507,$L680)&amp;" "&amp;INDEX(ポート振替表!$L$5:$L$3507,$L680)&amp;"  ⇔  "&amp;INDEX(ポート振替表!$H$5:$H$3507,$L680)&amp;" "&amp;INDEX(ポート振替表!$I$5:$I$3507,$L680))</f>
        <v/>
      </c>
      <c r="G680" s="57" t="s">
        <v>158</v>
      </c>
      <c r="H680" s="32" t="str">
        <f aca="false">IF(L680="","",INDEX(ポート振替表!$N$5:$N$3507,$L680)&amp;"")</f>
        <v/>
      </c>
      <c r="I680" s="32" t="str">
        <f aca="false">IF(L680="","",INDEX(ポート振替表!$P$5:$P$3507,$L680)&amp;"")</f>
        <v/>
      </c>
      <c r="J680" s="60" t="str">
        <f aca="false">IF(L680="","",INDEX(ポート振替表!$M$5:$M$3507,$L680)&amp;"")</f>
        <v/>
      </c>
      <c r="K680" s="52" t="str">
        <f aca="false">IF(L680="","",E680&amp;CHAR(10)&amp;INDEX(ポート振替表!$K$5:$K$3507,$L680)&amp;" "&amp;INDEX(ポート振替表!$L$5:$L$3507,$L680)&amp;CHAR(10)&amp;"⇔ "&amp;INDEX(ポート振替表!$H$5:$H$3507,$L680)&amp;" "&amp;INDEX(ポート振替表!$I$5:$I$3507,$L680))</f>
        <v/>
      </c>
      <c r="L680" s="47" t="str">
        <f aca="false">IFERROR(MATCH(ROW()-4,ポート振替表!$V$5:$V$3507,0),"")</f>
        <v/>
      </c>
    </row>
    <row r="681" customFormat="false" ht="16.4" hidden="false" customHeight="false" outlineLevel="0" collapsed="false">
      <c r="A681" s="32" t="str">
        <f aca="false">IF(L681="","",ROW()-4)</f>
        <v/>
      </c>
      <c r="B681" s="58" t="str">
        <f aca="false">IF(L681="","",IF(INDEX(ポート振替表!$W$5:$W$3507,$L681)="","(なし)",INDEX(ポート振替表!$W$5:$W$3507,$L681)&amp;""))</f>
        <v/>
      </c>
      <c r="C681" s="52" t="str">
        <f aca="false">IF(L681="","",INDEX(ポート振替表!$B$5:$B$3507,$L681)&amp;" "&amp;INDEX(ポート振替表!$C$5:$C$3507,$L681)&amp;"  ⇔  "&amp;INDEX(ポート振替表!$H$5:$H$3507,$L681)&amp;" "&amp;INDEX(ポート振替表!$I$5:$I$3507,$L681))</f>
        <v/>
      </c>
      <c r="D681" s="57" t="s">
        <v>158</v>
      </c>
      <c r="E681" s="59" t="str">
        <f aca="false">IF(L681="","",IF(INDEX(ポート振替表!$O$5:$O$3507,$L681)="","(未設定)",INDEX(ポート振替表!$O$5:$O$3507,$L681)&amp;""))</f>
        <v/>
      </c>
      <c r="F681" s="52" t="str">
        <f aca="false">IF(L681="","",INDEX(ポート振替表!$K$5:$K$3507,$L681)&amp;" "&amp;INDEX(ポート振替表!$L$5:$L$3507,$L681)&amp;"  ⇔  "&amp;INDEX(ポート振替表!$H$5:$H$3507,$L681)&amp;" "&amp;INDEX(ポート振替表!$I$5:$I$3507,$L681))</f>
        <v/>
      </c>
      <c r="G681" s="57" t="s">
        <v>158</v>
      </c>
      <c r="H681" s="32" t="str">
        <f aca="false">IF(L681="","",INDEX(ポート振替表!$N$5:$N$3507,$L681)&amp;"")</f>
        <v/>
      </c>
      <c r="I681" s="32" t="str">
        <f aca="false">IF(L681="","",INDEX(ポート振替表!$P$5:$P$3507,$L681)&amp;"")</f>
        <v/>
      </c>
      <c r="J681" s="60" t="str">
        <f aca="false">IF(L681="","",INDEX(ポート振替表!$M$5:$M$3507,$L681)&amp;"")</f>
        <v/>
      </c>
      <c r="K681" s="52" t="str">
        <f aca="false">IF(L681="","",E681&amp;CHAR(10)&amp;INDEX(ポート振替表!$K$5:$K$3507,$L681)&amp;" "&amp;INDEX(ポート振替表!$L$5:$L$3507,$L681)&amp;CHAR(10)&amp;"⇔ "&amp;INDEX(ポート振替表!$H$5:$H$3507,$L681)&amp;" "&amp;INDEX(ポート振替表!$I$5:$I$3507,$L681))</f>
        <v/>
      </c>
      <c r="L681" s="47" t="str">
        <f aca="false">IFERROR(MATCH(ROW()-4,ポート振替表!$V$5:$V$3507,0),"")</f>
        <v/>
      </c>
    </row>
    <row r="682" customFormat="false" ht="16.4" hidden="false" customHeight="false" outlineLevel="0" collapsed="false">
      <c r="A682" s="32" t="str">
        <f aca="false">IF(L682="","",ROW()-4)</f>
        <v/>
      </c>
      <c r="B682" s="58" t="str">
        <f aca="false">IF(L682="","",IF(INDEX(ポート振替表!$W$5:$W$3507,$L682)="","(なし)",INDEX(ポート振替表!$W$5:$W$3507,$L682)&amp;""))</f>
        <v/>
      </c>
      <c r="C682" s="52" t="str">
        <f aca="false">IF(L682="","",INDEX(ポート振替表!$B$5:$B$3507,$L682)&amp;" "&amp;INDEX(ポート振替表!$C$5:$C$3507,$L682)&amp;"  ⇔  "&amp;INDEX(ポート振替表!$H$5:$H$3507,$L682)&amp;" "&amp;INDEX(ポート振替表!$I$5:$I$3507,$L682))</f>
        <v/>
      </c>
      <c r="D682" s="57" t="s">
        <v>158</v>
      </c>
      <c r="E682" s="59" t="str">
        <f aca="false">IF(L682="","",IF(INDEX(ポート振替表!$O$5:$O$3507,$L682)="","(未設定)",INDEX(ポート振替表!$O$5:$O$3507,$L682)&amp;""))</f>
        <v/>
      </c>
      <c r="F682" s="52" t="str">
        <f aca="false">IF(L682="","",INDEX(ポート振替表!$K$5:$K$3507,$L682)&amp;" "&amp;INDEX(ポート振替表!$L$5:$L$3507,$L682)&amp;"  ⇔  "&amp;INDEX(ポート振替表!$H$5:$H$3507,$L682)&amp;" "&amp;INDEX(ポート振替表!$I$5:$I$3507,$L682))</f>
        <v/>
      </c>
      <c r="G682" s="57" t="s">
        <v>158</v>
      </c>
      <c r="H682" s="32" t="str">
        <f aca="false">IF(L682="","",INDEX(ポート振替表!$N$5:$N$3507,$L682)&amp;"")</f>
        <v/>
      </c>
      <c r="I682" s="32" t="str">
        <f aca="false">IF(L682="","",INDEX(ポート振替表!$P$5:$P$3507,$L682)&amp;"")</f>
        <v/>
      </c>
      <c r="J682" s="60" t="str">
        <f aca="false">IF(L682="","",INDEX(ポート振替表!$M$5:$M$3507,$L682)&amp;"")</f>
        <v/>
      </c>
      <c r="K682" s="52" t="str">
        <f aca="false">IF(L682="","",E682&amp;CHAR(10)&amp;INDEX(ポート振替表!$K$5:$K$3507,$L682)&amp;" "&amp;INDEX(ポート振替表!$L$5:$L$3507,$L682)&amp;CHAR(10)&amp;"⇔ "&amp;INDEX(ポート振替表!$H$5:$H$3507,$L682)&amp;" "&amp;INDEX(ポート振替表!$I$5:$I$3507,$L682))</f>
        <v/>
      </c>
      <c r="L682" s="47" t="str">
        <f aca="false">IFERROR(MATCH(ROW()-4,ポート振替表!$V$5:$V$3507,0),"")</f>
        <v/>
      </c>
    </row>
    <row r="683" customFormat="false" ht="16.4" hidden="false" customHeight="false" outlineLevel="0" collapsed="false">
      <c r="A683" s="32" t="str">
        <f aca="false">IF(L683="","",ROW()-4)</f>
        <v/>
      </c>
      <c r="B683" s="58" t="str">
        <f aca="false">IF(L683="","",IF(INDEX(ポート振替表!$W$5:$W$3507,$L683)="","(なし)",INDEX(ポート振替表!$W$5:$W$3507,$L683)&amp;""))</f>
        <v/>
      </c>
      <c r="C683" s="52" t="str">
        <f aca="false">IF(L683="","",INDEX(ポート振替表!$B$5:$B$3507,$L683)&amp;" "&amp;INDEX(ポート振替表!$C$5:$C$3507,$L683)&amp;"  ⇔  "&amp;INDEX(ポート振替表!$H$5:$H$3507,$L683)&amp;" "&amp;INDEX(ポート振替表!$I$5:$I$3507,$L683))</f>
        <v/>
      </c>
      <c r="D683" s="57" t="s">
        <v>158</v>
      </c>
      <c r="E683" s="59" t="str">
        <f aca="false">IF(L683="","",IF(INDEX(ポート振替表!$O$5:$O$3507,$L683)="","(未設定)",INDEX(ポート振替表!$O$5:$O$3507,$L683)&amp;""))</f>
        <v/>
      </c>
      <c r="F683" s="52" t="str">
        <f aca="false">IF(L683="","",INDEX(ポート振替表!$K$5:$K$3507,$L683)&amp;" "&amp;INDEX(ポート振替表!$L$5:$L$3507,$L683)&amp;"  ⇔  "&amp;INDEX(ポート振替表!$H$5:$H$3507,$L683)&amp;" "&amp;INDEX(ポート振替表!$I$5:$I$3507,$L683))</f>
        <v/>
      </c>
      <c r="G683" s="57" t="s">
        <v>158</v>
      </c>
      <c r="H683" s="32" t="str">
        <f aca="false">IF(L683="","",INDEX(ポート振替表!$N$5:$N$3507,$L683)&amp;"")</f>
        <v/>
      </c>
      <c r="I683" s="32" t="str">
        <f aca="false">IF(L683="","",INDEX(ポート振替表!$P$5:$P$3507,$L683)&amp;"")</f>
        <v/>
      </c>
      <c r="J683" s="60" t="str">
        <f aca="false">IF(L683="","",INDEX(ポート振替表!$M$5:$M$3507,$L683)&amp;"")</f>
        <v/>
      </c>
      <c r="K683" s="52" t="str">
        <f aca="false">IF(L683="","",E683&amp;CHAR(10)&amp;INDEX(ポート振替表!$K$5:$K$3507,$L683)&amp;" "&amp;INDEX(ポート振替表!$L$5:$L$3507,$L683)&amp;CHAR(10)&amp;"⇔ "&amp;INDEX(ポート振替表!$H$5:$H$3507,$L683)&amp;" "&amp;INDEX(ポート振替表!$I$5:$I$3507,$L683))</f>
        <v/>
      </c>
      <c r="L683" s="47" t="str">
        <f aca="false">IFERROR(MATCH(ROW()-4,ポート振替表!$V$5:$V$3507,0),"")</f>
        <v/>
      </c>
    </row>
    <row r="684" customFormat="false" ht="16.4" hidden="false" customHeight="false" outlineLevel="0" collapsed="false">
      <c r="A684" s="32" t="str">
        <f aca="false">IF(L684="","",ROW()-4)</f>
        <v/>
      </c>
      <c r="B684" s="58" t="str">
        <f aca="false">IF(L684="","",IF(INDEX(ポート振替表!$W$5:$W$3507,$L684)="","(なし)",INDEX(ポート振替表!$W$5:$W$3507,$L684)&amp;""))</f>
        <v/>
      </c>
      <c r="C684" s="52" t="str">
        <f aca="false">IF(L684="","",INDEX(ポート振替表!$B$5:$B$3507,$L684)&amp;" "&amp;INDEX(ポート振替表!$C$5:$C$3507,$L684)&amp;"  ⇔  "&amp;INDEX(ポート振替表!$H$5:$H$3507,$L684)&amp;" "&amp;INDEX(ポート振替表!$I$5:$I$3507,$L684))</f>
        <v/>
      </c>
      <c r="D684" s="57" t="s">
        <v>158</v>
      </c>
      <c r="E684" s="59" t="str">
        <f aca="false">IF(L684="","",IF(INDEX(ポート振替表!$O$5:$O$3507,$L684)="","(未設定)",INDEX(ポート振替表!$O$5:$O$3507,$L684)&amp;""))</f>
        <v/>
      </c>
      <c r="F684" s="52" t="str">
        <f aca="false">IF(L684="","",INDEX(ポート振替表!$K$5:$K$3507,$L684)&amp;" "&amp;INDEX(ポート振替表!$L$5:$L$3507,$L684)&amp;"  ⇔  "&amp;INDEX(ポート振替表!$H$5:$H$3507,$L684)&amp;" "&amp;INDEX(ポート振替表!$I$5:$I$3507,$L684))</f>
        <v/>
      </c>
      <c r="G684" s="57" t="s">
        <v>158</v>
      </c>
      <c r="H684" s="32" t="str">
        <f aca="false">IF(L684="","",INDEX(ポート振替表!$N$5:$N$3507,$L684)&amp;"")</f>
        <v/>
      </c>
      <c r="I684" s="32" t="str">
        <f aca="false">IF(L684="","",INDEX(ポート振替表!$P$5:$P$3507,$L684)&amp;"")</f>
        <v/>
      </c>
      <c r="J684" s="60" t="str">
        <f aca="false">IF(L684="","",INDEX(ポート振替表!$M$5:$M$3507,$L684)&amp;"")</f>
        <v/>
      </c>
      <c r="K684" s="52" t="str">
        <f aca="false">IF(L684="","",E684&amp;CHAR(10)&amp;INDEX(ポート振替表!$K$5:$K$3507,$L684)&amp;" "&amp;INDEX(ポート振替表!$L$5:$L$3507,$L684)&amp;CHAR(10)&amp;"⇔ "&amp;INDEX(ポート振替表!$H$5:$H$3507,$L684)&amp;" "&amp;INDEX(ポート振替表!$I$5:$I$3507,$L684))</f>
        <v/>
      </c>
      <c r="L684" s="47" t="str">
        <f aca="false">IFERROR(MATCH(ROW()-4,ポート振替表!$V$5:$V$3507,0),"")</f>
        <v/>
      </c>
    </row>
    <row r="685" customFormat="false" ht="16.4" hidden="false" customHeight="false" outlineLevel="0" collapsed="false">
      <c r="A685" s="32" t="str">
        <f aca="false">IF(L685="","",ROW()-4)</f>
        <v/>
      </c>
      <c r="B685" s="58" t="str">
        <f aca="false">IF(L685="","",IF(INDEX(ポート振替表!$W$5:$W$3507,$L685)="","(なし)",INDEX(ポート振替表!$W$5:$W$3507,$L685)&amp;""))</f>
        <v/>
      </c>
      <c r="C685" s="52" t="str">
        <f aca="false">IF(L685="","",INDEX(ポート振替表!$B$5:$B$3507,$L685)&amp;" "&amp;INDEX(ポート振替表!$C$5:$C$3507,$L685)&amp;"  ⇔  "&amp;INDEX(ポート振替表!$H$5:$H$3507,$L685)&amp;" "&amp;INDEX(ポート振替表!$I$5:$I$3507,$L685))</f>
        <v/>
      </c>
      <c r="D685" s="57" t="s">
        <v>158</v>
      </c>
      <c r="E685" s="59" t="str">
        <f aca="false">IF(L685="","",IF(INDEX(ポート振替表!$O$5:$O$3507,$L685)="","(未設定)",INDEX(ポート振替表!$O$5:$O$3507,$L685)&amp;""))</f>
        <v/>
      </c>
      <c r="F685" s="52" t="str">
        <f aca="false">IF(L685="","",INDEX(ポート振替表!$K$5:$K$3507,$L685)&amp;" "&amp;INDEX(ポート振替表!$L$5:$L$3507,$L685)&amp;"  ⇔  "&amp;INDEX(ポート振替表!$H$5:$H$3507,$L685)&amp;" "&amp;INDEX(ポート振替表!$I$5:$I$3507,$L685))</f>
        <v/>
      </c>
      <c r="G685" s="57" t="s">
        <v>158</v>
      </c>
      <c r="H685" s="32" t="str">
        <f aca="false">IF(L685="","",INDEX(ポート振替表!$N$5:$N$3507,$L685)&amp;"")</f>
        <v/>
      </c>
      <c r="I685" s="32" t="str">
        <f aca="false">IF(L685="","",INDEX(ポート振替表!$P$5:$P$3507,$L685)&amp;"")</f>
        <v/>
      </c>
      <c r="J685" s="60" t="str">
        <f aca="false">IF(L685="","",INDEX(ポート振替表!$M$5:$M$3507,$L685)&amp;"")</f>
        <v/>
      </c>
      <c r="K685" s="52" t="str">
        <f aca="false">IF(L685="","",E685&amp;CHAR(10)&amp;INDEX(ポート振替表!$K$5:$K$3507,$L685)&amp;" "&amp;INDEX(ポート振替表!$L$5:$L$3507,$L685)&amp;CHAR(10)&amp;"⇔ "&amp;INDEX(ポート振替表!$H$5:$H$3507,$L685)&amp;" "&amp;INDEX(ポート振替表!$I$5:$I$3507,$L685))</f>
        <v/>
      </c>
      <c r="L685" s="47" t="str">
        <f aca="false">IFERROR(MATCH(ROW()-4,ポート振替表!$V$5:$V$3507,0),"")</f>
        <v/>
      </c>
    </row>
    <row r="686" customFormat="false" ht="16.4" hidden="false" customHeight="false" outlineLevel="0" collapsed="false">
      <c r="A686" s="32" t="str">
        <f aca="false">IF(L686="","",ROW()-4)</f>
        <v/>
      </c>
      <c r="B686" s="58" t="str">
        <f aca="false">IF(L686="","",IF(INDEX(ポート振替表!$W$5:$W$3507,$L686)="","(なし)",INDEX(ポート振替表!$W$5:$W$3507,$L686)&amp;""))</f>
        <v/>
      </c>
      <c r="C686" s="52" t="str">
        <f aca="false">IF(L686="","",INDEX(ポート振替表!$B$5:$B$3507,$L686)&amp;" "&amp;INDEX(ポート振替表!$C$5:$C$3507,$L686)&amp;"  ⇔  "&amp;INDEX(ポート振替表!$H$5:$H$3507,$L686)&amp;" "&amp;INDEX(ポート振替表!$I$5:$I$3507,$L686))</f>
        <v/>
      </c>
      <c r="D686" s="57" t="s">
        <v>158</v>
      </c>
      <c r="E686" s="59" t="str">
        <f aca="false">IF(L686="","",IF(INDEX(ポート振替表!$O$5:$O$3507,$L686)="","(未設定)",INDEX(ポート振替表!$O$5:$O$3507,$L686)&amp;""))</f>
        <v/>
      </c>
      <c r="F686" s="52" t="str">
        <f aca="false">IF(L686="","",INDEX(ポート振替表!$K$5:$K$3507,$L686)&amp;" "&amp;INDEX(ポート振替表!$L$5:$L$3507,$L686)&amp;"  ⇔  "&amp;INDEX(ポート振替表!$H$5:$H$3507,$L686)&amp;" "&amp;INDEX(ポート振替表!$I$5:$I$3507,$L686))</f>
        <v/>
      </c>
      <c r="G686" s="57" t="s">
        <v>158</v>
      </c>
      <c r="H686" s="32" t="str">
        <f aca="false">IF(L686="","",INDEX(ポート振替表!$N$5:$N$3507,$L686)&amp;"")</f>
        <v/>
      </c>
      <c r="I686" s="32" t="str">
        <f aca="false">IF(L686="","",INDEX(ポート振替表!$P$5:$P$3507,$L686)&amp;"")</f>
        <v/>
      </c>
      <c r="J686" s="60" t="str">
        <f aca="false">IF(L686="","",INDEX(ポート振替表!$M$5:$M$3507,$L686)&amp;"")</f>
        <v/>
      </c>
      <c r="K686" s="52" t="str">
        <f aca="false">IF(L686="","",E686&amp;CHAR(10)&amp;INDEX(ポート振替表!$K$5:$K$3507,$L686)&amp;" "&amp;INDEX(ポート振替表!$L$5:$L$3507,$L686)&amp;CHAR(10)&amp;"⇔ "&amp;INDEX(ポート振替表!$H$5:$H$3507,$L686)&amp;" "&amp;INDEX(ポート振替表!$I$5:$I$3507,$L686))</f>
        <v/>
      </c>
      <c r="L686" s="47" t="str">
        <f aca="false">IFERROR(MATCH(ROW()-4,ポート振替表!$V$5:$V$3507,0),"")</f>
        <v/>
      </c>
    </row>
    <row r="687" customFormat="false" ht="16.4" hidden="false" customHeight="false" outlineLevel="0" collapsed="false">
      <c r="A687" s="32" t="str">
        <f aca="false">IF(L687="","",ROW()-4)</f>
        <v/>
      </c>
      <c r="B687" s="58" t="str">
        <f aca="false">IF(L687="","",IF(INDEX(ポート振替表!$W$5:$W$3507,$L687)="","(なし)",INDEX(ポート振替表!$W$5:$W$3507,$L687)&amp;""))</f>
        <v/>
      </c>
      <c r="C687" s="52" t="str">
        <f aca="false">IF(L687="","",INDEX(ポート振替表!$B$5:$B$3507,$L687)&amp;" "&amp;INDEX(ポート振替表!$C$5:$C$3507,$L687)&amp;"  ⇔  "&amp;INDEX(ポート振替表!$H$5:$H$3507,$L687)&amp;" "&amp;INDEX(ポート振替表!$I$5:$I$3507,$L687))</f>
        <v/>
      </c>
      <c r="D687" s="57" t="s">
        <v>158</v>
      </c>
      <c r="E687" s="59" t="str">
        <f aca="false">IF(L687="","",IF(INDEX(ポート振替表!$O$5:$O$3507,$L687)="","(未設定)",INDEX(ポート振替表!$O$5:$O$3507,$L687)&amp;""))</f>
        <v/>
      </c>
      <c r="F687" s="52" t="str">
        <f aca="false">IF(L687="","",INDEX(ポート振替表!$K$5:$K$3507,$L687)&amp;" "&amp;INDEX(ポート振替表!$L$5:$L$3507,$L687)&amp;"  ⇔  "&amp;INDEX(ポート振替表!$H$5:$H$3507,$L687)&amp;" "&amp;INDEX(ポート振替表!$I$5:$I$3507,$L687))</f>
        <v/>
      </c>
      <c r="G687" s="57" t="s">
        <v>158</v>
      </c>
      <c r="H687" s="32" t="str">
        <f aca="false">IF(L687="","",INDEX(ポート振替表!$N$5:$N$3507,$L687)&amp;"")</f>
        <v/>
      </c>
      <c r="I687" s="32" t="str">
        <f aca="false">IF(L687="","",INDEX(ポート振替表!$P$5:$P$3507,$L687)&amp;"")</f>
        <v/>
      </c>
      <c r="J687" s="60" t="str">
        <f aca="false">IF(L687="","",INDEX(ポート振替表!$M$5:$M$3507,$L687)&amp;"")</f>
        <v/>
      </c>
      <c r="K687" s="52" t="str">
        <f aca="false">IF(L687="","",E687&amp;CHAR(10)&amp;INDEX(ポート振替表!$K$5:$K$3507,$L687)&amp;" "&amp;INDEX(ポート振替表!$L$5:$L$3507,$L687)&amp;CHAR(10)&amp;"⇔ "&amp;INDEX(ポート振替表!$H$5:$H$3507,$L687)&amp;" "&amp;INDEX(ポート振替表!$I$5:$I$3507,$L687))</f>
        <v/>
      </c>
      <c r="L687" s="47" t="str">
        <f aca="false">IFERROR(MATCH(ROW()-4,ポート振替表!$V$5:$V$3507,0),"")</f>
        <v/>
      </c>
    </row>
    <row r="688" customFormat="false" ht="16.4" hidden="false" customHeight="false" outlineLevel="0" collapsed="false">
      <c r="A688" s="32" t="str">
        <f aca="false">IF(L688="","",ROW()-4)</f>
        <v/>
      </c>
      <c r="B688" s="58" t="str">
        <f aca="false">IF(L688="","",IF(INDEX(ポート振替表!$W$5:$W$3507,$L688)="","(なし)",INDEX(ポート振替表!$W$5:$W$3507,$L688)&amp;""))</f>
        <v/>
      </c>
      <c r="C688" s="52" t="str">
        <f aca="false">IF(L688="","",INDEX(ポート振替表!$B$5:$B$3507,$L688)&amp;" "&amp;INDEX(ポート振替表!$C$5:$C$3507,$L688)&amp;"  ⇔  "&amp;INDEX(ポート振替表!$H$5:$H$3507,$L688)&amp;" "&amp;INDEX(ポート振替表!$I$5:$I$3507,$L688))</f>
        <v/>
      </c>
      <c r="D688" s="57" t="s">
        <v>158</v>
      </c>
      <c r="E688" s="59" t="str">
        <f aca="false">IF(L688="","",IF(INDEX(ポート振替表!$O$5:$O$3507,$L688)="","(未設定)",INDEX(ポート振替表!$O$5:$O$3507,$L688)&amp;""))</f>
        <v/>
      </c>
      <c r="F688" s="52" t="str">
        <f aca="false">IF(L688="","",INDEX(ポート振替表!$K$5:$K$3507,$L688)&amp;" "&amp;INDEX(ポート振替表!$L$5:$L$3507,$L688)&amp;"  ⇔  "&amp;INDEX(ポート振替表!$H$5:$H$3507,$L688)&amp;" "&amp;INDEX(ポート振替表!$I$5:$I$3507,$L688))</f>
        <v/>
      </c>
      <c r="G688" s="57" t="s">
        <v>158</v>
      </c>
      <c r="H688" s="32" t="str">
        <f aca="false">IF(L688="","",INDEX(ポート振替表!$N$5:$N$3507,$L688)&amp;"")</f>
        <v/>
      </c>
      <c r="I688" s="32" t="str">
        <f aca="false">IF(L688="","",INDEX(ポート振替表!$P$5:$P$3507,$L688)&amp;"")</f>
        <v/>
      </c>
      <c r="J688" s="60" t="str">
        <f aca="false">IF(L688="","",INDEX(ポート振替表!$M$5:$M$3507,$L688)&amp;"")</f>
        <v/>
      </c>
      <c r="K688" s="52" t="str">
        <f aca="false">IF(L688="","",E688&amp;CHAR(10)&amp;INDEX(ポート振替表!$K$5:$K$3507,$L688)&amp;" "&amp;INDEX(ポート振替表!$L$5:$L$3507,$L688)&amp;CHAR(10)&amp;"⇔ "&amp;INDEX(ポート振替表!$H$5:$H$3507,$L688)&amp;" "&amp;INDEX(ポート振替表!$I$5:$I$3507,$L688))</f>
        <v/>
      </c>
      <c r="L688" s="47" t="str">
        <f aca="false">IFERROR(MATCH(ROW()-4,ポート振替表!$V$5:$V$3507,0),"")</f>
        <v/>
      </c>
    </row>
    <row r="689" customFormat="false" ht="16.4" hidden="false" customHeight="false" outlineLevel="0" collapsed="false">
      <c r="A689" s="32" t="str">
        <f aca="false">IF(L689="","",ROW()-4)</f>
        <v/>
      </c>
      <c r="B689" s="58" t="str">
        <f aca="false">IF(L689="","",IF(INDEX(ポート振替表!$W$5:$W$3507,$L689)="","(なし)",INDEX(ポート振替表!$W$5:$W$3507,$L689)&amp;""))</f>
        <v/>
      </c>
      <c r="C689" s="52" t="str">
        <f aca="false">IF(L689="","",INDEX(ポート振替表!$B$5:$B$3507,$L689)&amp;" "&amp;INDEX(ポート振替表!$C$5:$C$3507,$L689)&amp;"  ⇔  "&amp;INDEX(ポート振替表!$H$5:$H$3507,$L689)&amp;" "&amp;INDEX(ポート振替表!$I$5:$I$3507,$L689))</f>
        <v/>
      </c>
      <c r="D689" s="57" t="s">
        <v>158</v>
      </c>
      <c r="E689" s="59" t="str">
        <f aca="false">IF(L689="","",IF(INDEX(ポート振替表!$O$5:$O$3507,$L689)="","(未設定)",INDEX(ポート振替表!$O$5:$O$3507,$L689)&amp;""))</f>
        <v/>
      </c>
      <c r="F689" s="52" t="str">
        <f aca="false">IF(L689="","",INDEX(ポート振替表!$K$5:$K$3507,$L689)&amp;" "&amp;INDEX(ポート振替表!$L$5:$L$3507,$L689)&amp;"  ⇔  "&amp;INDEX(ポート振替表!$H$5:$H$3507,$L689)&amp;" "&amp;INDEX(ポート振替表!$I$5:$I$3507,$L689))</f>
        <v/>
      </c>
      <c r="G689" s="57" t="s">
        <v>158</v>
      </c>
      <c r="H689" s="32" t="str">
        <f aca="false">IF(L689="","",INDEX(ポート振替表!$N$5:$N$3507,$L689)&amp;"")</f>
        <v/>
      </c>
      <c r="I689" s="32" t="str">
        <f aca="false">IF(L689="","",INDEX(ポート振替表!$P$5:$P$3507,$L689)&amp;"")</f>
        <v/>
      </c>
      <c r="J689" s="60" t="str">
        <f aca="false">IF(L689="","",INDEX(ポート振替表!$M$5:$M$3507,$L689)&amp;"")</f>
        <v/>
      </c>
      <c r="K689" s="52" t="str">
        <f aca="false">IF(L689="","",E689&amp;CHAR(10)&amp;INDEX(ポート振替表!$K$5:$K$3507,$L689)&amp;" "&amp;INDEX(ポート振替表!$L$5:$L$3507,$L689)&amp;CHAR(10)&amp;"⇔ "&amp;INDEX(ポート振替表!$H$5:$H$3507,$L689)&amp;" "&amp;INDEX(ポート振替表!$I$5:$I$3507,$L689))</f>
        <v/>
      </c>
      <c r="L689" s="47" t="str">
        <f aca="false">IFERROR(MATCH(ROW()-4,ポート振替表!$V$5:$V$3507,0),"")</f>
        <v/>
      </c>
    </row>
    <row r="690" customFormat="false" ht="16.4" hidden="false" customHeight="false" outlineLevel="0" collapsed="false">
      <c r="A690" s="32" t="str">
        <f aca="false">IF(L690="","",ROW()-4)</f>
        <v/>
      </c>
      <c r="B690" s="58" t="str">
        <f aca="false">IF(L690="","",IF(INDEX(ポート振替表!$W$5:$W$3507,$L690)="","(なし)",INDEX(ポート振替表!$W$5:$W$3507,$L690)&amp;""))</f>
        <v/>
      </c>
      <c r="C690" s="52" t="str">
        <f aca="false">IF(L690="","",INDEX(ポート振替表!$B$5:$B$3507,$L690)&amp;" "&amp;INDEX(ポート振替表!$C$5:$C$3507,$L690)&amp;"  ⇔  "&amp;INDEX(ポート振替表!$H$5:$H$3507,$L690)&amp;" "&amp;INDEX(ポート振替表!$I$5:$I$3507,$L690))</f>
        <v/>
      </c>
      <c r="D690" s="57" t="s">
        <v>158</v>
      </c>
      <c r="E690" s="59" t="str">
        <f aca="false">IF(L690="","",IF(INDEX(ポート振替表!$O$5:$O$3507,$L690)="","(未設定)",INDEX(ポート振替表!$O$5:$O$3507,$L690)&amp;""))</f>
        <v/>
      </c>
      <c r="F690" s="52" t="str">
        <f aca="false">IF(L690="","",INDEX(ポート振替表!$K$5:$K$3507,$L690)&amp;" "&amp;INDEX(ポート振替表!$L$5:$L$3507,$L690)&amp;"  ⇔  "&amp;INDEX(ポート振替表!$H$5:$H$3507,$L690)&amp;" "&amp;INDEX(ポート振替表!$I$5:$I$3507,$L690))</f>
        <v/>
      </c>
      <c r="G690" s="57" t="s">
        <v>158</v>
      </c>
      <c r="H690" s="32" t="str">
        <f aca="false">IF(L690="","",INDEX(ポート振替表!$N$5:$N$3507,$L690)&amp;"")</f>
        <v/>
      </c>
      <c r="I690" s="32" t="str">
        <f aca="false">IF(L690="","",INDEX(ポート振替表!$P$5:$P$3507,$L690)&amp;"")</f>
        <v/>
      </c>
      <c r="J690" s="60" t="str">
        <f aca="false">IF(L690="","",INDEX(ポート振替表!$M$5:$M$3507,$L690)&amp;"")</f>
        <v/>
      </c>
      <c r="K690" s="52" t="str">
        <f aca="false">IF(L690="","",E690&amp;CHAR(10)&amp;INDEX(ポート振替表!$K$5:$K$3507,$L690)&amp;" "&amp;INDEX(ポート振替表!$L$5:$L$3507,$L690)&amp;CHAR(10)&amp;"⇔ "&amp;INDEX(ポート振替表!$H$5:$H$3507,$L690)&amp;" "&amp;INDEX(ポート振替表!$I$5:$I$3507,$L690))</f>
        <v/>
      </c>
      <c r="L690" s="47" t="str">
        <f aca="false">IFERROR(MATCH(ROW()-4,ポート振替表!$V$5:$V$3507,0),"")</f>
        <v/>
      </c>
    </row>
    <row r="691" customFormat="false" ht="16.4" hidden="false" customHeight="false" outlineLevel="0" collapsed="false">
      <c r="A691" s="32" t="str">
        <f aca="false">IF(L691="","",ROW()-4)</f>
        <v/>
      </c>
      <c r="B691" s="58" t="str">
        <f aca="false">IF(L691="","",IF(INDEX(ポート振替表!$W$5:$W$3507,$L691)="","(なし)",INDEX(ポート振替表!$W$5:$W$3507,$L691)&amp;""))</f>
        <v/>
      </c>
      <c r="C691" s="52" t="str">
        <f aca="false">IF(L691="","",INDEX(ポート振替表!$B$5:$B$3507,$L691)&amp;" "&amp;INDEX(ポート振替表!$C$5:$C$3507,$L691)&amp;"  ⇔  "&amp;INDEX(ポート振替表!$H$5:$H$3507,$L691)&amp;" "&amp;INDEX(ポート振替表!$I$5:$I$3507,$L691))</f>
        <v/>
      </c>
      <c r="D691" s="57" t="s">
        <v>158</v>
      </c>
      <c r="E691" s="59" t="str">
        <f aca="false">IF(L691="","",IF(INDEX(ポート振替表!$O$5:$O$3507,$L691)="","(未設定)",INDEX(ポート振替表!$O$5:$O$3507,$L691)&amp;""))</f>
        <v/>
      </c>
      <c r="F691" s="52" t="str">
        <f aca="false">IF(L691="","",INDEX(ポート振替表!$K$5:$K$3507,$L691)&amp;" "&amp;INDEX(ポート振替表!$L$5:$L$3507,$L691)&amp;"  ⇔  "&amp;INDEX(ポート振替表!$H$5:$H$3507,$L691)&amp;" "&amp;INDEX(ポート振替表!$I$5:$I$3507,$L691))</f>
        <v/>
      </c>
      <c r="G691" s="57" t="s">
        <v>158</v>
      </c>
      <c r="H691" s="32" t="str">
        <f aca="false">IF(L691="","",INDEX(ポート振替表!$N$5:$N$3507,$L691)&amp;"")</f>
        <v/>
      </c>
      <c r="I691" s="32" t="str">
        <f aca="false">IF(L691="","",INDEX(ポート振替表!$P$5:$P$3507,$L691)&amp;"")</f>
        <v/>
      </c>
      <c r="J691" s="60" t="str">
        <f aca="false">IF(L691="","",INDEX(ポート振替表!$M$5:$M$3507,$L691)&amp;"")</f>
        <v/>
      </c>
      <c r="K691" s="52" t="str">
        <f aca="false">IF(L691="","",E691&amp;CHAR(10)&amp;INDEX(ポート振替表!$K$5:$K$3507,$L691)&amp;" "&amp;INDEX(ポート振替表!$L$5:$L$3507,$L691)&amp;CHAR(10)&amp;"⇔ "&amp;INDEX(ポート振替表!$H$5:$H$3507,$L691)&amp;" "&amp;INDEX(ポート振替表!$I$5:$I$3507,$L691))</f>
        <v/>
      </c>
      <c r="L691" s="47" t="str">
        <f aca="false">IFERROR(MATCH(ROW()-4,ポート振替表!$V$5:$V$3507,0),"")</f>
        <v/>
      </c>
    </row>
    <row r="692" customFormat="false" ht="16.4" hidden="false" customHeight="false" outlineLevel="0" collapsed="false">
      <c r="A692" s="32" t="str">
        <f aca="false">IF(L692="","",ROW()-4)</f>
        <v/>
      </c>
      <c r="B692" s="58" t="str">
        <f aca="false">IF(L692="","",IF(INDEX(ポート振替表!$W$5:$W$3507,$L692)="","(なし)",INDEX(ポート振替表!$W$5:$W$3507,$L692)&amp;""))</f>
        <v/>
      </c>
      <c r="C692" s="52" t="str">
        <f aca="false">IF(L692="","",INDEX(ポート振替表!$B$5:$B$3507,$L692)&amp;" "&amp;INDEX(ポート振替表!$C$5:$C$3507,$L692)&amp;"  ⇔  "&amp;INDEX(ポート振替表!$H$5:$H$3507,$L692)&amp;" "&amp;INDEX(ポート振替表!$I$5:$I$3507,$L692))</f>
        <v/>
      </c>
      <c r="D692" s="57" t="s">
        <v>158</v>
      </c>
      <c r="E692" s="59" t="str">
        <f aca="false">IF(L692="","",IF(INDEX(ポート振替表!$O$5:$O$3507,$L692)="","(未設定)",INDEX(ポート振替表!$O$5:$O$3507,$L692)&amp;""))</f>
        <v/>
      </c>
      <c r="F692" s="52" t="str">
        <f aca="false">IF(L692="","",INDEX(ポート振替表!$K$5:$K$3507,$L692)&amp;" "&amp;INDEX(ポート振替表!$L$5:$L$3507,$L692)&amp;"  ⇔  "&amp;INDEX(ポート振替表!$H$5:$H$3507,$L692)&amp;" "&amp;INDEX(ポート振替表!$I$5:$I$3507,$L692))</f>
        <v/>
      </c>
      <c r="G692" s="57" t="s">
        <v>158</v>
      </c>
      <c r="H692" s="32" t="str">
        <f aca="false">IF(L692="","",INDEX(ポート振替表!$N$5:$N$3507,$L692)&amp;"")</f>
        <v/>
      </c>
      <c r="I692" s="32" t="str">
        <f aca="false">IF(L692="","",INDEX(ポート振替表!$P$5:$P$3507,$L692)&amp;"")</f>
        <v/>
      </c>
      <c r="J692" s="60" t="str">
        <f aca="false">IF(L692="","",INDEX(ポート振替表!$M$5:$M$3507,$L692)&amp;"")</f>
        <v/>
      </c>
      <c r="K692" s="52" t="str">
        <f aca="false">IF(L692="","",E692&amp;CHAR(10)&amp;INDEX(ポート振替表!$K$5:$K$3507,$L692)&amp;" "&amp;INDEX(ポート振替表!$L$5:$L$3507,$L692)&amp;CHAR(10)&amp;"⇔ "&amp;INDEX(ポート振替表!$H$5:$H$3507,$L692)&amp;" "&amp;INDEX(ポート振替表!$I$5:$I$3507,$L692))</f>
        <v/>
      </c>
      <c r="L692" s="47" t="str">
        <f aca="false">IFERROR(MATCH(ROW()-4,ポート振替表!$V$5:$V$3507,0),"")</f>
        <v/>
      </c>
    </row>
    <row r="693" customFormat="false" ht="16.4" hidden="false" customHeight="false" outlineLevel="0" collapsed="false">
      <c r="A693" s="32" t="str">
        <f aca="false">IF(L693="","",ROW()-4)</f>
        <v/>
      </c>
      <c r="B693" s="58" t="str">
        <f aca="false">IF(L693="","",IF(INDEX(ポート振替表!$W$5:$W$3507,$L693)="","(なし)",INDEX(ポート振替表!$W$5:$W$3507,$L693)&amp;""))</f>
        <v/>
      </c>
      <c r="C693" s="52" t="str">
        <f aca="false">IF(L693="","",INDEX(ポート振替表!$B$5:$B$3507,$L693)&amp;" "&amp;INDEX(ポート振替表!$C$5:$C$3507,$L693)&amp;"  ⇔  "&amp;INDEX(ポート振替表!$H$5:$H$3507,$L693)&amp;" "&amp;INDEX(ポート振替表!$I$5:$I$3507,$L693))</f>
        <v/>
      </c>
      <c r="D693" s="57" t="s">
        <v>158</v>
      </c>
      <c r="E693" s="59" t="str">
        <f aca="false">IF(L693="","",IF(INDEX(ポート振替表!$O$5:$O$3507,$L693)="","(未設定)",INDEX(ポート振替表!$O$5:$O$3507,$L693)&amp;""))</f>
        <v/>
      </c>
      <c r="F693" s="52" t="str">
        <f aca="false">IF(L693="","",INDEX(ポート振替表!$K$5:$K$3507,$L693)&amp;" "&amp;INDEX(ポート振替表!$L$5:$L$3507,$L693)&amp;"  ⇔  "&amp;INDEX(ポート振替表!$H$5:$H$3507,$L693)&amp;" "&amp;INDEX(ポート振替表!$I$5:$I$3507,$L693))</f>
        <v/>
      </c>
      <c r="G693" s="57" t="s">
        <v>158</v>
      </c>
      <c r="H693" s="32" t="str">
        <f aca="false">IF(L693="","",INDEX(ポート振替表!$N$5:$N$3507,$L693)&amp;"")</f>
        <v/>
      </c>
      <c r="I693" s="32" t="str">
        <f aca="false">IF(L693="","",INDEX(ポート振替表!$P$5:$P$3507,$L693)&amp;"")</f>
        <v/>
      </c>
      <c r="J693" s="60" t="str">
        <f aca="false">IF(L693="","",INDEX(ポート振替表!$M$5:$M$3507,$L693)&amp;"")</f>
        <v/>
      </c>
      <c r="K693" s="52" t="str">
        <f aca="false">IF(L693="","",E693&amp;CHAR(10)&amp;INDEX(ポート振替表!$K$5:$K$3507,$L693)&amp;" "&amp;INDEX(ポート振替表!$L$5:$L$3507,$L693)&amp;CHAR(10)&amp;"⇔ "&amp;INDEX(ポート振替表!$H$5:$H$3507,$L693)&amp;" "&amp;INDEX(ポート振替表!$I$5:$I$3507,$L693))</f>
        <v/>
      </c>
      <c r="L693" s="47" t="str">
        <f aca="false">IFERROR(MATCH(ROW()-4,ポート振替表!$V$5:$V$3507,0),"")</f>
        <v/>
      </c>
    </row>
    <row r="694" customFormat="false" ht="16.4" hidden="false" customHeight="false" outlineLevel="0" collapsed="false">
      <c r="A694" s="32" t="str">
        <f aca="false">IF(L694="","",ROW()-4)</f>
        <v/>
      </c>
      <c r="B694" s="58" t="str">
        <f aca="false">IF(L694="","",IF(INDEX(ポート振替表!$W$5:$W$3507,$L694)="","(なし)",INDEX(ポート振替表!$W$5:$W$3507,$L694)&amp;""))</f>
        <v/>
      </c>
      <c r="C694" s="52" t="str">
        <f aca="false">IF(L694="","",INDEX(ポート振替表!$B$5:$B$3507,$L694)&amp;" "&amp;INDEX(ポート振替表!$C$5:$C$3507,$L694)&amp;"  ⇔  "&amp;INDEX(ポート振替表!$H$5:$H$3507,$L694)&amp;" "&amp;INDEX(ポート振替表!$I$5:$I$3507,$L694))</f>
        <v/>
      </c>
      <c r="D694" s="57" t="s">
        <v>158</v>
      </c>
      <c r="E694" s="59" t="str">
        <f aca="false">IF(L694="","",IF(INDEX(ポート振替表!$O$5:$O$3507,$L694)="","(未設定)",INDEX(ポート振替表!$O$5:$O$3507,$L694)&amp;""))</f>
        <v/>
      </c>
      <c r="F694" s="52" t="str">
        <f aca="false">IF(L694="","",INDEX(ポート振替表!$K$5:$K$3507,$L694)&amp;" "&amp;INDEX(ポート振替表!$L$5:$L$3507,$L694)&amp;"  ⇔  "&amp;INDEX(ポート振替表!$H$5:$H$3507,$L694)&amp;" "&amp;INDEX(ポート振替表!$I$5:$I$3507,$L694))</f>
        <v/>
      </c>
      <c r="G694" s="57" t="s">
        <v>158</v>
      </c>
      <c r="H694" s="32" t="str">
        <f aca="false">IF(L694="","",INDEX(ポート振替表!$N$5:$N$3507,$L694)&amp;"")</f>
        <v/>
      </c>
      <c r="I694" s="32" t="str">
        <f aca="false">IF(L694="","",INDEX(ポート振替表!$P$5:$P$3507,$L694)&amp;"")</f>
        <v/>
      </c>
      <c r="J694" s="60" t="str">
        <f aca="false">IF(L694="","",INDEX(ポート振替表!$M$5:$M$3507,$L694)&amp;"")</f>
        <v/>
      </c>
      <c r="K694" s="52" t="str">
        <f aca="false">IF(L694="","",E694&amp;CHAR(10)&amp;INDEX(ポート振替表!$K$5:$K$3507,$L694)&amp;" "&amp;INDEX(ポート振替表!$L$5:$L$3507,$L694)&amp;CHAR(10)&amp;"⇔ "&amp;INDEX(ポート振替表!$H$5:$H$3507,$L694)&amp;" "&amp;INDEX(ポート振替表!$I$5:$I$3507,$L694))</f>
        <v/>
      </c>
      <c r="L694" s="47" t="str">
        <f aca="false">IFERROR(MATCH(ROW()-4,ポート振替表!$V$5:$V$3507,0),"")</f>
        <v/>
      </c>
    </row>
    <row r="695" customFormat="false" ht="16.4" hidden="false" customHeight="false" outlineLevel="0" collapsed="false">
      <c r="A695" s="32" t="str">
        <f aca="false">IF(L695="","",ROW()-4)</f>
        <v/>
      </c>
      <c r="B695" s="58" t="str">
        <f aca="false">IF(L695="","",IF(INDEX(ポート振替表!$W$5:$W$3507,$L695)="","(なし)",INDEX(ポート振替表!$W$5:$W$3507,$L695)&amp;""))</f>
        <v/>
      </c>
      <c r="C695" s="52" t="str">
        <f aca="false">IF(L695="","",INDEX(ポート振替表!$B$5:$B$3507,$L695)&amp;" "&amp;INDEX(ポート振替表!$C$5:$C$3507,$L695)&amp;"  ⇔  "&amp;INDEX(ポート振替表!$H$5:$H$3507,$L695)&amp;" "&amp;INDEX(ポート振替表!$I$5:$I$3507,$L695))</f>
        <v/>
      </c>
      <c r="D695" s="57" t="s">
        <v>158</v>
      </c>
      <c r="E695" s="59" t="str">
        <f aca="false">IF(L695="","",IF(INDEX(ポート振替表!$O$5:$O$3507,$L695)="","(未設定)",INDEX(ポート振替表!$O$5:$O$3507,$L695)&amp;""))</f>
        <v/>
      </c>
      <c r="F695" s="52" t="str">
        <f aca="false">IF(L695="","",INDEX(ポート振替表!$K$5:$K$3507,$L695)&amp;" "&amp;INDEX(ポート振替表!$L$5:$L$3507,$L695)&amp;"  ⇔  "&amp;INDEX(ポート振替表!$H$5:$H$3507,$L695)&amp;" "&amp;INDEX(ポート振替表!$I$5:$I$3507,$L695))</f>
        <v/>
      </c>
      <c r="G695" s="57" t="s">
        <v>158</v>
      </c>
      <c r="H695" s="32" t="str">
        <f aca="false">IF(L695="","",INDEX(ポート振替表!$N$5:$N$3507,$L695)&amp;"")</f>
        <v/>
      </c>
      <c r="I695" s="32" t="str">
        <f aca="false">IF(L695="","",INDEX(ポート振替表!$P$5:$P$3507,$L695)&amp;"")</f>
        <v/>
      </c>
      <c r="J695" s="60" t="str">
        <f aca="false">IF(L695="","",INDEX(ポート振替表!$M$5:$M$3507,$L695)&amp;"")</f>
        <v/>
      </c>
      <c r="K695" s="52" t="str">
        <f aca="false">IF(L695="","",E695&amp;CHAR(10)&amp;INDEX(ポート振替表!$K$5:$K$3507,$L695)&amp;" "&amp;INDEX(ポート振替表!$L$5:$L$3507,$L695)&amp;CHAR(10)&amp;"⇔ "&amp;INDEX(ポート振替表!$H$5:$H$3507,$L695)&amp;" "&amp;INDEX(ポート振替表!$I$5:$I$3507,$L695))</f>
        <v/>
      </c>
      <c r="L695" s="47" t="str">
        <f aca="false">IFERROR(MATCH(ROW()-4,ポート振替表!$V$5:$V$3507,0),"")</f>
        <v/>
      </c>
    </row>
    <row r="696" customFormat="false" ht="16.4" hidden="false" customHeight="false" outlineLevel="0" collapsed="false">
      <c r="A696" s="32" t="str">
        <f aca="false">IF(L696="","",ROW()-4)</f>
        <v/>
      </c>
      <c r="B696" s="58" t="str">
        <f aca="false">IF(L696="","",IF(INDEX(ポート振替表!$W$5:$W$3507,$L696)="","(なし)",INDEX(ポート振替表!$W$5:$W$3507,$L696)&amp;""))</f>
        <v/>
      </c>
      <c r="C696" s="52" t="str">
        <f aca="false">IF(L696="","",INDEX(ポート振替表!$B$5:$B$3507,$L696)&amp;" "&amp;INDEX(ポート振替表!$C$5:$C$3507,$L696)&amp;"  ⇔  "&amp;INDEX(ポート振替表!$H$5:$H$3507,$L696)&amp;" "&amp;INDEX(ポート振替表!$I$5:$I$3507,$L696))</f>
        <v/>
      </c>
      <c r="D696" s="57" t="s">
        <v>158</v>
      </c>
      <c r="E696" s="59" t="str">
        <f aca="false">IF(L696="","",IF(INDEX(ポート振替表!$O$5:$O$3507,$L696)="","(未設定)",INDEX(ポート振替表!$O$5:$O$3507,$L696)&amp;""))</f>
        <v/>
      </c>
      <c r="F696" s="52" t="str">
        <f aca="false">IF(L696="","",INDEX(ポート振替表!$K$5:$K$3507,$L696)&amp;" "&amp;INDEX(ポート振替表!$L$5:$L$3507,$L696)&amp;"  ⇔  "&amp;INDEX(ポート振替表!$H$5:$H$3507,$L696)&amp;" "&amp;INDEX(ポート振替表!$I$5:$I$3507,$L696))</f>
        <v/>
      </c>
      <c r="G696" s="57" t="s">
        <v>158</v>
      </c>
      <c r="H696" s="32" t="str">
        <f aca="false">IF(L696="","",INDEX(ポート振替表!$N$5:$N$3507,$L696)&amp;"")</f>
        <v/>
      </c>
      <c r="I696" s="32" t="str">
        <f aca="false">IF(L696="","",INDEX(ポート振替表!$P$5:$P$3507,$L696)&amp;"")</f>
        <v/>
      </c>
      <c r="J696" s="60" t="str">
        <f aca="false">IF(L696="","",INDEX(ポート振替表!$M$5:$M$3507,$L696)&amp;"")</f>
        <v/>
      </c>
      <c r="K696" s="52" t="str">
        <f aca="false">IF(L696="","",E696&amp;CHAR(10)&amp;INDEX(ポート振替表!$K$5:$K$3507,$L696)&amp;" "&amp;INDEX(ポート振替表!$L$5:$L$3507,$L696)&amp;CHAR(10)&amp;"⇔ "&amp;INDEX(ポート振替表!$H$5:$H$3507,$L696)&amp;" "&amp;INDEX(ポート振替表!$I$5:$I$3507,$L696))</f>
        <v/>
      </c>
      <c r="L696" s="47" t="str">
        <f aca="false">IFERROR(MATCH(ROW()-4,ポート振替表!$V$5:$V$3507,0),"")</f>
        <v/>
      </c>
    </row>
    <row r="697" customFormat="false" ht="16.4" hidden="false" customHeight="false" outlineLevel="0" collapsed="false">
      <c r="A697" s="32" t="str">
        <f aca="false">IF(L697="","",ROW()-4)</f>
        <v/>
      </c>
      <c r="B697" s="58" t="str">
        <f aca="false">IF(L697="","",IF(INDEX(ポート振替表!$W$5:$W$3507,$L697)="","(なし)",INDEX(ポート振替表!$W$5:$W$3507,$L697)&amp;""))</f>
        <v/>
      </c>
      <c r="C697" s="52" t="str">
        <f aca="false">IF(L697="","",INDEX(ポート振替表!$B$5:$B$3507,$L697)&amp;" "&amp;INDEX(ポート振替表!$C$5:$C$3507,$L697)&amp;"  ⇔  "&amp;INDEX(ポート振替表!$H$5:$H$3507,$L697)&amp;" "&amp;INDEX(ポート振替表!$I$5:$I$3507,$L697))</f>
        <v/>
      </c>
      <c r="D697" s="57" t="s">
        <v>158</v>
      </c>
      <c r="E697" s="59" t="str">
        <f aca="false">IF(L697="","",IF(INDEX(ポート振替表!$O$5:$O$3507,$L697)="","(未設定)",INDEX(ポート振替表!$O$5:$O$3507,$L697)&amp;""))</f>
        <v/>
      </c>
      <c r="F697" s="52" t="str">
        <f aca="false">IF(L697="","",INDEX(ポート振替表!$K$5:$K$3507,$L697)&amp;" "&amp;INDEX(ポート振替表!$L$5:$L$3507,$L697)&amp;"  ⇔  "&amp;INDEX(ポート振替表!$H$5:$H$3507,$L697)&amp;" "&amp;INDEX(ポート振替表!$I$5:$I$3507,$L697))</f>
        <v/>
      </c>
      <c r="G697" s="57" t="s">
        <v>158</v>
      </c>
      <c r="H697" s="32" t="str">
        <f aca="false">IF(L697="","",INDEX(ポート振替表!$N$5:$N$3507,$L697)&amp;"")</f>
        <v/>
      </c>
      <c r="I697" s="32" t="str">
        <f aca="false">IF(L697="","",INDEX(ポート振替表!$P$5:$P$3507,$L697)&amp;"")</f>
        <v/>
      </c>
      <c r="J697" s="60" t="str">
        <f aca="false">IF(L697="","",INDEX(ポート振替表!$M$5:$M$3507,$L697)&amp;"")</f>
        <v/>
      </c>
      <c r="K697" s="52" t="str">
        <f aca="false">IF(L697="","",E697&amp;CHAR(10)&amp;INDEX(ポート振替表!$K$5:$K$3507,$L697)&amp;" "&amp;INDEX(ポート振替表!$L$5:$L$3507,$L697)&amp;CHAR(10)&amp;"⇔ "&amp;INDEX(ポート振替表!$H$5:$H$3507,$L697)&amp;" "&amp;INDEX(ポート振替表!$I$5:$I$3507,$L697))</f>
        <v/>
      </c>
      <c r="L697" s="47" t="str">
        <f aca="false">IFERROR(MATCH(ROW()-4,ポート振替表!$V$5:$V$3507,0),"")</f>
        <v/>
      </c>
    </row>
    <row r="698" customFormat="false" ht="16.4" hidden="false" customHeight="false" outlineLevel="0" collapsed="false">
      <c r="A698" s="32" t="str">
        <f aca="false">IF(L698="","",ROW()-4)</f>
        <v/>
      </c>
      <c r="B698" s="58" t="str">
        <f aca="false">IF(L698="","",IF(INDEX(ポート振替表!$W$5:$W$3507,$L698)="","(なし)",INDEX(ポート振替表!$W$5:$W$3507,$L698)&amp;""))</f>
        <v/>
      </c>
      <c r="C698" s="52" t="str">
        <f aca="false">IF(L698="","",INDEX(ポート振替表!$B$5:$B$3507,$L698)&amp;" "&amp;INDEX(ポート振替表!$C$5:$C$3507,$L698)&amp;"  ⇔  "&amp;INDEX(ポート振替表!$H$5:$H$3507,$L698)&amp;" "&amp;INDEX(ポート振替表!$I$5:$I$3507,$L698))</f>
        <v/>
      </c>
      <c r="D698" s="57" t="s">
        <v>158</v>
      </c>
      <c r="E698" s="59" t="str">
        <f aca="false">IF(L698="","",IF(INDEX(ポート振替表!$O$5:$O$3507,$L698)="","(未設定)",INDEX(ポート振替表!$O$5:$O$3507,$L698)&amp;""))</f>
        <v/>
      </c>
      <c r="F698" s="52" t="str">
        <f aca="false">IF(L698="","",INDEX(ポート振替表!$K$5:$K$3507,$L698)&amp;" "&amp;INDEX(ポート振替表!$L$5:$L$3507,$L698)&amp;"  ⇔  "&amp;INDEX(ポート振替表!$H$5:$H$3507,$L698)&amp;" "&amp;INDEX(ポート振替表!$I$5:$I$3507,$L698))</f>
        <v/>
      </c>
      <c r="G698" s="57" t="s">
        <v>158</v>
      </c>
      <c r="H698" s="32" t="str">
        <f aca="false">IF(L698="","",INDEX(ポート振替表!$N$5:$N$3507,$L698)&amp;"")</f>
        <v/>
      </c>
      <c r="I698" s="32" t="str">
        <f aca="false">IF(L698="","",INDEX(ポート振替表!$P$5:$P$3507,$L698)&amp;"")</f>
        <v/>
      </c>
      <c r="J698" s="60" t="str">
        <f aca="false">IF(L698="","",INDEX(ポート振替表!$M$5:$M$3507,$L698)&amp;"")</f>
        <v/>
      </c>
      <c r="K698" s="52" t="str">
        <f aca="false">IF(L698="","",E698&amp;CHAR(10)&amp;INDEX(ポート振替表!$K$5:$K$3507,$L698)&amp;" "&amp;INDEX(ポート振替表!$L$5:$L$3507,$L698)&amp;CHAR(10)&amp;"⇔ "&amp;INDEX(ポート振替表!$H$5:$H$3507,$L698)&amp;" "&amp;INDEX(ポート振替表!$I$5:$I$3507,$L698))</f>
        <v/>
      </c>
      <c r="L698" s="47" t="str">
        <f aca="false">IFERROR(MATCH(ROW()-4,ポート振替表!$V$5:$V$3507,0),"")</f>
        <v/>
      </c>
    </row>
    <row r="699" customFormat="false" ht="16.4" hidden="false" customHeight="false" outlineLevel="0" collapsed="false">
      <c r="A699" s="32" t="str">
        <f aca="false">IF(L699="","",ROW()-4)</f>
        <v/>
      </c>
      <c r="B699" s="58" t="str">
        <f aca="false">IF(L699="","",IF(INDEX(ポート振替表!$W$5:$W$3507,$L699)="","(なし)",INDEX(ポート振替表!$W$5:$W$3507,$L699)&amp;""))</f>
        <v/>
      </c>
      <c r="C699" s="52" t="str">
        <f aca="false">IF(L699="","",INDEX(ポート振替表!$B$5:$B$3507,$L699)&amp;" "&amp;INDEX(ポート振替表!$C$5:$C$3507,$L699)&amp;"  ⇔  "&amp;INDEX(ポート振替表!$H$5:$H$3507,$L699)&amp;" "&amp;INDEX(ポート振替表!$I$5:$I$3507,$L699))</f>
        <v/>
      </c>
      <c r="D699" s="57" t="s">
        <v>158</v>
      </c>
      <c r="E699" s="59" t="str">
        <f aca="false">IF(L699="","",IF(INDEX(ポート振替表!$O$5:$O$3507,$L699)="","(未設定)",INDEX(ポート振替表!$O$5:$O$3507,$L699)&amp;""))</f>
        <v/>
      </c>
      <c r="F699" s="52" t="str">
        <f aca="false">IF(L699="","",INDEX(ポート振替表!$K$5:$K$3507,$L699)&amp;" "&amp;INDEX(ポート振替表!$L$5:$L$3507,$L699)&amp;"  ⇔  "&amp;INDEX(ポート振替表!$H$5:$H$3507,$L699)&amp;" "&amp;INDEX(ポート振替表!$I$5:$I$3507,$L699))</f>
        <v/>
      </c>
      <c r="G699" s="57" t="s">
        <v>158</v>
      </c>
      <c r="H699" s="32" t="str">
        <f aca="false">IF(L699="","",INDEX(ポート振替表!$N$5:$N$3507,$L699)&amp;"")</f>
        <v/>
      </c>
      <c r="I699" s="32" t="str">
        <f aca="false">IF(L699="","",INDEX(ポート振替表!$P$5:$P$3507,$L699)&amp;"")</f>
        <v/>
      </c>
      <c r="J699" s="60" t="str">
        <f aca="false">IF(L699="","",INDEX(ポート振替表!$M$5:$M$3507,$L699)&amp;"")</f>
        <v/>
      </c>
      <c r="K699" s="52" t="str">
        <f aca="false">IF(L699="","",E699&amp;CHAR(10)&amp;INDEX(ポート振替表!$K$5:$K$3507,$L699)&amp;" "&amp;INDEX(ポート振替表!$L$5:$L$3507,$L699)&amp;CHAR(10)&amp;"⇔ "&amp;INDEX(ポート振替表!$H$5:$H$3507,$L699)&amp;" "&amp;INDEX(ポート振替表!$I$5:$I$3507,$L699))</f>
        <v/>
      </c>
      <c r="L699" s="47" t="str">
        <f aca="false">IFERROR(MATCH(ROW()-4,ポート振替表!$V$5:$V$3507,0),"")</f>
        <v/>
      </c>
    </row>
    <row r="700" customFormat="false" ht="16.4" hidden="false" customHeight="false" outlineLevel="0" collapsed="false">
      <c r="A700" s="32" t="str">
        <f aca="false">IF(L700="","",ROW()-4)</f>
        <v/>
      </c>
      <c r="B700" s="58" t="str">
        <f aca="false">IF(L700="","",IF(INDEX(ポート振替表!$W$5:$W$3507,$L700)="","(なし)",INDEX(ポート振替表!$W$5:$W$3507,$L700)&amp;""))</f>
        <v/>
      </c>
      <c r="C700" s="52" t="str">
        <f aca="false">IF(L700="","",INDEX(ポート振替表!$B$5:$B$3507,$L700)&amp;" "&amp;INDEX(ポート振替表!$C$5:$C$3507,$L700)&amp;"  ⇔  "&amp;INDEX(ポート振替表!$H$5:$H$3507,$L700)&amp;" "&amp;INDEX(ポート振替表!$I$5:$I$3507,$L700))</f>
        <v/>
      </c>
      <c r="D700" s="57" t="s">
        <v>158</v>
      </c>
      <c r="E700" s="59" t="str">
        <f aca="false">IF(L700="","",IF(INDEX(ポート振替表!$O$5:$O$3507,$L700)="","(未設定)",INDEX(ポート振替表!$O$5:$O$3507,$L700)&amp;""))</f>
        <v/>
      </c>
      <c r="F700" s="52" t="str">
        <f aca="false">IF(L700="","",INDEX(ポート振替表!$K$5:$K$3507,$L700)&amp;" "&amp;INDEX(ポート振替表!$L$5:$L$3507,$L700)&amp;"  ⇔  "&amp;INDEX(ポート振替表!$H$5:$H$3507,$L700)&amp;" "&amp;INDEX(ポート振替表!$I$5:$I$3507,$L700))</f>
        <v/>
      </c>
      <c r="G700" s="57" t="s">
        <v>158</v>
      </c>
      <c r="H700" s="32" t="str">
        <f aca="false">IF(L700="","",INDEX(ポート振替表!$N$5:$N$3507,$L700)&amp;"")</f>
        <v/>
      </c>
      <c r="I700" s="32" t="str">
        <f aca="false">IF(L700="","",INDEX(ポート振替表!$P$5:$P$3507,$L700)&amp;"")</f>
        <v/>
      </c>
      <c r="J700" s="60" t="str">
        <f aca="false">IF(L700="","",INDEX(ポート振替表!$M$5:$M$3507,$L700)&amp;"")</f>
        <v/>
      </c>
      <c r="K700" s="52" t="str">
        <f aca="false">IF(L700="","",E700&amp;CHAR(10)&amp;INDEX(ポート振替表!$K$5:$K$3507,$L700)&amp;" "&amp;INDEX(ポート振替表!$L$5:$L$3507,$L700)&amp;CHAR(10)&amp;"⇔ "&amp;INDEX(ポート振替表!$H$5:$H$3507,$L700)&amp;" "&amp;INDEX(ポート振替表!$I$5:$I$3507,$L700))</f>
        <v/>
      </c>
      <c r="L700" s="47" t="str">
        <f aca="false">IFERROR(MATCH(ROW()-4,ポート振替表!$V$5:$V$3507,0),"")</f>
        <v/>
      </c>
    </row>
    <row r="701" customFormat="false" ht="16.4" hidden="false" customHeight="false" outlineLevel="0" collapsed="false">
      <c r="A701" s="32" t="str">
        <f aca="false">IF(L701="","",ROW()-4)</f>
        <v/>
      </c>
      <c r="B701" s="58" t="str">
        <f aca="false">IF(L701="","",IF(INDEX(ポート振替表!$W$5:$W$3507,$L701)="","(なし)",INDEX(ポート振替表!$W$5:$W$3507,$L701)&amp;""))</f>
        <v/>
      </c>
      <c r="C701" s="52" t="str">
        <f aca="false">IF(L701="","",INDEX(ポート振替表!$B$5:$B$3507,$L701)&amp;" "&amp;INDEX(ポート振替表!$C$5:$C$3507,$L701)&amp;"  ⇔  "&amp;INDEX(ポート振替表!$H$5:$H$3507,$L701)&amp;" "&amp;INDEX(ポート振替表!$I$5:$I$3507,$L701))</f>
        <v/>
      </c>
      <c r="D701" s="57" t="s">
        <v>158</v>
      </c>
      <c r="E701" s="59" t="str">
        <f aca="false">IF(L701="","",IF(INDEX(ポート振替表!$O$5:$O$3507,$L701)="","(未設定)",INDEX(ポート振替表!$O$5:$O$3507,$L701)&amp;""))</f>
        <v/>
      </c>
      <c r="F701" s="52" t="str">
        <f aca="false">IF(L701="","",INDEX(ポート振替表!$K$5:$K$3507,$L701)&amp;" "&amp;INDEX(ポート振替表!$L$5:$L$3507,$L701)&amp;"  ⇔  "&amp;INDEX(ポート振替表!$H$5:$H$3507,$L701)&amp;" "&amp;INDEX(ポート振替表!$I$5:$I$3507,$L701))</f>
        <v/>
      </c>
      <c r="G701" s="57" t="s">
        <v>158</v>
      </c>
      <c r="H701" s="32" t="str">
        <f aca="false">IF(L701="","",INDEX(ポート振替表!$N$5:$N$3507,$L701)&amp;"")</f>
        <v/>
      </c>
      <c r="I701" s="32" t="str">
        <f aca="false">IF(L701="","",INDEX(ポート振替表!$P$5:$P$3507,$L701)&amp;"")</f>
        <v/>
      </c>
      <c r="J701" s="60" t="str">
        <f aca="false">IF(L701="","",INDEX(ポート振替表!$M$5:$M$3507,$L701)&amp;"")</f>
        <v/>
      </c>
      <c r="K701" s="52" t="str">
        <f aca="false">IF(L701="","",E701&amp;CHAR(10)&amp;INDEX(ポート振替表!$K$5:$K$3507,$L701)&amp;" "&amp;INDEX(ポート振替表!$L$5:$L$3507,$L701)&amp;CHAR(10)&amp;"⇔ "&amp;INDEX(ポート振替表!$H$5:$H$3507,$L701)&amp;" "&amp;INDEX(ポート振替表!$I$5:$I$3507,$L701))</f>
        <v/>
      </c>
      <c r="L701" s="47" t="str">
        <f aca="false">IFERROR(MATCH(ROW()-4,ポート振替表!$V$5:$V$3507,0),"")</f>
        <v/>
      </c>
    </row>
    <row r="702" customFormat="false" ht="16.4" hidden="false" customHeight="false" outlineLevel="0" collapsed="false">
      <c r="A702" s="32" t="str">
        <f aca="false">IF(L702="","",ROW()-4)</f>
        <v/>
      </c>
      <c r="B702" s="58" t="str">
        <f aca="false">IF(L702="","",IF(INDEX(ポート振替表!$W$5:$W$3507,$L702)="","(なし)",INDEX(ポート振替表!$W$5:$W$3507,$L702)&amp;""))</f>
        <v/>
      </c>
      <c r="C702" s="52" t="str">
        <f aca="false">IF(L702="","",INDEX(ポート振替表!$B$5:$B$3507,$L702)&amp;" "&amp;INDEX(ポート振替表!$C$5:$C$3507,$L702)&amp;"  ⇔  "&amp;INDEX(ポート振替表!$H$5:$H$3507,$L702)&amp;" "&amp;INDEX(ポート振替表!$I$5:$I$3507,$L702))</f>
        <v/>
      </c>
      <c r="D702" s="57" t="s">
        <v>158</v>
      </c>
      <c r="E702" s="59" t="str">
        <f aca="false">IF(L702="","",IF(INDEX(ポート振替表!$O$5:$O$3507,$L702)="","(未設定)",INDEX(ポート振替表!$O$5:$O$3507,$L702)&amp;""))</f>
        <v/>
      </c>
      <c r="F702" s="52" t="str">
        <f aca="false">IF(L702="","",INDEX(ポート振替表!$K$5:$K$3507,$L702)&amp;" "&amp;INDEX(ポート振替表!$L$5:$L$3507,$L702)&amp;"  ⇔  "&amp;INDEX(ポート振替表!$H$5:$H$3507,$L702)&amp;" "&amp;INDEX(ポート振替表!$I$5:$I$3507,$L702))</f>
        <v/>
      </c>
      <c r="G702" s="57" t="s">
        <v>158</v>
      </c>
      <c r="H702" s="32" t="str">
        <f aca="false">IF(L702="","",INDEX(ポート振替表!$N$5:$N$3507,$L702)&amp;"")</f>
        <v/>
      </c>
      <c r="I702" s="32" t="str">
        <f aca="false">IF(L702="","",INDEX(ポート振替表!$P$5:$P$3507,$L702)&amp;"")</f>
        <v/>
      </c>
      <c r="J702" s="60" t="str">
        <f aca="false">IF(L702="","",INDEX(ポート振替表!$M$5:$M$3507,$L702)&amp;"")</f>
        <v/>
      </c>
      <c r="K702" s="52" t="str">
        <f aca="false">IF(L702="","",E702&amp;CHAR(10)&amp;INDEX(ポート振替表!$K$5:$K$3507,$L702)&amp;" "&amp;INDEX(ポート振替表!$L$5:$L$3507,$L702)&amp;CHAR(10)&amp;"⇔ "&amp;INDEX(ポート振替表!$H$5:$H$3507,$L702)&amp;" "&amp;INDEX(ポート振替表!$I$5:$I$3507,$L702))</f>
        <v/>
      </c>
      <c r="L702" s="47" t="str">
        <f aca="false">IFERROR(MATCH(ROW()-4,ポート振替表!$V$5:$V$3507,0),"")</f>
        <v/>
      </c>
    </row>
    <row r="703" customFormat="false" ht="16.4" hidden="false" customHeight="false" outlineLevel="0" collapsed="false">
      <c r="A703" s="32" t="str">
        <f aca="false">IF(L703="","",ROW()-4)</f>
        <v/>
      </c>
      <c r="B703" s="58" t="str">
        <f aca="false">IF(L703="","",IF(INDEX(ポート振替表!$W$5:$W$3507,$L703)="","(なし)",INDEX(ポート振替表!$W$5:$W$3507,$L703)&amp;""))</f>
        <v/>
      </c>
      <c r="C703" s="52" t="str">
        <f aca="false">IF(L703="","",INDEX(ポート振替表!$B$5:$B$3507,$L703)&amp;" "&amp;INDEX(ポート振替表!$C$5:$C$3507,$L703)&amp;"  ⇔  "&amp;INDEX(ポート振替表!$H$5:$H$3507,$L703)&amp;" "&amp;INDEX(ポート振替表!$I$5:$I$3507,$L703))</f>
        <v/>
      </c>
      <c r="D703" s="57" t="s">
        <v>158</v>
      </c>
      <c r="E703" s="59" t="str">
        <f aca="false">IF(L703="","",IF(INDEX(ポート振替表!$O$5:$O$3507,$L703)="","(未設定)",INDEX(ポート振替表!$O$5:$O$3507,$L703)&amp;""))</f>
        <v/>
      </c>
      <c r="F703" s="52" t="str">
        <f aca="false">IF(L703="","",INDEX(ポート振替表!$K$5:$K$3507,$L703)&amp;" "&amp;INDEX(ポート振替表!$L$5:$L$3507,$L703)&amp;"  ⇔  "&amp;INDEX(ポート振替表!$H$5:$H$3507,$L703)&amp;" "&amp;INDEX(ポート振替表!$I$5:$I$3507,$L703))</f>
        <v/>
      </c>
      <c r="G703" s="57" t="s">
        <v>158</v>
      </c>
      <c r="H703" s="32" t="str">
        <f aca="false">IF(L703="","",INDEX(ポート振替表!$N$5:$N$3507,$L703)&amp;"")</f>
        <v/>
      </c>
      <c r="I703" s="32" t="str">
        <f aca="false">IF(L703="","",INDEX(ポート振替表!$P$5:$P$3507,$L703)&amp;"")</f>
        <v/>
      </c>
      <c r="J703" s="60" t="str">
        <f aca="false">IF(L703="","",INDEX(ポート振替表!$M$5:$M$3507,$L703)&amp;"")</f>
        <v/>
      </c>
      <c r="K703" s="52" t="str">
        <f aca="false">IF(L703="","",E703&amp;CHAR(10)&amp;INDEX(ポート振替表!$K$5:$K$3507,$L703)&amp;" "&amp;INDEX(ポート振替表!$L$5:$L$3507,$L703)&amp;CHAR(10)&amp;"⇔ "&amp;INDEX(ポート振替表!$H$5:$H$3507,$L703)&amp;" "&amp;INDEX(ポート振替表!$I$5:$I$3507,$L703))</f>
        <v/>
      </c>
      <c r="L703" s="47" t="str">
        <f aca="false">IFERROR(MATCH(ROW()-4,ポート振替表!$V$5:$V$3507,0),"")</f>
        <v/>
      </c>
    </row>
    <row r="704" customFormat="false" ht="16.4" hidden="false" customHeight="false" outlineLevel="0" collapsed="false">
      <c r="A704" s="32" t="str">
        <f aca="false">IF(L704="","",ROW()-4)</f>
        <v/>
      </c>
      <c r="B704" s="58" t="str">
        <f aca="false">IF(L704="","",IF(INDEX(ポート振替表!$W$5:$W$3507,$L704)="","(なし)",INDEX(ポート振替表!$W$5:$W$3507,$L704)&amp;""))</f>
        <v/>
      </c>
      <c r="C704" s="52" t="str">
        <f aca="false">IF(L704="","",INDEX(ポート振替表!$B$5:$B$3507,$L704)&amp;" "&amp;INDEX(ポート振替表!$C$5:$C$3507,$L704)&amp;"  ⇔  "&amp;INDEX(ポート振替表!$H$5:$H$3507,$L704)&amp;" "&amp;INDEX(ポート振替表!$I$5:$I$3507,$L704))</f>
        <v/>
      </c>
      <c r="D704" s="57" t="s">
        <v>158</v>
      </c>
      <c r="E704" s="59" t="str">
        <f aca="false">IF(L704="","",IF(INDEX(ポート振替表!$O$5:$O$3507,$L704)="","(未設定)",INDEX(ポート振替表!$O$5:$O$3507,$L704)&amp;""))</f>
        <v/>
      </c>
      <c r="F704" s="52" t="str">
        <f aca="false">IF(L704="","",INDEX(ポート振替表!$K$5:$K$3507,$L704)&amp;" "&amp;INDEX(ポート振替表!$L$5:$L$3507,$L704)&amp;"  ⇔  "&amp;INDEX(ポート振替表!$H$5:$H$3507,$L704)&amp;" "&amp;INDEX(ポート振替表!$I$5:$I$3507,$L704))</f>
        <v/>
      </c>
      <c r="G704" s="57" t="s">
        <v>158</v>
      </c>
      <c r="H704" s="32" t="str">
        <f aca="false">IF(L704="","",INDEX(ポート振替表!$N$5:$N$3507,$L704)&amp;"")</f>
        <v/>
      </c>
      <c r="I704" s="32" t="str">
        <f aca="false">IF(L704="","",INDEX(ポート振替表!$P$5:$P$3507,$L704)&amp;"")</f>
        <v/>
      </c>
      <c r="J704" s="60" t="str">
        <f aca="false">IF(L704="","",INDEX(ポート振替表!$M$5:$M$3507,$L704)&amp;"")</f>
        <v/>
      </c>
      <c r="K704" s="52" t="str">
        <f aca="false">IF(L704="","",E704&amp;CHAR(10)&amp;INDEX(ポート振替表!$K$5:$K$3507,$L704)&amp;" "&amp;INDEX(ポート振替表!$L$5:$L$3507,$L704)&amp;CHAR(10)&amp;"⇔ "&amp;INDEX(ポート振替表!$H$5:$H$3507,$L704)&amp;" "&amp;INDEX(ポート振替表!$I$5:$I$3507,$L704))</f>
        <v/>
      </c>
      <c r="L704" s="47" t="str">
        <f aca="false">IFERROR(MATCH(ROW()-4,ポート振替表!$V$5:$V$3507,0),"")</f>
        <v/>
      </c>
    </row>
    <row r="705" customFormat="false" ht="16.4" hidden="false" customHeight="false" outlineLevel="0" collapsed="false">
      <c r="A705" s="32" t="str">
        <f aca="false">IF(L705="","",ROW()-4)</f>
        <v/>
      </c>
      <c r="B705" s="58" t="str">
        <f aca="false">IF(L705="","",IF(INDEX(ポート振替表!$W$5:$W$3507,$L705)="","(なし)",INDEX(ポート振替表!$W$5:$W$3507,$L705)&amp;""))</f>
        <v/>
      </c>
      <c r="C705" s="52" t="str">
        <f aca="false">IF(L705="","",INDEX(ポート振替表!$B$5:$B$3507,$L705)&amp;" "&amp;INDEX(ポート振替表!$C$5:$C$3507,$L705)&amp;"  ⇔  "&amp;INDEX(ポート振替表!$H$5:$H$3507,$L705)&amp;" "&amp;INDEX(ポート振替表!$I$5:$I$3507,$L705))</f>
        <v/>
      </c>
      <c r="D705" s="57" t="s">
        <v>158</v>
      </c>
      <c r="E705" s="59" t="str">
        <f aca="false">IF(L705="","",IF(INDEX(ポート振替表!$O$5:$O$3507,$L705)="","(未設定)",INDEX(ポート振替表!$O$5:$O$3507,$L705)&amp;""))</f>
        <v/>
      </c>
      <c r="F705" s="52" t="str">
        <f aca="false">IF(L705="","",INDEX(ポート振替表!$K$5:$K$3507,$L705)&amp;" "&amp;INDEX(ポート振替表!$L$5:$L$3507,$L705)&amp;"  ⇔  "&amp;INDEX(ポート振替表!$H$5:$H$3507,$L705)&amp;" "&amp;INDEX(ポート振替表!$I$5:$I$3507,$L705))</f>
        <v/>
      </c>
      <c r="G705" s="57" t="s">
        <v>158</v>
      </c>
      <c r="H705" s="32" t="str">
        <f aca="false">IF(L705="","",INDEX(ポート振替表!$N$5:$N$3507,$L705)&amp;"")</f>
        <v/>
      </c>
      <c r="I705" s="32" t="str">
        <f aca="false">IF(L705="","",INDEX(ポート振替表!$P$5:$P$3507,$L705)&amp;"")</f>
        <v/>
      </c>
      <c r="J705" s="60" t="str">
        <f aca="false">IF(L705="","",INDEX(ポート振替表!$M$5:$M$3507,$L705)&amp;"")</f>
        <v/>
      </c>
      <c r="K705" s="52" t="str">
        <f aca="false">IF(L705="","",E705&amp;CHAR(10)&amp;INDEX(ポート振替表!$K$5:$K$3507,$L705)&amp;" "&amp;INDEX(ポート振替表!$L$5:$L$3507,$L705)&amp;CHAR(10)&amp;"⇔ "&amp;INDEX(ポート振替表!$H$5:$H$3507,$L705)&amp;" "&amp;INDEX(ポート振替表!$I$5:$I$3507,$L705))</f>
        <v/>
      </c>
      <c r="L705" s="47" t="str">
        <f aca="false">IFERROR(MATCH(ROW()-4,ポート振替表!$V$5:$V$3507,0),"")</f>
        <v/>
      </c>
    </row>
    <row r="706" customFormat="false" ht="16.4" hidden="false" customHeight="false" outlineLevel="0" collapsed="false">
      <c r="A706" s="32" t="str">
        <f aca="false">IF(L706="","",ROW()-4)</f>
        <v/>
      </c>
      <c r="B706" s="58" t="str">
        <f aca="false">IF(L706="","",IF(INDEX(ポート振替表!$W$5:$W$3507,$L706)="","(なし)",INDEX(ポート振替表!$W$5:$W$3507,$L706)&amp;""))</f>
        <v/>
      </c>
      <c r="C706" s="52" t="str">
        <f aca="false">IF(L706="","",INDEX(ポート振替表!$B$5:$B$3507,$L706)&amp;" "&amp;INDEX(ポート振替表!$C$5:$C$3507,$L706)&amp;"  ⇔  "&amp;INDEX(ポート振替表!$H$5:$H$3507,$L706)&amp;" "&amp;INDEX(ポート振替表!$I$5:$I$3507,$L706))</f>
        <v/>
      </c>
      <c r="D706" s="57" t="s">
        <v>158</v>
      </c>
      <c r="E706" s="59" t="str">
        <f aca="false">IF(L706="","",IF(INDEX(ポート振替表!$O$5:$O$3507,$L706)="","(未設定)",INDEX(ポート振替表!$O$5:$O$3507,$L706)&amp;""))</f>
        <v/>
      </c>
      <c r="F706" s="52" t="str">
        <f aca="false">IF(L706="","",INDEX(ポート振替表!$K$5:$K$3507,$L706)&amp;" "&amp;INDEX(ポート振替表!$L$5:$L$3507,$L706)&amp;"  ⇔  "&amp;INDEX(ポート振替表!$H$5:$H$3507,$L706)&amp;" "&amp;INDEX(ポート振替表!$I$5:$I$3507,$L706))</f>
        <v/>
      </c>
      <c r="G706" s="57" t="s">
        <v>158</v>
      </c>
      <c r="H706" s="32" t="str">
        <f aca="false">IF(L706="","",INDEX(ポート振替表!$N$5:$N$3507,$L706)&amp;"")</f>
        <v/>
      </c>
      <c r="I706" s="32" t="str">
        <f aca="false">IF(L706="","",INDEX(ポート振替表!$P$5:$P$3507,$L706)&amp;"")</f>
        <v/>
      </c>
      <c r="J706" s="60" t="str">
        <f aca="false">IF(L706="","",INDEX(ポート振替表!$M$5:$M$3507,$L706)&amp;"")</f>
        <v/>
      </c>
      <c r="K706" s="52" t="str">
        <f aca="false">IF(L706="","",E706&amp;CHAR(10)&amp;INDEX(ポート振替表!$K$5:$K$3507,$L706)&amp;" "&amp;INDEX(ポート振替表!$L$5:$L$3507,$L706)&amp;CHAR(10)&amp;"⇔ "&amp;INDEX(ポート振替表!$H$5:$H$3507,$L706)&amp;" "&amp;INDEX(ポート振替表!$I$5:$I$3507,$L706))</f>
        <v/>
      </c>
      <c r="L706" s="47" t="str">
        <f aca="false">IFERROR(MATCH(ROW()-4,ポート振替表!$V$5:$V$3507,0),"")</f>
        <v/>
      </c>
    </row>
    <row r="707" customFormat="false" ht="16.4" hidden="false" customHeight="false" outlineLevel="0" collapsed="false">
      <c r="A707" s="32" t="str">
        <f aca="false">IF(L707="","",ROW()-4)</f>
        <v/>
      </c>
      <c r="B707" s="58" t="str">
        <f aca="false">IF(L707="","",IF(INDEX(ポート振替表!$W$5:$W$3507,$L707)="","(なし)",INDEX(ポート振替表!$W$5:$W$3507,$L707)&amp;""))</f>
        <v/>
      </c>
      <c r="C707" s="52" t="str">
        <f aca="false">IF(L707="","",INDEX(ポート振替表!$B$5:$B$3507,$L707)&amp;" "&amp;INDEX(ポート振替表!$C$5:$C$3507,$L707)&amp;"  ⇔  "&amp;INDEX(ポート振替表!$H$5:$H$3507,$L707)&amp;" "&amp;INDEX(ポート振替表!$I$5:$I$3507,$L707))</f>
        <v/>
      </c>
      <c r="D707" s="57" t="s">
        <v>158</v>
      </c>
      <c r="E707" s="59" t="str">
        <f aca="false">IF(L707="","",IF(INDEX(ポート振替表!$O$5:$O$3507,$L707)="","(未設定)",INDEX(ポート振替表!$O$5:$O$3507,$L707)&amp;""))</f>
        <v/>
      </c>
      <c r="F707" s="52" t="str">
        <f aca="false">IF(L707="","",INDEX(ポート振替表!$K$5:$K$3507,$L707)&amp;" "&amp;INDEX(ポート振替表!$L$5:$L$3507,$L707)&amp;"  ⇔  "&amp;INDEX(ポート振替表!$H$5:$H$3507,$L707)&amp;" "&amp;INDEX(ポート振替表!$I$5:$I$3507,$L707))</f>
        <v/>
      </c>
      <c r="G707" s="57" t="s">
        <v>158</v>
      </c>
      <c r="H707" s="32" t="str">
        <f aca="false">IF(L707="","",INDEX(ポート振替表!$N$5:$N$3507,$L707)&amp;"")</f>
        <v/>
      </c>
      <c r="I707" s="32" t="str">
        <f aca="false">IF(L707="","",INDEX(ポート振替表!$P$5:$P$3507,$L707)&amp;"")</f>
        <v/>
      </c>
      <c r="J707" s="60" t="str">
        <f aca="false">IF(L707="","",INDEX(ポート振替表!$M$5:$M$3507,$L707)&amp;"")</f>
        <v/>
      </c>
      <c r="K707" s="52" t="str">
        <f aca="false">IF(L707="","",E707&amp;CHAR(10)&amp;INDEX(ポート振替表!$K$5:$K$3507,$L707)&amp;" "&amp;INDEX(ポート振替表!$L$5:$L$3507,$L707)&amp;CHAR(10)&amp;"⇔ "&amp;INDEX(ポート振替表!$H$5:$H$3507,$L707)&amp;" "&amp;INDEX(ポート振替表!$I$5:$I$3507,$L707))</f>
        <v/>
      </c>
      <c r="L707" s="47" t="str">
        <f aca="false">IFERROR(MATCH(ROW()-4,ポート振替表!$V$5:$V$3507,0),"")</f>
        <v/>
      </c>
    </row>
    <row r="708" customFormat="false" ht="16.4" hidden="false" customHeight="false" outlineLevel="0" collapsed="false">
      <c r="A708" s="32" t="str">
        <f aca="false">IF(L708="","",ROW()-4)</f>
        <v/>
      </c>
      <c r="B708" s="58" t="str">
        <f aca="false">IF(L708="","",IF(INDEX(ポート振替表!$W$5:$W$3507,$L708)="","(なし)",INDEX(ポート振替表!$W$5:$W$3507,$L708)&amp;""))</f>
        <v/>
      </c>
      <c r="C708" s="52" t="str">
        <f aca="false">IF(L708="","",INDEX(ポート振替表!$B$5:$B$3507,$L708)&amp;" "&amp;INDEX(ポート振替表!$C$5:$C$3507,$L708)&amp;"  ⇔  "&amp;INDEX(ポート振替表!$H$5:$H$3507,$L708)&amp;" "&amp;INDEX(ポート振替表!$I$5:$I$3507,$L708))</f>
        <v/>
      </c>
      <c r="D708" s="57" t="s">
        <v>158</v>
      </c>
      <c r="E708" s="59" t="str">
        <f aca="false">IF(L708="","",IF(INDEX(ポート振替表!$O$5:$O$3507,$L708)="","(未設定)",INDEX(ポート振替表!$O$5:$O$3507,$L708)&amp;""))</f>
        <v/>
      </c>
      <c r="F708" s="52" t="str">
        <f aca="false">IF(L708="","",INDEX(ポート振替表!$K$5:$K$3507,$L708)&amp;" "&amp;INDEX(ポート振替表!$L$5:$L$3507,$L708)&amp;"  ⇔  "&amp;INDEX(ポート振替表!$H$5:$H$3507,$L708)&amp;" "&amp;INDEX(ポート振替表!$I$5:$I$3507,$L708))</f>
        <v/>
      </c>
      <c r="G708" s="57" t="s">
        <v>158</v>
      </c>
      <c r="H708" s="32" t="str">
        <f aca="false">IF(L708="","",INDEX(ポート振替表!$N$5:$N$3507,$L708)&amp;"")</f>
        <v/>
      </c>
      <c r="I708" s="32" t="str">
        <f aca="false">IF(L708="","",INDEX(ポート振替表!$P$5:$P$3507,$L708)&amp;"")</f>
        <v/>
      </c>
      <c r="J708" s="60" t="str">
        <f aca="false">IF(L708="","",INDEX(ポート振替表!$M$5:$M$3507,$L708)&amp;"")</f>
        <v/>
      </c>
      <c r="K708" s="52" t="str">
        <f aca="false">IF(L708="","",E708&amp;CHAR(10)&amp;INDEX(ポート振替表!$K$5:$K$3507,$L708)&amp;" "&amp;INDEX(ポート振替表!$L$5:$L$3507,$L708)&amp;CHAR(10)&amp;"⇔ "&amp;INDEX(ポート振替表!$H$5:$H$3507,$L708)&amp;" "&amp;INDEX(ポート振替表!$I$5:$I$3507,$L708))</f>
        <v/>
      </c>
      <c r="L708" s="47" t="str">
        <f aca="false">IFERROR(MATCH(ROW()-4,ポート振替表!$V$5:$V$3507,0),"")</f>
        <v/>
      </c>
    </row>
    <row r="709" customFormat="false" ht="16.4" hidden="false" customHeight="false" outlineLevel="0" collapsed="false">
      <c r="A709" s="32" t="str">
        <f aca="false">IF(L709="","",ROW()-4)</f>
        <v/>
      </c>
      <c r="B709" s="58" t="str">
        <f aca="false">IF(L709="","",IF(INDEX(ポート振替表!$W$5:$W$3507,$L709)="","(なし)",INDEX(ポート振替表!$W$5:$W$3507,$L709)&amp;""))</f>
        <v/>
      </c>
      <c r="C709" s="52" t="str">
        <f aca="false">IF(L709="","",INDEX(ポート振替表!$B$5:$B$3507,$L709)&amp;" "&amp;INDEX(ポート振替表!$C$5:$C$3507,$L709)&amp;"  ⇔  "&amp;INDEX(ポート振替表!$H$5:$H$3507,$L709)&amp;" "&amp;INDEX(ポート振替表!$I$5:$I$3507,$L709))</f>
        <v/>
      </c>
      <c r="D709" s="57" t="s">
        <v>158</v>
      </c>
      <c r="E709" s="59" t="str">
        <f aca="false">IF(L709="","",IF(INDEX(ポート振替表!$O$5:$O$3507,$L709)="","(未設定)",INDEX(ポート振替表!$O$5:$O$3507,$L709)&amp;""))</f>
        <v/>
      </c>
      <c r="F709" s="52" t="str">
        <f aca="false">IF(L709="","",INDEX(ポート振替表!$K$5:$K$3507,$L709)&amp;" "&amp;INDEX(ポート振替表!$L$5:$L$3507,$L709)&amp;"  ⇔  "&amp;INDEX(ポート振替表!$H$5:$H$3507,$L709)&amp;" "&amp;INDEX(ポート振替表!$I$5:$I$3507,$L709))</f>
        <v/>
      </c>
      <c r="G709" s="57" t="s">
        <v>158</v>
      </c>
      <c r="H709" s="32" t="str">
        <f aca="false">IF(L709="","",INDEX(ポート振替表!$N$5:$N$3507,$L709)&amp;"")</f>
        <v/>
      </c>
      <c r="I709" s="32" t="str">
        <f aca="false">IF(L709="","",INDEX(ポート振替表!$P$5:$P$3507,$L709)&amp;"")</f>
        <v/>
      </c>
      <c r="J709" s="60" t="str">
        <f aca="false">IF(L709="","",INDEX(ポート振替表!$M$5:$M$3507,$L709)&amp;"")</f>
        <v/>
      </c>
      <c r="K709" s="52" t="str">
        <f aca="false">IF(L709="","",E709&amp;CHAR(10)&amp;INDEX(ポート振替表!$K$5:$K$3507,$L709)&amp;" "&amp;INDEX(ポート振替表!$L$5:$L$3507,$L709)&amp;CHAR(10)&amp;"⇔ "&amp;INDEX(ポート振替表!$H$5:$H$3507,$L709)&amp;" "&amp;INDEX(ポート振替表!$I$5:$I$3507,$L709))</f>
        <v/>
      </c>
      <c r="L709" s="47" t="str">
        <f aca="false">IFERROR(MATCH(ROW()-4,ポート振替表!$V$5:$V$3507,0),"")</f>
        <v/>
      </c>
    </row>
    <row r="710" customFormat="false" ht="16.4" hidden="false" customHeight="false" outlineLevel="0" collapsed="false">
      <c r="A710" s="32" t="str">
        <f aca="false">IF(L710="","",ROW()-4)</f>
        <v/>
      </c>
      <c r="B710" s="58" t="str">
        <f aca="false">IF(L710="","",IF(INDEX(ポート振替表!$W$5:$W$3507,$L710)="","(なし)",INDEX(ポート振替表!$W$5:$W$3507,$L710)&amp;""))</f>
        <v/>
      </c>
      <c r="C710" s="52" t="str">
        <f aca="false">IF(L710="","",INDEX(ポート振替表!$B$5:$B$3507,$L710)&amp;" "&amp;INDEX(ポート振替表!$C$5:$C$3507,$L710)&amp;"  ⇔  "&amp;INDEX(ポート振替表!$H$5:$H$3507,$L710)&amp;" "&amp;INDEX(ポート振替表!$I$5:$I$3507,$L710))</f>
        <v/>
      </c>
      <c r="D710" s="57" t="s">
        <v>158</v>
      </c>
      <c r="E710" s="59" t="str">
        <f aca="false">IF(L710="","",IF(INDEX(ポート振替表!$O$5:$O$3507,$L710)="","(未設定)",INDEX(ポート振替表!$O$5:$O$3507,$L710)&amp;""))</f>
        <v/>
      </c>
      <c r="F710" s="52" t="str">
        <f aca="false">IF(L710="","",INDEX(ポート振替表!$K$5:$K$3507,$L710)&amp;" "&amp;INDEX(ポート振替表!$L$5:$L$3507,$L710)&amp;"  ⇔  "&amp;INDEX(ポート振替表!$H$5:$H$3507,$L710)&amp;" "&amp;INDEX(ポート振替表!$I$5:$I$3507,$L710))</f>
        <v/>
      </c>
      <c r="G710" s="57" t="s">
        <v>158</v>
      </c>
      <c r="H710" s="32" t="str">
        <f aca="false">IF(L710="","",INDEX(ポート振替表!$N$5:$N$3507,$L710)&amp;"")</f>
        <v/>
      </c>
      <c r="I710" s="32" t="str">
        <f aca="false">IF(L710="","",INDEX(ポート振替表!$P$5:$P$3507,$L710)&amp;"")</f>
        <v/>
      </c>
      <c r="J710" s="60" t="str">
        <f aca="false">IF(L710="","",INDEX(ポート振替表!$M$5:$M$3507,$L710)&amp;"")</f>
        <v/>
      </c>
      <c r="K710" s="52" t="str">
        <f aca="false">IF(L710="","",E710&amp;CHAR(10)&amp;INDEX(ポート振替表!$K$5:$K$3507,$L710)&amp;" "&amp;INDEX(ポート振替表!$L$5:$L$3507,$L710)&amp;CHAR(10)&amp;"⇔ "&amp;INDEX(ポート振替表!$H$5:$H$3507,$L710)&amp;" "&amp;INDEX(ポート振替表!$I$5:$I$3507,$L710))</f>
        <v/>
      </c>
      <c r="L710" s="47" t="str">
        <f aca="false">IFERROR(MATCH(ROW()-4,ポート振替表!$V$5:$V$3507,0),"")</f>
        <v/>
      </c>
    </row>
    <row r="711" customFormat="false" ht="16.4" hidden="false" customHeight="false" outlineLevel="0" collapsed="false">
      <c r="A711" s="32" t="str">
        <f aca="false">IF(L711="","",ROW()-4)</f>
        <v/>
      </c>
      <c r="B711" s="58" t="str">
        <f aca="false">IF(L711="","",IF(INDEX(ポート振替表!$W$5:$W$3507,$L711)="","(なし)",INDEX(ポート振替表!$W$5:$W$3507,$L711)&amp;""))</f>
        <v/>
      </c>
      <c r="C711" s="52" t="str">
        <f aca="false">IF(L711="","",INDEX(ポート振替表!$B$5:$B$3507,$L711)&amp;" "&amp;INDEX(ポート振替表!$C$5:$C$3507,$L711)&amp;"  ⇔  "&amp;INDEX(ポート振替表!$H$5:$H$3507,$L711)&amp;" "&amp;INDEX(ポート振替表!$I$5:$I$3507,$L711))</f>
        <v/>
      </c>
      <c r="D711" s="57" t="s">
        <v>158</v>
      </c>
      <c r="E711" s="59" t="str">
        <f aca="false">IF(L711="","",IF(INDEX(ポート振替表!$O$5:$O$3507,$L711)="","(未設定)",INDEX(ポート振替表!$O$5:$O$3507,$L711)&amp;""))</f>
        <v/>
      </c>
      <c r="F711" s="52" t="str">
        <f aca="false">IF(L711="","",INDEX(ポート振替表!$K$5:$K$3507,$L711)&amp;" "&amp;INDEX(ポート振替表!$L$5:$L$3507,$L711)&amp;"  ⇔  "&amp;INDEX(ポート振替表!$H$5:$H$3507,$L711)&amp;" "&amp;INDEX(ポート振替表!$I$5:$I$3507,$L711))</f>
        <v/>
      </c>
      <c r="G711" s="57" t="s">
        <v>158</v>
      </c>
      <c r="H711" s="32" t="str">
        <f aca="false">IF(L711="","",INDEX(ポート振替表!$N$5:$N$3507,$L711)&amp;"")</f>
        <v/>
      </c>
      <c r="I711" s="32" t="str">
        <f aca="false">IF(L711="","",INDEX(ポート振替表!$P$5:$P$3507,$L711)&amp;"")</f>
        <v/>
      </c>
      <c r="J711" s="60" t="str">
        <f aca="false">IF(L711="","",INDEX(ポート振替表!$M$5:$M$3507,$L711)&amp;"")</f>
        <v/>
      </c>
      <c r="K711" s="52" t="str">
        <f aca="false">IF(L711="","",E711&amp;CHAR(10)&amp;INDEX(ポート振替表!$K$5:$K$3507,$L711)&amp;" "&amp;INDEX(ポート振替表!$L$5:$L$3507,$L711)&amp;CHAR(10)&amp;"⇔ "&amp;INDEX(ポート振替表!$H$5:$H$3507,$L711)&amp;" "&amp;INDEX(ポート振替表!$I$5:$I$3507,$L711))</f>
        <v/>
      </c>
      <c r="L711" s="47" t="str">
        <f aca="false">IFERROR(MATCH(ROW()-4,ポート振替表!$V$5:$V$3507,0),"")</f>
        <v/>
      </c>
    </row>
    <row r="712" customFormat="false" ht="16.4" hidden="false" customHeight="false" outlineLevel="0" collapsed="false">
      <c r="A712" s="32" t="str">
        <f aca="false">IF(L712="","",ROW()-4)</f>
        <v/>
      </c>
      <c r="B712" s="58" t="str">
        <f aca="false">IF(L712="","",IF(INDEX(ポート振替表!$W$5:$W$3507,$L712)="","(なし)",INDEX(ポート振替表!$W$5:$W$3507,$L712)&amp;""))</f>
        <v/>
      </c>
      <c r="C712" s="52" t="str">
        <f aca="false">IF(L712="","",INDEX(ポート振替表!$B$5:$B$3507,$L712)&amp;" "&amp;INDEX(ポート振替表!$C$5:$C$3507,$L712)&amp;"  ⇔  "&amp;INDEX(ポート振替表!$H$5:$H$3507,$L712)&amp;" "&amp;INDEX(ポート振替表!$I$5:$I$3507,$L712))</f>
        <v/>
      </c>
      <c r="D712" s="57" t="s">
        <v>158</v>
      </c>
      <c r="E712" s="59" t="str">
        <f aca="false">IF(L712="","",IF(INDEX(ポート振替表!$O$5:$O$3507,$L712)="","(未設定)",INDEX(ポート振替表!$O$5:$O$3507,$L712)&amp;""))</f>
        <v/>
      </c>
      <c r="F712" s="52" t="str">
        <f aca="false">IF(L712="","",INDEX(ポート振替表!$K$5:$K$3507,$L712)&amp;" "&amp;INDEX(ポート振替表!$L$5:$L$3507,$L712)&amp;"  ⇔  "&amp;INDEX(ポート振替表!$H$5:$H$3507,$L712)&amp;" "&amp;INDEX(ポート振替表!$I$5:$I$3507,$L712))</f>
        <v/>
      </c>
      <c r="G712" s="57" t="s">
        <v>158</v>
      </c>
      <c r="H712" s="32" t="str">
        <f aca="false">IF(L712="","",INDEX(ポート振替表!$N$5:$N$3507,$L712)&amp;"")</f>
        <v/>
      </c>
      <c r="I712" s="32" t="str">
        <f aca="false">IF(L712="","",INDEX(ポート振替表!$P$5:$P$3507,$L712)&amp;"")</f>
        <v/>
      </c>
      <c r="J712" s="60" t="str">
        <f aca="false">IF(L712="","",INDEX(ポート振替表!$M$5:$M$3507,$L712)&amp;"")</f>
        <v/>
      </c>
      <c r="K712" s="52" t="str">
        <f aca="false">IF(L712="","",E712&amp;CHAR(10)&amp;INDEX(ポート振替表!$K$5:$K$3507,$L712)&amp;" "&amp;INDEX(ポート振替表!$L$5:$L$3507,$L712)&amp;CHAR(10)&amp;"⇔ "&amp;INDEX(ポート振替表!$H$5:$H$3507,$L712)&amp;" "&amp;INDEX(ポート振替表!$I$5:$I$3507,$L712))</f>
        <v/>
      </c>
      <c r="L712" s="47" t="str">
        <f aca="false">IFERROR(MATCH(ROW()-4,ポート振替表!$V$5:$V$3507,0),"")</f>
        <v/>
      </c>
    </row>
    <row r="713" customFormat="false" ht="16.4" hidden="false" customHeight="false" outlineLevel="0" collapsed="false">
      <c r="A713" s="32" t="str">
        <f aca="false">IF(L713="","",ROW()-4)</f>
        <v/>
      </c>
      <c r="B713" s="58" t="str">
        <f aca="false">IF(L713="","",IF(INDEX(ポート振替表!$W$5:$W$3507,$L713)="","(なし)",INDEX(ポート振替表!$W$5:$W$3507,$L713)&amp;""))</f>
        <v/>
      </c>
      <c r="C713" s="52" t="str">
        <f aca="false">IF(L713="","",INDEX(ポート振替表!$B$5:$B$3507,$L713)&amp;" "&amp;INDEX(ポート振替表!$C$5:$C$3507,$L713)&amp;"  ⇔  "&amp;INDEX(ポート振替表!$H$5:$H$3507,$L713)&amp;" "&amp;INDEX(ポート振替表!$I$5:$I$3507,$L713))</f>
        <v/>
      </c>
      <c r="D713" s="57" t="s">
        <v>158</v>
      </c>
      <c r="E713" s="59" t="str">
        <f aca="false">IF(L713="","",IF(INDEX(ポート振替表!$O$5:$O$3507,$L713)="","(未設定)",INDEX(ポート振替表!$O$5:$O$3507,$L713)&amp;""))</f>
        <v/>
      </c>
      <c r="F713" s="52" t="str">
        <f aca="false">IF(L713="","",INDEX(ポート振替表!$K$5:$K$3507,$L713)&amp;" "&amp;INDEX(ポート振替表!$L$5:$L$3507,$L713)&amp;"  ⇔  "&amp;INDEX(ポート振替表!$H$5:$H$3507,$L713)&amp;" "&amp;INDEX(ポート振替表!$I$5:$I$3507,$L713))</f>
        <v/>
      </c>
      <c r="G713" s="57" t="s">
        <v>158</v>
      </c>
      <c r="H713" s="32" t="str">
        <f aca="false">IF(L713="","",INDEX(ポート振替表!$N$5:$N$3507,$L713)&amp;"")</f>
        <v/>
      </c>
      <c r="I713" s="32" t="str">
        <f aca="false">IF(L713="","",INDEX(ポート振替表!$P$5:$P$3507,$L713)&amp;"")</f>
        <v/>
      </c>
      <c r="J713" s="60" t="str">
        <f aca="false">IF(L713="","",INDEX(ポート振替表!$M$5:$M$3507,$L713)&amp;"")</f>
        <v/>
      </c>
      <c r="K713" s="52" t="str">
        <f aca="false">IF(L713="","",E713&amp;CHAR(10)&amp;INDEX(ポート振替表!$K$5:$K$3507,$L713)&amp;" "&amp;INDEX(ポート振替表!$L$5:$L$3507,$L713)&amp;CHAR(10)&amp;"⇔ "&amp;INDEX(ポート振替表!$H$5:$H$3507,$L713)&amp;" "&amp;INDEX(ポート振替表!$I$5:$I$3507,$L713))</f>
        <v/>
      </c>
      <c r="L713" s="47" t="str">
        <f aca="false">IFERROR(MATCH(ROW()-4,ポート振替表!$V$5:$V$3507,0),"")</f>
        <v/>
      </c>
    </row>
    <row r="714" customFormat="false" ht="16.4" hidden="false" customHeight="false" outlineLevel="0" collapsed="false">
      <c r="A714" s="32" t="str">
        <f aca="false">IF(L714="","",ROW()-4)</f>
        <v/>
      </c>
      <c r="B714" s="58" t="str">
        <f aca="false">IF(L714="","",IF(INDEX(ポート振替表!$W$5:$W$3507,$L714)="","(なし)",INDEX(ポート振替表!$W$5:$W$3507,$L714)&amp;""))</f>
        <v/>
      </c>
      <c r="C714" s="52" t="str">
        <f aca="false">IF(L714="","",INDEX(ポート振替表!$B$5:$B$3507,$L714)&amp;" "&amp;INDEX(ポート振替表!$C$5:$C$3507,$L714)&amp;"  ⇔  "&amp;INDEX(ポート振替表!$H$5:$H$3507,$L714)&amp;" "&amp;INDEX(ポート振替表!$I$5:$I$3507,$L714))</f>
        <v/>
      </c>
      <c r="D714" s="57" t="s">
        <v>158</v>
      </c>
      <c r="E714" s="59" t="str">
        <f aca="false">IF(L714="","",IF(INDEX(ポート振替表!$O$5:$O$3507,$L714)="","(未設定)",INDEX(ポート振替表!$O$5:$O$3507,$L714)&amp;""))</f>
        <v/>
      </c>
      <c r="F714" s="52" t="str">
        <f aca="false">IF(L714="","",INDEX(ポート振替表!$K$5:$K$3507,$L714)&amp;" "&amp;INDEX(ポート振替表!$L$5:$L$3507,$L714)&amp;"  ⇔  "&amp;INDEX(ポート振替表!$H$5:$H$3507,$L714)&amp;" "&amp;INDEX(ポート振替表!$I$5:$I$3507,$L714))</f>
        <v/>
      </c>
      <c r="G714" s="57" t="s">
        <v>158</v>
      </c>
      <c r="H714" s="32" t="str">
        <f aca="false">IF(L714="","",INDEX(ポート振替表!$N$5:$N$3507,$L714)&amp;"")</f>
        <v/>
      </c>
      <c r="I714" s="32" t="str">
        <f aca="false">IF(L714="","",INDEX(ポート振替表!$P$5:$P$3507,$L714)&amp;"")</f>
        <v/>
      </c>
      <c r="J714" s="60" t="str">
        <f aca="false">IF(L714="","",INDEX(ポート振替表!$M$5:$M$3507,$L714)&amp;"")</f>
        <v/>
      </c>
      <c r="K714" s="52" t="str">
        <f aca="false">IF(L714="","",E714&amp;CHAR(10)&amp;INDEX(ポート振替表!$K$5:$K$3507,$L714)&amp;" "&amp;INDEX(ポート振替表!$L$5:$L$3507,$L714)&amp;CHAR(10)&amp;"⇔ "&amp;INDEX(ポート振替表!$H$5:$H$3507,$L714)&amp;" "&amp;INDEX(ポート振替表!$I$5:$I$3507,$L714))</f>
        <v/>
      </c>
      <c r="L714" s="47" t="str">
        <f aca="false">IFERROR(MATCH(ROW()-4,ポート振替表!$V$5:$V$3507,0),"")</f>
        <v/>
      </c>
    </row>
    <row r="715" customFormat="false" ht="16.4" hidden="false" customHeight="false" outlineLevel="0" collapsed="false">
      <c r="A715" s="32" t="str">
        <f aca="false">IF(L715="","",ROW()-4)</f>
        <v/>
      </c>
      <c r="B715" s="58" t="str">
        <f aca="false">IF(L715="","",IF(INDEX(ポート振替表!$W$5:$W$3507,$L715)="","(なし)",INDEX(ポート振替表!$W$5:$W$3507,$L715)&amp;""))</f>
        <v/>
      </c>
      <c r="C715" s="52" t="str">
        <f aca="false">IF(L715="","",INDEX(ポート振替表!$B$5:$B$3507,$L715)&amp;" "&amp;INDEX(ポート振替表!$C$5:$C$3507,$L715)&amp;"  ⇔  "&amp;INDEX(ポート振替表!$H$5:$H$3507,$L715)&amp;" "&amp;INDEX(ポート振替表!$I$5:$I$3507,$L715))</f>
        <v/>
      </c>
      <c r="D715" s="57" t="s">
        <v>158</v>
      </c>
      <c r="E715" s="59" t="str">
        <f aca="false">IF(L715="","",IF(INDEX(ポート振替表!$O$5:$O$3507,$L715)="","(未設定)",INDEX(ポート振替表!$O$5:$O$3507,$L715)&amp;""))</f>
        <v/>
      </c>
      <c r="F715" s="52" t="str">
        <f aca="false">IF(L715="","",INDEX(ポート振替表!$K$5:$K$3507,$L715)&amp;" "&amp;INDEX(ポート振替表!$L$5:$L$3507,$L715)&amp;"  ⇔  "&amp;INDEX(ポート振替表!$H$5:$H$3507,$L715)&amp;" "&amp;INDEX(ポート振替表!$I$5:$I$3507,$L715))</f>
        <v/>
      </c>
      <c r="G715" s="57" t="s">
        <v>158</v>
      </c>
      <c r="H715" s="32" t="str">
        <f aca="false">IF(L715="","",INDEX(ポート振替表!$N$5:$N$3507,$L715)&amp;"")</f>
        <v/>
      </c>
      <c r="I715" s="32" t="str">
        <f aca="false">IF(L715="","",INDEX(ポート振替表!$P$5:$P$3507,$L715)&amp;"")</f>
        <v/>
      </c>
      <c r="J715" s="60" t="str">
        <f aca="false">IF(L715="","",INDEX(ポート振替表!$M$5:$M$3507,$L715)&amp;"")</f>
        <v/>
      </c>
      <c r="K715" s="52" t="str">
        <f aca="false">IF(L715="","",E715&amp;CHAR(10)&amp;INDEX(ポート振替表!$K$5:$K$3507,$L715)&amp;" "&amp;INDEX(ポート振替表!$L$5:$L$3507,$L715)&amp;CHAR(10)&amp;"⇔ "&amp;INDEX(ポート振替表!$H$5:$H$3507,$L715)&amp;" "&amp;INDEX(ポート振替表!$I$5:$I$3507,$L715))</f>
        <v/>
      </c>
      <c r="L715" s="47" t="str">
        <f aca="false">IFERROR(MATCH(ROW()-4,ポート振替表!$V$5:$V$3507,0),"")</f>
        <v/>
      </c>
    </row>
    <row r="716" customFormat="false" ht="16.4" hidden="false" customHeight="false" outlineLevel="0" collapsed="false">
      <c r="A716" s="32" t="str">
        <f aca="false">IF(L716="","",ROW()-4)</f>
        <v/>
      </c>
      <c r="B716" s="58" t="str">
        <f aca="false">IF(L716="","",IF(INDEX(ポート振替表!$W$5:$W$3507,$L716)="","(なし)",INDEX(ポート振替表!$W$5:$W$3507,$L716)&amp;""))</f>
        <v/>
      </c>
      <c r="C716" s="52" t="str">
        <f aca="false">IF(L716="","",INDEX(ポート振替表!$B$5:$B$3507,$L716)&amp;" "&amp;INDEX(ポート振替表!$C$5:$C$3507,$L716)&amp;"  ⇔  "&amp;INDEX(ポート振替表!$H$5:$H$3507,$L716)&amp;" "&amp;INDEX(ポート振替表!$I$5:$I$3507,$L716))</f>
        <v/>
      </c>
      <c r="D716" s="57" t="s">
        <v>158</v>
      </c>
      <c r="E716" s="59" t="str">
        <f aca="false">IF(L716="","",IF(INDEX(ポート振替表!$O$5:$O$3507,$L716)="","(未設定)",INDEX(ポート振替表!$O$5:$O$3507,$L716)&amp;""))</f>
        <v/>
      </c>
      <c r="F716" s="52" t="str">
        <f aca="false">IF(L716="","",INDEX(ポート振替表!$K$5:$K$3507,$L716)&amp;" "&amp;INDEX(ポート振替表!$L$5:$L$3507,$L716)&amp;"  ⇔  "&amp;INDEX(ポート振替表!$H$5:$H$3507,$L716)&amp;" "&amp;INDEX(ポート振替表!$I$5:$I$3507,$L716))</f>
        <v/>
      </c>
      <c r="G716" s="57" t="s">
        <v>158</v>
      </c>
      <c r="H716" s="32" t="str">
        <f aca="false">IF(L716="","",INDEX(ポート振替表!$N$5:$N$3507,$L716)&amp;"")</f>
        <v/>
      </c>
      <c r="I716" s="32" t="str">
        <f aca="false">IF(L716="","",INDEX(ポート振替表!$P$5:$P$3507,$L716)&amp;"")</f>
        <v/>
      </c>
      <c r="J716" s="60" t="str">
        <f aca="false">IF(L716="","",INDEX(ポート振替表!$M$5:$M$3507,$L716)&amp;"")</f>
        <v/>
      </c>
      <c r="K716" s="52" t="str">
        <f aca="false">IF(L716="","",E716&amp;CHAR(10)&amp;INDEX(ポート振替表!$K$5:$K$3507,$L716)&amp;" "&amp;INDEX(ポート振替表!$L$5:$L$3507,$L716)&amp;CHAR(10)&amp;"⇔ "&amp;INDEX(ポート振替表!$H$5:$H$3507,$L716)&amp;" "&amp;INDEX(ポート振替表!$I$5:$I$3507,$L716))</f>
        <v/>
      </c>
      <c r="L716" s="47" t="str">
        <f aca="false">IFERROR(MATCH(ROW()-4,ポート振替表!$V$5:$V$3507,0),"")</f>
        <v/>
      </c>
    </row>
    <row r="717" customFormat="false" ht="16.4" hidden="false" customHeight="false" outlineLevel="0" collapsed="false">
      <c r="A717" s="32" t="str">
        <f aca="false">IF(L717="","",ROW()-4)</f>
        <v/>
      </c>
      <c r="B717" s="58" t="str">
        <f aca="false">IF(L717="","",IF(INDEX(ポート振替表!$W$5:$W$3507,$L717)="","(なし)",INDEX(ポート振替表!$W$5:$W$3507,$L717)&amp;""))</f>
        <v/>
      </c>
      <c r="C717" s="52" t="str">
        <f aca="false">IF(L717="","",INDEX(ポート振替表!$B$5:$B$3507,$L717)&amp;" "&amp;INDEX(ポート振替表!$C$5:$C$3507,$L717)&amp;"  ⇔  "&amp;INDEX(ポート振替表!$H$5:$H$3507,$L717)&amp;" "&amp;INDEX(ポート振替表!$I$5:$I$3507,$L717))</f>
        <v/>
      </c>
      <c r="D717" s="57" t="s">
        <v>158</v>
      </c>
      <c r="E717" s="59" t="str">
        <f aca="false">IF(L717="","",IF(INDEX(ポート振替表!$O$5:$O$3507,$L717)="","(未設定)",INDEX(ポート振替表!$O$5:$O$3507,$L717)&amp;""))</f>
        <v/>
      </c>
      <c r="F717" s="52" t="str">
        <f aca="false">IF(L717="","",INDEX(ポート振替表!$K$5:$K$3507,$L717)&amp;" "&amp;INDEX(ポート振替表!$L$5:$L$3507,$L717)&amp;"  ⇔  "&amp;INDEX(ポート振替表!$H$5:$H$3507,$L717)&amp;" "&amp;INDEX(ポート振替表!$I$5:$I$3507,$L717))</f>
        <v/>
      </c>
      <c r="G717" s="57" t="s">
        <v>158</v>
      </c>
      <c r="H717" s="32" t="str">
        <f aca="false">IF(L717="","",INDEX(ポート振替表!$N$5:$N$3507,$L717)&amp;"")</f>
        <v/>
      </c>
      <c r="I717" s="32" t="str">
        <f aca="false">IF(L717="","",INDEX(ポート振替表!$P$5:$P$3507,$L717)&amp;"")</f>
        <v/>
      </c>
      <c r="J717" s="60" t="str">
        <f aca="false">IF(L717="","",INDEX(ポート振替表!$M$5:$M$3507,$L717)&amp;"")</f>
        <v/>
      </c>
      <c r="K717" s="52" t="str">
        <f aca="false">IF(L717="","",E717&amp;CHAR(10)&amp;INDEX(ポート振替表!$K$5:$K$3507,$L717)&amp;" "&amp;INDEX(ポート振替表!$L$5:$L$3507,$L717)&amp;CHAR(10)&amp;"⇔ "&amp;INDEX(ポート振替表!$H$5:$H$3507,$L717)&amp;" "&amp;INDEX(ポート振替表!$I$5:$I$3507,$L717))</f>
        <v/>
      </c>
      <c r="L717" s="47" t="str">
        <f aca="false">IFERROR(MATCH(ROW()-4,ポート振替表!$V$5:$V$3507,0),"")</f>
        <v/>
      </c>
    </row>
    <row r="718" customFormat="false" ht="16.4" hidden="false" customHeight="false" outlineLevel="0" collapsed="false">
      <c r="A718" s="32" t="str">
        <f aca="false">IF(L718="","",ROW()-4)</f>
        <v/>
      </c>
      <c r="B718" s="58" t="str">
        <f aca="false">IF(L718="","",IF(INDEX(ポート振替表!$W$5:$W$3507,$L718)="","(なし)",INDEX(ポート振替表!$W$5:$W$3507,$L718)&amp;""))</f>
        <v/>
      </c>
      <c r="C718" s="52" t="str">
        <f aca="false">IF(L718="","",INDEX(ポート振替表!$B$5:$B$3507,$L718)&amp;" "&amp;INDEX(ポート振替表!$C$5:$C$3507,$L718)&amp;"  ⇔  "&amp;INDEX(ポート振替表!$H$5:$H$3507,$L718)&amp;" "&amp;INDEX(ポート振替表!$I$5:$I$3507,$L718))</f>
        <v/>
      </c>
      <c r="D718" s="57" t="s">
        <v>158</v>
      </c>
      <c r="E718" s="59" t="str">
        <f aca="false">IF(L718="","",IF(INDEX(ポート振替表!$O$5:$O$3507,$L718)="","(未設定)",INDEX(ポート振替表!$O$5:$O$3507,$L718)&amp;""))</f>
        <v/>
      </c>
      <c r="F718" s="52" t="str">
        <f aca="false">IF(L718="","",INDEX(ポート振替表!$K$5:$K$3507,$L718)&amp;" "&amp;INDEX(ポート振替表!$L$5:$L$3507,$L718)&amp;"  ⇔  "&amp;INDEX(ポート振替表!$H$5:$H$3507,$L718)&amp;" "&amp;INDEX(ポート振替表!$I$5:$I$3507,$L718))</f>
        <v/>
      </c>
      <c r="G718" s="57" t="s">
        <v>158</v>
      </c>
      <c r="H718" s="32" t="str">
        <f aca="false">IF(L718="","",INDEX(ポート振替表!$N$5:$N$3507,$L718)&amp;"")</f>
        <v/>
      </c>
      <c r="I718" s="32" t="str">
        <f aca="false">IF(L718="","",INDEX(ポート振替表!$P$5:$P$3507,$L718)&amp;"")</f>
        <v/>
      </c>
      <c r="J718" s="60" t="str">
        <f aca="false">IF(L718="","",INDEX(ポート振替表!$M$5:$M$3507,$L718)&amp;"")</f>
        <v/>
      </c>
      <c r="K718" s="52" t="str">
        <f aca="false">IF(L718="","",E718&amp;CHAR(10)&amp;INDEX(ポート振替表!$K$5:$K$3507,$L718)&amp;" "&amp;INDEX(ポート振替表!$L$5:$L$3507,$L718)&amp;CHAR(10)&amp;"⇔ "&amp;INDEX(ポート振替表!$H$5:$H$3507,$L718)&amp;" "&amp;INDEX(ポート振替表!$I$5:$I$3507,$L718))</f>
        <v/>
      </c>
      <c r="L718" s="47" t="str">
        <f aca="false">IFERROR(MATCH(ROW()-4,ポート振替表!$V$5:$V$3507,0),"")</f>
        <v/>
      </c>
    </row>
    <row r="719" customFormat="false" ht="16.4" hidden="false" customHeight="false" outlineLevel="0" collapsed="false">
      <c r="A719" s="32" t="str">
        <f aca="false">IF(L719="","",ROW()-4)</f>
        <v/>
      </c>
      <c r="B719" s="58" t="str">
        <f aca="false">IF(L719="","",IF(INDEX(ポート振替表!$W$5:$W$3507,$L719)="","(なし)",INDEX(ポート振替表!$W$5:$W$3507,$L719)&amp;""))</f>
        <v/>
      </c>
      <c r="C719" s="52" t="str">
        <f aca="false">IF(L719="","",INDEX(ポート振替表!$B$5:$B$3507,$L719)&amp;" "&amp;INDEX(ポート振替表!$C$5:$C$3507,$L719)&amp;"  ⇔  "&amp;INDEX(ポート振替表!$H$5:$H$3507,$L719)&amp;" "&amp;INDEX(ポート振替表!$I$5:$I$3507,$L719))</f>
        <v/>
      </c>
      <c r="D719" s="57" t="s">
        <v>158</v>
      </c>
      <c r="E719" s="59" t="str">
        <f aca="false">IF(L719="","",IF(INDEX(ポート振替表!$O$5:$O$3507,$L719)="","(未設定)",INDEX(ポート振替表!$O$5:$O$3507,$L719)&amp;""))</f>
        <v/>
      </c>
      <c r="F719" s="52" t="str">
        <f aca="false">IF(L719="","",INDEX(ポート振替表!$K$5:$K$3507,$L719)&amp;" "&amp;INDEX(ポート振替表!$L$5:$L$3507,$L719)&amp;"  ⇔  "&amp;INDEX(ポート振替表!$H$5:$H$3507,$L719)&amp;" "&amp;INDEX(ポート振替表!$I$5:$I$3507,$L719))</f>
        <v/>
      </c>
      <c r="G719" s="57" t="s">
        <v>158</v>
      </c>
      <c r="H719" s="32" t="str">
        <f aca="false">IF(L719="","",INDEX(ポート振替表!$N$5:$N$3507,$L719)&amp;"")</f>
        <v/>
      </c>
      <c r="I719" s="32" t="str">
        <f aca="false">IF(L719="","",INDEX(ポート振替表!$P$5:$P$3507,$L719)&amp;"")</f>
        <v/>
      </c>
      <c r="J719" s="60" t="str">
        <f aca="false">IF(L719="","",INDEX(ポート振替表!$M$5:$M$3507,$L719)&amp;"")</f>
        <v/>
      </c>
      <c r="K719" s="52" t="str">
        <f aca="false">IF(L719="","",E719&amp;CHAR(10)&amp;INDEX(ポート振替表!$K$5:$K$3507,$L719)&amp;" "&amp;INDEX(ポート振替表!$L$5:$L$3507,$L719)&amp;CHAR(10)&amp;"⇔ "&amp;INDEX(ポート振替表!$H$5:$H$3507,$L719)&amp;" "&amp;INDEX(ポート振替表!$I$5:$I$3507,$L719))</f>
        <v/>
      </c>
      <c r="L719" s="47" t="str">
        <f aca="false">IFERROR(MATCH(ROW()-4,ポート振替表!$V$5:$V$3507,0),"")</f>
        <v/>
      </c>
    </row>
    <row r="720" customFormat="false" ht="16.4" hidden="false" customHeight="false" outlineLevel="0" collapsed="false">
      <c r="A720" s="32" t="str">
        <f aca="false">IF(L720="","",ROW()-4)</f>
        <v/>
      </c>
      <c r="B720" s="58" t="str">
        <f aca="false">IF(L720="","",IF(INDEX(ポート振替表!$W$5:$W$3507,$L720)="","(なし)",INDEX(ポート振替表!$W$5:$W$3507,$L720)&amp;""))</f>
        <v/>
      </c>
      <c r="C720" s="52" t="str">
        <f aca="false">IF(L720="","",INDEX(ポート振替表!$B$5:$B$3507,$L720)&amp;" "&amp;INDEX(ポート振替表!$C$5:$C$3507,$L720)&amp;"  ⇔  "&amp;INDEX(ポート振替表!$H$5:$H$3507,$L720)&amp;" "&amp;INDEX(ポート振替表!$I$5:$I$3507,$L720))</f>
        <v/>
      </c>
      <c r="D720" s="57" t="s">
        <v>158</v>
      </c>
      <c r="E720" s="59" t="str">
        <f aca="false">IF(L720="","",IF(INDEX(ポート振替表!$O$5:$O$3507,$L720)="","(未設定)",INDEX(ポート振替表!$O$5:$O$3507,$L720)&amp;""))</f>
        <v/>
      </c>
      <c r="F720" s="52" t="str">
        <f aca="false">IF(L720="","",INDEX(ポート振替表!$K$5:$K$3507,$L720)&amp;" "&amp;INDEX(ポート振替表!$L$5:$L$3507,$L720)&amp;"  ⇔  "&amp;INDEX(ポート振替表!$H$5:$H$3507,$L720)&amp;" "&amp;INDEX(ポート振替表!$I$5:$I$3507,$L720))</f>
        <v/>
      </c>
      <c r="G720" s="57" t="s">
        <v>158</v>
      </c>
      <c r="H720" s="32" t="str">
        <f aca="false">IF(L720="","",INDEX(ポート振替表!$N$5:$N$3507,$L720)&amp;"")</f>
        <v/>
      </c>
      <c r="I720" s="32" t="str">
        <f aca="false">IF(L720="","",INDEX(ポート振替表!$P$5:$P$3507,$L720)&amp;"")</f>
        <v/>
      </c>
      <c r="J720" s="60" t="str">
        <f aca="false">IF(L720="","",INDEX(ポート振替表!$M$5:$M$3507,$L720)&amp;"")</f>
        <v/>
      </c>
      <c r="K720" s="52" t="str">
        <f aca="false">IF(L720="","",E720&amp;CHAR(10)&amp;INDEX(ポート振替表!$K$5:$K$3507,$L720)&amp;" "&amp;INDEX(ポート振替表!$L$5:$L$3507,$L720)&amp;CHAR(10)&amp;"⇔ "&amp;INDEX(ポート振替表!$H$5:$H$3507,$L720)&amp;" "&amp;INDEX(ポート振替表!$I$5:$I$3507,$L720))</f>
        <v/>
      </c>
      <c r="L720" s="47" t="str">
        <f aca="false">IFERROR(MATCH(ROW()-4,ポート振替表!$V$5:$V$3507,0),"")</f>
        <v/>
      </c>
    </row>
    <row r="721" customFormat="false" ht="16.4" hidden="false" customHeight="false" outlineLevel="0" collapsed="false">
      <c r="A721" s="32" t="str">
        <f aca="false">IF(L721="","",ROW()-4)</f>
        <v/>
      </c>
      <c r="B721" s="58" t="str">
        <f aca="false">IF(L721="","",IF(INDEX(ポート振替表!$W$5:$W$3507,$L721)="","(なし)",INDEX(ポート振替表!$W$5:$W$3507,$L721)&amp;""))</f>
        <v/>
      </c>
      <c r="C721" s="52" t="str">
        <f aca="false">IF(L721="","",INDEX(ポート振替表!$B$5:$B$3507,$L721)&amp;" "&amp;INDEX(ポート振替表!$C$5:$C$3507,$L721)&amp;"  ⇔  "&amp;INDEX(ポート振替表!$H$5:$H$3507,$L721)&amp;" "&amp;INDEX(ポート振替表!$I$5:$I$3507,$L721))</f>
        <v/>
      </c>
      <c r="D721" s="57" t="s">
        <v>158</v>
      </c>
      <c r="E721" s="59" t="str">
        <f aca="false">IF(L721="","",IF(INDEX(ポート振替表!$O$5:$O$3507,$L721)="","(未設定)",INDEX(ポート振替表!$O$5:$O$3507,$L721)&amp;""))</f>
        <v/>
      </c>
      <c r="F721" s="52" t="str">
        <f aca="false">IF(L721="","",INDEX(ポート振替表!$K$5:$K$3507,$L721)&amp;" "&amp;INDEX(ポート振替表!$L$5:$L$3507,$L721)&amp;"  ⇔  "&amp;INDEX(ポート振替表!$H$5:$H$3507,$L721)&amp;" "&amp;INDEX(ポート振替表!$I$5:$I$3507,$L721))</f>
        <v/>
      </c>
      <c r="G721" s="57" t="s">
        <v>158</v>
      </c>
      <c r="H721" s="32" t="str">
        <f aca="false">IF(L721="","",INDEX(ポート振替表!$N$5:$N$3507,$L721)&amp;"")</f>
        <v/>
      </c>
      <c r="I721" s="32" t="str">
        <f aca="false">IF(L721="","",INDEX(ポート振替表!$P$5:$P$3507,$L721)&amp;"")</f>
        <v/>
      </c>
      <c r="J721" s="60" t="str">
        <f aca="false">IF(L721="","",INDEX(ポート振替表!$M$5:$M$3507,$L721)&amp;"")</f>
        <v/>
      </c>
      <c r="K721" s="52" t="str">
        <f aca="false">IF(L721="","",E721&amp;CHAR(10)&amp;INDEX(ポート振替表!$K$5:$K$3507,$L721)&amp;" "&amp;INDEX(ポート振替表!$L$5:$L$3507,$L721)&amp;CHAR(10)&amp;"⇔ "&amp;INDEX(ポート振替表!$H$5:$H$3507,$L721)&amp;" "&amp;INDEX(ポート振替表!$I$5:$I$3507,$L721))</f>
        <v/>
      </c>
      <c r="L721" s="47" t="str">
        <f aca="false">IFERROR(MATCH(ROW()-4,ポート振替表!$V$5:$V$3507,0),"")</f>
        <v/>
      </c>
    </row>
    <row r="722" customFormat="false" ht="16.4" hidden="false" customHeight="false" outlineLevel="0" collapsed="false">
      <c r="A722" s="32" t="str">
        <f aca="false">IF(L722="","",ROW()-4)</f>
        <v/>
      </c>
      <c r="B722" s="58" t="str">
        <f aca="false">IF(L722="","",IF(INDEX(ポート振替表!$W$5:$W$3507,$L722)="","(なし)",INDEX(ポート振替表!$W$5:$W$3507,$L722)&amp;""))</f>
        <v/>
      </c>
      <c r="C722" s="52" t="str">
        <f aca="false">IF(L722="","",INDEX(ポート振替表!$B$5:$B$3507,$L722)&amp;" "&amp;INDEX(ポート振替表!$C$5:$C$3507,$L722)&amp;"  ⇔  "&amp;INDEX(ポート振替表!$H$5:$H$3507,$L722)&amp;" "&amp;INDEX(ポート振替表!$I$5:$I$3507,$L722))</f>
        <v/>
      </c>
      <c r="D722" s="57" t="s">
        <v>158</v>
      </c>
      <c r="E722" s="59" t="str">
        <f aca="false">IF(L722="","",IF(INDEX(ポート振替表!$O$5:$O$3507,$L722)="","(未設定)",INDEX(ポート振替表!$O$5:$O$3507,$L722)&amp;""))</f>
        <v/>
      </c>
      <c r="F722" s="52" t="str">
        <f aca="false">IF(L722="","",INDEX(ポート振替表!$K$5:$K$3507,$L722)&amp;" "&amp;INDEX(ポート振替表!$L$5:$L$3507,$L722)&amp;"  ⇔  "&amp;INDEX(ポート振替表!$H$5:$H$3507,$L722)&amp;" "&amp;INDEX(ポート振替表!$I$5:$I$3507,$L722))</f>
        <v/>
      </c>
      <c r="G722" s="57" t="s">
        <v>158</v>
      </c>
      <c r="H722" s="32" t="str">
        <f aca="false">IF(L722="","",INDEX(ポート振替表!$N$5:$N$3507,$L722)&amp;"")</f>
        <v/>
      </c>
      <c r="I722" s="32" t="str">
        <f aca="false">IF(L722="","",INDEX(ポート振替表!$P$5:$P$3507,$L722)&amp;"")</f>
        <v/>
      </c>
      <c r="J722" s="60" t="str">
        <f aca="false">IF(L722="","",INDEX(ポート振替表!$M$5:$M$3507,$L722)&amp;"")</f>
        <v/>
      </c>
      <c r="K722" s="52" t="str">
        <f aca="false">IF(L722="","",E722&amp;CHAR(10)&amp;INDEX(ポート振替表!$K$5:$K$3507,$L722)&amp;" "&amp;INDEX(ポート振替表!$L$5:$L$3507,$L722)&amp;CHAR(10)&amp;"⇔ "&amp;INDEX(ポート振替表!$H$5:$H$3507,$L722)&amp;" "&amp;INDEX(ポート振替表!$I$5:$I$3507,$L722))</f>
        <v/>
      </c>
      <c r="L722" s="47" t="str">
        <f aca="false">IFERROR(MATCH(ROW()-4,ポート振替表!$V$5:$V$3507,0),"")</f>
        <v/>
      </c>
    </row>
    <row r="723" customFormat="false" ht="16.4" hidden="false" customHeight="false" outlineLevel="0" collapsed="false">
      <c r="A723" s="32" t="str">
        <f aca="false">IF(L723="","",ROW()-4)</f>
        <v/>
      </c>
      <c r="B723" s="58" t="str">
        <f aca="false">IF(L723="","",IF(INDEX(ポート振替表!$W$5:$W$3507,$L723)="","(なし)",INDEX(ポート振替表!$W$5:$W$3507,$L723)&amp;""))</f>
        <v/>
      </c>
      <c r="C723" s="52" t="str">
        <f aca="false">IF(L723="","",INDEX(ポート振替表!$B$5:$B$3507,$L723)&amp;" "&amp;INDEX(ポート振替表!$C$5:$C$3507,$L723)&amp;"  ⇔  "&amp;INDEX(ポート振替表!$H$5:$H$3507,$L723)&amp;" "&amp;INDEX(ポート振替表!$I$5:$I$3507,$L723))</f>
        <v/>
      </c>
      <c r="D723" s="57" t="s">
        <v>158</v>
      </c>
      <c r="E723" s="59" t="str">
        <f aca="false">IF(L723="","",IF(INDEX(ポート振替表!$O$5:$O$3507,$L723)="","(未設定)",INDEX(ポート振替表!$O$5:$O$3507,$L723)&amp;""))</f>
        <v/>
      </c>
      <c r="F723" s="52" t="str">
        <f aca="false">IF(L723="","",INDEX(ポート振替表!$K$5:$K$3507,$L723)&amp;" "&amp;INDEX(ポート振替表!$L$5:$L$3507,$L723)&amp;"  ⇔  "&amp;INDEX(ポート振替表!$H$5:$H$3507,$L723)&amp;" "&amp;INDEX(ポート振替表!$I$5:$I$3507,$L723))</f>
        <v/>
      </c>
      <c r="G723" s="57" t="s">
        <v>158</v>
      </c>
      <c r="H723" s="32" t="str">
        <f aca="false">IF(L723="","",INDEX(ポート振替表!$N$5:$N$3507,$L723)&amp;"")</f>
        <v/>
      </c>
      <c r="I723" s="32" t="str">
        <f aca="false">IF(L723="","",INDEX(ポート振替表!$P$5:$P$3507,$L723)&amp;"")</f>
        <v/>
      </c>
      <c r="J723" s="60" t="str">
        <f aca="false">IF(L723="","",INDEX(ポート振替表!$M$5:$M$3507,$L723)&amp;"")</f>
        <v/>
      </c>
      <c r="K723" s="52" t="str">
        <f aca="false">IF(L723="","",E723&amp;CHAR(10)&amp;INDEX(ポート振替表!$K$5:$K$3507,$L723)&amp;" "&amp;INDEX(ポート振替表!$L$5:$L$3507,$L723)&amp;CHAR(10)&amp;"⇔ "&amp;INDEX(ポート振替表!$H$5:$H$3507,$L723)&amp;" "&amp;INDEX(ポート振替表!$I$5:$I$3507,$L723))</f>
        <v/>
      </c>
      <c r="L723" s="47" t="str">
        <f aca="false">IFERROR(MATCH(ROW()-4,ポート振替表!$V$5:$V$3507,0),"")</f>
        <v/>
      </c>
    </row>
    <row r="724" customFormat="false" ht="16.4" hidden="false" customHeight="false" outlineLevel="0" collapsed="false">
      <c r="A724" s="32" t="str">
        <f aca="false">IF(L724="","",ROW()-4)</f>
        <v/>
      </c>
      <c r="B724" s="58" t="str">
        <f aca="false">IF(L724="","",IF(INDEX(ポート振替表!$W$5:$W$3507,$L724)="","(なし)",INDEX(ポート振替表!$W$5:$W$3507,$L724)&amp;""))</f>
        <v/>
      </c>
      <c r="C724" s="52" t="str">
        <f aca="false">IF(L724="","",INDEX(ポート振替表!$B$5:$B$3507,$L724)&amp;" "&amp;INDEX(ポート振替表!$C$5:$C$3507,$L724)&amp;"  ⇔  "&amp;INDEX(ポート振替表!$H$5:$H$3507,$L724)&amp;" "&amp;INDEX(ポート振替表!$I$5:$I$3507,$L724))</f>
        <v/>
      </c>
      <c r="D724" s="57" t="s">
        <v>158</v>
      </c>
      <c r="E724" s="59" t="str">
        <f aca="false">IF(L724="","",IF(INDEX(ポート振替表!$O$5:$O$3507,$L724)="","(未設定)",INDEX(ポート振替表!$O$5:$O$3507,$L724)&amp;""))</f>
        <v/>
      </c>
      <c r="F724" s="52" t="str">
        <f aca="false">IF(L724="","",INDEX(ポート振替表!$K$5:$K$3507,$L724)&amp;" "&amp;INDEX(ポート振替表!$L$5:$L$3507,$L724)&amp;"  ⇔  "&amp;INDEX(ポート振替表!$H$5:$H$3507,$L724)&amp;" "&amp;INDEX(ポート振替表!$I$5:$I$3507,$L724))</f>
        <v/>
      </c>
      <c r="G724" s="57" t="s">
        <v>158</v>
      </c>
      <c r="H724" s="32" t="str">
        <f aca="false">IF(L724="","",INDEX(ポート振替表!$N$5:$N$3507,$L724)&amp;"")</f>
        <v/>
      </c>
      <c r="I724" s="32" t="str">
        <f aca="false">IF(L724="","",INDEX(ポート振替表!$P$5:$P$3507,$L724)&amp;"")</f>
        <v/>
      </c>
      <c r="J724" s="60" t="str">
        <f aca="false">IF(L724="","",INDEX(ポート振替表!$M$5:$M$3507,$L724)&amp;"")</f>
        <v/>
      </c>
      <c r="K724" s="52" t="str">
        <f aca="false">IF(L724="","",E724&amp;CHAR(10)&amp;INDEX(ポート振替表!$K$5:$K$3507,$L724)&amp;" "&amp;INDEX(ポート振替表!$L$5:$L$3507,$L724)&amp;CHAR(10)&amp;"⇔ "&amp;INDEX(ポート振替表!$H$5:$H$3507,$L724)&amp;" "&amp;INDEX(ポート振替表!$I$5:$I$3507,$L724))</f>
        <v/>
      </c>
      <c r="L724" s="47" t="str">
        <f aca="false">IFERROR(MATCH(ROW()-4,ポート振替表!$V$5:$V$3507,0),"")</f>
        <v/>
      </c>
    </row>
    <row r="725" customFormat="false" ht="16.4" hidden="false" customHeight="false" outlineLevel="0" collapsed="false">
      <c r="A725" s="32" t="str">
        <f aca="false">IF(L725="","",ROW()-4)</f>
        <v/>
      </c>
      <c r="B725" s="58" t="str">
        <f aca="false">IF(L725="","",IF(INDEX(ポート振替表!$W$5:$W$3507,$L725)="","(なし)",INDEX(ポート振替表!$W$5:$W$3507,$L725)&amp;""))</f>
        <v/>
      </c>
      <c r="C725" s="52" t="str">
        <f aca="false">IF(L725="","",INDEX(ポート振替表!$B$5:$B$3507,$L725)&amp;" "&amp;INDEX(ポート振替表!$C$5:$C$3507,$L725)&amp;"  ⇔  "&amp;INDEX(ポート振替表!$H$5:$H$3507,$L725)&amp;" "&amp;INDEX(ポート振替表!$I$5:$I$3507,$L725))</f>
        <v/>
      </c>
      <c r="D725" s="57" t="s">
        <v>158</v>
      </c>
      <c r="E725" s="59" t="str">
        <f aca="false">IF(L725="","",IF(INDEX(ポート振替表!$O$5:$O$3507,$L725)="","(未設定)",INDEX(ポート振替表!$O$5:$O$3507,$L725)&amp;""))</f>
        <v/>
      </c>
      <c r="F725" s="52" t="str">
        <f aca="false">IF(L725="","",INDEX(ポート振替表!$K$5:$K$3507,$L725)&amp;" "&amp;INDEX(ポート振替表!$L$5:$L$3507,$L725)&amp;"  ⇔  "&amp;INDEX(ポート振替表!$H$5:$H$3507,$L725)&amp;" "&amp;INDEX(ポート振替表!$I$5:$I$3507,$L725))</f>
        <v/>
      </c>
      <c r="G725" s="57" t="s">
        <v>158</v>
      </c>
      <c r="H725" s="32" t="str">
        <f aca="false">IF(L725="","",INDEX(ポート振替表!$N$5:$N$3507,$L725)&amp;"")</f>
        <v/>
      </c>
      <c r="I725" s="32" t="str">
        <f aca="false">IF(L725="","",INDEX(ポート振替表!$P$5:$P$3507,$L725)&amp;"")</f>
        <v/>
      </c>
      <c r="J725" s="60" t="str">
        <f aca="false">IF(L725="","",INDEX(ポート振替表!$M$5:$M$3507,$L725)&amp;"")</f>
        <v/>
      </c>
      <c r="K725" s="52" t="str">
        <f aca="false">IF(L725="","",E725&amp;CHAR(10)&amp;INDEX(ポート振替表!$K$5:$K$3507,$L725)&amp;" "&amp;INDEX(ポート振替表!$L$5:$L$3507,$L725)&amp;CHAR(10)&amp;"⇔ "&amp;INDEX(ポート振替表!$H$5:$H$3507,$L725)&amp;" "&amp;INDEX(ポート振替表!$I$5:$I$3507,$L725))</f>
        <v/>
      </c>
      <c r="L725" s="47" t="str">
        <f aca="false">IFERROR(MATCH(ROW()-4,ポート振替表!$V$5:$V$3507,0),"")</f>
        <v/>
      </c>
    </row>
    <row r="726" customFormat="false" ht="16.4" hidden="false" customHeight="false" outlineLevel="0" collapsed="false">
      <c r="A726" s="32" t="str">
        <f aca="false">IF(L726="","",ROW()-4)</f>
        <v/>
      </c>
      <c r="B726" s="58" t="str">
        <f aca="false">IF(L726="","",IF(INDEX(ポート振替表!$W$5:$W$3507,$L726)="","(なし)",INDEX(ポート振替表!$W$5:$W$3507,$L726)&amp;""))</f>
        <v/>
      </c>
      <c r="C726" s="52" t="str">
        <f aca="false">IF(L726="","",INDEX(ポート振替表!$B$5:$B$3507,$L726)&amp;" "&amp;INDEX(ポート振替表!$C$5:$C$3507,$L726)&amp;"  ⇔  "&amp;INDEX(ポート振替表!$H$5:$H$3507,$L726)&amp;" "&amp;INDEX(ポート振替表!$I$5:$I$3507,$L726))</f>
        <v/>
      </c>
      <c r="D726" s="57" t="s">
        <v>158</v>
      </c>
      <c r="E726" s="59" t="str">
        <f aca="false">IF(L726="","",IF(INDEX(ポート振替表!$O$5:$O$3507,$L726)="","(未設定)",INDEX(ポート振替表!$O$5:$O$3507,$L726)&amp;""))</f>
        <v/>
      </c>
      <c r="F726" s="52" t="str">
        <f aca="false">IF(L726="","",INDEX(ポート振替表!$K$5:$K$3507,$L726)&amp;" "&amp;INDEX(ポート振替表!$L$5:$L$3507,$L726)&amp;"  ⇔  "&amp;INDEX(ポート振替表!$H$5:$H$3507,$L726)&amp;" "&amp;INDEX(ポート振替表!$I$5:$I$3507,$L726))</f>
        <v/>
      </c>
      <c r="G726" s="57" t="s">
        <v>158</v>
      </c>
      <c r="H726" s="32" t="str">
        <f aca="false">IF(L726="","",INDEX(ポート振替表!$N$5:$N$3507,$L726)&amp;"")</f>
        <v/>
      </c>
      <c r="I726" s="32" t="str">
        <f aca="false">IF(L726="","",INDEX(ポート振替表!$P$5:$P$3507,$L726)&amp;"")</f>
        <v/>
      </c>
      <c r="J726" s="60" t="str">
        <f aca="false">IF(L726="","",INDEX(ポート振替表!$M$5:$M$3507,$L726)&amp;"")</f>
        <v/>
      </c>
      <c r="K726" s="52" t="str">
        <f aca="false">IF(L726="","",E726&amp;CHAR(10)&amp;INDEX(ポート振替表!$K$5:$K$3507,$L726)&amp;" "&amp;INDEX(ポート振替表!$L$5:$L$3507,$L726)&amp;CHAR(10)&amp;"⇔ "&amp;INDEX(ポート振替表!$H$5:$H$3507,$L726)&amp;" "&amp;INDEX(ポート振替表!$I$5:$I$3507,$L726))</f>
        <v/>
      </c>
      <c r="L726" s="47" t="str">
        <f aca="false">IFERROR(MATCH(ROW()-4,ポート振替表!$V$5:$V$3507,0),"")</f>
        <v/>
      </c>
    </row>
    <row r="727" customFormat="false" ht="16.4" hidden="false" customHeight="false" outlineLevel="0" collapsed="false">
      <c r="A727" s="32" t="str">
        <f aca="false">IF(L727="","",ROW()-4)</f>
        <v/>
      </c>
      <c r="B727" s="58" t="str">
        <f aca="false">IF(L727="","",IF(INDEX(ポート振替表!$W$5:$W$3507,$L727)="","(なし)",INDEX(ポート振替表!$W$5:$W$3507,$L727)&amp;""))</f>
        <v/>
      </c>
      <c r="C727" s="52" t="str">
        <f aca="false">IF(L727="","",INDEX(ポート振替表!$B$5:$B$3507,$L727)&amp;" "&amp;INDEX(ポート振替表!$C$5:$C$3507,$L727)&amp;"  ⇔  "&amp;INDEX(ポート振替表!$H$5:$H$3507,$L727)&amp;" "&amp;INDEX(ポート振替表!$I$5:$I$3507,$L727))</f>
        <v/>
      </c>
      <c r="D727" s="57" t="s">
        <v>158</v>
      </c>
      <c r="E727" s="59" t="str">
        <f aca="false">IF(L727="","",IF(INDEX(ポート振替表!$O$5:$O$3507,$L727)="","(未設定)",INDEX(ポート振替表!$O$5:$O$3507,$L727)&amp;""))</f>
        <v/>
      </c>
      <c r="F727" s="52" t="str">
        <f aca="false">IF(L727="","",INDEX(ポート振替表!$K$5:$K$3507,$L727)&amp;" "&amp;INDEX(ポート振替表!$L$5:$L$3507,$L727)&amp;"  ⇔  "&amp;INDEX(ポート振替表!$H$5:$H$3507,$L727)&amp;" "&amp;INDEX(ポート振替表!$I$5:$I$3507,$L727))</f>
        <v/>
      </c>
      <c r="G727" s="57" t="s">
        <v>158</v>
      </c>
      <c r="H727" s="32" t="str">
        <f aca="false">IF(L727="","",INDEX(ポート振替表!$N$5:$N$3507,$L727)&amp;"")</f>
        <v/>
      </c>
      <c r="I727" s="32" t="str">
        <f aca="false">IF(L727="","",INDEX(ポート振替表!$P$5:$P$3507,$L727)&amp;"")</f>
        <v/>
      </c>
      <c r="J727" s="60" t="str">
        <f aca="false">IF(L727="","",INDEX(ポート振替表!$M$5:$M$3507,$L727)&amp;"")</f>
        <v/>
      </c>
      <c r="K727" s="52" t="str">
        <f aca="false">IF(L727="","",E727&amp;CHAR(10)&amp;INDEX(ポート振替表!$K$5:$K$3507,$L727)&amp;" "&amp;INDEX(ポート振替表!$L$5:$L$3507,$L727)&amp;CHAR(10)&amp;"⇔ "&amp;INDEX(ポート振替表!$H$5:$H$3507,$L727)&amp;" "&amp;INDEX(ポート振替表!$I$5:$I$3507,$L727))</f>
        <v/>
      </c>
      <c r="L727" s="47" t="str">
        <f aca="false">IFERROR(MATCH(ROW()-4,ポート振替表!$V$5:$V$3507,0),"")</f>
        <v/>
      </c>
    </row>
    <row r="728" customFormat="false" ht="16.4" hidden="false" customHeight="false" outlineLevel="0" collapsed="false">
      <c r="A728" s="32" t="str">
        <f aca="false">IF(L728="","",ROW()-4)</f>
        <v/>
      </c>
      <c r="B728" s="58" t="str">
        <f aca="false">IF(L728="","",IF(INDEX(ポート振替表!$W$5:$W$3507,$L728)="","(なし)",INDEX(ポート振替表!$W$5:$W$3507,$L728)&amp;""))</f>
        <v/>
      </c>
      <c r="C728" s="52" t="str">
        <f aca="false">IF(L728="","",INDEX(ポート振替表!$B$5:$B$3507,$L728)&amp;" "&amp;INDEX(ポート振替表!$C$5:$C$3507,$L728)&amp;"  ⇔  "&amp;INDEX(ポート振替表!$H$5:$H$3507,$L728)&amp;" "&amp;INDEX(ポート振替表!$I$5:$I$3507,$L728))</f>
        <v/>
      </c>
      <c r="D728" s="57" t="s">
        <v>158</v>
      </c>
      <c r="E728" s="59" t="str">
        <f aca="false">IF(L728="","",IF(INDEX(ポート振替表!$O$5:$O$3507,$L728)="","(未設定)",INDEX(ポート振替表!$O$5:$O$3507,$L728)&amp;""))</f>
        <v/>
      </c>
      <c r="F728" s="52" t="str">
        <f aca="false">IF(L728="","",INDEX(ポート振替表!$K$5:$K$3507,$L728)&amp;" "&amp;INDEX(ポート振替表!$L$5:$L$3507,$L728)&amp;"  ⇔  "&amp;INDEX(ポート振替表!$H$5:$H$3507,$L728)&amp;" "&amp;INDEX(ポート振替表!$I$5:$I$3507,$L728))</f>
        <v/>
      </c>
      <c r="G728" s="57" t="s">
        <v>158</v>
      </c>
      <c r="H728" s="32" t="str">
        <f aca="false">IF(L728="","",INDEX(ポート振替表!$N$5:$N$3507,$L728)&amp;"")</f>
        <v/>
      </c>
      <c r="I728" s="32" t="str">
        <f aca="false">IF(L728="","",INDEX(ポート振替表!$P$5:$P$3507,$L728)&amp;"")</f>
        <v/>
      </c>
      <c r="J728" s="60" t="str">
        <f aca="false">IF(L728="","",INDEX(ポート振替表!$M$5:$M$3507,$L728)&amp;"")</f>
        <v/>
      </c>
      <c r="K728" s="52" t="str">
        <f aca="false">IF(L728="","",E728&amp;CHAR(10)&amp;INDEX(ポート振替表!$K$5:$K$3507,$L728)&amp;" "&amp;INDEX(ポート振替表!$L$5:$L$3507,$L728)&amp;CHAR(10)&amp;"⇔ "&amp;INDEX(ポート振替表!$H$5:$H$3507,$L728)&amp;" "&amp;INDEX(ポート振替表!$I$5:$I$3507,$L728))</f>
        <v/>
      </c>
      <c r="L728" s="47" t="str">
        <f aca="false">IFERROR(MATCH(ROW()-4,ポート振替表!$V$5:$V$3507,0),"")</f>
        <v/>
      </c>
    </row>
    <row r="729" customFormat="false" ht="16.4" hidden="false" customHeight="false" outlineLevel="0" collapsed="false">
      <c r="A729" s="32" t="str">
        <f aca="false">IF(L729="","",ROW()-4)</f>
        <v/>
      </c>
      <c r="B729" s="58" t="str">
        <f aca="false">IF(L729="","",IF(INDEX(ポート振替表!$W$5:$W$3507,$L729)="","(なし)",INDEX(ポート振替表!$W$5:$W$3507,$L729)&amp;""))</f>
        <v/>
      </c>
      <c r="C729" s="52" t="str">
        <f aca="false">IF(L729="","",INDEX(ポート振替表!$B$5:$B$3507,$L729)&amp;" "&amp;INDEX(ポート振替表!$C$5:$C$3507,$L729)&amp;"  ⇔  "&amp;INDEX(ポート振替表!$H$5:$H$3507,$L729)&amp;" "&amp;INDEX(ポート振替表!$I$5:$I$3507,$L729))</f>
        <v/>
      </c>
      <c r="D729" s="57" t="s">
        <v>158</v>
      </c>
      <c r="E729" s="59" t="str">
        <f aca="false">IF(L729="","",IF(INDEX(ポート振替表!$O$5:$O$3507,$L729)="","(未設定)",INDEX(ポート振替表!$O$5:$O$3507,$L729)&amp;""))</f>
        <v/>
      </c>
      <c r="F729" s="52" t="str">
        <f aca="false">IF(L729="","",INDEX(ポート振替表!$K$5:$K$3507,$L729)&amp;" "&amp;INDEX(ポート振替表!$L$5:$L$3507,$L729)&amp;"  ⇔  "&amp;INDEX(ポート振替表!$H$5:$H$3507,$L729)&amp;" "&amp;INDEX(ポート振替表!$I$5:$I$3507,$L729))</f>
        <v/>
      </c>
      <c r="G729" s="57" t="s">
        <v>158</v>
      </c>
      <c r="H729" s="32" t="str">
        <f aca="false">IF(L729="","",INDEX(ポート振替表!$N$5:$N$3507,$L729)&amp;"")</f>
        <v/>
      </c>
      <c r="I729" s="32" t="str">
        <f aca="false">IF(L729="","",INDEX(ポート振替表!$P$5:$P$3507,$L729)&amp;"")</f>
        <v/>
      </c>
      <c r="J729" s="60" t="str">
        <f aca="false">IF(L729="","",INDEX(ポート振替表!$M$5:$M$3507,$L729)&amp;"")</f>
        <v/>
      </c>
      <c r="K729" s="52" t="str">
        <f aca="false">IF(L729="","",E729&amp;CHAR(10)&amp;INDEX(ポート振替表!$K$5:$K$3507,$L729)&amp;" "&amp;INDEX(ポート振替表!$L$5:$L$3507,$L729)&amp;CHAR(10)&amp;"⇔ "&amp;INDEX(ポート振替表!$H$5:$H$3507,$L729)&amp;" "&amp;INDEX(ポート振替表!$I$5:$I$3507,$L729))</f>
        <v/>
      </c>
      <c r="L729" s="47" t="str">
        <f aca="false">IFERROR(MATCH(ROW()-4,ポート振替表!$V$5:$V$3507,0),"")</f>
        <v/>
      </c>
    </row>
    <row r="730" customFormat="false" ht="16.4" hidden="false" customHeight="false" outlineLevel="0" collapsed="false">
      <c r="A730" s="32" t="str">
        <f aca="false">IF(L730="","",ROW()-4)</f>
        <v/>
      </c>
      <c r="B730" s="58" t="str">
        <f aca="false">IF(L730="","",IF(INDEX(ポート振替表!$W$5:$W$3507,$L730)="","(なし)",INDEX(ポート振替表!$W$5:$W$3507,$L730)&amp;""))</f>
        <v/>
      </c>
      <c r="C730" s="52" t="str">
        <f aca="false">IF(L730="","",INDEX(ポート振替表!$B$5:$B$3507,$L730)&amp;" "&amp;INDEX(ポート振替表!$C$5:$C$3507,$L730)&amp;"  ⇔  "&amp;INDEX(ポート振替表!$H$5:$H$3507,$L730)&amp;" "&amp;INDEX(ポート振替表!$I$5:$I$3507,$L730))</f>
        <v/>
      </c>
      <c r="D730" s="57" t="s">
        <v>158</v>
      </c>
      <c r="E730" s="59" t="str">
        <f aca="false">IF(L730="","",IF(INDEX(ポート振替表!$O$5:$O$3507,$L730)="","(未設定)",INDEX(ポート振替表!$O$5:$O$3507,$L730)&amp;""))</f>
        <v/>
      </c>
      <c r="F730" s="52" t="str">
        <f aca="false">IF(L730="","",INDEX(ポート振替表!$K$5:$K$3507,$L730)&amp;" "&amp;INDEX(ポート振替表!$L$5:$L$3507,$L730)&amp;"  ⇔  "&amp;INDEX(ポート振替表!$H$5:$H$3507,$L730)&amp;" "&amp;INDEX(ポート振替表!$I$5:$I$3507,$L730))</f>
        <v/>
      </c>
      <c r="G730" s="57" t="s">
        <v>158</v>
      </c>
      <c r="H730" s="32" t="str">
        <f aca="false">IF(L730="","",INDEX(ポート振替表!$N$5:$N$3507,$L730)&amp;"")</f>
        <v/>
      </c>
      <c r="I730" s="32" t="str">
        <f aca="false">IF(L730="","",INDEX(ポート振替表!$P$5:$P$3507,$L730)&amp;"")</f>
        <v/>
      </c>
      <c r="J730" s="60" t="str">
        <f aca="false">IF(L730="","",INDEX(ポート振替表!$M$5:$M$3507,$L730)&amp;"")</f>
        <v/>
      </c>
      <c r="K730" s="52" t="str">
        <f aca="false">IF(L730="","",E730&amp;CHAR(10)&amp;INDEX(ポート振替表!$K$5:$K$3507,$L730)&amp;" "&amp;INDEX(ポート振替表!$L$5:$L$3507,$L730)&amp;CHAR(10)&amp;"⇔ "&amp;INDEX(ポート振替表!$H$5:$H$3507,$L730)&amp;" "&amp;INDEX(ポート振替表!$I$5:$I$3507,$L730))</f>
        <v/>
      </c>
      <c r="L730" s="47" t="str">
        <f aca="false">IFERROR(MATCH(ROW()-4,ポート振替表!$V$5:$V$3507,0),"")</f>
        <v/>
      </c>
    </row>
    <row r="731" customFormat="false" ht="16.4" hidden="false" customHeight="false" outlineLevel="0" collapsed="false">
      <c r="A731" s="32" t="str">
        <f aca="false">IF(L731="","",ROW()-4)</f>
        <v/>
      </c>
      <c r="B731" s="58" t="str">
        <f aca="false">IF(L731="","",IF(INDEX(ポート振替表!$W$5:$W$3507,$L731)="","(なし)",INDEX(ポート振替表!$W$5:$W$3507,$L731)&amp;""))</f>
        <v/>
      </c>
      <c r="C731" s="52" t="str">
        <f aca="false">IF(L731="","",INDEX(ポート振替表!$B$5:$B$3507,$L731)&amp;" "&amp;INDEX(ポート振替表!$C$5:$C$3507,$L731)&amp;"  ⇔  "&amp;INDEX(ポート振替表!$H$5:$H$3507,$L731)&amp;" "&amp;INDEX(ポート振替表!$I$5:$I$3507,$L731))</f>
        <v/>
      </c>
      <c r="D731" s="57" t="s">
        <v>158</v>
      </c>
      <c r="E731" s="59" t="str">
        <f aca="false">IF(L731="","",IF(INDEX(ポート振替表!$O$5:$O$3507,$L731)="","(未設定)",INDEX(ポート振替表!$O$5:$O$3507,$L731)&amp;""))</f>
        <v/>
      </c>
      <c r="F731" s="52" t="str">
        <f aca="false">IF(L731="","",INDEX(ポート振替表!$K$5:$K$3507,$L731)&amp;" "&amp;INDEX(ポート振替表!$L$5:$L$3507,$L731)&amp;"  ⇔  "&amp;INDEX(ポート振替表!$H$5:$H$3507,$L731)&amp;" "&amp;INDEX(ポート振替表!$I$5:$I$3507,$L731))</f>
        <v/>
      </c>
      <c r="G731" s="57" t="s">
        <v>158</v>
      </c>
      <c r="H731" s="32" t="str">
        <f aca="false">IF(L731="","",INDEX(ポート振替表!$N$5:$N$3507,$L731)&amp;"")</f>
        <v/>
      </c>
      <c r="I731" s="32" t="str">
        <f aca="false">IF(L731="","",INDEX(ポート振替表!$P$5:$P$3507,$L731)&amp;"")</f>
        <v/>
      </c>
      <c r="J731" s="60" t="str">
        <f aca="false">IF(L731="","",INDEX(ポート振替表!$M$5:$M$3507,$L731)&amp;"")</f>
        <v/>
      </c>
      <c r="K731" s="52" t="str">
        <f aca="false">IF(L731="","",E731&amp;CHAR(10)&amp;INDEX(ポート振替表!$K$5:$K$3507,$L731)&amp;" "&amp;INDEX(ポート振替表!$L$5:$L$3507,$L731)&amp;CHAR(10)&amp;"⇔ "&amp;INDEX(ポート振替表!$H$5:$H$3507,$L731)&amp;" "&amp;INDEX(ポート振替表!$I$5:$I$3507,$L731))</f>
        <v/>
      </c>
      <c r="L731" s="47" t="str">
        <f aca="false">IFERROR(MATCH(ROW()-4,ポート振替表!$V$5:$V$3507,0),"")</f>
        <v/>
      </c>
    </row>
    <row r="732" customFormat="false" ht="16.4" hidden="false" customHeight="false" outlineLevel="0" collapsed="false">
      <c r="A732" s="32" t="str">
        <f aca="false">IF(L732="","",ROW()-4)</f>
        <v/>
      </c>
      <c r="B732" s="58" t="str">
        <f aca="false">IF(L732="","",IF(INDEX(ポート振替表!$W$5:$W$3507,$L732)="","(なし)",INDEX(ポート振替表!$W$5:$W$3507,$L732)&amp;""))</f>
        <v/>
      </c>
      <c r="C732" s="52" t="str">
        <f aca="false">IF(L732="","",INDEX(ポート振替表!$B$5:$B$3507,$L732)&amp;" "&amp;INDEX(ポート振替表!$C$5:$C$3507,$L732)&amp;"  ⇔  "&amp;INDEX(ポート振替表!$H$5:$H$3507,$L732)&amp;" "&amp;INDEX(ポート振替表!$I$5:$I$3507,$L732))</f>
        <v/>
      </c>
      <c r="D732" s="57" t="s">
        <v>158</v>
      </c>
      <c r="E732" s="59" t="str">
        <f aca="false">IF(L732="","",IF(INDEX(ポート振替表!$O$5:$O$3507,$L732)="","(未設定)",INDEX(ポート振替表!$O$5:$O$3507,$L732)&amp;""))</f>
        <v/>
      </c>
      <c r="F732" s="52" t="str">
        <f aca="false">IF(L732="","",INDEX(ポート振替表!$K$5:$K$3507,$L732)&amp;" "&amp;INDEX(ポート振替表!$L$5:$L$3507,$L732)&amp;"  ⇔  "&amp;INDEX(ポート振替表!$H$5:$H$3507,$L732)&amp;" "&amp;INDEX(ポート振替表!$I$5:$I$3507,$L732))</f>
        <v/>
      </c>
      <c r="G732" s="57" t="s">
        <v>158</v>
      </c>
      <c r="H732" s="32" t="str">
        <f aca="false">IF(L732="","",INDEX(ポート振替表!$N$5:$N$3507,$L732)&amp;"")</f>
        <v/>
      </c>
      <c r="I732" s="32" t="str">
        <f aca="false">IF(L732="","",INDEX(ポート振替表!$P$5:$P$3507,$L732)&amp;"")</f>
        <v/>
      </c>
      <c r="J732" s="60" t="str">
        <f aca="false">IF(L732="","",INDEX(ポート振替表!$M$5:$M$3507,$L732)&amp;"")</f>
        <v/>
      </c>
      <c r="K732" s="52" t="str">
        <f aca="false">IF(L732="","",E732&amp;CHAR(10)&amp;INDEX(ポート振替表!$K$5:$K$3507,$L732)&amp;" "&amp;INDEX(ポート振替表!$L$5:$L$3507,$L732)&amp;CHAR(10)&amp;"⇔ "&amp;INDEX(ポート振替表!$H$5:$H$3507,$L732)&amp;" "&amp;INDEX(ポート振替表!$I$5:$I$3507,$L732))</f>
        <v/>
      </c>
      <c r="L732" s="47" t="str">
        <f aca="false">IFERROR(MATCH(ROW()-4,ポート振替表!$V$5:$V$3507,0),"")</f>
        <v/>
      </c>
    </row>
    <row r="733" customFormat="false" ht="16.4" hidden="false" customHeight="false" outlineLevel="0" collapsed="false">
      <c r="A733" s="32" t="str">
        <f aca="false">IF(L733="","",ROW()-4)</f>
        <v/>
      </c>
      <c r="B733" s="58" t="str">
        <f aca="false">IF(L733="","",IF(INDEX(ポート振替表!$W$5:$W$3507,$L733)="","(なし)",INDEX(ポート振替表!$W$5:$W$3507,$L733)&amp;""))</f>
        <v/>
      </c>
      <c r="C733" s="52" t="str">
        <f aca="false">IF(L733="","",INDEX(ポート振替表!$B$5:$B$3507,$L733)&amp;" "&amp;INDEX(ポート振替表!$C$5:$C$3507,$L733)&amp;"  ⇔  "&amp;INDEX(ポート振替表!$H$5:$H$3507,$L733)&amp;" "&amp;INDEX(ポート振替表!$I$5:$I$3507,$L733))</f>
        <v/>
      </c>
      <c r="D733" s="57" t="s">
        <v>158</v>
      </c>
      <c r="E733" s="59" t="str">
        <f aca="false">IF(L733="","",IF(INDEX(ポート振替表!$O$5:$O$3507,$L733)="","(未設定)",INDEX(ポート振替表!$O$5:$O$3507,$L733)&amp;""))</f>
        <v/>
      </c>
      <c r="F733" s="52" t="str">
        <f aca="false">IF(L733="","",INDEX(ポート振替表!$K$5:$K$3507,$L733)&amp;" "&amp;INDEX(ポート振替表!$L$5:$L$3507,$L733)&amp;"  ⇔  "&amp;INDEX(ポート振替表!$H$5:$H$3507,$L733)&amp;" "&amp;INDEX(ポート振替表!$I$5:$I$3507,$L733))</f>
        <v/>
      </c>
      <c r="G733" s="57" t="s">
        <v>158</v>
      </c>
      <c r="H733" s="32" t="str">
        <f aca="false">IF(L733="","",INDEX(ポート振替表!$N$5:$N$3507,$L733)&amp;"")</f>
        <v/>
      </c>
      <c r="I733" s="32" t="str">
        <f aca="false">IF(L733="","",INDEX(ポート振替表!$P$5:$P$3507,$L733)&amp;"")</f>
        <v/>
      </c>
      <c r="J733" s="60" t="str">
        <f aca="false">IF(L733="","",INDEX(ポート振替表!$M$5:$M$3507,$L733)&amp;"")</f>
        <v/>
      </c>
      <c r="K733" s="52" t="str">
        <f aca="false">IF(L733="","",E733&amp;CHAR(10)&amp;INDEX(ポート振替表!$K$5:$K$3507,$L733)&amp;" "&amp;INDEX(ポート振替表!$L$5:$L$3507,$L733)&amp;CHAR(10)&amp;"⇔ "&amp;INDEX(ポート振替表!$H$5:$H$3507,$L733)&amp;" "&amp;INDEX(ポート振替表!$I$5:$I$3507,$L733))</f>
        <v/>
      </c>
      <c r="L733" s="47" t="str">
        <f aca="false">IFERROR(MATCH(ROW()-4,ポート振替表!$V$5:$V$3507,0),"")</f>
        <v/>
      </c>
    </row>
    <row r="734" customFormat="false" ht="16.4" hidden="false" customHeight="false" outlineLevel="0" collapsed="false">
      <c r="A734" s="32" t="str">
        <f aca="false">IF(L734="","",ROW()-4)</f>
        <v/>
      </c>
      <c r="B734" s="58" t="str">
        <f aca="false">IF(L734="","",IF(INDEX(ポート振替表!$W$5:$W$3507,$L734)="","(なし)",INDEX(ポート振替表!$W$5:$W$3507,$L734)&amp;""))</f>
        <v/>
      </c>
      <c r="C734" s="52" t="str">
        <f aca="false">IF(L734="","",INDEX(ポート振替表!$B$5:$B$3507,$L734)&amp;" "&amp;INDEX(ポート振替表!$C$5:$C$3507,$L734)&amp;"  ⇔  "&amp;INDEX(ポート振替表!$H$5:$H$3507,$L734)&amp;" "&amp;INDEX(ポート振替表!$I$5:$I$3507,$L734))</f>
        <v/>
      </c>
      <c r="D734" s="57" t="s">
        <v>158</v>
      </c>
      <c r="E734" s="59" t="str">
        <f aca="false">IF(L734="","",IF(INDEX(ポート振替表!$O$5:$O$3507,$L734)="","(未設定)",INDEX(ポート振替表!$O$5:$O$3507,$L734)&amp;""))</f>
        <v/>
      </c>
      <c r="F734" s="52" t="str">
        <f aca="false">IF(L734="","",INDEX(ポート振替表!$K$5:$K$3507,$L734)&amp;" "&amp;INDEX(ポート振替表!$L$5:$L$3507,$L734)&amp;"  ⇔  "&amp;INDEX(ポート振替表!$H$5:$H$3507,$L734)&amp;" "&amp;INDEX(ポート振替表!$I$5:$I$3507,$L734))</f>
        <v/>
      </c>
      <c r="G734" s="57" t="s">
        <v>158</v>
      </c>
      <c r="H734" s="32" t="str">
        <f aca="false">IF(L734="","",INDEX(ポート振替表!$N$5:$N$3507,$L734)&amp;"")</f>
        <v/>
      </c>
      <c r="I734" s="32" t="str">
        <f aca="false">IF(L734="","",INDEX(ポート振替表!$P$5:$P$3507,$L734)&amp;"")</f>
        <v/>
      </c>
      <c r="J734" s="60" t="str">
        <f aca="false">IF(L734="","",INDEX(ポート振替表!$M$5:$M$3507,$L734)&amp;"")</f>
        <v/>
      </c>
      <c r="K734" s="52" t="str">
        <f aca="false">IF(L734="","",E734&amp;CHAR(10)&amp;INDEX(ポート振替表!$K$5:$K$3507,$L734)&amp;" "&amp;INDEX(ポート振替表!$L$5:$L$3507,$L734)&amp;CHAR(10)&amp;"⇔ "&amp;INDEX(ポート振替表!$H$5:$H$3507,$L734)&amp;" "&amp;INDEX(ポート振替表!$I$5:$I$3507,$L734))</f>
        <v/>
      </c>
      <c r="L734" s="47" t="str">
        <f aca="false">IFERROR(MATCH(ROW()-4,ポート振替表!$V$5:$V$3507,0),"")</f>
        <v/>
      </c>
    </row>
    <row r="735" customFormat="false" ht="16.4" hidden="false" customHeight="false" outlineLevel="0" collapsed="false">
      <c r="A735" s="32" t="str">
        <f aca="false">IF(L735="","",ROW()-4)</f>
        <v/>
      </c>
      <c r="B735" s="58" t="str">
        <f aca="false">IF(L735="","",IF(INDEX(ポート振替表!$W$5:$W$3507,$L735)="","(なし)",INDEX(ポート振替表!$W$5:$W$3507,$L735)&amp;""))</f>
        <v/>
      </c>
      <c r="C735" s="52" t="str">
        <f aca="false">IF(L735="","",INDEX(ポート振替表!$B$5:$B$3507,$L735)&amp;" "&amp;INDEX(ポート振替表!$C$5:$C$3507,$L735)&amp;"  ⇔  "&amp;INDEX(ポート振替表!$H$5:$H$3507,$L735)&amp;" "&amp;INDEX(ポート振替表!$I$5:$I$3507,$L735))</f>
        <v/>
      </c>
      <c r="D735" s="57" t="s">
        <v>158</v>
      </c>
      <c r="E735" s="59" t="str">
        <f aca="false">IF(L735="","",IF(INDEX(ポート振替表!$O$5:$O$3507,$L735)="","(未設定)",INDEX(ポート振替表!$O$5:$O$3507,$L735)&amp;""))</f>
        <v/>
      </c>
      <c r="F735" s="52" t="str">
        <f aca="false">IF(L735="","",INDEX(ポート振替表!$K$5:$K$3507,$L735)&amp;" "&amp;INDEX(ポート振替表!$L$5:$L$3507,$L735)&amp;"  ⇔  "&amp;INDEX(ポート振替表!$H$5:$H$3507,$L735)&amp;" "&amp;INDEX(ポート振替表!$I$5:$I$3507,$L735))</f>
        <v/>
      </c>
      <c r="G735" s="57" t="s">
        <v>158</v>
      </c>
      <c r="H735" s="32" t="str">
        <f aca="false">IF(L735="","",INDEX(ポート振替表!$N$5:$N$3507,$L735)&amp;"")</f>
        <v/>
      </c>
      <c r="I735" s="32" t="str">
        <f aca="false">IF(L735="","",INDEX(ポート振替表!$P$5:$P$3507,$L735)&amp;"")</f>
        <v/>
      </c>
      <c r="J735" s="60" t="str">
        <f aca="false">IF(L735="","",INDEX(ポート振替表!$M$5:$M$3507,$L735)&amp;"")</f>
        <v/>
      </c>
      <c r="K735" s="52" t="str">
        <f aca="false">IF(L735="","",E735&amp;CHAR(10)&amp;INDEX(ポート振替表!$K$5:$K$3507,$L735)&amp;" "&amp;INDEX(ポート振替表!$L$5:$L$3507,$L735)&amp;CHAR(10)&amp;"⇔ "&amp;INDEX(ポート振替表!$H$5:$H$3507,$L735)&amp;" "&amp;INDEX(ポート振替表!$I$5:$I$3507,$L735))</f>
        <v/>
      </c>
      <c r="L735" s="47" t="str">
        <f aca="false">IFERROR(MATCH(ROW()-4,ポート振替表!$V$5:$V$3507,0),"")</f>
        <v/>
      </c>
    </row>
    <row r="736" customFormat="false" ht="16.4" hidden="false" customHeight="false" outlineLevel="0" collapsed="false">
      <c r="A736" s="32" t="str">
        <f aca="false">IF(L736="","",ROW()-4)</f>
        <v/>
      </c>
      <c r="B736" s="58" t="str">
        <f aca="false">IF(L736="","",IF(INDEX(ポート振替表!$W$5:$W$3507,$L736)="","(なし)",INDEX(ポート振替表!$W$5:$W$3507,$L736)&amp;""))</f>
        <v/>
      </c>
      <c r="C736" s="52" t="str">
        <f aca="false">IF(L736="","",INDEX(ポート振替表!$B$5:$B$3507,$L736)&amp;" "&amp;INDEX(ポート振替表!$C$5:$C$3507,$L736)&amp;"  ⇔  "&amp;INDEX(ポート振替表!$H$5:$H$3507,$L736)&amp;" "&amp;INDEX(ポート振替表!$I$5:$I$3507,$L736))</f>
        <v/>
      </c>
      <c r="D736" s="57" t="s">
        <v>158</v>
      </c>
      <c r="E736" s="59" t="str">
        <f aca="false">IF(L736="","",IF(INDEX(ポート振替表!$O$5:$O$3507,$L736)="","(未設定)",INDEX(ポート振替表!$O$5:$O$3507,$L736)&amp;""))</f>
        <v/>
      </c>
      <c r="F736" s="52" t="str">
        <f aca="false">IF(L736="","",INDEX(ポート振替表!$K$5:$K$3507,$L736)&amp;" "&amp;INDEX(ポート振替表!$L$5:$L$3507,$L736)&amp;"  ⇔  "&amp;INDEX(ポート振替表!$H$5:$H$3507,$L736)&amp;" "&amp;INDEX(ポート振替表!$I$5:$I$3507,$L736))</f>
        <v/>
      </c>
      <c r="G736" s="57" t="s">
        <v>158</v>
      </c>
      <c r="H736" s="32" t="str">
        <f aca="false">IF(L736="","",INDEX(ポート振替表!$N$5:$N$3507,$L736)&amp;"")</f>
        <v/>
      </c>
      <c r="I736" s="32" t="str">
        <f aca="false">IF(L736="","",INDEX(ポート振替表!$P$5:$P$3507,$L736)&amp;"")</f>
        <v/>
      </c>
      <c r="J736" s="60" t="str">
        <f aca="false">IF(L736="","",INDEX(ポート振替表!$M$5:$M$3507,$L736)&amp;"")</f>
        <v/>
      </c>
      <c r="K736" s="52" t="str">
        <f aca="false">IF(L736="","",E736&amp;CHAR(10)&amp;INDEX(ポート振替表!$K$5:$K$3507,$L736)&amp;" "&amp;INDEX(ポート振替表!$L$5:$L$3507,$L736)&amp;CHAR(10)&amp;"⇔ "&amp;INDEX(ポート振替表!$H$5:$H$3507,$L736)&amp;" "&amp;INDEX(ポート振替表!$I$5:$I$3507,$L736))</f>
        <v/>
      </c>
      <c r="L736" s="47" t="str">
        <f aca="false">IFERROR(MATCH(ROW()-4,ポート振替表!$V$5:$V$3507,0),"")</f>
        <v/>
      </c>
    </row>
    <row r="737" customFormat="false" ht="16.4" hidden="false" customHeight="false" outlineLevel="0" collapsed="false">
      <c r="A737" s="32" t="str">
        <f aca="false">IF(L737="","",ROW()-4)</f>
        <v/>
      </c>
      <c r="B737" s="58" t="str">
        <f aca="false">IF(L737="","",IF(INDEX(ポート振替表!$W$5:$W$3507,$L737)="","(なし)",INDEX(ポート振替表!$W$5:$W$3507,$L737)&amp;""))</f>
        <v/>
      </c>
      <c r="C737" s="52" t="str">
        <f aca="false">IF(L737="","",INDEX(ポート振替表!$B$5:$B$3507,$L737)&amp;" "&amp;INDEX(ポート振替表!$C$5:$C$3507,$L737)&amp;"  ⇔  "&amp;INDEX(ポート振替表!$H$5:$H$3507,$L737)&amp;" "&amp;INDEX(ポート振替表!$I$5:$I$3507,$L737))</f>
        <v/>
      </c>
      <c r="D737" s="57" t="s">
        <v>158</v>
      </c>
      <c r="E737" s="59" t="str">
        <f aca="false">IF(L737="","",IF(INDEX(ポート振替表!$O$5:$O$3507,$L737)="","(未設定)",INDEX(ポート振替表!$O$5:$O$3507,$L737)&amp;""))</f>
        <v/>
      </c>
      <c r="F737" s="52" t="str">
        <f aca="false">IF(L737="","",INDEX(ポート振替表!$K$5:$K$3507,$L737)&amp;" "&amp;INDEX(ポート振替表!$L$5:$L$3507,$L737)&amp;"  ⇔  "&amp;INDEX(ポート振替表!$H$5:$H$3507,$L737)&amp;" "&amp;INDEX(ポート振替表!$I$5:$I$3507,$L737))</f>
        <v/>
      </c>
      <c r="G737" s="57" t="s">
        <v>158</v>
      </c>
      <c r="H737" s="32" t="str">
        <f aca="false">IF(L737="","",INDEX(ポート振替表!$N$5:$N$3507,$L737)&amp;"")</f>
        <v/>
      </c>
      <c r="I737" s="32" t="str">
        <f aca="false">IF(L737="","",INDEX(ポート振替表!$P$5:$P$3507,$L737)&amp;"")</f>
        <v/>
      </c>
      <c r="J737" s="60" t="str">
        <f aca="false">IF(L737="","",INDEX(ポート振替表!$M$5:$M$3507,$L737)&amp;"")</f>
        <v/>
      </c>
      <c r="K737" s="52" t="str">
        <f aca="false">IF(L737="","",E737&amp;CHAR(10)&amp;INDEX(ポート振替表!$K$5:$K$3507,$L737)&amp;" "&amp;INDEX(ポート振替表!$L$5:$L$3507,$L737)&amp;CHAR(10)&amp;"⇔ "&amp;INDEX(ポート振替表!$H$5:$H$3507,$L737)&amp;" "&amp;INDEX(ポート振替表!$I$5:$I$3507,$L737))</f>
        <v/>
      </c>
      <c r="L737" s="47" t="str">
        <f aca="false">IFERROR(MATCH(ROW()-4,ポート振替表!$V$5:$V$3507,0),"")</f>
        <v/>
      </c>
    </row>
    <row r="738" customFormat="false" ht="16.4" hidden="false" customHeight="false" outlineLevel="0" collapsed="false">
      <c r="A738" s="32" t="str">
        <f aca="false">IF(L738="","",ROW()-4)</f>
        <v/>
      </c>
      <c r="B738" s="58" t="str">
        <f aca="false">IF(L738="","",IF(INDEX(ポート振替表!$W$5:$W$3507,$L738)="","(なし)",INDEX(ポート振替表!$W$5:$W$3507,$L738)&amp;""))</f>
        <v/>
      </c>
      <c r="C738" s="52" t="str">
        <f aca="false">IF(L738="","",INDEX(ポート振替表!$B$5:$B$3507,$L738)&amp;" "&amp;INDEX(ポート振替表!$C$5:$C$3507,$L738)&amp;"  ⇔  "&amp;INDEX(ポート振替表!$H$5:$H$3507,$L738)&amp;" "&amp;INDEX(ポート振替表!$I$5:$I$3507,$L738))</f>
        <v/>
      </c>
      <c r="D738" s="57" t="s">
        <v>158</v>
      </c>
      <c r="E738" s="59" t="str">
        <f aca="false">IF(L738="","",IF(INDEX(ポート振替表!$O$5:$O$3507,$L738)="","(未設定)",INDEX(ポート振替表!$O$5:$O$3507,$L738)&amp;""))</f>
        <v/>
      </c>
      <c r="F738" s="52" t="str">
        <f aca="false">IF(L738="","",INDEX(ポート振替表!$K$5:$K$3507,$L738)&amp;" "&amp;INDEX(ポート振替表!$L$5:$L$3507,$L738)&amp;"  ⇔  "&amp;INDEX(ポート振替表!$H$5:$H$3507,$L738)&amp;" "&amp;INDEX(ポート振替表!$I$5:$I$3507,$L738))</f>
        <v/>
      </c>
      <c r="G738" s="57" t="s">
        <v>158</v>
      </c>
      <c r="H738" s="32" t="str">
        <f aca="false">IF(L738="","",INDEX(ポート振替表!$N$5:$N$3507,$L738)&amp;"")</f>
        <v/>
      </c>
      <c r="I738" s="32" t="str">
        <f aca="false">IF(L738="","",INDEX(ポート振替表!$P$5:$P$3507,$L738)&amp;"")</f>
        <v/>
      </c>
      <c r="J738" s="60" t="str">
        <f aca="false">IF(L738="","",INDEX(ポート振替表!$M$5:$M$3507,$L738)&amp;"")</f>
        <v/>
      </c>
      <c r="K738" s="52" t="str">
        <f aca="false">IF(L738="","",E738&amp;CHAR(10)&amp;INDEX(ポート振替表!$K$5:$K$3507,$L738)&amp;" "&amp;INDEX(ポート振替表!$L$5:$L$3507,$L738)&amp;CHAR(10)&amp;"⇔ "&amp;INDEX(ポート振替表!$H$5:$H$3507,$L738)&amp;" "&amp;INDEX(ポート振替表!$I$5:$I$3507,$L738))</f>
        <v/>
      </c>
      <c r="L738" s="47" t="str">
        <f aca="false">IFERROR(MATCH(ROW()-4,ポート振替表!$V$5:$V$3507,0),"")</f>
        <v/>
      </c>
    </row>
    <row r="739" customFormat="false" ht="16.4" hidden="false" customHeight="false" outlineLevel="0" collapsed="false">
      <c r="A739" s="32" t="str">
        <f aca="false">IF(L739="","",ROW()-4)</f>
        <v/>
      </c>
      <c r="B739" s="58" t="str">
        <f aca="false">IF(L739="","",IF(INDEX(ポート振替表!$W$5:$W$3507,$L739)="","(なし)",INDEX(ポート振替表!$W$5:$W$3507,$L739)&amp;""))</f>
        <v/>
      </c>
      <c r="C739" s="52" t="str">
        <f aca="false">IF(L739="","",INDEX(ポート振替表!$B$5:$B$3507,$L739)&amp;" "&amp;INDEX(ポート振替表!$C$5:$C$3507,$L739)&amp;"  ⇔  "&amp;INDEX(ポート振替表!$H$5:$H$3507,$L739)&amp;" "&amp;INDEX(ポート振替表!$I$5:$I$3507,$L739))</f>
        <v/>
      </c>
      <c r="D739" s="57" t="s">
        <v>158</v>
      </c>
      <c r="E739" s="59" t="str">
        <f aca="false">IF(L739="","",IF(INDEX(ポート振替表!$O$5:$O$3507,$L739)="","(未設定)",INDEX(ポート振替表!$O$5:$O$3507,$L739)&amp;""))</f>
        <v/>
      </c>
      <c r="F739" s="52" t="str">
        <f aca="false">IF(L739="","",INDEX(ポート振替表!$K$5:$K$3507,$L739)&amp;" "&amp;INDEX(ポート振替表!$L$5:$L$3507,$L739)&amp;"  ⇔  "&amp;INDEX(ポート振替表!$H$5:$H$3507,$L739)&amp;" "&amp;INDEX(ポート振替表!$I$5:$I$3507,$L739))</f>
        <v/>
      </c>
      <c r="G739" s="57" t="s">
        <v>158</v>
      </c>
      <c r="H739" s="32" t="str">
        <f aca="false">IF(L739="","",INDEX(ポート振替表!$N$5:$N$3507,$L739)&amp;"")</f>
        <v/>
      </c>
      <c r="I739" s="32" t="str">
        <f aca="false">IF(L739="","",INDEX(ポート振替表!$P$5:$P$3507,$L739)&amp;"")</f>
        <v/>
      </c>
      <c r="J739" s="60" t="str">
        <f aca="false">IF(L739="","",INDEX(ポート振替表!$M$5:$M$3507,$L739)&amp;"")</f>
        <v/>
      </c>
      <c r="K739" s="52" t="str">
        <f aca="false">IF(L739="","",E739&amp;CHAR(10)&amp;INDEX(ポート振替表!$K$5:$K$3507,$L739)&amp;" "&amp;INDEX(ポート振替表!$L$5:$L$3507,$L739)&amp;CHAR(10)&amp;"⇔ "&amp;INDEX(ポート振替表!$H$5:$H$3507,$L739)&amp;" "&amp;INDEX(ポート振替表!$I$5:$I$3507,$L739))</f>
        <v/>
      </c>
      <c r="L739" s="47" t="str">
        <f aca="false">IFERROR(MATCH(ROW()-4,ポート振替表!$V$5:$V$3507,0),"")</f>
        <v/>
      </c>
    </row>
    <row r="740" customFormat="false" ht="16.4" hidden="false" customHeight="false" outlineLevel="0" collapsed="false">
      <c r="A740" s="32" t="str">
        <f aca="false">IF(L740="","",ROW()-4)</f>
        <v/>
      </c>
      <c r="B740" s="58" t="str">
        <f aca="false">IF(L740="","",IF(INDEX(ポート振替表!$W$5:$W$3507,$L740)="","(なし)",INDEX(ポート振替表!$W$5:$W$3507,$L740)&amp;""))</f>
        <v/>
      </c>
      <c r="C740" s="52" t="str">
        <f aca="false">IF(L740="","",INDEX(ポート振替表!$B$5:$B$3507,$L740)&amp;" "&amp;INDEX(ポート振替表!$C$5:$C$3507,$L740)&amp;"  ⇔  "&amp;INDEX(ポート振替表!$H$5:$H$3507,$L740)&amp;" "&amp;INDEX(ポート振替表!$I$5:$I$3507,$L740))</f>
        <v/>
      </c>
      <c r="D740" s="57" t="s">
        <v>158</v>
      </c>
      <c r="E740" s="59" t="str">
        <f aca="false">IF(L740="","",IF(INDEX(ポート振替表!$O$5:$O$3507,$L740)="","(未設定)",INDEX(ポート振替表!$O$5:$O$3507,$L740)&amp;""))</f>
        <v/>
      </c>
      <c r="F740" s="52" t="str">
        <f aca="false">IF(L740="","",INDEX(ポート振替表!$K$5:$K$3507,$L740)&amp;" "&amp;INDEX(ポート振替表!$L$5:$L$3507,$L740)&amp;"  ⇔  "&amp;INDEX(ポート振替表!$H$5:$H$3507,$L740)&amp;" "&amp;INDEX(ポート振替表!$I$5:$I$3507,$L740))</f>
        <v/>
      </c>
      <c r="G740" s="57" t="s">
        <v>158</v>
      </c>
      <c r="H740" s="32" t="str">
        <f aca="false">IF(L740="","",INDEX(ポート振替表!$N$5:$N$3507,$L740)&amp;"")</f>
        <v/>
      </c>
      <c r="I740" s="32" t="str">
        <f aca="false">IF(L740="","",INDEX(ポート振替表!$P$5:$P$3507,$L740)&amp;"")</f>
        <v/>
      </c>
      <c r="J740" s="60" t="str">
        <f aca="false">IF(L740="","",INDEX(ポート振替表!$M$5:$M$3507,$L740)&amp;"")</f>
        <v/>
      </c>
      <c r="K740" s="52" t="str">
        <f aca="false">IF(L740="","",E740&amp;CHAR(10)&amp;INDEX(ポート振替表!$K$5:$K$3507,$L740)&amp;" "&amp;INDEX(ポート振替表!$L$5:$L$3507,$L740)&amp;CHAR(10)&amp;"⇔ "&amp;INDEX(ポート振替表!$H$5:$H$3507,$L740)&amp;" "&amp;INDEX(ポート振替表!$I$5:$I$3507,$L740))</f>
        <v/>
      </c>
      <c r="L740" s="47" t="str">
        <f aca="false">IFERROR(MATCH(ROW()-4,ポート振替表!$V$5:$V$3507,0),"")</f>
        <v/>
      </c>
    </row>
    <row r="741" customFormat="false" ht="16.4" hidden="false" customHeight="false" outlineLevel="0" collapsed="false">
      <c r="A741" s="32" t="str">
        <f aca="false">IF(L741="","",ROW()-4)</f>
        <v/>
      </c>
      <c r="B741" s="58" t="str">
        <f aca="false">IF(L741="","",IF(INDEX(ポート振替表!$W$5:$W$3507,$L741)="","(なし)",INDEX(ポート振替表!$W$5:$W$3507,$L741)&amp;""))</f>
        <v/>
      </c>
      <c r="C741" s="52" t="str">
        <f aca="false">IF(L741="","",INDEX(ポート振替表!$B$5:$B$3507,$L741)&amp;" "&amp;INDEX(ポート振替表!$C$5:$C$3507,$L741)&amp;"  ⇔  "&amp;INDEX(ポート振替表!$H$5:$H$3507,$L741)&amp;" "&amp;INDEX(ポート振替表!$I$5:$I$3507,$L741))</f>
        <v/>
      </c>
      <c r="D741" s="57" t="s">
        <v>158</v>
      </c>
      <c r="E741" s="59" t="str">
        <f aca="false">IF(L741="","",IF(INDEX(ポート振替表!$O$5:$O$3507,$L741)="","(未設定)",INDEX(ポート振替表!$O$5:$O$3507,$L741)&amp;""))</f>
        <v/>
      </c>
      <c r="F741" s="52" t="str">
        <f aca="false">IF(L741="","",INDEX(ポート振替表!$K$5:$K$3507,$L741)&amp;" "&amp;INDEX(ポート振替表!$L$5:$L$3507,$L741)&amp;"  ⇔  "&amp;INDEX(ポート振替表!$H$5:$H$3507,$L741)&amp;" "&amp;INDEX(ポート振替表!$I$5:$I$3507,$L741))</f>
        <v/>
      </c>
      <c r="G741" s="57" t="s">
        <v>158</v>
      </c>
      <c r="H741" s="32" t="str">
        <f aca="false">IF(L741="","",INDEX(ポート振替表!$N$5:$N$3507,$L741)&amp;"")</f>
        <v/>
      </c>
      <c r="I741" s="32" t="str">
        <f aca="false">IF(L741="","",INDEX(ポート振替表!$P$5:$P$3507,$L741)&amp;"")</f>
        <v/>
      </c>
      <c r="J741" s="60" t="str">
        <f aca="false">IF(L741="","",INDEX(ポート振替表!$M$5:$M$3507,$L741)&amp;"")</f>
        <v/>
      </c>
      <c r="K741" s="52" t="str">
        <f aca="false">IF(L741="","",E741&amp;CHAR(10)&amp;INDEX(ポート振替表!$K$5:$K$3507,$L741)&amp;" "&amp;INDEX(ポート振替表!$L$5:$L$3507,$L741)&amp;CHAR(10)&amp;"⇔ "&amp;INDEX(ポート振替表!$H$5:$H$3507,$L741)&amp;" "&amp;INDEX(ポート振替表!$I$5:$I$3507,$L741))</f>
        <v/>
      </c>
      <c r="L741" s="47" t="str">
        <f aca="false">IFERROR(MATCH(ROW()-4,ポート振替表!$V$5:$V$3507,0),"")</f>
        <v/>
      </c>
    </row>
    <row r="742" customFormat="false" ht="16.4" hidden="false" customHeight="false" outlineLevel="0" collapsed="false">
      <c r="A742" s="32" t="str">
        <f aca="false">IF(L742="","",ROW()-4)</f>
        <v/>
      </c>
      <c r="B742" s="58" t="str">
        <f aca="false">IF(L742="","",IF(INDEX(ポート振替表!$W$5:$W$3507,$L742)="","(なし)",INDEX(ポート振替表!$W$5:$W$3507,$L742)&amp;""))</f>
        <v/>
      </c>
      <c r="C742" s="52" t="str">
        <f aca="false">IF(L742="","",INDEX(ポート振替表!$B$5:$B$3507,$L742)&amp;" "&amp;INDEX(ポート振替表!$C$5:$C$3507,$L742)&amp;"  ⇔  "&amp;INDEX(ポート振替表!$H$5:$H$3507,$L742)&amp;" "&amp;INDEX(ポート振替表!$I$5:$I$3507,$L742))</f>
        <v/>
      </c>
      <c r="D742" s="57" t="s">
        <v>158</v>
      </c>
      <c r="E742" s="59" t="str">
        <f aca="false">IF(L742="","",IF(INDEX(ポート振替表!$O$5:$O$3507,$L742)="","(未設定)",INDEX(ポート振替表!$O$5:$O$3507,$L742)&amp;""))</f>
        <v/>
      </c>
      <c r="F742" s="52" t="str">
        <f aca="false">IF(L742="","",INDEX(ポート振替表!$K$5:$K$3507,$L742)&amp;" "&amp;INDEX(ポート振替表!$L$5:$L$3507,$L742)&amp;"  ⇔  "&amp;INDEX(ポート振替表!$H$5:$H$3507,$L742)&amp;" "&amp;INDEX(ポート振替表!$I$5:$I$3507,$L742))</f>
        <v/>
      </c>
      <c r="G742" s="57" t="s">
        <v>158</v>
      </c>
      <c r="H742" s="32" t="str">
        <f aca="false">IF(L742="","",INDEX(ポート振替表!$N$5:$N$3507,$L742)&amp;"")</f>
        <v/>
      </c>
      <c r="I742" s="32" t="str">
        <f aca="false">IF(L742="","",INDEX(ポート振替表!$P$5:$P$3507,$L742)&amp;"")</f>
        <v/>
      </c>
      <c r="J742" s="60" t="str">
        <f aca="false">IF(L742="","",INDEX(ポート振替表!$M$5:$M$3507,$L742)&amp;"")</f>
        <v/>
      </c>
      <c r="K742" s="52" t="str">
        <f aca="false">IF(L742="","",E742&amp;CHAR(10)&amp;INDEX(ポート振替表!$K$5:$K$3507,$L742)&amp;" "&amp;INDEX(ポート振替表!$L$5:$L$3507,$L742)&amp;CHAR(10)&amp;"⇔ "&amp;INDEX(ポート振替表!$H$5:$H$3507,$L742)&amp;" "&amp;INDEX(ポート振替表!$I$5:$I$3507,$L742))</f>
        <v/>
      </c>
      <c r="L742" s="47" t="str">
        <f aca="false">IFERROR(MATCH(ROW()-4,ポート振替表!$V$5:$V$3507,0),"")</f>
        <v/>
      </c>
    </row>
    <row r="743" customFormat="false" ht="16.4" hidden="false" customHeight="false" outlineLevel="0" collapsed="false">
      <c r="A743" s="32" t="str">
        <f aca="false">IF(L743="","",ROW()-4)</f>
        <v/>
      </c>
      <c r="B743" s="58" t="str">
        <f aca="false">IF(L743="","",IF(INDEX(ポート振替表!$W$5:$W$3507,$L743)="","(なし)",INDEX(ポート振替表!$W$5:$W$3507,$L743)&amp;""))</f>
        <v/>
      </c>
      <c r="C743" s="52" t="str">
        <f aca="false">IF(L743="","",INDEX(ポート振替表!$B$5:$B$3507,$L743)&amp;" "&amp;INDEX(ポート振替表!$C$5:$C$3507,$L743)&amp;"  ⇔  "&amp;INDEX(ポート振替表!$H$5:$H$3507,$L743)&amp;" "&amp;INDEX(ポート振替表!$I$5:$I$3507,$L743))</f>
        <v/>
      </c>
      <c r="D743" s="57" t="s">
        <v>158</v>
      </c>
      <c r="E743" s="59" t="str">
        <f aca="false">IF(L743="","",IF(INDEX(ポート振替表!$O$5:$O$3507,$L743)="","(未設定)",INDEX(ポート振替表!$O$5:$O$3507,$L743)&amp;""))</f>
        <v/>
      </c>
      <c r="F743" s="52" t="str">
        <f aca="false">IF(L743="","",INDEX(ポート振替表!$K$5:$K$3507,$L743)&amp;" "&amp;INDEX(ポート振替表!$L$5:$L$3507,$L743)&amp;"  ⇔  "&amp;INDEX(ポート振替表!$H$5:$H$3507,$L743)&amp;" "&amp;INDEX(ポート振替表!$I$5:$I$3507,$L743))</f>
        <v/>
      </c>
      <c r="G743" s="57" t="s">
        <v>158</v>
      </c>
      <c r="H743" s="32" t="str">
        <f aca="false">IF(L743="","",INDEX(ポート振替表!$N$5:$N$3507,$L743)&amp;"")</f>
        <v/>
      </c>
      <c r="I743" s="32" t="str">
        <f aca="false">IF(L743="","",INDEX(ポート振替表!$P$5:$P$3507,$L743)&amp;"")</f>
        <v/>
      </c>
      <c r="J743" s="60" t="str">
        <f aca="false">IF(L743="","",INDEX(ポート振替表!$M$5:$M$3507,$L743)&amp;"")</f>
        <v/>
      </c>
      <c r="K743" s="52" t="str">
        <f aca="false">IF(L743="","",E743&amp;CHAR(10)&amp;INDEX(ポート振替表!$K$5:$K$3507,$L743)&amp;" "&amp;INDEX(ポート振替表!$L$5:$L$3507,$L743)&amp;CHAR(10)&amp;"⇔ "&amp;INDEX(ポート振替表!$H$5:$H$3507,$L743)&amp;" "&amp;INDEX(ポート振替表!$I$5:$I$3507,$L743))</f>
        <v/>
      </c>
      <c r="L743" s="47" t="str">
        <f aca="false">IFERROR(MATCH(ROW()-4,ポート振替表!$V$5:$V$3507,0),"")</f>
        <v/>
      </c>
    </row>
    <row r="744" customFormat="false" ht="16.4" hidden="false" customHeight="false" outlineLevel="0" collapsed="false">
      <c r="A744" s="32" t="str">
        <f aca="false">IF(L744="","",ROW()-4)</f>
        <v/>
      </c>
      <c r="B744" s="58" t="str">
        <f aca="false">IF(L744="","",IF(INDEX(ポート振替表!$W$5:$W$3507,$L744)="","(なし)",INDEX(ポート振替表!$W$5:$W$3507,$L744)&amp;""))</f>
        <v/>
      </c>
      <c r="C744" s="52" t="str">
        <f aca="false">IF(L744="","",INDEX(ポート振替表!$B$5:$B$3507,$L744)&amp;" "&amp;INDEX(ポート振替表!$C$5:$C$3507,$L744)&amp;"  ⇔  "&amp;INDEX(ポート振替表!$H$5:$H$3507,$L744)&amp;" "&amp;INDEX(ポート振替表!$I$5:$I$3507,$L744))</f>
        <v/>
      </c>
      <c r="D744" s="57" t="s">
        <v>158</v>
      </c>
      <c r="E744" s="59" t="str">
        <f aca="false">IF(L744="","",IF(INDEX(ポート振替表!$O$5:$O$3507,$L744)="","(未設定)",INDEX(ポート振替表!$O$5:$O$3507,$L744)&amp;""))</f>
        <v/>
      </c>
      <c r="F744" s="52" t="str">
        <f aca="false">IF(L744="","",INDEX(ポート振替表!$K$5:$K$3507,$L744)&amp;" "&amp;INDEX(ポート振替表!$L$5:$L$3507,$L744)&amp;"  ⇔  "&amp;INDEX(ポート振替表!$H$5:$H$3507,$L744)&amp;" "&amp;INDEX(ポート振替表!$I$5:$I$3507,$L744))</f>
        <v/>
      </c>
      <c r="G744" s="57" t="s">
        <v>158</v>
      </c>
      <c r="H744" s="32" t="str">
        <f aca="false">IF(L744="","",INDEX(ポート振替表!$N$5:$N$3507,$L744)&amp;"")</f>
        <v/>
      </c>
      <c r="I744" s="32" t="str">
        <f aca="false">IF(L744="","",INDEX(ポート振替表!$P$5:$P$3507,$L744)&amp;"")</f>
        <v/>
      </c>
      <c r="J744" s="60" t="str">
        <f aca="false">IF(L744="","",INDEX(ポート振替表!$M$5:$M$3507,$L744)&amp;"")</f>
        <v/>
      </c>
      <c r="K744" s="52" t="str">
        <f aca="false">IF(L744="","",E744&amp;CHAR(10)&amp;INDEX(ポート振替表!$K$5:$K$3507,$L744)&amp;" "&amp;INDEX(ポート振替表!$L$5:$L$3507,$L744)&amp;CHAR(10)&amp;"⇔ "&amp;INDEX(ポート振替表!$H$5:$H$3507,$L744)&amp;" "&amp;INDEX(ポート振替表!$I$5:$I$3507,$L744))</f>
        <v/>
      </c>
      <c r="L744" s="47" t="str">
        <f aca="false">IFERROR(MATCH(ROW()-4,ポート振替表!$V$5:$V$3507,0),"")</f>
        <v/>
      </c>
    </row>
    <row r="745" customFormat="false" ht="16.4" hidden="false" customHeight="false" outlineLevel="0" collapsed="false">
      <c r="A745" s="32" t="str">
        <f aca="false">IF(L745="","",ROW()-4)</f>
        <v/>
      </c>
      <c r="B745" s="58" t="str">
        <f aca="false">IF(L745="","",IF(INDEX(ポート振替表!$W$5:$W$3507,$L745)="","(なし)",INDEX(ポート振替表!$W$5:$W$3507,$L745)&amp;""))</f>
        <v/>
      </c>
      <c r="C745" s="52" t="str">
        <f aca="false">IF(L745="","",INDEX(ポート振替表!$B$5:$B$3507,$L745)&amp;" "&amp;INDEX(ポート振替表!$C$5:$C$3507,$L745)&amp;"  ⇔  "&amp;INDEX(ポート振替表!$H$5:$H$3507,$L745)&amp;" "&amp;INDEX(ポート振替表!$I$5:$I$3507,$L745))</f>
        <v/>
      </c>
      <c r="D745" s="57" t="s">
        <v>158</v>
      </c>
      <c r="E745" s="59" t="str">
        <f aca="false">IF(L745="","",IF(INDEX(ポート振替表!$O$5:$O$3507,$L745)="","(未設定)",INDEX(ポート振替表!$O$5:$O$3507,$L745)&amp;""))</f>
        <v/>
      </c>
      <c r="F745" s="52" t="str">
        <f aca="false">IF(L745="","",INDEX(ポート振替表!$K$5:$K$3507,$L745)&amp;" "&amp;INDEX(ポート振替表!$L$5:$L$3507,$L745)&amp;"  ⇔  "&amp;INDEX(ポート振替表!$H$5:$H$3507,$L745)&amp;" "&amp;INDEX(ポート振替表!$I$5:$I$3507,$L745))</f>
        <v/>
      </c>
      <c r="G745" s="57" t="s">
        <v>158</v>
      </c>
      <c r="H745" s="32" t="str">
        <f aca="false">IF(L745="","",INDEX(ポート振替表!$N$5:$N$3507,$L745)&amp;"")</f>
        <v/>
      </c>
      <c r="I745" s="32" t="str">
        <f aca="false">IF(L745="","",INDEX(ポート振替表!$P$5:$P$3507,$L745)&amp;"")</f>
        <v/>
      </c>
      <c r="J745" s="60" t="str">
        <f aca="false">IF(L745="","",INDEX(ポート振替表!$M$5:$M$3507,$L745)&amp;"")</f>
        <v/>
      </c>
      <c r="K745" s="52" t="str">
        <f aca="false">IF(L745="","",E745&amp;CHAR(10)&amp;INDEX(ポート振替表!$K$5:$K$3507,$L745)&amp;" "&amp;INDEX(ポート振替表!$L$5:$L$3507,$L745)&amp;CHAR(10)&amp;"⇔ "&amp;INDEX(ポート振替表!$H$5:$H$3507,$L745)&amp;" "&amp;INDEX(ポート振替表!$I$5:$I$3507,$L745))</f>
        <v/>
      </c>
      <c r="L745" s="47" t="str">
        <f aca="false">IFERROR(MATCH(ROW()-4,ポート振替表!$V$5:$V$3507,0),"")</f>
        <v/>
      </c>
    </row>
    <row r="746" customFormat="false" ht="16.4" hidden="false" customHeight="false" outlineLevel="0" collapsed="false">
      <c r="A746" s="32" t="str">
        <f aca="false">IF(L746="","",ROW()-4)</f>
        <v/>
      </c>
      <c r="B746" s="58" t="str">
        <f aca="false">IF(L746="","",IF(INDEX(ポート振替表!$W$5:$W$3507,$L746)="","(なし)",INDEX(ポート振替表!$W$5:$W$3507,$L746)&amp;""))</f>
        <v/>
      </c>
      <c r="C746" s="52" t="str">
        <f aca="false">IF(L746="","",INDEX(ポート振替表!$B$5:$B$3507,$L746)&amp;" "&amp;INDEX(ポート振替表!$C$5:$C$3507,$L746)&amp;"  ⇔  "&amp;INDEX(ポート振替表!$H$5:$H$3507,$L746)&amp;" "&amp;INDEX(ポート振替表!$I$5:$I$3507,$L746))</f>
        <v/>
      </c>
      <c r="D746" s="57" t="s">
        <v>158</v>
      </c>
      <c r="E746" s="59" t="str">
        <f aca="false">IF(L746="","",IF(INDEX(ポート振替表!$O$5:$O$3507,$L746)="","(未設定)",INDEX(ポート振替表!$O$5:$O$3507,$L746)&amp;""))</f>
        <v/>
      </c>
      <c r="F746" s="52" t="str">
        <f aca="false">IF(L746="","",INDEX(ポート振替表!$K$5:$K$3507,$L746)&amp;" "&amp;INDEX(ポート振替表!$L$5:$L$3507,$L746)&amp;"  ⇔  "&amp;INDEX(ポート振替表!$H$5:$H$3507,$L746)&amp;" "&amp;INDEX(ポート振替表!$I$5:$I$3507,$L746))</f>
        <v/>
      </c>
      <c r="G746" s="57" t="s">
        <v>158</v>
      </c>
      <c r="H746" s="32" t="str">
        <f aca="false">IF(L746="","",INDEX(ポート振替表!$N$5:$N$3507,$L746)&amp;"")</f>
        <v/>
      </c>
      <c r="I746" s="32" t="str">
        <f aca="false">IF(L746="","",INDEX(ポート振替表!$P$5:$P$3507,$L746)&amp;"")</f>
        <v/>
      </c>
      <c r="J746" s="60" t="str">
        <f aca="false">IF(L746="","",INDEX(ポート振替表!$M$5:$M$3507,$L746)&amp;"")</f>
        <v/>
      </c>
      <c r="K746" s="52" t="str">
        <f aca="false">IF(L746="","",E746&amp;CHAR(10)&amp;INDEX(ポート振替表!$K$5:$K$3507,$L746)&amp;" "&amp;INDEX(ポート振替表!$L$5:$L$3507,$L746)&amp;CHAR(10)&amp;"⇔ "&amp;INDEX(ポート振替表!$H$5:$H$3507,$L746)&amp;" "&amp;INDEX(ポート振替表!$I$5:$I$3507,$L746))</f>
        <v/>
      </c>
      <c r="L746" s="47" t="str">
        <f aca="false">IFERROR(MATCH(ROW()-4,ポート振替表!$V$5:$V$3507,0),"")</f>
        <v/>
      </c>
    </row>
    <row r="747" customFormat="false" ht="16.4" hidden="false" customHeight="false" outlineLevel="0" collapsed="false">
      <c r="A747" s="32" t="str">
        <f aca="false">IF(L747="","",ROW()-4)</f>
        <v/>
      </c>
      <c r="B747" s="58" t="str">
        <f aca="false">IF(L747="","",IF(INDEX(ポート振替表!$W$5:$W$3507,$L747)="","(なし)",INDEX(ポート振替表!$W$5:$W$3507,$L747)&amp;""))</f>
        <v/>
      </c>
      <c r="C747" s="52" t="str">
        <f aca="false">IF(L747="","",INDEX(ポート振替表!$B$5:$B$3507,$L747)&amp;" "&amp;INDEX(ポート振替表!$C$5:$C$3507,$L747)&amp;"  ⇔  "&amp;INDEX(ポート振替表!$H$5:$H$3507,$L747)&amp;" "&amp;INDEX(ポート振替表!$I$5:$I$3507,$L747))</f>
        <v/>
      </c>
      <c r="D747" s="57" t="s">
        <v>158</v>
      </c>
      <c r="E747" s="59" t="str">
        <f aca="false">IF(L747="","",IF(INDEX(ポート振替表!$O$5:$O$3507,$L747)="","(未設定)",INDEX(ポート振替表!$O$5:$O$3507,$L747)&amp;""))</f>
        <v/>
      </c>
      <c r="F747" s="52" t="str">
        <f aca="false">IF(L747="","",INDEX(ポート振替表!$K$5:$K$3507,$L747)&amp;" "&amp;INDEX(ポート振替表!$L$5:$L$3507,$L747)&amp;"  ⇔  "&amp;INDEX(ポート振替表!$H$5:$H$3507,$L747)&amp;" "&amp;INDEX(ポート振替表!$I$5:$I$3507,$L747))</f>
        <v/>
      </c>
      <c r="G747" s="57" t="s">
        <v>158</v>
      </c>
      <c r="H747" s="32" t="str">
        <f aca="false">IF(L747="","",INDEX(ポート振替表!$N$5:$N$3507,$L747)&amp;"")</f>
        <v/>
      </c>
      <c r="I747" s="32" t="str">
        <f aca="false">IF(L747="","",INDEX(ポート振替表!$P$5:$P$3507,$L747)&amp;"")</f>
        <v/>
      </c>
      <c r="J747" s="60" t="str">
        <f aca="false">IF(L747="","",INDEX(ポート振替表!$M$5:$M$3507,$L747)&amp;"")</f>
        <v/>
      </c>
      <c r="K747" s="52" t="str">
        <f aca="false">IF(L747="","",E747&amp;CHAR(10)&amp;INDEX(ポート振替表!$K$5:$K$3507,$L747)&amp;" "&amp;INDEX(ポート振替表!$L$5:$L$3507,$L747)&amp;CHAR(10)&amp;"⇔ "&amp;INDEX(ポート振替表!$H$5:$H$3507,$L747)&amp;" "&amp;INDEX(ポート振替表!$I$5:$I$3507,$L747))</f>
        <v/>
      </c>
      <c r="L747" s="47" t="str">
        <f aca="false">IFERROR(MATCH(ROW()-4,ポート振替表!$V$5:$V$3507,0),"")</f>
        <v/>
      </c>
    </row>
    <row r="748" customFormat="false" ht="16.4" hidden="false" customHeight="false" outlineLevel="0" collapsed="false">
      <c r="A748" s="32" t="str">
        <f aca="false">IF(L748="","",ROW()-4)</f>
        <v/>
      </c>
      <c r="B748" s="58" t="str">
        <f aca="false">IF(L748="","",IF(INDEX(ポート振替表!$W$5:$W$3507,$L748)="","(なし)",INDEX(ポート振替表!$W$5:$W$3507,$L748)&amp;""))</f>
        <v/>
      </c>
      <c r="C748" s="52" t="str">
        <f aca="false">IF(L748="","",INDEX(ポート振替表!$B$5:$B$3507,$L748)&amp;" "&amp;INDEX(ポート振替表!$C$5:$C$3507,$L748)&amp;"  ⇔  "&amp;INDEX(ポート振替表!$H$5:$H$3507,$L748)&amp;" "&amp;INDEX(ポート振替表!$I$5:$I$3507,$L748))</f>
        <v/>
      </c>
      <c r="D748" s="57" t="s">
        <v>158</v>
      </c>
      <c r="E748" s="59" t="str">
        <f aca="false">IF(L748="","",IF(INDEX(ポート振替表!$O$5:$O$3507,$L748)="","(未設定)",INDEX(ポート振替表!$O$5:$O$3507,$L748)&amp;""))</f>
        <v/>
      </c>
      <c r="F748" s="52" t="str">
        <f aca="false">IF(L748="","",INDEX(ポート振替表!$K$5:$K$3507,$L748)&amp;" "&amp;INDEX(ポート振替表!$L$5:$L$3507,$L748)&amp;"  ⇔  "&amp;INDEX(ポート振替表!$H$5:$H$3507,$L748)&amp;" "&amp;INDEX(ポート振替表!$I$5:$I$3507,$L748))</f>
        <v/>
      </c>
      <c r="G748" s="57" t="s">
        <v>158</v>
      </c>
      <c r="H748" s="32" t="str">
        <f aca="false">IF(L748="","",INDEX(ポート振替表!$N$5:$N$3507,$L748)&amp;"")</f>
        <v/>
      </c>
      <c r="I748" s="32" t="str">
        <f aca="false">IF(L748="","",INDEX(ポート振替表!$P$5:$P$3507,$L748)&amp;"")</f>
        <v/>
      </c>
      <c r="J748" s="60" t="str">
        <f aca="false">IF(L748="","",INDEX(ポート振替表!$M$5:$M$3507,$L748)&amp;"")</f>
        <v/>
      </c>
      <c r="K748" s="52" t="str">
        <f aca="false">IF(L748="","",E748&amp;CHAR(10)&amp;INDEX(ポート振替表!$K$5:$K$3507,$L748)&amp;" "&amp;INDEX(ポート振替表!$L$5:$L$3507,$L748)&amp;CHAR(10)&amp;"⇔ "&amp;INDEX(ポート振替表!$H$5:$H$3507,$L748)&amp;" "&amp;INDEX(ポート振替表!$I$5:$I$3507,$L748))</f>
        <v/>
      </c>
      <c r="L748" s="47" t="str">
        <f aca="false">IFERROR(MATCH(ROW()-4,ポート振替表!$V$5:$V$3507,0),"")</f>
        <v/>
      </c>
    </row>
    <row r="749" customFormat="false" ht="16.4" hidden="false" customHeight="false" outlineLevel="0" collapsed="false">
      <c r="A749" s="32" t="str">
        <f aca="false">IF(L749="","",ROW()-4)</f>
        <v/>
      </c>
      <c r="B749" s="58" t="str">
        <f aca="false">IF(L749="","",IF(INDEX(ポート振替表!$W$5:$W$3507,$L749)="","(なし)",INDEX(ポート振替表!$W$5:$W$3507,$L749)&amp;""))</f>
        <v/>
      </c>
      <c r="C749" s="52" t="str">
        <f aca="false">IF(L749="","",INDEX(ポート振替表!$B$5:$B$3507,$L749)&amp;" "&amp;INDEX(ポート振替表!$C$5:$C$3507,$L749)&amp;"  ⇔  "&amp;INDEX(ポート振替表!$H$5:$H$3507,$L749)&amp;" "&amp;INDEX(ポート振替表!$I$5:$I$3507,$L749))</f>
        <v/>
      </c>
      <c r="D749" s="57" t="s">
        <v>158</v>
      </c>
      <c r="E749" s="59" t="str">
        <f aca="false">IF(L749="","",IF(INDEX(ポート振替表!$O$5:$O$3507,$L749)="","(未設定)",INDEX(ポート振替表!$O$5:$O$3507,$L749)&amp;""))</f>
        <v/>
      </c>
      <c r="F749" s="52" t="str">
        <f aca="false">IF(L749="","",INDEX(ポート振替表!$K$5:$K$3507,$L749)&amp;" "&amp;INDEX(ポート振替表!$L$5:$L$3507,$L749)&amp;"  ⇔  "&amp;INDEX(ポート振替表!$H$5:$H$3507,$L749)&amp;" "&amp;INDEX(ポート振替表!$I$5:$I$3507,$L749))</f>
        <v/>
      </c>
      <c r="G749" s="57" t="s">
        <v>158</v>
      </c>
      <c r="H749" s="32" t="str">
        <f aca="false">IF(L749="","",INDEX(ポート振替表!$N$5:$N$3507,$L749)&amp;"")</f>
        <v/>
      </c>
      <c r="I749" s="32" t="str">
        <f aca="false">IF(L749="","",INDEX(ポート振替表!$P$5:$P$3507,$L749)&amp;"")</f>
        <v/>
      </c>
      <c r="J749" s="60" t="str">
        <f aca="false">IF(L749="","",INDEX(ポート振替表!$M$5:$M$3507,$L749)&amp;"")</f>
        <v/>
      </c>
      <c r="K749" s="52" t="str">
        <f aca="false">IF(L749="","",E749&amp;CHAR(10)&amp;INDEX(ポート振替表!$K$5:$K$3507,$L749)&amp;" "&amp;INDEX(ポート振替表!$L$5:$L$3507,$L749)&amp;CHAR(10)&amp;"⇔ "&amp;INDEX(ポート振替表!$H$5:$H$3507,$L749)&amp;" "&amp;INDEX(ポート振替表!$I$5:$I$3507,$L749))</f>
        <v/>
      </c>
      <c r="L749" s="47" t="str">
        <f aca="false">IFERROR(MATCH(ROW()-4,ポート振替表!$V$5:$V$3507,0),"")</f>
        <v/>
      </c>
    </row>
    <row r="750" customFormat="false" ht="16.4" hidden="false" customHeight="false" outlineLevel="0" collapsed="false">
      <c r="A750" s="32" t="str">
        <f aca="false">IF(L750="","",ROW()-4)</f>
        <v/>
      </c>
      <c r="B750" s="58" t="str">
        <f aca="false">IF(L750="","",IF(INDEX(ポート振替表!$W$5:$W$3507,$L750)="","(なし)",INDEX(ポート振替表!$W$5:$W$3507,$L750)&amp;""))</f>
        <v/>
      </c>
      <c r="C750" s="52" t="str">
        <f aca="false">IF(L750="","",INDEX(ポート振替表!$B$5:$B$3507,$L750)&amp;" "&amp;INDEX(ポート振替表!$C$5:$C$3507,$L750)&amp;"  ⇔  "&amp;INDEX(ポート振替表!$H$5:$H$3507,$L750)&amp;" "&amp;INDEX(ポート振替表!$I$5:$I$3507,$L750))</f>
        <v/>
      </c>
      <c r="D750" s="57" t="s">
        <v>158</v>
      </c>
      <c r="E750" s="59" t="str">
        <f aca="false">IF(L750="","",IF(INDEX(ポート振替表!$O$5:$O$3507,$L750)="","(未設定)",INDEX(ポート振替表!$O$5:$O$3507,$L750)&amp;""))</f>
        <v/>
      </c>
      <c r="F750" s="52" t="str">
        <f aca="false">IF(L750="","",INDEX(ポート振替表!$K$5:$K$3507,$L750)&amp;" "&amp;INDEX(ポート振替表!$L$5:$L$3507,$L750)&amp;"  ⇔  "&amp;INDEX(ポート振替表!$H$5:$H$3507,$L750)&amp;" "&amp;INDEX(ポート振替表!$I$5:$I$3507,$L750))</f>
        <v/>
      </c>
      <c r="G750" s="57" t="s">
        <v>158</v>
      </c>
      <c r="H750" s="32" t="str">
        <f aca="false">IF(L750="","",INDEX(ポート振替表!$N$5:$N$3507,$L750)&amp;"")</f>
        <v/>
      </c>
      <c r="I750" s="32" t="str">
        <f aca="false">IF(L750="","",INDEX(ポート振替表!$P$5:$P$3507,$L750)&amp;"")</f>
        <v/>
      </c>
      <c r="J750" s="60" t="str">
        <f aca="false">IF(L750="","",INDEX(ポート振替表!$M$5:$M$3507,$L750)&amp;"")</f>
        <v/>
      </c>
      <c r="K750" s="52" t="str">
        <f aca="false">IF(L750="","",E750&amp;CHAR(10)&amp;INDEX(ポート振替表!$K$5:$K$3507,$L750)&amp;" "&amp;INDEX(ポート振替表!$L$5:$L$3507,$L750)&amp;CHAR(10)&amp;"⇔ "&amp;INDEX(ポート振替表!$H$5:$H$3507,$L750)&amp;" "&amp;INDEX(ポート振替表!$I$5:$I$3507,$L750))</f>
        <v/>
      </c>
      <c r="L750" s="47" t="str">
        <f aca="false">IFERROR(MATCH(ROW()-4,ポート振替表!$V$5:$V$3507,0),"")</f>
        <v/>
      </c>
    </row>
    <row r="751" customFormat="false" ht="16.4" hidden="false" customHeight="false" outlineLevel="0" collapsed="false">
      <c r="A751" s="32" t="str">
        <f aca="false">IF(L751="","",ROW()-4)</f>
        <v/>
      </c>
      <c r="B751" s="58" t="str">
        <f aca="false">IF(L751="","",IF(INDEX(ポート振替表!$W$5:$W$3507,$L751)="","(なし)",INDEX(ポート振替表!$W$5:$W$3507,$L751)&amp;""))</f>
        <v/>
      </c>
      <c r="C751" s="52" t="str">
        <f aca="false">IF(L751="","",INDEX(ポート振替表!$B$5:$B$3507,$L751)&amp;" "&amp;INDEX(ポート振替表!$C$5:$C$3507,$L751)&amp;"  ⇔  "&amp;INDEX(ポート振替表!$H$5:$H$3507,$L751)&amp;" "&amp;INDEX(ポート振替表!$I$5:$I$3507,$L751))</f>
        <v/>
      </c>
      <c r="D751" s="57" t="s">
        <v>158</v>
      </c>
      <c r="E751" s="59" t="str">
        <f aca="false">IF(L751="","",IF(INDEX(ポート振替表!$O$5:$O$3507,$L751)="","(未設定)",INDEX(ポート振替表!$O$5:$O$3507,$L751)&amp;""))</f>
        <v/>
      </c>
      <c r="F751" s="52" t="str">
        <f aca="false">IF(L751="","",INDEX(ポート振替表!$K$5:$K$3507,$L751)&amp;" "&amp;INDEX(ポート振替表!$L$5:$L$3507,$L751)&amp;"  ⇔  "&amp;INDEX(ポート振替表!$H$5:$H$3507,$L751)&amp;" "&amp;INDEX(ポート振替表!$I$5:$I$3507,$L751))</f>
        <v/>
      </c>
      <c r="G751" s="57" t="s">
        <v>158</v>
      </c>
      <c r="H751" s="32" t="str">
        <f aca="false">IF(L751="","",INDEX(ポート振替表!$N$5:$N$3507,$L751)&amp;"")</f>
        <v/>
      </c>
      <c r="I751" s="32" t="str">
        <f aca="false">IF(L751="","",INDEX(ポート振替表!$P$5:$P$3507,$L751)&amp;"")</f>
        <v/>
      </c>
      <c r="J751" s="60" t="str">
        <f aca="false">IF(L751="","",INDEX(ポート振替表!$M$5:$M$3507,$L751)&amp;"")</f>
        <v/>
      </c>
      <c r="K751" s="52" t="str">
        <f aca="false">IF(L751="","",E751&amp;CHAR(10)&amp;INDEX(ポート振替表!$K$5:$K$3507,$L751)&amp;" "&amp;INDEX(ポート振替表!$L$5:$L$3507,$L751)&amp;CHAR(10)&amp;"⇔ "&amp;INDEX(ポート振替表!$H$5:$H$3507,$L751)&amp;" "&amp;INDEX(ポート振替表!$I$5:$I$3507,$L751))</f>
        <v/>
      </c>
      <c r="L751" s="47" t="str">
        <f aca="false">IFERROR(MATCH(ROW()-4,ポート振替表!$V$5:$V$3507,0),"")</f>
        <v/>
      </c>
    </row>
    <row r="752" customFormat="false" ht="16.4" hidden="false" customHeight="false" outlineLevel="0" collapsed="false">
      <c r="A752" s="32" t="str">
        <f aca="false">IF(L752="","",ROW()-4)</f>
        <v/>
      </c>
      <c r="B752" s="58" t="str">
        <f aca="false">IF(L752="","",IF(INDEX(ポート振替表!$W$5:$W$3507,$L752)="","(なし)",INDEX(ポート振替表!$W$5:$W$3507,$L752)&amp;""))</f>
        <v/>
      </c>
      <c r="C752" s="52" t="str">
        <f aca="false">IF(L752="","",INDEX(ポート振替表!$B$5:$B$3507,$L752)&amp;" "&amp;INDEX(ポート振替表!$C$5:$C$3507,$L752)&amp;"  ⇔  "&amp;INDEX(ポート振替表!$H$5:$H$3507,$L752)&amp;" "&amp;INDEX(ポート振替表!$I$5:$I$3507,$L752))</f>
        <v/>
      </c>
      <c r="D752" s="57" t="s">
        <v>158</v>
      </c>
      <c r="E752" s="59" t="str">
        <f aca="false">IF(L752="","",IF(INDEX(ポート振替表!$O$5:$O$3507,$L752)="","(未設定)",INDEX(ポート振替表!$O$5:$O$3507,$L752)&amp;""))</f>
        <v/>
      </c>
      <c r="F752" s="52" t="str">
        <f aca="false">IF(L752="","",INDEX(ポート振替表!$K$5:$K$3507,$L752)&amp;" "&amp;INDEX(ポート振替表!$L$5:$L$3507,$L752)&amp;"  ⇔  "&amp;INDEX(ポート振替表!$H$5:$H$3507,$L752)&amp;" "&amp;INDEX(ポート振替表!$I$5:$I$3507,$L752))</f>
        <v/>
      </c>
      <c r="G752" s="57" t="s">
        <v>158</v>
      </c>
      <c r="H752" s="32" t="str">
        <f aca="false">IF(L752="","",INDEX(ポート振替表!$N$5:$N$3507,$L752)&amp;"")</f>
        <v/>
      </c>
      <c r="I752" s="32" t="str">
        <f aca="false">IF(L752="","",INDEX(ポート振替表!$P$5:$P$3507,$L752)&amp;"")</f>
        <v/>
      </c>
      <c r="J752" s="60" t="str">
        <f aca="false">IF(L752="","",INDEX(ポート振替表!$M$5:$M$3507,$L752)&amp;"")</f>
        <v/>
      </c>
      <c r="K752" s="52" t="str">
        <f aca="false">IF(L752="","",E752&amp;CHAR(10)&amp;INDEX(ポート振替表!$K$5:$K$3507,$L752)&amp;" "&amp;INDEX(ポート振替表!$L$5:$L$3507,$L752)&amp;CHAR(10)&amp;"⇔ "&amp;INDEX(ポート振替表!$H$5:$H$3507,$L752)&amp;" "&amp;INDEX(ポート振替表!$I$5:$I$3507,$L752))</f>
        <v/>
      </c>
      <c r="L752" s="47" t="str">
        <f aca="false">IFERROR(MATCH(ROW()-4,ポート振替表!$V$5:$V$3507,0),"")</f>
        <v/>
      </c>
    </row>
    <row r="753" customFormat="false" ht="16.4" hidden="false" customHeight="false" outlineLevel="0" collapsed="false">
      <c r="A753" s="32" t="str">
        <f aca="false">IF(L753="","",ROW()-4)</f>
        <v/>
      </c>
      <c r="B753" s="58" t="str">
        <f aca="false">IF(L753="","",IF(INDEX(ポート振替表!$W$5:$W$3507,$L753)="","(なし)",INDEX(ポート振替表!$W$5:$W$3507,$L753)&amp;""))</f>
        <v/>
      </c>
      <c r="C753" s="52" t="str">
        <f aca="false">IF(L753="","",INDEX(ポート振替表!$B$5:$B$3507,$L753)&amp;" "&amp;INDEX(ポート振替表!$C$5:$C$3507,$L753)&amp;"  ⇔  "&amp;INDEX(ポート振替表!$H$5:$H$3507,$L753)&amp;" "&amp;INDEX(ポート振替表!$I$5:$I$3507,$L753))</f>
        <v/>
      </c>
      <c r="D753" s="57" t="s">
        <v>158</v>
      </c>
      <c r="E753" s="59" t="str">
        <f aca="false">IF(L753="","",IF(INDEX(ポート振替表!$O$5:$O$3507,$L753)="","(未設定)",INDEX(ポート振替表!$O$5:$O$3507,$L753)&amp;""))</f>
        <v/>
      </c>
      <c r="F753" s="52" t="str">
        <f aca="false">IF(L753="","",INDEX(ポート振替表!$K$5:$K$3507,$L753)&amp;" "&amp;INDEX(ポート振替表!$L$5:$L$3507,$L753)&amp;"  ⇔  "&amp;INDEX(ポート振替表!$H$5:$H$3507,$L753)&amp;" "&amp;INDEX(ポート振替表!$I$5:$I$3507,$L753))</f>
        <v/>
      </c>
      <c r="G753" s="57" t="s">
        <v>158</v>
      </c>
      <c r="H753" s="32" t="str">
        <f aca="false">IF(L753="","",INDEX(ポート振替表!$N$5:$N$3507,$L753)&amp;"")</f>
        <v/>
      </c>
      <c r="I753" s="32" t="str">
        <f aca="false">IF(L753="","",INDEX(ポート振替表!$P$5:$P$3507,$L753)&amp;"")</f>
        <v/>
      </c>
      <c r="J753" s="60" t="str">
        <f aca="false">IF(L753="","",INDEX(ポート振替表!$M$5:$M$3507,$L753)&amp;"")</f>
        <v/>
      </c>
      <c r="K753" s="52" t="str">
        <f aca="false">IF(L753="","",E753&amp;CHAR(10)&amp;INDEX(ポート振替表!$K$5:$K$3507,$L753)&amp;" "&amp;INDEX(ポート振替表!$L$5:$L$3507,$L753)&amp;CHAR(10)&amp;"⇔ "&amp;INDEX(ポート振替表!$H$5:$H$3507,$L753)&amp;" "&amp;INDEX(ポート振替表!$I$5:$I$3507,$L753))</f>
        <v/>
      </c>
      <c r="L753" s="47" t="str">
        <f aca="false">IFERROR(MATCH(ROW()-4,ポート振替表!$V$5:$V$3507,0),"")</f>
        <v/>
      </c>
    </row>
    <row r="754" customFormat="false" ht="16.4" hidden="false" customHeight="false" outlineLevel="0" collapsed="false">
      <c r="A754" s="32" t="str">
        <f aca="false">IF(L754="","",ROW()-4)</f>
        <v/>
      </c>
      <c r="B754" s="58" t="str">
        <f aca="false">IF(L754="","",IF(INDEX(ポート振替表!$W$5:$W$3507,$L754)="","(なし)",INDEX(ポート振替表!$W$5:$W$3507,$L754)&amp;""))</f>
        <v/>
      </c>
      <c r="C754" s="52" t="str">
        <f aca="false">IF(L754="","",INDEX(ポート振替表!$B$5:$B$3507,$L754)&amp;" "&amp;INDEX(ポート振替表!$C$5:$C$3507,$L754)&amp;"  ⇔  "&amp;INDEX(ポート振替表!$H$5:$H$3507,$L754)&amp;" "&amp;INDEX(ポート振替表!$I$5:$I$3507,$L754))</f>
        <v/>
      </c>
      <c r="D754" s="57" t="s">
        <v>158</v>
      </c>
      <c r="E754" s="59" t="str">
        <f aca="false">IF(L754="","",IF(INDEX(ポート振替表!$O$5:$O$3507,$L754)="","(未設定)",INDEX(ポート振替表!$O$5:$O$3507,$L754)&amp;""))</f>
        <v/>
      </c>
      <c r="F754" s="52" t="str">
        <f aca="false">IF(L754="","",INDEX(ポート振替表!$K$5:$K$3507,$L754)&amp;" "&amp;INDEX(ポート振替表!$L$5:$L$3507,$L754)&amp;"  ⇔  "&amp;INDEX(ポート振替表!$H$5:$H$3507,$L754)&amp;" "&amp;INDEX(ポート振替表!$I$5:$I$3507,$L754))</f>
        <v/>
      </c>
      <c r="G754" s="57" t="s">
        <v>158</v>
      </c>
      <c r="H754" s="32" t="str">
        <f aca="false">IF(L754="","",INDEX(ポート振替表!$N$5:$N$3507,$L754)&amp;"")</f>
        <v/>
      </c>
      <c r="I754" s="32" t="str">
        <f aca="false">IF(L754="","",INDEX(ポート振替表!$P$5:$P$3507,$L754)&amp;"")</f>
        <v/>
      </c>
      <c r="J754" s="60" t="str">
        <f aca="false">IF(L754="","",INDEX(ポート振替表!$M$5:$M$3507,$L754)&amp;"")</f>
        <v/>
      </c>
      <c r="K754" s="52" t="str">
        <f aca="false">IF(L754="","",E754&amp;CHAR(10)&amp;INDEX(ポート振替表!$K$5:$K$3507,$L754)&amp;" "&amp;INDEX(ポート振替表!$L$5:$L$3507,$L754)&amp;CHAR(10)&amp;"⇔ "&amp;INDEX(ポート振替表!$H$5:$H$3507,$L754)&amp;" "&amp;INDEX(ポート振替表!$I$5:$I$3507,$L754))</f>
        <v/>
      </c>
      <c r="L754" s="47" t="str">
        <f aca="false">IFERROR(MATCH(ROW()-4,ポート振替表!$V$5:$V$3507,0),"")</f>
        <v/>
      </c>
    </row>
    <row r="755" customFormat="false" ht="16.4" hidden="false" customHeight="false" outlineLevel="0" collapsed="false">
      <c r="A755" s="32" t="str">
        <f aca="false">IF(L755="","",ROW()-4)</f>
        <v/>
      </c>
      <c r="B755" s="58" t="str">
        <f aca="false">IF(L755="","",IF(INDEX(ポート振替表!$W$5:$W$3507,$L755)="","(なし)",INDEX(ポート振替表!$W$5:$W$3507,$L755)&amp;""))</f>
        <v/>
      </c>
      <c r="C755" s="52" t="str">
        <f aca="false">IF(L755="","",INDEX(ポート振替表!$B$5:$B$3507,$L755)&amp;" "&amp;INDEX(ポート振替表!$C$5:$C$3507,$L755)&amp;"  ⇔  "&amp;INDEX(ポート振替表!$H$5:$H$3507,$L755)&amp;" "&amp;INDEX(ポート振替表!$I$5:$I$3507,$L755))</f>
        <v/>
      </c>
      <c r="D755" s="57" t="s">
        <v>158</v>
      </c>
      <c r="E755" s="59" t="str">
        <f aca="false">IF(L755="","",IF(INDEX(ポート振替表!$O$5:$O$3507,$L755)="","(未設定)",INDEX(ポート振替表!$O$5:$O$3507,$L755)&amp;""))</f>
        <v/>
      </c>
      <c r="F755" s="52" t="str">
        <f aca="false">IF(L755="","",INDEX(ポート振替表!$K$5:$K$3507,$L755)&amp;" "&amp;INDEX(ポート振替表!$L$5:$L$3507,$L755)&amp;"  ⇔  "&amp;INDEX(ポート振替表!$H$5:$H$3507,$L755)&amp;" "&amp;INDEX(ポート振替表!$I$5:$I$3507,$L755))</f>
        <v/>
      </c>
      <c r="G755" s="57" t="s">
        <v>158</v>
      </c>
      <c r="H755" s="32" t="str">
        <f aca="false">IF(L755="","",INDEX(ポート振替表!$N$5:$N$3507,$L755)&amp;"")</f>
        <v/>
      </c>
      <c r="I755" s="32" t="str">
        <f aca="false">IF(L755="","",INDEX(ポート振替表!$P$5:$P$3507,$L755)&amp;"")</f>
        <v/>
      </c>
      <c r="J755" s="60" t="str">
        <f aca="false">IF(L755="","",INDEX(ポート振替表!$M$5:$M$3507,$L755)&amp;"")</f>
        <v/>
      </c>
      <c r="K755" s="52" t="str">
        <f aca="false">IF(L755="","",E755&amp;CHAR(10)&amp;INDEX(ポート振替表!$K$5:$K$3507,$L755)&amp;" "&amp;INDEX(ポート振替表!$L$5:$L$3507,$L755)&amp;CHAR(10)&amp;"⇔ "&amp;INDEX(ポート振替表!$H$5:$H$3507,$L755)&amp;" "&amp;INDEX(ポート振替表!$I$5:$I$3507,$L755))</f>
        <v/>
      </c>
      <c r="L755" s="47" t="str">
        <f aca="false">IFERROR(MATCH(ROW()-4,ポート振替表!$V$5:$V$3507,0),"")</f>
        <v/>
      </c>
    </row>
    <row r="756" customFormat="false" ht="16.4" hidden="false" customHeight="false" outlineLevel="0" collapsed="false">
      <c r="A756" s="32" t="str">
        <f aca="false">IF(L756="","",ROW()-4)</f>
        <v/>
      </c>
      <c r="B756" s="58" t="str">
        <f aca="false">IF(L756="","",IF(INDEX(ポート振替表!$W$5:$W$3507,$L756)="","(なし)",INDEX(ポート振替表!$W$5:$W$3507,$L756)&amp;""))</f>
        <v/>
      </c>
      <c r="C756" s="52" t="str">
        <f aca="false">IF(L756="","",INDEX(ポート振替表!$B$5:$B$3507,$L756)&amp;" "&amp;INDEX(ポート振替表!$C$5:$C$3507,$L756)&amp;"  ⇔  "&amp;INDEX(ポート振替表!$H$5:$H$3507,$L756)&amp;" "&amp;INDEX(ポート振替表!$I$5:$I$3507,$L756))</f>
        <v/>
      </c>
      <c r="D756" s="57" t="s">
        <v>158</v>
      </c>
      <c r="E756" s="59" t="str">
        <f aca="false">IF(L756="","",IF(INDEX(ポート振替表!$O$5:$O$3507,$L756)="","(未設定)",INDEX(ポート振替表!$O$5:$O$3507,$L756)&amp;""))</f>
        <v/>
      </c>
      <c r="F756" s="52" t="str">
        <f aca="false">IF(L756="","",INDEX(ポート振替表!$K$5:$K$3507,$L756)&amp;" "&amp;INDEX(ポート振替表!$L$5:$L$3507,$L756)&amp;"  ⇔  "&amp;INDEX(ポート振替表!$H$5:$H$3507,$L756)&amp;" "&amp;INDEX(ポート振替表!$I$5:$I$3507,$L756))</f>
        <v/>
      </c>
      <c r="G756" s="57" t="s">
        <v>158</v>
      </c>
      <c r="H756" s="32" t="str">
        <f aca="false">IF(L756="","",INDEX(ポート振替表!$N$5:$N$3507,$L756)&amp;"")</f>
        <v/>
      </c>
      <c r="I756" s="32" t="str">
        <f aca="false">IF(L756="","",INDEX(ポート振替表!$P$5:$P$3507,$L756)&amp;"")</f>
        <v/>
      </c>
      <c r="J756" s="60" t="str">
        <f aca="false">IF(L756="","",INDEX(ポート振替表!$M$5:$M$3507,$L756)&amp;"")</f>
        <v/>
      </c>
      <c r="K756" s="52" t="str">
        <f aca="false">IF(L756="","",E756&amp;CHAR(10)&amp;INDEX(ポート振替表!$K$5:$K$3507,$L756)&amp;" "&amp;INDEX(ポート振替表!$L$5:$L$3507,$L756)&amp;CHAR(10)&amp;"⇔ "&amp;INDEX(ポート振替表!$H$5:$H$3507,$L756)&amp;" "&amp;INDEX(ポート振替表!$I$5:$I$3507,$L756))</f>
        <v/>
      </c>
      <c r="L756" s="47" t="str">
        <f aca="false">IFERROR(MATCH(ROW()-4,ポート振替表!$V$5:$V$3507,0),"")</f>
        <v/>
      </c>
    </row>
    <row r="757" customFormat="false" ht="16.4" hidden="false" customHeight="false" outlineLevel="0" collapsed="false">
      <c r="A757" s="32" t="str">
        <f aca="false">IF(L757="","",ROW()-4)</f>
        <v/>
      </c>
      <c r="B757" s="58" t="str">
        <f aca="false">IF(L757="","",IF(INDEX(ポート振替表!$W$5:$W$3507,$L757)="","(なし)",INDEX(ポート振替表!$W$5:$W$3507,$L757)&amp;""))</f>
        <v/>
      </c>
      <c r="C757" s="52" t="str">
        <f aca="false">IF(L757="","",INDEX(ポート振替表!$B$5:$B$3507,$L757)&amp;" "&amp;INDEX(ポート振替表!$C$5:$C$3507,$L757)&amp;"  ⇔  "&amp;INDEX(ポート振替表!$H$5:$H$3507,$L757)&amp;" "&amp;INDEX(ポート振替表!$I$5:$I$3507,$L757))</f>
        <v/>
      </c>
      <c r="D757" s="57" t="s">
        <v>158</v>
      </c>
      <c r="E757" s="59" t="str">
        <f aca="false">IF(L757="","",IF(INDEX(ポート振替表!$O$5:$O$3507,$L757)="","(未設定)",INDEX(ポート振替表!$O$5:$O$3507,$L757)&amp;""))</f>
        <v/>
      </c>
      <c r="F757" s="52" t="str">
        <f aca="false">IF(L757="","",INDEX(ポート振替表!$K$5:$K$3507,$L757)&amp;" "&amp;INDEX(ポート振替表!$L$5:$L$3507,$L757)&amp;"  ⇔  "&amp;INDEX(ポート振替表!$H$5:$H$3507,$L757)&amp;" "&amp;INDEX(ポート振替表!$I$5:$I$3507,$L757))</f>
        <v/>
      </c>
      <c r="G757" s="57" t="s">
        <v>158</v>
      </c>
      <c r="H757" s="32" t="str">
        <f aca="false">IF(L757="","",INDEX(ポート振替表!$N$5:$N$3507,$L757)&amp;"")</f>
        <v/>
      </c>
      <c r="I757" s="32" t="str">
        <f aca="false">IF(L757="","",INDEX(ポート振替表!$P$5:$P$3507,$L757)&amp;"")</f>
        <v/>
      </c>
      <c r="J757" s="60" t="str">
        <f aca="false">IF(L757="","",INDEX(ポート振替表!$M$5:$M$3507,$L757)&amp;"")</f>
        <v/>
      </c>
      <c r="K757" s="52" t="str">
        <f aca="false">IF(L757="","",E757&amp;CHAR(10)&amp;INDEX(ポート振替表!$K$5:$K$3507,$L757)&amp;" "&amp;INDEX(ポート振替表!$L$5:$L$3507,$L757)&amp;CHAR(10)&amp;"⇔ "&amp;INDEX(ポート振替表!$H$5:$H$3507,$L757)&amp;" "&amp;INDEX(ポート振替表!$I$5:$I$3507,$L757))</f>
        <v/>
      </c>
      <c r="L757" s="47" t="str">
        <f aca="false">IFERROR(MATCH(ROW()-4,ポート振替表!$V$5:$V$3507,0),"")</f>
        <v/>
      </c>
    </row>
    <row r="758" customFormat="false" ht="16.4" hidden="false" customHeight="false" outlineLevel="0" collapsed="false">
      <c r="A758" s="32" t="str">
        <f aca="false">IF(L758="","",ROW()-4)</f>
        <v/>
      </c>
      <c r="B758" s="58" t="str">
        <f aca="false">IF(L758="","",IF(INDEX(ポート振替表!$W$5:$W$3507,$L758)="","(なし)",INDEX(ポート振替表!$W$5:$W$3507,$L758)&amp;""))</f>
        <v/>
      </c>
      <c r="C758" s="52" t="str">
        <f aca="false">IF(L758="","",INDEX(ポート振替表!$B$5:$B$3507,$L758)&amp;" "&amp;INDEX(ポート振替表!$C$5:$C$3507,$L758)&amp;"  ⇔  "&amp;INDEX(ポート振替表!$H$5:$H$3507,$L758)&amp;" "&amp;INDEX(ポート振替表!$I$5:$I$3507,$L758))</f>
        <v/>
      </c>
      <c r="D758" s="57" t="s">
        <v>158</v>
      </c>
      <c r="E758" s="59" t="str">
        <f aca="false">IF(L758="","",IF(INDEX(ポート振替表!$O$5:$O$3507,$L758)="","(未設定)",INDEX(ポート振替表!$O$5:$O$3507,$L758)&amp;""))</f>
        <v/>
      </c>
      <c r="F758" s="52" t="str">
        <f aca="false">IF(L758="","",INDEX(ポート振替表!$K$5:$K$3507,$L758)&amp;" "&amp;INDEX(ポート振替表!$L$5:$L$3507,$L758)&amp;"  ⇔  "&amp;INDEX(ポート振替表!$H$5:$H$3507,$L758)&amp;" "&amp;INDEX(ポート振替表!$I$5:$I$3507,$L758))</f>
        <v/>
      </c>
      <c r="G758" s="57" t="s">
        <v>158</v>
      </c>
      <c r="H758" s="32" t="str">
        <f aca="false">IF(L758="","",INDEX(ポート振替表!$N$5:$N$3507,$L758)&amp;"")</f>
        <v/>
      </c>
      <c r="I758" s="32" t="str">
        <f aca="false">IF(L758="","",INDEX(ポート振替表!$P$5:$P$3507,$L758)&amp;"")</f>
        <v/>
      </c>
      <c r="J758" s="60" t="str">
        <f aca="false">IF(L758="","",INDEX(ポート振替表!$M$5:$M$3507,$L758)&amp;"")</f>
        <v/>
      </c>
      <c r="K758" s="52" t="str">
        <f aca="false">IF(L758="","",E758&amp;CHAR(10)&amp;INDEX(ポート振替表!$K$5:$K$3507,$L758)&amp;" "&amp;INDEX(ポート振替表!$L$5:$L$3507,$L758)&amp;CHAR(10)&amp;"⇔ "&amp;INDEX(ポート振替表!$H$5:$H$3507,$L758)&amp;" "&amp;INDEX(ポート振替表!$I$5:$I$3507,$L758))</f>
        <v/>
      </c>
      <c r="L758" s="47" t="str">
        <f aca="false">IFERROR(MATCH(ROW()-4,ポート振替表!$V$5:$V$3507,0),"")</f>
        <v/>
      </c>
    </row>
    <row r="759" customFormat="false" ht="16.4" hidden="false" customHeight="false" outlineLevel="0" collapsed="false">
      <c r="A759" s="32" t="str">
        <f aca="false">IF(L759="","",ROW()-4)</f>
        <v/>
      </c>
      <c r="B759" s="58" t="str">
        <f aca="false">IF(L759="","",IF(INDEX(ポート振替表!$W$5:$W$3507,$L759)="","(なし)",INDEX(ポート振替表!$W$5:$W$3507,$L759)&amp;""))</f>
        <v/>
      </c>
      <c r="C759" s="52" t="str">
        <f aca="false">IF(L759="","",INDEX(ポート振替表!$B$5:$B$3507,$L759)&amp;" "&amp;INDEX(ポート振替表!$C$5:$C$3507,$L759)&amp;"  ⇔  "&amp;INDEX(ポート振替表!$H$5:$H$3507,$L759)&amp;" "&amp;INDEX(ポート振替表!$I$5:$I$3507,$L759))</f>
        <v/>
      </c>
      <c r="D759" s="57" t="s">
        <v>158</v>
      </c>
      <c r="E759" s="59" t="str">
        <f aca="false">IF(L759="","",IF(INDEX(ポート振替表!$O$5:$O$3507,$L759)="","(未設定)",INDEX(ポート振替表!$O$5:$O$3507,$L759)&amp;""))</f>
        <v/>
      </c>
      <c r="F759" s="52" t="str">
        <f aca="false">IF(L759="","",INDEX(ポート振替表!$K$5:$K$3507,$L759)&amp;" "&amp;INDEX(ポート振替表!$L$5:$L$3507,$L759)&amp;"  ⇔  "&amp;INDEX(ポート振替表!$H$5:$H$3507,$L759)&amp;" "&amp;INDEX(ポート振替表!$I$5:$I$3507,$L759))</f>
        <v/>
      </c>
      <c r="G759" s="57" t="s">
        <v>158</v>
      </c>
      <c r="H759" s="32" t="str">
        <f aca="false">IF(L759="","",INDEX(ポート振替表!$N$5:$N$3507,$L759)&amp;"")</f>
        <v/>
      </c>
      <c r="I759" s="32" t="str">
        <f aca="false">IF(L759="","",INDEX(ポート振替表!$P$5:$P$3507,$L759)&amp;"")</f>
        <v/>
      </c>
      <c r="J759" s="60" t="str">
        <f aca="false">IF(L759="","",INDEX(ポート振替表!$M$5:$M$3507,$L759)&amp;"")</f>
        <v/>
      </c>
      <c r="K759" s="52" t="str">
        <f aca="false">IF(L759="","",E759&amp;CHAR(10)&amp;INDEX(ポート振替表!$K$5:$K$3507,$L759)&amp;" "&amp;INDEX(ポート振替表!$L$5:$L$3507,$L759)&amp;CHAR(10)&amp;"⇔ "&amp;INDEX(ポート振替表!$H$5:$H$3507,$L759)&amp;" "&amp;INDEX(ポート振替表!$I$5:$I$3507,$L759))</f>
        <v/>
      </c>
      <c r="L759" s="47" t="str">
        <f aca="false">IFERROR(MATCH(ROW()-4,ポート振替表!$V$5:$V$3507,0),"")</f>
        <v/>
      </c>
    </row>
    <row r="760" customFormat="false" ht="16.4" hidden="false" customHeight="false" outlineLevel="0" collapsed="false">
      <c r="A760" s="32" t="str">
        <f aca="false">IF(L760="","",ROW()-4)</f>
        <v/>
      </c>
      <c r="B760" s="58" t="str">
        <f aca="false">IF(L760="","",IF(INDEX(ポート振替表!$W$5:$W$3507,$L760)="","(なし)",INDEX(ポート振替表!$W$5:$W$3507,$L760)&amp;""))</f>
        <v/>
      </c>
      <c r="C760" s="52" t="str">
        <f aca="false">IF(L760="","",INDEX(ポート振替表!$B$5:$B$3507,$L760)&amp;" "&amp;INDEX(ポート振替表!$C$5:$C$3507,$L760)&amp;"  ⇔  "&amp;INDEX(ポート振替表!$H$5:$H$3507,$L760)&amp;" "&amp;INDEX(ポート振替表!$I$5:$I$3507,$L760))</f>
        <v/>
      </c>
      <c r="D760" s="57" t="s">
        <v>158</v>
      </c>
      <c r="E760" s="59" t="str">
        <f aca="false">IF(L760="","",IF(INDEX(ポート振替表!$O$5:$O$3507,$L760)="","(未設定)",INDEX(ポート振替表!$O$5:$O$3507,$L760)&amp;""))</f>
        <v/>
      </c>
      <c r="F760" s="52" t="str">
        <f aca="false">IF(L760="","",INDEX(ポート振替表!$K$5:$K$3507,$L760)&amp;" "&amp;INDEX(ポート振替表!$L$5:$L$3507,$L760)&amp;"  ⇔  "&amp;INDEX(ポート振替表!$H$5:$H$3507,$L760)&amp;" "&amp;INDEX(ポート振替表!$I$5:$I$3507,$L760))</f>
        <v/>
      </c>
      <c r="G760" s="57" t="s">
        <v>158</v>
      </c>
      <c r="H760" s="32" t="str">
        <f aca="false">IF(L760="","",INDEX(ポート振替表!$N$5:$N$3507,$L760)&amp;"")</f>
        <v/>
      </c>
      <c r="I760" s="32" t="str">
        <f aca="false">IF(L760="","",INDEX(ポート振替表!$P$5:$P$3507,$L760)&amp;"")</f>
        <v/>
      </c>
      <c r="J760" s="60" t="str">
        <f aca="false">IF(L760="","",INDEX(ポート振替表!$M$5:$M$3507,$L760)&amp;"")</f>
        <v/>
      </c>
      <c r="K760" s="52" t="str">
        <f aca="false">IF(L760="","",E760&amp;CHAR(10)&amp;INDEX(ポート振替表!$K$5:$K$3507,$L760)&amp;" "&amp;INDEX(ポート振替表!$L$5:$L$3507,$L760)&amp;CHAR(10)&amp;"⇔ "&amp;INDEX(ポート振替表!$H$5:$H$3507,$L760)&amp;" "&amp;INDEX(ポート振替表!$I$5:$I$3507,$L760))</f>
        <v/>
      </c>
      <c r="L760" s="47" t="str">
        <f aca="false">IFERROR(MATCH(ROW()-4,ポート振替表!$V$5:$V$3507,0),"")</f>
        <v/>
      </c>
    </row>
    <row r="761" customFormat="false" ht="16.4" hidden="false" customHeight="false" outlineLevel="0" collapsed="false">
      <c r="A761" s="32" t="str">
        <f aca="false">IF(L761="","",ROW()-4)</f>
        <v/>
      </c>
      <c r="B761" s="58" t="str">
        <f aca="false">IF(L761="","",IF(INDEX(ポート振替表!$W$5:$W$3507,$L761)="","(なし)",INDEX(ポート振替表!$W$5:$W$3507,$L761)&amp;""))</f>
        <v/>
      </c>
      <c r="C761" s="52" t="str">
        <f aca="false">IF(L761="","",INDEX(ポート振替表!$B$5:$B$3507,$L761)&amp;" "&amp;INDEX(ポート振替表!$C$5:$C$3507,$L761)&amp;"  ⇔  "&amp;INDEX(ポート振替表!$H$5:$H$3507,$L761)&amp;" "&amp;INDEX(ポート振替表!$I$5:$I$3507,$L761))</f>
        <v/>
      </c>
      <c r="D761" s="57" t="s">
        <v>158</v>
      </c>
      <c r="E761" s="59" t="str">
        <f aca="false">IF(L761="","",IF(INDEX(ポート振替表!$O$5:$O$3507,$L761)="","(未設定)",INDEX(ポート振替表!$O$5:$O$3507,$L761)&amp;""))</f>
        <v/>
      </c>
      <c r="F761" s="52" t="str">
        <f aca="false">IF(L761="","",INDEX(ポート振替表!$K$5:$K$3507,$L761)&amp;" "&amp;INDEX(ポート振替表!$L$5:$L$3507,$L761)&amp;"  ⇔  "&amp;INDEX(ポート振替表!$H$5:$H$3507,$L761)&amp;" "&amp;INDEX(ポート振替表!$I$5:$I$3507,$L761))</f>
        <v/>
      </c>
      <c r="G761" s="57" t="s">
        <v>158</v>
      </c>
      <c r="H761" s="32" t="str">
        <f aca="false">IF(L761="","",INDEX(ポート振替表!$N$5:$N$3507,$L761)&amp;"")</f>
        <v/>
      </c>
      <c r="I761" s="32" t="str">
        <f aca="false">IF(L761="","",INDEX(ポート振替表!$P$5:$P$3507,$L761)&amp;"")</f>
        <v/>
      </c>
      <c r="J761" s="60" t="str">
        <f aca="false">IF(L761="","",INDEX(ポート振替表!$M$5:$M$3507,$L761)&amp;"")</f>
        <v/>
      </c>
      <c r="K761" s="52" t="str">
        <f aca="false">IF(L761="","",E761&amp;CHAR(10)&amp;INDEX(ポート振替表!$K$5:$K$3507,$L761)&amp;" "&amp;INDEX(ポート振替表!$L$5:$L$3507,$L761)&amp;CHAR(10)&amp;"⇔ "&amp;INDEX(ポート振替表!$H$5:$H$3507,$L761)&amp;" "&amp;INDEX(ポート振替表!$I$5:$I$3507,$L761))</f>
        <v/>
      </c>
      <c r="L761" s="47" t="str">
        <f aca="false">IFERROR(MATCH(ROW()-4,ポート振替表!$V$5:$V$3507,0),"")</f>
        <v/>
      </c>
    </row>
    <row r="762" customFormat="false" ht="16.4" hidden="false" customHeight="false" outlineLevel="0" collapsed="false">
      <c r="A762" s="32" t="str">
        <f aca="false">IF(L762="","",ROW()-4)</f>
        <v/>
      </c>
      <c r="B762" s="58" t="str">
        <f aca="false">IF(L762="","",IF(INDEX(ポート振替表!$W$5:$W$3507,$L762)="","(なし)",INDEX(ポート振替表!$W$5:$W$3507,$L762)&amp;""))</f>
        <v/>
      </c>
      <c r="C762" s="52" t="str">
        <f aca="false">IF(L762="","",INDEX(ポート振替表!$B$5:$B$3507,$L762)&amp;" "&amp;INDEX(ポート振替表!$C$5:$C$3507,$L762)&amp;"  ⇔  "&amp;INDEX(ポート振替表!$H$5:$H$3507,$L762)&amp;" "&amp;INDEX(ポート振替表!$I$5:$I$3507,$L762))</f>
        <v/>
      </c>
      <c r="D762" s="57" t="s">
        <v>158</v>
      </c>
      <c r="E762" s="59" t="str">
        <f aca="false">IF(L762="","",IF(INDEX(ポート振替表!$O$5:$O$3507,$L762)="","(未設定)",INDEX(ポート振替表!$O$5:$O$3507,$L762)&amp;""))</f>
        <v/>
      </c>
      <c r="F762" s="52" t="str">
        <f aca="false">IF(L762="","",INDEX(ポート振替表!$K$5:$K$3507,$L762)&amp;" "&amp;INDEX(ポート振替表!$L$5:$L$3507,$L762)&amp;"  ⇔  "&amp;INDEX(ポート振替表!$H$5:$H$3507,$L762)&amp;" "&amp;INDEX(ポート振替表!$I$5:$I$3507,$L762))</f>
        <v/>
      </c>
      <c r="G762" s="57" t="s">
        <v>158</v>
      </c>
      <c r="H762" s="32" t="str">
        <f aca="false">IF(L762="","",INDEX(ポート振替表!$N$5:$N$3507,$L762)&amp;"")</f>
        <v/>
      </c>
      <c r="I762" s="32" t="str">
        <f aca="false">IF(L762="","",INDEX(ポート振替表!$P$5:$P$3507,$L762)&amp;"")</f>
        <v/>
      </c>
      <c r="J762" s="60" t="str">
        <f aca="false">IF(L762="","",INDEX(ポート振替表!$M$5:$M$3507,$L762)&amp;"")</f>
        <v/>
      </c>
      <c r="K762" s="52" t="str">
        <f aca="false">IF(L762="","",E762&amp;CHAR(10)&amp;INDEX(ポート振替表!$K$5:$K$3507,$L762)&amp;" "&amp;INDEX(ポート振替表!$L$5:$L$3507,$L762)&amp;CHAR(10)&amp;"⇔ "&amp;INDEX(ポート振替表!$H$5:$H$3507,$L762)&amp;" "&amp;INDEX(ポート振替表!$I$5:$I$3507,$L762))</f>
        <v/>
      </c>
      <c r="L762" s="47" t="str">
        <f aca="false">IFERROR(MATCH(ROW()-4,ポート振替表!$V$5:$V$3507,0),"")</f>
        <v/>
      </c>
    </row>
    <row r="763" customFormat="false" ht="16.4" hidden="false" customHeight="false" outlineLevel="0" collapsed="false">
      <c r="A763" s="32" t="str">
        <f aca="false">IF(L763="","",ROW()-4)</f>
        <v/>
      </c>
      <c r="B763" s="58" t="str">
        <f aca="false">IF(L763="","",IF(INDEX(ポート振替表!$W$5:$W$3507,$L763)="","(なし)",INDEX(ポート振替表!$W$5:$W$3507,$L763)&amp;""))</f>
        <v/>
      </c>
      <c r="C763" s="52" t="str">
        <f aca="false">IF(L763="","",INDEX(ポート振替表!$B$5:$B$3507,$L763)&amp;" "&amp;INDEX(ポート振替表!$C$5:$C$3507,$L763)&amp;"  ⇔  "&amp;INDEX(ポート振替表!$H$5:$H$3507,$L763)&amp;" "&amp;INDEX(ポート振替表!$I$5:$I$3507,$L763))</f>
        <v/>
      </c>
      <c r="D763" s="57" t="s">
        <v>158</v>
      </c>
      <c r="E763" s="59" t="str">
        <f aca="false">IF(L763="","",IF(INDEX(ポート振替表!$O$5:$O$3507,$L763)="","(未設定)",INDEX(ポート振替表!$O$5:$O$3507,$L763)&amp;""))</f>
        <v/>
      </c>
      <c r="F763" s="52" t="str">
        <f aca="false">IF(L763="","",INDEX(ポート振替表!$K$5:$K$3507,$L763)&amp;" "&amp;INDEX(ポート振替表!$L$5:$L$3507,$L763)&amp;"  ⇔  "&amp;INDEX(ポート振替表!$H$5:$H$3507,$L763)&amp;" "&amp;INDEX(ポート振替表!$I$5:$I$3507,$L763))</f>
        <v/>
      </c>
      <c r="G763" s="57" t="s">
        <v>158</v>
      </c>
      <c r="H763" s="32" t="str">
        <f aca="false">IF(L763="","",INDEX(ポート振替表!$N$5:$N$3507,$L763)&amp;"")</f>
        <v/>
      </c>
      <c r="I763" s="32" t="str">
        <f aca="false">IF(L763="","",INDEX(ポート振替表!$P$5:$P$3507,$L763)&amp;"")</f>
        <v/>
      </c>
      <c r="J763" s="60" t="str">
        <f aca="false">IF(L763="","",INDEX(ポート振替表!$M$5:$M$3507,$L763)&amp;"")</f>
        <v/>
      </c>
      <c r="K763" s="52" t="str">
        <f aca="false">IF(L763="","",E763&amp;CHAR(10)&amp;INDEX(ポート振替表!$K$5:$K$3507,$L763)&amp;" "&amp;INDEX(ポート振替表!$L$5:$L$3507,$L763)&amp;CHAR(10)&amp;"⇔ "&amp;INDEX(ポート振替表!$H$5:$H$3507,$L763)&amp;" "&amp;INDEX(ポート振替表!$I$5:$I$3507,$L763))</f>
        <v/>
      </c>
      <c r="L763" s="47" t="str">
        <f aca="false">IFERROR(MATCH(ROW()-4,ポート振替表!$V$5:$V$3507,0),"")</f>
        <v/>
      </c>
    </row>
    <row r="764" customFormat="false" ht="16.4" hidden="false" customHeight="false" outlineLevel="0" collapsed="false">
      <c r="A764" s="32" t="str">
        <f aca="false">IF(L764="","",ROW()-4)</f>
        <v/>
      </c>
      <c r="B764" s="58" t="str">
        <f aca="false">IF(L764="","",IF(INDEX(ポート振替表!$W$5:$W$3507,$L764)="","(なし)",INDEX(ポート振替表!$W$5:$W$3507,$L764)&amp;""))</f>
        <v/>
      </c>
      <c r="C764" s="52" t="str">
        <f aca="false">IF(L764="","",INDEX(ポート振替表!$B$5:$B$3507,$L764)&amp;" "&amp;INDEX(ポート振替表!$C$5:$C$3507,$L764)&amp;"  ⇔  "&amp;INDEX(ポート振替表!$H$5:$H$3507,$L764)&amp;" "&amp;INDEX(ポート振替表!$I$5:$I$3507,$L764))</f>
        <v/>
      </c>
      <c r="D764" s="57" t="s">
        <v>158</v>
      </c>
      <c r="E764" s="59" t="str">
        <f aca="false">IF(L764="","",IF(INDEX(ポート振替表!$O$5:$O$3507,$L764)="","(未設定)",INDEX(ポート振替表!$O$5:$O$3507,$L764)&amp;""))</f>
        <v/>
      </c>
      <c r="F764" s="52" t="str">
        <f aca="false">IF(L764="","",INDEX(ポート振替表!$K$5:$K$3507,$L764)&amp;" "&amp;INDEX(ポート振替表!$L$5:$L$3507,$L764)&amp;"  ⇔  "&amp;INDEX(ポート振替表!$H$5:$H$3507,$L764)&amp;" "&amp;INDEX(ポート振替表!$I$5:$I$3507,$L764))</f>
        <v/>
      </c>
      <c r="G764" s="57" t="s">
        <v>158</v>
      </c>
      <c r="H764" s="32" t="str">
        <f aca="false">IF(L764="","",INDEX(ポート振替表!$N$5:$N$3507,$L764)&amp;"")</f>
        <v/>
      </c>
      <c r="I764" s="32" t="str">
        <f aca="false">IF(L764="","",INDEX(ポート振替表!$P$5:$P$3507,$L764)&amp;"")</f>
        <v/>
      </c>
      <c r="J764" s="60" t="str">
        <f aca="false">IF(L764="","",INDEX(ポート振替表!$M$5:$M$3507,$L764)&amp;"")</f>
        <v/>
      </c>
      <c r="K764" s="52" t="str">
        <f aca="false">IF(L764="","",E764&amp;CHAR(10)&amp;INDEX(ポート振替表!$K$5:$K$3507,$L764)&amp;" "&amp;INDEX(ポート振替表!$L$5:$L$3507,$L764)&amp;CHAR(10)&amp;"⇔ "&amp;INDEX(ポート振替表!$H$5:$H$3507,$L764)&amp;" "&amp;INDEX(ポート振替表!$I$5:$I$3507,$L764))</f>
        <v/>
      </c>
      <c r="L764" s="47" t="str">
        <f aca="false">IFERROR(MATCH(ROW()-4,ポート振替表!$V$5:$V$3507,0),"")</f>
        <v/>
      </c>
    </row>
    <row r="765" customFormat="false" ht="16.4" hidden="false" customHeight="false" outlineLevel="0" collapsed="false">
      <c r="A765" s="32" t="str">
        <f aca="false">IF(L765="","",ROW()-4)</f>
        <v/>
      </c>
      <c r="B765" s="58" t="str">
        <f aca="false">IF(L765="","",IF(INDEX(ポート振替表!$W$5:$W$3507,$L765)="","(なし)",INDEX(ポート振替表!$W$5:$W$3507,$L765)&amp;""))</f>
        <v/>
      </c>
      <c r="C765" s="52" t="str">
        <f aca="false">IF(L765="","",INDEX(ポート振替表!$B$5:$B$3507,$L765)&amp;" "&amp;INDEX(ポート振替表!$C$5:$C$3507,$L765)&amp;"  ⇔  "&amp;INDEX(ポート振替表!$H$5:$H$3507,$L765)&amp;" "&amp;INDEX(ポート振替表!$I$5:$I$3507,$L765))</f>
        <v/>
      </c>
      <c r="D765" s="57" t="s">
        <v>158</v>
      </c>
      <c r="E765" s="59" t="str">
        <f aca="false">IF(L765="","",IF(INDEX(ポート振替表!$O$5:$O$3507,$L765)="","(未設定)",INDEX(ポート振替表!$O$5:$O$3507,$L765)&amp;""))</f>
        <v/>
      </c>
      <c r="F765" s="52" t="str">
        <f aca="false">IF(L765="","",INDEX(ポート振替表!$K$5:$K$3507,$L765)&amp;" "&amp;INDEX(ポート振替表!$L$5:$L$3507,$L765)&amp;"  ⇔  "&amp;INDEX(ポート振替表!$H$5:$H$3507,$L765)&amp;" "&amp;INDEX(ポート振替表!$I$5:$I$3507,$L765))</f>
        <v/>
      </c>
      <c r="G765" s="57" t="s">
        <v>158</v>
      </c>
      <c r="H765" s="32" t="str">
        <f aca="false">IF(L765="","",INDEX(ポート振替表!$N$5:$N$3507,$L765)&amp;"")</f>
        <v/>
      </c>
      <c r="I765" s="32" t="str">
        <f aca="false">IF(L765="","",INDEX(ポート振替表!$P$5:$P$3507,$L765)&amp;"")</f>
        <v/>
      </c>
      <c r="J765" s="60" t="str">
        <f aca="false">IF(L765="","",INDEX(ポート振替表!$M$5:$M$3507,$L765)&amp;"")</f>
        <v/>
      </c>
      <c r="K765" s="52" t="str">
        <f aca="false">IF(L765="","",E765&amp;CHAR(10)&amp;INDEX(ポート振替表!$K$5:$K$3507,$L765)&amp;" "&amp;INDEX(ポート振替表!$L$5:$L$3507,$L765)&amp;CHAR(10)&amp;"⇔ "&amp;INDEX(ポート振替表!$H$5:$H$3507,$L765)&amp;" "&amp;INDEX(ポート振替表!$I$5:$I$3507,$L765))</f>
        <v/>
      </c>
      <c r="L765" s="47" t="str">
        <f aca="false">IFERROR(MATCH(ROW()-4,ポート振替表!$V$5:$V$3507,0),"")</f>
        <v/>
      </c>
    </row>
    <row r="766" customFormat="false" ht="16.4" hidden="false" customHeight="false" outlineLevel="0" collapsed="false">
      <c r="A766" s="32" t="str">
        <f aca="false">IF(L766="","",ROW()-4)</f>
        <v/>
      </c>
      <c r="B766" s="58" t="str">
        <f aca="false">IF(L766="","",IF(INDEX(ポート振替表!$W$5:$W$3507,$L766)="","(なし)",INDEX(ポート振替表!$W$5:$W$3507,$L766)&amp;""))</f>
        <v/>
      </c>
      <c r="C766" s="52" t="str">
        <f aca="false">IF(L766="","",INDEX(ポート振替表!$B$5:$B$3507,$L766)&amp;" "&amp;INDEX(ポート振替表!$C$5:$C$3507,$L766)&amp;"  ⇔  "&amp;INDEX(ポート振替表!$H$5:$H$3507,$L766)&amp;" "&amp;INDEX(ポート振替表!$I$5:$I$3507,$L766))</f>
        <v/>
      </c>
      <c r="D766" s="57" t="s">
        <v>158</v>
      </c>
      <c r="E766" s="59" t="str">
        <f aca="false">IF(L766="","",IF(INDEX(ポート振替表!$O$5:$O$3507,$L766)="","(未設定)",INDEX(ポート振替表!$O$5:$O$3507,$L766)&amp;""))</f>
        <v/>
      </c>
      <c r="F766" s="52" t="str">
        <f aca="false">IF(L766="","",INDEX(ポート振替表!$K$5:$K$3507,$L766)&amp;" "&amp;INDEX(ポート振替表!$L$5:$L$3507,$L766)&amp;"  ⇔  "&amp;INDEX(ポート振替表!$H$5:$H$3507,$L766)&amp;" "&amp;INDEX(ポート振替表!$I$5:$I$3507,$L766))</f>
        <v/>
      </c>
      <c r="G766" s="57" t="s">
        <v>158</v>
      </c>
      <c r="H766" s="32" t="str">
        <f aca="false">IF(L766="","",INDEX(ポート振替表!$N$5:$N$3507,$L766)&amp;"")</f>
        <v/>
      </c>
      <c r="I766" s="32" t="str">
        <f aca="false">IF(L766="","",INDEX(ポート振替表!$P$5:$P$3507,$L766)&amp;"")</f>
        <v/>
      </c>
      <c r="J766" s="60" t="str">
        <f aca="false">IF(L766="","",INDEX(ポート振替表!$M$5:$M$3507,$L766)&amp;"")</f>
        <v/>
      </c>
      <c r="K766" s="52" t="str">
        <f aca="false">IF(L766="","",E766&amp;CHAR(10)&amp;INDEX(ポート振替表!$K$5:$K$3507,$L766)&amp;" "&amp;INDEX(ポート振替表!$L$5:$L$3507,$L766)&amp;CHAR(10)&amp;"⇔ "&amp;INDEX(ポート振替表!$H$5:$H$3507,$L766)&amp;" "&amp;INDEX(ポート振替表!$I$5:$I$3507,$L766))</f>
        <v/>
      </c>
      <c r="L766" s="47" t="str">
        <f aca="false">IFERROR(MATCH(ROW()-4,ポート振替表!$V$5:$V$3507,0),"")</f>
        <v/>
      </c>
    </row>
    <row r="767" customFormat="false" ht="16.4" hidden="false" customHeight="false" outlineLevel="0" collapsed="false">
      <c r="A767" s="32" t="str">
        <f aca="false">IF(L767="","",ROW()-4)</f>
        <v/>
      </c>
      <c r="B767" s="58" t="str">
        <f aca="false">IF(L767="","",IF(INDEX(ポート振替表!$W$5:$W$3507,$L767)="","(なし)",INDEX(ポート振替表!$W$5:$W$3507,$L767)&amp;""))</f>
        <v/>
      </c>
      <c r="C767" s="52" t="str">
        <f aca="false">IF(L767="","",INDEX(ポート振替表!$B$5:$B$3507,$L767)&amp;" "&amp;INDEX(ポート振替表!$C$5:$C$3507,$L767)&amp;"  ⇔  "&amp;INDEX(ポート振替表!$H$5:$H$3507,$L767)&amp;" "&amp;INDEX(ポート振替表!$I$5:$I$3507,$L767))</f>
        <v/>
      </c>
      <c r="D767" s="57" t="s">
        <v>158</v>
      </c>
      <c r="E767" s="59" t="str">
        <f aca="false">IF(L767="","",IF(INDEX(ポート振替表!$O$5:$O$3507,$L767)="","(未設定)",INDEX(ポート振替表!$O$5:$O$3507,$L767)&amp;""))</f>
        <v/>
      </c>
      <c r="F767" s="52" t="str">
        <f aca="false">IF(L767="","",INDEX(ポート振替表!$K$5:$K$3507,$L767)&amp;" "&amp;INDEX(ポート振替表!$L$5:$L$3507,$L767)&amp;"  ⇔  "&amp;INDEX(ポート振替表!$H$5:$H$3507,$L767)&amp;" "&amp;INDEX(ポート振替表!$I$5:$I$3507,$L767))</f>
        <v/>
      </c>
      <c r="G767" s="57" t="s">
        <v>158</v>
      </c>
      <c r="H767" s="32" t="str">
        <f aca="false">IF(L767="","",INDEX(ポート振替表!$N$5:$N$3507,$L767)&amp;"")</f>
        <v/>
      </c>
      <c r="I767" s="32" t="str">
        <f aca="false">IF(L767="","",INDEX(ポート振替表!$P$5:$P$3507,$L767)&amp;"")</f>
        <v/>
      </c>
      <c r="J767" s="60" t="str">
        <f aca="false">IF(L767="","",INDEX(ポート振替表!$M$5:$M$3507,$L767)&amp;"")</f>
        <v/>
      </c>
      <c r="K767" s="52" t="str">
        <f aca="false">IF(L767="","",E767&amp;CHAR(10)&amp;INDEX(ポート振替表!$K$5:$K$3507,$L767)&amp;" "&amp;INDEX(ポート振替表!$L$5:$L$3507,$L767)&amp;CHAR(10)&amp;"⇔ "&amp;INDEX(ポート振替表!$H$5:$H$3507,$L767)&amp;" "&amp;INDEX(ポート振替表!$I$5:$I$3507,$L767))</f>
        <v/>
      </c>
      <c r="L767" s="47" t="str">
        <f aca="false">IFERROR(MATCH(ROW()-4,ポート振替表!$V$5:$V$3507,0),"")</f>
        <v/>
      </c>
    </row>
    <row r="768" customFormat="false" ht="16.4" hidden="false" customHeight="false" outlineLevel="0" collapsed="false">
      <c r="A768" s="32" t="str">
        <f aca="false">IF(L768="","",ROW()-4)</f>
        <v/>
      </c>
      <c r="B768" s="58" t="str">
        <f aca="false">IF(L768="","",IF(INDEX(ポート振替表!$W$5:$W$3507,$L768)="","(なし)",INDEX(ポート振替表!$W$5:$W$3507,$L768)&amp;""))</f>
        <v/>
      </c>
      <c r="C768" s="52" t="str">
        <f aca="false">IF(L768="","",INDEX(ポート振替表!$B$5:$B$3507,$L768)&amp;" "&amp;INDEX(ポート振替表!$C$5:$C$3507,$L768)&amp;"  ⇔  "&amp;INDEX(ポート振替表!$H$5:$H$3507,$L768)&amp;" "&amp;INDEX(ポート振替表!$I$5:$I$3507,$L768))</f>
        <v/>
      </c>
      <c r="D768" s="57" t="s">
        <v>158</v>
      </c>
      <c r="E768" s="59" t="str">
        <f aca="false">IF(L768="","",IF(INDEX(ポート振替表!$O$5:$O$3507,$L768)="","(未設定)",INDEX(ポート振替表!$O$5:$O$3507,$L768)&amp;""))</f>
        <v/>
      </c>
      <c r="F768" s="52" t="str">
        <f aca="false">IF(L768="","",INDEX(ポート振替表!$K$5:$K$3507,$L768)&amp;" "&amp;INDEX(ポート振替表!$L$5:$L$3507,$L768)&amp;"  ⇔  "&amp;INDEX(ポート振替表!$H$5:$H$3507,$L768)&amp;" "&amp;INDEX(ポート振替表!$I$5:$I$3507,$L768))</f>
        <v/>
      </c>
      <c r="G768" s="57" t="s">
        <v>158</v>
      </c>
      <c r="H768" s="32" t="str">
        <f aca="false">IF(L768="","",INDEX(ポート振替表!$N$5:$N$3507,$L768)&amp;"")</f>
        <v/>
      </c>
      <c r="I768" s="32" t="str">
        <f aca="false">IF(L768="","",INDEX(ポート振替表!$P$5:$P$3507,$L768)&amp;"")</f>
        <v/>
      </c>
      <c r="J768" s="60" t="str">
        <f aca="false">IF(L768="","",INDEX(ポート振替表!$M$5:$M$3507,$L768)&amp;"")</f>
        <v/>
      </c>
      <c r="K768" s="52" t="str">
        <f aca="false">IF(L768="","",E768&amp;CHAR(10)&amp;INDEX(ポート振替表!$K$5:$K$3507,$L768)&amp;" "&amp;INDEX(ポート振替表!$L$5:$L$3507,$L768)&amp;CHAR(10)&amp;"⇔ "&amp;INDEX(ポート振替表!$H$5:$H$3507,$L768)&amp;" "&amp;INDEX(ポート振替表!$I$5:$I$3507,$L768))</f>
        <v/>
      </c>
      <c r="L768" s="47" t="str">
        <f aca="false">IFERROR(MATCH(ROW()-4,ポート振替表!$V$5:$V$3507,0),"")</f>
        <v/>
      </c>
    </row>
    <row r="769" customFormat="false" ht="16.4" hidden="false" customHeight="false" outlineLevel="0" collapsed="false">
      <c r="A769" s="32" t="str">
        <f aca="false">IF(L769="","",ROW()-4)</f>
        <v/>
      </c>
      <c r="B769" s="58" t="str">
        <f aca="false">IF(L769="","",IF(INDEX(ポート振替表!$W$5:$W$3507,$L769)="","(なし)",INDEX(ポート振替表!$W$5:$W$3507,$L769)&amp;""))</f>
        <v/>
      </c>
      <c r="C769" s="52" t="str">
        <f aca="false">IF(L769="","",INDEX(ポート振替表!$B$5:$B$3507,$L769)&amp;" "&amp;INDEX(ポート振替表!$C$5:$C$3507,$L769)&amp;"  ⇔  "&amp;INDEX(ポート振替表!$H$5:$H$3507,$L769)&amp;" "&amp;INDEX(ポート振替表!$I$5:$I$3507,$L769))</f>
        <v/>
      </c>
      <c r="D769" s="57" t="s">
        <v>158</v>
      </c>
      <c r="E769" s="59" t="str">
        <f aca="false">IF(L769="","",IF(INDEX(ポート振替表!$O$5:$O$3507,$L769)="","(未設定)",INDEX(ポート振替表!$O$5:$O$3507,$L769)&amp;""))</f>
        <v/>
      </c>
      <c r="F769" s="52" t="str">
        <f aca="false">IF(L769="","",INDEX(ポート振替表!$K$5:$K$3507,$L769)&amp;" "&amp;INDEX(ポート振替表!$L$5:$L$3507,$L769)&amp;"  ⇔  "&amp;INDEX(ポート振替表!$H$5:$H$3507,$L769)&amp;" "&amp;INDEX(ポート振替表!$I$5:$I$3507,$L769))</f>
        <v/>
      </c>
      <c r="G769" s="57" t="s">
        <v>158</v>
      </c>
      <c r="H769" s="32" t="str">
        <f aca="false">IF(L769="","",INDEX(ポート振替表!$N$5:$N$3507,$L769)&amp;"")</f>
        <v/>
      </c>
      <c r="I769" s="32" t="str">
        <f aca="false">IF(L769="","",INDEX(ポート振替表!$P$5:$P$3507,$L769)&amp;"")</f>
        <v/>
      </c>
      <c r="J769" s="60" t="str">
        <f aca="false">IF(L769="","",INDEX(ポート振替表!$M$5:$M$3507,$L769)&amp;"")</f>
        <v/>
      </c>
      <c r="K769" s="52" t="str">
        <f aca="false">IF(L769="","",E769&amp;CHAR(10)&amp;INDEX(ポート振替表!$K$5:$K$3507,$L769)&amp;" "&amp;INDEX(ポート振替表!$L$5:$L$3507,$L769)&amp;CHAR(10)&amp;"⇔ "&amp;INDEX(ポート振替表!$H$5:$H$3507,$L769)&amp;" "&amp;INDEX(ポート振替表!$I$5:$I$3507,$L769))</f>
        <v/>
      </c>
      <c r="L769" s="47" t="str">
        <f aca="false">IFERROR(MATCH(ROW()-4,ポート振替表!$V$5:$V$3507,0),"")</f>
        <v/>
      </c>
    </row>
    <row r="770" customFormat="false" ht="16.4" hidden="false" customHeight="false" outlineLevel="0" collapsed="false">
      <c r="A770" s="32" t="str">
        <f aca="false">IF(L770="","",ROW()-4)</f>
        <v/>
      </c>
      <c r="B770" s="58" t="str">
        <f aca="false">IF(L770="","",IF(INDEX(ポート振替表!$W$5:$W$3507,$L770)="","(なし)",INDEX(ポート振替表!$W$5:$W$3507,$L770)&amp;""))</f>
        <v/>
      </c>
      <c r="C770" s="52" t="str">
        <f aca="false">IF(L770="","",INDEX(ポート振替表!$B$5:$B$3507,$L770)&amp;" "&amp;INDEX(ポート振替表!$C$5:$C$3507,$L770)&amp;"  ⇔  "&amp;INDEX(ポート振替表!$H$5:$H$3507,$L770)&amp;" "&amp;INDEX(ポート振替表!$I$5:$I$3507,$L770))</f>
        <v/>
      </c>
      <c r="D770" s="57" t="s">
        <v>158</v>
      </c>
      <c r="E770" s="59" t="str">
        <f aca="false">IF(L770="","",IF(INDEX(ポート振替表!$O$5:$O$3507,$L770)="","(未設定)",INDEX(ポート振替表!$O$5:$O$3507,$L770)&amp;""))</f>
        <v/>
      </c>
      <c r="F770" s="52" t="str">
        <f aca="false">IF(L770="","",INDEX(ポート振替表!$K$5:$K$3507,$L770)&amp;" "&amp;INDEX(ポート振替表!$L$5:$L$3507,$L770)&amp;"  ⇔  "&amp;INDEX(ポート振替表!$H$5:$H$3507,$L770)&amp;" "&amp;INDEX(ポート振替表!$I$5:$I$3507,$L770))</f>
        <v/>
      </c>
      <c r="G770" s="57" t="s">
        <v>158</v>
      </c>
      <c r="H770" s="32" t="str">
        <f aca="false">IF(L770="","",INDEX(ポート振替表!$N$5:$N$3507,$L770)&amp;"")</f>
        <v/>
      </c>
      <c r="I770" s="32" t="str">
        <f aca="false">IF(L770="","",INDEX(ポート振替表!$P$5:$P$3507,$L770)&amp;"")</f>
        <v/>
      </c>
      <c r="J770" s="60" t="str">
        <f aca="false">IF(L770="","",INDEX(ポート振替表!$M$5:$M$3507,$L770)&amp;"")</f>
        <v/>
      </c>
      <c r="K770" s="52" t="str">
        <f aca="false">IF(L770="","",E770&amp;CHAR(10)&amp;INDEX(ポート振替表!$K$5:$K$3507,$L770)&amp;" "&amp;INDEX(ポート振替表!$L$5:$L$3507,$L770)&amp;CHAR(10)&amp;"⇔ "&amp;INDEX(ポート振替表!$H$5:$H$3507,$L770)&amp;" "&amp;INDEX(ポート振替表!$I$5:$I$3507,$L770))</f>
        <v/>
      </c>
      <c r="L770" s="47" t="str">
        <f aca="false">IFERROR(MATCH(ROW()-4,ポート振替表!$V$5:$V$3507,0),"")</f>
        <v/>
      </c>
    </row>
    <row r="771" customFormat="false" ht="16.4" hidden="false" customHeight="false" outlineLevel="0" collapsed="false">
      <c r="A771" s="32" t="str">
        <f aca="false">IF(L771="","",ROW()-4)</f>
        <v/>
      </c>
      <c r="B771" s="58" t="str">
        <f aca="false">IF(L771="","",IF(INDEX(ポート振替表!$W$5:$W$3507,$L771)="","(なし)",INDEX(ポート振替表!$W$5:$W$3507,$L771)&amp;""))</f>
        <v/>
      </c>
      <c r="C771" s="52" t="str">
        <f aca="false">IF(L771="","",INDEX(ポート振替表!$B$5:$B$3507,$L771)&amp;" "&amp;INDEX(ポート振替表!$C$5:$C$3507,$L771)&amp;"  ⇔  "&amp;INDEX(ポート振替表!$H$5:$H$3507,$L771)&amp;" "&amp;INDEX(ポート振替表!$I$5:$I$3507,$L771))</f>
        <v/>
      </c>
      <c r="D771" s="57" t="s">
        <v>158</v>
      </c>
      <c r="E771" s="59" t="str">
        <f aca="false">IF(L771="","",IF(INDEX(ポート振替表!$O$5:$O$3507,$L771)="","(未設定)",INDEX(ポート振替表!$O$5:$O$3507,$L771)&amp;""))</f>
        <v/>
      </c>
      <c r="F771" s="52" t="str">
        <f aca="false">IF(L771="","",INDEX(ポート振替表!$K$5:$K$3507,$L771)&amp;" "&amp;INDEX(ポート振替表!$L$5:$L$3507,$L771)&amp;"  ⇔  "&amp;INDEX(ポート振替表!$H$5:$H$3507,$L771)&amp;" "&amp;INDEX(ポート振替表!$I$5:$I$3507,$L771))</f>
        <v/>
      </c>
      <c r="G771" s="57" t="s">
        <v>158</v>
      </c>
      <c r="H771" s="32" t="str">
        <f aca="false">IF(L771="","",INDEX(ポート振替表!$N$5:$N$3507,$L771)&amp;"")</f>
        <v/>
      </c>
      <c r="I771" s="32" t="str">
        <f aca="false">IF(L771="","",INDEX(ポート振替表!$P$5:$P$3507,$L771)&amp;"")</f>
        <v/>
      </c>
      <c r="J771" s="60" t="str">
        <f aca="false">IF(L771="","",INDEX(ポート振替表!$M$5:$M$3507,$L771)&amp;"")</f>
        <v/>
      </c>
      <c r="K771" s="52" t="str">
        <f aca="false">IF(L771="","",E771&amp;CHAR(10)&amp;INDEX(ポート振替表!$K$5:$K$3507,$L771)&amp;" "&amp;INDEX(ポート振替表!$L$5:$L$3507,$L771)&amp;CHAR(10)&amp;"⇔ "&amp;INDEX(ポート振替表!$H$5:$H$3507,$L771)&amp;" "&amp;INDEX(ポート振替表!$I$5:$I$3507,$L771))</f>
        <v/>
      </c>
      <c r="L771" s="47" t="str">
        <f aca="false">IFERROR(MATCH(ROW()-4,ポート振替表!$V$5:$V$3507,0),"")</f>
        <v/>
      </c>
    </row>
    <row r="772" customFormat="false" ht="16.4" hidden="false" customHeight="false" outlineLevel="0" collapsed="false">
      <c r="A772" s="32" t="str">
        <f aca="false">IF(L772="","",ROW()-4)</f>
        <v/>
      </c>
      <c r="B772" s="58" t="str">
        <f aca="false">IF(L772="","",IF(INDEX(ポート振替表!$W$5:$W$3507,$L772)="","(なし)",INDEX(ポート振替表!$W$5:$W$3507,$L772)&amp;""))</f>
        <v/>
      </c>
      <c r="C772" s="52" t="str">
        <f aca="false">IF(L772="","",INDEX(ポート振替表!$B$5:$B$3507,$L772)&amp;" "&amp;INDEX(ポート振替表!$C$5:$C$3507,$L772)&amp;"  ⇔  "&amp;INDEX(ポート振替表!$H$5:$H$3507,$L772)&amp;" "&amp;INDEX(ポート振替表!$I$5:$I$3507,$L772))</f>
        <v/>
      </c>
      <c r="D772" s="57" t="s">
        <v>158</v>
      </c>
      <c r="E772" s="59" t="str">
        <f aca="false">IF(L772="","",IF(INDEX(ポート振替表!$O$5:$O$3507,$L772)="","(未設定)",INDEX(ポート振替表!$O$5:$O$3507,$L772)&amp;""))</f>
        <v/>
      </c>
      <c r="F772" s="52" t="str">
        <f aca="false">IF(L772="","",INDEX(ポート振替表!$K$5:$K$3507,$L772)&amp;" "&amp;INDEX(ポート振替表!$L$5:$L$3507,$L772)&amp;"  ⇔  "&amp;INDEX(ポート振替表!$H$5:$H$3507,$L772)&amp;" "&amp;INDEX(ポート振替表!$I$5:$I$3507,$L772))</f>
        <v/>
      </c>
      <c r="G772" s="57" t="s">
        <v>158</v>
      </c>
      <c r="H772" s="32" t="str">
        <f aca="false">IF(L772="","",INDEX(ポート振替表!$N$5:$N$3507,$L772)&amp;"")</f>
        <v/>
      </c>
      <c r="I772" s="32" t="str">
        <f aca="false">IF(L772="","",INDEX(ポート振替表!$P$5:$P$3507,$L772)&amp;"")</f>
        <v/>
      </c>
      <c r="J772" s="60" t="str">
        <f aca="false">IF(L772="","",INDEX(ポート振替表!$M$5:$M$3507,$L772)&amp;"")</f>
        <v/>
      </c>
      <c r="K772" s="52" t="str">
        <f aca="false">IF(L772="","",E772&amp;CHAR(10)&amp;INDEX(ポート振替表!$K$5:$K$3507,$L772)&amp;" "&amp;INDEX(ポート振替表!$L$5:$L$3507,$L772)&amp;CHAR(10)&amp;"⇔ "&amp;INDEX(ポート振替表!$H$5:$H$3507,$L772)&amp;" "&amp;INDEX(ポート振替表!$I$5:$I$3507,$L772))</f>
        <v/>
      </c>
      <c r="L772" s="47" t="str">
        <f aca="false">IFERROR(MATCH(ROW()-4,ポート振替表!$V$5:$V$3507,0),"")</f>
        <v/>
      </c>
    </row>
    <row r="773" customFormat="false" ht="16.4" hidden="false" customHeight="false" outlineLevel="0" collapsed="false">
      <c r="A773" s="32" t="str">
        <f aca="false">IF(L773="","",ROW()-4)</f>
        <v/>
      </c>
      <c r="B773" s="58" t="str">
        <f aca="false">IF(L773="","",IF(INDEX(ポート振替表!$W$5:$W$3507,$L773)="","(なし)",INDEX(ポート振替表!$W$5:$W$3507,$L773)&amp;""))</f>
        <v/>
      </c>
      <c r="C773" s="52" t="str">
        <f aca="false">IF(L773="","",INDEX(ポート振替表!$B$5:$B$3507,$L773)&amp;" "&amp;INDEX(ポート振替表!$C$5:$C$3507,$L773)&amp;"  ⇔  "&amp;INDEX(ポート振替表!$H$5:$H$3507,$L773)&amp;" "&amp;INDEX(ポート振替表!$I$5:$I$3507,$L773))</f>
        <v/>
      </c>
      <c r="D773" s="57" t="s">
        <v>158</v>
      </c>
      <c r="E773" s="59" t="str">
        <f aca="false">IF(L773="","",IF(INDEX(ポート振替表!$O$5:$O$3507,$L773)="","(未設定)",INDEX(ポート振替表!$O$5:$O$3507,$L773)&amp;""))</f>
        <v/>
      </c>
      <c r="F773" s="52" t="str">
        <f aca="false">IF(L773="","",INDEX(ポート振替表!$K$5:$K$3507,$L773)&amp;" "&amp;INDEX(ポート振替表!$L$5:$L$3507,$L773)&amp;"  ⇔  "&amp;INDEX(ポート振替表!$H$5:$H$3507,$L773)&amp;" "&amp;INDEX(ポート振替表!$I$5:$I$3507,$L773))</f>
        <v/>
      </c>
      <c r="G773" s="57" t="s">
        <v>158</v>
      </c>
      <c r="H773" s="32" t="str">
        <f aca="false">IF(L773="","",INDEX(ポート振替表!$N$5:$N$3507,$L773)&amp;"")</f>
        <v/>
      </c>
      <c r="I773" s="32" t="str">
        <f aca="false">IF(L773="","",INDEX(ポート振替表!$P$5:$P$3507,$L773)&amp;"")</f>
        <v/>
      </c>
      <c r="J773" s="60" t="str">
        <f aca="false">IF(L773="","",INDEX(ポート振替表!$M$5:$M$3507,$L773)&amp;"")</f>
        <v/>
      </c>
      <c r="K773" s="52" t="str">
        <f aca="false">IF(L773="","",E773&amp;CHAR(10)&amp;INDEX(ポート振替表!$K$5:$K$3507,$L773)&amp;" "&amp;INDEX(ポート振替表!$L$5:$L$3507,$L773)&amp;CHAR(10)&amp;"⇔ "&amp;INDEX(ポート振替表!$H$5:$H$3507,$L773)&amp;" "&amp;INDEX(ポート振替表!$I$5:$I$3507,$L773))</f>
        <v/>
      </c>
      <c r="L773" s="47" t="str">
        <f aca="false">IFERROR(MATCH(ROW()-4,ポート振替表!$V$5:$V$3507,0),"")</f>
        <v/>
      </c>
    </row>
    <row r="774" customFormat="false" ht="16.4" hidden="false" customHeight="false" outlineLevel="0" collapsed="false">
      <c r="A774" s="32" t="str">
        <f aca="false">IF(L774="","",ROW()-4)</f>
        <v/>
      </c>
      <c r="B774" s="58" t="str">
        <f aca="false">IF(L774="","",IF(INDEX(ポート振替表!$W$5:$W$3507,$L774)="","(なし)",INDEX(ポート振替表!$W$5:$W$3507,$L774)&amp;""))</f>
        <v/>
      </c>
      <c r="C774" s="52" t="str">
        <f aca="false">IF(L774="","",INDEX(ポート振替表!$B$5:$B$3507,$L774)&amp;" "&amp;INDEX(ポート振替表!$C$5:$C$3507,$L774)&amp;"  ⇔  "&amp;INDEX(ポート振替表!$H$5:$H$3507,$L774)&amp;" "&amp;INDEX(ポート振替表!$I$5:$I$3507,$L774))</f>
        <v/>
      </c>
      <c r="D774" s="57" t="s">
        <v>158</v>
      </c>
      <c r="E774" s="59" t="str">
        <f aca="false">IF(L774="","",IF(INDEX(ポート振替表!$O$5:$O$3507,$L774)="","(未設定)",INDEX(ポート振替表!$O$5:$O$3507,$L774)&amp;""))</f>
        <v/>
      </c>
      <c r="F774" s="52" t="str">
        <f aca="false">IF(L774="","",INDEX(ポート振替表!$K$5:$K$3507,$L774)&amp;" "&amp;INDEX(ポート振替表!$L$5:$L$3507,$L774)&amp;"  ⇔  "&amp;INDEX(ポート振替表!$H$5:$H$3507,$L774)&amp;" "&amp;INDEX(ポート振替表!$I$5:$I$3507,$L774))</f>
        <v/>
      </c>
      <c r="G774" s="57" t="s">
        <v>158</v>
      </c>
      <c r="H774" s="32" t="str">
        <f aca="false">IF(L774="","",INDEX(ポート振替表!$N$5:$N$3507,$L774)&amp;"")</f>
        <v/>
      </c>
      <c r="I774" s="32" t="str">
        <f aca="false">IF(L774="","",INDEX(ポート振替表!$P$5:$P$3507,$L774)&amp;"")</f>
        <v/>
      </c>
      <c r="J774" s="60" t="str">
        <f aca="false">IF(L774="","",INDEX(ポート振替表!$M$5:$M$3507,$L774)&amp;"")</f>
        <v/>
      </c>
      <c r="K774" s="52" t="str">
        <f aca="false">IF(L774="","",E774&amp;CHAR(10)&amp;INDEX(ポート振替表!$K$5:$K$3507,$L774)&amp;" "&amp;INDEX(ポート振替表!$L$5:$L$3507,$L774)&amp;CHAR(10)&amp;"⇔ "&amp;INDEX(ポート振替表!$H$5:$H$3507,$L774)&amp;" "&amp;INDEX(ポート振替表!$I$5:$I$3507,$L774))</f>
        <v/>
      </c>
      <c r="L774" s="47" t="str">
        <f aca="false">IFERROR(MATCH(ROW()-4,ポート振替表!$V$5:$V$3507,0),"")</f>
        <v/>
      </c>
    </row>
    <row r="775" customFormat="false" ht="16.4" hidden="false" customHeight="false" outlineLevel="0" collapsed="false">
      <c r="A775" s="32" t="str">
        <f aca="false">IF(L775="","",ROW()-4)</f>
        <v/>
      </c>
      <c r="B775" s="58" t="str">
        <f aca="false">IF(L775="","",IF(INDEX(ポート振替表!$W$5:$W$3507,$L775)="","(なし)",INDEX(ポート振替表!$W$5:$W$3507,$L775)&amp;""))</f>
        <v/>
      </c>
      <c r="C775" s="52" t="str">
        <f aca="false">IF(L775="","",INDEX(ポート振替表!$B$5:$B$3507,$L775)&amp;" "&amp;INDEX(ポート振替表!$C$5:$C$3507,$L775)&amp;"  ⇔  "&amp;INDEX(ポート振替表!$H$5:$H$3507,$L775)&amp;" "&amp;INDEX(ポート振替表!$I$5:$I$3507,$L775))</f>
        <v/>
      </c>
      <c r="D775" s="57" t="s">
        <v>158</v>
      </c>
      <c r="E775" s="59" t="str">
        <f aca="false">IF(L775="","",IF(INDEX(ポート振替表!$O$5:$O$3507,$L775)="","(未設定)",INDEX(ポート振替表!$O$5:$O$3507,$L775)&amp;""))</f>
        <v/>
      </c>
      <c r="F775" s="52" t="str">
        <f aca="false">IF(L775="","",INDEX(ポート振替表!$K$5:$K$3507,$L775)&amp;" "&amp;INDEX(ポート振替表!$L$5:$L$3507,$L775)&amp;"  ⇔  "&amp;INDEX(ポート振替表!$H$5:$H$3507,$L775)&amp;" "&amp;INDEX(ポート振替表!$I$5:$I$3507,$L775))</f>
        <v/>
      </c>
      <c r="G775" s="57" t="s">
        <v>158</v>
      </c>
      <c r="H775" s="32" t="str">
        <f aca="false">IF(L775="","",INDEX(ポート振替表!$N$5:$N$3507,$L775)&amp;"")</f>
        <v/>
      </c>
      <c r="I775" s="32" t="str">
        <f aca="false">IF(L775="","",INDEX(ポート振替表!$P$5:$P$3507,$L775)&amp;"")</f>
        <v/>
      </c>
      <c r="J775" s="60" t="str">
        <f aca="false">IF(L775="","",INDEX(ポート振替表!$M$5:$M$3507,$L775)&amp;"")</f>
        <v/>
      </c>
      <c r="K775" s="52" t="str">
        <f aca="false">IF(L775="","",E775&amp;CHAR(10)&amp;INDEX(ポート振替表!$K$5:$K$3507,$L775)&amp;" "&amp;INDEX(ポート振替表!$L$5:$L$3507,$L775)&amp;CHAR(10)&amp;"⇔ "&amp;INDEX(ポート振替表!$H$5:$H$3507,$L775)&amp;" "&amp;INDEX(ポート振替表!$I$5:$I$3507,$L775))</f>
        <v/>
      </c>
      <c r="L775" s="47" t="str">
        <f aca="false">IFERROR(MATCH(ROW()-4,ポート振替表!$V$5:$V$3507,0),"")</f>
        <v/>
      </c>
    </row>
    <row r="776" customFormat="false" ht="16.4" hidden="false" customHeight="false" outlineLevel="0" collapsed="false">
      <c r="A776" s="32" t="str">
        <f aca="false">IF(L776="","",ROW()-4)</f>
        <v/>
      </c>
      <c r="B776" s="58" t="str">
        <f aca="false">IF(L776="","",IF(INDEX(ポート振替表!$W$5:$W$3507,$L776)="","(なし)",INDEX(ポート振替表!$W$5:$W$3507,$L776)&amp;""))</f>
        <v/>
      </c>
      <c r="C776" s="52" t="str">
        <f aca="false">IF(L776="","",INDEX(ポート振替表!$B$5:$B$3507,$L776)&amp;" "&amp;INDEX(ポート振替表!$C$5:$C$3507,$L776)&amp;"  ⇔  "&amp;INDEX(ポート振替表!$H$5:$H$3507,$L776)&amp;" "&amp;INDEX(ポート振替表!$I$5:$I$3507,$L776))</f>
        <v/>
      </c>
      <c r="D776" s="57" t="s">
        <v>158</v>
      </c>
      <c r="E776" s="59" t="str">
        <f aca="false">IF(L776="","",IF(INDEX(ポート振替表!$O$5:$O$3507,$L776)="","(未設定)",INDEX(ポート振替表!$O$5:$O$3507,$L776)&amp;""))</f>
        <v/>
      </c>
      <c r="F776" s="52" t="str">
        <f aca="false">IF(L776="","",INDEX(ポート振替表!$K$5:$K$3507,$L776)&amp;" "&amp;INDEX(ポート振替表!$L$5:$L$3507,$L776)&amp;"  ⇔  "&amp;INDEX(ポート振替表!$H$5:$H$3507,$L776)&amp;" "&amp;INDEX(ポート振替表!$I$5:$I$3507,$L776))</f>
        <v/>
      </c>
      <c r="G776" s="57" t="s">
        <v>158</v>
      </c>
      <c r="H776" s="32" t="str">
        <f aca="false">IF(L776="","",INDEX(ポート振替表!$N$5:$N$3507,$L776)&amp;"")</f>
        <v/>
      </c>
      <c r="I776" s="32" t="str">
        <f aca="false">IF(L776="","",INDEX(ポート振替表!$P$5:$P$3507,$L776)&amp;"")</f>
        <v/>
      </c>
      <c r="J776" s="60" t="str">
        <f aca="false">IF(L776="","",INDEX(ポート振替表!$M$5:$M$3507,$L776)&amp;"")</f>
        <v/>
      </c>
      <c r="K776" s="52" t="str">
        <f aca="false">IF(L776="","",E776&amp;CHAR(10)&amp;INDEX(ポート振替表!$K$5:$K$3507,$L776)&amp;" "&amp;INDEX(ポート振替表!$L$5:$L$3507,$L776)&amp;CHAR(10)&amp;"⇔ "&amp;INDEX(ポート振替表!$H$5:$H$3507,$L776)&amp;" "&amp;INDEX(ポート振替表!$I$5:$I$3507,$L776))</f>
        <v/>
      </c>
      <c r="L776" s="47" t="str">
        <f aca="false">IFERROR(MATCH(ROW()-4,ポート振替表!$V$5:$V$3507,0),"")</f>
        <v/>
      </c>
    </row>
    <row r="777" customFormat="false" ht="16.4" hidden="false" customHeight="false" outlineLevel="0" collapsed="false">
      <c r="A777" s="32" t="str">
        <f aca="false">IF(L777="","",ROW()-4)</f>
        <v/>
      </c>
      <c r="B777" s="58" t="str">
        <f aca="false">IF(L777="","",IF(INDEX(ポート振替表!$W$5:$W$3507,$L777)="","(なし)",INDEX(ポート振替表!$W$5:$W$3507,$L777)&amp;""))</f>
        <v/>
      </c>
      <c r="C777" s="52" t="str">
        <f aca="false">IF(L777="","",INDEX(ポート振替表!$B$5:$B$3507,$L777)&amp;" "&amp;INDEX(ポート振替表!$C$5:$C$3507,$L777)&amp;"  ⇔  "&amp;INDEX(ポート振替表!$H$5:$H$3507,$L777)&amp;" "&amp;INDEX(ポート振替表!$I$5:$I$3507,$L777))</f>
        <v/>
      </c>
      <c r="D777" s="57" t="s">
        <v>158</v>
      </c>
      <c r="E777" s="59" t="str">
        <f aca="false">IF(L777="","",IF(INDEX(ポート振替表!$O$5:$O$3507,$L777)="","(未設定)",INDEX(ポート振替表!$O$5:$O$3507,$L777)&amp;""))</f>
        <v/>
      </c>
      <c r="F777" s="52" t="str">
        <f aca="false">IF(L777="","",INDEX(ポート振替表!$K$5:$K$3507,$L777)&amp;" "&amp;INDEX(ポート振替表!$L$5:$L$3507,$L777)&amp;"  ⇔  "&amp;INDEX(ポート振替表!$H$5:$H$3507,$L777)&amp;" "&amp;INDEX(ポート振替表!$I$5:$I$3507,$L777))</f>
        <v/>
      </c>
      <c r="G777" s="57" t="s">
        <v>158</v>
      </c>
      <c r="H777" s="32" t="str">
        <f aca="false">IF(L777="","",INDEX(ポート振替表!$N$5:$N$3507,$L777)&amp;"")</f>
        <v/>
      </c>
      <c r="I777" s="32" t="str">
        <f aca="false">IF(L777="","",INDEX(ポート振替表!$P$5:$P$3507,$L777)&amp;"")</f>
        <v/>
      </c>
      <c r="J777" s="60" t="str">
        <f aca="false">IF(L777="","",INDEX(ポート振替表!$M$5:$M$3507,$L777)&amp;"")</f>
        <v/>
      </c>
      <c r="K777" s="52" t="str">
        <f aca="false">IF(L777="","",E777&amp;CHAR(10)&amp;INDEX(ポート振替表!$K$5:$K$3507,$L777)&amp;" "&amp;INDEX(ポート振替表!$L$5:$L$3507,$L777)&amp;CHAR(10)&amp;"⇔ "&amp;INDEX(ポート振替表!$H$5:$H$3507,$L777)&amp;" "&amp;INDEX(ポート振替表!$I$5:$I$3507,$L777))</f>
        <v/>
      </c>
      <c r="L777" s="47" t="str">
        <f aca="false">IFERROR(MATCH(ROW()-4,ポート振替表!$V$5:$V$3507,0),"")</f>
        <v/>
      </c>
    </row>
    <row r="778" customFormat="false" ht="16.4" hidden="false" customHeight="false" outlineLevel="0" collapsed="false">
      <c r="A778" s="32" t="str">
        <f aca="false">IF(L778="","",ROW()-4)</f>
        <v/>
      </c>
      <c r="B778" s="58" t="str">
        <f aca="false">IF(L778="","",IF(INDEX(ポート振替表!$W$5:$W$3507,$L778)="","(なし)",INDEX(ポート振替表!$W$5:$W$3507,$L778)&amp;""))</f>
        <v/>
      </c>
      <c r="C778" s="52" t="str">
        <f aca="false">IF(L778="","",INDEX(ポート振替表!$B$5:$B$3507,$L778)&amp;" "&amp;INDEX(ポート振替表!$C$5:$C$3507,$L778)&amp;"  ⇔  "&amp;INDEX(ポート振替表!$H$5:$H$3507,$L778)&amp;" "&amp;INDEX(ポート振替表!$I$5:$I$3507,$L778))</f>
        <v/>
      </c>
      <c r="D778" s="57" t="s">
        <v>158</v>
      </c>
      <c r="E778" s="59" t="str">
        <f aca="false">IF(L778="","",IF(INDEX(ポート振替表!$O$5:$O$3507,$L778)="","(未設定)",INDEX(ポート振替表!$O$5:$O$3507,$L778)&amp;""))</f>
        <v/>
      </c>
      <c r="F778" s="52" t="str">
        <f aca="false">IF(L778="","",INDEX(ポート振替表!$K$5:$K$3507,$L778)&amp;" "&amp;INDEX(ポート振替表!$L$5:$L$3507,$L778)&amp;"  ⇔  "&amp;INDEX(ポート振替表!$H$5:$H$3507,$L778)&amp;" "&amp;INDEX(ポート振替表!$I$5:$I$3507,$L778))</f>
        <v/>
      </c>
      <c r="G778" s="57" t="s">
        <v>158</v>
      </c>
      <c r="H778" s="32" t="str">
        <f aca="false">IF(L778="","",INDEX(ポート振替表!$N$5:$N$3507,$L778)&amp;"")</f>
        <v/>
      </c>
      <c r="I778" s="32" t="str">
        <f aca="false">IF(L778="","",INDEX(ポート振替表!$P$5:$P$3507,$L778)&amp;"")</f>
        <v/>
      </c>
      <c r="J778" s="60" t="str">
        <f aca="false">IF(L778="","",INDEX(ポート振替表!$M$5:$M$3507,$L778)&amp;"")</f>
        <v/>
      </c>
      <c r="K778" s="52" t="str">
        <f aca="false">IF(L778="","",E778&amp;CHAR(10)&amp;INDEX(ポート振替表!$K$5:$K$3507,$L778)&amp;" "&amp;INDEX(ポート振替表!$L$5:$L$3507,$L778)&amp;CHAR(10)&amp;"⇔ "&amp;INDEX(ポート振替表!$H$5:$H$3507,$L778)&amp;" "&amp;INDEX(ポート振替表!$I$5:$I$3507,$L778))</f>
        <v/>
      </c>
      <c r="L778" s="47" t="str">
        <f aca="false">IFERROR(MATCH(ROW()-4,ポート振替表!$V$5:$V$3507,0),"")</f>
        <v/>
      </c>
    </row>
    <row r="779" customFormat="false" ht="16.4" hidden="false" customHeight="false" outlineLevel="0" collapsed="false">
      <c r="A779" s="32" t="str">
        <f aca="false">IF(L779="","",ROW()-4)</f>
        <v/>
      </c>
      <c r="B779" s="58" t="str">
        <f aca="false">IF(L779="","",IF(INDEX(ポート振替表!$W$5:$W$3507,$L779)="","(なし)",INDEX(ポート振替表!$W$5:$W$3507,$L779)&amp;""))</f>
        <v/>
      </c>
      <c r="C779" s="52" t="str">
        <f aca="false">IF(L779="","",INDEX(ポート振替表!$B$5:$B$3507,$L779)&amp;" "&amp;INDEX(ポート振替表!$C$5:$C$3507,$L779)&amp;"  ⇔  "&amp;INDEX(ポート振替表!$H$5:$H$3507,$L779)&amp;" "&amp;INDEX(ポート振替表!$I$5:$I$3507,$L779))</f>
        <v/>
      </c>
      <c r="D779" s="57" t="s">
        <v>158</v>
      </c>
      <c r="E779" s="59" t="str">
        <f aca="false">IF(L779="","",IF(INDEX(ポート振替表!$O$5:$O$3507,$L779)="","(未設定)",INDEX(ポート振替表!$O$5:$O$3507,$L779)&amp;""))</f>
        <v/>
      </c>
      <c r="F779" s="52" t="str">
        <f aca="false">IF(L779="","",INDEX(ポート振替表!$K$5:$K$3507,$L779)&amp;" "&amp;INDEX(ポート振替表!$L$5:$L$3507,$L779)&amp;"  ⇔  "&amp;INDEX(ポート振替表!$H$5:$H$3507,$L779)&amp;" "&amp;INDEX(ポート振替表!$I$5:$I$3507,$L779))</f>
        <v/>
      </c>
      <c r="G779" s="57" t="s">
        <v>158</v>
      </c>
      <c r="H779" s="32" t="str">
        <f aca="false">IF(L779="","",INDEX(ポート振替表!$N$5:$N$3507,$L779)&amp;"")</f>
        <v/>
      </c>
      <c r="I779" s="32" t="str">
        <f aca="false">IF(L779="","",INDEX(ポート振替表!$P$5:$P$3507,$L779)&amp;"")</f>
        <v/>
      </c>
      <c r="J779" s="60" t="str">
        <f aca="false">IF(L779="","",INDEX(ポート振替表!$M$5:$M$3507,$L779)&amp;"")</f>
        <v/>
      </c>
      <c r="K779" s="52" t="str">
        <f aca="false">IF(L779="","",E779&amp;CHAR(10)&amp;INDEX(ポート振替表!$K$5:$K$3507,$L779)&amp;" "&amp;INDEX(ポート振替表!$L$5:$L$3507,$L779)&amp;CHAR(10)&amp;"⇔ "&amp;INDEX(ポート振替表!$H$5:$H$3507,$L779)&amp;" "&amp;INDEX(ポート振替表!$I$5:$I$3507,$L779))</f>
        <v/>
      </c>
      <c r="L779" s="47" t="str">
        <f aca="false">IFERROR(MATCH(ROW()-4,ポート振替表!$V$5:$V$3507,0),"")</f>
        <v/>
      </c>
    </row>
    <row r="780" customFormat="false" ht="16.4" hidden="false" customHeight="false" outlineLevel="0" collapsed="false">
      <c r="A780" s="32" t="str">
        <f aca="false">IF(L780="","",ROW()-4)</f>
        <v/>
      </c>
      <c r="B780" s="58" t="str">
        <f aca="false">IF(L780="","",IF(INDEX(ポート振替表!$W$5:$W$3507,$L780)="","(なし)",INDEX(ポート振替表!$W$5:$W$3507,$L780)&amp;""))</f>
        <v/>
      </c>
      <c r="C780" s="52" t="str">
        <f aca="false">IF(L780="","",INDEX(ポート振替表!$B$5:$B$3507,$L780)&amp;" "&amp;INDEX(ポート振替表!$C$5:$C$3507,$L780)&amp;"  ⇔  "&amp;INDEX(ポート振替表!$H$5:$H$3507,$L780)&amp;" "&amp;INDEX(ポート振替表!$I$5:$I$3507,$L780))</f>
        <v/>
      </c>
      <c r="D780" s="57" t="s">
        <v>158</v>
      </c>
      <c r="E780" s="59" t="str">
        <f aca="false">IF(L780="","",IF(INDEX(ポート振替表!$O$5:$O$3507,$L780)="","(未設定)",INDEX(ポート振替表!$O$5:$O$3507,$L780)&amp;""))</f>
        <v/>
      </c>
      <c r="F780" s="52" t="str">
        <f aca="false">IF(L780="","",INDEX(ポート振替表!$K$5:$K$3507,$L780)&amp;" "&amp;INDEX(ポート振替表!$L$5:$L$3507,$L780)&amp;"  ⇔  "&amp;INDEX(ポート振替表!$H$5:$H$3507,$L780)&amp;" "&amp;INDEX(ポート振替表!$I$5:$I$3507,$L780))</f>
        <v/>
      </c>
      <c r="G780" s="57" t="s">
        <v>158</v>
      </c>
      <c r="H780" s="32" t="str">
        <f aca="false">IF(L780="","",INDEX(ポート振替表!$N$5:$N$3507,$L780)&amp;"")</f>
        <v/>
      </c>
      <c r="I780" s="32" t="str">
        <f aca="false">IF(L780="","",INDEX(ポート振替表!$P$5:$P$3507,$L780)&amp;"")</f>
        <v/>
      </c>
      <c r="J780" s="60" t="str">
        <f aca="false">IF(L780="","",INDEX(ポート振替表!$M$5:$M$3507,$L780)&amp;"")</f>
        <v/>
      </c>
      <c r="K780" s="52" t="str">
        <f aca="false">IF(L780="","",E780&amp;CHAR(10)&amp;INDEX(ポート振替表!$K$5:$K$3507,$L780)&amp;" "&amp;INDEX(ポート振替表!$L$5:$L$3507,$L780)&amp;CHAR(10)&amp;"⇔ "&amp;INDEX(ポート振替表!$H$5:$H$3507,$L780)&amp;" "&amp;INDEX(ポート振替表!$I$5:$I$3507,$L780))</f>
        <v/>
      </c>
      <c r="L780" s="47" t="str">
        <f aca="false">IFERROR(MATCH(ROW()-4,ポート振替表!$V$5:$V$3507,0),"")</f>
        <v/>
      </c>
    </row>
    <row r="781" customFormat="false" ht="16.4" hidden="false" customHeight="false" outlineLevel="0" collapsed="false">
      <c r="A781" s="32" t="str">
        <f aca="false">IF(L781="","",ROW()-4)</f>
        <v/>
      </c>
      <c r="B781" s="58" t="str">
        <f aca="false">IF(L781="","",IF(INDEX(ポート振替表!$W$5:$W$3507,$L781)="","(なし)",INDEX(ポート振替表!$W$5:$W$3507,$L781)&amp;""))</f>
        <v/>
      </c>
      <c r="C781" s="52" t="str">
        <f aca="false">IF(L781="","",INDEX(ポート振替表!$B$5:$B$3507,$L781)&amp;" "&amp;INDEX(ポート振替表!$C$5:$C$3507,$L781)&amp;"  ⇔  "&amp;INDEX(ポート振替表!$H$5:$H$3507,$L781)&amp;" "&amp;INDEX(ポート振替表!$I$5:$I$3507,$L781))</f>
        <v/>
      </c>
      <c r="D781" s="57" t="s">
        <v>158</v>
      </c>
      <c r="E781" s="59" t="str">
        <f aca="false">IF(L781="","",IF(INDEX(ポート振替表!$O$5:$O$3507,$L781)="","(未設定)",INDEX(ポート振替表!$O$5:$O$3507,$L781)&amp;""))</f>
        <v/>
      </c>
      <c r="F781" s="52" t="str">
        <f aca="false">IF(L781="","",INDEX(ポート振替表!$K$5:$K$3507,$L781)&amp;" "&amp;INDEX(ポート振替表!$L$5:$L$3507,$L781)&amp;"  ⇔  "&amp;INDEX(ポート振替表!$H$5:$H$3507,$L781)&amp;" "&amp;INDEX(ポート振替表!$I$5:$I$3507,$L781))</f>
        <v/>
      </c>
      <c r="G781" s="57" t="s">
        <v>158</v>
      </c>
      <c r="H781" s="32" t="str">
        <f aca="false">IF(L781="","",INDEX(ポート振替表!$N$5:$N$3507,$L781)&amp;"")</f>
        <v/>
      </c>
      <c r="I781" s="32" t="str">
        <f aca="false">IF(L781="","",INDEX(ポート振替表!$P$5:$P$3507,$L781)&amp;"")</f>
        <v/>
      </c>
      <c r="J781" s="60" t="str">
        <f aca="false">IF(L781="","",INDEX(ポート振替表!$M$5:$M$3507,$L781)&amp;"")</f>
        <v/>
      </c>
      <c r="K781" s="52" t="str">
        <f aca="false">IF(L781="","",E781&amp;CHAR(10)&amp;INDEX(ポート振替表!$K$5:$K$3507,$L781)&amp;" "&amp;INDEX(ポート振替表!$L$5:$L$3507,$L781)&amp;CHAR(10)&amp;"⇔ "&amp;INDEX(ポート振替表!$H$5:$H$3507,$L781)&amp;" "&amp;INDEX(ポート振替表!$I$5:$I$3507,$L781))</f>
        <v/>
      </c>
      <c r="L781" s="47" t="str">
        <f aca="false">IFERROR(MATCH(ROW()-4,ポート振替表!$V$5:$V$3507,0),"")</f>
        <v/>
      </c>
    </row>
    <row r="782" customFormat="false" ht="16.4" hidden="false" customHeight="false" outlineLevel="0" collapsed="false">
      <c r="A782" s="32" t="str">
        <f aca="false">IF(L782="","",ROW()-4)</f>
        <v/>
      </c>
      <c r="B782" s="58" t="str">
        <f aca="false">IF(L782="","",IF(INDEX(ポート振替表!$W$5:$W$3507,$L782)="","(なし)",INDEX(ポート振替表!$W$5:$W$3507,$L782)&amp;""))</f>
        <v/>
      </c>
      <c r="C782" s="52" t="str">
        <f aca="false">IF(L782="","",INDEX(ポート振替表!$B$5:$B$3507,$L782)&amp;" "&amp;INDEX(ポート振替表!$C$5:$C$3507,$L782)&amp;"  ⇔  "&amp;INDEX(ポート振替表!$H$5:$H$3507,$L782)&amp;" "&amp;INDEX(ポート振替表!$I$5:$I$3507,$L782))</f>
        <v/>
      </c>
      <c r="D782" s="57" t="s">
        <v>158</v>
      </c>
      <c r="E782" s="59" t="str">
        <f aca="false">IF(L782="","",IF(INDEX(ポート振替表!$O$5:$O$3507,$L782)="","(未設定)",INDEX(ポート振替表!$O$5:$O$3507,$L782)&amp;""))</f>
        <v/>
      </c>
      <c r="F782" s="52" t="str">
        <f aca="false">IF(L782="","",INDEX(ポート振替表!$K$5:$K$3507,$L782)&amp;" "&amp;INDEX(ポート振替表!$L$5:$L$3507,$L782)&amp;"  ⇔  "&amp;INDEX(ポート振替表!$H$5:$H$3507,$L782)&amp;" "&amp;INDEX(ポート振替表!$I$5:$I$3507,$L782))</f>
        <v/>
      </c>
      <c r="G782" s="57" t="s">
        <v>158</v>
      </c>
      <c r="H782" s="32" t="str">
        <f aca="false">IF(L782="","",INDEX(ポート振替表!$N$5:$N$3507,$L782)&amp;"")</f>
        <v/>
      </c>
      <c r="I782" s="32" t="str">
        <f aca="false">IF(L782="","",INDEX(ポート振替表!$P$5:$P$3507,$L782)&amp;"")</f>
        <v/>
      </c>
      <c r="J782" s="60" t="str">
        <f aca="false">IF(L782="","",INDEX(ポート振替表!$M$5:$M$3507,$L782)&amp;"")</f>
        <v/>
      </c>
      <c r="K782" s="52" t="str">
        <f aca="false">IF(L782="","",E782&amp;CHAR(10)&amp;INDEX(ポート振替表!$K$5:$K$3507,$L782)&amp;" "&amp;INDEX(ポート振替表!$L$5:$L$3507,$L782)&amp;CHAR(10)&amp;"⇔ "&amp;INDEX(ポート振替表!$H$5:$H$3507,$L782)&amp;" "&amp;INDEX(ポート振替表!$I$5:$I$3507,$L782))</f>
        <v/>
      </c>
      <c r="L782" s="47" t="str">
        <f aca="false">IFERROR(MATCH(ROW()-4,ポート振替表!$V$5:$V$3507,0),"")</f>
        <v/>
      </c>
    </row>
    <row r="783" customFormat="false" ht="16.4" hidden="false" customHeight="false" outlineLevel="0" collapsed="false">
      <c r="A783" s="32" t="str">
        <f aca="false">IF(L783="","",ROW()-4)</f>
        <v/>
      </c>
      <c r="B783" s="58" t="str">
        <f aca="false">IF(L783="","",IF(INDEX(ポート振替表!$W$5:$W$3507,$L783)="","(なし)",INDEX(ポート振替表!$W$5:$W$3507,$L783)&amp;""))</f>
        <v/>
      </c>
      <c r="C783" s="52" t="str">
        <f aca="false">IF(L783="","",INDEX(ポート振替表!$B$5:$B$3507,$L783)&amp;" "&amp;INDEX(ポート振替表!$C$5:$C$3507,$L783)&amp;"  ⇔  "&amp;INDEX(ポート振替表!$H$5:$H$3507,$L783)&amp;" "&amp;INDEX(ポート振替表!$I$5:$I$3507,$L783))</f>
        <v/>
      </c>
      <c r="D783" s="57" t="s">
        <v>158</v>
      </c>
      <c r="E783" s="59" t="str">
        <f aca="false">IF(L783="","",IF(INDEX(ポート振替表!$O$5:$O$3507,$L783)="","(未設定)",INDEX(ポート振替表!$O$5:$O$3507,$L783)&amp;""))</f>
        <v/>
      </c>
      <c r="F783" s="52" t="str">
        <f aca="false">IF(L783="","",INDEX(ポート振替表!$K$5:$K$3507,$L783)&amp;" "&amp;INDEX(ポート振替表!$L$5:$L$3507,$L783)&amp;"  ⇔  "&amp;INDEX(ポート振替表!$H$5:$H$3507,$L783)&amp;" "&amp;INDEX(ポート振替表!$I$5:$I$3507,$L783))</f>
        <v/>
      </c>
      <c r="G783" s="57" t="s">
        <v>158</v>
      </c>
      <c r="H783" s="32" t="str">
        <f aca="false">IF(L783="","",INDEX(ポート振替表!$N$5:$N$3507,$L783)&amp;"")</f>
        <v/>
      </c>
      <c r="I783" s="32" t="str">
        <f aca="false">IF(L783="","",INDEX(ポート振替表!$P$5:$P$3507,$L783)&amp;"")</f>
        <v/>
      </c>
      <c r="J783" s="60" t="str">
        <f aca="false">IF(L783="","",INDEX(ポート振替表!$M$5:$M$3507,$L783)&amp;"")</f>
        <v/>
      </c>
      <c r="K783" s="52" t="str">
        <f aca="false">IF(L783="","",E783&amp;CHAR(10)&amp;INDEX(ポート振替表!$K$5:$K$3507,$L783)&amp;" "&amp;INDEX(ポート振替表!$L$5:$L$3507,$L783)&amp;CHAR(10)&amp;"⇔ "&amp;INDEX(ポート振替表!$H$5:$H$3507,$L783)&amp;" "&amp;INDEX(ポート振替表!$I$5:$I$3507,$L783))</f>
        <v/>
      </c>
      <c r="L783" s="47" t="str">
        <f aca="false">IFERROR(MATCH(ROW()-4,ポート振替表!$V$5:$V$3507,0),"")</f>
        <v/>
      </c>
    </row>
    <row r="784" customFormat="false" ht="16.4" hidden="false" customHeight="false" outlineLevel="0" collapsed="false">
      <c r="A784" s="32" t="str">
        <f aca="false">IF(L784="","",ROW()-4)</f>
        <v/>
      </c>
      <c r="B784" s="58" t="str">
        <f aca="false">IF(L784="","",IF(INDEX(ポート振替表!$W$5:$W$3507,$L784)="","(なし)",INDEX(ポート振替表!$W$5:$W$3507,$L784)&amp;""))</f>
        <v/>
      </c>
      <c r="C784" s="52" t="str">
        <f aca="false">IF(L784="","",INDEX(ポート振替表!$B$5:$B$3507,$L784)&amp;" "&amp;INDEX(ポート振替表!$C$5:$C$3507,$L784)&amp;"  ⇔  "&amp;INDEX(ポート振替表!$H$5:$H$3507,$L784)&amp;" "&amp;INDEX(ポート振替表!$I$5:$I$3507,$L784))</f>
        <v/>
      </c>
      <c r="D784" s="57" t="s">
        <v>158</v>
      </c>
      <c r="E784" s="59" t="str">
        <f aca="false">IF(L784="","",IF(INDEX(ポート振替表!$O$5:$O$3507,$L784)="","(未設定)",INDEX(ポート振替表!$O$5:$O$3507,$L784)&amp;""))</f>
        <v/>
      </c>
      <c r="F784" s="52" t="str">
        <f aca="false">IF(L784="","",INDEX(ポート振替表!$K$5:$K$3507,$L784)&amp;" "&amp;INDEX(ポート振替表!$L$5:$L$3507,$L784)&amp;"  ⇔  "&amp;INDEX(ポート振替表!$H$5:$H$3507,$L784)&amp;" "&amp;INDEX(ポート振替表!$I$5:$I$3507,$L784))</f>
        <v/>
      </c>
      <c r="G784" s="57" t="s">
        <v>158</v>
      </c>
      <c r="H784" s="32" t="str">
        <f aca="false">IF(L784="","",INDEX(ポート振替表!$N$5:$N$3507,$L784)&amp;"")</f>
        <v/>
      </c>
      <c r="I784" s="32" t="str">
        <f aca="false">IF(L784="","",INDEX(ポート振替表!$P$5:$P$3507,$L784)&amp;"")</f>
        <v/>
      </c>
      <c r="J784" s="60" t="str">
        <f aca="false">IF(L784="","",INDEX(ポート振替表!$M$5:$M$3507,$L784)&amp;"")</f>
        <v/>
      </c>
      <c r="K784" s="52" t="str">
        <f aca="false">IF(L784="","",E784&amp;CHAR(10)&amp;INDEX(ポート振替表!$K$5:$K$3507,$L784)&amp;" "&amp;INDEX(ポート振替表!$L$5:$L$3507,$L784)&amp;CHAR(10)&amp;"⇔ "&amp;INDEX(ポート振替表!$H$5:$H$3507,$L784)&amp;" "&amp;INDEX(ポート振替表!$I$5:$I$3507,$L784))</f>
        <v/>
      </c>
      <c r="L784" s="47" t="str">
        <f aca="false">IFERROR(MATCH(ROW()-4,ポート振替表!$V$5:$V$3507,0),"")</f>
        <v/>
      </c>
    </row>
    <row r="785" customFormat="false" ht="16.4" hidden="false" customHeight="false" outlineLevel="0" collapsed="false">
      <c r="A785" s="32" t="str">
        <f aca="false">IF(L785="","",ROW()-4)</f>
        <v/>
      </c>
      <c r="B785" s="58" t="str">
        <f aca="false">IF(L785="","",IF(INDEX(ポート振替表!$W$5:$W$3507,$L785)="","(なし)",INDEX(ポート振替表!$W$5:$W$3507,$L785)&amp;""))</f>
        <v/>
      </c>
      <c r="C785" s="52" t="str">
        <f aca="false">IF(L785="","",INDEX(ポート振替表!$B$5:$B$3507,$L785)&amp;" "&amp;INDEX(ポート振替表!$C$5:$C$3507,$L785)&amp;"  ⇔  "&amp;INDEX(ポート振替表!$H$5:$H$3507,$L785)&amp;" "&amp;INDEX(ポート振替表!$I$5:$I$3507,$L785))</f>
        <v/>
      </c>
      <c r="D785" s="57" t="s">
        <v>158</v>
      </c>
      <c r="E785" s="59" t="str">
        <f aca="false">IF(L785="","",IF(INDEX(ポート振替表!$O$5:$O$3507,$L785)="","(未設定)",INDEX(ポート振替表!$O$5:$O$3507,$L785)&amp;""))</f>
        <v/>
      </c>
      <c r="F785" s="52" t="str">
        <f aca="false">IF(L785="","",INDEX(ポート振替表!$K$5:$K$3507,$L785)&amp;" "&amp;INDEX(ポート振替表!$L$5:$L$3507,$L785)&amp;"  ⇔  "&amp;INDEX(ポート振替表!$H$5:$H$3507,$L785)&amp;" "&amp;INDEX(ポート振替表!$I$5:$I$3507,$L785))</f>
        <v/>
      </c>
      <c r="G785" s="57" t="s">
        <v>158</v>
      </c>
      <c r="H785" s="32" t="str">
        <f aca="false">IF(L785="","",INDEX(ポート振替表!$N$5:$N$3507,$L785)&amp;"")</f>
        <v/>
      </c>
      <c r="I785" s="32" t="str">
        <f aca="false">IF(L785="","",INDEX(ポート振替表!$P$5:$P$3507,$L785)&amp;"")</f>
        <v/>
      </c>
      <c r="J785" s="60" t="str">
        <f aca="false">IF(L785="","",INDEX(ポート振替表!$M$5:$M$3507,$L785)&amp;"")</f>
        <v/>
      </c>
      <c r="K785" s="52" t="str">
        <f aca="false">IF(L785="","",E785&amp;CHAR(10)&amp;INDEX(ポート振替表!$K$5:$K$3507,$L785)&amp;" "&amp;INDEX(ポート振替表!$L$5:$L$3507,$L785)&amp;CHAR(10)&amp;"⇔ "&amp;INDEX(ポート振替表!$H$5:$H$3507,$L785)&amp;" "&amp;INDEX(ポート振替表!$I$5:$I$3507,$L785))</f>
        <v/>
      </c>
      <c r="L785" s="47" t="str">
        <f aca="false">IFERROR(MATCH(ROW()-4,ポート振替表!$V$5:$V$3507,0),"")</f>
        <v/>
      </c>
    </row>
    <row r="786" customFormat="false" ht="16.4" hidden="false" customHeight="false" outlineLevel="0" collapsed="false">
      <c r="A786" s="32" t="str">
        <f aca="false">IF(L786="","",ROW()-4)</f>
        <v/>
      </c>
      <c r="B786" s="58" t="str">
        <f aca="false">IF(L786="","",IF(INDEX(ポート振替表!$W$5:$W$3507,$L786)="","(なし)",INDEX(ポート振替表!$W$5:$W$3507,$L786)&amp;""))</f>
        <v/>
      </c>
      <c r="C786" s="52" t="str">
        <f aca="false">IF(L786="","",INDEX(ポート振替表!$B$5:$B$3507,$L786)&amp;" "&amp;INDEX(ポート振替表!$C$5:$C$3507,$L786)&amp;"  ⇔  "&amp;INDEX(ポート振替表!$H$5:$H$3507,$L786)&amp;" "&amp;INDEX(ポート振替表!$I$5:$I$3507,$L786))</f>
        <v/>
      </c>
      <c r="D786" s="57" t="s">
        <v>158</v>
      </c>
      <c r="E786" s="59" t="str">
        <f aca="false">IF(L786="","",IF(INDEX(ポート振替表!$O$5:$O$3507,$L786)="","(未設定)",INDEX(ポート振替表!$O$5:$O$3507,$L786)&amp;""))</f>
        <v/>
      </c>
      <c r="F786" s="52" t="str">
        <f aca="false">IF(L786="","",INDEX(ポート振替表!$K$5:$K$3507,$L786)&amp;" "&amp;INDEX(ポート振替表!$L$5:$L$3507,$L786)&amp;"  ⇔  "&amp;INDEX(ポート振替表!$H$5:$H$3507,$L786)&amp;" "&amp;INDEX(ポート振替表!$I$5:$I$3507,$L786))</f>
        <v/>
      </c>
      <c r="G786" s="57" t="s">
        <v>158</v>
      </c>
      <c r="H786" s="32" t="str">
        <f aca="false">IF(L786="","",INDEX(ポート振替表!$N$5:$N$3507,$L786)&amp;"")</f>
        <v/>
      </c>
      <c r="I786" s="32" t="str">
        <f aca="false">IF(L786="","",INDEX(ポート振替表!$P$5:$P$3507,$L786)&amp;"")</f>
        <v/>
      </c>
      <c r="J786" s="60" t="str">
        <f aca="false">IF(L786="","",INDEX(ポート振替表!$M$5:$M$3507,$L786)&amp;"")</f>
        <v/>
      </c>
      <c r="K786" s="52" t="str">
        <f aca="false">IF(L786="","",E786&amp;CHAR(10)&amp;INDEX(ポート振替表!$K$5:$K$3507,$L786)&amp;" "&amp;INDEX(ポート振替表!$L$5:$L$3507,$L786)&amp;CHAR(10)&amp;"⇔ "&amp;INDEX(ポート振替表!$H$5:$H$3507,$L786)&amp;" "&amp;INDEX(ポート振替表!$I$5:$I$3507,$L786))</f>
        <v/>
      </c>
      <c r="L786" s="47" t="str">
        <f aca="false">IFERROR(MATCH(ROW()-4,ポート振替表!$V$5:$V$3507,0),"")</f>
        <v/>
      </c>
    </row>
    <row r="787" customFormat="false" ht="16.4" hidden="false" customHeight="false" outlineLevel="0" collapsed="false">
      <c r="A787" s="32" t="str">
        <f aca="false">IF(L787="","",ROW()-4)</f>
        <v/>
      </c>
      <c r="B787" s="58" t="str">
        <f aca="false">IF(L787="","",IF(INDEX(ポート振替表!$W$5:$W$3507,$L787)="","(なし)",INDEX(ポート振替表!$W$5:$W$3507,$L787)&amp;""))</f>
        <v/>
      </c>
      <c r="C787" s="52" t="str">
        <f aca="false">IF(L787="","",INDEX(ポート振替表!$B$5:$B$3507,$L787)&amp;" "&amp;INDEX(ポート振替表!$C$5:$C$3507,$L787)&amp;"  ⇔  "&amp;INDEX(ポート振替表!$H$5:$H$3507,$L787)&amp;" "&amp;INDEX(ポート振替表!$I$5:$I$3507,$L787))</f>
        <v/>
      </c>
      <c r="D787" s="57" t="s">
        <v>158</v>
      </c>
      <c r="E787" s="59" t="str">
        <f aca="false">IF(L787="","",IF(INDEX(ポート振替表!$O$5:$O$3507,$L787)="","(未設定)",INDEX(ポート振替表!$O$5:$O$3507,$L787)&amp;""))</f>
        <v/>
      </c>
      <c r="F787" s="52" t="str">
        <f aca="false">IF(L787="","",INDEX(ポート振替表!$K$5:$K$3507,$L787)&amp;" "&amp;INDEX(ポート振替表!$L$5:$L$3507,$L787)&amp;"  ⇔  "&amp;INDEX(ポート振替表!$H$5:$H$3507,$L787)&amp;" "&amp;INDEX(ポート振替表!$I$5:$I$3507,$L787))</f>
        <v/>
      </c>
      <c r="G787" s="57" t="s">
        <v>158</v>
      </c>
      <c r="H787" s="32" t="str">
        <f aca="false">IF(L787="","",INDEX(ポート振替表!$N$5:$N$3507,$L787)&amp;"")</f>
        <v/>
      </c>
      <c r="I787" s="32" t="str">
        <f aca="false">IF(L787="","",INDEX(ポート振替表!$P$5:$P$3507,$L787)&amp;"")</f>
        <v/>
      </c>
      <c r="J787" s="60" t="str">
        <f aca="false">IF(L787="","",INDEX(ポート振替表!$M$5:$M$3507,$L787)&amp;"")</f>
        <v/>
      </c>
      <c r="K787" s="52" t="str">
        <f aca="false">IF(L787="","",E787&amp;CHAR(10)&amp;INDEX(ポート振替表!$K$5:$K$3507,$L787)&amp;" "&amp;INDEX(ポート振替表!$L$5:$L$3507,$L787)&amp;CHAR(10)&amp;"⇔ "&amp;INDEX(ポート振替表!$H$5:$H$3507,$L787)&amp;" "&amp;INDEX(ポート振替表!$I$5:$I$3507,$L787))</f>
        <v/>
      </c>
      <c r="L787" s="47" t="str">
        <f aca="false">IFERROR(MATCH(ROW()-4,ポート振替表!$V$5:$V$3507,0),"")</f>
        <v/>
      </c>
    </row>
    <row r="788" customFormat="false" ht="16.4" hidden="false" customHeight="false" outlineLevel="0" collapsed="false">
      <c r="A788" s="32" t="str">
        <f aca="false">IF(L788="","",ROW()-4)</f>
        <v/>
      </c>
      <c r="B788" s="58" t="str">
        <f aca="false">IF(L788="","",IF(INDEX(ポート振替表!$W$5:$W$3507,$L788)="","(なし)",INDEX(ポート振替表!$W$5:$W$3507,$L788)&amp;""))</f>
        <v/>
      </c>
      <c r="C788" s="52" t="str">
        <f aca="false">IF(L788="","",INDEX(ポート振替表!$B$5:$B$3507,$L788)&amp;" "&amp;INDEX(ポート振替表!$C$5:$C$3507,$L788)&amp;"  ⇔  "&amp;INDEX(ポート振替表!$H$5:$H$3507,$L788)&amp;" "&amp;INDEX(ポート振替表!$I$5:$I$3507,$L788))</f>
        <v/>
      </c>
      <c r="D788" s="57" t="s">
        <v>158</v>
      </c>
      <c r="E788" s="59" t="str">
        <f aca="false">IF(L788="","",IF(INDEX(ポート振替表!$O$5:$O$3507,$L788)="","(未設定)",INDEX(ポート振替表!$O$5:$O$3507,$L788)&amp;""))</f>
        <v/>
      </c>
      <c r="F788" s="52" t="str">
        <f aca="false">IF(L788="","",INDEX(ポート振替表!$K$5:$K$3507,$L788)&amp;" "&amp;INDEX(ポート振替表!$L$5:$L$3507,$L788)&amp;"  ⇔  "&amp;INDEX(ポート振替表!$H$5:$H$3507,$L788)&amp;" "&amp;INDEX(ポート振替表!$I$5:$I$3507,$L788))</f>
        <v/>
      </c>
      <c r="G788" s="57" t="s">
        <v>158</v>
      </c>
      <c r="H788" s="32" t="str">
        <f aca="false">IF(L788="","",INDEX(ポート振替表!$N$5:$N$3507,$L788)&amp;"")</f>
        <v/>
      </c>
      <c r="I788" s="32" t="str">
        <f aca="false">IF(L788="","",INDEX(ポート振替表!$P$5:$P$3507,$L788)&amp;"")</f>
        <v/>
      </c>
      <c r="J788" s="60" t="str">
        <f aca="false">IF(L788="","",INDEX(ポート振替表!$M$5:$M$3507,$L788)&amp;"")</f>
        <v/>
      </c>
      <c r="K788" s="52" t="str">
        <f aca="false">IF(L788="","",E788&amp;CHAR(10)&amp;INDEX(ポート振替表!$K$5:$K$3507,$L788)&amp;" "&amp;INDEX(ポート振替表!$L$5:$L$3507,$L788)&amp;CHAR(10)&amp;"⇔ "&amp;INDEX(ポート振替表!$H$5:$H$3507,$L788)&amp;" "&amp;INDEX(ポート振替表!$I$5:$I$3507,$L788))</f>
        <v/>
      </c>
      <c r="L788" s="47" t="str">
        <f aca="false">IFERROR(MATCH(ROW()-4,ポート振替表!$V$5:$V$3507,0),"")</f>
        <v/>
      </c>
    </row>
    <row r="789" customFormat="false" ht="16.4" hidden="false" customHeight="false" outlineLevel="0" collapsed="false">
      <c r="A789" s="32" t="str">
        <f aca="false">IF(L789="","",ROW()-4)</f>
        <v/>
      </c>
      <c r="B789" s="58" t="str">
        <f aca="false">IF(L789="","",IF(INDEX(ポート振替表!$W$5:$W$3507,$L789)="","(なし)",INDEX(ポート振替表!$W$5:$W$3507,$L789)&amp;""))</f>
        <v/>
      </c>
      <c r="C789" s="52" t="str">
        <f aca="false">IF(L789="","",INDEX(ポート振替表!$B$5:$B$3507,$L789)&amp;" "&amp;INDEX(ポート振替表!$C$5:$C$3507,$L789)&amp;"  ⇔  "&amp;INDEX(ポート振替表!$H$5:$H$3507,$L789)&amp;" "&amp;INDEX(ポート振替表!$I$5:$I$3507,$L789))</f>
        <v/>
      </c>
      <c r="D789" s="57" t="s">
        <v>158</v>
      </c>
      <c r="E789" s="59" t="str">
        <f aca="false">IF(L789="","",IF(INDEX(ポート振替表!$O$5:$O$3507,$L789)="","(未設定)",INDEX(ポート振替表!$O$5:$O$3507,$L789)&amp;""))</f>
        <v/>
      </c>
      <c r="F789" s="52" t="str">
        <f aca="false">IF(L789="","",INDEX(ポート振替表!$K$5:$K$3507,$L789)&amp;" "&amp;INDEX(ポート振替表!$L$5:$L$3507,$L789)&amp;"  ⇔  "&amp;INDEX(ポート振替表!$H$5:$H$3507,$L789)&amp;" "&amp;INDEX(ポート振替表!$I$5:$I$3507,$L789))</f>
        <v/>
      </c>
      <c r="G789" s="57" t="s">
        <v>158</v>
      </c>
      <c r="H789" s="32" t="str">
        <f aca="false">IF(L789="","",INDEX(ポート振替表!$N$5:$N$3507,$L789)&amp;"")</f>
        <v/>
      </c>
      <c r="I789" s="32" t="str">
        <f aca="false">IF(L789="","",INDEX(ポート振替表!$P$5:$P$3507,$L789)&amp;"")</f>
        <v/>
      </c>
      <c r="J789" s="60" t="str">
        <f aca="false">IF(L789="","",INDEX(ポート振替表!$M$5:$M$3507,$L789)&amp;"")</f>
        <v/>
      </c>
      <c r="K789" s="52" t="str">
        <f aca="false">IF(L789="","",E789&amp;CHAR(10)&amp;INDEX(ポート振替表!$K$5:$K$3507,$L789)&amp;" "&amp;INDEX(ポート振替表!$L$5:$L$3507,$L789)&amp;CHAR(10)&amp;"⇔ "&amp;INDEX(ポート振替表!$H$5:$H$3507,$L789)&amp;" "&amp;INDEX(ポート振替表!$I$5:$I$3507,$L789))</f>
        <v/>
      </c>
      <c r="L789" s="47" t="str">
        <f aca="false">IFERROR(MATCH(ROW()-4,ポート振替表!$V$5:$V$3507,0),"")</f>
        <v/>
      </c>
    </row>
    <row r="790" customFormat="false" ht="16.4" hidden="false" customHeight="false" outlineLevel="0" collapsed="false">
      <c r="A790" s="32" t="str">
        <f aca="false">IF(L790="","",ROW()-4)</f>
        <v/>
      </c>
      <c r="B790" s="58" t="str">
        <f aca="false">IF(L790="","",IF(INDEX(ポート振替表!$W$5:$W$3507,$L790)="","(なし)",INDEX(ポート振替表!$W$5:$W$3507,$L790)&amp;""))</f>
        <v/>
      </c>
      <c r="C790" s="52" t="str">
        <f aca="false">IF(L790="","",INDEX(ポート振替表!$B$5:$B$3507,$L790)&amp;" "&amp;INDEX(ポート振替表!$C$5:$C$3507,$L790)&amp;"  ⇔  "&amp;INDEX(ポート振替表!$H$5:$H$3507,$L790)&amp;" "&amp;INDEX(ポート振替表!$I$5:$I$3507,$L790))</f>
        <v/>
      </c>
      <c r="D790" s="57" t="s">
        <v>158</v>
      </c>
      <c r="E790" s="59" t="str">
        <f aca="false">IF(L790="","",IF(INDEX(ポート振替表!$O$5:$O$3507,$L790)="","(未設定)",INDEX(ポート振替表!$O$5:$O$3507,$L790)&amp;""))</f>
        <v/>
      </c>
      <c r="F790" s="52" t="str">
        <f aca="false">IF(L790="","",INDEX(ポート振替表!$K$5:$K$3507,$L790)&amp;" "&amp;INDEX(ポート振替表!$L$5:$L$3507,$L790)&amp;"  ⇔  "&amp;INDEX(ポート振替表!$H$5:$H$3507,$L790)&amp;" "&amp;INDEX(ポート振替表!$I$5:$I$3507,$L790))</f>
        <v/>
      </c>
      <c r="G790" s="57" t="s">
        <v>158</v>
      </c>
      <c r="H790" s="32" t="str">
        <f aca="false">IF(L790="","",INDEX(ポート振替表!$N$5:$N$3507,$L790)&amp;"")</f>
        <v/>
      </c>
      <c r="I790" s="32" t="str">
        <f aca="false">IF(L790="","",INDEX(ポート振替表!$P$5:$P$3507,$L790)&amp;"")</f>
        <v/>
      </c>
      <c r="J790" s="60" t="str">
        <f aca="false">IF(L790="","",INDEX(ポート振替表!$M$5:$M$3507,$L790)&amp;"")</f>
        <v/>
      </c>
      <c r="K790" s="52" t="str">
        <f aca="false">IF(L790="","",E790&amp;CHAR(10)&amp;INDEX(ポート振替表!$K$5:$K$3507,$L790)&amp;" "&amp;INDEX(ポート振替表!$L$5:$L$3507,$L790)&amp;CHAR(10)&amp;"⇔ "&amp;INDEX(ポート振替表!$H$5:$H$3507,$L790)&amp;" "&amp;INDEX(ポート振替表!$I$5:$I$3507,$L790))</f>
        <v/>
      </c>
      <c r="L790" s="47" t="str">
        <f aca="false">IFERROR(MATCH(ROW()-4,ポート振替表!$V$5:$V$3507,0),"")</f>
        <v/>
      </c>
    </row>
    <row r="791" customFormat="false" ht="16.4" hidden="false" customHeight="false" outlineLevel="0" collapsed="false">
      <c r="A791" s="32" t="str">
        <f aca="false">IF(L791="","",ROW()-4)</f>
        <v/>
      </c>
      <c r="B791" s="58" t="str">
        <f aca="false">IF(L791="","",IF(INDEX(ポート振替表!$W$5:$W$3507,$L791)="","(なし)",INDEX(ポート振替表!$W$5:$W$3507,$L791)&amp;""))</f>
        <v/>
      </c>
      <c r="C791" s="52" t="str">
        <f aca="false">IF(L791="","",INDEX(ポート振替表!$B$5:$B$3507,$L791)&amp;" "&amp;INDEX(ポート振替表!$C$5:$C$3507,$L791)&amp;"  ⇔  "&amp;INDEX(ポート振替表!$H$5:$H$3507,$L791)&amp;" "&amp;INDEX(ポート振替表!$I$5:$I$3507,$L791))</f>
        <v/>
      </c>
      <c r="D791" s="57" t="s">
        <v>158</v>
      </c>
      <c r="E791" s="59" t="str">
        <f aca="false">IF(L791="","",IF(INDEX(ポート振替表!$O$5:$O$3507,$L791)="","(未設定)",INDEX(ポート振替表!$O$5:$O$3507,$L791)&amp;""))</f>
        <v/>
      </c>
      <c r="F791" s="52" t="str">
        <f aca="false">IF(L791="","",INDEX(ポート振替表!$K$5:$K$3507,$L791)&amp;" "&amp;INDEX(ポート振替表!$L$5:$L$3507,$L791)&amp;"  ⇔  "&amp;INDEX(ポート振替表!$H$5:$H$3507,$L791)&amp;" "&amp;INDEX(ポート振替表!$I$5:$I$3507,$L791))</f>
        <v/>
      </c>
      <c r="G791" s="57" t="s">
        <v>158</v>
      </c>
      <c r="H791" s="32" t="str">
        <f aca="false">IF(L791="","",INDEX(ポート振替表!$N$5:$N$3507,$L791)&amp;"")</f>
        <v/>
      </c>
      <c r="I791" s="32" t="str">
        <f aca="false">IF(L791="","",INDEX(ポート振替表!$P$5:$P$3507,$L791)&amp;"")</f>
        <v/>
      </c>
      <c r="J791" s="60" t="str">
        <f aca="false">IF(L791="","",INDEX(ポート振替表!$M$5:$M$3507,$L791)&amp;"")</f>
        <v/>
      </c>
      <c r="K791" s="52" t="str">
        <f aca="false">IF(L791="","",E791&amp;CHAR(10)&amp;INDEX(ポート振替表!$K$5:$K$3507,$L791)&amp;" "&amp;INDEX(ポート振替表!$L$5:$L$3507,$L791)&amp;CHAR(10)&amp;"⇔ "&amp;INDEX(ポート振替表!$H$5:$H$3507,$L791)&amp;" "&amp;INDEX(ポート振替表!$I$5:$I$3507,$L791))</f>
        <v/>
      </c>
      <c r="L791" s="47" t="str">
        <f aca="false">IFERROR(MATCH(ROW()-4,ポート振替表!$V$5:$V$3507,0),"")</f>
        <v/>
      </c>
    </row>
    <row r="792" customFormat="false" ht="16.4" hidden="false" customHeight="false" outlineLevel="0" collapsed="false">
      <c r="A792" s="32" t="str">
        <f aca="false">IF(L792="","",ROW()-4)</f>
        <v/>
      </c>
      <c r="B792" s="58" t="str">
        <f aca="false">IF(L792="","",IF(INDEX(ポート振替表!$W$5:$W$3507,$L792)="","(なし)",INDEX(ポート振替表!$W$5:$W$3507,$L792)&amp;""))</f>
        <v/>
      </c>
      <c r="C792" s="52" t="str">
        <f aca="false">IF(L792="","",INDEX(ポート振替表!$B$5:$B$3507,$L792)&amp;" "&amp;INDEX(ポート振替表!$C$5:$C$3507,$L792)&amp;"  ⇔  "&amp;INDEX(ポート振替表!$H$5:$H$3507,$L792)&amp;" "&amp;INDEX(ポート振替表!$I$5:$I$3507,$L792))</f>
        <v/>
      </c>
      <c r="D792" s="57" t="s">
        <v>158</v>
      </c>
      <c r="E792" s="59" t="str">
        <f aca="false">IF(L792="","",IF(INDEX(ポート振替表!$O$5:$O$3507,$L792)="","(未設定)",INDEX(ポート振替表!$O$5:$O$3507,$L792)&amp;""))</f>
        <v/>
      </c>
      <c r="F792" s="52" t="str">
        <f aca="false">IF(L792="","",INDEX(ポート振替表!$K$5:$K$3507,$L792)&amp;" "&amp;INDEX(ポート振替表!$L$5:$L$3507,$L792)&amp;"  ⇔  "&amp;INDEX(ポート振替表!$H$5:$H$3507,$L792)&amp;" "&amp;INDEX(ポート振替表!$I$5:$I$3507,$L792))</f>
        <v/>
      </c>
      <c r="G792" s="57" t="s">
        <v>158</v>
      </c>
      <c r="H792" s="32" t="str">
        <f aca="false">IF(L792="","",INDEX(ポート振替表!$N$5:$N$3507,$L792)&amp;"")</f>
        <v/>
      </c>
      <c r="I792" s="32" t="str">
        <f aca="false">IF(L792="","",INDEX(ポート振替表!$P$5:$P$3507,$L792)&amp;"")</f>
        <v/>
      </c>
      <c r="J792" s="60" t="str">
        <f aca="false">IF(L792="","",INDEX(ポート振替表!$M$5:$M$3507,$L792)&amp;"")</f>
        <v/>
      </c>
      <c r="K792" s="52" t="str">
        <f aca="false">IF(L792="","",E792&amp;CHAR(10)&amp;INDEX(ポート振替表!$K$5:$K$3507,$L792)&amp;" "&amp;INDEX(ポート振替表!$L$5:$L$3507,$L792)&amp;CHAR(10)&amp;"⇔ "&amp;INDEX(ポート振替表!$H$5:$H$3507,$L792)&amp;" "&amp;INDEX(ポート振替表!$I$5:$I$3507,$L792))</f>
        <v/>
      </c>
      <c r="L792" s="47" t="str">
        <f aca="false">IFERROR(MATCH(ROW()-4,ポート振替表!$V$5:$V$3507,0),"")</f>
        <v/>
      </c>
    </row>
    <row r="793" customFormat="false" ht="16.4" hidden="false" customHeight="false" outlineLevel="0" collapsed="false">
      <c r="A793" s="32" t="str">
        <f aca="false">IF(L793="","",ROW()-4)</f>
        <v/>
      </c>
      <c r="B793" s="58" t="str">
        <f aca="false">IF(L793="","",IF(INDEX(ポート振替表!$W$5:$W$3507,$L793)="","(なし)",INDEX(ポート振替表!$W$5:$W$3507,$L793)&amp;""))</f>
        <v/>
      </c>
      <c r="C793" s="52" t="str">
        <f aca="false">IF(L793="","",INDEX(ポート振替表!$B$5:$B$3507,$L793)&amp;" "&amp;INDEX(ポート振替表!$C$5:$C$3507,$L793)&amp;"  ⇔  "&amp;INDEX(ポート振替表!$H$5:$H$3507,$L793)&amp;" "&amp;INDEX(ポート振替表!$I$5:$I$3507,$L793))</f>
        <v/>
      </c>
      <c r="D793" s="57" t="s">
        <v>158</v>
      </c>
      <c r="E793" s="59" t="str">
        <f aca="false">IF(L793="","",IF(INDEX(ポート振替表!$O$5:$O$3507,$L793)="","(未設定)",INDEX(ポート振替表!$O$5:$O$3507,$L793)&amp;""))</f>
        <v/>
      </c>
      <c r="F793" s="52" t="str">
        <f aca="false">IF(L793="","",INDEX(ポート振替表!$K$5:$K$3507,$L793)&amp;" "&amp;INDEX(ポート振替表!$L$5:$L$3507,$L793)&amp;"  ⇔  "&amp;INDEX(ポート振替表!$H$5:$H$3507,$L793)&amp;" "&amp;INDEX(ポート振替表!$I$5:$I$3507,$L793))</f>
        <v/>
      </c>
      <c r="G793" s="57" t="s">
        <v>158</v>
      </c>
      <c r="H793" s="32" t="str">
        <f aca="false">IF(L793="","",INDEX(ポート振替表!$N$5:$N$3507,$L793)&amp;"")</f>
        <v/>
      </c>
      <c r="I793" s="32" t="str">
        <f aca="false">IF(L793="","",INDEX(ポート振替表!$P$5:$P$3507,$L793)&amp;"")</f>
        <v/>
      </c>
      <c r="J793" s="60" t="str">
        <f aca="false">IF(L793="","",INDEX(ポート振替表!$M$5:$M$3507,$L793)&amp;"")</f>
        <v/>
      </c>
      <c r="K793" s="52" t="str">
        <f aca="false">IF(L793="","",E793&amp;CHAR(10)&amp;INDEX(ポート振替表!$K$5:$K$3507,$L793)&amp;" "&amp;INDEX(ポート振替表!$L$5:$L$3507,$L793)&amp;CHAR(10)&amp;"⇔ "&amp;INDEX(ポート振替表!$H$5:$H$3507,$L793)&amp;" "&amp;INDEX(ポート振替表!$I$5:$I$3507,$L793))</f>
        <v/>
      </c>
      <c r="L793" s="47" t="str">
        <f aca="false">IFERROR(MATCH(ROW()-4,ポート振替表!$V$5:$V$3507,0),"")</f>
        <v/>
      </c>
    </row>
    <row r="794" customFormat="false" ht="16.4" hidden="false" customHeight="false" outlineLevel="0" collapsed="false">
      <c r="A794" s="32" t="str">
        <f aca="false">IF(L794="","",ROW()-4)</f>
        <v/>
      </c>
      <c r="B794" s="58" t="str">
        <f aca="false">IF(L794="","",IF(INDEX(ポート振替表!$W$5:$W$3507,$L794)="","(なし)",INDEX(ポート振替表!$W$5:$W$3507,$L794)&amp;""))</f>
        <v/>
      </c>
      <c r="C794" s="52" t="str">
        <f aca="false">IF(L794="","",INDEX(ポート振替表!$B$5:$B$3507,$L794)&amp;" "&amp;INDEX(ポート振替表!$C$5:$C$3507,$L794)&amp;"  ⇔  "&amp;INDEX(ポート振替表!$H$5:$H$3507,$L794)&amp;" "&amp;INDEX(ポート振替表!$I$5:$I$3507,$L794))</f>
        <v/>
      </c>
      <c r="D794" s="57" t="s">
        <v>158</v>
      </c>
      <c r="E794" s="59" t="str">
        <f aca="false">IF(L794="","",IF(INDEX(ポート振替表!$O$5:$O$3507,$L794)="","(未設定)",INDEX(ポート振替表!$O$5:$O$3507,$L794)&amp;""))</f>
        <v/>
      </c>
      <c r="F794" s="52" t="str">
        <f aca="false">IF(L794="","",INDEX(ポート振替表!$K$5:$K$3507,$L794)&amp;" "&amp;INDEX(ポート振替表!$L$5:$L$3507,$L794)&amp;"  ⇔  "&amp;INDEX(ポート振替表!$H$5:$H$3507,$L794)&amp;" "&amp;INDEX(ポート振替表!$I$5:$I$3507,$L794))</f>
        <v/>
      </c>
      <c r="G794" s="57" t="s">
        <v>158</v>
      </c>
      <c r="H794" s="32" t="str">
        <f aca="false">IF(L794="","",INDEX(ポート振替表!$N$5:$N$3507,$L794)&amp;"")</f>
        <v/>
      </c>
      <c r="I794" s="32" t="str">
        <f aca="false">IF(L794="","",INDEX(ポート振替表!$P$5:$P$3507,$L794)&amp;"")</f>
        <v/>
      </c>
      <c r="J794" s="60" t="str">
        <f aca="false">IF(L794="","",INDEX(ポート振替表!$M$5:$M$3507,$L794)&amp;"")</f>
        <v/>
      </c>
      <c r="K794" s="52" t="str">
        <f aca="false">IF(L794="","",E794&amp;CHAR(10)&amp;INDEX(ポート振替表!$K$5:$K$3507,$L794)&amp;" "&amp;INDEX(ポート振替表!$L$5:$L$3507,$L794)&amp;CHAR(10)&amp;"⇔ "&amp;INDEX(ポート振替表!$H$5:$H$3507,$L794)&amp;" "&amp;INDEX(ポート振替表!$I$5:$I$3507,$L794))</f>
        <v/>
      </c>
      <c r="L794" s="47" t="str">
        <f aca="false">IFERROR(MATCH(ROW()-4,ポート振替表!$V$5:$V$3507,0),"")</f>
        <v/>
      </c>
    </row>
    <row r="795" customFormat="false" ht="16.4" hidden="false" customHeight="false" outlineLevel="0" collapsed="false">
      <c r="A795" s="32" t="str">
        <f aca="false">IF(L795="","",ROW()-4)</f>
        <v/>
      </c>
      <c r="B795" s="58" t="str">
        <f aca="false">IF(L795="","",IF(INDEX(ポート振替表!$W$5:$W$3507,$L795)="","(なし)",INDEX(ポート振替表!$W$5:$W$3507,$L795)&amp;""))</f>
        <v/>
      </c>
      <c r="C795" s="52" t="str">
        <f aca="false">IF(L795="","",INDEX(ポート振替表!$B$5:$B$3507,$L795)&amp;" "&amp;INDEX(ポート振替表!$C$5:$C$3507,$L795)&amp;"  ⇔  "&amp;INDEX(ポート振替表!$H$5:$H$3507,$L795)&amp;" "&amp;INDEX(ポート振替表!$I$5:$I$3507,$L795))</f>
        <v/>
      </c>
      <c r="D795" s="57" t="s">
        <v>158</v>
      </c>
      <c r="E795" s="59" t="str">
        <f aca="false">IF(L795="","",IF(INDEX(ポート振替表!$O$5:$O$3507,$L795)="","(未設定)",INDEX(ポート振替表!$O$5:$O$3507,$L795)&amp;""))</f>
        <v/>
      </c>
      <c r="F795" s="52" t="str">
        <f aca="false">IF(L795="","",INDEX(ポート振替表!$K$5:$K$3507,$L795)&amp;" "&amp;INDEX(ポート振替表!$L$5:$L$3507,$L795)&amp;"  ⇔  "&amp;INDEX(ポート振替表!$H$5:$H$3507,$L795)&amp;" "&amp;INDEX(ポート振替表!$I$5:$I$3507,$L795))</f>
        <v/>
      </c>
      <c r="G795" s="57" t="s">
        <v>158</v>
      </c>
      <c r="H795" s="32" t="str">
        <f aca="false">IF(L795="","",INDEX(ポート振替表!$N$5:$N$3507,$L795)&amp;"")</f>
        <v/>
      </c>
      <c r="I795" s="32" t="str">
        <f aca="false">IF(L795="","",INDEX(ポート振替表!$P$5:$P$3507,$L795)&amp;"")</f>
        <v/>
      </c>
      <c r="J795" s="60" t="str">
        <f aca="false">IF(L795="","",INDEX(ポート振替表!$M$5:$M$3507,$L795)&amp;"")</f>
        <v/>
      </c>
      <c r="K795" s="52" t="str">
        <f aca="false">IF(L795="","",E795&amp;CHAR(10)&amp;INDEX(ポート振替表!$K$5:$K$3507,$L795)&amp;" "&amp;INDEX(ポート振替表!$L$5:$L$3507,$L795)&amp;CHAR(10)&amp;"⇔ "&amp;INDEX(ポート振替表!$H$5:$H$3507,$L795)&amp;" "&amp;INDEX(ポート振替表!$I$5:$I$3507,$L795))</f>
        <v/>
      </c>
      <c r="L795" s="47" t="str">
        <f aca="false">IFERROR(MATCH(ROW()-4,ポート振替表!$V$5:$V$3507,0),"")</f>
        <v/>
      </c>
    </row>
    <row r="796" customFormat="false" ht="16.4" hidden="false" customHeight="false" outlineLevel="0" collapsed="false">
      <c r="A796" s="32" t="str">
        <f aca="false">IF(L796="","",ROW()-4)</f>
        <v/>
      </c>
      <c r="B796" s="58" t="str">
        <f aca="false">IF(L796="","",IF(INDEX(ポート振替表!$W$5:$W$3507,$L796)="","(なし)",INDEX(ポート振替表!$W$5:$W$3507,$L796)&amp;""))</f>
        <v/>
      </c>
      <c r="C796" s="52" t="str">
        <f aca="false">IF(L796="","",INDEX(ポート振替表!$B$5:$B$3507,$L796)&amp;" "&amp;INDEX(ポート振替表!$C$5:$C$3507,$L796)&amp;"  ⇔  "&amp;INDEX(ポート振替表!$H$5:$H$3507,$L796)&amp;" "&amp;INDEX(ポート振替表!$I$5:$I$3507,$L796))</f>
        <v/>
      </c>
      <c r="D796" s="57" t="s">
        <v>158</v>
      </c>
      <c r="E796" s="59" t="str">
        <f aca="false">IF(L796="","",IF(INDEX(ポート振替表!$O$5:$O$3507,$L796)="","(未設定)",INDEX(ポート振替表!$O$5:$O$3507,$L796)&amp;""))</f>
        <v/>
      </c>
      <c r="F796" s="52" t="str">
        <f aca="false">IF(L796="","",INDEX(ポート振替表!$K$5:$K$3507,$L796)&amp;" "&amp;INDEX(ポート振替表!$L$5:$L$3507,$L796)&amp;"  ⇔  "&amp;INDEX(ポート振替表!$H$5:$H$3507,$L796)&amp;" "&amp;INDEX(ポート振替表!$I$5:$I$3507,$L796))</f>
        <v/>
      </c>
      <c r="G796" s="57" t="s">
        <v>158</v>
      </c>
      <c r="H796" s="32" t="str">
        <f aca="false">IF(L796="","",INDEX(ポート振替表!$N$5:$N$3507,$L796)&amp;"")</f>
        <v/>
      </c>
      <c r="I796" s="32" t="str">
        <f aca="false">IF(L796="","",INDEX(ポート振替表!$P$5:$P$3507,$L796)&amp;"")</f>
        <v/>
      </c>
      <c r="J796" s="60" t="str">
        <f aca="false">IF(L796="","",INDEX(ポート振替表!$M$5:$M$3507,$L796)&amp;"")</f>
        <v/>
      </c>
      <c r="K796" s="52" t="str">
        <f aca="false">IF(L796="","",E796&amp;CHAR(10)&amp;INDEX(ポート振替表!$K$5:$K$3507,$L796)&amp;" "&amp;INDEX(ポート振替表!$L$5:$L$3507,$L796)&amp;CHAR(10)&amp;"⇔ "&amp;INDEX(ポート振替表!$H$5:$H$3507,$L796)&amp;" "&amp;INDEX(ポート振替表!$I$5:$I$3507,$L796))</f>
        <v/>
      </c>
      <c r="L796" s="47" t="str">
        <f aca="false">IFERROR(MATCH(ROW()-4,ポート振替表!$V$5:$V$3507,0),"")</f>
        <v/>
      </c>
    </row>
    <row r="797" customFormat="false" ht="16.4" hidden="false" customHeight="false" outlineLevel="0" collapsed="false">
      <c r="A797" s="32" t="str">
        <f aca="false">IF(L797="","",ROW()-4)</f>
        <v/>
      </c>
      <c r="B797" s="58" t="str">
        <f aca="false">IF(L797="","",IF(INDEX(ポート振替表!$W$5:$W$3507,$L797)="","(なし)",INDEX(ポート振替表!$W$5:$W$3507,$L797)&amp;""))</f>
        <v/>
      </c>
      <c r="C797" s="52" t="str">
        <f aca="false">IF(L797="","",INDEX(ポート振替表!$B$5:$B$3507,$L797)&amp;" "&amp;INDEX(ポート振替表!$C$5:$C$3507,$L797)&amp;"  ⇔  "&amp;INDEX(ポート振替表!$H$5:$H$3507,$L797)&amp;" "&amp;INDEX(ポート振替表!$I$5:$I$3507,$L797))</f>
        <v/>
      </c>
      <c r="D797" s="57" t="s">
        <v>158</v>
      </c>
      <c r="E797" s="59" t="str">
        <f aca="false">IF(L797="","",IF(INDEX(ポート振替表!$O$5:$O$3507,$L797)="","(未設定)",INDEX(ポート振替表!$O$5:$O$3507,$L797)&amp;""))</f>
        <v/>
      </c>
      <c r="F797" s="52" t="str">
        <f aca="false">IF(L797="","",INDEX(ポート振替表!$K$5:$K$3507,$L797)&amp;" "&amp;INDEX(ポート振替表!$L$5:$L$3507,$L797)&amp;"  ⇔  "&amp;INDEX(ポート振替表!$H$5:$H$3507,$L797)&amp;" "&amp;INDEX(ポート振替表!$I$5:$I$3507,$L797))</f>
        <v/>
      </c>
      <c r="G797" s="57" t="s">
        <v>158</v>
      </c>
      <c r="H797" s="32" t="str">
        <f aca="false">IF(L797="","",INDEX(ポート振替表!$N$5:$N$3507,$L797)&amp;"")</f>
        <v/>
      </c>
      <c r="I797" s="32" t="str">
        <f aca="false">IF(L797="","",INDEX(ポート振替表!$P$5:$P$3507,$L797)&amp;"")</f>
        <v/>
      </c>
      <c r="J797" s="60" t="str">
        <f aca="false">IF(L797="","",INDEX(ポート振替表!$M$5:$M$3507,$L797)&amp;"")</f>
        <v/>
      </c>
      <c r="K797" s="52" t="str">
        <f aca="false">IF(L797="","",E797&amp;CHAR(10)&amp;INDEX(ポート振替表!$K$5:$K$3507,$L797)&amp;" "&amp;INDEX(ポート振替表!$L$5:$L$3507,$L797)&amp;CHAR(10)&amp;"⇔ "&amp;INDEX(ポート振替表!$H$5:$H$3507,$L797)&amp;" "&amp;INDEX(ポート振替表!$I$5:$I$3507,$L797))</f>
        <v/>
      </c>
      <c r="L797" s="47" t="str">
        <f aca="false">IFERROR(MATCH(ROW()-4,ポート振替表!$V$5:$V$3507,0),"")</f>
        <v/>
      </c>
    </row>
    <row r="798" customFormat="false" ht="16.4" hidden="false" customHeight="false" outlineLevel="0" collapsed="false">
      <c r="A798" s="32" t="str">
        <f aca="false">IF(L798="","",ROW()-4)</f>
        <v/>
      </c>
      <c r="B798" s="58" t="str">
        <f aca="false">IF(L798="","",IF(INDEX(ポート振替表!$W$5:$W$3507,$L798)="","(なし)",INDEX(ポート振替表!$W$5:$W$3507,$L798)&amp;""))</f>
        <v/>
      </c>
      <c r="C798" s="52" t="str">
        <f aca="false">IF(L798="","",INDEX(ポート振替表!$B$5:$B$3507,$L798)&amp;" "&amp;INDEX(ポート振替表!$C$5:$C$3507,$L798)&amp;"  ⇔  "&amp;INDEX(ポート振替表!$H$5:$H$3507,$L798)&amp;" "&amp;INDEX(ポート振替表!$I$5:$I$3507,$L798))</f>
        <v/>
      </c>
      <c r="D798" s="57" t="s">
        <v>158</v>
      </c>
      <c r="E798" s="59" t="str">
        <f aca="false">IF(L798="","",IF(INDEX(ポート振替表!$O$5:$O$3507,$L798)="","(未設定)",INDEX(ポート振替表!$O$5:$O$3507,$L798)&amp;""))</f>
        <v/>
      </c>
      <c r="F798" s="52" t="str">
        <f aca="false">IF(L798="","",INDEX(ポート振替表!$K$5:$K$3507,$L798)&amp;" "&amp;INDEX(ポート振替表!$L$5:$L$3507,$L798)&amp;"  ⇔  "&amp;INDEX(ポート振替表!$H$5:$H$3507,$L798)&amp;" "&amp;INDEX(ポート振替表!$I$5:$I$3507,$L798))</f>
        <v/>
      </c>
      <c r="G798" s="57" t="s">
        <v>158</v>
      </c>
      <c r="H798" s="32" t="str">
        <f aca="false">IF(L798="","",INDEX(ポート振替表!$N$5:$N$3507,$L798)&amp;"")</f>
        <v/>
      </c>
      <c r="I798" s="32" t="str">
        <f aca="false">IF(L798="","",INDEX(ポート振替表!$P$5:$P$3507,$L798)&amp;"")</f>
        <v/>
      </c>
      <c r="J798" s="60" t="str">
        <f aca="false">IF(L798="","",INDEX(ポート振替表!$M$5:$M$3507,$L798)&amp;"")</f>
        <v/>
      </c>
      <c r="K798" s="52" t="str">
        <f aca="false">IF(L798="","",E798&amp;CHAR(10)&amp;INDEX(ポート振替表!$K$5:$K$3507,$L798)&amp;" "&amp;INDEX(ポート振替表!$L$5:$L$3507,$L798)&amp;CHAR(10)&amp;"⇔ "&amp;INDEX(ポート振替表!$H$5:$H$3507,$L798)&amp;" "&amp;INDEX(ポート振替表!$I$5:$I$3507,$L798))</f>
        <v/>
      </c>
      <c r="L798" s="47" t="str">
        <f aca="false">IFERROR(MATCH(ROW()-4,ポート振替表!$V$5:$V$3507,0),"")</f>
        <v/>
      </c>
    </row>
    <row r="799" customFormat="false" ht="16.4" hidden="false" customHeight="false" outlineLevel="0" collapsed="false">
      <c r="A799" s="32" t="str">
        <f aca="false">IF(L799="","",ROW()-4)</f>
        <v/>
      </c>
      <c r="B799" s="58" t="str">
        <f aca="false">IF(L799="","",IF(INDEX(ポート振替表!$W$5:$W$3507,$L799)="","(なし)",INDEX(ポート振替表!$W$5:$W$3507,$L799)&amp;""))</f>
        <v/>
      </c>
      <c r="C799" s="52" t="str">
        <f aca="false">IF(L799="","",INDEX(ポート振替表!$B$5:$B$3507,$L799)&amp;" "&amp;INDEX(ポート振替表!$C$5:$C$3507,$L799)&amp;"  ⇔  "&amp;INDEX(ポート振替表!$H$5:$H$3507,$L799)&amp;" "&amp;INDEX(ポート振替表!$I$5:$I$3507,$L799))</f>
        <v/>
      </c>
      <c r="D799" s="57" t="s">
        <v>158</v>
      </c>
      <c r="E799" s="59" t="str">
        <f aca="false">IF(L799="","",IF(INDEX(ポート振替表!$O$5:$O$3507,$L799)="","(未設定)",INDEX(ポート振替表!$O$5:$O$3507,$L799)&amp;""))</f>
        <v/>
      </c>
      <c r="F799" s="52" t="str">
        <f aca="false">IF(L799="","",INDEX(ポート振替表!$K$5:$K$3507,$L799)&amp;" "&amp;INDEX(ポート振替表!$L$5:$L$3507,$L799)&amp;"  ⇔  "&amp;INDEX(ポート振替表!$H$5:$H$3507,$L799)&amp;" "&amp;INDEX(ポート振替表!$I$5:$I$3507,$L799))</f>
        <v/>
      </c>
      <c r="G799" s="57" t="s">
        <v>158</v>
      </c>
      <c r="H799" s="32" t="str">
        <f aca="false">IF(L799="","",INDEX(ポート振替表!$N$5:$N$3507,$L799)&amp;"")</f>
        <v/>
      </c>
      <c r="I799" s="32" t="str">
        <f aca="false">IF(L799="","",INDEX(ポート振替表!$P$5:$P$3507,$L799)&amp;"")</f>
        <v/>
      </c>
      <c r="J799" s="60" t="str">
        <f aca="false">IF(L799="","",INDEX(ポート振替表!$M$5:$M$3507,$L799)&amp;"")</f>
        <v/>
      </c>
      <c r="K799" s="52" t="str">
        <f aca="false">IF(L799="","",E799&amp;CHAR(10)&amp;INDEX(ポート振替表!$K$5:$K$3507,$L799)&amp;" "&amp;INDEX(ポート振替表!$L$5:$L$3507,$L799)&amp;CHAR(10)&amp;"⇔ "&amp;INDEX(ポート振替表!$H$5:$H$3507,$L799)&amp;" "&amp;INDEX(ポート振替表!$I$5:$I$3507,$L799))</f>
        <v/>
      </c>
      <c r="L799" s="47" t="str">
        <f aca="false">IFERROR(MATCH(ROW()-4,ポート振替表!$V$5:$V$3507,0),"")</f>
        <v/>
      </c>
    </row>
    <row r="800" customFormat="false" ht="16.4" hidden="false" customHeight="false" outlineLevel="0" collapsed="false">
      <c r="A800" s="32" t="str">
        <f aca="false">IF(L800="","",ROW()-4)</f>
        <v/>
      </c>
      <c r="B800" s="58" t="str">
        <f aca="false">IF(L800="","",IF(INDEX(ポート振替表!$W$5:$W$3507,$L800)="","(なし)",INDEX(ポート振替表!$W$5:$W$3507,$L800)&amp;""))</f>
        <v/>
      </c>
      <c r="C800" s="52" t="str">
        <f aca="false">IF(L800="","",INDEX(ポート振替表!$B$5:$B$3507,$L800)&amp;" "&amp;INDEX(ポート振替表!$C$5:$C$3507,$L800)&amp;"  ⇔  "&amp;INDEX(ポート振替表!$H$5:$H$3507,$L800)&amp;" "&amp;INDEX(ポート振替表!$I$5:$I$3507,$L800))</f>
        <v/>
      </c>
      <c r="D800" s="57" t="s">
        <v>158</v>
      </c>
      <c r="E800" s="59" t="str">
        <f aca="false">IF(L800="","",IF(INDEX(ポート振替表!$O$5:$O$3507,$L800)="","(未設定)",INDEX(ポート振替表!$O$5:$O$3507,$L800)&amp;""))</f>
        <v/>
      </c>
      <c r="F800" s="52" t="str">
        <f aca="false">IF(L800="","",INDEX(ポート振替表!$K$5:$K$3507,$L800)&amp;" "&amp;INDEX(ポート振替表!$L$5:$L$3507,$L800)&amp;"  ⇔  "&amp;INDEX(ポート振替表!$H$5:$H$3507,$L800)&amp;" "&amp;INDEX(ポート振替表!$I$5:$I$3507,$L800))</f>
        <v/>
      </c>
      <c r="G800" s="57" t="s">
        <v>158</v>
      </c>
      <c r="H800" s="32" t="str">
        <f aca="false">IF(L800="","",INDEX(ポート振替表!$N$5:$N$3507,$L800)&amp;"")</f>
        <v/>
      </c>
      <c r="I800" s="32" t="str">
        <f aca="false">IF(L800="","",INDEX(ポート振替表!$P$5:$P$3507,$L800)&amp;"")</f>
        <v/>
      </c>
      <c r="J800" s="60" t="str">
        <f aca="false">IF(L800="","",INDEX(ポート振替表!$M$5:$M$3507,$L800)&amp;"")</f>
        <v/>
      </c>
      <c r="K800" s="52" t="str">
        <f aca="false">IF(L800="","",E800&amp;CHAR(10)&amp;INDEX(ポート振替表!$K$5:$K$3507,$L800)&amp;" "&amp;INDEX(ポート振替表!$L$5:$L$3507,$L800)&amp;CHAR(10)&amp;"⇔ "&amp;INDEX(ポート振替表!$H$5:$H$3507,$L800)&amp;" "&amp;INDEX(ポート振替表!$I$5:$I$3507,$L800))</f>
        <v/>
      </c>
      <c r="L800" s="47" t="str">
        <f aca="false">IFERROR(MATCH(ROW()-4,ポート振替表!$V$5:$V$3507,0),"")</f>
        <v/>
      </c>
    </row>
    <row r="801" customFormat="false" ht="16.4" hidden="false" customHeight="false" outlineLevel="0" collapsed="false">
      <c r="A801" s="32" t="str">
        <f aca="false">IF(L801="","",ROW()-4)</f>
        <v/>
      </c>
      <c r="B801" s="58" t="str">
        <f aca="false">IF(L801="","",IF(INDEX(ポート振替表!$W$5:$W$3507,$L801)="","(なし)",INDEX(ポート振替表!$W$5:$W$3507,$L801)&amp;""))</f>
        <v/>
      </c>
      <c r="C801" s="52" t="str">
        <f aca="false">IF(L801="","",INDEX(ポート振替表!$B$5:$B$3507,$L801)&amp;" "&amp;INDEX(ポート振替表!$C$5:$C$3507,$L801)&amp;"  ⇔  "&amp;INDEX(ポート振替表!$H$5:$H$3507,$L801)&amp;" "&amp;INDEX(ポート振替表!$I$5:$I$3507,$L801))</f>
        <v/>
      </c>
      <c r="D801" s="57" t="s">
        <v>158</v>
      </c>
      <c r="E801" s="59" t="str">
        <f aca="false">IF(L801="","",IF(INDEX(ポート振替表!$O$5:$O$3507,$L801)="","(未設定)",INDEX(ポート振替表!$O$5:$O$3507,$L801)&amp;""))</f>
        <v/>
      </c>
      <c r="F801" s="52" t="str">
        <f aca="false">IF(L801="","",INDEX(ポート振替表!$K$5:$K$3507,$L801)&amp;" "&amp;INDEX(ポート振替表!$L$5:$L$3507,$L801)&amp;"  ⇔  "&amp;INDEX(ポート振替表!$H$5:$H$3507,$L801)&amp;" "&amp;INDEX(ポート振替表!$I$5:$I$3507,$L801))</f>
        <v/>
      </c>
      <c r="G801" s="57" t="s">
        <v>158</v>
      </c>
      <c r="H801" s="32" t="str">
        <f aca="false">IF(L801="","",INDEX(ポート振替表!$N$5:$N$3507,$L801)&amp;"")</f>
        <v/>
      </c>
      <c r="I801" s="32" t="str">
        <f aca="false">IF(L801="","",INDEX(ポート振替表!$P$5:$P$3507,$L801)&amp;"")</f>
        <v/>
      </c>
      <c r="J801" s="60" t="str">
        <f aca="false">IF(L801="","",INDEX(ポート振替表!$M$5:$M$3507,$L801)&amp;"")</f>
        <v/>
      </c>
      <c r="K801" s="52" t="str">
        <f aca="false">IF(L801="","",E801&amp;CHAR(10)&amp;INDEX(ポート振替表!$K$5:$K$3507,$L801)&amp;" "&amp;INDEX(ポート振替表!$L$5:$L$3507,$L801)&amp;CHAR(10)&amp;"⇔ "&amp;INDEX(ポート振替表!$H$5:$H$3507,$L801)&amp;" "&amp;INDEX(ポート振替表!$I$5:$I$3507,$L801))</f>
        <v/>
      </c>
      <c r="L801" s="47" t="str">
        <f aca="false">IFERROR(MATCH(ROW()-4,ポート振替表!$V$5:$V$3507,0),"")</f>
        <v/>
      </c>
    </row>
    <row r="802" customFormat="false" ht="16.4" hidden="false" customHeight="false" outlineLevel="0" collapsed="false">
      <c r="A802" s="32" t="str">
        <f aca="false">IF(L802="","",ROW()-4)</f>
        <v/>
      </c>
      <c r="B802" s="58" t="str">
        <f aca="false">IF(L802="","",IF(INDEX(ポート振替表!$W$5:$W$3507,$L802)="","(なし)",INDEX(ポート振替表!$W$5:$W$3507,$L802)&amp;""))</f>
        <v/>
      </c>
      <c r="C802" s="52" t="str">
        <f aca="false">IF(L802="","",INDEX(ポート振替表!$B$5:$B$3507,$L802)&amp;" "&amp;INDEX(ポート振替表!$C$5:$C$3507,$L802)&amp;"  ⇔  "&amp;INDEX(ポート振替表!$H$5:$H$3507,$L802)&amp;" "&amp;INDEX(ポート振替表!$I$5:$I$3507,$L802))</f>
        <v/>
      </c>
      <c r="D802" s="57" t="s">
        <v>158</v>
      </c>
      <c r="E802" s="59" t="str">
        <f aca="false">IF(L802="","",IF(INDEX(ポート振替表!$O$5:$O$3507,$L802)="","(未設定)",INDEX(ポート振替表!$O$5:$O$3507,$L802)&amp;""))</f>
        <v/>
      </c>
      <c r="F802" s="52" t="str">
        <f aca="false">IF(L802="","",INDEX(ポート振替表!$K$5:$K$3507,$L802)&amp;" "&amp;INDEX(ポート振替表!$L$5:$L$3507,$L802)&amp;"  ⇔  "&amp;INDEX(ポート振替表!$H$5:$H$3507,$L802)&amp;" "&amp;INDEX(ポート振替表!$I$5:$I$3507,$L802))</f>
        <v/>
      </c>
      <c r="G802" s="57" t="s">
        <v>158</v>
      </c>
      <c r="H802" s="32" t="str">
        <f aca="false">IF(L802="","",INDEX(ポート振替表!$N$5:$N$3507,$L802)&amp;"")</f>
        <v/>
      </c>
      <c r="I802" s="32" t="str">
        <f aca="false">IF(L802="","",INDEX(ポート振替表!$P$5:$P$3507,$L802)&amp;"")</f>
        <v/>
      </c>
      <c r="J802" s="60" t="str">
        <f aca="false">IF(L802="","",INDEX(ポート振替表!$M$5:$M$3507,$L802)&amp;"")</f>
        <v/>
      </c>
      <c r="K802" s="52" t="str">
        <f aca="false">IF(L802="","",E802&amp;CHAR(10)&amp;INDEX(ポート振替表!$K$5:$K$3507,$L802)&amp;" "&amp;INDEX(ポート振替表!$L$5:$L$3507,$L802)&amp;CHAR(10)&amp;"⇔ "&amp;INDEX(ポート振替表!$H$5:$H$3507,$L802)&amp;" "&amp;INDEX(ポート振替表!$I$5:$I$3507,$L802))</f>
        <v/>
      </c>
      <c r="L802" s="47" t="str">
        <f aca="false">IFERROR(MATCH(ROW()-4,ポート振替表!$V$5:$V$3507,0),"")</f>
        <v/>
      </c>
    </row>
    <row r="803" customFormat="false" ht="16.4" hidden="false" customHeight="false" outlineLevel="0" collapsed="false">
      <c r="A803" s="32" t="str">
        <f aca="false">IF(L803="","",ROW()-4)</f>
        <v/>
      </c>
      <c r="B803" s="58" t="str">
        <f aca="false">IF(L803="","",IF(INDEX(ポート振替表!$W$5:$W$3507,$L803)="","(なし)",INDEX(ポート振替表!$W$5:$W$3507,$L803)&amp;""))</f>
        <v/>
      </c>
      <c r="C803" s="52" t="str">
        <f aca="false">IF(L803="","",INDEX(ポート振替表!$B$5:$B$3507,$L803)&amp;" "&amp;INDEX(ポート振替表!$C$5:$C$3507,$L803)&amp;"  ⇔  "&amp;INDEX(ポート振替表!$H$5:$H$3507,$L803)&amp;" "&amp;INDEX(ポート振替表!$I$5:$I$3507,$L803))</f>
        <v/>
      </c>
      <c r="D803" s="57" t="s">
        <v>158</v>
      </c>
      <c r="E803" s="59" t="str">
        <f aca="false">IF(L803="","",IF(INDEX(ポート振替表!$O$5:$O$3507,$L803)="","(未設定)",INDEX(ポート振替表!$O$5:$O$3507,$L803)&amp;""))</f>
        <v/>
      </c>
      <c r="F803" s="52" t="str">
        <f aca="false">IF(L803="","",INDEX(ポート振替表!$K$5:$K$3507,$L803)&amp;" "&amp;INDEX(ポート振替表!$L$5:$L$3507,$L803)&amp;"  ⇔  "&amp;INDEX(ポート振替表!$H$5:$H$3507,$L803)&amp;" "&amp;INDEX(ポート振替表!$I$5:$I$3507,$L803))</f>
        <v/>
      </c>
      <c r="G803" s="57" t="s">
        <v>158</v>
      </c>
      <c r="H803" s="32" t="str">
        <f aca="false">IF(L803="","",INDEX(ポート振替表!$N$5:$N$3507,$L803)&amp;"")</f>
        <v/>
      </c>
      <c r="I803" s="32" t="str">
        <f aca="false">IF(L803="","",INDEX(ポート振替表!$P$5:$P$3507,$L803)&amp;"")</f>
        <v/>
      </c>
      <c r="J803" s="60" t="str">
        <f aca="false">IF(L803="","",INDEX(ポート振替表!$M$5:$M$3507,$L803)&amp;"")</f>
        <v/>
      </c>
      <c r="K803" s="52" t="str">
        <f aca="false">IF(L803="","",E803&amp;CHAR(10)&amp;INDEX(ポート振替表!$K$5:$K$3507,$L803)&amp;" "&amp;INDEX(ポート振替表!$L$5:$L$3507,$L803)&amp;CHAR(10)&amp;"⇔ "&amp;INDEX(ポート振替表!$H$5:$H$3507,$L803)&amp;" "&amp;INDEX(ポート振替表!$I$5:$I$3507,$L803))</f>
        <v/>
      </c>
      <c r="L803" s="47" t="str">
        <f aca="false">IFERROR(MATCH(ROW()-4,ポート振替表!$V$5:$V$3507,0),"")</f>
        <v/>
      </c>
    </row>
    <row r="804" customFormat="false" ht="16.4" hidden="false" customHeight="false" outlineLevel="0" collapsed="false">
      <c r="A804" s="32" t="str">
        <f aca="false">IF(L804="","",ROW()-4)</f>
        <v/>
      </c>
      <c r="B804" s="58" t="str">
        <f aca="false">IF(L804="","",IF(INDEX(ポート振替表!$W$5:$W$3507,$L804)="","(なし)",INDEX(ポート振替表!$W$5:$W$3507,$L804)&amp;""))</f>
        <v/>
      </c>
      <c r="C804" s="52" t="str">
        <f aca="false">IF(L804="","",INDEX(ポート振替表!$B$5:$B$3507,$L804)&amp;" "&amp;INDEX(ポート振替表!$C$5:$C$3507,$L804)&amp;"  ⇔  "&amp;INDEX(ポート振替表!$H$5:$H$3507,$L804)&amp;" "&amp;INDEX(ポート振替表!$I$5:$I$3507,$L804))</f>
        <v/>
      </c>
      <c r="D804" s="57" t="s">
        <v>158</v>
      </c>
      <c r="E804" s="59" t="str">
        <f aca="false">IF(L804="","",IF(INDEX(ポート振替表!$O$5:$O$3507,$L804)="","(未設定)",INDEX(ポート振替表!$O$5:$O$3507,$L804)&amp;""))</f>
        <v/>
      </c>
      <c r="F804" s="52" t="str">
        <f aca="false">IF(L804="","",INDEX(ポート振替表!$K$5:$K$3507,$L804)&amp;" "&amp;INDEX(ポート振替表!$L$5:$L$3507,$L804)&amp;"  ⇔  "&amp;INDEX(ポート振替表!$H$5:$H$3507,$L804)&amp;" "&amp;INDEX(ポート振替表!$I$5:$I$3507,$L804))</f>
        <v/>
      </c>
      <c r="G804" s="57" t="s">
        <v>158</v>
      </c>
      <c r="H804" s="32" t="str">
        <f aca="false">IF(L804="","",INDEX(ポート振替表!$N$5:$N$3507,$L804)&amp;"")</f>
        <v/>
      </c>
      <c r="I804" s="32" t="str">
        <f aca="false">IF(L804="","",INDEX(ポート振替表!$P$5:$P$3507,$L804)&amp;"")</f>
        <v/>
      </c>
      <c r="J804" s="60" t="str">
        <f aca="false">IF(L804="","",INDEX(ポート振替表!$M$5:$M$3507,$L804)&amp;"")</f>
        <v/>
      </c>
      <c r="K804" s="52" t="str">
        <f aca="false">IF(L804="","",E804&amp;CHAR(10)&amp;INDEX(ポート振替表!$K$5:$K$3507,$L804)&amp;" "&amp;INDEX(ポート振替表!$L$5:$L$3507,$L804)&amp;CHAR(10)&amp;"⇔ "&amp;INDEX(ポート振替表!$H$5:$H$3507,$L804)&amp;" "&amp;INDEX(ポート振替表!$I$5:$I$3507,$L804))</f>
        <v/>
      </c>
      <c r="L804" s="47" t="str">
        <f aca="false">IFERROR(MATCH(ROW()-4,ポート振替表!$V$5:$V$3507,0),"")</f>
        <v/>
      </c>
    </row>
    <row r="805" customFormat="false" ht="16.4" hidden="false" customHeight="false" outlineLevel="0" collapsed="false">
      <c r="A805" s="32" t="str">
        <f aca="false">IF(L805="","",ROW()-4)</f>
        <v/>
      </c>
      <c r="B805" s="58" t="str">
        <f aca="false">IF(L805="","",IF(INDEX(ポート振替表!$W$5:$W$3507,$L805)="","(なし)",INDEX(ポート振替表!$W$5:$W$3507,$L805)&amp;""))</f>
        <v/>
      </c>
      <c r="C805" s="52" t="str">
        <f aca="false">IF(L805="","",INDEX(ポート振替表!$B$5:$B$3507,$L805)&amp;" "&amp;INDEX(ポート振替表!$C$5:$C$3507,$L805)&amp;"  ⇔  "&amp;INDEX(ポート振替表!$H$5:$H$3507,$L805)&amp;" "&amp;INDEX(ポート振替表!$I$5:$I$3507,$L805))</f>
        <v/>
      </c>
      <c r="D805" s="57" t="s">
        <v>158</v>
      </c>
      <c r="E805" s="59" t="str">
        <f aca="false">IF(L805="","",IF(INDEX(ポート振替表!$O$5:$O$3507,$L805)="","(未設定)",INDEX(ポート振替表!$O$5:$O$3507,$L805)&amp;""))</f>
        <v/>
      </c>
      <c r="F805" s="52" t="str">
        <f aca="false">IF(L805="","",INDEX(ポート振替表!$K$5:$K$3507,$L805)&amp;" "&amp;INDEX(ポート振替表!$L$5:$L$3507,$L805)&amp;"  ⇔  "&amp;INDEX(ポート振替表!$H$5:$H$3507,$L805)&amp;" "&amp;INDEX(ポート振替表!$I$5:$I$3507,$L805))</f>
        <v/>
      </c>
      <c r="G805" s="57" t="s">
        <v>158</v>
      </c>
      <c r="H805" s="32" t="str">
        <f aca="false">IF(L805="","",INDEX(ポート振替表!$N$5:$N$3507,$L805)&amp;"")</f>
        <v/>
      </c>
      <c r="I805" s="32" t="str">
        <f aca="false">IF(L805="","",INDEX(ポート振替表!$P$5:$P$3507,$L805)&amp;"")</f>
        <v/>
      </c>
      <c r="J805" s="60" t="str">
        <f aca="false">IF(L805="","",INDEX(ポート振替表!$M$5:$M$3507,$L805)&amp;"")</f>
        <v/>
      </c>
      <c r="K805" s="52" t="str">
        <f aca="false">IF(L805="","",E805&amp;CHAR(10)&amp;INDEX(ポート振替表!$K$5:$K$3507,$L805)&amp;" "&amp;INDEX(ポート振替表!$L$5:$L$3507,$L805)&amp;CHAR(10)&amp;"⇔ "&amp;INDEX(ポート振替表!$H$5:$H$3507,$L805)&amp;" "&amp;INDEX(ポート振替表!$I$5:$I$3507,$L805))</f>
        <v/>
      </c>
      <c r="L805" s="47" t="str">
        <f aca="false">IFERROR(MATCH(ROW()-4,ポート振替表!$V$5:$V$3507,0),"")</f>
        <v/>
      </c>
    </row>
    <row r="806" customFormat="false" ht="16.4" hidden="false" customHeight="false" outlineLevel="0" collapsed="false">
      <c r="A806" s="32" t="str">
        <f aca="false">IF(L806="","",ROW()-4)</f>
        <v/>
      </c>
      <c r="B806" s="58" t="str">
        <f aca="false">IF(L806="","",IF(INDEX(ポート振替表!$W$5:$W$3507,$L806)="","(なし)",INDEX(ポート振替表!$W$5:$W$3507,$L806)&amp;""))</f>
        <v/>
      </c>
      <c r="C806" s="52" t="str">
        <f aca="false">IF(L806="","",INDEX(ポート振替表!$B$5:$B$3507,$L806)&amp;" "&amp;INDEX(ポート振替表!$C$5:$C$3507,$L806)&amp;"  ⇔  "&amp;INDEX(ポート振替表!$H$5:$H$3507,$L806)&amp;" "&amp;INDEX(ポート振替表!$I$5:$I$3507,$L806))</f>
        <v/>
      </c>
      <c r="D806" s="57" t="s">
        <v>158</v>
      </c>
      <c r="E806" s="59" t="str">
        <f aca="false">IF(L806="","",IF(INDEX(ポート振替表!$O$5:$O$3507,$L806)="","(未設定)",INDEX(ポート振替表!$O$5:$O$3507,$L806)&amp;""))</f>
        <v/>
      </c>
      <c r="F806" s="52" t="str">
        <f aca="false">IF(L806="","",INDEX(ポート振替表!$K$5:$K$3507,$L806)&amp;" "&amp;INDEX(ポート振替表!$L$5:$L$3507,$L806)&amp;"  ⇔  "&amp;INDEX(ポート振替表!$H$5:$H$3507,$L806)&amp;" "&amp;INDEX(ポート振替表!$I$5:$I$3507,$L806))</f>
        <v/>
      </c>
      <c r="G806" s="57" t="s">
        <v>158</v>
      </c>
      <c r="H806" s="32" t="str">
        <f aca="false">IF(L806="","",INDEX(ポート振替表!$N$5:$N$3507,$L806)&amp;"")</f>
        <v/>
      </c>
      <c r="I806" s="32" t="str">
        <f aca="false">IF(L806="","",INDEX(ポート振替表!$P$5:$P$3507,$L806)&amp;"")</f>
        <v/>
      </c>
      <c r="J806" s="60" t="str">
        <f aca="false">IF(L806="","",INDEX(ポート振替表!$M$5:$M$3507,$L806)&amp;"")</f>
        <v/>
      </c>
      <c r="K806" s="52" t="str">
        <f aca="false">IF(L806="","",E806&amp;CHAR(10)&amp;INDEX(ポート振替表!$K$5:$K$3507,$L806)&amp;" "&amp;INDEX(ポート振替表!$L$5:$L$3507,$L806)&amp;CHAR(10)&amp;"⇔ "&amp;INDEX(ポート振替表!$H$5:$H$3507,$L806)&amp;" "&amp;INDEX(ポート振替表!$I$5:$I$3507,$L806))</f>
        <v/>
      </c>
      <c r="L806" s="47" t="str">
        <f aca="false">IFERROR(MATCH(ROW()-4,ポート振替表!$V$5:$V$3507,0),"")</f>
        <v/>
      </c>
    </row>
    <row r="807" customFormat="false" ht="16.4" hidden="false" customHeight="false" outlineLevel="0" collapsed="false">
      <c r="A807" s="32" t="str">
        <f aca="false">IF(L807="","",ROW()-4)</f>
        <v/>
      </c>
      <c r="B807" s="58" t="str">
        <f aca="false">IF(L807="","",IF(INDEX(ポート振替表!$W$5:$W$3507,$L807)="","(なし)",INDEX(ポート振替表!$W$5:$W$3507,$L807)&amp;""))</f>
        <v/>
      </c>
      <c r="C807" s="52" t="str">
        <f aca="false">IF(L807="","",INDEX(ポート振替表!$B$5:$B$3507,$L807)&amp;" "&amp;INDEX(ポート振替表!$C$5:$C$3507,$L807)&amp;"  ⇔  "&amp;INDEX(ポート振替表!$H$5:$H$3507,$L807)&amp;" "&amp;INDEX(ポート振替表!$I$5:$I$3507,$L807))</f>
        <v/>
      </c>
      <c r="D807" s="57" t="s">
        <v>158</v>
      </c>
      <c r="E807" s="59" t="str">
        <f aca="false">IF(L807="","",IF(INDEX(ポート振替表!$O$5:$O$3507,$L807)="","(未設定)",INDEX(ポート振替表!$O$5:$O$3507,$L807)&amp;""))</f>
        <v/>
      </c>
      <c r="F807" s="52" t="str">
        <f aca="false">IF(L807="","",INDEX(ポート振替表!$K$5:$K$3507,$L807)&amp;" "&amp;INDEX(ポート振替表!$L$5:$L$3507,$L807)&amp;"  ⇔  "&amp;INDEX(ポート振替表!$H$5:$H$3507,$L807)&amp;" "&amp;INDEX(ポート振替表!$I$5:$I$3507,$L807))</f>
        <v/>
      </c>
      <c r="G807" s="57" t="s">
        <v>158</v>
      </c>
      <c r="H807" s="32" t="str">
        <f aca="false">IF(L807="","",INDEX(ポート振替表!$N$5:$N$3507,$L807)&amp;"")</f>
        <v/>
      </c>
      <c r="I807" s="32" t="str">
        <f aca="false">IF(L807="","",INDEX(ポート振替表!$P$5:$P$3507,$L807)&amp;"")</f>
        <v/>
      </c>
      <c r="J807" s="60" t="str">
        <f aca="false">IF(L807="","",INDEX(ポート振替表!$M$5:$M$3507,$L807)&amp;"")</f>
        <v/>
      </c>
      <c r="K807" s="52" t="str">
        <f aca="false">IF(L807="","",E807&amp;CHAR(10)&amp;INDEX(ポート振替表!$K$5:$K$3507,$L807)&amp;" "&amp;INDEX(ポート振替表!$L$5:$L$3507,$L807)&amp;CHAR(10)&amp;"⇔ "&amp;INDEX(ポート振替表!$H$5:$H$3507,$L807)&amp;" "&amp;INDEX(ポート振替表!$I$5:$I$3507,$L807))</f>
        <v/>
      </c>
      <c r="L807" s="47" t="str">
        <f aca="false">IFERROR(MATCH(ROW()-4,ポート振替表!$V$5:$V$3507,0),"")</f>
        <v/>
      </c>
    </row>
    <row r="808" customFormat="false" ht="16.4" hidden="false" customHeight="false" outlineLevel="0" collapsed="false">
      <c r="A808" s="32" t="str">
        <f aca="false">IF(L808="","",ROW()-4)</f>
        <v/>
      </c>
      <c r="B808" s="58" t="str">
        <f aca="false">IF(L808="","",IF(INDEX(ポート振替表!$W$5:$W$3507,$L808)="","(なし)",INDEX(ポート振替表!$W$5:$W$3507,$L808)&amp;""))</f>
        <v/>
      </c>
      <c r="C808" s="52" t="str">
        <f aca="false">IF(L808="","",INDEX(ポート振替表!$B$5:$B$3507,$L808)&amp;" "&amp;INDEX(ポート振替表!$C$5:$C$3507,$L808)&amp;"  ⇔  "&amp;INDEX(ポート振替表!$H$5:$H$3507,$L808)&amp;" "&amp;INDEX(ポート振替表!$I$5:$I$3507,$L808))</f>
        <v/>
      </c>
      <c r="D808" s="57" t="s">
        <v>158</v>
      </c>
      <c r="E808" s="59" t="str">
        <f aca="false">IF(L808="","",IF(INDEX(ポート振替表!$O$5:$O$3507,$L808)="","(未設定)",INDEX(ポート振替表!$O$5:$O$3507,$L808)&amp;""))</f>
        <v/>
      </c>
      <c r="F808" s="52" t="str">
        <f aca="false">IF(L808="","",INDEX(ポート振替表!$K$5:$K$3507,$L808)&amp;" "&amp;INDEX(ポート振替表!$L$5:$L$3507,$L808)&amp;"  ⇔  "&amp;INDEX(ポート振替表!$H$5:$H$3507,$L808)&amp;" "&amp;INDEX(ポート振替表!$I$5:$I$3507,$L808))</f>
        <v/>
      </c>
      <c r="G808" s="57" t="s">
        <v>158</v>
      </c>
      <c r="H808" s="32" t="str">
        <f aca="false">IF(L808="","",INDEX(ポート振替表!$N$5:$N$3507,$L808)&amp;"")</f>
        <v/>
      </c>
      <c r="I808" s="32" t="str">
        <f aca="false">IF(L808="","",INDEX(ポート振替表!$P$5:$P$3507,$L808)&amp;"")</f>
        <v/>
      </c>
      <c r="J808" s="60" t="str">
        <f aca="false">IF(L808="","",INDEX(ポート振替表!$M$5:$M$3507,$L808)&amp;"")</f>
        <v/>
      </c>
      <c r="K808" s="52" t="str">
        <f aca="false">IF(L808="","",E808&amp;CHAR(10)&amp;INDEX(ポート振替表!$K$5:$K$3507,$L808)&amp;" "&amp;INDEX(ポート振替表!$L$5:$L$3507,$L808)&amp;CHAR(10)&amp;"⇔ "&amp;INDEX(ポート振替表!$H$5:$H$3507,$L808)&amp;" "&amp;INDEX(ポート振替表!$I$5:$I$3507,$L808))</f>
        <v/>
      </c>
      <c r="L808" s="47" t="str">
        <f aca="false">IFERROR(MATCH(ROW()-4,ポート振替表!$V$5:$V$3507,0),"")</f>
        <v/>
      </c>
    </row>
    <row r="809" customFormat="false" ht="16.4" hidden="false" customHeight="false" outlineLevel="0" collapsed="false">
      <c r="A809" s="32" t="str">
        <f aca="false">IF(L809="","",ROW()-4)</f>
        <v/>
      </c>
      <c r="B809" s="58" t="str">
        <f aca="false">IF(L809="","",IF(INDEX(ポート振替表!$W$5:$W$3507,$L809)="","(なし)",INDEX(ポート振替表!$W$5:$W$3507,$L809)&amp;""))</f>
        <v/>
      </c>
      <c r="C809" s="52" t="str">
        <f aca="false">IF(L809="","",INDEX(ポート振替表!$B$5:$B$3507,$L809)&amp;" "&amp;INDEX(ポート振替表!$C$5:$C$3507,$L809)&amp;"  ⇔  "&amp;INDEX(ポート振替表!$H$5:$H$3507,$L809)&amp;" "&amp;INDEX(ポート振替表!$I$5:$I$3507,$L809))</f>
        <v/>
      </c>
      <c r="D809" s="57" t="s">
        <v>158</v>
      </c>
      <c r="E809" s="59" t="str">
        <f aca="false">IF(L809="","",IF(INDEX(ポート振替表!$O$5:$O$3507,$L809)="","(未設定)",INDEX(ポート振替表!$O$5:$O$3507,$L809)&amp;""))</f>
        <v/>
      </c>
      <c r="F809" s="52" t="str">
        <f aca="false">IF(L809="","",INDEX(ポート振替表!$K$5:$K$3507,$L809)&amp;" "&amp;INDEX(ポート振替表!$L$5:$L$3507,$L809)&amp;"  ⇔  "&amp;INDEX(ポート振替表!$H$5:$H$3507,$L809)&amp;" "&amp;INDEX(ポート振替表!$I$5:$I$3507,$L809))</f>
        <v/>
      </c>
      <c r="G809" s="57" t="s">
        <v>158</v>
      </c>
      <c r="H809" s="32" t="str">
        <f aca="false">IF(L809="","",INDEX(ポート振替表!$N$5:$N$3507,$L809)&amp;"")</f>
        <v/>
      </c>
      <c r="I809" s="32" t="str">
        <f aca="false">IF(L809="","",INDEX(ポート振替表!$P$5:$P$3507,$L809)&amp;"")</f>
        <v/>
      </c>
      <c r="J809" s="60" t="str">
        <f aca="false">IF(L809="","",INDEX(ポート振替表!$M$5:$M$3507,$L809)&amp;"")</f>
        <v/>
      </c>
      <c r="K809" s="52" t="str">
        <f aca="false">IF(L809="","",E809&amp;CHAR(10)&amp;INDEX(ポート振替表!$K$5:$K$3507,$L809)&amp;" "&amp;INDEX(ポート振替表!$L$5:$L$3507,$L809)&amp;CHAR(10)&amp;"⇔ "&amp;INDEX(ポート振替表!$H$5:$H$3507,$L809)&amp;" "&amp;INDEX(ポート振替表!$I$5:$I$3507,$L809))</f>
        <v/>
      </c>
      <c r="L809" s="47" t="str">
        <f aca="false">IFERROR(MATCH(ROW()-4,ポート振替表!$V$5:$V$3507,0),"")</f>
        <v/>
      </c>
    </row>
    <row r="810" customFormat="false" ht="16.4" hidden="false" customHeight="false" outlineLevel="0" collapsed="false">
      <c r="A810" s="32" t="str">
        <f aca="false">IF(L810="","",ROW()-4)</f>
        <v/>
      </c>
      <c r="B810" s="58" t="str">
        <f aca="false">IF(L810="","",IF(INDEX(ポート振替表!$W$5:$W$3507,$L810)="","(なし)",INDEX(ポート振替表!$W$5:$W$3507,$L810)&amp;""))</f>
        <v/>
      </c>
      <c r="C810" s="52" t="str">
        <f aca="false">IF(L810="","",INDEX(ポート振替表!$B$5:$B$3507,$L810)&amp;" "&amp;INDEX(ポート振替表!$C$5:$C$3507,$L810)&amp;"  ⇔  "&amp;INDEX(ポート振替表!$H$5:$H$3507,$L810)&amp;" "&amp;INDEX(ポート振替表!$I$5:$I$3507,$L810))</f>
        <v/>
      </c>
      <c r="D810" s="57" t="s">
        <v>158</v>
      </c>
      <c r="E810" s="59" t="str">
        <f aca="false">IF(L810="","",IF(INDEX(ポート振替表!$O$5:$O$3507,$L810)="","(未設定)",INDEX(ポート振替表!$O$5:$O$3507,$L810)&amp;""))</f>
        <v/>
      </c>
      <c r="F810" s="52" t="str">
        <f aca="false">IF(L810="","",INDEX(ポート振替表!$K$5:$K$3507,$L810)&amp;" "&amp;INDEX(ポート振替表!$L$5:$L$3507,$L810)&amp;"  ⇔  "&amp;INDEX(ポート振替表!$H$5:$H$3507,$L810)&amp;" "&amp;INDEX(ポート振替表!$I$5:$I$3507,$L810))</f>
        <v/>
      </c>
      <c r="G810" s="57" t="s">
        <v>158</v>
      </c>
      <c r="H810" s="32" t="str">
        <f aca="false">IF(L810="","",INDEX(ポート振替表!$N$5:$N$3507,$L810)&amp;"")</f>
        <v/>
      </c>
      <c r="I810" s="32" t="str">
        <f aca="false">IF(L810="","",INDEX(ポート振替表!$P$5:$P$3507,$L810)&amp;"")</f>
        <v/>
      </c>
      <c r="J810" s="60" t="str">
        <f aca="false">IF(L810="","",INDEX(ポート振替表!$M$5:$M$3507,$L810)&amp;"")</f>
        <v/>
      </c>
      <c r="K810" s="52" t="str">
        <f aca="false">IF(L810="","",E810&amp;CHAR(10)&amp;INDEX(ポート振替表!$K$5:$K$3507,$L810)&amp;" "&amp;INDEX(ポート振替表!$L$5:$L$3507,$L810)&amp;CHAR(10)&amp;"⇔ "&amp;INDEX(ポート振替表!$H$5:$H$3507,$L810)&amp;" "&amp;INDEX(ポート振替表!$I$5:$I$3507,$L810))</f>
        <v/>
      </c>
      <c r="L810" s="47" t="str">
        <f aca="false">IFERROR(MATCH(ROW()-4,ポート振替表!$V$5:$V$3507,0),"")</f>
        <v/>
      </c>
    </row>
    <row r="811" customFormat="false" ht="16.4" hidden="false" customHeight="false" outlineLevel="0" collapsed="false">
      <c r="A811" s="32" t="str">
        <f aca="false">IF(L811="","",ROW()-4)</f>
        <v/>
      </c>
      <c r="B811" s="58" t="str">
        <f aca="false">IF(L811="","",IF(INDEX(ポート振替表!$W$5:$W$3507,$L811)="","(なし)",INDEX(ポート振替表!$W$5:$W$3507,$L811)&amp;""))</f>
        <v/>
      </c>
      <c r="C811" s="52" t="str">
        <f aca="false">IF(L811="","",INDEX(ポート振替表!$B$5:$B$3507,$L811)&amp;" "&amp;INDEX(ポート振替表!$C$5:$C$3507,$L811)&amp;"  ⇔  "&amp;INDEX(ポート振替表!$H$5:$H$3507,$L811)&amp;" "&amp;INDEX(ポート振替表!$I$5:$I$3507,$L811))</f>
        <v/>
      </c>
      <c r="D811" s="57" t="s">
        <v>158</v>
      </c>
      <c r="E811" s="59" t="str">
        <f aca="false">IF(L811="","",IF(INDEX(ポート振替表!$O$5:$O$3507,$L811)="","(未設定)",INDEX(ポート振替表!$O$5:$O$3507,$L811)&amp;""))</f>
        <v/>
      </c>
      <c r="F811" s="52" t="str">
        <f aca="false">IF(L811="","",INDEX(ポート振替表!$K$5:$K$3507,$L811)&amp;" "&amp;INDEX(ポート振替表!$L$5:$L$3507,$L811)&amp;"  ⇔  "&amp;INDEX(ポート振替表!$H$5:$H$3507,$L811)&amp;" "&amp;INDEX(ポート振替表!$I$5:$I$3507,$L811))</f>
        <v/>
      </c>
      <c r="G811" s="57" t="s">
        <v>158</v>
      </c>
      <c r="H811" s="32" t="str">
        <f aca="false">IF(L811="","",INDEX(ポート振替表!$N$5:$N$3507,$L811)&amp;"")</f>
        <v/>
      </c>
      <c r="I811" s="32" t="str">
        <f aca="false">IF(L811="","",INDEX(ポート振替表!$P$5:$P$3507,$L811)&amp;"")</f>
        <v/>
      </c>
      <c r="J811" s="60" t="str">
        <f aca="false">IF(L811="","",INDEX(ポート振替表!$M$5:$M$3507,$L811)&amp;"")</f>
        <v/>
      </c>
      <c r="K811" s="52" t="str">
        <f aca="false">IF(L811="","",E811&amp;CHAR(10)&amp;INDEX(ポート振替表!$K$5:$K$3507,$L811)&amp;" "&amp;INDEX(ポート振替表!$L$5:$L$3507,$L811)&amp;CHAR(10)&amp;"⇔ "&amp;INDEX(ポート振替表!$H$5:$H$3507,$L811)&amp;" "&amp;INDEX(ポート振替表!$I$5:$I$3507,$L811))</f>
        <v/>
      </c>
      <c r="L811" s="47" t="str">
        <f aca="false">IFERROR(MATCH(ROW()-4,ポート振替表!$V$5:$V$3507,0),"")</f>
        <v/>
      </c>
    </row>
    <row r="812" customFormat="false" ht="16.4" hidden="false" customHeight="false" outlineLevel="0" collapsed="false">
      <c r="A812" s="32" t="str">
        <f aca="false">IF(L812="","",ROW()-4)</f>
        <v/>
      </c>
      <c r="B812" s="58" t="str">
        <f aca="false">IF(L812="","",IF(INDEX(ポート振替表!$W$5:$W$3507,$L812)="","(なし)",INDEX(ポート振替表!$W$5:$W$3507,$L812)&amp;""))</f>
        <v/>
      </c>
      <c r="C812" s="52" t="str">
        <f aca="false">IF(L812="","",INDEX(ポート振替表!$B$5:$B$3507,$L812)&amp;" "&amp;INDEX(ポート振替表!$C$5:$C$3507,$L812)&amp;"  ⇔  "&amp;INDEX(ポート振替表!$H$5:$H$3507,$L812)&amp;" "&amp;INDEX(ポート振替表!$I$5:$I$3507,$L812))</f>
        <v/>
      </c>
      <c r="D812" s="57" t="s">
        <v>158</v>
      </c>
      <c r="E812" s="59" t="str">
        <f aca="false">IF(L812="","",IF(INDEX(ポート振替表!$O$5:$O$3507,$L812)="","(未設定)",INDEX(ポート振替表!$O$5:$O$3507,$L812)&amp;""))</f>
        <v/>
      </c>
      <c r="F812" s="52" t="str">
        <f aca="false">IF(L812="","",INDEX(ポート振替表!$K$5:$K$3507,$L812)&amp;" "&amp;INDEX(ポート振替表!$L$5:$L$3507,$L812)&amp;"  ⇔  "&amp;INDEX(ポート振替表!$H$5:$H$3507,$L812)&amp;" "&amp;INDEX(ポート振替表!$I$5:$I$3507,$L812))</f>
        <v/>
      </c>
      <c r="G812" s="57" t="s">
        <v>158</v>
      </c>
      <c r="H812" s="32" t="str">
        <f aca="false">IF(L812="","",INDEX(ポート振替表!$N$5:$N$3507,$L812)&amp;"")</f>
        <v/>
      </c>
      <c r="I812" s="32" t="str">
        <f aca="false">IF(L812="","",INDEX(ポート振替表!$P$5:$P$3507,$L812)&amp;"")</f>
        <v/>
      </c>
      <c r="J812" s="60" t="str">
        <f aca="false">IF(L812="","",INDEX(ポート振替表!$M$5:$M$3507,$L812)&amp;"")</f>
        <v/>
      </c>
      <c r="K812" s="52" t="str">
        <f aca="false">IF(L812="","",E812&amp;CHAR(10)&amp;INDEX(ポート振替表!$K$5:$K$3507,$L812)&amp;" "&amp;INDEX(ポート振替表!$L$5:$L$3507,$L812)&amp;CHAR(10)&amp;"⇔ "&amp;INDEX(ポート振替表!$H$5:$H$3507,$L812)&amp;" "&amp;INDEX(ポート振替表!$I$5:$I$3507,$L812))</f>
        <v/>
      </c>
      <c r="L812" s="47" t="str">
        <f aca="false">IFERROR(MATCH(ROW()-4,ポート振替表!$V$5:$V$3507,0),"")</f>
        <v/>
      </c>
    </row>
    <row r="813" customFormat="false" ht="16.4" hidden="false" customHeight="false" outlineLevel="0" collapsed="false">
      <c r="A813" s="32" t="str">
        <f aca="false">IF(L813="","",ROW()-4)</f>
        <v/>
      </c>
      <c r="B813" s="58" t="str">
        <f aca="false">IF(L813="","",IF(INDEX(ポート振替表!$W$5:$W$3507,$L813)="","(なし)",INDEX(ポート振替表!$W$5:$W$3507,$L813)&amp;""))</f>
        <v/>
      </c>
      <c r="C813" s="52" t="str">
        <f aca="false">IF(L813="","",INDEX(ポート振替表!$B$5:$B$3507,$L813)&amp;" "&amp;INDEX(ポート振替表!$C$5:$C$3507,$L813)&amp;"  ⇔  "&amp;INDEX(ポート振替表!$H$5:$H$3507,$L813)&amp;" "&amp;INDEX(ポート振替表!$I$5:$I$3507,$L813))</f>
        <v/>
      </c>
      <c r="D813" s="57" t="s">
        <v>158</v>
      </c>
      <c r="E813" s="59" t="str">
        <f aca="false">IF(L813="","",IF(INDEX(ポート振替表!$O$5:$O$3507,$L813)="","(未設定)",INDEX(ポート振替表!$O$5:$O$3507,$L813)&amp;""))</f>
        <v/>
      </c>
      <c r="F813" s="52" t="str">
        <f aca="false">IF(L813="","",INDEX(ポート振替表!$K$5:$K$3507,$L813)&amp;" "&amp;INDEX(ポート振替表!$L$5:$L$3507,$L813)&amp;"  ⇔  "&amp;INDEX(ポート振替表!$H$5:$H$3507,$L813)&amp;" "&amp;INDEX(ポート振替表!$I$5:$I$3507,$L813))</f>
        <v/>
      </c>
      <c r="G813" s="57" t="s">
        <v>158</v>
      </c>
      <c r="H813" s="32" t="str">
        <f aca="false">IF(L813="","",INDEX(ポート振替表!$N$5:$N$3507,$L813)&amp;"")</f>
        <v/>
      </c>
      <c r="I813" s="32" t="str">
        <f aca="false">IF(L813="","",INDEX(ポート振替表!$P$5:$P$3507,$L813)&amp;"")</f>
        <v/>
      </c>
      <c r="J813" s="60" t="str">
        <f aca="false">IF(L813="","",INDEX(ポート振替表!$M$5:$M$3507,$L813)&amp;"")</f>
        <v/>
      </c>
      <c r="K813" s="52" t="str">
        <f aca="false">IF(L813="","",E813&amp;CHAR(10)&amp;INDEX(ポート振替表!$K$5:$K$3507,$L813)&amp;" "&amp;INDEX(ポート振替表!$L$5:$L$3507,$L813)&amp;CHAR(10)&amp;"⇔ "&amp;INDEX(ポート振替表!$H$5:$H$3507,$L813)&amp;" "&amp;INDEX(ポート振替表!$I$5:$I$3507,$L813))</f>
        <v/>
      </c>
      <c r="L813" s="47" t="str">
        <f aca="false">IFERROR(MATCH(ROW()-4,ポート振替表!$V$5:$V$3507,0),"")</f>
        <v/>
      </c>
    </row>
    <row r="814" customFormat="false" ht="16.4" hidden="false" customHeight="false" outlineLevel="0" collapsed="false">
      <c r="A814" s="32" t="str">
        <f aca="false">IF(L814="","",ROW()-4)</f>
        <v/>
      </c>
      <c r="B814" s="58" t="str">
        <f aca="false">IF(L814="","",IF(INDEX(ポート振替表!$W$5:$W$3507,$L814)="","(なし)",INDEX(ポート振替表!$W$5:$W$3507,$L814)&amp;""))</f>
        <v/>
      </c>
      <c r="C814" s="52" t="str">
        <f aca="false">IF(L814="","",INDEX(ポート振替表!$B$5:$B$3507,$L814)&amp;" "&amp;INDEX(ポート振替表!$C$5:$C$3507,$L814)&amp;"  ⇔  "&amp;INDEX(ポート振替表!$H$5:$H$3507,$L814)&amp;" "&amp;INDEX(ポート振替表!$I$5:$I$3507,$L814))</f>
        <v/>
      </c>
      <c r="D814" s="57" t="s">
        <v>158</v>
      </c>
      <c r="E814" s="59" t="str">
        <f aca="false">IF(L814="","",IF(INDEX(ポート振替表!$O$5:$O$3507,$L814)="","(未設定)",INDEX(ポート振替表!$O$5:$O$3507,$L814)&amp;""))</f>
        <v/>
      </c>
      <c r="F814" s="52" t="str">
        <f aca="false">IF(L814="","",INDEX(ポート振替表!$K$5:$K$3507,$L814)&amp;" "&amp;INDEX(ポート振替表!$L$5:$L$3507,$L814)&amp;"  ⇔  "&amp;INDEX(ポート振替表!$H$5:$H$3507,$L814)&amp;" "&amp;INDEX(ポート振替表!$I$5:$I$3507,$L814))</f>
        <v/>
      </c>
      <c r="G814" s="57" t="s">
        <v>158</v>
      </c>
      <c r="H814" s="32" t="str">
        <f aca="false">IF(L814="","",INDEX(ポート振替表!$N$5:$N$3507,$L814)&amp;"")</f>
        <v/>
      </c>
      <c r="I814" s="32" t="str">
        <f aca="false">IF(L814="","",INDEX(ポート振替表!$P$5:$P$3507,$L814)&amp;"")</f>
        <v/>
      </c>
      <c r="J814" s="60" t="str">
        <f aca="false">IF(L814="","",INDEX(ポート振替表!$M$5:$M$3507,$L814)&amp;"")</f>
        <v/>
      </c>
      <c r="K814" s="52" t="str">
        <f aca="false">IF(L814="","",E814&amp;CHAR(10)&amp;INDEX(ポート振替表!$K$5:$K$3507,$L814)&amp;" "&amp;INDEX(ポート振替表!$L$5:$L$3507,$L814)&amp;CHAR(10)&amp;"⇔ "&amp;INDEX(ポート振替表!$H$5:$H$3507,$L814)&amp;" "&amp;INDEX(ポート振替表!$I$5:$I$3507,$L814))</f>
        <v/>
      </c>
      <c r="L814" s="47" t="str">
        <f aca="false">IFERROR(MATCH(ROW()-4,ポート振替表!$V$5:$V$3507,0),"")</f>
        <v/>
      </c>
    </row>
    <row r="815" customFormat="false" ht="16.4" hidden="false" customHeight="false" outlineLevel="0" collapsed="false">
      <c r="A815" s="32" t="str">
        <f aca="false">IF(L815="","",ROW()-4)</f>
        <v/>
      </c>
      <c r="B815" s="58" t="str">
        <f aca="false">IF(L815="","",IF(INDEX(ポート振替表!$W$5:$W$3507,$L815)="","(なし)",INDEX(ポート振替表!$W$5:$W$3507,$L815)&amp;""))</f>
        <v/>
      </c>
      <c r="C815" s="52" t="str">
        <f aca="false">IF(L815="","",INDEX(ポート振替表!$B$5:$B$3507,$L815)&amp;" "&amp;INDEX(ポート振替表!$C$5:$C$3507,$L815)&amp;"  ⇔  "&amp;INDEX(ポート振替表!$H$5:$H$3507,$L815)&amp;" "&amp;INDEX(ポート振替表!$I$5:$I$3507,$L815))</f>
        <v/>
      </c>
      <c r="D815" s="57" t="s">
        <v>158</v>
      </c>
      <c r="E815" s="59" t="str">
        <f aca="false">IF(L815="","",IF(INDEX(ポート振替表!$O$5:$O$3507,$L815)="","(未設定)",INDEX(ポート振替表!$O$5:$O$3507,$L815)&amp;""))</f>
        <v/>
      </c>
      <c r="F815" s="52" t="str">
        <f aca="false">IF(L815="","",INDEX(ポート振替表!$K$5:$K$3507,$L815)&amp;" "&amp;INDEX(ポート振替表!$L$5:$L$3507,$L815)&amp;"  ⇔  "&amp;INDEX(ポート振替表!$H$5:$H$3507,$L815)&amp;" "&amp;INDEX(ポート振替表!$I$5:$I$3507,$L815))</f>
        <v/>
      </c>
      <c r="G815" s="57" t="s">
        <v>158</v>
      </c>
      <c r="H815" s="32" t="str">
        <f aca="false">IF(L815="","",INDEX(ポート振替表!$N$5:$N$3507,$L815)&amp;"")</f>
        <v/>
      </c>
      <c r="I815" s="32" t="str">
        <f aca="false">IF(L815="","",INDEX(ポート振替表!$P$5:$P$3507,$L815)&amp;"")</f>
        <v/>
      </c>
      <c r="J815" s="60" t="str">
        <f aca="false">IF(L815="","",INDEX(ポート振替表!$M$5:$M$3507,$L815)&amp;"")</f>
        <v/>
      </c>
      <c r="K815" s="52" t="str">
        <f aca="false">IF(L815="","",E815&amp;CHAR(10)&amp;INDEX(ポート振替表!$K$5:$K$3507,$L815)&amp;" "&amp;INDEX(ポート振替表!$L$5:$L$3507,$L815)&amp;CHAR(10)&amp;"⇔ "&amp;INDEX(ポート振替表!$H$5:$H$3507,$L815)&amp;" "&amp;INDEX(ポート振替表!$I$5:$I$3507,$L815))</f>
        <v/>
      </c>
      <c r="L815" s="47" t="str">
        <f aca="false">IFERROR(MATCH(ROW()-4,ポート振替表!$V$5:$V$3507,0),"")</f>
        <v/>
      </c>
    </row>
    <row r="816" customFormat="false" ht="16.4" hidden="false" customHeight="false" outlineLevel="0" collapsed="false">
      <c r="A816" s="32" t="str">
        <f aca="false">IF(L816="","",ROW()-4)</f>
        <v/>
      </c>
      <c r="B816" s="58" t="str">
        <f aca="false">IF(L816="","",IF(INDEX(ポート振替表!$W$5:$W$3507,$L816)="","(なし)",INDEX(ポート振替表!$W$5:$W$3507,$L816)&amp;""))</f>
        <v/>
      </c>
      <c r="C816" s="52" t="str">
        <f aca="false">IF(L816="","",INDEX(ポート振替表!$B$5:$B$3507,$L816)&amp;" "&amp;INDEX(ポート振替表!$C$5:$C$3507,$L816)&amp;"  ⇔  "&amp;INDEX(ポート振替表!$H$5:$H$3507,$L816)&amp;" "&amp;INDEX(ポート振替表!$I$5:$I$3507,$L816))</f>
        <v/>
      </c>
      <c r="D816" s="57" t="s">
        <v>158</v>
      </c>
      <c r="E816" s="59" t="str">
        <f aca="false">IF(L816="","",IF(INDEX(ポート振替表!$O$5:$O$3507,$L816)="","(未設定)",INDEX(ポート振替表!$O$5:$O$3507,$L816)&amp;""))</f>
        <v/>
      </c>
      <c r="F816" s="52" t="str">
        <f aca="false">IF(L816="","",INDEX(ポート振替表!$K$5:$K$3507,$L816)&amp;" "&amp;INDEX(ポート振替表!$L$5:$L$3507,$L816)&amp;"  ⇔  "&amp;INDEX(ポート振替表!$H$5:$H$3507,$L816)&amp;" "&amp;INDEX(ポート振替表!$I$5:$I$3507,$L816))</f>
        <v/>
      </c>
      <c r="G816" s="57" t="s">
        <v>158</v>
      </c>
      <c r="H816" s="32" t="str">
        <f aca="false">IF(L816="","",INDEX(ポート振替表!$N$5:$N$3507,$L816)&amp;"")</f>
        <v/>
      </c>
      <c r="I816" s="32" t="str">
        <f aca="false">IF(L816="","",INDEX(ポート振替表!$P$5:$P$3507,$L816)&amp;"")</f>
        <v/>
      </c>
      <c r="J816" s="60" t="str">
        <f aca="false">IF(L816="","",INDEX(ポート振替表!$M$5:$M$3507,$L816)&amp;"")</f>
        <v/>
      </c>
      <c r="K816" s="52" t="str">
        <f aca="false">IF(L816="","",E816&amp;CHAR(10)&amp;INDEX(ポート振替表!$K$5:$K$3507,$L816)&amp;" "&amp;INDEX(ポート振替表!$L$5:$L$3507,$L816)&amp;CHAR(10)&amp;"⇔ "&amp;INDEX(ポート振替表!$H$5:$H$3507,$L816)&amp;" "&amp;INDEX(ポート振替表!$I$5:$I$3507,$L816))</f>
        <v/>
      </c>
      <c r="L816" s="47" t="str">
        <f aca="false">IFERROR(MATCH(ROW()-4,ポート振替表!$V$5:$V$3507,0),"")</f>
        <v/>
      </c>
    </row>
    <row r="817" customFormat="false" ht="16.4" hidden="false" customHeight="false" outlineLevel="0" collapsed="false">
      <c r="A817" s="32" t="str">
        <f aca="false">IF(L817="","",ROW()-4)</f>
        <v/>
      </c>
      <c r="B817" s="58" t="str">
        <f aca="false">IF(L817="","",IF(INDEX(ポート振替表!$W$5:$W$3507,$L817)="","(なし)",INDEX(ポート振替表!$W$5:$W$3507,$L817)&amp;""))</f>
        <v/>
      </c>
      <c r="C817" s="52" t="str">
        <f aca="false">IF(L817="","",INDEX(ポート振替表!$B$5:$B$3507,$L817)&amp;" "&amp;INDEX(ポート振替表!$C$5:$C$3507,$L817)&amp;"  ⇔  "&amp;INDEX(ポート振替表!$H$5:$H$3507,$L817)&amp;" "&amp;INDEX(ポート振替表!$I$5:$I$3507,$L817))</f>
        <v/>
      </c>
      <c r="D817" s="57" t="s">
        <v>158</v>
      </c>
      <c r="E817" s="59" t="str">
        <f aca="false">IF(L817="","",IF(INDEX(ポート振替表!$O$5:$O$3507,$L817)="","(未設定)",INDEX(ポート振替表!$O$5:$O$3507,$L817)&amp;""))</f>
        <v/>
      </c>
      <c r="F817" s="52" t="str">
        <f aca="false">IF(L817="","",INDEX(ポート振替表!$K$5:$K$3507,$L817)&amp;" "&amp;INDEX(ポート振替表!$L$5:$L$3507,$L817)&amp;"  ⇔  "&amp;INDEX(ポート振替表!$H$5:$H$3507,$L817)&amp;" "&amp;INDEX(ポート振替表!$I$5:$I$3507,$L817))</f>
        <v/>
      </c>
      <c r="G817" s="57" t="s">
        <v>158</v>
      </c>
      <c r="H817" s="32" t="str">
        <f aca="false">IF(L817="","",INDEX(ポート振替表!$N$5:$N$3507,$L817)&amp;"")</f>
        <v/>
      </c>
      <c r="I817" s="32" t="str">
        <f aca="false">IF(L817="","",INDEX(ポート振替表!$P$5:$P$3507,$L817)&amp;"")</f>
        <v/>
      </c>
      <c r="J817" s="60" t="str">
        <f aca="false">IF(L817="","",INDEX(ポート振替表!$M$5:$M$3507,$L817)&amp;"")</f>
        <v/>
      </c>
      <c r="K817" s="52" t="str">
        <f aca="false">IF(L817="","",E817&amp;CHAR(10)&amp;INDEX(ポート振替表!$K$5:$K$3507,$L817)&amp;" "&amp;INDEX(ポート振替表!$L$5:$L$3507,$L817)&amp;CHAR(10)&amp;"⇔ "&amp;INDEX(ポート振替表!$H$5:$H$3507,$L817)&amp;" "&amp;INDEX(ポート振替表!$I$5:$I$3507,$L817))</f>
        <v/>
      </c>
      <c r="L817" s="47" t="str">
        <f aca="false">IFERROR(MATCH(ROW()-4,ポート振替表!$V$5:$V$3507,0),"")</f>
        <v/>
      </c>
    </row>
    <row r="818" customFormat="false" ht="16.4" hidden="false" customHeight="false" outlineLevel="0" collapsed="false">
      <c r="A818" s="32" t="str">
        <f aca="false">IF(L818="","",ROW()-4)</f>
        <v/>
      </c>
      <c r="B818" s="58" t="str">
        <f aca="false">IF(L818="","",IF(INDEX(ポート振替表!$W$5:$W$3507,$L818)="","(なし)",INDEX(ポート振替表!$W$5:$W$3507,$L818)&amp;""))</f>
        <v/>
      </c>
      <c r="C818" s="52" t="str">
        <f aca="false">IF(L818="","",INDEX(ポート振替表!$B$5:$B$3507,$L818)&amp;" "&amp;INDEX(ポート振替表!$C$5:$C$3507,$L818)&amp;"  ⇔  "&amp;INDEX(ポート振替表!$H$5:$H$3507,$L818)&amp;" "&amp;INDEX(ポート振替表!$I$5:$I$3507,$L818))</f>
        <v/>
      </c>
      <c r="D818" s="57" t="s">
        <v>158</v>
      </c>
      <c r="E818" s="59" t="str">
        <f aca="false">IF(L818="","",IF(INDEX(ポート振替表!$O$5:$O$3507,$L818)="","(未設定)",INDEX(ポート振替表!$O$5:$O$3507,$L818)&amp;""))</f>
        <v/>
      </c>
      <c r="F818" s="52" t="str">
        <f aca="false">IF(L818="","",INDEX(ポート振替表!$K$5:$K$3507,$L818)&amp;" "&amp;INDEX(ポート振替表!$L$5:$L$3507,$L818)&amp;"  ⇔  "&amp;INDEX(ポート振替表!$H$5:$H$3507,$L818)&amp;" "&amp;INDEX(ポート振替表!$I$5:$I$3507,$L818))</f>
        <v/>
      </c>
      <c r="G818" s="57" t="s">
        <v>158</v>
      </c>
      <c r="H818" s="32" t="str">
        <f aca="false">IF(L818="","",INDEX(ポート振替表!$N$5:$N$3507,$L818)&amp;"")</f>
        <v/>
      </c>
      <c r="I818" s="32" t="str">
        <f aca="false">IF(L818="","",INDEX(ポート振替表!$P$5:$P$3507,$L818)&amp;"")</f>
        <v/>
      </c>
      <c r="J818" s="60" t="str">
        <f aca="false">IF(L818="","",INDEX(ポート振替表!$M$5:$M$3507,$L818)&amp;"")</f>
        <v/>
      </c>
      <c r="K818" s="52" t="str">
        <f aca="false">IF(L818="","",E818&amp;CHAR(10)&amp;INDEX(ポート振替表!$K$5:$K$3507,$L818)&amp;" "&amp;INDEX(ポート振替表!$L$5:$L$3507,$L818)&amp;CHAR(10)&amp;"⇔ "&amp;INDEX(ポート振替表!$H$5:$H$3507,$L818)&amp;" "&amp;INDEX(ポート振替表!$I$5:$I$3507,$L818))</f>
        <v/>
      </c>
      <c r="L818" s="47" t="str">
        <f aca="false">IFERROR(MATCH(ROW()-4,ポート振替表!$V$5:$V$3507,0),"")</f>
        <v/>
      </c>
    </row>
    <row r="819" customFormat="false" ht="16.4" hidden="false" customHeight="false" outlineLevel="0" collapsed="false">
      <c r="A819" s="32" t="str">
        <f aca="false">IF(L819="","",ROW()-4)</f>
        <v/>
      </c>
      <c r="B819" s="58" t="str">
        <f aca="false">IF(L819="","",IF(INDEX(ポート振替表!$W$5:$W$3507,$L819)="","(なし)",INDEX(ポート振替表!$W$5:$W$3507,$L819)&amp;""))</f>
        <v/>
      </c>
      <c r="C819" s="52" t="str">
        <f aca="false">IF(L819="","",INDEX(ポート振替表!$B$5:$B$3507,$L819)&amp;" "&amp;INDEX(ポート振替表!$C$5:$C$3507,$L819)&amp;"  ⇔  "&amp;INDEX(ポート振替表!$H$5:$H$3507,$L819)&amp;" "&amp;INDEX(ポート振替表!$I$5:$I$3507,$L819))</f>
        <v/>
      </c>
      <c r="D819" s="57" t="s">
        <v>158</v>
      </c>
      <c r="E819" s="59" t="str">
        <f aca="false">IF(L819="","",IF(INDEX(ポート振替表!$O$5:$O$3507,$L819)="","(未設定)",INDEX(ポート振替表!$O$5:$O$3507,$L819)&amp;""))</f>
        <v/>
      </c>
      <c r="F819" s="52" t="str">
        <f aca="false">IF(L819="","",INDEX(ポート振替表!$K$5:$K$3507,$L819)&amp;" "&amp;INDEX(ポート振替表!$L$5:$L$3507,$L819)&amp;"  ⇔  "&amp;INDEX(ポート振替表!$H$5:$H$3507,$L819)&amp;" "&amp;INDEX(ポート振替表!$I$5:$I$3507,$L819))</f>
        <v/>
      </c>
      <c r="G819" s="57" t="s">
        <v>158</v>
      </c>
      <c r="H819" s="32" t="str">
        <f aca="false">IF(L819="","",INDEX(ポート振替表!$N$5:$N$3507,$L819)&amp;"")</f>
        <v/>
      </c>
      <c r="I819" s="32" t="str">
        <f aca="false">IF(L819="","",INDEX(ポート振替表!$P$5:$P$3507,$L819)&amp;"")</f>
        <v/>
      </c>
      <c r="J819" s="60" t="str">
        <f aca="false">IF(L819="","",INDEX(ポート振替表!$M$5:$M$3507,$L819)&amp;"")</f>
        <v/>
      </c>
      <c r="K819" s="52" t="str">
        <f aca="false">IF(L819="","",E819&amp;CHAR(10)&amp;INDEX(ポート振替表!$K$5:$K$3507,$L819)&amp;" "&amp;INDEX(ポート振替表!$L$5:$L$3507,$L819)&amp;CHAR(10)&amp;"⇔ "&amp;INDEX(ポート振替表!$H$5:$H$3507,$L819)&amp;" "&amp;INDEX(ポート振替表!$I$5:$I$3507,$L819))</f>
        <v/>
      </c>
      <c r="L819" s="47" t="str">
        <f aca="false">IFERROR(MATCH(ROW()-4,ポート振替表!$V$5:$V$3507,0),"")</f>
        <v/>
      </c>
    </row>
    <row r="820" customFormat="false" ht="16.4" hidden="false" customHeight="false" outlineLevel="0" collapsed="false">
      <c r="A820" s="32" t="str">
        <f aca="false">IF(L820="","",ROW()-4)</f>
        <v/>
      </c>
      <c r="B820" s="58" t="str">
        <f aca="false">IF(L820="","",IF(INDEX(ポート振替表!$W$5:$W$3507,$L820)="","(なし)",INDEX(ポート振替表!$W$5:$W$3507,$L820)&amp;""))</f>
        <v/>
      </c>
      <c r="C820" s="52" t="str">
        <f aca="false">IF(L820="","",INDEX(ポート振替表!$B$5:$B$3507,$L820)&amp;" "&amp;INDEX(ポート振替表!$C$5:$C$3507,$L820)&amp;"  ⇔  "&amp;INDEX(ポート振替表!$H$5:$H$3507,$L820)&amp;" "&amp;INDEX(ポート振替表!$I$5:$I$3507,$L820))</f>
        <v/>
      </c>
      <c r="D820" s="57" t="s">
        <v>158</v>
      </c>
      <c r="E820" s="59" t="str">
        <f aca="false">IF(L820="","",IF(INDEX(ポート振替表!$O$5:$O$3507,$L820)="","(未設定)",INDEX(ポート振替表!$O$5:$O$3507,$L820)&amp;""))</f>
        <v/>
      </c>
      <c r="F820" s="52" t="str">
        <f aca="false">IF(L820="","",INDEX(ポート振替表!$K$5:$K$3507,$L820)&amp;" "&amp;INDEX(ポート振替表!$L$5:$L$3507,$L820)&amp;"  ⇔  "&amp;INDEX(ポート振替表!$H$5:$H$3507,$L820)&amp;" "&amp;INDEX(ポート振替表!$I$5:$I$3507,$L820))</f>
        <v/>
      </c>
      <c r="G820" s="57" t="s">
        <v>158</v>
      </c>
      <c r="H820" s="32" t="str">
        <f aca="false">IF(L820="","",INDEX(ポート振替表!$N$5:$N$3507,$L820)&amp;"")</f>
        <v/>
      </c>
      <c r="I820" s="32" t="str">
        <f aca="false">IF(L820="","",INDEX(ポート振替表!$P$5:$P$3507,$L820)&amp;"")</f>
        <v/>
      </c>
      <c r="J820" s="60" t="str">
        <f aca="false">IF(L820="","",INDEX(ポート振替表!$M$5:$M$3507,$L820)&amp;"")</f>
        <v/>
      </c>
      <c r="K820" s="52" t="str">
        <f aca="false">IF(L820="","",E820&amp;CHAR(10)&amp;INDEX(ポート振替表!$K$5:$K$3507,$L820)&amp;" "&amp;INDEX(ポート振替表!$L$5:$L$3507,$L820)&amp;CHAR(10)&amp;"⇔ "&amp;INDEX(ポート振替表!$H$5:$H$3507,$L820)&amp;" "&amp;INDEX(ポート振替表!$I$5:$I$3507,$L820))</f>
        <v/>
      </c>
      <c r="L820" s="47" t="str">
        <f aca="false">IFERROR(MATCH(ROW()-4,ポート振替表!$V$5:$V$3507,0),"")</f>
        <v/>
      </c>
    </row>
    <row r="821" customFormat="false" ht="16.4" hidden="false" customHeight="false" outlineLevel="0" collapsed="false">
      <c r="A821" s="32" t="str">
        <f aca="false">IF(L821="","",ROW()-4)</f>
        <v/>
      </c>
      <c r="B821" s="58" t="str">
        <f aca="false">IF(L821="","",IF(INDEX(ポート振替表!$W$5:$W$3507,$L821)="","(なし)",INDEX(ポート振替表!$W$5:$W$3507,$L821)&amp;""))</f>
        <v/>
      </c>
      <c r="C821" s="52" t="str">
        <f aca="false">IF(L821="","",INDEX(ポート振替表!$B$5:$B$3507,$L821)&amp;" "&amp;INDEX(ポート振替表!$C$5:$C$3507,$L821)&amp;"  ⇔  "&amp;INDEX(ポート振替表!$H$5:$H$3507,$L821)&amp;" "&amp;INDEX(ポート振替表!$I$5:$I$3507,$L821))</f>
        <v/>
      </c>
      <c r="D821" s="57" t="s">
        <v>158</v>
      </c>
      <c r="E821" s="59" t="str">
        <f aca="false">IF(L821="","",IF(INDEX(ポート振替表!$O$5:$O$3507,$L821)="","(未設定)",INDEX(ポート振替表!$O$5:$O$3507,$L821)&amp;""))</f>
        <v/>
      </c>
      <c r="F821" s="52" t="str">
        <f aca="false">IF(L821="","",INDEX(ポート振替表!$K$5:$K$3507,$L821)&amp;" "&amp;INDEX(ポート振替表!$L$5:$L$3507,$L821)&amp;"  ⇔  "&amp;INDEX(ポート振替表!$H$5:$H$3507,$L821)&amp;" "&amp;INDEX(ポート振替表!$I$5:$I$3507,$L821))</f>
        <v/>
      </c>
      <c r="G821" s="57" t="s">
        <v>158</v>
      </c>
      <c r="H821" s="32" t="str">
        <f aca="false">IF(L821="","",INDEX(ポート振替表!$N$5:$N$3507,$L821)&amp;"")</f>
        <v/>
      </c>
      <c r="I821" s="32" t="str">
        <f aca="false">IF(L821="","",INDEX(ポート振替表!$P$5:$P$3507,$L821)&amp;"")</f>
        <v/>
      </c>
      <c r="J821" s="60" t="str">
        <f aca="false">IF(L821="","",INDEX(ポート振替表!$M$5:$M$3507,$L821)&amp;"")</f>
        <v/>
      </c>
      <c r="K821" s="52" t="str">
        <f aca="false">IF(L821="","",E821&amp;CHAR(10)&amp;INDEX(ポート振替表!$K$5:$K$3507,$L821)&amp;" "&amp;INDEX(ポート振替表!$L$5:$L$3507,$L821)&amp;CHAR(10)&amp;"⇔ "&amp;INDEX(ポート振替表!$H$5:$H$3507,$L821)&amp;" "&amp;INDEX(ポート振替表!$I$5:$I$3507,$L821))</f>
        <v/>
      </c>
      <c r="L821" s="47" t="str">
        <f aca="false">IFERROR(MATCH(ROW()-4,ポート振替表!$V$5:$V$3507,0),"")</f>
        <v/>
      </c>
    </row>
    <row r="822" customFormat="false" ht="16.4" hidden="false" customHeight="false" outlineLevel="0" collapsed="false">
      <c r="A822" s="32" t="str">
        <f aca="false">IF(L822="","",ROW()-4)</f>
        <v/>
      </c>
      <c r="B822" s="58" t="str">
        <f aca="false">IF(L822="","",IF(INDEX(ポート振替表!$W$5:$W$3507,$L822)="","(なし)",INDEX(ポート振替表!$W$5:$W$3507,$L822)&amp;""))</f>
        <v/>
      </c>
      <c r="C822" s="52" t="str">
        <f aca="false">IF(L822="","",INDEX(ポート振替表!$B$5:$B$3507,$L822)&amp;" "&amp;INDEX(ポート振替表!$C$5:$C$3507,$L822)&amp;"  ⇔  "&amp;INDEX(ポート振替表!$H$5:$H$3507,$L822)&amp;" "&amp;INDEX(ポート振替表!$I$5:$I$3507,$L822))</f>
        <v/>
      </c>
      <c r="D822" s="57" t="s">
        <v>158</v>
      </c>
      <c r="E822" s="59" t="str">
        <f aca="false">IF(L822="","",IF(INDEX(ポート振替表!$O$5:$O$3507,$L822)="","(未設定)",INDEX(ポート振替表!$O$5:$O$3507,$L822)&amp;""))</f>
        <v/>
      </c>
      <c r="F822" s="52" t="str">
        <f aca="false">IF(L822="","",INDEX(ポート振替表!$K$5:$K$3507,$L822)&amp;" "&amp;INDEX(ポート振替表!$L$5:$L$3507,$L822)&amp;"  ⇔  "&amp;INDEX(ポート振替表!$H$5:$H$3507,$L822)&amp;" "&amp;INDEX(ポート振替表!$I$5:$I$3507,$L822))</f>
        <v/>
      </c>
      <c r="G822" s="57" t="s">
        <v>158</v>
      </c>
      <c r="H822" s="32" t="str">
        <f aca="false">IF(L822="","",INDEX(ポート振替表!$N$5:$N$3507,$L822)&amp;"")</f>
        <v/>
      </c>
      <c r="I822" s="32" t="str">
        <f aca="false">IF(L822="","",INDEX(ポート振替表!$P$5:$P$3507,$L822)&amp;"")</f>
        <v/>
      </c>
      <c r="J822" s="60" t="str">
        <f aca="false">IF(L822="","",INDEX(ポート振替表!$M$5:$M$3507,$L822)&amp;"")</f>
        <v/>
      </c>
      <c r="K822" s="52" t="str">
        <f aca="false">IF(L822="","",E822&amp;CHAR(10)&amp;INDEX(ポート振替表!$K$5:$K$3507,$L822)&amp;" "&amp;INDEX(ポート振替表!$L$5:$L$3507,$L822)&amp;CHAR(10)&amp;"⇔ "&amp;INDEX(ポート振替表!$H$5:$H$3507,$L822)&amp;" "&amp;INDEX(ポート振替表!$I$5:$I$3507,$L822))</f>
        <v/>
      </c>
      <c r="L822" s="47" t="str">
        <f aca="false">IFERROR(MATCH(ROW()-4,ポート振替表!$V$5:$V$3507,0),"")</f>
        <v/>
      </c>
    </row>
    <row r="823" customFormat="false" ht="16.4" hidden="false" customHeight="false" outlineLevel="0" collapsed="false">
      <c r="A823" s="32" t="str">
        <f aca="false">IF(L823="","",ROW()-4)</f>
        <v/>
      </c>
      <c r="B823" s="58" t="str">
        <f aca="false">IF(L823="","",IF(INDEX(ポート振替表!$W$5:$W$3507,$L823)="","(なし)",INDEX(ポート振替表!$W$5:$W$3507,$L823)&amp;""))</f>
        <v/>
      </c>
      <c r="C823" s="52" t="str">
        <f aca="false">IF(L823="","",INDEX(ポート振替表!$B$5:$B$3507,$L823)&amp;" "&amp;INDEX(ポート振替表!$C$5:$C$3507,$L823)&amp;"  ⇔  "&amp;INDEX(ポート振替表!$H$5:$H$3507,$L823)&amp;" "&amp;INDEX(ポート振替表!$I$5:$I$3507,$L823))</f>
        <v/>
      </c>
      <c r="D823" s="57" t="s">
        <v>158</v>
      </c>
      <c r="E823" s="59" t="str">
        <f aca="false">IF(L823="","",IF(INDEX(ポート振替表!$O$5:$O$3507,$L823)="","(未設定)",INDEX(ポート振替表!$O$5:$O$3507,$L823)&amp;""))</f>
        <v/>
      </c>
      <c r="F823" s="52" t="str">
        <f aca="false">IF(L823="","",INDEX(ポート振替表!$K$5:$K$3507,$L823)&amp;" "&amp;INDEX(ポート振替表!$L$5:$L$3507,$L823)&amp;"  ⇔  "&amp;INDEX(ポート振替表!$H$5:$H$3507,$L823)&amp;" "&amp;INDEX(ポート振替表!$I$5:$I$3507,$L823))</f>
        <v/>
      </c>
      <c r="G823" s="57" t="s">
        <v>158</v>
      </c>
      <c r="H823" s="32" t="str">
        <f aca="false">IF(L823="","",INDEX(ポート振替表!$N$5:$N$3507,$L823)&amp;"")</f>
        <v/>
      </c>
      <c r="I823" s="32" t="str">
        <f aca="false">IF(L823="","",INDEX(ポート振替表!$P$5:$P$3507,$L823)&amp;"")</f>
        <v/>
      </c>
      <c r="J823" s="60" t="str">
        <f aca="false">IF(L823="","",INDEX(ポート振替表!$M$5:$M$3507,$L823)&amp;"")</f>
        <v/>
      </c>
      <c r="K823" s="52" t="str">
        <f aca="false">IF(L823="","",E823&amp;CHAR(10)&amp;INDEX(ポート振替表!$K$5:$K$3507,$L823)&amp;" "&amp;INDEX(ポート振替表!$L$5:$L$3507,$L823)&amp;CHAR(10)&amp;"⇔ "&amp;INDEX(ポート振替表!$H$5:$H$3507,$L823)&amp;" "&amp;INDEX(ポート振替表!$I$5:$I$3507,$L823))</f>
        <v/>
      </c>
      <c r="L823" s="47" t="str">
        <f aca="false">IFERROR(MATCH(ROW()-4,ポート振替表!$V$5:$V$3507,0),"")</f>
        <v/>
      </c>
    </row>
    <row r="824" customFormat="false" ht="16.4" hidden="false" customHeight="false" outlineLevel="0" collapsed="false">
      <c r="A824" s="32" t="str">
        <f aca="false">IF(L824="","",ROW()-4)</f>
        <v/>
      </c>
      <c r="B824" s="58" t="str">
        <f aca="false">IF(L824="","",IF(INDEX(ポート振替表!$W$5:$W$3507,$L824)="","(なし)",INDEX(ポート振替表!$W$5:$W$3507,$L824)&amp;""))</f>
        <v/>
      </c>
      <c r="C824" s="52" t="str">
        <f aca="false">IF(L824="","",INDEX(ポート振替表!$B$5:$B$3507,$L824)&amp;" "&amp;INDEX(ポート振替表!$C$5:$C$3507,$L824)&amp;"  ⇔  "&amp;INDEX(ポート振替表!$H$5:$H$3507,$L824)&amp;" "&amp;INDEX(ポート振替表!$I$5:$I$3507,$L824))</f>
        <v/>
      </c>
      <c r="D824" s="57" t="s">
        <v>158</v>
      </c>
      <c r="E824" s="59" t="str">
        <f aca="false">IF(L824="","",IF(INDEX(ポート振替表!$O$5:$O$3507,$L824)="","(未設定)",INDEX(ポート振替表!$O$5:$O$3507,$L824)&amp;""))</f>
        <v/>
      </c>
      <c r="F824" s="52" t="str">
        <f aca="false">IF(L824="","",INDEX(ポート振替表!$K$5:$K$3507,$L824)&amp;" "&amp;INDEX(ポート振替表!$L$5:$L$3507,$L824)&amp;"  ⇔  "&amp;INDEX(ポート振替表!$H$5:$H$3507,$L824)&amp;" "&amp;INDEX(ポート振替表!$I$5:$I$3507,$L824))</f>
        <v/>
      </c>
      <c r="G824" s="57" t="s">
        <v>158</v>
      </c>
      <c r="H824" s="32" t="str">
        <f aca="false">IF(L824="","",INDEX(ポート振替表!$N$5:$N$3507,$L824)&amp;"")</f>
        <v/>
      </c>
      <c r="I824" s="32" t="str">
        <f aca="false">IF(L824="","",INDEX(ポート振替表!$P$5:$P$3507,$L824)&amp;"")</f>
        <v/>
      </c>
      <c r="J824" s="60" t="str">
        <f aca="false">IF(L824="","",INDEX(ポート振替表!$M$5:$M$3507,$L824)&amp;"")</f>
        <v/>
      </c>
      <c r="K824" s="52" t="str">
        <f aca="false">IF(L824="","",E824&amp;CHAR(10)&amp;INDEX(ポート振替表!$K$5:$K$3507,$L824)&amp;" "&amp;INDEX(ポート振替表!$L$5:$L$3507,$L824)&amp;CHAR(10)&amp;"⇔ "&amp;INDEX(ポート振替表!$H$5:$H$3507,$L824)&amp;" "&amp;INDEX(ポート振替表!$I$5:$I$3507,$L824))</f>
        <v/>
      </c>
      <c r="L824" s="47" t="str">
        <f aca="false">IFERROR(MATCH(ROW()-4,ポート振替表!$V$5:$V$3507,0),"")</f>
        <v/>
      </c>
    </row>
    <row r="825" customFormat="false" ht="16.4" hidden="false" customHeight="false" outlineLevel="0" collapsed="false">
      <c r="A825" s="32" t="str">
        <f aca="false">IF(L825="","",ROW()-4)</f>
        <v/>
      </c>
      <c r="B825" s="58" t="str">
        <f aca="false">IF(L825="","",IF(INDEX(ポート振替表!$W$5:$W$3507,$L825)="","(なし)",INDEX(ポート振替表!$W$5:$W$3507,$L825)&amp;""))</f>
        <v/>
      </c>
      <c r="C825" s="52" t="str">
        <f aca="false">IF(L825="","",INDEX(ポート振替表!$B$5:$B$3507,$L825)&amp;" "&amp;INDEX(ポート振替表!$C$5:$C$3507,$L825)&amp;"  ⇔  "&amp;INDEX(ポート振替表!$H$5:$H$3507,$L825)&amp;" "&amp;INDEX(ポート振替表!$I$5:$I$3507,$L825))</f>
        <v/>
      </c>
      <c r="D825" s="57" t="s">
        <v>158</v>
      </c>
      <c r="E825" s="59" t="str">
        <f aca="false">IF(L825="","",IF(INDEX(ポート振替表!$O$5:$O$3507,$L825)="","(未設定)",INDEX(ポート振替表!$O$5:$O$3507,$L825)&amp;""))</f>
        <v/>
      </c>
      <c r="F825" s="52" t="str">
        <f aca="false">IF(L825="","",INDEX(ポート振替表!$K$5:$K$3507,$L825)&amp;" "&amp;INDEX(ポート振替表!$L$5:$L$3507,$L825)&amp;"  ⇔  "&amp;INDEX(ポート振替表!$H$5:$H$3507,$L825)&amp;" "&amp;INDEX(ポート振替表!$I$5:$I$3507,$L825))</f>
        <v/>
      </c>
      <c r="G825" s="57" t="s">
        <v>158</v>
      </c>
      <c r="H825" s="32" t="str">
        <f aca="false">IF(L825="","",INDEX(ポート振替表!$N$5:$N$3507,$L825)&amp;"")</f>
        <v/>
      </c>
      <c r="I825" s="32" t="str">
        <f aca="false">IF(L825="","",INDEX(ポート振替表!$P$5:$P$3507,$L825)&amp;"")</f>
        <v/>
      </c>
      <c r="J825" s="60" t="str">
        <f aca="false">IF(L825="","",INDEX(ポート振替表!$M$5:$M$3507,$L825)&amp;"")</f>
        <v/>
      </c>
      <c r="K825" s="52" t="str">
        <f aca="false">IF(L825="","",E825&amp;CHAR(10)&amp;INDEX(ポート振替表!$K$5:$K$3507,$L825)&amp;" "&amp;INDEX(ポート振替表!$L$5:$L$3507,$L825)&amp;CHAR(10)&amp;"⇔ "&amp;INDEX(ポート振替表!$H$5:$H$3507,$L825)&amp;" "&amp;INDEX(ポート振替表!$I$5:$I$3507,$L825))</f>
        <v/>
      </c>
      <c r="L825" s="47" t="str">
        <f aca="false">IFERROR(MATCH(ROW()-4,ポート振替表!$V$5:$V$3507,0),"")</f>
        <v/>
      </c>
    </row>
    <row r="826" customFormat="false" ht="16.4" hidden="false" customHeight="false" outlineLevel="0" collapsed="false">
      <c r="A826" s="32" t="str">
        <f aca="false">IF(L826="","",ROW()-4)</f>
        <v/>
      </c>
      <c r="B826" s="58" t="str">
        <f aca="false">IF(L826="","",IF(INDEX(ポート振替表!$W$5:$W$3507,$L826)="","(なし)",INDEX(ポート振替表!$W$5:$W$3507,$L826)&amp;""))</f>
        <v/>
      </c>
      <c r="C826" s="52" t="str">
        <f aca="false">IF(L826="","",INDEX(ポート振替表!$B$5:$B$3507,$L826)&amp;" "&amp;INDEX(ポート振替表!$C$5:$C$3507,$L826)&amp;"  ⇔  "&amp;INDEX(ポート振替表!$H$5:$H$3507,$L826)&amp;" "&amp;INDEX(ポート振替表!$I$5:$I$3507,$L826))</f>
        <v/>
      </c>
      <c r="D826" s="57" t="s">
        <v>158</v>
      </c>
      <c r="E826" s="59" t="str">
        <f aca="false">IF(L826="","",IF(INDEX(ポート振替表!$O$5:$O$3507,$L826)="","(未設定)",INDEX(ポート振替表!$O$5:$O$3507,$L826)&amp;""))</f>
        <v/>
      </c>
      <c r="F826" s="52" t="str">
        <f aca="false">IF(L826="","",INDEX(ポート振替表!$K$5:$K$3507,$L826)&amp;" "&amp;INDEX(ポート振替表!$L$5:$L$3507,$L826)&amp;"  ⇔  "&amp;INDEX(ポート振替表!$H$5:$H$3507,$L826)&amp;" "&amp;INDEX(ポート振替表!$I$5:$I$3507,$L826))</f>
        <v/>
      </c>
      <c r="G826" s="57" t="s">
        <v>158</v>
      </c>
      <c r="H826" s="32" t="str">
        <f aca="false">IF(L826="","",INDEX(ポート振替表!$N$5:$N$3507,$L826)&amp;"")</f>
        <v/>
      </c>
      <c r="I826" s="32" t="str">
        <f aca="false">IF(L826="","",INDEX(ポート振替表!$P$5:$P$3507,$L826)&amp;"")</f>
        <v/>
      </c>
      <c r="J826" s="60" t="str">
        <f aca="false">IF(L826="","",INDEX(ポート振替表!$M$5:$M$3507,$L826)&amp;"")</f>
        <v/>
      </c>
      <c r="K826" s="52" t="str">
        <f aca="false">IF(L826="","",E826&amp;CHAR(10)&amp;INDEX(ポート振替表!$K$5:$K$3507,$L826)&amp;" "&amp;INDEX(ポート振替表!$L$5:$L$3507,$L826)&amp;CHAR(10)&amp;"⇔ "&amp;INDEX(ポート振替表!$H$5:$H$3507,$L826)&amp;" "&amp;INDEX(ポート振替表!$I$5:$I$3507,$L826))</f>
        <v/>
      </c>
      <c r="L826" s="47" t="str">
        <f aca="false">IFERROR(MATCH(ROW()-4,ポート振替表!$V$5:$V$3507,0),"")</f>
        <v/>
      </c>
    </row>
    <row r="827" customFormat="false" ht="16.4" hidden="false" customHeight="false" outlineLevel="0" collapsed="false">
      <c r="A827" s="32" t="str">
        <f aca="false">IF(L827="","",ROW()-4)</f>
        <v/>
      </c>
      <c r="B827" s="58" t="str">
        <f aca="false">IF(L827="","",IF(INDEX(ポート振替表!$W$5:$W$3507,$L827)="","(なし)",INDEX(ポート振替表!$W$5:$W$3507,$L827)&amp;""))</f>
        <v/>
      </c>
      <c r="C827" s="52" t="str">
        <f aca="false">IF(L827="","",INDEX(ポート振替表!$B$5:$B$3507,$L827)&amp;" "&amp;INDEX(ポート振替表!$C$5:$C$3507,$L827)&amp;"  ⇔  "&amp;INDEX(ポート振替表!$H$5:$H$3507,$L827)&amp;" "&amp;INDEX(ポート振替表!$I$5:$I$3507,$L827))</f>
        <v/>
      </c>
      <c r="D827" s="57" t="s">
        <v>158</v>
      </c>
      <c r="E827" s="59" t="str">
        <f aca="false">IF(L827="","",IF(INDEX(ポート振替表!$O$5:$O$3507,$L827)="","(未設定)",INDEX(ポート振替表!$O$5:$O$3507,$L827)&amp;""))</f>
        <v/>
      </c>
      <c r="F827" s="52" t="str">
        <f aca="false">IF(L827="","",INDEX(ポート振替表!$K$5:$K$3507,$L827)&amp;" "&amp;INDEX(ポート振替表!$L$5:$L$3507,$L827)&amp;"  ⇔  "&amp;INDEX(ポート振替表!$H$5:$H$3507,$L827)&amp;" "&amp;INDEX(ポート振替表!$I$5:$I$3507,$L827))</f>
        <v/>
      </c>
      <c r="G827" s="57" t="s">
        <v>158</v>
      </c>
      <c r="H827" s="32" t="str">
        <f aca="false">IF(L827="","",INDEX(ポート振替表!$N$5:$N$3507,$L827)&amp;"")</f>
        <v/>
      </c>
      <c r="I827" s="32" t="str">
        <f aca="false">IF(L827="","",INDEX(ポート振替表!$P$5:$P$3507,$L827)&amp;"")</f>
        <v/>
      </c>
      <c r="J827" s="60" t="str">
        <f aca="false">IF(L827="","",INDEX(ポート振替表!$M$5:$M$3507,$L827)&amp;"")</f>
        <v/>
      </c>
      <c r="K827" s="52" t="str">
        <f aca="false">IF(L827="","",E827&amp;CHAR(10)&amp;INDEX(ポート振替表!$K$5:$K$3507,$L827)&amp;" "&amp;INDEX(ポート振替表!$L$5:$L$3507,$L827)&amp;CHAR(10)&amp;"⇔ "&amp;INDEX(ポート振替表!$H$5:$H$3507,$L827)&amp;" "&amp;INDEX(ポート振替表!$I$5:$I$3507,$L827))</f>
        <v/>
      </c>
      <c r="L827" s="47" t="str">
        <f aca="false">IFERROR(MATCH(ROW()-4,ポート振替表!$V$5:$V$3507,0),"")</f>
        <v/>
      </c>
    </row>
    <row r="828" customFormat="false" ht="16.4" hidden="false" customHeight="false" outlineLevel="0" collapsed="false">
      <c r="A828" s="32" t="str">
        <f aca="false">IF(L828="","",ROW()-4)</f>
        <v/>
      </c>
      <c r="B828" s="58" t="str">
        <f aca="false">IF(L828="","",IF(INDEX(ポート振替表!$W$5:$W$3507,$L828)="","(なし)",INDEX(ポート振替表!$W$5:$W$3507,$L828)&amp;""))</f>
        <v/>
      </c>
      <c r="C828" s="52" t="str">
        <f aca="false">IF(L828="","",INDEX(ポート振替表!$B$5:$B$3507,$L828)&amp;" "&amp;INDEX(ポート振替表!$C$5:$C$3507,$L828)&amp;"  ⇔  "&amp;INDEX(ポート振替表!$H$5:$H$3507,$L828)&amp;" "&amp;INDEX(ポート振替表!$I$5:$I$3507,$L828))</f>
        <v/>
      </c>
      <c r="D828" s="57" t="s">
        <v>158</v>
      </c>
      <c r="E828" s="59" t="str">
        <f aca="false">IF(L828="","",IF(INDEX(ポート振替表!$O$5:$O$3507,$L828)="","(未設定)",INDEX(ポート振替表!$O$5:$O$3507,$L828)&amp;""))</f>
        <v/>
      </c>
      <c r="F828" s="52" t="str">
        <f aca="false">IF(L828="","",INDEX(ポート振替表!$K$5:$K$3507,$L828)&amp;" "&amp;INDEX(ポート振替表!$L$5:$L$3507,$L828)&amp;"  ⇔  "&amp;INDEX(ポート振替表!$H$5:$H$3507,$L828)&amp;" "&amp;INDEX(ポート振替表!$I$5:$I$3507,$L828))</f>
        <v/>
      </c>
      <c r="G828" s="57" t="s">
        <v>158</v>
      </c>
      <c r="H828" s="32" t="str">
        <f aca="false">IF(L828="","",INDEX(ポート振替表!$N$5:$N$3507,$L828)&amp;"")</f>
        <v/>
      </c>
      <c r="I828" s="32" t="str">
        <f aca="false">IF(L828="","",INDEX(ポート振替表!$P$5:$P$3507,$L828)&amp;"")</f>
        <v/>
      </c>
      <c r="J828" s="60" t="str">
        <f aca="false">IF(L828="","",INDEX(ポート振替表!$M$5:$M$3507,$L828)&amp;"")</f>
        <v/>
      </c>
      <c r="K828" s="52" t="str">
        <f aca="false">IF(L828="","",E828&amp;CHAR(10)&amp;INDEX(ポート振替表!$K$5:$K$3507,$L828)&amp;" "&amp;INDEX(ポート振替表!$L$5:$L$3507,$L828)&amp;CHAR(10)&amp;"⇔ "&amp;INDEX(ポート振替表!$H$5:$H$3507,$L828)&amp;" "&amp;INDEX(ポート振替表!$I$5:$I$3507,$L828))</f>
        <v/>
      </c>
      <c r="L828" s="47" t="str">
        <f aca="false">IFERROR(MATCH(ROW()-4,ポート振替表!$V$5:$V$3507,0),"")</f>
        <v/>
      </c>
    </row>
    <row r="829" customFormat="false" ht="16.4" hidden="false" customHeight="false" outlineLevel="0" collapsed="false">
      <c r="A829" s="32" t="str">
        <f aca="false">IF(L829="","",ROW()-4)</f>
        <v/>
      </c>
      <c r="B829" s="58" t="str">
        <f aca="false">IF(L829="","",IF(INDEX(ポート振替表!$W$5:$W$3507,$L829)="","(なし)",INDEX(ポート振替表!$W$5:$W$3507,$L829)&amp;""))</f>
        <v/>
      </c>
      <c r="C829" s="52" t="str">
        <f aca="false">IF(L829="","",INDEX(ポート振替表!$B$5:$B$3507,$L829)&amp;" "&amp;INDEX(ポート振替表!$C$5:$C$3507,$L829)&amp;"  ⇔  "&amp;INDEX(ポート振替表!$H$5:$H$3507,$L829)&amp;" "&amp;INDEX(ポート振替表!$I$5:$I$3507,$L829))</f>
        <v/>
      </c>
      <c r="D829" s="57" t="s">
        <v>158</v>
      </c>
      <c r="E829" s="59" t="str">
        <f aca="false">IF(L829="","",IF(INDEX(ポート振替表!$O$5:$O$3507,$L829)="","(未設定)",INDEX(ポート振替表!$O$5:$O$3507,$L829)&amp;""))</f>
        <v/>
      </c>
      <c r="F829" s="52" t="str">
        <f aca="false">IF(L829="","",INDEX(ポート振替表!$K$5:$K$3507,$L829)&amp;" "&amp;INDEX(ポート振替表!$L$5:$L$3507,$L829)&amp;"  ⇔  "&amp;INDEX(ポート振替表!$H$5:$H$3507,$L829)&amp;" "&amp;INDEX(ポート振替表!$I$5:$I$3507,$L829))</f>
        <v/>
      </c>
      <c r="G829" s="57" t="s">
        <v>158</v>
      </c>
      <c r="H829" s="32" t="str">
        <f aca="false">IF(L829="","",INDEX(ポート振替表!$N$5:$N$3507,$L829)&amp;"")</f>
        <v/>
      </c>
      <c r="I829" s="32" t="str">
        <f aca="false">IF(L829="","",INDEX(ポート振替表!$P$5:$P$3507,$L829)&amp;"")</f>
        <v/>
      </c>
      <c r="J829" s="60" t="str">
        <f aca="false">IF(L829="","",INDEX(ポート振替表!$M$5:$M$3507,$L829)&amp;"")</f>
        <v/>
      </c>
      <c r="K829" s="52" t="str">
        <f aca="false">IF(L829="","",E829&amp;CHAR(10)&amp;INDEX(ポート振替表!$K$5:$K$3507,$L829)&amp;" "&amp;INDEX(ポート振替表!$L$5:$L$3507,$L829)&amp;CHAR(10)&amp;"⇔ "&amp;INDEX(ポート振替表!$H$5:$H$3507,$L829)&amp;" "&amp;INDEX(ポート振替表!$I$5:$I$3507,$L829))</f>
        <v/>
      </c>
      <c r="L829" s="47" t="str">
        <f aca="false">IFERROR(MATCH(ROW()-4,ポート振替表!$V$5:$V$3507,0),"")</f>
        <v/>
      </c>
    </row>
    <row r="830" customFormat="false" ht="16.4" hidden="false" customHeight="false" outlineLevel="0" collapsed="false">
      <c r="A830" s="32" t="str">
        <f aca="false">IF(L830="","",ROW()-4)</f>
        <v/>
      </c>
      <c r="B830" s="58" t="str">
        <f aca="false">IF(L830="","",IF(INDEX(ポート振替表!$W$5:$W$3507,$L830)="","(なし)",INDEX(ポート振替表!$W$5:$W$3507,$L830)&amp;""))</f>
        <v/>
      </c>
      <c r="C830" s="52" t="str">
        <f aca="false">IF(L830="","",INDEX(ポート振替表!$B$5:$B$3507,$L830)&amp;" "&amp;INDEX(ポート振替表!$C$5:$C$3507,$L830)&amp;"  ⇔  "&amp;INDEX(ポート振替表!$H$5:$H$3507,$L830)&amp;" "&amp;INDEX(ポート振替表!$I$5:$I$3507,$L830))</f>
        <v/>
      </c>
      <c r="D830" s="57" t="s">
        <v>158</v>
      </c>
      <c r="E830" s="59" t="str">
        <f aca="false">IF(L830="","",IF(INDEX(ポート振替表!$O$5:$O$3507,$L830)="","(未設定)",INDEX(ポート振替表!$O$5:$O$3507,$L830)&amp;""))</f>
        <v/>
      </c>
      <c r="F830" s="52" t="str">
        <f aca="false">IF(L830="","",INDEX(ポート振替表!$K$5:$K$3507,$L830)&amp;" "&amp;INDEX(ポート振替表!$L$5:$L$3507,$L830)&amp;"  ⇔  "&amp;INDEX(ポート振替表!$H$5:$H$3507,$L830)&amp;" "&amp;INDEX(ポート振替表!$I$5:$I$3507,$L830))</f>
        <v/>
      </c>
      <c r="G830" s="57" t="s">
        <v>158</v>
      </c>
      <c r="H830" s="32" t="str">
        <f aca="false">IF(L830="","",INDEX(ポート振替表!$N$5:$N$3507,$L830)&amp;"")</f>
        <v/>
      </c>
      <c r="I830" s="32" t="str">
        <f aca="false">IF(L830="","",INDEX(ポート振替表!$P$5:$P$3507,$L830)&amp;"")</f>
        <v/>
      </c>
      <c r="J830" s="60" t="str">
        <f aca="false">IF(L830="","",INDEX(ポート振替表!$M$5:$M$3507,$L830)&amp;"")</f>
        <v/>
      </c>
      <c r="K830" s="52" t="str">
        <f aca="false">IF(L830="","",E830&amp;CHAR(10)&amp;INDEX(ポート振替表!$K$5:$K$3507,$L830)&amp;" "&amp;INDEX(ポート振替表!$L$5:$L$3507,$L830)&amp;CHAR(10)&amp;"⇔ "&amp;INDEX(ポート振替表!$H$5:$H$3507,$L830)&amp;" "&amp;INDEX(ポート振替表!$I$5:$I$3507,$L830))</f>
        <v/>
      </c>
      <c r="L830" s="47" t="str">
        <f aca="false">IFERROR(MATCH(ROW()-4,ポート振替表!$V$5:$V$3507,0),"")</f>
        <v/>
      </c>
    </row>
    <row r="831" customFormat="false" ht="16.4" hidden="false" customHeight="false" outlineLevel="0" collapsed="false">
      <c r="A831" s="32" t="str">
        <f aca="false">IF(L831="","",ROW()-4)</f>
        <v/>
      </c>
      <c r="B831" s="58" t="str">
        <f aca="false">IF(L831="","",IF(INDEX(ポート振替表!$W$5:$W$3507,$L831)="","(なし)",INDEX(ポート振替表!$W$5:$W$3507,$L831)&amp;""))</f>
        <v/>
      </c>
      <c r="C831" s="52" t="str">
        <f aca="false">IF(L831="","",INDEX(ポート振替表!$B$5:$B$3507,$L831)&amp;" "&amp;INDEX(ポート振替表!$C$5:$C$3507,$L831)&amp;"  ⇔  "&amp;INDEX(ポート振替表!$H$5:$H$3507,$L831)&amp;" "&amp;INDEX(ポート振替表!$I$5:$I$3507,$L831))</f>
        <v/>
      </c>
      <c r="D831" s="57" t="s">
        <v>158</v>
      </c>
      <c r="E831" s="59" t="str">
        <f aca="false">IF(L831="","",IF(INDEX(ポート振替表!$O$5:$O$3507,$L831)="","(未設定)",INDEX(ポート振替表!$O$5:$O$3507,$L831)&amp;""))</f>
        <v/>
      </c>
      <c r="F831" s="52" t="str">
        <f aca="false">IF(L831="","",INDEX(ポート振替表!$K$5:$K$3507,$L831)&amp;" "&amp;INDEX(ポート振替表!$L$5:$L$3507,$L831)&amp;"  ⇔  "&amp;INDEX(ポート振替表!$H$5:$H$3507,$L831)&amp;" "&amp;INDEX(ポート振替表!$I$5:$I$3507,$L831))</f>
        <v/>
      </c>
      <c r="G831" s="57" t="s">
        <v>158</v>
      </c>
      <c r="H831" s="32" t="str">
        <f aca="false">IF(L831="","",INDEX(ポート振替表!$N$5:$N$3507,$L831)&amp;"")</f>
        <v/>
      </c>
      <c r="I831" s="32" t="str">
        <f aca="false">IF(L831="","",INDEX(ポート振替表!$P$5:$P$3507,$L831)&amp;"")</f>
        <v/>
      </c>
      <c r="J831" s="60" t="str">
        <f aca="false">IF(L831="","",INDEX(ポート振替表!$M$5:$M$3507,$L831)&amp;"")</f>
        <v/>
      </c>
      <c r="K831" s="52" t="str">
        <f aca="false">IF(L831="","",E831&amp;CHAR(10)&amp;INDEX(ポート振替表!$K$5:$K$3507,$L831)&amp;" "&amp;INDEX(ポート振替表!$L$5:$L$3507,$L831)&amp;CHAR(10)&amp;"⇔ "&amp;INDEX(ポート振替表!$H$5:$H$3507,$L831)&amp;" "&amp;INDEX(ポート振替表!$I$5:$I$3507,$L831))</f>
        <v/>
      </c>
      <c r="L831" s="47" t="str">
        <f aca="false">IFERROR(MATCH(ROW()-4,ポート振替表!$V$5:$V$3507,0),"")</f>
        <v/>
      </c>
    </row>
    <row r="832" customFormat="false" ht="16.4" hidden="false" customHeight="false" outlineLevel="0" collapsed="false">
      <c r="A832" s="32" t="str">
        <f aca="false">IF(L832="","",ROW()-4)</f>
        <v/>
      </c>
      <c r="B832" s="58" t="str">
        <f aca="false">IF(L832="","",IF(INDEX(ポート振替表!$W$5:$W$3507,$L832)="","(なし)",INDEX(ポート振替表!$W$5:$W$3507,$L832)&amp;""))</f>
        <v/>
      </c>
      <c r="C832" s="52" t="str">
        <f aca="false">IF(L832="","",INDEX(ポート振替表!$B$5:$B$3507,$L832)&amp;" "&amp;INDEX(ポート振替表!$C$5:$C$3507,$L832)&amp;"  ⇔  "&amp;INDEX(ポート振替表!$H$5:$H$3507,$L832)&amp;" "&amp;INDEX(ポート振替表!$I$5:$I$3507,$L832))</f>
        <v/>
      </c>
      <c r="D832" s="57" t="s">
        <v>158</v>
      </c>
      <c r="E832" s="59" t="str">
        <f aca="false">IF(L832="","",IF(INDEX(ポート振替表!$O$5:$O$3507,$L832)="","(未設定)",INDEX(ポート振替表!$O$5:$O$3507,$L832)&amp;""))</f>
        <v/>
      </c>
      <c r="F832" s="52" t="str">
        <f aca="false">IF(L832="","",INDEX(ポート振替表!$K$5:$K$3507,$L832)&amp;" "&amp;INDEX(ポート振替表!$L$5:$L$3507,$L832)&amp;"  ⇔  "&amp;INDEX(ポート振替表!$H$5:$H$3507,$L832)&amp;" "&amp;INDEX(ポート振替表!$I$5:$I$3507,$L832))</f>
        <v/>
      </c>
      <c r="G832" s="57" t="s">
        <v>158</v>
      </c>
      <c r="H832" s="32" t="str">
        <f aca="false">IF(L832="","",INDEX(ポート振替表!$N$5:$N$3507,$L832)&amp;"")</f>
        <v/>
      </c>
      <c r="I832" s="32" t="str">
        <f aca="false">IF(L832="","",INDEX(ポート振替表!$P$5:$P$3507,$L832)&amp;"")</f>
        <v/>
      </c>
      <c r="J832" s="60" t="str">
        <f aca="false">IF(L832="","",INDEX(ポート振替表!$M$5:$M$3507,$L832)&amp;"")</f>
        <v/>
      </c>
      <c r="K832" s="52" t="str">
        <f aca="false">IF(L832="","",E832&amp;CHAR(10)&amp;INDEX(ポート振替表!$K$5:$K$3507,$L832)&amp;" "&amp;INDEX(ポート振替表!$L$5:$L$3507,$L832)&amp;CHAR(10)&amp;"⇔ "&amp;INDEX(ポート振替表!$H$5:$H$3507,$L832)&amp;" "&amp;INDEX(ポート振替表!$I$5:$I$3507,$L832))</f>
        <v/>
      </c>
      <c r="L832" s="47" t="str">
        <f aca="false">IFERROR(MATCH(ROW()-4,ポート振替表!$V$5:$V$3507,0),"")</f>
        <v/>
      </c>
    </row>
    <row r="833" customFormat="false" ht="16.4" hidden="false" customHeight="false" outlineLevel="0" collapsed="false">
      <c r="A833" s="32" t="str">
        <f aca="false">IF(L833="","",ROW()-4)</f>
        <v/>
      </c>
      <c r="B833" s="58" t="str">
        <f aca="false">IF(L833="","",IF(INDEX(ポート振替表!$W$5:$W$3507,$L833)="","(なし)",INDEX(ポート振替表!$W$5:$W$3507,$L833)&amp;""))</f>
        <v/>
      </c>
      <c r="C833" s="52" t="str">
        <f aca="false">IF(L833="","",INDEX(ポート振替表!$B$5:$B$3507,$L833)&amp;" "&amp;INDEX(ポート振替表!$C$5:$C$3507,$L833)&amp;"  ⇔  "&amp;INDEX(ポート振替表!$H$5:$H$3507,$L833)&amp;" "&amp;INDEX(ポート振替表!$I$5:$I$3507,$L833))</f>
        <v/>
      </c>
      <c r="D833" s="57" t="s">
        <v>158</v>
      </c>
      <c r="E833" s="59" t="str">
        <f aca="false">IF(L833="","",IF(INDEX(ポート振替表!$O$5:$O$3507,$L833)="","(未設定)",INDEX(ポート振替表!$O$5:$O$3507,$L833)&amp;""))</f>
        <v/>
      </c>
      <c r="F833" s="52" t="str">
        <f aca="false">IF(L833="","",INDEX(ポート振替表!$K$5:$K$3507,$L833)&amp;" "&amp;INDEX(ポート振替表!$L$5:$L$3507,$L833)&amp;"  ⇔  "&amp;INDEX(ポート振替表!$H$5:$H$3507,$L833)&amp;" "&amp;INDEX(ポート振替表!$I$5:$I$3507,$L833))</f>
        <v/>
      </c>
      <c r="G833" s="57" t="s">
        <v>158</v>
      </c>
      <c r="H833" s="32" t="str">
        <f aca="false">IF(L833="","",INDEX(ポート振替表!$N$5:$N$3507,$L833)&amp;"")</f>
        <v/>
      </c>
      <c r="I833" s="32" t="str">
        <f aca="false">IF(L833="","",INDEX(ポート振替表!$P$5:$P$3507,$L833)&amp;"")</f>
        <v/>
      </c>
      <c r="J833" s="60" t="str">
        <f aca="false">IF(L833="","",INDEX(ポート振替表!$M$5:$M$3507,$L833)&amp;"")</f>
        <v/>
      </c>
      <c r="K833" s="52" t="str">
        <f aca="false">IF(L833="","",E833&amp;CHAR(10)&amp;INDEX(ポート振替表!$K$5:$K$3507,$L833)&amp;" "&amp;INDEX(ポート振替表!$L$5:$L$3507,$L833)&amp;CHAR(10)&amp;"⇔ "&amp;INDEX(ポート振替表!$H$5:$H$3507,$L833)&amp;" "&amp;INDEX(ポート振替表!$I$5:$I$3507,$L833))</f>
        <v/>
      </c>
      <c r="L833" s="47" t="str">
        <f aca="false">IFERROR(MATCH(ROW()-4,ポート振替表!$V$5:$V$3507,0),"")</f>
        <v/>
      </c>
    </row>
    <row r="834" customFormat="false" ht="16.4" hidden="false" customHeight="false" outlineLevel="0" collapsed="false">
      <c r="A834" s="32" t="str">
        <f aca="false">IF(L834="","",ROW()-4)</f>
        <v/>
      </c>
      <c r="B834" s="58" t="str">
        <f aca="false">IF(L834="","",IF(INDEX(ポート振替表!$W$5:$W$3507,$L834)="","(なし)",INDEX(ポート振替表!$W$5:$W$3507,$L834)&amp;""))</f>
        <v/>
      </c>
      <c r="C834" s="52" t="str">
        <f aca="false">IF(L834="","",INDEX(ポート振替表!$B$5:$B$3507,$L834)&amp;" "&amp;INDEX(ポート振替表!$C$5:$C$3507,$L834)&amp;"  ⇔  "&amp;INDEX(ポート振替表!$H$5:$H$3507,$L834)&amp;" "&amp;INDEX(ポート振替表!$I$5:$I$3507,$L834))</f>
        <v/>
      </c>
      <c r="D834" s="57" t="s">
        <v>158</v>
      </c>
      <c r="E834" s="59" t="str">
        <f aca="false">IF(L834="","",IF(INDEX(ポート振替表!$O$5:$O$3507,$L834)="","(未設定)",INDEX(ポート振替表!$O$5:$O$3507,$L834)&amp;""))</f>
        <v/>
      </c>
      <c r="F834" s="52" t="str">
        <f aca="false">IF(L834="","",INDEX(ポート振替表!$K$5:$K$3507,$L834)&amp;" "&amp;INDEX(ポート振替表!$L$5:$L$3507,$L834)&amp;"  ⇔  "&amp;INDEX(ポート振替表!$H$5:$H$3507,$L834)&amp;" "&amp;INDEX(ポート振替表!$I$5:$I$3507,$L834))</f>
        <v/>
      </c>
      <c r="G834" s="57" t="s">
        <v>158</v>
      </c>
      <c r="H834" s="32" t="str">
        <f aca="false">IF(L834="","",INDEX(ポート振替表!$N$5:$N$3507,$L834)&amp;"")</f>
        <v/>
      </c>
      <c r="I834" s="32" t="str">
        <f aca="false">IF(L834="","",INDEX(ポート振替表!$P$5:$P$3507,$L834)&amp;"")</f>
        <v/>
      </c>
      <c r="J834" s="60" t="str">
        <f aca="false">IF(L834="","",INDEX(ポート振替表!$M$5:$M$3507,$L834)&amp;"")</f>
        <v/>
      </c>
      <c r="K834" s="52" t="str">
        <f aca="false">IF(L834="","",E834&amp;CHAR(10)&amp;INDEX(ポート振替表!$K$5:$K$3507,$L834)&amp;" "&amp;INDEX(ポート振替表!$L$5:$L$3507,$L834)&amp;CHAR(10)&amp;"⇔ "&amp;INDEX(ポート振替表!$H$5:$H$3507,$L834)&amp;" "&amp;INDEX(ポート振替表!$I$5:$I$3507,$L834))</f>
        <v/>
      </c>
      <c r="L834" s="47" t="str">
        <f aca="false">IFERROR(MATCH(ROW()-4,ポート振替表!$V$5:$V$3507,0),"")</f>
        <v/>
      </c>
    </row>
    <row r="835" customFormat="false" ht="16.4" hidden="false" customHeight="false" outlineLevel="0" collapsed="false">
      <c r="A835" s="32" t="str">
        <f aca="false">IF(L835="","",ROW()-4)</f>
        <v/>
      </c>
      <c r="B835" s="58" t="str">
        <f aca="false">IF(L835="","",IF(INDEX(ポート振替表!$W$5:$W$3507,$L835)="","(なし)",INDEX(ポート振替表!$W$5:$W$3507,$L835)&amp;""))</f>
        <v/>
      </c>
      <c r="C835" s="52" t="str">
        <f aca="false">IF(L835="","",INDEX(ポート振替表!$B$5:$B$3507,$L835)&amp;" "&amp;INDEX(ポート振替表!$C$5:$C$3507,$L835)&amp;"  ⇔  "&amp;INDEX(ポート振替表!$H$5:$H$3507,$L835)&amp;" "&amp;INDEX(ポート振替表!$I$5:$I$3507,$L835))</f>
        <v/>
      </c>
      <c r="D835" s="57" t="s">
        <v>158</v>
      </c>
      <c r="E835" s="59" t="str">
        <f aca="false">IF(L835="","",IF(INDEX(ポート振替表!$O$5:$O$3507,$L835)="","(未設定)",INDEX(ポート振替表!$O$5:$O$3507,$L835)&amp;""))</f>
        <v/>
      </c>
      <c r="F835" s="52" t="str">
        <f aca="false">IF(L835="","",INDEX(ポート振替表!$K$5:$K$3507,$L835)&amp;" "&amp;INDEX(ポート振替表!$L$5:$L$3507,$L835)&amp;"  ⇔  "&amp;INDEX(ポート振替表!$H$5:$H$3507,$L835)&amp;" "&amp;INDEX(ポート振替表!$I$5:$I$3507,$L835))</f>
        <v/>
      </c>
      <c r="G835" s="57" t="s">
        <v>158</v>
      </c>
      <c r="H835" s="32" t="str">
        <f aca="false">IF(L835="","",INDEX(ポート振替表!$N$5:$N$3507,$L835)&amp;"")</f>
        <v/>
      </c>
      <c r="I835" s="32" t="str">
        <f aca="false">IF(L835="","",INDEX(ポート振替表!$P$5:$P$3507,$L835)&amp;"")</f>
        <v/>
      </c>
      <c r="J835" s="60" t="str">
        <f aca="false">IF(L835="","",INDEX(ポート振替表!$M$5:$M$3507,$L835)&amp;"")</f>
        <v/>
      </c>
      <c r="K835" s="52" t="str">
        <f aca="false">IF(L835="","",E835&amp;CHAR(10)&amp;INDEX(ポート振替表!$K$5:$K$3507,$L835)&amp;" "&amp;INDEX(ポート振替表!$L$5:$L$3507,$L835)&amp;CHAR(10)&amp;"⇔ "&amp;INDEX(ポート振替表!$H$5:$H$3507,$L835)&amp;" "&amp;INDEX(ポート振替表!$I$5:$I$3507,$L835))</f>
        <v/>
      </c>
      <c r="L835" s="47" t="str">
        <f aca="false">IFERROR(MATCH(ROW()-4,ポート振替表!$V$5:$V$3507,0),"")</f>
        <v/>
      </c>
    </row>
    <row r="836" customFormat="false" ht="16.4" hidden="false" customHeight="false" outlineLevel="0" collapsed="false">
      <c r="A836" s="32" t="str">
        <f aca="false">IF(L836="","",ROW()-4)</f>
        <v/>
      </c>
      <c r="B836" s="58" t="str">
        <f aca="false">IF(L836="","",IF(INDEX(ポート振替表!$W$5:$W$3507,$L836)="","(なし)",INDEX(ポート振替表!$W$5:$W$3507,$L836)&amp;""))</f>
        <v/>
      </c>
      <c r="C836" s="52" t="str">
        <f aca="false">IF(L836="","",INDEX(ポート振替表!$B$5:$B$3507,$L836)&amp;" "&amp;INDEX(ポート振替表!$C$5:$C$3507,$L836)&amp;"  ⇔  "&amp;INDEX(ポート振替表!$H$5:$H$3507,$L836)&amp;" "&amp;INDEX(ポート振替表!$I$5:$I$3507,$L836))</f>
        <v/>
      </c>
      <c r="D836" s="57" t="s">
        <v>158</v>
      </c>
      <c r="E836" s="59" t="str">
        <f aca="false">IF(L836="","",IF(INDEX(ポート振替表!$O$5:$O$3507,$L836)="","(未設定)",INDEX(ポート振替表!$O$5:$O$3507,$L836)&amp;""))</f>
        <v/>
      </c>
      <c r="F836" s="52" t="str">
        <f aca="false">IF(L836="","",INDEX(ポート振替表!$K$5:$K$3507,$L836)&amp;" "&amp;INDEX(ポート振替表!$L$5:$L$3507,$L836)&amp;"  ⇔  "&amp;INDEX(ポート振替表!$H$5:$H$3507,$L836)&amp;" "&amp;INDEX(ポート振替表!$I$5:$I$3507,$L836))</f>
        <v/>
      </c>
      <c r="G836" s="57" t="s">
        <v>158</v>
      </c>
      <c r="H836" s="32" t="str">
        <f aca="false">IF(L836="","",INDEX(ポート振替表!$N$5:$N$3507,$L836)&amp;"")</f>
        <v/>
      </c>
      <c r="I836" s="32" t="str">
        <f aca="false">IF(L836="","",INDEX(ポート振替表!$P$5:$P$3507,$L836)&amp;"")</f>
        <v/>
      </c>
      <c r="J836" s="60" t="str">
        <f aca="false">IF(L836="","",INDEX(ポート振替表!$M$5:$M$3507,$L836)&amp;"")</f>
        <v/>
      </c>
      <c r="K836" s="52" t="str">
        <f aca="false">IF(L836="","",E836&amp;CHAR(10)&amp;INDEX(ポート振替表!$K$5:$K$3507,$L836)&amp;" "&amp;INDEX(ポート振替表!$L$5:$L$3507,$L836)&amp;CHAR(10)&amp;"⇔ "&amp;INDEX(ポート振替表!$H$5:$H$3507,$L836)&amp;" "&amp;INDEX(ポート振替表!$I$5:$I$3507,$L836))</f>
        <v/>
      </c>
      <c r="L836" s="47" t="str">
        <f aca="false">IFERROR(MATCH(ROW()-4,ポート振替表!$V$5:$V$3507,0),"")</f>
        <v/>
      </c>
    </row>
    <row r="837" customFormat="false" ht="16.4" hidden="false" customHeight="false" outlineLevel="0" collapsed="false">
      <c r="A837" s="32" t="str">
        <f aca="false">IF(L837="","",ROW()-4)</f>
        <v/>
      </c>
      <c r="B837" s="58" t="str">
        <f aca="false">IF(L837="","",IF(INDEX(ポート振替表!$W$5:$W$3507,$L837)="","(なし)",INDEX(ポート振替表!$W$5:$W$3507,$L837)&amp;""))</f>
        <v/>
      </c>
      <c r="C837" s="52" t="str">
        <f aca="false">IF(L837="","",INDEX(ポート振替表!$B$5:$B$3507,$L837)&amp;" "&amp;INDEX(ポート振替表!$C$5:$C$3507,$L837)&amp;"  ⇔  "&amp;INDEX(ポート振替表!$H$5:$H$3507,$L837)&amp;" "&amp;INDEX(ポート振替表!$I$5:$I$3507,$L837))</f>
        <v/>
      </c>
      <c r="D837" s="57" t="s">
        <v>158</v>
      </c>
      <c r="E837" s="59" t="str">
        <f aca="false">IF(L837="","",IF(INDEX(ポート振替表!$O$5:$O$3507,$L837)="","(未設定)",INDEX(ポート振替表!$O$5:$O$3507,$L837)&amp;""))</f>
        <v/>
      </c>
      <c r="F837" s="52" t="str">
        <f aca="false">IF(L837="","",INDEX(ポート振替表!$K$5:$K$3507,$L837)&amp;" "&amp;INDEX(ポート振替表!$L$5:$L$3507,$L837)&amp;"  ⇔  "&amp;INDEX(ポート振替表!$H$5:$H$3507,$L837)&amp;" "&amp;INDEX(ポート振替表!$I$5:$I$3507,$L837))</f>
        <v/>
      </c>
      <c r="G837" s="57" t="s">
        <v>158</v>
      </c>
      <c r="H837" s="32" t="str">
        <f aca="false">IF(L837="","",INDEX(ポート振替表!$N$5:$N$3507,$L837)&amp;"")</f>
        <v/>
      </c>
      <c r="I837" s="32" t="str">
        <f aca="false">IF(L837="","",INDEX(ポート振替表!$P$5:$P$3507,$L837)&amp;"")</f>
        <v/>
      </c>
      <c r="J837" s="60" t="str">
        <f aca="false">IF(L837="","",INDEX(ポート振替表!$M$5:$M$3507,$L837)&amp;"")</f>
        <v/>
      </c>
      <c r="K837" s="52" t="str">
        <f aca="false">IF(L837="","",E837&amp;CHAR(10)&amp;INDEX(ポート振替表!$K$5:$K$3507,$L837)&amp;" "&amp;INDEX(ポート振替表!$L$5:$L$3507,$L837)&amp;CHAR(10)&amp;"⇔ "&amp;INDEX(ポート振替表!$H$5:$H$3507,$L837)&amp;" "&amp;INDEX(ポート振替表!$I$5:$I$3507,$L837))</f>
        <v/>
      </c>
      <c r="L837" s="47" t="str">
        <f aca="false">IFERROR(MATCH(ROW()-4,ポート振替表!$V$5:$V$3507,0),"")</f>
        <v/>
      </c>
    </row>
    <row r="838" customFormat="false" ht="16.4" hidden="false" customHeight="false" outlineLevel="0" collapsed="false">
      <c r="A838" s="32" t="str">
        <f aca="false">IF(L838="","",ROW()-4)</f>
        <v/>
      </c>
      <c r="B838" s="58" t="str">
        <f aca="false">IF(L838="","",IF(INDEX(ポート振替表!$W$5:$W$3507,$L838)="","(なし)",INDEX(ポート振替表!$W$5:$W$3507,$L838)&amp;""))</f>
        <v/>
      </c>
      <c r="C838" s="52" t="str">
        <f aca="false">IF(L838="","",INDEX(ポート振替表!$B$5:$B$3507,$L838)&amp;" "&amp;INDEX(ポート振替表!$C$5:$C$3507,$L838)&amp;"  ⇔  "&amp;INDEX(ポート振替表!$H$5:$H$3507,$L838)&amp;" "&amp;INDEX(ポート振替表!$I$5:$I$3507,$L838))</f>
        <v/>
      </c>
      <c r="D838" s="57" t="s">
        <v>158</v>
      </c>
      <c r="E838" s="59" t="str">
        <f aca="false">IF(L838="","",IF(INDEX(ポート振替表!$O$5:$O$3507,$L838)="","(未設定)",INDEX(ポート振替表!$O$5:$O$3507,$L838)&amp;""))</f>
        <v/>
      </c>
      <c r="F838" s="52" t="str">
        <f aca="false">IF(L838="","",INDEX(ポート振替表!$K$5:$K$3507,$L838)&amp;" "&amp;INDEX(ポート振替表!$L$5:$L$3507,$L838)&amp;"  ⇔  "&amp;INDEX(ポート振替表!$H$5:$H$3507,$L838)&amp;" "&amp;INDEX(ポート振替表!$I$5:$I$3507,$L838))</f>
        <v/>
      </c>
      <c r="G838" s="57" t="s">
        <v>158</v>
      </c>
      <c r="H838" s="32" t="str">
        <f aca="false">IF(L838="","",INDEX(ポート振替表!$N$5:$N$3507,$L838)&amp;"")</f>
        <v/>
      </c>
      <c r="I838" s="32" t="str">
        <f aca="false">IF(L838="","",INDEX(ポート振替表!$P$5:$P$3507,$L838)&amp;"")</f>
        <v/>
      </c>
      <c r="J838" s="60" t="str">
        <f aca="false">IF(L838="","",INDEX(ポート振替表!$M$5:$M$3507,$L838)&amp;"")</f>
        <v/>
      </c>
      <c r="K838" s="52" t="str">
        <f aca="false">IF(L838="","",E838&amp;CHAR(10)&amp;INDEX(ポート振替表!$K$5:$K$3507,$L838)&amp;" "&amp;INDEX(ポート振替表!$L$5:$L$3507,$L838)&amp;CHAR(10)&amp;"⇔ "&amp;INDEX(ポート振替表!$H$5:$H$3507,$L838)&amp;" "&amp;INDEX(ポート振替表!$I$5:$I$3507,$L838))</f>
        <v/>
      </c>
      <c r="L838" s="47" t="str">
        <f aca="false">IFERROR(MATCH(ROW()-4,ポート振替表!$V$5:$V$3507,0),"")</f>
        <v/>
      </c>
    </row>
    <row r="839" customFormat="false" ht="16.4" hidden="false" customHeight="false" outlineLevel="0" collapsed="false">
      <c r="A839" s="32" t="str">
        <f aca="false">IF(L839="","",ROW()-4)</f>
        <v/>
      </c>
      <c r="B839" s="58" t="str">
        <f aca="false">IF(L839="","",IF(INDEX(ポート振替表!$W$5:$W$3507,$L839)="","(なし)",INDEX(ポート振替表!$W$5:$W$3507,$L839)&amp;""))</f>
        <v/>
      </c>
      <c r="C839" s="52" t="str">
        <f aca="false">IF(L839="","",INDEX(ポート振替表!$B$5:$B$3507,$L839)&amp;" "&amp;INDEX(ポート振替表!$C$5:$C$3507,$L839)&amp;"  ⇔  "&amp;INDEX(ポート振替表!$H$5:$H$3507,$L839)&amp;" "&amp;INDEX(ポート振替表!$I$5:$I$3507,$L839))</f>
        <v/>
      </c>
      <c r="D839" s="57" t="s">
        <v>158</v>
      </c>
      <c r="E839" s="59" t="str">
        <f aca="false">IF(L839="","",IF(INDEX(ポート振替表!$O$5:$O$3507,$L839)="","(未設定)",INDEX(ポート振替表!$O$5:$O$3507,$L839)&amp;""))</f>
        <v/>
      </c>
      <c r="F839" s="52" t="str">
        <f aca="false">IF(L839="","",INDEX(ポート振替表!$K$5:$K$3507,$L839)&amp;" "&amp;INDEX(ポート振替表!$L$5:$L$3507,$L839)&amp;"  ⇔  "&amp;INDEX(ポート振替表!$H$5:$H$3507,$L839)&amp;" "&amp;INDEX(ポート振替表!$I$5:$I$3507,$L839))</f>
        <v/>
      </c>
      <c r="G839" s="57" t="s">
        <v>158</v>
      </c>
      <c r="H839" s="32" t="str">
        <f aca="false">IF(L839="","",INDEX(ポート振替表!$N$5:$N$3507,$L839)&amp;"")</f>
        <v/>
      </c>
      <c r="I839" s="32" t="str">
        <f aca="false">IF(L839="","",INDEX(ポート振替表!$P$5:$P$3507,$L839)&amp;"")</f>
        <v/>
      </c>
      <c r="J839" s="60" t="str">
        <f aca="false">IF(L839="","",INDEX(ポート振替表!$M$5:$M$3507,$L839)&amp;"")</f>
        <v/>
      </c>
      <c r="K839" s="52" t="str">
        <f aca="false">IF(L839="","",E839&amp;CHAR(10)&amp;INDEX(ポート振替表!$K$5:$K$3507,$L839)&amp;" "&amp;INDEX(ポート振替表!$L$5:$L$3507,$L839)&amp;CHAR(10)&amp;"⇔ "&amp;INDEX(ポート振替表!$H$5:$H$3507,$L839)&amp;" "&amp;INDEX(ポート振替表!$I$5:$I$3507,$L839))</f>
        <v/>
      </c>
      <c r="L839" s="47" t="str">
        <f aca="false">IFERROR(MATCH(ROW()-4,ポート振替表!$V$5:$V$3507,0),"")</f>
        <v/>
      </c>
    </row>
    <row r="840" customFormat="false" ht="16.4" hidden="false" customHeight="false" outlineLevel="0" collapsed="false">
      <c r="A840" s="32" t="str">
        <f aca="false">IF(L840="","",ROW()-4)</f>
        <v/>
      </c>
      <c r="B840" s="58" t="str">
        <f aca="false">IF(L840="","",IF(INDEX(ポート振替表!$W$5:$W$3507,$L840)="","(なし)",INDEX(ポート振替表!$W$5:$W$3507,$L840)&amp;""))</f>
        <v/>
      </c>
      <c r="C840" s="52" t="str">
        <f aca="false">IF(L840="","",INDEX(ポート振替表!$B$5:$B$3507,$L840)&amp;" "&amp;INDEX(ポート振替表!$C$5:$C$3507,$L840)&amp;"  ⇔  "&amp;INDEX(ポート振替表!$H$5:$H$3507,$L840)&amp;" "&amp;INDEX(ポート振替表!$I$5:$I$3507,$L840))</f>
        <v/>
      </c>
      <c r="D840" s="57" t="s">
        <v>158</v>
      </c>
      <c r="E840" s="59" t="str">
        <f aca="false">IF(L840="","",IF(INDEX(ポート振替表!$O$5:$O$3507,$L840)="","(未設定)",INDEX(ポート振替表!$O$5:$O$3507,$L840)&amp;""))</f>
        <v/>
      </c>
      <c r="F840" s="52" t="str">
        <f aca="false">IF(L840="","",INDEX(ポート振替表!$K$5:$K$3507,$L840)&amp;" "&amp;INDEX(ポート振替表!$L$5:$L$3507,$L840)&amp;"  ⇔  "&amp;INDEX(ポート振替表!$H$5:$H$3507,$L840)&amp;" "&amp;INDEX(ポート振替表!$I$5:$I$3507,$L840))</f>
        <v/>
      </c>
      <c r="G840" s="57" t="s">
        <v>158</v>
      </c>
      <c r="H840" s="32" t="str">
        <f aca="false">IF(L840="","",INDEX(ポート振替表!$N$5:$N$3507,$L840)&amp;"")</f>
        <v/>
      </c>
      <c r="I840" s="32" t="str">
        <f aca="false">IF(L840="","",INDEX(ポート振替表!$P$5:$P$3507,$L840)&amp;"")</f>
        <v/>
      </c>
      <c r="J840" s="60" t="str">
        <f aca="false">IF(L840="","",INDEX(ポート振替表!$M$5:$M$3507,$L840)&amp;"")</f>
        <v/>
      </c>
      <c r="K840" s="52" t="str">
        <f aca="false">IF(L840="","",E840&amp;CHAR(10)&amp;INDEX(ポート振替表!$K$5:$K$3507,$L840)&amp;" "&amp;INDEX(ポート振替表!$L$5:$L$3507,$L840)&amp;CHAR(10)&amp;"⇔ "&amp;INDEX(ポート振替表!$H$5:$H$3507,$L840)&amp;" "&amp;INDEX(ポート振替表!$I$5:$I$3507,$L840))</f>
        <v/>
      </c>
      <c r="L840" s="47" t="str">
        <f aca="false">IFERROR(MATCH(ROW()-4,ポート振替表!$V$5:$V$3507,0),"")</f>
        <v/>
      </c>
    </row>
    <row r="841" customFormat="false" ht="16.4" hidden="false" customHeight="false" outlineLevel="0" collapsed="false">
      <c r="A841" s="32" t="str">
        <f aca="false">IF(L841="","",ROW()-4)</f>
        <v/>
      </c>
      <c r="B841" s="58" t="str">
        <f aca="false">IF(L841="","",IF(INDEX(ポート振替表!$W$5:$W$3507,$L841)="","(なし)",INDEX(ポート振替表!$W$5:$W$3507,$L841)&amp;""))</f>
        <v/>
      </c>
      <c r="C841" s="52" t="str">
        <f aca="false">IF(L841="","",INDEX(ポート振替表!$B$5:$B$3507,$L841)&amp;" "&amp;INDEX(ポート振替表!$C$5:$C$3507,$L841)&amp;"  ⇔  "&amp;INDEX(ポート振替表!$H$5:$H$3507,$L841)&amp;" "&amp;INDEX(ポート振替表!$I$5:$I$3507,$L841))</f>
        <v/>
      </c>
      <c r="D841" s="57" t="s">
        <v>158</v>
      </c>
      <c r="E841" s="59" t="str">
        <f aca="false">IF(L841="","",IF(INDEX(ポート振替表!$O$5:$O$3507,$L841)="","(未設定)",INDEX(ポート振替表!$O$5:$O$3507,$L841)&amp;""))</f>
        <v/>
      </c>
      <c r="F841" s="52" t="str">
        <f aca="false">IF(L841="","",INDEX(ポート振替表!$K$5:$K$3507,$L841)&amp;" "&amp;INDEX(ポート振替表!$L$5:$L$3507,$L841)&amp;"  ⇔  "&amp;INDEX(ポート振替表!$H$5:$H$3507,$L841)&amp;" "&amp;INDEX(ポート振替表!$I$5:$I$3507,$L841))</f>
        <v/>
      </c>
      <c r="G841" s="57" t="s">
        <v>158</v>
      </c>
      <c r="H841" s="32" t="str">
        <f aca="false">IF(L841="","",INDEX(ポート振替表!$N$5:$N$3507,$L841)&amp;"")</f>
        <v/>
      </c>
      <c r="I841" s="32" t="str">
        <f aca="false">IF(L841="","",INDEX(ポート振替表!$P$5:$P$3507,$L841)&amp;"")</f>
        <v/>
      </c>
      <c r="J841" s="60" t="str">
        <f aca="false">IF(L841="","",INDEX(ポート振替表!$M$5:$M$3507,$L841)&amp;"")</f>
        <v/>
      </c>
      <c r="K841" s="52" t="str">
        <f aca="false">IF(L841="","",E841&amp;CHAR(10)&amp;INDEX(ポート振替表!$K$5:$K$3507,$L841)&amp;" "&amp;INDEX(ポート振替表!$L$5:$L$3507,$L841)&amp;CHAR(10)&amp;"⇔ "&amp;INDEX(ポート振替表!$H$5:$H$3507,$L841)&amp;" "&amp;INDEX(ポート振替表!$I$5:$I$3507,$L841))</f>
        <v/>
      </c>
      <c r="L841" s="47" t="str">
        <f aca="false">IFERROR(MATCH(ROW()-4,ポート振替表!$V$5:$V$3507,0),"")</f>
        <v/>
      </c>
    </row>
    <row r="842" customFormat="false" ht="16.4" hidden="false" customHeight="false" outlineLevel="0" collapsed="false">
      <c r="A842" s="32" t="str">
        <f aca="false">IF(L842="","",ROW()-4)</f>
        <v/>
      </c>
      <c r="B842" s="58" t="str">
        <f aca="false">IF(L842="","",IF(INDEX(ポート振替表!$W$5:$W$3507,$L842)="","(なし)",INDEX(ポート振替表!$W$5:$W$3507,$L842)&amp;""))</f>
        <v/>
      </c>
      <c r="C842" s="52" t="str">
        <f aca="false">IF(L842="","",INDEX(ポート振替表!$B$5:$B$3507,$L842)&amp;" "&amp;INDEX(ポート振替表!$C$5:$C$3507,$L842)&amp;"  ⇔  "&amp;INDEX(ポート振替表!$H$5:$H$3507,$L842)&amp;" "&amp;INDEX(ポート振替表!$I$5:$I$3507,$L842))</f>
        <v/>
      </c>
      <c r="D842" s="57" t="s">
        <v>158</v>
      </c>
      <c r="E842" s="59" t="str">
        <f aca="false">IF(L842="","",IF(INDEX(ポート振替表!$O$5:$O$3507,$L842)="","(未設定)",INDEX(ポート振替表!$O$5:$O$3507,$L842)&amp;""))</f>
        <v/>
      </c>
      <c r="F842" s="52" t="str">
        <f aca="false">IF(L842="","",INDEX(ポート振替表!$K$5:$K$3507,$L842)&amp;" "&amp;INDEX(ポート振替表!$L$5:$L$3507,$L842)&amp;"  ⇔  "&amp;INDEX(ポート振替表!$H$5:$H$3507,$L842)&amp;" "&amp;INDEX(ポート振替表!$I$5:$I$3507,$L842))</f>
        <v/>
      </c>
      <c r="G842" s="57" t="s">
        <v>158</v>
      </c>
      <c r="H842" s="32" t="str">
        <f aca="false">IF(L842="","",INDEX(ポート振替表!$N$5:$N$3507,$L842)&amp;"")</f>
        <v/>
      </c>
      <c r="I842" s="32" t="str">
        <f aca="false">IF(L842="","",INDEX(ポート振替表!$P$5:$P$3507,$L842)&amp;"")</f>
        <v/>
      </c>
      <c r="J842" s="60" t="str">
        <f aca="false">IF(L842="","",INDEX(ポート振替表!$M$5:$M$3507,$L842)&amp;"")</f>
        <v/>
      </c>
      <c r="K842" s="52" t="str">
        <f aca="false">IF(L842="","",E842&amp;CHAR(10)&amp;INDEX(ポート振替表!$K$5:$K$3507,$L842)&amp;" "&amp;INDEX(ポート振替表!$L$5:$L$3507,$L842)&amp;CHAR(10)&amp;"⇔ "&amp;INDEX(ポート振替表!$H$5:$H$3507,$L842)&amp;" "&amp;INDEX(ポート振替表!$I$5:$I$3507,$L842))</f>
        <v/>
      </c>
      <c r="L842" s="47" t="str">
        <f aca="false">IFERROR(MATCH(ROW()-4,ポート振替表!$V$5:$V$3507,0),"")</f>
        <v/>
      </c>
    </row>
    <row r="843" customFormat="false" ht="16.4" hidden="false" customHeight="false" outlineLevel="0" collapsed="false">
      <c r="A843" s="32" t="str">
        <f aca="false">IF(L843="","",ROW()-4)</f>
        <v/>
      </c>
      <c r="B843" s="58" t="str">
        <f aca="false">IF(L843="","",IF(INDEX(ポート振替表!$W$5:$W$3507,$L843)="","(なし)",INDEX(ポート振替表!$W$5:$W$3507,$L843)&amp;""))</f>
        <v/>
      </c>
      <c r="C843" s="52" t="str">
        <f aca="false">IF(L843="","",INDEX(ポート振替表!$B$5:$B$3507,$L843)&amp;" "&amp;INDEX(ポート振替表!$C$5:$C$3507,$L843)&amp;"  ⇔  "&amp;INDEX(ポート振替表!$H$5:$H$3507,$L843)&amp;" "&amp;INDEX(ポート振替表!$I$5:$I$3507,$L843))</f>
        <v/>
      </c>
      <c r="D843" s="57" t="s">
        <v>158</v>
      </c>
      <c r="E843" s="59" t="str">
        <f aca="false">IF(L843="","",IF(INDEX(ポート振替表!$O$5:$O$3507,$L843)="","(未設定)",INDEX(ポート振替表!$O$5:$O$3507,$L843)&amp;""))</f>
        <v/>
      </c>
      <c r="F843" s="52" t="str">
        <f aca="false">IF(L843="","",INDEX(ポート振替表!$K$5:$K$3507,$L843)&amp;" "&amp;INDEX(ポート振替表!$L$5:$L$3507,$L843)&amp;"  ⇔  "&amp;INDEX(ポート振替表!$H$5:$H$3507,$L843)&amp;" "&amp;INDEX(ポート振替表!$I$5:$I$3507,$L843))</f>
        <v/>
      </c>
      <c r="G843" s="57" t="s">
        <v>158</v>
      </c>
      <c r="H843" s="32" t="str">
        <f aca="false">IF(L843="","",INDEX(ポート振替表!$N$5:$N$3507,$L843)&amp;"")</f>
        <v/>
      </c>
      <c r="I843" s="32" t="str">
        <f aca="false">IF(L843="","",INDEX(ポート振替表!$P$5:$P$3507,$L843)&amp;"")</f>
        <v/>
      </c>
      <c r="J843" s="60" t="str">
        <f aca="false">IF(L843="","",INDEX(ポート振替表!$M$5:$M$3507,$L843)&amp;"")</f>
        <v/>
      </c>
      <c r="K843" s="52" t="str">
        <f aca="false">IF(L843="","",E843&amp;CHAR(10)&amp;INDEX(ポート振替表!$K$5:$K$3507,$L843)&amp;" "&amp;INDEX(ポート振替表!$L$5:$L$3507,$L843)&amp;CHAR(10)&amp;"⇔ "&amp;INDEX(ポート振替表!$H$5:$H$3507,$L843)&amp;" "&amp;INDEX(ポート振替表!$I$5:$I$3507,$L843))</f>
        <v/>
      </c>
      <c r="L843" s="47" t="str">
        <f aca="false">IFERROR(MATCH(ROW()-4,ポート振替表!$V$5:$V$3507,0),"")</f>
        <v/>
      </c>
    </row>
    <row r="844" customFormat="false" ht="16.4" hidden="false" customHeight="false" outlineLevel="0" collapsed="false">
      <c r="A844" s="32" t="str">
        <f aca="false">IF(L844="","",ROW()-4)</f>
        <v/>
      </c>
      <c r="B844" s="58" t="str">
        <f aca="false">IF(L844="","",IF(INDEX(ポート振替表!$W$5:$W$3507,$L844)="","(なし)",INDEX(ポート振替表!$W$5:$W$3507,$L844)&amp;""))</f>
        <v/>
      </c>
      <c r="C844" s="52" t="str">
        <f aca="false">IF(L844="","",INDEX(ポート振替表!$B$5:$B$3507,$L844)&amp;" "&amp;INDEX(ポート振替表!$C$5:$C$3507,$L844)&amp;"  ⇔  "&amp;INDEX(ポート振替表!$H$5:$H$3507,$L844)&amp;" "&amp;INDEX(ポート振替表!$I$5:$I$3507,$L844))</f>
        <v/>
      </c>
      <c r="D844" s="57" t="s">
        <v>158</v>
      </c>
      <c r="E844" s="59" t="str">
        <f aca="false">IF(L844="","",IF(INDEX(ポート振替表!$O$5:$O$3507,$L844)="","(未設定)",INDEX(ポート振替表!$O$5:$O$3507,$L844)&amp;""))</f>
        <v/>
      </c>
      <c r="F844" s="52" t="str">
        <f aca="false">IF(L844="","",INDEX(ポート振替表!$K$5:$K$3507,$L844)&amp;" "&amp;INDEX(ポート振替表!$L$5:$L$3507,$L844)&amp;"  ⇔  "&amp;INDEX(ポート振替表!$H$5:$H$3507,$L844)&amp;" "&amp;INDEX(ポート振替表!$I$5:$I$3507,$L844))</f>
        <v/>
      </c>
      <c r="G844" s="57" t="s">
        <v>158</v>
      </c>
      <c r="H844" s="32" t="str">
        <f aca="false">IF(L844="","",INDEX(ポート振替表!$N$5:$N$3507,$L844)&amp;"")</f>
        <v/>
      </c>
      <c r="I844" s="32" t="str">
        <f aca="false">IF(L844="","",INDEX(ポート振替表!$P$5:$P$3507,$L844)&amp;"")</f>
        <v/>
      </c>
      <c r="J844" s="60" t="str">
        <f aca="false">IF(L844="","",INDEX(ポート振替表!$M$5:$M$3507,$L844)&amp;"")</f>
        <v/>
      </c>
      <c r="K844" s="52" t="str">
        <f aca="false">IF(L844="","",E844&amp;CHAR(10)&amp;INDEX(ポート振替表!$K$5:$K$3507,$L844)&amp;" "&amp;INDEX(ポート振替表!$L$5:$L$3507,$L844)&amp;CHAR(10)&amp;"⇔ "&amp;INDEX(ポート振替表!$H$5:$H$3507,$L844)&amp;" "&amp;INDEX(ポート振替表!$I$5:$I$3507,$L844))</f>
        <v/>
      </c>
      <c r="L844" s="47" t="str">
        <f aca="false">IFERROR(MATCH(ROW()-4,ポート振替表!$V$5:$V$3507,0),"")</f>
        <v/>
      </c>
    </row>
    <row r="845" customFormat="false" ht="16.4" hidden="false" customHeight="false" outlineLevel="0" collapsed="false">
      <c r="A845" s="32" t="str">
        <f aca="false">IF(L845="","",ROW()-4)</f>
        <v/>
      </c>
      <c r="B845" s="58" t="str">
        <f aca="false">IF(L845="","",IF(INDEX(ポート振替表!$W$5:$W$3507,$L845)="","(なし)",INDEX(ポート振替表!$W$5:$W$3507,$L845)&amp;""))</f>
        <v/>
      </c>
      <c r="C845" s="52" t="str">
        <f aca="false">IF(L845="","",INDEX(ポート振替表!$B$5:$B$3507,$L845)&amp;" "&amp;INDEX(ポート振替表!$C$5:$C$3507,$L845)&amp;"  ⇔  "&amp;INDEX(ポート振替表!$H$5:$H$3507,$L845)&amp;" "&amp;INDEX(ポート振替表!$I$5:$I$3507,$L845))</f>
        <v/>
      </c>
      <c r="D845" s="57" t="s">
        <v>158</v>
      </c>
      <c r="E845" s="59" t="str">
        <f aca="false">IF(L845="","",IF(INDEX(ポート振替表!$O$5:$O$3507,$L845)="","(未設定)",INDEX(ポート振替表!$O$5:$O$3507,$L845)&amp;""))</f>
        <v/>
      </c>
      <c r="F845" s="52" t="str">
        <f aca="false">IF(L845="","",INDEX(ポート振替表!$K$5:$K$3507,$L845)&amp;" "&amp;INDEX(ポート振替表!$L$5:$L$3507,$L845)&amp;"  ⇔  "&amp;INDEX(ポート振替表!$H$5:$H$3507,$L845)&amp;" "&amp;INDEX(ポート振替表!$I$5:$I$3507,$L845))</f>
        <v/>
      </c>
      <c r="G845" s="57" t="s">
        <v>158</v>
      </c>
      <c r="H845" s="32" t="str">
        <f aca="false">IF(L845="","",INDEX(ポート振替表!$N$5:$N$3507,$L845)&amp;"")</f>
        <v/>
      </c>
      <c r="I845" s="32" t="str">
        <f aca="false">IF(L845="","",INDEX(ポート振替表!$P$5:$P$3507,$L845)&amp;"")</f>
        <v/>
      </c>
      <c r="J845" s="60" t="str">
        <f aca="false">IF(L845="","",INDEX(ポート振替表!$M$5:$M$3507,$L845)&amp;"")</f>
        <v/>
      </c>
      <c r="K845" s="52" t="str">
        <f aca="false">IF(L845="","",E845&amp;CHAR(10)&amp;INDEX(ポート振替表!$K$5:$K$3507,$L845)&amp;" "&amp;INDEX(ポート振替表!$L$5:$L$3507,$L845)&amp;CHAR(10)&amp;"⇔ "&amp;INDEX(ポート振替表!$H$5:$H$3507,$L845)&amp;" "&amp;INDEX(ポート振替表!$I$5:$I$3507,$L845))</f>
        <v/>
      </c>
      <c r="L845" s="47" t="str">
        <f aca="false">IFERROR(MATCH(ROW()-4,ポート振替表!$V$5:$V$3507,0),"")</f>
        <v/>
      </c>
    </row>
    <row r="846" customFormat="false" ht="16.4" hidden="false" customHeight="false" outlineLevel="0" collapsed="false">
      <c r="A846" s="32" t="str">
        <f aca="false">IF(L846="","",ROW()-4)</f>
        <v/>
      </c>
      <c r="B846" s="58" t="str">
        <f aca="false">IF(L846="","",IF(INDEX(ポート振替表!$W$5:$W$3507,$L846)="","(なし)",INDEX(ポート振替表!$W$5:$W$3507,$L846)&amp;""))</f>
        <v/>
      </c>
      <c r="C846" s="52" t="str">
        <f aca="false">IF(L846="","",INDEX(ポート振替表!$B$5:$B$3507,$L846)&amp;" "&amp;INDEX(ポート振替表!$C$5:$C$3507,$L846)&amp;"  ⇔  "&amp;INDEX(ポート振替表!$H$5:$H$3507,$L846)&amp;" "&amp;INDEX(ポート振替表!$I$5:$I$3507,$L846))</f>
        <v/>
      </c>
      <c r="D846" s="57" t="s">
        <v>158</v>
      </c>
      <c r="E846" s="59" t="str">
        <f aca="false">IF(L846="","",IF(INDEX(ポート振替表!$O$5:$O$3507,$L846)="","(未設定)",INDEX(ポート振替表!$O$5:$O$3507,$L846)&amp;""))</f>
        <v/>
      </c>
      <c r="F846" s="52" t="str">
        <f aca="false">IF(L846="","",INDEX(ポート振替表!$K$5:$K$3507,$L846)&amp;" "&amp;INDEX(ポート振替表!$L$5:$L$3507,$L846)&amp;"  ⇔  "&amp;INDEX(ポート振替表!$H$5:$H$3507,$L846)&amp;" "&amp;INDEX(ポート振替表!$I$5:$I$3507,$L846))</f>
        <v/>
      </c>
      <c r="G846" s="57" t="s">
        <v>158</v>
      </c>
      <c r="H846" s="32" t="str">
        <f aca="false">IF(L846="","",INDEX(ポート振替表!$N$5:$N$3507,$L846)&amp;"")</f>
        <v/>
      </c>
      <c r="I846" s="32" t="str">
        <f aca="false">IF(L846="","",INDEX(ポート振替表!$P$5:$P$3507,$L846)&amp;"")</f>
        <v/>
      </c>
      <c r="J846" s="60" t="str">
        <f aca="false">IF(L846="","",INDEX(ポート振替表!$M$5:$M$3507,$L846)&amp;"")</f>
        <v/>
      </c>
      <c r="K846" s="52" t="str">
        <f aca="false">IF(L846="","",E846&amp;CHAR(10)&amp;INDEX(ポート振替表!$K$5:$K$3507,$L846)&amp;" "&amp;INDEX(ポート振替表!$L$5:$L$3507,$L846)&amp;CHAR(10)&amp;"⇔ "&amp;INDEX(ポート振替表!$H$5:$H$3507,$L846)&amp;" "&amp;INDEX(ポート振替表!$I$5:$I$3507,$L846))</f>
        <v/>
      </c>
      <c r="L846" s="47" t="str">
        <f aca="false">IFERROR(MATCH(ROW()-4,ポート振替表!$V$5:$V$3507,0),"")</f>
        <v/>
      </c>
    </row>
    <row r="847" customFormat="false" ht="16.4" hidden="false" customHeight="false" outlineLevel="0" collapsed="false">
      <c r="A847" s="32" t="str">
        <f aca="false">IF(L847="","",ROW()-4)</f>
        <v/>
      </c>
      <c r="B847" s="58" t="str">
        <f aca="false">IF(L847="","",IF(INDEX(ポート振替表!$W$5:$W$3507,$L847)="","(なし)",INDEX(ポート振替表!$W$5:$W$3507,$L847)&amp;""))</f>
        <v/>
      </c>
      <c r="C847" s="52" t="str">
        <f aca="false">IF(L847="","",INDEX(ポート振替表!$B$5:$B$3507,$L847)&amp;" "&amp;INDEX(ポート振替表!$C$5:$C$3507,$L847)&amp;"  ⇔  "&amp;INDEX(ポート振替表!$H$5:$H$3507,$L847)&amp;" "&amp;INDEX(ポート振替表!$I$5:$I$3507,$L847))</f>
        <v/>
      </c>
      <c r="D847" s="57" t="s">
        <v>158</v>
      </c>
      <c r="E847" s="59" t="str">
        <f aca="false">IF(L847="","",IF(INDEX(ポート振替表!$O$5:$O$3507,$L847)="","(未設定)",INDEX(ポート振替表!$O$5:$O$3507,$L847)&amp;""))</f>
        <v/>
      </c>
      <c r="F847" s="52" t="str">
        <f aca="false">IF(L847="","",INDEX(ポート振替表!$K$5:$K$3507,$L847)&amp;" "&amp;INDEX(ポート振替表!$L$5:$L$3507,$L847)&amp;"  ⇔  "&amp;INDEX(ポート振替表!$H$5:$H$3507,$L847)&amp;" "&amp;INDEX(ポート振替表!$I$5:$I$3507,$L847))</f>
        <v/>
      </c>
      <c r="G847" s="57" t="s">
        <v>158</v>
      </c>
      <c r="H847" s="32" t="str">
        <f aca="false">IF(L847="","",INDEX(ポート振替表!$N$5:$N$3507,$L847)&amp;"")</f>
        <v/>
      </c>
      <c r="I847" s="32" t="str">
        <f aca="false">IF(L847="","",INDEX(ポート振替表!$P$5:$P$3507,$L847)&amp;"")</f>
        <v/>
      </c>
      <c r="J847" s="60" t="str">
        <f aca="false">IF(L847="","",INDEX(ポート振替表!$M$5:$M$3507,$L847)&amp;"")</f>
        <v/>
      </c>
      <c r="K847" s="52" t="str">
        <f aca="false">IF(L847="","",E847&amp;CHAR(10)&amp;INDEX(ポート振替表!$K$5:$K$3507,$L847)&amp;" "&amp;INDEX(ポート振替表!$L$5:$L$3507,$L847)&amp;CHAR(10)&amp;"⇔ "&amp;INDEX(ポート振替表!$H$5:$H$3507,$L847)&amp;" "&amp;INDEX(ポート振替表!$I$5:$I$3507,$L847))</f>
        <v/>
      </c>
      <c r="L847" s="47" t="str">
        <f aca="false">IFERROR(MATCH(ROW()-4,ポート振替表!$V$5:$V$3507,0),"")</f>
        <v/>
      </c>
    </row>
    <row r="848" customFormat="false" ht="16.4" hidden="false" customHeight="false" outlineLevel="0" collapsed="false">
      <c r="A848" s="32" t="str">
        <f aca="false">IF(L848="","",ROW()-4)</f>
        <v/>
      </c>
      <c r="B848" s="58" t="str">
        <f aca="false">IF(L848="","",IF(INDEX(ポート振替表!$W$5:$W$3507,$L848)="","(なし)",INDEX(ポート振替表!$W$5:$W$3507,$L848)&amp;""))</f>
        <v/>
      </c>
      <c r="C848" s="52" t="str">
        <f aca="false">IF(L848="","",INDEX(ポート振替表!$B$5:$B$3507,$L848)&amp;" "&amp;INDEX(ポート振替表!$C$5:$C$3507,$L848)&amp;"  ⇔  "&amp;INDEX(ポート振替表!$H$5:$H$3507,$L848)&amp;" "&amp;INDEX(ポート振替表!$I$5:$I$3507,$L848))</f>
        <v/>
      </c>
      <c r="D848" s="57" t="s">
        <v>158</v>
      </c>
      <c r="E848" s="59" t="str">
        <f aca="false">IF(L848="","",IF(INDEX(ポート振替表!$O$5:$O$3507,$L848)="","(未設定)",INDEX(ポート振替表!$O$5:$O$3507,$L848)&amp;""))</f>
        <v/>
      </c>
      <c r="F848" s="52" t="str">
        <f aca="false">IF(L848="","",INDEX(ポート振替表!$K$5:$K$3507,$L848)&amp;" "&amp;INDEX(ポート振替表!$L$5:$L$3507,$L848)&amp;"  ⇔  "&amp;INDEX(ポート振替表!$H$5:$H$3507,$L848)&amp;" "&amp;INDEX(ポート振替表!$I$5:$I$3507,$L848))</f>
        <v/>
      </c>
      <c r="G848" s="57" t="s">
        <v>158</v>
      </c>
      <c r="H848" s="32" t="str">
        <f aca="false">IF(L848="","",INDEX(ポート振替表!$N$5:$N$3507,$L848)&amp;"")</f>
        <v/>
      </c>
      <c r="I848" s="32" t="str">
        <f aca="false">IF(L848="","",INDEX(ポート振替表!$P$5:$P$3507,$L848)&amp;"")</f>
        <v/>
      </c>
      <c r="J848" s="60" t="str">
        <f aca="false">IF(L848="","",INDEX(ポート振替表!$M$5:$M$3507,$L848)&amp;"")</f>
        <v/>
      </c>
      <c r="K848" s="52" t="str">
        <f aca="false">IF(L848="","",E848&amp;CHAR(10)&amp;INDEX(ポート振替表!$K$5:$K$3507,$L848)&amp;" "&amp;INDEX(ポート振替表!$L$5:$L$3507,$L848)&amp;CHAR(10)&amp;"⇔ "&amp;INDEX(ポート振替表!$H$5:$H$3507,$L848)&amp;" "&amp;INDEX(ポート振替表!$I$5:$I$3507,$L848))</f>
        <v/>
      </c>
      <c r="L848" s="47" t="str">
        <f aca="false">IFERROR(MATCH(ROW()-4,ポート振替表!$V$5:$V$3507,0),"")</f>
        <v/>
      </c>
    </row>
    <row r="849" customFormat="false" ht="16.4" hidden="false" customHeight="false" outlineLevel="0" collapsed="false">
      <c r="A849" s="32" t="str">
        <f aca="false">IF(L849="","",ROW()-4)</f>
        <v/>
      </c>
      <c r="B849" s="58" t="str">
        <f aca="false">IF(L849="","",IF(INDEX(ポート振替表!$W$5:$W$3507,$L849)="","(なし)",INDEX(ポート振替表!$W$5:$W$3507,$L849)&amp;""))</f>
        <v/>
      </c>
      <c r="C849" s="52" t="str">
        <f aca="false">IF(L849="","",INDEX(ポート振替表!$B$5:$B$3507,$L849)&amp;" "&amp;INDEX(ポート振替表!$C$5:$C$3507,$L849)&amp;"  ⇔  "&amp;INDEX(ポート振替表!$H$5:$H$3507,$L849)&amp;" "&amp;INDEX(ポート振替表!$I$5:$I$3507,$L849))</f>
        <v/>
      </c>
      <c r="D849" s="57" t="s">
        <v>158</v>
      </c>
      <c r="E849" s="59" t="str">
        <f aca="false">IF(L849="","",IF(INDEX(ポート振替表!$O$5:$O$3507,$L849)="","(未設定)",INDEX(ポート振替表!$O$5:$O$3507,$L849)&amp;""))</f>
        <v/>
      </c>
      <c r="F849" s="52" t="str">
        <f aca="false">IF(L849="","",INDEX(ポート振替表!$K$5:$K$3507,$L849)&amp;" "&amp;INDEX(ポート振替表!$L$5:$L$3507,$L849)&amp;"  ⇔  "&amp;INDEX(ポート振替表!$H$5:$H$3507,$L849)&amp;" "&amp;INDEX(ポート振替表!$I$5:$I$3507,$L849))</f>
        <v/>
      </c>
      <c r="G849" s="57" t="s">
        <v>158</v>
      </c>
      <c r="H849" s="32" t="str">
        <f aca="false">IF(L849="","",INDEX(ポート振替表!$N$5:$N$3507,$L849)&amp;"")</f>
        <v/>
      </c>
      <c r="I849" s="32" t="str">
        <f aca="false">IF(L849="","",INDEX(ポート振替表!$P$5:$P$3507,$L849)&amp;"")</f>
        <v/>
      </c>
      <c r="J849" s="60" t="str">
        <f aca="false">IF(L849="","",INDEX(ポート振替表!$M$5:$M$3507,$L849)&amp;"")</f>
        <v/>
      </c>
      <c r="K849" s="52" t="str">
        <f aca="false">IF(L849="","",E849&amp;CHAR(10)&amp;INDEX(ポート振替表!$K$5:$K$3507,$L849)&amp;" "&amp;INDEX(ポート振替表!$L$5:$L$3507,$L849)&amp;CHAR(10)&amp;"⇔ "&amp;INDEX(ポート振替表!$H$5:$H$3507,$L849)&amp;" "&amp;INDEX(ポート振替表!$I$5:$I$3507,$L849))</f>
        <v/>
      </c>
      <c r="L849" s="47" t="str">
        <f aca="false">IFERROR(MATCH(ROW()-4,ポート振替表!$V$5:$V$3507,0),"")</f>
        <v/>
      </c>
    </row>
    <row r="850" customFormat="false" ht="16.4" hidden="false" customHeight="false" outlineLevel="0" collapsed="false">
      <c r="A850" s="32" t="str">
        <f aca="false">IF(L850="","",ROW()-4)</f>
        <v/>
      </c>
      <c r="B850" s="58" t="str">
        <f aca="false">IF(L850="","",IF(INDEX(ポート振替表!$W$5:$W$3507,$L850)="","(なし)",INDEX(ポート振替表!$W$5:$W$3507,$L850)&amp;""))</f>
        <v/>
      </c>
      <c r="C850" s="52" t="str">
        <f aca="false">IF(L850="","",INDEX(ポート振替表!$B$5:$B$3507,$L850)&amp;" "&amp;INDEX(ポート振替表!$C$5:$C$3507,$L850)&amp;"  ⇔  "&amp;INDEX(ポート振替表!$H$5:$H$3507,$L850)&amp;" "&amp;INDEX(ポート振替表!$I$5:$I$3507,$L850))</f>
        <v/>
      </c>
      <c r="D850" s="57" t="s">
        <v>158</v>
      </c>
      <c r="E850" s="59" t="str">
        <f aca="false">IF(L850="","",IF(INDEX(ポート振替表!$O$5:$O$3507,$L850)="","(未設定)",INDEX(ポート振替表!$O$5:$O$3507,$L850)&amp;""))</f>
        <v/>
      </c>
      <c r="F850" s="52" t="str">
        <f aca="false">IF(L850="","",INDEX(ポート振替表!$K$5:$K$3507,$L850)&amp;" "&amp;INDEX(ポート振替表!$L$5:$L$3507,$L850)&amp;"  ⇔  "&amp;INDEX(ポート振替表!$H$5:$H$3507,$L850)&amp;" "&amp;INDEX(ポート振替表!$I$5:$I$3507,$L850))</f>
        <v/>
      </c>
      <c r="G850" s="57" t="s">
        <v>158</v>
      </c>
      <c r="H850" s="32" t="str">
        <f aca="false">IF(L850="","",INDEX(ポート振替表!$N$5:$N$3507,$L850)&amp;"")</f>
        <v/>
      </c>
      <c r="I850" s="32" t="str">
        <f aca="false">IF(L850="","",INDEX(ポート振替表!$P$5:$P$3507,$L850)&amp;"")</f>
        <v/>
      </c>
      <c r="J850" s="60" t="str">
        <f aca="false">IF(L850="","",INDEX(ポート振替表!$M$5:$M$3507,$L850)&amp;"")</f>
        <v/>
      </c>
      <c r="K850" s="52" t="str">
        <f aca="false">IF(L850="","",E850&amp;CHAR(10)&amp;INDEX(ポート振替表!$K$5:$K$3507,$L850)&amp;" "&amp;INDEX(ポート振替表!$L$5:$L$3507,$L850)&amp;CHAR(10)&amp;"⇔ "&amp;INDEX(ポート振替表!$H$5:$H$3507,$L850)&amp;" "&amp;INDEX(ポート振替表!$I$5:$I$3507,$L850))</f>
        <v/>
      </c>
      <c r="L850" s="47" t="str">
        <f aca="false">IFERROR(MATCH(ROW()-4,ポート振替表!$V$5:$V$3507,0),"")</f>
        <v/>
      </c>
    </row>
    <row r="851" customFormat="false" ht="16.4" hidden="false" customHeight="false" outlineLevel="0" collapsed="false">
      <c r="A851" s="32" t="str">
        <f aca="false">IF(L851="","",ROW()-4)</f>
        <v/>
      </c>
      <c r="B851" s="58" t="str">
        <f aca="false">IF(L851="","",IF(INDEX(ポート振替表!$W$5:$W$3507,$L851)="","(なし)",INDEX(ポート振替表!$W$5:$W$3507,$L851)&amp;""))</f>
        <v/>
      </c>
      <c r="C851" s="52" t="str">
        <f aca="false">IF(L851="","",INDEX(ポート振替表!$B$5:$B$3507,$L851)&amp;" "&amp;INDEX(ポート振替表!$C$5:$C$3507,$L851)&amp;"  ⇔  "&amp;INDEX(ポート振替表!$H$5:$H$3507,$L851)&amp;" "&amp;INDEX(ポート振替表!$I$5:$I$3507,$L851))</f>
        <v/>
      </c>
      <c r="D851" s="57" t="s">
        <v>158</v>
      </c>
      <c r="E851" s="59" t="str">
        <f aca="false">IF(L851="","",IF(INDEX(ポート振替表!$O$5:$O$3507,$L851)="","(未設定)",INDEX(ポート振替表!$O$5:$O$3507,$L851)&amp;""))</f>
        <v/>
      </c>
      <c r="F851" s="52" t="str">
        <f aca="false">IF(L851="","",INDEX(ポート振替表!$K$5:$K$3507,$L851)&amp;" "&amp;INDEX(ポート振替表!$L$5:$L$3507,$L851)&amp;"  ⇔  "&amp;INDEX(ポート振替表!$H$5:$H$3507,$L851)&amp;" "&amp;INDEX(ポート振替表!$I$5:$I$3507,$L851))</f>
        <v/>
      </c>
      <c r="G851" s="57" t="s">
        <v>158</v>
      </c>
      <c r="H851" s="32" t="str">
        <f aca="false">IF(L851="","",INDEX(ポート振替表!$N$5:$N$3507,$L851)&amp;"")</f>
        <v/>
      </c>
      <c r="I851" s="32" t="str">
        <f aca="false">IF(L851="","",INDEX(ポート振替表!$P$5:$P$3507,$L851)&amp;"")</f>
        <v/>
      </c>
      <c r="J851" s="60" t="str">
        <f aca="false">IF(L851="","",INDEX(ポート振替表!$M$5:$M$3507,$L851)&amp;"")</f>
        <v/>
      </c>
      <c r="K851" s="52" t="str">
        <f aca="false">IF(L851="","",E851&amp;CHAR(10)&amp;INDEX(ポート振替表!$K$5:$K$3507,$L851)&amp;" "&amp;INDEX(ポート振替表!$L$5:$L$3507,$L851)&amp;CHAR(10)&amp;"⇔ "&amp;INDEX(ポート振替表!$H$5:$H$3507,$L851)&amp;" "&amp;INDEX(ポート振替表!$I$5:$I$3507,$L851))</f>
        <v/>
      </c>
      <c r="L851" s="47" t="str">
        <f aca="false">IFERROR(MATCH(ROW()-4,ポート振替表!$V$5:$V$3507,0),"")</f>
        <v/>
      </c>
    </row>
    <row r="852" customFormat="false" ht="16.4" hidden="false" customHeight="false" outlineLevel="0" collapsed="false">
      <c r="A852" s="32" t="str">
        <f aca="false">IF(L852="","",ROW()-4)</f>
        <v/>
      </c>
      <c r="B852" s="58" t="str">
        <f aca="false">IF(L852="","",IF(INDEX(ポート振替表!$W$5:$W$3507,$L852)="","(なし)",INDEX(ポート振替表!$W$5:$W$3507,$L852)&amp;""))</f>
        <v/>
      </c>
      <c r="C852" s="52" t="str">
        <f aca="false">IF(L852="","",INDEX(ポート振替表!$B$5:$B$3507,$L852)&amp;" "&amp;INDEX(ポート振替表!$C$5:$C$3507,$L852)&amp;"  ⇔  "&amp;INDEX(ポート振替表!$H$5:$H$3507,$L852)&amp;" "&amp;INDEX(ポート振替表!$I$5:$I$3507,$L852))</f>
        <v/>
      </c>
      <c r="D852" s="57" t="s">
        <v>158</v>
      </c>
      <c r="E852" s="59" t="str">
        <f aca="false">IF(L852="","",IF(INDEX(ポート振替表!$O$5:$O$3507,$L852)="","(未設定)",INDEX(ポート振替表!$O$5:$O$3507,$L852)&amp;""))</f>
        <v/>
      </c>
      <c r="F852" s="52" t="str">
        <f aca="false">IF(L852="","",INDEX(ポート振替表!$K$5:$K$3507,$L852)&amp;" "&amp;INDEX(ポート振替表!$L$5:$L$3507,$L852)&amp;"  ⇔  "&amp;INDEX(ポート振替表!$H$5:$H$3507,$L852)&amp;" "&amp;INDEX(ポート振替表!$I$5:$I$3507,$L852))</f>
        <v/>
      </c>
      <c r="G852" s="57" t="s">
        <v>158</v>
      </c>
      <c r="H852" s="32" t="str">
        <f aca="false">IF(L852="","",INDEX(ポート振替表!$N$5:$N$3507,$L852)&amp;"")</f>
        <v/>
      </c>
      <c r="I852" s="32" t="str">
        <f aca="false">IF(L852="","",INDEX(ポート振替表!$P$5:$P$3507,$L852)&amp;"")</f>
        <v/>
      </c>
      <c r="J852" s="60" t="str">
        <f aca="false">IF(L852="","",INDEX(ポート振替表!$M$5:$M$3507,$L852)&amp;"")</f>
        <v/>
      </c>
      <c r="K852" s="52" t="str">
        <f aca="false">IF(L852="","",E852&amp;CHAR(10)&amp;INDEX(ポート振替表!$K$5:$K$3507,$L852)&amp;" "&amp;INDEX(ポート振替表!$L$5:$L$3507,$L852)&amp;CHAR(10)&amp;"⇔ "&amp;INDEX(ポート振替表!$H$5:$H$3507,$L852)&amp;" "&amp;INDEX(ポート振替表!$I$5:$I$3507,$L852))</f>
        <v/>
      </c>
      <c r="L852" s="47" t="str">
        <f aca="false">IFERROR(MATCH(ROW()-4,ポート振替表!$V$5:$V$3507,0),"")</f>
        <v/>
      </c>
    </row>
    <row r="853" customFormat="false" ht="16.4" hidden="false" customHeight="false" outlineLevel="0" collapsed="false">
      <c r="A853" s="32" t="str">
        <f aca="false">IF(L853="","",ROW()-4)</f>
        <v/>
      </c>
      <c r="B853" s="58" t="str">
        <f aca="false">IF(L853="","",IF(INDEX(ポート振替表!$W$5:$W$3507,$L853)="","(なし)",INDEX(ポート振替表!$W$5:$W$3507,$L853)&amp;""))</f>
        <v/>
      </c>
      <c r="C853" s="52" t="str">
        <f aca="false">IF(L853="","",INDEX(ポート振替表!$B$5:$B$3507,$L853)&amp;" "&amp;INDEX(ポート振替表!$C$5:$C$3507,$L853)&amp;"  ⇔  "&amp;INDEX(ポート振替表!$H$5:$H$3507,$L853)&amp;" "&amp;INDEX(ポート振替表!$I$5:$I$3507,$L853))</f>
        <v/>
      </c>
      <c r="D853" s="57" t="s">
        <v>158</v>
      </c>
      <c r="E853" s="59" t="str">
        <f aca="false">IF(L853="","",IF(INDEX(ポート振替表!$O$5:$O$3507,$L853)="","(未設定)",INDEX(ポート振替表!$O$5:$O$3507,$L853)&amp;""))</f>
        <v/>
      </c>
      <c r="F853" s="52" t="str">
        <f aca="false">IF(L853="","",INDEX(ポート振替表!$K$5:$K$3507,$L853)&amp;" "&amp;INDEX(ポート振替表!$L$5:$L$3507,$L853)&amp;"  ⇔  "&amp;INDEX(ポート振替表!$H$5:$H$3507,$L853)&amp;" "&amp;INDEX(ポート振替表!$I$5:$I$3507,$L853))</f>
        <v/>
      </c>
      <c r="G853" s="57" t="s">
        <v>158</v>
      </c>
      <c r="H853" s="32" t="str">
        <f aca="false">IF(L853="","",INDEX(ポート振替表!$N$5:$N$3507,$L853)&amp;"")</f>
        <v/>
      </c>
      <c r="I853" s="32" t="str">
        <f aca="false">IF(L853="","",INDEX(ポート振替表!$P$5:$P$3507,$L853)&amp;"")</f>
        <v/>
      </c>
      <c r="J853" s="60" t="str">
        <f aca="false">IF(L853="","",INDEX(ポート振替表!$M$5:$M$3507,$L853)&amp;"")</f>
        <v/>
      </c>
      <c r="K853" s="52" t="str">
        <f aca="false">IF(L853="","",E853&amp;CHAR(10)&amp;INDEX(ポート振替表!$K$5:$K$3507,$L853)&amp;" "&amp;INDEX(ポート振替表!$L$5:$L$3507,$L853)&amp;CHAR(10)&amp;"⇔ "&amp;INDEX(ポート振替表!$H$5:$H$3507,$L853)&amp;" "&amp;INDEX(ポート振替表!$I$5:$I$3507,$L853))</f>
        <v/>
      </c>
      <c r="L853" s="47" t="str">
        <f aca="false">IFERROR(MATCH(ROW()-4,ポート振替表!$V$5:$V$3507,0),"")</f>
        <v/>
      </c>
    </row>
    <row r="854" customFormat="false" ht="16.4" hidden="false" customHeight="false" outlineLevel="0" collapsed="false">
      <c r="A854" s="32" t="str">
        <f aca="false">IF(L854="","",ROW()-4)</f>
        <v/>
      </c>
      <c r="B854" s="58" t="str">
        <f aca="false">IF(L854="","",IF(INDEX(ポート振替表!$W$5:$W$3507,$L854)="","(なし)",INDEX(ポート振替表!$W$5:$W$3507,$L854)&amp;""))</f>
        <v/>
      </c>
      <c r="C854" s="52" t="str">
        <f aca="false">IF(L854="","",INDEX(ポート振替表!$B$5:$B$3507,$L854)&amp;" "&amp;INDEX(ポート振替表!$C$5:$C$3507,$L854)&amp;"  ⇔  "&amp;INDEX(ポート振替表!$H$5:$H$3507,$L854)&amp;" "&amp;INDEX(ポート振替表!$I$5:$I$3507,$L854))</f>
        <v/>
      </c>
      <c r="D854" s="57" t="s">
        <v>158</v>
      </c>
      <c r="E854" s="59" t="str">
        <f aca="false">IF(L854="","",IF(INDEX(ポート振替表!$O$5:$O$3507,$L854)="","(未設定)",INDEX(ポート振替表!$O$5:$O$3507,$L854)&amp;""))</f>
        <v/>
      </c>
      <c r="F854" s="52" t="str">
        <f aca="false">IF(L854="","",INDEX(ポート振替表!$K$5:$K$3507,$L854)&amp;" "&amp;INDEX(ポート振替表!$L$5:$L$3507,$L854)&amp;"  ⇔  "&amp;INDEX(ポート振替表!$H$5:$H$3507,$L854)&amp;" "&amp;INDEX(ポート振替表!$I$5:$I$3507,$L854))</f>
        <v/>
      </c>
      <c r="G854" s="57" t="s">
        <v>158</v>
      </c>
      <c r="H854" s="32" t="str">
        <f aca="false">IF(L854="","",INDEX(ポート振替表!$N$5:$N$3507,$L854)&amp;"")</f>
        <v/>
      </c>
      <c r="I854" s="32" t="str">
        <f aca="false">IF(L854="","",INDEX(ポート振替表!$P$5:$P$3507,$L854)&amp;"")</f>
        <v/>
      </c>
      <c r="J854" s="60" t="str">
        <f aca="false">IF(L854="","",INDEX(ポート振替表!$M$5:$M$3507,$L854)&amp;"")</f>
        <v/>
      </c>
      <c r="K854" s="52" t="str">
        <f aca="false">IF(L854="","",E854&amp;CHAR(10)&amp;INDEX(ポート振替表!$K$5:$K$3507,$L854)&amp;" "&amp;INDEX(ポート振替表!$L$5:$L$3507,$L854)&amp;CHAR(10)&amp;"⇔ "&amp;INDEX(ポート振替表!$H$5:$H$3507,$L854)&amp;" "&amp;INDEX(ポート振替表!$I$5:$I$3507,$L854))</f>
        <v/>
      </c>
      <c r="L854" s="47" t="str">
        <f aca="false">IFERROR(MATCH(ROW()-4,ポート振替表!$V$5:$V$3507,0),"")</f>
        <v/>
      </c>
    </row>
    <row r="855" customFormat="false" ht="16.4" hidden="false" customHeight="false" outlineLevel="0" collapsed="false">
      <c r="A855" s="32" t="str">
        <f aca="false">IF(L855="","",ROW()-4)</f>
        <v/>
      </c>
      <c r="B855" s="58" t="str">
        <f aca="false">IF(L855="","",IF(INDEX(ポート振替表!$W$5:$W$3507,$L855)="","(なし)",INDEX(ポート振替表!$W$5:$W$3507,$L855)&amp;""))</f>
        <v/>
      </c>
      <c r="C855" s="52" t="str">
        <f aca="false">IF(L855="","",INDEX(ポート振替表!$B$5:$B$3507,$L855)&amp;" "&amp;INDEX(ポート振替表!$C$5:$C$3507,$L855)&amp;"  ⇔  "&amp;INDEX(ポート振替表!$H$5:$H$3507,$L855)&amp;" "&amp;INDEX(ポート振替表!$I$5:$I$3507,$L855))</f>
        <v/>
      </c>
      <c r="D855" s="57" t="s">
        <v>158</v>
      </c>
      <c r="E855" s="59" t="str">
        <f aca="false">IF(L855="","",IF(INDEX(ポート振替表!$O$5:$O$3507,$L855)="","(未設定)",INDEX(ポート振替表!$O$5:$O$3507,$L855)&amp;""))</f>
        <v/>
      </c>
      <c r="F855" s="52" t="str">
        <f aca="false">IF(L855="","",INDEX(ポート振替表!$K$5:$K$3507,$L855)&amp;" "&amp;INDEX(ポート振替表!$L$5:$L$3507,$L855)&amp;"  ⇔  "&amp;INDEX(ポート振替表!$H$5:$H$3507,$L855)&amp;" "&amp;INDEX(ポート振替表!$I$5:$I$3507,$L855))</f>
        <v/>
      </c>
      <c r="G855" s="57" t="s">
        <v>158</v>
      </c>
      <c r="H855" s="32" t="str">
        <f aca="false">IF(L855="","",INDEX(ポート振替表!$N$5:$N$3507,$L855)&amp;"")</f>
        <v/>
      </c>
      <c r="I855" s="32" t="str">
        <f aca="false">IF(L855="","",INDEX(ポート振替表!$P$5:$P$3507,$L855)&amp;"")</f>
        <v/>
      </c>
      <c r="J855" s="60" t="str">
        <f aca="false">IF(L855="","",INDEX(ポート振替表!$M$5:$M$3507,$L855)&amp;"")</f>
        <v/>
      </c>
      <c r="K855" s="52" t="str">
        <f aca="false">IF(L855="","",E855&amp;CHAR(10)&amp;INDEX(ポート振替表!$K$5:$K$3507,$L855)&amp;" "&amp;INDEX(ポート振替表!$L$5:$L$3507,$L855)&amp;CHAR(10)&amp;"⇔ "&amp;INDEX(ポート振替表!$H$5:$H$3507,$L855)&amp;" "&amp;INDEX(ポート振替表!$I$5:$I$3507,$L855))</f>
        <v/>
      </c>
      <c r="L855" s="47" t="str">
        <f aca="false">IFERROR(MATCH(ROW()-4,ポート振替表!$V$5:$V$3507,0),"")</f>
        <v/>
      </c>
    </row>
    <row r="856" customFormat="false" ht="16.4" hidden="false" customHeight="false" outlineLevel="0" collapsed="false">
      <c r="A856" s="32" t="str">
        <f aca="false">IF(L856="","",ROW()-4)</f>
        <v/>
      </c>
      <c r="B856" s="58" t="str">
        <f aca="false">IF(L856="","",IF(INDEX(ポート振替表!$W$5:$W$3507,$L856)="","(なし)",INDEX(ポート振替表!$W$5:$W$3507,$L856)&amp;""))</f>
        <v/>
      </c>
      <c r="C856" s="52" t="str">
        <f aca="false">IF(L856="","",INDEX(ポート振替表!$B$5:$B$3507,$L856)&amp;" "&amp;INDEX(ポート振替表!$C$5:$C$3507,$L856)&amp;"  ⇔  "&amp;INDEX(ポート振替表!$H$5:$H$3507,$L856)&amp;" "&amp;INDEX(ポート振替表!$I$5:$I$3507,$L856))</f>
        <v/>
      </c>
      <c r="D856" s="57" t="s">
        <v>158</v>
      </c>
      <c r="E856" s="59" t="str">
        <f aca="false">IF(L856="","",IF(INDEX(ポート振替表!$O$5:$O$3507,$L856)="","(未設定)",INDEX(ポート振替表!$O$5:$O$3507,$L856)&amp;""))</f>
        <v/>
      </c>
      <c r="F856" s="52" t="str">
        <f aca="false">IF(L856="","",INDEX(ポート振替表!$K$5:$K$3507,$L856)&amp;" "&amp;INDEX(ポート振替表!$L$5:$L$3507,$L856)&amp;"  ⇔  "&amp;INDEX(ポート振替表!$H$5:$H$3507,$L856)&amp;" "&amp;INDEX(ポート振替表!$I$5:$I$3507,$L856))</f>
        <v/>
      </c>
      <c r="G856" s="57" t="s">
        <v>158</v>
      </c>
      <c r="H856" s="32" t="str">
        <f aca="false">IF(L856="","",INDEX(ポート振替表!$N$5:$N$3507,$L856)&amp;"")</f>
        <v/>
      </c>
      <c r="I856" s="32" t="str">
        <f aca="false">IF(L856="","",INDEX(ポート振替表!$P$5:$P$3507,$L856)&amp;"")</f>
        <v/>
      </c>
      <c r="J856" s="60" t="str">
        <f aca="false">IF(L856="","",INDEX(ポート振替表!$M$5:$M$3507,$L856)&amp;"")</f>
        <v/>
      </c>
      <c r="K856" s="52" t="str">
        <f aca="false">IF(L856="","",E856&amp;CHAR(10)&amp;INDEX(ポート振替表!$K$5:$K$3507,$L856)&amp;" "&amp;INDEX(ポート振替表!$L$5:$L$3507,$L856)&amp;CHAR(10)&amp;"⇔ "&amp;INDEX(ポート振替表!$H$5:$H$3507,$L856)&amp;" "&amp;INDEX(ポート振替表!$I$5:$I$3507,$L856))</f>
        <v/>
      </c>
      <c r="L856" s="47" t="str">
        <f aca="false">IFERROR(MATCH(ROW()-4,ポート振替表!$V$5:$V$3507,0),"")</f>
        <v/>
      </c>
    </row>
    <row r="857" customFormat="false" ht="16.4" hidden="false" customHeight="false" outlineLevel="0" collapsed="false">
      <c r="A857" s="32" t="str">
        <f aca="false">IF(L857="","",ROW()-4)</f>
        <v/>
      </c>
      <c r="B857" s="58" t="str">
        <f aca="false">IF(L857="","",IF(INDEX(ポート振替表!$W$5:$W$3507,$L857)="","(なし)",INDEX(ポート振替表!$W$5:$W$3507,$L857)&amp;""))</f>
        <v/>
      </c>
      <c r="C857" s="52" t="str">
        <f aca="false">IF(L857="","",INDEX(ポート振替表!$B$5:$B$3507,$L857)&amp;" "&amp;INDEX(ポート振替表!$C$5:$C$3507,$L857)&amp;"  ⇔  "&amp;INDEX(ポート振替表!$H$5:$H$3507,$L857)&amp;" "&amp;INDEX(ポート振替表!$I$5:$I$3507,$L857))</f>
        <v/>
      </c>
      <c r="D857" s="57" t="s">
        <v>158</v>
      </c>
      <c r="E857" s="59" t="str">
        <f aca="false">IF(L857="","",IF(INDEX(ポート振替表!$O$5:$O$3507,$L857)="","(未設定)",INDEX(ポート振替表!$O$5:$O$3507,$L857)&amp;""))</f>
        <v/>
      </c>
      <c r="F857" s="52" t="str">
        <f aca="false">IF(L857="","",INDEX(ポート振替表!$K$5:$K$3507,$L857)&amp;" "&amp;INDEX(ポート振替表!$L$5:$L$3507,$L857)&amp;"  ⇔  "&amp;INDEX(ポート振替表!$H$5:$H$3507,$L857)&amp;" "&amp;INDEX(ポート振替表!$I$5:$I$3507,$L857))</f>
        <v/>
      </c>
      <c r="G857" s="57" t="s">
        <v>158</v>
      </c>
      <c r="H857" s="32" t="str">
        <f aca="false">IF(L857="","",INDEX(ポート振替表!$N$5:$N$3507,$L857)&amp;"")</f>
        <v/>
      </c>
      <c r="I857" s="32" t="str">
        <f aca="false">IF(L857="","",INDEX(ポート振替表!$P$5:$P$3507,$L857)&amp;"")</f>
        <v/>
      </c>
      <c r="J857" s="60" t="str">
        <f aca="false">IF(L857="","",INDEX(ポート振替表!$M$5:$M$3507,$L857)&amp;"")</f>
        <v/>
      </c>
      <c r="K857" s="52" t="str">
        <f aca="false">IF(L857="","",E857&amp;CHAR(10)&amp;INDEX(ポート振替表!$K$5:$K$3507,$L857)&amp;" "&amp;INDEX(ポート振替表!$L$5:$L$3507,$L857)&amp;CHAR(10)&amp;"⇔ "&amp;INDEX(ポート振替表!$H$5:$H$3507,$L857)&amp;" "&amp;INDEX(ポート振替表!$I$5:$I$3507,$L857))</f>
        <v/>
      </c>
      <c r="L857" s="47" t="str">
        <f aca="false">IFERROR(MATCH(ROW()-4,ポート振替表!$V$5:$V$3507,0),"")</f>
        <v/>
      </c>
    </row>
    <row r="858" customFormat="false" ht="16.4" hidden="false" customHeight="false" outlineLevel="0" collapsed="false">
      <c r="A858" s="32" t="str">
        <f aca="false">IF(L858="","",ROW()-4)</f>
        <v/>
      </c>
      <c r="B858" s="58" t="str">
        <f aca="false">IF(L858="","",IF(INDEX(ポート振替表!$W$5:$W$3507,$L858)="","(なし)",INDEX(ポート振替表!$W$5:$W$3507,$L858)&amp;""))</f>
        <v/>
      </c>
      <c r="C858" s="52" t="str">
        <f aca="false">IF(L858="","",INDEX(ポート振替表!$B$5:$B$3507,$L858)&amp;" "&amp;INDEX(ポート振替表!$C$5:$C$3507,$L858)&amp;"  ⇔  "&amp;INDEX(ポート振替表!$H$5:$H$3507,$L858)&amp;" "&amp;INDEX(ポート振替表!$I$5:$I$3507,$L858))</f>
        <v/>
      </c>
      <c r="D858" s="57" t="s">
        <v>158</v>
      </c>
      <c r="E858" s="59" t="str">
        <f aca="false">IF(L858="","",IF(INDEX(ポート振替表!$O$5:$O$3507,$L858)="","(未設定)",INDEX(ポート振替表!$O$5:$O$3507,$L858)&amp;""))</f>
        <v/>
      </c>
      <c r="F858" s="52" t="str">
        <f aca="false">IF(L858="","",INDEX(ポート振替表!$K$5:$K$3507,$L858)&amp;" "&amp;INDEX(ポート振替表!$L$5:$L$3507,$L858)&amp;"  ⇔  "&amp;INDEX(ポート振替表!$H$5:$H$3507,$L858)&amp;" "&amp;INDEX(ポート振替表!$I$5:$I$3507,$L858))</f>
        <v/>
      </c>
      <c r="G858" s="57" t="s">
        <v>158</v>
      </c>
      <c r="H858" s="32" t="str">
        <f aca="false">IF(L858="","",INDEX(ポート振替表!$N$5:$N$3507,$L858)&amp;"")</f>
        <v/>
      </c>
      <c r="I858" s="32" t="str">
        <f aca="false">IF(L858="","",INDEX(ポート振替表!$P$5:$P$3507,$L858)&amp;"")</f>
        <v/>
      </c>
      <c r="J858" s="60" t="str">
        <f aca="false">IF(L858="","",INDEX(ポート振替表!$M$5:$M$3507,$L858)&amp;"")</f>
        <v/>
      </c>
      <c r="K858" s="52" t="str">
        <f aca="false">IF(L858="","",E858&amp;CHAR(10)&amp;INDEX(ポート振替表!$K$5:$K$3507,$L858)&amp;" "&amp;INDEX(ポート振替表!$L$5:$L$3507,$L858)&amp;CHAR(10)&amp;"⇔ "&amp;INDEX(ポート振替表!$H$5:$H$3507,$L858)&amp;" "&amp;INDEX(ポート振替表!$I$5:$I$3507,$L858))</f>
        <v/>
      </c>
      <c r="L858" s="47" t="str">
        <f aca="false">IFERROR(MATCH(ROW()-4,ポート振替表!$V$5:$V$3507,0),"")</f>
        <v/>
      </c>
    </row>
    <row r="859" customFormat="false" ht="16.4" hidden="false" customHeight="false" outlineLevel="0" collapsed="false">
      <c r="A859" s="32" t="str">
        <f aca="false">IF(L859="","",ROW()-4)</f>
        <v/>
      </c>
      <c r="B859" s="58" t="str">
        <f aca="false">IF(L859="","",IF(INDEX(ポート振替表!$W$5:$W$3507,$L859)="","(なし)",INDEX(ポート振替表!$W$5:$W$3507,$L859)&amp;""))</f>
        <v/>
      </c>
      <c r="C859" s="52" t="str">
        <f aca="false">IF(L859="","",INDEX(ポート振替表!$B$5:$B$3507,$L859)&amp;" "&amp;INDEX(ポート振替表!$C$5:$C$3507,$L859)&amp;"  ⇔  "&amp;INDEX(ポート振替表!$H$5:$H$3507,$L859)&amp;" "&amp;INDEX(ポート振替表!$I$5:$I$3507,$L859))</f>
        <v/>
      </c>
      <c r="D859" s="57" t="s">
        <v>158</v>
      </c>
      <c r="E859" s="59" t="str">
        <f aca="false">IF(L859="","",IF(INDEX(ポート振替表!$O$5:$O$3507,$L859)="","(未設定)",INDEX(ポート振替表!$O$5:$O$3507,$L859)&amp;""))</f>
        <v/>
      </c>
      <c r="F859" s="52" t="str">
        <f aca="false">IF(L859="","",INDEX(ポート振替表!$K$5:$K$3507,$L859)&amp;" "&amp;INDEX(ポート振替表!$L$5:$L$3507,$L859)&amp;"  ⇔  "&amp;INDEX(ポート振替表!$H$5:$H$3507,$L859)&amp;" "&amp;INDEX(ポート振替表!$I$5:$I$3507,$L859))</f>
        <v/>
      </c>
      <c r="G859" s="57" t="s">
        <v>158</v>
      </c>
      <c r="H859" s="32" t="str">
        <f aca="false">IF(L859="","",INDEX(ポート振替表!$N$5:$N$3507,$L859)&amp;"")</f>
        <v/>
      </c>
      <c r="I859" s="32" t="str">
        <f aca="false">IF(L859="","",INDEX(ポート振替表!$P$5:$P$3507,$L859)&amp;"")</f>
        <v/>
      </c>
      <c r="J859" s="60" t="str">
        <f aca="false">IF(L859="","",INDEX(ポート振替表!$M$5:$M$3507,$L859)&amp;"")</f>
        <v/>
      </c>
      <c r="K859" s="52" t="str">
        <f aca="false">IF(L859="","",E859&amp;CHAR(10)&amp;INDEX(ポート振替表!$K$5:$K$3507,$L859)&amp;" "&amp;INDEX(ポート振替表!$L$5:$L$3507,$L859)&amp;CHAR(10)&amp;"⇔ "&amp;INDEX(ポート振替表!$H$5:$H$3507,$L859)&amp;" "&amp;INDEX(ポート振替表!$I$5:$I$3507,$L859))</f>
        <v/>
      </c>
      <c r="L859" s="47" t="str">
        <f aca="false">IFERROR(MATCH(ROW()-4,ポート振替表!$V$5:$V$3507,0),"")</f>
        <v/>
      </c>
    </row>
    <row r="860" customFormat="false" ht="16.4" hidden="false" customHeight="false" outlineLevel="0" collapsed="false">
      <c r="A860" s="32" t="str">
        <f aca="false">IF(L860="","",ROW()-4)</f>
        <v/>
      </c>
      <c r="B860" s="58" t="str">
        <f aca="false">IF(L860="","",IF(INDEX(ポート振替表!$W$5:$W$3507,$L860)="","(なし)",INDEX(ポート振替表!$W$5:$W$3507,$L860)&amp;""))</f>
        <v/>
      </c>
      <c r="C860" s="52" t="str">
        <f aca="false">IF(L860="","",INDEX(ポート振替表!$B$5:$B$3507,$L860)&amp;" "&amp;INDEX(ポート振替表!$C$5:$C$3507,$L860)&amp;"  ⇔  "&amp;INDEX(ポート振替表!$H$5:$H$3507,$L860)&amp;" "&amp;INDEX(ポート振替表!$I$5:$I$3507,$L860))</f>
        <v/>
      </c>
      <c r="D860" s="57" t="s">
        <v>158</v>
      </c>
      <c r="E860" s="59" t="str">
        <f aca="false">IF(L860="","",IF(INDEX(ポート振替表!$O$5:$O$3507,$L860)="","(未設定)",INDEX(ポート振替表!$O$5:$O$3507,$L860)&amp;""))</f>
        <v/>
      </c>
      <c r="F860" s="52" t="str">
        <f aca="false">IF(L860="","",INDEX(ポート振替表!$K$5:$K$3507,$L860)&amp;" "&amp;INDEX(ポート振替表!$L$5:$L$3507,$L860)&amp;"  ⇔  "&amp;INDEX(ポート振替表!$H$5:$H$3507,$L860)&amp;" "&amp;INDEX(ポート振替表!$I$5:$I$3507,$L860))</f>
        <v/>
      </c>
      <c r="G860" s="57" t="s">
        <v>158</v>
      </c>
      <c r="H860" s="32" t="str">
        <f aca="false">IF(L860="","",INDEX(ポート振替表!$N$5:$N$3507,$L860)&amp;"")</f>
        <v/>
      </c>
      <c r="I860" s="32" t="str">
        <f aca="false">IF(L860="","",INDEX(ポート振替表!$P$5:$P$3507,$L860)&amp;"")</f>
        <v/>
      </c>
      <c r="J860" s="60" t="str">
        <f aca="false">IF(L860="","",INDEX(ポート振替表!$M$5:$M$3507,$L860)&amp;"")</f>
        <v/>
      </c>
      <c r="K860" s="52" t="str">
        <f aca="false">IF(L860="","",E860&amp;CHAR(10)&amp;INDEX(ポート振替表!$K$5:$K$3507,$L860)&amp;" "&amp;INDEX(ポート振替表!$L$5:$L$3507,$L860)&amp;CHAR(10)&amp;"⇔ "&amp;INDEX(ポート振替表!$H$5:$H$3507,$L860)&amp;" "&amp;INDEX(ポート振替表!$I$5:$I$3507,$L860))</f>
        <v/>
      </c>
      <c r="L860" s="47" t="str">
        <f aca="false">IFERROR(MATCH(ROW()-4,ポート振替表!$V$5:$V$3507,0),"")</f>
        <v/>
      </c>
    </row>
    <row r="861" customFormat="false" ht="16.4" hidden="false" customHeight="false" outlineLevel="0" collapsed="false">
      <c r="A861" s="32" t="str">
        <f aca="false">IF(L861="","",ROW()-4)</f>
        <v/>
      </c>
      <c r="B861" s="58" t="str">
        <f aca="false">IF(L861="","",IF(INDEX(ポート振替表!$W$5:$W$3507,$L861)="","(なし)",INDEX(ポート振替表!$W$5:$W$3507,$L861)&amp;""))</f>
        <v/>
      </c>
      <c r="C861" s="52" t="str">
        <f aca="false">IF(L861="","",INDEX(ポート振替表!$B$5:$B$3507,$L861)&amp;" "&amp;INDEX(ポート振替表!$C$5:$C$3507,$L861)&amp;"  ⇔  "&amp;INDEX(ポート振替表!$H$5:$H$3507,$L861)&amp;" "&amp;INDEX(ポート振替表!$I$5:$I$3507,$L861))</f>
        <v/>
      </c>
      <c r="D861" s="57" t="s">
        <v>158</v>
      </c>
      <c r="E861" s="59" t="str">
        <f aca="false">IF(L861="","",IF(INDEX(ポート振替表!$O$5:$O$3507,$L861)="","(未設定)",INDEX(ポート振替表!$O$5:$O$3507,$L861)&amp;""))</f>
        <v/>
      </c>
      <c r="F861" s="52" t="str">
        <f aca="false">IF(L861="","",INDEX(ポート振替表!$K$5:$K$3507,$L861)&amp;" "&amp;INDEX(ポート振替表!$L$5:$L$3507,$L861)&amp;"  ⇔  "&amp;INDEX(ポート振替表!$H$5:$H$3507,$L861)&amp;" "&amp;INDEX(ポート振替表!$I$5:$I$3507,$L861))</f>
        <v/>
      </c>
      <c r="G861" s="57" t="s">
        <v>158</v>
      </c>
      <c r="H861" s="32" t="str">
        <f aca="false">IF(L861="","",INDEX(ポート振替表!$N$5:$N$3507,$L861)&amp;"")</f>
        <v/>
      </c>
      <c r="I861" s="32" t="str">
        <f aca="false">IF(L861="","",INDEX(ポート振替表!$P$5:$P$3507,$L861)&amp;"")</f>
        <v/>
      </c>
      <c r="J861" s="60" t="str">
        <f aca="false">IF(L861="","",INDEX(ポート振替表!$M$5:$M$3507,$L861)&amp;"")</f>
        <v/>
      </c>
      <c r="K861" s="52" t="str">
        <f aca="false">IF(L861="","",E861&amp;CHAR(10)&amp;INDEX(ポート振替表!$K$5:$K$3507,$L861)&amp;" "&amp;INDEX(ポート振替表!$L$5:$L$3507,$L861)&amp;CHAR(10)&amp;"⇔ "&amp;INDEX(ポート振替表!$H$5:$H$3507,$L861)&amp;" "&amp;INDEX(ポート振替表!$I$5:$I$3507,$L861))</f>
        <v/>
      </c>
      <c r="L861" s="47" t="str">
        <f aca="false">IFERROR(MATCH(ROW()-4,ポート振替表!$V$5:$V$3507,0),"")</f>
        <v/>
      </c>
    </row>
    <row r="862" customFormat="false" ht="16.4" hidden="false" customHeight="false" outlineLevel="0" collapsed="false">
      <c r="A862" s="32" t="str">
        <f aca="false">IF(L862="","",ROW()-4)</f>
        <v/>
      </c>
      <c r="B862" s="58" t="str">
        <f aca="false">IF(L862="","",IF(INDEX(ポート振替表!$W$5:$W$3507,$L862)="","(なし)",INDEX(ポート振替表!$W$5:$W$3507,$L862)&amp;""))</f>
        <v/>
      </c>
      <c r="C862" s="52" t="str">
        <f aca="false">IF(L862="","",INDEX(ポート振替表!$B$5:$B$3507,$L862)&amp;" "&amp;INDEX(ポート振替表!$C$5:$C$3507,$L862)&amp;"  ⇔  "&amp;INDEX(ポート振替表!$H$5:$H$3507,$L862)&amp;" "&amp;INDEX(ポート振替表!$I$5:$I$3507,$L862))</f>
        <v/>
      </c>
      <c r="D862" s="57" t="s">
        <v>158</v>
      </c>
      <c r="E862" s="59" t="str">
        <f aca="false">IF(L862="","",IF(INDEX(ポート振替表!$O$5:$O$3507,$L862)="","(未設定)",INDEX(ポート振替表!$O$5:$O$3507,$L862)&amp;""))</f>
        <v/>
      </c>
      <c r="F862" s="52" t="str">
        <f aca="false">IF(L862="","",INDEX(ポート振替表!$K$5:$K$3507,$L862)&amp;" "&amp;INDEX(ポート振替表!$L$5:$L$3507,$L862)&amp;"  ⇔  "&amp;INDEX(ポート振替表!$H$5:$H$3507,$L862)&amp;" "&amp;INDEX(ポート振替表!$I$5:$I$3507,$L862))</f>
        <v/>
      </c>
      <c r="G862" s="57" t="s">
        <v>158</v>
      </c>
      <c r="H862" s="32" t="str">
        <f aca="false">IF(L862="","",INDEX(ポート振替表!$N$5:$N$3507,$L862)&amp;"")</f>
        <v/>
      </c>
      <c r="I862" s="32" t="str">
        <f aca="false">IF(L862="","",INDEX(ポート振替表!$P$5:$P$3507,$L862)&amp;"")</f>
        <v/>
      </c>
      <c r="J862" s="60" t="str">
        <f aca="false">IF(L862="","",INDEX(ポート振替表!$M$5:$M$3507,$L862)&amp;"")</f>
        <v/>
      </c>
      <c r="K862" s="52" t="str">
        <f aca="false">IF(L862="","",E862&amp;CHAR(10)&amp;INDEX(ポート振替表!$K$5:$K$3507,$L862)&amp;" "&amp;INDEX(ポート振替表!$L$5:$L$3507,$L862)&amp;CHAR(10)&amp;"⇔ "&amp;INDEX(ポート振替表!$H$5:$H$3507,$L862)&amp;" "&amp;INDEX(ポート振替表!$I$5:$I$3507,$L862))</f>
        <v/>
      </c>
      <c r="L862" s="47" t="str">
        <f aca="false">IFERROR(MATCH(ROW()-4,ポート振替表!$V$5:$V$3507,0),"")</f>
        <v/>
      </c>
    </row>
    <row r="863" customFormat="false" ht="16.4" hidden="false" customHeight="false" outlineLevel="0" collapsed="false">
      <c r="A863" s="32" t="str">
        <f aca="false">IF(L863="","",ROW()-4)</f>
        <v/>
      </c>
      <c r="B863" s="58" t="str">
        <f aca="false">IF(L863="","",IF(INDEX(ポート振替表!$W$5:$W$3507,$L863)="","(なし)",INDEX(ポート振替表!$W$5:$W$3507,$L863)&amp;""))</f>
        <v/>
      </c>
      <c r="C863" s="52" t="str">
        <f aca="false">IF(L863="","",INDEX(ポート振替表!$B$5:$B$3507,$L863)&amp;" "&amp;INDEX(ポート振替表!$C$5:$C$3507,$L863)&amp;"  ⇔  "&amp;INDEX(ポート振替表!$H$5:$H$3507,$L863)&amp;" "&amp;INDEX(ポート振替表!$I$5:$I$3507,$L863))</f>
        <v/>
      </c>
      <c r="D863" s="57" t="s">
        <v>158</v>
      </c>
      <c r="E863" s="59" t="str">
        <f aca="false">IF(L863="","",IF(INDEX(ポート振替表!$O$5:$O$3507,$L863)="","(未設定)",INDEX(ポート振替表!$O$5:$O$3507,$L863)&amp;""))</f>
        <v/>
      </c>
      <c r="F863" s="52" t="str">
        <f aca="false">IF(L863="","",INDEX(ポート振替表!$K$5:$K$3507,$L863)&amp;" "&amp;INDEX(ポート振替表!$L$5:$L$3507,$L863)&amp;"  ⇔  "&amp;INDEX(ポート振替表!$H$5:$H$3507,$L863)&amp;" "&amp;INDEX(ポート振替表!$I$5:$I$3507,$L863))</f>
        <v/>
      </c>
      <c r="G863" s="57" t="s">
        <v>158</v>
      </c>
      <c r="H863" s="32" t="str">
        <f aca="false">IF(L863="","",INDEX(ポート振替表!$N$5:$N$3507,$L863)&amp;"")</f>
        <v/>
      </c>
      <c r="I863" s="32" t="str">
        <f aca="false">IF(L863="","",INDEX(ポート振替表!$P$5:$P$3507,$L863)&amp;"")</f>
        <v/>
      </c>
      <c r="J863" s="60" t="str">
        <f aca="false">IF(L863="","",INDEX(ポート振替表!$M$5:$M$3507,$L863)&amp;"")</f>
        <v/>
      </c>
      <c r="K863" s="52" t="str">
        <f aca="false">IF(L863="","",E863&amp;CHAR(10)&amp;INDEX(ポート振替表!$K$5:$K$3507,$L863)&amp;" "&amp;INDEX(ポート振替表!$L$5:$L$3507,$L863)&amp;CHAR(10)&amp;"⇔ "&amp;INDEX(ポート振替表!$H$5:$H$3507,$L863)&amp;" "&amp;INDEX(ポート振替表!$I$5:$I$3507,$L863))</f>
        <v/>
      </c>
      <c r="L863" s="47" t="str">
        <f aca="false">IFERROR(MATCH(ROW()-4,ポート振替表!$V$5:$V$3507,0),"")</f>
        <v/>
      </c>
    </row>
    <row r="864" customFormat="false" ht="16.4" hidden="false" customHeight="false" outlineLevel="0" collapsed="false">
      <c r="A864" s="32" t="str">
        <f aca="false">IF(L864="","",ROW()-4)</f>
        <v/>
      </c>
      <c r="B864" s="58" t="str">
        <f aca="false">IF(L864="","",IF(INDEX(ポート振替表!$W$5:$W$3507,$L864)="","(なし)",INDEX(ポート振替表!$W$5:$W$3507,$L864)&amp;""))</f>
        <v/>
      </c>
      <c r="C864" s="52" t="str">
        <f aca="false">IF(L864="","",INDEX(ポート振替表!$B$5:$B$3507,$L864)&amp;" "&amp;INDEX(ポート振替表!$C$5:$C$3507,$L864)&amp;"  ⇔  "&amp;INDEX(ポート振替表!$H$5:$H$3507,$L864)&amp;" "&amp;INDEX(ポート振替表!$I$5:$I$3507,$L864))</f>
        <v/>
      </c>
      <c r="D864" s="57" t="s">
        <v>158</v>
      </c>
      <c r="E864" s="59" t="str">
        <f aca="false">IF(L864="","",IF(INDEX(ポート振替表!$O$5:$O$3507,$L864)="","(未設定)",INDEX(ポート振替表!$O$5:$O$3507,$L864)&amp;""))</f>
        <v/>
      </c>
      <c r="F864" s="52" t="str">
        <f aca="false">IF(L864="","",INDEX(ポート振替表!$K$5:$K$3507,$L864)&amp;" "&amp;INDEX(ポート振替表!$L$5:$L$3507,$L864)&amp;"  ⇔  "&amp;INDEX(ポート振替表!$H$5:$H$3507,$L864)&amp;" "&amp;INDEX(ポート振替表!$I$5:$I$3507,$L864))</f>
        <v/>
      </c>
      <c r="G864" s="57" t="s">
        <v>158</v>
      </c>
      <c r="H864" s="32" t="str">
        <f aca="false">IF(L864="","",INDEX(ポート振替表!$N$5:$N$3507,$L864)&amp;"")</f>
        <v/>
      </c>
      <c r="I864" s="32" t="str">
        <f aca="false">IF(L864="","",INDEX(ポート振替表!$P$5:$P$3507,$L864)&amp;"")</f>
        <v/>
      </c>
      <c r="J864" s="60" t="str">
        <f aca="false">IF(L864="","",INDEX(ポート振替表!$M$5:$M$3507,$L864)&amp;"")</f>
        <v/>
      </c>
      <c r="K864" s="52" t="str">
        <f aca="false">IF(L864="","",E864&amp;CHAR(10)&amp;INDEX(ポート振替表!$K$5:$K$3507,$L864)&amp;" "&amp;INDEX(ポート振替表!$L$5:$L$3507,$L864)&amp;CHAR(10)&amp;"⇔ "&amp;INDEX(ポート振替表!$H$5:$H$3507,$L864)&amp;" "&amp;INDEX(ポート振替表!$I$5:$I$3507,$L864))</f>
        <v/>
      </c>
      <c r="L864" s="47" t="str">
        <f aca="false">IFERROR(MATCH(ROW()-4,ポート振替表!$V$5:$V$3507,0),"")</f>
        <v/>
      </c>
    </row>
    <row r="865" customFormat="false" ht="16.4" hidden="false" customHeight="false" outlineLevel="0" collapsed="false">
      <c r="A865" s="32" t="str">
        <f aca="false">IF(L865="","",ROW()-4)</f>
        <v/>
      </c>
      <c r="B865" s="58" t="str">
        <f aca="false">IF(L865="","",IF(INDEX(ポート振替表!$W$5:$W$3507,$L865)="","(なし)",INDEX(ポート振替表!$W$5:$W$3507,$L865)&amp;""))</f>
        <v/>
      </c>
      <c r="C865" s="52" t="str">
        <f aca="false">IF(L865="","",INDEX(ポート振替表!$B$5:$B$3507,$L865)&amp;" "&amp;INDEX(ポート振替表!$C$5:$C$3507,$L865)&amp;"  ⇔  "&amp;INDEX(ポート振替表!$H$5:$H$3507,$L865)&amp;" "&amp;INDEX(ポート振替表!$I$5:$I$3507,$L865))</f>
        <v/>
      </c>
      <c r="D865" s="57" t="s">
        <v>158</v>
      </c>
      <c r="E865" s="59" t="str">
        <f aca="false">IF(L865="","",IF(INDEX(ポート振替表!$O$5:$O$3507,$L865)="","(未設定)",INDEX(ポート振替表!$O$5:$O$3507,$L865)&amp;""))</f>
        <v/>
      </c>
      <c r="F865" s="52" t="str">
        <f aca="false">IF(L865="","",INDEX(ポート振替表!$K$5:$K$3507,$L865)&amp;" "&amp;INDEX(ポート振替表!$L$5:$L$3507,$L865)&amp;"  ⇔  "&amp;INDEX(ポート振替表!$H$5:$H$3507,$L865)&amp;" "&amp;INDEX(ポート振替表!$I$5:$I$3507,$L865))</f>
        <v/>
      </c>
      <c r="G865" s="57" t="s">
        <v>158</v>
      </c>
      <c r="H865" s="32" t="str">
        <f aca="false">IF(L865="","",INDEX(ポート振替表!$N$5:$N$3507,$L865)&amp;"")</f>
        <v/>
      </c>
      <c r="I865" s="32" t="str">
        <f aca="false">IF(L865="","",INDEX(ポート振替表!$P$5:$P$3507,$L865)&amp;"")</f>
        <v/>
      </c>
      <c r="J865" s="60" t="str">
        <f aca="false">IF(L865="","",INDEX(ポート振替表!$M$5:$M$3507,$L865)&amp;"")</f>
        <v/>
      </c>
      <c r="K865" s="52" t="str">
        <f aca="false">IF(L865="","",E865&amp;CHAR(10)&amp;INDEX(ポート振替表!$K$5:$K$3507,$L865)&amp;" "&amp;INDEX(ポート振替表!$L$5:$L$3507,$L865)&amp;CHAR(10)&amp;"⇔ "&amp;INDEX(ポート振替表!$H$5:$H$3507,$L865)&amp;" "&amp;INDEX(ポート振替表!$I$5:$I$3507,$L865))</f>
        <v/>
      </c>
      <c r="L865" s="47" t="str">
        <f aca="false">IFERROR(MATCH(ROW()-4,ポート振替表!$V$5:$V$3507,0),"")</f>
        <v/>
      </c>
    </row>
    <row r="866" customFormat="false" ht="16.4" hidden="false" customHeight="false" outlineLevel="0" collapsed="false">
      <c r="A866" s="32" t="str">
        <f aca="false">IF(L866="","",ROW()-4)</f>
        <v/>
      </c>
      <c r="B866" s="58" t="str">
        <f aca="false">IF(L866="","",IF(INDEX(ポート振替表!$W$5:$W$3507,$L866)="","(なし)",INDEX(ポート振替表!$W$5:$W$3507,$L866)&amp;""))</f>
        <v/>
      </c>
      <c r="C866" s="52" t="str">
        <f aca="false">IF(L866="","",INDEX(ポート振替表!$B$5:$B$3507,$L866)&amp;" "&amp;INDEX(ポート振替表!$C$5:$C$3507,$L866)&amp;"  ⇔  "&amp;INDEX(ポート振替表!$H$5:$H$3507,$L866)&amp;" "&amp;INDEX(ポート振替表!$I$5:$I$3507,$L866))</f>
        <v/>
      </c>
      <c r="D866" s="57" t="s">
        <v>158</v>
      </c>
      <c r="E866" s="59" t="str">
        <f aca="false">IF(L866="","",IF(INDEX(ポート振替表!$O$5:$O$3507,$L866)="","(未設定)",INDEX(ポート振替表!$O$5:$O$3507,$L866)&amp;""))</f>
        <v/>
      </c>
      <c r="F866" s="52" t="str">
        <f aca="false">IF(L866="","",INDEX(ポート振替表!$K$5:$K$3507,$L866)&amp;" "&amp;INDEX(ポート振替表!$L$5:$L$3507,$L866)&amp;"  ⇔  "&amp;INDEX(ポート振替表!$H$5:$H$3507,$L866)&amp;" "&amp;INDEX(ポート振替表!$I$5:$I$3507,$L866))</f>
        <v/>
      </c>
      <c r="G866" s="57" t="s">
        <v>158</v>
      </c>
      <c r="H866" s="32" t="str">
        <f aca="false">IF(L866="","",INDEX(ポート振替表!$N$5:$N$3507,$L866)&amp;"")</f>
        <v/>
      </c>
      <c r="I866" s="32" t="str">
        <f aca="false">IF(L866="","",INDEX(ポート振替表!$P$5:$P$3507,$L866)&amp;"")</f>
        <v/>
      </c>
      <c r="J866" s="60" t="str">
        <f aca="false">IF(L866="","",INDEX(ポート振替表!$M$5:$M$3507,$L866)&amp;"")</f>
        <v/>
      </c>
      <c r="K866" s="52" t="str">
        <f aca="false">IF(L866="","",E866&amp;CHAR(10)&amp;INDEX(ポート振替表!$K$5:$K$3507,$L866)&amp;" "&amp;INDEX(ポート振替表!$L$5:$L$3507,$L866)&amp;CHAR(10)&amp;"⇔ "&amp;INDEX(ポート振替表!$H$5:$H$3507,$L866)&amp;" "&amp;INDEX(ポート振替表!$I$5:$I$3507,$L866))</f>
        <v/>
      </c>
      <c r="L866" s="47" t="str">
        <f aca="false">IFERROR(MATCH(ROW()-4,ポート振替表!$V$5:$V$3507,0),"")</f>
        <v/>
      </c>
    </row>
    <row r="867" customFormat="false" ht="16.4" hidden="false" customHeight="false" outlineLevel="0" collapsed="false">
      <c r="A867" s="32" t="str">
        <f aca="false">IF(L867="","",ROW()-4)</f>
        <v/>
      </c>
      <c r="B867" s="58" t="str">
        <f aca="false">IF(L867="","",IF(INDEX(ポート振替表!$W$5:$W$3507,$L867)="","(なし)",INDEX(ポート振替表!$W$5:$W$3507,$L867)&amp;""))</f>
        <v/>
      </c>
      <c r="C867" s="52" t="str">
        <f aca="false">IF(L867="","",INDEX(ポート振替表!$B$5:$B$3507,$L867)&amp;" "&amp;INDEX(ポート振替表!$C$5:$C$3507,$L867)&amp;"  ⇔  "&amp;INDEX(ポート振替表!$H$5:$H$3507,$L867)&amp;" "&amp;INDEX(ポート振替表!$I$5:$I$3507,$L867))</f>
        <v/>
      </c>
      <c r="D867" s="57" t="s">
        <v>158</v>
      </c>
      <c r="E867" s="59" t="str">
        <f aca="false">IF(L867="","",IF(INDEX(ポート振替表!$O$5:$O$3507,$L867)="","(未設定)",INDEX(ポート振替表!$O$5:$O$3507,$L867)&amp;""))</f>
        <v/>
      </c>
      <c r="F867" s="52" t="str">
        <f aca="false">IF(L867="","",INDEX(ポート振替表!$K$5:$K$3507,$L867)&amp;" "&amp;INDEX(ポート振替表!$L$5:$L$3507,$L867)&amp;"  ⇔  "&amp;INDEX(ポート振替表!$H$5:$H$3507,$L867)&amp;" "&amp;INDEX(ポート振替表!$I$5:$I$3507,$L867))</f>
        <v/>
      </c>
      <c r="G867" s="57" t="s">
        <v>158</v>
      </c>
      <c r="H867" s="32" t="str">
        <f aca="false">IF(L867="","",INDEX(ポート振替表!$N$5:$N$3507,$L867)&amp;"")</f>
        <v/>
      </c>
      <c r="I867" s="32" t="str">
        <f aca="false">IF(L867="","",INDEX(ポート振替表!$P$5:$P$3507,$L867)&amp;"")</f>
        <v/>
      </c>
      <c r="J867" s="60" t="str">
        <f aca="false">IF(L867="","",INDEX(ポート振替表!$M$5:$M$3507,$L867)&amp;"")</f>
        <v/>
      </c>
      <c r="K867" s="52" t="str">
        <f aca="false">IF(L867="","",E867&amp;CHAR(10)&amp;INDEX(ポート振替表!$K$5:$K$3507,$L867)&amp;" "&amp;INDEX(ポート振替表!$L$5:$L$3507,$L867)&amp;CHAR(10)&amp;"⇔ "&amp;INDEX(ポート振替表!$H$5:$H$3507,$L867)&amp;" "&amp;INDEX(ポート振替表!$I$5:$I$3507,$L867))</f>
        <v/>
      </c>
      <c r="L867" s="47" t="str">
        <f aca="false">IFERROR(MATCH(ROW()-4,ポート振替表!$V$5:$V$3507,0),"")</f>
        <v/>
      </c>
    </row>
    <row r="868" customFormat="false" ht="16.4" hidden="false" customHeight="false" outlineLevel="0" collapsed="false">
      <c r="A868" s="32" t="str">
        <f aca="false">IF(L868="","",ROW()-4)</f>
        <v/>
      </c>
      <c r="B868" s="58" t="str">
        <f aca="false">IF(L868="","",IF(INDEX(ポート振替表!$W$5:$W$3507,$L868)="","(なし)",INDEX(ポート振替表!$W$5:$W$3507,$L868)&amp;""))</f>
        <v/>
      </c>
      <c r="C868" s="52" t="str">
        <f aca="false">IF(L868="","",INDEX(ポート振替表!$B$5:$B$3507,$L868)&amp;" "&amp;INDEX(ポート振替表!$C$5:$C$3507,$L868)&amp;"  ⇔  "&amp;INDEX(ポート振替表!$H$5:$H$3507,$L868)&amp;" "&amp;INDEX(ポート振替表!$I$5:$I$3507,$L868))</f>
        <v/>
      </c>
      <c r="D868" s="57" t="s">
        <v>158</v>
      </c>
      <c r="E868" s="59" t="str">
        <f aca="false">IF(L868="","",IF(INDEX(ポート振替表!$O$5:$O$3507,$L868)="","(未設定)",INDEX(ポート振替表!$O$5:$O$3507,$L868)&amp;""))</f>
        <v/>
      </c>
      <c r="F868" s="52" t="str">
        <f aca="false">IF(L868="","",INDEX(ポート振替表!$K$5:$K$3507,$L868)&amp;" "&amp;INDEX(ポート振替表!$L$5:$L$3507,$L868)&amp;"  ⇔  "&amp;INDEX(ポート振替表!$H$5:$H$3507,$L868)&amp;" "&amp;INDEX(ポート振替表!$I$5:$I$3507,$L868))</f>
        <v/>
      </c>
      <c r="G868" s="57" t="s">
        <v>158</v>
      </c>
      <c r="H868" s="32" t="str">
        <f aca="false">IF(L868="","",INDEX(ポート振替表!$N$5:$N$3507,$L868)&amp;"")</f>
        <v/>
      </c>
      <c r="I868" s="32" t="str">
        <f aca="false">IF(L868="","",INDEX(ポート振替表!$P$5:$P$3507,$L868)&amp;"")</f>
        <v/>
      </c>
      <c r="J868" s="60" t="str">
        <f aca="false">IF(L868="","",INDEX(ポート振替表!$M$5:$M$3507,$L868)&amp;"")</f>
        <v/>
      </c>
      <c r="K868" s="52" t="str">
        <f aca="false">IF(L868="","",E868&amp;CHAR(10)&amp;INDEX(ポート振替表!$K$5:$K$3507,$L868)&amp;" "&amp;INDEX(ポート振替表!$L$5:$L$3507,$L868)&amp;CHAR(10)&amp;"⇔ "&amp;INDEX(ポート振替表!$H$5:$H$3507,$L868)&amp;" "&amp;INDEX(ポート振替表!$I$5:$I$3507,$L868))</f>
        <v/>
      </c>
      <c r="L868" s="47" t="str">
        <f aca="false">IFERROR(MATCH(ROW()-4,ポート振替表!$V$5:$V$3507,0),"")</f>
        <v/>
      </c>
    </row>
    <row r="869" customFormat="false" ht="16.4" hidden="false" customHeight="false" outlineLevel="0" collapsed="false">
      <c r="A869" s="32" t="str">
        <f aca="false">IF(L869="","",ROW()-4)</f>
        <v/>
      </c>
      <c r="B869" s="58" t="str">
        <f aca="false">IF(L869="","",IF(INDEX(ポート振替表!$W$5:$W$3507,$L869)="","(なし)",INDEX(ポート振替表!$W$5:$W$3507,$L869)&amp;""))</f>
        <v/>
      </c>
      <c r="C869" s="52" t="str">
        <f aca="false">IF(L869="","",INDEX(ポート振替表!$B$5:$B$3507,$L869)&amp;" "&amp;INDEX(ポート振替表!$C$5:$C$3507,$L869)&amp;"  ⇔  "&amp;INDEX(ポート振替表!$H$5:$H$3507,$L869)&amp;" "&amp;INDEX(ポート振替表!$I$5:$I$3507,$L869))</f>
        <v/>
      </c>
      <c r="D869" s="57" t="s">
        <v>158</v>
      </c>
      <c r="E869" s="59" t="str">
        <f aca="false">IF(L869="","",IF(INDEX(ポート振替表!$O$5:$O$3507,$L869)="","(未設定)",INDEX(ポート振替表!$O$5:$O$3507,$L869)&amp;""))</f>
        <v/>
      </c>
      <c r="F869" s="52" t="str">
        <f aca="false">IF(L869="","",INDEX(ポート振替表!$K$5:$K$3507,$L869)&amp;" "&amp;INDEX(ポート振替表!$L$5:$L$3507,$L869)&amp;"  ⇔  "&amp;INDEX(ポート振替表!$H$5:$H$3507,$L869)&amp;" "&amp;INDEX(ポート振替表!$I$5:$I$3507,$L869))</f>
        <v/>
      </c>
      <c r="G869" s="57" t="s">
        <v>158</v>
      </c>
      <c r="H869" s="32" t="str">
        <f aca="false">IF(L869="","",INDEX(ポート振替表!$N$5:$N$3507,$L869)&amp;"")</f>
        <v/>
      </c>
      <c r="I869" s="32" t="str">
        <f aca="false">IF(L869="","",INDEX(ポート振替表!$P$5:$P$3507,$L869)&amp;"")</f>
        <v/>
      </c>
      <c r="J869" s="60" t="str">
        <f aca="false">IF(L869="","",INDEX(ポート振替表!$M$5:$M$3507,$L869)&amp;"")</f>
        <v/>
      </c>
      <c r="K869" s="52" t="str">
        <f aca="false">IF(L869="","",E869&amp;CHAR(10)&amp;INDEX(ポート振替表!$K$5:$K$3507,$L869)&amp;" "&amp;INDEX(ポート振替表!$L$5:$L$3507,$L869)&amp;CHAR(10)&amp;"⇔ "&amp;INDEX(ポート振替表!$H$5:$H$3507,$L869)&amp;" "&amp;INDEX(ポート振替表!$I$5:$I$3507,$L869))</f>
        <v/>
      </c>
      <c r="L869" s="47" t="str">
        <f aca="false">IFERROR(MATCH(ROW()-4,ポート振替表!$V$5:$V$3507,0),"")</f>
        <v/>
      </c>
    </row>
    <row r="870" customFormat="false" ht="16.4" hidden="false" customHeight="false" outlineLevel="0" collapsed="false">
      <c r="A870" s="32" t="str">
        <f aca="false">IF(L870="","",ROW()-4)</f>
        <v/>
      </c>
      <c r="B870" s="58" t="str">
        <f aca="false">IF(L870="","",IF(INDEX(ポート振替表!$W$5:$W$3507,$L870)="","(なし)",INDEX(ポート振替表!$W$5:$W$3507,$L870)&amp;""))</f>
        <v/>
      </c>
      <c r="C870" s="52" t="str">
        <f aca="false">IF(L870="","",INDEX(ポート振替表!$B$5:$B$3507,$L870)&amp;" "&amp;INDEX(ポート振替表!$C$5:$C$3507,$L870)&amp;"  ⇔  "&amp;INDEX(ポート振替表!$H$5:$H$3507,$L870)&amp;" "&amp;INDEX(ポート振替表!$I$5:$I$3507,$L870))</f>
        <v/>
      </c>
      <c r="D870" s="57" t="s">
        <v>158</v>
      </c>
      <c r="E870" s="59" t="str">
        <f aca="false">IF(L870="","",IF(INDEX(ポート振替表!$O$5:$O$3507,$L870)="","(未設定)",INDEX(ポート振替表!$O$5:$O$3507,$L870)&amp;""))</f>
        <v/>
      </c>
      <c r="F870" s="52" t="str">
        <f aca="false">IF(L870="","",INDEX(ポート振替表!$K$5:$K$3507,$L870)&amp;" "&amp;INDEX(ポート振替表!$L$5:$L$3507,$L870)&amp;"  ⇔  "&amp;INDEX(ポート振替表!$H$5:$H$3507,$L870)&amp;" "&amp;INDEX(ポート振替表!$I$5:$I$3507,$L870))</f>
        <v/>
      </c>
      <c r="G870" s="57" t="s">
        <v>158</v>
      </c>
      <c r="H870" s="32" t="str">
        <f aca="false">IF(L870="","",INDEX(ポート振替表!$N$5:$N$3507,$L870)&amp;"")</f>
        <v/>
      </c>
      <c r="I870" s="32" t="str">
        <f aca="false">IF(L870="","",INDEX(ポート振替表!$P$5:$P$3507,$L870)&amp;"")</f>
        <v/>
      </c>
      <c r="J870" s="60" t="str">
        <f aca="false">IF(L870="","",INDEX(ポート振替表!$M$5:$M$3507,$L870)&amp;"")</f>
        <v/>
      </c>
      <c r="K870" s="52" t="str">
        <f aca="false">IF(L870="","",E870&amp;CHAR(10)&amp;INDEX(ポート振替表!$K$5:$K$3507,$L870)&amp;" "&amp;INDEX(ポート振替表!$L$5:$L$3507,$L870)&amp;CHAR(10)&amp;"⇔ "&amp;INDEX(ポート振替表!$H$5:$H$3507,$L870)&amp;" "&amp;INDEX(ポート振替表!$I$5:$I$3507,$L870))</f>
        <v/>
      </c>
      <c r="L870" s="47" t="str">
        <f aca="false">IFERROR(MATCH(ROW()-4,ポート振替表!$V$5:$V$3507,0),"")</f>
        <v/>
      </c>
    </row>
    <row r="871" customFormat="false" ht="16.4" hidden="false" customHeight="false" outlineLevel="0" collapsed="false">
      <c r="A871" s="32" t="str">
        <f aca="false">IF(L871="","",ROW()-4)</f>
        <v/>
      </c>
      <c r="B871" s="58" t="str">
        <f aca="false">IF(L871="","",IF(INDEX(ポート振替表!$W$5:$W$3507,$L871)="","(なし)",INDEX(ポート振替表!$W$5:$W$3507,$L871)&amp;""))</f>
        <v/>
      </c>
      <c r="C871" s="52" t="str">
        <f aca="false">IF(L871="","",INDEX(ポート振替表!$B$5:$B$3507,$L871)&amp;" "&amp;INDEX(ポート振替表!$C$5:$C$3507,$L871)&amp;"  ⇔  "&amp;INDEX(ポート振替表!$H$5:$H$3507,$L871)&amp;" "&amp;INDEX(ポート振替表!$I$5:$I$3507,$L871))</f>
        <v/>
      </c>
      <c r="D871" s="57" t="s">
        <v>158</v>
      </c>
      <c r="E871" s="59" t="str">
        <f aca="false">IF(L871="","",IF(INDEX(ポート振替表!$O$5:$O$3507,$L871)="","(未設定)",INDEX(ポート振替表!$O$5:$O$3507,$L871)&amp;""))</f>
        <v/>
      </c>
      <c r="F871" s="52" t="str">
        <f aca="false">IF(L871="","",INDEX(ポート振替表!$K$5:$K$3507,$L871)&amp;" "&amp;INDEX(ポート振替表!$L$5:$L$3507,$L871)&amp;"  ⇔  "&amp;INDEX(ポート振替表!$H$5:$H$3507,$L871)&amp;" "&amp;INDEX(ポート振替表!$I$5:$I$3507,$L871))</f>
        <v/>
      </c>
      <c r="G871" s="57" t="s">
        <v>158</v>
      </c>
      <c r="H871" s="32" t="str">
        <f aca="false">IF(L871="","",INDEX(ポート振替表!$N$5:$N$3507,$L871)&amp;"")</f>
        <v/>
      </c>
      <c r="I871" s="32" t="str">
        <f aca="false">IF(L871="","",INDEX(ポート振替表!$P$5:$P$3507,$L871)&amp;"")</f>
        <v/>
      </c>
      <c r="J871" s="60" t="str">
        <f aca="false">IF(L871="","",INDEX(ポート振替表!$M$5:$M$3507,$L871)&amp;"")</f>
        <v/>
      </c>
      <c r="K871" s="52" t="str">
        <f aca="false">IF(L871="","",E871&amp;CHAR(10)&amp;INDEX(ポート振替表!$K$5:$K$3507,$L871)&amp;" "&amp;INDEX(ポート振替表!$L$5:$L$3507,$L871)&amp;CHAR(10)&amp;"⇔ "&amp;INDEX(ポート振替表!$H$5:$H$3507,$L871)&amp;" "&amp;INDEX(ポート振替表!$I$5:$I$3507,$L871))</f>
        <v/>
      </c>
      <c r="L871" s="47" t="str">
        <f aca="false">IFERROR(MATCH(ROW()-4,ポート振替表!$V$5:$V$3507,0),"")</f>
        <v/>
      </c>
    </row>
    <row r="872" customFormat="false" ht="16.4" hidden="false" customHeight="false" outlineLevel="0" collapsed="false">
      <c r="A872" s="32" t="str">
        <f aca="false">IF(L872="","",ROW()-4)</f>
        <v/>
      </c>
      <c r="B872" s="58" t="str">
        <f aca="false">IF(L872="","",IF(INDEX(ポート振替表!$W$5:$W$3507,$L872)="","(なし)",INDEX(ポート振替表!$W$5:$W$3507,$L872)&amp;""))</f>
        <v/>
      </c>
      <c r="C872" s="52" t="str">
        <f aca="false">IF(L872="","",INDEX(ポート振替表!$B$5:$B$3507,$L872)&amp;" "&amp;INDEX(ポート振替表!$C$5:$C$3507,$L872)&amp;"  ⇔  "&amp;INDEX(ポート振替表!$H$5:$H$3507,$L872)&amp;" "&amp;INDEX(ポート振替表!$I$5:$I$3507,$L872))</f>
        <v/>
      </c>
      <c r="D872" s="57" t="s">
        <v>158</v>
      </c>
      <c r="E872" s="59" t="str">
        <f aca="false">IF(L872="","",IF(INDEX(ポート振替表!$O$5:$O$3507,$L872)="","(未設定)",INDEX(ポート振替表!$O$5:$O$3507,$L872)&amp;""))</f>
        <v/>
      </c>
      <c r="F872" s="52" t="str">
        <f aca="false">IF(L872="","",INDEX(ポート振替表!$K$5:$K$3507,$L872)&amp;" "&amp;INDEX(ポート振替表!$L$5:$L$3507,$L872)&amp;"  ⇔  "&amp;INDEX(ポート振替表!$H$5:$H$3507,$L872)&amp;" "&amp;INDEX(ポート振替表!$I$5:$I$3507,$L872))</f>
        <v/>
      </c>
      <c r="G872" s="57" t="s">
        <v>158</v>
      </c>
      <c r="H872" s="32" t="str">
        <f aca="false">IF(L872="","",INDEX(ポート振替表!$N$5:$N$3507,$L872)&amp;"")</f>
        <v/>
      </c>
      <c r="I872" s="32" t="str">
        <f aca="false">IF(L872="","",INDEX(ポート振替表!$P$5:$P$3507,$L872)&amp;"")</f>
        <v/>
      </c>
      <c r="J872" s="60" t="str">
        <f aca="false">IF(L872="","",INDEX(ポート振替表!$M$5:$M$3507,$L872)&amp;"")</f>
        <v/>
      </c>
      <c r="K872" s="52" t="str">
        <f aca="false">IF(L872="","",E872&amp;CHAR(10)&amp;INDEX(ポート振替表!$K$5:$K$3507,$L872)&amp;" "&amp;INDEX(ポート振替表!$L$5:$L$3507,$L872)&amp;CHAR(10)&amp;"⇔ "&amp;INDEX(ポート振替表!$H$5:$H$3507,$L872)&amp;" "&amp;INDEX(ポート振替表!$I$5:$I$3507,$L872))</f>
        <v/>
      </c>
      <c r="L872" s="47" t="str">
        <f aca="false">IFERROR(MATCH(ROW()-4,ポート振替表!$V$5:$V$3507,0),"")</f>
        <v/>
      </c>
    </row>
    <row r="873" customFormat="false" ht="16.4" hidden="false" customHeight="false" outlineLevel="0" collapsed="false">
      <c r="A873" s="32" t="str">
        <f aca="false">IF(L873="","",ROW()-4)</f>
        <v/>
      </c>
      <c r="B873" s="58" t="str">
        <f aca="false">IF(L873="","",IF(INDEX(ポート振替表!$W$5:$W$3507,$L873)="","(なし)",INDEX(ポート振替表!$W$5:$W$3507,$L873)&amp;""))</f>
        <v/>
      </c>
      <c r="C873" s="52" t="str">
        <f aca="false">IF(L873="","",INDEX(ポート振替表!$B$5:$B$3507,$L873)&amp;" "&amp;INDEX(ポート振替表!$C$5:$C$3507,$L873)&amp;"  ⇔  "&amp;INDEX(ポート振替表!$H$5:$H$3507,$L873)&amp;" "&amp;INDEX(ポート振替表!$I$5:$I$3507,$L873))</f>
        <v/>
      </c>
      <c r="D873" s="57" t="s">
        <v>158</v>
      </c>
      <c r="E873" s="59" t="str">
        <f aca="false">IF(L873="","",IF(INDEX(ポート振替表!$O$5:$O$3507,$L873)="","(未設定)",INDEX(ポート振替表!$O$5:$O$3507,$L873)&amp;""))</f>
        <v/>
      </c>
      <c r="F873" s="52" t="str">
        <f aca="false">IF(L873="","",INDEX(ポート振替表!$K$5:$K$3507,$L873)&amp;" "&amp;INDEX(ポート振替表!$L$5:$L$3507,$L873)&amp;"  ⇔  "&amp;INDEX(ポート振替表!$H$5:$H$3507,$L873)&amp;" "&amp;INDEX(ポート振替表!$I$5:$I$3507,$L873))</f>
        <v/>
      </c>
      <c r="G873" s="57" t="s">
        <v>158</v>
      </c>
      <c r="H873" s="32" t="str">
        <f aca="false">IF(L873="","",INDEX(ポート振替表!$N$5:$N$3507,$L873)&amp;"")</f>
        <v/>
      </c>
      <c r="I873" s="32" t="str">
        <f aca="false">IF(L873="","",INDEX(ポート振替表!$P$5:$P$3507,$L873)&amp;"")</f>
        <v/>
      </c>
      <c r="J873" s="60" t="str">
        <f aca="false">IF(L873="","",INDEX(ポート振替表!$M$5:$M$3507,$L873)&amp;"")</f>
        <v/>
      </c>
      <c r="K873" s="52" t="str">
        <f aca="false">IF(L873="","",E873&amp;CHAR(10)&amp;INDEX(ポート振替表!$K$5:$K$3507,$L873)&amp;" "&amp;INDEX(ポート振替表!$L$5:$L$3507,$L873)&amp;CHAR(10)&amp;"⇔ "&amp;INDEX(ポート振替表!$H$5:$H$3507,$L873)&amp;" "&amp;INDEX(ポート振替表!$I$5:$I$3507,$L873))</f>
        <v/>
      </c>
      <c r="L873" s="47" t="str">
        <f aca="false">IFERROR(MATCH(ROW()-4,ポート振替表!$V$5:$V$3507,0),"")</f>
        <v/>
      </c>
    </row>
    <row r="874" customFormat="false" ht="16.4" hidden="false" customHeight="false" outlineLevel="0" collapsed="false">
      <c r="A874" s="32" t="str">
        <f aca="false">IF(L874="","",ROW()-4)</f>
        <v/>
      </c>
      <c r="B874" s="58" t="str">
        <f aca="false">IF(L874="","",IF(INDEX(ポート振替表!$W$5:$W$3507,$L874)="","(なし)",INDEX(ポート振替表!$W$5:$W$3507,$L874)&amp;""))</f>
        <v/>
      </c>
      <c r="C874" s="52" t="str">
        <f aca="false">IF(L874="","",INDEX(ポート振替表!$B$5:$B$3507,$L874)&amp;" "&amp;INDEX(ポート振替表!$C$5:$C$3507,$L874)&amp;"  ⇔  "&amp;INDEX(ポート振替表!$H$5:$H$3507,$L874)&amp;" "&amp;INDEX(ポート振替表!$I$5:$I$3507,$L874))</f>
        <v/>
      </c>
      <c r="D874" s="57" t="s">
        <v>158</v>
      </c>
      <c r="E874" s="59" t="str">
        <f aca="false">IF(L874="","",IF(INDEX(ポート振替表!$O$5:$O$3507,$L874)="","(未設定)",INDEX(ポート振替表!$O$5:$O$3507,$L874)&amp;""))</f>
        <v/>
      </c>
      <c r="F874" s="52" t="str">
        <f aca="false">IF(L874="","",INDEX(ポート振替表!$K$5:$K$3507,$L874)&amp;" "&amp;INDEX(ポート振替表!$L$5:$L$3507,$L874)&amp;"  ⇔  "&amp;INDEX(ポート振替表!$H$5:$H$3507,$L874)&amp;" "&amp;INDEX(ポート振替表!$I$5:$I$3507,$L874))</f>
        <v/>
      </c>
      <c r="G874" s="57" t="s">
        <v>158</v>
      </c>
      <c r="H874" s="32" t="str">
        <f aca="false">IF(L874="","",INDEX(ポート振替表!$N$5:$N$3507,$L874)&amp;"")</f>
        <v/>
      </c>
      <c r="I874" s="32" t="str">
        <f aca="false">IF(L874="","",INDEX(ポート振替表!$P$5:$P$3507,$L874)&amp;"")</f>
        <v/>
      </c>
      <c r="J874" s="60" t="str">
        <f aca="false">IF(L874="","",INDEX(ポート振替表!$M$5:$M$3507,$L874)&amp;"")</f>
        <v/>
      </c>
      <c r="K874" s="52" t="str">
        <f aca="false">IF(L874="","",E874&amp;CHAR(10)&amp;INDEX(ポート振替表!$K$5:$K$3507,$L874)&amp;" "&amp;INDEX(ポート振替表!$L$5:$L$3507,$L874)&amp;CHAR(10)&amp;"⇔ "&amp;INDEX(ポート振替表!$H$5:$H$3507,$L874)&amp;" "&amp;INDEX(ポート振替表!$I$5:$I$3507,$L874))</f>
        <v/>
      </c>
      <c r="L874" s="47" t="str">
        <f aca="false">IFERROR(MATCH(ROW()-4,ポート振替表!$V$5:$V$3507,0),"")</f>
        <v/>
      </c>
    </row>
    <row r="875" customFormat="false" ht="16.4" hidden="false" customHeight="false" outlineLevel="0" collapsed="false">
      <c r="A875" s="32" t="str">
        <f aca="false">IF(L875="","",ROW()-4)</f>
        <v/>
      </c>
      <c r="B875" s="58" t="str">
        <f aca="false">IF(L875="","",IF(INDEX(ポート振替表!$W$5:$W$3507,$L875)="","(なし)",INDEX(ポート振替表!$W$5:$W$3507,$L875)&amp;""))</f>
        <v/>
      </c>
      <c r="C875" s="52" t="str">
        <f aca="false">IF(L875="","",INDEX(ポート振替表!$B$5:$B$3507,$L875)&amp;" "&amp;INDEX(ポート振替表!$C$5:$C$3507,$L875)&amp;"  ⇔  "&amp;INDEX(ポート振替表!$H$5:$H$3507,$L875)&amp;" "&amp;INDEX(ポート振替表!$I$5:$I$3507,$L875))</f>
        <v/>
      </c>
      <c r="D875" s="57" t="s">
        <v>158</v>
      </c>
      <c r="E875" s="59" t="str">
        <f aca="false">IF(L875="","",IF(INDEX(ポート振替表!$O$5:$O$3507,$L875)="","(未設定)",INDEX(ポート振替表!$O$5:$O$3507,$L875)&amp;""))</f>
        <v/>
      </c>
      <c r="F875" s="52" t="str">
        <f aca="false">IF(L875="","",INDEX(ポート振替表!$K$5:$K$3507,$L875)&amp;" "&amp;INDEX(ポート振替表!$L$5:$L$3507,$L875)&amp;"  ⇔  "&amp;INDEX(ポート振替表!$H$5:$H$3507,$L875)&amp;" "&amp;INDEX(ポート振替表!$I$5:$I$3507,$L875))</f>
        <v/>
      </c>
      <c r="G875" s="57" t="s">
        <v>158</v>
      </c>
      <c r="H875" s="32" t="str">
        <f aca="false">IF(L875="","",INDEX(ポート振替表!$N$5:$N$3507,$L875)&amp;"")</f>
        <v/>
      </c>
      <c r="I875" s="32" t="str">
        <f aca="false">IF(L875="","",INDEX(ポート振替表!$P$5:$P$3507,$L875)&amp;"")</f>
        <v/>
      </c>
      <c r="J875" s="60" t="str">
        <f aca="false">IF(L875="","",INDEX(ポート振替表!$M$5:$M$3507,$L875)&amp;"")</f>
        <v/>
      </c>
      <c r="K875" s="52" t="str">
        <f aca="false">IF(L875="","",E875&amp;CHAR(10)&amp;INDEX(ポート振替表!$K$5:$K$3507,$L875)&amp;" "&amp;INDEX(ポート振替表!$L$5:$L$3507,$L875)&amp;CHAR(10)&amp;"⇔ "&amp;INDEX(ポート振替表!$H$5:$H$3507,$L875)&amp;" "&amp;INDEX(ポート振替表!$I$5:$I$3507,$L875))</f>
        <v/>
      </c>
      <c r="L875" s="47" t="str">
        <f aca="false">IFERROR(MATCH(ROW()-4,ポート振替表!$V$5:$V$3507,0),"")</f>
        <v/>
      </c>
    </row>
    <row r="876" customFormat="false" ht="16.4" hidden="false" customHeight="false" outlineLevel="0" collapsed="false">
      <c r="A876" s="32" t="str">
        <f aca="false">IF(L876="","",ROW()-4)</f>
        <v/>
      </c>
      <c r="B876" s="58" t="str">
        <f aca="false">IF(L876="","",IF(INDEX(ポート振替表!$W$5:$W$3507,$L876)="","(なし)",INDEX(ポート振替表!$W$5:$W$3507,$L876)&amp;""))</f>
        <v/>
      </c>
      <c r="C876" s="52" t="str">
        <f aca="false">IF(L876="","",INDEX(ポート振替表!$B$5:$B$3507,$L876)&amp;" "&amp;INDEX(ポート振替表!$C$5:$C$3507,$L876)&amp;"  ⇔  "&amp;INDEX(ポート振替表!$H$5:$H$3507,$L876)&amp;" "&amp;INDEX(ポート振替表!$I$5:$I$3507,$L876))</f>
        <v/>
      </c>
      <c r="D876" s="57" t="s">
        <v>158</v>
      </c>
      <c r="E876" s="59" t="str">
        <f aca="false">IF(L876="","",IF(INDEX(ポート振替表!$O$5:$O$3507,$L876)="","(未設定)",INDEX(ポート振替表!$O$5:$O$3507,$L876)&amp;""))</f>
        <v/>
      </c>
      <c r="F876" s="52" t="str">
        <f aca="false">IF(L876="","",INDEX(ポート振替表!$K$5:$K$3507,$L876)&amp;" "&amp;INDEX(ポート振替表!$L$5:$L$3507,$L876)&amp;"  ⇔  "&amp;INDEX(ポート振替表!$H$5:$H$3507,$L876)&amp;" "&amp;INDEX(ポート振替表!$I$5:$I$3507,$L876))</f>
        <v/>
      </c>
      <c r="G876" s="57" t="s">
        <v>158</v>
      </c>
      <c r="H876" s="32" t="str">
        <f aca="false">IF(L876="","",INDEX(ポート振替表!$N$5:$N$3507,$L876)&amp;"")</f>
        <v/>
      </c>
      <c r="I876" s="32" t="str">
        <f aca="false">IF(L876="","",INDEX(ポート振替表!$P$5:$P$3507,$L876)&amp;"")</f>
        <v/>
      </c>
      <c r="J876" s="60" t="str">
        <f aca="false">IF(L876="","",INDEX(ポート振替表!$M$5:$M$3507,$L876)&amp;"")</f>
        <v/>
      </c>
      <c r="K876" s="52" t="str">
        <f aca="false">IF(L876="","",E876&amp;CHAR(10)&amp;INDEX(ポート振替表!$K$5:$K$3507,$L876)&amp;" "&amp;INDEX(ポート振替表!$L$5:$L$3507,$L876)&amp;CHAR(10)&amp;"⇔ "&amp;INDEX(ポート振替表!$H$5:$H$3507,$L876)&amp;" "&amp;INDEX(ポート振替表!$I$5:$I$3507,$L876))</f>
        <v/>
      </c>
      <c r="L876" s="47" t="str">
        <f aca="false">IFERROR(MATCH(ROW()-4,ポート振替表!$V$5:$V$3507,0),"")</f>
        <v/>
      </c>
    </row>
    <row r="877" customFormat="false" ht="16.4" hidden="false" customHeight="false" outlineLevel="0" collapsed="false">
      <c r="A877" s="32" t="str">
        <f aca="false">IF(L877="","",ROW()-4)</f>
        <v/>
      </c>
      <c r="B877" s="58" t="str">
        <f aca="false">IF(L877="","",IF(INDEX(ポート振替表!$W$5:$W$3507,$L877)="","(なし)",INDEX(ポート振替表!$W$5:$W$3507,$L877)&amp;""))</f>
        <v/>
      </c>
      <c r="C877" s="52" t="str">
        <f aca="false">IF(L877="","",INDEX(ポート振替表!$B$5:$B$3507,$L877)&amp;" "&amp;INDEX(ポート振替表!$C$5:$C$3507,$L877)&amp;"  ⇔  "&amp;INDEX(ポート振替表!$H$5:$H$3507,$L877)&amp;" "&amp;INDEX(ポート振替表!$I$5:$I$3507,$L877))</f>
        <v/>
      </c>
      <c r="D877" s="57" t="s">
        <v>158</v>
      </c>
      <c r="E877" s="59" t="str">
        <f aca="false">IF(L877="","",IF(INDEX(ポート振替表!$O$5:$O$3507,$L877)="","(未設定)",INDEX(ポート振替表!$O$5:$O$3507,$L877)&amp;""))</f>
        <v/>
      </c>
      <c r="F877" s="52" t="str">
        <f aca="false">IF(L877="","",INDEX(ポート振替表!$K$5:$K$3507,$L877)&amp;" "&amp;INDEX(ポート振替表!$L$5:$L$3507,$L877)&amp;"  ⇔  "&amp;INDEX(ポート振替表!$H$5:$H$3507,$L877)&amp;" "&amp;INDEX(ポート振替表!$I$5:$I$3507,$L877))</f>
        <v/>
      </c>
      <c r="G877" s="57" t="s">
        <v>158</v>
      </c>
      <c r="H877" s="32" t="str">
        <f aca="false">IF(L877="","",INDEX(ポート振替表!$N$5:$N$3507,$L877)&amp;"")</f>
        <v/>
      </c>
      <c r="I877" s="32" t="str">
        <f aca="false">IF(L877="","",INDEX(ポート振替表!$P$5:$P$3507,$L877)&amp;"")</f>
        <v/>
      </c>
      <c r="J877" s="60" t="str">
        <f aca="false">IF(L877="","",INDEX(ポート振替表!$M$5:$M$3507,$L877)&amp;"")</f>
        <v/>
      </c>
      <c r="K877" s="52" t="str">
        <f aca="false">IF(L877="","",E877&amp;CHAR(10)&amp;INDEX(ポート振替表!$K$5:$K$3507,$L877)&amp;" "&amp;INDEX(ポート振替表!$L$5:$L$3507,$L877)&amp;CHAR(10)&amp;"⇔ "&amp;INDEX(ポート振替表!$H$5:$H$3507,$L877)&amp;" "&amp;INDEX(ポート振替表!$I$5:$I$3507,$L877))</f>
        <v/>
      </c>
      <c r="L877" s="47" t="str">
        <f aca="false">IFERROR(MATCH(ROW()-4,ポート振替表!$V$5:$V$3507,0),"")</f>
        <v/>
      </c>
    </row>
    <row r="878" customFormat="false" ht="16.4" hidden="false" customHeight="false" outlineLevel="0" collapsed="false">
      <c r="A878" s="32" t="str">
        <f aca="false">IF(L878="","",ROW()-4)</f>
        <v/>
      </c>
      <c r="B878" s="58" t="str">
        <f aca="false">IF(L878="","",IF(INDEX(ポート振替表!$W$5:$W$3507,$L878)="","(なし)",INDEX(ポート振替表!$W$5:$W$3507,$L878)&amp;""))</f>
        <v/>
      </c>
      <c r="C878" s="52" t="str">
        <f aca="false">IF(L878="","",INDEX(ポート振替表!$B$5:$B$3507,$L878)&amp;" "&amp;INDEX(ポート振替表!$C$5:$C$3507,$L878)&amp;"  ⇔  "&amp;INDEX(ポート振替表!$H$5:$H$3507,$L878)&amp;" "&amp;INDEX(ポート振替表!$I$5:$I$3507,$L878))</f>
        <v/>
      </c>
      <c r="D878" s="57" t="s">
        <v>158</v>
      </c>
      <c r="E878" s="59" t="str">
        <f aca="false">IF(L878="","",IF(INDEX(ポート振替表!$O$5:$O$3507,$L878)="","(未設定)",INDEX(ポート振替表!$O$5:$O$3507,$L878)&amp;""))</f>
        <v/>
      </c>
      <c r="F878" s="52" t="str">
        <f aca="false">IF(L878="","",INDEX(ポート振替表!$K$5:$K$3507,$L878)&amp;" "&amp;INDEX(ポート振替表!$L$5:$L$3507,$L878)&amp;"  ⇔  "&amp;INDEX(ポート振替表!$H$5:$H$3507,$L878)&amp;" "&amp;INDEX(ポート振替表!$I$5:$I$3507,$L878))</f>
        <v/>
      </c>
      <c r="G878" s="57" t="s">
        <v>158</v>
      </c>
      <c r="H878" s="32" t="str">
        <f aca="false">IF(L878="","",INDEX(ポート振替表!$N$5:$N$3507,$L878)&amp;"")</f>
        <v/>
      </c>
      <c r="I878" s="32" t="str">
        <f aca="false">IF(L878="","",INDEX(ポート振替表!$P$5:$P$3507,$L878)&amp;"")</f>
        <v/>
      </c>
      <c r="J878" s="60" t="str">
        <f aca="false">IF(L878="","",INDEX(ポート振替表!$M$5:$M$3507,$L878)&amp;"")</f>
        <v/>
      </c>
      <c r="K878" s="52" t="str">
        <f aca="false">IF(L878="","",E878&amp;CHAR(10)&amp;INDEX(ポート振替表!$K$5:$K$3507,$L878)&amp;" "&amp;INDEX(ポート振替表!$L$5:$L$3507,$L878)&amp;CHAR(10)&amp;"⇔ "&amp;INDEX(ポート振替表!$H$5:$H$3507,$L878)&amp;" "&amp;INDEX(ポート振替表!$I$5:$I$3507,$L878))</f>
        <v/>
      </c>
      <c r="L878" s="47" t="str">
        <f aca="false">IFERROR(MATCH(ROW()-4,ポート振替表!$V$5:$V$3507,0),"")</f>
        <v/>
      </c>
    </row>
    <row r="879" customFormat="false" ht="16.4" hidden="false" customHeight="false" outlineLevel="0" collapsed="false">
      <c r="A879" s="32" t="str">
        <f aca="false">IF(L879="","",ROW()-4)</f>
        <v/>
      </c>
      <c r="B879" s="58" t="str">
        <f aca="false">IF(L879="","",IF(INDEX(ポート振替表!$W$5:$W$3507,$L879)="","(なし)",INDEX(ポート振替表!$W$5:$W$3507,$L879)&amp;""))</f>
        <v/>
      </c>
      <c r="C879" s="52" t="str">
        <f aca="false">IF(L879="","",INDEX(ポート振替表!$B$5:$B$3507,$L879)&amp;" "&amp;INDEX(ポート振替表!$C$5:$C$3507,$L879)&amp;"  ⇔  "&amp;INDEX(ポート振替表!$H$5:$H$3507,$L879)&amp;" "&amp;INDEX(ポート振替表!$I$5:$I$3507,$L879))</f>
        <v/>
      </c>
      <c r="D879" s="57" t="s">
        <v>158</v>
      </c>
      <c r="E879" s="59" t="str">
        <f aca="false">IF(L879="","",IF(INDEX(ポート振替表!$O$5:$O$3507,$L879)="","(未設定)",INDEX(ポート振替表!$O$5:$O$3507,$L879)&amp;""))</f>
        <v/>
      </c>
      <c r="F879" s="52" t="str">
        <f aca="false">IF(L879="","",INDEX(ポート振替表!$K$5:$K$3507,$L879)&amp;" "&amp;INDEX(ポート振替表!$L$5:$L$3507,$L879)&amp;"  ⇔  "&amp;INDEX(ポート振替表!$H$5:$H$3507,$L879)&amp;" "&amp;INDEX(ポート振替表!$I$5:$I$3507,$L879))</f>
        <v/>
      </c>
      <c r="G879" s="57" t="s">
        <v>158</v>
      </c>
      <c r="H879" s="32" t="str">
        <f aca="false">IF(L879="","",INDEX(ポート振替表!$N$5:$N$3507,$L879)&amp;"")</f>
        <v/>
      </c>
      <c r="I879" s="32" t="str">
        <f aca="false">IF(L879="","",INDEX(ポート振替表!$P$5:$P$3507,$L879)&amp;"")</f>
        <v/>
      </c>
      <c r="J879" s="60" t="str">
        <f aca="false">IF(L879="","",INDEX(ポート振替表!$M$5:$M$3507,$L879)&amp;"")</f>
        <v/>
      </c>
      <c r="K879" s="52" t="str">
        <f aca="false">IF(L879="","",E879&amp;CHAR(10)&amp;INDEX(ポート振替表!$K$5:$K$3507,$L879)&amp;" "&amp;INDEX(ポート振替表!$L$5:$L$3507,$L879)&amp;CHAR(10)&amp;"⇔ "&amp;INDEX(ポート振替表!$H$5:$H$3507,$L879)&amp;" "&amp;INDEX(ポート振替表!$I$5:$I$3507,$L879))</f>
        <v/>
      </c>
      <c r="L879" s="47" t="str">
        <f aca="false">IFERROR(MATCH(ROW()-4,ポート振替表!$V$5:$V$3507,0),"")</f>
        <v/>
      </c>
    </row>
    <row r="880" customFormat="false" ht="16.4" hidden="false" customHeight="false" outlineLevel="0" collapsed="false">
      <c r="A880" s="32" t="str">
        <f aca="false">IF(L880="","",ROW()-4)</f>
        <v/>
      </c>
      <c r="B880" s="58" t="str">
        <f aca="false">IF(L880="","",IF(INDEX(ポート振替表!$W$5:$W$3507,$L880)="","(なし)",INDEX(ポート振替表!$W$5:$W$3507,$L880)&amp;""))</f>
        <v/>
      </c>
      <c r="C880" s="52" t="str">
        <f aca="false">IF(L880="","",INDEX(ポート振替表!$B$5:$B$3507,$L880)&amp;" "&amp;INDEX(ポート振替表!$C$5:$C$3507,$L880)&amp;"  ⇔  "&amp;INDEX(ポート振替表!$H$5:$H$3507,$L880)&amp;" "&amp;INDEX(ポート振替表!$I$5:$I$3507,$L880))</f>
        <v/>
      </c>
      <c r="D880" s="57" t="s">
        <v>158</v>
      </c>
      <c r="E880" s="59" t="str">
        <f aca="false">IF(L880="","",IF(INDEX(ポート振替表!$O$5:$O$3507,$L880)="","(未設定)",INDEX(ポート振替表!$O$5:$O$3507,$L880)&amp;""))</f>
        <v/>
      </c>
      <c r="F880" s="52" t="str">
        <f aca="false">IF(L880="","",INDEX(ポート振替表!$K$5:$K$3507,$L880)&amp;" "&amp;INDEX(ポート振替表!$L$5:$L$3507,$L880)&amp;"  ⇔  "&amp;INDEX(ポート振替表!$H$5:$H$3507,$L880)&amp;" "&amp;INDEX(ポート振替表!$I$5:$I$3507,$L880))</f>
        <v/>
      </c>
      <c r="G880" s="57" t="s">
        <v>158</v>
      </c>
      <c r="H880" s="32" t="str">
        <f aca="false">IF(L880="","",INDEX(ポート振替表!$N$5:$N$3507,$L880)&amp;"")</f>
        <v/>
      </c>
      <c r="I880" s="32" t="str">
        <f aca="false">IF(L880="","",INDEX(ポート振替表!$P$5:$P$3507,$L880)&amp;"")</f>
        <v/>
      </c>
      <c r="J880" s="60" t="str">
        <f aca="false">IF(L880="","",INDEX(ポート振替表!$M$5:$M$3507,$L880)&amp;"")</f>
        <v/>
      </c>
      <c r="K880" s="52" t="str">
        <f aca="false">IF(L880="","",E880&amp;CHAR(10)&amp;INDEX(ポート振替表!$K$5:$K$3507,$L880)&amp;" "&amp;INDEX(ポート振替表!$L$5:$L$3507,$L880)&amp;CHAR(10)&amp;"⇔ "&amp;INDEX(ポート振替表!$H$5:$H$3507,$L880)&amp;" "&amp;INDEX(ポート振替表!$I$5:$I$3507,$L880))</f>
        <v/>
      </c>
      <c r="L880" s="47" t="str">
        <f aca="false">IFERROR(MATCH(ROW()-4,ポート振替表!$V$5:$V$3507,0),"")</f>
        <v/>
      </c>
    </row>
    <row r="881" customFormat="false" ht="16.4" hidden="false" customHeight="false" outlineLevel="0" collapsed="false">
      <c r="A881" s="32" t="str">
        <f aca="false">IF(L881="","",ROW()-4)</f>
        <v/>
      </c>
      <c r="B881" s="58" t="str">
        <f aca="false">IF(L881="","",IF(INDEX(ポート振替表!$W$5:$W$3507,$L881)="","(なし)",INDEX(ポート振替表!$W$5:$W$3507,$L881)&amp;""))</f>
        <v/>
      </c>
      <c r="C881" s="52" t="str">
        <f aca="false">IF(L881="","",INDEX(ポート振替表!$B$5:$B$3507,$L881)&amp;" "&amp;INDEX(ポート振替表!$C$5:$C$3507,$L881)&amp;"  ⇔  "&amp;INDEX(ポート振替表!$H$5:$H$3507,$L881)&amp;" "&amp;INDEX(ポート振替表!$I$5:$I$3507,$L881))</f>
        <v/>
      </c>
      <c r="D881" s="57" t="s">
        <v>158</v>
      </c>
      <c r="E881" s="59" t="str">
        <f aca="false">IF(L881="","",IF(INDEX(ポート振替表!$O$5:$O$3507,$L881)="","(未設定)",INDEX(ポート振替表!$O$5:$O$3507,$L881)&amp;""))</f>
        <v/>
      </c>
      <c r="F881" s="52" t="str">
        <f aca="false">IF(L881="","",INDEX(ポート振替表!$K$5:$K$3507,$L881)&amp;" "&amp;INDEX(ポート振替表!$L$5:$L$3507,$L881)&amp;"  ⇔  "&amp;INDEX(ポート振替表!$H$5:$H$3507,$L881)&amp;" "&amp;INDEX(ポート振替表!$I$5:$I$3507,$L881))</f>
        <v/>
      </c>
      <c r="G881" s="57" t="s">
        <v>158</v>
      </c>
      <c r="H881" s="32" t="str">
        <f aca="false">IF(L881="","",INDEX(ポート振替表!$N$5:$N$3507,$L881)&amp;"")</f>
        <v/>
      </c>
      <c r="I881" s="32" t="str">
        <f aca="false">IF(L881="","",INDEX(ポート振替表!$P$5:$P$3507,$L881)&amp;"")</f>
        <v/>
      </c>
      <c r="J881" s="60" t="str">
        <f aca="false">IF(L881="","",INDEX(ポート振替表!$M$5:$M$3507,$L881)&amp;"")</f>
        <v/>
      </c>
      <c r="K881" s="52" t="str">
        <f aca="false">IF(L881="","",E881&amp;CHAR(10)&amp;INDEX(ポート振替表!$K$5:$K$3507,$L881)&amp;" "&amp;INDEX(ポート振替表!$L$5:$L$3507,$L881)&amp;CHAR(10)&amp;"⇔ "&amp;INDEX(ポート振替表!$H$5:$H$3507,$L881)&amp;" "&amp;INDEX(ポート振替表!$I$5:$I$3507,$L881))</f>
        <v/>
      </c>
      <c r="L881" s="47" t="str">
        <f aca="false">IFERROR(MATCH(ROW()-4,ポート振替表!$V$5:$V$3507,0),"")</f>
        <v/>
      </c>
    </row>
    <row r="882" customFormat="false" ht="16.4" hidden="false" customHeight="false" outlineLevel="0" collapsed="false">
      <c r="A882" s="32" t="str">
        <f aca="false">IF(L882="","",ROW()-4)</f>
        <v/>
      </c>
      <c r="B882" s="58" t="str">
        <f aca="false">IF(L882="","",IF(INDEX(ポート振替表!$W$5:$W$3507,$L882)="","(なし)",INDEX(ポート振替表!$W$5:$W$3507,$L882)&amp;""))</f>
        <v/>
      </c>
      <c r="C882" s="52" t="str">
        <f aca="false">IF(L882="","",INDEX(ポート振替表!$B$5:$B$3507,$L882)&amp;" "&amp;INDEX(ポート振替表!$C$5:$C$3507,$L882)&amp;"  ⇔  "&amp;INDEX(ポート振替表!$H$5:$H$3507,$L882)&amp;" "&amp;INDEX(ポート振替表!$I$5:$I$3507,$L882))</f>
        <v/>
      </c>
      <c r="D882" s="57" t="s">
        <v>158</v>
      </c>
      <c r="E882" s="59" t="str">
        <f aca="false">IF(L882="","",IF(INDEX(ポート振替表!$O$5:$O$3507,$L882)="","(未設定)",INDEX(ポート振替表!$O$5:$O$3507,$L882)&amp;""))</f>
        <v/>
      </c>
      <c r="F882" s="52" t="str">
        <f aca="false">IF(L882="","",INDEX(ポート振替表!$K$5:$K$3507,$L882)&amp;" "&amp;INDEX(ポート振替表!$L$5:$L$3507,$L882)&amp;"  ⇔  "&amp;INDEX(ポート振替表!$H$5:$H$3507,$L882)&amp;" "&amp;INDEX(ポート振替表!$I$5:$I$3507,$L882))</f>
        <v/>
      </c>
      <c r="G882" s="57" t="s">
        <v>158</v>
      </c>
      <c r="H882" s="32" t="str">
        <f aca="false">IF(L882="","",INDEX(ポート振替表!$N$5:$N$3507,$L882)&amp;"")</f>
        <v/>
      </c>
      <c r="I882" s="32" t="str">
        <f aca="false">IF(L882="","",INDEX(ポート振替表!$P$5:$P$3507,$L882)&amp;"")</f>
        <v/>
      </c>
      <c r="J882" s="60" t="str">
        <f aca="false">IF(L882="","",INDEX(ポート振替表!$M$5:$M$3507,$L882)&amp;"")</f>
        <v/>
      </c>
      <c r="K882" s="52" t="str">
        <f aca="false">IF(L882="","",E882&amp;CHAR(10)&amp;INDEX(ポート振替表!$K$5:$K$3507,$L882)&amp;" "&amp;INDEX(ポート振替表!$L$5:$L$3507,$L882)&amp;CHAR(10)&amp;"⇔ "&amp;INDEX(ポート振替表!$H$5:$H$3507,$L882)&amp;" "&amp;INDEX(ポート振替表!$I$5:$I$3507,$L882))</f>
        <v/>
      </c>
      <c r="L882" s="47" t="str">
        <f aca="false">IFERROR(MATCH(ROW()-4,ポート振替表!$V$5:$V$3507,0),"")</f>
        <v/>
      </c>
    </row>
    <row r="883" customFormat="false" ht="16.4" hidden="false" customHeight="false" outlineLevel="0" collapsed="false">
      <c r="A883" s="32" t="str">
        <f aca="false">IF(L883="","",ROW()-4)</f>
        <v/>
      </c>
      <c r="B883" s="58" t="str">
        <f aca="false">IF(L883="","",IF(INDEX(ポート振替表!$W$5:$W$3507,$L883)="","(なし)",INDEX(ポート振替表!$W$5:$W$3507,$L883)&amp;""))</f>
        <v/>
      </c>
      <c r="C883" s="52" t="str">
        <f aca="false">IF(L883="","",INDEX(ポート振替表!$B$5:$B$3507,$L883)&amp;" "&amp;INDEX(ポート振替表!$C$5:$C$3507,$L883)&amp;"  ⇔  "&amp;INDEX(ポート振替表!$H$5:$H$3507,$L883)&amp;" "&amp;INDEX(ポート振替表!$I$5:$I$3507,$L883))</f>
        <v/>
      </c>
      <c r="D883" s="57" t="s">
        <v>158</v>
      </c>
      <c r="E883" s="59" t="str">
        <f aca="false">IF(L883="","",IF(INDEX(ポート振替表!$O$5:$O$3507,$L883)="","(未設定)",INDEX(ポート振替表!$O$5:$O$3507,$L883)&amp;""))</f>
        <v/>
      </c>
      <c r="F883" s="52" t="str">
        <f aca="false">IF(L883="","",INDEX(ポート振替表!$K$5:$K$3507,$L883)&amp;" "&amp;INDEX(ポート振替表!$L$5:$L$3507,$L883)&amp;"  ⇔  "&amp;INDEX(ポート振替表!$H$5:$H$3507,$L883)&amp;" "&amp;INDEX(ポート振替表!$I$5:$I$3507,$L883))</f>
        <v/>
      </c>
      <c r="G883" s="57" t="s">
        <v>158</v>
      </c>
      <c r="H883" s="32" t="str">
        <f aca="false">IF(L883="","",INDEX(ポート振替表!$N$5:$N$3507,$L883)&amp;"")</f>
        <v/>
      </c>
      <c r="I883" s="32" t="str">
        <f aca="false">IF(L883="","",INDEX(ポート振替表!$P$5:$P$3507,$L883)&amp;"")</f>
        <v/>
      </c>
      <c r="J883" s="60" t="str">
        <f aca="false">IF(L883="","",INDEX(ポート振替表!$M$5:$M$3507,$L883)&amp;"")</f>
        <v/>
      </c>
      <c r="K883" s="52" t="str">
        <f aca="false">IF(L883="","",E883&amp;CHAR(10)&amp;INDEX(ポート振替表!$K$5:$K$3507,$L883)&amp;" "&amp;INDEX(ポート振替表!$L$5:$L$3507,$L883)&amp;CHAR(10)&amp;"⇔ "&amp;INDEX(ポート振替表!$H$5:$H$3507,$L883)&amp;" "&amp;INDEX(ポート振替表!$I$5:$I$3507,$L883))</f>
        <v/>
      </c>
      <c r="L883" s="47" t="str">
        <f aca="false">IFERROR(MATCH(ROW()-4,ポート振替表!$V$5:$V$3507,0),"")</f>
        <v/>
      </c>
    </row>
    <row r="884" customFormat="false" ht="16.4" hidden="false" customHeight="false" outlineLevel="0" collapsed="false">
      <c r="A884" s="32" t="str">
        <f aca="false">IF(L884="","",ROW()-4)</f>
        <v/>
      </c>
      <c r="B884" s="58" t="str">
        <f aca="false">IF(L884="","",IF(INDEX(ポート振替表!$W$5:$W$3507,$L884)="","(なし)",INDEX(ポート振替表!$W$5:$W$3507,$L884)&amp;""))</f>
        <v/>
      </c>
      <c r="C884" s="52" t="str">
        <f aca="false">IF(L884="","",INDEX(ポート振替表!$B$5:$B$3507,$L884)&amp;" "&amp;INDEX(ポート振替表!$C$5:$C$3507,$L884)&amp;"  ⇔  "&amp;INDEX(ポート振替表!$H$5:$H$3507,$L884)&amp;" "&amp;INDEX(ポート振替表!$I$5:$I$3507,$L884))</f>
        <v/>
      </c>
      <c r="D884" s="57" t="s">
        <v>158</v>
      </c>
      <c r="E884" s="59" t="str">
        <f aca="false">IF(L884="","",IF(INDEX(ポート振替表!$O$5:$O$3507,$L884)="","(未設定)",INDEX(ポート振替表!$O$5:$O$3507,$L884)&amp;""))</f>
        <v/>
      </c>
      <c r="F884" s="52" t="str">
        <f aca="false">IF(L884="","",INDEX(ポート振替表!$K$5:$K$3507,$L884)&amp;" "&amp;INDEX(ポート振替表!$L$5:$L$3507,$L884)&amp;"  ⇔  "&amp;INDEX(ポート振替表!$H$5:$H$3507,$L884)&amp;" "&amp;INDEX(ポート振替表!$I$5:$I$3507,$L884))</f>
        <v/>
      </c>
      <c r="G884" s="57" t="s">
        <v>158</v>
      </c>
      <c r="H884" s="32" t="str">
        <f aca="false">IF(L884="","",INDEX(ポート振替表!$N$5:$N$3507,$L884)&amp;"")</f>
        <v/>
      </c>
      <c r="I884" s="32" t="str">
        <f aca="false">IF(L884="","",INDEX(ポート振替表!$P$5:$P$3507,$L884)&amp;"")</f>
        <v/>
      </c>
      <c r="J884" s="60" t="str">
        <f aca="false">IF(L884="","",INDEX(ポート振替表!$M$5:$M$3507,$L884)&amp;"")</f>
        <v/>
      </c>
      <c r="K884" s="52" t="str">
        <f aca="false">IF(L884="","",E884&amp;CHAR(10)&amp;INDEX(ポート振替表!$K$5:$K$3507,$L884)&amp;" "&amp;INDEX(ポート振替表!$L$5:$L$3507,$L884)&amp;CHAR(10)&amp;"⇔ "&amp;INDEX(ポート振替表!$H$5:$H$3507,$L884)&amp;" "&amp;INDEX(ポート振替表!$I$5:$I$3507,$L884))</f>
        <v/>
      </c>
      <c r="L884" s="47" t="str">
        <f aca="false">IFERROR(MATCH(ROW()-4,ポート振替表!$V$5:$V$3507,0),"")</f>
        <v/>
      </c>
    </row>
    <row r="885" customFormat="false" ht="16.4" hidden="false" customHeight="false" outlineLevel="0" collapsed="false">
      <c r="A885" s="32" t="str">
        <f aca="false">IF(L885="","",ROW()-4)</f>
        <v/>
      </c>
      <c r="B885" s="58" t="str">
        <f aca="false">IF(L885="","",IF(INDEX(ポート振替表!$W$5:$W$3507,$L885)="","(なし)",INDEX(ポート振替表!$W$5:$W$3507,$L885)&amp;""))</f>
        <v/>
      </c>
      <c r="C885" s="52" t="str">
        <f aca="false">IF(L885="","",INDEX(ポート振替表!$B$5:$B$3507,$L885)&amp;" "&amp;INDEX(ポート振替表!$C$5:$C$3507,$L885)&amp;"  ⇔  "&amp;INDEX(ポート振替表!$H$5:$H$3507,$L885)&amp;" "&amp;INDEX(ポート振替表!$I$5:$I$3507,$L885))</f>
        <v/>
      </c>
      <c r="D885" s="57" t="s">
        <v>158</v>
      </c>
      <c r="E885" s="59" t="str">
        <f aca="false">IF(L885="","",IF(INDEX(ポート振替表!$O$5:$O$3507,$L885)="","(未設定)",INDEX(ポート振替表!$O$5:$O$3507,$L885)&amp;""))</f>
        <v/>
      </c>
      <c r="F885" s="52" t="str">
        <f aca="false">IF(L885="","",INDEX(ポート振替表!$K$5:$K$3507,$L885)&amp;" "&amp;INDEX(ポート振替表!$L$5:$L$3507,$L885)&amp;"  ⇔  "&amp;INDEX(ポート振替表!$H$5:$H$3507,$L885)&amp;" "&amp;INDEX(ポート振替表!$I$5:$I$3507,$L885))</f>
        <v/>
      </c>
      <c r="G885" s="57" t="s">
        <v>158</v>
      </c>
      <c r="H885" s="32" t="str">
        <f aca="false">IF(L885="","",INDEX(ポート振替表!$N$5:$N$3507,$L885)&amp;"")</f>
        <v/>
      </c>
      <c r="I885" s="32" t="str">
        <f aca="false">IF(L885="","",INDEX(ポート振替表!$P$5:$P$3507,$L885)&amp;"")</f>
        <v/>
      </c>
      <c r="J885" s="60" t="str">
        <f aca="false">IF(L885="","",INDEX(ポート振替表!$M$5:$M$3507,$L885)&amp;"")</f>
        <v/>
      </c>
      <c r="K885" s="52" t="str">
        <f aca="false">IF(L885="","",E885&amp;CHAR(10)&amp;INDEX(ポート振替表!$K$5:$K$3507,$L885)&amp;" "&amp;INDEX(ポート振替表!$L$5:$L$3507,$L885)&amp;CHAR(10)&amp;"⇔ "&amp;INDEX(ポート振替表!$H$5:$H$3507,$L885)&amp;" "&amp;INDEX(ポート振替表!$I$5:$I$3507,$L885))</f>
        <v/>
      </c>
      <c r="L885" s="47" t="str">
        <f aca="false">IFERROR(MATCH(ROW()-4,ポート振替表!$V$5:$V$3507,0),"")</f>
        <v/>
      </c>
    </row>
    <row r="886" customFormat="false" ht="16.4" hidden="false" customHeight="false" outlineLevel="0" collapsed="false">
      <c r="A886" s="32" t="str">
        <f aca="false">IF(L886="","",ROW()-4)</f>
        <v/>
      </c>
      <c r="B886" s="58" t="str">
        <f aca="false">IF(L886="","",IF(INDEX(ポート振替表!$W$5:$W$3507,$L886)="","(なし)",INDEX(ポート振替表!$W$5:$W$3507,$L886)&amp;""))</f>
        <v/>
      </c>
      <c r="C886" s="52" t="str">
        <f aca="false">IF(L886="","",INDEX(ポート振替表!$B$5:$B$3507,$L886)&amp;" "&amp;INDEX(ポート振替表!$C$5:$C$3507,$L886)&amp;"  ⇔  "&amp;INDEX(ポート振替表!$H$5:$H$3507,$L886)&amp;" "&amp;INDEX(ポート振替表!$I$5:$I$3507,$L886))</f>
        <v/>
      </c>
      <c r="D886" s="57" t="s">
        <v>158</v>
      </c>
      <c r="E886" s="59" t="str">
        <f aca="false">IF(L886="","",IF(INDEX(ポート振替表!$O$5:$O$3507,$L886)="","(未設定)",INDEX(ポート振替表!$O$5:$O$3507,$L886)&amp;""))</f>
        <v/>
      </c>
      <c r="F886" s="52" t="str">
        <f aca="false">IF(L886="","",INDEX(ポート振替表!$K$5:$K$3507,$L886)&amp;" "&amp;INDEX(ポート振替表!$L$5:$L$3507,$L886)&amp;"  ⇔  "&amp;INDEX(ポート振替表!$H$5:$H$3507,$L886)&amp;" "&amp;INDEX(ポート振替表!$I$5:$I$3507,$L886))</f>
        <v/>
      </c>
      <c r="G886" s="57" t="s">
        <v>158</v>
      </c>
      <c r="H886" s="32" t="str">
        <f aca="false">IF(L886="","",INDEX(ポート振替表!$N$5:$N$3507,$L886)&amp;"")</f>
        <v/>
      </c>
      <c r="I886" s="32" t="str">
        <f aca="false">IF(L886="","",INDEX(ポート振替表!$P$5:$P$3507,$L886)&amp;"")</f>
        <v/>
      </c>
      <c r="J886" s="60" t="str">
        <f aca="false">IF(L886="","",INDEX(ポート振替表!$M$5:$M$3507,$L886)&amp;"")</f>
        <v/>
      </c>
      <c r="K886" s="52" t="str">
        <f aca="false">IF(L886="","",E886&amp;CHAR(10)&amp;INDEX(ポート振替表!$K$5:$K$3507,$L886)&amp;" "&amp;INDEX(ポート振替表!$L$5:$L$3507,$L886)&amp;CHAR(10)&amp;"⇔ "&amp;INDEX(ポート振替表!$H$5:$H$3507,$L886)&amp;" "&amp;INDEX(ポート振替表!$I$5:$I$3507,$L886))</f>
        <v/>
      </c>
      <c r="L886" s="47" t="str">
        <f aca="false">IFERROR(MATCH(ROW()-4,ポート振替表!$V$5:$V$3507,0),"")</f>
        <v/>
      </c>
    </row>
    <row r="887" customFormat="false" ht="16.4" hidden="false" customHeight="false" outlineLevel="0" collapsed="false">
      <c r="A887" s="32" t="str">
        <f aca="false">IF(L887="","",ROW()-4)</f>
        <v/>
      </c>
      <c r="B887" s="58" t="str">
        <f aca="false">IF(L887="","",IF(INDEX(ポート振替表!$W$5:$W$3507,$L887)="","(なし)",INDEX(ポート振替表!$W$5:$W$3507,$L887)&amp;""))</f>
        <v/>
      </c>
      <c r="C887" s="52" t="str">
        <f aca="false">IF(L887="","",INDEX(ポート振替表!$B$5:$B$3507,$L887)&amp;" "&amp;INDEX(ポート振替表!$C$5:$C$3507,$L887)&amp;"  ⇔  "&amp;INDEX(ポート振替表!$H$5:$H$3507,$L887)&amp;" "&amp;INDEX(ポート振替表!$I$5:$I$3507,$L887))</f>
        <v/>
      </c>
      <c r="D887" s="57" t="s">
        <v>158</v>
      </c>
      <c r="E887" s="59" t="str">
        <f aca="false">IF(L887="","",IF(INDEX(ポート振替表!$O$5:$O$3507,$L887)="","(未設定)",INDEX(ポート振替表!$O$5:$O$3507,$L887)&amp;""))</f>
        <v/>
      </c>
      <c r="F887" s="52" t="str">
        <f aca="false">IF(L887="","",INDEX(ポート振替表!$K$5:$K$3507,$L887)&amp;" "&amp;INDEX(ポート振替表!$L$5:$L$3507,$L887)&amp;"  ⇔  "&amp;INDEX(ポート振替表!$H$5:$H$3507,$L887)&amp;" "&amp;INDEX(ポート振替表!$I$5:$I$3507,$L887))</f>
        <v/>
      </c>
      <c r="G887" s="57" t="s">
        <v>158</v>
      </c>
      <c r="H887" s="32" t="str">
        <f aca="false">IF(L887="","",INDEX(ポート振替表!$N$5:$N$3507,$L887)&amp;"")</f>
        <v/>
      </c>
      <c r="I887" s="32" t="str">
        <f aca="false">IF(L887="","",INDEX(ポート振替表!$P$5:$P$3507,$L887)&amp;"")</f>
        <v/>
      </c>
      <c r="J887" s="60" t="str">
        <f aca="false">IF(L887="","",INDEX(ポート振替表!$M$5:$M$3507,$L887)&amp;"")</f>
        <v/>
      </c>
      <c r="K887" s="52" t="str">
        <f aca="false">IF(L887="","",E887&amp;CHAR(10)&amp;INDEX(ポート振替表!$K$5:$K$3507,$L887)&amp;" "&amp;INDEX(ポート振替表!$L$5:$L$3507,$L887)&amp;CHAR(10)&amp;"⇔ "&amp;INDEX(ポート振替表!$H$5:$H$3507,$L887)&amp;" "&amp;INDEX(ポート振替表!$I$5:$I$3507,$L887))</f>
        <v/>
      </c>
      <c r="L887" s="47" t="str">
        <f aca="false">IFERROR(MATCH(ROW()-4,ポート振替表!$V$5:$V$3507,0),"")</f>
        <v/>
      </c>
    </row>
    <row r="888" customFormat="false" ht="16.4" hidden="false" customHeight="false" outlineLevel="0" collapsed="false">
      <c r="A888" s="32" t="str">
        <f aca="false">IF(L888="","",ROW()-4)</f>
        <v/>
      </c>
      <c r="B888" s="58" t="str">
        <f aca="false">IF(L888="","",IF(INDEX(ポート振替表!$W$5:$W$3507,$L888)="","(なし)",INDEX(ポート振替表!$W$5:$W$3507,$L888)&amp;""))</f>
        <v/>
      </c>
      <c r="C888" s="52" t="str">
        <f aca="false">IF(L888="","",INDEX(ポート振替表!$B$5:$B$3507,$L888)&amp;" "&amp;INDEX(ポート振替表!$C$5:$C$3507,$L888)&amp;"  ⇔  "&amp;INDEX(ポート振替表!$H$5:$H$3507,$L888)&amp;" "&amp;INDEX(ポート振替表!$I$5:$I$3507,$L888))</f>
        <v/>
      </c>
      <c r="D888" s="57" t="s">
        <v>158</v>
      </c>
      <c r="E888" s="59" t="str">
        <f aca="false">IF(L888="","",IF(INDEX(ポート振替表!$O$5:$O$3507,$L888)="","(未設定)",INDEX(ポート振替表!$O$5:$O$3507,$L888)&amp;""))</f>
        <v/>
      </c>
      <c r="F888" s="52" t="str">
        <f aca="false">IF(L888="","",INDEX(ポート振替表!$K$5:$K$3507,$L888)&amp;" "&amp;INDEX(ポート振替表!$L$5:$L$3507,$L888)&amp;"  ⇔  "&amp;INDEX(ポート振替表!$H$5:$H$3507,$L888)&amp;" "&amp;INDEX(ポート振替表!$I$5:$I$3507,$L888))</f>
        <v/>
      </c>
      <c r="G888" s="57" t="s">
        <v>158</v>
      </c>
      <c r="H888" s="32" t="str">
        <f aca="false">IF(L888="","",INDEX(ポート振替表!$N$5:$N$3507,$L888)&amp;"")</f>
        <v/>
      </c>
      <c r="I888" s="32" t="str">
        <f aca="false">IF(L888="","",INDEX(ポート振替表!$P$5:$P$3507,$L888)&amp;"")</f>
        <v/>
      </c>
      <c r="J888" s="60" t="str">
        <f aca="false">IF(L888="","",INDEX(ポート振替表!$M$5:$M$3507,$L888)&amp;"")</f>
        <v/>
      </c>
      <c r="K888" s="52" t="str">
        <f aca="false">IF(L888="","",E888&amp;CHAR(10)&amp;INDEX(ポート振替表!$K$5:$K$3507,$L888)&amp;" "&amp;INDEX(ポート振替表!$L$5:$L$3507,$L888)&amp;CHAR(10)&amp;"⇔ "&amp;INDEX(ポート振替表!$H$5:$H$3507,$L888)&amp;" "&amp;INDEX(ポート振替表!$I$5:$I$3507,$L888))</f>
        <v/>
      </c>
      <c r="L888" s="47" t="str">
        <f aca="false">IFERROR(MATCH(ROW()-4,ポート振替表!$V$5:$V$3507,0),"")</f>
        <v/>
      </c>
    </row>
    <row r="889" customFormat="false" ht="16.4" hidden="false" customHeight="false" outlineLevel="0" collapsed="false">
      <c r="A889" s="32" t="str">
        <f aca="false">IF(L889="","",ROW()-4)</f>
        <v/>
      </c>
      <c r="B889" s="58" t="str">
        <f aca="false">IF(L889="","",IF(INDEX(ポート振替表!$W$5:$W$3507,$L889)="","(なし)",INDEX(ポート振替表!$W$5:$W$3507,$L889)&amp;""))</f>
        <v/>
      </c>
      <c r="C889" s="52" t="str">
        <f aca="false">IF(L889="","",INDEX(ポート振替表!$B$5:$B$3507,$L889)&amp;" "&amp;INDEX(ポート振替表!$C$5:$C$3507,$L889)&amp;"  ⇔  "&amp;INDEX(ポート振替表!$H$5:$H$3507,$L889)&amp;" "&amp;INDEX(ポート振替表!$I$5:$I$3507,$L889))</f>
        <v/>
      </c>
      <c r="D889" s="57" t="s">
        <v>158</v>
      </c>
      <c r="E889" s="59" t="str">
        <f aca="false">IF(L889="","",IF(INDEX(ポート振替表!$O$5:$O$3507,$L889)="","(未設定)",INDEX(ポート振替表!$O$5:$O$3507,$L889)&amp;""))</f>
        <v/>
      </c>
      <c r="F889" s="52" t="str">
        <f aca="false">IF(L889="","",INDEX(ポート振替表!$K$5:$K$3507,$L889)&amp;" "&amp;INDEX(ポート振替表!$L$5:$L$3507,$L889)&amp;"  ⇔  "&amp;INDEX(ポート振替表!$H$5:$H$3507,$L889)&amp;" "&amp;INDEX(ポート振替表!$I$5:$I$3507,$L889))</f>
        <v/>
      </c>
      <c r="G889" s="57" t="s">
        <v>158</v>
      </c>
      <c r="H889" s="32" t="str">
        <f aca="false">IF(L889="","",INDEX(ポート振替表!$N$5:$N$3507,$L889)&amp;"")</f>
        <v/>
      </c>
      <c r="I889" s="32" t="str">
        <f aca="false">IF(L889="","",INDEX(ポート振替表!$P$5:$P$3507,$L889)&amp;"")</f>
        <v/>
      </c>
      <c r="J889" s="60" t="str">
        <f aca="false">IF(L889="","",INDEX(ポート振替表!$M$5:$M$3507,$L889)&amp;"")</f>
        <v/>
      </c>
      <c r="K889" s="52" t="str">
        <f aca="false">IF(L889="","",E889&amp;CHAR(10)&amp;INDEX(ポート振替表!$K$5:$K$3507,$L889)&amp;" "&amp;INDEX(ポート振替表!$L$5:$L$3507,$L889)&amp;CHAR(10)&amp;"⇔ "&amp;INDEX(ポート振替表!$H$5:$H$3507,$L889)&amp;" "&amp;INDEX(ポート振替表!$I$5:$I$3507,$L889))</f>
        <v/>
      </c>
      <c r="L889" s="47" t="str">
        <f aca="false">IFERROR(MATCH(ROW()-4,ポート振替表!$V$5:$V$3507,0),"")</f>
        <v/>
      </c>
    </row>
    <row r="890" customFormat="false" ht="16.4" hidden="false" customHeight="false" outlineLevel="0" collapsed="false">
      <c r="A890" s="32" t="str">
        <f aca="false">IF(L890="","",ROW()-4)</f>
        <v/>
      </c>
      <c r="B890" s="58" t="str">
        <f aca="false">IF(L890="","",IF(INDEX(ポート振替表!$W$5:$W$3507,$L890)="","(なし)",INDEX(ポート振替表!$W$5:$W$3507,$L890)&amp;""))</f>
        <v/>
      </c>
      <c r="C890" s="52" t="str">
        <f aca="false">IF(L890="","",INDEX(ポート振替表!$B$5:$B$3507,$L890)&amp;" "&amp;INDEX(ポート振替表!$C$5:$C$3507,$L890)&amp;"  ⇔  "&amp;INDEX(ポート振替表!$H$5:$H$3507,$L890)&amp;" "&amp;INDEX(ポート振替表!$I$5:$I$3507,$L890))</f>
        <v/>
      </c>
      <c r="D890" s="57" t="s">
        <v>158</v>
      </c>
      <c r="E890" s="59" t="str">
        <f aca="false">IF(L890="","",IF(INDEX(ポート振替表!$O$5:$O$3507,$L890)="","(未設定)",INDEX(ポート振替表!$O$5:$O$3507,$L890)&amp;""))</f>
        <v/>
      </c>
      <c r="F890" s="52" t="str">
        <f aca="false">IF(L890="","",INDEX(ポート振替表!$K$5:$K$3507,$L890)&amp;" "&amp;INDEX(ポート振替表!$L$5:$L$3507,$L890)&amp;"  ⇔  "&amp;INDEX(ポート振替表!$H$5:$H$3507,$L890)&amp;" "&amp;INDEX(ポート振替表!$I$5:$I$3507,$L890))</f>
        <v/>
      </c>
      <c r="G890" s="57" t="s">
        <v>158</v>
      </c>
      <c r="H890" s="32" t="str">
        <f aca="false">IF(L890="","",INDEX(ポート振替表!$N$5:$N$3507,$L890)&amp;"")</f>
        <v/>
      </c>
      <c r="I890" s="32" t="str">
        <f aca="false">IF(L890="","",INDEX(ポート振替表!$P$5:$P$3507,$L890)&amp;"")</f>
        <v/>
      </c>
      <c r="J890" s="60" t="str">
        <f aca="false">IF(L890="","",INDEX(ポート振替表!$M$5:$M$3507,$L890)&amp;"")</f>
        <v/>
      </c>
      <c r="K890" s="52" t="str">
        <f aca="false">IF(L890="","",E890&amp;CHAR(10)&amp;INDEX(ポート振替表!$K$5:$K$3507,$L890)&amp;" "&amp;INDEX(ポート振替表!$L$5:$L$3507,$L890)&amp;CHAR(10)&amp;"⇔ "&amp;INDEX(ポート振替表!$H$5:$H$3507,$L890)&amp;" "&amp;INDEX(ポート振替表!$I$5:$I$3507,$L890))</f>
        <v/>
      </c>
      <c r="L890" s="47" t="str">
        <f aca="false">IFERROR(MATCH(ROW()-4,ポート振替表!$V$5:$V$3507,0),"")</f>
        <v/>
      </c>
    </row>
    <row r="891" customFormat="false" ht="16.4" hidden="false" customHeight="false" outlineLevel="0" collapsed="false">
      <c r="A891" s="32" t="str">
        <f aca="false">IF(L891="","",ROW()-4)</f>
        <v/>
      </c>
      <c r="B891" s="58" t="str">
        <f aca="false">IF(L891="","",IF(INDEX(ポート振替表!$W$5:$W$3507,$L891)="","(なし)",INDEX(ポート振替表!$W$5:$W$3507,$L891)&amp;""))</f>
        <v/>
      </c>
      <c r="C891" s="52" t="str">
        <f aca="false">IF(L891="","",INDEX(ポート振替表!$B$5:$B$3507,$L891)&amp;" "&amp;INDEX(ポート振替表!$C$5:$C$3507,$L891)&amp;"  ⇔  "&amp;INDEX(ポート振替表!$H$5:$H$3507,$L891)&amp;" "&amp;INDEX(ポート振替表!$I$5:$I$3507,$L891))</f>
        <v/>
      </c>
      <c r="D891" s="57" t="s">
        <v>158</v>
      </c>
      <c r="E891" s="59" t="str">
        <f aca="false">IF(L891="","",IF(INDEX(ポート振替表!$O$5:$O$3507,$L891)="","(未設定)",INDEX(ポート振替表!$O$5:$O$3507,$L891)&amp;""))</f>
        <v/>
      </c>
      <c r="F891" s="52" t="str">
        <f aca="false">IF(L891="","",INDEX(ポート振替表!$K$5:$K$3507,$L891)&amp;" "&amp;INDEX(ポート振替表!$L$5:$L$3507,$L891)&amp;"  ⇔  "&amp;INDEX(ポート振替表!$H$5:$H$3507,$L891)&amp;" "&amp;INDEX(ポート振替表!$I$5:$I$3507,$L891))</f>
        <v/>
      </c>
      <c r="G891" s="57" t="s">
        <v>158</v>
      </c>
      <c r="H891" s="32" t="str">
        <f aca="false">IF(L891="","",INDEX(ポート振替表!$N$5:$N$3507,$L891)&amp;"")</f>
        <v/>
      </c>
      <c r="I891" s="32" t="str">
        <f aca="false">IF(L891="","",INDEX(ポート振替表!$P$5:$P$3507,$L891)&amp;"")</f>
        <v/>
      </c>
      <c r="J891" s="60" t="str">
        <f aca="false">IF(L891="","",INDEX(ポート振替表!$M$5:$M$3507,$L891)&amp;"")</f>
        <v/>
      </c>
      <c r="K891" s="52" t="str">
        <f aca="false">IF(L891="","",E891&amp;CHAR(10)&amp;INDEX(ポート振替表!$K$5:$K$3507,$L891)&amp;" "&amp;INDEX(ポート振替表!$L$5:$L$3507,$L891)&amp;CHAR(10)&amp;"⇔ "&amp;INDEX(ポート振替表!$H$5:$H$3507,$L891)&amp;" "&amp;INDEX(ポート振替表!$I$5:$I$3507,$L891))</f>
        <v/>
      </c>
      <c r="L891" s="47" t="str">
        <f aca="false">IFERROR(MATCH(ROW()-4,ポート振替表!$V$5:$V$3507,0),"")</f>
        <v/>
      </c>
    </row>
    <row r="892" customFormat="false" ht="16.4" hidden="false" customHeight="false" outlineLevel="0" collapsed="false">
      <c r="A892" s="32" t="str">
        <f aca="false">IF(L892="","",ROW()-4)</f>
        <v/>
      </c>
      <c r="B892" s="58" t="str">
        <f aca="false">IF(L892="","",IF(INDEX(ポート振替表!$W$5:$W$3507,$L892)="","(なし)",INDEX(ポート振替表!$W$5:$W$3507,$L892)&amp;""))</f>
        <v/>
      </c>
      <c r="C892" s="52" t="str">
        <f aca="false">IF(L892="","",INDEX(ポート振替表!$B$5:$B$3507,$L892)&amp;" "&amp;INDEX(ポート振替表!$C$5:$C$3507,$L892)&amp;"  ⇔  "&amp;INDEX(ポート振替表!$H$5:$H$3507,$L892)&amp;" "&amp;INDEX(ポート振替表!$I$5:$I$3507,$L892))</f>
        <v/>
      </c>
      <c r="D892" s="57" t="s">
        <v>158</v>
      </c>
      <c r="E892" s="59" t="str">
        <f aca="false">IF(L892="","",IF(INDEX(ポート振替表!$O$5:$O$3507,$L892)="","(未設定)",INDEX(ポート振替表!$O$5:$O$3507,$L892)&amp;""))</f>
        <v/>
      </c>
      <c r="F892" s="52" t="str">
        <f aca="false">IF(L892="","",INDEX(ポート振替表!$K$5:$K$3507,$L892)&amp;" "&amp;INDEX(ポート振替表!$L$5:$L$3507,$L892)&amp;"  ⇔  "&amp;INDEX(ポート振替表!$H$5:$H$3507,$L892)&amp;" "&amp;INDEX(ポート振替表!$I$5:$I$3507,$L892))</f>
        <v/>
      </c>
      <c r="G892" s="57" t="s">
        <v>158</v>
      </c>
      <c r="H892" s="32" t="str">
        <f aca="false">IF(L892="","",INDEX(ポート振替表!$N$5:$N$3507,$L892)&amp;"")</f>
        <v/>
      </c>
      <c r="I892" s="32" t="str">
        <f aca="false">IF(L892="","",INDEX(ポート振替表!$P$5:$P$3507,$L892)&amp;"")</f>
        <v/>
      </c>
      <c r="J892" s="60" t="str">
        <f aca="false">IF(L892="","",INDEX(ポート振替表!$M$5:$M$3507,$L892)&amp;"")</f>
        <v/>
      </c>
      <c r="K892" s="52" t="str">
        <f aca="false">IF(L892="","",E892&amp;CHAR(10)&amp;INDEX(ポート振替表!$K$5:$K$3507,$L892)&amp;" "&amp;INDEX(ポート振替表!$L$5:$L$3507,$L892)&amp;CHAR(10)&amp;"⇔ "&amp;INDEX(ポート振替表!$H$5:$H$3507,$L892)&amp;" "&amp;INDEX(ポート振替表!$I$5:$I$3507,$L892))</f>
        <v/>
      </c>
      <c r="L892" s="47" t="str">
        <f aca="false">IFERROR(MATCH(ROW()-4,ポート振替表!$V$5:$V$3507,0),"")</f>
        <v/>
      </c>
    </row>
    <row r="893" customFormat="false" ht="16.4" hidden="false" customHeight="false" outlineLevel="0" collapsed="false">
      <c r="A893" s="32" t="str">
        <f aca="false">IF(L893="","",ROW()-4)</f>
        <v/>
      </c>
      <c r="B893" s="58" t="str">
        <f aca="false">IF(L893="","",IF(INDEX(ポート振替表!$W$5:$W$3507,$L893)="","(なし)",INDEX(ポート振替表!$W$5:$W$3507,$L893)&amp;""))</f>
        <v/>
      </c>
      <c r="C893" s="52" t="str">
        <f aca="false">IF(L893="","",INDEX(ポート振替表!$B$5:$B$3507,$L893)&amp;" "&amp;INDEX(ポート振替表!$C$5:$C$3507,$L893)&amp;"  ⇔  "&amp;INDEX(ポート振替表!$H$5:$H$3507,$L893)&amp;" "&amp;INDEX(ポート振替表!$I$5:$I$3507,$L893))</f>
        <v/>
      </c>
      <c r="D893" s="57" t="s">
        <v>158</v>
      </c>
      <c r="E893" s="59" t="str">
        <f aca="false">IF(L893="","",IF(INDEX(ポート振替表!$O$5:$O$3507,$L893)="","(未設定)",INDEX(ポート振替表!$O$5:$O$3507,$L893)&amp;""))</f>
        <v/>
      </c>
      <c r="F893" s="52" t="str">
        <f aca="false">IF(L893="","",INDEX(ポート振替表!$K$5:$K$3507,$L893)&amp;" "&amp;INDEX(ポート振替表!$L$5:$L$3507,$L893)&amp;"  ⇔  "&amp;INDEX(ポート振替表!$H$5:$H$3507,$L893)&amp;" "&amp;INDEX(ポート振替表!$I$5:$I$3507,$L893))</f>
        <v/>
      </c>
      <c r="G893" s="57" t="s">
        <v>158</v>
      </c>
      <c r="H893" s="32" t="str">
        <f aca="false">IF(L893="","",INDEX(ポート振替表!$N$5:$N$3507,$L893)&amp;"")</f>
        <v/>
      </c>
      <c r="I893" s="32" t="str">
        <f aca="false">IF(L893="","",INDEX(ポート振替表!$P$5:$P$3507,$L893)&amp;"")</f>
        <v/>
      </c>
      <c r="J893" s="60" t="str">
        <f aca="false">IF(L893="","",INDEX(ポート振替表!$M$5:$M$3507,$L893)&amp;"")</f>
        <v/>
      </c>
      <c r="K893" s="52" t="str">
        <f aca="false">IF(L893="","",E893&amp;CHAR(10)&amp;INDEX(ポート振替表!$K$5:$K$3507,$L893)&amp;" "&amp;INDEX(ポート振替表!$L$5:$L$3507,$L893)&amp;CHAR(10)&amp;"⇔ "&amp;INDEX(ポート振替表!$H$5:$H$3507,$L893)&amp;" "&amp;INDEX(ポート振替表!$I$5:$I$3507,$L893))</f>
        <v/>
      </c>
      <c r="L893" s="47" t="str">
        <f aca="false">IFERROR(MATCH(ROW()-4,ポート振替表!$V$5:$V$3507,0),"")</f>
        <v/>
      </c>
    </row>
    <row r="894" customFormat="false" ht="16.4" hidden="false" customHeight="false" outlineLevel="0" collapsed="false">
      <c r="A894" s="32" t="str">
        <f aca="false">IF(L894="","",ROW()-4)</f>
        <v/>
      </c>
      <c r="B894" s="58" t="str">
        <f aca="false">IF(L894="","",IF(INDEX(ポート振替表!$W$5:$W$3507,$L894)="","(なし)",INDEX(ポート振替表!$W$5:$W$3507,$L894)&amp;""))</f>
        <v/>
      </c>
      <c r="C894" s="52" t="str">
        <f aca="false">IF(L894="","",INDEX(ポート振替表!$B$5:$B$3507,$L894)&amp;" "&amp;INDEX(ポート振替表!$C$5:$C$3507,$L894)&amp;"  ⇔  "&amp;INDEX(ポート振替表!$H$5:$H$3507,$L894)&amp;" "&amp;INDEX(ポート振替表!$I$5:$I$3507,$L894))</f>
        <v/>
      </c>
      <c r="D894" s="57" t="s">
        <v>158</v>
      </c>
      <c r="E894" s="59" t="str">
        <f aca="false">IF(L894="","",IF(INDEX(ポート振替表!$O$5:$O$3507,$L894)="","(未設定)",INDEX(ポート振替表!$O$5:$O$3507,$L894)&amp;""))</f>
        <v/>
      </c>
      <c r="F894" s="52" t="str">
        <f aca="false">IF(L894="","",INDEX(ポート振替表!$K$5:$K$3507,$L894)&amp;" "&amp;INDEX(ポート振替表!$L$5:$L$3507,$L894)&amp;"  ⇔  "&amp;INDEX(ポート振替表!$H$5:$H$3507,$L894)&amp;" "&amp;INDEX(ポート振替表!$I$5:$I$3507,$L894))</f>
        <v/>
      </c>
      <c r="G894" s="57" t="s">
        <v>158</v>
      </c>
      <c r="H894" s="32" t="str">
        <f aca="false">IF(L894="","",INDEX(ポート振替表!$N$5:$N$3507,$L894)&amp;"")</f>
        <v/>
      </c>
      <c r="I894" s="32" t="str">
        <f aca="false">IF(L894="","",INDEX(ポート振替表!$P$5:$P$3507,$L894)&amp;"")</f>
        <v/>
      </c>
      <c r="J894" s="60" t="str">
        <f aca="false">IF(L894="","",INDEX(ポート振替表!$M$5:$M$3507,$L894)&amp;"")</f>
        <v/>
      </c>
      <c r="K894" s="52" t="str">
        <f aca="false">IF(L894="","",E894&amp;CHAR(10)&amp;INDEX(ポート振替表!$K$5:$K$3507,$L894)&amp;" "&amp;INDEX(ポート振替表!$L$5:$L$3507,$L894)&amp;CHAR(10)&amp;"⇔ "&amp;INDEX(ポート振替表!$H$5:$H$3507,$L894)&amp;" "&amp;INDEX(ポート振替表!$I$5:$I$3507,$L894))</f>
        <v/>
      </c>
      <c r="L894" s="47" t="str">
        <f aca="false">IFERROR(MATCH(ROW()-4,ポート振替表!$V$5:$V$3507,0),"")</f>
        <v/>
      </c>
    </row>
    <row r="895" customFormat="false" ht="16.4" hidden="false" customHeight="false" outlineLevel="0" collapsed="false">
      <c r="A895" s="32" t="str">
        <f aca="false">IF(L895="","",ROW()-4)</f>
        <v/>
      </c>
      <c r="B895" s="58" t="str">
        <f aca="false">IF(L895="","",IF(INDEX(ポート振替表!$W$5:$W$3507,$L895)="","(なし)",INDEX(ポート振替表!$W$5:$W$3507,$L895)&amp;""))</f>
        <v/>
      </c>
      <c r="C895" s="52" t="str">
        <f aca="false">IF(L895="","",INDEX(ポート振替表!$B$5:$B$3507,$L895)&amp;" "&amp;INDEX(ポート振替表!$C$5:$C$3507,$L895)&amp;"  ⇔  "&amp;INDEX(ポート振替表!$H$5:$H$3507,$L895)&amp;" "&amp;INDEX(ポート振替表!$I$5:$I$3507,$L895))</f>
        <v/>
      </c>
      <c r="D895" s="57" t="s">
        <v>158</v>
      </c>
      <c r="E895" s="59" t="str">
        <f aca="false">IF(L895="","",IF(INDEX(ポート振替表!$O$5:$O$3507,$L895)="","(未設定)",INDEX(ポート振替表!$O$5:$O$3507,$L895)&amp;""))</f>
        <v/>
      </c>
      <c r="F895" s="52" t="str">
        <f aca="false">IF(L895="","",INDEX(ポート振替表!$K$5:$K$3507,$L895)&amp;" "&amp;INDEX(ポート振替表!$L$5:$L$3507,$L895)&amp;"  ⇔  "&amp;INDEX(ポート振替表!$H$5:$H$3507,$L895)&amp;" "&amp;INDEX(ポート振替表!$I$5:$I$3507,$L895))</f>
        <v/>
      </c>
      <c r="G895" s="57" t="s">
        <v>158</v>
      </c>
      <c r="H895" s="32" t="str">
        <f aca="false">IF(L895="","",INDEX(ポート振替表!$N$5:$N$3507,$L895)&amp;"")</f>
        <v/>
      </c>
      <c r="I895" s="32" t="str">
        <f aca="false">IF(L895="","",INDEX(ポート振替表!$P$5:$P$3507,$L895)&amp;"")</f>
        <v/>
      </c>
      <c r="J895" s="60" t="str">
        <f aca="false">IF(L895="","",INDEX(ポート振替表!$M$5:$M$3507,$L895)&amp;"")</f>
        <v/>
      </c>
      <c r="K895" s="52" t="str">
        <f aca="false">IF(L895="","",E895&amp;CHAR(10)&amp;INDEX(ポート振替表!$K$5:$K$3507,$L895)&amp;" "&amp;INDEX(ポート振替表!$L$5:$L$3507,$L895)&amp;CHAR(10)&amp;"⇔ "&amp;INDEX(ポート振替表!$H$5:$H$3507,$L895)&amp;" "&amp;INDEX(ポート振替表!$I$5:$I$3507,$L895))</f>
        <v/>
      </c>
      <c r="L895" s="47" t="str">
        <f aca="false">IFERROR(MATCH(ROW()-4,ポート振替表!$V$5:$V$3507,0),"")</f>
        <v/>
      </c>
    </row>
    <row r="896" customFormat="false" ht="16.4" hidden="false" customHeight="false" outlineLevel="0" collapsed="false">
      <c r="A896" s="32" t="str">
        <f aca="false">IF(L896="","",ROW()-4)</f>
        <v/>
      </c>
      <c r="B896" s="58" t="str">
        <f aca="false">IF(L896="","",IF(INDEX(ポート振替表!$W$5:$W$3507,$L896)="","(なし)",INDEX(ポート振替表!$W$5:$W$3507,$L896)&amp;""))</f>
        <v/>
      </c>
      <c r="C896" s="52" t="str">
        <f aca="false">IF(L896="","",INDEX(ポート振替表!$B$5:$B$3507,$L896)&amp;" "&amp;INDEX(ポート振替表!$C$5:$C$3507,$L896)&amp;"  ⇔  "&amp;INDEX(ポート振替表!$H$5:$H$3507,$L896)&amp;" "&amp;INDEX(ポート振替表!$I$5:$I$3507,$L896))</f>
        <v/>
      </c>
      <c r="D896" s="57" t="s">
        <v>158</v>
      </c>
      <c r="E896" s="59" t="str">
        <f aca="false">IF(L896="","",IF(INDEX(ポート振替表!$O$5:$O$3507,$L896)="","(未設定)",INDEX(ポート振替表!$O$5:$O$3507,$L896)&amp;""))</f>
        <v/>
      </c>
      <c r="F896" s="52" t="str">
        <f aca="false">IF(L896="","",INDEX(ポート振替表!$K$5:$K$3507,$L896)&amp;" "&amp;INDEX(ポート振替表!$L$5:$L$3507,$L896)&amp;"  ⇔  "&amp;INDEX(ポート振替表!$H$5:$H$3507,$L896)&amp;" "&amp;INDEX(ポート振替表!$I$5:$I$3507,$L896))</f>
        <v/>
      </c>
      <c r="G896" s="57" t="s">
        <v>158</v>
      </c>
      <c r="H896" s="32" t="str">
        <f aca="false">IF(L896="","",INDEX(ポート振替表!$N$5:$N$3507,$L896)&amp;"")</f>
        <v/>
      </c>
      <c r="I896" s="32" t="str">
        <f aca="false">IF(L896="","",INDEX(ポート振替表!$P$5:$P$3507,$L896)&amp;"")</f>
        <v/>
      </c>
      <c r="J896" s="60" t="str">
        <f aca="false">IF(L896="","",INDEX(ポート振替表!$M$5:$M$3507,$L896)&amp;"")</f>
        <v/>
      </c>
      <c r="K896" s="52" t="str">
        <f aca="false">IF(L896="","",E896&amp;CHAR(10)&amp;INDEX(ポート振替表!$K$5:$K$3507,$L896)&amp;" "&amp;INDEX(ポート振替表!$L$5:$L$3507,$L896)&amp;CHAR(10)&amp;"⇔ "&amp;INDEX(ポート振替表!$H$5:$H$3507,$L896)&amp;" "&amp;INDEX(ポート振替表!$I$5:$I$3507,$L896))</f>
        <v/>
      </c>
      <c r="L896" s="47" t="str">
        <f aca="false">IFERROR(MATCH(ROW()-4,ポート振替表!$V$5:$V$3507,0),"")</f>
        <v/>
      </c>
    </row>
    <row r="897" customFormat="false" ht="16.4" hidden="false" customHeight="false" outlineLevel="0" collapsed="false">
      <c r="A897" s="32" t="str">
        <f aca="false">IF(L897="","",ROW()-4)</f>
        <v/>
      </c>
      <c r="B897" s="58" t="str">
        <f aca="false">IF(L897="","",IF(INDEX(ポート振替表!$W$5:$W$3507,$L897)="","(なし)",INDEX(ポート振替表!$W$5:$W$3507,$L897)&amp;""))</f>
        <v/>
      </c>
      <c r="C897" s="52" t="str">
        <f aca="false">IF(L897="","",INDEX(ポート振替表!$B$5:$B$3507,$L897)&amp;" "&amp;INDEX(ポート振替表!$C$5:$C$3507,$L897)&amp;"  ⇔  "&amp;INDEX(ポート振替表!$H$5:$H$3507,$L897)&amp;" "&amp;INDEX(ポート振替表!$I$5:$I$3507,$L897))</f>
        <v/>
      </c>
      <c r="D897" s="57" t="s">
        <v>158</v>
      </c>
      <c r="E897" s="59" t="str">
        <f aca="false">IF(L897="","",IF(INDEX(ポート振替表!$O$5:$O$3507,$L897)="","(未設定)",INDEX(ポート振替表!$O$5:$O$3507,$L897)&amp;""))</f>
        <v/>
      </c>
      <c r="F897" s="52" t="str">
        <f aca="false">IF(L897="","",INDEX(ポート振替表!$K$5:$K$3507,$L897)&amp;" "&amp;INDEX(ポート振替表!$L$5:$L$3507,$L897)&amp;"  ⇔  "&amp;INDEX(ポート振替表!$H$5:$H$3507,$L897)&amp;" "&amp;INDEX(ポート振替表!$I$5:$I$3507,$L897))</f>
        <v/>
      </c>
      <c r="G897" s="57" t="s">
        <v>158</v>
      </c>
      <c r="H897" s="32" t="str">
        <f aca="false">IF(L897="","",INDEX(ポート振替表!$N$5:$N$3507,$L897)&amp;"")</f>
        <v/>
      </c>
      <c r="I897" s="32" t="str">
        <f aca="false">IF(L897="","",INDEX(ポート振替表!$P$5:$P$3507,$L897)&amp;"")</f>
        <v/>
      </c>
      <c r="J897" s="60" t="str">
        <f aca="false">IF(L897="","",INDEX(ポート振替表!$M$5:$M$3507,$L897)&amp;"")</f>
        <v/>
      </c>
      <c r="K897" s="52" t="str">
        <f aca="false">IF(L897="","",E897&amp;CHAR(10)&amp;INDEX(ポート振替表!$K$5:$K$3507,$L897)&amp;" "&amp;INDEX(ポート振替表!$L$5:$L$3507,$L897)&amp;CHAR(10)&amp;"⇔ "&amp;INDEX(ポート振替表!$H$5:$H$3507,$L897)&amp;" "&amp;INDEX(ポート振替表!$I$5:$I$3507,$L897))</f>
        <v/>
      </c>
      <c r="L897" s="47" t="str">
        <f aca="false">IFERROR(MATCH(ROW()-4,ポート振替表!$V$5:$V$3507,0),"")</f>
        <v/>
      </c>
    </row>
    <row r="898" customFormat="false" ht="16.4" hidden="false" customHeight="false" outlineLevel="0" collapsed="false">
      <c r="A898" s="32" t="str">
        <f aca="false">IF(L898="","",ROW()-4)</f>
        <v/>
      </c>
      <c r="B898" s="58" t="str">
        <f aca="false">IF(L898="","",IF(INDEX(ポート振替表!$W$5:$W$3507,$L898)="","(なし)",INDEX(ポート振替表!$W$5:$W$3507,$L898)&amp;""))</f>
        <v/>
      </c>
      <c r="C898" s="52" t="str">
        <f aca="false">IF(L898="","",INDEX(ポート振替表!$B$5:$B$3507,$L898)&amp;" "&amp;INDEX(ポート振替表!$C$5:$C$3507,$L898)&amp;"  ⇔  "&amp;INDEX(ポート振替表!$H$5:$H$3507,$L898)&amp;" "&amp;INDEX(ポート振替表!$I$5:$I$3507,$L898))</f>
        <v/>
      </c>
      <c r="D898" s="57" t="s">
        <v>158</v>
      </c>
      <c r="E898" s="59" t="str">
        <f aca="false">IF(L898="","",IF(INDEX(ポート振替表!$O$5:$O$3507,$L898)="","(未設定)",INDEX(ポート振替表!$O$5:$O$3507,$L898)&amp;""))</f>
        <v/>
      </c>
      <c r="F898" s="52" t="str">
        <f aca="false">IF(L898="","",INDEX(ポート振替表!$K$5:$K$3507,$L898)&amp;" "&amp;INDEX(ポート振替表!$L$5:$L$3507,$L898)&amp;"  ⇔  "&amp;INDEX(ポート振替表!$H$5:$H$3507,$L898)&amp;" "&amp;INDEX(ポート振替表!$I$5:$I$3507,$L898))</f>
        <v/>
      </c>
      <c r="G898" s="57" t="s">
        <v>158</v>
      </c>
      <c r="H898" s="32" t="str">
        <f aca="false">IF(L898="","",INDEX(ポート振替表!$N$5:$N$3507,$L898)&amp;"")</f>
        <v/>
      </c>
      <c r="I898" s="32" t="str">
        <f aca="false">IF(L898="","",INDEX(ポート振替表!$P$5:$P$3507,$L898)&amp;"")</f>
        <v/>
      </c>
      <c r="J898" s="60" t="str">
        <f aca="false">IF(L898="","",INDEX(ポート振替表!$M$5:$M$3507,$L898)&amp;"")</f>
        <v/>
      </c>
      <c r="K898" s="52" t="str">
        <f aca="false">IF(L898="","",E898&amp;CHAR(10)&amp;INDEX(ポート振替表!$K$5:$K$3507,$L898)&amp;" "&amp;INDEX(ポート振替表!$L$5:$L$3507,$L898)&amp;CHAR(10)&amp;"⇔ "&amp;INDEX(ポート振替表!$H$5:$H$3507,$L898)&amp;" "&amp;INDEX(ポート振替表!$I$5:$I$3507,$L898))</f>
        <v/>
      </c>
      <c r="L898" s="47" t="str">
        <f aca="false">IFERROR(MATCH(ROW()-4,ポート振替表!$V$5:$V$3507,0),"")</f>
        <v/>
      </c>
    </row>
    <row r="899" customFormat="false" ht="16.4" hidden="false" customHeight="false" outlineLevel="0" collapsed="false">
      <c r="A899" s="32" t="str">
        <f aca="false">IF(L899="","",ROW()-4)</f>
        <v/>
      </c>
      <c r="B899" s="58" t="str">
        <f aca="false">IF(L899="","",IF(INDEX(ポート振替表!$W$5:$W$3507,$L899)="","(なし)",INDEX(ポート振替表!$W$5:$W$3507,$L899)&amp;""))</f>
        <v/>
      </c>
      <c r="C899" s="52" t="str">
        <f aca="false">IF(L899="","",INDEX(ポート振替表!$B$5:$B$3507,$L899)&amp;" "&amp;INDEX(ポート振替表!$C$5:$C$3507,$L899)&amp;"  ⇔  "&amp;INDEX(ポート振替表!$H$5:$H$3507,$L899)&amp;" "&amp;INDEX(ポート振替表!$I$5:$I$3507,$L899))</f>
        <v/>
      </c>
      <c r="D899" s="57" t="s">
        <v>158</v>
      </c>
      <c r="E899" s="59" t="str">
        <f aca="false">IF(L899="","",IF(INDEX(ポート振替表!$O$5:$O$3507,$L899)="","(未設定)",INDEX(ポート振替表!$O$5:$O$3507,$L899)&amp;""))</f>
        <v/>
      </c>
      <c r="F899" s="52" t="str">
        <f aca="false">IF(L899="","",INDEX(ポート振替表!$K$5:$K$3507,$L899)&amp;" "&amp;INDEX(ポート振替表!$L$5:$L$3507,$L899)&amp;"  ⇔  "&amp;INDEX(ポート振替表!$H$5:$H$3507,$L899)&amp;" "&amp;INDEX(ポート振替表!$I$5:$I$3507,$L899))</f>
        <v/>
      </c>
      <c r="G899" s="57" t="s">
        <v>158</v>
      </c>
      <c r="H899" s="32" t="str">
        <f aca="false">IF(L899="","",INDEX(ポート振替表!$N$5:$N$3507,$L899)&amp;"")</f>
        <v/>
      </c>
      <c r="I899" s="32" t="str">
        <f aca="false">IF(L899="","",INDEX(ポート振替表!$P$5:$P$3507,$L899)&amp;"")</f>
        <v/>
      </c>
      <c r="J899" s="60" t="str">
        <f aca="false">IF(L899="","",INDEX(ポート振替表!$M$5:$M$3507,$L899)&amp;"")</f>
        <v/>
      </c>
      <c r="K899" s="52" t="str">
        <f aca="false">IF(L899="","",E899&amp;CHAR(10)&amp;INDEX(ポート振替表!$K$5:$K$3507,$L899)&amp;" "&amp;INDEX(ポート振替表!$L$5:$L$3507,$L899)&amp;CHAR(10)&amp;"⇔ "&amp;INDEX(ポート振替表!$H$5:$H$3507,$L899)&amp;" "&amp;INDEX(ポート振替表!$I$5:$I$3507,$L899))</f>
        <v/>
      </c>
      <c r="L899" s="47" t="str">
        <f aca="false">IFERROR(MATCH(ROW()-4,ポート振替表!$V$5:$V$3507,0),"")</f>
        <v/>
      </c>
    </row>
    <row r="900" customFormat="false" ht="16.4" hidden="false" customHeight="false" outlineLevel="0" collapsed="false">
      <c r="A900" s="32" t="str">
        <f aca="false">IF(L900="","",ROW()-4)</f>
        <v/>
      </c>
      <c r="B900" s="58" t="str">
        <f aca="false">IF(L900="","",IF(INDEX(ポート振替表!$W$5:$W$3507,$L900)="","(なし)",INDEX(ポート振替表!$W$5:$W$3507,$L900)&amp;""))</f>
        <v/>
      </c>
      <c r="C900" s="52" t="str">
        <f aca="false">IF(L900="","",INDEX(ポート振替表!$B$5:$B$3507,$L900)&amp;" "&amp;INDEX(ポート振替表!$C$5:$C$3507,$L900)&amp;"  ⇔  "&amp;INDEX(ポート振替表!$H$5:$H$3507,$L900)&amp;" "&amp;INDEX(ポート振替表!$I$5:$I$3507,$L900))</f>
        <v/>
      </c>
      <c r="D900" s="57" t="s">
        <v>158</v>
      </c>
      <c r="E900" s="59" t="str">
        <f aca="false">IF(L900="","",IF(INDEX(ポート振替表!$O$5:$O$3507,$L900)="","(未設定)",INDEX(ポート振替表!$O$5:$O$3507,$L900)&amp;""))</f>
        <v/>
      </c>
      <c r="F900" s="52" t="str">
        <f aca="false">IF(L900="","",INDEX(ポート振替表!$K$5:$K$3507,$L900)&amp;" "&amp;INDEX(ポート振替表!$L$5:$L$3507,$L900)&amp;"  ⇔  "&amp;INDEX(ポート振替表!$H$5:$H$3507,$L900)&amp;" "&amp;INDEX(ポート振替表!$I$5:$I$3507,$L900))</f>
        <v/>
      </c>
      <c r="G900" s="57" t="s">
        <v>158</v>
      </c>
      <c r="H900" s="32" t="str">
        <f aca="false">IF(L900="","",INDEX(ポート振替表!$N$5:$N$3507,$L900)&amp;"")</f>
        <v/>
      </c>
      <c r="I900" s="32" t="str">
        <f aca="false">IF(L900="","",INDEX(ポート振替表!$P$5:$P$3507,$L900)&amp;"")</f>
        <v/>
      </c>
      <c r="J900" s="60" t="str">
        <f aca="false">IF(L900="","",INDEX(ポート振替表!$M$5:$M$3507,$L900)&amp;"")</f>
        <v/>
      </c>
      <c r="K900" s="52" t="str">
        <f aca="false">IF(L900="","",E900&amp;CHAR(10)&amp;INDEX(ポート振替表!$K$5:$K$3507,$L900)&amp;" "&amp;INDEX(ポート振替表!$L$5:$L$3507,$L900)&amp;CHAR(10)&amp;"⇔ "&amp;INDEX(ポート振替表!$H$5:$H$3507,$L900)&amp;" "&amp;INDEX(ポート振替表!$I$5:$I$3507,$L900))</f>
        <v/>
      </c>
      <c r="L900" s="47" t="str">
        <f aca="false">IFERROR(MATCH(ROW()-4,ポート振替表!$V$5:$V$3507,0),"")</f>
        <v/>
      </c>
    </row>
    <row r="901" customFormat="false" ht="16.4" hidden="false" customHeight="false" outlineLevel="0" collapsed="false">
      <c r="A901" s="32" t="str">
        <f aca="false">IF(L901="","",ROW()-4)</f>
        <v/>
      </c>
      <c r="B901" s="58" t="str">
        <f aca="false">IF(L901="","",IF(INDEX(ポート振替表!$W$5:$W$3507,$L901)="","(なし)",INDEX(ポート振替表!$W$5:$W$3507,$L901)&amp;""))</f>
        <v/>
      </c>
      <c r="C901" s="52" t="str">
        <f aca="false">IF(L901="","",INDEX(ポート振替表!$B$5:$B$3507,$L901)&amp;" "&amp;INDEX(ポート振替表!$C$5:$C$3507,$L901)&amp;"  ⇔  "&amp;INDEX(ポート振替表!$H$5:$H$3507,$L901)&amp;" "&amp;INDEX(ポート振替表!$I$5:$I$3507,$L901))</f>
        <v/>
      </c>
      <c r="D901" s="57" t="s">
        <v>158</v>
      </c>
      <c r="E901" s="59" t="str">
        <f aca="false">IF(L901="","",IF(INDEX(ポート振替表!$O$5:$O$3507,$L901)="","(未設定)",INDEX(ポート振替表!$O$5:$O$3507,$L901)&amp;""))</f>
        <v/>
      </c>
      <c r="F901" s="52" t="str">
        <f aca="false">IF(L901="","",INDEX(ポート振替表!$K$5:$K$3507,$L901)&amp;" "&amp;INDEX(ポート振替表!$L$5:$L$3507,$L901)&amp;"  ⇔  "&amp;INDEX(ポート振替表!$H$5:$H$3507,$L901)&amp;" "&amp;INDEX(ポート振替表!$I$5:$I$3507,$L901))</f>
        <v/>
      </c>
      <c r="G901" s="57" t="s">
        <v>158</v>
      </c>
      <c r="H901" s="32" t="str">
        <f aca="false">IF(L901="","",INDEX(ポート振替表!$N$5:$N$3507,$L901)&amp;"")</f>
        <v/>
      </c>
      <c r="I901" s="32" t="str">
        <f aca="false">IF(L901="","",INDEX(ポート振替表!$P$5:$P$3507,$L901)&amp;"")</f>
        <v/>
      </c>
      <c r="J901" s="60" t="str">
        <f aca="false">IF(L901="","",INDEX(ポート振替表!$M$5:$M$3507,$L901)&amp;"")</f>
        <v/>
      </c>
      <c r="K901" s="52" t="str">
        <f aca="false">IF(L901="","",E901&amp;CHAR(10)&amp;INDEX(ポート振替表!$K$5:$K$3507,$L901)&amp;" "&amp;INDEX(ポート振替表!$L$5:$L$3507,$L901)&amp;CHAR(10)&amp;"⇔ "&amp;INDEX(ポート振替表!$H$5:$H$3507,$L901)&amp;" "&amp;INDEX(ポート振替表!$I$5:$I$3507,$L901))</f>
        <v/>
      </c>
      <c r="L901" s="47" t="str">
        <f aca="false">IFERROR(MATCH(ROW()-4,ポート振替表!$V$5:$V$3507,0),"")</f>
        <v/>
      </c>
    </row>
    <row r="902" customFormat="false" ht="16.4" hidden="false" customHeight="false" outlineLevel="0" collapsed="false">
      <c r="A902" s="32" t="str">
        <f aca="false">IF(L902="","",ROW()-4)</f>
        <v/>
      </c>
      <c r="B902" s="58" t="str">
        <f aca="false">IF(L902="","",IF(INDEX(ポート振替表!$W$5:$W$3507,$L902)="","(なし)",INDEX(ポート振替表!$W$5:$W$3507,$L902)&amp;""))</f>
        <v/>
      </c>
      <c r="C902" s="52" t="str">
        <f aca="false">IF(L902="","",INDEX(ポート振替表!$B$5:$B$3507,$L902)&amp;" "&amp;INDEX(ポート振替表!$C$5:$C$3507,$L902)&amp;"  ⇔  "&amp;INDEX(ポート振替表!$H$5:$H$3507,$L902)&amp;" "&amp;INDEX(ポート振替表!$I$5:$I$3507,$L902))</f>
        <v/>
      </c>
      <c r="D902" s="57" t="s">
        <v>158</v>
      </c>
      <c r="E902" s="59" t="str">
        <f aca="false">IF(L902="","",IF(INDEX(ポート振替表!$O$5:$O$3507,$L902)="","(未設定)",INDEX(ポート振替表!$O$5:$O$3507,$L902)&amp;""))</f>
        <v/>
      </c>
      <c r="F902" s="52" t="str">
        <f aca="false">IF(L902="","",INDEX(ポート振替表!$K$5:$K$3507,$L902)&amp;" "&amp;INDEX(ポート振替表!$L$5:$L$3507,$L902)&amp;"  ⇔  "&amp;INDEX(ポート振替表!$H$5:$H$3507,$L902)&amp;" "&amp;INDEX(ポート振替表!$I$5:$I$3507,$L902))</f>
        <v/>
      </c>
      <c r="G902" s="57" t="s">
        <v>158</v>
      </c>
      <c r="H902" s="32" t="str">
        <f aca="false">IF(L902="","",INDEX(ポート振替表!$N$5:$N$3507,$L902)&amp;"")</f>
        <v/>
      </c>
      <c r="I902" s="32" t="str">
        <f aca="false">IF(L902="","",INDEX(ポート振替表!$P$5:$P$3507,$L902)&amp;"")</f>
        <v/>
      </c>
      <c r="J902" s="60" t="str">
        <f aca="false">IF(L902="","",INDEX(ポート振替表!$M$5:$M$3507,$L902)&amp;"")</f>
        <v/>
      </c>
      <c r="K902" s="52" t="str">
        <f aca="false">IF(L902="","",E902&amp;CHAR(10)&amp;INDEX(ポート振替表!$K$5:$K$3507,$L902)&amp;" "&amp;INDEX(ポート振替表!$L$5:$L$3507,$L902)&amp;CHAR(10)&amp;"⇔ "&amp;INDEX(ポート振替表!$H$5:$H$3507,$L902)&amp;" "&amp;INDEX(ポート振替表!$I$5:$I$3507,$L902))</f>
        <v/>
      </c>
      <c r="L902" s="47" t="str">
        <f aca="false">IFERROR(MATCH(ROW()-4,ポート振替表!$V$5:$V$3507,0),"")</f>
        <v/>
      </c>
    </row>
    <row r="903" customFormat="false" ht="16.4" hidden="false" customHeight="false" outlineLevel="0" collapsed="false">
      <c r="A903" s="32" t="str">
        <f aca="false">IF(L903="","",ROW()-4)</f>
        <v/>
      </c>
      <c r="B903" s="58" t="str">
        <f aca="false">IF(L903="","",IF(INDEX(ポート振替表!$W$5:$W$3507,$L903)="","(なし)",INDEX(ポート振替表!$W$5:$W$3507,$L903)&amp;""))</f>
        <v/>
      </c>
      <c r="C903" s="52" t="str">
        <f aca="false">IF(L903="","",INDEX(ポート振替表!$B$5:$B$3507,$L903)&amp;" "&amp;INDEX(ポート振替表!$C$5:$C$3507,$L903)&amp;"  ⇔  "&amp;INDEX(ポート振替表!$H$5:$H$3507,$L903)&amp;" "&amp;INDEX(ポート振替表!$I$5:$I$3507,$L903))</f>
        <v/>
      </c>
      <c r="D903" s="57" t="s">
        <v>158</v>
      </c>
      <c r="E903" s="59" t="str">
        <f aca="false">IF(L903="","",IF(INDEX(ポート振替表!$O$5:$O$3507,$L903)="","(未設定)",INDEX(ポート振替表!$O$5:$O$3507,$L903)&amp;""))</f>
        <v/>
      </c>
      <c r="F903" s="52" t="str">
        <f aca="false">IF(L903="","",INDEX(ポート振替表!$K$5:$K$3507,$L903)&amp;" "&amp;INDEX(ポート振替表!$L$5:$L$3507,$L903)&amp;"  ⇔  "&amp;INDEX(ポート振替表!$H$5:$H$3507,$L903)&amp;" "&amp;INDEX(ポート振替表!$I$5:$I$3507,$L903))</f>
        <v/>
      </c>
      <c r="G903" s="57" t="s">
        <v>158</v>
      </c>
      <c r="H903" s="32" t="str">
        <f aca="false">IF(L903="","",INDEX(ポート振替表!$N$5:$N$3507,$L903)&amp;"")</f>
        <v/>
      </c>
      <c r="I903" s="32" t="str">
        <f aca="false">IF(L903="","",INDEX(ポート振替表!$P$5:$P$3507,$L903)&amp;"")</f>
        <v/>
      </c>
      <c r="J903" s="60" t="str">
        <f aca="false">IF(L903="","",INDEX(ポート振替表!$M$5:$M$3507,$L903)&amp;"")</f>
        <v/>
      </c>
      <c r="K903" s="52" t="str">
        <f aca="false">IF(L903="","",E903&amp;CHAR(10)&amp;INDEX(ポート振替表!$K$5:$K$3507,$L903)&amp;" "&amp;INDEX(ポート振替表!$L$5:$L$3507,$L903)&amp;CHAR(10)&amp;"⇔ "&amp;INDEX(ポート振替表!$H$5:$H$3507,$L903)&amp;" "&amp;INDEX(ポート振替表!$I$5:$I$3507,$L903))</f>
        <v/>
      </c>
      <c r="L903" s="47" t="str">
        <f aca="false">IFERROR(MATCH(ROW()-4,ポート振替表!$V$5:$V$3507,0),"")</f>
        <v/>
      </c>
    </row>
    <row r="904" customFormat="false" ht="16.4" hidden="false" customHeight="false" outlineLevel="0" collapsed="false">
      <c r="A904" s="32" t="str">
        <f aca="false">IF(L904="","",ROW()-4)</f>
        <v/>
      </c>
      <c r="B904" s="58" t="str">
        <f aca="false">IF(L904="","",IF(INDEX(ポート振替表!$W$5:$W$3507,$L904)="","(なし)",INDEX(ポート振替表!$W$5:$W$3507,$L904)&amp;""))</f>
        <v/>
      </c>
      <c r="C904" s="52" t="str">
        <f aca="false">IF(L904="","",INDEX(ポート振替表!$B$5:$B$3507,$L904)&amp;" "&amp;INDEX(ポート振替表!$C$5:$C$3507,$L904)&amp;"  ⇔  "&amp;INDEX(ポート振替表!$H$5:$H$3507,$L904)&amp;" "&amp;INDEX(ポート振替表!$I$5:$I$3507,$L904))</f>
        <v/>
      </c>
      <c r="D904" s="57" t="s">
        <v>158</v>
      </c>
      <c r="E904" s="59" t="str">
        <f aca="false">IF(L904="","",IF(INDEX(ポート振替表!$O$5:$O$3507,$L904)="","(未設定)",INDEX(ポート振替表!$O$5:$O$3507,$L904)&amp;""))</f>
        <v/>
      </c>
      <c r="F904" s="52" t="str">
        <f aca="false">IF(L904="","",INDEX(ポート振替表!$K$5:$K$3507,$L904)&amp;" "&amp;INDEX(ポート振替表!$L$5:$L$3507,$L904)&amp;"  ⇔  "&amp;INDEX(ポート振替表!$H$5:$H$3507,$L904)&amp;" "&amp;INDEX(ポート振替表!$I$5:$I$3507,$L904))</f>
        <v/>
      </c>
      <c r="G904" s="57" t="s">
        <v>158</v>
      </c>
      <c r="H904" s="32" t="str">
        <f aca="false">IF(L904="","",INDEX(ポート振替表!$N$5:$N$3507,$L904)&amp;"")</f>
        <v/>
      </c>
      <c r="I904" s="32" t="str">
        <f aca="false">IF(L904="","",INDEX(ポート振替表!$P$5:$P$3507,$L904)&amp;"")</f>
        <v/>
      </c>
      <c r="J904" s="60" t="str">
        <f aca="false">IF(L904="","",INDEX(ポート振替表!$M$5:$M$3507,$L904)&amp;"")</f>
        <v/>
      </c>
      <c r="K904" s="52" t="str">
        <f aca="false">IF(L904="","",E904&amp;CHAR(10)&amp;INDEX(ポート振替表!$K$5:$K$3507,$L904)&amp;" "&amp;INDEX(ポート振替表!$L$5:$L$3507,$L904)&amp;CHAR(10)&amp;"⇔ "&amp;INDEX(ポート振替表!$H$5:$H$3507,$L904)&amp;" "&amp;INDEX(ポート振替表!$I$5:$I$3507,$L904))</f>
        <v/>
      </c>
      <c r="L904" s="47" t="str">
        <f aca="false">IFERROR(MATCH(ROW()-4,ポート振替表!$V$5:$V$3507,0),"")</f>
        <v/>
      </c>
    </row>
    <row r="905" customFormat="false" ht="16.4" hidden="false" customHeight="false" outlineLevel="0" collapsed="false">
      <c r="A905" s="32" t="str">
        <f aca="false">IF(L905="","",ROW()-4)</f>
        <v/>
      </c>
      <c r="B905" s="58" t="str">
        <f aca="false">IF(L905="","",IF(INDEX(ポート振替表!$W$5:$W$3507,$L905)="","(なし)",INDEX(ポート振替表!$W$5:$W$3507,$L905)&amp;""))</f>
        <v/>
      </c>
      <c r="C905" s="52" t="str">
        <f aca="false">IF(L905="","",INDEX(ポート振替表!$B$5:$B$3507,$L905)&amp;" "&amp;INDEX(ポート振替表!$C$5:$C$3507,$L905)&amp;"  ⇔  "&amp;INDEX(ポート振替表!$H$5:$H$3507,$L905)&amp;" "&amp;INDEX(ポート振替表!$I$5:$I$3507,$L905))</f>
        <v/>
      </c>
      <c r="D905" s="57" t="s">
        <v>158</v>
      </c>
      <c r="E905" s="59" t="str">
        <f aca="false">IF(L905="","",IF(INDEX(ポート振替表!$O$5:$O$3507,$L905)="","(未設定)",INDEX(ポート振替表!$O$5:$O$3507,$L905)&amp;""))</f>
        <v/>
      </c>
      <c r="F905" s="52" t="str">
        <f aca="false">IF(L905="","",INDEX(ポート振替表!$K$5:$K$3507,$L905)&amp;" "&amp;INDEX(ポート振替表!$L$5:$L$3507,$L905)&amp;"  ⇔  "&amp;INDEX(ポート振替表!$H$5:$H$3507,$L905)&amp;" "&amp;INDEX(ポート振替表!$I$5:$I$3507,$L905))</f>
        <v/>
      </c>
      <c r="G905" s="57" t="s">
        <v>158</v>
      </c>
      <c r="H905" s="32" t="str">
        <f aca="false">IF(L905="","",INDEX(ポート振替表!$N$5:$N$3507,$L905)&amp;"")</f>
        <v/>
      </c>
      <c r="I905" s="32" t="str">
        <f aca="false">IF(L905="","",INDEX(ポート振替表!$P$5:$P$3507,$L905)&amp;"")</f>
        <v/>
      </c>
      <c r="J905" s="60" t="str">
        <f aca="false">IF(L905="","",INDEX(ポート振替表!$M$5:$M$3507,$L905)&amp;"")</f>
        <v/>
      </c>
      <c r="K905" s="52" t="str">
        <f aca="false">IF(L905="","",E905&amp;CHAR(10)&amp;INDEX(ポート振替表!$K$5:$K$3507,$L905)&amp;" "&amp;INDEX(ポート振替表!$L$5:$L$3507,$L905)&amp;CHAR(10)&amp;"⇔ "&amp;INDEX(ポート振替表!$H$5:$H$3507,$L905)&amp;" "&amp;INDEX(ポート振替表!$I$5:$I$3507,$L905))</f>
        <v/>
      </c>
      <c r="L905" s="47" t="str">
        <f aca="false">IFERROR(MATCH(ROW()-4,ポート振替表!$V$5:$V$3507,0),"")</f>
        <v/>
      </c>
    </row>
    <row r="906" customFormat="false" ht="16.4" hidden="false" customHeight="false" outlineLevel="0" collapsed="false">
      <c r="A906" s="32" t="str">
        <f aca="false">IF(L906="","",ROW()-4)</f>
        <v/>
      </c>
      <c r="B906" s="58" t="str">
        <f aca="false">IF(L906="","",IF(INDEX(ポート振替表!$W$5:$W$3507,$L906)="","(なし)",INDEX(ポート振替表!$W$5:$W$3507,$L906)&amp;""))</f>
        <v/>
      </c>
      <c r="C906" s="52" t="str">
        <f aca="false">IF(L906="","",INDEX(ポート振替表!$B$5:$B$3507,$L906)&amp;" "&amp;INDEX(ポート振替表!$C$5:$C$3507,$L906)&amp;"  ⇔  "&amp;INDEX(ポート振替表!$H$5:$H$3507,$L906)&amp;" "&amp;INDEX(ポート振替表!$I$5:$I$3507,$L906))</f>
        <v/>
      </c>
      <c r="D906" s="57" t="s">
        <v>158</v>
      </c>
      <c r="E906" s="59" t="str">
        <f aca="false">IF(L906="","",IF(INDEX(ポート振替表!$O$5:$O$3507,$L906)="","(未設定)",INDEX(ポート振替表!$O$5:$O$3507,$L906)&amp;""))</f>
        <v/>
      </c>
      <c r="F906" s="52" t="str">
        <f aca="false">IF(L906="","",INDEX(ポート振替表!$K$5:$K$3507,$L906)&amp;" "&amp;INDEX(ポート振替表!$L$5:$L$3507,$L906)&amp;"  ⇔  "&amp;INDEX(ポート振替表!$H$5:$H$3507,$L906)&amp;" "&amp;INDEX(ポート振替表!$I$5:$I$3507,$L906))</f>
        <v/>
      </c>
      <c r="G906" s="57" t="s">
        <v>158</v>
      </c>
      <c r="H906" s="32" t="str">
        <f aca="false">IF(L906="","",INDEX(ポート振替表!$N$5:$N$3507,$L906)&amp;"")</f>
        <v/>
      </c>
      <c r="I906" s="32" t="str">
        <f aca="false">IF(L906="","",INDEX(ポート振替表!$P$5:$P$3507,$L906)&amp;"")</f>
        <v/>
      </c>
      <c r="J906" s="60" t="str">
        <f aca="false">IF(L906="","",INDEX(ポート振替表!$M$5:$M$3507,$L906)&amp;"")</f>
        <v/>
      </c>
      <c r="K906" s="52" t="str">
        <f aca="false">IF(L906="","",E906&amp;CHAR(10)&amp;INDEX(ポート振替表!$K$5:$K$3507,$L906)&amp;" "&amp;INDEX(ポート振替表!$L$5:$L$3507,$L906)&amp;CHAR(10)&amp;"⇔ "&amp;INDEX(ポート振替表!$H$5:$H$3507,$L906)&amp;" "&amp;INDEX(ポート振替表!$I$5:$I$3507,$L906))</f>
        <v/>
      </c>
      <c r="L906" s="47" t="str">
        <f aca="false">IFERROR(MATCH(ROW()-4,ポート振替表!$V$5:$V$3507,0),"")</f>
        <v/>
      </c>
    </row>
    <row r="907" customFormat="false" ht="16.4" hidden="false" customHeight="false" outlineLevel="0" collapsed="false">
      <c r="A907" s="32" t="str">
        <f aca="false">IF(L907="","",ROW()-4)</f>
        <v/>
      </c>
      <c r="B907" s="58" t="str">
        <f aca="false">IF(L907="","",IF(INDEX(ポート振替表!$W$5:$W$3507,$L907)="","(なし)",INDEX(ポート振替表!$W$5:$W$3507,$L907)&amp;""))</f>
        <v/>
      </c>
      <c r="C907" s="52" t="str">
        <f aca="false">IF(L907="","",INDEX(ポート振替表!$B$5:$B$3507,$L907)&amp;" "&amp;INDEX(ポート振替表!$C$5:$C$3507,$L907)&amp;"  ⇔  "&amp;INDEX(ポート振替表!$H$5:$H$3507,$L907)&amp;" "&amp;INDEX(ポート振替表!$I$5:$I$3507,$L907))</f>
        <v/>
      </c>
      <c r="D907" s="57" t="s">
        <v>158</v>
      </c>
      <c r="E907" s="59" t="str">
        <f aca="false">IF(L907="","",IF(INDEX(ポート振替表!$O$5:$O$3507,$L907)="","(未設定)",INDEX(ポート振替表!$O$5:$O$3507,$L907)&amp;""))</f>
        <v/>
      </c>
      <c r="F907" s="52" t="str">
        <f aca="false">IF(L907="","",INDEX(ポート振替表!$K$5:$K$3507,$L907)&amp;" "&amp;INDEX(ポート振替表!$L$5:$L$3507,$L907)&amp;"  ⇔  "&amp;INDEX(ポート振替表!$H$5:$H$3507,$L907)&amp;" "&amp;INDEX(ポート振替表!$I$5:$I$3507,$L907))</f>
        <v/>
      </c>
      <c r="G907" s="57" t="s">
        <v>158</v>
      </c>
      <c r="H907" s="32" t="str">
        <f aca="false">IF(L907="","",INDEX(ポート振替表!$N$5:$N$3507,$L907)&amp;"")</f>
        <v/>
      </c>
      <c r="I907" s="32" t="str">
        <f aca="false">IF(L907="","",INDEX(ポート振替表!$P$5:$P$3507,$L907)&amp;"")</f>
        <v/>
      </c>
      <c r="J907" s="60" t="str">
        <f aca="false">IF(L907="","",INDEX(ポート振替表!$M$5:$M$3507,$L907)&amp;"")</f>
        <v/>
      </c>
      <c r="K907" s="52" t="str">
        <f aca="false">IF(L907="","",E907&amp;CHAR(10)&amp;INDEX(ポート振替表!$K$5:$K$3507,$L907)&amp;" "&amp;INDEX(ポート振替表!$L$5:$L$3507,$L907)&amp;CHAR(10)&amp;"⇔ "&amp;INDEX(ポート振替表!$H$5:$H$3507,$L907)&amp;" "&amp;INDEX(ポート振替表!$I$5:$I$3507,$L907))</f>
        <v/>
      </c>
      <c r="L907" s="47" t="str">
        <f aca="false">IFERROR(MATCH(ROW()-4,ポート振替表!$V$5:$V$3507,0),"")</f>
        <v/>
      </c>
    </row>
    <row r="908" customFormat="false" ht="16.4" hidden="false" customHeight="false" outlineLevel="0" collapsed="false">
      <c r="A908" s="32" t="str">
        <f aca="false">IF(L908="","",ROW()-4)</f>
        <v/>
      </c>
      <c r="B908" s="58" t="str">
        <f aca="false">IF(L908="","",IF(INDEX(ポート振替表!$W$5:$W$3507,$L908)="","(なし)",INDEX(ポート振替表!$W$5:$W$3507,$L908)&amp;""))</f>
        <v/>
      </c>
      <c r="C908" s="52" t="str">
        <f aca="false">IF(L908="","",INDEX(ポート振替表!$B$5:$B$3507,$L908)&amp;" "&amp;INDEX(ポート振替表!$C$5:$C$3507,$L908)&amp;"  ⇔  "&amp;INDEX(ポート振替表!$H$5:$H$3507,$L908)&amp;" "&amp;INDEX(ポート振替表!$I$5:$I$3507,$L908))</f>
        <v/>
      </c>
      <c r="D908" s="57" t="s">
        <v>158</v>
      </c>
      <c r="E908" s="59" t="str">
        <f aca="false">IF(L908="","",IF(INDEX(ポート振替表!$O$5:$O$3507,$L908)="","(未設定)",INDEX(ポート振替表!$O$5:$O$3507,$L908)&amp;""))</f>
        <v/>
      </c>
      <c r="F908" s="52" t="str">
        <f aca="false">IF(L908="","",INDEX(ポート振替表!$K$5:$K$3507,$L908)&amp;" "&amp;INDEX(ポート振替表!$L$5:$L$3507,$L908)&amp;"  ⇔  "&amp;INDEX(ポート振替表!$H$5:$H$3507,$L908)&amp;" "&amp;INDEX(ポート振替表!$I$5:$I$3507,$L908))</f>
        <v/>
      </c>
      <c r="G908" s="57" t="s">
        <v>158</v>
      </c>
      <c r="H908" s="32" t="str">
        <f aca="false">IF(L908="","",INDEX(ポート振替表!$N$5:$N$3507,$L908)&amp;"")</f>
        <v/>
      </c>
      <c r="I908" s="32" t="str">
        <f aca="false">IF(L908="","",INDEX(ポート振替表!$P$5:$P$3507,$L908)&amp;"")</f>
        <v/>
      </c>
      <c r="J908" s="60" t="str">
        <f aca="false">IF(L908="","",INDEX(ポート振替表!$M$5:$M$3507,$L908)&amp;"")</f>
        <v/>
      </c>
      <c r="K908" s="52" t="str">
        <f aca="false">IF(L908="","",E908&amp;CHAR(10)&amp;INDEX(ポート振替表!$K$5:$K$3507,$L908)&amp;" "&amp;INDEX(ポート振替表!$L$5:$L$3507,$L908)&amp;CHAR(10)&amp;"⇔ "&amp;INDEX(ポート振替表!$H$5:$H$3507,$L908)&amp;" "&amp;INDEX(ポート振替表!$I$5:$I$3507,$L908))</f>
        <v/>
      </c>
      <c r="L908" s="47" t="str">
        <f aca="false">IFERROR(MATCH(ROW()-4,ポート振替表!$V$5:$V$3507,0),"")</f>
        <v/>
      </c>
    </row>
    <row r="909" customFormat="false" ht="16.4" hidden="false" customHeight="false" outlineLevel="0" collapsed="false">
      <c r="A909" s="32" t="str">
        <f aca="false">IF(L909="","",ROW()-4)</f>
        <v/>
      </c>
      <c r="B909" s="58" t="str">
        <f aca="false">IF(L909="","",IF(INDEX(ポート振替表!$W$5:$W$3507,$L909)="","(なし)",INDEX(ポート振替表!$W$5:$W$3507,$L909)&amp;""))</f>
        <v/>
      </c>
      <c r="C909" s="52" t="str">
        <f aca="false">IF(L909="","",INDEX(ポート振替表!$B$5:$B$3507,$L909)&amp;" "&amp;INDEX(ポート振替表!$C$5:$C$3507,$L909)&amp;"  ⇔  "&amp;INDEX(ポート振替表!$H$5:$H$3507,$L909)&amp;" "&amp;INDEX(ポート振替表!$I$5:$I$3507,$L909))</f>
        <v/>
      </c>
      <c r="D909" s="57" t="s">
        <v>158</v>
      </c>
      <c r="E909" s="59" t="str">
        <f aca="false">IF(L909="","",IF(INDEX(ポート振替表!$O$5:$O$3507,$L909)="","(未設定)",INDEX(ポート振替表!$O$5:$O$3507,$L909)&amp;""))</f>
        <v/>
      </c>
      <c r="F909" s="52" t="str">
        <f aca="false">IF(L909="","",INDEX(ポート振替表!$K$5:$K$3507,$L909)&amp;" "&amp;INDEX(ポート振替表!$L$5:$L$3507,$L909)&amp;"  ⇔  "&amp;INDEX(ポート振替表!$H$5:$H$3507,$L909)&amp;" "&amp;INDEX(ポート振替表!$I$5:$I$3507,$L909))</f>
        <v/>
      </c>
      <c r="G909" s="57" t="s">
        <v>158</v>
      </c>
      <c r="H909" s="32" t="str">
        <f aca="false">IF(L909="","",INDEX(ポート振替表!$N$5:$N$3507,$L909)&amp;"")</f>
        <v/>
      </c>
      <c r="I909" s="32" t="str">
        <f aca="false">IF(L909="","",INDEX(ポート振替表!$P$5:$P$3507,$L909)&amp;"")</f>
        <v/>
      </c>
      <c r="J909" s="60" t="str">
        <f aca="false">IF(L909="","",INDEX(ポート振替表!$M$5:$M$3507,$L909)&amp;"")</f>
        <v/>
      </c>
      <c r="K909" s="52" t="str">
        <f aca="false">IF(L909="","",E909&amp;CHAR(10)&amp;INDEX(ポート振替表!$K$5:$K$3507,$L909)&amp;" "&amp;INDEX(ポート振替表!$L$5:$L$3507,$L909)&amp;CHAR(10)&amp;"⇔ "&amp;INDEX(ポート振替表!$H$5:$H$3507,$L909)&amp;" "&amp;INDEX(ポート振替表!$I$5:$I$3507,$L909))</f>
        <v/>
      </c>
      <c r="L909" s="47" t="str">
        <f aca="false">IFERROR(MATCH(ROW()-4,ポート振替表!$V$5:$V$3507,0),"")</f>
        <v/>
      </c>
    </row>
    <row r="910" customFormat="false" ht="16.4" hidden="false" customHeight="false" outlineLevel="0" collapsed="false">
      <c r="A910" s="32" t="str">
        <f aca="false">IF(L910="","",ROW()-4)</f>
        <v/>
      </c>
      <c r="B910" s="58" t="str">
        <f aca="false">IF(L910="","",IF(INDEX(ポート振替表!$W$5:$W$3507,$L910)="","(なし)",INDEX(ポート振替表!$W$5:$W$3507,$L910)&amp;""))</f>
        <v/>
      </c>
      <c r="C910" s="52" t="str">
        <f aca="false">IF(L910="","",INDEX(ポート振替表!$B$5:$B$3507,$L910)&amp;" "&amp;INDEX(ポート振替表!$C$5:$C$3507,$L910)&amp;"  ⇔  "&amp;INDEX(ポート振替表!$H$5:$H$3507,$L910)&amp;" "&amp;INDEX(ポート振替表!$I$5:$I$3507,$L910))</f>
        <v/>
      </c>
      <c r="D910" s="57" t="s">
        <v>158</v>
      </c>
      <c r="E910" s="59" t="str">
        <f aca="false">IF(L910="","",IF(INDEX(ポート振替表!$O$5:$O$3507,$L910)="","(未設定)",INDEX(ポート振替表!$O$5:$O$3507,$L910)&amp;""))</f>
        <v/>
      </c>
      <c r="F910" s="52" t="str">
        <f aca="false">IF(L910="","",INDEX(ポート振替表!$K$5:$K$3507,$L910)&amp;" "&amp;INDEX(ポート振替表!$L$5:$L$3507,$L910)&amp;"  ⇔  "&amp;INDEX(ポート振替表!$H$5:$H$3507,$L910)&amp;" "&amp;INDEX(ポート振替表!$I$5:$I$3507,$L910))</f>
        <v/>
      </c>
      <c r="G910" s="57" t="s">
        <v>158</v>
      </c>
      <c r="H910" s="32" t="str">
        <f aca="false">IF(L910="","",INDEX(ポート振替表!$N$5:$N$3507,$L910)&amp;"")</f>
        <v/>
      </c>
      <c r="I910" s="32" t="str">
        <f aca="false">IF(L910="","",INDEX(ポート振替表!$P$5:$P$3507,$L910)&amp;"")</f>
        <v/>
      </c>
      <c r="J910" s="60" t="str">
        <f aca="false">IF(L910="","",INDEX(ポート振替表!$M$5:$M$3507,$L910)&amp;"")</f>
        <v/>
      </c>
      <c r="K910" s="52" t="str">
        <f aca="false">IF(L910="","",E910&amp;CHAR(10)&amp;INDEX(ポート振替表!$K$5:$K$3507,$L910)&amp;" "&amp;INDEX(ポート振替表!$L$5:$L$3507,$L910)&amp;CHAR(10)&amp;"⇔ "&amp;INDEX(ポート振替表!$H$5:$H$3507,$L910)&amp;" "&amp;INDEX(ポート振替表!$I$5:$I$3507,$L910))</f>
        <v/>
      </c>
      <c r="L910" s="47" t="str">
        <f aca="false">IFERROR(MATCH(ROW()-4,ポート振替表!$V$5:$V$3507,0),"")</f>
        <v/>
      </c>
    </row>
    <row r="911" customFormat="false" ht="16.4" hidden="false" customHeight="false" outlineLevel="0" collapsed="false">
      <c r="A911" s="32" t="str">
        <f aca="false">IF(L911="","",ROW()-4)</f>
        <v/>
      </c>
      <c r="B911" s="58" t="str">
        <f aca="false">IF(L911="","",IF(INDEX(ポート振替表!$W$5:$W$3507,$L911)="","(なし)",INDEX(ポート振替表!$W$5:$W$3507,$L911)&amp;""))</f>
        <v/>
      </c>
      <c r="C911" s="52" t="str">
        <f aca="false">IF(L911="","",INDEX(ポート振替表!$B$5:$B$3507,$L911)&amp;" "&amp;INDEX(ポート振替表!$C$5:$C$3507,$L911)&amp;"  ⇔  "&amp;INDEX(ポート振替表!$H$5:$H$3507,$L911)&amp;" "&amp;INDEX(ポート振替表!$I$5:$I$3507,$L911))</f>
        <v/>
      </c>
      <c r="D911" s="57" t="s">
        <v>158</v>
      </c>
      <c r="E911" s="59" t="str">
        <f aca="false">IF(L911="","",IF(INDEX(ポート振替表!$O$5:$O$3507,$L911)="","(未設定)",INDEX(ポート振替表!$O$5:$O$3507,$L911)&amp;""))</f>
        <v/>
      </c>
      <c r="F911" s="52" t="str">
        <f aca="false">IF(L911="","",INDEX(ポート振替表!$K$5:$K$3507,$L911)&amp;" "&amp;INDEX(ポート振替表!$L$5:$L$3507,$L911)&amp;"  ⇔  "&amp;INDEX(ポート振替表!$H$5:$H$3507,$L911)&amp;" "&amp;INDEX(ポート振替表!$I$5:$I$3507,$L911))</f>
        <v/>
      </c>
      <c r="G911" s="57" t="s">
        <v>158</v>
      </c>
      <c r="H911" s="32" t="str">
        <f aca="false">IF(L911="","",INDEX(ポート振替表!$N$5:$N$3507,$L911)&amp;"")</f>
        <v/>
      </c>
      <c r="I911" s="32" t="str">
        <f aca="false">IF(L911="","",INDEX(ポート振替表!$P$5:$P$3507,$L911)&amp;"")</f>
        <v/>
      </c>
      <c r="J911" s="60" t="str">
        <f aca="false">IF(L911="","",INDEX(ポート振替表!$M$5:$M$3507,$L911)&amp;"")</f>
        <v/>
      </c>
      <c r="K911" s="52" t="str">
        <f aca="false">IF(L911="","",E911&amp;CHAR(10)&amp;INDEX(ポート振替表!$K$5:$K$3507,$L911)&amp;" "&amp;INDEX(ポート振替表!$L$5:$L$3507,$L911)&amp;CHAR(10)&amp;"⇔ "&amp;INDEX(ポート振替表!$H$5:$H$3507,$L911)&amp;" "&amp;INDEX(ポート振替表!$I$5:$I$3507,$L911))</f>
        <v/>
      </c>
      <c r="L911" s="47" t="str">
        <f aca="false">IFERROR(MATCH(ROW()-4,ポート振替表!$V$5:$V$3507,0),"")</f>
        <v/>
      </c>
    </row>
    <row r="912" customFormat="false" ht="16.4" hidden="false" customHeight="false" outlineLevel="0" collapsed="false">
      <c r="A912" s="32" t="str">
        <f aca="false">IF(L912="","",ROW()-4)</f>
        <v/>
      </c>
      <c r="B912" s="58" t="str">
        <f aca="false">IF(L912="","",IF(INDEX(ポート振替表!$W$5:$W$3507,$L912)="","(なし)",INDEX(ポート振替表!$W$5:$W$3507,$L912)&amp;""))</f>
        <v/>
      </c>
      <c r="C912" s="52" t="str">
        <f aca="false">IF(L912="","",INDEX(ポート振替表!$B$5:$B$3507,$L912)&amp;" "&amp;INDEX(ポート振替表!$C$5:$C$3507,$L912)&amp;"  ⇔  "&amp;INDEX(ポート振替表!$H$5:$H$3507,$L912)&amp;" "&amp;INDEX(ポート振替表!$I$5:$I$3507,$L912))</f>
        <v/>
      </c>
      <c r="D912" s="57" t="s">
        <v>158</v>
      </c>
      <c r="E912" s="59" t="str">
        <f aca="false">IF(L912="","",IF(INDEX(ポート振替表!$O$5:$O$3507,$L912)="","(未設定)",INDEX(ポート振替表!$O$5:$O$3507,$L912)&amp;""))</f>
        <v/>
      </c>
      <c r="F912" s="52" t="str">
        <f aca="false">IF(L912="","",INDEX(ポート振替表!$K$5:$K$3507,$L912)&amp;" "&amp;INDEX(ポート振替表!$L$5:$L$3507,$L912)&amp;"  ⇔  "&amp;INDEX(ポート振替表!$H$5:$H$3507,$L912)&amp;" "&amp;INDEX(ポート振替表!$I$5:$I$3507,$L912))</f>
        <v/>
      </c>
      <c r="G912" s="57" t="s">
        <v>158</v>
      </c>
      <c r="H912" s="32" t="str">
        <f aca="false">IF(L912="","",INDEX(ポート振替表!$N$5:$N$3507,$L912)&amp;"")</f>
        <v/>
      </c>
      <c r="I912" s="32" t="str">
        <f aca="false">IF(L912="","",INDEX(ポート振替表!$P$5:$P$3507,$L912)&amp;"")</f>
        <v/>
      </c>
      <c r="J912" s="60" t="str">
        <f aca="false">IF(L912="","",INDEX(ポート振替表!$M$5:$M$3507,$L912)&amp;"")</f>
        <v/>
      </c>
      <c r="K912" s="52" t="str">
        <f aca="false">IF(L912="","",E912&amp;CHAR(10)&amp;INDEX(ポート振替表!$K$5:$K$3507,$L912)&amp;" "&amp;INDEX(ポート振替表!$L$5:$L$3507,$L912)&amp;CHAR(10)&amp;"⇔ "&amp;INDEX(ポート振替表!$H$5:$H$3507,$L912)&amp;" "&amp;INDEX(ポート振替表!$I$5:$I$3507,$L912))</f>
        <v/>
      </c>
      <c r="L912" s="47" t="str">
        <f aca="false">IFERROR(MATCH(ROW()-4,ポート振替表!$V$5:$V$3507,0),"")</f>
        <v/>
      </c>
    </row>
    <row r="913" customFormat="false" ht="16.4" hidden="false" customHeight="false" outlineLevel="0" collapsed="false">
      <c r="A913" s="32" t="str">
        <f aca="false">IF(L913="","",ROW()-4)</f>
        <v/>
      </c>
      <c r="B913" s="58" t="str">
        <f aca="false">IF(L913="","",IF(INDEX(ポート振替表!$W$5:$W$3507,$L913)="","(なし)",INDEX(ポート振替表!$W$5:$W$3507,$L913)&amp;""))</f>
        <v/>
      </c>
      <c r="C913" s="52" t="str">
        <f aca="false">IF(L913="","",INDEX(ポート振替表!$B$5:$B$3507,$L913)&amp;" "&amp;INDEX(ポート振替表!$C$5:$C$3507,$L913)&amp;"  ⇔  "&amp;INDEX(ポート振替表!$H$5:$H$3507,$L913)&amp;" "&amp;INDEX(ポート振替表!$I$5:$I$3507,$L913))</f>
        <v/>
      </c>
      <c r="D913" s="57" t="s">
        <v>158</v>
      </c>
      <c r="E913" s="59" t="str">
        <f aca="false">IF(L913="","",IF(INDEX(ポート振替表!$O$5:$O$3507,$L913)="","(未設定)",INDEX(ポート振替表!$O$5:$O$3507,$L913)&amp;""))</f>
        <v/>
      </c>
      <c r="F913" s="52" t="str">
        <f aca="false">IF(L913="","",INDEX(ポート振替表!$K$5:$K$3507,$L913)&amp;" "&amp;INDEX(ポート振替表!$L$5:$L$3507,$L913)&amp;"  ⇔  "&amp;INDEX(ポート振替表!$H$5:$H$3507,$L913)&amp;" "&amp;INDEX(ポート振替表!$I$5:$I$3507,$L913))</f>
        <v/>
      </c>
      <c r="G913" s="57" t="s">
        <v>158</v>
      </c>
      <c r="H913" s="32" t="str">
        <f aca="false">IF(L913="","",INDEX(ポート振替表!$N$5:$N$3507,$L913)&amp;"")</f>
        <v/>
      </c>
      <c r="I913" s="32" t="str">
        <f aca="false">IF(L913="","",INDEX(ポート振替表!$P$5:$P$3507,$L913)&amp;"")</f>
        <v/>
      </c>
      <c r="J913" s="60" t="str">
        <f aca="false">IF(L913="","",INDEX(ポート振替表!$M$5:$M$3507,$L913)&amp;"")</f>
        <v/>
      </c>
      <c r="K913" s="52" t="str">
        <f aca="false">IF(L913="","",E913&amp;CHAR(10)&amp;INDEX(ポート振替表!$K$5:$K$3507,$L913)&amp;" "&amp;INDEX(ポート振替表!$L$5:$L$3507,$L913)&amp;CHAR(10)&amp;"⇔ "&amp;INDEX(ポート振替表!$H$5:$H$3507,$L913)&amp;" "&amp;INDEX(ポート振替表!$I$5:$I$3507,$L913))</f>
        <v/>
      </c>
      <c r="L913" s="47" t="str">
        <f aca="false">IFERROR(MATCH(ROW()-4,ポート振替表!$V$5:$V$3507,0),"")</f>
        <v/>
      </c>
    </row>
    <row r="914" customFormat="false" ht="16.4" hidden="false" customHeight="false" outlineLevel="0" collapsed="false">
      <c r="A914" s="32" t="str">
        <f aca="false">IF(L914="","",ROW()-4)</f>
        <v/>
      </c>
      <c r="B914" s="58" t="str">
        <f aca="false">IF(L914="","",IF(INDEX(ポート振替表!$W$5:$W$3507,$L914)="","(なし)",INDEX(ポート振替表!$W$5:$W$3507,$L914)&amp;""))</f>
        <v/>
      </c>
      <c r="C914" s="52" t="str">
        <f aca="false">IF(L914="","",INDEX(ポート振替表!$B$5:$B$3507,$L914)&amp;" "&amp;INDEX(ポート振替表!$C$5:$C$3507,$L914)&amp;"  ⇔  "&amp;INDEX(ポート振替表!$H$5:$H$3507,$L914)&amp;" "&amp;INDEX(ポート振替表!$I$5:$I$3507,$L914))</f>
        <v/>
      </c>
      <c r="D914" s="57" t="s">
        <v>158</v>
      </c>
      <c r="E914" s="59" t="str">
        <f aca="false">IF(L914="","",IF(INDEX(ポート振替表!$O$5:$O$3507,$L914)="","(未設定)",INDEX(ポート振替表!$O$5:$O$3507,$L914)&amp;""))</f>
        <v/>
      </c>
      <c r="F914" s="52" t="str">
        <f aca="false">IF(L914="","",INDEX(ポート振替表!$K$5:$K$3507,$L914)&amp;" "&amp;INDEX(ポート振替表!$L$5:$L$3507,$L914)&amp;"  ⇔  "&amp;INDEX(ポート振替表!$H$5:$H$3507,$L914)&amp;" "&amp;INDEX(ポート振替表!$I$5:$I$3507,$L914))</f>
        <v/>
      </c>
      <c r="G914" s="57" t="s">
        <v>158</v>
      </c>
      <c r="H914" s="32" t="str">
        <f aca="false">IF(L914="","",INDEX(ポート振替表!$N$5:$N$3507,$L914)&amp;"")</f>
        <v/>
      </c>
      <c r="I914" s="32" t="str">
        <f aca="false">IF(L914="","",INDEX(ポート振替表!$P$5:$P$3507,$L914)&amp;"")</f>
        <v/>
      </c>
      <c r="J914" s="60" t="str">
        <f aca="false">IF(L914="","",INDEX(ポート振替表!$M$5:$M$3507,$L914)&amp;"")</f>
        <v/>
      </c>
      <c r="K914" s="52" t="str">
        <f aca="false">IF(L914="","",E914&amp;CHAR(10)&amp;INDEX(ポート振替表!$K$5:$K$3507,$L914)&amp;" "&amp;INDEX(ポート振替表!$L$5:$L$3507,$L914)&amp;CHAR(10)&amp;"⇔ "&amp;INDEX(ポート振替表!$H$5:$H$3507,$L914)&amp;" "&amp;INDEX(ポート振替表!$I$5:$I$3507,$L914))</f>
        <v/>
      </c>
      <c r="L914" s="47" t="str">
        <f aca="false">IFERROR(MATCH(ROW()-4,ポート振替表!$V$5:$V$3507,0),"")</f>
        <v/>
      </c>
    </row>
    <row r="915" customFormat="false" ht="16.4" hidden="false" customHeight="false" outlineLevel="0" collapsed="false">
      <c r="A915" s="32" t="str">
        <f aca="false">IF(L915="","",ROW()-4)</f>
        <v/>
      </c>
      <c r="B915" s="58" t="str">
        <f aca="false">IF(L915="","",IF(INDEX(ポート振替表!$W$5:$W$3507,$L915)="","(なし)",INDEX(ポート振替表!$W$5:$W$3507,$L915)&amp;""))</f>
        <v/>
      </c>
      <c r="C915" s="52" t="str">
        <f aca="false">IF(L915="","",INDEX(ポート振替表!$B$5:$B$3507,$L915)&amp;" "&amp;INDEX(ポート振替表!$C$5:$C$3507,$L915)&amp;"  ⇔  "&amp;INDEX(ポート振替表!$H$5:$H$3507,$L915)&amp;" "&amp;INDEX(ポート振替表!$I$5:$I$3507,$L915))</f>
        <v/>
      </c>
      <c r="D915" s="57" t="s">
        <v>158</v>
      </c>
      <c r="E915" s="59" t="str">
        <f aca="false">IF(L915="","",IF(INDEX(ポート振替表!$O$5:$O$3507,$L915)="","(未設定)",INDEX(ポート振替表!$O$5:$O$3507,$L915)&amp;""))</f>
        <v/>
      </c>
      <c r="F915" s="52" t="str">
        <f aca="false">IF(L915="","",INDEX(ポート振替表!$K$5:$K$3507,$L915)&amp;" "&amp;INDEX(ポート振替表!$L$5:$L$3507,$L915)&amp;"  ⇔  "&amp;INDEX(ポート振替表!$H$5:$H$3507,$L915)&amp;" "&amp;INDEX(ポート振替表!$I$5:$I$3507,$L915))</f>
        <v/>
      </c>
      <c r="G915" s="57" t="s">
        <v>158</v>
      </c>
      <c r="H915" s="32" t="str">
        <f aca="false">IF(L915="","",INDEX(ポート振替表!$N$5:$N$3507,$L915)&amp;"")</f>
        <v/>
      </c>
      <c r="I915" s="32" t="str">
        <f aca="false">IF(L915="","",INDEX(ポート振替表!$P$5:$P$3507,$L915)&amp;"")</f>
        <v/>
      </c>
      <c r="J915" s="60" t="str">
        <f aca="false">IF(L915="","",INDEX(ポート振替表!$M$5:$M$3507,$L915)&amp;"")</f>
        <v/>
      </c>
      <c r="K915" s="52" t="str">
        <f aca="false">IF(L915="","",E915&amp;CHAR(10)&amp;INDEX(ポート振替表!$K$5:$K$3507,$L915)&amp;" "&amp;INDEX(ポート振替表!$L$5:$L$3507,$L915)&amp;CHAR(10)&amp;"⇔ "&amp;INDEX(ポート振替表!$H$5:$H$3507,$L915)&amp;" "&amp;INDEX(ポート振替表!$I$5:$I$3507,$L915))</f>
        <v/>
      </c>
      <c r="L915" s="47" t="str">
        <f aca="false">IFERROR(MATCH(ROW()-4,ポート振替表!$V$5:$V$3507,0),"")</f>
        <v/>
      </c>
    </row>
    <row r="916" customFormat="false" ht="16.4" hidden="false" customHeight="false" outlineLevel="0" collapsed="false">
      <c r="A916" s="32" t="str">
        <f aca="false">IF(L916="","",ROW()-4)</f>
        <v/>
      </c>
      <c r="B916" s="58" t="str">
        <f aca="false">IF(L916="","",IF(INDEX(ポート振替表!$W$5:$W$3507,$L916)="","(なし)",INDEX(ポート振替表!$W$5:$W$3507,$L916)&amp;""))</f>
        <v/>
      </c>
      <c r="C916" s="52" t="str">
        <f aca="false">IF(L916="","",INDEX(ポート振替表!$B$5:$B$3507,$L916)&amp;" "&amp;INDEX(ポート振替表!$C$5:$C$3507,$L916)&amp;"  ⇔  "&amp;INDEX(ポート振替表!$H$5:$H$3507,$L916)&amp;" "&amp;INDEX(ポート振替表!$I$5:$I$3507,$L916))</f>
        <v/>
      </c>
      <c r="D916" s="57" t="s">
        <v>158</v>
      </c>
      <c r="E916" s="59" t="str">
        <f aca="false">IF(L916="","",IF(INDEX(ポート振替表!$O$5:$O$3507,$L916)="","(未設定)",INDEX(ポート振替表!$O$5:$O$3507,$L916)&amp;""))</f>
        <v/>
      </c>
      <c r="F916" s="52" t="str">
        <f aca="false">IF(L916="","",INDEX(ポート振替表!$K$5:$K$3507,$L916)&amp;" "&amp;INDEX(ポート振替表!$L$5:$L$3507,$L916)&amp;"  ⇔  "&amp;INDEX(ポート振替表!$H$5:$H$3507,$L916)&amp;" "&amp;INDEX(ポート振替表!$I$5:$I$3507,$L916))</f>
        <v/>
      </c>
      <c r="G916" s="57" t="s">
        <v>158</v>
      </c>
      <c r="H916" s="32" t="str">
        <f aca="false">IF(L916="","",INDEX(ポート振替表!$N$5:$N$3507,$L916)&amp;"")</f>
        <v/>
      </c>
      <c r="I916" s="32" t="str">
        <f aca="false">IF(L916="","",INDEX(ポート振替表!$P$5:$P$3507,$L916)&amp;"")</f>
        <v/>
      </c>
      <c r="J916" s="60" t="str">
        <f aca="false">IF(L916="","",INDEX(ポート振替表!$M$5:$M$3507,$L916)&amp;"")</f>
        <v/>
      </c>
      <c r="K916" s="52" t="str">
        <f aca="false">IF(L916="","",E916&amp;CHAR(10)&amp;INDEX(ポート振替表!$K$5:$K$3507,$L916)&amp;" "&amp;INDEX(ポート振替表!$L$5:$L$3507,$L916)&amp;CHAR(10)&amp;"⇔ "&amp;INDEX(ポート振替表!$H$5:$H$3507,$L916)&amp;" "&amp;INDEX(ポート振替表!$I$5:$I$3507,$L916))</f>
        <v/>
      </c>
      <c r="L916" s="47" t="str">
        <f aca="false">IFERROR(MATCH(ROW()-4,ポート振替表!$V$5:$V$3507,0),"")</f>
        <v/>
      </c>
    </row>
    <row r="917" customFormat="false" ht="16.4" hidden="false" customHeight="false" outlineLevel="0" collapsed="false">
      <c r="A917" s="32" t="str">
        <f aca="false">IF(L917="","",ROW()-4)</f>
        <v/>
      </c>
      <c r="B917" s="58" t="str">
        <f aca="false">IF(L917="","",IF(INDEX(ポート振替表!$W$5:$W$3507,$L917)="","(なし)",INDEX(ポート振替表!$W$5:$W$3507,$L917)&amp;""))</f>
        <v/>
      </c>
      <c r="C917" s="52" t="str">
        <f aca="false">IF(L917="","",INDEX(ポート振替表!$B$5:$B$3507,$L917)&amp;" "&amp;INDEX(ポート振替表!$C$5:$C$3507,$L917)&amp;"  ⇔  "&amp;INDEX(ポート振替表!$H$5:$H$3507,$L917)&amp;" "&amp;INDEX(ポート振替表!$I$5:$I$3507,$L917))</f>
        <v/>
      </c>
      <c r="D917" s="57" t="s">
        <v>158</v>
      </c>
      <c r="E917" s="59" t="str">
        <f aca="false">IF(L917="","",IF(INDEX(ポート振替表!$O$5:$O$3507,$L917)="","(未設定)",INDEX(ポート振替表!$O$5:$O$3507,$L917)&amp;""))</f>
        <v/>
      </c>
      <c r="F917" s="52" t="str">
        <f aca="false">IF(L917="","",INDEX(ポート振替表!$K$5:$K$3507,$L917)&amp;" "&amp;INDEX(ポート振替表!$L$5:$L$3507,$L917)&amp;"  ⇔  "&amp;INDEX(ポート振替表!$H$5:$H$3507,$L917)&amp;" "&amp;INDEX(ポート振替表!$I$5:$I$3507,$L917))</f>
        <v/>
      </c>
      <c r="G917" s="57" t="s">
        <v>158</v>
      </c>
      <c r="H917" s="32" t="str">
        <f aca="false">IF(L917="","",INDEX(ポート振替表!$N$5:$N$3507,$L917)&amp;"")</f>
        <v/>
      </c>
      <c r="I917" s="32" t="str">
        <f aca="false">IF(L917="","",INDEX(ポート振替表!$P$5:$P$3507,$L917)&amp;"")</f>
        <v/>
      </c>
      <c r="J917" s="60" t="str">
        <f aca="false">IF(L917="","",INDEX(ポート振替表!$M$5:$M$3507,$L917)&amp;"")</f>
        <v/>
      </c>
      <c r="K917" s="52" t="str">
        <f aca="false">IF(L917="","",E917&amp;CHAR(10)&amp;INDEX(ポート振替表!$K$5:$K$3507,$L917)&amp;" "&amp;INDEX(ポート振替表!$L$5:$L$3507,$L917)&amp;CHAR(10)&amp;"⇔ "&amp;INDEX(ポート振替表!$H$5:$H$3507,$L917)&amp;" "&amp;INDEX(ポート振替表!$I$5:$I$3507,$L917))</f>
        <v/>
      </c>
      <c r="L917" s="47" t="str">
        <f aca="false">IFERROR(MATCH(ROW()-4,ポート振替表!$V$5:$V$3507,0),"")</f>
        <v/>
      </c>
    </row>
    <row r="918" customFormat="false" ht="16.4" hidden="false" customHeight="false" outlineLevel="0" collapsed="false">
      <c r="A918" s="32" t="str">
        <f aca="false">IF(L918="","",ROW()-4)</f>
        <v/>
      </c>
      <c r="B918" s="58" t="str">
        <f aca="false">IF(L918="","",IF(INDEX(ポート振替表!$W$5:$W$3507,$L918)="","(なし)",INDEX(ポート振替表!$W$5:$W$3507,$L918)&amp;""))</f>
        <v/>
      </c>
      <c r="C918" s="52" t="str">
        <f aca="false">IF(L918="","",INDEX(ポート振替表!$B$5:$B$3507,$L918)&amp;" "&amp;INDEX(ポート振替表!$C$5:$C$3507,$L918)&amp;"  ⇔  "&amp;INDEX(ポート振替表!$H$5:$H$3507,$L918)&amp;" "&amp;INDEX(ポート振替表!$I$5:$I$3507,$L918))</f>
        <v/>
      </c>
      <c r="D918" s="57" t="s">
        <v>158</v>
      </c>
      <c r="E918" s="59" t="str">
        <f aca="false">IF(L918="","",IF(INDEX(ポート振替表!$O$5:$O$3507,$L918)="","(未設定)",INDEX(ポート振替表!$O$5:$O$3507,$L918)&amp;""))</f>
        <v/>
      </c>
      <c r="F918" s="52" t="str">
        <f aca="false">IF(L918="","",INDEX(ポート振替表!$K$5:$K$3507,$L918)&amp;" "&amp;INDEX(ポート振替表!$L$5:$L$3507,$L918)&amp;"  ⇔  "&amp;INDEX(ポート振替表!$H$5:$H$3507,$L918)&amp;" "&amp;INDEX(ポート振替表!$I$5:$I$3507,$L918))</f>
        <v/>
      </c>
      <c r="G918" s="57" t="s">
        <v>158</v>
      </c>
      <c r="H918" s="32" t="str">
        <f aca="false">IF(L918="","",INDEX(ポート振替表!$N$5:$N$3507,$L918)&amp;"")</f>
        <v/>
      </c>
      <c r="I918" s="32" t="str">
        <f aca="false">IF(L918="","",INDEX(ポート振替表!$P$5:$P$3507,$L918)&amp;"")</f>
        <v/>
      </c>
      <c r="J918" s="60" t="str">
        <f aca="false">IF(L918="","",INDEX(ポート振替表!$M$5:$M$3507,$L918)&amp;"")</f>
        <v/>
      </c>
      <c r="K918" s="52" t="str">
        <f aca="false">IF(L918="","",E918&amp;CHAR(10)&amp;INDEX(ポート振替表!$K$5:$K$3507,$L918)&amp;" "&amp;INDEX(ポート振替表!$L$5:$L$3507,$L918)&amp;CHAR(10)&amp;"⇔ "&amp;INDEX(ポート振替表!$H$5:$H$3507,$L918)&amp;" "&amp;INDEX(ポート振替表!$I$5:$I$3507,$L918))</f>
        <v/>
      </c>
      <c r="L918" s="47" t="str">
        <f aca="false">IFERROR(MATCH(ROW()-4,ポート振替表!$V$5:$V$3507,0),"")</f>
        <v/>
      </c>
    </row>
    <row r="919" customFormat="false" ht="16.4" hidden="false" customHeight="false" outlineLevel="0" collapsed="false">
      <c r="A919" s="32" t="str">
        <f aca="false">IF(L919="","",ROW()-4)</f>
        <v/>
      </c>
      <c r="B919" s="58" t="str">
        <f aca="false">IF(L919="","",IF(INDEX(ポート振替表!$W$5:$W$3507,$L919)="","(なし)",INDEX(ポート振替表!$W$5:$W$3507,$L919)&amp;""))</f>
        <v/>
      </c>
      <c r="C919" s="52" t="str">
        <f aca="false">IF(L919="","",INDEX(ポート振替表!$B$5:$B$3507,$L919)&amp;" "&amp;INDEX(ポート振替表!$C$5:$C$3507,$L919)&amp;"  ⇔  "&amp;INDEX(ポート振替表!$H$5:$H$3507,$L919)&amp;" "&amp;INDEX(ポート振替表!$I$5:$I$3507,$L919))</f>
        <v/>
      </c>
      <c r="D919" s="57" t="s">
        <v>158</v>
      </c>
      <c r="E919" s="59" t="str">
        <f aca="false">IF(L919="","",IF(INDEX(ポート振替表!$O$5:$O$3507,$L919)="","(未設定)",INDEX(ポート振替表!$O$5:$O$3507,$L919)&amp;""))</f>
        <v/>
      </c>
      <c r="F919" s="52" t="str">
        <f aca="false">IF(L919="","",INDEX(ポート振替表!$K$5:$K$3507,$L919)&amp;" "&amp;INDEX(ポート振替表!$L$5:$L$3507,$L919)&amp;"  ⇔  "&amp;INDEX(ポート振替表!$H$5:$H$3507,$L919)&amp;" "&amp;INDEX(ポート振替表!$I$5:$I$3507,$L919))</f>
        <v/>
      </c>
      <c r="G919" s="57" t="s">
        <v>158</v>
      </c>
      <c r="H919" s="32" t="str">
        <f aca="false">IF(L919="","",INDEX(ポート振替表!$N$5:$N$3507,$L919)&amp;"")</f>
        <v/>
      </c>
      <c r="I919" s="32" t="str">
        <f aca="false">IF(L919="","",INDEX(ポート振替表!$P$5:$P$3507,$L919)&amp;"")</f>
        <v/>
      </c>
      <c r="J919" s="60" t="str">
        <f aca="false">IF(L919="","",INDEX(ポート振替表!$M$5:$M$3507,$L919)&amp;"")</f>
        <v/>
      </c>
      <c r="K919" s="52" t="str">
        <f aca="false">IF(L919="","",E919&amp;CHAR(10)&amp;INDEX(ポート振替表!$K$5:$K$3507,$L919)&amp;" "&amp;INDEX(ポート振替表!$L$5:$L$3507,$L919)&amp;CHAR(10)&amp;"⇔ "&amp;INDEX(ポート振替表!$H$5:$H$3507,$L919)&amp;" "&amp;INDEX(ポート振替表!$I$5:$I$3507,$L919))</f>
        <v/>
      </c>
      <c r="L919" s="47" t="str">
        <f aca="false">IFERROR(MATCH(ROW()-4,ポート振替表!$V$5:$V$3507,0),"")</f>
        <v/>
      </c>
    </row>
    <row r="920" customFormat="false" ht="16.4" hidden="false" customHeight="false" outlineLevel="0" collapsed="false">
      <c r="A920" s="32" t="str">
        <f aca="false">IF(L920="","",ROW()-4)</f>
        <v/>
      </c>
      <c r="B920" s="58" t="str">
        <f aca="false">IF(L920="","",IF(INDEX(ポート振替表!$W$5:$W$3507,$L920)="","(なし)",INDEX(ポート振替表!$W$5:$W$3507,$L920)&amp;""))</f>
        <v/>
      </c>
      <c r="C920" s="52" t="str">
        <f aca="false">IF(L920="","",INDEX(ポート振替表!$B$5:$B$3507,$L920)&amp;" "&amp;INDEX(ポート振替表!$C$5:$C$3507,$L920)&amp;"  ⇔  "&amp;INDEX(ポート振替表!$H$5:$H$3507,$L920)&amp;" "&amp;INDEX(ポート振替表!$I$5:$I$3507,$L920))</f>
        <v/>
      </c>
      <c r="D920" s="57" t="s">
        <v>158</v>
      </c>
      <c r="E920" s="59" t="str">
        <f aca="false">IF(L920="","",IF(INDEX(ポート振替表!$O$5:$O$3507,$L920)="","(未設定)",INDEX(ポート振替表!$O$5:$O$3507,$L920)&amp;""))</f>
        <v/>
      </c>
      <c r="F920" s="52" t="str">
        <f aca="false">IF(L920="","",INDEX(ポート振替表!$K$5:$K$3507,$L920)&amp;" "&amp;INDEX(ポート振替表!$L$5:$L$3507,$L920)&amp;"  ⇔  "&amp;INDEX(ポート振替表!$H$5:$H$3507,$L920)&amp;" "&amp;INDEX(ポート振替表!$I$5:$I$3507,$L920))</f>
        <v/>
      </c>
      <c r="G920" s="57" t="s">
        <v>158</v>
      </c>
      <c r="H920" s="32" t="str">
        <f aca="false">IF(L920="","",INDEX(ポート振替表!$N$5:$N$3507,$L920)&amp;"")</f>
        <v/>
      </c>
      <c r="I920" s="32" t="str">
        <f aca="false">IF(L920="","",INDEX(ポート振替表!$P$5:$P$3507,$L920)&amp;"")</f>
        <v/>
      </c>
      <c r="J920" s="60" t="str">
        <f aca="false">IF(L920="","",INDEX(ポート振替表!$M$5:$M$3507,$L920)&amp;"")</f>
        <v/>
      </c>
      <c r="K920" s="52" t="str">
        <f aca="false">IF(L920="","",E920&amp;CHAR(10)&amp;INDEX(ポート振替表!$K$5:$K$3507,$L920)&amp;" "&amp;INDEX(ポート振替表!$L$5:$L$3507,$L920)&amp;CHAR(10)&amp;"⇔ "&amp;INDEX(ポート振替表!$H$5:$H$3507,$L920)&amp;" "&amp;INDEX(ポート振替表!$I$5:$I$3507,$L920))</f>
        <v/>
      </c>
      <c r="L920" s="47" t="str">
        <f aca="false">IFERROR(MATCH(ROW()-4,ポート振替表!$V$5:$V$3507,0),"")</f>
        <v/>
      </c>
    </row>
    <row r="921" customFormat="false" ht="16.4" hidden="false" customHeight="false" outlineLevel="0" collapsed="false">
      <c r="A921" s="32" t="str">
        <f aca="false">IF(L921="","",ROW()-4)</f>
        <v/>
      </c>
      <c r="B921" s="58" t="str">
        <f aca="false">IF(L921="","",IF(INDEX(ポート振替表!$W$5:$W$3507,$L921)="","(なし)",INDEX(ポート振替表!$W$5:$W$3507,$L921)&amp;""))</f>
        <v/>
      </c>
      <c r="C921" s="52" t="str">
        <f aca="false">IF(L921="","",INDEX(ポート振替表!$B$5:$B$3507,$L921)&amp;" "&amp;INDEX(ポート振替表!$C$5:$C$3507,$L921)&amp;"  ⇔  "&amp;INDEX(ポート振替表!$H$5:$H$3507,$L921)&amp;" "&amp;INDEX(ポート振替表!$I$5:$I$3507,$L921))</f>
        <v/>
      </c>
      <c r="D921" s="57" t="s">
        <v>158</v>
      </c>
      <c r="E921" s="59" t="str">
        <f aca="false">IF(L921="","",IF(INDEX(ポート振替表!$O$5:$O$3507,$L921)="","(未設定)",INDEX(ポート振替表!$O$5:$O$3507,$L921)&amp;""))</f>
        <v/>
      </c>
      <c r="F921" s="52" t="str">
        <f aca="false">IF(L921="","",INDEX(ポート振替表!$K$5:$K$3507,$L921)&amp;" "&amp;INDEX(ポート振替表!$L$5:$L$3507,$L921)&amp;"  ⇔  "&amp;INDEX(ポート振替表!$H$5:$H$3507,$L921)&amp;" "&amp;INDEX(ポート振替表!$I$5:$I$3507,$L921))</f>
        <v/>
      </c>
      <c r="G921" s="57" t="s">
        <v>158</v>
      </c>
      <c r="H921" s="32" t="str">
        <f aca="false">IF(L921="","",INDEX(ポート振替表!$N$5:$N$3507,$L921)&amp;"")</f>
        <v/>
      </c>
      <c r="I921" s="32" t="str">
        <f aca="false">IF(L921="","",INDEX(ポート振替表!$P$5:$P$3507,$L921)&amp;"")</f>
        <v/>
      </c>
      <c r="J921" s="60" t="str">
        <f aca="false">IF(L921="","",INDEX(ポート振替表!$M$5:$M$3507,$L921)&amp;"")</f>
        <v/>
      </c>
      <c r="K921" s="52" t="str">
        <f aca="false">IF(L921="","",E921&amp;CHAR(10)&amp;INDEX(ポート振替表!$K$5:$K$3507,$L921)&amp;" "&amp;INDEX(ポート振替表!$L$5:$L$3507,$L921)&amp;CHAR(10)&amp;"⇔ "&amp;INDEX(ポート振替表!$H$5:$H$3507,$L921)&amp;" "&amp;INDEX(ポート振替表!$I$5:$I$3507,$L921))</f>
        <v/>
      </c>
      <c r="L921" s="47" t="str">
        <f aca="false">IFERROR(MATCH(ROW()-4,ポート振替表!$V$5:$V$3507,0),"")</f>
        <v/>
      </c>
    </row>
    <row r="922" customFormat="false" ht="16.4" hidden="false" customHeight="false" outlineLevel="0" collapsed="false">
      <c r="A922" s="32" t="str">
        <f aca="false">IF(L922="","",ROW()-4)</f>
        <v/>
      </c>
      <c r="B922" s="58" t="str">
        <f aca="false">IF(L922="","",IF(INDEX(ポート振替表!$W$5:$W$3507,$L922)="","(なし)",INDEX(ポート振替表!$W$5:$W$3507,$L922)&amp;""))</f>
        <v/>
      </c>
      <c r="C922" s="52" t="str">
        <f aca="false">IF(L922="","",INDEX(ポート振替表!$B$5:$B$3507,$L922)&amp;" "&amp;INDEX(ポート振替表!$C$5:$C$3507,$L922)&amp;"  ⇔  "&amp;INDEX(ポート振替表!$H$5:$H$3507,$L922)&amp;" "&amp;INDEX(ポート振替表!$I$5:$I$3507,$L922))</f>
        <v/>
      </c>
      <c r="D922" s="57" t="s">
        <v>158</v>
      </c>
      <c r="E922" s="59" t="str">
        <f aca="false">IF(L922="","",IF(INDEX(ポート振替表!$O$5:$O$3507,$L922)="","(未設定)",INDEX(ポート振替表!$O$5:$O$3507,$L922)&amp;""))</f>
        <v/>
      </c>
      <c r="F922" s="52" t="str">
        <f aca="false">IF(L922="","",INDEX(ポート振替表!$K$5:$K$3507,$L922)&amp;" "&amp;INDEX(ポート振替表!$L$5:$L$3507,$L922)&amp;"  ⇔  "&amp;INDEX(ポート振替表!$H$5:$H$3507,$L922)&amp;" "&amp;INDEX(ポート振替表!$I$5:$I$3507,$L922))</f>
        <v/>
      </c>
      <c r="G922" s="57" t="s">
        <v>158</v>
      </c>
      <c r="H922" s="32" t="str">
        <f aca="false">IF(L922="","",INDEX(ポート振替表!$N$5:$N$3507,$L922)&amp;"")</f>
        <v/>
      </c>
      <c r="I922" s="32" t="str">
        <f aca="false">IF(L922="","",INDEX(ポート振替表!$P$5:$P$3507,$L922)&amp;"")</f>
        <v/>
      </c>
      <c r="J922" s="60" t="str">
        <f aca="false">IF(L922="","",INDEX(ポート振替表!$M$5:$M$3507,$L922)&amp;"")</f>
        <v/>
      </c>
      <c r="K922" s="52" t="str">
        <f aca="false">IF(L922="","",E922&amp;CHAR(10)&amp;INDEX(ポート振替表!$K$5:$K$3507,$L922)&amp;" "&amp;INDEX(ポート振替表!$L$5:$L$3507,$L922)&amp;CHAR(10)&amp;"⇔ "&amp;INDEX(ポート振替表!$H$5:$H$3507,$L922)&amp;" "&amp;INDEX(ポート振替表!$I$5:$I$3507,$L922))</f>
        <v/>
      </c>
      <c r="L922" s="47" t="str">
        <f aca="false">IFERROR(MATCH(ROW()-4,ポート振替表!$V$5:$V$3507,0),"")</f>
        <v/>
      </c>
    </row>
    <row r="923" customFormat="false" ht="16.4" hidden="false" customHeight="false" outlineLevel="0" collapsed="false">
      <c r="A923" s="32" t="str">
        <f aca="false">IF(L923="","",ROW()-4)</f>
        <v/>
      </c>
      <c r="B923" s="58" t="str">
        <f aca="false">IF(L923="","",IF(INDEX(ポート振替表!$W$5:$W$3507,$L923)="","(なし)",INDEX(ポート振替表!$W$5:$W$3507,$L923)&amp;""))</f>
        <v/>
      </c>
      <c r="C923" s="52" t="str">
        <f aca="false">IF(L923="","",INDEX(ポート振替表!$B$5:$B$3507,$L923)&amp;" "&amp;INDEX(ポート振替表!$C$5:$C$3507,$L923)&amp;"  ⇔  "&amp;INDEX(ポート振替表!$H$5:$H$3507,$L923)&amp;" "&amp;INDEX(ポート振替表!$I$5:$I$3507,$L923))</f>
        <v/>
      </c>
      <c r="D923" s="57" t="s">
        <v>158</v>
      </c>
      <c r="E923" s="59" t="str">
        <f aca="false">IF(L923="","",IF(INDEX(ポート振替表!$O$5:$O$3507,$L923)="","(未設定)",INDEX(ポート振替表!$O$5:$O$3507,$L923)&amp;""))</f>
        <v/>
      </c>
      <c r="F923" s="52" t="str">
        <f aca="false">IF(L923="","",INDEX(ポート振替表!$K$5:$K$3507,$L923)&amp;" "&amp;INDEX(ポート振替表!$L$5:$L$3507,$L923)&amp;"  ⇔  "&amp;INDEX(ポート振替表!$H$5:$H$3507,$L923)&amp;" "&amp;INDEX(ポート振替表!$I$5:$I$3507,$L923))</f>
        <v/>
      </c>
      <c r="G923" s="57" t="s">
        <v>158</v>
      </c>
      <c r="H923" s="32" t="str">
        <f aca="false">IF(L923="","",INDEX(ポート振替表!$N$5:$N$3507,$L923)&amp;"")</f>
        <v/>
      </c>
      <c r="I923" s="32" t="str">
        <f aca="false">IF(L923="","",INDEX(ポート振替表!$P$5:$P$3507,$L923)&amp;"")</f>
        <v/>
      </c>
      <c r="J923" s="60" t="str">
        <f aca="false">IF(L923="","",INDEX(ポート振替表!$M$5:$M$3507,$L923)&amp;"")</f>
        <v/>
      </c>
      <c r="K923" s="52" t="str">
        <f aca="false">IF(L923="","",E923&amp;CHAR(10)&amp;INDEX(ポート振替表!$K$5:$K$3507,$L923)&amp;" "&amp;INDEX(ポート振替表!$L$5:$L$3507,$L923)&amp;CHAR(10)&amp;"⇔ "&amp;INDEX(ポート振替表!$H$5:$H$3507,$L923)&amp;" "&amp;INDEX(ポート振替表!$I$5:$I$3507,$L923))</f>
        <v/>
      </c>
      <c r="L923" s="47" t="str">
        <f aca="false">IFERROR(MATCH(ROW()-4,ポート振替表!$V$5:$V$3507,0),"")</f>
        <v/>
      </c>
    </row>
    <row r="924" customFormat="false" ht="16.4" hidden="false" customHeight="false" outlineLevel="0" collapsed="false">
      <c r="A924" s="32" t="str">
        <f aca="false">IF(L924="","",ROW()-4)</f>
        <v/>
      </c>
      <c r="B924" s="58" t="str">
        <f aca="false">IF(L924="","",IF(INDEX(ポート振替表!$W$5:$W$3507,$L924)="","(なし)",INDEX(ポート振替表!$W$5:$W$3507,$L924)&amp;""))</f>
        <v/>
      </c>
      <c r="C924" s="52" t="str">
        <f aca="false">IF(L924="","",INDEX(ポート振替表!$B$5:$B$3507,$L924)&amp;" "&amp;INDEX(ポート振替表!$C$5:$C$3507,$L924)&amp;"  ⇔  "&amp;INDEX(ポート振替表!$H$5:$H$3507,$L924)&amp;" "&amp;INDEX(ポート振替表!$I$5:$I$3507,$L924))</f>
        <v/>
      </c>
      <c r="D924" s="57" t="s">
        <v>158</v>
      </c>
      <c r="E924" s="59" t="str">
        <f aca="false">IF(L924="","",IF(INDEX(ポート振替表!$O$5:$O$3507,$L924)="","(未設定)",INDEX(ポート振替表!$O$5:$O$3507,$L924)&amp;""))</f>
        <v/>
      </c>
      <c r="F924" s="52" t="str">
        <f aca="false">IF(L924="","",INDEX(ポート振替表!$K$5:$K$3507,$L924)&amp;" "&amp;INDEX(ポート振替表!$L$5:$L$3507,$L924)&amp;"  ⇔  "&amp;INDEX(ポート振替表!$H$5:$H$3507,$L924)&amp;" "&amp;INDEX(ポート振替表!$I$5:$I$3507,$L924))</f>
        <v/>
      </c>
      <c r="G924" s="57" t="s">
        <v>158</v>
      </c>
      <c r="H924" s="32" t="str">
        <f aca="false">IF(L924="","",INDEX(ポート振替表!$N$5:$N$3507,$L924)&amp;"")</f>
        <v/>
      </c>
      <c r="I924" s="32" t="str">
        <f aca="false">IF(L924="","",INDEX(ポート振替表!$P$5:$P$3507,$L924)&amp;"")</f>
        <v/>
      </c>
      <c r="J924" s="60" t="str">
        <f aca="false">IF(L924="","",INDEX(ポート振替表!$M$5:$M$3507,$L924)&amp;"")</f>
        <v/>
      </c>
      <c r="K924" s="52" t="str">
        <f aca="false">IF(L924="","",E924&amp;CHAR(10)&amp;INDEX(ポート振替表!$K$5:$K$3507,$L924)&amp;" "&amp;INDEX(ポート振替表!$L$5:$L$3507,$L924)&amp;CHAR(10)&amp;"⇔ "&amp;INDEX(ポート振替表!$H$5:$H$3507,$L924)&amp;" "&amp;INDEX(ポート振替表!$I$5:$I$3507,$L924))</f>
        <v/>
      </c>
      <c r="L924" s="47" t="str">
        <f aca="false">IFERROR(MATCH(ROW()-4,ポート振替表!$V$5:$V$3507,0),"")</f>
        <v/>
      </c>
    </row>
    <row r="925" customFormat="false" ht="16.4" hidden="false" customHeight="false" outlineLevel="0" collapsed="false">
      <c r="A925" s="32" t="str">
        <f aca="false">IF(L925="","",ROW()-4)</f>
        <v/>
      </c>
      <c r="B925" s="58" t="str">
        <f aca="false">IF(L925="","",IF(INDEX(ポート振替表!$W$5:$W$3507,$L925)="","(なし)",INDEX(ポート振替表!$W$5:$W$3507,$L925)&amp;""))</f>
        <v/>
      </c>
      <c r="C925" s="52" t="str">
        <f aca="false">IF(L925="","",INDEX(ポート振替表!$B$5:$B$3507,$L925)&amp;" "&amp;INDEX(ポート振替表!$C$5:$C$3507,$L925)&amp;"  ⇔  "&amp;INDEX(ポート振替表!$H$5:$H$3507,$L925)&amp;" "&amp;INDEX(ポート振替表!$I$5:$I$3507,$L925))</f>
        <v/>
      </c>
      <c r="D925" s="57" t="s">
        <v>158</v>
      </c>
      <c r="E925" s="59" t="str">
        <f aca="false">IF(L925="","",IF(INDEX(ポート振替表!$O$5:$O$3507,$L925)="","(未設定)",INDEX(ポート振替表!$O$5:$O$3507,$L925)&amp;""))</f>
        <v/>
      </c>
      <c r="F925" s="52" t="str">
        <f aca="false">IF(L925="","",INDEX(ポート振替表!$K$5:$K$3507,$L925)&amp;" "&amp;INDEX(ポート振替表!$L$5:$L$3507,$L925)&amp;"  ⇔  "&amp;INDEX(ポート振替表!$H$5:$H$3507,$L925)&amp;" "&amp;INDEX(ポート振替表!$I$5:$I$3507,$L925))</f>
        <v/>
      </c>
      <c r="G925" s="57" t="s">
        <v>158</v>
      </c>
      <c r="H925" s="32" t="str">
        <f aca="false">IF(L925="","",INDEX(ポート振替表!$N$5:$N$3507,$L925)&amp;"")</f>
        <v/>
      </c>
      <c r="I925" s="32" t="str">
        <f aca="false">IF(L925="","",INDEX(ポート振替表!$P$5:$P$3507,$L925)&amp;"")</f>
        <v/>
      </c>
      <c r="J925" s="60" t="str">
        <f aca="false">IF(L925="","",INDEX(ポート振替表!$M$5:$M$3507,$L925)&amp;"")</f>
        <v/>
      </c>
      <c r="K925" s="52" t="str">
        <f aca="false">IF(L925="","",E925&amp;CHAR(10)&amp;INDEX(ポート振替表!$K$5:$K$3507,$L925)&amp;" "&amp;INDEX(ポート振替表!$L$5:$L$3507,$L925)&amp;CHAR(10)&amp;"⇔ "&amp;INDEX(ポート振替表!$H$5:$H$3507,$L925)&amp;" "&amp;INDEX(ポート振替表!$I$5:$I$3507,$L925))</f>
        <v/>
      </c>
      <c r="L925" s="47" t="str">
        <f aca="false">IFERROR(MATCH(ROW()-4,ポート振替表!$V$5:$V$3507,0),"")</f>
        <v/>
      </c>
    </row>
    <row r="926" customFormat="false" ht="16.4" hidden="false" customHeight="false" outlineLevel="0" collapsed="false">
      <c r="A926" s="32" t="str">
        <f aca="false">IF(L926="","",ROW()-4)</f>
        <v/>
      </c>
      <c r="B926" s="58" t="str">
        <f aca="false">IF(L926="","",IF(INDEX(ポート振替表!$W$5:$W$3507,$L926)="","(なし)",INDEX(ポート振替表!$W$5:$W$3507,$L926)&amp;""))</f>
        <v/>
      </c>
      <c r="C926" s="52" t="str">
        <f aca="false">IF(L926="","",INDEX(ポート振替表!$B$5:$B$3507,$L926)&amp;" "&amp;INDEX(ポート振替表!$C$5:$C$3507,$L926)&amp;"  ⇔  "&amp;INDEX(ポート振替表!$H$5:$H$3507,$L926)&amp;" "&amp;INDEX(ポート振替表!$I$5:$I$3507,$L926))</f>
        <v/>
      </c>
      <c r="D926" s="57" t="s">
        <v>158</v>
      </c>
      <c r="E926" s="59" t="str">
        <f aca="false">IF(L926="","",IF(INDEX(ポート振替表!$O$5:$O$3507,$L926)="","(未設定)",INDEX(ポート振替表!$O$5:$O$3507,$L926)&amp;""))</f>
        <v/>
      </c>
      <c r="F926" s="52" t="str">
        <f aca="false">IF(L926="","",INDEX(ポート振替表!$K$5:$K$3507,$L926)&amp;" "&amp;INDEX(ポート振替表!$L$5:$L$3507,$L926)&amp;"  ⇔  "&amp;INDEX(ポート振替表!$H$5:$H$3507,$L926)&amp;" "&amp;INDEX(ポート振替表!$I$5:$I$3507,$L926))</f>
        <v/>
      </c>
      <c r="G926" s="57" t="s">
        <v>158</v>
      </c>
      <c r="H926" s="32" t="str">
        <f aca="false">IF(L926="","",INDEX(ポート振替表!$N$5:$N$3507,$L926)&amp;"")</f>
        <v/>
      </c>
      <c r="I926" s="32" t="str">
        <f aca="false">IF(L926="","",INDEX(ポート振替表!$P$5:$P$3507,$L926)&amp;"")</f>
        <v/>
      </c>
      <c r="J926" s="60" t="str">
        <f aca="false">IF(L926="","",INDEX(ポート振替表!$M$5:$M$3507,$L926)&amp;"")</f>
        <v/>
      </c>
      <c r="K926" s="52" t="str">
        <f aca="false">IF(L926="","",E926&amp;CHAR(10)&amp;INDEX(ポート振替表!$K$5:$K$3507,$L926)&amp;" "&amp;INDEX(ポート振替表!$L$5:$L$3507,$L926)&amp;CHAR(10)&amp;"⇔ "&amp;INDEX(ポート振替表!$H$5:$H$3507,$L926)&amp;" "&amp;INDEX(ポート振替表!$I$5:$I$3507,$L926))</f>
        <v/>
      </c>
      <c r="L926" s="47" t="str">
        <f aca="false">IFERROR(MATCH(ROW()-4,ポート振替表!$V$5:$V$3507,0),"")</f>
        <v/>
      </c>
    </row>
    <row r="927" customFormat="false" ht="16.4" hidden="false" customHeight="false" outlineLevel="0" collapsed="false">
      <c r="A927" s="32" t="str">
        <f aca="false">IF(L927="","",ROW()-4)</f>
        <v/>
      </c>
      <c r="B927" s="58" t="str">
        <f aca="false">IF(L927="","",IF(INDEX(ポート振替表!$W$5:$W$3507,$L927)="","(なし)",INDEX(ポート振替表!$W$5:$W$3507,$L927)&amp;""))</f>
        <v/>
      </c>
      <c r="C927" s="52" t="str">
        <f aca="false">IF(L927="","",INDEX(ポート振替表!$B$5:$B$3507,$L927)&amp;" "&amp;INDEX(ポート振替表!$C$5:$C$3507,$L927)&amp;"  ⇔  "&amp;INDEX(ポート振替表!$H$5:$H$3507,$L927)&amp;" "&amp;INDEX(ポート振替表!$I$5:$I$3507,$L927))</f>
        <v/>
      </c>
      <c r="D927" s="57" t="s">
        <v>158</v>
      </c>
      <c r="E927" s="59" t="str">
        <f aca="false">IF(L927="","",IF(INDEX(ポート振替表!$O$5:$O$3507,$L927)="","(未設定)",INDEX(ポート振替表!$O$5:$O$3507,$L927)&amp;""))</f>
        <v/>
      </c>
      <c r="F927" s="52" t="str">
        <f aca="false">IF(L927="","",INDEX(ポート振替表!$K$5:$K$3507,$L927)&amp;" "&amp;INDEX(ポート振替表!$L$5:$L$3507,$L927)&amp;"  ⇔  "&amp;INDEX(ポート振替表!$H$5:$H$3507,$L927)&amp;" "&amp;INDEX(ポート振替表!$I$5:$I$3507,$L927))</f>
        <v/>
      </c>
      <c r="G927" s="57" t="s">
        <v>158</v>
      </c>
      <c r="H927" s="32" t="str">
        <f aca="false">IF(L927="","",INDEX(ポート振替表!$N$5:$N$3507,$L927)&amp;"")</f>
        <v/>
      </c>
      <c r="I927" s="32" t="str">
        <f aca="false">IF(L927="","",INDEX(ポート振替表!$P$5:$P$3507,$L927)&amp;"")</f>
        <v/>
      </c>
      <c r="J927" s="60" t="str">
        <f aca="false">IF(L927="","",INDEX(ポート振替表!$M$5:$M$3507,$L927)&amp;"")</f>
        <v/>
      </c>
      <c r="K927" s="52" t="str">
        <f aca="false">IF(L927="","",E927&amp;CHAR(10)&amp;INDEX(ポート振替表!$K$5:$K$3507,$L927)&amp;" "&amp;INDEX(ポート振替表!$L$5:$L$3507,$L927)&amp;CHAR(10)&amp;"⇔ "&amp;INDEX(ポート振替表!$H$5:$H$3507,$L927)&amp;" "&amp;INDEX(ポート振替表!$I$5:$I$3507,$L927))</f>
        <v/>
      </c>
      <c r="L927" s="47" t="str">
        <f aca="false">IFERROR(MATCH(ROW()-4,ポート振替表!$V$5:$V$3507,0),"")</f>
        <v/>
      </c>
    </row>
    <row r="928" customFormat="false" ht="16.4" hidden="false" customHeight="false" outlineLevel="0" collapsed="false">
      <c r="A928" s="32" t="str">
        <f aca="false">IF(L928="","",ROW()-4)</f>
        <v/>
      </c>
      <c r="B928" s="58" t="str">
        <f aca="false">IF(L928="","",IF(INDEX(ポート振替表!$W$5:$W$3507,$L928)="","(なし)",INDEX(ポート振替表!$W$5:$W$3507,$L928)&amp;""))</f>
        <v/>
      </c>
      <c r="C928" s="52" t="str">
        <f aca="false">IF(L928="","",INDEX(ポート振替表!$B$5:$B$3507,$L928)&amp;" "&amp;INDEX(ポート振替表!$C$5:$C$3507,$L928)&amp;"  ⇔  "&amp;INDEX(ポート振替表!$H$5:$H$3507,$L928)&amp;" "&amp;INDEX(ポート振替表!$I$5:$I$3507,$L928))</f>
        <v/>
      </c>
      <c r="D928" s="57" t="s">
        <v>158</v>
      </c>
      <c r="E928" s="59" t="str">
        <f aca="false">IF(L928="","",IF(INDEX(ポート振替表!$O$5:$O$3507,$L928)="","(未設定)",INDEX(ポート振替表!$O$5:$O$3507,$L928)&amp;""))</f>
        <v/>
      </c>
      <c r="F928" s="52" t="str">
        <f aca="false">IF(L928="","",INDEX(ポート振替表!$K$5:$K$3507,$L928)&amp;" "&amp;INDEX(ポート振替表!$L$5:$L$3507,$L928)&amp;"  ⇔  "&amp;INDEX(ポート振替表!$H$5:$H$3507,$L928)&amp;" "&amp;INDEX(ポート振替表!$I$5:$I$3507,$L928))</f>
        <v/>
      </c>
      <c r="G928" s="57" t="s">
        <v>158</v>
      </c>
      <c r="H928" s="32" t="str">
        <f aca="false">IF(L928="","",INDEX(ポート振替表!$N$5:$N$3507,$L928)&amp;"")</f>
        <v/>
      </c>
      <c r="I928" s="32" t="str">
        <f aca="false">IF(L928="","",INDEX(ポート振替表!$P$5:$P$3507,$L928)&amp;"")</f>
        <v/>
      </c>
      <c r="J928" s="60" t="str">
        <f aca="false">IF(L928="","",INDEX(ポート振替表!$M$5:$M$3507,$L928)&amp;"")</f>
        <v/>
      </c>
      <c r="K928" s="52" t="str">
        <f aca="false">IF(L928="","",E928&amp;CHAR(10)&amp;INDEX(ポート振替表!$K$5:$K$3507,$L928)&amp;" "&amp;INDEX(ポート振替表!$L$5:$L$3507,$L928)&amp;CHAR(10)&amp;"⇔ "&amp;INDEX(ポート振替表!$H$5:$H$3507,$L928)&amp;" "&amp;INDEX(ポート振替表!$I$5:$I$3507,$L928))</f>
        <v/>
      </c>
      <c r="L928" s="47" t="str">
        <f aca="false">IFERROR(MATCH(ROW()-4,ポート振替表!$V$5:$V$3507,0),"")</f>
        <v/>
      </c>
    </row>
    <row r="929" customFormat="false" ht="16.4" hidden="false" customHeight="false" outlineLevel="0" collapsed="false">
      <c r="A929" s="32" t="str">
        <f aca="false">IF(L929="","",ROW()-4)</f>
        <v/>
      </c>
      <c r="B929" s="58" t="str">
        <f aca="false">IF(L929="","",IF(INDEX(ポート振替表!$W$5:$W$3507,$L929)="","(なし)",INDEX(ポート振替表!$W$5:$W$3507,$L929)&amp;""))</f>
        <v/>
      </c>
      <c r="C929" s="52" t="str">
        <f aca="false">IF(L929="","",INDEX(ポート振替表!$B$5:$B$3507,$L929)&amp;" "&amp;INDEX(ポート振替表!$C$5:$C$3507,$L929)&amp;"  ⇔  "&amp;INDEX(ポート振替表!$H$5:$H$3507,$L929)&amp;" "&amp;INDEX(ポート振替表!$I$5:$I$3507,$L929))</f>
        <v/>
      </c>
      <c r="D929" s="57" t="s">
        <v>158</v>
      </c>
      <c r="E929" s="59" t="str">
        <f aca="false">IF(L929="","",IF(INDEX(ポート振替表!$O$5:$O$3507,$L929)="","(未設定)",INDEX(ポート振替表!$O$5:$O$3507,$L929)&amp;""))</f>
        <v/>
      </c>
      <c r="F929" s="52" t="str">
        <f aca="false">IF(L929="","",INDEX(ポート振替表!$K$5:$K$3507,$L929)&amp;" "&amp;INDEX(ポート振替表!$L$5:$L$3507,$L929)&amp;"  ⇔  "&amp;INDEX(ポート振替表!$H$5:$H$3507,$L929)&amp;" "&amp;INDEX(ポート振替表!$I$5:$I$3507,$L929))</f>
        <v/>
      </c>
      <c r="G929" s="57" t="s">
        <v>158</v>
      </c>
      <c r="H929" s="32" t="str">
        <f aca="false">IF(L929="","",INDEX(ポート振替表!$N$5:$N$3507,$L929)&amp;"")</f>
        <v/>
      </c>
      <c r="I929" s="32" t="str">
        <f aca="false">IF(L929="","",INDEX(ポート振替表!$P$5:$P$3507,$L929)&amp;"")</f>
        <v/>
      </c>
      <c r="J929" s="60" t="str">
        <f aca="false">IF(L929="","",INDEX(ポート振替表!$M$5:$M$3507,$L929)&amp;"")</f>
        <v/>
      </c>
      <c r="K929" s="52" t="str">
        <f aca="false">IF(L929="","",E929&amp;CHAR(10)&amp;INDEX(ポート振替表!$K$5:$K$3507,$L929)&amp;" "&amp;INDEX(ポート振替表!$L$5:$L$3507,$L929)&amp;CHAR(10)&amp;"⇔ "&amp;INDEX(ポート振替表!$H$5:$H$3507,$L929)&amp;" "&amp;INDEX(ポート振替表!$I$5:$I$3507,$L929))</f>
        <v/>
      </c>
      <c r="L929" s="47" t="str">
        <f aca="false">IFERROR(MATCH(ROW()-4,ポート振替表!$V$5:$V$3507,0),"")</f>
        <v/>
      </c>
    </row>
    <row r="930" customFormat="false" ht="16.4" hidden="false" customHeight="false" outlineLevel="0" collapsed="false">
      <c r="A930" s="32" t="str">
        <f aca="false">IF(L930="","",ROW()-4)</f>
        <v/>
      </c>
      <c r="B930" s="58" t="str">
        <f aca="false">IF(L930="","",IF(INDEX(ポート振替表!$W$5:$W$3507,$L930)="","(なし)",INDEX(ポート振替表!$W$5:$W$3507,$L930)&amp;""))</f>
        <v/>
      </c>
      <c r="C930" s="52" t="str">
        <f aca="false">IF(L930="","",INDEX(ポート振替表!$B$5:$B$3507,$L930)&amp;" "&amp;INDEX(ポート振替表!$C$5:$C$3507,$L930)&amp;"  ⇔  "&amp;INDEX(ポート振替表!$H$5:$H$3507,$L930)&amp;" "&amp;INDEX(ポート振替表!$I$5:$I$3507,$L930))</f>
        <v/>
      </c>
      <c r="D930" s="57" t="s">
        <v>158</v>
      </c>
      <c r="E930" s="59" t="str">
        <f aca="false">IF(L930="","",IF(INDEX(ポート振替表!$O$5:$O$3507,$L930)="","(未設定)",INDEX(ポート振替表!$O$5:$O$3507,$L930)&amp;""))</f>
        <v/>
      </c>
      <c r="F930" s="52" t="str">
        <f aca="false">IF(L930="","",INDEX(ポート振替表!$K$5:$K$3507,$L930)&amp;" "&amp;INDEX(ポート振替表!$L$5:$L$3507,$L930)&amp;"  ⇔  "&amp;INDEX(ポート振替表!$H$5:$H$3507,$L930)&amp;" "&amp;INDEX(ポート振替表!$I$5:$I$3507,$L930))</f>
        <v/>
      </c>
      <c r="G930" s="57" t="s">
        <v>158</v>
      </c>
      <c r="H930" s="32" t="str">
        <f aca="false">IF(L930="","",INDEX(ポート振替表!$N$5:$N$3507,$L930)&amp;"")</f>
        <v/>
      </c>
      <c r="I930" s="32" t="str">
        <f aca="false">IF(L930="","",INDEX(ポート振替表!$P$5:$P$3507,$L930)&amp;"")</f>
        <v/>
      </c>
      <c r="J930" s="60" t="str">
        <f aca="false">IF(L930="","",INDEX(ポート振替表!$M$5:$M$3507,$L930)&amp;"")</f>
        <v/>
      </c>
      <c r="K930" s="52" t="str">
        <f aca="false">IF(L930="","",E930&amp;CHAR(10)&amp;INDEX(ポート振替表!$K$5:$K$3507,$L930)&amp;" "&amp;INDEX(ポート振替表!$L$5:$L$3507,$L930)&amp;CHAR(10)&amp;"⇔ "&amp;INDEX(ポート振替表!$H$5:$H$3507,$L930)&amp;" "&amp;INDEX(ポート振替表!$I$5:$I$3507,$L930))</f>
        <v/>
      </c>
      <c r="L930" s="47" t="str">
        <f aca="false">IFERROR(MATCH(ROW()-4,ポート振替表!$V$5:$V$3507,0),"")</f>
        <v/>
      </c>
    </row>
    <row r="931" customFormat="false" ht="16.4" hidden="false" customHeight="false" outlineLevel="0" collapsed="false">
      <c r="A931" s="32" t="str">
        <f aca="false">IF(L931="","",ROW()-4)</f>
        <v/>
      </c>
      <c r="B931" s="58" t="str">
        <f aca="false">IF(L931="","",IF(INDEX(ポート振替表!$W$5:$W$3507,$L931)="","(なし)",INDEX(ポート振替表!$W$5:$W$3507,$L931)&amp;""))</f>
        <v/>
      </c>
      <c r="C931" s="52" t="str">
        <f aca="false">IF(L931="","",INDEX(ポート振替表!$B$5:$B$3507,$L931)&amp;" "&amp;INDEX(ポート振替表!$C$5:$C$3507,$L931)&amp;"  ⇔  "&amp;INDEX(ポート振替表!$H$5:$H$3507,$L931)&amp;" "&amp;INDEX(ポート振替表!$I$5:$I$3507,$L931))</f>
        <v/>
      </c>
      <c r="D931" s="57" t="s">
        <v>158</v>
      </c>
      <c r="E931" s="59" t="str">
        <f aca="false">IF(L931="","",IF(INDEX(ポート振替表!$O$5:$O$3507,$L931)="","(未設定)",INDEX(ポート振替表!$O$5:$O$3507,$L931)&amp;""))</f>
        <v/>
      </c>
      <c r="F931" s="52" t="str">
        <f aca="false">IF(L931="","",INDEX(ポート振替表!$K$5:$K$3507,$L931)&amp;" "&amp;INDEX(ポート振替表!$L$5:$L$3507,$L931)&amp;"  ⇔  "&amp;INDEX(ポート振替表!$H$5:$H$3507,$L931)&amp;" "&amp;INDEX(ポート振替表!$I$5:$I$3507,$L931))</f>
        <v/>
      </c>
      <c r="G931" s="57" t="s">
        <v>158</v>
      </c>
      <c r="H931" s="32" t="str">
        <f aca="false">IF(L931="","",INDEX(ポート振替表!$N$5:$N$3507,$L931)&amp;"")</f>
        <v/>
      </c>
      <c r="I931" s="32" t="str">
        <f aca="false">IF(L931="","",INDEX(ポート振替表!$P$5:$P$3507,$L931)&amp;"")</f>
        <v/>
      </c>
      <c r="J931" s="60" t="str">
        <f aca="false">IF(L931="","",INDEX(ポート振替表!$M$5:$M$3507,$L931)&amp;"")</f>
        <v/>
      </c>
      <c r="K931" s="52" t="str">
        <f aca="false">IF(L931="","",E931&amp;CHAR(10)&amp;INDEX(ポート振替表!$K$5:$K$3507,$L931)&amp;" "&amp;INDEX(ポート振替表!$L$5:$L$3507,$L931)&amp;CHAR(10)&amp;"⇔ "&amp;INDEX(ポート振替表!$H$5:$H$3507,$L931)&amp;" "&amp;INDEX(ポート振替表!$I$5:$I$3507,$L931))</f>
        <v/>
      </c>
      <c r="L931" s="47" t="str">
        <f aca="false">IFERROR(MATCH(ROW()-4,ポート振替表!$V$5:$V$3507,0),"")</f>
        <v/>
      </c>
    </row>
    <row r="932" customFormat="false" ht="16.4" hidden="false" customHeight="false" outlineLevel="0" collapsed="false">
      <c r="A932" s="32" t="str">
        <f aca="false">IF(L932="","",ROW()-4)</f>
        <v/>
      </c>
      <c r="B932" s="58" t="str">
        <f aca="false">IF(L932="","",IF(INDEX(ポート振替表!$W$5:$W$3507,$L932)="","(なし)",INDEX(ポート振替表!$W$5:$W$3507,$L932)&amp;""))</f>
        <v/>
      </c>
      <c r="C932" s="52" t="str">
        <f aca="false">IF(L932="","",INDEX(ポート振替表!$B$5:$B$3507,$L932)&amp;" "&amp;INDEX(ポート振替表!$C$5:$C$3507,$L932)&amp;"  ⇔  "&amp;INDEX(ポート振替表!$H$5:$H$3507,$L932)&amp;" "&amp;INDEX(ポート振替表!$I$5:$I$3507,$L932))</f>
        <v/>
      </c>
      <c r="D932" s="57" t="s">
        <v>158</v>
      </c>
      <c r="E932" s="59" t="str">
        <f aca="false">IF(L932="","",IF(INDEX(ポート振替表!$O$5:$O$3507,$L932)="","(未設定)",INDEX(ポート振替表!$O$5:$O$3507,$L932)&amp;""))</f>
        <v/>
      </c>
      <c r="F932" s="52" t="str">
        <f aca="false">IF(L932="","",INDEX(ポート振替表!$K$5:$K$3507,$L932)&amp;" "&amp;INDEX(ポート振替表!$L$5:$L$3507,$L932)&amp;"  ⇔  "&amp;INDEX(ポート振替表!$H$5:$H$3507,$L932)&amp;" "&amp;INDEX(ポート振替表!$I$5:$I$3507,$L932))</f>
        <v/>
      </c>
      <c r="G932" s="57" t="s">
        <v>158</v>
      </c>
      <c r="H932" s="32" t="str">
        <f aca="false">IF(L932="","",INDEX(ポート振替表!$N$5:$N$3507,$L932)&amp;"")</f>
        <v/>
      </c>
      <c r="I932" s="32" t="str">
        <f aca="false">IF(L932="","",INDEX(ポート振替表!$P$5:$P$3507,$L932)&amp;"")</f>
        <v/>
      </c>
      <c r="J932" s="60" t="str">
        <f aca="false">IF(L932="","",INDEX(ポート振替表!$M$5:$M$3507,$L932)&amp;"")</f>
        <v/>
      </c>
      <c r="K932" s="52" t="str">
        <f aca="false">IF(L932="","",E932&amp;CHAR(10)&amp;INDEX(ポート振替表!$K$5:$K$3507,$L932)&amp;" "&amp;INDEX(ポート振替表!$L$5:$L$3507,$L932)&amp;CHAR(10)&amp;"⇔ "&amp;INDEX(ポート振替表!$H$5:$H$3507,$L932)&amp;" "&amp;INDEX(ポート振替表!$I$5:$I$3507,$L932))</f>
        <v/>
      </c>
      <c r="L932" s="47" t="str">
        <f aca="false">IFERROR(MATCH(ROW()-4,ポート振替表!$V$5:$V$3507,0),"")</f>
        <v/>
      </c>
    </row>
    <row r="933" customFormat="false" ht="16.4" hidden="false" customHeight="false" outlineLevel="0" collapsed="false">
      <c r="A933" s="32" t="str">
        <f aca="false">IF(L933="","",ROW()-4)</f>
        <v/>
      </c>
      <c r="B933" s="58" t="str">
        <f aca="false">IF(L933="","",IF(INDEX(ポート振替表!$W$5:$W$3507,$L933)="","(なし)",INDEX(ポート振替表!$W$5:$W$3507,$L933)&amp;""))</f>
        <v/>
      </c>
      <c r="C933" s="52" t="str">
        <f aca="false">IF(L933="","",INDEX(ポート振替表!$B$5:$B$3507,$L933)&amp;" "&amp;INDEX(ポート振替表!$C$5:$C$3507,$L933)&amp;"  ⇔  "&amp;INDEX(ポート振替表!$H$5:$H$3507,$L933)&amp;" "&amp;INDEX(ポート振替表!$I$5:$I$3507,$L933))</f>
        <v/>
      </c>
      <c r="D933" s="57" t="s">
        <v>158</v>
      </c>
      <c r="E933" s="59" t="str">
        <f aca="false">IF(L933="","",IF(INDEX(ポート振替表!$O$5:$O$3507,$L933)="","(未設定)",INDEX(ポート振替表!$O$5:$O$3507,$L933)&amp;""))</f>
        <v/>
      </c>
      <c r="F933" s="52" t="str">
        <f aca="false">IF(L933="","",INDEX(ポート振替表!$K$5:$K$3507,$L933)&amp;" "&amp;INDEX(ポート振替表!$L$5:$L$3507,$L933)&amp;"  ⇔  "&amp;INDEX(ポート振替表!$H$5:$H$3507,$L933)&amp;" "&amp;INDEX(ポート振替表!$I$5:$I$3507,$L933))</f>
        <v/>
      </c>
      <c r="G933" s="57" t="s">
        <v>158</v>
      </c>
      <c r="H933" s="32" t="str">
        <f aca="false">IF(L933="","",INDEX(ポート振替表!$N$5:$N$3507,$L933)&amp;"")</f>
        <v/>
      </c>
      <c r="I933" s="32" t="str">
        <f aca="false">IF(L933="","",INDEX(ポート振替表!$P$5:$P$3507,$L933)&amp;"")</f>
        <v/>
      </c>
      <c r="J933" s="60" t="str">
        <f aca="false">IF(L933="","",INDEX(ポート振替表!$M$5:$M$3507,$L933)&amp;"")</f>
        <v/>
      </c>
      <c r="K933" s="52" t="str">
        <f aca="false">IF(L933="","",E933&amp;CHAR(10)&amp;INDEX(ポート振替表!$K$5:$K$3507,$L933)&amp;" "&amp;INDEX(ポート振替表!$L$5:$L$3507,$L933)&amp;CHAR(10)&amp;"⇔ "&amp;INDEX(ポート振替表!$H$5:$H$3507,$L933)&amp;" "&amp;INDEX(ポート振替表!$I$5:$I$3507,$L933))</f>
        <v/>
      </c>
      <c r="L933" s="47" t="str">
        <f aca="false">IFERROR(MATCH(ROW()-4,ポート振替表!$V$5:$V$3507,0),"")</f>
        <v/>
      </c>
    </row>
    <row r="934" customFormat="false" ht="16.4" hidden="false" customHeight="false" outlineLevel="0" collapsed="false">
      <c r="A934" s="32" t="str">
        <f aca="false">IF(L934="","",ROW()-4)</f>
        <v/>
      </c>
      <c r="B934" s="58" t="str">
        <f aca="false">IF(L934="","",IF(INDEX(ポート振替表!$W$5:$W$3507,$L934)="","(なし)",INDEX(ポート振替表!$W$5:$W$3507,$L934)&amp;""))</f>
        <v/>
      </c>
      <c r="C934" s="52" t="str">
        <f aca="false">IF(L934="","",INDEX(ポート振替表!$B$5:$B$3507,$L934)&amp;" "&amp;INDEX(ポート振替表!$C$5:$C$3507,$L934)&amp;"  ⇔  "&amp;INDEX(ポート振替表!$H$5:$H$3507,$L934)&amp;" "&amp;INDEX(ポート振替表!$I$5:$I$3507,$L934))</f>
        <v/>
      </c>
      <c r="D934" s="57" t="s">
        <v>158</v>
      </c>
      <c r="E934" s="59" t="str">
        <f aca="false">IF(L934="","",IF(INDEX(ポート振替表!$O$5:$O$3507,$L934)="","(未設定)",INDEX(ポート振替表!$O$5:$O$3507,$L934)&amp;""))</f>
        <v/>
      </c>
      <c r="F934" s="52" t="str">
        <f aca="false">IF(L934="","",INDEX(ポート振替表!$K$5:$K$3507,$L934)&amp;" "&amp;INDEX(ポート振替表!$L$5:$L$3507,$L934)&amp;"  ⇔  "&amp;INDEX(ポート振替表!$H$5:$H$3507,$L934)&amp;" "&amp;INDEX(ポート振替表!$I$5:$I$3507,$L934))</f>
        <v/>
      </c>
      <c r="G934" s="57" t="s">
        <v>158</v>
      </c>
      <c r="H934" s="32" t="str">
        <f aca="false">IF(L934="","",INDEX(ポート振替表!$N$5:$N$3507,$L934)&amp;"")</f>
        <v/>
      </c>
      <c r="I934" s="32" t="str">
        <f aca="false">IF(L934="","",INDEX(ポート振替表!$P$5:$P$3507,$L934)&amp;"")</f>
        <v/>
      </c>
      <c r="J934" s="60" t="str">
        <f aca="false">IF(L934="","",INDEX(ポート振替表!$M$5:$M$3507,$L934)&amp;"")</f>
        <v/>
      </c>
      <c r="K934" s="52" t="str">
        <f aca="false">IF(L934="","",E934&amp;CHAR(10)&amp;INDEX(ポート振替表!$K$5:$K$3507,$L934)&amp;" "&amp;INDEX(ポート振替表!$L$5:$L$3507,$L934)&amp;CHAR(10)&amp;"⇔ "&amp;INDEX(ポート振替表!$H$5:$H$3507,$L934)&amp;" "&amp;INDEX(ポート振替表!$I$5:$I$3507,$L934))</f>
        <v/>
      </c>
      <c r="L934" s="47" t="str">
        <f aca="false">IFERROR(MATCH(ROW()-4,ポート振替表!$V$5:$V$3507,0),"")</f>
        <v/>
      </c>
    </row>
    <row r="935" customFormat="false" ht="16.4" hidden="false" customHeight="false" outlineLevel="0" collapsed="false">
      <c r="A935" s="32" t="str">
        <f aca="false">IF(L935="","",ROW()-4)</f>
        <v/>
      </c>
      <c r="B935" s="58" t="str">
        <f aca="false">IF(L935="","",IF(INDEX(ポート振替表!$W$5:$W$3507,$L935)="","(なし)",INDEX(ポート振替表!$W$5:$W$3507,$L935)&amp;""))</f>
        <v/>
      </c>
      <c r="C935" s="52" t="str">
        <f aca="false">IF(L935="","",INDEX(ポート振替表!$B$5:$B$3507,$L935)&amp;" "&amp;INDEX(ポート振替表!$C$5:$C$3507,$L935)&amp;"  ⇔  "&amp;INDEX(ポート振替表!$H$5:$H$3507,$L935)&amp;" "&amp;INDEX(ポート振替表!$I$5:$I$3507,$L935))</f>
        <v/>
      </c>
      <c r="D935" s="57" t="s">
        <v>158</v>
      </c>
      <c r="E935" s="59" t="str">
        <f aca="false">IF(L935="","",IF(INDEX(ポート振替表!$O$5:$O$3507,$L935)="","(未設定)",INDEX(ポート振替表!$O$5:$O$3507,$L935)&amp;""))</f>
        <v/>
      </c>
      <c r="F935" s="52" t="str">
        <f aca="false">IF(L935="","",INDEX(ポート振替表!$K$5:$K$3507,$L935)&amp;" "&amp;INDEX(ポート振替表!$L$5:$L$3507,$L935)&amp;"  ⇔  "&amp;INDEX(ポート振替表!$H$5:$H$3507,$L935)&amp;" "&amp;INDEX(ポート振替表!$I$5:$I$3507,$L935))</f>
        <v/>
      </c>
      <c r="G935" s="57" t="s">
        <v>158</v>
      </c>
      <c r="H935" s="32" t="str">
        <f aca="false">IF(L935="","",INDEX(ポート振替表!$N$5:$N$3507,$L935)&amp;"")</f>
        <v/>
      </c>
      <c r="I935" s="32" t="str">
        <f aca="false">IF(L935="","",INDEX(ポート振替表!$P$5:$P$3507,$L935)&amp;"")</f>
        <v/>
      </c>
      <c r="J935" s="60" t="str">
        <f aca="false">IF(L935="","",INDEX(ポート振替表!$M$5:$M$3507,$L935)&amp;"")</f>
        <v/>
      </c>
      <c r="K935" s="52" t="str">
        <f aca="false">IF(L935="","",E935&amp;CHAR(10)&amp;INDEX(ポート振替表!$K$5:$K$3507,$L935)&amp;" "&amp;INDEX(ポート振替表!$L$5:$L$3507,$L935)&amp;CHAR(10)&amp;"⇔ "&amp;INDEX(ポート振替表!$H$5:$H$3507,$L935)&amp;" "&amp;INDEX(ポート振替表!$I$5:$I$3507,$L935))</f>
        <v/>
      </c>
      <c r="L935" s="47" t="str">
        <f aca="false">IFERROR(MATCH(ROW()-4,ポート振替表!$V$5:$V$3507,0),"")</f>
        <v/>
      </c>
    </row>
    <row r="936" customFormat="false" ht="16.4" hidden="false" customHeight="false" outlineLevel="0" collapsed="false">
      <c r="A936" s="32" t="str">
        <f aca="false">IF(L936="","",ROW()-4)</f>
        <v/>
      </c>
      <c r="B936" s="58" t="str">
        <f aca="false">IF(L936="","",IF(INDEX(ポート振替表!$W$5:$W$3507,$L936)="","(なし)",INDEX(ポート振替表!$W$5:$W$3507,$L936)&amp;""))</f>
        <v/>
      </c>
      <c r="C936" s="52" t="str">
        <f aca="false">IF(L936="","",INDEX(ポート振替表!$B$5:$B$3507,$L936)&amp;" "&amp;INDEX(ポート振替表!$C$5:$C$3507,$L936)&amp;"  ⇔  "&amp;INDEX(ポート振替表!$H$5:$H$3507,$L936)&amp;" "&amp;INDEX(ポート振替表!$I$5:$I$3507,$L936))</f>
        <v/>
      </c>
      <c r="D936" s="57" t="s">
        <v>158</v>
      </c>
      <c r="E936" s="59" t="str">
        <f aca="false">IF(L936="","",IF(INDEX(ポート振替表!$O$5:$O$3507,$L936)="","(未設定)",INDEX(ポート振替表!$O$5:$O$3507,$L936)&amp;""))</f>
        <v/>
      </c>
      <c r="F936" s="52" t="str">
        <f aca="false">IF(L936="","",INDEX(ポート振替表!$K$5:$K$3507,$L936)&amp;" "&amp;INDEX(ポート振替表!$L$5:$L$3507,$L936)&amp;"  ⇔  "&amp;INDEX(ポート振替表!$H$5:$H$3507,$L936)&amp;" "&amp;INDEX(ポート振替表!$I$5:$I$3507,$L936))</f>
        <v/>
      </c>
      <c r="G936" s="57" t="s">
        <v>158</v>
      </c>
      <c r="H936" s="32" t="str">
        <f aca="false">IF(L936="","",INDEX(ポート振替表!$N$5:$N$3507,$L936)&amp;"")</f>
        <v/>
      </c>
      <c r="I936" s="32" t="str">
        <f aca="false">IF(L936="","",INDEX(ポート振替表!$P$5:$P$3507,$L936)&amp;"")</f>
        <v/>
      </c>
      <c r="J936" s="60" t="str">
        <f aca="false">IF(L936="","",INDEX(ポート振替表!$M$5:$M$3507,$L936)&amp;"")</f>
        <v/>
      </c>
      <c r="K936" s="52" t="str">
        <f aca="false">IF(L936="","",E936&amp;CHAR(10)&amp;INDEX(ポート振替表!$K$5:$K$3507,$L936)&amp;" "&amp;INDEX(ポート振替表!$L$5:$L$3507,$L936)&amp;CHAR(10)&amp;"⇔ "&amp;INDEX(ポート振替表!$H$5:$H$3507,$L936)&amp;" "&amp;INDEX(ポート振替表!$I$5:$I$3507,$L936))</f>
        <v/>
      </c>
      <c r="L936" s="47" t="str">
        <f aca="false">IFERROR(MATCH(ROW()-4,ポート振替表!$V$5:$V$3507,0),"")</f>
        <v/>
      </c>
    </row>
    <row r="937" customFormat="false" ht="16.4" hidden="false" customHeight="false" outlineLevel="0" collapsed="false">
      <c r="A937" s="32" t="str">
        <f aca="false">IF(L937="","",ROW()-4)</f>
        <v/>
      </c>
      <c r="B937" s="58" t="str">
        <f aca="false">IF(L937="","",IF(INDEX(ポート振替表!$W$5:$W$3507,$L937)="","(なし)",INDEX(ポート振替表!$W$5:$W$3507,$L937)&amp;""))</f>
        <v/>
      </c>
      <c r="C937" s="52" t="str">
        <f aca="false">IF(L937="","",INDEX(ポート振替表!$B$5:$B$3507,$L937)&amp;" "&amp;INDEX(ポート振替表!$C$5:$C$3507,$L937)&amp;"  ⇔  "&amp;INDEX(ポート振替表!$H$5:$H$3507,$L937)&amp;" "&amp;INDEX(ポート振替表!$I$5:$I$3507,$L937))</f>
        <v/>
      </c>
      <c r="D937" s="57" t="s">
        <v>158</v>
      </c>
      <c r="E937" s="59" t="str">
        <f aca="false">IF(L937="","",IF(INDEX(ポート振替表!$O$5:$O$3507,$L937)="","(未設定)",INDEX(ポート振替表!$O$5:$O$3507,$L937)&amp;""))</f>
        <v/>
      </c>
      <c r="F937" s="52" t="str">
        <f aca="false">IF(L937="","",INDEX(ポート振替表!$K$5:$K$3507,$L937)&amp;" "&amp;INDEX(ポート振替表!$L$5:$L$3507,$L937)&amp;"  ⇔  "&amp;INDEX(ポート振替表!$H$5:$H$3507,$L937)&amp;" "&amp;INDEX(ポート振替表!$I$5:$I$3507,$L937))</f>
        <v/>
      </c>
      <c r="G937" s="57" t="s">
        <v>158</v>
      </c>
      <c r="H937" s="32" t="str">
        <f aca="false">IF(L937="","",INDEX(ポート振替表!$N$5:$N$3507,$L937)&amp;"")</f>
        <v/>
      </c>
      <c r="I937" s="32" t="str">
        <f aca="false">IF(L937="","",INDEX(ポート振替表!$P$5:$P$3507,$L937)&amp;"")</f>
        <v/>
      </c>
      <c r="J937" s="60" t="str">
        <f aca="false">IF(L937="","",INDEX(ポート振替表!$M$5:$M$3507,$L937)&amp;"")</f>
        <v/>
      </c>
      <c r="K937" s="52" t="str">
        <f aca="false">IF(L937="","",E937&amp;CHAR(10)&amp;INDEX(ポート振替表!$K$5:$K$3507,$L937)&amp;" "&amp;INDEX(ポート振替表!$L$5:$L$3507,$L937)&amp;CHAR(10)&amp;"⇔ "&amp;INDEX(ポート振替表!$H$5:$H$3507,$L937)&amp;" "&amp;INDEX(ポート振替表!$I$5:$I$3507,$L937))</f>
        <v/>
      </c>
      <c r="L937" s="47" t="str">
        <f aca="false">IFERROR(MATCH(ROW()-4,ポート振替表!$V$5:$V$3507,0),"")</f>
        <v/>
      </c>
    </row>
    <row r="938" customFormat="false" ht="16.4" hidden="false" customHeight="false" outlineLevel="0" collapsed="false">
      <c r="A938" s="32" t="str">
        <f aca="false">IF(L938="","",ROW()-4)</f>
        <v/>
      </c>
      <c r="B938" s="58" t="str">
        <f aca="false">IF(L938="","",IF(INDEX(ポート振替表!$W$5:$W$3507,$L938)="","(なし)",INDEX(ポート振替表!$W$5:$W$3507,$L938)&amp;""))</f>
        <v/>
      </c>
      <c r="C938" s="52" t="str">
        <f aca="false">IF(L938="","",INDEX(ポート振替表!$B$5:$B$3507,$L938)&amp;" "&amp;INDEX(ポート振替表!$C$5:$C$3507,$L938)&amp;"  ⇔  "&amp;INDEX(ポート振替表!$H$5:$H$3507,$L938)&amp;" "&amp;INDEX(ポート振替表!$I$5:$I$3507,$L938))</f>
        <v/>
      </c>
      <c r="D938" s="57" t="s">
        <v>158</v>
      </c>
      <c r="E938" s="59" t="str">
        <f aca="false">IF(L938="","",IF(INDEX(ポート振替表!$O$5:$O$3507,$L938)="","(未設定)",INDEX(ポート振替表!$O$5:$O$3507,$L938)&amp;""))</f>
        <v/>
      </c>
      <c r="F938" s="52" t="str">
        <f aca="false">IF(L938="","",INDEX(ポート振替表!$K$5:$K$3507,$L938)&amp;" "&amp;INDEX(ポート振替表!$L$5:$L$3507,$L938)&amp;"  ⇔  "&amp;INDEX(ポート振替表!$H$5:$H$3507,$L938)&amp;" "&amp;INDEX(ポート振替表!$I$5:$I$3507,$L938))</f>
        <v/>
      </c>
      <c r="G938" s="57" t="s">
        <v>158</v>
      </c>
      <c r="H938" s="32" t="str">
        <f aca="false">IF(L938="","",INDEX(ポート振替表!$N$5:$N$3507,$L938)&amp;"")</f>
        <v/>
      </c>
      <c r="I938" s="32" t="str">
        <f aca="false">IF(L938="","",INDEX(ポート振替表!$P$5:$P$3507,$L938)&amp;"")</f>
        <v/>
      </c>
      <c r="J938" s="60" t="str">
        <f aca="false">IF(L938="","",INDEX(ポート振替表!$M$5:$M$3507,$L938)&amp;"")</f>
        <v/>
      </c>
      <c r="K938" s="52" t="str">
        <f aca="false">IF(L938="","",E938&amp;CHAR(10)&amp;INDEX(ポート振替表!$K$5:$K$3507,$L938)&amp;" "&amp;INDEX(ポート振替表!$L$5:$L$3507,$L938)&amp;CHAR(10)&amp;"⇔ "&amp;INDEX(ポート振替表!$H$5:$H$3507,$L938)&amp;" "&amp;INDEX(ポート振替表!$I$5:$I$3507,$L938))</f>
        <v/>
      </c>
      <c r="L938" s="47" t="str">
        <f aca="false">IFERROR(MATCH(ROW()-4,ポート振替表!$V$5:$V$3507,0),"")</f>
        <v/>
      </c>
    </row>
    <row r="939" customFormat="false" ht="16.4" hidden="false" customHeight="false" outlineLevel="0" collapsed="false">
      <c r="A939" s="32" t="str">
        <f aca="false">IF(L939="","",ROW()-4)</f>
        <v/>
      </c>
      <c r="B939" s="58" t="str">
        <f aca="false">IF(L939="","",IF(INDEX(ポート振替表!$W$5:$W$3507,$L939)="","(なし)",INDEX(ポート振替表!$W$5:$W$3507,$L939)&amp;""))</f>
        <v/>
      </c>
      <c r="C939" s="52" t="str">
        <f aca="false">IF(L939="","",INDEX(ポート振替表!$B$5:$B$3507,$L939)&amp;" "&amp;INDEX(ポート振替表!$C$5:$C$3507,$L939)&amp;"  ⇔  "&amp;INDEX(ポート振替表!$H$5:$H$3507,$L939)&amp;" "&amp;INDEX(ポート振替表!$I$5:$I$3507,$L939))</f>
        <v/>
      </c>
      <c r="D939" s="57" t="s">
        <v>158</v>
      </c>
      <c r="E939" s="59" t="str">
        <f aca="false">IF(L939="","",IF(INDEX(ポート振替表!$O$5:$O$3507,$L939)="","(未設定)",INDEX(ポート振替表!$O$5:$O$3507,$L939)&amp;""))</f>
        <v/>
      </c>
      <c r="F939" s="52" t="str">
        <f aca="false">IF(L939="","",INDEX(ポート振替表!$K$5:$K$3507,$L939)&amp;" "&amp;INDEX(ポート振替表!$L$5:$L$3507,$L939)&amp;"  ⇔  "&amp;INDEX(ポート振替表!$H$5:$H$3507,$L939)&amp;" "&amp;INDEX(ポート振替表!$I$5:$I$3507,$L939))</f>
        <v/>
      </c>
      <c r="G939" s="57" t="s">
        <v>158</v>
      </c>
      <c r="H939" s="32" t="str">
        <f aca="false">IF(L939="","",INDEX(ポート振替表!$N$5:$N$3507,$L939)&amp;"")</f>
        <v/>
      </c>
      <c r="I939" s="32" t="str">
        <f aca="false">IF(L939="","",INDEX(ポート振替表!$P$5:$P$3507,$L939)&amp;"")</f>
        <v/>
      </c>
      <c r="J939" s="60" t="str">
        <f aca="false">IF(L939="","",INDEX(ポート振替表!$M$5:$M$3507,$L939)&amp;"")</f>
        <v/>
      </c>
      <c r="K939" s="52" t="str">
        <f aca="false">IF(L939="","",E939&amp;CHAR(10)&amp;INDEX(ポート振替表!$K$5:$K$3507,$L939)&amp;" "&amp;INDEX(ポート振替表!$L$5:$L$3507,$L939)&amp;CHAR(10)&amp;"⇔ "&amp;INDEX(ポート振替表!$H$5:$H$3507,$L939)&amp;" "&amp;INDEX(ポート振替表!$I$5:$I$3507,$L939))</f>
        <v/>
      </c>
      <c r="L939" s="47" t="str">
        <f aca="false">IFERROR(MATCH(ROW()-4,ポート振替表!$V$5:$V$3507,0),"")</f>
        <v/>
      </c>
    </row>
    <row r="940" customFormat="false" ht="16.4" hidden="false" customHeight="false" outlineLevel="0" collapsed="false">
      <c r="A940" s="32" t="str">
        <f aca="false">IF(L940="","",ROW()-4)</f>
        <v/>
      </c>
      <c r="B940" s="58" t="str">
        <f aca="false">IF(L940="","",IF(INDEX(ポート振替表!$W$5:$W$3507,$L940)="","(なし)",INDEX(ポート振替表!$W$5:$W$3507,$L940)&amp;""))</f>
        <v/>
      </c>
      <c r="C940" s="52" t="str">
        <f aca="false">IF(L940="","",INDEX(ポート振替表!$B$5:$B$3507,$L940)&amp;" "&amp;INDEX(ポート振替表!$C$5:$C$3507,$L940)&amp;"  ⇔  "&amp;INDEX(ポート振替表!$H$5:$H$3507,$L940)&amp;" "&amp;INDEX(ポート振替表!$I$5:$I$3507,$L940))</f>
        <v/>
      </c>
      <c r="D940" s="57" t="s">
        <v>158</v>
      </c>
      <c r="E940" s="59" t="str">
        <f aca="false">IF(L940="","",IF(INDEX(ポート振替表!$O$5:$O$3507,$L940)="","(未設定)",INDEX(ポート振替表!$O$5:$O$3507,$L940)&amp;""))</f>
        <v/>
      </c>
      <c r="F940" s="52" t="str">
        <f aca="false">IF(L940="","",INDEX(ポート振替表!$K$5:$K$3507,$L940)&amp;" "&amp;INDEX(ポート振替表!$L$5:$L$3507,$L940)&amp;"  ⇔  "&amp;INDEX(ポート振替表!$H$5:$H$3507,$L940)&amp;" "&amp;INDEX(ポート振替表!$I$5:$I$3507,$L940))</f>
        <v/>
      </c>
      <c r="G940" s="57" t="s">
        <v>158</v>
      </c>
      <c r="H940" s="32" t="str">
        <f aca="false">IF(L940="","",INDEX(ポート振替表!$N$5:$N$3507,$L940)&amp;"")</f>
        <v/>
      </c>
      <c r="I940" s="32" t="str">
        <f aca="false">IF(L940="","",INDEX(ポート振替表!$P$5:$P$3507,$L940)&amp;"")</f>
        <v/>
      </c>
      <c r="J940" s="60" t="str">
        <f aca="false">IF(L940="","",INDEX(ポート振替表!$M$5:$M$3507,$L940)&amp;"")</f>
        <v/>
      </c>
      <c r="K940" s="52" t="str">
        <f aca="false">IF(L940="","",E940&amp;CHAR(10)&amp;INDEX(ポート振替表!$K$5:$K$3507,$L940)&amp;" "&amp;INDEX(ポート振替表!$L$5:$L$3507,$L940)&amp;CHAR(10)&amp;"⇔ "&amp;INDEX(ポート振替表!$H$5:$H$3507,$L940)&amp;" "&amp;INDEX(ポート振替表!$I$5:$I$3507,$L940))</f>
        <v/>
      </c>
      <c r="L940" s="47" t="str">
        <f aca="false">IFERROR(MATCH(ROW()-4,ポート振替表!$V$5:$V$3507,0),"")</f>
        <v/>
      </c>
    </row>
    <row r="941" customFormat="false" ht="16.4" hidden="false" customHeight="false" outlineLevel="0" collapsed="false">
      <c r="A941" s="32" t="str">
        <f aca="false">IF(L941="","",ROW()-4)</f>
        <v/>
      </c>
      <c r="B941" s="58" t="str">
        <f aca="false">IF(L941="","",IF(INDEX(ポート振替表!$W$5:$W$3507,$L941)="","(なし)",INDEX(ポート振替表!$W$5:$W$3507,$L941)&amp;""))</f>
        <v/>
      </c>
      <c r="C941" s="52" t="str">
        <f aca="false">IF(L941="","",INDEX(ポート振替表!$B$5:$B$3507,$L941)&amp;" "&amp;INDEX(ポート振替表!$C$5:$C$3507,$L941)&amp;"  ⇔  "&amp;INDEX(ポート振替表!$H$5:$H$3507,$L941)&amp;" "&amp;INDEX(ポート振替表!$I$5:$I$3507,$L941))</f>
        <v/>
      </c>
      <c r="D941" s="57" t="s">
        <v>158</v>
      </c>
      <c r="E941" s="59" t="str">
        <f aca="false">IF(L941="","",IF(INDEX(ポート振替表!$O$5:$O$3507,$L941)="","(未設定)",INDEX(ポート振替表!$O$5:$O$3507,$L941)&amp;""))</f>
        <v/>
      </c>
      <c r="F941" s="52" t="str">
        <f aca="false">IF(L941="","",INDEX(ポート振替表!$K$5:$K$3507,$L941)&amp;" "&amp;INDEX(ポート振替表!$L$5:$L$3507,$L941)&amp;"  ⇔  "&amp;INDEX(ポート振替表!$H$5:$H$3507,$L941)&amp;" "&amp;INDEX(ポート振替表!$I$5:$I$3507,$L941))</f>
        <v/>
      </c>
      <c r="G941" s="57" t="s">
        <v>158</v>
      </c>
      <c r="H941" s="32" t="str">
        <f aca="false">IF(L941="","",INDEX(ポート振替表!$N$5:$N$3507,$L941)&amp;"")</f>
        <v/>
      </c>
      <c r="I941" s="32" t="str">
        <f aca="false">IF(L941="","",INDEX(ポート振替表!$P$5:$P$3507,$L941)&amp;"")</f>
        <v/>
      </c>
      <c r="J941" s="60" t="str">
        <f aca="false">IF(L941="","",INDEX(ポート振替表!$M$5:$M$3507,$L941)&amp;"")</f>
        <v/>
      </c>
      <c r="K941" s="52" t="str">
        <f aca="false">IF(L941="","",E941&amp;CHAR(10)&amp;INDEX(ポート振替表!$K$5:$K$3507,$L941)&amp;" "&amp;INDEX(ポート振替表!$L$5:$L$3507,$L941)&amp;CHAR(10)&amp;"⇔ "&amp;INDEX(ポート振替表!$H$5:$H$3507,$L941)&amp;" "&amp;INDEX(ポート振替表!$I$5:$I$3507,$L941))</f>
        <v/>
      </c>
      <c r="L941" s="47" t="str">
        <f aca="false">IFERROR(MATCH(ROW()-4,ポート振替表!$V$5:$V$3507,0),"")</f>
        <v/>
      </c>
    </row>
    <row r="942" customFormat="false" ht="16.4" hidden="false" customHeight="false" outlineLevel="0" collapsed="false">
      <c r="A942" s="32" t="str">
        <f aca="false">IF(L942="","",ROW()-4)</f>
        <v/>
      </c>
      <c r="B942" s="58" t="str">
        <f aca="false">IF(L942="","",IF(INDEX(ポート振替表!$W$5:$W$3507,$L942)="","(なし)",INDEX(ポート振替表!$W$5:$W$3507,$L942)&amp;""))</f>
        <v/>
      </c>
      <c r="C942" s="52" t="str">
        <f aca="false">IF(L942="","",INDEX(ポート振替表!$B$5:$B$3507,$L942)&amp;" "&amp;INDEX(ポート振替表!$C$5:$C$3507,$L942)&amp;"  ⇔  "&amp;INDEX(ポート振替表!$H$5:$H$3507,$L942)&amp;" "&amp;INDEX(ポート振替表!$I$5:$I$3507,$L942))</f>
        <v/>
      </c>
      <c r="D942" s="57" t="s">
        <v>158</v>
      </c>
      <c r="E942" s="59" t="str">
        <f aca="false">IF(L942="","",IF(INDEX(ポート振替表!$O$5:$O$3507,$L942)="","(未設定)",INDEX(ポート振替表!$O$5:$O$3507,$L942)&amp;""))</f>
        <v/>
      </c>
      <c r="F942" s="52" t="str">
        <f aca="false">IF(L942="","",INDEX(ポート振替表!$K$5:$K$3507,$L942)&amp;" "&amp;INDEX(ポート振替表!$L$5:$L$3507,$L942)&amp;"  ⇔  "&amp;INDEX(ポート振替表!$H$5:$H$3507,$L942)&amp;" "&amp;INDEX(ポート振替表!$I$5:$I$3507,$L942))</f>
        <v/>
      </c>
      <c r="G942" s="57" t="s">
        <v>158</v>
      </c>
      <c r="H942" s="32" t="str">
        <f aca="false">IF(L942="","",INDEX(ポート振替表!$N$5:$N$3507,$L942)&amp;"")</f>
        <v/>
      </c>
      <c r="I942" s="32" t="str">
        <f aca="false">IF(L942="","",INDEX(ポート振替表!$P$5:$P$3507,$L942)&amp;"")</f>
        <v/>
      </c>
      <c r="J942" s="60" t="str">
        <f aca="false">IF(L942="","",INDEX(ポート振替表!$M$5:$M$3507,$L942)&amp;"")</f>
        <v/>
      </c>
      <c r="K942" s="52" t="str">
        <f aca="false">IF(L942="","",E942&amp;CHAR(10)&amp;INDEX(ポート振替表!$K$5:$K$3507,$L942)&amp;" "&amp;INDEX(ポート振替表!$L$5:$L$3507,$L942)&amp;CHAR(10)&amp;"⇔ "&amp;INDEX(ポート振替表!$H$5:$H$3507,$L942)&amp;" "&amp;INDEX(ポート振替表!$I$5:$I$3507,$L942))</f>
        <v/>
      </c>
      <c r="L942" s="47" t="str">
        <f aca="false">IFERROR(MATCH(ROW()-4,ポート振替表!$V$5:$V$3507,0),"")</f>
        <v/>
      </c>
    </row>
    <row r="943" customFormat="false" ht="16.4" hidden="false" customHeight="false" outlineLevel="0" collapsed="false">
      <c r="A943" s="32" t="str">
        <f aca="false">IF(L943="","",ROW()-4)</f>
        <v/>
      </c>
      <c r="B943" s="58" t="str">
        <f aca="false">IF(L943="","",IF(INDEX(ポート振替表!$W$5:$W$3507,$L943)="","(なし)",INDEX(ポート振替表!$W$5:$W$3507,$L943)&amp;""))</f>
        <v/>
      </c>
      <c r="C943" s="52" t="str">
        <f aca="false">IF(L943="","",INDEX(ポート振替表!$B$5:$B$3507,$L943)&amp;" "&amp;INDEX(ポート振替表!$C$5:$C$3507,$L943)&amp;"  ⇔  "&amp;INDEX(ポート振替表!$H$5:$H$3507,$L943)&amp;" "&amp;INDEX(ポート振替表!$I$5:$I$3507,$L943))</f>
        <v/>
      </c>
      <c r="D943" s="57" t="s">
        <v>158</v>
      </c>
      <c r="E943" s="59" t="str">
        <f aca="false">IF(L943="","",IF(INDEX(ポート振替表!$O$5:$O$3507,$L943)="","(未設定)",INDEX(ポート振替表!$O$5:$O$3507,$L943)&amp;""))</f>
        <v/>
      </c>
      <c r="F943" s="52" t="str">
        <f aca="false">IF(L943="","",INDEX(ポート振替表!$K$5:$K$3507,$L943)&amp;" "&amp;INDEX(ポート振替表!$L$5:$L$3507,$L943)&amp;"  ⇔  "&amp;INDEX(ポート振替表!$H$5:$H$3507,$L943)&amp;" "&amp;INDEX(ポート振替表!$I$5:$I$3507,$L943))</f>
        <v/>
      </c>
      <c r="G943" s="57" t="s">
        <v>158</v>
      </c>
      <c r="H943" s="32" t="str">
        <f aca="false">IF(L943="","",INDEX(ポート振替表!$N$5:$N$3507,$L943)&amp;"")</f>
        <v/>
      </c>
      <c r="I943" s="32" t="str">
        <f aca="false">IF(L943="","",INDEX(ポート振替表!$P$5:$P$3507,$L943)&amp;"")</f>
        <v/>
      </c>
      <c r="J943" s="60" t="str">
        <f aca="false">IF(L943="","",INDEX(ポート振替表!$M$5:$M$3507,$L943)&amp;"")</f>
        <v/>
      </c>
      <c r="K943" s="52" t="str">
        <f aca="false">IF(L943="","",E943&amp;CHAR(10)&amp;INDEX(ポート振替表!$K$5:$K$3507,$L943)&amp;" "&amp;INDEX(ポート振替表!$L$5:$L$3507,$L943)&amp;CHAR(10)&amp;"⇔ "&amp;INDEX(ポート振替表!$H$5:$H$3507,$L943)&amp;" "&amp;INDEX(ポート振替表!$I$5:$I$3507,$L943))</f>
        <v/>
      </c>
      <c r="L943" s="47" t="str">
        <f aca="false">IFERROR(MATCH(ROW()-4,ポート振替表!$V$5:$V$3507,0),"")</f>
        <v/>
      </c>
    </row>
    <row r="944" customFormat="false" ht="16.4" hidden="false" customHeight="false" outlineLevel="0" collapsed="false">
      <c r="A944" s="32" t="str">
        <f aca="false">IF(L944="","",ROW()-4)</f>
        <v/>
      </c>
      <c r="B944" s="58" t="str">
        <f aca="false">IF(L944="","",IF(INDEX(ポート振替表!$W$5:$W$3507,$L944)="","(なし)",INDEX(ポート振替表!$W$5:$W$3507,$L944)&amp;""))</f>
        <v/>
      </c>
      <c r="C944" s="52" t="str">
        <f aca="false">IF(L944="","",INDEX(ポート振替表!$B$5:$B$3507,$L944)&amp;" "&amp;INDEX(ポート振替表!$C$5:$C$3507,$L944)&amp;"  ⇔  "&amp;INDEX(ポート振替表!$H$5:$H$3507,$L944)&amp;" "&amp;INDEX(ポート振替表!$I$5:$I$3507,$L944))</f>
        <v/>
      </c>
      <c r="D944" s="57" t="s">
        <v>158</v>
      </c>
      <c r="E944" s="59" t="str">
        <f aca="false">IF(L944="","",IF(INDEX(ポート振替表!$O$5:$O$3507,$L944)="","(未設定)",INDEX(ポート振替表!$O$5:$O$3507,$L944)&amp;""))</f>
        <v/>
      </c>
      <c r="F944" s="52" t="str">
        <f aca="false">IF(L944="","",INDEX(ポート振替表!$K$5:$K$3507,$L944)&amp;" "&amp;INDEX(ポート振替表!$L$5:$L$3507,$L944)&amp;"  ⇔  "&amp;INDEX(ポート振替表!$H$5:$H$3507,$L944)&amp;" "&amp;INDEX(ポート振替表!$I$5:$I$3507,$L944))</f>
        <v/>
      </c>
      <c r="G944" s="57" t="s">
        <v>158</v>
      </c>
      <c r="H944" s="32" t="str">
        <f aca="false">IF(L944="","",INDEX(ポート振替表!$N$5:$N$3507,$L944)&amp;"")</f>
        <v/>
      </c>
      <c r="I944" s="32" t="str">
        <f aca="false">IF(L944="","",INDEX(ポート振替表!$P$5:$P$3507,$L944)&amp;"")</f>
        <v/>
      </c>
      <c r="J944" s="60" t="str">
        <f aca="false">IF(L944="","",INDEX(ポート振替表!$M$5:$M$3507,$L944)&amp;"")</f>
        <v/>
      </c>
      <c r="K944" s="52" t="str">
        <f aca="false">IF(L944="","",E944&amp;CHAR(10)&amp;INDEX(ポート振替表!$K$5:$K$3507,$L944)&amp;" "&amp;INDEX(ポート振替表!$L$5:$L$3507,$L944)&amp;CHAR(10)&amp;"⇔ "&amp;INDEX(ポート振替表!$H$5:$H$3507,$L944)&amp;" "&amp;INDEX(ポート振替表!$I$5:$I$3507,$L944))</f>
        <v/>
      </c>
      <c r="L944" s="47" t="str">
        <f aca="false">IFERROR(MATCH(ROW()-4,ポート振替表!$V$5:$V$3507,0),"")</f>
        <v/>
      </c>
    </row>
    <row r="945" customFormat="false" ht="16.4" hidden="false" customHeight="false" outlineLevel="0" collapsed="false">
      <c r="A945" s="32" t="str">
        <f aca="false">IF(L945="","",ROW()-4)</f>
        <v/>
      </c>
      <c r="B945" s="58" t="str">
        <f aca="false">IF(L945="","",IF(INDEX(ポート振替表!$W$5:$W$3507,$L945)="","(なし)",INDEX(ポート振替表!$W$5:$W$3507,$L945)&amp;""))</f>
        <v/>
      </c>
      <c r="C945" s="52" t="str">
        <f aca="false">IF(L945="","",INDEX(ポート振替表!$B$5:$B$3507,$L945)&amp;" "&amp;INDEX(ポート振替表!$C$5:$C$3507,$L945)&amp;"  ⇔  "&amp;INDEX(ポート振替表!$H$5:$H$3507,$L945)&amp;" "&amp;INDEX(ポート振替表!$I$5:$I$3507,$L945))</f>
        <v/>
      </c>
      <c r="D945" s="57" t="s">
        <v>158</v>
      </c>
      <c r="E945" s="59" t="str">
        <f aca="false">IF(L945="","",IF(INDEX(ポート振替表!$O$5:$O$3507,$L945)="","(未設定)",INDEX(ポート振替表!$O$5:$O$3507,$L945)&amp;""))</f>
        <v/>
      </c>
      <c r="F945" s="52" t="str">
        <f aca="false">IF(L945="","",INDEX(ポート振替表!$K$5:$K$3507,$L945)&amp;" "&amp;INDEX(ポート振替表!$L$5:$L$3507,$L945)&amp;"  ⇔  "&amp;INDEX(ポート振替表!$H$5:$H$3507,$L945)&amp;" "&amp;INDEX(ポート振替表!$I$5:$I$3507,$L945))</f>
        <v/>
      </c>
      <c r="G945" s="57" t="s">
        <v>158</v>
      </c>
      <c r="H945" s="32" t="str">
        <f aca="false">IF(L945="","",INDEX(ポート振替表!$N$5:$N$3507,$L945)&amp;"")</f>
        <v/>
      </c>
      <c r="I945" s="32" t="str">
        <f aca="false">IF(L945="","",INDEX(ポート振替表!$P$5:$P$3507,$L945)&amp;"")</f>
        <v/>
      </c>
      <c r="J945" s="60" t="str">
        <f aca="false">IF(L945="","",INDEX(ポート振替表!$M$5:$M$3507,$L945)&amp;"")</f>
        <v/>
      </c>
      <c r="K945" s="52" t="str">
        <f aca="false">IF(L945="","",E945&amp;CHAR(10)&amp;INDEX(ポート振替表!$K$5:$K$3507,$L945)&amp;" "&amp;INDEX(ポート振替表!$L$5:$L$3507,$L945)&amp;CHAR(10)&amp;"⇔ "&amp;INDEX(ポート振替表!$H$5:$H$3507,$L945)&amp;" "&amp;INDEX(ポート振替表!$I$5:$I$3507,$L945))</f>
        <v/>
      </c>
      <c r="L945" s="47" t="str">
        <f aca="false">IFERROR(MATCH(ROW()-4,ポート振替表!$V$5:$V$3507,0),"")</f>
        <v/>
      </c>
    </row>
    <row r="946" customFormat="false" ht="16.4" hidden="false" customHeight="false" outlineLevel="0" collapsed="false">
      <c r="A946" s="32" t="str">
        <f aca="false">IF(L946="","",ROW()-4)</f>
        <v/>
      </c>
      <c r="B946" s="58" t="str">
        <f aca="false">IF(L946="","",IF(INDEX(ポート振替表!$W$5:$W$3507,$L946)="","(なし)",INDEX(ポート振替表!$W$5:$W$3507,$L946)&amp;""))</f>
        <v/>
      </c>
      <c r="C946" s="52" t="str">
        <f aca="false">IF(L946="","",INDEX(ポート振替表!$B$5:$B$3507,$L946)&amp;" "&amp;INDEX(ポート振替表!$C$5:$C$3507,$L946)&amp;"  ⇔  "&amp;INDEX(ポート振替表!$H$5:$H$3507,$L946)&amp;" "&amp;INDEX(ポート振替表!$I$5:$I$3507,$L946))</f>
        <v/>
      </c>
      <c r="D946" s="57" t="s">
        <v>158</v>
      </c>
      <c r="E946" s="59" t="str">
        <f aca="false">IF(L946="","",IF(INDEX(ポート振替表!$O$5:$O$3507,$L946)="","(未設定)",INDEX(ポート振替表!$O$5:$O$3507,$L946)&amp;""))</f>
        <v/>
      </c>
      <c r="F946" s="52" t="str">
        <f aca="false">IF(L946="","",INDEX(ポート振替表!$K$5:$K$3507,$L946)&amp;" "&amp;INDEX(ポート振替表!$L$5:$L$3507,$L946)&amp;"  ⇔  "&amp;INDEX(ポート振替表!$H$5:$H$3507,$L946)&amp;" "&amp;INDEX(ポート振替表!$I$5:$I$3507,$L946))</f>
        <v/>
      </c>
      <c r="G946" s="57" t="s">
        <v>158</v>
      </c>
      <c r="H946" s="32" t="str">
        <f aca="false">IF(L946="","",INDEX(ポート振替表!$N$5:$N$3507,$L946)&amp;"")</f>
        <v/>
      </c>
      <c r="I946" s="32" t="str">
        <f aca="false">IF(L946="","",INDEX(ポート振替表!$P$5:$P$3507,$L946)&amp;"")</f>
        <v/>
      </c>
      <c r="J946" s="60" t="str">
        <f aca="false">IF(L946="","",INDEX(ポート振替表!$M$5:$M$3507,$L946)&amp;"")</f>
        <v/>
      </c>
      <c r="K946" s="52" t="str">
        <f aca="false">IF(L946="","",E946&amp;CHAR(10)&amp;INDEX(ポート振替表!$K$5:$K$3507,$L946)&amp;" "&amp;INDEX(ポート振替表!$L$5:$L$3507,$L946)&amp;CHAR(10)&amp;"⇔ "&amp;INDEX(ポート振替表!$H$5:$H$3507,$L946)&amp;" "&amp;INDEX(ポート振替表!$I$5:$I$3507,$L946))</f>
        <v/>
      </c>
      <c r="L946" s="47" t="str">
        <f aca="false">IFERROR(MATCH(ROW()-4,ポート振替表!$V$5:$V$3507,0),"")</f>
        <v/>
      </c>
    </row>
    <row r="947" customFormat="false" ht="16.4" hidden="false" customHeight="false" outlineLevel="0" collapsed="false">
      <c r="A947" s="32" t="str">
        <f aca="false">IF(L947="","",ROW()-4)</f>
        <v/>
      </c>
      <c r="B947" s="58" t="str">
        <f aca="false">IF(L947="","",IF(INDEX(ポート振替表!$W$5:$W$3507,$L947)="","(なし)",INDEX(ポート振替表!$W$5:$W$3507,$L947)&amp;""))</f>
        <v/>
      </c>
      <c r="C947" s="52" t="str">
        <f aca="false">IF(L947="","",INDEX(ポート振替表!$B$5:$B$3507,$L947)&amp;" "&amp;INDEX(ポート振替表!$C$5:$C$3507,$L947)&amp;"  ⇔  "&amp;INDEX(ポート振替表!$H$5:$H$3507,$L947)&amp;" "&amp;INDEX(ポート振替表!$I$5:$I$3507,$L947))</f>
        <v/>
      </c>
      <c r="D947" s="57" t="s">
        <v>158</v>
      </c>
      <c r="E947" s="59" t="str">
        <f aca="false">IF(L947="","",IF(INDEX(ポート振替表!$O$5:$O$3507,$L947)="","(未設定)",INDEX(ポート振替表!$O$5:$O$3507,$L947)&amp;""))</f>
        <v/>
      </c>
      <c r="F947" s="52" t="str">
        <f aca="false">IF(L947="","",INDEX(ポート振替表!$K$5:$K$3507,$L947)&amp;" "&amp;INDEX(ポート振替表!$L$5:$L$3507,$L947)&amp;"  ⇔  "&amp;INDEX(ポート振替表!$H$5:$H$3507,$L947)&amp;" "&amp;INDEX(ポート振替表!$I$5:$I$3507,$L947))</f>
        <v/>
      </c>
      <c r="G947" s="57" t="s">
        <v>158</v>
      </c>
      <c r="H947" s="32" t="str">
        <f aca="false">IF(L947="","",INDEX(ポート振替表!$N$5:$N$3507,$L947)&amp;"")</f>
        <v/>
      </c>
      <c r="I947" s="32" t="str">
        <f aca="false">IF(L947="","",INDEX(ポート振替表!$P$5:$P$3507,$L947)&amp;"")</f>
        <v/>
      </c>
      <c r="J947" s="60" t="str">
        <f aca="false">IF(L947="","",INDEX(ポート振替表!$M$5:$M$3507,$L947)&amp;"")</f>
        <v/>
      </c>
      <c r="K947" s="52" t="str">
        <f aca="false">IF(L947="","",E947&amp;CHAR(10)&amp;INDEX(ポート振替表!$K$5:$K$3507,$L947)&amp;" "&amp;INDEX(ポート振替表!$L$5:$L$3507,$L947)&amp;CHAR(10)&amp;"⇔ "&amp;INDEX(ポート振替表!$H$5:$H$3507,$L947)&amp;" "&amp;INDEX(ポート振替表!$I$5:$I$3507,$L947))</f>
        <v/>
      </c>
      <c r="L947" s="47" t="str">
        <f aca="false">IFERROR(MATCH(ROW()-4,ポート振替表!$V$5:$V$3507,0),"")</f>
        <v/>
      </c>
    </row>
    <row r="948" customFormat="false" ht="16.4" hidden="false" customHeight="false" outlineLevel="0" collapsed="false">
      <c r="A948" s="32" t="str">
        <f aca="false">IF(L948="","",ROW()-4)</f>
        <v/>
      </c>
      <c r="B948" s="58" t="str">
        <f aca="false">IF(L948="","",IF(INDEX(ポート振替表!$W$5:$W$3507,$L948)="","(なし)",INDEX(ポート振替表!$W$5:$W$3507,$L948)&amp;""))</f>
        <v/>
      </c>
      <c r="C948" s="52" t="str">
        <f aca="false">IF(L948="","",INDEX(ポート振替表!$B$5:$B$3507,$L948)&amp;" "&amp;INDEX(ポート振替表!$C$5:$C$3507,$L948)&amp;"  ⇔  "&amp;INDEX(ポート振替表!$H$5:$H$3507,$L948)&amp;" "&amp;INDEX(ポート振替表!$I$5:$I$3507,$L948))</f>
        <v/>
      </c>
      <c r="D948" s="57" t="s">
        <v>158</v>
      </c>
      <c r="E948" s="59" t="str">
        <f aca="false">IF(L948="","",IF(INDEX(ポート振替表!$O$5:$O$3507,$L948)="","(未設定)",INDEX(ポート振替表!$O$5:$O$3507,$L948)&amp;""))</f>
        <v/>
      </c>
      <c r="F948" s="52" t="str">
        <f aca="false">IF(L948="","",INDEX(ポート振替表!$K$5:$K$3507,$L948)&amp;" "&amp;INDEX(ポート振替表!$L$5:$L$3507,$L948)&amp;"  ⇔  "&amp;INDEX(ポート振替表!$H$5:$H$3507,$L948)&amp;" "&amp;INDEX(ポート振替表!$I$5:$I$3507,$L948))</f>
        <v/>
      </c>
      <c r="G948" s="57" t="s">
        <v>158</v>
      </c>
      <c r="H948" s="32" t="str">
        <f aca="false">IF(L948="","",INDEX(ポート振替表!$N$5:$N$3507,$L948)&amp;"")</f>
        <v/>
      </c>
      <c r="I948" s="32" t="str">
        <f aca="false">IF(L948="","",INDEX(ポート振替表!$P$5:$P$3507,$L948)&amp;"")</f>
        <v/>
      </c>
      <c r="J948" s="60" t="str">
        <f aca="false">IF(L948="","",INDEX(ポート振替表!$M$5:$M$3507,$L948)&amp;"")</f>
        <v/>
      </c>
      <c r="K948" s="52" t="str">
        <f aca="false">IF(L948="","",E948&amp;CHAR(10)&amp;INDEX(ポート振替表!$K$5:$K$3507,$L948)&amp;" "&amp;INDEX(ポート振替表!$L$5:$L$3507,$L948)&amp;CHAR(10)&amp;"⇔ "&amp;INDEX(ポート振替表!$H$5:$H$3507,$L948)&amp;" "&amp;INDEX(ポート振替表!$I$5:$I$3507,$L948))</f>
        <v/>
      </c>
      <c r="L948" s="47" t="str">
        <f aca="false">IFERROR(MATCH(ROW()-4,ポート振替表!$V$5:$V$3507,0),"")</f>
        <v/>
      </c>
    </row>
    <row r="949" customFormat="false" ht="16.4" hidden="false" customHeight="false" outlineLevel="0" collapsed="false">
      <c r="A949" s="32" t="str">
        <f aca="false">IF(L949="","",ROW()-4)</f>
        <v/>
      </c>
      <c r="B949" s="58" t="str">
        <f aca="false">IF(L949="","",IF(INDEX(ポート振替表!$W$5:$W$3507,$L949)="","(なし)",INDEX(ポート振替表!$W$5:$W$3507,$L949)&amp;""))</f>
        <v/>
      </c>
      <c r="C949" s="52" t="str">
        <f aca="false">IF(L949="","",INDEX(ポート振替表!$B$5:$B$3507,$L949)&amp;" "&amp;INDEX(ポート振替表!$C$5:$C$3507,$L949)&amp;"  ⇔  "&amp;INDEX(ポート振替表!$H$5:$H$3507,$L949)&amp;" "&amp;INDEX(ポート振替表!$I$5:$I$3507,$L949))</f>
        <v/>
      </c>
      <c r="D949" s="57" t="s">
        <v>158</v>
      </c>
      <c r="E949" s="59" t="str">
        <f aca="false">IF(L949="","",IF(INDEX(ポート振替表!$O$5:$O$3507,$L949)="","(未設定)",INDEX(ポート振替表!$O$5:$O$3507,$L949)&amp;""))</f>
        <v/>
      </c>
      <c r="F949" s="52" t="str">
        <f aca="false">IF(L949="","",INDEX(ポート振替表!$K$5:$K$3507,$L949)&amp;" "&amp;INDEX(ポート振替表!$L$5:$L$3507,$L949)&amp;"  ⇔  "&amp;INDEX(ポート振替表!$H$5:$H$3507,$L949)&amp;" "&amp;INDEX(ポート振替表!$I$5:$I$3507,$L949))</f>
        <v/>
      </c>
      <c r="G949" s="57" t="s">
        <v>158</v>
      </c>
      <c r="H949" s="32" t="str">
        <f aca="false">IF(L949="","",INDEX(ポート振替表!$N$5:$N$3507,$L949)&amp;"")</f>
        <v/>
      </c>
      <c r="I949" s="32" t="str">
        <f aca="false">IF(L949="","",INDEX(ポート振替表!$P$5:$P$3507,$L949)&amp;"")</f>
        <v/>
      </c>
      <c r="J949" s="60" t="str">
        <f aca="false">IF(L949="","",INDEX(ポート振替表!$M$5:$M$3507,$L949)&amp;"")</f>
        <v/>
      </c>
      <c r="K949" s="52" t="str">
        <f aca="false">IF(L949="","",E949&amp;CHAR(10)&amp;INDEX(ポート振替表!$K$5:$K$3507,$L949)&amp;" "&amp;INDEX(ポート振替表!$L$5:$L$3507,$L949)&amp;CHAR(10)&amp;"⇔ "&amp;INDEX(ポート振替表!$H$5:$H$3507,$L949)&amp;" "&amp;INDEX(ポート振替表!$I$5:$I$3507,$L949))</f>
        <v/>
      </c>
      <c r="L949" s="47" t="str">
        <f aca="false">IFERROR(MATCH(ROW()-4,ポート振替表!$V$5:$V$3507,0),"")</f>
        <v/>
      </c>
    </row>
    <row r="950" customFormat="false" ht="16.4" hidden="false" customHeight="false" outlineLevel="0" collapsed="false">
      <c r="A950" s="32" t="str">
        <f aca="false">IF(L950="","",ROW()-4)</f>
        <v/>
      </c>
      <c r="B950" s="58" t="str">
        <f aca="false">IF(L950="","",IF(INDEX(ポート振替表!$W$5:$W$3507,$L950)="","(なし)",INDEX(ポート振替表!$W$5:$W$3507,$L950)&amp;""))</f>
        <v/>
      </c>
      <c r="C950" s="52" t="str">
        <f aca="false">IF(L950="","",INDEX(ポート振替表!$B$5:$B$3507,$L950)&amp;" "&amp;INDEX(ポート振替表!$C$5:$C$3507,$L950)&amp;"  ⇔  "&amp;INDEX(ポート振替表!$H$5:$H$3507,$L950)&amp;" "&amp;INDEX(ポート振替表!$I$5:$I$3507,$L950))</f>
        <v/>
      </c>
      <c r="D950" s="57" t="s">
        <v>158</v>
      </c>
      <c r="E950" s="59" t="str">
        <f aca="false">IF(L950="","",IF(INDEX(ポート振替表!$O$5:$O$3507,$L950)="","(未設定)",INDEX(ポート振替表!$O$5:$O$3507,$L950)&amp;""))</f>
        <v/>
      </c>
      <c r="F950" s="52" t="str">
        <f aca="false">IF(L950="","",INDEX(ポート振替表!$K$5:$K$3507,$L950)&amp;" "&amp;INDEX(ポート振替表!$L$5:$L$3507,$L950)&amp;"  ⇔  "&amp;INDEX(ポート振替表!$H$5:$H$3507,$L950)&amp;" "&amp;INDEX(ポート振替表!$I$5:$I$3507,$L950))</f>
        <v/>
      </c>
      <c r="G950" s="57" t="s">
        <v>158</v>
      </c>
      <c r="H950" s="32" t="str">
        <f aca="false">IF(L950="","",INDEX(ポート振替表!$N$5:$N$3507,$L950)&amp;"")</f>
        <v/>
      </c>
      <c r="I950" s="32" t="str">
        <f aca="false">IF(L950="","",INDEX(ポート振替表!$P$5:$P$3507,$L950)&amp;"")</f>
        <v/>
      </c>
      <c r="J950" s="60" t="str">
        <f aca="false">IF(L950="","",INDEX(ポート振替表!$M$5:$M$3507,$L950)&amp;"")</f>
        <v/>
      </c>
      <c r="K950" s="52" t="str">
        <f aca="false">IF(L950="","",E950&amp;CHAR(10)&amp;INDEX(ポート振替表!$K$5:$K$3507,$L950)&amp;" "&amp;INDEX(ポート振替表!$L$5:$L$3507,$L950)&amp;CHAR(10)&amp;"⇔ "&amp;INDEX(ポート振替表!$H$5:$H$3507,$L950)&amp;" "&amp;INDEX(ポート振替表!$I$5:$I$3507,$L950))</f>
        <v/>
      </c>
      <c r="L950" s="47" t="str">
        <f aca="false">IFERROR(MATCH(ROW()-4,ポート振替表!$V$5:$V$3507,0),"")</f>
        <v/>
      </c>
    </row>
    <row r="951" customFormat="false" ht="16.4" hidden="false" customHeight="false" outlineLevel="0" collapsed="false">
      <c r="A951" s="32" t="str">
        <f aca="false">IF(L951="","",ROW()-4)</f>
        <v/>
      </c>
      <c r="B951" s="58" t="str">
        <f aca="false">IF(L951="","",IF(INDEX(ポート振替表!$W$5:$W$3507,$L951)="","(なし)",INDEX(ポート振替表!$W$5:$W$3507,$L951)&amp;""))</f>
        <v/>
      </c>
      <c r="C951" s="52" t="str">
        <f aca="false">IF(L951="","",INDEX(ポート振替表!$B$5:$B$3507,$L951)&amp;" "&amp;INDEX(ポート振替表!$C$5:$C$3507,$L951)&amp;"  ⇔  "&amp;INDEX(ポート振替表!$H$5:$H$3507,$L951)&amp;" "&amp;INDEX(ポート振替表!$I$5:$I$3507,$L951))</f>
        <v/>
      </c>
      <c r="D951" s="57" t="s">
        <v>158</v>
      </c>
      <c r="E951" s="59" t="str">
        <f aca="false">IF(L951="","",IF(INDEX(ポート振替表!$O$5:$O$3507,$L951)="","(未設定)",INDEX(ポート振替表!$O$5:$O$3507,$L951)&amp;""))</f>
        <v/>
      </c>
      <c r="F951" s="52" t="str">
        <f aca="false">IF(L951="","",INDEX(ポート振替表!$K$5:$K$3507,$L951)&amp;" "&amp;INDEX(ポート振替表!$L$5:$L$3507,$L951)&amp;"  ⇔  "&amp;INDEX(ポート振替表!$H$5:$H$3507,$L951)&amp;" "&amp;INDEX(ポート振替表!$I$5:$I$3507,$L951))</f>
        <v/>
      </c>
      <c r="G951" s="57" t="s">
        <v>158</v>
      </c>
      <c r="H951" s="32" t="str">
        <f aca="false">IF(L951="","",INDEX(ポート振替表!$N$5:$N$3507,$L951)&amp;"")</f>
        <v/>
      </c>
      <c r="I951" s="32" t="str">
        <f aca="false">IF(L951="","",INDEX(ポート振替表!$P$5:$P$3507,$L951)&amp;"")</f>
        <v/>
      </c>
      <c r="J951" s="60" t="str">
        <f aca="false">IF(L951="","",INDEX(ポート振替表!$M$5:$M$3507,$L951)&amp;"")</f>
        <v/>
      </c>
      <c r="K951" s="52" t="str">
        <f aca="false">IF(L951="","",E951&amp;CHAR(10)&amp;INDEX(ポート振替表!$K$5:$K$3507,$L951)&amp;" "&amp;INDEX(ポート振替表!$L$5:$L$3507,$L951)&amp;CHAR(10)&amp;"⇔ "&amp;INDEX(ポート振替表!$H$5:$H$3507,$L951)&amp;" "&amp;INDEX(ポート振替表!$I$5:$I$3507,$L951))</f>
        <v/>
      </c>
      <c r="L951" s="47" t="str">
        <f aca="false">IFERROR(MATCH(ROW()-4,ポート振替表!$V$5:$V$3507,0),"")</f>
        <v/>
      </c>
    </row>
    <row r="952" customFormat="false" ht="16.4" hidden="false" customHeight="false" outlineLevel="0" collapsed="false">
      <c r="A952" s="32" t="str">
        <f aca="false">IF(L952="","",ROW()-4)</f>
        <v/>
      </c>
      <c r="B952" s="58" t="str">
        <f aca="false">IF(L952="","",IF(INDEX(ポート振替表!$W$5:$W$3507,$L952)="","(なし)",INDEX(ポート振替表!$W$5:$W$3507,$L952)&amp;""))</f>
        <v/>
      </c>
      <c r="C952" s="52" t="str">
        <f aca="false">IF(L952="","",INDEX(ポート振替表!$B$5:$B$3507,$L952)&amp;" "&amp;INDEX(ポート振替表!$C$5:$C$3507,$L952)&amp;"  ⇔  "&amp;INDEX(ポート振替表!$H$5:$H$3507,$L952)&amp;" "&amp;INDEX(ポート振替表!$I$5:$I$3507,$L952))</f>
        <v/>
      </c>
      <c r="D952" s="57" t="s">
        <v>158</v>
      </c>
      <c r="E952" s="59" t="str">
        <f aca="false">IF(L952="","",IF(INDEX(ポート振替表!$O$5:$O$3507,$L952)="","(未設定)",INDEX(ポート振替表!$O$5:$O$3507,$L952)&amp;""))</f>
        <v/>
      </c>
      <c r="F952" s="52" t="str">
        <f aca="false">IF(L952="","",INDEX(ポート振替表!$K$5:$K$3507,$L952)&amp;" "&amp;INDEX(ポート振替表!$L$5:$L$3507,$L952)&amp;"  ⇔  "&amp;INDEX(ポート振替表!$H$5:$H$3507,$L952)&amp;" "&amp;INDEX(ポート振替表!$I$5:$I$3507,$L952))</f>
        <v/>
      </c>
      <c r="G952" s="57" t="s">
        <v>158</v>
      </c>
      <c r="H952" s="32" t="str">
        <f aca="false">IF(L952="","",INDEX(ポート振替表!$N$5:$N$3507,$L952)&amp;"")</f>
        <v/>
      </c>
      <c r="I952" s="32" t="str">
        <f aca="false">IF(L952="","",INDEX(ポート振替表!$P$5:$P$3507,$L952)&amp;"")</f>
        <v/>
      </c>
      <c r="J952" s="60" t="str">
        <f aca="false">IF(L952="","",INDEX(ポート振替表!$M$5:$M$3507,$L952)&amp;"")</f>
        <v/>
      </c>
      <c r="K952" s="52" t="str">
        <f aca="false">IF(L952="","",E952&amp;CHAR(10)&amp;INDEX(ポート振替表!$K$5:$K$3507,$L952)&amp;" "&amp;INDEX(ポート振替表!$L$5:$L$3507,$L952)&amp;CHAR(10)&amp;"⇔ "&amp;INDEX(ポート振替表!$H$5:$H$3507,$L952)&amp;" "&amp;INDEX(ポート振替表!$I$5:$I$3507,$L952))</f>
        <v/>
      </c>
      <c r="L952" s="47" t="str">
        <f aca="false">IFERROR(MATCH(ROW()-4,ポート振替表!$V$5:$V$3507,0),"")</f>
        <v/>
      </c>
    </row>
    <row r="953" customFormat="false" ht="16.4" hidden="false" customHeight="false" outlineLevel="0" collapsed="false">
      <c r="A953" s="32" t="str">
        <f aca="false">IF(L953="","",ROW()-4)</f>
        <v/>
      </c>
      <c r="B953" s="58" t="str">
        <f aca="false">IF(L953="","",IF(INDEX(ポート振替表!$W$5:$W$3507,$L953)="","(なし)",INDEX(ポート振替表!$W$5:$W$3507,$L953)&amp;""))</f>
        <v/>
      </c>
      <c r="C953" s="52" t="str">
        <f aca="false">IF(L953="","",INDEX(ポート振替表!$B$5:$B$3507,$L953)&amp;" "&amp;INDEX(ポート振替表!$C$5:$C$3507,$L953)&amp;"  ⇔  "&amp;INDEX(ポート振替表!$H$5:$H$3507,$L953)&amp;" "&amp;INDEX(ポート振替表!$I$5:$I$3507,$L953))</f>
        <v/>
      </c>
      <c r="D953" s="57" t="s">
        <v>158</v>
      </c>
      <c r="E953" s="59" t="str">
        <f aca="false">IF(L953="","",IF(INDEX(ポート振替表!$O$5:$O$3507,$L953)="","(未設定)",INDEX(ポート振替表!$O$5:$O$3507,$L953)&amp;""))</f>
        <v/>
      </c>
      <c r="F953" s="52" t="str">
        <f aca="false">IF(L953="","",INDEX(ポート振替表!$K$5:$K$3507,$L953)&amp;" "&amp;INDEX(ポート振替表!$L$5:$L$3507,$L953)&amp;"  ⇔  "&amp;INDEX(ポート振替表!$H$5:$H$3507,$L953)&amp;" "&amp;INDEX(ポート振替表!$I$5:$I$3507,$L953))</f>
        <v/>
      </c>
      <c r="G953" s="57" t="s">
        <v>158</v>
      </c>
      <c r="H953" s="32" t="str">
        <f aca="false">IF(L953="","",INDEX(ポート振替表!$N$5:$N$3507,$L953)&amp;"")</f>
        <v/>
      </c>
      <c r="I953" s="32" t="str">
        <f aca="false">IF(L953="","",INDEX(ポート振替表!$P$5:$P$3507,$L953)&amp;"")</f>
        <v/>
      </c>
      <c r="J953" s="60" t="str">
        <f aca="false">IF(L953="","",INDEX(ポート振替表!$M$5:$M$3507,$L953)&amp;"")</f>
        <v/>
      </c>
      <c r="K953" s="52" t="str">
        <f aca="false">IF(L953="","",E953&amp;CHAR(10)&amp;INDEX(ポート振替表!$K$5:$K$3507,$L953)&amp;" "&amp;INDEX(ポート振替表!$L$5:$L$3507,$L953)&amp;CHAR(10)&amp;"⇔ "&amp;INDEX(ポート振替表!$H$5:$H$3507,$L953)&amp;" "&amp;INDEX(ポート振替表!$I$5:$I$3507,$L953))</f>
        <v/>
      </c>
      <c r="L953" s="47" t="str">
        <f aca="false">IFERROR(MATCH(ROW()-4,ポート振替表!$V$5:$V$3507,0),"")</f>
        <v/>
      </c>
    </row>
    <row r="954" customFormat="false" ht="16.4" hidden="false" customHeight="false" outlineLevel="0" collapsed="false">
      <c r="A954" s="32" t="str">
        <f aca="false">IF(L954="","",ROW()-4)</f>
        <v/>
      </c>
      <c r="B954" s="58" t="str">
        <f aca="false">IF(L954="","",IF(INDEX(ポート振替表!$W$5:$W$3507,$L954)="","(なし)",INDEX(ポート振替表!$W$5:$W$3507,$L954)&amp;""))</f>
        <v/>
      </c>
      <c r="C954" s="52" t="str">
        <f aca="false">IF(L954="","",INDEX(ポート振替表!$B$5:$B$3507,$L954)&amp;" "&amp;INDEX(ポート振替表!$C$5:$C$3507,$L954)&amp;"  ⇔  "&amp;INDEX(ポート振替表!$H$5:$H$3507,$L954)&amp;" "&amp;INDEX(ポート振替表!$I$5:$I$3507,$L954))</f>
        <v/>
      </c>
      <c r="D954" s="57" t="s">
        <v>158</v>
      </c>
      <c r="E954" s="59" t="str">
        <f aca="false">IF(L954="","",IF(INDEX(ポート振替表!$O$5:$O$3507,$L954)="","(未設定)",INDEX(ポート振替表!$O$5:$O$3507,$L954)&amp;""))</f>
        <v/>
      </c>
      <c r="F954" s="52" t="str">
        <f aca="false">IF(L954="","",INDEX(ポート振替表!$K$5:$K$3507,$L954)&amp;" "&amp;INDEX(ポート振替表!$L$5:$L$3507,$L954)&amp;"  ⇔  "&amp;INDEX(ポート振替表!$H$5:$H$3507,$L954)&amp;" "&amp;INDEX(ポート振替表!$I$5:$I$3507,$L954))</f>
        <v/>
      </c>
      <c r="G954" s="57" t="s">
        <v>158</v>
      </c>
      <c r="H954" s="32" t="str">
        <f aca="false">IF(L954="","",INDEX(ポート振替表!$N$5:$N$3507,$L954)&amp;"")</f>
        <v/>
      </c>
      <c r="I954" s="32" t="str">
        <f aca="false">IF(L954="","",INDEX(ポート振替表!$P$5:$P$3507,$L954)&amp;"")</f>
        <v/>
      </c>
      <c r="J954" s="60" t="str">
        <f aca="false">IF(L954="","",INDEX(ポート振替表!$M$5:$M$3507,$L954)&amp;"")</f>
        <v/>
      </c>
      <c r="K954" s="52" t="str">
        <f aca="false">IF(L954="","",E954&amp;CHAR(10)&amp;INDEX(ポート振替表!$K$5:$K$3507,$L954)&amp;" "&amp;INDEX(ポート振替表!$L$5:$L$3507,$L954)&amp;CHAR(10)&amp;"⇔ "&amp;INDEX(ポート振替表!$H$5:$H$3507,$L954)&amp;" "&amp;INDEX(ポート振替表!$I$5:$I$3507,$L954))</f>
        <v/>
      </c>
      <c r="L954" s="47" t="str">
        <f aca="false">IFERROR(MATCH(ROW()-4,ポート振替表!$V$5:$V$3507,0),"")</f>
        <v/>
      </c>
    </row>
    <row r="955" customFormat="false" ht="16.4" hidden="false" customHeight="false" outlineLevel="0" collapsed="false">
      <c r="A955" s="32" t="str">
        <f aca="false">IF(L955="","",ROW()-4)</f>
        <v/>
      </c>
      <c r="B955" s="58" t="str">
        <f aca="false">IF(L955="","",IF(INDEX(ポート振替表!$W$5:$W$3507,$L955)="","(なし)",INDEX(ポート振替表!$W$5:$W$3507,$L955)&amp;""))</f>
        <v/>
      </c>
      <c r="C955" s="52" t="str">
        <f aca="false">IF(L955="","",INDEX(ポート振替表!$B$5:$B$3507,$L955)&amp;" "&amp;INDEX(ポート振替表!$C$5:$C$3507,$L955)&amp;"  ⇔  "&amp;INDEX(ポート振替表!$H$5:$H$3507,$L955)&amp;" "&amp;INDEX(ポート振替表!$I$5:$I$3507,$L955))</f>
        <v/>
      </c>
      <c r="D955" s="57" t="s">
        <v>158</v>
      </c>
      <c r="E955" s="59" t="str">
        <f aca="false">IF(L955="","",IF(INDEX(ポート振替表!$O$5:$O$3507,$L955)="","(未設定)",INDEX(ポート振替表!$O$5:$O$3507,$L955)&amp;""))</f>
        <v/>
      </c>
      <c r="F955" s="52" t="str">
        <f aca="false">IF(L955="","",INDEX(ポート振替表!$K$5:$K$3507,$L955)&amp;" "&amp;INDEX(ポート振替表!$L$5:$L$3507,$L955)&amp;"  ⇔  "&amp;INDEX(ポート振替表!$H$5:$H$3507,$L955)&amp;" "&amp;INDEX(ポート振替表!$I$5:$I$3507,$L955))</f>
        <v/>
      </c>
      <c r="G955" s="57" t="s">
        <v>158</v>
      </c>
      <c r="H955" s="32" t="str">
        <f aca="false">IF(L955="","",INDEX(ポート振替表!$N$5:$N$3507,$L955)&amp;"")</f>
        <v/>
      </c>
      <c r="I955" s="32" t="str">
        <f aca="false">IF(L955="","",INDEX(ポート振替表!$P$5:$P$3507,$L955)&amp;"")</f>
        <v/>
      </c>
      <c r="J955" s="60" t="str">
        <f aca="false">IF(L955="","",INDEX(ポート振替表!$M$5:$M$3507,$L955)&amp;"")</f>
        <v/>
      </c>
      <c r="K955" s="52" t="str">
        <f aca="false">IF(L955="","",E955&amp;CHAR(10)&amp;INDEX(ポート振替表!$K$5:$K$3507,$L955)&amp;" "&amp;INDEX(ポート振替表!$L$5:$L$3507,$L955)&amp;CHAR(10)&amp;"⇔ "&amp;INDEX(ポート振替表!$H$5:$H$3507,$L955)&amp;" "&amp;INDEX(ポート振替表!$I$5:$I$3507,$L955))</f>
        <v/>
      </c>
      <c r="L955" s="47" t="str">
        <f aca="false">IFERROR(MATCH(ROW()-4,ポート振替表!$V$5:$V$3507,0),"")</f>
        <v/>
      </c>
    </row>
    <row r="956" customFormat="false" ht="16.4" hidden="false" customHeight="false" outlineLevel="0" collapsed="false">
      <c r="A956" s="32" t="str">
        <f aca="false">IF(L956="","",ROW()-4)</f>
        <v/>
      </c>
      <c r="B956" s="58" t="str">
        <f aca="false">IF(L956="","",IF(INDEX(ポート振替表!$W$5:$W$3507,$L956)="","(なし)",INDEX(ポート振替表!$W$5:$W$3507,$L956)&amp;""))</f>
        <v/>
      </c>
      <c r="C956" s="52" t="str">
        <f aca="false">IF(L956="","",INDEX(ポート振替表!$B$5:$B$3507,$L956)&amp;" "&amp;INDEX(ポート振替表!$C$5:$C$3507,$L956)&amp;"  ⇔  "&amp;INDEX(ポート振替表!$H$5:$H$3507,$L956)&amp;" "&amp;INDEX(ポート振替表!$I$5:$I$3507,$L956))</f>
        <v/>
      </c>
      <c r="D956" s="57" t="s">
        <v>158</v>
      </c>
      <c r="E956" s="59" t="str">
        <f aca="false">IF(L956="","",IF(INDEX(ポート振替表!$O$5:$O$3507,$L956)="","(未設定)",INDEX(ポート振替表!$O$5:$O$3507,$L956)&amp;""))</f>
        <v/>
      </c>
      <c r="F956" s="52" t="str">
        <f aca="false">IF(L956="","",INDEX(ポート振替表!$K$5:$K$3507,$L956)&amp;" "&amp;INDEX(ポート振替表!$L$5:$L$3507,$L956)&amp;"  ⇔  "&amp;INDEX(ポート振替表!$H$5:$H$3507,$L956)&amp;" "&amp;INDEX(ポート振替表!$I$5:$I$3507,$L956))</f>
        <v/>
      </c>
      <c r="G956" s="57" t="s">
        <v>158</v>
      </c>
      <c r="H956" s="32" t="str">
        <f aca="false">IF(L956="","",INDEX(ポート振替表!$N$5:$N$3507,$L956)&amp;"")</f>
        <v/>
      </c>
      <c r="I956" s="32" t="str">
        <f aca="false">IF(L956="","",INDEX(ポート振替表!$P$5:$P$3507,$L956)&amp;"")</f>
        <v/>
      </c>
      <c r="J956" s="60" t="str">
        <f aca="false">IF(L956="","",INDEX(ポート振替表!$M$5:$M$3507,$L956)&amp;"")</f>
        <v/>
      </c>
      <c r="K956" s="52" t="str">
        <f aca="false">IF(L956="","",E956&amp;CHAR(10)&amp;INDEX(ポート振替表!$K$5:$K$3507,$L956)&amp;" "&amp;INDEX(ポート振替表!$L$5:$L$3507,$L956)&amp;CHAR(10)&amp;"⇔ "&amp;INDEX(ポート振替表!$H$5:$H$3507,$L956)&amp;" "&amp;INDEX(ポート振替表!$I$5:$I$3507,$L956))</f>
        <v/>
      </c>
      <c r="L956" s="47" t="str">
        <f aca="false">IFERROR(MATCH(ROW()-4,ポート振替表!$V$5:$V$3507,0),"")</f>
        <v/>
      </c>
    </row>
    <row r="957" customFormat="false" ht="16.4" hidden="false" customHeight="false" outlineLevel="0" collapsed="false">
      <c r="A957" s="32" t="str">
        <f aca="false">IF(L957="","",ROW()-4)</f>
        <v/>
      </c>
      <c r="B957" s="58" t="str">
        <f aca="false">IF(L957="","",IF(INDEX(ポート振替表!$W$5:$W$3507,$L957)="","(なし)",INDEX(ポート振替表!$W$5:$W$3507,$L957)&amp;""))</f>
        <v/>
      </c>
      <c r="C957" s="52" t="str">
        <f aca="false">IF(L957="","",INDEX(ポート振替表!$B$5:$B$3507,$L957)&amp;" "&amp;INDEX(ポート振替表!$C$5:$C$3507,$L957)&amp;"  ⇔  "&amp;INDEX(ポート振替表!$H$5:$H$3507,$L957)&amp;" "&amp;INDEX(ポート振替表!$I$5:$I$3507,$L957))</f>
        <v/>
      </c>
      <c r="D957" s="57" t="s">
        <v>158</v>
      </c>
      <c r="E957" s="59" t="str">
        <f aca="false">IF(L957="","",IF(INDEX(ポート振替表!$O$5:$O$3507,$L957)="","(未設定)",INDEX(ポート振替表!$O$5:$O$3507,$L957)&amp;""))</f>
        <v/>
      </c>
      <c r="F957" s="52" t="str">
        <f aca="false">IF(L957="","",INDEX(ポート振替表!$K$5:$K$3507,$L957)&amp;" "&amp;INDEX(ポート振替表!$L$5:$L$3507,$L957)&amp;"  ⇔  "&amp;INDEX(ポート振替表!$H$5:$H$3507,$L957)&amp;" "&amp;INDEX(ポート振替表!$I$5:$I$3507,$L957))</f>
        <v/>
      </c>
      <c r="G957" s="57" t="s">
        <v>158</v>
      </c>
      <c r="H957" s="32" t="str">
        <f aca="false">IF(L957="","",INDEX(ポート振替表!$N$5:$N$3507,$L957)&amp;"")</f>
        <v/>
      </c>
      <c r="I957" s="32" t="str">
        <f aca="false">IF(L957="","",INDEX(ポート振替表!$P$5:$P$3507,$L957)&amp;"")</f>
        <v/>
      </c>
      <c r="J957" s="60" t="str">
        <f aca="false">IF(L957="","",INDEX(ポート振替表!$M$5:$M$3507,$L957)&amp;"")</f>
        <v/>
      </c>
      <c r="K957" s="52" t="str">
        <f aca="false">IF(L957="","",E957&amp;CHAR(10)&amp;INDEX(ポート振替表!$K$5:$K$3507,$L957)&amp;" "&amp;INDEX(ポート振替表!$L$5:$L$3507,$L957)&amp;CHAR(10)&amp;"⇔ "&amp;INDEX(ポート振替表!$H$5:$H$3507,$L957)&amp;" "&amp;INDEX(ポート振替表!$I$5:$I$3507,$L957))</f>
        <v/>
      </c>
      <c r="L957" s="47" t="str">
        <f aca="false">IFERROR(MATCH(ROW()-4,ポート振替表!$V$5:$V$3507,0),"")</f>
        <v/>
      </c>
    </row>
    <row r="958" customFormat="false" ht="16.4" hidden="false" customHeight="false" outlineLevel="0" collapsed="false">
      <c r="A958" s="32" t="str">
        <f aca="false">IF(L958="","",ROW()-4)</f>
        <v/>
      </c>
      <c r="B958" s="58" t="str">
        <f aca="false">IF(L958="","",IF(INDEX(ポート振替表!$W$5:$W$3507,$L958)="","(なし)",INDEX(ポート振替表!$W$5:$W$3507,$L958)&amp;""))</f>
        <v/>
      </c>
      <c r="C958" s="52" t="str">
        <f aca="false">IF(L958="","",INDEX(ポート振替表!$B$5:$B$3507,$L958)&amp;" "&amp;INDEX(ポート振替表!$C$5:$C$3507,$L958)&amp;"  ⇔  "&amp;INDEX(ポート振替表!$H$5:$H$3507,$L958)&amp;" "&amp;INDEX(ポート振替表!$I$5:$I$3507,$L958))</f>
        <v/>
      </c>
      <c r="D958" s="57" t="s">
        <v>158</v>
      </c>
      <c r="E958" s="59" t="str">
        <f aca="false">IF(L958="","",IF(INDEX(ポート振替表!$O$5:$O$3507,$L958)="","(未設定)",INDEX(ポート振替表!$O$5:$O$3507,$L958)&amp;""))</f>
        <v/>
      </c>
      <c r="F958" s="52" t="str">
        <f aca="false">IF(L958="","",INDEX(ポート振替表!$K$5:$K$3507,$L958)&amp;" "&amp;INDEX(ポート振替表!$L$5:$L$3507,$L958)&amp;"  ⇔  "&amp;INDEX(ポート振替表!$H$5:$H$3507,$L958)&amp;" "&amp;INDEX(ポート振替表!$I$5:$I$3507,$L958))</f>
        <v/>
      </c>
      <c r="G958" s="57" t="s">
        <v>158</v>
      </c>
      <c r="H958" s="32" t="str">
        <f aca="false">IF(L958="","",INDEX(ポート振替表!$N$5:$N$3507,$L958)&amp;"")</f>
        <v/>
      </c>
      <c r="I958" s="32" t="str">
        <f aca="false">IF(L958="","",INDEX(ポート振替表!$P$5:$P$3507,$L958)&amp;"")</f>
        <v/>
      </c>
      <c r="J958" s="60" t="str">
        <f aca="false">IF(L958="","",INDEX(ポート振替表!$M$5:$M$3507,$L958)&amp;"")</f>
        <v/>
      </c>
      <c r="K958" s="52" t="str">
        <f aca="false">IF(L958="","",E958&amp;CHAR(10)&amp;INDEX(ポート振替表!$K$5:$K$3507,$L958)&amp;" "&amp;INDEX(ポート振替表!$L$5:$L$3507,$L958)&amp;CHAR(10)&amp;"⇔ "&amp;INDEX(ポート振替表!$H$5:$H$3507,$L958)&amp;" "&amp;INDEX(ポート振替表!$I$5:$I$3507,$L958))</f>
        <v/>
      </c>
      <c r="L958" s="47" t="str">
        <f aca="false">IFERROR(MATCH(ROW()-4,ポート振替表!$V$5:$V$3507,0),"")</f>
        <v/>
      </c>
    </row>
    <row r="959" customFormat="false" ht="16.4" hidden="false" customHeight="false" outlineLevel="0" collapsed="false">
      <c r="A959" s="32" t="str">
        <f aca="false">IF(L959="","",ROW()-4)</f>
        <v/>
      </c>
      <c r="B959" s="58" t="str">
        <f aca="false">IF(L959="","",IF(INDEX(ポート振替表!$W$5:$W$3507,$L959)="","(なし)",INDEX(ポート振替表!$W$5:$W$3507,$L959)&amp;""))</f>
        <v/>
      </c>
      <c r="C959" s="52" t="str">
        <f aca="false">IF(L959="","",INDEX(ポート振替表!$B$5:$B$3507,$L959)&amp;" "&amp;INDEX(ポート振替表!$C$5:$C$3507,$L959)&amp;"  ⇔  "&amp;INDEX(ポート振替表!$H$5:$H$3507,$L959)&amp;" "&amp;INDEX(ポート振替表!$I$5:$I$3507,$L959))</f>
        <v/>
      </c>
      <c r="D959" s="57" t="s">
        <v>158</v>
      </c>
      <c r="E959" s="59" t="str">
        <f aca="false">IF(L959="","",IF(INDEX(ポート振替表!$O$5:$O$3507,$L959)="","(未設定)",INDEX(ポート振替表!$O$5:$O$3507,$L959)&amp;""))</f>
        <v/>
      </c>
      <c r="F959" s="52" t="str">
        <f aca="false">IF(L959="","",INDEX(ポート振替表!$K$5:$K$3507,$L959)&amp;" "&amp;INDEX(ポート振替表!$L$5:$L$3507,$L959)&amp;"  ⇔  "&amp;INDEX(ポート振替表!$H$5:$H$3507,$L959)&amp;" "&amp;INDEX(ポート振替表!$I$5:$I$3507,$L959))</f>
        <v/>
      </c>
      <c r="G959" s="57" t="s">
        <v>158</v>
      </c>
      <c r="H959" s="32" t="str">
        <f aca="false">IF(L959="","",INDEX(ポート振替表!$N$5:$N$3507,$L959)&amp;"")</f>
        <v/>
      </c>
      <c r="I959" s="32" t="str">
        <f aca="false">IF(L959="","",INDEX(ポート振替表!$P$5:$P$3507,$L959)&amp;"")</f>
        <v/>
      </c>
      <c r="J959" s="60" t="str">
        <f aca="false">IF(L959="","",INDEX(ポート振替表!$M$5:$M$3507,$L959)&amp;"")</f>
        <v/>
      </c>
      <c r="K959" s="52" t="str">
        <f aca="false">IF(L959="","",E959&amp;CHAR(10)&amp;INDEX(ポート振替表!$K$5:$K$3507,$L959)&amp;" "&amp;INDEX(ポート振替表!$L$5:$L$3507,$L959)&amp;CHAR(10)&amp;"⇔ "&amp;INDEX(ポート振替表!$H$5:$H$3507,$L959)&amp;" "&amp;INDEX(ポート振替表!$I$5:$I$3507,$L959))</f>
        <v/>
      </c>
      <c r="L959" s="47" t="str">
        <f aca="false">IFERROR(MATCH(ROW()-4,ポート振替表!$V$5:$V$3507,0),"")</f>
        <v/>
      </c>
    </row>
    <row r="960" customFormat="false" ht="16.4" hidden="false" customHeight="false" outlineLevel="0" collapsed="false">
      <c r="A960" s="32" t="str">
        <f aca="false">IF(L960="","",ROW()-4)</f>
        <v/>
      </c>
      <c r="B960" s="58" t="str">
        <f aca="false">IF(L960="","",IF(INDEX(ポート振替表!$W$5:$W$3507,$L960)="","(なし)",INDEX(ポート振替表!$W$5:$W$3507,$L960)&amp;""))</f>
        <v/>
      </c>
      <c r="C960" s="52" t="str">
        <f aca="false">IF(L960="","",INDEX(ポート振替表!$B$5:$B$3507,$L960)&amp;" "&amp;INDEX(ポート振替表!$C$5:$C$3507,$L960)&amp;"  ⇔  "&amp;INDEX(ポート振替表!$H$5:$H$3507,$L960)&amp;" "&amp;INDEX(ポート振替表!$I$5:$I$3507,$L960))</f>
        <v/>
      </c>
      <c r="D960" s="57" t="s">
        <v>158</v>
      </c>
      <c r="E960" s="59" t="str">
        <f aca="false">IF(L960="","",IF(INDEX(ポート振替表!$O$5:$O$3507,$L960)="","(未設定)",INDEX(ポート振替表!$O$5:$O$3507,$L960)&amp;""))</f>
        <v/>
      </c>
      <c r="F960" s="52" t="str">
        <f aca="false">IF(L960="","",INDEX(ポート振替表!$K$5:$K$3507,$L960)&amp;" "&amp;INDEX(ポート振替表!$L$5:$L$3507,$L960)&amp;"  ⇔  "&amp;INDEX(ポート振替表!$H$5:$H$3507,$L960)&amp;" "&amp;INDEX(ポート振替表!$I$5:$I$3507,$L960))</f>
        <v/>
      </c>
      <c r="G960" s="57" t="s">
        <v>158</v>
      </c>
      <c r="H960" s="32" t="str">
        <f aca="false">IF(L960="","",INDEX(ポート振替表!$N$5:$N$3507,$L960)&amp;"")</f>
        <v/>
      </c>
      <c r="I960" s="32" t="str">
        <f aca="false">IF(L960="","",INDEX(ポート振替表!$P$5:$P$3507,$L960)&amp;"")</f>
        <v/>
      </c>
      <c r="J960" s="60" t="str">
        <f aca="false">IF(L960="","",INDEX(ポート振替表!$M$5:$M$3507,$L960)&amp;"")</f>
        <v/>
      </c>
      <c r="K960" s="52" t="str">
        <f aca="false">IF(L960="","",E960&amp;CHAR(10)&amp;INDEX(ポート振替表!$K$5:$K$3507,$L960)&amp;" "&amp;INDEX(ポート振替表!$L$5:$L$3507,$L960)&amp;CHAR(10)&amp;"⇔ "&amp;INDEX(ポート振替表!$H$5:$H$3507,$L960)&amp;" "&amp;INDEX(ポート振替表!$I$5:$I$3507,$L960))</f>
        <v/>
      </c>
      <c r="L960" s="47" t="str">
        <f aca="false">IFERROR(MATCH(ROW()-4,ポート振替表!$V$5:$V$3507,0),"")</f>
        <v/>
      </c>
    </row>
    <row r="961" customFormat="false" ht="16.4" hidden="false" customHeight="false" outlineLevel="0" collapsed="false">
      <c r="A961" s="32" t="str">
        <f aca="false">IF(L961="","",ROW()-4)</f>
        <v/>
      </c>
      <c r="B961" s="58" t="str">
        <f aca="false">IF(L961="","",IF(INDEX(ポート振替表!$W$5:$W$3507,$L961)="","(なし)",INDEX(ポート振替表!$W$5:$W$3507,$L961)&amp;""))</f>
        <v/>
      </c>
      <c r="C961" s="52" t="str">
        <f aca="false">IF(L961="","",INDEX(ポート振替表!$B$5:$B$3507,$L961)&amp;" "&amp;INDEX(ポート振替表!$C$5:$C$3507,$L961)&amp;"  ⇔  "&amp;INDEX(ポート振替表!$H$5:$H$3507,$L961)&amp;" "&amp;INDEX(ポート振替表!$I$5:$I$3507,$L961))</f>
        <v/>
      </c>
      <c r="D961" s="57" t="s">
        <v>158</v>
      </c>
      <c r="E961" s="59" t="str">
        <f aca="false">IF(L961="","",IF(INDEX(ポート振替表!$O$5:$O$3507,$L961)="","(未設定)",INDEX(ポート振替表!$O$5:$O$3507,$L961)&amp;""))</f>
        <v/>
      </c>
      <c r="F961" s="52" t="str">
        <f aca="false">IF(L961="","",INDEX(ポート振替表!$K$5:$K$3507,$L961)&amp;" "&amp;INDEX(ポート振替表!$L$5:$L$3507,$L961)&amp;"  ⇔  "&amp;INDEX(ポート振替表!$H$5:$H$3507,$L961)&amp;" "&amp;INDEX(ポート振替表!$I$5:$I$3507,$L961))</f>
        <v/>
      </c>
      <c r="G961" s="57" t="s">
        <v>158</v>
      </c>
      <c r="H961" s="32" t="str">
        <f aca="false">IF(L961="","",INDEX(ポート振替表!$N$5:$N$3507,$L961)&amp;"")</f>
        <v/>
      </c>
      <c r="I961" s="32" t="str">
        <f aca="false">IF(L961="","",INDEX(ポート振替表!$P$5:$P$3507,$L961)&amp;"")</f>
        <v/>
      </c>
      <c r="J961" s="60" t="str">
        <f aca="false">IF(L961="","",INDEX(ポート振替表!$M$5:$M$3507,$L961)&amp;"")</f>
        <v/>
      </c>
      <c r="K961" s="52" t="str">
        <f aca="false">IF(L961="","",E961&amp;CHAR(10)&amp;INDEX(ポート振替表!$K$5:$K$3507,$L961)&amp;" "&amp;INDEX(ポート振替表!$L$5:$L$3507,$L961)&amp;CHAR(10)&amp;"⇔ "&amp;INDEX(ポート振替表!$H$5:$H$3507,$L961)&amp;" "&amp;INDEX(ポート振替表!$I$5:$I$3507,$L961))</f>
        <v/>
      </c>
      <c r="L961" s="47" t="str">
        <f aca="false">IFERROR(MATCH(ROW()-4,ポート振替表!$V$5:$V$3507,0),"")</f>
        <v/>
      </c>
    </row>
    <row r="962" customFormat="false" ht="16.4" hidden="false" customHeight="false" outlineLevel="0" collapsed="false">
      <c r="A962" s="32" t="str">
        <f aca="false">IF(L962="","",ROW()-4)</f>
        <v/>
      </c>
      <c r="B962" s="58" t="str">
        <f aca="false">IF(L962="","",IF(INDEX(ポート振替表!$W$5:$W$3507,$L962)="","(なし)",INDEX(ポート振替表!$W$5:$W$3507,$L962)&amp;""))</f>
        <v/>
      </c>
      <c r="C962" s="52" t="str">
        <f aca="false">IF(L962="","",INDEX(ポート振替表!$B$5:$B$3507,$L962)&amp;" "&amp;INDEX(ポート振替表!$C$5:$C$3507,$L962)&amp;"  ⇔  "&amp;INDEX(ポート振替表!$H$5:$H$3507,$L962)&amp;" "&amp;INDEX(ポート振替表!$I$5:$I$3507,$L962))</f>
        <v/>
      </c>
      <c r="D962" s="57" t="s">
        <v>158</v>
      </c>
      <c r="E962" s="59" t="str">
        <f aca="false">IF(L962="","",IF(INDEX(ポート振替表!$O$5:$O$3507,$L962)="","(未設定)",INDEX(ポート振替表!$O$5:$O$3507,$L962)&amp;""))</f>
        <v/>
      </c>
      <c r="F962" s="52" t="str">
        <f aca="false">IF(L962="","",INDEX(ポート振替表!$K$5:$K$3507,$L962)&amp;" "&amp;INDEX(ポート振替表!$L$5:$L$3507,$L962)&amp;"  ⇔  "&amp;INDEX(ポート振替表!$H$5:$H$3507,$L962)&amp;" "&amp;INDEX(ポート振替表!$I$5:$I$3507,$L962))</f>
        <v/>
      </c>
      <c r="G962" s="57" t="s">
        <v>158</v>
      </c>
      <c r="H962" s="32" t="str">
        <f aca="false">IF(L962="","",INDEX(ポート振替表!$N$5:$N$3507,$L962)&amp;"")</f>
        <v/>
      </c>
      <c r="I962" s="32" t="str">
        <f aca="false">IF(L962="","",INDEX(ポート振替表!$P$5:$P$3507,$L962)&amp;"")</f>
        <v/>
      </c>
      <c r="J962" s="60" t="str">
        <f aca="false">IF(L962="","",INDEX(ポート振替表!$M$5:$M$3507,$L962)&amp;"")</f>
        <v/>
      </c>
      <c r="K962" s="52" t="str">
        <f aca="false">IF(L962="","",E962&amp;CHAR(10)&amp;INDEX(ポート振替表!$K$5:$K$3507,$L962)&amp;" "&amp;INDEX(ポート振替表!$L$5:$L$3507,$L962)&amp;CHAR(10)&amp;"⇔ "&amp;INDEX(ポート振替表!$H$5:$H$3507,$L962)&amp;" "&amp;INDEX(ポート振替表!$I$5:$I$3507,$L962))</f>
        <v/>
      </c>
      <c r="L962" s="47" t="str">
        <f aca="false">IFERROR(MATCH(ROW()-4,ポート振替表!$V$5:$V$3507,0),"")</f>
        <v/>
      </c>
    </row>
    <row r="963" customFormat="false" ht="16.4" hidden="false" customHeight="false" outlineLevel="0" collapsed="false">
      <c r="A963" s="32" t="str">
        <f aca="false">IF(L963="","",ROW()-4)</f>
        <v/>
      </c>
      <c r="B963" s="58" t="str">
        <f aca="false">IF(L963="","",IF(INDEX(ポート振替表!$W$5:$W$3507,$L963)="","(なし)",INDEX(ポート振替表!$W$5:$W$3507,$L963)&amp;""))</f>
        <v/>
      </c>
      <c r="C963" s="52" t="str">
        <f aca="false">IF(L963="","",INDEX(ポート振替表!$B$5:$B$3507,$L963)&amp;" "&amp;INDEX(ポート振替表!$C$5:$C$3507,$L963)&amp;"  ⇔  "&amp;INDEX(ポート振替表!$H$5:$H$3507,$L963)&amp;" "&amp;INDEX(ポート振替表!$I$5:$I$3507,$L963))</f>
        <v/>
      </c>
      <c r="D963" s="57" t="s">
        <v>158</v>
      </c>
      <c r="E963" s="59" t="str">
        <f aca="false">IF(L963="","",IF(INDEX(ポート振替表!$O$5:$O$3507,$L963)="","(未設定)",INDEX(ポート振替表!$O$5:$O$3507,$L963)&amp;""))</f>
        <v/>
      </c>
      <c r="F963" s="52" t="str">
        <f aca="false">IF(L963="","",INDEX(ポート振替表!$K$5:$K$3507,$L963)&amp;" "&amp;INDEX(ポート振替表!$L$5:$L$3507,$L963)&amp;"  ⇔  "&amp;INDEX(ポート振替表!$H$5:$H$3507,$L963)&amp;" "&amp;INDEX(ポート振替表!$I$5:$I$3507,$L963))</f>
        <v/>
      </c>
      <c r="G963" s="57" t="s">
        <v>158</v>
      </c>
      <c r="H963" s="32" t="str">
        <f aca="false">IF(L963="","",INDEX(ポート振替表!$N$5:$N$3507,$L963)&amp;"")</f>
        <v/>
      </c>
      <c r="I963" s="32" t="str">
        <f aca="false">IF(L963="","",INDEX(ポート振替表!$P$5:$P$3507,$L963)&amp;"")</f>
        <v/>
      </c>
      <c r="J963" s="60" t="str">
        <f aca="false">IF(L963="","",INDEX(ポート振替表!$M$5:$M$3507,$L963)&amp;"")</f>
        <v/>
      </c>
      <c r="K963" s="52" t="str">
        <f aca="false">IF(L963="","",E963&amp;CHAR(10)&amp;INDEX(ポート振替表!$K$5:$K$3507,$L963)&amp;" "&amp;INDEX(ポート振替表!$L$5:$L$3507,$L963)&amp;CHAR(10)&amp;"⇔ "&amp;INDEX(ポート振替表!$H$5:$H$3507,$L963)&amp;" "&amp;INDEX(ポート振替表!$I$5:$I$3507,$L963))</f>
        <v/>
      </c>
      <c r="L963" s="47" t="str">
        <f aca="false">IFERROR(MATCH(ROW()-4,ポート振替表!$V$5:$V$3507,0),"")</f>
        <v/>
      </c>
    </row>
    <row r="964" customFormat="false" ht="16.4" hidden="false" customHeight="false" outlineLevel="0" collapsed="false">
      <c r="A964" s="32" t="str">
        <f aca="false">IF(L964="","",ROW()-4)</f>
        <v/>
      </c>
      <c r="B964" s="58" t="str">
        <f aca="false">IF(L964="","",IF(INDEX(ポート振替表!$W$5:$W$3507,$L964)="","(なし)",INDEX(ポート振替表!$W$5:$W$3507,$L964)&amp;""))</f>
        <v/>
      </c>
      <c r="C964" s="52" t="str">
        <f aca="false">IF(L964="","",INDEX(ポート振替表!$B$5:$B$3507,$L964)&amp;" "&amp;INDEX(ポート振替表!$C$5:$C$3507,$L964)&amp;"  ⇔  "&amp;INDEX(ポート振替表!$H$5:$H$3507,$L964)&amp;" "&amp;INDEX(ポート振替表!$I$5:$I$3507,$L964))</f>
        <v/>
      </c>
      <c r="D964" s="57" t="s">
        <v>158</v>
      </c>
      <c r="E964" s="59" t="str">
        <f aca="false">IF(L964="","",IF(INDEX(ポート振替表!$O$5:$O$3507,$L964)="","(未設定)",INDEX(ポート振替表!$O$5:$O$3507,$L964)&amp;""))</f>
        <v/>
      </c>
      <c r="F964" s="52" t="str">
        <f aca="false">IF(L964="","",INDEX(ポート振替表!$K$5:$K$3507,$L964)&amp;" "&amp;INDEX(ポート振替表!$L$5:$L$3507,$L964)&amp;"  ⇔  "&amp;INDEX(ポート振替表!$H$5:$H$3507,$L964)&amp;" "&amp;INDEX(ポート振替表!$I$5:$I$3507,$L964))</f>
        <v/>
      </c>
      <c r="G964" s="57" t="s">
        <v>158</v>
      </c>
      <c r="H964" s="32" t="str">
        <f aca="false">IF(L964="","",INDEX(ポート振替表!$N$5:$N$3507,$L964)&amp;"")</f>
        <v/>
      </c>
      <c r="I964" s="32" t="str">
        <f aca="false">IF(L964="","",INDEX(ポート振替表!$P$5:$P$3507,$L964)&amp;"")</f>
        <v/>
      </c>
      <c r="J964" s="60" t="str">
        <f aca="false">IF(L964="","",INDEX(ポート振替表!$M$5:$M$3507,$L964)&amp;"")</f>
        <v/>
      </c>
      <c r="K964" s="52" t="str">
        <f aca="false">IF(L964="","",E964&amp;CHAR(10)&amp;INDEX(ポート振替表!$K$5:$K$3507,$L964)&amp;" "&amp;INDEX(ポート振替表!$L$5:$L$3507,$L964)&amp;CHAR(10)&amp;"⇔ "&amp;INDEX(ポート振替表!$H$5:$H$3507,$L964)&amp;" "&amp;INDEX(ポート振替表!$I$5:$I$3507,$L964))</f>
        <v/>
      </c>
      <c r="L964" s="47" t="str">
        <f aca="false">IFERROR(MATCH(ROW()-4,ポート振替表!$V$5:$V$3507,0),"")</f>
        <v/>
      </c>
    </row>
    <row r="965" customFormat="false" ht="16.4" hidden="false" customHeight="false" outlineLevel="0" collapsed="false">
      <c r="A965" s="32" t="str">
        <f aca="false">IF(L965="","",ROW()-4)</f>
        <v/>
      </c>
      <c r="B965" s="58" t="str">
        <f aca="false">IF(L965="","",IF(INDEX(ポート振替表!$W$5:$W$3507,$L965)="","(なし)",INDEX(ポート振替表!$W$5:$W$3507,$L965)&amp;""))</f>
        <v/>
      </c>
      <c r="C965" s="52" t="str">
        <f aca="false">IF(L965="","",INDEX(ポート振替表!$B$5:$B$3507,$L965)&amp;" "&amp;INDEX(ポート振替表!$C$5:$C$3507,$L965)&amp;"  ⇔  "&amp;INDEX(ポート振替表!$H$5:$H$3507,$L965)&amp;" "&amp;INDEX(ポート振替表!$I$5:$I$3507,$L965))</f>
        <v/>
      </c>
      <c r="D965" s="57" t="s">
        <v>158</v>
      </c>
      <c r="E965" s="59" t="str">
        <f aca="false">IF(L965="","",IF(INDEX(ポート振替表!$O$5:$O$3507,$L965)="","(未設定)",INDEX(ポート振替表!$O$5:$O$3507,$L965)&amp;""))</f>
        <v/>
      </c>
      <c r="F965" s="52" t="str">
        <f aca="false">IF(L965="","",INDEX(ポート振替表!$K$5:$K$3507,$L965)&amp;" "&amp;INDEX(ポート振替表!$L$5:$L$3507,$L965)&amp;"  ⇔  "&amp;INDEX(ポート振替表!$H$5:$H$3507,$L965)&amp;" "&amp;INDEX(ポート振替表!$I$5:$I$3507,$L965))</f>
        <v/>
      </c>
      <c r="G965" s="57" t="s">
        <v>158</v>
      </c>
      <c r="H965" s="32" t="str">
        <f aca="false">IF(L965="","",INDEX(ポート振替表!$N$5:$N$3507,$L965)&amp;"")</f>
        <v/>
      </c>
      <c r="I965" s="32" t="str">
        <f aca="false">IF(L965="","",INDEX(ポート振替表!$P$5:$P$3507,$L965)&amp;"")</f>
        <v/>
      </c>
      <c r="J965" s="60" t="str">
        <f aca="false">IF(L965="","",INDEX(ポート振替表!$M$5:$M$3507,$L965)&amp;"")</f>
        <v/>
      </c>
      <c r="K965" s="52" t="str">
        <f aca="false">IF(L965="","",E965&amp;CHAR(10)&amp;INDEX(ポート振替表!$K$5:$K$3507,$L965)&amp;" "&amp;INDEX(ポート振替表!$L$5:$L$3507,$L965)&amp;CHAR(10)&amp;"⇔ "&amp;INDEX(ポート振替表!$H$5:$H$3507,$L965)&amp;" "&amp;INDEX(ポート振替表!$I$5:$I$3507,$L965))</f>
        <v/>
      </c>
      <c r="L965" s="47" t="str">
        <f aca="false">IFERROR(MATCH(ROW()-4,ポート振替表!$V$5:$V$3507,0),"")</f>
        <v/>
      </c>
    </row>
    <row r="966" customFormat="false" ht="16.4" hidden="false" customHeight="false" outlineLevel="0" collapsed="false">
      <c r="A966" s="32" t="str">
        <f aca="false">IF(L966="","",ROW()-4)</f>
        <v/>
      </c>
      <c r="B966" s="58" t="str">
        <f aca="false">IF(L966="","",IF(INDEX(ポート振替表!$W$5:$W$3507,$L966)="","(なし)",INDEX(ポート振替表!$W$5:$W$3507,$L966)&amp;""))</f>
        <v/>
      </c>
      <c r="C966" s="52" t="str">
        <f aca="false">IF(L966="","",INDEX(ポート振替表!$B$5:$B$3507,$L966)&amp;" "&amp;INDEX(ポート振替表!$C$5:$C$3507,$L966)&amp;"  ⇔  "&amp;INDEX(ポート振替表!$H$5:$H$3507,$L966)&amp;" "&amp;INDEX(ポート振替表!$I$5:$I$3507,$L966))</f>
        <v/>
      </c>
      <c r="D966" s="57" t="s">
        <v>158</v>
      </c>
      <c r="E966" s="59" t="str">
        <f aca="false">IF(L966="","",IF(INDEX(ポート振替表!$O$5:$O$3507,$L966)="","(未設定)",INDEX(ポート振替表!$O$5:$O$3507,$L966)&amp;""))</f>
        <v/>
      </c>
      <c r="F966" s="52" t="str">
        <f aca="false">IF(L966="","",INDEX(ポート振替表!$K$5:$K$3507,$L966)&amp;" "&amp;INDEX(ポート振替表!$L$5:$L$3507,$L966)&amp;"  ⇔  "&amp;INDEX(ポート振替表!$H$5:$H$3507,$L966)&amp;" "&amp;INDEX(ポート振替表!$I$5:$I$3507,$L966))</f>
        <v/>
      </c>
      <c r="G966" s="57" t="s">
        <v>158</v>
      </c>
      <c r="H966" s="32" t="str">
        <f aca="false">IF(L966="","",INDEX(ポート振替表!$N$5:$N$3507,$L966)&amp;"")</f>
        <v/>
      </c>
      <c r="I966" s="32" t="str">
        <f aca="false">IF(L966="","",INDEX(ポート振替表!$P$5:$P$3507,$L966)&amp;"")</f>
        <v/>
      </c>
      <c r="J966" s="60" t="str">
        <f aca="false">IF(L966="","",INDEX(ポート振替表!$M$5:$M$3507,$L966)&amp;"")</f>
        <v/>
      </c>
      <c r="K966" s="52" t="str">
        <f aca="false">IF(L966="","",E966&amp;CHAR(10)&amp;INDEX(ポート振替表!$K$5:$K$3507,$L966)&amp;" "&amp;INDEX(ポート振替表!$L$5:$L$3507,$L966)&amp;CHAR(10)&amp;"⇔ "&amp;INDEX(ポート振替表!$H$5:$H$3507,$L966)&amp;" "&amp;INDEX(ポート振替表!$I$5:$I$3507,$L966))</f>
        <v/>
      </c>
      <c r="L966" s="47" t="str">
        <f aca="false">IFERROR(MATCH(ROW()-4,ポート振替表!$V$5:$V$3507,0),"")</f>
        <v/>
      </c>
    </row>
    <row r="967" customFormat="false" ht="16.4" hidden="false" customHeight="false" outlineLevel="0" collapsed="false">
      <c r="A967" s="32" t="str">
        <f aca="false">IF(L967="","",ROW()-4)</f>
        <v/>
      </c>
      <c r="B967" s="58" t="str">
        <f aca="false">IF(L967="","",IF(INDEX(ポート振替表!$W$5:$W$3507,$L967)="","(なし)",INDEX(ポート振替表!$W$5:$W$3507,$L967)&amp;""))</f>
        <v/>
      </c>
      <c r="C967" s="52" t="str">
        <f aca="false">IF(L967="","",INDEX(ポート振替表!$B$5:$B$3507,$L967)&amp;" "&amp;INDEX(ポート振替表!$C$5:$C$3507,$L967)&amp;"  ⇔  "&amp;INDEX(ポート振替表!$H$5:$H$3507,$L967)&amp;" "&amp;INDEX(ポート振替表!$I$5:$I$3507,$L967))</f>
        <v/>
      </c>
      <c r="D967" s="57" t="s">
        <v>158</v>
      </c>
      <c r="E967" s="59" t="str">
        <f aca="false">IF(L967="","",IF(INDEX(ポート振替表!$O$5:$O$3507,$L967)="","(未設定)",INDEX(ポート振替表!$O$5:$O$3507,$L967)&amp;""))</f>
        <v/>
      </c>
      <c r="F967" s="52" t="str">
        <f aca="false">IF(L967="","",INDEX(ポート振替表!$K$5:$K$3507,$L967)&amp;" "&amp;INDEX(ポート振替表!$L$5:$L$3507,$L967)&amp;"  ⇔  "&amp;INDEX(ポート振替表!$H$5:$H$3507,$L967)&amp;" "&amp;INDEX(ポート振替表!$I$5:$I$3507,$L967))</f>
        <v/>
      </c>
      <c r="G967" s="57" t="s">
        <v>158</v>
      </c>
      <c r="H967" s="32" t="str">
        <f aca="false">IF(L967="","",INDEX(ポート振替表!$N$5:$N$3507,$L967)&amp;"")</f>
        <v/>
      </c>
      <c r="I967" s="32" t="str">
        <f aca="false">IF(L967="","",INDEX(ポート振替表!$P$5:$P$3507,$L967)&amp;"")</f>
        <v/>
      </c>
      <c r="J967" s="60" t="str">
        <f aca="false">IF(L967="","",INDEX(ポート振替表!$M$5:$M$3507,$L967)&amp;"")</f>
        <v/>
      </c>
      <c r="K967" s="52" t="str">
        <f aca="false">IF(L967="","",E967&amp;CHAR(10)&amp;INDEX(ポート振替表!$K$5:$K$3507,$L967)&amp;" "&amp;INDEX(ポート振替表!$L$5:$L$3507,$L967)&amp;CHAR(10)&amp;"⇔ "&amp;INDEX(ポート振替表!$H$5:$H$3507,$L967)&amp;" "&amp;INDEX(ポート振替表!$I$5:$I$3507,$L967))</f>
        <v/>
      </c>
      <c r="L967" s="47" t="str">
        <f aca="false">IFERROR(MATCH(ROW()-4,ポート振替表!$V$5:$V$3507,0),"")</f>
        <v/>
      </c>
    </row>
    <row r="968" customFormat="false" ht="16.4" hidden="false" customHeight="false" outlineLevel="0" collapsed="false">
      <c r="A968" s="32" t="str">
        <f aca="false">IF(L968="","",ROW()-4)</f>
        <v/>
      </c>
      <c r="B968" s="58" t="str">
        <f aca="false">IF(L968="","",IF(INDEX(ポート振替表!$W$5:$W$3507,$L968)="","(なし)",INDEX(ポート振替表!$W$5:$W$3507,$L968)&amp;""))</f>
        <v/>
      </c>
      <c r="C968" s="52" t="str">
        <f aca="false">IF(L968="","",INDEX(ポート振替表!$B$5:$B$3507,$L968)&amp;" "&amp;INDEX(ポート振替表!$C$5:$C$3507,$L968)&amp;"  ⇔  "&amp;INDEX(ポート振替表!$H$5:$H$3507,$L968)&amp;" "&amp;INDEX(ポート振替表!$I$5:$I$3507,$L968))</f>
        <v/>
      </c>
      <c r="D968" s="57" t="s">
        <v>158</v>
      </c>
      <c r="E968" s="59" t="str">
        <f aca="false">IF(L968="","",IF(INDEX(ポート振替表!$O$5:$O$3507,$L968)="","(未設定)",INDEX(ポート振替表!$O$5:$O$3507,$L968)&amp;""))</f>
        <v/>
      </c>
      <c r="F968" s="52" t="str">
        <f aca="false">IF(L968="","",INDEX(ポート振替表!$K$5:$K$3507,$L968)&amp;" "&amp;INDEX(ポート振替表!$L$5:$L$3507,$L968)&amp;"  ⇔  "&amp;INDEX(ポート振替表!$H$5:$H$3507,$L968)&amp;" "&amp;INDEX(ポート振替表!$I$5:$I$3507,$L968))</f>
        <v/>
      </c>
      <c r="G968" s="57" t="s">
        <v>158</v>
      </c>
      <c r="H968" s="32" t="str">
        <f aca="false">IF(L968="","",INDEX(ポート振替表!$N$5:$N$3507,$L968)&amp;"")</f>
        <v/>
      </c>
      <c r="I968" s="32" t="str">
        <f aca="false">IF(L968="","",INDEX(ポート振替表!$P$5:$P$3507,$L968)&amp;"")</f>
        <v/>
      </c>
      <c r="J968" s="60" t="str">
        <f aca="false">IF(L968="","",INDEX(ポート振替表!$M$5:$M$3507,$L968)&amp;"")</f>
        <v/>
      </c>
      <c r="K968" s="52" t="str">
        <f aca="false">IF(L968="","",E968&amp;CHAR(10)&amp;INDEX(ポート振替表!$K$5:$K$3507,$L968)&amp;" "&amp;INDEX(ポート振替表!$L$5:$L$3507,$L968)&amp;CHAR(10)&amp;"⇔ "&amp;INDEX(ポート振替表!$H$5:$H$3507,$L968)&amp;" "&amp;INDEX(ポート振替表!$I$5:$I$3507,$L968))</f>
        <v/>
      </c>
      <c r="L968" s="47" t="str">
        <f aca="false">IFERROR(MATCH(ROW()-4,ポート振替表!$V$5:$V$3507,0),"")</f>
        <v/>
      </c>
    </row>
    <row r="969" customFormat="false" ht="16.4" hidden="false" customHeight="false" outlineLevel="0" collapsed="false">
      <c r="A969" s="32" t="str">
        <f aca="false">IF(L969="","",ROW()-4)</f>
        <v/>
      </c>
      <c r="B969" s="58" t="str">
        <f aca="false">IF(L969="","",IF(INDEX(ポート振替表!$W$5:$W$3507,$L969)="","(なし)",INDEX(ポート振替表!$W$5:$W$3507,$L969)&amp;""))</f>
        <v/>
      </c>
      <c r="C969" s="52" t="str">
        <f aca="false">IF(L969="","",INDEX(ポート振替表!$B$5:$B$3507,$L969)&amp;" "&amp;INDEX(ポート振替表!$C$5:$C$3507,$L969)&amp;"  ⇔  "&amp;INDEX(ポート振替表!$H$5:$H$3507,$L969)&amp;" "&amp;INDEX(ポート振替表!$I$5:$I$3507,$L969))</f>
        <v/>
      </c>
      <c r="D969" s="57" t="s">
        <v>158</v>
      </c>
      <c r="E969" s="59" t="str">
        <f aca="false">IF(L969="","",IF(INDEX(ポート振替表!$O$5:$O$3507,$L969)="","(未設定)",INDEX(ポート振替表!$O$5:$O$3507,$L969)&amp;""))</f>
        <v/>
      </c>
      <c r="F969" s="52" t="str">
        <f aca="false">IF(L969="","",INDEX(ポート振替表!$K$5:$K$3507,$L969)&amp;" "&amp;INDEX(ポート振替表!$L$5:$L$3507,$L969)&amp;"  ⇔  "&amp;INDEX(ポート振替表!$H$5:$H$3507,$L969)&amp;" "&amp;INDEX(ポート振替表!$I$5:$I$3507,$L969))</f>
        <v/>
      </c>
      <c r="G969" s="57" t="s">
        <v>158</v>
      </c>
      <c r="H969" s="32" t="str">
        <f aca="false">IF(L969="","",INDEX(ポート振替表!$N$5:$N$3507,$L969)&amp;"")</f>
        <v/>
      </c>
      <c r="I969" s="32" t="str">
        <f aca="false">IF(L969="","",INDEX(ポート振替表!$P$5:$P$3507,$L969)&amp;"")</f>
        <v/>
      </c>
      <c r="J969" s="60" t="str">
        <f aca="false">IF(L969="","",INDEX(ポート振替表!$M$5:$M$3507,$L969)&amp;"")</f>
        <v/>
      </c>
      <c r="K969" s="52" t="str">
        <f aca="false">IF(L969="","",E969&amp;CHAR(10)&amp;INDEX(ポート振替表!$K$5:$K$3507,$L969)&amp;" "&amp;INDEX(ポート振替表!$L$5:$L$3507,$L969)&amp;CHAR(10)&amp;"⇔ "&amp;INDEX(ポート振替表!$H$5:$H$3507,$L969)&amp;" "&amp;INDEX(ポート振替表!$I$5:$I$3507,$L969))</f>
        <v/>
      </c>
      <c r="L969" s="47" t="str">
        <f aca="false">IFERROR(MATCH(ROW()-4,ポート振替表!$V$5:$V$3507,0),"")</f>
        <v/>
      </c>
    </row>
    <row r="970" customFormat="false" ht="16.4" hidden="false" customHeight="false" outlineLevel="0" collapsed="false">
      <c r="A970" s="32" t="str">
        <f aca="false">IF(L970="","",ROW()-4)</f>
        <v/>
      </c>
      <c r="B970" s="58" t="str">
        <f aca="false">IF(L970="","",IF(INDEX(ポート振替表!$W$5:$W$3507,$L970)="","(なし)",INDEX(ポート振替表!$W$5:$W$3507,$L970)&amp;""))</f>
        <v/>
      </c>
      <c r="C970" s="52" t="str">
        <f aca="false">IF(L970="","",INDEX(ポート振替表!$B$5:$B$3507,$L970)&amp;" "&amp;INDEX(ポート振替表!$C$5:$C$3507,$L970)&amp;"  ⇔  "&amp;INDEX(ポート振替表!$H$5:$H$3507,$L970)&amp;" "&amp;INDEX(ポート振替表!$I$5:$I$3507,$L970))</f>
        <v/>
      </c>
      <c r="D970" s="57" t="s">
        <v>158</v>
      </c>
      <c r="E970" s="59" t="str">
        <f aca="false">IF(L970="","",IF(INDEX(ポート振替表!$O$5:$O$3507,$L970)="","(未設定)",INDEX(ポート振替表!$O$5:$O$3507,$L970)&amp;""))</f>
        <v/>
      </c>
      <c r="F970" s="52" t="str">
        <f aca="false">IF(L970="","",INDEX(ポート振替表!$K$5:$K$3507,$L970)&amp;" "&amp;INDEX(ポート振替表!$L$5:$L$3507,$L970)&amp;"  ⇔  "&amp;INDEX(ポート振替表!$H$5:$H$3507,$L970)&amp;" "&amp;INDEX(ポート振替表!$I$5:$I$3507,$L970))</f>
        <v/>
      </c>
      <c r="G970" s="57" t="s">
        <v>158</v>
      </c>
      <c r="H970" s="32" t="str">
        <f aca="false">IF(L970="","",INDEX(ポート振替表!$N$5:$N$3507,$L970)&amp;"")</f>
        <v/>
      </c>
      <c r="I970" s="32" t="str">
        <f aca="false">IF(L970="","",INDEX(ポート振替表!$P$5:$P$3507,$L970)&amp;"")</f>
        <v/>
      </c>
      <c r="J970" s="60" t="str">
        <f aca="false">IF(L970="","",INDEX(ポート振替表!$M$5:$M$3507,$L970)&amp;"")</f>
        <v/>
      </c>
      <c r="K970" s="52" t="str">
        <f aca="false">IF(L970="","",E970&amp;CHAR(10)&amp;INDEX(ポート振替表!$K$5:$K$3507,$L970)&amp;" "&amp;INDEX(ポート振替表!$L$5:$L$3507,$L970)&amp;CHAR(10)&amp;"⇔ "&amp;INDEX(ポート振替表!$H$5:$H$3507,$L970)&amp;" "&amp;INDEX(ポート振替表!$I$5:$I$3507,$L970))</f>
        <v/>
      </c>
      <c r="L970" s="47" t="str">
        <f aca="false">IFERROR(MATCH(ROW()-4,ポート振替表!$V$5:$V$3507,0),"")</f>
        <v/>
      </c>
    </row>
    <row r="971" customFormat="false" ht="16.4" hidden="false" customHeight="false" outlineLevel="0" collapsed="false">
      <c r="A971" s="32" t="str">
        <f aca="false">IF(L971="","",ROW()-4)</f>
        <v/>
      </c>
      <c r="B971" s="58" t="str">
        <f aca="false">IF(L971="","",IF(INDEX(ポート振替表!$W$5:$W$3507,$L971)="","(なし)",INDEX(ポート振替表!$W$5:$W$3507,$L971)&amp;""))</f>
        <v/>
      </c>
      <c r="C971" s="52" t="str">
        <f aca="false">IF(L971="","",INDEX(ポート振替表!$B$5:$B$3507,$L971)&amp;" "&amp;INDEX(ポート振替表!$C$5:$C$3507,$L971)&amp;"  ⇔  "&amp;INDEX(ポート振替表!$H$5:$H$3507,$L971)&amp;" "&amp;INDEX(ポート振替表!$I$5:$I$3507,$L971))</f>
        <v/>
      </c>
      <c r="D971" s="57" t="s">
        <v>158</v>
      </c>
      <c r="E971" s="59" t="str">
        <f aca="false">IF(L971="","",IF(INDEX(ポート振替表!$O$5:$O$3507,$L971)="","(未設定)",INDEX(ポート振替表!$O$5:$O$3507,$L971)&amp;""))</f>
        <v/>
      </c>
      <c r="F971" s="52" t="str">
        <f aca="false">IF(L971="","",INDEX(ポート振替表!$K$5:$K$3507,$L971)&amp;" "&amp;INDEX(ポート振替表!$L$5:$L$3507,$L971)&amp;"  ⇔  "&amp;INDEX(ポート振替表!$H$5:$H$3507,$L971)&amp;" "&amp;INDEX(ポート振替表!$I$5:$I$3507,$L971))</f>
        <v/>
      </c>
      <c r="G971" s="57" t="s">
        <v>158</v>
      </c>
      <c r="H971" s="32" t="str">
        <f aca="false">IF(L971="","",INDEX(ポート振替表!$N$5:$N$3507,$L971)&amp;"")</f>
        <v/>
      </c>
      <c r="I971" s="32" t="str">
        <f aca="false">IF(L971="","",INDEX(ポート振替表!$P$5:$P$3507,$L971)&amp;"")</f>
        <v/>
      </c>
      <c r="J971" s="60" t="str">
        <f aca="false">IF(L971="","",INDEX(ポート振替表!$M$5:$M$3507,$L971)&amp;"")</f>
        <v/>
      </c>
      <c r="K971" s="52" t="str">
        <f aca="false">IF(L971="","",E971&amp;CHAR(10)&amp;INDEX(ポート振替表!$K$5:$K$3507,$L971)&amp;" "&amp;INDEX(ポート振替表!$L$5:$L$3507,$L971)&amp;CHAR(10)&amp;"⇔ "&amp;INDEX(ポート振替表!$H$5:$H$3507,$L971)&amp;" "&amp;INDEX(ポート振替表!$I$5:$I$3507,$L971))</f>
        <v/>
      </c>
      <c r="L971" s="47" t="str">
        <f aca="false">IFERROR(MATCH(ROW()-4,ポート振替表!$V$5:$V$3507,0),"")</f>
        <v/>
      </c>
    </row>
    <row r="972" customFormat="false" ht="16.4" hidden="false" customHeight="false" outlineLevel="0" collapsed="false">
      <c r="A972" s="32" t="str">
        <f aca="false">IF(L972="","",ROW()-4)</f>
        <v/>
      </c>
      <c r="B972" s="58" t="str">
        <f aca="false">IF(L972="","",IF(INDEX(ポート振替表!$W$5:$W$3507,$L972)="","(なし)",INDEX(ポート振替表!$W$5:$W$3507,$L972)&amp;""))</f>
        <v/>
      </c>
      <c r="C972" s="52" t="str">
        <f aca="false">IF(L972="","",INDEX(ポート振替表!$B$5:$B$3507,$L972)&amp;" "&amp;INDEX(ポート振替表!$C$5:$C$3507,$L972)&amp;"  ⇔  "&amp;INDEX(ポート振替表!$H$5:$H$3507,$L972)&amp;" "&amp;INDEX(ポート振替表!$I$5:$I$3507,$L972))</f>
        <v/>
      </c>
      <c r="D972" s="57" t="s">
        <v>158</v>
      </c>
      <c r="E972" s="59" t="str">
        <f aca="false">IF(L972="","",IF(INDEX(ポート振替表!$O$5:$O$3507,$L972)="","(未設定)",INDEX(ポート振替表!$O$5:$O$3507,$L972)&amp;""))</f>
        <v/>
      </c>
      <c r="F972" s="52" t="str">
        <f aca="false">IF(L972="","",INDEX(ポート振替表!$K$5:$K$3507,$L972)&amp;" "&amp;INDEX(ポート振替表!$L$5:$L$3507,$L972)&amp;"  ⇔  "&amp;INDEX(ポート振替表!$H$5:$H$3507,$L972)&amp;" "&amp;INDEX(ポート振替表!$I$5:$I$3507,$L972))</f>
        <v/>
      </c>
      <c r="G972" s="57" t="s">
        <v>158</v>
      </c>
      <c r="H972" s="32" t="str">
        <f aca="false">IF(L972="","",INDEX(ポート振替表!$N$5:$N$3507,$L972)&amp;"")</f>
        <v/>
      </c>
      <c r="I972" s="32" t="str">
        <f aca="false">IF(L972="","",INDEX(ポート振替表!$P$5:$P$3507,$L972)&amp;"")</f>
        <v/>
      </c>
      <c r="J972" s="60" t="str">
        <f aca="false">IF(L972="","",INDEX(ポート振替表!$M$5:$M$3507,$L972)&amp;"")</f>
        <v/>
      </c>
      <c r="K972" s="52" t="str">
        <f aca="false">IF(L972="","",E972&amp;CHAR(10)&amp;INDEX(ポート振替表!$K$5:$K$3507,$L972)&amp;" "&amp;INDEX(ポート振替表!$L$5:$L$3507,$L972)&amp;CHAR(10)&amp;"⇔ "&amp;INDEX(ポート振替表!$H$5:$H$3507,$L972)&amp;" "&amp;INDEX(ポート振替表!$I$5:$I$3507,$L972))</f>
        <v/>
      </c>
      <c r="L972" s="47" t="str">
        <f aca="false">IFERROR(MATCH(ROW()-4,ポート振替表!$V$5:$V$3507,0),"")</f>
        <v/>
      </c>
    </row>
    <row r="973" customFormat="false" ht="16.4" hidden="false" customHeight="false" outlineLevel="0" collapsed="false">
      <c r="A973" s="32" t="str">
        <f aca="false">IF(L973="","",ROW()-4)</f>
        <v/>
      </c>
      <c r="B973" s="58" t="str">
        <f aca="false">IF(L973="","",IF(INDEX(ポート振替表!$W$5:$W$3507,$L973)="","(なし)",INDEX(ポート振替表!$W$5:$W$3507,$L973)&amp;""))</f>
        <v/>
      </c>
      <c r="C973" s="52" t="str">
        <f aca="false">IF(L973="","",INDEX(ポート振替表!$B$5:$B$3507,$L973)&amp;" "&amp;INDEX(ポート振替表!$C$5:$C$3507,$L973)&amp;"  ⇔  "&amp;INDEX(ポート振替表!$H$5:$H$3507,$L973)&amp;" "&amp;INDEX(ポート振替表!$I$5:$I$3507,$L973))</f>
        <v/>
      </c>
      <c r="D973" s="57" t="s">
        <v>158</v>
      </c>
      <c r="E973" s="59" t="str">
        <f aca="false">IF(L973="","",IF(INDEX(ポート振替表!$O$5:$O$3507,$L973)="","(未設定)",INDEX(ポート振替表!$O$5:$O$3507,$L973)&amp;""))</f>
        <v/>
      </c>
      <c r="F973" s="52" t="str">
        <f aca="false">IF(L973="","",INDEX(ポート振替表!$K$5:$K$3507,$L973)&amp;" "&amp;INDEX(ポート振替表!$L$5:$L$3507,$L973)&amp;"  ⇔  "&amp;INDEX(ポート振替表!$H$5:$H$3507,$L973)&amp;" "&amp;INDEX(ポート振替表!$I$5:$I$3507,$L973))</f>
        <v/>
      </c>
      <c r="G973" s="57" t="s">
        <v>158</v>
      </c>
      <c r="H973" s="32" t="str">
        <f aca="false">IF(L973="","",INDEX(ポート振替表!$N$5:$N$3507,$L973)&amp;"")</f>
        <v/>
      </c>
      <c r="I973" s="32" t="str">
        <f aca="false">IF(L973="","",INDEX(ポート振替表!$P$5:$P$3507,$L973)&amp;"")</f>
        <v/>
      </c>
      <c r="J973" s="60" t="str">
        <f aca="false">IF(L973="","",INDEX(ポート振替表!$M$5:$M$3507,$L973)&amp;"")</f>
        <v/>
      </c>
      <c r="K973" s="52" t="str">
        <f aca="false">IF(L973="","",E973&amp;CHAR(10)&amp;INDEX(ポート振替表!$K$5:$K$3507,$L973)&amp;" "&amp;INDEX(ポート振替表!$L$5:$L$3507,$L973)&amp;CHAR(10)&amp;"⇔ "&amp;INDEX(ポート振替表!$H$5:$H$3507,$L973)&amp;" "&amp;INDEX(ポート振替表!$I$5:$I$3507,$L973))</f>
        <v/>
      </c>
      <c r="L973" s="47" t="str">
        <f aca="false">IFERROR(MATCH(ROW()-4,ポート振替表!$V$5:$V$3507,0),"")</f>
        <v/>
      </c>
    </row>
    <row r="974" customFormat="false" ht="16.4" hidden="false" customHeight="false" outlineLevel="0" collapsed="false">
      <c r="A974" s="32" t="str">
        <f aca="false">IF(L974="","",ROW()-4)</f>
        <v/>
      </c>
      <c r="B974" s="58" t="str">
        <f aca="false">IF(L974="","",IF(INDEX(ポート振替表!$W$5:$W$3507,$L974)="","(なし)",INDEX(ポート振替表!$W$5:$W$3507,$L974)&amp;""))</f>
        <v/>
      </c>
      <c r="C974" s="52" t="str">
        <f aca="false">IF(L974="","",INDEX(ポート振替表!$B$5:$B$3507,$L974)&amp;" "&amp;INDEX(ポート振替表!$C$5:$C$3507,$L974)&amp;"  ⇔  "&amp;INDEX(ポート振替表!$H$5:$H$3507,$L974)&amp;" "&amp;INDEX(ポート振替表!$I$5:$I$3507,$L974))</f>
        <v/>
      </c>
      <c r="D974" s="57" t="s">
        <v>158</v>
      </c>
      <c r="E974" s="59" t="str">
        <f aca="false">IF(L974="","",IF(INDEX(ポート振替表!$O$5:$O$3507,$L974)="","(未設定)",INDEX(ポート振替表!$O$5:$O$3507,$L974)&amp;""))</f>
        <v/>
      </c>
      <c r="F974" s="52" t="str">
        <f aca="false">IF(L974="","",INDEX(ポート振替表!$K$5:$K$3507,$L974)&amp;" "&amp;INDEX(ポート振替表!$L$5:$L$3507,$L974)&amp;"  ⇔  "&amp;INDEX(ポート振替表!$H$5:$H$3507,$L974)&amp;" "&amp;INDEX(ポート振替表!$I$5:$I$3507,$L974))</f>
        <v/>
      </c>
      <c r="G974" s="57" t="s">
        <v>158</v>
      </c>
      <c r="H974" s="32" t="str">
        <f aca="false">IF(L974="","",INDEX(ポート振替表!$N$5:$N$3507,$L974)&amp;"")</f>
        <v/>
      </c>
      <c r="I974" s="32" t="str">
        <f aca="false">IF(L974="","",INDEX(ポート振替表!$P$5:$P$3507,$L974)&amp;"")</f>
        <v/>
      </c>
      <c r="J974" s="60" t="str">
        <f aca="false">IF(L974="","",INDEX(ポート振替表!$M$5:$M$3507,$L974)&amp;"")</f>
        <v/>
      </c>
      <c r="K974" s="52" t="str">
        <f aca="false">IF(L974="","",E974&amp;CHAR(10)&amp;INDEX(ポート振替表!$K$5:$K$3507,$L974)&amp;" "&amp;INDEX(ポート振替表!$L$5:$L$3507,$L974)&amp;CHAR(10)&amp;"⇔ "&amp;INDEX(ポート振替表!$H$5:$H$3507,$L974)&amp;" "&amp;INDEX(ポート振替表!$I$5:$I$3507,$L974))</f>
        <v/>
      </c>
      <c r="L974" s="47" t="str">
        <f aca="false">IFERROR(MATCH(ROW()-4,ポート振替表!$V$5:$V$3507,0),"")</f>
        <v/>
      </c>
    </row>
    <row r="975" customFormat="false" ht="16.4" hidden="false" customHeight="false" outlineLevel="0" collapsed="false">
      <c r="A975" s="32" t="str">
        <f aca="false">IF(L975="","",ROW()-4)</f>
        <v/>
      </c>
      <c r="B975" s="58" t="str">
        <f aca="false">IF(L975="","",IF(INDEX(ポート振替表!$W$5:$W$3507,$L975)="","(なし)",INDEX(ポート振替表!$W$5:$W$3507,$L975)&amp;""))</f>
        <v/>
      </c>
      <c r="C975" s="52" t="str">
        <f aca="false">IF(L975="","",INDEX(ポート振替表!$B$5:$B$3507,$L975)&amp;" "&amp;INDEX(ポート振替表!$C$5:$C$3507,$L975)&amp;"  ⇔  "&amp;INDEX(ポート振替表!$H$5:$H$3507,$L975)&amp;" "&amp;INDEX(ポート振替表!$I$5:$I$3507,$L975))</f>
        <v/>
      </c>
      <c r="D975" s="57" t="s">
        <v>158</v>
      </c>
      <c r="E975" s="59" t="str">
        <f aca="false">IF(L975="","",IF(INDEX(ポート振替表!$O$5:$O$3507,$L975)="","(未設定)",INDEX(ポート振替表!$O$5:$O$3507,$L975)&amp;""))</f>
        <v/>
      </c>
      <c r="F975" s="52" t="str">
        <f aca="false">IF(L975="","",INDEX(ポート振替表!$K$5:$K$3507,$L975)&amp;" "&amp;INDEX(ポート振替表!$L$5:$L$3507,$L975)&amp;"  ⇔  "&amp;INDEX(ポート振替表!$H$5:$H$3507,$L975)&amp;" "&amp;INDEX(ポート振替表!$I$5:$I$3507,$L975))</f>
        <v/>
      </c>
      <c r="G975" s="57" t="s">
        <v>158</v>
      </c>
      <c r="H975" s="32" t="str">
        <f aca="false">IF(L975="","",INDEX(ポート振替表!$N$5:$N$3507,$L975)&amp;"")</f>
        <v/>
      </c>
      <c r="I975" s="32" t="str">
        <f aca="false">IF(L975="","",INDEX(ポート振替表!$P$5:$P$3507,$L975)&amp;"")</f>
        <v/>
      </c>
      <c r="J975" s="60" t="str">
        <f aca="false">IF(L975="","",INDEX(ポート振替表!$M$5:$M$3507,$L975)&amp;"")</f>
        <v/>
      </c>
      <c r="K975" s="52" t="str">
        <f aca="false">IF(L975="","",E975&amp;CHAR(10)&amp;INDEX(ポート振替表!$K$5:$K$3507,$L975)&amp;" "&amp;INDEX(ポート振替表!$L$5:$L$3507,$L975)&amp;CHAR(10)&amp;"⇔ "&amp;INDEX(ポート振替表!$H$5:$H$3507,$L975)&amp;" "&amp;INDEX(ポート振替表!$I$5:$I$3507,$L975))</f>
        <v/>
      </c>
      <c r="L975" s="47" t="str">
        <f aca="false">IFERROR(MATCH(ROW()-4,ポート振替表!$V$5:$V$3507,0),"")</f>
        <v/>
      </c>
    </row>
    <row r="976" customFormat="false" ht="16.4" hidden="false" customHeight="false" outlineLevel="0" collapsed="false">
      <c r="A976" s="32" t="str">
        <f aca="false">IF(L976="","",ROW()-4)</f>
        <v/>
      </c>
      <c r="B976" s="58" t="str">
        <f aca="false">IF(L976="","",IF(INDEX(ポート振替表!$W$5:$W$3507,$L976)="","(なし)",INDEX(ポート振替表!$W$5:$W$3507,$L976)&amp;""))</f>
        <v/>
      </c>
      <c r="C976" s="52" t="str">
        <f aca="false">IF(L976="","",INDEX(ポート振替表!$B$5:$B$3507,$L976)&amp;" "&amp;INDEX(ポート振替表!$C$5:$C$3507,$L976)&amp;"  ⇔  "&amp;INDEX(ポート振替表!$H$5:$H$3507,$L976)&amp;" "&amp;INDEX(ポート振替表!$I$5:$I$3507,$L976))</f>
        <v/>
      </c>
      <c r="D976" s="57" t="s">
        <v>158</v>
      </c>
      <c r="E976" s="59" t="str">
        <f aca="false">IF(L976="","",IF(INDEX(ポート振替表!$O$5:$O$3507,$L976)="","(未設定)",INDEX(ポート振替表!$O$5:$O$3507,$L976)&amp;""))</f>
        <v/>
      </c>
      <c r="F976" s="52" t="str">
        <f aca="false">IF(L976="","",INDEX(ポート振替表!$K$5:$K$3507,$L976)&amp;" "&amp;INDEX(ポート振替表!$L$5:$L$3507,$L976)&amp;"  ⇔  "&amp;INDEX(ポート振替表!$H$5:$H$3507,$L976)&amp;" "&amp;INDEX(ポート振替表!$I$5:$I$3507,$L976))</f>
        <v/>
      </c>
      <c r="G976" s="57" t="s">
        <v>158</v>
      </c>
      <c r="H976" s="32" t="str">
        <f aca="false">IF(L976="","",INDEX(ポート振替表!$N$5:$N$3507,$L976)&amp;"")</f>
        <v/>
      </c>
      <c r="I976" s="32" t="str">
        <f aca="false">IF(L976="","",INDEX(ポート振替表!$P$5:$P$3507,$L976)&amp;"")</f>
        <v/>
      </c>
      <c r="J976" s="60" t="str">
        <f aca="false">IF(L976="","",INDEX(ポート振替表!$M$5:$M$3507,$L976)&amp;"")</f>
        <v/>
      </c>
      <c r="K976" s="52" t="str">
        <f aca="false">IF(L976="","",E976&amp;CHAR(10)&amp;INDEX(ポート振替表!$K$5:$K$3507,$L976)&amp;" "&amp;INDEX(ポート振替表!$L$5:$L$3507,$L976)&amp;CHAR(10)&amp;"⇔ "&amp;INDEX(ポート振替表!$H$5:$H$3507,$L976)&amp;" "&amp;INDEX(ポート振替表!$I$5:$I$3507,$L976))</f>
        <v/>
      </c>
      <c r="L976" s="47" t="str">
        <f aca="false">IFERROR(MATCH(ROW()-4,ポート振替表!$V$5:$V$3507,0),"")</f>
        <v/>
      </c>
    </row>
    <row r="977" customFormat="false" ht="16.4" hidden="false" customHeight="false" outlineLevel="0" collapsed="false">
      <c r="A977" s="32" t="str">
        <f aca="false">IF(L977="","",ROW()-4)</f>
        <v/>
      </c>
      <c r="B977" s="58" t="str">
        <f aca="false">IF(L977="","",IF(INDEX(ポート振替表!$W$5:$W$3507,$L977)="","(なし)",INDEX(ポート振替表!$W$5:$W$3507,$L977)&amp;""))</f>
        <v/>
      </c>
      <c r="C977" s="52" t="str">
        <f aca="false">IF(L977="","",INDEX(ポート振替表!$B$5:$B$3507,$L977)&amp;" "&amp;INDEX(ポート振替表!$C$5:$C$3507,$L977)&amp;"  ⇔  "&amp;INDEX(ポート振替表!$H$5:$H$3507,$L977)&amp;" "&amp;INDEX(ポート振替表!$I$5:$I$3507,$L977))</f>
        <v/>
      </c>
      <c r="D977" s="57" t="s">
        <v>158</v>
      </c>
      <c r="E977" s="59" t="str">
        <f aca="false">IF(L977="","",IF(INDEX(ポート振替表!$O$5:$O$3507,$L977)="","(未設定)",INDEX(ポート振替表!$O$5:$O$3507,$L977)&amp;""))</f>
        <v/>
      </c>
      <c r="F977" s="52" t="str">
        <f aca="false">IF(L977="","",INDEX(ポート振替表!$K$5:$K$3507,$L977)&amp;" "&amp;INDEX(ポート振替表!$L$5:$L$3507,$L977)&amp;"  ⇔  "&amp;INDEX(ポート振替表!$H$5:$H$3507,$L977)&amp;" "&amp;INDEX(ポート振替表!$I$5:$I$3507,$L977))</f>
        <v/>
      </c>
      <c r="G977" s="57" t="s">
        <v>158</v>
      </c>
      <c r="H977" s="32" t="str">
        <f aca="false">IF(L977="","",INDEX(ポート振替表!$N$5:$N$3507,$L977)&amp;"")</f>
        <v/>
      </c>
      <c r="I977" s="32" t="str">
        <f aca="false">IF(L977="","",INDEX(ポート振替表!$P$5:$P$3507,$L977)&amp;"")</f>
        <v/>
      </c>
      <c r="J977" s="60" t="str">
        <f aca="false">IF(L977="","",INDEX(ポート振替表!$M$5:$M$3507,$L977)&amp;"")</f>
        <v/>
      </c>
      <c r="K977" s="52" t="str">
        <f aca="false">IF(L977="","",E977&amp;CHAR(10)&amp;INDEX(ポート振替表!$K$5:$K$3507,$L977)&amp;" "&amp;INDEX(ポート振替表!$L$5:$L$3507,$L977)&amp;CHAR(10)&amp;"⇔ "&amp;INDEX(ポート振替表!$H$5:$H$3507,$L977)&amp;" "&amp;INDEX(ポート振替表!$I$5:$I$3507,$L977))</f>
        <v/>
      </c>
      <c r="L977" s="47" t="str">
        <f aca="false">IFERROR(MATCH(ROW()-4,ポート振替表!$V$5:$V$3507,0),"")</f>
        <v/>
      </c>
    </row>
    <row r="978" customFormat="false" ht="16.4" hidden="false" customHeight="false" outlineLevel="0" collapsed="false">
      <c r="A978" s="32" t="str">
        <f aca="false">IF(L978="","",ROW()-4)</f>
        <v/>
      </c>
      <c r="B978" s="58" t="str">
        <f aca="false">IF(L978="","",IF(INDEX(ポート振替表!$W$5:$W$3507,$L978)="","(なし)",INDEX(ポート振替表!$W$5:$W$3507,$L978)&amp;""))</f>
        <v/>
      </c>
      <c r="C978" s="52" t="str">
        <f aca="false">IF(L978="","",INDEX(ポート振替表!$B$5:$B$3507,$L978)&amp;" "&amp;INDEX(ポート振替表!$C$5:$C$3507,$L978)&amp;"  ⇔  "&amp;INDEX(ポート振替表!$H$5:$H$3507,$L978)&amp;" "&amp;INDEX(ポート振替表!$I$5:$I$3507,$L978))</f>
        <v/>
      </c>
      <c r="D978" s="57" t="s">
        <v>158</v>
      </c>
      <c r="E978" s="59" t="str">
        <f aca="false">IF(L978="","",IF(INDEX(ポート振替表!$O$5:$O$3507,$L978)="","(未設定)",INDEX(ポート振替表!$O$5:$O$3507,$L978)&amp;""))</f>
        <v/>
      </c>
      <c r="F978" s="52" t="str">
        <f aca="false">IF(L978="","",INDEX(ポート振替表!$K$5:$K$3507,$L978)&amp;" "&amp;INDEX(ポート振替表!$L$5:$L$3507,$L978)&amp;"  ⇔  "&amp;INDEX(ポート振替表!$H$5:$H$3507,$L978)&amp;" "&amp;INDEX(ポート振替表!$I$5:$I$3507,$L978))</f>
        <v/>
      </c>
      <c r="G978" s="57" t="s">
        <v>158</v>
      </c>
      <c r="H978" s="32" t="str">
        <f aca="false">IF(L978="","",INDEX(ポート振替表!$N$5:$N$3507,$L978)&amp;"")</f>
        <v/>
      </c>
      <c r="I978" s="32" t="str">
        <f aca="false">IF(L978="","",INDEX(ポート振替表!$P$5:$P$3507,$L978)&amp;"")</f>
        <v/>
      </c>
      <c r="J978" s="60" t="str">
        <f aca="false">IF(L978="","",INDEX(ポート振替表!$M$5:$M$3507,$L978)&amp;"")</f>
        <v/>
      </c>
      <c r="K978" s="52" t="str">
        <f aca="false">IF(L978="","",E978&amp;CHAR(10)&amp;INDEX(ポート振替表!$K$5:$K$3507,$L978)&amp;" "&amp;INDEX(ポート振替表!$L$5:$L$3507,$L978)&amp;CHAR(10)&amp;"⇔ "&amp;INDEX(ポート振替表!$H$5:$H$3507,$L978)&amp;" "&amp;INDEX(ポート振替表!$I$5:$I$3507,$L978))</f>
        <v/>
      </c>
      <c r="L978" s="47" t="str">
        <f aca="false">IFERROR(MATCH(ROW()-4,ポート振替表!$V$5:$V$3507,0),"")</f>
        <v/>
      </c>
    </row>
    <row r="979" customFormat="false" ht="16.4" hidden="false" customHeight="false" outlineLevel="0" collapsed="false">
      <c r="A979" s="32" t="str">
        <f aca="false">IF(L979="","",ROW()-4)</f>
        <v/>
      </c>
      <c r="B979" s="58" t="str">
        <f aca="false">IF(L979="","",IF(INDEX(ポート振替表!$W$5:$W$3507,$L979)="","(なし)",INDEX(ポート振替表!$W$5:$W$3507,$L979)&amp;""))</f>
        <v/>
      </c>
      <c r="C979" s="52" t="str">
        <f aca="false">IF(L979="","",INDEX(ポート振替表!$B$5:$B$3507,$L979)&amp;" "&amp;INDEX(ポート振替表!$C$5:$C$3507,$L979)&amp;"  ⇔  "&amp;INDEX(ポート振替表!$H$5:$H$3507,$L979)&amp;" "&amp;INDEX(ポート振替表!$I$5:$I$3507,$L979))</f>
        <v/>
      </c>
      <c r="D979" s="57" t="s">
        <v>158</v>
      </c>
      <c r="E979" s="59" t="str">
        <f aca="false">IF(L979="","",IF(INDEX(ポート振替表!$O$5:$O$3507,$L979)="","(未設定)",INDEX(ポート振替表!$O$5:$O$3507,$L979)&amp;""))</f>
        <v/>
      </c>
      <c r="F979" s="52" t="str">
        <f aca="false">IF(L979="","",INDEX(ポート振替表!$K$5:$K$3507,$L979)&amp;" "&amp;INDEX(ポート振替表!$L$5:$L$3507,$L979)&amp;"  ⇔  "&amp;INDEX(ポート振替表!$H$5:$H$3507,$L979)&amp;" "&amp;INDEX(ポート振替表!$I$5:$I$3507,$L979))</f>
        <v/>
      </c>
      <c r="G979" s="57" t="s">
        <v>158</v>
      </c>
      <c r="H979" s="32" t="str">
        <f aca="false">IF(L979="","",INDEX(ポート振替表!$N$5:$N$3507,$L979)&amp;"")</f>
        <v/>
      </c>
      <c r="I979" s="32" t="str">
        <f aca="false">IF(L979="","",INDEX(ポート振替表!$P$5:$P$3507,$L979)&amp;"")</f>
        <v/>
      </c>
      <c r="J979" s="60" t="str">
        <f aca="false">IF(L979="","",INDEX(ポート振替表!$M$5:$M$3507,$L979)&amp;"")</f>
        <v/>
      </c>
      <c r="K979" s="52" t="str">
        <f aca="false">IF(L979="","",E979&amp;CHAR(10)&amp;INDEX(ポート振替表!$K$5:$K$3507,$L979)&amp;" "&amp;INDEX(ポート振替表!$L$5:$L$3507,$L979)&amp;CHAR(10)&amp;"⇔ "&amp;INDEX(ポート振替表!$H$5:$H$3507,$L979)&amp;" "&amp;INDEX(ポート振替表!$I$5:$I$3507,$L979))</f>
        <v/>
      </c>
      <c r="L979" s="47" t="str">
        <f aca="false">IFERROR(MATCH(ROW()-4,ポート振替表!$V$5:$V$3507,0),"")</f>
        <v/>
      </c>
    </row>
    <row r="980" customFormat="false" ht="16.4" hidden="false" customHeight="false" outlineLevel="0" collapsed="false">
      <c r="A980" s="32" t="str">
        <f aca="false">IF(L980="","",ROW()-4)</f>
        <v/>
      </c>
      <c r="B980" s="58" t="str">
        <f aca="false">IF(L980="","",IF(INDEX(ポート振替表!$W$5:$W$3507,$L980)="","(なし)",INDEX(ポート振替表!$W$5:$W$3507,$L980)&amp;""))</f>
        <v/>
      </c>
      <c r="C980" s="52" t="str">
        <f aca="false">IF(L980="","",INDEX(ポート振替表!$B$5:$B$3507,$L980)&amp;" "&amp;INDEX(ポート振替表!$C$5:$C$3507,$L980)&amp;"  ⇔  "&amp;INDEX(ポート振替表!$H$5:$H$3507,$L980)&amp;" "&amp;INDEX(ポート振替表!$I$5:$I$3507,$L980))</f>
        <v/>
      </c>
      <c r="D980" s="57" t="s">
        <v>158</v>
      </c>
      <c r="E980" s="59" t="str">
        <f aca="false">IF(L980="","",IF(INDEX(ポート振替表!$O$5:$O$3507,$L980)="","(未設定)",INDEX(ポート振替表!$O$5:$O$3507,$L980)&amp;""))</f>
        <v/>
      </c>
      <c r="F980" s="52" t="str">
        <f aca="false">IF(L980="","",INDEX(ポート振替表!$K$5:$K$3507,$L980)&amp;" "&amp;INDEX(ポート振替表!$L$5:$L$3507,$L980)&amp;"  ⇔  "&amp;INDEX(ポート振替表!$H$5:$H$3507,$L980)&amp;" "&amp;INDEX(ポート振替表!$I$5:$I$3507,$L980))</f>
        <v/>
      </c>
      <c r="G980" s="57" t="s">
        <v>158</v>
      </c>
      <c r="H980" s="32" t="str">
        <f aca="false">IF(L980="","",INDEX(ポート振替表!$N$5:$N$3507,$L980)&amp;"")</f>
        <v/>
      </c>
      <c r="I980" s="32" t="str">
        <f aca="false">IF(L980="","",INDEX(ポート振替表!$P$5:$P$3507,$L980)&amp;"")</f>
        <v/>
      </c>
      <c r="J980" s="60" t="str">
        <f aca="false">IF(L980="","",INDEX(ポート振替表!$M$5:$M$3507,$L980)&amp;"")</f>
        <v/>
      </c>
      <c r="K980" s="52" t="str">
        <f aca="false">IF(L980="","",E980&amp;CHAR(10)&amp;INDEX(ポート振替表!$K$5:$K$3507,$L980)&amp;" "&amp;INDEX(ポート振替表!$L$5:$L$3507,$L980)&amp;CHAR(10)&amp;"⇔ "&amp;INDEX(ポート振替表!$H$5:$H$3507,$L980)&amp;" "&amp;INDEX(ポート振替表!$I$5:$I$3507,$L980))</f>
        <v/>
      </c>
      <c r="L980" s="47" t="str">
        <f aca="false">IFERROR(MATCH(ROW()-4,ポート振替表!$V$5:$V$3507,0),"")</f>
        <v/>
      </c>
    </row>
    <row r="981" customFormat="false" ht="16.4" hidden="false" customHeight="false" outlineLevel="0" collapsed="false">
      <c r="A981" s="32" t="str">
        <f aca="false">IF(L981="","",ROW()-4)</f>
        <v/>
      </c>
      <c r="B981" s="58" t="str">
        <f aca="false">IF(L981="","",IF(INDEX(ポート振替表!$W$5:$W$3507,$L981)="","(なし)",INDEX(ポート振替表!$W$5:$W$3507,$L981)&amp;""))</f>
        <v/>
      </c>
      <c r="C981" s="52" t="str">
        <f aca="false">IF(L981="","",INDEX(ポート振替表!$B$5:$B$3507,$L981)&amp;" "&amp;INDEX(ポート振替表!$C$5:$C$3507,$L981)&amp;"  ⇔  "&amp;INDEX(ポート振替表!$H$5:$H$3507,$L981)&amp;" "&amp;INDEX(ポート振替表!$I$5:$I$3507,$L981))</f>
        <v/>
      </c>
      <c r="D981" s="57" t="s">
        <v>158</v>
      </c>
      <c r="E981" s="59" t="str">
        <f aca="false">IF(L981="","",IF(INDEX(ポート振替表!$O$5:$O$3507,$L981)="","(未設定)",INDEX(ポート振替表!$O$5:$O$3507,$L981)&amp;""))</f>
        <v/>
      </c>
      <c r="F981" s="52" t="str">
        <f aca="false">IF(L981="","",INDEX(ポート振替表!$K$5:$K$3507,$L981)&amp;" "&amp;INDEX(ポート振替表!$L$5:$L$3507,$L981)&amp;"  ⇔  "&amp;INDEX(ポート振替表!$H$5:$H$3507,$L981)&amp;" "&amp;INDEX(ポート振替表!$I$5:$I$3507,$L981))</f>
        <v/>
      </c>
      <c r="G981" s="57" t="s">
        <v>158</v>
      </c>
      <c r="H981" s="32" t="str">
        <f aca="false">IF(L981="","",INDEX(ポート振替表!$N$5:$N$3507,$L981)&amp;"")</f>
        <v/>
      </c>
      <c r="I981" s="32" t="str">
        <f aca="false">IF(L981="","",INDEX(ポート振替表!$P$5:$P$3507,$L981)&amp;"")</f>
        <v/>
      </c>
      <c r="J981" s="60" t="str">
        <f aca="false">IF(L981="","",INDEX(ポート振替表!$M$5:$M$3507,$L981)&amp;"")</f>
        <v/>
      </c>
      <c r="K981" s="52" t="str">
        <f aca="false">IF(L981="","",E981&amp;CHAR(10)&amp;INDEX(ポート振替表!$K$5:$K$3507,$L981)&amp;" "&amp;INDEX(ポート振替表!$L$5:$L$3507,$L981)&amp;CHAR(10)&amp;"⇔ "&amp;INDEX(ポート振替表!$H$5:$H$3507,$L981)&amp;" "&amp;INDEX(ポート振替表!$I$5:$I$3507,$L981))</f>
        <v/>
      </c>
      <c r="L981" s="47" t="str">
        <f aca="false">IFERROR(MATCH(ROW()-4,ポート振替表!$V$5:$V$3507,0),"")</f>
        <v/>
      </c>
    </row>
    <row r="982" customFormat="false" ht="16.4" hidden="false" customHeight="false" outlineLevel="0" collapsed="false">
      <c r="A982" s="32" t="str">
        <f aca="false">IF(L982="","",ROW()-4)</f>
        <v/>
      </c>
      <c r="B982" s="58" t="str">
        <f aca="false">IF(L982="","",IF(INDEX(ポート振替表!$W$5:$W$3507,$L982)="","(なし)",INDEX(ポート振替表!$W$5:$W$3507,$L982)&amp;""))</f>
        <v/>
      </c>
      <c r="C982" s="52" t="str">
        <f aca="false">IF(L982="","",INDEX(ポート振替表!$B$5:$B$3507,$L982)&amp;" "&amp;INDEX(ポート振替表!$C$5:$C$3507,$L982)&amp;"  ⇔  "&amp;INDEX(ポート振替表!$H$5:$H$3507,$L982)&amp;" "&amp;INDEX(ポート振替表!$I$5:$I$3507,$L982))</f>
        <v/>
      </c>
      <c r="D982" s="57" t="s">
        <v>158</v>
      </c>
      <c r="E982" s="59" t="str">
        <f aca="false">IF(L982="","",IF(INDEX(ポート振替表!$O$5:$O$3507,$L982)="","(未設定)",INDEX(ポート振替表!$O$5:$O$3507,$L982)&amp;""))</f>
        <v/>
      </c>
      <c r="F982" s="52" t="str">
        <f aca="false">IF(L982="","",INDEX(ポート振替表!$K$5:$K$3507,$L982)&amp;" "&amp;INDEX(ポート振替表!$L$5:$L$3507,$L982)&amp;"  ⇔  "&amp;INDEX(ポート振替表!$H$5:$H$3507,$L982)&amp;" "&amp;INDEX(ポート振替表!$I$5:$I$3507,$L982))</f>
        <v/>
      </c>
      <c r="G982" s="57" t="s">
        <v>158</v>
      </c>
      <c r="H982" s="32" t="str">
        <f aca="false">IF(L982="","",INDEX(ポート振替表!$N$5:$N$3507,$L982)&amp;"")</f>
        <v/>
      </c>
      <c r="I982" s="32" t="str">
        <f aca="false">IF(L982="","",INDEX(ポート振替表!$P$5:$P$3507,$L982)&amp;"")</f>
        <v/>
      </c>
      <c r="J982" s="60" t="str">
        <f aca="false">IF(L982="","",INDEX(ポート振替表!$M$5:$M$3507,$L982)&amp;"")</f>
        <v/>
      </c>
      <c r="K982" s="52" t="str">
        <f aca="false">IF(L982="","",E982&amp;CHAR(10)&amp;INDEX(ポート振替表!$K$5:$K$3507,$L982)&amp;" "&amp;INDEX(ポート振替表!$L$5:$L$3507,$L982)&amp;CHAR(10)&amp;"⇔ "&amp;INDEX(ポート振替表!$H$5:$H$3507,$L982)&amp;" "&amp;INDEX(ポート振替表!$I$5:$I$3507,$L982))</f>
        <v/>
      </c>
      <c r="L982" s="47" t="str">
        <f aca="false">IFERROR(MATCH(ROW()-4,ポート振替表!$V$5:$V$3507,0),"")</f>
        <v/>
      </c>
    </row>
    <row r="983" customFormat="false" ht="16.4" hidden="false" customHeight="false" outlineLevel="0" collapsed="false">
      <c r="A983" s="32" t="str">
        <f aca="false">IF(L983="","",ROW()-4)</f>
        <v/>
      </c>
      <c r="B983" s="58" t="str">
        <f aca="false">IF(L983="","",IF(INDEX(ポート振替表!$W$5:$W$3507,$L983)="","(なし)",INDEX(ポート振替表!$W$5:$W$3507,$L983)&amp;""))</f>
        <v/>
      </c>
      <c r="C983" s="52" t="str">
        <f aca="false">IF(L983="","",INDEX(ポート振替表!$B$5:$B$3507,$L983)&amp;" "&amp;INDEX(ポート振替表!$C$5:$C$3507,$L983)&amp;"  ⇔  "&amp;INDEX(ポート振替表!$H$5:$H$3507,$L983)&amp;" "&amp;INDEX(ポート振替表!$I$5:$I$3507,$L983))</f>
        <v/>
      </c>
      <c r="D983" s="57" t="s">
        <v>158</v>
      </c>
      <c r="E983" s="59" t="str">
        <f aca="false">IF(L983="","",IF(INDEX(ポート振替表!$O$5:$O$3507,$L983)="","(未設定)",INDEX(ポート振替表!$O$5:$O$3507,$L983)&amp;""))</f>
        <v/>
      </c>
      <c r="F983" s="52" t="str">
        <f aca="false">IF(L983="","",INDEX(ポート振替表!$K$5:$K$3507,$L983)&amp;" "&amp;INDEX(ポート振替表!$L$5:$L$3507,$L983)&amp;"  ⇔  "&amp;INDEX(ポート振替表!$H$5:$H$3507,$L983)&amp;" "&amp;INDEX(ポート振替表!$I$5:$I$3507,$L983))</f>
        <v/>
      </c>
      <c r="G983" s="57" t="s">
        <v>158</v>
      </c>
      <c r="H983" s="32" t="str">
        <f aca="false">IF(L983="","",INDEX(ポート振替表!$N$5:$N$3507,$L983)&amp;"")</f>
        <v/>
      </c>
      <c r="I983" s="32" t="str">
        <f aca="false">IF(L983="","",INDEX(ポート振替表!$P$5:$P$3507,$L983)&amp;"")</f>
        <v/>
      </c>
      <c r="J983" s="60" t="str">
        <f aca="false">IF(L983="","",INDEX(ポート振替表!$M$5:$M$3507,$L983)&amp;"")</f>
        <v/>
      </c>
      <c r="K983" s="52" t="str">
        <f aca="false">IF(L983="","",E983&amp;CHAR(10)&amp;INDEX(ポート振替表!$K$5:$K$3507,$L983)&amp;" "&amp;INDEX(ポート振替表!$L$5:$L$3507,$L983)&amp;CHAR(10)&amp;"⇔ "&amp;INDEX(ポート振替表!$H$5:$H$3507,$L983)&amp;" "&amp;INDEX(ポート振替表!$I$5:$I$3507,$L983))</f>
        <v/>
      </c>
      <c r="L983" s="47" t="str">
        <f aca="false">IFERROR(MATCH(ROW()-4,ポート振替表!$V$5:$V$3507,0),"")</f>
        <v/>
      </c>
    </row>
    <row r="984" customFormat="false" ht="16.4" hidden="false" customHeight="false" outlineLevel="0" collapsed="false">
      <c r="A984" s="32" t="str">
        <f aca="false">IF(L984="","",ROW()-4)</f>
        <v/>
      </c>
      <c r="B984" s="58" t="str">
        <f aca="false">IF(L984="","",IF(INDEX(ポート振替表!$W$5:$W$3507,$L984)="","(なし)",INDEX(ポート振替表!$W$5:$W$3507,$L984)&amp;""))</f>
        <v/>
      </c>
      <c r="C984" s="52" t="str">
        <f aca="false">IF(L984="","",INDEX(ポート振替表!$B$5:$B$3507,$L984)&amp;" "&amp;INDEX(ポート振替表!$C$5:$C$3507,$L984)&amp;"  ⇔  "&amp;INDEX(ポート振替表!$H$5:$H$3507,$L984)&amp;" "&amp;INDEX(ポート振替表!$I$5:$I$3507,$L984))</f>
        <v/>
      </c>
      <c r="D984" s="57" t="s">
        <v>158</v>
      </c>
      <c r="E984" s="59" t="str">
        <f aca="false">IF(L984="","",IF(INDEX(ポート振替表!$O$5:$O$3507,$L984)="","(未設定)",INDEX(ポート振替表!$O$5:$O$3507,$L984)&amp;""))</f>
        <v/>
      </c>
      <c r="F984" s="52" t="str">
        <f aca="false">IF(L984="","",INDEX(ポート振替表!$K$5:$K$3507,$L984)&amp;" "&amp;INDEX(ポート振替表!$L$5:$L$3507,$L984)&amp;"  ⇔  "&amp;INDEX(ポート振替表!$H$5:$H$3507,$L984)&amp;" "&amp;INDEX(ポート振替表!$I$5:$I$3507,$L984))</f>
        <v/>
      </c>
      <c r="G984" s="57" t="s">
        <v>158</v>
      </c>
      <c r="H984" s="32" t="str">
        <f aca="false">IF(L984="","",INDEX(ポート振替表!$N$5:$N$3507,$L984)&amp;"")</f>
        <v/>
      </c>
      <c r="I984" s="32" t="str">
        <f aca="false">IF(L984="","",INDEX(ポート振替表!$P$5:$P$3507,$L984)&amp;"")</f>
        <v/>
      </c>
      <c r="J984" s="60" t="str">
        <f aca="false">IF(L984="","",INDEX(ポート振替表!$M$5:$M$3507,$L984)&amp;"")</f>
        <v/>
      </c>
      <c r="K984" s="52" t="str">
        <f aca="false">IF(L984="","",E984&amp;CHAR(10)&amp;INDEX(ポート振替表!$K$5:$K$3507,$L984)&amp;" "&amp;INDEX(ポート振替表!$L$5:$L$3507,$L984)&amp;CHAR(10)&amp;"⇔ "&amp;INDEX(ポート振替表!$H$5:$H$3507,$L984)&amp;" "&amp;INDEX(ポート振替表!$I$5:$I$3507,$L984))</f>
        <v/>
      </c>
      <c r="L984" s="47" t="str">
        <f aca="false">IFERROR(MATCH(ROW()-4,ポート振替表!$V$5:$V$3507,0),"")</f>
        <v/>
      </c>
    </row>
    <row r="985" customFormat="false" ht="16.4" hidden="false" customHeight="false" outlineLevel="0" collapsed="false">
      <c r="A985" s="32" t="str">
        <f aca="false">IF(L985="","",ROW()-4)</f>
        <v/>
      </c>
      <c r="B985" s="58" t="str">
        <f aca="false">IF(L985="","",IF(INDEX(ポート振替表!$W$5:$W$3507,$L985)="","(なし)",INDEX(ポート振替表!$W$5:$W$3507,$L985)&amp;""))</f>
        <v/>
      </c>
      <c r="C985" s="52" t="str">
        <f aca="false">IF(L985="","",INDEX(ポート振替表!$B$5:$B$3507,$L985)&amp;" "&amp;INDEX(ポート振替表!$C$5:$C$3507,$L985)&amp;"  ⇔  "&amp;INDEX(ポート振替表!$H$5:$H$3507,$L985)&amp;" "&amp;INDEX(ポート振替表!$I$5:$I$3507,$L985))</f>
        <v/>
      </c>
      <c r="D985" s="57" t="s">
        <v>158</v>
      </c>
      <c r="E985" s="59" t="str">
        <f aca="false">IF(L985="","",IF(INDEX(ポート振替表!$O$5:$O$3507,$L985)="","(未設定)",INDEX(ポート振替表!$O$5:$O$3507,$L985)&amp;""))</f>
        <v/>
      </c>
      <c r="F985" s="52" t="str">
        <f aca="false">IF(L985="","",INDEX(ポート振替表!$K$5:$K$3507,$L985)&amp;" "&amp;INDEX(ポート振替表!$L$5:$L$3507,$L985)&amp;"  ⇔  "&amp;INDEX(ポート振替表!$H$5:$H$3507,$L985)&amp;" "&amp;INDEX(ポート振替表!$I$5:$I$3507,$L985))</f>
        <v/>
      </c>
      <c r="G985" s="57" t="s">
        <v>158</v>
      </c>
      <c r="H985" s="32" t="str">
        <f aca="false">IF(L985="","",INDEX(ポート振替表!$N$5:$N$3507,$L985)&amp;"")</f>
        <v/>
      </c>
      <c r="I985" s="32" t="str">
        <f aca="false">IF(L985="","",INDEX(ポート振替表!$P$5:$P$3507,$L985)&amp;"")</f>
        <v/>
      </c>
      <c r="J985" s="60" t="str">
        <f aca="false">IF(L985="","",INDEX(ポート振替表!$M$5:$M$3507,$L985)&amp;"")</f>
        <v/>
      </c>
      <c r="K985" s="52" t="str">
        <f aca="false">IF(L985="","",E985&amp;CHAR(10)&amp;INDEX(ポート振替表!$K$5:$K$3507,$L985)&amp;" "&amp;INDEX(ポート振替表!$L$5:$L$3507,$L985)&amp;CHAR(10)&amp;"⇔ "&amp;INDEX(ポート振替表!$H$5:$H$3507,$L985)&amp;" "&amp;INDEX(ポート振替表!$I$5:$I$3507,$L985))</f>
        <v/>
      </c>
      <c r="L985" s="47" t="str">
        <f aca="false">IFERROR(MATCH(ROW()-4,ポート振替表!$V$5:$V$3507,0),"")</f>
        <v/>
      </c>
    </row>
    <row r="986" customFormat="false" ht="16.4" hidden="false" customHeight="false" outlineLevel="0" collapsed="false">
      <c r="A986" s="32" t="str">
        <f aca="false">IF(L986="","",ROW()-4)</f>
        <v/>
      </c>
      <c r="B986" s="58" t="str">
        <f aca="false">IF(L986="","",IF(INDEX(ポート振替表!$W$5:$W$3507,$L986)="","(なし)",INDEX(ポート振替表!$W$5:$W$3507,$L986)&amp;""))</f>
        <v/>
      </c>
      <c r="C986" s="52" t="str">
        <f aca="false">IF(L986="","",INDEX(ポート振替表!$B$5:$B$3507,$L986)&amp;" "&amp;INDEX(ポート振替表!$C$5:$C$3507,$L986)&amp;"  ⇔  "&amp;INDEX(ポート振替表!$H$5:$H$3507,$L986)&amp;" "&amp;INDEX(ポート振替表!$I$5:$I$3507,$L986))</f>
        <v/>
      </c>
      <c r="D986" s="57" t="s">
        <v>158</v>
      </c>
      <c r="E986" s="59" t="str">
        <f aca="false">IF(L986="","",IF(INDEX(ポート振替表!$O$5:$O$3507,$L986)="","(未設定)",INDEX(ポート振替表!$O$5:$O$3507,$L986)&amp;""))</f>
        <v/>
      </c>
      <c r="F986" s="52" t="str">
        <f aca="false">IF(L986="","",INDEX(ポート振替表!$K$5:$K$3507,$L986)&amp;" "&amp;INDEX(ポート振替表!$L$5:$L$3507,$L986)&amp;"  ⇔  "&amp;INDEX(ポート振替表!$H$5:$H$3507,$L986)&amp;" "&amp;INDEX(ポート振替表!$I$5:$I$3507,$L986))</f>
        <v/>
      </c>
      <c r="G986" s="57" t="s">
        <v>158</v>
      </c>
      <c r="H986" s="32" t="str">
        <f aca="false">IF(L986="","",INDEX(ポート振替表!$N$5:$N$3507,$L986)&amp;"")</f>
        <v/>
      </c>
      <c r="I986" s="32" t="str">
        <f aca="false">IF(L986="","",INDEX(ポート振替表!$P$5:$P$3507,$L986)&amp;"")</f>
        <v/>
      </c>
      <c r="J986" s="60" t="str">
        <f aca="false">IF(L986="","",INDEX(ポート振替表!$M$5:$M$3507,$L986)&amp;"")</f>
        <v/>
      </c>
      <c r="K986" s="52" t="str">
        <f aca="false">IF(L986="","",E986&amp;CHAR(10)&amp;INDEX(ポート振替表!$K$5:$K$3507,$L986)&amp;" "&amp;INDEX(ポート振替表!$L$5:$L$3507,$L986)&amp;CHAR(10)&amp;"⇔ "&amp;INDEX(ポート振替表!$H$5:$H$3507,$L986)&amp;" "&amp;INDEX(ポート振替表!$I$5:$I$3507,$L986))</f>
        <v/>
      </c>
      <c r="L986" s="47" t="str">
        <f aca="false">IFERROR(MATCH(ROW()-4,ポート振替表!$V$5:$V$3507,0),"")</f>
        <v/>
      </c>
    </row>
    <row r="987" customFormat="false" ht="16.4" hidden="false" customHeight="false" outlineLevel="0" collapsed="false">
      <c r="A987" s="32" t="str">
        <f aca="false">IF(L987="","",ROW()-4)</f>
        <v/>
      </c>
      <c r="B987" s="58" t="str">
        <f aca="false">IF(L987="","",IF(INDEX(ポート振替表!$W$5:$W$3507,$L987)="","(なし)",INDEX(ポート振替表!$W$5:$W$3507,$L987)&amp;""))</f>
        <v/>
      </c>
      <c r="C987" s="52" t="str">
        <f aca="false">IF(L987="","",INDEX(ポート振替表!$B$5:$B$3507,$L987)&amp;" "&amp;INDEX(ポート振替表!$C$5:$C$3507,$L987)&amp;"  ⇔  "&amp;INDEX(ポート振替表!$H$5:$H$3507,$L987)&amp;" "&amp;INDEX(ポート振替表!$I$5:$I$3507,$L987))</f>
        <v/>
      </c>
      <c r="D987" s="57" t="s">
        <v>158</v>
      </c>
      <c r="E987" s="59" t="str">
        <f aca="false">IF(L987="","",IF(INDEX(ポート振替表!$O$5:$O$3507,$L987)="","(未設定)",INDEX(ポート振替表!$O$5:$O$3507,$L987)&amp;""))</f>
        <v/>
      </c>
      <c r="F987" s="52" t="str">
        <f aca="false">IF(L987="","",INDEX(ポート振替表!$K$5:$K$3507,$L987)&amp;" "&amp;INDEX(ポート振替表!$L$5:$L$3507,$L987)&amp;"  ⇔  "&amp;INDEX(ポート振替表!$H$5:$H$3507,$L987)&amp;" "&amp;INDEX(ポート振替表!$I$5:$I$3507,$L987))</f>
        <v/>
      </c>
      <c r="G987" s="57" t="s">
        <v>158</v>
      </c>
      <c r="H987" s="32" t="str">
        <f aca="false">IF(L987="","",INDEX(ポート振替表!$N$5:$N$3507,$L987)&amp;"")</f>
        <v/>
      </c>
      <c r="I987" s="32" t="str">
        <f aca="false">IF(L987="","",INDEX(ポート振替表!$P$5:$P$3507,$L987)&amp;"")</f>
        <v/>
      </c>
      <c r="J987" s="60" t="str">
        <f aca="false">IF(L987="","",INDEX(ポート振替表!$M$5:$M$3507,$L987)&amp;"")</f>
        <v/>
      </c>
      <c r="K987" s="52" t="str">
        <f aca="false">IF(L987="","",E987&amp;CHAR(10)&amp;INDEX(ポート振替表!$K$5:$K$3507,$L987)&amp;" "&amp;INDEX(ポート振替表!$L$5:$L$3507,$L987)&amp;CHAR(10)&amp;"⇔ "&amp;INDEX(ポート振替表!$H$5:$H$3507,$L987)&amp;" "&amp;INDEX(ポート振替表!$I$5:$I$3507,$L987))</f>
        <v/>
      </c>
      <c r="L987" s="47" t="str">
        <f aca="false">IFERROR(MATCH(ROW()-4,ポート振替表!$V$5:$V$3507,0),"")</f>
        <v/>
      </c>
    </row>
    <row r="988" customFormat="false" ht="16.4" hidden="false" customHeight="false" outlineLevel="0" collapsed="false">
      <c r="A988" s="32" t="str">
        <f aca="false">IF(L988="","",ROW()-4)</f>
        <v/>
      </c>
      <c r="B988" s="58" t="str">
        <f aca="false">IF(L988="","",IF(INDEX(ポート振替表!$W$5:$W$3507,$L988)="","(なし)",INDEX(ポート振替表!$W$5:$W$3507,$L988)&amp;""))</f>
        <v/>
      </c>
      <c r="C988" s="52" t="str">
        <f aca="false">IF(L988="","",INDEX(ポート振替表!$B$5:$B$3507,$L988)&amp;" "&amp;INDEX(ポート振替表!$C$5:$C$3507,$L988)&amp;"  ⇔  "&amp;INDEX(ポート振替表!$H$5:$H$3507,$L988)&amp;" "&amp;INDEX(ポート振替表!$I$5:$I$3507,$L988))</f>
        <v/>
      </c>
      <c r="D988" s="57" t="s">
        <v>158</v>
      </c>
      <c r="E988" s="59" t="str">
        <f aca="false">IF(L988="","",IF(INDEX(ポート振替表!$O$5:$O$3507,$L988)="","(未設定)",INDEX(ポート振替表!$O$5:$O$3507,$L988)&amp;""))</f>
        <v/>
      </c>
      <c r="F988" s="52" t="str">
        <f aca="false">IF(L988="","",INDEX(ポート振替表!$K$5:$K$3507,$L988)&amp;" "&amp;INDEX(ポート振替表!$L$5:$L$3507,$L988)&amp;"  ⇔  "&amp;INDEX(ポート振替表!$H$5:$H$3507,$L988)&amp;" "&amp;INDEX(ポート振替表!$I$5:$I$3507,$L988))</f>
        <v/>
      </c>
      <c r="G988" s="57" t="s">
        <v>158</v>
      </c>
      <c r="H988" s="32" t="str">
        <f aca="false">IF(L988="","",INDEX(ポート振替表!$N$5:$N$3507,$L988)&amp;"")</f>
        <v/>
      </c>
      <c r="I988" s="32" t="str">
        <f aca="false">IF(L988="","",INDEX(ポート振替表!$P$5:$P$3507,$L988)&amp;"")</f>
        <v/>
      </c>
      <c r="J988" s="60" t="str">
        <f aca="false">IF(L988="","",INDEX(ポート振替表!$M$5:$M$3507,$L988)&amp;"")</f>
        <v/>
      </c>
      <c r="K988" s="52" t="str">
        <f aca="false">IF(L988="","",E988&amp;CHAR(10)&amp;INDEX(ポート振替表!$K$5:$K$3507,$L988)&amp;" "&amp;INDEX(ポート振替表!$L$5:$L$3507,$L988)&amp;CHAR(10)&amp;"⇔ "&amp;INDEX(ポート振替表!$H$5:$H$3507,$L988)&amp;" "&amp;INDEX(ポート振替表!$I$5:$I$3507,$L988))</f>
        <v/>
      </c>
      <c r="L988" s="47" t="str">
        <f aca="false">IFERROR(MATCH(ROW()-4,ポート振替表!$V$5:$V$3507,0),"")</f>
        <v/>
      </c>
    </row>
    <row r="989" customFormat="false" ht="16.4" hidden="false" customHeight="false" outlineLevel="0" collapsed="false">
      <c r="A989" s="32" t="str">
        <f aca="false">IF(L989="","",ROW()-4)</f>
        <v/>
      </c>
      <c r="B989" s="58" t="str">
        <f aca="false">IF(L989="","",IF(INDEX(ポート振替表!$W$5:$W$3507,$L989)="","(なし)",INDEX(ポート振替表!$W$5:$W$3507,$L989)&amp;""))</f>
        <v/>
      </c>
      <c r="C989" s="52" t="str">
        <f aca="false">IF(L989="","",INDEX(ポート振替表!$B$5:$B$3507,$L989)&amp;" "&amp;INDEX(ポート振替表!$C$5:$C$3507,$L989)&amp;"  ⇔  "&amp;INDEX(ポート振替表!$H$5:$H$3507,$L989)&amp;" "&amp;INDEX(ポート振替表!$I$5:$I$3507,$L989))</f>
        <v/>
      </c>
      <c r="D989" s="57" t="s">
        <v>158</v>
      </c>
      <c r="E989" s="59" t="str">
        <f aca="false">IF(L989="","",IF(INDEX(ポート振替表!$O$5:$O$3507,$L989)="","(未設定)",INDEX(ポート振替表!$O$5:$O$3507,$L989)&amp;""))</f>
        <v/>
      </c>
      <c r="F989" s="52" t="str">
        <f aca="false">IF(L989="","",INDEX(ポート振替表!$K$5:$K$3507,$L989)&amp;" "&amp;INDEX(ポート振替表!$L$5:$L$3507,$L989)&amp;"  ⇔  "&amp;INDEX(ポート振替表!$H$5:$H$3507,$L989)&amp;" "&amp;INDEX(ポート振替表!$I$5:$I$3507,$L989))</f>
        <v/>
      </c>
      <c r="G989" s="57" t="s">
        <v>158</v>
      </c>
      <c r="H989" s="32" t="str">
        <f aca="false">IF(L989="","",INDEX(ポート振替表!$N$5:$N$3507,$L989)&amp;"")</f>
        <v/>
      </c>
      <c r="I989" s="32" t="str">
        <f aca="false">IF(L989="","",INDEX(ポート振替表!$P$5:$P$3507,$L989)&amp;"")</f>
        <v/>
      </c>
      <c r="J989" s="60" t="str">
        <f aca="false">IF(L989="","",INDEX(ポート振替表!$M$5:$M$3507,$L989)&amp;"")</f>
        <v/>
      </c>
      <c r="K989" s="52" t="str">
        <f aca="false">IF(L989="","",E989&amp;CHAR(10)&amp;INDEX(ポート振替表!$K$5:$K$3507,$L989)&amp;" "&amp;INDEX(ポート振替表!$L$5:$L$3507,$L989)&amp;CHAR(10)&amp;"⇔ "&amp;INDEX(ポート振替表!$H$5:$H$3507,$L989)&amp;" "&amp;INDEX(ポート振替表!$I$5:$I$3507,$L989))</f>
        <v/>
      </c>
      <c r="L989" s="47" t="str">
        <f aca="false">IFERROR(MATCH(ROW()-4,ポート振替表!$V$5:$V$3507,0),"")</f>
        <v/>
      </c>
    </row>
    <row r="990" customFormat="false" ht="16.4" hidden="false" customHeight="false" outlineLevel="0" collapsed="false">
      <c r="A990" s="32" t="str">
        <f aca="false">IF(L990="","",ROW()-4)</f>
        <v/>
      </c>
      <c r="B990" s="58" t="str">
        <f aca="false">IF(L990="","",IF(INDEX(ポート振替表!$W$5:$W$3507,$L990)="","(なし)",INDEX(ポート振替表!$W$5:$W$3507,$L990)&amp;""))</f>
        <v/>
      </c>
      <c r="C990" s="52" t="str">
        <f aca="false">IF(L990="","",INDEX(ポート振替表!$B$5:$B$3507,$L990)&amp;" "&amp;INDEX(ポート振替表!$C$5:$C$3507,$L990)&amp;"  ⇔  "&amp;INDEX(ポート振替表!$H$5:$H$3507,$L990)&amp;" "&amp;INDEX(ポート振替表!$I$5:$I$3507,$L990))</f>
        <v/>
      </c>
      <c r="D990" s="57" t="s">
        <v>158</v>
      </c>
      <c r="E990" s="59" t="str">
        <f aca="false">IF(L990="","",IF(INDEX(ポート振替表!$O$5:$O$3507,$L990)="","(未設定)",INDEX(ポート振替表!$O$5:$O$3507,$L990)&amp;""))</f>
        <v/>
      </c>
      <c r="F990" s="52" t="str">
        <f aca="false">IF(L990="","",INDEX(ポート振替表!$K$5:$K$3507,$L990)&amp;" "&amp;INDEX(ポート振替表!$L$5:$L$3507,$L990)&amp;"  ⇔  "&amp;INDEX(ポート振替表!$H$5:$H$3507,$L990)&amp;" "&amp;INDEX(ポート振替表!$I$5:$I$3507,$L990))</f>
        <v/>
      </c>
      <c r="G990" s="57" t="s">
        <v>158</v>
      </c>
      <c r="H990" s="32" t="str">
        <f aca="false">IF(L990="","",INDEX(ポート振替表!$N$5:$N$3507,$L990)&amp;"")</f>
        <v/>
      </c>
      <c r="I990" s="32" t="str">
        <f aca="false">IF(L990="","",INDEX(ポート振替表!$P$5:$P$3507,$L990)&amp;"")</f>
        <v/>
      </c>
      <c r="J990" s="60" t="str">
        <f aca="false">IF(L990="","",INDEX(ポート振替表!$M$5:$M$3507,$L990)&amp;"")</f>
        <v/>
      </c>
      <c r="K990" s="52" t="str">
        <f aca="false">IF(L990="","",E990&amp;CHAR(10)&amp;INDEX(ポート振替表!$K$5:$K$3507,$L990)&amp;" "&amp;INDEX(ポート振替表!$L$5:$L$3507,$L990)&amp;CHAR(10)&amp;"⇔ "&amp;INDEX(ポート振替表!$H$5:$H$3507,$L990)&amp;" "&amp;INDEX(ポート振替表!$I$5:$I$3507,$L990))</f>
        <v/>
      </c>
      <c r="L990" s="47" t="str">
        <f aca="false">IFERROR(MATCH(ROW()-4,ポート振替表!$V$5:$V$3507,0),"")</f>
        <v/>
      </c>
    </row>
    <row r="991" customFormat="false" ht="16.4" hidden="false" customHeight="false" outlineLevel="0" collapsed="false">
      <c r="A991" s="32" t="str">
        <f aca="false">IF(L991="","",ROW()-4)</f>
        <v/>
      </c>
      <c r="B991" s="58" t="str">
        <f aca="false">IF(L991="","",IF(INDEX(ポート振替表!$W$5:$W$3507,$L991)="","(なし)",INDEX(ポート振替表!$W$5:$W$3507,$L991)&amp;""))</f>
        <v/>
      </c>
      <c r="C991" s="52" t="str">
        <f aca="false">IF(L991="","",INDEX(ポート振替表!$B$5:$B$3507,$L991)&amp;" "&amp;INDEX(ポート振替表!$C$5:$C$3507,$L991)&amp;"  ⇔  "&amp;INDEX(ポート振替表!$H$5:$H$3507,$L991)&amp;" "&amp;INDEX(ポート振替表!$I$5:$I$3507,$L991))</f>
        <v/>
      </c>
      <c r="D991" s="57" t="s">
        <v>158</v>
      </c>
      <c r="E991" s="59" t="str">
        <f aca="false">IF(L991="","",IF(INDEX(ポート振替表!$O$5:$O$3507,$L991)="","(未設定)",INDEX(ポート振替表!$O$5:$O$3507,$L991)&amp;""))</f>
        <v/>
      </c>
      <c r="F991" s="52" t="str">
        <f aca="false">IF(L991="","",INDEX(ポート振替表!$K$5:$K$3507,$L991)&amp;" "&amp;INDEX(ポート振替表!$L$5:$L$3507,$L991)&amp;"  ⇔  "&amp;INDEX(ポート振替表!$H$5:$H$3507,$L991)&amp;" "&amp;INDEX(ポート振替表!$I$5:$I$3507,$L991))</f>
        <v/>
      </c>
      <c r="G991" s="57" t="s">
        <v>158</v>
      </c>
      <c r="H991" s="32" t="str">
        <f aca="false">IF(L991="","",INDEX(ポート振替表!$N$5:$N$3507,$L991)&amp;"")</f>
        <v/>
      </c>
      <c r="I991" s="32" t="str">
        <f aca="false">IF(L991="","",INDEX(ポート振替表!$P$5:$P$3507,$L991)&amp;"")</f>
        <v/>
      </c>
      <c r="J991" s="60" t="str">
        <f aca="false">IF(L991="","",INDEX(ポート振替表!$M$5:$M$3507,$L991)&amp;"")</f>
        <v/>
      </c>
      <c r="K991" s="52" t="str">
        <f aca="false">IF(L991="","",E991&amp;CHAR(10)&amp;INDEX(ポート振替表!$K$5:$K$3507,$L991)&amp;" "&amp;INDEX(ポート振替表!$L$5:$L$3507,$L991)&amp;CHAR(10)&amp;"⇔ "&amp;INDEX(ポート振替表!$H$5:$H$3507,$L991)&amp;" "&amp;INDEX(ポート振替表!$I$5:$I$3507,$L991))</f>
        <v/>
      </c>
      <c r="L991" s="47" t="str">
        <f aca="false">IFERROR(MATCH(ROW()-4,ポート振替表!$V$5:$V$3507,0),"")</f>
        <v/>
      </c>
    </row>
    <row r="992" customFormat="false" ht="16.4" hidden="false" customHeight="false" outlineLevel="0" collapsed="false">
      <c r="A992" s="32" t="str">
        <f aca="false">IF(L992="","",ROW()-4)</f>
        <v/>
      </c>
      <c r="B992" s="58" t="str">
        <f aca="false">IF(L992="","",IF(INDEX(ポート振替表!$W$5:$W$3507,$L992)="","(なし)",INDEX(ポート振替表!$W$5:$W$3507,$L992)&amp;""))</f>
        <v/>
      </c>
      <c r="C992" s="52" t="str">
        <f aca="false">IF(L992="","",INDEX(ポート振替表!$B$5:$B$3507,$L992)&amp;" "&amp;INDEX(ポート振替表!$C$5:$C$3507,$L992)&amp;"  ⇔  "&amp;INDEX(ポート振替表!$H$5:$H$3507,$L992)&amp;" "&amp;INDEX(ポート振替表!$I$5:$I$3507,$L992))</f>
        <v/>
      </c>
      <c r="D992" s="57" t="s">
        <v>158</v>
      </c>
      <c r="E992" s="59" t="str">
        <f aca="false">IF(L992="","",IF(INDEX(ポート振替表!$O$5:$O$3507,$L992)="","(未設定)",INDEX(ポート振替表!$O$5:$O$3507,$L992)&amp;""))</f>
        <v/>
      </c>
      <c r="F992" s="52" t="str">
        <f aca="false">IF(L992="","",INDEX(ポート振替表!$K$5:$K$3507,$L992)&amp;" "&amp;INDEX(ポート振替表!$L$5:$L$3507,$L992)&amp;"  ⇔  "&amp;INDEX(ポート振替表!$H$5:$H$3507,$L992)&amp;" "&amp;INDEX(ポート振替表!$I$5:$I$3507,$L992))</f>
        <v/>
      </c>
      <c r="G992" s="57" t="s">
        <v>158</v>
      </c>
      <c r="H992" s="32" t="str">
        <f aca="false">IF(L992="","",INDEX(ポート振替表!$N$5:$N$3507,$L992)&amp;"")</f>
        <v/>
      </c>
      <c r="I992" s="32" t="str">
        <f aca="false">IF(L992="","",INDEX(ポート振替表!$P$5:$P$3507,$L992)&amp;"")</f>
        <v/>
      </c>
      <c r="J992" s="60" t="str">
        <f aca="false">IF(L992="","",INDEX(ポート振替表!$M$5:$M$3507,$L992)&amp;"")</f>
        <v/>
      </c>
      <c r="K992" s="52" t="str">
        <f aca="false">IF(L992="","",E992&amp;CHAR(10)&amp;INDEX(ポート振替表!$K$5:$K$3507,$L992)&amp;" "&amp;INDEX(ポート振替表!$L$5:$L$3507,$L992)&amp;CHAR(10)&amp;"⇔ "&amp;INDEX(ポート振替表!$H$5:$H$3507,$L992)&amp;" "&amp;INDEX(ポート振替表!$I$5:$I$3507,$L992))</f>
        <v/>
      </c>
      <c r="L992" s="47" t="str">
        <f aca="false">IFERROR(MATCH(ROW()-4,ポート振替表!$V$5:$V$3507,0),"")</f>
        <v/>
      </c>
    </row>
    <row r="993" customFormat="false" ht="16.4" hidden="false" customHeight="false" outlineLevel="0" collapsed="false">
      <c r="A993" s="32" t="str">
        <f aca="false">IF(L993="","",ROW()-4)</f>
        <v/>
      </c>
      <c r="B993" s="58" t="str">
        <f aca="false">IF(L993="","",IF(INDEX(ポート振替表!$W$5:$W$3507,$L993)="","(なし)",INDEX(ポート振替表!$W$5:$W$3507,$L993)&amp;""))</f>
        <v/>
      </c>
      <c r="C993" s="52" t="str">
        <f aca="false">IF(L993="","",INDEX(ポート振替表!$B$5:$B$3507,$L993)&amp;" "&amp;INDEX(ポート振替表!$C$5:$C$3507,$L993)&amp;"  ⇔  "&amp;INDEX(ポート振替表!$H$5:$H$3507,$L993)&amp;" "&amp;INDEX(ポート振替表!$I$5:$I$3507,$L993))</f>
        <v/>
      </c>
      <c r="D993" s="57" t="s">
        <v>158</v>
      </c>
      <c r="E993" s="59" t="str">
        <f aca="false">IF(L993="","",IF(INDEX(ポート振替表!$O$5:$O$3507,$L993)="","(未設定)",INDEX(ポート振替表!$O$5:$O$3507,$L993)&amp;""))</f>
        <v/>
      </c>
      <c r="F993" s="52" t="str">
        <f aca="false">IF(L993="","",INDEX(ポート振替表!$K$5:$K$3507,$L993)&amp;" "&amp;INDEX(ポート振替表!$L$5:$L$3507,$L993)&amp;"  ⇔  "&amp;INDEX(ポート振替表!$H$5:$H$3507,$L993)&amp;" "&amp;INDEX(ポート振替表!$I$5:$I$3507,$L993))</f>
        <v/>
      </c>
      <c r="G993" s="57" t="s">
        <v>158</v>
      </c>
      <c r="H993" s="32" t="str">
        <f aca="false">IF(L993="","",INDEX(ポート振替表!$N$5:$N$3507,$L993)&amp;"")</f>
        <v/>
      </c>
      <c r="I993" s="32" t="str">
        <f aca="false">IF(L993="","",INDEX(ポート振替表!$P$5:$P$3507,$L993)&amp;"")</f>
        <v/>
      </c>
      <c r="J993" s="60" t="str">
        <f aca="false">IF(L993="","",INDEX(ポート振替表!$M$5:$M$3507,$L993)&amp;"")</f>
        <v/>
      </c>
      <c r="K993" s="52" t="str">
        <f aca="false">IF(L993="","",E993&amp;CHAR(10)&amp;INDEX(ポート振替表!$K$5:$K$3507,$L993)&amp;" "&amp;INDEX(ポート振替表!$L$5:$L$3507,$L993)&amp;CHAR(10)&amp;"⇔ "&amp;INDEX(ポート振替表!$H$5:$H$3507,$L993)&amp;" "&amp;INDEX(ポート振替表!$I$5:$I$3507,$L993))</f>
        <v/>
      </c>
      <c r="L993" s="47" t="str">
        <f aca="false">IFERROR(MATCH(ROW()-4,ポート振替表!$V$5:$V$3507,0),"")</f>
        <v/>
      </c>
    </row>
    <row r="994" customFormat="false" ht="16.4" hidden="false" customHeight="false" outlineLevel="0" collapsed="false">
      <c r="A994" s="32" t="str">
        <f aca="false">IF(L994="","",ROW()-4)</f>
        <v/>
      </c>
      <c r="B994" s="58" t="str">
        <f aca="false">IF(L994="","",IF(INDEX(ポート振替表!$W$5:$W$3507,$L994)="","(なし)",INDEX(ポート振替表!$W$5:$W$3507,$L994)&amp;""))</f>
        <v/>
      </c>
      <c r="C994" s="52" t="str">
        <f aca="false">IF(L994="","",INDEX(ポート振替表!$B$5:$B$3507,$L994)&amp;" "&amp;INDEX(ポート振替表!$C$5:$C$3507,$L994)&amp;"  ⇔  "&amp;INDEX(ポート振替表!$H$5:$H$3507,$L994)&amp;" "&amp;INDEX(ポート振替表!$I$5:$I$3507,$L994))</f>
        <v/>
      </c>
      <c r="D994" s="57" t="s">
        <v>158</v>
      </c>
      <c r="E994" s="59" t="str">
        <f aca="false">IF(L994="","",IF(INDEX(ポート振替表!$O$5:$O$3507,$L994)="","(未設定)",INDEX(ポート振替表!$O$5:$O$3507,$L994)&amp;""))</f>
        <v/>
      </c>
      <c r="F994" s="52" t="str">
        <f aca="false">IF(L994="","",INDEX(ポート振替表!$K$5:$K$3507,$L994)&amp;" "&amp;INDEX(ポート振替表!$L$5:$L$3507,$L994)&amp;"  ⇔  "&amp;INDEX(ポート振替表!$H$5:$H$3507,$L994)&amp;" "&amp;INDEX(ポート振替表!$I$5:$I$3507,$L994))</f>
        <v/>
      </c>
      <c r="G994" s="57" t="s">
        <v>158</v>
      </c>
      <c r="H994" s="32" t="str">
        <f aca="false">IF(L994="","",INDEX(ポート振替表!$N$5:$N$3507,$L994)&amp;"")</f>
        <v/>
      </c>
      <c r="I994" s="32" t="str">
        <f aca="false">IF(L994="","",INDEX(ポート振替表!$P$5:$P$3507,$L994)&amp;"")</f>
        <v/>
      </c>
      <c r="J994" s="60" t="str">
        <f aca="false">IF(L994="","",INDEX(ポート振替表!$M$5:$M$3507,$L994)&amp;"")</f>
        <v/>
      </c>
      <c r="K994" s="52" t="str">
        <f aca="false">IF(L994="","",E994&amp;CHAR(10)&amp;INDEX(ポート振替表!$K$5:$K$3507,$L994)&amp;" "&amp;INDEX(ポート振替表!$L$5:$L$3507,$L994)&amp;CHAR(10)&amp;"⇔ "&amp;INDEX(ポート振替表!$H$5:$H$3507,$L994)&amp;" "&amp;INDEX(ポート振替表!$I$5:$I$3507,$L994))</f>
        <v/>
      </c>
      <c r="L994" s="47" t="str">
        <f aca="false">IFERROR(MATCH(ROW()-4,ポート振替表!$V$5:$V$3507,0),"")</f>
        <v/>
      </c>
    </row>
    <row r="995" customFormat="false" ht="16.4" hidden="false" customHeight="false" outlineLevel="0" collapsed="false">
      <c r="A995" s="32" t="str">
        <f aca="false">IF(L995="","",ROW()-4)</f>
        <v/>
      </c>
      <c r="B995" s="58" t="str">
        <f aca="false">IF(L995="","",IF(INDEX(ポート振替表!$W$5:$W$3507,$L995)="","(なし)",INDEX(ポート振替表!$W$5:$W$3507,$L995)&amp;""))</f>
        <v/>
      </c>
      <c r="C995" s="52" t="str">
        <f aca="false">IF(L995="","",INDEX(ポート振替表!$B$5:$B$3507,$L995)&amp;" "&amp;INDEX(ポート振替表!$C$5:$C$3507,$L995)&amp;"  ⇔  "&amp;INDEX(ポート振替表!$H$5:$H$3507,$L995)&amp;" "&amp;INDEX(ポート振替表!$I$5:$I$3507,$L995))</f>
        <v/>
      </c>
      <c r="D995" s="57" t="s">
        <v>158</v>
      </c>
      <c r="E995" s="59" t="str">
        <f aca="false">IF(L995="","",IF(INDEX(ポート振替表!$O$5:$O$3507,$L995)="","(未設定)",INDEX(ポート振替表!$O$5:$O$3507,$L995)&amp;""))</f>
        <v/>
      </c>
      <c r="F995" s="52" t="str">
        <f aca="false">IF(L995="","",INDEX(ポート振替表!$K$5:$K$3507,$L995)&amp;" "&amp;INDEX(ポート振替表!$L$5:$L$3507,$L995)&amp;"  ⇔  "&amp;INDEX(ポート振替表!$H$5:$H$3507,$L995)&amp;" "&amp;INDEX(ポート振替表!$I$5:$I$3507,$L995))</f>
        <v/>
      </c>
      <c r="G995" s="57" t="s">
        <v>158</v>
      </c>
      <c r="H995" s="32" t="str">
        <f aca="false">IF(L995="","",INDEX(ポート振替表!$N$5:$N$3507,$L995)&amp;"")</f>
        <v/>
      </c>
      <c r="I995" s="32" t="str">
        <f aca="false">IF(L995="","",INDEX(ポート振替表!$P$5:$P$3507,$L995)&amp;"")</f>
        <v/>
      </c>
      <c r="J995" s="60" t="str">
        <f aca="false">IF(L995="","",INDEX(ポート振替表!$M$5:$M$3507,$L995)&amp;"")</f>
        <v/>
      </c>
      <c r="K995" s="52" t="str">
        <f aca="false">IF(L995="","",E995&amp;CHAR(10)&amp;INDEX(ポート振替表!$K$5:$K$3507,$L995)&amp;" "&amp;INDEX(ポート振替表!$L$5:$L$3507,$L995)&amp;CHAR(10)&amp;"⇔ "&amp;INDEX(ポート振替表!$H$5:$H$3507,$L995)&amp;" "&amp;INDEX(ポート振替表!$I$5:$I$3507,$L995))</f>
        <v/>
      </c>
      <c r="L995" s="47" t="str">
        <f aca="false">IFERROR(MATCH(ROW()-4,ポート振替表!$V$5:$V$3507,0),"")</f>
        <v/>
      </c>
    </row>
    <row r="996" customFormat="false" ht="16.4" hidden="false" customHeight="false" outlineLevel="0" collapsed="false">
      <c r="A996" s="32" t="str">
        <f aca="false">IF(L996="","",ROW()-4)</f>
        <v/>
      </c>
      <c r="B996" s="58" t="str">
        <f aca="false">IF(L996="","",IF(INDEX(ポート振替表!$W$5:$W$3507,$L996)="","(なし)",INDEX(ポート振替表!$W$5:$W$3507,$L996)&amp;""))</f>
        <v/>
      </c>
      <c r="C996" s="52" t="str">
        <f aca="false">IF(L996="","",INDEX(ポート振替表!$B$5:$B$3507,$L996)&amp;" "&amp;INDEX(ポート振替表!$C$5:$C$3507,$L996)&amp;"  ⇔  "&amp;INDEX(ポート振替表!$H$5:$H$3507,$L996)&amp;" "&amp;INDEX(ポート振替表!$I$5:$I$3507,$L996))</f>
        <v/>
      </c>
      <c r="D996" s="57" t="s">
        <v>158</v>
      </c>
      <c r="E996" s="59" t="str">
        <f aca="false">IF(L996="","",IF(INDEX(ポート振替表!$O$5:$O$3507,$L996)="","(未設定)",INDEX(ポート振替表!$O$5:$O$3507,$L996)&amp;""))</f>
        <v/>
      </c>
      <c r="F996" s="52" t="str">
        <f aca="false">IF(L996="","",INDEX(ポート振替表!$K$5:$K$3507,$L996)&amp;" "&amp;INDEX(ポート振替表!$L$5:$L$3507,$L996)&amp;"  ⇔  "&amp;INDEX(ポート振替表!$H$5:$H$3507,$L996)&amp;" "&amp;INDEX(ポート振替表!$I$5:$I$3507,$L996))</f>
        <v/>
      </c>
      <c r="G996" s="57" t="s">
        <v>158</v>
      </c>
      <c r="H996" s="32" t="str">
        <f aca="false">IF(L996="","",INDEX(ポート振替表!$N$5:$N$3507,$L996)&amp;"")</f>
        <v/>
      </c>
      <c r="I996" s="32" t="str">
        <f aca="false">IF(L996="","",INDEX(ポート振替表!$P$5:$P$3507,$L996)&amp;"")</f>
        <v/>
      </c>
      <c r="J996" s="60" t="str">
        <f aca="false">IF(L996="","",INDEX(ポート振替表!$M$5:$M$3507,$L996)&amp;"")</f>
        <v/>
      </c>
      <c r="K996" s="52" t="str">
        <f aca="false">IF(L996="","",E996&amp;CHAR(10)&amp;INDEX(ポート振替表!$K$5:$K$3507,$L996)&amp;" "&amp;INDEX(ポート振替表!$L$5:$L$3507,$L996)&amp;CHAR(10)&amp;"⇔ "&amp;INDEX(ポート振替表!$H$5:$H$3507,$L996)&amp;" "&amp;INDEX(ポート振替表!$I$5:$I$3507,$L996))</f>
        <v/>
      </c>
      <c r="L996" s="47" t="str">
        <f aca="false">IFERROR(MATCH(ROW()-4,ポート振替表!$V$5:$V$3507,0),"")</f>
        <v/>
      </c>
    </row>
    <row r="997" customFormat="false" ht="16.4" hidden="false" customHeight="false" outlineLevel="0" collapsed="false">
      <c r="A997" s="32" t="str">
        <f aca="false">IF(L997="","",ROW()-4)</f>
        <v/>
      </c>
      <c r="B997" s="58" t="str">
        <f aca="false">IF(L997="","",IF(INDEX(ポート振替表!$W$5:$W$3507,$L997)="","(なし)",INDEX(ポート振替表!$W$5:$W$3507,$L997)&amp;""))</f>
        <v/>
      </c>
      <c r="C997" s="52" t="str">
        <f aca="false">IF(L997="","",INDEX(ポート振替表!$B$5:$B$3507,$L997)&amp;" "&amp;INDEX(ポート振替表!$C$5:$C$3507,$L997)&amp;"  ⇔  "&amp;INDEX(ポート振替表!$H$5:$H$3507,$L997)&amp;" "&amp;INDEX(ポート振替表!$I$5:$I$3507,$L997))</f>
        <v/>
      </c>
      <c r="D997" s="57" t="s">
        <v>158</v>
      </c>
      <c r="E997" s="59" t="str">
        <f aca="false">IF(L997="","",IF(INDEX(ポート振替表!$O$5:$O$3507,$L997)="","(未設定)",INDEX(ポート振替表!$O$5:$O$3507,$L997)&amp;""))</f>
        <v/>
      </c>
      <c r="F997" s="52" t="str">
        <f aca="false">IF(L997="","",INDEX(ポート振替表!$K$5:$K$3507,$L997)&amp;" "&amp;INDEX(ポート振替表!$L$5:$L$3507,$L997)&amp;"  ⇔  "&amp;INDEX(ポート振替表!$H$5:$H$3507,$L997)&amp;" "&amp;INDEX(ポート振替表!$I$5:$I$3507,$L997))</f>
        <v/>
      </c>
      <c r="G997" s="57" t="s">
        <v>158</v>
      </c>
      <c r="H997" s="32" t="str">
        <f aca="false">IF(L997="","",INDEX(ポート振替表!$N$5:$N$3507,$L997)&amp;"")</f>
        <v/>
      </c>
      <c r="I997" s="32" t="str">
        <f aca="false">IF(L997="","",INDEX(ポート振替表!$P$5:$P$3507,$L997)&amp;"")</f>
        <v/>
      </c>
      <c r="J997" s="60" t="str">
        <f aca="false">IF(L997="","",INDEX(ポート振替表!$M$5:$M$3507,$L997)&amp;"")</f>
        <v/>
      </c>
      <c r="K997" s="52" t="str">
        <f aca="false">IF(L997="","",E997&amp;CHAR(10)&amp;INDEX(ポート振替表!$K$5:$K$3507,$L997)&amp;" "&amp;INDEX(ポート振替表!$L$5:$L$3507,$L997)&amp;CHAR(10)&amp;"⇔ "&amp;INDEX(ポート振替表!$H$5:$H$3507,$L997)&amp;" "&amp;INDEX(ポート振替表!$I$5:$I$3507,$L997))</f>
        <v/>
      </c>
      <c r="L997" s="47" t="str">
        <f aca="false">IFERROR(MATCH(ROW()-4,ポート振替表!$V$5:$V$3507,0),"")</f>
        <v/>
      </c>
    </row>
    <row r="998" customFormat="false" ht="16.4" hidden="false" customHeight="false" outlineLevel="0" collapsed="false">
      <c r="A998" s="32" t="str">
        <f aca="false">IF(L998="","",ROW()-4)</f>
        <v/>
      </c>
      <c r="B998" s="58" t="str">
        <f aca="false">IF(L998="","",IF(INDEX(ポート振替表!$W$5:$W$3507,$L998)="","(なし)",INDEX(ポート振替表!$W$5:$W$3507,$L998)&amp;""))</f>
        <v/>
      </c>
      <c r="C998" s="52" t="str">
        <f aca="false">IF(L998="","",INDEX(ポート振替表!$B$5:$B$3507,$L998)&amp;" "&amp;INDEX(ポート振替表!$C$5:$C$3507,$L998)&amp;"  ⇔  "&amp;INDEX(ポート振替表!$H$5:$H$3507,$L998)&amp;" "&amp;INDEX(ポート振替表!$I$5:$I$3507,$L998))</f>
        <v/>
      </c>
      <c r="D998" s="57" t="s">
        <v>158</v>
      </c>
      <c r="E998" s="59" t="str">
        <f aca="false">IF(L998="","",IF(INDEX(ポート振替表!$O$5:$O$3507,$L998)="","(未設定)",INDEX(ポート振替表!$O$5:$O$3507,$L998)&amp;""))</f>
        <v/>
      </c>
      <c r="F998" s="52" t="str">
        <f aca="false">IF(L998="","",INDEX(ポート振替表!$K$5:$K$3507,$L998)&amp;" "&amp;INDEX(ポート振替表!$L$5:$L$3507,$L998)&amp;"  ⇔  "&amp;INDEX(ポート振替表!$H$5:$H$3507,$L998)&amp;" "&amp;INDEX(ポート振替表!$I$5:$I$3507,$L998))</f>
        <v/>
      </c>
      <c r="G998" s="57" t="s">
        <v>158</v>
      </c>
      <c r="H998" s="32" t="str">
        <f aca="false">IF(L998="","",INDEX(ポート振替表!$N$5:$N$3507,$L998)&amp;"")</f>
        <v/>
      </c>
      <c r="I998" s="32" t="str">
        <f aca="false">IF(L998="","",INDEX(ポート振替表!$P$5:$P$3507,$L998)&amp;"")</f>
        <v/>
      </c>
      <c r="J998" s="60" t="str">
        <f aca="false">IF(L998="","",INDEX(ポート振替表!$M$5:$M$3507,$L998)&amp;"")</f>
        <v/>
      </c>
      <c r="K998" s="52" t="str">
        <f aca="false">IF(L998="","",E998&amp;CHAR(10)&amp;INDEX(ポート振替表!$K$5:$K$3507,$L998)&amp;" "&amp;INDEX(ポート振替表!$L$5:$L$3507,$L998)&amp;CHAR(10)&amp;"⇔ "&amp;INDEX(ポート振替表!$H$5:$H$3507,$L998)&amp;" "&amp;INDEX(ポート振替表!$I$5:$I$3507,$L998))</f>
        <v/>
      </c>
      <c r="L998" s="47" t="str">
        <f aca="false">IFERROR(MATCH(ROW()-4,ポート振替表!$V$5:$V$3507,0),"")</f>
        <v/>
      </c>
    </row>
    <row r="999" customFormat="false" ht="16.4" hidden="false" customHeight="false" outlineLevel="0" collapsed="false">
      <c r="A999" s="32" t="str">
        <f aca="false">IF(L999="","",ROW()-4)</f>
        <v/>
      </c>
      <c r="B999" s="58" t="str">
        <f aca="false">IF(L999="","",IF(INDEX(ポート振替表!$W$5:$W$3507,$L999)="","(なし)",INDEX(ポート振替表!$W$5:$W$3507,$L999)&amp;""))</f>
        <v/>
      </c>
      <c r="C999" s="52" t="str">
        <f aca="false">IF(L999="","",INDEX(ポート振替表!$B$5:$B$3507,$L999)&amp;" "&amp;INDEX(ポート振替表!$C$5:$C$3507,$L999)&amp;"  ⇔  "&amp;INDEX(ポート振替表!$H$5:$H$3507,$L999)&amp;" "&amp;INDEX(ポート振替表!$I$5:$I$3507,$L999))</f>
        <v/>
      </c>
      <c r="D999" s="57" t="s">
        <v>158</v>
      </c>
      <c r="E999" s="59" t="str">
        <f aca="false">IF(L999="","",IF(INDEX(ポート振替表!$O$5:$O$3507,$L999)="","(未設定)",INDEX(ポート振替表!$O$5:$O$3507,$L999)&amp;""))</f>
        <v/>
      </c>
      <c r="F999" s="52" t="str">
        <f aca="false">IF(L999="","",INDEX(ポート振替表!$K$5:$K$3507,$L999)&amp;" "&amp;INDEX(ポート振替表!$L$5:$L$3507,$L999)&amp;"  ⇔  "&amp;INDEX(ポート振替表!$H$5:$H$3507,$L999)&amp;" "&amp;INDEX(ポート振替表!$I$5:$I$3507,$L999))</f>
        <v/>
      </c>
      <c r="G999" s="57" t="s">
        <v>158</v>
      </c>
      <c r="H999" s="32" t="str">
        <f aca="false">IF(L999="","",INDEX(ポート振替表!$N$5:$N$3507,$L999)&amp;"")</f>
        <v/>
      </c>
      <c r="I999" s="32" t="str">
        <f aca="false">IF(L999="","",INDEX(ポート振替表!$P$5:$P$3507,$L999)&amp;"")</f>
        <v/>
      </c>
      <c r="J999" s="60" t="str">
        <f aca="false">IF(L999="","",INDEX(ポート振替表!$M$5:$M$3507,$L999)&amp;"")</f>
        <v/>
      </c>
      <c r="K999" s="52" t="str">
        <f aca="false">IF(L999="","",E999&amp;CHAR(10)&amp;INDEX(ポート振替表!$K$5:$K$3507,$L999)&amp;" "&amp;INDEX(ポート振替表!$L$5:$L$3507,$L999)&amp;CHAR(10)&amp;"⇔ "&amp;INDEX(ポート振替表!$H$5:$H$3507,$L999)&amp;" "&amp;INDEX(ポート振替表!$I$5:$I$3507,$L999))</f>
        <v/>
      </c>
      <c r="L999" s="47" t="str">
        <f aca="false">IFERROR(MATCH(ROW()-4,ポート振替表!$V$5:$V$3507,0),"")</f>
        <v/>
      </c>
    </row>
    <row r="1000" customFormat="false" ht="16.4" hidden="false" customHeight="false" outlineLevel="0" collapsed="false">
      <c r="A1000" s="32" t="str">
        <f aca="false">IF(L1000="","",ROW()-4)</f>
        <v/>
      </c>
      <c r="B1000" s="58" t="str">
        <f aca="false">IF(L1000="","",IF(INDEX(ポート振替表!$W$5:$W$3507,$L1000)="","(なし)",INDEX(ポート振替表!$W$5:$W$3507,$L1000)&amp;""))</f>
        <v/>
      </c>
      <c r="C1000" s="52" t="str">
        <f aca="false">IF(L1000="","",INDEX(ポート振替表!$B$5:$B$3507,$L1000)&amp;" "&amp;INDEX(ポート振替表!$C$5:$C$3507,$L1000)&amp;"  ⇔  "&amp;INDEX(ポート振替表!$H$5:$H$3507,$L1000)&amp;" "&amp;INDEX(ポート振替表!$I$5:$I$3507,$L1000))</f>
        <v/>
      </c>
      <c r="D1000" s="57" t="s">
        <v>158</v>
      </c>
      <c r="E1000" s="59" t="str">
        <f aca="false">IF(L1000="","",IF(INDEX(ポート振替表!$O$5:$O$3507,$L1000)="","(未設定)",INDEX(ポート振替表!$O$5:$O$3507,$L1000)&amp;""))</f>
        <v/>
      </c>
      <c r="F1000" s="52" t="str">
        <f aca="false">IF(L1000="","",INDEX(ポート振替表!$K$5:$K$3507,$L1000)&amp;" "&amp;INDEX(ポート振替表!$L$5:$L$3507,$L1000)&amp;"  ⇔  "&amp;INDEX(ポート振替表!$H$5:$H$3507,$L1000)&amp;" "&amp;INDEX(ポート振替表!$I$5:$I$3507,$L1000))</f>
        <v/>
      </c>
      <c r="G1000" s="57" t="s">
        <v>158</v>
      </c>
      <c r="H1000" s="32" t="str">
        <f aca="false">IF(L1000="","",INDEX(ポート振替表!$N$5:$N$3507,$L1000)&amp;"")</f>
        <v/>
      </c>
      <c r="I1000" s="32" t="str">
        <f aca="false">IF(L1000="","",INDEX(ポート振替表!$P$5:$P$3507,$L1000)&amp;"")</f>
        <v/>
      </c>
      <c r="J1000" s="60" t="str">
        <f aca="false">IF(L1000="","",INDEX(ポート振替表!$M$5:$M$3507,$L1000)&amp;"")</f>
        <v/>
      </c>
      <c r="K1000" s="52" t="str">
        <f aca="false">IF(L1000="","",E1000&amp;CHAR(10)&amp;INDEX(ポート振替表!$K$5:$K$3507,$L1000)&amp;" "&amp;INDEX(ポート振替表!$L$5:$L$3507,$L1000)&amp;CHAR(10)&amp;"⇔ "&amp;INDEX(ポート振替表!$H$5:$H$3507,$L1000)&amp;" "&amp;INDEX(ポート振替表!$I$5:$I$3507,$L1000))</f>
        <v/>
      </c>
      <c r="L1000" s="47" t="str">
        <f aca="false">IFERROR(MATCH(ROW()-4,ポート振替表!$V$5:$V$3507,0),"")</f>
        <v/>
      </c>
    </row>
    <row r="1001" customFormat="false" ht="16.4" hidden="false" customHeight="false" outlineLevel="0" collapsed="false">
      <c r="A1001" s="32" t="str">
        <f aca="false">IF(L1001="","",ROW()-4)</f>
        <v/>
      </c>
      <c r="B1001" s="58" t="str">
        <f aca="false">IF(L1001="","",IF(INDEX(ポート振替表!$W$5:$W$3507,$L1001)="","(なし)",INDEX(ポート振替表!$W$5:$W$3507,$L1001)&amp;""))</f>
        <v/>
      </c>
      <c r="C1001" s="52" t="str">
        <f aca="false">IF(L1001="","",INDEX(ポート振替表!$B$5:$B$3507,$L1001)&amp;" "&amp;INDEX(ポート振替表!$C$5:$C$3507,$L1001)&amp;"  ⇔  "&amp;INDEX(ポート振替表!$H$5:$H$3507,$L1001)&amp;" "&amp;INDEX(ポート振替表!$I$5:$I$3507,$L1001))</f>
        <v/>
      </c>
      <c r="D1001" s="57" t="s">
        <v>158</v>
      </c>
      <c r="E1001" s="59" t="str">
        <f aca="false">IF(L1001="","",IF(INDEX(ポート振替表!$O$5:$O$3507,$L1001)="","(未設定)",INDEX(ポート振替表!$O$5:$O$3507,$L1001)&amp;""))</f>
        <v/>
      </c>
      <c r="F1001" s="52" t="str">
        <f aca="false">IF(L1001="","",INDEX(ポート振替表!$K$5:$K$3507,$L1001)&amp;" "&amp;INDEX(ポート振替表!$L$5:$L$3507,$L1001)&amp;"  ⇔  "&amp;INDEX(ポート振替表!$H$5:$H$3507,$L1001)&amp;" "&amp;INDEX(ポート振替表!$I$5:$I$3507,$L1001))</f>
        <v/>
      </c>
      <c r="G1001" s="57" t="s">
        <v>158</v>
      </c>
      <c r="H1001" s="32" t="str">
        <f aca="false">IF(L1001="","",INDEX(ポート振替表!$N$5:$N$3507,$L1001)&amp;"")</f>
        <v/>
      </c>
      <c r="I1001" s="32" t="str">
        <f aca="false">IF(L1001="","",INDEX(ポート振替表!$P$5:$P$3507,$L1001)&amp;"")</f>
        <v/>
      </c>
      <c r="J1001" s="60" t="str">
        <f aca="false">IF(L1001="","",INDEX(ポート振替表!$M$5:$M$3507,$L1001)&amp;"")</f>
        <v/>
      </c>
      <c r="K1001" s="52" t="str">
        <f aca="false">IF(L1001="","",E1001&amp;CHAR(10)&amp;INDEX(ポート振替表!$K$5:$K$3507,$L1001)&amp;" "&amp;INDEX(ポート振替表!$L$5:$L$3507,$L1001)&amp;CHAR(10)&amp;"⇔ "&amp;INDEX(ポート振替表!$H$5:$H$3507,$L1001)&amp;" "&amp;INDEX(ポート振替表!$I$5:$I$3507,$L1001))</f>
        <v/>
      </c>
      <c r="L1001" s="47" t="str">
        <f aca="false">IFERROR(MATCH(ROW()-4,ポート振替表!$V$5:$V$3507,0),"")</f>
        <v/>
      </c>
    </row>
    <row r="1002" customFormat="false" ht="16.4" hidden="false" customHeight="false" outlineLevel="0" collapsed="false">
      <c r="A1002" s="32" t="str">
        <f aca="false">IF(L1002="","",ROW()-4)</f>
        <v/>
      </c>
      <c r="B1002" s="58" t="str">
        <f aca="false">IF(L1002="","",IF(INDEX(ポート振替表!$W$5:$W$3507,$L1002)="","(なし)",INDEX(ポート振替表!$W$5:$W$3507,$L1002)&amp;""))</f>
        <v/>
      </c>
      <c r="C1002" s="52" t="str">
        <f aca="false">IF(L1002="","",INDEX(ポート振替表!$B$5:$B$3507,$L1002)&amp;" "&amp;INDEX(ポート振替表!$C$5:$C$3507,$L1002)&amp;"  ⇔  "&amp;INDEX(ポート振替表!$H$5:$H$3507,$L1002)&amp;" "&amp;INDEX(ポート振替表!$I$5:$I$3507,$L1002))</f>
        <v/>
      </c>
      <c r="D1002" s="57" t="s">
        <v>158</v>
      </c>
      <c r="E1002" s="59" t="str">
        <f aca="false">IF(L1002="","",IF(INDEX(ポート振替表!$O$5:$O$3507,$L1002)="","(未設定)",INDEX(ポート振替表!$O$5:$O$3507,$L1002)&amp;""))</f>
        <v/>
      </c>
      <c r="F1002" s="52" t="str">
        <f aca="false">IF(L1002="","",INDEX(ポート振替表!$K$5:$K$3507,$L1002)&amp;" "&amp;INDEX(ポート振替表!$L$5:$L$3507,$L1002)&amp;"  ⇔  "&amp;INDEX(ポート振替表!$H$5:$H$3507,$L1002)&amp;" "&amp;INDEX(ポート振替表!$I$5:$I$3507,$L1002))</f>
        <v/>
      </c>
      <c r="G1002" s="57" t="s">
        <v>158</v>
      </c>
      <c r="H1002" s="32" t="str">
        <f aca="false">IF(L1002="","",INDEX(ポート振替表!$N$5:$N$3507,$L1002)&amp;"")</f>
        <v/>
      </c>
      <c r="I1002" s="32" t="str">
        <f aca="false">IF(L1002="","",INDEX(ポート振替表!$P$5:$P$3507,$L1002)&amp;"")</f>
        <v/>
      </c>
      <c r="J1002" s="60" t="str">
        <f aca="false">IF(L1002="","",INDEX(ポート振替表!$M$5:$M$3507,$L1002)&amp;"")</f>
        <v/>
      </c>
      <c r="K1002" s="52" t="str">
        <f aca="false">IF(L1002="","",E1002&amp;CHAR(10)&amp;INDEX(ポート振替表!$K$5:$K$3507,$L1002)&amp;" "&amp;INDEX(ポート振替表!$L$5:$L$3507,$L1002)&amp;CHAR(10)&amp;"⇔ "&amp;INDEX(ポート振替表!$H$5:$H$3507,$L1002)&amp;" "&amp;INDEX(ポート振替表!$I$5:$I$3507,$L1002))</f>
        <v/>
      </c>
      <c r="L1002" s="47" t="str">
        <f aca="false">IFERROR(MATCH(ROW()-4,ポート振替表!$V$5:$V$3507,0),"")</f>
        <v/>
      </c>
    </row>
    <row r="1003" customFormat="false" ht="16.4" hidden="false" customHeight="false" outlineLevel="0" collapsed="false">
      <c r="A1003" s="32" t="str">
        <f aca="false">IF(L1003="","",ROW()-4)</f>
        <v/>
      </c>
      <c r="B1003" s="58" t="str">
        <f aca="false">IF(L1003="","",IF(INDEX(ポート振替表!$W$5:$W$3507,$L1003)="","(なし)",INDEX(ポート振替表!$W$5:$W$3507,$L1003)&amp;""))</f>
        <v/>
      </c>
      <c r="C1003" s="52" t="str">
        <f aca="false">IF(L1003="","",INDEX(ポート振替表!$B$5:$B$3507,$L1003)&amp;" "&amp;INDEX(ポート振替表!$C$5:$C$3507,$L1003)&amp;"  ⇔  "&amp;INDEX(ポート振替表!$H$5:$H$3507,$L1003)&amp;" "&amp;INDEX(ポート振替表!$I$5:$I$3507,$L1003))</f>
        <v/>
      </c>
      <c r="D1003" s="57" t="s">
        <v>158</v>
      </c>
      <c r="E1003" s="59" t="str">
        <f aca="false">IF(L1003="","",IF(INDEX(ポート振替表!$O$5:$O$3507,$L1003)="","(未設定)",INDEX(ポート振替表!$O$5:$O$3507,$L1003)&amp;""))</f>
        <v/>
      </c>
      <c r="F1003" s="52" t="str">
        <f aca="false">IF(L1003="","",INDEX(ポート振替表!$K$5:$K$3507,$L1003)&amp;" "&amp;INDEX(ポート振替表!$L$5:$L$3507,$L1003)&amp;"  ⇔  "&amp;INDEX(ポート振替表!$H$5:$H$3507,$L1003)&amp;" "&amp;INDEX(ポート振替表!$I$5:$I$3507,$L1003))</f>
        <v/>
      </c>
      <c r="G1003" s="57" t="s">
        <v>158</v>
      </c>
      <c r="H1003" s="32" t="str">
        <f aca="false">IF(L1003="","",INDEX(ポート振替表!$N$5:$N$3507,$L1003)&amp;"")</f>
        <v/>
      </c>
      <c r="I1003" s="32" t="str">
        <f aca="false">IF(L1003="","",INDEX(ポート振替表!$P$5:$P$3507,$L1003)&amp;"")</f>
        <v/>
      </c>
      <c r="J1003" s="60" t="str">
        <f aca="false">IF(L1003="","",INDEX(ポート振替表!$M$5:$M$3507,$L1003)&amp;"")</f>
        <v/>
      </c>
      <c r="K1003" s="52" t="str">
        <f aca="false">IF(L1003="","",E1003&amp;CHAR(10)&amp;INDEX(ポート振替表!$K$5:$K$3507,$L1003)&amp;" "&amp;INDEX(ポート振替表!$L$5:$L$3507,$L1003)&amp;CHAR(10)&amp;"⇔ "&amp;INDEX(ポート振替表!$H$5:$H$3507,$L1003)&amp;" "&amp;INDEX(ポート振替表!$I$5:$I$3507,$L1003))</f>
        <v/>
      </c>
      <c r="L1003" s="47" t="str">
        <f aca="false">IFERROR(MATCH(ROW()-4,ポート振替表!$V$5:$V$3507,0),"")</f>
        <v/>
      </c>
    </row>
    <row r="1004" customFormat="false" ht="16.4" hidden="false" customHeight="false" outlineLevel="0" collapsed="false">
      <c r="A1004" s="32" t="str">
        <f aca="false">IF(L1004="","",ROW()-4)</f>
        <v/>
      </c>
      <c r="B1004" s="58" t="str">
        <f aca="false">IF(L1004="","",IF(INDEX(ポート振替表!$W$5:$W$3507,$L1004)="","(なし)",INDEX(ポート振替表!$W$5:$W$3507,$L1004)&amp;""))</f>
        <v/>
      </c>
      <c r="C1004" s="52" t="str">
        <f aca="false">IF(L1004="","",INDEX(ポート振替表!$B$5:$B$3507,$L1004)&amp;" "&amp;INDEX(ポート振替表!$C$5:$C$3507,$L1004)&amp;"  ⇔  "&amp;INDEX(ポート振替表!$H$5:$H$3507,$L1004)&amp;" "&amp;INDEX(ポート振替表!$I$5:$I$3507,$L1004))</f>
        <v/>
      </c>
      <c r="D1004" s="57" t="s">
        <v>158</v>
      </c>
      <c r="E1004" s="59" t="str">
        <f aca="false">IF(L1004="","",IF(INDEX(ポート振替表!$O$5:$O$3507,$L1004)="","(未設定)",INDEX(ポート振替表!$O$5:$O$3507,$L1004)&amp;""))</f>
        <v/>
      </c>
      <c r="F1004" s="52" t="str">
        <f aca="false">IF(L1004="","",INDEX(ポート振替表!$K$5:$K$3507,$L1004)&amp;" "&amp;INDEX(ポート振替表!$L$5:$L$3507,$L1004)&amp;"  ⇔  "&amp;INDEX(ポート振替表!$H$5:$H$3507,$L1004)&amp;" "&amp;INDEX(ポート振替表!$I$5:$I$3507,$L1004))</f>
        <v/>
      </c>
      <c r="G1004" s="57" t="s">
        <v>158</v>
      </c>
      <c r="H1004" s="32" t="str">
        <f aca="false">IF(L1004="","",INDEX(ポート振替表!$N$5:$N$3507,$L1004)&amp;"")</f>
        <v/>
      </c>
      <c r="I1004" s="32" t="str">
        <f aca="false">IF(L1004="","",INDEX(ポート振替表!$P$5:$P$3507,$L1004)&amp;"")</f>
        <v/>
      </c>
      <c r="J1004" s="60" t="str">
        <f aca="false">IF(L1004="","",INDEX(ポート振替表!$M$5:$M$3507,$L1004)&amp;"")</f>
        <v/>
      </c>
      <c r="K1004" s="52" t="str">
        <f aca="false">IF(L1004="","",E1004&amp;CHAR(10)&amp;INDEX(ポート振替表!$K$5:$K$3507,$L1004)&amp;" "&amp;INDEX(ポート振替表!$L$5:$L$3507,$L1004)&amp;CHAR(10)&amp;"⇔ "&amp;INDEX(ポート振替表!$H$5:$H$3507,$L1004)&amp;" "&amp;INDEX(ポート振替表!$I$5:$I$3507,$L1004))</f>
        <v/>
      </c>
      <c r="L1004" s="47" t="str">
        <f aca="false">IFERROR(MATCH(ROW()-4,ポート振替表!$V$5:$V$3507,0),"")</f>
        <v/>
      </c>
    </row>
    <row r="1005" customFormat="false" ht="16.4" hidden="false" customHeight="false" outlineLevel="0" collapsed="false">
      <c r="A1005" s="32" t="str">
        <f aca="false">IF(L1005="","",ROW()-4)</f>
        <v/>
      </c>
      <c r="B1005" s="58" t="str">
        <f aca="false">IF(L1005="","",IF(INDEX(ポート振替表!$W$5:$W$3507,$L1005)="","(なし)",INDEX(ポート振替表!$W$5:$W$3507,$L1005)&amp;""))</f>
        <v/>
      </c>
      <c r="C1005" s="52" t="str">
        <f aca="false">IF(L1005="","",INDEX(ポート振替表!$B$5:$B$3507,$L1005)&amp;" "&amp;INDEX(ポート振替表!$C$5:$C$3507,$L1005)&amp;"  ⇔  "&amp;INDEX(ポート振替表!$H$5:$H$3507,$L1005)&amp;" "&amp;INDEX(ポート振替表!$I$5:$I$3507,$L1005))</f>
        <v/>
      </c>
      <c r="D1005" s="57" t="s">
        <v>158</v>
      </c>
      <c r="E1005" s="59" t="str">
        <f aca="false">IF(L1005="","",IF(INDEX(ポート振替表!$O$5:$O$3507,$L1005)="","(未設定)",INDEX(ポート振替表!$O$5:$O$3507,$L1005)&amp;""))</f>
        <v/>
      </c>
      <c r="F1005" s="52" t="str">
        <f aca="false">IF(L1005="","",INDEX(ポート振替表!$K$5:$K$3507,$L1005)&amp;" "&amp;INDEX(ポート振替表!$L$5:$L$3507,$L1005)&amp;"  ⇔  "&amp;INDEX(ポート振替表!$H$5:$H$3507,$L1005)&amp;" "&amp;INDEX(ポート振替表!$I$5:$I$3507,$L1005))</f>
        <v/>
      </c>
      <c r="G1005" s="57" t="s">
        <v>158</v>
      </c>
      <c r="H1005" s="32" t="str">
        <f aca="false">IF(L1005="","",INDEX(ポート振替表!$N$5:$N$3507,$L1005)&amp;"")</f>
        <v/>
      </c>
      <c r="I1005" s="32" t="str">
        <f aca="false">IF(L1005="","",INDEX(ポート振替表!$P$5:$P$3507,$L1005)&amp;"")</f>
        <v/>
      </c>
      <c r="J1005" s="60" t="str">
        <f aca="false">IF(L1005="","",INDEX(ポート振替表!$M$5:$M$3507,$L1005)&amp;"")</f>
        <v/>
      </c>
      <c r="K1005" s="52" t="str">
        <f aca="false">IF(L1005="","",E1005&amp;CHAR(10)&amp;INDEX(ポート振替表!$K$5:$K$3507,$L1005)&amp;" "&amp;INDEX(ポート振替表!$L$5:$L$3507,$L1005)&amp;CHAR(10)&amp;"⇔ "&amp;INDEX(ポート振替表!$H$5:$H$3507,$L1005)&amp;" "&amp;INDEX(ポート振替表!$I$5:$I$3507,$L1005))</f>
        <v/>
      </c>
      <c r="L1005" s="47" t="str">
        <f aca="false">IFERROR(MATCH(ROW()-4,ポート振替表!$V$5:$V$3507,0),"")</f>
        <v/>
      </c>
    </row>
    <row r="1006" customFormat="false" ht="16.4" hidden="false" customHeight="false" outlineLevel="0" collapsed="false">
      <c r="A1006" s="32" t="str">
        <f aca="false">IF(L1006="","",ROW()-4)</f>
        <v/>
      </c>
      <c r="B1006" s="58" t="str">
        <f aca="false">IF(L1006="","",IF(INDEX(ポート振替表!$W$5:$W$3507,$L1006)="","(なし)",INDEX(ポート振替表!$W$5:$W$3507,$L1006)&amp;""))</f>
        <v/>
      </c>
      <c r="C1006" s="52" t="str">
        <f aca="false">IF(L1006="","",INDEX(ポート振替表!$B$5:$B$3507,$L1006)&amp;" "&amp;INDEX(ポート振替表!$C$5:$C$3507,$L1006)&amp;"  ⇔  "&amp;INDEX(ポート振替表!$H$5:$H$3507,$L1006)&amp;" "&amp;INDEX(ポート振替表!$I$5:$I$3507,$L1006))</f>
        <v/>
      </c>
      <c r="D1006" s="57" t="s">
        <v>158</v>
      </c>
      <c r="E1006" s="59" t="str">
        <f aca="false">IF(L1006="","",IF(INDEX(ポート振替表!$O$5:$O$3507,$L1006)="","(未設定)",INDEX(ポート振替表!$O$5:$O$3507,$L1006)&amp;""))</f>
        <v/>
      </c>
      <c r="F1006" s="52" t="str">
        <f aca="false">IF(L1006="","",INDEX(ポート振替表!$K$5:$K$3507,$L1006)&amp;" "&amp;INDEX(ポート振替表!$L$5:$L$3507,$L1006)&amp;"  ⇔  "&amp;INDEX(ポート振替表!$H$5:$H$3507,$L1006)&amp;" "&amp;INDEX(ポート振替表!$I$5:$I$3507,$L1006))</f>
        <v/>
      </c>
      <c r="G1006" s="57" t="s">
        <v>158</v>
      </c>
      <c r="H1006" s="32" t="str">
        <f aca="false">IF(L1006="","",INDEX(ポート振替表!$N$5:$N$3507,$L1006)&amp;"")</f>
        <v/>
      </c>
      <c r="I1006" s="32" t="str">
        <f aca="false">IF(L1006="","",INDEX(ポート振替表!$P$5:$P$3507,$L1006)&amp;"")</f>
        <v/>
      </c>
      <c r="J1006" s="60" t="str">
        <f aca="false">IF(L1006="","",INDEX(ポート振替表!$M$5:$M$3507,$L1006)&amp;"")</f>
        <v/>
      </c>
      <c r="K1006" s="52" t="str">
        <f aca="false">IF(L1006="","",E1006&amp;CHAR(10)&amp;INDEX(ポート振替表!$K$5:$K$3507,$L1006)&amp;" "&amp;INDEX(ポート振替表!$L$5:$L$3507,$L1006)&amp;CHAR(10)&amp;"⇔ "&amp;INDEX(ポート振替表!$H$5:$H$3507,$L1006)&amp;" "&amp;INDEX(ポート振替表!$I$5:$I$3507,$L1006))</f>
        <v/>
      </c>
      <c r="L1006" s="47" t="str">
        <f aca="false">IFERROR(MATCH(ROW()-4,ポート振替表!$V$5:$V$3507,0),"")</f>
        <v/>
      </c>
    </row>
    <row r="1007" customFormat="false" ht="16.4" hidden="false" customHeight="false" outlineLevel="0" collapsed="false">
      <c r="A1007" s="32" t="str">
        <f aca="false">IF(L1007="","",ROW()-4)</f>
        <v/>
      </c>
      <c r="B1007" s="58" t="str">
        <f aca="false">IF(L1007="","",IF(INDEX(ポート振替表!$W$5:$W$3507,$L1007)="","(なし)",INDEX(ポート振替表!$W$5:$W$3507,$L1007)&amp;""))</f>
        <v/>
      </c>
      <c r="C1007" s="52" t="str">
        <f aca="false">IF(L1007="","",INDEX(ポート振替表!$B$5:$B$3507,$L1007)&amp;" "&amp;INDEX(ポート振替表!$C$5:$C$3507,$L1007)&amp;"  ⇔  "&amp;INDEX(ポート振替表!$H$5:$H$3507,$L1007)&amp;" "&amp;INDEX(ポート振替表!$I$5:$I$3507,$L1007))</f>
        <v/>
      </c>
      <c r="D1007" s="57" t="s">
        <v>158</v>
      </c>
      <c r="E1007" s="59" t="str">
        <f aca="false">IF(L1007="","",IF(INDEX(ポート振替表!$O$5:$O$3507,$L1007)="","(未設定)",INDEX(ポート振替表!$O$5:$O$3507,$L1007)&amp;""))</f>
        <v/>
      </c>
      <c r="F1007" s="52" t="str">
        <f aca="false">IF(L1007="","",INDEX(ポート振替表!$K$5:$K$3507,$L1007)&amp;" "&amp;INDEX(ポート振替表!$L$5:$L$3507,$L1007)&amp;"  ⇔  "&amp;INDEX(ポート振替表!$H$5:$H$3507,$L1007)&amp;" "&amp;INDEX(ポート振替表!$I$5:$I$3507,$L1007))</f>
        <v/>
      </c>
      <c r="G1007" s="57" t="s">
        <v>158</v>
      </c>
      <c r="H1007" s="32" t="str">
        <f aca="false">IF(L1007="","",INDEX(ポート振替表!$N$5:$N$3507,$L1007)&amp;"")</f>
        <v/>
      </c>
      <c r="I1007" s="32" t="str">
        <f aca="false">IF(L1007="","",INDEX(ポート振替表!$P$5:$P$3507,$L1007)&amp;"")</f>
        <v/>
      </c>
      <c r="J1007" s="60" t="str">
        <f aca="false">IF(L1007="","",INDEX(ポート振替表!$M$5:$M$3507,$L1007)&amp;"")</f>
        <v/>
      </c>
      <c r="K1007" s="52" t="str">
        <f aca="false">IF(L1007="","",E1007&amp;CHAR(10)&amp;INDEX(ポート振替表!$K$5:$K$3507,$L1007)&amp;" "&amp;INDEX(ポート振替表!$L$5:$L$3507,$L1007)&amp;CHAR(10)&amp;"⇔ "&amp;INDEX(ポート振替表!$H$5:$H$3507,$L1007)&amp;" "&amp;INDEX(ポート振替表!$I$5:$I$3507,$L1007))</f>
        <v/>
      </c>
      <c r="L1007" s="47" t="str">
        <f aca="false">IFERROR(MATCH(ROW()-4,ポート振替表!$V$5:$V$3507,0),"")</f>
        <v/>
      </c>
    </row>
    <row r="1008" customFormat="false" ht="16.4" hidden="false" customHeight="false" outlineLevel="0" collapsed="false">
      <c r="A1008" s="32" t="str">
        <f aca="false">IF(L1008="","",ROW()-4)</f>
        <v/>
      </c>
      <c r="B1008" s="58" t="str">
        <f aca="false">IF(L1008="","",IF(INDEX(ポート振替表!$W$5:$W$3507,$L1008)="","(なし)",INDEX(ポート振替表!$W$5:$W$3507,$L1008)&amp;""))</f>
        <v/>
      </c>
      <c r="C1008" s="52" t="str">
        <f aca="false">IF(L1008="","",INDEX(ポート振替表!$B$5:$B$3507,$L1008)&amp;" "&amp;INDEX(ポート振替表!$C$5:$C$3507,$L1008)&amp;"  ⇔  "&amp;INDEX(ポート振替表!$H$5:$H$3507,$L1008)&amp;" "&amp;INDEX(ポート振替表!$I$5:$I$3507,$L1008))</f>
        <v/>
      </c>
      <c r="D1008" s="57" t="s">
        <v>158</v>
      </c>
      <c r="E1008" s="59" t="str">
        <f aca="false">IF(L1008="","",IF(INDEX(ポート振替表!$O$5:$O$3507,$L1008)="","(未設定)",INDEX(ポート振替表!$O$5:$O$3507,$L1008)&amp;""))</f>
        <v/>
      </c>
      <c r="F1008" s="52" t="str">
        <f aca="false">IF(L1008="","",INDEX(ポート振替表!$K$5:$K$3507,$L1008)&amp;" "&amp;INDEX(ポート振替表!$L$5:$L$3507,$L1008)&amp;"  ⇔  "&amp;INDEX(ポート振替表!$H$5:$H$3507,$L1008)&amp;" "&amp;INDEX(ポート振替表!$I$5:$I$3507,$L1008))</f>
        <v/>
      </c>
      <c r="G1008" s="57" t="s">
        <v>158</v>
      </c>
      <c r="H1008" s="32" t="str">
        <f aca="false">IF(L1008="","",INDEX(ポート振替表!$N$5:$N$3507,$L1008)&amp;"")</f>
        <v/>
      </c>
      <c r="I1008" s="32" t="str">
        <f aca="false">IF(L1008="","",INDEX(ポート振替表!$P$5:$P$3507,$L1008)&amp;"")</f>
        <v/>
      </c>
      <c r="J1008" s="60" t="str">
        <f aca="false">IF(L1008="","",INDEX(ポート振替表!$M$5:$M$3507,$L1008)&amp;"")</f>
        <v/>
      </c>
      <c r="K1008" s="52" t="str">
        <f aca="false">IF(L1008="","",E1008&amp;CHAR(10)&amp;INDEX(ポート振替表!$K$5:$K$3507,$L1008)&amp;" "&amp;INDEX(ポート振替表!$L$5:$L$3507,$L1008)&amp;CHAR(10)&amp;"⇔ "&amp;INDEX(ポート振替表!$H$5:$H$3507,$L1008)&amp;" "&amp;INDEX(ポート振替表!$I$5:$I$3507,$L1008))</f>
        <v/>
      </c>
      <c r="L1008" s="47" t="str">
        <f aca="false">IFERROR(MATCH(ROW()-4,ポート振替表!$V$5:$V$3507,0),"")</f>
        <v/>
      </c>
    </row>
    <row r="1009" customFormat="false" ht="16.4" hidden="false" customHeight="false" outlineLevel="0" collapsed="false">
      <c r="A1009" s="32" t="str">
        <f aca="false">IF(L1009="","",ROW()-4)</f>
        <v/>
      </c>
      <c r="B1009" s="58" t="str">
        <f aca="false">IF(L1009="","",IF(INDEX(ポート振替表!$W$5:$W$3507,$L1009)="","(なし)",INDEX(ポート振替表!$W$5:$W$3507,$L1009)&amp;""))</f>
        <v/>
      </c>
      <c r="C1009" s="52" t="str">
        <f aca="false">IF(L1009="","",INDEX(ポート振替表!$B$5:$B$3507,$L1009)&amp;" "&amp;INDEX(ポート振替表!$C$5:$C$3507,$L1009)&amp;"  ⇔  "&amp;INDEX(ポート振替表!$H$5:$H$3507,$L1009)&amp;" "&amp;INDEX(ポート振替表!$I$5:$I$3507,$L1009))</f>
        <v/>
      </c>
      <c r="D1009" s="57" t="s">
        <v>158</v>
      </c>
      <c r="E1009" s="59" t="str">
        <f aca="false">IF(L1009="","",IF(INDEX(ポート振替表!$O$5:$O$3507,$L1009)="","(未設定)",INDEX(ポート振替表!$O$5:$O$3507,$L1009)&amp;""))</f>
        <v/>
      </c>
      <c r="F1009" s="52" t="str">
        <f aca="false">IF(L1009="","",INDEX(ポート振替表!$K$5:$K$3507,$L1009)&amp;" "&amp;INDEX(ポート振替表!$L$5:$L$3507,$L1009)&amp;"  ⇔  "&amp;INDEX(ポート振替表!$H$5:$H$3507,$L1009)&amp;" "&amp;INDEX(ポート振替表!$I$5:$I$3507,$L1009))</f>
        <v/>
      </c>
      <c r="G1009" s="57" t="s">
        <v>158</v>
      </c>
      <c r="H1009" s="32" t="str">
        <f aca="false">IF(L1009="","",INDEX(ポート振替表!$N$5:$N$3507,$L1009)&amp;"")</f>
        <v/>
      </c>
      <c r="I1009" s="32" t="str">
        <f aca="false">IF(L1009="","",INDEX(ポート振替表!$P$5:$P$3507,$L1009)&amp;"")</f>
        <v/>
      </c>
      <c r="J1009" s="60" t="str">
        <f aca="false">IF(L1009="","",INDEX(ポート振替表!$M$5:$M$3507,$L1009)&amp;"")</f>
        <v/>
      </c>
      <c r="K1009" s="52" t="str">
        <f aca="false">IF(L1009="","",E1009&amp;CHAR(10)&amp;INDEX(ポート振替表!$K$5:$K$3507,$L1009)&amp;" "&amp;INDEX(ポート振替表!$L$5:$L$3507,$L1009)&amp;CHAR(10)&amp;"⇔ "&amp;INDEX(ポート振替表!$H$5:$H$3507,$L1009)&amp;" "&amp;INDEX(ポート振替表!$I$5:$I$3507,$L1009))</f>
        <v/>
      </c>
      <c r="L1009" s="47" t="str">
        <f aca="false">IFERROR(MATCH(ROW()-4,ポート振替表!$V$5:$V$3507,0),"")</f>
        <v/>
      </c>
    </row>
    <row r="1010" customFormat="false" ht="16.4" hidden="false" customHeight="false" outlineLevel="0" collapsed="false">
      <c r="A1010" s="32" t="str">
        <f aca="false">IF(L1010="","",ROW()-4)</f>
        <v/>
      </c>
      <c r="B1010" s="58" t="str">
        <f aca="false">IF(L1010="","",IF(INDEX(ポート振替表!$W$5:$W$3507,$L1010)="","(なし)",INDEX(ポート振替表!$W$5:$W$3507,$L1010)&amp;""))</f>
        <v/>
      </c>
      <c r="C1010" s="52" t="str">
        <f aca="false">IF(L1010="","",INDEX(ポート振替表!$B$5:$B$3507,$L1010)&amp;" "&amp;INDEX(ポート振替表!$C$5:$C$3507,$L1010)&amp;"  ⇔  "&amp;INDEX(ポート振替表!$H$5:$H$3507,$L1010)&amp;" "&amp;INDEX(ポート振替表!$I$5:$I$3507,$L1010))</f>
        <v/>
      </c>
      <c r="D1010" s="57" t="s">
        <v>158</v>
      </c>
      <c r="E1010" s="59" t="str">
        <f aca="false">IF(L1010="","",IF(INDEX(ポート振替表!$O$5:$O$3507,$L1010)="","(未設定)",INDEX(ポート振替表!$O$5:$O$3507,$L1010)&amp;""))</f>
        <v/>
      </c>
      <c r="F1010" s="52" t="str">
        <f aca="false">IF(L1010="","",INDEX(ポート振替表!$K$5:$K$3507,$L1010)&amp;" "&amp;INDEX(ポート振替表!$L$5:$L$3507,$L1010)&amp;"  ⇔  "&amp;INDEX(ポート振替表!$H$5:$H$3507,$L1010)&amp;" "&amp;INDEX(ポート振替表!$I$5:$I$3507,$L1010))</f>
        <v/>
      </c>
      <c r="G1010" s="57" t="s">
        <v>158</v>
      </c>
      <c r="H1010" s="32" t="str">
        <f aca="false">IF(L1010="","",INDEX(ポート振替表!$N$5:$N$3507,$L1010)&amp;"")</f>
        <v/>
      </c>
      <c r="I1010" s="32" t="str">
        <f aca="false">IF(L1010="","",INDEX(ポート振替表!$P$5:$P$3507,$L1010)&amp;"")</f>
        <v/>
      </c>
      <c r="J1010" s="60" t="str">
        <f aca="false">IF(L1010="","",INDEX(ポート振替表!$M$5:$M$3507,$L1010)&amp;"")</f>
        <v/>
      </c>
      <c r="K1010" s="52" t="str">
        <f aca="false">IF(L1010="","",E1010&amp;CHAR(10)&amp;INDEX(ポート振替表!$K$5:$K$3507,$L1010)&amp;" "&amp;INDEX(ポート振替表!$L$5:$L$3507,$L1010)&amp;CHAR(10)&amp;"⇔ "&amp;INDEX(ポート振替表!$H$5:$H$3507,$L1010)&amp;" "&amp;INDEX(ポート振替表!$I$5:$I$3507,$L1010))</f>
        <v/>
      </c>
      <c r="L1010" s="47" t="str">
        <f aca="false">IFERROR(MATCH(ROW()-4,ポート振替表!$V$5:$V$3507,0),"")</f>
        <v/>
      </c>
    </row>
    <row r="1011" customFormat="false" ht="16.4" hidden="false" customHeight="false" outlineLevel="0" collapsed="false">
      <c r="A1011" s="32" t="str">
        <f aca="false">IF(L1011="","",ROW()-4)</f>
        <v/>
      </c>
      <c r="B1011" s="58" t="str">
        <f aca="false">IF(L1011="","",IF(INDEX(ポート振替表!$W$5:$W$3507,$L1011)="","(なし)",INDEX(ポート振替表!$W$5:$W$3507,$L1011)&amp;""))</f>
        <v/>
      </c>
      <c r="C1011" s="52" t="str">
        <f aca="false">IF(L1011="","",INDEX(ポート振替表!$B$5:$B$3507,$L1011)&amp;" "&amp;INDEX(ポート振替表!$C$5:$C$3507,$L1011)&amp;"  ⇔  "&amp;INDEX(ポート振替表!$H$5:$H$3507,$L1011)&amp;" "&amp;INDEX(ポート振替表!$I$5:$I$3507,$L1011))</f>
        <v/>
      </c>
      <c r="D1011" s="57" t="s">
        <v>158</v>
      </c>
      <c r="E1011" s="59" t="str">
        <f aca="false">IF(L1011="","",IF(INDEX(ポート振替表!$O$5:$O$3507,$L1011)="","(未設定)",INDEX(ポート振替表!$O$5:$O$3507,$L1011)&amp;""))</f>
        <v/>
      </c>
      <c r="F1011" s="52" t="str">
        <f aca="false">IF(L1011="","",INDEX(ポート振替表!$K$5:$K$3507,$L1011)&amp;" "&amp;INDEX(ポート振替表!$L$5:$L$3507,$L1011)&amp;"  ⇔  "&amp;INDEX(ポート振替表!$H$5:$H$3507,$L1011)&amp;" "&amp;INDEX(ポート振替表!$I$5:$I$3507,$L1011))</f>
        <v/>
      </c>
      <c r="G1011" s="57" t="s">
        <v>158</v>
      </c>
      <c r="H1011" s="32" t="str">
        <f aca="false">IF(L1011="","",INDEX(ポート振替表!$N$5:$N$3507,$L1011)&amp;"")</f>
        <v/>
      </c>
      <c r="I1011" s="32" t="str">
        <f aca="false">IF(L1011="","",INDEX(ポート振替表!$P$5:$P$3507,$L1011)&amp;"")</f>
        <v/>
      </c>
      <c r="J1011" s="60" t="str">
        <f aca="false">IF(L1011="","",INDEX(ポート振替表!$M$5:$M$3507,$L1011)&amp;"")</f>
        <v/>
      </c>
      <c r="K1011" s="52" t="str">
        <f aca="false">IF(L1011="","",E1011&amp;CHAR(10)&amp;INDEX(ポート振替表!$K$5:$K$3507,$L1011)&amp;" "&amp;INDEX(ポート振替表!$L$5:$L$3507,$L1011)&amp;CHAR(10)&amp;"⇔ "&amp;INDEX(ポート振替表!$H$5:$H$3507,$L1011)&amp;" "&amp;INDEX(ポート振替表!$I$5:$I$3507,$L1011))</f>
        <v/>
      </c>
      <c r="L1011" s="47" t="str">
        <f aca="false">IFERROR(MATCH(ROW()-4,ポート振替表!$V$5:$V$3507,0),"")</f>
        <v/>
      </c>
    </row>
    <row r="1012" customFormat="false" ht="16.4" hidden="false" customHeight="false" outlineLevel="0" collapsed="false">
      <c r="A1012" s="32" t="str">
        <f aca="false">IF(L1012="","",ROW()-4)</f>
        <v/>
      </c>
      <c r="B1012" s="58" t="str">
        <f aca="false">IF(L1012="","",IF(INDEX(ポート振替表!$W$5:$W$3507,$L1012)="","(なし)",INDEX(ポート振替表!$W$5:$W$3507,$L1012)&amp;""))</f>
        <v/>
      </c>
      <c r="C1012" s="52" t="str">
        <f aca="false">IF(L1012="","",INDEX(ポート振替表!$B$5:$B$3507,$L1012)&amp;" "&amp;INDEX(ポート振替表!$C$5:$C$3507,$L1012)&amp;"  ⇔  "&amp;INDEX(ポート振替表!$H$5:$H$3507,$L1012)&amp;" "&amp;INDEX(ポート振替表!$I$5:$I$3507,$L1012))</f>
        <v/>
      </c>
      <c r="D1012" s="57" t="s">
        <v>158</v>
      </c>
      <c r="E1012" s="59" t="str">
        <f aca="false">IF(L1012="","",IF(INDEX(ポート振替表!$O$5:$O$3507,$L1012)="","(未設定)",INDEX(ポート振替表!$O$5:$O$3507,$L1012)&amp;""))</f>
        <v/>
      </c>
      <c r="F1012" s="52" t="str">
        <f aca="false">IF(L1012="","",INDEX(ポート振替表!$K$5:$K$3507,$L1012)&amp;" "&amp;INDEX(ポート振替表!$L$5:$L$3507,$L1012)&amp;"  ⇔  "&amp;INDEX(ポート振替表!$H$5:$H$3507,$L1012)&amp;" "&amp;INDEX(ポート振替表!$I$5:$I$3507,$L1012))</f>
        <v/>
      </c>
      <c r="G1012" s="57" t="s">
        <v>158</v>
      </c>
      <c r="H1012" s="32" t="str">
        <f aca="false">IF(L1012="","",INDEX(ポート振替表!$N$5:$N$3507,$L1012)&amp;"")</f>
        <v/>
      </c>
      <c r="I1012" s="32" t="str">
        <f aca="false">IF(L1012="","",INDEX(ポート振替表!$P$5:$P$3507,$L1012)&amp;"")</f>
        <v/>
      </c>
      <c r="J1012" s="60" t="str">
        <f aca="false">IF(L1012="","",INDEX(ポート振替表!$M$5:$M$3507,$L1012)&amp;"")</f>
        <v/>
      </c>
      <c r="K1012" s="52" t="str">
        <f aca="false">IF(L1012="","",E1012&amp;CHAR(10)&amp;INDEX(ポート振替表!$K$5:$K$3507,$L1012)&amp;" "&amp;INDEX(ポート振替表!$L$5:$L$3507,$L1012)&amp;CHAR(10)&amp;"⇔ "&amp;INDEX(ポート振替表!$H$5:$H$3507,$L1012)&amp;" "&amp;INDEX(ポート振替表!$I$5:$I$3507,$L1012))</f>
        <v/>
      </c>
      <c r="L1012" s="47" t="str">
        <f aca="false">IFERROR(MATCH(ROW()-4,ポート振替表!$V$5:$V$3507,0),"")</f>
        <v/>
      </c>
    </row>
    <row r="1013" customFormat="false" ht="16.4" hidden="false" customHeight="false" outlineLevel="0" collapsed="false">
      <c r="A1013" s="32" t="str">
        <f aca="false">IF(L1013="","",ROW()-4)</f>
        <v/>
      </c>
      <c r="B1013" s="58" t="str">
        <f aca="false">IF(L1013="","",IF(INDEX(ポート振替表!$W$5:$W$3507,$L1013)="","(なし)",INDEX(ポート振替表!$W$5:$W$3507,$L1013)&amp;""))</f>
        <v/>
      </c>
      <c r="C1013" s="52" t="str">
        <f aca="false">IF(L1013="","",INDEX(ポート振替表!$B$5:$B$3507,$L1013)&amp;" "&amp;INDEX(ポート振替表!$C$5:$C$3507,$L1013)&amp;"  ⇔  "&amp;INDEX(ポート振替表!$H$5:$H$3507,$L1013)&amp;" "&amp;INDEX(ポート振替表!$I$5:$I$3507,$L1013))</f>
        <v/>
      </c>
      <c r="D1013" s="57" t="s">
        <v>158</v>
      </c>
      <c r="E1013" s="59" t="str">
        <f aca="false">IF(L1013="","",IF(INDEX(ポート振替表!$O$5:$O$3507,$L1013)="","(未設定)",INDEX(ポート振替表!$O$5:$O$3507,$L1013)&amp;""))</f>
        <v/>
      </c>
      <c r="F1013" s="52" t="str">
        <f aca="false">IF(L1013="","",INDEX(ポート振替表!$K$5:$K$3507,$L1013)&amp;" "&amp;INDEX(ポート振替表!$L$5:$L$3507,$L1013)&amp;"  ⇔  "&amp;INDEX(ポート振替表!$H$5:$H$3507,$L1013)&amp;" "&amp;INDEX(ポート振替表!$I$5:$I$3507,$L1013))</f>
        <v/>
      </c>
      <c r="G1013" s="57" t="s">
        <v>158</v>
      </c>
      <c r="H1013" s="32" t="str">
        <f aca="false">IF(L1013="","",INDEX(ポート振替表!$N$5:$N$3507,$L1013)&amp;"")</f>
        <v/>
      </c>
      <c r="I1013" s="32" t="str">
        <f aca="false">IF(L1013="","",INDEX(ポート振替表!$P$5:$P$3507,$L1013)&amp;"")</f>
        <v/>
      </c>
      <c r="J1013" s="60" t="str">
        <f aca="false">IF(L1013="","",INDEX(ポート振替表!$M$5:$M$3507,$L1013)&amp;"")</f>
        <v/>
      </c>
      <c r="K1013" s="52" t="str">
        <f aca="false">IF(L1013="","",E1013&amp;CHAR(10)&amp;INDEX(ポート振替表!$K$5:$K$3507,$L1013)&amp;" "&amp;INDEX(ポート振替表!$L$5:$L$3507,$L1013)&amp;CHAR(10)&amp;"⇔ "&amp;INDEX(ポート振替表!$H$5:$H$3507,$L1013)&amp;" "&amp;INDEX(ポート振替表!$I$5:$I$3507,$L1013))</f>
        <v/>
      </c>
      <c r="L1013" s="47" t="str">
        <f aca="false">IFERROR(MATCH(ROW()-4,ポート振替表!$V$5:$V$3507,0),"")</f>
        <v/>
      </c>
    </row>
    <row r="1014" customFormat="false" ht="16.4" hidden="false" customHeight="false" outlineLevel="0" collapsed="false">
      <c r="A1014" s="32" t="str">
        <f aca="false">IF(L1014="","",ROW()-4)</f>
        <v/>
      </c>
      <c r="B1014" s="58" t="str">
        <f aca="false">IF(L1014="","",IF(INDEX(ポート振替表!$W$5:$W$3507,$L1014)="","(なし)",INDEX(ポート振替表!$W$5:$W$3507,$L1014)&amp;""))</f>
        <v/>
      </c>
      <c r="C1014" s="52" t="str">
        <f aca="false">IF(L1014="","",INDEX(ポート振替表!$B$5:$B$3507,$L1014)&amp;" "&amp;INDEX(ポート振替表!$C$5:$C$3507,$L1014)&amp;"  ⇔  "&amp;INDEX(ポート振替表!$H$5:$H$3507,$L1014)&amp;" "&amp;INDEX(ポート振替表!$I$5:$I$3507,$L1014))</f>
        <v/>
      </c>
      <c r="D1014" s="57" t="s">
        <v>158</v>
      </c>
      <c r="E1014" s="59" t="str">
        <f aca="false">IF(L1014="","",IF(INDEX(ポート振替表!$O$5:$O$3507,$L1014)="","(未設定)",INDEX(ポート振替表!$O$5:$O$3507,$L1014)&amp;""))</f>
        <v/>
      </c>
      <c r="F1014" s="52" t="str">
        <f aca="false">IF(L1014="","",INDEX(ポート振替表!$K$5:$K$3507,$L1014)&amp;" "&amp;INDEX(ポート振替表!$L$5:$L$3507,$L1014)&amp;"  ⇔  "&amp;INDEX(ポート振替表!$H$5:$H$3507,$L1014)&amp;" "&amp;INDEX(ポート振替表!$I$5:$I$3507,$L1014))</f>
        <v/>
      </c>
      <c r="G1014" s="57" t="s">
        <v>158</v>
      </c>
      <c r="H1014" s="32" t="str">
        <f aca="false">IF(L1014="","",INDEX(ポート振替表!$N$5:$N$3507,$L1014)&amp;"")</f>
        <v/>
      </c>
      <c r="I1014" s="32" t="str">
        <f aca="false">IF(L1014="","",INDEX(ポート振替表!$P$5:$P$3507,$L1014)&amp;"")</f>
        <v/>
      </c>
      <c r="J1014" s="60" t="str">
        <f aca="false">IF(L1014="","",INDEX(ポート振替表!$M$5:$M$3507,$L1014)&amp;"")</f>
        <v/>
      </c>
      <c r="K1014" s="52" t="str">
        <f aca="false">IF(L1014="","",E1014&amp;CHAR(10)&amp;INDEX(ポート振替表!$K$5:$K$3507,$L1014)&amp;" "&amp;INDEX(ポート振替表!$L$5:$L$3507,$L1014)&amp;CHAR(10)&amp;"⇔ "&amp;INDEX(ポート振替表!$H$5:$H$3507,$L1014)&amp;" "&amp;INDEX(ポート振替表!$I$5:$I$3507,$L1014))</f>
        <v/>
      </c>
      <c r="L1014" s="47" t="str">
        <f aca="false">IFERROR(MATCH(ROW()-4,ポート振替表!$V$5:$V$3507,0),"")</f>
        <v/>
      </c>
    </row>
    <row r="1015" customFormat="false" ht="16.4" hidden="false" customHeight="false" outlineLevel="0" collapsed="false">
      <c r="A1015" s="32" t="str">
        <f aca="false">IF(L1015="","",ROW()-4)</f>
        <v/>
      </c>
      <c r="B1015" s="58" t="str">
        <f aca="false">IF(L1015="","",IF(INDEX(ポート振替表!$W$5:$W$3507,$L1015)="","(なし)",INDEX(ポート振替表!$W$5:$W$3507,$L1015)&amp;""))</f>
        <v/>
      </c>
      <c r="C1015" s="52" t="str">
        <f aca="false">IF(L1015="","",INDEX(ポート振替表!$B$5:$B$3507,$L1015)&amp;" "&amp;INDEX(ポート振替表!$C$5:$C$3507,$L1015)&amp;"  ⇔  "&amp;INDEX(ポート振替表!$H$5:$H$3507,$L1015)&amp;" "&amp;INDEX(ポート振替表!$I$5:$I$3507,$L1015))</f>
        <v/>
      </c>
      <c r="D1015" s="57" t="s">
        <v>158</v>
      </c>
      <c r="E1015" s="59" t="str">
        <f aca="false">IF(L1015="","",IF(INDEX(ポート振替表!$O$5:$O$3507,$L1015)="","(未設定)",INDEX(ポート振替表!$O$5:$O$3507,$L1015)&amp;""))</f>
        <v/>
      </c>
      <c r="F1015" s="52" t="str">
        <f aca="false">IF(L1015="","",INDEX(ポート振替表!$K$5:$K$3507,$L1015)&amp;" "&amp;INDEX(ポート振替表!$L$5:$L$3507,$L1015)&amp;"  ⇔  "&amp;INDEX(ポート振替表!$H$5:$H$3507,$L1015)&amp;" "&amp;INDEX(ポート振替表!$I$5:$I$3507,$L1015))</f>
        <v/>
      </c>
      <c r="G1015" s="57" t="s">
        <v>158</v>
      </c>
      <c r="H1015" s="32" t="str">
        <f aca="false">IF(L1015="","",INDEX(ポート振替表!$N$5:$N$3507,$L1015)&amp;"")</f>
        <v/>
      </c>
      <c r="I1015" s="32" t="str">
        <f aca="false">IF(L1015="","",INDEX(ポート振替表!$P$5:$P$3507,$L1015)&amp;"")</f>
        <v/>
      </c>
      <c r="J1015" s="60" t="str">
        <f aca="false">IF(L1015="","",INDEX(ポート振替表!$M$5:$M$3507,$L1015)&amp;"")</f>
        <v/>
      </c>
      <c r="K1015" s="52" t="str">
        <f aca="false">IF(L1015="","",E1015&amp;CHAR(10)&amp;INDEX(ポート振替表!$K$5:$K$3507,$L1015)&amp;" "&amp;INDEX(ポート振替表!$L$5:$L$3507,$L1015)&amp;CHAR(10)&amp;"⇔ "&amp;INDEX(ポート振替表!$H$5:$H$3507,$L1015)&amp;" "&amp;INDEX(ポート振替表!$I$5:$I$3507,$L1015))</f>
        <v/>
      </c>
      <c r="L1015" s="47" t="str">
        <f aca="false">IFERROR(MATCH(ROW()-4,ポート振替表!$V$5:$V$3507,0),"")</f>
        <v/>
      </c>
    </row>
    <row r="1016" customFormat="false" ht="16.4" hidden="false" customHeight="false" outlineLevel="0" collapsed="false">
      <c r="A1016" s="32" t="str">
        <f aca="false">IF(L1016="","",ROW()-4)</f>
        <v/>
      </c>
      <c r="B1016" s="58" t="str">
        <f aca="false">IF(L1016="","",IF(INDEX(ポート振替表!$W$5:$W$3507,$L1016)="","(なし)",INDEX(ポート振替表!$W$5:$W$3507,$L1016)&amp;""))</f>
        <v/>
      </c>
      <c r="C1016" s="52" t="str">
        <f aca="false">IF(L1016="","",INDEX(ポート振替表!$B$5:$B$3507,$L1016)&amp;" "&amp;INDEX(ポート振替表!$C$5:$C$3507,$L1016)&amp;"  ⇔  "&amp;INDEX(ポート振替表!$H$5:$H$3507,$L1016)&amp;" "&amp;INDEX(ポート振替表!$I$5:$I$3507,$L1016))</f>
        <v/>
      </c>
      <c r="D1016" s="57" t="s">
        <v>158</v>
      </c>
      <c r="E1016" s="59" t="str">
        <f aca="false">IF(L1016="","",IF(INDEX(ポート振替表!$O$5:$O$3507,$L1016)="","(未設定)",INDEX(ポート振替表!$O$5:$O$3507,$L1016)&amp;""))</f>
        <v/>
      </c>
      <c r="F1016" s="52" t="str">
        <f aca="false">IF(L1016="","",INDEX(ポート振替表!$K$5:$K$3507,$L1016)&amp;" "&amp;INDEX(ポート振替表!$L$5:$L$3507,$L1016)&amp;"  ⇔  "&amp;INDEX(ポート振替表!$H$5:$H$3507,$L1016)&amp;" "&amp;INDEX(ポート振替表!$I$5:$I$3507,$L1016))</f>
        <v/>
      </c>
      <c r="G1016" s="57" t="s">
        <v>158</v>
      </c>
      <c r="H1016" s="32" t="str">
        <f aca="false">IF(L1016="","",INDEX(ポート振替表!$N$5:$N$3507,$L1016)&amp;"")</f>
        <v/>
      </c>
      <c r="I1016" s="32" t="str">
        <f aca="false">IF(L1016="","",INDEX(ポート振替表!$P$5:$P$3507,$L1016)&amp;"")</f>
        <v/>
      </c>
      <c r="J1016" s="60" t="str">
        <f aca="false">IF(L1016="","",INDEX(ポート振替表!$M$5:$M$3507,$L1016)&amp;"")</f>
        <v/>
      </c>
      <c r="K1016" s="52" t="str">
        <f aca="false">IF(L1016="","",E1016&amp;CHAR(10)&amp;INDEX(ポート振替表!$K$5:$K$3507,$L1016)&amp;" "&amp;INDEX(ポート振替表!$L$5:$L$3507,$L1016)&amp;CHAR(10)&amp;"⇔ "&amp;INDEX(ポート振替表!$H$5:$H$3507,$L1016)&amp;" "&amp;INDEX(ポート振替表!$I$5:$I$3507,$L1016))</f>
        <v/>
      </c>
      <c r="L1016" s="47" t="str">
        <f aca="false">IFERROR(MATCH(ROW()-4,ポート振替表!$V$5:$V$3507,0),"")</f>
        <v/>
      </c>
    </row>
    <row r="1017" customFormat="false" ht="16.4" hidden="false" customHeight="false" outlineLevel="0" collapsed="false">
      <c r="A1017" s="32" t="str">
        <f aca="false">IF(L1017="","",ROW()-4)</f>
        <v/>
      </c>
      <c r="B1017" s="58" t="str">
        <f aca="false">IF(L1017="","",IF(INDEX(ポート振替表!$W$5:$W$3507,$L1017)="","(なし)",INDEX(ポート振替表!$W$5:$W$3507,$L1017)&amp;""))</f>
        <v/>
      </c>
      <c r="C1017" s="52" t="str">
        <f aca="false">IF(L1017="","",INDEX(ポート振替表!$B$5:$B$3507,$L1017)&amp;" "&amp;INDEX(ポート振替表!$C$5:$C$3507,$L1017)&amp;"  ⇔  "&amp;INDEX(ポート振替表!$H$5:$H$3507,$L1017)&amp;" "&amp;INDEX(ポート振替表!$I$5:$I$3507,$L1017))</f>
        <v/>
      </c>
      <c r="D1017" s="57" t="s">
        <v>158</v>
      </c>
      <c r="E1017" s="59" t="str">
        <f aca="false">IF(L1017="","",IF(INDEX(ポート振替表!$O$5:$O$3507,$L1017)="","(未設定)",INDEX(ポート振替表!$O$5:$O$3507,$L1017)&amp;""))</f>
        <v/>
      </c>
      <c r="F1017" s="52" t="str">
        <f aca="false">IF(L1017="","",INDEX(ポート振替表!$K$5:$K$3507,$L1017)&amp;" "&amp;INDEX(ポート振替表!$L$5:$L$3507,$L1017)&amp;"  ⇔  "&amp;INDEX(ポート振替表!$H$5:$H$3507,$L1017)&amp;" "&amp;INDEX(ポート振替表!$I$5:$I$3507,$L1017))</f>
        <v/>
      </c>
      <c r="G1017" s="57" t="s">
        <v>158</v>
      </c>
      <c r="H1017" s="32" t="str">
        <f aca="false">IF(L1017="","",INDEX(ポート振替表!$N$5:$N$3507,$L1017)&amp;"")</f>
        <v/>
      </c>
      <c r="I1017" s="32" t="str">
        <f aca="false">IF(L1017="","",INDEX(ポート振替表!$P$5:$P$3507,$L1017)&amp;"")</f>
        <v/>
      </c>
      <c r="J1017" s="60" t="str">
        <f aca="false">IF(L1017="","",INDEX(ポート振替表!$M$5:$M$3507,$L1017)&amp;"")</f>
        <v/>
      </c>
      <c r="K1017" s="52" t="str">
        <f aca="false">IF(L1017="","",E1017&amp;CHAR(10)&amp;INDEX(ポート振替表!$K$5:$K$3507,$L1017)&amp;" "&amp;INDEX(ポート振替表!$L$5:$L$3507,$L1017)&amp;CHAR(10)&amp;"⇔ "&amp;INDEX(ポート振替表!$H$5:$H$3507,$L1017)&amp;" "&amp;INDEX(ポート振替表!$I$5:$I$3507,$L1017))</f>
        <v/>
      </c>
      <c r="L1017" s="47" t="str">
        <f aca="false">IFERROR(MATCH(ROW()-4,ポート振替表!$V$5:$V$3507,0),"")</f>
        <v/>
      </c>
    </row>
    <row r="1018" customFormat="false" ht="16.4" hidden="false" customHeight="false" outlineLevel="0" collapsed="false">
      <c r="A1018" s="32" t="str">
        <f aca="false">IF(L1018="","",ROW()-4)</f>
        <v/>
      </c>
      <c r="B1018" s="58" t="str">
        <f aca="false">IF(L1018="","",IF(INDEX(ポート振替表!$W$5:$W$3507,$L1018)="","(なし)",INDEX(ポート振替表!$W$5:$W$3507,$L1018)&amp;""))</f>
        <v/>
      </c>
      <c r="C1018" s="52" t="str">
        <f aca="false">IF(L1018="","",INDEX(ポート振替表!$B$5:$B$3507,$L1018)&amp;" "&amp;INDEX(ポート振替表!$C$5:$C$3507,$L1018)&amp;"  ⇔  "&amp;INDEX(ポート振替表!$H$5:$H$3507,$L1018)&amp;" "&amp;INDEX(ポート振替表!$I$5:$I$3507,$L1018))</f>
        <v/>
      </c>
      <c r="D1018" s="57" t="s">
        <v>158</v>
      </c>
      <c r="E1018" s="59" t="str">
        <f aca="false">IF(L1018="","",IF(INDEX(ポート振替表!$O$5:$O$3507,$L1018)="","(未設定)",INDEX(ポート振替表!$O$5:$O$3507,$L1018)&amp;""))</f>
        <v/>
      </c>
      <c r="F1018" s="52" t="str">
        <f aca="false">IF(L1018="","",INDEX(ポート振替表!$K$5:$K$3507,$L1018)&amp;" "&amp;INDEX(ポート振替表!$L$5:$L$3507,$L1018)&amp;"  ⇔  "&amp;INDEX(ポート振替表!$H$5:$H$3507,$L1018)&amp;" "&amp;INDEX(ポート振替表!$I$5:$I$3507,$L1018))</f>
        <v/>
      </c>
      <c r="G1018" s="57" t="s">
        <v>158</v>
      </c>
      <c r="H1018" s="32" t="str">
        <f aca="false">IF(L1018="","",INDEX(ポート振替表!$N$5:$N$3507,$L1018)&amp;"")</f>
        <v/>
      </c>
      <c r="I1018" s="32" t="str">
        <f aca="false">IF(L1018="","",INDEX(ポート振替表!$P$5:$P$3507,$L1018)&amp;"")</f>
        <v/>
      </c>
      <c r="J1018" s="60" t="str">
        <f aca="false">IF(L1018="","",INDEX(ポート振替表!$M$5:$M$3507,$L1018)&amp;"")</f>
        <v/>
      </c>
      <c r="K1018" s="52" t="str">
        <f aca="false">IF(L1018="","",E1018&amp;CHAR(10)&amp;INDEX(ポート振替表!$K$5:$K$3507,$L1018)&amp;" "&amp;INDEX(ポート振替表!$L$5:$L$3507,$L1018)&amp;CHAR(10)&amp;"⇔ "&amp;INDEX(ポート振替表!$H$5:$H$3507,$L1018)&amp;" "&amp;INDEX(ポート振替表!$I$5:$I$3507,$L1018))</f>
        <v/>
      </c>
      <c r="L1018" s="47" t="str">
        <f aca="false">IFERROR(MATCH(ROW()-4,ポート振替表!$V$5:$V$3507,0),"")</f>
        <v/>
      </c>
    </row>
    <row r="1019" customFormat="false" ht="16.4" hidden="false" customHeight="false" outlineLevel="0" collapsed="false">
      <c r="A1019" s="32" t="str">
        <f aca="false">IF(L1019="","",ROW()-4)</f>
        <v/>
      </c>
      <c r="B1019" s="58" t="str">
        <f aca="false">IF(L1019="","",IF(INDEX(ポート振替表!$W$5:$W$3507,$L1019)="","(なし)",INDEX(ポート振替表!$W$5:$W$3507,$L1019)&amp;""))</f>
        <v/>
      </c>
      <c r="C1019" s="52" t="str">
        <f aca="false">IF(L1019="","",INDEX(ポート振替表!$B$5:$B$3507,$L1019)&amp;" "&amp;INDEX(ポート振替表!$C$5:$C$3507,$L1019)&amp;"  ⇔  "&amp;INDEX(ポート振替表!$H$5:$H$3507,$L1019)&amp;" "&amp;INDEX(ポート振替表!$I$5:$I$3507,$L1019))</f>
        <v/>
      </c>
      <c r="D1019" s="57" t="s">
        <v>158</v>
      </c>
      <c r="E1019" s="59" t="str">
        <f aca="false">IF(L1019="","",IF(INDEX(ポート振替表!$O$5:$O$3507,$L1019)="","(未設定)",INDEX(ポート振替表!$O$5:$O$3507,$L1019)&amp;""))</f>
        <v/>
      </c>
      <c r="F1019" s="52" t="str">
        <f aca="false">IF(L1019="","",INDEX(ポート振替表!$K$5:$K$3507,$L1019)&amp;" "&amp;INDEX(ポート振替表!$L$5:$L$3507,$L1019)&amp;"  ⇔  "&amp;INDEX(ポート振替表!$H$5:$H$3507,$L1019)&amp;" "&amp;INDEX(ポート振替表!$I$5:$I$3507,$L1019))</f>
        <v/>
      </c>
      <c r="G1019" s="57" t="s">
        <v>158</v>
      </c>
      <c r="H1019" s="32" t="str">
        <f aca="false">IF(L1019="","",INDEX(ポート振替表!$N$5:$N$3507,$L1019)&amp;"")</f>
        <v/>
      </c>
      <c r="I1019" s="32" t="str">
        <f aca="false">IF(L1019="","",INDEX(ポート振替表!$P$5:$P$3507,$L1019)&amp;"")</f>
        <v/>
      </c>
      <c r="J1019" s="60" t="str">
        <f aca="false">IF(L1019="","",INDEX(ポート振替表!$M$5:$M$3507,$L1019)&amp;"")</f>
        <v/>
      </c>
      <c r="K1019" s="52" t="str">
        <f aca="false">IF(L1019="","",E1019&amp;CHAR(10)&amp;INDEX(ポート振替表!$K$5:$K$3507,$L1019)&amp;" "&amp;INDEX(ポート振替表!$L$5:$L$3507,$L1019)&amp;CHAR(10)&amp;"⇔ "&amp;INDEX(ポート振替表!$H$5:$H$3507,$L1019)&amp;" "&amp;INDEX(ポート振替表!$I$5:$I$3507,$L1019))</f>
        <v/>
      </c>
      <c r="L1019" s="47" t="str">
        <f aca="false">IFERROR(MATCH(ROW()-4,ポート振替表!$V$5:$V$3507,0),"")</f>
        <v/>
      </c>
    </row>
    <row r="1020" customFormat="false" ht="16.4" hidden="false" customHeight="false" outlineLevel="0" collapsed="false">
      <c r="A1020" s="32" t="str">
        <f aca="false">IF(L1020="","",ROW()-4)</f>
        <v/>
      </c>
      <c r="B1020" s="58" t="str">
        <f aca="false">IF(L1020="","",IF(INDEX(ポート振替表!$W$5:$W$3507,$L1020)="","(なし)",INDEX(ポート振替表!$W$5:$W$3507,$L1020)&amp;""))</f>
        <v/>
      </c>
      <c r="C1020" s="52" t="str">
        <f aca="false">IF(L1020="","",INDEX(ポート振替表!$B$5:$B$3507,$L1020)&amp;" "&amp;INDEX(ポート振替表!$C$5:$C$3507,$L1020)&amp;"  ⇔  "&amp;INDEX(ポート振替表!$H$5:$H$3507,$L1020)&amp;" "&amp;INDEX(ポート振替表!$I$5:$I$3507,$L1020))</f>
        <v/>
      </c>
      <c r="D1020" s="57" t="s">
        <v>158</v>
      </c>
      <c r="E1020" s="59" t="str">
        <f aca="false">IF(L1020="","",IF(INDEX(ポート振替表!$O$5:$O$3507,$L1020)="","(未設定)",INDEX(ポート振替表!$O$5:$O$3507,$L1020)&amp;""))</f>
        <v/>
      </c>
      <c r="F1020" s="52" t="str">
        <f aca="false">IF(L1020="","",INDEX(ポート振替表!$K$5:$K$3507,$L1020)&amp;" "&amp;INDEX(ポート振替表!$L$5:$L$3507,$L1020)&amp;"  ⇔  "&amp;INDEX(ポート振替表!$H$5:$H$3507,$L1020)&amp;" "&amp;INDEX(ポート振替表!$I$5:$I$3507,$L1020))</f>
        <v/>
      </c>
      <c r="G1020" s="57" t="s">
        <v>158</v>
      </c>
      <c r="H1020" s="32" t="str">
        <f aca="false">IF(L1020="","",INDEX(ポート振替表!$N$5:$N$3507,$L1020)&amp;"")</f>
        <v/>
      </c>
      <c r="I1020" s="32" t="str">
        <f aca="false">IF(L1020="","",INDEX(ポート振替表!$P$5:$P$3507,$L1020)&amp;"")</f>
        <v/>
      </c>
      <c r="J1020" s="60" t="str">
        <f aca="false">IF(L1020="","",INDEX(ポート振替表!$M$5:$M$3507,$L1020)&amp;"")</f>
        <v/>
      </c>
      <c r="K1020" s="52" t="str">
        <f aca="false">IF(L1020="","",E1020&amp;CHAR(10)&amp;INDEX(ポート振替表!$K$5:$K$3507,$L1020)&amp;" "&amp;INDEX(ポート振替表!$L$5:$L$3507,$L1020)&amp;CHAR(10)&amp;"⇔ "&amp;INDEX(ポート振替表!$H$5:$H$3507,$L1020)&amp;" "&amp;INDEX(ポート振替表!$I$5:$I$3507,$L1020))</f>
        <v/>
      </c>
      <c r="L1020" s="47" t="str">
        <f aca="false">IFERROR(MATCH(ROW()-4,ポート振替表!$V$5:$V$3507,0),"")</f>
        <v/>
      </c>
    </row>
    <row r="1021" customFormat="false" ht="16.4" hidden="false" customHeight="false" outlineLevel="0" collapsed="false">
      <c r="A1021" s="32" t="str">
        <f aca="false">IF(L1021="","",ROW()-4)</f>
        <v/>
      </c>
      <c r="B1021" s="58" t="str">
        <f aca="false">IF(L1021="","",IF(INDEX(ポート振替表!$W$5:$W$3507,$L1021)="","(なし)",INDEX(ポート振替表!$W$5:$W$3507,$L1021)&amp;""))</f>
        <v/>
      </c>
      <c r="C1021" s="52" t="str">
        <f aca="false">IF(L1021="","",INDEX(ポート振替表!$B$5:$B$3507,$L1021)&amp;" "&amp;INDEX(ポート振替表!$C$5:$C$3507,$L1021)&amp;"  ⇔  "&amp;INDEX(ポート振替表!$H$5:$H$3507,$L1021)&amp;" "&amp;INDEX(ポート振替表!$I$5:$I$3507,$L1021))</f>
        <v/>
      </c>
      <c r="D1021" s="57" t="s">
        <v>158</v>
      </c>
      <c r="E1021" s="59" t="str">
        <f aca="false">IF(L1021="","",IF(INDEX(ポート振替表!$O$5:$O$3507,$L1021)="","(未設定)",INDEX(ポート振替表!$O$5:$O$3507,$L1021)&amp;""))</f>
        <v/>
      </c>
      <c r="F1021" s="52" t="str">
        <f aca="false">IF(L1021="","",INDEX(ポート振替表!$K$5:$K$3507,$L1021)&amp;" "&amp;INDEX(ポート振替表!$L$5:$L$3507,$L1021)&amp;"  ⇔  "&amp;INDEX(ポート振替表!$H$5:$H$3507,$L1021)&amp;" "&amp;INDEX(ポート振替表!$I$5:$I$3507,$L1021))</f>
        <v/>
      </c>
      <c r="G1021" s="57" t="s">
        <v>158</v>
      </c>
      <c r="H1021" s="32" t="str">
        <f aca="false">IF(L1021="","",INDEX(ポート振替表!$N$5:$N$3507,$L1021)&amp;"")</f>
        <v/>
      </c>
      <c r="I1021" s="32" t="str">
        <f aca="false">IF(L1021="","",INDEX(ポート振替表!$P$5:$P$3507,$L1021)&amp;"")</f>
        <v/>
      </c>
      <c r="J1021" s="60" t="str">
        <f aca="false">IF(L1021="","",INDEX(ポート振替表!$M$5:$M$3507,$L1021)&amp;"")</f>
        <v/>
      </c>
      <c r="K1021" s="52" t="str">
        <f aca="false">IF(L1021="","",E1021&amp;CHAR(10)&amp;INDEX(ポート振替表!$K$5:$K$3507,$L1021)&amp;" "&amp;INDEX(ポート振替表!$L$5:$L$3507,$L1021)&amp;CHAR(10)&amp;"⇔ "&amp;INDEX(ポート振替表!$H$5:$H$3507,$L1021)&amp;" "&amp;INDEX(ポート振替表!$I$5:$I$3507,$L1021))</f>
        <v/>
      </c>
      <c r="L1021" s="47" t="str">
        <f aca="false">IFERROR(MATCH(ROW()-4,ポート振替表!$V$5:$V$3507,0),"")</f>
        <v/>
      </c>
    </row>
    <row r="1022" customFormat="false" ht="16.4" hidden="false" customHeight="false" outlineLevel="0" collapsed="false">
      <c r="A1022" s="32" t="str">
        <f aca="false">IF(L1022="","",ROW()-4)</f>
        <v/>
      </c>
      <c r="B1022" s="58" t="str">
        <f aca="false">IF(L1022="","",IF(INDEX(ポート振替表!$W$5:$W$3507,$L1022)="","(なし)",INDEX(ポート振替表!$W$5:$W$3507,$L1022)&amp;""))</f>
        <v/>
      </c>
      <c r="C1022" s="52" t="str">
        <f aca="false">IF(L1022="","",INDEX(ポート振替表!$B$5:$B$3507,$L1022)&amp;" "&amp;INDEX(ポート振替表!$C$5:$C$3507,$L1022)&amp;"  ⇔  "&amp;INDEX(ポート振替表!$H$5:$H$3507,$L1022)&amp;" "&amp;INDEX(ポート振替表!$I$5:$I$3507,$L1022))</f>
        <v/>
      </c>
      <c r="D1022" s="57" t="s">
        <v>158</v>
      </c>
      <c r="E1022" s="59" t="str">
        <f aca="false">IF(L1022="","",IF(INDEX(ポート振替表!$O$5:$O$3507,$L1022)="","(未設定)",INDEX(ポート振替表!$O$5:$O$3507,$L1022)&amp;""))</f>
        <v/>
      </c>
      <c r="F1022" s="52" t="str">
        <f aca="false">IF(L1022="","",INDEX(ポート振替表!$K$5:$K$3507,$L1022)&amp;" "&amp;INDEX(ポート振替表!$L$5:$L$3507,$L1022)&amp;"  ⇔  "&amp;INDEX(ポート振替表!$H$5:$H$3507,$L1022)&amp;" "&amp;INDEX(ポート振替表!$I$5:$I$3507,$L1022))</f>
        <v/>
      </c>
      <c r="G1022" s="57" t="s">
        <v>158</v>
      </c>
      <c r="H1022" s="32" t="str">
        <f aca="false">IF(L1022="","",INDEX(ポート振替表!$N$5:$N$3507,$L1022)&amp;"")</f>
        <v/>
      </c>
      <c r="I1022" s="32" t="str">
        <f aca="false">IF(L1022="","",INDEX(ポート振替表!$P$5:$P$3507,$L1022)&amp;"")</f>
        <v/>
      </c>
      <c r="J1022" s="60" t="str">
        <f aca="false">IF(L1022="","",INDEX(ポート振替表!$M$5:$M$3507,$L1022)&amp;"")</f>
        <v/>
      </c>
      <c r="K1022" s="52" t="str">
        <f aca="false">IF(L1022="","",E1022&amp;CHAR(10)&amp;INDEX(ポート振替表!$K$5:$K$3507,$L1022)&amp;" "&amp;INDEX(ポート振替表!$L$5:$L$3507,$L1022)&amp;CHAR(10)&amp;"⇔ "&amp;INDEX(ポート振替表!$H$5:$H$3507,$L1022)&amp;" "&amp;INDEX(ポート振替表!$I$5:$I$3507,$L1022))</f>
        <v/>
      </c>
      <c r="L1022" s="47" t="str">
        <f aca="false">IFERROR(MATCH(ROW()-4,ポート振替表!$V$5:$V$3507,0),"")</f>
        <v/>
      </c>
    </row>
    <row r="1023" customFormat="false" ht="16.4" hidden="false" customHeight="false" outlineLevel="0" collapsed="false">
      <c r="A1023" s="32" t="str">
        <f aca="false">IF(L1023="","",ROW()-4)</f>
        <v/>
      </c>
      <c r="B1023" s="58" t="str">
        <f aca="false">IF(L1023="","",IF(INDEX(ポート振替表!$W$5:$W$3507,$L1023)="","(なし)",INDEX(ポート振替表!$W$5:$W$3507,$L1023)&amp;""))</f>
        <v/>
      </c>
      <c r="C1023" s="52" t="str">
        <f aca="false">IF(L1023="","",INDEX(ポート振替表!$B$5:$B$3507,$L1023)&amp;" "&amp;INDEX(ポート振替表!$C$5:$C$3507,$L1023)&amp;"  ⇔  "&amp;INDEX(ポート振替表!$H$5:$H$3507,$L1023)&amp;" "&amp;INDEX(ポート振替表!$I$5:$I$3507,$L1023))</f>
        <v/>
      </c>
      <c r="D1023" s="57" t="s">
        <v>158</v>
      </c>
      <c r="E1023" s="59" t="str">
        <f aca="false">IF(L1023="","",IF(INDEX(ポート振替表!$O$5:$O$3507,$L1023)="","(未設定)",INDEX(ポート振替表!$O$5:$O$3507,$L1023)&amp;""))</f>
        <v/>
      </c>
      <c r="F1023" s="52" t="str">
        <f aca="false">IF(L1023="","",INDEX(ポート振替表!$K$5:$K$3507,$L1023)&amp;" "&amp;INDEX(ポート振替表!$L$5:$L$3507,$L1023)&amp;"  ⇔  "&amp;INDEX(ポート振替表!$H$5:$H$3507,$L1023)&amp;" "&amp;INDEX(ポート振替表!$I$5:$I$3507,$L1023))</f>
        <v/>
      </c>
      <c r="G1023" s="57" t="s">
        <v>158</v>
      </c>
      <c r="H1023" s="32" t="str">
        <f aca="false">IF(L1023="","",INDEX(ポート振替表!$N$5:$N$3507,$L1023)&amp;"")</f>
        <v/>
      </c>
      <c r="I1023" s="32" t="str">
        <f aca="false">IF(L1023="","",INDEX(ポート振替表!$P$5:$P$3507,$L1023)&amp;"")</f>
        <v/>
      </c>
      <c r="J1023" s="60" t="str">
        <f aca="false">IF(L1023="","",INDEX(ポート振替表!$M$5:$M$3507,$L1023)&amp;"")</f>
        <v/>
      </c>
      <c r="K1023" s="52" t="str">
        <f aca="false">IF(L1023="","",E1023&amp;CHAR(10)&amp;INDEX(ポート振替表!$K$5:$K$3507,$L1023)&amp;" "&amp;INDEX(ポート振替表!$L$5:$L$3507,$L1023)&amp;CHAR(10)&amp;"⇔ "&amp;INDEX(ポート振替表!$H$5:$H$3507,$L1023)&amp;" "&amp;INDEX(ポート振替表!$I$5:$I$3507,$L1023))</f>
        <v/>
      </c>
      <c r="L1023" s="47" t="str">
        <f aca="false">IFERROR(MATCH(ROW()-4,ポート振替表!$V$5:$V$3507,0),"")</f>
        <v/>
      </c>
    </row>
    <row r="1024" customFormat="false" ht="16.4" hidden="false" customHeight="false" outlineLevel="0" collapsed="false">
      <c r="A1024" s="32" t="str">
        <f aca="false">IF(L1024="","",ROW()-4)</f>
        <v/>
      </c>
      <c r="B1024" s="58" t="str">
        <f aca="false">IF(L1024="","",IF(INDEX(ポート振替表!$W$5:$W$3507,$L1024)="","(なし)",INDEX(ポート振替表!$W$5:$W$3507,$L1024)&amp;""))</f>
        <v/>
      </c>
      <c r="C1024" s="52" t="str">
        <f aca="false">IF(L1024="","",INDEX(ポート振替表!$B$5:$B$3507,$L1024)&amp;" "&amp;INDEX(ポート振替表!$C$5:$C$3507,$L1024)&amp;"  ⇔  "&amp;INDEX(ポート振替表!$H$5:$H$3507,$L1024)&amp;" "&amp;INDEX(ポート振替表!$I$5:$I$3507,$L1024))</f>
        <v/>
      </c>
      <c r="D1024" s="57" t="s">
        <v>158</v>
      </c>
      <c r="E1024" s="59" t="str">
        <f aca="false">IF(L1024="","",IF(INDEX(ポート振替表!$O$5:$O$3507,$L1024)="","(未設定)",INDEX(ポート振替表!$O$5:$O$3507,$L1024)&amp;""))</f>
        <v/>
      </c>
      <c r="F1024" s="52" t="str">
        <f aca="false">IF(L1024="","",INDEX(ポート振替表!$K$5:$K$3507,$L1024)&amp;" "&amp;INDEX(ポート振替表!$L$5:$L$3507,$L1024)&amp;"  ⇔  "&amp;INDEX(ポート振替表!$H$5:$H$3507,$L1024)&amp;" "&amp;INDEX(ポート振替表!$I$5:$I$3507,$L1024))</f>
        <v/>
      </c>
      <c r="G1024" s="57" t="s">
        <v>158</v>
      </c>
      <c r="H1024" s="32" t="str">
        <f aca="false">IF(L1024="","",INDEX(ポート振替表!$N$5:$N$3507,$L1024)&amp;"")</f>
        <v/>
      </c>
      <c r="I1024" s="32" t="str">
        <f aca="false">IF(L1024="","",INDEX(ポート振替表!$P$5:$P$3507,$L1024)&amp;"")</f>
        <v/>
      </c>
      <c r="J1024" s="60" t="str">
        <f aca="false">IF(L1024="","",INDEX(ポート振替表!$M$5:$M$3507,$L1024)&amp;"")</f>
        <v/>
      </c>
      <c r="K1024" s="52" t="str">
        <f aca="false">IF(L1024="","",E1024&amp;CHAR(10)&amp;INDEX(ポート振替表!$K$5:$K$3507,$L1024)&amp;" "&amp;INDEX(ポート振替表!$L$5:$L$3507,$L1024)&amp;CHAR(10)&amp;"⇔ "&amp;INDEX(ポート振替表!$H$5:$H$3507,$L1024)&amp;" "&amp;INDEX(ポート振替表!$I$5:$I$3507,$L1024))</f>
        <v/>
      </c>
      <c r="L1024" s="47" t="str">
        <f aca="false">IFERROR(MATCH(ROW()-4,ポート振替表!$V$5:$V$3507,0),"")</f>
        <v/>
      </c>
    </row>
    <row r="1025" customFormat="false" ht="16.4" hidden="false" customHeight="false" outlineLevel="0" collapsed="false">
      <c r="A1025" s="32" t="str">
        <f aca="false">IF(L1025="","",ROW()-4)</f>
        <v/>
      </c>
      <c r="B1025" s="58" t="str">
        <f aca="false">IF(L1025="","",IF(INDEX(ポート振替表!$W$5:$W$3507,$L1025)="","(なし)",INDEX(ポート振替表!$W$5:$W$3507,$L1025)&amp;""))</f>
        <v/>
      </c>
      <c r="C1025" s="52" t="str">
        <f aca="false">IF(L1025="","",INDEX(ポート振替表!$B$5:$B$3507,$L1025)&amp;" "&amp;INDEX(ポート振替表!$C$5:$C$3507,$L1025)&amp;"  ⇔  "&amp;INDEX(ポート振替表!$H$5:$H$3507,$L1025)&amp;" "&amp;INDEX(ポート振替表!$I$5:$I$3507,$L1025))</f>
        <v/>
      </c>
      <c r="D1025" s="57" t="s">
        <v>158</v>
      </c>
      <c r="E1025" s="59" t="str">
        <f aca="false">IF(L1025="","",IF(INDEX(ポート振替表!$O$5:$O$3507,$L1025)="","(未設定)",INDEX(ポート振替表!$O$5:$O$3507,$L1025)&amp;""))</f>
        <v/>
      </c>
      <c r="F1025" s="52" t="str">
        <f aca="false">IF(L1025="","",INDEX(ポート振替表!$K$5:$K$3507,$L1025)&amp;" "&amp;INDEX(ポート振替表!$L$5:$L$3507,$L1025)&amp;"  ⇔  "&amp;INDEX(ポート振替表!$H$5:$H$3507,$L1025)&amp;" "&amp;INDEX(ポート振替表!$I$5:$I$3507,$L1025))</f>
        <v/>
      </c>
      <c r="G1025" s="57" t="s">
        <v>158</v>
      </c>
      <c r="H1025" s="32" t="str">
        <f aca="false">IF(L1025="","",INDEX(ポート振替表!$N$5:$N$3507,$L1025)&amp;"")</f>
        <v/>
      </c>
      <c r="I1025" s="32" t="str">
        <f aca="false">IF(L1025="","",INDEX(ポート振替表!$P$5:$P$3507,$L1025)&amp;"")</f>
        <v/>
      </c>
      <c r="J1025" s="60" t="str">
        <f aca="false">IF(L1025="","",INDEX(ポート振替表!$M$5:$M$3507,$L1025)&amp;"")</f>
        <v/>
      </c>
      <c r="K1025" s="52" t="str">
        <f aca="false">IF(L1025="","",E1025&amp;CHAR(10)&amp;INDEX(ポート振替表!$K$5:$K$3507,$L1025)&amp;" "&amp;INDEX(ポート振替表!$L$5:$L$3507,$L1025)&amp;CHAR(10)&amp;"⇔ "&amp;INDEX(ポート振替表!$H$5:$H$3507,$L1025)&amp;" "&amp;INDEX(ポート振替表!$I$5:$I$3507,$L1025))</f>
        <v/>
      </c>
      <c r="L1025" s="47" t="str">
        <f aca="false">IFERROR(MATCH(ROW()-4,ポート振替表!$V$5:$V$3507,0),"")</f>
        <v/>
      </c>
    </row>
    <row r="1026" customFormat="false" ht="16.4" hidden="false" customHeight="false" outlineLevel="0" collapsed="false">
      <c r="A1026" s="32" t="str">
        <f aca="false">IF(L1026="","",ROW()-4)</f>
        <v/>
      </c>
      <c r="B1026" s="58" t="str">
        <f aca="false">IF(L1026="","",IF(INDEX(ポート振替表!$W$5:$W$3507,$L1026)="","(なし)",INDEX(ポート振替表!$W$5:$W$3507,$L1026)&amp;""))</f>
        <v/>
      </c>
      <c r="C1026" s="52" t="str">
        <f aca="false">IF(L1026="","",INDEX(ポート振替表!$B$5:$B$3507,$L1026)&amp;" "&amp;INDEX(ポート振替表!$C$5:$C$3507,$L1026)&amp;"  ⇔  "&amp;INDEX(ポート振替表!$H$5:$H$3507,$L1026)&amp;" "&amp;INDEX(ポート振替表!$I$5:$I$3507,$L1026))</f>
        <v/>
      </c>
      <c r="D1026" s="57" t="s">
        <v>158</v>
      </c>
      <c r="E1026" s="59" t="str">
        <f aca="false">IF(L1026="","",IF(INDEX(ポート振替表!$O$5:$O$3507,$L1026)="","(未設定)",INDEX(ポート振替表!$O$5:$O$3507,$L1026)&amp;""))</f>
        <v/>
      </c>
      <c r="F1026" s="52" t="str">
        <f aca="false">IF(L1026="","",INDEX(ポート振替表!$K$5:$K$3507,$L1026)&amp;" "&amp;INDEX(ポート振替表!$L$5:$L$3507,$L1026)&amp;"  ⇔  "&amp;INDEX(ポート振替表!$H$5:$H$3507,$L1026)&amp;" "&amp;INDEX(ポート振替表!$I$5:$I$3507,$L1026))</f>
        <v/>
      </c>
      <c r="G1026" s="57" t="s">
        <v>158</v>
      </c>
      <c r="H1026" s="32" t="str">
        <f aca="false">IF(L1026="","",INDEX(ポート振替表!$N$5:$N$3507,$L1026)&amp;"")</f>
        <v/>
      </c>
      <c r="I1026" s="32" t="str">
        <f aca="false">IF(L1026="","",INDEX(ポート振替表!$P$5:$P$3507,$L1026)&amp;"")</f>
        <v/>
      </c>
      <c r="J1026" s="60" t="str">
        <f aca="false">IF(L1026="","",INDEX(ポート振替表!$M$5:$M$3507,$L1026)&amp;"")</f>
        <v/>
      </c>
      <c r="K1026" s="52" t="str">
        <f aca="false">IF(L1026="","",E1026&amp;CHAR(10)&amp;INDEX(ポート振替表!$K$5:$K$3507,$L1026)&amp;" "&amp;INDEX(ポート振替表!$L$5:$L$3507,$L1026)&amp;CHAR(10)&amp;"⇔ "&amp;INDEX(ポート振替表!$H$5:$H$3507,$L1026)&amp;" "&amp;INDEX(ポート振替表!$I$5:$I$3507,$L1026))</f>
        <v/>
      </c>
      <c r="L1026" s="47" t="str">
        <f aca="false">IFERROR(MATCH(ROW()-4,ポート振替表!$V$5:$V$3507,0),"")</f>
        <v/>
      </c>
    </row>
    <row r="1027" customFormat="false" ht="16.4" hidden="false" customHeight="false" outlineLevel="0" collapsed="false">
      <c r="A1027" s="32" t="str">
        <f aca="false">IF(L1027="","",ROW()-4)</f>
        <v/>
      </c>
      <c r="B1027" s="58" t="str">
        <f aca="false">IF(L1027="","",IF(INDEX(ポート振替表!$W$5:$W$3507,$L1027)="","(なし)",INDEX(ポート振替表!$W$5:$W$3507,$L1027)&amp;""))</f>
        <v/>
      </c>
      <c r="C1027" s="52" t="str">
        <f aca="false">IF(L1027="","",INDEX(ポート振替表!$B$5:$B$3507,$L1027)&amp;" "&amp;INDEX(ポート振替表!$C$5:$C$3507,$L1027)&amp;"  ⇔  "&amp;INDEX(ポート振替表!$H$5:$H$3507,$L1027)&amp;" "&amp;INDEX(ポート振替表!$I$5:$I$3507,$L1027))</f>
        <v/>
      </c>
      <c r="D1027" s="57" t="s">
        <v>158</v>
      </c>
      <c r="E1027" s="59" t="str">
        <f aca="false">IF(L1027="","",IF(INDEX(ポート振替表!$O$5:$O$3507,$L1027)="","(未設定)",INDEX(ポート振替表!$O$5:$O$3507,$L1027)&amp;""))</f>
        <v/>
      </c>
      <c r="F1027" s="52" t="str">
        <f aca="false">IF(L1027="","",INDEX(ポート振替表!$K$5:$K$3507,$L1027)&amp;" "&amp;INDEX(ポート振替表!$L$5:$L$3507,$L1027)&amp;"  ⇔  "&amp;INDEX(ポート振替表!$H$5:$H$3507,$L1027)&amp;" "&amp;INDEX(ポート振替表!$I$5:$I$3507,$L1027))</f>
        <v/>
      </c>
      <c r="G1027" s="57" t="s">
        <v>158</v>
      </c>
      <c r="H1027" s="32" t="str">
        <f aca="false">IF(L1027="","",INDEX(ポート振替表!$N$5:$N$3507,$L1027)&amp;"")</f>
        <v/>
      </c>
      <c r="I1027" s="32" t="str">
        <f aca="false">IF(L1027="","",INDEX(ポート振替表!$P$5:$P$3507,$L1027)&amp;"")</f>
        <v/>
      </c>
      <c r="J1027" s="60" t="str">
        <f aca="false">IF(L1027="","",INDEX(ポート振替表!$M$5:$M$3507,$L1027)&amp;"")</f>
        <v/>
      </c>
      <c r="K1027" s="52" t="str">
        <f aca="false">IF(L1027="","",E1027&amp;CHAR(10)&amp;INDEX(ポート振替表!$K$5:$K$3507,$L1027)&amp;" "&amp;INDEX(ポート振替表!$L$5:$L$3507,$L1027)&amp;CHAR(10)&amp;"⇔ "&amp;INDEX(ポート振替表!$H$5:$H$3507,$L1027)&amp;" "&amp;INDEX(ポート振替表!$I$5:$I$3507,$L1027))</f>
        <v/>
      </c>
      <c r="L1027" s="47" t="str">
        <f aca="false">IFERROR(MATCH(ROW()-4,ポート振替表!$V$5:$V$3507,0),"")</f>
        <v/>
      </c>
    </row>
    <row r="1028" customFormat="false" ht="16.4" hidden="false" customHeight="false" outlineLevel="0" collapsed="false">
      <c r="A1028" s="32" t="str">
        <f aca="false">IF(L1028="","",ROW()-4)</f>
        <v/>
      </c>
      <c r="B1028" s="58" t="str">
        <f aca="false">IF(L1028="","",IF(INDEX(ポート振替表!$W$5:$W$3507,$L1028)="","(なし)",INDEX(ポート振替表!$W$5:$W$3507,$L1028)&amp;""))</f>
        <v/>
      </c>
      <c r="C1028" s="52" t="str">
        <f aca="false">IF(L1028="","",INDEX(ポート振替表!$B$5:$B$3507,$L1028)&amp;" "&amp;INDEX(ポート振替表!$C$5:$C$3507,$L1028)&amp;"  ⇔  "&amp;INDEX(ポート振替表!$H$5:$H$3507,$L1028)&amp;" "&amp;INDEX(ポート振替表!$I$5:$I$3507,$L1028))</f>
        <v/>
      </c>
      <c r="D1028" s="57" t="s">
        <v>158</v>
      </c>
      <c r="E1028" s="59" t="str">
        <f aca="false">IF(L1028="","",IF(INDEX(ポート振替表!$O$5:$O$3507,$L1028)="","(未設定)",INDEX(ポート振替表!$O$5:$O$3507,$L1028)&amp;""))</f>
        <v/>
      </c>
      <c r="F1028" s="52" t="str">
        <f aca="false">IF(L1028="","",INDEX(ポート振替表!$K$5:$K$3507,$L1028)&amp;" "&amp;INDEX(ポート振替表!$L$5:$L$3507,$L1028)&amp;"  ⇔  "&amp;INDEX(ポート振替表!$H$5:$H$3507,$L1028)&amp;" "&amp;INDEX(ポート振替表!$I$5:$I$3507,$L1028))</f>
        <v/>
      </c>
      <c r="G1028" s="57" t="s">
        <v>158</v>
      </c>
      <c r="H1028" s="32" t="str">
        <f aca="false">IF(L1028="","",INDEX(ポート振替表!$N$5:$N$3507,$L1028)&amp;"")</f>
        <v/>
      </c>
      <c r="I1028" s="32" t="str">
        <f aca="false">IF(L1028="","",INDEX(ポート振替表!$P$5:$P$3507,$L1028)&amp;"")</f>
        <v/>
      </c>
      <c r="J1028" s="60" t="str">
        <f aca="false">IF(L1028="","",INDEX(ポート振替表!$M$5:$M$3507,$L1028)&amp;"")</f>
        <v/>
      </c>
      <c r="K1028" s="52" t="str">
        <f aca="false">IF(L1028="","",E1028&amp;CHAR(10)&amp;INDEX(ポート振替表!$K$5:$K$3507,$L1028)&amp;" "&amp;INDEX(ポート振替表!$L$5:$L$3507,$L1028)&amp;CHAR(10)&amp;"⇔ "&amp;INDEX(ポート振替表!$H$5:$H$3507,$L1028)&amp;" "&amp;INDEX(ポート振替表!$I$5:$I$3507,$L1028))</f>
        <v/>
      </c>
      <c r="L1028" s="47" t="str">
        <f aca="false">IFERROR(MATCH(ROW()-4,ポート振替表!$V$5:$V$3507,0),"")</f>
        <v/>
      </c>
    </row>
    <row r="1029" customFormat="false" ht="16.4" hidden="false" customHeight="false" outlineLevel="0" collapsed="false">
      <c r="A1029" s="32" t="str">
        <f aca="false">IF(L1029="","",ROW()-4)</f>
        <v/>
      </c>
      <c r="B1029" s="58" t="str">
        <f aca="false">IF(L1029="","",IF(INDEX(ポート振替表!$W$5:$W$3507,$L1029)="","(なし)",INDEX(ポート振替表!$W$5:$W$3507,$L1029)&amp;""))</f>
        <v/>
      </c>
      <c r="C1029" s="52" t="str">
        <f aca="false">IF(L1029="","",INDEX(ポート振替表!$B$5:$B$3507,$L1029)&amp;" "&amp;INDEX(ポート振替表!$C$5:$C$3507,$L1029)&amp;"  ⇔  "&amp;INDEX(ポート振替表!$H$5:$H$3507,$L1029)&amp;" "&amp;INDEX(ポート振替表!$I$5:$I$3507,$L1029))</f>
        <v/>
      </c>
      <c r="D1029" s="57" t="s">
        <v>158</v>
      </c>
      <c r="E1029" s="59" t="str">
        <f aca="false">IF(L1029="","",IF(INDEX(ポート振替表!$O$5:$O$3507,$L1029)="","(未設定)",INDEX(ポート振替表!$O$5:$O$3507,$L1029)&amp;""))</f>
        <v/>
      </c>
      <c r="F1029" s="52" t="str">
        <f aca="false">IF(L1029="","",INDEX(ポート振替表!$K$5:$K$3507,$L1029)&amp;" "&amp;INDEX(ポート振替表!$L$5:$L$3507,$L1029)&amp;"  ⇔  "&amp;INDEX(ポート振替表!$H$5:$H$3507,$L1029)&amp;" "&amp;INDEX(ポート振替表!$I$5:$I$3507,$L1029))</f>
        <v/>
      </c>
      <c r="G1029" s="57" t="s">
        <v>158</v>
      </c>
      <c r="H1029" s="32" t="str">
        <f aca="false">IF(L1029="","",INDEX(ポート振替表!$N$5:$N$3507,$L1029)&amp;"")</f>
        <v/>
      </c>
      <c r="I1029" s="32" t="str">
        <f aca="false">IF(L1029="","",INDEX(ポート振替表!$P$5:$P$3507,$L1029)&amp;"")</f>
        <v/>
      </c>
      <c r="J1029" s="60" t="str">
        <f aca="false">IF(L1029="","",INDEX(ポート振替表!$M$5:$M$3507,$L1029)&amp;"")</f>
        <v/>
      </c>
      <c r="K1029" s="52" t="str">
        <f aca="false">IF(L1029="","",E1029&amp;CHAR(10)&amp;INDEX(ポート振替表!$K$5:$K$3507,$L1029)&amp;" "&amp;INDEX(ポート振替表!$L$5:$L$3507,$L1029)&amp;CHAR(10)&amp;"⇔ "&amp;INDEX(ポート振替表!$H$5:$H$3507,$L1029)&amp;" "&amp;INDEX(ポート振替表!$I$5:$I$3507,$L1029))</f>
        <v/>
      </c>
      <c r="L1029" s="47" t="str">
        <f aca="false">IFERROR(MATCH(ROW()-4,ポート振替表!$V$5:$V$3507,0),"")</f>
        <v/>
      </c>
    </row>
    <row r="1030" customFormat="false" ht="16.4" hidden="false" customHeight="false" outlineLevel="0" collapsed="false">
      <c r="A1030" s="32" t="str">
        <f aca="false">IF(L1030="","",ROW()-4)</f>
        <v/>
      </c>
      <c r="B1030" s="58" t="str">
        <f aca="false">IF(L1030="","",IF(INDEX(ポート振替表!$W$5:$W$3507,$L1030)="","(なし)",INDEX(ポート振替表!$W$5:$W$3507,$L1030)&amp;""))</f>
        <v/>
      </c>
      <c r="C1030" s="52" t="str">
        <f aca="false">IF(L1030="","",INDEX(ポート振替表!$B$5:$B$3507,$L1030)&amp;" "&amp;INDEX(ポート振替表!$C$5:$C$3507,$L1030)&amp;"  ⇔  "&amp;INDEX(ポート振替表!$H$5:$H$3507,$L1030)&amp;" "&amp;INDEX(ポート振替表!$I$5:$I$3507,$L1030))</f>
        <v/>
      </c>
      <c r="D1030" s="57" t="s">
        <v>158</v>
      </c>
      <c r="E1030" s="59" t="str">
        <f aca="false">IF(L1030="","",IF(INDEX(ポート振替表!$O$5:$O$3507,$L1030)="","(未設定)",INDEX(ポート振替表!$O$5:$O$3507,$L1030)&amp;""))</f>
        <v/>
      </c>
      <c r="F1030" s="52" t="str">
        <f aca="false">IF(L1030="","",INDEX(ポート振替表!$K$5:$K$3507,$L1030)&amp;" "&amp;INDEX(ポート振替表!$L$5:$L$3507,$L1030)&amp;"  ⇔  "&amp;INDEX(ポート振替表!$H$5:$H$3507,$L1030)&amp;" "&amp;INDEX(ポート振替表!$I$5:$I$3507,$L1030))</f>
        <v/>
      </c>
      <c r="G1030" s="57" t="s">
        <v>158</v>
      </c>
      <c r="H1030" s="32" t="str">
        <f aca="false">IF(L1030="","",INDEX(ポート振替表!$N$5:$N$3507,$L1030)&amp;"")</f>
        <v/>
      </c>
      <c r="I1030" s="32" t="str">
        <f aca="false">IF(L1030="","",INDEX(ポート振替表!$P$5:$P$3507,$L1030)&amp;"")</f>
        <v/>
      </c>
      <c r="J1030" s="60" t="str">
        <f aca="false">IF(L1030="","",INDEX(ポート振替表!$M$5:$M$3507,$L1030)&amp;"")</f>
        <v/>
      </c>
      <c r="K1030" s="52" t="str">
        <f aca="false">IF(L1030="","",E1030&amp;CHAR(10)&amp;INDEX(ポート振替表!$K$5:$K$3507,$L1030)&amp;" "&amp;INDEX(ポート振替表!$L$5:$L$3507,$L1030)&amp;CHAR(10)&amp;"⇔ "&amp;INDEX(ポート振替表!$H$5:$H$3507,$L1030)&amp;" "&amp;INDEX(ポート振替表!$I$5:$I$3507,$L1030))</f>
        <v/>
      </c>
      <c r="L1030" s="47" t="str">
        <f aca="false">IFERROR(MATCH(ROW()-4,ポート振替表!$V$5:$V$3507,0),"")</f>
        <v/>
      </c>
    </row>
    <row r="1031" customFormat="false" ht="16.4" hidden="false" customHeight="false" outlineLevel="0" collapsed="false">
      <c r="A1031" s="32" t="str">
        <f aca="false">IF(L1031="","",ROW()-4)</f>
        <v/>
      </c>
      <c r="B1031" s="58" t="str">
        <f aca="false">IF(L1031="","",IF(INDEX(ポート振替表!$W$5:$W$3507,$L1031)="","(なし)",INDEX(ポート振替表!$W$5:$W$3507,$L1031)&amp;""))</f>
        <v/>
      </c>
      <c r="C1031" s="52" t="str">
        <f aca="false">IF(L1031="","",INDEX(ポート振替表!$B$5:$B$3507,$L1031)&amp;" "&amp;INDEX(ポート振替表!$C$5:$C$3507,$L1031)&amp;"  ⇔  "&amp;INDEX(ポート振替表!$H$5:$H$3507,$L1031)&amp;" "&amp;INDEX(ポート振替表!$I$5:$I$3507,$L1031))</f>
        <v/>
      </c>
      <c r="D1031" s="57" t="s">
        <v>158</v>
      </c>
      <c r="E1031" s="59" t="str">
        <f aca="false">IF(L1031="","",IF(INDEX(ポート振替表!$O$5:$O$3507,$L1031)="","(未設定)",INDEX(ポート振替表!$O$5:$O$3507,$L1031)&amp;""))</f>
        <v/>
      </c>
      <c r="F1031" s="52" t="str">
        <f aca="false">IF(L1031="","",INDEX(ポート振替表!$K$5:$K$3507,$L1031)&amp;" "&amp;INDEX(ポート振替表!$L$5:$L$3507,$L1031)&amp;"  ⇔  "&amp;INDEX(ポート振替表!$H$5:$H$3507,$L1031)&amp;" "&amp;INDEX(ポート振替表!$I$5:$I$3507,$L1031))</f>
        <v/>
      </c>
      <c r="G1031" s="57" t="s">
        <v>158</v>
      </c>
      <c r="H1031" s="32" t="str">
        <f aca="false">IF(L1031="","",INDEX(ポート振替表!$N$5:$N$3507,$L1031)&amp;"")</f>
        <v/>
      </c>
      <c r="I1031" s="32" t="str">
        <f aca="false">IF(L1031="","",INDEX(ポート振替表!$P$5:$P$3507,$L1031)&amp;"")</f>
        <v/>
      </c>
      <c r="J1031" s="60" t="str">
        <f aca="false">IF(L1031="","",INDEX(ポート振替表!$M$5:$M$3507,$L1031)&amp;"")</f>
        <v/>
      </c>
      <c r="K1031" s="52" t="str">
        <f aca="false">IF(L1031="","",E1031&amp;CHAR(10)&amp;INDEX(ポート振替表!$K$5:$K$3507,$L1031)&amp;" "&amp;INDEX(ポート振替表!$L$5:$L$3507,$L1031)&amp;CHAR(10)&amp;"⇔ "&amp;INDEX(ポート振替表!$H$5:$H$3507,$L1031)&amp;" "&amp;INDEX(ポート振替表!$I$5:$I$3507,$L1031))</f>
        <v/>
      </c>
      <c r="L1031" s="47" t="str">
        <f aca="false">IFERROR(MATCH(ROW()-4,ポート振替表!$V$5:$V$3507,0),"")</f>
        <v/>
      </c>
    </row>
    <row r="1032" customFormat="false" ht="16.4" hidden="false" customHeight="false" outlineLevel="0" collapsed="false">
      <c r="A1032" s="32" t="str">
        <f aca="false">IF(L1032="","",ROW()-4)</f>
        <v/>
      </c>
      <c r="B1032" s="58" t="str">
        <f aca="false">IF(L1032="","",IF(INDEX(ポート振替表!$W$5:$W$3507,$L1032)="","(なし)",INDEX(ポート振替表!$W$5:$W$3507,$L1032)&amp;""))</f>
        <v/>
      </c>
      <c r="C1032" s="52" t="str">
        <f aca="false">IF(L1032="","",INDEX(ポート振替表!$B$5:$B$3507,$L1032)&amp;" "&amp;INDEX(ポート振替表!$C$5:$C$3507,$L1032)&amp;"  ⇔  "&amp;INDEX(ポート振替表!$H$5:$H$3507,$L1032)&amp;" "&amp;INDEX(ポート振替表!$I$5:$I$3507,$L1032))</f>
        <v/>
      </c>
      <c r="D1032" s="57" t="s">
        <v>158</v>
      </c>
      <c r="E1032" s="59" t="str">
        <f aca="false">IF(L1032="","",IF(INDEX(ポート振替表!$O$5:$O$3507,$L1032)="","(未設定)",INDEX(ポート振替表!$O$5:$O$3507,$L1032)&amp;""))</f>
        <v/>
      </c>
      <c r="F1032" s="52" t="str">
        <f aca="false">IF(L1032="","",INDEX(ポート振替表!$K$5:$K$3507,$L1032)&amp;" "&amp;INDEX(ポート振替表!$L$5:$L$3507,$L1032)&amp;"  ⇔  "&amp;INDEX(ポート振替表!$H$5:$H$3507,$L1032)&amp;" "&amp;INDEX(ポート振替表!$I$5:$I$3507,$L1032))</f>
        <v/>
      </c>
      <c r="G1032" s="57" t="s">
        <v>158</v>
      </c>
      <c r="H1032" s="32" t="str">
        <f aca="false">IF(L1032="","",INDEX(ポート振替表!$N$5:$N$3507,$L1032)&amp;"")</f>
        <v/>
      </c>
      <c r="I1032" s="32" t="str">
        <f aca="false">IF(L1032="","",INDEX(ポート振替表!$P$5:$P$3507,$L1032)&amp;"")</f>
        <v/>
      </c>
      <c r="J1032" s="60" t="str">
        <f aca="false">IF(L1032="","",INDEX(ポート振替表!$M$5:$M$3507,$L1032)&amp;"")</f>
        <v/>
      </c>
      <c r="K1032" s="52" t="str">
        <f aca="false">IF(L1032="","",E1032&amp;CHAR(10)&amp;INDEX(ポート振替表!$K$5:$K$3507,$L1032)&amp;" "&amp;INDEX(ポート振替表!$L$5:$L$3507,$L1032)&amp;CHAR(10)&amp;"⇔ "&amp;INDEX(ポート振替表!$H$5:$H$3507,$L1032)&amp;" "&amp;INDEX(ポート振替表!$I$5:$I$3507,$L1032))</f>
        <v/>
      </c>
      <c r="L1032" s="47" t="str">
        <f aca="false">IFERROR(MATCH(ROW()-4,ポート振替表!$V$5:$V$3507,0),"")</f>
        <v/>
      </c>
    </row>
    <row r="1033" customFormat="false" ht="16.4" hidden="false" customHeight="false" outlineLevel="0" collapsed="false">
      <c r="A1033" s="32" t="str">
        <f aca="false">IF(L1033="","",ROW()-4)</f>
        <v/>
      </c>
      <c r="B1033" s="58" t="str">
        <f aca="false">IF(L1033="","",IF(INDEX(ポート振替表!$W$5:$W$3507,$L1033)="","(なし)",INDEX(ポート振替表!$W$5:$W$3507,$L1033)&amp;""))</f>
        <v/>
      </c>
      <c r="C1033" s="52" t="str">
        <f aca="false">IF(L1033="","",INDEX(ポート振替表!$B$5:$B$3507,$L1033)&amp;" "&amp;INDEX(ポート振替表!$C$5:$C$3507,$L1033)&amp;"  ⇔  "&amp;INDEX(ポート振替表!$H$5:$H$3507,$L1033)&amp;" "&amp;INDEX(ポート振替表!$I$5:$I$3507,$L1033))</f>
        <v/>
      </c>
      <c r="D1033" s="57" t="s">
        <v>158</v>
      </c>
      <c r="E1033" s="59" t="str">
        <f aca="false">IF(L1033="","",IF(INDEX(ポート振替表!$O$5:$O$3507,$L1033)="","(未設定)",INDEX(ポート振替表!$O$5:$O$3507,$L1033)&amp;""))</f>
        <v/>
      </c>
      <c r="F1033" s="52" t="str">
        <f aca="false">IF(L1033="","",INDEX(ポート振替表!$K$5:$K$3507,$L1033)&amp;" "&amp;INDEX(ポート振替表!$L$5:$L$3507,$L1033)&amp;"  ⇔  "&amp;INDEX(ポート振替表!$H$5:$H$3507,$L1033)&amp;" "&amp;INDEX(ポート振替表!$I$5:$I$3507,$L1033))</f>
        <v/>
      </c>
      <c r="G1033" s="57" t="s">
        <v>158</v>
      </c>
      <c r="H1033" s="32" t="str">
        <f aca="false">IF(L1033="","",INDEX(ポート振替表!$N$5:$N$3507,$L1033)&amp;"")</f>
        <v/>
      </c>
      <c r="I1033" s="32" t="str">
        <f aca="false">IF(L1033="","",INDEX(ポート振替表!$P$5:$P$3507,$L1033)&amp;"")</f>
        <v/>
      </c>
      <c r="J1033" s="60" t="str">
        <f aca="false">IF(L1033="","",INDEX(ポート振替表!$M$5:$M$3507,$L1033)&amp;"")</f>
        <v/>
      </c>
      <c r="K1033" s="52" t="str">
        <f aca="false">IF(L1033="","",E1033&amp;CHAR(10)&amp;INDEX(ポート振替表!$K$5:$K$3507,$L1033)&amp;" "&amp;INDEX(ポート振替表!$L$5:$L$3507,$L1033)&amp;CHAR(10)&amp;"⇔ "&amp;INDEX(ポート振替表!$H$5:$H$3507,$L1033)&amp;" "&amp;INDEX(ポート振替表!$I$5:$I$3507,$L1033))</f>
        <v/>
      </c>
      <c r="L1033" s="47" t="str">
        <f aca="false">IFERROR(MATCH(ROW()-4,ポート振替表!$V$5:$V$3507,0),"")</f>
        <v/>
      </c>
    </row>
    <row r="1034" customFormat="false" ht="16.4" hidden="false" customHeight="false" outlineLevel="0" collapsed="false">
      <c r="A1034" s="32" t="str">
        <f aca="false">IF(L1034="","",ROW()-4)</f>
        <v/>
      </c>
      <c r="B1034" s="58" t="str">
        <f aca="false">IF(L1034="","",IF(INDEX(ポート振替表!$W$5:$W$3507,$L1034)="","(なし)",INDEX(ポート振替表!$W$5:$W$3507,$L1034)&amp;""))</f>
        <v/>
      </c>
      <c r="C1034" s="52" t="str">
        <f aca="false">IF(L1034="","",INDEX(ポート振替表!$B$5:$B$3507,$L1034)&amp;" "&amp;INDEX(ポート振替表!$C$5:$C$3507,$L1034)&amp;"  ⇔  "&amp;INDEX(ポート振替表!$H$5:$H$3507,$L1034)&amp;" "&amp;INDEX(ポート振替表!$I$5:$I$3507,$L1034))</f>
        <v/>
      </c>
      <c r="D1034" s="57" t="s">
        <v>158</v>
      </c>
      <c r="E1034" s="59" t="str">
        <f aca="false">IF(L1034="","",IF(INDEX(ポート振替表!$O$5:$O$3507,$L1034)="","(未設定)",INDEX(ポート振替表!$O$5:$O$3507,$L1034)&amp;""))</f>
        <v/>
      </c>
      <c r="F1034" s="52" t="str">
        <f aca="false">IF(L1034="","",INDEX(ポート振替表!$K$5:$K$3507,$L1034)&amp;" "&amp;INDEX(ポート振替表!$L$5:$L$3507,$L1034)&amp;"  ⇔  "&amp;INDEX(ポート振替表!$H$5:$H$3507,$L1034)&amp;" "&amp;INDEX(ポート振替表!$I$5:$I$3507,$L1034))</f>
        <v/>
      </c>
      <c r="G1034" s="57" t="s">
        <v>158</v>
      </c>
      <c r="H1034" s="32" t="str">
        <f aca="false">IF(L1034="","",INDEX(ポート振替表!$N$5:$N$3507,$L1034)&amp;"")</f>
        <v/>
      </c>
      <c r="I1034" s="32" t="str">
        <f aca="false">IF(L1034="","",INDEX(ポート振替表!$P$5:$P$3507,$L1034)&amp;"")</f>
        <v/>
      </c>
      <c r="J1034" s="60" t="str">
        <f aca="false">IF(L1034="","",INDEX(ポート振替表!$M$5:$M$3507,$L1034)&amp;"")</f>
        <v/>
      </c>
      <c r="K1034" s="52" t="str">
        <f aca="false">IF(L1034="","",E1034&amp;CHAR(10)&amp;INDEX(ポート振替表!$K$5:$K$3507,$L1034)&amp;" "&amp;INDEX(ポート振替表!$L$5:$L$3507,$L1034)&amp;CHAR(10)&amp;"⇔ "&amp;INDEX(ポート振替表!$H$5:$H$3507,$L1034)&amp;" "&amp;INDEX(ポート振替表!$I$5:$I$3507,$L1034))</f>
        <v/>
      </c>
      <c r="L1034" s="47" t="str">
        <f aca="false">IFERROR(MATCH(ROW()-4,ポート振替表!$V$5:$V$3507,0),"")</f>
        <v/>
      </c>
    </row>
    <row r="1035" customFormat="false" ht="16.4" hidden="false" customHeight="false" outlineLevel="0" collapsed="false">
      <c r="A1035" s="32" t="str">
        <f aca="false">IF(L1035="","",ROW()-4)</f>
        <v/>
      </c>
      <c r="B1035" s="58" t="str">
        <f aca="false">IF(L1035="","",IF(INDEX(ポート振替表!$W$5:$W$3507,$L1035)="","(なし)",INDEX(ポート振替表!$W$5:$W$3507,$L1035)&amp;""))</f>
        <v/>
      </c>
      <c r="C1035" s="52" t="str">
        <f aca="false">IF(L1035="","",INDEX(ポート振替表!$B$5:$B$3507,$L1035)&amp;" "&amp;INDEX(ポート振替表!$C$5:$C$3507,$L1035)&amp;"  ⇔  "&amp;INDEX(ポート振替表!$H$5:$H$3507,$L1035)&amp;" "&amp;INDEX(ポート振替表!$I$5:$I$3507,$L1035))</f>
        <v/>
      </c>
      <c r="D1035" s="57" t="s">
        <v>158</v>
      </c>
      <c r="E1035" s="59" t="str">
        <f aca="false">IF(L1035="","",IF(INDEX(ポート振替表!$O$5:$O$3507,$L1035)="","(未設定)",INDEX(ポート振替表!$O$5:$O$3507,$L1035)&amp;""))</f>
        <v/>
      </c>
      <c r="F1035" s="52" t="str">
        <f aca="false">IF(L1035="","",INDEX(ポート振替表!$K$5:$K$3507,$L1035)&amp;" "&amp;INDEX(ポート振替表!$L$5:$L$3507,$L1035)&amp;"  ⇔  "&amp;INDEX(ポート振替表!$H$5:$H$3507,$L1035)&amp;" "&amp;INDEX(ポート振替表!$I$5:$I$3507,$L1035))</f>
        <v/>
      </c>
      <c r="G1035" s="57" t="s">
        <v>158</v>
      </c>
      <c r="H1035" s="32" t="str">
        <f aca="false">IF(L1035="","",INDEX(ポート振替表!$N$5:$N$3507,$L1035)&amp;"")</f>
        <v/>
      </c>
      <c r="I1035" s="32" t="str">
        <f aca="false">IF(L1035="","",INDEX(ポート振替表!$P$5:$P$3507,$L1035)&amp;"")</f>
        <v/>
      </c>
      <c r="J1035" s="60" t="str">
        <f aca="false">IF(L1035="","",INDEX(ポート振替表!$M$5:$M$3507,$L1035)&amp;"")</f>
        <v/>
      </c>
      <c r="K1035" s="52" t="str">
        <f aca="false">IF(L1035="","",E1035&amp;CHAR(10)&amp;INDEX(ポート振替表!$K$5:$K$3507,$L1035)&amp;" "&amp;INDEX(ポート振替表!$L$5:$L$3507,$L1035)&amp;CHAR(10)&amp;"⇔ "&amp;INDEX(ポート振替表!$H$5:$H$3507,$L1035)&amp;" "&amp;INDEX(ポート振替表!$I$5:$I$3507,$L1035))</f>
        <v/>
      </c>
      <c r="L1035" s="47" t="str">
        <f aca="false">IFERROR(MATCH(ROW()-4,ポート振替表!$V$5:$V$3507,0),"")</f>
        <v/>
      </c>
    </row>
    <row r="1036" customFormat="false" ht="16.4" hidden="false" customHeight="false" outlineLevel="0" collapsed="false">
      <c r="A1036" s="32" t="str">
        <f aca="false">IF(L1036="","",ROW()-4)</f>
        <v/>
      </c>
      <c r="B1036" s="58" t="str">
        <f aca="false">IF(L1036="","",IF(INDEX(ポート振替表!$W$5:$W$3507,$L1036)="","(なし)",INDEX(ポート振替表!$W$5:$W$3507,$L1036)&amp;""))</f>
        <v/>
      </c>
      <c r="C1036" s="52" t="str">
        <f aca="false">IF(L1036="","",INDEX(ポート振替表!$B$5:$B$3507,$L1036)&amp;" "&amp;INDEX(ポート振替表!$C$5:$C$3507,$L1036)&amp;"  ⇔  "&amp;INDEX(ポート振替表!$H$5:$H$3507,$L1036)&amp;" "&amp;INDEX(ポート振替表!$I$5:$I$3507,$L1036))</f>
        <v/>
      </c>
      <c r="D1036" s="57" t="s">
        <v>158</v>
      </c>
      <c r="E1036" s="59" t="str">
        <f aca="false">IF(L1036="","",IF(INDEX(ポート振替表!$O$5:$O$3507,$L1036)="","(未設定)",INDEX(ポート振替表!$O$5:$O$3507,$L1036)&amp;""))</f>
        <v/>
      </c>
      <c r="F1036" s="52" t="str">
        <f aca="false">IF(L1036="","",INDEX(ポート振替表!$K$5:$K$3507,$L1036)&amp;" "&amp;INDEX(ポート振替表!$L$5:$L$3507,$L1036)&amp;"  ⇔  "&amp;INDEX(ポート振替表!$H$5:$H$3507,$L1036)&amp;" "&amp;INDEX(ポート振替表!$I$5:$I$3507,$L1036))</f>
        <v/>
      </c>
      <c r="G1036" s="57" t="s">
        <v>158</v>
      </c>
      <c r="H1036" s="32" t="str">
        <f aca="false">IF(L1036="","",INDEX(ポート振替表!$N$5:$N$3507,$L1036)&amp;"")</f>
        <v/>
      </c>
      <c r="I1036" s="32" t="str">
        <f aca="false">IF(L1036="","",INDEX(ポート振替表!$P$5:$P$3507,$L1036)&amp;"")</f>
        <v/>
      </c>
      <c r="J1036" s="60" t="str">
        <f aca="false">IF(L1036="","",INDEX(ポート振替表!$M$5:$M$3507,$L1036)&amp;"")</f>
        <v/>
      </c>
      <c r="K1036" s="52" t="str">
        <f aca="false">IF(L1036="","",E1036&amp;CHAR(10)&amp;INDEX(ポート振替表!$K$5:$K$3507,$L1036)&amp;" "&amp;INDEX(ポート振替表!$L$5:$L$3507,$L1036)&amp;CHAR(10)&amp;"⇔ "&amp;INDEX(ポート振替表!$H$5:$H$3507,$L1036)&amp;" "&amp;INDEX(ポート振替表!$I$5:$I$3507,$L1036))</f>
        <v/>
      </c>
      <c r="L1036" s="47" t="str">
        <f aca="false">IFERROR(MATCH(ROW()-4,ポート振替表!$V$5:$V$3507,0),"")</f>
        <v/>
      </c>
    </row>
    <row r="1037" customFormat="false" ht="16.4" hidden="false" customHeight="false" outlineLevel="0" collapsed="false">
      <c r="A1037" s="32" t="str">
        <f aca="false">IF(L1037="","",ROW()-4)</f>
        <v/>
      </c>
      <c r="B1037" s="58" t="str">
        <f aca="false">IF(L1037="","",IF(INDEX(ポート振替表!$W$5:$W$3507,$L1037)="","(なし)",INDEX(ポート振替表!$W$5:$W$3507,$L1037)&amp;""))</f>
        <v/>
      </c>
      <c r="C1037" s="52" t="str">
        <f aca="false">IF(L1037="","",INDEX(ポート振替表!$B$5:$B$3507,$L1037)&amp;" "&amp;INDEX(ポート振替表!$C$5:$C$3507,$L1037)&amp;"  ⇔  "&amp;INDEX(ポート振替表!$H$5:$H$3507,$L1037)&amp;" "&amp;INDEX(ポート振替表!$I$5:$I$3507,$L1037))</f>
        <v/>
      </c>
      <c r="D1037" s="57" t="s">
        <v>158</v>
      </c>
      <c r="E1037" s="59" t="str">
        <f aca="false">IF(L1037="","",IF(INDEX(ポート振替表!$O$5:$O$3507,$L1037)="","(未設定)",INDEX(ポート振替表!$O$5:$O$3507,$L1037)&amp;""))</f>
        <v/>
      </c>
      <c r="F1037" s="52" t="str">
        <f aca="false">IF(L1037="","",INDEX(ポート振替表!$K$5:$K$3507,$L1037)&amp;" "&amp;INDEX(ポート振替表!$L$5:$L$3507,$L1037)&amp;"  ⇔  "&amp;INDEX(ポート振替表!$H$5:$H$3507,$L1037)&amp;" "&amp;INDEX(ポート振替表!$I$5:$I$3507,$L1037))</f>
        <v/>
      </c>
      <c r="G1037" s="57" t="s">
        <v>158</v>
      </c>
      <c r="H1037" s="32" t="str">
        <f aca="false">IF(L1037="","",INDEX(ポート振替表!$N$5:$N$3507,$L1037)&amp;"")</f>
        <v/>
      </c>
      <c r="I1037" s="32" t="str">
        <f aca="false">IF(L1037="","",INDEX(ポート振替表!$P$5:$P$3507,$L1037)&amp;"")</f>
        <v/>
      </c>
      <c r="J1037" s="60" t="str">
        <f aca="false">IF(L1037="","",INDEX(ポート振替表!$M$5:$M$3507,$L1037)&amp;"")</f>
        <v/>
      </c>
      <c r="K1037" s="52" t="str">
        <f aca="false">IF(L1037="","",E1037&amp;CHAR(10)&amp;INDEX(ポート振替表!$K$5:$K$3507,$L1037)&amp;" "&amp;INDEX(ポート振替表!$L$5:$L$3507,$L1037)&amp;CHAR(10)&amp;"⇔ "&amp;INDEX(ポート振替表!$H$5:$H$3507,$L1037)&amp;" "&amp;INDEX(ポート振替表!$I$5:$I$3507,$L1037))</f>
        <v/>
      </c>
      <c r="L1037" s="47" t="str">
        <f aca="false">IFERROR(MATCH(ROW()-4,ポート振替表!$V$5:$V$3507,0),"")</f>
        <v/>
      </c>
    </row>
    <row r="1038" customFormat="false" ht="16.4" hidden="false" customHeight="false" outlineLevel="0" collapsed="false">
      <c r="A1038" s="32" t="str">
        <f aca="false">IF(L1038="","",ROW()-4)</f>
        <v/>
      </c>
      <c r="B1038" s="58" t="str">
        <f aca="false">IF(L1038="","",IF(INDEX(ポート振替表!$W$5:$W$3507,$L1038)="","(なし)",INDEX(ポート振替表!$W$5:$W$3507,$L1038)&amp;""))</f>
        <v/>
      </c>
      <c r="C1038" s="52" t="str">
        <f aca="false">IF(L1038="","",INDEX(ポート振替表!$B$5:$B$3507,$L1038)&amp;" "&amp;INDEX(ポート振替表!$C$5:$C$3507,$L1038)&amp;"  ⇔  "&amp;INDEX(ポート振替表!$H$5:$H$3507,$L1038)&amp;" "&amp;INDEX(ポート振替表!$I$5:$I$3507,$L1038))</f>
        <v/>
      </c>
      <c r="D1038" s="57" t="s">
        <v>158</v>
      </c>
      <c r="E1038" s="59" t="str">
        <f aca="false">IF(L1038="","",IF(INDEX(ポート振替表!$O$5:$O$3507,$L1038)="","(未設定)",INDEX(ポート振替表!$O$5:$O$3507,$L1038)&amp;""))</f>
        <v/>
      </c>
      <c r="F1038" s="52" t="str">
        <f aca="false">IF(L1038="","",INDEX(ポート振替表!$K$5:$K$3507,$L1038)&amp;" "&amp;INDEX(ポート振替表!$L$5:$L$3507,$L1038)&amp;"  ⇔  "&amp;INDEX(ポート振替表!$H$5:$H$3507,$L1038)&amp;" "&amp;INDEX(ポート振替表!$I$5:$I$3507,$L1038))</f>
        <v/>
      </c>
      <c r="G1038" s="57" t="s">
        <v>158</v>
      </c>
      <c r="H1038" s="32" t="str">
        <f aca="false">IF(L1038="","",INDEX(ポート振替表!$N$5:$N$3507,$L1038)&amp;"")</f>
        <v/>
      </c>
      <c r="I1038" s="32" t="str">
        <f aca="false">IF(L1038="","",INDEX(ポート振替表!$P$5:$P$3507,$L1038)&amp;"")</f>
        <v/>
      </c>
      <c r="J1038" s="60" t="str">
        <f aca="false">IF(L1038="","",INDEX(ポート振替表!$M$5:$M$3507,$L1038)&amp;"")</f>
        <v/>
      </c>
      <c r="K1038" s="52" t="str">
        <f aca="false">IF(L1038="","",E1038&amp;CHAR(10)&amp;INDEX(ポート振替表!$K$5:$K$3507,$L1038)&amp;" "&amp;INDEX(ポート振替表!$L$5:$L$3507,$L1038)&amp;CHAR(10)&amp;"⇔ "&amp;INDEX(ポート振替表!$H$5:$H$3507,$L1038)&amp;" "&amp;INDEX(ポート振替表!$I$5:$I$3507,$L1038))</f>
        <v/>
      </c>
      <c r="L1038" s="47" t="str">
        <f aca="false">IFERROR(MATCH(ROW()-4,ポート振替表!$V$5:$V$3507,0),"")</f>
        <v/>
      </c>
    </row>
    <row r="1039" customFormat="false" ht="16.4" hidden="false" customHeight="false" outlineLevel="0" collapsed="false">
      <c r="A1039" s="32" t="str">
        <f aca="false">IF(L1039="","",ROW()-4)</f>
        <v/>
      </c>
      <c r="B1039" s="58" t="str">
        <f aca="false">IF(L1039="","",IF(INDEX(ポート振替表!$W$5:$W$3507,$L1039)="","(なし)",INDEX(ポート振替表!$W$5:$W$3507,$L1039)&amp;""))</f>
        <v/>
      </c>
      <c r="C1039" s="52" t="str">
        <f aca="false">IF(L1039="","",INDEX(ポート振替表!$B$5:$B$3507,$L1039)&amp;" "&amp;INDEX(ポート振替表!$C$5:$C$3507,$L1039)&amp;"  ⇔  "&amp;INDEX(ポート振替表!$H$5:$H$3507,$L1039)&amp;" "&amp;INDEX(ポート振替表!$I$5:$I$3507,$L1039))</f>
        <v/>
      </c>
      <c r="D1039" s="57" t="s">
        <v>158</v>
      </c>
      <c r="E1039" s="59" t="str">
        <f aca="false">IF(L1039="","",IF(INDEX(ポート振替表!$O$5:$O$3507,$L1039)="","(未設定)",INDEX(ポート振替表!$O$5:$O$3507,$L1039)&amp;""))</f>
        <v/>
      </c>
      <c r="F1039" s="52" t="str">
        <f aca="false">IF(L1039="","",INDEX(ポート振替表!$K$5:$K$3507,$L1039)&amp;" "&amp;INDEX(ポート振替表!$L$5:$L$3507,$L1039)&amp;"  ⇔  "&amp;INDEX(ポート振替表!$H$5:$H$3507,$L1039)&amp;" "&amp;INDEX(ポート振替表!$I$5:$I$3507,$L1039))</f>
        <v/>
      </c>
      <c r="G1039" s="57" t="s">
        <v>158</v>
      </c>
      <c r="H1039" s="32" t="str">
        <f aca="false">IF(L1039="","",INDEX(ポート振替表!$N$5:$N$3507,$L1039)&amp;"")</f>
        <v/>
      </c>
      <c r="I1039" s="32" t="str">
        <f aca="false">IF(L1039="","",INDEX(ポート振替表!$P$5:$P$3507,$L1039)&amp;"")</f>
        <v/>
      </c>
      <c r="J1039" s="60" t="str">
        <f aca="false">IF(L1039="","",INDEX(ポート振替表!$M$5:$M$3507,$L1039)&amp;"")</f>
        <v/>
      </c>
      <c r="K1039" s="52" t="str">
        <f aca="false">IF(L1039="","",E1039&amp;CHAR(10)&amp;INDEX(ポート振替表!$K$5:$K$3507,$L1039)&amp;" "&amp;INDEX(ポート振替表!$L$5:$L$3507,$L1039)&amp;CHAR(10)&amp;"⇔ "&amp;INDEX(ポート振替表!$H$5:$H$3507,$L1039)&amp;" "&amp;INDEX(ポート振替表!$I$5:$I$3507,$L1039))</f>
        <v/>
      </c>
      <c r="L1039" s="47" t="str">
        <f aca="false">IFERROR(MATCH(ROW()-4,ポート振替表!$V$5:$V$3507,0),"")</f>
        <v/>
      </c>
    </row>
    <row r="1040" customFormat="false" ht="16.4" hidden="false" customHeight="false" outlineLevel="0" collapsed="false">
      <c r="A1040" s="32" t="str">
        <f aca="false">IF(L1040="","",ROW()-4)</f>
        <v/>
      </c>
      <c r="B1040" s="58" t="str">
        <f aca="false">IF(L1040="","",IF(INDEX(ポート振替表!$W$5:$W$3507,$L1040)="","(なし)",INDEX(ポート振替表!$W$5:$W$3507,$L1040)&amp;""))</f>
        <v/>
      </c>
      <c r="C1040" s="52" t="str">
        <f aca="false">IF(L1040="","",INDEX(ポート振替表!$B$5:$B$3507,$L1040)&amp;" "&amp;INDEX(ポート振替表!$C$5:$C$3507,$L1040)&amp;"  ⇔  "&amp;INDEX(ポート振替表!$H$5:$H$3507,$L1040)&amp;" "&amp;INDEX(ポート振替表!$I$5:$I$3507,$L1040))</f>
        <v/>
      </c>
      <c r="D1040" s="57" t="s">
        <v>158</v>
      </c>
      <c r="E1040" s="59" t="str">
        <f aca="false">IF(L1040="","",IF(INDEX(ポート振替表!$O$5:$O$3507,$L1040)="","(未設定)",INDEX(ポート振替表!$O$5:$O$3507,$L1040)&amp;""))</f>
        <v/>
      </c>
      <c r="F1040" s="52" t="str">
        <f aca="false">IF(L1040="","",INDEX(ポート振替表!$K$5:$K$3507,$L1040)&amp;" "&amp;INDEX(ポート振替表!$L$5:$L$3507,$L1040)&amp;"  ⇔  "&amp;INDEX(ポート振替表!$H$5:$H$3507,$L1040)&amp;" "&amp;INDEX(ポート振替表!$I$5:$I$3507,$L1040))</f>
        <v/>
      </c>
      <c r="G1040" s="57" t="s">
        <v>158</v>
      </c>
      <c r="H1040" s="32" t="str">
        <f aca="false">IF(L1040="","",INDEX(ポート振替表!$N$5:$N$3507,$L1040)&amp;"")</f>
        <v/>
      </c>
      <c r="I1040" s="32" t="str">
        <f aca="false">IF(L1040="","",INDEX(ポート振替表!$P$5:$P$3507,$L1040)&amp;"")</f>
        <v/>
      </c>
      <c r="J1040" s="60" t="str">
        <f aca="false">IF(L1040="","",INDEX(ポート振替表!$M$5:$M$3507,$L1040)&amp;"")</f>
        <v/>
      </c>
      <c r="K1040" s="52" t="str">
        <f aca="false">IF(L1040="","",E1040&amp;CHAR(10)&amp;INDEX(ポート振替表!$K$5:$K$3507,$L1040)&amp;" "&amp;INDEX(ポート振替表!$L$5:$L$3507,$L1040)&amp;CHAR(10)&amp;"⇔ "&amp;INDEX(ポート振替表!$H$5:$H$3507,$L1040)&amp;" "&amp;INDEX(ポート振替表!$I$5:$I$3507,$L1040))</f>
        <v/>
      </c>
      <c r="L1040" s="47" t="str">
        <f aca="false">IFERROR(MATCH(ROW()-4,ポート振替表!$V$5:$V$3507,0),"")</f>
        <v/>
      </c>
    </row>
    <row r="1041" customFormat="false" ht="16.4" hidden="false" customHeight="false" outlineLevel="0" collapsed="false">
      <c r="A1041" s="32" t="str">
        <f aca="false">IF(L1041="","",ROW()-4)</f>
        <v/>
      </c>
      <c r="B1041" s="58" t="str">
        <f aca="false">IF(L1041="","",IF(INDEX(ポート振替表!$W$5:$W$3507,$L1041)="","(なし)",INDEX(ポート振替表!$W$5:$W$3507,$L1041)&amp;""))</f>
        <v/>
      </c>
      <c r="C1041" s="52" t="str">
        <f aca="false">IF(L1041="","",INDEX(ポート振替表!$B$5:$B$3507,$L1041)&amp;" "&amp;INDEX(ポート振替表!$C$5:$C$3507,$L1041)&amp;"  ⇔  "&amp;INDEX(ポート振替表!$H$5:$H$3507,$L1041)&amp;" "&amp;INDEX(ポート振替表!$I$5:$I$3507,$L1041))</f>
        <v/>
      </c>
      <c r="D1041" s="57" t="s">
        <v>158</v>
      </c>
      <c r="E1041" s="59" t="str">
        <f aca="false">IF(L1041="","",IF(INDEX(ポート振替表!$O$5:$O$3507,$L1041)="","(未設定)",INDEX(ポート振替表!$O$5:$O$3507,$L1041)&amp;""))</f>
        <v/>
      </c>
      <c r="F1041" s="52" t="str">
        <f aca="false">IF(L1041="","",INDEX(ポート振替表!$K$5:$K$3507,$L1041)&amp;" "&amp;INDEX(ポート振替表!$L$5:$L$3507,$L1041)&amp;"  ⇔  "&amp;INDEX(ポート振替表!$H$5:$H$3507,$L1041)&amp;" "&amp;INDEX(ポート振替表!$I$5:$I$3507,$L1041))</f>
        <v/>
      </c>
      <c r="G1041" s="57" t="s">
        <v>158</v>
      </c>
      <c r="H1041" s="32" t="str">
        <f aca="false">IF(L1041="","",INDEX(ポート振替表!$N$5:$N$3507,$L1041)&amp;"")</f>
        <v/>
      </c>
      <c r="I1041" s="32" t="str">
        <f aca="false">IF(L1041="","",INDEX(ポート振替表!$P$5:$P$3507,$L1041)&amp;"")</f>
        <v/>
      </c>
      <c r="J1041" s="60" t="str">
        <f aca="false">IF(L1041="","",INDEX(ポート振替表!$M$5:$M$3507,$L1041)&amp;"")</f>
        <v/>
      </c>
      <c r="K1041" s="52" t="str">
        <f aca="false">IF(L1041="","",E1041&amp;CHAR(10)&amp;INDEX(ポート振替表!$K$5:$K$3507,$L1041)&amp;" "&amp;INDEX(ポート振替表!$L$5:$L$3507,$L1041)&amp;CHAR(10)&amp;"⇔ "&amp;INDEX(ポート振替表!$H$5:$H$3507,$L1041)&amp;" "&amp;INDEX(ポート振替表!$I$5:$I$3507,$L1041))</f>
        <v/>
      </c>
      <c r="L1041" s="47" t="str">
        <f aca="false">IFERROR(MATCH(ROW()-4,ポート振替表!$V$5:$V$3507,0),"")</f>
        <v/>
      </c>
    </row>
    <row r="1042" customFormat="false" ht="16.4" hidden="false" customHeight="false" outlineLevel="0" collapsed="false">
      <c r="A1042" s="32" t="str">
        <f aca="false">IF(L1042="","",ROW()-4)</f>
        <v/>
      </c>
      <c r="B1042" s="58" t="str">
        <f aca="false">IF(L1042="","",IF(INDEX(ポート振替表!$W$5:$W$3507,$L1042)="","(なし)",INDEX(ポート振替表!$W$5:$W$3507,$L1042)&amp;""))</f>
        <v/>
      </c>
      <c r="C1042" s="52" t="str">
        <f aca="false">IF(L1042="","",INDEX(ポート振替表!$B$5:$B$3507,$L1042)&amp;" "&amp;INDEX(ポート振替表!$C$5:$C$3507,$L1042)&amp;"  ⇔  "&amp;INDEX(ポート振替表!$H$5:$H$3507,$L1042)&amp;" "&amp;INDEX(ポート振替表!$I$5:$I$3507,$L1042))</f>
        <v/>
      </c>
      <c r="D1042" s="57" t="s">
        <v>158</v>
      </c>
      <c r="E1042" s="59" t="str">
        <f aca="false">IF(L1042="","",IF(INDEX(ポート振替表!$O$5:$O$3507,$L1042)="","(未設定)",INDEX(ポート振替表!$O$5:$O$3507,$L1042)&amp;""))</f>
        <v/>
      </c>
      <c r="F1042" s="52" t="str">
        <f aca="false">IF(L1042="","",INDEX(ポート振替表!$K$5:$K$3507,$L1042)&amp;" "&amp;INDEX(ポート振替表!$L$5:$L$3507,$L1042)&amp;"  ⇔  "&amp;INDEX(ポート振替表!$H$5:$H$3507,$L1042)&amp;" "&amp;INDEX(ポート振替表!$I$5:$I$3507,$L1042))</f>
        <v/>
      </c>
      <c r="G1042" s="57" t="s">
        <v>158</v>
      </c>
      <c r="H1042" s="32" t="str">
        <f aca="false">IF(L1042="","",INDEX(ポート振替表!$N$5:$N$3507,$L1042)&amp;"")</f>
        <v/>
      </c>
      <c r="I1042" s="32" t="str">
        <f aca="false">IF(L1042="","",INDEX(ポート振替表!$P$5:$P$3507,$L1042)&amp;"")</f>
        <v/>
      </c>
      <c r="J1042" s="60" t="str">
        <f aca="false">IF(L1042="","",INDEX(ポート振替表!$M$5:$M$3507,$L1042)&amp;"")</f>
        <v/>
      </c>
      <c r="K1042" s="52" t="str">
        <f aca="false">IF(L1042="","",E1042&amp;CHAR(10)&amp;INDEX(ポート振替表!$K$5:$K$3507,$L1042)&amp;" "&amp;INDEX(ポート振替表!$L$5:$L$3507,$L1042)&amp;CHAR(10)&amp;"⇔ "&amp;INDEX(ポート振替表!$H$5:$H$3507,$L1042)&amp;" "&amp;INDEX(ポート振替表!$I$5:$I$3507,$L1042))</f>
        <v/>
      </c>
      <c r="L1042" s="47" t="str">
        <f aca="false">IFERROR(MATCH(ROW()-4,ポート振替表!$V$5:$V$3507,0),"")</f>
        <v/>
      </c>
    </row>
    <row r="1043" customFormat="false" ht="16.4" hidden="false" customHeight="false" outlineLevel="0" collapsed="false">
      <c r="A1043" s="32" t="str">
        <f aca="false">IF(L1043="","",ROW()-4)</f>
        <v/>
      </c>
      <c r="B1043" s="58" t="str">
        <f aca="false">IF(L1043="","",IF(INDEX(ポート振替表!$W$5:$W$3507,$L1043)="","(なし)",INDEX(ポート振替表!$W$5:$W$3507,$L1043)&amp;""))</f>
        <v/>
      </c>
      <c r="C1043" s="52" t="str">
        <f aca="false">IF(L1043="","",INDEX(ポート振替表!$B$5:$B$3507,$L1043)&amp;" "&amp;INDEX(ポート振替表!$C$5:$C$3507,$L1043)&amp;"  ⇔  "&amp;INDEX(ポート振替表!$H$5:$H$3507,$L1043)&amp;" "&amp;INDEX(ポート振替表!$I$5:$I$3507,$L1043))</f>
        <v/>
      </c>
      <c r="D1043" s="57" t="s">
        <v>158</v>
      </c>
      <c r="E1043" s="59" t="str">
        <f aca="false">IF(L1043="","",IF(INDEX(ポート振替表!$O$5:$O$3507,$L1043)="","(未設定)",INDEX(ポート振替表!$O$5:$O$3507,$L1043)&amp;""))</f>
        <v/>
      </c>
      <c r="F1043" s="52" t="str">
        <f aca="false">IF(L1043="","",INDEX(ポート振替表!$K$5:$K$3507,$L1043)&amp;" "&amp;INDEX(ポート振替表!$L$5:$L$3507,$L1043)&amp;"  ⇔  "&amp;INDEX(ポート振替表!$H$5:$H$3507,$L1043)&amp;" "&amp;INDEX(ポート振替表!$I$5:$I$3507,$L1043))</f>
        <v/>
      </c>
      <c r="G1043" s="57" t="s">
        <v>158</v>
      </c>
      <c r="H1043" s="32" t="str">
        <f aca="false">IF(L1043="","",INDEX(ポート振替表!$N$5:$N$3507,$L1043)&amp;"")</f>
        <v/>
      </c>
      <c r="I1043" s="32" t="str">
        <f aca="false">IF(L1043="","",INDEX(ポート振替表!$P$5:$P$3507,$L1043)&amp;"")</f>
        <v/>
      </c>
      <c r="J1043" s="60" t="str">
        <f aca="false">IF(L1043="","",INDEX(ポート振替表!$M$5:$M$3507,$L1043)&amp;"")</f>
        <v/>
      </c>
      <c r="K1043" s="52" t="str">
        <f aca="false">IF(L1043="","",E1043&amp;CHAR(10)&amp;INDEX(ポート振替表!$K$5:$K$3507,$L1043)&amp;" "&amp;INDEX(ポート振替表!$L$5:$L$3507,$L1043)&amp;CHAR(10)&amp;"⇔ "&amp;INDEX(ポート振替表!$H$5:$H$3507,$L1043)&amp;" "&amp;INDEX(ポート振替表!$I$5:$I$3507,$L1043))</f>
        <v/>
      </c>
      <c r="L1043" s="47" t="str">
        <f aca="false">IFERROR(MATCH(ROW()-4,ポート振替表!$V$5:$V$3507,0),"")</f>
        <v/>
      </c>
    </row>
    <row r="1044" customFormat="false" ht="16.4" hidden="false" customHeight="false" outlineLevel="0" collapsed="false">
      <c r="A1044" s="32" t="str">
        <f aca="false">IF(L1044="","",ROW()-4)</f>
        <v/>
      </c>
      <c r="B1044" s="58" t="str">
        <f aca="false">IF(L1044="","",IF(INDEX(ポート振替表!$W$5:$W$3507,$L1044)="","(なし)",INDEX(ポート振替表!$W$5:$W$3507,$L1044)&amp;""))</f>
        <v/>
      </c>
      <c r="C1044" s="52" t="str">
        <f aca="false">IF(L1044="","",INDEX(ポート振替表!$B$5:$B$3507,$L1044)&amp;" "&amp;INDEX(ポート振替表!$C$5:$C$3507,$L1044)&amp;"  ⇔  "&amp;INDEX(ポート振替表!$H$5:$H$3507,$L1044)&amp;" "&amp;INDEX(ポート振替表!$I$5:$I$3507,$L1044))</f>
        <v/>
      </c>
      <c r="D1044" s="57" t="s">
        <v>158</v>
      </c>
      <c r="E1044" s="59" t="str">
        <f aca="false">IF(L1044="","",IF(INDEX(ポート振替表!$O$5:$O$3507,$L1044)="","(未設定)",INDEX(ポート振替表!$O$5:$O$3507,$L1044)&amp;""))</f>
        <v/>
      </c>
      <c r="F1044" s="52" t="str">
        <f aca="false">IF(L1044="","",INDEX(ポート振替表!$K$5:$K$3507,$L1044)&amp;" "&amp;INDEX(ポート振替表!$L$5:$L$3507,$L1044)&amp;"  ⇔  "&amp;INDEX(ポート振替表!$H$5:$H$3507,$L1044)&amp;" "&amp;INDEX(ポート振替表!$I$5:$I$3507,$L1044))</f>
        <v/>
      </c>
      <c r="G1044" s="57" t="s">
        <v>158</v>
      </c>
      <c r="H1044" s="32" t="str">
        <f aca="false">IF(L1044="","",INDEX(ポート振替表!$N$5:$N$3507,$L1044)&amp;"")</f>
        <v/>
      </c>
      <c r="I1044" s="32" t="str">
        <f aca="false">IF(L1044="","",INDEX(ポート振替表!$P$5:$P$3507,$L1044)&amp;"")</f>
        <v/>
      </c>
      <c r="J1044" s="60" t="str">
        <f aca="false">IF(L1044="","",INDEX(ポート振替表!$M$5:$M$3507,$L1044)&amp;"")</f>
        <v/>
      </c>
      <c r="K1044" s="52" t="str">
        <f aca="false">IF(L1044="","",E1044&amp;CHAR(10)&amp;INDEX(ポート振替表!$K$5:$K$3507,$L1044)&amp;" "&amp;INDEX(ポート振替表!$L$5:$L$3507,$L1044)&amp;CHAR(10)&amp;"⇔ "&amp;INDEX(ポート振替表!$H$5:$H$3507,$L1044)&amp;" "&amp;INDEX(ポート振替表!$I$5:$I$3507,$L1044))</f>
        <v/>
      </c>
      <c r="L1044" s="47" t="str">
        <f aca="false">IFERROR(MATCH(ROW()-4,ポート振替表!$V$5:$V$3507,0),"")</f>
        <v/>
      </c>
    </row>
    <row r="1045" customFormat="false" ht="16.4" hidden="false" customHeight="false" outlineLevel="0" collapsed="false">
      <c r="A1045" s="32" t="str">
        <f aca="false">IF(L1045="","",ROW()-4)</f>
        <v/>
      </c>
      <c r="B1045" s="58" t="str">
        <f aca="false">IF(L1045="","",IF(INDEX(ポート振替表!$W$5:$W$3507,$L1045)="","(なし)",INDEX(ポート振替表!$W$5:$W$3507,$L1045)&amp;""))</f>
        <v/>
      </c>
      <c r="C1045" s="52" t="str">
        <f aca="false">IF(L1045="","",INDEX(ポート振替表!$B$5:$B$3507,$L1045)&amp;" "&amp;INDEX(ポート振替表!$C$5:$C$3507,$L1045)&amp;"  ⇔  "&amp;INDEX(ポート振替表!$H$5:$H$3507,$L1045)&amp;" "&amp;INDEX(ポート振替表!$I$5:$I$3507,$L1045))</f>
        <v/>
      </c>
      <c r="D1045" s="57" t="s">
        <v>158</v>
      </c>
      <c r="E1045" s="59" t="str">
        <f aca="false">IF(L1045="","",IF(INDEX(ポート振替表!$O$5:$O$3507,$L1045)="","(未設定)",INDEX(ポート振替表!$O$5:$O$3507,$L1045)&amp;""))</f>
        <v/>
      </c>
      <c r="F1045" s="52" t="str">
        <f aca="false">IF(L1045="","",INDEX(ポート振替表!$K$5:$K$3507,$L1045)&amp;" "&amp;INDEX(ポート振替表!$L$5:$L$3507,$L1045)&amp;"  ⇔  "&amp;INDEX(ポート振替表!$H$5:$H$3507,$L1045)&amp;" "&amp;INDEX(ポート振替表!$I$5:$I$3507,$L1045))</f>
        <v/>
      </c>
      <c r="G1045" s="57" t="s">
        <v>158</v>
      </c>
      <c r="H1045" s="32" t="str">
        <f aca="false">IF(L1045="","",INDEX(ポート振替表!$N$5:$N$3507,$L1045)&amp;"")</f>
        <v/>
      </c>
      <c r="I1045" s="32" t="str">
        <f aca="false">IF(L1045="","",INDEX(ポート振替表!$P$5:$P$3507,$L1045)&amp;"")</f>
        <v/>
      </c>
      <c r="J1045" s="60" t="str">
        <f aca="false">IF(L1045="","",INDEX(ポート振替表!$M$5:$M$3507,$L1045)&amp;"")</f>
        <v/>
      </c>
      <c r="K1045" s="52" t="str">
        <f aca="false">IF(L1045="","",E1045&amp;CHAR(10)&amp;INDEX(ポート振替表!$K$5:$K$3507,$L1045)&amp;" "&amp;INDEX(ポート振替表!$L$5:$L$3507,$L1045)&amp;CHAR(10)&amp;"⇔ "&amp;INDEX(ポート振替表!$H$5:$H$3507,$L1045)&amp;" "&amp;INDEX(ポート振替表!$I$5:$I$3507,$L1045))</f>
        <v/>
      </c>
      <c r="L1045" s="47" t="str">
        <f aca="false">IFERROR(MATCH(ROW()-4,ポート振替表!$V$5:$V$3507,0),"")</f>
        <v/>
      </c>
    </row>
    <row r="1046" customFormat="false" ht="16.4" hidden="false" customHeight="false" outlineLevel="0" collapsed="false">
      <c r="A1046" s="32" t="str">
        <f aca="false">IF(L1046="","",ROW()-4)</f>
        <v/>
      </c>
      <c r="B1046" s="58" t="str">
        <f aca="false">IF(L1046="","",IF(INDEX(ポート振替表!$W$5:$W$3507,$L1046)="","(なし)",INDEX(ポート振替表!$W$5:$W$3507,$L1046)&amp;""))</f>
        <v/>
      </c>
      <c r="C1046" s="52" t="str">
        <f aca="false">IF(L1046="","",INDEX(ポート振替表!$B$5:$B$3507,$L1046)&amp;" "&amp;INDEX(ポート振替表!$C$5:$C$3507,$L1046)&amp;"  ⇔  "&amp;INDEX(ポート振替表!$H$5:$H$3507,$L1046)&amp;" "&amp;INDEX(ポート振替表!$I$5:$I$3507,$L1046))</f>
        <v/>
      </c>
      <c r="D1046" s="57" t="s">
        <v>158</v>
      </c>
      <c r="E1046" s="59" t="str">
        <f aca="false">IF(L1046="","",IF(INDEX(ポート振替表!$O$5:$O$3507,$L1046)="","(未設定)",INDEX(ポート振替表!$O$5:$O$3507,$L1046)&amp;""))</f>
        <v/>
      </c>
      <c r="F1046" s="52" t="str">
        <f aca="false">IF(L1046="","",INDEX(ポート振替表!$K$5:$K$3507,$L1046)&amp;" "&amp;INDEX(ポート振替表!$L$5:$L$3507,$L1046)&amp;"  ⇔  "&amp;INDEX(ポート振替表!$H$5:$H$3507,$L1046)&amp;" "&amp;INDEX(ポート振替表!$I$5:$I$3507,$L1046))</f>
        <v/>
      </c>
      <c r="G1046" s="57" t="s">
        <v>158</v>
      </c>
      <c r="H1046" s="32" t="str">
        <f aca="false">IF(L1046="","",INDEX(ポート振替表!$N$5:$N$3507,$L1046)&amp;"")</f>
        <v/>
      </c>
      <c r="I1046" s="32" t="str">
        <f aca="false">IF(L1046="","",INDEX(ポート振替表!$P$5:$P$3507,$L1046)&amp;"")</f>
        <v/>
      </c>
      <c r="J1046" s="60" t="str">
        <f aca="false">IF(L1046="","",INDEX(ポート振替表!$M$5:$M$3507,$L1046)&amp;"")</f>
        <v/>
      </c>
      <c r="K1046" s="52" t="str">
        <f aca="false">IF(L1046="","",E1046&amp;CHAR(10)&amp;INDEX(ポート振替表!$K$5:$K$3507,$L1046)&amp;" "&amp;INDEX(ポート振替表!$L$5:$L$3507,$L1046)&amp;CHAR(10)&amp;"⇔ "&amp;INDEX(ポート振替表!$H$5:$H$3507,$L1046)&amp;" "&amp;INDEX(ポート振替表!$I$5:$I$3507,$L1046))</f>
        <v/>
      </c>
      <c r="L1046" s="47" t="str">
        <f aca="false">IFERROR(MATCH(ROW()-4,ポート振替表!$V$5:$V$3507,0),"")</f>
        <v/>
      </c>
    </row>
    <row r="1047" customFormat="false" ht="16.4" hidden="false" customHeight="false" outlineLevel="0" collapsed="false">
      <c r="A1047" s="32" t="str">
        <f aca="false">IF(L1047="","",ROW()-4)</f>
        <v/>
      </c>
      <c r="B1047" s="58" t="str">
        <f aca="false">IF(L1047="","",IF(INDEX(ポート振替表!$W$5:$W$3507,$L1047)="","(なし)",INDEX(ポート振替表!$W$5:$W$3507,$L1047)&amp;""))</f>
        <v/>
      </c>
      <c r="C1047" s="52" t="str">
        <f aca="false">IF(L1047="","",INDEX(ポート振替表!$B$5:$B$3507,$L1047)&amp;" "&amp;INDEX(ポート振替表!$C$5:$C$3507,$L1047)&amp;"  ⇔  "&amp;INDEX(ポート振替表!$H$5:$H$3507,$L1047)&amp;" "&amp;INDEX(ポート振替表!$I$5:$I$3507,$L1047))</f>
        <v/>
      </c>
      <c r="D1047" s="57" t="s">
        <v>158</v>
      </c>
      <c r="E1047" s="59" t="str">
        <f aca="false">IF(L1047="","",IF(INDEX(ポート振替表!$O$5:$O$3507,$L1047)="","(未設定)",INDEX(ポート振替表!$O$5:$O$3507,$L1047)&amp;""))</f>
        <v/>
      </c>
      <c r="F1047" s="52" t="str">
        <f aca="false">IF(L1047="","",INDEX(ポート振替表!$K$5:$K$3507,$L1047)&amp;" "&amp;INDEX(ポート振替表!$L$5:$L$3507,$L1047)&amp;"  ⇔  "&amp;INDEX(ポート振替表!$H$5:$H$3507,$L1047)&amp;" "&amp;INDEX(ポート振替表!$I$5:$I$3507,$L1047))</f>
        <v/>
      </c>
      <c r="G1047" s="57" t="s">
        <v>158</v>
      </c>
      <c r="H1047" s="32" t="str">
        <f aca="false">IF(L1047="","",INDEX(ポート振替表!$N$5:$N$3507,$L1047)&amp;"")</f>
        <v/>
      </c>
      <c r="I1047" s="32" t="str">
        <f aca="false">IF(L1047="","",INDEX(ポート振替表!$P$5:$P$3507,$L1047)&amp;"")</f>
        <v/>
      </c>
      <c r="J1047" s="60" t="str">
        <f aca="false">IF(L1047="","",INDEX(ポート振替表!$M$5:$M$3507,$L1047)&amp;"")</f>
        <v/>
      </c>
      <c r="K1047" s="52" t="str">
        <f aca="false">IF(L1047="","",E1047&amp;CHAR(10)&amp;INDEX(ポート振替表!$K$5:$K$3507,$L1047)&amp;" "&amp;INDEX(ポート振替表!$L$5:$L$3507,$L1047)&amp;CHAR(10)&amp;"⇔ "&amp;INDEX(ポート振替表!$H$5:$H$3507,$L1047)&amp;" "&amp;INDEX(ポート振替表!$I$5:$I$3507,$L1047))</f>
        <v/>
      </c>
      <c r="L1047" s="47" t="str">
        <f aca="false">IFERROR(MATCH(ROW()-4,ポート振替表!$V$5:$V$3507,0),"")</f>
        <v/>
      </c>
    </row>
    <row r="1048" customFormat="false" ht="16.4" hidden="false" customHeight="false" outlineLevel="0" collapsed="false">
      <c r="A1048" s="32" t="str">
        <f aca="false">IF(L1048="","",ROW()-4)</f>
        <v/>
      </c>
      <c r="B1048" s="58" t="str">
        <f aca="false">IF(L1048="","",IF(INDEX(ポート振替表!$W$5:$W$3507,$L1048)="","(なし)",INDEX(ポート振替表!$W$5:$W$3507,$L1048)&amp;""))</f>
        <v/>
      </c>
      <c r="C1048" s="52" t="str">
        <f aca="false">IF(L1048="","",INDEX(ポート振替表!$B$5:$B$3507,$L1048)&amp;" "&amp;INDEX(ポート振替表!$C$5:$C$3507,$L1048)&amp;"  ⇔  "&amp;INDEX(ポート振替表!$H$5:$H$3507,$L1048)&amp;" "&amp;INDEX(ポート振替表!$I$5:$I$3507,$L1048))</f>
        <v/>
      </c>
      <c r="D1048" s="57" t="s">
        <v>158</v>
      </c>
      <c r="E1048" s="59" t="str">
        <f aca="false">IF(L1048="","",IF(INDEX(ポート振替表!$O$5:$O$3507,$L1048)="","(未設定)",INDEX(ポート振替表!$O$5:$O$3507,$L1048)&amp;""))</f>
        <v/>
      </c>
      <c r="F1048" s="52" t="str">
        <f aca="false">IF(L1048="","",INDEX(ポート振替表!$K$5:$K$3507,$L1048)&amp;" "&amp;INDEX(ポート振替表!$L$5:$L$3507,$L1048)&amp;"  ⇔  "&amp;INDEX(ポート振替表!$H$5:$H$3507,$L1048)&amp;" "&amp;INDEX(ポート振替表!$I$5:$I$3507,$L1048))</f>
        <v/>
      </c>
      <c r="G1048" s="57" t="s">
        <v>158</v>
      </c>
      <c r="H1048" s="32" t="str">
        <f aca="false">IF(L1048="","",INDEX(ポート振替表!$N$5:$N$3507,$L1048)&amp;"")</f>
        <v/>
      </c>
      <c r="I1048" s="32" t="str">
        <f aca="false">IF(L1048="","",INDEX(ポート振替表!$P$5:$P$3507,$L1048)&amp;"")</f>
        <v/>
      </c>
      <c r="J1048" s="60" t="str">
        <f aca="false">IF(L1048="","",INDEX(ポート振替表!$M$5:$M$3507,$L1048)&amp;"")</f>
        <v/>
      </c>
      <c r="K1048" s="52" t="str">
        <f aca="false">IF(L1048="","",E1048&amp;CHAR(10)&amp;INDEX(ポート振替表!$K$5:$K$3507,$L1048)&amp;" "&amp;INDEX(ポート振替表!$L$5:$L$3507,$L1048)&amp;CHAR(10)&amp;"⇔ "&amp;INDEX(ポート振替表!$H$5:$H$3507,$L1048)&amp;" "&amp;INDEX(ポート振替表!$I$5:$I$3507,$L1048))</f>
        <v/>
      </c>
      <c r="L1048" s="47" t="str">
        <f aca="false">IFERROR(MATCH(ROW()-4,ポート振替表!$V$5:$V$3507,0),"")</f>
        <v/>
      </c>
    </row>
    <row r="1049" customFormat="false" ht="16.4" hidden="false" customHeight="false" outlineLevel="0" collapsed="false">
      <c r="A1049" s="32" t="str">
        <f aca="false">IF(L1049="","",ROW()-4)</f>
        <v/>
      </c>
      <c r="B1049" s="58" t="str">
        <f aca="false">IF(L1049="","",IF(INDEX(ポート振替表!$W$5:$W$3507,$L1049)="","(なし)",INDEX(ポート振替表!$W$5:$W$3507,$L1049)&amp;""))</f>
        <v/>
      </c>
      <c r="C1049" s="52" t="str">
        <f aca="false">IF(L1049="","",INDEX(ポート振替表!$B$5:$B$3507,$L1049)&amp;" "&amp;INDEX(ポート振替表!$C$5:$C$3507,$L1049)&amp;"  ⇔  "&amp;INDEX(ポート振替表!$H$5:$H$3507,$L1049)&amp;" "&amp;INDEX(ポート振替表!$I$5:$I$3507,$L1049))</f>
        <v/>
      </c>
      <c r="D1049" s="57" t="s">
        <v>158</v>
      </c>
      <c r="E1049" s="59" t="str">
        <f aca="false">IF(L1049="","",IF(INDEX(ポート振替表!$O$5:$O$3507,$L1049)="","(未設定)",INDEX(ポート振替表!$O$5:$O$3507,$L1049)&amp;""))</f>
        <v/>
      </c>
      <c r="F1049" s="52" t="str">
        <f aca="false">IF(L1049="","",INDEX(ポート振替表!$K$5:$K$3507,$L1049)&amp;" "&amp;INDEX(ポート振替表!$L$5:$L$3507,$L1049)&amp;"  ⇔  "&amp;INDEX(ポート振替表!$H$5:$H$3507,$L1049)&amp;" "&amp;INDEX(ポート振替表!$I$5:$I$3507,$L1049))</f>
        <v/>
      </c>
      <c r="G1049" s="57" t="s">
        <v>158</v>
      </c>
      <c r="H1049" s="32" t="str">
        <f aca="false">IF(L1049="","",INDEX(ポート振替表!$N$5:$N$3507,$L1049)&amp;"")</f>
        <v/>
      </c>
      <c r="I1049" s="32" t="str">
        <f aca="false">IF(L1049="","",INDEX(ポート振替表!$P$5:$P$3507,$L1049)&amp;"")</f>
        <v/>
      </c>
      <c r="J1049" s="60" t="str">
        <f aca="false">IF(L1049="","",INDEX(ポート振替表!$M$5:$M$3507,$L1049)&amp;"")</f>
        <v/>
      </c>
      <c r="K1049" s="52" t="str">
        <f aca="false">IF(L1049="","",E1049&amp;CHAR(10)&amp;INDEX(ポート振替表!$K$5:$K$3507,$L1049)&amp;" "&amp;INDEX(ポート振替表!$L$5:$L$3507,$L1049)&amp;CHAR(10)&amp;"⇔ "&amp;INDEX(ポート振替表!$H$5:$H$3507,$L1049)&amp;" "&amp;INDEX(ポート振替表!$I$5:$I$3507,$L1049))</f>
        <v/>
      </c>
      <c r="L1049" s="47" t="str">
        <f aca="false">IFERROR(MATCH(ROW()-4,ポート振替表!$V$5:$V$3507,0),"")</f>
        <v/>
      </c>
    </row>
    <row r="1050" customFormat="false" ht="16.4" hidden="false" customHeight="false" outlineLevel="0" collapsed="false">
      <c r="A1050" s="32" t="str">
        <f aca="false">IF(L1050="","",ROW()-4)</f>
        <v/>
      </c>
      <c r="B1050" s="58" t="str">
        <f aca="false">IF(L1050="","",IF(INDEX(ポート振替表!$W$5:$W$3507,$L1050)="","(なし)",INDEX(ポート振替表!$W$5:$W$3507,$L1050)&amp;""))</f>
        <v/>
      </c>
      <c r="C1050" s="52" t="str">
        <f aca="false">IF(L1050="","",INDEX(ポート振替表!$B$5:$B$3507,$L1050)&amp;" "&amp;INDEX(ポート振替表!$C$5:$C$3507,$L1050)&amp;"  ⇔  "&amp;INDEX(ポート振替表!$H$5:$H$3507,$L1050)&amp;" "&amp;INDEX(ポート振替表!$I$5:$I$3507,$L1050))</f>
        <v/>
      </c>
      <c r="D1050" s="57" t="s">
        <v>158</v>
      </c>
      <c r="E1050" s="59" t="str">
        <f aca="false">IF(L1050="","",IF(INDEX(ポート振替表!$O$5:$O$3507,$L1050)="","(未設定)",INDEX(ポート振替表!$O$5:$O$3507,$L1050)&amp;""))</f>
        <v/>
      </c>
      <c r="F1050" s="52" t="str">
        <f aca="false">IF(L1050="","",INDEX(ポート振替表!$K$5:$K$3507,$L1050)&amp;" "&amp;INDEX(ポート振替表!$L$5:$L$3507,$L1050)&amp;"  ⇔  "&amp;INDEX(ポート振替表!$H$5:$H$3507,$L1050)&amp;" "&amp;INDEX(ポート振替表!$I$5:$I$3507,$L1050))</f>
        <v/>
      </c>
      <c r="G1050" s="57" t="s">
        <v>158</v>
      </c>
      <c r="H1050" s="32" t="str">
        <f aca="false">IF(L1050="","",INDEX(ポート振替表!$N$5:$N$3507,$L1050)&amp;"")</f>
        <v/>
      </c>
      <c r="I1050" s="32" t="str">
        <f aca="false">IF(L1050="","",INDEX(ポート振替表!$P$5:$P$3507,$L1050)&amp;"")</f>
        <v/>
      </c>
      <c r="J1050" s="60" t="str">
        <f aca="false">IF(L1050="","",INDEX(ポート振替表!$M$5:$M$3507,$L1050)&amp;"")</f>
        <v/>
      </c>
      <c r="K1050" s="52" t="str">
        <f aca="false">IF(L1050="","",E1050&amp;CHAR(10)&amp;INDEX(ポート振替表!$K$5:$K$3507,$L1050)&amp;" "&amp;INDEX(ポート振替表!$L$5:$L$3507,$L1050)&amp;CHAR(10)&amp;"⇔ "&amp;INDEX(ポート振替表!$H$5:$H$3507,$L1050)&amp;" "&amp;INDEX(ポート振替表!$I$5:$I$3507,$L1050))</f>
        <v/>
      </c>
      <c r="L1050" s="47" t="str">
        <f aca="false">IFERROR(MATCH(ROW()-4,ポート振替表!$V$5:$V$3507,0),"")</f>
        <v/>
      </c>
    </row>
    <row r="1051" customFormat="false" ht="16.4" hidden="false" customHeight="false" outlineLevel="0" collapsed="false">
      <c r="A1051" s="32" t="str">
        <f aca="false">IF(L1051="","",ROW()-4)</f>
        <v/>
      </c>
      <c r="B1051" s="58" t="str">
        <f aca="false">IF(L1051="","",IF(INDEX(ポート振替表!$W$5:$W$3507,$L1051)="","(なし)",INDEX(ポート振替表!$W$5:$W$3507,$L1051)&amp;""))</f>
        <v/>
      </c>
      <c r="C1051" s="52" t="str">
        <f aca="false">IF(L1051="","",INDEX(ポート振替表!$B$5:$B$3507,$L1051)&amp;" "&amp;INDEX(ポート振替表!$C$5:$C$3507,$L1051)&amp;"  ⇔  "&amp;INDEX(ポート振替表!$H$5:$H$3507,$L1051)&amp;" "&amp;INDEX(ポート振替表!$I$5:$I$3507,$L1051))</f>
        <v/>
      </c>
      <c r="D1051" s="57" t="s">
        <v>158</v>
      </c>
      <c r="E1051" s="59" t="str">
        <f aca="false">IF(L1051="","",IF(INDEX(ポート振替表!$O$5:$O$3507,$L1051)="","(未設定)",INDEX(ポート振替表!$O$5:$O$3507,$L1051)&amp;""))</f>
        <v/>
      </c>
      <c r="F1051" s="52" t="str">
        <f aca="false">IF(L1051="","",INDEX(ポート振替表!$K$5:$K$3507,$L1051)&amp;" "&amp;INDEX(ポート振替表!$L$5:$L$3507,$L1051)&amp;"  ⇔  "&amp;INDEX(ポート振替表!$H$5:$H$3507,$L1051)&amp;" "&amp;INDEX(ポート振替表!$I$5:$I$3507,$L1051))</f>
        <v/>
      </c>
      <c r="G1051" s="57" t="s">
        <v>158</v>
      </c>
      <c r="H1051" s="32" t="str">
        <f aca="false">IF(L1051="","",INDEX(ポート振替表!$N$5:$N$3507,$L1051)&amp;"")</f>
        <v/>
      </c>
      <c r="I1051" s="32" t="str">
        <f aca="false">IF(L1051="","",INDEX(ポート振替表!$P$5:$P$3507,$L1051)&amp;"")</f>
        <v/>
      </c>
      <c r="J1051" s="60" t="str">
        <f aca="false">IF(L1051="","",INDEX(ポート振替表!$M$5:$M$3507,$L1051)&amp;"")</f>
        <v/>
      </c>
      <c r="K1051" s="52" t="str">
        <f aca="false">IF(L1051="","",E1051&amp;CHAR(10)&amp;INDEX(ポート振替表!$K$5:$K$3507,$L1051)&amp;" "&amp;INDEX(ポート振替表!$L$5:$L$3507,$L1051)&amp;CHAR(10)&amp;"⇔ "&amp;INDEX(ポート振替表!$H$5:$H$3507,$L1051)&amp;" "&amp;INDEX(ポート振替表!$I$5:$I$3507,$L1051))</f>
        <v/>
      </c>
      <c r="L1051" s="47" t="str">
        <f aca="false">IFERROR(MATCH(ROW()-4,ポート振替表!$V$5:$V$3507,0),"")</f>
        <v/>
      </c>
    </row>
    <row r="1052" customFormat="false" ht="16.4" hidden="false" customHeight="false" outlineLevel="0" collapsed="false">
      <c r="A1052" s="32" t="str">
        <f aca="false">IF(L1052="","",ROW()-4)</f>
        <v/>
      </c>
      <c r="B1052" s="58" t="str">
        <f aca="false">IF(L1052="","",IF(INDEX(ポート振替表!$W$5:$W$3507,$L1052)="","(なし)",INDEX(ポート振替表!$W$5:$W$3507,$L1052)&amp;""))</f>
        <v/>
      </c>
      <c r="C1052" s="52" t="str">
        <f aca="false">IF(L1052="","",INDEX(ポート振替表!$B$5:$B$3507,$L1052)&amp;" "&amp;INDEX(ポート振替表!$C$5:$C$3507,$L1052)&amp;"  ⇔  "&amp;INDEX(ポート振替表!$H$5:$H$3507,$L1052)&amp;" "&amp;INDEX(ポート振替表!$I$5:$I$3507,$L1052))</f>
        <v/>
      </c>
      <c r="D1052" s="57" t="s">
        <v>158</v>
      </c>
      <c r="E1052" s="59" t="str">
        <f aca="false">IF(L1052="","",IF(INDEX(ポート振替表!$O$5:$O$3507,$L1052)="","(未設定)",INDEX(ポート振替表!$O$5:$O$3507,$L1052)&amp;""))</f>
        <v/>
      </c>
      <c r="F1052" s="52" t="str">
        <f aca="false">IF(L1052="","",INDEX(ポート振替表!$K$5:$K$3507,$L1052)&amp;" "&amp;INDEX(ポート振替表!$L$5:$L$3507,$L1052)&amp;"  ⇔  "&amp;INDEX(ポート振替表!$H$5:$H$3507,$L1052)&amp;" "&amp;INDEX(ポート振替表!$I$5:$I$3507,$L1052))</f>
        <v/>
      </c>
      <c r="G1052" s="57" t="s">
        <v>158</v>
      </c>
      <c r="H1052" s="32" t="str">
        <f aca="false">IF(L1052="","",INDEX(ポート振替表!$N$5:$N$3507,$L1052)&amp;"")</f>
        <v/>
      </c>
      <c r="I1052" s="32" t="str">
        <f aca="false">IF(L1052="","",INDEX(ポート振替表!$P$5:$P$3507,$L1052)&amp;"")</f>
        <v/>
      </c>
      <c r="J1052" s="60" t="str">
        <f aca="false">IF(L1052="","",INDEX(ポート振替表!$M$5:$M$3507,$L1052)&amp;"")</f>
        <v/>
      </c>
      <c r="K1052" s="52" t="str">
        <f aca="false">IF(L1052="","",E1052&amp;CHAR(10)&amp;INDEX(ポート振替表!$K$5:$K$3507,$L1052)&amp;" "&amp;INDEX(ポート振替表!$L$5:$L$3507,$L1052)&amp;CHAR(10)&amp;"⇔ "&amp;INDEX(ポート振替表!$H$5:$H$3507,$L1052)&amp;" "&amp;INDEX(ポート振替表!$I$5:$I$3507,$L1052))</f>
        <v/>
      </c>
      <c r="L1052" s="47" t="str">
        <f aca="false">IFERROR(MATCH(ROW()-4,ポート振替表!$V$5:$V$3507,0),"")</f>
        <v/>
      </c>
    </row>
    <row r="1053" customFormat="false" ht="16.4" hidden="false" customHeight="false" outlineLevel="0" collapsed="false">
      <c r="A1053" s="32" t="str">
        <f aca="false">IF(L1053="","",ROW()-4)</f>
        <v/>
      </c>
      <c r="B1053" s="58" t="str">
        <f aca="false">IF(L1053="","",IF(INDEX(ポート振替表!$W$5:$W$3507,$L1053)="","(なし)",INDEX(ポート振替表!$W$5:$W$3507,$L1053)&amp;""))</f>
        <v/>
      </c>
      <c r="C1053" s="52" t="str">
        <f aca="false">IF(L1053="","",INDEX(ポート振替表!$B$5:$B$3507,$L1053)&amp;" "&amp;INDEX(ポート振替表!$C$5:$C$3507,$L1053)&amp;"  ⇔  "&amp;INDEX(ポート振替表!$H$5:$H$3507,$L1053)&amp;" "&amp;INDEX(ポート振替表!$I$5:$I$3507,$L1053))</f>
        <v/>
      </c>
      <c r="D1053" s="57" t="s">
        <v>158</v>
      </c>
      <c r="E1053" s="59" t="str">
        <f aca="false">IF(L1053="","",IF(INDEX(ポート振替表!$O$5:$O$3507,$L1053)="","(未設定)",INDEX(ポート振替表!$O$5:$O$3507,$L1053)&amp;""))</f>
        <v/>
      </c>
      <c r="F1053" s="52" t="str">
        <f aca="false">IF(L1053="","",INDEX(ポート振替表!$K$5:$K$3507,$L1053)&amp;" "&amp;INDEX(ポート振替表!$L$5:$L$3507,$L1053)&amp;"  ⇔  "&amp;INDEX(ポート振替表!$H$5:$H$3507,$L1053)&amp;" "&amp;INDEX(ポート振替表!$I$5:$I$3507,$L1053))</f>
        <v/>
      </c>
      <c r="G1053" s="57" t="s">
        <v>158</v>
      </c>
      <c r="H1053" s="32" t="str">
        <f aca="false">IF(L1053="","",INDEX(ポート振替表!$N$5:$N$3507,$L1053)&amp;"")</f>
        <v/>
      </c>
      <c r="I1053" s="32" t="str">
        <f aca="false">IF(L1053="","",INDEX(ポート振替表!$P$5:$P$3507,$L1053)&amp;"")</f>
        <v/>
      </c>
      <c r="J1053" s="60" t="str">
        <f aca="false">IF(L1053="","",INDEX(ポート振替表!$M$5:$M$3507,$L1053)&amp;"")</f>
        <v/>
      </c>
      <c r="K1053" s="52" t="str">
        <f aca="false">IF(L1053="","",E1053&amp;CHAR(10)&amp;INDEX(ポート振替表!$K$5:$K$3507,$L1053)&amp;" "&amp;INDEX(ポート振替表!$L$5:$L$3507,$L1053)&amp;CHAR(10)&amp;"⇔ "&amp;INDEX(ポート振替表!$H$5:$H$3507,$L1053)&amp;" "&amp;INDEX(ポート振替表!$I$5:$I$3507,$L1053))</f>
        <v/>
      </c>
      <c r="L1053" s="47" t="str">
        <f aca="false">IFERROR(MATCH(ROW()-4,ポート振替表!$V$5:$V$3507,0),"")</f>
        <v/>
      </c>
    </row>
    <row r="1054" customFormat="false" ht="16.4" hidden="false" customHeight="false" outlineLevel="0" collapsed="false">
      <c r="A1054" s="32" t="str">
        <f aca="false">IF(L1054="","",ROW()-4)</f>
        <v/>
      </c>
      <c r="B1054" s="58" t="str">
        <f aca="false">IF(L1054="","",IF(INDEX(ポート振替表!$W$5:$W$3507,$L1054)="","(なし)",INDEX(ポート振替表!$W$5:$W$3507,$L1054)&amp;""))</f>
        <v/>
      </c>
      <c r="C1054" s="52" t="str">
        <f aca="false">IF(L1054="","",INDEX(ポート振替表!$B$5:$B$3507,$L1054)&amp;" "&amp;INDEX(ポート振替表!$C$5:$C$3507,$L1054)&amp;"  ⇔  "&amp;INDEX(ポート振替表!$H$5:$H$3507,$L1054)&amp;" "&amp;INDEX(ポート振替表!$I$5:$I$3507,$L1054))</f>
        <v/>
      </c>
      <c r="D1054" s="57" t="s">
        <v>158</v>
      </c>
      <c r="E1054" s="59" t="str">
        <f aca="false">IF(L1054="","",IF(INDEX(ポート振替表!$O$5:$O$3507,$L1054)="","(未設定)",INDEX(ポート振替表!$O$5:$O$3507,$L1054)&amp;""))</f>
        <v/>
      </c>
      <c r="F1054" s="52" t="str">
        <f aca="false">IF(L1054="","",INDEX(ポート振替表!$K$5:$K$3507,$L1054)&amp;" "&amp;INDEX(ポート振替表!$L$5:$L$3507,$L1054)&amp;"  ⇔  "&amp;INDEX(ポート振替表!$H$5:$H$3507,$L1054)&amp;" "&amp;INDEX(ポート振替表!$I$5:$I$3507,$L1054))</f>
        <v/>
      </c>
      <c r="G1054" s="57" t="s">
        <v>158</v>
      </c>
      <c r="H1054" s="32" t="str">
        <f aca="false">IF(L1054="","",INDEX(ポート振替表!$N$5:$N$3507,$L1054)&amp;"")</f>
        <v/>
      </c>
      <c r="I1054" s="32" t="str">
        <f aca="false">IF(L1054="","",INDEX(ポート振替表!$P$5:$P$3507,$L1054)&amp;"")</f>
        <v/>
      </c>
      <c r="J1054" s="60" t="str">
        <f aca="false">IF(L1054="","",INDEX(ポート振替表!$M$5:$M$3507,$L1054)&amp;"")</f>
        <v/>
      </c>
      <c r="K1054" s="52" t="str">
        <f aca="false">IF(L1054="","",E1054&amp;CHAR(10)&amp;INDEX(ポート振替表!$K$5:$K$3507,$L1054)&amp;" "&amp;INDEX(ポート振替表!$L$5:$L$3507,$L1054)&amp;CHAR(10)&amp;"⇔ "&amp;INDEX(ポート振替表!$H$5:$H$3507,$L1054)&amp;" "&amp;INDEX(ポート振替表!$I$5:$I$3507,$L1054))</f>
        <v/>
      </c>
      <c r="L1054" s="47" t="str">
        <f aca="false">IFERROR(MATCH(ROW()-4,ポート振替表!$V$5:$V$3507,0),"")</f>
        <v/>
      </c>
    </row>
    <row r="1055" customFormat="false" ht="16.4" hidden="false" customHeight="false" outlineLevel="0" collapsed="false">
      <c r="A1055" s="32" t="str">
        <f aca="false">IF(L1055="","",ROW()-4)</f>
        <v/>
      </c>
      <c r="B1055" s="58" t="str">
        <f aca="false">IF(L1055="","",IF(INDEX(ポート振替表!$W$5:$W$3507,$L1055)="","(なし)",INDEX(ポート振替表!$W$5:$W$3507,$L1055)&amp;""))</f>
        <v/>
      </c>
      <c r="C1055" s="52" t="str">
        <f aca="false">IF(L1055="","",INDEX(ポート振替表!$B$5:$B$3507,$L1055)&amp;" "&amp;INDEX(ポート振替表!$C$5:$C$3507,$L1055)&amp;"  ⇔  "&amp;INDEX(ポート振替表!$H$5:$H$3507,$L1055)&amp;" "&amp;INDEX(ポート振替表!$I$5:$I$3507,$L1055))</f>
        <v/>
      </c>
      <c r="D1055" s="57" t="s">
        <v>158</v>
      </c>
      <c r="E1055" s="59" t="str">
        <f aca="false">IF(L1055="","",IF(INDEX(ポート振替表!$O$5:$O$3507,$L1055)="","(未設定)",INDEX(ポート振替表!$O$5:$O$3507,$L1055)&amp;""))</f>
        <v/>
      </c>
      <c r="F1055" s="52" t="str">
        <f aca="false">IF(L1055="","",INDEX(ポート振替表!$K$5:$K$3507,$L1055)&amp;" "&amp;INDEX(ポート振替表!$L$5:$L$3507,$L1055)&amp;"  ⇔  "&amp;INDEX(ポート振替表!$H$5:$H$3507,$L1055)&amp;" "&amp;INDEX(ポート振替表!$I$5:$I$3507,$L1055))</f>
        <v/>
      </c>
      <c r="G1055" s="57" t="s">
        <v>158</v>
      </c>
      <c r="H1055" s="32" t="str">
        <f aca="false">IF(L1055="","",INDEX(ポート振替表!$N$5:$N$3507,$L1055)&amp;"")</f>
        <v/>
      </c>
      <c r="I1055" s="32" t="str">
        <f aca="false">IF(L1055="","",INDEX(ポート振替表!$P$5:$P$3507,$L1055)&amp;"")</f>
        <v/>
      </c>
      <c r="J1055" s="60" t="str">
        <f aca="false">IF(L1055="","",INDEX(ポート振替表!$M$5:$M$3507,$L1055)&amp;"")</f>
        <v/>
      </c>
      <c r="K1055" s="52" t="str">
        <f aca="false">IF(L1055="","",E1055&amp;CHAR(10)&amp;INDEX(ポート振替表!$K$5:$K$3507,$L1055)&amp;" "&amp;INDEX(ポート振替表!$L$5:$L$3507,$L1055)&amp;CHAR(10)&amp;"⇔ "&amp;INDEX(ポート振替表!$H$5:$H$3507,$L1055)&amp;" "&amp;INDEX(ポート振替表!$I$5:$I$3507,$L1055))</f>
        <v/>
      </c>
      <c r="L1055" s="47" t="str">
        <f aca="false">IFERROR(MATCH(ROW()-4,ポート振替表!$V$5:$V$3507,0),"")</f>
        <v/>
      </c>
    </row>
    <row r="1056" customFormat="false" ht="16.4" hidden="false" customHeight="false" outlineLevel="0" collapsed="false">
      <c r="A1056" s="32" t="str">
        <f aca="false">IF(L1056="","",ROW()-4)</f>
        <v/>
      </c>
      <c r="B1056" s="58" t="str">
        <f aca="false">IF(L1056="","",IF(INDEX(ポート振替表!$W$5:$W$3507,$L1056)="","(なし)",INDEX(ポート振替表!$W$5:$W$3507,$L1056)&amp;""))</f>
        <v/>
      </c>
      <c r="C1056" s="52" t="str">
        <f aca="false">IF(L1056="","",INDEX(ポート振替表!$B$5:$B$3507,$L1056)&amp;" "&amp;INDEX(ポート振替表!$C$5:$C$3507,$L1056)&amp;"  ⇔  "&amp;INDEX(ポート振替表!$H$5:$H$3507,$L1056)&amp;" "&amp;INDEX(ポート振替表!$I$5:$I$3507,$L1056))</f>
        <v/>
      </c>
      <c r="D1056" s="57" t="s">
        <v>158</v>
      </c>
      <c r="E1056" s="59" t="str">
        <f aca="false">IF(L1056="","",IF(INDEX(ポート振替表!$O$5:$O$3507,$L1056)="","(未設定)",INDEX(ポート振替表!$O$5:$O$3507,$L1056)&amp;""))</f>
        <v/>
      </c>
      <c r="F1056" s="52" t="str">
        <f aca="false">IF(L1056="","",INDEX(ポート振替表!$K$5:$K$3507,$L1056)&amp;" "&amp;INDEX(ポート振替表!$L$5:$L$3507,$L1056)&amp;"  ⇔  "&amp;INDEX(ポート振替表!$H$5:$H$3507,$L1056)&amp;" "&amp;INDEX(ポート振替表!$I$5:$I$3507,$L1056))</f>
        <v/>
      </c>
      <c r="G1056" s="57" t="s">
        <v>158</v>
      </c>
      <c r="H1056" s="32" t="str">
        <f aca="false">IF(L1056="","",INDEX(ポート振替表!$N$5:$N$3507,$L1056)&amp;"")</f>
        <v/>
      </c>
      <c r="I1056" s="32" t="str">
        <f aca="false">IF(L1056="","",INDEX(ポート振替表!$P$5:$P$3507,$L1056)&amp;"")</f>
        <v/>
      </c>
      <c r="J1056" s="60" t="str">
        <f aca="false">IF(L1056="","",INDEX(ポート振替表!$M$5:$M$3507,$L1056)&amp;"")</f>
        <v/>
      </c>
      <c r="K1056" s="52" t="str">
        <f aca="false">IF(L1056="","",E1056&amp;CHAR(10)&amp;INDEX(ポート振替表!$K$5:$K$3507,$L1056)&amp;" "&amp;INDEX(ポート振替表!$L$5:$L$3507,$L1056)&amp;CHAR(10)&amp;"⇔ "&amp;INDEX(ポート振替表!$H$5:$H$3507,$L1056)&amp;" "&amp;INDEX(ポート振替表!$I$5:$I$3507,$L1056))</f>
        <v/>
      </c>
      <c r="L1056" s="47" t="str">
        <f aca="false">IFERROR(MATCH(ROW()-4,ポート振替表!$V$5:$V$3507,0),"")</f>
        <v/>
      </c>
    </row>
    <row r="1057" customFormat="false" ht="16.4" hidden="false" customHeight="false" outlineLevel="0" collapsed="false">
      <c r="A1057" s="32" t="str">
        <f aca="false">IF(L1057="","",ROW()-4)</f>
        <v/>
      </c>
      <c r="B1057" s="58" t="str">
        <f aca="false">IF(L1057="","",IF(INDEX(ポート振替表!$W$5:$W$3507,$L1057)="","(なし)",INDEX(ポート振替表!$W$5:$W$3507,$L1057)&amp;""))</f>
        <v/>
      </c>
      <c r="C1057" s="52" t="str">
        <f aca="false">IF(L1057="","",INDEX(ポート振替表!$B$5:$B$3507,$L1057)&amp;" "&amp;INDEX(ポート振替表!$C$5:$C$3507,$L1057)&amp;"  ⇔  "&amp;INDEX(ポート振替表!$H$5:$H$3507,$L1057)&amp;" "&amp;INDEX(ポート振替表!$I$5:$I$3507,$L1057))</f>
        <v/>
      </c>
      <c r="D1057" s="57" t="s">
        <v>158</v>
      </c>
      <c r="E1057" s="59" t="str">
        <f aca="false">IF(L1057="","",IF(INDEX(ポート振替表!$O$5:$O$3507,$L1057)="","(未設定)",INDEX(ポート振替表!$O$5:$O$3507,$L1057)&amp;""))</f>
        <v/>
      </c>
      <c r="F1057" s="52" t="str">
        <f aca="false">IF(L1057="","",INDEX(ポート振替表!$K$5:$K$3507,$L1057)&amp;" "&amp;INDEX(ポート振替表!$L$5:$L$3507,$L1057)&amp;"  ⇔  "&amp;INDEX(ポート振替表!$H$5:$H$3507,$L1057)&amp;" "&amp;INDEX(ポート振替表!$I$5:$I$3507,$L1057))</f>
        <v/>
      </c>
      <c r="G1057" s="57" t="s">
        <v>158</v>
      </c>
      <c r="H1057" s="32" t="str">
        <f aca="false">IF(L1057="","",INDEX(ポート振替表!$N$5:$N$3507,$L1057)&amp;"")</f>
        <v/>
      </c>
      <c r="I1057" s="32" t="str">
        <f aca="false">IF(L1057="","",INDEX(ポート振替表!$P$5:$P$3507,$L1057)&amp;"")</f>
        <v/>
      </c>
      <c r="J1057" s="60" t="str">
        <f aca="false">IF(L1057="","",INDEX(ポート振替表!$M$5:$M$3507,$L1057)&amp;"")</f>
        <v/>
      </c>
      <c r="K1057" s="52" t="str">
        <f aca="false">IF(L1057="","",E1057&amp;CHAR(10)&amp;INDEX(ポート振替表!$K$5:$K$3507,$L1057)&amp;" "&amp;INDEX(ポート振替表!$L$5:$L$3507,$L1057)&amp;CHAR(10)&amp;"⇔ "&amp;INDEX(ポート振替表!$H$5:$H$3507,$L1057)&amp;" "&amp;INDEX(ポート振替表!$I$5:$I$3507,$L1057))</f>
        <v/>
      </c>
      <c r="L1057" s="47" t="str">
        <f aca="false">IFERROR(MATCH(ROW()-4,ポート振替表!$V$5:$V$3507,0),"")</f>
        <v/>
      </c>
    </row>
    <row r="1058" customFormat="false" ht="16.4" hidden="false" customHeight="false" outlineLevel="0" collapsed="false">
      <c r="A1058" s="32" t="str">
        <f aca="false">IF(L1058="","",ROW()-4)</f>
        <v/>
      </c>
      <c r="B1058" s="58" t="str">
        <f aca="false">IF(L1058="","",IF(INDEX(ポート振替表!$W$5:$W$3507,$L1058)="","(なし)",INDEX(ポート振替表!$W$5:$W$3507,$L1058)&amp;""))</f>
        <v/>
      </c>
      <c r="C1058" s="52" t="str">
        <f aca="false">IF(L1058="","",INDEX(ポート振替表!$B$5:$B$3507,$L1058)&amp;" "&amp;INDEX(ポート振替表!$C$5:$C$3507,$L1058)&amp;"  ⇔  "&amp;INDEX(ポート振替表!$H$5:$H$3507,$L1058)&amp;" "&amp;INDEX(ポート振替表!$I$5:$I$3507,$L1058))</f>
        <v/>
      </c>
      <c r="D1058" s="57" t="s">
        <v>158</v>
      </c>
      <c r="E1058" s="59" t="str">
        <f aca="false">IF(L1058="","",IF(INDEX(ポート振替表!$O$5:$O$3507,$L1058)="","(未設定)",INDEX(ポート振替表!$O$5:$O$3507,$L1058)&amp;""))</f>
        <v/>
      </c>
      <c r="F1058" s="52" t="str">
        <f aca="false">IF(L1058="","",INDEX(ポート振替表!$K$5:$K$3507,$L1058)&amp;" "&amp;INDEX(ポート振替表!$L$5:$L$3507,$L1058)&amp;"  ⇔  "&amp;INDEX(ポート振替表!$H$5:$H$3507,$L1058)&amp;" "&amp;INDEX(ポート振替表!$I$5:$I$3507,$L1058))</f>
        <v/>
      </c>
      <c r="G1058" s="57" t="s">
        <v>158</v>
      </c>
      <c r="H1058" s="32" t="str">
        <f aca="false">IF(L1058="","",INDEX(ポート振替表!$N$5:$N$3507,$L1058)&amp;"")</f>
        <v/>
      </c>
      <c r="I1058" s="32" t="str">
        <f aca="false">IF(L1058="","",INDEX(ポート振替表!$P$5:$P$3507,$L1058)&amp;"")</f>
        <v/>
      </c>
      <c r="J1058" s="60" t="str">
        <f aca="false">IF(L1058="","",INDEX(ポート振替表!$M$5:$M$3507,$L1058)&amp;"")</f>
        <v/>
      </c>
      <c r="K1058" s="52" t="str">
        <f aca="false">IF(L1058="","",E1058&amp;CHAR(10)&amp;INDEX(ポート振替表!$K$5:$K$3507,$L1058)&amp;" "&amp;INDEX(ポート振替表!$L$5:$L$3507,$L1058)&amp;CHAR(10)&amp;"⇔ "&amp;INDEX(ポート振替表!$H$5:$H$3507,$L1058)&amp;" "&amp;INDEX(ポート振替表!$I$5:$I$3507,$L1058))</f>
        <v/>
      </c>
      <c r="L1058" s="47" t="str">
        <f aca="false">IFERROR(MATCH(ROW()-4,ポート振替表!$V$5:$V$3507,0),"")</f>
        <v/>
      </c>
    </row>
    <row r="1059" customFormat="false" ht="16.4" hidden="false" customHeight="false" outlineLevel="0" collapsed="false">
      <c r="A1059" s="32" t="str">
        <f aca="false">IF(L1059="","",ROW()-4)</f>
        <v/>
      </c>
      <c r="B1059" s="58" t="str">
        <f aca="false">IF(L1059="","",IF(INDEX(ポート振替表!$W$5:$W$3507,$L1059)="","(なし)",INDEX(ポート振替表!$W$5:$W$3507,$L1059)&amp;""))</f>
        <v/>
      </c>
      <c r="C1059" s="52" t="str">
        <f aca="false">IF(L1059="","",INDEX(ポート振替表!$B$5:$B$3507,$L1059)&amp;" "&amp;INDEX(ポート振替表!$C$5:$C$3507,$L1059)&amp;"  ⇔  "&amp;INDEX(ポート振替表!$H$5:$H$3507,$L1059)&amp;" "&amp;INDEX(ポート振替表!$I$5:$I$3507,$L1059))</f>
        <v/>
      </c>
      <c r="D1059" s="57" t="s">
        <v>158</v>
      </c>
      <c r="E1059" s="59" t="str">
        <f aca="false">IF(L1059="","",IF(INDEX(ポート振替表!$O$5:$O$3507,$L1059)="","(未設定)",INDEX(ポート振替表!$O$5:$O$3507,$L1059)&amp;""))</f>
        <v/>
      </c>
      <c r="F1059" s="52" t="str">
        <f aca="false">IF(L1059="","",INDEX(ポート振替表!$K$5:$K$3507,$L1059)&amp;" "&amp;INDEX(ポート振替表!$L$5:$L$3507,$L1059)&amp;"  ⇔  "&amp;INDEX(ポート振替表!$H$5:$H$3507,$L1059)&amp;" "&amp;INDEX(ポート振替表!$I$5:$I$3507,$L1059))</f>
        <v/>
      </c>
      <c r="G1059" s="57" t="s">
        <v>158</v>
      </c>
      <c r="H1059" s="32" t="str">
        <f aca="false">IF(L1059="","",INDEX(ポート振替表!$N$5:$N$3507,$L1059)&amp;"")</f>
        <v/>
      </c>
      <c r="I1059" s="32" t="str">
        <f aca="false">IF(L1059="","",INDEX(ポート振替表!$P$5:$P$3507,$L1059)&amp;"")</f>
        <v/>
      </c>
      <c r="J1059" s="60" t="str">
        <f aca="false">IF(L1059="","",INDEX(ポート振替表!$M$5:$M$3507,$L1059)&amp;"")</f>
        <v/>
      </c>
      <c r="K1059" s="52" t="str">
        <f aca="false">IF(L1059="","",E1059&amp;CHAR(10)&amp;INDEX(ポート振替表!$K$5:$K$3507,$L1059)&amp;" "&amp;INDEX(ポート振替表!$L$5:$L$3507,$L1059)&amp;CHAR(10)&amp;"⇔ "&amp;INDEX(ポート振替表!$H$5:$H$3507,$L1059)&amp;" "&amp;INDEX(ポート振替表!$I$5:$I$3507,$L1059))</f>
        <v/>
      </c>
      <c r="L1059" s="47" t="str">
        <f aca="false">IFERROR(MATCH(ROW()-4,ポート振替表!$V$5:$V$3507,0),"")</f>
        <v/>
      </c>
    </row>
    <row r="1060" customFormat="false" ht="16.4" hidden="false" customHeight="false" outlineLevel="0" collapsed="false">
      <c r="A1060" s="32" t="str">
        <f aca="false">IF(L1060="","",ROW()-4)</f>
        <v/>
      </c>
      <c r="B1060" s="58" t="str">
        <f aca="false">IF(L1060="","",IF(INDEX(ポート振替表!$W$5:$W$3507,$L1060)="","(なし)",INDEX(ポート振替表!$W$5:$W$3507,$L1060)&amp;""))</f>
        <v/>
      </c>
      <c r="C1060" s="52" t="str">
        <f aca="false">IF(L1060="","",INDEX(ポート振替表!$B$5:$B$3507,$L1060)&amp;" "&amp;INDEX(ポート振替表!$C$5:$C$3507,$L1060)&amp;"  ⇔  "&amp;INDEX(ポート振替表!$H$5:$H$3507,$L1060)&amp;" "&amp;INDEX(ポート振替表!$I$5:$I$3507,$L1060))</f>
        <v/>
      </c>
      <c r="D1060" s="57" t="s">
        <v>158</v>
      </c>
      <c r="E1060" s="59" t="str">
        <f aca="false">IF(L1060="","",IF(INDEX(ポート振替表!$O$5:$O$3507,$L1060)="","(未設定)",INDEX(ポート振替表!$O$5:$O$3507,$L1060)&amp;""))</f>
        <v/>
      </c>
      <c r="F1060" s="52" t="str">
        <f aca="false">IF(L1060="","",INDEX(ポート振替表!$K$5:$K$3507,$L1060)&amp;" "&amp;INDEX(ポート振替表!$L$5:$L$3507,$L1060)&amp;"  ⇔  "&amp;INDEX(ポート振替表!$H$5:$H$3507,$L1060)&amp;" "&amp;INDEX(ポート振替表!$I$5:$I$3507,$L1060))</f>
        <v/>
      </c>
      <c r="G1060" s="57" t="s">
        <v>158</v>
      </c>
      <c r="H1060" s="32" t="str">
        <f aca="false">IF(L1060="","",INDEX(ポート振替表!$N$5:$N$3507,$L1060)&amp;"")</f>
        <v/>
      </c>
      <c r="I1060" s="32" t="str">
        <f aca="false">IF(L1060="","",INDEX(ポート振替表!$P$5:$P$3507,$L1060)&amp;"")</f>
        <v/>
      </c>
      <c r="J1060" s="60" t="str">
        <f aca="false">IF(L1060="","",INDEX(ポート振替表!$M$5:$M$3507,$L1060)&amp;"")</f>
        <v/>
      </c>
      <c r="K1060" s="52" t="str">
        <f aca="false">IF(L1060="","",E1060&amp;CHAR(10)&amp;INDEX(ポート振替表!$K$5:$K$3507,$L1060)&amp;" "&amp;INDEX(ポート振替表!$L$5:$L$3507,$L1060)&amp;CHAR(10)&amp;"⇔ "&amp;INDEX(ポート振替表!$H$5:$H$3507,$L1060)&amp;" "&amp;INDEX(ポート振替表!$I$5:$I$3507,$L1060))</f>
        <v/>
      </c>
      <c r="L1060" s="47" t="str">
        <f aca="false">IFERROR(MATCH(ROW()-4,ポート振替表!$V$5:$V$3507,0),"")</f>
        <v/>
      </c>
    </row>
    <row r="1061" customFormat="false" ht="16.4" hidden="false" customHeight="false" outlineLevel="0" collapsed="false">
      <c r="A1061" s="32" t="str">
        <f aca="false">IF(L1061="","",ROW()-4)</f>
        <v/>
      </c>
      <c r="B1061" s="58" t="str">
        <f aca="false">IF(L1061="","",IF(INDEX(ポート振替表!$W$5:$W$3507,$L1061)="","(なし)",INDEX(ポート振替表!$W$5:$W$3507,$L1061)&amp;""))</f>
        <v/>
      </c>
      <c r="C1061" s="52" t="str">
        <f aca="false">IF(L1061="","",INDEX(ポート振替表!$B$5:$B$3507,$L1061)&amp;" "&amp;INDEX(ポート振替表!$C$5:$C$3507,$L1061)&amp;"  ⇔  "&amp;INDEX(ポート振替表!$H$5:$H$3507,$L1061)&amp;" "&amp;INDEX(ポート振替表!$I$5:$I$3507,$L1061))</f>
        <v/>
      </c>
      <c r="D1061" s="57" t="s">
        <v>158</v>
      </c>
      <c r="E1061" s="59" t="str">
        <f aca="false">IF(L1061="","",IF(INDEX(ポート振替表!$O$5:$O$3507,$L1061)="","(未設定)",INDEX(ポート振替表!$O$5:$O$3507,$L1061)&amp;""))</f>
        <v/>
      </c>
      <c r="F1061" s="52" t="str">
        <f aca="false">IF(L1061="","",INDEX(ポート振替表!$K$5:$K$3507,$L1061)&amp;" "&amp;INDEX(ポート振替表!$L$5:$L$3507,$L1061)&amp;"  ⇔  "&amp;INDEX(ポート振替表!$H$5:$H$3507,$L1061)&amp;" "&amp;INDEX(ポート振替表!$I$5:$I$3507,$L1061))</f>
        <v/>
      </c>
      <c r="G1061" s="57" t="s">
        <v>158</v>
      </c>
      <c r="H1061" s="32" t="str">
        <f aca="false">IF(L1061="","",INDEX(ポート振替表!$N$5:$N$3507,$L1061)&amp;"")</f>
        <v/>
      </c>
      <c r="I1061" s="32" t="str">
        <f aca="false">IF(L1061="","",INDEX(ポート振替表!$P$5:$P$3507,$L1061)&amp;"")</f>
        <v/>
      </c>
      <c r="J1061" s="60" t="str">
        <f aca="false">IF(L1061="","",INDEX(ポート振替表!$M$5:$M$3507,$L1061)&amp;"")</f>
        <v/>
      </c>
      <c r="K1061" s="52" t="str">
        <f aca="false">IF(L1061="","",E1061&amp;CHAR(10)&amp;INDEX(ポート振替表!$K$5:$K$3507,$L1061)&amp;" "&amp;INDEX(ポート振替表!$L$5:$L$3507,$L1061)&amp;CHAR(10)&amp;"⇔ "&amp;INDEX(ポート振替表!$H$5:$H$3507,$L1061)&amp;" "&amp;INDEX(ポート振替表!$I$5:$I$3507,$L1061))</f>
        <v/>
      </c>
      <c r="L1061" s="47" t="str">
        <f aca="false">IFERROR(MATCH(ROW()-4,ポート振替表!$V$5:$V$3507,0),"")</f>
        <v/>
      </c>
    </row>
    <row r="1062" customFormat="false" ht="16.4" hidden="false" customHeight="false" outlineLevel="0" collapsed="false">
      <c r="A1062" s="32" t="str">
        <f aca="false">IF(L1062="","",ROW()-4)</f>
        <v/>
      </c>
      <c r="B1062" s="58" t="str">
        <f aca="false">IF(L1062="","",IF(INDEX(ポート振替表!$W$5:$W$3507,$L1062)="","(なし)",INDEX(ポート振替表!$W$5:$W$3507,$L1062)&amp;""))</f>
        <v/>
      </c>
      <c r="C1062" s="52" t="str">
        <f aca="false">IF(L1062="","",INDEX(ポート振替表!$B$5:$B$3507,$L1062)&amp;" "&amp;INDEX(ポート振替表!$C$5:$C$3507,$L1062)&amp;"  ⇔  "&amp;INDEX(ポート振替表!$H$5:$H$3507,$L1062)&amp;" "&amp;INDEX(ポート振替表!$I$5:$I$3507,$L1062))</f>
        <v/>
      </c>
      <c r="D1062" s="57" t="s">
        <v>158</v>
      </c>
      <c r="E1062" s="59" t="str">
        <f aca="false">IF(L1062="","",IF(INDEX(ポート振替表!$O$5:$O$3507,$L1062)="","(未設定)",INDEX(ポート振替表!$O$5:$O$3507,$L1062)&amp;""))</f>
        <v/>
      </c>
      <c r="F1062" s="52" t="str">
        <f aca="false">IF(L1062="","",INDEX(ポート振替表!$K$5:$K$3507,$L1062)&amp;" "&amp;INDEX(ポート振替表!$L$5:$L$3507,$L1062)&amp;"  ⇔  "&amp;INDEX(ポート振替表!$H$5:$H$3507,$L1062)&amp;" "&amp;INDEX(ポート振替表!$I$5:$I$3507,$L1062))</f>
        <v/>
      </c>
      <c r="G1062" s="57" t="s">
        <v>158</v>
      </c>
      <c r="H1062" s="32" t="str">
        <f aca="false">IF(L1062="","",INDEX(ポート振替表!$N$5:$N$3507,$L1062)&amp;"")</f>
        <v/>
      </c>
      <c r="I1062" s="32" t="str">
        <f aca="false">IF(L1062="","",INDEX(ポート振替表!$P$5:$P$3507,$L1062)&amp;"")</f>
        <v/>
      </c>
      <c r="J1062" s="60" t="str">
        <f aca="false">IF(L1062="","",INDEX(ポート振替表!$M$5:$M$3507,$L1062)&amp;"")</f>
        <v/>
      </c>
      <c r="K1062" s="52" t="str">
        <f aca="false">IF(L1062="","",E1062&amp;CHAR(10)&amp;INDEX(ポート振替表!$K$5:$K$3507,$L1062)&amp;" "&amp;INDEX(ポート振替表!$L$5:$L$3507,$L1062)&amp;CHAR(10)&amp;"⇔ "&amp;INDEX(ポート振替表!$H$5:$H$3507,$L1062)&amp;" "&amp;INDEX(ポート振替表!$I$5:$I$3507,$L1062))</f>
        <v/>
      </c>
      <c r="L1062" s="47" t="str">
        <f aca="false">IFERROR(MATCH(ROW()-4,ポート振替表!$V$5:$V$3507,0),"")</f>
        <v/>
      </c>
    </row>
    <row r="1063" customFormat="false" ht="16.4" hidden="false" customHeight="false" outlineLevel="0" collapsed="false">
      <c r="A1063" s="32" t="str">
        <f aca="false">IF(L1063="","",ROW()-4)</f>
        <v/>
      </c>
      <c r="B1063" s="58" t="str">
        <f aca="false">IF(L1063="","",IF(INDEX(ポート振替表!$W$5:$W$3507,$L1063)="","(なし)",INDEX(ポート振替表!$W$5:$W$3507,$L1063)&amp;""))</f>
        <v/>
      </c>
      <c r="C1063" s="52" t="str">
        <f aca="false">IF(L1063="","",INDEX(ポート振替表!$B$5:$B$3507,$L1063)&amp;" "&amp;INDEX(ポート振替表!$C$5:$C$3507,$L1063)&amp;"  ⇔  "&amp;INDEX(ポート振替表!$H$5:$H$3507,$L1063)&amp;" "&amp;INDEX(ポート振替表!$I$5:$I$3507,$L1063))</f>
        <v/>
      </c>
      <c r="D1063" s="57" t="s">
        <v>158</v>
      </c>
      <c r="E1063" s="59" t="str">
        <f aca="false">IF(L1063="","",IF(INDEX(ポート振替表!$O$5:$O$3507,$L1063)="","(未設定)",INDEX(ポート振替表!$O$5:$O$3507,$L1063)&amp;""))</f>
        <v/>
      </c>
      <c r="F1063" s="52" t="str">
        <f aca="false">IF(L1063="","",INDEX(ポート振替表!$K$5:$K$3507,$L1063)&amp;" "&amp;INDEX(ポート振替表!$L$5:$L$3507,$L1063)&amp;"  ⇔  "&amp;INDEX(ポート振替表!$H$5:$H$3507,$L1063)&amp;" "&amp;INDEX(ポート振替表!$I$5:$I$3507,$L1063))</f>
        <v/>
      </c>
      <c r="G1063" s="57" t="s">
        <v>158</v>
      </c>
      <c r="H1063" s="32" t="str">
        <f aca="false">IF(L1063="","",INDEX(ポート振替表!$N$5:$N$3507,$L1063)&amp;"")</f>
        <v/>
      </c>
      <c r="I1063" s="32" t="str">
        <f aca="false">IF(L1063="","",INDEX(ポート振替表!$P$5:$P$3507,$L1063)&amp;"")</f>
        <v/>
      </c>
      <c r="J1063" s="60" t="str">
        <f aca="false">IF(L1063="","",INDEX(ポート振替表!$M$5:$M$3507,$L1063)&amp;"")</f>
        <v/>
      </c>
      <c r="K1063" s="52" t="str">
        <f aca="false">IF(L1063="","",E1063&amp;CHAR(10)&amp;INDEX(ポート振替表!$K$5:$K$3507,$L1063)&amp;" "&amp;INDEX(ポート振替表!$L$5:$L$3507,$L1063)&amp;CHAR(10)&amp;"⇔ "&amp;INDEX(ポート振替表!$H$5:$H$3507,$L1063)&amp;" "&amp;INDEX(ポート振替表!$I$5:$I$3507,$L1063))</f>
        <v/>
      </c>
      <c r="L1063" s="47" t="str">
        <f aca="false">IFERROR(MATCH(ROW()-4,ポート振替表!$V$5:$V$3507,0),"")</f>
        <v/>
      </c>
    </row>
    <row r="1064" customFormat="false" ht="16.4" hidden="false" customHeight="false" outlineLevel="0" collapsed="false">
      <c r="A1064" s="32" t="str">
        <f aca="false">IF(L1064="","",ROW()-4)</f>
        <v/>
      </c>
      <c r="B1064" s="58" t="str">
        <f aca="false">IF(L1064="","",IF(INDEX(ポート振替表!$W$5:$W$3507,$L1064)="","(なし)",INDEX(ポート振替表!$W$5:$W$3507,$L1064)&amp;""))</f>
        <v/>
      </c>
      <c r="C1064" s="52" t="str">
        <f aca="false">IF(L1064="","",INDEX(ポート振替表!$B$5:$B$3507,$L1064)&amp;" "&amp;INDEX(ポート振替表!$C$5:$C$3507,$L1064)&amp;"  ⇔  "&amp;INDEX(ポート振替表!$H$5:$H$3507,$L1064)&amp;" "&amp;INDEX(ポート振替表!$I$5:$I$3507,$L1064))</f>
        <v/>
      </c>
      <c r="D1064" s="57" t="s">
        <v>158</v>
      </c>
      <c r="E1064" s="59" t="str">
        <f aca="false">IF(L1064="","",IF(INDEX(ポート振替表!$O$5:$O$3507,$L1064)="","(未設定)",INDEX(ポート振替表!$O$5:$O$3507,$L1064)&amp;""))</f>
        <v/>
      </c>
      <c r="F1064" s="52" t="str">
        <f aca="false">IF(L1064="","",INDEX(ポート振替表!$K$5:$K$3507,$L1064)&amp;" "&amp;INDEX(ポート振替表!$L$5:$L$3507,$L1064)&amp;"  ⇔  "&amp;INDEX(ポート振替表!$H$5:$H$3507,$L1064)&amp;" "&amp;INDEX(ポート振替表!$I$5:$I$3507,$L1064))</f>
        <v/>
      </c>
      <c r="G1064" s="57" t="s">
        <v>158</v>
      </c>
      <c r="H1064" s="32" t="str">
        <f aca="false">IF(L1064="","",INDEX(ポート振替表!$N$5:$N$3507,$L1064)&amp;"")</f>
        <v/>
      </c>
      <c r="I1064" s="32" t="str">
        <f aca="false">IF(L1064="","",INDEX(ポート振替表!$P$5:$P$3507,$L1064)&amp;"")</f>
        <v/>
      </c>
      <c r="J1064" s="60" t="str">
        <f aca="false">IF(L1064="","",INDEX(ポート振替表!$M$5:$M$3507,$L1064)&amp;"")</f>
        <v/>
      </c>
      <c r="K1064" s="52" t="str">
        <f aca="false">IF(L1064="","",E1064&amp;CHAR(10)&amp;INDEX(ポート振替表!$K$5:$K$3507,$L1064)&amp;" "&amp;INDEX(ポート振替表!$L$5:$L$3507,$L1064)&amp;CHAR(10)&amp;"⇔ "&amp;INDEX(ポート振替表!$H$5:$H$3507,$L1064)&amp;" "&amp;INDEX(ポート振替表!$I$5:$I$3507,$L1064))</f>
        <v/>
      </c>
      <c r="L1064" s="47" t="str">
        <f aca="false">IFERROR(MATCH(ROW()-4,ポート振替表!$V$5:$V$3507,0),"")</f>
        <v/>
      </c>
    </row>
    <row r="1065" customFormat="false" ht="16.4" hidden="false" customHeight="false" outlineLevel="0" collapsed="false">
      <c r="A1065" s="32" t="str">
        <f aca="false">IF(L1065="","",ROW()-4)</f>
        <v/>
      </c>
      <c r="B1065" s="58" t="str">
        <f aca="false">IF(L1065="","",IF(INDEX(ポート振替表!$W$5:$W$3507,$L1065)="","(なし)",INDEX(ポート振替表!$W$5:$W$3507,$L1065)&amp;""))</f>
        <v/>
      </c>
      <c r="C1065" s="52" t="str">
        <f aca="false">IF(L1065="","",INDEX(ポート振替表!$B$5:$B$3507,$L1065)&amp;" "&amp;INDEX(ポート振替表!$C$5:$C$3507,$L1065)&amp;"  ⇔  "&amp;INDEX(ポート振替表!$H$5:$H$3507,$L1065)&amp;" "&amp;INDEX(ポート振替表!$I$5:$I$3507,$L1065))</f>
        <v/>
      </c>
      <c r="D1065" s="57" t="s">
        <v>158</v>
      </c>
      <c r="E1065" s="59" t="str">
        <f aca="false">IF(L1065="","",IF(INDEX(ポート振替表!$O$5:$O$3507,$L1065)="","(未設定)",INDEX(ポート振替表!$O$5:$O$3507,$L1065)&amp;""))</f>
        <v/>
      </c>
      <c r="F1065" s="52" t="str">
        <f aca="false">IF(L1065="","",INDEX(ポート振替表!$K$5:$K$3507,$L1065)&amp;" "&amp;INDEX(ポート振替表!$L$5:$L$3507,$L1065)&amp;"  ⇔  "&amp;INDEX(ポート振替表!$H$5:$H$3507,$L1065)&amp;" "&amp;INDEX(ポート振替表!$I$5:$I$3507,$L1065))</f>
        <v/>
      </c>
      <c r="G1065" s="57" t="s">
        <v>158</v>
      </c>
      <c r="H1065" s="32" t="str">
        <f aca="false">IF(L1065="","",INDEX(ポート振替表!$N$5:$N$3507,$L1065)&amp;"")</f>
        <v/>
      </c>
      <c r="I1065" s="32" t="str">
        <f aca="false">IF(L1065="","",INDEX(ポート振替表!$P$5:$P$3507,$L1065)&amp;"")</f>
        <v/>
      </c>
      <c r="J1065" s="60" t="str">
        <f aca="false">IF(L1065="","",INDEX(ポート振替表!$M$5:$M$3507,$L1065)&amp;"")</f>
        <v/>
      </c>
      <c r="K1065" s="52" t="str">
        <f aca="false">IF(L1065="","",E1065&amp;CHAR(10)&amp;INDEX(ポート振替表!$K$5:$K$3507,$L1065)&amp;" "&amp;INDEX(ポート振替表!$L$5:$L$3507,$L1065)&amp;CHAR(10)&amp;"⇔ "&amp;INDEX(ポート振替表!$H$5:$H$3507,$L1065)&amp;" "&amp;INDEX(ポート振替表!$I$5:$I$3507,$L1065))</f>
        <v/>
      </c>
      <c r="L1065" s="47" t="str">
        <f aca="false">IFERROR(MATCH(ROW()-4,ポート振替表!$V$5:$V$3507,0),"")</f>
        <v/>
      </c>
    </row>
    <row r="1066" customFormat="false" ht="16.4" hidden="false" customHeight="false" outlineLevel="0" collapsed="false">
      <c r="A1066" s="32" t="str">
        <f aca="false">IF(L1066="","",ROW()-4)</f>
        <v/>
      </c>
      <c r="B1066" s="58" t="str">
        <f aca="false">IF(L1066="","",IF(INDEX(ポート振替表!$W$5:$W$3507,$L1066)="","(なし)",INDEX(ポート振替表!$W$5:$W$3507,$L1066)&amp;""))</f>
        <v/>
      </c>
      <c r="C1066" s="52" t="str">
        <f aca="false">IF(L1066="","",INDEX(ポート振替表!$B$5:$B$3507,$L1066)&amp;" "&amp;INDEX(ポート振替表!$C$5:$C$3507,$L1066)&amp;"  ⇔  "&amp;INDEX(ポート振替表!$H$5:$H$3507,$L1066)&amp;" "&amp;INDEX(ポート振替表!$I$5:$I$3507,$L1066))</f>
        <v/>
      </c>
      <c r="D1066" s="57" t="s">
        <v>158</v>
      </c>
      <c r="E1066" s="59" t="str">
        <f aca="false">IF(L1066="","",IF(INDEX(ポート振替表!$O$5:$O$3507,$L1066)="","(未設定)",INDEX(ポート振替表!$O$5:$O$3507,$L1066)&amp;""))</f>
        <v/>
      </c>
      <c r="F1066" s="52" t="str">
        <f aca="false">IF(L1066="","",INDEX(ポート振替表!$K$5:$K$3507,$L1066)&amp;" "&amp;INDEX(ポート振替表!$L$5:$L$3507,$L1066)&amp;"  ⇔  "&amp;INDEX(ポート振替表!$H$5:$H$3507,$L1066)&amp;" "&amp;INDEX(ポート振替表!$I$5:$I$3507,$L1066))</f>
        <v/>
      </c>
      <c r="G1066" s="57" t="s">
        <v>158</v>
      </c>
      <c r="H1066" s="32" t="str">
        <f aca="false">IF(L1066="","",INDEX(ポート振替表!$N$5:$N$3507,$L1066)&amp;"")</f>
        <v/>
      </c>
      <c r="I1066" s="32" t="str">
        <f aca="false">IF(L1066="","",INDEX(ポート振替表!$P$5:$P$3507,$L1066)&amp;"")</f>
        <v/>
      </c>
      <c r="J1066" s="60" t="str">
        <f aca="false">IF(L1066="","",INDEX(ポート振替表!$M$5:$M$3507,$L1066)&amp;"")</f>
        <v/>
      </c>
      <c r="K1066" s="52" t="str">
        <f aca="false">IF(L1066="","",E1066&amp;CHAR(10)&amp;INDEX(ポート振替表!$K$5:$K$3507,$L1066)&amp;" "&amp;INDEX(ポート振替表!$L$5:$L$3507,$L1066)&amp;CHAR(10)&amp;"⇔ "&amp;INDEX(ポート振替表!$H$5:$H$3507,$L1066)&amp;" "&amp;INDEX(ポート振替表!$I$5:$I$3507,$L1066))</f>
        <v/>
      </c>
      <c r="L1066" s="47" t="str">
        <f aca="false">IFERROR(MATCH(ROW()-4,ポート振替表!$V$5:$V$3507,0),"")</f>
        <v/>
      </c>
    </row>
    <row r="1067" customFormat="false" ht="16.4" hidden="false" customHeight="false" outlineLevel="0" collapsed="false">
      <c r="A1067" s="32" t="str">
        <f aca="false">IF(L1067="","",ROW()-4)</f>
        <v/>
      </c>
      <c r="B1067" s="58" t="str">
        <f aca="false">IF(L1067="","",IF(INDEX(ポート振替表!$W$5:$W$3507,$L1067)="","(なし)",INDEX(ポート振替表!$W$5:$W$3507,$L1067)&amp;""))</f>
        <v/>
      </c>
      <c r="C1067" s="52" t="str">
        <f aca="false">IF(L1067="","",INDEX(ポート振替表!$B$5:$B$3507,$L1067)&amp;" "&amp;INDEX(ポート振替表!$C$5:$C$3507,$L1067)&amp;"  ⇔  "&amp;INDEX(ポート振替表!$H$5:$H$3507,$L1067)&amp;" "&amp;INDEX(ポート振替表!$I$5:$I$3507,$L1067))</f>
        <v/>
      </c>
      <c r="D1067" s="57" t="s">
        <v>158</v>
      </c>
      <c r="E1067" s="59" t="str">
        <f aca="false">IF(L1067="","",IF(INDEX(ポート振替表!$O$5:$O$3507,$L1067)="","(未設定)",INDEX(ポート振替表!$O$5:$O$3507,$L1067)&amp;""))</f>
        <v/>
      </c>
      <c r="F1067" s="52" t="str">
        <f aca="false">IF(L1067="","",INDEX(ポート振替表!$K$5:$K$3507,$L1067)&amp;" "&amp;INDEX(ポート振替表!$L$5:$L$3507,$L1067)&amp;"  ⇔  "&amp;INDEX(ポート振替表!$H$5:$H$3507,$L1067)&amp;" "&amp;INDEX(ポート振替表!$I$5:$I$3507,$L1067))</f>
        <v/>
      </c>
      <c r="G1067" s="57" t="s">
        <v>158</v>
      </c>
      <c r="H1067" s="32" t="str">
        <f aca="false">IF(L1067="","",INDEX(ポート振替表!$N$5:$N$3507,$L1067)&amp;"")</f>
        <v/>
      </c>
      <c r="I1067" s="32" t="str">
        <f aca="false">IF(L1067="","",INDEX(ポート振替表!$P$5:$P$3507,$L1067)&amp;"")</f>
        <v/>
      </c>
      <c r="J1067" s="60" t="str">
        <f aca="false">IF(L1067="","",INDEX(ポート振替表!$M$5:$M$3507,$L1067)&amp;"")</f>
        <v/>
      </c>
      <c r="K1067" s="52" t="str">
        <f aca="false">IF(L1067="","",E1067&amp;CHAR(10)&amp;INDEX(ポート振替表!$K$5:$K$3507,$L1067)&amp;" "&amp;INDEX(ポート振替表!$L$5:$L$3507,$L1067)&amp;CHAR(10)&amp;"⇔ "&amp;INDEX(ポート振替表!$H$5:$H$3507,$L1067)&amp;" "&amp;INDEX(ポート振替表!$I$5:$I$3507,$L1067))</f>
        <v/>
      </c>
      <c r="L1067" s="47" t="str">
        <f aca="false">IFERROR(MATCH(ROW()-4,ポート振替表!$V$5:$V$3507,0),"")</f>
        <v/>
      </c>
    </row>
    <row r="1068" customFormat="false" ht="16.4" hidden="false" customHeight="false" outlineLevel="0" collapsed="false">
      <c r="A1068" s="32" t="str">
        <f aca="false">IF(L1068="","",ROW()-4)</f>
        <v/>
      </c>
      <c r="B1068" s="58" t="str">
        <f aca="false">IF(L1068="","",IF(INDEX(ポート振替表!$W$5:$W$3507,$L1068)="","(なし)",INDEX(ポート振替表!$W$5:$W$3507,$L1068)&amp;""))</f>
        <v/>
      </c>
      <c r="C1068" s="52" t="str">
        <f aca="false">IF(L1068="","",INDEX(ポート振替表!$B$5:$B$3507,$L1068)&amp;" "&amp;INDEX(ポート振替表!$C$5:$C$3507,$L1068)&amp;"  ⇔  "&amp;INDEX(ポート振替表!$H$5:$H$3507,$L1068)&amp;" "&amp;INDEX(ポート振替表!$I$5:$I$3507,$L1068))</f>
        <v/>
      </c>
      <c r="D1068" s="57" t="s">
        <v>158</v>
      </c>
      <c r="E1068" s="59" t="str">
        <f aca="false">IF(L1068="","",IF(INDEX(ポート振替表!$O$5:$O$3507,$L1068)="","(未設定)",INDEX(ポート振替表!$O$5:$O$3507,$L1068)&amp;""))</f>
        <v/>
      </c>
      <c r="F1068" s="52" t="str">
        <f aca="false">IF(L1068="","",INDEX(ポート振替表!$K$5:$K$3507,$L1068)&amp;" "&amp;INDEX(ポート振替表!$L$5:$L$3507,$L1068)&amp;"  ⇔  "&amp;INDEX(ポート振替表!$H$5:$H$3507,$L1068)&amp;" "&amp;INDEX(ポート振替表!$I$5:$I$3507,$L1068))</f>
        <v/>
      </c>
      <c r="G1068" s="57" t="s">
        <v>158</v>
      </c>
      <c r="H1068" s="32" t="str">
        <f aca="false">IF(L1068="","",INDEX(ポート振替表!$N$5:$N$3507,$L1068)&amp;"")</f>
        <v/>
      </c>
      <c r="I1068" s="32" t="str">
        <f aca="false">IF(L1068="","",INDEX(ポート振替表!$P$5:$P$3507,$L1068)&amp;"")</f>
        <v/>
      </c>
      <c r="J1068" s="60" t="str">
        <f aca="false">IF(L1068="","",INDEX(ポート振替表!$M$5:$M$3507,$L1068)&amp;"")</f>
        <v/>
      </c>
      <c r="K1068" s="52" t="str">
        <f aca="false">IF(L1068="","",E1068&amp;CHAR(10)&amp;INDEX(ポート振替表!$K$5:$K$3507,$L1068)&amp;" "&amp;INDEX(ポート振替表!$L$5:$L$3507,$L1068)&amp;CHAR(10)&amp;"⇔ "&amp;INDEX(ポート振替表!$H$5:$H$3507,$L1068)&amp;" "&amp;INDEX(ポート振替表!$I$5:$I$3507,$L1068))</f>
        <v/>
      </c>
      <c r="L1068" s="47" t="str">
        <f aca="false">IFERROR(MATCH(ROW()-4,ポート振替表!$V$5:$V$3507,0),"")</f>
        <v/>
      </c>
    </row>
    <row r="1069" customFormat="false" ht="16.4" hidden="false" customHeight="false" outlineLevel="0" collapsed="false">
      <c r="A1069" s="32" t="str">
        <f aca="false">IF(L1069="","",ROW()-4)</f>
        <v/>
      </c>
      <c r="B1069" s="58" t="str">
        <f aca="false">IF(L1069="","",IF(INDEX(ポート振替表!$W$5:$W$3507,$L1069)="","(なし)",INDEX(ポート振替表!$W$5:$W$3507,$L1069)&amp;""))</f>
        <v/>
      </c>
      <c r="C1069" s="52" t="str">
        <f aca="false">IF(L1069="","",INDEX(ポート振替表!$B$5:$B$3507,$L1069)&amp;" "&amp;INDEX(ポート振替表!$C$5:$C$3507,$L1069)&amp;"  ⇔  "&amp;INDEX(ポート振替表!$H$5:$H$3507,$L1069)&amp;" "&amp;INDEX(ポート振替表!$I$5:$I$3507,$L1069))</f>
        <v/>
      </c>
      <c r="D1069" s="57" t="s">
        <v>158</v>
      </c>
      <c r="E1069" s="59" t="str">
        <f aca="false">IF(L1069="","",IF(INDEX(ポート振替表!$O$5:$O$3507,$L1069)="","(未設定)",INDEX(ポート振替表!$O$5:$O$3507,$L1069)&amp;""))</f>
        <v/>
      </c>
      <c r="F1069" s="52" t="str">
        <f aca="false">IF(L1069="","",INDEX(ポート振替表!$K$5:$K$3507,$L1069)&amp;" "&amp;INDEX(ポート振替表!$L$5:$L$3507,$L1069)&amp;"  ⇔  "&amp;INDEX(ポート振替表!$H$5:$H$3507,$L1069)&amp;" "&amp;INDEX(ポート振替表!$I$5:$I$3507,$L1069))</f>
        <v/>
      </c>
      <c r="G1069" s="57" t="s">
        <v>158</v>
      </c>
      <c r="H1069" s="32" t="str">
        <f aca="false">IF(L1069="","",INDEX(ポート振替表!$N$5:$N$3507,$L1069)&amp;"")</f>
        <v/>
      </c>
      <c r="I1069" s="32" t="str">
        <f aca="false">IF(L1069="","",INDEX(ポート振替表!$P$5:$P$3507,$L1069)&amp;"")</f>
        <v/>
      </c>
      <c r="J1069" s="60" t="str">
        <f aca="false">IF(L1069="","",INDEX(ポート振替表!$M$5:$M$3507,$L1069)&amp;"")</f>
        <v/>
      </c>
      <c r="K1069" s="52" t="str">
        <f aca="false">IF(L1069="","",E1069&amp;CHAR(10)&amp;INDEX(ポート振替表!$K$5:$K$3507,$L1069)&amp;" "&amp;INDEX(ポート振替表!$L$5:$L$3507,$L1069)&amp;CHAR(10)&amp;"⇔ "&amp;INDEX(ポート振替表!$H$5:$H$3507,$L1069)&amp;" "&amp;INDEX(ポート振替表!$I$5:$I$3507,$L1069))</f>
        <v/>
      </c>
      <c r="L1069" s="47" t="str">
        <f aca="false">IFERROR(MATCH(ROW()-4,ポート振替表!$V$5:$V$3507,0),"")</f>
        <v/>
      </c>
    </row>
    <row r="1070" customFormat="false" ht="16.4" hidden="false" customHeight="false" outlineLevel="0" collapsed="false">
      <c r="A1070" s="32" t="str">
        <f aca="false">IF(L1070="","",ROW()-4)</f>
        <v/>
      </c>
      <c r="B1070" s="58" t="str">
        <f aca="false">IF(L1070="","",IF(INDEX(ポート振替表!$W$5:$W$3507,$L1070)="","(なし)",INDEX(ポート振替表!$W$5:$W$3507,$L1070)&amp;""))</f>
        <v/>
      </c>
      <c r="C1070" s="52" t="str">
        <f aca="false">IF(L1070="","",INDEX(ポート振替表!$B$5:$B$3507,$L1070)&amp;" "&amp;INDEX(ポート振替表!$C$5:$C$3507,$L1070)&amp;"  ⇔  "&amp;INDEX(ポート振替表!$H$5:$H$3507,$L1070)&amp;" "&amp;INDEX(ポート振替表!$I$5:$I$3507,$L1070))</f>
        <v/>
      </c>
      <c r="D1070" s="57" t="s">
        <v>158</v>
      </c>
      <c r="E1070" s="59" t="str">
        <f aca="false">IF(L1070="","",IF(INDEX(ポート振替表!$O$5:$O$3507,$L1070)="","(未設定)",INDEX(ポート振替表!$O$5:$O$3507,$L1070)&amp;""))</f>
        <v/>
      </c>
      <c r="F1070" s="52" t="str">
        <f aca="false">IF(L1070="","",INDEX(ポート振替表!$K$5:$K$3507,$L1070)&amp;" "&amp;INDEX(ポート振替表!$L$5:$L$3507,$L1070)&amp;"  ⇔  "&amp;INDEX(ポート振替表!$H$5:$H$3507,$L1070)&amp;" "&amp;INDEX(ポート振替表!$I$5:$I$3507,$L1070))</f>
        <v/>
      </c>
      <c r="G1070" s="57" t="s">
        <v>158</v>
      </c>
      <c r="H1070" s="32" t="str">
        <f aca="false">IF(L1070="","",INDEX(ポート振替表!$N$5:$N$3507,$L1070)&amp;"")</f>
        <v/>
      </c>
      <c r="I1070" s="32" t="str">
        <f aca="false">IF(L1070="","",INDEX(ポート振替表!$P$5:$P$3507,$L1070)&amp;"")</f>
        <v/>
      </c>
      <c r="J1070" s="60" t="str">
        <f aca="false">IF(L1070="","",INDEX(ポート振替表!$M$5:$M$3507,$L1070)&amp;"")</f>
        <v/>
      </c>
      <c r="K1070" s="52" t="str">
        <f aca="false">IF(L1070="","",E1070&amp;CHAR(10)&amp;INDEX(ポート振替表!$K$5:$K$3507,$L1070)&amp;" "&amp;INDEX(ポート振替表!$L$5:$L$3507,$L1070)&amp;CHAR(10)&amp;"⇔ "&amp;INDEX(ポート振替表!$H$5:$H$3507,$L1070)&amp;" "&amp;INDEX(ポート振替表!$I$5:$I$3507,$L1070))</f>
        <v/>
      </c>
      <c r="L1070" s="47" t="str">
        <f aca="false">IFERROR(MATCH(ROW()-4,ポート振替表!$V$5:$V$3507,0),"")</f>
        <v/>
      </c>
    </row>
    <row r="1071" customFormat="false" ht="16.4" hidden="false" customHeight="false" outlineLevel="0" collapsed="false">
      <c r="A1071" s="32" t="str">
        <f aca="false">IF(L1071="","",ROW()-4)</f>
        <v/>
      </c>
      <c r="B1071" s="58" t="str">
        <f aca="false">IF(L1071="","",IF(INDEX(ポート振替表!$W$5:$W$3507,$L1071)="","(なし)",INDEX(ポート振替表!$W$5:$W$3507,$L1071)&amp;""))</f>
        <v/>
      </c>
      <c r="C1071" s="52" t="str">
        <f aca="false">IF(L1071="","",INDEX(ポート振替表!$B$5:$B$3507,$L1071)&amp;" "&amp;INDEX(ポート振替表!$C$5:$C$3507,$L1071)&amp;"  ⇔  "&amp;INDEX(ポート振替表!$H$5:$H$3507,$L1071)&amp;" "&amp;INDEX(ポート振替表!$I$5:$I$3507,$L1071))</f>
        <v/>
      </c>
      <c r="D1071" s="57" t="s">
        <v>158</v>
      </c>
      <c r="E1071" s="59" t="str">
        <f aca="false">IF(L1071="","",IF(INDEX(ポート振替表!$O$5:$O$3507,$L1071)="","(未設定)",INDEX(ポート振替表!$O$5:$O$3507,$L1071)&amp;""))</f>
        <v/>
      </c>
      <c r="F1071" s="52" t="str">
        <f aca="false">IF(L1071="","",INDEX(ポート振替表!$K$5:$K$3507,$L1071)&amp;" "&amp;INDEX(ポート振替表!$L$5:$L$3507,$L1071)&amp;"  ⇔  "&amp;INDEX(ポート振替表!$H$5:$H$3507,$L1071)&amp;" "&amp;INDEX(ポート振替表!$I$5:$I$3507,$L1071))</f>
        <v/>
      </c>
      <c r="G1071" s="57" t="s">
        <v>158</v>
      </c>
      <c r="H1071" s="32" t="str">
        <f aca="false">IF(L1071="","",INDEX(ポート振替表!$N$5:$N$3507,$L1071)&amp;"")</f>
        <v/>
      </c>
      <c r="I1071" s="32" t="str">
        <f aca="false">IF(L1071="","",INDEX(ポート振替表!$P$5:$P$3507,$L1071)&amp;"")</f>
        <v/>
      </c>
      <c r="J1071" s="60" t="str">
        <f aca="false">IF(L1071="","",INDEX(ポート振替表!$M$5:$M$3507,$L1071)&amp;"")</f>
        <v/>
      </c>
      <c r="K1071" s="52" t="str">
        <f aca="false">IF(L1071="","",E1071&amp;CHAR(10)&amp;INDEX(ポート振替表!$K$5:$K$3507,$L1071)&amp;" "&amp;INDEX(ポート振替表!$L$5:$L$3507,$L1071)&amp;CHAR(10)&amp;"⇔ "&amp;INDEX(ポート振替表!$H$5:$H$3507,$L1071)&amp;" "&amp;INDEX(ポート振替表!$I$5:$I$3507,$L1071))</f>
        <v/>
      </c>
      <c r="L1071" s="47" t="str">
        <f aca="false">IFERROR(MATCH(ROW()-4,ポート振替表!$V$5:$V$3507,0),"")</f>
        <v/>
      </c>
    </row>
    <row r="1072" customFormat="false" ht="16.4" hidden="false" customHeight="false" outlineLevel="0" collapsed="false">
      <c r="A1072" s="32" t="str">
        <f aca="false">IF(L1072="","",ROW()-4)</f>
        <v/>
      </c>
      <c r="B1072" s="58" t="str">
        <f aca="false">IF(L1072="","",IF(INDEX(ポート振替表!$W$5:$W$3507,$L1072)="","(なし)",INDEX(ポート振替表!$W$5:$W$3507,$L1072)&amp;""))</f>
        <v/>
      </c>
      <c r="C1072" s="52" t="str">
        <f aca="false">IF(L1072="","",INDEX(ポート振替表!$B$5:$B$3507,$L1072)&amp;" "&amp;INDEX(ポート振替表!$C$5:$C$3507,$L1072)&amp;"  ⇔  "&amp;INDEX(ポート振替表!$H$5:$H$3507,$L1072)&amp;" "&amp;INDEX(ポート振替表!$I$5:$I$3507,$L1072))</f>
        <v/>
      </c>
      <c r="D1072" s="57" t="s">
        <v>158</v>
      </c>
      <c r="E1072" s="59" t="str">
        <f aca="false">IF(L1072="","",IF(INDEX(ポート振替表!$O$5:$O$3507,$L1072)="","(未設定)",INDEX(ポート振替表!$O$5:$O$3507,$L1072)&amp;""))</f>
        <v/>
      </c>
      <c r="F1072" s="52" t="str">
        <f aca="false">IF(L1072="","",INDEX(ポート振替表!$K$5:$K$3507,$L1072)&amp;" "&amp;INDEX(ポート振替表!$L$5:$L$3507,$L1072)&amp;"  ⇔  "&amp;INDEX(ポート振替表!$H$5:$H$3507,$L1072)&amp;" "&amp;INDEX(ポート振替表!$I$5:$I$3507,$L1072))</f>
        <v/>
      </c>
      <c r="G1072" s="57" t="s">
        <v>158</v>
      </c>
      <c r="H1072" s="32" t="str">
        <f aca="false">IF(L1072="","",INDEX(ポート振替表!$N$5:$N$3507,$L1072)&amp;"")</f>
        <v/>
      </c>
      <c r="I1072" s="32" t="str">
        <f aca="false">IF(L1072="","",INDEX(ポート振替表!$P$5:$P$3507,$L1072)&amp;"")</f>
        <v/>
      </c>
      <c r="J1072" s="60" t="str">
        <f aca="false">IF(L1072="","",INDEX(ポート振替表!$M$5:$M$3507,$L1072)&amp;"")</f>
        <v/>
      </c>
      <c r="K1072" s="52" t="str">
        <f aca="false">IF(L1072="","",E1072&amp;CHAR(10)&amp;INDEX(ポート振替表!$K$5:$K$3507,$L1072)&amp;" "&amp;INDEX(ポート振替表!$L$5:$L$3507,$L1072)&amp;CHAR(10)&amp;"⇔ "&amp;INDEX(ポート振替表!$H$5:$H$3507,$L1072)&amp;" "&amp;INDEX(ポート振替表!$I$5:$I$3507,$L1072))</f>
        <v/>
      </c>
      <c r="L1072" s="47" t="str">
        <f aca="false">IFERROR(MATCH(ROW()-4,ポート振替表!$V$5:$V$3507,0),"")</f>
        <v/>
      </c>
    </row>
    <row r="1073" customFormat="false" ht="16.4" hidden="false" customHeight="false" outlineLevel="0" collapsed="false">
      <c r="A1073" s="32" t="str">
        <f aca="false">IF(L1073="","",ROW()-4)</f>
        <v/>
      </c>
      <c r="B1073" s="58" t="str">
        <f aca="false">IF(L1073="","",IF(INDEX(ポート振替表!$W$5:$W$3507,$L1073)="","(なし)",INDEX(ポート振替表!$W$5:$W$3507,$L1073)&amp;""))</f>
        <v/>
      </c>
      <c r="C1073" s="52" t="str">
        <f aca="false">IF(L1073="","",INDEX(ポート振替表!$B$5:$B$3507,$L1073)&amp;" "&amp;INDEX(ポート振替表!$C$5:$C$3507,$L1073)&amp;"  ⇔  "&amp;INDEX(ポート振替表!$H$5:$H$3507,$L1073)&amp;" "&amp;INDEX(ポート振替表!$I$5:$I$3507,$L1073))</f>
        <v/>
      </c>
      <c r="D1073" s="57" t="s">
        <v>158</v>
      </c>
      <c r="E1073" s="59" t="str">
        <f aca="false">IF(L1073="","",IF(INDEX(ポート振替表!$O$5:$O$3507,$L1073)="","(未設定)",INDEX(ポート振替表!$O$5:$O$3507,$L1073)&amp;""))</f>
        <v/>
      </c>
      <c r="F1073" s="52" t="str">
        <f aca="false">IF(L1073="","",INDEX(ポート振替表!$K$5:$K$3507,$L1073)&amp;" "&amp;INDEX(ポート振替表!$L$5:$L$3507,$L1073)&amp;"  ⇔  "&amp;INDEX(ポート振替表!$H$5:$H$3507,$L1073)&amp;" "&amp;INDEX(ポート振替表!$I$5:$I$3507,$L1073))</f>
        <v/>
      </c>
      <c r="G1073" s="57" t="s">
        <v>158</v>
      </c>
      <c r="H1073" s="32" t="str">
        <f aca="false">IF(L1073="","",INDEX(ポート振替表!$N$5:$N$3507,$L1073)&amp;"")</f>
        <v/>
      </c>
      <c r="I1073" s="32" t="str">
        <f aca="false">IF(L1073="","",INDEX(ポート振替表!$P$5:$P$3507,$L1073)&amp;"")</f>
        <v/>
      </c>
      <c r="J1073" s="60" t="str">
        <f aca="false">IF(L1073="","",INDEX(ポート振替表!$M$5:$M$3507,$L1073)&amp;"")</f>
        <v/>
      </c>
      <c r="K1073" s="52" t="str">
        <f aca="false">IF(L1073="","",E1073&amp;CHAR(10)&amp;INDEX(ポート振替表!$K$5:$K$3507,$L1073)&amp;" "&amp;INDEX(ポート振替表!$L$5:$L$3507,$L1073)&amp;CHAR(10)&amp;"⇔ "&amp;INDEX(ポート振替表!$H$5:$H$3507,$L1073)&amp;" "&amp;INDEX(ポート振替表!$I$5:$I$3507,$L1073))</f>
        <v/>
      </c>
      <c r="L1073" s="47" t="str">
        <f aca="false">IFERROR(MATCH(ROW()-4,ポート振替表!$V$5:$V$3507,0),"")</f>
        <v/>
      </c>
    </row>
    <row r="1074" customFormat="false" ht="16.4" hidden="false" customHeight="false" outlineLevel="0" collapsed="false">
      <c r="A1074" s="32" t="str">
        <f aca="false">IF(L1074="","",ROW()-4)</f>
        <v/>
      </c>
      <c r="B1074" s="58" t="str">
        <f aca="false">IF(L1074="","",IF(INDEX(ポート振替表!$W$5:$W$3507,$L1074)="","(なし)",INDEX(ポート振替表!$W$5:$W$3507,$L1074)&amp;""))</f>
        <v/>
      </c>
      <c r="C1074" s="52" t="str">
        <f aca="false">IF(L1074="","",INDEX(ポート振替表!$B$5:$B$3507,$L1074)&amp;" "&amp;INDEX(ポート振替表!$C$5:$C$3507,$L1074)&amp;"  ⇔  "&amp;INDEX(ポート振替表!$H$5:$H$3507,$L1074)&amp;" "&amp;INDEX(ポート振替表!$I$5:$I$3507,$L1074))</f>
        <v/>
      </c>
      <c r="D1074" s="57" t="s">
        <v>158</v>
      </c>
      <c r="E1074" s="59" t="str">
        <f aca="false">IF(L1074="","",IF(INDEX(ポート振替表!$O$5:$O$3507,$L1074)="","(未設定)",INDEX(ポート振替表!$O$5:$O$3507,$L1074)&amp;""))</f>
        <v/>
      </c>
      <c r="F1074" s="52" t="str">
        <f aca="false">IF(L1074="","",INDEX(ポート振替表!$K$5:$K$3507,$L1074)&amp;" "&amp;INDEX(ポート振替表!$L$5:$L$3507,$L1074)&amp;"  ⇔  "&amp;INDEX(ポート振替表!$H$5:$H$3507,$L1074)&amp;" "&amp;INDEX(ポート振替表!$I$5:$I$3507,$L1074))</f>
        <v/>
      </c>
      <c r="G1074" s="57" t="s">
        <v>158</v>
      </c>
      <c r="H1074" s="32" t="str">
        <f aca="false">IF(L1074="","",INDEX(ポート振替表!$N$5:$N$3507,$L1074)&amp;"")</f>
        <v/>
      </c>
      <c r="I1074" s="32" t="str">
        <f aca="false">IF(L1074="","",INDEX(ポート振替表!$P$5:$P$3507,$L1074)&amp;"")</f>
        <v/>
      </c>
      <c r="J1074" s="60" t="str">
        <f aca="false">IF(L1074="","",INDEX(ポート振替表!$M$5:$M$3507,$L1074)&amp;"")</f>
        <v/>
      </c>
      <c r="K1074" s="52" t="str">
        <f aca="false">IF(L1074="","",E1074&amp;CHAR(10)&amp;INDEX(ポート振替表!$K$5:$K$3507,$L1074)&amp;" "&amp;INDEX(ポート振替表!$L$5:$L$3507,$L1074)&amp;CHAR(10)&amp;"⇔ "&amp;INDEX(ポート振替表!$H$5:$H$3507,$L1074)&amp;" "&amp;INDEX(ポート振替表!$I$5:$I$3507,$L1074))</f>
        <v/>
      </c>
      <c r="L1074" s="47" t="str">
        <f aca="false">IFERROR(MATCH(ROW()-4,ポート振替表!$V$5:$V$3507,0),"")</f>
        <v/>
      </c>
    </row>
    <row r="1075" customFormat="false" ht="16.4" hidden="false" customHeight="false" outlineLevel="0" collapsed="false">
      <c r="A1075" s="32" t="str">
        <f aca="false">IF(L1075="","",ROW()-4)</f>
        <v/>
      </c>
      <c r="B1075" s="58" t="str">
        <f aca="false">IF(L1075="","",IF(INDEX(ポート振替表!$W$5:$W$3507,$L1075)="","(なし)",INDEX(ポート振替表!$W$5:$W$3507,$L1075)&amp;""))</f>
        <v/>
      </c>
      <c r="C1075" s="52" t="str">
        <f aca="false">IF(L1075="","",INDEX(ポート振替表!$B$5:$B$3507,$L1075)&amp;" "&amp;INDEX(ポート振替表!$C$5:$C$3507,$L1075)&amp;"  ⇔  "&amp;INDEX(ポート振替表!$H$5:$H$3507,$L1075)&amp;" "&amp;INDEX(ポート振替表!$I$5:$I$3507,$L1075))</f>
        <v/>
      </c>
      <c r="D1075" s="57" t="s">
        <v>158</v>
      </c>
      <c r="E1075" s="59" t="str">
        <f aca="false">IF(L1075="","",IF(INDEX(ポート振替表!$O$5:$O$3507,$L1075)="","(未設定)",INDEX(ポート振替表!$O$5:$O$3507,$L1075)&amp;""))</f>
        <v/>
      </c>
      <c r="F1075" s="52" t="str">
        <f aca="false">IF(L1075="","",INDEX(ポート振替表!$K$5:$K$3507,$L1075)&amp;" "&amp;INDEX(ポート振替表!$L$5:$L$3507,$L1075)&amp;"  ⇔  "&amp;INDEX(ポート振替表!$H$5:$H$3507,$L1075)&amp;" "&amp;INDEX(ポート振替表!$I$5:$I$3507,$L1075))</f>
        <v/>
      </c>
      <c r="G1075" s="57" t="s">
        <v>158</v>
      </c>
      <c r="H1075" s="32" t="str">
        <f aca="false">IF(L1075="","",INDEX(ポート振替表!$N$5:$N$3507,$L1075)&amp;"")</f>
        <v/>
      </c>
      <c r="I1075" s="32" t="str">
        <f aca="false">IF(L1075="","",INDEX(ポート振替表!$P$5:$P$3507,$L1075)&amp;"")</f>
        <v/>
      </c>
      <c r="J1075" s="60" t="str">
        <f aca="false">IF(L1075="","",INDEX(ポート振替表!$M$5:$M$3507,$L1075)&amp;"")</f>
        <v/>
      </c>
      <c r="K1075" s="52" t="str">
        <f aca="false">IF(L1075="","",E1075&amp;CHAR(10)&amp;INDEX(ポート振替表!$K$5:$K$3507,$L1075)&amp;" "&amp;INDEX(ポート振替表!$L$5:$L$3507,$L1075)&amp;CHAR(10)&amp;"⇔ "&amp;INDEX(ポート振替表!$H$5:$H$3507,$L1075)&amp;" "&amp;INDEX(ポート振替表!$I$5:$I$3507,$L1075))</f>
        <v/>
      </c>
      <c r="L1075" s="47" t="str">
        <f aca="false">IFERROR(MATCH(ROW()-4,ポート振替表!$V$5:$V$3507,0),"")</f>
        <v/>
      </c>
    </row>
    <row r="1076" customFormat="false" ht="16.4" hidden="false" customHeight="false" outlineLevel="0" collapsed="false">
      <c r="A1076" s="32" t="str">
        <f aca="false">IF(L1076="","",ROW()-4)</f>
        <v/>
      </c>
      <c r="B1076" s="58" t="str">
        <f aca="false">IF(L1076="","",IF(INDEX(ポート振替表!$W$5:$W$3507,$L1076)="","(なし)",INDEX(ポート振替表!$W$5:$W$3507,$L1076)&amp;""))</f>
        <v/>
      </c>
      <c r="C1076" s="52" t="str">
        <f aca="false">IF(L1076="","",INDEX(ポート振替表!$B$5:$B$3507,$L1076)&amp;" "&amp;INDEX(ポート振替表!$C$5:$C$3507,$L1076)&amp;"  ⇔  "&amp;INDEX(ポート振替表!$H$5:$H$3507,$L1076)&amp;" "&amp;INDEX(ポート振替表!$I$5:$I$3507,$L1076))</f>
        <v/>
      </c>
      <c r="D1076" s="57" t="s">
        <v>158</v>
      </c>
      <c r="E1076" s="59" t="str">
        <f aca="false">IF(L1076="","",IF(INDEX(ポート振替表!$O$5:$O$3507,$L1076)="","(未設定)",INDEX(ポート振替表!$O$5:$O$3507,$L1076)&amp;""))</f>
        <v/>
      </c>
      <c r="F1076" s="52" t="str">
        <f aca="false">IF(L1076="","",INDEX(ポート振替表!$K$5:$K$3507,$L1076)&amp;" "&amp;INDEX(ポート振替表!$L$5:$L$3507,$L1076)&amp;"  ⇔  "&amp;INDEX(ポート振替表!$H$5:$H$3507,$L1076)&amp;" "&amp;INDEX(ポート振替表!$I$5:$I$3507,$L1076))</f>
        <v/>
      </c>
      <c r="G1076" s="57" t="s">
        <v>158</v>
      </c>
      <c r="H1076" s="32" t="str">
        <f aca="false">IF(L1076="","",INDEX(ポート振替表!$N$5:$N$3507,$L1076)&amp;"")</f>
        <v/>
      </c>
      <c r="I1076" s="32" t="str">
        <f aca="false">IF(L1076="","",INDEX(ポート振替表!$P$5:$P$3507,$L1076)&amp;"")</f>
        <v/>
      </c>
      <c r="J1076" s="60" t="str">
        <f aca="false">IF(L1076="","",INDEX(ポート振替表!$M$5:$M$3507,$L1076)&amp;"")</f>
        <v/>
      </c>
      <c r="K1076" s="52" t="str">
        <f aca="false">IF(L1076="","",E1076&amp;CHAR(10)&amp;INDEX(ポート振替表!$K$5:$K$3507,$L1076)&amp;" "&amp;INDEX(ポート振替表!$L$5:$L$3507,$L1076)&amp;CHAR(10)&amp;"⇔ "&amp;INDEX(ポート振替表!$H$5:$H$3507,$L1076)&amp;" "&amp;INDEX(ポート振替表!$I$5:$I$3507,$L1076))</f>
        <v/>
      </c>
      <c r="L1076" s="47" t="str">
        <f aca="false">IFERROR(MATCH(ROW()-4,ポート振替表!$V$5:$V$3507,0),"")</f>
        <v/>
      </c>
    </row>
    <row r="1077" customFormat="false" ht="16.4" hidden="false" customHeight="false" outlineLevel="0" collapsed="false">
      <c r="A1077" s="32" t="str">
        <f aca="false">IF(L1077="","",ROW()-4)</f>
        <v/>
      </c>
      <c r="B1077" s="58" t="str">
        <f aca="false">IF(L1077="","",IF(INDEX(ポート振替表!$W$5:$W$3507,$L1077)="","(なし)",INDEX(ポート振替表!$W$5:$W$3507,$L1077)&amp;""))</f>
        <v/>
      </c>
      <c r="C1077" s="52" t="str">
        <f aca="false">IF(L1077="","",INDEX(ポート振替表!$B$5:$B$3507,$L1077)&amp;" "&amp;INDEX(ポート振替表!$C$5:$C$3507,$L1077)&amp;"  ⇔  "&amp;INDEX(ポート振替表!$H$5:$H$3507,$L1077)&amp;" "&amp;INDEX(ポート振替表!$I$5:$I$3507,$L1077))</f>
        <v/>
      </c>
      <c r="D1077" s="57" t="s">
        <v>158</v>
      </c>
      <c r="E1077" s="59" t="str">
        <f aca="false">IF(L1077="","",IF(INDEX(ポート振替表!$O$5:$O$3507,$L1077)="","(未設定)",INDEX(ポート振替表!$O$5:$O$3507,$L1077)&amp;""))</f>
        <v/>
      </c>
      <c r="F1077" s="52" t="str">
        <f aca="false">IF(L1077="","",INDEX(ポート振替表!$K$5:$K$3507,$L1077)&amp;" "&amp;INDEX(ポート振替表!$L$5:$L$3507,$L1077)&amp;"  ⇔  "&amp;INDEX(ポート振替表!$H$5:$H$3507,$L1077)&amp;" "&amp;INDEX(ポート振替表!$I$5:$I$3507,$L1077))</f>
        <v/>
      </c>
      <c r="G1077" s="57" t="s">
        <v>158</v>
      </c>
      <c r="H1077" s="32" t="str">
        <f aca="false">IF(L1077="","",INDEX(ポート振替表!$N$5:$N$3507,$L1077)&amp;"")</f>
        <v/>
      </c>
      <c r="I1077" s="32" t="str">
        <f aca="false">IF(L1077="","",INDEX(ポート振替表!$P$5:$P$3507,$L1077)&amp;"")</f>
        <v/>
      </c>
      <c r="J1077" s="60" t="str">
        <f aca="false">IF(L1077="","",INDEX(ポート振替表!$M$5:$M$3507,$L1077)&amp;"")</f>
        <v/>
      </c>
      <c r="K1077" s="52" t="str">
        <f aca="false">IF(L1077="","",E1077&amp;CHAR(10)&amp;INDEX(ポート振替表!$K$5:$K$3507,$L1077)&amp;" "&amp;INDEX(ポート振替表!$L$5:$L$3507,$L1077)&amp;CHAR(10)&amp;"⇔ "&amp;INDEX(ポート振替表!$H$5:$H$3507,$L1077)&amp;" "&amp;INDEX(ポート振替表!$I$5:$I$3507,$L1077))</f>
        <v/>
      </c>
      <c r="L1077" s="47" t="str">
        <f aca="false">IFERROR(MATCH(ROW()-4,ポート振替表!$V$5:$V$3507,0),"")</f>
        <v/>
      </c>
    </row>
    <row r="1078" customFormat="false" ht="16.4" hidden="false" customHeight="false" outlineLevel="0" collapsed="false">
      <c r="A1078" s="32" t="str">
        <f aca="false">IF(L1078="","",ROW()-4)</f>
        <v/>
      </c>
      <c r="B1078" s="58" t="str">
        <f aca="false">IF(L1078="","",IF(INDEX(ポート振替表!$W$5:$W$3507,$L1078)="","(なし)",INDEX(ポート振替表!$W$5:$W$3507,$L1078)&amp;""))</f>
        <v/>
      </c>
      <c r="C1078" s="52" t="str">
        <f aca="false">IF(L1078="","",INDEX(ポート振替表!$B$5:$B$3507,$L1078)&amp;" "&amp;INDEX(ポート振替表!$C$5:$C$3507,$L1078)&amp;"  ⇔  "&amp;INDEX(ポート振替表!$H$5:$H$3507,$L1078)&amp;" "&amp;INDEX(ポート振替表!$I$5:$I$3507,$L1078))</f>
        <v/>
      </c>
      <c r="D1078" s="57" t="s">
        <v>158</v>
      </c>
      <c r="E1078" s="59" t="str">
        <f aca="false">IF(L1078="","",IF(INDEX(ポート振替表!$O$5:$O$3507,$L1078)="","(未設定)",INDEX(ポート振替表!$O$5:$O$3507,$L1078)&amp;""))</f>
        <v/>
      </c>
      <c r="F1078" s="52" t="str">
        <f aca="false">IF(L1078="","",INDEX(ポート振替表!$K$5:$K$3507,$L1078)&amp;" "&amp;INDEX(ポート振替表!$L$5:$L$3507,$L1078)&amp;"  ⇔  "&amp;INDEX(ポート振替表!$H$5:$H$3507,$L1078)&amp;" "&amp;INDEX(ポート振替表!$I$5:$I$3507,$L1078))</f>
        <v/>
      </c>
      <c r="G1078" s="57" t="s">
        <v>158</v>
      </c>
      <c r="H1078" s="32" t="str">
        <f aca="false">IF(L1078="","",INDEX(ポート振替表!$N$5:$N$3507,$L1078)&amp;"")</f>
        <v/>
      </c>
      <c r="I1078" s="32" t="str">
        <f aca="false">IF(L1078="","",INDEX(ポート振替表!$P$5:$P$3507,$L1078)&amp;"")</f>
        <v/>
      </c>
      <c r="J1078" s="60" t="str">
        <f aca="false">IF(L1078="","",INDEX(ポート振替表!$M$5:$M$3507,$L1078)&amp;"")</f>
        <v/>
      </c>
      <c r="K1078" s="52" t="str">
        <f aca="false">IF(L1078="","",E1078&amp;CHAR(10)&amp;INDEX(ポート振替表!$K$5:$K$3507,$L1078)&amp;" "&amp;INDEX(ポート振替表!$L$5:$L$3507,$L1078)&amp;CHAR(10)&amp;"⇔ "&amp;INDEX(ポート振替表!$H$5:$H$3507,$L1078)&amp;" "&amp;INDEX(ポート振替表!$I$5:$I$3507,$L1078))</f>
        <v/>
      </c>
      <c r="L1078" s="47" t="str">
        <f aca="false">IFERROR(MATCH(ROW()-4,ポート振替表!$V$5:$V$3507,0),"")</f>
        <v/>
      </c>
    </row>
    <row r="1079" customFormat="false" ht="16.4" hidden="false" customHeight="false" outlineLevel="0" collapsed="false">
      <c r="A1079" s="32" t="str">
        <f aca="false">IF(L1079="","",ROW()-4)</f>
        <v/>
      </c>
      <c r="B1079" s="58" t="str">
        <f aca="false">IF(L1079="","",IF(INDEX(ポート振替表!$W$5:$W$3507,$L1079)="","(なし)",INDEX(ポート振替表!$W$5:$W$3507,$L1079)&amp;""))</f>
        <v/>
      </c>
      <c r="C1079" s="52" t="str">
        <f aca="false">IF(L1079="","",INDEX(ポート振替表!$B$5:$B$3507,$L1079)&amp;" "&amp;INDEX(ポート振替表!$C$5:$C$3507,$L1079)&amp;"  ⇔  "&amp;INDEX(ポート振替表!$H$5:$H$3507,$L1079)&amp;" "&amp;INDEX(ポート振替表!$I$5:$I$3507,$L1079))</f>
        <v/>
      </c>
      <c r="D1079" s="57" t="s">
        <v>158</v>
      </c>
      <c r="E1079" s="59" t="str">
        <f aca="false">IF(L1079="","",IF(INDEX(ポート振替表!$O$5:$O$3507,$L1079)="","(未設定)",INDEX(ポート振替表!$O$5:$O$3507,$L1079)&amp;""))</f>
        <v/>
      </c>
      <c r="F1079" s="52" t="str">
        <f aca="false">IF(L1079="","",INDEX(ポート振替表!$K$5:$K$3507,$L1079)&amp;" "&amp;INDEX(ポート振替表!$L$5:$L$3507,$L1079)&amp;"  ⇔  "&amp;INDEX(ポート振替表!$H$5:$H$3507,$L1079)&amp;" "&amp;INDEX(ポート振替表!$I$5:$I$3507,$L1079))</f>
        <v/>
      </c>
      <c r="G1079" s="57" t="s">
        <v>158</v>
      </c>
      <c r="H1079" s="32" t="str">
        <f aca="false">IF(L1079="","",INDEX(ポート振替表!$N$5:$N$3507,$L1079)&amp;"")</f>
        <v/>
      </c>
      <c r="I1079" s="32" t="str">
        <f aca="false">IF(L1079="","",INDEX(ポート振替表!$P$5:$P$3507,$L1079)&amp;"")</f>
        <v/>
      </c>
      <c r="J1079" s="60" t="str">
        <f aca="false">IF(L1079="","",INDEX(ポート振替表!$M$5:$M$3507,$L1079)&amp;"")</f>
        <v/>
      </c>
      <c r="K1079" s="52" t="str">
        <f aca="false">IF(L1079="","",E1079&amp;CHAR(10)&amp;INDEX(ポート振替表!$K$5:$K$3507,$L1079)&amp;" "&amp;INDEX(ポート振替表!$L$5:$L$3507,$L1079)&amp;CHAR(10)&amp;"⇔ "&amp;INDEX(ポート振替表!$H$5:$H$3507,$L1079)&amp;" "&amp;INDEX(ポート振替表!$I$5:$I$3507,$L1079))</f>
        <v/>
      </c>
      <c r="L1079" s="47" t="str">
        <f aca="false">IFERROR(MATCH(ROW()-4,ポート振替表!$V$5:$V$3507,0),"")</f>
        <v/>
      </c>
    </row>
    <row r="1080" customFormat="false" ht="16.4" hidden="false" customHeight="false" outlineLevel="0" collapsed="false">
      <c r="A1080" s="32" t="str">
        <f aca="false">IF(L1080="","",ROW()-4)</f>
        <v/>
      </c>
      <c r="B1080" s="58" t="str">
        <f aca="false">IF(L1080="","",IF(INDEX(ポート振替表!$W$5:$W$3507,$L1080)="","(なし)",INDEX(ポート振替表!$W$5:$W$3507,$L1080)&amp;""))</f>
        <v/>
      </c>
      <c r="C1080" s="52" t="str">
        <f aca="false">IF(L1080="","",INDEX(ポート振替表!$B$5:$B$3507,$L1080)&amp;" "&amp;INDEX(ポート振替表!$C$5:$C$3507,$L1080)&amp;"  ⇔  "&amp;INDEX(ポート振替表!$H$5:$H$3507,$L1080)&amp;" "&amp;INDEX(ポート振替表!$I$5:$I$3507,$L1080))</f>
        <v/>
      </c>
      <c r="D1080" s="57" t="s">
        <v>158</v>
      </c>
      <c r="E1080" s="59" t="str">
        <f aca="false">IF(L1080="","",IF(INDEX(ポート振替表!$O$5:$O$3507,$L1080)="","(未設定)",INDEX(ポート振替表!$O$5:$O$3507,$L1080)&amp;""))</f>
        <v/>
      </c>
      <c r="F1080" s="52" t="str">
        <f aca="false">IF(L1080="","",INDEX(ポート振替表!$K$5:$K$3507,$L1080)&amp;" "&amp;INDEX(ポート振替表!$L$5:$L$3507,$L1080)&amp;"  ⇔  "&amp;INDEX(ポート振替表!$H$5:$H$3507,$L1080)&amp;" "&amp;INDEX(ポート振替表!$I$5:$I$3507,$L1080))</f>
        <v/>
      </c>
      <c r="G1080" s="57" t="s">
        <v>158</v>
      </c>
      <c r="H1080" s="32" t="str">
        <f aca="false">IF(L1080="","",INDEX(ポート振替表!$N$5:$N$3507,$L1080)&amp;"")</f>
        <v/>
      </c>
      <c r="I1080" s="32" t="str">
        <f aca="false">IF(L1080="","",INDEX(ポート振替表!$P$5:$P$3507,$L1080)&amp;"")</f>
        <v/>
      </c>
      <c r="J1080" s="60" t="str">
        <f aca="false">IF(L1080="","",INDEX(ポート振替表!$M$5:$M$3507,$L1080)&amp;"")</f>
        <v/>
      </c>
      <c r="K1080" s="52" t="str">
        <f aca="false">IF(L1080="","",E1080&amp;CHAR(10)&amp;INDEX(ポート振替表!$K$5:$K$3507,$L1080)&amp;" "&amp;INDEX(ポート振替表!$L$5:$L$3507,$L1080)&amp;CHAR(10)&amp;"⇔ "&amp;INDEX(ポート振替表!$H$5:$H$3507,$L1080)&amp;" "&amp;INDEX(ポート振替表!$I$5:$I$3507,$L1080))</f>
        <v/>
      </c>
      <c r="L1080" s="47" t="str">
        <f aca="false">IFERROR(MATCH(ROW()-4,ポート振替表!$V$5:$V$3507,0),"")</f>
        <v/>
      </c>
    </row>
    <row r="1081" customFormat="false" ht="16.4" hidden="false" customHeight="false" outlineLevel="0" collapsed="false">
      <c r="A1081" s="32" t="str">
        <f aca="false">IF(L1081="","",ROW()-4)</f>
        <v/>
      </c>
      <c r="B1081" s="58" t="str">
        <f aca="false">IF(L1081="","",IF(INDEX(ポート振替表!$W$5:$W$3507,$L1081)="","(なし)",INDEX(ポート振替表!$W$5:$W$3507,$L1081)&amp;""))</f>
        <v/>
      </c>
      <c r="C1081" s="52" t="str">
        <f aca="false">IF(L1081="","",INDEX(ポート振替表!$B$5:$B$3507,$L1081)&amp;" "&amp;INDEX(ポート振替表!$C$5:$C$3507,$L1081)&amp;"  ⇔  "&amp;INDEX(ポート振替表!$H$5:$H$3507,$L1081)&amp;" "&amp;INDEX(ポート振替表!$I$5:$I$3507,$L1081))</f>
        <v/>
      </c>
      <c r="D1081" s="57" t="s">
        <v>158</v>
      </c>
      <c r="E1081" s="59" t="str">
        <f aca="false">IF(L1081="","",IF(INDEX(ポート振替表!$O$5:$O$3507,$L1081)="","(未設定)",INDEX(ポート振替表!$O$5:$O$3507,$L1081)&amp;""))</f>
        <v/>
      </c>
      <c r="F1081" s="52" t="str">
        <f aca="false">IF(L1081="","",INDEX(ポート振替表!$K$5:$K$3507,$L1081)&amp;" "&amp;INDEX(ポート振替表!$L$5:$L$3507,$L1081)&amp;"  ⇔  "&amp;INDEX(ポート振替表!$H$5:$H$3507,$L1081)&amp;" "&amp;INDEX(ポート振替表!$I$5:$I$3507,$L1081))</f>
        <v/>
      </c>
      <c r="G1081" s="57" t="s">
        <v>158</v>
      </c>
      <c r="H1081" s="32" t="str">
        <f aca="false">IF(L1081="","",INDEX(ポート振替表!$N$5:$N$3507,$L1081)&amp;"")</f>
        <v/>
      </c>
      <c r="I1081" s="32" t="str">
        <f aca="false">IF(L1081="","",INDEX(ポート振替表!$P$5:$P$3507,$L1081)&amp;"")</f>
        <v/>
      </c>
      <c r="J1081" s="60" t="str">
        <f aca="false">IF(L1081="","",INDEX(ポート振替表!$M$5:$M$3507,$L1081)&amp;"")</f>
        <v/>
      </c>
      <c r="K1081" s="52" t="str">
        <f aca="false">IF(L1081="","",E1081&amp;CHAR(10)&amp;INDEX(ポート振替表!$K$5:$K$3507,$L1081)&amp;" "&amp;INDEX(ポート振替表!$L$5:$L$3507,$L1081)&amp;CHAR(10)&amp;"⇔ "&amp;INDEX(ポート振替表!$H$5:$H$3507,$L1081)&amp;" "&amp;INDEX(ポート振替表!$I$5:$I$3507,$L1081))</f>
        <v/>
      </c>
      <c r="L1081" s="47" t="str">
        <f aca="false">IFERROR(MATCH(ROW()-4,ポート振替表!$V$5:$V$3507,0),"")</f>
        <v/>
      </c>
    </row>
    <row r="1082" customFormat="false" ht="16.4" hidden="false" customHeight="false" outlineLevel="0" collapsed="false">
      <c r="A1082" s="32" t="str">
        <f aca="false">IF(L1082="","",ROW()-4)</f>
        <v/>
      </c>
      <c r="B1082" s="58" t="str">
        <f aca="false">IF(L1082="","",IF(INDEX(ポート振替表!$W$5:$W$3507,$L1082)="","(なし)",INDEX(ポート振替表!$W$5:$W$3507,$L1082)&amp;""))</f>
        <v/>
      </c>
      <c r="C1082" s="52" t="str">
        <f aca="false">IF(L1082="","",INDEX(ポート振替表!$B$5:$B$3507,$L1082)&amp;" "&amp;INDEX(ポート振替表!$C$5:$C$3507,$L1082)&amp;"  ⇔  "&amp;INDEX(ポート振替表!$H$5:$H$3507,$L1082)&amp;" "&amp;INDEX(ポート振替表!$I$5:$I$3507,$L1082))</f>
        <v/>
      </c>
      <c r="D1082" s="57" t="s">
        <v>158</v>
      </c>
      <c r="E1082" s="59" t="str">
        <f aca="false">IF(L1082="","",IF(INDEX(ポート振替表!$O$5:$O$3507,$L1082)="","(未設定)",INDEX(ポート振替表!$O$5:$O$3507,$L1082)&amp;""))</f>
        <v/>
      </c>
      <c r="F1082" s="52" t="str">
        <f aca="false">IF(L1082="","",INDEX(ポート振替表!$K$5:$K$3507,$L1082)&amp;" "&amp;INDEX(ポート振替表!$L$5:$L$3507,$L1082)&amp;"  ⇔  "&amp;INDEX(ポート振替表!$H$5:$H$3507,$L1082)&amp;" "&amp;INDEX(ポート振替表!$I$5:$I$3507,$L1082))</f>
        <v/>
      </c>
      <c r="G1082" s="57" t="s">
        <v>158</v>
      </c>
      <c r="H1082" s="32" t="str">
        <f aca="false">IF(L1082="","",INDEX(ポート振替表!$N$5:$N$3507,$L1082)&amp;"")</f>
        <v/>
      </c>
      <c r="I1082" s="32" t="str">
        <f aca="false">IF(L1082="","",INDEX(ポート振替表!$P$5:$P$3507,$L1082)&amp;"")</f>
        <v/>
      </c>
      <c r="J1082" s="60" t="str">
        <f aca="false">IF(L1082="","",INDEX(ポート振替表!$M$5:$M$3507,$L1082)&amp;"")</f>
        <v/>
      </c>
      <c r="K1082" s="52" t="str">
        <f aca="false">IF(L1082="","",E1082&amp;CHAR(10)&amp;INDEX(ポート振替表!$K$5:$K$3507,$L1082)&amp;" "&amp;INDEX(ポート振替表!$L$5:$L$3507,$L1082)&amp;CHAR(10)&amp;"⇔ "&amp;INDEX(ポート振替表!$H$5:$H$3507,$L1082)&amp;" "&amp;INDEX(ポート振替表!$I$5:$I$3507,$L1082))</f>
        <v/>
      </c>
      <c r="L1082" s="47" t="str">
        <f aca="false">IFERROR(MATCH(ROW()-4,ポート振替表!$V$5:$V$3507,0),"")</f>
        <v/>
      </c>
    </row>
    <row r="1083" customFormat="false" ht="16.4" hidden="false" customHeight="false" outlineLevel="0" collapsed="false">
      <c r="A1083" s="32" t="str">
        <f aca="false">IF(L1083="","",ROW()-4)</f>
        <v/>
      </c>
      <c r="B1083" s="58" t="str">
        <f aca="false">IF(L1083="","",IF(INDEX(ポート振替表!$W$5:$W$3507,$L1083)="","(なし)",INDEX(ポート振替表!$W$5:$W$3507,$L1083)&amp;""))</f>
        <v/>
      </c>
      <c r="C1083" s="52" t="str">
        <f aca="false">IF(L1083="","",INDEX(ポート振替表!$B$5:$B$3507,$L1083)&amp;" "&amp;INDEX(ポート振替表!$C$5:$C$3507,$L1083)&amp;"  ⇔  "&amp;INDEX(ポート振替表!$H$5:$H$3507,$L1083)&amp;" "&amp;INDEX(ポート振替表!$I$5:$I$3507,$L1083))</f>
        <v/>
      </c>
      <c r="D1083" s="57" t="s">
        <v>158</v>
      </c>
      <c r="E1083" s="59" t="str">
        <f aca="false">IF(L1083="","",IF(INDEX(ポート振替表!$O$5:$O$3507,$L1083)="","(未設定)",INDEX(ポート振替表!$O$5:$O$3507,$L1083)&amp;""))</f>
        <v/>
      </c>
      <c r="F1083" s="52" t="str">
        <f aca="false">IF(L1083="","",INDEX(ポート振替表!$K$5:$K$3507,$L1083)&amp;" "&amp;INDEX(ポート振替表!$L$5:$L$3507,$L1083)&amp;"  ⇔  "&amp;INDEX(ポート振替表!$H$5:$H$3507,$L1083)&amp;" "&amp;INDEX(ポート振替表!$I$5:$I$3507,$L1083))</f>
        <v/>
      </c>
      <c r="G1083" s="57" t="s">
        <v>158</v>
      </c>
      <c r="H1083" s="32" t="str">
        <f aca="false">IF(L1083="","",INDEX(ポート振替表!$N$5:$N$3507,$L1083)&amp;"")</f>
        <v/>
      </c>
      <c r="I1083" s="32" t="str">
        <f aca="false">IF(L1083="","",INDEX(ポート振替表!$P$5:$P$3507,$L1083)&amp;"")</f>
        <v/>
      </c>
      <c r="J1083" s="60" t="str">
        <f aca="false">IF(L1083="","",INDEX(ポート振替表!$M$5:$M$3507,$L1083)&amp;"")</f>
        <v/>
      </c>
      <c r="K1083" s="52" t="str">
        <f aca="false">IF(L1083="","",E1083&amp;CHAR(10)&amp;INDEX(ポート振替表!$K$5:$K$3507,$L1083)&amp;" "&amp;INDEX(ポート振替表!$L$5:$L$3507,$L1083)&amp;CHAR(10)&amp;"⇔ "&amp;INDEX(ポート振替表!$H$5:$H$3507,$L1083)&amp;" "&amp;INDEX(ポート振替表!$I$5:$I$3507,$L1083))</f>
        <v/>
      </c>
      <c r="L1083" s="47" t="str">
        <f aca="false">IFERROR(MATCH(ROW()-4,ポート振替表!$V$5:$V$3507,0),"")</f>
        <v/>
      </c>
    </row>
    <row r="1084" customFormat="false" ht="16.4" hidden="false" customHeight="false" outlineLevel="0" collapsed="false">
      <c r="A1084" s="32" t="str">
        <f aca="false">IF(L1084="","",ROW()-4)</f>
        <v/>
      </c>
      <c r="B1084" s="58" t="str">
        <f aca="false">IF(L1084="","",IF(INDEX(ポート振替表!$W$5:$W$3507,$L1084)="","(なし)",INDEX(ポート振替表!$W$5:$W$3507,$L1084)&amp;""))</f>
        <v/>
      </c>
      <c r="C1084" s="52" t="str">
        <f aca="false">IF(L1084="","",INDEX(ポート振替表!$B$5:$B$3507,$L1084)&amp;" "&amp;INDEX(ポート振替表!$C$5:$C$3507,$L1084)&amp;"  ⇔  "&amp;INDEX(ポート振替表!$H$5:$H$3507,$L1084)&amp;" "&amp;INDEX(ポート振替表!$I$5:$I$3507,$L1084))</f>
        <v/>
      </c>
      <c r="D1084" s="57" t="s">
        <v>158</v>
      </c>
      <c r="E1084" s="59" t="str">
        <f aca="false">IF(L1084="","",IF(INDEX(ポート振替表!$O$5:$O$3507,$L1084)="","(未設定)",INDEX(ポート振替表!$O$5:$O$3507,$L1084)&amp;""))</f>
        <v/>
      </c>
      <c r="F1084" s="52" t="str">
        <f aca="false">IF(L1084="","",INDEX(ポート振替表!$K$5:$K$3507,$L1084)&amp;" "&amp;INDEX(ポート振替表!$L$5:$L$3507,$L1084)&amp;"  ⇔  "&amp;INDEX(ポート振替表!$H$5:$H$3507,$L1084)&amp;" "&amp;INDEX(ポート振替表!$I$5:$I$3507,$L1084))</f>
        <v/>
      </c>
      <c r="G1084" s="57" t="s">
        <v>158</v>
      </c>
      <c r="H1084" s="32" t="str">
        <f aca="false">IF(L1084="","",INDEX(ポート振替表!$N$5:$N$3507,$L1084)&amp;"")</f>
        <v/>
      </c>
      <c r="I1084" s="32" t="str">
        <f aca="false">IF(L1084="","",INDEX(ポート振替表!$P$5:$P$3507,$L1084)&amp;"")</f>
        <v/>
      </c>
      <c r="J1084" s="60" t="str">
        <f aca="false">IF(L1084="","",INDEX(ポート振替表!$M$5:$M$3507,$L1084)&amp;"")</f>
        <v/>
      </c>
      <c r="K1084" s="52" t="str">
        <f aca="false">IF(L1084="","",E1084&amp;CHAR(10)&amp;INDEX(ポート振替表!$K$5:$K$3507,$L1084)&amp;" "&amp;INDEX(ポート振替表!$L$5:$L$3507,$L1084)&amp;CHAR(10)&amp;"⇔ "&amp;INDEX(ポート振替表!$H$5:$H$3507,$L1084)&amp;" "&amp;INDEX(ポート振替表!$I$5:$I$3507,$L1084))</f>
        <v/>
      </c>
      <c r="L1084" s="47" t="str">
        <f aca="false">IFERROR(MATCH(ROW()-4,ポート振替表!$V$5:$V$3507,0),"")</f>
        <v/>
      </c>
    </row>
    <row r="1085" customFormat="false" ht="16.4" hidden="false" customHeight="false" outlineLevel="0" collapsed="false">
      <c r="A1085" s="32" t="str">
        <f aca="false">IF(L1085="","",ROW()-4)</f>
        <v/>
      </c>
      <c r="B1085" s="58" t="str">
        <f aca="false">IF(L1085="","",IF(INDEX(ポート振替表!$W$5:$W$3507,$L1085)="","(なし)",INDEX(ポート振替表!$W$5:$W$3507,$L1085)&amp;""))</f>
        <v/>
      </c>
      <c r="C1085" s="52" t="str">
        <f aca="false">IF(L1085="","",INDEX(ポート振替表!$B$5:$B$3507,$L1085)&amp;" "&amp;INDEX(ポート振替表!$C$5:$C$3507,$L1085)&amp;"  ⇔  "&amp;INDEX(ポート振替表!$H$5:$H$3507,$L1085)&amp;" "&amp;INDEX(ポート振替表!$I$5:$I$3507,$L1085))</f>
        <v/>
      </c>
      <c r="D1085" s="57" t="s">
        <v>158</v>
      </c>
      <c r="E1085" s="59" t="str">
        <f aca="false">IF(L1085="","",IF(INDEX(ポート振替表!$O$5:$O$3507,$L1085)="","(未設定)",INDEX(ポート振替表!$O$5:$O$3507,$L1085)&amp;""))</f>
        <v/>
      </c>
      <c r="F1085" s="52" t="str">
        <f aca="false">IF(L1085="","",INDEX(ポート振替表!$K$5:$K$3507,$L1085)&amp;" "&amp;INDEX(ポート振替表!$L$5:$L$3507,$L1085)&amp;"  ⇔  "&amp;INDEX(ポート振替表!$H$5:$H$3507,$L1085)&amp;" "&amp;INDEX(ポート振替表!$I$5:$I$3507,$L1085))</f>
        <v/>
      </c>
      <c r="G1085" s="57" t="s">
        <v>158</v>
      </c>
      <c r="H1085" s="32" t="str">
        <f aca="false">IF(L1085="","",INDEX(ポート振替表!$N$5:$N$3507,$L1085)&amp;"")</f>
        <v/>
      </c>
      <c r="I1085" s="32" t="str">
        <f aca="false">IF(L1085="","",INDEX(ポート振替表!$P$5:$P$3507,$L1085)&amp;"")</f>
        <v/>
      </c>
      <c r="J1085" s="60" t="str">
        <f aca="false">IF(L1085="","",INDEX(ポート振替表!$M$5:$M$3507,$L1085)&amp;"")</f>
        <v/>
      </c>
      <c r="K1085" s="52" t="str">
        <f aca="false">IF(L1085="","",E1085&amp;CHAR(10)&amp;INDEX(ポート振替表!$K$5:$K$3507,$L1085)&amp;" "&amp;INDEX(ポート振替表!$L$5:$L$3507,$L1085)&amp;CHAR(10)&amp;"⇔ "&amp;INDEX(ポート振替表!$H$5:$H$3507,$L1085)&amp;" "&amp;INDEX(ポート振替表!$I$5:$I$3507,$L1085))</f>
        <v/>
      </c>
      <c r="L1085" s="47" t="str">
        <f aca="false">IFERROR(MATCH(ROW()-4,ポート振替表!$V$5:$V$3507,0),"")</f>
        <v/>
      </c>
    </row>
    <row r="1086" customFormat="false" ht="16.4" hidden="false" customHeight="false" outlineLevel="0" collapsed="false">
      <c r="A1086" s="32" t="str">
        <f aca="false">IF(L1086="","",ROW()-4)</f>
        <v/>
      </c>
      <c r="B1086" s="58" t="str">
        <f aca="false">IF(L1086="","",IF(INDEX(ポート振替表!$W$5:$W$3507,$L1086)="","(なし)",INDEX(ポート振替表!$W$5:$W$3507,$L1086)&amp;""))</f>
        <v/>
      </c>
      <c r="C1086" s="52" t="str">
        <f aca="false">IF(L1086="","",INDEX(ポート振替表!$B$5:$B$3507,$L1086)&amp;" "&amp;INDEX(ポート振替表!$C$5:$C$3507,$L1086)&amp;"  ⇔  "&amp;INDEX(ポート振替表!$H$5:$H$3507,$L1086)&amp;" "&amp;INDEX(ポート振替表!$I$5:$I$3507,$L1086))</f>
        <v/>
      </c>
      <c r="D1086" s="57" t="s">
        <v>158</v>
      </c>
      <c r="E1086" s="59" t="str">
        <f aca="false">IF(L1086="","",IF(INDEX(ポート振替表!$O$5:$O$3507,$L1086)="","(未設定)",INDEX(ポート振替表!$O$5:$O$3507,$L1086)&amp;""))</f>
        <v/>
      </c>
      <c r="F1086" s="52" t="str">
        <f aca="false">IF(L1086="","",INDEX(ポート振替表!$K$5:$K$3507,$L1086)&amp;" "&amp;INDEX(ポート振替表!$L$5:$L$3507,$L1086)&amp;"  ⇔  "&amp;INDEX(ポート振替表!$H$5:$H$3507,$L1086)&amp;" "&amp;INDEX(ポート振替表!$I$5:$I$3507,$L1086))</f>
        <v/>
      </c>
      <c r="G1086" s="57" t="s">
        <v>158</v>
      </c>
      <c r="H1086" s="32" t="str">
        <f aca="false">IF(L1086="","",INDEX(ポート振替表!$N$5:$N$3507,$L1086)&amp;"")</f>
        <v/>
      </c>
      <c r="I1086" s="32" t="str">
        <f aca="false">IF(L1086="","",INDEX(ポート振替表!$P$5:$P$3507,$L1086)&amp;"")</f>
        <v/>
      </c>
      <c r="J1086" s="60" t="str">
        <f aca="false">IF(L1086="","",INDEX(ポート振替表!$M$5:$M$3507,$L1086)&amp;"")</f>
        <v/>
      </c>
      <c r="K1086" s="52" t="str">
        <f aca="false">IF(L1086="","",E1086&amp;CHAR(10)&amp;INDEX(ポート振替表!$K$5:$K$3507,$L1086)&amp;" "&amp;INDEX(ポート振替表!$L$5:$L$3507,$L1086)&amp;CHAR(10)&amp;"⇔ "&amp;INDEX(ポート振替表!$H$5:$H$3507,$L1086)&amp;" "&amp;INDEX(ポート振替表!$I$5:$I$3507,$L1086))</f>
        <v/>
      </c>
      <c r="L1086" s="47" t="str">
        <f aca="false">IFERROR(MATCH(ROW()-4,ポート振替表!$V$5:$V$3507,0),"")</f>
        <v/>
      </c>
    </row>
    <row r="1087" customFormat="false" ht="16.4" hidden="false" customHeight="false" outlineLevel="0" collapsed="false">
      <c r="A1087" s="32" t="str">
        <f aca="false">IF(L1087="","",ROW()-4)</f>
        <v/>
      </c>
      <c r="B1087" s="58" t="str">
        <f aca="false">IF(L1087="","",IF(INDEX(ポート振替表!$W$5:$W$3507,$L1087)="","(なし)",INDEX(ポート振替表!$W$5:$W$3507,$L1087)&amp;""))</f>
        <v/>
      </c>
      <c r="C1087" s="52" t="str">
        <f aca="false">IF(L1087="","",INDEX(ポート振替表!$B$5:$B$3507,$L1087)&amp;" "&amp;INDEX(ポート振替表!$C$5:$C$3507,$L1087)&amp;"  ⇔  "&amp;INDEX(ポート振替表!$H$5:$H$3507,$L1087)&amp;" "&amp;INDEX(ポート振替表!$I$5:$I$3507,$L1087))</f>
        <v/>
      </c>
      <c r="D1087" s="57" t="s">
        <v>158</v>
      </c>
      <c r="E1087" s="59" t="str">
        <f aca="false">IF(L1087="","",IF(INDEX(ポート振替表!$O$5:$O$3507,$L1087)="","(未設定)",INDEX(ポート振替表!$O$5:$O$3507,$L1087)&amp;""))</f>
        <v/>
      </c>
      <c r="F1087" s="52" t="str">
        <f aca="false">IF(L1087="","",INDEX(ポート振替表!$K$5:$K$3507,$L1087)&amp;" "&amp;INDEX(ポート振替表!$L$5:$L$3507,$L1087)&amp;"  ⇔  "&amp;INDEX(ポート振替表!$H$5:$H$3507,$L1087)&amp;" "&amp;INDEX(ポート振替表!$I$5:$I$3507,$L1087))</f>
        <v/>
      </c>
      <c r="G1087" s="57" t="s">
        <v>158</v>
      </c>
      <c r="H1087" s="32" t="str">
        <f aca="false">IF(L1087="","",INDEX(ポート振替表!$N$5:$N$3507,$L1087)&amp;"")</f>
        <v/>
      </c>
      <c r="I1087" s="32" t="str">
        <f aca="false">IF(L1087="","",INDEX(ポート振替表!$P$5:$P$3507,$L1087)&amp;"")</f>
        <v/>
      </c>
      <c r="J1087" s="60" t="str">
        <f aca="false">IF(L1087="","",INDEX(ポート振替表!$M$5:$M$3507,$L1087)&amp;"")</f>
        <v/>
      </c>
      <c r="K1087" s="52" t="str">
        <f aca="false">IF(L1087="","",E1087&amp;CHAR(10)&amp;INDEX(ポート振替表!$K$5:$K$3507,$L1087)&amp;" "&amp;INDEX(ポート振替表!$L$5:$L$3507,$L1087)&amp;CHAR(10)&amp;"⇔ "&amp;INDEX(ポート振替表!$H$5:$H$3507,$L1087)&amp;" "&amp;INDEX(ポート振替表!$I$5:$I$3507,$L1087))</f>
        <v/>
      </c>
      <c r="L1087" s="47" t="str">
        <f aca="false">IFERROR(MATCH(ROW()-4,ポート振替表!$V$5:$V$3507,0),"")</f>
        <v/>
      </c>
    </row>
    <row r="1088" customFormat="false" ht="16.4" hidden="false" customHeight="false" outlineLevel="0" collapsed="false">
      <c r="A1088" s="32" t="str">
        <f aca="false">IF(L1088="","",ROW()-4)</f>
        <v/>
      </c>
      <c r="B1088" s="58" t="str">
        <f aca="false">IF(L1088="","",IF(INDEX(ポート振替表!$W$5:$W$3507,$L1088)="","(なし)",INDEX(ポート振替表!$W$5:$W$3507,$L1088)&amp;""))</f>
        <v/>
      </c>
      <c r="C1088" s="52" t="str">
        <f aca="false">IF(L1088="","",INDEX(ポート振替表!$B$5:$B$3507,$L1088)&amp;" "&amp;INDEX(ポート振替表!$C$5:$C$3507,$L1088)&amp;"  ⇔  "&amp;INDEX(ポート振替表!$H$5:$H$3507,$L1088)&amp;" "&amp;INDEX(ポート振替表!$I$5:$I$3507,$L1088))</f>
        <v/>
      </c>
      <c r="D1088" s="57" t="s">
        <v>158</v>
      </c>
      <c r="E1088" s="59" t="str">
        <f aca="false">IF(L1088="","",IF(INDEX(ポート振替表!$O$5:$O$3507,$L1088)="","(未設定)",INDEX(ポート振替表!$O$5:$O$3507,$L1088)&amp;""))</f>
        <v/>
      </c>
      <c r="F1088" s="52" t="str">
        <f aca="false">IF(L1088="","",INDEX(ポート振替表!$K$5:$K$3507,$L1088)&amp;" "&amp;INDEX(ポート振替表!$L$5:$L$3507,$L1088)&amp;"  ⇔  "&amp;INDEX(ポート振替表!$H$5:$H$3507,$L1088)&amp;" "&amp;INDEX(ポート振替表!$I$5:$I$3507,$L1088))</f>
        <v/>
      </c>
      <c r="G1088" s="57" t="s">
        <v>158</v>
      </c>
      <c r="H1088" s="32" t="str">
        <f aca="false">IF(L1088="","",INDEX(ポート振替表!$N$5:$N$3507,$L1088)&amp;"")</f>
        <v/>
      </c>
      <c r="I1088" s="32" t="str">
        <f aca="false">IF(L1088="","",INDEX(ポート振替表!$P$5:$P$3507,$L1088)&amp;"")</f>
        <v/>
      </c>
      <c r="J1088" s="60" t="str">
        <f aca="false">IF(L1088="","",INDEX(ポート振替表!$M$5:$M$3507,$L1088)&amp;"")</f>
        <v/>
      </c>
      <c r="K1088" s="52" t="str">
        <f aca="false">IF(L1088="","",E1088&amp;CHAR(10)&amp;INDEX(ポート振替表!$K$5:$K$3507,$L1088)&amp;" "&amp;INDEX(ポート振替表!$L$5:$L$3507,$L1088)&amp;CHAR(10)&amp;"⇔ "&amp;INDEX(ポート振替表!$H$5:$H$3507,$L1088)&amp;" "&amp;INDEX(ポート振替表!$I$5:$I$3507,$L1088))</f>
        <v/>
      </c>
      <c r="L1088" s="47" t="str">
        <f aca="false">IFERROR(MATCH(ROW()-4,ポート振替表!$V$5:$V$3507,0),"")</f>
        <v/>
      </c>
    </row>
    <row r="1089" customFormat="false" ht="16.4" hidden="false" customHeight="false" outlineLevel="0" collapsed="false">
      <c r="A1089" s="32" t="str">
        <f aca="false">IF(L1089="","",ROW()-4)</f>
        <v/>
      </c>
      <c r="B1089" s="58" t="str">
        <f aca="false">IF(L1089="","",IF(INDEX(ポート振替表!$W$5:$W$3507,$L1089)="","(なし)",INDEX(ポート振替表!$W$5:$W$3507,$L1089)&amp;""))</f>
        <v/>
      </c>
      <c r="C1089" s="52" t="str">
        <f aca="false">IF(L1089="","",INDEX(ポート振替表!$B$5:$B$3507,$L1089)&amp;" "&amp;INDEX(ポート振替表!$C$5:$C$3507,$L1089)&amp;"  ⇔  "&amp;INDEX(ポート振替表!$H$5:$H$3507,$L1089)&amp;" "&amp;INDEX(ポート振替表!$I$5:$I$3507,$L1089))</f>
        <v/>
      </c>
      <c r="D1089" s="57" t="s">
        <v>158</v>
      </c>
      <c r="E1089" s="59" t="str">
        <f aca="false">IF(L1089="","",IF(INDEX(ポート振替表!$O$5:$O$3507,$L1089)="","(未設定)",INDEX(ポート振替表!$O$5:$O$3507,$L1089)&amp;""))</f>
        <v/>
      </c>
      <c r="F1089" s="52" t="str">
        <f aca="false">IF(L1089="","",INDEX(ポート振替表!$K$5:$K$3507,$L1089)&amp;" "&amp;INDEX(ポート振替表!$L$5:$L$3507,$L1089)&amp;"  ⇔  "&amp;INDEX(ポート振替表!$H$5:$H$3507,$L1089)&amp;" "&amp;INDEX(ポート振替表!$I$5:$I$3507,$L1089))</f>
        <v/>
      </c>
      <c r="G1089" s="57" t="s">
        <v>158</v>
      </c>
      <c r="H1089" s="32" t="str">
        <f aca="false">IF(L1089="","",INDEX(ポート振替表!$N$5:$N$3507,$L1089)&amp;"")</f>
        <v/>
      </c>
      <c r="I1089" s="32" t="str">
        <f aca="false">IF(L1089="","",INDEX(ポート振替表!$P$5:$P$3507,$L1089)&amp;"")</f>
        <v/>
      </c>
      <c r="J1089" s="60" t="str">
        <f aca="false">IF(L1089="","",INDEX(ポート振替表!$M$5:$M$3507,$L1089)&amp;"")</f>
        <v/>
      </c>
      <c r="K1089" s="52" t="str">
        <f aca="false">IF(L1089="","",E1089&amp;CHAR(10)&amp;INDEX(ポート振替表!$K$5:$K$3507,$L1089)&amp;" "&amp;INDEX(ポート振替表!$L$5:$L$3507,$L1089)&amp;CHAR(10)&amp;"⇔ "&amp;INDEX(ポート振替表!$H$5:$H$3507,$L1089)&amp;" "&amp;INDEX(ポート振替表!$I$5:$I$3507,$L1089))</f>
        <v/>
      </c>
      <c r="L1089" s="47" t="str">
        <f aca="false">IFERROR(MATCH(ROW()-4,ポート振替表!$V$5:$V$3507,0),"")</f>
        <v/>
      </c>
    </row>
    <row r="1090" customFormat="false" ht="16.4" hidden="false" customHeight="false" outlineLevel="0" collapsed="false">
      <c r="A1090" s="32" t="str">
        <f aca="false">IF(L1090="","",ROW()-4)</f>
        <v/>
      </c>
      <c r="B1090" s="58" t="str">
        <f aca="false">IF(L1090="","",IF(INDEX(ポート振替表!$W$5:$W$3507,$L1090)="","(なし)",INDEX(ポート振替表!$W$5:$W$3507,$L1090)&amp;""))</f>
        <v/>
      </c>
      <c r="C1090" s="52" t="str">
        <f aca="false">IF(L1090="","",INDEX(ポート振替表!$B$5:$B$3507,$L1090)&amp;" "&amp;INDEX(ポート振替表!$C$5:$C$3507,$L1090)&amp;"  ⇔  "&amp;INDEX(ポート振替表!$H$5:$H$3507,$L1090)&amp;" "&amp;INDEX(ポート振替表!$I$5:$I$3507,$L1090))</f>
        <v/>
      </c>
      <c r="D1090" s="57" t="s">
        <v>158</v>
      </c>
      <c r="E1090" s="59" t="str">
        <f aca="false">IF(L1090="","",IF(INDEX(ポート振替表!$O$5:$O$3507,$L1090)="","(未設定)",INDEX(ポート振替表!$O$5:$O$3507,$L1090)&amp;""))</f>
        <v/>
      </c>
      <c r="F1090" s="52" t="str">
        <f aca="false">IF(L1090="","",INDEX(ポート振替表!$K$5:$K$3507,$L1090)&amp;" "&amp;INDEX(ポート振替表!$L$5:$L$3507,$L1090)&amp;"  ⇔  "&amp;INDEX(ポート振替表!$H$5:$H$3507,$L1090)&amp;" "&amp;INDEX(ポート振替表!$I$5:$I$3507,$L1090))</f>
        <v/>
      </c>
      <c r="G1090" s="57" t="s">
        <v>158</v>
      </c>
      <c r="H1090" s="32" t="str">
        <f aca="false">IF(L1090="","",INDEX(ポート振替表!$N$5:$N$3507,$L1090)&amp;"")</f>
        <v/>
      </c>
      <c r="I1090" s="32" t="str">
        <f aca="false">IF(L1090="","",INDEX(ポート振替表!$P$5:$P$3507,$L1090)&amp;"")</f>
        <v/>
      </c>
      <c r="J1090" s="60" t="str">
        <f aca="false">IF(L1090="","",INDEX(ポート振替表!$M$5:$M$3507,$L1090)&amp;"")</f>
        <v/>
      </c>
      <c r="K1090" s="52" t="str">
        <f aca="false">IF(L1090="","",E1090&amp;CHAR(10)&amp;INDEX(ポート振替表!$K$5:$K$3507,$L1090)&amp;" "&amp;INDEX(ポート振替表!$L$5:$L$3507,$L1090)&amp;CHAR(10)&amp;"⇔ "&amp;INDEX(ポート振替表!$H$5:$H$3507,$L1090)&amp;" "&amp;INDEX(ポート振替表!$I$5:$I$3507,$L1090))</f>
        <v/>
      </c>
      <c r="L1090" s="47" t="str">
        <f aca="false">IFERROR(MATCH(ROW()-4,ポート振替表!$V$5:$V$3507,0),"")</f>
        <v/>
      </c>
    </row>
    <row r="1091" customFormat="false" ht="16.4" hidden="false" customHeight="false" outlineLevel="0" collapsed="false">
      <c r="A1091" s="32" t="str">
        <f aca="false">IF(L1091="","",ROW()-4)</f>
        <v/>
      </c>
      <c r="B1091" s="58" t="str">
        <f aca="false">IF(L1091="","",IF(INDEX(ポート振替表!$W$5:$W$3507,$L1091)="","(なし)",INDEX(ポート振替表!$W$5:$W$3507,$L1091)&amp;""))</f>
        <v/>
      </c>
      <c r="C1091" s="52" t="str">
        <f aca="false">IF(L1091="","",INDEX(ポート振替表!$B$5:$B$3507,$L1091)&amp;" "&amp;INDEX(ポート振替表!$C$5:$C$3507,$L1091)&amp;"  ⇔  "&amp;INDEX(ポート振替表!$H$5:$H$3507,$L1091)&amp;" "&amp;INDEX(ポート振替表!$I$5:$I$3507,$L1091))</f>
        <v/>
      </c>
      <c r="D1091" s="57" t="s">
        <v>158</v>
      </c>
      <c r="E1091" s="59" t="str">
        <f aca="false">IF(L1091="","",IF(INDEX(ポート振替表!$O$5:$O$3507,$L1091)="","(未設定)",INDEX(ポート振替表!$O$5:$O$3507,$L1091)&amp;""))</f>
        <v/>
      </c>
      <c r="F1091" s="52" t="str">
        <f aca="false">IF(L1091="","",INDEX(ポート振替表!$K$5:$K$3507,$L1091)&amp;" "&amp;INDEX(ポート振替表!$L$5:$L$3507,$L1091)&amp;"  ⇔  "&amp;INDEX(ポート振替表!$H$5:$H$3507,$L1091)&amp;" "&amp;INDEX(ポート振替表!$I$5:$I$3507,$L1091))</f>
        <v/>
      </c>
      <c r="G1091" s="57" t="s">
        <v>158</v>
      </c>
      <c r="H1091" s="32" t="str">
        <f aca="false">IF(L1091="","",INDEX(ポート振替表!$N$5:$N$3507,$L1091)&amp;"")</f>
        <v/>
      </c>
      <c r="I1091" s="32" t="str">
        <f aca="false">IF(L1091="","",INDEX(ポート振替表!$P$5:$P$3507,$L1091)&amp;"")</f>
        <v/>
      </c>
      <c r="J1091" s="60" t="str">
        <f aca="false">IF(L1091="","",INDEX(ポート振替表!$M$5:$M$3507,$L1091)&amp;"")</f>
        <v/>
      </c>
      <c r="K1091" s="52" t="str">
        <f aca="false">IF(L1091="","",E1091&amp;CHAR(10)&amp;INDEX(ポート振替表!$K$5:$K$3507,$L1091)&amp;" "&amp;INDEX(ポート振替表!$L$5:$L$3507,$L1091)&amp;CHAR(10)&amp;"⇔ "&amp;INDEX(ポート振替表!$H$5:$H$3507,$L1091)&amp;" "&amp;INDEX(ポート振替表!$I$5:$I$3507,$L1091))</f>
        <v/>
      </c>
      <c r="L1091" s="47" t="str">
        <f aca="false">IFERROR(MATCH(ROW()-4,ポート振替表!$V$5:$V$3507,0),"")</f>
        <v/>
      </c>
    </row>
    <row r="1092" customFormat="false" ht="16.4" hidden="false" customHeight="false" outlineLevel="0" collapsed="false">
      <c r="A1092" s="32" t="str">
        <f aca="false">IF(L1092="","",ROW()-4)</f>
        <v/>
      </c>
      <c r="B1092" s="58" t="str">
        <f aca="false">IF(L1092="","",IF(INDEX(ポート振替表!$W$5:$W$3507,$L1092)="","(なし)",INDEX(ポート振替表!$W$5:$W$3507,$L1092)&amp;""))</f>
        <v/>
      </c>
      <c r="C1092" s="52" t="str">
        <f aca="false">IF(L1092="","",INDEX(ポート振替表!$B$5:$B$3507,$L1092)&amp;" "&amp;INDEX(ポート振替表!$C$5:$C$3507,$L1092)&amp;"  ⇔  "&amp;INDEX(ポート振替表!$H$5:$H$3507,$L1092)&amp;" "&amp;INDEX(ポート振替表!$I$5:$I$3507,$L1092))</f>
        <v/>
      </c>
      <c r="D1092" s="57" t="s">
        <v>158</v>
      </c>
      <c r="E1092" s="59" t="str">
        <f aca="false">IF(L1092="","",IF(INDEX(ポート振替表!$O$5:$O$3507,$L1092)="","(未設定)",INDEX(ポート振替表!$O$5:$O$3507,$L1092)&amp;""))</f>
        <v/>
      </c>
      <c r="F1092" s="52" t="str">
        <f aca="false">IF(L1092="","",INDEX(ポート振替表!$K$5:$K$3507,$L1092)&amp;" "&amp;INDEX(ポート振替表!$L$5:$L$3507,$L1092)&amp;"  ⇔  "&amp;INDEX(ポート振替表!$H$5:$H$3507,$L1092)&amp;" "&amp;INDEX(ポート振替表!$I$5:$I$3507,$L1092))</f>
        <v/>
      </c>
      <c r="G1092" s="57" t="s">
        <v>158</v>
      </c>
      <c r="H1092" s="32" t="str">
        <f aca="false">IF(L1092="","",INDEX(ポート振替表!$N$5:$N$3507,$L1092)&amp;"")</f>
        <v/>
      </c>
      <c r="I1092" s="32" t="str">
        <f aca="false">IF(L1092="","",INDEX(ポート振替表!$P$5:$P$3507,$L1092)&amp;"")</f>
        <v/>
      </c>
      <c r="J1092" s="60" t="str">
        <f aca="false">IF(L1092="","",INDEX(ポート振替表!$M$5:$M$3507,$L1092)&amp;"")</f>
        <v/>
      </c>
      <c r="K1092" s="52" t="str">
        <f aca="false">IF(L1092="","",E1092&amp;CHAR(10)&amp;INDEX(ポート振替表!$K$5:$K$3507,$L1092)&amp;" "&amp;INDEX(ポート振替表!$L$5:$L$3507,$L1092)&amp;CHAR(10)&amp;"⇔ "&amp;INDEX(ポート振替表!$H$5:$H$3507,$L1092)&amp;" "&amp;INDEX(ポート振替表!$I$5:$I$3507,$L1092))</f>
        <v/>
      </c>
      <c r="L1092" s="47" t="str">
        <f aca="false">IFERROR(MATCH(ROW()-4,ポート振替表!$V$5:$V$3507,0),"")</f>
        <v/>
      </c>
    </row>
    <row r="1093" customFormat="false" ht="16.4" hidden="false" customHeight="false" outlineLevel="0" collapsed="false">
      <c r="A1093" s="32" t="str">
        <f aca="false">IF(L1093="","",ROW()-4)</f>
        <v/>
      </c>
      <c r="B1093" s="58" t="str">
        <f aca="false">IF(L1093="","",IF(INDEX(ポート振替表!$W$5:$W$3507,$L1093)="","(なし)",INDEX(ポート振替表!$W$5:$W$3507,$L1093)&amp;""))</f>
        <v/>
      </c>
      <c r="C1093" s="52" t="str">
        <f aca="false">IF(L1093="","",INDEX(ポート振替表!$B$5:$B$3507,$L1093)&amp;" "&amp;INDEX(ポート振替表!$C$5:$C$3507,$L1093)&amp;"  ⇔  "&amp;INDEX(ポート振替表!$H$5:$H$3507,$L1093)&amp;" "&amp;INDEX(ポート振替表!$I$5:$I$3507,$L1093))</f>
        <v/>
      </c>
      <c r="D1093" s="57" t="s">
        <v>158</v>
      </c>
      <c r="E1093" s="59" t="str">
        <f aca="false">IF(L1093="","",IF(INDEX(ポート振替表!$O$5:$O$3507,$L1093)="","(未設定)",INDEX(ポート振替表!$O$5:$O$3507,$L1093)&amp;""))</f>
        <v/>
      </c>
      <c r="F1093" s="52" t="str">
        <f aca="false">IF(L1093="","",INDEX(ポート振替表!$K$5:$K$3507,$L1093)&amp;" "&amp;INDEX(ポート振替表!$L$5:$L$3507,$L1093)&amp;"  ⇔  "&amp;INDEX(ポート振替表!$H$5:$H$3507,$L1093)&amp;" "&amp;INDEX(ポート振替表!$I$5:$I$3507,$L1093))</f>
        <v/>
      </c>
      <c r="G1093" s="57" t="s">
        <v>158</v>
      </c>
      <c r="H1093" s="32" t="str">
        <f aca="false">IF(L1093="","",INDEX(ポート振替表!$N$5:$N$3507,$L1093)&amp;"")</f>
        <v/>
      </c>
      <c r="I1093" s="32" t="str">
        <f aca="false">IF(L1093="","",INDEX(ポート振替表!$P$5:$P$3507,$L1093)&amp;"")</f>
        <v/>
      </c>
      <c r="J1093" s="60" t="str">
        <f aca="false">IF(L1093="","",INDEX(ポート振替表!$M$5:$M$3507,$L1093)&amp;"")</f>
        <v/>
      </c>
      <c r="K1093" s="52" t="str">
        <f aca="false">IF(L1093="","",E1093&amp;CHAR(10)&amp;INDEX(ポート振替表!$K$5:$K$3507,$L1093)&amp;" "&amp;INDEX(ポート振替表!$L$5:$L$3507,$L1093)&amp;CHAR(10)&amp;"⇔ "&amp;INDEX(ポート振替表!$H$5:$H$3507,$L1093)&amp;" "&amp;INDEX(ポート振替表!$I$5:$I$3507,$L1093))</f>
        <v/>
      </c>
      <c r="L1093" s="47" t="str">
        <f aca="false">IFERROR(MATCH(ROW()-4,ポート振替表!$V$5:$V$3507,0),"")</f>
        <v/>
      </c>
    </row>
    <row r="1094" customFormat="false" ht="16.4" hidden="false" customHeight="false" outlineLevel="0" collapsed="false">
      <c r="A1094" s="32" t="str">
        <f aca="false">IF(L1094="","",ROW()-4)</f>
        <v/>
      </c>
      <c r="B1094" s="58" t="str">
        <f aca="false">IF(L1094="","",IF(INDEX(ポート振替表!$W$5:$W$3507,$L1094)="","(なし)",INDEX(ポート振替表!$W$5:$W$3507,$L1094)&amp;""))</f>
        <v/>
      </c>
      <c r="C1094" s="52" t="str">
        <f aca="false">IF(L1094="","",INDEX(ポート振替表!$B$5:$B$3507,$L1094)&amp;" "&amp;INDEX(ポート振替表!$C$5:$C$3507,$L1094)&amp;"  ⇔  "&amp;INDEX(ポート振替表!$H$5:$H$3507,$L1094)&amp;" "&amp;INDEX(ポート振替表!$I$5:$I$3507,$L1094))</f>
        <v/>
      </c>
      <c r="D1094" s="57" t="s">
        <v>158</v>
      </c>
      <c r="E1094" s="59" t="str">
        <f aca="false">IF(L1094="","",IF(INDEX(ポート振替表!$O$5:$O$3507,$L1094)="","(未設定)",INDEX(ポート振替表!$O$5:$O$3507,$L1094)&amp;""))</f>
        <v/>
      </c>
      <c r="F1094" s="52" t="str">
        <f aca="false">IF(L1094="","",INDEX(ポート振替表!$K$5:$K$3507,$L1094)&amp;" "&amp;INDEX(ポート振替表!$L$5:$L$3507,$L1094)&amp;"  ⇔  "&amp;INDEX(ポート振替表!$H$5:$H$3507,$L1094)&amp;" "&amp;INDEX(ポート振替表!$I$5:$I$3507,$L1094))</f>
        <v/>
      </c>
      <c r="G1094" s="57" t="s">
        <v>158</v>
      </c>
      <c r="H1094" s="32" t="str">
        <f aca="false">IF(L1094="","",INDEX(ポート振替表!$N$5:$N$3507,$L1094)&amp;"")</f>
        <v/>
      </c>
      <c r="I1094" s="32" t="str">
        <f aca="false">IF(L1094="","",INDEX(ポート振替表!$P$5:$P$3507,$L1094)&amp;"")</f>
        <v/>
      </c>
      <c r="J1094" s="60" t="str">
        <f aca="false">IF(L1094="","",INDEX(ポート振替表!$M$5:$M$3507,$L1094)&amp;"")</f>
        <v/>
      </c>
      <c r="K1094" s="52" t="str">
        <f aca="false">IF(L1094="","",E1094&amp;CHAR(10)&amp;INDEX(ポート振替表!$K$5:$K$3507,$L1094)&amp;" "&amp;INDEX(ポート振替表!$L$5:$L$3507,$L1094)&amp;CHAR(10)&amp;"⇔ "&amp;INDEX(ポート振替表!$H$5:$H$3507,$L1094)&amp;" "&amp;INDEX(ポート振替表!$I$5:$I$3507,$L1094))</f>
        <v/>
      </c>
      <c r="L1094" s="47" t="str">
        <f aca="false">IFERROR(MATCH(ROW()-4,ポート振替表!$V$5:$V$3507,0),"")</f>
        <v/>
      </c>
    </row>
    <row r="1095" customFormat="false" ht="16.4" hidden="false" customHeight="false" outlineLevel="0" collapsed="false">
      <c r="A1095" s="32" t="str">
        <f aca="false">IF(L1095="","",ROW()-4)</f>
        <v/>
      </c>
      <c r="B1095" s="58" t="str">
        <f aca="false">IF(L1095="","",IF(INDEX(ポート振替表!$W$5:$W$3507,$L1095)="","(なし)",INDEX(ポート振替表!$W$5:$W$3507,$L1095)&amp;""))</f>
        <v/>
      </c>
      <c r="C1095" s="52" t="str">
        <f aca="false">IF(L1095="","",INDEX(ポート振替表!$B$5:$B$3507,$L1095)&amp;" "&amp;INDEX(ポート振替表!$C$5:$C$3507,$L1095)&amp;"  ⇔  "&amp;INDEX(ポート振替表!$H$5:$H$3507,$L1095)&amp;" "&amp;INDEX(ポート振替表!$I$5:$I$3507,$L1095))</f>
        <v/>
      </c>
      <c r="D1095" s="57" t="s">
        <v>158</v>
      </c>
      <c r="E1095" s="59" t="str">
        <f aca="false">IF(L1095="","",IF(INDEX(ポート振替表!$O$5:$O$3507,$L1095)="","(未設定)",INDEX(ポート振替表!$O$5:$O$3507,$L1095)&amp;""))</f>
        <v/>
      </c>
      <c r="F1095" s="52" t="str">
        <f aca="false">IF(L1095="","",INDEX(ポート振替表!$K$5:$K$3507,$L1095)&amp;" "&amp;INDEX(ポート振替表!$L$5:$L$3507,$L1095)&amp;"  ⇔  "&amp;INDEX(ポート振替表!$H$5:$H$3507,$L1095)&amp;" "&amp;INDEX(ポート振替表!$I$5:$I$3507,$L1095))</f>
        <v/>
      </c>
      <c r="G1095" s="57" t="s">
        <v>158</v>
      </c>
      <c r="H1095" s="32" t="str">
        <f aca="false">IF(L1095="","",INDEX(ポート振替表!$N$5:$N$3507,$L1095)&amp;"")</f>
        <v/>
      </c>
      <c r="I1095" s="32" t="str">
        <f aca="false">IF(L1095="","",INDEX(ポート振替表!$P$5:$P$3507,$L1095)&amp;"")</f>
        <v/>
      </c>
      <c r="J1095" s="60" t="str">
        <f aca="false">IF(L1095="","",INDEX(ポート振替表!$M$5:$M$3507,$L1095)&amp;"")</f>
        <v/>
      </c>
      <c r="K1095" s="52" t="str">
        <f aca="false">IF(L1095="","",E1095&amp;CHAR(10)&amp;INDEX(ポート振替表!$K$5:$K$3507,$L1095)&amp;" "&amp;INDEX(ポート振替表!$L$5:$L$3507,$L1095)&amp;CHAR(10)&amp;"⇔ "&amp;INDEX(ポート振替表!$H$5:$H$3507,$L1095)&amp;" "&amp;INDEX(ポート振替表!$I$5:$I$3507,$L1095))</f>
        <v/>
      </c>
      <c r="L1095" s="47" t="str">
        <f aca="false">IFERROR(MATCH(ROW()-4,ポート振替表!$V$5:$V$3507,0),"")</f>
        <v/>
      </c>
    </row>
    <row r="1096" customFormat="false" ht="16.4" hidden="false" customHeight="false" outlineLevel="0" collapsed="false">
      <c r="A1096" s="32" t="str">
        <f aca="false">IF(L1096="","",ROW()-4)</f>
        <v/>
      </c>
      <c r="B1096" s="58" t="str">
        <f aca="false">IF(L1096="","",IF(INDEX(ポート振替表!$W$5:$W$3507,$L1096)="","(なし)",INDEX(ポート振替表!$W$5:$W$3507,$L1096)&amp;""))</f>
        <v/>
      </c>
      <c r="C1096" s="52" t="str">
        <f aca="false">IF(L1096="","",INDEX(ポート振替表!$B$5:$B$3507,$L1096)&amp;" "&amp;INDEX(ポート振替表!$C$5:$C$3507,$L1096)&amp;"  ⇔  "&amp;INDEX(ポート振替表!$H$5:$H$3507,$L1096)&amp;" "&amp;INDEX(ポート振替表!$I$5:$I$3507,$L1096))</f>
        <v/>
      </c>
      <c r="D1096" s="57" t="s">
        <v>158</v>
      </c>
      <c r="E1096" s="59" t="str">
        <f aca="false">IF(L1096="","",IF(INDEX(ポート振替表!$O$5:$O$3507,$L1096)="","(未設定)",INDEX(ポート振替表!$O$5:$O$3507,$L1096)&amp;""))</f>
        <v/>
      </c>
      <c r="F1096" s="52" t="str">
        <f aca="false">IF(L1096="","",INDEX(ポート振替表!$K$5:$K$3507,$L1096)&amp;" "&amp;INDEX(ポート振替表!$L$5:$L$3507,$L1096)&amp;"  ⇔  "&amp;INDEX(ポート振替表!$H$5:$H$3507,$L1096)&amp;" "&amp;INDEX(ポート振替表!$I$5:$I$3507,$L1096))</f>
        <v/>
      </c>
      <c r="G1096" s="57" t="s">
        <v>158</v>
      </c>
      <c r="H1096" s="32" t="str">
        <f aca="false">IF(L1096="","",INDEX(ポート振替表!$N$5:$N$3507,$L1096)&amp;"")</f>
        <v/>
      </c>
      <c r="I1096" s="32" t="str">
        <f aca="false">IF(L1096="","",INDEX(ポート振替表!$P$5:$P$3507,$L1096)&amp;"")</f>
        <v/>
      </c>
      <c r="J1096" s="60" t="str">
        <f aca="false">IF(L1096="","",INDEX(ポート振替表!$M$5:$M$3507,$L1096)&amp;"")</f>
        <v/>
      </c>
      <c r="K1096" s="52" t="str">
        <f aca="false">IF(L1096="","",E1096&amp;CHAR(10)&amp;INDEX(ポート振替表!$K$5:$K$3507,$L1096)&amp;" "&amp;INDEX(ポート振替表!$L$5:$L$3507,$L1096)&amp;CHAR(10)&amp;"⇔ "&amp;INDEX(ポート振替表!$H$5:$H$3507,$L1096)&amp;" "&amp;INDEX(ポート振替表!$I$5:$I$3507,$L1096))</f>
        <v/>
      </c>
      <c r="L1096" s="47" t="str">
        <f aca="false">IFERROR(MATCH(ROW()-4,ポート振替表!$V$5:$V$3507,0),"")</f>
        <v/>
      </c>
    </row>
    <row r="1097" customFormat="false" ht="16.4" hidden="false" customHeight="false" outlineLevel="0" collapsed="false">
      <c r="A1097" s="32" t="str">
        <f aca="false">IF(L1097="","",ROW()-4)</f>
        <v/>
      </c>
      <c r="B1097" s="58" t="str">
        <f aca="false">IF(L1097="","",IF(INDEX(ポート振替表!$W$5:$W$3507,$L1097)="","(なし)",INDEX(ポート振替表!$W$5:$W$3507,$L1097)&amp;""))</f>
        <v/>
      </c>
      <c r="C1097" s="52" t="str">
        <f aca="false">IF(L1097="","",INDEX(ポート振替表!$B$5:$B$3507,$L1097)&amp;" "&amp;INDEX(ポート振替表!$C$5:$C$3507,$L1097)&amp;"  ⇔  "&amp;INDEX(ポート振替表!$H$5:$H$3507,$L1097)&amp;" "&amp;INDEX(ポート振替表!$I$5:$I$3507,$L1097))</f>
        <v/>
      </c>
      <c r="D1097" s="57" t="s">
        <v>158</v>
      </c>
      <c r="E1097" s="59" t="str">
        <f aca="false">IF(L1097="","",IF(INDEX(ポート振替表!$O$5:$O$3507,$L1097)="","(未設定)",INDEX(ポート振替表!$O$5:$O$3507,$L1097)&amp;""))</f>
        <v/>
      </c>
      <c r="F1097" s="52" t="str">
        <f aca="false">IF(L1097="","",INDEX(ポート振替表!$K$5:$K$3507,$L1097)&amp;" "&amp;INDEX(ポート振替表!$L$5:$L$3507,$L1097)&amp;"  ⇔  "&amp;INDEX(ポート振替表!$H$5:$H$3507,$L1097)&amp;" "&amp;INDEX(ポート振替表!$I$5:$I$3507,$L1097))</f>
        <v/>
      </c>
      <c r="G1097" s="57" t="s">
        <v>158</v>
      </c>
      <c r="H1097" s="32" t="str">
        <f aca="false">IF(L1097="","",INDEX(ポート振替表!$N$5:$N$3507,$L1097)&amp;"")</f>
        <v/>
      </c>
      <c r="I1097" s="32" t="str">
        <f aca="false">IF(L1097="","",INDEX(ポート振替表!$P$5:$P$3507,$L1097)&amp;"")</f>
        <v/>
      </c>
      <c r="J1097" s="60" t="str">
        <f aca="false">IF(L1097="","",INDEX(ポート振替表!$M$5:$M$3507,$L1097)&amp;"")</f>
        <v/>
      </c>
      <c r="K1097" s="52" t="str">
        <f aca="false">IF(L1097="","",E1097&amp;CHAR(10)&amp;INDEX(ポート振替表!$K$5:$K$3507,$L1097)&amp;" "&amp;INDEX(ポート振替表!$L$5:$L$3507,$L1097)&amp;CHAR(10)&amp;"⇔ "&amp;INDEX(ポート振替表!$H$5:$H$3507,$L1097)&amp;" "&amp;INDEX(ポート振替表!$I$5:$I$3507,$L1097))</f>
        <v/>
      </c>
      <c r="L1097" s="47" t="str">
        <f aca="false">IFERROR(MATCH(ROW()-4,ポート振替表!$V$5:$V$3507,0),"")</f>
        <v/>
      </c>
    </row>
    <row r="1098" customFormat="false" ht="16.4" hidden="false" customHeight="false" outlineLevel="0" collapsed="false">
      <c r="A1098" s="32" t="str">
        <f aca="false">IF(L1098="","",ROW()-4)</f>
        <v/>
      </c>
      <c r="B1098" s="58" t="str">
        <f aca="false">IF(L1098="","",IF(INDEX(ポート振替表!$W$5:$W$3507,$L1098)="","(なし)",INDEX(ポート振替表!$W$5:$W$3507,$L1098)&amp;""))</f>
        <v/>
      </c>
      <c r="C1098" s="52" t="str">
        <f aca="false">IF(L1098="","",INDEX(ポート振替表!$B$5:$B$3507,$L1098)&amp;" "&amp;INDEX(ポート振替表!$C$5:$C$3507,$L1098)&amp;"  ⇔  "&amp;INDEX(ポート振替表!$H$5:$H$3507,$L1098)&amp;" "&amp;INDEX(ポート振替表!$I$5:$I$3507,$L1098))</f>
        <v/>
      </c>
      <c r="D1098" s="57" t="s">
        <v>158</v>
      </c>
      <c r="E1098" s="59" t="str">
        <f aca="false">IF(L1098="","",IF(INDEX(ポート振替表!$O$5:$O$3507,$L1098)="","(未設定)",INDEX(ポート振替表!$O$5:$O$3507,$L1098)&amp;""))</f>
        <v/>
      </c>
      <c r="F1098" s="52" t="str">
        <f aca="false">IF(L1098="","",INDEX(ポート振替表!$K$5:$K$3507,$L1098)&amp;" "&amp;INDEX(ポート振替表!$L$5:$L$3507,$L1098)&amp;"  ⇔  "&amp;INDEX(ポート振替表!$H$5:$H$3507,$L1098)&amp;" "&amp;INDEX(ポート振替表!$I$5:$I$3507,$L1098))</f>
        <v/>
      </c>
      <c r="G1098" s="57" t="s">
        <v>158</v>
      </c>
      <c r="H1098" s="32" t="str">
        <f aca="false">IF(L1098="","",INDEX(ポート振替表!$N$5:$N$3507,$L1098)&amp;"")</f>
        <v/>
      </c>
      <c r="I1098" s="32" t="str">
        <f aca="false">IF(L1098="","",INDEX(ポート振替表!$P$5:$P$3507,$L1098)&amp;"")</f>
        <v/>
      </c>
      <c r="J1098" s="60" t="str">
        <f aca="false">IF(L1098="","",INDEX(ポート振替表!$M$5:$M$3507,$L1098)&amp;"")</f>
        <v/>
      </c>
      <c r="K1098" s="52" t="str">
        <f aca="false">IF(L1098="","",E1098&amp;CHAR(10)&amp;INDEX(ポート振替表!$K$5:$K$3507,$L1098)&amp;" "&amp;INDEX(ポート振替表!$L$5:$L$3507,$L1098)&amp;CHAR(10)&amp;"⇔ "&amp;INDEX(ポート振替表!$H$5:$H$3507,$L1098)&amp;" "&amp;INDEX(ポート振替表!$I$5:$I$3507,$L1098))</f>
        <v/>
      </c>
      <c r="L1098" s="47" t="str">
        <f aca="false">IFERROR(MATCH(ROW()-4,ポート振替表!$V$5:$V$3507,0),"")</f>
        <v/>
      </c>
    </row>
    <row r="1099" customFormat="false" ht="16.4" hidden="false" customHeight="false" outlineLevel="0" collapsed="false">
      <c r="A1099" s="32" t="str">
        <f aca="false">IF(L1099="","",ROW()-4)</f>
        <v/>
      </c>
      <c r="B1099" s="58" t="str">
        <f aca="false">IF(L1099="","",IF(INDEX(ポート振替表!$W$5:$W$3507,$L1099)="","(なし)",INDEX(ポート振替表!$W$5:$W$3507,$L1099)&amp;""))</f>
        <v/>
      </c>
      <c r="C1099" s="52" t="str">
        <f aca="false">IF(L1099="","",INDEX(ポート振替表!$B$5:$B$3507,$L1099)&amp;" "&amp;INDEX(ポート振替表!$C$5:$C$3507,$L1099)&amp;"  ⇔  "&amp;INDEX(ポート振替表!$H$5:$H$3507,$L1099)&amp;" "&amp;INDEX(ポート振替表!$I$5:$I$3507,$L1099))</f>
        <v/>
      </c>
      <c r="D1099" s="57" t="s">
        <v>158</v>
      </c>
      <c r="E1099" s="59" t="str">
        <f aca="false">IF(L1099="","",IF(INDEX(ポート振替表!$O$5:$O$3507,$L1099)="","(未設定)",INDEX(ポート振替表!$O$5:$O$3507,$L1099)&amp;""))</f>
        <v/>
      </c>
      <c r="F1099" s="52" t="str">
        <f aca="false">IF(L1099="","",INDEX(ポート振替表!$K$5:$K$3507,$L1099)&amp;" "&amp;INDEX(ポート振替表!$L$5:$L$3507,$L1099)&amp;"  ⇔  "&amp;INDEX(ポート振替表!$H$5:$H$3507,$L1099)&amp;" "&amp;INDEX(ポート振替表!$I$5:$I$3507,$L1099))</f>
        <v/>
      </c>
      <c r="G1099" s="57" t="s">
        <v>158</v>
      </c>
      <c r="H1099" s="32" t="str">
        <f aca="false">IF(L1099="","",INDEX(ポート振替表!$N$5:$N$3507,$L1099)&amp;"")</f>
        <v/>
      </c>
      <c r="I1099" s="32" t="str">
        <f aca="false">IF(L1099="","",INDEX(ポート振替表!$P$5:$P$3507,$L1099)&amp;"")</f>
        <v/>
      </c>
      <c r="J1099" s="60" t="str">
        <f aca="false">IF(L1099="","",INDEX(ポート振替表!$M$5:$M$3507,$L1099)&amp;"")</f>
        <v/>
      </c>
      <c r="K1099" s="52" t="str">
        <f aca="false">IF(L1099="","",E1099&amp;CHAR(10)&amp;INDEX(ポート振替表!$K$5:$K$3507,$L1099)&amp;" "&amp;INDEX(ポート振替表!$L$5:$L$3507,$L1099)&amp;CHAR(10)&amp;"⇔ "&amp;INDEX(ポート振替表!$H$5:$H$3507,$L1099)&amp;" "&amp;INDEX(ポート振替表!$I$5:$I$3507,$L1099))</f>
        <v/>
      </c>
      <c r="L1099" s="47" t="str">
        <f aca="false">IFERROR(MATCH(ROW()-4,ポート振替表!$V$5:$V$3507,0),"")</f>
        <v/>
      </c>
    </row>
    <row r="1100" customFormat="false" ht="16.4" hidden="false" customHeight="false" outlineLevel="0" collapsed="false">
      <c r="A1100" s="32" t="str">
        <f aca="false">IF(L1100="","",ROW()-4)</f>
        <v/>
      </c>
      <c r="B1100" s="58" t="str">
        <f aca="false">IF(L1100="","",IF(INDEX(ポート振替表!$W$5:$W$3507,$L1100)="","(なし)",INDEX(ポート振替表!$W$5:$W$3507,$L1100)&amp;""))</f>
        <v/>
      </c>
      <c r="C1100" s="52" t="str">
        <f aca="false">IF(L1100="","",INDEX(ポート振替表!$B$5:$B$3507,$L1100)&amp;" "&amp;INDEX(ポート振替表!$C$5:$C$3507,$L1100)&amp;"  ⇔  "&amp;INDEX(ポート振替表!$H$5:$H$3507,$L1100)&amp;" "&amp;INDEX(ポート振替表!$I$5:$I$3507,$L1100))</f>
        <v/>
      </c>
      <c r="D1100" s="57" t="s">
        <v>158</v>
      </c>
      <c r="E1100" s="59" t="str">
        <f aca="false">IF(L1100="","",IF(INDEX(ポート振替表!$O$5:$O$3507,$L1100)="","(未設定)",INDEX(ポート振替表!$O$5:$O$3507,$L1100)&amp;""))</f>
        <v/>
      </c>
      <c r="F1100" s="52" t="str">
        <f aca="false">IF(L1100="","",INDEX(ポート振替表!$K$5:$K$3507,$L1100)&amp;" "&amp;INDEX(ポート振替表!$L$5:$L$3507,$L1100)&amp;"  ⇔  "&amp;INDEX(ポート振替表!$H$5:$H$3507,$L1100)&amp;" "&amp;INDEX(ポート振替表!$I$5:$I$3507,$L1100))</f>
        <v/>
      </c>
      <c r="G1100" s="57" t="s">
        <v>158</v>
      </c>
      <c r="H1100" s="32" t="str">
        <f aca="false">IF(L1100="","",INDEX(ポート振替表!$N$5:$N$3507,$L1100)&amp;"")</f>
        <v/>
      </c>
      <c r="I1100" s="32" t="str">
        <f aca="false">IF(L1100="","",INDEX(ポート振替表!$P$5:$P$3507,$L1100)&amp;"")</f>
        <v/>
      </c>
      <c r="J1100" s="60" t="str">
        <f aca="false">IF(L1100="","",INDEX(ポート振替表!$M$5:$M$3507,$L1100)&amp;"")</f>
        <v/>
      </c>
      <c r="K1100" s="52" t="str">
        <f aca="false">IF(L1100="","",E1100&amp;CHAR(10)&amp;INDEX(ポート振替表!$K$5:$K$3507,$L1100)&amp;" "&amp;INDEX(ポート振替表!$L$5:$L$3507,$L1100)&amp;CHAR(10)&amp;"⇔ "&amp;INDEX(ポート振替表!$H$5:$H$3507,$L1100)&amp;" "&amp;INDEX(ポート振替表!$I$5:$I$3507,$L1100))</f>
        <v/>
      </c>
      <c r="L1100" s="47" t="str">
        <f aca="false">IFERROR(MATCH(ROW()-4,ポート振替表!$V$5:$V$3507,0),"")</f>
        <v/>
      </c>
    </row>
    <row r="1101" customFormat="false" ht="16.4" hidden="false" customHeight="false" outlineLevel="0" collapsed="false">
      <c r="A1101" s="32" t="str">
        <f aca="false">IF(L1101="","",ROW()-4)</f>
        <v/>
      </c>
      <c r="B1101" s="58" t="str">
        <f aca="false">IF(L1101="","",IF(INDEX(ポート振替表!$W$5:$W$3507,$L1101)="","(なし)",INDEX(ポート振替表!$W$5:$W$3507,$L1101)&amp;""))</f>
        <v/>
      </c>
      <c r="C1101" s="52" t="str">
        <f aca="false">IF(L1101="","",INDEX(ポート振替表!$B$5:$B$3507,$L1101)&amp;" "&amp;INDEX(ポート振替表!$C$5:$C$3507,$L1101)&amp;"  ⇔  "&amp;INDEX(ポート振替表!$H$5:$H$3507,$L1101)&amp;" "&amp;INDEX(ポート振替表!$I$5:$I$3507,$L1101))</f>
        <v/>
      </c>
      <c r="D1101" s="57" t="s">
        <v>158</v>
      </c>
      <c r="E1101" s="59" t="str">
        <f aca="false">IF(L1101="","",IF(INDEX(ポート振替表!$O$5:$O$3507,$L1101)="","(未設定)",INDEX(ポート振替表!$O$5:$O$3507,$L1101)&amp;""))</f>
        <v/>
      </c>
      <c r="F1101" s="52" t="str">
        <f aca="false">IF(L1101="","",INDEX(ポート振替表!$K$5:$K$3507,$L1101)&amp;" "&amp;INDEX(ポート振替表!$L$5:$L$3507,$L1101)&amp;"  ⇔  "&amp;INDEX(ポート振替表!$H$5:$H$3507,$L1101)&amp;" "&amp;INDEX(ポート振替表!$I$5:$I$3507,$L1101))</f>
        <v/>
      </c>
      <c r="G1101" s="57" t="s">
        <v>158</v>
      </c>
      <c r="H1101" s="32" t="str">
        <f aca="false">IF(L1101="","",INDEX(ポート振替表!$N$5:$N$3507,$L1101)&amp;"")</f>
        <v/>
      </c>
      <c r="I1101" s="32" t="str">
        <f aca="false">IF(L1101="","",INDEX(ポート振替表!$P$5:$P$3507,$L1101)&amp;"")</f>
        <v/>
      </c>
      <c r="J1101" s="60" t="str">
        <f aca="false">IF(L1101="","",INDEX(ポート振替表!$M$5:$M$3507,$L1101)&amp;"")</f>
        <v/>
      </c>
      <c r="K1101" s="52" t="str">
        <f aca="false">IF(L1101="","",E1101&amp;CHAR(10)&amp;INDEX(ポート振替表!$K$5:$K$3507,$L1101)&amp;" "&amp;INDEX(ポート振替表!$L$5:$L$3507,$L1101)&amp;CHAR(10)&amp;"⇔ "&amp;INDEX(ポート振替表!$H$5:$H$3507,$L1101)&amp;" "&amp;INDEX(ポート振替表!$I$5:$I$3507,$L1101))</f>
        <v/>
      </c>
      <c r="L1101" s="47" t="str">
        <f aca="false">IFERROR(MATCH(ROW()-4,ポート振替表!$V$5:$V$3507,0),"")</f>
        <v/>
      </c>
    </row>
    <row r="1102" customFormat="false" ht="16.4" hidden="false" customHeight="false" outlineLevel="0" collapsed="false">
      <c r="A1102" s="32" t="str">
        <f aca="false">IF(L1102="","",ROW()-4)</f>
        <v/>
      </c>
      <c r="B1102" s="58" t="str">
        <f aca="false">IF(L1102="","",IF(INDEX(ポート振替表!$W$5:$W$3507,$L1102)="","(なし)",INDEX(ポート振替表!$W$5:$W$3507,$L1102)&amp;""))</f>
        <v/>
      </c>
      <c r="C1102" s="52" t="str">
        <f aca="false">IF(L1102="","",INDEX(ポート振替表!$B$5:$B$3507,$L1102)&amp;" "&amp;INDEX(ポート振替表!$C$5:$C$3507,$L1102)&amp;"  ⇔  "&amp;INDEX(ポート振替表!$H$5:$H$3507,$L1102)&amp;" "&amp;INDEX(ポート振替表!$I$5:$I$3507,$L1102))</f>
        <v/>
      </c>
      <c r="D1102" s="57" t="s">
        <v>158</v>
      </c>
      <c r="E1102" s="59" t="str">
        <f aca="false">IF(L1102="","",IF(INDEX(ポート振替表!$O$5:$O$3507,$L1102)="","(未設定)",INDEX(ポート振替表!$O$5:$O$3507,$L1102)&amp;""))</f>
        <v/>
      </c>
      <c r="F1102" s="52" t="str">
        <f aca="false">IF(L1102="","",INDEX(ポート振替表!$K$5:$K$3507,$L1102)&amp;" "&amp;INDEX(ポート振替表!$L$5:$L$3507,$L1102)&amp;"  ⇔  "&amp;INDEX(ポート振替表!$H$5:$H$3507,$L1102)&amp;" "&amp;INDEX(ポート振替表!$I$5:$I$3507,$L1102))</f>
        <v/>
      </c>
      <c r="G1102" s="57" t="s">
        <v>158</v>
      </c>
      <c r="H1102" s="32" t="str">
        <f aca="false">IF(L1102="","",INDEX(ポート振替表!$N$5:$N$3507,$L1102)&amp;"")</f>
        <v/>
      </c>
      <c r="I1102" s="32" t="str">
        <f aca="false">IF(L1102="","",INDEX(ポート振替表!$P$5:$P$3507,$L1102)&amp;"")</f>
        <v/>
      </c>
      <c r="J1102" s="60" t="str">
        <f aca="false">IF(L1102="","",INDEX(ポート振替表!$M$5:$M$3507,$L1102)&amp;"")</f>
        <v/>
      </c>
      <c r="K1102" s="52" t="str">
        <f aca="false">IF(L1102="","",E1102&amp;CHAR(10)&amp;INDEX(ポート振替表!$K$5:$K$3507,$L1102)&amp;" "&amp;INDEX(ポート振替表!$L$5:$L$3507,$L1102)&amp;CHAR(10)&amp;"⇔ "&amp;INDEX(ポート振替表!$H$5:$H$3507,$L1102)&amp;" "&amp;INDEX(ポート振替表!$I$5:$I$3507,$L1102))</f>
        <v/>
      </c>
      <c r="L1102" s="47" t="str">
        <f aca="false">IFERROR(MATCH(ROW()-4,ポート振替表!$V$5:$V$3507,0),"")</f>
        <v/>
      </c>
    </row>
    <row r="1103" customFormat="false" ht="16.4" hidden="false" customHeight="false" outlineLevel="0" collapsed="false">
      <c r="A1103" s="32" t="str">
        <f aca="false">IF(L1103="","",ROW()-4)</f>
        <v/>
      </c>
      <c r="B1103" s="58" t="str">
        <f aca="false">IF(L1103="","",IF(INDEX(ポート振替表!$W$5:$W$3507,$L1103)="","(なし)",INDEX(ポート振替表!$W$5:$W$3507,$L1103)&amp;""))</f>
        <v/>
      </c>
      <c r="C1103" s="52" t="str">
        <f aca="false">IF(L1103="","",INDEX(ポート振替表!$B$5:$B$3507,$L1103)&amp;" "&amp;INDEX(ポート振替表!$C$5:$C$3507,$L1103)&amp;"  ⇔  "&amp;INDEX(ポート振替表!$H$5:$H$3507,$L1103)&amp;" "&amp;INDEX(ポート振替表!$I$5:$I$3507,$L1103))</f>
        <v/>
      </c>
      <c r="D1103" s="57" t="s">
        <v>158</v>
      </c>
      <c r="E1103" s="59" t="str">
        <f aca="false">IF(L1103="","",IF(INDEX(ポート振替表!$O$5:$O$3507,$L1103)="","(未設定)",INDEX(ポート振替表!$O$5:$O$3507,$L1103)&amp;""))</f>
        <v/>
      </c>
      <c r="F1103" s="52" t="str">
        <f aca="false">IF(L1103="","",INDEX(ポート振替表!$K$5:$K$3507,$L1103)&amp;" "&amp;INDEX(ポート振替表!$L$5:$L$3507,$L1103)&amp;"  ⇔  "&amp;INDEX(ポート振替表!$H$5:$H$3507,$L1103)&amp;" "&amp;INDEX(ポート振替表!$I$5:$I$3507,$L1103))</f>
        <v/>
      </c>
      <c r="G1103" s="57" t="s">
        <v>158</v>
      </c>
      <c r="H1103" s="32" t="str">
        <f aca="false">IF(L1103="","",INDEX(ポート振替表!$N$5:$N$3507,$L1103)&amp;"")</f>
        <v/>
      </c>
      <c r="I1103" s="32" t="str">
        <f aca="false">IF(L1103="","",INDEX(ポート振替表!$P$5:$P$3507,$L1103)&amp;"")</f>
        <v/>
      </c>
      <c r="J1103" s="60" t="str">
        <f aca="false">IF(L1103="","",INDEX(ポート振替表!$M$5:$M$3507,$L1103)&amp;"")</f>
        <v/>
      </c>
      <c r="K1103" s="52" t="str">
        <f aca="false">IF(L1103="","",E1103&amp;CHAR(10)&amp;INDEX(ポート振替表!$K$5:$K$3507,$L1103)&amp;" "&amp;INDEX(ポート振替表!$L$5:$L$3507,$L1103)&amp;CHAR(10)&amp;"⇔ "&amp;INDEX(ポート振替表!$H$5:$H$3507,$L1103)&amp;" "&amp;INDEX(ポート振替表!$I$5:$I$3507,$L1103))</f>
        <v/>
      </c>
      <c r="L1103" s="47" t="str">
        <f aca="false">IFERROR(MATCH(ROW()-4,ポート振替表!$V$5:$V$3507,0),"")</f>
        <v/>
      </c>
    </row>
    <row r="1104" customFormat="false" ht="16.4" hidden="false" customHeight="false" outlineLevel="0" collapsed="false">
      <c r="A1104" s="32" t="str">
        <f aca="false">IF(L1104="","",ROW()-4)</f>
        <v/>
      </c>
      <c r="B1104" s="58" t="str">
        <f aca="false">IF(L1104="","",IF(INDEX(ポート振替表!$W$5:$W$3507,$L1104)="","(なし)",INDEX(ポート振替表!$W$5:$W$3507,$L1104)&amp;""))</f>
        <v/>
      </c>
      <c r="C1104" s="52" t="str">
        <f aca="false">IF(L1104="","",INDEX(ポート振替表!$B$5:$B$3507,$L1104)&amp;" "&amp;INDEX(ポート振替表!$C$5:$C$3507,$L1104)&amp;"  ⇔  "&amp;INDEX(ポート振替表!$H$5:$H$3507,$L1104)&amp;" "&amp;INDEX(ポート振替表!$I$5:$I$3507,$L1104))</f>
        <v/>
      </c>
      <c r="D1104" s="57" t="s">
        <v>158</v>
      </c>
      <c r="E1104" s="59" t="str">
        <f aca="false">IF(L1104="","",IF(INDEX(ポート振替表!$O$5:$O$3507,$L1104)="","(未設定)",INDEX(ポート振替表!$O$5:$O$3507,$L1104)&amp;""))</f>
        <v/>
      </c>
      <c r="F1104" s="52" t="str">
        <f aca="false">IF(L1104="","",INDEX(ポート振替表!$K$5:$K$3507,$L1104)&amp;" "&amp;INDEX(ポート振替表!$L$5:$L$3507,$L1104)&amp;"  ⇔  "&amp;INDEX(ポート振替表!$H$5:$H$3507,$L1104)&amp;" "&amp;INDEX(ポート振替表!$I$5:$I$3507,$L1104))</f>
        <v/>
      </c>
      <c r="G1104" s="57" t="s">
        <v>158</v>
      </c>
      <c r="H1104" s="32" t="str">
        <f aca="false">IF(L1104="","",INDEX(ポート振替表!$N$5:$N$3507,$L1104)&amp;"")</f>
        <v/>
      </c>
      <c r="I1104" s="32" t="str">
        <f aca="false">IF(L1104="","",INDEX(ポート振替表!$P$5:$P$3507,$L1104)&amp;"")</f>
        <v/>
      </c>
      <c r="J1104" s="60" t="str">
        <f aca="false">IF(L1104="","",INDEX(ポート振替表!$M$5:$M$3507,$L1104)&amp;"")</f>
        <v/>
      </c>
      <c r="K1104" s="52" t="str">
        <f aca="false">IF(L1104="","",E1104&amp;CHAR(10)&amp;INDEX(ポート振替表!$K$5:$K$3507,$L1104)&amp;" "&amp;INDEX(ポート振替表!$L$5:$L$3507,$L1104)&amp;CHAR(10)&amp;"⇔ "&amp;INDEX(ポート振替表!$H$5:$H$3507,$L1104)&amp;" "&amp;INDEX(ポート振替表!$I$5:$I$3507,$L1104))</f>
        <v/>
      </c>
      <c r="L1104" s="47" t="str">
        <f aca="false">IFERROR(MATCH(ROW()-4,ポート振替表!$V$5:$V$3507,0),"")</f>
        <v/>
      </c>
    </row>
    <row r="1105" customFormat="false" ht="16.4" hidden="false" customHeight="false" outlineLevel="0" collapsed="false">
      <c r="A1105" s="32" t="str">
        <f aca="false">IF(L1105="","",ROW()-4)</f>
        <v/>
      </c>
      <c r="B1105" s="58" t="str">
        <f aca="false">IF(L1105="","",IF(INDEX(ポート振替表!$W$5:$W$3507,$L1105)="","(なし)",INDEX(ポート振替表!$W$5:$W$3507,$L1105)&amp;""))</f>
        <v/>
      </c>
      <c r="C1105" s="52" t="str">
        <f aca="false">IF(L1105="","",INDEX(ポート振替表!$B$5:$B$3507,$L1105)&amp;" "&amp;INDEX(ポート振替表!$C$5:$C$3507,$L1105)&amp;"  ⇔  "&amp;INDEX(ポート振替表!$H$5:$H$3507,$L1105)&amp;" "&amp;INDEX(ポート振替表!$I$5:$I$3507,$L1105))</f>
        <v/>
      </c>
      <c r="D1105" s="57" t="s">
        <v>158</v>
      </c>
      <c r="E1105" s="59" t="str">
        <f aca="false">IF(L1105="","",IF(INDEX(ポート振替表!$O$5:$O$3507,$L1105)="","(未設定)",INDEX(ポート振替表!$O$5:$O$3507,$L1105)&amp;""))</f>
        <v/>
      </c>
      <c r="F1105" s="52" t="str">
        <f aca="false">IF(L1105="","",INDEX(ポート振替表!$K$5:$K$3507,$L1105)&amp;" "&amp;INDEX(ポート振替表!$L$5:$L$3507,$L1105)&amp;"  ⇔  "&amp;INDEX(ポート振替表!$H$5:$H$3507,$L1105)&amp;" "&amp;INDEX(ポート振替表!$I$5:$I$3507,$L1105))</f>
        <v/>
      </c>
      <c r="G1105" s="57" t="s">
        <v>158</v>
      </c>
      <c r="H1105" s="32" t="str">
        <f aca="false">IF(L1105="","",INDEX(ポート振替表!$N$5:$N$3507,$L1105)&amp;"")</f>
        <v/>
      </c>
      <c r="I1105" s="32" t="str">
        <f aca="false">IF(L1105="","",INDEX(ポート振替表!$P$5:$P$3507,$L1105)&amp;"")</f>
        <v/>
      </c>
      <c r="J1105" s="60" t="str">
        <f aca="false">IF(L1105="","",INDEX(ポート振替表!$M$5:$M$3507,$L1105)&amp;"")</f>
        <v/>
      </c>
      <c r="K1105" s="52" t="str">
        <f aca="false">IF(L1105="","",E1105&amp;CHAR(10)&amp;INDEX(ポート振替表!$K$5:$K$3507,$L1105)&amp;" "&amp;INDEX(ポート振替表!$L$5:$L$3507,$L1105)&amp;CHAR(10)&amp;"⇔ "&amp;INDEX(ポート振替表!$H$5:$H$3507,$L1105)&amp;" "&amp;INDEX(ポート振替表!$I$5:$I$3507,$L1105))</f>
        <v/>
      </c>
      <c r="L1105" s="47" t="str">
        <f aca="false">IFERROR(MATCH(ROW()-4,ポート振替表!$V$5:$V$3507,0),"")</f>
        <v/>
      </c>
    </row>
    <row r="1106" customFormat="false" ht="16.4" hidden="false" customHeight="false" outlineLevel="0" collapsed="false">
      <c r="A1106" s="32" t="str">
        <f aca="false">IF(L1106="","",ROW()-4)</f>
        <v/>
      </c>
      <c r="B1106" s="58" t="str">
        <f aca="false">IF(L1106="","",IF(INDEX(ポート振替表!$W$5:$W$3507,$L1106)="","(なし)",INDEX(ポート振替表!$W$5:$W$3507,$L1106)&amp;""))</f>
        <v/>
      </c>
      <c r="C1106" s="52" t="str">
        <f aca="false">IF(L1106="","",INDEX(ポート振替表!$B$5:$B$3507,$L1106)&amp;" "&amp;INDEX(ポート振替表!$C$5:$C$3507,$L1106)&amp;"  ⇔  "&amp;INDEX(ポート振替表!$H$5:$H$3507,$L1106)&amp;" "&amp;INDEX(ポート振替表!$I$5:$I$3507,$L1106))</f>
        <v/>
      </c>
      <c r="D1106" s="57" t="s">
        <v>158</v>
      </c>
      <c r="E1106" s="59" t="str">
        <f aca="false">IF(L1106="","",IF(INDEX(ポート振替表!$O$5:$O$3507,$L1106)="","(未設定)",INDEX(ポート振替表!$O$5:$O$3507,$L1106)&amp;""))</f>
        <v/>
      </c>
      <c r="F1106" s="52" t="str">
        <f aca="false">IF(L1106="","",INDEX(ポート振替表!$K$5:$K$3507,$L1106)&amp;" "&amp;INDEX(ポート振替表!$L$5:$L$3507,$L1106)&amp;"  ⇔  "&amp;INDEX(ポート振替表!$H$5:$H$3507,$L1106)&amp;" "&amp;INDEX(ポート振替表!$I$5:$I$3507,$L1106))</f>
        <v/>
      </c>
      <c r="G1106" s="57" t="s">
        <v>158</v>
      </c>
      <c r="H1106" s="32" t="str">
        <f aca="false">IF(L1106="","",INDEX(ポート振替表!$N$5:$N$3507,$L1106)&amp;"")</f>
        <v/>
      </c>
      <c r="I1106" s="32" t="str">
        <f aca="false">IF(L1106="","",INDEX(ポート振替表!$P$5:$P$3507,$L1106)&amp;"")</f>
        <v/>
      </c>
      <c r="J1106" s="60" t="str">
        <f aca="false">IF(L1106="","",INDEX(ポート振替表!$M$5:$M$3507,$L1106)&amp;"")</f>
        <v/>
      </c>
      <c r="K1106" s="52" t="str">
        <f aca="false">IF(L1106="","",E1106&amp;CHAR(10)&amp;INDEX(ポート振替表!$K$5:$K$3507,$L1106)&amp;" "&amp;INDEX(ポート振替表!$L$5:$L$3507,$L1106)&amp;CHAR(10)&amp;"⇔ "&amp;INDEX(ポート振替表!$H$5:$H$3507,$L1106)&amp;" "&amp;INDEX(ポート振替表!$I$5:$I$3507,$L1106))</f>
        <v/>
      </c>
      <c r="L1106" s="47" t="str">
        <f aca="false">IFERROR(MATCH(ROW()-4,ポート振替表!$V$5:$V$3507,0),"")</f>
        <v/>
      </c>
    </row>
    <row r="1107" customFormat="false" ht="16.4" hidden="false" customHeight="false" outlineLevel="0" collapsed="false">
      <c r="A1107" s="32" t="str">
        <f aca="false">IF(L1107="","",ROW()-4)</f>
        <v/>
      </c>
      <c r="B1107" s="58" t="str">
        <f aca="false">IF(L1107="","",IF(INDEX(ポート振替表!$W$5:$W$3507,$L1107)="","(なし)",INDEX(ポート振替表!$W$5:$W$3507,$L1107)&amp;""))</f>
        <v/>
      </c>
      <c r="C1107" s="52" t="str">
        <f aca="false">IF(L1107="","",INDEX(ポート振替表!$B$5:$B$3507,$L1107)&amp;" "&amp;INDEX(ポート振替表!$C$5:$C$3507,$L1107)&amp;"  ⇔  "&amp;INDEX(ポート振替表!$H$5:$H$3507,$L1107)&amp;" "&amp;INDEX(ポート振替表!$I$5:$I$3507,$L1107))</f>
        <v/>
      </c>
      <c r="D1107" s="57" t="s">
        <v>158</v>
      </c>
      <c r="E1107" s="59" t="str">
        <f aca="false">IF(L1107="","",IF(INDEX(ポート振替表!$O$5:$O$3507,$L1107)="","(未設定)",INDEX(ポート振替表!$O$5:$O$3507,$L1107)&amp;""))</f>
        <v/>
      </c>
      <c r="F1107" s="52" t="str">
        <f aca="false">IF(L1107="","",INDEX(ポート振替表!$K$5:$K$3507,$L1107)&amp;" "&amp;INDEX(ポート振替表!$L$5:$L$3507,$L1107)&amp;"  ⇔  "&amp;INDEX(ポート振替表!$H$5:$H$3507,$L1107)&amp;" "&amp;INDEX(ポート振替表!$I$5:$I$3507,$L1107))</f>
        <v/>
      </c>
      <c r="G1107" s="57" t="s">
        <v>158</v>
      </c>
      <c r="H1107" s="32" t="str">
        <f aca="false">IF(L1107="","",INDEX(ポート振替表!$N$5:$N$3507,$L1107)&amp;"")</f>
        <v/>
      </c>
      <c r="I1107" s="32" t="str">
        <f aca="false">IF(L1107="","",INDEX(ポート振替表!$P$5:$P$3507,$L1107)&amp;"")</f>
        <v/>
      </c>
      <c r="J1107" s="60" t="str">
        <f aca="false">IF(L1107="","",INDEX(ポート振替表!$M$5:$M$3507,$L1107)&amp;"")</f>
        <v/>
      </c>
      <c r="K1107" s="52" t="str">
        <f aca="false">IF(L1107="","",E1107&amp;CHAR(10)&amp;INDEX(ポート振替表!$K$5:$K$3507,$L1107)&amp;" "&amp;INDEX(ポート振替表!$L$5:$L$3507,$L1107)&amp;CHAR(10)&amp;"⇔ "&amp;INDEX(ポート振替表!$H$5:$H$3507,$L1107)&amp;" "&amp;INDEX(ポート振替表!$I$5:$I$3507,$L1107))</f>
        <v/>
      </c>
      <c r="L1107" s="47" t="str">
        <f aca="false">IFERROR(MATCH(ROW()-4,ポート振替表!$V$5:$V$3507,0),"")</f>
        <v/>
      </c>
    </row>
    <row r="1108" customFormat="false" ht="16.4" hidden="false" customHeight="false" outlineLevel="0" collapsed="false">
      <c r="A1108" s="32" t="str">
        <f aca="false">IF(L1108="","",ROW()-4)</f>
        <v/>
      </c>
      <c r="B1108" s="58" t="str">
        <f aca="false">IF(L1108="","",IF(INDEX(ポート振替表!$W$5:$W$3507,$L1108)="","(なし)",INDEX(ポート振替表!$W$5:$W$3507,$L1108)&amp;""))</f>
        <v/>
      </c>
      <c r="C1108" s="52" t="str">
        <f aca="false">IF(L1108="","",INDEX(ポート振替表!$B$5:$B$3507,$L1108)&amp;" "&amp;INDEX(ポート振替表!$C$5:$C$3507,$L1108)&amp;"  ⇔  "&amp;INDEX(ポート振替表!$H$5:$H$3507,$L1108)&amp;" "&amp;INDEX(ポート振替表!$I$5:$I$3507,$L1108))</f>
        <v/>
      </c>
      <c r="D1108" s="57" t="s">
        <v>158</v>
      </c>
      <c r="E1108" s="59" t="str">
        <f aca="false">IF(L1108="","",IF(INDEX(ポート振替表!$O$5:$O$3507,$L1108)="","(未設定)",INDEX(ポート振替表!$O$5:$O$3507,$L1108)&amp;""))</f>
        <v/>
      </c>
      <c r="F1108" s="52" t="str">
        <f aca="false">IF(L1108="","",INDEX(ポート振替表!$K$5:$K$3507,$L1108)&amp;" "&amp;INDEX(ポート振替表!$L$5:$L$3507,$L1108)&amp;"  ⇔  "&amp;INDEX(ポート振替表!$H$5:$H$3507,$L1108)&amp;" "&amp;INDEX(ポート振替表!$I$5:$I$3507,$L1108))</f>
        <v/>
      </c>
      <c r="G1108" s="57" t="s">
        <v>158</v>
      </c>
      <c r="H1108" s="32" t="str">
        <f aca="false">IF(L1108="","",INDEX(ポート振替表!$N$5:$N$3507,$L1108)&amp;"")</f>
        <v/>
      </c>
      <c r="I1108" s="32" t="str">
        <f aca="false">IF(L1108="","",INDEX(ポート振替表!$P$5:$P$3507,$L1108)&amp;"")</f>
        <v/>
      </c>
      <c r="J1108" s="60" t="str">
        <f aca="false">IF(L1108="","",INDEX(ポート振替表!$M$5:$M$3507,$L1108)&amp;"")</f>
        <v/>
      </c>
      <c r="K1108" s="52" t="str">
        <f aca="false">IF(L1108="","",E1108&amp;CHAR(10)&amp;INDEX(ポート振替表!$K$5:$K$3507,$L1108)&amp;" "&amp;INDEX(ポート振替表!$L$5:$L$3507,$L1108)&amp;CHAR(10)&amp;"⇔ "&amp;INDEX(ポート振替表!$H$5:$H$3507,$L1108)&amp;" "&amp;INDEX(ポート振替表!$I$5:$I$3507,$L1108))</f>
        <v/>
      </c>
      <c r="L1108" s="47" t="str">
        <f aca="false">IFERROR(MATCH(ROW()-4,ポート振替表!$V$5:$V$3507,0),"")</f>
        <v/>
      </c>
    </row>
    <row r="1109" customFormat="false" ht="16.4" hidden="false" customHeight="false" outlineLevel="0" collapsed="false">
      <c r="A1109" s="32" t="str">
        <f aca="false">IF(L1109="","",ROW()-4)</f>
        <v/>
      </c>
      <c r="B1109" s="58" t="str">
        <f aca="false">IF(L1109="","",IF(INDEX(ポート振替表!$W$5:$W$3507,$L1109)="","(なし)",INDEX(ポート振替表!$W$5:$W$3507,$L1109)&amp;""))</f>
        <v/>
      </c>
      <c r="C1109" s="52" t="str">
        <f aca="false">IF(L1109="","",INDEX(ポート振替表!$B$5:$B$3507,$L1109)&amp;" "&amp;INDEX(ポート振替表!$C$5:$C$3507,$L1109)&amp;"  ⇔  "&amp;INDEX(ポート振替表!$H$5:$H$3507,$L1109)&amp;" "&amp;INDEX(ポート振替表!$I$5:$I$3507,$L1109))</f>
        <v/>
      </c>
      <c r="D1109" s="57" t="s">
        <v>158</v>
      </c>
      <c r="E1109" s="59" t="str">
        <f aca="false">IF(L1109="","",IF(INDEX(ポート振替表!$O$5:$O$3507,$L1109)="","(未設定)",INDEX(ポート振替表!$O$5:$O$3507,$L1109)&amp;""))</f>
        <v/>
      </c>
      <c r="F1109" s="52" t="str">
        <f aca="false">IF(L1109="","",INDEX(ポート振替表!$K$5:$K$3507,$L1109)&amp;" "&amp;INDEX(ポート振替表!$L$5:$L$3507,$L1109)&amp;"  ⇔  "&amp;INDEX(ポート振替表!$H$5:$H$3507,$L1109)&amp;" "&amp;INDEX(ポート振替表!$I$5:$I$3507,$L1109))</f>
        <v/>
      </c>
      <c r="G1109" s="57" t="s">
        <v>158</v>
      </c>
      <c r="H1109" s="32" t="str">
        <f aca="false">IF(L1109="","",INDEX(ポート振替表!$N$5:$N$3507,$L1109)&amp;"")</f>
        <v/>
      </c>
      <c r="I1109" s="32" t="str">
        <f aca="false">IF(L1109="","",INDEX(ポート振替表!$P$5:$P$3507,$L1109)&amp;"")</f>
        <v/>
      </c>
      <c r="J1109" s="60" t="str">
        <f aca="false">IF(L1109="","",INDEX(ポート振替表!$M$5:$M$3507,$L1109)&amp;"")</f>
        <v/>
      </c>
      <c r="K1109" s="52" t="str">
        <f aca="false">IF(L1109="","",E1109&amp;CHAR(10)&amp;INDEX(ポート振替表!$K$5:$K$3507,$L1109)&amp;" "&amp;INDEX(ポート振替表!$L$5:$L$3507,$L1109)&amp;CHAR(10)&amp;"⇔ "&amp;INDEX(ポート振替表!$H$5:$H$3507,$L1109)&amp;" "&amp;INDEX(ポート振替表!$I$5:$I$3507,$L1109))</f>
        <v/>
      </c>
      <c r="L1109" s="47" t="str">
        <f aca="false">IFERROR(MATCH(ROW()-4,ポート振替表!$V$5:$V$3507,0),"")</f>
        <v/>
      </c>
    </row>
    <row r="1110" customFormat="false" ht="16.4" hidden="false" customHeight="false" outlineLevel="0" collapsed="false">
      <c r="A1110" s="32" t="str">
        <f aca="false">IF(L1110="","",ROW()-4)</f>
        <v/>
      </c>
      <c r="B1110" s="58" t="str">
        <f aca="false">IF(L1110="","",IF(INDEX(ポート振替表!$W$5:$W$3507,$L1110)="","(なし)",INDEX(ポート振替表!$W$5:$W$3507,$L1110)&amp;""))</f>
        <v/>
      </c>
      <c r="C1110" s="52" t="str">
        <f aca="false">IF(L1110="","",INDEX(ポート振替表!$B$5:$B$3507,$L1110)&amp;" "&amp;INDEX(ポート振替表!$C$5:$C$3507,$L1110)&amp;"  ⇔  "&amp;INDEX(ポート振替表!$H$5:$H$3507,$L1110)&amp;" "&amp;INDEX(ポート振替表!$I$5:$I$3507,$L1110))</f>
        <v/>
      </c>
      <c r="D1110" s="57" t="s">
        <v>158</v>
      </c>
      <c r="E1110" s="59" t="str">
        <f aca="false">IF(L1110="","",IF(INDEX(ポート振替表!$O$5:$O$3507,$L1110)="","(未設定)",INDEX(ポート振替表!$O$5:$O$3507,$L1110)&amp;""))</f>
        <v/>
      </c>
      <c r="F1110" s="52" t="str">
        <f aca="false">IF(L1110="","",INDEX(ポート振替表!$K$5:$K$3507,$L1110)&amp;" "&amp;INDEX(ポート振替表!$L$5:$L$3507,$L1110)&amp;"  ⇔  "&amp;INDEX(ポート振替表!$H$5:$H$3507,$L1110)&amp;" "&amp;INDEX(ポート振替表!$I$5:$I$3507,$L1110))</f>
        <v/>
      </c>
      <c r="G1110" s="57" t="s">
        <v>158</v>
      </c>
      <c r="H1110" s="32" t="str">
        <f aca="false">IF(L1110="","",INDEX(ポート振替表!$N$5:$N$3507,$L1110)&amp;"")</f>
        <v/>
      </c>
      <c r="I1110" s="32" t="str">
        <f aca="false">IF(L1110="","",INDEX(ポート振替表!$P$5:$P$3507,$L1110)&amp;"")</f>
        <v/>
      </c>
      <c r="J1110" s="60" t="str">
        <f aca="false">IF(L1110="","",INDEX(ポート振替表!$M$5:$M$3507,$L1110)&amp;"")</f>
        <v/>
      </c>
      <c r="K1110" s="52" t="str">
        <f aca="false">IF(L1110="","",E1110&amp;CHAR(10)&amp;INDEX(ポート振替表!$K$5:$K$3507,$L1110)&amp;" "&amp;INDEX(ポート振替表!$L$5:$L$3507,$L1110)&amp;CHAR(10)&amp;"⇔ "&amp;INDEX(ポート振替表!$H$5:$H$3507,$L1110)&amp;" "&amp;INDEX(ポート振替表!$I$5:$I$3507,$L1110))</f>
        <v/>
      </c>
      <c r="L1110" s="47" t="str">
        <f aca="false">IFERROR(MATCH(ROW()-4,ポート振替表!$V$5:$V$3507,0),"")</f>
        <v/>
      </c>
    </row>
    <row r="1111" customFormat="false" ht="16.4" hidden="false" customHeight="false" outlineLevel="0" collapsed="false">
      <c r="A1111" s="32" t="str">
        <f aca="false">IF(L1111="","",ROW()-4)</f>
        <v/>
      </c>
      <c r="B1111" s="58" t="str">
        <f aca="false">IF(L1111="","",IF(INDEX(ポート振替表!$W$5:$W$3507,$L1111)="","(なし)",INDEX(ポート振替表!$W$5:$W$3507,$L1111)&amp;""))</f>
        <v/>
      </c>
      <c r="C1111" s="52" t="str">
        <f aca="false">IF(L1111="","",INDEX(ポート振替表!$B$5:$B$3507,$L1111)&amp;" "&amp;INDEX(ポート振替表!$C$5:$C$3507,$L1111)&amp;"  ⇔  "&amp;INDEX(ポート振替表!$H$5:$H$3507,$L1111)&amp;" "&amp;INDEX(ポート振替表!$I$5:$I$3507,$L1111))</f>
        <v/>
      </c>
      <c r="D1111" s="57" t="s">
        <v>158</v>
      </c>
      <c r="E1111" s="59" t="str">
        <f aca="false">IF(L1111="","",IF(INDEX(ポート振替表!$O$5:$O$3507,$L1111)="","(未設定)",INDEX(ポート振替表!$O$5:$O$3507,$L1111)&amp;""))</f>
        <v/>
      </c>
      <c r="F1111" s="52" t="str">
        <f aca="false">IF(L1111="","",INDEX(ポート振替表!$K$5:$K$3507,$L1111)&amp;" "&amp;INDEX(ポート振替表!$L$5:$L$3507,$L1111)&amp;"  ⇔  "&amp;INDEX(ポート振替表!$H$5:$H$3507,$L1111)&amp;" "&amp;INDEX(ポート振替表!$I$5:$I$3507,$L1111))</f>
        <v/>
      </c>
      <c r="G1111" s="57" t="s">
        <v>158</v>
      </c>
      <c r="H1111" s="32" t="str">
        <f aca="false">IF(L1111="","",INDEX(ポート振替表!$N$5:$N$3507,$L1111)&amp;"")</f>
        <v/>
      </c>
      <c r="I1111" s="32" t="str">
        <f aca="false">IF(L1111="","",INDEX(ポート振替表!$P$5:$P$3507,$L1111)&amp;"")</f>
        <v/>
      </c>
      <c r="J1111" s="60" t="str">
        <f aca="false">IF(L1111="","",INDEX(ポート振替表!$M$5:$M$3507,$L1111)&amp;"")</f>
        <v/>
      </c>
      <c r="K1111" s="52" t="str">
        <f aca="false">IF(L1111="","",E1111&amp;CHAR(10)&amp;INDEX(ポート振替表!$K$5:$K$3507,$L1111)&amp;" "&amp;INDEX(ポート振替表!$L$5:$L$3507,$L1111)&amp;CHAR(10)&amp;"⇔ "&amp;INDEX(ポート振替表!$H$5:$H$3507,$L1111)&amp;" "&amp;INDEX(ポート振替表!$I$5:$I$3507,$L1111))</f>
        <v/>
      </c>
      <c r="L1111" s="47" t="str">
        <f aca="false">IFERROR(MATCH(ROW()-4,ポート振替表!$V$5:$V$3507,0),"")</f>
        <v/>
      </c>
    </row>
    <row r="1112" customFormat="false" ht="16.4" hidden="false" customHeight="false" outlineLevel="0" collapsed="false">
      <c r="A1112" s="32" t="str">
        <f aca="false">IF(L1112="","",ROW()-4)</f>
        <v/>
      </c>
      <c r="B1112" s="58" t="str">
        <f aca="false">IF(L1112="","",IF(INDEX(ポート振替表!$W$5:$W$3507,$L1112)="","(なし)",INDEX(ポート振替表!$W$5:$W$3507,$L1112)&amp;""))</f>
        <v/>
      </c>
      <c r="C1112" s="52" t="str">
        <f aca="false">IF(L1112="","",INDEX(ポート振替表!$B$5:$B$3507,$L1112)&amp;" "&amp;INDEX(ポート振替表!$C$5:$C$3507,$L1112)&amp;"  ⇔  "&amp;INDEX(ポート振替表!$H$5:$H$3507,$L1112)&amp;" "&amp;INDEX(ポート振替表!$I$5:$I$3507,$L1112))</f>
        <v/>
      </c>
      <c r="D1112" s="57" t="s">
        <v>158</v>
      </c>
      <c r="E1112" s="59" t="str">
        <f aca="false">IF(L1112="","",IF(INDEX(ポート振替表!$O$5:$O$3507,$L1112)="","(未設定)",INDEX(ポート振替表!$O$5:$O$3507,$L1112)&amp;""))</f>
        <v/>
      </c>
      <c r="F1112" s="52" t="str">
        <f aca="false">IF(L1112="","",INDEX(ポート振替表!$K$5:$K$3507,$L1112)&amp;" "&amp;INDEX(ポート振替表!$L$5:$L$3507,$L1112)&amp;"  ⇔  "&amp;INDEX(ポート振替表!$H$5:$H$3507,$L1112)&amp;" "&amp;INDEX(ポート振替表!$I$5:$I$3507,$L1112))</f>
        <v/>
      </c>
      <c r="G1112" s="57" t="s">
        <v>158</v>
      </c>
      <c r="H1112" s="32" t="str">
        <f aca="false">IF(L1112="","",INDEX(ポート振替表!$N$5:$N$3507,$L1112)&amp;"")</f>
        <v/>
      </c>
      <c r="I1112" s="32" t="str">
        <f aca="false">IF(L1112="","",INDEX(ポート振替表!$P$5:$P$3507,$L1112)&amp;"")</f>
        <v/>
      </c>
      <c r="J1112" s="60" t="str">
        <f aca="false">IF(L1112="","",INDEX(ポート振替表!$M$5:$M$3507,$L1112)&amp;"")</f>
        <v/>
      </c>
      <c r="K1112" s="52" t="str">
        <f aca="false">IF(L1112="","",E1112&amp;CHAR(10)&amp;INDEX(ポート振替表!$K$5:$K$3507,$L1112)&amp;" "&amp;INDEX(ポート振替表!$L$5:$L$3507,$L1112)&amp;CHAR(10)&amp;"⇔ "&amp;INDEX(ポート振替表!$H$5:$H$3507,$L1112)&amp;" "&amp;INDEX(ポート振替表!$I$5:$I$3507,$L1112))</f>
        <v/>
      </c>
      <c r="L1112" s="47" t="str">
        <f aca="false">IFERROR(MATCH(ROW()-4,ポート振替表!$V$5:$V$3507,0),"")</f>
        <v/>
      </c>
    </row>
    <row r="1113" customFormat="false" ht="16.4" hidden="false" customHeight="false" outlineLevel="0" collapsed="false">
      <c r="A1113" s="32" t="str">
        <f aca="false">IF(L1113="","",ROW()-4)</f>
        <v/>
      </c>
      <c r="B1113" s="58" t="str">
        <f aca="false">IF(L1113="","",IF(INDEX(ポート振替表!$W$5:$W$3507,$L1113)="","(なし)",INDEX(ポート振替表!$W$5:$W$3507,$L1113)&amp;""))</f>
        <v/>
      </c>
      <c r="C1113" s="52" t="str">
        <f aca="false">IF(L1113="","",INDEX(ポート振替表!$B$5:$B$3507,$L1113)&amp;" "&amp;INDEX(ポート振替表!$C$5:$C$3507,$L1113)&amp;"  ⇔  "&amp;INDEX(ポート振替表!$H$5:$H$3507,$L1113)&amp;" "&amp;INDEX(ポート振替表!$I$5:$I$3507,$L1113))</f>
        <v/>
      </c>
      <c r="D1113" s="57" t="s">
        <v>158</v>
      </c>
      <c r="E1113" s="59" t="str">
        <f aca="false">IF(L1113="","",IF(INDEX(ポート振替表!$O$5:$O$3507,$L1113)="","(未設定)",INDEX(ポート振替表!$O$5:$O$3507,$L1113)&amp;""))</f>
        <v/>
      </c>
      <c r="F1113" s="52" t="str">
        <f aca="false">IF(L1113="","",INDEX(ポート振替表!$K$5:$K$3507,$L1113)&amp;" "&amp;INDEX(ポート振替表!$L$5:$L$3507,$L1113)&amp;"  ⇔  "&amp;INDEX(ポート振替表!$H$5:$H$3507,$L1113)&amp;" "&amp;INDEX(ポート振替表!$I$5:$I$3507,$L1113))</f>
        <v/>
      </c>
      <c r="G1113" s="57" t="s">
        <v>158</v>
      </c>
      <c r="H1113" s="32" t="str">
        <f aca="false">IF(L1113="","",INDEX(ポート振替表!$N$5:$N$3507,$L1113)&amp;"")</f>
        <v/>
      </c>
      <c r="I1113" s="32" t="str">
        <f aca="false">IF(L1113="","",INDEX(ポート振替表!$P$5:$P$3507,$L1113)&amp;"")</f>
        <v/>
      </c>
      <c r="J1113" s="60" t="str">
        <f aca="false">IF(L1113="","",INDEX(ポート振替表!$M$5:$M$3507,$L1113)&amp;"")</f>
        <v/>
      </c>
      <c r="K1113" s="52" t="str">
        <f aca="false">IF(L1113="","",E1113&amp;CHAR(10)&amp;INDEX(ポート振替表!$K$5:$K$3507,$L1113)&amp;" "&amp;INDEX(ポート振替表!$L$5:$L$3507,$L1113)&amp;CHAR(10)&amp;"⇔ "&amp;INDEX(ポート振替表!$H$5:$H$3507,$L1113)&amp;" "&amp;INDEX(ポート振替表!$I$5:$I$3507,$L1113))</f>
        <v/>
      </c>
      <c r="L1113" s="47" t="str">
        <f aca="false">IFERROR(MATCH(ROW()-4,ポート振替表!$V$5:$V$3507,0),"")</f>
        <v/>
      </c>
    </row>
    <row r="1114" customFormat="false" ht="16.4" hidden="false" customHeight="false" outlineLevel="0" collapsed="false">
      <c r="A1114" s="32" t="str">
        <f aca="false">IF(L1114="","",ROW()-4)</f>
        <v/>
      </c>
      <c r="B1114" s="58" t="str">
        <f aca="false">IF(L1114="","",IF(INDEX(ポート振替表!$W$5:$W$3507,$L1114)="","(なし)",INDEX(ポート振替表!$W$5:$W$3507,$L1114)&amp;""))</f>
        <v/>
      </c>
      <c r="C1114" s="52" t="str">
        <f aca="false">IF(L1114="","",INDEX(ポート振替表!$B$5:$B$3507,$L1114)&amp;" "&amp;INDEX(ポート振替表!$C$5:$C$3507,$L1114)&amp;"  ⇔  "&amp;INDEX(ポート振替表!$H$5:$H$3507,$L1114)&amp;" "&amp;INDEX(ポート振替表!$I$5:$I$3507,$L1114))</f>
        <v/>
      </c>
      <c r="D1114" s="57" t="s">
        <v>158</v>
      </c>
      <c r="E1114" s="59" t="str">
        <f aca="false">IF(L1114="","",IF(INDEX(ポート振替表!$O$5:$O$3507,$L1114)="","(未設定)",INDEX(ポート振替表!$O$5:$O$3507,$L1114)&amp;""))</f>
        <v/>
      </c>
      <c r="F1114" s="52" t="str">
        <f aca="false">IF(L1114="","",INDEX(ポート振替表!$K$5:$K$3507,$L1114)&amp;" "&amp;INDEX(ポート振替表!$L$5:$L$3507,$L1114)&amp;"  ⇔  "&amp;INDEX(ポート振替表!$H$5:$H$3507,$L1114)&amp;" "&amp;INDEX(ポート振替表!$I$5:$I$3507,$L1114))</f>
        <v/>
      </c>
      <c r="G1114" s="57" t="s">
        <v>158</v>
      </c>
      <c r="H1114" s="32" t="str">
        <f aca="false">IF(L1114="","",INDEX(ポート振替表!$N$5:$N$3507,$L1114)&amp;"")</f>
        <v/>
      </c>
      <c r="I1114" s="32" t="str">
        <f aca="false">IF(L1114="","",INDEX(ポート振替表!$P$5:$P$3507,$L1114)&amp;"")</f>
        <v/>
      </c>
      <c r="J1114" s="60" t="str">
        <f aca="false">IF(L1114="","",INDEX(ポート振替表!$M$5:$M$3507,$L1114)&amp;"")</f>
        <v/>
      </c>
      <c r="K1114" s="52" t="str">
        <f aca="false">IF(L1114="","",E1114&amp;CHAR(10)&amp;INDEX(ポート振替表!$K$5:$K$3507,$L1114)&amp;" "&amp;INDEX(ポート振替表!$L$5:$L$3507,$L1114)&amp;CHAR(10)&amp;"⇔ "&amp;INDEX(ポート振替表!$H$5:$H$3507,$L1114)&amp;" "&amp;INDEX(ポート振替表!$I$5:$I$3507,$L1114))</f>
        <v/>
      </c>
      <c r="L1114" s="47" t="str">
        <f aca="false">IFERROR(MATCH(ROW()-4,ポート振替表!$V$5:$V$3507,0),"")</f>
        <v/>
      </c>
    </row>
    <row r="1115" customFormat="false" ht="16.4" hidden="false" customHeight="false" outlineLevel="0" collapsed="false">
      <c r="A1115" s="32" t="str">
        <f aca="false">IF(L1115="","",ROW()-4)</f>
        <v/>
      </c>
      <c r="B1115" s="58" t="str">
        <f aca="false">IF(L1115="","",IF(INDEX(ポート振替表!$W$5:$W$3507,$L1115)="","(なし)",INDEX(ポート振替表!$W$5:$W$3507,$L1115)&amp;""))</f>
        <v/>
      </c>
      <c r="C1115" s="52" t="str">
        <f aca="false">IF(L1115="","",INDEX(ポート振替表!$B$5:$B$3507,$L1115)&amp;" "&amp;INDEX(ポート振替表!$C$5:$C$3507,$L1115)&amp;"  ⇔  "&amp;INDEX(ポート振替表!$H$5:$H$3507,$L1115)&amp;" "&amp;INDEX(ポート振替表!$I$5:$I$3507,$L1115))</f>
        <v/>
      </c>
      <c r="D1115" s="57" t="s">
        <v>158</v>
      </c>
      <c r="E1115" s="59" t="str">
        <f aca="false">IF(L1115="","",IF(INDEX(ポート振替表!$O$5:$O$3507,$L1115)="","(未設定)",INDEX(ポート振替表!$O$5:$O$3507,$L1115)&amp;""))</f>
        <v/>
      </c>
      <c r="F1115" s="52" t="str">
        <f aca="false">IF(L1115="","",INDEX(ポート振替表!$K$5:$K$3507,$L1115)&amp;" "&amp;INDEX(ポート振替表!$L$5:$L$3507,$L1115)&amp;"  ⇔  "&amp;INDEX(ポート振替表!$H$5:$H$3507,$L1115)&amp;" "&amp;INDEX(ポート振替表!$I$5:$I$3507,$L1115))</f>
        <v/>
      </c>
      <c r="G1115" s="57" t="s">
        <v>158</v>
      </c>
      <c r="H1115" s="32" t="str">
        <f aca="false">IF(L1115="","",INDEX(ポート振替表!$N$5:$N$3507,$L1115)&amp;"")</f>
        <v/>
      </c>
      <c r="I1115" s="32" t="str">
        <f aca="false">IF(L1115="","",INDEX(ポート振替表!$P$5:$P$3507,$L1115)&amp;"")</f>
        <v/>
      </c>
      <c r="J1115" s="60" t="str">
        <f aca="false">IF(L1115="","",INDEX(ポート振替表!$M$5:$M$3507,$L1115)&amp;"")</f>
        <v/>
      </c>
      <c r="K1115" s="52" t="str">
        <f aca="false">IF(L1115="","",E1115&amp;CHAR(10)&amp;INDEX(ポート振替表!$K$5:$K$3507,$L1115)&amp;" "&amp;INDEX(ポート振替表!$L$5:$L$3507,$L1115)&amp;CHAR(10)&amp;"⇔ "&amp;INDEX(ポート振替表!$H$5:$H$3507,$L1115)&amp;" "&amp;INDEX(ポート振替表!$I$5:$I$3507,$L1115))</f>
        <v/>
      </c>
      <c r="L1115" s="47" t="str">
        <f aca="false">IFERROR(MATCH(ROW()-4,ポート振替表!$V$5:$V$3507,0),"")</f>
        <v/>
      </c>
    </row>
    <row r="1116" customFormat="false" ht="16.4" hidden="false" customHeight="false" outlineLevel="0" collapsed="false">
      <c r="A1116" s="32" t="str">
        <f aca="false">IF(L1116="","",ROW()-4)</f>
        <v/>
      </c>
      <c r="B1116" s="58" t="str">
        <f aca="false">IF(L1116="","",IF(INDEX(ポート振替表!$W$5:$W$3507,$L1116)="","(なし)",INDEX(ポート振替表!$W$5:$W$3507,$L1116)&amp;""))</f>
        <v/>
      </c>
      <c r="C1116" s="52" t="str">
        <f aca="false">IF(L1116="","",INDEX(ポート振替表!$B$5:$B$3507,$L1116)&amp;" "&amp;INDEX(ポート振替表!$C$5:$C$3507,$L1116)&amp;"  ⇔  "&amp;INDEX(ポート振替表!$H$5:$H$3507,$L1116)&amp;" "&amp;INDEX(ポート振替表!$I$5:$I$3507,$L1116))</f>
        <v/>
      </c>
      <c r="D1116" s="57" t="s">
        <v>158</v>
      </c>
      <c r="E1116" s="59" t="str">
        <f aca="false">IF(L1116="","",IF(INDEX(ポート振替表!$O$5:$O$3507,$L1116)="","(未設定)",INDEX(ポート振替表!$O$5:$O$3507,$L1116)&amp;""))</f>
        <v/>
      </c>
      <c r="F1116" s="52" t="str">
        <f aca="false">IF(L1116="","",INDEX(ポート振替表!$K$5:$K$3507,$L1116)&amp;" "&amp;INDEX(ポート振替表!$L$5:$L$3507,$L1116)&amp;"  ⇔  "&amp;INDEX(ポート振替表!$H$5:$H$3507,$L1116)&amp;" "&amp;INDEX(ポート振替表!$I$5:$I$3507,$L1116))</f>
        <v/>
      </c>
      <c r="G1116" s="57" t="s">
        <v>158</v>
      </c>
      <c r="H1116" s="32" t="str">
        <f aca="false">IF(L1116="","",INDEX(ポート振替表!$N$5:$N$3507,$L1116)&amp;"")</f>
        <v/>
      </c>
      <c r="I1116" s="32" t="str">
        <f aca="false">IF(L1116="","",INDEX(ポート振替表!$P$5:$P$3507,$L1116)&amp;"")</f>
        <v/>
      </c>
      <c r="J1116" s="60" t="str">
        <f aca="false">IF(L1116="","",INDEX(ポート振替表!$M$5:$M$3507,$L1116)&amp;"")</f>
        <v/>
      </c>
      <c r="K1116" s="52" t="str">
        <f aca="false">IF(L1116="","",E1116&amp;CHAR(10)&amp;INDEX(ポート振替表!$K$5:$K$3507,$L1116)&amp;" "&amp;INDEX(ポート振替表!$L$5:$L$3507,$L1116)&amp;CHAR(10)&amp;"⇔ "&amp;INDEX(ポート振替表!$H$5:$H$3507,$L1116)&amp;" "&amp;INDEX(ポート振替表!$I$5:$I$3507,$L1116))</f>
        <v/>
      </c>
      <c r="L1116" s="47" t="str">
        <f aca="false">IFERROR(MATCH(ROW()-4,ポート振替表!$V$5:$V$3507,0),"")</f>
        <v/>
      </c>
    </row>
    <row r="1117" customFormat="false" ht="16.4" hidden="false" customHeight="false" outlineLevel="0" collapsed="false">
      <c r="A1117" s="32" t="str">
        <f aca="false">IF(L1117="","",ROW()-4)</f>
        <v/>
      </c>
      <c r="B1117" s="58" t="str">
        <f aca="false">IF(L1117="","",IF(INDEX(ポート振替表!$W$5:$W$3507,$L1117)="","(なし)",INDEX(ポート振替表!$W$5:$W$3507,$L1117)&amp;""))</f>
        <v/>
      </c>
      <c r="C1117" s="52" t="str">
        <f aca="false">IF(L1117="","",INDEX(ポート振替表!$B$5:$B$3507,$L1117)&amp;" "&amp;INDEX(ポート振替表!$C$5:$C$3507,$L1117)&amp;"  ⇔  "&amp;INDEX(ポート振替表!$H$5:$H$3507,$L1117)&amp;" "&amp;INDEX(ポート振替表!$I$5:$I$3507,$L1117))</f>
        <v/>
      </c>
      <c r="D1117" s="57" t="s">
        <v>158</v>
      </c>
      <c r="E1117" s="59" t="str">
        <f aca="false">IF(L1117="","",IF(INDEX(ポート振替表!$O$5:$O$3507,$L1117)="","(未設定)",INDEX(ポート振替表!$O$5:$O$3507,$L1117)&amp;""))</f>
        <v/>
      </c>
      <c r="F1117" s="52" t="str">
        <f aca="false">IF(L1117="","",INDEX(ポート振替表!$K$5:$K$3507,$L1117)&amp;" "&amp;INDEX(ポート振替表!$L$5:$L$3507,$L1117)&amp;"  ⇔  "&amp;INDEX(ポート振替表!$H$5:$H$3507,$L1117)&amp;" "&amp;INDEX(ポート振替表!$I$5:$I$3507,$L1117))</f>
        <v/>
      </c>
      <c r="G1117" s="57" t="s">
        <v>158</v>
      </c>
      <c r="H1117" s="32" t="str">
        <f aca="false">IF(L1117="","",INDEX(ポート振替表!$N$5:$N$3507,$L1117)&amp;"")</f>
        <v/>
      </c>
      <c r="I1117" s="32" t="str">
        <f aca="false">IF(L1117="","",INDEX(ポート振替表!$P$5:$P$3507,$L1117)&amp;"")</f>
        <v/>
      </c>
      <c r="J1117" s="60" t="str">
        <f aca="false">IF(L1117="","",INDEX(ポート振替表!$M$5:$M$3507,$L1117)&amp;"")</f>
        <v/>
      </c>
      <c r="K1117" s="52" t="str">
        <f aca="false">IF(L1117="","",E1117&amp;CHAR(10)&amp;INDEX(ポート振替表!$K$5:$K$3507,$L1117)&amp;" "&amp;INDEX(ポート振替表!$L$5:$L$3507,$L1117)&amp;CHAR(10)&amp;"⇔ "&amp;INDEX(ポート振替表!$H$5:$H$3507,$L1117)&amp;" "&amp;INDEX(ポート振替表!$I$5:$I$3507,$L1117))</f>
        <v/>
      </c>
      <c r="L1117" s="47" t="str">
        <f aca="false">IFERROR(MATCH(ROW()-4,ポート振替表!$V$5:$V$3507,0),"")</f>
        <v/>
      </c>
    </row>
    <row r="1118" customFormat="false" ht="16.4" hidden="false" customHeight="false" outlineLevel="0" collapsed="false">
      <c r="A1118" s="32" t="str">
        <f aca="false">IF(L1118="","",ROW()-4)</f>
        <v/>
      </c>
      <c r="B1118" s="58" t="str">
        <f aca="false">IF(L1118="","",IF(INDEX(ポート振替表!$W$5:$W$3507,$L1118)="","(なし)",INDEX(ポート振替表!$W$5:$W$3507,$L1118)&amp;""))</f>
        <v/>
      </c>
      <c r="C1118" s="52" t="str">
        <f aca="false">IF(L1118="","",INDEX(ポート振替表!$B$5:$B$3507,$L1118)&amp;" "&amp;INDEX(ポート振替表!$C$5:$C$3507,$L1118)&amp;"  ⇔  "&amp;INDEX(ポート振替表!$H$5:$H$3507,$L1118)&amp;" "&amp;INDEX(ポート振替表!$I$5:$I$3507,$L1118))</f>
        <v/>
      </c>
      <c r="D1118" s="57" t="s">
        <v>158</v>
      </c>
      <c r="E1118" s="59" t="str">
        <f aca="false">IF(L1118="","",IF(INDEX(ポート振替表!$O$5:$O$3507,$L1118)="","(未設定)",INDEX(ポート振替表!$O$5:$O$3507,$L1118)&amp;""))</f>
        <v/>
      </c>
      <c r="F1118" s="52" t="str">
        <f aca="false">IF(L1118="","",INDEX(ポート振替表!$K$5:$K$3507,$L1118)&amp;" "&amp;INDEX(ポート振替表!$L$5:$L$3507,$L1118)&amp;"  ⇔  "&amp;INDEX(ポート振替表!$H$5:$H$3507,$L1118)&amp;" "&amp;INDEX(ポート振替表!$I$5:$I$3507,$L1118))</f>
        <v/>
      </c>
      <c r="G1118" s="57" t="s">
        <v>158</v>
      </c>
      <c r="H1118" s="32" t="str">
        <f aca="false">IF(L1118="","",INDEX(ポート振替表!$N$5:$N$3507,$L1118)&amp;"")</f>
        <v/>
      </c>
      <c r="I1118" s="32" t="str">
        <f aca="false">IF(L1118="","",INDEX(ポート振替表!$P$5:$P$3507,$L1118)&amp;"")</f>
        <v/>
      </c>
      <c r="J1118" s="60" t="str">
        <f aca="false">IF(L1118="","",INDEX(ポート振替表!$M$5:$M$3507,$L1118)&amp;"")</f>
        <v/>
      </c>
      <c r="K1118" s="52" t="str">
        <f aca="false">IF(L1118="","",E1118&amp;CHAR(10)&amp;INDEX(ポート振替表!$K$5:$K$3507,$L1118)&amp;" "&amp;INDEX(ポート振替表!$L$5:$L$3507,$L1118)&amp;CHAR(10)&amp;"⇔ "&amp;INDEX(ポート振替表!$H$5:$H$3507,$L1118)&amp;" "&amp;INDEX(ポート振替表!$I$5:$I$3507,$L1118))</f>
        <v/>
      </c>
      <c r="L1118" s="47" t="str">
        <f aca="false">IFERROR(MATCH(ROW()-4,ポート振替表!$V$5:$V$3507,0),"")</f>
        <v/>
      </c>
    </row>
    <row r="1119" customFormat="false" ht="16.4" hidden="false" customHeight="false" outlineLevel="0" collapsed="false">
      <c r="A1119" s="32" t="str">
        <f aca="false">IF(L1119="","",ROW()-4)</f>
        <v/>
      </c>
      <c r="B1119" s="58" t="str">
        <f aca="false">IF(L1119="","",IF(INDEX(ポート振替表!$W$5:$W$3507,$L1119)="","(なし)",INDEX(ポート振替表!$W$5:$W$3507,$L1119)&amp;""))</f>
        <v/>
      </c>
      <c r="C1119" s="52" t="str">
        <f aca="false">IF(L1119="","",INDEX(ポート振替表!$B$5:$B$3507,$L1119)&amp;" "&amp;INDEX(ポート振替表!$C$5:$C$3507,$L1119)&amp;"  ⇔  "&amp;INDEX(ポート振替表!$H$5:$H$3507,$L1119)&amp;" "&amp;INDEX(ポート振替表!$I$5:$I$3507,$L1119))</f>
        <v/>
      </c>
      <c r="D1119" s="57" t="s">
        <v>158</v>
      </c>
      <c r="E1119" s="59" t="str">
        <f aca="false">IF(L1119="","",IF(INDEX(ポート振替表!$O$5:$O$3507,$L1119)="","(未設定)",INDEX(ポート振替表!$O$5:$O$3507,$L1119)&amp;""))</f>
        <v/>
      </c>
      <c r="F1119" s="52" t="str">
        <f aca="false">IF(L1119="","",INDEX(ポート振替表!$K$5:$K$3507,$L1119)&amp;" "&amp;INDEX(ポート振替表!$L$5:$L$3507,$L1119)&amp;"  ⇔  "&amp;INDEX(ポート振替表!$H$5:$H$3507,$L1119)&amp;" "&amp;INDEX(ポート振替表!$I$5:$I$3507,$L1119))</f>
        <v/>
      </c>
      <c r="G1119" s="57" t="s">
        <v>158</v>
      </c>
      <c r="H1119" s="32" t="str">
        <f aca="false">IF(L1119="","",INDEX(ポート振替表!$N$5:$N$3507,$L1119)&amp;"")</f>
        <v/>
      </c>
      <c r="I1119" s="32" t="str">
        <f aca="false">IF(L1119="","",INDEX(ポート振替表!$P$5:$P$3507,$L1119)&amp;"")</f>
        <v/>
      </c>
      <c r="J1119" s="60" t="str">
        <f aca="false">IF(L1119="","",INDEX(ポート振替表!$M$5:$M$3507,$L1119)&amp;"")</f>
        <v/>
      </c>
      <c r="K1119" s="52" t="str">
        <f aca="false">IF(L1119="","",E1119&amp;CHAR(10)&amp;INDEX(ポート振替表!$K$5:$K$3507,$L1119)&amp;" "&amp;INDEX(ポート振替表!$L$5:$L$3507,$L1119)&amp;CHAR(10)&amp;"⇔ "&amp;INDEX(ポート振替表!$H$5:$H$3507,$L1119)&amp;" "&amp;INDEX(ポート振替表!$I$5:$I$3507,$L1119))</f>
        <v/>
      </c>
      <c r="L1119" s="47" t="str">
        <f aca="false">IFERROR(MATCH(ROW()-4,ポート振替表!$V$5:$V$3507,0),"")</f>
        <v/>
      </c>
    </row>
    <row r="1120" customFormat="false" ht="16.4" hidden="false" customHeight="false" outlineLevel="0" collapsed="false">
      <c r="A1120" s="32" t="str">
        <f aca="false">IF(L1120="","",ROW()-4)</f>
        <v/>
      </c>
      <c r="B1120" s="58" t="str">
        <f aca="false">IF(L1120="","",IF(INDEX(ポート振替表!$W$5:$W$3507,$L1120)="","(なし)",INDEX(ポート振替表!$W$5:$W$3507,$L1120)&amp;""))</f>
        <v/>
      </c>
      <c r="C1120" s="52" t="str">
        <f aca="false">IF(L1120="","",INDEX(ポート振替表!$B$5:$B$3507,$L1120)&amp;" "&amp;INDEX(ポート振替表!$C$5:$C$3507,$L1120)&amp;"  ⇔  "&amp;INDEX(ポート振替表!$H$5:$H$3507,$L1120)&amp;" "&amp;INDEX(ポート振替表!$I$5:$I$3507,$L1120))</f>
        <v/>
      </c>
      <c r="D1120" s="57" t="s">
        <v>158</v>
      </c>
      <c r="E1120" s="59" t="str">
        <f aca="false">IF(L1120="","",IF(INDEX(ポート振替表!$O$5:$O$3507,$L1120)="","(未設定)",INDEX(ポート振替表!$O$5:$O$3507,$L1120)&amp;""))</f>
        <v/>
      </c>
      <c r="F1120" s="52" t="str">
        <f aca="false">IF(L1120="","",INDEX(ポート振替表!$K$5:$K$3507,$L1120)&amp;" "&amp;INDEX(ポート振替表!$L$5:$L$3507,$L1120)&amp;"  ⇔  "&amp;INDEX(ポート振替表!$H$5:$H$3507,$L1120)&amp;" "&amp;INDEX(ポート振替表!$I$5:$I$3507,$L1120))</f>
        <v/>
      </c>
      <c r="G1120" s="57" t="s">
        <v>158</v>
      </c>
      <c r="H1120" s="32" t="str">
        <f aca="false">IF(L1120="","",INDEX(ポート振替表!$N$5:$N$3507,$L1120)&amp;"")</f>
        <v/>
      </c>
      <c r="I1120" s="32" t="str">
        <f aca="false">IF(L1120="","",INDEX(ポート振替表!$P$5:$P$3507,$L1120)&amp;"")</f>
        <v/>
      </c>
      <c r="J1120" s="60" t="str">
        <f aca="false">IF(L1120="","",INDEX(ポート振替表!$M$5:$M$3507,$L1120)&amp;"")</f>
        <v/>
      </c>
      <c r="K1120" s="52" t="str">
        <f aca="false">IF(L1120="","",E1120&amp;CHAR(10)&amp;INDEX(ポート振替表!$K$5:$K$3507,$L1120)&amp;" "&amp;INDEX(ポート振替表!$L$5:$L$3507,$L1120)&amp;CHAR(10)&amp;"⇔ "&amp;INDEX(ポート振替表!$H$5:$H$3507,$L1120)&amp;" "&amp;INDEX(ポート振替表!$I$5:$I$3507,$L1120))</f>
        <v/>
      </c>
      <c r="L1120" s="47" t="str">
        <f aca="false">IFERROR(MATCH(ROW()-4,ポート振替表!$V$5:$V$3507,0),"")</f>
        <v/>
      </c>
    </row>
    <row r="1121" customFormat="false" ht="16.4" hidden="false" customHeight="false" outlineLevel="0" collapsed="false">
      <c r="A1121" s="32" t="str">
        <f aca="false">IF(L1121="","",ROW()-4)</f>
        <v/>
      </c>
      <c r="B1121" s="58" t="str">
        <f aca="false">IF(L1121="","",IF(INDEX(ポート振替表!$W$5:$W$3507,$L1121)="","(なし)",INDEX(ポート振替表!$W$5:$W$3507,$L1121)&amp;""))</f>
        <v/>
      </c>
      <c r="C1121" s="52" t="str">
        <f aca="false">IF(L1121="","",INDEX(ポート振替表!$B$5:$B$3507,$L1121)&amp;" "&amp;INDEX(ポート振替表!$C$5:$C$3507,$L1121)&amp;"  ⇔  "&amp;INDEX(ポート振替表!$H$5:$H$3507,$L1121)&amp;" "&amp;INDEX(ポート振替表!$I$5:$I$3507,$L1121))</f>
        <v/>
      </c>
      <c r="D1121" s="57" t="s">
        <v>158</v>
      </c>
      <c r="E1121" s="59" t="str">
        <f aca="false">IF(L1121="","",IF(INDEX(ポート振替表!$O$5:$O$3507,$L1121)="","(未設定)",INDEX(ポート振替表!$O$5:$O$3507,$L1121)&amp;""))</f>
        <v/>
      </c>
      <c r="F1121" s="52" t="str">
        <f aca="false">IF(L1121="","",INDEX(ポート振替表!$K$5:$K$3507,$L1121)&amp;" "&amp;INDEX(ポート振替表!$L$5:$L$3507,$L1121)&amp;"  ⇔  "&amp;INDEX(ポート振替表!$H$5:$H$3507,$L1121)&amp;" "&amp;INDEX(ポート振替表!$I$5:$I$3507,$L1121))</f>
        <v/>
      </c>
      <c r="G1121" s="57" t="s">
        <v>158</v>
      </c>
      <c r="H1121" s="32" t="str">
        <f aca="false">IF(L1121="","",INDEX(ポート振替表!$N$5:$N$3507,$L1121)&amp;"")</f>
        <v/>
      </c>
      <c r="I1121" s="32" t="str">
        <f aca="false">IF(L1121="","",INDEX(ポート振替表!$P$5:$P$3507,$L1121)&amp;"")</f>
        <v/>
      </c>
      <c r="J1121" s="60" t="str">
        <f aca="false">IF(L1121="","",INDEX(ポート振替表!$M$5:$M$3507,$L1121)&amp;"")</f>
        <v/>
      </c>
      <c r="K1121" s="52" t="str">
        <f aca="false">IF(L1121="","",E1121&amp;CHAR(10)&amp;INDEX(ポート振替表!$K$5:$K$3507,$L1121)&amp;" "&amp;INDEX(ポート振替表!$L$5:$L$3507,$L1121)&amp;CHAR(10)&amp;"⇔ "&amp;INDEX(ポート振替表!$H$5:$H$3507,$L1121)&amp;" "&amp;INDEX(ポート振替表!$I$5:$I$3507,$L1121))</f>
        <v/>
      </c>
      <c r="L1121" s="47" t="str">
        <f aca="false">IFERROR(MATCH(ROW()-4,ポート振替表!$V$5:$V$3507,0),"")</f>
        <v/>
      </c>
    </row>
    <row r="1122" customFormat="false" ht="16.4" hidden="false" customHeight="false" outlineLevel="0" collapsed="false">
      <c r="A1122" s="32" t="str">
        <f aca="false">IF(L1122="","",ROW()-4)</f>
        <v/>
      </c>
      <c r="B1122" s="58" t="str">
        <f aca="false">IF(L1122="","",IF(INDEX(ポート振替表!$W$5:$W$3507,$L1122)="","(なし)",INDEX(ポート振替表!$W$5:$W$3507,$L1122)&amp;""))</f>
        <v/>
      </c>
      <c r="C1122" s="52" t="str">
        <f aca="false">IF(L1122="","",INDEX(ポート振替表!$B$5:$B$3507,$L1122)&amp;" "&amp;INDEX(ポート振替表!$C$5:$C$3507,$L1122)&amp;"  ⇔  "&amp;INDEX(ポート振替表!$H$5:$H$3507,$L1122)&amp;" "&amp;INDEX(ポート振替表!$I$5:$I$3507,$L1122))</f>
        <v/>
      </c>
      <c r="D1122" s="57" t="s">
        <v>158</v>
      </c>
      <c r="E1122" s="59" t="str">
        <f aca="false">IF(L1122="","",IF(INDEX(ポート振替表!$O$5:$O$3507,$L1122)="","(未設定)",INDEX(ポート振替表!$O$5:$O$3507,$L1122)&amp;""))</f>
        <v/>
      </c>
      <c r="F1122" s="52" t="str">
        <f aca="false">IF(L1122="","",INDEX(ポート振替表!$K$5:$K$3507,$L1122)&amp;" "&amp;INDEX(ポート振替表!$L$5:$L$3507,$L1122)&amp;"  ⇔  "&amp;INDEX(ポート振替表!$H$5:$H$3507,$L1122)&amp;" "&amp;INDEX(ポート振替表!$I$5:$I$3507,$L1122))</f>
        <v/>
      </c>
      <c r="G1122" s="57" t="s">
        <v>158</v>
      </c>
      <c r="H1122" s="32" t="str">
        <f aca="false">IF(L1122="","",INDEX(ポート振替表!$N$5:$N$3507,$L1122)&amp;"")</f>
        <v/>
      </c>
      <c r="I1122" s="32" t="str">
        <f aca="false">IF(L1122="","",INDEX(ポート振替表!$P$5:$P$3507,$L1122)&amp;"")</f>
        <v/>
      </c>
      <c r="J1122" s="60" t="str">
        <f aca="false">IF(L1122="","",INDEX(ポート振替表!$M$5:$M$3507,$L1122)&amp;"")</f>
        <v/>
      </c>
      <c r="K1122" s="52" t="str">
        <f aca="false">IF(L1122="","",E1122&amp;CHAR(10)&amp;INDEX(ポート振替表!$K$5:$K$3507,$L1122)&amp;" "&amp;INDEX(ポート振替表!$L$5:$L$3507,$L1122)&amp;CHAR(10)&amp;"⇔ "&amp;INDEX(ポート振替表!$H$5:$H$3507,$L1122)&amp;" "&amp;INDEX(ポート振替表!$I$5:$I$3507,$L1122))</f>
        <v/>
      </c>
      <c r="L1122" s="47" t="str">
        <f aca="false">IFERROR(MATCH(ROW()-4,ポート振替表!$V$5:$V$3507,0),"")</f>
        <v/>
      </c>
    </row>
    <row r="1123" customFormat="false" ht="16.4" hidden="false" customHeight="false" outlineLevel="0" collapsed="false">
      <c r="A1123" s="32" t="str">
        <f aca="false">IF(L1123="","",ROW()-4)</f>
        <v/>
      </c>
      <c r="B1123" s="58" t="str">
        <f aca="false">IF(L1123="","",IF(INDEX(ポート振替表!$W$5:$W$3507,$L1123)="","(なし)",INDEX(ポート振替表!$W$5:$W$3507,$L1123)&amp;""))</f>
        <v/>
      </c>
      <c r="C1123" s="52" t="str">
        <f aca="false">IF(L1123="","",INDEX(ポート振替表!$B$5:$B$3507,$L1123)&amp;" "&amp;INDEX(ポート振替表!$C$5:$C$3507,$L1123)&amp;"  ⇔  "&amp;INDEX(ポート振替表!$H$5:$H$3507,$L1123)&amp;" "&amp;INDEX(ポート振替表!$I$5:$I$3507,$L1123))</f>
        <v/>
      </c>
      <c r="D1123" s="57" t="s">
        <v>158</v>
      </c>
      <c r="E1123" s="59" t="str">
        <f aca="false">IF(L1123="","",IF(INDEX(ポート振替表!$O$5:$O$3507,$L1123)="","(未設定)",INDEX(ポート振替表!$O$5:$O$3507,$L1123)&amp;""))</f>
        <v/>
      </c>
      <c r="F1123" s="52" t="str">
        <f aca="false">IF(L1123="","",INDEX(ポート振替表!$K$5:$K$3507,$L1123)&amp;" "&amp;INDEX(ポート振替表!$L$5:$L$3507,$L1123)&amp;"  ⇔  "&amp;INDEX(ポート振替表!$H$5:$H$3507,$L1123)&amp;" "&amp;INDEX(ポート振替表!$I$5:$I$3507,$L1123))</f>
        <v/>
      </c>
      <c r="G1123" s="57" t="s">
        <v>158</v>
      </c>
      <c r="H1123" s="32" t="str">
        <f aca="false">IF(L1123="","",INDEX(ポート振替表!$N$5:$N$3507,$L1123)&amp;"")</f>
        <v/>
      </c>
      <c r="I1123" s="32" t="str">
        <f aca="false">IF(L1123="","",INDEX(ポート振替表!$P$5:$P$3507,$L1123)&amp;"")</f>
        <v/>
      </c>
      <c r="J1123" s="60" t="str">
        <f aca="false">IF(L1123="","",INDEX(ポート振替表!$M$5:$M$3507,$L1123)&amp;"")</f>
        <v/>
      </c>
      <c r="K1123" s="52" t="str">
        <f aca="false">IF(L1123="","",E1123&amp;CHAR(10)&amp;INDEX(ポート振替表!$K$5:$K$3507,$L1123)&amp;" "&amp;INDEX(ポート振替表!$L$5:$L$3507,$L1123)&amp;CHAR(10)&amp;"⇔ "&amp;INDEX(ポート振替表!$H$5:$H$3507,$L1123)&amp;" "&amp;INDEX(ポート振替表!$I$5:$I$3507,$L1123))</f>
        <v/>
      </c>
      <c r="L1123" s="47" t="str">
        <f aca="false">IFERROR(MATCH(ROW()-4,ポート振替表!$V$5:$V$3507,0),"")</f>
        <v/>
      </c>
    </row>
    <row r="1124" customFormat="false" ht="16.4" hidden="false" customHeight="false" outlineLevel="0" collapsed="false">
      <c r="A1124" s="32" t="str">
        <f aca="false">IF(L1124="","",ROW()-4)</f>
        <v/>
      </c>
      <c r="B1124" s="58" t="str">
        <f aca="false">IF(L1124="","",IF(INDEX(ポート振替表!$W$5:$W$3507,$L1124)="","(なし)",INDEX(ポート振替表!$W$5:$W$3507,$L1124)&amp;""))</f>
        <v/>
      </c>
      <c r="C1124" s="52" t="str">
        <f aca="false">IF(L1124="","",INDEX(ポート振替表!$B$5:$B$3507,$L1124)&amp;" "&amp;INDEX(ポート振替表!$C$5:$C$3507,$L1124)&amp;"  ⇔  "&amp;INDEX(ポート振替表!$H$5:$H$3507,$L1124)&amp;" "&amp;INDEX(ポート振替表!$I$5:$I$3507,$L1124))</f>
        <v/>
      </c>
      <c r="D1124" s="57" t="s">
        <v>158</v>
      </c>
      <c r="E1124" s="59" t="str">
        <f aca="false">IF(L1124="","",IF(INDEX(ポート振替表!$O$5:$O$3507,$L1124)="","(未設定)",INDEX(ポート振替表!$O$5:$O$3507,$L1124)&amp;""))</f>
        <v/>
      </c>
      <c r="F1124" s="52" t="str">
        <f aca="false">IF(L1124="","",INDEX(ポート振替表!$K$5:$K$3507,$L1124)&amp;" "&amp;INDEX(ポート振替表!$L$5:$L$3507,$L1124)&amp;"  ⇔  "&amp;INDEX(ポート振替表!$H$5:$H$3507,$L1124)&amp;" "&amp;INDEX(ポート振替表!$I$5:$I$3507,$L1124))</f>
        <v/>
      </c>
      <c r="G1124" s="57" t="s">
        <v>158</v>
      </c>
      <c r="H1124" s="32" t="str">
        <f aca="false">IF(L1124="","",INDEX(ポート振替表!$N$5:$N$3507,$L1124)&amp;"")</f>
        <v/>
      </c>
      <c r="I1124" s="32" t="str">
        <f aca="false">IF(L1124="","",INDEX(ポート振替表!$P$5:$P$3507,$L1124)&amp;"")</f>
        <v/>
      </c>
      <c r="J1124" s="60" t="str">
        <f aca="false">IF(L1124="","",INDEX(ポート振替表!$M$5:$M$3507,$L1124)&amp;"")</f>
        <v/>
      </c>
      <c r="K1124" s="52" t="str">
        <f aca="false">IF(L1124="","",E1124&amp;CHAR(10)&amp;INDEX(ポート振替表!$K$5:$K$3507,$L1124)&amp;" "&amp;INDEX(ポート振替表!$L$5:$L$3507,$L1124)&amp;CHAR(10)&amp;"⇔ "&amp;INDEX(ポート振替表!$H$5:$H$3507,$L1124)&amp;" "&amp;INDEX(ポート振替表!$I$5:$I$3507,$L1124))</f>
        <v/>
      </c>
      <c r="L1124" s="47" t="str">
        <f aca="false">IFERROR(MATCH(ROW()-4,ポート振替表!$V$5:$V$3507,0),"")</f>
        <v/>
      </c>
    </row>
    <row r="1125" customFormat="false" ht="16.4" hidden="false" customHeight="false" outlineLevel="0" collapsed="false">
      <c r="A1125" s="32" t="str">
        <f aca="false">IF(L1125="","",ROW()-4)</f>
        <v/>
      </c>
      <c r="B1125" s="58" t="str">
        <f aca="false">IF(L1125="","",IF(INDEX(ポート振替表!$W$5:$W$3507,$L1125)="","(なし)",INDEX(ポート振替表!$W$5:$W$3507,$L1125)&amp;""))</f>
        <v/>
      </c>
      <c r="C1125" s="52" t="str">
        <f aca="false">IF(L1125="","",INDEX(ポート振替表!$B$5:$B$3507,$L1125)&amp;" "&amp;INDEX(ポート振替表!$C$5:$C$3507,$L1125)&amp;"  ⇔  "&amp;INDEX(ポート振替表!$H$5:$H$3507,$L1125)&amp;" "&amp;INDEX(ポート振替表!$I$5:$I$3507,$L1125))</f>
        <v/>
      </c>
      <c r="D1125" s="57" t="s">
        <v>158</v>
      </c>
      <c r="E1125" s="59" t="str">
        <f aca="false">IF(L1125="","",IF(INDEX(ポート振替表!$O$5:$O$3507,$L1125)="","(未設定)",INDEX(ポート振替表!$O$5:$O$3507,$L1125)&amp;""))</f>
        <v/>
      </c>
      <c r="F1125" s="52" t="str">
        <f aca="false">IF(L1125="","",INDEX(ポート振替表!$K$5:$K$3507,$L1125)&amp;" "&amp;INDEX(ポート振替表!$L$5:$L$3507,$L1125)&amp;"  ⇔  "&amp;INDEX(ポート振替表!$H$5:$H$3507,$L1125)&amp;" "&amp;INDEX(ポート振替表!$I$5:$I$3507,$L1125))</f>
        <v/>
      </c>
      <c r="G1125" s="57" t="s">
        <v>158</v>
      </c>
      <c r="H1125" s="32" t="str">
        <f aca="false">IF(L1125="","",INDEX(ポート振替表!$N$5:$N$3507,$L1125)&amp;"")</f>
        <v/>
      </c>
      <c r="I1125" s="32" t="str">
        <f aca="false">IF(L1125="","",INDEX(ポート振替表!$P$5:$P$3507,$L1125)&amp;"")</f>
        <v/>
      </c>
      <c r="J1125" s="60" t="str">
        <f aca="false">IF(L1125="","",INDEX(ポート振替表!$M$5:$M$3507,$L1125)&amp;"")</f>
        <v/>
      </c>
      <c r="K1125" s="52" t="str">
        <f aca="false">IF(L1125="","",E1125&amp;CHAR(10)&amp;INDEX(ポート振替表!$K$5:$K$3507,$L1125)&amp;" "&amp;INDEX(ポート振替表!$L$5:$L$3507,$L1125)&amp;CHAR(10)&amp;"⇔ "&amp;INDEX(ポート振替表!$H$5:$H$3507,$L1125)&amp;" "&amp;INDEX(ポート振替表!$I$5:$I$3507,$L1125))</f>
        <v/>
      </c>
      <c r="L1125" s="47" t="str">
        <f aca="false">IFERROR(MATCH(ROW()-4,ポート振替表!$V$5:$V$3507,0),"")</f>
        <v/>
      </c>
    </row>
    <row r="1126" customFormat="false" ht="16.4" hidden="false" customHeight="false" outlineLevel="0" collapsed="false">
      <c r="A1126" s="32" t="str">
        <f aca="false">IF(L1126="","",ROW()-4)</f>
        <v/>
      </c>
      <c r="B1126" s="58" t="str">
        <f aca="false">IF(L1126="","",IF(INDEX(ポート振替表!$W$5:$W$3507,$L1126)="","(なし)",INDEX(ポート振替表!$W$5:$W$3507,$L1126)&amp;""))</f>
        <v/>
      </c>
      <c r="C1126" s="52" t="str">
        <f aca="false">IF(L1126="","",INDEX(ポート振替表!$B$5:$B$3507,$L1126)&amp;" "&amp;INDEX(ポート振替表!$C$5:$C$3507,$L1126)&amp;"  ⇔  "&amp;INDEX(ポート振替表!$H$5:$H$3507,$L1126)&amp;" "&amp;INDEX(ポート振替表!$I$5:$I$3507,$L1126))</f>
        <v/>
      </c>
      <c r="D1126" s="57" t="s">
        <v>158</v>
      </c>
      <c r="E1126" s="59" t="str">
        <f aca="false">IF(L1126="","",IF(INDEX(ポート振替表!$O$5:$O$3507,$L1126)="","(未設定)",INDEX(ポート振替表!$O$5:$O$3507,$L1126)&amp;""))</f>
        <v/>
      </c>
      <c r="F1126" s="52" t="str">
        <f aca="false">IF(L1126="","",INDEX(ポート振替表!$K$5:$K$3507,$L1126)&amp;" "&amp;INDEX(ポート振替表!$L$5:$L$3507,$L1126)&amp;"  ⇔  "&amp;INDEX(ポート振替表!$H$5:$H$3507,$L1126)&amp;" "&amp;INDEX(ポート振替表!$I$5:$I$3507,$L1126))</f>
        <v/>
      </c>
      <c r="G1126" s="57" t="s">
        <v>158</v>
      </c>
      <c r="H1126" s="32" t="str">
        <f aca="false">IF(L1126="","",INDEX(ポート振替表!$N$5:$N$3507,$L1126)&amp;"")</f>
        <v/>
      </c>
      <c r="I1126" s="32" t="str">
        <f aca="false">IF(L1126="","",INDEX(ポート振替表!$P$5:$P$3507,$L1126)&amp;"")</f>
        <v/>
      </c>
      <c r="J1126" s="60" t="str">
        <f aca="false">IF(L1126="","",INDEX(ポート振替表!$M$5:$M$3507,$L1126)&amp;"")</f>
        <v/>
      </c>
      <c r="K1126" s="52" t="str">
        <f aca="false">IF(L1126="","",E1126&amp;CHAR(10)&amp;INDEX(ポート振替表!$K$5:$K$3507,$L1126)&amp;" "&amp;INDEX(ポート振替表!$L$5:$L$3507,$L1126)&amp;CHAR(10)&amp;"⇔ "&amp;INDEX(ポート振替表!$H$5:$H$3507,$L1126)&amp;" "&amp;INDEX(ポート振替表!$I$5:$I$3507,$L1126))</f>
        <v/>
      </c>
      <c r="L1126" s="47" t="str">
        <f aca="false">IFERROR(MATCH(ROW()-4,ポート振替表!$V$5:$V$3507,0),"")</f>
        <v/>
      </c>
    </row>
    <row r="1127" customFormat="false" ht="16.4" hidden="false" customHeight="false" outlineLevel="0" collapsed="false">
      <c r="A1127" s="32" t="str">
        <f aca="false">IF(L1127="","",ROW()-4)</f>
        <v/>
      </c>
      <c r="B1127" s="58" t="str">
        <f aca="false">IF(L1127="","",IF(INDEX(ポート振替表!$W$5:$W$3507,$L1127)="","(なし)",INDEX(ポート振替表!$W$5:$W$3507,$L1127)&amp;""))</f>
        <v/>
      </c>
      <c r="C1127" s="52" t="str">
        <f aca="false">IF(L1127="","",INDEX(ポート振替表!$B$5:$B$3507,$L1127)&amp;" "&amp;INDEX(ポート振替表!$C$5:$C$3507,$L1127)&amp;"  ⇔  "&amp;INDEX(ポート振替表!$H$5:$H$3507,$L1127)&amp;" "&amp;INDEX(ポート振替表!$I$5:$I$3507,$L1127))</f>
        <v/>
      </c>
      <c r="D1127" s="57" t="s">
        <v>158</v>
      </c>
      <c r="E1127" s="59" t="str">
        <f aca="false">IF(L1127="","",IF(INDEX(ポート振替表!$O$5:$O$3507,$L1127)="","(未設定)",INDEX(ポート振替表!$O$5:$O$3507,$L1127)&amp;""))</f>
        <v/>
      </c>
      <c r="F1127" s="52" t="str">
        <f aca="false">IF(L1127="","",INDEX(ポート振替表!$K$5:$K$3507,$L1127)&amp;" "&amp;INDEX(ポート振替表!$L$5:$L$3507,$L1127)&amp;"  ⇔  "&amp;INDEX(ポート振替表!$H$5:$H$3507,$L1127)&amp;" "&amp;INDEX(ポート振替表!$I$5:$I$3507,$L1127))</f>
        <v/>
      </c>
      <c r="G1127" s="57" t="s">
        <v>158</v>
      </c>
      <c r="H1127" s="32" t="str">
        <f aca="false">IF(L1127="","",INDEX(ポート振替表!$N$5:$N$3507,$L1127)&amp;"")</f>
        <v/>
      </c>
      <c r="I1127" s="32" t="str">
        <f aca="false">IF(L1127="","",INDEX(ポート振替表!$P$5:$P$3507,$L1127)&amp;"")</f>
        <v/>
      </c>
      <c r="J1127" s="60" t="str">
        <f aca="false">IF(L1127="","",INDEX(ポート振替表!$M$5:$M$3507,$L1127)&amp;"")</f>
        <v/>
      </c>
      <c r="K1127" s="52" t="str">
        <f aca="false">IF(L1127="","",E1127&amp;CHAR(10)&amp;INDEX(ポート振替表!$K$5:$K$3507,$L1127)&amp;" "&amp;INDEX(ポート振替表!$L$5:$L$3507,$L1127)&amp;CHAR(10)&amp;"⇔ "&amp;INDEX(ポート振替表!$H$5:$H$3507,$L1127)&amp;" "&amp;INDEX(ポート振替表!$I$5:$I$3507,$L1127))</f>
        <v/>
      </c>
      <c r="L1127" s="47" t="str">
        <f aca="false">IFERROR(MATCH(ROW()-4,ポート振替表!$V$5:$V$3507,0),"")</f>
        <v/>
      </c>
    </row>
    <row r="1128" customFormat="false" ht="16.4" hidden="false" customHeight="false" outlineLevel="0" collapsed="false">
      <c r="A1128" s="32" t="str">
        <f aca="false">IF(L1128="","",ROW()-4)</f>
        <v/>
      </c>
      <c r="B1128" s="58" t="str">
        <f aca="false">IF(L1128="","",IF(INDEX(ポート振替表!$W$5:$W$3507,$L1128)="","(なし)",INDEX(ポート振替表!$W$5:$W$3507,$L1128)&amp;""))</f>
        <v/>
      </c>
      <c r="C1128" s="52" t="str">
        <f aca="false">IF(L1128="","",INDEX(ポート振替表!$B$5:$B$3507,$L1128)&amp;" "&amp;INDEX(ポート振替表!$C$5:$C$3507,$L1128)&amp;"  ⇔  "&amp;INDEX(ポート振替表!$H$5:$H$3507,$L1128)&amp;" "&amp;INDEX(ポート振替表!$I$5:$I$3507,$L1128))</f>
        <v/>
      </c>
      <c r="D1128" s="57" t="s">
        <v>158</v>
      </c>
      <c r="E1128" s="59" t="str">
        <f aca="false">IF(L1128="","",IF(INDEX(ポート振替表!$O$5:$O$3507,$L1128)="","(未設定)",INDEX(ポート振替表!$O$5:$O$3507,$L1128)&amp;""))</f>
        <v/>
      </c>
      <c r="F1128" s="52" t="str">
        <f aca="false">IF(L1128="","",INDEX(ポート振替表!$K$5:$K$3507,$L1128)&amp;" "&amp;INDEX(ポート振替表!$L$5:$L$3507,$L1128)&amp;"  ⇔  "&amp;INDEX(ポート振替表!$H$5:$H$3507,$L1128)&amp;" "&amp;INDEX(ポート振替表!$I$5:$I$3507,$L1128))</f>
        <v/>
      </c>
      <c r="G1128" s="57" t="s">
        <v>158</v>
      </c>
      <c r="H1128" s="32" t="str">
        <f aca="false">IF(L1128="","",INDEX(ポート振替表!$N$5:$N$3507,$L1128)&amp;"")</f>
        <v/>
      </c>
      <c r="I1128" s="32" t="str">
        <f aca="false">IF(L1128="","",INDEX(ポート振替表!$P$5:$P$3507,$L1128)&amp;"")</f>
        <v/>
      </c>
      <c r="J1128" s="60" t="str">
        <f aca="false">IF(L1128="","",INDEX(ポート振替表!$M$5:$M$3507,$L1128)&amp;"")</f>
        <v/>
      </c>
      <c r="K1128" s="52" t="str">
        <f aca="false">IF(L1128="","",E1128&amp;CHAR(10)&amp;INDEX(ポート振替表!$K$5:$K$3507,$L1128)&amp;" "&amp;INDEX(ポート振替表!$L$5:$L$3507,$L1128)&amp;CHAR(10)&amp;"⇔ "&amp;INDEX(ポート振替表!$H$5:$H$3507,$L1128)&amp;" "&amp;INDEX(ポート振替表!$I$5:$I$3507,$L1128))</f>
        <v/>
      </c>
      <c r="L1128" s="47" t="str">
        <f aca="false">IFERROR(MATCH(ROW()-4,ポート振替表!$V$5:$V$3507,0),"")</f>
        <v/>
      </c>
    </row>
    <row r="1129" customFormat="false" ht="16.4" hidden="false" customHeight="false" outlineLevel="0" collapsed="false">
      <c r="A1129" s="32" t="str">
        <f aca="false">IF(L1129="","",ROW()-4)</f>
        <v/>
      </c>
      <c r="B1129" s="58" t="str">
        <f aca="false">IF(L1129="","",IF(INDEX(ポート振替表!$W$5:$W$3507,$L1129)="","(なし)",INDEX(ポート振替表!$W$5:$W$3507,$L1129)&amp;""))</f>
        <v/>
      </c>
      <c r="C1129" s="52" t="str">
        <f aca="false">IF(L1129="","",INDEX(ポート振替表!$B$5:$B$3507,$L1129)&amp;" "&amp;INDEX(ポート振替表!$C$5:$C$3507,$L1129)&amp;"  ⇔  "&amp;INDEX(ポート振替表!$H$5:$H$3507,$L1129)&amp;" "&amp;INDEX(ポート振替表!$I$5:$I$3507,$L1129))</f>
        <v/>
      </c>
      <c r="D1129" s="57" t="s">
        <v>158</v>
      </c>
      <c r="E1129" s="59" t="str">
        <f aca="false">IF(L1129="","",IF(INDEX(ポート振替表!$O$5:$O$3507,$L1129)="","(未設定)",INDEX(ポート振替表!$O$5:$O$3507,$L1129)&amp;""))</f>
        <v/>
      </c>
      <c r="F1129" s="52" t="str">
        <f aca="false">IF(L1129="","",INDEX(ポート振替表!$K$5:$K$3507,$L1129)&amp;" "&amp;INDEX(ポート振替表!$L$5:$L$3507,$L1129)&amp;"  ⇔  "&amp;INDEX(ポート振替表!$H$5:$H$3507,$L1129)&amp;" "&amp;INDEX(ポート振替表!$I$5:$I$3507,$L1129))</f>
        <v/>
      </c>
      <c r="G1129" s="57" t="s">
        <v>158</v>
      </c>
      <c r="H1129" s="32" t="str">
        <f aca="false">IF(L1129="","",INDEX(ポート振替表!$N$5:$N$3507,$L1129)&amp;"")</f>
        <v/>
      </c>
      <c r="I1129" s="32" t="str">
        <f aca="false">IF(L1129="","",INDEX(ポート振替表!$P$5:$P$3507,$L1129)&amp;"")</f>
        <v/>
      </c>
      <c r="J1129" s="60" t="str">
        <f aca="false">IF(L1129="","",INDEX(ポート振替表!$M$5:$M$3507,$L1129)&amp;"")</f>
        <v/>
      </c>
      <c r="K1129" s="52" t="str">
        <f aca="false">IF(L1129="","",E1129&amp;CHAR(10)&amp;INDEX(ポート振替表!$K$5:$K$3507,$L1129)&amp;" "&amp;INDEX(ポート振替表!$L$5:$L$3507,$L1129)&amp;CHAR(10)&amp;"⇔ "&amp;INDEX(ポート振替表!$H$5:$H$3507,$L1129)&amp;" "&amp;INDEX(ポート振替表!$I$5:$I$3507,$L1129))</f>
        <v/>
      </c>
      <c r="L1129" s="47" t="str">
        <f aca="false">IFERROR(MATCH(ROW()-4,ポート振替表!$V$5:$V$3507,0),"")</f>
        <v/>
      </c>
    </row>
    <row r="1130" customFormat="false" ht="16.4" hidden="false" customHeight="false" outlineLevel="0" collapsed="false">
      <c r="A1130" s="32" t="str">
        <f aca="false">IF(L1130="","",ROW()-4)</f>
        <v/>
      </c>
      <c r="B1130" s="58" t="str">
        <f aca="false">IF(L1130="","",IF(INDEX(ポート振替表!$W$5:$W$3507,$L1130)="","(なし)",INDEX(ポート振替表!$W$5:$W$3507,$L1130)&amp;""))</f>
        <v/>
      </c>
      <c r="C1130" s="52" t="str">
        <f aca="false">IF(L1130="","",INDEX(ポート振替表!$B$5:$B$3507,$L1130)&amp;" "&amp;INDEX(ポート振替表!$C$5:$C$3507,$L1130)&amp;"  ⇔  "&amp;INDEX(ポート振替表!$H$5:$H$3507,$L1130)&amp;" "&amp;INDEX(ポート振替表!$I$5:$I$3507,$L1130))</f>
        <v/>
      </c>
      <c r="D1130" s="57" t="s">
        <v>158</v>
      </c>
      <c r="E1130" s="59" t="str">
        <f aca="false">IF(L1130="","",IF(INDEX(ポート振替表!$O$5:$O$3507,$L1130)="","(未設定)",INDEX(ポート振替表!$O$5:$O$3507,$L1130)&amp;""))</f>
        <v/>
      </c>
      <c r="F1130" s="52" t="str">
        <f aca="false">IF(L1130="","",INDEX(ポート振替表!$K$5:$K$3507,$L1130)&amp;" "&amp;INDEX(ポート振替表!$L$5:$L$3507,$L1130)&amp;"  ⇔  "&amp;INDEX(ポート振替表!$H$5:$H$3507,$L1130)&amp;" "&amp;INDEX(ポート振替表!$I$5:$I$3507,$L1130))</f>
        <v/>
      </c>
      <c r="G1130" s="57" t="s">
        <v>158</v>
      </c>
      <c r="H1130" s="32" t="str">
        <f aca="false">IF(L1130="","",INDEX(ポート振替表!$N$5:$N$3507,$L1130)&amp;"")</f>
        <v/>
      </c>
      <c r="I1130" s="32" t="str">
        <f aca="false">IF(L1130="","",INDEX(ポート振替表!$P$5:$P$3507,$L1130)&amp;"")</f>
        <v/>
      </c>
      <c r="J1130" s="60" t="str">
        <f aca="false">IF(L1130="","",INDEX(ポート振替表!$M$5:$M$3507,$L1130)&amp;"")</f>
        <v/>
      </c>
      <c r="K1130" s="52" t="str">
        <f aca="false">IF(L1130="","",E1130&amp;CHAR(10)&amp;INDEX(ポート振替表!$K$5:$K$3507,$L1130)&amp;" "&amp;INDEX(ポート振替表!$L$5:$L$3507,$L1130)&amp;CHAR(10)&amp;"⇔ "&amp;INDEX(ポート振替表!$H$5:$H$3507,$L1130)&amp;" "&amp;INDEX(ポート振替表!$I$5:$I$3507,$L1130))</f>
        <v/>
      </c>
      <c r="L1130" s="47" t="str">
        <f aca="false">IFERROR(MATCH(ROW()-4,ポート振替表!$V$5:$V$3507,0),"")</f>
        <v/>
      </c>
    </row>
    <row r="1131" customFormat="false" ht="16.4" hidden="false" customHeight="false" outlineLevel="0" collapsed="false">
      <c r="A1131" s="32" t="str">
        <f aca="false">IF(L1131="","",ROW()-4)</f>
        <v/>
      </c>
      <c r="B1131" s="58" t="str">
        <f aca="false">IF(L1131="","",IF(INDEX(ポート振替表!$W$5:$W$3507,$L1131)="","(なし)",INDEX(ポート振替表!$W$5:$W$3507,$L1131)&amp;""))</f>
        <v/>
      </c>
      <c r="C1131" s="52" t="str">
        <f aca="false">IF(L1131="","",INDEX(ポート振替表!$B$5:$B$3507,$L1131)&amp;" "&amp;INDEX(ポート振替表!$C$5:$C$3507,$L1131)&amp;"  ⇔  "&amp;INDEX(ポート振替表!$H$5:$H$3507,$L1131)&amp;" "&amp;INDEX(ポート振替表!$I$5:$I$3507,$L1131))</f>
        <v/>
      </c>
      <c r="D1131" s="57" t="s">
        <v>158</v>
      </c>
      <c r="E1131" s="59" t="str">
        <f aca="false">IF(L1131="","",IF(INDEX(ポート振替表!$O$5:$O$3507,$L1131)="","(未設定)",INDEX(ポート振替表!$O$5:$O$3507,$L1131)&amp;""))</f>
        <v/>
      </c>
      <c r="F1131" s="52" t="str">
        <f aca="false">IF(L1131="","",INDEX(ポート振替表!$K$5:$K$3507,$L1131)&amp;" "&amp;INDEX(ポート振替表!$L$5:$L$3507,$L1131)&amp;"  ⇔  "&amp;INDEX(ポート振替表!$H$5:$H$3507,$L1131)&amp;" "&amp;INDEX(ポート振替表!$I$5:$I$3507,$L1131))</f>
        <v/>
      </c>
      <c r="G1131" s="57" t="s">
        <v>158</v>
      </c>
      <c r="H1131" s="32" t="str">
        <f aca="false">IF(L1131="","",INDEX(ポート振替表!$N$5:$N$3507,$L1131)&amp;"")</f>
        <v/>
      </c>
      <c r="I1131" s="32" t="str">
        <f aca="false">IF(L1131="","",INDEX(ポート振替表!$P$5:$P$3507,$L1131)&amp;"")</f>
        <v/>
      </c>
      <c r="J1131" s="60" t="str">
        <f aca="false">IF(L1131="","",INDEX(ポート振替表!$M$5:$M$3507,$L1131)&amp;"")</f>
        <v/>
      </c>
      <c r="K1131" s="52" t="str">
        <f aca="false">IF(L1131="","",E1131&amp;CHAR(10)&amp;INDEX(ポート振替表!$K$5:$K$3507,$L1131)&amp;" "&amp;INDEX(ポート振替表!$L$5:$L$3507,$L1131)&amp;CHAR(10)&amp;"⇔ "&amp;INDEX(ポート振替表!$H$5:$H$3507,$L1131)&amp;" "&amp;INDEX(ポート振替表!$I$5:$I$3507,$L1131))</f>
        <v/>
      </c>
      <c r="L1131" s="47" t="str">
        <f aca="false">IFERROR(MATCH(ROW()-4,ポート振替表!$V$5:$V$3507,0),"")</f>
        <v/>
      </c>
    </row>
    <row r="1132" customFormat="false" ht="16.4" hidden="false" customHeight="false" outlineLevel="0" collapsed="false">
      <c r="A1132" s="32" t="str">
        <f aca="false">IF(L1132="","",ROW()-4)</f>
        <v/>
      </c>
      <c r="B1132" s="58" t="str">
        <f aca="false">IF(L1132="","",IF(INDEX(ポート振替表!$W$5:$W$3507,$L1132)="","(なし)",INDEX(ポート振替表!$W$5:$W$3507,$L1132)&amp;""))</f>
        <v/>
      </c>
      <c r="C1132" s="52" t="str">
        <f aca="false">IF(L1132="","",INDEX(ポート振替表!$B$5:$B$3507,$L1132)&amp;" "&amp;INDEX(ポート振替表!$C$5:$C$3507,$L1132)&amp;"  ⇔  "&amp;INDEX(ポート振替表!$H$5:$H$3507,$L1132)&amp;" "&amp;INDEX(ポート振替表!$I$5:$I$3507,$L1132))</f>
        <v/>
      </c>
      <c r="D1132" s="57" t="s">
        <v>158</v>
      </c>
      <c r="E1132" s="59" t="str">
        <f aca="false">IF(L1132="","",IF(INDEX(ポート振替表!$O$5:$O$3507,$L1132)="","(未設定)",INDEX(ポート振替表!$O$5:$O$3507,$L1132)&amp;""))</f>
        <v/>
      </c>
      <c r="F1132" s="52" t="str">
        <f aca="false">IF(L1132="","",INDEX(ポート振替表!$K$5:$K$3507,$L1132)&amp;" "&amp;INDEX(ポート振替表!$L$5:$L$3507,$L1132)&amp;"  ⇔  "&amp;INDEX(ポート振替表!$H$5:$H$3507,$L1132)&amp;" "&amp;INDEX(ポート振替表!$I$5:$I$3507,$L1132))</f>
        <v/>
      </c>
      <c r="G1132" s="57" t="s">
        <v>158</v>
      </c>
      <c r="H1132" s="32" t="str">
        <f aca="false">IF(L1132="","",INDEX(ポート振替表!$N$5:$N$3507,$L1132)&amp;"")</f>
        <v/>
      </c>
      <c r="I1132" s="32" t="str">
        <f aca="false">IF(L1132="","",INDEX(ポート振替表!$P$5:$P$3507,$L1132)&amp;"")</f>
        <v/>
      </c>
      <c r="J1132" s="60" t="str">
        <f aca="false">IF(L1132="","",INDEX(ポート振替表!$M$5:$M$3507,$L1132)&amp;"")</f>
        <v/>
      </c>
      <c r="K1132" s="52" t="str">
        <f aca="false">IF(L1132="","",E1132&amp;CHAR(10)&amp;INDEX(ポート振替表!$K$5:$K$3507,$L1132)&amp;" "&amp;INDEX(ポート振替表!$L$5:$L$3507,$L1132)&amp;CHAR(10)&amp;"⇔ "&amp;INDEX(ポート振替表!$H$5:$H$3507,$L1132)&amp;" "&amp;INDEX(ポート振替表!$I$5:$I$3507,$L1132))</f>
        <v/>
      </c>
      <c r="L1132" s="47" t="str">
        <f aca="false">IFERROR(MATCH(ROW()-4,ポート振替表!$V$5:$V$3507,0),"")</f>
        <v/>
      </c>
    </row>
    <row r="1133" customFormat="false" ht="16.4" hidden="false" customHeight="false" outlineLevel="0" collapsed="false">
      <c r="A1133" s="32" t="str">
        <f aca="false">IF(L1133="","",ROW()-4)</f>
        <v/>
      </c>
      <c r="B1133" s="58" t="str">
        <f aca="false">IF(L1133="","",IF(INDEX(ポート振替表!$W$5:$W$3507,$L1133)="","(なし)",INDEX(ポート振替表!$W$5:$W$3507,$L1133)&amp;""))</f>
        <v/>
      </c>
      <c r="C1133" s="52" t="str">
        <f aca="false">IF(L1133="","",INDEX(ポート振替表!$B$5:$B$3507,$L1133)&amp;" "&amp;INDEX(ポート振替表!$C$5:$C$3507,$L1133)&amp;"  ⇔  "&amp;INDEX(ポート振替表!$H$5:$H$3507,$L1133)&amp;" "&amp;INDEX(ポート振替表!$I$5:$I$3507,$L1133))</f>
        <v/>
      </c>
      <c r="D1133" s="57" t="s">
        <v>158</v>
      </c>
      <c r="E1133" s="59" t="str">
        <f aca="false">IF(L1133="","",IF(INDEX(ポート振替表!$O$5:$O$3507,$L1133)="","(未設定)",INDEX(ポート振替表!$O$5:$O$3507,$L1133)&amp;""))</f>
        <v/>
      </c>
      <c r="F1133" s="52" t="str">
        <f aca="false">IF(L1133="","",INDEX(ポート振替表!$K$5:$K$3507,$L1133)&amp;" "&amp;INDEX(ポート振替表!$L$5:$L$3507,$L1133)&amp;"  ⇔  "&amp;INDEX(ポート振替表!$H$5:$H$3507,$L1133)&amp;" "&amp;INDEX(ポート振替表!$I$5:$I$3507,$L1133))</f>
        <v/>
      </c>
      <c r="G1133" s="57" t="s">
        <v>158</v>
      </c>
      <c r="H1133" s="32" t="str">
        <f aca="false">IF(L1133="","",INDEX(ポート振替表!$N$5:$N$3507,$L1133)&amp;"")</f>
        <v/>
      </c>
      <c r="I1133" s="32" t="str">
        <f aca="false">IF(L1133="","",INDEX(ポート振替表!$P$5:$P$3507,$L1133)&amp;"")</f>
        <v/>
      </c>
      <c r="J1133" s="60" t="str">
        <f aca="false">IF(L1133="","",INDEX(ポート振替表!$M$5:$M$3507,$L1133)&amp;"")</f>
        <v/>
      </c>
      <c r="K1133" s="52" t="str">
        <f aca="false">IF(L1133="","",E1133&amp;CHAR(10)&amp;INDEX(ポート振替表!$K$5:$K$3507,$L1133)&amp;" "&amp;INDEX(ポート振替表!$L$5:$L$3507,$L1133)&amp;CHAR(10)&amp;"⇔ "&amp;INDEX(ポート振替表!$H$5:$H$3507,$L1133)&amp;" "&amp;INDEX(ポート振替表!$I$5:$I$3507,$L1133))</f>
        <v/>
      </c>
      <c r="L1133" s="47" t="str">
        <f aca="false">IFERROR(MATCH(ROW()-4,ポート振替表!$V$5:$V$3507,0),"")</f>
        <v/>
      </c>
    </row>
    <row r="1134" customFormat="false" ht="16.4" hidden="false" customHeight="false" outlineLevel="0" collapsed="false">
      <c r="A1134" s="32" t="str">
        <f aca="false">IF(L1134="","",ROW()-4)</f>
        <v/>
      </c>
      <c r="B1134" s="58" t="str">
        <f aca="false">IF(L1134="","",IF(INDEX(ポート振替表!$W$5:$W$3507,$L1134)="","(なし)",INDEX(ポート振替表!$W$5:$W$3507,$L1134)&amp;""))</f>
        <v/>
      </c>
      <c r="C1134" s="52" t="str">
        <f aca="false">IF(L1134="","",INDEX(ポート振替表!$B$5:$B$3507,$L1134)&amp;" "&amp;INDEX(ポート振替表!$C$5:$C$3507,$L1134)&amp;"  ⇔  "&amp;INDEX(ポート振替表!$H$5:$H$3507,$L1134)&amp;" "&amp;INDEX(ポート振替表!$I$5:$I$3507,$L1134))</f>
        <v/>
      </c>
      <c r="D1134" s="57" t="s">
        <v>158</v>
      </c>
      <c r="E1134" s="59" t="str">
        <f aca="false">IF(L1134="","",IF(INDEX(ポート振替表!$O$5:$O$3507,$L1134)="","(未設定)",INDEX(ポート振替表!$O$5:$O$3507,$L1134)&amp;""))</f>
        <v/>
      </c>
      <c r="F1134" s="52" t="str">
        <f aca="false">IF(L1134="","",INDEX(ポート振替表!$K$5:$K$3507,$L1134)&amp;" "&amp;INDEX(ポート振替表!$L$5:$L$3507,$L1134)&amp;"  ⇔  "&amp;INDEX(ポート振替表!$H$5:$H$3507,$L1134)&amp;" "&amp;INDEX(ポート振替表!$I$5:$I$3507,$L1134))</f>
        <v/>
      </c>
      <c r="G1134" s="57" t="s">
        <v>158</v>
      </c>
      <c r="H1134" s="32" t="str">
        <f aca="false">IF(L1134="","",INDEX(ポート振替表!$N$5:$N$3507,$L1134)&amp;"")</f>
        <v/>
      </c>
      <c r="I1134" s="32" t="str">
        <f aca="false">IF(L1134="","",INDEX(ポート振替表!$P$5:$P$3507,$L1134)&amp;"")</f>
        <v/>
      </c>
      <c r="J1134" s="60" t="str">
        <f aca="false">IF(L1134="","",INDEX(ポート振替表!$M$5:$M$3507,$L1134)&amp;"")</f>
        <v/>
      </c>
      <c r="K1134" s="52" t="str">
        <f aca="false">IF(L1134="","",E1134&amp;CHAR(10)&amp;INDEX(ポート振替表!$K$5:$K$3507,$L1134)&amp;" "&amp;INDEX(ポート振替表!$L$5:$L$3507,$L1134)&amp;CHAR(10)&amp;"⇔ "&amp;INDEX(ポート振替表!$H$5:$H$3507,$L1134)&amp;" "&amp;INDEX(ポート振替表!$I$5:$I$3507,$L1134))</f>
        <v/>
      </c>
      <c r="L1134" s="47" t="str">
        <f aca="false">IFERROR(MATCH(ROW()-4,ポート振替表!$V$5:$V$3507,0),"")</f>
        <v/>
      </c>
    </row>
    <row r="1135" customFormat="false" ht="16.4" hidden="false" customHeight="false" outlineLevel="0" collapsed="false">
      <c r="A1135" s="32" t="str">
        <f aca="false">IF(L1135="","",ROW()-4)</f>
        <v/>
      </c>
      <c r="B1135" s="58" t="str">
        <f aca="false">IF(L1135="","",IF(INDEX(ポート振替表!$W$5:$W$3507,$L1135)="","(なし)",INDEX(ポート振替表!$W$5:$W$3507,$L1135)&amp;""))</f>
        <v/>
      </c>
      <c r="C1135" s="52" t="str">
        <f aca="false">IF(L1135="","",INDEX(ポート振替表!$B$5:$B$3507,$L1135)&amp;" "&amp;INDEX(ポート振替表!$C$5:$C$3507,$L1135)&amp;"  ⇔  "&amp;INDEX(ポート振替表!$H$5:$H$3507,$L1135)&amp;" "&amp;INDEX(ポート振替表!$I$5:$I$3507,$L1135))</f>
        <v/>
      </c>
      <c r="D1135" s="57" t="s">
        <v>158</v>
      </c>
      <c r="E1135" s="59" t="str">
        <f aca="false">IF(L1135="","",IF(INDEX(ポート振替表!$O$5:$O$3507,$L1135)="","(未設定)",INDEX(ポート振替表!$O$5:$O$3507,$L1135)&amp;""))</f>
        <v/>
      </c>
      <c r="F1135" s="52" t="str">
        <f aca="false">IF(L1135="","",INDEX(ポート振替表!$K$5:$K$3507,$L1135)&amp;" "&amp;INDEX(ポート振替表!$L$5:$L$3507,$L1135)&amp;"  ⇔  "&amp;INDEX(ポート振替表!$H$5:$H$3507,$L1135)&amp;" "&amp;INDEX(ポート振替表!$I$5:$I$3507,$L1135))</f>
        <v/>
      </c>
      <c r="G1135" s="57" t="s">
        <v>158</v>
      </c>
      <c r="H1135" s="32" t="str">
        <f aca="false">IF(L1135="","",INDEX(ポート振替表!$N$5:$N$3507,$L1135)&amp;"")</f>
        <v/>
      </c>
      <c r="I1135" s="32" t="str">
        <f aca="false">IF(L1135="","",INDEX(ポート振替表!$P$5:$P$3507,$L1135)&amp;"")</f>
        <v/>
      </c>
      <c r="J1135" s="60" t="str">
        <f aca="false">IF(L1135="","",INDEX(ポート振替表!$M$5:$M$3507,$L1135)&amp;"")</f>
        <v/>
      </c>
      <c r="K1135" s="52" t="str">
        <f aca="false">IF(L1135="","",E1135&amp;CHAR(10)&amp;INDEX(ポート振替表!$K$5:$K$3507,$L1135)&amp;" "&amp;INDEX(ポート振替表!$L$5:$L$3507,$L1135)&amp;CHAR(10)&amp;"⇔ "&amp;INDEX(ポート振替表!$H$5:$H$3507,$L1135)&amp;" "&amp;INDEX(ポート振替表!$I$5:$I$3507,$L1135))</f>
        <v/>
      </c>
      <c r="L1135" s="47" t="str">
        <f aca="false">IFERROR(MATCH(ROW()-4,ポート振替表!$V$5:$V$3507,0),"")</f>
        <v/>
      </c>
    </row>
    <row r="1136" customFormat="false" ht="16.4" hidden="false" customHeight="false" outlineLevel="0" collapsed="false">
      <c r="A1136" s="32" t="str">
        <f aca="false">IF(L1136="","",ROW()-4)</f>
        <v/>
      </c>
      <c r="B1136" s="58" t="str">
        <f aca="false">IF(L1136="","",IF(INDEX(ポート振替表!$W$5:$W$3507,$L1136)="","(なし)",INDEX(ポート振替表!$W$5:$W$3507,$L1136)&amp;""))</f>
        <v/>
      </c>
      <c r="C1136" s="52" t="str">
        <f aca="false">IF(L1136="","",INDEX(ポート振替表!$B$5:$B$3507,$L1136)&amp;" "&amp;INDEX(ポート振替表!$C$5:$C$3507,$L1136)&amp;"  ⇔  "&amp;INDEX(ポート振替表!$H$5:$H$3507,$L1136)&amp;" "&amp;INDEX(ポート振替表!$I$5:$I$3507,$L1136))</f>
        <v/>
      </c>
      <c r="D1136" s="57" t="s">
        <v>158</v>
      </c>
      <c r="E1136" s="59" t="str">
        <f aca="false">IF(L1136="","",IF(INDEX(ポート振替表!$O$5:$O$3507,$L1136)="","(未設定)",INDEX(ポート振替表!$O$5:$O$3507,$L1136)&amp;""))</f>
        <v/>
      </c>
      <c r="F1136" s="52" t="str">
        <f aca="false">IF(L1136="","",INDEX(ポート振替表!$K$5:$K$3507,$L1136)&amp;" "&amp;INDEX(ポート振替表!$L$5:$L$3507,$L1136)&amp;"  ⇔  "&amp;INDEX(ポート振替表!$H$5:$H$3507,$L1136)&amp;" "&amp;INDEX(ポート振替表!$I$5:$I$3507,$L1136))</f>
        <v/>
      </c>
      <c r="G1136" s="57" t="s">
        <v>158</v>
      </c>
      <c r="H1136" s="32" t="str">
        <f aca="false">IF(L1136="","",INDEX(ポート振替表!$N$5:$N$3507,$L1136)&amp;"")</f>
        <v/>
      </c>
      <c r="I1136" s="32" t="str">
        <f aca="false">IF(L1136="","",INDEX(ポート振替表!$P$5:$P$3507,$L1136)&amp;"")</f>
        <v/>
      </c>
      <c r="J1136" s="60" t="str">
        <f aca="false">IF(L1136="","",INDEX(ポート振替表!$M$5:$M$3507,$L1136)&amp;"")</f>
        <v/>
      </c>
      <c r="K1136" s="52" t="str">
        <f aca="false">IF(L1136="","",E1136&amp;CHAR(10)&amp;INDEX(ポート振替表!$K$5:$K$3507,$L1136)&amp;" "&amp;INDEX(ポート振替表!$L$5:$L$3507,$L1136)&amp;CHAR(10)&amp;"⇔ "&amp;INDEX(ポート振替表!$H$5:$H$3507,$L1136)&amp;" "&amp;INDEX(ポート振替表!$I$5:$I$3507,$L1136))</f>
        <v/>
      </c>
      <c r="L1136" s="47" t="str">
        <f aca="false">IFERROR(MATCH(ROW()-4,ポート振替表!$V$5:$V$3507,0),"")</f>
        <v/>
      </c>
    </row>
    <row r="1137" customFormat="false" ht="16.4" hidden="false" customHeight="false" outlineLevel="0" collapsed="false">
      <c r="A1137" s="32" t="str">
        <f aca="false">IF(L1137="","",ROW()-4)</f>
        <v/>
      </c>
      <c r="B1137" s="58" t="str">
        <f aca="false">IF(L1137="","",IF(INDEX(ポート振替表!$W$5:$W$3507,$L1137)="","(なし)",INDEX(ポート振替表!$W$5:$W$3507,$L1137)&amp;""))</f>
        <v/>
      </c>
      <c r="C1137" s="52" t="str">
        <f aca="false">IF(L1137="","",INDEX(ポート振替表!$B$5:$B$3507,$L1137)&amp;" "&amp;INDEX(ポート振替表!$C$5:$C$3507,$L1137)&amp;"  ⇔  "&amp;INDEX(ポート振替表!$H$5:$H$3507,$L1137)&amp;" "&amp;INDEX(ポート振替表!$I$5:$I$3507,$L1137))</f>
        <v/>
      </c>
      <c r="D1137" s="57" t="s">
        <v>158</v>
      </c>
      <c r="E1137" s="59" t="str">
        <f aca="false">IF(L1137="","",IF(INDEX(ポート振替表!$O$5:$O$3507,$L1137)="","(未設定)",INDEX(ポート振替表!$O$5:$O$3507,$L1137)&amp;""))</f>
        <v/>
      </c>
      <c r="F1137" s="52" t="str">
        <f aca="false">IF(L1137="","",INDEX(ポート振替表!$K$5:$K$3507,$L1137)&amp;" "&amp;INDEX(ポート振替表!$L$5:$L$3507,$L1137)&amp;"  ⇔  "&amp;INDEX(ポート振替表!$H$5:$H$3507,$L1137)&amp;" "&amp;INDEX(ポート振替表!$I$5:$I$3507,$L1137))</f>
        <v/>
      </c>
      <c r="G1137" s="57" t="s">
        <v>158</v>
      </c>
      <c r="H1137" s="32" t="str">
        <f aca="false">IF(L1137="","",INDEX(ポート振替表!$N$5:$N$3507,$L1137)&amp;"")</f>
        <v/>
      </c>
      <c r="I1137" s="32" t="str">
        <f aca="false">IF(L1137="","",INDEX(ポート振替表!$P$5:$P$3507,$L1137)&amp;"")</f>
        <v/>
      </c>
      <c r="J1137" s="60" t="str">
        <f aca="false">IF(L1137="","",INDEX(ポート振替表!$M$5:$M$3507,$L1137)&amp;"")</f>
        <v/>
      </c>
      <c r="K1137" s="52" t="str">
        <f aca="false">IF(L1137="","",E1137&amp;CHAR(10)&amp;INDEX(ポート振替表!$K$5:$K$3507,$L1137)&amp;" "&amp;INDEX(ポート振替表!$L$5:$L$3507,$L1137)&amp;CHAR(10)&amp;"⇔ "&amp;INDEX(ポート振替表!$H$5:$H$3507,$L1137)&amp;" "&amp;INDEX(ポート振替表!$I$5:$I$3507,$L1137))</f>
        <v/>
      </c>
      <c r="L1137" s="47" t="str">
        <f aca="false">IFERROR(MATCH(ROW()-4,ポート振替表!$V$5:$V$3507,0),"")</f>
        <v/>
      </c>
    </row>
    <row r="1138" customFormat="false" ht="16.4" hidden="false" customHeight="false" outlineLevel="0" collapsed="false">
      <c r="A1138" s="32" t="str">
        <f aca="false">IF(L1138="","",ROW()-4)</f>
        <v/>
      </c>
      <c r="B1138" s="58" t="str">
        <f aca="false">IF(L1138="","",IF(INDEX(ポート振替表!$W$5:$W$3507,$L1138)="","(なし)",INDEX(ポート振替表!$W$5:$W$3507,$L1138)&amp;""))</f>
        <v/>
      </c>
      <c r="C1138" s="52" t="str">
        <f aca="false">IF(L1138="","",INDEX(ポート振替表!$B$5:$B$3507,$L1138)&amp;" "&amp;INDEX(ポート振替表!$C$5:$C$3507,$L1138)&amp;"  ⇔  "&amp;INDEX(ポート振替表!$H$5:$H$3507,$L1138)&amp;" "&amp;INDEX(ポート振替表!$I$5:$I$3507,$L1138))</f>
        <v/>
      </c>
      <c r="D1138" s="57" t="s">
        <v>158</v>
      </c>
      <c r="E1138" s="59" t="str">
        <f aca="false">IF(L1138="","",IF(INDEX(ポート振替表!$O$5:$O$3507,$L1138)="","(未設定)",INDEX(ポート振替表!$O$5:$O$3507,$L1138)&amp;""))</f>
        <v/>
      </c>
      <c r="F1138" s="52" t="str">
        <f aca="false">IF(L1138="","",INDEX(ポート振替表!$K$5:$K$3507,$L1138)&amp;" "&amp;INDEX(ポート振替表!$L$5:$L$3507,$L1138)&amp;"  ⇔  "&amp;INDEX(ポート振替表!$H$5:$H$3507,$L1138)&amp;" "&amp;INDEX(ポート振替表!$I$5:$I$3507,$L1138))</f>
        <v/>
      </c>
      <c r="G1138" s="57" t="s">
        <v>158</v>
      </c>
      <c r="H1138" s="32" t="str">
        <f aca="false">IF(L1138="","",INDEX(ポート振替表!$N$5:$N$3507,$L1138)&amp;"")</f>
        <v/>
      </c>
      <c r="I1138" s="32" t="str">
        <f aca="false">IF(L1138="","",INDEX(ポート振替表!$P$5:$P$3507,$L1138)&amp;"")</f>
        <v/>
      </c>
      <c r="J1138" s="60" t="str">
        <f aca="false">IF(L1138="","",INDEX(ポート振替表!$M$5:$M$3507,$L1138)&amp;"")</f>
        <v/>
      </c>
      <c r="K1138" s="52" t="str">
        <f aca="false">IF(L1138="","",E1138&amp;CHAR(10)&amp;INDEX(ポート振替表!$K$5:$K$3507,$L1138)&amp;" "&amp;INDEX(ポート振替表!$L$5:$L$3507,$L1138)&amp;CHAR(10)&amp;"⇔ "&amp;INDEX(ポート振替表!$H$5:$H$3507,$L1138)&amp;" "&amp;INDEX(ポート振替表!$I$5:$I$3507,$L1138))</f>
        <v/>
      </c>
      <c r="L1138" s="47" t="str">
        <f aca="false">IFERROR(MATCH(ROW()-4,ポート振替表!$V$5:$V$3507,0),"")</f>
        <v/>
      </c>
    </row>
    <row r="1139" customFormat="false" ht="16.4" hidden="false" customHeight="false" outlineLevel="0" collapsed="false">
      <c r="A1139" s="32" t="str">
        <f aca="false">IF(L1139="","",ROW()-4)</f>
        <v/>
      </c>
      <c r="B1139" s="58" t="str">
        <f aca="false">IF(L1139="","",IF(INDEX(ポート振替表!$W$5:$W$3507,$L1139)="","(なし)",INDEX(ポート振替表!$W$5:$W$3507,$L1139)&amp;""))</f>
        <v/>
      </c>
      <c r="C1139" s="52" t="str">
        <f aca="false">IF(L1139="","",INDEX(ポート振替表!$B$5:$B$3507,$L1139)&amp;" "&amp;INDEX(ポート振替表!$C$5:$C$3507,$L1139)&amp;"  ⇔  "&amp;INDEX(ポート振替表!$H$5:$H$3507,$L1139)&amp;" "&amp;INDEX(ポート振替表!$I$5:$I$3507,$L1139))</f>
        <v/>
      </c>
      <c r="D1139" s="57" t="s">
        <v>158</v>
      </c>
      <c r="E1139" s="59" t="str">
        <f aca="false">IF(L1139="","",IF(INDEX(ポート振替表!$O$5:$O$3507,$L1139)="","(未設定)",INDEX(ポート振替表!$O$5:$O$3507,$L1139)&amp;""))</f>
        <v/>
      </c>
      <c r="F1139" s="52" t="str">
        <f aca="false">IF(L1139="","",INDEX(ポート振替表!$K$5:$K$3507,$L1139)&amp;" "&amp;INDEX(ポート振替表!$L$5:$L$3507,$L1139)&amp;"  ⇔  "&amp;INDEX(ポート振替表!$H$5:$H$3507,$L1139)&amp;" "&amp;INDEX(ポート振替表!$I$5:$I$3507,$L1139))</f>
        <v/>
      </c>
      <c r="G1139" s="57" t="s">
        <v>158</v>
      </c>
      <c r="H1139" s="32" t="str">
        <f aca="false">IF(L1139="","",INDEX(ポート振替表!$N$5:$N$3507,$L1139)&amp;"")</f>
        <v/>
      </c>
      <c r="I1139" s="32" t="str">
        <f aca="false">IF(L1139="","",INDEX(ポート振替表!$P$5:$P$3507,$L1139)&amp;"")</f>
        <v/>
      </c>
      <c r="J1139" s="60" t="str">
        <f aca="false">IF(L1139="","",INDEX(ポート振替表!$M$5:$M$3507,$L1139)&amp;"")</f>
        <v/>
      </c>
      <c r="K1139" s="52" t="str">
        <f aca="false">IF(L1139="","",E1139&amp;CHAR(10)&amp;INDEX(ポート振替表!$K$5:$K$3507,$L1139)&amp;" "&amp;INDEX(ポート振替表!$L$5:$L$3507,$L1139)&amp;CHAR(10)&amp;"⇔ "&amp;INDEX(ポート振替表!$H$5:$H$3507,$L1139)&amp;" "&amp;INDEX(ポート振替表!$I$5:$I$3507,$L1139))</f>
        <v/>
      </c>
      <c r="L1139" s="47" t="str">
        <f aca="false">IFERROR(MATCH(ROW()-4,ポート振替表!$V$5:$V$3507,0),"")</f>
        <v/>
      </c>
    </row>
    <row r="1140" customFormat="false" ht="16.4" hidden="false" customHeight="false" outlineLevel="0" collapsed="false">
      <c r="A1140" s="32" t="str">
        <f aca="false">IF(L1140="","",ROW()-4)</f>
        <v/>
      </c>
      <c r="B1140" s="58" t="str">
        <f aca="false">IF(L1140="","",IF(INDEX(ポート振替表!$W$5:$W$3507,$L1140)="","(なし)",INDEX(ポート振替表!$W$5:$W$3507,$L1140)&amp;""))</f>
        <v/>
      </c>
      <c r="C1140" s="52" t="str">
        <f aca="false">IF(L1140="","",INDEX(ポート振替表!$B$5:$B$3507,$L1140)&amp;" "&amp;INDEX(ポート振替表!$C$5:$C$3507,$L1140)&amp;"  ⇔  "&amp;INDEX(ポート振替表!$H$5:$H$3507,$L1140)&amp;" "&amp;INDEX(ポート振替表!$I$5:$I$3507,$L1140))</f>
        <v/>
      </c>
      <c r="D1140" s="57" t="s">
        <v>158</v>
      </c>
      <c r="E1140" s="59" t="str">
        <f aca="false">IF(L1140="","",IF(INDEX(ポート振替表!$O$5:$O$3507,$L1140)="","(未設定)",INDEX(ポート振替表!$O$5:$O$3507,$L1140)&amp;""))</f>
        <v/>
      </c>
      <c r="F1140" s="52" t="str">
        <f aca="false">IF(L1140="","",INDEX(ポート振替表!$K$5:$K$3507,$L1140)&amp;" "&amp;INDEX(ポート振替表!$L$5:$L$3507,$L1140)&amp;"  ⇔  "&amp;INDEX(ポート振替表!$H$5:$H$3507,$L1140)&amp;" "&amp;INDEX(ポート振替表!$I$5:$I$3507,$L1140))</f>
        <v/>
      </c>
      <c r="G1140" s="57" t="s">
        <v>158</v>
      </c>
      <c r="H1140" s="32" t="str">
        <f aca="false">IF(L1140="","",INDEX(ポート振替表!$N$5:$N$3507,$L1140)&amp;"")</f>
        <v/>
      </c>
      <c r="I1140" s="32" t="str">
        <f aca="false">IF(L1140="","",INDEX(ポート振替表!$P$5:$P$3507,$L1140)&amp;"")</f>
        <v/>
      </c>
      <c r="J1140" s="60" t="str">
        <f aca="false">IF(L1140="","",INDEX(ポート振替表!$M$5:$M$3507,$L1140)&amp;"")</f>
        <v/>
      </c>
      <c r="K1140" s="52" t="str">
        <f aca="false">IF(L1140="","",E1140&amp;CHAR(10)&amp;INDEX(ポート振替表!$K$5:$K$3507,$L1140)&amp;" "&amp;INDEX(ポート振替表!$L$5:$L$3507,$L1140)&amp;CHAR(10)&amp;"⇔ "&amp;INDEX(ポート振替表!$H$5:$H$3507,$L1140)&amp;" "&amp;INDEX(ポート振替表!$I$5:$I$3507,$L1140))</f>
        <v/>
      </c>
      <c r="L1140" s="47" t="str">
        <f aca="false">IFERROR(MATCH(ROW()-4,ポート振替表!$V$5:$V$3507,0),"")</f>
        <v/>
      </c>
    </row>
    <row r="1141" customFormat="false" ht="16.4" hidden="false" customHeight="false" outlineLevel="0" collapsed="false">
      <c r="A1141" s="32" t="str">
        <f aca="false">IF(L1141="","",ROW()-4)</f>
        <v/>
      </c>
      <c r="B1141" s="58" t="str">
        <f aca="false">IF(L1141="","",IF(INDEX(ポート振替表!$W$5:$W$3507,$L1141)="","(なし)",INDEX(ポート振替表!$W$5:$W$3507,$L1141)&amp;""))</f>
        <v/>
      </c>
      <c r="C1141" s="52" t="str">
        <f aca="false">IF(L1141="","",INDEX(ポート振替表!$B$5:$B$3507,$L1141)&amp;" "&amp;INDEX(ポート振替表!$C$5:$C$3507,$L1141)&amp;"  ⇔  "&amp;INDEX(ポート振替表!$H$5:$H$3507,$L1141)&amp;" "&amp;INDEX(ポート振替表!$I$5:$I$3507,$L1141))</f>
        <v/>
      </c>
      <c r="D1141" s="57" t="s">
        <v>158</v>
      </c>
      <c r="E1141" s="59" t="str">
        <f aca="false">IF(L1141="","",IF(INDEX(ポート振替表!$O$5:$O$3507,$L1141)="","(未設定)",INDEX(ポート振替表!$O$5:$O$3507,$L1141)&amp;""))</f>
        <v/>
      </c>
      <c r="F1141" s="52" t="str">
        <f aca="false">IF(L1141="","",INDEX(ポート振替表!$K$5:$K$3507,$L1141)&amp;" "&amp;INDEX(ポート振替表!$L$5:$L$3507,$L1141)&amp;"  ⇔  "&amp;INDEX(ポート振替表!$H$5:$H$3507,$L1141)&amp;" "&amp;INDEX(ポート振替表!$I$5:$I$3507,$L1141))</f>
        <v/>
      </c>
      <c r="G1141" s="57" t="s">
        <v>158</v>
      </c>
      <c r="H1141" s="32" t="str">
        <f aca="false">IF(L1141="","",INDEX(ポート振替表!$N$5:$N$3507,$L1141)&amp;"")</f>
        <v/>
      </c>
      <c r="I1141" s="32" t="str">
        <f aca="false">IF(L1141="","",INDEX(ポート振替表!$P$5:$P$3507,$L1141)&amp;"")</f>
        <v/>
      </c>
      <c r="J1141" s="60" t="str">
        <f aca="false">IF(L1141="","",INDEX(ポート振替表!$M$5:$M$3507,$L1141)&amp;"")</f>
        <v/>
      </c>
      <c r="K1141" s="52" t="str">
        <f aca="false">IF(L1141="","",E1141&amp;CHAR(10)&amp;INDEX(ポート振替表!$K$5:$K$3507,$L1141)&amp;" "&amp;INDEX(ポート振替表!$L$5:$L$3507,$L1141)&amp;CHAR(10)&amp;"⇔ "&amp;INDEX(ポート振替表!$H$5:$H$3507,$L1141)&amp;" "&amp;INDEX(ポート振替表!$I$5:$I$3507,$L1141))</f>
        <v/>
      </c>
      <c r="L1141" s="47" t="str">
        <f aca="false">IFERROR(MATCH(ROW()-4,ポート振替表!$V$5:$V$3507,0),"")</f>
        <v/>
      </c>
    </row>
    <row r="1142" customFormat="false" ht="16.4" hidden="false" customHeight="false" outlineLevel="0" collapsed="false">
      <c r="A1142" s="32" t="str">
        <f aca="false">IF(L1142="","",ROW()-4)</f>
        <v/>
      </c>
      <c r="B1142" s="58" t="str">
        <f aca="false">IF(L1142="","",IF(INDEX(ポート振替表!$W$5:$W$3507,$L1142)="","(なし)",INDEX(ポート振替表!$W$5:$W$3507,$L1142)&amp;""))</f>
        <v/>
      </c>
      <c r="C1142" s="52" t="str">
        <f aca="false">IF(L1142="","",INDEX(ポート振替表!$B$5:$B$3507,$L1142)&amp;" "&amp;INDEX(ポート振替表!$C$5:$C$3507,$L1142)&amp;"  ⇔  "&amp;INDEX(ポート振替表!$H$5:$H$3507,$L1142)&amp;" "&amp;INDEX(ポート振替表!$I$5:$I$3507,$L1142))</f>
        <v/>
      </c>
      <c r="D1142" s="57" t="s">
        <v>158</v>
      </c>
      <c r="E1142" s="59" t="str">
        <f aca="false">IF(L1142="","",IF(INDEX(ポート振替表!$O$5:$O$3507,$L1142)="","(未設定)",INDEX(ポート振替表!$O$5:$O$3507,$L1142)&amp;""))</f>
        <v/>
      </c>
      <c r="F1142" s="52" t="str">
        <f aca="false">IF(L1142="","",INDEX(ポート振替表!$K$5:$K$3507,$L1142)&amp;" "&amp;INDEX(ポート振替表!$L$5:$L$3507,$L1142)&amp;"  ⇔  "&amp;INDEX(ポート振替表!$H$5:$H$3507,$L1142)&amp;" "&amp;INDEX(ポート振替表!$I$5:$I$3507,$L1142))</f>
        <v/>
      </c>
      <c r="G1142" s="57" t="s">
        <v>158</v>
      </c>
      <c r="H1142" s="32" t="str">
        <f aca="false">IF(L1142="","",INDEX(ポート振替表!$N$5:$N$3507,$L1142)&amp;"")</f>
        <v/>
      </c>
      <c r="I1142" s="32" t="str">
        <f aca="false">IF(L1142="","",INDEX(ポート振替表!$P$5:$P$3507,$L1142)&amp;"")</f>
        <v/>
      </c>
      <c r="J1142" s="60" t="str">
        <f aca="false">IF(L1142="","",INDEX(ポート振替表!$M$5:$M$3507,$L1142)&amp;"")</f>
        <v/>
      </c>
      <c r="K1142" s="52" t="str">
        <f aca="false">IF(L1142="","",E1142&amp;CHAR(10)&amp;INDEX(ポート振替表!$K$5:$K$3507,$L1142)&amp;" "&amp;INDEX(ポート振替表!$L$5:$L$3507,$L1142)&amp;CHAR(10)&amp;"⇔ "&amp;INDEX(ポート振替表!$H$5:$H$3507,$L1142)&amp;" "&amp;INDEX(ポート振替表!$I$5:$I$3507,$L1142))</f>
        <v/>
      </c>
      <c r="L1142" s="47" t="str">
        <f aca="false">IFERROR(MATCH(ROW()-4,ポート振替表!$V$5:$V$3507,0),"")</f>
        <v/>
      </c>
    </row>
    <row r="1143" customFormat="false" ht="16.4" hidden="false" customHeight="false" outlineLevel="0" collapsed="false">
      <c r="A1143" s="32" t="str">
        <f aca="false">IF(L1143="","",ROW()-4)</f>
        <v/>
      </c>
      <c r="B1143" s="58" t="str">
        <f aca="false">IF(L1143="","",IF(INDEX(ポート振替表!$W$5:$W$3507,$L1143)="","(なし)",INDEX(ポート振替表!$W$5:$W$3507,$L1143)&amp;""))</f>
        <v/>
      </c>
      <c r="C1143" s="52" t="str">
        <f aca="false">IF(L1143="","",INDEX(ポート振替表!$B$5:$B$3507,$L1143)&amp;" "&amp;INDEX(ポート振替表!$C$5:$C$3507,$L1143)&amp;"  ⇔  "&amp;INDEX(ポート振替表!$H$5:$H$3507,$L1143)&amp;" "&amp;INDEX(ポート振替表!$I$5:$I$3507,$L1143))</f>
        <v/>
      </c>
      <c r="D1143" s="57" t="s">
        <v>158</v>
      </c>
      <c r="E1143" s="59" t="str">
        <f aca="false">IF(L1143="","",IF(INDEX(ポート振替表!$O$5:$O$3507,$L1143)="","(未設定)",INDEX(ポート振替表!$O$5:$O$3507,$L1143)&amp;""))</f>
        <v/>
      </c>
      <c r="F1143" s="52" t="str">
        <f aca="false">IF(L1143="","",INDEX(ポート振替表!$K$5:$K$3507,$L1143)&amp;" "&amp;INDEX(ポート振替表!$L$5:$L$3507,$L1143)&amp;"  ⇔  "&amp;INDEX(ポート振替表!$H$5:$H$3507,$L1143)&amp;" "&amp;INDEX(ポート振替表!$I$5:$I$3507,$L1143))</f>
        <v/>
      </c>
      <c r="G1143" s="57" t="s">
        <v>158</v>
      </c>
      <c r="H1143" s="32" t="str">
        <f aca="false">IF(L1143="","",INDEX(ポート振替表!$N$5:$N$3507,$L1143)&amp;"")</f>
        <v/>
      </c>
      <c r="I1143" s="32" t="str">
        <f aca="false">IF(L1143="","",INDEX(ポート振替表!$P$5:$P$3507,$L1143)&amp;"")</f>
        <v/>
      </c>
      <c r="J1143" s="60" t="str">
        <f aca="false">IF(L1143="","",INDEX(ポート振替表!$M$5:$M$3507,$L1143)&amp;"")</f>
        <v/>
      </c>
      <c r="K1143" s="52" t="str">
        <f aca="false">IF(L1143="","",E1143&amp;CHAR(10)&amp;INDEX(ポート振替表!$K$5:$K$3507,$L1143)&amp;" "&amp;INDEX(ポート振替表!$L$5:$L$3507,$L1143)&amp;CHAR(10)&amp;"⇔ "&amp;INDEX(ポート振替表!$H$5:$H$3507,$L1143)&amp;" "&amp;INDEX(ポート振替表!$I$5:$I$3507,$L1143))</f>
        <v/>
      </c>
      <c r="L1143" s="47" t="str">
        <f aca="false">IFERROR(MATCH(ROW()-4,ポート振替表!$V$5:$V$3507,0),"")</f>
        <v/>
      </c>
    </row>
    <row r="1144" customFormat="false" ht="16.4" hidden="false" customHeight="false" outlineLevel="0" collapsed="false">
      <c r="A1144" s="32" t="str">
        <f aca="false">IF(L1144="","",ROW()-4)</f>
        <v/>
      </c>
      <c r="B1144" s="58" t="str">
        <f aca="false">IF(L1144="","",IF(INDEX(ポート振替表!$W$5:$W$3507,$L1144)="","(なし)",INDEX(ポート振替表!$W$5:$W$3507,$L1144)&amp;""))</f>
        <v/>
      </c>
      <c r="C1144" s="52" t="str">
        <f aca="false">IF(L1144="","",INDEX(ポート振替表!$B$5:$B$3507,$L1144)&amp;" "&amp;INDEX(ポート振替表!$C$5:$C$3507,$L1144)&amp;"  ⇔  "&amp;INDEX(ポート振替表!$H$5:$H$3507,$L1144)&amp;" "&amp;INDEX(ポート振替表!$I$5:$I$3507,$L1144))</f>
        <v/>
      </c>
      <c r="D1144" s="57" t="s">
        <v>158</v>
      </c>
      <c r="E1144" s="59" t="str">
        <f aca="false">IF(L1144="","",IF(INDEX(ポート振替表!$O$5:$O$3507,$L1144)="","(未設定)",INDEX(ポート振替表!$O$5:$O$3507,$L1144)&amp;""))</f>
        <v/>
      </c>
      <c r="F1144" s="52" t="str">
        <f aca="false">IF(L1144="","",INDEX(ポート振替表!$K$5:$K$3507,$L1144)&amp;" "&amp;INDEX(ポート振替表!$L$5:$L$3507,$L1144)&amp;"  ⇔  "&amp;INDEX(ポート振替表!$H$5:$H$3507,$L1144)&amp;" "&amp;INDEX(ポート振替表!$I$5:$I$3507,$L1144))</f>
        <v/>
      </c>
      <c r="G1144" s="57" t="s">
        <v>158</v>
      </c>
      <c r="H1144" s="32" t="str">
        <f aca="false">IF(L1144="","",INDEX(ポート振替表!$N$5:$N$3507,$L1144)&amp;"")</f>
        <v/>
      </c>
      <c r="I1144" s="32" t="str">
        <f aca="false">IF(L1144="","",INDEX(ポート振替表!$P$5:$P$3507,$L1144)&amp;"")</f>
        <v/>
      </c>
      <c r="J1144" s="60" t="str">
        <f aca="false">IF(L1144="","",INDEX(ポート振替表!$M$5:$M$3507,$L1144)&amp;"")</f>
        <v/>
      </c>
      <c r="K1144" s="52" t="str">
        <f aca="false">IF(L1144="","",E1144&amp;CHAR(10)&amp;INDEX(ポート振替表!$K$5:$K$3507,$L1144)&amp;" "&amp;INDEX(ポート振替表!$L$5:$L$3507,$L1144)&amp;CHAR(10)&amp;"⇔ "&amp;INDEX(ポート振替表!$H$5:$H$3507,$L1144)&amp;" "&amp;INDEX(ポート振替表!$I$5:$I$3507,$L1144))</f>
        <v/>
      </c>
      <c r="L1144" s="47" t="str">
        <f aca="false">IFERROR(MATCH(ROW()-4,ポート振替表!$V$5:$V$3507,0),"")</f>
        <v/>
      </c>
    </row>
    <row r="1145" customFormat="false" ht="16.4" hidden="false" customHeight="false" outlineLevel="0" collapsed="false">
      <c r="A1145" s="32" t="str">
        <f aca="false">IF(L1145="","",ROW()-4)</f>
        <v/>
      </c>
      <c r="B1145" s="58" t="str">
        <f aca="false">IF(L1145="","",IF(INDEX(ポート振替表!$W$5:$W$3507,$L1145)="","(なし)",INDEX(ポート振替表!$W$5:$W$3507,$L1145)&amp;""))</f>
        <v/>
      </c>
      <c r="C1145" s="52" t="str">
        <f aca="false">IF(L1145="","",INDEX(ポート振替表!$B$5:$B$3507,$L1145)&amp;" "&amp;INDEX(ポート振替表!$C$5:$C$3507,$L1145)&amp;"  ⇔  "&amp;INDEX(ポート振替表!$H$5:$H$3507,$L1145)&amp;" "&amp;INDEX(ポート振替表!$I$5:$I$3507,$L1145))</f>
        <v/>
      </c>
      <c r="D1145" s="57" t="s">
        <v>158</v>
      </c>
      <c r="E1145" s="59" t="str">
        <f aca="false">IF(L1145="","",IF(INDEX(ポート振替表!$O$5:$O$3507,$L1145)="","(未設定)",INDEX(ポート振替表!$O$5:$O$3507,$L1145)&amp;""))</f>
        <v/>
      </c>
      <c r="F1145" s="52" t="str">
        <f aca="false">IF(L1145="","",INDEX(ポート振替表!$K$5:$K$3507,$L1145)&amp;" "&amp;INDEX(ポート振替表!$L$5:$L$3507,$L1145)&amp;"  ⇔  "&amp;INDEX(ポート振替表!$H$5:$H$3507,$L1145)&amp;" "&amp;INDEX(ポート振替表!$I$5:$I$3507,$L1145))</f>
        <v/>
      </c>
      <c r="G1145" s="57" t="s">
        <v>158</v>
      </c>
      <c r="H1145" s="32" t="str">
        <f aca="false">IF(L1145="","",INDEX(ポート振替表!$N$5:$N$3507,$L1145)&amp;"")</f>
        <v/>
      </c>
      <c r="I1145" s="32" t="str">
        <f aca="false">IF(L1145="","",INDEX(ポート振替表!$P$5:$P$3507,$L1145)&amp;"")</f>
        <v/>
      </c>
      <c r="J1145" s="60" t="str">
        <f aca="false">IF(L1145="","",INDEX(ポート振替表!$M$5:$M$3507,$L1145)&amp;"")</f>
        <v/>
      </c>
      <c r="K1145" s="52" t="str">
        <f aca="false">IF(L1145="","",E1145&amp;CHAR(10)&amp;INDEX(ポート振替表!$K$5:$K$3507,$L1145)&amp;" "&amp;INDEX(ポート振替表!$L$5:$L$3507,$L1145)&amp;CHAR(10)&amp;"⇔ "&amp;INDEX(ポート振替表!$H$5:$H$3507,$L1145)&amp;" "&amp;INDEX(ポート振替表!$I$5:$I$3507,$L1145))</f>
        <v/>
      </c>
      <c r="L1145" s="47" t="str">
        <f aca="false">IFERROR(MATCH(ROW()-4,ポート振替表!$V$5:$V$3507,0),"")</f>
        <v/>
      </c>
    </row>
    <row r="1146" customFormat="false" ht="16.4" hidden="false" customHeight="false" outlineLevel="0" collapsed="false">
      <c r="A1146" s="32" t="str">
        <f aca="false">IF(L1146="","",ROW()-4)</f>
        <v/>
      </c>
      <c r="B1146" s="58" t="str">
        <f aca="false">IF(L1146="","",IF(INDEX(ポート振替表!$W$5:$W$3507,$L1146)="","(なし)",INDEX(ポート振替表!$W$5:$W$3507,$L1146)&amp;""))</f>
        <v/>
      </c>
      <c r="C1146" s="52" t="str">
        <f aca="false">IF(L1146="","",INDEX(ポート振替表!$B$5:$B$3507,$L1146)&amp;" "&amp;INDEX(ポート振替表!$C$5:$C$3507,$L1146)&amp;"  ⇔  "&amp;INDEX(ポート振替表!$H$5:$H$3507,$L1146)&amp;" "&amp;INDEX(ポート振替表!$I$5:$I$3507,$L1146))</f>
        <v/>
      </c>
      <c r="D1146" s="57" t="s">
        <v>158</v>
      </c>
      <c r="E1146" s="59" t="str">
        <f aca="false">IF(L1146="","",IF(INDEX(ポート振替表!$O$5:$O$3507,$L1146)="","(未設定)",INDEX(ポート振替表!$O$5:$O$3507,$L1146)&amp;""))</f>
        <v/>
      </c>
      <c r="F1146" s="52" t="str">
        <f aca="false">IF(L1146="","",INDEX(ポート振替表!$K$5:$K$3507,$L1146)&amp;" "&amp;INDEX(ポート振替表!$L$5:$L$3507,$L1146)&amp;"  ⇔  "&amp;INDEX(ポート振替表!$H$5:$H$3507,$L1146)&amp;" "&amp;INDEX(ポート振替表!$I$5:$I$3507,$L1146))</f>
        <v/>
      </c>
      <c r="G1146" s="57" t="s">
        <v>158</v>
      </c>
      <c r="H1146" s="32" t="str">
        <f aca="false">IF(L1146="","",INDEX(ポート振替表!$N$5:$N$3507,$L1146)&amp;"")</f>
        <v/>
      </c>
      <c r="I1146" s="32" t="str">
        <f aca="false">IF(L1146="","",INDEX(ポート振替表!$P$5:$P$3507,$L1146)&amp;"")</f>
        <v/>
      </c>
      <c r="J1146" s="60" t="str">
        <f aca="false">IF(L1146="","",INDEX(ポート振替表!$M$5:$M$3507,$L1146)&amp;"")</f>
        <v/>
      </c>
      <c r="K1146" s="52" t="str">
        <f aca="false">IF(L1146="","",E1146&amp;CHAR(10)&amp;INDEX(ポート振替表!$K$5:$K$3507,$L1146)&amp;" "&amp;INDEX(ポート振替表!$L$5:$L$3507,$L1146)&amp;CHAR(10)&amp;"⇔ "&amp;INDEX(ポート振替表!$H$5:$H$3507,$L1146)&amp;" "&amp;INDEX(ポート振替表!$I$5:$I$3507,$L1146))</f>
        <v/>
      </c>
      <c r="L1146" s="47" t="str">
        <f aca="false">IFERROR(MATCH(ROW()-4,ポート振替表!$V$5:$V$3507,0),"")</f>
        <v/>
      </c>
    </row>
    <row r="1147" customFormat="false" ht="16.4" hidden="false" customHeight="false" outlineLevel="0" collapsed="false">
      <c r="A1147" s="32" t="str">
        <f aca="false">IF(L1147="","",ROW()-4)</f>
        <v/>
      </c>
      <c r="B1147" s="58" t="str">
        <f aca="false">IF(L1147="","",IF(INDEX(ポート振替表!$W$5:$W$3507,$L1147)="","(なし)",INDEX(ポート振替表!$W$5:$W$3507,$L1147)&amp;""))</f>
        <v/>
      </c>
      <c r="C1147" s="52" t="str">
        <f aca="false">IF(L1147="","",INDEX(ポート振替表!$B$5:$B$3507,$L1147)&amp;" "&amp;INDEX(ポート振替表!$C$5:$C$3507,$L1147)&amp;"  ⇔  "&amp;INDEX(ポート振替表!$H$5:$H$3507,$L1147)&amp;" "&amp;INDEX(ポート振替表!$I$5:$I$3507,$L1147))</f>
        <v/>
      </c>
      <c r="D1147" s="57" t="s">
        <v>158</v>
      </c>
      <c r="E1147" s="59" t="str">
        <f aca="false">IF(L1147="","",IF(INDEX(ポート振替表!$O$5:$O$3507,$L1147)="","(未設定)",INDEX(ポート振替表!$O$5:$O$3507,$L1147)&amp;""))</f>
        <v/>
      </c>
      <c r="F1147" s="52" t="str">
        <f aca="false">IF(L1147="","",INDEX(ポート振替表!$K$5:$K$3507,$L1147)&amp;" "&amp;INDEX(ポート振替表!$L$5:$L$3507,$L1147)&amp;"  ⇔  "&amp;INDEX(ポート振替表!$H$5:$H$3507,$L1147)&amp;" "&amp;INDEX(ポート振替表!$I$5:$I$3507,$L1147))</f>
        <v/>
      </c>
      <c r="G1147" s="57" t="s">
        <v>158</v>
      </c>
      <c r="H1147" s="32" t="str">
        <f aca="false">IF(L1147="","",INDEX(ポート振替表!$N$5:$N$3507,$L1147)&amp;"")</f>
        <v/>
      </c>
      <c r="I1147" s="32" t="str">
        <f aca="false">IF(L1147="","",INDEX(ポート振替表!$P$5:$P$3507,$L1147)&amp;"")</f>
        <v/>
      </c>
      <c r="J1147" s="60" t="str">
        <f aca="false">IF(L1147="","",INDEX(ポート振替表!$M$5:$M$3507,$L1147)&amp;"")</f>
        <v/>
      </c>
      <c r="K1147" s="52" t="str">
        <f aca="false">IF(L1147="","",E1147&amp;CHAR(10)&amp;INDEX(ポート振替表!$K$5:$K$3507,$L1147)&amp;" "&amp;INDEX(ポート振替表!$L$5:$L$3507,$L1147)&amp;CHAR(10)&amp;"⇔ "&amp;INDEX(ポート振替表!$H$5:$H$3507,$L1147)&amp;" "&amp;INDEX(ポート振替表!$I$5:$I$3507,$L1147))</f>
        <v/>
      </c>
      <c r="L1147" s="47" t="str">
        <f aca="false">IFERROR(MATCH(ROW()-4,ポート振替表!$V$5:$V$3507,0),"")</f>
        <v/>
      </c>
    </row>
    <row r="1148" customFormat="false" ht="16.4" hidden="false" customHeight="false" outlineLevel="0" collapsed="false">
      <c r="A1148" s="32" t="str">
        <f aca="false">IF(L1148="","",ROW()-4)</f>
        <v/>
      </c>
      <c r="B1148" s="58" t="str">
        <f aca="false">IF(L1148="","",IF(INDEX(ポート振替表!$W$5:$W$3507,$L1148)="","(なし)",INDEX(ポート振替表!$W$5:$W$3507,$L1148)&amp;""))</f>
        <v/>
      </c>
      <c r="C1148" s="52" t="str">
        <f aca="false">IF(L1148="","",INDEX(ポート振替表!$B$5:$B$3507,$L1148)&amp;" "&amp;INDEX(ポート振替表!$C$5:$C$3507,$L1148)&amp;"  ⇔  "&amp;INDEX(ポート振替表!$H$5:$H$3507,$L1148)&amp;" "&amp;INDEX(ポート振替表!$I$5:$I$3507,$L1148))</f>
        <v/>
      </c>
      <c r="D1148" s="57" t="s">
        <v>158</v>
      </c>
      <c r="E1148" s="59" t="str">
        <f aca="false">IF(L1148="","",IF(INDEX(ポート振替表!$O$5:$O$3507,$L1148)="","(未設定)",INDEX(ポート振替表!$O$5:$O$3507,$L1148)&amp;""))</f>
        <v/>
      </c>
      <c r="F1148" s="52" t="str">
        <f aca="false">IF(L1148="","",INDEX(ポート振替表!$K$5:$K$3507,$L1148)&amp;" "&amp;INDEX(ポート振替表!$L$5:$L$3507,$L1148)&amp;"  ⇔  "&amp;INDEX(ポート振替表!$H$5:$H$3507,$L1148)&amp;" "&amp;INDEX(ポート振替表!$I$5:$I$3507,$L1148))</f>
        <v/>
      </c>
      <c r="G1148" s="57" t="s">
        <v>158</v>
      </c>
      <c r="H1148" s="32" t="str">
        <f aca="false">IF(L1148="","",INDEX(ポート振替表!$N$5:$N$3507,$L1148)&amp;"")</f>
        <v/>
      </c>
      <c r="I1148" s="32" t="str">
        <f aca="false">IF(L1148="","",INDEX(ポート振替表!$P$5:$P$3507,$L1148)&amp;"")</f>
        <v/>
      </c>
      <c r="J1148" s="60" t="str">
        <f aca="false">IF(L1148="","",INDEX(ポート振替表!$M$5:$M$3507,$L1148)&amp;"")</f>
        <v/>
      </c>
      <c r="K1148" s="52" t="str">
        <f aca="false">IF(L1148="","",E1148&amp;CHAR(10)&amp;INDEX(ポート振替表!$K$5:$K$3507,$L1148)&amp;" "&amp;INDEX(ポート振替表!$L$5:$L$3507,$L1148)&amp;CHAR(10)&amp;"⇔ "&amp;INDEX(ポート振替表!$H$5:$H$3507,$L1148)&amp;" "&amp;INDEX(ポート振替表!$I$5:$I$3507,$L1148))</f>
        <v/>
      </c>
      <c r="L1148" s="47" t="str">
        <f aca="false">IFERROR(MATCH(ROW()-4,ポート振替表!$V$5:$V$3507,0),"")</f>
        <v/>
      </c>
    </row>
    <row r="1149" customFormat="false" ht="16.4" hidden="false" customHeight="false" outlineLevel="0" collapsed="false">
      <c r="A1149" s="32" t="str">
        <f aca="false">IF(L1149="","",ROW()-4)</f>
        <v/>
      </c>
      <c r="B1149" s="58" t="str">
        <f aca="false">IF(L1149="","",IF(INDEX(ポート振替表!$W$5:$W$3507,$L1149)="","(なし)",INDEX(ポート振替表!$W$5:$W$3507,$L1149)&amp;""))</f>
        <v/>
      </c>
      <c r="C1149" s="52" t="str">
        <f aca="false">IF(L1149="","",INDEX(ポート振替表!$B$5:$B$3507,$L1149)&amp;" "&amp;INDEX(ポート振替表!$C$5:$C$3507,$L1149)&amp;"  ⇔  "&amp;INDEX(ポート振替表!$H$5:$H$3507,$L1149)&amp;" "&amp;INDEX(ポート振替表!$I$5:$I$3507,$L1149))</f>
        <v/>
      </c>
      <c r="D1149" s="57" t="s">
        <v>158</v>
      </c>
      <c r="E1149" s="59" t="str">
        <f aca="false">IF(L1149="","",IF(INDEX(ポート振替表!$O$5:$O$3507,$L1149)="","(未設定)",INDEX(ポート振替表!$O$5:$O$3507,$L1149)&amp;""))</f>
        <v/>
      </c>
      <c r="F1149" s="52" t="str">
        <f aca="false">IF(L1149="","",INDEX(ポート振替表!$K$5:$K$3507,$L1149)&amp;" "&amp;INDEX(ポート振替表!$L$5:$L$3507,$L1149)&amp;"  ⇔  "&amp;INDEX(ポート振替表!$H$5:$H$3507,$L1149)&amp;" "&amp;INDEX(ポート振替表!$I$5:$I$3507,$L1149))</f>
        <v/>
      </c>
      <c r="G1149" s="57" t="s">
        <v>158</v>
      </c>
      <c r="H1149" s="32" t="str">
        <f aca="false">IF(L1149="","",INDEX(ポート振替表!$N$5:$N$3507,$L1149)&amp;"")</f>
        <v/>
      </c>
      <c r="I1149" s="32" t="str">
        <f aca="false">IF(L1149="","",INDEX(ポート振替表!$P$5:$P$3507,$L1149)&amp;"")</f>
        <v/>
      </c>
      <c r="J1149" s="60" t="str">
        <f aca="false">IF(L1149="","",INDEX(ポート振替表!$M$5:$M$3507,$L1149)&amp;"")</f>
        <v/>
      </c>
      <c r="K1149" s="52" t="str">
        <f aca="false">IF(L1149="","",E1149&amp;CHAR(10)&amp;INDEX(ポート振替表!$K$5:$K$3507,$L1149)&amp;" "&amp;INDEX(ポート振替表!$L$5:$L$3507,$L1149)&amp;CHAR(10)&amp;"⇔ "&amp;INDEX(ポート振替表!$H$5:$H$3507,$L1149)&amp;" "&amp;INDEX(ポート振替表!$I$5:$I$3507,$L1149))</f>
        <v/>
      </c>
      <c r="L1149" s="47" t="str">
        <f aca="false">IFERROR(MATCH(ROW()-4,ポート振替表!$V$5:$V$3507,0),"")</f>
        <v/>
      </c>
    </row>
    <row r="1150" customFormat="false" ht="16.4" hidden="false" customHeight="false" outlineLevel="0" collapsed="false">
      <c r="A1150" s="32" t="str">
        <f aca="false">IF(L1150="","",ROW()-4)</f>
        <v/>
      </c>
      <c r="B1150" s="58" t="str">
        <f aca="false">IF(L1150="","",IF(INDEX(ポート振替表!$W$5:$W$3507,$L1150)="","(なし)",INDEX(ポート振替表!$W$5:$W$3507,$L1150)&amp;""))</f>
        <v/>
      </c>
      <c r="C1150" s="52" t="str">
        <f aca="false">IF(L1150="","",INDEX(ポート振替表!$B$5:$B$3507,$L1150)&amp;" "&amp;INDEX(ポート振替表!$C$5:$C$3507,$L1150)&amp;"  ⇔  "&amp;INDEX(ポート振替表!$H$5:$H$3507,$L1150)&amp;" "&amp;INDEX(ポート振替表!$I$5:$I$3507,$L1150))</f>
        <v/>
      </c>
      <c r="D1150" s="57" t="s">
        <v>158</v>
      </c>
      <c r="E1150" s="59" t="str">
        <f aca="false">IF(L1150="","",IF(INDEX(ポート振替表!$O$5:$O$3507,$L1150)="","(未設定)",INDEX(ポート振替表!$O$5:$O$3507,$L1150)&amp;""))</f>
        <v/>
      </c>
      <c r="F1150" s="52" t="str">
        <f aca="false">IF(L1150="","",INDEX(ポート振替表!$K$5:$K$3507,$L1150)&amp;" "&amp;INDEX(ポート振替表!$L$5:$L$3507,$L1150)&amp;"  ⇔  "&amp;INDEX(ポート振替表!$H$5:$H$3507,$L1150)&amp;" "&amp;INDEX(ポート振替表!$I$5:$I$3507,$L1150))</f>
        <v/>
      </c>
      <c r="G1150" s="57" t="s">
        <v>158</v>
      </c>
      <c r="H1150" s="32" t="str">
        <f aca="false">IF(L1150="","",INDEX(ポート振替表!$N$5:$N$3507,$L1150)&amp;"")</f>
        <v/>
      </c>
      <c r="I1150" s="32" t="str">
        <f aca="false">IF(L1150="","",INDEX(ポート振替表!$P$5:$P$3507,$L1150)&amp;"")</f>
        <v/>
      </c>
      <c r="J1150" s="60" t="str">
        <f aca="false">IF(L1150="","",INDEX(ポート振替表!$M$5:$M$3507,$L1150)&amp;"")</f>
        <v/>
      </c>
      <c r="K1150" s="52" t="str">
        <f aca="false">IF(L1150="","",E1150&amp;CHAR(10)&amp;INDEX(ポート振替表!$K$5:$K$3507,$L1150)&amp;" "&amp;INDEX(ポート振替表!$L$5:$L$3507,$L1150)&amp;CHAR(10)&amp;"⇔ "&amp;INDEX(ポート振替表!$H$5:$H$3507,$L1150)&amp;" "&amp;INDEX(ポート振替表!$I$5:$I$3507,$L1150))</f>
        <v/>
      </c>
      <c r="L1150" s="47" t="str">
        <f aca="false">IFERROR(MATCH(ROW()-4,ポート振替表!$V$5:$V$3507,0),"")</f>
        <v/>
      </c>
    </row>
    <row r="1151" customFormat="false" ht="16.4" hidden="false" customHeight="false" outlineLevel="0" collapsed="false">
      <c r="A1151" s="32" t="str">
        <f aca="false">IF(L1151="","",ROW()-4)</f>
        <v/>
      </c>
      <c r="B1151" s="58" t="str">
        <f aca="false">IF(L1151="","",IF(INDEX(ポート振替表!$W$5:$W$3507,$L1151)="","(なし)",INDEX(ポート振替表!$W$5:$W$3507,$L1151)&amp;""))</f>
        <v/>
      </c>
      <c r="C1151" s="52" t="str">
        <f aca="false">IF(L1151="","",INDEX(ポート振替表!$B$5:$B$3507,$L1151)&amp;" "&amp;INDEX(ポート振替表!$C$5:$C$3507,$L1151)&amp;"  ⇔  "&amp;INDEX(ポート振替表!$H$5:$H$3507,$L1151)&amp;" "&amp;INDEX(ポート振替表!$I$5:$I$3507,$L1151))</f>
        <v/>
      </c>
      <c r="D1151" s="57" t="s">
        <v>158</v>
      </c>
      <c r="E1151" s="59" t="str">
        <f aca="false">IF(L1151="","",IF(INDEX(ポート振替表!$O$5:$O$3507,$L1151)="","(未設定)",INDEX(ポート振替表!$O$5:$O$3507,$L1151)&amp;""))</f>
        <v/>
      </c>
      <c r="F1151" s="52" t="str">
        <f aca="false">IF(L1151="","",INDEX(ポート振替表!$K$5:$K$3507,$L1151)&amp;" "&amp;INDEX(ポート振替表!$L$5:$L$3507,$L1151)&amp;"  ⇔  "&amp;INDEX(ポート振替表!$H$5:$H$3507,$L1151)&amp;" "&amp;INDEX(ポート振替表!$I$5:$I$3507,$L1151))</f>
        <v/>
      </c>
      <c r="G1151" s="57" t="s">
        <v>158</v>
      </c>
      <c r="H1151" s="32" t="str">
        <f aca="false">IF(L1151="","",INDEX(ポート振替表!$N$5:$N$3507,$L1151)&amp;"")</f>
        <v/>
      </c>
      <c r="I1151" s="32" t="str">
        <f aca="false">IF(L1151="","",INDEX(ポート振替表!$P$5:$P$3507,$L1151)&amp;"")</f>
        <v/>
      </c>
      <c r="J1151" s="60" t="str">
        <f aca="false">IF(L1151="","",INDEX(ポート振替表!$M$5:$M$3507,$L1151)&amp;"")</f>
        <v/>
      </c>
      <c r="K1151" s="52" t="str">
        <f aca="false">IF(L1151="","",E1151&amp;CHAR(10)&amp;INDEX(ポート振替表!$K$5:$K$3507,$L1151)&amp;" "&amp;INDEX(ポート振替表!$L$5:$L$3507,$L1151)&amp;CHAR(10)&amp;"⇔ "&amp;INDEX(ポート振替表!$H$5:$H$3507,$L1151)&amp;" "&amp;INDEX(ポート振替表!$I$5:$I$3507,$L1151))</f>
        <v/>
      </c>
      <c r="L1151" s="47" t="str">
        <f aca="false">IFERROR(MATCH(ROW()-4,ポート振替表!$V$5:$V$3507,0),"")</f>
        <v/>
      </c>
    </row>
    <row r="1152" customFormat="false" ht="16.4" hidden="false" customHeight="false" outlineLevel="0" collapsed="false">
      <c r="A1152" s="32" t="str">
        <f aca="false">IF(L1152="","",ROW()-4)</f>
        <v/>
      </c>
      <c r="B1152" s="58" t="str">
        <f aca="false">IF(L1152="","",IF(INDEX(ポート振替表!$W$5:$W$3507,$L1152)="","(なし)",INDEX(ポート振替表!$W$5:$W$3507,$L1152)&amp;""))</f>
        <v/>
      </c>
      <c r="C1152" s="52" t="str">
        <f aca="false">IF(L1152="","",INDEX(ポート振替表!$B$5:$B$3507,$L1152)&amp;" "&amp;INDEX(ポート振替表!$C$5:$C$3507,$L1152)&amp;"  ⇔  "&amp;INDEX(ポート振替表!$H$5:$H$3507,$L1152)&amp;" "&amp;INDEX(ポート振替表!$I$5:$I$3507,$L1152))</f>
        <v/>
      </c>
      <c r="D1152" s="57" t="s">
        <v>158</v>
      </c>
      <c r="E1152" s="59" t="str">
        <f aca="false">IF(L1152="","",IF(INDEX(ポート振替表!$O$5:$O$3507,$L1152)="","(未設定)",INDEX(ポート振替表!$O$5:$O$3507,$L1152)&amp;""))</f>
        <v/>
      </c>
      <c r="F1152" s="52" t="str">
        <f aca="false">IF(L1152="","",INDEX(ポート振替表!$K$5:$K$3507,$L1152)&amp;" "&amp;INDEX(ポート振替表!$L$5:$L$3507,$L1152)&amp;"  ⇔  "&amp;INDEX(ポート振替表!$H$5:$H$3507,$L1152)&amp;" "&amp;INDEX(ポート振替表!$I$5:$I$3507,$L1152))</f>
        <v/>
      </c>
      <c r="G1152" s="57" t="s">
        <v>158</v>
      </c>
      <c r="H1152" s="32" t="str">
        <f aca="false">IF(L1152="","",INDEX(ポート振替表!$N$5:$N$3507,$L1152)&amp;"")</f>
        <v/>
      </c>
      <c r="I1152" s="32" t="str">
        <f aca="false">IF(L1152="","",INDEX(ポート振替表!$P$5:$P$3507,$L1152)&amp;"")</f>
        <v/>
      </c>
      <c r="J1152" s="60" t="str">
        <f aca="false">IF(L1152="","",INDEX(ポート振替表!$M$5:$M$3507,$L1152)&amp;"")</f>
        <v/>
      </c>
      <c r="K1152" s="52" t="str">
        <f aca="false">IF(L1152="","",E1152&amp;CHAR(10)&amp;INDEX(ポート振替表!$K$5:$K$3507,$L1152)&amp;" "&amp;INDEX(ポート振替表!$L$5:$L$3507,$L1152)&amp;CHAR(10)&amp;"⇔ "&amp;INDEX(ポート振替表!$H$5:$H$3507,$L1152)&amp;" "&amp;INDEX(ポート振替表!$I$5:$I$3507,$L1152))</f>
        <v/>
      </c>
      <c r="L1152" s="47" t="str">
        <f aca="false">IFERROR(MATCH(ROW()-4,ポート振替表!$V$5:$V$3507,0),"")</f>
        <v/>
      </c>
    </row>
    <row r="1153" customFormat="false" ht="16.4" hidden="false" customHeight="false" outlineLevel="0" collapsed="false">
      <c r="A1153" s="32" t="str">
        <f aca="false">IF(L1153="","",ROW()-4)</f>
        <v/>
      </c>
      <c r="B1153" s="58" t="str">
        <f aca="false">IF(L1153="","",IF(INDEX(ポート振替表!$W$5:$W$3507,$L1153)="","(なし)",INDEX(ポート振替表!$W$5:$W$3507,$L1153)&amp;""))</f>
        <v/>
      </c>
      <c r="C1153" s="52" t="str">
        <f aca="false">IF(L1153="","",INDEX(ポート振替表!$B$5:$B$3507,$L1153)&amp;" "&amp;INDEX(ポート振替表!$C$5:$C$3507,$L1153)&amp;"  ⇔  "&amp;INDEX(ポート振替表!$H$5:$H$3507,$L1153)&amp;" "&amp;INDEX(ポート振替表!$I$5:$I$3507,$L1153))</f>
        <v/>
      </c>
      <c r="D1153" s="57" t="s">
        <v>158</v>
      </c>
      <c r="E1153" s="59" t="str">
        <f aca="false">IF(L1153="","",IF(INDEX(ポート振替表!$O$5:$O$3507,$L1153)="","(未設定)",INDEX(ポート振替表!$O$5:$O$3507,$L1153)&amp;""))</f>
        <v/>
      </c>
      <c r="F1153" s="52" t="str">
        <f aca="false">IF(L1153="","",INDEX(ポート振替表!$K$5:$K$3507,$L1153)&amp;" "&amp;INDEX(ポート振替表!$L$5:$L$3507,$L1153)&amp;"  ⇔  "&amp;INDEX(ポート振替表!$H$5:$H$3507,$L1153)&amp;" "&amp;INDEX(ポート振替表!$I$5:$I$3507,$L1153))</f>
        <v/>
      </c>
      <c r="G1153" s="57" t="s">
        <v>158</v>
      </c>
      <c r="H1153" s="32" t="str">
        <f aca="false">IF(L1153="","",INDEX(ポート振替表!$N$5:$N$3507,$L1153)&amp;"")</f>
        <v/>
      </c>
      <c r="I1153" s="32" t="str">
        <f aca="false">IF(L1153="","",INDEX(ポート振替表!$P$5:$P$3507,$L1153)&amp;"")</f>
        <v/>
      </c>
      <c r="J1153" s="60" t="str">
        <f aca="false">IF(L1153="","",INDEX(ポート振替表!$M$5:$M$3507,$L1153)&amp;"")</f>
        <v/>
      </c>
      <c r="K1153" s="52" t="str">
        <f aca="false">IF(L1153="","",E1153&amp;CHAR(10)&amp;INDEX(ポート振替表!$K$5:$K$3507,$L1153)&amp;" "&amp;INDEX(ポート振替表!$L$5:$L$3507,$L1153)&amp;CHAR(10)&amp;"⇔ "&amp;INDEX(ポート振替表!$H$5:$H$3507,$L1153)&amp;" "&amp;INDEX(ポート振替表!$I$5:$I$3507,$L1153))</f>
        <v/>
      </c>
      <c r="L1153" s="47" t="str">
        <f aca="false">IFERROR(MATCH(ROW()-4,ポート振替表!$V$5:$V$3507,0),"")</f>
        <v/>
      </c>
    </row>
    <row r="1154" customFormat="false" ht="16.4" hidden="false" customHeight="false" outlineLevel="0" collapsed="false">
      <c r="A1154" s="32" t="str">
        <f aca="false">IF(L1154="","",ROW()-4)</f>
        <v/>
      </c>
      <c r="B1154" s="58" t="str">
        <f aca="false">IF(L1154="","",IF(INDEX(ポート振替表!$W$5:$W$3507,$L1154)="","(なし)",INDEX(ポート振替表!$W$5:$W$3507,$L1154)&amp;""))</f>
        <v/>
      </c>
      <c r="C1154" s="52" t="str">
        <f aca="false">IF(L1154="","",INDEX(ポート振替表!$B$5:$B$3507,$L1154)&amp;" "&amp;INDEX(ポート振替表!$C$5:$C$3507,$L1154)&amp;"  ⇔  "&amp;INDEX(ポート振替表!$H$5:$H$3507,$L1154)&amp;" "&amp;INDEX(ポート振替表!$I$5:$I$3507,$L1154))</f>
        <v/>
      </c>
      <c r="D1154" s="57" t="s">
        <v>158</v>
      </c>
      <c r="E1154" s="59" t="str">
        <f aca="false">IF(L1154="","",IF(INDEX(ポート振替表!$O$5:$O$3507,$L1154)="","(未設定)",INDEX(ポート振替表!$O$5:$O$3507,$L1154)&amp;""))</f>
        <v/>
      </c>
      <c r="F1154" s="52" t="str">
        <f aca="false">IF(L1154="","",INDEX(ポート振替表!$K$5:$K$3507,$L1154)&amp;" "&amp;INDEX(ポート振替表!$L$5:$L$3507,$L1154)&amp;"  ⇔  "&amp;INDEX(ポート振替表!$H$5:$H$3507,$L1154)&amp;" "&amp;INDEX(ポート振替表!$I$5:$I$3507,$L1154))</f>
        <v/>
      </c>
      <c r="G1154" s="57" t="s">
        <v>158</v>
      </c>
      <c r="H1154" s="32" t="str">
        <f aca="false">IF(L1154="","",INDEX(ポート振替表!$N$5:$N$3507,$L1154)&amp;"")</f>
        <v/>
      </c>
      <c r="I1154" s="32" t="str">
        <f aca="false">IF(L1154="","",INDEX(ポート振替表!$P$5:$P$3507,$L1154)&amp;"")</f>
        <v/>
      </c>
      <c r="J1154" s="60" t="str">
        <f aca="false">IF(L1154="","",INDEX(ポート振替表!$M$5:$M$3507,$L1154)&amp;"")</f>
        <v/>
      </c>
      <c r="K1154" s="52" t="str">
        <f aca="false">IF(L1154="","",E1154&amp;CHAR(10)&amp;INDEX(ポート振替表!$K$5:$K$3507,$L1154)&amp;" "&amp;INDEX(ポート振替表!$L$5:$L$3507,$L1154)&amp;CHAR(10)&amp;"⇔ "&amp;INDEX(ポート振替表!$H$5:$H$3507,$L1154)&amp;" "&amp;INDEX(ポート振替表!$I$5:$I$3507,$L1154))</f>
        <v/>
      </c>
      <c r="L1154" s="47" t="str">
        <f aca="false">IFERROR(MATCH(ROW()-4,ポート振替表!$V$5:$V$3507,0),"")</f>
        <v/>
      </c>
    </row>
    <row r="1155" customFormat="false" ht="16.4" hidden="false" customHeight="false" outlineLevel="0" collapsed="false">
      <c r="A1155" s="32" t="str">
        <f aca="false">IF(L1155="","",ROW()-4)</f>
        <v/>
      </c>
      <c r="B1155" s="58" t="str">
        <f aca="false">IF(L1155="","",IF(INDEX(ポート振替表!$W$5:$W$3507,$L1155)="","(なし)",INDEX(ポート振替表!$W$5:$W$3507,$L1155)&amp;""))</f>
        <v/>
      </c>
      <c r="C1155" s="52" t="str">
        <f aca="false">IF(L1155="","",INDEX(ポート振替表!$B$5:$B$3507,$L1155)&amp;" "&amp;INDEX(ポート振替表!$C$5:$C$3507,$L1155)&amp;"  ⇔  "&amp;INDEX(ポート振替表!$H$5:$H$3507,$L1155)&amp;" "&amp;INDEX(ポート振替表!$I$5:$I$3507,$L1155))</f>
        <v/>
      </c>
      <c r="D1155" s="57" t="s">
        <v>158</v>
      </c>
      <c r="E1155" s="59" t="str">
        <f aca="false">IF(L1155="","",IF(INDEX(ポート振替表!$O$5:$O$3507,$L1155)="","(未設定)",INDEX(ポート振替表!$O$5:$O$3507,$L1155)&amp;""))</f>
        <v/>
      </c>
      <c r="F1155" s="52" t="str">
        <f aca="false">IF(L1155="","",INDEX(ポート振替表!$K$5:$K$3507,$L1155)&amp;" "&amp;INDEX(ポート振替表!$L$5:$L$3507,$L1155)&amp;"  ⇔  "&amp;INDEX(ポート振替表!$H$5:$H$3507,$L1155)&amp;" "&amp;INDEX(ポート振替表!$I$5:$I$3507,$L1155))</f>
        <v/>
      </c>
      <c r="G1155" s="57" t="s">
        <v>158</v>
      </c>
      <c r="H1155" s="32" t="str">
        <f aca="false">IF(L1155="","",INDEX(ポート振替表!$N$5:$N$3507,$L1155)&amp;"")</f>
        <v/>
      </c>
      <c r="I1155" s="32" t="str">
        <f aca="false">IF(L1155="","",INDEX(ポート振替表!$P$5:$P$3507,$L1155)&amp;"")</f>
        <v/>
      </c>
      <c r="J1155" s="60" t="str">
        <f aca="false">IF(L1155="","",INDEX(ポート振替表!$M$5:$M$3507,$L1155)&amp;"")</f>
        <v/>
      </c>
      <c r="K1155" s="52" t="str">
        <f aca="false">IF(L1155="","",E1155&amp;CHAR(10)&amp;INDEX(ポート振替表!$K$5:$K$3507,$L1155)&amp;" "&amp;INDEX(ポート振替表!$L$5:$L$3507,$L1155)&amp;CHAR(10)&amp;"⇔ "&amp;INDEX(ポート振替表!$H$5:$H$3507,$L1155)&amp;" "&amp;INDEX(ポート振替表!$I$5:$I$3507,$L1155))</f>
        <v/>
      </c>
      <c r="L1155" s="47" t="str">
        <f aca="false">IFERROR(MATCH(ROW()-4,ポート振替表!$V$5:$V$3507,0),"")</f>
        <v/>
      </c>
    </row>
    <row r="1156" customFormat="false" ht="16.4" hidden="false" customHeight="false" outlineLevel="0" collapsed="false">
      <c r="A1156" s="32" t="str">
        <f aca="false">IF(L1156="","",ROW()-4)</f>
        <v/>
      </c>
      <c r="B1156" s="58" t="str">
        <f aca="false">IF(L1156="","",IF(INDEX(ポート振替表!$W$5:$W$3507,$L1156)="","(なし)",INDEX(ポート振替表!$W$5:$W$3507,$L1156)&amp;""))</f>
        <v/>
      </c>
      <c r="C1156" s="52" t="str">
        <f aca="false">IF(L1156="","",INDEX(ポート振替表!$B$5:$B$3507,$L1156)&amp;" "&amp;INDEX(ポート振替表!$C$5:$C$3507,$L1156)&amp;"  ⇔  "&amp;INDEX(ポート振替表!$H$5:$H$3507,$L1156)&amp;" "&amp;INDEX(ポート振替表!$I$5:$I$3507,$L1156))</f>
        <v/>
      </c>
      <c r="D1156" s="57" t="s">
        <v>158</v>
      </c>
      <c r="E1156" s="59" t="str">
        <f aca="false">IF(L1156="","",IF(INDEX(ポート振替表!$O$5:$O$3507,$L1156)="","(未設定)",INDEX(ポート振替表!$O$5:$O$3507,$L1156)&amp;""))</f>
        <v/>
      </c>
      <c r="F1156" s="52" t="str">
        <f aca="false">IF(L1156="","",INDEX(ポート振替表!$K$5:$K$3507,$L1156)&amp;" "&amp;INDEX(ポート振替表!$L$5:$L$3507,$L1156)&amp;"  ⇔  "&amp;INDEX(ポート振替表!$H$5:$H$3507,$L1156)&amp;" "&amp;INDEX(ポート振替表!$I$5:$I$3507,$L1156))</f>
        <v/>
      </c>
      <c r="G1156" s="57" t="s">
        <v>158</v>
      </c>
      <c r="H1156" s="32" t="str">
        <f aca="false">IF(L1156="","",INDEX(ポート振替表!$N$5:$N$3507,$L1156)&amp;"")</f>
        <v/>
      </c>
      <c r="I1156" s="32" t="str">
        <f aca="false">IF(L1156="","",INDEX(ポート振替表!$P$5:$P$3507,$L1156)&amp;"")</f>
        <v/>
      </c>
      <c r="J1156" s="60" t="str">
        <f aca="false">IF(L1156="","",INDEX(ポート振替表!$M$5:$M$3507,$L1156)&amp;"")</f>
        <v/>
      </c>
      <c r="K1156" s="52" t="str">
        <f aca="false">IF(L1156="","",E1156&amp;CHAR(10)&amp;INDEX(ポート振替表!$K$5:$K$3507,$L1156)&amp;" "&amp;INDEX(ポート振替表!$L$5:$L$3507,$L1156)&amp;CHAR(10)&amp;"⇔ "&amp;INDEX(ポート振替表!$H$5:$H$3507,$L1156)&amp;" "&amp;INDEX(ポート振替表!$I$5:$I$3507,$L1156))</f>
        <v/>
      </c>
      <c r="L1156" s="47" t="str">
        <f aca="false">IFERROR(MATCH(ROW()-4,ポート振替表!$V$5:$V$3507,0),"")</f>
        <v/>
      </c>
    </row>
    <row r="1157" customFormat="false" ht="16.4" hidden="false" customHeight="false" outlineLevel="0" collapsed="false">
      <c r="A1157" s="32" t="str">
        <f aca="false">IF(L1157="","",ROW()-4)</f>
        <v/>
      </c>
      <c r="B1157" s="58" t="str">
        <f aca="false">IF(L1157="","",IF(INDEX(ポート振替表!$W$5:$W$3507,$L1157)="","(なし)",INDEX(ポート振替表!$W$5:$W$3507,$L1157)&amp;""))</f>
        <v/>
      </c>
      <c r="C1157" s="52" t="str">
        <f aca="false">IF(L1157="","",INDEX(ポート振替表!$B$5:$B$3507,$L1157)&amp;" "&amp;INDEX(ポート振替表!$C$5:$C$3507,$L1157)&amp;"  ⇔  "&amp;INDEX(ポート振替表!$H$5:$H$3507,$L1157)&amp;" "&amp;INDEX(ポート振替表!$I$5:$I$3507,$L1157))</f>
        <v/>
      </c>
      <c r="D1157" s="57" t="s">
        <v>158</v>
      </c>
      <c r="E1157" s="59" t="str">
        <f aca="false">IF(L1157="","",IF(INDEX(ポート振替表!$O$5:$O$3507,$L1157)="","(未設定)",INDEX(ポート振替表!$O$5:$O$3507,$L1157)&amp;""))</f>
        <v/>
      </c>
      <c r="F1157" s="52" t="str">
        <f aca="false">IF(L1157="","",INDEX(ポート振替表!$K$5:$K$3507,$L1157)&amp;" "&amp;INDEX(ポート振替表!$L$5:$L$3507,$L1157)&amp;"  ⇔  "&amp;INDEX(ポート振替表!$H$5:$H$3507,$L1157)&amp;" "&amp;INDEX(ポート振替表!$I$5:$I$3507,$L1157))</f>
        <v/>
      </c>
      <c r="G1157" s="57" t="s">
        <v>158</v>
      </c>
      <c r="H1157" s="32" t="str">
        <f aca="false">IF(L1157="","",INDEX(ポート振替表!$N$5:$N$3507,$L1157)&amp;"")</f>
        <v/>
      </c>
      <c r="I1157" s="32" t="str">
        <f aca="false">IF(L1157="","",INDEX(ポート振替表!$P$5:$P$3507,$L1157)&amp;"")</f>
        <v/>
      </c>
      <c r="J1157" s="60" t="str">
        <f aca="false">IF(L1157="","",INDEX(ポート振替表!$M$5:$M$3507,$L1157)&amp;"")</f>
        <v/>
      </c>
      <c r="K1157" s="52" t="str">
        <f aca="false">IF(L1157="","",E1157&amp;CHAR(10)&amp;INDEX(ポート振替表!$K$5:$K$3507,$L1157)&amp;" "&amp;INDEX(ポート振替表!$L$5:$L$3507,$L1157)&amp;CHAR(10)&amp;"⇔ "&amp;INDEX(ポート振替表!$H$5:$H$3507,$L1157)&amp;" "&amp;INDEX(ポート振替表!$I$5:$I$3507,$L1157))</f>
        <v/>
      </c>
      <c r="L1157" s="47" t="str">
        <f aca="false">IFERROR(MATCH(ROW()-4,ポート振替表!$V$5:$V$3507,0),"")</f>
        <v/>
      </c>
    </row>
    <row r="1158" customFormat="false" ht="16.4" hidden="false" customHeight="false" outlineLevel="0" collapsed="false">
      <c r="A1158" s="32" t="str">
        <f aca="false">IF(L1158="","",ROW()-4)</f>
        <v/>
      </c>
      <c r="B1158" s="58" t="str">
        <f aca="false">IF(L1158="","",IF(INDEX(ポート振替表!$W$5:$W$3507,$L1158)="","(なし)",INDEX(ポート振替表!$W$5:$W$3507,$L1158)&amp;""))</f>
        <v/>
      </c>
      <c r="C1158" s="52" t="str">
        <f aca="false">IF(L1158="","",INDEX(ポート振替表!$B$5:$B$3507,$L1158)&amp;" "&amp;INDEX(ポート振替表!$C$5:$C$3507,$L1158)&amp;"  ⇔  "&amp;INDEX(ポート振替表!$H$5:$H$3507,$L1158)&amp;" "&amp;INDEX(ポート振替表!$I$5:$I$3507,$L1158))</f>
        <v/>
      </c>
      <c r="D1158" s="57" t="s">
        <v>158</v>
      </c>
      <c r="E1158" s="59" t="str">
        <f aca="false">IF(L1158="","",IF(INDEX(ポート振替表!$O$5:$O$3507,$L1158)="","(未設定)",INDEX(ポート振替表!$O$5:$O$3507,$L1158)&amp;""))</f>
        <v/>
      </c>
      <c r="F1158" s="52" t="str">
        <f aca="false">IF(L1158="","",INDEX(ポート振替表!$K$5:$K$3507,$L1158)&amp;" "&amp;INDEX(ポート振替表!$L$5:$L$3507,$L1158)&amp;"  ⇔  "&amp;INDEX(ポート振替表!$H$5:$H$3507,$L1158)&amp;" "&amp;INDEX(ポート振替表!$I$5:$I$3507,$L1158))</f>
        <v/>
      </c>
      <c r="G1158" s="57" t="s">
        <v>158</v>
      </c>
      <c r="H1158" s="32" t="str">
        <f aca="false">IF(L1158="","",INDEX(ポート振替表!$N$5:$N$3507,$L1158)&amp;"")</f>
        <v/>
      </c>
      <c r="I1158" s="32" t="str">
        <f aca="false">IF(L1158="","",INDEX(ポート振替表!$P$5:$P$3507,$L1158)&amp;"")</f>
        <v/>
      </c>
      <c r="J1158" s="60" t="str">
        <f aca="false">IF(L1158="","",INDEX(ポート振替表!$M$5:$M$3507,$L1158)&amp;"")</f>
        <v/>
      </c>
      <c r="K1158" s="52" t="str">
        <f aca="false">IF(L1158="","",E1158&amp;CHAR(10)&amp;INDEX(ポート振替表!$K$5:$K$3507,$L1158)&amp;" "&amp;INDEX(ポート振替表!$L$5:$L$3507,$L1158)&amp;CHAR(10)&amp;"⇔ "&amp;INDEX(ポート振替表!$H$5:$H$3507,$L1158)&amp;" "&amp;INDEX(ポート振替表!$I$5:$I$3507,$L1158))</f>
        <v/>
      </c>
      <c r="L1158" s="47" t="str">
        <f aca="false">IFERROR(MATCH(ROW()-4,ポート振替表!$V$5:$V$3507,0),"")</f>
        <v/>
      </c>
    </row>
    <row r="1159" customFormat="false" ht="16.4" hidden="false" customHeight="false" outlineLevel="0" collapsed="false">
      <c r="A1159" s="32" t="str">
        <f aca="false">IF(L1159="","",ROW()-4)</f>
        <v/>
      </c>
      <c r="B1159" s="58" t="str">
        <f aca="false">IF(L1159="","",IF(INDEX(ポート振替表!$W$5:$W$3507,$L1159)="","(なし)",INDEX(ポート振替表!$W$5:$W$3507,$L1159)&amp;""))</f>
        <v/>
      </c>
      <c r="C1159" s="52" t="str">
        <f aca="false">IF(L1159="","",INDEX(ポート振替表!$B$5:$B$3507,$L1159)&amp;" "&amp;INDEX(ポート振替表!$C$5:$C$3507,$L1159)&amp;"  ⇔  "&amp;INDEX(ポート振替表!$H$5:$H$3507,$L1159)&amp;" "&amp;INDEX(ポート振替表!$I$5:$I$3507,$L1159))</f>
        <v/>
      </c>
      <c r="D1159" s="57" t="s">
        <v>158</v>
      </c>
      <c r="E1159" s="59" t="str">
        <f aca="false">IF(L1159="","",IF(INDEX(ポート振替表!$O$5:$O$3507,$L1159)="","(未設定)",INDEX(ポート振替表!$O$5:$O$3507,$L1159)&amp;""))</f>
        <v/>
      </c>
      <c r="F1159" s="52" t="str">
        <f aca="false">IF(L1159="","",INDEX(ポート振替表!$K$5:$K$3507,$L1159)&amp;" "&amp;INDEX(ポート振替表!$L$5:$L$3507,$L1159)&amp;"  ⇔  "&amp;INDEX(ポート振替表!$H$5:$H$3507,$L1159)&amp;" "&amp;INDEX(ポート振替表!$I$5:$I$3507,$L1159))</f>
        <v/>
      </c>
      <c r="G1159" s="57" t="s">
        <v>158</v>
      </c>
      <c r="H1159" s="32" t="str">
        <f aca="false">IF(L1159="","",INDEX(ポート振替表!$N$5:$N$3507,$L1159)&amp;"")</f>
        <v/>
      </c>
      <c r="I1159" s="32" t="str">
        <f aca="false">IF(L1159="","",INDEX(ポート振替表!$P$5:$P$3507,$L1159)&amp;"")</f>
        <v/>
      </c>
      <c r="J1159" s="60" t="str">
        <f aca="false">IF(L1159="","",INDEX(ポート振替表!$M$5:$M$3507,$L1159)&amp;"")</f>
        <v/>
      </c>
      <c r="K1159" s="52" t="str">
        <f aca="false">IF(L1159="","",E1159&amp;CHAR(10)&amp;INDEX(ポート振替表!$K$5:$K$3507,$L1159)&amp;" "&amp;INDEX(ポート振替表!$L$5:$L$3507,$L1159)&amp;CHAR(10)&amp;"⇔ "&amp;INDEX(ポート振替表!$H$5:$H$3507,$L1159)&amp;" "&amp;INDEX(ポート振替表!$I$5:$I$3507,$L1159))</f>
        <v/>
      </c>
      <c r="L1159" s="47" t="str">
        <f aca="false">IFERROR(MATCH(ROW()-4,ポート振替表!$V$5:$V$3507,0),"")</f>
        <v/>
      </c>
    </row>
    <row r="1160" customFormat="false" ht="16.4" hidden="false" customHeight="false" outlineLevel="0" collapsed="false">
      <c r="A1160" s="32" t="str">
        <f aca="false">IF(L1160="","",ROW()-4)</f>
        <v/>
      </c>
      <c r="B1160" s="58" t="str">
        <f aca="false">IF(L1160="","",IF(INDEX(ポート振替表!$W$5:$W$3507,$L1160)="","(なし)",INDEX(ポート振替表!$W$5:$W$3507,$L1160)&amp;""))</f>
        <v/>
      </c>
      <c r="C1160" s="52" t="str">
        <f aca="false">IF(L1160="","",INDEX(ポート振替表!$B$5:$B$3507,$L1160)&amp;" "&amp;INDEX(ポート振替表!$C$5:$C$3507,$L1160)&amp;"  ⇔  "&amp;INDEX(ポート振替表!$H$5:$H$3507,$L1160)&amp;" "&amp;INDEX(ポート振替表!$I$5:$I$3507,$L1160))</f>
        <v/>
      </c>
      <c r="D1160" s="57" t="s">
        <v>158</v>
      </c>
      <c r="E1160" s="59" t="str">
        <f aca="false">IF(L1160="","",IF(INDEX(ポート振替表!$O$5:$O$3507,$L1160)="","(未設定)",INDEX(ポート振替表!$O$5:$O$3507,$L1160)&amp;""))</f>
        <v/>
      </c>
      <c r="F1160" s="52" t="str">
        <f aca="false">IF(L1160="","",INDEX(ポート振替表!$K$5:$K$3507,$L1160)&amp;" "&amp;INDEX(ポート振替表!$L$5:$L$3507,$L1160)&amp;"  ⇔  "&amp;INDEX(ポート振替表!$H$5:$H$3507,$L1160)&amp;" "&amp;INDEX(ポート振替表!$I$5:$I$3507,$L1160))</f>
        <v/>
      </c>
      <c r="G1160" s="57" t="s">
        <v>158</v>
      </c>
      <c r="H1160" s="32" t="str">
        <f aca="false">IF(L1160="","",INDEX(ポート振替表!$N$5:$N$3507,$L1160)&amp;"")</f>
        <v/>
      </c>
      <c r="I1160" s="32" t="str">
        <f aca="false">IF(L1160="","",INDEX(ポート振替表!$P$5:$P$3507,$L1160)&amp;"")</f>
        <v/>
      </c>
      <c r="J1160" s="60" t="str">
        <f aca="false">IF(L1160="","",INDEX(ポート振替表!$M$5:$M$3507,$L1160)&amp;"")</f>
        <v/>
      </c>
      <c r="K1160" s="52" t="str">
        <f aca="false">IF(L1160="","",E1160&amp;CHAR(10)&amp;INDEX(ポート振替表!$K$5:$K$3507,$L1160)&amp;" "&amp;INDEX(ポート振替表!$L$5:$L$3507,$L1160)&amp;CHAR(10)&amp;"⇔ "&amp;INDEX(ポート振替表!$H$5:$H$3507,$L1160)&amp;" "&amp;INDEX(ポート振替表!$I$5:$I$3507,$L1160))</f>
        <v/>
      </c>
      <c r="L1160" s="47" t="str">
        <f aca="false">IFERROR(MATCH(ROW()-4,ポート振替表!$V$5:$V$3507,0),"")</f>
        <v/>
      </c>
    </row>
    <row r="1161" customFormat="false" ht="16.4" hidden="false" customHeight="false" outlineLevel="0" collapsed="false">
      <c r="A1161" s="32" t="str">
        <f aca="false">IF(L1161="","",ROW()-4)</f>
        <v/>
      </c>
      <c r="B1161" s="58" t="str">
        <f aca="false">IF(L1161="","",IF(INDEX(ポート振替表!$W$5:$W$3507,$L1161)="","(なし)",INDEX(ポート振替表!$W$5:$W$3507,$L1161)&amp;""))</f>
        <v/>
      </c>
      <c r="C1161" s="52" t="str">
        <f aca="false">IF(L1161="","",INDEX(ポート振替表!$B$5:$B$3507,$L1161)&amp;" "&amp;INDEX(ポート振替表!$C$5:$C$3507,$L1161)&amp;"  ⇔  "&amp;INDEX(ポート振替表!$H$5:$H$3507,$L1161)&amp;" "&amp;INDEX(ポート振替表!$I$5:$I$3507,$L1161))</f>
        <v/>
      </c>
      <c r="D1161" s="57" t="s">
        <v>158</v>
      </c>
      <c r="E1161" s="59" t="str">
        <f aca="false">IF(L1161="","",IF(INDEX(ポート振替表!$O$5:$O$3507,$L1161)="","(未設定)",INDEX(ポート振替表!$O$5:$O$3507,$L1161)&amp;""))</f>
        <v/>
      </c>
      <c r="F1161" s="52" t="str">
        <f aca="false">IF(L1161="","",INDEX(ポート振替表!$K$5:$K$3507,$L1161)&amp;" "&amp;INDEX(ポート振替表!$L$5:$L$3507,$L1161)&amp;"  ⇔  "&amp;INDEX(ポート振替表!$H$5:$H$3507,$L1161)&amp;" "&amp;INDEX(ポート振替表!$I$5:$I$3507,$L1161))</f>
        <v/>
      </c>
      <c r="G1161" s="57" t="s">
        <v>158</v>
      </c>
      <c r="H1161" s="32" t="str">
        <f aca="false">IF(L1161="","",INDEX(ポート振替表!$N$5:$N$3507,$L1161)&amp;"")</f>
        <v/>
      </c>
      <c r="I1161" s="32" t="str">
        <f aca="false">IF(L1161="","",INDEX(ポート振替表!$P$5:$P$3507,$L1161)&amp;"")</f>
        <v/>
      </c>
      <c r="J1161" s="60" t="str">
        <f aca="false">IF(L1161="","",INDEX(ポート振替表!$M$5:$M$3507,$L1161)&amp;"")</f>
        <v/>
      </c>
      <c r="K1161" s="52" t="str">
        <f aca="false">IF(L1161="","",E1161&amp;CHAR(10)&amp;INDEX(ポート振替表!$K$5:$K$3507,$L1161)&amp;" "&amp;INDEX(ポート振替表!$L$5:$L$3507,$L1161)&amp;CHAR(10)&amp;"⇔ "&amp;INDEX(ポート振替表!$H$5:$H$3507,$L1161)&amp;" "&amp;INDEX(ポート振替表!$I$5:$I$3507,$L1161))</f>
        <v/>
      </c>
      <c r="L1161" s="47" t="str">
        <f aca="false">IFERROR(MATCH(ROW()-4,ポート振替表!$V$5:$V$3507,0),"")</f>
        <v/>
      </c>
    </row>
    <row r="1162" customFormat="false" ht="16.4" hidden="false" customHeight="false" outlineLevel="0" collapsed="false">
      <c r="A1162" s="32" t="str">
        <f aca="false">IF(L1162="","",ROW()-4)</f>
        <v/>
      </c>
      <c r="B1162" s="58" t="str">
        <f aca="false">IF(L1162="","",IF(INDEX(ポート振替表!$W$5:$W$3507,$L1162)="","(なし)",INDEX(ポート振替表!$W$5:$W$3507,$L1162)&amp;""))</f>
        <v/>
      </c>
      <c r="C1162" s="52" t="str">
        <f aca="false">IF(L1162="","",INDEX(ポート振替表!$B$5:$B$3507,$L1162)&amp;" "&amp;INDEX(ポート振替表!$C$5:$C$3507,$L1162)&amp;"  ⇔  "&amp;INDEX(ポート振替表!$H$5:$H$3507,$L1162)&amp;" "&amp;INDEX(ポート振替表!$I$5:$I$3507,$L1162))</f>
        <v/>
      </c>
      <c r="D1162" s="57" t="s">
        <v>158</v>
      </c>
      <c r="E1162" s="59" t="str">
        <f aca="false">IF(L1162="","",IF(INDEX(ポート振替表!$O$5:$O$3507,$L1162)="","(未設定)",INDEX(ポート振替表!$O$5:$O$3507,$L1162)&amp;""))</f>
        <v/>
      </c>
      <c r="F1162" s="52" t="str">
        <f aca="false">IF(L1162="","",INDEX(ポート振替表!$K$5:$K$3507,$L1162)&amp;" "&amp;INDEX(ポート振替表!$L$5:$L$3507,$L1162)&amp;"  ⇔  "&amp;INDEX(ポート振替表!$H$5:$H$3507,$L1162)&amp;" "&amp;INDEX(ポート振替表!$I$5:$I$3507,$L1162))</f>
        <v/>
      </c>
      <c r="G1162" s="57" t="s">
        <v>158</v>
      </c>
      <c r="H1162" s="32" t="str">
        <f aca="false">IF(L1162="","",INDEX(ポート振替表!$N$5:$N$3507,$L1162)&amp;"")</f>
        <v/>
      </c>
      <c r="I1162" s="32" t="str">
        <f aca="false">IF(L1162="","",INDEX(ポート振替表!$P$5:$P$3507,$L1162)&amp;"")</f>
        <v/>
      </c>
      <c r="J1162" s="60" t="str">
        <f aca="false">IF(L1162="","",INDEX(ポート振替表!$M$5:$M$3507,$L1162)&amp;"")</f>
        <v/>
      </c>
      <c r="K1162" s="52" t="str">
        <f aca="false">IF(L1162="","",E1162&amp;CHAR(10)&amp;INDEX(ポート振替表!$K$5:$K$3507,$L1162)&amp;" "&amp;INDEX(ポート振替表!$L$5:$L$3507,$L1162)&amp;CHAR(10)&amp;"⇔ "&amp;INDEX(ポート振替表!$H$5:$H$3507,$L1162)&amp;" "&amp;INDEX(ポート振替表!$I$5:$I$3507,$L1162))</f>
        <v/>
      </c>
      <c r="L1162" s="47" t="str">
        <f aca="false">IFERROR(MATCH(ROW()-4,ポート振替表!$V$5:$V$3507,0),"")</f>
        <v/>
      </c>
    </row>
    <row r="1163" customFormat="false" ht="16.4" hidden="false" customHeight="false" outlineLevel="0" collapsed="false">
      <c r="A1163" s="32" t="str">
        <f aca="false">IF(L1163="","",ROW()-4)</f>
        <v/>
      </c>
      <c r="B1163" s="58" t="str">
        <f aca="false">IF(L1163="","",IF(INDEX(ポート振替表!$W$5:$W$3507,$L1163)="","(なし)",INDEX(ポート振替表!$W$5:$W$3507,$L1163)&amp;""))</f>
        <v/>
      </c>
      <c r="C1163" s="52" t="str">
        <f aca="false">IF(L1163="","",INDEX(ポート振替表!$B$5:$B$3507,$L1163)&amp;" "&amp;INDEX(ポート振替表!$C$5:$C$3507,$L1163)&amp;"  ⇔  "&amp;INDEX(ポート振替表!$H$5:$H$3507,$L1163)&amp;" "&amp;INDEX(ポート振替表!$I$5:$I$3507,$L1163))</f>
        <v/>
      </c>
      <c r="D1163" s="57" t="s">
        <v>158</v>
      </c>
      <c r="E1163" s="59" t="str">
        <f aca="false">IF(L1163="","",IF(INDEX(ポート振替表!$O$5:$O$3507,$L1163)="","(未設定)",INDEX(ポート振替表!$O$5:$O$3507,$L1163)&amp;""))</f>
        <v/>
      </c>
      <c r="F1163" s="52" t="str">
        <f aca="false">IF(L1163="","",INDEX(ポート振替表!$K$5:$K$3507,$L1163)&amp;" "&amp;INDEX(ポート振替表!$L$5:$L$3507,$L1163)&amp;"  ⇔  "&amp;INDEX(ポート振替表!$H$5:$H$3507,$L1163)&amp;" "&amp;INDEX(ポート振替表!$I$5:$I$3507,$L1163))</f>
        <v/>
      </c>
      <c r="G1163" s="57" t="s">
        <v>158</v>
      </c>
      <c r="H1163" s="32" t="str">
        <f aca="false">IF(L1163="","",INDEX(ポート振替表!$N$5:$N$3507,$L1163)&amp;"")</f>
        <v/>
      </c>
      <c r="I1163" s="32" t="str">
        <f aca="false">IF(L1163="","",INDEX(ポート振替表!$P$5:$P$3507,$L1163)&amp;"")</f>
        <v/>
      </c>
      <c r="J1163" s="60" t="str">
        <f aca="false">IF(L1163="","",INDEX(ポート振替表!$M$5:$M$3507,$L1163)&amp;"")</f>
        <v/>
      </c>
      <c r="K1163" s="52" t="str">
        <f aca="false">IF(L1163="","",E1163&amp;CHAR(10)&amp;INDEX(ポート振替表!$K$5:$K$3507,$L1163)&amp;" "&amp;INDEX(ポート振替表!$L$5:$L$3507,$L1163)&amp;CHAR(10)&amp;"⇔ "&amp;INDEX(ポート振替表!$H$5:$H$3507,$L1163)&amp;" "&amp;INDEX(ポート振替表!$I$5:$I$3507,$L1163))</f>
        <v/>
      </c>
      <c r="L1163" s="47" t="str">
        <f aca="false">IFERROR(MATCH(ROW()-4,ポート振替表!$V$5:$V$3507,0),"")</f>
        <v/>
      </c>
    </row>
    <row r="1164" customFormat="false" ht="16.4" hidden="false" customHeight="false" outlineLevel="0" collapsed="false">
      <c r="A1164" s="32" t="str">
        <f aca="false">IF(L1164="","",ROW()-4)</f>
        <v/>
      </c>
      <c r="B1164" s="58" t="str">
        <f aca="false">IF(L1164="","",IF(INDEX(ポート振替表!$W$5:$W$3507,$L1164)="","(なし)",INDEX(ポート振替表!$W$5:$W$3507,$L1164)&amp;""))</f>
        <v/>
      </c>
      <c r="C1164" s="52" t="str">
        <f aca="false">IF(L1164="","",INDEX(ポート振替表!$B$5:$B$3507,$L1164)&amp;" "&amp;INDEX(ポート振替表!$C$5:$C$3507,$L1164)&amp;"  ⇔  "&amp;INDEX(ポート振替表!$H$5:$H$3507,$L1164)&amp;" "&amp;INDEX(ポート振替表!$I$5:$I$3507,$L1164))</f>
        <v/>
      </c>
      <c r="D1164" s="57" t="s">
        <v>158</v>
      </c>
      <c r="E1164" s="59" t="str">
        <f aca="false">IF(L1164="","",IF(INDEX(ポート振替表!$O$5:$O$3507,$L1164)="","(未設定)",INDEX(ポート振替表!$O$5:$O$3507,$L1164)&amp;""))</f>
        <v/>
      </c>
      <c r="F1164" s="52" t="str">
        <f aca="false">IF(L1164="","",INDEX(ポート振替表!$K$5:$K$3507,$L1164)&amp;" "&amp;INDEX(ポート振替表!$L$5:$L$3507,$L1164)&amp;"  ⇔  "&amp;INDEX(ポート振替表!$H$5:$H$3507,$L1164)&amp;" "&amp;INDEX(ポート振替表!$I$5:$I$3507,$L1164))</f>
        <v/>
      </c>
      <c r="G1164" s="57" t="s">
        <v>158</v>
      </c>
      <c r="H1164" s="32" t="str">
        <f aca="false">IF(L1164="","",INDEX(ポート振替表!$N$5:$N$3507,$L1164)&amp;"")</f>
        <v/>
      </c>
      <c r="I1164" s="32" t="str">
        <f aca="false">IF(L1164="","",INDEX(ポート振替表!$P$5:$P$3507,$L1164)&amp;"")</f>
        <v/>
      </c>
      <c r="J1164" s="60" t="str">
        <f aca="false">IF(L1164="","",INDEX(ポート振替表!$M$5:$M$3507,$L1164)&amp;"")</f>
        <v/>
      </c>
      <c r="K1164" s="52" t="str">
        <f aca="false">IF(L1164="","",E1164&amp;CHAR(10)&amp;INDEX(ポート振替表!$K$5:$K$3507,$L1164)&amp;" "&amp;INDEX(ポート振替表!$L$5:$L$3507,$L1164)&amp;CHAR(10)&amp;"⇔ "&amp;INDEX(ポート振替表!$H$5:$H$3507,$L1164)&amp;" "&amp;INDEX(ポート振替表!$I$5:$I$3507,$L1164))</f>
        <v/>
      </c>
      <c r="L1164" s="47" t="str">
        <f aca="false">IFERROR(MATCH(ROW()-4,ポート振替表!$V$5:$V$3507,0),"")</f>
        <v/>
      </c>
    </row>
    <row r="1165" customFormat="false" ht="16.4" hidden="false" customHeight="false" outlineLevel="0" collapsed="false">
      <c r="A1165" s="32" t="str">
        <f aca="false">IF(L1165="","",ROW()-4)</f>
        <v/>
      </c>
      <c r="B1165" s="58" t="str">
        <f aca="false">IF(L1165="","",IF(INDEX(ポート振替表!$W$5:$W$3507,$L1165)="","(なし)",INDEX(ポート振替表!$W$5:$W$3507,$L1165)&amp;""))</f>
        <v/>
      </c>
      <c r="C1165" s="52" t="str">
        <f aca="false">IF(L1165="","",INDEX(ポート振替表!$B$5:$B$3507,$L1165)&amp;" "&amp;INDEX(ポート振替表!$C$5:$C$3507,$L1165)&amp;"  ⇔  "&amp;INDEX(ポート振替表!$H$5:$H$3507,$L1165)&amp;" "&amp;INDEX(ポート振替表!$I$5:$I$3507,$L1165))</f>
        <v/>
      </c>
      <c r="D1165" s="57" t="s">
        <v>158</v>
      </c>
      <c r="E1165" s="59" t="str">
        <f aca="false">IF(L1165="","",IF(INDEX(ポート振替表!$O$5:$O$3507,$L1165)="","(未設定)",INDEX(ポート振替表!$O$5:$O$3507,$L1165)&amp;""))</f>
        <v/>
      </c>
      <c r="F1165" s="52" t="str">
        <f aca="false">IF(L1165="","",INDEX(ポート振替表!$K$5:$K$3507,$L1165)&amp;" "&amp;INDEX(ポート振替表!$L$5:$L$3507,$L1165)&amp;"  ⇔  "&amp;INDEX(ポート振替表!$H$5:$H$3507,$L1165)&amp;" "&amp;INDEX(ポート振替表!$I$5:$I$3507,$L1165))</f>
        <v/>
      </c>
      <c r="G1165" s="57" t="s">
        <v>158</v>
      </c>
      <c r="H1165" s="32" t="str">
        <f aca="false">IF(L1165="","",INDEX(ポート振替表!$N$5:$N$3507,$L1165)&amp;"")</f>
        <v/>
      </c>
      <c r="I1165" s="32" t="str">
        <f aca="false">IF(L1165="","",INDEX(ポート振替表!$P$5:$P$3507,$L1165)&amp;"")</f>
        <v/>
      </c>
      <c r="J1165" s="60" t="str">
        <f aca="false">IF(L1165="","",INDEX(ポート振替表!$M$5:$M$3507,$L1165)&amp;"")</f>
        <v/>
      </c>
      <c r="K1165" s="52" t="str">
        <f aca="false">IF(L1165="","",E1165&amp;CHAR(10)&amp;INDEX(ポート振替表!$K$5:$K$3507,$L1165)&amp;" "&amp;INDEX(ポート振替表!$L$5:$L$3507,$L1165)&amp;CHAR(10)&amp;"⇔ "&amp;INDEX(ポート振替表!$H$5:$H$3507,$L1165)&amp;" "&amp;INDEX(ポート振替表!$I$5:$I$3507,$L1165))</f>
        <v/>
      </c>
      <c r="L1165" s="47" t="str">
        <f aca="false">IFERROR(MATCH(ROW()-4,ポート振替表!$V$5:$V$3507,0),"")</f>
        <v/>
      </c>
    </row>
    <row r="1166" customFormat="false" ht="16.4" hidden="false" customHeight="false" outlineLevel="0" collapsed="false">
      <c r="A1166" s="32" t="str">
        <f aca="false">IF(L1166="","",ROW()-4)</f>
        <v/>
      </c>
      <c r="B1166" s="58" t="str">
        <f aca="false">IF(L1166="","",IF(INDEX(ポート振替表!$W$5:$W$3507,$L1166)="","(なし)",INDEX(ポート振替表!$W$5:$W$3507,$L1166)&amp;""))</f>
        <v/>
      </c>
      <c r="C1166" s="52" t="str">
        <f aca="false">IF(L1166="","",INDEX(ポート振替表!$B$5:$B$3507,$L1166)&amp;" "&amp;INDEX(ポート振替表!$C$5:$C$3507,$L1166)&amp;"  ⇔  "&amp;INDEX(ポート振替表!$H$5:$H$3507,$L1166)&amp;" "&amp;INDEX(ポート振替表!$I$5:$I$3507,$L1166))</f>
        <v/>
      </c>
      <c r="D1166" s="57" t="s">
        <v>158</v>
      </c>
      <c r="E1166" s="59" t="str">
        <f aca="false">IF(L1166="","",IF(INDEX(ポート振替表!$O$5:$O$3507,$L1166)="","(未設定)",INDEX(ポート振替表!$O$5:$O$3507,$L1166)&amp;""))</f>
        <v/>
      </c>
      <c r="F1166" s="52" t="str">
        <f aca="false">IF(L1166="","",INDEX(ポート振替表!$K$5:$K$3507,$L1166)&amp;" "&amp;INDEX(ポート振替表!$L$5:$L$3507,$L1166)&amp;"  ⇔  "&amp;INDEX(ポート振替表!$H$5:$H$3507,$L1166)&amp;" "&amp;INDEX(ポート振替表!$I$5:$I$3507,$L1166))</f>
        <v/>
      </c>
      <c r="G1166" s="57" t="s">
        <v>158</v>
      </c>
      <c r="H1166" s="32" t="str">
        <f aca="false">IF(L1166="","",INDEX(ポート振替表!$N$5:$N$3507,$L1166)&amp;"")</f>
        <v/>
      </c>
      <c r="I1166" s="32" t="str">
        <f aca="false">IF(L1166="","",INDEX(ポート振替表!$P$5:$P$3507,$L1166)&amp;"")</f>
        <v/>
      </c>
      <c r="J1166" s="60" t="str">
        <f aca="false">IF(L1166="","",INDEX(ポート振替表!$M$5:$M$3507,$L1166)&amp;"")</f>
        <v/>
      </c>
      <c r="K1166" s="52" t="str">
        <f aca="false">IF(L1166="","",E1166&amp;CHAR(10)&amp;INDEX(ポート振替表!$K$5:$K$3507,$L1166)&amp;" "&amp;INDEX(ポート振替表!$L$5:$L$3507,$L1166)&amp;CHAR(10)&amp;"⇔ "&amp;INDEX(ポート振替表!$H$5:$H$3507,$L1166)&amp;" "&amp;INDEX(ポート振替表!$I$5:$I$3507,$L1166))</f>
        <v/>
      </c>
      <c r="L1166" s="47" t="str">
        <f aca="false">IFERROR(MATCH(ROW()-4,ポート振替表!$V$5:$V$3507,0),"")</f>
        <v/>
      </c>
    </row>
    <row r="1167" customFormat="false" ht="16.4" hidden="false" customHeight="false" outlineLevel="0" collapsed="false">
      <c r="A1167" s="32" t="str">
        <f aca="false">IF(L1167="","",ROW()-4)</f>
        <v/>
      </c>
      <c r="B1167" s="58" t="str">
        <f aca="false">IF(L1167="","",IF(INDEX(ポート振替表!$W$5:$W$3507,$L1167)="","(なし)",INDEX(ポート振替表!$W$5:$W$3507,$L1167)&amp;""))</f>
        <v/>
      </c>
      <c r="C1167" s="52" t="str">
        <f aca="false">IF(L1167="","",INDEX(ポート振替表!$B$5:$B$3507,$L1167)&amp;" "&amp;INDEX(ポート振替表!$C$5:$C$3507,$L1167)&amp;"  ⇔  "&amp;INDEX(ポート振替表!$H$5:$H$3507,$L1167)&amp;" "&amp;INDEX(ポート振替表!$I$5:$I$3507,$L1167))</f>
        <v/>
      </c>
      <c r="D1167" s="57" t="s">
        <v>158</v>
      </c>
      <c r="E1167" s="59" t="str">
        <f aca="false">IF(L1167="","",IF(INDEX(ポート振替表!$O$5:$O$3507,$L1167)="","(未設定)",INDEX(ポート振替表!$O$5:$O$3507,$L1167)&amp;""))</f>
        <v/>
      </c>
      <c r="F1167" s="52" t="str">
        <f aca="false">IF(L1167="","",INDEX(ポート振替表!$K$5:$K$3507,$L1167)&amp;" "&amp;INDEX(ポート振替表!$L$5:$L$3507,$L1167)&amp;"  ⇔  "&amp;INDEX(ポート振替表!$H$5:$H$3507,$L1167)&amp;" "&amp;INDEX(ポート振替表!$I$5:$I$3507,$L1167))</f>
        <v/>
      </c>
      <c r="G1167" s="57" t="s">
        <v>158</v>
      </c>
      <c r="H1167" s="32" t="str">
        <f aca="false">IF(L1167="","",INDEX(ポート振替表!$N$5:$N$3507,$L1167)&amp;"")</f>
        <v/>
      </c>
      <c r="I1167" s="32" t="str">
        <f aca="false">IF(L1167="","",INDEX(ポート振替表!$P$5:$P$3507,$L1167)&amp;"")</f>
        <v/>
      </c>
      <c r="J1167" s="60" t="str">
        <f aca="false">IF(L1167="","",INDEX(ポート振替表!$M$5:$M$3507,$L1167)&amp;"")</f>
        <v/>
      </c>
      <c r="K1167" s="52" t="str">
        <f aca="false">IF(L1167="","",E1167&amp;CHAR(10)&amp;INDEX(ポート振替表!$K$5:$K$3507,$L1167)&amp;" "&amp;INDEX(ポート振替表!$L$5:$L$3507,$L1167)&amp;CHAR(10)&amp;"⇔ "&amp;INDEX(ポート振替表!$H$5:$H$3507,$L1167)&amp;" "&amp;INDEX(ポート振替表!$I$5:$I$3507,$L1167))</f>
        <v/>
      </c>
      <c r="L1167" s="47" t="str">
        <f aca="false">IFERROR(MATCH(ROW()-4,ポート振替表!$V$5:$V$3507,0),"")</f>
        <v/>
      </c>
    </row>
    <row r="1168" customFormat="false" ht="16.4" hidden="false" customHeight="false" outlineLevel="0" collapsed="false">
      <c r="A1168" s="32" t="str">
        <f aca="false">IF(L1168="","",ROW()-4)</f>
        <v/>
      </c>
      <c r="B1168" s="58" t="str">
        <f aca="false">IF(L1168="","",IF(INDEX(ポート振替表!$W$5:$W$3507,$L1168)="","(なし)",INDEX(ポート振替表!$W$5:$W$3507,$L1168)&amp;""))</f>
        <v/>
      </c>
      <c r="C1168" s="52" t="str">
        <f aca="false">IF(L1168="","",INDEX(ポート振替表!$B$5:$B$3507,$L1168)&amp;" "&amp;INDEX(ポート振替表!$C$5:$C$3507,$L1168)&amp;"  ⇔  "&amp;INDEX(ポート振替表!$H$5:$H$3507,$L1168)&amp;" "&amp;INDEX(ポート振替表!$I$5:$I$3507,$L1168))</f>
        <v/>
      </c>
      <c r="D1168" s="57" t="s">
        <v>158</v>
      </c>
      <c r="E1168" s="59" t="str">
        <f aca="false">IF(L1168="","",IF(INDEX(ポート振替表!$O$5:$O$3507,$L1168)="","(未設定)",INDEX(ポート振替表!$O$5:$O$3507,$L1168)&amp;""))</f>
        <v/>
      </c>
      <c r="F1168" s="52" t="str">
        <f aca="false">IF(L1168="","",INDEX(ポート振替表!$K$5:$K$3507,$L1168)&amp;" "&amp;INDEX(ポート振替表!$L$5:$L$3507,$L1168)&amp;"  ⇔  "&amp;INDEX(ポート振替表!$H$5:$H$3507,$L1168)&amp;" "&amp;INDEX(ポート振替表!$I$5:$I$3507,$L1168))</f>
        <v/>
      </c>
      <c r="G1168" s="57" t="s">
        <v>158</v>
      </c>
      <c r="H1168" s="32" t="str">
        <f aca="false">IF(L1168="","",INDEX(ポート振替表!$N$5:$N$3507,$L1168)&amp;"")</f>
        <v/>
      </c>
      <c r="I1168" s="32" t="str">
        <f aca="false">IF(L1168="","",INDEX(ポート振替表!$P$5:$P$3507,$L1168)&amp;"")</f>
        <v/>
      </c>
      <c r="J1168" s="60" t="str">
        <f aca="false">IF(L1168="","",INDEX(ポート振替表!$M$5:$M$3507,$L1168)&amp;"")</f>
        <v/>
      </c>
      <c r="K1168" s="52" t="str">
        <f aca="false">IF(L1168="","",E1168&amp;CHAR(10)&amp;INDEX(ポート振替表!$K$5:$K$3507,$L1168)&amp;" "&amp;INDEX(ポート振替表!$L$5:$L$3507,$L1168)&amp;CHAR(10)&amp;"⇔ "&amp;INDEX(ポート振替表!$H$5:$H$3507,$L1168)&amp;" "&amp;INDEX(ポート振替表!$I$5:$I$3507,$L1168))</f>
        <v/>
      </c>
      <c r="L1168" s="47" t="str">
        <f aca="false">IFERROR(MATCH(ROW()-4,ポート振替表!$V$5:$V$3507,0),"")</f>
        <v/>
      </c>
    </row>
    <row r="1169" customFormat="false" ht="16.4" hidden="false" customHeight="false" outlineLevel="0" collapsed="false">
      <c r="A1169" s="32" t="str">
        <f aca="false">IF(L1169="","",ROW()-4)</f>
        <v/>
      </c>
      <c r="B1169" s="58" t="str">
        <f aca="false">IF(L1169="","",IF(INDEX(ポート振替表!$W$5:$W$3507,$L1169)="","(なし)",INDEX(ポート振替表!$W$5:$W$3507,$L1169)&amp;""))</f>
        <v/>
      </c>
      <c r="C1169" s="52" t="str">
        <f aca="false">IF(L1169="","",INDEX(ポート振替表!$B$5:$B$3507,$L1169)&amp;" "&amp;INDEX(ポート振替表!$C$5:$C$3507,$L1169)&amp;"  ⇔  "&amp;INDEX(ポート振替表!$H$5:$H$3507,$L1169)&amp;" "&amp;INDEX(ポート振替表!$I$5:$I$3507,$L1169))</f>
        <v/>
      </c>
      <c r="D1169" s="57" t="s">
        <v>158</v>
      </c>
      <c r="E1169" s="59" t="str">
        <f aca="false">IF(L1169="","",IF(INDEX(ポート振替表!$O$5:$O$3507,$L1169)="","(未設定)",INDEX(ポート振替表!$O$5:$O$3507,$L1169)&amp;""))</f>
        <v/>
      </c>
      <c r="F1169" s="52" t="str">
        <f aca="false">IF(L1169="","",INDEX(ポート振替表!$K$5:$K$3507,$L1169)&amp;" "&amp;INDEX(ポート振替表!$L$5:$L$3507,$L1169)&amp;"  ⇔  "&amp;INDEX(ポート振替表!$H$5:$H$3507,$L1169)&amp;" "&amp;INDEX(ポート振替表!$I$5:$I$3507,$L1169))</f>
        <v/>
      </c>
      <c r="G1169" s="57" t="s">
        <v>158</v>
      </c>
      <c r="H1169" s="32" t="str">
        <f aca="false">IF(L1169="","",INDEX(ポート振替表!$N$5:$N$3507,$L1169)&amp;"")</f>
        <v/>
      </c>
      <c r="I1169" s="32" t="str">
        <f aca="false">IF(L1169="","",INDEX(ポート振替表!$P$5:$P$3507,$L1169)&amp;"")</f>
        <v/>
      </c>
      <c r="J1169" s="60" t="str">
        <f aca="false">IF(L1169="","",INDEX(ポート振替表!$M$5:$M$3507,$L1169)&amp;"")</f>
        <v/>
      </c>
      <c r="K1169" s="52" t="str">
        <f aca="false">IF(L1169="","",E1169&amp;CHAR(10)&amp;INDEX(ポート振替表!$K$5:$K$3507,$L1169)&amp;" "&amp;INDEX(ポート振替表!$L$5:$L$3507,$L1169)&amp;CHAR(10)&amp;"⇔ "&amp;INDEX(ポート振替表!$H$5:$H$3507,$L1169)&amp;" "&amp;INDEX(ポート振替表!$I$5:$I$3507,$L1169))</f>
        <v/>
      </c>
      <c r="L1169" s="47" t="str">
        <f aca="false">IFERROR(MATCH(ROW()-4,ポート振替表!$V$5:$V$3507,0),"")</f>
        <v/>
      </c>
    </row>
    <row r="1170" customFormat="false" ht="16.4" hidden="false" customHeight="false" outlineLevel="0" collapsed="false">
      <c r="A1170" s="32" t="str">
        <f aca="false">IF(L1170="","",ROW()-4)</f>
        <v/>
      </c>
      <c r="B1170" s="58" t="str">
        <f aca="false">IF(L1170="","",IF(INDEX(ポート振替表!$W$5:$W$3507,$L1170)="","(なし)",INDEX(ポート振替表!$W$5:$W$3507,$L1170)&amp;""))</f>
        <v/>
      </c>
      <c r="C1170" s="52" t="str">
        <f aca="false">IF(L1170="","",INDEX(ポート振替表!$B$5:$B$3507,$L1170)&amp;" "&amp;INDEX(ポート振替表!$C$5:$C$3507,$L1170)&amp;"  ⇔  "&amp;INDEX(ポート振替表!$H$5:$H$3507,$L1170)&amp;" "&amp;INDEX(ポート振替表!$I$5:$I$3507,$L1170))</f>
        <v/>
      </c>
      <c r="D1170" s="57" t="s">
        <v>158</v>
      </c>
      <c r="E1170" s="59" t="str">
        <f aca="false">IF(L1170="","",IF(INDEX(ポート振替表!$O$5:$O$3507,$L1170)="","(未設定)",INDEX(ポート振替表!$O$5:$O$3507,$L1170)&amp;""))</f>
        <v/>
      </c>
      <c r="F1170" s="52" t="str">
        <f aca="false">IF(L1170="","",INDEX(ポート振替表!$K$5:$K$3507,$L1170)&amp;" "&amp;INDEX(ポート振替表!$L$5:$L$3507,$L1170)&amp;"  ⇔  "&amp;INDEX(ポート振替表!$H$5:$H$3507,$L1170)&amp;" "&amp;INDEX(ポート振替表!$I$5:$I$3507,$L1170))</f>
        <v/>
      </c>
      <c r="G1170" s="57" t="s">
        <v>158</v>
      </c>
      <c r="H1170" s="32" t="str">
        <f aca="false">IF(L1170="","",INDEX(ポート振替表!$N$5:$N$3507,$L1170)&amp;"")</f>
        <v/>
      </c>
      <c r="I1170" s="32" t="str">
        <f aca="false">IF(L1170="","",INDEX(ポート振替表!$P$5:$P$3507,$L1170)&amp;"")</f>
        <v/>
      </c>
      <c r="J1170" s="60" t="str">
        <f aca="false">IF(L1170="","",INDEX(ポート振替表!$M$5:$M$3507,$L1170)&amp;"")</f>
        <v/>
      </c>
      <c r="K1170" s="52" t="str">
        <f aca="false">IF(L1170="","",E1170&amp;CHAR(10)&amp;INDEX(ポート振替表!$K$5:$K$3507,$L1170)&amp;" "&amp;INDEX(ポート振替表!$L$5:$L$3507,$L1170)&amp;CHAR(10)&amp;"⇔ "&amp;INDEX(ポート振替表!$H$5:$H$3507,$L1170)&amp;" "&amp;INDEX(ポート振替表!$I$5:$I$3507,$L1170))</f>
        <v/>
      </c>
      <c r="L1170" s="47" t="str">
        <f aca="false">IFERROR(MATCH(ROW()-4,ポート振替表!$V$5:$V$3507,0),"")</f>
        <v/>
      </c>
    </row>
    <row r="1171" customFormat="false" ht="16.4" hidden="false" customHeight="false" outlineLevel="0" collapsed="false">
      <c r="A1171" s="32" t="str">
        <f aca="false">IF(L1171="","",ROW()-4)</f>
        <v/>
      </c>
      <c r="B1171" s="58" t="str">
        <f aca="false">IF(L1171="","",IF(INDEX(ポート振替表!$W$5:$W$3507,$L1171)="","(なし)",INDEX(ポート振替表!$W$5:$W$3507,$L1171)&amp;""))</f>
        <v/>
      </c>
      <c r="C1171" s="52" t="str">
        <f aca="false">IF(L1171="","",INDEX(ポート振替表!$B$5:$B$3507,$L1171)&amp;" "&amp;INDEX(ポート振替表!$C$5:$C$3507,$L1171)&amp;"  ⇔  "&amp;INDEX(ポート振替表!$H$5:$H$3507,$L1171)&amp;" "&amp;INDEX(ポート振替表!$I$5:$I$3507,$L1171))</f>
        <v/>
      </c>
      <c r="D1171" s="57" t="s">
        <v>158</v>
      </c>
      <c r="E1171" s="59" t="str">
        <f aca="false">IF(L1171="","",IF(INDEX(ポート振替表!$O$5:$O$3507,$L1171)="","(未設定)",INDEX(ポート振替表!$O$5:$O$3507,$L1171)&amp;""))</f>
        <v/>
      </c>
      <c r="F1171" s="52" t="str">
        <f aca="false">IF(L1171="","",INDEX(ポート振替表!$K$5:$K$3507,$L1171)&amp;" "&amp;INDEX(ポート振替表!$L$5:$L$3507,$L1171)&amp;"  ⇔  "&amp;INDEX(ポート振替表!$H$5:$H$3507,$L1171)&amp;" "&amp;INDEX(ポート振替表!$I$5:$I$3507,$L1171))</f>
        <v/>
      </c>
      <c r="G1171" s="57" t="s">
        <v>158</v>
      </c>
      <c r="H1171" s="32" t="str">
        <f aca="false">IF(L1171="","",INDEX(ポート振替表!$N$5:$N$3507,$L1171)&amp;"")</f>
        <v/>
      </c>
      <c r="I1171" s="32" t="str">
        <f aca="false">IF(L1171="","",INDEX(ポート振替表!$P$5:$P$3507,$L1171)&amp;"")</f>
        <v/>
      </c>
      <c r="J1171" s="60" t="str">
        <f aca="false">IF(L1171="","",INDEX(ポート振替表!$M$5:$M$3507,$L1171)&amp;"")</f>
        <v/>
      </c>
      <c r="K1171" s="52" t="str">
        <f aca="false">IF(L1171="","",E1171&amp;CHAR(10)&amp;INDEX(ポート振替表!$K$5:$K$3507,$L1171)&amp;" "&amp;INDEX(ポート振替表!$L$5:$L$3507,$L1171)&amp;CHAR(10)&amp;"⇔ "&amp;INDEX(ポート振替表!$H$5:$H$3507,$L1171)&amp;" "&amp;INDEX(ポート振替表!$I$5:$I$3507,$L1171))</f>
        <v/>
      </c>
      <c r="L1171" s="47" t="str">
        <f aca="false">IFERROR(MATCH(ROW()-4,ポート振替表!$V$5:$V$3507,0),"")</f>
        <v/>
      </c>
    </row>
    <row r="1172" customFormat="false" ht="16.4" hidden="false" customHeight="false" outlineLevel="0" collapsed="false">
      <c r="A1172" s="32" t="str">
        <f aca="false">IF(L1172="","",ROW()-4)</f>
        <v/>
      </c>
      <c r="B1172" s="58" t="str">
        <f aca="false">IF(L1172="","",IF(INDEX(ポート振替表!$W$5:$W$3507,$L1172)="","(なし)",INDEX(ポート振替表!$W$5:$W$3507,$L1172)&amp;""))</f>
        <v/>
      </c>
      <c r="C1172" s="52" t="str">
        <f aca="false">IF(L1172="","",INDEX(ポート振替表!$B$5:$B$3507,$L1172)&amp;" "&amp;INDEX(ポート振替表!$C$5:$C$3507,$L1172)&amp;"  ⇔  "&amp;INDEX(ポート振替表!$H$5:$H$3507,$L1172)&amp;" "&amp;INDEX(ポート振替表!$I$5:$I$3507,$L1172))</f>
        <v/>
      </c>
      <c r="D1172" s="57" t="s">
        <v>158</v>
      </c>
      <c r="E1172" s="59" t="str">
        <f aca="false">IF(L1172="","",IF(INDEX(ポート振替表!$O$5:$O$3507,$L1172)="","(未設定)",INDEX(ポート振替表!$O$5:$O$3507,$L1172)&amp;""))</f>
        <v/>
      </c>
      <c r="F1172" s="52" t="str">
        <f aca="false">IF(L1172="","",INDEX(ポート振替表!$K$5:$K$3507,$L1172)&amp;" "&amp;INDEX(ポート振替表!$L$5:$L$3507,$L1172)&amp;"  ⇔  "&amp;INDEX(ポート振替表!$H$5:$H$3507,$L1172)&amp;" "&amp;INDEX(ポート振替表!$I$5:$I$3507,$L1172))</f>
        <v/>
      </c>
      <c r="G1172" s="57" t="s">
        <v>158</v>
      </c>
      <c r="H1172" s="32" t="str">
        <f aca="false">IF(L1172="","",INDEX(ポート振替表!$N$5:$N$3507,$L1172)&amp;"")</f>
        <v/>
      </c>
      <c r="I1172" s="32" t="str">
        <f aca="false">IF(L1172="","",INDEX(ポート振替表!$P$5:$P$3507,$L1172)&amp;"")</f>
        <v/>
      </c>
      <c r="J1172" s="60" t="str">
        <f aca="false">IF(L1172="","",INDEX(ポート振替表!$M$5:$M$3507,$L1172)&amp;"")</f>
        <v/>
      </c>
      <c r="K1172" s="52" t="str">
        <f aca="false">IF(L1172="","",E1172&amp;CHAR(10)&amp;INDEX(ポート振替表!$K$5:$K$3507,$L1172)&amp;" "&amp;INDEX(ポート振替表!$L$5:$L$3507,$L1172)&amp;CHAR(10)&amp;"⇔ "&amp;INDEX(ポート振替表!$H$5:$H$3507,$L1172)&amp;" "&amp;INDEX(ポート振替表!$I$5:$I$3507,$L1172))</f>
        <v/>
      </c>
      <c r="L1172" s="47" t="str">
        <f aca="false">IFERROR(MATCH(ROW()-4,ポート振替表!$V$5:$V$3507,0),"")</f>
        <v/>
      </c>
    </row>
    <row r="1173" customFormat="false" ht="16.4" hidden="false" customHeight="false" outlineLevel="0" collapsed="false">
      <c r="A1173" s="32" t="str">
        <f aca="false">IF(L1173="","",ROW()-4)</f>
        <v/>
      </c>
      <c r="B1173" s="58" t="str">
        <f aca="false">IF(L1173="","",IF(INDEX(ポート振替表!$W$5:$W$3507,$L1173)="","(なし)",INDEX(ポート振替表!$W$5:$W$3507,$L1173)&amp;""))</f>
        <v/>
      </c>
      <c r="C1173" s="52" t="str">
        <f aca="false">IF(L1173="","",INDEX(ポート振替表!$B$5:$B$3507,$L1173)&amp;" "&amp;INDEX(ポート振替表!$C$5:$C$3507,$L1173)&amp;"  ⇔  "&amp;INDEX(ポート振替表!$H$5:$H$3507,$L1173)&amp;" "&amp;INDEX(ポート振替表!$I$5:$I$3507,$L1173))</f>
        <v/>
      </c>
      <c r="D1173" s="57" t="s">
        <v>158</v>
      </c>
      <c r="E1173" s="59" t="str">
        <f aca="false">IF(L1173="","",IF(INDEX(ポート振替表!$O$5:$O$3507,$L1173)="","(未設定)",INDEX(ポート振替表!$O$5:$O$3507,$L1173)&amp;""))</f>
        <v/>
      </c>
      <c r="F1173" s="52" t="str">
        <f aca="false">IF(L1173="","",INDEX(ポート振替表!$K$5:$K$3507,$L1173)&amp;" "&amp;INDEX(ポート振替表!$L$5:$L$3507,$L1173)&amp;"  ⇔  "&amp;INDEX(ポート振替表!$H$5:$H$3507,$L1173)&amp;" "&amp;INDEX(ポート振替表!$I$5:$I$3507,$L1173))</f>
        <v/>
      </c>
      <c r="G1173" s="57" t="s">
        <v>158</v>
      </c>
      <c r="H1173" s="32" t="str">
        <f aca="false">IF(L1173="","",INDEX(ポート振替表!$N$5:$N$3507,$L1173)&amp;"")</f>
        <v/>
      </c>
      <c r="I1173" s="32" t="str">
        <f aca="false">IF(L1173="","",INDEX(ポート振替表!$P$5:$P$3507,$L1173)&amp;"")</f>
        <v/>
      </c>
      <c r="J1173" s="60" t="str">
        <f aca="false">IF(L1173="","",INDEX(ポート振替表!$M$5:$M$3507,$L1173)&amp;"")</f>
        <v/>
      </c>
      <c r="K1173" s="52" t="str">
        <f aca="false">IF(L1173="","",E1173&amp;CHAR(10)&amp;INDEX(ポート振替表!$K$5:$K$3507,$L1173)&amp;" "&amp;INDEX(ポート振替表!$L$5:$L$3507,$L1173)&amp;CHAR(10)&amp;"⇔ "&amp;INDEX(ポート振替表!$H$5:$H$3507,$L1173)&amp;" "&amp;INDEX(ポート振替表!$I$5:$I$3507,$L1173))</f>
        <v/>
      </c>
      <c r="L1173" s="47" t="str">
        <f aca="false">IFERROR(MATCH(ROW()-4,ポート振替表!$V$5:$V$3507,0),"")</f>
        <v/>
      </c>
    </row>
    <row r="1174" customFormat="false" ht="16.4" hidden="false" customHeight="false" outlineLevel="0" collapsed="false">
      <c r="A1174" s="32" t="str">
        <f aca="false">IF(L1174="","",ROW()-4)</f>
        <v/>
      </c>
      <c r="B1174" s="58" t="str">
        <f aca="false">IF(L1174="","",IF(INDEX(ポート振替表!$W$5:$W$3507,$L1174)="","(なし)",INDEX(ポート振替表!$W$5:$W$3507,$L1174)&amp;""))</f>
        <v/>
      </c>
      <c r="C1174" s="52" t="str">
        <f aca="false">IF(L1174="","",INDEX(ポート振替表!$B$5:$B$3507,$L1174)&amp;" "&amp;INDEX(ポート振替表!$C$5:$C$3507,$L1174)&amp;"  ⇔  "&amp;INDEX(ポート振替表!$H$5:$H$3507,$L1174)&amp;" "&amp;INDEX(ポート振替表!$I$5:$I$3507,$L1174))</f>
        <v/>
      </c>
      <c r="D1174" s="57" t="s">
        <v>158</v>
      </c>
      <c r="E1174" s="59" t="str">
        <f aca="false">IF(L1174="","",IF(INDEX(ポート振替表!$O$5:$O$3507,$L1174)="","(未設定)",INDEX(ポート振替表!$O$5:$O$3507,$L1174)&amp;""))</f>
        <v/>
      </c>
      <c r="F1174" s="52" t="str">
        <f aca="false">IF(L1174="","",INDEX(ポート振替表!$K$5:$K$3507,$L1174)&amp;" "&amp;INDEX(ポート振替表!$L$5:$L$3507,$L1174)&amp;"  ⇔  "&amp;INDEX(ポート振替表!$H$5:$H$3507,$L1174)&amp;" "&amp;INDEX(ポート振替表!$I$5:$I$3507,$L1174))</f>
        <v/>
      </c>
      <c r="G1174" s="57" t="s">
        <v>158</v>
      </c>
      <c r="H1174" s="32" t="str">
        <f aca="false">IF(L1174="","",INDEX(ポート振替表!$N$5:$N$3507,$L1174)&amp;"")</f>
        <v/>
      </c>
      <c r="I1174" s="32" t="str">
        <f aca="false">IF(L1174="","",INDEX(ポート振替表!$P$5:$P$3507,$L1174)&amp;"")</f>
        <v/>
      </c>
      <c r="J1174" s="60" t="str">
        <f aca="false">IF(L1174="","",INDEX(ポート振替表!$M$5:$M$3507,$L1174)&amp;"")</f>
        <v/>
      </c>
      <c r="K1174" s="52" t="str">
        <f aca="false">IF(L1174="","",E1174&amp;CHAR(10)&amp;INDEX(ポート振替表!$K$5:$K$3507,$L1174)&amp;" "&amp;INDEX(ポート振替表!$L$5:$L$3507,$L1174)&amp;CHAR(10)&amp;"⇔ "&amp;INDEX(ポート振替表!$H$5:$H$3507,$L1174)&amp;" "&amp;INDEX(ポート振替表!$I$5:$I$3507,$L1174))</f>
        <v/>
      </c>
      <c r="L1174" s="47" t="str">
        <f aca="false">IFERROR(MATCH(ROW()-4,ポート振替表!$V$5:$V$3507,0),"")</f>
        <v/>
      </c>
    </row>
    <row r="1175" customFormat="false" ht="16.4" hidden="false" customHeight="false" outlineLevel="0" collapsed="false">
      <c r="A1175" s="32" t="str">
        <f aca="false">IF(L1175="","",ROW()-4)</f>
        <v/>
      </c>
      <c r="B1175" s="58" t="str">
        <f aca="false">IF(L1175="","",IF(INDEX(ポート振替表!$W$5:$W$3507,$L1175)="","(なし)",INDEX(ポート振替表!$W$5:$W$3507,$L1175)&amp;""))</f>
        <v/>
      </c>
      <c r="C1175" s="52" t="str">
        <f aca="false">IF(L1175="","",INDEX(ポート振替表!$B$5:$B$3507,$L1175)&amp;" "&amp;INDEX(ポート振替表!$C$5:$C$3507,$L1175)&amp;"  ⇔  "&amp;INDEX(ポート振替表!$H$5:$H$3507,$L1175)&amp;" "&amp;INDEX(ポート振替表!$I$5:$I$3507,$L1175))</f>
        <v/>
      </c>
      <c r="D1175" s="57" t="s">
        <v>158</v>
      </c>
      <c r="E1175" s="59" t="str">
        <f aca="false">IF(L1175="","",IF(INDEX(ポート振替表!$O$5:$O$3507,$L1175)="","(未設定)",INDEX(ポート振替表!$O$5:$O$3507,$L1175)&amp;""))</f>
        <v/>
      </c>
      <c r="F1175" s="52" t="str">
        <f aca="false">IF(L1175="","",INDEX(ポート振替表!$K$5:$K$3507,$L1175)&amp;" "&amp;INDEX(ポート振替表!$L$5:$L$3507,$L1175)&amp;"  ⇔  "&amp;INDEX(ポート振替表!$H$5:$H$3507,$L1175)&amp;" "&amp;INDEX(ポート振替表!$I$5:$I$3507,$L1175))</f>
        <v/>
      </c>
      <c r="G1175" s="57" t="s">
        <v>158</v>
      </c>
      <c r="H1175" s="32" t="str">
        <f aca="false">IF(L1175="","",INDEX(ポート振替表!$N$5:$N$3507,$L1175)&amp;"")</f>
        <v/>
      </c>
      <c r="I1175" s="32" t="str">
        <f aca="false">IF(L1175="","",INDEX(ポート振替表!$P$5:$P$3507,$L1175)&amp;"")</f>
        <v/>
      </c>
      <c r="J1175" s="60" t="str">
        <f aca="false">IF(L1175="","",INDEX(ポート振替表!$M$5:$M$3507,$L1175)&amp;"")</f>
        <v/>
      </c>
      <c r="K1175" s="52" t="str">
        <f aca="false">IF(L1175="","",E1175&amp;CHAR(10)&amp;INDEX(ポート振替表!$K$5:$K$3507,$L1175)&amp;" "&amp;INDEX(ポート振替表!$L$5:$L$3507,$L1175)&amp;CHAR(10)&amp;"⇔ "&amp;INDEX(ポート振替表!$H$5:$H$3507,$L1175)&amp;" "&amp;INDEX(ポート振替表!$I$5:$I$3507,$L1175))</f>
        <v/>
      </c>
      <c r="L1175" s="47" t="str">
        <f aca="false">IFERROR(MATCH(ROW()-4,ポート振替表!$V$5:$V$3507,0),"")</f>
        <v/>
      </c>
    </row>
    <row r="1176" customFormat="false" ht="16.4" hidden="false" customHeight="false" outlineLevel="0" collapsed="false">
      <c r="A1176" s="32" t="str">
        <f aca="false">IF(L1176="","",ROW()-4)</f>
        <v/>
      </c>
      <c r="B1176" s="58" t="str">
        <f aca="false">IF(L1176="","",IF(INDEX(ポート振替表!$W$5:$W$3507,$L1176)="","(なし)",INDEX(ポート振替表!$W$5:$W$3507,$L1176)&amp;""))</f>
        <v/>
      </c>
      <c r="C1176" s="52" t="str">
        <f aca="false">IF(L1176="","",INDEX(ポート振替表!$B$5:$B$3507,$L1176)&amp;" "&amp;INDEX(ポート振替表!$C$5:$C$3507,$L1176)&amp;"  ⇔  "&amp;INDEX(ポート振替表!$H$5:$H$3507,$L1176)&amp;" "&amp;INDEX(ポート振替表!$I$5:$I$3507,$L1176))</f>
        <v/>
      </c>
      <c r="D1176" s="57" t="s">
        <v>158</v>
      </c>
      <c r="E1176" s="59" t="str">
        <f aca="false">IF(L1176="","",IF(INDEX(ポート振替表!$O$5:$O$3507,$L1176)="","(未設定)",INDEX(ポート振替表!$O$5:$O$3507,$L1176)&amp;""))</f>
        <v/>
      </c>
      <c r="F1176" s="52" t="str">
        <f aca="false">IF(L1176="","",INDEX(ポート振替表!$K$5:$K$3507,$L1176)&amp;" "&amp;INDEX(ポート振替表!$L$5:$L$3507,$L1176)&amp;"  ⇔  "&amp;INDEX(ポート振替表!$H$5:$H$3507,$L1176)&amp;" "&amp;INDEX(ポート振替表!$I$5:$I$3507,$L1176))</f>
        <v/>
      </c>
      <c r="G1176" s="57" t="s">
        <v>158</v>
      </c>
      <c r="H1176" s="32" t="str">
        <f aca="false">IF(L1176="","",INDEX(ポート振替表!$N$5:$N$3507,$L1176)&amp;"")</f>
        <v/>
      </c>
      <c r="I1176" s="32" t="str">
        <f aca="false">IF(L1176="","",INDEX(ポート振替表!$P$5:$P$3507,$L1176)&amp;"")</f>
        <v/>
      </c>
      <c r="J1176" s="60" t="str">
        <f aca="false">IF(L1176="","",INDEX(ポート振替表!$M$5:$M$3507,$L1176)&amp;"")</f>
        <v/>
      </c>
      <c r="K1176" s="52" t="str">
        <f aca="false">IF(L1176="","",E1176&amp;CHAR(10)&amp;INDEX(ポート振替表!$K$5:$K$3507,$L1176)&amp;" "&amp;INDEX(ポート振替表!$L$5:$L$3507,$L1176)&amp;CHAR(10)&amp;"⇔ "&amp;INDEX(ポート振替表!$H$5:$H$3507,$L1176)&amp;" "&amp;INDEX(ポート振替表!$I$5:$I$3507,$L1176))</f>
        <v/>
      </c>
      <c r="L1176" s="47" t="str">
        <f aca="false">IFERROR(MATCH(ROW()-4,ポート振替表!$V$5:$V$3507,0),"")</f>
        <v/>
      </c>
    </row>
    <row r="1177" customFormat="false" ht="16.4" hidden="false" customHeight="false" outlineLevel="0" collapsed="false">
      <c r="A1177" s="32" t="str">
        <f aca="false">IF(L1177="","",ROW()-4)</f>
        <v/>
      </c>
      <c r="B1177" s="58" t="str">
        <f aca="false">IF(L1177="","",IF(INDEX(ポート振替表!$W$5:$W$3507,$L1177)="","(なし)",INDEX(ポート振替表!$W$5:$W$3507,$L1177)&amp;""))</f>
        <v/>
      </c>
      <c r="C1177" s="52" t="str">
        <f aca="false">IF(L1177="","",INDEX(ポート振替表!$B$5:$B$3507,$L1177)&amp;" "&amp;INDEX(ポート振替表!$C$5:$C$3507,$L1177)&amp;"  ⇔  "&amp;INDEX(ポート振替表!$H$5:$H$3507,$L1177)&amp;" "&amp;INDEX(ポート振替表!$I$5:$I$3507,$L1177))</f>
        <v/>
      </c>
      <c r="D1177" s="57" t="s">
        <v>158</v>
      </c>
      <c r="E1177" s="59" t="str">
        <f aca="false">IF(L1177="","",IF(INDEX(ポート振替表!$O$5:$O$3507,$L1177)="","(未設定)",INDEX(ポート振替表!$O$5:$O$3507,$L1177)&amp;""))</f>
        <v/>
      </c>
      <c r="F1177" s="52" t="str">
        <f aca="false">IF(L1177="","",INDEX(ポート振替表!$K$5:$K$3507,$L1177)&amp;" "&amp;INDEX(ポート振替表!$L$5:$L$3507,$L1177)&amp;"  ⇔  "&amp;INDEX(ポート振替表!$H$5:$H$3507,$L1177)&amp;" "&amp;INDEX(ポート振替表!$I$5:$I$3507,$L1177))</f>
        <v/>
      </c>
      <c r="G1177" s="57" t="s">
        <v>158</v>
      </c>
      <c r="H1177" s="32" t="str">
        <f aca="false">IF(L1177="","",INDEX(ポート振替表!$N$5:$N$3507,$L1177)&amp;"")</f>
        <v/>
      </c>
      <c r="I1177" s="32" t="str">
        <f aca="false">IF(L1177="","",INDEX(ポート振替表!$P$5:$P$3507,$L1177)&amp;"")</f>
        <v/>
      </c>
      <c r="J1177" s="60" t="str">
        <f aca="false">IF(L1177="","",INDEX(ポート振替表!$M$5:$M$3507,$L1177)&amp;"")</f>
        <v/>
      </c>
      <c r="K1177" s="52" t="str">
        <f aca="false">IF(L1177="","",E1177&amp;CHAR(10)&amp;INDEX(ポート振替表!$K$5:$K$3507,$L1177)&amp;" "&amp;INDEX(ポート振替表!$L$5:$L$3507,$L1177)&amp;CHAR(10)&amp;"⇔ "&amp;INDEX(ポート振替表!$H$5:$H$3507,$L1177)&amp;" "&amp;INDEX(ポート振替表!$I$5:$I$3507,$L1177))</f>
        <v/>
      </c>
      <c r="L1177" s="47" t="str">
        <f aca="false">IFERROR(MATCH(ROW()-4,ポート振替表!$V$5:$V$3507,0),"")</f>
        <v/>
      </c>
    </row>
    <row r="1178" customFormat="false" ht="16.4" hidden="false" customHeight="false" outlineLevel="0" collapsed="false">
      <c r="A1178" s="32" t="str">
        <f aca="false">IF(L1178="","",ROW()-4)</f>
        <v/>
      </c>
      <c r="B1178" s="58" t="str">
        <f aca="false">IF(L1178="","",IF(INDEX(ポート振替表!$W$5:$W$3507,$L1178)="","(なし)",INDEX(ポート振替表!$W$5:$W$3507,$L1178)&amp;""))</f>
        <v/>
      </c>
      <c r="C1178" s="52" t="str">
        <f aca="false">IF(L1178="","",INDEX(ポート振替表!$B$5:$B$3507,$L1178)&amp;" "&amp;INDEX(ポート振替表!$C$5:$C$3507,$L1178)&amp;"  ⇔  "&amp;INDEX(ポート振替表!$H$5:$H$3507,$L1178)&amp;" "&amp;INDEX(ポート振替表!$I$5:$I$3507,$L1178))</f>
        <v/>
      </c>
      <c r="D1178" s="57" t="s">
        <v>158</v>
      </c>
      <c r="E1178" s="59" t="str">
        <f aca="false">IF(L1178="","",IF(INDEX(ポート振替表!$O$5:$O$3507,$L1178)="","(未設定)",INDEX(ポート振替表!$O$5:$O$3507,$L1178)&amp;""))</f>
        <v/>
      </c>
      <c r="F1178" s="52" t="str">
        <f aca="false">IF(L1178="","",INDEX(ポート振替表!$K$5:$K$3507,$L1178)&amp;" "&amp;INDEX(ポート振替表!$L$5:$L$3507,$L1178)&amp;"  ⇔  "&amp;INDEX(ポート振替表!$H$5:$H$3507,$L1178)&amp;" "&amp;INDEX(ポート振替表!$I$5:$I$3507,$L1178))</f>
        <v/>
      </c>
      <c r="G1178" s="57" t="s">
        <v>158</v>
      </c>
      <c r="H1178" s="32" t="str">
        <f aca="false">IF(L1178="","",INDEX(ポート振替表!$N$5:$N$3507,$L1178)&amp;"")</f>
        <v/>
      </c>
      <c r="I1178" s="32" t="str">
        <f aca="false">IF(L1178="","",INDEX(ポート振替表!$P$5:$P$3507,$L1178)&amp;"")</f>
        <v/>
      </c>
      <c r="J1178" s="60" t="str">
        <f aca="false">IF(L1178="","",INDEX(ポート振替表!$M$5:$M$3507,$L1178)&amp;"")</f>
        <v/>
      </c>
      <c r="K1178" s="52" t="str">
        <f aca="false">IF(L1178="","",E1178&amp;CHAR(10)&amp;INDEX(ポート振替表!$K$5:$K$3507,$L1178)&amp;" "&amp;INDEX(ポート振替表!$L$5:$L$3507,$L1178)&amp;CHAR(10)&amp;"⇔ "&amp;INDEX(ポート振替表!$H$5:$H$3507,$L1178)&amp;" "&amp;INDEX(ポート振替表!$I$5:$I$3507,$L1178))</f>
        <v/>
      </c>
      <c r="L1178" s="47" t="str">
        <f aca="false">IFERROR(MATCH(ROW()-4,ポート振替表!$V$5:$V$3507,0),"")</f>
        <v/>
      </c>
    </row>
    <row r="1179" customFormat="false" ht="16.4" hidden="false" customHeight="false" outlineLevel="0" collapsed="false">
      <c r="A1179" s="32" t="str">
        <f aca="false">IF(L1179="","",ROW()-4)</f>
        <v/>
      </c>
      <c r="B1179" s="58" t="str">
        <f aca="false">IF(L1179="","",IF(INDEX(ポート振替表!$W$5:$W$3507,$L1179)="","(なし)",INDEX(ポート振替表!$W$5:$W$3507,$L1179)&amp;""))</f>
        <v/>
      </c>
      <c r="C1179" s="52" t="str">
        <f aca="false">IF(L1179="","",INDEX(ポート振替表!$B$5:$B$3507,$L1179)&amp;" "&amp;INDEX(ポート振替表!$C$5:$C$3507,$L1179)&amp;"  ⇔  "&amp;INDEX(ポート振替表!$H$5:$H$3507,$L1179)&amp;" "&amp;INDEX(ポート振替表!$I$5:$I$3507,$L1179))</f>
        <v/>
      </c>
      <c r="D1179" s="57" t="s">
        <v>158</v>
      </c>
      <c r="E1179" s="59" t="str">
        <f aca="false">IF(L1179="","",IF(INDEX(ポート振替表!$O$5:$O$3507,$L1179)="","(未設定)",INDEX(ポート振替表!$O$5:$O$3507,$L1179)&amp;""))</f>
        <v/>
      </c>
      <c r="F1179" s="52" t="str">
        <f aca="false">IF(L1179="","",INDEX(ポート振替表!$K$5:$K$3507,$L1179)&amp;" "&amp;INDEX(ポート振替表!$L$5:$L$3507,$L1179)&amp;"  ⇔  "&amp;INDEX(ポート振替表!$H$5:$H$3507,$L1179)&amp;" "&amp;INDEX(ポート振替表!$I$5:$I$3507,$L1179))</f>
        <v/>
      </c>
      <c r="G1179" s="57" t="s">
        <v>158</v>
      </c>
      <c r="H1179" s="32" t="str">
        <f aca="false">IF(L1179="","",INDEX(ポート振替表!$N$5:$N$3507,$L1179)&amp;"")</f>
        <v/>
      </c>
      <c r="I1179" s="32" t="str">
        <f aca="false">IF(L1179="","",INDEX(ポート振替表!$P$5:$P$3507,$L1179)&amp;"")</f>
        <v/>
      </c>
      <c r="J1179" s="60" t="str">
        <f aca="false">IF(L1179="","",INDEX(ポート振替表!$M$5:$M$3507,$L1179)&amp;"")</f>
        <v/>
      </c>
      <c r="K1179" s="52" t="str">
        <f aca="false">IF(L1179="","",E1179&amp;CHAR(10)&amp;INDEX(ポート振替表!$K$5:$K$3507,$L1179)&amp;" "&amp;INDEX(ポート振替表!$L$5:$L$3507,$L1179)&amp;CHAR(10)&amp;"⇔ "&amp;INDEX(ポート振替表!$H$5:$H$3507,$L1179)&amp;" "&amp;INDEX(ポート振替表!$I$5:$I$3507,$L1179))</f>
        <v/>
      </c>
      <c r="L1179" s="47" t="str">
        <f aca="false">IFERROR(MATCH(ROW()-4,ポート振替表!$V$5:$V$3507,0),"")</f>
        <v/>
      </c>
    </row>
    <row r="1180" customFormat="false" ht="16.4" hidden="false" customHeight="false" outlineLevel="0" collapsed="false">
      <c r="A1180" s="32" t="str">
        <f aca="false">IF(L1180="","",ROW()-4)</f>
        <v/>
      </c>
      <c r="B1180" s="58" t="str">
        <f aca="false">IF(L1180="","",IF(INDEX(ポート振替表!$W$5:$W$3507,$L1180)="","(なし)",INDEX(ポート振替表!$W$5:$W$3507,$L1180)&amp;""))</f>
        <v/>
      </c>
      <c r="C1180" s="52" t="str">
        <f aca="false">IF(L1180="","",INDEX(ポート振替表!$B$5:$B$3507,$L1180)&amp;" "&amp;INDEX(ポート振替表!$C$5:$C$3507,$L1180)&amp;"  ⇔  "&amp;INDEX(ポート振替表!$H$5:$H$3507,$L1180)&amp;" "&amp;INDEX(ポート振替表!$I$5:$I$3507,$L1180))</f>
        <v/>
      </c>
      <c r="D1180" s="57" t="s">
        <v>158</v>
      </c>
      <c r="E1180" s="59" t="str">
        <f aca="false">IF(L1180="","",IF(INDEX(ポート振替表!$O$5:$O$3507,$L1180)="","(未設定)",INDEX(ポート振替表!$O$5:$O$3507,$L1180)&amp;""))</f>
        <v/>
      </c>
      <c r="F1180" s="52" t="str">
        <f aca="false">IF(L1180="","",INDEX(ポート振替表!$K$5:$K$3507,$L1180)&amp;" "&amp;INDEX(ポート振替表!$L$5:$L$3507,$L1180)&amp;"  ⇔  "&amp;INDEX(ポート振替表!$H$5:$H$3507,$L1180)&amp;" "&amp;INDEX(ポート振替表!$I$5:$I$3507,$L1180))</f>
        <v/>
      </c>
      <c r="G1180" s="57" t="s">
        <v>158</v>
      </c>
      <c r="H1180" s="32" t="str">
        <f aca="false">IF(L1180="","",INDEX(ポート振替表!$N$5:$N$3507,$L1180)&amp;"")</f>
        <v/>
      </c>
      <c r="I1180" s="32" t="str">
        <f aca="false">IF(L1180="","",INDEX(ポート振替表!$P$5:$P$3507,$L1180)&amp;"")</f>
        <v/>
      </c>
      <c r="J1180" s="60" t="str">
        <f aca="false">IF(L1180="","",INDEX(ポート振替表!$M$5:$M$3507,$L1180)&amp;"")</f>
        <v/>
      </c>
      <c r="K1180" s="52" t="str">
        <f aca="false">IF(L1180="","",E1180&amp;CHAR(10)&amp;INDEX(ポート振替表!$K$5:$K$3507,$L1180)&amp;" "&amp;INDEX(ポート振替表!$L$5:$L$3507,$L1180)&amp;CHAR(10)&amp;"⇔ "&amp;INDEX(ポート振替表!$H$5:$H$3507,$L1180)&amp;" "&amp;INDEX(ポート振替表!$I$5:$I$3507,$L1180))</f>
        <v/>
      </c>
      <c r="L1180" s="47" t="str">
        <f aca="false">IFERROR(MATCH(ROW()-4,ポート振替表!$V$5:$V$3507,0),"")</f>
        <v/>
      </c>
    </row>
    <row r="1181" customFormat="false" ht="16.4" hidden="false" customHeight="false" outlineLevel="0" collapsed="false">
      <c r="A1181" s="32" t="str">
        <f aca="false">IF(L1181="","",ROW()-4)</f>
        <v/>
      </c>
      <c r="B1181" s="58" t="str">
        <f aca="false">IF(L1181="","",IF(INDEX(ポート振替表!$W$5:$W$3507,$L1181)="","(なし)",INDEX(ポート振替表!$W$5:$W$3507,$L1181)&amp;""))</f>
        <v/>
      </c>
      <c r="C1181" s="52" t="str">
        <f aca="false">IF(L1181="","",INDEX(ポート振替表!$B$5:$B$3507,$L1181)&amp;" "&amp;INDEX(ポート振替表!$C$5:$C$3507,$L1181)&amp;"  ⇔  "&amp;INDEX(ポート振替表!$H$5:$H$3507,$L1181)&amp;" "&amp;INDEX(ポート振替表!$I$5:$I$3507,$L1181))</f>
        <v/>
      </c>
      <c r="D1181" s="57" t="s">
        <v>158</v>
      </c>
      <c r="E1181" s="59" t="str">
        <f aca="false">IF(L1181="","",IF(INDEX(ポート振替表!$O$5:$O$3507,$L1181)="","(未設定)",INDEX(ポート振替表!$O$5:$O$3507,$L1181)&amp;""))</f>
        <v/>
      </c>
      <c r="F1181" s="52" t="str">
        <f aca="false">IF(L1181="","",INDEX(ポート振替表!$K$5:$K$3507,$L1181)&amp;" "&amp;INDEX(ポート振替表!$L$5:$L$3507,$L1181)&amp;"  ⇔  "&amp;INDEX(ポート振替表!$H$5:$H$3507,$L1181)&amp;" "&amp;INDEX(ポート振替表!$I$5:$I$3507,$L1181))</f>
        <v/>
      </c>
      <c r="G1181" s="57" t="s">
        <v>158</v>
      </c>
      <c r="H1181" s="32" t="str">
        <f aca="false">IF(L1181="","",INDEX(ポート振替表!$N$5:$N$3507,$L1181)&amp;"")</f>
        <v/>
      </c>
      <c r="I1181" s="32" t="str">
        <f aca="false">IF(L1181="","",INDEX(ポート振替表!$P$5:$P$3507,$L1181)&amp;"")</f>
        <v/>
      </c>
      <c r="J1181" s="60" t="str">
        <f aca="false">IF(L1181="","",INDEX(ポート振替表!$M$5:$M$3507,$L1181)&amp;"")</f>
        <v/>
      </c>
      <c r="K1181" s="52" t="str">
        <f aca="false">IF(L1181="","",E1181&amp;CHAR(10)&amp;INDEX(ポート振替表!$K$5:$K$3507,$L1181)&amp;" "&amp;INDEX(ポート振替表!$L$5:$L$3507,$L1181)&amp;CHAR(10)&amp;"⇔ "&amp;INDEX(ポート振替表!$H$5:$H$3507,$L1181)&amp;" "&amp;INDEX(ポート振替表!$I$5:$I$3507,$L1181))</f>
        <v/>
      </c>
      <c r="L1181" s="47" t="str">
        <f aca="false">IFERROR(MATCH(ROW()-4,ポート振替表!$V$5:$V$3507,0),"")</f>
        <v/>
      </c>
    </row>
    <row r="1182" customFormat="false" ht="16.4" hidden="false" customHeight="false" outlineLevel="0" collapsed="false">
      <c r="A1182" s="32" t="str">
        <f aca="false">IF(L1182="","",ROW()-4)</f>
        <v/>
      </c>
      <c r="B1182" s="58" t="str">
        <f aca="false">IF(L1182="","",IF(INDEX(ポート振替表!$W$5:$W$3507,$L1182)="","(なし)",INDEX(ポート振替表!$W$5:$W$3507,$L1182)&amp;""))</f>
        <v/>
      </c>
      <c r="C1182" s="52" t="str">
        <f aca="false">IF(L1182="","",INDEX(ポート振替表!$B$5:$B$3507,$L1182)&amp;" "&amp;INDEX(ポート振替表!$C$5:$C$3507,$L1182)&amp;"  ⇔  "&amp;INDEX(ポート振替表!$H$5:$H$3507,$L1182)&amp;" "&amp;INDEX(ポート振替表!$I$5:$I$3507,$L1182))</f>
        <v/>
      </c>
      <c r="D1182" s="57" t="s">
        <v>158</v>
      </c>
      <c r="E1182" s="59" t="str">
        <f aca="false">IF(L1182="","",IF(INDEX(ポート振替表!$O$5:$O$3507,$L1182)="","(未設定)",INDEX(ポート振替表!$O$5:$O$3507,$L1182)&amp;""))</f>
        <v/>
      </c>
      <c r="F1182" s="52" t="str">
        <f aca="false">IF(L1182="","",INDEX(ポート振替表!$K$5:$K$3507,$L1182)&amp;" "&amp;INDEX(ポート振替表!$L$5:$L$3507,$L1182)&amp;"  ⇔  "&amp;INDEX(ポート振替表!$H$5:$H$3507,$L1182)&amp;" "&amp;INDEX(ポート振替表!$I$5:$I$3507,$L1182))</f>
        <v/>
      </c>
      <c r="G1182" s="57" t="s">
        <v>158</v>
      </c>
      <c r="H1182" s="32" t="str">
        <f aca="false">IF(L1182="","",INDEX(ポート振替表!$N$5:$N$3507,$L1182)&amp;"")</f>
        <v/>
      </c>
      <c r="I1182" s="32" t="str">
        <f aca="false">IF(L1182="","",INDEX(ポート振替表!$P$5:$P$3507,$L1182)&amp;"")</f>
        <v/>
      </c>
      <c r="J1182" s="60" t="str">
        <f aca="false">IF(L1182="","",INDEX(ポート振替表!$M$5:$M$3507,$L1182)&amp;"")</f>
        <v/>
      </c>
      <c r="K1182" s="52" t="str">
        <f aca="false">IF(L1182="","",E1182&amp;CHAR(10)&amp;INDEX(ポート振替表!$K$5:$K$3507,$L1182)&amp;" "&amp;INDEX(ポート振替表!$L$5:$L$3507,$L1182)&amp;CHAR(10)&amp;"⇔ "&amp;INDEX(ポート振替表!$H$5:$H$3507,$L1182)&amp;" "&amp;INDEX(ポート振替表!$I$5:$I$3507,$L1182))</f>
        <v/>
      </c>
      <c r="L1182" s="47" t="str">
        <f aca="false">IFERROR(MATCH(ROW()-4,ポート振替表!$V$5:$V$3507,0),"")</f>
        <v/>
      </c>
    </row>
    <row r="1183" customFormat="false" ht="16.4" hidden="false" customHeight="false" outlineLevel="0" collapsed="false">
      <c r="A1183" s="32" t="str">
        <f aca="false">IF(L1183="","",ROW()-4)</f>
        <v/>
      </c>
      <c r="B1183" s="58" t="str">
        <f aca="false">IF(L1183="","",IF(INDEX(ポート振替表!$W$5:$W$3507,$L1183)="","(なし)",INDEX(ポート振替表!$W$5:$W$3507,$L1183)&amp;""))</f>
        <v/>
      </c>
      <c r="C1183" s="52" t="str">
        <f aca="false">IF(L1183="","",INDEX(ポート振替表!$B$5:$B$3507,$L1183)&amp;" "&amp;INDEX(ポート振替表!$C$5:$C$3507,$L1183)&amp;"  ⇔  "&amp;INDEX(ポート振替表!$H$5:$H$3507,$L1183)&amp;" "&amp;INDEX(ポート振替表!$I$5:$I$3507,$L1183))</f>
        <v/>
      </c>
      <c r="D1183" s="57" t="s">
        <v>158</v>
      </c>
      <c r="E1183" s="59" t="str">
        <f aca="false">IF(L1183="","",IF(INDEX(ポート振替表!$O$5:$O$3507,$L1183)="","(未設定)",INDEX(ポート振替表!$O$5:$O$3507,$L1183)&amp;""))</f>
        <v/>
      </c>
      <c r="F1183" s="52" t="str">
        <f aca="false">IF(L1183="","",INDEX(ポート振替表!$K$5:$K$3507,$L1183)&amp;" "&amp;INDEX(ポート振替表!$L$5:$L$3507,$L1183)&amp;"  ⇔  "&amp;INDEX(ポート振替表!$H$5:$H$3507,$L1183)&amp;" "&amp;INDEX(ポート振替表!$I$5:$I$3507,$L1183))</f>
        <v/>
      </c>
      <c r="G1183" s="57" t="s">
        <v>158</v>
      </c>
      <c r="H1183" s="32" t="str">
        <f aca="false">IF(L1183="","",INDEX(ポート振替表!$N$5:$N$3507,$L1183)&amp;"")</f>
        <v/>
      </c>
      <c r="I1183" s="32" t="str">
        <f aca="false">IF(L1183="","",INDEX(ポート振替表!$P$5:$P$3507,$L1183)&amp;"")</f>
        <v/>
      </c>
      <c r="J1183" s="60" t="str">
        <f aca="false">IF(L1183="","",INDEX(ポート振替表!$M$5:$M$3507,$L1183)&amp;"")</f>
        <v/>
      </c>
      <c r="K1183" s="52" t="str">
        <f aca="false">IF(L1183="","",E1183&amp;CHAR(10)&amp;INDEX(ポート振替表!$K$5:$K$3507,$L1183)&amp;" "&amp;INDEX(ポート振替表!$L$5:$L$3507,$L1183)&amp;CHAR(10)&amp;"⇔ "&amp;INDEX(ポート振替表!$H$5:$H$3507,$L1183)&amp;" "&amp;INDEX(ポート振替表!$I$5:$I$3507,$L1183))</f>
        <v/>
      </c>
      <c r="L1183" s="47" t="str">
        <f aca="false">IFERROR(MATCH(ROW()-4,ポート振替表!$V$5:$V$3507,0),"")</f>
        <v/>
      </c>
    </row>
    <row r="1184" customFormat="false" ht="16.4" hidden="false" customHeight="false" outlineLevel="0" collapsed="false">
      <c r="A1184" s="32" t="str">
        <f aca="false">IF(L1184="","",ROW()-4)</f>
        <v/>
      </c>
      <c r="B1184" s="58" t="str">
        <f aca="false">IF(L1184="","",IF(INDEX(ポート振替表!$W$5:$W$3507,$L1184)="","(なし)",INDEX(ポート振替表!$W$5:$W$3507,$L1184)&amp;""))</f>
        <v/>
      </c>
      <c r="C1184" s="52" t="str">
        <f aca="false">IF(L1184="","",INDEX(ポート振替表!$B$5:$B$3507,$L1184)&amp;" "&amp;INDEX(ポート振替表!$C$5:$C$3507,$L1184)&amp;"  ⇔  "&amp;INDEX(ポート振替表!$H$5:$H$3507,$L1184)&amp;" "&amp;INDEX(ポート振替表!$I$5:$I$3507,$L1184))</f>
        <v/>
      </c>
      <c r="D1184" s="57" t="s">
        <v>158</v>
      </c>
      <c r="E1184" s="59" t="str">
        <f aca="false">IF(L1184="","",IF(INDEX(ポート振替表!$O$5:$O$3507,$L1184)="","(未設定)",INDEX(ポート振替表!$O$5:$O$3507,$L1184)&amp;""))</f>
        <v/>
      </c>
      <c r="F1184" s="52" t="str">
        <f aca="false">IF(L1184="","",INDEX(ポート振替表!$K$5:$K$3507,$L1184)&amp;" "&amp;INDEX(ポート振替表!$L$5:$L$3507,$L1184)&amp;"  ⇔  "&amp;INDEX(ポート振替表!$H$5:$H$3507,$L1184)&amp;" "&amp;INDEX(ポート振替表!$I$5:$I$3507,$L1184))</f>
        <v/>
      </c>
      <c r="G1184" s="57" t="s">
        <v>158</v>
      </c>
      <c r="H1184" s="32" t="str">
        <f aca="false">IF(L1184="","",INDEX(ポート振替表!$N$5:$N$3507,$L1184)&amp;"")</f>
        <v/>
      </c>
      <c r="I1184" s="32" t="str">
        <f aca="false">IF(L1184="","",INDEX(ポート振替表!$P$5:$P$3507,$L1184)&amp;"")</f>
        <v/>
      </c>
      <c r="J1184" s="60" t="str">
        <f aca="false">IF(L1184="","",INDEX(ポート振替表!$M$5:$M$3507,$L1184)&amp;"")</f>
        <v/>
      </c>
      <c r="K1184" s="52" t="str">
        <f aca="false">IF(L1184="","",E1184&amp;CHAR(10)&amp;INDEX(ポート振替表!$K$5:$K$3507,$L1184)&amp;" "&amp;INDEX(ポート振替表!$L$5:$L$3507,$L1184)&amp;CHAR(10)&amp;"⇔ "&amp;INDEX(ポート振替表!$H$5:$H$3507,$L1184)&amp;" "&amp;INDEX(ポート振替表!$I$5:$I$3507,$L1184))</f>
        <v/>
      </c>
      <c r="L1184" s="47" t="str">
        <f aca="false">IFERROR(MATCH(ROW()-4,ポート振替表!$V$5:$V$3507,0),"")</f>
        <v/>
      </c>
    </row>
    <row r="1185" customFormat="false" ht="16.4" hidden="false" customHeight="false" outlineLevel="0" collapsed="false">
      <c r="A1185" s="32" t="str">
        <f aca="false">IF(L1185="","",ROW()-4)</f>
        <v/>
      </c>
      <c r="B1185" s="58" t="str">
        <f aca="false">IF(L1185="","",IF(INDEX(ポート振替表!$W$5:$W$3507,$L1185)="","(なし)",INDEX(ポート振替表!$W$5:$W$3507,$L1185)&amp;""))</f>
        <v/>
      </c>
      <c r="C1185" s="52" t="str">
        <f aca="false">IF(L1185="","",INDEX(ポート振替表!$B$5:$B$3507,$L1185)&amp;" "&amp;INDEX(ポート振替表!$C$5:$C$3507,$L1185)&amp;"  ⇔  "&amp;INDEX(ポート振替表!$H$5:$H$3507,$L1185)&amp;" "&amp;INDEX(ポート振替表!$I$5:$I$3507,$L1185))</f>
        <v/>
      </c>
      <c r="D1185" s="57" t="s">
        <v>158</v>
      </c>
      <c r="E1185" s="59" t="str">
        <f aca="false">IF(L1185="","",IF(INDEX(ポート振替表!$O$5:$O$3507,$L1185)="","(未設定)",INDEX(ポート振替表!$O$5:$O$3507,$L1185)&amp;""))</f>
        <v/>
      </c>
      <c r="F1185" s="52" t="str">
        <f aca="false">IF(L1185="","",INDEX(ポート振替表!$K$5:$K$3507,$L1185)&amp;" "&amp;INDEX(ポート振替表!$L$5:$L$3507,$L1185)&amp;"  ⇔  "&amp;INDEX(ポート振替表!$H$5:$H$3507,$L1185)&amp;" "&amp;INDEX(ポート振替表!$I$5:$I$3507,$L1185))</f>
        <v/>
      </c>
      <c r="G1185" s="57" t="s">
        <v>158</v>
      </c>
      <c r="H1185" s="32" t="str">
        <f aca="false">IF(L1185="","",INDEX(ポート振替表!$N$5:$N$3507,$L1185)&amp;"")</f>
        <v/>
      </c>
      <c r="I1185" s="32" t="str">
        <f aca="false">IF(L1185="","",INDEX(ポート振替表!$P$5:$P$3507,$L1185)&amp;"")</f>
        <v/>
      </c>
      <c r="J1185" s="60" t="str">
        <f aca="false">IF(L1185="","",INDEX(ポート振替表!$M$5:$M$3507,$L1185)&amp;"")</f>
        <v/>
      </c>
      <c r="K1185" s="52" t="str">
        <f aca="false">IF(L1185="","",E1185&amp;CHAR(10)&amp;INDEX(ポート振替表!$K$5:$K$3507,$L1185)&amp;" "&amp;INDEX(ポート振替表!$L$5:$L$3507,$L1185)&amp;CHAR(10)&amp;"⇔ "&amp;INDEX(ポート振替表!$H$5:$H$3507,$L1185)&amp;" "&amp;INDEX(ポート振替表!$I$5:$I$3507,$L1185))</f>
        <v/>
      </c>
      <c r="L1185" s="47" t="str">
        <f aca="false">IFERROR(MATCH(ROW()-4,ポート振替表!$V$5:$V$3507,0),"")</f>
        <v/>
      </c>
    </row>
    <row r="1186" customFormat="false" ht="16.4" hidden="false" customHeight="false" outlineLevel="0" collapsed="false">
      <c r="A1186" s="32" t="str">
        <f aca="false">IF(L1186="","",ROW()-4)</f>
        <v/>
      </c>
      <c r="B1186" s="58" t="str">
        <f aca="false">IF(L1186="","",IF(INDEX(ポート振替表!$W$5:$W$3507,$L1186)="","(なし)",INDEX(ポート振替表!$W$5:$W$3507,$L1186)&amp;""))</f>
        <v/>
      </c>
      <c r="C1186" s="52" t="str">
        <f aca="false">IF(L1186="","",INDEX(ポート振替表!$B$5:$B$3507,$L1186)&amp;" "&amp;INDEX(ポート振替表!$C$5:$C$3507,$L1186)&amp;"  ⇔  "&amp;INDEX(ポート振替表!$H$5:$H$3507,$L1186)&amp;" "&amp;INDEX(ポート振替表!$I$5:$I$3507,$L1186))</f>
        <v/>
      </c>
      <c r="D1186" s="57" t="s">
        <v>158</v>
      </c>
      <c r="E1186" s="59" t="str">
        <f aca="false">IF(L1186="","",IF(INDEX(ポート振替表!$O$5:$O$3507,$L1186)="","(未設定)",INDEX(ポート振替表!$O$5:$O$3507,$L1186)&amp;""))</f>
        <v/>
      </c>
      <c r="F1186" s="52" t="str">
        <f aca="false">IF(L1186="","",INDEX(ポート振替表!$K$5:$K$3507,$L1186)&amp;" "&amp;INDEX(ポート振替表!$L$5:$L$3507,$L1186)&amp;"  ⇔  "&amp;INDEX(ポート振替表!$H$5:$H$3507,$L1186)&amp;" "&amp;INDEX(ポート振替表!$I$5:$I$3507,$L1186))</f>
        <v/>
      </c>
      <c r="G1186" s="57" t="s">
        <v>158</v>
      </c>
      <c r="H1186" s="32" t="str">
        <f aca="false">IF(L1186="","",INDEX(ポート振替表!$N$5:$N$3507,$L1186)&amp;"")</f>
        <v/>
      </c>
      <c r="I1186" s="32" t="str">
        <f aca="false">IF(L1186="","",INDEX(ポート振替表!$P$5:$P$3507,$L1186)&amp;"")</f>
        <v/>
      </c>
      <c r="J1186" s="60" t="str">
        <f aca="false">IF(L1186="","",INDEX(ポート振替表!$M$5:$M$3507,$L1186)&amp;"")</f>
        <v/>
      </c>
      <c r="K1186" s="52" t="str">
        <f aca="false">IF(L1186="","",E1186&amp;CHAR(10)&amp;INDEX(ポート振替表!$K$5:$K$3507,$L1186)&amp;" "&amp;INDEX(ポート振替表!$L$5:$L$3507,$L1186)&amp;CHAR(10)&amp;"⇔ "&amp;INDEX(ポート振替表!$H$5:$H$3507,$L1186)&amp;" "&amp;INDEX(ポート振替表!$I$5:$I$3507,$L1186))</f>
        <v/>
      </c>
      <c r="L1186" s="47" t="str">
        <f aca="false">IFERROR(MATCH(ROW()-4,ポート振替表!$V$5:$V$3507,0),"")</f>
        <v/>
      </c>
    </row>
    <row r="1187" customFormat="false" ht="16.4" hidden="false" customHeight="false" outlineLevel="0" collapsed="false">
      <c r="A1187" s="32" t="str">
        <f aca="false">IF(L1187="","",ROW()-4)</f>
        <v/>
      </c>
      <c r="B1187" s="58" t="str">
        <f aca="false">IF(L1187="","",IF(INDEX(ポート振替表!$W$5:$W$3507,$L1187)="","(なし)",INDEX(ポート振替表!$W$5:$W$3507,$L1187)&amp;""))</f>
        <v/>
      </c>
      <c r="C1187" s="52" t="str">
        <f aca="false">IF(L1187="","",INDEX(ポート振替表!$B$5:$B$3507,$L1187)&amp;" "&amp;INDEX(ポート振替表!$C$5:$C$3507,$L1187)&amp;"  ⇔  "&amp;INDEX(ポート振替表!$H$5:$H$3507,$L1187)&amp;" "&amp;INDEX(ポート振替表!$I$5:$I$3507,$L1187))</f>
        <v/>
      </c>
      <c r="D1187" s="57" t="s">
        <v>158</v>
      </c>
      <c r="E1187" s="59" t="str">
        <f aca="false">IF(L1187="","",IF(INDEX(ポート振替表!$O$5:$O$3507,$L1187)="","(未設定)",INDEX(ポート振替表!$O$5:$O$3507,$L1187)&amp;""))</f>
        <v/>
      </c>
      <c r="F1187" s="52" t="str">
        <f aca="false">IF(L1187="","",INDEX(ポート振替表!$K$5:$K$3507,$L1187)&amp;" "&amp;INDEX(ポート振替表!$L$5:$L$3507,$L1187)&amp;"  ⇔  "&amp;INDEX(ポート振替表!$H$5:$H$3507,$L1187)&amp;" "&amp;INDEX(ポート振替表!$I$5:$I$3507,$L1187))</f>
        <v/>
      </c>
      <c r="G1187" s="57" t="s">
        <v>158</v>
      </c>
      <c r="H1187" s="32" t="str">
        <f aca="false">IF(L1187="","",INDEX(ポート振替表!$N$5:$N$3507,$L1187)&amp;"")</f>
        <v/>
      </c>
      <c r="I1187" s="32" t="str">
        <f aca="false">IF(L1187="","",INDEX(ポート振替表!$P$5:$P$3507,$L1187)&amp;"")</f>
        <v/>
      </c>
      <c r="J1187" s="60" t="str">
        <f aca="false">IF(L1187="","",INDEX(ポート振替表!$M$5:$M$3507,$L1187)&amp;"")</f>
        <v/>
      </c>
      <c r="K1187" s="52" t="str">
        <f aca="false">IF(L1187="","",E1187&amp;CHAR(10)&amp;INDEX(ポート振替表!$K$5:$K$3507,$L1187)&amp;" "&amp;INDEX(ポート振替表!$L$5:$L$3507,$L1187)&amp;CHAR(10)&amp;"⇔ "&amp;INDEX(ポート振替表!$H$5:$H$3507,$L1187)&amp;" "&amp;INDEX(ポート振替表!$I$5:$I$3507,$L1187))</f>
        <v/>
      </c>
      <c r="L1187" s="47" t="str">
        <f aca="false">IFERROR(MATCH(ROW()-4,ポート振替表!$V$5:$V$3507,0),"")</f>
        <v/>
      </c>
    </row>
    <row r="1188" customFormat="false" ht="16.4" hidden="false" customHeight="false" outlineLevel="0" collapsed="false">
      <c r="A1188" s="32" t="str">
        <f aca="false">IF(L1188="","",ROW()-4)</f>
        <v/>
      </c>
      <c r="B1188" s="58" t="str">
        <f aca="false">IF(L1188="","",IF(INDEX(ポート振替表!$W$5:$W$3507,$L1188)="","(なし)",INDEX(ポート振替表!$W$5:$W$3507,$L1188)&amp;""))</f>
        <v/>
      </c>
      <c r="C1188" s="52" t="str">
        <f aca="false">IF(L1188="","",INDEX(ポート振替表!$B$5:$B$3507,$L1188)&amp;" "&amp;INDEX(ポート振替表!$C$5:$C$3507,$L1188)&amp;"  ⇔  "&amp;INDEX(ポート振替表!$H$5:$H$3507,$L1188)&amp;" "&amp;INDEX(ポート振替表!$I$5:$I$3507,$L1188))</f>
        <v/>
      </c>
      <c r="D1188" s="57" t="s">
        <v>158</v>
      </c>
      <c r="E1188" s="59" t="str">
        <f aca="false">IF(L1188="","",IF(INDEX(ポート振替表!$O$5:$O$3507,$L1188)="","(未設定)",INDEX(ポート振替表!$O$5:$O$3507,$L1188)&amp;""))</f>
        <v/>
      </c>
      <c r="F1188" s="52" t="str">
        <f aca="false">IF(L1188="","",INDEX(ポート振替表!$K$5:$K$3507,$L1188)&amp;" "&amp;INDEX(ポート振替表!$L$5:$L$3507,$L1188)&amp;"  ⇔  "&amp;INDEX(ポート振替表!$H$5:$H$3507,$L1188)&amp;" "&amp;INDEX(ポート振替表!$I$5:$I$3507,$L1188))</f>
        <v/>
      </c>
      <c r="G1188" s="57" t="s">
        <v>158</v>
      </c>
      <c r="H1188" s="32" t="str">
        <f aca="false">IF(L1188="","",INDEX(ポート振替表!$N$5:$N$3507,$L1188)&amp;"")</f>
        <v/>
      </c>
      <c r="I1188" s="32" t="str">
        <f aca="false">IF(L1188="","",INDEX(ポート振替表!$P$5:$P$3507,$L1188)&amp;"")</f>
        <v/>
      </c>
      <c r="J1188" s="60" t="str">
        <f aca="false">IF(L1188="","",INDEX(ポート振替表!$M$5:$M$3507,$L1188)&amp;"")</f>
        <v/>
      </c>
      <c r="K1188" s="52" t="str">
        <f aca="false">IF(L1188="","",E1188&amp;CHAR(10)&amp;INDEX(ポート振替表!$K$5:$K$3507,$L1188)&amp;" "&amp;INDEX(ポート振替表!$L$5:$L$3507,$L1188)&amp;CHAR(10)&amp;"⇔ "&amp;INDEX(ポート振替表!$H$5:$H$3507,$L1188)&amp;" "&amp;INDEX(ポート振替表!$I$5:$I$3507,$L1188))</f>
        <v/>
      </c>
      <c r="L1188" s="47" t="str">
        <f aca="false">IFERROR(MATCH(ROW()-4,ポート振替表!$V$5:$V$3507,0),"")</f>
        <v/>
      </c>
    </row>
    <row r="1189" customFormat="false" ht="16.4" hidden="false" customHeight="false" outlineLevel="0" collapsed="false">
      <c r="A1189" s="32" t="str">
        <f aca="false">IF(L1189="","",ROW()-4)</f>
        <v/>
      </c>
      <c r="B1189" s="58" t="str">
        <f aca="false">IF(L1189="","",IF(INDEX(ポート振替表!$W$5:$W$3507,$L1189)="","(なし)",INDEX(ポート振替表!$W$5:$W$3507,$L1189)&amp;""))</f>
        <v/>
      </c>
      <c r="C1189" s="52" t="str">
        <f aca="false">IF(L1189="","",INDEX(ポート振替表!$B$5:$B$3507,$L1189)&amp;" "&amp;INDEX(ポート振替表!$C$5:$C$3507,$L1189)&amp;"  ⇔  "&amp;INDEX(ポート振替表!$H$5:$H$3507,$L1189)&amp;" "&amp;INDEX(ポート振替表!$I$5:$I$3507,$L1189))</f>
        <v/>
      </c>
      <c r="D1189" s="57" t="s">
        <v>158</v>
      </c>
      <c r="E1189" s="59" t="str">
        <f aca="false">IF(L1189="","",IF(INDEX(ポート振替表!$O$5:$O$3507,$L1189)="","(未設定)",INDEX(ポート振替表!$O$5:$O$3507,$L1189)&amp;""))</f>
        <v/>
      </c>
      <c r="F1189" s="52" t="str">
        <f aca="false">IF(L1189="","",INDEX(ポート振替表!$K$5:$K$3507,$L1189)&amp;" "&amp;INDEX(ポート振替表!$L$5:$L$3507,$L1189)&amp;"  ⇔  "&amp;INDEX(ポート振替表!$H$5:$H$3507,$L1189)&amp;" "&amp;INDEX(ポート振替表!$I$5:$I$3507,$L1189))</f>
        <v/>
      </c>
      <c r="G1189" s="57" t="s">
        <v>158</v>
      </c>
      <c r="H1189" s="32" t="str">
        <f aca="false">IF(L1189="","",INDEX(ポート振替表!$N$5:$N$3507,$L1189)&amp;"")</f>
        <v/>
      </c>
      <c r="I1189" s="32" t="str">
        <f aca="false">IF(L1189="","",INDEX(ポート振替表!$P$5:$P$3507,$L1189)&amp;"")</f>
        <v/>
      </c>
      <c r="J1189" s="60" t="str">
        <f aca="false">IF(L1189="","",INDEX(ポート振替表!$M$5:$M$3507,$L1189)&amp;"")</f>
        <v/>
      </c>
      <c r="K1189" s="52" t="str">
        <f aca="false">IF(L1189="","",E1189&amp;CHAR(10)&amp;INDEX(ポート振替表!$K$5:$K$3507,$L1189)&amp;" "&amp;INDEX(ポート振替表!$L$5:$L$3507,$L1189)&amp;CHAR(10)&amp;"⇔ "&amp;INDEX(ポート振替表!$H$5:$H$3507,$L1189)&amp;" "&amp;INDEX(ポート振替表!$I$5:$I$3507,$L1189))</f>
        <v/>
      </c>
      <c r="L1189" s="47" t="str">
        <f aca="false">IFERROR(MATCH(ROW()-4,ポート振替表!$V$5:$V$3507,0),"")</f>
        <v/>
      </c>
    </row>
    <row r="1190" customFormat="false" ht="16.4" hidden="false" customHeight="false" outlineLevel="0" collapsed="false">
      <c r="A1190" s="32" t="str">
        <f aca="false">IF(L1190="","",ROW()-4)</f>
        <v/>
      </c>
      <c r="B1190" s="58" t="str">
        <f aca="false">IF(L1190="","",IF(INDEX(ポート振替表!$W$5:$W$3507,$L1190)="","(なし)",INDEX(ポート振替表!$W$5:$W$3507,$L1190)&amp;""))</f>
        <v/>
      </c>
      <c r="C1190" s="52" t="str">
        <f aca="false">IF(L1190="","",INDEX(ポート振替表!$B$5:$B$3507,$L1190)&amp;" "&amp;INDEX(ポート振替表!$C$5:$C$3507,$L1190)&amp;"  ⇔  "&amp;INDEX(ポート振替表!$H$5:$H$3507,$L1190)&amp;" "&amp;INDEX(ポート振替表!$I$5:$I$3507,$L1190))</f>
        <v/>
      </c>
      <c r="D1190" s="57" t="s">
        <v>158</v>
      </c>
      <c r="E1190" s="59" t="str">
        <f aca="false">IF(L1190="","",IF(INDEX(ポート振替表!$O$5:$O$3507,$L1190)="","(未設定)",INDEX(ポート振替表!$O$5:$O$3507,$L1190)&amp;""))</f>
        <v/>
      </c>
      <c r="F1190" s="52" t="str">
        <f aca="false">IF(L1190="","",INDEX(ポート振替表!$K$5:$K$3507,$L1190)&amp;" "&amp;INDEX(ポート振替表!$L$5:$L$3507,$L1190)&amp;"  ⇔  "&amp;INDEX(ポート振替表!$H$5:$H$3507,$L1190)&amp;" "&amp;INDEX(ポート振替表!$I$5:$I$3507,$L1190))</f>
        <v/>
      </c>
      <c r="G1190" s="57" t="s">
        <v>158</v>
      </c>
      <c r="H1190" s="32" t="str">
        <f aca="false">IF(L1190="","",INDEX(ポート振替表!$N$5:$N$3507,$L1190)&amp;"")</f>
        <v/>
      </c>
      <c r="I1190" s="32" t="str">
        <f aca="false">IF(L1190="","",INDEX(ポート振替表!$P$5:$P$3507,$L1190)&amp;"")</f>
        <v/>
      </c>
      <c r="J1190" s="60" t="str">
        <f aca="false">IF(L1190="","",INDEX(ポート振替表!$M$5:$M$3507,$L1190)&amp;"")</f>
        <v/>
      </c>
      <c r="K1190" s="52" t="str">
        <f aca="false">IF(L1190="","",E1190&amp;CHAR(10)&amp;INDEX(ポート振替表!$K$5:$K$3507,$L1190)&amp;" "&amp;INDEX(ポート振替表!$L$5:$L$3507,$L1190)&amp;CHAR(10)&amp;"⇔ "&amp;INDEX(ポート振替表!$H$5:$H$3507,$L1190)&amp;" "&amp;INDEX(ポート振替表!$I$5:$I$3507,$L1190))</f>
        <v/>
      </c>
      <c r="L1190" s="47" t="str">
        <f aca="false">IFERROR(MATCH(ROW()-4,ポート振替表!$V$5:$V$3507,0),"")</f>
        <v/>
      </c>
    </row>
    <row r="1191" customFormat="false" ht="16.4" hidden="false" customHeight="false" outlineLevel="0" collapsed="false">
      <c r="A1191" s="32" t="str">
        <f aca="false">IF(L1191="","",ROW()-4)</f>
        <v/>
      </c>
      <c r="B1191" s="58" t="str">
        <f aca="false">IF(L1191="","",IF(INDEX(ポート振替表!$W$5:$W$3507,$L1191)="","(なし)",INDEX(ポート振替表!$W$5:$W$3507,$L1191)&amp;""))</f>
        <v/>
      </c>
      <c r="C1191" s="52" t="str">
        <f aca="false">IF(L1191="","",INDEX(ポート振替表!$B$5:$B$3507,$L1191)&amp;" "&amp;INDEX(ポート振替表!$C$5:$C$3507,$L1191)&amp;"  ⇔  "&amp;INDEX(ポート振替表!$H$5:$H$3507,$L1191)&amp;" "&amp;INDEX(ポート振替表!$I$5:$I$3507,$L1191))</f>
        <v/>
      </c>
      <c r="D1191" s="57" t="s">
        <v>158</v>
      </c>
      <c r="E1191" s="59" t="str">
        <f aca="false">IF(L1191="","",IF(INDEX(ポート振替表!$O$5:$O$3507,$L1191)="","(未設定)",INDEX(ポート振替表!$O$5:$O$3507,$L1191)&amp;""))</f>
        <v/>
      </c>
      <c r="F1191" s="52" t="str">
        <f aca="false">IF(L1191="","",INDEX(ポート振替表!$K$5:$K$3507,$L1191)&amp;" "&amp;INDEX(ポート振替表!$L$5:$L$3507,$L1191)&amp;"  ⇔  "&amp;INDEX(ポート振替表!$H$5:$H$3507,$L1191)&amp;" "&amp;INDEX(ポート振替表!$I$5:$I$3507,$L1191))</f>
        <v/>
      </c>
      <c r="G1191" s="57" t="s">
        <v>158</v>
      </c>
      <c r="H1191" s="32" t="str">
        <f aca="false">IF(L1191="","",INDEX(ポート振替表!$N$5:$N$3507,$L1191)&amp;"")</f>
        <v/>
      </c>
      <c r="I1191" s="32" t="str">
        <f aca="false">IF(L1191="","",INDEX(ポート振替表!$P$5:$P$3507,$L1191)&amp;"")</f>
        <v/>
      </c>
      <c r="J1191" s="60" t="str">
        <f aca="false">IF(L1191="","",INDEX(ポート振替表!$M$5:$M$3507,$L1191)&amp;"")</f>
        <v/>
      </c>
      <c r="K1191" s="52" t="str">
        <f aca="false">IF(L1191="","",E1191&amp;CHAR(10)&amp;INDEX(ポート振替表!$K$5:$K$3507,$L1191)&amp;" "&amp;INDEX(ポート振替表!$L$5:$L$3507,$L1191)&amp;CHAR(10)&amp;"⇔ "&amp;INDEX(ポート振替表!$H$5:$H$3507,$L1191)&amp;" "&amp;INDEX(ポート振替表!$I$5:$I$3507,$L1191))</f>
        <v/>
      </c>
      <c r="L1191" s="47" t="str">
        <f aca="false">IFERROR(MATCH(ROW()-4,ポート振替表!$V$5:$V$3507,0),"")</f>
        <v/>
      </c>
    </row>
    <row r="1192" customFormat="false" ht="16.4" hidden="false" customHeight="false" outlineLevel="0" collapsed="false">
      <c r="A1192" s="32" t="str">
        <f aca="false">IF(L1192="","",ROW()-4)</f>
        <v/>
      </c>
      <c r="B1192" s="58" t="str">
        <f aca="false">IF(L1192="","",IF(INDEX(ポート振替表!$W$5:$W$3507,$L1192)="","(なし)",INDEX(ポート振替表!$W$5:$W$3507,$L1192)&amp;""))</f>
        <v/>
      </c>
      <c r="C1192" s="52" t="str">
        <f aca="false">IF(L1192="","",INDEX(ポート振替表!$B$5:$B$3507,$L1192)&amp;" "&amp;INDEX(ポート振替表!$C$5:$C$3507,$L1192)&amp;"  ⇔  "&amp;INDEX(ポート振替表!$H$5:$H$3507,$L1192)&amp;" "&amp;INDEX(ポート振替表!$I$5:$I$3507,$L1192))</f>
        <v/>
      </c>
      <c r="D1192" s="57" t="s">
        <v>158</v>
      </c>
      <c r="E1192" s="59" t="str">
        <f aca="false">IF(L1192="","",IF(INDEX(ポート振替表!$O$5:$O$3507,$L1192)="","(未設定)",INDEX(ポート振替表!$O$5:$O$3507,$L1192)&amp;""))</f>
        <v/>
      </c>
      <c r="F1192" s="52" t="str">
        <f aca="false">IF(L1192="","",INDEX(ポート振替表!$K$5:$K$3507,$L1192)&amp;" "&amp;INDEX(ポート振替表!$L$5:$L$3507,$L1192)&amp;"  ⇔  "&amp;INDEX(ポート振替表!$H$5:$H$3507,$L1192)&amp;" "&amp;INDEX(ポート振替表!$I$5:$I$3507,$L1192))</f>
        <v/>
      </c>
      <c r="G1192" s="57" t="s">
        <v>158</v>
      </c>
      <c r="H1192" s="32" t="str">
        <f aca="false">IF(L1192="","",INDEX(ポート振替表!$N$5:$N$3507,$L1192)&amp;"")</f>
        <v/>
      </c>
      <c r="I1192" s="32" t="str">
        <f aca="false">IF(L1192="","",INDEX(ポート振替表!$P$5:$P$3507,$L1192)&amp;"")</f>
        <v/>
      </c>
      <c r="J1192" s="60" t="str">
        <f aca="false">IF(L1192="","",INDEX(ポート振替表!$M$5:$M$3507,$L1192)&amp;"")</f>
        <v/>
      </c>
      <c r="K1192" s="52" t="str">
        <f aca="false">IF(L1192="","",E1192&amp;CHAR(10)&amp;INDEX(ポート振替表!$K$5:$K$3507,$L1192)&amp;" "&amp;INDEX(ポート振替表!$L$5:$L$3507,$L1192)&amp;CHAR(10)&amp;"⇔ "&amp;INDEX(ポート振替表!$H$5:$H$3507,$L1192)&amp;" "&amp;INDEX(ポート振替表!$I$5:$I$3507,$L1192))</f>
        <v/>
      </c>
      <c r="L1192" s="47" t="str">
        <f aca="false">IFERROR(MATCH(ROW()-4,ポート振替表!$V$5:$V$3507,0),"")</f>
        <v/>
      </c>
    </row>
    <row r="1193" customFormat="false" ht="16.4" hidden="false" customHeight="false" outlineLevel="0" collapsed="false">
      <c r="A1193" s="32" t="str">
        <f aca="false">IF(L1193="","",ROW()-4)</f>
        <v/>
      </c>
      <c r="B1193" s="58" t="str">
        <f aca="false">IF(L1193="","",IF(INDEX(ポート振替表!$W$5:$W$3507,$L1193)="","(なし)",INDEX(ポート振替表!$W$5:$W$3507,$L1193)&amp;""))</f>
        <v/>
      </c>
      <c r="C1193" s="52" t="str">
        <f aca="false">IF(L1193="","",INDEX(ポート振替表!$B$5:$B$3507,$L1193)&amp;" "&amp;INDEX(ポート振替表!$C$5:$C$3507,$L1193)&amp;"  ⇔  "&amp;INDEX(ポート振替表!$H$5:$H$3507,$L1193)&amp;" "&amp;INDEX(ポート振替表!$I$5:$I$3507,$L1193))</f>
        <v/>
      </c>
      <c r="D1193" s="57" t="s">
        <v>158</v>
      </c>
      <c r="E1193" s="59" t="str">
        <f aca="false">IF(L1193="","",IF(INDEX(ポート振替表!$O$5:$O$3507,$L1193)="","(未設定)",INDEX(ポート振替表!$O$5:$O$3507,$L1193)&amp;""))</f>
        <v/>
      </c>
      <c r="F1193" s="52" t="str">
        <f aca="false">IF(L1193="","",INDEX(ポート振替表!$K$5:$K$3507,$L1193)&amp;" "&amp;INDEX(ポート振替表!$L$5:$L$3507,$L1193)&amp;"  ⇔  "&amp;INDEX(ポート振替表!$H$5:$H$3507,$L1193)&amp;" "&amp;INDEX(ポート振替表!$I$5:$I$3507,$L1193))</f>
        <v/>
      </c>
      <c r="G1193" s="57" t="s">
        <v>158</v>
      </c>
      <c r="H1193" s="32" t="str">
        <f aca="false">IF(L1193="","",INDEX(ポート振替表!$N$5:$N$3507,$L1193)&amp;"")</f>
        <v/>
      </c>
      <c r="I1193" s="32" t="str">
        <f aca="false">IF(L1193="","",INDEX(ポート振替表!$P$5:$P$3507,$L1193)&amp;"")</f>
        <v/>
      </c>
      <c r="J1193" s="60" t="str">
        <f aca="false">IF(L1193="","",INDEX(ポート振替表!$M$5:$M$3507,$L1193)&amp;"")</f>
        <v/>
      </c>
      <c r="K1193" s="52" t="str">
        <f aca="false">IF(L1193="","",E1193&amp;CHAR(10)&amp;INDEX(ポート振替表!$K$5:$K$3507,$L1193)&amp;" "&amp;INDEX(ポート振替表!$L$5:$L$3507,$L1193)&amp;CHAR(10)&amp;"⇔ "&amp;INDEX(ポート振替表!$H$5:$H$3507,$L1193)&amp;" "&amp;INDEX(ポート振替表!$I$5:$I$3507,$L1193))</f>
        <v/>
      </c>
      <c r="L1193" s="47" t="str">
        <f aca="false">IFERROR(MATCH(ROW()-4,ポート振替表!$V$5:$V$3507,0),"")</f>
        <v/>
      </c>
    </row>
    <row r="1194" customFormat="false" ht="16.4" hidden="false" customHeight="false" outlineLevel="0" collapsed="false">
      <c r="A1194" s="32" t="str">
        <f aca="false">IF(L1194="","",ROW()-4)</f>
        <v/>
      </c>
      <c r="B1194" s="58" t="str">
        <f aca="false">IF(L1194="","",IF(INDEX(ポート振替表!$W$5:$W$3507,$L1194)="","(なし)",INDEX(ポート振替表!$W$5:$W$3507,$L1194)&amp;""))</f>
        <v/>
      </c>
      <c r="C1194" s="52" t="str">
        <f aca="false">IF(L1194="","",INDEX(ポート振替表!$B$5:$B$3507,$L1194)&amp;" "&amp;INDEX(ポート振替表!$C$5:$C$3507,$L1194)&amp;"  ⇔  "&amp;INDEX(ポート振替表!$H$5:$H$3507,$L1194)&amp;" "&amp;INDEX(ポート振替表!$I$5:$I$3507,$L1194))</f>
        <v/>
      </c>
      <c r="D1194" s="57" t="s">
        <v>158</v>
      </c>
      <c r="E1194" s="59" t="str">
        <f aca="false">IF(L1194="","",IF(INDEX(ポート振替表!$O$5:$O$3507,$L1194)="","(未設定)",INDEX(ポート振替表!$O$5:$O$3507,$L1194)&amp;""))</f>
        <v/>
      </c>
      <c r="F1194" s="52" t="str">
        <f aca="false">IF(L1194="","",INDEX(ポート振替表!$K$5:$K$3507,$L1194)&amp;" "&amp;INDEX(ポート振替表!$L$5:$L$3507,$L1194)&amp;"  ⇔  "&amp;INDEX(ポート振替表!$H$5:$H$3507,$L1194)&amp;" "&amp;INDEX(ポート振替表!$I$5:$I$3507,$L1194))</f>
        <v/>
      </c>
      <c r="G1194" s="57" t="s">
        <v>158</v>
      </c>
      <c r="H1194" s="32" t="str">
        <f aca="false">IF(L1194="","",INDEX(ポート振替表!$N$5:$N$3507,$L1194)&amp;"")</f>
        <v/>
      </c>
      <c r="I1194" s="32" t="str">
        <f aca="false">IF(L1194="","",INDEX(ポート振替表!$P$5:$P$3507,$L1194)&amp;"")</f>
        <v/>
      </c>
      <c r="J1194" s="60" t="str">
        <f aca="false">IF(L1194="","",INDEX(ポート振替表!$M$5:$M$3507,$L1194)&amp;"")</f>
        <v/>
      </c>
      <c r="K1194" s="52" t="str">
        <f aca="false">IF(L1194="","",E1194&amp;CHAR(10)&amp;INDEX(ポート振替表!$K$5:$K$3507,$L1194)&amp;" "&amp;INDEX(ポート振替表!$L$5:$L$3507,$L1194)&amp;CHAR(10)&amp;"⇔ "&amp;INDEX(ポート振替表!$H$5:$H$3507,$L1194)&amp;" "&amp;INDEX(ポート振替表!$I$5:$I$3507,$L1194))</f>
        <v/>
      </c>
      <c r="L1194" s="47" t="str">
        <f aca="false">IFERROR(MATCH(ROW()-4,ポート振替表!$V$5:$V$3507,0),"")</f>
        <v/>
      </c>
    </row>
    <row r="1195" customFormat="false" ht="16.4" hidden="false" customHeight="false" outlineLevel="0" collapsed="false">
      <c r="A1195" s="32" t="str">
        <f aca="false">IF(L1195="","",ROW()-4)</f>
        <v/>
      </c>
      <c r="B1195" s="58" t="str">
        <f aca="false">IF(L1195="","",IF(INDEX(ポート振替表!$W$5:$W$3507,$L1195)="","(なし)",INDEX(ポート振替表!$W$5:$W$3507,$L1195)&amp;""))</f>
        <v/>
      </c>
      <c r="C1195" s="52" t="str">
        <f aca="false">IF(L1195="","",INDEX(ポート振替表!$B$5:$B$3507,$L1195)&amp;" "&amp;INDEX(ポート振替表!$C$5:$C$3507,$L1195)&amp;"  ⇔  "&amp;INDEX(ポート振替表!$H$5:$H$3507,$L1195)&amp;" "&amp;INDEX(ポート振替表!$I$5:$I$3507,$L1195))</f>
        <v/>
      </c>
      <c r="D1195" s="57" t="s">
        <v>158</v>
      </c>
      <c r="E1195" s="59" t="str">
        <f aca="false">IF(L1195="","",IF(INDEX(ポート振替表!$O$5:$O$3507,$L1195)="","(未設定)",INDEX(ポート振替表!$O$5:$O$3507,$L1195)&amp;""))</f>
        <v/>
      </c>
      <c r="F1195" s="52" t="str">
        <f aca="false">IF(L1195="","",INDEX(ポート振替表!$K$5:$K$3507,$L1195)&amp;" "&amp;INDEX(ポート振替表!$L$5:$L$3507,$L1195)&amp;"  ⇔  "&amp;INDEX(ポート振替表!$H$5:$H$3507,$L1195)&amp;" "&amp;INDEX(ポート振替表!$I$5:$I$3507,$L1195))</f>
        <v/>
      </c>
      <c r="G1195" s="57" t="s">
        <v>158</v>
      </c>
      <c r="H1195" s="32" t="str">
        <f aca="false">IF(L1195="","",INDEX(ポート振替表!$N$5:$N$3507,$L1195)&amp;"")</f>
        <v/>
      </c>
      <c r="I1195" s="32" t="str">
        <f aca="false">IF(L1195="","",INDEX(ポート振替表!$P$5:$P$3507,$L1195)&amp;"")</f>
        <v/>
      </c>
      <c r="J1195" s="60" t="str">
        <f aca="false">IF(L1195="","",INDEX(ポート振替表!$M$5:$M$3507,$L1195)&amp;"")</f>
        <v/>
      </c>
      <c r="K1195" s="52" t="str">
        <f aca="false">IF(L1195="","",E1195&amp;CHAR(10)&amp;INDEX(ポート振替表!$K$5:$K$3507,$L1195)&amp;" "&amp;INDEX(ポート振替表!$L$5:$L$3507,$L1195)&amp;CHAR(10)&amp;"⇔ "&amp;INDEX(ポート振替表!$H$5:$H$3507,$L1195)&amp;" "&amp;INDEX(ポート振替表!$I$5:$I$3507,$L1195))</f>
        <v/>
      </c>
      <c r="L1195" s="47" t="str">
        <f aca="false">IFERROR(MATCH(ROW()-4,ポート振替表!$V$5:$V$3507,0),"")</f>
        <v/>
      </c>
    </row>
    <row r="1196" customFormat="false" ht="16.4" hidden="false" customHeight="false" outlineLevel="0" collapsed="false">
      <c r="A1196" s="32" t="str">
        <f aca="false">IF(L1196="","",ROW()-4)</f>
        <v/>
      </c>
      <c r="B1196" s="58" t="str">
        <f aca="false">IF(L1196="","",IF(INDEX(ポート振替表!$W$5:$W$3507,$L1196)="","(なし)",INDEX(ポート振替表!$W$5:$W$3507,$L1196)&amp;""))</f>
        <v/>
      </c>
      <c r="C1196" s="52" t="str">
        <f aca="false">IF(L1196="","",INDEX(ポート振替表!$B$5:$B$3507,$L1196)&amp;" "&amp;INDEX(ポート振替表!$C$5:$C$3507,$L1196)&amp;"  ⇔  "&amp;INDEX(ポート振替表!$H$5:$H$3507,$L1196)&amp;" "&amp;INDEX(ポート振替表!$I$5:$I$3507,$L1196))</f>
        <v/>
      </c>
      <c r="D1196" s="57" t="s">
        <v>158</v>
      </c>
      <c r="E1196" s="59" t="str">
        <f aca="false">IF(L1196="","",IF(INDEX(ポート振替表!$O$5:$O$3507,$L1196)="","(未設定)",INDEX(ポート振替表!$O$5:$O$3507,$L1196)&amp;""))</f>
        <v/>
      </c>
      <c r="F1196" s="52" t="str">
        <f aca="false">IF(L1196="","",INDEX(ポート振替表!$K$5:$K$3507,$L1196)&amp;" "&amp;INDEX(ポート振替表!$L$5:$L$3507,$L1196)&amp;"  ⇔  "&amp;INDEX(ポート振替表!$H$5:$H$3507,$L1196)&amp;" "&amp;INDEX(ポート振替表!$I$5:$I$3507,$L1196))</f>
        <v/>
      </c>
      <c r="G1196" s="57" t="s">
        <v>158</v>
      </c>
      <c r="H1196" s="32" t="str">
        <f aca="false">IF(L1196="","",INDEX(ポート振替表!$N$5:$N$3507,$L1196)&amp;"")</f>
        <v/>
      </c>
      <c r="I1196" s="32" t="str">
        <f aca="false">IF(L1196="","",INDEX(ポート振替表!$P$5:$P$3507,$L1196)&amp;"")</f>
        <v/>
      </c>
      <c r="J1196" s="60" t="str">
        <f aca="false">IF(L1196="","",INDEX(ポート振替表!$M$5:$M$3507,$L1196)&amp;"")</f>
        <v/>
      </c>
      <c r="K1196" s="52" t="str">
        <f aca="false">IF(L1196="","",E1196&amp;CHAR(10)&amp;INDEX(ポート振替表!$K$5:$K$3507,$L1196)&amp;" "&amp;INDEX(ポート振替表!$L$5:$L$3507,$L1196)&amp;CHAR(10)&amp;"⇔ "&amp;INDEX(ポート振替表!$H$5:$H$3507,$L1196)&amp;" "&amp;INDEX(ポート振替表!$I$5:$I$3507,$L1196))</f>
        <v/>
      </c>
      <c r="L1196" s="47" t="str">
        <f aca="false">IFERROR(MATCH(ROW()-4,ポート振替表!$V$5:$V$3507,0),"")</f>
        <v/>
      </c>
    </row>
    <row r="1197" customFormat="false" ht="16.4" hidden="false" customHeight="false" outlineLevel="0" collapsed="false">
      <c r="A1197" s="32" t="str">
        <f aca="false">IF(L1197="","",ROW()-4)</f>
        <v/>
      </c>
      <c r="B1197" s="58" t="str">
        <f aca="false">IF(L1197="","",IF(INDEX(ポート振替表!$W$5:$W$3507,$L1197)="","(なし)",INDEX(ポート振替表!$W$5:$W$3507,$L1197)&amp;""))</f>
        <v/>
      </c>
      <c r="C1197" s="52" t="str">
        <f aca="false">IF(L1197="","",INDEX(ポート振替表!$B$5:$B$3507,$L1197)&amp;" "&amp;INDEX(ポート振替表!$C$5:$C$3507,$L1197)&amp;"  ⇔  "&amp;INDEX(ポート振替表!$H$5:$H$3507,$L1197)&amp;" "&amp;INDEX(ポート振替表!$I$5:$I$3507,$L1197))</f>
        <v/>
      </c>
      <c r="D1197" s="57" t="s">
        <v>158</v>
      </c>
      <c r="E1197" s="59" t="str">
        <f aca="false">IF(L1197="","",IF(INDEX(ポート振替表!$O$5:$O$3507,$L1197)="","(未設定)",INDEX(ポート振替表!$O$5:$O$3507,$L1197)&amp;""))</f>
        <v/>
      </c>
      <c r="F1197" s="52" t="str">
        <f aca="false">IF(L1197="","",INDEX(ポート振替表!$K$5:$K$3507,$L1197)&amp;" "&amp;INDEX(ポート振替表!$L$5:$L$3507,$L1197)&amp;"  ⇔  "&amp;INDEX(ポート振替表!$H$5:$H$3507,$L1197)&amp;" "&amp;INDEX(ポート振替表!$I$5:$I$3507,$L1197))</f>
        <v/>
      </c>
      <c r="G1197" s="57" t="s">
        <v>158</v>
      </c>
      <c r="H1197" s="32" t="str">
        <f aca="false">IF(L1197="","",INDEX(ポート振替表!$N$5:$N$3507,$L1197)&amp;"")</f>
        <v/>
      </c>
      <c r="I1197" s="32" t="str">
        <f aca="false">IF(L1197="","",INDEX(ポート振替表!$P$5:$P$3507,$L1197)&amp;"")</f>
        <v/>
      </c>
      <c r="J1197" s="60" t="str">
        <f aca="false">IF(L1197="","",INDEX(ポート振替表!$M$5:$M$3507,$L1197)&amp;"")</f>
        <v/>
      </c>
      <c r="K1197" s="52" t="str">
        <f aca="false">IF(L1197="","",E1197&amp;CHAR(10)&amp;INDEX(ポート振替表!$K$5:$K$3507,$L1197)&amp;" "&amp;INDEX(ポート振替表!$L$5:$L$3507,$L1197)&amp;CHAR(10)&amp;"⇔ "&amp;INDEX(ポート振替表!$H$5:$H$3507,$L1197)&amp;" "&amp;INDEX(ポート振替表!$I$5:$I$3507,$L1197))</f>
        <v/>
      </c>
      <c r="L1197" s="47" t="str">
        <f aca="false">IFERROR(MATCH(ROW()-4,ポート振替表!$V$5:$V$3507,0),"")</f>
        <v/>
      </c>
    </row>
    <row r="1198" customFormat="false" ht="16.4" hidden="false" customHeight="false" outlineLevel="0" collapsed="false">
      <c r="A1198" s="32" t="str">
        <f aca="false">IF(L1198="","",ROW()-4)</f>
        <v/>
      </c>
      <c r="B1198" s="58" t="str">
        <f aca="false">IF(L1198="","",IF(INDEX(ポート振替表!$W$5:$W$3507,$L1198)="","(なし)",INDEX(ポート振替表!$W$5:$W$3507,$L1198)&amp;""))</f>
        <v/>
      </c>
      <c r="C1198" s="52" t="str">
        <f aca="false">IF(L1198="","",INDEX(ポート振替表!$B$5:$B$3507,$L1198)&amp;" "&amp;INDEX(ポート振替表!$C$5:$C$3507,$L1198)&amp;"  ⇔  "&amp;INDEX(ポート振替表!$H$5:$H$3507,$L1198)&amp;" "&amp;INDEX(ポート振替表!$I$5:$I$3507,$L1198))</f>
        <v/>
      </c>
      <c r="D1198" s="57" t="s">
        <v>158</v>
      </c>
      <c r="E1198" s="59" t="str">
        <f aca="false">IF(L1198="","",IF(INDEX(ポート振替表!$O$5:$O$3507,$L1198)="","(未設定)",INDEX(ポート振替表!$O$5:$O$3507,$L1198)&amp;""))</f>
        <v/>
      </c>
      <c r="F1198" s="52" t="str">
        <f aca="false">IF(L1198="","",INDEX(ポート振替表!$K$5:$K$3507,$L1198)&amp;" "&amp;INDEX(ポート振替表!$L$5:$L$3507,$L1198)&amp;"  ⇔  "&amp;INDEX(ポート振替表!$H$5:$H$3507,$L1198)&amp;" "&amp;INDEX(ポート振替表!$I$5:$I$3507,$L1198))</f>
        <v/>
      </c>
      <c r="G1198" s="57" t="s">
        <v>158</v>
      </c>
      <c r="H1198" s="32" t="str">
        <f aca="false">IF(L1198="","",INDEX(ポート振替表!$N$5:$N$3507,$L1198)&amp;"")</f>
        <v/>
      </c>
      <c r="I1198" s="32" t="str">
        <f aca="false">IF(L1198="","",INDEX(ポート振替表!$P$5:$P$3507,$L1198)&amp;"")</f>
        <v/>
      </c>
      <c r="J1198" s="60" t="str">
        <f aca="false">IF(L1198="","",INDEX(ポート振替表!$M$5:$M$3507,$L1198)&amp;"")</f>
        <v/>
      </c>
      <c r="K1198" s="52" t="str">
        <f aca="false">IF(L1198="","",E1198&amp;CHAR(10)&amp;INDEX(ポート振替表!$K$5:$K$3507,$L1198)&amp;" "&amp;INDEX(ポート振替表!$L$5:$L$3507,$L1198)&amp;CHAR(10)&amp;"⇔ "&amp;INDEX(ポート振替表!$H$5:$H$3507,$L1198)&amp;" "&amp;INDEX(ポート振替表!$I$5:$I$3507,$L1198))</f>
        <v/>
      </c>
      <c r="L1198" s="47" t="str">
        <f aca="false">IFERROR(MATCH(ROW()-4,ポート振替表!$V$5:$V$3507,0),"")</f>
        <v/>
      </c>
    </row>
    <row r="1199" customFormat="false" ht="16.4" hidden="false" customHeight="false" outlineLevel="0" collapsed="false">
      <c r="A1199" s="32" t="str">
        <f aca="false">IF(L1199="","",ROW()-4)</f>
        <v/>
      </c>
      <c r="B1199" s="58" t="str">
        <f aca="false">IF(L1199="","",IF(INDEX(ポート振替表!$W$5:$W$3507,$L1199)="","(なし)",INDEX(ポート振替表!$W$5:$W$3507,$L1199)&amp;""))</f>
        <v/>
      </c>
      <c r="C1199" s="52" t="str">
        <f aca="false">IF(L1199="","",INDEX(ポート振替表!$B$5:$B$3507,$L1199)&amp;" "&amp;INDEX(ポート振替表!$C$5:$C$3507,$L1199)&amp;"  ⇔  "&amp;INDEX(ポート振替表!$H$5:$H$3507,$L1199)&amp;" "&amp;INDEX(ポート振替表!$I$5:$I$3507,$L1199))</f>
        <v/>
      </c>
      <c r="D1199" s="57" t="s">
        <v>158</v>
      </c>
      <c r="E1199" s="59" t="str">
        <f aca="false">IF(L1199="","",IF(INDEX(ポート振替表!$O$5:$O$3507,$L1199)="","(未設定)",INDEX(ポート振替表!$O$5:$O$3507,$L1199)&amp;""))</f>
        <v/>
      </c>
      <c r="F1199" s="52" t="str">
        <f aca="false">IF(L1199="","",INDEX(ポート振替表!$K$5:$K$3507,$L1199)&amp;" "&amp;INDEX(ポート振替表!$L$5:$L$3507,$L1199)&amp;"  ⇔  "&amp;INDEX(ポート振替表!$H$5:$H$3507,$L1199)&amp;" "&amp;INDEX(ポート振替表!$I$5:$I$3507,$L1199))</f>
        <v/>
      </c>
      <c r="G1199" s="57" t="s">
        <v>158</v>
      </c>
      <c r="H1199" s="32" t="str">
        <f aca="false">IF(L1199="","",INDEX(ポート振替表!$N$5:$N$3507,$L1199)&amp;"")</f>
        <v/>
      </c>
      <c r="I1199" s="32" t="str">
        <f aca="false">IF(L1199="","",INDEX(ポート振替表!$P$5:$P$3507,$L1199)&amp;"")</f>
        <v/>
      </c>
      <c r="J1199" s="60" t="str">
        <f aca="false">IF(L1199="","",INDEX(ポート振替表!$M$5:$M$3507,$L1199)&amp;"")</f>
        <v/>
      </c>
      <c r="K1199" s="52" t="str">
        <f aca="false">IF(L1199="","",E1199&amp;CHAR(10)&amp;INDEX(ポート振替表!$K$5:$K$3507,$L1199)&amp;" "&amp;INDEX(ポート振替表!$L$5:$L$3507,$L1199)&amp;CHAR(10)&amp;"⇔ "&amp;INDEX(ポート振替表!$H$5:$H$3507,$L1199)&amp;" "&amp;INDEX(ポート振替表!$I$5:$I$3507,$L1199))</f>
        <v/>
      </c>
      <c r="L1199" s="47" t="str">
        <f aca="false">IFERROR(MATCH(ROW()-4,ポート振替表!$V$5:$V$3507,0),"")</f>
        <v/>
      </c>
    </row>
    <row r="1200" customFormat="false" ht="16.4" hidden="false" customHeight="false" outlineLevel="0" collapsed="false">
      <c r="A1200" s="32" t="str">
        <f aca="false">IF(L1200="","",ROW()-4)</f>
        <v/>
      </c>
      <c r="B1200" s="58" t="str">
        <f aca="false">IF(L1200="","",IF(INDEX(ポート振替表!$W$5:$W$3507,$L1200)="","(なし)",INDEX(ポート振替表!$W$5:$W$3507,$L1200)&amp;""))</f>
        <v/>
      </c>
      <c r="C1200" s="52" t="str">
        <f aca="false">IF(L1200="","",INDEX(ポート振替表!$B$5:$B$3507,$L1200)&amp;" "&amp;INDEX(ポート振替表!$C$5:$C$3507,$L1200)&amp;"  ⇔  "&amp;INDEX(ポート振替表!$H$5:$H$3507,$L1200)&amp;" "&amp;INDEX(ポート振替表!$I$5:$I$3507,$L1200))</f>
        <v/>
      </c>
      <c r="D1200" s="57" t="s">
        <v>158</v>
      </c>
      <c r="E1200" s="59" t="str">
        <f aca="false">IF(L1200="","",IF(INDEX(ポート振替表!$O$5:$O$3507,$L1200)="","(未設定)",INDEX(ポート振替表!$O$5:$O$3507,$L1200)&amp;""))</f>
        <v/>
      </c>
      <c r="F1200" s="52" t="str">
        <f aca="false">IF(L1200="","",INDEX(ポート振替表!$K$5:$K$3507,$L1200)&amp;" "&amp;INDEX(ポート振替表!$L$5:$L$3507,$L1200)&amp;"  ⇔  "&amp;INDEX(ポート振替表!$H$5:$H$3507,$L1200)&amp;" "&amp;INDEX(ポート振替表!$I$5:$I$3507,$L1200))</f>
        <v/>
      </c>
      <c r="G1200" s="57" t="s">
        <v>158</v>
      </c>
      <c r="H1200" s="32" t="str">
        <f aca="false">IF(L1200="","",INDEX(ポート振替表!$N$5:$N$3507,$L1200)&amp;"")</f>
        <v/>
      </c>
      <c r="I1200" s="32" t="str">
        <f aca="false">IF(L1200="","",INDEX(ポート振替表!$P$5:$P$3507,$L1200)&amp;"")</f>
        <v/>
      </c>
      <c r="J1200" s="60" t="str">
        <f aca="false">IF(L1200="","",INDEX(ポート振替表!$M$5:$M$3507,$L1200)&amp;"")</f>
        <v/>
      </c>
      <c r="K1200" s="52" t="str">
        <f aca="false">IF(L1200="","",E1200&amp;CHAR(10)&amp;INDEX(ポート振替表!$K$5:$K$3507,$L1200)&amp;" "&amp;INDEX(ポート振替表!$L$5:$L$3507,$L1200)&amp;CHAR(10)&amp;"⇔ "&amp;INDEX(ポート振替表!$H$5:$H$3507,$L1200)&amp;" "&amp;INDEX(ポート振替表!$I$5:$I$3507,$L1200))</f>
        <v/>
      </c>
      <c r="L1200" s="47" t="str">
        <f aca="false">IFERROR(MATCH(ROW()-4,ポート振替表!$V$5:$V$3507,0),"")</f>
        <v/>
      </c>
    </row>
    <row r="1201" customFormat="false" ht="16.4" hidden="false" customHeight="false" outlineLevel="0" collapsed="false">
      <c r="A1201" s="32" t="str">
        <f aca="false">IF(L1201="","",ROW()-4)</f>
        <v/>
      </c>
      <c r="B1201" s="58" t="str">
        <f aca="false">IF(L1201="","",IF(INDEX(ポート振替表!$W$5:$W$3507,$L1201)="","(なし)",INDEX(ポート振替表!$W$5:$W$3507,$L1201)&amp;""))</f>
        <v/>
      </c>
      <c r="C1201" s="52" t="str">
        <f aca="false">IF(L1201="","",INDEX(ポート振替表!$B$5:$B$3507,$L1201)&amp;" "&amp;INDEX(ポート振替表!$C$5:$C$3507,$L1201)&amp;"  ⇔  "&amp;INDEX(ポート振替表!$H$5:$H$3507,$L1201)&amp;" "&amp;INDEX(ポート振替表!$I$5:$I$3507,$L1201))</f>
        <v/>
      </c>
      <c r="D1201" s="57" t="s">
        <v>158</v>
      </c>
      <c r="E1201" s="59" t="str">
        <f aca="false">IF(L1201="","",IF(INDEX(ポート振替表!$O$5:$O$3507,$L1201)="","(未設定)",INDEX(ポート振替表!$O$5:$O$3507,$L1201)&amp;""))</f>
        <v/>
      </c>
      <c r="F1201" s="52" t="str">
        <f aca="false">IF(L1201="","",INDEX(ポート振替表!$K$5:$K$3507,$L1201)&amp;" "&amp;INDEX(ポート振替表!$L$5:$L$3507,$L1201)&amp;"  ⇔  "&amp;INDEX(ポート振替表!$H$5:$H$3507,$L1201)&amp;" "&amp;INDEX(ポート振替表!$I$5:$I$3507,$L1201))</f>
        <v/>
      </c>
      <c r="G1201" s="57" t="s">
        <v>158</v>
      </c>
      <c r="H1201" s="32" t="str">
        <f aca="false">IF(L1201="","",INDEX(ポート振替表!$N$5:$N$3507,$L1201)&amp;"")</f>
        <v/>
      </c>
      <c r="I1201" s="32" t="str">
        <f aca="false">IF(L1201="","",INDEX(ポート振替表!$P$5:$P$3507,$L1201)&amp;"")</f>
        <v/>
      </c>
      <c r="J1201" s="60" t="str">
        <f aca="false">IF(L1201="","",INDEX(ポート振替表!$M$5:$M$3507,$L1201)&amp;"")</f>
        <v/>
      </c>
      <c r="K1201" s="52" t="str">
        <f aca="false">IF(L1201="","",E1201&amp;CHAR(10)&amp;INDEX(ポート振替表!$K$5:$K$3507,$L1201)&amp;" "&amp;INDEX(ポート振替表!$L$5:$L$3507,$L1201)&amp;CHAR(10)&amp;"⇔ "&amp;INDEX(ポート振替表!$H$5:$H$3507,$L1201)&amp;" "&amp;INDEX(ポート振替表!$I$5:$I$3507,$L1201))</f>
        <v/>
      </c>
      <c r="L1201" s="47" t="str">
        <f aca="false">IFERROR(MATCH(ROW()-4,ポート振替表!$V$5:$V$3507,0),"")</f>
        <v/>
      </c>
    </row>
    <row r="1202" customFormat="false" ht="16.4" hidden="false" customHeight="false" outlineLevel="0" collapsed="false">
      <c r="A1202" s="32" t="str">
        <f aca="false">IF(L1202="","",ROW()-4)</f>
        <v/>
      </c>
      <c r="B1202" s="58" t="str">
        <f aca="false">IF(L1202="","",IF(INDEX(ポート振替表!$W$5:$W$3507,$L1202)="","(なし)",INDEX(ポート振替表!$W$5:$W$3507,$L1202)&amp;""))</f>
        <v/>
      </c>
      <c r="C1202" s="52" t="str">
        <f aca="false">IF(L1202="","",INDEX(ポート振替表!$B$5:$B$3507,$L1202)&amp;" "&amp;INDEX(ポート振替表!$C$5:$C$3507,$L1202)&amp;"  ⇔  "&amp;INDEX(ポート振替表!$H$5:$H$3507,$L1202)&amp;" "&amp;INDEX(ポート振替表!$I$5:$I$3507,$L1202))</f>
        <v/>
      </c>
      <c r="D1202" s="57" t="s">
        <v>158</v>
      </c>
      <c r="E1202" s="59" t="str">
        <f aca="false">IF(L1202="","",IF(INDEX(ポート振替表!$O$5:$O$3507,$L1202)="","(未設定)",INDEX(ポート振替表!$O$5:$O$3507,$L1202)&amp;""))</f>
        <v/>
      </c>
      <c r="F1202" s="52" t="str">
        <f aca="false">IF(L1202="","",INDEX(ポート振替表!$K$5:$K$3507,$L1202)&amp;" "&amp;INDEX(ポート振替表!$L$5:$L$3507,$L1202)&amp;"  ⇔  "&amp;INDEX(ポート振替表!$H$5:$H$3507,$L1202)&amp;" "&amp;INDEX(ポート振替表!$I$5:$I$3507,$L1202))</f>
        <v/>
      </c>
      <c r="G1202" s="57" t="s">
        <v>158</v>
      </c>
      <c r="H1202" s="32" t="str">
        <f aca="false">IF(L1202="","",INDEX(ポート振替表!$N$5:$N$3507,$L1202)&amp;"")</f>
        <v/>
      </c>
      <c r="I1202" s="32" t="str">
        <f aca="false">IF(L1202="","",INDEX(ポート振替表!$P$5:$P$3507,$L1202)&amp;"")</f>
        <v/>
      </c>
      <c r="J1202" s="60" t="str">
        <f aca="false">IF(L1202="","",INDEX(ポート振替表!$M$5:$M$3507,$L1202)&amp;"")</f>
        <v/>
      </c>
      <c r="K1202" s="52" t="str">
        <f aca="false">IF(L1202="","",E1202&amp;CHAR(10)&amp;INDEX(ポート振替表!$K$5:$K$3507,$L1202)&amp;" "&amp;INDEX(ポート振替表!$L$5:$L$3507,$L1202)&amp;CHAR(10)&amp;"⇔ "&amp;INDEX(ポート振替表!$H$5:$H$3507,$L1202)&amp;" "&amp;INDEX(ポート振替表!$I$5:$I$3507,$L1202))</f>
        <v/>
      </c>
      <c r="L1202" s="47" t="str">
        <f aca="false">IFERROR(MATCH(ROW()-4,ポート振替表!$V$5:$V$3507,0),"")</f>
        <v/>
      </c>
    </row>
    <row r="1203" customFormat="false" ht="16.4" hidden="false" customHeight="false" outlineLevel="0" collapsed="false">
      <c r="A1203" s="32" t="str">
        <f aca="false">IF(L1203="","",ROW()-4)</f>
        <v/>
      </c>
      <c r="B1203" s="58" t="str">
        <f aca="false">IF(L1203="","",IF(INDEX(ポート振替表!$W$5:$W$3507,$L1203)="","(なし)",INDEX(ポート振替表!$W$5:$W$3507,$L1203)&amp;""))</f>
        <v/>
      </c>
      <c r="C1203" s="52" t="str">
        <f aca="false">IF(L1203="","",INDEX(ポート振替表!$B$5:$B$3507,$L1203)&amp;" "&amp;INDEX(ポート振替表!$C$5:$C$3507,$L1203)&amp;"  ⇔  "&amp;INDEX(ポート振替表!$H$5:$H$3507,$L1203)&amp;" "&amp;INDEX(ポート振替表!$I$5:$I$3507,$L1203))</f>
        <v/>
      </c>
      <c r="D1203" s="57" t="s">
        <v>158</v>
      </c>
      <c r="E1203" s="59" t="str">
        <f aca="false">IF(L1203="","",IF(INDEX(ポート振替表!$O$5:$O$3507,$L1203)="","(未設定)",INDEX(ポート振替表!$O$5:$O$3507,$L1203)&amp;""))</f>
        <v/>
      </c>
      <c r="F1203" s="52" t="str">
        <f aca="false">IF(L1203="","",INDEX(ポート振替表!$K$5:$K$3507,$L1203)&amp;" "&amp;INDEX(ポート振替表!$L$5:$L$3507,$L1203)&amp;"  ⇔  "&amp;INDEX(ポート振替表!$H$5:$H$3507,$L1203)&amp;" "&amp;INDEX(ポート振替表!$I$5:$I$3507,$L1203))</f>
        <v/>
      </c>
      <c r="G1203" s="57" t="s">
        <v>158</v>
      </c>
      <c r="H1203" s="32" t="str">
        <f aca="false">IF(L1203="","",INDEX(ポート振替表!$N$5:$N$3507,$L1203)&amp;"")</f>
        <v/>
      </c>
      <c r="I1203" s="32" t="str">
        <f aca="false">IF(L1203="","",INDEX(ポート振替表!$P$5:$P$3507,$L1203)&amp;"")</f>
        <v/>
      </c>
      <c r="J1203" s="60" t="str">
        <f aca="false">IF(L1203="","",INDEX(ポート振替表!$M$5:$M$3507,$L1203)&amp;"")</f>
        <v/>
      </c>
      <c r="K1203" s="52" t="str">
        <f aca="false">IF(L1203="","",E1203&amp;CHAR(10)&amp;INDEX(ポート振替表!$K$5:$K$3507,$L1203)&amp;" "&amp;INDEX(ポート振替表!$L$5:$L$3507,$L1203)&amp;CHAR(10)&amp;"⇔ "&amp;INDEX(ポート振替表!$H$5:$H$3507,$L1203)&amp;" "&amp;INDEX(ポート振替表!$I$5:$I$3507,$L1203))</f>
        <v/>
      </c>
      <c r="L1203" s="47" t="str">
        <f aca="false">IFERROR(MATCH(ROW()-4,ポート振替表!$V$5:$V$3507,0),"")</f>
        <v/>
      </c>
    </row>
    <row r="1204" customFormat="false" ht="16.4" hidden="false" customHeight="false" outlineLevel="0" collapsed="false">
      <c r="A1204" s="32" t="str">
        <f aca="false">IF(L1204="","",ROW()-4)</f>
        <v/>
      </c>
      <c r="B1204" s="58" t="str">
        <f aca="false">IF(L1204="","",IF(INDEX(ポート振替表!$W$5:$W$3507,$L1204)="","(なし)",INDEX(ポート振替表!$W$5:$W$3507,$L1204)&amp;""))</f>
        <v/>
      </c>
      <c r="C1204" s="52" t="str">
        <f aca="false">IF(L1204="","",INDEX(ポート振替表!$B$5:$B$3507,$L1204)&amp;" "&amp;INDEX(ポート振替表!$C$5:$C$3507,$L1204)&amp;"  ⇔  "&amp;INDEX(ポート振替表!$H$5:$H$3507,$L1204)&amp;" "&amp;INDEX(ポート振替表!$I$5:$I$3507,$L1204))</f>
        <v/>
      </c>
      <c r="D1204" s="57" t="s">
        <v>158</v>
      </c>
      <c r="E1204" s="59" t="str">
        <f aca="false">IF(L1204="","",IF(INDEX(ポート振替表!$O$5:$O$3507,$L1204)="","(未設定)",INDEX(ポート振替表!$O$5:$O$3507,$L1204)&amp;""))</f>
        <v/>
      </c>
      <c r="F1204" s="52" t="str">
        <f aca="false">IF(L1204="","",INDEX(ポート振替表!$K$5:$K$3507,$L1204)&amp;" "&amp;INDEX(ポート振替表!$L$5:$L$3507,$L1204)&amp;"  ⇔  "&amp;INDEX(ポート振替表!$H$5:$H$3507,$L1204)&amp;" "&amp;INDEX(ポート振替表!$I$5:$I$3507,$L1204))</f>
        <v/>
      </c>
      <c r="G1204" s="57" t="s">
        <v>158</v>
      </c>
      <c r="H1204" s="32" t="str">
        <f aca="false">IF(L1204="","",INDEX(ポート振替表!$N$5:$N$3507,$L1204)&amp;"")</f>
        <v/>
      </c>
      <c r="I1204" s="32" t="str">
        <f aca="false">IF(L1204="","",INDEX(ポート振替表!$P$5:$P$3507,$L1204)&amp;"")</f>
        <v/>
      </c>
      <c r="J1204" s="60" t="str">
        <f aca="false">IF(L1204="","",INDEX(ポート振替表!$M$5:$M$3507,$L1204)&amp;"")</f>
        <v/>
      </c>
      <c r="K1204" s="52" t="str">
        <f aca="false">IF(L1204="","",E1204&amp;CHAR(10)&amp;INDEX(ポート振替表!$K$5:$K$3507,$L1204)&amp;" "&amp;INDEX(ポート振替表!$L$5:$L$3507,$L1204)&amp;CHAR(10)&amp;"⇔ "&amp;INDEX(ポート振替表!$H$5:$H$3507,$L1204)&amp;" "&amp;INDEX(ポート振替表!$I$5:$I$3507,$L1204))</f>
        <v/>
      </c>
      <c r="L1204" s="47" t="str">
        <f aca="false">IFERROR(MATCH(ROW()-4,ポート振替表!$V$5:$V$3507,0),"")</f>
        <v/>
      </c>
    </row>
    <row r="1205" customFormat="false" ht="16.4" hidden="false" customHeight="false" outlineLevel="0" collapsed="false">
      <c r="A1205" s="32" t="str">
        <f aca="false">IF(L1205="","",ROW()-4)</f>
        <v/>
      </c>
      <c r="B1205" s="58" t="str">
        <f aca="false">IF(L1205="","",IF(INDEX(ポート振替表!$W$5:$W$3507,$L1205)="","(なし)",INDEX(ポート振替表!$W$5:$W$3507,$L1205)&amp;""))</f>
        <v/>
      </c>
      <c r="C1205" s="52" t="str">
        <f aca="false">IF(L1205="","",INDEX(ポート振替表!$B$5:$B$3507,$L1205)&amp;" "&amp;INDEX(ポート振替表!$C$5:$C$3507,$L1205)&amp;"  ⇔  "&amp;INDEX(ポート振替表!$H$5:$H$3507,$L1205)&amp;" "&amp;INDEX(ポート振替表!$I$5:$I$3507,$L1205))</f>
        <v/>
      </c>
      <c r="D1205" s="57" t="s">
        <v>158</v>
      </c>
      <c r="E1205" s="59" t="str">
        <f aca="false">IF(L1205="","",IF(INDEX(ポート振替表!$O$5:$O$3507,$L1205)="","(未設定)",INDEX(ポート振替表!$O$5:$O$3507,$L1205)&amp;""))</f>
        <v/>
      </c>
      <c r="F1205" s="52" t="str">
        <f aca="false">IF(L1205="","",INDEX(ポート振替表!$K$5:$K$3507,$L1205)&amp;" "&amp;INDEX(ポート振替表!$L$5:$L$3507,$L1205)&amp;"  ⇔  "&amp;INDEX(ポート振替表!$H$5:$H$3507,$L1205)&amp;" "&amp;INDEX(ポート振替表!$I$5:$I$3507,$L1205))</f>
        <v/>
      </c>
      <c r="G1205" s="57" t="s">
        <v>158</v>
      </c>
      <c r="H1205" s="32" t="str">
        <f aca="false">IF(L1205="","",INDEX(ポート振替表!$N$5:$N$3507,$L1205)&amp;"")</f>
        <v/>
      </c>
      <c r="I1205" s="32" t="str">
        <f aca="false">IF(L1205="","",INDEX(ポート振替表!$P$5:$P$3507,$L1205)&amp;"")</f>
        <v/>
      </c>
      <c r="J1205" s="60" t="str">
        <f aca="false">IF(L1205="","",INDEX(ポート振替表!$M$5:$M$3507,$L1205)&amp;"")</f>
        <v/>
      </c>
      <c r="K1205" s="52" t="str">
        <f aca="false">IF(L1205="","",E1205&amp;CHAR(10)&amp;INDEX(ポート振替表!$K$5:$K$3507,$L1205)&amp;" "&amp;INDEX(ポート振替表!$L$5:$L$3507,$L1205)&amp;CHAR(10)&amp;"⇔ "&amp;INDEX(ポート振替表!$H$5:$H$3507,$L1205)&amp;" "&amp;INDEX(ポート振替表!$I$5:$I$3507,$L1205))</f>
        <v/>
      </c>
      <c r="L1205" s="47" t="str">
        <f aca="false">IFERROR(MATCH(ROW()-4,ポート振替表!$V$5:$V$3507,0),"")</f>
        <v/>
      </c>
    </row>
    <row r="1206" customFormat="false" ht="16.4" hidden="false" customHeight="false" outlineLevel="0" collapsed="false">
      <c r="A1206" s="32" t="str">
        <f aca="false">IF(L1206="","",ROW()-4)</f>
        <v/>
      </c>
      <c r="B1206" s="58" t="str">
        <f aca="false">IF(L1206="","",IF(INDEX(ポート振替表!$W$5:$W$3507,$L1206)="","(なし)",INDEX(ポート振替表!$W$5:$W$3507,$L1206)&amp;""))</f>
        <v/>
      </c>
      <c r="C1206" s="52" t="str">
        <f aca="false">IF(L1206="","",INDEX(ポート振替表!$B$5:$B$3507,$L1206)&amp;" "&amp;INDEX(ポート振替表!$C$5:$C$3507,$L1206)&amp;"  ⇔  "&amp;INDEX(ポート振替表!$H$5:$H$3507,$L1206)&amp;" "&amp;INDEX(ポート振替表!$I$5:$I$3507,$L1206))</f>
        <v/>
      </c>
      <c r="D1206" s="57" t="s">
        <v>158</v>
      </c>
      <c r="E1206" s="59" t="str">
        <f aca="false">IF(L1206="","",IF(INDEX(ポート振替表!$O$5:$O$3507,$L1206)="","(未設定)",INDEX(ポート振替表!$O$5:$O$3507,$L1206)&amp;""))</f>
        <v/>
      </c>
      <c r="F1206" s="52" t="str">
        <f aca="false">IF(L1206="","",INDEX(ポート振替表!$K$5:$K$3507,$L1206)&amp;" "&amp;INDEX(ポート振替表!$L$5:$L$3507,$L1206)&amp;"  ⇔  "&amp;INDEX(ポート振替表!$H$5:$H$3507,$L1206)&amp;" "&amp;INDEX(ポート振替表!$I$5:$I$3507,$L1206))</f>
        <v/>
      </c>
      <c r="G1206" s="57" t="s">
        <v>158</v>
      </c>
      <c r="H1206" s="32" t="str">
        <f aca="false">IF(L1206="","",INDEX(ポート振替表!$N$5:$N$3507,$L1206)&amp;"")</f>
        <v/>
      </c>
      <c r="I1206" s="32" t="str">
        <f aca="false">IF(L1206="","",INDEX(ポート振替表!$P$5:$P$3507,$L1206)&amp;"")</f>
        <v/>
      </c>
      <c r="J1206" s="60" t="str">
        <f aca="false">IF(L1206="","",INDEX(ポート振替表!$M$5:$M$3507,$L1206)&amp;"")</f>
        <v/>
      </c>
      <c r="K1206" s="52" t="str">
        <f aca="false">IF(L1206="","",E1206&amp;CHAR(10)&amp;INDEX(ポート振替表!$K$5:$K$3507,$L1206)&amp;" "&amp;INDEX(ポート振替表!$L$5:$L$3507,$L1206)&amp;CHAR(10)&amp;"⇔ "&amp;INDEX(ポート振替表!$H$5:$H$3507,$L1206)&amp;" "&amp;INDEX(ポート振替表!$I$5:$I$3507,$L1206))</f>
        <v/>
      </c>
      <c r="L1206" s="47" t="str">
        <f aca="false">IFERROR(MATCH(ROW()-4,ポート振替表!$V$5:$V$3507,0),"")</f>
        <v/>
      </c>
    </row>
    <row r="1207" customFormat="false" ht="16.4" hidden="false" customHeight="false" outlineLevel="0" collapsed="false">
      <c r="A1207" s="32" t="str">
        <f aca="false">IF(L1207="","",ROW()-4)</f>
        <v/>
      </c>
      <c r="B1207" s="58" t="str">
        <f aca="false">IF(L1207="","",IF(INDEX(ポート振替表!$W$5:$W$3507,$L1207)="","(なし)",INDEX(ポート振替表!$W$5:$W$3507,$L1207)&amp;""))</f>
        <v/>
      </c>
      <c r="C1207" s="52" t="str">
        <f aca="false">IF(L1207="","",INDEX(ポート振替表!$B$5:$B$3507,$L1207)&amp;" "&amp;INDEX(ポート振替表!$C$5:$C$3507,$L1207)&amp;"  ⇔  "&amp;INDEX(ポート振替表!$H$5:$H$3507,$L1207)&amp;" "&amp;INDEX(ポート振替表!$I$5:$I$3507,$L1207))</f>
        <v/>
      </c>
      <c r="D1207" s="57" t="s">
        <v>158</v>
      </c>
      <c r="E1207" s="59" t="str">
        <f aca="false">IF(L1207="","",IF(INDEX(ポート振替表!$O$5:$O$3507,$L1207)="","(未設定)",INDEX(ポート振替表!$O$5:$O$3507,$L1207)&amp;""))</f>
        <v/>
      </c>
      <c r="F1207" s="52" t="str">
        <f aca="false">IF(L1207="","",INDEX(ポート振替表!$K$5:$K$3507,$L1207)&amp;" "&amp;INDEX(ポート振替表!$L$5:$L$3507,$L1207)&amp;"  ⇔  "&amp;INDEX(ポート振替表!$H$5:$H$3507,$L1207)&amp;" "&amp;INDEX(ポート振替表!$I$5:$I$3507,$L1207))</f>
        <v/>
      </c>
      <c r="G1207" s="57" t="s">
        <v>158</v>
      </c>
      <c r="H1207" s="32" t="str">
        <f aca="false">IF(L1207="","",INDEX(ポート振替表!$N$5:$N$3507,$L1207)&amp;"")</f>
        <v/>
      </c>
      <c r="I1207" s="32" t="str">
        <f aca="false">IF(L1207="","",INDEX(ポート振替表!$P$5:$P$3507,$L1207)&amp;"")</f>
        <v/>
      </c>
      <c r="J1207" s="60" t="str">
        <f aca="false">IF(L1207="","",INDEX(ポート振替表!$M$5:$M$3507,$L1207)&amp;"")</f>
        <v/>
      </c>
      <c r="K1207" s="52" t="str">
        <f aca="false">IF(L1207="","",E1207&amp;CHAR(10)&amp;INDEX(ポート振替表!$K$5:$K$3507,$L1207)&amp;" "&amp;INDEX(ポート振替表!$L$5:$L$3507,$L1207)&amp;CHAR(10)&amp;"⇔ "&amp;INDEX(ポート振替表!$H$5:$H$3507,$L1207)&amp;" "&amp;INDEX(ポート振替表!$I$5:$I$3507,$L1207))</f>
        <v/>
      </c>
      <c r="L1207" s="47" t="str">
        <f aca="false">IFERROR(MATCH(ROW()-4,ポート振替表!$V$5:$V$3507,0),"")</f>
        <v/>
      </c>
    </row>
    <row r="1208" customFormat="false" ht="16.4" hidden="false" customHeight="false" outlineLevel="0" collapsed="false">
      <c r="A1208" s="32" t="str">
        <f aca="false">IF(L1208="","",ROW()-4)</f>
        <v/>
      </c>
      <c r="B1208" s="58" t="str">
        <f aca="false">IF(L1208="","",IF(INDEX(ポート振替表!$W$5:$W$3507,$L1208)="","(なし)",INDEX(ポート振替表!$W$5:$W$3507,$L1208)&amp;""))</f>
        <v/>
      </c>
      <c r="C1208" s="52" t="str">
        <f aca="false">IF(L1208="","",INDEX(ポート振替表!$B$5:$B$3507,$L1208)&amp;" "&amp;INDEX(ポート振替表!$C$5:$C$3507,$L1208)&amp;"  ⇔  "&amp;INDEX(ポート振替表!$H$5:$H$3507,$L1208)&amp;" "&amp;INDEX(ポート振替表!$I$5:$I$3507,$L1208))</f>
        <v/>
      </c>
      <c r="D1208" s="57" t="s">
        <v>158</v>
      </c>
      <c r="E1208" s="59" t="str">
        <f aca="false">IF(L1208="","",IF(INDEX(ポート振替表!$O$5:$O$3507,$L1208)="","(未設定)",INDEX(ポート振替表!$O$5:$O$3507,$L1208)&amp;""))</f>
        <v/>
      </c>
      <c r="F1208" s="52" t="str">
        <f aca="false">IF(L1208="","",INDEX(ポート振替表!$K$5:$K$3507,$L1208)&amp;" "&amp;INDEX(ポート振替表!$L$5:$L$3507,$L1208)&amp;"  ⇔  "&amp;INDEX(ポート振替表!$H$5:$H$3507,$L1208)&amp;" "&amp;INDEX(ポート振替表!$I$5:$I$3507,$L1208))</f>
        <v/>
      </c>
      <c r="G1208" s="57" t="s">
        <v>158</v>
      </c>
      <c r="H1208" s="32" t="str">
        <f aca="false">IF(L1208="","",INDEX(ポート振替表!$N$5:$N$3507,$L1208)&amp;"")</f>
        <v/>
      </c>
      <c r="I1208" s="32" t="str">
        <f aca="false">IF(L1208="","",INDEX(ポート振替表!$P$5:$P$3507,$L1208)&amp;"")</f>
        <v/>
      </c>
      <c r="J1208" s="60" t="str">
        <f aca="false">IF(L1208="","",INDEX(ポート振替表!$M$5:$M$3507,$L1208)&amp;"")</f>
        <v/>
      </c>
      <c r="K1208" s="52" t="str">
        <f aca="false">IF(L1208="","",E1208&amp;CHAR(10)&amp;INDEX(ポート振替表!$K$5:$K$3507,$L1208)&amp;" "&amp;INDEX(ポート振替表!$L$5:$L$3507,$L1208)&amp;CHAR(10)&amp;"⇔ "&amp;INDEX(ポート振替表!$H$5:$H$3507,$L1208)&amp;" "&amp;INDEX(ポート振替表!$I$5:$I$3507,$L1208))</f>
        <v/>
      </c>
      <c r="L1208" s="47" t="str">
        <f aca="false">IFERROR(MATCH(ROW()-4,ポート振替表!$V$5:$V$3507,0),"")</f>
        <v/>
      </c>
    </row>
    <row r="1209" customFormat="false" ht="16.4" hidden="false" customHeight="false" outlineLevel="0" collapsed="false">
      <c r="A1209" s="32" t="str">
        <f aca="false">IF(L1209="","",ROW()-4)</f>
        <v/>
      </c>
      <c r="B1209" s="58" t="str">
        <f aca="false">IF(L1209="","",IF(INDEX(ポート振替表!$W$5:$W$3507,$L1209)="","(なし)",INDEX(ポート振替表!$W$5:$W$3507,$L1209)&amp;""))</f>
        <v/>
      </c>
      <c r="C1209" s="52" t="str">
        <f aca="false">IF(L1209="","",INDEX(ポート振替表!$B$5:$B$3507,$L1209)&amp;" "&amp;INDEX(ポート振替表!$C$5:$C$3507,$L1209)&amp;"  ⇔  "&amp;INDEX(ポート振替表!$H$5:$H$3507,$L1209)&amp;" "&amp;INDEX(ポート振替表!$I$5:$I$3507,$L1209))</f>
        <v/>
      </c>
      <c r="D1209" s="57" t="s">
        <v>158</v>
      </c>
      <c r="E1209" s="59" t="str">
        <f aca="false">IF(L1209="","",IF(INDEX(ポート振替表!$O$5:$O$3507,$L1209)="","(未設定)",INDEX(ポート振替表!$O$5:$O$3507,$L1209)&amp;""))</f>
        <v/>
      </c>
      <c r="F1209" s="52" t="str">
        <f aca="false">IF(L1209="","",INDEX(ポート振替表!$K$5:$K$3507,$L1209)&amp;" "&amp;INDEX(ポート振替表!$L$5:$L$3507,$L1209)&amp;"  ⇔  "&amp;INDEX(ポート振替表!$H$5:$H$3507,$L1209)&amp;" "&amp;INDEX(ポート振替表!$I$5:$I$3507,$L1209))</f>
        <v/>
      </c>
      <c r="G1209" s="57" t="s">
        <v>158</v>
      </c>
      <c r="H1209" s="32" t="str">
        <f aca="false">IF(L1209="","",INDEX(ポート振替表!$N$5:$N$3507,$L1209)&amp;"")</f>
        <v/>
      </c>
      <c r="I1209" s="32" t="str">
        <f aca="false">IF(L1209="","",INDEX(ポート振替表!$P$5:$P$3507,$L1209)&amp;"")</f>
        <v/>
      </c>
      <c r="J1209" s="60" t="str">
        <f aca="false">IF(L1209="","",INDEX(ポート振替表!$M$5:$M$3507,$L1209)&amp;"")</f>
        <v/>
      </c>
      <c r="K1209" s="52" t="str">
        <f aca="false">IF(L1209="","",E1209&amp;CHAR(10)&amp;INDEX(ポート振替表!$K$5:$K$3507,$L1209)&amp;" "&amp;INDEX(ポート振替表!$L$5:$L$3507,$L1209)&amp;CHAR(10)&amp;"⇔ "&amp;INDEX(ポート振替表!$H$5:$H$3507,$L1209)&amp;" "&amp;INDEX(ポート振替表!$I$5:$I$3507,$L1209))</f>
        <v/>
      </c>
      <c r="L1209" s="47" t="str">
        <f aca="false">IFERROR(MATCH(ROW()-4,ポート振替表!$V$5:$V$3507,0),"")</f>
        <v/>
      </c>
    </row>
    <row r="1210" customFormat="false" ht="16.4" hidden="false" customHeight="false" outlineLevel="0" collapsed="false">
      <c r="A1210" s="32" t="str">
        <f aca="false">IF(L1210="","",ROW()-4)</f>
        <v/>
      </c>
      <c r="B1210" s="58" t="str">
        <f aca="false">IF(L1210="","",IF(INDEX(ポート振替表!$W$5:$W$3507,$L1210)="","(なし)",INDEX(ポート振替表!$W$5:$W$3507,$L1210)&amp;""))</f>
        <v/>
      </c>
      <c r="C1210" s="52" t="str">
        <f aca="false">IF(L1210="","",INDEX(ポート振替表!$B$5:$B$3507,$L1210)&amp;" "&amp;INDEX(ポート振替表!$C$5:$C$3507,$L1210)&amp;"  ⇔  "&amp;INDEX(ポート振替表!$H$5:$H$3507,$L1210)&amp;" "&amp;INDEX(ポート振替表!$I$5:$I$3507,$L1210))</f>
        <v/>
      </c>
      <c r="D1210" s="57" t="s">
        <v>158</v>
      </c>
      <c r="E1210" s="59" t="str">
        <f aca="false">IF(L1210="","",IF(INDEX(ポート振替表!$O$5:$O$3507,$L1210)="","(未設定)",INDEX(ポート振替表!$O$5:$O$3507,$L1210)&amp;""))</f>
        <v/>
      </c>
      <c r="F1210" s="52" t="str">
        <f aca="false">IF(L1210="","",INDEX(ポート振替表!$K$5:$K$3507,$L1210)&amp;" "&amp;INDEX(ポート振替表!$L$5:$L$3507,$L1210)&amp;"  ⇔  "&amp;INDEX(ポート振替表!$H$5:$H$3507,$L1210)&amp;" "&amp;INDEX(ポート振替表!$I$5:$I$3507,$L1210))</f>
        <v/>
      </c>
      <c r="G1210" s="57" t="s">
        <v>158</v>
      </c>
      <c r="H1210" s="32" t="str">
        <f aca="false">IF(L1210="","",INDEX(ポート振替表!$N$5:$N$3507,$L1210)&amp;"")</f>
        <v/>
      </c>
      <c r="I1210" s="32" t="str">
        <f aca="false">IF(L1210="","",INDEX(ポート振替表!$P$5:$P$3507,$L1210)&amp;"")</f>
        <v/>
      </c>
      <c r="J1210" s="60" t="str">
        <f aca="false">IF(L1210="","",INDEX(ポート振替表!$M$5:$M$3507,$L1210)&amp;"")</f>
        <v/>
      </c>
      <c r="K1210" s="52" t="str">
        <f aca="false">IF(L1210="","",E1210&amp;CHAR(10)&amp;INDEX(ポート振替表!$K$5:$K$3507,$L1210)&amp;" "&amp;INDEX(ポート振替表!$L$5:$L$3507,$L1210)&amp;CHAR(10)&amp;"⇔ "&amp;INDEX(ポート振替表!$H$5:$H$3507,$L1210)&amp;" "&amp;INDEX(ポート振替表!$I$5:$I$3507,$L1210))</f>
        <v/>
      </c>
      <c r="L1210" s="47" t="str">
        <f aca="false">IFERROR(MATCH(ROW()-4,ポート振替表!$V$5:$V$3507,0),"")</f>
        <v/>
      </c>
    </row>
    <row r="1211" customFormat="false" ht="16.4" hidden="false" customHeight="false" outlineLevel="0" collapsed="false">
      <c r="A1211" s="32" t="str">
        <f aca="false">IF(L1211="","",ROW()-4)</f>
        <v/>
      </c>
      <c r="B1211" s="58" t="str">
        <f aca="false">IF(L1211="","",IF(INDEX(ポート振替表!$W$5:$W$3507,$L1211)="","(なし)",INDEX(ポート振替表!$W$5:$W$3507,$L1211)&amp;""))</f>
        <v/>
      </c>
      <c r="C1211" s="52" t="str">
        <f aca="false">IF(L1211="","",INDEX(ポート振替表!$B$5:$B$3507,$L1211)&amp;" "&amp;INDEX(ポート振替表!$C$5:$C$3507,$L1211)&amp;"  ⇔  "&amp;INDEX(ポート振替表!$H$5:$H$3507,$L1211)&amp;" "&amp;INDEX(ポート振替表!$I$5:$I$3507,$L1211))</f>
        <v/>
      </c>
      <c r="D1211" s="57" t="s">
        <v>158</v>
      </c>
      <c r="E1211" s="59" t="str">
        <f aca="false">IF(L1211="","",IF(INDEX(ポート振替表!$O$5:$O$3507,$L1211)="","(未設定)",INDEX(ポート振替表!$O$5:$O$3507,$L1211)&amp;""))</f>
        <v/>
      </c>
      <c r="F1211" s="52" t="str">
        <f aca="false">IF(L1211="","",INDEX(ポート振替表!$K$5:$K$3507,$L1211)&amp;" "&amp;INDEX(ポート振替表!$L$5:$L$3507,$L1211)&amp;"  ⇔  "&amp;INDEX(ポート振替表!$H$5:$H$3507,$L1211)&amp;" "&amp;INDEX(ポート振替表!$I$5:$I$3507,$L1211))</f>
        <v/>
      </c>
      <c r="G1211" s="57" t="s">
        <v>158</v>
      </c>
      <c r="H1211" s="32" t="str">
        <f aca="false">IF(L1211="","",INDEX(ポート振替表!$N$5:$N$3507,$L1211)&amp;"")</f>
        <v/>
      </c>
      <c r="I1211" s="32" t="str">
        <f aca="false">IF(L1211="","",INDEX(ポート振替表!$P$5:$P$3507,$L1211)&amp;"")</f>
        <v/>
      </c>
      <c r="J1211" s="60" t="str">
        <f aca="false">IF(L1211="","",INDEX(ポート振替表!$M$5:$M$3507,$L1211)&amp;"")</f>
        <v/>
      </c>
      <c r="K1211" s="52" t="str">
        <f aca="false">IF(L1211="","",E1211&amp;CHAR(10)&amp;INDEX(ポート振替表!$K$5:$K$3507,$L1211)&amp;" "&amp;INDEX(ポート振替表!$L$5:$L$3507,$L1211)&amp;CHAR(10)&amp;"⇔ "&amp;INDEX(ポート振替表!$H$5:$H$3507,$L1211)&amp;" "&amp;INDEX(ポート振替表!$I$5:$I$3507,$L1211))</f>
        <v/>
      </c>
      <c r="L1211" s="47" t="str">
        <f aca="false">IFERROR(MATCH(ROW()-4,ポート振替表!$V$5:$V$3507,0),"")</f>
        <v/>
      </c>
    </row>
    <row r="1212" customFormat="false" ht="16.4" hidden="false" customHeight="false" outlineLevel="0" collapsed="false">
      <c r="A1212" s="32" t="str">
        <f aca="false">IF(L1212="","",ROW()-4)</f>
        <v/>
      </c>
      <c r="B1212" s="58" t="str">
        <f aca="false">IF(L1212="","",IF(INDEX(ポート振替表!$W$5:$W$3507,$L1212)="","(なし)",INDEX(ポート振替表!$W$5:$W$3507,$L1212)&amp;""))</f>
        <v/>
      </c>
      <c r="C1212" s="52" t="str">
        <f aca="false">IF(L1212="","",INDEX(ポート振替表!$B$5:$B$3507,$L1212)&amp;" "&amp;INDEX(ポート振替表!$C$5:$C$3507,$L1212)&amp;"  ⇔  "&amp;INDEX(ポート振替表!$H$5:$H$3507,$L1212)&amp;" "&amp;INDEX(ポート振替表!$I$5:$I$3507,$L1212))</f>
        <v/>
      </c>
      <c r="D1212" s="57" t="s">
        <v>158</v>
      </c>
      <c r="E1212" s="59" t="str">
        <f aca="false">IF(L1212="","",IF(INDEX(ポート振替表!$O$5:$O$3507,$L1212)="","(未設定)",INDEX(ポート振替表!$O$5:$O$3507,$L1212)&amp;""))</f>
        <v/>
      </c>
      <c r="F1212" s="52" t="str">
        <f aca="false">IF(L1212="","",INDEX(ポート振替表!$K$5:$K$3507,$L1212)&amp;" "&amp;INDEX(ポート振替表!$L$5:$L$3507,$L1212)&amp;"  ⇔  "&amp;INDEX(ポート振替表!$H$5:$H$3507,$L1212)&amp;" "&amp;INDEX(ポート振替表!$I$5:$I$3507,$L1212))</f>
        <v/>
      </c>
      <c r="G1212" s="57" t="s">
        <v>158</v>
      </c>
      <c r="H1212" s="32" t="str">
        <f aca="false">IF(L1212="","",INDEX(ポート振替表!$N$5:$N$3507,$L1212)&amp;"")</f>
        <v/>
      </c>
      <c r="I1212" s="32" t="str">
        <f aca="false">IF(L1212="","",INDEX(ポート振替表!$P$5:$P$3507,$L1212)&amp;"")</f>
        <v/>
      </c>
      <c r="J1212" s="60" t="str">
        <f aca="false">IF(L1212="","",INDEX(ポート振替表!$M$5:$M$3507,$L1212)&amp;"")</f>
        <v/>
      </c>
      <c r="K1212" s="52" t="str">
        <f aca="false">IF(L1212="","",E1212&amp;CHAR(10)&amp;INDEX(ポート振替表!$K$5:$K$3507,$L1212)&amp;" "&amp;INDEX(ポート振替表!$L$5:$L$3507,$L1212)&amp;CHAR(10)&amp;"⇔ "&amp;INDEX(ポート振替表!$H$5:$H$3507,$L1212)&amp;" "&amp;INDEX(ポート振替表!$I$5:$I$3507,$L1212))</f>
        <v/>
      </c>
      <c r="L1212" s="47" t="str">
        <f aca="false">IFERROR(MATCH(ROW()-4,ポート振替表!$V$5:$V$3507,0),"")</f>
        <v/>
      </c>
    </row>
    <row r="1213" customFormat="false" ht="16.4" hidden="false" customHeight="false" outlineLevel="0" collapsed="false">
      <c r="A1213" s="32" t="str">
        <f aca="false">IF(L1213="","",ROW()-4)</f>
        <v/>
      </c>
      <c r="B1213" s="58" t="str">
        <f aca="false">IF(L1213="","",IF(INDEX(ポート振替表!$W$5:$W$3507,$L1213)="","(なし)",INDEX(ポート振替表!$W$5:$W$3507,$L1213)&amp;""))</f>
        <v/>
      </c>
      <c r="C1213" s="52" t="str">
        <f aca="false">IF(L1213="","",INDEX(ポート振替表!$B$5:$B$3507,$L1213)&amp;" "&amp;INDEX(ポート振替表!$C$5:$C$3507,$L1213)&amp;"  ⇔  "&amp;INDEX(ポート振替表!$H$5:$H$3507,$L1213)&amp;" "&amp;INDEX(ポート振替表!$I$5:$I$3507,$L1213))</f>
        <v/>
      </c>
      <c r="D1213" s="57" t="s">
        <v>158</v>
      </c>
      <c r="E1213" s="59" t="str">
        <f aca="false">IF(L1213="","",IF(INDEX(ポート振替表!$O$5:$O$3507,$L1213)="","(未設定)",INDEX(ポート振替表!$O$5:$O$3507,$L1213)&amp;""))</f>
        <v/>
      </c>
      <c r="F1213" s="52" t="str">
        <f aca="false">IF(L1213="","",INDEX(ポート振替表!$K$5:$K$3507,$L1213)&amp;" "&amp;INDEX(ポート振替表!$L$5:$L$3507,$L1213)&amp;"  ⇔  "&amp;INDEX(ポート振替表!$H$5:$H$3507,$L1213)&amp;" "&amp;INDEX(ポート振替表!$I$5:$I$3507,$L1213))</f>
        <v/>
      </c>
      <c r="G1213" s="57" t="s">
        <v>158</v>
      </c>
      <c r="H1213" s="32" t="str">
        <f aca="false">IF(L1213="","",INDEX(ポート振替表!$N$5:$N$3507,$L1213)&amp;"")</f>
        <v/>
      </c>
      <c r="I1213" s="32" t="str">
        <f aca="false">IF(L1213="","",INDEX(ポート振替表!$P$5:$P$3507,$L1213)&amp;"")</f>
        <v/>
      </c>
      <c r="J1213" s="60" t="str">
        <f aca="false">IF(L1213="","",INDEX(ポート振替表!$M$5:$M$3507,$L1213)&amp;"")</f>
        <v/>
      </c>
      <c r="K1213" s="52" t="str">
        <f aca="false">IF(L1213="","",E1213&amp;CHAR(10)&amp;INDEX(ポート振替表!$K$5:$K$3507,$L1213)&amp;" "&amp;INDEX(ポート振替表!$L$5:$L$3507,$L1213)&amp;CHAR(10)&amp;"⇔ "&amp;INDEX(ポート振替表!$H$5:$H$3507,$L1213)&amp;" "&amp;INDEX(ポート振替表!$I$5:$I$3507,$L1213))</f>
        <v/>
      </c>
      <c r="L1213" s="47" t="str">
        <f aca="false">IFERROR(MATCH(ROW()-4,ポート振替表!$V$5:$V$3507,0),"")</f>
        <v/>
      </c>
    </row>
    <row r="1214" customFormat="false" ht="16.4" hidden="false" customHeight="false" outlineLevel="0" collapsed="false">
      <c r="A1214" s="32" t="str">
        <f aca="false">IF(L1214="","",ROW()-4)</f>
        <v/>
      </c>
      <c r="B1214" s="58" t="str">
        <f aca="false">IF(L1214="","",IF(INDEX(ポート振替表!$W$5:$W$3507,$L1214)="","(なし)",INDEX(ポート振替表!$W$5:$W$3507,$L1214)&amp;""))</f>
        <v/>
      </c>
      <c r="C1214" s="52" t="str">
        <f aca="false">IF(L1214="","",INDEX(ポート振替表!$B$5:$B$3507,$L1214)&amp;" "&amp;INDEX(ポート振替表!$C$5:$C$3507,$L1214)&amp;"  ⇔  "&amp;INDEX(ポート振替表!$H$5:$H$3507,$L1214)&amp;" "&amp;INDEX(ポート振替表!$I$5:$I$3507,$L1214))</f>
        <v/>
      </c>
      <c r="D1214" s="57" t="s">
        <v>158</v>
      </c>
      <c r="E1214" s="59" t="str">
        <f aca="false">IF(L1214="","",IF(INDEX(ポート振替表!$O$5:$O$3507,$L1214)="","(未設定)",INDEX(ポート振替表!$O$5:$O$3507,$L1214)&amp;""))</f>
        <v/>
      </c>
      <c r="F1214" s="52" t="str">
        <f aca="false">IF(L1214="","",INDEX(ポート振替表!$K$5:$K$3507,$L1214)&amp;" "&amp;INDEX(ポート振替表!$L$5:$L$3507,$L1214)&amp;"  ⇔  "&amp;INDEX(ポート振替表!$H$5:$H$3507,$L1214)&amp;" "&amp;INDEX(ポート振替表!$I$5:$I$3507,$L1214))</f>
        <v/>
      </c>
      <c r="G1214" s="57" t="s">
        <v>158</v>
      </c>
      <c r="H1214" s="32" t="str">
        <f aca="false">IF(L1214="","",INDEX(ポート振替表!$N$5:$N$3507,$L1214)&amp;"")</f>
        <v/>
      </c>
      <c r="I1214" s="32" t="str">
        <f aca="false">IF(L1214="","",INDEX(ポート振替表!$P$5:$P$3507,$L1214)&amp;"")</f>
        <v/>
      </c>
      <c r="J1214" s="60" t="str">
        <f aca="false">IF(L1214="","",INDEX(ポート振替表!$M$5:$M$3507,$L1214)&amp;"")</f>
        <v/>
      </c>
      <c r="K1214" s="52" t="str">
        <f aca="false">IF(L1214="","",E1214&amp;CHAR(10)&amp;INDEX(ポート振替表!$K$5:$K$3507,$L1214)&amp;" "&amp;INDEX(ポート振替表!$L$5:$L$3507,$L1214)&amp;CHAR(10)&amp;"⇔ "&amp;INDEX(ポート振替表!$H$5:$H$3507,$L1214)&amp;" "&amp;INDEX(ポート振替表!$I$5:$I$3507,$L1214))</f>
        <v/>
      </c>
      <c r="L1214" s="47" t="str">
        <f aca="false">IFERROR(MATCH(ROW()-4,ポート振替表!$V$5:$V$3507,0),"")</f>
        <v/>
      </c>
    </row>
    <row r="1215" customFormat="false" ht="16.4" hidden="false" customHeight="false" outlineLevel="0" collapsed="false">
      <c r="A1215" s="32" t="str">
        <f aca="false">IF(L1215="","",ROW()-4)</f>
        <v/>
      </c>
      <c r="B1215" s="58" t="str">
        <f aca="false">IF(L1215="","",IF(INDEX(ポート振替表!$W$5:$W$3507,$L1215)="","(なし)",INDEX(ポート振替表!$W$5:$W$3507,$L1215)&amp;""))</f>
        <v/>
      </c>
      <c r="C1215" s="52" t="str">
        <f aca="false">IF(L1215="","",INDEX(ポート振替表!$B$5:$B$3507,$L1215)&amp;" "&amp;INDEX(ポート振替表!$C$5:$C$3507,$L1215)&amp;"  ⇔  "&amp;INDEX(ポート振替表!$H$5:$H$3507,$L1215)&amp;" "&amp;INDEX(ポート振替表!$I$5:$I$3507,$L1215))</f>
        <v/>
      </c>
      <c r="D1215" s="57" t="s">
        <v>158</v>
      </c>
      <c r="E1215" s="59" t="str">
        <f aca="false">IF(L1215="","",IF(INDEX(ポート振替表!$O$5:$O$3507,$L1215)="","(未設定)",INDEX(ポート振替表!$O$5:$O$3507,$L1215)&amp;""))</f>
        <v/>
      </c>
      <c r="F1215" s="52" t="str">
        <f aca="false">IF(L1215="","",INDEX(ポート振替表!$K$5:$K$3507,$L1215)&amp;" "&amp;INDEX(ポート振替表!$L$5:$L$3507,$L1215)&amp;"  ⇔  "&amp;INDEX(ポート振替表!$H$5:$H$3507,$L1215)&amp;" "&amp;INDEX(ポート振替表!$I$5:$I$3507,$L1215))</f>
        <v/>
      </c>
      <c r="G1215" s="57" t="s">
        <v>158</v>
      </c>
      <c r="H1215" s="32" t="str">
        <f aca="false">IF(L1215="","",INDEX(ポート振替表!$N$5:$N$3507,$L1215)&amp;"")</f>
        <v/>
      </c>
      <c r="I1215" s="32" t="str">
        <f aca="false">IF(L1215="","",INDEX(ポート振替表!$P$5:$P$3507,$L1215)&amp;"")</f>
        <v/>
      </c>
      <c r="J1215" s="60" t="str">
        <f aca="false">IF(L1215="","",INDEX(ポート振替表!$M$5:$M$3507,$L1215)&amp;"")</f>
        <v/>
      </c>
      <c r="K1215" s="52" t="str">
        <f aca="false">IF(L1215="","",E1215&amp;CHAR(10)&amp;INDEX(ポート振替表!$K$5:$K$3507,$L1215)&amp;" "&amp;INDEX(ポート振替表!$L$5:$L$3507,$L1215)&amp;CHAR(10)&amp;"⇔ "&amp;INDEX(ポート振替表!$H$5:$H$3507,$L1215)&amp;" "&amp;INDEX(ポート振替表!$I$5:$I$3507,$L1215))</f>
        <v/>
      </c>
      <c r="L1215" s="47" t="str">
        <f aca="false">IFERROR(MATCH(ROW()-4,ポート振替表!$V$5:$V$3507,0),"")</f>
        <v/>
      </c>
    </row>
    <row r="1216" customFormat="false" ht="16.4" hidden="false" customHeight="false" outlineLevel="0" collapsed="false">
      <c r="A1216" s="32" t="str">
        <f aca="false">IF(L1216="","",ROW()-4)</f>
        <v/>
      </c>
      <c r="B1216" s="58" t="str">
        <f aca="false">IF(L1216="","",IF(INDEX(ポート振替表!$W$5:$W$3507,$L1216)="","(なし)",INDEX(ポート振替表!$W$5:$W$3507,$L1216)&amp;""))</f>
        <v/>
      </c>
      <c r="C1216" s="52" t="str">
        <f aca="false">IF(L1216="","",INDEX(ポート振替表!$B$5:$B$3507,$L1216)&amp;" "&amp;INDEX(ポート振替表!$C$5:$C$3507,$L1216)&amp;"  ⇔  "&amp;INDEX(ポート振替表!$H$5:$H$3507,$L1216)&amp;" "&amp;INDEX(ポート振替表!$I$5:$I$3507,$L1216))</f>
        <v/>
      </c>
      <c r="D1216" s="57" t="s">
        <v>158</v>
      </c>
      <c r="E1216" s="59" t="str">
        <f aca="false">IF(L1216="","",IF(INDEX(ポート振替表!$O$5:$O$3507,$L1216)="","(未設定)",INDEX(ポート振替表!$O$5:$O$3507,$L1216)&amp;""))</f>
        <v/>
      </c>
      <c r="F1216" s="52" t="str">
        <f aca="false">IF(L1216="","",INDEX(ポート振替表!$K$5:$K$3507,$L1216)&amp;" "&amp;INDEX(ポート振替表!$L$5:$L$3507,$L1216)&amp;"  ⇔  "&amp;INDEX(ポート振替表!$H$5:$H$3507,$L1216)&amp;" "&amp;INDEX(ポート振替表!$I$5:$I$3507,$L1216))</f>
        <v/>
      </c>
      <c r="G1216" s="57" t="s">
        <v>158</v>
      </c>
      <c r="H1216" s="32" t="str">
        <f aca="false">IF(L1216="","",INDEX(ポート振替表!$N$5:$N$3507,$L1216)&amp;"")</f>
        <v/>
      </c>
      <c r="I1216" s="32" t="str">
        <f aca="false">IF(L1216="","",INDEX(ポート振替表!$P$5:$P$3507,$L1216)&amp;"")</f>
        <v/>
      </c>
      <c r="J1216" s="60" t="str">
        <f aca="false">IF(L1216="","",INDEX(ポート振替表!$M$5:$M$3507,$L1216)&amp;"")</f>
        <v/>
      </c>
      <c r="K1216" s="52" t="str">
        <f aca="false">IF(L1216="","",E1216&amp;CHAR(10)&amp;INDEX(ポート振替表!$K$5:$K$3507,$L1216)&amp;" "&amp;INDEX(ポート振替表!$L$5:$L$3507,$L1216)&amp;CHAR(10)&amp;"⇔ "&amp;INDEX(ポート振替表!$H$5:$H$3507,$L1216)&amp;" "&amp;INDEX(ポート振替表!$I$5:$I$3507,$L1216))</f>
        <v/>
      </c>
      <c r="L1216" s="47" t="str">
        <f aca="false">IFERROR(MATCH(ROW()-4,ポート振替表!$V$5:$V$3507,0),"")</f>
        <v/>
      </c>
    </row>
    <row r="1217" customFormat="false" ht="16.4" hidden="false" customHeight="false" outlineLevel="0" collapsed="false">
      <c r="A1217" s="32" t="str">
        <f aca="false">IF(L1217="","",ROW()-4)</f>
        <v/>
      </c>
      <c r="B1217" s="58" t="str">
        <f aca="false">IF(L1217="","",IF(INDEX(ポート振替表!$W$5:$W$3507,$L1217)="","(なし)",INDEX(ポート振替表!$W$5:$W$3507,$L1217)&amp;""))</f>
        <v/>
      </c>
      <c r="C1217" s="52" t="str">
        <f aca="false">IF(L1217="","",INDEX(ポート振替表!$B$5:$B$3507,$L1217)&amp;" "&amp;INDEX(ポート振替表!$C$5:$C$3507,$L1217)&amp;"  ⇔  "&amp;INDEX(ポート振替表!$H$5:$H$3507,$L1217)&amp;" "&amp;INDEX(ポート振替表!$I$5:$I$3507,$L1217))</f>
        <v/>
      </c>
      <c r="D1217" s="57" t="s">
        <v>158</v>
      </c>
      <c r="E1217" s="59" t="str">
        <f aca="false">IF(L1217="","",IF(INDEX(ポート振替表!$O$5:$O$3507,$L1217)="","(未設定)",INDEX(ポート振替表!$O$5:$O$3507,$L1217)&amp;""))</f>
        <v/>
      </c>
      <c r="F1217" s="52" t="str">
        <f aca="false">IF(L1217="","",INDEX(ポート振替表!$K$5:$K$3507,$L1217)&amp;" "&amp;INDEX(ポート振替表!$L$5:$L$3507,$L1217)&amp;"  ⇔  "&amp;INDEX(ポート振替表!$H$5:$H$3507,$L1217)&amp;" "&amp;INDEX(ポート振替表!$I$5:$I$3507,$L1217))</f>
        <v/>
      </c>
      <c r="G1217" s="57" t="s">
        <v>158</v>
      </c>
      <c r="H1217" s="32" t="str">
        <f aca="false">IF(L1217="","",INDEX(ポート振替表!$N$5:$N$3507,$L1217)&amp;"")</f>
        <v/>
      </c>
      <c r="I1217" s="32" t="str">
        <f aca="false">IF(L1217="","",INDEX(ポート振替表!$P$5:$P$3507,$L1217)&amp;"")</f>
        <v/>
      </c>
      <c r="J1217" s="60" t="str">
        <f aca="false">IF(L1217="","",INDEX(ポート振替表!$M$5:$M$3507,$L1217)&amp;"")</f>
        <v/>
      </c>
      <c r="K1217" s="52" t="str">
        <f aca="false">IF(L1217="","",E1217&amp;CHAR(10)&amp;INDEX(ポート振替表!$K$5:$K$3507,$L1217)&amp;" "&amp;INDEX(ポート振替表!$L$5:$L$3507,$L1217)&amp;CHAR(10)&amp;"⇔ "&amp;INDEX(ポート振替表!$H$5:$H$3507,$L1217)&amp;" "&amp;INDEX(ポート振替表!$I$5:$I$3507,$L1217))</f>
        <v/>
      </c>
      <c r="L1217" s="47" t="str">
        <f aca="false">IFERROR(MATCH(ROW()-4,ポート振替表!$V$5:$V$3507,0),"")</f>
        <v/>
      </c>
    </row>
    <row r="1218" customFormat="false" ht="16.4" hidden="false" customHeight="false" outlineLevel="0" collapsed="false">
      <c r="A1218" s="32" t="str">
        <f aca="false">IF(L1218="","",ROW()-4)</f>
        <v/>
      </c>
      <c r="B1218" s="58" t="str">
        <f aca="false">IF(L1218="","",IF(INDEX(ポート振替表!$W$5:$W$3507,$L1218)="","(なし)",INDEX(ポート振替表!$W$5:$W$3507,$L1218)&amp;""))</f>
        <v/>
      </c>
      <c r="C1218" s="52" t="str">
        <f aca="false">IF(L1218="","",INDEX(ポート振替表!$B$5:$B$3507,$L1218)&amp;" "&amp;INDEX(ポート振替表!$C$5:$C$3507,$L1218)&amp;"  ⇔  "&amp;INDEX(ポート振替表!$H$5:$H$3507,$L1218)&amp;" "&amp;INDEX(ポート振替表!$I$5:$I$3507,$L1218))</f>
        <v/>
      </c>
      <c r="D1218" s="57" t="s">
        <v>158</v>
      </c>
      <c r="E1218" s="59" t="str">
        <f aca="false">IF(L1218="","",IF(INDEX(ポート振替表!$O$5:$O$3507,$L1218)="","(未設定)",INDEX(ポート振替表!$O$5:$O$3507,$L1218)&amp;""))</f>
        <v/>
      </c>
      <c r="F1218" s="52" t="str">
        <f aca="false">IF(L1218="","",INDEX(ポート振替表!$K$5:$K$3507,$L1218)&amp;" "&amp;INDEX(ポート振替表!$L$5:$L$3507,$L1218)&amp;"  ⇔  "&amp;INDEX(ポート振替表!$H$5:$H$3507,$L1218)&amp;" "&amp;INDEX(ポート振替表!$I$5:$I$3507,$L1218))</f>
        <v/>
      </c>
      <c r="G1218" s="57" t="s">
        <v>158</v>
      </c>
      <c r="H1218" s="32" t="str">
        <f aca="false">IF(L1218="","",INDEX(ポート振替表!$N$5:$N$3507,$L1218)&amp;"")</f>
        <v/>
      </c>
      <c r="I1218" s="32" t="str">
        <f aca="false">IF(L1218="","",INDEX(ポート振替表!$P$5:$P$3507,$L1218)&amp;"")</f>
        <v/>
      </c>
      <c r="J1218" s="60" t="str">
        <f aca="false">IF(L1218="","",INDEX(ポート振替表!$M$5:$M$3507,$L1218)&amp;"")</f>
        <v/>
      </c>
      <c r="K1218" s="52" t="str">
        <f aca="false">IF(L1218="","",E1218&amp;CHAR(10)&amp;INDEX(ポート振替表!$K$5:$K$3507,$L1218)&amp;" "&amp;INDEX(ポート振替表!$L$5:$L$3507,$L1218)&amp;CHAR(10)&amp;"⇔ "&amp;INDEX(ポート振替表!$H$5:$H$3507,$L1218)&amp;" "&amp;INDEX(ポート振替表!$I$5:$I$3507,$L1218))</f>
        <v/>
      </c>
      <c r="L1218" s="47" t="str">
        <f aca="false">IFERROR(MATCH(ROW()-4,ポート振替表!$V$5:$V$3507,0),"")</f>
        <v/>
      </c>
    </row>
    <row r="1219" customFormat="false" ht="16.4" hidden="false" customHeight="false" outlineLevel="0" collapsed="false">
      <c r="A1219" s="32" t="str">
        <f aca="false">IF(L1219="","",ROW()-4)</f>
        <v/>
      </c>
      <c r="B1219" s="58" t="str">
        <f aca="false">IF(L1219="","",IF(INDEX(ポート振替表!$W$5:$W$3507,$L1219)="","(なし)",INDEX(ポート振替表!$W$5:$W$3507,$L1219)&amp;""))</f>
        <v/>
      </c>
      <c r="C1219" s="52" t="str">
        <f aca="false">IF(L1219="","",INDEX(ポート振替表!$B$5:$B$3507,$L1219)&amp;" "&amp;INDEX(ポート振替表!$C$5:$C$3507,$L1219)&amp;"  ⇔  "&amp;INDEX(ポート振替表!$H$5:$H$3507,$L1219)&amp;" "&amp;INDEX(ポート振替表!$I$5:$I$3507,$L1219))</f>
        <v/>
      </c>
      <c r="D1219" s="57" t="s">
        <v>158</v>
      </c>
      <c r="E1219" s="59" t="str">
        <f aca="false">IF(L1219="","",IF(INDEX(ポート振替表!$O$5:$O$3507,$L1219)="","(未設定)",INDEX(ポート振替表!$O$5:$O$3507,$L1219)&amp;""))</f>
        <v/>
      </c>
      <c r="F1219" s="52" t="str">
        <f aca="false">IF(L1219="","",INDEX(ポート振替表!$K$5:$K$3507,$L1219)&amp;" "&amp;INDEX(ポート振替表!$L$5:$L$3507,$L1219)&amp;"  ⇔  "&amp;INDEX(ポート振替表!$H$5:$H$3507,$L1219)&amp;" "&amp;INDEX(ポート振替表!$I$5:$I$3507,$L1219))</f>
        <v/>
      </c>
      <c r="G1219" s="57" t="s">
        <v>158</v>
      </c>
      <c r="H1219" s="32" t="str">
        <f aca="false">IF(L1219="","",INDEX(ポート振替表!$N$5:$N$3507,$L1219)&amp;"")</f>
        <v/>
      </c>
      <c r="I1219" s="32" t="str">
        <f aca="false">IF(L1219="","",INDEX(ポート振替表!$P$5:$P$3507,$L1219)&amp;"")</f>
        <v/>
      </c>
      <c r="J1219" s="60" t="str">
        <f aca="false">IF(L1219="","",INDEX(ポート振替表!$M$5:$M$3507,$L1219)&amp;"")</f>
        <v/>
      </c>
      <c r="K1219" s="52" t="str">
        <f aca="false">IF(L1219="","",E1219&amp;CHAR(10)&amp;INDEX(ポート振替表!$K$5:$K$3507,$L1219)&amp;" "&amp;INDEX(ポート振替表!$L$5:$L$3507,$L1219)&amp;CHAR(10)&amp;"⇔ "&amp;INDEX(ポート振替表!$H$5:$H$3507,$L1219)&amp;" "&amp;INDEX(ポート振替表!$I$5:$I$3507,$L1219))</f>
        <v/>
      </c>
      <c r="L1219" s="47" t="str">
        <f aca="false">IFERROR(MATCH(ROW()-4,ポート振替表!$V$5:$V$3507,0),"")</f>
        <v/>
      </c>
    </row>
    <row r="1220" customFormat="false" ht="16.4" hidden="false" customHeight="false" outlineLevel="0" collapsed="false">
      <c r="A1220" s="32" t="str">
        <f aca="false">IF(L1220="","",ROW()-4)</f>
        <v/>
      </c>
      <c r="B1220" s="58" t="str">
        <f aca="false">IF(L1220="","",IF(INDEX(ポート振替表!$W$5:$W$3507,$L1220)="","(なし)",INDEX(ポート振替表!$W$5:$W$3507,$L1220)&amp;""))</f>
        <v/>
      </c>
      <c r="C1220" s="52" t="str">
        <f aca="false">IF(L1220="","",INDEX(ポート振替表!$B$5:$B$3507,$L1220)&amp;" "&amp;INDEX(ポート振替表!$C$5:$C$3507,$L1220)&amp;"  ⇔  "&amp;INDEX(ポート振替表!$H$5:$H$3507,$L1220)&amp;" "&amp;INDEX(ポート振替表!$I$5:$I$3507,$L1220))</f>
        <v/>
      </c>
      <c r="D1220" s="57" t="s">
        <v>158</v>
      </c>
      <c r="E1220" s="59" t="str">
        <f aca="false">IF(L1220="","",IF(INDEX(ポート振替表!$O$5:$O$3507,$L1220)="","(未設定)",INDEX(ポート振替表!$O$5:$O$3507,$L1220)&amp;""))</f>
        <v/>
      </c>
      <c r="F1220" s="52" t="str">
        <f aca="false">IF(L1220="","",INDEX(ポート振替表!$K$5:$K$3507,$L1220)&amp;" "&amp;INDEX(ポート振替表!$L$5:$L$3507,$L1220)&amp;"  ⇔  "&amp;INDEX(ポート振替表!$H$5:$H$3507,$L1220)&amp;" "&amp;INDEX(ポート振替表!$I$5:$I$3507,$L1220))</f>
        <v/>
      </c>
      <c r="G1220" s="57" t="s">
        <v>158</v>
      </c>
      <c r="H1220" s="32" t="str">
        <f aca="false">IF(L1220="","",INDEX(ポート振替表!$N$5:$N$3507,$L1220)&amp;"")</f>
        <v/>
      </c>
      <c r="I1220" s="32" t="str">
        <f aca="false">IF(L1220="","",INDEX(ポート振替表!$P$5:$P$3507,$L1220)&amp;"")</f>
        <v/>
      </c>
      <c r="J1220" s="60" t="str">
        <f aca="false">IF(L1220="","",INDEX(ポート振替表!$M$5:$M$3507,$L1220)&amp;"")</f>
        <v/>
      </c>
      <c r="K1220" s="52" t="str">
        <f aca="false">IF(L1220="","",E1220&amp;CHAR(10)&amp;INDEX(ポート振替表!$K$5:$K$3507,$L1220)&amp;" "&amp;INDEX(ポート振替表!$L$5:$L$3507,$L1220)&amp;CHAR(10)&amp;"⇔ "&amp;INDEX(ポート振替表!$H$5:$H$3507,$L1220)&amp;" "&amp;INDEX(ポート振替表!$I$5:$I$3507,$L1220))</f>
        <v/>
      </c>
      <c r="L1220" s="47" t="str">
        <f aca="false">IFERROR(MATCH(ROW()-4,ポート振替表!$V$5:$V$3507,0),"")</f>
        <v/>
      </c>
    </row>
    <row r="1221" customFormat="false" ht="16.4" hidden="false" customHeight="false" outlineLevel="0" collapsed="false">
      <c r="A1221" s="32" t="str">
        <f aca="false">IF(L1221="","",ROW()-4)</f>
        <v/>
      </c>
      <c r="B1221" s="58" t="str">
        <f aca="false">IF(L1221="","",IF(INDEX(ポート振替表!$W$5:$W$3507,$L1221)="","(なし)",INDEX(ポート振替表!$W$5:$W$3507,$L1221)&amp;""))</f>
        <v/>
      </c>
      <c r="C1221" s="52" t="str">
        <f aca="false">IF(L1221="","",INDEX(ポート振替表!$B$5:$B$3507,$L1221)&amp;" "&amp;INDEX(ポート振替表!$C$5:$C$3507,$L1221)&amp;"  ⇔  "&amp;INDEX(ポート振替表!$H$5:$H$3507,$L1221)&amp;" "&amp;INDEX(ポート振替表!$I$5:$I$3507,$L1221))</f>
        <v/>
      </c>
      <c r="D1221" s="57" t="s">
        <v>158</v>
      </c>
      <c r="E1221" s="59" t="str">
        <f aca="false">IF(L1221="","",IF(INDEX(ポート振替表!$O$5:$O$3507,$L1221)="","(未設定)",INDEX(ポート振替表!$O$5:$O$3507,$L1221)&amp;""))</f>
        <v/>
      </c>
      <c r="F1221" s="52" t="str">
        <f aca="false">IF(L1221="","",INDEX(ポート振替表!$K$5:$K$3507,$L1221)&amp;" "&amp;INDEX(ポート振替表!$L$5:$L$3507,$L1221)&amp;"  ⇔  "&amp;INDEX(ポート振替表!$H$5:$H$3507,$L1221)&amp;" "&amp;INDEX(ポート振替表!$I$5:$I$3507,$L1221))</f>
        <v/>
      </c>
      <c r="G1221" s="57" t="s">
        <v>158</v>
      </c>
      <c r="H1221" s="32" t="str">
        <f aca="false">IF(L1221="","",INDEX(ポート振替表!$N$5:$N$3507,$L1221)&amp;"")</f>
        <v/>
      </c>
      <c r="I1221" s="32" t="str">
        <f aca="false">IF(L1221="","",INDEX(ポート振替表!$P$5:$P$3507,$L1221)&amp;"")</f>
        <v/>
      </c>
      <c r="J1221" s="60" t="str">
        <f aca="false">IF(L1221="","",INDEX(ポート振替表!$M$5:$M$3507,$L1221)&amp;"")</f>
        <v/>
      </c>
      <c r="K1221" s="52" t="str">
        <f aca="false">IF(L1221="","",E1221&amp;CHAR(10)&amp;INDEX(ポート振替表!$K$5:$K$3507,$L1221)&amp;" "&amp;INDEX(ポート振替表!$L$5:$L$3507,$L1221)&amp;CHAR(10)&amp;"⇔ "&amp;INDEX(ポート振替表!$H$5:$H$3507,$L1221)&amp;" "&amp;INDEX(ポート振替表!$I$5:$I$3507,$L1221))</f>
        <v/>
      </c>
      <c r="L1221" s="47" t="str">
        <f aca="false">IFERROR(MATCH(ROW()-4,ポート振替表!$V$5:$V$3507,0),"")</f>
        <v/>
      </c>
    </row>
    <row r="1222" customFormat="false" ht="16.4" hidden="false" customHeight="false" outlineLevel="0" collapsed="false">
      <c r="A1222" s="32" t="str">
        <f aca="false">IF(L1222="","",ROW()-4)</f>
        <v/>
      </c>
      <c r="B1222" s="58" t="str">
        <f aca="false">IF(L1222="","",IF(INDEX(ポート振替表!$W$5:$W$3507,$L1222)="","(なし)",INDEX(ポート振替表!$W$5:$W$3507,$L1222)&amp;""))</f>
        <v/>
      </c>
      <c r="C1222" s="52" t="str">
        <f aca="false">IF(L1222="","",INDEX(ポート振替表!$B$5:$B$3507,$L1222)&amp;" "&amp;INDEX(ポート振替表!$C$5:$C$3507,$L1222)&amp;"  ⇔  "&amp;INDEX(ポート振替表!$H$5:$H$3507,$L1222)&amp;" "&amp;INDEX(ポート振替表!$I$5:$I$3507,$L1222))</f>
        <v/>
      </c>
      <c r="D1222" s="57" t="s">
        <v>158</v>
      </c>
      <c r="E1222" s="59" t="str">
        <f aca="false">IF(L1222="","",IF(INDEX(ポート振替表!$O$5:$O$3507,$L1222)="","(未設定)",INDEX(ポート振替表!$O$5:$O$3507,$L1222)&amp;""))</f>
        <v/>
      </c>
      <c r="F1222" s="52" t="str">
        <f aca="false">IF(L1222="","",INDEX(ポート振替表!$K$5:$K$3507,$L1222)&amp;" "&amp;INDEX(ポート振替表!$L$5:$L$3507,$L1222)&amp;"  ⇔  "&amp;INDEX(ポート振替表!$H$5:$H$3507,$L1222)&amp;" "&amp;INDEX(ポート振替表!$I$5:$I$3507,$L1222))</f>
        <v/>
      </c>
      <c r="G1222" s="57" t="s">
        <v>158</v>
      </c>
      <c r="H1222" s="32" t="str">
        <f aca="false">IF(L1222="","",INDEX(ポート振替表!$N$5:$N$3507,$L1222)&amp;"")</f>
        <v/>
      </c>
      <c r="I1222" s="32" t="str">
        <f aca="false">IF(L1222="","",INDEX(ポート振替表!$P$5:$P$3507,$L1222)&amp;"")</f>
        <v/>
      </c>
      <c r="J1222" s="60" t="str">
        <f aca="false">IF(L1222="","",INDEX(ポート振替表!$M$5:$M$3507,$L1222)&amp;"")</f>
        <v/>
      </c>
      <c r="K1222" s="52" t="str">
        <f aca="false">IF(L1222="","",E1222&amp;CHAR(10)&amp;INDEX(ポート振替表!$K$5:$K$3507,$L1222)&amp;" "&amp;INDEX(ポート振替表!$L$5:$L$3507,$L1222)&amp;CHAR(10)&amp;"⇔ "&amp;INDEX(ポート振替表!$H$5:$H$3507,$L1222)&amp;" "&amp;INDEX(ポート振替表!$I$5:$I$3507,$L1222))</f>
        <v/>
      </c>
      <c r="L1222" s="47" t="str">
        <f aca="false">IFERROR(MATCH(ROW()-4,ポート振替表!$V$5:$V$3507,0),"")</f>
        <v/>
      </c>
    </row>
    <row r="1223" customFormat="false" ht="16.4" hidden="false" customHeight="false" outlineLevel="0" collapsed="false">
      <c r="A1223" s="32" t="str">
        <f aca="false">IF(L1223="","",ROW()-4)</f>
        <v/>
      </c>
      <c r="B1223" s="58" t="str">
        <f aca="false">IF(L1223="","",IF(INDEX(ポート振替表!$W$5:$W$3507,$L1223)="","(なし)",INDEX(ポート振替表!$W$5:$W$3507,$L1223)&amp;""))</f>
        <v/>
      </c>
      <c r="C1223" s="52" t="str">
        <f aca="false">IF(L1223="","",INDEX(ポート振替表!$B$5:$B$3507,$L1223)&amp;" "&amp;INDEX(ポート振替表!$C$5:$C$3507,$L1223)&amp;"  ⇔  "&amp;INDEX(ポート振替表!$H$5:$H$3507,$L1223)&amp;" "&amp;INDEX(ポート振替表!$I$5:$I$3507,$L1223))</f>
        <v/>
      </c>
      <c r="D1223" s="57" t="s">
        <v>158</v>
      </c>
      <c r="E1223" s="59" t="str">
        <f aca="false">IF(L1223="","",IF(INDEX(ポート振替表!$O$5:$O$3507,$L1223)="","(未設定)",INDEX(ポート振替表!$O$5:$O$3507,$L1223)&amp;""))</f>
        <v/>
      </c>
      <c r="F1223" s="52" t="str">
        <f aca="false">IF(L1223="","",INDEX(ポート振替表!$K$5:$K$3507,$L1223)&amp;" "&amp;INDEX(ポート振替表!$L$5:$L$3507,$L1223)&amp;"  ⇔  "&amp;INDEX(ポート振替表!$H$5:$H$3507,$L1223)&amp;" "&amp;INDEX(ポート振替表!$I$5:$I$3507,$L1223))</f>
        <v/>
      </c>
      <c r="G1223" s="57" t="s">
        <v>158</v>
      </c>
      <c r="H1223" s="32" t="str">
        <f aca="false">IF(L1223="","",INDEX(ポート振替表!$N$5:$N$3507,$L1223)&amp;"")</f>
        <v/>
      </c>
      <c r="I1223" s="32" t="str">
        <f aca="false">IF(L1223="","",INDEX(ポート振替表!$P$5:$P$3507,$L1223)&amp;"")</f>
        <v/>
      </c>
      <c r="J1223" s="60" t="str">
        <f aca="false">IF(L1223="","",INDEX(ポート振替表!$M$5:$M$3507,$L1223)&amp;"")</f>
        <v/>
      </c>
      <c r="K1223" s="52" t="str">
        <f aca="false">IF(L1223="","",E1223&amp;CHAR(10)&amp;INDEX(ポート振替表!$K$5:$K$3507,$L1223)&amp;" "&amp;INDEX(ポート振替表!$L$5:$L$3507,$L1223)&amp;CHAR(10)&amp;"⇔ "&amp;INDEX(ポート振替表!$H$5:$H$3507,$L1223)&amp;" "&amp;INDEX(ポート振替表!$I$5:$I$3507,$L1223))</f>
        <v/>
      </c>
      <c r="L1223" s="47" t="str">
        <f aca="false">IFERROR(MATCH(ROW()-4,ポート振替表!$V$5:$V$3507,0),"")</f>
        <v/>
      </c>
    </row>
    <row r="1224" customFormat="false" ht="16.4" hidden="false" customHeight="false" outlineLevel="0" collapsed="false">
      <c r="A1224" s="32" t="str">
        <f aca="false">IF(L1224="","",ROW()-4)</f>
        <v/>
      </c>
      <c r="B1224" s="58" t="str">
        <f aca="false">IF(L1224="","",IF(INDEX(ポート振替表!$W$5:$W$3507,$L1224)="","(なし)",INDEX(ポート振替表!$W$5:$W$3507,$L1224)&amp;""))</f>
        <v/>
      </c>
      <c r="C1224" s="52" t="str">
        <f aca="false">IF(L1224="","",INDEX(ポート振替表!$B$5:$B$3507,$L1224)&amp;" "&amp;INDEX(ポート振替表!$C$5:$C$3507,$L1224)&amp;"  ⇔  "&amp;INDEX(ポート振替表!$H$5:$H$3507,$L1224)&amp;" "&amp;INDEX(ポート振替表!$I$5:$I$3507,$L1224))</f>
        <v/>
      </c>
      <c r="D1224" s="57" t="s">
        <v>158</v>
      </c>
      <c r="E1224" s="59" t="str">
        <f aca="false">IF(L1224="","",IF(INDEX(ポート振替表!$O$5:$O$3507,$L1224)="","(未設定)",INDEX(ポート振替表!$O$5:$O$3507,$L1224)&amp;""))</f>
        <v/>
      </c>
      <c r="F1224" s="52" t="str">
        <f aca="false">IF(L1224="","",INDEX(ポート振替表!$K$5:$K$3507,$L1224)&amp;" "&amp;INDEX(ポート振替表!$L$5:$L$3507,$L1224)&amp;"  ⇔  "&amp;INDEX(ポート振替表!$H$5:$H$3507,$L1224)&amp;" "&amp;INDEX(ポート振替表!$I$5:$I$3507,$L1224))</f>
        <v/>
      </c>
      <c r="G1224" s="57" t="s">
        <v>158</v>
      </c>
      <c r="H1224" s="32" t="str">
        <f aca="false">IF(L1224="","",INDEX(ポート振替表!$N$5:$N$3507,$L1224)&amp;"")</f>
        <v/>
      </c>
      <c r="I1224" s="32" t="str">
        <f aca="false">IF(L1224="","",INDEX(ポート振替表!$P$5:$P$3507,$L1224)&amp;"")</f>
        <v/>
      </c>
      <c r="J1224" s="60" t="str">
        <f aca="false">IF(L1224="","",INDEX(ポート振替表!$M$5:$M$3507,$L1224)&amp;"")</f>
        <v/>
      </c>
      <c r="K1224" s="52" t="str">
        <f aca="false">IF(L1224="","",E1224&amp;CHAR(10)&amp;INDEX(ポート振替表!$K$5:$K$3507,$L1224)&amp;" "&amp;INDEX(ポート振替表!$L$5:$L$3507,$L1224)&amp;CHAR(10)&amp;"⇔ "&amp;INDEX(ポート振替表!$H$5:$H$3507,$L1224)&amp;" "&amp;INDEX(ポート振替表!$I$5:$I$3507,$L1224))</f>
        <v/>
      </c>
      <c r="L1224" s="47" t="str">
        <f aca="false">IFERROR(MATCH(ROW()-4,ポート振替表!$V$5:$V$3507,0),"")</f>
        <v/>
      </c>
    </row>
    <row r="1225" customFormat="false" ht="16.4" hidden="false" customHeight="false" outlineLevel="0" collapsed="false">
      <c r="A1225" s="32" t="str">
        <f aca="false">IF(L1225="","",ROW()-4)</f>
        <v/>
      </c>
      <c r="B1225" s="58" t="str">
        <f aca="false">IF(L1225="","",IF(INDEX(ポート振替表!$W$5:$W$3507,$L1225)="","(なし)",INDEX(ポート振替表!$W$5:$W$3507,$L1225)&amp;""))</f>
        <v/>
      </c>
      <c r="C1225" s="52" t="str">
        <f aca="false">IF(L1225="","",INDEX(ポート振替表!$B$5:$B$3507,$L1225)&amp;" "&amp;INDEX(ポート振替表!$C$5:$C$3507,$L1225)&amp;"  ⇔  "&amp;INDEX(ポート振替表!$H$5:$H$3507,$L1225)&amp;" "&amp;INDEX(ポート振替表!$I$5:$I$3507,$L1225))</f>
        <v/>
      </c>
      <c r="D1225" s="57" t="s">
        <v>158</v>
      </c>
      <c r="E1225" s="59" t="str">
        <f aca="false">IF(L1225="","",IF(INDEX(ポート振替表!$O$5:$O$3507,$L1225)="","(未設定)",INDEX(ポート振替表!$O$5:$O$3507,$L1225)&amp;""))</f>
        <v/>
      </c>
      <c r="F1225" s="52" t="str">
        <f aca="false">IF(L1225="","",INDEX(ポート振替表!$K$5:$K$3507,$L1225)&amp;" "&amp;INDEX(ポート振替表!$L$5:$L$3507,$L1225)&amp;"  ⇔  "&amp;INDEX(ポート振替表!$H$5:$H$3507,$L1225)&amp;" "&amp;INDEX(ポート振替表!$I$5:$I$3507,$L1225))</f>
        <v/>
      </c>
      <c r="G1225" s="57" t="s">
        <v>158</v>
      </c>
      <c r="H1225" s="32" t="str">
        <f aca="false">IF(L1225="","",INDEX(ポート振替表!$N$5:$N$3507,$L1225)&amp;"")</f>
        <v/>
      </c>
      <c r="I1225" s="32" t="str">
        <f aca="false">IF(L1225="","",INDEX(ポート振替表!$P$5:$P$3507,$L1225)&amp;"")</f>
        <v/>
      </c>
      <c r="J1225" s="60" t="str">
        <f aca="false">IF(L1225="","",INDEX(ポート振替表!$M$5:$M$3507,$L1225)&amp;"")</f>
        <v/>
      </c>
      <c r="K1225" s="52" t="str">
        <f aca="false">IF(L1225="","",E1225&amp;CHAR(10)&amp;INDEX(ポート振替表!$K$5:$K$3507,$L1225)&amp;" "&amp;INDEX(ポート振替表!$L$5:$L$3507,$L1225)&amp;CHAR(10)&amp;"⇔ "&amp;INDEX(ポート振替表!$H$5:$H$3507,$L1225)&amp;" "&amp;INDEX(ポート振替表!$I$5:$I$3507,$L1225))</f>
        <v/>
      </c>
      <c r="L1225" s="47" t="str">
        <f aca="false">IFERROR(MATCH(ROW()-4,ポート振替表!$V$5:$V$3507,0),"")</f>
        <v/>
      </c>
    </row>
    <row r="1226" customFormat="false" ht="16.4" hidden="false" customHeight="false" outlineLevel="0" collapsed="false">
      <c r="A1226" s="32" t="str">
        <f aca="false">IF(L1226="","",ROW()-4)</f>
        <v/>
      </c>
      <c r="B1226" s="58" t="str">
        <f aca="false">IF(L1226="","",IF(INDEX(ポート振替表!$W$5:$W$3507,$L1226)="","(なし)",INDEX(ポート振替表!$W$5:$W$3507,$L1226)&amp;""))</f>
        <v/>
      </c>
      <c r="C1226" s="52" t="str">
        <f aca="false">IF(L1226="","",INDEX(ポート振替表!$B$5:$B$3507,$L1226)&amp;" "&amp;INDEX(ポート振替表!$C$5:$C$3507,$L1226)&amp;"  ⇔  "&amp;INDEX(ポート振替表!$H$5:$H$3507,$L1226)&amp;" "&amp;INDEX(ポート振替表!$I$5:$I$3507,$L1226))</f>
        <v/>
      </c>
      <c r="D1226" s="57" t="s">
        <v>158</v>
      </c>
      <c r="E1226" s="59" t="str">
        <f aca="false">IF(L1226="","",IF(INDEX(ポート振替表!$O$5:$O$3507,$L1226)="","(未設定)",INDEX(ポート振替表!$O$5:$O$3507,$L1226)&amp;""))</f>
        <v/>
      </c>
      <c r="F1226" s="52" t="str">
        <f aca="false">IF(L1226="","",INDEX(ポート振替表!$K$5:$K$3507,$L1226)&amp;" "&amp;INDEX(ポート振替表!$L$5:$L$3507,$L1226)&amp;"  ⇔  "&amp;INDEX(ポート振替表!$H$5:$H$3507,$L1226)&amp;" "&amp;INDEX(ポート振替表!$I$5:$I$3507,$L1226))</f>
        <v/>
      </c>
      <c r="G1226" s="57" t="s">
        <v>158</v>
      </c>
      <c r="H1226" s="32" t="str">
        <f aca="false">IF(L1226="","",INDEX(ポート振替表!$N$5:$N$3507,$L1226)&amp;"")</f>
        <v/>
      </c>
      <c r="I1226" s="32" t="str">
        <f aca="false">IF(L1226="","",INDEX(ポート振替表!$P$5:$P$3507,$L1226)&amp;"")</f>
        <v/>
      </c>
      <c r="J1226" s="60" t="str">
        <f aca="false">IF(L1226="","",INDEX(ポート振替表!$M$5:$M$3507,$L1226)&amp;"")</f>
        <v/>
      </c>
      <c r="K1226" s="52" t="str">
        <f aca="false">IF(L1226="","",E1226&amp;CHAR(10)&amp;INDEX(ポート振替表!$K$5:$K$3507,$L1226)&amp;" "&amp;INDEX(ポート振替表!$L$5:$L$3507,$L1226)&amp;CHAR(10)&amp;"⇔ "&amp;INDEX(ポート振替表!$H$5:$H$3507,$L1226)&amp;" "&amp;INDEX(ポート振替表!$I$5:$I$3507,$L1226))</f>
        <v/>
      </c>
      <c r="L1226" s="47" t="str">
        <f aca="false">IFERROR(MATCH(ROW()-4,ポート振替表!$V$5:$V$3507,0),"")</f>
        <v/>
      </c>
    </row>
    <row r="1227" customFormat="false" ht="16.4" hidden="false" customHeight="false" outlineLevel="0" collapsed="false">
      <c r="A1227" s="32" t="str">
        <f aca="false">IF(L1227="","",ROW()-4)</f>
        <v/>
      </c>
      <c r="B1227" s="58" t="str">
        <f aca="false">IF(L1227="","",IF(INDEX(ポート振替表!$W$5:$W$3507,$L1227)="","(なし)",INDEX(ポート振替表!$W$5:$W$3507,$L1227)&amp;""))</f>
        <v/>
      </c>
      <c r="C1227" s="52" t="str">
        <f aca="false">IF(L1227="","",INDEX(ポート振替表!$B$5:$B$3507,$L1227)&amp;" "&amp;INDEX(ポート振替表!$C$5:$C$3507,$L1227)&amp;"  ⇔  "&amp;INDEX(ポート振替表!$H$5:$H$3507,$L1227)&amp;" "&amp;INDEX(ポート振替表!$I$5:$I$3507,$L1227))</f>
        <v/>
      </c>
      <c r="D1227" s="57" t="s">
        <v>158</v>
      </c>
      <c r="E1227" s="59" t="str">
        <f aca="false">IF(L1227="","",IF(INDEX(ポート振替表!$O$5:$O$3507,$L1227)="","(未設定)",INDEX(ポート振替表!$O$5:$O$3507,$L1227)&amp;""))</f>
        <v/>
      </c>
      <c r="F1227" s="52" t="str">
        <f aca="false">IF(L1227="","",INDEX(ポート振替表!$K$5:$K$3507,$L1227)&amp;" "&amp;INDEX(ポート振替表!$L$5:$L$3507,$L1227)&amp;"  ⇔  "&amp;INDEX(ポート振替表!$H$5:$H$3507,$L1227)&amp;" "&amp;INDEX(ポート振替表!$I$5:$I$3507,$L1227))</f>
        <v/>
      </c>
      <c r="G1227" s="57" t="s">
        <v>158</v>
      </c>
      <c r="H1227" s="32" t="str">
        <f aca="false">IF(L1227="","",INDEX(ポート振替表!$N$5:$N$3507,$L1227)&amp;"")</f>
        <v/>
      </c>
      <c r="I1227" s="32" t="str">
        <f aca="false">IF(L1227="","",INDEX(ポート振替表!$P$5:$P$3507,$L1227)&amp;"")</f>
        <v/>
      </c>
      <c r="J1227" s="60" t="str">
        <f aca="false">IF(L1227="","",INDEX(ポート振替表!$M$5:$M$3507,$L1227)&amp;"")</f>
        <v/>
      </c>
      <c r="K1227" s="52" t="str">
        <f aca="false">IF(L1227="","",E1227&amp;CHAR(10)&amp;INDEX(ポート振替表!$K$5:$K$3507,$L1227)&amp;" "&amp;INDEX(ポート振替表!$L$5:$L$3507,$L1227)&amp;CHAR(10)&amp;"⇔ "&amp;INDEX(ポート振替表!$H$5:$H$3507,$L1227)&amp;" "&amp;INDEX(ポート振替表!$I$5:$I$3507,$L1227))</f>
        <v/>
      </c>
      <c r="L1227" s="47" t="str">
        <f aca="false">IFERROR(MATCH(ROW()-4,ポート振替表!$V$5:$V$3507,0),"")</f>
        <v/>
      </c>
    </row>
    <row r="1228" customFormat="false" ht="16.4" hidden="false" customHeight="false" outlineLevel="0" collapsed="false">
      <c r="A1228" s="32" t="str">
        <f aca="false">IF(L1228="","",ROW()-4)</f>
        <v/>
      </c>
      <c r="B1228" s="58" t="str">
        <f aca="false">IF(L1228="","",IF(INDEX(ポート振替表!$W$5:$W$3507,$L1228)="","(なし)",INDEX(ポート振替表!$W$5:$W$3507,$L1228)&amp;""))</f>
        <v/>
      </c>
      <c r="C1228" s="52" t="str">
        <f aca="false">IF(L1228="","",INDEX(ポート振替表!$B$5:$B$3507,$L1228)&amp;" "&amp;INDEX(ポート振替表!$C$5:$C$3507,$L1228)&amp;"  ⇔  "&amp;INDEX(ポート振替表!$H$5:$H$3507,$L1228)&amp;" "&amp;INDEX(ポート振替表!$I$5:$I$3507,$L1228))</f>
        <v/>
      </c>
      <c r="D1228" s="57" t="s">
        <v>158</v>
      </c>
      <c r="E1228" s="59" t="str">
        <f aca="false">IF(L1228="","",IF(INDEX(ポート振替表!$O$5:$O$3507,$L1228)="","(未設定)",INDEX(ポート振替表!$O$5:$O$3507,$L1228)&amp;""))</f>
        <v/>
      </c>
      <c r="F1228" s="52" t="str">
        <f aca="false">IF(L1228="","",INDEX(ポート振替表!$K$5:$K$3507,$L1228)&amp;" "&amp;INDEX(ポート振替表!$L$5:$L$3507,$L1228)&amp;"  ⇔  "&amp;INDEX(ポート振替表!$H$5:$H$3507,$L1228)&amp;" "&amp;INDEX(ポート振替表!$I$5:$I$3507,$L1228))</f>
        <v/>
      </c>
      <c r="G1228" s="57" t="s">
        <v>158</v>
      </c>
      <c r="H1228" s="32" t="str">
        <f aca="false">IF(L1228="","",INDEX(ポート振替表!$N$5:$N$3507,$L1228)&amp;"")</f>
        <v/>
      </c>
      <c r="I1228" s="32" t="str">
        <f aca="false">IF(L1228="","",INDEX(ポート振替表!$P$5:$P$3507,$L1228)&amp;"")</f>
        <v/>
      </c>
      <c r="J1228" s="60" t="str">
        <f aca="false">IF(L1228="","",INDEX(ポート振替表!$M$5:$M$3507,$L1228)&amp;"")</f>
        <v/>
      </c>
      <c r="K1228" s="52" t="str">
        <f aca="false">IF(L1228="","",E1228&amp;CHAR(10)&amp;INDEX(ポート振替表!$K$5:$K$3507,$L1228)&amp;" "&amp;INDEX(ポート振替表!$L$5:$L$3507,$L1228)&amp;CHAR(10)&amp;"⇔ "&amp;INDEX(ポート振替表!$H$5:$H$3507,$L1228)&amp;" "&amp;INDEX(ポート振替表!$I$5:$I$3507,$L1228))</f>
        <v/>
      </c>
      <c r="L1228" s="47" t="str">
        <f aca="false">IFERROR(MATCH(ROW()-4,ポート振替表!$V$5:$V$3507,0),"")</f>
        <v/>
      </c>
    </row>
    <row r="1229" customFormat="false" ht="16.4" hidden="false" customHeight="false" outlineLevel="0" collapsed="false">
      <c r="A1229" s="32" t="str">
        <f aca="false">IF(L1229="","",ROW()-4)</f>
        <v/>
      </c>
      <c r="B1229" s="58" t="str">
        <f aca="false">IF(L1229="","",IF(INDEX(ポート振替表!$W$5:$W$3507,$L1229)="","(なし)",INDEX(ポート振替表!$W$5:$W$3507,$L1229)&amp;""))</f>
        <v/>
      </c>
      <c r="C1229" s="52" t="str">
        <f aca="false">IF(L1229="","",INDEX(ポート振替表!$B$5:$B$3507,$L1229)&amp;" "&amp;INDEX(ポート振替表!$C$5:$C$3507,$L1229)&amp;"  ⇔  "&amp;INDEX(ポート振替表!$H$5:$H$3507,$L1229)&amp;" "&amp;INDEX(ポート振替表!$I$5:$I$3507,$L1229))</f>
        <v/>
      </c>
      <c r="D1229" s="57" t="s">
        <v>158</v>
      </c>
      <c r="E1229" s="59" t="str">
        <f aca="false">IF(L1229="","",IF(INDEX(ポート振替表!$O$5:$O$3507,$L1229)="","(未設定)",INDEX(ポート振替表!$O$5:$O$3507,$L1229)&amp;""))</f>
        <v/>
      </c>
      <c r="F1229" s="52" t="str">
        <f aca="false">IF(L1229="","",INDEX(ポート振替表!$K$5:$K$3507,$L1229)&amp;" "&amp;INDEX(ポート振替表!$L$5:$L$3507,$L1229)&amp;"  ⇔  "&amp;INDEX(ポート振替表!$H$5:$H$3507,$L1229)&amp;" "&amp;INDEX(ポート振替表!$I$5:$I$3507,$L1229))</f>
        <v/>
      </c>
      <c r="G1229" s="57" t="s">
        <v>158</v>
      </c>
      <c r="H1229" s="32" t="str">
        <f aca="false">IF(L1229="","",INDEX(ポート振替表!$N$5:$N$3507,$L1229)&amp;"")</f>
        <v/>
      </c>
      <c r="I1229" s="32" t="str">
        <f aca="false">IF(L1229="","",INDEX(ポート振替表!$P$5:$P$3507,$L1229)&amp;"")</f>
        <v/>
      </c>
      <c r="J1229" s="60" t="str">
        <f aca="false">IF(L1229="","",INDEX(ポート振替表!$M$5:$M$3507,$L1229)&amp;"")</f>
        <v/>
      </c>
      <c r="K1229" s="52" t="str">
        <f aca="false">IF(L1229="","",E1229&amp;CHAR(10)&amp;INDEX(ポート振替表!$K$5:$K$3507,$L1229)&amp;" "&amp;INDEX(ポート振替表!$L$5:$L$3507,$L1229)&amp;CHAR(10)&amp;"⇔ "&amp;INDEX(ポート振替表!$H$5:$H$3507,$L1229)&amp;" "&amp;INDEX(ポート振替表!$I$5:$I$3507,$L1229))</f>
        <v/>
      </c>
      <c r="L1229" s="47" t="str">
        <f aca="false">IFERROR(MATCH(ROW()-4,ポート振替表!$V$5:$V$3507,0),"")</f>
        <v/>
      </c>
    </row>
    <row r="1230" customFormat="false" ht="16.4" hidden="false" customHeight="false" outlineLevel="0" collapsed="false">
      <c r="A1230" s="32" t="str">
        <f aca="false">IF(L1230="","",ROW()-4)</f>
        <v/>
      </c>
      <c r="B1230" s="58" t="str">
        <f aca="false">IF(L1230="","",IF(INDEX(ポート振替表!$W$5:$W$3507,$L1230)="","(なし)",INDEX(ポート振替表!$W$5:$W$3507,$L1230)&amp;""))</f>
        <v/>
      </c>
      <c r="C1230" s="52" t="str">
        <f aca="false">IF(L1230="","",INDEX(ポート振替表!$B$5:$B$3507,$L1230)&amp;" "&amp;INDEX(ポート振替表!$C$5:$C$3507,$L1230)&amp;"  ⇔  "&amp;INDEX(ポート振替表!$H$5:$H$3507,$L1230)&amp;" "&amp;INDEX(ポート振替表!$I$5:$I$3507,$L1230))</f>
        <v/>
      </c>
      <c r="D1230" s="57" t="s">
        <v>158</v>
      </c>
      <c r="E1230" s="59" t="str">
        <f aca="false">IF(L1230="","",IF(INDEX(ポート振替表!$O$5:$O$3507,$L1230)="","(未設定)",INDEX(ポート振替表!$O$5:$O$3507,$L1230)&amp;""))</f>
        <v/>
      </c>
      <c r="F1230" s="52" t="str">
        <f aca="false">IF(L1230="","",INDEX(ポート振替表!$K$5:$K$3507,$L1230)&amp;" "&amp;INDEX(ポート振替表!$L$5:$L$3507,$L1230)&amp;"  ⇔  "&amp;INDEX(ポート振替表!$H$5:$H$3507,$L1230)&amp;" "&amp;INDEX(ポート振替表!$I$5:$I$3507,$L1230))</f>
        <v/>
      </c>
      <c r="G1230" s="57" t="s">
        <v>158</v>
      </c>
      <c r="H1230" s="32" t="str">
        <f aca="false">IF(L1230="","",INDEX(ポート振替表!$N$5:$N$3507,$L1230)&amp;"")</f>
        <v/>
      </c>
      <c r="I1230" s="32" t="str">
        <f aca="false">IF(L1230="","",INDEX(ポート振替表!$P$5:$P$3507,$L1230)&amp;"")</f>
        <v/>
      </c>
      <c r="J1230" s="60" t="str">
        <f aca="false">IF(L1230="","",INDEX(ポート振替表!$M$5:$M$3507,$L1230)&amp;"")</f>
        <v/>
      </c>
      <c r="K1230" s="52" t="str">
        <f aca="false">IF(L1230="","",E1230&amp;CHAR(10)&amp;INDEX(ポート振替表!$K$5:$K$3507,$L1230)&amp;" "&amp;INDEX(ポート振替表!$L$5:$L$3507,$L1230)&amp;CHAR(10)&amp;"⇔ "&amp;INDEX(ポート振替表!$H$5:$H$3507,$L1230)&amp;" "&amp;INDEX(ポート振替表!$I$5:$I$3507,$L1230))</f>
        <v/>
      </c>
      <c r="L1230" s="47" t="str">
        <f aca="false">IFERROR(MATCH(ROW()-4,ポート振替表!$V$5:$V$3507,0),"")</f>
        <v/>
      </c>
    </row>
    <row r="1231" customFormat="false" ht="16.4" hidden="false" customHeight="false" outlineLevel="0" collapsed="false">
      <c r="A1231" s="32" t="str">
        <f aca="false">IF(L1231="","",ROW()-4)</f>
        <v/>
      </c>
      <c r="B1231" s="58" t="str">
        <f aca="false">IF(L1231="","",IF(INDEX(ポート振替表!$W$5:$W$3507,$L1231)="","(なし)",INDEX(ポート振替表!$W$5:$W$3507,$L1231)&amp;""))</f>
        <v/>
      </c>
      <c r="C1231" s="52" t="str">
        <f aca="false">IF(L1231="","",INDEX(ポート振替表!$B$5:$B$3507,$L1231)&amp;" "&amp;INDEX(ポート振替表!$C$5:$C$3507,$L1231)&amp;"  ⇔  "&amp;INDEX(ポート振替表!$H$5:$H$3507,$L1231)&amp;" "&amp;INDEX(ポート振替表!$I$5:$I$3507,$L1231))</f>
        <v/>
      </c>
      <c r="D1231" s="57" t="s">
        <v>158</v>
      </c>
      <c r="E1231" s="59" t="str">
        <f aca="false">IF(L1231="","",IF(INDEX(ポート振替表!$O$5:$O$3507,$L1231)="","(未設定)",INDEX(ポート振替表!$O$5:$O$3507,$L1231)&amp;""))</f>
        <v/>
      </c>
      <c r="F1231" s="52" t="str">
        <f aca="false">IF(L1231="","",INDEX(ポート振替表!$K$5:$K$3507,$L1231)&amp;" "&amp;INDEX(ポート振替表!$L$5:$L$3507,$L1231)&amp;"  ⇔  "&amp;INDEX(ポート振替表!$H$5:$H$3507,$L1231)&amp;" "&amp;INDEX(ポート振替表!$I$5:$I$3507,$L1231))</f>
        <v/>
      </c>
      <c r="G1231" s="57" t="s">
        <v>158</v>
      </c>
      <c r="H1231" s="32" t="str">
        <f aca="false">IF(L1231="","",INDEX(ポート振替表!$N$5:$N$3507,$L1231)&amp;"")</f>
        <v/>
      </c>
      <c r="I1231" s="32" t="str">
        <f aca="false">IF(L1231="","",INDEX(ポート振替表!$P$5:$P$3507,$L1231)&amp;"")</f>
        <v/>
      </c>
      <c r="J1231" s="60" t="str">
        <f aca="false">IF(L1231="","",INDEX(ポート振替表!$M$5:$M$3507,$L1231)&amp;"")</f>
        <v/>
      </c>
      <c r="K1231" s="52" t="str">
        <f aca="false">IF(L1231="","",E1231&amp;CHAR(10)&amp;INDEX(ポート振替表!$K$5:$K$3507,$L1231)&amp;" "&amp;INDEX(ポート振替表!$L$5:$L$3507,$L1231)&amp;CHAR(10)&amp;"⇔ "&amp;INDEX(ポート振替表!$H$5:$H$3507,$L1231)&amp;" "&amp;INDEX(ポート振替表!$I$5:$I$3507,$L1231))</f>
        <v/>
      </c>
      <c r="L1231" s="47" t="str">
        <f aca="false">IFERROR(MATCH(ROW()-4,ポート振替表!$V$5:$V$3507,0),"")</f>
        <v/>
      </c>
    </row>
    <row r="1232" customFormat="false" ht="16.4" hidden="false" customHeight="false" outlineLevel="0" collapsed="false">
      <c r="A1232" s="32" t="str">
        <f aca="false">IF(L1232="","",ROW()-4)</f>
        <v/>
      </c>
      <c r="B1232" s="58" t="str">
        <f aca="false">IF(L1232="","",IF(INDEX(ポート振替表!$W$5:$W$3507,$L1232)="","(なし)",INDEX(ポート振替表!$W$5:$W$3507,$L1232)&amp;""))</f>
        <v/>
      </c>
      <c r="C1232" s="52" t="str">
        <f aca="false">IF(L1232="","",INDEX(ポート振替表!$B$5:$B$3507,$L1232)&amp;" "&amp;INDEX(ポート振替表!$C$5:$C$3507,$L1232)&amp;"  ⇔  "&amp;INDEX(ポート振替表!$H$5:$H$3507,$L1232)&amp;" "&amp;INDEX(ポート振替表!$I$5:$I$3507,$L1232))</f>
        <v/>
      </c>
      <c r="D1232" s="57" t="s">
        <v>158</v>
      </c>
      <c r="E1232" s="59" t="str">
        <f aca="false">IF(L1232="","",IF(INDEX(ポート振替表!$O$5:$O$3507,$L1232)="","(未設定)",INDEX(ポート振替表!$O$5:$O$3507,$L1232)&amp;""))</f>
        <v/>
      </c>
      <c r="F1232" s="52" t="str">
        <f aca="false">IF(L1232="","",INDEX(ポート振替表!$K$5:$K$3507,$L1232)&amp;" "&amp;INDEX(ポート振替表!$L$5:$L$3507,$L1232)&amp;"  ⇔  "&amp;INDEX(ポート振替表!$H$5:$H$3507,$L1232)&amp;" "&amp;INDEX(ポート振替表!$I$5:$I$3507,$L1232))</f>
        <v/>
      </c>
      <c r="G1232" s="57" t="s">
        <v>158</v>
      </c>
      <c r="H1232" s="32" t="str">
        <f aca="false">IF(L1232="","",INDEX(ポート振替表!$N$5:$N$3507,$L1232)&amp;"")</f>
        <v/>
      </c>
      <c r="I1232" s="32" t="str">
        <f aca="false">IF(L1232="","",INDEX(ポート振替表!$P$5:$P$3507,$L1232)&amp;"")</f>
        <v/>
      </c>
      <c r="J1232" s="60" t="str">
        <f aca="false">IF(L1232="","",INDEX(ポート振替表!$M$5:$M$3507,$L1232)&amp;"")</f>
        <v/>
      </c>
      <c r="K1232" s="52" t="str">
        <f aca="false">IF(L1232="","",E1232&amp;CHAR(10)&amp;INDEX(ポート振替表!$K$5:$K$3507,$L1232)&amp;" "&amp;INDEX(ポート振替表!$L$5:$L$3507,$L1232)&amp;CHAR(10)&amp;"⇔ "&amp;INDEX(ポート振替表!$H$5:$H$3507,$L1232)&amp;" "&amp;INDEX(ポート振替表!$I$5:$I$3507,$L1232))</f>
        <v/>
      </c>
      <c r="L1232" s="47" t="str">
        <f aca="false">IFERROR(MATCH(ROW()-4,ポート振替表!$V$5:$V$3507,0),"")</f>
        <v/>
      </c>
    </row>
    <row r="1233" customFormat="false" ht="16.4" hidden="false" customHeight="false" outlineLevel="0" collapsed="false">
      <c r="A1233" s="32" t="str">
        <f aca="false">IF(L1233="","",ROW()-4)</f>
        <v/>
      </c>
      <c r="B1233" s="58" t="str">
        <f aca="false">IF(L1233="","",IF(INDEX(ポート振替表!$W$5:$W$3507,$L1233)="","(なし)",INDEX(ポート振替表!$W$5:$W$3507,$L1233)&amp;""))</f>
        <v/>
      </c>
      <c r="C1233" s="52" t="str">
        <f aca="false">IF(L1233="","",INDEX(ポート振替表!$B$5:$B$3507,$L1233)&amp;" "&amp;INDEX(ポート振替表!$C$5:$C$3507,$L1233)&amp;"  ⇔  "&amp;INDEX(ポート振替表!$H$5:$H$3507,$L1233)&amp;" "&amp;INDEX(ポート振替表!$I$5:$I$3507,$L1233))</f>
        <v/>
      </c>
      <c r="D1233" s="57" t="s">
        <v>158</v>
      </c>
      <c r="E1233" s="59" t="str">
        <f aca="false">IF(L1233="","",IF(INDEX(ポート振替表!$O$5:$O$3507,$L1233)="","(未設定)",INDEX(ポート振替表!$O$5:$O$3507,$L1233)&amp;""))</f>
        <v/>
      </c>
      <c r="F1233" s="52" t="str">
        <f aca="false">IF(L1233="","",INDEX(ポート振替表!$K$5:$K$3507,$L1233)&amp;" "&amp;INDEX(ポート振替表!$L$5:$L$3507,$L1233)&amp;"  ⇔  "&amp;INDEX(ポート振替表!$H$5:$H$3507,$L1233)&amp;" "&amp;INDEX(ポート振替表!$I$5:$I$3507,$L1233))</f>
        <v/>
      </c>
      <c r="G1233" s="57" t="s">
        <v>158</v>
      </c>
      <c r="H1233" s="32" t="str">
        <f aca="false">IF(L1233="","",INDEX(ポート振替表!$N$5:$N$3507,$L1233)&amp;"")</f>
        <v/>
      </c>
      <c r="I1233" s="32" t="str">
        <f aca="false">IF(L1233="","",INDEX(ポート振替表!$P$5:$P$3507,$L1233)&amp;"")</f>
        <v/>
      </c>
      <c r="J1233" s="60" t="str">
        <f aca="false">IF(L1233="","",INDEX(ポート振替表!$M$5:$M$3507,$L1233)&amp;"")</f>
        <v/>
      </c>
      <c r="K1233" s="52" t="str">
        <f aca="false">IF(L1233="","",E1233&amp;CHAR(10)&amp;INDEX(ポート振替表!$K$5:$K$3507,$L1233)&amp;" "&amp;INDEX(ポート振替表!$L$5:$L$3507,$L1233)&amp;CHAR(10)&amp;"⇔ "&amp;INDEX(ポート振替表!$H$5:$H$3507,$L1233)&amp;" "&amp;INDEX(ポート振替表!$I$5:$I$3507,$L1233))</f>
        <v/>
      </c>
      <c r="L1233" s="47" t="str">
        <f aca="false">IFERROR(MATCH(ROW()-4,ポート振替表!$V$5:$V$3507,0),"")</f>
        <v/>
      </c>
    </row>
    <row r="1234" customFormat="false" ht="16.4" hidden="false" customHeight="false" outlineLevel="0" collapsed="false">
      <c r="A1234" s="32" t="str">
        <f aca="false">IF(L1234="","",ROW()-4)</f>
        <v/>
      </c>
      <c r="B1234" s="58" t="str">
        <f aca="false">IF(L1234="","",IF(INDEX(ポート振替表!$W$5:$W$3507,$L1234)="","(なし)",INDEX(ポート振替表!$W$5:$W$3507,$L1234)&amp;""))</f>
        <v/>
      </c>
      <c r="C1234" s="52" t="str">
        <f aca="false">IF(L1234="","",INDEX(ポート振替表!$B$5:$B$3507,$L1234)&amp;" "&amp;INDEX(ポート振替表!$C$5:$C$3507,$L1234)&amp;"  ⇔  "&amp;INDEX(ポート振替表!$H$5:$H$3507,$L1234)&amp;" "&amp;INDEX(ポート振替表!$I$5:$I$3507,$L1234))</f>
        <v/>
      </c>
      <c r="D1234" s="57" t="s">
        <v>158</v>
      </c>
      <c r="E1234" s="59" t="str">
        <f aca="false">IF(L1234="","",IF(INDEX(ポート振替表!$O$5:$O$3507,$L1234)="","(未設定)",INDEX(ポート振替表!$O$5:$O$3507,$L1234)&amp;""))</f>
        <v/>
      </c>
      <c r="F1234" s="52" t="str">
        <f aca="false">IF(L1234="","",INDEX(ポート振替表!$K$5:$K$3507,$L1234)&amp;" "&amp;INDEX(ポート振替表!$L$5:$L$3507,$L1234)&amp;"  ⇔  "&amp;INDEX(ポート振替表!$H$5:$H$3507,$L1234)&amp;" "&amp;INDEX(ポート振替表!$I$5:$I$3507,$L1234))</f>
        <v/>
      </c>
      <c r="G1234" s="57" t="s">
        <v>158</v>
      </c>
      <c r="H1234" s="32" t="str">
        <f aca="false">IF(L1234="","",INDEX(ポート振替表!$N$5:$N$3507,$L1234)&amp;"")</f>
        <v/>
      </c>
      <c r="I1234" s="32" t="str">
        <f aca="false">IF(L1234="","",INDEX(ポート振替表!$P$5:$P$3507,$L1234)&amp;"")</f>
        <v/>
      </c>
      <c r="J1234" s="60" t="str">
        <f aca="false">IF(L1234="","",INDEX(ポート振替表!$M$5:$M$3507,$L1234)&amp;"")</f>
        <v/>
      </c>
      <c r="K1234" s="52" t="str">
        <f aca="false">IF(L1234="","",E1234&amp;CHAR(10)&amp;INDEX(ポート振替表!$K$5:$K$3507,$L1234)&amp;" "&amp;INDEX(ポート振替表!$L$5:$L$3507,$L1234)&amp;CHAR(10)&amp;"⇔ "&amp;INDEX(ポート振替表!$H$5:$H$3507,$L1234)&amp;" "&amp;INDEX(ポート振替表!$I$5:$I$3507,$L1234))</f>
        <v/>
      </c>
      <c r="L1234" s="47" t="str">
        <f aca="false">IFERROR(MATCH(ROW()-4,ポート振替表!$V$5:$V$3507,0),"")</f>
        <v/>
      </c>
    </row>
    <row r="1235" customFormat="false" ht="16.4" hidden="false" customHeight="false" outlineLevel="0" collapsed="false">
      <c r="A1235" s="32" t="str">
        <f aca="false">IF(L1235="","",ROW()-4)</f>
        <v/>
      </c>
      <c r="B1235" s="58" t="str">
        <f aca="false">IF(L1235="","",IF(INDEX(ポート振替表!$W$5:$W$3507,$L1235)="","(なし)",INDEX(ポート振替表!$W$5:$W$3507,$L1235)&amp;""))</f>
        <v/>
      </c>
      <c r="C1235" s="52" t="str">
        <f aca="false">IF(L1235="","",INDEX(ポート振替表!$B$5:$B$3507,$L1235)&amp;" "&amp;INDEX(ポート振替表!$C$5:$C$3507,$L1235)&amp;"  ⇔  "&amp;INDEX(ポート振替表!$H$5:$H$3507,$L1235)&amp;" "&amp;INDEX(ポート振替表!$I$5:$I$3507,$L1235))</f>
        <v/>
      </c>
      <c r="D1235" s="57" t="s">
        <v>158</v>
      </c>
      <c r="E1235" s="59" t="str">
        <f aca="false">IF(L1235="","",IF(INDEX(ポート振替表!$O$5:$O$3507,$L1235)="","(未設定)",INDEX(ポート振替表!$O$5:$O$3507,$L1235)&amp;""))</f>
        <v/>
      </c>
      <c r="F1235" s="52" t="str">
        <f aca="false">IF(L1235="","",INDEX(ポート振替表!$K$5:$K$3507,$L1235)&amp;" "&amp;INDEX(ポート振替表!$L$5:$L$3507,$L1235)&amp;"  ⇔  "&amp;INDEX(ポート振替表!$H$5:$H$3507,$L1235)&amp;" "&amp;INDEX(ポート振替表!$I$5:$I$3507,$L1235))</f>
        <v/>
      </c>
      <c r="G1235" s="57" t="s">
        <v>158</v>
      </c>
      <c r="H1235" s="32" t="str">
        <f aca="false">IF(L1235="","",INDEX(ポート振替表!$N$5:$N$3507,$L1235)&amp;"")</f>
        <v/>
      </c>
      <c r="I1235" s="32" t="str">
        <f aca="false">IF(L1235="","",INDEX(ポート振替表!$P$5:$P$3507,$L1235)&amp;"")</f>
        <v/>
      </c>
      <c r="J1235" s="60" t="str">
        <f aca="false">IF(L1235="","",INDEX(ポート振替表!$M$5:$M$3507,$L1235)&amp;"")</f>
        <v/>
      </c>
      <c r="K1235" s="52" t="str">
        <f aca="false">IF(L1235="","",E1235&amp;CHAR(10)&amp;INDEX(ポート振替表!$K$5:$K$3507,$L1235)&amp;" "&amp;INDEX(ポート振替表!$L$5:$L$3507,$L1235)&amp;CHAR(10)&amp;"⇔ "&amp;INDEX(ポート振替表!$H$5:$H$3507,$L1235)&amp;" "&amp;INDEX(ポート振替表!$I$5:$I$3507,$L1235))</f>
        <v/>
      </c>
      <c r="L1235" s="47" t="str">
        <f aca="false">IFERROR(MATCH(ROW()-4,ポート振替表!$V$5:$V$3507,0),"")</f>
        <v/>
      </c>
    </row>
    <row r="1236" customFormat="false" ht="16.4" hidden="false" customHeight="false" outlineLevel="0" collapsed="false">
      <c r="A1236" s="32" t="str">
        <f aca="false">IF(L1236="","",ROW()-4)</f>
        <v/>
      </c>
      <c r="B1236" s="58" t="str">
        <f aca="false">IF(L1236="","",IF(INDEX(ポート振替表!$W$5:$W$3507,$L1236)="","(なし)",INDEX(ポート振替表!$W$5:$W$3507,$L1236)&amp;""))</f>
        <v/>
      </c>
      <c r="C1236" s="52" t="str">
        <f aca="false">IF(L1236="","",INDEX(ポート振替表!$B$5:$B$3507,$L1236)&amp;" "&amp;INDEX(ポート振替表!$C$5:$C$3507,$L1236)&amp;"  ⇔  "&amp;INDEX(ポート振替表!$H$5:$H$3507,$L1236)&amp;" "&amp;INDEX(ポート振替表!$I$5:$I$3507,$L1236))</f>
        <v/>
      </c>
      <c r="D1236" s="57" t="s">
        <v>158</v>
      </c>
      <c r="E1236" s="59" t="str">
        <f aca="false">IF(L1236="","",IF(INDEX(ポート振替表!$O$5:$O$3507,$L1236)="","(未設定)",INDEX(ポート振替表!$O$5:$O$3507,$L1236)&amp;""))</f>
        <v/>
      </c>
      <c r="F1236" s="52" t="str">
        <f aca="false">IF(L1236="","",INDEX(ポート振替表!$K$5:$K$3507,$L1236)&amp;" "&amp;INDEX(ポート振替表!$L$5:$L$3507,$L1236)&amp;"  ⇔  "&amp;INDEX(ポート振替表!$H$5:$H$3507,$L1236)&amp;" "&amp;INDEX(ポート振替表!$I$5:$I$3507,$L1236))</f>
        <v/>
      </c>
      <c r="G1236" s="57" t="s">
        <v>158</v>
      </c>
      <c r="H1236" s="32" t="str">
        <f aca="false">IF(L1236="","",INDEX(ポート振替表!$N$5:$N$3507,$L1236)&amp;"")</f>
        <v/>
      </c>
      <c r="I1236" s="32" t="str">
        <f aca="false">IF(L1236="","",INDEX(ポート振替表!$P$5:$P$3507,$L1236)&amp;"")</f>
        <v/>
      </c>
      <c r="J1236" s="60" t="str">
        <f aca="false">IF(L1236="","",INDEX(ポート振替表!$M$5:$M$3507,$L1236)&amp;"")</f>
        <v/>
      </c>
      <c r="K1236" s="52" t="str">
        <f aca="false">IF(L1236="","",E1236&amp;CHAR(10)&amp;INDEX(ポート振替表!$K$5:$K$3507,$L1236)&amp;" "&amp;INDEX(ポート振替表!$L$5:$L$3507,$L1236)&amp;CHAR(10)&amp;"⇔ "&amp;INDEX(ポート振替表!$H$5:$H$3507,$L1236)&amp;" "&amp;INDEX(ポート振替表!$I$5:$I$3507,$L1236))</f>
        <v/>
      </c>
      <c r="L1236" s="47" t="str">
        <f aca="false">IFERROR(MATCH(ROW()-4,ポート振替表!$V$5:$V$3507,0),"")</f>
        <v/>
      </c>
    </row>
    <row r="1237" customFormat="false" ht="16.4" hidden="false" customHeight="false" outlineLevel="0" collapsed="false">
      <c r="A1237" s="32" t="str">
        <f aca="false">IF(L1237="","",ROW()-4)</f>
        <v/>
      </c>
      <c r="B1237" s="58" t="str">
        <f aca="false">IF(L1237="","",IF(INDEX(ポート振替表!$W$5:$W$3507,$L1237)="","(なし)",INDEX(ポート振替表!$W$5:$W$3507,$L1237)&amp;""))</f>
        <v/>
      </c>
      <c r="C1237" s="52" t="str">
        <f aca="false">IF(L1237="","",INDEX(ポート振替表!$B$5:$B$3507,$L1237)&amp;" "&amp;INDEX(ポート振替表!$C$5:$C$3507,$L1237)&amp;"  ⇔  "&amp;INDEX(ポート振替表!$H$5:$H$3507,$L1237)&amp;" "&amp;INDEX(ポート振替表!$I$5:$I$3507,$L1237))</f>
        <v/>
      </c>
      <c r="D1237" s="57" t="s">
        <v>158</v>
      </c>
      <c r="E1237" s="59" t="str">
        <f aca="false">IF(L1237="","",IF(INDEX(ポート振替表!$O$5:$O$3507,$L1237)="","(未設定)",INDEX(ポート振替表!$O$5:$O$3507,$L1237)&amp;""))</f>
        <v/>
      </c>
      <c r="F1237" s="52" t="str">
        <f aca="false">IF(L1237="","",INDEX(ポート振替表!$K$5:$K$3507,$L1237)&amp;" "&amp;INDEX(ポート振替表!$L$5:$L$3507,$L1237)&amp;"  ⇔  "&amp;INDEX(ポート振替表!$H$5:$H$3507,$L1237)&amp;" "&amp;INDEX(ポート振替表!$I$5:$I$3507,$L1237))</f>
        <v/>
      </c>
      <c r="G1237" s="57" t="s">
        <v>158</v>
      </c>
      <c r="H1237" s="32" t="str">
        <f aca="false">IF(L1237="","",INDEX(ポート振替表!$N$5:$N$3507,$L1237)&amp;"")</f>
        <v/>
      </c>
      <c r="I1237" s="32" t="str">
        <f aca="false">IF(L1237="","",INDEX(ポート振替表!$P$5:$P$3507,$L1237)&amp;"")</f>
        <v/>
      </c>
      <c r="J1237" s="60" t="str">
        <f aca="false">IF(L1237="","",INDEX(ポート振替表!$M$5:$M$3507,$L1237)&amp;"")</f>
        <v/>
      </c>
      <c r="K1237" s="52" t="str">
        <f aca="false">IF(L1237="","",E1237&amp;CHAR(10)&amp;INDEX(ポート振替表!$K$5:$K$3507,$L1237)&amp;" "&amp;INDEX(ポート振替表!$L$5:$L$3507,$L1237)&amp;CHAR(10)&amp;"⇔ "&amp;INDEX(ポート振替表!$H$5:$H$3507,$L1237)&amp;" "&amp;INDEX(ポート振替表!$I$5:$I$3507,$L1237))</f>
        <v/>
      </c>
      <c r="L1237" s="47" t="str">
        <f aca="false">IFERROR(MATCH(ROW()-4,ポート振替表!$V$5:$V$3507,0),"")</f>
        <v/>
      </c>
    </row>
    <row r="1238" customFormat="false" ht="16.4" hidden="false" customHeight="false" outlineLevel="0" collapsed="false">
      <c r="A1238" s="32" t="str">
        <f aca="false">IF(L1238="","",ROW()-4)</f>
        <v/>
      </c>
      <c r="B1238" s="58" t="str">
        <f aca="false">IF(L1238="","",IF(INDEX(ポート振替表!$W$5:$W$3507,$L1238)="","(なし)",INDEX(ポート振替表!$W$5:$W$3507,$L1238)&amp;""))</f>
        <v/>
      </c>
      <c r="C1238" s="52" t="str">
        <f aca="false">IF(L1238="","",INDEX(ポート振替表!$B$5:$B$3507,$L1238)&amp;" "&amp;INDEX(ポート振替表!$C$5:$C$3507,$L1238)&amp;"  ⇔  "&amp;INDEX(ポート振替表!$H$5:$H$3507,$L1238)&amp;" "&amp;INDEX(ポート振替表!$I$5:$I$3507,$L1238))</f>
        <v/>
      </c>
      <c r="D1238" s="57" t="s">
        <v>158</v>
      </c>
      <c r="E1238" s="59" t="str">
        <f aca="false">IF(L1238="","",IF(INDEX(ポート振替表!$O$5:$O$3507,$L1238)="","(未設定)",INDEX(ポート振替表!$O$5:$O$3507,$L1238)&amp;""))</f>
        <v/>
      </c>
      <c r="F1238" s="52" t="str">
        <f aca="false">IF(L1238="","",INDEX(ポート振替表!$K$5:$K$3507,$L1238)&amp;" "&amp;INDEX(ポート振替表!$L$5:$L$3507,$L1238)&amp;"  ⇔  "&amp;INDEX(ポート振替表!$H$5:$H$3507,$L1238)&amp;" "&amp;INDEX(ポート振替表!$I$5:$I$3507,$L1238))</f>
        <v/>
      </c>
      <c r="G1238" s="57" t="s">
        <v>158</v>
      </c>
      <c r="H1238" s="32" t="str">
        <f aca="false">IF(L1238="","",INDEX(ポート振替表!$N$5:$N$3507,$L1238)&amp;"")</f>
        <v/>
      </c>
      <c r="I1238" s="32" t="str">
        <f aca="false">IF(L1238="","",INDEX(ポート振替表!$P$5:$P$3507,$L1238)&amp;"")</f>
        <v/>
      </c>
      <c r="J1238" s="60" t="str">
        <f aca="false">IF(L1238="","",INDEX(ポート振替表!$M$5:$M$3507,$L1238)&amp;"")</f>
        <v/>
      </c>
      <c r="K1238" s="52" t="str">
        <f aca="false">IF(L1238="","",E1238&amp;CHAR(10)&amp;INDEX(ポート振替表!$K$5:$K$3507,$L1238)&amp;" "&amp;INDEX(ポート振替表!$L$5:$L$3507,$L1238)&amp;CHAR(10)&amp;"⇔ "&amp;INDEX(ポート振替表!$H$5:$H$3507,$L1238)&amp;" "&amp;INDEX(ポート振替表!$I$5:$I$3507,$L1238))</f>
        <v/>
      </c>
      <c r="L1238" s="47" t="str">
        <f aca="false">IFERROR(MATCH(ROW()-4,ポート振替表!$V$5:$V$3507,0),"")</f>
        <v/>
      </c>
    </row>
    <row r="1239" customFormat="false" ht="16.4" hidden="false" customHeight="false" outlineLevel="0" collapsed="false">
      <c r="A1239" s="32" t="str">
        <f aca="false">IF(L1239="","",ROW()-4)</f>
        <v/>
      </c>
      <c r="B1239" s="58" t="str">
        <f aca="false">IF(L1239="","",IF(INDEX(ポート振替表!$W$5:$W$3507,$L1239)="","(なし)",INDEX(ポート振替表!$W$5:$W$3507,$L1239)&amp;""))</f>
        <v/>
      </c>
      <c r="C1239" s="52" t="str">
        <f aca="false">IF(L1239="","",INDEX(ポート振替表!$B$5:$B$3507,$L1239)&amp;" "&amp;INDEX(ポート振替表!$C$5:$C$3507,$L1239)&amp;"  ⇔  "&amp;INDEX(ポート振替表!$H$5:$H$3507,$L1239)&amp;" "&amp;INDEX(ポート振替表!$I$5:$I$3507,$L1239))</f>
        <v/>
      </c>
      <c r="D1239" s="57" t="s">
        <v>158</v>
      </c>
      <c r="E1239" s="59" t="str">
        <f aca="false">IF(L1239="","",IF(INDEX(ポート振替表!$O$5:$O$3507,$L1239)="","(未設定)",INDEX(ポート振替表!$O$5:$O$3507,$L1239)&amp;""))</f>
        <v/>
      </c>
      <c r="F1239" s="52" t="str">
        <f aca="false">IF(L1239="","",INDEX(ポート振替表!$K$5:$K$3507,$L1239)&amp;" "&amp;INDEX(ポート振替表!$L$5:$L$3507,$L1239)&amp;"  ⇔  "&amp;INDEX(ポート振替表!$H$5:$H$3507,$L1239)&amp;" "&amp;INDEX(ポート振替表!$I$5:$I$3507,$L1239))</f>
        <v/>
      </c>
      <c r="G1239" s="57" t="s">
        <v>158</v>
      </c>
      <c r="H1239" s="32" t="str">
        <f aca="false">IF(L1239="","",INDEX(ポート振替表!$N$5:$N$3507,$L1239)&amp;"")</f>
        <v/>
      </c>
      <c r="I1239" s="32" t="str">
        <f aca="false">IF(L1239="","",INDEX(ポート振替表!$P$5:$P$3507,$L1239)&amp;"")</f>
        <v/>
      </c>
      <c r="J1239" s="60" t="str">
        <f aca="false">IF(L1239="","",INDEX(ポート振替表!$M$5:$M$3507,$L1239)&amp;"")</f>
        <v/>
      </c>
      <c r="K1239" s="52" t="str">
        <f aca="false">IF(L1239="","",E1239&amp;CHAR(10)&amp;INDEX(ポート振替表!$K$5:$K$3507,$L1239)&amp;" "&amp;INDEX(ポート振替表!$L$5:$L$3507,$L1239)&amp;CHAR(10)&amp;"⇔ "&amp;INDEX(ポート振替表!$H$5:$H$3507,$L1239)&amp;" "&amp;INDEX(ポート振替表!$I$5:$I$3507,$L1239))</f>
        <v/>
      </c>
      <c r="L1239" s="47" t="str">
        <f aca="false">IFERROR(MATCH(ROW()-4,ポート振替表!$V$5:$V$3507,0),"")</f>
        <v/>
      </c>
    </row>
    <row r="1240" customFormat="false" ht="16.4" hidden="false" customHeight="false" outlineLevel="0" collapsed="false">
      <c r="A1240" s="32" t="str">
        <f aca="false">IF(L1240="","",ROW()-4)</f>
        <v/>
      </c>
      <c r="B1240" s="58" t="str">
        <f aca="false">IF(L1240="","",IF(INDEX(ポート振替表!$W$5:$W$3507,$L1240)="","(なし)",INDEX(ポート振替表!$W$5:$W$3507,$L1240)&amp;""))</f>
        <v/>
      </c>
      <c r="C1240" s="52" t="str">
        <f aca="false">IF(L1240="","",INDEX(ポート振替表!$B$5:$B$3507,$L1240)&amp;" "&amp;INDEX(ポート振替表!$C$5:$C$3507,$L1240)&amp;"  ⇔  "&amp;INDEX(ポート振替表!$H$5:$H$3507,$L1240)&amp;" "&amp;INDEX(ポート振替表!$I$5:$I$3507,$L1240))</f>
        <v/>
      </c>
      <c r="D1240" s="57" t="s">
        <v>158</v>
      </c>
      <c r="E1240" s="59" t="str">
        <f aca="false">IF(L1240="","",IF(INDEX(ポート振替表!$O$5:$O$3507,$L1240)="","(未設定)",INDEX(ポート振替表!$O$5:$O$3507,$L1240)&amp;""))</f>
        <v/>
      </c>
      <c r="F1240" s="52" t="str">
        <f aca="false">IF(L1240="","",INDEX(ポート振替表!$K$5:$K$3507,$L1240)&amp;" "&amp;INDEX(ポート振替表!$L$5:$L$3507,$L1240)&amp;"  ⇔  "&amp;INDEX(ポート振替表!$H$5:$H$3507,$L1240)&amp;" "&amp;INDEX(ポート振替表!$I$5:$I$3507,$L1240))</f>
        <v/>
      </c>
      <c r="G1240" s="57" t="s">
        <v>158</v>
      </c>
      <c r="H1240" s="32" t="str">
        <f aca="false">IF(L1240="","",INDEX(ポート振替表!$N$5:$N$3507,$L1240)&amp;"")</f>
        <v/>
      </c>
      <c r="I1240" s="32" t="str">
        <f aca="false">IF(L1240="","",INDEX(ポート振替表!$P$5:$P$3507,$L1240)&amp;"")</f>
        <v/>
      </c>
      <c r="J1240" s="60" t="str">
        <f aca="false">IF(L1240="","",INDEX(ポート振替表!$M$5:$M$3507,$L1240)&amp;"")</f>
        <v/>
      </c>
      <c r="K1240" s="52" t="str">
        <f aca="false">IF(L1240="","",E1240&amp;CHAR(10)&amp;INDEX(ポート振替表!$K$5:$K$3507,$L1240)&amp;" "&amp;INDEX(ポート振替表!$L$5:$L$3507,$L1240)&amp;CHAR(10)&amp;"⇔ "&amp;INDEX(ポート振替表!$H$5:$H$3507,$L1240)&amp;" "&amp;INDEX(ポート振替表!$I$5:$I$3507,$L1240))</f>
        <v/>
      </c>
      <c r="L1240" s="47" t="str">
        <f aca="false">IFERROR(MATCH(ROW()-4,ポート振替表!$V$5:$V$3507,0),"")</f>
        <v/>
      </c>
    </row>
    <row r="1241" customFormat="false" ht="16.4" hidden="false" customHeight="false" outlineLevel="0" collapsed="false">
      <c r="A1241" s="32" t="str">
        <f aca="false">IF(L1241="","",ROW()-4)</f>
        <v/>
      </c>
      <c r="B1241" s="58" t="str">
        <f aca="false">IF(L1241="","",IF(INDEX(ポート振替表!$W$5:$W$3507,$L1241)="","(なし)",INDEX(ポート振替表!$W$5:$W$3507,$L1241)&amp;""))</f>
        <v/>
      </c>
      <c r="C1241" s="52" t="str">
        <f aca="false">IF(L1241="","",INDEX(ポート振替表!$B$5:$B$3507,$L1241)&amp;" "&amp;INDEX(ポート振替表!$C$5:$C$3507,$L1241)&amp;"  ⇔  "&amp;INDEX(ポート振替表!$H$5:$H$3507,$L1241)&amp;" "&amp;INDEX(ポート振替表!$I$5:$I$3507,$L1241))</f>
        <v/>
      </c>
      <c r="D1241" s="57" t="s">
        <v>158</v>
      </c>
      <c r="E1241" s="59" t="str">
        <f aca="false">IF(L1241="","",IF(INDEX(ポート振替表!$O$5:$O$3507,$L1241)="","(未設定)",INDEX(ポート振替表!$O$5:$O$3507,$L1241)&amp;""))</f>
        <v/>
      </c>
      <c r="F1241" s="52" t="str">
        <f aca="false">IF(L1241="","",INDEX(ポート振替表!$K$5:$K$3507,$L1241)&amp;" "&amp;INDEX(ポート振替表!$L$5:$L$3507,$L1241)&amp;"  ⇔  "&amp;INDEX(ポート振替表!$H$5:$H$3507,$L1241)&amp;" "&amp;INDEX(ポート振替表!$I$5:$I$3507,$L1241))</f>
        <v/>
      </c>
      <c r="G1241" s="57" t="s">
        <v>158</v>
      </c>
      <c r="H1241" s="32" t="str">
        <f aca="false">IF(L1241="","",INDEX(ポート振替表!$N$5:$N$3507,$L1241)&amp;"")</f>
        <v/>
      </c>
      <c r="I1241" s="32" t="str">
        <f aca="false">IF(L1241="","",INDEX(ポート振替表!$P$5:$P$3507,$L1241)&amp;"")</f>
        <v/>
      </c>
      <c r="J1241" s="60" t="str">
        <f aca="false">IF(L1241="","",INDEX(ポート振替表!$M$5:$M$3507,$L1241)&amp;"")</f>
        <v/>
      </c>
      <c r="K1241" s="52" t="str">
        <f aca="false">IF(L1241="","",E1241&amp;CHAR(10)&amp;INDEX(ポート振替表!$K$5:$K$3507,$L1241)&amp;" "&amp;INDEX(ポート振替表!$L$5:$L$3507,$L1241)&amp;CHAR(10)&amp;"⇔ "&amp;INDEX(ポート振替表!$H$5:$H$3507,$L1241)&amp;" "&amp;INDEX(ポート振替表!$I$5:$I$3507,$L1241))</f>
        <v/>
      </c>
      <c r="L1241" s="47" t="str">
        <f aca="false">IFERROR(MATCH(ROW()-4,ポート振替表!$V$5:$V$3507,0),"")</f>
        <v/>
      </c>
    </row>
    <row r="1242" customFormat="false" ht="16.4" hidden="false" customHeight="false" outlineLevel="0" collapsed="false">
      <c r="A1242" s="32" t="str">
        <f aca="false">IF(L1242="","",ROW()-4)</f>
        <v/>
      </c>
      <c r="B1242" s="58" t="str">
        <f aca="false">IF(L1242="","",IF(INDEX(ポート振替表!$W$5:$W$3507,$L1242)="","(なし)",INDEX(ポート振替表!$W$5:$W$3507,$L1242)&amp;""))</f>
        <v/>
      </c>
      <c r="C1242" s="52" t="str">
        <f aca="false">IF(L1242="","",INDEX(ポート振替表!$B$5:$B$3507,$L1242)&amp;" "&amp;INDEX(ポート振替表!$C$5:$C$3507,$L1242)&amp;"  ⇔  "&amp;INDEX(ポート振替表!$H$5:$H$3507,$L1242)&amp;" "&amp;INDEX(ポート振替表!$I$5:$I$3507,$L1242))</f>
        <v/>
      </c>
      <c r="D1242" s="57" t="s">
        <v>158</v>
      </c>
      <c r="E1242" s="59" t="str">
        <f aca="false">IF(L1242="","",IF(INDEX(ポート振替表!$O$5:$O$3507,$L1242)="","(未設定)",INDEX(ポート振替表!$O$5:$O$3507,$L1242)&amp;""))</f>
        <v/>
      </c>
      <c r="F1242" s="52" t="str">
        <f aca="false">IF(L1242="","",INDEX(ポート振替表!$K$5:$K$3507,$L1242)&amp;" "&amp;INDEX(ポート振替表!$L$5:$L$3507,$L1242)&amp;"  ⇔  "&amp;INDEX(ポート振替表!$H$5:$H$3507,$L1242)&amp;" "&amp;INDEX(ポート振替表!$I$5:$I$3507,$L1242))</f>
        <v/>
      </c>
      <c r="G1242" s="57" t="s">
        <v>158</v>
      </c>
      <c r="H1242" s="32" t="str">
        <f aca="false">IF(L1242="","",INDEX(ポート振替表!$N$5:$N$3507,$L1242)&amp;"")</f>
        <v/>
      </c>
      <c r="I1242" s="32" t="str">
        <f aca="false">IF(L1242="","",INDEX(ポート振替表!$P$5:$P$3507,$L1242)&amp;"")</f>
        <v/>
      </c>
      <c r="J1242" s="60" t="str">
        <f aca="false">IF(L1242="","",INDEX(ポート振替表!$M$5:$M$3507,$L1242)&amp;"")</f>
        <v/>
      </c>
      <c r="K1242" s="52" t="str">
        <f aca="false">IF(L1242="","",E1242&amp;CHAR(10)&amp;INDEX(ポート振替表!$K$5:$K$3507,$L1242)&amp;" "&amp;INDEX(ポート振替表!$L$5:$L$3507,$L1242)&amp;CHAR(10)&amp;"⇔ "&amp;INDEX(ポート振替表!$H$5:$H$3507,$L1242)&amp;" "&amp;INDEX(ポート振替表!$I$5:$I$3507,$L1242))</f>
        <v/>
      </c>
      <c r="L1242" s="47" t="str">
        <f aca="false">IFERROR(MATCH(ROW()-4,ポート振替表!$V$5:$V$3507,0),"")</f>
        <v/>
      </c>
    </row>
    <row r="1243" customFormat="false" ht="16.4" hidden="false" customHeight="false" outlineLevel="0" collapsed="false">
      <c r="A1243" s="32" t="str">
        <f aca="false">IF(L1243="","",ROW()-4)</f>
        <v/>
      </c>
      <c r="B1243" s="58" t="str">
        <f aca="false">IF(L1243="","",IF(INDEX(ポート振替表!$W$5:$W$3507,$L1243)="","(なし)",INDEX(ポート振替表!$W$5:$W$3507,$L1243)&amp;""))</f>
        <v/>
      </c>
      <c r="C1243" s="52" t="str">
        <f aca="false">IF(L1243="","",INDEX(ポート振替表!$B$5:$B$3507,$L1243)&amp;" "&amp;INDEX(ポート振替表!$C$5:$C$3507,$L1243)&amp;"  ⇔  "&amp;INDEX(ポート振替表!$H$5:$H$3507,$L1243)&amp;" "&amp;INDEX(ポート振替表!$I$5:$I$3507,$L1243))</f>
        <v/>
      </c>
      <c r="D1243" s="57" t="s">
        <v>158</v>
      </c>
      <c r="E1243" s="59" t="str">
        <f aca="false">IF(L1243="","",IF(INDEX(ポート振替表!$O$5:$O$3507,$L1243)="","(未設定)",INDEX(ポート振替表!$O$5:$O$3507,$L1243)&amp;""))</f>
        <v/>
      </c>
      <c r="F1243" s="52" t="str">
        <f aca="false">IF(L1243="","",INDEX(ポート振替表!$K$5:$K$3507,$L1243)&amp;" "&amp;INDEX(ポート振替表!$L$5:$L$3507,$L1243)&amp;"  ⇔  "&amp;INDEX(ポート振替表!$H$5:$H$3507,$L1243)&amp;" "&amp;INDEX(ポート振替表!$I$5:$I$3507,$L1243))</f>
        <v/>
      </c>
      <c r="G1243" s="57" t="s">
        <v>158</v>
      </c>
      <c r="H1243" s="32" t="str">
        <f aca="false">IF(L1243="","",INDEX(ポート振替表!$N$5:$N$3507,$L1243)&amp;"")</f>
        <v/>
      </c>
      <c r="I1243" s="32" t="str">
        <f aca="false">IF(L1243="","",INDEX(ポート振替表!$P$5:$P$3507,$L1243)&amp;"")</f>
        <v/>
      </c>
      <c r="J1243" s="60" t="str">
        <f aca="false">IF(L1243="","",INDEX(ポート振替表!$M$5:$M$3507,$L1243)&amp;"")</f>
        <v/>
      </c>
      <c r="K1243" s="52" t="str">
        <f aca="false">IF(L1243="","",E1243&amp;CHAR(10)&amp;INDEX(ポート振替表!$K$5:$K$3507,$L1243)&amp;" "&amp;INDEX(ポート振替表!$L$5:$L$3507,$L1243)&amp;CHAR(10)&amp;"⇔ "&amp;INDEX(ポート振替表!$H$5:$H$3507,$L1243)&amp;" "&amp;INDEX(ポート振替表!$I$5:$I$3507,$L1243))</f>
        <v/>
      </c>
      <c r="L1243" s="47" t="str">
        <f aca="false">IFERROR(MATCH(ROW()-4,ポート振替表!$V$5:$V$3507,0),"")</f>
        <v/>
      </c>
    </row>
    <row r="1244" customFormat="false" ht="16.4" hidden="false" customHeight="false" outlineLevel="0" collapsed="false">
      <c r="A1244" s="32" t="str">
        <f aca="false">IF(L1244="","",ROW()-4)</f>
        <v/>
      </c>
      <c r="B1244" s="58" t="str">
        <f aca="false">IF(L1244="","",IF(INDEX(ポート振替表!$W$5:$W$3507,$L1244)="","(なし)",INDEX(ポート振替表!$W$5:$W$3507,$L1244)&amp;""))</f>
        <v/>
      </c>
      <c r="C1244" s="52" t="str">
        <f aca="false">IF(L1244="","",INDEX(ポート振替表!$B$5:$B$3507,$L1244)&amp;" "&amp;INDEX(ポート振替表!$C$5:$C$3507,$L1244)&amp;"  ⇔  "&amp;INDEX(ポート振替表!$H$5:$H$3507,$L1244)&amp;" "&amp;INDEX(ポート振替表!$I$5:$I$3507,$L1244))</f>
        <v/>
      </c>
      <c r="D1244" s="57" t="s">
        <v>158</v>
      </c>
      <c r="E1244" s="59" t="str">
        <f aca="false">IF(L1244="","",IF(INDEX(ポート振替表!$O$5:$O$3507,$L1244)="","(未設定)",INDEX(ポート振替表!$O$5:$O$3507,$L1244)&amp;""))</f>
        <v/>
      </c>
      <c r="F1244" s="52" t="str">
        <f aca="false">IF(L1244="","",INDEX(ポート振替表!$K$5:$K$3507,$L1244)&amp;" "&amp;INDEX(ポート振替表!$L$5:$L$3507,$L1244)&amp;"  ⇔  "&amp;INDEX(ポート振替表!$H$5:$H$3507,$L1244)&amp;" "&amp;INDEX(ポート振替表!$I$5:$I$3507,$L1244))</f>
        <v/>
      </c>
      <c r="G1244" s="57" t="s">
        <v>158</v>
      </c>
      <c r="H1244" s="32" t="str">
        <f aca="false">IF(L1244="","",INDEX(ポート振替表!$N$5:$N$3507,$L1244)&amp;"")</f>
        <v/>
      </c>
      <c r="I1244" s="32" t="str">
        <f aca="false">IF(L1244="","",INDEX(ポート振替表!$P$5:$P$3507,$L1244)&amp;"")</f>
        <v/>
      </c>
      <c r="J1244" s="60" t="str">
        <f aca="false">IF(L1244="","",INDEX(ポート振替表!$M$5:$M$3507,$L1244)&amp;"")</f>
        <v/>
      </c>
      <c r="K1244" s="52" t="str">
        <f aca="false">IF(L1244="","",E1244&amp;CHAR(10)&amp;INDEX(ポート振替表!$K$5:$K$3507,$L1244)&amp;" "&amp;INDEX(ポート振替表!$L$5:$L$3507,$L1244)&amp;CHAR(10)&amp;"⇔ "&amp;INDEX(ポート振替表!$H$5:$H$3507,$L1244)&amp;" "&amp;INDEX(ポート振替表!$I$5:$I$3507,$L1244))</f>
        <v/>
      </c>
      <c r="L1244" s="47" t="str">
        <f aca="false">IFERROR(MATCH(ROW()-4,ポート振替表!$V$5:$V$3507,0),"")</f>
        <v/>
      </c>
    </row>
    <row r="1245" customFormat="false" ht="16.4" hidden="false" customHeight="false" outlineLevel="0" collapsed="false">
      <c r="A1245" s="32" t="str">
        <f aca="false">IF(L1245="","",ROW()-4)</f>
        <v/>
      </c>
      <c r="B1245" s="58" t="str">
        <f aca="false">IF(L1245="","",IF(INDEX(ポート振替表!$W$5:$W$3507,$L1245)="","(なし)",INDEX(ポート振替表!$W$5:$W$3507,$L1245)&amp;""))</f>
        <v/>
      </c>
      <c r="C1245" s="52" t="str">
        <f aca="false">IF(L1245="","",INDEX(ポート振替表!$B$5:$B$3507,$L1245)&amp;" "&amp;INDEX(ポート振替表!$C$5:$C$3507,$L1245)&amp;"  ⇔  "&amp;INDEX(ポート振替表!$H$5:$H$3507,$L1245)&amp;" "&amp;INDEX(ポート振替表!$I$5:$I$3507,$L1245))</f>
        <v/>
      </c>
      <c r="D1245" s="57" t="s">
        <v>158</v>
      </c>
      <c r="E1245" s="59" t="str">
        <f aca="false">IF(L1245="","",IF(INDEX(ポート振替表!$O$5:$O$3507,$L1245)="","(未設定)",INDEX(ポート振替表!$O$5:$O$3507,$L1245)&amp;""))</f>
        <v/>
      </c>
      <c r="F1245" s="52" t="str">
        <f aca="false">IF(L1245="","",INDEX(ポート振替表!$K$5:$K$3507,$L1245)&amp;" "&amp;INDEX(ポート振替表!$L$5:$L$3507,$L1245)&amp;"  ⇔  "&amp;INDEX(ポート振替表!$H$5:$H$3507,$L1245)&amp;" "&amp;INDEX(ポート振替表!$I$5:$I$3507,$L1245))</f>
        <v/>
      </c>
      <c r="G1245" s="57" t="s">
        <v>158</v>
      </c>
      <c r="H1245" s="32" t="str">
        <f aca="false">IF(L1245="","",INDEX(ポート振替表!$N$5:$N$3507,$L1245)&amp;"")</f>
        <v/>
      </c>
      <c r="I1245" s="32" t="str">
        <f aca="false">IF(L1245="","",INDEX(ポート振替表!$P$5:$P$3507,$L1245)&amp;"")</f>
        <v/>
      </c>
      <c r="J1245" s="60" t="str">
        <f aca="false">IF(L1245="","",INDEX(ポート振替表!$M$5:$M$3507,$L1245)&amp;"")</f>
        <v/>
      </c>
      <c r="K1245" s="52" t="str">
        <f aca="false">IF(L1245="","",E1245&amp;CHAR(10)&amp;INDEX(ポート振替表!$K$5:$K$3507,$L1245)&amp;" "&amp;INDEX(ポート振替表!$L$5:$L$3507,$L1245)&amp;CHAR(10)&amp;"⇔ "&amp;INDEX(ポート振替表!$H$5:$H$3507,$L1245)&amp;" "&amp;INDEX(ポート振替表!$I$5:$I$3507,$L1245))</f>
        <v/>
      </c>
      <c r="L1245" s="47" t="str">
        <f aca="false">IFERROR(MATCH(ROW()-4,ポート振替表!$V$5:$V$3507,0),"")</f>
        <v/>
      </c>
    </row>
    <row r="1246" customFormat="false" ht="16.4" hidden="false" customHeight="false" outlineLevel="0" collapsed="false">
      <c r="A1246" s="32" t="str">
        <f aca="false">IF(L1246="","",ROW()-4)</f>
        <v/>
      </c>
      <c r="B1246" s="58" t="str">
        <f aca="false">IF(L1246="","",IF(INDEX(ポート振替表!$W$5:$W$3507,$L1246)="","(なし)",INDEX(ポート振替表!$W$5:$W$3507,$L1246)&amp;""))</f>
        <v/>
      </c>
      <c r="C1246" s="52" t="str">
        <f aca="false">IF(L1246="","",INDEX(ポート振替表!$B$5:$B$3507,$L1246)&amp;" "&amp;INDEX(ポート振替表!$C$5:$C$3507,$L1246)&amp;"  ⇔  "&amp;INDEX(ポート振替表!$H$5:$H$3507,$L1246)&amp;" "&amp;INDEX(ポート振替表!$I$5:$I$3507,$L1246))</f>
        <v/>
      </c>
      <c r="D1246" s="57" t="s">
        <v>158</v>
      </c>
      <c r="E1246" s="59" t="str">
        <f aca="false">IF(L1246="","",IF(INDEX(ポート振替表!$O$5:$O$3507,$L1246)="","(未設定)",INDEX(ポート振替表!$O$5:$O$3507,$L1246)&amp;""))</f>
        <v/>
      </c>
      <c r="F1246" s="52" t="str">
        <f aca="false">IF(L1246="","",INDEX(ポート振替表!$K$5:$K$3507,$L1246)&amp;" "&amp;INDEX(ポート振替表!$L$5:$L$3507,$L1246)&amp;"  ⇔  "&amp;INDEX(ポート振替表!$H$5:$H$3507,$L1246)&amp;" "&amp;INDEX(ポート振替表!$I$5:$I$3507,$L1246))</f>
        <v/>
      </c>
      <c r="G1246" s="57" t="s">
        <v>158</v>
      </c>
      <c r="H1246" s="32" t="str">
        <f aca="false">IF(L1246="","",INDEX(ポート振替表!$N$5:$N$3507,$L1246)&amp;"")</f>
        <v/>
      </c>
      <c r="I1246" s="32" t="str">
        <f aca="false">IF(L1246="","",INDEX(ポート振替表!$P$5:$P$3507,$L1246)&amp;"")</f>
        <v/>
      </c>
      <c r="J1246" s="60" t="str">
        <f aca="false">IF(L1246="","",INDEX(ポート振替表!$M$5:$M$3507,$L1246)&amp;"")</f>
        <v/>
      </c>
      <c r="K1246" s="52" t="str">
        <f aca="false">IF(L1246="","",E1246&amp;CHAR(10)&amp;INDEX(ポート振替表!$K$5:$K$3507,$L1246)&amp;" "&amp;INDEX(ポート振替表!$L$5:$L$3507,$L1246)&amp;CHAR(10)&amp;"⇔ "&amp;INDEX(ポート振替表!$H$5:$H$3507,$L1246)&amp;" "&amp;INDEX(ポート振替表!$I$5:$I$3507,$L1246))</f>
        <v/>
      </c>
      <c r="L1246" s="47" t="str">
        <f aca="false">IFERROR(MATCH(ROW()-4,ポート振替表!$V$5:$V$3507,0),"")</f>
        <v/>
      </c>
    </row>
    <row r="1247" customFormat="false" ht="16.4" hidden="false" customHeight="false" outlineLevel="0" collapsed="false">
      <c r="A1247" s="32" t="str">
        <f aca="false">IF(L1247="","",ROW()-4)</f>
        <v/>
      </c>
      <c r="B1247" s="58" t="str">
        <f aca="false">IF(L1247="","",IF(INDEX(ポート振替表!$W$5:$W$3507,$L1247)="","(なし)",INDEX(ポート振替表!$W$5:$W$3507,$L1247)&amp;""))</f>
        <v/>
      </c>
      <c r="C1247" s="52" t="str">
        <f aca="false">IF(L1247="","",INDEX(ポート振替表!$B$5:$B$3507,$L1247)&amp;" "&amp;INDEX(ポート振替表!$C$5:$C$3507,$L1247)&amp;"  ⇔  "&amp;INDEX(ポート振替表!$H$5:$H$3507,$L1247)&amp;" "&amp;INDEX(ポート振替表!$I$5:$I$3507,$L1247))</f>
        <v/>
      </c>
      <c r="D1247" s="57" t="s">
        <v>158</v>
      </c>
      <c r="E1247" s="59" t="str">
        <f aca="false">IF(L1247="","",IF(INDEX(ポート振替表!$O$5:$O$3507,$L1247)="","(未設定)",INDEX(ポート振替表!$O$5:$O$3507,$L1247)&amp;""))</f>
        <v/>
      </c>
      <c r="F1247" s="52" t="str">
        <f aca="false">IF(L1247="","",INDEX(ポート振替表!$K$5:$K$3507,$L1247)&amp;" "&amp;INDEX(ポート振替表!$L$5:$L$3507,$L1247)&amp;"  ⇔  "&amp;INDEX(ポート振替表!$H$5:$H$3507,$L1247)&amp;" "&amp;INDEX(ポート振替表!$I$5:$I$3507,$L1247))</f>
        <v/>
      </c>
      <c r="G1247" s="57" t="s">
        <v>158</v>
      </c>
      <c r="H1247" s="32" t="str">
        <f aca="false">IF(L1247="","",INDEX(ポート振替表!$N$5:$N$3507,$L1247)&amp;"")</f>
        <v/>
      </c>
      <c r="I1247" s="32" t="str">
        <f aca="false">IF(L1247="","",INDEX(ポート振替表!$P$5:$P$3507,$L1247)&amp;"")</f>
        <v/>
      </c>
      <c r="J1247" s="60" t="str">
        <f aca="false">IF(L1247="","",INDEX(ポート振替表!$M$5:$M$3507,$L1247)&amp;"")</f>
        <v/>
      </c>
      <c r="K1247" s="52" t="str">
        <f aca="false">IF(L1247="","",E1247&amp;CHAR(10)&amp;INDEX(ポート振替表!$K$5:$K$3507,$L1247)&amp;" "&amp;INDEX(ポート振替表!$L$5:$L$3507,$L1247)&amp;CHAR(10)&amp;"⇔ "&amp;INDEX(ポート振替表!$H$5:$H$3507,$L1247)&amp;" "&amp;INDEX(ポート振替表!$I$5:$I$3507,$L1247))</f>
        <v/>
      </c>
      <c r="L1247" s="47" t="str">
        <f aca="false">IFERROR(MATCH(ROW()-4,ポート振替表!$V$5:$V$3507,0),"")</f>
        <v/>
      </c>
    </row>
    <row r="1248" customFormat="false" ht="16.4" hidden="false" customHeight="false" outlineLevel="0" collapsed="false">
      <c r="A1248" s="32" t="str">
        <f aca="false">IF(L1248="","",ROW()-4)</f>
        <v/>
      </c>
      <c r="B1248" s="58" t="str">
        <f aca="false">IF(L1248="","",IF(INDEX(ポート振替表!$W$5:$W$3507,$L1248)="","(なし)",INDEX(ポート振替表!$W$5:$W$3507,$L1248)&amp;""))</f>
        <v/>
      </c>
      <c r="C1248" s="52" t="str">
        <f aca="false">IF(L1248="","",INDEX(ポート振替表!$B$5:$B$3507,$L1248)&amp;" "&amp;INDEX(ポート振替表!$C$5:$C$3507,$L1248)&amp;"  ⇔  "&amp;INDEX(ポート振替表!$H$5:$H$3507,$L1248)&amp;" "&amp;INDEX(ポート振替表!$I$5:$I$3507,$L1248))</f>
        <v/>
      </c>
      <c r="D1248" s="57" t="s">
        <v>158</v>
      </c>
      <c r="E1248" s="59" t="str">
        <f aca="false">IF(L1248="","",IF(INDEX(ポート振替表!$O$5:$O$3507,$L1248)="","(未設定)",INDEX(ポート振替表!$O$5:$O$3507,$L1248)&amp;""))</f>
        <v/>
      </c>
      <c r="F1248" s="52" t="str">
        <f aca="false">IF(L1248="","",INDEX(ポート振替表!$K$5:$K$3507,$L1248)&amp;" "&amp;INDEX(ポート振替表!$L$5:$L$3507,$L1248)&amp;"  ⇔  "&amp;INDEX(ポート振替表!$H$5:$H$3507,$L1248)&amp;" "&amp;INDEX(ポート振替表!$I$5:$I$3507,$L1248))</f>
        <v/>
      </c>
      <c r="G1248" s="57" t="s">
        <v>158</v>
      </c>
      <c r="H1248" s="32" t="str">
        <f aca="false">IF(L1248="","",INDEX(ポート振替表!$N$5:$N$3507,$L1248)&amp;"")</f>
        <v/>
      </c>
      <c r="I1248" s="32" t="str">
        <f aca="false">IF(L1248="","",INDEX(ポート振替表!$P$5:$P$3507,$L1248)&amp;"")</f>
        <v/>
      </c>
      <c r="J1248" s="60" t="str">
        <f aca="false">IF(L1248="","",INDEX(ポート振替表!$M$5:$M$3507,$L1248)&amp;"")</f>
        <v/>
      </c>
      <c r="K1248" s="52" t="str">
        <f aca="false">IF(L1248="","",E1248&amp;CHAR(10)&amp;INDEX(ポート振替表!$K$5:$K$3507,$L1248)&amp;" "&amp;INDEX(ポート振替表!$L$5:$L$3507,$L1248)&amp;CHAR(10)&amp;"⇔ "&amp;INDEX(ポート振替表!$H$5:$H$3507,$L1248)&amp;" "&amp;INDEX(ポート振替表!$I$5:$I$3507,$L1248))</f>
        <v/>
      </c>
      <c r="L1248" s="47" t="str">
        <f aca="false">IFERROR(MATCH(ROW()-4,ポート振替表!$V$5:$V$3507,0),"")</f>
        <v/>
      </c>
    </row>
    <row r="1249" customFormat="false" ht="16.4" hidden="false" customHeight="false" outlineLevel="0" collapsed="false">
      <c r="A1249" s="32" t="str">
        <f aca="false">IF(L1249="","",ROW()-4)</f>
        <v/>
      </c>
      <c r="B1249" s="58" t="str">
        <f aca="false">IF(L1249="","",IF(INDEX(ポート振替表!$W$5:$W$3507,$L1249)="","(なし)",INDEX(ポート振替表!$W$5:$W$3507,$L1249)&amp;""))</f>
        <v/>
      </c>
      <c r="C1249" s="52" t="str">
        <f aca="false">IF(L1249="","",INDEX(ポート振替表!$B$5:$B$3507,$L1249)&amp;" "&amp;INDEX(ポート振替表!$C$5:$C$3507,$L1249)&amp;"  ⇔  "&amp;INDEX(ポート振替表!$H$5:$H$3507,$L1249)&amp;" "&amp;INDEX(ポート振替表!$I$5:$I$3507,$L1249))</f>
        <v/>
      </c>
      <c r="D1249" s="57" t="s">
        <v>158</v>
      </c>
      <c r="E1249" s="59" t="str">
        <f aca="false">IF(L1249="","",IF(INDEX(ポート振替表!$O$5:$O$3507,$L1249)="","(未設定)",INDEX(ポート振替表!$O$5:$O$3507,$L1249)&amp;""))</f>
        <v/>
      </c>
      <c r="F1249" s="52" t="str">
        <f aca="false">IF(L1249="","",INDEX(ポート振替表!$K$5:$K$3507,$L1249)&amp;" "&amp;INDEX(ポート振替表!$L$5:$L$3507,$L1249)&amp;"  ⇔  "&amp;INDEX(ポート振替表!$H$5:$H$3507,$L1249)&amp;" "&amp;INDEX(ポート振替表!$I$5:$I$3507,$L1249))</f>
        <v/>
      </c>
      <c r="G1249" s="57" t="s">
        <v>158</v>
      </c>
      <c r="H1249" s="32" t="str">
        <f aca="false">IF(L1249="","",INDEX(ポート振替表!$N$5:$N$3507,$L1249)&amp;"")</f>
        <v/>
      </c>
      <c r="I1249" s="32" t="str">
        <f aca="false">IF(L1249="","",INDEX(ポート振替表!$P$5:$P$3507,$L1249)&amp;"")</f>
        <v/>
      </c>
      <c r="J1249" s="60" t="str">
        <f aca="false">IF(L1249="","",INDEX(ポート振替表!$M$5:$M$3507,$L1249)&amp;"")</f>
        <v/>
      </c>
      <c r="K1249" s="52" t="str">
        <f aca="false">IF(L1249="","",E1249&amp;CHAR(10)&amp;INDEX(ポート振替表!$K$5:$K$3507,$L1249)&amp;" "&amp;INDEX(ポート振替表!$L$5:$L$3507,$L1249)&amp;CHAR(10)&amp;"⇔ "&amp;INDEX(ポート振替表!$H$5:$H$3507,$L1249)&amp;" "&amp;INDEX(ポート振替表!$I$5:$I$3507,$L1249))</f>
        <v/>
      </c>
      <c r="L1249" s="47" t="str">
        <f aca="false">IFERROR(MATCH(ROW()-4,ポート振替表!$V$5:$V$3507,0),"")</f>
        <v/>
      </c>
    </row>
    <row r="1250" customFormat="false" ht="16.4" hidden="false" customHeight="false" outlineLevel="0" collapsed="false">
      <c r="A1250" s="32" t="str">
        <f aca="false">IF(L1250="","",ROW()-4)</f>
        <v/>
      </c>
      <c r="B1250" s="58" t="str">
        <f aca="false">IF(L1250="","",IF(INDEX(ポート振替表!$W$5:$W$3507,$L1250)="","(なし)",INDEX(ポート振替表!$W$5:$W$3507,$L1250)&amp;""))</f>
        <v/>
      </c>
      <c r="C1250" s="52" t="str">
        <f aca="false">IF(L1250="","",INDEX(ポート振替表!$B$5:$B$3507,$L1250)&amp;" "&amp;INDEX(ポート振替表!$C$5:$C$3507,$L1250)&amp;"  ⇔  "&amp;INDEX(ポート振替表!$H$5:$H$3507,$L1250)&amp;" "&amp;INDEX(ポート振替表!$I$5:$I$3507,$L1250))</f>
        <v/>
      </c>
      <c r="D1250" s="57" t="s">
        <v>158</v>
      </c>
      <c r="E1250" s="59" t="str">
        <f aca="false">IF(L1250="","",IF(INDEX(ポート振替表!$O$5:$O$3507,$L1250)="","(未設定)",INDEX(ポート振替表!$O$5:$O$3507,$L1250)&amp;""))</f>
        <v/>
      </c>
      <c r="F1250" s="52" t="str">
        <f aca="false">IF(L1250="","",INDEX(ポート振替表!$K$5:$K$3507,$L1250)&amp;" "&amp;INDEX(ポート振替表!$L$5:$L$3507,$L1250)&amp;"  ⇔  "&amp;INDEX(ポート振替表!$H$5:$H$3507,$L1250)&amp;" "&amp;INDEX(ポート振替表!$I$5:$I$3507,$L1250))</f>
        <v/>
      </c>
      <c r="G1250" s="57" t="s">
        <v>158</v>
      </c>
      <c r="H1250" s="32" t="str">
        <f aca="false">IF(L1250="","",INDEX(ポート振替表!$N$5:$N$3507,$L1250)&amp;"")</f>
        <v/>
      </c>
      <c r="I1250" s="32" t="str">
        <f aca="false">IF(L1250="","",INDEX(ポート振替表!$P$5:$P$3507,$L1250)&amp;"")</f>
        <v/>
      </c>
      <c r="J1250" s="60" t="str">
        <f aca="false">IF(L1250="","",INDEX(ポート振替表!$M$5:$M$3507,$L1250)&amp;"")</f>
        <v/>
      </c>
      <c r="K1250" s="52" t="str">
        <f aca="false">IF(L1250="","",E1250&amp;CHAR(10)&amp;INDEX(ポート振替表!$K$5:$K$3507,$L1250)&amp;" "&amp;INDEX(ポート振替表!$L$5:$L$3507,$L1250)&amp;CHAR(10)&amp;"⇔ "&amp;INDEX(ポート振替表!$H$5:$H$3507,$L1250)&amp;" "&amp;INDEX(ポート振替表!$I$5:$I$3507,$L1250))</f>
        <v/>
      </c>
      <c r="L1250" s="47" t="str">
        <f aca="false">IFERROR(MATCH(ROW()-4,ポート振替表!$V$5:$V$3507,0),"")</f>
        <v/>
      </c>
    </row>
    <row r="1251" customFormat="false" ht="16.4" hidden="false" customHeight="false" outlineLevel="0" collapsed="false">
      <c r="A1251" s="32" t="str">
        <f aca="false">IF(L1251="","",ROW()-4)</f>
        <v/>
      </c>
      <c r="B1251" s="58" t="str">
        <f aca="false">IF(L1251="","",IF(INDEX(ポート振替表!$W$5:$W$3507,$L1251)="","(なし)",INDEX(ポート振替表!$W$5:$W$3507,$L1251)&amp;""))</f>
        <v/>
      </c>
      <c r="C1251" s="52" t="str">
        <f aca="false">IF(L1251="","",INDEX(ポート振替表!$B$5:$B$3507,$L1251)&amp;" "&amp;INDEX(ポート振替表!$C$5:$C$3507,$L1251)&amp;"  ⇔  "&amp;INDEX(ポート振替表!$H$5:$H$3507,$L1251)&amp;" "&amp;INDEX(ポート振替表!$I$5:$I$3507,$L1251))</f>
        <v/>
      </c>
      <c r="D1251" s="57" t="s">
        <v>158</v>
      </c>
      <c r="E1251" s="59" t="str">
        <f aca="false">IF(L1251="","",IF(INDEX(ポート振替表!$O$5:$O$3507,$L1251)="","(未設定)",INDEX(ポート振替表!$O$5:$O$3507,$L1251)&amp;""))</f>
        <v/>
      </c>
      <c r="F1251" s="52" t="str">
        <f aca="false">IF(L1251="","",INDEX(ポート振替表!$K$5:$K$3507,$L1251)&amp;" "&amp;INDEX(ポート振替表!$L$5:$L$3507,$L1251)&amp;"  ⇔  "&amp;INDEX(ポート振替表!$H$5:$H$3507,$L1251)&amp;" "&amp;INDEX(ポート振替表!$I$5:$I$3507,$L1251))</f>
        <v/>
      </c>
      <c r="G1251" s="57" t="s">
        <v>158</v>
      </c>
      <c r="H1251" s="32" t="str">
        <f aca="false">IF(L1251="","",INDEX(ポート振替表!$N$5:$N$3507,$L1251)&amp;"")</f>
        <v/>
      </c>
      <c r="I1251" s="32" t="str">
        <f aca="false">IF(L1251="","",INDEX(ポート振替表!$P$5:$P$3507,$L1251)&amp;"")</f>
        <v/>
      </c>
      <c r="J1251" s="60" t="str">
        <f aca="false">IF(L1251="","",INDEX(ポート振替表!$M$5:$M$3507,$L1251)&amp;"")</f>
        <v/>
      </c>
      <c r="K1251" s="52" t="str">
        <f aca="false">IF(L1251="","",E1251&amp;CHAR(10)&amp;INDEX(ポート振替表!$K$5:$K$3507,$L1251)&amp;" "&amp;INDEX(ポート振替表!$L$5:$L$3507,$L1251)&amp;CHAR(10)&amp;"⇔ "&amp;INDEX(ポート振替表!$H$5:$H$3507,$L1251)&amp;" "&amp;INDEX(ポート振替表!$I$5:$I$3507,$L1251))</f>
        <v/>
      </c>
      <c r="L1251" s="47" t="str">
        <f aca="false">IFERROR(MATCH(ROW()-4,ポート振替表!$V$5:$V$3507,0),"")</f>
        <v/>
      </c>
    </row>
    <row r="1252" customFormat="false" ht="16.4" hidden="false" customHeight="false" outlineLevel="0" collapsed="false">
      <c r="A1252" s="32" t="str">
        <f aca="false">IF(L1252="","",ROW()-4)</f>
        <v/>
      </c>
      <c r="B1252" s="58" t="str">
        <f aca="false">IF(L1252="","",IF(INDEX(ポート振替表!$W$5:$W$3507,$L1252)="","(なし)",INDEX(ポート振替表!$W$5:$W$3507,$L1252)&amp;""))</f>
        <v/>
      </c>
      <c r="C1252" s="52" t="str">
        <f aca="false">IF(L1252="","",INDEX(ポート振替表!$B$5:$B$3507,$L1252)&amp;" "&amp;INDEX(ポート振替表!$C$5:$C$3507,$L1252)&amp;"  ⇔  "&amp;INDEX(ポート振替表!$H$5:$H$3507,$L1252)&amp;" "&amp;INDEX(ポート振替表!$I$5:$I$3507,$L1252))</f>
        <v/>
      </c>
      <c r="D1252" s="57" t="s">
        <v>158</v>
      </c>
      <c r="E1252" s="59" t="str">
        <f aca="false">IF(L1252="","",IF(INDEX(ポート振替表!$O$5:$O$3507,$L1252)="","(未設定)",INDEX(ポート振替表!$O$5:$O$3507,$L1252)&amp;""))</f>
        <v/>
      </c>
      <c r="F1252" s="52" t="str">
        <f aca="false">IF(L1252="","",INDEX(ポート振替表!$K$5:$K$3507,$L1252)&amp;" "&amp;INDEX(ポート振替表!$L$5:$L$3507,$L1252)&amp;"  ⇔  "&amp;INDEX(ポート振替表!$H$5:$H$3507,$L1252)&amp;" "&amp;INDEX(ポート振替表!$I$5:$I$3507,$L1252))</f>
        <v/>
      </c>
      <c r="G1252" s="57" t="s">
        <v>158</v>
      </c>
      <c r="H1252" s="32" t="str">
        <f aca="false">IF(L1252="","",INDEX(ポート振替表!$N$5:$N$3507,$L1252)&amp;"")</f>
        <v/>
      </c>
      <c r="I1252" s="32" t="str">
        <f aca="false">IF(L1252="","",INDEX(ポート振替表!$P$5:$P$3507,$L1252)&amp;"")</f>
        <v/>
      </c>
      <c r="J1252" s="60" t="str">
        <f aca="false">IF(L1252="","",INDEX(ポート振替表!$M$5:$M$3507,$L1252)&amp;"")</f>
        <v/>
      </c>
      <c r="K1252" s="52" t="str">
        <f aca="false">IF(L1252="","",E1252&amp;CHAR(10)&amp;INDEX(ポート振替表!$K$5:$K$3507,$L1252)&amp;" "&amp;INDEX(ポート振替表!$L$5:$L$3507,$L1252)&amp;CHAR(10)&amp;"⇔ "&amp;INDEX(ポート振替表!$H$5:$H$3507,$L1252)&amp;" "&amp;INDEX(ポート振替表!$I$5:$I$3507,$L1252))</f>
        <v/>
      </c>
      <c r="L1252" s="47" t="str">
        <f aca="false">IFERROR(MATCH(ROW()-4,ポート振替表!$V$5:$V$3507,0),"")</f>
        <v/>
      </c>
    </row>
    <row r="1253" customFormat="false" ht="16.4" hidden="false" customHeight="false" outlineLevel="0" collapsed="false">
      <c r="A1253" s="32" t="str">
        <f aca="false">IF(L1253="","",ROW()-4)</f>
        <v/>
      </c>
      <c r="B1253" s="58" t="str">
        <f aca="false">IF(L1253="","",IF(INDEX(ポート振替表!$W$5:$W$3507,$L1253)="","(なし)",INDEX(ポート振替表!$W$5:$W$3507,$L1253)&amp;""))</f>
        <v/>
      </c>
      <c r="C1253" s="52" t="str">
        <f aca="false">IF(L1253="","",INDEX(ポート振替表!$B$5:$B$3507,$L1253)&amp;" "&amp;INDEX(ポート振替表!$C$5:$C$3507,$L1253)&amp;"  ⇔  "&amp;INDEX(ポート振替表!$H$5:$H$3507,$L1253)&amp;" "&amp;INDEX(ポート振替表!$I$5:$I$3507,$L1253))</f>
        <v/>
      </c>
      <c r="D1253" s="57" t="s">
        <v>158</v>
      </c>
      <c r="E1253" s="59" t="str">
        <f aca="false">IF(L1253="","",IF(INDEX(ポート振替表!$O$5:$O$3507,$L1253)="","(未設定)",INDEX(ポート振替表!$O$5:$O$3507,$L1253)&amp;""))</f>
        <v/>
      </c>
      <c r="F1253" s="52" t="str">
        <f aca="false">IF(L1253="","",INDEX(ポート振替表!$K$5:$K$3507,$L1253)&amp;" "&amp;INDEX(ポート振替表!$L$5:$L$3507,$L1253)&amp;"  ⇔  "&amp;INDEX(ポート振替表!$H$5:$H$3507,$L1253)&amp;" "&amp;INDEX(ポート振替表!$I$5:$I$3507,$L1253))</f>
        <v/>
      </c>
      <c r="G1253" s="57" t="s">
        <v>158</v>
      </c>
      <c r="H1253" s="32" t="str">
        <f aca="false">IF(L1253="","",INDEX(ポート振替表!$N$5:$N$3507,$L1253)&amp;"")</f>
        <v/>
      </c>
      <c r="I1253" s="32" t="str">
        <f aca="false">IF(L1253="","",INDEX(ポート振替表!$P$5:$P$3507,$L1253)&amp;"")</f>
        <v/>
      </c>
      <c r="J1253" s="60" t="str">
        <f aca="false">IF(L1253="","",INDEX(ポート振替表!$M$5:$M$3507,$L1253)&amp;"")</f>
        <v/>
      </c>
      <c r="K1253" s="52" t="str">
        <f aca="false">IF(L1253="","",E1253&amp;CHAR(10)&amp;INDEX(ポート振替表!$K$5:$K$3507,$L1253)&amp;" "&amp;INDEX(ポート振替表!$L$5:$L$3507,$L1253)&amp;CHAR(10)&amp;"⇔ "&amp;INDEX(ポート振替表!$H$5:$H$3507,$L1253)&amp;" "&amp;INDEX(ポート振替表!$I$5:$I$3507,$L1253))</f>
        <v/>
      </c>
      <c r="L1253" s="47" t="str">
        <f aca="false">IFERROR(MATCH(ROW()-4,ポート振替表!$V$5:$V$3507,0),"")</f>
        <v/>
      </c>
    </row>
    <row r="1254" customFormat="false" ht="16.4" hidden="false" customHeight="false" outlineLevel="0" collapsed="false">
      <c r="A1254" s="32" t="str">
        <f aca="false">IF(L1254="","",ROW()-4)</f>
        <v/>
      </c>
      <c r="B1254" s="58" t="str">
        <f aca="false">IF(L1254="","",IF(INDEX(ポート振替表!$W$5:$W$3507,$L1254)="","(なし)",INDEX(ポート振替表!$W$5:$W$3507,$L1254)&amp;""))</f>
        <v/>
      </c>
      <c r="C1254" s="52" t="str">
        <f aca="false">IF(L1254="","",INDEX(ポート振替表!$B$5:$B$3507,$L1254)&amp;" "&amp;INDEX(ポート振替表!$C$5:$C$3507,$L1254)&amp;"  ⇔  "&amp;INDEX(ポート振替表!$H$5:$H$3507,$L1254)&amp;" "&amp;INDEX(ポート振替表!$I$5:$I$3507,$L1254))</f>
        <v/>
      </c>
      <c r="D1254" s="57" t="s">
        <v>158</v>
      </c>
      <c r="E1254" s="59" t="str">
        <f aca="false">IF(L1254="","",IF(INDEX(ポート振替表!$O$5:$O$3507,$L1254)="","(未設定)",INDEX(ポート振替表!$O$5:$O$3507,$L1254)&amp;""))</f>
        <v/>
      </c>
      <c r="F1254" s="52" t="str">
        <f aca="false">IF(L1254="","",INDEX(ポート振替表!$K$5:$K$3507,$L1254)&amp;" "&amp;INDEX(ポート振替表!$L$5:$L$3507,$L1254)&amp;"  ⇔  "&amp;INDEX(ポート振替表!$H$5:$H$3507,$L1254)&amp;" "&amp;INDEX(ポート振替表!$I$5:$I$3507,$L1254))</f>
        <v/>
      </c>
      <c r="G1254" s="57" t="s">
        <v>158</v>
      </c>
      <c r="H1254" s="32" t="str">
        <f aca="false">IF(L1254="","",INDEX(ポート振替表!$N$5:$N$3507,$L1254)&amp;"")</f>
        <v/>
      </c>
      <c r="I1254" s="32" t="str">
        <f aca="false">IF(L1254="","",INDEX(ポート振替表!$P$5:$P$3507,$L1254)&amp;"")</f>
        <v/>
      </c>
      <c r="J1254" s="60" t="str">
        <f aca="false">IF(L1254="","",INDEX(ポート振替表!$M$5:$M$3507,$L1254)&amp;"")</f>
        <v/>
      </c>
      <c r="K1254" s="52" t="str">
        <f aca="false">IF(L1254="","",E1254&amp;CHAR(10)&amp;INDEX(ポート振替表!$K$5:$K$3507,$L1254)&amp;" "&amp;INDEX(ポート振替表!$L$5:$L$3507,$L1254)&amp;CHAR(10)&amp;"⇔ "&amp;INDEX(ポート振替表!$H$5:$H$3507,$L1254)&amp;" "&amp;INDEX(ポート振替表!$I$5:$I$3507,$L1254))</f>
        <v/>
      </c>
      <c r="L1254" s="47" t="str">
        <f aca="false">IFERROR(MATCH(ROW()-4,ポート振替表!$V$5:$V$3507,0),"")</f>
        <v/>
      </c>
    </row>
    <row r="1255" customFormat="false" ht="16.4" hidden="false" customHeight="false" outlineLevel="0" collapsed="false">
      <c r="A1255" s="32" t="str">
        <f aca="false">IF(L1255="","",ROW()-4)</f>
        <v/>
      </c>
      <c r="B1255" s="58" t="str">
        <f aca="false">IF(L1255="","",IF(INDEX(ポート振替表!$W$5:$W$3507,$L1255)="","(なし)",INDEX(ポート振替表!$W$5:$W$3507,$L1255)&amp;""))</f>
        <v/>
      </c>
      <c r="C1255" s="52" t="str">
        <f aca="false">IF(L1255="","",INDEX(ポート振替表!$B$5:$B$3507,$L1255)&amp;" "&amp;INDEX(ポート振替表!$C$5:$C$3507,$L1255)&amp;"  ⇔  "&amp;INDEX(ポート振替表!$H$5:$H$3507,$L1255)&amp;" "&amp;INDEX(ポート振替表!$I$5:$I$3507,$L1255))</f>
        <v/>
      </c>
      <c r="D1255" s="57" t="s">
        <v>158</v>
      </c>
      <c r="E1255" s="59" t="str">
        <f aca="false">IF(L1255="","",IF(INDEX(ポート振替表!$O$5:$O$3507,$L1255)="","(未設定)",INDEX(ポート振替表!$O$5:$O$3507,$L1255)&amp;""))</f>
        <v/>
      </c>
      <c r="F1255" s="52" t="str">
        <f aca="false">IF(L1255="","",INDEX(ポート振替表!$K$5:$K$3507,$L1255)&amp;" "&amp;INDEX(ポート振替表!$L$5:$L$3507,$L1255)&amp;"  ⇔  "&amp;INDEX(ポート振替表!$H$5:$H$3507,$L1255)&amp;" "&amp;INDEX(ポート振替表!$I$5:$I$3507,$L1255))</f>
        <v/>
      </c>
      <c r="G1255" s="57" t="s">
        <v>158</v>
      </c>
      <c r="H1255" s="32" t="str">
        <f aca="false">IF(L1255="","",INDEX(ポート振替表!$N$5:$N$3507,$L1255)&amp;"")</f>
        <v/>
      </c>
      <c r="I1255" s="32" t="str">
        <f aca="false">IF(L1255="","",INDEX(ポート振替表!$P$5:$P$3507,$L1255)&amp;"")</f>
        <v/>
      </c>
      <c r="J1255" s="60" t="str">
        <f aca="false">IF(L1255="","",INDEX(ポート振替表!$M$5:$M$3507,$L1255)&amp;"")</f>
        <v/>
      </c>
      <c r="K1255" s="52" t="str">
        <f aca="false">IF(L1255="","",E1255&amp;CHAR(10)&amp;INDEX(ポート振替表!$K$5:$K$3507,$L1255)&amp;" "&amp;INDEX(ポート振替表!$L$5:$L$3507,$L1255)&amp;CHAR(10)&amp;"⇔ "&amp;INDEX(ポート振替表!$H$5:$H$3507,$L1255)&amp;" "&amp;INDEX(ポート振替表!$I$5:$I$3507,$L1255))</f>
        <v/>
      </c>
      <c r="L1255" s="47" t="str">
        <f aca="false">IFERROR(MATCH(ROW()-4,ポート振替表!$V$5:$V$3507,0),"")</f>
        <v/>
      </c>
    </row>
    <row r="1256" customFormat="false" ht="16.4" hidden="false" customHeight="false" outlineLevel="0" collapsed="false">
      <c r="A1256" s="32" t="str">
        <f aca="false">IF(L1256="","",ROW()-4)</f>
        <v/>
      </c>
      <c r="B1256" s="58" t="str">
        <f aca="false">IF(L1256="","",IF(INDEX(ポート振替表!$W$5:$W$3507,$L1256)="","(なし)",INDEX(ポート振替表!$W$5:$W$3507,$L1256)&amp;""))</f>
        <v/>
      </c>
      <c r="C1256" s="52" t="str">
        <f aca="false">IF(L1256="","",INDEX(ポート振替表!$B$5:$B$3507,$L1256)&amp;" "&amp;INDEX(ポート振替表!$C$5:$C$3507,$L1256)&amp;"  ⇔  "&amp;INDEX(ポート振替表!$H$5:$H$3507,$L1256)&amp;" "&amp;INDEX(ポート振替表!$I$5:$I$3507,$L1256))</f>
        <v/>
      </c>
      <c r="D1256" s="57" t="s">
        <v>158</v>
      </c>
      <c r="E1256" s="59" t="str">
        <f aca="false">IF(L1256="","",IF(INDEX(ポート振替表!$O$5:$O$3507,$L1256)="","(未設定)",INDEX(ポート振替表!$O$5:$O$3507,$L1256)&amp;""))</f>
        <v/>
      </c>
      <c r="F1256" s="52" t="str">
        <f aca="false">IF(L1256="","",INDEX(ポート振替表!$K$5:$K$3507,$L1256)&amp;" "&amp;INDEX(ポート振替表!$L$5:$L$3507,$L1256)&amp;"  ⇔  "&amp;INDEX(ポート振替表!$H$5:$H$3507,$L1256)&amp;" "&amp;INDEX(ポート振替表!$I$5:$I$3507,$L1256))</f>
        <v/>
      </c>
      <c r="G1256" s="57" t="s">
        <v>158</v>
      </c>
      <c r="H1256" s="32" t="str">
        <f aca="false">IF(L1256="","",INDEX(ポート振替表!$N$5:$N$3507,$L1256)&amp;"")</f>
        <v/>
      </c>
      <c r="I1256" s="32" t="str">
        <f aca="false">IF(L1256="","",INDEX(ポート振替表!$P$5:$P$3507,$L1256)&amp;"")</f>
        <v/>
      </c>
      <c r="J1256" s="60" t="str">
        <f aca="false">IF(L1256="","",INDEX(ポート振替表!$M$5:$M$3507,$L1256)&amp;"")</f>
        <v/>
      </c>
      <c r="K1256" s="52" t="str">
        <f aca="false">IF(L1256="","",E1256&amp;CHAR(10)&amp;INDEX(ポート振替表!$K$5:$K$3507,$L1256)&amp;" "&amp;INDEX(ポート振替表!$L$5:$L$3507,$L1256)&amp;CHAR(10)&amp;"⇔ "&amp;INDEX(ポート振替表!$H$5:$H$3507,$L1256)&amp;" "&amp;INDEX(ポート振替表!$I$5:$I$3507,$L1256))</f>
        <v/>
      </c>
      <c r="L1256" s="47" t="str">
        <f aca="false">IFERROR(MATCH(ROW()-4,ポート振替表!$V$5:$V$3507,0),"")</f>
        <v/>
      </c>
    </row>
    <row r="1257" customFormat="false" ht="16.4" hidden="false" customHeight="false" outlineLevel="0" collapsed="false">
      <c r="A1257" s="32" t="str">
        <f aca="false">IF(L1257="","",ROW()-4)</f>
        <v/>
      </c>
      <c r="B1257" s="58" t="str">
        <f aca="false">IF(L1257="","",IF(INDEX(ポート振替表!$W$5:$W$3507,$L1257)="","(なし)",INDEX(ポート振替表!$W$5:$W$3507,$L1257)&amp;""))</f>
        <v/>
      </c>
      <c r="C1257" s="52" t="str">
        <f aca="false">IF(L1257="","",INDEX(ポート振替表!$B$5:$B$3507,$L1257)&amp;" "&amp;INDEX(ポート振替表!$C$5:$C$3507,$L1257)&amp;"  ⇔  "&amp;INDEX(ポート振替表!$H$5:$H$3507,$L1257)&amp;" "&amp;INDEX(ポート振替表!$I$5:$I$3507,$L1257))</f>
        <v/>
      </c>
      <c r="D1257" s="57" t="s">
        <v>158</v>
      </c>
      <c r="E1257" s="59" t="str">
        <f aca="false">IF(L1257="","",IF(INDEX(ポート振替表!$O$5:$O$3507,$L1257)="","(未設定)",INDEX(ポート振替表!$O$5:$O$3507,$L1257)&amp;""))</f>
        <v/>
      </c>
      <c r="F1257" s="52" t="str">
        <f aca="false">IF(L1257="","",INDEX(ポート振替表!$K$5:$K$3507,$L1257)&amp;" "&amp;INDEX(ポート振替表!$L$5:$L$3507,$L1257)&amp;"  ⇔  "&amp;INDEX(ポート振替表!$H$5:$H$3507,$L1257)&amp;" "&amp;INDEX(ポート振替表!$I$5:$I$3507,$L1257))</f>
        <v/>
      </c>
      <c r="G1257" s="57" t="s">
        <v>158</v>
      </c>
      <c r="H1257" s="32" t="str">
        <f aca="false">IF(L1257="","",INDEX(ポート振替表!$N$5:$N$3507,$L1257)&amp;"")</f>
        <v/>
      </c>
      <c r="I1257" s="32" t="str">
        <f aca="false">IF(L1257="","",INDEX(ポート振替表!$P$5:$P$3507,$L1257)&amp;"")</f>
        <v/>
      </c>
      <c r="J1257" s="60" t="str">
        <f aca="false">IF(L1257="","",INDEX(ポート振替表!$M$5:$M$3507,$L1257)&amp;"")</f>
        <v/>
      </c>
      <c r="K1257" s="52" t="str">
        <f aca="false">IF(L1257="","",E1257&amp;CHAR(10)&amp;INDEX(ポート振替表!$K$5:$K$3507,$L1257)&amp;" "&amp;INDEX(ポート振替表!$L$5:$L$3507,$L1257)&amp;CHAR(10)&amp;"⇔ "&amp;INDEX(ポート振替表!$H$5:$H$3507,$L1257)&amp;" "&amp;INDEX(ポート振替表!$I$5:$I$3507,$L1257))</f>
        <v/>
      </c>
      <c r="L1257" s="47" t="str">
        <f aca="false">IFERROR(MATCH(ROW()-4,ポート振替表!$V$5:$V$3507,0),"")</f>
        <v/>
      </c>
    </row>
    <row r="1258" customFormat="false" ht="16.4" hidden="false" customHeight="false" outlineLevel="0" collapsed="false">
      <c r="A1258" s="32" t="str">
        <f aca="false">IF(L1258="","",ROW()-4)</f>
        <v/>
      </c>
      <c r="B1258" s="58" t="str">
        <f aca="false">IF(L1258="","",IF(INDEX(ポート振替表!$W$5:$W$3507,$L1258)="","(なし)",INDEX(ポート振替表!$W$5:$W$3507,$L1258)&amp;""))</f>
        <v/>
      </c>
      <c r="C1258" s="52" t="str">
        <f aca="false">IF(L1258="","",INDEX(ポート振替表!$B$5:$B$3507,$L1258)&amp;" "&amp;INDEX(ポート振替表!$C$5:$C$3507,$L1258)&amp;"  ⇔  "&amp;INDEX(ポート振替表!$H$5:$H$3507,$L1258)&amp;" "&amp;INDEX(ポート振替表!$I$5:$I$3507,$L1258))</f>
        <v/>
      </c>
      <c r="D1258" s="57" t="s">
        <v>158</v>
      </c>
      <c r="E1258" s="59" t="str">
        <f aca="false">IF(L1258="","",IF(INDEX(ポート振替表!$O$5:$O$3507,$L1258)="","(未設定)",INDEX(ポート振替表!$O$5:$O$3507,$L1258)&amp;""))</f>
        <v/>
      </c>
      <c r="F1258" s="52" t="str">
        <f aca="false">IF(L1258="","",INDEX(ポート振替表!$K$5:$K$3507,$L1258)&amp;" "&amp;INDEX(ポート振替表!$L$5:$L$3507,$L1258)&amp;"  ⇔  "&amp;INDEX(ポート振替表!$H$5:$H$3507,$L1258)&amp;" "&amp;INDEX(ポート振替表!$I$5:$I$3507,$L1258))</f>
        <v/>
      </c>
      <c r="G1258" s="57" t="s">
        <v>158</v>
      </c>
      <c r="H1258" s="32" t="str">
        <f aca="false">IF(L1258="","",INDEX(ポート振替表!$N$5:$N$3507,$L1258)&amp;"")</f>
        <v/>
      </c>
      <c r="I1258" s="32" t="str">
        <f aca="false">IF(L1258="","",INDEX(ポート振替表!$P$5:$P$3507,$L1258)&amp;"")</f>
        <v/>
      </c>
      <c r="J1258" s="60" t="str">
        <f aca="false">IF(L1258="","",INDEX(ポート振替表!$M$5:$M$3507,$L1258)&amp;"")</f>
        <v/>
      </c>
      <c r="K1258" s="52" t="str">
        <f aca="false">IF(L1258="","",E1258&amp;CHAR(10)&amp;INDEX(ポート振替表!$K$5:$K$3507,$L1258)&amp;" "&amp;INDEX(ポート振替表!$L$5:$L$3507,$L1258)&amp;CHAR(10)&amp;"⇔ "&amp;INDEX(ポート振替表!$H$5:$H$3507,$L1258)&amp;" "&amp;INDEX(ポート振替表!$I$5:$I$3507,$L1258))</f>
        <v/>
      </c>
      <c r="L1258" s="47" t="str">
        <f aca="false">IFERROR(MATCH(ROW()-4,ポート振替表!$V$5:$V$3507,0),"")</f>
        <v/>
      </c>
    </row>
    <row r="1259" customFormat="false" ht="16.4" hidden="false" customHeight="false" outlineLevel="0" collapsed="false">
      <c r="A1259" s="32" t="str">
        <f aca="false">IF(L1259="","",ROW()-4)</f>
        <v/>
      </c>
      <c r="B1259" s="58" t="str">
        <f aca="false">IF(L1259="","",IF(INDEX(ポート振替表!$W$5:$W$3507,$L1259)="","(なし)",INDEX(ポート振替表!$W$5:$W$3507,$L1259)&amp;""))</f>
        <v/>
      </c>
      <c r="C1259" s="52" t="str">
        <f aca="false">IF(L1259="","",INDEX(ポート振替表!$B$5:$B$3507,$L1259)&amp;" "&amp;INDEX(ポート振替表!$C$5:$C$3507,$L1259)&amp;"  ⇔  "&amp;INDEX(ポート振替表!$H$5:$H$3507,$L1259)&amp;" "&amp;INDEX(ポート振替表!$I$5:$I$3507,$L1259))</f>
        <v/>
      </c>
      <c r="D1259" s="57" t="s">
        <v>158</v>
      </c>
      <c r="E1259" s="59" t="str">
        <f aca="false">IF(L1259="","",IF(INDEX(ポート振替表!$O$5:$O$3507,$L1259)="","(未設定)",INDEX(ポート振替表!$O$5:$O$3507,$L1259)&amp;""))</f>
        <v/>
      </c>
      <c r="F1259" s="52" t="str">
        <f aca="false">IF(L1259="","",INDEX(ポート振替表!$K$5:$K$3507,$L1259)&amp;" "&amp;INDEX(ポート振替表!$L$5:$L$3507,$L1259)&amp;"  ⇔  "&amp;INDEX(ポート振替表!$H$5:$H$3507,$L1259)&amp;" "&amp;INDEX(ポート振替表!$I$5:$I$3507,$L1259))</f>
        <v/>
      </c>
      <c r="G1259" s="57" t="s">
        <v>158</v>
      </c>
      <c r="H1259" s="32" t="str">
        <f aca="false">IF(L1259="","",INDEX(ポート振替表!$N$5:$N$3507,$L1259)&amp;"")</f>
        <v/>
      </c>
      <c r="I1259" s="32" t="str">
        <f aca="false">IF(L1259="","",INDEX(ポート振替表!$P$5:$P$3507,$L1259)&amp;"")</f>
        <v/>
      </c>
      <c r="J1259" s="60" t="str">
        <f aca="false">IF(L1259="","",INDEX(ポート振替表!$M$5:$M$3507,$L1259)&amp;"")</f>
        <v/>
      </c>
      <c r="K1259" s="52" t="str">
        <f aca="false">IF(L1259="","",E1259&amp;CHAR(10)&amp;INDEX(ポート振替表!$K$5:$K$3507,$L1259)&amp;" "&amp;INDEX(ポート振替表!$L$5:$L$3507,$L1259)&amp;CHAR(10)&amp;"⇔ "&amp;INDEX(ポート振替表!$H$5:$H$3507,$L1259)&amp;" "&amp;INDEX(ポート振替表!$I$5:$I$3507,$L1259))</f>
        <v/>
      </c>
      <c r="L1259" s="47" t="str">
        <f aca="false">IFERROR(MATCH(ROW()-4,ポート振替表!$V$5:$V$3507,0),"")</f>
        <v/>
      </c>
    </row>
    <row r="1260" customFormat="false" ht="16.4" hidden="false" customHeight="false" outlineLevel="0" collapsed="false">
      <c r="A1260" s="32" t="str">
        <f aca="false">IF(L1260="","",ROW()-4)</f>
        <v/>
      </c>
      <c r="B1260" s="58" t="str">
        <f aca="false">IF(L1260="","",IF(INDEX(ポート振替表!$W$5:$W$3507,$L1260)="","(なし)",INDEX(ポート振替表!$W$5:$W$3507,$L1260)&amp;""))</f>
        <v/>
      </c>
      <c r="C1260" s="52" t="str">
        <f aca="false">IF(L1260="","",INDEX(ポート振替表!$B$5:$B$3507,$L1260)&amp;" "&amp;INDEX(ポート振替表!$C$5:$C$3507,$L1260)&amp;"  ⇔  "&amp;INDEX(ポート振替表!$H$5:$H$3507,$L1260)&amp;" "&amp;INDEX(ポート振替表!$I$5:$I$3507,$L1260))</f>
        <v/>
      </c>
      <c r="D1260" s="57" t="s">
        <v>158</v>
      </c>
      <c r="E1260" s="59" t="str">
        <f aca="false">IF(L1260="","",IF(INDEX(ポート振替表!$O$5:$O$3507,$L1260)="","(未設定)",INDEX(ポート振替表!$O$5:$O$3507,$L1260)&amp;""))</f>
        <v/>
      </c>
      <c r="F1260" s="52" t="str">
        <f aca="false">IF(L1260="","",INDEX(ポート振替表!$K$5:$K$3507,$L1260)&amp;" "&amp;INDEX(ポート振替表!$L$5:$L$3507,$L1260)&amp;"  ⇔  "&amp;INDEX(ポート振替表!$H$5:$H$3507,$L1260)&amp;" "&amp;INDEX(ポート振替表!$I$5:$I$3507,$L1260))</f>
        <v/>
      </c>
      <c r="G1260" s="57" t="s">
        <v>158</v>
      </c>
      <c r="H1260" s="32" t="str">
        <f aca="false">IF(L1260="","",INDEX(ポート振替表!$N$5:$N$3507,$L1260)&amp;"")</f>
        <v/>
      </c>
      <c r="I1260" s="32" t="str">
        <f aca="false">IF(L1260="","",INDEX(ポート振替表!$P$5:$P$3507,$L1260)&amp;"")</f>
        <v/>
      </c>
      <c r="J1260" s="60" t="str">
        <f aca="false">IF(L1260="","",INDEX(ポート振替表!$M$5:$M$3507,$L1260)&amp;"")</f>
        <v/>
      </c>
      <c r="K1260" s="52" t="str">
        <f aca="false">IF(L1260="","",E1260&amp;CHAR(10)&amp;INDEX(ポート振替表!$K$5:$K$3507,$L1260)&amp;" "&amp;INDEX(ポート振替表!$L$5:$L$3507,$L1260)&amp;CHAR(10)&amp;"⇔ "&amp;INDEX(ポート振替表!$H$5:$H$3507,$L1260)&amp;" "&amp;INDEX(ポート振替表!$I$5:$I$3507,$L1260))</f>
        <v/>
      </c>
      <c r="L1260" s="47" t="str">
        <f aca="false">IFERROR(MATCH(ROW()-4,ポート振替表!$V$5:$V$3507,0),"")</f>
        <v/>
      </c>
    </row>
    <row r="1261" customFormat="false" ht="16.4" hidden="false" customHeight="false" outlineLevel="0" collapsed="false">
      <c r="A1261" s="32" t="str">
        <f aca="false">IF(L1261="","",ROW()-4)</f>
        <v/>
      </c>
      <c r="B1261" s="58" t="str">
        <f aca="false">IF(L1261="","",IF(INDEX(ポート振替表!$W$5:$W$3507,$L1261)="","(なし)",INDEX(ポート振替表!$W$5:$W$3507,$L1261)&amp;""))</f>
        <v/>
      </c>
      <c r="C1261" s="52" t="str">
        <f aca="false">IF(L1261="","",INDEX(ポート振替表!$B$5:$B$3507,$L1261)&amp;" "&amp;INDEX(ポート振替表!$C$5:$C$3507,$L1261)&amp;"  ⇔  "&amp;INDEX(ポート振替表!$H$5:$H$3507,$L1261)&amp;" "&amp;INDEX(ポート振替表!$I$5:$I$3507,$L1261))</f>
        <v/>
      </c>
      <c r="D1261" s="57" t="s">
        <v>158</v>
      </c>
      <c r="E1261" s="59" t="str">
        <f aca="false">IF(L1261="","",IF(INDEX(ポート振替表!$O$5:$O$3507,$L1261)="","(未設定)",INDEX(ポート振替表!$O$5:$O$3507,$L1261)&amp;""))</f>
        <v/>
      </c>
      <c r="F1261" s="52" t="str">
        <f aca="false">IF(L1261="","",INDEX(ポート振替表!$K$5:$K$3507,$L1261)&amp;" "&amp;INDEX(ポート振替表!$L$5:$L$3507,$L1261)&amp;"  ⇔  "&amp;INDEX(ポート振替表!$H$5:$H$3507,$L1261)&amp;" "&amp;INDEX(ポート振替表!$I$5:$I$3507,$L1261))</f>
        <v/>
      </c>
      <c r="G1261" s="57" t="s">
        <v>158</v>
      </c>
      <c r="H1261" s="32" t="str">
        <f aca="false">IF(L1261="","",INDEX(ポート振替表!$N$5:$N$3507,$L1261)&amp;"")</f>
        <v/>
      </c>
      <c r="I1261" s="32" t="str">
        <f aca="false">IF(L1261="","",INDEX(ポート振替表!$P$5:$P$3507,$L1261)&amp;"")</f>
        <v/>
      </c>
      <c r="J1261" s="60" t="str">
        <f aca="false">IF(L1261="","",INDEX(ポート振替表!$M$5:$M$3507,$L1261)&amp;"")</f>
        <v/>
      </c>
      <c r="K1261" s="52" t="str">
        <f aca="false">IF(L1261="","",E1261&amp;CHAR(10)&amp;INDEX(ポート振替表!$K$5:$K$3507,$L1261)&amp;" "&amp;INDEX(ポート振替表!$L$5:$L$3507,$L1261)&amp;CHAR(10)&amp;"⇔ "&amp;INDEX(ポート振替表!$H$5:$H$3507,$L1261)&amp;" "&amp;INDEX(ポート振替表!$I$5:$I$3507,$L1261))</f>
        <v/>
      </c>
      <c r="L1261" s="47" t="str">
        <f aca="false">IFERROR(MATCH(ROW()-4,ポート振替表!$V$5:$V$3507,0),"")</f>
        <v/>
      </c>
    </row>
    <row r="1262" customFormat="false" ht="16.4" hidden="false" customHeight="false" outlineLevel="0" collapsed="false">
      <c r="A1262" s="32" t="str">
        <f aca="false">IF(L1262="","",ROW()-4)</f>
        <v/>
      </c>
      <c r="B1262" s="58" t="str">
        <f aca="false">IF(L1262="","",IF(INDEX(ポート振替表!$W$5:$W$3507,$L1262)="","(なし)",INDEX(ポート振替表!$W$5:$W$3507,$L1262)&amp;""))</f>
        <v/>
      </c>
      <c r="C1262" s="52" t="str">
        <f aca="false">IF(L1262="","",INDEX(ポート振替表!$B$5:$B$3507,$L1262)&amp;" "&amp;INDEX(ポート振替表!$C$5:$C$3507,$L1262)&amp;"  ⇔  "&amp;INDEX(ポート振替表!$H$5:$H$3507,$L1262)&amp;" "&amp;INDEX(ポート振替表!$I$5:$I$3507,$L1262))</f>
        <v/>
      </c>
      <c r="D1262" s="57" t="s">
        <v>158</v>
      </c>
      <c r="E1262" s="59" t="str">
        <f aca="false">IF(L1262="","",IF(INDEX(ポート振替表!$O$5:$O$3507,$L1262)="","(未設定)",INDEX(ポート振替表!$O$5:$O$3507,$L1262)&amp;""))</f>
        <v/>
      </c>
      <c r="F1262" s="52" t="str">
        <f aca="false">IF(L1262="","",INDEX(ポート振替表!$K$5:$K$3507,$L1262)&amp;" "&amp;INDEX(ポート振替表!$L$5:$L$3507,$L1262)&amp;"  ⇔  "&amp;INDEX(ポート振替表!$H$5:$H$3507,$L1262)&amp;" "&amp;INDEX(ポート振替表!$I$5:$I$3507,$L1262))</f>
        <v/>
      </c>
      <c r="G1262" s="57" t="s">
        <v>158</v>
      </c>
      <c r="H1262" s="32" t="str">
        <f aca="false">IF(L1262="","",INDEX(ポート振替表!$N$5:$N$3507,$L1262)&amp;"")</f>
        <v/>
      </c>
      <c r="I1262" s="32" t="str">
        <f aca="false">IF(L1262="","",INDEX(ポート振替表!$P$5:$P$3507,$L1262)&amp;"")</f>
        <v/>
      </c>
      <c r="J1262" s="60" t="str">
        <f aca="false">IF(L1262="","",INDEX(ポート振替表!$M$5:$M$3507,$L1262)&amp;"")</f>
        <v/>
      </c>
      <c r="K1262" s="52" t="str">
        <f aca="false">IF(L1262="","",E1262&amp;CHAR(10)&amp;INDEX(ポート振替表!$K$5:$K$3507,$L1262)&amp;" "&amp;INDEX(ポート振替表!$L$5:$L$3507,$L1262)&amp;CHAR(10)&amp;"⇔ "&amp;INDEX(ポート振替表!$H$5:$H$3507,$L1262)&amp;" "&amp;INDEX(ポート振替表!$I$5:$I$3507,$L1262))</f>
        <v/>
      </c>
      <c r="L1262" s="47" t="str">
        <f aca="false">IFERROR(MATCH(ROW()-4,ポート振替表!$V$5:$V$3507,0),"")</f>
        <v/>
      </c>
    </row>
    <row r="1263" customFormat="false" ht="16.4" hidden="false" customHeight="false" outlineLevel="0" collapsed="false">
      <c r="A1263" s="32" t="str">
        <f aca="false">IF(L1263="","",ROW()-4)</f>
        <v/>
      </c>
      <c r="B1263" s="58" t="str">
        <f aca="false">IF(L1263="","",IF(INDEX(ポート振替表!$W$5:$W$3507,$L1263)="","(なし)",INDEX(ポート振替表!$W$5:$W$3507,$L1263)&amp;""))</f>
        <v/>
      </c>
      <c r="C1263" s="52" t="str">
        <f aca="false">IF(L1263="","",INDEX(ポート振替表!$B$5:$B$3507,$L1263)&amp;" "&amp;INDEX(ポート振替表!$C$5:$C$3507,$L1263)&amp;"  ⇔  "&amp;INDEX(ポート振替表!$H$5:$H$3507,$L1263)&amp;" "&amp;INDEX(ポート振替表!$I$5:$I$3507,$L1263))</f>
        <v/>
      </c>
      <c r="D1263" s="57" t="s">
        <v>158</v>
      </c>
      <c r="E1263" s="59" t="str">
        <f aca="false">IF(L1263="","",IF(INDEX(ポート振替表!$O$5:$O$3507,$L1263)="","(未設定)",INDEX(ポート振替表!$O$5:$O$3507,$L1263)&amp;""))</f>
        <v/>
      </c>
      <c r="F1263" s="52" t="str">
        <f aca="false">IF(L1263="","",INDEX(ポート振替表!$K$5:$K$3507,$L1263)&amp;" "&amp;INDEX(ポート振替表!$L$5:$L$3507,$L1263)&amp;"  ⇔  "&amp;INDEX(ポート振替表!$H$5:$H$3507,$L1263)&amp;" "&amp;INDEX(ポート振替表!$I$5:$I$3507,$L1263))</f>
        <v/>
      </c>
      <c r="G1263" s="57" t="s">
        <v>158</v>
      </c>
      <c r="H1263" s="32" t="str">
        <f aca="false">IF(L1263="","",INDEX(ポート振替表!$N$5:$N$3507,$L1263)&amp;"")</f>
        <v/>
      </c>
      <c r="I1263" s="32" t="str">
        <f aca="false">IF(L1263="","",INDEX(ポート振替表!$P$5:$P$3507,$L1263)&amp;"")</f>
        <v/>
      </c>
      <c r="J1263" s="60" t="str">
        <f aca="false">IF(L1263="","",INDEX(ポート振替表!$M$5:$M$3507,$L1263)&amp;"")</f>
        <v/>
      </c>
      <c r="K1263" s="52" t="str">
        <f aca="false">IF(L1263="","",E1263&amp;CHAR(10)&amp;INDEX(ポート振替表!$K$5:$K$3507,$L1263)&amp;" "&amp;INDEX(ポート振替表!$L$5:$L$3507,$L1263)&amp;CHAR(10)&amp;"⇔ "&amp;INDEX(ポート振替表!$H$5:$H$3507,$L1263)&amp;" "&amp;INDEX(ポート振替表!$I$5:$I$3507,$L1263))</f>
        <v/>
      </c>
      <c r="L1263" s="47" t="str">
        <f aca="false">IFERROR(MATCH(ROW()-4,ポート振替表!$V$5:$V$3507,0),"")</f>
        <v/>
      </c>
    </row>
    <row r="1264" customFormat="false" ht="16.4" hidden="false" customHeight="false" outlineLevel="0" collapsed="false">
      <c r="A1264" s="32" t="str">
        <f aca="false">IF(L1264="","",ROW()-4)</f>
        <v/>
      </c>
      <c r="B1264" s="58" t="str">
        <f aca="false">IF(L1264="","",IF(INDEX(ポート振替表!$W$5:$W$3507,$L1264)="","(なし)",INDEX(ポート振替表!$W$5:$W$3507,$L1264)&amp;""))</f>
        <v/>
      </c>
      <c r="C1264" s="52" t="str">
        <f aca="false">IF(L1264="","",INDEX(ポート振替表!$B$5:$B$3507,$L1264)&amp;" "&amp;INDEX(ポート振替表!$C$5:$C$3507,$L1264)&amp;"  ⇔  "&amp;INDEX(ポート振替表!$H$5:$H$3507,$L1264)&amp;" "&amp;INDEX(ポート振替表!$I$5:$I$3507,$L1264))</f>
        <v/>
      </c>
      <c r="D1264" s="57" t="s">
        <v>158</v>
      </c>
      <c r="E1264" s="59" t="str">
        <f aca="false">IF(L1264="","",IF(INDEX(ポート振替表!$O$5:$O$3507,$L1264)="","(未設定)",INDEX(ポート振替表!$O$5:$O$3507,$L1264)&amp;""))</f>
        <v/>
      </c>
      <c r="F1264" s="52" t="str">
        <f aca="false">IF(L1264="","",INDEX(ポート振替表!$K$5:$K$3507,$L1264)&amp;" "&amp;INDEX(ポート振替表!$L$5:$L$3507,$L1264)&amp;"  ⇔  "&amp;INDEX(ポート振替表!$H$5:$H$3507,$L1264)&amp;" "&amp;INDEX(ポート振替表!$I$5:$I$3507,$L1264))</f>
        <v/>
      </c>
      <c r="G1264" s="57" t="s">
        <v>158</v>
      </c>
      <c r="H1264" s="32" t="str">
        <f aca="false">IF(L1264="","",INDEX(ポート振替表!$N$5:$N$3507,$L1264)&amp;"")</f>
        <v/>
      </c>
      <c r="I1264" s="32" t="str">
        <f aca="false">IF(L1264="","",INDEX(ポート振替表!$P$5:$P$3507,$L1264)&amp;"")</f>
        <v/>
      </c>
      <c r="J1264" s="60" t="str">
        <f aca="false">IF(L1264="","",INDEX(ポート振替表!$M$5:$M$3507,$L1264)&amp;"")</f>
        <v/>
      </c>
      <c r="K1264" s="52" t="str">
        <f aca="false">IF(L1264="","",E1264&amp;CHAR(10)&amp;INDEX(ポート振替表!$K$5:$K$3507,$L1264)&amp;" "&amp;INDEX(ポート振替表!$L$5:$L$3507,$L1264)&amp;CHAR(10)&amp;"⇔ "&amp;INDEX(ポート振替表!$H$5:$H$3507,$L1264)&amp;" "&amp;INDEX(ポート振替表!$I$5:$I$3507,$L1264))</f>
        <v/>
      </c>
      <c r="L1264" s="47" t="str">
        <f aca="false">IFERROR(MATCH(ROW()-4,ポート振替表!$V$5:$V$3507,0),"")</f>
        <v/>
      </c>
    </row>
    <row r="1265" customFormat="false" ht="16.4" hidden="false" customHeight="false" outlineLevel="0" collapsed="false">
      <c r="A1265" s="32" t="str">
        <f aca="false">IF(L1265="","",ROW()-4)</f>
        <v/>
      </c>
      <c r="B1265" s="58" t="str">
        <f aca="false">IF(L1265="","",IF(INDEX(ポート振替表!$W$5:$W$3507,$L1265)="","(なし)",INDEX(ポート振替表!$W$5:$W$3507,$L1265)&amp;""))</f>
        <v/>
      </c>
      <c r="C1265" s="52" t="str">
        <f aca="false">IF(L1265="","",INDEX(ポート振替表!$B$5:$B$3507,$L1265)&amp;" "&amp;INDEX(ポート振替表!$C$5:$C$3507,$L1265)&amp;"  ⇔  "&amp;INDEX(ポート振替表!$H$5:$H$3507,$L1265)&amp;" "&amp;INDEX(ポート振替表!$I$5:$I$3507,$L1265))</f>
        <v/>
      </c>
      <c r="D1265" s="57" t="s">
        <v>158</v>
      </c>
      <c r="E1265" s="59" t="str">
        <f aca="false">IF(L1265="","",IF(INDEX(ポート振替表!$O$5:$O$3507,$L1265)="","(未設定)",INDEX(ポート振替表!$O$5:$O$3507,$L1265)&amp;""))</f>
        <v/>
      </c>
      <c r="F1265" s="52" t="str">
        <f aca="false">IF(L1265="","",INDEX(ポート振替表!$K$5:$K$3507,$L1265)&amp;" "&amp;INDEX(ポート振替表!$L$5:$L$3507,$L1265)&amp;"  ⇔  "&amp;INDEX(ポート振替表!$H$5:$H$3507,$L1265)&amp;" "&amp;INDEX(ポート振替表!$I$5:$I$3507,$L1265))</f>
        <v/>
      </c>
      <c r="G1265" s="57" t="s">
        <v>158</v>
      </c>
      <c r="H1265" s="32" t="str">
        <f aca="false">IF(L1265="","",INDEX(ポート振替表!$N$5:$N$3507,$L1265)&amp;"")</f>
        <v/>
      </c>
      <c r="I1265" s="32" t="str">
        <f aca="false">IF(L1265="","",INDEX(ポート振替表!$P$5:$P$3507,$L1265)&amp;"")</f>
        <v/>
      </c>
      <c r="J1265" s="60" t="str">
        <f aca="false">IF(L1265="","",INDEX(ポート振替表!$M$5:$M$3507,$L1265)&amp;"")</f>
        <v/>
      </c>
      <c r="K1265" s="52" t="str">
        <f aca="false">IF(L1265="","",E1265&amp;CHAR(10)&amp;INDEX(ポート振替表!$K$5:$K$3507,$L1265)&amp;" "&amp;INDEX(ポート振替表!$L$5:$L$3507,$L1265)&amp;CHAR(10)&amp;"⇔ "&amp;INDEX(ポート振替表!$H$5:$H$3507,$L1265)&amp;" "&amp;INDEX(ポート振替表!$I$5:$I$3507,$L1265))</f>
        <v/>
      </c>
      <c r="L1265" s="47" t="str">
        <f aca="false">IFERROR(MATCH(ROW()-4,ポート振替表!$V$5:$V$3507,0),"")</f>
        <v/>
      </c>
    </row>
    <row r="1266" customFormat="false" ht="16.4" hidden="false" customHeight="false" outlineLevel="0" collapsed="false">
      <c r="A1266" s="32" t="str">
        <f aca="false">IF(L1266="","",ROW()-4)</f>
        <v/>
      </c>
      <c r="B1266" s="58" t="str">
        <f aca="false">IF(L1266="","",IF(INDEX(ポート振替表!$W$5:$W$3507,$L1266)="","(なし)",INDEX(ポート振替表!$W$5:$W$3507,$L1266)&amp;""))</f>
        <v/>
      </c>
      <c r="C1266" s="52" t="str">
        <f aca="false">IF(L1266="","",INDEX(ポート振替表!$B$5:$B$3507,$L1266)&amp;" "&amp;INDEX(ポート振替表!$C$5:$C$3507,$L1266)&amp;"  ⇔  "&amp;INDEX(ポート振替表!$H$5:$H$3507,$L1266)&amp;" "&amp;INDEX(ポート振替表!$I$5:$I$3507,$L1266))</f>
        <v/>
      </c>
      <c r="D1266" s="57" t="s">
        <v>158</v>
      </c>
      <c r="E1266" s="59" t="str">
        <f aca="false">IF(L1266="","",IF(INDEX(ポート振替表!$O$5:$O$3507,$L1266)="","(未設定)",INDEX(ポート振替表!$O$5:$O$3507,$L1266)&amp;""))</f>
        <v/>
      </c>
      <c r="F1266" s="52" t="str">
        <f aca="false">IF(L1266="","",INDEX(ポート振替表!$K$5:$K$3507,$L1266)&amp;" "&amp;INDEX(ポート振替表!$L$5:$L$3507,$L1266)&amp;"  ⇔  "&amp;INDEX(ポート振替表!$H$5:$H$3507,$L1266)&amp;" "&amp;INDEX(ポート振替表!$I$5:$I$3507,$L1266))</f>
        <v/>
      </c>
      <c r="G1266" s="57" t="s">
        <v>158</v>
      </c>
      <c r="H1266" s="32" t="str">
        <f aca="false">IF(L1266="","",INDEX(ポート振替表!$N$5:$N$3507,$L1266)&amp;"")</f>
        <v/>
      </c>
      <c r="I1266" s="32" t="str">
        <f aca="false">IF(L1266="","",INDEX(ポート振替表!$P$5:$P$3507,$L1266)&amp;"")</f>
        <v/>
      </c>
      <c r="J1266" s="60" t="str">
        <f aca="false">IF(L1266="","",INDEX(ポート振替表!$M$5:$M$3507,$L1266)&amp;"")</f>
        <v/>
      </c>
      <c r="K1266" s="52" t="str">
        <f aca="false">IF(L1266="","",E1266&amp;CHAR(10)&amp;INDEX(ポート振替表!$K$5:$K$3507,$L1266)&amp;" "&amp;INDEX(ポート振替表!$L$5:$L$3507,$L1266)&amp;CHAR(10)&amp;"⇔ "&amp;INDEX(ポート振替表!$H$5:$H$3507,$L1266)&amp;" "&amp;INDEX(ポート振替表!$I$5:$I$3507,$L1266))</f>
        <v/>
      </c>
      <c r="L1266" s="47" t="str">
        <f aca="false">IFERROR(MATCH(ROW()-4,ポート振替表!$V$5:$V$3507,0),"")</f>
        <v/>
      </c>
    </row>
    <row r="1267" customFormat="false" ht="16.4" hidden="false" customHeight="false" outlineLevel="0" collapsed="false">
      <c r="A1267" s="32" t="str">
        <f aca="false">IF(L1267="","",ROW()-4)</f>
        <v/>
      </c>
      <c r="B1267" s="58" t="str">
        <f aca="false">IF(L1267="","",IF(INDEX(ポート振替表!$W$5:$W$3507,$L1267)="","(なし)",INDEX(ポート振替表!$W$5:$W$3507,$L1267)&amp;""))</f>
        <v/>
      </c>
      <c r="C1267" s="52" t="str">
        <f aca="false">IF(L1267="","",INDEX(ポート振替表!$B$5:$B$3507,$L1267)&amp;" "&amp;INDEX(ポート振替表!$C$5:$C$3507,$L1267)&amp;"  ⇔  "&amp;INDEX(ポート振替表!$H$5:$H$3507,$L1267)&amp;" "&amp;INDEX(ポート振替表!$I$5:$I$3507,$L1267))</f>
        <v/>
      </c>
      <c r="D1267" s="57" t="s">
        <v>158</v>
      </c>
      <c r="E1267" s="59" t="str">
        <f aca="false">IF(L1267="","",IF(INDEX(ポート振替表!$O$5:$O$3507,$L1267)="","(未設定)",INDEX(ポート振替表!$O$5:$O$3507,$L1267)&amp;""))</f>
        <v/>
      </c>
      <c r="F1267" s="52" t="str">
        <f aca="false">IF(L1267="","",INDEX(ポート振替表!$K$5:$K$3507,$L1267)&amp;" "&amp;INDEX(ポート振替表!$L$5:$L$3507,$L1267)&amp;"  ⇔  "&amp;INDEX(ポート振替表!$H$5:$H$3507,$L1267)&amp;" "&amp;INDEX(ポート振替表!$I$5:$I$3507,$L1267))</f>
        <v/>
      </c>
      <c r="G1267" s="57" t="s">
        <v>158</v>
      </c>
      <c r="H1267" s="32" t="str">
        <f aca="false">IF(L1267="","",INDEX(ポート振替表!$N$5:$N$3507,$L1267)&amp;"")</f>
        <v/>
      </c>
      <c r="I1267" s="32" t="str">
        <f aca="false">IF(L1267="","",INDEX(ポート振替表!$P$5:$P$3507,$L1267)&amp;"")</f>
        <v/>
      </c>
      <c r="J1267" s="60" t="str">
        <f aca="false">IF(L1267="","",INDEX(ポート振替表!$M$5:$M$3507,$L1267)&amp;"")</f>
        <v/>
      </c>
      <c r="K1267" s="52" t="str">
        <f aca="false">IF(L1267="","",E1267&amp;CHAR(10)&amp;INDEX(ポート振替表!$K$5:$K$3507,$L1267)&amp;" "&amp;INDEX(ポート振替表!$L$5:$L$3507,$L1267)&amp;CHAR(10)&amp;"⇔ "&amp;INDEX(ポート振替表!$H$5:$H$3507,$L1267)&amp;" "&amp;INDEX(ポート振替表!$I$5:$I$3507,$L1267))</f>
        <v/>
      </c>
      <c r="L1267" s="47" t="str">
        <f aca="false">IFERROR(MATCH(ROW()-4,ポート振替表!$V$5:$V$3507,0),"")</f>
        <v/>
      </c>
    </row>
    <row r="1268" customFormat="false" ht="16.4" hidden="false" customHeight="false" outlineLevel="0" collapsed="false">
      <c r="A1268" s="32" t="str">
        <f aca="false">IF(L1268="","",ROW()-4)</f>
        <v/>
      </c>
      <c r="B1268" s="58" t="str">
        <f aca="false">IF(L1268="","",IF(INDEX(ポート振替表!$W$5:$W$3507,$L1268)="","(なし)",INDEX(ポート振替表!$W$5:$W$3507,$L1268)&amp;""))</f>
        <v/>
      </c>
      <c r="C1268" s="52" t="str">
        <f aca="false">IF(L1268="","",INDEX(ポート振替表!$B$5:$B$3507,$L1268)&amp;" "&amp;INDEX(ポート振替表!$C$5:$C$3507,$L1268)&amp;"  ⇔  "&amp;INDEX(ポート振替表!$H$5:$H$3507,$L1268)&amp;" "&amp;INDEX(ポート振替表!$I$5:$I$3507,$L1268))</f>
        <v/>
      </c>
      <c r="D1268" s="57" t="s">
        <v>158</v>
      </c>
      <c r="E1268" s="59" t="str">
        <f aca="false">IF(L1268="","",IF(INDEX(ポート振替表!$O$5:$O$3507,$L1268)="","(未設定)",INDEX(ポート振替表!$O$5:$O$3507,$L1268)&amp;""))</f>
        <v/>
      </c>
      <c r="F1268" s="52" t="str">
        <f aca="false">IF(L1268="","",INDEX(ポート振替表!$K$5:$K$3507,$L1268)&amp;" "&amp;INDEX(ポート振替表!$L$5:$L$3507,$L1268)&amp;"  ⇔  "&amp;INDEX(ポート振替表!$H$5:$H$3507,$L1268)&amp;" "&amp;INDEX(ポート振替表!$I$5:$I$3507,$L1268))</f>
        <v/>
      </c>
      <c r="G1268" s="57" t="s">
        <v>158</v>
      </c>
      <c r="H1268" s="32" t="str">
        <f aca="false">IF(L1268="","",INDEX(ポート振替表!$N$5:$N$3507,$L1268)&amp;"")</f>
        <v/>
      </c>
      <c r="I1268" s="32" t="str">
        <f aca="false">IF(L1268="","",INDEX(ポート振替表!$P$5:$P$3507,$L1268)&amp;"")</f>
        <v/>
      </c>
      <c r="J1268" s="60" t="str">
        <f aca="false">IF(L1268="","",INDEX(ポート振替表!$M$5:$M$3507,$L1268)&amp;"")</f>
        <v/>
      </c>
      <c r="K1268" s="52" t="str">
        <f aca="false">IF(L1268="","",E1268&amp;CHAR(10)&amp;INDEX(ポート振替表!$K$5:$K$3507,$L1268)&amp;" "&amp;INDEX(ポート振替表!$L$5:$L$3507,$L1268)&amp;CHAR(10)&amp;"⇔ "&amp;INDEX(ポート振替表!$H$5:$H$3507,$L1268)&amp;" "&amp;INDEX(ポート振替表!$I$5:$I$3507,$L1268))</f>
        <v/>
      </c>
      <c r="L1268" s="47" t="str">
        <f aca="false">IFERROR(MATCH(ROW()-4,ポート振替表!$V$5:$V$3507,0),"")</f>
        <v/>
      </c>
    </row>
    <row r="1269" customFormat="false" ht="16.4" hidden="false" customHeight="false" outlineLevel="0" collapsed="false">
      <c r="A1269" s="32" t="str">
        <f aca="false">IF(L1269="","",ROW()-4)</f>
        <v/>
      </c>
      <c r="B1269" s="58" t="str">
        <f aca="false">IF(L1269="","",IF(INDEX(ポート振替表!$W$5:$W$3507,$L1269)="","(なし)",INDEX(ポート振替表!$W$5:$W$3507,$L1269)&amp;""))</f>
        <v/>
      </c>
      <c r="C1269" s="52" t="str">
        <f aca="false">IF(L1269="","",INDEX(ポート振替表!$B$5:$B$3507,$L1269)&amp;" "&amp;INDEX(ポート振替表!$C$5:$C$3507,$L1269)&amp;"  ⇔  "&amp;INDEX(ポート振替表!$H$5:$H$3507,$L1269)&amp;" "&amp;INDEX(ポート振替表!$I$5:$I$3507,$L1269))</f>
        <v/>
      </c>
      <c r="D1269" s="57" t="s">
        <v>158</v>
      </c>
      <c r="E1269" s="59" t="str">
        <f aca="false">IF(L1269="","",IF(INDEX(ポート振替表!$O$5:$O$3507,$L1269)="","(未設定)",INDEX(ポート振替表!$O$5:$O$3507,$L1269)&amp;""))</f>
        <v/>
      </c>
      <c r="F1269" s="52" t="str">
        <f aca="false">IF(L1269="","",INDEX(ポート振替表!$K$5:$K$3507,$L1269)&amp;" "&amp;INDEX(ポート振替表!$L$5:$L$3507,$L1269)&amp;"  ⇔  "&amp;INDEX(ポート振替表!$H$5:$H$3507,$L1269)&amp;" "&amp;INDEX(ポート振替表!$I$5:$I$3507,$L1269))</f>
        <v/>
      </c>
      <c r="G1269" s="57" t="s">
        <v>158</v>
      </c>
      <c r="H1269" s="32" t="str">
        <f aca="false">IF(L1269="","",INDEX(ポート振替表!$N$5:$N$3507,$L1269)&amp;"")</f>
        <v/>
      </c>
      <c r="I1269" s="32" t="str">
        <f aca="false">IF(L1269="","",INDEX(ポート振替表!$P$5:$P$3507,$L1269)&amp;"")</f>
        <v/>
      </c>
      <c r="J1269" s="60" t="str">
        <f aca="false">IF(L1269="","",INDEX(ポート振替表!$M$5:$M$3507,$L1269)&amp;"")</f>
        <v/>
      </c>
      <c r="K1269" s="52" t="str">
        <f aca="false">IF(L1269="","",E1269&amp;CHAR(10)&amp;INDEX(ポート振替表!$K$5:$K$3507,$L1269)&amp;" "&amp;INDEX(ポート振替表!$L$5:$L$3507,$L1269)&amp;CHAR(10)&amp;"⇔ "&amp;INDEX(ポート振替表!$H$5:$H$3507,$L1269)&amp;" "&amp;INDEX(ポート振替表!$I$5:$I$3507,$L1269))</f>
        <v/>
      </c>
      <c r="L1269" s="47" t="str">
        <f aca="false">IFERROR(MATCH(ROW()-4,ポート振替表!$V$5:$V$3507,0),"")</f>
        <v/>
      </c>
    </row>
    <row r="1270" customFormat="false" ht="16.4" hidden="false" customHeight="false" outlineLevel="0" collapsed="false">
      <c r="A1270" s="32" t="str">
        <f aca="false">IF(L1270="","",ROW()-4)</f>
        <v/>
      </c>
      <c r="B1270" s="58" t="str">
        <f aca="false">IF(L1270="","",IF(INDEX(ポート振替表!$W$5:$W$3507,$L1270)="","(なし)",INDEX(ポート振替表!$W$5:$W$3507,$L1270)&amp;""))</f>
        <v/>
      </c>
      <c r="C1270" s="52" t="str">
        <f aca="false">IF(L1270="","",INDEX(ポート振替表!$B$5:$B$3507,$L1270)&amp;" "&amp;INDEX(ポート振替表!$C$5:$C$3507,$L1270)&amp;"  ⇔  "&amp;INDEX(ポート振替表!$H$5:$H$3507,$L1270)&amp;" "&amp;INDEX(ポート振替表!$I$5:$I$3507,$L1270))</f>
        <v/>
      </c>
      <c r="D1270" s="57" t="s">
        <v>158</v>
      </c>
      <c r="E1270" s="59" t="str">
        <f aca="false">IF(L1270="","",IF(INDEX(ポート振替表!$O$5:$O$3507,$L1270)="","(未設定)",INDEX(ポート振替表!$O$5:$O$3507,$L1270)&amp;""))</f>
        <v/>
      </c>
      <c r="F1270" s="52" t="str">
        <f aca="false">IF(L1270="","",INDEX(ポート振替表!$K$5:$K$3507,$L1270)&amp;" "&amp;INDEX(ポート振替表!$L$5:$L$3507,$L1270)&amp;"  ⇔  "&amp;INDEX(ポート振替表!$H$5:$H$3507,$L1270)&amp;" "&amp;INDEX(ポート振替表!$I$5:$I$3507,$L1270))</f>
        <v/>
      </c>
      <c r="G1270" s="57" t="s">
        <v>158</v>
      </c>
      <c r="H1270" s="32" t="str">
        <f aca="false">IF(L1270="","",INDEX(ポート振替表!$N$5:$N$3507,$L1270)&amp;"")</f>
        <v/>
      </c>
      <c r="I1270" s="32" t="str">
        <f aca="false">IF(L1270="","",INDEX(ポート振替表!$P$5:$P$3507,$L1270)&amp;"")</f>
        <v/>
      </c>
      <c r="J1270" s="60" t="str">
        <f aca="false">IF(L1270="","",INDEX(ポート振替表!$M$5:$M$3507,$L1270)&amp;"")</f>
        <v/>
      </c>
      <c r="K1270" s="52" t="str">
        <f aca="false">IF(L1270="","",E1270&amp;CHAR(10)&amp;INDEX(ポート振替表!$K$5:$K$3507,$L1270)&amp;" "&amp;INDEX(ポート振替表!$L$5:$L$3507,$L1270)&amp;CHAR(10)&amp;"⇔ "&amp;INDEX(ポート振替表!$H$5:$H$3507,$L1270)&amp;" "&amp;INDEX(ポート振替表!$I$5:$I$3507,$L1270))</f>
        <v/>
      </c>
      <c r="L1270" s="47" t="str">
        <f aca="false">IFERROR(MATCH(ROW()-4,ポート振替表!$V$5:$V$3507,0),"")</f>
        <v/>
      </c>
    </row>
    <row r="1271" customFormat="false" ht="16.4" hidden="false" customHeight="false" outlineLevel="0" collapsed="false">
      <c r="A1271" s="32" t="str">
        <f aca="false">IF(L1271="","",ROW()-4)</f>
        <v/>
      </c>
      <c r="B1271" s="58" t="str">
        <f aca="false">IF(L1271="","",IF(INDEX(ポート振替表!$W$5:$W$3507,$L1271)="","(なし)",INDEX(ポート振替表!$W$5:$W$3507,$L1271)&amp;""))</f>
        <v/>
      </c>
      <c r="C1271" s="52" t="str">
        <f aca="false">IF(L1271="","",INDEX(ポート振替表!$B$5:$B$3507,$L1271)&amp;" "&amp;INDEX(ポート振替表!$C$5:$C$3507,$L1271)&amp;"  ⇔  "&amp;INDEX(ポート振替表!$H$5:$H$3507,$L1271)&amp;" "&amp;INDEX(ポート振替表!$I$5:$I$3507,$L1271))</f>
        <v/>
      </c>
      <c r="D1271" s="57" t="s">
        <v>158</v>
      </c>
      <c r="E1271" s="59" t="str">
        <f aca="false">IF(L1271="","",IF(INDEX(ポート振替表!$O$5:$O$3507,$L1271)="","(未設定)",INDEX(ポート振替表!$O$5:$O$3507,$L1271)&amp;""))</f>
        <v/>
      </c>
      <c r="F1271" s="52" t="str">
        <f aca="false">IF(L1271="","",INDEX(ポート振替表!$K$5:$K$3507,$L1271)&amp;" "&amp;INDEX(ポート振替表!$L$5:$L$3507,$L1271)&amp;"  ⇔  "&amp;INDEX(ポート振替表!$H$5:$H$3507,$L1271)&amp;" "&amp;INDEX(ポート振替表!$I$5:$I$3507,$L1271))</f>
        <v/>
      </c>
      <c r="G1271" s="57" t="s">
        <v>158</v>
      </c>
      <c r="H1271" s="32" t="str">
        <f aca="false">IF(L1271="","",INDEX(ポート振替表!$N$5:$N$3507,$L1271)&amp;"")</f>
        <v/>
      </c>
      <c r="I1271" s="32" t="str">
        <f aca="false">IF(L1271="","",INDEX(ポート振替表!$P$5:$P$3507,$L1271)&amp;"")</f>
        <v/>
      </c>
      <c r="J1271" s="60" t="str">
        <f aca="false">IF(L1271="","",INDEX(ポート振替表!$M$5:$M$3507,$L1271)&amp;"")</f>
        <v/>
      </c>
      <c r="K1271" s="52" t="str">
        <f aca="false">IF(L1271="","",E1271&amp;CHAR(10)&amp;INDEX(ポート振替表!$K$5:$K$3507,$L1271)&amp;" "&amp;INDEX(ポート振替表!$L$5:$L$3507,$L1271)&amp;CHAR(10)&amp;"⇔ "&amp;INDEX(ポート振替表!$H$5:$H$3507,$L1271)&amp;" "&amp;INDEX(ポート振替表!$I$5:$I$3507,$L1271))</f>
        <v/>
      </c>
      <c r="L1271" s="47" t="str">
        <f aca="false">IFERROR(MATCH(ROW()-4,ポート振替表!$V$5:$V$3507,0),"")</f>
        <v/>
      </c>
    </row>
    <row r="1272" customFormat="false" ht="16.4" hidden="false" customHeight="false" outlineLevel="0" collapsed="false">
      <c r="A1272" s="32" t="str">
        <f aca="false">IF(L1272="","",ROW()-4)</f>
        <v/>
      </c>
      <c r="B1272" s="58" t="str">
        <f aca="false">IF(L1272="","",IF(INDEX(ポート振替表!$W$5:$W$3507,$L1272)="","(なし)",INDEX(ポート振替表!$W$5:$W$3507,$L1272)&amp;""))</f>
        <v/>
      </c>
      <c r="C1272" s="52" t="str">
        <f aca="false">IF(L1272="","",INDEX(ポート振替表!$B$5:$B$3507,$L1272)&amp;" "&amp;INDEX(ポート振替表!$C$5:$C$3507,$L1272)&amp;"  ⇔  "&amp;INDEX(ポート振替表!$H$5:$H$3507,$L1272)&amp;" "&amp;INDEX(ポート振替表!$I$5:$I$3507,$L1272))</f>
        <v/>
      </c>
      <c r="D1272" s="57" t="s">
        <v>158</v>
      </c>
      <c r="E1272" s="59" t="str">
        <f aca="false">IF(L1272="","",IF(INDEX(ポート振替表!$O$5:$O$3507,$L1272)="","(未設定)",INDEX(ポート振替表!$O$5:$O$3507,$L1272)&amp;""))</f>
        <v/>
      </c>
      <c r="F1272" s="52" t="str">
        <f aca="false">IF(L1272="","",INDEX(ポート振替表!$K$5:$K$3507,$L1272)&amp;" "&amp;INDEX(ポート振替表!$L$5:$L$3507,$L1272)&amp;"  ⇔  "&amp;INDEX(ポート振替表!$H$5:$H$3507,$L1272)&amp;" "&amp;INDEX(ポート振替表!$I$5:$I$3507,$L1272))</f>
        <v/>
      </c>
      <c r="G1272" s="57" t="s">
        <v>158</v>
      </c>
      <c r="H1272" s="32" t="str">
        <f aca="false">IF(L1272="","",INDEX(ポート振替表!$N$5:$N$3507,$L1272)&amp;"")</f>
        <v/>
      </c>
      <c r="I1272" s="32" t="str">
        <f aca="false">IF(L1272="","",INDEX(ポート振替表!$P$5:$P$3507,$L1272)&amp;"")</f>
        <v/>
      </c>
      <c r="J1272" s="60" t="str">
        <f aca="false">IF(L1272="","",INDEX(ポート振替表!$M$5:$M$3507,$L1272)&amp;"")</f>
        <v/>
      </c>
      <c r="K1272" s="52" t="str">
        <f aca="false">IF(L1272="","",E1272&amp;CHAR(10)&amp;INDEX(ポート振替表!$K$5:$K$3507,$L1272)&amp;" "&amp;INDEX(ポート振替表!$L$5:$L$3507,$L1272)&amp;CHAR(10)&amp;"⇔ "&amp;INDEX(ポート振替表!$H$5:$H$3507,$L1272)&amp;" "&amp;INDEX(ポート振替表!$I$5:$I$3507,$L1272))</f>
        <v/>
      </c>
      <c r="L1272" s="47" t="str">
        <f aca="false">IFERROR(MATCH(ROW()-4,ポート振替表!$V$5:$V$3507,0),"")</f>
        <v/>
      </c>
    </row>
    <row r="1273" customFormat="false" ht="16.4" hidden="false" customHeight="false" outlineLevel="0" collapsed="false">
      <c r="A1273" s="32" t="str">
        <f aca="false">IF(L1273="","",ROW()-4)</f>
        <v/>
      </c>
      <c r="B1273" s="58" t="str">
        <f aca="false">IF(L1273="","",IF(INDEX(ポート振替表!$W$5:$W$3507,$L1273)="","(なし)",INDEX(ポート振替表!$W$5:$W$3507,$L1273)&amp;""))</f>
        <v/>
      </c>
      <c r="C1273" s="52" t="str">
        <f aca="false">IF(L1273="","",INDEX(ポート振替表!$B$5:$B$3507,$L1273)&amp;" "&amp;INDEX(ポート振替表!$C$5:$C$3507,$L1273)&amp;"  ⇔  "&amp;INDEX(ポート振替表!$H$5:$H$3507,$L1273)&amp;" "&amp;INDEX(ポート振替表!$I$5:$I$3507,$L1273))</f>
        <v/>
      </c>
      <c r="D1273" s="57" t="s">
        <v>158</v>
      </c>
      <c r="E1273" s="59" t="str">
        <f aca="false">IF(L1273="","",IF(INDEX(ポート振替表!$O$5:$O$3507,$L1273)="","(未設定)",INDEX(ポート振替表!$O$5:$O$3507,$L1273)&amp;""))</f>
        <v/>
      </c>
      <c r="F1273" s="52" t="str">
        <f aca="false">IF(L1273="","",INDEX(ポート振替表!$K$5:$K$3507,$L1273)&amp;" "&amp;INDEX(ポート振替表!$L$5:$L$3507,$L1273)&amp;"  ⇔  "&amp;INDEX(ポート振替表!$H$5:$H$3507,$L1273)&amp;" "&amp;INDEX(ポート振替表!$I$5:$I$3507,$L1273))</f>
        <v/>
      </c>
      <c r="G1273" s="57" t="s">
        <v>158</v>
      </c>
      <c r="H1273" s="32" t="str">
        <f aca="false">IF(L1273="","",INDEX(ポート振替表!$N$5:$N$3507,$L1273)&amp;"")</f>
        <v/>
      </c>
      <c r="I1273" s="32" t="str">
        <f aca="false">IF(L1273="","",INDEX(ポート振替表!$P$5:$P$3507,$L1273)&amp;"")</f>
        <v/>
      </c>
      <c r="J1273" s="60" t="str">
        <f aca="false">IF(L1273="","",INDEX(ポート振替表!$M$5:$M$3507,$L1273)&amp;"")</f>
        <v/>
      </c>
      <c r="K1273" s="52" t="str">
        <f aca="false">IF(L1273="","",E1273&amp;CHAR(10)&amp;INDEX(ポート振替表!$K$5:$K$3507,$L1273)&amp;" "&amp;INDEX(ポート振替表!$L$5:$L$3507,$L1273)&amp;CHAR(10)&amp;"⇔ "&amp;INDEX(ポート振替表!$H$5:$H$3507,$L1273)&amp;" "&amp;INDEX(ポート振替表!$I$5:$I$3507,$L1273))</f>
        <v/>
      </c>
      <c r="L1273" s="47" t="str">
        <f aca="false">IFERROR(MATCH(ROW()-4,ポート振替表!$V$5:$V$3507,0),"")</f>
        <v/>
      </c>
    </row>
    <row r="1274" customFormat="false" ht="16.4" hidden="false" customHeight="false" outlineLevel="0" collapsed="false">
      <c r="A1274" s="32" t="str">
        <f aca="false">IF(L1274="","",ROW()-4)</f>
        <v/>
      </c>
      <c r="B1274" s="58" t="str">
        <f aca="false">IF(L1274="","",IF(INDEX(ポート振替表!$W$5:$W$3507,$L1274)="","(なし)",INDEX(ポート振替表!$W$5:$W$3507,$L1274)&amp;""))</f>
        <v/>
      </c>
      <c r="C1274" s="52" t="str">
        <f aca="false">IF(L1274="","",INDEX(ポート振替表!$B$5:$B$3507,$L1274)&amp;" "&amp;INDEX(ポート振替表!$C$5:$C$3507,$L1274)&amp;"  ⇔  "&amp;INDEX(ポート振替表!$H$5:$H$3507,$L1274)&amp;" "&amp;INDEX(ポート振替表!$I$5:$I$3507,$L1274))</f>
        <v/>
      </c>
      <c r="D1274" s="57" t="s">
        <v>158</v>
      </c>
      <c r="E1274" s="59" t="str">
        <f aca="false">IF(L1274="","",IF(INDEX(ポート振替表!$O$5:$O$3507,$L1274)="","(未設定)",INDEX(ポート振替表!$O$5:$O$3507,$L1274)&amp;""))</f>
        <v/>
      </c>
      <c r="F1274" s="52" t="str">
        <f aca="false">IF(L1274="","",INDEX(ポート振替表!$K$5:$K$3507,$L1274)&amp;" "&amp;INDEX(ポート振替表!$L$5:$L$3507,$L1274)&amp;"  ⇔  "&amp;INDEX(ポート振替表!$H$5:$H$3507,$L1274)&amp;" "&amp;INDEX(ポート振替表!$I$5:$I$3507,$L1274))</f>
        <v/>
      </c>
      <c r="G1274" s="57" t="s">
        <v>158</v>
      </c>
      <c r="H1274" s="32" t="str">
        <f aca="false">IF(L1274="","",INDEX(ポート振替表!$N$5:$N$3507,$L1274)&amp;"")</f>
        <v/>
      </c>
      <c r="I1274" s="32" t="str">
        <f aca="false">IF(L1274="","",INDEX(ポート振替表!$P$5:$P$3507,$L1274)&amp;"")</f>
        <v/>
      </c>
      <c r="J1274" s="60" t="str">
        <f aca="false">IF(L1274="","",INDEX(ポート振替表!$M$5:$M$3507,$L1274)&amp;"")</f>
        <v/>
      </c>
      <c r="K1274" s="52" t="str">
        <f aca="false">IF(L1274="","",E1274&amp;CHAR(10)&amp;INDEX(ポート振替表!$K$5:$K$3507,$L1274)&amp;" "&amp;INDEX(ポート振替表!$L$5:$L$3507,$L1274)&amp;CHAR(10)&amp;"⇔ "&amp;INDEX(ポート振替表!$H$5:$H$3507,$L1274)&amp;" "&amp;INDEX(ポート振替表!$I$5:$I$3507,$L1274))</f>
        <v/>
      </c>
      <c r="L1274" s="47" t="str">
        <f aca="false">IFERROR(MATCH(ROW()-4,ポート振替表!$V$5:$V$3507,0),"")</f>
        <v/>
      </c>
    </row>
    <row r="1275" customFormat="false" ht="16.4" hidden="false" customHeight="false" outlineLevel="0" collapsed="false">
      <c r="A1275" s="32" t="str">
        <f aca="false">IF(L1275="","",ROW()-4)</f>
        <v/>
      </c>
      <c r="B1275" s="58" t="str">
        <f aca="false">IF(L1275="","",IF(INDEX(ポート振替表!$W$5:$W$3507,$L1275)="","(なし)",INDEX(ポート振替表!$W$5:$W$3507,$L1275)&amp;""))</f>
        <v/>
      </c>
      <c r="C1275" s="52" t="str">
        <f aca="false">IF(L1275="","",INDEX(ポート振替表!$B$5:$B$3507,$L1275)&amp;" "&amp;INDEX(ポート振替表!$C$5:$C$3507,$L1275)&amp;"  ⇔  "&amp;INDEX(ポート振替表!$H$5:$H$3507,$L1275)&amp;" "&amp;INDEX(ポート振替表!$I$5:$I$3507,$L1275))</f>
        <v/>
      </c>
      <c r="D1275" s="57" t="s">
        <v>158</v>
      </c>
      <c r="E1275" s="59" t="str">
        <f aca="false">IF(L1275="","",IF(INDEX(ポート振替表!$O$5:$O$3507,$L1275)="","(未設定)",INDEX(ポート振替表!$O$5:$O$3507,$L1275)&amp;""))</f>
        <v/>
      </c>
      <c r="F1275" s="52" t="str">
        <f aca="false">IF(L1275="","",INDEX(ポート振替表!$K$5:$K$3507,$L1275)&amp;" "&amp;INDEX(ポート振替表!$L$5:$L$3507,$L1275)&amp;"  ⇔  "&amp;INDEX(ポート振替表!$H$5:$H$3507,$L1275)&amp;" "&amp;INDEX(ポート振替表!$I$5:$I$3507,$L1275))</f>
        <v/>
      </c>
      <c r="G1275" s="57" t="s">
        <v>158</v>
      </c>
      <c r="H1275" s="32" t="str">
        <f aca="false">IF(L1275="","",INDEX(ポート振替表!$N$5:$N$3507,$L1275)&amp;"")</f>
        <v/>
      </c>
      <c r="I1275" s="32" t="str">
        <f aca="false">IF(L1275="","",INDEX(ポート振替表!$P$5:$P$3507,$L1275)&amp;"")</f>
        <v/>
      </c>
      <c r="J1275" s="60" t="str">
        <f aca="false">IF(L1275="","",INDEX(ポート振替表!$M$5:$M$3507,$L1275)&amp;"")</f>
        <v/>
      </c>
      <c r="K1275" s="52" t="str">
        <f aca="false">IF(L1275="","",E1275&amp;CHAR(10)&amp;INDEX(ポート振替表!$K$5:$K$3507,$L1275)&amp;" "&amp;INDEX(ポート振替表!$L$5:$L$3507,$L1275)&amp;CHAR(10)&amp;"⇔ "&amp;INDEX(ポート振替表!$H$5:$H$3507,$L1275)&amp;" "&amp;INDEX(ポート振替表!$I$5:$I$3507,$L1275))</f>
        <v/>
      </c>
      <c r="L1275" s="47" t="str">
        <f aca="false">IFERROR(MATCH(ROW()-4,ポート振替表!$V$5:$V$3507,0),"")</f>
        <v/>
      </c>
    </row>
    <row r="1276" customFormat="false" ht="16.4" hidden="false" customHeight="false" outlineLevel="0" collapsed="false">
      <c r="A1276" s="32" t="str">
        <f aca="false">IF(L1276="","",ROW()-4)</f>
        <v/>
      </c>
      <c r="B1276" s="58" t="str">
        <f aca="false">IF(L1276="","",IF(INDEX(ポート振替表!$W$5:$W$3507,$L1276)="","(なし)",INDEX(ポート振替表!$W$5:$W$3507,$L1276)&amp;""))</f>
        <v/>
      </c>
      <c r="C1276" s="52" t="str">
        <f aca="false">IF(L1276="","",INDEX(ポート振替表!$B$5:$B$3507,$L1276)&amp;" "&amp;INDEX(ポート振替表!$C$5:$C$3507,$L1276)&amp;"  ⇔  "&amp;INDEX(ポート振替表!$H$5:$H$3507,$L1276)&amp;" "&amp;INDEX(ポート振替表!$I$5:$I$3507,$L1276))</f>
        <v/>
      </c>
      <c r="D1276" s="57" t="s">
        <v>158</v>
      </c>
      <c r="E1276" s="59" t="str">
        <f aca="false">IF(L1276="","",IF(INDEX(ポート振替表!$O$5:$O$3507,$L1276)="","(未設定)",INDEX(ポート振替表!$O$5:$O$3507,$L1276)&amp;""))</f>
        <v/>
      </c>
      <c r="F1276" s="52" t="str">
        <f aca="false">IF(L1276="","",INDEX(ポート振替表!$K$5:$K$3507,$L1276)&amp;" "&amp;INDEX(ポート振替表!$L$5:$L$3507,$L1276)&amp;"  ⇔  "&amp;INDEX(ポート振替表!$H$5:$H$3507,$L1276)&amp;" "&amp;INDEX(ポート振替表!$I$5:$I$3507,$L1276))</f>
        <v/>
      </c>
      <c r="G1276" s="57" t="s">
        <v>158</v>
      </c>
      <c r="H1276" s="32" t="str">
        <f aca="false">IF(L1276="","",INDEX(ポート振替表!$N$5:$N$3507,$L1276)&amp;"")</f>
        <v/>
      </c>
      <c r="I1276" s="32" t="str">
        <f aca="false">IF(L1276="","",INDEX(ポート振替表!$P$5:$P$3507,$L1276)&amp;"")</f>
        <v/>
      </c>
      <c r="J1276" s="60" t="str">
        <f aca="false">IF(L1276="","",INDEX(ポート振替表!$M$5:$M$3507,$L1276)&amp;"")</f>
        <v/>
      </c>
      <c r="K1276" s="52" t="str">
        <f aca="false">IF(L1276="","",E1276&amp;CHAR(10)&amp;INDEX(ポート振替表!$K$5:$K$3507,$L1276)&amp;" "&amp;INDEX(ポート振替表!$L$5:$L$3507,$L1276)&amp;CHAR(10)&amp;"⇔ "&amp;INDEX(ポート振替表!$H$5:$H$3507,$L1276)&amp;" "&amp;INDEX(ポート振替表!$I$5:$I$3507,$L1276))</f>
        <v/>
      </c>
      <c r="L1276" s="47" t="str">
        <f aca="false">IFERROR(MATCH(ROW()-4,ポート振替表!$V$5:$V$3507,0),"")</f>
        <v/>
      </c>
    </row>
    <row r="1277" customFormat="false" ht="16.4" hidden="false" customHeight="false" outlineLevel="0" collapsed="false">
      <c r="A1277" s="32" t="str">
        <f aca="false">IF(L1277="","",ROW()-4)</f>
        <v/>
      </c>
      <c r="B1277" s="58" t="str">
        <f aca="false">IF(L1277="","",IF(INDEX(ポート振替表!$W$5:$W$3507,$L1277)="","(なし)",INDEX(ポート振替表!$W$5:$W$3507,$L1277)&amp;""))</f>
        <v/>
      </c>
      <c r="C1277" s="52" t="str">
        <f aca="false">IF(L1277="","",INDEX(ポート振替表!$B$5:$B$3507,$L1277)&amp;" "&amp;INDEX(ポート振替表!$C$5:$C$3507,$L1277)&amp;"  ⇔  "&amp;INDEX(ポート振替表!$H$5:$H$3507,$L1277)&amp;" "&amp;INDEX(ポート振替表!$I$5:$I$3507,$L1277))</f>
        <v/>
      </c>
      <c r="D1277" s="57" t="s">
        <v>158</v>
      </c>
      <c r="E1277" s="59" t="str">
        <f aca="false">IF(L1277="","",IF(INDEX(ポート振替表!$O$5:$O$3507,$L1277)="","(未設定)",INDEX(ポート振替表!$O$5:$O$3507,$L1277)&amp;""))</f>
        <v/>
      </c>
      <c r="F1277" s="52" t="str">
        <f aca="false">IF(L1277="","",INDEX(ポート振替表!$K$5:$K$3507,$L1277)&amp;" "&amp;INDEX(ポート振替表!$L$5:$L$3507,$L1277)&amp;"  ⇔  "&amp;INDEX(ポート振替表!$H$5:$H$3507,$L1277)&amp;" "&amp;INDEX(ポート振替表!$I$5:$I$3507,$L1277))</f>
        <v/>
      </c>
      <c r="G1277" s="57" t="s">
        <v>158</v>
      </c>
      <c r="H1277" s="32" t="str">
        <f aca="false">IF(L1277="","",INDEX(ポート振替表!$N$5:$N$3507,$L1277)&amp;"")</f>
        <v/>
      </c>
      <c r="I1277" s="32" t="str">
        <f aca="false">IF(L1277="","",INDEX(ポート振替表!$P$5:$P$3507,$L1277)&amp;"")</f>
        <v/>
      </c>
      <c r="J1277" s="60" t="str">
        <f aca="false">IF(L1277="","",INDEX(ポート振替表!$M$5:$M$3507,$L1277)&amp;"")</f>
        <v/>
      </c>
      <c r="K1277" s="52" t="str">
        <f aca="false">IF(L1277="","",E1277&amp;CHAR(10)&amp;INDEX(ポート振替表!$K$5:$K$3507,$L1277)&amp;" "&amp;INDEX(ポート振替表!$L$5:$L$3507,$L1277)&amp;CHAR(10)&amp;"⇔ "&amp;INDEX(ポート振替表!$H$5:$H$3507,$L1277)&amp;" "&amp;INDEX(ポート振替表!$I$5:$I$3507,$L1277))</f>
        <v/>
      </c>
      <c r="L1277" s="47" t="str">
        <f aca="false">IFERROR(MATCH(ROW()-4,ポート振替表!$V$5:$V$3507,0),"")</f>
        <v/>
      </c>
    </row>
    <row r="1278" customFormat="false" ht="16.4" hidden="false" customHeight="false" outlineLevel="0" collapsed="false">
      <c r="A1278" s="32" t="str">
        <f aca="false">IF(L1278="","",ROW()-4)</f>
        <v/>
      </c>
      <c r="B1278" s="58" t="str">
        <f aca="false">IF(L1278="","",IF(INDEX(ポート振替表!$W$5:$W$3507,$L1278)="","(なし)",INDEX(ポート振替表!$W$5:$W$3507,$L1278)&amp;""))</f>
        <v/>
      </c>
      <c r="C1278" s="52" t="str">
        <f aca="false">IF(L1278="","",INDEX(ポート振替表!$B$5:$B$3507,$L1278)&amp;" "&amp;INDEX(ポート振替表!$C$5:$C$3507,$L1278)&amp;"  ⇔  "&amp;INDEX(ポート振替表!$H$5:$H$3507,$L1278)&amp;" "&amp;INDEX(ポート振替表!$I$5:$I$3507,$L1278))</f>
        <v/>
      </c>
      <c r="D1278" s="57" t="s">
        <v>158</v>
      </c>
      <c r="E1278" s="59" t="str">
        <f aca="false">IF(L1278="","",IF(INDEX(ポート振替表!$O$5:$O$3507,$L1278)="","(未設定)",INDEX(ポート振替表!$O$5:$O$3507,$L1278)&amp;""))</f>
        <v/>
      </c>
      <c r="F1278" s="52" t="str">
        <f aca="false">IF(L1278="","",INDEX(ポート振替表!$K$5:$K$3507,$L1278)&amp;" "&amp;INDEX(ポート振替表!$L$5:$L$3507,$L1278)&amp;"  ⇔  "&amp;INDEX(ポート振替表!$H$5:$H$3507,$L1278)&amp;" "&amp;INDEX(ポート振替表!$I$5:$I$3507,$L1278))</f>
        <v/>
      </c>
      <c r="G1278" s="57" t="s">
        <v>158</v>
      </c>
      <c r="H1278" s="32" t="str">
        <f aca="false">IF(L1278="","",INDEX(ポート振替表!$N$5:$N$3507,$L1278)&amp;"")</f>
        <v/>
      </c>
      <c r="I1278" s="32" t="str">
        <f aca="false">IF(L1278="","",INDEX(ポート振替表!$P$5:$P$3507,$L1278)&amp;"")</f>
        <v/>
      </c>
      <c r="J1278" s="60" t="str">
        <f aca="false">IF(L1278="","",INDEX(ポート振替表!$M$5:$M$3507,$L1278)&amp;"")</f>
        <v/>
      </c>
      <c r="K1278" s="52" t="str">
        <f aca="false">IF(L1278="","",E1278&amp;CHAR(10)&amp;INDEX(ポート振替表!$K$5:$K$3507,$L1278)&amp;" "&amp;INDEX(ポート振替表!$L$5:$L$3507,$L1278)&amp;CHAR(10)&amp;"⇔ "&amp;INDEX(ポート振替表!$H$5:$H$3507,$L1278)&amp;" "&amp;INDEX(ポート振替表!$I$5:$I$3507,$L1278))</f>
        <v/>
      </c>
      <c r="L1278" s="47" t="str">
        <f aca="false">IFERROR(MATCH(ROW()-4,ポート振替表!$V$5:$V$3507,0),"")</f>
        <v/>
      </c>
    </row>
    <row r="1279" customFormat="false" ht="16.4" hidden="false" customHeight="false" outlineLevel="0" collapsed="false">
      <c r="A1279" s="32" t="str">
        <f aca="false">IF(L1279="","",ROW()-4)</f>
        <v/>
      </c>
      <c r="B1279" s="58" t="str">
        <f aca="false">IF(L1279="","",IF(INDEX(ポート振替表!$W$5:$W$3507,$L1279)="","(なし)",INDEX(ポート振替表!$W$5:$W$3507,$L1279)&amp;""))</f>
        <v/>
      </c>
      <c r="C1279" s="52" t="str">
        <f aca="false">IF(L1279="","",INDEX(ポート振替表!$B$5:$B$3507,$L1279)&amp;" "&amp;INDEX(ポート振替表!$C$5:$C$3507,$L1279)&amp;"  ⇔  "&amp;INDEX(ポート振替表!$H$5:$H$3507,$L1279)&amp;" "&amp;INDEX(ポート振替表!$I$5:$I$3507,$L1279))</f>
        <v/>
      </c>
      <c r="D1279" s="57" t="s">
        <v>158</v>
      </c>
      <c r="E1279" s="59" t="str">
        <f aca="false">IF(L1279="","",IF(INDEX(ポート振替表!$O$5:$O$3507,$L1279)="","(未設定)",INDEX(ポート振替表!$O$5:$O$3507,$L1279)&amp;""))</f>
        <v/>
      </c>
      <c r="F1279" s="52" t="str">
        <f aca="false">IF(L1279="","",INDEX(ポート振替表!$K$5:$K$3507,$L1279)&amp;" "&amp;INDEX(ポート振替表!$L$5:$L$3507,$L1279)&amp;"  ⇔  "&amp;INDEX(ポート振替表!$H$5:$H$3507,$L1279)&amp;" "&amp;INDEX(ポート振替表!$I$5:$I$3507,$L1279))</f>
        <v/>
      </c>
      <c r="G1279" s="57" t="s">
        <v>158</v>
      </c>
      <c r="H1279" s="32" t="str">
        <f aca="false">IF(L1279="","",INDEX(ポート振替表!$N$5:$N$3507,$L1279)&amp;"")</f>
        <v/>
      </c>
      <c r="I1279" s="32" t="str">
        <f aca="false">IF(L1279="","",INDEX(ポート振替表!$P$5:$P$3507,$L1279)&amp;"")</f>
        <v/>
      </c>
      <c r="J1279" s="60" t="str">
        <f aca="false">IF(L1279="","",INDEX(ポート振替表!$M$5:$M$3507,$L1279)&amp;"")</f>
        <v/>
      </c>
      <c r="K1279" s="52" t="str">
        <f aca="false">IF(L1279="","",E1279&amp;CHAR(10)&amp;INDEX(ポート振替表!$K$5:$K$3507,$L1279)&amp;" "&amp;INDEX(ポート振替表!$L$5:$L$3507,$L1279)&amp;CHAR(10)&amp;"⇔ "&amp;INDEX(ポート振替表!$H$5:$H$3507,$L1279)&amp;" "&amp;INDEX(ポート振替表!$I$5:$I$3507,$L1279))</f>
        <v/>
      </c>
      <c r="L1279" s="47" t="str">
        <f aca="false">IFERROR(MATCH(ROW()-4,ポート振替表!$V$5:$V$3507,0),"")</f>
        <v/>
      </c>
    </row>
    <row r="1280" customFormat="false" ht="16.4" hidden="false" customHeight="false" outlineLevel="0" collapsed="false">
      <c r="A1280" s="32" t="str">
        <f aca="false">IF(L1280="","",ROW()-4)</f>
        <v/>
      </c>
      <c r="B1280" s="58" t="str">
        <f aca="false">IF(L1280="","",IF(INDEX(ポート振替表!$W$5:$W$3507,$L1280)="","(なし)",INDEX(ポート振替表!$W$5:$W$3507,$L1280)&amp;""))</f>
        <v/>
      </c>
      <c r="C1280" s="52" t="str">
        <f aca="false">IF(L1280="","",INDEX(ポート振替表!$B$5:$B$3507,$L1280)&amp;" "&amp;INDEX(ポート振替表!$C$5:$C$3507,$L1280)&amp;"  ⇔  "&amp;INDEX(ポート振替表!$H$5:$H$3507,$L1280)&amp;" "&amp;INDEX(ポート振替表!$I$5:$I$3507,$L1280))</f>
        <v/>
      </c>
      <c r="D1280" s="57" t="s">
        <v>158</v>
      </c>
      <c r="E1280" s="59" t="str">
        <f aca="false">IF(L1280="","",IF(INDEX(ポート振替表!$O$5:$O$3507,$L1280)="","(未設定)",INDEX(ポート振替表!$O$5:$O$3507,$L1280)&amp;""))</f>
        <v/>
      </c>
      <c r="F1280" s="52" t="str">
        <f aca="false">IF(L1280="","",INDEX(ポート振替表!$K$5:$K$3507,$L1280)&amp;" "&amp;INDEX(ポート振替表!$L$5:$L$3507,$L1280)&amp;"  ⇔  "&amp;INDEX(ポート振替表!$H$5:$H$3507,$L1280)&amp;" "&amp;INDEX(ポート振替表!$I$5:$I$3507,$L1280))</f>
        <v/>
      </c>
      <c r="G1280" s="57" t="s">
        <v>158</v>
      </c>
      <c r="H1280" s="32" t="str">
        <f aca="false">IF(L1280="","",INDEX(ポート振替表!$N$5:$N$3507,$L1280)&amp;"")</f>
        <v/>
      </c>
      <c r="I1280" s="32" t="str">
        <f aca="false">IF(L1280="","",INDEX(ポート振替表!$P$5:$P$3507,$L1280)&amp;"")</f>
        <v/>
      </c>
      <c r="J1280" s="60" t="str">
        <f aca="false">IF(L1280="","",INDEX(ポート振替表!$M$5:$M$3507,$L1280)&amp;"")</f>
        <v/>
      </c>
      <c r="K1280" s="52" t="str">
        <f aca="false">IF(L1280="","",E1280&amp;CHAR(10)&amp;INDEX(ポート振替表!$K$5:$K$3507,$L1280)&amp;" "&amp;INDEX(ポート振替表!$L$5:$L$3507,$L1280)&amp;CHAR(10)&amp;"⇔ "&amp;INDEX(ポート振替表!$H$5:$H$3507,$L1280)&amp;" "&amp;INDEX(ポート振替表!$I$5:$I$3507,$L1280))</f>
        <v/>
      </c>
      <c r="L1280" s="47" t="str">
        <f aca="false">IFERROR(MATCH(ROW()-4,ポート振替表!$V$5:$V$3507,0),"")</f>
        <v/>
      </c>
    </row>
    <row r="1281" customFormat="false" ht="16.4" hidden="false" customHeight="false" outlineLevel="0" collapsed="false">
      <c r="A1281" s="32" t="str">
        <f aca="false">IF(L1281="","",ROW()-4)</f>
        <v/>
      </c>
      <c r="B1281" s="58" t="str">
        <f aca="false">IF(L1281="","",IF(INDEX(ポート振替表!$W$5:$W$3507,$L1281)="","(なし)",INDEX(ポート振替表!$W$5:$W$3507,$L1281)&amp;""))</f>
        <v/>
      </c>
      <c r="C1281" s="52" t="str">
        <f aca="false">IF(L1281="","",INDEX(ポート振替表!$B$5:$B$3507,$L1281)&amp;" "&amp;INDEX(ポート振替表!$C$5:$C$3507,$L1281)&amp;"  ⇔  "&amp;INDEX(ポート振替表!$H$5:$H$3507,$L1281)&amp;" "&amp;INDEX(ポート振替表!$I$5:$I$3507,$L1281))</f>
        <v/>
      </c>
      <c r="D1281" s="57" t="s">
        <v>158</v>
      </c>
      <c r="E1281" s="59" t="str">
        <f aca="false">IF(L1281="","",IF(INDEX(ポート振替表!$O$5:$O$3507,$L1281)="","(未設定)",INDEX(ポート振替表!$O$5:$O$3507,$L1281)&amp;""))</f>
        <v/>
      </c>
      <c r="F1281" s="52" t="str">
        <f aca="false">IF(L1281="","",INDEX(ポート振替表!$K$5:$K$3507,$L1281)&amp;" "&amp;INDEX(ポート振替表!$L$5:$L$3507,$L1281)&amp;"  ⇔  "&amp;INDEX(ポート振替表!$H$5:$H$3507,$L1281)&amp;" "&amp;INDEX(ポート振替表!$I$5:$I$3507,$L1281))</f>
        <v/>
      </c>
      <c r="G1281" s="57" t="s">
        <v>158</v>
      </c>
      <c r="H1281" s="32" t="str">
        <f aca="false">IF(L1281="","",INDEX(ポート振替表!$N$5:$N$3507,$L1281)&amp;"")</f>
        <v/>
      </c>
      <c r="I1281" s="32" t="str">
        <f aca="false">IF(L1281="","",INDEX(ポート振替表!$P$5:$P$3507,$L1281)&amp;"")</f>
        <v/>
      </c>
      <c r="J1281" s="60" t="str">
        <f aca="false">IF(L1281="","",INDEX(ポート振替表!$M$5:$M$3507,$L1281)&amp;"")</f>
        <v/>
      </c>
      <c r="K1281" s="52" t="str">
        <f aca="false">IF(L1281="","",E1281&amp;CHAR(10)&amp;INDEX(ポート振替表!$K$5:$K$3507,$L1281)&amp;" "&amp;INDEX(ポート振替表!$L$5:$L$3507,$L1281)&amp;CHAR(10)&amp;"⇔ "&amp;INDEX(ポート振替表!$H$5:$H$3507,$L1281)&amp;" "&amp;INDEX(ポート振替表!$I$5:$I$3507,$L1281))</f>
        <v/>
      </c>
      <c r="L1281" s="47" t="str">
        <f aca="false">IFERROR(MATCH(ROW()-4,ポート振替表!$V$5:$V$3507,0),"")</f>
        <v/>
      </c>
    </row>
    <row r="1282" customFormat="false" ht="16.4" hidden="false" customHeight="false" outlineLevel="0" collapsed="false">
      <c r="A1282" s="32" t="str">
        <f aca="false">IF(L1282="","",ROW()-4)</f>
        <v/>
      </c>
      <c r="B1282" s="58" t="str">
        <f aca="false">IF(L1282="","",IF(INDEX(ポート振替表!$W$5:$W$3507,$L1282)="","(なし)",INDEX(ポート振替表!$W$5:$W$3507,$L1282)&amp;""))</f>
        <v/>
      </c>
      <c r="C1282" s="52" t="str">
        <f aca="false">IF(L1282="","",INDEX(ポート振替表!$B$5:$B$3507,$L1282)&amp;" "&amp;INDEX(ポート振替表!$C$5:$C$3507,$L1282)&amp;"  ⇔  "&amp;INDEX(ポート振替表!$H$5:$H$3507,$L1282)&amp;" "&amp;INDEX(ポート振替表!$I$5:$I$3507,$L1282))</f>
        <v/>
      </c>
      <c r="D1282" s="57" t="s">
        <v>158</v>
      </c>
      <c r="E1282" s="59" t="str">
        <f aca="false">IF(L1282="","",IF(INDEX(ポート振替表!$O$5:$O$3507,$L1282)="","(未設定)",INDEX(ポート振替表!$O$5:$O$3507,$L1282)&amp;""))</f>
        <v/>
      </c>
      <c r="F1282" s="52" t="str">
        <f aca="false">IF(L1282="","",INDEX(ポート振替表!$K$5:$K$3507,$L1282)&amp;" "&amp;INDEX(ポート振替表!$L$5:$L$3507,$L1282)&amp;"  ⇔  "&amp;INDEX(ポート振替表!$H$5:$H$3507,$L1282)&amp;" "&amp;INDEX(ポート振替表!$I$5:$I$3507,$L1282))</f>
        <v/>
      </c>
      <c r="G1282" s="57" t="s">
        <v>158</v>
      </c>
      <c r="H1282" s="32" t="str">
        <f aca="false">IF(L1282="","",INDEX(ポート振替表!$N$5:$N$3507,$L1282)&amp;"")</f>
        <v/>
      </c>
      <c r="I1282" s="32" t="str">
        <f aca="false">IF(L1282="","",INDEX(ポート振替表!$P$5:$P$3507,$L1282)&amp;"")</f>
        <v/>
      </c>
      <c r="J1282" s="60" t="str">
        <f aca="false">IF(L1282="","",INDEX(ポート振替表!$M$5:$M$3507,$L1282)&amp;"")</f>
        <v/>
      </c>
      <c r="K1282" s="52" t="str">
        <f aca="false">IF(L1282="","",E1282&amp;CHAR(10)&amp;INDEX(ポート振替表!$K$5:$K$3507,$L1282)&amp;" "&amp;INDEX(ポート振替表!$L$5:$L$3507,$L1282)&amp;CHAR(10)&amp;"⇔ "&amp;INDEX(ポート振替表!$H$5:$H$3507,$L1282)&amp;" "&amp;INDEX(ポート振替表!$I$5:$I$3507,$L1282))</f>
        <v/>
      </c>
      <c r="L1282" s="47" t="str">
        <f aca="false">IFERROR(MATCH(ROW()-4,ポート振替表!$V$5:$V$3507,0),"")</f>
        <v/>
      </c>
    </row>
    <row r="1283" customFormat="false" ht="16.4" hidden="false" customHeight="false" outlineLevel="0" collapsed="false">
      <c r="A1283" s="32" t="str">
        <f aca="false">IF(L1283="","",ROW()-4)</f>
        <v/>
      </c>
      <c r="B1283" s="58" t="str">
        <f aca="false">IF(L1283="","",IF(INDEX(ポート振替表!$W$5:$W$3507,$L1283)="","(なし)",INDEX(ポート振替表!$W$5:$W$3507,$L1283)&amp;""))</f>
        <v/>
      </c>
      <c r="C1283" s="52" t="str">
        <f aca="false">IF(L1283="","",INDEX(ポート振替表!$B$5:$B$3507,$L1283)&amp;" "&amp;INDEX(ポート振替表!$C$5:$C$3507,$L1283)&amp;"  ⇔  "&amp;INDEX(ポート振替表!$H$5:$H$3507,$L1283)&amp;" "&amp;INDEX(ポート振替表!$I$5:$I$3507,$L1283))</f>
        <v/>
      </c>
      <c r="D1283" s="57" t="s">
        <v>158</v>
      </c>
      <c r="E1283" s="59" t="str">
        <f aca="false">IF(L1283="","",IF(INDEX(ポート振替表!$O$5:$O$3507,$L1283)="","(未設定)",INDEX(ポート振替表!$O$5:$O$3507,$L1283)&amp;""))</f>
        <v/>
      </c>
      <c r="F1283" s="52" t="str">
        <f aca="false">IF(L1283="","",INDEX(ポート振替表!$K$5:$K$3507,$L1283)&amp;" "&amp;INDEX(ポート振替表!$L$5:$L$3507,$L1283)&amp;"  ⇔  "&amp;INDEX(ポート振替表!$H$5:$H$3507,$L1283)&amp;" "&amp;INDEX(ポート振替表!$I$5:$I$3507,$L1283))</f>
        <v/>
      </c>
      <c r="G1283" s="57" t="s">
        <v>158</v>
      </c>
      <c r="H1283" s="32" t="str">
        <f aca="false">IF(L1283="","",INDEX(ポート振替表!$N$5:$N$3507,$L1283)&amp;"")</f>
        <v/>
      </c>
      <c r="I1283" s="32" t="str">
        <f aca="false">IF(L1283="","",INDEX(ポート振替表!$P$5:$P$3507,$L1283)&amp;"")</f>
        <v/>
      </c>
      <c r="J1283" s="60" t="str">
        <f aca="false">IF(L1283="","",INDEX(ポート振替表!$M$5:$M$3507,$L1283)&amp;"")</f>
        <v/>
      </c>
      <c r="K1283" s="52" t="str">
        <f aca="false">IF(L1283="","",E1283&amp;CHAR(10)&amp;INDEX(ポート振替表!$K$5:$K$3507,$L1283)&amp;" "&amp;INDEX(ポート振替表!$L$5:$L$3507,$L1283)&amp;CHAR(10)&amp;"⇔ "&amp;INDEX(ポート振替表!$H$5:$H$3507,$L1283)&amp;" "&amp;INDEX(ポート振替表!$I$5:$I$3507,$L1283))</f>
        <v/>
      </c>
      <c r="L1283" s="47" t="str">
        <f aca="false">IFERROR(MATCH(ROW()-4,ポート振替表!$V$5:$V$3507,0),"")</f>
        <v/>
      </c>
    </row>
    <row r="1284" customFormat="false" ht="16.4" hidden="false" customHeight="false" outlineLevel="0" collapsed="false">
      <c r="A1284" s="32" t="str">
        <f aca="false">IF(L1284="","",ROW()-4)</f>
        <v/>
      </c>
      <c r="B1284" s="58" t="str">
        <f aca="false">IF(L1284="","",IF(INDEX(ポート振替表!$W$5:$W$3507,$L1284)="","(なし)",INDEX(ポート振替表!$W$5:$W$3507,$L1284)&amp;""))</f>
        <v/>
      </c>
      <c r="C1284" s="52" t="str">
        <f aca="false">IF(L1284="","",INDEX(ポート振替表!$B$5:$B$3507,$L1284)&amp;" "&amp;INDEX(ポート振替表!$C$5:$C$3507,$L1284)&amp;"  ⇔  "&amp;INDEX(ポート振替表!$H$5:$H$3507,$L1284)&amp;" "&amp;INDEX(ポート振替表!$I$5:$I$3507,$L1284))</f>
        <v/>
      </c>
      <c r="D1284" s="57" t="s">
        <v>158</v>
      </c>
      <c r="E1284" s="59" t="str">
        <f aca="false">IF(L1284="","",IF(INDEX(ポート振替表!$O$5:$O$3507,$L1284)="","(未設定)",INDEX(ポート振替表!$O$5:$O$3507,$L1284)&amp;""))</f>
        <v/>
      </c>
      <c r="F1284" s="52" t="str">
        <f aca="false">IF(L1284="","",INDEX(ポート振替表!$K$5:$K$3507,$L1284)&amp;" "&amp;INDEX(ポート振替表!$L$5:$L$3507,$L1284)&amp;"  ⇔  "&amp;INDEX(ポート振替表!$H$5:$H$3507,$L1284)&amp;" "&amp;INDEX(ポート振替表!$I$5:$I$3507,$L1284))</f>
        <v/>
      </c>
      <c r="G1284" s="57" t="s">
        <v>158</v>
      </c>
      <c r="H1284" s="32" t="str">
        <f aca="false">IF(L1284="","",INDEX(ポート振替表!$N$5:$N$3507,$L1284)&amp;"")</f>
        <v/>
      </c>
      <c r="I1284" s="32" t="str">
        <f aca="false">IF(L1284="","",INDEX(ポート振替表!$P$5:$P$3507,$L1284)&amp;"")</f>
        <v/>
      </c>
      <c r="J1284" s="60" t="str">
        <f aca="false">IF(L1284="","",INDEX(ポート振替表!$M$5:$M$3507,$L1284)&amp;"")</f>
        <v/>
      </c>
      <c r="K1284" s="52" t="str">
        <f aca="false">IF(L1284="","",E1284&amp;CHAR(10)&amp;INDEX(ポート振替表!$K$5:$K$3507,$L1284)&amp;" "&amp;INDEX(ポート振替表!$L$5:$L$3507,$L1284)&amp;CHAR(10)&amp;"⇔ "&amp;INDEX(ポート振替表!$H$5:$H$3507,$L1284)&amp;" "&amp;INDEX(ポート振替表!$I$5:$I$3507,$L1284))</f>
        <v/>
      </c>
      <c r="L1284" s="47" t="str">
        <f aca="false">IFERROR(MATCH(ROW()-4,ポート振替表!$V$5:$V$3507,0),"")</f>
        <v/>
      </c>
    </row>
    <row r="1285" customFormat="false" ht="16.4" hidden="false" customHeight="false" outlineLevel="0" collapsed="false">
      <c r="A1285" s="32" t="str">
        <f aca="false">IF(L1285="","",ROW()-4)</f>
        <v/>
      </c>
      <c r="B1285" s="58" t="str">
        <f aca="false">IF(L1285="","",IF(INDEX(ポート振替表!$W$5:$W$3507,$L1285)="","(なし)",INDEX(ポート振替表!$W$5:$W$3507,$L1285)&amp;""))</f>
        <v/>
      </c>
      <c r="C1285" s="52" t="str">
        <f aca="false">IF(L1285="","",INDEX(ポート振替表!$B$5:$B$3507,$L1285)&amp;" "&amp;INDEX(ポート振替表!$C$5:$C$3507,$L1285)&amp;"  ⇔  "&amp;INDEX(ポート振替表!$H$5:$H$3507,$L1285)&amp;" "&amp;INDEX(ポート振替表!$I$5:$I$3507,$L1285))</f>
        <v/>
      </c>
      <c r="D1285" s="57" t="s">
        <v>158</v>
      </c>
      <c r="E1285" s="59" t="str">
        <f aca="false">IF(L1285="","",IF(INDEX(ポート振替表!$O$5:$O$3507,$L1285)="","(未設定)",INDEX(ポート振替表!$O$5:$O$3507,$L1285)&amp;""))</f>
        <v/>
      </c>
      <c r="F1285" s="52" t="str">
        <f aca="false">IF(L1285="","",INDEX(ポート振替表!$K$5:$K$3507,$L1285)&amp;" "&amp;INDEX(ポート振替表!$L$5:$L$3507,$L1285)&amp;"  ⇔  "&amp;INDEX(ポート振替表!$H$5:$H$3507,$L1285)&amp;" "&amp;INDEX(ポート振替表!$I$5:$I$3507,$L1285))</f>
        <v/>
      </c>
      <c r="G1285" s="57" t="s">
        <v>158</v>
      </c>
      <c r="H1285" s="32" t="str">
        <f aca="false">IF(L1285="","",INDEX(ポート振替表!$N$5:$N$3507,$L1285)&amp;"")</f>
        <v/>
      </c>
      <c r="I1285" s="32" t="str">
        <f aca="false">IF(L1285="","",INDEX(ポート振替表!$P$5:$P$3507,$L1285)&amp;"")</f>
        <v/>
      </c>
      <c r="J1285" s="60" t="str">
        <f aca="false">IF(L1285="","",INDEX(ポート振替表!$M$5:$M$3507,$L1285)&amp;"")</f>
        <v/>
      </c>
      <c r="K1285" s="52" t="str">
        <f aca="false">IF(L1285="","",E1285&amp;CHAR(10)&amp;INDEX(ポート振替表!$K$5:$K$3507,$L1285)&amp;" "&amp;INDEX(ポート振替表!$L$5:$L$3507,$L1285)&amp;CHAR(10)&amp;"⇔ "&amp;INDEX(ポート振替表!$H$5:$H$3507,$L1285)&amp;" "&amp;INDEX(ポート振替表!$I$5:$I$3507,$L1285))</f>
        <v/>
      </c>
      <c r="L1285" s="47" t="str">
        <f aca="false">IFERROR(MATCH(ROW()-4,ポート振替表!$V$5:$V$3507,0),"")</f>
        <v/>
      </c>
    </row>
    <row r="1286" customFormat="false" ht="16.4" hidden="false" customHeight="false" outlineLevel="0" collapsed="false">
      <c r="A1286" s="32" t="str">
        <f aca="false">IF(L1286="","",ROW()-4)</f>
        <v/>
      </c>
      <c r="B1286" s="58" t="str">
        <f aca="false">IF(L1286="","",IF(INDEX(ポート振替表!$W$5:$W$3507,$L1286)="","(なし)",INDEX(ポート振替表!$W$5:$W$3507,$L1286)&amp;""))</f>
        <v/>
      </c>
      <c r="C1286" s="52" t="str">
        <f aca="false">IF(L1286="","",INDEX(ポート振替表!$B$5:$B$3507,$L1286)&amp;" "&amp;INDEX(ポート振替表!$C$5:$C$3507,$L1286)&amp;"  ⇔  "&amp;INDEX(ポート振替表!$H$5:$H$3507,$L1286)&amp;" "&amp;INDEX(ポート振替表!$I$5:$I$3507,$L1286))</f>
        <v/>
      </c>
      <c r="D1286" s="57" t="s">
        <v>158</v>
      </c>
      <c r="E1286" s="59" t="str">
        <f aca="false">IF(L1286="","",IF(INDEX(ポート振替表!$O$5:$O$3507,$L1286)="","(未設定)",INDEX(ポート振替表!$O$5:$O$3507,$L1286)&amp;""))</f>
        <v/>
      </c>
      <c r="F1286" s="52" t="str">
        <f aca="false">IF(L1286="","",INDEX(ポート振替表!$K$5:$K$3507,$L1286)&amp;" "&amp;INDEX(ポート振替表!$L$5:$L$3507,$L1286)&amp;"  ⇔  "&amp;INDEX(ポート振替表!$H$5:$H$3507,$L1286)&amp;" "&amp;INDEX(ポート振替表!$I$5:$I$3507,$L1286))</f>
        <v/>
      </c>
      <c r="G1286" s="57" t="s">
        <v>158</v>
      </c>
      <c r="H1286" s="32" t="str">
        <f aca="false">IF(L1286="","",INDEX(ポート振替表!$N$5:$N$3507,$L1286)&amp;"")</f>
        <v/>
      </c>
      <c r="I1286" s="32" t="str">
        <f aca="false">IF(L1286="","",INDEX(ポート振替表!$P$5:$P$3507,$L1286)&amp;"")</f>
        <v/>
      </c>
      <c r="J1286" s="60" t="str">
        <f aca="false">IF(L1286="","",INDEX(ポート振替表!$M$5:$M$3507,$L1286)&amp;"")</f>
        <v/>
      </c>
      <c r="K1286" s="52" t="str">
        <f aca="false">IF(L1286="","",E1286&amp;CHAR(10)&amp;INDEX(ポート振替表!$K$5:$K$3507,$L1286)&amp;" "&amp;INDEX(ポート振替表!$L$5:$L$3507,$L1286)&amp;CHAR(10)&amp;"⇔ "&amp;INDEX(ポート振替表!$H$5:$H$3507,$L1286)&amp;" "&amp;INDEX(ポート振替表!$I$5:$I$3507,$L1286))</f>
        <v/>
      </c>
      <c r="L1286" s="47" t="str">
        <f aca="false">IFERROR(MATCH(ROW()-4,ポート振替表!$V$5:$V$3507,0),"")</f>
        <v/>
      </c>
    </row>
    <row r="1287" customFormat="false" ht="16.4" hidden="false" customHeight="false" outlineLevel="0" collapsed="false">
      <c r="A1287" s="32" t="str">
        <f aca="false">IF(L1287="","",ROW()-4)</f>
        <v/>
      </c>
      <c r="B1287" s="58" t="str">
        <f aca="false">IF(L1287="","",IF(INDEX(ポート振替表!$W$5:$W$3507,$L1287)="","(なし)",INDEX(ポート振替表!$W$5:$W$3507,$L1287)&amp;""))</f>
        <v/>
      </c>
      <c r="C1287" s="52" t="str">
        <f aca="false">IF(L1287="","",INDEX(ポート振替表!$B$5:$B$3507,$L1287)&amp;" "&amp;INDEX(ポート振替表!$C$5:$C$3507,$L1287)&amp;"  ⇔  "&amp;INDEX(ポート振替表!$H$5:$H$3507,$L1287)&amp;" "&amp;INDEX(ポート振替表!$I$5:$I$3507,$L1287))</f>
        <v/>
      </c>
      <c r="D1287" s="57" t="s">
        <v>158</v>
      </c>
      <c r="E1287" s="59" t="str">
        <f aca="false">IF(L1287="","",IF(INDEX(ポート振替表!$O$5:$O$3507,$L1287)="","(未設定)",INDEX(ポート振替表!$O$5:$O$3507,$L1287)&amp;""))</f>
        <v/>
      </c>
      <c r="F1287" s="52" t="str">
        <f aca="false">IF(L1287="","",INDEX(ポート振替表!$K$5:$K$3507,$L1287)&amp;" "&amp;INDEX(ポート振替表!$L$5:$L$3507,$L1287)&amp;"  ⇔  "&amp;INDEX(ポート振替表!$H$5:$H$3507,$L1287)&amp;" "&amp;INDEX(ポート振替表!$I$5:$I$3507,$L1287))</f>
        <v/>
      </c>
      <c r="G1287" s="57" t="s">
        <v>158</v>
      </c>
      <c r="H1287" s="32" t="str">
        <f aca="false">IF(L1287="","",INDEX(ポート振替表!$N$5:$N$3507,$L1287)&amp;"")</f>
        <v/>
      </c>
      <c r="I1287" s="32" t="str">
        <f aca="false">IF(L1287="","",INDEX(ポート振替表!$P$5:$P$3507,$L1287)&amp;"")</f>
        <v/>
      </c>
      <c r="J1287" s="60" t="str">
        <f aca="false">IF(L1287="","",INDEX(ポート振替表!$M$5:$M$3507,$L1287)&amp;"")</f>
        <v/>
      </c>
      <c r="K1287" s="52" t="str">
        <f aca="false">IF(L1287="","",E1287&amp;CHAR(10)&amp;INDEX(ポート振替表!$K$5:$K$3507,$L1287)&amp;" "&amp;INDEX(ポート振替表!$L$5:$L$3507,$L1287)&amp;CHAR(10)&amp;"⇔ "&amp;INDEX(ポート振替表!$H$5:$H$3507,$L1287)&amp;" "&amp;INDEX(ポート振替表!$I$5:$I$3507,$L1287))</f>
        <v/>
      </c>
      <c r="L1287" s="47" t="str">
        <f aca="false">IFERROR(MATCH(ROW()-4,ポート振替表!$V$5:$V$3507,0),"")</f>
        <v/>
      </c>
    </row>
    <row r="1288" customFormat="false" ht="16.4" hidden="false" customHeight="false" outlineLevel="0" collapsed="false">
      <c r="A1288" s="32" t="str">
        <f aca="false">IF(L1288="","",ROW()-4)</f>
        <v/>
      </c>
      <c r="B1288" s="58" t="str">
        <f aca="false">IF(L1288="","",IF(INDEX(ポート振替表!$W$5:$W$3507,$L1288)="","(なし)",INDEX(ポート振替表!$W$5:$W$3507,$L1288)&amp;""))</f>
        <v/>
      </c>
      <c r="C1288" s="52" t="str">
        <f aca="false">IF(L1288="","",INDEX(ポート振替表!$B$5:$B$3507,$L1288)&amp;" "&amp;INDEX(ポート振替表!$C$5:$C$3507,$L1288)&amp;"  ⇔  "&amp;INDEX(ポート振替表!$H$5:$H$3507,$L1288)&amp;" "&amp;INDEX(ポート振替表!$I$5:$I$3507,$L1288))</f>
        <v/>
      </c>
      <c r="D1288" s="57" t="s">
        <v>158</v>
      </c>
      <c r="E1288" s="59" t="str">
        <f aca="false">IF(L1288="","",IF(INDEX(ポート振替表!$O$5:$O$3507,$L1288)="","(未設定)",INDEX(ポート振替表!$O$5:$O$3507,$L1288)&amp;""))</f>
        <v/>
      </c>
      <c r="F1288" s="52" t="str">
        <f aca="false">IF(L1288="","",INDEX(ポート振替表!$K$5:$K$3507,$L1288)&amp;" "&amp;INDEX(ポート振替表!$L$5:$L$3507,$L1288)&amp;"  ⇔  "&amp;INDEX(ポート振替表!$H$5:$H$3507,$L1288)&amp;" "&amp;INDEX(ポート振替表!$I$5:$I$3507,$L1288))</f>
        <v/>
      </c>
      <c r="G1288" s="57" t="s">
        <v>158</v>
      </c>
      <c r="H1288" s="32" t="str">
        <f aca="false">IF(L1288="","",INDEX(ポート振替表!$N$5:$N$3507,$L1288)&amp;"")</f>
        <v/>
      </c>
      <c r="I1288" s="32" t="str">
        <f aca="false">IF(L1288="","",INDEX(ポート振替表!$P$5:$P$3507,$L1288)&amp;"")</f>
        <v/>
      </c>
      <c r="J1288" s="60" t="str">
        <f aca="false">IF(L1288="","",INDEX(ポート振替表!$M$5:$M$3507,$L1288)&amp;"")</f>
        <v/>
      </c>
      <c r="K1288" s="52" t="str">
        <f aca="false">IF(L1288="","",E1288&amp;CHAR(10)&amp;INDEX(ポート振替表!$K$5:$K$3507,$L1288)&amp;" "&amp;INDEX(ポート振替表!$L$5:$L$3507,$L1288)&amp;CHAR(10)&amp;"⇔ "&amp;INDEX(ポート振替表!$H$5:$H$3507,$L1288)&amp;" "&amp;INDEX(ポート振替表!$I$5:$I$3507,$L1288))</f>
        <v/>
      </c>
      <c r="L1288" s="47" t="str">
        <f aca="false">IFERROR(MATCH(ROW()-4,ポート振替表!$V$5:$V$3507,0),"")</f>
        <v/>
      </c>
    </row>
    <row r="1289" customFormat="false" ht="16.4" hidden="false" customHeight="false" outlineLevel="0" collapsed="false">
      <c r="A1289" s="32" t="str">
        <f aca="false">IF(L1289="","",ROW()-4)</f>
        <v/>
      </c>
      <c r="B1289" s="58" t="str">
        <f aca="false">IF(L1289="","",IF(INDEX(ポート振替表!$W$5:$W$3507,$L1289)="","(なし)",INDEX(ポート振替表!$W$5:$W$3507,$L1289)&amp;""))</f>
        <v/>
      </c>
      <c r="C1289" s="52" t="str">
        <f aca="false">IF(L1289="","",INDEX(ポート振替表!$B$5:$B$3507,$L1289)&amp;" "&amp;INDEX(ポート振替表!$C$5:$C$3507,$L1289)&amp;"  ⇔  "&amp;INDEX(ポート振替表!$H$5:$H$3507,$L1289)&amp;" "&amp;INDEX(ポート振替表!$I$5:$I$3507,$L1289))</f>
        <v/>
      </c>
      <c r="D1289" s="57" t="s">
        <v>158</v>
      </c>
      <c r="E1289" s="59" t="str">
        <f aca="false">IF(L1289="","",IF(INDEX(ポート振替表!$O$5:$O$3507,$L1289)="","(未設定)",INDEX(ポート振替表!$O$5:$O$3507,$L1289)&amp;""))</f>
        <v/>
      </c>
      <c r="F1289" s="52" t="str">
        <f aca="false">IF(L1289="","",INDEX(ポート振替表!$K$5:$K$3507,$L1289)&amp;" "&amp;INDEX(ポート振替表!$L$5:$L$3507,$L1289)&amp;"  ⇔  "&amp;INDEX(ポート振替表!$H$5:$H$3507,$L1289)&amp;" "&amp;INDEX(ポート振替表!$I$5:$I$3507,$L1289))</f>
        <v/>
      </c>
      <c r="G1289" s="57" t="s">
        <v>158</v>
      </c>
      <c r="H1289" s="32" t="str">
        <f aca="false">IF(L1289="","",INDEX(ポート振替表!$N$5:$N$3507,$L1289)&amp;"")</f>
        <v/>
      </c>
      <c r="I1289" s="32" t="str">
        <f aca="false">IF(L1289="","",INDEX(ポート振替表!$P$5:$P$3507,$L1289)&amp;"")</f>
        <v/>
      </c>
      <c r="J1289" s="60" t="str">
        <f aca="false">IF(L1289="","",INDEX(ポート振替表!$M$5:$M$3507,$L1289)&amp;"")</f>
        <v/>
      </c>
      <c r="K1289" s="52" t="str">
        <f aca="false">IF(L1289="","",E1289&amp;CHAR(10)&amp;INDEX(ポート振替表!$K$5:$K$3507,$L1289)&amp;" "&amp;INDEX(ポート振替表!$L$5:$L$3507,$L1289)&amp;CHAR(10)&amp;"⇔ "&amp;INDEX(ポート振替表!$H$5:$H$3507,$L1289)&amp;" "&amp;INDEX(ポート振替表!$I$5:$I$3507,$L1289))</f>
        <v/>
      </c>
      <c r="L1289" s="47" t="str">
        <f aca="false">IFERROR(MATCH(ROW()-4,ポート振替表!$V$5:$V$3507,0),"")</f>
        <v/>
      </c>
    </row>
    <row r="1290" customFormat="false" ht="16.4" hidden="false" customHeight="false" outlineLevel="0" collapsed="false">
      <c r="A1290" s="32" t="str">
        <f aca="false">IF(L1290="","",ROW()-4)</f>
        <v/>
      </c>
      <c r="B1290" s="58" t="str">
        <f aca="false">IF(L1290="","",IF(INDEX(ポート振替表!$W$5:$W$3507,$L1290)="","(なし)",INDEX(ポート振替表!$W$5:$W$3507,$L1290)&amp;""))</f>
        <v/>
      </c>
      <c r="C1290" s="52" t="str">
        <f aca="false">IF(L1290="","",INDEX(ポート振替表!$B$5:$B$3507,$L1290)&amp;" "&amp;INDEX(ポート振替表!$C$5:$C$3507,$L1290)&amp;"  ⇔  "&amp;INDEX(ポート振替表!$H$5:$H$3507,$L1290)&amp;" "&amp;INDEX(ポート振替表!$I$5:$I$3507,$L1290))</f>
        <v/>
      </c>
      <c r="D1290" s="57" t="s">
        <v>158</v>
      </c>
      <c r="E1290" s="59" t="str">
        <f aca="false">IF(L1290="","",IF(INDEX(ポート振替表!$O$5:$O$3507,$L1290)="","(未設定)",INDEX(ポート振替表!$O$5:$O$3507,$L1290)&amp;""))</f>
        <v/>
      </c>
      <c r="F1290" s="52" t="str">
        <f aca="false">IF(L1290="","",INDEX(ポート振替表!$K$5:$K$3507,$L1290)&amp;" "&amp;INDEX(ポート振替表!$L$5:$L$3507,$L1290)&amp;"  ⇔  "&amp;INDEX(ポート振替表!$H$5:$H$3507,$L1290)&amp;" "&amp;INDEX(ポート振替表!$I$5:$I$3507,$L1290))</f>
        <v/>
      </c>
      <c r="G1290" s="57" t="s">
        <v>158</v>
      </c>
      <c r="H1290" s="32" t="str">
        <f aca="false">IF(L1290="","",INDEX(ポート振替表!$N$5:$N$3507,$L1290)&amp;"")</f>
        <v/>
      </c>
      <c r="I1290" s="32" t="str">
        <f aca="false">IF(L1290="","",INDEX(ポート振替表!$P$5:$P$3507,$L1290)&amp;"")</f>
        <v/>
      </c>
      <c r="J1290" s="60" t="str">
        <f aca="false">IF(L1290="","",INDEX(ポート振替表!$M$5:$M$3507,$L1290)&amp;"")</f>
        <v/>
      </c>
      <c r="K1290" s="52" t="str">
        <f aca="false">IF(L1290="","",E1290&amp;CHAR(10)&amp;INDEX(ポート振替表!$K$5:$K$3507,$L1290)&amp;" "&amp;INDEX(ポート振替表!$L$5:$L$3507,$L1290)&amp;CHAR(10)&amp;"⇔ "&amp;INDEX(ポート振替表!$H$5:$H$3507,$L1290)&amp;" "&amp;INDEX(ポート振替表!$I$5:$I$3507,$L1290))</f>
        <v/>
      </c>
      <c r="L1290" s="47" t="str">
        <f aca="false">IFERROR(MATCH(ROW()-4,ポート振替表!$V$5:$V$3507,0),"")</f>
        <v/>
      </c>
    </row>
    <row r="1291" customFormat="false" ht="16.4" hidden="false" customHeight="false" outlineLevel="0" collapsed="false">
      <c r="A1291" s="32" t="str">
        <f aca="false">IF(L1291="","",ROW()-4)</f>
        <v/>
      </c>
      <c r="B1291" s="58" t="str">
        <f aca="false">IF(L1291="","",IF(INDEX(ポート振替表!$W$5:$W$3507,$L1291)="","(なし)",INDEX(ポート振替表!$W$5:$W$3507,$L1291)&amp;""))</f>
        <v/>
      </c>
      <c r="C1291" s="52" t="str">
        <f aca="false">IF(L1291="","",INDEX(ポート振替表!$B$5:$B$3507,$L1291)&amp;" "&amp;INDEX(ポート振替表!$C$5:$C$3507,$L1291)&amp;"  ⇔  "&amp;INDEX(ポート振替表!$H$5:$H$3507,$L1291)&amp;" "&amp;INDEX(ポート振替表!$I$5:$I$3507,$L1291))</f>
        <v/>
      </c>
      <c r="D1291" s="57" t="s">
        <v>158</v>
      </c>
      <c r="E1291" s="59" t="str">
        <f aca="false">IF(L1291="","",IF(INDEX(ポート振替表!$O$5:$O$3507,$L1291)="","(未設定)",INDEX(ポート振替表!$O$5:$O$3507,$L1291)&amp;""))</f>
        <v/>
      </c>
      <c r="F1291" s="52" t="str">
        <f aca="false">IF(L1291="","",INDEX(ポート振替表!$K$5:$K$3507,$L1291)&amp;" "&amp;INDEX(ポート振替表!$L$5:$L$3507,$L1291)&amp;"  ⇔  "&amp;INDEX(ポート振替表!$H$5:$H$3507,$L1291)&amp;" "&amp;INDEX(ポート振替表!$I$5:$I$3507,$L1291))</f>
        <v/>
      </c>
      <c r="G1291" s="57" t="s">
        <v>158</v>
      </c>
      <c r="H1291" s="32" t="str">
        <f aca="false">IF(L1291="","",INDEX(ポート振替表!$N$5:$N$3507,$L1291)&amp;"")</f>
        <v/>
      </c>
      <c r="I1291" s="32" t="str">
        <f aca="false">IF(L1291="","",INDEX(ポート振替表!$P$5:$P$3507,$L1291)&amp;"")</f>
        <v/>
      </c>
      <c r="J1291" s="60" t="str">
        <f aca="false">IF(L1291="","",INDEX(ポート振替表!$M$5:$M$3507,$L1291)&amp;"")</f>
        <v/>
      </c>
      <c r="K1291" s="52" t="str">
        <f aca="false">IF(L1291="","",E1291&amp;CHAR(10)&amp;INDEX(ポート振替表!$K$5:$K$3507,$L1291)&amp;" "&amp;INDEX(ポート振替表!$L$5:$L$3507,$L1291)&amp;CHAR(10)&amp;"⇔ "&amp;INDEX(ポート振替表!$H$5:$H$3507,$L1291)&amp;" "&amp;INDEX(ポート振替表!$I$5:$I$3507,$L1291))</f>
        <v/>
      </c>
      <c r="L1291" s="47" t="str">
        <f aca="false">IFERROR(MATCH(ROW()-4,ポート振替表!$V$5:$V$3507,0),"")</f>
        <v/>
      </c>
    </row>
    <row r="1292" customFormat="false" ht="16.4" hidden="false" customHeight="false" outlineLevel="0" collapsed="false">
      <c r="A1292" s="32" t="str">
        <f aca="false">IF(L1292="","",ROW()-4)</f>
        <v/>
      </c>
      <c r="B1292" s="58" t="str">
        <f aca="false">IF(L1292="","",IF(INDEX(ポート振替表!$W$5:$W$3507,$L1292)="","(なし)",INDEX(ポート振替表!$W$5:$W$3507,$L1292)&amp;""))</f>
        <v/>
      </c>
      <c r="C1292" s="52" t="str">
        <f aca="false">IF(L1292="","",INDEX(ポート振替表!$B$5:$B$3507,$L1292)&amp;" "&amp;INDEX(ポート振替表!$C$5:$C$3507,$L1292)&amp;"  ⇔  "&amp;INDEX(ポート振替表!$H$5:$H$3507,$L1292)&amp;" "&amp;INDEX(ポート振替表!$I$5:$I$3507,$L1292))</f>
        <v/>
      </c>
      <c r="D1292" s="57" t="s">
        <v>158</v>
      </c>
      <c r="E1292" s="59" t="str">
        <f aca="false">IF(L1292="","",IF(INDEX(ポート振替表!$O$5:$O$3507,$L1292)="","(未設定)",INDEX(ポート振替表!$O$5:$O$3507,$L1292)&amp;""))</f>
        <v/>
      </c>
      <c r="F1292" s="52" t="str">
        <f aca="false">IF(L1292="","",INDEX(ポート振替表!$K$5:$K$3507,$L1292)&amp;" "&amp;INDEX(ポート振替表!$L$5:$L$3507,$L1292)&amp;"  ⇔  "&amp;INDEX(ポート振替表!$H$5:$H$3507,$L1292)&amp;" "&amp;INDEX(ポート振替表!$I$5:$I$3507,$L1292))</f>
        <v/>
      </c>
      <c r="G1292" s="57" t="s">
        <v>158</v>
      </c>
      <c r="H1292" s="32" t="str">
        <f aca="false">IF(L1292="","",INDEX(ポート振替表!$N$5:$N$3507,$L1292)&amp;"")</f>
        <v/>
      </c>
      <c r="I1292" s="32" t="str">
        <f aca="false">IF(L1292="","",INDEX(ポート振替表!$P$5:$P$3507,$L1292)&amp;"")</f>
        <v/>
      </c>
      <c r="J1292" s="60" t="str">
        <f aca="false">IF(L1292="","",INDEX(ポート振替表!$M$5:$M$3507,$L1292)&amp;"")</f>
        <v/>
      </c>
      <c r="K1292" s="52" t="str">
        <f aca="false">IF(L1292="","",E1292&amp;CHAR(10)&amp;INDEX(ポート振替表!$K$5:$K$3507,$L1292)&amp;" "&amp;INDEX(ポート振替表!$L$5:$L$3507,$L1292)&amp;CHAR(10)&amp;"⇔ "&amp;INDEX(ポート振替表!$H$5:$H$3507,$L1292)&amp;" "&amp;INDEX(ポート振替表!$I$5:$I$3507,$L1292))</f>
        <v/>
      </c>
      <c r="L1292" s="47" t="str">
        <f aca="false">IFERROR(MATCH(ROW()-4,ポート振替表!$V$5:$V$3507,0),"")</f>
        <v/>
      </c>
    </row>
    <row r="1293" customFormat="false" ht="16.4" hidden="false" customHeight="false" outlineLevel="0" collapsed="false">
      <c r="A1293" s="32" t="str">
        <f aca="false">IF(L1293="","",ROW()-4)</f>
        <v/>
      </c>
      <c r="B1293" s="58" t="str">
        <f aca="false">IF(L1293="","",IF(INDEX(ポート振替表!$W$5:$W$3507,$L1293)="","(なし)",INDEX(ポート振替表!$W$5:$W$3507,$L1293)&amp;""))</f>
        <v/>
      </c>
      <c r="C1293" s="52" t="str">
        <f aca="false">IF(L1293="","",INDEX(ポート振替表!$B$5:$B$3507,$L1293)&amp;" "&amp;INDEX(ポート振替表!$C$5:$C$3507,$L1293)&amp;"  ⇔  "&amp;INDEX(ポート振替表!$H$5:$H$3507,$L1293)&amp;" "&amp;INDEX(ポート振替表!$I$5:$I$3507,$L1293))</f>
        <v/>
      </c>
      <c r="D1293" s="57" t="s">
        <v>158</v>
      </c>
      <c r="E1293" s="59" t="str">
        <f aca="false">IF(L1293="","",IF(INDEX(ポート振替表!$O$5:$O$3507,$L1293)="","(未設定)",INDEX(ポート振替表!$O$5:$O$3507,$L1293)&amp;""))</f>
        <v/>
      </c>
      <c r="F1293" s="52" t="str">
        <f aca="false">IF(L1293="","",INDEX(ポート振替表!$K$5:$K$3507,$L1293)&amp;" "&amp;INDEX(ポート振替表!$L$5:$L$3507,$L1293)&amp;"  ⇔  "&amp;INDEX(ポート振替表!$H$5:$H$3507,$L1293)&amp;" "&amp;INDEX(ポート振替表!$I$5:$I$3507,$L1293))</f>
        <v/>
      </c>
      <c r="G1293" s="57" t="s">
        <v>158</v>
      </c>
      <c r="H1293" s="32" t="str">
        <f aca="false">IF(L1293="","",INDEX(ポート振替表!$N$5:$N$3507,$L1293)&amp;"")</f>
        <v/>
      </c>
      <c r="I1293" s="32" t="str">
        <f aca="false">IF(L1293="","",INDEX(ポート振替表!$P$5:$P$3507,$L1293)&amp;"")</f>
        <v/>
      </c>
      <c r="J1293" s="60" t="str">
        <f aca="false">IF(L1293="","",INDEX(ポート振替表!$M$5:$M$3507,$L1293)&amp;"")</f>
        <v/>
      </c>
      <c r="K1293" s="52" t="str">
        <f aca="false">IF(L1293="","",E1293&amp;CHAR(10)&amp;INDEX(ポート振替表!$K$5:$K$3507,$L1293)&amp;" "&amp;INDEX(ポート振替表!$L$5:$L$3507,$L1293)&amp;CHAR(10)&amp;"⇔ "&amp;INDEX(ポート振替表!$H$5:$H$3507,$L1293)&amp;" "&amp;INDEX(ポート振替表!$I$5:$I$3507,$L1293))</f>
        <v/>
      </c>
      <c r="L1293" s="47" t="str">
        <f aca="false">IFERROR(MATCH(ROW()-4,ポート振替表!$V$5:$V$3507,0),"")</f>
        <v/>
      </c>
    </row>
    <row r="1294" customFormat="false" ht="16.4" hidden="false" customHeight="false" outlineLevel="0" collapsed="false">
      <c r="A1294" s="32" t="str">
        <f aca="false">IF(L1294="","",ROW()-4)</f>
        <v/>
      </c>
      <c r="B1294" s="58" t="str">
        <f aca="false">IF(L1294="","",IF(INDEX(ポート振替表!$W$5:$W$3507,$L1294)="","(なし)",INDEX(ポート振替表!$W$5:$W$3507,$L1294)&amp;""))</f>
        <v/>
      </c>
      <c r="C1294" s="52" t="str">
        <f aca="false">IF(L1294="","",INDEX(ポート振替表!$B$5:$B$3507,$L1294)&amp;" "&amp;INDEX(ポート振替表!$C$5:$C$3507,$L1294)&amp;"  ⇔  "&amp;INDEX(ポート振替表!$H$5:$H$3507,$L1294)&amp;" "&amp;INDEX(ポート振替表!$I$5:$I$3507,$L1294))</f>
        <v/>
      </c>
      <c r="D1294" s="57" t="s">
        <v>158</v>
      </c>
      <c r="E1294" s="59" t="str">
        <f aca="false">IF(L1294="","",IF(INDEX(ポート振替表!$O$5:$O$3507,$L1294)="","(未設定)",INDEX(ポート振替表!$O$5:$O$3507,$L1294)&amp;""))</f>
        <v/>
      </c>
      <c r="F1294" s="52" t="str">
        <f aca="false">IF(L1294="","",INDEX(ポート振替表!$K$5:$K$3507,$L1294)&amp;" "&amp;INDEX(ポート振替表!$L$5:$L$3507,$L1294)&amp;"  ⇔  "&amp;INDEX(ポート振替表!$H$5:$H$3507,$L1294)&amp;" "&amp;INDEX(ポート振替表!$I$5:$I$3507,$L1294))</f>
        <v/>
      </c>
      <c r="G1294" s="57" t="s">
        <v>158</v>
      </c>
      <c r="H1294" s="32" t="str">
        <f aca="false">IF(L1294="","",INDEX(ポート振替表!$N$5:$N$3507,$L1294)&amp;"")</f>
        <v/>
      </c>
      <c r="I1294" s="32" t="str">
        <f aca="false">IF(L1294="","",INDEX(ポート振替表!$P$5:$P$3507,$L1294)&amp;"")</f>
        <v/>
      </c>
      <c r="J1294" s="60" t="str">
        <f aca="false">IF(L1294="","",INDEX(ポート振替表!$M$5:$M$3507,$L1294)&amp;"")</f>
        <v/>
      </c>
      <c r="K1294" s="52" t="str">
        <f aca="false">IF(L1294="","",E1294&amp;CHAR(10)&amp;INDEX(ポート振替表!$K$5:$K$3507,$L1294)&amp;" "&amp;INDEX(ポート振替表!$L$5:$L$3507,$L1294)&amp;CHAR(10)&amp;"⇔ "&amp;INDEX(ポート振替表!$H$5:$H$3507,$L1294)&amp;" "&amp;INDEX(ポート振替表!$I$5:$I$3507,$L1294))</f>
        <v/>
      </c>
      <c r="L1294" s="47" t="str">
        <f aca="false">IFERROR(MATCH(ROW()-4,ポート振替表!$V$5:$V$3507,0),"")</f>
        <v/>
      </c>
    </row>
    <row r="1295" customFormat="false" ht="16.4" hidden="false" customHeight="false" outlineLevel="0" collapsed="false">
      <c r="A1295" s="32" t="str">
        <f aca="false">IF(L1295="","",ROW()-4)</f>
        <v/>
      </c>
      <c r="B1295" s="58" t="str">
        <f aca="false">IF(L1295="","",IF(INDEX(ポート振替表!$W$5:$W$3507,$L1295)="","(なし)",INDEX(ポート振替表!$W$5:$W$3507,$L1295)&amp;""))</f>
        <v/>
      </c>
      <c r="C1295" s="52" t="str">
        <f aca="false">IF(L1295="","",INDEX(ポート振替表!$B$5:$B$3507,$L1295)&amp;" "&amp;INDEX(ポート振替表!$C$5:$C$3507,$L1295)&amp;"  ⇔  "&amp;INDEX(ポート振替表!$H$5:$H$3507,$L1295)&amp;" "&amp;INDEX(ポート振替表!$I$5:$I$3507,$L1295))</f>
        <v/>
      </c>
      <c r="D1295" s="57" t="s">
        <v>158</v>
      </c>
      <c r="E1295" s="59" t="str">
        <f aca="false">IF(L1295="","",IF(INDEX(ポート振替表!$O$5:$O$3507,$L1295)="","(未設定)",INDEX(ポート振替表!$O$5:$O$3507,$L1295)&amp;""))</f>
        <v/>
      </c>
      <c r="F1295" s="52" t="str">
        <f aca="false">IF(L1295="","",INDEX(ポート振替表!$K$5:$K$3507,$L1295)&amp;" "&amp;INDEX(ポート振替表!$L$5:$L$3507,$L1295)&amp;"  ⇔  "&amp;INDEX(ポート振替表!$H$5:$H$3507,$L1295)&amp;" "&amp;INDEX(ポート振替表!$I$5:$I$3507,$L1295))</f>
        <v/>
      </c>
      <c r="G1295" s="57" t="s">
        <v>158</v>
      </c>
      <c r="H1295" s="32" t="str">
        <f aca="false">IF(L1295="","",INDEX(ポート振替表!$N$5:$N$3507,$L1295)&amp;"")</f>
        <v/>
      </c>
      <c r="I1295" s="32" t="str">
        <f aca="false">IF(L1295="","",INDEX(ポート振替表!$P$5:$P$3507,$L1295)&amp;"")</f>
        <v/>
      </c>
      <c r="J1295" s="60" t="str">
        <f aca="false">IF(L1295="","",INDEX(ポート振替表!$M$5:$M$3507,$L1295)&amp;"")</f>
        <v/>
      </c>
      <c r="K1295" s="52" t="str">
        <f aca="false">IF(L1295="","",E1295&amp;CHAR(10)&amp;INDEX(ポート振替表!$K$5:$K$3507,$L1295)&amp;" "&amp;INDEX(ポート振替表!$L$5:$L$3507,$L1295)&amp;CHAR(10)&amp;"⇔ "&amp;INDEX(ポート振替表!$H$5:$H$3507,$L1295)&amp;" "&amp;INDEX(ポート振替表!$I$5:$I$3507,$L1295))</f>
        <v/>
      </c>
      <c r="L1295" s="47" t="str">
        <f aca="false">IFERROR(MATCH(ROW()-4,ポート振替表!$V$5:$V$3507,0),"")</f>
        <v/>
      </c>
    </row>
    <row r="1296" customFormat="false" ht="16.4" hidden="false" customHeight="false" outlineLevel="0" collapsed="false">
      <c r="A1296" s="32" t="str">
        <f aca="false">IF(L1296="","",ROW()-4)</f>
        <v/>
      </c>
      <c r="B1296" s="58" t="str">
        <f aca="false">IF(L1296="","",IF(INDEX(ポート振替表!$W$5:$W$3507,$L1296)="","(なし)",INDEX(ポート振替表!$W$5:$W$3507,$L1296)&amp;""))</f>
        <v/>
      </c>
      <c r="C1296" s="52" t="str">
        <f aca="false">IF(L1296="","",INDEX(ポート振替表!$B$5:$B$3507,$L1296)&amp;" "&amp;INDEX(ポート振替表!$C$5:$C$3507,$L1296)&amp;"  ⇔  "&amp;INDEX(ポート振替表!$H$5:$H$3507,$L1296)&amp;" "&amp;INDEX(ポート振替表!$I$5:$I$3507,$L1296))</f>
        <v/>
      </c>
      <c r="D1296" s="57" t="s">
        <v>158</v>
      </c>
      <c r="E1296" s="59" t="str">
        <f aca="false">IF(L1296="","",IF(INDEX(ポート振替表!$O$5:$O$3507,$L1296)="","(未設定)",INDEX(ポート振替表!$O$5:$O$3507,$L1296)&amp;""))</f>
        <v/>
      </c>
      <c r="F1296" s="52" t="str">
        <f aca="false">IF(L1296="","",INDEX(ポート振替表!$K$5:$K$3507,$L1296)&amp;" "&amp;INDEX(ポート振替表!$L$5:$L$3507,$L1296)&amp;"  ⇔  "&amp;INDEX(ポート振替表!$H$5:$H$3507,$L1296)&amp;" "&amp;INDEX(ポート振替表!$I$5:$I$3507,$L1296))</f>
        <v/>
      </c>
      <c r="G1296" s="57" t="s">
        <v>158</v>
      </c>
      <c r="H1296" s="32" t="str">
        <f aca="false">IF(L1296="","",INDEX(ポート振替表!$N$5:$N$3507,$L1296)&amp;"")</f>
        <v/>
      </c>
      <c r="I1296" s="32" t="str">
        <f aca="false">IF(L1296="","",INDEX(ポート振替表!$P$5:$P$3507,$L1296)&amp;"")</f>
        <v/>
      </c>
      <c r="J1296" s="60" t="str">
        <f aca="false">IF(L1296="","",INDEX(ポート振替表!$M$5:$M$3507,$L1296)&amp;"")</f>
        <v/>
      </c>
      <c r="K1296" s="52" t="str">
        <f aca="false">IF(L1296="","",E1296&amp;CHAR(10)&amp;INDEX(ポート振替表!$K$5:$K$3507,$L1296)&amp;" "&amp;INDEX(ポート振替表!$L$5:$L$3507,$L1296)&amp;CHAR(10)&amp;"⇔ "&amp;INDEX(ポート振替表!$H$5:$H$3507,$L1296)&amp;" "&amp;INDEX(ポート振替表!$I$5:$I$3507,$L1296))</f>
        <v/>
      </c>
      <c r="L1296" s="47" t="str">
        <f aca="false">IFERROR(MATCH(ROW()-4,ポート振替表!$V$5:$V$3507,0),"")</f>
        <v/>
      </c>
    </row>
    <row r="1297" customFormat="false" ht="16.4" hidden="false" customHeight="false" outlineLevel="0" collapsed="false">
      <c r="A1297" s="32" t="str">
        <f aca="false">IF(L1297="","",ROW()-4)</f>
        <v/>
      </c>
      <c r="B1297" s="58" t="str">
        <f aca="false">IF(L1297="","",IF(INDEX(ポート振替表!$W$5:$W$3507,$L1297)="","(なし)",INDEX(ポート振替表!$W$5:$W$3507,$L1297)&amp;""))</f>
        <v/>
      </c>
      <c r="C1297" s="52" t="str">
        <f aca="false">IF(L1297="","",INDEX(ポート振替表!$B$5:$B$3507,$L1297)&amp;" "&amp;INDEX(ポート振替表!$C$5:$C$3507,$L1297)&amp;"  ⇔  "&amp;INDEX(ポート振替表!$H$5:$H$3507,$L1297)&amp;" "&amp;INDEX(ポート振替表!$I$5:$I$3507,$L1297))</f>
        <v/>
      </c>
      <c r="D1297" s="57" t="s">
        <v>158</v>
      </c>
      <c r="E1297" s="59" t="str">
        <f aca="false">IF(L1297="","",IF(INDEX(ポート振替表!$O$5:$O$3507,$L1297)="","(未設定)",INDEX(ポート振替表!$O$5:$O$3507,$L1297)&amp;""))</f>
        <v/>
      </c>
      <c r="F1297" s="52" t="str">
        <f aca="false">IF(L1297="","",INDEX(ポート振替表!$K$5:$K$3507,$L1297)&amp;" "&amp;INDEX(ポート振替表!$L$5:$L$3507,$L1297)&amp;"  ⇔  "&amp;INDEX(ポート振替表!$H$5:$H$3507,$L1297)&amp;" "&amp;INDEX(ポート振替表!$I$5:$I$3507,$L1297))</f>
        <v/>
      </c>
      <c r="G1297" s="57" t="s">
        <v>158</v>
      </c>
      <c r="H1297" s="32" t="str">
        <f aca="false">IF(L1297="","",INDEX(ポート振替表!$N$5:$N$3507,$L1297)&amp;"")</f>
        <v/>
      </c>
      <c r="I1297" s="32" t="str">
        <f aca="false">IF(L1297="","",INDEX(ポート振替表!$P$5:$P$3507,$L1297)&amp;"")</f>
        <v/>
      </c>
      <c r="J1297" s="60" t="str">
        <f aca="false">IF(L1297="","",INDEX(ポート振替表!$M$5:$M$3507,$L1297)&amp;"")</f>
        <v/>
      </c>
      <c r="K1297" s="52" t="str">
        <f aca="false">IF(L1297="","",E1297&amp;CHAR(10)&amp;INDEX(ポート振替表!$K$5:$K$3507,$L1297)&amp;" "&amp;INDEX(ポート振替表!$L$5:$L$3507,$L1297)&amp;CHAR(10)&amp;"⇔ "&amp;INDEX(ポート振替表!$H$5:$H$3507,$L1297)&amp;" "&amp;INDEX(ポート振替表!$I$5:$I$3507,$L1297))</f>
        <v/>
      </c>
      <c r="L1297" s="47" t="str">
        <f aca="false">IFERROR(MATCH(ROW()-4,ポート振替表!$V$5:$V$3507,0),"")</f>
        <v/>
      </c>
    </row>
    <row r="1298" customFormat="false" ht="16.4" hidden="false" customHeight="false" outlineLevel="0" collapsed="false">
      <c r="A1298" s="32" t="str">
        <f aca="false">IF(L1298="","",ROW()-4)</f>
        <v/>
      </c>
      <c r="B1298" s="58" t="str">
        <f aca="false">IF(L1298="","",IF(INDEX(ポート振替表!$W$5:$W$3507,$L1298)="","(なし)",INDEX(ポート振替表!$W$5:$W$3507,$L1298)&amp;""))</f>
        <v/>
      </c>
      <c r="C1298" s="52" t="str">
        <f aca="false">IF(L1298="","",INDEX(ポート振替表!$B$5:$B$3507,$L1298)&amp;" "&amp;INDEX(ポート振替表!$C$5:$C$3507,$L1298)&amp;"  ⇔  "&amp;INDEX(ポート振替表!$H$5:$H$3507,$L1298)&amp;" "&amp;INDEX(ポート振替表!$I$5:$I$3507,$L1298))</f>
        <v/>
      </c>
      <c r="D1298" s="57" t="s">
        <v>158</v>
      </c>
      <c r="E1298" s="59" t="str">
        <f aca="false">IF(L1298="","",IF(INDEX(ポート振替表!$O$5:$O$3507,$L1298)="","(未設定)",INDEX(ポート振替表!$O$5:$O$3507,$L1298)&amp;""))</f>
        <v/>
      </c>
      <c r="F1298" s="52" t="str">
        <f aca="false">IF(L1298="","",INDEX(ポート振替表!$K$5:$K$3507,$L1298)&amp;" "&amp;INDEX(ポート振替表!$L$5:$L$3507,$L1298)&amp;"  ⇔  "&amp;INDEX(ポート振替表!$H$5:$H$3507,$L1298)&amp;" "&amp;INDEX(ポート振替表!$I$5:$I$3507,$L1298))</f>
        <v/>
      </c>
      <c r="G1298" s="57" t="s">
        <v>158</v>
      </c>
      <c r="H1298" s="32" t="str">
        <f aca="false">IF(L1298="","",INDEX(ポート振替表!$N$5:$N$3507,$L1298)&amp;"")</f>
        <v/>
      </c>
      <c r="I1298" s="32" t="str">
        <f aca="false">IF(L1298="","",INDEX(ポート振替表!$P$5:$P$3507,$L1298)&amp;"")</f>
        <v/>
      </c>
      <c r="J1298" s="60" t="str">
        <f aca="false">IF(L1298="","",INDEX(ポート振替表!$M$5:$M$3507,$L1298)&amp;"")</f>
        <v/>
      </c>
      <c r="K1298" s="52" t="str">
        <f aca="false">IF(L1298="","",E1298&amp;CHAR(10)&amp;INDEX(ポート振替表!$K$5:$K$3507,$L1298)&amp;" "&amp;INDEX(ポート振替表!$L$5:$L$3507,$L1298)&amp;CHAR(10)&amp;"⇔ "&amp;INDEX(ポート振替表!$H$5:$H$3507,$L1298)&amp;" "&amp;INDEX(ポート振替表!$I$5:$I$3507,$L1298))</f>
        <v/>
      </c>
      <c r="L1298" s="47" t="str">
        <f aca="false">IFERROR(MATCH(ROW()-4,ポート振替表!$V$5:$V$3507,0),"")</f>
        <v/>
      </c>
    </row>
    <row r="1299" customFormat="false" ht="16.4" hidden="false" customHeight="false" outlineLevel="0" collapsed="false">
      <c r="A1299" s="32" t="str">
        <f aca="false">IF(L1299="","",ROW()-4)</f>
        <v/>
      </c>
      <c r="B1299" s="58" t="str">
        <f aca="false">IF(L1299="","",IF(INDEX(ポート振替表!$W$5:$W$3507,$L1299)="","(なし)",INDEX(ポート振替表!$W$5:$W$3507,$L1299)&amp;""))</f>
        <v/>
      </c>
      <c r="C1299" s="52" t="str">
        <f aca="false">IF(L1299="","",INDEX(ポート振替表!$B$5:$B$3507,$L1299)&amp;" "&amp;INDEX(ポート振替表!$C$5:$C$3507,$L1299)&amp;"  ⇔  "&amp;INDEX(ポート振替表!$H$5:$H$3507,$L1299)&amp;" "&amp;INDEX(ポート振替表!$I$5:$I$3507,$L1299))</f>
        <v/>
      </c>
      <c r="D1299" s="57" t="s">
        <v>158</v>
      </c>
      <c r="E1299" s="59" t="str">
        <f aca="false">IF(L1299="","",IF(INDEX(ポート振替表!$O$5:$O$3507,$L1299)="","(未設定)",INDEX(ポート振替表!$O$5:$O$3507,$L1299)&amp;""))</f>
        <v/>
      </c>
      <c r="F1299" s="52" t="str">
        <f aca="false">IF(L1299="","",INDEX(ポート振替表!$K$5:$K$3507,$L1299)&amp;" "&amp;INDEX(ポート振替表!$L$5:$L$3507,$L1299)&amp;"  ⇔  "&amp;INDEX(ポート振替表!$H$5:$H$3507,$L1299)&amp;" "&amp;INDEX(ポート振替表!$I$5:$I$3507,$L1299))</f>
        <v/>
      </c>
      <c r="G1299" s="57" t="s">
        <v>158</v>
      </c>
      <c r="H1299" s="32" t="str">
        <f aca="false">IF(L1299="","",INDEX(ポート振替表!$N$5:$N$3507,$L1299)&amp;"")</f>
        <v/>
      </c>
      <c r="I1299" s="32" t="str">
        <f aca="false">IF(L1299="","",INDEX(ポート振替表!$P$5:$P$3507,$L1299)&amp;"")</f>
        <v/>
      </c>
      <c r="J1299" s="60" t="str">
        <f aca="false">IF(L1299="","",INDEX(ポート振替表!$M$5:$M$3507,$L1299)&amp;"")</f>
        <v/>
      </c>
      <c r="K1299" s="52" t="str">
        <f aca="false">IF(L1299="","",E1299&amp;CHAR(10)&amp;INDEX(ポート振替表!$K$5:$K$3507,$L1299)&amp;" "&amp;INDEX(ポート振替表!$L$5:$L$3507,$L1299)&amp;CHAR(10)&amp;"⇔ "&amp;INDEX(ポート振替表!$H$5:$H$3507,$L1299)&amp;" "&amp;INDEX(ポート振替表!$I$5:$I$3507,$L1299))</f>
        <v/>
      </c>
      <c r="L1299" s="47" t="str">
        <f aca="false">IFERROR(MATCH(ROW()-4,ポート振替表!$V$5:$V$3507,0),"")</f>
        <v/>
      </c>
    </row>
    <row r="1300" customFormat="false" ht="16.4" hidden="false" customHeight="false" outlineLevel="0" collapsed="false">
      <c r="A1300" s="32" t="str">
        <f aca="false">IF(L1300="","",ROW()-4)</f>
        <v/>
      </c>
      <c r="B1300" s="58" t="str">
        <f aca="false">IF(L1300="","",IF(INDEX(ポート振替表!$W$5:$W$3507,$L1300)="","(なし)",INDEX(ポート振替表!$W$5:$W$3507,$L1300)&amp;""))</f>
        <v/>
      </c>
      <c r="C1300" s="52" t="str">
        <f aca="false">IF(L1300="","",INDEX(ポート振替表!$B$5:$B$3507,$L1300)&amp;" "&amp;INDEX(ポート振替表!$C$5:$C$3507,$L1300)&amp;"  ⇔  "&amp;INDEX(ポート振替表!$H$5:$H$3507,$L1300)&amp;" "&amp;INDEX(ポート振替表!$I$5:$I$3507,$L1300))</f>
        <v/>
      </c>
      <c r="D1300" s="57" t="s">
        <v>158</v>
      </c>
      <c r="E1300" s="59" t="str">
        <f aca="false">IF(L1300="","",IF(INDEX(ポート振替表!$O$5:$O$3507,$L1300)="","(未設定)",INDEX(ポート振替表!$O$5:$O$3507,$L1300)&amp;""))</f>
        <v/>
      </c>
      <c r="F1300" s="52" t="str">
        <f aca="false">IF(L1300="","",INDEX(ポート振替表!$K$5:$K$3507,$L1300)&amp;" "&amp;INDEX(ポート振替表!$L$5:$L$3507,$L1300)&amp;"  ⇔  "&amp;INDEX(ポート振替表!$H$5:$H$3507,$L1300)&amp;" "&amp;INDEX(ポート振替表!$I$5:$I$3507,$L1300))</f>
        <v/>
      </c>
      <c r="G1300" s="57" t="s">
        <v>158</v>
      </c>
      <c r="H1300" s="32" t="str">
        <f aca="false">IF(L1300="","",INDEX(ポート振替表!$N$5:$N$3507,$L1300)&amp;"")</f>
        <v/>
      </c>
      <c r="I1300" s="32" t="str">
        <f aca="false">IF(L1300="","",INDEX(ポート振替表!$P$5:$P$3507,$L1300)&amp;"")</f>
        <v/>
      </c>
      <c r="J1300" s="60" t="str">
        <f aca="false">IF(L1300="","",INDEX(ポート振替表!$M$5:$M$3507,$L1300)&amp;"")</f>
        <v/>
      </c>
      <c r="K1300" s="52" t="str">
        <f aca="false">IF(L1300="","",E1300&amp;CHAR(10)&amp;INDEX(ポート振替表!$K$5:$K$3507,$L1300)&amp;" "&amp;INDEX(ポート振替表!$L$5:$L$3507,$L1300)&amp;CHAR(10)&amp;"⇔ "&amp;INDEX(ポート振替表!$H$5:$H$3507,$L1300)&amp;" "&amp;INDEX(ポート振替表!$I$5:$I$3507,$L1300))</f>
        <v/>
      </c>
      <c r="L1300" s="47" t="str">
        <f aca="false">IFERROR(MATCH(ROW()-4,ポート振替表!$V$5:$V$3507,0),"")</f>
        <v/>
      </c>
    </row>
    <row r="1301" customFormat="false" ht="16.4" hidden="false" customHeight="false" outlineLevel="0" collapsed="false">
      <c r="A1301" s="32" t="str">
        <f aca="false">IF(L1301="","",ROW()-4)</f>
        <v/>
      </c>
      <c r="B1301" s="58" t="str">
        <f aca="false">IF(L1301="","",IF(INDEX(ポート振替表!$W$5:$W$3507,$L1301)="","(なし)",INDEX(ポート振替表!$W$5:$W$3507,$L1301)&amp;""))</f>
        <v/>
      </c>
      <c r="C1301" s="52" t="str">
        <f aca="false">IF(L1301="","",INDEX(ポート振替表!$B$5:$B$3507,$L1301)&amp;" "&amp;INDEX(ポート振替表!$C$5:$C$3507,$L1301)&amp;"  ⇔  "&amp;INDEX(ポート振替表!$H$5:$H$3507,$L1301)&amp;" "&amp;INDEX(ポート振替表!$I$5:$I$3507,$L1301))</f>
        <v/>
      </c>
      <c r="D1301" s="57" t="s">
        <v>158</v>
      </c>
      <c r="E1301" s="59" t="str">
        <f aca="false">IF(L1301="","",IF(INDEX(ポート振替表!$O$5:$O$3507,$L1301)="","(未設定)",INDEX(ポート振替表!$O$5:$O$3507,$L1301)&amp;""))</f>
        <v/>
      </c>
      <c r="F1301" s="52" t="str">
        <f aca="false">IF(L1301="","",INDEX(ポート振替表!$K$5:$K$3507,$L1301)&amp;" "&amp;INDEX(ポート振替表!$L$5:$L$3507,$L1301)&amp;"  ⇔  "&amp;INDEX(ポート振替表!$H$5:$H$3507,$L1301)&amp;" "&amp;INDEX(ポート振替表!$I$5:$I$3507,$L1301))</f>
        <v/>
      </c>
      <c r="G1301" s="57" t="s">
        <v>158</v>
      </c>
      <c r="H1301" s="32" t="str">
        <f aca="false">IF(L1301="","",INDEX(ポート振替表!$N$5:$N$3507,$L1301)&amp;"")</f>
        <v/>
      </c>
      <c r="I1301" s="32" t="str">
        <f aca="false">IF(L1301="","",INDEX(ポート振替表!$P$5:$P$3507,$L1301)&amp;"")</f>
        <v/>
      </c>
      <c r="J1301" s="60" t="str">
        <f aca="false">IF(L1301="","",INDEX(ポート振替表!$M$5:$M$3507,$L1301)&amp;"")</f>
        <v/>
      </c>
      <c r="K1301" s="52" t="str">
        <f aca="false">IF(L1301="","",E1301&amp;CHAR(10)&amp;INDEX(ポート振替表!$K$5:$K$3507,$L1301)&amp;" "&amp;INDEX(ポート振替表!$L$5:$L$3507,$L1301)&amp;CHAR(10)&amp;"⇔ "&amp;INDEX(ポート振替表!$H$5:$H$3507,$L1301)&amp;" "&amp;INDEX(ポート振替表!$I$5:$I$3507,$L1301))</f>
        <v/>
      </c>
      <c r="L1301" s="47" t="str">
        <f aca="false">IFERROR(MATCH(ROW()-4,ポート振替表!$V$5:$V$3507,0),"")</f>
        <v/>
      </c>
    </row>
    <row r="1302" customFormat="false" ht="16.4" hidden="false" customHeight="false" outlineLevel="0" collapsed="false">
      <c r="A1302" s="32" t="str">
        <f aca="false">IF(L1302="","",ROW()-4)</f>
        <v/>
      </c>
      <c r="B1302" s="58" t="str">
        <f aca="false">IF(L1302="","",IF(INDEX(ポート振替表!$W$5:$W$3507,$L1302)="","(なし)",INDEX(ポート振替表!$W$5:$W$3507,$L1302)&amp;""))</f>
        <v/>
      </c>
      <c r="C1302" s="52" t="str">
        <f aca="false">IF(L1302="","",INDEX(ポート振替表!$B$5:$B$3507,$L1302)&amp;" "&amp;INDEX(ポート振替表!$C$5:$C$3507,$L1302)&amp;"  ⇔  "&amp;INDEX(ポート振替表!$H$5:$H$3507,$L1302)&amp;" "&amp;INDEX(ポート振替表!$I$5:$I$3507,$L1302))</f>
        <v/>
      </c>
      <c r="D1302" s="57" t="s">
        <v>158</v>
      </c>
      <c r="E1302" s="59" t="str">
        <f aca="false">IF(L1302="","",IF(INDEX(ポート振替表!$O$5:$O$3507,$L1302)="","(未設定)",INDEX(ポート振替表!$O$5:$O$3507,$L1302)&amp;""))</f>
        <v/>
      </c>
      <c r="F1302" s="52" t="str">
        <f aca="false">IF(L1302="","",INDEX(ポート振替表!$K$5:$K$3507,$L1302)&amp;" "&amp;INDEX(ポート振替表!$L$5:$L$3507,$L1302)&amp;"  ⇔  "&amp;INDEX(ポート振替表!$H$5:$H$3507,$L1302)&amp;" "&amp;INDEX(ポート振替表!$I$5:$I$3507,$L1302))</f>
        <v/>
      </c>
      <c r="G1302" s="57" t="s">
        <v>158</v>
      </c>
      <c r="H1302" s="32" t="str">
        <f aca="false">IF(L1302="","",INDEX(ポート振替表!$N$5:$N$3507,$L1302)&amp;"")</f>
        <v/>
      </c>
      <c r="I1302" s="32" t="str">
        <f aca="false">IF(L1302="","",INDEX(ポート振替表!$P$5:$P$3507,$L1302)&amp;"")</f>
        <v/>
      </c>
      <c r="J1302" s="60" t="str">
        <f aca="false">IF(L1302="","",INDEX(ポート振替表!$M$5:$M$3507,$L1302)&amp;"")</f>
        <v/>
      </c>
      <c r="K1302" s="52" t="str">
        <f aca="false">IF(L1302="","",E1302&amp;CHAR(10)&amp;INDEX(ポート振替表!$K$5:$K$3507,$L1302)&amp;" "&amp;INDEX(ポート振替表!$L$5:$L$3507,$L1302)&amp;CHAR(10)&amp;"⇔ "&amp;INDEX(ポート振替表!$H$5:$H$3507,$L1302)&amp;" "&amp;INDEX(ポート振替表!$I$5:$I$3507,$L1302))</f>
        <v/>
      </c>
      <c r="L1302" s="47" t="str">
        <f aca="false">IFERROR(MATCH(ROW()-4,ポート振替表!$V$5:$V$3507,0),"")</f>
        <v/>
      </c>
    </row>
    <row r="1303" customFormat="false" ht="16.4" hidden="false" customHeight="false" outlineLevel="0" collapsed="false">
      <c r="A1303" s="32" t="str">
        <f aca="false">IF(L1303="","",ROW()-4)</f>
        <v/>
      </c>
      <c r="B1303" s="58" t="str">
        <f aca="false">IF(L1303="","",IF(INDEX(ポート振替表!$W$5:$W$3507,$L1303)="","(なし)",INDEX(ポート振替表!$W$5:$W$3507,$L1303)&amp;""))</f>
        <v/>
      </c>
      <c r="C1303" s="52" t="str">
        <f aca="false">IF(L1303="","",INDEX(ポート振替表!$B$5:$B$3507,$L1303)&amp;" "&amp;INDEX(ポート振替表!$C$5:$C$3507,$L1303)&amp;"  ⇔  "&amp;INDEX(ポート振替表!$H$5:$H$3507,$L1303)&amp;" "&amp;INDEX(ポート振替表!$I$5:$I$3507,$L1303))</f>
        <v/>
      </c>
      <c r="D1303" s="57" t="s">
        <v>158</v>
      </c>
      <c r="E1303" s="59" t="str">
        <f aca="false">IF(L1303="","",IF(INDEX(ポート振替表!$O$5:$O$3507,$L1303)="","(未設定)",INDEX(ポート振替表!$O$5:$O$3507,$L1303)&amp;""))</f>
        <v/>
      </c>
      <c r="F1303" s="52" t="str">
        <f aca="false">IF(L1303="","",INDEX(ポート振替表!$K$5:$K$3507,$L1303)&amp;" "&amp;INDEX(ポート振替表!$L$5:$L$3507,$L1303)&amp;"  ⇔  "&amp;INDEX(ポート振替表!$H$5:$H$3507,$L1303)&amp;" "&amp;INDEX(ポート振替表!$I$5:$I$3507,$L1303))</f>
        <v/>
      </c>
      <c r="G1303" s="57" t="s">
        <v>158</v>
      </c>
      <c r="H1303" s="32" t="str">
        <f aca="false">IF(L1303="","",INDEX(ポート振替表!$N$5:$N$3507,$L1303)&amp;"")</f>
        <v/>
      </c>
      <c r="I1303" s="32" t="str">
        <f aca="false">IF(L1303="","",INDEX(ポート振替表!$P$5:$P$3507,$L1303)&amp;"")</f>
        <v/>
      </c>
      <c r="J1303" s="60" t="str">
        <f aca="false">IF(L1303="","",INDEX(ポート振替表!$M$5:$M$3507,$L1303)&amp;"")</f>
        <v/>
      </c>
      <c r="K1303" s="52" t="str">
        <f aca="false">IF(L1303="","",E1303&amp;CHAR(10)&amp;INDEX(ポート振替表!$K$5:$K$3507,$L1303)&amp;" "&amp;INDEX(ポート振替表!$L$5:$L$3507,$L1303)&amp;CHAR(10)&amp;"⇔ "&amp;INDEX(ポート振替表!$H$5:$H$3507,$L1303)&amp;" "&amp;INDEX(ポート振替表!$I$5:$I$3507,$L1303))</f>
        <v/>
      </c>
      <c r="L1303" s="47" t="str">
        <f aca="false">IFERROR(MATCH(ROW()-4,ポート振替表!$V$5:$V$3507,0),"")</f>
        <v/>
      </c>
    </row>
    <row r="1304" customFormat="false" ht="16.4" hidden="false" customHeight="false" outlineLevel="0" collapsed="false">
      <c r="A1304" s="32" t="str">
        <f aca="false">IF(L1304="","",ROW()-4)</f>
        <v/>
      </c>
      <c r="B1304" s="58" t="str">
        <f aca="false">IF(L1304="","",IF(INDEX(ポート振替表!$W$5:$W$3507,$L1304)="","(なし)",INDEX(ポート振替表!$W$5:$W$3507,$L1304)&amp;""))</f>
        <v/>
      </c>
      <c r="C1304" s="52" t="str">
        <f aca="false">IF(L1304="","",INDEX(ポート振替表!$B$5:$B$3507,$L1304)&amp;" "&amp;INDEX(ポート振替表!$C$5:$C$3507,$L1304)&amp;"  ⇔  "&amp;INDEX(ポート振替表!$H$5:$H$3507,$L1304)&amp;" "&amp;INDEX(ポート振替表!$I$5:$I$3507,$L1304))</f>
        <v/>
      </c>
      <c r="D1304" s="57" t="s">
        <v>158</v>
      </c>
      <c r="E1304" s="59" t="str">
        <f aca="false">IF(L1304="","",IF(INDEX(ポート振替表!$O$5:$O$3507,$L1304)="","(未設定)",INDEX(ポート振替表!$O$5:$O$3507,$L1304)&amp;""))</f>
        <v/>
      </c>
      <c r="F1304" s="52" t="str">
        <f aca="false">IF(L1304="","",INDEX(ポート振替表!$K$5:$K$3507,$L1304)&amp;" "&amp;INDEX(ポート振替表!$L$5:$L$3507,$L1304)&amp;"  ⇔  "&amp;INDEX(ポート振替表!$H$5:$H$3507,$L1304)&amp;" "&amp;INDEX(ポート振替表!$I$5:$I$3507,$L1304))</f>
        <v/>
      </c>
      <c r="G1304" s="57" t="s">
        <v>158</v>
      </c>
      <c r="H1304" s="32" t="str">
        <f aca="false">IF(L1304="","",INDEX(ポート振替表!$N$5:$N$3507,$L1304)&amp;"")</f>
        <v/>
      </c>
      <c r="I1304" s="32" t="str">
        <f aca="false">IF(L1304="","",INDEX(ポート振替表!$P$5:$P$3507,$L1304)&amp;"")</f>
        <v/>
      </c>
      <c r="J1304" s="60" t="str">
        <f aca="false">IF(L1304="","",INDEX(ポート振替表!$M$5:$M$3507,$L1304)&amp;"")</f>
        <v/>
      </c>
      <c r="K1304" s="52" t="str">
        <f aca="false">IF(L1304="","",E1304&amp;CHAR(10)&amp;INDEX(ポート振替表!$K$5:$K$3507,$L1304)&amp;" "&amp;INDEX(ポート振替表!$L$5:$L$3507,$L1304)&amp;CHAR(10)&amp;"⇔ "&amp;INDEX(ポート振替表!$H$5:$H$3507,$L1304)&amp;" "&amp;INDEX(ポート振替表!$I$5:$I$3507,$L1304))</f>
        <v/>
      </c>
      <c r="L1304" s="47" t="str">
        <f aca="false">IFERROR(MATCH(ROW()-4,ポート振替表!$V$5:$V$3507,0),"")</f>
        <v/>
      </c>
    </row>
    <row r="1305" customFormat="false" ht="16.4" hidden="false" customHeight="false" outlineLevel="0" collapsed="false">
      <c r="A1305" s="32" t="str">
        <f aca="false">IF(L1305="","",ROW()-4)</f>
        <v/>
      </c>
      <c r="B1305" s="58" t="str">
        <f aca="false">IF(L1305="","",IF(INDEX(ポート振替表!$W$5:$W$3507,$L1305)="","(なし)",INDEX(ポート振替表!$W$5:$W$3507,$L1305)&amp;""))</f>
        <v/>
      </c>
      <c r="C1305" s="52" t="str">
        <f aca="false">IF(L1305="","",INDEX(ポート振替表!$B$5:$B$3507,$L1305)&amp;" "&amp;INDEX(ポート振替表!$C$5:$C$3507,$L1305)&amp;"  ⇔  "&amp;INDEX(ポート振替表!$H$5:$H$3507,$L1305)&amp;" "&amp;INDEX(ポート振替表!$I$5:$I$3507,$L1305))</f>
        <v/>
      </c>
      <c r="D1305" s="57" t="s">
        <v>158</v>
      </c>
      <c r="E1305" s="59" t="str">
        <f aca="false">IF(L1305="","",IF(INDEX(ポート振替表!$O$5:$O$3507,$L1305)="","(未設定)",INDEX(ポート振替表!$O$5:$O$3507,$L1305)&amp;""))</f>
        <v/>
      </c>
      <c r="F1305" s="52" t="str">
        <f aca="false">IF(L1305="","",INDEX(ポート振替表!$K$5:$K$3507,$L1305)&amp;" "&amp;INDEX(ポート振替表!$L$5:$L$3507,$L1305)&amp;"  ⇔  "&amp;INDEX(ポート振替表!$H$5:$H$3507,$L1305)&amp;" "&amp;INDEX(ポート振替表!$I$5:$I$3507,$L1305))</f>
        <v/>
      </c>
      <c r="G1305" s="57" t="s">
        <v>158</v>
      </c>
      <c r="H1305" s="32" t="str">
        <f aca="false">IF(L1305="","",INDEX(ポート振替表!$N$5:$N$3507,$L1305)&amp;"")</f>
        <v/>
      </c>
      <c r="I1305" s="32" t="str">
        <f aca="false">IF(L1305="","",INDEX(ポート振替表!$P$5:$P$3507,$L1305)&amp;"")</f>
        <v/>
      </c>
      <c r="J1305" s="60" t="str">
        <f aca="false">IF(L1305="","",INDEX(ポート振替表!$M$5:$M$3507,$L1305)&amp;"")</f>
        <v/>
      </c>
      <c r="K1305" s="52" t="str">
        <f aca="false">IF(L1305="","",E1305&amp;CHAR(10)&amp;INDEX(ポート振替表!$K$5:$K$3507,$L1305)&amp;" "&amp;INDEX(ポート振替表!$L$5:$L$3507,$L1305)&amp;CHAR(10)&amp;"⇔ "&amp;INDEX(ポート振替表!$H$5:$H$3507,$L1305)&amp;" "&amp;INDEX(ポート振替表!$I$5:$I$3507,$L1305))</f>
        <v/>
      </c>
      <c r="L1305" s="47" t="str">
        <f aca="false">IFERROR(MATCH(ROW()-4,ポート振替表!$V$5:$V$3507,0),"")</f>
        <v/>
      </c>
    </row>
    <row r="1306" customFormat="false" ht="16.4" hidden="false" customHeight="false" outlineLevel="0" collapsed="false">
      <c r="A1306" s="32" t="str">
        <f aca="false">IF(L1306="","",ROW()-4)</f>
        <v/>
      </c>
      <c r="B1306" s="58" t="str">
        <f aca="false">IF(L1306="","",IF(INDEX(ポート振替表!$W$5:$W$3507,$L1306)="","(なし)",INDEX(ポート振替表!$W$5:$W$3507,$L1306)&amp;""))</f>
        <v/>
      </c>
      <c r="C1306" s="52" t="str">
        <f aca="false">IF(L1306="","",INDEX(ポート振替表!$B$5:$B$3507,$L1306)&amp;" "&amp;INDEX(ポート振替表!$C$5:$C$3507,$L1306)&amp;"  ⇔  "&amp;INDEX(ポート振替表!$H$5:$H$3507,$L1306)&amp;" "&amp;INDEX(ポート振替表!$I$5:$I$3507,$L1306))</f>
        <v/>
      </c>
      <c r="D1306" s="57" t="s">
        <v>158</v>
      </c>
      <c r="E1306" s="59" t="str">
        <f aca="false">IF(L1306="","",IF(INDEX(ポート振替表!$O$5:$O$3507,$L1306)="","(未設定)",INDEX(ポート振替表!$O$5:$O$3507,$L1306)&amp;""))</f>
        <v/>
      </c>
      <c r="F1306" s="52" t="str">
        <f aca="false">IF(L1306="","",INDEX(ポート振替表!$K$5:$K$3507,$L1306)&amp;" "&amp;INDEX(ポート振替表!$L$5:$L$3507,$L1306)&amp;"  ⇔  "&amp;INDEX(ポート振替表!$H$5:$H$3507,$L1306)&amp;" "&amp;INDEX(ポート振替表!$I$5:$I$3507,$L1306))</f>
        <v/>
      </c>
      <c r="G1306" s="57" t="s">
        <v>158</v>
      </c>
      <c r="H1306" s="32" t="str">
        <f aca="false">IF(L1306="","",INDEX(ポート振替表!$N$5:$N$3507,$L1306)&amp;"")</f>
        <v/>
      </c>
      <c r="I1306" s="32" t="str">
        <f aca="false">IF(L1306="","",INDEX(ポート振替表!$P$5:$P$3507,$L1306)&amp;"")</f>
        <v/>
      </c>
      <c r="J1306" s="60" t="str">
        <f aca="false">IF(L1306="","",INDEX(ポート振替表!$M$5:$M$3507,$L1306)&amp;"")</f>
        <v/>
      </c>
      <c r="K1306" s="52" t="str">
        <f aca="false">IF(L1306="","",E1306&amp;CHAR(10)&amp;INDEX(ポート振替表!$K$5:$K$3507,$L1306)&amp;" "&amp;INDEX(ポート振替表!$L$5:$L$3507,$L1306)&amp;CHAR(10)&amp;"⇔ "&amp;INDEX(ポート振替表!$H$5:$H$3507,$L1306)&amp;" "&amp;INDEX(ポート振替表!$I$5:$I$3507,$L1306))</f>
        <v/>
      </c>
      <c r="L1306" s="47" t="str">
        <f aca="false">IFERROR(MATCH(ROW()-4,ポート振替表!$V$5:$V$3507,0),"")</f>
        <v/>
      </c>
    </row>
    <row r="1307" customFormat="false" ht="16.4" hidden="false" customHeight="false" outlineLevel="0" collapsed="false">
      <c r="A1307" s="32" t="str">
        <f aca="false">IF(L1307="","",ROW()-4)</f>
        <v/>
      </c>
      <c r="B1307" s="58" t="str">
        <f aca="false">IF(L1307="","",IF(INDEX(ポート振替表!$W$5:$W$3507,$L1307)="","(なし)",INDEX(ポート振替表!$W$5:$W$3507,$L1307)&amp;""))</f>
        <v/>
      </c>
      <c r="C1307" s="52" t="str">
        <f aca="false">IF(L1307="","",INDEX(ポート振替表!$B$5:$B$3507,$L1307)&amp;" "&amp;INDEX(ポート振替表!$C$5:$C$3507,$L1307)&amp;"  ⇔  "&amp;INDEX(ポート振替表!$H$5:$H$3507,$L1307)&amp;" "&amp;INDEX(ポート振替表!$I$5:$I$3507,$L1307))</f>
        <v/>
      </c>
      <c r="D1307" s="57" t="s">
        <v>158</v>
      </c>
      <c r="E1307" s="59" t="str">
        <f aca="false">IF(L1307="","",IF(INDEX(ポート振替表!$O$5:$O$3507,$L1307)="","(未設定)",INDEX(ポート振替表!$O$5:$O$3507,$L1307)&amp;""))</f>
        <v/>
      </c>
      <c r="F1307" s="52" t="str">
        <f aca="false">IF(L1307="","",INDEX(ポート振替表!$K$5:$K$3507,$L1307)&amp;" "&amp;INDEX(ポート振替表!$L$5:$L$3507,$L1307)&amp;"  ⇔  "&amp;INDEX(ポート振替表!$H$5:$H$3507,$L1307)&amp;" "&amp;INDEX(ポート振替表!$I$5:$I$3507,$L1307))</f>
        <v/>
      </c>
      <c r="G1307" s="57" t="s">
        <v>158</v>
      </c>
      <c r="H1307" s="32" t="str">
        <f aca="false">IF(L1307="","",INDEX(ポート振替表!$N$5:$N$3507,$L1307)&amp;"")</f>
        <v/>
      </c>
      <c r="I1307" s="32" t="str">
        <f aca="false">IF(L1307="","",INDEX(ポート振替表!$P$5:$P$3507,$L1307)&amp;"")</f>
        <v/>
      </c>
      <c r="J1307" s="60" t="str">
        <f aca="false">IF(L1307="","",INDEX(ポート振替表!$M$5:$M$3507,$L1307)&amp;"")</f>
        <v/>
      </c>
      <c r="K1307" s="52" t="str">
        <f aca="false">IF(L1307="","",E1307&amp;CHAR(10)&amp;INDEX(ポート振替表!$K$5:$K$3507,$L1307)&amp;" "&amp;INDEX(ポート振替表!$L$5:$L$3507,$L1307)&amp;CHAR(10)&amp;"⇔ "&amp;INDEX(ポート振替表!$H$5:$H$3507,$L1307)&amp;" "&amp;INDEX(ポート振替表!$I$5:$I$3507,$L1307))</f>
        <v/>
      </c>
      <c r="L1307" s="47" t="str">
        <f aca="false">IFERROR(MATCH(ROW()-4,ポート振替表!$V$5:$V$3507,0),"")</f>
        <v/>
      </c>
    </row>
    <row r="1308" customFormat="false" ht="16.4" hidden="false" customHeight="false" outlineLevel="0" collapsed="false">
      <c r="A1308" s="32" t="str">
        <f aca="false">IF(L1308="","",ROW()-4)</f>
        <v/>
      </c>
      <c r="B1308" s="58" t="str">
        <f aca="false">IF(L1308="","",IF(INDEX(ポート振替表!$W$5:$W$3507,$L1308)="","(なし)",INDEX(ポート振替表!$W$5:$W$3507,$L1308)&amp;""))</f>
        <v/>
      </c>
      <c r="C1308" s="52" t="str">
        <f aca="false">IF(L1308="","",INDEX(ポート振替表!$B$5:$B$3507,$L1308)&amp;" "&amp;INDEX(ポート振替表!$C$5:$C$3507,$L1308)&amp;"  ⇔  "&amp;INDEX(ポート振替表!$H$5:$H$3507,$L1308)&amp;" "&amp;INDEX(ポート振替表!$I$5:$I$3507,$L1308))</f>
        <v/>
      </c>
      <c r="D1308" s="57" t="s">
        <v>158</v>
      </c>
      <c r="E1308" s="59" t="str">
        <f aca="false">IF(L1308="","",IF(INDEX(ポート振替表!$O$5:$O$3507,$L1308)="","(未設定)",INDEX(ポート振替表!$O$5:$O$3507,$L1308)&amp;""))</f>
        <v/>
      </c>
      <c r="F1308" s="52" t="str">
        <f aca="false">IF(L1308="","",INDEX(ポート振替表!$K$5:$K$3507,$L1308)&amp;" "&amp;INDEX(ポート振替表!$L$5:$L$3507,$L1308)&amp;"  ⇔  "&amp;INDEX(ポート振替表!$H$5:$H$3507,$L1308)&amp;" "&amp;INDEX(ポート振替表!$I$5:$I$3507,$L1308))</f>
        <v/>
      </c>
      <c r="G1308" s="57" t="s">
        <v>158</v>
      </c>
      <c r="H1308" s="32" t="str">
        <f aca="false">IF(L1308="","",INDEX(ポート振替表!$N$5:$N$3507,$L1308)&amp;"")</f>
        <v/>
      </c>
      <c r="I1308" s="32" t="str">
        <f aca="false">IF(L1308="","",INDEX(ポート振替表!$P$5:$P$3507,$L1308)&amp;"")</f>
        <v/>
      </c>
      <c r="J1308" s="60" t="str">
        <f aca="false">IF(L1308="","",INDEX(ポート振替表!$M$5:$M$3507,$L1308)&amp;"")</f>
        <v/>
      </c>
      <c r="K1308" s="52" t="str">
        <f aca="false">IF(L1308="","",E1308&amp;CHAR(10)&amp;INDEX(ポート振替表!$K$5:$K$3507,$L1308)&amp;" "&amp;INDEX(ポート振替表!$L$5:$L$3507,$L1308)&amp;CHAR(10)&amp;"⇔ "&amp;INDEX(ポート振替表!$H$5:$H$3507,$L1308)&amp;" "&amp;INDEX(ポート振替表!$I$5:$I$3507,$L1308))</f>
        <v/>
      </c>
      <c r="L1308" s="47" t="str">
        <f aca="false">IFERROR(MATCH(ROW()-4,ポート振替表!$V$5:$V$3507,0),"")</f>
        <v/>
      </c>
    </row>
    <row r="1309" customFormat="false" ht="16.4" hidden="false" customHeight="false" outlineLevel="0" collapsed="false">
      <c r="A1309" s="32" t="str">
        <f aca="false">IF(L1309="","",ROW()-4)</f>
        <v/>
      </c>
      <c r="B1309" s="58" t="str">
        <f aca="false">IF(L1309="","",IF(INDEX(ポート振替表!$W$5:$W$3507,$L1309)="","(なし)",INDEX(ポート振替表!$W$5:$W$3507,$L1309)&amp;""))</f>
        <v/>
      </c>
      <c r="C1309" s="52" t="str">
        <f aca="false">IF(L1309="","",INDEX(ポート振替表!$B$5:$B$3507,$L1309)&amp;" "&amp;INDEX(ポート振替表!$C$5:$C$3507,$L1309)&amp;"  ⇔  "&amp;INDEX(ポート振替表!$H$5:$H$3507,$L1309)&amp;" "&amp;INDEX(ポート振替表!$I$5:$I$3507,$L1309))</f>
        <v/>
      </c>
      <c r="D1309" s="57" t="s">
        <v>158</v>
      </c>
      <c r="E1309" s="59" t="str">
        <f aca="false">IF(L1309="","",IF(INDEX(ポート振替表!$O$5:$O$3507,$L1309)="","(未設定)",INDEX(ポート振替表!$O$5:$O$3507,$L1309)&amp;""))</f>
        <v/>
      </c>
      <c r="F1309" s="52" t="str">
        <f aca="false">IF(L1309="","",INDEX(ポート振替表!$K$5:$K$3507,$L1309)&amp;" "&amp;INDEX(ポート振替表!$L$5:$L$3507,$L1309)&amp;"  ⇔  "&amp;INDEX(ポート振替表!$H$5:$H$3507,$L1309)&amp;" "&amp;INDEX(ポート振替表!$I$5:$I$3507,$L1309))</f>
        <v/>
      </c>
      <c r="G1309" s="57" t="s">
        <v>158</v>
      </c>
      <c r="H1309" s="32" t="str">
        <f aca="false">IF(L1309="","",INDEX(ポート振替表!$N$5:$N$3507,$L1309)&amp;"")</f>
        <v/>
      </c>
      <c r="I1309" s="32" t="str">
        <f aca="false">IF(L1309="","",INDEX(ポート振替表!$P$5:$P$3507,$L1309)&amp;"")</f>
        <v/>
      </c>
      <c r="J1309" s="60" t="str">
        <f aca="false">IF(L1309="","",INDEX(ポート振替表!$M$5:$M$3507,$L1309)&amp;"")</f>
        <v/>
      </c>
      <c r="K1309" s="52" t="str">
        <f aca="false">IF(L1309="","",E1309&amp;CHAR(10)&amp;INDEX(ポート振替表!$K$5:$K$3507,$L1309)&amp;" "&amp;INDEX(ポート振替表!$L$5:$L$3507,$L1309)&amp;CHAR(10)&amp;"⇔ "&amp;INDEX(ポート振替表!$H$5:$H$3507,$L1309)&amp;" "&amp;INDEX(ポート振替表!$I$5:$I$3507,$L1309))</f>
        <v/>
      </c>
      <c r="L1309" s="47" t="str">
        <f aca="false">IFERROR(MATCH(ROW()-4,ポート振替表!$V$5:$V$3507,0),"")</f>
        <v/>
      </c>
    </row>
    <row r="1310" customFormat="false" ht="16.4" hidden="false" customHeight="false" outlineLevel="0" collapsed="false">
      <c r="A1310" s="32" t="str">
        <f aca="false">IF(L1310="","",ROW()-4)</f>
        <v/>
      </c>
      <c r="B1310" s="58" t="str">
        <f aca="false">IF(L1310="","",IF(INDEX(ポート振替表!$W$5:$W$3507,$L1310)="","(なし)",INDEX(ポート振替表!$W$5:$W$3507,$L1310)&amp;""))</f>
        <v/>
      </c>
      <c r="C1310" s="52" t="str">
        <f aca="false">IF(L1310="","",INDEX(ポート振替表!$B$5:$B$3507,$L1310)&amp;" "&amp;INDEX(ポート振替表!$C$5:$C$3507,$L1310)&amp;"  ⇔  "&amp;INDEX(ポート振替表!$H$5:$H$3507,$L1310)&amp;" "&amp;INDEX(ポート振替表!$I$5:$I$3507,$L1310))</f>
        <v/>
      </c>
      <c r="D1310" s="57" t="s">
        <v>158</v>
      </c>
      <c r="E1310" s="59" t="str">
        <f aca="false">IF(L1310="","",IF(INDEX(ポート振替表!$O$5:$O$3507,$L1310)="","(未設定)",INDEX(ポート振替表!$O$5:$O$3507,$L1310)&amp;""))</f>
        <v/>
      </c>
      <c r="F1310" s="52" t="str">
        <f aca="false">IF(L1310="","",INDEX(ポート振替表!$K$5:$K$3507,$L1310)&amp;" "&amp;INDEX(ポート振替表!$L$5:$L$3507,$L1310)&amp;"  ⇔  "&amp;INDEX(ポート振替表!$H$5:$H$3507,$L1310)&amp;" "&amp;INDEX(ポート振替表!$I$5:$I$3507,$L1310))</f>
        <v/>
      </c>
      <c r="G1310" s="57" t="s">
        <v>158</v>
      </c>
      <c r="H1310" s="32" t="str">
        <f aca="false">IF(L1310="","",INDEX(ポート振替表!$N$5:$N$3507,$L1310)&amp;"")</f>
        <v/>
      </c>
      <c r="I1310" s="32" t="str">
        <f aca="false">IF(L1310="","",INDEX(ポート振替表!$P$5:$P$3507,$L1310)&amp;"")</f>
        <v/>
      </c>
      <c r="J1310" s="60" t="str">
        <f aca="false">IF(L1310="","",INDEX(ポート振替表!$M$5:$M$3507,$L1310)&amp;"")</f>
        <v/>
      </c>
      <c r="K1310" s="52" t="str">
        <f aca="false">IF(L1310="","",E1310&amp;CHAR(10)&amp;INDEX(ポート振替表!$K$5:$K$3507,$L1310)&amp;" "&amp;INDEX(ポート振替表!$L$5:$L$3507,$L1310)&amp;CHAR(10)&amp;"⇔ "&amp;INDEX(ポート振替表!$H$5:$H$3507,$L1310)&amp;" "&amp;INDEX(ポート振替表!$I$5:$I$3507,$L1310))</f>
        <v/>
      </c>
      <c r="L1310" s="47" t="str">
        <f aca="false">IFERROR(MATCH(ROW()-4,ポート振替表!$V$5:$V$3507,0),"")</f>
        <v/>
      </c>
    </row>
    <row r="1311" customFormat="false" ht="16.4" hidden="false" customHeight="false" outlineLevel="0" collapsed="false">
      <c r="A1311" s="32" t="str">
        <f aca="false">IF(L1311="","",ROW()-4)</f>
        <v/>
      </c>
      <c r="B1311" s="58" t="str">
        <f aca="false">IF(L1311="","",IF(INDEX(ポート振替表!$W$5:$W$3507,$L1311)="","(なし)",INDEX(ポート振替表!$W$5:$W$3507,$L1311)&amp;""))</f>
        <v/>
      </c>
      <c r="C1311" s="52" t="str">
        <f aca="false">IF(L1311="","",INDEX(ポート振替表!$B$5:$B$3507,$L1311)&amp;" "&amp;INDEX(ポート振替表!$C$5:$C$3507,$L1311)&amp;"  ⇔  "&amp;INDEX(ポート振替表!$H$5:$H$3507,$L1311)&amp;" "&amp;INDEX(ポート振替表!$I$5:$I$3507,$L1311))</f>
        <v/>
      </c>
      <c r="D1311" s="57" t="s">
        <v>158</v>
      </c>
      <c r="E1311" s="59" t="str">
        <f aca="false">IF(L1311="","",IF(INDEX(ポート振替表!$O$5:$O$3507,$L1311)="","(未設定)",INDEX(ポート振替表!$O$5:$O$3507,$L1311)&amp;""))</f>
        <v/>
      </c>
      <c r="F1311" s="52" t="str">
        <f aca="false">IF(L1311="","",INDEX(ポート振替表!$K$5:$K$3507,$L1311)&amp;" "&amp;INDEX(ポート振替表!$L$5:$L$3507,$L1311)&amp;"  ⇔  "&amp;INDEX(ポート振替表!$H$5:$H$3507,$L1311)&amp;" "&amp;INDEX(ポート振替表!$I$5:$I$3507,$L1311))</f>
        <v/>
      </c>
      <c r="G1311" s="57" t="s">
        <v>158</v>
      </c>
      <c r="H1311" s="32" t="str">
        <f aca="false">IF(L1311="","",INDEX(ポート振替表!$N$5:$N$3507,$L1311)&amp;"")</f>
        <v/>
      </c>
      <c r="I1311" s="32" t="str">
        <f aca="false">IF(L1311="","",INDEX(ポート振替表!$P$5:$P$3507,$L1311)&amp;"")</f>
        <v/>
      </c>
      <c r="J1311" s="60" t="str">
        <f aca="false">IF(L1311="","",INDEX(ポート振替表!$M$5:$M$3507,$L1311)&amp;"")</f>
        <v/>
      </c>
      <c r="K1311" s="52" t="str">
        <f aca="false">IF(L1311="","",E1311&amp;CHAR(10)&amp;INDEX(ポート振替表!$K$5:$K$3507,$L1311)&amp;" "&amp;INDEX(ポート振替表!$L$5:$L$3507,$L1311)&amp;CHAR(10)&amp;"⇔ "&amp;INDEX(ポート振替表!$H$5:$H$3507,$L1311)&amp;" "&amp;INDEX(ポート振替表!$I$5:$I$3507,$L1311))</f>
        <v/>
      </c>
      <c r="L1311" s="47" t="str">
        <f aca="false">IFERROR(MATCH(ROW()-4,ポート振替表!$V$5:$V$3507,0),"")</f>
        <v/>
      </c>
    </row>
    <row r="1312" customFormat="false" ht="16.4" hidden="false" customHeight="false" outlineLevel="0" collapsed="false">
      <c r="A1312" s="32" t="str">
        <f aca="false">IF(L1312="","",ROW()-4)</f>
        <v/>
      </c>
      <c r="B1312" s="58" t="str">
        <f aca="false">IF(L1312="","",IF(INDEX(ポート振替表!$W$5:$W$3507,$L1312)="","(なし)",INDEX(ポート振替表!$W$5:$W$3507,$L1312)&amp;""))</f>
        <v/>
      </c>
      <c r="C1312" s="52" t="str">
        <f aca="false">IF(L1312="","",INDEX(ポート振替表!$B$5:$B$3507,$L1312)&amp;" "&amp;INDEX(ポート振替表!$C$5:$C$3507,$L1312)&amp;"  ⇔  "&amp;INDEX(ポート振替表!$H$5:$H$3507,$L1312)&amp;" "&amp;INDEX(ポート振替表!$I$5:$I$3507,$L1312))</f>
        <v/>
      </c>
      <c r="D1312" s="57" t="s">
        <v>158</v>
      </c>
      <c r="E1312" s="59" t="str">
        <f aca="false">IF(L1312="","",IF(INDEX(ポート振替表!$O$5:$O$3507,$L1312)="","(未設定)",INDEX(ポート振替表!$O$5:$O$3507,$L1312)&amp;""))</f>
        <v/>
      </c>
      <c r="F1312" s="52" t="str">
        <f aca="false">IF(L1312="","",INDEX(ポート振替表!$K$5:$K$3507,$L1312)&amp;" "&amp;INDEX(ポート振替表!$L$5:$L$3507,$L1312)&amp;"  ⇔  "&amp;INDEX(ポート振替表!$H$5:$H$3507,$L1312)&amp;" "&amp;INDEX(ポート振替表!$I$5:$I$3507,$L1312))</f>
        <v/>
      </c>
      <c r="G1312" s="57" t="s">
        <v>158</v>
      </c>
      <c r="H1312" s="32" t="str">
        <f aca="false">IF(L1312="","",INDEX(ポート振替表!$N$5:$N$3507,$L1312)&amp;"")</f>
        <v/>
      </c>
      <c r="I1312" s="32" t="str">
        <f aca="false">IF(L1312="","",INDEX(ポート振替表!$P$5:$P$3507,$L1312)&amp;"")</f>
        <v/>
      </c>
      <c r="J1312" s="60" t="str">
        <f aca="false">IF(L1312="","",INDEX(ポート振替表!$M$5:$M$3507,$L1312)&amp;"")</f>
        <v/>
      </c>
      <c r="K1312" s="52" t="str">
        <f aca="false">IF(L1312="","",E1312&amp;CHAR(10)&amp;INDEX(ポート振替表!$K$5:$K$3507,$L1312)&amp;" "&amp;INDEX(ポート振替表!$L$5:$L$3507,$L1312)&amp;CHAR(10)&amp;"⇔ "&amp;INDEX(ポート振替表!$H$5:$H$3507,$L1312)&amp;" "&amp;INDEX(ポート振替表!$I$5:$I$3507,$L1312))</f>
        <v/>
      </c>
      <c r="L1312" s="47" t="str">
        <f aca="false">IFERROR(MATCH(ROW()-4,ポート振替表!$V$5:$V$3507,0),"")</f>
        <v/>
      </c>
    </row>
    <row r="1313" customFormat="false" ht="16.4" hidden="false" customHeight="false" outlineLevel="0" collapsed="false">
      <c r="A1313" s="32" t="str">
        <f aca="false">IF(L1313="","",ROW()-4)</f>
        <v/>
      </c>
      <c r="B1313" s="58" t="str">
        <f aca="false">IF(L1313="","",IF(INDEX(ポート振替表!$W$5:$W$3507,$L1313)="","(なし)",INDEX(ポート振替表!$W$5:$W$3507,$L1313)&amp;""))</f>
        <v/>
      </c>
      <c r="C1313" s="52" t="str">
        <f aca="false">IF(L1313="","",INDEX(ポート振替表!$B$5:$B$3507,$L1313)&amp;" "&amp;INDEX(ポート振替表!$C$5:$C$3507,$L1313)&amp;"  ⇔  "&amp;INDEX(ポート振替表!$H$5:$H$3507,$L1313)&amp;" "&amp;INDEX(ポート振替表!$I$5:$I$3507,$L1313))</f>
        <v/>
      </c>
      <c r="D1313" s="57" t="s">
        <v>158</v>
      </c>
      <c r="E1313" s="59" t="str">
        <f aca="false">IF(L1313="","",IF(INDEX(ポート振替表!$O$5:$O$3507,$L1313)="","(未設定)",INDEX(ポート振替表!$O$5:$O$3507,$L1313)&amp;""))</f>
        <v/>
      </c>
      <c r="F1313" s="52" t="str">
        <f aca="false">IF(L1313="","",INDEX(ポート振替表!$K$5:$K$3507,$L1313)&amp;" "&amp;INDEX(ポート振替表!$L$5:$L$3507,$L1313)&amp;"  ⇔  "&amp;INDEX(ポート振替表!$H$5:$H$3507,$L1313)&amp;" "&amp;INDEX(ポート振替表!$I$5:$I$3507,$L1313))</f>
        <v/>
      </c>
      <c r="G1313" s="57" t="s">
        <v>158</v>
      </c>
      <c r="H1313" s="32" t="str">
        <f aca="false">IF(L1313="","",INDEX(ポート振替表!$N$5:$N$3507,$L1313)&amp;"")</f>
        <v/>
      </c>
      <c r="I1313" s="32" t="str">
        <f aca="false">IF(L1313="","",INDEX(ポート振替表!$P$5:$P$3507,$L1313)&amp;"")</f>
        <v/>
      </c>
      <c r="J1313" s="60" t="str">
        <f aca="false">IF(L1313="","",INDEX(ポート振替表!$M$5:$M$3507,$L1313)&amp;"")</f>
        <v/>
      </c>
      <c r="K1313" s="52" t="str">
        <f aca="false">IF(L1313="","",E1313&amp;CHAR(10)&amp;INDEX(ポート振替表!$K$5:$K$3507,$L1313)&amp;" "&amp;INDEX(ポート振替表!$L$5:$L$3507,$L1313)&amp;CHAR(10)&amp;"⇔ "&amp;INDEX(ポート振替表!$H$5:$H$3507,$L1313)&amp;" "&amp;INDEX(ポート振替表!$I$5:$I$3507,$L1313))</f>
        <v/>
      </c>
      <c r="L1313" s="47" t="str">
        <f aca="false">IFERROR(MATCH(ROW()-4,ポート振替表!$V$5:$V$3507,0),"")</f>
        <v/>
      </c>
    </row>
    <row r="1314" customFormat="false" ht="16.4" hidden="false" customHeight="false" outlineLevel="0" collapsed="false">
      <c r="A1314" s="32" t="str">
        <f aca="false">IF(L1314="","",ROW()-4)</f>
        <v/>
      </c>
      <c r="B1314" s="58" t="str">
        <f aca="false">IF(L1314="","",IF(INDEX(ポート振替表!$W$5:$W$3507,$L1314)="","(なし)",INDEX(ポート振替表!$W$5:$W$3507,$L1314)&amp;""))</f>
        <v/>
      </c>
      <c r="C1314" s="52" t="str">
        <f aca="false">IF(L1314="","",INDEX(ポート振替表!$B$5:$B$3507,$L1314)&amp;" "&amp;INDEX(ポート振替表!$C$5:$C$3507,$L1314)&amp;"  ⇔  "&amp;INDEX(ポート振替表!$H$5:$H$3507,$L1314)&amp;" "&amp;INDEX(ポート振替表!$I$5:$I$3507,$L1314))</f>
        <v/>
      </c>
      <c r="D1314" s="57" t="s">
        <v>158</v>
      </c>
      <c r="E1314" s="59" t="str">
        <f aca="false">IF(L1314="","",IF(INDEX(ポート振替表!$O$5:$O$3507,$L1314)="","(未設定)",INDEX(ポート振替表!$O$5:$O$3507,$L1314)&amp;""))</f>
        <v/>
      </c>
      <c r="F1314" s="52" t="str">
        <f aca="false">IF(L1314="","",INDEX(ポート振替表!$K$5:$K$3507,$L1314)&amp;" "&amp;INDEX(ポート振替表!$L$5:$L$3507,$L1314)&amp;"  ⇔  "&amp;INDEX(ポート振替表!$H$5:$H$3507,$L1314)&amp;" "&amp;INDEX(ポート振替表!$I$5:$I$3507,$L1314))</f>
        <v/>
      </c>
      <c r="G1314" s="57" t="s">
        <v>158</v>
      </c>
      <c r="H1314" s="32" t="str">
        <f aca="false">IF(L1314="","",INDEX(ポート振替表!$N$5:$N$3507,$L1314)&amp;"")</f>
        <v/>
      </c>
      <c r="I1314" s="32" t="str">
        <f aca="false">IF(L1314="","",INDEX(ポート振替表!$P$5:$P$3507,$L1314)&amp;"")</f>
        <v/>
      </c>
      <c r="J1314" s="60" t="str">
        <f aca="false">IF(L1314="","",INDEX(ポート振替表!$M$5:$M$3507,$L1314)&amp;"")</f>
        <v/>
      </c>
      <c r="K1314" s="52" t="str">
        <f aca="false">IF(L1314="","",E1314&amp;CHAR(10)&amp;INDEX(ポート振替表!$K$5:$K$3507,$L1314)&amp;" "&amp;INDEX(ポート振替表!$L$5:$L$3507,$L1314)&amp;CHAR(10)&amp;"⇔ "&amp;INDEX(ポート振替表!$H$5:$H$3507,$L1314)&amp;" "&amp;INDEX(ポート振替表!$I$5:$I$3507,$L1314))</f>
        <v/>
      </c>
      <c r="L1314" s="47" t="str">
        <f aca="false">IFERROR(MATCH(ROW()-4,ポート振替表!$V$5:$V$3507,0),"")</f>
        <v/>
      </c>
    </row>
    <row r="1315" customFormat="false" ht="16.4" hidden="false" customHeight="false" outlineLevel="0" collapsed="false">
      <c r="A1315" s="32" t="str">
        <f aca="false">IF(L1315="","",ROW()-4)</f>
        <v/>
      </c>
      <c r="B1315" s="58" t="str">
        <f aca="false">IF(L1315="","",IF(INDEX(ポート振替表!$W$5:$W$3507,$L1315)="","(なし)",INDEX(ポート振替表!$W$5:$W$3507,$L1315)&amp;""))</f>
        <v/>
      </c>
      <c r="C1315" s="52" t="str">
        <f aca="false">IF(L1315="","",INDEX(ポート振替表!$B$5:$B$3507,$L1315)&amp;" "&amp;INDEX(ポート振替表!$C$5:$C$3507,$L1315)&amp;"  ⇔  "&amp;INDEX(ポート振替表!$H$5:$H$3507,$L1315)&amp;" "&amp;INDEX(ポート振替表!$I$5:$I$3507,$L1315))</f>
        <v/>
      </c>
      <c r="D1315" s="57" t="s">
        <v>158</v>
      </c>
      <c r="E1315" s="59" t="str">
        <f aca="false">IF(L1315="","",IF(INDEX(ポート振替表!$O$5:$O$3507,$L1315)="","(未設定)",INDEX(ポート振替表!$O$5:$O$3507,$L1315)&amp;""))</f>
        <v/>
      </c>
      <c r="F1315" s="52" t="str">
        <f aca="false">IF(L1315="","",INDEX(ポート振替表!$K$5:$K$3507,$L1315)&amp;" "&amp;INDEX(ポート振替表!$L$5:$L$3507,$L1315)&amp;"  ⇔  "&amp;INDEX(ポート振替表!$H$5:$H$3507,$L1315)&amp;" "&amp;INDEX(ポート振替表!$I$5:$I$3507,$L1315))</f>
        <v/>
      </c>
      <c r="G1315" s="57" t="s">
        <v>158</v>
      </c>
      <c r="H1315" s="32" t="str">
        <f aca="false">IF(L1315="","",INDEX(ポート振替表!$N$5:$N$3507,$L1315)&amp;"")</f>
        <v/>
      </c>
      <c r="I1315" s="32" t="str">
        <f aca="false">IF(L1315="","",INDEX(ポート振替表!$P$5:$P$3507,$L1315)&amp;"")</f>
        <v/>
      </c>
      <c r="J1315" s="60" t="str">
        <f aca="false">IF(L1315="","",INDEX(ポート振替表!$M$5:$M$3507,$L1315)&amp;"")</f>
        <v/>
      </c>
      <c r="K1315" s="52" t="str">
        <f aca="false">IF(L1315="","",E1315&amp;CHAR(10)&amp;INDEX(ポート振替表!$K$5:$K$3507,$L1315)&amp;" "&amp;INDEX(ポート振替表!$L$5:$L$3507,$L1315)&amp;CHAR(10)&amp;"⇔ "&amp;INDEX(ポート振替表!$H$5:$H$3507,$L1315)&amp;" "&amp;INDEX(ポート振替表!$I$5:$I$3507,$L1315))</f>
        <v/>
      </c>
      <c r="L1315" s="47" t="str">
        <f aca="false">IFERROR(MATCH(ROW()-4,ポート振替表!$V$5:$V$3507,0),"")</f>
        <v/>
      </c>
    </row>
    <row r="1316" customFormat="false" ht="16.4" hidden="false" customHeight="false" outlineLevel="0" collapsed="false">
      <c r="A1316" s="32" t="str">
        <f aca="false">IF(L1316="","",ROW()-4)</f>
        <v/>
      </c>
      <c r="B1316" s="58" t="str">
        <f aca="false">IF(L1316="","",IF(INDEX(ポート振替表!$W$5:$W$3507,$L1316)="","(なし)",INDEX(ポート振替表!$W$5:$W$3507,$L1316)&amp;""))</f>
        <v/>
      </c>
      <c r="C1316" s="52" t="str">
        <f aca="false">IF(L1316="","",INDEX(ポート振替表!$B$5:$B$3507,$L1316)&amp;" "&amp;INDEX(ポート振替表!$C$5:$C$3507,$L1316)&amp;"  ⇔  "&amp;INDEX(ポート振替表!$H$5:$H$3507,$L1316)&amp;" "&amp;INDEX(ポート振替表!$I$5:$I$3507,$L1316))</f>
        <v/>
      </c>
      <c r="D1316" s="57" t="s">
        <v>158</v>
      </c>
      <c r="E1316" s="59" t="str">
        <f aca="false">IF(L1316="","",IF(INDEX(ポート振替表!$O$5:$O$3507,$L1316)="","(未設定)",INDEX(ポート振替表!$O$5:$O$3507,$L1316)&amp;""))</f>
        <v/>
      </c>
      <c r="F1316" s="52" t="str">
        <f aca="false">IF(L1316="","",INDEX(ポート振替表!$K$5:$K$3507,$L1316)&amp;" "&amp;INDEX(ポート振替表!$L$5:$L$3507,$L1316)&amp;"  ⇔  "&amp;INDEX(ポート振替表!$H$5:$H$3507,$L1316)&amp;" "&amp;INDEX(ポート振替表!$I$5:$I$3507,$L1316))</f>
        <v/>
      </c>
      <c r="G1316" s="57" t="s">
        <v>158</v>
      </c>
      <c r="H1316" s="32" t="str">
        <f aca="false">IF(L1316="","",INDEX(ポート振替表!$N$5:$N$3507,$L1316)&amp;"")</f>
        <v/>
      </c>
      <c r="I1316" s="32" t="str">
        <f aca="false">IF(L1316="","",INDEX(ポート振替表!$P$5:$P$3507,$L1316)&amp;"")</f>
        <v/>
      </c>
      <c r="J1316" s="60" t="str">
        <f aca="false">IF(L1316="","",INDEX(ポート振替表!$M$5:$M$3507,$L1316)&amp;"")</f>
        <v/>
      </c>
      <c r="K1316" s="52" t="str">
        <f aca="false">IF(L1316="","",E1316&amp;CHAR(10)&amp;INDEX(ポート振替表!$K$5:$K$3507,$L1316)&amp;" "&amp;INDEX(ポート振替表!$L$5:$L$3507,$L1316)&amp;CHAR(10)&amp;"⇔ "&amp;INDEX(ポート振替表!$H$5:$H$3507,$L1316)&amp;" "&amp;INDEX(ポート振替表!$I$5:$I$3507,$L1316))</f>
        <v/>
      </c>
      <c r="L1316" s="47" t="str">
        <f aca="false">IFERROR(MATCH(ROW()-4,ポート振替表!$V$5:$V$3507,0),"")</f>
        <v/>
      </c>
    </row>
    <row r="1317" customFormat="false" ht="16.4" hidden="false" customHeight="false" outlineLevel="0" collapsed="false">
      <c r="A1317" s="32" t="str">
        <f aca="false">IF(L1317="","",ROW()-4)</f>
        <v/>
      </c>
      <c r="B1317" s="58" t="str">
        <f aca="false">IF(L1317="","",IF(INDEX(ポート振替表!$W$5:$W$3507,$L1317)="","(なし)",INDEX(ポート振替表!$W$5:$W$3507,$L1317)&amp;""))</f>
        <v/>
      </c>
      <c r="C1317" s="52" t="str">
        <f aca="false">IF(L1317="","",INDEX(ポート振替表!$B$5:$B$3507,$L1317)&amp;" "&amp;INDEX(ポート振替表!$C$5:$C$3507,$L1317)&amp;"  ⇔  "&amp;INDEX(ポート振替表!$H$5:$H$3507,$L1317)&amp;" "&amp;INDEX(ポート振替表!$I$5:$I$3507,$L1317))</f>
        <v/>
      </c>
      <c r="D1317" s="57" t="s">
        <v>158</v>
      </c>
      <c r="E1317" s="59" t="str">
        <f aca="false">IF(L1317="","",IF(INDEX(ポート振替表!$O$5:$O$3507,$L1317)="","(未設定)",INDEX(ポート振替表!$O$5:$O$3507,$L1317)&amp;""))</f>
        <v/>
      </c>
      <c r="F1317" s="52" t="str">
        <f aca="false">IF(L1317="","",INDEX(ポート振替表!$K$5:$K$3507,$L1317)&amp;" "&amp;INDEX(ポート振替表!$L$5:$L$3507,$L1317)&amp;"  ⇔  "&amp;INDEX(ポート振替表!$H$5:$H$3507,$L1317)&amp;" "&amp;INDEX(ポート振替表!$I$5:$I$3507,$L1317))</f>
        <v/>
      </c>
      <c r="G1317" s="57" t="s">
        <v>158</v>
      </c>
      <c r="H1317" s="32" t="str">
        <f aca="false">IF(L1317="","",INDEX(ポート振替表!$N$5:$N$3507,$L1317)&amp;"")</f>
        <v/>
      </c>
      <c r="I1317" s="32" t="str">
        <f aca="false">IF(L1317="","",INDEX(ポート振替表!$P$5:$P$3507,$L1317)&amp;"")</f>
        <v/>
      </c>
      <c r="J1317" s="60" t="str">
        <f aca="false">IF(L1317="","",INDEX(ポート振替表!$M$5:$M$3507,$L1317)&amp;"")</f>
        <v/>
      </c>
      <c r="K1317" s="52" t="str">
        <f aca="false">IF(L1317="","",E1317&amp;CHAR(10)&amp;INDEX(ポート振替表!$K$5:$K$3507,$L1317)&amp;" "&amp;INDEX(ポート振替表!$L$5:$L$3507,$L1317)&amp;CHAR(10)&amp;"⇔ "&amp;INDEX(ポート振替表!$H$5:$H$3507,$L1317)&amp;" "&amp;INDEX(ポート振替表!$I$5:$I$3507,$L1317))</f>
        <v/>
      </c>
      <c r="L1317" s="47" t="str">
        <f aca="false">IFERROR(MATCH(ROW()-4,ポート振替表!$V$5:$V$3507,0),"")</f>
        <v/>
      </c>
    </row>
    <row r="1318" customFormat="false" ht="16.4" hidden="false" customHeight="false" outlineLevel="0" collapsed="false">
      <c r="A1318" s="32" t="str">
        <f aca="false">IF(L1318="","",ROW()-4)</f>
        <v/>
      </c>
      <c r="B1318" s="58" t="str">
        <f aca="false">IF(L1318="","",IF(INDEX(ポート振替表!$W$5:$W$3507,$L1318)="","(なし)",INDEX(ポート振替表!$W$5:$W$3507,$L1318)&amp;""))</f>
        <v/>
      </c>
      <c r="C1318" s="52" t="str">
        <f aca="false">IF(L1318="","",INDEX(ポート振替表!$B$5:$B$3507,$L1318)&amp;" "&amp;INDEX(ポート振替表!$C$5:$C$3507,$L1318)&amp;"  ⇔  "&amp;INDEX(ポート振替表!$H$5:$H$3507,$L1318)&amp;" "&amp;INDEX(ポート振替表!$I$5:$I$3507,$L1318))</f>
        <v/>
      </c>
      <c r="D1318" s="57" t="s">
        <v>158</v>
      </c>
      <c r="E1318" s="59" t="str">
        <f aca="false">IF(L1318="","",IF(INDEX(ポート振替表!$O$5:$O$3507,$L1318)="","(未設定)",INDEX(ポート振替表!$O$5:$O$3507,$L1318)&amp;""))</f>
        <v/>
      </c>
      <c r="F1318" s="52" t="str">
        <f aca="false">IF(L1318="","",INDEX(ポート振替表!$K$5:$K$3507,$L1318)&amp;" "&amp;INDEX(ポート振替表!$L$5:$L$3507,$L1318)&amp;"  ⇔  "&amp;INDEX(ポート振替表!$H$5:$H$3507,$L1318)&amp;" "&amp;INDEX(ポート振替表!$I$5:$I$3507,$L1318))</f>
        <v/>
      </c>
      <c r="G1318" s="57" t="s">
        <v>158</v>
      </c>
      <c r="H1318" s="32" t="str">
        <f aca="false">IF(L1318="","",INDEX(ポート振替表!$N$5:$N$3507,$L1318)&amp;"")</f>
        <v/>
      </c>
      <c r="I1318" s="32" t="str">
        <f aca="false">IF(L1318="","",INDEX(ポート振替表!$P$5:$P$3507,$L1318)&amp;"")</f>
        <v/>
      </c>
      <c r="J1318" s="60" t="str">
        <f aca="false">IF(L1318="","",INDEX(ポート振替表!$M$5:$M$3507,$L1318)&amp;"")</f>
        <v/>
      </c>
      <c r="K1318" s="52" t="str">
        <f aca="false">IF(L1318="","",E1318&amp;CHAR(10)&amp;INDEX(ポート振替表!$K$5:$K$3507,$L1318)&amp;" "&amp;INDEX(ポート振替表!$L$5:$L$3507,$L1318)&amp;CHAR(10)&amp;"⇔ "&amp;INDEX(ポート振替表!$H$5:$H$3507,$L1318)&amp;" "&amp;INDEX(ポート振替表!$I$5:$I$3507,$L1318))</f>
        <v/>
      </c>
      <c r="L1318" s="47" t="str">
        <f aca="false">IFERROR(MATCH(ROW()-4,ポート振替表!$V$5:$V$3507,0),"")</f>
        <v/>
      </c>
    </row>
    <row r="1319" customFormat="false" ht="16.4" hidden="false" customHeight="false" outlineLevel="0" collapsed="false">
      <c r="A1319" s="32" t="str">
        <f aca="false">IF(L1319="","",ROW()-4)</f>
        <v/>
      </c>
      <c r="B1319" s="58" t="str">
        <f aca="false">IF(L1319="","",IF(INDEX(ポート振替表!$W$5:$W$3507,$L1319)="","(なし)",INDEX(ポート振替表!$W$5:$W$3507,$L1319)&amp;""))</f>
        <v/>
      </c>
      <c r="C1319" s="52" t="str">
        <f aca="false">IF(L1319="","",INDEX(ポート振替表!$B$5:$B$3507,$L1319)&amp;" "&amp;INDEX(ポート振替表!$C$5:$C$3507,$L1319)&amp;"  ⇔  "&amp;INDEX(ポート振替表!$H$5:$H$3507,$L1319)&amp;" "&amp;INDEX(ポート振替表!$I$5:$I$3507,$L1319))</f>
        <v/>
      </c>
      <c r="D1319" s="57" t="s">
        <v>158</v>
      </c>
      <c r="E1319" s="59" t="str">
        <f aca="false">IF(L1319="","",IF(INDEX(ポート振替表!$O$5:$O$3507,$L1319)="","(未設定)",INDEX(ポート振替表!$O$5:$O$3507,$L1319)&amp;""))</f>
        <v/>
      </c>
      <c r="F1319" s="52" t="str">
        <f aca="false">IF(L1319="","",INDEX(ポート振替表!$K$5:$K$3507,$L1319)&amp;" "&amp;INDEX(ポート振替表!$L$5:$L$3507,$L1319)&amp;"  ⇔  "&amp;INDEX(ポート振替表!$H$5:$H$3507,$L1319)&amp;" "&amp;INDEX(ポート振替表!$I$5:$I$3507,$L1319))</f>
        <v/>
      </c>
      <c r="G1319" s="57" t="s">
        <v>158</v>
      </c>
      <c r="H1319" s="32" t="str">
        <f aca="false">IF(L1319="","",INDEX(ポート振替表!$N$5:$N$3507,$L1319)&amp;"")</f>
        <v/>
      </c>
      <c r="I1319" s="32" t="str">
        <f aca="false">IF(L1319="","",INDEX(ポート振替表!$P$5:$P$3507,$L1319)&amp;"")</f>
        <v/>
      </c>
      <c r="J1319" s="60" t="str">
        <f aca="false">IF(L1319="","",INDEX(ポート振替表!$M$5:$M$3507,$L1319)&amp;"")</f>
        <v/>
      </c>
      <c r="K1319" s="52" t="str">
        <f aca="false">IF(L1319="","",E1319&amp;CHAR(10)&amp;INDEX(ポート振替表!$K$5:$K$3507,$L1319)&amp;" "&amp;INDEX(ポート振替表!$L$5:$L$3507,$L1319)&amp;CHAR(10)&amp;"⇔ "&amp;INDEX(ポート振替表!$H$5:$H$3507,$L1319)&amp;" "&amp;INDEX(ポート振替表!$I$5:$I$3507,$L1319))</f>
        <v/>
      </c>
      <c r="L1319" s="47" t="str">
        <f aca="false">IFERROR(MATCH(ROW()-4,ポート振替表!$V$5:$V$3507,0),"")</f>
        <v/>
      </c>
    </row>
    <row r="1320" customFormat="false" ht="16.4" hidden="false" customHeight="false" outlineLevel="0" collapsed="false">
      <c r="A1320" s="32" t="str">
        <f aca="false">IF(L1320="","",ROW()-4)</f>
        <v/>
      </c>
      <c r="B1320" s="58" t="str">
        <f aca="false">IF(L1320="","",IF(INDEX(ポート振替表!$W$5:$W$3507,$L1320)="","(なし)",INDEX(ポート振替表!$W$5:$W$3507,$L1320)&amp;""))</f>
        <v/>
      </c>
      <c r="C1320" s="52" t="str">
        <f aca="false">IF(L1320="","",INDEX(ポート振替表!$B$5:$B$3507,$L1320)&amp;" "&amp;INDEX(ポート振替表!$C$5:$C$3507,$L1320)&amp;"  ⇔  "&amp;INDEX(ポート振替表!$H$5:$H$3507,$L1320)&amp;" "&amp;INDEX(ポート振替表!$I$5:$I$3507,$L1320))</f>
        <v/>
      </c>
      <c r="D1320" s="57" t="s">
        <v>158</v>
      </c>
      <c r="E1320" s="59" t="str">
        <f aca="false">IF(L1320="","",IF(INDEX(ポート振替表!$O$5:$O$3507,$L1320)="","(未設定)",INDEX(ポート振替表!$O$5:$O$3507,$L1320)&amp;""))</f>
        <v/>
      </c>
      <c r="F1320" s="52" t="str">
        <f aca="false">IF(L1320="","",INDEX(ポート振替表!$K$5:$K$3507,$L1320)&amp;" "&amp;INDEX(ポート振替表!$L$5:$L$3507,$L1320)&amp;"  ⇔  "&amp;INDEX(ポート振替表!$H$5:$H$3507,$L1320)&amp;" "&amp;INDEX(ポート振替表!$I$5:$I$3507,$L1320))</f>
        <v/>
      </c>
      <c r="G1320" s="57" t="s">
        <v>158</v>
      </c>
      <c r="H1320" s="32" t="str">
        <f aca="false">IF(L1320="","",INDEX(ポート振替表!$N$5:$N$3507,$L1320)&amp;"")</f>
        <v/>
      </c>
      <c r="I1320" s="32" t="str">
        <f aca="false">IF(L1320="","",INDEX(ポート振替表!$P$5:$P$3507,$L1320)&amp;"")</f>
        <v/>
      </c>
      <c r="J1320" s="60" t="str">
        <f aca="false">IF(L1320="","",INDEX(ポート振替表!$M$5:$M$3507,$L1320)&amp;"")</f>
        <v/>
      </c>
      <c r="K1320" s="52" t="str">
        <f aca="false">IF(L1320="","",E1320&amp;CHAR(10)&amp;INDEX(ポート振替表!$K$5:$K$3507,$L1320)&amp;" "&amp;INDEX(ポート振替表!$L$5:$L$3507,$L1320)&amp;CHAR(10)&amp;"⇔ "&amp;INDEX(ポート振替表!$H$5:$H$3507,$L1320)&amp;" "&amp;INDEX(ポート振替表!$I$5:$I$3507,$L1320))</f>
        <v/>
      </c>
      <c r="L1320" s="47" t="str">
        <f aca="false">IFERROR(MATCH(ROW()-4,ポート振替表!$V$5:$V$3507,0),"")</f>
        <v/>
      </c>
    </row>
    <row r="1321" customFormat="false" ht="16.4" hidden="false" customHeight="false" outlineLevel="0" collapsed="false">
      <c r="A1321" s="32" t="str">
        <f aca="false">IF(L1321="","",ROW()-4)</f>
        <v/>
      </c>
      <c r="B1321" s="58" t="str">
        <f aca="false">IF(L1321="","",IF(INDEX(ポート振替表!$W$5:$W$3507,$L1321)="","(なし)",INDEX(ポート振替表!$W$5:$W$3507,$L1321)&amp;""))</f>
        <v/>
      </c>
      <c r="C1321" s="52" t="str">
        <f aca="false">IF(L1321="","",INDEX(ポート振替表!$B$5:$B$3507,$L1321)&amp;" "&amp;INDEX(ポート振替表!$C$5:$C$3507,$L1321)&amp;"  ⇔  "&amp;INDEX(ポート振替表!$H$5:$H$3507,$L1321)&amp;" "&amp;INDEX(ポート振替表!$I$5:$I$3507,$L1321))</f>
        <v/>
      </c>
      <c r="D1321" s="57" t="s">
        <v>158</v>
      </c>
      <c r="E1321" s="59" t="str">
        <f aca="false">IF(L1321="","",IF(INDEX(ポート振替表!$O$5:$O$3507,$L1321)="","(未設定)",INDEX(ポート振替表!$O$5:$O$3507,$L1321)&amp;""))</f>
        <v/>
      </c>
      <c r="F1321" s="52" t="str">
        <f aca="false">IF(L1321="","",INDEX(ポート振替表!$K$5:$K$3507,$L1321)&amp;" "&amp;INDEX(ポート振替表!$L$5:$L$3507,$L1321)&amp;"  ⇔  "&amp;INDEX(ポート振替表!$H$5:$H$3507,$L1321)&amp;" "&amp;INDEX(ポート振替表!$I$5:$I$3507,$L1321))</f>
        <v/>
      </c>
      <c r="G1321" s="57" t="s">
        <v>158</v>
      </c>
      <c r="H1321" s="32" t="str">
        <f aca="false">IF(L1321="","",INDEX(ポート振替表!$N$5:$N$3507,$L1321)&amp;"")</f>
        <v/>
      </c>
      <c r="I1321" s="32" t="str">
        <f aca="false">IF(L1321="","",INDEX(ポート振替表!$P$5:$P$3507,$L1321)&amp;"")</f>
        <v/>
      </c>
      <c r="J1321" s="60" t="str">
        <f aca="false">IF(L1321="","",INDEX(ポート振替表!$M$5:$M$3507,$L1321)&amp;"")</f>
        <v/>
      </c>
      <c r="K1321" s="52" t="str">
        <f aca="false">IF(L1321="","",E1321&amp;CHAR(10)&amp;INDEX(ポート振替表!$K$5:$K$3507,$L1321)&amp;" "&amp;INDEX(ポート振替表!$L$5:$L$3507,$L1321)&amp;CHAR(10)&amp;"⇔ "&amp;INDEX(ポート振替表!$H$5:$H$3507,$L1321)&amp;" "&amp;INDEX(ポート振替表!$I$5:$I$3507,$L1321))</f>
        <v/>
      </c>
      <c r="L1321" s="47" t="str">
        <f aca="false">IFERROR(MATCH(ROW()-4,ポート振替表!$V$5:$V$3507,0),"")</f>
        <v/>
      </c>
    </row>
    <row r="1322" customFormat="false" ht="16.4" hidden="false" customHeight="false" outlineLevel="0" collapsed="false">
      <c r="A1322" s="32" t="str">
        <f aca="false">IF(L1322="","",ROW()-4)</f>
        <v/>
      </c>
      <c r="B1322" s="58" t="str">
        <f aca="false">IF(L1322="","",IF(INDEX(ポート振替表!$W$5:$W$3507,$L1322)="","(なし)",INDEX(ポート振替表!$W$5:$W$3507,$L1322)&amp;""))</f>
        <v/>
      </c>
      <c r="C1322" s="52" t="str">
        <f aca="false">IF(L1322="","",INDEX(ポート振替表!$B$5:$B$3507,$L1322)&amp;" "&amp;INDEX(ポート振替表!$C$5:$C$3507,$L1322)&amp;"  ⇔  "&amp;INDEX(ポート振替表!$H$5:$H$3507,$L1322)&amp;" "&amp;INDEX(ポート振替表!$I$5:$I$3507,$L1322))</f>
        <v/>
      </c>
      <c r="D1322" s="57" t="s">
        <v>158</v>
      </c>
      <c r="E1322" s="59" t="str">
        <f aca="false">IF(L1322="","",IF(INDEX(ポート振替表!$O$5:$O$3507,$L1322)="","(未設定)",INDEX(ポート振替表!$O$5:$O$3507,$L1322)&amp;""))</f>
        <v/>
      </c>
      <c r="F1322" s="52" t="str">
        <f aca="false">IF(L1322="","",INDEX(ポート振替表!$K$5:$K$3507,$L1322)&amp;" "&amp;INDEX(ポート振替表!$L$5:$L$3507,$L1322)&amp;"  ⇔  "&amp;INDEX(ポート振替表!$H$5:$H$3507,$L1322)&amp;" "&amp;INDEX(ポート振替表!$I$5:$I$3507,$L1322))</f>
        <v/>
      </c>
      <c r="G1322" s="57" t="s">
        <v>158</v>
      </c>
      <c r="H1322" s="32" t="str">
        <f aca="false">IF(L1322="","",INDEX(ポート振替表!$N$5:$N$3507,$L1322)&amp;"")</f>
        <v/>
      </c>
      <c r="I1322" s="32" t="str">
        <f aca="false">IF(L1322="","",INDEX(ポート振替表!$P$5:$P$3507,$L1322)&amp;"")</f>
        <v/>
      </c>
      <c r="J1322" s="60" t="str">
        <f aca="false">IF(L1322="","",INDEX(ポート振替表!$M$5:$M$3507,$L1322)&amp;"")</f>
        <v/>
      </c>
      <c r="K1322" s="52" t="str">
        <f aca="false">IF(L1322="","",E1322&amp;CHAR(10)&amp;INDEX(ポート振替表!$K$5:$K$3507,$L1322)&amp;" "&amp;INDEX(ポート振替表!$L$5:$L$3507,$L1322)&amp;CHAR(10)&amp;"⇔ "&amp;INDEX(ポート振替表!$H$5:$H$3507,$L1322)&amp;" "&amp;INDEX(ポート振替表!$I$5:$I$3507,$L1322))</f>
        <v/>
      </c>
      <c r="L1322" s="47" t="str">
        <f aca="false">IFERROR(MATCH(ROW()-4,ポート振替表!$V$5:$V$3507,0),"")</f>
        <v/>
      </c>
    </row>
    <row r="1323" customFormat="false" ht="16.4" hidden="false" customHeight="false" outlineLevel="0" collapsed="false">
      <c r="A1323" s="32" t="str">
        <f aca="false">IF(L1323="","",ROW()-4)</f>
        <v/>
      </c>
      <c r="B1323" s="58" t="str">
        <f aca="false">IF(L1323="","",IF(INDEX(ポート振替表!$W$5:$W$3507,$L1323)="","(なし)",INDEX(ポート振替表!$W$5:$W$3507,$L1323)&amp;""))</f>
        <v/>
      </c>
      <c r="C1323" s="52" t="str">
        <f aca="false">IF(L1323="","",INDEX(ポート振替表!$B$5:$B$3507,$L1323)&amp;" "&amp;INDEX(ポート振替表!$C$5:$C$3507,$L1323)&amp;"  ⇔  "&amp;INDEX(ポート振替表!$H$5:$H$3507,$L1323)&amp;" "&amp;INDEX(ポート振替表!$I$5:$I$3507,$L1323))</f>
        <v/>
      </c>
      <c r="D1323" s="57" t="s">
        <v>158</v>
      </c>
      <c r="E1323" s="59" t="str">
        <f aca="false">IF(L1323="","",IF(INDEX(ポート振替表!$O$5:$O$3507,$L1323)="","(未設定)",INDEX(ポート振替表!$O$5:$O$3507,$L1323)&amp;""))</f>
        <v/>
      </c>
      <c r="F1323" s="52" t="str">
        <f aca="false">IF(L1323="","",INDEX(ポート振替表!$K$5:$K$3507,$L1323)&amp;" "&amp;INDEX(ポート振替表!$L$5:$L$3507,$L1323)&amp;"  ⇔  "&amp;INDEX(ポート振替表!$H$5:$H$3507,$L1323)&amp;" "&amp;INDEX(ポート振替表!$I$5:$I$3507,$L1323))</f>
        <v/>
      </c>
      <c r="G1323" s="57" t="s">
        <v>158</v>
      </c>
      <c r="H1323" s="32" t="str">
        <f aca="false">IF(L1323="","",INDEX(ポート振替表!$N$5:$N$3507,$L1323)&amp;"")</f>
        <v/>
      </c>
      <c r="I1323" s="32" t="str">
        <f aca="false">IF(L1323="","",INDEX(ポート振替表!$P$5:$P$3507,$L1323)&amp;"")</f>
        <v/>
      </c>
      <c r="J1323" s="60" t="str">
        <f aca="false">IF(L1323="","",INDEX(ポート振替表!$M$5:$M$3507,$L1323)&amp;"")</f>
        <v/>
      </c>
      <c r="K1323" s="52" t="str">
        <f aca="false">IF(L1323="","",E1323&amp;CHAR(10)&amp;INDEX(ポート振替表!$K$5:$K$3507,$L1323)&amp;" "&amp;INDEX(ポート振替表!$L$5:$L$3507,$L1323)&amp;CHAR(10)&amp;"⇔ "&amp;INDEX(ポート振替表!$H$5:$H$3507,$L1323)&amp;" "&amp;INDEX(ポート振替表!$I$5:$I$3507,$L1323))</f>
        <v/>
      </c>
      <c r="L1323" s="47" t="str">
        <f aca="false">IFERROR(MATCH(ROW()-4,ポート振替表!$V$5:$V$3507,0),"")</f>
        <v/>
      </c>
    </row>
    <row r="1324" customFormat="false" ht="16.4" hidden="false" customHeight="false" outlineLevel="0" collapsed="false">
      <c r="A1324" s="32" t="str">
        <f aca="false">IF(L1324="","",ROW()-4)</f>
        <v/>
      </c>
      <c r="B1324" s="58" t="str">
        <f aca="false">IF(L1324="","",IF(INDEX(ポート振替表!$W$5:$W$3507,$L1324)="","(なし)",INDEX(ポート振替表!$W$5:$W$3507,$L1324)&amp;""))</f>
        <v/>
      </c>
      <c r="C1324" s="52" t="str">
        <f aca="false">IF(L1324="","",INDEX(ポート振替表!$B$5:$B$3507,$L1324)&amp;" "&amp;INDEX(ポート振替表!$C$5:$C$3507,$L1324)&amp;"  ⇔  "&amp;INDEX(ポート振替表!$H$5:$H$3507,$L1324)&amp;" "&amp;INDEX(ポート振替表!$I$5:$I$3507,$L1324))</f>
        <v/>
      </c>
      <c r="D1324" s="57" t="s">
        <v>158</v>
      </c>
      <c r="E1324" s="59" t="str">
        <f aca="false">IF(L1324="","",IF(INDEX(ポート振替表!$O$5:$O$3507,$L1324)="","(未設定)",INDEX(ポート振替表!$O$5:$O$3507,$L1324)&amp;""))</f>
        <v/>
      </c>
      <c r="F1324" s="52" t="str">
        <f aca="false">IF(L1324="","",INDEX(ポート振替表!$K$5:$K$3507,$L1324)&amp;" "&amp;INDEX(ポート振替表!$L$5:$L$3507,$L1324)&amp;"  ⇔  "&amp;INDEX(ポート振替表!$H$5:$H$3507,$L1324)&amp;" "&amp;INDEX(ポート振替表!$I$5:$I$3507,$L1324))</f>
        <v/>
      </c>
      <c r="G1324" s="57" t="s">
        <v>158</v>
      </c>
      <c r="H1324" s="32" t="str">
        <f aca="false">IF(L1324="","",INDEX(ポート振替表!$N$5:$N$3507,$L1324)&amp;"")</f>
        <v/>
      </c>
      <c r="I1324" s="32" t="str">
        <f aca="false">IF(L1324="","",INDEX(ポート振替表!$P$5:$P$3507,$L1324)&amp;"")</f>
        <v/>
      </c>
      <c r="J1324" s="60" t="str">
        <f aca="false">IF(L1324="","",INDEX(ポート振替表!$M$5:$M$3507,$L1324)&amp;"")</f>
        <v/>
      </c>
      <c r="K1324" s="52" t="str">
        <f aca="false">IF(L1324="","",E1324&amp;CHAR(10)&amp;INDEX(ポート振替表!$K$5:$K$3507,$L1324)&amp;" "&amp;INDEX(ポート振替表!$L$5:$L$3507,$L1324)&amp;CHAR(10)&amp;"⇔ "&amp;INDEX(ポート振替表!$H$5:$H$3507,$L1324)&amp;" "&amp;INDEX(ポート振替表!$I$5:$I$3507,$L1324))</f>
        <v/>
      </c>
      <c r="L1324" s="47" t="str">
        <f aca="false">IFERROR(MATCH(ROW()-4,ポート振替表!$V$5:$V$3507,0),"")</f>
        <v/>
      </c>
    </row>
    <row r="1325" customFormat="false" ht="16.4" hidden="false" customHeight="false" outlineLevel="0" collapsed="false">
      <c r="A1325" s="32" t="str">
        <f aca="false">IF(L1325="","",ROW()-4)</f>
        <v/>
      </c>
      <c r="B1325" s="58" t="str">
        <f aca="false">IF(L1325="","",IF(INDEX(ポート振替表!$W$5:$W$3507,$L1325)="","(なし)",INDEX(ポート振替表!$W$5:$W$3507,$L1325)&amp;""))</f>
        <v/>
      </c>
      <c r="C1325" s="52" t="str">
        <f aca="false">IF(L1325="","",INDEX(ポート振替表!$B$5:$B$3507,$L1325)&amp;" "&amp;INDEX(ポート振替表!$C$5:$C$3507,$L1325)&amp;"  ⇔  "&amp;INDEX(ポート振替表!$H$5:$H$3507,$L1325)&amp;" "&amp;INDEX(ポート振替表!$I$5:$I$3507,$L1325))</f>
        <v/>
      </c>
      <c r="D1325" s="57" t="s">
        <v>158</v>
      </c>
      <c r="E1325" s="59" t="str">
        <f aca="false">IF(L1325="","",IF(INDEX(ポート振替表!$O$5:$O$3507,$L1325)="","(未設定)",INDEX(ポート振替表!$O$5:$O$3507,$L1325)&amp;""))</f>
        <v/>
      </c>
      <c r="F1325" s="52" t="str">
        <f aca="false">IF(L1325="","",INDEX(ポート振替表!$K$5:$K$3507,$L1325)&amp;" "&amp;INDEX(ポート振替表!$L$5:$L$3507,$L1325)&amp;"  ⇔  "&amp;INDEX(ポート振替表!$H$5:$H$3507,$L1325)&amp;" "&amp;INDEX(ポート振替表!$I$5:$I$3507,$L1325))</f>
        <v/>
      </c>
      <c r="G1325" s="57" t="s">
        <v>158</v>
      </c>
      <c r="H1325" s="32" t="str">
        <f aca="false">IF(L1325="","",INDEX(ポート振替表!$N$5:$N$3507,$L1325)&amp;"")</f>
        <v/>
      </c>
      <c r="I1325" s="32" t="str">
        <f aca="false">IF(L1325="","",INDEX(ポート振替表!$P$5:$P$3507,$L1325)&amp;"")</f>
        <v/>
      </c>
      <c r="J1325" s="60" t="str">
        <f aca="false">IF(L1325="","",INDEX(ポート振替表!$M$5:$M$3507,$L1325)&amp;"")</f>
        <v/>
      </c>
      <c r="K1325" s="52" t="str">
        <f aca="false">IF(L1325="","",E1325&amp;CHAR(10)&amp;INDEX(ポート振替表!$K$5:$K$3507,$L1325)&amp;" "&amp;INDEX(ポート振替表!$L$5:$L$3507,$L1325)&amp;CHAR(10)&amp;"⇔ "&amp;INDEX(ポート振替表!$H$5:$H$3507,$L1325)&amp;" "&amp;INDEX(ポート振替表!$I$5:$I$3507,$L1325))</f>
        <v/>
      </c>
      <c r="L1325" s="47" t="str">
        <f aca="false">IFERROR(MATCH(ROW()-4,ポート振替表!$V$5:$V$3507,0),"")</f>
        <v/>
      </c>
    </row>
    <row r="1326" customFormat="false" ht="16.4" hidden="false" customHeight="false" outlineLevel="0" collapsed="false">
      <c r="A1326" s="32" t="str">
        <f aca="false">IF(L1326="","",ROW()-4)</f>
        <v/>
      </c>
      <c r="B1326" s="58" t="str">
        <f aca="false">IF(L1326="","",IF(INDEX(ポート振替表!$W$5:$W$3507,$L1326)="","(なし)",INDEX(ポート振替表!$W$5:$W$3507,$L1326)&amp;""))</f>
        <v/>
      </c>
      <c r="C1326" s="52" t="str">
        <f aca="false">IF(L1326="","",INDEX(ポート振替表!$B$5:$B$3507,$L1326)&amp;" "&amp;INDEX(ポート振替表!$C$5:$C$3507,$L1326)&amp;"  ⇔  "&amp;INDEX(ポート振替表!$H$5:$H$3507,$L1326)&amp;" "&amp;INDEX(ポート振替表!$I$5:$I$3507,$L1326))</f>
        <v/>
      </c>
      <c r="D1326" s="57" t="s">
        <v>158</v>
      </c>
      <c r="E1326" s="59" t="str">
        <f aca="false">IF(L1326="","",IF(INDEX(ポート振替表!$O$5:$O$3507,$L1326)="","(未設定)",INDEX(ポート振替表!$O$5:$O$3507,$L1326)&amp;""))</f>
        <v/>
      </c>
      <c r="F1326" s="52" t="str">
        <f aca="false">IF(L1326="","",INDEX(ポート振替表!$K$5:$K$3507,$L1326)&amp;" "&amp;INDEX(ポート振替表!$L$5:$L$3507,$L1326)&amp;"  ⇔  "&amp;INDEX(ポート振替表!$H$5:$H$3507,$L1326)&amp;" "&amp;INDEX(ポート振替表!$I$5:$I$3507,$L1326))</f>
        <v/>
      </c>
      <c r="G1326" s="57" t="s">
        <v>158</v>
      </c>
      <c r="H1326" s="32" t="str">
        <f aca="false">IF(L1326="","",INDEX(ポート振替表!$N$5:$N$3507,$L1326)&amp;"")</f>
        <v/>
      </c>
      <c r="I1326" s="32" t="str">
        <f aca="false">IF(L1326="","",INDEX(ポート振替表!$P$5:$P$3507,$L1326)&amp;"")</f>
        <v/>
      </c>
      <c r="J1326" s="60" t="str">
        <f aca="false">IF(L1326="","",INDEX(ポート振替表!$M$5:$M$3507,$L1326)&amp;"")</f>
        <v/>
      </c>
      <c r="K1326" s="52" t="str">
        <f aca="false">IF(L1326="","",E1326&amp;CHAR(10)&amp;INDEX(ポート振替表!$K$5:$K$3507,$L1326)&amp;" "&amp;INDEX(ポート振替表!$L$5:$L$3507,$L1326)&amp;CHAR(10)&amp;"⇔ "&amp;INDEX(ポート振替表!$H$5:$H$3507,$L1326)&amp;" "&amp;INDEX(ポート振替表!$I$5:$I$3507,$L1326))</f>
        <v/>
      </c>
      <c r="L1326" s="47" t="str">
        <f aca="false">IFERROR(MATCH(ROW()-4,ポート振替表!$V$5:$V$3507,0),"")</f>
        <v/>
      </c>
    </row>
    <row r="1327" customFormat="false" ht="16.4" hidden="false" customHeight="false" outlineLevel="0" collapsed="false">
      <c r="A1327" s="32" t="str">
        <f aca="false">IF(L1327="","",ROW()-4)</f>
        <v/>
      </c>
      <c r="B1327" s="58" t="str">
        <f aca="false">IF(L1327="","",IF(INDEX(ポート振替表!$W$5:$W$3507,$L1327)="","(なし)",INDEX(ポート振替表!$W$5:$W$3507,$L1327)&amp;""))</f>
        <v/>
      </c>
      <c r="C1327" s="52" t="str">
        <f aca="false">IF(L1327="","",INDEX(ポート振替表!$B$5:$B$3507,$L1327)&amp;" "&amp;INDEX(ポート振替表!$C$5:$C$3507,$L1327)&amp;"  ⇔  "&amp;INDEX(ポート振替表!$H$5:$H$3507,$L1327)&amp;" "&amp;INDEX(ポート振替表!$I$5:$I$3507,$L1327))</f>
        <v/>
      </c>
      <c r="D1327" s="57" t="s">
        <v>158</v>
      </c>
      <c r="E1327" s="59" t="str">
        <f aca="false">IF(L1327="","",IF(INDEX(ポート振替表!$O$5:$O$3507,$L1327)="","(未設定)",INDEX(ポート振替表!$O$5:$O$3507,$L1327)&amp;""))</f>
        <v/>
      </c>
      <c r="F1327" s="52" t="str">
        <f aca="false">IF(L1327="","",INDEX(ポート振替表!$K$5:$K$3507,$L1327)&amp;" "&amp;INDEX(ポート振替表!$L$5:$L$3507,$L1327)&amp;"  ⇔  "&amp;INDEX(ポート振替表!$H$5:$H$3507,$L1327)&amp;" "&amp;INDEX(ポート振替表!$I$5:$I$3507,$L1327))</f>
        <v/>
      </c>
      <c r="G1327" s="57" t="s">
        <v>158</v>
      </c>
      <c r="H1327" s="32" t="str">
        <f aca="false">IF(L1327="","",INDEX(ポート振替表!$N$5:$N$3507,$L1327)&amp;"")</f>
        <v/>
      </c>
      <c r="I1327" s="32" t="str">
        <f aca="false">IF(L1327="","",INDEX(ポート振替表!$P$5:$P$3507,$L1327)&amp;"")</f>
        <v/>
      </c>
      <c r="J1327" s="60" t="str">
        <f aca="false">IF(L1327="","",INDEX(ポート振替表!$M$5:$M$3507,$L1327)&amp;"")</f>
        <v/>
      </c>
      <c r="K1327" s="52" t="str">
        <f aca="false">IF(L1327="","",E1327&amp;CHAR(10)&amp;INDEX(ポート振替表!$K$5:$K$3507,$L1327)&amp;" "&amp;INDEX(ポート振替表!$L$5:$L$3507,$L1327)&amp;CHAR(10)&amp;"⇔ "&amp;INDEX(ポート振替表!$H$5:$H$3507,$L1327)&amp;" "&amp;INDEX(ポート振替表!$I$5:$I$3507,$L1327))</f>
        <v/>
      </c>
      <c r="L1327" s="47" t="str">
        <f aca="false">IFERROR(MATCH(ROW()-4,ポート振替表!$V$5:$V$3507,0),"")</f>
        <v/>
      </c>
    </row>
    <row r="1328" customFormat="false" ht="16.4" hidden="false" customHeight="false" outlineLevel="0" collapsed="false">
      <c r="A1328" s="32" t="str">
        <f aca="false">IF(L1328="","",ROW()-4)</f>
        <v/>
      </c>
      <c r="B1328" s="58" t="str">
        <f aca="false">IF(L1328="","",IF(INDEX(ポート振替表!$W$5:$W$3507,$L1328)="","(なし)",INDEX(ポート振替表!$W$5:$W$3507,$L1328)&amp;""))</f>
        <v/>
      </c>
      <c r="C1328" s="52" t="str">
        <f aca="false">IF(L1328="","",INDEX(ポート振替表!$B$5:$B$3507,$L1328)&amp;" "&amp;INDEX(ポート振替表!$C$5:$C$3507,$L1328)&amp;"  ⇔  "&amp;INDEX(ポート振替表!$H$5:$H$3507,$L1328)&amp;" "&amp;INDEX(ポート振替表!$I$5:$I$3507,$L1328))</f>
        <v/>
      </c>
      <c r="D1328" s="57" t="s">
        <v>158</v>
      </c>
      <c r="E1328" s="59" t="str">
        <f aca="false">IF(L1328="","",IF(INDEX(ポート振替表!$O$5:$O$3507,$L1328)="","(未設定)",INDEX(ポート振替表!$O$5:$O$3507,$L1328)&amp;""))</f>
        <v/>
      </c>
      <c r="F1328" s="52" t="str">
        <f aca="false">IF(L1328="","",INDEX(ポート振替表!$K$5:$K$3507,$L1328)&amp;" "&amp;INDEX(ポート振替表!$L$5:$L$3507,$L1328)&amp;"  ⇔  "&amp;INDEX(ポート振替表!$H$5:$H$3507,$L1328)&amp;" "&amp;INDEX(ポート振替表!$I$5:$I$3507,$L1328))</f>
        <v/>
      </c>
      <c r="G1328" s="57" t="s">
        <v>158</v>
      </c>
      <c r="H1328" s="32" t="str">
        <f aca="false">IF(L1328="","",INDEX(ポート振替表!$N$5:$N$3507,$L1328)&amp;"")</f>
        <v/>
      </c>
      <c r="I1328" s="32" t="str">
        <f aca="false">IF(L1328="","",INDEX(ポート振替表!$P$5:$P$3507,$L1328)&amp;"")</f>
        <v/>
      </c>
      <c r="J1328" s="60" t="str">
        <f aca="false">IF(L1328="","",INDEX(ポート振替表!$M$5:$M$3507,$L1328)&amp;"")</f>
        <v/>
      </c>
      <c r="K1328" s="52" t="str">
        <f aca="false">IF(L1328="","",E1328&amp;CHAR(10)&amp;INDEX(ポート振替表!$K$5:$K$3507,$L1328)&amp;" "&amp;INDEX(ポート振替表!$L$5:$L$3507,$L1328)&amp;CHAR(10)&amp;"⇔ "&amp;INDEX(ポート振替表!$H$5:$H$3507,$L1328)&amp;" "&amp;INDEX(ポート振替表!$I$5:$I$3507,$L1328))</f>
        <v/>
      </c>
      <c r="L1328" s="47" t="str">
        <f aca="false">IFERROR(MATCH(ROW()-4,ポート振替表!$V$5:$V$3507,0),"")</f>
        <v/>
      </c>
    </row>
    <row r="1329" customFormat="false" ht="16.4" hidden="false" customHeight="false" outlineLevel="0" collapsed="false">
      <c r="A1329" s="32" t="str">
        <f aca="false">IF(L1329="","",ROW()-4)</f>
        <v/>
      </c>
      <c r="B1329" s="58" t="str">
        <f aca="false">IF(L1329="","",IF(INDEX(ポート振替表!$W$5:$W$3507,$L1329)="","(なし)",INDEX(ポート振替表!$W$5:$W$3507,$L1329)&amp;""))</f>
        <v/>
      </c>
      <c r="C1329" s="52" t="str">
        <f aca="false">IF(L1329="","",INDEX(ポート振替表!$B$5:$B$3507,$L1329)&amp;" "&amp;INDEX(ポート振替表!$C$5:$C$3507,$L1329)&amp;"  ⇔  "&amp;INDEX(ポート振替表!$H$5:$H$3507,$L1329)&amp;" "&amp;INDEX(ポート振替表!$I$5:$I$3507,$L1329))</f>
        <v/>
      </c>
      <c r="D1329" s="57" t="s">
        <v>158</v>
      </c>
      <c r="E1329" s="59" t="str">
        <f aca="false">IF(L1329="","",IF(INDEX(ポート振替表!$O$5:$O$3507,$L1329)="","(未設定)",INDEX(ポート振替表!$O$5:$O$3507,$L1329)&amp;""))</f>
        <v/>
      </c>
      <c r="F1329" s="52" t="str">
        <f aca="false">IF(L1329="","",INDEX(ポート振替表!$K$5:$K$3507,$L1329)&amp;" "&amp;INDEX(ポート振替表!$L$5:$L$3507,$L1329)&amp;"  ⇔  "&amp;INDEX(ポート振替表!$H$5:$H$3507,$L1329)&amp;" "&amp;INDEX(ポート振替表!$I$5:$I$3507,$L1329))</f>
        <v/>
      </c>
      <c r="G1329" s="57" t="s">
        <v>158</v>
      </c>
      <c r="H1329" s="32" t="str">
        <f aca="false">IF(L1329="","",INDEX(ポート振替表!$N$5:$N$3507,$L1329)&amp;"")</f>
        <v/>
      </c>
      <c r="I1329" s="32" t="str">
        <f aca="false">IF(L1329="","",INDEX(ポート振替表!$P$5:$P$3507,$L1329)&amp;"")</f>
        <v/>
      </c>
      <c r="J1329" s="60" t="str">
        <f aca="false">IF(L1329="","",INDEX(ポート振替表!$M$5:$M$3507,$L1329)&amp;"")</f>
        <v/>
      </c>
      <c r="K1329" s="52" t="str">
        <f aca="false">IF(L1329="","",E1329&amp;CHAR(10)&amp;INDEX(ポート振替表!$K$5:$K$3507,$L1329)&amp;" "&amp;INDEX(ポート振替表!$L$5:$L$3507,$L1329)&amp;CHAR(10)&amp;"⇔ "&amp;INDEX(ポート振替表!$H$5:$H$3507,$L1329)&amp;" "&amp;INDEX(ポート振替表!$I$5:$I$3507,$L1329))</f>
        <v/>
      </c>
      <c r="L1329" s="47" t="str">
        <f aca="false">IFERROR(MATCH(ROW()-4,ポート振替表!$V$5:$V$3507,0),"")</f>
        <v/>
      </c>
    </row>
    <row r="1330" customFormat="false" ht="16.4" hidden="false" customHeight="false" outlineLevel="0" collapsed="false">
      <c r="A1330" s="32" t="str">
        <f aca="false">IF(L1330="","",ROW()-4)</f>
        <v/>
      </c>
      <c r="B1330" s="58" t="str">
        <f aca="false">IF(L1330="","",IF(INDEX(ポート振替表!$W$5:$W$3507,$L1330)="","(なし)",INDEX(ポート振替表!$W$5:$W$3507,$L1330)&amp;""))</f>
        <v/>
      </c>
      <c r="C1330" s="52" t="str">
        <f aca="false">IF(L1330="","",INDEX(ポート振替表!$B$5:$B$3507,$L1330)&amp;" "&amp;INDEX(ポート振替表!$C$5:$C$3507,$L1330)&amp;"  ⇔  "&amp;INDEX(ポート振替表!$H$5:$H$3507,$L1330)&amp;" "&amp;INDEX(ポート振替表!$I$5:$I$3507,$L1330))</f>
        <v/>
      </c>
      <c r="D1330" s="57" t="s">
        <v>158</v>
      </c>
      <c r="E1330" s="59" t="str">
        <f aca="false">IF(L1330="","",IF(INDEX(ポート振替表!$O$5:$O$3507,$L1330)="","(未設定)",INDEX(ポート振替表!$O$5:$O$3507,$L1330)&amp;""))</f>
        <v/>
      </c>
      <c r="F1330" s="52" t="str">
        <f aca="false">IF(L1330="","",INDEX(ポート振替表!$K$5:$K$3507,$L1330)&amp;" "&amp;INDEX(ポート振替表!$L$5:$L$3507,$L1330)&amp;"  ⇔  "&amp;INDEX(ポート振替表!$H$5:$H$3507,$L1330)&amp;" "&amp;INDEX(ポート振替表!$I$5:$I$3507,$L1330))</f>
        <v/>
      </c>
      <c r="G1330" s="57" t="s">
        <v>158</v>
      </c>
      <c r="H1330" s="32" t="str">
        <f aca="false">IF(L1330="","",INDEX(ポート振替表!$N$5:$N$3507,$L1330)&amp;"")</f>
        <v/>
      </c>
      <c r="I1330" s="32" t="str">
        <f aca="false">IF(L1330="","",INDEX(ポート振替表!$P$5:$P$3507,$L1330)&amp;"")</f>
        <v/>
      </c>
      <c r="J1330" s="60" t="str">
        <f aca="false">IF(L1330="","",INDEX(ポート振替表!$M$5:$M$3507,$L1330)&amp;"")</f>
        <v/>
      </c>
      <c r="K1330" s="52" t="str">
        <f aca="false">IF(L1330="","",E1330&amp;CHAR(10)&amp;INDEX(ポート振替表!$K$5:$K$3507,$L1330)&amp;" "&amp;INDEX(ポート振替表!$L$5:$L$3507,$L1330)&amp;CHAR(10)&amp;"⇔ "&amp;INDEX(ポート振替表!$H$5:$H$3507,$L1330)&amp;" "&amp;INDEX(ポート振替表!$I$5:$I$3507,$L1330))</f>
        <v/>
      </c>
      <c r="L1330" s="47" t="str">
        <f aca="false">IFERROR(MATCH(ROW()-4,ポート振替表!$V$5:$V$3507,0),"")</f>
        <v/>
      </c>
    </row>
    <row r="1331" customFormat="false" ht="16.4" hidden="false" customHeight="false" outlineLevel="0" collapsed="false">
      <c r="A1331" s="32" t="str">
        <f aca="false">IF(L1331="","",ROW()-4)</f>
        <v/>
      </c>
      <c r="B1331" s="58" t="str">
        <f aca="false">IF(L1331="","",IF(INDEX(ポート振替表!$W$5:$W$3507,$L1331)="","(なし)",INDEX(ポート振替表!$W$5:$W$3507,$L1331)&amp;""))</f>
        <v/>
      </c>
      <c r="C1331" s="52" t="str">
        <f aca="false">IF(L1331="","",INDEX(ポート振替表!$B$5:$B$3507,$L1331)&amp;" "&amp;INDEX(ポート振替表!$C$5:$C$3507,$L1331)&amp;"  ⇔  "&amp;INDEX(ポート振替表!$H$5:$H$3507,$L1331)&amp;" "&amp;INDEX(ポート振替表!$I$5:$I$3507,$L1331))</f>
        <v/>
      </c>
      <c r="D1331" s="57" t="s">
        <v>158</v>
      </c>
      <c r="E1331" s="59" t="str">
        <f aca="false">IF(L1331="","",IF(INDEX(ポート振替表!$O$5:$O$3507,$L1331)="","(未設定)",INDEX(ポート振替表!$O$5:$O$3507,$L1331)&amp;""))</f>
        <v/>
      </c>
      <c r="F1331" s="52" t="str">
        <f aca="false">IF(L1331="","",INDEX(ポート振替表!$K$5:$K$3507,$L1331)&amp;" "&amp;INDEX(ポート振替表!$L$5:$L$3507,$L1331)&amp;"  ⇔  "&amp;INDEX(ポート振替表!$H$5:$H$3507,$L1331)&amp;" "&amp;INDEX(ポート振替表!$I$5:$I$3507,$L1331))</f>
        <v/>
      </c>
      <c r="G1331" s="57" t="s">
        <v>158</v>
      </c>
      <c r="H1331" s="32" t="str">
        <f aca="false">IF(L1331="","",INDEX(ポート振替表!$N$5:$N$3507,$L1331)&amp;"")</f>
        <v/>
      </c>
      <c r="I1331" s="32" t="str">
        <f aca="false">IF(L1331="","",INDEX(ポート振替表!$P$5:$P$3507,$L1331)&amp;"")</f>
        <v/>
      </c>
      <c r="J1331" s="60" t="str">
        <f aca="false">IF(L1331="","",INDEX(ポート振替表!$M$5:$M$3507,$L1331)&amp;"")</f>
        <v/>
      </c>
      <c r="K1331" s="52" t="str">
        <f aca="false">IF(L1331="","",E1331&amp;CHAR(10)&amp;INDEX(ポート振替表!$K$5:$K$3507,$L1331)&amp;" "&amp;INDEX(ポート振替表!$L$5:$L$3507,$L1331)&amp;CHAR(10)&amp;"⇔ "&amp;INDEX(ポート振替表!$H$5:$H$3507,$L1331)&amp;" "&amp;INDEX(ポート振替表!$I$5:$I$3507,$L1331))</f>
        <v/>
      </c>
      <c r="L1331" s="47" t="str">
        <f aca="false">IFERROR(MATCH(ROW()-4,ポート振替表!$V$5:$V$3507,0),"")</f>
        <v/>
      </c>
    </row>
    <row r="1332" customFormat="false" ht="16.4" hidden="false" customHeight="false" outlineLevel="0" collapsed="false">
      <c r="A1332" s="32" t="str">
        <f aca="false">IF(L1332="","",ROW()-4)</f>
        <v/>
      </c>
      <c r="B1332" s="58" t="str">
        <f aca="false">IF(L1332="","",IF(INDEX(ポート振替表!$W$5:$W$3507,$L1332)="","(なし)",INDEX(ポート振替表!$W$5:$W$3507,$L1332)&amp;""))</f>
        <v/>
      </c>
      <c r="C1332" s="52" t="str">
        <f aca="false">IF(L1332="","",INDEX(ポート振替表!$B$5:$B$3507,$L1332)&amp;" "&amp;INDEX(ポート振替表!$C$5:$C$3507,$L1332)&amp;"  ⇔  "&amp;INDEX(ポート振替表!$H$5:$H$3507,$L1332)&amp;" "&amp;INDEX(ポート振替表!$I$5:$I$3507,$L1332))</f>
        <v/>
      </c>
      <c r="D1332" s="57" t="s">
        <v>158</v>
      </c>
      <c r="E1332" s="59" t="str">
        <f aca="false">IF(L1332="","",IF(INDEX(ポート振替表!$O$5:$O$3507,$L1332)="","(未設定)",INDEX(ポート振替表!$O$5:$O$3507,$L1332)&amp;""))</f>
        <v/>
      </c>
      <c r="F1332" s="52" t="str">
        <f aca="false">IF(L1332="","",INDEX(ポート振替表!$K$5:$K$3507,$L1332)&amp;" "&amp;INDEX(ポート振替表!$L$5:$L$3507,$L1332)&amp;"  ⇔  "&amp;INDEX(ポート振替表!$H$5:$H$3507,$L1332)&amp;" "&amp;INDEX(ポート振替表!$I$5:$I$3507,$L1332))</f>
        <v/>
      </c>
      <c r="G1332" s="57" t="s">
        <v>158</v>
      </c>
      <c r="H1332" s="32" t="str">
        <f aca="false">IF(L1332="","",INDEX(ポート振替表!$N$5:$N$3507,$L1332)&amp;"")</f>
        <v/>
      </c>
      <c r="I1332" s="32" t="str">
        <f aca="false">IF(L1332="","",INDEX(ポート振替表!$P$5:$P$3507,$L1332)&amp;"")</f>
        <v/>
      </c>
      <c r="J1332" s="60" t="str">
        <f aca="false">IF(L1332="","",INDEX(ポート振替表!$M$5:$M$3507,$L1332)&amp;"")</f>
        <v/>
      </c>
      <c r="K1332" s="52" t="str">
        <f aca="false">IF(L1332="","",E1332&amp;CHAR(10)&amp;INDEX(ポート振替表!$K$5:$K$3507,$L1332)&amp;" "&amp;INDEX(ポート振替表!$L$5:$L$3507,$L1332)&amp;CHAR(10)&amp;"⇔ "&amp;INDEX(ポート振替表!$H$5:$H$3507,$L1332)&amp;" "&amp;INDEX(ポート振替表!$I$5:$I$3507,$L1332))</f>
        <v/>
      </c>
      <c r="L1332" s="47" t="str">
        <f aca="false">IFERROR(MATCH(ROW()-4,ポート振替表!$V$5:$V$3507,0),"")</f>
        <v/>
      </c>
    </row>
    <row r="1333" customFormat="false" ht="16.4" hidden="false" customHeight="false" outlineLevel="0" collapsed="false">
      <c r="A1333" s="32" t="str">
        <f aca="false">IF(L1333="","",ROW()-4)</f>
        <v/>
      </c>
      <c r="B1333" s="58" t="str">
        <f aca="false">IF(L1333="","",IF(INDEX(ポート振替表!$W$5:$W$3507,$L1333)="","(なし)",INDEX(ポート振替表!$W$5:$W$3507,$L1333)&amp;""))</f>
        <v/>
      </c>
      <c r="C1333" s="52" t="str">
        <f aca="false">IF(L1333="","",INDEX(ポート振替表!$B$5:$B$3507,$L1333)&amp;" "&amp;INDEX(ポート振替表!$C$5:$C$3507,$L1333)&amp;"  ⇔  "&amp;INDEX(ポート振替表!$H$5:$H$3507,$L1333)&amp;" "&amp;INDEX(ポート振替表!$I$5:$I$3507,$L1333))</f>
        <v/>
      </c>
      <c r="D1333" s="57" t="s">
        <v>158</v>
      </c>
      <c r="E1333" s="59" t="str">
        <f aca="false">IF(L1333="","",IF(INDEX(ポート振替表!$O$5:$O$3507,$L1333)="","(未設定)",INDEX(ポート振替表!$O$5:$O$3507,$L1333)&amp;""))</f>
        <v/>
      </c>
      <c r="F1333" s="52" t="str">
        <f aca="false">IF(L1333="","",INDEX(ポート振替表!$K$5:$K$3507,$L1333)&amp;" "&amp;INDEX(ポート振替表!$L$5:$L$3507,$L1333)&amp;"  ⇔  "&amp;INDEX(ポート振替表!$H$5:$H$3507,$L1333)&amp;" "&amp;INDEX(ポート振替表!$I$5:$I$3507,$L1333))</f>
        <v/>
      </c>
      <c r="G1333" s="57" t="s">
        <v>158</v>
      </c>
      <c r="H1333" s="32" t="str">
        <f aca="false">IF(L1333="","",INDEX(ポート振替表!$N$5:$N$3507,$L1333)&amp;"")</f>
        <v/>
      </c>
      <c r="I1333" s="32" t="str">
        <f aca="false">IF(L1333="","",INDEX(ポート振替表!$P$5:$P$3507,$L1333)&amp;"")</f>
        <v/>
      </c>
      <c r="J1333" s="60" t="str">
        <f aca="false">IF(L1333="","",INDEX(ポート振替表!$M$5:$M$3507,$L1333)&amp;"")</f>
        <v/>
      </c>
      <c r="K1333" s="52" t="str">
        <f aca="false">IF(L1333="","",E1333&amp;CHAR(10)&amp;INDEX(ポート振替表!$K$5:$K$3507,$L1333)&amp;" "&amp;INDEX(ポート振替表!$L$5:$L$3507,$L1333)&amp;CHAR(10)&amp;"⇔ "&amp;INDEX(ポート振替表!$H$5:$H$3507,$L1333)&amp;" "&amp;INDEX(ポート振替表!$I$5:$I$3507,$L1333))</f>
        <v/>
      </c>
      <c r="L1333" s="47" t="str">
        <f aca="false">IFERROR(MATCH(ROW()-4,ポート振替表!$V$5:$V$3507,0),"")</f>
        <v/>
      </c>
    </row>
    <row r="1334" customFormat="false" ht="16.4" hidden="false" customHeight="false" outlineLevel="0" collapsed="false">
      <c r="A1334" s="32" t="str">
        <f aca="false">IF(L1334="","",ROW()-4)</f>
        <v/>
      </c>
      <c r="B1334" s="58" t="str">
        <f aca="false">IF(L1334="","",IF(INDEX(ポート振替表!$W$5:$W$3507,$L1334)="","(なし)",INDEX(ポート振替表!$W$5:$W$3507,$L1334)&amp;""))</f>
        <v/>
      </c>
      <c r="C1334" s="52" t="str">
        <f aca="false">IF(L1334="","",INDEX(ポート振替表!$B$5:$B$3507,$L1334)&amp;" "&amp;INDEX(ポート振替表!$C$5:$C$3507,$L1334)&amp;"  ⇔  "&amp;INDEX(ポート振替表!$H$5:$H$3507,$L1334)&amp;" "&amp;INDEX(ポート振替表!$I$5:$I$3507,$L1334))</f>
        <v/>
      </c>
      <c r="D1334" s="57" t="s">
        <v>158</v>
      </c>
      <c r="E1334" s="59" t="str">
        <f aca="false">IF(L1334="","",IF(INDEX(ポート振替表!$O$5:$O$3507,$L1334)="","(未設定)",INDEX(ポート振替表!$O$5:$O$3507,$L1334)&amp;""))</f>
        <v/>
      </c>
      <c r="F1334" s="52" t="str">
        <f aca="false">IF(L1334="","",INDEX(ポート振替表!$K$5:$K$3507,$L1334)&amp;" "&amp;INDEX(ポート振替表!$L$5:$L$3507,$L1334)&amp;"  ⇔  "&amp;INDEX(ポート振替表!$H$5:$H$3507,$L1334)&amp;" "&amp;INDEX(ポート振替表!$I$5:$I$3507,$L1334))</f>
        <v/>
      </c>
      <c r="G1334" s="57" t="s">
        <v>158</v>
      </c>
      <c r="H1334" s="32" t="str">
        <f aca="false">IF(L1334="","",INDEX(ポート振替表!$N$5:$N$3507,$L1334)&amp;"")</f>
        <v/>
      </c>
      <c r="I1334" s="32" t="str">
        <f aca="false">IF(L1334="","",INDEX(ポート振替表!$P$5:$P$3507,$L1334)&amp;"")</f>
        <v/>
      </c>
      <c r="J1334" s="60" t="str">
        <f aca="false">IF(L1334="","",INDEX(ポート振替表!$M$5:$M$3507,$L1334)&amp;"")</f>
        <v/>
      </c>
      <c r="K1334" s="52" t="str">
        <f aca="false">IF(L1334="","",E1334&amp;CHAR(10)&amp;INDEX(ポート振替表!$K$5:$K$3507,$L1334)&amp;" "&amp;INDEX(ポート振替表!$L$5:$L$3507,$L1334)&amp;CHAR(10)&amp;"⇔ "&amp;INDEX(ポート振替表!$H$5:$H$3507,$L1334)&amp;" "&amp;INDEX(ポート振替表!$I$5:$I$3507,$L1334))</f>
        <v/>
      </c>
      <c r="L1334" s="47" t="str">
        <f aca="false">IFERROR(MATCH(ROW()-4,ポート振替表!$V$5:$V$3507,0),"")</f>
        <v/>
      </c>
    </row>
    <row r="1335" customFormat="false" ht="16.4" hidden="false" customHeight="false" outlineLevel="0" collapsed="false">
      <c r="A1335" s="32" t="str">
        <f aca="false">IF(L1335="","",ROW()-4)</f>
        <v/>
      </c>
      <c r="B1335" s="58" t="str">
        <f aca="false">IF(L1335="","",IF(INDEX(ポート振替表!$W$5:$W$3507,$L1335)="","(なし)",INDEX(ポート振替表!$W$5:$W$3507,$L1335)&amp;""))</f>
        <v/>
      </c>
      <c r="C1335" s="52" t="str">
        <f aca="false">IF(L1335="","",INDEX(ポート振替表!$B$5:$B$3507,$L1335)&amp;" "&amp;INDEX(ポート振替表!$C$5:$C$3507,$L1335)&amp;"  ⇔  "&amp;INDEX(ポート振替表!$H$5:$H$3507,$L1335)&amp;" "&amp;INDEX(ポート振替表!$I$5:$I$3507,$L1335))</f>
        <v/>
      </c>
      <c r="D1335" s="57" t="s">
        <v>158</v>
      </c>
      <c r="E1335" s="59" t="str">
        <f aca="false">IF(L1335="","",IF(INDEX(ポート振替表!$O$5:$O$3507,$L1335)="","(未設定)",INDEX(ポート振替表!$O$5:$O$3507,$L1335)&amp;""))</f>
        <v/>
      </c>
      <c r="F1335" s="52" t="str">
        <f aca="false">IF(L1335="","",INDEX(ポート振替表!$K$5:$K$3507,$L1335)&amp;" "&amp;INDEX(ポート振替表!$L$5:$L$3507,$L1335)&amp;"  ⇔  "&amp;INDEX(ポート振替表!$H$5:$H$3507,$L1335)&amp;" "&amp;INDEX(ポート振替表!$I$5:$I$3507,$L1335))</f>
        <v/>
      </c>
      <c r="G1335" s="57" t="s">
        <v>158</v>
      </c>
      <c r="H1335" s="32" t="str">
        <f aca="false">IF(L1335="","",INDEX(ポート振替表!$N$5:$N$3507,$L1335)&amp;"")</f>
        <v/>
      </c>
      <c r="I1335" s="32" t="str">
        <f aca="false">IF(L1335="","",INDEX(ポート振替表!$P$5:$P$3507,$L1335)&amp;"")</f>
        <v/>
      </c>
      <c r="J1335" s="60" t="str">
        <f aca="false">IF(L1335="","",INDEX(ポート振替表!$M$5:$M$3507,$L1335)&amp;"")</f>
        <v/>
      </c>
      <c r="K1335" s="52" t="str">
        <f aca="false">IF(L1335="","",E1335&amp;CHAR(10)&amp;INDEX(ポート振替表!$K$5:$K$3507,$L1335)&amp;" "&amp;INDEX(ポート振替表!$L$5:$L$3507,$L1335)&amp;CHAR(10)&amp;"⇔ "&amp;INDEX(ポート振替表!$H$5:$H$3507,$L1335)&amp;" "&amp;INDEX(ポート振替表!$I$5:$I$3507,$L1335))</f>
        <v/>
      </c>
      <c r="L1335" s="47" t="str">
        <f aca="false">IFERROR(MATCH(ROW()-4,ポート振替表!$V$5:$V$3507,0),"")</f>
        <v/>
      </c>
    </row>
    <row r="1336" customFormat="false" ht="16.4" hidden="false" customHeight="false" outlineLevel="0" collapsed="false">
      <c r="A1336" s="32" t="str">
        <f aca="false">IF(L1336="","",ROW()-4)</f>
        <v/>
      </c>
      <c r="B1336" s="58" t="str">
        <f aca="false">IF(L1336="","",IF(INDEX(ポート振替表!$W$5:$W$3507,$L1336)="","(なし)",INDEX(ポート振替表!$W$5:$W$3507,$L1336)&amp;""))</f>
        <v/>
      </c>
      <c r="C1336" s="52" t="str">
        <f aca="false">IF(L1336="","",INDEX(ポート振替表!$B$5:$B$3507,$L1336)&amp;" "&amp;INDEX(ポート振替表!$C$5:$C$3507,$L1336)&amp;"  ⇔  "&amp;INDEX(ポート振替表!$H$5:$H$3507,$L1336)&amp;" "&amp;INDEX(ポート振替表!$I$5:$I$3507,$L1336))</f>
        <v/>
      </c>
      <c r="D1336" s="57" t="s">
        <v>158</v>
      </c>
      <c r="E1336" s="59" t="str">
        <f aca="false">IF(L1336="","",IF(INDEX(ポート振替表!$O$5:$O$3507,$L1336)="","(未設定)",INDEX(ポート振替表!$O$5:$O$3507,$L1336)&amp;""))</f>
        <v/>
      </c>
      <c r="F1336" s="52" t="str">
        <f aca="false">IF(L1336="","",INDEX(ポート振替表!$K$5:$K$3507,$L1336)&amp;" "&amp;INDEX(ポート振替表!$L$5:$L$3507,$L1336)&amp;"  ⇔  "&amp;INDEX(ポート振替表!$H$5:$H$3507,$L1336)&amp;" "&amp;INDEX(ポート振替表!$I$5:$I$3507,$L1336))</f>
        <v/>
      </c>
      <c r="G1336" s="57" t="s">
        <v>158</v>
      </c>
      <c r="H1336" s="32" t="str">
        <f aca="false">IF(L1336="","",INDEX(ポート振替表!$N$5:$N$3507,$L1336)&amp;"")</f>
        <v/>
      </c>
      <c r="I1336" s="32" t="str">
        <f aca="false">IF(L1336="","",INDEX(ポート振替表!$P$5:$P$3507,$L1336)&amp;"")</f>
        <v/>
      </c>
      <c r="J1336" s="60" t="str">
        <f aca="false">IF(L1336="","",INDEX(ポート振替表!$M$5:$M$3507,$L1336)&amp;"")</f>
        <v/>
      </c>
      <c r="K1336" s="52" t="str">
        <f aca="false">IF(L1336="","",E1336&amp;CHAR(10)&amp;INDEX(ポート振替表!$K$5:$K$3507,$L1336)&amp;" "&amp;INDEX(ポート振替表!$L$5:$L$3507,$L1336)&amp;CHAR(10)&amp;"⇔ "&amp;INDEX(ポート振替表!$H$5:$H$3507,$L1336)&amp;" "&amp;INDEX(ポート振替表!$I$5:$I$3507,$L1336))</f>
        <v/>
      </c>
      <c r="L1336" s="47" t="str">
        <f aca="false">IFERROR(MATCH(ROW()-4,ポート振替表!$V$5:$V$3507,0),"")</f>
        <v/>
      </c>
    </row>
    <row r="1337" customFormat="false" ht="16.4" hidden="false" customHeight="false" outlineLevel="0" collapsed="false">
      <c r="A1337" s="32" t="str">
        <f aca="false">IF(L1337="","",ROW()-4)</f>
        <v/>
      </c>
      <c r="B1337" s="58" t="str">
        <f aca="false">IF(L1337="","",IF(INDEX(ポート振替表!$W$5:$W$3507,$L1337)="","(なし)",INDEX(ポート振替表!$W$5:$W$3507,$L1337)&amp;""))</f>
        <v/>
      </c>
      <c r="C1337" s="52" t="str">
        <f aca="false">IF(L1337="","",INDEX(ポート振替表!$B$5:$B$3507,$L1337)&amp;" "&amp;INDEX(ポート振替表!$C$5:$C$3507,$L1337)&amp;"  ⇔  "&amp;INDEX(ポート振替表!$H$5:$H$3507,$L1337)&amp;" "&amp;INDEX(ポート振替表!$I$5:$I$3507,$L1337))</f>
        <v/>
      </c>
      <c r="D1337" s="57" t="s">
        <v>158</v>
      </c>
      <c r="E1337" s="59" t="str">
        <f aca="false">IF(L1337="","",IF(INDEX(ポート振替表!$O$5:$O$3507,$L1337)="","(未設定)",INDEX(ポート振替表!$O$5:$O$3507,$L1337)&amp;""))</f>
        <v/>
      </c>
      <c r="F1337" s="52" t="str">
        <f aca="false">IF(L1337="","",INDEX(ポート振替表!$K$5:$K$3507,$L1337)&amp;" "&amp;INDEX(ポート振替表!$L$5:$L$3507,$L1337)&amp;"  ⇔  "&amp;INDEX(ポート振替表!$H$5:$H$3507,$L1337)&amp;" "&amp;INDEX(ポート振替表!$I$5:$I$3507,$L1337))</f>
        <v/>
      </c>
      <c r="G1337" s="57" t="s">
        <v>158</v>
      </c>
      <c r="H1337" s="32" t="str">
        <f aca="false">IF(L1337="","",INDEX(ポート振替表!$N$5:$N$3507,$L1337)&amp;"")</f>
        <v/>
      </c>
      <c r="I1337" s="32" t="str">
        <f aca="false">IF(L1337="","",INDEX(ポート振替表!$P$5:$P$3507,$L1337)&amp;"")</f>
        <v/>
      </c>
      <c r="J1337" s="60" t="str">
        <f aca="false">IF(L1337="","",INDEX(ポート振替表!$M$5:$M$3507,$L1337)&amp;"")</f>
        <v/>
      </c>
      <c r="K1337" s="52" t="str">
        <f aca="false">IF(L1337="","",E1337&amp;CHAR(10)&amp;INDEX(ポート振替表!$K$5:$K$3507,$L1337)&amp;" "&amp;INDEX(ポート振替表!$L$5:$L$3507,$L1337)&amp;CHAR(10)&amp;"⇔ "&amp;INDEX(ポート振替表!$H$5:$H$3507,$L1337)&amp;" "&amp;INDEX(ポート振替表!$I$5:$I$3507,$L1337))</f>
        <v/>
      </c>
      <c r="L1337" s="47" t="str">
        <f aca="false">IFERROR(MATCH(ROW()-4,ポート振替表!$V$5:$V$3507,0),"")</f>
        <v/>
      </c>
    </row>
    <row r="1338" customFormat="false" ht="16.4" hidden="false" customHeight="false" outlineLevel="0" collapsed="false">
      <c r="A1338" s="32" t="str">
        <f aca="false">IF(L1338="","",ROW()-4)</f>
        <v/>
      </c>
      <c r="B1338" s="58" t="str">
        <f aca="false">IF(L1338="","",IF(INDEX(ポート振替表!$W$5:$W$3507,$L1338)="","(なし)",INDEX(ポート振替表!$W$5:$W$3507,$L1338)&amp;""))</f>
        <v/>
      </c>
      <c r="C1338" s="52" t="str">
        <f aca="false">IF(L1338="","",INDEX(ポート振替表!$B$5:$B$3507,$L1338)&amp;" "&amp;INDEX(ポート振替表!$C$5:$C$3507,$L1338)&amp;"  ⇔  "&amp;INDEX(ポート振替表!$H$5:$H$3507,$L1338)&amp;" "&amp;INDEX(ポート振替表!$I$5:$I$3507,$L1338))</f>
        <v/>
      </c>
      <c r="D1338" s="57" t="s">
        <v>158</v>
      </c>
      <c r="E1338" s="59" t="str">
        <f aca="false">IF(L1338="","",IF(INDEX(ポート振替表!$O$5:$O$3507,$L1338)="","(未設定)",INDEX(ポート振替表!$O$5:$O$3507,$L1338)&amp;""))</f>
        <v/>
      </c>
      <c r="F1338" s="52" t="str">
        <f aca="false">IF(L1338="","",INDEX(ポート振替表!$K$5:$K$3507,$L1338)&amp;" "&amp;INDEX(ポート振替表!$L$5:$L$3507,$L1338)&amp;"  ⇔  "&amp;INDEX(ポート振替表!$H$5:$H$3507,$L1338)&amp;" "&amp;INDEX(ポート振替表!$I$5:$I$3507,$L1338))</f>
        <v/>
      </c>
      <c r="G1338" s="57" t="s">
        <v>158</v>
      </c>
      <c r="H1338" s="32" t="str">
        <f aca="false">IF(L1338="","",INDEX(ポート振替表!$N$5:$N$3507,$L1338)&amp;"")</f>
        <v/>
      </c>
      <c r="I1338" s="32" t="str">
        <f aca="false">IF(L1338="","",INDEX(ポート振替表!$P$5:$P$3507,$L1338)&amp;"")</f>
        <v/>
      </c>
      <c r="J1338" s="60" t="str">
        <f aca="false">IF(L1338="","",INDEX(ポート振替表!$M$5:$M$3507,$L1338)&amp;"")</f>
        <v/>
      </c>
      <c r="K1338" s="52" t="str">
        <f aca="false">IF(L1338="","",E1338&amp;CHAR(10)&amp;INDEX(ポート振替表!$K$5:$K$3507,$L1338)&amp;" "&amp;INDEX(ポート振替表!$L$5:$L$3507,$L1338)&amp;CHAR(10)&amp;"⇔ "&amp;INDEX(ポート振替表!$H$5:$H$3507,$L1338)&amp;" "&amp;INDEX(ポート振替表!$I$5:$I$3507,$L1338))</f>
        <v/>
      </c>
      <c r="L1338" s="47" t="str">
        <f aca="false">IFERROR(MATCH(ROW()-4,ポート振替表!$V$5:$V$3507,0),"")</f>
        <v/>
      </c>
    </row>
    <row r="1339" customFormat="false" ht="16.4" hidden="false" customHeight="false" outlineLevel="0" collapsed="false">
      <c r="A1339" s="32" t="str">
        <f aca="false">IF(L1339="","",ROW()-4)</f>
        <v/>
      </c>
      <c r="B1339" s="58" t="str">
        <f aca="false">IF(L1339="","",IF(INDEX(ポート振替表!$W$5:$W$3507,$L1339)="","(なし)",INDEX(ポート振替表!$W$5:$W$3507,$L1339)&amp;""))</f>
        <v/>
      </c>
      <c r="C1339" s="52" t="str">
        <f aca="false">IF(L1339="","",INDEX(ポート振替表!$B$5:$B$3507,$L1339)&amp;" "&amp;INDEX(ポート振替表!$C$5:$C$3507,$L1339)&amp;"  ⇔  "&amp;INDEX(ポート振替表!$H$5:$H$3507,$L1339)&amp;" "&amp;INDEX(ポート振替表!$I$5:$I$3507,$L1339))</f>
        <v/>
      </c>
      <c r="D1339" s="57" t="s">
        <v>158</v>
      </c>
      <c r="E1339" s="59" t="str">
        <f aca="false">IF(L1339="","",IF(INDEX(ポート振替表!$O$5:$O$3507,$L1339)="","(未設定)",INDEX(ポート振替表!$O$5:$O$3507,$L1339)&amp;""))</f>
        <v/>
      </c>
      <c r="F1339" s="52" t="str">
        <f aca="false">IF(L1339="","",INDEX(ポート振替表!$K$5:$K$3507,$L1339)&amp;" "&amp;INDEX(ポート振替表!$L$5:$L$3507,$L1339)&amp;"  ⇔  "&amp;INDEX(ポート振替表!$H$5:$H$3507,$L1339)&amp;" "&amp;INDEX(ポート振替表!$I$5:$I$3507,$L1339))</f>
        <v/>
      </c>
      <c r="G1339" s="57" t="s">
        <v>158</v>
      </c>
      <c r="H1339" s="32" t="str">
        <f aca="false">IF(L1339="","",INDEX(ポート振替表!$N$5:$N$3507,$L1339)&amp;"")</f>
        <v/>
      </c>
      <c r="I1339" s="32" t="str">
        <f aca="false">IF(L1339="","",INDEX(ポート振替表!$P$5:$P$3507,$L1339)&amp;"")</f>
        <v/>
      </c>
      <c r="J1339" s="60" t="str">
        <f aca="false">IF(L1339="","",INDEX(ポート振替表!$M$5:$M$3507,$L1339)&amp;"")</f>
        <v/>
      </c>
      <c r="K1339" s="52" t="str">
        <f aca="false">IF(L1339="","",E1339&amp;CHAR(10)&amp;INDEX(ポート振替表!$K$5:$K$3507,$L1339)&amp;" "&amp;INDEX(ポート振替表!$L$5:$L$3507,$L1339)&amp;CHAR(10)&amp;"⇔ "&amp;INDEX(ポート振替表!$H$5:$H$3507,$L1339)&amp;" "&amp;INDEX(ポート振替表!$I$5:$I$3507,$L1339))</f>
        <v/>
      </c>
      <c r="L1339" s="47" t="str">
        <f aca="false">IFERROR(MATCH(ROW()-4,ポート振替表!$V$5:$V$3507,0),"")</f>
        <v/>
      </c>
    </row>
    <row r="1340" customFormat="false" ht="16.4" hidden="false" customHeight="false" outlineLevel="0" collapsed="false">
      <c r="A1340" s="32" t="str">
        <f aca="false">IF(L1340="","",ROW()-4)</f>
        <v/>
      </c>
      <c r="B1340" s="58" t="str">
        <f aca="false">IF(L1340="","",IF(INDEX(ポート振替表!$W$5:$W$3507,$L1340)="","(なし)",INDEX(ポート振替表!$W$5:$W$3507,$L1340)&amp;""))</f>
        <v/>
      </c>
      <c r="C1340" s="52" t="str">
        <f aca="false">IF(L1340="","",INDEX(ポート振替表!$B$5:$B$3507,$L1340)&amp;" "&amp;INDEX(ポート振替表!$C$5:$C$3507,$L1340)&amp;"  ⇔  "&amp;INDEX(ポート振替表!$H$5:$H$3507,$L1340)&amp;" "&amp;INDEX(ポート振替表!$I$5:$I$3507,$L1340))</f>
        <v/>
      </c>
      <c r="D1340" s="57" t="s">
        <v>158</v>
      </c>
      <c r="E1340" s="59" t="str">
        <f aca="false">IF(L1340="","",IF(INDEX(ポート振替表!$O$5:$O$3507,$L1340)="","(未設定)",INDEX(ポート振替表!$O$5:$O$3507,$L1340)&amp;""))</f>
        <v/>
      </c>
      <c r="F1340" s="52" t="str">
        <f aca="false">IF(L1340="","",INDEX(ポート振替表!$K$5:$K$3507,$L1340)&amp;" "&amp;INDEX(ポート振替表!$L$5:$L$3507,$L1340)&amp;"  ⇔  "&amp;INDEX(ポート振替表!$H$5:$H$3507,$L1340)&amp;" "&amp;INDEX(ポート振替表!$I$5:$I$3507,$L1340))</f>
        <v/>
      </c>
      <c r="G1340" s="57" t="s">
        <v>158</v>
      </c>
      <c r="H1340" s="32" t="str">
        <f aca="false">IF(L1340="","",INDEX(ポート振替表!$N$5:$N$3507,$L1340)&amp;"")</f>
        <v/>
      </c>
      <c r="I1340" s="32" t="str">
        <f aca="false">IF(L1340="","",INDEX(ポート振替表!$P$5:$P$3507,$L1340)&amp;"")</f>
        <v/>
      </c>
      <c r="J1340" s="60" t="str">
        <f aca="false">IF(L1340="","",INDEX(ポート振替表!$M$5:$M$3507,$L1340)&amp;"")</f>
        <v/>
      </c>
      <c r="K1340" s="52" t="str">
        <f aca="false">IF(L1340="","",E1340&amp;CHAR(10)&amp;INDEX(ポート振替表!$K$5:$K$3507,$L1340)&amp;" "&amp;INDEX(ポート振替表!$L$5:$L$3507,$L1340)&amp;CHAR(10)&amp;"⇔ "&amp;INDEX(ポート振替表!$H$5:$H$3507,$L1340)&amp;" "&amp;INDEX(ポート振替表!$I$5:$I$3507,$L1340))</f>
        <v/>
      </c>
      <c r="L1340" s="47" t="str">
        <f aca="false">IFERROR(MATCH(ROW()-4,ポート振替表!$V$5:$V$3507,0),"")</f>
        <v/>
      </c>
    </row>
    <row r="1341" customFormat="false" ht="16.4" hidden="false" customHeight="false" outlineLevel="0" collapsed="false">
      <c r="A1341" s="32" t="str">
        <f aca="false">IF(L1341="","",ROW()-4)</f>
        <v/>
      </c>
      <c r="B1341" s="58" t="str">
        <f aca="false">IF(L1341="","",IF(INDEX(ポート振替表!$W$5:$W$3507,$L1341)="","(なし)",INDEX(ポート振替表!$W$5:$W$3507,$L1341)&amp;""))</f>
        <v/>
      </c>
      <c r="C1341" s="52" t="str">
        <f aca="false">IF(L1341="","",INDEX(ポート振替表!$B$5:$B$3507,$L1341)&amp;" "&amp;INDEX(ポート振替表!$C$5:$C$3507,$L1341)&amp;"  ⇔  "&amp;INDEX(ポート振替表!$H$5:$H$3507,$L1341)&amp;" "&amp;INDEX(ポート振替表!$I$5:$I$3507,$L1341))</f>
        <v/>
      </c>
      <c r="D1341" s="57" t="s">
        <v>158</v>
      </c>
      <c r="E1341" s="59" t="str">
        <f aca="false">IF(L1341="","",IF(INDEX(ポート振替表!$O$5:$O$3507,$L1341)="","(未設定)",INDEX(ポート振替表!$O$5:$O$3507,$L1341)&amp;""))</f>
        <v/>
      </c>
      <c r="F1341" s="52" t="str">
        <f aca="false">IF(L1341="","",INDEX(ポート振替表!$K$5:$K$3507,$L1341)&amp;" "&amp;INDEX(ポート振替表!$L$5:$L$3507,$L1341)&amp;"  ⇔  "&amp;INDEX(ポート振替表!$H$5:$H$3507,$L1341)&amp;" "&amp;INDEX(ポート振替表!$I$5:$I$3507,$L1341))</f>
        <v/>
      </c>
      <c r="G1341" s="57" t="s">
        <v>158</v>
      </c>
      <c r="H1341" s="32" t="str">
        <f aca="false">IF(L1341="","",INDEX(ポート振替表!$N$5:$N$3507,$L1341)&amp;"")</f>
        <v/>
      </c>
      <c r="I1341" s="32" t="str">
        <f aca="false">IF(L1341="","",INDEX(ポート振替表!$P$5:$P$3507,$L1341)&amp;"")</f>
        <v/>
      </c>
      <c r="J1341" s="60" t="str">
        <f aca="false">IF(L1341="","",INDEX(ポート振替表!$M$5:$M$3507,$L1341)&amp;"")</f>
        <v/>
      </c>
      <c r="K1341" s="52" t="str">
        <f aca="false">IF(L1341="","",E1341&amp;CHAR(10)&amp;INDEX(ポート振替表!$K$5:$K$3507,$L1341)&amp;" "&amp;INDEX(ポート振替表!$L$5:$L$3507,$L1341)&amp;CHAR(10)&amp;"⇔ "&amp;INDEX(ポート振替表!$H$5:$H$3507,$L1341)&amp;" "&amp;INDEX(ポート振替表!$I$5:$I$3507,$L1341))</f>
        <v/>
      </c>
      <c r="L1341" s="47" t="str">
        <f aca="false">IFERROR(MATCH(ROW()-4,ポート振替表!$V$5:$V$3507,0),"")</f>
        <v/>
      </c>
    </row>
    <row r="1342" customFormat="false" ht="16.4" hidden="false" customHeight="false" outlineLevel="0" collapsed="false">
      <c r="A1342" s="32" t="str">
        <f aca="false">IF(L1342="","",ROW()-4)</f>
        <v/>
      </c>
      <c r="B1342" s="58" t="str">
        <f aca="false">IF(L1342="","",IF(INDEX(ポート振替表!$W$5:$W$3507,$L1342)="","(なし)",INDEX(ポート振替表!$W$5:$W$3507,$L1342)&amp;""))</f>
        <v/>
      </c>
      <c r="C1342" s="52" t="str">
        <f aca="false">IF(L1342="","",INDEX(ポート振替表!$B$5:$B$3507,$L1342)&amp;" "&amp;INDEX(ポート振替表!$C$5:$C$3507,$L1342)&amp;"  ⇔  "&amp;INDEX(ポート振替表!$H$5:$H$3507,$L1342)&amp;" "&amp;INDEX(ポート振替表!$I$5:$I$3507,$L1342))</f>
        <v/>
      </c>
      <c r="D1342" s="57" t="s">
        <v>158</v>
      </c>
      <c r="E1342" s="59" t="str">
        <f aca="false">IF(L1342="","",IF(INDEX(ポート振替表!$O$5:$O$3507,$L1342)="","(未設定)",INDEX(ポート振替表!$O$5:$O$3507,$L1342)&amp;""))</f>
        <v/>
      </c>
      <c r="F1342" s="52" t="str">
        <f aca="false">IF(L1342="","",INDEX(ポート振替表!$K$5:$K$3507,$L1342)&amp;" "&amp;INDEX(ポート振替表!$L$5:$L$3507,$L1342)&amp;"  ⇔  "&amp;INDEX(ポート振替表!$H$5:$H$3507,$L1342)&amp;" "&amp;INDEX(ポート振替表!$I$5:$I$3507,$L1342))</f>
        <v/>
      </c>
      <c r="G1342" s="57" t="s">
        <v>158</v>
      </c>
      <c r="H1342" s="32" t="str">
        <f aca="false">IF(L1342="","",INDEX(ポート振替表!$N$5:$N$3507,$L1342)&amp;"")</f>
        <v/>
      </c>
      <c r="I1342" s="32" t="str">
        <f aca="false">IF(L1342="","",INDEX(ポート振替表!$P$5:$P$3507,$L1342)&amp;"")</f>
        <v/>
      </c>
      <c r="J1342" s="60" t="str">
        <f aca="false">IF(L1342="","",INDEX(ポート振替表!$M$5:$M$3507,$L1342)&amp;"")</f>
        <v/>
      </c>
      <c r="K1342" s="52" t="str">
        <f aca="false">IF(L1342="","",E1342&amp;CHAR(10)&amp;INDEX(ポート振替表!$K$5:$K$3507,$L1342)&amp;" "&amp;INDEX(ポート振替表!$L$5:$L$3507,$L1342)&amp;CHAR(10)&amp;"⇔ "&amp;INDEX(ポート振替表!$H$5:$H$3507,$L1342)&amp;" "&amp;INDEX(ポート振替表!$I$5:$I$3507,$L1342))</f>
        <v/>
      </c>
      <c r="L1342" s="47" t="str">
        <f aca="false">IFERROR(MATCH(ROW()-4,ポート振替表!$V$5:$V$3507,0),"")</f>
        <v/>
      </c>
    </row>
    <row r="1343" customFormat="false" ht="16.4" hidden="false" customHeight="false" outlineLevel="0" collapsed="false">
      <c r="A1343" s="32" t="str">
        <f aca="false">IF(L1343="","",ROW()-4)</f>
        <v/>
      </c>
      <c r="B1343" s="58" t="str">
        <f aca="false">IF(L1343="","",IF(INDEX(ポート振替表!$W$5:$W$3507,$L1343)="","(なし)",INDEX(ポート振替表!$W$5:$W$3507,$L1343)&amp;""))</f>
        <v/>
      </c>
      <c r="C1343" s="52" t="str">
        <f aca="false">IF(L1343="","",INDEX(ポート振替表!$B$5:$B$3507,$L1343)&amp;" "&amp;INDEX(ポート振替表!$C$5:$C$3507,$L1343)&amp;"  ⇔  "&amp;INDEX(ポート振替表!$H$5:$H$3507,$L1343)&amp;" "&amp;INDEX(ポート振替表!$I$5:$I$3507,$L1343))</f>
        <v/>
      </c>
      <c r="D1343" s="57" t="s">
        <v>158</v>
      </c>
      <c r="E1343" s="59" t="str">
        <f aca="false">IF(L1343="","",IF(INDEX(ポート振替表!$O$5:$O$3507,$L1343)="","(未設定)",INDEX(ポート振替表!$O$5:$O$3507,$L1343)&amp;""))</f>
        <v/>
      </c>
      <c r="F1343" s="52" t="str">
        <f aca="false">IF(L1343="","",INDEX(ポート振替表!$K$5:$K$3507,$L1343)&amp;" "&amp;INDEX(ポート振替表!$L$5:$L$3507,$L1343)&amp;"  ⇔  "&amp;INDEX(ポート振替表!$H$5:$H$3507,$L1343)&amp;" "&amp;INDEX(ポート振替表!$I$5:$I$3507,$L1343))</f>
        <v/>
      </c>
      <c r="G1343" s="57" t="s">
        <v>158</v>
      </c>
      <c r="H1343" s="32" t="str">
        <f aca="false">IF(L1343="","",INDEX(ポート振替表!$N$5:$N$3507,$L1343)&amp;"")</f>
        <v/>
      </c>
      <c r="I1343" s="32" t="str">
        <f aca="false">IF(L1343="","",INDEX(ポート振替表!$P$5:$P$3507,$L1343)&amp;"")</f>
        <v/>
      </c>
      <c r="J1343" s="60" t="str">
        <f aca="false">IF(L1343="","",INDEX(ポート振替表!$M$5:$M$3507,$L1343)&amp;"")</f>
        <v/>
      </c>
      <c r="K1343" s="52" t="str">
        <f aca="false">IF(L1343="","",E1343&amp;CHAR(10)&amp;INDEX(ポート振替表!$K$5:$K$3507,$L1343)&amp;" "&amp;INDEX(ポート振替表!$L$5:$L$3507,$L1343)&amp;CHAR(10)&amp;"⇔ "&amp;INDEX(ポート振替表!$H$5:$H$3507,$L1343)&amp;" "&amp;INDEX(ポート振替表!$I$5:$I$3507,$L1343))</f>
        <v/>
      </c>
      <c r="L1343" s="47" t="str">
        <f aca="false">IFERROR(MATCH(ROW()-4,ポート振替表!$V$5:$V$3507,0),"")</f>
        <v/>
      </c>
    </row>
    <row r="1344" customFormat="false" ht="16.4" hidden="false" customHeight="false" outlineLevel="0" collapsed="false">
      <c r="A1344" s="32" t="str">
        <f aca="false">IF(L1344="","",ROW()-4)</f>
        <v/>
      </c>
      <c r="B1344" s="58" t="str">
        <f aca="false">IF(L1344="","",IF(INDEX(ポート振替表!$W$5:$W$3507,$L1344)="","(なし)",INDEX(ポート振替表!$W$5:$W$3507,$L1344)&amp;""))</f>
        <v/>
      </c>
      <c r="C1344" s="52" t="str">
        <f aca="false">IF(L1344="","",INDEX(ポート振替表!$B$5:$B$3507,$L1344)&amp;" "&amp;INDEX(ポート振替表!$C$5:$C$3507,$L1344)&amp;"  ⇔  "&amp;INDEX(ポート振替表!$H$5:$H$3507,$L1344)&amp;" "&amp;INDEX(ポート振替表!$I$5:$I$3507,$L1344))</f>
        <v/>
      </c>
      <c r="D1344" s="57" t="s">
        <v>158</v>
      </c>
      <c r="E1344" s="59" t="str">
        <f aca="false">IF(L1344="","",IF(INDEX(ポート振替表!$O$5:$O$3507,$L1344)="","(未設定)",INDEX(ポート振替表!$O$5:$O$3507,$L1344)&amp;""))</f>
        <v/>
      </c>
      <c r="F1344" s="52" t="str">
        <f aca="false">IF(L1344="","",INDEX(ポート振替表!$K$5:$K$3507,$L1344)&amp;" "&amp;INDEX(ポート振替表!$L$5:$L$3507,$L1344)&amp;"  ⇔  "&amp;INDEX(ポート振替表!$H$5:$H$3507,$L1344)&amp;" "&amp;INDEX(ポート振替表!$I$5:$I$3507,$L1344))</f>
        <v/>
      </c>
      <c r="G1344" s="57" t="s">
        <v>158</v>
      </c>
      <c r="H1344" s="32" t="str">
        <f aca="false">IF(L1344="","",INDEX(ポート振替表!$N$5:$N$3507,$L1344)&amp;"")</f>
        <v/>
      </c>
      <c r="I1344" s="32" t="str">
        <f aca="false">IF(L1344="","",INDEX(ポート振替表!$P$5:$P$3507,$L1344)&amp;"")</f>
        <v/>
      </c>
      <c r="J1344" s="60" t="str">
        <f aca="false">IF(L1344="","",INDEX(ポート振替表!$M$5:$M$3507,$L1344)&amp;"")</f>
        <v/>
      </c>
      <c r="K1344" s="52" t="str">
        <f aca="false">IF(L1344="","",E1344&amp;CHAR(10)&amp;INDEX(ポート振替表!$K$5:$K$3507,$L1344)&amp;" "&amp;INDEX(ポート振替表!$L$5:$L$3507,$L1344)&amp;CHAR(10)&amp;"⇔ "&amp;INDEX(ポート振替表!$H$5:$H$3507,$L1344)&amp;" "&amp;INDEX(ポート振替表!$I$5:$I$3507,$L1344))</f>
        <v/>
      </c>
      <c r="L1344" s="47" t="str">
        <f aca="false">IFERROR(MATCH(ROW()-4,ポート振替表!$V$5:$V$3507,0),"")</f>
        <v/>
      </c>
    </row>
    <row r="1345" customFormat="false" ht="16.4" hidden="false" customHeight="false" outlineLevel="0" collapsed="false">
      <c r="A1345" s="32" t="str">
        <f aca="false">IF(L1345="","",ROW()-4)</f>
        <v/>
      </c>
      <c r="B1345" s="58" t="str">
        <f aca="false">IF(L1345="","",IF(INDEX(ポート振替表!$W$5:$W$3507,$L1345)="","(なし)",INDEX(ポート振替表!$W$5:$W$3507,$L1345)&amp;""))</f>
        <v/>
      </c>
      <c r="C1345" s="52" t="str">
        <f aca="false">IF(L1345="","",INDEX(ポート振替表!$B$5:$B$3507,$L1345)&amp;" "&amp;INDEX(ポート振替表!$C$5:$C$3507,$L1345)&amp;"  ⇔  "&amp;INDEX(ポート振替表!$H$5:$H$3507,$L1345)&amp;" "&amp;INDEX(ポート振替表!$I$5:$I$3507,$L1345))</f>
        <v/>
      </c>
      <c r="D1345" s="57" t="s">
        <v>158</v>
      </c>
      <c r="E1345" s="59" t="str">
        <f aca="false">IF(L1345="","",IF(INDEX(ポート振替表!$O$5:$O$3507,$L1345)="","(未設定)",INDEX(ポート振替表!$O$5:$O$3507,$L1345)&amp;""))</f>
        <v/>
      </c>
      <c r="F1345" s="52" t="str">
        <f aca="false">IF(L1345="","",INDEX(ポート振替表!$K$5:$K$3507,$L1345)&amp;" "&amp;INDEX(ポート振替表!$L$5:$L$3507,$L1345)&amp;"  ⇔  "&amp;INDEX(ポート振替表!$H$5:$H$3507,$L1345)&amp;" "&amp;INDEX(ポート振替表!$I$5:$I$3507,$L1345))</f>
        <v/>
      </c>
      <c r="G1345" s="57" t="s">
        <v>158</v>
      </c>
      <c r="H1345" s="32" t="str">
        <f aca="false">IF(L1345="","",INDEX(ポート振替表!$N$5:$N$3507,$L1345)&amp;"")</f>
        <v/>
      </c>
      <c r="I1345" s="32" t="str">
        <f aca="false">IF(L1345="","",INDEX(ポート振替表!$P$5:$P$3507,$L1345)&amp;"")</f>
        <v/>
      </c>
      <c r="J1345" s="60" t="str">
        <f aca="false">IF(L1345="","",INDEX(ポート振替表!$M$5:$M$3507,$L1345)&amp;"")</f>
        <v/>
      </c>
      <c r="K1345" s="52" t="str">
        <f aca="false">IF(L1345="","",E1345&amp;CHAR(10)&amp;INDEX(ポート振替表!$K$5:$K$3507,$L1345)&amp;" "&amp;INDEX(ポート振替表!$L$5:$L$3507,$L1345)&amp;CHAR(10)&amp;"⇔ "&amp;INDEX(ポート振替表!$H$5:$H$3507,$L1345)&amp;" "&amp;INDEX(ポート振替表!$I$5:$I$3507,$L1345))</f>
        <v/>
      </c>
      <c r="L1345" s="47" t="str">
        <f aca="false">IFERROR(MATCH(ROW()-4,ポート振替表!$V$5:$V$3507,0),"")</f>
        <v/>
      </c>
    </row>
    <row r="1346" customFormat="false" ht="16.4" hidden="false" customHeight="false" outlineLevel="0" collapsed="false">
      <c r="A1346" s="32" t="str">
        <f aca="false">IF(L1346="","",ROW()-4)</f>
        <v/>
      </c>
      <c r="B1346" s="58" t="str">
        <f aca="false">IF(L1346="","",IF(INDEX(ポート振替表!$W$5:$W$3507,$L1346)="","(なし)",INDEX(ポート振替表!$W$5:$W$3507,$L1346)&amp;""))</f>
        <v/>
      </c>
      <c r="C1346" s="52" t="str">
        <f aca="false">IF(L1346="","",INDEX(ポート振替表!$B$5:$B$3507,$L1346)&amp;" "&amp;INDEX(ポート振替表!$C$5:$C$3507,$L1346)&amp;"  ⇔  "&amp;INDEX(ポート振替表!$H$5:$H$3507,$L1346)&amp;" "&amp;INDEX(ポート振替表!$I$5:$I$3507,$L1346))</f>
        <v/>
      </c>
      <c r="D1346" s="57" t="s">
        <v>158</v>
      </c>
      <c r="E1346" s="59" t="str">
        <f aca="false">IF(L1346="","",IF(INDEX(ポート振替表!$O$5:$O$3507,$L1346)="","(未設定)",INDEX(ポート振替表!$O$5:$O$3507,$L1346)&amp;""))</f>
        <v/>
      </c>
      <c r="F1346" s="52" t="str">
        <f aca="false">IF(L1346="","",INDEX(ポート振替表!$K$5:$K$3507,$L1346)&amp;" "&amp;INDEX(ポート振替表!$L$5:$L$3507,$L1346)&amp;"  ⇔  "&amp;INDEX(ポート振替表!$H$5:$H$3507,$L1346)&amp;" "&amp;INDEX(ポート振替表!$I$5:$I$3507,$L1346))</f>
        <v/>
      </c>
      <c r="G1346" s="57" t="s">
        <v>158</v>
      </c>
      <c r="H1346" s="32" t="str">
        <f aca="false">IF(L1346="","",INDEX(ポート振替表!$N$5:$N$3507,$L1346)&amp;"")</f>
        <v/>
      </c>
      <c r="I1346" s="32" t="str">
        <f aca="false">IF(L1346="","",INDEX(ポート振替表!$P$5:$P$3507,$L1346)&amp;"")</f>
        <v/>
      </c>
      <c r="J1346" s="60" t="str">
        <f aca="false">IF(L1346="","",INDEX(ポート振替表!$M$5:$M$3507,$L1346)&amp;"")</f>
        <v/>
      </c>
      <c r="K1346" s="52" t="str">
        <f aca="false">IF(L1346="","",E1346&amp;CHAR(10)&amp;INDEX(ポート振替表!$K$5:$K$3507,$L1346)&amp;" "&amp;INDEX(ポート振替表!$L$5:$L$3507,$L1346)&amp;CHAR(10)&amp;"⇔ "&amp;INDEX(ポート振替表!$H$5:$H$3507,$L1346)&amp;" "&amp;INDEX(ポート振替表!$I$5:$I$3507,$L1346))</f>
        <v/>
      </c>
      <c r="L1346" s="47" t="str">
        <f aca="false">IFERROR(MATCH(ROW()-4,ポート振替表!$V$5:$V$3507,0),"")</f>
        <v/>
      </c>
    </row>
    <row r="1347" customFormat="false" ht="16.4" hidden="false" customHeight="false" outlineLevel="0" collapsed="false">
      <c r="A1347" s="32" t="str">
        <f aca="false">IF(L1347="","",ROW()-4)</f>
        <v/>
      </c>
      <c r="B1347" s="58" t="str">
        <f aca="false">IF(L1347="","",IF(INDEX(ポート振替表!$W$5:$W$3507,$L1347)="","(なし)",INDEX(ポート振替表!$W$5:$W$3507,$L1347)&amp;""))</f>
        <v/>
      </c>
      <c r="C1347" s="52" t="str">
        <f aca="false">IF(L1347="","",INDEX(ポート振替表!$B$5:$B$3507,$L1347)&amp;" "&amp;INDEX(ポート振替表!$C$5:$C$3507,$L1347)&amp;"  ⇔  "&amp;INDEX(ポート振替表!$H$5:$H$3507,$L1347)&amp;" "&amp;INDEX(ポート振替表!$I$5:$I$3507,$L1347))</f>
        <v/>
      </c>
      <c r="D1347" s="57" t="s">
        <v>158</v>
      </c>
      <c r="E1347" s="59" t="str">
        <f aca="false">IF(L1347="","",IF(INDEX(ポート振替表!$O$5:$O$3507,$L1347)="","(未設定)",INDEX(ポート振替表!$O$5:$O$3507,$L1347)&amp;""))</f>
        <v/>
      </c>
      <c r="F1347" s="52" t="str">
        <f aca="false">IF(L1347="","",INDEX(ポート振替表!$K$5:$K$3507,$L1347)&amp;" "&amp;INDEX(ポート振替表!$L$5:$L$3507,$L1347)&amp;"  ⇔  "&amp;INDEX(ポート振替表!$H$5:$H$3507,$L1347)&amp;" "&amp;INDEX(ポート振替表!$I$5:$I$3507,$L1347))</f>
        <v/>
      </c>
      <c r="G1347" s="57" t="s">
        <v>158</v>
      </c>
      <c r="H1347" s="32" t="str">
        <f aca="false">IF(L1347="","",INDEX(ポート振替表!$N$5:$N$3507,$L1347)&amp;"")</f>
        <v/>
      </c>
      <c r="I1347" s="32" t="str">
        <f aca="false">IF(L1347="","",INDEX(ポート振替表!$P$5:$P$3507,$L1347)&amp;"")</f>
        <v/>
      </c>
      <c r="J1347" s="60" t="str">
        <f aca="false">IF(L1347="","",INDEX(ポート振替表!$M$5:$M$3507,$L1347)&amp;"")</f>
        <v/>
      </c>
      <c r="K1347" s="52" t="str">
        <f aca="false">IF(L1347="","",E1347&amp;CHAR(10)&amp;INDEX(ポート振替表!$K$5:$K$3507,$L1347)&amp;" "&amp;INDEX(ポート振替表!$L$5:$L$3507,$L1347)&amp;CHAR(10)&amp;"⇔ "&amp;INDEX(ポート振替表!$H$5:$H$3507,$L1347)&amp;" "&amp;INDEX(ポート振替表!$I$5:$I$3507,$L1347))</f>
        <v/>
      </c>
      <c r="L1347" s="47" t="str">
        <f aca="false">IFERROR(MATCH(ROW()-4,ポート振替表!$V$5:$V$3507,0),"")</f>
        <v/>
      </c>
    </row>
    <row r="1348" customFormat="false" ht="16.4" hidden="false" customHeight="false" outlineLevel="0" collapsed="false">
      <c r="A1348" s="32" t="str">
        <f aca="false">IF(L1348="","",ROW()-4)</f>
        <v/>
      </c>
      <c r="B1348" s="58" t="str">
        <f aca="false">IF(L1348="","",IF(INDEX(ポート振替表!$W$5:$W$3507,$L1348)="","(なし)",INDEX(ポート振替表!$W$5:$W$3507,$L1348)&amp;""))</f>
        <v/>
      </c>
      <c r="C1348" s="52" t="str">
        <f aca="false">IF(L1348="","",INDEX(ポート振替表!$B$5:$B$3507,$L1348)&amp;" "&amp;INDEX(ポート振替表!$C$5:$C$3507,$L1348)&amp;"  ⇔  "&amp;INDEX(ポート振替表!$H$5:$H$3507,$L1348)&amp;" "&amp;INDEX(ポート振替表!$I$5:$I$3507,$L1348))</f>
        <v/>
      </c>
      <c r="D1348" s="57" t="s">
        <v>158</v>
      </c>
      <c r="E1348" s="59" t="str">
        <f aca="false">IF(L1348="","",IF(INDEX(ポート振替表!$O$5:$O$3507,$L1348)="","(未設定)",INDEX(ポート振替表!$O$5:$O$3507,$L1348)&amp;""))</f>
        <v/>
      </c>
      <c r="F1348" s="52" t="str">
        <f aca="false">IF(L1348="","",INDEX(ポート振替表!$K$5:$K$3507,$L1348)&amp;" "&amp;INDEX(ポート振替表!$L$5:$L$3507,$L1348)&amp;"  ⇔  "&amp;INDEX(ポート振替表!$H$5:$H$3507,$L1348)&amp;" "&amp;INDEX(ポート振替表!$I$5:$I$3507,$L1348))</f>
        <v/>
      </c>
      <c r="G1348" s="57" t="s">
        <v>158</v>
      </c>
      <c r="H1348" s="32" t="str">
        <f aca="false">IF(L1348="","",INDEX(ポート振替表!$N$5:$N$3507,$L1348)&amp;"")</f>
        <v/>
      </c>
      <c r="I1348" s="32" t="str">
        <f aca="false">IF(L1348="","",INDEX(ポート振替表!$P$5:$P$3507,$L1348)&amp;"")</f>
        <v/>
      </c>
      <c r="J1348" s="60" t="str">
        <f aca="false">IF(L1348="","",INDEX(ポート振替表!$M$5:$M$3507,$L1348)&amp;"")</f>
        <v/>
      </c>
      <c r="K1348" s="52" t="str">
        <f aca="false">IF(L1348="","",E1348&amp;CHAR(10)&amp;INDEX(ポート振替表!$K$5:$K$3507,$L1348)&amp;" "&amp;INDEX(ポート振替表!$L$5:$L$3507,$L1348)&amp;CHAR(10)&amp;"⇔ "&amp;INDEX(ポート振替表!$H$5:$H$3507,$L1348)&amp;" "&amp;INDEX(ポート振替表!$I$5:$I$3507,$L1348))</f>
        <v/>
      </c>
      <c r="L1348" s="47" t="str">
        <f aca="false">IFERROR(MATCH(ROW()-4,ポート振替表!$V$5:$V$3507,0),"")</f>
        <v/>
      </c>
    </row>
    <row r="1349" customFormat="false" ht="16.4" hidden="false" customHeight="false" outlineLevel="0" collapsed="false">
      <c r="A1349" s="32" t="str">
        <f aca="false">IF(L1349="","",ROW()-4)</f>
        <v/>
      </c>
      <c r="B1349" s="58" t="str">
        <f aca="false">IF(L1349="","",IF(INDEX(ポート振替表!$W$5:$W$3507,$L1349)="","(なし)",INDEX(ポート振替表!$W$5:$W$3507,$L1349)&amp;""))</f>
        <v/>
      </c>
      <c r="C1349" s="52" t="str">
        <f aca="false">IF(L1349="","",INDEX(ポート振替表!$B$5:$B$3507,$L1349)&amp;" "&amp;INDEX(ポート振替表!$C$5:$C$3507,$L1349)&amp;"  ⇔  "&amp;INDEX(ポート振替表!$H$5:$H$3507,$L1349)&amp;" "&amp;INDEX(ポート振替表!$I$5:$I$3507,$L1349))</f>
        <v/>
      </c>
      <c r="D1349" s="57" t="s">
        <v>158</v>
      </c>
      <c r="E1349" s="59" t="str">
        <f aca="false">IF(L1349="","",IF(INDEX(ポート振替表!$O$5:$O$3507,$L1349)="","(未設定)",INDEX(ポート振替表!$O$5:$O$3507,$L1349)&amp;""))</f>
        <v/>
      </c>
      <c r="F1349" s="52" t="str">
        <f aca="false">IF(L1349="","",INDEX(ポート振替表!$K$5:$K$3507,$L1349)&amp;" "&amp;INDEX(ポート振替表!$L$5:$L$3507,$L1349)&amp;"  ⇔  "&amp;INDEX(ポート振替表!$H$5:$H$3507,$L1349)&amp;" "&amp;INDEX(ポート振替表!$I$5:$I$3507,$L1349))</f>
        <v/>
      </c>
      <c r="G1349" s="57" t="s">
        <v>158</v>
      </c>
      <c r="H1349" s="32" t="str">
        <f aca="false">IF(L1349="","",INDEX(ポート振替表!$N$5:$N$3507,$L1349)&amp;"")</f>
        <v/>
      </c>
      <c r="I1349" s="32" t="str">
        <f aca="false">IF(L1349="","",INDEX(ポート振替表!$P$5:$P$3507,$L1349)&amp;"")</f>
        <v/>
      </c>
      <c r="J1349" s="60" t="str">
        <f aca="false">IF(L1349="","",INDEX(ポート振替表!$M$5:$M$3507,$L1349)&amp;"")</f>
        <v/>
      </c>
      <c r="K1349" s="52" t="str">
        <f aca="false">IF(L1349="","",E1349&amp;CHAR(10)&amp;INDEX(ポート振替表!$K$5:$K$3507,$L1349)&amp;" "&amp;INDEX(ポート振替表!$L$5:$L$3507,$L1349)&amp;CHAR(10)&amp;"⇔ "&amp;INDEX(ポート振替表!$H$5:$H$3507,$L1349)&amp;" "&amp;INDEX(ポート振替表!$I$5:$I$3507,$L1349))</f>
        <v/>
      </c>
      <c r="L1349" s="47" t="str">
        <f aca="false">IFERROR(MATCH(ROW()-4,ポート振替表!$V$5:$V$3507,0),"")</f>
        <v/>
      </c>
    </row>
    <row r="1350" customFormat="false" ht="16.4" hidden="false" customHeight="false" outlineLevel="0" collapsed="false">
      <c r="A1350" s="32" t="str">
        <f aca="false">IF(L1350="","",ROW()-4)</f>
        <v/>
      </c>
      <c r="B1350" s="58" t="str">
        <f aca="false">IF(L1350="","",IF(INDEX(ポート振替表!$W$5:$W$3507,$L1350)="","(なし)",INDEX(ポート振替表!$W$5:$W$3507,$L1350)&amp;""))</f>
        <v/>
      </c>
      <c r="C1350" s="52" t="str">
        <f aca="false">IF(L1350="","",INDEX(ポート振替表!$B$5:$B$3507,$L1350)&amp;" "&amp;INDEX(ポート振替表!$C$5:$C$3507,$L1350)&amp;"  ⇔  "&amp;INDEX(ポート振替表!$H$5:$H$3507,$L1350)&amp;" "&amp;INDEX(ポート振替表!$I$5:$I$3507,$L1350))</f>
        <v/>
      </c>
      <c r="D1350" s="57" t="s">
        <v>158</v>
      </c>
      <c r="E1350" s="59" t="str">
        <f aca="false">IF(L1350="","",IF(INDEX(ポート振替表!$O$5:$O$3507,$L1350)="","(未設定)",INDEX(ポート振替表!$O$5:$O$3507,$L1350)&amp;""))</f>
        <v/>
      </c>
      <c r="F1350" s="52" t="str">
        <f aca="false">IF(L1350="","",INDEX(ポート振替表!$K$5:$K$3507,$L1350)&amp;" "&amp;INDEX(ポート振替表!$L$5:$L$3507,$L1350)&amp;"  ⇔  "&amp;INDEX(ポート振替表!$H$5:$H$3507,$L1350)&amp;" "&amp;INDEX(ポート振替表!$I$5:$I$3507,$L1350))</f>
        <v/>
      </c>
      <c r="G1350" s="57" t="s">
        <v>158</v>
      </c>
      <c r="H1350" s="32" t="str">
        <f aca="false">IF(L1350="","",INDEX(ポート振替表!$N$5:$N$3507,$L1350)&amp;"")</f>
        <v/>
      </c>
      <c r="I1350" s="32" t="str">
        <f aca="false">IF(L1350="","",INDEX(ポート振替表!$P$5:$P$3507,$L1350)&amp;"")</f>
        <v/>
      </c>
      <c r="J1350" s="60" t="str">
        <f aca="false">IF(L1350="","",INDEX(ポート振替表!$M$5:$M$3507,$L1350)&amp;"")</f>
        <v/>
      </c>
      <c r="K1350" s="52" t="str">
        <f aca="false">IF(L1350="","",E1350&amp;CHAR(10)&amp;INDEX(ポート振替表!$K$5:$K$3507,$L1350)&amp;" "&amp;INDEX(ポート振替表!$L$5:$L$3507,$L1350)&amp;CHAR(10)&amp;"⇔ "&amp;INDEX(ポート振替表!$H$5:$H$3507,$L1350)&amp;" "&amp;INDEX(ポート振替表!$I$5:$I$3507,$L1350))</f>
        <v/>
      </c>
      <c r="L1350" s="47" t="str">
        <f aca="false">IFERROR(MATCH(ROW()-4,ポート振替表!$V$5:$V$3507,0),"")</f>
        <v/>
      </c>
    </row>
    <row r="1351" customFormat="false" ht="16.4" hidden="false" customHeight="false" outlineLevel="0" collapsed="false">
      <c r="A1351" s="32" t="str">
        <f aca="false">IF(L1351="","",ROW()-4)</f>
        <v/>
      </c>
      <c r="B1351" s="58" t="str">
        <f aca="false">IF(L1351="","",IF(INDEX(ポート振替表!$W$5:$W$3507,$L1351)="","(なし)",INDEX(ポート振替表!$W$5:$W$3507,$L1351)&amp;""))</f>
        <v/>
      </c>
      <c r="C1351" s="52" t="str">
        <f aca="false">IF(L1351="","",INDEX(ポート振替表!$B$5:$B$3507,$L1351)&amp;" "&amp;INDEX(ポート振替表!$C$5:$C$3507,$L1351)&amp;"  ⇔  "&amp;INDEX(ポート振替表!$H$5:$H$3507,$L1351)&amp;" "&amp;INDEX(ポート振替表!$I$5:$I$3507,$L1351))</f>
        <v/>
      </c>
      <c r="D1351" s="57" t="s">
        <v>158</v>
      </c>
      <c r="E1351" s="59" t="str">
        <f aca="false">IF(L1351="","",IF(INDEX(ポート振替表!$O$5:$O$3507,$L1351)="","(未設定)",INDEX(ポート振替表!$O$5:$O$3507,$L1351)&amp;""))</f>
        <v/>
      </c>
      <c r="F1351" s="52" t="str">
        <f aca="false">IF(L1351="","",INDEX(ポート振替表!$K$5:$K$3507,$L1351)&amp;" "&amp;INDEX(ポート振替表!$L$5:$L$3507,$L1351)&amp;"  ⇔  "&amp;INDEX(ポート振替表!$H$5:$H$3507,$L1351)&amp;" "&amp;INDEX(ポート振替表!$I$5:$I$3507,$L1351))</f>
        <v/>
      </c>
      <c r="G1351" s="57" t="s">
        <v>158</v>
      </c>
      <c r="H1351" s="32" t="str">
        <f aca="false">IF(L1351="","",INDEX(ポート振替表!$N$5:$N$3507,$L1351)&amp;"")</f>
        <v/>
      </c>
      <c r="I1351" s="32" t="str">
        <f aca="false">IF(L1351="","",INDEX(ポート振替表!$P$5:$P$3507,$L1351)&amp;"")</f>
        <v/>
      </c>
      <c r="J1351" s="60" t="str">
        <f aca="false">IF(L1351="","",INDEX(ポート振替表!$M$5:$M$3507,$L1351)&amp;"")</f>
        <v/>
      </c>
      <c r="K1351" s="52" t="str">
        <f aca="false">IF(L1351="","",E1351&amp;CHAR(10)&amp;INDEX(ポート振替表!$K$5:$K$3507,$L1351)&amp;" "&amp;INDEX(ポート振替表!$L$5:$L$3507,$L1351)&amp;CHAR(10)&amp;"⇔ "&amp;INDEX(ポート振替表!$H$5:$H$3507,$L1351)&amp;" "&amp;INDEX(ポート振替表!$I$5:$I$3507,$L1351))</f>
        <v/>
      </c>
      <c r="L1351" s="47" t="str">
        <f aca="false">IFERROR(MATCH(ROW()-4,ポート振替表!$V$5:$V$3507,0),"")</f>
        <v/>
      </c>
    </row>
    <row r="1352" customFormat="false" ht="16.4" hidden="false" customHeight="false" outlineLevel="0" collapsed="false">
      <c r="A1352" s="32" t="str">
        <f aca="false">IF(L1352="","",ROW()-4)</f>
        <v/>
      </c>
      <c r="B1352" s="58" t="str">
        <f aca="false">IF(L1352="","",IF(INDEX(ポート振替表!$W$5:$W$3507,$L1352)="","(なし)",INDEX(ポート振替表!$W$5:$W$3507,$L1352)&amp;""))</f>
        <v/>
      </c>
      <c r="C1352" s="52" t="str">
        <f aca="false">IF(L1352="","",INDEX(ポート振替表!$B$5:$B$3507,$L1352)&amp;" "&amp;INDEX(ポート振替表!$C$5:$C$3507,$L1352)&amp;"  ⇔  "&amp;INDEX(ポート振替表!$H$5:$H$3507,$L1352)&amp;" "&amp;INDEX(ポート振替表!$I$5:$I$3507,$L1352))</f>
        <v/>
      </c>
      <c r="D1352" s="57" t="s">
        <v>158</v>
      </c>
      <c r="E1352" s="59" t="str">
        <f aca="false">IF(L1352="","",IF(INDEX(ポート振替表!$O$5:$O$3507,$L1352)="","(未設定)",INDEX(ポート振替表!$O$5:$O$3507,$L1352)&amp;""))</f>
        <v/>
      </c>
      <c r="F1352" s="52" t="str">
        <f aca="false">IF(L1352="","",INDEX(ポート振替表!$K$5:$K$3507,$L1352)&amp;" "&amp;INDEX(ポート振替表!$L$5:$L$3507,$L1352)&amp;"  ⇔  "&amp;INDEX(ポート振替表!$H$5:$H$3507,$L1352)&amp;" "&amp;INDEX(ポート振替表!$I$5:$I$3507,$L1352))</f>
        <v/>
      </c>
      <c r="G1352" s="57" t="s">
        <v>158</v>
      </c>
      <c r="H1352" s="32" t="str">
        <f aca="false">IF(L1352="","",INDEX(ポート振替表!$N$5:$N$3507,$L1352)&amp;"")</f>
        <v/>
      </c>
      <c r="I1352" s="32" t="str">
        <f aca="false">IF(L1352="","",INDEX(ポート振替表!$P$5:$P$3507,$L1352)&amp;"")</f>
        <v/>
      </c>
      <c r="J1352" s="60" t="str">
        <f aca="false">IF(L1352="","",INDEX(ポート振替表!$M$5:$M$3507,$L1352)&amp;"")</f>
        <v/>
      </c>
      <c r="K1352" s="52" t="str">
        <f aca="false">IF(L1352="","",E1352&amp;CHAR(10)&amp;INDEX(ポート振替表!$K$5:$K$3507,$L1352)&amp;" "&amp;INDEX(ポート振替表!$L$5:$L$3507,$L1352)&amp;CHAR(10)&amp;"⇔ "&amp;INDEX(ポート振替表!$H$5:$H$3507,$L1352)&amp;" "&amp;INDEX(ポート振替表!$I$5:$I$3507,$L1352))</f>
        <v/>
      </c>
      <c r="L1352" s="47" t="str">
        <f aca="false">IFERROR(MATCH(ROW()-4,ポート振替表!$V$5:$V$3507,0),"")</f>
        <v/>
      </c>
    </row>
    <row r="1353" customFormat="false" ht="16.4" hidden="false" customHeight="false" outlineLevel="0" collapsed="false">
      <c r="A1353" s="32" t="str">
        <f aca="false">IF(L1353="","",ROW()-4)</f>
        <v/>
      </c>
      <c r="B1353" s="58" t="str">
        <f aca="false">IF(L1353="","",IF(INDEX(ポート振替表!$W$5:$W$3507,$L1353)="","(なし)",INDEX(ポート振替表!$W$5:$W$3507,$L1353)&amp;""))</f>
        <v/>
      </c>
      <c r="C1353" s="52" t="str">
        <f aca="false">IF(L1353="","",INDEX(ポート振替表!$B$5:$B$3507,$L1353)&amp;" "&amp;INDEX(ポート振替表!$C$5:$C$3507,$L1353)&amp;"  ⇔  "&amp;INDEX(ポート振替表!$H$5:$H$3507,$L1353)&amp;" "&amp;INDEX(ポート振替表!$I$5:$I$3507,$L1353))</f>
        <v/>
      </c>
      <c r="D1353" s="57" t="s">
        <v>158</v>
      </c>
      <c r="E1353" s="59" t="str">
        <f aca="false">IF(L1353="","",IF(INDEX(ポート振替表!$O$5:$O$3507,$L1353)="","(未設定)",INDEX(ポート振替表!$O$5:$O$3507,$L1353)&amp;""))</f>
        <v/>
      </c>
      <c r="F1353" s="52" t="str">
        <f aca="false">IF(L1353="","",INDEX(ポート振替表!$K$5:$K$3507,$L1353)&amp;" "&amp;INDEX(ポート振替表!$L$5:$L$3507,$L1353)&amp;"  ⇔  "&amp;INDEX(ポート振替表!$H$5:$H$3507,$L1353)&amp;" "&amp;INDEX(ポート振替表!$I$5:$I$3507,$L1353))</f>
        <v/>
      </c>
      <c r="G1353" s="57" t="s">
        <v>158</v>
      </c>
      <c r="H1353" s="32" t="str">
        <f aca="false">IF(L1353="","",INDEX(ポート振替表!$N$5:$N$3507,$L1353)&amp;"")</f>
        <v/>
      </c>
      <c r="I1353" s="32" t="str">
        <f aca="false">IF(L1353="","",INDEX(ポート振替表!$P$5:$P$3507,$L1353)&amp;"")</f>
        <v/>
      </c>
      <c r="J1353" s="60" t="str">
        <f aca="false">IF(L1353="","",INDEX(ポート振替表!$M$5:$M$3507,$L1353)&amp;"")</f>
        <v/>
      </c>
      <c r="K1353" s="52" t="str">
        <f aca="false">IF(L1353="","",E1353&amp;CHAR(10)&amp;INDEX(ポート振替表!$K$5:$K$3507,$L1353)&amp;" "&amp;INDEX(ポート振替表!$L$5:$L$3507,$L1353)&amp;CHAR(10)&amp;"⇔ "&amp;INDEX(ポート振替表!$H$5:$H$3507,$L1353)&amp;" "&amp;INDEX(ポート振替表!$I$5:$I$3507,$L1353))</f>
        <v/>
      </c>
      <c r="L1353" s="47" t="str">
        <f aca="false">IFERROR(MATCH(ROW()-4,ポート振替表!$V$5:$V$3507,0),"")</f>
        <v/>
      </c>
    </row>
    <row r="1354" customFormat="false" ht="16.4" hidden="false" customHeight="false" outlineLevel="0" collapsed="false">
      <c r="A1354" s="32" t="str">
        <f aca="false">IF(L1354="","",ROW()-4)</f>
        <v/>
      </c>
      <c r="B1354" s="58" t="str">
        <f aca="false">IF(L1354="","",IF(INDEX(ポート振替表!$W$5:$W$3507,$L1354)="","(なし)",INDEX(ポート振替表!$W$5:$W$3507,$L1354)&amp;""))</f>
        <v/>
      </c>
      <c r="C1354" s="52" t="str">
        <f aca="false">IF(L1354="","",INDEX(ポート振替表!$B$5:$B$3507,$L1354)&amp;" "&amp;INDEX(ポート振替表!$C$5:$C$3507,$L1354)&amp;"  ⇔  "&amp;INDEX(ポート振替表!$H$5:$H$3507,$L1354)&amp;" "&amp;INDEX(ポート振替表!$I$5:$I$3507,$L1354))</f>
        <v/>
      </c>
      <c r="D1354" s="57" t="s">
        <v>158</v>
      </c>
      <c r="E1354" s="59" t="str">
        <f aca="false">IF(L1354="","",IF(INDEX(ポート振替表!$O$5:$O$3507,$L1354)="","(未設定)",INDEX(ポート振替表!$O$5:$O$3507,$L1354)&amp;""))</f>
        <v/>
      </c>
      <c r="F1354" s="52" t="str">
        <f aca="false">IF(L1354="","",INDEX(ポート振替表!$K$5:$K$3507,$L1354)&amp;" "&amp;INDEX(ポート振替表!$L$5:$L$3507,$L1354)&amp;"  ⇔  "&amp;INDEX(ポート振替表!$H$5:$H$3507,$L1354)&amp;" "&amp;INDEX(ポート振替表!$I$5:$I$3507,$L1354))</f>
        <v/>
      </c>
      <c r="G1354" s="57" t="s">
        <v>158</v>
      </c>
      <c r="H1354" s="32" t="str">
        <f aca="false">IF(L1354="","",INDEX(ポート振替表!$N$5:$N$3507,$L1354)&amp;"")</f>
        <v/>
      </c>
      <c r="I1354" s="32" t="str">
        <f aca="false">IF(L1354="","",INDEX(ポート振替表!$P$5:$P$3507,$L1354)&amp;"")</f>
        <v/>
      </c>
      <c r="J1354" s="60" t="str">
        <f aca="false">IF(L1354="","",INDEX(ポート振替表!$M$5:$M$3507,$L1354)&amp;"")</f>
        <v/>
      </c>
      <c r="K1354" s="52" t="str">
        <f aca="false">IF(L1354="","",E1354&amp;CHAR(10)&amp;INDEX(ポート振替表!$K$5:$K$3507,$L1354)&amp;" "&amp;INDEX(ポート振替表!$L$5:$L$3507,$L1354)&amp;CHAR(10)&amp;"⇔ "&amp;INDEX(ポート振替表!$H$5:$H$3507,$L1354)&amp;" "&amp;INDEX(ポート振替表!$I$5:$I$3507,$L1354))</f>
        <v/>
      </c>
      <c r="L1354" s="47" t="str">
        <f aca="false">IFERROR(MATCH(ROW()-4,ポート振替表!$V$5:$V$3507,0),"")</f>
        <v/>
      </c>
    </row>
    <row r="1355" customFormat="false" ht="16.4" hidden="false" customHeight="false" outlineLevel="0" collapsed="false">
      <c r="A1355" s="32" t="str">
        <f aca="false">IF(L1355="","",ROW()-4)</f>
        <v/>
      </c>
      <c r="B1355" s="58" t="str">
        <f aca="false">IF(L1355="","",IF(INDEX(ポート振替表!$W$5:$W$3507,$L1355)="","(なし)",INDEX(ポート振替表!$W$5:$W$3507,$L1355)&amp;""))</f>
        <v/>
      </c>
      <c r="C1355" s="52" t="str">
        <f aca="false">IF(L1355="","",INDEX(ポート振替表!$B$5:$B$3507,$L1355)&amp;" "&amp;INDEX(ポート振替表!$C$5:$C$3507,$L1355)&amp;"  ⇔  "&amp;INDEX(ポート振替表!$H$5:$H$3507,$L1355)&amp;" "&amp;INDEX(ポート振替表!$I$5:$I$3507,$L1355))</f>
        <v/>
      </c>
      <c r="D1355" s="57" t="s">
        <v>158</v>
      </c>
      <c r="E1355" s="59" t="str">
        <f aca="false">IF(L1355="","",IF(INDEX(ポート振替表!$O$5:$O$3507,$L1355)="","(未設定)",INDEX(ポート振替表!$O$5:$O$3507,$L1355)&amp;""))</f>
        <v/>
      </c>
      <c r="F1355" s="52" t="str">
        <f aca="false">IF(L1355="","",INDEX(ポート振替表!$K$5:$K$3507,$L1355)&amp;" "&amp;INDEX(ポート振替表!$L$5:$L$3507,$L1355)&amp;"  ⇔  "&amp;INDEX(ポート振替表!$H$5:$H$3507,$L1355)&amp;" "&amp;INDEX(ポート振替表!$I$5:$I$3507,$L1355))</f>
        <v/>
      </c>
      <c r="G1355" s="57" t="s">
        <v>158</v>
      </c>
      <c r="H1355" s="32" t="str">
        <f aca="false">IF(L1355="","",INDEX(ポート振替表!$N$5:$N$3507,$L1355)&amp;"")</f>
        <v/>
      </c>
      <c r="I1355" s="32" t="str">
        <f aca="false">IF(L1355="","",INDEX(ポート振替表!$P$5:$P$3507,$L1355)&amp;"")</f>
        <v/>
      </c>
      <c r="J1355" s="60" t="str">
        <f aca="false">IF(L1355="","",INDEX(ポート振替表!$M$5:$M$3507,$L1355)&amp;"")</f>
        <v/>
      </c>
      <c r="K1355" s="52" t="str">
        <f aca="false">IF(L1355="","",E1355&amp;CHAR(10)&amp;INDEX(ポート振替表!$K$5:$K$3507,$L1355)&amp;" "&amp;INDEX(ポート振替表!$L$5:$L$3507,$L1355)&amp;CHAR(10)&amp;"⇔ "&amp;INDEX(ポート振替表!$H$5:$H$3507,$L1355)&amp;" "&amp;INDEX(ポート振替表!$I$5:$I$3507,$L1355))</f>
        <v/>
      </c>
      <c r="L1355" s="47" t="str">
        <f aca="false">IFERROR(MATCH(ROW()-4,ポート振替表!$V$5:$V$3507,0),"")</f>
        <v/>
      </c>
    </row>
    <row r="1356" customFormat="false" ht="16.4" hidden="false" customHeight="false" outlineLevel="0" collapsed="false">
      <c r="A1356" s="32" t="str">
        <f aca="false">IF(L1356="","",ROW()-4)</f>
        <v/>
      </c>
      <c r="B1356" s="58" t="str">
        <f aca="false">IF(L1356="","",IF(INDEX(ポート振替表!$W$5:$W$3507,$L1356)="","(なし)",INDEX(ポート振替表!$W$5:$W$3507,$L1356)&amp;""))</f>
        <v/>
      </c>
      <c r="C1356" s="52" t="str">
        <f aca="false">IF(L1356="","",INDEX(ポート振替表!$B$5:$B$3507,$L1356)&amp;" "&amp;INDEX(ポート振替表!$C$5:$C$3507,$L1356)&amp;"  ⇔  "&amp;INDEX(ポート振替表!$H$5:$H$3507,$L1356)&amp;" "&amp;INDEX(ポート振替表!$I$5:$I$3507,$L1356))</f>
        <v/>
      </c>
      <c r="D1356" s="57" t="s">
        <v>158</v>
      </c>
      <c r="E1356" s="59" t="str">
        <f aca="false">IF(L1356="","",IF(INDEX(ポート振替表!$O$5:$O$3507,$L1356)="","(未設定)",INDEX(ポート振替表!$O$5:$O$3507,$L1356)&amp;""))</f>
        <v/>
      </c>
      <c r="F1356" s="52" t="str">
        <f aca="false">IF(L1356="","",INDEX(ポート振替表!$K$5:$K$3507,$L1356)&amp;" "&amp;INDEX(ポート振替表!$L$5:$L$3507,$L1356)&amp;"  ⇔  "&amp;INDEX(ポート振替表!$H$5:$H$3507,$L1356)&amp;" "&amp;INDEX(ポート振替表!$I$5:$I$3507,$L1356))</f>
        <v/>
      </c>
      <c r="G1356" s="57" t="s">
        <v>158</v>
      </c>
      <c r="H1356" s="32" t="str">
        <f aca="false">IF(L1356="","",INDEX(ポート振替表!$N$5:$N$3507,$L1356)&amp;"")</f>
        <v/>
      </c>
      <c r="I1356" s="32" t="str">
        <f aca="false">IF(L1356="","",INDEX(ポート振替表!$P$5:$P$3507,$L1356)&amp;"")</f>
        <v/>
      </c>
      <c r="J1356" s="60" t="str">
        <f aca="false">IF(L1356="","",INDEX(ポート振替表!$M$5:$M$3507,$L1356)&amp;"")</f>
        <v/>
      </c>
      <c r="K1356" s="52" t="str">
        <f aca="false">IF(L1356="","",E1356&amp;CHAR(10)&amp;INDEX(ポート振替表!$K$5:$K$3507,$L1356)&amp;" "&amp;INDEX(ポート振替表!$L$5:$L$3507,$L1356)&amp;CHAR(10)&amp;"⇔ "&amp;INDEX(ポート振替表!$H$5:$H$3507,$L1356)&amp;" "&amp;INDEX(ポート振替表!$I$5:$I$3507,$L1356))</f>
        <v/>
      </c>
      <c r="L1356" s="47" t="str">
        <f aca="false">IFERROR(MATCH(ROW()-4,ポート振替表!$V$5:$V$3507,0),"")</f>
        <v/>
      </c>
    </row>
    <row r="1357" customFormat="false" ht="16.4" hidden="false" customHeight="false" outlineLevel="0" collapsed="false">
      <c r="A1357" s="32" t="str">
        <f aca="false">IF(L1357="","",ROW()-4)</f>
        <v/>
      </c>
      <c r="B1357" s="58" t="str">
        <f aca="false">IF(L1357="","",IF(INDEX(ポート振替表!$W$5:$W$3507,$L1357)="","(なし)",INDEX(ポート振替表!$W$5:$W$3507,$L1357)&amp;""))</f>
        <v/>
      </c>
      <c r="C1357" s="52" t="str">
        <f aca="false">IF(L1357="","",INDEX(ポート振替表!$B$5:$B$3507,$L1357)&amp;" "&amp;INDEX(ポート振替表!$C$5:$C$3507,$L1357)&amp;"  ⇔  "&amp;INDEX(ポート振替表!$H$5:$H$3507,$L1357)&amp;" "&amp;INDEX(ポート振替表!$I$5:$I$3507,$L1357))</f>
        <v/>
      </c>
      <c r="D1357" s="57" t="s">
        <v>158</v>
      </c>
      <c r="E1357" s="59" t="str">
        <f aca="false">IF(L1357="","",IF(INDEX(ポート振替表!$O$5:$O$3507,$L1357)="","(未設定)",INDEX(ポート振替表!$O$5:$O$3507,$L1357)&amp;""))</f>
        <v/>
      </c>
      <c r="F1357" s="52" t="str">
        <f aca="false">IF(L1357="","",INDEX(ポート振替表!$K$5:$K$3507,$L1357)&amp;" "&amp;INDEX(ポート振替表!$L$5:$L$3507,$L1357)&amp;"  ⇔  "&amp;INDEX(ポート振替表!$H$5:$H$3507,$L1357)&amp;" "&amp;INDEX(ポート振替表!$I$5:$I$3507,$L1357))</f>
        <v/>
      </c>
      <c r="G1357" s="57" t="s">
        <v>158</v>
      </c>
      <c r="H1357" s="32" t="str">
        <f aca="false">IF(L1357="","",INDEX(ポート振替表!$N$5:$N$3507,$L1357)&amp;"")</f>
        <v/>
      </c>
      <c r="I1357" s="32" t="str">
        <f aca="false">IF(L1357="","",INDEX(ポート振替表!$P$5:$P$3507,$L1357)&amp;"")</f>
        <v/>
      </c>
      <c r="J1357" s="60" t="str">
        <f aca="false">IF(L1357="","",INDEX(ポート振替表!$M$5:$M$3507,$L1357)&amp;"")</f>
        <v/>
      </c>
      <c r="K1357" s="52" t="str">
        <f aca="false">IF(L1357="","",E1357&amp;CHAR(10)&amp;INDEX(ポート振替表!$K$5:$K$3507,$L1357)&amp;" "&amp;INDEX(ポート振替表!$L$5:$L$3507,$L1357)&amp;CHAR(10)&amp;"⇔ "&amp;INDEX(ポート振替表!$H$5:$H$3507,$L1357)&amp;" "&amp;INDEX(ポート振替表!$I$5:$I$3507,$L1357))</f>
        <v/>
      </c>
      <c r="L1357" s="47" t="str">
        <f aca="false">IFERROR(MATCH(ROW()-4,ポート振替表!$V$5:$V$3507,0),"")</f>
        <v/>
      </c>
    </row>
    <row r="1358" customFormat="false" ht="16.4" hidden="false" customHeight="false" outlineLevel="0" collapsed="false">
      <c r="A1358" s="32" t="str">
        <f aca="false">IF(L1358="","",ROW()-4)</f>
        <v/>
      </c>
      <c r="B1358" s="58" t="str">
        <f aca="false">IF(L1358="","",IF(INDEX(ポート振替表!$W$5:$W$3507,$L1358)="","(なし)",INDEX(ポート振替表!$W$5:$W$3507,$L1358)&amp;""))</f>
        <v/>
      </c>
      <c r="C1358" s="52" t="str">
        <f aca="false">IF(L1358="","",INDEX(ポート振替表!$B$5:$B$3507,$L1358)&amp;" "&amp;INDEX(ポート振替表!$C$5:$C$3507,$L1358)&amp;"  ⇔  "&amp;INDEX(ポート振替表!$H$5:$H$3507,$L1358)&amp;" "&amp;INDEX(ポート振替表!$I$5:$I$3507,$L1358))</f>
        <v/>
      </c>
      <c r="D1358" s="57" t="s">
        <v>158</v>
      </c>
      <c r="E1358" s="59" t="str">
        <f aca="false">IF(L1358="","",IF(INDEX(ポート振替表!$O$5:$O$3507,$L1358)="","(未設定)",INDEX(ポート振替表!$O$5:$O$3507,$L1358)&amp;""))</f>
        <v/>
      </c>
      <c r="F1358" s="52" t="str">
        <f aca="false">IF(L1358="","",INDEX(ポート振替表!$K$5:$K$3507,$L1358)&amp;" "&amp;INDEX(ポート振替表!$L$5:$L$3507,$L1358)&amp;"  ⇔  "&amp;INDEX(ポート振替表!$H$5:$H$3507,$L1358)&amp;" "&amp;INDEX(ポート振替表!$I$5:$I$3507,$L1358))</f>
        <v/>
      </c>
      <c r="G1358" s="57" t="s">
        <v>158</v>
      </c>
      <c r="H1358" s="32" t="str">
        <f aca="false">IF(L1358="","",INDEX(ポート振替表!$N$5:$N$3507,$L1358)&amp;"")</f>
        <v/>
      </c>
      <c r="I1358" s="32" t="str">
        <f aca="false">IF(L1358="","",INDEX(ポート振替表!$P$5:$P$3507,$L1358)&amp;"")</f>
        <v/>
      </c>
      <c r="J1358" s="60" t="str">
        <f aca="false">IF(L1358="","",INDEX(ポート振替表!$M$5:$M$3507,$L1358)&amp;"")</f>
        <v/>
      </c>
      <c r="K1358" s="52" t="str">
        <f aca="false">IF(L1358="","",E1358&amp;CHAR(10)&amp;INDEX(ポート振替表!$K$5:$K$3507,$L1358)&amp;" "&amp;INDEX(ポート振替表!$L$5:$L$3507,$L1358)&amp;CHAR(10)&amp;"⇔ "&amp;INDEX(ポート振替表!$H$5:$H$3507,$L1358)&amp;" "&amp;INDEX(ポート振替表!$I$5:$I$3507,$L1358))</f>
        <v/>
      </c>
      <c r="L1358" s="47" t="str">
        <f aca="false">IFERROR(MATCH(ROW()-4,ポート振替表!$V$5:$V$3507,0),"")</f>
        <v/>
      </c>
    </row>
    <row r="1359" customFormat="false" ht="16.4" hidden="false" customHeight="false" outlineLevel="0" collapsed="false">
      <c r="A1359" s="32" t="str">
        <f aca="false">IF(L1359="","",ROW()-4)</f>
        <v/>
      </c>
      <c r="B1359" s="58" t="str">
        <f aca="false">IF(L1359="","",IF(INDEX(ポート振替表!$W$5:$W$3507,$L1359)="","(なし)",INDEX(ポート振替表!$W$5:$W$3507,$L1359)&amp;""))</f>
        <v/>
      </c>
      <c r="C1359" s="52" t="str">
        <f aca="false">IF(L1359="","",INDEX(ポート振替表!$B$5:$B$3507,$L1359)&amp;" "&amp;INDEX(ポート振替表!$C$5:$C$3507,$L1359)&amp;"  ⇔  "&amp;INDEX(ポート振替表!$H$5:$H$3507,$L1359)&amp;" "&amp;INDEX(ポート振替表!$I$5:$I$3507,$L1359))</f>
        <v/>
      </c>
      <c r="D1359" s="57" t="s">
        <v>158</v>
      </c>
      <c r="E1359" s="59" t="str">
        <f aca="false">IF(L1359="","",IF(INDEX(ポート振替表!$O$5:$O$3507,$L1359)="","(未設定)",INDEX(ポート振替表!$O$5:$O$3507,$L1359)&amp;""))</f>
        <v/>
      </c>
      <c r="F1359" s="52" t="str">
        <f aca="false">IF(L1359="","",INDEX(ポート振替表!$K$5:$K$3507,$L1359)&amp;" "&amp;INDEX(ポート振替表!$L$5:$L$3507,$L1359)&amp;"  ⇔  "&amp;INDEX(ポート振替表!$H$5:$H$3507,$L1359)&amp;" "&amp;INDEX(ポート振替表!$I$5:$I$3507,$L1359))</f>
        <v/>
      </c>
      <c r="G1359" s="57" t="s">
        <v>158</v>
      </c>
      <c r="H1359" s="32" t="str">
        <f aca="false">IF(L1359="","",INDEX(ポート振替表!$N$5:$N$3507,$L1359)&amp;"")</f>
        <v/>
      </c>
      <c r="I1359" s="32" t="str">
        <f aca="false">IF(L1359="","",INDEX(ポート振替表!$P$5:$P$3507,$L1359)&amp;"")</f>
        <v/>
      </c>
      <c r="J1359" s="60" t="str">
        <f aca="false">IF(L1359="","",INDEX(ポート振替表!$M$5:$M$3507,$L1359)&amp;"")</f>
        <v/>
      </c>
      <c r="K1359" s="52" t="str">
        <f aca="false">IF(L1359="","",E1359&amp;CHAR(10)&amp;INDEX(ポート振替表!$K$5:$K$3507,$L1359)&amp;" "&amp;INDEX(ポート振替表!$L$5:$L$3507,$L1359)&amp;CHAR(10)&amp;"⇔ "&amp;INDEX(ポート振替表!$H$5:$H$3507,$L1359)&amp;" "&amp;INDEX(ポート振替表!$I$5:$I$3507,$L1359))</f>
        <v/>
      </c>
      <c r="L1359" s="47" t="str">
        <f aca="false">IFERROR(MATCH(ROW()-4,ポート振替表!$V$5:$V$3507,0),"")</f>
        <v/>
      </c>
    </row>
    <row r="1360" customFormat="false" ht="16.4" hidden="false" customHeight="false" outlineLevel="0" collapsed="false">
      <c r="A1360" s="32" t="str">
        <f aca="false">IF(L1360="","",ROW()-4)</f>
        <v/>
      </c>
      <c r="B1360" s="58" t="str">
        <f aca="false">IF(L1360="","",IF(INDEX(ポート振替表!$W$5:$W$3507,$L1360)="","(なし)",INDEX(ポート振替表!$W$5:$W$3507,$L1360)&amp;""))</f>
        <v/>
      </c>
      <c r="C1360" s="52" t="str">
        <f aca="false">IF(L1360="","",INDEX(ポート振替表!$B$5:$B$3507,$L1360)&amp;" "&amp;INDEX(ポート振替表!$C$5:$C$3507,$L1360)&amp;"  ⇔  "&amp;INDEX(ポート振替表!$H$5:$H$3507,$L1360)&amp;" "&amp;INDEX(ポート振替表!$I$5:$I$3507,$L1360))</f>
        <v/>
      </c>
      <c r="D1360" s="57" t="s">
        <v>158</v>
      </c>
      <c r="E1360" s="59" t="str">
        <f aca="false">IF(L1360="","",IF(INDEX(ポート振替表!$O$5:$O$3507,$L1360)="","(未設定)",INDEX(ポート振替表!$O$5:$O$3507,$L1360)&amp;""))</f>
        <v/>
      </c>
      <c r="F1360" s="52" t="str">
        <f aca="false">IF(L1360="","",INDEX(ポート振替表!$K$5:$K$3507,$L1360)&amp;" "&amp;INDEX(ポート振替表!$L$5:$L$3507,$L1360)&amp;"  ⇔  "&amp;INDEX(ポート振替表!$H$5:$H$3507,$L1360)&amp;" "&amp;INDEX(ポート振替表!$I$5:$I$3507,$L1360))</f>
        <v/>
      </c>
      <c r="G1360" s="57" t="s">
        <v>158</v>
      </c>
      <c r="H1360" s="32" t="str">
        <f aca="false">IF(L1360="","",INDEX(ポート振替表!$N$5:$N$3507,$L1360)&amp;"")</f>
        <v/>
      </c>
      <c r="I1360" s="32" t="str">
        <f aca="false">IF(L1360="","",INDEX(ポート振替表!$P$5:$P$3507,$L1360)&amp;"")</f>
        <v/>
      </c>
      <c r="J1360" s="60" t="str">
        <f aca="false">IF(L1360="","",INDEX(ポート振替表!$M$5:$M$3507,$L1360)&amp;"")</f>
        <v/>
      </c>
      <c r="K1360" s="52" t="str">
        <f aca="false">IF(L1360="","",E1360&amp;CHAR(10)&amp;INDEX(ポート振替表!$K$5:$K$3507,$L1360)&amp;" "&amp;INDEX(ポート振替表!$L$5:$L$3507,$L1360)&amp;CHAR(10)&amp;"⇔ "&amp;INDEX(ポート振替表!$H$5:$H$3507,$L1360)&amp;" "&amp;INDEX(ポート振替表!$I$5:$I$3507,$L1360))</f>
        <v/>
      </c>
      <c r="L1360" s="47" t="str">
        <f aca="false">IFERROR(MATCH(ROW()-4,ポート振替表!$V$5:$V$3507,0),"")</f>
        <v/>
      </c>
    </row>
    <row r="1361" customFormat="false" ht="16.4" hidden="false" customHeight="false" outlineLevel="0" collapsed="false">
      <c r="A1361" s="32" t="str">
        <f aca="false">IF(L1361="","",ROW()-4)</f>
        <v/>
      </c>
      <c r="B1361" s="58" t="str">
        <f aca="false">IF(L1361="","",IF(INDEX(ポート振替表!$W$5:$W$3507,$L1361)="","(なし)",INDEX(ポート振替表!$W$5:$W$3507,$L1361)&amp;""))</f>
        <v/>
      </c>
      <c r="C1361" s="52" t="str">
        <f aca="false">IF(L1361="","",INDEX(ポート振替表!$B$5:$B$3507,$L1361)&amp;" "&amp;INDEX(ポート振替表!$C$5:$C$3507,$L1361)&amp;"  ⇔  "&amp;INDEX(ポート振替表!$H$5:$H$3507,$L1361)&amp;" "&amp;INDEX(ポート振替表!$I$5:$I$3507,$L1361))</f>
        <v/>
      </c>
      <c r="D1361" s="57" t="s">
        <v>158</v>
      </c>
      <c r="E1361" s="59" t="str">
        <f aca="false">IF(L1361="","",IF(INDEX(ポート振替表!$O$5:$O$3507,$L1361)="","(未設定)",INDEX(ポート振替表!$O$5:$O$3507,$L1361)&amp;""))</f>
        <v/>
      </c>
      <c r="F1361" s="52" t="str">
        <f aca="false">IF(L1361="","",INDEX(ポート振替表!$K$5:$K$3507,$L1361)&amp;" "&amp;INDEX(ポート振替表!$L$5:$L$3507,$L1361)&amp;"  ⇔  "&amp;INDEX(ポート振替表!$H$5:$H$3507,$L1361)&amp;" "&amp;INDEX(ポート振替表!$I$5:$I$3507,$L1361))</f>
        <v/>
      </c>
      <c r="G1361" s="57" t="s">
        <v>158</v>
      </c>
      <c r="H1361" s="32" t="str">
        <f aca="false">IF(L1361="","",INDEX(ポート振替表!$N$5:$N$3507,$L1361)&amp;"")</f>
        <v/>
      </c>
      <c r="I1361" s="32" t="str">
        <f aca="false">IF(L1361="","",INDEX(ポート振替表!$P$5:$P$3507,$L1361)&amp;"")</f>
        <v/>
      </c>
      <c r="J1361" s="60" t="str">
        <f aca="false">IF(L1361="","",INDEX(ポート振替表!$M$5:$M$3507,$L1361)&amp;"")</f>
        <v/>
      </c>
      <c r="K1361" s="52" t="str">
        <f aca="false">IF(L1361="","",E1361&amp;CHAR(10)&amp;INDEX(ポート振替表!$K$5:$K$3507,$L1361)&amp;" "&amp;INDEX(ポート振替表!$L$5:$L$3507,$L1361)&amp;CHAR(10)&amp;"⇔ "&amp;INDEX(ポート振替表!$H$5:$H$3507,$L1361)&amp;" "&amp;INDEX(ポート振替表!$I$5:$I$3507,$L1361))</f>
        <v/>
      </c>
      <c r="L1361" s="47" t="str">
        <f aca="false">IFERROR(MATCH(ROW()-4,ポート振替表!$V$5:$V$3507,0),"")</f>
        <v/>
      </c>
    </row>
    <row r="1362" customFormat="false" ht="16.4" hidden="false" customHeight="false" outlineLevel="0" collapsed="false">
      <c r="A1362" s="32" t="str">
        <f aca="false">IF(L1362="","",ROW()-4)</f>
        <v/>
      </c>
      <c r="B1362" s="58" t="str">
        <f aca="false">IF(L1362="","",IF(INDEX(ポート振替表!$W$5:$W$3507,$L1362)="","(なし)",INDEX(ポート振替表!$W$5:$W$3507,$L1362)&amp;""))</f>
        <v/>
      </c>
      <c r="C1362" s="52" t="str">
        <f aca="false">IF(L1362="","",INDEX(ポート振替表!$B$5:$B$3507,$L1362)&amp;" "&amp;INDEX(ポート振替表!$C$5:$C$3507,$L1362)&amp;"  ⇔  "&amp;INDEX(ポート振替表!$H$5:$H$3507,$L1362)&amp;" "&amp;INDEX(ポート振替表!$I$5:$I$3507,$L1362))</f>
        <v/>
      </c>
      <c r="D1362" s="57" t="s">
        <v>158</v>
      </c>
      <c r="E1362" s="59" t="str">
        <f aca="false">IF(L1362="","",IF(INDEX(ポート振替表!$O$5:$O$3507,$L1362)="","(未設定)",INDEX(ポート振替表!$O$5:$O$3507,$L1362)&amp;""))</f>
        <v/>
      </c>
      <c r="F1362" s="52" t="str">
        <f aca="false">IF(L1362="","",INDEX(ポート振替表!$K$5:$K$3507,$L1362)&amp;" "&amp;INDEX(ポート振替表!$L$5:$L$3507,$L1362)&amp;"  ⇔  "&amp;INDEX(ポート振替表!$H$5:$H$3507,$L1362)&amp;" "&amp;INDEX(ポート振替表!$I$5:$I$3507,$L1362))</f>
        <v/>
      </c>
      <c r="G1362" s="57" t="s">
        <v>158</v>
      </c>
      <c r="H1362" s="32" t="str">
        <f aca="false">IF(L1362="","",INDEX(ポート振替表!$N$5:$N$3507,$L1362)&amp;"")</f>
        <v/>
      </c>
      <c r="I1362" s="32" t="str">
        <f aca="false">IF(L1362="","",INDEX(ポート振替表!$P$5:$P$3507,$L1362)&amp;"")</f>
        <v/>
      </c>
      <c r="J1362" s="60" t="str">
        <f aca="false">IF(L1362="","",INDEX(ポート振替表!$M$5:$M$3507,$L1362)&amp;"")</f>
        <v/>
      </c>
      <c r="K1362" s="52" t="str">
        <f aca="false">IF(L1362="","",E1362&amp;CHAR(10)&amp;INDEX(ポート振替表!$K$5:$K$3507,$L1362)&amp;" "&amp;INDEX(ポート振替表!$L$5:$L$3507,$L1362)&amp;CHAR(10)&amp;"⇔ "&amp;INDEX(ポート振替表!$H$5:$H$3507,$L1362)&amp;" "&amp;INDEX(ポート振替表!$I$5:$I$3507,$L1362))</f>
        <v/>
      </c>
      <c r="L1362" s="47" t="str">
        <f aca="false">IFERROR(MATCH(ROW()-4,ポート振替表!$V$5:$V$3507,0),"")</f>
        <v/>
      </c>
    </row>
    <row r="1363" customFormat="false" ht="16.4" hidden="false" customHeight="false" outlineLevel="0" collapsed="false">
      <c r="A1363" s="32" t="str">
        <f aca="false">IF(L1363="","",ROW()-4)</f>
        <v/>
      </c>
      <c r="B1363" s="58" t="str">
        <f aca="false">IF(L1363="","",IF(INDEX(ポート振替表!$W$5:$W$3507,$L1363)="","(なし)",INDEX(ポート振替表!$W$5:$W$3507,$L1363)&amp;""))</f>
        <v/>
      </c>
      <c r="C1363" s="52" t="str">
        <f aca="false">IF(L1363="","",INDEX(ポート振替表!$B$5:$B$3507,$L1363)&amp;" "&amp;INDEX(ポート振替表!$C$5:$C$3507,$L1363)&amp;"  ⇔  "&amp;INDEX(ポート振替表!$H$5:$H$3507,$L1363)&amp;" "&amp;INDEX(ポート振替表!$I$5:$I$3507,$L1363))</f>
        <v/>
      </c>
      <c r="D1363" s="57" t="s">
        <v>158</v>
      </c>
      <c r="E1363" s="59" t="str">
        <f aca="false">IF(L1363="","",IF(INDEX(ポート振替表!$O$5:$O$3507,$L1363)="","(未設定)",INDEX(ポート振替表!$O$5:$O$3507,$L1363)&amp;""))</f>
        <v/>
      </c>
      <c r="F1363" s="52" t="str">
        <f aca="false">IF(L1363="","",INDEX(ポート振替表!$K$5:$K$3507,$L1363)&amp;" "&amp;INDEX(ポート振替表!$L$5:$L$3507,$L1363)&amp;"  ⇔  "&amp;INDEX(ポート振替表!$H$5:$H$3507,$L1363)&amp;" "&amp;INDEX(ポート振替表!$I$5:$I$3507,$L1363))</f>
        <v/>
      </c>
      <c r="G1363" s="57" t="s">
        <v>158</v>
      </c>
      <c r="H1363" s="32" t="str">
        <f aca="false">IF(L1363="","",INDEX(ポート振替表!$N$5:$N$3507,$L1363)&amp;"")</f>
        <v/>
      </c>
      <c r="I1363" s="32" t="str">
        <f aca="false">IF(L1363="","",INDEX(ポート振替表!$P$5:$P$3507,$L1363)&amp;"")</f>
        <v/>
      </c>
      <c r="J1363" s="60" t="str">
        <f aca="false">IF(L1363="","",INDEX(ポート振替表!$M$5:$M$3507,$L1363)&amp;"")</f>
        <v/>
      </c>
      <c r="K1363" s="52" t="str">
        <f aca="false">IF(L1363="","",E1363&amp;CHAR(10)&amp;INDEX(ポート振替表!$K$5:$K$3507,$L1363)&amp;" "&amp;INDEX(ポート振替表!$L$5:$L$3507,$L1363)&amp;CHAR(10)&amp;"⇔ "&amp;INDEX(ポート振替表!$H$5:$H$3507,$L1363)&amp;" "&amp;INDEX(ポート振替表!$I$5:$I$3507,$L1363))</f>
        <v/>
      </c>
      <c r="L1363" s="47" t="str">
        <f aca="false">IFERROR(MATCH(ROW()-4,ポート振替表!$V$5:$V$3507,0),"")</f>
        <v/>
      </c>
    </row>
    <row r="1364" customFormat="false" ht="16.4" hidden="false" customHeight="false" outlineLevel="0" collapsed="false">
      <c r="A1364" s="32" t="str">
        <f aca="false">IF(L1364="","",ROW()-4)</f>
        <v/>
      </c>
      <c r="B1364" s="58" t="str">
        <f aca="false">IF(L1364="","",IF(INDEX(ポート振替表!$W$5:$W$3507,$L1364)="","(なし)",INDEX(ポート振替表!$W$5:$W$3507,$L1364)&amp;""))</f>
        <v/>
      </c>
      <c r="C1364" s="52" t="str">
        <f aca="false">IF(L1364="","",INDEX(ポート振替表!$B$5:$B$3507,$L1364)&amp;" "&amp;INDEX(ポート振替表!$C$5:$C$3507,$L1364)&amp;"  ⇔  "&amp;INDEX(ポート振替表!$H$5:$H$3507,$L1364)&amp;" "&amp;INDEX(ポート振替表!$I$5:$I$3507,$L1364))</f>
        <v/>
      </c>
      <c r="D1364" s="57" t="s">
        <v>158</v>
      </c>
      <c r="E1364" s="59" t="str">
        <f aca="false">IF(L1364="","",IF(INDEX(ポート振替表!$O$5:$O$3507,$L1364)="","(未設定)",INDEX(ポート振替表!$O$5:$O$3507,$L1364)&amp;""))</f>
        <v/>
      </c>
      <c r="F1364" s="52" t="str">
        <f aca="false">IF(L1364="","",INDEX(ポート振替表!$K$5:$K$3507,$L1364)&amp;" "&amp;INDEX(ポート振替表!$L$5:$L$3507,$L1364)&amp;"  ⇔  "&amp;INDEX(ポート振替表!$H$5:$H$3507,$L1364)&amp;" "&amp;INDEX(ポート振替表!$I$5:$I$3507,$L1364))</f>
        <v/>
      </c>
      <c r="G1364" s="57" t="s">
        <v>158</v>
      </c>
      <c r="H1364" s="32" t="str">
        <f aca="false">IF(L1364="","",INDEX(ポート振替表!$N$5:$N$3507,$L1364)&amp;"")</f>
        <v/>
      </c>
      <c r="I1364" s="32" t="str">
        <f aca="false">IF(L1364="","",INDEX(ポート振替表!$P$5:$P$3507,$L1364)&amp;"")</f>
        <v/>
      </c>
      <c r="J1364" s="60" t="str">
        <f aca="false">IF(L1364="","",INDEX(ポート振替表!$M$5:$M$3507,$L1364)&amp;"")</f>
        <v/>
      </c>
      <c r="K1364" s="52" t="str">
        <f aca="false">IF(L1364="","",E1364&amp;CHAR(10)&amp;INDEX(ポート振替表!$K$5:$K$3507,$L1364)&amp;" "&amp;INDEX(ポート振替表!$L$5:$L$3507,$L1364)&amp;CHAR(10)&amp;"⇔ "&amp;INDEX(ポート振替表!$H$5:$H$3507,$L1364)&amp;" "&amp;INDEX(ポート振替表!$I$5:$I$3507,$L1364))</f>
        <v/>
      </c>
      <c r="L1364" s="47" t="str">
        <f aca="false">IFERROR(MATCH(ROW()-4,ポート振替表!$V$5:$V$3507,0),"")</f>
        <v/>
      </c>
    </row>
    <row r="1365" customFormat="false" ht="16.4" hidden="false" customHeight="false" outlineLevel="0" collapsed="false">
      <c r="A1365" s="32" t="str">
        <f aca="false">IF(L1365="","",ROW()-4)</f>
        <v/>
      </c>
      <c r="B1365" s="58" t="str">
        <f aca="false">IF(L1365="","",IF(INDEX(ポート振替表!$W$5:$W$3507,$L1365)="","(なし)",INDEX(ポート振替表!$W$5:$W$3507,$L1365)&amp;""))</f>
        <v/>
      </c>
      <c r="C1365" s="52" t="str">
        <f aca="false">IF(L1365="","",INDEX(ポート振替表!$B$5:$B$3507,$L1365)&amp;" "&amp;INDEX(ポート振替表!$C$5:$C$3507,$L1365)&amp;"  ⇔  "&amp;INDEX(ポート振替表!$H$5:$H$3507,$L1365)&amp;" "&amp;INDEX(ポート振替表!$I$5:$I$3507,$L1365))</f>
        <v/>
      </c>
      <c r="D1365" s="57" t="s">
        <v>158</v>
      </c>
      <c r="E1365" s="59" t="str">
        <f aca="false">IF(L1365="","",IF(INDEX(ポート振替表!$O$5:$O$3507,$L1365)="","(未設定)",INDEX(ポート振替表!$O$5:$O$3507,$L1365)&amp;""))</f>
        <v/>
      </c>
      <c r="F1365" s="52" t="str">
        <f aca="false">IF(L1365="","",INDEX(ポート振替表!$K$5:$K$3507,$L1365)&amp;" "&amp;INDEX(ポート振替表!$L$5:$L$3507,$L1365)&amp;"  ⇔  "&amp;INDEX(ポート振替表!$H$5:$H$3507,$L1365)&amp;" "&amp;INDEX(ポート振替表!$I$5:$I$3507,$L1365))</f>
        <v/>
      </c>
      <c r="G1365" s="57" t="s">
        <v>158</v>
      </c>
      <c r="H1365" s="32" t="str">
        <f aca="false">IF(L1365="","",INDEX(ポート振替表!$N$5:$N$3507,$L1365)&amp;"")</f>
        <v/>
      </c>
      <c r="I1365" s="32" t="str">
        <f aca="false">IF(L1365="","",INDEX(ポート振替表!$P$5:$P$3507,$L1365)&amp;"")</f>
        <v/>
      </c>
      <c r="J1365" s="60" t="str">
        <f aca="false">IF(L1365="","",INDEX(ポート振替表!$M$5:$M$3507,$L1365)&amp;"")</f>
        <v/>
      </c>
      <c r="K1365" s="52" t="str">
        <f aca="false">IF(L1365="","",E1365&amp;CHAR(10)&amp;INDEX(ポート振替表!$K$5:$K$3507,$L1365)&amp;" "&amp;INDEX(ポート振替表!$L$5:$L$3507,$L1365)&amp;CHAR(10)&amp;"⇔ "&amp;INDEX(ポート振替表!$H$5:$H$3507,$L1365)&amp;" "&amp;INDEX(ポート振替表!$I$5:$I$3507,$L1365))</f>
        <v/>
      </c>
      <c r="L1365" s="47" t="str">
        <f aca="false">IFERROR(MATCH(ROW()-4,ポート振替表!$V$5:$V$3507,0),"")</f>
        <v/>
      </c>
    </row>
    <row r="1366" customFormat="false" ht="16.4" hidden="false" customHeight="false" outlineLevel="0" collapsed="false">
      <c r="A1366" s="32" t="str">
        <f aca="false">IF(L1366="","",ROW()-4)</f>
        <v/>
      </c>
      <c r="B1366" s="58" t="str">
        <f aca="false">IF(L1366="","",IF(INDEX(ポート振替表!$W$5:$W$3507,$L1366)="","(なし)",INDEX(ポート振替表!$W$5:$W$3507,$L1366)&amp;""))</f>
        <v/>
      </c>
      <c r="C1366" s="52" t="str">
        <f aca="false">IF(L1366="","",INDEX(ポート振替表!$B$5:$B$3507,$L1366)&amp;" "&amp;INDEX(ポート振替表!$C$5:$C$3507,$L1366)&amp;"  ⇔  "&amp;INDEX(ポート振替表!$H$5:$H$3507,$L1366)&amp;" "&amp;INDEX(ポート振替表!$I$5:$I$3507,$L1366))</f>
        <v/>
      </c>
      <c r="D1366" s="57" t="s">
        <v>158</v>
      </c>
      <c r="E1366" s="59" t="str">
        <f aca="false">IF(L1366="","",IF(INDEX(ポート振替表!$O$5:$O$3507,$L1366)="","(未設定)",INDEX(ポート振替表!$O$5:$O$3507,$L1366)&amp;""))</f>
        <v/>
      </c>
      <c r="F1366" s="52" t="str">
        <f aca="false">IF(L1366="","",INDEX(ポート振替表!$K$5:$K$3507,$L1366)&amp;" "&amp;INDEX(ポート振替表!$L$5:$L$3507,$L1366)&amp;"  ⇔  "&amp;INDEX(ポート振替表!$H$5:$H$3507,$L1366)&amp;" "&amp;INDEX(ポート振替表!$I$5:$I$3507,$L1366))</f>
        <v/>
      </c>
      <c r="G1366" s="57" t="s">
        <v>158</v>
      </c>
      <c r="H1366" s="32" t="str">
        <f aca="false">IF(L1366="","",INDEX(ポート振替表!$N$5:$N$3507,$L1366)&amp;"")</f>
        <v/>
      </c>
      <c r="I1366" s="32" t="str">
        <f aca="false">IF(L1366="","",INDEX(ポート振替表!$P$5:$P$3507,$L1366)&amp;"")</f>
        <v/>
      </c>
      <c r="J1366" s="60" t="str">
        <f aca="false">IF(L1366="","",INDEX(ポート振替表!$M$5:$M$3507,$L1366)&amp;"")</f>
        <v/>
      </c>
      <c r="K1366" s="52" t="str">
        <f aca="false">IF(L1366="","",E1366&amp;CHAR(10)&amp;INDEX(ポート振替表!$K$5:$K$3507,$L1366)&amp;" "&amp;INDEX(ポート振替表!$L$5:$L$3507,$L1366)&amp;CHAR(10)&amp;"⇔ "&amp;INDEX(ポート振替表!$H$5:$H$3507,$L1366)&amp;" "&amp;INDEX(ポート振替表!$I$5:$I$3507,$L1366))</f>
        <v/>
      </c>
      <c r="L1366" s="47" t="str">
        <f aca="false">IFERROR(MATCH(ROW()-4,ポート振替表!$V$5:$V$3507,0),"")</f>
        <v/>
      </c>
    </row>
    <row r="1367" customFormat="false" ht="16.4" hidden="false" customHeight="false" outlineLevel="0" collapsed="false">
      <c r="A1367" s="32" t="str">
        <f aca="false">IF(L1367="","",ROW()-4)</f>
        <v/>
      </c>
      <c r="B1367" s="58" t="str">
        <f aca="false">IF(L1367="","",IF(INDEX(ポート振替表!$W$5:$W$3507,$L1367)="","(なし)",INDEX(ポート振替表!$W$5:$W$3507,$L1367)&amp;""))</f>
        <v/>
      </c>
      <c r="C1367" s="52" t="str">
        <f aca="false">IF(L1367="","",INDEX(ポート振替表!$B$5:$B$3507,$L1367)&amp;" "&amp;INDEX(ポート振替表!$C$5:$C$3507,$L1367)&amp;"  ⇔  "&amp;INDEX(ポート振替表!$H$5:$H$3507,$L1367)&amp;" "&amp;INDEX(ポート振替表!$I$5:$I$3507,$L1367))</f>
        <v/>
      </c>
      <c r="D1367" s="57" t="s">
        <v>158</v>
      </c>
      <c r="E1367" s="59" t="str">
        <f aca="false">IF(L1367="","",IF(INDEX(ポート振替表!$O$5:$O$3507,$L1367)="","(未設定)",INDEX(ポート振替表!$O$5:$O$3507,$L1367)&amp;""))</f>
        <v/>
      </c>
      <c r="F1367" s="52" t="str">
        <f aca="false">IF(L1367="","",INDEX(ポート振替表!$K$5:$K$3507,$L1367)&amp;" "&amp;INDEX(ポート振替表!$L$5:$L$3507,$L1367)&amp;"  ⇔  "&amp;INDEX(ポート振替表!$H$5:$H$3507,$L1367)&amp;" "&amp;INDEX(ポート振替表!$I$5:$I$3507,$L1367))</f>
        <v/>
      </c>
      <c r="G1367" s="57" t="s">
        <v>158</v>
      </c>
      <c r="H1367" s="32" t="str">
        <f aca="false">IF(L1367="","",INDEX(ポート振替表!$N$5:$N$3507,$L1367)&amp;"")</f>
        <v/>
      </c>
      <c r="I1367" s="32" t="str">
        <f aca="false">IF(L1367="","",INDEX(ポート振替表!$P$5:$P$3507,$L1367)&amp;"")</f>
        <v/>
      </c>
      <c r="J1367" s="60" t="str">
        <f aca="false">IF(L1367="","",INDEX(ポート振替表!$M$5:$M$3507,$L1367)&amp;"")</f>
        <v/>
      </c>
      <c r="K1367" s="52" t="str">
        <f aca="false">IF(L1367="","",E1367&amp;CHAR(10)&amp;INDEX(ポート振替表!$K$5:$K$3507,$L1367)&amp;" "&amp;INDEX(ポート振替表!$L$5:$L$3507,$L1367)&amp;CHAR(10)&amp;"⇔ "&amp;INDEX(ポート振替表!$H$5:$H$3507,$L1367)&amp;" "&amp;INDEX(ポート振替表!$I$5:$I$3507,$L1367))</f>
        <v/>
      </c>
      <c r="L1367" s="47" t="str">
        <f aca="false">IFERROR(MATCH(ROW()-4,ポート振替表!$V$5:$V$3507,0),"")</f>
        <v/>
      </c>
    </row>
    <row r="1368" customFormat="false" ht="16.4" hidden="false" customHeight="false" outlineLevel="0" collapsed="false">
      <c r="A1368" s="32" t="str">
        <f aca="false">IF(L1368="","",ROW()-4)</f>
        <v/>
      </c>
      <c r="B1368" s="58" t="str">
        <f aca="false">IF(L1368="","",IF(INDEX(ポート振替表!$W$5:$W$3507,$L1368)="","(なし)",INDEX(ポート振替表!$W$5:$W$3507,$L1368)&amp;""))</f>
        <v/>
      </c>
      <c r="C1368" s="52" t="str">
        <f aca="false">IF(L1368="","",INDEX(ポート振替表!$B$5:$B$3507,$L1368)&amp;" "&amp;INDEX(ポート振替表!$C$5:$C$3507,$L1368)&amp;"  ⇔  "&amp;INDEX(ポート振替表!$H$5:$H$3507,$L1368)&amp;" "&amp;INDEX(ポート振替表!$I$5:$I$3507,$L1368))</f>
        <v/>
      </c>
      <c r="D1368" s="57" t="s">
        <v>158</v>
      </c>
      <c r="E1368" s="59" t="str">
        <f aca="false">IF(L1368="","",IF(INDEX(ポート振替表!$O$5:$O$3507,$L1368)="","(未設定)",INDEX(ポート振替表!$O$5:$O$3507,$L1368)&amp;""))</f>
        <v/>
      </c>
      <c r="F1368" s="52" t="str">
        <f aca="false">IF(L1368="","",INDEX(ポート振替表!$K$5:$K$3507,$L1368)&amp;" "&amp;INDEX(ポート振替表!$L$5:$L$3507,$L1368)&amp;"  ⇔  "&amp;INDEX(ポート振替表!$H$5:$H$3507,$L1368)&amp;" "&amp;INDEX(ポート振替表!$I$5:$I$3507,$L1368))</f>
        <v/>
      </c>
      <c r="G1368" s="57" t="s">
        <v>158</v>
      </c>
      <c r="H1368" s="32" t="str">
        <f aca="false">IF(L1368="","",INDEX(ポート振替表!$N$5:$N$3507,$L1368)&amp;"")</f>
        <v/>
      </c>
      <c r="I1368" s="32" t="str">
        <f aca="false">IF(L1368="","",INDEX(ポート振替表!$P$5:$P$3507,$L1368)&amp;"")</f>
        <v/>
      </c>
      <c r="J1368" s="60" t="str">
        <f aca="false">IF(L1368="","",INDEX(ポート振替表!$M$5:$M$3507,$L1368)&amp;"")</f>
        <v/>
      </c>
      <c r="K1368" s="52" t="str">
        <f aca="false">IF(L1368="","",E1368&amp;CHAR(10)&amp;INDEX(ポート振替表!$K$5:$K$3507,$L1368)&amp;" "&amp;INDEX(ポート振替表!$L$5:$L$3507,$L1368)&amp;CHAR(10)&amp;"⇔ "&amp;INDEX(ポート振替表!$H$5:$H$3507,$L1368)&amp;" "&amp;INDEX(ポート振替表!$I$5:$I$3507,$L1368))</f>
        <v/>
      </c>
      <c r="L1368" s="47" t="str">
        <f aca="false">IFERROR(MATCH(ROW()-4,ポート振替表!$V$5:$V$3507,0),"")</f>
        <v/>
      </c>
    </row>
    <row r="1369" customFormat="false" ht="16.4" hidden="false" customHeight="false" outlineLevel="0" collapsed="false">
      <c r="A1369" s="32" t="str">
        <f aca="false">IF(L1369="","",ROW()-4)</f>
        <v/>
      </c>
      <c r="B1369" s="58" t="str">
        <f aca="false">IF(L1369="","",IF(INDEX(ポート振替表!$W$5:$W$3507,$L1369)="","(なし)",INDEX(ポート振替表!$W$5:$W$3507,$L1369)&amp;""))</f>
        <v/>
      </c>
      <c r="C1369" s="52" t="str">
        <f aca="false">IF(L1369="","",INDEX(ポート振替表!$B$5:$B$3507,$L1369)&amp;" "&amp;INDEX(ポート振替表!$C$5:$C$3507,$L1369)&amp;"  ⇔  "&amp;INDEX(ポート振替表!$H$5:$H$3507,$L1369)&amp;" "&amp;INDEX(ポート振替表!$I$5:$I$3507,$L1369))</f>
        <v/>
      </c>
      <c r="D1369" s="57" t="s">
        <v>158</v>
      </c>
      <c r="E1369" s="59" t="str">
        <f aca="false">IF(L1369="","",IF(INDEX(ポート振替表!$O$5:$O$3507,$L1369)="","(未設定)",INDEX(ポート振替表!$O$5:$O$3507,$L1369)&amp;""))</f>
        <v/>
      </c>
      <c r="F1369" s="52" t="str">
        <f aca="false">IF(L1369="","",INDEX(ポート振替表!$K$5:$K$3507,$L1369)&amp;" "&amp;INDEX(ポート振替表!$L$5:$L$3507,$L1369)&amp;"  ⇔  "&amp;INDEX(ポート振替表!$H$5:$H$3507,$L1369)&amp;" "&amp;INDEX(ポート振替表!$I$5:$I$3507,$L1369))</f>
        <v/>
      </c>
      <c r="G1369" s="57" t="s">
        <v>158</v>
      </c>
      <c r="H1369" s="32" t="str">
        <f aca="false">IF(L1369="","",INDEX(ポート振替表!$N$5:$N$3507,$L1369)&amp;"")</f>
        <v/>
      </c>
      <c r="I1369" s="32" t="str">
        <f aca="false">IF(L1369="","",INDEX(ポート振替表!$P$5:$P$3507,$L1369)&amp;"")</f>
        <v/>
      </c>
      <c r="J1369" s="60" t="str">
        <f aca="false">IF(L1369="","",INDEX(ポート振替表!$M$5:$M$3507,$L1369)&amp;"")</f>
        <v/>
      </c>
      <c r="K1369" s="52" t="str">
        <f aca="false">IF(L1369="","",E1369&amp;CHAR(10)&amp;INDEX(ポート振替表!$K$5:$K$3507,$L1369)&amp;" "&amp;INDEX(ポート振替表!$L$5:$L$3507,$L1369)&amp;CHAR(10)&amp;"⇔ "&amp;INDEX(ポート振替表!$H$5:$H$3507,$L1369)&amp;" "&amp;INDEX(ポート振替表!$I$5:$I$3507,$L1369))</f>
        <v/>
      </c>
      <c r="L1369" s="47" t="str">
        <f aca="false">IFERROR(MATCH(ROW()-4,ポート振替表!$V$5:$V$3507,0),"")</f>
        <v/>
      </c>
    </row>
    <row r="1370" customFormat="false" ht="16.4" hidden="false" customHeight="false" outlineLevel="0" collapsed="false">
      <c r="A1370" s="32" t="str">
        <f aca="false">IF(L1370="","",ROW()-4)</f>
        <v/>
      </c>
      <c r="B1370" s="58" t="str">
        <f aca="false">IF(L1370="","",IF(INDEX(ポート振替表!$W$5:$W$3507,$L1370)="","(なし)",INDEX(ポート振替表!$W$5:$W$3507,$L1370)&amp;""))</f>
        <v/>
      </c>
      <c r="C1370" s="52" t="str">
        <f aca="false">IF(L1370="","",INDEX(ポート振替表!$B$5:$B$3507,$L1370)&amp;" "&amp;INDEX(ポート振替表!$C$5:$C$3507,$L1370)&amp;"  ⇔  "&amp;INDEX(ポート振替表!$H$5:$H$3507,$L1370)&amp;" "&amp;INDEX(ポート振替表!$I$5:$I$3507,$L1370))</f>
        <v/>
      </c>
      <c r="D1370" s="57" t="s">
        <v>158</v>
      </c>
      <c r="E1370" s="59" t="str">
        <f aca="false">IF(L1370="","",IF(INDEX(ポート振替表!$O$5:$O$3507,$L1370)="","(未設定)",INDEX(ポート振替表!$O$5:$O$3507,$L1370)&amp;""))</f>
        <v/>
      </c>
      <c r="F1370" s="52" t="str">
        <f aca="false">IF(L1370="","",INDEX(ポート振替表!$K$5:$K$3507,$L1370)&amp;" "&amp;INDEX(ポート振替表!$L$5:$L$3507,$L1370)&amp;"  ⇔  "&amp;INDEX(ポート振替表!$H$5:$H$3507,$L1370)&amp;" "&amp;INDEX(ポート振替表!$I$5:$I$3507,$L1370))</f>
        <v/>
      </c>
      <c r="G1370" s="57" t="s">
        <v>158</v>
      </c>
      <c r="H1370" s="32" t="str">
        <f aca="false">IF(L1370="","",INDEX(ポート振替表!$N$5:$N$3507,$L1370)&amp;"")</f>
        <v/>
      </c>
      <c r="I1370" s="32" t="str">
        <f aca="false">IF(L1370="","",INDEX(ポート振替表!$P$5:$P$3507,$L1370)&amp;"")</f>
        <v/>
      </c>
      <c r="J1370" s="60" t="str">
        <f aca="false">IF(L1370="","",INDEX(ポート振替表!$M$5:$M$3507,$L1370)&amp;"")</f>
        <v/>
      </c>
      <c r="K1370" s="52" t="str">
        <f aca="false">IF(L1370="","",E1370&amp;CHAR(10)&amp;INDEX(ポート振替表!$K$5:$K$3507,$L1370)&amp;" "&amp;INDEX(ポート振替表!$L$5:$L$3507,$L1370)&amp;CHAR(10)&amp;"⇔ "&amp;INDEX(ポート振替表!$H$5:$H$3507,$L1370)&amp;" "&amp;INDEX(ポート振替表!$I$5:$I$3507,$L1370))</f>
        <v/>
      </c>
      <c r="L1370" s="47" t="str">
        <f aca="false">IFERROR(MATCH(ROW()-4,ポート振替表!$V$5:$V$3507,0),"")</f>
        <v/>
      </c>
    </row>
    <row r="1371" customFormat="false" ht="16.4" hidden="false" customHeight="false" outlineLevel="0" collapsed="false">
      <c r="A1371" s="32" t="str">
        <f aca="false">IF(L1371="","",ROW()-4)</f>
        <v/>
      </c>
      <c r="B1371" s="58" t="str">
        <f aca="false">IF(L1371="","",IF(INDEX(ポート振替表!$W$5:$W$3507,$L1371)="","(なし)",INDEX(ポート振替表!$W$5:$W$3507,$L1371)&amp;""))</f>
        <v/>
      </c>
      <c r="C1371" s="52" t="str">
        <f aca="false">IF(L1371="","",INDEX(ポート振替表!$B$5:$B$3507,$L1371)&amp;" "&amp;INDEX(ポート振替表!$C$5:$C$3507,$L1371)&amp;"  ⇔  "&amp;INDEX(ポート振替表!$H$5:$H$3507,$L1371)&amp;" "&amp;INDEX(ポート振替表!$I$5:$I$3507,$L1371))</f>
        <v/>
      </c>
      <c r="D1371" s="57" t="s">
        <v>158</v>
      </c>
      <c r="E1371" s="59" t="str">
        <f aca="false">IF(L1371="","",IF(INDEX(ポート振替表!$O$5:$O$3507,$L1371)="","(未設定)",INDEX(ポート振替表!$O$5:$O$3507,$L1371)&amp;""))</f>
        <v/>
      </c>
      <c r="F1371" s="52" t="str">
        <f aca="false">IF(L1371="","",INDEX(ポート振替表!$K$5:$K$3507,$L1371)&amp;" "&amp;INDEX(ポート振替表!$L$5:$L$3507,$L1371)&amp;"  ⇔  "&amp;INDEX(ポート振替表!$H$5:$H$3507,$L1371)&amp;" "&amp;INDEX(ポート振替表!$I$5:$I$3507,$L1371))</f>
        <v/>
      </c>
      <c r="G1371" s="57" t="s">
        <v>158</v>
      </c>
      <c r="H1371" s="32" t="str">
        <f aca="false">IF(L1371="","",INDEX(ポート振替表!$N$5:$N$3507,$L1371)&amp;"")</f>
        <v/>
      </c>
      <c r="I1371" s="32" t="str">
        <f aca="false">IF(L1371="","",INDEX(ポート振替表!$P$5:$P$3507,$L1371)&amp;"")</f>
        <v/>
      </c>
      <c r="J1371" s="60" t="str">
        <f aca="false">IF(L1371="","",INDEX(ポート振替表!$M$5:$M$3507,$L1371)&amp;"")</f>
        <v/>
      </c>
      <c r="K1371" s="52" t="str">
        <f aca="false">IF(L1371="","",E1371&amp;CHAR(10)&amp;INDEX(ポート振替表!$K$5:$K$3507,$L1371)&amp;" "&amp;INDEX(ポート振替表!$L$5:$L$3507,$L1371)&amp;CHAR(10)&amp;"⇔ "&amp;INDEX(ポート振替表!$H$5:$H$3507,$L1371)&amp;" "&amp;INDEX(ポート振替表!$I$5:$I$3507,$L1371))</f>
        <v/>
      </c>
      <c r="L1371" s="47" t="str">
        <f aca="false">IFERROR(MATCH(ROW()-4,ポート振替表!$V$5:$V$3507,0),"")</f>
        <v/>
      </c>
    </row>
    <row r="1372" customFormat="false" ht="16.4" hidden="false" customHeight="false" outlineLevel="0" collapsed="false">
      <c r="A1372" s="32" t="str">
        <f aca="false">IF(L1372="","",ROW()-4)</f>
        <v/>
      </c>
      <c r="B1372" s="58" t="str">
        <f aca="false">IF(L1372="","",IF(INDEX(ポート振替表!$W$5:$W$3507,$L1372)="","(なし)",INDEX(ポート振替表!$W$5:$W$3507,$L1372)&amp;""))</f>
        <v/>
      </c>
      <c r="C1372" s="52" t="str">
        <f aca="false">IF(L1372="","",INDEX(ポート振替表!$B$5:$B$3507,$L1372)&amp;" "&amp;INDEX(ポート振替表!$C$5:$C$3507,$L1372)&amp;"  ⇔  "&amp;INDEX(ポート振替表!$H$5:$H$3507,$L1372)&amp;" "&amp;INDEX(ポート振替表!$I$5:$I$3507,$L1372))</f>
        <v/>
      </c>
      <c r="D1372" s="57" t="s">
        <v>158</v>
      </c>
      <c r="E1372" s="59" t="str">
        <f aca="false">IF(L1372="","",IF(INDEX(ポート振替表!$O$5:$O$3507,$L1372)="","(未設定)",INDEX(ポート振替表!$O$5:$O$3507,$L1372)&amp;""))</f>
        <v/>
      </c>
      <c r="F1372" s="52" t="str">
        <f aca="false">IF(L1372="","",INDEX(ポート振替表!$K$5:$K$3507,$L1372)&amp;" "&amp;INDEX(ポート振替表!$L$5:$L$3507,$L1372)&amp;"  ⇔  "&amp;INDEX(ポート振替表!$H$5:$H$3507,$L1372)&amp;" "&amp;INDEX(ポート振替表!$I$5:$I$3507,$L1372))</f>
        <v/>
      </c>
      <c r="G1372" s="57" t="s">
        <v>158</v>
      </c>
      <c r="H1372" s="32" t="str">
        <f aca="false">IF(L1372="","",INDEX(ポート振替表!$N$5:$N$3507,$L1372)&amp;"")</f>
        <v/>
      </c>
      <c r="I1372" s="32" t="str">
        <f aca="false">IF(L1372="","",INDEX(ポート振替表!$P$5:$P$3507,$L1372)&amp;"")</f>
        <v/>
      </c>
      <c r="J1372" s="60" t="str">
        <f aca="false">IF(L1372="","",INDEX(ポート振替表!$M$5:$M$3507,$L1372)&amp;"")</f>
        <v/>
      </c>
      <c r="K1372" s="52" t="str">
        <f aca="false">IF(L1372="","",E1372&amp;CHAR(10)&amp;INDEX(ポート振替表!$K$5:$K$3507,$L1372)&amp;" "&amp;INDEX(ポート振替表!$L$5:$L$3507,$L1372)&amp;CHAR(10)&amp;"⇔ "&amp;INDEX(ポート振替表!$H$5:$H$3507,$L1372)&amp;" "&amp;INDEX(ポート振替表!$I$5:$I$3507,$L1372))</f>
        <v/>
      </c>
      <c r="L1372" s="47" t="str">
        <f aca="false">IFERROR(MATCH(ROW()-4,ポート振替表!$V$5:$V$3507,0),"")</f>
        <v/>
      </c>
    </row>
    <row r="1373" customFormat="false" ht="16.4" hidden="false" customHeight="false" outlineLevel="0" collapsed="false">
      <c r="A1373" s="32" t="str">
        <f aca="false">IF(L1373="","",ROW()-4)</f>
        <v/>
      </c>
      <c r="B1373" s="58" t="str">
        <f aca="false">IF(L1373="","",IF(INDEX(ポート振替表!$W$5:$W$3507,$L1373)="","(なし)",INDEX(ポート振替表!$W$5:$W$3507,$L1373)&amp;""))</f>
        <v/>
      </c>
      <c r="C1373" s="52" t="str">
        <f aca="false">IF(L1373="","",INDEX(ポート振替表!$B$5:$B$3507,$L1373)&amp;" "&amp;INDEX(ポート振替表!$C$5:$C$3507,$L1373)&amp;"  ⇔  "&amp;INDEX(ポート振替表!$H$5:$H$3507,$L1373)&amp;" "&amp;INDEX(ポート振替表!$I$5:$I$3507,$L1373))</f>
        <v/>
      </c>
      <c r="D1373" s="57" t="s">
        <v>158</v>
      </c>
      <c r="E1373" s="59" t="str">
        <f aca="false">IF(L1373="","",IF(INDEX(ポート振替表!$O$5:$O$3507,$L1373)="","(未設定)",INDEX(ポート振替表!$O$5:$O$3507,$L1373)&amp;""))</f>
        <v/>
      </c>
      <c r="F1373" s="52" t="str">
        <f aca="false">IF(L1373="","",INDEX(ポート振替表!$K$5:$K$3507,$L1373)&amp;" "&amp;INDEX(ポート振替表!$L$5:$L$3507,$L1373)&amp;"  ⇔  "&amp;INDEX(ポート振替表!$H$5:$H$3507,$L1373)&amp;" "&amp;INDEX(ポート振替表!$I$5:$I$3507,$L1373))</f>
        <v/>
      </c>
      <c r="G1373" s="57" t="s">
        <v>158</v>
      </c>
      <c r="H1373" s="32" t="str">
        <f aca="false">IF(L1373="","",INDEX(ポート振替表!$N$5:$N$3507,$L1373)&amp;"")</f>
        <v/>
      </c>
      <c r="I1373" s="32" t="str">
        <f aca="false">IF(L1373="","",INDEX(ポート振替表!$P$5:$P$3507,$L1373)&amp;"")</f>
        <v/>
      </c>
      <c r="J1373" s="60" t="str">
        <f aca="false">IF(L1373="","",INDEX(ポート振替表!$M$5:$M$3507,$L1373)&amp;"")</f>
        <v/>
      </c>
      <c r="K1373" s="52" t="str">
        <f aca="false">IF(L1373="","",E1373&amp;CHAR(10)&amp;INDEX(ポート振替表!$K$5:$K$3507,$L1373)&amp;" "&amp;INDEX(ポート振替表!$L$5:$L$3507,$L1373)&amp;CHAR(10)&amp;"⇔ "&amp;INDEX(ポート振替表!$H$5:$H$3507,$L1373)&amp;" "&amp;INDEX(ポート振替表!$I$5:$I$3507,$L1373))</f>
        <v/>
      </c>
      <c r="L1373" s="47" t="str">
        <f aca="false">IFERROR(MATCH(ROW()-4,ポート振替表!$V$5:$V$3507,0),"")</f>
        <v/>
      </c>
    </row>
    <row r="1374" customFormat="false" ht="16.4" hidden="false" customHeight="false" outlineLevel="0" collapsed="false">
      <c r="A1374" s="32" t="str">
        <f aca="false">IF(L1374="","",ROW()-4)</f>
        <v/>
      </c>
      <c r="B1374" s="58" t="str">
        <f aca="false">IF(L1374="","",IF(INDEX(ポート振替表!$W$5:$W$3507,$L1374)="","(なし)",INDEX(ポート振替表!$W$5:$W$3507,$L1374)&amp;""))</f>
        <v/>
      </c>
      <c r="C1374" s="52" t="str">
        <f aca="false">IF(L1374="","",INDEX(ポート振替表!$B$5:$B$3507,$L1374)&amp;" "&amp;INDEX(ポート振替表!$C$5:$C$3507,$L1374)&amp;"  ⇔  "&amp;INDEX(ポート振替表!$H$5:$H$3507,$L1374)&amp;" "&amp;INDEX(ポート振替表!$I$5:$I$3507,$L1374))</f>
        <v/>
      </c>
      <c r="D1374" s="57" t="s">
        <v>158</v>
      </c>
      <c r="E1374" s="59" t="str">
        <f aca="false">IF(L1374="","",IF(INDEX(ポート振替表!$O$5:$O$3507,$L1374)="","(未設定)",INDEX(ポート振替表!$O$5:$O$3507,$L1374)&amp;""))</f>
        <v/>
      </c>
      <c r="F1374" s="52" t="str">
        <f aca="false">IF(L1374="","",INDEX(ポート振替表!$K$5:$K$3507,$L1374)&amp;" "&amp;INDEX(ポート振替表!$L$5:$L$3507,$L1374)&amp;"  ⇔  "&amp;INDEX(ポート振替表!$H$5:$H$3507,$L1374)&amp;" "&amp;INDEX(ポート振替表!$I$5:$I$3507,$L1374))</f>
        <v/>
      </c>
      <c r="G1374" s="57" t="s">
        <v>158</v>
      </c>
      <c r="H1374" s="32" t="str">
        <f aca="false">IF(L1374="","",INDEX(ポート振替表!$N$5:$N$3507,$L1374)&amp;"")</f>
        <v/>
      </c>
      <c r="I1374" s="32" t="str">
        <f aca="false">IF(L1374="","",INDEX(ポート振替表!$P$5:$P$3507,$L1374)&amp;"")</f>
        <v/>
      </c>
      <c r="J1374" s="60" t="str">
        <f aca="false">IF(L1374="","",INDEX(ポート振替表!$M$5:$M$3507,$L1374)&amp;"")</f>
        <v/>
      </c>
      <c r="K1374" s="52" t="str">
        <f aca="false">IF(L1374="","",E1374&amp;CHAR(10)&amp;INDEX(ポート振替表!$K$5:$K$3507,$L1374)&amp;" "&amp;INDEX(ポート振替表!$L$5:$L$3507,$L1374)&amp;CHAR(10)&amp;"⇔ "&amp;INDEX(ポート振替表!$H$5:$H$3507,$L1374)&amp;" "&amp;INDEX(ポート振替表!$I$5:$I$3507,$L1374))</f>
        <v/>
      </c>
      <c r="L1374" s="47" t="str">
        <f aca="false">IFERROR(MATCH(ROW()-4,ポート振替表!$V$5:$V$3507,0),"")</f>
        <v/>
      </c>
    </row>
    <row r="1375" customFormat="false" ht="16.4" hidden="false" customHeight="false" outlineLevel="0" collapsed="false">
      <c r="A1375" s="32" t="str">
        <f aca="false">IF(L1375="","",ROW()-4)</f>
        <v/>
      </c>
      <c r="B1375" s="58" t="str">
        <f aca="false">IF(L1375="","",IF(INDEX(ポート振替表!$W$5:$W$3507,$L1375)="","(なし)",INDEX(ポート振替表!$W$5:$W$3507,$L1375)&amp;""))</f>
        <v/>
      </c>
      <c r="C1375" s="52" t="str">
        <f aca="false">IF(L1375="","",INDEX(ポート振替表!$B$5:$B$3507,$L1375)&amp;" "&amp;INDEX(ポート振替表!$C$5:$C$3507,$L1375)&amp;"  ⇔  "&amp;INDEX(ポート振替表!$H$5:$H$3507,$L1375)&amp;" "&amp;INDEX(ポート振替表!$I$5:$I$3507,$L1375))</f>
        <v/>
      </c>
      <c r="D1375" s="57" t="s">
        <v>158</v>
      </c>
      <c r="E1375" s="59" t="str">
        <f aca="false">IF(L1375="","",IF(INDEX(ポート振替表!$O$5:$O$3507,$L1375)="","(未設定)",INDEX(ポート振替表!$O$5:$O$3507,$L1375)&amp;""))</f>
        <v/>
      </c>
      <c r="F1375" s="52" t="str">
        <f aca="false">IF(L1375="","",INDEX(ポート振替表!$K$5:$K$3507,$L1375)&amp;" "&amp;INDEX(ポート振替表!$L$5:$L$3507,$L1375)&amp;"  ⇔  "&amp;INDEX(ポート振替表!$H$5:$H$3507,$L1375)&amp;" "&amp;INDEX(ポート振替表!$I$5:$I$3507,$L1375))</f>
        <v/>
      </c>
      <c r="G1375" s="57" t="s">
        <v>158</v>
      </c>
      <c r="H1375" s="32" t="str">
        <f aca="false">IF(L1375="","",INDEX(ポート振替表!$N$5:$N$3507,$L1375)&amp;"")</f>
        <v/>
      </c>
      <c r="I1375" s="32" t="str">
        <f aca="false">IF(L1375="","",INDEX(ポート振替表!$P$5:$P$3507,$L1375)&amp;"")</f>
        <v/>
      </c>
      <c r="J1375" s="60" t="str">
        <f aca="false">IF(L1375="","",INDEX(ポート振替表!$M$5:$M$3507,$L1375)&amp;"")</f>
        <v/>
      </c>
      <c r="K1375" s="52" t="str">
        <f aca="false">IF(L1375="","",E1375&amp;CHAR(10)&amp;INDEX(ポート振替表!$K$5:$K$3507,$L1375)&amp;" "&amp;INDEX(ポート振替表!$L$5:$L$3507,$L1375)&amp;CHAR(10)&amp;"⇔ "&amp;INDEX(ポート振替表!$H$5:$H$3507,$L1375)&amp;" "&amp;INDEX(ポート振替表!$I$5:$I$3507,$L1375))</f>
        <v/>
      </c>
      <c r="L1375" s="47" t="str">
        <f aca="false">IFERROR(MATCH(ROW()-4,ポート振替表!$V$5:$V$3507,0),"")</f>
        <v/>
      </c>
    </row>
    <row r="1376" customFormat="false" ht="16.4" hidden="false" customHeight="false" outlineLevel="0" collapsed="false">
      <c r="A1376" s="32" t="str">
        <f aca="false">IF(L1376="","",ROW()-4)</f>
        <v/>
      </c>
      <c r="B1376" s="58" t="str">
        <f aca="false">IF(L1376="","",IF(INDEX(ポート振替表!$W$5:$W$3507,$L1376)="","(なし)",INDEX(ポート振替表!$W$5:$W$3507,$L1376)&amp;""))</f>
        <v/>
      </c>
      <c r="C1376" s="52" t="str">
        <f aca="false">IF(L1376="","",INDEX(ポート振替表!$B$5:$B$3507,$L1376)&amp;" "&amp;INDEX(ポート振替表!$C$5:$C$3507,$L1376)&amp;"  ⇔  "&amp;INDEX(ポート振替表!$H$5:$H$3507,$L1376)&amp;" "&amp;INDEX(ポート振替表!$I$5:$I$3507,$L1376))</f>
        <v/>
      </c>
      <c r="D1376" s="57" t="s">
        <v>158</v>
      </c>
      <c r="E1376" s="59" t="str">
        <f aca="false">IF(L1376="","",IF(INDEX(ポート振替表!$O$5:$O$3507,$L1376)="","(未設定)",INDEX(ポート振替表!$O$5:$O$3507,$L1376)&amp;""))</f>
        <v/>
      </c>
      <c r="F1376" s="52" t="str">
        <f aca="false">IF(L1376="","",INDEX(ポート振替表!$K$5:$K$3507,$L1376)&amp;" "&amp;INDEX(ポート振替表!$L$5:$L$3507,$L1376)&amp;"  ⇔  "&amp;INDEX(ポート振替表!$H$5:$H$3507,$L1376)&amp;" "&amp;INDEX(ポート振替表!$I$5:$I$3507,$L1376))</f>
        <v/>
      </c>
      <c r="G1376" s="57" t="s">
        <v>158</v>
      </c>
      <c r="H1376" s="32" t="str">
        <f aca="false">IF(L1376="","",INDEX(ポート振替表!$N$5:$N$3507,$L1376)&amp;"")</f>
        <v/>
      </c>
      <c r="I1376" s="32" t="str">
        <f aca="false">IF(L1376="","",INDEX(ポート振替表!$P$5:$P$3507,$L1376)&amp;"")</f>
        <v/>
      </c>
      <c r="J1376" s="60" t="str">
        <f aca="false">IF(L1376="","",INDEX(ポート振替表!$M$5:$M$3507,$L1376)&amp;"")</f>
        <v/>
      </c>
      <c r="K1376" s="52" t="str">
        <f aca="false">IF(L1376="","",E1376&amp;CHAR(10)&amp;INDEX(ポート振替表!$K$5:$K$3507,$L1376)&amp;" "&amp;INDEX(ポート振替表!$L$5:$L$3507,$L1376)&amp;CHAR(10)&amp;"⇔ "&amp;INDEX(ポート振替表!$H$5:$H$3507,$L1376)&amp;" "&amp;INDEX(ポート振替表!$I$5:$I$3507,$L1376))</f>
        <v/>
      </c>
      <c r="L1376" s="47" t="str">
        <f aca="false">IFERROR(MATCH(ROW()-4,ポート振替表!$V$5:$V$3507,0),"")</f>
        <v/>
      </c>
    </row>
    <row r="1377" customFormat="false" ht="16.4" hidden="false" customHeight="false" outlineLevel="0" collapsed="false">
      <c r="A1377" s="32" t="str">
        <f aca="false">IF(L1377="","",ROW()-4)</f>
        <v/>
      </c>
      <c r="B1377" s="58" t="str">
        <f aca="false">IF(L1377="","",IF(INDEX(ポート振替表!$W$5:$W$3507,$L1377)="","(なし)",INDEX(ポート振替表!$W$5:$W$3507,$L1377)&amp;""))</f>
        <v/>
      </c>
      <c r="C1377" s="52" t="str">
        <f aca="false">IF(L1377="","",INDEX(ポート振替表!$B$5:$B$3507,$L1377)&amp;" "&amp;INDEX(ポート振替表!$C$5:$C$3507,$L1377)&amp;"  ⇔  "&amp;INDEX(ポート振替表!$H$5:$H$3507,$L1377)&amp;" "&amp;INDEX(ポート振替表!$I$5:$I$3507,$L1377))</f>
        <v/>
      </c>
      <c r="D1377" s="57" t="s">
        <v>158</v>
      </c>
      <c r="E1377" s="59" t="str">
        <f aca="false">IF(L1377="","",IF(INDEX(ポート振替表!$O$5:$O$3507,$L1377)="","(未設定)",INDEX(ポート振替表!$O$5:$O$3507,$L1377)&amp;""))</f>
        <v/>
      </c>
      <c r="F1377" s="52" t="str">
        <f aca="false">IF(L1377="","",INDEX(ポート振替表!$K$5:$K$3507,$L1377)&amp;" "&amp;INDEX(ポート振替表!$L$5:$L$3507,$L1377)&amp;"  ⇔  "&amp;INDEX(ポート振替表!$H$5:$H$3507,$L1377)&amp;" "&amp;INDEX(ポート振替表!$I$5:$I$3507,$L1377))</f>
        <v/>
      </c>
      <c r="G1377" s="57" t="s">
        <v>158</v>
      </c>
      <c r="H1377" s="32" t="str">
        <f aca="false">IF(L1377="","",INDEX(ポート振替表!$N$5:$N$3507,$L1377)&amp;"")</f>
        <v/>
      </c>
      <c r="I1377" s="32" t="str">
        <f aca="false">IF(L1377="","",INDEX(ポート振替表!$P$5:$P$3507,$L1377)&amp;"")</f>
        <v/>
      </c>
      <c r="J1377" s="60" t="str">
        <f aca="false">IF(L1377="","",INDEX(ポート振替表!$M$5:$M$3507,$L1377)&amp;"")</f>
        <v/>
      </c>
      <c r="K1377" s="52" t="str">
        <f aca="false">IF(L1377="","",E1377&amp;CHAR(10)&amp;INDEX(ポート振替表!$K$5:$K$3507,$L1377)&amp;" "&amp;INDEX(ポート振替表!$L$5:$L$3507,$L1377)&amp;CHAR(10)&amp;"⇔ "&amp;INDEX(ポート振替表!$H$5:$H$3507,$L1377)&amp;" "&amp;INDEX(ポート振替表!$I$5:$I$3507,$L1377))</f>
        <v/>
      </c>
      <c r="L1377" s="47" t="str">
        <f aca="false">IFERROR(MATCH(ROW()-4,ポート振替表!$V$5:$V$3507,0),"")</f>
        <v/>
      </c>
    </row>
    <row r="1378" customFormat="false" ht="16.4" hidden="false" customHeight="false" outlineLevel="0" collapsed="false">
      <c r="A1378" s="32" t="str">
        <f aca="false">IF(L1378="","",ROW()-4)</f>
        <v/>
      </c>
      <c r="B1378" s="58" t="str">
        <f aca="false">IF(L1378="","",IF(INDEX(ポート振替表!$W$5:$W$3507,$L1378)="","(なし)",INDEX(ポート振替表!$W$5:$W$3507,$L1378)&amp;""))</f>
        <v/>
      </c>
      <c r="C1378" s="52" t="str">
        <f aca="false">IF(L1378="","",INDEX(ポート振替表!$B$5:$B$3507,$L1378)&amp;" "&amp;INDEX(ポート振替表!$C$5:$C$3507,$L1378)&amp;"  ⇔  "&amp;INDEX(ポート振替表!$H$5:$H$3507,$L1378)&amp;" "&amp;INDEX(ポート振替表!$I$5:$I$3507,$L1378))</f>
        <v/>
      </c>
      <c r="D1378" s="57" t="s">
        <v>158</v>
      </c>
      <c r="E1378" s="59" t="str">
        <f aca="false">IF(L1378="","",IF(INDEX(ポート振替表!$O$5:$O$3507,$L1378)="","(未設定)",INDEX(ポート振替表!$O$5:$O$3507,$L1378)&amp;""))</f>
        <v/>
      </c>
      <c r="F1378" s="52" t="str">
        <f aca="false">IF(L1378="","",INDEX(ポート振替表!$K$5:$K$3507,$L1378)&amp;" "&amp;INDEX(ポート振替表!$L$5:$L$3507,$L1378)&amp;"  ⇔  "&amp;INDEX(ポート振替表!$H$5:$H$3507,$L1378)&amp;" "&amp;INDEX(ポート振替表!$I$5:$I$3507,$L1378))</f>
        <v/>
      </c>
      <c r="G1378" s="57" t="s">
        <v>158</v>
      </c>
      <c r="H1378" s="32" t="str">
        <f aca="false">IF(L1378="","",INDEX(ポート振替表!$N$5:$N$3507,$L1378)&amp;"")</f>
        <v/>
      </c>
      <c r="I1378" s="32" t="str">
        <f aca="false">IF(L1378="","",INDEX(ポート振替表!$P$5:$P$3507,$L1378)&amp;"")</f>
        <v/>
      </c>
      <c r="J1378" s="60" t="str">
        <f aca="false">IF(L1378="","",INDEX(ポート振替表!$M$5:$M$3507,$L1378)&amp;"")</f>
        <v/>
      </c>
      <c r="K1378" s="52" t="str">
        <f aca="false">IF(L1378="","",E1378&amp;CHAR(10)&amp;INDEX(ポート振替表!$K$5:$K$3507,$L1378)&amp;" "&amp;INDEX(ポート振替表!$L$5:$L$3507,$L1378)&amp;CHAR(10)&amp;"⇔ "&amp;INDEX(ポート振替表!$H$5:$H$3507,$L1378)&amp;" "&amp;INDEX(ポート振替表!$I$5:$I$3507,$L1378))</f>
        <v/>
      </c>
      <c r="L1378" s="47" t="str">
        <f aca="false">IFERROR(MATCH(ROW()-4,ポート振替表!$V$5:$V$3507,0),"")</f>
        <v/>
      </c>
    </row>
    <row r="1379" customFormat="false" ht="16.4" hidden="false" customHeight="false" outlineLevel="0" collapsed="false">
      <c r="A1379" s="32" t="str">
        <f aca="false">IF(L1379="","",ROW()-4)</f>
        <v/>
      </c>
      <c r="B1379" s="58" t="str">
        <f aca="false">IF(L1379="","",IF(INDEX(ポート振替表!$W$5:$W$3507,$L1379)="","(なし)",INDEX(ポート振替表!$W$5:$W$3507,$L1379)&amp;""))</f>
        <v/>
      </c>
      <c r="C1379" s="52" t="str">
        <f aca="false">IF(L1379="","",INDEX(ポート振替表!$B$5:$B$3507,$L1379)&amp;" "&amp;INDEX(ポート振替表!$C$5:$C$3507,$L1379)&amp;"  ⇔  "&amp;INDEX(ポート振替表!$H$5:$H$3507,$L1379)&amp;" "&amp;INDEX(ポート振替表!$I$5:$I$3507,$L1379))</f>
        <v/>
      </c>
      <c r="D1379" s="57" t="s">
        <v>158</v>
      </c>
      <c r="E1379" s="59" t="str">
        <f aca="false">IF(L1379="","",IF(INDEX(ポート振替表!$O$5:$O$3507,$L1379)="","(未設定)",INDEX(ポート振替表!$O$5:$O$3507,$L1379)&amp;""))</f>
        <v/>
      </c>
      <c r="F1379" s="52" t="str">
        <f aca="false">IF(L1379="","",INDEX(ポート振替表!$K$5:$K$3507,$L1379)&amp;" "&amp;INDEX(ポート振替表!$L$5:$L$3507,$L1379)&amp;"  ⇔  "&amp;INDEX(ポート振替表!$H$5:$H$3507,$L1379)&amp;" "&amp;INDEX(ポート振替表!$I$5:$I$3507,$L1379))</f>
        <v/>
      </c>
      <c r="G1379" s="57" t="s">
        <v>158</v>
      </c>
      <c r="H1379" s="32" t="str">
        <f aca="false">IF(L1379="","",INDEX(ポート振替表!$N$5:$N$3507,$L1379)&amp;"")</f>
        <v/>
      </c>
      <c r="I1379" s="32" t="str">
        <f aca="false">IF(L1379="","",INDEX(ポート振替表!$P$5:$P$3507,$L1379)&amp;"")</f>
        <v/>
      </c>
      <c r="J1379" s="60" t="str">
        <f aca="false">IF(L1379="","",INDEX(ポート振替表!$M$5:$M$3507,$L1379)&amp;"")</f>
        <v/>
      </c>
      <c r="K1379" s="52" t="str">
        <f aca="false">IF(L1379="","",E1379&amp;CHAR(10)&amp;INDEX(ポート振替表!$K$5:$K$3507,$L1379)&amp;" "&amp;INDEX(ポート振替表!$L$5:$L$3507,$L1379)&amp;CHAR(10)&amp;"⇔ "&amp;INDEX(ポート振替表!$H$5:$H$3507,$L1379)&amp;" "&amp;INDEX(ポート振替表!$I$5:$I$3507,$L1379))</f>
        <v/>
      </c>
      <c r="L1379" s="47" t="str">
        <f aca="false">IFERROR(MATCH(ROW()-4,ポート振替表!$V$5:$V$3507,0),"")</f>
        <v/>
      </c>
    </row>
    <row r="1380" customFormat="false" ht="16.4" hidden="false" customHeight="false" outlineLevel="0" collapsed="false">
      <c r="A1380" s="32" t="str">
        <f aca="false">IF(L1380="","",ROW()-4)</f>
        <v/>
      </c>
      <c r="B1380" s="58" t="str">
        <f aca="false">IF(L1380="","",IF(INDEX(ポート振替表!$W$5:$W$3507,$L1380)="","(なし)",INDEX(ポート振替表!$W$5:$W$3507,$L1380)&amp;""))</f>
        <v/>
      </c>
      <c r="C1380" s="52" t="str">
        <f aca="false">IF(L1380="","",INDEX(ポート振替表!$B$5:$B$3507,$L1380)&amp;" "&amp;INDEX(ポート振替表!$C$5:$C$3507,$L1380)&amp;"  ⇔  "&amp;INDEX(ポート振替表!$H$5:$H$3507,$L1380)&amp;" "&amp;INDEX(ポート振替表!$I$5:$I$3507,$L1380))</f>
        <v/>
      </c>
      <c r="D1380" s="57" t="s">
        <v>158</v>
      </c>
      <c r="E1380" s="59" t="str">
        <f aca="false">IF(L1380="","",IF(INDEX(ポート振替表!$O$5:$O$3507,$L1380)="","(未設定)",INDEX(ポート振替表!$O$5:$O$3507,$L1380)&amp;""))</f>
        <v/>
      </c>
      <c r="F1380" s="52" t="str">
        <f aca="false">IF(L1380="","",INDEX(ポート振替表!$K$5:$K$3507,$L1380)&amp;" "&amp;INDEX(ポート振替表!$L$5:$L$3507,$L1380)&amp;"  ⇔  "&amp;INDEX(ポート振替表!$H$5:$H$3507,$L1380)&amp;" "&amp;INDEX(ポート振替表!$I$5:$I$3507,$L1380))</f>
        <v/>
      </c>
      <c r="G1380" s="57" t="s">
        <v>158</v>
      </c>
      <c r="H1380" s="32" t="str">
        <f aca="false">IF(L1380="","",INDEX(ポート振替表!$N$5:$N$3507,$L1380)&amp;"")</f>
        <v/>
      </c>
      <c r="I1380" s="32" t="str">
        <f aca="false">IF(L1380="","",INDEX(ポート振替表!$P$5:$P$3507,$L1380)&amp;"")</f>
        <v/>
      </c>
      <c r="J1380" s="60" t="str">
        <f aca="false">IF(L1380="","",INDEX(ポート振替表!$M$5:$M$3507,$L1380)&amp;"")</f>
        <v/>
      </c>
      <c r="K1380" s="52" t="str">
        <f aca="false">IF(L1380="","",E1380&amp;CHAR(10)&amp;INDEX(ポート振替表!$K$5:$K$3507,$L1380)&amp;" "&amp;INDEX(ポート振替表!$L$5:$L$3507,$L1380)&amp;CHAR(10)&amp;"⇔ "&amp;INDEX(ポート振替表!$H$5:$H$3507,$L1380)&amp;" "&amp;INDEX(ポート振替表!$I$5:$I$3507,$L1380))</f>
        <v/>
      </c>
      <c r="L1380" s="47" t="str">
        <f aca="false">IFERROR(MATCH(ROW()-4,ポート振替表!$V$5:$V$3507,0),"")</f>
        <v/>
      </c>
    </row>
    <row r="1381" customFormat="false" ht="16.4" hidden="false" customHeight="false" outlineLevel="0" collapsed="false">
      <c r="A1381" s="32" t="str">
        <f aca="false">IF(L1381="","",ROW()-4)</f>
        <v/>
      </c>
      <c r="B1381" s="58" t="str">
        <f aca="false">IF(L1381="","",IF(INDEX(ポート振替表!$W$5:$W$3507,$L1381)="","(なし)",INDEX(ポート振替表!$W$5:$W$3507,$L1381)&amp;""))</f>
        <v/>
      </c>
      <c r="C1381" s="52" t="str">
        <f aca="false">IF(L1381="","",INDEX(ポート振替表!$B$5:$B$3507,$L1381)&amp;" "&amp;INDEX(ポート振替表!$C$5:$C$3507,$L1381)&amp;"  ⇔  "&amp;INDEX(ポート振替表!$H$5:$H$3507,$L1381)&amp;" "&amp;INDEX(ポート振替表!$I$5:$I$3507,$L1381))</f>
        <v/>
      </c>
      <c r="D1381" s="57" t="s">
        <v>158</v>
      </c>
      <c r="E1381" s="59" t="str">
        <f aca="false">IF(L1381="","",IF(INDEX(ポート振替表!$O$5:$O$3507,$L1381)="","(未設定)",INDEX(ポート振替表!$O$5:$O$3507,$L1381)&amp;""))</f>
        <v/>
      </c>
      <c r="F1381" s="52" t="str">
        <f aca="false">IF(L1381="","",INDEX(ポート振替表!$K$5:$K$3507,$L1381)&amp;" "&amp;INDEX(ポート振替表!$L$5:$L$3507,$L1381)&amp;"  ⇔  "&amp;INDEX(ポート振替表!$H$5:$H$3507,$L1381)&amp;" "&amp;INDEX(ポート振替表!$I$5:$I$3507,$L1381))</f>
        <v/>
      </c>
      <c r="G1381" s="57" t="s">
        <v>158</v>
      </c>
      <c r="H1381" s="32" t="str">
        <f aca="false">IF(L1381="","",INDEX(ポート振替表!$N$5:$N$3507,$L1381)&amp;"")</f>
        <v/>
      </c>
      <c r="I1381" s="32" t="str">
        <f aca="false">IF(L1381="","",INDEX(ポート振替表!$P$5:$P$3507,$L1381)&amp;"")</f>
        <v/>
      </c>
      <c r="J1381" s="60" t="str">
        <f aca="false">IF(L1381="","",INDEX(ポート振替表!$M$5:$M$3507,$L1381)&amp;"")</f>
        <v/>
      </c>
      <c r="K1381" s="52" t="str">
        <f aca="false">IF(L1381="","",E1381&amp;CHAR(10)&amp;INDEX(ポート振替表!$K$5:$K$3507,$L1381)&amp;" "&amp;INDEX(ポート振替表!$L$5:$L$3507,$L1381)&amp;CHAR(10)&amp;"⇔ "&amp;INDEX(ポート振替表!$H$5:$H$3507,$L1381)&amp;" "&amp;INDEX(ポート振替表!$I$5:$I$3507,$L1381))</f>
        <v/>
      </c>
      <c r="L1381" s="47" t="str">
        <f aca="false">IFERROR(MATCH(ROW()-4,ポート振替表!$V$5:$V$3507,0),"")</f>
        <v/>
      </c>
    </row>
    <row r="1382" customFormat="false" ht="16.4" hidden="false" customHeight="false" outlineLevel="0" collapsed="false">
      <c r="A1382" s="32" t="str">
        <f aca="false">IF(L1382="","",ROW()-4)</f>
        <v/>
      </c>
      <c r="B1382" s="58" t="str">
        <f aca="false">IF(L1382="","",IF(INDEX(ポート振替表!$W$5:$W$3507,$L1382)="","(なし)",INDEX(ポート振替表!$W$5:$W$3507,$L1382)&amp;""))</f>
        <v/>
      </c>
      <c r="C1382" s="52" t="str">
        <f aca="false">IF(L1382="","",INDEX(ポート振替表!$B$5:$B$3507,$L1382)&amp;" "&amp;INDEX(ポート振替表!$C$5:$C$3507,$L1382)&amp;"  ⇔  "&amp;INDEX(ポート振替表!$H$5:$H$3507,$L1382)&amp;" "&amp;INDEX(ポート振替表!$I$5:$I$3507,$L1382))</f>
        <v/>
      </c>
      <c r="D1382" s="57" t="s">
        <v>158</v>
      </c>
      <c r="E1382" s="59" t="str">
        <f aca="false">IF(L1382="","",IF(INDEX(ポート振替表!$O$5:$O$3507,$L1382)="","(未設定)",INDEX(ポート振替表!$O$5:$O$3507,$L1382)&amp;""))</f>
        <v/>
      </c>
      <c r="F1382" s="52" t="str">
        <f aca="false">IF(L1382="","",INDEX(ポート振替表!$K$5:$K$3507,$L1382)&amp;" "&amp;INDEX(ポート振替表!$L$5:$L$3507,$L1382)&amp;"  ⇔  "&amp;INDEX(ポート振替表!$H$5:$H$3507,$L1382)&amp;" "&amp;INDEX(ポート振替表!$I$5:$I$3507,$L1382))</f>
        <v/>
      </c>
      <c r="G1382" s="57" t="s">
        <v>158</v>
      </c>
      <c r="H1382" s="32" t="str">
        <f aca="false">IF(L1382="","",INDEX(ポート振替表!$N$5:$N$3507,$L1382)&amp;"")</f>
        <v/>
      </c>
      <c r="I1382" s="32" t="str">
        <f aca="false">IF(L1382="","",INDEX(ポート振替表!$P$5:$P$3507,$L1382)&amp;"")</f>
        <v/>
      </c>
      <c r="J1382" s="60" t="str">
        <f aca="false">IF(L1382="","",INDEX(ポート振替表!$M$5:$M$3507,$L1382)&amp;"")</f>
        <v/>
      </c>
      <c r="K1382" s="52" t="str">
        <f aca="false">IF(L1382="","",E1382&amp;CHAR(10)&amp;INDEX(ポート振替表!$K$5:$K$3507,$L1382)&amp;" "&amp;INDEX(ポート振替表!$L$5:$L$3507,$L1382)&amp;CHAR(10)&amp;"⇔ "&amp;INDEX(ポート振替表!$H$5:$H$3507,$L1382)&amp;" "&amp;INDEX(ポート振替表!$I$5:$I$3507,$L1382))</f>
        <v/>
      </c>
      <c r="L1382" s="47" t="str">
        <f aca="false">IFERROR(MATCH(ROW()-4,ポート振替表!$V$5:$V$3507,0),"")</f>
        <v/>
      </c>
    </row>
    <row r="1383" customFormat="false" ht="16.4" hidden="false" customHeight="false" outlineLevel="0" collapsed="false">
      <c r="A1383" s="32" t="str">
        <f aca="false">IF(L1383="","",ROW()-4)</f>
        <v/>
      </c>
      <c r="B1383" s="58" t="str">
        <f aca="false">IF(L1383="","",IF(INDEX(ポート振替表!$W$5:$W$3507,$L1383)="","(なし)",INDEX(ポート振替表!$W$5:$W$3507,$L1383)&amp;""))</f>
        <v/>
      </c>
      <c r="C1383" s="52" t="str">
        <f aca="false">IF(L1383="","",INDEX(ポート振替表!$B$5:$B$3507,$L1383)&amp;" "&amp;INDEX(ポート振替表!$C$5:$C$3507,$L1383)&amp;"  ⇔  "&amp;INDEX(ポート振替表!$H$5:$H$3507,$L1383)&amp;" "&amp;INDEX(ポート振替表!$I$5:$I$3507,$L1383))</f>
        <v/>
      </c>
      <c r="D1383" s="57" t="s">
        <v>158</v>
      </c>
      <c r="E1383" s="59" t="str">
        <f aca="false">IF(L1383="","",IF(INDEX(ポート振替表!$O$5:$O$3507,$L1383)="","(未設定)",INDEX(ポート振替表!$O$5:$O$3507,$L1383)&amp;""))</f>
        <v/>
      </c>
      <c r="F1383" s="52" t="str">
        <f aca="false">IF(L1383="","",INDEX(ポート振替表!$K$5:$K$3507,$L1383)&amp;" "&amp;INDEX(ポート振替表!$L$5:$L$3507,$L1383)&amp;"  ⇔  "&amp;INDEX(ポート振替表!$H$5:$H$3507,$L1383)&amp;" "&amp;INDEX(ポート振替表!$I$5:$I$3507,$L1383))</f>
        <v/>
      </c>
      <c r="G1383" s="57" t="s">
        <v>158</v>
      </c>
      <c r="H1383" s="32" t="str">
        <f aca="false">IF(L1383="","",INDEX(ポート振替表!$N$5:$N$3507,$L1383)&amp;"")</f>
        <v/>
      </c>
      <c r="I1383" s="32" t="str">
        <f aca="false">IF(L1383="","",INDEX(ポート振替表!$P$5:$P$3507,$L1383)&amp;"")</f>
        <v/>
      </c>
      <c r="J1383" s="60" t="str">
        <f aca="false">IF(L1383="","",INDEX(ポート振替表!$M$5:$M$3507,$L1383)&amp;"")</f>
        <v/>
      </c>
      <c r="K1383" s="52" t="str">
        <f aca="false">IF(L1383="","",E1383&amp;CHAR(10)&amp;INDEX(ポート振替表!$K$5:$K$3507,$L1383)&amp;" "&amp;INDEX(ポート振替表!$L$5:$L$3507,$L1383)&amp;CHAR(10)&amp;"⇔ "&amp;INDEX(ポート振替表!$H$5:$H$3507,$L1383)&amp;" "&amp;INDEX(ポート振替表!$I$5:$I$3507,$L1383))</f>
        <v/>
      </c>
      <c r="L1383" s="47" t="str">
        <f aca="false">IFERROR(MATCH(ROW()-4,ポート振替表!$V$5:$V$3507,0),"")</f>
        <v/>
      </c>
    </row>
    <row r="1384" customFormat="false" ht="16.4" hidden="false" customHeight="false" outlineLevel="0" collapsed="false">
      <c r="A1384" s="32" t="str">
        <f aca="false">IF(L1384="","",ROW()-4)</f>
        <v/>
      </c>
      <c r="B1384" s="58" t="str">
        <f aca="false">IF(L1384="","",IF(INDEX(ポート振替表!$W$5:$W$3507,$L1384)="","(なし)",INDEX(ポート振替表!$W$5:$W$3507,$L1384)&amp;""))</f>
        <v/>
      </c>
      <c r="C1384" s="52" t="str">
        <f aca="false">IF(L1384="","",INDEX(ポート振替表!$B$5:$B$3507,$L1384)&amp;" "&amp;INDEX(ポート振替表!$C$5:$C$3507,$L1384)&amp;"  ⇔  "&amp;INDEX(ポート振替表!$H$5:$H$3507,$L1384)&amp;" "&amp;INDEX(ポート振替表!$I$5:$I$3507,$L1384))</f>
        <v/>
      </c>
      <c r="D1384" s="57" t="s">
        <v>158</v>
      </c>
      <c r="E1384" s="59" t="str">
        <f aca="false">IF(L1384="","",IF(INDEX(ポート振替表!$O$5:$O$3507,$L1384)="","(未設定)",INDEX(ポート振替表!$O$5:$O$3507,$L1384)&amp;""))</f>
        <v/>
      </c>
      <c r="F1384" s="52" t="str">
        <f aca="false">IF(L1384="","",INDEX(ポート振替表!$K$5:$K$3507,$L1384)&amp;" "&amp;INDEX(ポート振替表!$L$5:$L$3507,$L1384)&amp;"  ⇔  "&amp;INDEX(ポート振替表!$H$5:$H$3507,$L1384)&amp;" "&amp;INDEX(ポート振替表!$I$5:$I$3507,$L1384))</f>
        <v/>
      </c>
      <c r="G1384" s="57" t="s">
        <v>158</v>
      </c>
      <c r="H1384" s="32" t="str">
        <f aca="false">IF(L1384="","",INDEX(ポート振替表!$N$5:$N$3507,$L1384)&amp;"")</f>
        <v/>
      </c>
      <c r="I1384" s="32" t="str">
        <f aca="false">IF(L1384="","",INDEX(ポート振替表!$P$5:$P$3507,$L1384)&amp;"")</f>
        <v/>
      </c>
      <c r="J1384" s="60" t="str">
        <f aca="false">IF(L1384="","",INDEX(ポート振替表!$M$5:$M$3507,$L1384)&amp;"")</f>
        <v/>
      </c>
      <c r="K1384" s="52" t="str">
        <f aca="false">IF(L1384="","",E1384&amp;CHAR(10)&amp;INDEX(ポート振替表!$K$5:$K$3507,$L1384)&amp;" "&amp;INDEX(ポート振替表!$L$5:$L$3507,$L1384)&amp;CHAR(10)&amp;"⇔ "&amp;INDEX(ポート振替表!$H$5:$H$3507,$L1384)&amp;" "&amp;INDEX(ポート振替表!$I$5:$I$3507,$L1384))</f>
        <v/>
      </c>
      <c r="L1384" s="47" t="str">
        <f aca="false">IFERROR(MATCH(ROW()-4,ポート振替表!$V$5:$V$3507,0),"")</f>
        <v/>
      </c>
    </row>
    <row r="1385" customFormat="false" ht="16.4" hidden="false" customHeight="false" outlineLevel="0" collapsed="false">
      <c r="A1385" s="32" t="str">
        <f aca="false">IF(L1385="","",ROW()-4)</f>
        <v/>
      </c>
      <c r="B1385" s="58" t="str">
        <f aca="false">IF(L1385="","",IF(INDEX(ポート振替表!$W$5:$W$3507,$L1385)="","(なし)",INDEX(ポート振替表!$W$5:$W$3507,$L1385)&amp;""))</f>
        <v/>
      </c>
      <c r="C1385" s="52" t="str">
        <f aca="false">IF(L1385="","",INDEX(ポート振替表!$B$5:$B$3507,$L1385)&amp;" "&amp;INDEX(ポート振替表!$C$5:$C$3507,$L1385)&amp;"  ⇔  "&amp;INDEX(ポート振替表!$H$5:$H$3507,$L1385)&amp;" "&amp;INDEX(ポート振替表!$I$5:$I$3507,$L1385))</f>
        <v/>
      </c>
      <c r="D1385" s="57" t="s">
        <v>158</v>
      </c>
      <c r="E1385" s="59" t="str">
        <f aca="false">IF(L1385="","",IF(INDEX(ポート振替表!$O$5:$O$3507,$L1385)="","(未設定)",INDEX(ポート振替表!$O$5:$O$3507,$L1385)&amp;""))</f>
        <v/>
      </c>
      <c r="F1385" s="52" t="str">
        <f aca="false">IF(L1385="","",INDEX(ポート振替表!$K$5:$K$3507,$L1385)&amp;" "&amp;INDEX(ポート振替表!$L$5:$L$3507,$L1385)&amp;"  ⇔  "&amp;INDEX(ポート振替表!$H$5:$H$3507,$L1385)&amp;" "&amp;INDEX(ポート振替表!$I$5:$I$3507,$L1385))</f>
        <v/>
      </c>
      <c r="G1385" s="57" t="s">
        <v>158</v>
      </c>
      <c r="H1385" s="32" t="str">
        <f aca="false">IF(L1385="","",INDEX(ポート振替表!$N$5:$N$3507,$L1385)&amp;"")</f>
        <v/>
      </c>
      <c r="I1385" s="32" t="str">
        <f aca="false">IF(L1385="","",INDEX(ポート振替表!$P$5:$P$3507,$L1385)&amp;"")</f>
        <v/>
      </c>
      <c r="J1385" s="60" t="str">
        <f aca="false">IF(L1385="","",INDEX(ポート振替表!$M$5:$M$3507,$L1385)&amp;"")</f>
        <v/>
      </c>
      <c r="K1385" s="52" t="str">
        <f aca="false">IF(L1385="","",E1385&amp;CHAR(10)&amp;INDEX(ポート振替表!$K$5:$K$3507,$L1385)&amp;" "&amp;INDEX(ポート振替表!$L$5:$L$3507,$L1385)&amp;CHAR(10)&amp;"⇔ "&amp;INDEX(ポート振替表!$H$5:$H$3507,$L1385)&amp;" "&amp;INDEX(ポート振替表!$I$5:$I$3507,$L1385))</f>
        <v/>
      </c>
      <c r="L1385" s="47" t="str">
        <f aca="false">IFERROR(MATCH(ROW()-4,ポート振替表!$V$5:$V$3507,0),"")</f>
        <v/>
      </c>
    </row>
    <row r="1386" customFormat="false" ht="16.4" hidden="false" customHeight="false" outlineLevel="0" collapsed="false">
      <c r="A1386" s="32" t="str">
        <f aca="false">IF(L1386="","",ROW()-4)</f>
        <v/>
      </c>
      <c r="B1386" s="58" t="str">
        <f aca="false">IF(L1386="","",IF(INDEX(ポート振替表!$W$5:$W$3507,$L1386)="","(なし)",INDEX(ポート振替表!$W$5:$W$3507,$L1386)&amp;""))</f>
        <v/>
      </c>
      <c r="C1386" s="52" t="str">
        <f aca="false">IF(L1386="","",INDEX(ポート振替表!$B$5:$B$3507,$L1386)&amp;" "&amp;INDEX(ポート振替表!$C$5:$C$3507,$L1386)&amp;"  ⇔  "&amp;INDEX(ポート振替表!$H$5:$H$3507,$L1386)&amp;" "&amp;INDEX(ポート振替表!$I$5:$I$3507,$L1386))</f>
        <v/>
      </c>
      <c r="D1386" s="57" t="s">
        <v>158</v>
      </c>
      <c r="E1386" s="59" t="str">
        <f aca="false">IF(L1386="","",IF(INDEX(ポート振替表!$O$5:$O$3507,$L1386)="","(未設定)",INDEX(ポート振替表!$O$5:$O$3507,$L1386)&amp;""))</f>
        <v/>
      </c>
      <c r="F1386" s="52" t="str">
        <f aca="false">IF(L1386="","",INDEX(ポート振替表!$K$5:$K$3507,$L1386)&amp;" "&amp;INDEX(ポート振替表!$L$5:$L$3507,$L1386)&amp;"  ⇔  "&amp;INDEX(ポート振替表!$H$5:$H$3507,$L1386)&amp;" "&amp;INDEX(ポート振替表!$I$5:$I$3507,$L1386))</f>
        <v/>
      </c>
      <c r="G1386" s="57" t="s">
        <v>158</v>
      </c>
      <c r="H1386" s="32" t="str">
        <f aca="false">IF(L1386="","",INDEX(ポート振替表!$N$5:$N$3507,$L1386)&amp;"")</f>
        <v/>
      </c>
      <c r="I1386" s="32" t="str">
        <f aca="false">IF(L1386="","",INDEX(ポート振替表!$P$5:$P$3507,$L1386)&amp;"")</f>
        <v/>
      </c>
      <c r="J1386" s="60" t="str">
        <f aca="false">IF(L1386="","",INDEX(ポート振替表!$M$5:$M$3507,$L1386)&amp;"")</f>
        <v/>
      </c>
      <c r="K1386" s="52" t="str">
        <f aca="false">IF(L1386="","",E1386&amp;CHAR(10)&amp;INDEX(ポート振替表!$K$5:$K$3507,$L1386)&amp;" "&amp;INDEX(ポート振替表!$L$5:$L$3507,$L1386)&amp;CHAR(10)&amp;"⇔ "&amp;INDEX(ポート振替表!$H$5:$H$3507,$L1386)&amp;" "&amp;INDEX(ポート振替表!$I$5:$I$3507,$L1386))</f>
        <v/>
      </c>
      <c r="L1386" s="47" t="str">
        <f aca="false">IFERROR(MATCH(ROW()-4,ポート振替表!$V$5:$V$3507,0),"")</f>
        <v/>
      </c>
    </row>
    <row r="1387" customFormat="false" ht="16.4" hidden="false" customHeight="false" outlineLevel="0" collapsed="false">
      <c r="A1387" s="32" t="str">
        <f aca="false">IF(L1387="","",ROW()-4)</f>
        <v/>
      </c>
      <c r="B1387" s="58" t="str">
        <f aca="false">IF(L1387="","",IF(INDEX(ポート振替表!$W$5:$W$3507,$L1387)="","(なし)",INDEX(ポート振替表!$W$5:$W$3507,$L1387)&amp;""))</f>
        <v/>
      </c>
      <c r="C1387" s="52" t="str">
        <f aca="false">IF(L1387="","",INDEX(ポート振替表!$B$5:$B$3507,$L1387)&amp;" "&amp;INDEX(ポート振替表!$C$5:$C$3507,$L1387)&amp;"  ⇔  "&amp;INDEX(ポート振替表!$H$5:$H$3507,$L1387)&amp;" "&amp;INDEX(ポート振替表!$I$5:$I$3507,$L1387))</f>
        <v/>
      </c>
      <c r="D1387" s="57" t="s">
        <v>158</v>
      </c>
      <c r="E1387" s="59" t="str">
        <f aca="false">IF(L1387="","",IF(INDEX(ポート振替表!$O$5:$O$3507,$L1387)="","(未設定)",INDEX(ポート振替表!$O$5:$O$3507,$L1387)&amp;""))</f>
        <v/>
      </c>
      <c r="F1387" s="52" t="str">
        <f aca="false">IF(L1387="","",INDEX(ポート振替表!$K$5:$K$3507,$L1387)&amp;" "&amp;INDEX(ポート振替表!$L$5:$L$3507,$L1387)&amp;"  ⇔  "&amp;INDEX(ポート振替表!$H$5:$H$3507,$L1387)&amp;" "&amp;INDEX(ポート振替表!$I$5:$I$3507,$L1387))</f>
        <v/>
      </c>
      <c r="G1387" s="57" t="s">
        <v>158</v>
      </c>
      <c r="H1387" s="32" t="str">
        <f aca="false">IF(L1387="","",INDEX(ポート振替表!$N$5:$N$3507,$L1387)&amp;"")</f>
        <v/>
      </c>
      <c r="I1387" s="32" t="str">
        <f aca="false">IF(L1387="","",INDEX(ポート振替表!$P$5:$P$3507,$L1387)&amp;"")</f>
        <v/>
      </c>
      <c r="J1387" s="60" t="str">
        <f aca="false">IF(L1387="","",INDEX(ポート振替表!$M$5:$M$3507,$L1387)&amp;"")</f>
        <v/>
      </c>
      <c r="K1387" s="52" t="str">
        <f aca="false">IF(L1387="","",E1387&amp;CHAR(10)&amp;INDEX(ポート振替表!$K$5:$K$3507,$L1387)&amp;" "&amp;INDEX(ポート振替表!$L$5:$L$3507,$L1387)&amp;CHAR(10)&amp;"⇔ "&amp;INDEX(ポート振替表!$H$5:$H$3507,$L1387)&amp;" "&amp;INDEX(ポート振替表!$I$5:$I$3507,$L1387))</f>
        <v/>
      </c>
      <c r="L1387" s="47" t="str">
        <f aca="false">IFERROR(MATCH(ROW()-4,ポート振替表!$V$5:$V$3507,0),"")</f>
        <v/>
      </c>
    </row>
    <row r="1388" customFormat="false" ht="16.4" hidden="false" customHeight="false" outlineLevel="0" collapsed="false">
      <c r="A1388" s="32" t="str">
        <f aca="false">IF(L1388="","",ROW()-4)</f>
        <v/>
      </c>
      <c r="B1388" s="58" t="str">
        <f aca="false">IF(L1388="","",IF(INDEX(ポート振替表!$W$5:$W$3507,$L1388)="","(なし)",INDEX(ポート振替表!$W$5:$W$3507,$L1388)&amp;""))</f>
        <v/>
      </c>
      <c r="C1388" s="52" t="str">
        <f aca="false">IF(L1388="","",INDEX(ポート振替表!$B$5:$B$3507,$L1388)&amp;" "&amp;INDEX(ポート振替表!$C$5:$C$3507,$L1388)&amp;"  ⇔  "&amp;INDEX(ポート振替表!$H$5:$H$3507,$L1388)&amp;" "&amp;INDEX(ポート振替表!$I$5:$I$3507,$L1388))</f>
        <v/>
      </c>
      <c r="D1388" s="57" t="s">
        <v>158</v>
      </c>
      <c r="E1388" s="59" t="str">
        <f aca="false">IF(L1388="","",IF(INDEX(ポート振替表!$O$5:$O$3507,$L1388)="","(未設定)",INDEX(ポート振替表!$O$5:$O$3507,$L1388)&amp;""))</f>
        <v/>
      </c>
      <c r="F1388" s="52" t="str">
        <f aca="false">IF(L1388="","",INDEX(ポート振替表!$K$5:$K$3507,$L1388)&amp;" "&amp;INDEX(ポート振替表!$L$5:$L$3507,$L1388)&amp;"  ⇔  "&amp;INDEX(ポート振替表!$H$5:$H$3507,$L1388)&amp;" "&amp;INDEX(ポート振替表!$I$5:$I$3507,$L1388))</f>
        <v/>
      </c>
      <c r="G1388" s="57" t="s">
        <v>158</v>
      </c>
      <c r="H1388" s="32" t="str">
        <f aca="false">IF(L1388="","",INDEX(ポート振替表!$N$5:$N$3507,$L1388)&amp;"")</f>
        <v/>
      </c>
      <c r="I1388" s="32" t="str">
        <f aca="false">IF(L1388="","",INDEX(ポート振替表!$P$5:$P$3507,$L1388)&amp;"")</f>
        <v/>
      </c>
      <c r="J1388" s="60" t="str">
        <f aca="false">IF(L1388="","",INDEX(ポート振替表!$M$5:$M$3507,$L1388)&amp;"")</f>
        <v/>
      </c>
      <c r="K1388" s="52" t="str">
        <f aca="false">IF(L1388="","",E1388&amp;CHAR(10)&amp;INDEX(ポート振替表!$K$5:$K$3507,$L1388)&amp;" "&amp;INDEX(ポート振替表!$L$5:$L$3507,$L1388)&amp;CHAR(10)&amp;"⇔ "&amp;INDEX(ポート振替表!$H$5:$H$3507,$L1388)&amp;" "&amp;INDEX(ポート振替表!$I$5:$I$3507,$L1388))</f>
        <v/>
      </c>
      <c r="L1388" s="47" t="str">
        <f aca="false">IFERROR(MATCH(ROW()-4,ポート振替表!$V$5:$V$3507,0),"")</f>
        <v/>
      </c>
    </row>
    <row r="1389" customFormat="false" ht="16.4" hidden="false" customHeight="false" outlineLevel="0" collapsed="false">
      <c r="A1389" s="32" t="str">
        <f aca="false">IF(L1389="","",ROW()-4)</f>
        <v/>
      </c>
      <c r="B1389" s="58" t="str">
        <f aca="false">IF(L1389="","",IF(INDEX(ポート振替表!$W$5:$W$3507,$L1389)="","(なし)",INDEX(ポート振替表!$W$5:$W$3507,$L1389)&amp;""))</f>
        <v/>
      </c>
      <c r="C1389" s="52" t="str">
        <f aca="false">IF(L1389="","",INDEX(ポート振替表!$B$5:$B$3507,$L1389)&amp;" "&amp;INDEX(ポート振替表!$C$5:$C$3507,$L1389)&amp;"  ⇔  "&amp;INDEX(ポート振替表!$H$5:$H$3507,$L1389)&amp;" "&amp;INDEX(ポート振替表!$I$5:$I$3507,$L1389))</f>
        <v/>
      </c>
      <c r="D1389" s="57" t="s">
        <v>158</v>
      </c>
      <c r="E1389" s="59" t="str">
        <f aca="false">IF(L1389="","",IF(INDEX(ポート振替表!$O$5:$O$3507,$L1389)="","(未設定)",INDEX(ポート振替表!$O$5:$O$3507,$L1389)&amp;""))</f>
        <v/>
      </c>
      <c r="F1389" s="52" t="str">
        <f aca="false">IF(L1389="","",INDEX(ポート振替表!$K$5:$K$3507,$L1389)&amp;" "&amp;INDEX(ポート振替表!$L$5:$L$3507,$L1389)&amp;"  ⇔  "&amp;INDEX(ポート振替表!$H$5:$H$3507,$L1389)&amp;" "&amp;INDEX(ポート振替表!$I$5:$I$3507,$L1389))</f>
        <v/>
      </c>
      <c r="G1389" s="57" t="s">
        <v>158</v>
      </c>
      <c r="H1389" s="32" t="str">
        <f aca="false">IF(L1389="","",INDEX(ポート振替表!$N$5:$N$3507,$L1389)&amp;"")</f>
        <v/>
      </c>
      <c r="I1389" s="32" t="str">
        <f aca="false">IF(L1389="","",INDEX(ポート振替表!$P$5:$P$3507,$L1389)&amp;"")</f>
        <v/>
      </c>
      <c r="J1389" s="60" t="str">
        <f aca="false">IF(L1389="","",INDEX(ポート振替表!$M$5:$M$3507,$L1389)&amp;"")</f>
        <v/>
      </c>
      <c r="K1389" s="52" t="str">
        <f aca="false">IF(L1389="","",E1389&amp;CHAR(10)&amp;INDEX(ポート振替表!$K$5:$K$3507,$L1389)&amp;" "&amp;INDEX(ポート振替表!$L$5:$L$3507,$L1389)&amp;CHAR(10)&amp;"⇔ "&amp;INDEX(ポート振替表!$H$5:$H$3507,$L1389)&amp;" "&amp;INDEX(ポート振替表!$I$5:$I$3507,$L1389))</f>
        <v/>
      </c>
      <c r="L1389" s="47" t="str">
        <f aca="false">IFERROR(MATCH(ROW()-4,ポート振替表!$V$5:$V$3507,0),"")</f>
        <v/>
      </c>
    </row>
    <row r="1390" customFormat="false" ht="16.4" hidden="false" customHeight="false" outlineLevel="0" collapsed="false">
      <c r="A1390" s="32" t="str">
        <f aca="false">IF(L1390="","",ROW()-4)</f>
        <v/>
      </c>
      <c r="B1390" s="58" t="str">
        <f aca="false">IF(L1390="","",IF(INDEX(ポート振替表!$W$5:$W$3507,$L1390)="","(なし)",INDEX(ポート振替表!$W$5:$W$3507,$L1390)&amp;""))</f>
        <v/>
      </c>
      <c r="C1390" s="52" t="str">
        <f aca="false">IF(L1390="","",INDEX(ポート振替表!$B$5:$B$3507,$L1390)&amp;" "&amp;INDEX(ポート振替表!$C$5:$C$3507,$L1390)&amp;"  ⇔  "&amp;INDEX(ポート振替表!$H$5:$H$3507,$L1390)&amp;" "&amp;INDEX(ポート振替表!$I$5:$I$3507,$L1390))</f>
        <v/>
      </c>
      <c r="D1390" s="57" t="s">
        <v>158</v>
      </c>
      <c r="E1390" s="59" t="str">
        <f aca="false">IF(L1390="","",IF(INDEX(ポート振替表!$O$5:$O$3507,$L1390)="","(未設定)",INDEX(ポート振替表!$O$5:$O$3507,$L1390)&amp;""))</f>
        <v/>
      </c>
      <c r="F1390" s="52" t="str">
        <f aca="false">IF(L1390="","",INDEX(ポート振替表!$K$5:$K$3507,$L1390)&amp;" "&amp;INDEX(ポート振替表!$L$5:$L$3507,$L1390)&amp;"  ⇔  "&amp;INDEX(ポート振替表!$H$5:$H$3507,$L1390)&amp;" "&amp;INDEX(ポート振替表!$I$5:$I$3507,$L1390))</f>
        <v/>
      </c>
      <c r="G1390" s="57" t="s">
        <v>158</v>
      </c>
      <c r="H1390" s="32" t="str">
        <f aca="false">IF(L1390="","",INDEX(ポート振替表!$N$5:$N$3507,$L1390)&amp;"")</f>
        <v/>
      </c>
      <c r="I1390" s="32" t="str">
        <f aca="false">IF(L1390="","",INDEX(ポート振替表!$P$5:$P$3507,$L1390)&amp;"")</f>
        <v/>
      </c>
      <c r="J1390" s="60" t="str">
        <f aca="false">IF(L1390="","",INDEX(ポート振替表!$M$5:$M$3507,$L1390)&amp;"")</f>
        <v/>
      </c>
      <c r="K1390" s="52" t="str">
        <f aca="false">IF(L1390="","",E1390&amp;CHAR(10)&amp;INDEX(ポート振替表!$K$5:$K$3507,$L1390)&amp;" "&amp;INDEX(ポート振替表!$L$5:$L$3507,$L1390)&amp;CHAR(10)&amp;"⇔ "&amp;INDEX(ポート振替表!$H$5:$H$3507,$L1390)&amp;" "&amp;INDEX(ポート振替表!$I$5:$I$3507,$L1390))</f>
        <v/>
      </c>
      <c r="L1390" s="47" t="str">
        <f aca="false">IFERROR(MATCH(ROW()-4,ポート振替表!$V$5:$V$3507,0),"")</f>
        <v/>
      </c>
    </row>
    <row r="1391" customFormat="false" ht="16.4" hidden="false" customHeight="false" outlineLevel="0" collapsed="false">
      <c r="A1391" s="32" t="str">
        <f aca="false">IF(L1391="","",ROW()-4)</f>
        <v/>
      </c>
      <c r="B1391" s="58" t="str">
        <f aca="false">IF(L1391="","",IF(INDEX(ポート振替表!$W$5:$W$3507,$L1391)="","(なし)",INDEX(ポート振替表!$W$5:$W$3507,$L1391)&amp;""))</f>
        <v/>
      </c>
      <c r="C1391" s="52" t="str">
        <f aca="false">IF(L1391="","",INDEX(ポート振替表!$B$5:$B$3507,$L1391)&amp;" "&amp;INDEX(ポート振替表!$C$5:$C$3507,$L1391)&amp;"  ⇔  "&amp;INDEX(ポート振替表!$H$5:$H$3507,$L1391)&amp;" "&amp;INDEX(ポート振替表!$I$5:$I$3507,$L1391))</f>
        <v/>
      </c>
      <c r="D1391" s="57" t="s">
        <v>158</v>
      </c>
      <c r="E1391" s="59" t="str">
        <f aca="false">IF(L1391="","",IF(INDEX(ポート振替表!$O$5:$O$3507,$L1391)="","(未設定)",INDEX(ポート振替表!$O$5:$O$3507,$L1391)&amp;""))</f>
        <v/>
      </c>
      <c r="F1391" s="52" t="str">
        <f aca="false">IF(L1391="","",INDEX(ポート振替表!$K$5:$K$3507,$L1391)&amp;" "&amp;INDEX(ポート振替表!$L$5:$L$3507,$L1391)&amp;"  ⇔  "&amp;INDEX(ポート振替表!$H$5:$H$3507,$L1391)&amp;" "&amp;INDEX(ポート振替表!$I$5:$I$3507,$L1391))</f>
        <v/>
      </c>
      <c r="G1391" s="57" t="s">
        <v>158</v>
      </c>
      <c r="H1391" s="32" t="str">
        <f aca="false">IF(L1391="","",INDEX(ポート振替表!$N$5:$N$3507,$L1391)&amp;"")</f>
        <v/>
      </c>
      <c r="I1391" s="32" t="str">
        <f aca="false">IF(L1391="","",INDEX(ポート振替表!$P$5:$P$3507,$L1391)&amp;"")</f>
        <v/>
      </c>
      <c r="J1391" s="60" t="str">
        <f aca="false">IF(L1391="","",INDEX(ポート振替表!$M$5:$M$3507,$L1391)&amp;"")</f>
        <v/>
      </c>
      <c r="K1391" s="52" t="str">
        <f aca="false">IF(L1391="","",E1391&amp;CHAR(10)&amp;INDEX(ポート振替表!$K$5:$K$3507,$L1391)&amp;" "&amp;INDEX(ポート振替表!$L$5:$L$3507,$L1391)&amp;CHAR(10)&amp;"⇔ "&amp;INDEX(ポート振替表!$H$5:$H$3507,$L1391)&amp;" "&amp;INDEX(ポート振替表!$I$5:$I$3507,$L1391))</f>
        <v/>
      </c>
      <c r="L1391" s="47" t="str">
        <f aca="false">IFERROR(MATCH(ROW()-4,ポート振替表!$V$5:$V$3507,0),"")</f>
        <v/>
      </c>
    </row>
    <row r="1392" customFormat="false" ht="16.4" hidden="false" customHeight="false" outlineLevel="0" collapsed="false">
      <c r="A1392" s="32" t="str">
        <f aca="false">IF(L1392="","",ROW()-4)</f>
        <v/>
      </c>
      <c r="B1392" s="58" t="str">
        <f aca="false">IF(L1392="","",IF(INDEX(ポート振替表!$W$5:$W$3507,$L1392)="","(なし)",INDEX(ポート振替表!$W$5:$W$3507,$L1392)&amp;""))</f>
        <v/>
      </c>
      <c r="C1392" s="52" t="str">
        <f aca="false">IF(L1392="","",INDEX(ポート振替表!$B$5:$B$3507,$L1392)&amp;" "&amp;INDEX(ポート振替表!$C$5:$C$3507,$L1392)&amp;"  ⇔  "&amp;INDEX(ポート振替表!$H$5:$H$3507,$L1392)&amp;" "&amp;INDEX(ポート振替表!$I$5:$I$3507,$L1392))</f>
        <v/>
      </c>
      <c r="D1392" s="57" t="s">
        <v>158</v>
      </c>
      <c r="E1392" s="59" t="str">
        <f aca="false">IF(L1392="","",IF(INDEX(ポート振替表!$O$5:$O$3507,$L1392)="","(未設定)",INDEX(ポート振替表!$O$5:$O$3507,$L1392)&amp;""))</f>
        <v/>
      </c>
      <c r="F1392" s="52" t="str">
        <f aca="false">IF(L1392="","",INDEX(ポート振替表!$K$5:$K$3507,$L1392)&amp;" "&amp;INDEX(ポート振替表!$L$5:$L$3507,$L1392)&amp;"  ⇔  "&amp;INDEX(ポート振替表!$H$5:$H$3507,$L1392)&amp;" "&amp;INDEX(ポート振替表!$I$5:$I$3507,$L1392))</f>
        <v/>
      </c>
      <c r="G1392" s="57" t="s">
        <v>158</v>
      </c>
      <c r="H1392" s="32" t="str">
        <f aca="false">IF(L1392="","",INDEX(ポート振替表!$N$5:$N$3507,$L1392)&amp;"")</f>
        <v/>
      </c>
      <c r="I1392" s="32" t="str">
        <f aca="false">IF(L1392="","",INDEX(ポート振替表!$P$5:$P$3507,$L1392)&amp;"")</f>
        <v/>
      </c>
      <c r="J1392" s="60" t="str">
        <f aca="false">IF(L1392="","",INDEX(ポート振替表!$M$5:$M$3507,$L1392)&amp;"")</f>
        <v/>
      </c>
      <c r="K1392" s="52" t="str">
        <f aca="false">IF(L1392="","",E1392&amp;CHAR(10)&amp;INDEX(ポート振替表!$K$5:$K$3507,$L1392)&amp;" "&amp;INDEX(ポート振替表!$L$5:$L$3507,$L1392)&amp;CHAR(10)&amp;"⇔ "&amp;INDEX(ポート振替表!$H$5:$H$3507,$L1392)&amp;" "&amp;INDEX(ポート振替表!$I$5:$I$3507,$L1392))</f>
        <v/>
      </c>
      <c r="L1392" s="47" t="str">
        <f aca="false">IFERROR(MATCH(ROW()-4,ポート振替表!$V$5:$V$3507,0),"")</f>
        <v/>
      </c>
    </row>
    <row r="1393" customFormat="false" ht="16.4" hidden="false" customHeight="false" outlineLevel="0" collapsed="false">
      <c r="A1393" s="32" t="str">
        <f aca="false">IF(L1393="","",ROW()-4)</f>
        <v/>
      </c>
      <c r="B1393" s="58" t="str">
        <f aca="false">IF(L1393="","",IF(INDEX(ポート振替表!$W$5:$W$3507,$L1393)="","(なし)",INDEX(ポート振替表!$W$5:$W$3507,$L1393)&amp;""))</f>
        <v/>
      </c>
      <c r="C1393" s="52" t="str">
        <f aca="false">IF(L1393="","",INDEX(ポート振替表!$B$5:$B$3507,$L1393)&amp;" "&amp;INDEX(ポート振替表!$C$5:$C$3507,$L1393)&amp;"  ⇔  "&amp;INDEX(ポート振替表!$H$5:$H$3507,$L1393)&amp;" "&amp;INDEX(ポート振替表!$I$5:$I$3507,$L1393))</f>
        <v/>
      </c>
      <c r="D1393" s="57" t="s">
        <v>158</v>
      </c>
      <c r="E1393" s="59" t="str">
        <f aca="false">IF(L1393="","",IF(INDEX(ポート振替表!$O$5:$O$3507,$L1393)="","(未設定)",INDEX(ポート振替表!$O$5:$O$3507,$L1393)&amp;""))</f>
        <v/>
      </c>
      <c r="F1393" s="52" t="str">
        <f aca="false">IF(L1393="","",INDEX(ポート振替表!$K$5:$K$3507,$L1393)&amp;" "&amp;INDEX(ポート振替表!$L$5:$L$3507,$L1393)&amp;"  ⇔  "&amp;INDEX(ポート振替表!$H$5:$H$3507,$L1393)&amp;" "&amp;INDEX(ポート振替表!$I$5:$I$3507,$L1393))</f>
        <v/>
      </c>
      <c r="G1393" s="57" t="s">
        <v>158</v>
      </c>
      <c r="H1393" s="32" t="str">
        <f aca="false">IF(L1393="","",INDEX(ポート振替表!$N$5:$N$3507,$L1393)&amp;"")</f>
        <v/>
      </c>
      <c r="I1393" s="32" t="str">
        <f aca="false">IF(L1393="","",INDEX(ポート振替表!$P$5:$P$3507,$L1393)&amp;"")</f>
        <v/>
      </c>
      <c r="J1393" s="60" t="str">
        <f aca="false">IF(L1393="","",INDEX(ポート振替表!$M$5:$M$3507,$L1393)&amp;"")</f>
        <v/>
      </c>
      <c r="K1393" s="52" t="str">
        <f aca="false">IF(L1393="","",E1393&amp;CHAR(10)&amp;INDEX(ポート振替表!$K$5:$K$3507,$L1393)&amp;" "&amp;INDEX(ポート振替表!$L$5:$L$3507,$L1393)&amp;CHAR(10)&amp;"⇔ "&amp;INDEX(ポート振替表!$H$5:$H$3507,$L1393)&amp;" "&amp;INDEX(ポート振替表!$I$5:$I$3507,$L1393))</f>
        <v/>
      </c>
      <c r="L1393" s="47" t="str">
        <f aca="false">IFERROR(MATCH(ROW()-4,ポート振替表!$V$5:$V$3507,0),"")</f>
        <v/>
      </c>
    </row>
    <row r="1394" customFormat="false" ht="16.4" hidden="false" customHeight="false" outlineLevel="0" collapsed="false">
      <c r="A1394" s="32" t="str">
        <f aca="false">IF(L1394="","",ROW()-4)</f>
        <v/>
      </c>
      <c r="B1394" s="58" t="str">
        <f aca="false">IF(L1394="","",IF(INDEX(ポート振替表!$W$5:$W$3507,$L1394)="","(なし)",INDEX(ポート振替表!$W$5:$W$3507,$L1394)&amp;""))</f>
        <v/>
      </c>
      <c r="C1394" s="52" t="str">
        <f aca="false">IF(L1394="","",INDEX(ポート振替表!$B$5:$B$3507,$L1394)&amp;" "&amp;INDEX(ポート振替表!$C$5:$C$3507,$L1394)&amp;"  ⇔  "&amp;INDEX(ポート振替表!$H$5:$H$3507,$L1394)&amp;" "&amp;INDEX(ポート振替表!$I$5:$I$3507,$L1394))</f>
        <v/>
      </c>
      <c r="D1394" s="57" t="s">
        <v>158</v>
      </c>
      <c r="E1394" s="59" t="str">
        <f aca="false">IF(L1394="","",IF(INDEX(ポート振替表!$O$5:$O$3507,$L1394)="","(未設定)",INDEX(ポート振替表!$O$5:$O$3507,$L1394)&amp;""))</f>
        <v/>
      </c>
      <c r="F1394" s="52" t="str">
        <f aca="false">IF(L1394="","",INDEX(ポート振替表!$K$5:$K$3507,$L1394)&amp;" "&amp;INDEX(ポート振替表!$L$5:$L$3507,$L1394)&amp;"  ⇔  "&amp;INDEX(ポート振替表!$H$5:$H$3507,$L1394)&amp;" "&amp;INDEX(ポート振替表!$I$5:$I$3507,$L1394))</f>
        <v/>
      </c>
      <c r="G1394" s="57" t="s">
        <v>158</v>
      </c>
      <c r="H1394" s="32" t="str">
        <f aca="false">IF(L1394="","",INDEX(ポート振替表!$N$5:$N$3507,$L1394)&amp;"")</f>
        <v/>
      </c>
      <c r="I1394" s="32" t="str">
        <f aca="false">IF(L1394="","",INDEX(ポート振替表!$P$5:$P$3507,$L1394)&amp;"")</f>
        <v/>
      </c>
      <c r="J1394" s="60" t="str">
        <f aca="false">IF(L1394="","",INDEX(ポート振替表!$M$5:$M$3507,$L1394)&amp;"")</f>
        <v/>
      </c>
      <c r="K1394" s="52" t="str">
        <f aca="false">IF(L1394="","",E1394&amp;CHAR(10)&amp;INDEX(ポート振替表!$K$5:$K$3507,$L1394)&amp;" "&amp;INDEX(ポート振替表!$L$5:$L$3507,$L1394)&amp;CHAR(10)&amp;"⇔ "&amp;INDEX(ポート振替表!$H$5:$H$3507,$L1394)&amp;" "&amp;INDEX(ポート振替表!$I$5:$I$3507,$L1394))</f>
        <v/>
      </c>
      <c r="L1394" s="47" t="str">
        <f aca="false">IFERROR(MATCH(ROW()-4,ポート振替表!$V$5:$V$3507,0),"")</f>
        <v/>
      </c>
    </row>
    <row r="1395" customFormat="false" ht="16.4" hidden="false" customHeight="false" outlineLevel="0" collapsed="false">
      <c r="A1395" s="32" t="str">
        <f aca="false">IF(L1395="","",ROW()-4)</f>
        <v/>
      </c>
      <c r="B1395" s="58" t="str">
        <f aca="false">IF(L1395="","",IF(INDEX(ポート振替表!$W$5:$W$3507,$L1395)="","(なし)",INDEX(ポート振替表!$W$5:$W$3507,$L1395)&amp;""))</f>
        <v/>
      </c>
      <c r="C1395" s="52" t="str">
        <f aca="false">IF(L1395="","",INDEX(ポート振替表!$B$5:$B$3507,$L1395)&amp;" "&amp;INDEX(ポート振替表!$C$5:$C$3507,$L1395)&amp;"  ⇔  "&amp;INDEX(ポート振替表!$H$5:$H$3507,$L1395)&amp;" "&amp;INDEX(ポート振替表!$I$5:$I$3507,$L1395))</f>
        <v/>
      </c>
      <c r="D1395" s="57" t="s">
        <v>158</v>
      </c>
      <c r="E1395" s="59" t="str">
        <f aca="false">IF(L1395="","",IF(INDEX(ポート振替表!$O$5:$O$3507,$L1395)="","(未設定)",INDEX(ポート振替表!$O$5:$O$3507,$L1395)&amp;""))</f>
        <v/>
      </c>
      <c r="F1395" s="52" t="str">
        <f aca="false">IF(L1395="","",INDEX(ポート振替表!$K$5:$K$3507,$L1395)&amp;" "&amp;INDEX(ポート振替表!$L$5:$L$3507,$L1395)&amp;"  ⇔  "&amp;INDEX(ポート振替表!$H$5:$H$3507,$L1395)&amp;" "&amp;INDEX(ポート振替表!$I$5:$I$3507,$L1395))</f>
        <v/>
      </c>
      <c r="G1395" s="57" t="s">
        <v>158</v>
      </c>
      <c r="H1395" s="32" t="str">
        <f aca="false">IF(L1395="","",INDEX(ポート振替表!$N$5:$N$3507,$L1395)&amp;"")</f>
        <v/>
      </c>
      <c r="I1395" s="32" t="str">
        <f aca="false">IF(L1395="","",INDEX(ポート振替表!$P$5:$P$3507,$L1395)&amp;"")</f>
        <v/>
      </c>
      <c r="J1395" s="60" t="str">
        <f aca="false">IF(L1395="","",INDEX(ポート振替表!$M$5:$M$3507,$L1395)&amp;"")</f>
        <v/>
      </c>
      <c r="K1395" s="52" t="str">
        <f aca="false">IF(L1395="","",E1395&amp;CHAR(10)&amp;INDEX(ポート振替表!$K$5:$K$3507,$L1395)&amp;" "&amp;INDEX(ポート振替表!$L$5:$L$3507,$L1395)&amp;CHAR(10)&amp;"⇔ "&amp;INDEX(ポート振替表!$H$5:$H$3507,$L1395)&amp;" "&amp;INDEX(ポート振替表!$I$5:$I$3507,$L1395))</f>
        <v/>
      </c>
      <c r="L1395" s="47" t="str">
        <f aca="false">IFERROR(MATCH(ROW()-4,ポート振替表!$V$5:$V$3507,0),"")</f>
        <v/>
      </c>
    </row>
    <row r="1396" customFormat="false" ht="16.4" hidden="false" customHeight="false" outlineLevel="0" collapsed="false">
      <c r="A1396" s="32" t="str">
        <f aca="false">IF(L1396="","",ROW()-4)</f>
        <v/>
      </c>
      <c r="B1396" s="58" t="str">
        <f aca="false">IF(L1396="","",IF(INDEX(ポート振替表!$W$5:$W$3507,$L1396)="","(なし)",INDEX(ポート振替表!$W$5:$W$3507,$L1396)&amp;""))</f>
        <v/>
      </c>
      <c r="C1396" s="52" t="str">
        <f aca="false">IF(L1396="","",INDEX(ポート振替表!$B$5:$B$3507,$L1396)&amp;" "&amp;INDEX(ポート振替表!$C$5:$C$3507,$L1396)&amp;"  ⇔  "&amp;INDEX(ポート振替表!$H$5:$H$3507,$L1396)&amp;" "&amp;INDEX(ポート振替表!$I$5:$I$3507,$L1396))</f>
        <v/>
      </c>
      <c r="D1396" s="57" t="s">
        <v>158</v>
      </c>
      <c r="E1396" s="59" t="str">
        <f aca="false">IF(L1396="","",IF(INDEX(ポート振替表!$O$5:$O$3507,$L1396)="","(未設定)",INDEX(ポート振替表!$O$5:$O$3507,$L1396)&amp;""))</f>
        <v/>
      </c>
      <c r="F1396" s="52" t="str">
        <f aca="false">IF(L1396="","",INDEX(ポート振替表!$K$5:$K$3507,$L1396)&amp;" "&amp;INDEX(ポート振替表!$L$5:$L$3507,$L1396)&amp;"  ⇔  "&amp;INDEX(ポート振替表!$H$5:$H$3507,$L1396)&amp;" "&amp;INDEX(ポート振替表!$I$5:$I$3507,$L1396))</f>
        <v/>
      </c>
      <c r="G1396" s="57" t="s">
        <v>158</v>
      </c>
      <c r="H1396" s="32" t="str">
        <f aca="false">IF(L1396="","",INDEX(ポート振替表!$N$5:$N$3507,$L1396)&amp;"")</f>
        <v/>
      </c>
      <c r="I1396" s="32" t="str">
        <f aca="false">IF(L1396="","",INDEX(ポート振替表!$P$5:$P$3507,$L1396)&amp;"")</f>
        <v/>
      </c>
      <c r="J1396" s="60" t="str">
        <f aca="false">IF(L1396="","",INDEX(ポート振替表!$M$5:$M$3507,$L1396)&amp;"")</f>
        <v/>
      </c>
      <c r="K1396" s="52" t="str">
        <f aca="false">IF(L1396="","",E1396&amp;CHAR(10)&amp;INDEX(ポート振替表!$K$5:$K$3507,$L1396)&amp;" "&amp;INDEX(ポート振替表!$L$5:$L$3507,$L1396)&amp;CHAR(10)&amp;"⇔ "&amp;INDEX(ポート振替表!$H$5:$H$3507,$L1396)&amp;" "&amp;INDEX(ポート振替表!$I$5:$I$3507,$L1396))</f>
        <v/>
      </c>
      <c r="L1396" s="47" t="str">
        <f aca="false">IFERROR(MATCH(ROW()-4,ポート振替表!$V$5:$V$3507,0),"")</f>
        <v/>
      </c>
    </row>
    <row r="1397" customFormat="false" ht="16.4" hidden="false" customHeight="false" outlineLevel="0" collapsed="false">
      <c r="A1397" s="32" t="str">
        <f aca="false">IF(L1397="","",ROW()-4)</f>
        <v/>
      </c>
      <c r="B1397" s="58" t="str">
        <f aca="false">IF(L1397="","",IF(INDEX(ポート振替表!$W$5:$W$3507,$L1397)="","(なし)",INDEX(ポート振替表!$W$5:$W$3507,$L1397)&amp;""))</f>
        <v/>
      </c>
      <c r="C1397" s="52" t="str">
        <f aca="false">IF(L1397="","",INDEX(ポート振替表!$B$5:$B$3507,$L1397)&amp;" "&amp;INDEX(ポート振替表!$C$5:$C$3507,$L1397)&amp;"  ⇔  "&amp;INDEX(ポート振替表!$H$5:$H$3507,$L1397)&amp;" "&amp;INDEX(ポート振替表!$I$5:$I$3507,$L1397))</f>
        <v/>
      </c>
      <c r="D1397" s="57" t="s">
        <v>158</v>
      </c>
      <c r="E1397" s="59" t="str">
        <f aca="false">IF(L1397="","",IF(INDEX(ポート振替表!$O$5:$O$3507,$L1397)="","(未設定)",INDEX(ポート振替表!$O$5:$O$3507,$L1397)&amp;""))</f>
        <v/>
      </c>
      <c r="F1397" s="52" t="str">
        <f aca="false">IF(L1397="","",INDEX(ポート振替表!$K$5:$K$3507,$L1397)&amp;" "&amp;INDEX(ポート振替表!$L$5:$L$3507,$L1397)&amp;"  ⇔  "&amp;INDEX(ポート振替表!$H$5:$H$3507,$L1397)&amp;" "&amp;INDEX(ポート振替表!$I$5:$I$3507,$L1397))</f>
        <v/>
      </c>
      <c r="G1397" s="57" t="s">
        <v>158</v>
      </c>
      <c r="H1397" s="32" t="str">
        <f aca="false">IF(L1397="","",INDEX(ポート振替表!$N$5:$N$3507,$L1397)&amp;"")</f>
        <v/>
      </c>
      <c r="I1397" s="32" t="str">
        <f aca="false">IF(L1397="","",INDEX(ポート振替表!$P$5:$P$3507,$L1397)&amp;"")</f>
        <v/>
      </c>
      <c r="J1397" s="60" t="str">
        <f aca="false">IF(L1397="","",INDEX(ポート振替表!$M$5:$M$3507,$L1397)&amp;"")</f>
        <v/>
      </c>
      <c r="K1397" s="52" t="str">
        <f aca="false">IF(L1397="","",E1397&amp;CHAR(10)&amp;INDEX(ポート振替表!$K$5:$K$3507,$L1397)&amp;" "&amp;INDEX(ポート振替表!$L$5:$L$3507,$L1397)&amp;CHAR(10)&amp;"⇔ "&amp;INDEX(ポート振替表!$H$5:$H$3507,$L1397)&amp;" "&amp;INDEX(ポート振替表!$I$5:$I$3507,$L1397))</f>
        <v/>
      </c>
      <c r="L1397" s="47" t="str">
        <f aca="false">IFERROR(MATCH(ROW()-4,ポート振替表!$V$5:$V$3507,0),"")</f>
        <v/>
      </c>
    </row>
    <row r="1398" customFormat="false" ht="16.4" hidden="false" customHeight="false" outlineLevel="0" collapsed="false">
      <c r="A1398" s="32" t="str">
        <f aca="false">IF(L1398="","",ROW()-4)</f>
        <v/>
      </c>
      <c r="B1398" s="58" t="str">
        <f aca="false">IF(L1398="","",IF(INDEX(ポート振替表!$W$5:$W$3507,$L1398)="","(なし)",INDEX(ポート振替表!$W$5:$W$3507,$L1398)&amp;""))</f>
        <v/>
      </c>
      <c r="C1398" s="52" t="str">
        <f aca="false">IF(L1398="","",INDEX(ポート振替表!$B$5:$B$3507,$L1398)&amp;" "&amp;INDEX(ポート振替表!$C$5:$C$3507,$L1398)&amp;"  ⇔  "&amp;INDEX(ポート振替表!$H$5:$H$3507,$L1398)&amp;" "&amp;INDEX(ポート振替表!$I$5:$I$3507,$L1398))</f>
        <v/>
      </c>
      <c r="D1398" s="57" t="s">
        <v>158</v>
      </c>
      <c r="E1398" s="59" t="str">
        <f aca="false">IF(L1398="","",IF(INDEX(ポート振替表!$O$5:$O$3507,$L1398)="","(未設定)",INDEX(ポート振替表!$O$5:$O$3507,$L1398)&amp;""))</f>
        <v/>
      </c>
      <c r="F1398" s="52" t="str">
        <f aca="false">IF(L1398="","",INDEX(ポート振替表!$K$5:$K$3507,$L1398)&amp;" "&amp;INDEX(ポート振替表!$L$5:$L$3507,$L1398)&amp;"  ⇔  "&amp;INDEX(ポート振替表!$H$5:$H$3507,$L1398)&amp;" "&amp;INDEX(ポート振替表!$I$5:$I$3507,$L1398))</f>
        <v/>
      </c>
      <c r="G1398" s="57" t="s">
        <v>158</v>
      </c>
      <c r="H1398" s="32" t="str">
        <f aca="false">IF(L1398="","",INDEX(ポート振替表!$N$5:$N$3507,$L1398)&amp;"")</f>
        <v/>
      </c>
      <c r="I1398" s="32" t="str">
        <f aca="false">IF(L1398="","",INDEX(ポート振替表!$P$5:$P$3507,$L1398)&amp;"")</f>
        <v/>
      </c>
      <c r="J1398" s="60" t="str">
        <f aca="false">IF(L1398="","",INDEX(ポート振替表!$M$5:$M$3507,$L1398)&amp;"")</f>
        <v/>
      </c>
      <c r="K1398" s="52" t="str">
        <f aca="false">IF(L1398="","",E1398&amp;CHAR(10)&amp;INDEX(ポート振替表!$K$5:$K$3507,$L1398)&amp;" "&amp;INDEX(ポート振替表!$L$5:$L$3507,$L1398)&amp;CHAR(10)&amp;"⇔ "&amp;INDEX(ポート振替表!$H$5:$H$3507,$L1398)&amp;" "&amp;INDEX(ポート振替表!$I$5:$I$3507,$L1398))</f>
        <v/>
      </c>
      <c r="L1398" s="47" t="str">
        <f aca="false">IFERROR(MATCH(ROW()-4,ポート振替表!$V$5:$V$3507,0),"")</f>
        <v/>
      </c>
    </row>
    <row r="1399" customFormat="false" ht="16.4" hidden="false" customHeight="false" outlineLevel="0" collapsed="false">
      <c r="A1399" s="32" t="str">
        <f aca="false">IF(L1399="","",ROW()-4)</f>
        <v/>
      </c>
      <c r="B1399" s="58" t="str">
        <f aca="false">IF(L1399="","",IF(INDEX(ポート振替表!$W$5:$W$3507,$L1399)="","(なし)",INDEX(ポート振替表!$W$5:$W$3507,$L1399)&amp;""))</f>
        <v/>
      </c>
      <c r="C1399" s="52" t="str">
        <f aca="false">IF(L1399="","",INDEX(ポート振替表!$B$5:$B$3507,$L1399)&amp;" "&amp;INDEX(ポート振替表!$C$5:$C$3507,$L1399)&amp;"  ⇔  "&amp;INDEX(ポート振替表!$H$5:$H$3507,$L1399)&amp;" "&amp;INDEX(ポート振替表!$I$5:$I$3507,$L1399))</f>
        <v/>
      </c>
      <c r="D1399" s="57" t="s">
        <v>158</v>
      </c>
      <c r="E1399" s="59" t="str">
        <f aca="false">IF(L1399="","",IF(INDEX(ポート振替表!$O$5:$O$3507,$L1399)="","(未設定)",INDEX(ポート振替表!$O$5:$O$3507,$L1399)&amp;""))</f>
        <v/>
      </c>
      <c r="F1399" s="52" t="str">
        <f aca="false">IF(L1399="","",INDEX(ポート振替表!$K$5:$K$3507,$L1399)&amp;" "&amp;INDEX(ポート振替表!$L$5:$L$3507,$L1399)&amp;"  ⇔  "&amp;INDEX(ポート振替表!$H$5:$H$3507,$L1399)&amp;" "&amp;INDEX(ポート振替表!$I$5:$I$3507,$L1399))</f>
        <v/>
      </c>
      <c r="G1399" s="57" t="s">
        <v>158</v>
      </c>
      <c r="H1399" s="32" t="str">
        <f aca="false">IF(L1399="","",INDEX(ポート振替表!$N$5:$N$3507,$L1399)&amp;"")</f>
        <v/>
      </c>
      <c r="I1399" s="32" t="str">
        <f aca="false">IF(L1399="","",INDEX(ポート振替表!$P$5:$P$3507,$L1399)&amp;"")</f>
        <v/>
      </c>
      <c r="J1399" s="60" t="str">
        <f aca="false">IF(L1399="","",INDEX(ポート振替表!$M$5:$M$3507,$L1399)&amp;"")</f>
        <v/>
      </c>
      <c r="K1399" s="52" t="str">
        <f aca="false">IF(L1399="","",E1399&amp;CHAR(10)&amp;INDEX(ポート振替表!$K$5:$K$3507,$L1399)&amp;" "&amp;INDEX(ポート振替表!$L$5:$L$3507,$L1399)&amp;CHAR(10)&amp;"⇔ "&amp;INDEX(ポート振替表!$H$5:$H$3507,$L1399)&amp;" "&amp;INDEX(ポート振替表!$I$5:$I$3507,$L1399))</f>
        <v/>
      </c>
      <c r="L1399" s="47" t="str">
        <f aca="false">IFERROR(MATCH(ROW()-4,ポート振替表!$V$5:$V$3507,0),"")</f>
        <v/>
      </c>
    </row>
    <row r="1400" customFormat="false" ht="16.4" hidden="false" customHeight="false" outlineLevel="0" collapsed="false">
      <c r="A1400" s="32" t="str">
        <f aca="false">IF(L1400="","",ROW()-4)</f>
        <v/>
      </c>
      <c r="B1400" s="58" t="str">
        <f aca="false">IF(L1400="","",IF(INDEX(ポート振替表!$W$5:$W$3507,$L1400)="","(なし)",INDEX(ポート振替表!$W$5:$W$3507,$L1400)&amp;""))</f>
        <v/>
      </c>
      <c r="C1400" s="52" t="str">
        <f aca="false">IF(L1400="","",INDEX(ポート振替表!$B$5:$B$3507,$L1400)&amp;" "&amp;INDEX(ポート振替表!$C$5:$C$3507,$L1400)&amp;"  ⇔  "&amp;INDEX(ポート振替表!$H$5:$H$3507,$L1400)&amp;" "&amp;INDEX(ポート振替表!$I$5:$I$3507,$L1400))</f>
        <v/>
      </c>
      <c r="D1400" s="57" t="s">
        <v>158</v>
      </c>
      <c r="E1400" s="59" t="str">
        <f aca="false">IF(L1400="","",IF(INDEX(ポート振替表!$O$5:$O$3507,$L1400)="","(未設定)",INDEX(ポート振替表!$O$5:$O$3507,$L1400)&amp;""))</f>
        <v/>
      </c>
      <c r="F1400" s="52" t="str">
        <f aca="false">IF(L1400="","",INDEX(ポート振替表!$K$5:$K$3507,$L1400)&amp;" "&amp;INDEX(ポート振替表!$L$5:$L$3507,$L1400)&amp;"  ⇔  "&amp;INDEX(ポート振替表!$H$5:$H$3507,$L1400)&amp;" "&amp;INDEX(ポート振替表!$I$5:$I$3507,$L1400))</f>
        <v/>
      </c>
      <c r="G1400" s="57" t="s">
        <v>158</v>
      </c>
      <c r="H1400" s="32" t="str">
        <f aca="false">IF(L1400="","",INDEX(ポート振替表!$N$5:$N$3507,$L1400)&amp;"")</f>
        <v/>
      </c>
      <c r="I1400" s="32" t="str">
        <f aca="false">IF(L1400="","",INDEX(ポート振替表!$P$5:$P$3507,$L1400)&amp;"")</f>
        <v/>
      </c>
      <c r="J1400" s="60" t="str">
        <f aca="false">IF(L1400="","",INDEX(ポート振替表!$M$5:$M$3507,$L1400)&amp;"")</f>
        <v/>
      </c>
      <c r="K1400" s="52" t="str">
        <f aca="false">IF(L1400="","",E1400&amp;CHAR(10)&amp;INDEX(ポート振替表!$K$5:$K$3507,$L1400)&amp;" "&amp;INDEX(ポート振替表!$L$5:$L$3507,$L1400)&amp;CHAR(10)&amp;"⇔ "&amp;INDEX(ポート振替表!$H$5:$H$3507,$L1400)&amp;" "&amp;INDEX(ポート振替表!$I$5:$I$3507,$L1400))</f>
        <v/>
      </c>
      <c r="L1400" s="47" t="str">
        <f aca="false">IFERROR(MATCH(ROW()-4,ポート振替表!$V$5:$V$3507,0),"")</f>
        <v/>
      </c>
    </row>
    <row r="1401" customFormat="false" ht="16.4" hidden="false" customHeight="false" outlineLevel="0" collapsed="false">
      <c r="A1401" s="32" t="str">
        <f aca="false">IF(L1401="","",ROW()-4)</f>
        <v/>
      </c>
      <c r="B1401" s="58" t="str">
        <f aca="false">IF(L1401="","",IF(INDEX(ポート振替表!$W$5:$W$3507,$L1401)="","(なし)",INDEX(ポート振替表!$W$5:$W$3507,$L1401)&amp;""))</f>
        <v/>
      </c>
      <c r="C1401" s="52" t="str">
        <f aca="false">IF(L1401="","",INDEX(ポート振替表!$B$5:$B$3507,$L1401)&amp;" "&amp;INDEX(ポート振替表!$C$5:$C$3507,$L1401)&amp;"  ⇔  "&amp;INDEX(ポート振替表!$H$5:$H$3507,$L1401)&amp;" "&amp;INDEX(ポート振替表!$I$5:$I$3507,$L1401))</f>
        <v/>
      </c>
      <c r="D1401" s="57" t="s">
        <v>158</v>
      </c>
      <c r="E1401" s="59" t="str">
        <f aca="false">IF(L1401="","",IF(INDEX(ポート振替表!$O$5:$O$3507,$L1401)="","(未設定)",INDEX(ポート振替表!$O$5:$O$3507,$L1401)&amp;""))</f>
        <v/>
      </c>
      <c r="F1401" s="52" t="str">
        <f aca="false">IF(L1401="","",INDEX(ポート振替表!$K$5:$K$3507,$L1401)&amp;" "&amp;INDEX(ポート振替表!$L$5:$L$3507,$L1401)&amp;"  ⇔  "&amp;INDEX(ポート振替表!$H$5:$H$3507,$L1401)&amp;" "&amp;INDEX(ポート振替表!$I$5:$I$3507,$L1401))</f>
        <v/>
      </c>
      <c r="G1401" s="57" t="s">
        <v>158</v>
      </c>
      <c r="H1401" s="32" t="str">
        <f aca="false">IF(L1401="","",INDEX(ポート振替表!$N$5:$N$3507,$L1401)&amp;"")</f>
        <v/>
      </c>
      <c r="I1401" s="32" t="str">
        <f aca="false">IF(L1401="","",INDEX(ポート振替表!$P$5:$P$3507,$L1401)&amp;"")</f>
        <v/>
      </c>
      <c r="J1401" s="60" t="str">
        <f aca="false">IF(L1401="","",INDEX(ポート振替表!$M$5:$M$3507,$L1401)&amp;"")</f>
        <v/>
      </c>
      <c r="K1401" s="52" t="str">
        <f aca="false">IF(L1401="","",E1401&amp;CHAR(10)&amp;INDEX(ポート振替表!$K$5:$K$3507,$L1401)&amp;" "&amp;INDEX(ポート振替表!$L$5:$L$3507,$L1401)&amp;CHAR(10)&amp;"⇔ "&amp;INDEX(ポート振替表!$H$5:$H$3507,$L1401)&amp;" "&amp;INDEX(ポート振替表!$I$5:$I$3507,$L1401))</f>
        <v/>
      </c>
      <c r="L1401" s="47" t="str">
        <f aca="false">IFERROR(MATCH(ROW()-4,ポート振替表!$V$5:$V$3507,0),"")</f>
        <v/>
      </c>
    </row>
    <row r="1402" customFormat="false" ht="16.4" hidden="false" customHeight="false" outlineLevel="0" collapsed="false">
      <c r="A1402" s="32" t="str">
        <f aca="false">IF(L1402="","",ROW()-4)</f>
        <v/>
      </c>
      <c r="B1402" s="58" t="str">
        <f aca="false">IF(L1402="","",IF(INDEX(ポート振替表!$W$5:$W$3507,$L1402)="","(なし)",INDEX(ポート振替表!$W$5:$W$3507,$L1402)&amp;""))</f>
        <v/>
      </c>
      <c r="C1402" s="52" t="str">
        <f aca="false">IF(L1402="","",INDEX(ポート振替表!$B$5:$B$3507,$L1402)&amp;" "&amp;INDEX(ポート振替表!$C$5:$C$3507,$L1402)&amp;"  ⇔  "&amp;INDEX(ポート振替表!$H$5:$H$3507,$L1402)&amp;" "&amp;INDEX(ポート振替表!$I$5:$I$3507,$L1402))</f>
        <v/>
      </c>
      <c r="D1402" s="57" t="s">
        <v>158</v>
      </c>
      <c r="E1402" s="59" t="str">
        <f aca="false">IF(L1402="","",IF(INDEX(ポート振替表!$O$5:$O$3507,$L1402)="","(未設定)",INDEX(ポート振替表!$O$5:$O$3507,$L1402)&amp;""))</f>
        <v/>
      </c>
      <c r="F1402" s="52" t="str">
        <f aca="false">IF(L1402="","",INDEX(ポート振替表!$K$5:$K$3507,$L1402)&amp;" "&amp;INDEX(ポート振替表!$L$5:$L$3507,$L1402)&amp;"  ⇔  "&amp;INDEX(ポート振替表!$H$5:$H$3507,$L1402)&amp;" "&amp;INDEX(ポート振替表!$I$5:$I$3507,$L1402))</f>
        <v/>
      </c>
      <c r="G1402" s="57" t="s">
        <v>158</v>
      </c>
      <c r="H1402" s="32" t="str">
        <f aca="false">IF(L1402="","",INDEX(ポート振替表!$N$5:$N$3507,$L1402)&amp;"")</f>
        <v/>
      </c>
      <c r="I1402" s="32" t="str">
        <f aca="false">IF(L1402="","",INDEX(ポート振替表!$P$5:$P$3507,$L1402)&amp;"")</f>
        <v/>
      </c>
      <c r="J1402" s="60" t="str">
        <f aca="false">IF(L1402="","",INDEX(ポート振替表!$M$5:$M$3507,$L1402)&amp;"")</f>
        <v/>
      </c>
      <c r="K1402" s="52" t="str">
        <f aca="false">IF(L1402="","",E1402&amp;CHAR(10)&amp;INDEX(ポート振替表!$K$5:$K$3507,$L1402)&amp;" "&amp;INDEX(ポート振替表!$L$5:$L$3507,$L1402)&amp;CHAR(10)&amp;"⇔ "&amp;INDEX(ポート振替表!$H$5:$H$3507,$L1402)&amp;" "&amp;INDEX(ポート振替表!$I$5:$I$3507,$L1402))</f>
        <v/>
      </c>
      <c r="L1402" s="47" t="str">
        <f aca="false">IFERROR(MATCH(ROW()-4,ポート振替表!$V$5:$V$3507,0),"")</f>
        <v/>
      </c>
    </row>
    <row r="1403" customFormat="false" ht="16.4" hidden="false" customHeight="false" outlineLevel="0" collapsed="false">
      <c r="A1403" s="32" t="str">
        <f aca="false">IF(L1403="","",ROW()-4)</f>
        <v/>
      </c>
      <c r="B1403" s="58" t="str">
        <f aca="false">IF(L1403="","",IF(INDEX(ポート振替表!$W$5:$W$3507,$L1403)="","(なし)",INDEX(ポート振替表!$W$5:$W$3507,$L1403)&amp;""))</f>
        <v/>
      </c>
      <c r="C1403" s="52" t="str">
        <f aca="false">IF(L1403="","",INDEX(ポート振替表!$B$5:$B$3507,$L1403)&amp;" "&amp;INDEX(ポート振替表!$C$5:$C$3507,$L1403)&amp;"  ⇔  "&amp;INDEX(ポート振替表!$H$5:$H$3507,$L1403)&amp;" "&amp;INDEX(ポート振替表!$I$5:$I$3507,$L1403))</f>
        <v/>
      </c>
      <c r="D1403" s="57" t="s">
        <v>158</v>
      </c>
      <c r="E1403" s="59" t="str">
        <f aca="false">IF(L1403="","",IF(INDEX(ポート振替表!$O$5:$O$3507,$L1403)="","(未設定)",INDEX(ポート振替表!$O$5:$O$3507,$L1403)&amp;""))</f>
        <v/>
      </c>
      <c r="F1403" s="52" t="str">
        <f aca="false">IF(L1403="","",INDEX(ポート振替表!$K$5:$K$3507,$L1403)&amp;" "&amp;INDEX(ポート振替表!$L$5:$L$3507,$L1403)&amp;"  ⇔  "&amp;INDEX(ポート振替表!$H$5:$H$3507,$L1403)&amp;" "&amp;INDEX(ポート振替表!$I$5:$I$3507,$L1403))</f>
        <v/>
      </c>
      <c r="G1403" s="57" t="s">
        <v>158</v>
      </c>
      <c r="H1403" s="32" t="str">
        <f aca="false">IF(L1403="","",INDEX(ポート振替表!$N$5:$N$3507,$L1403)&amp;"")</f>
        <v/>
      </c>
      <c r="I1403" s="32" t="str">
        <f aca="false">IF(L1403="","",INDEX(ポート振替表!$P$5:$P$3507,$L1403)&amp;"")</f>
        <v/>
      </c>
      <c r="J1403" s="60" t="str">
        <f aca="false">IF(L1403="","",INDEX(ポート振替表!$M$5:$M$3507,$L1403)&amp;"")</f>
        <v/>
      </c>
      <c r="K1403" s="52" t="str">
        <f aca="false">IF(L1403="","",E1403&amp;CHAR(10)&amp;INDEX(ポート振替表!$K$5:$K$3507,$L1403)&amp;" "&amp;INDEX(ポート振替表!$L$5:$L$3507,$L1403)&amp;CHAR(10)&amp;"⇔ "&amp;INDEX(ポート振替表!$H$5:$H$3507,$L1403)&amp;" "&amp;INDEX(ポート振替表!$I$5:$I$3507,$L1403))</f>
        <v/>
      </c>
      <c r="L1403" s="47" t="str">
        <f aca="false">IFERROR(MATCH(ROW()-4,ポート振替表!$V$5:$V$3507,0),"")</f>
        <v/>
      </c>
    </row>
    <row r="1404" customFormat="false" ht="16.4" hidden="false" customHeight="false" outlineLevel="0" collapsed="false">
      <c r="A1404" s="32" t="str">
        <f aca="false">IF(L1404="","",ROW()-4)</f>
        <v/>
      </c>
      <c r="B1404" s="58" t="str">
        <f aca="false">IF(L1404="","",IF(INDEX(ポート振替表!$W$5:$W$3507,$L1404)="","(なし)",INDEX(ポート振替表!$W$5:$W$3507,$L1404)&amp;""))</f>
        <v/>
      </c>
      <c r="C1404" s="52" t="str">
        <f aca="false">IF(L1404="","",INDEX(ポート振替表!$B$5:$B$3507,$L1404)&amp;" "&amp;INDEX(ポート振替表!$C$5:$C$3507,$L1404)&amp;"  ⇔  "&amp;INDEX(ポート振替表!$H$5:$H$3507,$L1404)&amp;" "&amp;INDEX(ポート振替表!$I$5:$I$3507,$L1404))</f>
        <v/>
      </c>
      <c r="D1404" s="57" t="s">
        <v>158</v>
      </c>
      <c r="E1404" s="59" t="str">
        <f aca="false">IF(L1404="","",IF(INDEX(ポート振替表!$O$5:$O$3507,$L1404)="","(未設定)",INDEX(ポート振替表!$O$5:$O$3507,$L1404)&amp;""))</f>
        <v/>
      </c>
      <c r="F1404" s="52" t="str">
        <f aca="false">IF(L1404="","",INDEX(ポート振替表!$K$5:$K$3507,$L1404)&amp;" "&amp;INDEX(ポート振替表!$L$5:$L$3507,$L1404)&amp;"  ⇔  "&amp;INDEX(ポート振替表!$H$5:$H$3507,$L1404)&amp;" "&amp;INDEX(ポート振替表!$I$5:$I$3507,$L1404))</f>
        <v/>
      </c>
      <c r="G1404" s="57" t="s">
        <v>158</v>
      </c>
      <c r="H1404" s="32" t="str">
        <f aca="false">IF(L1404="","",INDEX(ポート振替表!$N$5:$N$3507,$L1404)&amp;"")</f>
        <v/>
      </c>
      <c r="I1404" s="32" t="str">
        <f aca="false">IF(L1404="","",INDEX(ポート振替表!$P$5:$P$3507,$L1404)&amp;"")</f>
        <v/>
      </c>
      <c r="J1404" s="60" t="str">
        <f aca="false">IF(L1404="","",INDEX(ポート振替表!$M$5:$M$3507,$L1404)&amp;"")</f>
        <v/>
      </c>
      <c r="K1404" s="52" t="str">
        <f aca="false">IF(L1404="","",E1404&amp;CHAR(10)&amp;INDEX(ポート振替表!$K$5:$K$3507,$L1404)&amp;" "&amp;INDEX(ポート振替表!$L$5:$L$3507,$L1404)&amp;CHAR(10)&amp;"⇔ "&amp;INDEX(ポート振替表!$H$5:$H$3507,$L1404)&amp;" "&amp;INDEX(ポート振替表!$I$5:$I$3507,$L1404))</f>
        <v/>
      </c>
      <c r="L1404" s="47" t="str">
        <f aca="false">IFERROR(MATCH(ROW()-4,ポート振替表!$V$5:$V$3507,0),"")</f>
        <v/>
      </c>
    </row>
    <row r="1405" customFormat="false" ht="16.4" hidden="false" customHeight="false" outlineLevel="0" collapsed="false">
      <c r="A1405" s="32" t="str">
        <f aca="false">IF(L1405="","",ROW()-4)</f>
        <v/>
      </c>
      <c r="B1405" s="58" t="str">
        <f aca="false">IF(L1405="","",IF(INDEX(ポート振替表!$W$5:$W$3507,$L1405)="","(なし)",INDEX(ポート振替表!$W$5:$W$3507,$L1405)&amp;""))</f>
        <v/>
      </c>
      <c r="C1405" s="52" t="str">
        <f aca="false">IF(L1405="","",INDEX(ポート振替表!$B$5:$B$3507,$L1405)&amp;" "&amp;INDEX(ポート振替表!$C$5:$C$3507,$L1405)&amp;"  ⇔  "&amp;INDEX(ポート振替表!$H$5:$H$3507,$L1405)&amp;" "&amp;INDEX(ポート振替表!$I$5:$I$3507,$L1405))</f>
        <v/>
      </c>
      <c r="D1405" s="57" t="s">
        <v>158</v>
      </c>
      <c r="E1405" s="59" t="str">
        <f aca="false">IF(L1405="","",IF(INDEX(ポート振替表!$O$5:$O$3507,$L1405)="","(未設定)",INDEX(ポート振替表!$O$5:$O$3507,$L1405)&amp;""))</f>
        <v/>
      </c>
      <c r="F1405" s="52" t="str">
        <f aca="false">IF(L1405="","",INDEX(ポート振替表!$K$5:$K$3507,$L1405)&amp;" "&amp;INDEX(ポート振替表!$L$5:$L$3507,$L1405)&amp;"  ⇔  "&amp;INDEX(ポート振替表!$H$5:$H$3507,$L1405)&amp;" "&amp;INDEX(ポート振替表!$I$5:$I$3507,$L1405))</f>
        <v/>
      </c>
      <c r="G1405" s="57" t="s">
        <v>158</v>
      </c>
      <c r="H1405" s="32" t="str">
        <f aca="false">IF(L1405="","",INDEX(ポート振替表!$N$5:$N$3507,$L1405)&amp;"")</f>
        <v/>
      </c>
      <c r="I1405" s="32" t="str">
        <f aca="false">IF(L1405="","",INDEX(ポート振替表!$P$5:$P$3507,$L1405)&amp;"")</f>
        <v/>
      </c>
      <c r="J1405" s="60" t="str">
        <f aca="false">IF(L1405="","",INDEX(ポート振替表!$M$5:$M$3507,$L1405)&amp;"")</f>
        <v/>
      </c>
      <c r="K1405" s="52" t="str">
        <f aca="false">IF(L1405="","",E1405&amp;CHAR(10)&amp;INDEX(ポート振替表!$K$5:$K$3507,$L1405)&amp;" "&amp;INDEX(ポート振替表!$L$5:$L$3507,$L1405)&amp;CHAR(10)&amp;"⇔ "&amp;INDEX(ポート振替表!$H$5:$H$3507,$L1405)&amp;" "&amp;INDEX(ポート振替表!$I$5:$I$3507,$L1405))</f>
        <v/>
      </c>
      <c r="L1405" s="47" t="str">
        <f aca="false">IFERROR(MATCH(ROW()-4,ポート振替表!$V$5:$V$3507,0),"")</f>
        <v/>
      </c>
    </row>
    <row r="1406" customFormat="false" ht="16.4" hidden="false" customHeight="false" outlineLevel="0" collapsed="false">
      <c r="A1406" s="32" t="str">
        <f aca="false">IF(L1406="","",ROW()-4)</f>
        <v/>
      </c>
      <c r="B1406" s="58" t="str">
        <f aca="false">IF(L1406="","",IF(INDEX(ポート振替表!$W$5:$W$3507,$L1406)="","(なし)",INDEX(ポート振替表!$W$5:$W$3507,$L1406)&amp;""))</f>
        <v/>
      </c>
      <c r="C1406" s="52" t="str">
        <f aca="false">IF(L1406="","",INDEX(ポート振替表!$B$5:$B$3507,$L1406)&amp;" "&amp;INDEX(ポート振替表!$C$5:$C$3507,$L1406)&amp;"  ⇔  "&amp;INDEX(ポート振替表!$H$5:$H$3507,$L1406)&amp;" "&amp;INDEX(ポート振替表!$I$5:$I$3507,$L1406))</f>
        <v/>
      </c>
      <c r="D1406" s="57" t="s">
        <v>158</v>
      </c>
      <c r="E1406" s="59" t="str">
        <f aca="false">IF(L1406="","",IF(INDEX(ポート振替表!$O$5:$O$3507,$L1406)="","(未設定)",INDEX(ポート振替表!$O$5:$O$3507,$L1406)&amp;""))</f>
        <v/>
      </c>
      <c r="F1406" s="52" t="str">
        <f aca="false">IF(L1406="","",INDEX(ポート振替表!$K$5:$K$3507,$L1406)&amp;" "&amp;INDEX(ポート振替表!$L$5:$L$3507,$L1406)&amp;"  ⇔  "&amp;INDEX(ポート振替表!$H$5:$H$3507,$L1406)&amp;" "&amp;INDEX(ポート振替表!$I$5:$I$3507,$L1406))</f>
        <v/>
      </c>
      <c r="G1406" s="57" t="s">
        <v>158</v>
      </c>
      <c r="H1406" s="32" t="str">
        <f aca="false">IF(L1406="","",INDEX(ポート振替表!$N$5:$N$3507,$L1406)&amp;"")</f>
        <v/>
      </c>
      <c r="I1406" s="32" t="str">
        <f aca="false">IF(L1406="","",INDEX(ポート振替表!$P$5:$P$3507,$L1406)&amp;"")</f>
        <v/>
      </c>
      <c r="J1406" s="60" t="str">
        <f aca="false">IF(L1406="","",INDEX(ポート振替表!$M$5:$M$3507,$L1406)&amp;"")</f>
        <v/>
      </c>
      <c r="K1406" s="52" t="str">
        <f aca="false">IF(L1406="","",E1406&amp;CHAR(10)&amp;INDEX(ポート振替表!$K$5:$K$3507,$L1406)&amp;" "&amp;INDEX(ポート振替表!$L$5:$L$3507,$L1406)&amp;CHAR(10)&amp;"⇔ "&amp;INDEX(ポート振替表!$H$5:$H$3507,$L1406)&amp;" "&amp;INDEX(ポート振替表!$I$5:$I$3507,$L1406))</f>
        <v/>
      </c>
      <c r="L1406" s="47" t="str">
        <f aca="false">IFERROR(MATCH(ROW()-4,ポート振替表!$V$5:$V$3507,0),"")</f>
        <v/>
      </c>
    </row>
    <row r="1407" customFormat="false" ht="16.4" hidden="false" customHeight="false" outlineLevel="0" collapsed="false">
      <c r="A1407" s="32" t="str">
        <f aca="false">IF(L1407="","",ROW()-4)</f>
        <v/>
      </c>
      <c r="B1407" s="58" t="str">
        <f aca="false">IF(L1407="","",IF(INDEX(ポート振替表!$W$5:$W$3507,$L1407)="","(なし)",INDEX(ポート振替表!$W$5:$W$3507,$L1407)&amp;""))</f>
        <v/>
      </c>
      <c r="C1407" s="52" t="str">
        <f aca="false">IF(L1407="","",INDEX(ポート振替表!$B$5:$B$3507,$L1407)&amp;" "&amp;INDEX(ポート振替表!$C$5:$C$3507,$L1407)&amp;"  ⇔  "&amp;INDEX(ポート振替表!$H$5:$H$3507,$L1407)&amp;" "&amp;INDEX(ポート振替表!$I$5:$I$3507,$L1407))</f>
        <v/>
      </c>
      <c r="D1407" s="57" t="s">
        <v>158</v>
      </c>
      <c r="E1407" s="59" t="str">
        <f aca="false">IF(L1407="","",IF(INDEX(ポート振替表!$O$5:$O$3507,$L1407)="","(未設定)",INDEX(ポート振替表!$O$5:$O$3507,$L1407)&amp;""))</f>
        <v/>
      </c>
      <c r="F1407" s="52" t="str">
        <f aca="false">IF(L1407="","",INDEX(ポート振替表!$K$5:$K$3507,$L1407)&amp;" "&amp;INDEX(ポート振替表!$L$5:$L$3507,$L1407)&amp;"  ⇔  "&amp;INDEX(ポート振替表!$H$5:$H$3507,$L1407)&amp;" "&amp;INDEX(ポート振替表!$I$5:$I$3507,$L1407))</f>
        <v/>
      </c>
      <c r="G1407" s="57" t="s">
        <v>158</v>
      </c>
      <c r="H1407" s="32" t="str">
        <f aca="false">IF(L1407="","",INDEX(ポート振替表!$N$5:$N$3507,$L1407)&amp;"")</f>
        <v/>
      </c>
      <c r="I1407" s="32" t="str">
        <f aca="false">IF(L1407="","",INDEX(ポート振替表!$P$5:$P$3507,$L1407)&amp;"")</f>
        <v/>
      </c>
      <c r="J1407" s="60" t="str">
        <f aca="false">IF(L1407="","",INDEX(ポート振替表!$M$5:$M$3507,$L1407)&amp;"")</f>
        <v/>
      </c>
      <c r="K1407" s="52" t="str">
        <f aca="false">IF(L1407="","",E1407&amp;CHAR(10)&amp;INDEX(ポート振替表!$K$5:$K$3507,$L1407)&amp;" "&amp;INDEX(ポート振替表!$L$5:$L$3507,$L1407)&amp;CHAR(10)&amp;"⇔ "&amp;INDEX(ポート振替表!$H$5:$H$3507,$L1407)&amp;" "&amp;INDEX(ポート振替表!$I$5:$I$3507,$L1407))</f>
        <v/>
      </c>
      <c r="L1407" s="47" t="str">
        <f aca="false">IFERROR(MATCH(ROW()-4,ポート振替表!$V$5:$V$3507,0),"")</f>
        <v/>
      </c>
    </row>
    <row r="1408" customFormat="false" ht="16.4" hidden="false" customHeight="false" outlineLevel="0" collapsed="false">
      <c r="A1408" s="32" t="str">
        <f aca="false">IF(L1408="","",ROW()-4)</f>
        <v/>
      </c>
      <c r="B1408" s="58" t="str">
        <f aca="false">IF(L1408="","",IF(INDEX(ポート振替表!$W$5:$W$3507,$L1408)="","(なし)",INDEX(ポート振替表!$W$5:$W$3507,$L1408)&amp;""))</f>
        <v/>
      </c>
      <c r="C1408" s="52" t="str">
        <f aca="false">IF(L1408="","",INDEX(ポート振替表!$B$5:$B$3507,$L1408)&amp;" "&amp;INDEX(ポート振替表!$C$5:$C$3507,$L1408)&amp;"  ⇔  "&amp;INDEX(ポート振替表!$H$5:$H$3507,$L1408)&amp;" "&amp;INDEX(ポート振替表!$I$5:$I$3507,$L1408))</f>
        <v/>
      </c>
      <c r="D1408" s="57" t="s">
        <v>158</v>
      </c>
      <c r="E1408" s="59" t="str">
        <f aca="false">IF(L1408="","",IF(INDEX(ポート振替表!$O$5:$O$3507,$L1408)="","(未設定)",INDEX(ポート振替表!$O$5:$O$3507,$L1408)&amp;""))</f>
        <v/>
      </c>
      <c r="F1408" s="52" t="str">
        <f aca="false">IF(L1408="","",INDEX(ポート振替表!$K$5:$K$3507,$L1408)&amp;" "&amp;INDEX(ポート振替表!$L$5:$L$3507,$L1408)&amp;"  ⇔  "&amp;INDEX(ポート振替表!$H$5:$H$3507,$L1408)&amp;" "&amp;INDEX(ポート振替表!$I$5:$I$3507,$L1408))</f>
        <v/>
      </c>
      <c r="G1408" s="57" t="s">
        <v>158</v>
      </c>
      <c r="H1408" s="32" t="str">
        <f aca="false">IF(L1408="","",INDEX(ポート振替表!$N$5:$N$3507,$L1408)&amp;"")</f>
        <v/>
      </c>
      <c r="I1408" s="32" t="str">
        <f aca="false">IF(L1408="","",INDEX(ポート振替表!$P$5:$P$3507,$L1408)&amp;"")</f>
        <v/>
      </c>
      <c r="J1408" s="60" t="str">
        <f aca="false">IF(L1408="","",INDEX(ポート振替表!$M$5:$M$3507,$L1408)&amp;"")</f>
        <v/>
      </c>
      <c r="K1408" s="52" t="str">
        <f aca="false">IF(L1408="","",E1408&amp;CHAR(10)&amp;INDEX(ポート振替表!$K$5:$K$3507,$L1408)&amp;" "&amp;INDEX(ポート振替表!$L$5:$L$3507,$L1408)&amp;CHAR(10)&amp;"⇔ "&amp;INDEX(ポート振替表!$H$5:$H$3507,$L1408)&amp;" "&amp;INDEX(ポート振替表!$I$5:$I$3507,$L1408))</f>
        <v/>
      </c>
      <c r="L1408" s="47" t="str">
        <f aca="false">IFERROR(MATCH(ROW()-4,ポート振替表!$V$5:$V$3507,0),"")</f>
        <v/>
      </c>
    </row>
    <row r="1409" customFormat="false" ht="16.4" hidden="false" customHeight="false" outlineLevel="0" collapsed="false">
      <c r="A1409" s="32" t="str">
        <f aca="false">IF(L1409="","",ROW()-4)</f>
        <v/>
      </c>
      <c r="B1409" s="58" t="str">
        <f aca="false">IF(L1409="","",IF(INDEX(ポート振替表!$W$5:$W$3507,$L1409)="","(なし)",INDEX(ポート振替表!$W$5:$W$3507,$L1409)&amp;""))</f>
        <v/>
      </c>
      <c r="C1409" s="52" t="str">
        <f aca="false">IF(L1409="","",INDEX(ポート振替表!$B$5:$B$3507,$L1409)&amp;" "&amp;INDEX(ポート振替表!$C$5:$C$3507,$L1409)&amp;"  ⇔  "&amp;INDEX(ポート振替表!$H$5:$H$3507,$L1409)&amp;" "&amp;INDEX(ポート振替表!$I$5:$I$3507,$L1409))</f>
        <v/>
      </c>
      <c r="D1409" s="57" t="s">
        <v>158</v>
      </c>
      <c r="E1409" s="59" t="str">
        <f aca="false">IF(L1409="","",IF(INDEX(ポート振替表!$O$5:$O$3507,$L1409)="","(未設定)",INDEX(ポート振替表!$O$5:$O$3507,$L1409)&amp;""))</f>
        <v/>
      </c>
      <c r="F1409" s="52" t="str">
        <f aca="false">IF(L1409="","",INDEX(ポート振替表!$K$5:$K$3507,$L1409)&amp;" "&amp;INDEX(ポート振替表!$L$5:$L$3507,$L1409)&amp;"  ⇔  "&amp;INDEX(ポート振替表!$H$5:$H$3507,$L1409)&amp;" "&amp;INDEX(ポート振替表!$I$5:$I$3507,$L1409))</f>
        <v/>
      </c>
      <c r="G1409" s="57" t="s">
        <v>158</v>
      </c>
      <c r="H1409" s="32" t="str">
        <f aca="false">IF(L1409="","",INDEX(ポート振替表!$N$5:$N$3507,$L1409)&amp;"")</f>
        <v/>
      </c>
      <c r="I1409" s="32" t="str">
        <f aca="false">IF(L1409="","",INDEX(ポート振替表!$P$5:$P$3507,$L1409)&amp;"")</f>
        <v/>
      </c>
      <c r="J1409" s="60" t="str">
        <f aca="false">IF(L1409="","",INDEX(ポート振替表!$M$5:$M$3507,$L1409)&amp;"")</f>
        <v/>
      </c>
      <c r="K1409" s="52" t="str">
        <f aca="false">IF(L1409="","",E1409&amp;CHAR(10)&amp;INDEX(ポート振替表!$K$5:$K$3507,$L1409)&amp;" "&amp;INDEX(ポート振替表!$L$5:$L$3507,$L1409)&amp;CHAR(10)&amp;"⇔ "&amp;INDEX(ポート振替表!$H$5:$H$3507,$L1409)&amp;" "&amp;INDEX(ポート振替表!$I$5:$I$3507,$L1409))</f>
        <v/>
      </c>
      <c r="L1409" s="47" t="str">
        <f aca="false">IFERROR(MATCH(ROW()-4,ポート振替表!$V$5:$V$3507,0),"")</f>
        <v/>
      </c>
    </row>
    <row r="1410" customFormat="false" ht="16.4" hidden="false" customHeight="false" outlineLevel="0" collapsed="false">
      <c r="A1410" s="32" t="str">
        <f aca="false">IF(L1410="","",ROW()-4)</f>
        <v/>
      </c>
      <c r="B1410" s="58" t="str">
        <f aca="false">IF(L1410="","",IF(INDEX(ポート振替表!$W$5:$W$3507,$L1410)="","(なし)",INDEX(ポート振替表!$W$5:$W$3507,$L1410)&amp;""))</f>
        <v/>
      </c>
      <c r="C1410" s="52" t="str">
        <f aca="false">IF(L1410="","",INDEX(ポート振替表!$B$5:$B$3507,$L1410)&amp;" "&amp;INDEX(ポート振替表!$C$5:$C$3507,$L1410)&amp;"  ⇔  "&amp;INDEX(ポート振替表!$H$5:$H$3507,$L1410)&amp;" "&amp;INDEX(ポート振替表!$I$5:$I$3507,$L1410))</f>
        <v/>
      </c>
      <c r="D1410" s="57" t="s">
        <v>158</v>
      </c>
      <c r="E1410" s="59" t="str">
        <f aca="false">IF(L1410="","",IF(INDEX(ポート振替表!$O$5:$O$3507,$L1410)="","(未設定)",INDEX(ポート振替表!$O$5:$O$3507,$L1410)&amp;""))</f>
        <v/>
      </c>
      <c r="F1410" s="52" t="str">
        <f aca="false">IF(L1410="","",INDEX(ポート振替表!$K$5:$K$3507,$L1410)&amp;" "&amp;INDEX(ポート振替表!$L$5:$L$3507,$L1410)&amp;"  ⇔  "&amp;INDEX(ポート振替表!$H$5:$H$3507,$L1410)&amp;" "&amp;INDEX(ポート振替表!$I$5:$I$3507,$L1410))</f>
        <v/>
      </c>
      <c r="G1410" s="57" t="s">
        <v>158</v>
      </c>
      <c r="H1410" s="32" t="str">
        <f aca="false">IF(L1410="","",INDEX(ポート振替表!$N$5:$N$3507,$L1410)&amp;"")</f>
        <v/>
      </c>
      <c r="I1410" s="32" t="str">
        <f aca="false">IF(L1410="","",INDEX(ポート振替表!$P$5:$P$3507,$L1410)&amp;"")</f>
        <v/>
      </c>
      <c r="J1410" s="60" t="str">
        <f aca="false">IF(L1410="","",INDEX(ポート振替表!$M$5:$M$3507,$L1410)&amp;"")</f>
        <v/>
      </c>
      <c r="K1410" s="52" t="str">
        <f aca="false">IF(L1410="","",E1410&amp;CHAR(10)&amp;INDEX(ポート振替表!$K$5:$K$3507,$L1410)&amp;" "&amp;INDEX(ポート振替表!$L$5:$L$3507,$L1410)&amp;CHAR(10)&amp;"⇔ "&amp;INDEX(ポート振替表!$H$5:$H$3507,$L1410)&amp;" "&amp;INDEX(ポート振替表!$I$5:$I$3507,$L1410))</f>
        <v/>
      </c>
      <c r="L1410" s="47" t="str">
        <f aca="false">IFERROR(MATCH(ROW()-4,ポート振替表!$V$5:$V$3507,0),"")</f>
        <v/>
      </c>
    </row>
    <row r="1411" customFormat="false" ht="16.4" hidden="false" customHeight="false" outlineLevel="0" collapsed="false">
      <c r="A1411" s="32" t="str">
        <f aca="false">IF(L1411="","",ROW()-4)</f>
        <v/>
      </c>
      <c r="B1411" s="58" t="str">
        <f aca="false">IF(L1411="","",IF(INDEX(ポート振替表!$W$5:$W$3507,$L1411)="","(なし)",INDEX(ポート振替表!$W$5:$W$3507,$L1411)&amp;""))</f>
        <v/>
      </c>
      <c r="C1411" s="52" t="str">
        <f aca="false">IF(L1411="","",INDEX(ポート振替表!$B$5:$B$3507,$L1411)&amp;" "&amp;INDEX(ポート振替表!$C$5:$C$3507,$L1411)&amp;"  ⇔  "&amp;INDEX(ポート振替表!$H$5:$H$3507,$L1411)&amp;" "&amp;INDEX(ポート振替表!$I$5:$I$3507,$L1411))</f>
        <v/>
      </c>
      <c r="D1411" s="57" t="s">
        <v>158</v>
      </c>
      <c r="E1411" s="59" t="str">
        <f aca="false">IF(L1411="","",IF(INDEX(ポート振替表!$O$5:$O$3507,$L1411)="","(未設定)",INDEX(ポート振替表!$O$5:$O$3507,$L1411)&amp;""))</f>
        <v/>
      </c>
      <c r="F1411" s="52" t="str">
        <f aca="false">IF(L1411="","",INDEX(ポート振替表!$K$5:$K$3507,$L1411)&amp;" "&amp;INDEX(ポート振替表!$L$5:$L$3507,$L1411)&amp;"  ⇔  "&amp;INDEX(ポート振替表!$H$5:$H$3507,$L1411)&amp;" "&amp;INDEX(ポート振替表!$I$5:$I$3507,$L1411))</f>
        <v/>
      </c>
      <c r="G1411" s="57" t="s">
        <v>158</v>
      </c>
      <c r="H1411" s="32" t="str">
        <f aca="false">IF(L1411="","",INDEX(ポート振替表!$N$5:$N$3507,$L1411)&amp;"")</f>
        <v/>
      </c>
      <c r="I1411" s="32" t="str">
        <f aca="false">IF(L1411="","",INDEX(ポート振替表!$P$5:$P$3507,$L1411)&amp;"")</f>
        <v/>
      </c>
      <c r="J1411" s="60" t="str">
        <f aca="false">IF(L1411="","",INDEX(ポート振替表!$M$5:$M$3507,$L1411)&amp;"")</f>
        <v/>
      </c>
      <c r="K1411" s="52" t="str">
        <f aca="false">IF(L1411="","",E1411&amp;CHAR(10)&amp;INDEX(ポート振替表!$K$5:$K$3507,$L1411)&amp;" "&amp;INDEX(ポート振替表!$L$5:$L$3507,$L1411)&amp;CHAR(10)&amp;"⇔ "&amp;INDEX(ポート振替表!$H$5:$H$3507,$L1411)&amp;" "&amp;INDEX(ポート振替表!$I$5:$I$3507,$L1411))</f>
        <v/>
      </c>
      <c r="L1411" s="47" t="str">
        <f aca="false">IFERROR(MATCH(ROW()-4,ポート振替表!$V$5:$V$3507,0),"")</f>
        <v/>
      </c>
    </row>
    <row r="1412" customFormat="false" ht="16.4" hidden="false" customHeight="false" outlineLevel="0" collapsed="false">
      <c r="A1412" s="32" t="str">
        <f aca="false">IF(L1412="","",ROW()-4)</f>
        <v/>
      </c>
      <c r="B1412" s="58" t="str">
        <f aca="false">IF(L1412="","",IF(INDEX(ポート振替表!$W$5:$W$3507,$L1412)="","(なし)",INDEX(ポート振替表!$W$5:$W$3507,$L1412)&amp;""))</f>
        <v/>
      </c>
      <c r="C1412" s="52" t="str">
        <f aca="false">IF(L1412="","",INDEX(ポート振替表!$B$5:$B$3507,$L1412)&amp;" "&amp;INDEX(ポート振替表!$C$5:$C$3507,$L1412)&amp;"  ⇔  "&amp;INDEX(ポート振替表!$H$5:$H$3507,$L1412)&amp;" "&amp;INDEX(ポート振替表!$I$5:$I$3507,$L1412))</f>
        <v/>
      </c>
      <c r="D1412" s="57" t="s">
        <v>158</v>
      </c>
      <c r="E1412" s="59" t="str">
        <f aca="false">IF(L1412="","",IF(INDEX(ポート振替表!$O$5:$O$3507,$L1412)="","(未設定)",INDEX(ポート振替表!$O$5:$O$3507,$L1412)&amp;""))</f>
        <v/>
      </c>
      <c r="F1412" s="52" t="str">
        <f aca="false">IF(L1412="","",INDEX(ポート振替表!$K$5:$K$3507,$L1412)&amp;" "&amp;INDEX(ポート振替表!$L$5:$L$3507,$L1412)&amp;"  ⇔  "&amp;INDEX(ポート振替表!$H$5:$H$3507,$L1412)&amp;" "&amp;INDEX(ポート振替表!$I$5:$I$3507,$L1412))</f>
        <v/>
      </c>
      <c r="G1412" s="57" t="s">
        <v>158</v>
      </c>
      <c r="H1412" s="32" t="str">
        <f aca="false">IF(L1412="","",INDEX(ポート振替表!$N$5:$N$3507,$L1412)&amp;"")</f>
        <v/>
      </c>
      <c r="I1412" s="32" t="str">
        <f aca="false">IF(L1412="","",INDEX(ポート振替表!$P$5:$P$3507,$L1412)&amp;"")</f>
        <v/>
      </c>
      <c r="J1412" s="60" t="str">
        <f aca="false">IF(L1412="","",INDEX(ポート振替表!$M$5:$M$3507,$L1412)&amp;"")</f>
        <v/>
      </c>
      <c r="K1412" s="52" t="str">
        <f aca="false">IF(L1412="","",E1412&amp;CHAR(10)&amp;INDEX(ポート振替表!$K$5:$K$3507,$L1412)&amp;" "&amp;INDEX(ポート振替表!$L$5:$L$3507,$L1412)&amp;CHAR(10)&amp;"⇔ "&amp;INDEX(ポート振替表!$H$5:$H$3507,$L1412)&amp;" "&amp;INDEX(ポート振替表!$I$5:$I$3507,$L1412))</f>
        <v/>
      </c>
      <c r="L1412" s="47" t="str">
        <f aca="false">IFERROR(MATCH(ROW()-4,ポート振替表!$V$5:$V$3507,0),"")</f>
        <v/>
      </c>
    </row>
    <row r="1413" customFormat="false" ht="16.4" hidden="false" customHeight="false" outlineLevel="0" collapsed="false">
      <c r="A1413" s="32" t="str">
        <f aca="false">IF(L1413="","",ROW()-4)</f>
        <v/>
      </c>
      <c r="B1413" s="58" t="str">
        <f aca="false">IF(L1413="","",IF(INDEX(ポート振替表!$W$5:$W$3507,$L1413)="","(なし)",INDEX(ポート振替表!$W$5:$W$3507,$L1413)&amp;""))</f>
        <v/>
      </c>
      <c r="C1413" s="52" t="str">
        <f aca="false">IF(L1413="","",INDEX(ポート振替表!$B$5:$B$3507,$L1413)&amp;" "&amp;INDEX(ポート振替表!$C$5:$C$3507,$L1413)&amp;"  ⇔  "&amp;INDEX(ポート振替表!$H$5:$H$3507,$L1413)&amp;" "&amp;INDEX(ポート振替表!$I$5:$I$3507,$L1413))</f>
        <v/>
      </c>
      <c r="D1413" s="57" t="s">
        <v>158</v>
      </c>
      <c r="E1413" s="59" t="str">
        <f aca="false">IF(L1413="","",IF(INDEX(ポート振替表!$O$5:$O$3507,$L1413)="","(未設定)",INDEX(ポート振替表!$O$5:$O$3507,$L1413)&amp;""))</f>
        <v/>
      </c>
      <c r="F1413" s="52" t="str">
        <f aca="false">IF(L1413="","",INDEX(ポート振替表!$K$5:$K$3507,$L1413)&amp;" "&amp;INDEX(ポート振替表!$L$5:$L$3507,$L1413)&amp;"  ⇔  "&amp;INDEX(ポート振替表!$H$5:$H$3507,$L1413)&amp;" "&amp;INDEX(ポート振替表!$I$5:$I$3507,$L1413))</f>
        <v/>
      </c>
      <c r="G1413" s="57" t="s">
        <v>158</v>
      </c>
      <c r="H1413" s="32" t="str">
        <f aca="false">IF(L1413="","",INDEX(ポート振替表!$N$5:$N$3507,$L1413)&amp;"")</f>
        <v/>
      </c>
      <c r="I1413" s="32" t="str">
        <f aca="false">IF(L1413="","",INDEX(ポート振替表!$P$5:$P$3507,$L1413)&amp;"")</f>
        <v/>
      </c>
      <c r="J1413" s="60" t="str">
        <f aca="false">IF(L1413="","",INDEX(ポート振替表!$M$5:$M$3507,$L1413)&amp;"")</f>
        <v/>
      </c>
      <c r="K1413" s="52" t="str">
        <f aca="false">IF(L1413="","",E1413&amp;CHAR(10)&amp;INDEX(ポート振替表!$K$5:$K$3507,$L1413)&amp;" "&amp;INDEX(ポート振替表!$L$5:$L$3507,$L1413)&amp;CHAR(10)&amp;"⇔ "&amp;INDEX(ポート振替表!$H$5:$H$3507,$L1413)&amp;" "&amp;INDEX(ポート振替表!$I$5:$I$3507,$L1413))</f>
        <v/>
      </c>
      <c r="L1413" s="47" t="str">
        <f aca="false">IFERROR(MATCH(ROW()-4,ポート振替表!$V$5:$V$3507,0),"")</f>
        <v/>
      </c>
    </row>
    <row r="1414" customFormat="false" ht="16.4" hidden="false" customHeight="false" outlineLevel="0" collapsed="false">
      <c r="A1414" s="32" t="str">
        <f aca="false">IF(L1414="","",ROW()-4)</f>
        <v/>
      </c>
      <c r="B1414" s="58" t="str">
        <f aca="false">IF(L1414="","",IF(INDEX(ポート振替表!$W$5:$W$3507,$L1414)="","(なし)",INDEX(ポート振替表!$W$5:$W$3507,$L1414)&amp;""))</f>
        <v/>
      </c>
      <c r="C1414" s="52" t="str">
        <f aca="false">IF(L1414="","",INDEX(ポート振替表!$B$5:$B$3507,$L1414)&amp;" "&amp;INDEX(ポート振替表!$C$5:$C$3507,$L1414)&amp;"  ⇔  "&amp;INDEX(ポート振替表!$H$5:$H$3507,$L1414)&amp;" "&amp;INDEX(ポート振替表!$I$5:$I$3507,$L1414))</f>
        <v/>
      </c>
      <c r="D1414" s="57" t="s">
        <v>158</v>
      </c>
      <c r="E1414" s="59" t="str">
        <f aca="false">IF(L1414="","",IF(INDEX(ポート振替表!$O$5:$O$3507,$L1414)="","(未設定)",INDEX(ポート振替表!$O$5:$O$3507,$L1414)&amp;""))</f>
        <v/>
      </c>
      <c r="F1414" s="52" t="str">
        <f aca="false">IF(L1414="","",INDEX(ポート振替表!$K$5:$K$3507,$L1414)&amp;" "&amp;INDEX(ポート振替表!$L$5:$L$3507,$L1414)&amp;"  ⇔  "&amp;INDEX(ポート振替表!$H$5:$H$3507,$L1414)&amp;" "&amp;INDEX(ポート振替表!$I$5:$I$3507,$L1414))</f>
        <v/>
      </c>
      <c r="G1414" s="57" t="s">
        <v>158</v>
      </c>
      <c r="H1414" s="32" t="str">
        <f aca="false">IF(L1414="","",INDEX(ポート振替表!$N$5:$N$3507,$L1414)&amp;"")</f>
        <v/>
      </c>
      <c r="I1414" s="32" t="str">
        <f aca="false">IF(L1414="","",INDEX(ポート振替表!$P$5:$P$3507,$L1414)&amp;"")</f>
        <v/>
      </c>
      <c r="J1414" s="60" t="str">
        <f aca="false">IF(L1414="","",INDEX(ポート振替表!$M$5:$M$3507,$L1414)&amp;"")</f>
        <v/>
      </c>
      <c r="K1414" s="52" t="str">
        <f aca="false">IF(L1414="","",E1414&amp;CHAR(10)&amp;INDEX(ポート振替表!$K$5:$K$3507,$L1414)&amp;" "&amp;INDEX(ポート振替表!$L$5:$L$3507,$L1414)&amp;CHAR(10)&amp;"⇔ "&amp;INDEX(ポート振替表!$H$5:$H$3507,$L1414)&amp;" "&amp;INDEX(ポート振替表!$I$5:$I$3507,$L1414))</f>
        <v/>
      </c>
      <c r="L1414" s="47" t="str">
        <f aca="false">IFERROR(MATCH(ROW()-4,ポート振替表!$V$5:$V$3507,0),"")</f>
        <v/>
      </c>
    </row>
    <row r="1415" customFormat="false" ht="16.4" hidden="false" customHeight="false" outlineLevel="0" collapsed="false">
      <c r="A1415" s="32" t="str">
        <f aca="false">IF(L1415="","",ROW()-4)</f>
        <v/>
      </c>
      <c r="B1415" s="58" t="str">
        <f aca="false">IF(L1415="","",IF(INDEX(ポート振替表!$W$5:$W$3507,$L1415)="","(なし)",INDEX(ポート振替表!$W$5:$W$3507,$L1415)&amp;""))</f>
        <v/>
      </c>
      <c r="C1415" s="52" t="str">
        <f aca="false">IF(L1415="","",INDEX(ポート振替表!$B$5:$B$3507,$L1415)&amp;" "&amp;INDEX(ポート振替表!$C$5:$C$3507,$L1415)&amp;"  ⇔  "&amp;INDEX(ポート振替表!$H$5:$H$3507,$L1415)&amp;" "&amp;INDEX(ポート振替表!$I$5:$I$3507,$L1415))</f>
        <v/>
      </c>
      <c r="D1415" s="57" t="s">
        <v>158</v>
      </c>
      <c r="E1415" s="59" t="str">
        <f aca="false">IF(L1415="","",IF(INDEX(ポート振替表!$O$5:$O$3507,$L1415)="","(未設定)",INDEX(ポート振替表!$O$5:$O$3507,$L1415)&amp;""))</f>
        <v/>
      </c>
      <c r="F1415" s="52" t="str">
        <f aca="false">IF(L1415="","",INDEX(ポート振替表!$K$5:$K$3507,$L1415)&amp;" "&amp;INDEX(ポート振替表!$L$5:$L$3507,$L1415)&amp;"  ⇔  "&amp;INDEX(ポート振替表!$H$5:$H$3507,$L1415)&amp;" "&amp;INDEX(ポート振替表!$I$5:$I$3507,$L1415))</f>
        <v/>
      </c>
      <c r="G1415" s="57" t="s">
        <v>158</v>
      </c>
      <c r="H1415" s="32" t="str">
        <f aca="false">IF(L1415="","",INDEX(ポート振替表!$N$5:$N$3507,$L1415)&amp;"")</f>
        <v/>
      </c>
      <c r="I1415" s="32" t="str">
        <f aca="false">IF(L1415="","",INDEX(ポート振替表!$P$5:$P$3507,$L1415)&amp;"")</f>
        <v/>
      </c>
      <c r="J1415" s="60" t="str">
        <f aca="false">IF(L1415="","",INDEX(ポート振替表!$M$5:$M$3507,$L1415)&amp;"")</f>
        <v/>
      </c>
      <c r="K1415" s="52" t="str">
        <f aca="false">IF(L1415="","",E1415&amp;CHAR(10)&amp;INDEX(ポート振替表!$K$5:$K$3507,$L1415)&amp;" "&amp;INDEX(ポート振替表!$L$5:$L$3507,$L1415)&amp;CHAR(10)&amp;"⇔ "&amp;INDEX(ポート振替表!$H$5:$H$3507,$L1415)&amp;" "&amp;INDEX(ポート振替表!$I$5:$I$3507,$L1415))</f>
        <v/>
      </c>
      <c r="L1415" s="47" t="str">
        <f aca="false">IFERROR(MATCH(ROW()-4,ポート振替表!$V$5:$V$3507,0),"")</f>
        <v/>
      </c>
    </row>
    <row r="1416" customFormat="false" ht="16.4" hidden="false" customHeight="false" outlineLevel="0" collapsed="false">
      <c r="A1416" s="32" t="str">
        <f aca="false">IF(L1416="","",ROW()-4)</f>
        <v/>
      </c>
      <c r="B1416" s="58" t="str">
        <f aca="false">IF(L1416="","",IF(INDEX(ポート振替表!$W$5:$W$3507,$L1416)="","(なし)",INDEX(ポート振替表!$W$5:$W$3507,$L1416)&amp;""))</f>
        <v/>
      </c>
      <c r="C1416" s="52" t="str">
        <f aca="false">IF(L1416="","",INDEX(ポート振替表!$B$5:$B$3507,$L1416)&amp;" "&amp;INDEX(ポート振替表!$C$5:$C$3507,$L1416)&amp;"  ⇔  "&amp;INDEX(ポート振替表!$H$5:$H$3507,$L1416)&amp;" "&amp;INDEX(ポート振替表!$I$5:$I$3507,$L1416))</f>
        <v/>
      </c>
      <c r="D1416" s="57" t="s">
        <v>158</v>
      </c>
      <c r="E1416" s="59" t="str">
        <f aca="false">IF(L1416="","",IF(INDEX(ポート振替表!$O$5:$O$3507,$L1416)="","(未設定)",INDEX(ポート振替表!$O$5:$O$3507,$L1416)&amp;""))</f>
        <v/>
      </c>
      <c r="F1416" s="52" t="str">
        <f aca="false">IF(L1416="","",INDEX(ポート振替表!$K$5:$K$3507,$L1416)&amp;" "&amp;INDEX(ポート振替表!$L$5:$L$3507,$L1416)&amp;"  ⇔  "&amp;INDEX(ポート振替表!$H$5:$H$3507,$L1416)&amp;" "&amp;INDEX(ポート振替表!$I$5:$I$3507,$L1416))</f>
        <v/>
      </c>
      <c r="G1416" s="57" t="s">
        <v>158</v>
      </c>
      <c r="H1416" s="32" t="str">
        <f aca="false">IF(L1416="","",INDEX(ポート振替表!$N$5:$N$3507,$L1416)&amp;"")</f>
        <v/>
      </c>
      <c r="I1416" s="32" t="str">
        <f aca="false">IF(L1416="","",INDEX(ポート振替表!$P$5:$P$3507,$L1416)&amp;"")</f>
        <v/>
      </c>
      <c r="J1416" s="60" t="str">
        <f aca="false">IF(L1416="","",INDEX(ポート振替表!$M$5:$M$3507,$L1416)&amp;"")</f>
        <v/>
      </c>
      <c r="K1416" s="52" t="str">
        <f aca="false">IF(L1416="","",E1416&amp;CHAR(10)&amp;INDEX(ポート振替表!$K$5:$K$3507,$L1416)&amp;" "&amp;INDEX(ポート振替表!$L$5:$L$3507,$L1416)&amp;CHAR(10)&amp;"⇔ "&amp;INDEX(ポート振替表!$H$5:$H$3507,$L1416)&amp;" "&amp;INDEX(ポート振替表!$I$5:$I$3507,$L1416))</f>
        <v/>
      </c>
      <c r="L1416" s="47" t="str">
        <f aca="false">IFERROR(MATCH(ROW()-4,ポート振替表!$V$5:$V$3507,0),"")</f>
        <v/>
      </c>
    </row>
    <row r="1417" customFormat="false" ht="16.4" hidden="false" customHeight="false" outlineLevel="0" collapsed="false">
      <c r="A1417" s="32" t="str">
        <f aca="false">IF(L1417="","",ROW()-4)</f>
        <v/>
      </c>
      <c r="B1417" s="58" t="str">
        <f aca="false">IF(L1417="","",IF(INDEX(ポート振替表!$W$5:$W$3507,$L1417)="","(なし)",INDEX(ポート振替表!$W$5:$W$3507,$L1417)&amp;""))</f>
        <v/>
      </c>
      <c r="C1417" s="52" t="str">
        <f aca="false">IF(L1417="","",INDEX(ポート振替表!$B$5:$B$3507,$L1417)&amp;" "&amp;INDEX(ポート振替表!$C$5:$C$3507,$L1417)&amp;"  ⇔  "&amp;INDEX(ポート振替表!$H$5:$H$3507,$L1417)&amp;" "&amp;INDEX(ポート振替表!$I$5:$I$3507,$L1417))</f>
        <v/>
      </c>
      <c r="D1417" s="57" t="s">
        <v>158</v>
      </c>
      <c r="E1417" s="59" t="str">
        <f aca="false">IF(L1417="","",IF(INDEX(ポート振替表!$O$5:$O$3507,$L1417)="","(未設定)",INDEX(ポート振替表!$O$5:$O$3507,$L1417)&amp;""))</f>
        <v/>
      </c>
      <c r="F1417" s="52" t="str">
        <f aca="false">IF(L1417="","",INDEX(ポート振替表!$K$5:$K$3507,$L1417)&amp;" "&amp;INDEX(ポート振替表!$L$5:$L$3507,$L1417)&amp;"  ⇔  "&amp;INDEX(ポート振替表!$H$5:$H$3507,$L1417)&amp;" "&amp;INDEX(ポート振替表!$I$5:$I$3507,$L1417))</f>
        <v/>
      </c>
      <c r="G1417" s="57" t="s">
        <v>158</v>
      </c>
      <c r="H1417" s="32" t="str">
        <f aca="false">IF(L1417="","",INDEX(ポート振替表!$N$5:$N$3507,$L1417)&amp;"")</f>
        <v/>
      </c>
      <c r="I1417" s="32" t="str">
        <f aca="false">IF(L1417="","",INDEX(ポート振替表!$P$5:$P$3507,$L1417)&amp;"")</f>
        <v/>
      </c>
      <c r="J1417" s="60" t="str">
        <f aca="false">IF(L1417="","",INDEX(ポート振替表!$M$5:$M$3507,$L1417)&amp;"")</f>
        <v/>
      </c>
      <c r="K1417" s="52" t="str">
        <f aca="false">IF(L1417="","",E1417&amp;CHAR(10)&amp;INDEX(ポート振替表!$K$5:$K$3507,$L1417)&amp;" "&amp;INDEX(ポート振替表!$L$5:$L$3507,$L1417)&amp;CHAR(10)&amp;"⇔ "&amp;INDEX(ポート振替表!$H$5:$H$3507,$L1417)&amp;" "&amp;INDEX(ポート振替表!$I$5:$I$3507,$L1417))</f>
        <v/>
      </c>
      <c r="L1417" s="47" t="str">
        <f aca="false">IFERROR(MATCH(ROW()-4,ポート振替表!$V$5:$V$3507,0),"")</f>
        <v/>
      </c>
    </row>
    <row r="1418" customFormat="false" ht="16.4" hidden="false" customHeight="false" outlineLevel="0" collapsed="false">
      <c r="A1418" s="32" t="str">
        <f aca="false">IF(L1418="","",ROW()-4)</f>
        <v/>
      </c>
      <c r="B1418" s="58" t="str">
        <f aca="false">IF(L1418="","",IF(INDEX(ポート振替表!$W$5:$W$3507,$L1418)="","(なし)",INDEX(ポート振替表!$W$5:$W$3507,$L1418)&amp;""))</f>
        <v/>
      </c>
      <c r="C1418" s="52" t="str">
        <f aca="false">IF(L1418="","",INDEX(ポート振替表!$B$5:$B$3507,$L1418)&amp;" "&amp;INDEX(ポート振替表!$C$5:$C$3507,$L1418)&amp;"  ⇔  "&amp;INDEX(ポート振替表!$H$5:$H$3507,$L1418)&amp;" "&amp;INDEX(ポート振替表!$I$5:$I$3507,$L1418))</f>
        <v/>
      </c>
      <c r="D1418" s="57" t="s">
        <v>158</v>
      </c>
      <c r="E1418" s="59" t="str">
        <f aca="false">IF(L1418="","",IF(INDEX(ポート振替表!$O$5:$O$3507,$L1418)="","(未設定)",INDEX(ポート振替表!$O$5:$O$3507,$L1418)&amp;""))</f>
        <v/>
      </c>
      <c r="F1418" s="52" t="str">
        <f aca="false">IF(L1418="","",INDEX(ポート振替表!$K$5:$K$3507,$L1418)&amp;" "&amp;INDEX(ポート振替表!$L$5:$L$3507,$L1418)&amp;"  ⇔  "&amp;INDEX(ポート振替表!$H$5:$H$3507,$L1418)&amp;" "&amp;INDEX(ポート振替表!$I$5:$I$3507,$L1418))</f>
        <v/>
      </c>
      <c r="G1418" s="57" t="s">
        <v>158</v>
      </c>
      <c r="H1418" s="32" t="str">
        <f aca="false">IF(L1418="","",INDEX(ポート振替表!$N$5:$N$3507,$L1418)&amp;"")</f>
        <v/>
      </c>
      <c r="I1418" s="32" t="str">
        <f aca="false">IF(L1418="","",INDEX(ポート振替表!$P$5:$P$3507,$L1418)&amp;"")</f>
        <v/>
      </c>
      <c r="J1418" s="60" t="str">
        <f aca="false">IF(L1418="","",INDEX(ポート振替表!$M$5:$M$3507,$L1418)&amp;"")</f>
        <v/>
      </c>
      <c r="K1418" s="52" t="str">
        <f aca="false">IF(L1418="","",E1418&amp;CHAR(10)&amp;INDEX(ポート振替表!$K$5:$K$3507,$L1418)&amp;" "&amp;INDEX(ポート振替表!$L$5:$L$3507,$L1418)&amp;CHAR(10)&amp;"⇔ "&amp;INDEX(ポート振替表!$H$5:$H$3507,$L1418)&amp;" "&amp;INDEX(ポート振替表!$I$5:$I$3507,$L1418))</f>
        <v/>
      </c>
      <c r="L1418" s="47" t="str">
        <f aca="false">IFERROR(MATCH(ROW()-4,ポート振替表!$V$5:$V$3507,0),"")</f>
        <v/>
      </c>
    </row>
    <row r="1419" customFormat="false" ht="16.4" hidden="false" customHeight="false" outlineLevel="0" collapsed="false">
      <c r="A1419" s="32" t="str">
        <f aca="false">IF(L1419="","",ROW()-4)</f>
        <v/>
      </c>
      <c r="B1419" s="58" t="str">
        <f aca="false">IF(L1419="","",IF(INDEX(ポート振替表!$W$5:$W$3507,$L1419)="","(なし)",INDEX(ポート振替表!$W$5:$W$3507,$L1419)&amp;""))</f>
        <v/>
      </c>
      <c r="C1419" s="52" t="str">
        <f aca="false">IF(L1419="","",INDEX(ポート振替表!$B$5:$B$3507,$L1419)&amp;" "&amp;INDEX(ポート振替表!$C$5:$C$3507,$L1419)&amp;"  ⇔  "&amp;INDEX(ポート振替表!$H$5:$H$3507,$L1419)&amp;" "&amp;INDEX(ポート振替表!$I$5:$I$3507,$L1419))</f>
        <v/>
      </c>
      <c r="D1419" s="57" t="s">
        <v>158</v>
      </c>
      <c r="E1419" s="59" t="str">
        <f aca="false">IF(L1419="","",IF(INDEX(ポート振替表!$O$5:$O$3507,$L1419)="","(未設定)",INDEX(ポート振替表!$O$5:$O$3507,$L1419)&amp;""))</f>
        <v/>
      </c>
      <c r="F1419" s="52" t="str">
        <f aca="false">IF(L1419="","",INDEX(ポート振替表!$K$5:$K$3507,$L1419)&amp;" "&amp;INDEX(ポート振替表!$L$5:$L$3507,$L1419)&amp;"  ⇔  "&amp;INDEX(ポート振替表!$H$5:$H$3507,$L1419)&amp;" "&amp;INDEX(ポート振替表!$I$5:$I$3507,$L1419))</f>
        <v/>
      </c>
      <c r="G1419" s="57" t="s">
        <v>158</v>
      </c>
      <c r="H1419" s="32" t="str">
        <f aca="false">IF(L1419="","",INDEX(ポート振替表!$N$5:$N$3507,$L1419)&amp;"")</f>
        <v/>
      </c>
      <c r="I1419" s="32" t="str">
        <f aca="false">IF(L1419="","",INDEX(ポート振替表!$P$5:$P$3507,$L1419)&amp;"")</f>
        <v/>
      </c>
      <c r="J1419" s="60" t="str">
        <f aca="false">IF(L1419="","",INDEX(ポート振替表!$M$5:$M$3507,$L1419)&amp;"")</f>
        <v/>
      </c>
      <c r="K1419" s="52" t="str">
        <f aca="false">IF(L1419="","",E1419&amp;CHAR(10)&amp;INDEX(ポート振替表!$K$5:$K$3507,$L1419)&amp;" "&amp;INDEX(ポート振替表!$L$5:$L$3507,$L1419)&amp;CHAR(10)&amp;"⇔ "&amp;INDEX(ポート振替表!$H$5:$H$3507,$L1419)&amp;" "&amp;INDEX(ポート振替表!$I$5:$I$3507,$L1419))</f>
        <v/>
      </c>
      <c r="L1419" s="47" t="str">
        <f aca="false">IFERROR(MATCH(ROW()-4,ポート振替表!$V$5:$V$3507,0),"")</f>
        <v/>
      </c>
    </row>
    <row r="1420" customFormat="false" ht="16.4" hidden="false" customHeight="false" outlineLevel="0" collapsed="false">
      <c r="A1420" s="32" t="str">
        <f aca="false">IF(L1420="","",ROW()-4)</f>
        <v/>
      </c>
      <c r="B1420" s="58" t="str">
        <f aca="false">IF(L1420="","",IF(INDEX(ポート振替表!$W$5:$W$3507,$L1420)="","(なし)",INDEX(ポート振替表!$W$5:$W$3507,$L1420)&amp;""))</f>
        <v/>
      </c>
      <c r="C1420" s="52" t="str">
        <f aca="false">IF(L1420="","",INDEX(ポート振替表!$B$5:$B$3507,$L1420)&amp;" "&amp;INDEX(ポート振替表!$C$5:$C$3507,$L1420)&amp;"  ⇔  "&amp;INDEX(ポート振替表!$H$5:$H$3507,$L1420)&amp;" "&amp;INDEX(ポート振替表!$I$5:$I$3507,$L1420))</f>
        <v/>
      </c>
      <c r="D1420" s="57" t="s">
        <v>158</v>
      </c>
      <c r="E1420" s="59" t="str">
        <f aca="false">IF(L1420="","",IF(INDEX(ポート振替表!$O$5:$O$3507,$L1420)="","(未設定)",INDEX(ポート振替表!$O$5:$O$3507,$L1420)&amp;""))</f>
        <v/>
      </c>
      <c r="F1420" s="52" t="str">
        <f aca="false">IF(L1420="","",INDEX(ポート振替表!$K$5:$K$3507,$L1420)&amp;" "&amp;INDEX(ポート振替表!$L$5:$L$3507,$L1420)&amp;"  ⇔  "&amp;INDEX(ポート振替表!$H$5:$H$3507,$L1420)&amp;" "&amp;INDEX(ポート振替表!$I$5:$I$3507,$L1420))</f>
        <v/>
      </c>
      <c r="G1420" s="57" t="s">
        <v>158</v>
      </c>
      <c r="H1420" s="32" t="str">
        <f aca="false">IF(L1420="","",INDEX(ポート振替表!$N$5:$N$3507,$L1420)&amp;"")</f>
        <v/>
      </c>
      <c r="I1420" s="32" t="str">
        <f aca="false">IF(L1420="","",INDEX(ポート振替表!$P$5:$P$3507,$L1420)&amp;"")</f>
        <v/>
      </c>
      <c r="J1420" s="60" t="str">
        <f aca="false">IF(L1420="","",INDEX(ポート振替表!$M$5:$M$3507,$L1420)&amp;"")</f>
        <v/>
      </c>
      <c r="K1420" s="52" t="str">
        <f aca="false">IF(L1420="","",E1420&amp;CHAR(10)&amp;INDEX(ポート振替表!$K$5:$K$3507,$L1420)&amp;" "&amp;INDEX(ポート振替表!$L$5:$L$3507,$L1420)&amp;CHAR(10)&amp;"⇔ "&amp;INDEX(ポート振替表!$H$5:$H$3507,$L1420)&amp;" "&amp;INDEX(ポート振替表!$I$5:$I$3507,$L1420))</f>
        <v/>
      </c>
      <c r="L1420" s="47" t="str">
        <f aca="false">IFERROR(MATCH(ROW()-4,ポート振替表!$V$5:$V$3507,0),"")</f>
        <v/>
      </c>
    </row>
    <row r="1421" customFormat="false" ht="16.4" hidden="false" customHeight="false" outlineLevel="0" collapsed="false">
      <c r="A1421" s="32" t="str">
        <f aca="false">IF(L1421="","",ROW()-4)</f>
        <v/>
      </c>
      <c r="B1421" s="58" t="str">
        <f aca="false">IF(L1421="","",IF(INDEX(ポート振替表!$W$5:$W$3507,$L1421)="","(なし)",INDEX(ポート振替表!$W$5:$W$3507,$L1421)&amp;""))</f>
        <v/>
      </c>
      <c r="C1421" s="52" t="str">
        <f aca="false">IF(L1421="","",INDEX(ポート振替表!$B$5:$B$3507,$L1421)&amp;" "&amp;INDEX(ポート振替表!$C$5:$C$3507,$L1421)&amp;"  ⇔  "&amp;INDEX(ポート振替表!$H$5:$H$3507,$L1421)&amp;" "&amp;INDEX(ポート振替表!$I$5:$I$3507,$L1421))</f>
        <v/>
      </c>
      <c r="D1421" s="57" t="s">
        <v>158</v>
      </c>
      <c r="E1421" s="59" t="str">
        <f aca="false">IF(L1421="","",IF(INDEX(ポート振替表!$O$5:$O$3507,$L1421)="","(未設定)",INDEX(ポート振替表!$O$5:$O$3507,$L1421)&amp;""))</f>
        <v/>
      </c>
      <c r="F1421" s="52" t="str">
        <f aca="false">IF(L1421="","",INDEX(ポート振替表!$K$5:$K$3507,$L1421)&amp;" "&amp;INDEX(ポート振替表!$L$5:$L$3507,$L1421)&amp;"  ⇔  "&amp;INDEX(ポート振替表!$H$5:$H$3507,$L1421)&amp;" "&amp;INDEX(ポート振替表!$I$5:$I$3507,$L1421))</f>
        <v/>
      </c>
      <c r="G1421" s="57" t="s">
        <v>158</v>
      </c>
      <c r="H1421" s="32" t="str">
        <f aca="false">IF(L1421="","",INDEX(ポート振替表!$N$5:$N$3507,$L1421)&amp;"")</f>
        <v/>
      </c>
      <c r="I1421" s="32" t="str">
        <f aca="false">IF(L1421="","",INDEX(ポート振替表!$P$5:$P$3507,$L1421)&amp;"")</f>
        <v/>
      </c>
      <c r="J1421" s="60" t="str">
        <f aca="false">IF(L1421="","",INDEX(ポート振替表!$M$5:$M$3507,$L1421)&amp;"")</f>
        <v/>
      </c>
      <c r="K1421" s="52" t="str">
        <f aca="false">IF(L1421="","",E1421&amp;CHAR(10)&amp;INDEX(ポート振替表!$K$5:$K$3507,$L1421)&amp;" "&amp;INDEX(ポート振替表!$L$5:$L$3507,$L1421)&amp;CHAR(10)&amp;"⇔ "&amp;INDEX(ポート振替表!$H$5:$H$3507,$L1421)&amp;" "&amp;INDEX(ポート振替表!$I$5:$I$3507,$L1421))</f>
        <v/>
      </c>
      <c r="L1421" s="47" t="str">
        <f aca="false">IFERROR(MATCH(ROW()-4,ポート振替表!$V$5:$V$3507,0),"")</f>
        <v/>
      </c>
    </row>
    <row r="1422" customFormat="false" ht="16.4" hidden="false" customHeight="false" outlineLevel="0" collapsed="false">
      <c r="A1422" s="32" t="str">
        <f aca="false">IF(L1422="","",ROW()-4)</f>
        <v/>
      </c>
      <c r="B1422" s="58" t="str">
        <f aca="false">IF(L1422="","",IF(INDEX(ポート振替表!$W$5:$W$3507,$L1422)="","(なし)",INDEX(ポート振替表!$W$5:$W$3507,$L1422)&amp;""))</f>
        <v/>
      </c>
      <c r="C1422" s="52" t="str">
        <f aca="false">IF(L1422="","",INDEX(ポート振替表!$B$5:$B$3507,$L1422)&amp;" "&amp;INDEX(ポート振替表!$C$5:$C$3507,$L1422)&amp;"  ⇔  "&amp;INDEX(ポート振替表!$H$5:$H$3507,$L1422)&amp;" "&amp;INDEX(ポート振替表!$I$5:$I$3507,$L1422))</f>
        <v/>
      </c>
      <c r="D1422" s="57" t="s">
        <v>158</v>
      </c>
      <c r="E1422" s="59" t="str">
        <f aca="false">IF(L1422="","",IF(INDEX(ポート振替表!$O$5:$O$3507,$L1422)="","(未設定)",INDEX(ポート振替表!$O$5:$O$3507,$L1422)&amp;""))</f>
        <v/>
      </c>
      <c r="F1422" s="52" t="str">
        <f aca="false">IF(L1422="","",INDEX(ポート振替表!$K$5:$K$3507,$L1422)&amp;" "&amp;INDEX(ポート振替表!$L$5:$L$3507,$L1422)&amp;"  ⇔  "&amp;INDEX(ポート振替表!$H$5:$H$3507,$L1422)&amp;" "&amp;INDEX(ポート振替表!$I$5:$I$3507,$L1422))</f>
        <v/>
      </c>
      <c r="G1422" s="57" t="s">
        <v>158</v>
      </c>
      <c r="H1422" s="32" t="str">
        <f aca="false">IF(L1422="","",INDEX(ポート振替表!$N$5:$N$3507,$L1422)&amp;"")</f>
        <v/>
      </c>
      <c r="I1422" s="32" t="str">
        <f aca="false">IF(L1422="","",INDEX(ポート振替表!$P$5:$P$3507,$L1422)&amp;"")</f>
        <v/>
      </c>
      <c r="J1422" s="60" t="str">
        <f aca="false">IF(L1422="","",INDEX(ポート振替表!$M$5:$M$3507,$L1422)&amp;"")</f>
        <v/>
      </c>
      <c r="K1422" s="52" t="str">
        <f aca="false">IF(L1422="","",E1422&amp;CHAR(10)&amp;INDEX(ポート振替表!$K$5:$K$3507,$L1422)&amp;" "&amp;INDEX(ポート振替表!$L$5:$L$3507,$L1422)&amp;CHAR(10)&amp;"⇔ "&amp;INDEX(ポート振替表!$H$5:$H$3507,$L1422)&amp;" "&amp;INDEX(ポート振替表!$I$5:$I$3507,$L1422))</f>
        <v/>
      </c>
      <c r="L1422" s="47" t="str">
        <f aca="false">IFERROR(MATCH(ROW()-4,ポート振替表!$V$5:$V$3507,0),"")</f>
        <v/>
      </c>
    </row>
    <row r="1423" customFormat="false" ht="16.4" hidden="false" customHeight="false" outlineLevel="0" collapsed="false">
      <c r="A1423" s="32" t="str">
        <f aca="false">IF(L1423="","",ROW()-4)</f>
        <v/>
      </c>
      <c r="B1423" s="58" t="str">
        <f aca="false">IF(L1423="","",IF(INDEX(ポート振替表!$W$5:$W$3507,$L1423)="","(なし)",INDEX(ポート振替表!$W$5:$W$3507,$L1423)&amp;""))</f>
        <v/>
      </c>
      <c r="C1423" s="52" t="str">
        <f aca="false">IF(L1423="","",INDEX(ポート振替表!$B$5:$B$3507,$L1423)&amp;" "&amp;INDEX(ポート振替表!$C$5:$C$3507,$L1423)&amp;"  ⇔  "&amp;INDEX(ポート振替表!$H$5:$H$3507,$L1423)&amp;" "&amp;INDEX(ポート振替表!$I$5:$I$3507,$L1423))</f>
        <v/>
      </c>
      <c r="D1423" s="57" t="s">
        <v>158</v>
      </c>
      <c r="E1423" s="59" t="str">
        <f aca="false">IF(L1423="","",IF(INDEX(ポート振替表!$O$5:$O$3507,$L1423)="","(未設定)",INDEX(ポート振替表!$O$5:$O$3507,$L1423)&amp;""))</f>
        <v/>
      </c>
      <c r="F1423" s="52" t="str">
        <f aca="false">IF(L1423="","",INDEX(ポート振替表!$K$5:$K$3507,$L1423)&amp;" "&amp;INDEX(ポート振替表!$L$5:$L$3507,$L1423)&amp;"  ⇔  "&amp;INDEX(ポート振替表!$H$5:$H$3507,$L1423)&amp;" "&amp;INDEX(ポート振替表!$I$5:$I$3507,$L1423))</f>
        <v/>
      </c>
      <c r="G1423" s="57" t="s">
        <v>158</v>
      </c>
      <c r="H1423" s="32" t="str">
        <f aca="false">IF(L1423="","",INDEX(ポート振替表!$N$5:$N$3507,$L1423)&amp;"")</f>
        <v/>
      </c>
      <c r="I1423" s="32" t="str">
        <f aca="false">IF(L1423="","",INDEX(ポート振替表!$P$5:$P$3507,$L1423)&amp;"")</f>
        <v/>
      </c>
      <c r="J1423" s="60" t="str">
        <f aca="false">IF(L1423="","",INDEX(ポート振替表!$M$5:$M$3507,$L1423)&amp;"")</f>
        <v/>
      </c>
      <c r="K1423" s="52" t="str">
        <f aca="false">IF(L1423="","",E1423&amp;CHAR(10)&amp;INDEX(ポート振替表!$K$5:$K$3507,$L1423)&amp;" "&amp;INDEX(ポート振替表!$L$5:$L$3507,$L1423)&amp;CHAR(10)&amp;"⇔ "&amp;INDEX(ポート振替表!$H$5:$H$3507,$L1423)&amp;" "&amp;INDEX(ポート振替表!$I$5:$I$3507,$L1423))</f>
        <v/>
      </c>
      <c r="L1423" s="47" t="str">
        <f aca="false">IFERROR(MATCH(ROW()-4,ポート振替表!$V$5:$V$3507,0),"")</f>
        <v/>
      </c>
    </row>
    <row r="1424" customFormat="false" ht="16.4" hidden="false" customHeight="false" outlineLevel="0" collapsed="false">
      <c r="A1424" s="32" t="str">
        <f aca="false">IF(L1424="","",ROW()-4)</f>
        <v/>
      </c>
      <c r="B1424" s="58" t="str">
        <f aca="false">IF(L1424="","",IF(INDEX(ポート振替表!$W$5:$W$3507,$L1424)="","(なし)",INDEX(ポート振替表!$W$5:$W$3507,$L1424)&amp;""))</f>
        <v/>
      </c>
      <c r="C1424" s="52" t="str">
        <f aca="false">IF(L1424="","",INDEX(ポート振替表!$B$5:$B$3507,$L1424)&amp;" "&amp;INDEX(ポート振替表!$C$5:$C$3507,$L1424)&amp;"  ⇔  "&amp;INDEX(ポート振替表!$H$5:$H$3507,$L1424)&amp;" "&amp;INDEX(ポート振替表!$I$5:$I$3507,$L1424))</f>
        <v/>
      </c>
      <c r="D1424" s="57" t="s">
        <v>158</v>
      </c>
      <c r="E1424" s="59" t="str">
        <f aca="false">IF(L1424="","",IF(INDEX(ポート振替表!$O$5:$O$3507,$L1424)="","(未設定)",INDEX(ポート振替表!$O$5:$O$3507,$L1424)&amp;""))</f>
        <v/>
      </c>
      <c r="F1424" s="52" t="str">
        <f aca="false">IF(L1424="","",INDEX(ポート振替表!$K$5:$K$3507,$L1424)&amp;" "&amp;INDEX(ポート振替表!$L$5:$L$3507,$L1424)&amp;"  ⇔  "&amp;INDEX(ポート振替表!$H$5:$H$3507,$L1424)&amp;" "&amp;INDEX(ポート振替表!$I$5:$I$3507,$L1424))</f>
        <v/>
      </c>
      <c r="G1424" s="57" t="s">
        <v>158</v>
      </c>
      <c r="H1424" s="32" t="str">
        <f aca="false">IF(L1424="","",INDEX(ポート振替表!$N$5:$N$3507,$L1424)&amp;"")</f>
        <v/>
      </c>
      <c r="I1424" s="32" t="str">
        <f aca="false">IF(L1424="","",INDEX(ポート振替表!$P$5:$P$3507,$L1424)&amp;"")</f>
        <v/>
      </c>
      <c r="J1424" s="60" t="str">
        <f aca="false">IF(L1424="","",INDEX(ポート振替表!$M$5:$M$3507,$L1424)&amp;"")</f>
        <v/>
      </c>
      <c r="K1424" s="52" t="str">
        <f aca="false">IF(L1424="","",E1424&amp;CHAR(10)&amp;INDEX(ポート振替表!$K$5:$K$3507,$L1424)&amp;" "&amp;INDEX(ポート振替表!$L$5:$L$3507,$L1424)&amp;CHAR(10)&amp;"⇔ "&amp;INDEX(ポート振替表!$H$5:$H$3507,$L1424)&amp;" "&amp;INDEX(ポート振替表!$I$5:$I$3507,$L1424))</f>
        <v/>
      </c>
      <c r="L1424" s="47" t="str">
        <f aca="false">IFERROR(MATCH(ROW()-4,ポート振替表!$V$5:$V$3507,0),"")</f>
        <v/>
      </c>
    </row>
    <row r="1425" customFormat="false" ht="16.4" hidden="false" customHeight="false" outlineLevel="0" collapsed="false">
      <c r="A1425" s="32" t="str">
        <f aca="false">IF(L1425="","",ROW()-4)</f>
        <v/>
      </c>
      <c r="B1425" s="58" t="str">
        <f aca="false">IF(L1425="","",IF(INDEX(ポート振替表!$W$5:$W$3507,$L1425)="","(なし)",INDEX(ポート振替表!$W$5:$W$3507,$L1425)&amp;""))</f>
        <v/>
      </c>
      <c r="C1425" s="52" t="str">
        <f aca="false">IF(L1425="","",INDEX(ポート振替表!$B$5:$B$3507,$L1425)&amp;" "&amp;INDEX(ポート振替表!$C$5:$C$3507,$L1425)&amp;"  ⇔  "&amp;INDEX(ポート振替表!$H$5:$H$3507,$L1425)&amp;" "&amp;INDEX(ポート振替表!$I$5:$I$3507,$L1425))</f>
        <v/>
      </c>
      <c r="D1425" s="57" t="s">
        <v>158</v>
      </c>
      <c r="E1425" s="59" t="str">
        <f aca="false">IF(L1425="","",IF(INDEX(ポート振替表!$O$5:$O$3507,$L1425)="","(未設定)",INDEX(ポート振替表!$O$5:$O$3507,$L1425)&amp;""))</f>
        <v/>
      </c>
      <c r="F1425" s="52" t="str">
        <f aca="false">IF(L1425="","",INDEX(ポート振替表!$K$5:$K$3507,$L1425)&amp;" "&amp;INDEX(ポート振替表!$L$5:$L$3507,$L1425)&amp;"  ⇔  "&amp;INDEX(ポート振替表!$H$5:$H$3507,$L1425)&amp;" "&amp;INDEX(ポート振替表!$I$5:$I$3507,$L1425))</f>
        <v/>
      </c>
      <c r="G1425" s="57" t="s">
        <v>158</v>
      </c>
      <c r="H1425" s="32" t="str">
        <f aca="false">IF(L1425="","",INDEX(ポート振替表!$N$5:$N$3507,$L1425)&amp;"")</f>
        <v/>
      </c>
      <c r="I1425" s="32" t="str">
        <f aca="false">IF(L1425="","",INDEX(ポート振替表!$P$5:$P$3507,$L1425)&amp;"")</f>
        <v/>
      </c>
      <c r="J1425" s="60" t="str">
        <f aca="false">IF(L1425="","",INDEX(ポート振替表!$M$5:$M$3507,$L1425)&amp;"")</f>
        <v/>
      </c>
      <c r="K1425" s="52" t="str">
        <f aca="false">IF(L1425="","",E1425&amp;CHAR(10)&amp;INDEX(ポート振替表!$K$5:$K$3507,$L1425)&amp;" "&amp;INDEX(ポート振替表!$L$5:$L$3507,$L1425)&amp;CHAR(10)&amp;"⇔ "&amp;INDEX(ポート振替表!$H$5:$H$3507,$L1425)&amp;" "&amp;INDEX(ポート振替表!$I$5:$I$3507,$L1425))</f>
        <v/>
      </c>
      <c r="L1425" s="47" t="str">
        <f aca="false">IFERROR(MATCH(ROW()-4,ポート振替表!$V$5:$V$3507,0),"")</f>
        <v/>
      </c>
    </row>
    <row r="1426" customFormat="false" ht="16.4" hidden="false" customHeight="false" outlineLevel="0" collapsed="false">
      <c r="A1426" s="32" t="str">
        <f aca="false">IF(L1426="","",ROW()-4)</f>
        <v/>
      </c>
      <c r="B1426" s="58" t="str">
        <f aca="false">IF(L1426="","",IF(INDEX(ポート振替表!$W$5:$W$3507,$L1426)="","(なし)",INDEX(ポート振替表!$W$5:$W$3507,$L1426)&amp;""))</f>
        <v/>
      </c>
      <c r="C1426" s="52" t="str">
        <f aca="false">IF(L1426="","",INDEX(ポート振替表!$B$5:$B$3507,$L1426)&amp;" "&amp;INDEX(ポート振替表!$C$5:$C$3507,$L1426)&amp;"  ⇔  "&amp;INDEX(ポート振替表!$H$5:$H$3507,$L1426)&amp;" "&amp;INDEX(ポート振替表!$I$5:$I$3507,$L1426))</f>
        <v/>
      </c>
      <c r="D1426" s="57" t="s">
        <v>158</v>
      </c>
      <c r="E1426" s="59" t="str">
        <f aca="false">IF(L1426="","",IF(INDEX(ポート振替表!$O$5:$O$3507,$L1426)="","(未設定)",INDEX(ポート振替表!$O$5:$O$3507,$L1426)&amp;""))</f>
        <v/>
      </c>
      <c r="F1426" s="52" t="str">
        <f aca="false">IF(L1426="","",INDEX(ポート振替表!$K$5:$K$3507,$L1426)&amp;" "&amp;INDEX(ポート振替表!$L$5:$L$3507,$L1426)&amp;"  ⇔  "&amp;INDEX(ポート振替表!$H$5:$H$3507,$L1426)&amp;" "&amp;INDEX(ポート振替表!$I$5:$I$3507,$L1426))</f>
        <v/>
      </c>
      <c r="G1426" s="57" t="s">
        <v>158</v>
      </c>
      <c r="H1426" s="32" t="str">
        <f aca="false">IF(L1426="","",INDEX(ポート振替表!$N$5:$N$3507,$L1426)&amp;"")</f>
        <v/>
      </c>
      <c r="I1426" s="32" t="str">
        <f aca="false">IF(L1426="","",INDEX(ポート振替表!$P$5:$P$3507,$L1426)&amp;"")</f>
        <v/>
      </c>
      <c r="J1426" s="60" t="str">
        <f aca="false">IF(L1426="","",INDEX(ポート振替表!$M$5:$M$3507,$L1426)&amp;"")</f>
        <v/>
      </c>
      <c r="K1426" s="52" t="str">
        <f aca="false">IF(L1426="","",E1426&amp;CHAR(10)&amp;INDEX(ポート振替表!$K$5:$K$3507,$L1426)&amp;" "&amp;INDEX(ポート振替表!$L$5:$L$3507,$L1426)&amp;CHAR(10)&amp;"⇔ "&amp;INDEX(ポート振替表!$H$5:$H$3507,$L1426)&amp;" "&amp;INDEX(ポート振替表!$I$5:$I$3507,$L1426))</f>
        <v/>
      </c>
      <c r="L1426" s="47" t="str">
        <f aca="false">IFERROR(MATCH(ROW()-4,ポート振替表!$V$5:$V$3507,0),"")</f>
        <v/>
      </c>
    </row>
    <row r="1427" customFormat="false" ht="16.4" hidden="false" customHeight="false" outlineLevel="0" collapsed="false">
      <c r="A1427" s="32" t="str">
        <f aca="false">IF(L1427="","",ROW()-4)</f>
        <v/>
      </c>
      <c r="B1427" s="58" t="str">
        <f aca="false">IF(L1427="","",IF(INDEX(ポート振替表!$W$5:$W$3507,$L1427)="","(なし)",INDEX(ポート振替表!$W$5:$W$3507,$L1427)&amp;""))</f>
        <v/>
      </c>
      <c r="C1427" s="52" t="str">
        <f aca="false">IF(L1427="","",INDEX(ポート振替表!$B$5:$B$3507,$L1427)&amp;" "&amp;INDEX(ポート振替表!$C$5:$C$3507,$L1427)&amp;"  ⇔  "&amp;INDEX(ポート振替表!$H$5:$H$3507,$L1427)&amp;" "&amp;INDEX(ポート振替表!$I$5:$I$3507,$L1427))</f>
        <v/>
      </c>
      <c r="D1427" s="57" t="s">
        <v>158</v>
      </c>
      <c r="E1427" s="59" t="str">
        <f aca="false">IF(L1427="","",IF(INDEX(ポート振替表!$O$5:$O$3507,$L1427)="","(未設定)",INDEX(ポート振替表!$O$5:$O$3507,$L1427)&amp;""))</f>
        <v/>
      </c>
      <c r="F1427" s="52" t="str">
        <f aca="false">IF(L1427="","",INDEX(ポート振替表!$K$5:$K$3507,$L1427)&amp;" "&amp;INDEX(ポート振替表!$L$5:$L$3507,$L1427)&amp;"  ⇔  "&amp;INDEX(ポート振替表!$H$5:$H$3507,$L1427)&amp;" "&amp;INDEX(ポート振替表!$I$5:$I$3507,$L1427))</f>
        <v/>
      </c>
      <c r="G1427" s="57" t="s">
        <v>158</v>
      </c>
      <c r="H1427" s="32" t="str">
        <f aca="false">IF(L1427="","",INDEX(ポート振替表!$N$5:$N$3507,$L1427)&amp;"")</f>
        <v/>
      </c>
      <c r="I1427" s="32" t="str">
        <f aca="false">IF(L1427="","",INDEX(ポート振替表!$P$5:$P$3507,$L1427)&amp;"")</f>
        <v/>
      </c>
      <c r="J1427" s="60" t="str">
        <f aca="false">IF(L1427="","",INDEX(ポート振替表!$M$5:$M$3507,$L1427)&amp;"")</f>
        <v/>
      </c>
      <c r="K1427" s="52" t="str">
        <f aca="false">IF(L1427="","",E1427&amp;CHAR(10)&amp;INDEX(ポート振替表!$K$5:$K$3507,$L1427)&amp;" "&amp;INDEX(ポート振替表!$L$5:$L$3507,$L1427)&amp;CHAR(10)&amp;"⇔ "&amp;INDEX(ポート振替表!$H$5:$H$3507,$L1427)&amp;" "&amp;INDEX(ポート振替表!$I$5:$I$3507,$L1427))</f>
        <v/>
      </c>
      <c r="L1427" s="47" t="str">
        <f aca="false">IFERROR(MATCH(ROW()-4,ポート振替表!$V$5:$V$3507,0),"")</f>
        <v/>
      </c>
    </row>
    <row r="1428" customFormat="false" ht="16.4" hidden="false" customHeight="false" outlineLevel="0" collapsed="false">
      <c r="A1428" s="32" t="str">
        <f aca="false">IF(L1428="","",ROW()-4)</f>
        <v/>
      </c>
      <c r="B1428" s="58" t="str">
        <f aca="false">IF(L1428="","",IF(INDEX(ポート振替表!$W$5:$W$3507,$L1428)="","(なし)",INDEX(ポート振替表!$W$5:$W$3507,$L1428)&amp;""))</f>
        <v/>
      </c>
      <c r="C1428" s="52" t="str">
        <f aca="false">IF(L1428="","",INDEX(ポート振替表!$B$5:$B$3507,$L1428)&amp;" "&amp;INDEX(ポート振替表!$C$5:$C$3507,$L1428)&amp;"  ⇔  "&amp;INDEX(ポート振替表!$H$5:$H$3507,$L1428)&amp;" "&amp;INDEX(ポート振替表!$I$5:$I$3507,$L1428))</f>
        <v/>
      </c>
      <c r="D1428" s="57" t="s">
        <v>158</v>
      </c>
      <c r="E1428" s="59" t="str">
        <f aca="false">IF(L1428="","",IF(INDEX(ポート振替表!$O$5:$O$3507,$L1428)="","(未設定)",INDEX(ポート振替表!$O$5:$O$3507,$L1428)&amp;""))</f>
        <v/>
      </c>
      <c r="F1428" s="52" t="str">
        <f aca="false">IF(L1428="","",INDEX(ポート振替表!$K$5:$K$3507,$L1428)&amp;" "&amp;INDEX(ポート振替表!$L$5:$L$3507,$L1428)&amp;"  ⇔  "&amp;INDEX(ポート振替表!$H$5:$H$3507,$L1428)&amp;" "&amp;INDEX(ポート振替表!$I$5:$I$3507,$L1428))</f>
        <v/>
      </c>
      <c r="G1428" s="57" t="s">
        <v>158</v>
      </c>
      <c r="H1428" s="32" t="str">
        <f aca="false">IF(L1428="","",INDEX(ポート振替表!$N$5:$N$3507,$L1428)&amp;"")</f>
        <v/>
      </c>
      <c r="I1428" s="32" t="str">
        <f aca="false">IF(L1428="","",INDEX(ポート振替表!$P$5:$P$3507,$L1428)&amp;"")</f>
        <v/>
      </c>
      <c r="J1428" s="60" t="str">
        <f aca="false">IF(L1428="","",INDEX(ポート振替表!$M$5:$M$3507,$L1428)&amp;"")</f>
        <v/>
      </c>
      <c r="K1428" s="52" t="str">
        <f aca="false">IF(L1428="","",E1428&amp;CHAR(10)&amp;INDEX(ポート振替表!$K$5:$K$3507,$L1428)&amp;" "&amp;INDEX(ポート振替表!$L$5:$L$3507,$L1428)&amp;CHAR(10)&amp;"⇔ "&amp;INDEX(ポート振替表!$H$5:$H$3507,$L1428)&amp;" "&amp;INDEX(ポート振替表!$I$5:$I$3507,$L1428))</f>
        <v/>
      </c>
      <c r="L1428" s="47" t="str">
        <f aca="false">IFERROR(MATCH(ROW()-4,ポート振替表!$V$5:$V$3507,0),"")</f>
        <v/>
      </c>
    </row>
    <row r="1429" customFormat="false" ht="16.4" hidden="false" customHeight="false" outlineLevel="0" collapsed="false">
      <c r="A1429" s="32" t="str">
        <f aca="false">IF(L1429="","",ROW()-4)</f>
        <v/>
      </c>
      <c r="B1429" s="58" t="str">
        <f aca="false">IF(L1429="","",IF(INDEX(ポート振替表!$W$5:$W$3507,$L1429)="","(なし)",INDEX(ポート振替表!$W$5:$W$3507,$L1429)&amp;""))</f>
        <v/>
      </c>
      <c r="C1429" s="52" t="str">
        <f aca="false">IF(L1429="","",INDEX(ポート振替表!$B$5:$B$3507,$L1429)&amp;" "&amp;INDEX(ポート振替表!$C$5:$C$3507,$L1429)&amp;"  ⇔  "&amp;INDEX(ポート振替表!$H$5:$H$3507,$L1429)&amp;" "&amp;INDEX(ポート振替表!$I$5:$I$3507,$L1429))</f>
        <v/>
      </c>
      <c r="D1429" s="57" t="s">
        <v>158</v>
      </c>
      <c r="E1429" s="59" t="str">
        <f aca="false">IF(L1429="","",IF(INDEX(ポート振替表!$O$5:$O$3507,$L1429)="","(未設定)",INDEX(ポート振替表!$O$5:$O$3507,$L1429)&amp;""))</f>
        <v/>
      </c>
      <c r="F1429" s="52" t="str">
        <f aca="false">IF(L1429="","",INDEX(ポート振替表!$K$5:$K$3507,$L1429)&amp;" "&amp;INDEX(ポート振替表!$L$5:$L$3507,$L1429)&amp;"  ⇔  "&amp;INDEX(ポート振替表!$H$5:$H$3507,$L1429)&amp;" "&amp;INDEX(ポート振替表!$I$5:$I$3507,$L1429))</f>
        <v/>
      </c>
      <c r="G1429" s="57" t="s">
        <v>158</v>
      </c>
      <c r="H1429" s="32" t="str">
        <f aca="false">IF(L1429="","",INDEX(ポート振替表!$N$5:$N$3507,$L1429)&amp;"")</f>
        <v/>
      </c>
      <c r="I1429" s="32" t="str">
        <f aca="false">IF(L1429="","",INDEX(ポート振替表!$P$5:$P$3507,$L1429)&amp;"")</f>
        <v/>
      </c>
      <c r="J1429" s="60" t="str">
        <f aca="false">IF(L1429="","",INDEX(ポート振替表!$M$5:$M$3507,$L1429)&amp;"")</f>
        <v/>
      </c>
      <c r="K1429" s="52" t="str">
        <f aca="false">IF(L1429="","",E1429&amp;CHAR(10)&amp;INDEX(ポート振替表!$K$5:$K$3507,$L1429)&amp;" "&amp;INDEX(ポート振替表!$L$5:$L$3507,$L1429)&amp;CHAR(10)&amp;"⇔ "&amp;INDEX(ポート振替表!$H$5:$H$3507,$L1429)&amp;" "&amp;INDEX(ポート振替表!$I$5:$I$3507,$L1429))</f>
        <v/>
      </c>
      <c r="L1429" s="47" t="str">
        <f aca="false">IFERROR(MATCH(ROW()-4,ポート振替表!$V$5:$V$3507,0),"")</f>
        <v/>
      </c>
    </row>
    <row r="1430" customFormat="false" ht="16.4" hidden="false" customHeight="false" outlineLevel="0" collapsed="false">
      <c r="A1430" s="32" t="str">
        <f aca="false">IF(L1430="","",ROW()-4)</f>
        <v/>
      </c>
      <c r="B1430" s="58" t="str">
        <f aca="false">IF(L1430="","",IF(INDEX(ポート振替表!$W$5:$W$3507,$L1430)="","(なし)",INDEX(ポート振替表!$W$5:$W$3507,$L1430)&amp;""))</f>
        <v/>
      </c>
      <c r="C1430" s="52" t="str">
        <f aca="false">IF(L1430="","",INDEX(ポート振替表!$B$5:$B$3507,$L1430)&amp;" "&amp;INDEX(ポート振替表!$C$5:$C$3507,$L1430)&amp;"  ⇔  "&amp;INDEX(ポート振替表!$H$5:$H$3507,$L1430)&amp;" "&amp;INDEX(ポート振替表!$I$5:$I$3507,$L1430))</f>
        <v/>
      </c>
      <c r="D1430" s="57" t="s">
        <v>158</v>
      </c>
      <c r="E1430" s="59" t="str">
        <f aca="false">IF(L1430="","",IF(INDEX(ポート振替表!$O$5:$O$3507,$L1430)="","(未設定)",INDEX(ポート振替表!$O$5:$O$3507,$L1430)&amp;""))</f>
        <v/>
      </c>
      <c r="F1430" s="52" t="str">
        <f aca="false">IF(L1430="","",INDEX(ポート振替表!$K$5:$K$3507,$L1430)&amp;" "&amp;INDEX(ポート振替表!$L$5:$L$3507,$L1430)&amp;"  ⇔  "&amp;INDEX(ポート振替表!$H$5:$H$3507,$L1430)&amp;" "&amp;INDEX(ポート振替表!$I$5:$I$3507,$L1430))</f>
        <v/>
      </c>
      <c r="G1430" s="57" t="s">
        <v>158</v>
      </c>
      <c r="H1430" s="32" t="str">
        <f aca="false">IF(L1430="","",INDEX(ポート振替表!$N$5:$N$3507,$L1430)&amp;"")</f>
        <v/>
      </c>
      <c r="I1430" s="32" t="str">
        <f aca="false">IF(L1430="","",INDEX(ポート振替表!$P$5:$P$3507,$L1430)&amp;"")</f>
        <v/>
      </c>
      <c r="J1430" s="60" t="str">
        <f aca="false">IF(L1430="","",INDEX(ポート振替表!$M$5:$M$3507,$L1430)&amp;"")</f>
        <v/>
      </c>
      <c r="K1430" s="52" t="str">
        <f aca="false">IF(L1430="","",E1430&amp;CHAR(10)&amp;INDEX(ポート振替表!$K$5:$K$3507,$L1430)&amp;" "&amp;INDEX(ポート振替表!$L$5:$L$3507,$L1430)&amp;CHAR(10)&amp;"⇔ "&amp;INDEX(ポート振替表!$H$5:$H$3507,$L1430)&amp;" "&amp;INDEX(ポート振替表!$I$5:$I$3507,$L1430))</f>
        <v/>
      </c>
      <c r="L1430" s="47" t="str">
        <f aca="false">IFERROR(MATCH(ROW()-4,ポート振替表!$V$5:$V$3507,0),"")</f>
        <v/>
      </c>
    </row>
    <row r="1431" customFormat="false" ht="16.4" hidden="false" customHeight="false" outlineLevel="0" collapsed="false">
      <c r="A1431" s="32" t="str">
        <f aca="false">IF(L1431="","",ROW()-4)</f>
        <v/>
      </c>
      <c r="B1431" s="58" t="str">
        <f aca="false">IF(L1431="","",IF(INDEX(ポート振替表!$W$5:$W$3507,$L1431)="","(なし)",INDEX(ポート振替表!$W$5:$W$3507,$L1431)&amp;""))</f>
        <v/>
      </c>
      <c r="C1431" s="52" t="str">
        <f aca="false">IF(L1431="","",INDEX(ポート振替表!$B$5:$B$3507,$L1431)&amp;" "&amp;INDEX(ポート振替表!$C$5:$C$3507,$L1431)&amp;"  ⇔  "&amp;INDEX(ポート振替表!$H$5:$H$3507,$L1431)&amp;" "&amp;INDEX(ポート振替表!$I$5:$I$3507,$L1431))</f>
        <v/>
      </c>
      <c r="D1431" s="57" t="s">
        <v>158</v>
      </c>
      <c r="E1431" s="59" t="str">
        <f aca="false">IF(L1431="","",IF(INDEX(ポート振替表!$O$5:$O$3507,$L1431)="","(未設定)",INDEX(ポート振替表!$O$5:$O$3507,$L1431)&amp;""))</f>
        <v/>
      </c>
      <c r="F1431" s="52" t="str">
        <f aca="false">IF(L1431="","",INDEX(ポート振替表!$K$5:$K$3507,$L1431)&amp;" "&amp;INDEX(ポート振替表!$L$5:$L$3507,$L1431)&amp;"  ⇔  "&amp;INDEX(ポート振替表!$H$5:$H$3507,$L1431)&amp;" "&amp;INDEX(ポート振替表!$I$5:$I$3507,$L1431))</f>
        <v/>
      </c>
      <c r="G1431" s="57" t="s">
        <v>158</v>
      </c>
      <c r="H1431" s="32" t="str">
        <f aca="false">IF(L1431="","",INDEX(ポート振替表!$N$5:$N$3507,$L1431)&amp;"")</f>
        <v/>
      </c>
      <c r="I1431" s="32" t="str">
        <f aca="false">IF(L1431="","",INDEX(ポート振替表!$P$5:$P$3507,$L1431)&amp;"")</f>
        <v/>
      </c>
      <c r="J1431" s="60" t="str">
        <f aca="false">IF(L1431="","",INDEX(ポート振替表!$M$5:$M$3507,$L1431)&amp;"")</f>
        <v/>
      </c>
      <c r="K1431" s="52" t="str">
        <f aca="false">IF(L1431="","",E1431&amp;CHAR(10)&amp;INDEX(ポート振替表!$K$5:$K$3507,$L1431)&amp;" "&amp;INDEX(ポート振替表!$L$5:$L$3507,$L1431)&amp;CHAR(10)&amp;"⇔ "&amp;INDEX(ポート振替表!$H$5:$H$3507,$L1431)&amp;" "&amp;INDEX(ポート振替表!$I$5:$I$3507,$L1431))</f>
        <v/>
      </c>
      <c r="L1431" s="47" t="str">
        <f aca="false">IFERROR(MATCH(ROW()-4,ポート振替表!$V$5:$V$3507,0),"")</f>
        <v/>
      </c>
    </row>
    <row r="1432" customFormat="false" ht="16.4" hidden="false" customHeight="false" outlineLevel="0" collapsed="false">
      <c r="A1432" s="32" t="str">
        <f aca="false">IF(L1432="","",ROW()-4)</f>
        <v/>
      </c>
      <c r="B1432" s="58" t="str">
        <f aca="false">IF(L1432="","",IF(INDEX(ポート振替表!$W$5:$W$3507,$L1432)="","(なし)",INDEX(ポート振替表!$W$5:$W$3507,$L1432)&amp;""))</f>
        <v/>
      </c>
      <c r="C1432" s="52" t="str">
        <f aca="false">IF(L1432="","",INDEX(ポート振替表!$B$5:$B$3507,$L1432)&amp;" "&amp;INDEX(ポート振替表!$C$5:$C$3507,$L1432)&amp;"  ⇔  "&amp;INDEX(ポート振替表!$H$5:$H$3507,$L1432)&amp;" "&amp;INDEX(ポート振替表!$I$5:$I$3507,$L1432))</f>
        <v/>
      </c>
      <c r="D1432" s="57" t="s">
        <v>158</v>
      </c>
      <c r="E1432" s="59" t="str">
        <f aca="false">IF(L1432="","",IF(INDEX(ポート振替表!$O$5:$O$3507,$L1432)="","(未設定)",INDEX(ポート振替表!$O$5:$O$3507,$L1432)&amp;""))</f>
        <v/>
      </c>
      <c r="F1432" s="52" t="str">
        <f aca="false">IF(L1432="","",INDEX(ポート振替表!$K$5:$K$3507,$L1432)&amp;" "&amp;INDEX(ポート振替表!$L$5:$L$3507,$L1432)&amp;"  ⇔  "&amp;INDEX(ポート振替表!$H$5:$H$3507,$L1432)&amp;" "&amp;INDEX(ポート振替表!$I$5:$I$3507,$L1432))</f>
        <v/>
      </c>
      <c r="G1432" s="57" t="s">
        <v>158</v>
      </c>
      <c r="H1432" s="32" t="str">
        <f aca="false">IF(L1432="","",INDEX(ポート振替表!$N$5:$N$3507,$L1432)&amp;"")</f>
        <v/>
      </c>
      <c r="I1432" s="32" t="str">
        <f aca="false">IF(L1432="","",INDEX(ポート振替表!$P$5:$P$3507,$L1432)&amp;"")</f>
        <v/>
      </c>
      <c r="J1432" s="60" t="str">
        <f aca="false">IF(L1432="","",INDEX(ポート振替表!$M$5:$M$3507,$L1432)&amp;"")</f>
        <v/>
      </c>
      <c r="K1432" s="52" t="str">
        <f aca="false">IF(L1432="","",E1432&amp;CHAR(10)&amp;INDEX(ポート振替表!$K$5:$K$3507,$L1432)&amp;" "&amp;INDEX(ポート振替表!$L$5:$L$3507,$L1432)&amp;CHAR(10)&amp;"⇔ "&amp;INDEX(ポート振替表!$H$5:$H$3507,$L1432)&amp;" "&amp;INDEX(ポート振替表!$I$5:$I$3507,$L1432))</f>
        <v/>
      </c>
      <c r="L1432" s="47" t="str">
        <f aca="false">IFERROR(MATCH(ROW()-4,ポート振替表!$V$5:$V$3507,0),"")</f>
        <v/>
      </c>
    </row>
    <row r="1433" customFormat="false" ht="16.4" hidden="false" customHeight="false" outlineLevel="0" collapsed="false">
      <c r="A1433" s="32" t="str">
        <f aca="false">IF(L1433="","",ROW()-4)</f>
        <v/>
      </c>
      <c r="B1433" s="58" t="str">
        <f aca="false">IF(L1433="","",IF(INDEX(ポート振替表!$W$5:$W$3507,$L1433)="","(なし)",INDEX(ポート振替表!$W$5:$W$3507,$L1433)&amp;""))</f>
        <v/>
      </c>
      <c r="C1433" s="52" t="str">
        <f aca="false">IF(L1433="","",INDEX(ポート振替表!$B$5:$B$3507,$L1433)&amp;" "&amp;INDEX(ポート振替表!$C$5:$C$3507,$L1433)&amp;"  ⇔  "&amp;INDEX(ポート振替表!$H$5:$H$3507,$L1433)&amp;" "&amp;INDEX(ポート振替表!$I$5:$I$3507,$L1433))</f>
        <v/>
      </c>
      <c r="D1433" s="57" t="s">
        <v>158</v>
      </c>
      <c r="E1433" s="59" t="str">
        <f aca="false">IF(L1433="","",IF(INDEX(ポート振替表!$O$5:$O$3507,$L1433)="","(未設定)",INDEX(ポート振替表!$O$5:$O$3507,$L1433)&amp;""))</f>
        <v/>
      </c>
      <c r="F1433" s="52" t="str">
        <f aca="false">IF(L1433="","",INDEX(ポート振替表!$K$5:$K$3507,$L1433)&amp;" "&amp;INDEX(ポート振替表!$L$5:$L$3507,$L1433)&amp;"  ⇔  "&amp;INDEX(ポート振替表!$H$5:$H$3507,$L1433)&amp;" "&amp;INDEX(ポート振替表!$I$5:$I$3507,$L1433))</f>
        <v/>
      </c>
      <c r="G1433" s="57" t="s">
        <v>158</v>
      </c>
      <c r="H1433" s="32" t="str">
        <f aca="false">IF(L1433="","",INDEX(ポート振替表!$N$5:$N$3507,$L1433)&amp;"")</f>
        <v/>
      </c>
      <c r="I1433" s="32" t="str">
        <f aca="false">IF(L1433="","",INDEX(ポート振替表!$P$5:$P$3507,$L1433)&amp;"")</f>
        <v/>
      </c>
      <c r="J1433" s="60" t="str">
        <f aca="false">IF(L1433="","",INDEX(ポート振替表!$M$5:$M$3507,$L1433)&amp;"")</f>
        <v/>
      </c>
      <c r="K1433" s="52" t="str">
        <f aca="false">IF(L1433="","",E1433&amp;CHAR(10)&amp;INDEX(ポート振替表!$K$5:$K$3507,$L1433)&amp;" "&amp;INDEX(ポート振替表!$L$5:$L$3507,$L1433)&amp;CHAR(10)&amp;"⇔ "&amp;INDEX(ポート振替表!$H$5:$H$3507,$L1433)&amp;" "&amp;INDEX(ポート振替表!$I$5:$I$3507,$L1433))</f>
        <v/>
      </c>
      <c r="L1433" s="47" t="str">
        <f aca="false">IFERROR(MATCH(ROW()-4,ポート振替表!$V$5:$V$3507,0),"")</f>
        <v/>
      </c>
    </row>
    <row r="1434" customFormat="false" ht="16.4" hidden="false" customHeight="false" outlineLevel="0" collapsed="false">
      <c r="A1434" s="32" t="str">
        <f aca="false">IF(L1434="","",ROW()-4)</f>
        <v/>
      </c>
      <c r="B1434" s="58" t="str">
        <f aca="false">IF(L1434="","",IF(INDEX(ポート振替表!$W$5:$W$3507,$L1434)="","(なし)",INDEX(ポート振替表!$W$5:$W$3507,$L1434)&amp;""))</f>
        <v/>
      </c>
      <c r="C1434" s="52" t="str">
        <f aca="false">IF(L1434="","",INDEX(ポート振替表!$B$5:$B$3507,$L1434)&amp;" "&amp;INDEX(ポート振替表!$C$5:$C$3507,$L1434)&amp;"  ⇔  "&amp;INDEX(ポート振替表!$H$5:$H$3507,$L1434)&amp;" "&amp;INDEX(ポート振替表!$I$5:$I$3507,$L1434))</f>
        <v/>
      </c>
      <c r="D1434" s="57" t="s">
        <v>158</v>
      </c>
      <c r="E1434" s="59" t="str">
        <f aca="false">IF(L1434="","",IF(INDEX(ポート振替表!$O$5:$O$3507,$L1434)="","(未設定)",INDEX(ポート振替表!$O$5:$O$3507,$L1434)&amp;""))</f>
        <v/>
      </c>
      <c r="F1434" s="52" t="str">
        <f aca="false">IF(L1434="","",INDEX(ポート振替表!$K$5:$K$3507,$L1434)&amp;" "&amp;INDEX(ポート振替表!$L$5:$L$3507,$L1434)&amp;"  ⇔  "&amp;INDEX(ポート振替表!$H$5:$H$3507,$L1434)&amp;" "&amp;INDEX(ポート振替表!$I$5:$I$3507,$L1434))</f>
        <v/>
      </c>
      <c r="G1434" s="57" t="s">
        <v>158</v>
      </c>
      <c r="H1434" s="32" t="str">
        <f aca="false">IF(L1434="","",INDEX(ポート振替表!$N$5:$N$3507,$L1434)&amp;"")</f>
        <v/>
      </c>
      <c r="I1434" s="32" t="str">
        <f aca="false">IF(L1434="","",INDEX(ポート振替表!$P$5:$P$3507,$L1434)&amp;"")</f>
        <v/>
      </c>
      <c r="J1434" s="60" t="str">
        <f aca="false">IF(L1434="","",INDEX(ポート振替表!$M$5:$M$3507,$L1434)&amp;"")</f>
        <v/>
      </c>
      <c r="K1434" s="52" t="str">
        <f aca="false">IF(L1434="","",E1434&amp;CHAR(10)&amp;INDEX(ポート振替表!$K$5:$K$3507,$L1434)&amp;" "&amp;INDEX(ポート振替表!$L$5:$L$3507,$L1434)&amp;CHAR(10)&amp;"⇔ "&amp;INDEX(ポート振替表!$H$5:$H$3507,$L1434)&amp;" "&amp;INDEX(ポート振替表!$I$5:$I$3507,$L1434))</f>
        <v/>
      </c>
      <c r="L1434" s="47" t="str">
        <f aca="false">IFERROR(MATCH(ROW()-4,ポート振替表!$V$5:$V$3507,0),"")</f>
        <v/>
      </c>
    </row>
    <row r="1435" customFormat="false" ht="16.4" hidden="false" customHeight="false" outlineLevel="0" collapsed="false">
      <c r="A1435" s="32" t="str">
        <f aca="false">IF(L1435="","",ROW()-4)</f>
        <v/>
      </c>
      <c r="B1435" s="58" t="str">
        <f aca="false">IF(L1435="","",IF(INDEX(ポート振替表!$W$5:$W$3507,$L1435)="","(なし)",INDEX(ポート振替表!$W$5:$W$3507,$L1435)&amp;""))</f>
        <v/>
      </c>
      <c r="C1435" s="52" t="str">
        <f aca="false">IF(L1435="","",INDEX(ポート振替表!$B$5:$B$3507,$L1435)&amp;" "&amp;INDEX(ポート振替表!$C$5:$C$3507,$L1435)&amp;"  ⇔  "&amp;INDEX(ポート振替表!$H$5:$H$3507,$L1435)&amp;" "&amp;INDEX(ポート振替表!$I$5:$I$3507,$L1435))</f>
        <v/>
      </c>
      <c r="D1435" s="57" t="s">
        <v>158</v>
      </c>
      <c r="E1435" s="59" t="str">
        <f aca="false">IF(L1435="","",IF(INDEX(ポート振替表!$O$5:$O$3507,$L1435)="","(未設定)",INDEX(ポート振替表!$O$5:$O$3507,$L1435)&amp;""))</f>
        <v/>
      </c>
      <c r="F1435" s="52" t="str">
        <f aca="false">IF(L1435="","",INDEX(ポート振替表!$K$5:$K$3507,$L1435)&amp;" "&amp;INDEX(ポート振替表!$L$5:$L$3507,$L1435)&amp;"  ⇔  "&amp;INDEX(ポート振替表!$H$5:$H$3507,$L1435)&amp;" "&amp;INDEX(ポート振替表!$I$5:$I$3507,$L1435))</f>
        <v/>
      </c>
      <c r="G1435" s="57" t="s">
        <v>158</v>
      </c>
      <c r="H1435" s="32" t="str">
        <f aca="false">IF(L1435="","",INDEX(ポート振替表!$N$5:$N$3507,$L1435)&amp;"")</f>
        <v/>
      </c>
      <c r="I1435" s="32" t="str">
        <f aca="false">IF(L1435="","",INDEX(ポート振替表!$P$5:$P$3507,$L1435)&amp;"")</f>
        <v/>
      </c>
      <c r="J1435" s="60" t="str">
        <f aca="false">IF(L1435="","",INDEX(ポート振替表!$M$5:$M$3507,$L1435)&amp;"")</f>
        <v/>
      </c>
      <c r="K1435" s="52" t="str">
        <f aca="false">IF(L1435="","",E1435&amp;CHAR(10)&amp;INDEX(ポート振替表!$K$5:$K$3507,$L1435)&amp;" "&amp;INDEX(ポート振替表!$L$5:$L$3507,$L1435)&amp;CHAR(10)&amp;"⇔ "&amp;INDEX(ポート振替表!$H$5:$H$3507,$L1435)&amp;" "&amp;INDEX(ポート振替表!$I$5:$I$3507,$L1435))</f>
        <v/>
      </c>
      <c r="L1435" s="47" t="str">
        <f aca="false">IFERROR(MATCH(ROW()-4,ポート振替表!$V$5:$V$3507,0),"")</f>
        <v/>
      </c>
    </row>
    <row r="1436" customFormat="false" ht="16.4" hidden="false" customHeight="false" outlineLevel="0" collapsed="false">
      <c r="A1436" s="32" t="str">
        <f aca="false">IF(L1436="","",ROW()-4)</f>
        <v/>
      </c>
      <c r="B1436" s="58" t="str">
        <f aca="false">IF(L1436="","",IF(INDEX(ポート振替表!$W$5:$W$3507,$L1436)="","(なし)",INDEX(ポート振替表!$W$5:$W$3507,$L1436)&amp;""))</f>
        <v/>
      </c>
      <c r="C1436" s="52" t="str">
        <f aca="false">IF(L1436="","",INDEX(ポート振替表!$B$5:$B$3507,$L1436)&amp;" "&amp;INDEX(ポート振替表!$C$5:$C$3507,$L1436)&amp;"  ⇔  "&amp;INDEX(ポート振替表!$H$5:$H$3507,$L1436)&amp;" "&amp;INDEX(ポート振替表!$I$5:$I$3507,$L1436))</f>
        <v/>
      </c>
      <c r="D1436" s="57" t="s">
        <v>158</v>
      </c>
      <c r="E1436" s="59" t="str">
        <f aca="false">IF(L1436="","",IF(INDEX(ポート振替表!$O$5:$O$3507,$L1436)="","(未設定)",INDEX(ポート振替表!$O$5:$O$3507,$L1436)&amp;""))</f>
        <v/>
      </c>
      <c r="F1436" s="52" t="str">
        <f aca="false">IF(L1436="","",INDEX(ポート振替表!$K$5:$K$3507,$L1436)&amp;" "&amp;INDEX(ポート振替表!$L$5:$L$3507,$L1436)&amp;"  ⇔  "&amp;INDEX(ポート振替表!$H$5:$H$3507,$L1436)&amp;" "&amp;INDEX(ポート振替表!$I$5:$I$3507,$L1436))</f>
        <v/>
      </c>
      <c r="G1436" s="57" t="s">
        <v>158</v>
      </c>
      <c r="H1436" s="32" t="str">
        <f aca="false">IF(L1436="","",INDEX(ポート振替表!$N$5:$N$3507,$L1436)&amp;"")</f>
        <v/>
      </c>
      <c r="I1436" s="32" t="str">
        <f aca="false">IF(L1436="","",INDEX(ポート振替表!$P$5:$P$3507,$L1436)&amp;"")</f>
        <v/>
      </c>
      <c r="J1436" s="60" t="str">
        <f aca="false">IF(L1436="","",INDEX(ポート振替表!$M$5:$M$3507,$L1436)&amp;"")</f>
        <v/>
      </c>
      <c r="K1436" s="52" t="str">
        <f aca="false">IF(L1436="","",E1436&amp;CHAR(10)&amp;INDEX(ポート振替表!$K$5:$K$3507,$L1436)&amp;" "&amp;INDEX(ポート振替表!$L$5:$L$3507,$L1436)&amp;CHAR(10)&amp;"⇔ "&amp;INDEX(ポート振替表!$H$5:$H$3507,$L1436)&amp;" "&amp;INDEX(ポート振替表!$I$5:$I$3507,$L1436))</f>
        <v/>
      </c>
      <c r="L1436" s="47" t="str">
        <f aca="false">IFERROR(MATCH(ROW()-4,ポート振替表!$V$5:$V$3507,0),"")</f>
        <v/>
      </c>
    </row>
    <row r="1437" customFormat="false" ht="16.4" hidden="false" customHeight="false" outlineLevel="0" collapsed="false">
      <c r="A1437" s="32" t="str">
        <f aca="false">IF(L1437="","",ROW()-4)</f>
        <v/>
      </c>
      <c r="B1437" s="58" t="str">
        <f aca="false">IF(L1437="","",IF(INDEX(ポート振替表!$W$5:$W$3507,$L1437)="","(なし)",INDEX(ポート振替表!$W$5:$W$3507,$L1437)&amp;""))</f>
        <v/>
      </c>
      <c r="C1437" s="52" t="str">
        <f aca="false">IF(L1437="","",INDEX(ポート振替表!$B$5:$B$3507,$L1437)&amp;" "&amp;INDEX(ポート振替表!$C$5:$C$3507,$L1437)&amp;"  ⇔  "&amp;INDEX(ポート振替表!$H$5:$H$3507,$L1437)&amp;" "&amp;INDEX(ポート振替表!$I$5:$I$3507,$L1437))</f>
        <v/>
      </c>
      <c r="D1437" s="57" t="s">
        <v>158</v>
      </c>
      <c r="E1437" s="59" t="str">
        <f aca="false">IF(L1437="","",IF(INDEX(ポート振替表!$O$5:$O$3507,$L1437)="","(未設定)",INDEX(ポート振替表!$O$5:$O$3507,$L1437)&amp;""))</f>
        <v/>
      </c>
      <c r="F1437" s="52" t="str">
        <f aca="false">IF(L1437="","",INDEX(ポート振替表!$K$5:$K$3507,$L1437)&amp;" "&amp;INDEX(ポート振替表!$L$5:$L$3507,$L1437)&amp;"  ⇔  "&amp;INDEX(ポート振替表!$H$5:$H$3507,$L1437)&amp;" "&amp;INDEX(ポート振替表!$I$5:$I$3507,$L1437))</f>
        <v/>
      </c>
      <c r="G1437" s="57" t="s">
        <v>158</v>
      </c>
      <c r="H1437" s="32" t="str">
        <f aca="false">IF(L1437="","",INDEX(ポート振替表!$N$5:$N$3507,$L1437)&amp;"")</f>
        <v/>
      </c>
      <c r="I1437" s="32" t="str">
        <f aca="false">IF(L1437="","",INDEX(ポート振替表!$P$5:$P$3507,$L1437)&amp;"")</f>
        <v/>
      </c>
      <c r="J1437" s="60" t="str">
        <f aca="false">IF(L1437="","",INDEX(ポート振替表!$M$5:$M$3507,$L1437)&amp;"")</f>
        <v/>
      </c>
      <c r="K1437" s="52" t="str">
        <f aca="false">IF(L1437="","",E1437&amp;CHAR(10)&amp;INDEX(ポート振替表!$K$5:$K$3507,$L1437)&amp;" "&amp;INDEX(ポート振替表!$L$5:$L$3507,$L1437)&amp;CHAR(10)&amp;"⇔ "&amp;INDEX(ポート振替表!$H$5:$H$3507,$L1437)&amp;" "&amp;INDEX(ポート振替表!$I$5:$I$3507,$L1437))</f>
        <v/>
      </c>
      <c r="L1437" s="47" t="str">
        <f aca="false">IFERROR(MATCH(ROW()-4,ポート振替表!$V$5:$V$3507,0),"")</f>
        <v/>
      </c>
    </row>
    <row r="1438" customFormat="false" ht="16.4" hidden="false" customHeight="false" outlineLevel="0" collapsed="false">
      <c r="A1438" s="32" t="str">
        <f aca="false">IF(L1438="","",ROW()-4)</f>
        <v/>
      </c>
      <c r="B1438" s="58" t="str">
        <f aca="false">IF(L1438="","",IF(INDEX(ポート振替表!$W$5:$W$3507,$L1438)="","(なし)",INDEX(ポート振替表!$W$5:$W$3507,$L1438)&amp;""))</f>
        <v/>
      </c>
      <c r="C1438" s="52" t="str">
        <f aca="false">IF(L1438="","",INDEX(ポート振替表!$B$5:$B$3507,$L1438)&amp;" "&amp;INDEX(ポート振替表!$C$5:$C$3507,$L1438)&amp;"  ⇔  "&amp;INDEX(ポート振替表!$H$5:$H$3507,$L1438)&amp;" "&amp;INDEX(ポート振替表!$I$5:$I$3507,$L1438))</f>
        <v/>
      </c>
      <c r="D1438" s="57" t="s">
        <v>158</v>
      </c>
      <c r="E1438" s="59" t="str">
        <f aca="false">IF(L1438="","",IF(INDEX(ポート振替表!$O$5:$O$3507,$L1438)="","(未設定)",INDEX(ポート振替表!$O$5:$O$3507,$L1438)&amp;""))</f>
        <v/>
      </c>
      <c r="F1438" s="52" t="str">
        <f aca="false">IF(L1438="","",INDEX(ポート振替表!$K$5:$K$3507,$L1438)&amp;" "&amp;INDEX(ポート振替表!$L$5:$L$3507,$L1438)&amp;"  ⇔  "&amp;INDEX(ポート振替表!$H$5:$H$3507,$L1438)&amp;" "&amp;INDEX(ポート振替表!$I$5:$I$3507,$L1438))</f>
        <v/>
      </c>
      <c r="G1438" s="57" t="s">
        <v>158</v>
      </c>
      <c r="H1438" s="32" t="str">
        <f aca="false">IF(L1438="","",INDEX(ポート振替表!$N$5:$N$3507,$L1438)&amp;"")</f>
        <v/>
      </c>
      <c r="I1438" s="32" t="str">
        <f aca="false">IF(L1438="","",INDEX(ポート振替表!$P$5:$P$3507,$L1438)&amp;"")</f>
        <v/>
      </c>
      <c r="J1438" s="60" t="str">
        <f aca="false">IF(L1438="","",INDEX(ポート振替表!$M$5:$M$3507,$L1438)&amp;"")</f>
        <v/>
      </c>
      <c r="K1438" s="52" t="str">
        <f aca="false">IF(L1438="","",E1438&amp;CHAR(10)&amp;INDEX(ポート振替表!$K$5:$K$3507,$L1438)&amp;" "&amp;INDEX(ポート振替表!$L$5:$L$3507,$L1438)&amp;CHAR(10)&amp;"⇔ "&amp;INDEX(ポート振替表!$H$5:$H$3507,$L1438)&amp;" "&amp;INDEX(ポート振替表!$I$5:$I$3507,$L1438))</f>
        <v/>
      </c>
      <c r="L1438" s="47" t="str">
        <f aca="false">IFERROR(MATCH(ROW()-4,ポート振替表!$V$5:$V$3507,0),"")</f>
        <v/>
      </c>
    </row>
    <row r="1439" customFormat="false" ht="16.4" hidden="false" customHeight="false" outlineLevel="0" collapsed="false">
      <c r="A1439" s="32" t="str">
        <f aca="false">IF(L1439="","",ROW()-4)</f>
        <v/>
      </c>
      <c r="B1439" s="58" t="str">
        <f aca="false">IF(L1439="","",IF(INDEX(ポート振替表!$W$5:$W$3507,$L1439)="","(なし)",INDEX(ポート振替表!$W$5:$W$3507,$L1439)&amp;""))</f>
        <v/>
      </c>
      <c r="C1439" s="52" t="str">
        <f aca="false">IF(L1439="","",INDEX(ポート振替表!$B$5:$B$3507,$L1439)&amp;" "&amp;INDEX(ポート振替表!$C$5:$C$3507,$L1439)&amp;"  ⇔  "&amp;INDEX(ポート振替表!$H$5:$H$3507,$L1439)&amp;" "&amp;INDEX(ポート振替表!$I$5:$I$3507,$L1439))</f>
        <v/>
      </c>
      <c r="D1439" s="57" t="s">
        <v>158</v>
      </c>
      <c r="E1439" s="59" t="str">
        <f aca="false">IF(L1439="","",IF(INDEX(ポート振替表!$O$5:$O$3507,$L1439)="","(未設定)",INDEX(ポート振替表!$O$5:$O$3507,$L1439)&amp;""))</f>
        <v/>
      </c>
      <c r="F1439" s="52" t="str">
        <f aca="false">IF(L1439="","",INDEX(ポート振替表!$K$5:$K$3507,$L1439)&amp;" "&amp;INDEX(ポート振替表!$L$5:$L$3507,$L1439)&amp;"  ⇔  "&amp;INDEX(ポート振替表!$H$5:$H$3507,$L1439)&amp;" "&amp;INDEX(ポート振替表!$I$5:$I$3507,$L1439))</f>
        <v/>
      </c>
      <c r="G1439" s="57" t="s">
        <v>158</v>
      </c>
      <c r="H1439" s="32" t="str">
        <f aca="false">IF(L1439="","",INDEX(ポート振替表!$N$5:$N$3507,$L1439)&amp;"")</f>
        <v/>
      </c>
      <c r="I1439" s="32" t="str">
        <f aca="false">IF(L1439="","",INDEX(ポート振替表!$P$5:$P$3507,$L1439)&amp;"")</f>
        <v/>
      </c>
      <c r="J1439" s="60" t="str">
        <f aca="false">IF(L1439="","",INDEX(ポート振替表!$M$5:$M$3507,$L1439)&amp;"")</f>
        <v/>
      </c>
      <c r="K1439" s="52" t="str">
        <f aca="false">IF(L1439="","",E1439&amp;CHAR(10)&amp;INDEX(ポート振替表!$K$5:$K$3507,$L1439)&amp;" "&amp;INDEX(ポート振替表!$L$5:$L$3507,$L1439)&amp;CHAR(10)&amp;"⇔ "&amp;INDEX(ポート振替表!$H$5:$H$3507,$L1439)&amp;" "&amp;INDEX(ポート振替表!$I$5:$I$3507,$L1439))</f>
        <v/>
      </c>
      <c r="L1439" s="47" t="str">
        <f aca="false">IFERROR(MATCH(ROW()-4,ポート振替表!$V$5:$V$3507,0),"")</f>
        <v/>
      </c>
    </row>
    <row r="1440" customFormat="false" ht="16.4" hidden="false" customHeight="false" outlineLevel="0" collapsed="false">
      <c r="A1440" s="32" t="str">
        <f aca="false">IF(L1440="","",ROW()-4)</f>
        <v/>
      </c>
      <c r="B1440" s="58" t="str">
        <f aca="false">IF(L1440="","",IF(INDEX(ポート振替表!$W$5:$W$3507,$L1440)="","(なし)",INDEX(ポート振替表!$W$5:$W$3507,$L1440)&amp;""))</f>
        <v/>
      </c>
      <c r="C1440" s="52" t="str">
        <f aca="false">IF(L1440="","",INDEX(ポート振替表!$B$5:$B$3507,$L1440)&amp;" "&amp;INDEX(ポート振替表!$C$5:$C$3507,$L1440)&amp;"  ⇔  "&amp;INDEX(ポート振替表!$H$5:$H$3507,$L1440)&amp;" "&amp;INDEX(ポート振替表!$I$5:$I$3507,$L1440))</f>
        <v/>
      </c>
      <c r="D1440" s="57" t="s">
        <v>158</v>
      </c>
      <c r="E1440" s="59" t="str">
        <f aca="false">IF(L1440="","",IF(INDEX(ポート振替表!$O$5:$O$3507,$L1440)="","(未設定)",INDEX(ポート振替表!$O$5:$O$3507,$L1440)&amp;""))</f>
        <v/>
      </c>
      <c r="F1440" s="52" t="str">
        <f aca="false">IF(L1440="","",INDEX(ポート振替表!$K$5:$K$3507,$L1440)&amp;" "&amp;INDEX(ポート振替表!$L$5:$L$3507,$L1440)&amp;"  ⇔  "&amp;INDEX(ポート振替表!$H$5:$H$3507,$L1440)&amp;" "&amp;INDEX(ポート振替表!$I$5:$I$3507,$L1440))</f>
        <v/>
      </c>
      <c r="G1440" s="57" t="s">
        <v>158</v>
      </c>
      <c r="H1440" s="32" t="str">
        <f aca="false">IF(L1440="","",INDEX(ポート振替表!$N$5:$N$3507,$L1440)&amp;"")</f>
        <v/>
      </c>
      <c r="I1440" s="32" t="str">
        <f aca="false">IF(L1440="","",INDEX(ポート振替表!$P$5:$P$3507,$L1440)&amp;"")</f>
        <v/>
      </c>
      <c r="J1440" s="60" t="str">
        <f aca="false">IF(L1440="","",INDEX(ポート振替表!$M$5:$M$3507,$L1440)&amp;"")</f>
        <v/>
      </c>
      <c r="K1440" s="52" t="str">
        <f aca="false">IF(L1440="","",E1440&amp;CHAR(10)&amp;INDEX(ポート振替表!$K$5:$K$3507,$L1440)&amp;" "&amp;INDEX(ポート振替表!$L$5:$L$3507,$L1440)&amp;CHAR(10)&amp;"⇔ "&amp;INDEX(ポート振替表!$H$5:$H$3507,$L1440)&amp;" "&amp;INDEX(ポート振替表!$I$5:$I$3507,$L1440))</f>
        <v/>
      </c>
      <c r="L1440" s="47" t="str">
        <f aca="false">IFERROR(MATCH(ROW()-4,ポート振替表!$V$5:$V$3507,0),"")</f>
        <v/>
      </c>
    </row>
    <row r="1441" customFormat="false" ht="16.4" hidden="false" customHeight="false" outlineLevel="0" collapsed="false">
      <c r="A1441" s="32" t="str">
        <f aca="false">IF(L1441="","",ROW()-4)</f>
        <v/>
      </c>
      <c r="B1441" s="58" t="str">
        <f aca="false">IF(L1441="","",IF(INDEX(ポート振替表!$W$5:$W$3507,$L1441)="","(なし)",INDEX(ポート振替表!$W$5:$W$3507,$L1441)&amp;""))</f>
        <v/>
      </c>
      <c r="C1441" s="52" t="str">
        <f aca="false">IF(L1441="","",INDEX(ポート振替表!$B$5:$B$3507,$L1441)&amp;" "&amp;INDEX(ポート振替表!$C$5:$C$3507,$L1441)&amp;"  ⇔  "&amp;INDEX(ポート振替表!$H$5:$H$3507,$L1441)&amp;" "&amp;INDEX(ポート振替表!$I$5:$I$3507,$L1441))</f>
        <v/>
      </c>
      <c r="D1441" s="57" t="s">
        <v>158</v>
      </c>
      <c r="E1441" s="59" t="str">
        <f aca="false">IF(L1441="","",IF(INDEX(ポート振替表!$O$5:$O$3507,$L1441)="","(未設定)",INDEX(ポート振替表!$O$5:$O$3507,$L1441)&amp;""))</f>
        <v/>
      </c>
      <c r="F1441" s="52" t="str">
        <f aca="false">IF(L1441="","",INDEX(ポート振替表!$K$5:$K$3507,$L1441)&amp;" "&amp;INDEX(ポート振替表!$L$5:$L$3507,$L1441)&amp;"  ⇔  "&amp;INDEX(ポート振替表!$H$5:$H$3507,$L1441)&amp;" "&amp;INDEX(ポート振替表!$I$5:$I$3507,$L1441))</f>
        <v/>
      </c>
      <c r="G1441" s="57" t="s">
        <v>158</v>
      </c>
      <c r="H1441" s="32" t="str">
        <f aca="false">IF(L1441="","",INDEX(ポート振替表!$N$5:$N$3507,$L1441)&amp;"")</f>
        <v/>
      </c>
      <c r="I1441" s="32" t="str">
        <f aca="false">IF(L1441="","",INDEX(ポート振替表!$P$5:$P$3507,$L1441)&amp;"")</f>
        <v/>
      </c>
      <c r="J1441" s="60" t="str">
        <f aca="false">IF(L1441="","",INDEX(ポート振替表!$M$5:$M$3507,$L1441)&amp;"")</f>
        <v/>
      </c>
      <c r="K1441" s="52" t="str">
        <f aca="false">IF(L1441="","",E1441&amp;CHAR(10)&amp;INDEX(ポート振替表!$K$5:$K$3507,$L1441)&amp;" "&amp;INDEX(ポート振替表!$L$5:$L$3507,$L1441)&amp;CHAR(10)&amp;"⇔ "&amp;INDEX(ポート振替表!$H$5:$H$3507,$L1441)&amp;" "&amp;INDEX(ポート振替表!$I$5:$I$3507,$L1441))</f>
        <v/>
      </c>
      <c r="L1441" s="47" t="str">
        <f aca="false">IFERROR(MATCH(ROW()-4,ポート振替表!$V$5:$V$3507,0),"")</f>
        <v/>
      </c>
    </row>
    <row r="1442" customFormat="false" ht="16.4" hidden="false" customHeight="false" outlineLevel="0" collapsed="false">
      <c r="A1442" s="32" t="str">
        <f aca="false">IF(L1442="","",ROW()-4)</f>
        <v/>
      </c>
      <c r="B1442" s="58" t="str">
        <f aca="false">IF(L1442="","",IF(INDEX(ポート振替表!$W$5:$W$3507,$L1442)="","(なし)",INDEX(ポート振替表!$W$5:$W$3507,$L1442)&amp;""))</f>
        <v/>
      </c>
      <c r="C1442" s="52" t="str">
        <f aca="false">IF(L1442="","",INDEX(ポート振替表!$B$5:$B$3507,$L1442)&amp;" "&amp;INDEX(ポート振替表!$C$5:$C$3507,$L1442)&amp;"  ⇔  "&amp;INDEX(ポート振替表!$H$5:$H$3507,$L1442)&amp;" "&amp;INDEX(ポート振替表!$I$5:$I$3507,$L1442))</f>
        <v/>
      </c>
      <c r="D1442" s="57" t="s">
        <v>158</v>
      </c>
      <c r="E1442" s="59" t="str">
        <f aca="false">IF(L1442="","",IF(INDEX(ポート振替表!$O$5:$O$3507,$L1442)="","(未設定)",INDEX(ポート振替表!$O$5:$O$3507,$L1442)&amp;""))</f>
        <v/>
      </c>
      <c r="F1442" s="52" t="str">
        <f aca="false">IF(L1442="","",INDEX(ポート振替表!$K$5:$K$3507,$L1442)&amp;" "&amp;INDEX(ポート振替表!$L$5:$L$3507,$L1442)&amp;"  ⇔  "&amp;INDEX(ポート振替表!$H$5:$H$3507,$L1442)&amp;" "&amp;INDEX(ポート振替表!$I$5:$I$3507,$L1442))</f>
        <v/>
      </c>
      <c r="G1442" s="57" t="s">
        <v>158</v>
      </c>
      <c r="H1442" s="32" t="str">
        <f aca="false">IF(L1442="","",INDEX(ポート振替表!$N$5:$N$3507,$L1442)&amp;"")</f>
        <v/>
      </c>
      <c r="I1442" s="32" t="str">
        <f aca="false">IF(L1442="","",INDEX(ポート振替表!$P$5:$P$3507,$L1442)&amp;"")</f>
        <v/>
      </c>
      <c r="J1442" s="60" t="str">
        <f aca="false">IF(L1442="","",INDEX(ポート振替表!$M$5:$M$3507,$L1442)&amp;"")</f>
        <v/>
      </c>
      <c r="K1442" s="52" t="str">
        <f aca="false">IF(L1442="","",E1442&amp;CHAR(10)&amp;INDEX(ポート振替表!$K$5:$K$3507,$L1442)&amp;" "&amp;INDEX(ポート振替表!$L$5:$L$3507,$L1442)&amp;CHAR(10)&amp;"⇔ "&amp;INDEX(ポート振替表!$H$5:$H$3507,$L1442)&amp;" "&amp;INDEX(ポート振替表!$I$5:$I$3507,$L1442))</f>
        <v/>
      </c>
      <c r="L1442" s="47" t="str">
        <f aca="false">IFERROR(MATCH(ROW()-4,ポート振替表!$V$5:$V$3507,0),"")</f>
        <v/>
      </c>
    </row>
    <row r="1443" customFormat="false" ht="16.4" hidden="false" customHeight="false" outlineLevel="0" collapsed="false">
      <c r="A1443" s="32" t="str">
        <f aca="false">IF(L1443="","",ROW()-4)</f>
        <v/>
      </c>
      <c r="B1443" s="58" t="str">
        <f aca="false">IF(L1443="","",IF(INDEX(ポート振替表!$W$5:$W$3507,$L1443)="","(なし)",INDEX(ポート振替表!$W$5:$W$3507,$L1443)&amp;""))</f>
        <v/>
      </c>
      <c r="C1443" s="52" t="str">
        <f aca="false">IF(L1443="","",INDEX(ポート振替表!$B$5:$B$3507,$L1443)&amp;" "&amp;INDEX(ポート振替表!$C$5:$C$3507,$L1443)&amp;"  ⇔  "&amp;INDEX(ポート振替表!$H$5:$H$3507,$L1443)&amp;" "&amp;INDEX(ポート振替表!$I$5:$I$3507,$L1443))</f>
        <v/>
      </c>
      <c r="D1443" s="57" t="s">
        <v>158</v>
      </c>
      <c r="E1443" s="59" t="str">
        <f aca="false">IF(L1443="","",IF(INDEX(ポート振替表!$O$5:$O$3507,$L1443)="","(未設定)",INDEX(ポート振替表!$O$5:$O$3507,$L1443)&amp;""))</f>
        <v/>
      </c>
      <c r="F1443" s="52" t="str">
        <f aca="false">IF(L1443="","",INDEX(ポート振替表!$K$5:$K$3507,$L1443)&amp;" "&amp;INDEX(ポート振替表!$L$5:$L$3507,$L1443)&amp;"  ⇔  "&amp;INDEX(ポート振替表!$H$5:$H$3507,$L1443)&amp;" "&amp;INDEX(ポート振替表!$I$5:$I$3507,$L1443))</f>
        <v/>
      </c>
      <c r="G1443" s="57" t="s">
        <v>158</v>
      </c>
      <c r="H1443" s="32" t="str">
        <f aca="false">IF(L1443="","",INDEX(ポート振替表!$N$5:$N$3507,$L1443)&amp;"")</f>
        <v/>
      </c>
      <c r="I1443" s="32" t="str">
        <f aca="false">IF(L1443="","",INDEX(ポート振替表!$P$5:$P$3507,$L1443)&amp;"")</f>
        <v/>
      </c>
      <c r="J1443" s="60" t="str">
        <f aca="false">IF(L1443="","",INDEX(ポート振替表!$M$5:$M$3507,$L1443)&amp;"")</f>
        <v/>
      </c>
      <c r="K1443" s="52" t="str">
        <f aca="false">IF(L1443="","",E1443&amp;CHAR(10)&amp;INDEX(ポート振替表!$K$5:$K$3507,$L1443)&amp;" "&amp;INDEX(ポート振替表!$L$5:$L$3507,$L1443)&amp;CHAR(10)&amp;"⇔ "&amp;INDEX(ポート振替表!$H$5:$H$3507,$L1443)&amp;" "&amp;INDEX(ポート振替表!$I$5:$I$3507,$L1443))</f>
        <v/>
      </c>
      <c r="L1443" s="47" t="str">
        <f aca="false">IFERROR(MATCH(ROW()-4,ポート振替表!$V$5:$V$3507,0),"")</f>
        <v/>
      </c>
    </row>
    <row r="1444" customFormat="false" ht="16.4" hidden="false" customHeight="false" outlineLevel="0" collapsed="false">
      <c r="A1444" s="32" t="str">
        <f aca="false">IF(L1444="","",ROW()-4)</f>
        <v/>
      </c>
      <c r="B1444" s="58" t="str">
        <f aca="false">IF(L1444="","",IF(INDEX(ポート振替表!$W$5:$W$3507,$L1444)="","(なし)",INDEX(ポート振替表!$W$5:$W$3507,$L1444)&amp;""))</f>
        <v/>
      </c>
      <c r="C1444" s="52" t="str">
        <f aca="false">IF(L1444="","",INDEX(ポート振替表!$B$5:$B$3507,$L1444)&amp;" "&amp;INDEX(ポート振替表!$C$5:$C$3507,$L1444)&amp;"  ⇔  "&amp;INDEX(ポート振替表!$H$5:$H$3507,$L1444)&amp;" "&amp;INDEX(ポート振替表!$I$5:$I$3507,$L1444))</f>
        <v/>
      </c>
      <c r="D1444" s="57" t="s">
        <v>158</v>
      </c>
      <c r="E1444" s="59" t="str">
        <f aca="false">IF(L1444="","",IF(INDEX(ポート振替表!$O$5:$O$3507,$L1444)="","(未設定)",INDEX(ポート振替表!$O$5:$O$3507,$L1444)&amp;""))</f>
        <v/>
      </c>
      <c r="F1444" s="52" t="str">
        <f aca="false">IF(L1444="","",INDEX(ポート振替表!$K$5:$K$3507,$L1444)&amp;" "&amp;INDEX(ポート振替表!$L$5:$L$3507,$L1444)&amp;"  ⇔  "&amp;INDEX(ポート振替表!$H$5:$H$3507,$L1444)&amp;" "&amp;INDEX(ポート振替表!$I$5:$I$3507,$L1444))</f>
        <v/>
      </c>
      <c r="G1444" s="57" t="s">
        <v>158</v>
      </c>
      <c r="H1444" s="32" t="str">
        <f aca="false">IF(L1444="","",INDEX(ポート振替表!$N$5:$N$3507,$L1444)&amp;"")</f>
        <v/>
      </c>
      <c r="I1444" s="32" t="str">
        <f aca="false">IF(L1444="","",INDEX(ポート振替表!$P$5:$P$3507,$L1444)&amp;"")</f>
        <v/>
      </c>
      <c r="J1444" s="60" t="str">
        <f aca="false">IF(L1444="","",INDEX(ポート振替表!$M$5:$M$3507,$L1444)&amp;"")</f>
        <v/>
      </c>
      <c r="K1444" s="52" t="str">
        <f aca="false">IF(L1444="","",E1444&amp;CHAR(10)&amp;INDEX(ポート振替表!$K$5:$K$3507,$L1444)&amp;" "&amp;INDEX(ポート振替表!$L$5:$L$3507,$L1444)&amp;CHAR(10)&amp;"⇔ "&amp;INDEX(ポート振替表!$H$5:$H$3507,$L1444)&amp;" "&amp;INDEX(ポート振替表!$I$5:$I$3507,$L1444))</f>
        <v/>
      </c>
      <c r="L1444" s="47" t="str">
        <f aca="false">IFERROR(MATCH(ROW()-4,ポート振替表!$V$5:$V$3507,0),"")</f>
        <v/>
      </c>
    </row>
    <row r="1445" customFormat="false" ht="16.4" hidden="false" customHeight="false" outlineLevel="0" collapsed="false">
      <c r="A1445" s="32" t="str">
        <f aca="false">IF(L1445="","",ROW()-4)</f>
        <v/>
      </c>
      <c r="B1445" s="58" t="str">
        <f aca="false">IF(L1445="","",IF(INDEX(ポート振替表!$W$5:$W$3507,$L1445)="","(なし)",INDEX(ポート振替表!$W$5:$W$3507,$L1445)&amp;""))</f>
        <v/>
      </c>
      <c r="C1445" s="52" t="str">
        <f aca="false">IF(L1445="","",INDEX(ポート振替表!$B$5:$B$3507,$L1445)&amp;" "&amp;INDEX(ポート振替表!$C$5:$C$3507,$L1445)&amp;"  ⇔  "&amp;INDEX(ポート振替表!$H$5:$H$3507,$L1445)&amp;" "&amp;INDEX(ポート振替表!$I$5:$I$3507,$L1445))</f>
        <v/>
      </c>
      <c r="D1445" s="57" t="s">
        <v>158</v>
      </c>
      <c r="E1445" s="59" t="str">
        <f aca="false">IF(L1445="","",IF(INDEX(ポート振替表!$O$5:$O$3507,$L1445)="","(未設定)",INDEX(ポート振替表!$O$5:$O$3507,$L1445)&amp;""))</f>
        <v/>
      </c>
      <c r="F1445" s="52" t="str">
        <f aca="false">IF(L1445="","",INDEX(ポート振替表!$K$5:$K$3507,$L1445)&amp;" "&amp;INDEX(ポート振替表!$L$5:$L$3507,$L1445)&amp;"  ⇔  "&amp;INDEX(ポート振替表!$H$5:$H$3507,$L1445)&amp;" "&amp;INDEX(ポート振替表!$I$5:$I$3507,$L1445))</f>
        <v/>
      </c>
      <c r="G1445" s="57" t="s">
        <v>158</v>
      </c>
      <c r="H1445" s="32" t="str">
        <f aca="false">IF(L1445="","",INDEX(ポート振替表!$N$5:$N$3507,$L1445)&amp;"")</f>
        <v/>
      </c>
      <c r="I1445" s="32" t="str">
        <f aca="false">IF(L1445="","",INDEX(ポート振替表!$P$5:$P$3507,$L1445)&amp;"")</f>
        <v/>
      </c>
      <c r="J1445" s="60" t="str">
        <f aca="false">IF(L1445="","",INDEX(ポート振替表!$M$5:$M$3507,$L1445)&amp;"")</f>
        <v/>
      </c>
      <c r="K1445" s="52" t="str">
        <f aca="false">IF(L1445="","",E1445&amp;CHAR(10)&amp;INDEX(ポート振替表!$K$5:$K$3507,$L1445)&amp;" "&amp;INDEX(ポート振替表!$L$5:$L$3507,$L1445)&amp;CHAR(10)&amp;"⇔ "&amp;INDEX(ポート振替表!$H$5:$H$3507,$L1445)&amp;" "&amp;INDEX(ポート振替表!$I$5:$I$3507,$L1445))</f>
        <v/>
      </c>
      <c r="L1445" s="47" t="str">
        <f aca="false">IFERROR(MATCH(ROW()-4,ポート振替表!$V$5:$V$3507,0),"")</f>
        <v/>
      </c>
    </row>
    <row r="1446" customFormat="false" ht="16.4" hidden="false" customHeight="false" outlineLevel="0" collapsed="false">
      <c r="A1446" s="32" t="str">
        <f aca="false">IF(L1446="","",ROW()-4)</f>
        <v/>
      </c>
      <c r="B1446" s="58" t="str">
        <f aca="false">IF(L1446="","",IF(INDEX(ポート振替表!$W$5:$W$3507,$L1446)="","(なし)",INDEX(ポート振替表!$W$5:$W$3507,$L1446)&amp;""))</f>
        <v/>
      </c>
      <c r="C1446" s="52" t="str">
        <f aca="false">IF(L1446="","",INDEX(ポート振替表!$B$5:$B$3507,$L1446)&amp;" "&amp;INDEX(ポート振替表!$C$5:$C$3507,$L1446)&amp;"  ⇔  "&amp;INDEX(ポート振替表!$H$5:$H$3507,$L1446)&amp;" "&amp;INDEX(ポート振替表!$I$5:$I$3507,$L1446))</f>
        <v/>
      </c>
      <c r="D1446" s="57" t="s">
        <v>158</v>
      </c>
      <c r="E1446" s="59" t="str">
        <f aca="false">IF(L1446="","",IF(INDEX(ポート振替表!$O$5:$O$3507,$L1446)="","(未設定)",INDEX(ポート振替表!$O$5:$O$3507,$L1446)&amp;""))</f>
        <v/>
      </c>
      <c r="F1446" s="52" t="str">
        <f aca="false">IF(L1446="","",INDEX(ポート振替表!$K$5:$K$3507,$L1446)&amp;" "&amp;INDEX(ポート振替表!$L$5:$L$3507,$L1446)&amp;"  ⇔  "&amp;INDEX(ポート振替表!$H$5:$H$3507,$L1446)&amp;" "&amp;INDEX(ポート振替表!$I$5:$I$3507,$L1446))</f>
        <v/>
      </c>
      <c r="G1446" s="57" t="s">
        <v>158</v>
      </c>
      <c r="H1446" s="32" t="str">
        <f aca="false">IF(L1446="","",INDEX(ポート振替表!$N$5:$N$3507,$L1446)&amp;"")</f>
        <v/>
      </c>
      <c r="I1446" s="32" t="str">
        <f aca="false">IF(L1446="","",INDEX(ポート振替表!$P$5:$P$3507,$L1446)&amp;"")</f>
        <v/>
      </c>
      <c r="J1446" s="60" t="str">
        <f aca="false">IF(L1446="","",INDEX(ポート振替表!$M$5:$M$3507,$L1446)&amp;"")</f>
        <v/>
      </c>
      <c r="K1446" s="52" t="str">
        <f aca="false">IF(L1446="","",E1446&amp;CHAR(10)&amp;INDEX(ポート振替表!$K$5:$K$3507,$L1446)&amp;" "&amp;INDEX(ポート振替表!$L$5:$L$3507,$L1446)&amp;CHAR(10)&amp;"⇔ "&amp;INDEX(ポート振替表!$H$5:$H$3507,$L1446)&amp;" "&amp;INDEX(ポート振替表!$I$5:$I$3507,$L1446))</f>
        <v/>
      </c>
      <c r="L1446" s="47" t="str">
        <f aca="false">IFERROR(MATCH(ROW()-4,ポート振替表!$V$5:$V$3507,0),"")</f>
        <v/>
      </c>
    </row>
    <row r="1447" customFormat="false" ht="16.4" hidden="false" customHeight="false" outlineLevel="0" collapsed="false">
      <c r="A1447" s="32" t="str">
        <f aca="false">IF(L1447="","",ROW()-4)</f>
        <v/>
      </c>
      <c r="B1447" s="58" t="str">
        <f aca="false">IF(L1447="","",IF(INDEX(ポート振替表!$W$5:$W$3507,$L1447)="","(なし)",INDEX(ポート振替表!$W$5:$W$3507,$L1447)&amp;""))</f>
        <v/>
      </c>
      <c r="C1447" s="52" t="str">
        <f aca="false">IF(L1447="","",INDEX(ポート振替表!$B$5:$B$3507,$L1447)&amp;" "&amp;INDEX(ポート振替表!$C$5:$C$3507,$L1447)&amp;"  ⇔  "&amp;INDEX(ポート振替表!$H$5:$H$3507,$L1447)&amp;" "&amp;INDEX(ポート振替表!$I$5:$I$3507,$L1447))</f>
        <v/>
      </c>
      <c r="D1447" s="57" t="s">
        <v>158</v>
      </c>
      <c r="E1447" s="59" t="str">
        <f aca="false">IF(L1447="","",IF(INDEX(ポート振替表!$O$5:$O$3507,$L1447)="","(未設定)",INDEX(ポート振替表!$O$5:$O$3507,$L1447)&amp;""))</f>
        <v/>
      </c>
      <c r="F1447" s="52" t="str">
        <f aca="false">IF(L1447="","",INDEX(ポート振替表!$K$5:$K$3507,$L1447)&amp;" "&amp;INDEX(ポート振替表!$L$5:$L$3507,$L1447)&amp;"  ⇔  "&amp;INDEX(ポート振替表!$H$5:$H$3507,$L1447)&amp;" "&amp;INDEX(ポート振替表!$I$5:$I$3507,$L1447))</f>
        <v/>
      </c>
      <c r="G1447" s="57" t="s">
        <v>158</v>
      </c>
      <c r="H1447" s="32" t="str">
        <f aca="false">IF(L1447="","",INDEX(ポート振替表!$N$5:$N$3507,$L1447)&amp;"")</f>
        <v/>
      </c>
      <c r="I1447" s="32" t="str">
        <f aca="false">IF(L1447="","",INDEX(ポート振替表!$P$5:$P$3507,$L1447)&amp;"")</f>
        <v/>
      </c>
      <c r="J1447" s="60" t="str">
        <f aca="false">IF(L1447="","",INDEX(ポート振替表!$M$5:$M$3507,$L1447)&amp;"")</f>
        <v/>
      </c>
      <c r="K1447" s="52" t="str">
        <f aca="false">IF(L1447="","",E1447&amp;CHAR(10)&amp;INDEX(ポート振替表!$K$5:$K$3507,$L1447)&amp;" "&amp;INDEX(ポート振替表!$L$5:$L$3507,$L1447)&amp;CHAR(10)&amp;"⇔ "&amp;INDEX(ポート振替表!$H$5:$H$3507,$L1447)&amp;" "&amp;INDEX(ポート振替表!$I$5:$I$3507,$L1447))</f>
        <v/>
      </c>
      <c r="L1447" s="47" t="str">
        <f aca="false">IFERROR(MATCH(ROW()-4,ポート振替表!$V$5:$V$3507,0),"")</f>
        <v/>
      </c>
    </row>
    <row r="1448" customFormat="false" ht="16.4" hidden="false" customHeight="false" outlineLevel="0" collapsed="false">
      <c r="A1448" s="32" t="str">
        <f aca="false">IF(L1448="","",ROW()-4)</f>
        <v/>
      </c>
      <c r="B1448" s="58" t="str">
        <f aca="false">IF(L1448="","",IF(INDEX(ポート振替表!$W$5:$W$3507,$L1448)="","(なし)",INDEX(ポート振替表!$W$5:$W$3507,$L1448)&amp;""))</f>
        <v/>
      </c>
      <c r="C1448" s="52" t="str">
        <f aca="false">IF(L1448="","",INDEX(ポート振替表!$B$5:$B$3507,$L1448)&amp;" "&amp;INDEX(ポート振替表!$C$5:$C$3507,$L1448)&amp;"  ⇔  "&amp;INDEX(ポート振替表!$H$5:$H$3507,$L1448)&amp;" "&amp;INDEX(ポート振替表!$I$5:$I$3507,$L1448))</f>
        <v/>
      </c>
      <c r="D1448" s="57" t="s">
        <v>158</v>
      </c>
      <c r="E1448" s="59" t="str">
        <f aca="false">IF(L1448="","",IF(INDEX(ポート振替表!$O$5:$O$3507,$L1448)="","(未設定)",INDEX(ポート振替表!$O$5:$O$3507,$L1448)&amp;""))</f>
        <v/>
      </c>
      <c r="F1448" s="52" t="str">
        <f aca="false">IF(L1448="","",INDEX(ポート振替表!$K$5:$K$3507,$L1448)&amp;" "&amp;INDEX(ポート振替表!$L$5:$L$3507,$L1448)&amp;"  ⇔  "&amp;INDEX(ポート振替表!$H$5:$H$3507,$L1448)&amp;" "&amp;INDEX(ポート振替表!$I$5:$I$3507,$L1448))</f>
        <v/>
      </c>
      <c r="G1448" s="57" t="s">
        <v>158</v>
      </c>
      <c r="H1448" s="32" t="str">
        <f aca="false">IF(L1448="","",INDEX(ポート振替表!$N$5:$N$3507,$L1448)&amp;"")</f>
        <v/>
      </c>
      <c r="I1448" s="32" t="str">
        <f aca="false">IF(L1448="","",INDEX(ポート振替表!$P$5:$P$3507,$L1448)&amp;"")</f>
        <v/>
      </c>
      <c r="J1448" s="60" t="str">
        <f aca="false">IF(L1448="","",INDEX(ポート振替表!$M$5:$M$3507,$L1448)&amp;"")</f>
        <v/>
      </c>
      <c r="K1448" s="52" t="str">
        <f aca="false">IF(L1448="","",E1448&amp;CHAR(10)&amp;INDEX(ポート振替表!$K$5:$K$3507,$L1448)&amp;" "&amp;INDEX(ポート振替表!$L$5:$L$3507,$L1448)&amp;CHAR(10)&amp;"⇔ "&amp;INDEX(ポート振替表!$H$5:$H$3507,$L1448)&amp;" "&amp;INDEX(ポート振替表!$I$5:$I$3507,$L1448))</f>
        <v/>
      </c>
      <c r="L1448" s="47" t="str">
        <f aca="false">IFERROR(MATCH(ROW()-4,ポート振替表!$V$5:$V$3507,0),"")</f>
        <v/>
      </c>
    </row>
    <row r="1449" customFormat="false" ht="16.4" hidden="false" customHeight="false" outlineLevel="0" collapsed="false">
      <c r="A1449" s="32" t="str">
        <f aca="false">IF(L1449="","",ROW()-4)</f>
        <v/>
      </c>
      <c r="B1449" s="58" t="str">
        <f aca="false">IF(L1449="","",IF(INDEX(ポート振替表!$W$5:$W$3507,$L1449)="","(なし)",INDEX(ポート振替表!$W$5:$W$3507,$L1449)&amp;""))</f>
        <v/>
      </c>
      <c r="C1449" s="52" t="str">
        <f aca="false">IF(L1449="","",INDEX(ポート振替表!$B$5:$B$3507,$L1449)&amp;" "&amp;INDEX(ポート振替表!$C$5:$C$3507,$L1449)&amp;"  ⇔  "&amp;INDEX(ポート振替表!$H$5:$H$3507,$L1449)&amp;" "&amp;INDEX(ポート振替表!$I$5:$I$3507,$L1449))</f>
        <v/>
      </c>
      <c r="D1449" s="57" t="s">
        <v>158</v>
      </c>
      <c r="E1449" s="59" t="str">
        <f aca="false">IF(L1449="","",IF(INDEX(ポート振替表!$O$5:$O$3507,$L1449)="","(未設定)",INDEX(ポート振替表!$O$5:$O$3507,$L1449)&amp;""))</f>
        <v/>
      </c>
      <c r="F1449" s="52" t="str">
        <f aca="false">IF(L1449="","",INDEX(ポート振替表!$K$5:$K$3507,$L1449)&amp;" "&amp;INDEX(ポート振替表!$L$5:$L$3507,$L1449)&amp;"  ⇔  "&amp;INDEX(ポート振替表!$H$5:$H$3507,$L1449)&amp;" "&amp;INDEX(ポート振替表!$I$5:$I$3507,$L1449))</f>
        <v/>
      </c>
      <c r="G1449" s="57" t="s">
        <v>158</v>
      </c>
      <c r="H1449" s="32" t="str">
        <f aca="false">IF(L1449="","",INDEX(ポート振替表!$N$5:$N$3507,$L1449)&amp;"")</f>
        <v/>
      </c>
      <c r="I1449" s="32" t="str">
        <f aca="false">IF(L1449="","",INDEX(ポート振替表!$P$5:$P$3507,$L1449)&amp;"")</f>
        <v/>
      </c>
      <c r="J1449" s="60" t="str">
        <f aca="false">IF(L1449="","",INDEX(ポート振替表!$M$5:$M$3507,$L1449)&amp;"")</f>
        <v/>
      </c>
      <c r="K1449" s="52" t="str">
        <f aca="false">IF(L1449="","",E1449&amp;CHAR(10)&amp;INDEX(ポート振替表!$K$5:$K$3507,$L1449)&amp;" "&amp;INDEX(ポート振替表!$L$5:$L$3507,$L1449)&amp;CHAR(10)&amp;"⇔ "&amp;INDEX(ポート振替表!$H$5:$H$3507,$L1449)&amp;" "&amp;INDEX(ポート振替表!$I$5:$I$3507,$L1449))</f>
        <v/>
      </c>
      <c r="L1449" s="47" t="str">
        <f aca="false">IFERROR(MATCH(ROW()-4,ポート振替表!$V$5:$V$3507,0),"")</f>
        <v/>
      </c>
    </row>
    <row r="1450" customFormat="false" ht="16.4" hidden="false" customHeight="false" outlineLevel="0" collapsed="false">
      <c r="A1450" s="32" t="str">
        <f aca="false">IF(L1450="","",ROW()-4)</f>
        <v/>
      </c>
      <c r="B1450" s="58" t="str">
        <f aca="false">IF(L1450="","",IF(INDEX(ポート振替表!$W$5:$W$3507,$L1450)="","(なし)",INDEX(ポート振替表!$W$5:$W$3507,$L1450)&amp;""))</f>
        <v/>
      </c>
      <c r="C1450" s="52" t="str">
        <f aca="false">IF(L1450="","",INDEX(ポート振替表!$B$5:$B$3507,$L1450)&amp;" "&amp;INDEX(ポート振替表!$C$5:$C$3507,$L1450)&amp;"  ⇔  "&amp;INDEX(ポート振替表!$H$5:$H$3507,$L1450)&amp;" "&amp;INDEX(ポート振替表!$I$5:$I$3507,$L1450))</f>
        <v/>
      </c>
      <c r="D1450" s="57" t="s">
        <v>158</v>
      </c>
      <c r="E1450" s="59" t="str">
        <f aca="false">IF(L1450="","",IF(INDEX(ポート振替表!$O$5:$O$3507,$L1450)="","(未設定)",INDEX(ポート振替表!$O$5:$O$3507,$L1450)&amp;""))</f>
        <v/>
      </c>
      <c r="F1450" s="52" t="str">
        <f aca="false">IF(L1450="","",INDEX(ポート振替表!$K$5:$K$3507,$L1450)&amp;" "&amp;INDEX(ポート振替表!$L$5:$L$3507,$L1450)&amp;"  ⇔  "&amp;INDEX(ポート振替表!$H$5:$H$3507,$L1450)&amp;" "&amp;INDEX(ポート振替表!$I$5:$I$3507,$L1450))</f>
        <v/>
      </c>
      <c r="G1450" s="57" t="s">
        <v>158</v>
      </c>
      <c r="H1450" s="32" t="str">
        <f aca="false">IF(L1450="","",INDEX(ポート振替表!$N$5:$N$3507,$L1450)&amp;"")</f>
        <v/>
      </c>
      <c r="I1450" s="32" t="str">
        <f aca="false">IF(L1450="","",INDEX(ポート振替表!$P$5:$P$3507,$L1450)&amp;"")</f>
        <v/>
      </c>
      <c r="J1450" s="60" t="str">
        <f aca="false">IF(L1450="","",INDEX(ポート振替表!$M$5:$M$3507,$L1450)&amp;"")</f>
        <v/>
      </c>
      <c r="K1450" s="52" t="str">
        <f aca="false">IF(L1450="","",E1450&amp;CHAR(10)&amp;INDEX(ポート振替表!$K$5:$K$3507,$L1450)&amp;" "&amp;INDEX(ポート振替表!$L$5:$L$3507,$L1450)&amp;CHAR(10)&amp;"⇔ "&amp;INDEX(ポート振替表!$H$5:$H$3507,$L1450)&amp;" "&amp;INDEX(ポート振替表!$I$5:$I$3507,$L1450))</f>
        <v/>
      </c>
      <c r="L1450" s="47" t="str">
        <f aca="false">IFERROR(MATCH(ROW()-4,ポート振替表!$V$5:$V$3507,0),"")</f>
        <v/>
      </c>
    </row>
    <row r="1451" customFormat="false" ht="16.4" hidden="false" customHeight="false" outlineLevel="0" collapsed="false">
      <c r="A1451" s="32" t="str">
        <f aca="false">IF(L1451="","",ROW()-4)</f>
        <v/>
      </c>
      <c r="B1451" s="58" t="str">
        <f aca="false">IF(L1451="","",IF(INDEX(ポート振替表!$W$5:$W$3507,$L1451)="","(なし)",INDEX(ポート振替表!$W$5:$W$3507,$L1451)&amp;""))</f>
        <v/>
      </c>
      <c r="C1451" s="52" t="str">
        <f aca="false">IF(L1451="","",INDEX(ポート振替表!$B$5:$B$3507,$L1451)&amp;" "&amp;INDEX(ポート振替表!$C$5:$C$3507,$L1451)&amp;"  ⇔  "&amp;INDEX(ポート振替表!$H$5:$H$3507,$L1451)&amp;" "&amp;INDEX(ポート振替表!$I$5:$I$3507,$L1451))</f>
        <v/>
      </c>
      <c r="D1451" s="57" t="s">
        <v>158</v>
      </c>
      <c r="E1451" s="59" t="str">
        <f aca="false">IF(L1451="","",IF(INDEX(ポート振替表!$O$5:$O$3507,$L1451)="","(未設定)",INDEX(ポート振替表!$O$5:$O$3507,$L1451)&amp;""))</f>
        <v/>
      </c>
      <c r="F1451" s="52" t="str">
        <f aca="false">IF(L1451="","",INDEX(ポート振替表!$K$5:$K$3507,$L1451)&amp;" "&amp;INDEX(ポート振替表!$L$5:$L$3507,$L1451)&amp;"  ⇔  "&amp;INDEX(ポート振替表!$H$5:$H$3507,$L1451)&amp;" "&amp;INDEX(ポート振替表!$I$5:$I$3507,$L1451))</f>
        <v/>
      </c>
      <c r="G1451" s="57" t="s">
        <v>158</v>
      </c>
      <c r="H1451" s="32" t="str">
        <f aca="false">IF(L1451="","",INDEX(ポート振替表!$N$5:$N$3507,$L1451)&amp;"")</f>
        <v/>
      </c>
      <c r="I1451" s="32" t="str">
        <f aca="false">IF(L1451="","",INDEX(ポート振替表!$P$5:$P$3507,$L1451)&amp;"")</f>
        <v/>
      </c>
      <c r="J1451" s="60" t="str">
        <f aca="false">IF(L1451="","",INDEX(ポート振替表!$M$5:$M$3507,$L1451)&amp;"")</f>
        <v/>
      </c>
      <c r="K1451" s="52" t="str">
        <f aca="false">IF(L1451="","",E1451&amp;CHAR(10)&amp;INDEX(ポート振替表!$K$5:$K$3507,$L1451)&amp;" "&amp;INDEX(ポート振替表!$L$5:$L$3507,$L1451)&amp;CHAR(10)&amp;"⇔ "&amp;INDEX(ポート振替表!$H$5:$H$3507,$L1451)&amp;" "&amp;INDEX(ポート振替表!$I$5:$I$3507,$L1451))</f>
        <v/>
      </c>
      <c r="L1451" s="47" t="str">
        <f aca="false">IFERROR(MATCH(ROW()-4,ポート振替表!$V$5:$V$3507,0),"")</f>
        <v/>
      </c>
    </row>
    <row r="1452" customFormat="false" ht="16.4" hidden="false" customHeight="false" outlineLevel="0" collapsed="false">
      <c r="A1452" s="32" t="str">
        <f aca="false">IF(L1452="","",ROW()-4)</f>
        <v/>
      </c>
      <c r="B1452" s="58" t="str">
        <f aca="false">IF(L1452="","",IF(INDEX(ポート振替表!$W$5:$W$3507,$L1452)="","(なし)",INDEX(ポート振替表!$W$5:$W$3507,$L1452)&amp;""))</f>
        <v/>
      </c>
      <c r="C1452" s="52" t="str">
        <f aca="false">IF(L1452="","",INDEX(ポート振替表!$B$5:$B$3507,$L1452)&amp;" "&amp;INDEX(ポート振替表!$C$5:$C$3507,$L1452)&amp;"  ⇔  "&amp;INDEX(ポート振替表!$H$5:$H$3507,$L1452)&amp;" "&amp;INDEX(ポート振替表!$I$5:$I$3507,$L1452))</f>
        <v/>
      </c>
      <c r="D1452" s="57" t="s">
        <v>158</v>
      </c>
      <c r="E1452" s="59" t="str">
        <f aca="false">IF(L1452="","",IF(INDEX(ポート振替表!$O$5:$O$3507,$L1452)="","(未設定)",INDEX(ポート振替表!$O$5:$O$3507,$L1452)&amp;""))</f>
        <v/>
      </c>
      <c r="F1452" s="52" t="str">
        <f aca="false">IF(L1452="","",INDEX(ポート振替表!$K$5:$K$3507,$L1452)&amp;" "&amp;INDEX(ポート振替表!$L$5:$L$3507,$L1452)&amp;"  ⇔  "&amp;INDEX(ポート振替表!$H$5:$H$3507,$L1452)&amp;" "&amp;INDEX(ポート振替表!$I$5:$I$3507,$L1452))</f>
        <v/>
      </c>
      <c r="G1452" s="57" t="s">
        <v>158</v>
      </c>
      <c r="H1452" s="32" t="str">
        <f aca="false">IF(L1452="","",INDEX(ポート振替表!$N$5:$N$3507,$L1452)&amp;"")</f>
        <v/>
      </c>
      <c r="I1452" s="32" t="str">
        <f aca="false">IF(L1452="","",INDEX(ポート振替表!$P$5:$P$3507,$L1452)&amp;"")</f>
        <v/>
      </c>
      <c r="J1452" s="60" t="str">
        <f aca="false">IF(L1452="","",INDEX(ポート振替表!$M$5:$M$3507,$L1452)&amp;"")</f>
        <v/>
      </c>
      <c r="K1452" s="52" t="str">
        <f aca="false">IF(L1452="","",E1452&amp;CHAR(10)&amp;INDEX(ポート振替表!$K$5:$K$3507,$L1452)&amp;" "&amp;INDEX(ポート振替表!$L$5:$L$3507,$L1452)&amp;CHAR(10)&amp;"⇔ "&amp;INDEX(ポート振替表!$H$5:$H$3507,$L1452)&amp;" "&amp;INDEX(ポート振替表!$I$5:$I$3507,$L1452))</f>
        <v/>
      </c>
      <c r="L1452" s="47" t="str">
        <f aca="false">IFERROR(MATCH(ROW()-4,ポート振替表!$V$5:$V$3507,0),"")</f>
        <v/>
      </c>
    </row>
    <row r="1453" customFormat="false" ht="16.4" hidden="false" customHeight="false" outlineLevel="0" collapsed="false">
      <c r="A1453" s="32" t="str">
        <f aca="false">IF(L1453="","",ROW()-4)</f>
        <v/>
      </c>
      <c r="B1453" s="58" t="str">
        <f aca="false">IF(L1453="","",IF(INDEX(ポート振替表!$W$5:$W$3507,$L1453)="","(なし)",INDEX(ポート振替表!$W$5:$W$3507,$L1453)&amp;""))</f>
        <v/>
      </c>
      <c r="C1453" s="52" t="str">
        <f aca="false">IF(L1453="","",INDEX(ポート振替表!$B$5:$B$3507,$L1453)&amp;" "&amp;INDEX(ポート振替表!$C$5:$C$3507,$L1453)&amp;"  ⇔  "&amp;INDEX(ポート振替表!$H$5:$H$3507,$L1453)&amp;" "&amp;INDEX(ポート振替表!$I$5:$I$3507,$L1453))</f>
        <v/>
      </c>
      <c r="D1453" s="57" t="s">
        <v>158</v>
      </c>
      <c r="E1453" s="59" t="str">
        <f aca="false">IF(L1453="","",IF(INDEX(ポート振替表!$O$5:$O$3507,$L1453)="","(未設定)",INDEX(ポート振替表!$O$5:$O$3507,$L1453)&amp;""))</f>
        <v/>
      </c>
      <c r="F1453" s="52" t="str">
        <f aca="false">IF(L1453="","",INDEX(ポート振替表!$K$5:$K$3507,$L1453)&amp;" "&amp;INDEX(ポート振替表!$L$5:$L$3507,$L1453)&amp;"  ⇔  "&amp;INDEX(ポート振替表!$H$5:$H$3507,$L1453)&amp;" "&amp;INDEX(ポート振替表!$I$5:$I$3507,$L1453))</f>
        <v/>
      </c>
      <c r="G1453" s="57" t="s">
        <v>158</v>
      </c>
      <c r="H1453" s="32" t="str">
        <f aca="false">IF(L1453="","",INDEX(ポート振替表!$N$5:$N$3507,$L1453)&amp;"")</f>
        <v/>
      </c>
      <c r="I1453" s="32" t="str">
        <f aca="false">IF(L1453="","",INDEX(ポート振替表!$P$5:$P$3507,$L1453)&amp;"")</f>
        <v/>
      </c>
      <c r="J1453" s="60" t="str">
        <f aca="false">IF(L1453="","",INDEX(ポート振替表!$M$5:$M$3507,$L1453)&amp;"")</f>
        <v/>
      </c>
      <c r="K1453" s="52" t="str">
        <f aca="false">IF(L1453="","",E1453&amp;CHAR(10)&amp;INDEX(ポート振替表!$K$5:$K$3507,$L1453)&amp;" "&amp;INDEX(ポート振替表!$L$5:$L$3507,$L1453)&amp;CHAR(10)&amp;"⇔ "&amp;INDEX(ポート振替表!$H$5:$H$3507,$L1453)&amp;" "&amp;INDEX(ポート振替表!$I$5:$I$3507,$L1453))</f>
        <v/>
      </c>
      <c r="L1453" s="47" t="str">
        <f aca="false">IFERROR(MATCH(ROW()-4,ポート振替表!$V$5:$V$3507,0),"")</f>
        <v/>
      </c>
    </row>
    <row r="1454" customFormat="false" ht="16.4" hidden="false" customHeight="false" outlineLevel="0" collapsed="false">
      <c r="A1454" s="32" t="str">
        <f aca="false">IF(L1454="","",ROW()-4)</f>
        <v/>
      </c>
      <c r="B1454" s="58" t="str">
        <f aca="false">IF(L1454="","",IF(INDEX(ポート振替表!$W$5:$W$3507,$L1454)="","(なし)",INDEX(ポート振替表!$W$5:$W$3507,$L1454)&amp;""))</f>
        <v/>
      </c>
      <c r="C1454" s="52" t="str">
        <f aca="false">IF(L1454="","",INDEX(ポート振替表!$B$5:$B$3507,$L1454)&amp;" "&amp;INDEX(ポート振替表!$C$5:$C$3507,$L1454)&amp;"  ⇔  "&amp;INDEX(ポート振替表!$H$5:$H$3507,$L1454)&amp;" "&amp;INDEX(ポート振替表!$I$5:$I$3507,$L1454))</f>
        <v/>
      </c>
      <c r="D1454" s="57" t="s">
        <v>158</v>
      </c>
      <c r="E1454" s="59" t="str">
        <f aca="false">IF(L1454="","",IF(INDEX(ポート振替表!$O$5:$O$3507,$L1454)="","(未設定)",INDEX(ポート振替表!$O$5:$O$3507,$L1454)&amp;""))</f>
        <v/>
      </c>
      <c r="F1454" s="52" t="str">
        <f aca="false">IF(L1454="","",INDEX(ポート振替表!$K$5:$K$3507,$L1454)&amp;" "&amp;INDEX(ポート振替表!$L$5:$L$3507,$L1454)&amp;"  ⇔  "&amp;INDEX(ポート振替表!$H$5:$H$3507,$L1454)&amp;" "&amp;INDEX(ポート振替表!$I$5:$I$3507,$L1454))</f>
        <v/>
      </c>
      <c r="G1454" s="57" t="s">
        <v>158</v>
      </c>
      <c r="H1454" s="32" t="str">
        <f aca="false">IF(L1454="","",INDEX(ポート振替表!$N$5:$N$3507,$L1454)&amp;"")</f>
        <v/>
      </c>
      <c r="I1454" s="32" t="str">
        <f aca="false">IF(L1454="","",INDEX(ポート振替表!$P$5:$P$3507,$L1454)&amp;"")</f>
        <v/>
      </c>
      <c r="J1454" s="60" t="str">
        <f aca="false">IF(L1454="","",INDEX(ポート振替表!$M$5:$M$3507,$L1454)&amp;"")</f>
        <v/>
      </c>
      <c r="K1454" s="52" t="str">
        <f aca="false">IF(L1454="","",E1454&amp;CHAR(10)&amp;INDEX(ポート振替表!$K$5:$K$3507,$L1454)&amp;" "&amp;INDEX(ポート振替表!$L$5:$L$3507,$L1454)&amp;CHAR(10)&amp;"⇔ "&amp;INDEX(ポート振替表!$H$5:$H$3507,$L1454)&amp;" "&amp;INDEX(ポート振替表!$I$5:$I$3507,$L1454))</f>
        <v/>
      </c>
      <c r="L1454" s="47" t="str">
        <f aca="false">IFERROR(MATCH(ROW()-4,ポート振替表!$V$5:$V$3507,0),"")</f>
        <v/>
      </c>
    </row>
    <row r="1455" customFormat="false" ht="16.4" hidden="false" customHeight="false" outlineLevel="0" collapsed="false">
      <c r="A1455" s="32" t="str">
        <f aca="false">IF(L1455="","",ROW()-4)</f>
        <v/>
      </c>
      <c r="B1455" s="58" t="str">
        <f aca="false">IF(L1455="","",IF(INDEX(ポート振替表!$W$5:$W$3507,$L1455)="","(なし)",INDEX(ポート振替表!$W$5:$W$3507,$L1455)&amp;""))</f>
        <v/>
      </c>
      <c r="C1455" s="52" t="str">
        <f aca="false">IF(L1455="","",INDEX(ポート振替表!$B$5:$B$3507,$L1455)&amp;" "&amp;INDEX(ポート振替表!$C$5:$C$3507,$L1455)&amp;"  ⇔  "&amp;INDEX(ポート振替表!$H$5:$H$3507,$L1455)&amp;" "&amp;INDEX(ポート振替表!$I$5:$I$3507,$L1455))</f>
        <v/>
      </c>
      <c r="D1455" s="57" t="s">
        <v>158</v>
      </c>
      <c r="E1455" s="59" t="str">
        <f aca="false">IF(L1455="","",IF(INDEX(ポート振替表!$O$5:$O$3507,$L1455)="","(未設定)",INDEX(ポート振替表!$O$5:$O$3507,$L1455)&amp;""))</f>
        <v/>
      </c>
      <c r="F1455" s="52" t="str">
        <f aca="false">IF(L1455="","",INDEX(ポート振替表!$K$5:$K$3507,$L1455)&amp;" "&amp;INDEX(ポート振替表!$L$5:$L$3507,$L1455)&amp;"  ⇔  "&amp;INDEX(ポート振替表!$H$5:$H$3507,$L1455)&amp;" "&amp;INDEX(ポート振替表!$I$5:$I$3507,$L1455))</f>
        <v/>
      </c>
      <c r="G1455" s="57" t="s">
        <v>158</v>
      </c>
      <c r="H1455" s="32" t="str">
        <f aca="false">IF(L1455="","",INDEX(ポート振替表!$N$5:$N$3507,$L1455)&amp;"")</f>
        <v/>
      </c>
      <c r="I1455" s="32" t="str">
        <f aca="false">IF(L1455="","",INDEX(ポート振替表!$P$5:$P$3507,$L1455)&amp;"")</f>
        <v/>
      </c>
      <c r="J1455" s="60" t="str">
        <f aca="false">IF(L1455="","",INDEX(ポート振替表!$M$5:$M$3507,$L1455)&amp;"")</f>
        <v/>
      </c>
      <c r="K1455" s="52" t="str">
        <f aca="false">IF(L1455="","",E1455&amp;CHAR(10)&amp;INDEX(ポート振替表!$K$5:$K$3507,$L1455)&amp;" "&amp;INDEX(ポート振替表!$L$5:$L$3507,$L1455)&amp;CHAR(10)&amp;"⇔ "&amp;INDEX(ポート振替表!$H$5:$H$3507,$L1455)&amp;" "&amp;INDEX(ポート振替表!$I$5:$I$3507,$L1455))</f>
        <v/>
      </c>
      <c r="L1455" s="47" t="str">
        <f aca="false">IFERROR(MATCH(ROW()-4,ポート振替表!$V$5:$V$3507,0),"")</f>
        <v/>
      </c>
    </row>
    <row r="1456" customFormat="false" ht="16.4" hidden="false" customHeight="false" outlineLevel="0" collapsed="false">
      <c r="A1456" s="32" t="str">
        <f aca="false">IF(L1456="","",ROW()-4)</f>
        <v/>
      </c>
      <c r="B1456" s="58" t="str">
        <f aca="false">IF(L1456="","",IF(INDEX(ポート振替表!$W$5:$W$3507,$L1456)="","(なし)",INDEX(ポート振替表!$W$5:$W$3507,$L1456)&amp;""))</f>
        <v/>
      </c>
      <c r="C1456" s="52" t="str">
        <f aca="false">IF(L1456="","",INDEX(ポート振替表!$B$5:$B$3507,$L1456)&amp;" "&amp;INDEX(ポート振替表!$C$5:$C$3507,$L1456)&amp;"  ⇔  "&amp;INDEX(ポート振替表!$H$5:$H$3507,$L1456)&amp;" "&amp;INDEX(ポート振替表!$I$5:$I$3507,$L1456))</f>
        <v/>
      </c>
      <c r="D1456" s="57" t="s">
        <v>158</v>
      </c>
      <c r="E1456" s="59" t="str">
        <f aca="false">IF(L1456="","",IF(INDEX(ポート振替表!$O$5:$O$3507,$L1456)="","(未設定)",INDEX(ポート振替表!$O$5:$O$3507,$L1456)&amp;""))</f>
        <v/>
      </c>
      <c r="F1456" s="52" t="str">
        <f aca="false">IF(L1456="","",INDEX(ポート振替表!$K$5:$K$3507,$L1456)&amp;" "&amp;INDEX(ポート振替表!$L$5:$L$3507,$L1456)&amp;"  ⇔  "&amp;INDEX(ポート振替表!$H$5:$H$3507,$L1456)&amp;" "&amp;INDEX(ポート振替表!$I$5:$I$3507,$L1456))</f>
        <v/>
      </c>
      <c r="G1456" s="57" t="s">
        <v>158</v>
      </c>
      <c r="H1456" s="32" t="str">
        <f aca="false">IF(L1456="","",INDEX(ポート振替表!$N$5:$N$3507,$L1456)&amp;"")</f>
        <v/>
      </c>
      <c r="I1456" s="32" t="str">
        <f aca="false">IF(L1456="","",INDEX(ポート振替表!$P$5:$P$3507,$L1456)&amp;"")</f>
        <v/>
      </c>
      <c r="J1456" s="60" t="str">
        <f aca="false">IF(L1456="","",INDEX(ポート振替表!$M$5:$M$3507,$L1456)&amp;"")</f>
        <v/>
      </c>
      <c r="K1456" s="52" t="str">
        <f aca="false">IF(L1456="","",E1456&amp;CHAR(10)&amp;INDEX(ポート振替表!$K$5:$K$3507,$L1456)&amp;" "&amp;INDEX(ポート振替表!$L$5:$L$3507,$L1456)&amp;CHAR(10)&amp;"⇔ "&amp;INDEX(ポート振替表!$H$5:$H$3507,$L1456)&amp;" "&amp;INDEX(ポート振替表!$I$5:$I$3507,$L1456))</f>
        <v/>
      </c>
      <c r="L1456" s="47" t="str">
        <f aca="false">IFERROR(MATCH(ROW()-4,ポート振替表!$V$5:$V$3507,0),"")</f>
        <v/>
      </c>
    </row>
    <row r="1457" customFormat="false" ht="16.4" hidden="false" customHeight="false" outlineLevel="0" collapsed="false">
      <c r="A1457" s="32" t="str">
        <f aca="false">IF(L1457="","",ROW()-4)</f>
        <v/>
      </c>
      <c r="B1457" s="58" t="str">
        <f aca="false">IF(L1457="","",IF(INDEX(ポート振替表!$W$5:$W$3507,$L1457)="","(なし)",INDEX(ポート振替表!$W$5:$W$3507,$L1457)&amp;""))</f>
        <v/>
      </c>
      <c r="C1457" s="52" t="str">
        <f aca="false">IF(L1457="","",INDEX(ポート振替表!$B$5:$B$3507,$L1457)&amp;" "&amp;INDEX(ポート振替表!$C$5:$C$3507,$L1457)&amp;"  ⇔  "&amp;INDEX(ポート振替表!$H$5:$H$3507,$L1457)&amp;" "&amp;INDEX(ポート振替表!$I$5:$I$3507,$L1457))</f>
        <v/>
      </c>
      <c r="D1457" s="57" t="s">
        <v>158</v>
      </c>
      <c r="E1457" s="59" t="str">
        <f aca="false">IF(L1457="","",IF(INDEX(ポート振替表!$O$5:$O$3507,$L1457)="","(未設定)",INDEX(ポート振替表!$O$5:$O$3507,$L1457)&amp;""))</f>
        <v/>
      </c>
      <c r="F1457" s="52" t="str">
        <f aca="false">IF(L1457="","",INDEX(ポート振替表!$K$5:$K$3507,$L1457)&amp;" "&amp;INDEX(ポート振替表!$L$5:$L$3507,$L1457)&amp;"  ⇔  "&amp;INDEX(ポート振替表!$H$5:$H$3507,$L1457)&amp;" "&amp;INDEX(ポート振替表!$I$5:$I$3507,$L1457))</f>
        <v/>
      </c>
      <c r="G1457" s="57" t="s">
        <v>158</v>
      </c>
      <c r="H1457" s="32" t="str">
        <f aca="false">IF(L1457="","",INDEX(ポート振替表!$N$5:$N$3507,$L1457)&amp;"")</f>
        <v/>
      </c>
      <c r="I1457" s="32" t="str">
        <f aca="false">IF(L1457="","",INDEX(ポート振替表!$P$5:$P$3507,$L1457)&amp;"")</f>
        <v/>
      </c>
      <c r="J1457" s="60" t="str">
        <f aca="false">IF(L1457="","",INDEX(ポート振替表!$M$5:$M$3507,$L1457)&amp;"")</f>
        <v/>
      </c>
      <c r="K1457" s="52" t="str">
        <f aca="false">IF(L1457="","",E1457&amp;CHAR(10)&amp;INDEX(ポート振替表!$K$5:$K$3507,$L1457)&amp;" "&amp;INDEX(ポート振替表!$L$5:$L$3507,$L1457)&amp;CHAR(10)&amp;"⇔ "&amp;INDEX(ポート振替表!$H$5:$H$3507,$L1457)&amp;" "&amp;INDEX(ポート振替表!$I$5:$I$3507,$L1457))</f>
        <v/>
      </c>
      <c r="L1457" s="47" t="str">
        <f aca="false">IFERROR(MATCH(ROW()-4,ポート振替表!$V$5:$V$3507,0),"")</f>
        <v/>
      </c>
    </row>
    <row r="1458" customFormat="false" ht="16.4" hidden="false" customHeight="false" outlineLevel="0" collapsed="false">
      <c r="A1458" s="32" t="str">
        <f aca="false">IF(L1458="","",ROW()-4)</f>
        <v/>
      </c>
      <c r="B1458" s="58" t="str">
        <f aca="false">IF(L1458="","",IF(INDEX(ポート振替表!$W$5:$W$3507,$L1458)="","(なし)",INDEX(ポート振替表!$W$5:$W$3507,$L1458)&amp;""))</f>
        <v/>
      </c>
      <c r="C1458" s="52" t="str">
        <f aca="false">IF(L1458="","",INDEX(ポート振替表!$B$5:$B$3507,$L1458)&amp;" "&amp;INDEX(ポート振替表!$C$5:$C$3507,$L1458)&amp;"  ⇔  "&amp;INDEX(ポート振替表!$H$5:$H$3507,$L1458)&amp;" "&amp;INDEX(ポート振替表!$I$5:$I$3507,$L1458))</f>
        <v/>
      </c>
      <c r="D1458" s="57" t="s">
        <v>158</v>
      </c>
      <c r="E1458" s="59" t="str">
        <f aca="false">IF(L1458="","",IF(INDEX(ポート振替表!$O$5:$O$3507,$L1458)="","(未設定)",INDEX(ポート振替表!$O$5:$O$3507,$L1458)&amp;""))</f>
        <v/>
      </c>
      <c r="F1458" s="52" t="str">
        <f aca="false">IF(L1458="","",INDEX(ポート振替表!$K$5:$K$3507,$L1458)&amp;" "&amp;INDEX(ポート振替表!$L$5:$L$3507,$L1458)&amp;"  ⇔  "&amp;INDEX(ポート振替表!$H$5:$H$3507,$L1458)&amp;" "&amp;INDEX(ポート振替表!$I$5:$I$3507,$L1458))</f>
        <v/>
      </c>
      <c r="G1458" s="57" t="s">
        <v>158</v>
      </c>
      <c r="H1458" s="32" t="str">
        <f aca="false">IF(L1458="","",INDEX(ポート振替表!$N$5:$N$3507,$L1458)&amp;"")</f>
        <v/>
      </c>
      <c r="I1458" s="32" t="str">
        <f aca="false">IF(L1458="","",INDEX(ポート振替表!$P$5:$P$3507,$L1458)&amp;"")</f>
        <v/>
      </c>
      <c r="J1458" s="60" t="str">
        <f aca="false">IF(L1458="","",INDEX(ポート振替表!$M$5:$M$3507,$L1458)&amp;"")</f>
        <v/>
      </c>
      <c r="K1458" s="52" t="str">
        <f aca="false">IF(L1458="","",E1458&amp;CHAR(10)&amp;INDEX(ポート振替表!$K$5:$K$3507,$L1458)&amp;" "&amp;INDEX(ポート振替表!$L$5:$L$3507,$L1458)&amp;CHAR(10)&amp;"⇔ "&amp;INDEX(ポート振替表!$H$5:$H$3507,$L1458)&amp;" "&amp;INDEX(ポート振替表!$I$5:$I$3507,$L1458))</f>
        <v/>
      </c>
      <c r="L1458" s="47" t="str">
        <f aca="false">IFERROR(MATCH(ROW()-4,ポート振替表!$V$5:$V$3507,0),"")</f>
        <v/>
      </c>
    </row>
    <row r="1459" customFormat="false" ht="16.4" hidden="false" customHeight="false" outlineLevel="0" collapsed="false">
      <c r="A1459" s="32" t="str">
        <f aca="false">IF(L1459="","",ROW()-4)</f>
        <v/>
      </c>
      <c r="B1459" s="58" t="str">
        <f aca="false">IF(L1459="","",IF(INDEX(ポート振替表!$W$5:$W$3507,$L1459)="","(なし)",INDEX(ポート振替表!$W$5:$W$3507,$L1459)&amp;""))</f>
        <v/>
      </c>
      <c r="C1459" s="52" t="str">
        <f aca="false">IF(L1459="","",INDEX(ポート振替表!$B$5:$B$3507,$L1459)&amp;" "&amp;INDEX(ポート振替表!$C$5:$C$3507,$L1459)&amp;"  ⇔  "&amp;INDEX(ポート振替表!$H$5:$H$3507,$L1459)&amp;" "&amp;INDEX(ポート振替表!$I$5:$I$3507,$L1459))</f>
        <v/>
      </c>
      <c r="D1459" s="57" t="s">
        <v>158</v>
      </c>
      <c r="E1459" s="59" t="str">
        <f aca="false">IF(L1459="","",IF(INDEX(ポート振替表!$O$5:$O$3507,$L1459)="","(未設定)",INDEX(ポート振替表!$O$5:$O$3507,$L1459)&amp;""))</f>
        <v/>
      </c>
      <c r="F1459" s="52" t="str">
        <f aca="false">IF(L1459="","",INDEX(ポート振替表!$K$5:$K$3507,$L1459)&amp;" "&amp;INDEX(ポート振替表!$L$5:$L$3507,$L1459)&amp;"  ⇔  "&amp;INDEX(ポート振替表!$H$5:$H$3507,$L1459)&amp;" "&amp;INDEX(ポート振替表!$I$5:$I$3507,$L1459))</f>
        <v/>
      </c>
      <c r="G1459" s="57" t="s">
        <v>158</v>
      </c>
      <c r="H1459" s="32" t="str">
        <f aca="false">IF(L1459="","",INDEX(ポート振替表!$N$5:$N$3507,$L1459)&amp;"")</f>
        <v/>
      </c>
      <c r="I1459" s="32" t="str">
        <f aca="false">IF(L1459="","",INDEX(ポート振替表!$P$5:$P$3507,$L1459)&amp;"")</f>
        <v/>
      </c>
      <c r="J1459" s="60" t="str">
        <f aca="false">IF(L1459="","",INDEX(ポート振替表!$M$5:$M$3507,$L1459)&amp;"")</f>
        <v/>
      </c>
      <c r="K1459" s="52" t="str">
        <f aca="false">IF(L1459="","",E1459&amp;CHAR(10)&amp;INDEX(ポート振替表!$K$5:$K$3507,$L1459)&amp;" "&amp;INDEX(ポート振替表!$L$5:$L$3507,$L1459)&amp;CHAR(10)&amp;"⇔ "&amp;INDEX(ポート振替表!$H$5:$H$3507,$L1459)&amp;" "&amp;INDEX(ポート振替表!$I$5:$I$3507,$L1459))</f>
        <v/>
      </c>
      <c r="L1459" s="47" t="str">
        <f aca="false">IFERROR(MATCH(ROW()-4,ポート振替表!$V$5:$V$3507,0),"")</f>
        <v/>
      </c>
    </row>
    <row r="1460" customFormat="false" ht="16.4" hidden="false" customHeight="false" outlineLevel="0" collapsed="false">
      <c r="A1460" s="32" t="str">
        <f aca="false">IF(L1460="","",ROW()-4)</f>
        <v/>
      </c>
      <c r="B1460" s="58" t="str">
        <f aca="false">IF(L1460="","",IF(INDEX(ポート振替表!$W$5:$W$3507,$L1460)="","(なし)",INDEX(ポート振替表!$W$5:$W$3507,$L1460)&amp;""))</f>
        <v/>
      </c>
      <c r="C1460" s="52" t="str">
        <f aca="false">IF(L1460="","",INDEX(ポート振替表!$B$5:$B$3507,$L1460)&amp;" "&amp;INDEX(ポート振替表!$C$5:$C$3507,$L1460)&amp;"  ⇔  "&amp;INDEX(ポート振替表!$H$5:$H$3507,$L1460)&amp;" "&amp;INDEX(ポート振替表!$I$5:$I$3507,$L1460))</f>
        <v/>
      </c>
      <c r="D1460" s="57" t="s">
        <v>158</v>
      </c>
      <c r="E1460" s="59" t="str">
        <f aca="false">IF(L1460="","",IF(INDEX(ポート振替表!$O$5:$O$3507,$L1460)="","(未設定)",INDEX(ポート振替表!$O$5:$O$3507,$L1460)&amp;""))</f>
        <v/>
      </c>
      <c r="F1460" s="52" t="str">
        <f aca="false">IF(L1460="","",INDEX(ポート振替表!$K$5:$K$3507,$L1460)&amp;" "&amp;INDEX(ポート振替表!$L$5:$L$3507,$L1460)&amp;"  ⇔  "&amp;INDEX(ポート振替表!$H$5:$H$3507,$L1460)&amp;" "&amp;INDEX(ポート振替表!$I$5:$I$3507,$L1460))</f>
        <v/>
      </c>
      <c r="G1460" s="57" t="s">
        <v>158</v>
      </c>
      <c r="H1460" s="32" t="str">
        <f aca="false">IF(L1460="","",INDEX(ポート振替表!$N$5:$N$3507,$L1460)&amp;"")</f>
        <v/>
      </c>
      <c r="I1460" s="32" t="str">
        <f aca="false">IF(L1460="","",INDEX(ポート振替表!$P$5:$P$3507,$L1460)&amp;"")</f>
        <v/>
      </c>
      <c r="J1460" s="60" t="str">
        <f aca="false">IF(L1460="","",INDEX(ポート振替表!$M$5:$M$3507,$L1460)&amp;"")</f>
        <v/>
      </c>
      <c r="K1460" s="52" t="str">
        <f aca="false">IF(L1460="","",E1460&amp;CHAR(10)&amp;INDEX(ポート振替表!$K$5:$K$3507,$L1460)&amp;" "&amp;INDEX(ポート振替表!$L$5:$L$3507,$L1460)&amp;CHAR(10)&amp;"⇔ "&amp;INDEX(ポート振替表!$H$5:$H$3507,$L1460)&amp;" "&amp;INDEX(ポート振替表!$I$5:$I$3507,$L1460))</f>
        <v/>
      </c>
      <c r="L1460" s="47" t="str">
        <f aca="false">IFERROR(MATCH(ROW()-4,ポート振替表!$V$5:$V$3507,0),"")</f>
        <v/>
      </c>
    </row>
    <row r="1461" customFormat="false" ht="16.4" hidden="false" customHeight="false" outlineLevel="0" collapsed="false">
      <c r="A1461" s="32" t="str">
        <f aca="false">IF(L1461="","",ROW()-4)</f>
        <v/>
      </c>
      <c r="B1461" s="58" t="str">
        <f aca="false">IF(L1461="","",IF(INDEX(ポート振替表!$W$5:$W$3507,$L1461)="","(なし)",INDEX(ポート振替表!$W$5:$W$3507,$L1461)&amp;""))</f>
        <v/>
      </c>
      <c r="C1461" s="52" t="str">
        <f aca="false">IF(L1461="","",INDEX(ポート振替表!$B$5:$B$3507,$L1461)&amp;" "&amp;INDEX(ポート振替表!$C$5:$C$3507,$L1461)&amp;"  ⇔  "&amp;INDEX(ポート振替表!$H$5:$H$3507,$L1461)&amp;" "&amp;INDEX(ポート振替表!$I$5:$I$3507,$L1461))</f>
        <v/>
      </c>
      <c r="D1461" s="57" t="s">
        <v>158</v>
      </c>
      <c r="E1461" s="59" t="str">
        <f aca="false">IF(L1461="","",IF(INDEX(ポート振替表!$O$5:$O$3507,$L1461)="","(未設定)",INDEX(ポート振替表!$O$5:$O$3507,$L1461)&amp;""))</f>
        <v/>
      </c>
      <c r="F1461" s="52" t="str">
        <f aca="false">IF(L1461="","",INDEX(ポート振替表!$K$5:$K$3507,$L1461)&amp;" "&amp;INDEX(ポート振替表!$L$5:$L$3507,$L1461)&amp;"  ⇔  "&amp;INDEX(ポート振替表!$H$5:$H$3507,$L1461)&amp;" "&amp;INDEX(ポート振替表!$I$5:$I$3507,$L1461))</f>
        <v/>
      </c>
      <c r="G1461" s="57" t="s">
        <v>158</v>
      </c>
      <c r="H1461" s="32" t="str">
        <f aca="false">IF(L1461="","",INDEX(ポート振替表!$N$5:$N$3507,$L1461)&amp;"")</f>
        <v/>
      </c>
      <c r="I1461" s="32" t="str">
        <f aca="false">IF(L1461="","",INDEX(ポート振替表!$P$5:$P$3507,$L1461)&amp;"")</f>
        <v/>
      </c>
      <c r="J1461" s="60" t="str">
        <f aca="false">IF(L1461="","",INDEX(ポート振替表!$M$5:$M$3507,$L1461)&amp;"")</f>
        <v/>
      </c>
      <c r="K1461" s="52" t="str">
        <f aca="false">IF(L1461="","",E1461&amp;CHAR(10)&amp;INDEX(ポート振替表!$K$5:$K$3507,$L1461)&amp;" "&amp;INDEX(ポート振替表!$L$5:$L$3507,$L1461)&amp;CHAR(10)&amp;"⇔ "&amp;INDEX(ポート振替表!$H$5:$H$3507,$L1461)&amp;" "&amp;INDEX(ポート振替表!$I$5:$I$3507,$L1461))</f>
        <v/>
      </c>
      <c r="L1461" s="47" t="str">
        <f aca="false">IFERROR(MATCH(ROW()-4,ポート振替表!$V$5:$V$3507,0),"")</f>
        <v/>
      </c>
    </row>
    <row r="1462" customFormat="false" ht="16.4" hidden="false" customHeight="false" outlineLevel="0" collapsed="false">
      <c r="A1462" s="32" t="str">
        <f aca="false">IF(L1462="","",ROW()-4)</f>
        <v/>
      </c>
      <c r="B1462" s="58" t="str">
        <f aca="false">IF(L1462="","",IF(INDEX(ポート振替表!$W$5:$W$3507,$L1462)="","(なし)",INDEX(ポート振替表!$W$5:$W$3507,$L1462)&amp;""))</f>
        <v/>
      </c>
      <c r="C1462" s="52" t="str">
        <f aca="false">IF(L1462="","",INDEX(ポート振替表!$B$5:$B$3507,$L1462)&amp;" "&amp;INDEX(ポート振替表!$C$5:$C$3507,$L1462)&amp;"  ⇔  "&amp;INDEX(ポート振替表!$H$5:$H$3507,$L1462)&amp;" "&amp;INDEX(ポート振替表!$I$5:$I$3507,$L1462))</f>
        <v/>
      </c>
      <c r="D1462" s="57" t="s">
        <v>158</v>
      </c>
      <c r="E1462" s="59" t="str">
        <f aca="false">IF(L1462="","",IF(INDEX(ポート振替表!$O$5:$O$3507,$L1462)="","(未設定)",INDEX(ポート振替表!$O$5:$O$3507,$L1462)&amp;""))</f>
        <v/>
      </c>
      <c r="F1462" s="52" t="str">
        <f aca="false">IF(L1462="","",INDEX(ポート振替表!$K$5:$K$3507,$L1462)&amp;" "&amp;INDEX(ポート振替表!$L$5:$L$3507,$L1462)&amp;"  ⇔  "&amp;INDEX(ポート振替表!$H$5:$H$3507,$L1462)&amp;" "&amp;INDEX(ポート振替表!$I$5:$I$3507,$L1462))</f>
        <v/>
      </c>
      <c r="G1462" s="57" t="s">
        <v>158</v>
      </c>
      <c r="H1462" s="32" t="str">
        <f aca="false">IF(L1462="","",INDEX(ポート振替表!$N$5:$N$3507,$L1462)&amp;"")</f>
        <v/>
      </c>
      <c r="I1462" s="32" t="str">
        <f aca="false">IF(L1462="","",INDEX(ポート振替表!$P$5:$P$3507,$L1462)&amp;"")</f>
        <v/>
      </c>
      <c r="J1462" s="60" t="str">
        <f aca="false">IF(L1462="","",INDEX(ポート振替表!$M$5:$M$3507,$L1462)&amp;"")</f>
        <v/>
      </c>
      <c r="K1462" s="52" t="str">
        <f aca="false">IF(L1462="","",E1462&amp;CHAR(10)&amp;INDEX(ポート振替表!$K$5:$K$3507,$L1462)&amp;" "&amp;INDEX(ポート振替表!$L$5:$L$3507,$L1462)&amp;CHAR(10)&amp;"⇔ "&amp;INDEX(ポート振替表!$H$5:$H$3507,$L1462)&amp;" "&amp;INDEX(ポート振替表!$I$5:$I$3507,$L1462))</f>
        <v/>
      </c>
      <c r="L1462" s="47" t="str">
        <f aca="false">IFERROR(MATCH(ROW()-4,ポート振替表!$V$5:$V$3507,0),"")</f>
        <v/>
      </c>
    </row>
    <row r="1463" customFormat="false" ht="16.4" hidden="false" customHeight="false" outlineLevel="0" collapsed="false">
      <c r="A1463" s="32" t="str">
        <f aca="false">IF(L1463="","",ROW()-4)</f>
        <v/>
      </c>
      <c r="B1463" s="58" t="str">
        <f aca="false">IF(L1463="","",IF(INDEX(ポート振替表!$W$5:$W$3507,$L1463)="","(なし)",INDEX(ポート振替表!$W$5:$W$3507,$L1463)&amp;""))</f>
        <v/>
      </c>
      <c r="C1463" s="52" t="str">
        <f aca="false">IF(L1463="","",INDEX(ポート振替表!$B$5:$B$3507,$L1463)&amp;" "&amp;INDEX(ポート振替表!$C$5:$C$3507,$L1463)&amp;"  ⇔  "&amp;INDEX(ポート振替表!$H$5:$H$3507,$L1463)&amp;" "&amp;INDEX(ポート振替表!$I$5:$I$3507,$L1463))</f>
        <v/>
      </c>
      <c r="D1463" s="57" t="s">
        <v>158</v>
      </c>
      <c r="E1463" s="59" t="str">
        <f aca="false">IF(L1463="","",IF(INDEX(ポート振替表!$O$5:$O$3507,$L1463)="","(未設定)",INDEX(ポート振替表!$O$5:$O$3507,$L1463)&amp;""))</f>
        <v/>
      </c>
      <c r="F1463" s="52" t="str">
        <f aca="false">IF(L1463="","",INDEX(ポート振替表!$K$5:$K$3507,$L1463)&amp;" "&amp;INDEX(ポート振替表!$L$5:$L$3507,$L1463)&amp;"  ⇔  "&amp;INDEX(ポート振替表!$H$5:$H$3507,$L1463)&amp;" "&amp;INDEX(ポート振替表!$I$5:$I$3507,$L1463))</f>
        <v/>
      </c>
      <c r="G1463" s="57" t="s">
        <v>158</v>
      </c>
      <c r="H1463" s="32" t="str">
        <f aca="false">IF(L1463="","",INDEX(ポート振替表!$N$5:$N$3507,$L1463)&amp;"")</f>
        <v/>
      </c>
      <c r="I1463" s="32" t="str">
        <f aca="false">IF(L1463="","",INDEX(ポート振替表!$P$5:$P$3507,$L1463)&amp;"")</f>
        <v/>
      </c>
      <c r="J1463" s="60" t="str">
        <f aca="false">IF(L1463="","",INDEX(ポート振替表!$M$5:$M$3507,$L1463)&amp;"")</f>
        <v/>
      </c>
      <c r="K1463" s="52" t="str">
        <f aca="false">IF(L1463="","",E1463&amp;CHAR(10)&amp;INDEX(ポート振替表!$K$5:$K$3507,$L1463)&amp;" "&amp;INDEX(ポート振替表!$L$5:$L$3507,$L1463)&amp;CHAR(10)&amp;"⇔ "&amp;INDEX(ポート振替表!$H$5:$H$3507,$L1463)&amp;" "&amp;INDEX(ポート振替表!$I$5:$I$3507,$L1463))</f>
        <v/>
      </c>
      <c r="L1463" s="47" t="str">
        <f aca="false">IFERROR(MATCH(ROW()-4,ポート振替表!$V$5:$V$3507,0),"")</f>
        <v/>
      </c>
    </row>
    <row r="1464" customFormat="false" ht="16.4" hidden="false" customHeight="false" outlineLevel="0" collapsed="false">
      <c r="A1464" s="32" t="str">
        <f aca="false">IF(L1464="","",ROW()-4)</f>
        <v/>
      </c>
      <c r="B1464" s="58" t="str">
        <f aca="false">IF(L1464="","",IF(INDEX(ポート振替表!$W$5:$W$3507,$L1464)="","(なし)",INDEX(ポート振替表!$W$5:$W$3507,$L1464)&amp;""))</f>
        <v/>
      </c>
      <c r="C1464" s="52" t="str">
        <f aca="false">IF(L1464="","",INDEX(ポート振替表!$B$5:$B$3507,$L1464)&amp;" "&amp;INDEX(ポート振替表!$C$5:$C$3507,$L1464)&amp;"  ⇔  "&amp;INDEX(ポート振替表!$H$5:$H$3507,$L1464)&amp;" "&amp;INDEX(ポート振替表!$I$5:$I$3507,$L1464))</f>
        <v/>
      </c>
      <c r="D1464" s="57" t="s">
        <v>158</v>
      </c>
      <c r="E1464" s="59" t="str">
        <f aca="false">IF(L1464="","",IF(INDEX(ポート振替表!$O$5:$O$3507,$L1464)="","(未設定)",INDEX(ポート振替表!$O$5:$O$3507,$L1464)&amp;""))</f>
        <v/>
      </c>
      <c r="F1464" s="52" t="str">
        <f aca="false">IF(L1464="","",INDEX(ポート振替表!$K$5:$K$3507,$L1464)&amp;" "&amp;INDEX(ポート振替表!$L$5:$L$3507,$L1464)&amp;"  ⇔  "&amp;INDEX(ポート振替表!$H$5:$H$3507,$L1464)&amp;" "&amp;INDEX(ポート振替表!$I$5:$I$3507,$L1464))</f>
        <v/>
      </c>
      <c r="G1464" s="57" t="s">
        <v>158</v>
      </c>
      <c r="H1464" s="32" t="str">
        <f aca="false">IF(L1464="","",INDEX(ポート振替表!$N$5:$N$3507,$L1464)&amp;"")</f>
        <v/>
      </c>
      <c r="I1464" s="32" t="str">
        <f aca="false">IF(L1464="","",INDEX(ポート振替表!$P$5:$P$3507,$L1464)&amp;"")</f>
        <v/>
      </c>
      <c r="J1464" s="60" t="str">
        <f aca="false">IF(L1464="","",INDEX(ポート振替表!$M$5:$M$3507,$L1464)&amp;"")</f>
        <v/>
      </c>
      <c r="K1464" s="52" t="str">
        <f aca="false">IF(L1464="","",E1464&amp;CHAR(10)&amp;INDEX(ポート振替表!$K$5:$K$3507,$L1464)&amp;" "&amp;INDEX(ポート振替表!$L$5:$L$3507,$L1464)&amp;CHAR(10)&amp;"⇔ "&amp;INDEX(ポート振替表!$H$5:$H$3507,$L1464)&amp;" "&amp;INDEX(ポート振替表!$I$5:$I$3507,$L1464))</f>
        <v/>
      </c>
      <c r="L1464" s="47" t="str">
        <f aca="false">IFERROR(MATCH(ROW()-4,ポート振替表!$V$5:$V$3507,0),"")</f>
        <v/>
      </c>
    </row>
    <row r="1465" customFormat="false" ht="16.4" hidden="false" customHeight="false" outlineLevel="0" collapsed="false">
      <c r="A1465" s="32" t="str">
        <f aca="false">IF(L1465="","",ROW()-4)</f>
        <v/>
      </c>
      <c r="B1465" s="58" t="str">
        <f aca="false">IF(L1465="","",IF(INDEX(ポート振替表!$W$5:$W$3507,$L1465)="","(なし)",INDEX(ポート振替表!$W$5:$W$3507,$L1465)&amp;""))</f>
        <v/>
      </c>
      <c r="C1465" s="52" t="str">
        <f aca="false">IF(L1465="","",INDEX(ポート振替表!$B$5:$B$3507,$L1465)&amp;" "&amp;INDEX(ポート振替表!$C$5:$C$3507,$L1465)&amp;"  ⇔  "&amp;INDEX(ポート振替表!$H$5:$H$3507,$L1465)&amp;" "&amp;INDEX(ポート振替表!$I$5:$I$3507,$L1465))</f>
        <v/>
      </c>
      <c r="D1465" s="57" t="s">
        <v>158</v>
      </c>
      <c r="E1465" s="59" t="str">
        <f aca="false">IF(L1465="","",IF(INDEX(ポート振替表!$O$5:$O$3507,$L1465)="","(未設定)",INDEX(ポート振替表!$O$5:$O$3507,$L1465)&amp;""))</f>
        <v/>
      </c>
      <c r="F1465" s="52" t="str">
        <f aca="false">IF(L1465="","",INDEX(ポート振替表!$K$5:$K$3507,$L1465)&amp;" "&amp;INDEX(ポート振替表!$L$5:$L$3507,$L1465)&amp;"  ⇔  "&amp;INDEX(ポート振替表!$H$5:$H$3507,$L1465)&amp;" "&amp;INDEX(ポート振替表!$I$5:$I$3507,$L1465))</f>
        <v/>
      </c>
      <c r="G1465" s="57" t="s">
        <v>158</v>
      </c>
      <c r="H1465" s="32" t="str">
        <f aca="false">IF(L1465="","",INDEX(ポート振替表!$N$5:$N$3507,$L1465)&amp;"")</f>
        <v/>
      </c>
      <c r="I1465" s="32" t="str">
        <f aca="false">IF(L1465="","",INDEX(ポート振替表!$P$5:$P$3507,$L1465)&amp;"")</f>
        <v/>
      </c>
      <c r="J1465" s="60" t="str">
        <f aca="false">IF(L1465="","",INDEX(ポート振替表!$M$5:$M$3507,$L1465)&amp;"")</f>
        <v/>
      </c>
      <c r="K1465" s="52" t="str">
        <f aca="false">IF(L1465="","",E1465&amp;CHAR(10)&amp;INDEX(ポート振替表!$K$5:$K$3507,$L1465)&amp;" "&amp;INDEX(ポート振替表!$L$5:$L$3507,$L1465)&amp;CHAR(10)&amp;"⇔ "&amp;INDEX(ポート振替表!$H$5:$H$3507,$L1465)&amp;" "&amp;INDEX(ポート振替表!$I$5:$I$3507,$L1465))</f>
        <v/>
      </c>
      <c r="L1465" s="47" t="str">
        <f aca="false">IFERROR(MATCH(ROW()-4,ポート振替表!$V$5:$V$3507,0),"")</f>
        <v/>
      </c>
    </row>
    <row r="1466" customFormat="false" ht="16.4" hidden="false" customHeight="false" outlineLevel="0" collapsed="false">
      <c r="A1466" s="32" t="str">
        <f aca="false">IF(L1466="","",ROW()-4)</f>
        <v/>
      </c>
      <c r="B1466" s="58" t="str">
        <f aca="false">IF(L1466="","",IF(INDEX(ポート振替表!$W$5:$W$3507,$L1466)="","(なし)",INDEX(ポート振替表!$W$5:$W$3507,$L1466)&amp;""))</f>
        <v/>
      </c>
      <c r="C1466" s="52" t="str">
        <f aca="false">IF(L1466="","",INDEX(ポート振替表!$B$5:$B$3507,$L1466)&amp;" "&amp;INDEX(ポート振替表!$C$5:$C$3507,$L1466)&amp;"  ⇔  "&amp;INDEX(ポート振替表!$H$5:$H$3507,$L1466)&amp;" "&amp;INDEX(ポート振替表!$I$5:$I$3507,$L1466))</f>
        <v/>
      </c>
      <c r="D1466" s="57" t="s">
        <v>158</v>
      </c>
      <c r="E1466" s="59" t="str">
        <f aca="false">IF(L1466="","",IF(INDEX(ポート振替表!$O$5:$O$3507,$L1466)="","(未設定)",INDEX(ポート振替表!$O$5:$O$3507,$L1466)&amp;""))</f>
        <v/>
      </c>
      <c r="F1466" s="52" t="str">
        <f aca="false">IF(L1466="","",INDEX(ポート振替表!$K$5:$K$3507,$L1466)&amp;" "&amp;INDEX(ポート振替表!$L$5:$L$3507,$L1466)&amp;"  ⇔  "&amp;INDEX(ポート振替表!$H$5:$H$3507,$L1466)&amp;" "&amp;INDEX(ポート振替表!$I$5:$I$3507,$L1466))</f>
        <v/>
      </c>
      <c r="G1466" s="57" t="s">
        <v>158</v>
      </c>
      <c r="H1466" s="32" t="str">
        <f aca="false">IF(L1466="","",INDEX(ポート振替表!$N$5:$N$3507,$L1466)&amp;"")</f>
        <v/>
      </c>
      <c r="I1466" s="32" t="str">
        <f aca="false">IF(L1466="","",INDEX(ポート振替表!$P$5:$P$3507,$L1466)&amp;"")</f>
        <v/>
      </c>
      <c r="J1466" s="60" t="str">
        <f aca="false">IF(L1466="","",INDEX(ポート振替表!$M$5:$M$3507,$L1466)&amp;"")</f>
        <v/>
      </c>
      <c r="K1466" s="52" t="str">
        <f aca="false">IF(L1466="","",E1466&amp;CHAR(10)&amp;INDEX(ポート振替表!$K$5:$K$3507,$L1466)&amp;" "&amp;INDEX(ポート振替表!$L$5:$L$3507,$L1466)&amp;CHAR(10)&amp;"⇔ "&amp;INDEX(ポート振替表!$H$5:$H$3507,$L1466)&amp;" "&amp;INDEX(ポート振替表!$I$5:$I$3507,$L1466))</f>
        <v/>
      </c>
      <c r="L1466" s="47" t="str">
        <f aca="false">IFERROR(MATCH(ROW()-4,ポート振替表!$V$5:$V$3507,0),"")</f>
        <v/>
      </c>
    </row>
    <row r="1467" customFormat="false" ht="16.4" hidden="false" customHeight="false" outlineLevel="0" collapsed="false">
      <c r="A1467" s="32" t="str">
        <f aca="false">IF(L1467="","",ROW()-4)</f>
        <v/>
      </c>
      <c r="B1467" s="58" t="str">
        <f aca="false">IF(L1467="","",IF(INDEX(ポート振替表!$W$5:$W$3507,$L1467)="","(なし)",INDEX(ポート振替表!$W$5:$W$3507,$L1467)&amp;""))</f>
        <v/>
      </c>
      <c r="C1467" s="52" t="str">
        <f aca="false">IF(L1467="","",INDEX(ポート振替表!$B$5:$B$3507,$L1467)&amp;" "&amp;INDEX(ポート振替表!$C$5:$C$3507,$L1467)&amp;"  ⇔  "&amp;INDEX(ポート振替表!$H$5:$H$3507,$L1467)&amp;" "&amp;INDEX(ポート振替表!$I$5:$I$3507,$L1467))</f>
        <v/>
      </c>
      <c r="D1467" s="57" t="s">
        <v>158</v>
      </c>
      <c r="E1467" s="59" t="str">
        <f aca="false">IF(L1467="","",IF(INDEX(ポート振替表!$O$5:$O$3507,$L1467)="","(未設定)",INDEX(ポート振替表!$O$5:$O$3507,$L1467)&amp;""))</f>
        <v/>
      </c>
      <c r="F1467" s="52" t="str">
        <f aca="false">IF(L1467="","",INDEX(ポート振替表!$K$5:$K$3507,$L1467)&amp;" "&amp;INDEX(ポート振替表!$L$5:$L$3507,$L1467)&amp;"  ⇔  "&amp;INDEX(ポート振替表!$H$5:$H$3507,$L1467)&amp;" "&amp;INDEX(ポート振替表!$I$5:$I$3507,$L1467))</f>
        <v/>
      </c>
      <c r="G1467" s="57" t="s">
        <v>158</v>
      </c>
      <c r="H1467" s="32" t="str">
        <f aca="false">IF(L1467="","",INDEX(ポート振替表!$N$5:$N$3507,$L1467)&amp;"")</f>
        <v/>
      </c>
      <c r="I1467" s="32" t="str">
        <f aca="false">IF(L1467="","",INDEX(ポート振替表!$P$5:$P$3507,$L1467)&amp;"")</f>
        <v/>
      </c>
      <c r="J1467" s="60" t="str">
        <f aca="false">IF(L1467="","",INDEX(ポート振替表!$M$5:$M$3507,$L1467)&amp;"")</f>
        <v/>
      </c>
      <c r="K1467" s="52" t="str">
        <f aca="false">IF(L1467="","",E1467&amp;CHAR(10)&amp;INDEX(ポート振替表!$K$5:$K$3507,$L1467)&amp;" "&amp;INDEX(ポート振替表!$L$5:$L$3507,$L1467)&amp;CHAR(10)&amp;"⇔ "&amp;INDEX(ポート振替表!$H$5:$H$3507,$L1467)&amp;" "&amp;INDEX(ポート振替表!$I$5:$I$3507,$L1467))</f>
        <v/>
      </c>
      <c r="L1467" s="47" t="str">
        <f aca="false">IFERROR(MATCH(ROW()-4,ポート振替表!$V$5:$V$3507,0),"")</f>
        <v/>
      </c>
    </row>
    <row r="1468" customFormat="false" ht="16.4" hidden="false" customHeight="false" outlineLevel="0" collapsed="false">
      <c r="A1468" s="32" t="str">
        <f aca="false">IF(L1468="","",ROW()-4)</f>
        <v/>
      </c>
      <c r="B1468" s="58" t="str">
        <f aca="false">IF(L1468="","",IF(INDEX(ポート振替表!$W$5:$W$3507,$L1468)="","(なし)",INDEX(ポート振替表!$W$5:$W$3507,$L1468)&amp;""))</f>
        <v/>
      </c>
      <c r="C1468" s="52" t="str">
        <f aca="false">IF(L1468="","",INDEX(ポート振替表!$B$5:$B$3507,$L1468)&amp;" "&amp;INDEX(ポート振替表!$C$5:$C$3507,$L1468)&amp;"  ⇔  "&amp;INDEX(ポート振替表!$H$5:$H$3507,$L1468)&amp;" "&amp;INDEX(ポート振替表!$I$5:$I$3507,$L1468))</f>
        <v/>
      </c>
      <c r="D1468" s="57" t="s">
        <v>158</v>
      </c>
      <c r="E1468" s="59" t="str">
        <f aca="false">IF(L1468="","",IF(INDEX(ポート振替表!$O$5:$O$3507,$L1468)="","(未設定)",INDEX(ポート振替表!$O$5:$O$3507,$L1468)&amp;""))</f>
        <v/>
      </c>
      <c r="F1468" s="52" t="str">
        <f aca="false">IF(L1468="","",INDEX(ポート振替表!$K$5:$K$3507,$L1468)&amp;" "&amp;INDEX(ポート振替表!$L$5:$L$3507,$L1468)&amp;"  ⇔  "&amp;INDEX(ポート振替表!$H$5:$H$3507,$L1468)&amp;" "&amp;INDEX(ポート振替表!$I$5:$I$3507,$L1468))</f>
        <v/>
      </c>
      <c r="G1468" s="57" t="s">
        <v>158</v>
      </c>
      <c r="H1468" s="32" t="str">
        <f aca="false">IF(L1468="","",INDEX(ポート振替表!$N$5:$N$3507,$L1468)&amp;"")</f>
        <v/>
      </c>
      <c r="I1468" s="32" t="str">
        <f aca="false">IF(L1468="","",INDEX(ポート振替表!$P$5:$P$3507,$L1468)&amp;"")</f>
        <v/>
      </c>
      <c r="J1468" s="60" t="str">
        <f aca="false">IF(L1468="","",INDEX(ポート振替表!$M$5:$M$3507,$L1468)&amp;"")</f>
        <v/>
      </c>
      <c r="K1468" s="52" t="str">
        <f aca="false">IF(L1468="","",E1468&amp;CHAR(10)&amp;INDEX(ポート振替表!$K$5:$K$3507,$L1468)&amp;" "&amp;INDEX(ポート振替表!$L$5:$L$3507,$L1468)&amp;CHAR(10)&amp;"⇔ "&amp;INDEX(ポート振替表!$H$5:$H$3507,$L1468)&amp;" "&amp;INDEX(ポート振替表!$I$5:$I$3507,$L1468))</f>
        <v/>
      </c>
      <c r="L1468" s="47" t="str">
        <f aca="false">IFERROR(MATCH(ROW()-4,ポート振替表!$V$5:$V$3507,0),"")</f>
        <v/>
      </c>
    </row>
    <row r="1469" customFormat="false" ht="16.4" hidden="false" customHeight="false" outlineLevel="0" collapsed="false">
      <c r="A1469" s="32" t="str">
        <f aca="false">IF(L1469="","",ROW()-4)</f>
        <v/>
      </c>
      <c r="B1469" s="58" t="str">
        <f aca="false">IF(L1469="","",IF(INDEX(ポート振替表!$W$5:$W$3507,$L1469)="","(なし)",INDEX(ポート振替表!$W$5:$W$3507,$L1469)&amp;""))</f>
        <v/>
      </c>
      <c r="C1469" s="52" t="str">
        <f aca="false">IF(L1469="","",INDEX(ポート振替表!$B$5:$B$3507,$L1469)&amp;" "&amp;INDEX(ポート振替表!$C$5:$C$3507,$L1469)&amp;"  ⇔  "&amp;INDEX(ポート振替表!$H$5:$H$3507,$L1469)&amp;" "&amp;INDEX(ポート振替表!$I$5:$I$3507,$L1469))</f>
        <v/>
      </c>
      <c r="D1469" s="57" t="s">
        <v>158</v>
      </c>
      <c r="E1469" s="59" t="str">
        <f aca="false">IF(L1469="","",IF(INDEX(ポート振替表!$O$5:$O$3507,$L1469)="","(未設定)",INDEX(ポート振替表!$O$5:$O$3507,$L1469)&amp;""))</f>
        <v/>
      </c>
      <c r="F1469" s="52" t="str">
        <f aca="false">IF(L1469="","",INDEX(ポート振替表!$K$5:$K$3507,$L1469)&amp;" "&amp;INDEX(ポート振替表!$L$5:$L$3507,$L1469)&amp;"  ⇔  "&amp;INDEX(ポート振替表!$H$5:$H$3507,$L1469)&amp;" "&amp;INDEX(ポート振替表!$I$5:$I$3507,$L1469))</f>
        <v/>
      </c>
      <c r="G1469" s="57" t="s">
        <v>158</v>
      </c>
      <c r="H1469" s="32" t="str">
        <f aca="false">IF(L1469="","",INDEX(ポート振替表!$N$5:$N$3507,$L1469)&amp;"")</f>
        <v/>
      </c>
      <c r="I1469" s="32" t="str">
        <f aca="false">IF(L1469="","",INDEX(ポート振替表!$P$5:$P$3507,$L1469)&amp;"")</f>
        <v/>
      </c>
      <c r="J1469" s="60" t="str">
        <f aca="false">IF(L1469="","",INDEX(ポート振替表!$M$5:$M$3507,$L1469)&amp;"")</f>
        <v/>
      </c>
      <c r="K1469" s="52" t="str">
        <f aca="false">IF(L1469="","",E1469&amp;CHAR(10)&amp;INDEX(ポート振替表!$K$5:$K$3507,$L1469)&amp;" "&amp;INDEX(ポート振替表!$L$5:$L$3507,$L1469)&amp;CHAR(10)&amp;"⇔ "&amp;INDEX(ポート振替表!$H$5:$H$3507,$L1469)&amp;" "&amp;INDEX(ポート振替表!$I$5:$I$3507,$L1469))</f>
        <v/>
      </c>
      <c r="L1469" s="47" t="str">
        <f aca="false">IFERROR(MATCH(ROW()-4,ポート振替表!$V$5:$V$3507,0),"")</f>
        <v/>
      </c>
    </row>
    <row r="1470" customFormat="false" ht="16.4" hidden="false" customHeight="false" outlineLevel="0" collapsed="false">
      <c r="A1470" s="32" t="str">
        <f aca="false">IF(L1470="","",ROW()-4)</f>
        <v/>
      </c>
      <c r="B1470" s="58" t="str">
        <f aca="false">IF(L1470="","",IF(INDEX(ポート振替表!$W$5:$W$3507,$L1470)="","(なし)",INDEX(ポート振替表!$W$5:$W$3507,$L1470)&amp;""))</f>
        <v/>
      </c>
      <c r="C1470" s="52" t="str">
        <f aca="false">IF(L1470="","",INDEX(ポート振替表!$B$5:$B$3507,$L1470)&amp;" "&amp;INDEX(ポート振替表!$C$5:$C$3507,$L1470)&amp;"  ⇔  "&amp;INDEX(ポート振替表!$H$5:$H$3507,$L1470)&amp;" "&amp;INDEX(ポート振替表!$I$5:$I$3507,$L1470))</f>
        <v/>
      </c>
      <c r="D1470" s="57" t="s">
        <v>158</v>
      </c>
      <c r="E1470" s="59" t="str">
        <f aca="false">IF(L1470="","",IF(INDEX(ポート振替表!$O$5:$O$3507,$L1470)="","(未設定)",INDEX(ポート振替表!$O$5:$O$3507,$L1470)&amp;""))</f>
        <v/>
      </c>
      <c r="F1470" s="52" t="str">
        <f aca="false">IF(L1470="","",INDEX(ポート振替表!$K$5:$K$3507,$L1470)&amp;" "&amp;INDEX(ポート振替表!$L$5:$L$3507,$L1470)&amp;"  ⇔  "&amp;INDEX(ポート振替表!$H$5:$H$3507,$L1470)&amp;" "&amp;INDEX(ポート振替表!$I$5:$I$3507,$L1470))</f>
        <v/>
      </c>
      <c r="G1470" s="57" t="s">
        <v>158</v>
      </c>
      <c r="H1470" s="32" t="str">
        <f aca="false">IF(L1470="","",INDEX(ポート振替表!$N$5:$N$3507,$L1470)&amp;"")</f>
        <v/>
      </c>
      <c r="I1470" s="32" t="str">
        <f aca="false">IF(L1470="","",INDEX(ポート振替表!$P$5:$P$3507,$L1470)&amp;"")</f>
        <v/>
      </c>
      <c r="J1470" s="60" t="str">
        <f aca="false">IF(L1470="","",INDEX(ポート振替表!$M$5:$M$3507,$L1470)&amp;"")</f>
        <v/>
      </c>
      <c r="K1470" s="52" t="str">
        <f aca="false">IF(L1470="","",E1470&amp;CHAR(10)&amp;INDEX(ポート振替表!$K$5:$K$3507,$L1470)&amp;" "&amp;INDEX(ポート振替表!$L$5:$L$3507,$L1470)&amp;CHAR(10)&amp;"⇔ "&amp;INDEX(ポート振替表!$H$5:$H$3507,$L1470)&amp;" "&amp;INDEX(ポート振替表!$I$5:$I$3507,$L1470))</f>
        <v/>
      </c>
      <c r="L1470" s="47" t="str">
        <f aca="false">IFERROR(MATCH(ROW()-4,ポート振替表!$V$5:$V$3507,0),"")</f>
        <v/>
      </c>
    </row>
    <row r="1471" customFormat="false" ht="16.4" hidden="false" customHeight="false" outlineLevel="0" collapsed="false">
      <c r="A1471" s="32" t="str">
        <f aca="false">IF(L1471="","",ROW()-4)</f>
        <v/>
      </c>
      <c r="B1471" s="58" t="str">
        <f aca="false">IF(L1471="","",IF(INDEX(ポート振替表!$W$5:$W$3507,$L1471)="","(なし)",INDEX(ポート振替表!$W$5:$W$3507,$L1471)&amp;""))</f>
        <v/>
      </c>
      <c r="C1471" s="52" t="str">
        <f aca="false">IF(L1471="","",INDEX(ポート振替表!$B$5:$B$3507,$L1471)&amp;" "&amp;INDEX(ポート振替表!$C$5:$C$3507,$L1471)&amp;"  ⇔  "&amp;INDEX(ポート振替表!$H$5:$H$3507,$L1471)&amp;" "&amp;INDEX(ポート振替表!$I$5:$I$3507,$L1471))</f>
        <v/>
      </c>
      <c r="D1471" s="57" t="s">
        <v>158</v>
      </c>
      <c r="E1471" s="59" t="str">
        <f aca="false">IF(L1471="","",IF(INDEX(ポート振替表!$O$5:$O$3507,$L1471)="","(未設定)",INDEX(ポート振替表!$O$5:$O$3507,$L1471)&amp;""))</f>
        <v/>
      </c>
      <c r="F1471" s="52" t="str">
        <f aca="false">IF(L1471="","",INDEX(ポート振替表!$K$5:$K$3507,$L1471)&amp;" "&amp;INDEX(ポート振替表!$L$5:$L$3507,$L1471)&amp;"  ⇔  "&amp;INDEX(ポート振替表!$H$5:$H$3507,$L1471)&amp;" "&amp;INDEX(ポート振替表!$I$5:$I$3507,$L1471))</f>
        <v/>
      </c>
      <c r="G1471" s="57" t="s">
        <v>158</v>
      </c>
      <c r="H1471" s="32" t="str">
        <f aca="false">IF(L1471="","",INDEX(ポート振替表!$N$5:$N$3507,$L1471)&amp;"")</f>
        <v/>
      </c>
      <c r="I1471" s="32" t="str">
        <f aca="false">IF(L1471="","",INDEX(ポート振替表!$P$5:$P$3507,$L1471)&amp;"")</f>
        <v/>
      </c>
      <c r="J1471" s="60" t="str">
        <f aca="false">IF(L1471="","",INDEX(ポート振替表!$M$5:$M$3507,$L1471)&amp;"")</f>
        <v/>
      </c>
      <c r="K1471" s="52" t="str">
        <f aca="false">IF(L1471="","",E1471&amp;CHAR(10)&amp;INDEX(ポート振替表!$K$5:$K$3507,$L1471)&amp;" "&amp;INDEX(ポート振替表!$L$5:$L$3507,$L1471)&amp;CHAR(10)&amp;"⇔ "&amp;INDEX(ポート振替表!$H$5:$H$3507,$L1471)&amp;" "&amp;INDEX(ポート振替表!$I$5:$I$3507,$L1471))</f>
        <v/>
      </c>
      <c r="L1471" s="47" t="str">
        <f aca="false">IFERROR(MATCH(ROW()-4,ポート振替表!$V$5:$V$3507,0),"")</f>
        <v/>
      </c>
    </row>
    <row r="1472" customFormat="false" ht="16.4" hidden="false" customHeight="false" outlineLevel="0" collapsed="false">
      <c r="A1472" s="32" t="str">
        <f aca="false">IF(L1472="","",ROW()-4)</f>
        <v/>
      </c>
      <c r="B1472" s="58" t="str">
        <f aca="false">IF(L1472="","",IF(INDEX(ポート振替表!$W$5:$W$3507,$L1472)="","(なし)",INDEX(ポート振替表!$W$5:$W$3507,$L1472)&amp;""))</f>
        <v/>
      </c>
      <c r="C1472" s="52" t="str">
        <f aca="false">IF(L1472="","",INDEX(ポート振替表!$B$5:$B$3507,$L1472)&amp;" "&amp;INDEX(ポート振替表!$C$5:$C$3507,$L1472)&amp;"  ⇔  "&amp;INDEX(ポート振替表!$H$5:$H$3507,$L1472)&amp;" "&amp;INDEX(ポート振替表!$I$5:$I$3507,$L1472))</f>
        <v/>
      </c>
      <c r="D1472" s="57" t="s">
        <v>158</v>
      </c>
      <c r="E1472" s="59" t="str">
        <f aca="false">IF(L1472="","",IF(INDEX(ポート振替表!$O$5:$O$3507,$L1472)="","(未設定)",INDEX(ポート振替表!$O$5:$O$3507,$L1472)&amp;""))</f>
        <v/>
      </c>
      <c r="F1472" s="52" t="str">
        <f aca="false">IF(L1472="","",INDEX(ポート振替表!$K$5:$K$3507,$L1472)&amp;" "&amp;INDEX(ポート振替表!$L$5:$L$3507,$L1472)&amp;"  ⇔  "&amp;INDEX(ポート振替表!$H$5:$H$3507,$L1472)&amp;" "&amp;INDEX(ポート振替表!$I$5:$I$3507,$L1472))</f>
        <v/>
      </c>
      <c r="G1472" s="57" t="s">
        <v>158</v>
      </c>
      <c r="H1472" s="32" t="str">
        <f aca="false">IF(L1472="","",INDEX(ポート振替表!$N$5:$N$3507,$L1472)&amp;"")</f>
        <v/>
      </c>
      <c r="I1472" s="32" t="str">
        <f aca="false">IF(L1472="","",INDEX(ポート振替表!$P$5:$P$3507,$L1472)&amp;"")</f>
        <v/>
      </c>
      <c r="J1472" s="60" t="str">
        <f aca="false">IF(L1472="","",INDEX(ポート振替表!$M$5:$M$3507,$L1472)&amp;"")</f>
        <v/>
      </c>
      <c r="K1472" s="52" t="str">
        <f aca="false">IF(L1472="","",E1472&amp;CHAR(10)&amp;INDEX(ポート振替表!$K$5:$K$3507,$L1472)&amp;" "&amp;INDEX(ポート振替表!$L$5:$L$3507,$L1472)&amp;CHAR(10)&amp;"⇔ "&amp;INDEX(ポート振替表!$H$5:$H$3507,$L1472)&amp;" "&amp;INDEX(ポート振替表!$I$5:$I$3507,$L1472))</f>
        <v/>
      </c>
      <c r="L1472" s="47" t="str">
        <f aca="false">IFERROR(MATCH(ROW()-4,ポート振替表!$V$5:$V$3507,0),"")</f>
        <v/>
      </c>
    </row>
    <row r="1473" customFormat="false" ht="16.4" hidden="false" customHeight="false" outlineLevel="0" collapsed="false">
      <c r="A1473" s="32" t="str">
        <f aca="false">IF(L1473="","",ROW()-4)</f>
        <v/>
      </c>
      <c r="B1473" s="58" t="str">
        <f aca="false">IF(L1473="","",IF(INDEX(ポート振替表!$W$5:$W$3507,$L1473)="","(なし)",INDEX(ポート振替表!$W$5:$W$3507,$L1473)&amp;""))</f>
        <v/>
      </c>
      <c r="C1473" s="52" t="str">
        <f aca="false">IF(L1473="","",INDEX(ポート振替表!$B$5:$B$3507,$L1473)&amp;" "&amp;INDEX(ポート振替表!$C$5:$C$3507,$L1473)&amp;"  ⇔  "&amp;INDEX(ポート振替表!$H$5:$H$3507,$L1473)&amp;" "&amp;INDEX(ポート振替表!$I$5:$I$3507,$L1473))</f>
        <v/>
      </c>
      <c r="D1473" s="57" t="s">
        <v>158</v>
      </c>
      <c r="E1473" s="59" t="str">
        <f aca="false">IF(L1473="","",IF(INDEX(ポート振替表!$O$5:$O$3507,$L1473)="","(未設定)",INDEX(ポート振替表!$O$5:$O$3507,$L1473)&amp;""))</f>
        <v/>
      </c>
      <c r="F1473" s="52" t="str">
        <f aca="false">IF(L1473="","",INDEX(ポート振替表!$K$5:$K$3507,$L1473)&amp;" "&amp;INDEX(ポート振替表!$L$5:$L$3507,$L1473)&amp;"  ⇔  "&amp;INDEX(ポート振替表!$H$5:$H$3507,$L1473)&amp;" "&amp;INDEX(ポート振替表!$I$5:$I$3507,$L1473))</f>
        <v/>
      </c>
      <c r="G1473" s="57" t="s">
        <v>158</v>
      </c>
      <c r="H1473" s="32" t="str">
        <f aca="false">IF(L1473="","",INDEX(ポート振替表!$N$5:$N$3507,$L1473)&amp;"")</f>
        <v/>
      </c>
      <c r="I1473" s="32" t="str">
        <f aca="false">IF(L1473="","",INDEX(ポート振替表!$P$5:$P$3507,$L1473)&amp;"")</f>
        <v/>
      </c>
      <c r="J1473" s="60" t="str">
        <f aca="false">IF(L1473="","",INDEX(ポート振替表!$M$5:$M$3507,$L1473)&amp;"")</f>
        <v/>
      </c>
      <c r="K1473" s="52" t="str">
        <f aca="false">IF(L1473="","",E1473&amp;CHAR(10)&amp;INDEX(ポート振替表!$K$5:$K$3507,$L1473)&amp;" "&amp;INDEX(ポート振替表!$L$5:$L$3507,$L1473)&amp;CHAR(10)&amp;"⇔ "&amp;INDEX(ポート振替表!$H$5:$H$3507,$L1473)&amp;" "&amp;INDEX(ポート振替表!$I$5:$I$3507,$L1473))</f>
        <v/>
      </c>
      <c r="L1473" s="47" t="str">
        <f aca="false">IFERROR(MATCH(ROW()-4,ポート振替表!$V$5:$V$3507,0),"")</f>
        <v/>
      </c>
    </row>
    <row r="1474" customFormat="false" ht="16.4" hidden="false" customHeight="false" outlineLevel="0" collapsed="false">
      <c r="A1474" s="32" t="str">
        <f aca="false">IF(L1474="","",ROW()-4)</f>
        <v/>
      </c>
      <c r="B1474" s="58" t="str">
        <f aca="false">IF(L1474="","",IF(INDEX(ポート振替表!$W$5:$W$3507,$L1474)="","(なし)",INDEX(ポート振替表!$W$5:$W$3507,$L1474)&amp;""))</f>
        <v/>
      </c>
      <c r="C1474" s="52" t="str">
        <f aca="false">IF(L1474="","",INDEX(ポート振替表!$B$5:$B$3507,$L1474)&amp;" "&amp;INDEX(ポート振替表!$C$5:$C$3507,$L1474)&amp;"  ⇔  "&amp;INDEX(ポート振替表!$H$5:$H$3507,$L1474)&amp;" "&amp;INDEX(ポート振替表!$I$5:$I$3507,$L1474))</f>
        <v/>
      </c>
      <c r="D1474" s="57" t="s">
        <v>158</v>
      </c>
      <c r="E1474" s="59" t="str">
        <f aca="false">IF(L1474="","",IF(INDEX(ポート振替表!$O$5:$O$3507,$L1474)="","(未設定)",INDEX(ポート振替表!$O$5:$O$3507,$L1474)&amp;""))</f>
        <v/>
      </c>
      <c r="F1474" s="52" t="str">
        <f aca="false">IF(L1474="","",INDEX(ポート振替表!$K$5:$K$3507,$L1474)&amp;" "&amp;INDEX(ポート振替表!$L$5:$L$3507,$L1474)&amp;"  ⇔  "&amp;INDEX(ポート振替表!$H$5:$H$3507,$L1474)&amp;" "&amp;INDEX(ポート振替表!$I$5:$I$3507,$L1474))</f>
        <v/>
      </c>
      <c r="G1474" s="57" t="s">
        <v>158</v>
      </c>
      <c r="H1474" s="32" t="str">
        <f aca="false">IF(L1474="","",INDEX(ポート振替表!$N$5:$N$3507,$L1474)&amp;"")</f>
        <v/>
      </c>
      <c r="I1474" s="32" t="str">
        <f aca="false">IF(L1474="","",INDEX(ポート振替表!$P$5:$P$3507,$L1474)&amp;"")</f>
        <v/>
      </c>
      <c r="J1474" s="60" t="str">
        <f aca="false">IF(L1474="","",INDEX(ポート振替表!$M$5:$M$3507,$L1474)&amp;"")</f>
        <v/>
      </c>
      <c r="K1474" s="52" t="str">
        <f aca="false">IF(L1474="","",E1474&amp;CHAR(10)&amp;INDEX(ポート振替表!$K$5:$K$3507,$L1474)&amp;" "&amp;INDEX(ポート振替表!$L$5:$L$3507,$L1474)&amp;CHAR(10)&amp;"⇔ "&amp;INDEX(ポート振替表!$H$5:$H$3507,$L1474)&amp;" "&amp;INDEX(ポート振替表!$I$5:$I$3507,$L1474))</f>
        <v/>
      </c>
      <c r="L1474" s="47" t="str">
        <f aca="false">IFERROR(MATCH(ROW()-4,ポート振替表!$V$5:$V$3507,0),"")</f>
        <v/>
      </c>
    </row>
    <row r="1475" customFormat="false" ht="16.4" hidden="false" customHeight="false" outlineLevel="0" collapsed="false">
      <c r="A1475" s="32" t="str">
        <f aca="false">IF(L1475="","",ROW()-4)</f>
        <v/>
      </c>
      <c r="B1475" s="58" t="str">
        <f aca="false">IF(L1475="","",IF(INDEX(ポート振替表!$W$5:$W$3507,$L1475)="","(なし)",INDEX(ポート振替表!$W$5:$W$3507,$L1475)&amp;""))</f>
        <v/>
      </c>
      <c r="C1475" s="52" t="str">
        <f aca="false">IF(L1475="","",INDEX(ポート振替表!$B$5:$B$3507,$L1475)&amp;" "&amp;INDEX(ポート振替表!$C$5:$C$3507,$L1475)&amp;"  ⇔  "&amp;INDEX(ポート振替表!$H$5:$H$3507,$L1475)&amp;" "&amp;INDEX(ポート振替表!$I$5:$I$3507,$L1475))</f>
        <v/>
      </c>
      <c r="D1475" s="57" t="s">
        <v>158</v>
      </c>
      <c r="E1475" s="59" t="str">
        <f aca="false">IF(L1475="","",IF(INDEX(ポート振替表!$O$5:$O$3507,$L1475)="","(未設定)",INDEX(ポート振替表!$O$5:$O$3507,$L1475)&amp;""))</f>
        <v/>
      </c>
      <c r="F1475" s="52" t="str">
        <f aca="false">IF(L1475="","",INDEX(ポート振替表!$K$5:$K$3507,$L1475)&amp;" "&amp;INDEX(ポート振替表!$L$5:$L$3507,$L1475)&amp;"  ⇔  "&amp;INDEX(ポート振替表!$H$5:$H$3507,$L1475)&amp;" "&amp;INDEX(ポート振替表!$I$5:$I$3507,$L1475))</f>
        <v/>
      </c>
      <c r="G1475" s="57" t="s">
        <v>158</v>
      </c>
      <c r="H1475" s="32" t="str">
        <f aca="false">IF(L1475="","",INDEX(ポート振替表!$N$5:$N$3507,$L1475)&amp;"")</f>
        <v/>
      </c>
      <c r="I1475" s="32" t="str">
        <f aca="false">IF(L1475="","",INDEX(ポート振替表!$P$5:$P$3507,$L1475)&amp;"")</f>
        <v/>
      </c>
      <c r="J1475" s="60" t="str">
        <f aca="false">IF(L1475="","",INDEX(ポート振替表!$M$5:$M$3507,$L1475)&amp;"")</f>
        <v/>
      </c>
      <c r="K1475" s="52" t="str">
        <f aca="false">IF(L1475="","",E1475&amp;CHAR(10)&amp;INDEX(ポート振替表!$K$5:$K$3507,$L1475)&amp;" "&amp;INDEX(ポート振替表!$L$5:$L$3507,$L1475)&amp;CHAR(10)&amp;"⇔ "&amp;INDEX(ポート振替表!$H$5:$H$3507,$L1475)&amp;" "&amp;INDEX(ポート振替表!$I$5:$I$3507,$L1475))</f>
        <v/>
      </c>
      <c r="L1475" s="47" t="str">
        <f aca="false">IFERROR(MATCH(ROW()-4,ポート振替表!$V$5:$V$3507,0),"")</f>
        <v/>
      </c>
    </row>
    <row r="1476" customFormat="false" ht="16.4" hidden="false" customHeight="false" outlineLevel="0" collapsed="false">
      <c r="A1476" s="32" t="str">
        <f aca="false">IF(L1476="","",ROW()-4)</f>
        <v/>
      </c>
      <c r="B1476" s="58" t="str">
        <f aca="false">IF(L1476="","",IF(INDEX(ポート振替表!$W$5:$W$3507,$L1476)="","(なし)",INDEX(ポート振替表!$W$5:$W$3507,$L1476)&amp;""))</f>
        <v/>
      </c>
      <c r="C1476" s="52" t="str">
        <f aca="false">IF(L1476="","",INDEX(ポート振替表!$B$5:$B$3507,$L1476)&amp;" "&amp;INDEX(ポート振替表!$C$5:$C$3507,$L1476)&amp;"  ⇔  "&amp;INDEX(ポート振替表!$H$5:$H$3507,$L1476)&amp;" "&amp;INDEX(ポート振替表!$I$5:$I$3507,$L1476))</f>
        <v/>
      </c>
      <c r="D1476" s="57" t="s">
        <v>158</v>
      </c>
      <c r="E1476" s="59" t="str">
        <f aca="false">IF(L1476="","",IF(INDEX(ポート振替表!$O$5:$O$3507,$L1476)="","(未設定)",INDEX(ポート振替表!$O$5:$O$3507,$L1476)&amp;""))</f>
        <v/>
      </c>
      <c r="F1476" s="52" t="str">
        <f aca="false">IF(L1476="","",INDEX(ポート振替表!$K$5:$K$3507,$L1476)&amp;" "&amp;INDEX(ポート振替表!$L$5:$L$3507,$L1476)&amp;"  ⇔  "&amp;INDEX(ポート振替表!$H$5:$H$3507,$L1476)&amp;" "&amp;INDEX(ポート振替表!$I$5:$I$3507,$L1476))</f>
        <v/>
      </c>
      <c r="G1476" s="57" t="s">
        <v>158</v>
      </c>
      <c r="H1476" s="32" t="str">
        <f aca="false">IF(L1476="","",INDEX(ポート振替表!$N$5:$N$3507,$L1476)&amp;"")</f>
        <v/>
      </c>
      <c r="I1476" s="32" t="str">
        <f aca="false">IF(L1476="","",INDEX(ポート振替表!$P$5:$P$3507,$L1476)&amp;"")</f>
        <v/>
      </c>
      <c r="J1476" s="60" t="str">
        <f aca="false">IF(L1476="","",INDEX(ポート振替表!$M$5:$M$3507,$L1476)&amp;"")</f>
        <v/>
      </c>
      <c r="K1476" s="52" t="str">
        <f aca="false">IF(L1476="","",E1476&amp;CHAR(10)&amp;INDEX(ポート振替表!$K$5:$K$3507,$L1476)&amp;" "&amp;INDEX(ポート振替表!$L$5:$L$3507,$L1476)&amp;CHAR(10)&amp;"⇔ "&amp;INDEX(ポート振替表!$H$5:$H$3507,$L1476)&amp;" "&amp;INDEX(ポート振替表!$I$5:$I$3507,$L1476))</f>
        <v/>
      </c>
      <c r="L1476" s="47" t="str">
        <f aca="false">IFERROR(MATCH(ROW()-4,ポート振替表!$V$5:$V$3507,0),"")</f>
        <v/>
      </c>
    </row>
    <row r="1477" customFormat="false" ht="16.4" hidden="false" customHeight="false" outlineLevel="0" collapsed="false">
      <c r="A1477" s="32" t="str">
        <f aca="false">IF(L1477="","",ROW()-4)</f>
        <v/>
      </c>
      <c r="B1477" s="58" t="str">
        <f aca="false">IF(L1477="","",IF(INDEX(ポート振替表!$W$5:$W$3507,$L1477)="","(なし)",INDEX(ポート振替表!$W$5:$W$3507,$L1477)&amp;""))</f>
        <v/>
      </c>
      <c r="C1477" s="52" t="str">
        <f aca="false">IF(L1477="","",INDEX(ポート振替表!$B$5:$B$3507,$L1477)&amp;" "&amp;INDEX(ポート振替表!$C$5:$C$3507,$L1477)&amp;"  ⇔  "&amp;INDEX(ポート振替表!$H$5:$H$3507,$L1477)&amp;" "&amp;INDEX(ポート振替表!$I$5:$I$3507,$L1477))</f>
        <v/>
      </c>
      <c r="D1477" s="57" t="s">
        <v>158</v>
      </c>
      <c r="E1477" s="59" t="str">
        <f aca="false">IF(L1477="","",IF(INDEX(ポート振替表!$O$5:$O$3507,$L1477)="","(未設定)",INDEX(ポート振替表!$O$5:$O$3507,$L1477)&amp;""))</f>
        <v/>
      </c>
      <c r="F1477" s="52" t="str">
        <f aca="false">IF(L1477="","",INDEX(ポート振替表!$K$5:$K$3507,$L1477)&amp;" "&amp;INDEX(ポート振替表!$L$5:$L$3507,$L1477)&amp;"  ⇔  "&amp;INDEX(ポート振替表!$H$5:$H$3507,$L1477)&amp;" "&amp;INDEX(ポート振替表!$I$5:$I$3507,$L1477))</f>
        <v/>
      </c>
      <c r="G1477" s="57" t="s">
        <v>158</v>
      </c>
      <c r="H1477" s="32" t="str">
        <f aca="false">IF(L1477="","",INDEX(ポート振替表!$N$5:$N$3507,$L1477)&amp;"")</f>
        <v/>
      </c>
      <c r="I1477" s="32" t="str">
        <f aca="false">IF(L1477="","",INDEX(ポート振替表!$P$5:$P$3507,$L1477)&amp;"")</f>
        <v/>
      </c>
      <c r="J1477" s="60" t="str">
        <f aca="false">IF(L1477="","",INDEX(ポート振替表!$M$5:$M$3507,$L1477)&amp;"")</f>
        <v/>
      </c>
      <c r="K1477" s="52" t="str">
        <f aca="false">IF(L1477="","",E1477&amp;CHAR(10)&amp;INDEX(ポート振替表!$K$5:$K$3507,$L1477)&amp;" "&amp;INDEX(ポート振替表!$L$5:$L$3507,$L1477)&amp;CHAR(10)&amp;"⇔ "&amp;INDEX(ポート振替表!$H$5:$H$3507,$L1477)&amp;" "&amp;INDEX(ポート振替表!$I$5:$I$3507,$L1477))</f>
        <v/>
      </c>
      <c r="L1477" s="47" t="str">
        <f aca="false">IFERROR(MATCH(ROW()-4,ポート振替表!$V$5:$V$3507,0),"")</f>
        <v/>
      </c>
    </row>
    <row r="1478" customFormat="false" ht="16.4" hidden="false" customHeight="false" outlineLevel="0" collapsed="false">
      <c r="A1478" s="32" t="str">
        <f aca="false">IF(L1478="","",ROW()-4)</f>
        <v/>
      </c>
      <c r="B1478" s="58" t="str">
        <f aca="false">IF(L1478="","",IF(INDEX(ポート振替表!$W$5:$W$3507,$L1478)="","(なし)",INDEX(ポート振替表!$W$5:$W$3507,$L1478)&amp;""))</f>
        <v/>
      </c>
      <c r="C1478" s="52" t="str">
        <f aca="false">IF(L1478="","",INDEX(ポート振替表!$B$5:$B$3507,$L1478)&amp;" "&amp;INDEX(ポート振替表!$C$5:$C$3507,$L1478)&amp;"  ⇔  "&amp;INDEX(ポート振替表!$H$5:$H$3507,$L1478)&amp;" "&amp;INDEX(ポート振替表!$I$5:$I$3507,$L1478))</f>
        <v/>
      </c>
      <c r="D1478" s="57" t="s">
        <v>158</v>
      </c>
      <c r="E1478" s="59" t="str">
        <f aca="false">IF(L1478="","",IF(INDEX(ポート振替表!$O$5:$O$3507,$L1478)="","(未設定)",INDEX(ポート振替表!$O$5:$O$3507,$L1478)&amp;""))</f>
        <v/>
      </c>
      <c r="F1478" s="52" t="str">
        <f aca="false">IF(L1478="","",INDEX(ポート振替表!$K$5:$K$3507,$L1478)&amp;" "&amp;INDEX(ポート振替表!$L$5:$L$3507,$L1478)&amp;"  ⇔  "&amp;INDEX(ポート振替表!$H$5:$H$3507,$L1478)&amp;" "&amp;INDEX(ポート振替表!$I$5:$I$3507,$L1478))</f>
        <v/>
      </c>
      <c r="G1478" s="57" t="s">
        <v>158</v>
      </c>
      <c r="H1478" s="32" t="str">
        <f aca="false">IF(L1478="","",INDEX(ポート振替表!$N$5:$N$3507,$L1478)&amp;"")</f>
        <v/>
      </c>
      <c r="I1478" s="32" t="str">
        <f aca="false">IF(L1478="","",INDEX(ポート振替表!$P$5:$P$3507,$L1478)&amp;"")</f>
        <v/>
      </c>
      <c r="J1478" s="60" t="str">
        <f aca="false">IF(L1478="","",INDEX(ポート振替表!$M$5:$M$3507,$L1478)&amp;"")</f>
        <v/>
      </c>
      <c r="K1478" s="52" t="str">
        <f aca="false">IF(L1478="","",E1478&amp;CHAR(10)&amp;INDEX(ポート振替表!$K$5:$K$3507,$L1478)&amp;" "&amp;INDEX(ポート振替表!$L$5:$L$3507,$L1478)&amp;CHAR(10)&amp;"⇔ "&amp;INDEX(ポート振替表!$H$5:$H$3507,$L1478)&amp;" "&amp;INDEX(ポート振替表!$I$5:$I$3507,$L1478))</f>
        <v/>
      </c>
      <c r="L1478" s="47" t="str">
        <f aca="false">IFERROR(MATCH(ROW()-4,ポート振替表!$V$5:$V$3507,0),"")</f>
        <v/>
      </c>
    </row>
    <row r="1479" customFormat="false" ht="16.4" hidden="false" customHeight="false" outlineLevel="0" collapsed="false">
      <c r="A1479" s="32" t="str">
        <f aca="false">IF(L1479="","",ROW()-4)</f>
        <v/>
      </c>
      <c r="B1479" s="58" t="str">
        <f aca="false">IF(L1479="","",IF(INDEX(ポート振替表!$W$5:$W$3507,$L1479)="","(なし)",INDEX(ポート振替表!$W$5:$W$3507,$L1479)&amp;""))</f>
        <v/>
      </c>
      <c r="C1479" s="52" t="str">
        <f aca="false">IF(L1479="","",INDEX(ポート振替表!$B$5:$B$3507,$L1479)&amp;" "&amp;INDEX(ポート振替表!$C$5:$C$3507,$L1479)&amp;"  ⇔  "&amp;INDEX(ポート振替表!$H$5:$H$3507,$L1479)&amp;" "&amp;INDEX(ポート振替表!$I$5:$I$3507,$L1479))</f>
        <v/>
      </c>
      <c r="D1479" s="57" t="s">
        <v>158</v>
      </c>
      <c r="E1479" s="59" t="str">
        <f aca="false">IF(L1479="","",IF(INDEX(ポート振替表!$O$5:$O$3507,$L1479)="","(未設定)",INDEX(ポート振替表!$O$5:$O$3507,$L1479)&amp;""))</f>
        <v/>
      </c>
      <c r="F1479" s="52" t="str">
        <f aca="false">IF(L1479="","",INDEX(ポート振替表!$K$5:$K$3507,$L1479)&amp;" "&amp;INDEX(ポート振替表!$L$5:$L$3507,$L1479)&amp;"  ⇔  "&amp;INDEX(ポート振替表!$H$5:$H$3507,$L1479)&amp;" "&amp;INDEX(ポート振替表!$I$5:$I$3507,$L1479))</f>
        <v/>
      </c>
      <c r="G1479" s="57" t="s">
        <v>158</v>
      </c>
      <c r="H1479" s="32" t="str">
        <f aca="false">IF(L1479="","",INDEX(ポート振替表!$N$5:$N$3507,$L1479)&amp;"")</f>
        <v/>
      </c>
      <c r="I1479" s="32" t="str">
        <f aca="false">IF(L1479="","",INDEX(ポート振替表!$P$5:$P$3507,$L1479)&amp;"")</f>
        <v/>
      </c>
      <c r="J1479" s="60" t="str">
        <f aca="false">IF(L1479="","",INDEX(ポート振替表!$M$5:$M$3507,$L1479)&amp;"")</f>
        <v/>
      </c>
      <c r="K1479" s="52" t="str">
        <f aca="false">IF(L1479="","",E1479&amp;CHAR(10)&amp;INDEX(ポート振替表!$K$5:$K$3507,$L1479)&amp;" "&amp;INDEX(ポート振替表!$L$5:$L$3507,$L1479)&amp;CHAR(10)&amp;"⇔ "&amp;INDEX(ポート振替表!$H$5:$H$3507,$L1479)&amp;" "&amp;INDEX(ポート振替表!$I$5:$I$3507,$L1479))</f>
        <v/>
      </c>
      <c r="L1479" s="47" t="str">
        <f aca="false">IFERROR(MATCH(ROW()-4,ポート振替表!$V$5:$V$3507,0),"")</f>
        <v/>
      </c>
    </row>
    <row r="1480" customFormat="false" ht="16.4" hidden="false" customHeight="false" outlineLevel="0" collapsed="false">
      <c r="A1480" s="32" t="str">
        <f aca="false">IF(L1480="","",ROW()-4)</f>
        <v/>
      </c>
      <c r="B1480" s="58" t="str">
        <f aca="false">IF(L1480="","",IF(INDEX(ポート振替表!$W$5:$W$3507,$L1480)="","(なし)",INDEX(ポート振替表!$W$5:$W$3507,$L1480)&amp;""))</f>
        <v/>
      </c>
      <c r="C1480" s="52" t="str">
        <f aca="false">IF(L1480="","",INDEX(ポート振替表!$B$5:$B$3507,$L1480)&amp;" "&amp;INDEX(ポート振替表!$C$5:$C$3507,$L1480)&amp;"  ⇔  "&amp;INDEX(ポート振替表!$H$5:$H$3507,$L1480)&amp;" "&amp;INDEX(ポート振替表!$I$5:$I$3507,$L1480))</f>
        <v/>
      </c>
      <c r="D1480" s="57" t="s">
        <v>158</v>
      </c>
      <c r="E1480" s="59" t="str">
        <f aca="false">IF(L1480="","",IF(INDEX(ポート振替表!$O$5:$O$3507,$L1480)="","(未設定)",INDEX(ポート振替表!$O$5:$O$3507,$L1480)&amp;""))</f>
        <v/>
      </c>
      <c r="F1480" s="52" t="str">
        <f aca="false">IF(L1480="","",INDEX(ポート振替表!$K$5:$K$3507,$L1480)&amp;" "&amp;INDEX(ポート振替表!$L$5:$L$3507,$L1480)&amp;"  ⇔  "&amp;INDEX(ポート振替表!$H$5:$H$3507,$L1480)&amp;" "&amp;INDEX(ポート振替表!$I$5:$I$3507,$L1480))</f>
        <v/>
      </c>
      <c r="G1480" s="57" t="s">
        <v>158</v>
      </c>
      <c r="H1480" s="32" t="str">
        <f aca="false">IF(L1480="","",INDEX(ポート振替表!$N$5:$N$3507,$L1480)&amp;"")</f>
        <v/>
      </c>
      <c r="I1480" s="32" t="str">
        <f aca="false">IF(L1480="","",INDEX(ポート振替表!$P$5:$P$3507,$L1480)&amp;"")</f>
        <v/>
      </c>
      <c r="J1480" s="60" t="str">
        <f aca="false">IF(L1480="","",INDEX(ポート振替表!$M$5:$M$3507,$L1480)&amp;"")</f>
        <v/>
      </c>
      <c r="K1480" s="52" t="str">
        <f aca="false">IF(L1480="","",E1480&amp;CHAR(10)&amp;INDEX(ポート振替表!$K$5:$K$3507,$L1480)&amp;" "&amp;INDEX(ポート振替表!$L$5:$L$3507,$L1480)&amp;CHAR(10)&amp;"⇔ "&amp;INDEX(ポート振替表!$H$5:$H$3507,$L1480)&amp;" "&amp;INDEX(ポート振替表!$I$5:$I$3507,$L1480))</f>
        <v/>
      </c>
      <c r="L1480" s="47" t="str">
        <f aca="false">IFERROR(MATCH(ROW()-4,ポート振替表!$V$5:$V$3507,0),"")</f>
        <v/>
      </c>
    </row>
    <row r="1481" customFormat="false" ht="16.4" hidden="false" customHeight="false" outlineLevel="0" collapsed="false">
      <c r="A1481" s="32" t="str">
        <f aca="false">IF(L1481="","",ROW()-4)</f>
        <v/>
      </c>
      <c r="B1481" s="58" t="str">
        <f aca="false">IF(L1481="","",IF(INDEX(ポート振替表!$W$5:$W$3507,$L1481)="","(なし)",INDEX(ポート振替表!$W$5:$W$3507,$L1481)&amp;""))</f>
        <v/>
      </c>
      <c r="C1481" s="52" t="str">
        <f aca="false">IF(L1481="","",INDEX(ポート振替表!$B$5:$B$3507,$L1481)&amp;" "&amp;INDEX(ポート振替表!$C$5:$C$3507,$L1481)&amp;"  ⇔  "&amp;INDEX(ポート振替表!$H$5:$H$3507,$L1481)&amp;" "&amp;INDEX(ポート振替表!$I$5:$I$3507,$L1481))</f>
        <v/>
      </c>
      <c r="D1481" s="57" t="s">
        <v>158</v>
      </c>
      <c r="E1481" s="59" t="str">
        <f aca="false">IF(L1481="","",IF(INDEX(ポート振替表!$O$5:$O$3507,$L1481)="","(未設定)",INDEX(ポート振替表!$O$5:$O$3507,$L1481)&amp;""))</f>
        <v/>
      </c>
      <c r="F1481" s="52" t="str">
        <f aca="false">IF(L1481="","",INDEX(ポート振替表!$K$5:$K$3507,$L1481)&amp;" "&amp;INDEX(ポート振替表!$L$5:$L$3507,$L1481)&amp;"  ⇔  "&amp;INDEX(ポート振替表!$H$5:$H$3507,$L1481)&amp;" "&amp;INDEX(ポート振替表!$I$5:$I$3507,$L1481))</f>
        <v/>
      </c>
      <c r="G1481" s="57" t="s">
        <v>158</v>
      </c>
      <c r="H1481" s="32" t="str">
        <f aca="false">IF(L1481="","",INDEX(ポート振替表!$N$5:$N$3507,$L1481)&amp;"")</f>
        <v/>
      </c>
      <c r="I1481" s="32" t="str">
        <f aca="false">IF(L1481="","",INDEX(ポート振替表!$P$5:$P$3507,$L1481)&amp;"")</f>
        <v/>
      </c>
      <c r="J1481" s="60" t="str">
        <f aca="false">IF(L1481="","",INDEX(ポート振替表!$M$5:$M$3507,$L1481)&amp;"")</f>
        <v/>
      </c>
      <c r="K1481" s="52" t="str">
        <f aca="false">IF(L1481="","",E1481&amp;CHAR(10)&amp;INDEX(ポート振替表!$K$5:$K$3507,$L1481)&amp;" "&amp;INDEX(ポート振替表!$L$5:$L$3507,$L1481)&amp;CHAR(10)&amp;"⇔ "&amp;INDEX(ポート振替表!$H$5:$H$3507,$L1481)&amp;" "&amp;INDEX(ポート振替表!$I$5:$I$3507,$L1481))</f>
        <v/>
      </c>
      <c r="L1481" s="47" t="str">
        <f aca="false">IFERROR(MATCH(ROW()-4,ポート振替表!$V$5:$V$3507,0),"")</f>
        <v/>
      </c>
    </row>
    <row r="1482" customFormat="false" ht="16.4" hidden="false" customHeight="false" outlineLevel="0" collapsed="false">
      <c r="A1482" s="32" t="str">
        <f aca="false">IF(L1482="","",ROW()-4)</f>
        <v/>
      </c>
      <c r="B1482" s="58" t="str">
        <f aca="false">IF(L1482="","",IF(INDEX(ポート振替表!$W$5:$W$3507,$L1482)="","(なし)",INDEX(ポート振替表!$W$5:$W$3507,$L1482)&amp;""))</f>
        <v/>
      </c>
      <c r="C1482" s="52" t="str">
        <f aca="false">IF(L1482="","",INDEX(ポート振替表!$B$5:$B$3507,$L1482)&amp;" "&amp;INDEX(ポート振替表!$C$5:$C$3507,$L1482)&amp;"  ⇔  "&amp;INDEX(ポート振替表!$H$5:$H$3507,$L1482)&amp;" "&amp;INDEX(ポート振替表!$I$5:$I$3507,$L1482))</f>
        <v/>
      </c>
      <c r="D1482" s="57" t="s">
        <v>158</v>
      </c>
      <c r="E1482" s="59" t="str">
        <f aca="false">IF(L1482="","",IF(INDEX(ポート振替表!$O$5:$O$3507,$L1482)="","(未設定)",INDEX(ポート振替表!$O$5:$O$3507,$L1482)&amp;""))</f>
        <v/>
      </c>
      <c r="F1482" s="52" t="str">
        <f aca="false">IF(L1482="","",INDEX(ポート振替表!$K$5:$K$3507,$L1482)&amp;" "&amp;INDEX(ポート振替表!$L$5:$L$3507,$L1482)&amp;"  ⇔  "&amp;INDEX(ポート振替表!$H$5:$H$3507,$L1482)&amp;" "&amp;INDEX(ポート振替表!$I$5:$I$3507,$L1482))</f>
        <v/>
      </c>
      <c r="G1482" s="57" t="s">
        <v>158</v>
      </c>
      <c r="H1482" s="32" t="str">
        <f aca="false">IF(L1482="","",INDEX(ポート振替表!$N$5:$N$3507,$L1482)&amp;"")</f>
        <v/>
      </c>
      <c r="I1482" s="32" t="str">
        <f aca="false">IF(L1482="","",INDEX(ポート振替表!$P$5:$P$3507,$L1482)&amp;"")</f>
        <v/>
      </c>
      <c r="J1482" s="60" t="str">
        <f aca="false">IF(L1482="","",INDEX(ポート振替表!$M$5:$M$3507,$L1482)&amp;"")</f>
        <v/>
      </c>
      <c r="K1482" s="52" t="str">
        <f aca="false">IF(L1482="","",E1482&amp;CHAR(10)&amp;INDEX(ポート振替表!$K$5:$K$3507,$L1482)&amp;" "&amp;INDEX(ポート振替表!$L$5:$L$3507,$L1482)&amp;CHAR(10)&amp;"⇔ "&amp;INDEX(ポート振替表!$H$5:$H$3507,$L1482)&amp;" "&amp;INDEX(ポート振替表!$I$5:$I$3507,$L1482))</f>
        <v/>
      </c>
      <c r="L1482" s="47" t="str">
        <f aca="false">IFERROR(MATCH(ROW()-4,ポート振替表!$V$5:$V$3507,0),"")</f>
        <v/>
      </c>
    </row>
    <row r="1483" customFormat="false" ht="16.4" hidden="false" customHeight="false" outlineLevel="0" collapsed="false">
      <c r="A1483" s="32" t="str">
        <f aca="false">IF(L1483="","",ROW()-4)</f>
        <v/>
      </c>
      <c r="B1483" s="58" t="str">
        <f aca="false">IF(L1483="","",IF(INDEX(ポート振替表!$W$5:$W$3507,$L1483)="","(なし)",INDEX(ポート振替表!$W$5:$W$3507,$L1483)&amp;""))</f>
        <v/>
      </c>
      <c r="C1483" s="52" t="str">
        <f aca="false">IF(L1483="","",INDEX(ポート振替表!$B$5:$B$3507,$L1483)&amp;" "&amp;INDEX(ポート振替表!$C$5:$C$3507,$L1483)&amp;"  ⇔  "&amp;INDEX(ポート振替表!$H$5:$H$3507,$L1483)&amp;" "&amp;INDEX(ポート振替表!$I$5:$I$3507,$L1483))</f>
        <v/>
      </c>
      <c r="D1483" s="57" t="s">
        <v>158</v>
      </c>
      <c r="E1483" s="59" t="str">
        <f aca="false">IF(L1483="","",IF(INDEX(ポート振替表!$O$5:$O$3507,$L1483)="","(未設定)",INDEX(ポート振替表!$O$5:$O$3507,$L1483)&amp;""))</f>
        <v/>
      </c>
      <c r="F1483" s="52" t="str">
        <f aca="false">IF(L1483="","",INDEX(ポート振替表!$K$5:$K$3507,$L1483)&amp;" "&amp;INDEX(ポート振替表!$L$5:$L$3507,$L1483)&amp;"  ⇔  "&amp;INDEX(ポート振替表!$H$5:$H$3507,$L1483)&amp;" "&amp;INDEX(ポート振替表!$I$5:$I$3507,$L1483))</f>
        <v/>
      </c>
      <c r="G1483" s="57" t="s">
        <v>158</v>
      </c>
      <c r="H1483" s="32" t="str">
        <f aca="false">IF(L1483="","",INDEX(ポート振替表!$N$5:$N$3507,$L1483)&amp;"")</f>
        <v/>
      </c>
      <c r="I1483" s="32" t="str">
        <f aca="false">IF(L1483="","",INDEX(ポート振替表!$P$5:$P$3507,$L1483)&amp;"")</f>
        <v/>
      </c>
      <c r="J1483" s="60" t="str">
        <f aca="false">IF(L1483="","",INDEX(ポート振替表!$M$5:$M$3507,$L1483)&amp;"")</f>
        <v/>
      </c>
      <c r="K1483" s="52" t="str">
        <f aca="false">IF(L1483="","",E1483&amp;CHAR(10)&amp;INDEX(ポート振替表!$K$5:$K$3507,$L1483)&amp;" "&amp;INDEX(ポート振替表!$L$5:$L$3507,$L1483)&amp;CHAR(10)&amp;"⇔ "&amp;INDEX(ポート振替表!$H$5:$H$3507,$L1483)&amp;" "&amp;INDEX(ポート振替表!$I$5:$I$3507,$L1483))</f>
        <v/>
      </c>
      <c r="L1483" s="47" t="str">
        <f aca="false">IFERROR(MATCH(ROW()-4,ポート振替表!$V$5:$V$3507,0),"")</f>
        <v/>
      </c>
    </row>
    <row r="1484" customFormat="false" ht="16.4" hidden="false" customHeight="false" outlineLevel="0" collapsed="false">
      <c r="A1484" s="32" t="str">
        <f aca="false">IF(L1484="","",ROW()-4)</f>
        <v/>
      </c>
      <c r="B1484" s="58" t="str">
        <f aca="false">IF(L1484="","",IF(INDEX(ポート振替表!$W$5:$W$3507,$L1484)="","(なし)",INDEX(ポート振替表!$W$5:$W$3507,$L1484)&amp;""))</f>
        <v/>
      </c>
      <c r="C1484" s="52" t="str">
        <f aca="false">IF(L1484="","",INDEX(ポート振替表!$B$5:$B$3507,$L1484)&amp;" "&amp;INDEX(ポート振替表!$C$5:$C$3507,$L1484)&amp;"  ⇔  "&amp;INDEX(ポート振替表!$H$5:$H$3507,$L1484)&amp;" "&amp;INDEX(ポート振替表!$I$5:$I$3507,$L1484))</f>
        <v/>
      </c>
      <c r="D1484" s="57" t="s">
        <v>158</v>
      </c>
      <c r="E1484" s="59" t="str">
        <f aca="false">IF(L1484="","",IF(INDEX(ポート振替表!$O$5:$O$3507,$L1484)="","(未設定)",INDEX(ポート振替表!$O$5:$O$3507,$L1484)&amp;""))</f>
        <v/>
      </c>
      <c r="F1484" s="52" t="str">
        <f aca="false">IF(L1484="","",INDEX(ポート振替表!$K$5:$K$3507,$L1484)&amp;" "&amp;INDEX(ポート振替表!$L$5:$L$3507,$L1484)&amp;"  ⇔  "&amp;INDEX(ポート振替表!$H$5:$H$3507,$L1484)&amp;" "&amp;INDEX(ポート振替表!$I$5:$I$3507,$L1484))</f>
        <v/>
      </c>
      <c r="G1484" s="57" t="s">
        <v>158</v>
      </c>
      <c r="H1484" s="32" t="str">
        <f aca="false">IF(L1484="","",INDEX(ポート振替表!$N$5:$N$3507,$L1484)&amp;"")</f>
        <v/>
      </c>
      <c r="I1484" s="32" t="str">
        <f aca="false">IF(L1484="","",INDEX(ポート振替表!$P$5:$P$3507,$L1484)&amp;"")</f>
        <v/>
      </c>
      <c r="J1484" s="60" t="str">
        <f aca="false">IF(L1484="","",INDEX(ポート振替表!$M$5:$M$3507,$L1484)&amp;"")</f>
        <v/>
      </c>
      <c r="K1484" s="52" t="str">
        <f aca="false">IF(L1484="","",E1484&amp;CHAR(10)&amp;INDEX(ポート振替表!$K$5:$K$3507,$L1484)&amp;" "&amp;INDEX(ポート振替表!$L$5:$L$3507,$L1484)&amp;CHAR(10)&amp;"⇔ "&amp;INDEX(ポート振替表!$H$5:$H$3507,$L1484)&amp;" "&amp;INDEX(ポート振替表!$I$5:$I$3507,$L1484))</f>
        <v/>
      </c>
      <c r="L1484" s="47" t="str">
        <f aca="false">IFERROR(MATCH(ROW()-4,ポート振替表!$V$5:$V$3507,0),"")</f>
        <v/>
      </c>
    </row>
    <row r="1485" customFormat="false" ht="16.4" hidden="false" customHeight="false" outlineLevel="0" collapsed="false">
      <c r="A1485" s="32" t="str">
        <f aca="false">IF(L1485="","",ROW()-4)</f>
        <v/>
      </c>
      <c r="B1485" s="58" t="str">
        <f aca="false">IF(L1485="","",IF(INDEX(ポート振替表!$W$5:$W$3507,$L1485)="","(なし)",INDEX(ポート振替表!$W$5:$W$3507,$L1485)&amp;""))</f>
        <v/>
      </c>
      <c r="C1485" s="52" t="str">
        <f aca="false">IF(L1485="","",INDEX(ポート振替表!$B$5:$B$3507,$L1485)&amp;" "&amp;INDEX(ポート振替表!$C$5:$C$3507,$L1485)&amp;"  ⇔  "&amp;INDEX(ポート振替表!$H$5:$H$3507,$L1485)&amp;" "&amp;INDEX(ポート振替表!$I$5:$I$3507,$L1485))</f>
        <v/>
      </c>
      <c r="D1485" s="57" t="s">
        <v>158</v>
      </c>
      <c r="E1485" s="59" t="str">
        <f aca="false">IF(L1485="","",IF(INDEX(ポート振替表!$O$5:$O$3507,$L1485)="","(未設定)",INDEX(ポート振替表!$O$5:$O$3507,$L1485)&amp;""))</f>
        <v/>
      </c>
      <c r="F1485" s="52" t="str">
        <f aca="false">IF(L1485="","",INDEX(ポート振替表!$K$5:$K$3507,$L1485)&amp;" "&amp;INDEX(ポート振替表!$L$5:$L$3507,$L1485)&amp;"  ⇔  "&amp;INDEX(ポート振替表!$H$5:$H$3507,$L1485)&amp;" "&amp;INDEX(ポート振替表!$I$5:$I$3507,$L1485))</f>
        <v/>
      </c>
      <c r="G1485" s="57" t="s">
        <v>158</v>
      </c>
      <c r="H1485" s="32" t="str">
        <f aca="false">IF(L1485="","",INDEX(ポート振替表!$N$5:$N$3507,$L1485)&amp;"")</f>
        <v/>
      </c>
      <c r="I1485" s="32" t="str">
        <f aca="false">IF(L1485="","",INDEX(ポート振替表!$P$5:$P$3507,$L1485)&amp;"")</f>
        <v/>
      </c>
      <c r="J1485" s="60" t="str">
        <f aca="false">IF(L1485="","",INDEX(ポート振替表!$M$5:$M$3507,$L1485)&amp;"")</f>
        <v/>
      </c>
      <c r="K1485" s="52" t="str">
        <f aca="false">IF(L1485="","",E1485&amp;CHAR(10)&amp;INDEX(ポート振替表!$K$5:$K$3507,$L1485)&amp;" "&amp;INDEX(ポート振替表!$L$5:$L$3507,$L1485)&amp;CHAR(10)&amp;"⇔ "&amp;INDEX(ポート振替表!$H$5:$H$3507,$L1485)&amp;" "&amp;INDEX(ポート振替表!$I$5:$I$3507,$L1485))</f>
        <v/>
      </c>
      <c r="L1485" s="47" t="str">
        <f aca="false">IFERROR(MATCH(ROW()-4,ポート振替表!$V$5:$V$3507,0),"")</f>
        <v/>
      </c>
    </row>
    <row r="1486" customFormat="false" ht="16.4" hidden="false" customHeight="false" outlineLevel="0" collapsed="false">
      <c r="A1486" s="32" t="str">
        <f aca="false">IF(L1486="","",ROW()-4)</f>
        <v/>
      </c>
      <c r="B1486" s="58" t="str">
        <f aca="false">IF(L1486="","",IF(INDEX(ポート振替表!$W$5:$W$3507,$L1486)="","(なし)",INDEX(ポート振替表!$W$5:$W$3507,$L1486)&amp;""))</f>
        <v/>
      </c>
      <c r="C1486" s="52" t="str">
        <f aca="false">IF(L1486="","",INDEX(ポート振替表!$B$5:$B$3507,$L1486)&amp;" "&amp;INDEX(ポート振替表!$C$5:$C$3507,$L1486)&amp;"  ⇔  "&amp;INDEX(ポート振替表!$H$5:$H$3507,$L1486)&amp;" "&amp;INDEX(ポート振替表!$I$5:$I$3507,$L1486))</f>
        <v/>
      </c>
      <c r="D1486" s="57" t="s">
        <v>158</v>
      </c>
      <c r="E1486" s="59" t="str">
        <f aca="false">IF(L1486="","",IF(INDEX(ポート振替表!$O$5:$O$3507,$L1486)="","(未設定)",INDEX(ポート振替表!$O$5:$O$3507,$L1486)&amp;""))</f>
        <v/>
      </c>
      <c r="F1486" s="52" t="str">
        <f aca="false">IF(L1486="","",INDEX(ポート振替表!$K$5:$K$3507,$L1486)&amp;" "&amp;INDEX(ポート振替表!$L$5:$L$3507,$L1486)&amp;"  ⇔  "&amp;INDEX(ポート振替表!$H$5:$H$3507,$L1486)&amp;" "&amp;INDEX(ポート振替表!$I$5:$I$3507,$L1486))</f>
        <v/>
      </c>
      <c r="G1486" s="57" t="s">
        <v>158</v>
      </c>
      <c r="H1486" s="32" t="str">
        <f aca="false">IF(L1486="","",INDEX(ポート振替表!$N$5:$N$3507,$L1486)&amp;"")</f>
        <v/>
      </c>
      <c r="I1486" s="32" t="str">
        <f aca="false">IF(L1486="","",INDEX(ポート振替表!$P$5:$P$3507,$L1486)&amp;"")</f>
        <v/>
      </c>
      <c r="J1486" s="60" t="str">
        <f aca="false">IF(L1486="","",INDEX(ポート振替表!$M$5:$M$3507,$L1486)&amp;"")</f>
        <v/>
      </c>
      <c r="K1486" s="52" t="str">
        <f aca="false">IF(L1486="","",E1486&amp;CHAR(10)&amp;INDEX(ポート振替表!$K$5:$K$3507,$L1486)&amp;" "&amp;INDEX(ポート振替表!$L$5:$L$3507,$L1486)&amp;CHAR(10)&amp;"⇔ "&amp;INDEX(ポート振替表!$H$5:$H$3507,$L1486)&amp;" "&amp;INDEX(ポート振替表!$I$5:$I$3507,$L1486))</f>
        <v/>
      </c>
      <c r="L1486" s="47" t="str">
        <f aca="false">IFERROR(MATCH(ROW()-4,ポート振替表!$V$5:$V$3507,0),"")</f>
        <v/>
      </c>
    </row>
    <row r="1487" customFormat="false" ht="16.4" hidden="false" customHeight="false" outlineLevel="0" collapsed="false">
      <c r="A1487" s="32" t="str">
        <f aca="false">IF(L1487="","",ROW()-4)</f>
        <v/>
      </c>
      <c r="B1487" s="58" t="str">
        <f aca="false">IF(L1487="","",IF(INDEX(ポート振替表!$W$5:$W$3507,$L1487)="","(なし)",INDEX(ポート振替表!$W$5:$W$3507,$L1487)&amp;""))</f>
        <v/>
      </c>
      <c r="C1487" s="52" t="str">
        <f aca="false">IF(L1487="","",INDEX(ポート振替表!$B$5:$B$3507,$L1487)&amp;" "&amp;INDEX(ポート振替表!$C$5:$C$3507,$L1487)&amp;"  ⇔  "&amp;INDEX(ポート振替表!$H$5:$H$3507,$L1487)&amp;" "&amp;INDEX(ポート振替表!$I$5:$I$3507,$L1487))</f>
        <v/>
      </c>
      <c r="D1487" s="57" t="s">
        <v>158</v>
      </c>
      <c r="E1487" s="59" t="str">
        <f aca="false">IF(L1487="","",IF(INDEX(ポート振替表!$O$5:$O$3507,$L1487)="","(未設定)",INDEX(ポート振替表!$O$5:$O$3507,$L1487)&amp;""))</f>
        <v/>
      </c>
      <c r="F1487" s="52" t="str">
        <f aca="false">IF(L1487="","",INDEX(ポート振替表!$K$5:$K$3507,$L1487)&amp;" "&amp;INDEX(ポート振替表!$L$5:$L$3507,$L1487)&amp;"  ⇔  "&amp;INDEX(ポート振替表!$H$5:$H$3507,$L1487)&amp;" "&amp;INDEX(ポート振替表!$I$5:$I$3507,$L1487))</f>
        <v/>
      </c>
      <c r="G1487" s="57" t="s">
        <v>158</v>
      </c>
      <c r="H1487" s="32" t="str">
        <f aca="false">IF(L1487="","",INDEX(ポート振替表!$N$5:$N$3507,$L1487)&amp;"")</f>
        <v/>
      </c>
      <c r="I1487" s="32" t="str">
        <f aca="false">IF(L1487="","",INDEX(ポート振替表!$P$5:$P$3507,$L1487)&amp;"")</f>
        <v/>
      </c>
      <c r="J1487" s="60" t="str">
        <f aca="false">IF(L1487="","",INDEX(ポート振替表!$M$5:$M$3507,$L1487)&amp;"")</f>
        <v/>
      </c>
      <c r="K1487" s="52" t="str">
        <f aca="false">IF(L1487="","",E1487&amp;CHAR(10)&amp;INDEX(ポート振替表!$K$5:$K$3507,$L1487)&amp;" "&amp;INDEX(ポート振替表!$L$5:$L$3507,$L1487)&amp;CHAR(10)&amp;"⇔ "&amp;INDEX(ポート振替表!$H$5:$H$3507,$L1487)&amp;" "&amp;INDEX(ポート振替表!$I$5:$I$3507,$L1487))</f>
        <v/>
      </c>
      <c r="L1487" s="47" t="str">
        <f aca="false">IFERROR(MATCH(ROW()-4,ポート振替表!$V$5:$V$3507,0),"")</f>
        <v/>
      </c>
    </row>
    <row r="1488" customFormat="false" ht="16.4" hidden="false" customHeight="false" outlineLevel="0" collapsed="false">
      <c r="A1488" s="32" t="str">
        <f aca="false">IF(L1488="","",ROW()-4)</f>
        <v/>
      </c>
      <c r="B1488" s="58" t="str">
        <f aca="false">IF(L1488="","",IF(INDEX(ポート振替表!$W$5:$W$3507,$L1488)="","(なし)",INDEX(ポート振替表!$W$5:$W$3507,$L1488)&amp;""))</f>
        <v/>
      </c>
      <c r="C1488" s="52" t="str">
        <f aca="false">IF(L1488="","",INDEX(ポート振替表!$B$5:$B$3507,$L1488)&amp;" "&amp;INDEX(ポート振替表!$C$5:$C$3507,$L1488)&amp;"  ⇔  "&amp;INDEX(ポート振替表!$H$5:$H$3507,$L1488)&amp;" "&amp;INDEX(ポート振替表!$I$5:$I$3507,$L1488))</f>
        <v/>
      </c>
      <c r="D1488" s="57" t="s">
        <v>158</v>
      </c>
      <c r="E1488" s="59" t="str">
        <f aca="false">IF(L1488="","",IF(INDEX(ポート振替表!$O$5:$O$3507,$L1488)="","(未設定)",INDEX(ポート振替表!$O$5:$O$3507,$L1488)&amp;""))</f>
        <v/>
      </c>
      <c r="F1488" s="52" t="str">
        <f aca="false">IF(L1488="","",INDEX(ポート振替表!$K$5:$K$3507,$L1488)&amp;" "&amp;INDEX(ポート振替表!$L$5:$L$3507,$L1488)&amp;"  ⇔  "&amp;INDEX(ポート振替表!$H$5:$H$3507,$L1488)&amp;" "&amp;INDEX(ポート振替表!$I$5:$I$3507,$L1488))</f>
        <v/>
      </c>
      <c r="G1488" s="57" t="s">
        <v>158</v>
      </c>
      <c r="H1488" s="32" t="str">
        <f aca="false">IF(L1488="","",INDEX(ポート振替表!$N$5:$N$3507,$L1488)&amp;"")</f>
        <v/>
      </c>
      <c r="I1488" s="32" t="str">
        <f aca="false">IF(L1488="","",INDEX(ポート振替表!$P$5:$P$3507,$L1488)&amp;"")</f>
        <v/>
      </c>
      <c r="J1488" s="60" t="str">
        <f aca="false">IF(L1488="","",INDEX(ポート振替表!$M$5:$M$3507,$L1488)&amp;"")</f>
        <v/>
      </c>
      <c r="K1488" s="52" t="str">
        <f aca="false">IF(L1488="","",E1488&amp;CHAR(10)&amp;INDEX(ポート振替表!$K$5:$K$3507,$L1488)&amp;" "&amp;INDEX(ポート振替表!$L$5:$L$3507,$L1488)&amp;CHAR(10)&amp;"⇔ "&amp;INDEX(ポート振替表!$H$5:$H$3507,$L1488)&amp;" "&amp;INDEX(ポート振替表!$I$5:$I$3507,$L1488))</f>
        <v/>
      </c>
      <c r="L1488" s="47" t="str">
        <f aca="false">IFERROR(MATCH(ROW()-4,ポート振替表!$V$5:$V$3507,0),"")</f>
        <v/>
      </c>
    </row>
    <row r="1489" customFormat="false" ht="16.4" hidden="false" customHeight="false" outlineLevel="0" collapsed="false">
      <c r="A1489" s="32" t="str">
        <f aca="false">IF(L1489="","",ROW()-4)</f>
        <v/>
      </c>
      <c r="B1489" s="58" t="str">
        <f aca="false">IF(L1489="","",IF(INDEX(ポート振替表!$W$5:$W$3507,$L1489)="","(なし)",INDEX(ポート振替表!$W$5:$W$3507,$L1489)&amp;""))</f>
        <v/>
      </c>
      <c r="C1489" s="52" t="str">
        <f aca="false">IF(L1489="","",INDEX(ポート振替表!$B$5:$B$3507,$L1489)&amp;" "&amp;INDEX(ポート振替表!$C$5:$C$3507,$L1489)&amp;"  ⇔  "&amp;INDEX(ポート振替表!$H$5:$H$3507,$L1489)&amp;" "&amp;INDEX(ポート振替表!$I$5:$I$3507,$L1489))</f>
        <v/>
      </c>
      <c r="D1489" s="57" t="s">
        <v>158</v>
      </c>
      <c r="E1489" s="59" t="str">
        <f aca="false">IF(L1489="","",IF(INDEX(ポート振替表!$O$5:$O$3507,$L1489)="","(未設定)",INDEX(ポート振替表!$O$5:$O$3507,$L1489)&amp;""))</f>
        <v/>
      </c>
      <c r="F1489" s="52" t="str">
        <f aca="false">IF(L1489="","",INDEX(ポート振替表!$K$5:$K$3507,$L1489)&amp;" "&amp;INDEX(ポート振替表!$L$5:$L$3507,$L1489)&amp;"  ⇔  "&amp;INDEX(ポート振替表!$H$5:$H$3507,$L1489)&amp;" "&amp;INDEX(ポート振替表!$I$5:$I$3507,$L1489))</f>
        <v/>
      </c>
      <c r="G1489" s="57" t="s">
        <v>158</v>
      </c>
      <c r="H1489" s="32" t="str">
        <f aca="false">IF(L1489="","",INDEX(ポート振替表!$N$5:$N$3507,$L1489)&amp;"")</f>
        <v/>
      </c>
      <c r="I1489" s="32" t="str">
        <f aca="false">IF(L1489="","",INDEX(ポート振替表!$P$5:$P$3507,$L1489)&amp;"")</f>
        <v/>
      </c>
      <c r="J1489" s="60" t="str">
        <f aca="false">IF(L1489="","",INDEX(ポート振替表!$M$5:$M$3507,$L1489)&amp;"")</f>
        <v/>
      </c>
      <c r="K1489" s="52" t="str">
        <f aca="false">IF(L1489="","",E1489&amp;CHAR(10)&amp;INDEX(ポート振替表!$K$5:$K$3507,$L1489)&amp;" "&amp;INDEX(ポート振替表!$L$5:$L$3507,$L1489)&amp;CHAR(10)&amp;"⇔ "&amp;INDEX(ポート振替表!$H$5:$H$3507,$L1489)&amp;" "&amp;INDEX(ポート振替表!$I$5:$I$3507,$L1489))</f>
        <v/>
      </c>
      <c r="L1489" s="47" t="str">
        <f aca="false">IFERROR(MATCH(ROW()-4,ポート振替表!$V$5:$V$3507,0),"")</f>
        <v/>
      </c>
    </row>
    <row r="1490" customFormat="false" ht="16.4" hidden="false" customHeight="false" outlineLevel="0" collapsed="false">
      <c r="A1490" s="32" t="str">
        <f aca="false">IF(L1490="","",ROW()-4)</f>
        <v/>
      </c>
      <c r="B1490" s="58" t="str">
        <f aca="false">IF(L1490="","",IF(INDEX(ポート振替表!$W$5:$W$3507,$L1490)="","(なし)",INDEX(ポート振替表!$W$5:$W$3507,$L1490)&amp;""))</f>
        <v/>
      </c>
      <c r="C1490" s="52" t="str">
        <f aca="false">IF(L1490="","",INDEX(ポート振替表!$B$5:$B$3507,$L1490)&amp;" "&amp;INDEX(ポート振替表!$C$5:$C$3507,$L1490)&amp;"  ⇔  "&amp;INDEX(ポート振替表!$H$5:$H$3507,$L1490)&amp;" "&amp;INDEX(ポート振替表!$I$5:$I$3507,$L1490))</f>
        <v/>
      </c>
      <c r="D1490" s="57" t="s">
        <v>158</v>
      </c>
      <c r="E1490" s="59" t="str">
        <f aca="false">IF(L1490="","",IF(INDEX(ポート振替表!$O$5:$O$3507,$L1490)="","(未設定)",INDEX(ポート振替表!$O$5:$O$3507,$L1490)&amp;""))</f>
        <v/>
      </c>
      <c r="F1490" s="52" t="str">
        <f aca="false">IF(L1490="","",INDEX(ポート振替表!$K$5:$K$3507,$L1490)&amp;" "&amp;INDEX(ポート振替表!$L$5:$L$3507,$L1490)&amp;"  ⇔  "&amp;INDEX(ポート振替表!$H$5:$H$3507,$L1490)&amp;" "&amp;INDEX(ポート振替表!$I$5:$I$3507,$L1490))</f>
        <v/>
      </c>
      <c r="G1490" s="57" t="s">
        <v>158</v>
      </c>
      <c r="H1490" s="32" t="str">
        <f aca="false">IF(L1490="","",INDEX(ポート振替表!$N$5:$N$3507,$L1490)&amp;"")</f>
        <v/>
      </c>
      <c r="I1490" s="32" t="str">
        <f aca="false">IF(L1490="","",INDEX(ポート振替表!$P$5:$P$3507,$L1490)&amp;"")</f>
        <v/>
      </c>
      <c r="J1490" s="60" t="str">
        <f aca="false">IF(L1490="","",INDEX(ポート振替表!$M$5:$M$3507,$L1490)&amp;"")</f>
        <v/>
      </c>
      <c r="K1490" s="52" t="str">
        <f aca="false">IF(L1490="","",E1490&amp;CHAR(10)&amp;INDEX(ポート振替表!$K$5:$K$3507,$L1490)&amp;" "&amp;INDEX(ポート振替表!$L$5:$L$3507,$L1490)&amp;CHAR(10)&amp;"⇔ "&amp;INDEX(ポート振替表!$H$5:$H$3507,$L1490)&amp;" "&amp;INDEX(ポート振替表!$I$5:$I$3507,$L1490))</f>
        <v/>
      </c>
      <c r="L1490" s="47" t="str">
        <f aca="false">IFERROR(MATCH(ROW()-4,ポート振替表!$V$5:$V$3507,0),"")</f>
        <v/>
      </c>
    </row>
    <row r="1491" customFormat="false" ht="16.4" hidden="false" customHeight="false" outlineLevel="0" collapsed="false">
      <c r="A1491" s="32" t="str">
        <f aca="false">IF(L1491="","",ROW()-4)</f>
        <v/>
      </c>
      <c r="B1491" s="58" t="str">
        <f aca="false">IF(L1491="","",IF(INDEX(ポート振替表!$W$5:$W$3507,$L1491)="","(なし)",INDEX(ポート振替表!$W$5:$W$3507,$L1491)&amp;""))</f>
        <v/>
      </c>
      <c r="C1491" s="52" t="str">
        <f aca="false">IF(L1491="","",INDEX(ポート振替表!$B$5:$B$3507,$L1491)&amp;" "&amp;INDEX(ポート振替表!$C$5:$C$3507,$L1491)&amp;"  ⇔  "&amp;INDEX(ポート振替表!$H$5:$H$3507,$L1491)&amp;" "&amp;INDEX(ポート振替表!$I$5:$I$3507,$L1491))</f>
        <v/>
      </c>
      <c r="D1491" s="57" t="s">
        <v>158</v>
      </c>
      <c r="E1491" s="59" t="str">
        <f aca="false">IF(L1491="","",IF(INDEX(ポート振替表!$O$5:$O$3507,$L1491)="","(未設定)",INDEX(ポート振替表!$O$5:$O$3507,$L1491)&amp;""))</f>
        <v/>
      </c>
      <c r="F1491" s="52" t="str">
        <f aca="false">IF(L1491="","",INDEX(ポート振替表!$K$5:$K$3507,$L1491)&amp;" "&amp;INDEX(ポート振替表!$L$5:$L$3507,$L1491)&amp;"  ⇔  "&amp;INDEX(ポート振替表!$H$5:$H$3507,$L1491)&amp;" "&amp;INDEX(ポート振替表!$I$5:$I$3507,$L1491))</f>
        <v/>
      </c>
      <c r="G1491" s="57" t="s">
        <v>158</v>
      </c>
      <c r="H1491" s="32" t="str">
        <f aca="false">IF(L1491="","",INDEX(ポート振替表!$N$5:$N$3507,$L1491)&amp;"")</f>
        <v/>
      </c>
      <c r="I1491" s="32" t="str">
        <f aca="false">IF(L1491="","",INDEX(ポート振替表!$P$5:$P$3507,$L1491)&amp;"")</f>
        <v/>
      </c>
      <c r="J1491" s="60" t="str">
        <f aca="false">IF(L1491="","",INDEX(ポート振替表!$M$5:$M$3507,$L1491)&amp;"")</f>
        <v/>
      </c>
      <c r="K1491" s="52" t="str">
        <f aca="false">IF(L1491="","",E1491&amp;CHAR(10)&amp;INDEX(ポート振替表!$K$5:$K$3507,$L1491)&amp;" "&amp;INDEX(ポート振替表!$L$5:$L$3507,$L1491)&amp;CHAR(10)&amp;"⇔ "&amp;INDEX(ポート振替表!$H$5:$H$3507,$L1491)&amp;" "&amp;INDEX(ポート振替表!$I$5:$I$3507,$L1491))</f>
        <v/>
      </c>
      <c r="L1491" s="47" t="str">
        <f aca="false">IFERROR(MATCH(ROW()-4,ポート振替表!$V$5:$V$3507,0),"")</f>
        <v/>
      </c>
    </row>
    <row r="1492" customFormat="false" ht="16.4" hidden="false" customHeight="false" outlineLevel="0" collapsed="false">
      <c r="A1492" s="32" t="str">
        <f aca="false">IF(L1492="","",ROW()-4)</f>
        <v/>
      </c>
      <c r="B1492" s="58" t="str">
        <f aca="false">IF(L1492="","",IF(INDEX(ポート振替表!$W$5:$W$3507,$L1492)="","(なし)",INDEX(ポート振替表!$W$5:$W$3507,$L1492)&amp;""))</f>
        <v/>
      </c>
      <c r="C1492" s="52" t="str">
        <f aca="false">IF(L1492="","",INDEX(ポート振替表!$B$5:$B$3507,$L1492)&amp;" "&amp;INDEX(ポート振替表!$C$5:$C$3507,$L1492)&amp;"  ⇔  "&amp;INDEX(ポート振替表!$H$5:$H$3507,$L1492)&amp;" "&amp;INDEX(ポート振替表!$I$5:$I$3507,$L1492))</f>
        <v/>
      </c>
      <c r="D1492" s="57" t="s">
        <v>158</v>
      </c>
      <c r="E1492" s="59" t="str">
        <f aca="false">IF(L1492="","",IF(INDEX(ポート振替表!$O$5:$O$3507,$L1492)="","(未設定)",INDEX(ポート振替表!$O$5:$O$3507,$L1492)&amp;""))</f>
        <v/>
      </c>
      <c r="F1492" s="52" t="str">
        <f aca="false">IF(L1492="","",INDEX(ポート振替表!$K$5:$K$3507,$L1492)&amp;" "&amp;INDEX(ポート振替表!$L$5:$L$3507,$L1492)&amp;"  ⇔  "&amp;INDEX(ポート振替表!$H$5:$H$3507,$L1492)&amp;" "&amp;INDEX(ポート振替表!$I$5:$I$3507,$L1492))</f>
        <v/>
      </c>
      <c r="G1492" s="57" t="s">
        <v>158</v>
      </c>
      <c r="H1492" s="32" t="str">
        <f aca="false">IF(L1492="","",INDEX(ポート振替表!$N$5:$N$3507,$L1492)&amp;"")</f>
        <v/>
      </c>
      <c r="I1492" s="32" t="str">
        <f aca="false">IF(L1492="","",INDEX(ポート振替表!$P$5:$P$3507,$L1492)&amp;"")</f>
        <v/>
      </c>
      <c r="J1492" s="60" t="str">
        <f aca="false">IF(L1492="","",INDEX(ポート振替表!$M$5:$M$3507,$L1492)&amp;"")</f>
        <v/>
      </c>
      <c r="K1492" s="52" t="str">
        <f aca="false">IF(L1492="","",E1492&amp;CHAR(10)&amp;INDEX(ポート振替表!$K$5:$K$3507,$L1492)&amp;" "&amp;INDEX(ポート振替表!$L$5:$L$3507,$L1492)&amp;CHAR(10)&amp;"⇔ "&amp;INDEX(ポート振替表!$H$5:$H$3507,$L1492)&amp;" "&amp;INDEX(ポート振替表!$I$5:$I$3507,$L1492))</f>
        <v/>
      </c>
      <c r="L1492" s="47" t="str">
        <f aca="false">IFERROR(MATCH(ROW()-4,ポート振替表!$V$5:$V$3507,0),"")</f>
        <v/>
      </c>
    </row>
    <row r="1493" customFormat="false" ht="16.4" hidden="false" customHeight="false" outlineLevel="0" collapsed="false">
      <c r="A1493" s="32" t="str">
        <f aca="false">IF(L1493="","",ROW()-4)</f>
        <v/>
      </c>
      <c r="B1493" s="58" t="str">
        <f aca="false">IF(L1493="","",IF(INDEX(ポート振替表!$W$5:$W$3507,$L1493)="","(なし)",INDEX(ポート振替表!$W$5:$W$3507,$L1493)&amp;""))</f>
        <v/>
      </c>
      <c r="C1493" s="52" t="str">
        <f aca="false">IF(L1493="","",INDEX(ポート振替表!$B$5:$B$3507,$L1493)&amp;" "&amp;INDEX(ポート振替表!$C$5:$C$3507,$L1493)&amp;"  ⇔  "&amp;INDEX(ポート振替表!$H$5:$H$3507,$L1493)&amp;" "&amp;INDEX(ポート振替表!$I$5:$I$3507,$L1493))</f>
        <v/>
      </c>
      <c r="D1493" s="57" t="s">
        <v>158</v>
      </c>
      <c r="E1493" s="59" t="str">
        <f aca="false">IF(L1493="","",IF(INDEX(ポート振替表!$O$5:$O$3507,$L1493)="","(未設定)",INDEX(ポート振替表!$O$5:$O$3507,$L1493)&amp;""))</f>
        <v/>
      </c>
      <c r="F1493" s="52" t="str">
        <f aca="false">IF(L1493="","",INDEX(ポート振替表!$K$5:$K$3507,$L1493)&amp;" "&amp;INDEX(ポート振替表!$L$5:$L$3507,$L1493)&amp;"  ⇔  "&amp;INDEX(ポート振替表!$H$5:$H$3507,$L1493)&amp;" "&amp;INDEX(ポート振替表!$I$5:$I$3507,$L1493))</f>
        <v/>
      </c>
      <c r="G1493" s="57" t="s">
        <v>158</v>
      </c>
      <c r="H1493" s="32" t="str">
        <f aca="false">IF(L1493="","",INDEX(ポート振替表!$N$5:$N$3507,$L1493)&amp;"")</f>
        <v/>
      </c>
      <c r="I1493" s="32" t="str">
        <f aca="false">IF(L1493="","",INDEX(ポート振替表!$P$5:$P$3507,$L1493)&amp;"")</f>
        <v/>
      </c>
      <c r="J1493" s="60" t="str">
        <f aca="false">IF(L1493="","",INDEX(ポート振替表!$M$5:$M$3507,$L1493)&amp;"")</f>
        <v/>
      </c>
      <c r="K1493" s="52" t="str">
        <f aca="false">IF(L1493="","",E1493&amp;CHAR(10)&amp;INDEX(ポート振替表!$K$5:$K$3507,$L1493)&amp;" "&amp;INDEX(ポート振替表!$L$5:$L$3507,$L1493)&amp;CHAR(10)&amp;"⇔ "&amp;INDEX(ポート振替表!$H$5:$H$3507,$L1493)&amp;" "&amp;INDEX(ポート振替表!$I$5:$I$3507,$L1493))</f>
        <v/>
      </c>
      <c r="L1493" s="47" t="str">
        <f aca="false">IFERROR(MATCH(ROW()-4,ポート振替表!$V$5:$V$3507,0),"")</f>
        <v/>
      </c>
    </row>
    <row r="1494" customFormat="false" ht="16.4" hidden="false" customHeight="false" outlineLevel="0" collapsed="false">
      <c r="A1494" s="32" t="str">
        <f aca="false">IF(L1494="","",ROW()-4)</f>
        <v/>
      </c>
      <c r="B1494" s="58" t="str">
        <f aca="false">IF(L1494="","",IF(INDEX(ポート振替表!$W$5:$W$3507,$L1494)="","(なし)",INDEX(ポート振替表!$W$5:$W$3507,$L1494)&amp;""))</f>
        <v/>
      </c>
      <c r="C1494" s="52" t="str">
        <f aca="false">IF(L1494="","",INDEX(ポート振替表!$B$5:$B$3507,$L1494)&amp;" "&amp;INDEX(ポート振替表!$C$5:$C$3507,$L1494)&amp;"  ⇔  "&amp;INDEX(ポート振替表!$H$5:$H$3507,$L1494)&amp;" "&amp;INDEX(ポート振替表!$I$5:$I$3507,$L1494))</f>
        <v/>
      </c>
      <c r="D1494" s="57" t="s">
        <v>158</v>
      </c>
      <c r="E1494" s="59" t="str">
        <f aca="false">IF(L1494="","",IF(INDEX(ポート振替表!$O$5:$O$3507,$L1494)="","(未設定)",INDEX(ポート振替表!$O$5:$O$3507,$L1494)&amp;""))</f>
        <v/>
      </c>
      <c r="F1494" s="52" t="str">
        <f aca="false">IF(L1494="","",INDEX(ポート振替表!$K$5:$K$3507,$L1494)&amp;" "&amp;INDEX(ポート振替表!$L$5:$L$3507,$L1494)&amp;"  ⇔  "&amp;INDEX(ポート振替表!$H$5:$H$3507,$L1494)&amp;" "&amp;INDEX(ポート振替表!$I$5:$I$3507,$L1494))</f>
        <v/>
      </c>
      <c r="G1494" s="57" t="s">
        <v>158</v>
      </c>
      <c r="H1494" s="32" t="str">
        <f aca="false">IF(L1494="","",INDEX(ポート振替表!$N$5:$N$3507,$L1494)&amp;"")</f>
        <v/>
      </c>
      <c r="I1494" s="32" t="str">
        <f aca="false">IF(L1494="","",INDEX(ポート振替表!$P$5:$P$3507,$L1494)&amp;"")</f>
        <v/>
      </c>
      <c r="J1494" s="60" t="str">
        <f aca="false">IF(L1494="","",INDEX(ポート振替表!$M$5:$M$3507,$L1494)&amp;"")</f>
        <v/>
      </c>
      <c r="K1494" s="52" t="str">
        <f aca="false">IF(L1494="","",E1494&amp;CHAR(10)&amp;INDEX(ポート振替表!$K$5:$K$3507,$L1494)&amp;" "&amp;INDEX(ポート振替表!$L$5:$L$3507,$L1494)&amp;CHAR(10)&amp;"⇔ "&amp;INDEX(ポート振替表!$H$5:$H$3507,$L1494)&amp;" "&amp;INDEX(ポート振替表!$I$5:$I$3507,$L1494))</f>
        <v/>
      </c>
      <c r="L1494" s="47" t="str">
        <f aca="false">IFERROR(MATCH(ROW()-4,ポート振替表!$V$5:$V$3507,0),"")</f>
        <v/>
      </c>
    </row>
    <row r="1495" customFormat="false" ht="16.4" hidden="false" customHeight="false" outlineLevel="0" collapsed="false">
      <c r="A1495" s="32" t="str">
        <f aca="false">IF(L1495="","",ROW()-4)</f>
        <v/>
      </c>
      <c r="B1495" s="58" t="str">
        <f aca="false">IF(L1495="","",IF(INDEX(ポート振替表!$W$5:$W$3507,$L1495)="","(なし)",INDEX(ポート振替表!$W$5:$W$3507,$L1495)&amp;""))</f>
        <v/>
      </c>
      <c r="C1495" s="52" t="str">
        <f aca="false">IF(L1495="","",INDEX(ポート振替表!$B$5:$B$3507,$L1495)&amp;" "&amp;INDEX(ポート振替表!$C$5:$C$3507,$L1495)&amp;"  ⇔  "&amp;INDEX(ポート振替表!$H$5:$H$3507,$L1495)&amp;" "&amp;INDEX(ポート振替表!$I$5:$I$3507,$L1495))</f>
        <v/>
      </c>
      <c r="D1495" s="57" t="s">
        <v>158</v>
      </c>
      <c r="E1495" s="59" t="str">
        <f aca="false">IF(L1495="","",IF(INDEX(ポート振替表!$O$5:$O$3507,$L1495)="","(未設定)",INDEX(ポート振替表!$O$5:$O$3507,$L1495)&amp;""))</f>
        <v/>
      </c>
      <c r="F1495" s="52" t="str">
        <f aca="false">IF(L1495="","",INDEX(ポート振替表!$K$5:$K$3507,$L1495)&amp;" "&amp;INDEX(ポート振替表!$L$5:$L$3507,$L1495)&amp;"  ⇔  "&amp;INDEX(ポート振替表!$H$5:$H$3507,$L1495)&amp;" "&amp;INDEX(ポート振替表!$I$5:$I$3507,$L1495))</f>
        <v/>
      </c>
      <c r="G1495" s="57" t="s">
        <v>158</v>
      </c>
      <c r="H1495" s="32" t="str">
        <f aca="false">IF(L1495="","",INDEX(ポート振替表!$N$5:$N$3507,$L1495)&amp;"")</f>
        <v/>
      </c>
      <c r="I1495" s="32" t="str">
        <f aca="false">IF(L1495="","",INDEX(ポート振替表!$P$5:$P$3507,$L1495)&amp;"")</f>
        <v/>
      </c>
      <c r="J1495" s="60" t="str">
        <f aca="false">IF(L1495="","",INDEX(ポート振替表!$M$5:$M$3507,$L1495)&amp;"")</f>
        <v/>
      </c>
      <c r="K1495" s="52" t="str">
        <f aca="false">IF(L1495="","",E1495&amp;CHAR(10)&amp;INDEX(ポート振替表!$K$5:$K$3507,$L1495)&amp;" "&amp;INDEX(ポート振替表!$L$5:$L$3507,$L1495)&amp;CHAR(10)&amp;"⇔ "&amp;INDEX(ポート振替表!$H$5:$H$3507,$L1495)&amp;" "&amp;INDEX(ポート振替表!$I$5:$I$3507,$L1495))</f>
        <v/>
      </c>
      <c r="L1495" s="47" t="str">
        <f aca="false">IFERROR(MATCH(ROW()-4,ポート振替表!$V$5:$V$3507,0),"")</f>
        <v/>
      </c>
    </row>
    <row r="1496" customFormat="false" ht="16.4" hidden="false" customHeight="false" outlineLevel="0" collapsed="false">
      <c r="A1496" s="32" t="str">
        <f aca="false">IF(L1496="","",ROW()-4)</f>
        <v/>
      </c>
      <c r="B1496" s="58" t="str">
        <f aca="false">IF(L1496="","",IF(INDEX(ポート振替表!$W$5:$W$3507,$L1496)="","(なし)",INDEX(ポート振替表!$W$5:$W$3507,$L1496)&amp;""))</f>
        <v/>
      </c>
      <c r="C1496" s="52" t="str">
        <f aca="false">IF(L1496="","",INDEX(ポート振替表!$B$5:$B$3507,$L1496)&amp;" "&amp;INDEX(ポート振替表!$C$5:$C$3507,$L1496)&amp;"  ⇔  "&amp;INDEX(ポート振替表!$H$5:$H$3507,$L1496)&amp;" "&amp;INDEX(ポート振替表!$I$5:$I$3507,$L1496))</f>
        <v/>
      </c>
      <c r="D1496" s="57" t="s">
        <v>158</v>
      </c>
      <c r="E1496" s="59" t="str">
        <f aca="false">IF(L1496="","",IF(INDEX(ポート振替表!$O$5:$O$3507,$L1496)="","(未設定)",INDEX(ポート振替表!$O$5:$O$3507,$L1496)&amp;""))</f>
        <v/>
      </c>
      <c r="F1496" s="52" t="str">
        <f aca="false">IF(L1496="","",INDEX(ポート振替表!$K$5:$K$3507,$L1496)&amp;" "&amp;INDEX(ポート振替表!$L$5:$L$3507,$L1496)&amp;"  ⇔  "&amp;INDEX(ポート振替表!$H$5:$H$3507,$L1496)&amp;" "&amp;INDEX(ポート振替表!$I$5:$I$3507,$L1496))</f>
        <v/>
      </c>
      <c r="G1496" s="57" t="s">
        <v>158</v>
      </c>
      <c r="H1496" s="32" t="str">
        <f aca="false">IF(L1496="","",INDEX(ポート振替表!$N$5:$N$3507,$L1496)&amp;"")</f>
        <v/>
      </c>
      <c r="I1496" s="32" t="str">
        <f aca="false">IF(L1496="","",INDEX(ポート振替表!$P$5:$P$3507,$L1496)&amp;"")</f>
        <v/>
      </c>
      <c r="J1496" s="60" t="str">
        <f aca="false">IF(L1496="","",INDEX(ポート振替表!$M$5:$M$3507,$L1496)&amp;"")</f>
        <v/>
      </c>
      <c r="K1496" s="52" t="str">
        <f aca="false">IF(L1496="","",E1496&amp;CHAR(10)&amp;INDEX(ポート振替表!$K$5:$K$3507,$L1496)&amp;" "&amp;INDEX(ポート振替表!$L$5:$L$3507,$L1496)&amp;CHAR(10)&amp;"⇔ "&amp;INDEX(ポート振替表!$H$5:$H$3507,$L1496)&amp;" "&amp;INDEX(ポート振替表!$I$5:$I$3507,$L1496))</f>
        <v/>
      </c>
      <c r="L1496" s="47" t="str">
        <f aca="false">IFERROR(MATCH(ROW()-4,ポート振替表!$V$5:$V$3507,0),"")</f>
        <v/>
      </c>
    </row>
    <row r="1497" customFormat="false" ht="16.4" hidden="false" customHeight="false" outlineLevel="0" collapsed="false">
      <c r="A1497" s="32" t="str">
        <f aca="false">IF(L1497="","",ROW()-4)</f>
        <v/>
      </c>
      <c r="B1497" s="58" t="str">
        <f aca="false">IF(L1497="","",IF(INDEX(ポート振替表!$W$5:$W$3507,$L1497)="","(なし)",INDEX(ポート振替表!$W$5:$W$3507,$L1497)&amp;""))</f>
        <v/>
      </c>
      <c r="C1497" s="52" t="str">
        <f aca="false">IF(L1497="","",INDEX(ポート振替表!$B$5:$B$3507,$L1497)&amp;" "&amp;INDEX(ポート振替表!$C$5:$C$3507,$L1497)&amp;"  ⇔  "&amp;INDEX(ポート振替表!$H$5:$H$3507,$L1497)&amp;" "&amp;INDEX(ポート振替表!$I$5:$I$3507,$L1497))</f>
        <v/>
      </c>
      <c r="D1497" s="57" t="s">
        <v>158</v>
      </c>
      <c r="E1497" s="59" t="str">
        <f aca="false">IF(L1497="","",IF(INDEX(ポート振替表!$O$5:$O$3507,$L1497)="","(未設定)",INDEX(ポート振替表!$O$5:$O$3507,$L1497)&amp;""))</f>
        <v/>
      </c>
      <c r="F1497" s="52" t="str">
        <f aca="false">IF(L1497="","",INDEX(ポート振替表!$K$5:$K$3507,$L1497)&amp;" "&amp;INDEX(ポート振替表!$L$5:$L$3507,$L1497)&amp;"  ⇔  "&amp;INDEX(ポート振替表!$H$5:$H$3507,$L1497)&amp;" "&amp;INDEX(ポート振替表!$I$5:$I$3507,$L1497))</f>
        <v/>
      </c>
      <c r="G1497" s="57" t="s">
        <v>158</v>
      </c>
      <c r="H1497" s="32" t="str">
        <f aca="false">IF(L1497="","",INDEX(ポート振替表!$N$5:$N$3507,$L1497)&amp;"")</f>
        <v/>
      </c>
      <c r="I1497" s="32" t="str">
        <f aca="false">IF(L1497="","",INDEX(ポート振替表!$P$5:$P$3507,$L1497)&amp;"")</f>
        <v/>
      </c>
      <c r="J1497" s="60" t="str">
        <f aca="false">IF(L1497="","",INDEX(ポート振替表!$M$5:$M$3507,$L1497)&amp;"")</f>
        <v/>
      </c>
      <c r="K1497" s="52" t="str">
        <f aca="false">IF(L1497="","",E1497&amp;CHAR(10)&amp;INDEX(ポート振替表!$K$5:$K$3507,$L1497)&amp;" "&amp;INDEX(ポート振替表!$L$5:$L$3507,$L1497)&amp;CHAR(10)&amp;"⇔ "&amp;INDEX(ポート振替表!$H$5:$H$3507,$L1497)&amp;" "&amp;INDEX(ポート振替表!$I$5:$I$3507,$L1497))</f>
        <v/>
      </c>
      <c r="L1497" s="47" t="str">
        <f aca="false">IFERROR(MATCH(ROW()-4,ポート振替表!$V$5:$V$3507,0),"")</f>
        <v/>
      </c>
    </row>
    <row r="1498" customFormat="false" ht="16.4" hidden="false" customHeight="false" outlineLevel="0" collapsed="false">
      <c r="A1498" s="32" t="str">
        <f aca="false">IF(L1498="","",ROW()-4)</f>
        <v/>
      </c>
      <c r="B1498" s="58" t="str">
        <f aca="false">IF(L1498="","",IF(INDEX(ポート振替表!$W$5:$W$3507,$L1498)="","(なし)",INDEX(ポート振替表!$W$5:$W$3507,$L1498)&amp;""))</f>
        <v/>
      </c>
      <c r="C1498" s="52" t="str">
        <f aca="false">IF(L1498="","",INDEX(ポート振替表!$B$5:$B$3507,$L1498)&amp;" "&amp;INDEX(ポート振替表!$C$5:$C$3507,$L1498)&amp;"  ⇔  "&amp;INDEX(ポート振替表!$H$5:$H$3507,$L1498)&amp;" "&amp;INDEX(ポート振替表!$I$5:$I$3507,$L1498))</f>
        <v/>
      </c>
      <c r="D1498" s="57" t="s">
        <v>158</v>
      </c>
      <c r="E1498" s="59" t="str">
        <f aca="false">IF(L1498="","",IF(INDEX(ポート振替表!$O$5:$O$3507,$L1498)="","(未設定)",INDEX(ポート振替表!$O$5:$O$3507,$L1498)&amp;""))</f>
        <v/>
      </c>
      <c r="F1498" s="52" t="str">
        <f aca="false">IF(L1498="","",INDEX(ポート振替表!$K$5:$K$3507,$L1498)&amp;" "&amp;INDEX(ポート振替表!$L$5:$L$3507,$L1498)&amp;"  ⇔  "&amp;INDEX(ポート振替表!$H$5:$H$3507,$L1498)&amp;" "&amp;INDEX(ポート振替表!$I$5:$I$3507,$L1498))</f>
        <v/>
      </c>
      <c r="G1498" s="57" t="s">
        <v>158</v>
      </c>
      <c r="H1498" s="32" t="str">
        <f aca="false">IF(L1498="","",INDEX(ポート振替表!$N$5:$N$3507,$L1498)&amp;"")</f>
        <v/>
      </c>
      <c r="I1498" s="32" t="str">
        <f aca="false">IF(L1498="","",INDEX(ポート振替表!$P$5:$P$3507,$L1498)&amp;"")</f>
        <v/>
      </c>
      <c r="J1498" s="60" t="str">
        <f aca="false">IF(L1498="","",INDEX(ポート振替表!$M$5:$M$3507,$L1498)&amp;"")</f>
        <v/>
      </c>
      <c r="K1498" s="52" t="str">
        <f aca="false">IF(L1498="","",E1498&amp;CHAR(10)&amp;INDEX(ポート振替表!$K$5:$K$3507,$L1498)&amp;" "&amp;INDEX(ポート振替表!$L$5:$L$3507,$L1498)&amp;CHAR(10)&amp;"⇔ "&amp;INDEX(ポート振替表!$H$5:$H$3507,$L1498)&amp;" "&amp;INDEX(ポート振替表!$I$5:$I$3507,$L1498))</f>
        <v/>
      </c>
      <c r="L1498" s="47" t="str">
        <f aca="false">IFERROR(MATCH(ROW()-4,ポート振替表!$V$5:$V$3507,0),"")</f>
        <v/>
      </c>
    </row>
    <row r="1499" customFormat="false" ht="16.4" hidden="false" customHeight="false" outlineLevel="0" collapsed="false">
      <c r="A1499" s="32" t="str">
        <f aca="false">IF(L1499="","",ROW()-4)</f>
        <v/>
      </c>
      <c r="B1499" s="58" t="str">
        <f aca="false">IF(L1499="","",IF(INDEX(ポート振替表!$W$5:$W$3507,$L1499)="","(なし)",INDEX(ポート振替表!$W$5:$W$3507,$L1499)&amp;""))</f>
        <v/>
      </c>
      <c r="C1499" s="52" t="str">
        <f aca="false">IF(L1499="","",INDEX(ポート振替表!$B$5:$B$3507,$L1499)&amp;" "&amp;INDEX(ポート振替表!$C$5:$C$3507,$L1499)&amp;"  ⇔  "&amp;INDEX(ポート振替表!$H$5:$H$3507,$L1499)&amp;" "&amp;INDEX(ポート振替表!$I$5:$I$3507,$L1499))</f>
        <v/>
      </c>
      <c r="D1499" s="57" t="s">
        <v>158</v>
      </c>
      <c r="E1499" s="59" t="str">
        <f aca="false">IF(L1499="","",IF(INDEX(ポート振替表!$O$5:$O$3507,$L1499)="","(未設定)",INDEX(ポート振替表!$O$5:$O$3507,$L1499)&amp;""))</f>
        <v/>
      </c>
      <c r="F1499" s="52" t="str">
        <f aca="false">IF(L1499="","",INDEX(ポート振替表!$K$5:$K$3507,$L1499)&amp;" "&amp;INDEX(ポート振替表!$L$5:$L$3507,$L1499)&amp;"  ⇔  "&amp;INDEX(ポート振替表!$H$5:$H$3507,$L1499)&amp;" "&amp;INDEX(ポート振替表!$I$5:$I$3507,$L1499))</f>
        <v/>
      </c>
      <c r="G1499" s="57" t="s">
        <v>158</v>
      </c>
      <c r="H1499" s="32" t="str">
        <f aca="false">IF(L1499="","",INDEX(ポート振替表!$N$5:$N$3507,$L1499)&amp;"")</f>
        <v/>
      </c>
      <c r="I1499" s="32" t="str">
        <f aca="false">IF(L1499="","",INDEX(ポート振替表!$P$5:$P$3507,$L1499)&amp;"")</f>
        <v/>
      </c>
      <c r="J1499" s="60" t="str">
        <f aca="false">IF(L1499="","",INDEX(ポート振替表!$M$5:$M$3507,$L1499)&amp;"")</f>
        <v/>
      </c>
      <c r="K1499" s="52" t="str">
        <f aca="false">IF(L1499="","",E1499&amp;CHAR(10)&amp;INDEX(ポート振替表!$K$5:$K$3507,$L1499)&amp;" "&amp;INDEX(ポート振替表!$L$5:$L$3507,$L1499)&amp;CHAR(10)&amp;"⇔ "&amp;INDEX(ポート振替表!$H$5:$H$3507,$L1499)&amp;" "&amp;INDEX(ポート振替表!$I$5:$I$3507,$L1499))</f>
        <v/>
      </c>
      <c r="L1499" s="47" t="str">
        <f aca="false">IFERROR(MATCH(ROW()-4,ポート振替表!$V$5:$V$3507,0),"")</f>
        <v/>
      </c>
    </row>
    <row r="1500" customFormat="false" ht="16.4" hidden="false" customHeight="false" outlineLevel="0" collapsed="false">
      <c r="A1500" s="32" t="str">
        <f aca="false">IF(L1500="","",ROW()-4)</f>
        <v/>
      </c>
      <c r="B1500" s="58" t="str">
        <f aca="false">IF(L1500="","",IF(INDEX(ポート振替表!$W$5:$W$3507,$L1500)="","(なし)",INDEX(ポート振替表!$W$5:$W$3507,$L1500)&amp;""))</f>
        <v/>
      </c>
      <c r="C1500" s="52" t="str">
        <f aca="false">IF(L1500="","",INDEX(ポート振替表!$B$5:$B$3507,$L1500)&amp;" "&amp;INDEX(ポート振替表!$C$5:$C$3507,$L1500)&amp;"  ⇔  "&amp;INDEX(ポート振替表!$H$5:$H$3507,$L1500)&amp;" "&amp;INDEX(ポート振替表!$I$5:$I$3507,$L1500))</f>
        <v/>
      </c>
      <c r="D1500" s="57" t="s">
        <v>158</v>
      </c>
      <c r="E1500" s="59" t="str">
        <f aca="false">IF(L1500="","",IF(INDEX(ポート振替表!$O$5:$O$3507,$L1500)="","(未設定)",INDEX(ポート振替表!$O$5:$O$3507,$L1500)&amp;""))</f>
        <v/>
      </c>
      <c r="F1500" s="52" t="str">
        <f aca="false">IF(L1500="","",INDEX(ポート振替表!$K$5:$K$3507,$L1500)&amp;" "&amp;INDEX(ポート振替表!$L$5:$L$3507,$L1500)&amp;"  ⇔  "&amp;INDEX(ポート振替表!$H$5:$H$3507,$L1500)&amp;" "&amp;INDEX(ポート振替表!$I$5:$I$3507,$L1500))</f>
        <v/>
      </c>
      <c r="G1500" s="57" t="s">
        <v>158</v>
      </c>
      <c r="H1500" s="32" t="str">
        <f aca="false">IF(L1500="","",INDEX(ポート振替表!$N$5:$N$3507,$L1500)&amp;"")</f>
        <v/>
      </c>
      <c r="I1500" s="32" t="str">
        <f aca="false">IF(L1500="","",INDEX(ポート振替表!$P$5:$P$3507,$L1500)&amp;"")</f>
        <v/>
      </c>
      <c r="J1500" s="60" t="str">
        <f aca="false">IF(L1500="","",INDEX(ポート振替表!$M$5:$M$3507,$L1500)&amp;"")</f>
        <v/>
      </c>
      <c r="K1500" s="52" t="str">
        <f aca="false">IF(L1500="","",E1500&amp;CHAR(10)&amp;INDEX(ポート振替表!$K$5:$K$3507,$L1500)&amp;" "&amp;INDEX(ポート振替表!$L$5:$L$3507,$L1500)&amp;CHAR(10)&amp;"⇔ "&amp;INDEX(ポート振替表!$H$5:$H$3507,$L1500)&amp;" "&amp;INDEX(ポート振替表!$I$5:$I$3507,$L1500))</f>
        <v/>
      </c>
      <c r="L1500" s="47" t="str">
        <f aca="false">IFERROR(MATCH(ROW()-4,ポート振替表!$V$5:$V$3507,0),"")</f>
        <v/>
      </c>
    </row>
    <row r="1501" customFormat="false" ht="16.4" hidden="false" customHeight="false" outlineLevel="0" collapsed="false">
      <c r="A1501" s="32" t="str">
        <f aca="false">IF(L1501="","",ROW()-4)</f>
        <v/>
      </c>
      <c r="B1501" s="58" t="str">
        <f aca="false">IF(L1501="","",IF(INDEX(ポート振替表!$W$5:$W$3507,$L1501)="","(なし)",INDEX(ポート振替表!$W$5:$W$3507,$L1501)&amp;""))</f>
        <v/>
      </c>
      <c r="C1501" s="52" t="str">
        <f aca="false">IF(L1501="","",INDEX(ポート振替表!$B$5:$B$3507,$L1501)&amp;" "&amp;INDEX(ポート振替表!$C$5:$C$3507,$L1501)&amp;"  ⇔  "&amp;INDEX(ポート振替表!$H$5:$H$3507,$L1501)&amp;" "&amp;INDEX(ポート振替表!$I$5:$I$3507,$L1501))</f>
        <v/>
      </c>
      <c r="D1501" s="57" t="s">
        <v>158</v>
      </c>
      <c r="E1501" s="59" t="str">
        <f aca="false">IF(L1501="","",IF(INDEX(ポート振替表!$O$5:$O$3507,$L1501)="","(未設定)",INDEX(ポート振替表!$O$5:$O$3507,$L1501)&amp;""))</f>
        <v/>
      </c>
      <c r="F1501" s="52" t="str">
        <f aca="false">IF(L1501="","",INDEX(ポート振替表!$K$5:$K$3507,$L1501)&amp;" "&amp;INDEX(ポート振替表!$L$5:$L$3507,$L1501)&amp;"  ⇔  "&amp;INDEX(ポート振替表!$H$5:$H$3507,$L1501)&amp;" "&amp;INDEX(ポート振替表!$I$5:$I$3507,$L1501))</f>
        <v/>
      </c>
      <c r="G1501" s="57" t="s">
        <v>158</v>
      </c>
      <c r="H1501" s="32" t="str">
        <f aca="false">IF(L1501="","",INDEX(ポート振替表!$N$5:$N$3507,$L1501)&amp;"")</f>
        <v/>
      </c>
      <c r="I1501" s="32" t="str">
        <f aca="false">IF(L1501="","",INDEX(ポート振替表!$P$5:$P$3507,$L1501)&amp;"")</f>
        <v/>
      </c>
      <c r="J1501" s="60" t="str">
        <f aca="false">IF(L1501="","",INDEX(ポート振替表!$M$5:$M$3507,$L1501)&amp;"")</f>
        <v/>
      </c>
      <c r="K1501" s="52" t="str">
        <f aca="false">IF(L1501="","",E1501&amp;CHAR(10)&amp;INDEX(ポート振替表!$K$5:$K$3507,$L1501)&amp;" "&amp;INDEX(ポート振替表!$L$5:$L$3507,$L1501)&amp;CHAR(10)&amp;"⇔ "&amp;INDEX(ポート振替表!$H$5:$H$3507,$L1501)&amp;" "&amp;INDEX(ポート振替表!$I$5:$I$3507,$L1501))</f>
        <v/>
      </c>
      <c r="L1501" s="47" t="str">
        <f aca="false">IFERROR(MATCH(ROW()-4,ポート振替表!$V$5:$V$3507,0),"")</f>
        <v/>
      </c>
    </row>
    <row r="1502" customFormat="false" ht="16.4" hidden="false" customHeight="false" outlineLevel="0" collapsed="false">
      <c r="A1502" s="32" t="str">
        <f aca="false">IF(L1502="","",ROW()-4)</f>
        <v/>
      </c>
      <c r="B1502" s="58" t="str">
        <f aca="false">IF(L1502="","",IF(INDEX(ポート振替表!$W$5:$W$3507,$L1502)="","(なし)",INDEX(ポート振替表!$W$5:$W$3507,$L1502)&amp;""))</f>
        <v/>
      </c>
      <c r="C1502" s="52" t="str">
        <f aca="false">IF(L1502="","",INDEX(ポート振替表!$B$5:$B$3507,$L1502)&amp;" "&amp;INDEX(ポート振替表!$C$5:$C$3507,$L1502)&amp;"  ⇔  "&amp;INDEX(ポート振替表!$H$5:$H$3507,$L1502)&amp;" "&amp;INDEX(ポート振替表!$I$5:$I$3507,$L1502))</f>
        <v/>
      </c>
      <c r="D1502" s="57" t="s">
        <v>158</v>
      </c>
      <c r="E1502" s="59" t="str">
        <f aca="false">IF(L1502="","",IF(INDEX(ポート振替表!$O$5:$O$3507,$L1502)="","(未設定)",INDEX(ポート振替表!$O$5:$O$3507,$L1502)&amp;""))</f>
        <v/>
      </c>
      <c r="F1502" s="52" t="str">
        <f aca="false">IF(L1502="","",INDEX(ポート振替表!$K$5:$K$3507,$L1502)&amp;" "&amp;INDEX(ポート振替表!$L$5:$L$3507,$L1502)&amp;"  ⇔  "&amp;INDEX(ポート振替表!$H$5:$H$3507,$L1502)&amp;" "&amp;INDEX(ポート振替表!$I$5:$I$3507,$L1502))</f>
        <v/>
      </c>
      <c r="G1502" s="57" t="s">
        <v>158</v>
      </c>
      <c r="H1502" s="32" t="str">
        <f aca="false">IF(L1502="","",INDEX(ポート振替表!$N$5:$N$3507,$L1502)&amp;"")</f>
        <v/>
      </c>
      <c r="I1502" s="32" t="str">
        <f aca="false">IF(L1502="","",INDEX(ポート振替表!$P$5:$P$3507,$L1502)&amp;"")</f>
        <v/>
      </c>
      <c r="J1502" s="60" t="str">
        <f aca="false">IF(L1502="","",INDEX(ポート振替表!$M$5:$M$3507,$L1502)&amp;"")</f>
        <v/>
      </c>
      <c r="K1502" s="52" t="str">
        <f aca="false">IF(L1502="","",E1502&amp;CHAR(10)&amp;INDEX(ポート振替表!$K$5:$K$3507,$L1502)&amp;" "&amp;INDEX(ポート振替表!$L$5:$L$3507,$L1502)&amp;CHAR(10)&amp;"⇔ "&amp;INDEX(ポート振替表!$H$5:$H$3507,$L1502)&amp;" "&amp;INDEX(ポート振替表!$I$5:$I$3507,$L1502))</f>
        <v/>
      </c>
      <c r="L1502" s="47" t="str">
        <f aca="false">IFERROR(MATCH(ROW()-4,ポート振替表!$V$5:$V$3507,0),"")</f>
        <v/>
      </c>
    </row>
    <row r="1503" customFormat="false" ht="16.4" hidden="false" customHeight="false" outlineLevel="0" collapsed="false">
      <c r="A1503" s="32" t="str">
        <f aca="false">IF(L1503="","",ROW()-4)</f>
        <v/>
      </c>
      <c r="B1503" s="58" t="str">
        <f aca="false">IF(L1503="","",IF(INDEX(ポート振替表!$W$5:$W$3507,$L1503)="","(なし)",INDEX(ポート振替表!$W$5:$W$3507,$L1503)&amp;""))</f>
        <v/>
      </c>
      <c r="C1503" s="52" t="str">
        <f aca="false">IF(L1503="","",INDEX(ポート振替表!$B$5:$B$3507,$L1503)&amp;" "&amp;INDEX(ポート振替表!$C$5:$C$3507,$L1503)&amp;"  ⇔  "&amp;INDEX(ポート振替表!$H$5:$H$3507,$L1503)&amp;" "&amp;INDEX(ポート振替表!$I$5:$I$3507,$L1503))</f>
        <v/>
      </c>
      <c r="D1503" s="57" t="s">
        <v>158</v>
      </c>
      <c r="E1503" s="59" t="str">
        <f aca="false">IF(L1503="","",IF(INDEX(ポート振替表!$O$5:$O$3507,$L1503)="","(未設定)",INDEX(ポート振替表!$O$5:$O$3507,$L1503)&amp;""))</f>
        <v/>
      </c>
      <c r="F1503" s="52" t="str">
        <f aca="false">IF(L1503="","",INDEX(ポート振替表!$K$5:$K$3507,$L1503)&amp;" "&amp;INDEX(ポート振替表!$L$5:$L$3507,$L1503)&amp;"  ⇔  "&amp;INDEX(ポート振替表!$H$5:$H$3507,$L1503)&amp;" "&amp;INDEX(ポート振替表!$I$5:$I$3507,$L1503))</f>
        <v/>
      </c>
      <c r="G1503" s="57" t="s">
        <v>158</v>
      </c>
      <c r="H1503" s="32" t="str">
        <f aca="false">IF(L1503="","",INDEX(ポート振替表!$N$5:$N$3507,$L1503)&amp;"")</f>
        <v/>
      </c>
      <c r="I1503" s="32" t="str">
        <f aca="false">IF(L1503="","",INDEX(ポート振替表!$P$5:$P$3507,$L1503)&amp;"")</f>
        <v/>
      </c>
      <c r="J1503" s="60" t="str">
        <f aca="false">IF(L1503="","",INDEX(ポート振替表!$M$5:$M$3507,$L1503)&amp;"")</f>
        <v/>
      </c>
      <c r="K1503" s="52" t="str">
        <f aca="false">IF(L1503="","",E1503&amp;CHAR(10)&amp;INDEX(ポート振替表!$K$5:$K$3507,$L1503)&amp;" "&amp;INDEX(ポート振替表!$L$5:$L$3507,$L1503)&amp;CHAR(10)&amp;"⇔ "&amp;INDEX(ポート振替表!$H$5:$H$3507,$L1503)&amp;" "&amp;INDEX(ポート振替表!$I$5:$I$3507,$L1503))</f>
        <v/>
      </c>
      <c r="L1503" s="47" t="str">
        <f aca="false">IFERROR(MATCH(ROW()-4,ポート振替表!$V$5:$V$3507,0),"")</f>
        <v/>
      </c>
    </row>
    <row r="1504" customFormat="false" ht="16.4" hidden="false" customHeight="false" outlineLevel="0" collapsed="false">
      <c r="A1504" s="32" t="str">
        <f aca="false">IF(L1504="","",ROW()-4)</f>
        <v/>
      </c>
      <c r="B1504" s="58" t="str">
        <f aca="false">IF(L1504="","",IF(INDEX(ポート振替表!$W$5:$W$3507,$L1504)="","(なし)",INDEX(ポート振替表!$W$5:$W$3507,$L1504)&amp;""))</f>
        <v/>
      </c>
      <c r="C1504" s="52" t="str">
        <f aca="false">IF(L1504="","",INDEX(ポート振替表!$B$5:$B$3507,$L1504)&amp;" "&amp;INDEX(ポート振替表!$C$5:$C$3507,$L1504)&amp;"  ⇔  "&amp;INDEX(ポート振替表!$H$5:$H$3507,$L1504)&amp;" "&amp;INDEX(ポート振替表!$I$5:$I$3507,$L1504))</f>
        <v/>
      </c>
      <c r="D1504" s="57" t="s">
        <v>158</v>
      </c>
      <c r="E1504" s="59" t="str">
        <f aca="false">IF(L1504="","",IF(INDEX(ポート振替表!$O$5:$O$3507,$L1504)="","(未設定)",INDEX(ポート振替表!$O$5:$O$3507,$L1504)&amp;""))</f>
        <v/>
      </c>
      <c r="F1504" s="52" t="str">
        <f aca="false">IF(L1504="","",INDEX(ポート振替表!$K$5:$K$3507,$L1504)&amp;" "&amp;INDEX(ポート振替表!$L$5:$L$3507,$L1504)&amp;"  ⇔  "&amp;INDEX(ポート振替表!$H$5:$H$3507,$L1504)&amp;" "&amp;INDEX(ポート振替表!$I$5:$I$3507,$L1504))</f>
        <v/>
      </c>
      <c r="G1504" s="57" t="s">
        <v>158</v>
      </c>
      <c r="H1504" s="32" t="str">
        <f aca="false">IF(L1504="","",INDEX(ポート振替表!$N$5:$N$3507,$L1504)&amp;"")</f>
        <v/>
      </c>
      <c r="I1504" s="32" t="str">
        <f aca="false">IF(L1504="","",INDEX(ポート振替表!$P$5:$P$3507,$L1504)&amp;"")</f>
        <v/>
      </c>
      <c r="J1504" s="60" t="str">
        <f aca="false">IF(L1504="","",INDEX(ポート振替表!$M$5:$M$3507,$L1504)&amp;"")</f>
        <v/>
      </c>
      <c r="K1504" s="52" t="str">
        <f aca="false">IF(L1504="","",E1504&amp;CHAR(10)&amp;INDEX(ポート振替表!$K$5:$K$3507,$L1504)&amp;" "&amp;INDEX(ポート振替表!$L$5:$L$3507,$L1504)&amp;CHAR(10)&amp;"⇔ "&amp;INDEX(ポート振替表!$H$5:$H$3507,$L1504)&amp;" "&amp;INDEX(ポート振替表!$I$5:$I$3507,$L1504))</f>
        <v/>
      </c>
      <c r="L1504" s="47" t="str">
        <f aca="false">IFERROR(MATCH(ROW()-4,ポート振替表!$V$5:$V$3507,0),"")</f>
        <v/>
      </c>
    </row>
    <row r="1505" customFormat="false" ht="16.4" hidden="false" customHeight="false" outlineLevel="0" collapsed="false">
      <c r="A1505" s="32" t="str">
        <f aca="false">IF(L1505="","",ROW()-4)</f>
        <v/>
      </c>
      <c r="B1505" s="58" t="str">
        <f aca="false">IF(L1505="","",IF(INDEX(ポート振替表!$W$5:$W$3507,$L1505)="","(なし)",INDEX(ポート振替表!$W$5:$W$3507,$L1505)&amp;""))</f>
        <v/>
      </c>
      <c r="C1505" s="52" t="str">
        <f aca="false">IF(L1505="","",INDEX(ポート振替表!$B$5:$B$3507,$L1505)&amp;" "&amp;INDEX(ポート振替表!$C$5:$C$3507,$L1505)&amp;"  ⇔  "&amp;INDEX(ポート振替表!$H$5:$H$3507,$L1505)&amp;" "&amp;INDEX(ポート振替表!$I$5:$I$3507,$L1505))</f>
        <v/>
      </c>
      <c r="D1505" s="57" t="s">
        <v>158</v>
      </c>
      <c r="E1505" s="59" t="str">
        <f aca="false">IF(L1505="","",IF(INDEX(ポート振替表!$O$5:$O$3507,$L1505)="","(未設定)",INDEX(ポート振替表!$O$5:$O$3507,$L1505)&amp;""))</f>
        <v/>
      </c>
      <c r="F1505" s="52" t="str">
        <f aca="false">IF(L1505="","",INDEX(ポート振替表!$K$5:$K$3507,$L1505)&amp;" "&amp;INDEX(ポート振替表!$L$5:$L$3507,$L1505)&amp;"  ⇔  "&amp;INDEX(ポート振替表!$H$5:$H$3507,$L1505)&amp;" "&amp;INDEX(ポート振替表!$I$5:$I$3507,$L1505))</f>
        <v/>
      </c>
      <c r="G1505" s="57" t="s">
        <v>158</v>
      </c>
      <c r="H1505" s="32" t="str">
        <f aca="false">IF(L1505="","",INDEX(ポート振替表!$N$5:$N$3507,$L1505)&amp;"")</f>
        <v/>
      </c>
      <c r="I1505" s="32" t="str">
        <f aca="false">IF(L1505="","",INDEX(ポート振替表!$P$5:$P$3507,$L1505)&amp;"")</f>
        <v/>
      </c>
      <c r="J1505" s="60" t="str">
        <f aca="false">IF(L1505="","",INDEX(ポート振替表!$M$5:$M$3507,$L1505)&amp;"")</f>
        <v/>
      </c>
      <c r="K1505" s="52" t="str">
        <f aca="false">IF(L1505="","",E1505&amp;CHAR(10)&amp;INDEX(ポート振替表!$K$5:$K$3507,$L1505)&amp;" "&amp;INDEX(ポート振替表!$L$5:$L$3507,$L1505)&amp;CHAR(10)&amp;"⇔ "&amp;INDEX(ポート振替表!$H$5:$H$3507,$L1505)&amp;" "&amp;INDEX(ポート振替表!$I$5:$I$3507,$L1505))</f>
        <v/>
      </c>
      <c r="L1505" s="47" t="str">
        <f aca="false">IFERROR(MATCH(ROW()-4,ポート振替表!$V$5:$V$3507,0),"")</f>
        <v/>
      </c>
    </row>
    <row r="1506" customFormat="false" ht="16.4" hidden="false" customHeight="false" outlineLevel="0" collapsed="false">
      <c r="A1506" s="32" t="str">
        <f aca="false">IF(L1506="","",ROW()-4)</f>
        <v/>
      </c>
      <c r="B1506" s="58" t="str">
        <f aca="false">IF(L1506="","",IF(INDEX(ポート振替表!$W$5:$W$3507,$L1506)="","(なし)",INDEX(ポート振替表!$W$5:$W$3507,$L1506)&amp;""))</f>
        <v/>
      </c>
      <c r="C1506" s="52" t="str">
        <f aca="false">IF(L1506="","",INDEX(ポート振替表!$B$5:$B$3507,$L1506)&amp;" "&amp;INDEX(ポート振替表!$C$5:$C$3507,$L1506)&amp;"  ⇔  "&amp;INDEX(ポート振替表!$H$5:$H$3507,$L1506)&amp;" "&amp;INDEX(ポート振替表!$I$5:$I$3507,$L1506))</f>
        <v/>
      </c>
      <c r="D1506" s="57" t="s">
        <v>158</v>
      </c>
      <c r="E1506" s="59" t="str">
        <f aca="false">IF(L1506="","",IF(INDEX(ポート振替表!$O$5:$O$3507,$L1506)="","(未設定)",INDEX(ポート振替表!$O$5:$O$3507,$L1506)&amp;""))</f>
        <v/>
      </c>
      <c r="F1506" s="52" t="str">
        <f aca="false">IF(L1506="","",INDEX(ポート振替表!$K$5:$K$3507,$L1506)&amp;" "&amp;INDEX(ポート振替表!$L$5:$L$3507,$L1506)&amp;"  ⇔  "&amp;INDEX(ポート振替表!$H$5:$H$3507,$L1506)&amp;" "&amp;INDEX(ポート振替表!$I$5:$I$3507,$L1506))</f>
        <v/>
      </c>
      <c r="G1506" s="57" t="s">
        <v>158</v>
      </c>
      <c r="H1506" s="32" t="str">
        <f aca="false">IF(L1506="","",INDEX(ポート振替表!$N$5:$N$3507,$L1506)&amp;"")</f>
        <v/>
      </c>
      <c r="I1506" s="32" t="str">
        <f aca="false">IF(L1506="","",INDEX(ポート振替表!$P$5:$P$3507,$L1506)&amp;"")</f>
        <v/>
      </c>
      <c r="J1506" s="60" t="str">
        <f aca="false">IF(L1506="","",INDEX(ポート振替表!$M$5:$M$3507,$L1506)&amp;"")</f>
        <v/>
      </c>
      <c r="K1506" s="52" t="str">
        <f aca="false">IF(L1506="","",E1506&amp;CHAR(10)&amp;INDEX(ポート振替表!$K$5:$K$3507,$L1506)&amp;" "&amp;INDEX(ポート振替表!$L$5:$L$3507,$L1506)&amp;CHAR(10)&amp;"⇔ "&amp;INDEX(ポート振替表!$H$5:$H$3507,$L1506)&amp;" "&amp;INDEX(ポート振替表!$I$5:$I$3507,$L1506))</f>
        <v/>
      </c>
      <c r="L1506" s="47" t="str">
        <f aca="false">IFERROR(MATCH(ROW()-4,ポート振替表!$V$5:$V$3507,0),"")</f>
        <v/>
      </c>
    </row>
    <row r="1507" customFormat="false" ht="16.4" hidden="false" customHeight="false" outlineLevel="0" collapsed="false">
      <c r="A1507" s="32" t="str">
        <f aca="false">IF(L1507="","",ROW()-4)</f>
        <v/>
      </c>
      <c r="B1507" s="58" t="str">
        <f aca="false">IF(L1507="","",IF(INDEX(ポート振替表!$W$5:$W$3507,$L1507)="","(なし)",INDEX(ポート振替表!$W$5:$W$3507,$L1507)&amp;""))</f>
        <v/>
      </c>
      <c r="C1507" s="52" t="str">
        <f aca="false">IF(L1507="","",INDEX(ポート振替表!$B$5:$B$3507,$L1507)&amp;" "&amp;INDEX(ポート振替表!$C$5:$C$3507,$L1507)&amp;"  ⇔  "&amp;INDEX(ポート振替表!$H$5:$H$3507,$L1507)&amp;" "&amp;INDEX(ポート振替表!$I$5:$I$3507,$L1507))</f>
        <v/>
      </c>
      <c r="D1507" s="57" t="s">
        <v>158</v>
      </c>
      <c r="E1507" s="59" t="str">
        <f aca="false">IF(L1507="","",IF(INDEX(ポート振替表!$O$5:$O$3507,$L1507)="","(未設定)",INDEX(ポート振替表!$O$5:$O$3507,$L1507)&amp;""))</f>
        <v/>
      </c>
      <c r="F1507" s="52" t="str">
        <f aca="false">IF(L1507="","",INDEX(ポート振替表!$K$5:$K$3507,$L1507)&amp;" "&amp;INDEX(ポート振替表!$L$5:$L$3507,$L1507)&amp;"  ⇔  "&amp;INDEX(ポート振替表!$H$5:$H$3507,$L1507)&amp;" "&amp;INDEX(ポート振替表!$I$5:$I$3507,$L1507))</f>
        <v/>
      </c>
      <c r="G1507" s="57" t="s">
        <v>158</v>
      </c>
      <c r="H1507" s="32" t="str">
        <f aca="false">IF(L1507="","",INDEX(ポート振替表!$N$5:$N$3507,$L1507)&amp;"")</f>
        <v/>
      </c>
      <c r="I1507" s="32" t="str">
        <f aca="false">IF(L1507="","",INDEX(ポート振替表!$P$5:$P$3507,$L1507)&amp;"")</f>
        <v/>
      </c>
      <c r="J1507" s="60" t="str">
        <f aca="false">IF(L1507="","",INDEX(ポート振替表!$M$5:$M$3507,$L1507)&amp;"")</f>
        <v/>
      </c>
      <c r="K1507" s="52" t="str">
        <f aca="false">IF(L1507="","",E1507&amp;CHAR(10)&amp;INDEX(ポート振替表!$K$5:$K$3507,$L1507)&amp;" "&amp;INDEX(ポート振替表!$L$5:$L$3507,$L1507)&amp;CHAR(10)&amp;"⇔ "&amp;INDEX(ポート振替表!$H$5:$H$3507,$L1507)&amp;" "&amp;INDEX(ポート振替表!$I$5:$I$3507,$L1507))</f>
        <v/>
      </c>
      <c r="L1507" s="47" t="str">
        <f aca="false">IFERROR(MATCH(ROW()-4,ポート振替表!$V$5:$V$3507,0),"")</f>
        <v/>
      </c>
    </row>
    <row r="1508" customFormat="false" ht="16.4" hidden="false" customHeight="false" outlineLevel="0" collapsed="false">
      <c r="A1508" s="32" t="str">
        <f aca="false">IF(L1508="","",ROW()-4)</f>
        <v/>
      </c>
      <c r="B1508" s="58" t="str">
        <f aca="false">IF(L1508="","",IF(INDEX(ポート振替表!$W$5:$W$3507,$L1508)="","(なし)",INDEX(ポート振替表!$W$5:$W$3507,$L1508)&amp;""))</f>
        <v/>
      </c>
      <c r="C1508" s="52" t="str">
        <f aca="false">IF(L1508="","",INDEX(ポート振替表!$B$5:$B$3507,$L1508)&amp;" "&amp;INDEX(ポート振替表!$C$5:$C$3507,$L1508)&amp;"  ⇔  "&amp;INDEX(ポート振替表!$H$5:$H$3507,$L1508)&amp;" "&amp;INDEX(ポート振替表!$I$5:$I$3507,$L1508))</f>
        <v/>
      </c>
      <c r="D1508" s="57" t="s">
        <v>158</v>
      </c>
      <c r="E1508" s="59" t="str">
        <f aca="false">IF(L1508="","",IF(INDEX(ポート振替表!$O$5:$O$3507,$L1508)="","(未設定)",INDEX(ポート振替表!$O$5:$O$3507,$L1508)&amp;""))</f>
        <v/>
      </c>
      <c r="F1508" s="52" t="str">
        <f aca="false">IF(L1508="","",INDEX(ポート振替表!$K$5:$K$3507,$L1508)&amp;" "&amp;INDEX(ポート振替表!$L$5:$L$3507,$L1508)&amp;"  ⇔  "&amp;INDEX(ポート振替表!$H$5:$H$3507,$L1508)&amp;" "&amp;INDEX(ポート振替表!$I$5:$I$3507,$L1508))</f>
        <v/>
      </c>
      <c r="G1508" s="57" t="s">
        <v>158</v>
      </c>
      <c r="H1508" s="32" t="str">
        <f aca="false">IF(L1508="","",INDEX(ポート振替表!$N$5:$N$3507,$L1508)&amp;"")</f>
        <v/>
      </c>
      <c r="I1508" s="32" t="str">
        <f aca="false">IF(L1508="","",INDEX(ポート振替表!$P$5:$P$3507,$L1508)&amp;"")</f>
        <v/>
      </c>
      <c r="J1508" s="60" t="str">
        <f aca="false">IF(L1508="","",INDEX(ポート振替表!$M$5:$M$3507,$L1508)&amp;"")</f>
        <v/>
      </c>
      <c r="K1508" s="52" t="str">
        <f aca="false">IF(L1508="","",E1508&amp;CHAR(10)&amp;INDEX(ポート振替表!$K$5:$K$3507,$L1508)&amp;" "&amp;INDEX(ポート振替表!$L$5:$L$3507,$L1508)&amp;CHAR(10)&amp;"⇔ "&amp;INDEX(ポート振替表!$H$5:$H$3507,$L1508)&amp;" "&amp;INDEX(ポート振替表!$I$5:$I$3507,$L1508))</f>
        <v/>
      </c>
      <c r="L1508" s="47" t="str">
        <f aca="false">IFERROR(MATCH(ROW()-4,ポート振替表!$V$5:$V$3507,0),"")</f>
        <v/>
      </c>
    </row>
    <row r="1509" customFormat="false" ht="16.4" hidden="false" customHeight="false" outlineLevel="0" collapsed="false">
      <c r="A1509" s="32" t="str">
        <f aca="false">IF(L1509="","",ROW()-4)</f>
        <v/>
      </c>
      <c r="B1509" s="58" t="str">
        <f aca="false">IF(L1509="","",IF(INDEX(ポート振替表!$W$5:$W$3507,$L1509)="","(なし)",INDEX(ポート振替表!$W$5:$W$3507,$L1509)&amp;""))</f>
        <v/>
      </c>
      <c r="C1509" s="52" t="str">
        <f aca="false">IF(L1509="","",INDEX(ポート振替表!$B$5:$B$3507,$L1509)&amp;" "&amp;INDEX(ポート振替表!$C$5:$C$3507,$L1509)&amp;"  ⇔  "&amp;INDEX(ポート振替表!$H$5:$H$3507,$L1509)&amp;" "&amp;INDEX(ポート振替表!$I$5:$I$3507,$L1509))</f>
        <v/>
      </c>
      <c r="D1509" s="57" t="s">
        <v>158</v>
      </c>
      <c r="E1509" s="59" t="str">
        <f aca="false">IF(L1509="","",IF(INDEX(ポート振替表!$O$5:$O$3507,$L1509)="","(未設定)",INDEX(ポート振替表!$O$5:$O$3507,$L1509)&amp;""))</f>
        <v/>
      </c>
      <c r="F1509" s="52" t="str">
        <f aca="false">IF(L1509="","",INDEX(ポート振替表!$K$5:$K$3507,$L1509)&amp;" "&amp;INDEX(ポート振替表!$L$5:$L$3507,$L1509)&amp;"  ⇔  "&amp;INDEX(ポート振替表!$H$5:$H$3507,$L1509)&amp;" "&amp;INDEX(ポート振替表!$I$5:$I$3507,$L1509))</f>
        <v/>
      </c>
      <c r="G1509" s="57" t="s">
        <v>158</v>
      </c>
      <c r="H1509" s="32" t="str">
        <f aca="false">IF(L1509="","",INDEX(ポート振替表!$N$5:$N$3507,$L1509)&amp;"")</f>
        <v/>
      </c>
      <c r="I1509" s="32" t="str">
        <f aca="false">IF(L1509="","",INDEX(ポート振替表!$P$5:$P$3507,$L1509)&amp;"")</f>
        <v/>
      </c>
      <c r="J1509" s="60" t="str">
        <f aca="false">IF(L1509="","",INDEX(ポート振替表!$M$5:$M$3507,$L1509)&amp;"")</f>
        <v/>
      </c>
      <c r="K1509" s="52" t="str">
        <f aca="false">IF(L1509="","",E1509&amp;CHAR(10)&amp;INDEX(ポート振替表!$K$5:$K$3507,$L1509)&amp;" "&amp;INDEX(ポート振替表!$L$5:$L$3507,$L1509)&amp;CHAR(10)&amp;"⇔ "&amp;INDEX(ポート振替表!$H$5:$H$3507,$L1509)&amp;" "&amp;INDEX(ポート振替表!$I$5:$I$3507,$L1509))</f>
        <v/>
      </c>
      <c r="L1509" s="47" t="str">
        <f aca="false">IFERROR(MATCH(ROW()-4,ポート振替表!$V$5:$V$3507,0),"")</f>
        <v/>
      </c>
    </row>
    <row r="1510" customFormat="false" ht="16.4" hidden="false" customHeight="false" outlineLevel="0" collapsed="false">
      <c r="A1510" s="32" t="str">
        <f aca="false">IF(L1510="","",ROW()-4)</f>
        <v/>
      </c>
      <c r="B1510" s="58" t="str">
        <f aca="false">IF(L1510="","",IF(INDEX(ポート振替表!$W$5:$W$3507,$L1510)="","(なし)",INDEX(ポート振替表!$W$5:$W$3507,$L1510)&amp;""))</f>
        <v/>
      </c>
      <c r="C1510" s="52" t="str">
        <f aca="false">IF(L1510="","",INDEX(ポート振替表!$B$5:$B$3507,$L1510)&amp;" "&amp;INDEX(ポート振替表!$C$5:$C$3507,$L1510)&amp;"  ⇔  "&amp;INDEX(ポート振替表!$H$5:$H$3507,$L1510)&amp;" "&amp;INDEX(ポート振替表!$I$5:$I$3507,$L1510))</f>
        <v/>
      </c>
      <c r="D1510" s="57" t="s">
        <v>158</v>
      </c>
      <c r="E1510" s="59" t="str">
        <f aca="false">IF(L1510="","",IF(INDEX(ポート振替表!$O$5:$O$3507,$L1510)="","(未設定)",INDEX(ポート振替表!$O$5:$O$3507,$L1510)&amp;""))</f>
        <v/>
      </c>
      <c r="F1510" s="52" t="str">
        <f aca="false">IF(L1510="","",INDEX(ポート振替表!$K$5:$K$3507,$L1510)&amp;" "&amp;INDEX(ポート振替表!$L$5:$L$3507,$L1510)&amp;"  ⇔  "&amp;INDEX(ポート振替表!$H$5:$H$3507,$L1510)&amp;" "&amp;INDEX(ポート振替表!$I$5:$I$3507,$L1510))</f>
        <v/>
      </c>
      <c r="G1510" s="57" t="s">
        <v>158</v>
      </c>
      <c r="H1510" s="32" t="str">
        <f aca="false">IF(L1510="","",INDEX(ポート振替表!$N$5:$N$3507,$L1510)&amp;"")</f>
        <v/>
      </c>
      <c r="I1510" s="32" t="str">
        <f aca="false">IF(L1510="","",INDEX(ポート振替表!$P$5:$P$3507,$L1510)&amp;"")</f>
        <v/>
      </c>
      <c r="J1510" s="60" t="str">
        <f aca="false">IF(L1510="","",INDEX(ポート振替表!$M$5:$M$3507,$L1510)&amp;"")</f>
        <v/>
      </c>
      <c r="K1510" s="52" t="str">
        <f aca="false">IF(L1510="","",E1510&amp;CHAR(10)&amp;INDEX(ポート振替表!$K$5:$K$3507,$L1510)&amp;" "&amp;INDEX(ポート振替表!$L$5:$L$3507,$L1510)&amp;CHAR(10)&amp;"⇔ "&amp;INDEX(ポート振替表!$H$5:$H$3507,$L1510)&amp;" "&amp;INDEX(ポート振替表!$I$5:$I$3507,$L1510))</f>
        <v/>
      </c>
      <c r="L1510" s="47" t="str">
        <f aca="false">IFERROR(MATCH(ROW()-4,ポート振替表!$V$5:$V$3507,0),"")</f>
        <v/>
      </c>
    </row>
    <row r="1511" customFormat="false" ht="16.4" hidden="false" customHeight="false" outlineLevel="0" collapsed="false">
      <c r="A1511" s="32" t="str">
        <f aca="false">IF(L1511="","",ROW()-4)</f>
        <v/>
      </c>
      <c r="B1511" s="58" t="str">
        <f aca="false">IF(L1511="","",IF(INDEX(ポート振替表!$W$5:$W$3507,$L1511)="","(なし)",INDEX(ポート振替表!$W$5:$W$3507,$L1511)&amp;""))</f>
        <v/>
      </c>
      <c r="C1511" s="52" t="str">
        <f aca="false">IF(L1511="","",INDEX(ポート振替表!$B$5:$B$3507,$L1511)&amp;" "&amp;INDEX(ポート振替表!$C$5:$C$3507,$L1511)&amp;"  ⇔  "&amp;INDEX(ポート振替表!$H$5:$H$3507,$L1511)&amp;" "&amp;INDEX(ポート振替表!$I$5:$I$3507,$L1511))</f>
        <v/>
      </c>
      <c r="D1511" s="57" t="s">
        <v>158</v>
      </c>
      <c r="E1511" s="59" t="str">
        <f aca="false">IF(L1511="","",IF(INDEX(ポート振替表!$O$5:$O$3507,$L1511)="","(未設定)",INDEX(ポート振替表!$O$5:$O$3507,$L1511)&amp;""))</f>
        <v/>
      </c>
      <c r="F1511" s="52" t="str">
        <f aca="false">IF(L1511="","",INDEX(ポート振替表!$K$5:$K$3507,$L1511)&amp;" "&amp;INDEX(ポート振替表!$L$5:$L$3507,$L1511)&amp;"  ⇔  "&amp;INDEX(ポート振替表!$H$5:$H$3507,$L1511)&amp;" "&amp;INDEX(ポート振替表!$I$5:$I$3507,$L1511))</f>
        <v/>
      </c>
      <c r="G1511" s="57" t="s">
        <v>158</v>
      </c>
      <c r="H1511" s="32" t="str">
        <f aca="false">IF(L1511="","",INDEX(ポート振替表!$N$5:$N$3507,$L1511)&amp;"")</f>
        <v/>
      </c>
      <c r="I1511" s="32" t="str">
        <f aca="false">IF(L1511="","",INDEX(ポート振替表!$P$5:$P$3507,$L1511)&amp;"")</f>
        <v/>
      </c>
      <c r="J1511" s="60" t="str">
        <f aca="false">IF(L1511="","",INDEX(ポート振替表!$M$5:$M$3507,$L1511)&amp;"")</f>
        <v/>
      </c>
      <c r="K1511" s="52" t="str">
        <f aca="false">IF(L1511="","",E1511&amp;CHAR(10)&amp;INDEX(ポート振替表!$K$5:$K$3507,$L1511)&amp;" "&amp;INDEX(ポート振替表!$L$5:$L$3507,$L1511)&amp;CHAR(10)&amp;"⇔ "&amp;INDEX(ポート振替表!$H$5:$H$3507,$L1511)&amp;" "&amp;INDEX(ポート振替表!$I$5:$I$3507,$L1511))</f>
        <v/>
      </c>
      <c r="L1511" s="47" t="str">
        <f aca="false">IFERROR(MATCH(ROW()-4,ポート振替表!$V$5:$V$3507,0),"")</f>
        <v/>
      </c>
    </row>
    <row r="1512" customFormat="false" ht="16.4" hidden="false" customHeight="false" outlineLevel="0" collapsed="false">
      <c r="A1512" s="32" t="str">
        <f aca="false">IF(L1512="","",ROW()-4)</f>
        <v/>
      </c>
      <c r="B1512" s="58" t="str">
        <f aca="false">IF(L1512="","",IF(INDEX(ポート振替表!$W$5:$W$3507,$L1512)="","(なし)",INDEX(ポート振替表!$W$5:$W$3507,$L1512)&amp;""))</f>
        <v/>
      </c>
      <c r="C1512" s="52" t="str">
        <f aca="false">IF(L1512="","",INDEX(ポート振替表!$B$5:$B$3507,$L1512)&amp;" "&amp;INDEX(ポート振替表!$C$5:$C$3507,$L1512)&amp;"  ⇔  "&amp;INDEX(ポート振替表!$H$5:$H$3507,$L1512)&amp;" "&amp;INDEX(ポート振替表!$I$5:$I$3507,$L1512))</f>
        <v/>
      </c>
      <c r="D1512" s="57" t="s">
        <v>158</v>
      </c>
      <c r="E1512" s="59" t="str">
        <f aca="false">IF(L1512="","",IF(INDEX(ポート振替表!$O$5:$O$3507,$L1512)="","(未設定)",INDEX(ポート振替表!$O$5:$O$3507,$L1512)&amp;""))</f>
        <v/>
      </c>
      <c r="F1512" s="52" t="str">
        <f aca="false">IF(L1512="","",INDEX(ポート振替表!$K$5:$K$3507,$L1512)&amp;" "&amp;INDEX(ポート振替表!$L$5:$L$3507,$L1512)&amp;"  ⇔  "&amp;INDEX(ポート振替表!$H$5:$H$3507,$L1512)&amp;" "&amp;INDEX(ポート振替表!$I$5:$I$3507,$L1512))</f>
        <v/>
      </c>
      <c r="G1512" s="57" t="s">
        <v>158</v>
      </c>
      <c r="H1512" s="32" t="str">
        <f aca="false">IF(L1512="","",INDEX(ポート振替表!$N$5:$N$3507,$L1512)&amp;"")</f>
        <v/>
      </c>
      <c r="I1512" s="32" t="str">
        <f aca="false">IF(L1512="","",INDEX(ポート振替表!$P$5:$P$3507,$L1512)&amp;"")</f>
        <v/>
      </c>
      <c r="J1512" s="60" t="str">
        <f aca="false">IF(L1512="","",INDEX(ポート振替表!$M$5:$M$3507,$L1512)&amp;"")</f>
        <v/>
      </c>
      <c r="K1512" s="52" t="str">
        <f aca="false">IF(L1512="","",E1512&amp;CHAR(10)&amp;INDEX(ポート振替表!$K$5:$K$3507,$L1512)&amp;" "&amp;INDEX(ポート振替表!$L$5:$L$3507,$L1512)&amp;CHAR(10)&amp;"⇔ "&amp;INDEX(ポート振替表!$H$5:$H$3507,$L1512)&amp;" "&amp;INDEX(ポート振替表!$I$5:$I$3507,$L1512))</f>
        <v/>
      </c>
      <c r="L1512" s="47" t="str">
        <f aca="false">IFERROR(MATCH(ROW()-4,ポート振替表!$V$5:$V$3507,0),"")</f>
        <v/>
      </c>
    </row>
    <row r="1513" customFormat="false" ht="16.4" hidden="false" customHeight="false" outlineLevel="0" collapsed="false">
      <c r="A1513" s="32" t="str">
        <f aca="false">IF(L1513="","",ROW()-4)</f>
        <v/>
      </c>
      <c r="B1513" s="58" t="str">
        <f aca="false">IF(L1513="","",IF(INDEX(ポート振替表!$W$5:$W$3507,$L1513)="","(なし)",INDEX(ポート振替表!$W$5:$W$3507,$L1513)&amp;""))</f>
        <v/>
      </c>
      <c r="C1513" s="52" t="str">
        <f aca="false">IF(L1513="","",INDEX(ポート振替表!$B$5:$B$3507,$L1513)&amp;" "&amp;INDEX(ポート振替表!$C$5:$C$3507,$L1513)&amp;"  ⇔  "&amp;INDEX(ポート振替表!$H$5:$H$3507,$L1513)&amp;" "&amp;INDEX(ポート振替表!$I$5:$I$3507,$L1513))</f>
        <v/>
      </c>
      <c r="D1513" s="57" t="s">
        <v>158</v>
      </c>
      <c r="E1513" s="59" t="str">
        <f aca="false">IF(L1513="","",IF(INDEX(ポート振替表!$O$5:$O$3507,$L1513)="","(未設定)",INDEX(ポート振替表!$O$5:$O$3507,$L1513)&amp;""))</f>
        <v/>
      </c>
      <c r="F1513" s="52" t="str">
        <f aca="false">IF(L1513="","",INDEX(ポート振替表!$K$5:$K$3507,$L1513)&amp;" "&amp;INDEX(ポート振替表!$L$5:$L$3507,$L1513)&amp;"  ⇔  "&amp;INDEX(ポート振替表!$H$5:$H$3507,$L1513)&amp;" "&amp;INDEX(ポート振替表!$I$5:$I$3507,$L1513))</f>
        <v/>
      </c>
      <c r="G1513" s="57" t="s">
        <v>158</v>
      </c>
      <c r="H1513" s="32" t="str">
        <f aca="false">IF(L1513="","",INDEX(ポート振替表!$N$5:$N$3507,$L1513)&amp;"")</f>
        <v/>
      </c>
      <c r="I1513" s="32" t="str">
        <f aca="false">IF(L1513="","",INDEX(ポート振替表!$P$5:$P$3507,$L1513)&amp;"")</f>
        <v/>
      </c>
      <c r="J1513" s="60" t="str">
        <f aca="false">IF(L1513="","",INDEX(ポート振替表!$M$5:$M$3507,$L1513)&amp;"")</f>
        <v/>
      </c>
      <c r="K1513" s="52" t="str">
        <f aca="false">IF(L1513="","",E1513&amp;CHAR(10)&amp;INDEX(ポート振替表!$K$5:$K$3507,$L1513)&amp;" "&amp;INDEX(ポート振替表!$L$5:$L$3507,$L1513)&amp;CHAR(10)&amp;"⇔ "&amp;INDEX(ポート振替表!$H$5:$H$3507,$L1513)&amp;" "&amp;INDEX(ポート振替表!$I$5:$I$3507,$L1513))</f>
        <v/>
      </c>
      <c r="L1513" s="47" t="str">
        <f aca="false">IFERROR(MATCH(ROW()-4,ポート振替表!$V$5:$V$3507,0),"")</f>
        <v/>
      </c>
    </row>
    <row r="1514" customFormat="false" ht="16.4" hidden="false" customHeight="false" outlineLevel="0" collapsed="false">
      <c r="A1514" s="32" t="str">
        <f aca="false">IF(L1514="","",ROW()-4)</f>
        <v/>
      </c>
      <c r="B1514" s="58" t="str">
        <f aca="false">IF(L1514="","",IF(INDEX(ポート振替表!$W$5:$W$3507,$L1514)="","(なし)",INDEX(ポート振替表!$W$5:$W$3507,$L1514)&amp;""))</f>
        <v/>
      </c>
      <c r="C1514" s="52" t="str">
        <f aca="false">IF(L1514="","",INDEX(ポート振替表!$B$5:$B$3507,$L1514)&amp;" "&amp;INDEX(ポート振替表!$C$5:$C$3507,$L1514)&amp;"  ⇔  "&amp;INDEX(ポート振替表!$H$5:$H$3507,$L1514)&amp;" "&amp;INDEX(ポート振替表!$I$5:$I$3507,$L1514))</f>
        <v/>
      </c>
      <c r="D1514" s="57" t="s">
        <v>158</v>
      </c>
      <c r="E1514" s="59" t="str">
        <f aca="false">IF(L1514="","",IF(INDEX(ポート振替表!$O$5:$O$3507,$L1514)="","(未設定)",INDEX(ポート振替表!$O$5:$O$3507,$L1514)&amp;""))</f>
        <v/>
      </c>
      <c r="F1514" s="52" t="str">
        <f aca="false">IF(L1514="","",INDEX(ポート振替表!$K$5:$K$3507,$L1514)&amp;" "&amp;INDEX(ポート振替表!$L$5:$L$3507,$L1514)&amp;"  ⇔  "&amp;INDEX(ポート振替表!$H$5:$H$3507,$L1514)&amp;" "&amp;INDEX(ポート振替表!$I$5:$I$3507,$L1514))</f>
        <v/>
      </c>
      <c r="G1514" s="57" t="s">
        <v>158</v>
      </c>
      <c r="H1514" s="32" t="str">
        <f aca="false">IF(L1514="","",INDEX(ポート振替表!$N$5:$N$3507,$L1514)&amp;"")</f>
        <v/>
      </c>
      <c r="I1514" s="32" t="str">
        <f aca="false">IF(L1514="","",INDEX(ポート振替表!$P$5:$P$3507,$L1514)&amp;"")</f>
        <v/>
      </c>
      <c r="J1514" s="60" t="str">
        <f aca="false">IF(L1514="","",INDEX(ポート振替表!$M$5:$M$3507,$L1514)&amp;"")</f>
        <v/>
      </c>
      <c r="K1514" s="52" t="str">
        <f aca="false">IF(L1514="","",E1514&amp;CHAR(10)&amp;INDEX(ポート振替表!$K$5:$K$3507,$L1514)&amp;" "&amp;INDEX(ポート振替表!$L$5:$L$3507,$L1514)&amp;CHAR(10)&amp;"⇔ "&amp;INDEX(ポート振替表!$H$5:$H$3507,$L1514)&amp;" "&amp;INDEX(ポート振替表!$I$5:$I$3507,$L1514))</f>
        <v/>
      </c>
      <c r="L1514" s="47" t="str">
        <f aca="false">IFERROR(MATCH(ROW()-4,ポート振替表!$V$5:$V$3507,0),"")</f>
        <v/>
      </c>
    </row>
    <row r="1515" customFormat="false" ht="16.4" hidden="false" customHeight="false" outlineLevel="0" collapsed="false">
      <c r="A1515" s="32" t="str">
        <f aca="false">IF(L1515="","",ROW()-4)</f>
        <v/>
      </c>
      <c r="B1515" s="58" t="str">
        <f aca="false">IF(L1515="","",IF(INDEX(ポート振替表!$W$5:$W$3507,$L1515)="","(なし)",INDEX(ポート振替表!$W$5:$W$3507,$L1515)&amp;""))</f>
        <v/>
      </c>
      <c r="C1515" s="52" t="str">
        <f aca="false">IF(L1515="","",INDEX(ポート振替表!$B$5:$B$3507,$L1515)&amp;" "&amp;INDEX(ポート振替表!$C$5:$C$3507,$L1515)&amp;"  ⇔  "&amp;INDEX(ポート振替表!$H$5:$H$3507,$L1515)&amp;" "&amp;INDEX(ポート振替表!$I$5:$I$3507,$L1515))</f>
        <v/>
      </c>
      <c r="D1515" s="57" t="s">
        <v>158</v>
      </c>
      <c r="E1515" s="59" t="str">
        <f aca="false">IF(L1515="","",IF(INDEX(ポート振替表!$O$5:$O$3507,$L1515)="","(未設定)",INDEX(ポート振替表!$O$5:$O$3507,$L1515)&amp;""))</f>
        <v/>
      </c>
      <c r="F1515" s="52" t="str">
        <f aca="false">IF(L1515="","",INDEX(ポート振替表!$K$5:$K$3507,$L1515)&amp;" "&amp;INDEX(ポート振替表!$L$5:$L$3507,$L1515)&amp;"  ⇔  "&amp;INDEX(ポート振替表!$H$5:$H$3507,$L1515)&amp;" "&amp;INDEX(ポート振替表!$I$5:$I$3507,$L1515))</f>
        <v/>
      </c>
      <c r="G1515" s="57" t="s">
        <v>158</v>
      </c>
      <c r="H1515" s="32" t="str">
        <f aca="false">IF(L1515="","",INDEX(ポート振替表!$N$5:$N$3507,$L1515)&amp;"")</f>
        <v/>
      </c>
      <c r="I1515" s="32" t="str">
        <f aca="false">IF(L1515="","",INDEX(ポート振替表!$P$5:$P$3507,$L1515)&amp;"")</f>
        <v/>
      </c>
      <c r="J1515" s="60" t="str">
        <f aca="false">IF(L1515="","",INDEX(ポート振替表!$M$5:$M$3507,$L1515)&amp;"")</f>
        <v/>
      </c>
      <c r="K1515" s="52" t="str">
        <f aca="false">IF(L1515="","",E1515&amp;CHAR(10)&amp;INDEX(ポート振替表!$K$5:$K$3507,$L1515)&amp;" "&amp;INDEX(ポート振替表!$L$5:$L$3507,$L1515)&amp;CHAR(10)&amp;"⇔ "&amp;INDEX(ポート振替表!$H$5:$H$3507,$L1515)&amp;" "&amp;INDEX(ポート振替表!$I$5:$I$3507,$L1515))</f>
        <v/>
      </c>
      <c r="L1515" s="47" t="str">
        <f aca="false">IFERROR(MATCH(ROW()-4,ポート振替表!$V$5:$V$3507,0),"")</f>
        <v/>
      </c>
    </row>
    <row r="1516" customFormat="false" ht="16.4" hidden="false" customHeight="false" outlineLevel="0" collapsed="false">
      <c r="A1516" s="32" t="str">
        <f aca="false">IF(L1516="","",ROW()-4)</f>
        <v/>
      </c>
      <c r="B1516" s="58" t="str">
        <f aca="false">IF(L1516="","",IF(INDEX(ポート振替表!$W$5:$W$3507,$L1516)="","(なし)",INDEX(ポート振替表!$W$5:$W$3507,$L1516)&amp;""))</f>
        <v/>
      </c>
      <c r="C1516" s="52" t="str">
        <f aca="false">IF(L1516="","",INDEX(ポート振替表!$B$5:$B$3507,$L1516)&amp;" "&amp;INDEX(ポート振替表!$C$5:$C$3507,$L1516)&amp;"  ⇔  "&amp;INDEX(ポート振替表!$H$5:$H$3507,$L1516)&amp;" "&amp;INDEX(ポート振替表!$I$5:$I$3507,$L1516))</f>
        <v/>
      </c>
      <c r="D1516" s="57" t="s">
        <v>158</v>
      </c>
      <c r="E1516" s="59" t="str">
        <f aca="false">IF(L1516="","",IF(INDEX(ポート振替表!$O$5:$O$3507,$L1516)="","(未設定)",INDEX(ポート振替表!$O$5:$O$3507,$L1516)&amp;""))</f>
        <v/>
      </c>
      <c r="F1516" s="52" t="str">
        <f aca="false">IF(L1516="","",INDEX(ポート振替表!$K$5:$K$3507,$L1516)&amp;" "&amp;INDEX(ポート振替表!$L$5:$L$3507,$L1516)&amp;"  ⇔  "&amp;INDEX(ポート振替表!$H$5:$H$3507,$L1516)&amp;" "&amp;INDEX(ポート振替表!$I$5:$I$3507,$L1516))</f>
        <v/>
      </c>
      <c r="G1516" s="57" t="s">
        <v>158</v>
      </c>
      <c r="H1516" s="32" t="str">
        <f aca="false">IF(L1516="","",INDEX(ポート振替表!$N$5:$N$3507,$L1516)&amp;"")</f>
        <v/>
      </c>
      <c r="I1516" s="32" t="str">
        <f aca="false">IF(L1516="","",INDEX(ポート振替表!$P$5:$P$3507,$L1516)&amp;"")</f>
        <v/>
      </c>
      <c r="J1516" s="60" t="str">
        <f aca="false">IF(L1516="","",INDEX(ポート振替表!$M$5:$M$3507,$L1516)&amp;"")</f>
        <v/>
      </c>
      <c r="K1516" s="52" t="str">
        <f aca="false">IF(L1516="","",E1516&amp;CHAR(10)&amp;INDEX(ポート振替表!$K$5:$K$3507,$L1516)&amp;" "&amp;INDEX(ポート振替表!$L$5:$L$3507,$L1516)&amp;CHAR(10)&amp;"⇔ "&amp;INDEX(ポート振替表!$H$5:$H$3507,$L1516)&amp;" "&amp;INDEX(ポート振替表!$I$5:$I$3507,$L1516))</f>
        <v/>
      </c>
      <c r="L1516" s="47" t="str">
        <f aca="false">IFERROR(MATCH(ROW()-4,ポート振替表!$V$5:$V$3507,0),"")</f>
        <v/>
      </c>
    </row>
    <row r="1517" customFormat="false" ht="16.4" hidden="false" customHeight="false" outlineLevel="0" collapsed="false">
      <c r="A1517" s="32" t="str">
        <f aca="false">IF(L1517="","",ROW()-4)</f>
        <v/>
      </c>
      <c r="B1517" s="58" t="str">
        <f aca="false">IF(L1517="","",IF(INDEX(ポート振替表!$W$5:$W$3507,$L1517)="","(なし)",INDEX(ポート振替表!$W$5:$W$3507,$L1517)&amp;""))</f>
        <v/>
      </c>
      <c r="C1517" s="52" t="str">
        <f aca="false">IF(L1517="","",INDEX(ポート振替表!$B$5:$B$3507,$L1517)&amp;" "&amp;INDEX(ポート振替表!$C$5:$C$3507,$L1517)&amp;"  ⇔  "&amp;INDEX(ポート振替表!$H$5:$H$3507,$L1517)&amp;" "&amp;INDEX(ポート振替表!$I$5:$I$3507,$L1517))</f>
        <v/>
      </c>
      <c r="D1517" s="57" t="s">
        <v>158</v>
      </c>
      <c r="E1517" s="59" t="str">
        <f aca="false">IF(L1517="","",IF(INDEX(ポート振替表!$O$5:$O$3507,$L1517)="","(未設定)",INDEX(ポート振替表!$O$5:$O$3507,$L1517)&amp;""))</f>
        <v/>
      </c>
      <c r="F1517" s="52" t="str">
        <f aca="false">IF(L1517="","",INDEX(ポート振替表!$K$5:$K$3507,$L1517)&amp;" "&amp;INDEX(ポート振替表!$L$5:$L$3507,$L1517)&amp;"  ⇔  "&amp;INDEX(ポート振替表!$H$5:$H$3507,$L1517)&amp;" "&amp;INDEX(ポート振替表!$I$5:$I$3507,$L1517))</f>
        <v/>
      </c>
      <c r="G1517" s="57" t="s">
        <v>158</v>
      </c>
      <c r="H1517" s="32" t="str">
        <f aca="false">IF(L1517="","",INDEX(ポート振替表!$N$5:$N$3507,$L1517)&amp;"")</f>
        <v/>
      </c>
      <c r="I1517" s="32" t="str">
        <f aca="false">IF(L1517="","",INDEX(ポート振替表!$P$5:$P$3507,$L1517)&amp;"")</f>
        <v/>
      </c>
      <c r="J1517" s="60" t="str">
        <f aca="false">IF(L1517="","",INDEX(ポート振替表!$M$5:$M$3507,$L1517)&amp;"")</f>
        <v/>
      </c>
      <c r="K1517" s="52" t="str">
        <f aca="false">IF(L1517="","",E1517&amp;CHAR(10)&amp;INDEX(ポート振替表!$K$5:$K$3507,$L1517)&amp;" "&amp;INDEX(ポート振替表!$L$5:$L$3507,$L1517)&amp;CHAR(10)&amp;"⇔ "&amp;INDEX(ポート振替表!$H$5:$H$3507,$L1517)&amp;" "&amp;INDEX(ポート振替表!$I$5:$I$3507,$L1517))</f>
        <v/>
      </c>
      <c r="L1517" s="47" t="str">
        <f aca="false">IFERROR(MATCH(ROW()-4,ポート振替表!$V$5:$V$3507,0),"")</f>
        <v/>
      </c>
    </row>
    <row r="1518" customFormat="false" ht="16.4" hidden="false" customHeight="false" outlineLevel="0" collapsed="false">
      <c r="A1518" s="32" t="str">
        <f aca="false">IF(L1518="","",ROW()-4)</f>
        <v/>
      </c>
      <c r="B1518" s="58" t="str">
        <f aca="false">IF(L1518="","",IF(INDEX(ポート振替表!$W$5:$W$3507,$L1518)="","(なし)",INDEX(ポート振替表!$W$5:$W$3507,$L1518)&amp;""))</f>
        <v/>
      </c>
      <c r="C1518" s="52" t="str">
        <f aca="false">IF(L1518="","",INDEX(ポート振替表!$B$5:$B$3507,$L1518)&amp;" "&amp;INDEX(ポート振替表!$C$5:$C$3507,$L1518)&amp;"  ⇔  "&amp;INDEX(ポート振替表!$H$5:$H$3507,$L1518)&amp;" "&amp;INDEX(ポート振替表!$I$5:$I$3507,$L1518))</f>
        <v/>
      </c>
      <c r="D1518" s="57" t="s">
        <v>158</v>
      </c>
      <c r="E1518" s="59" t="str">
        <f aca="false">IF(L1518="","",IF(INDEX(ポート振替表!$O$5:$O$3507,$L1518)="","(未設定)",INDEX(ポート振替表!$O$5:$O$3507,$L1518)&amp;""))</f>
        <v/>
      </c>
      <c r="F1518" s="52" t="str">
        <f aca="false">IF(L1518="","",INDEX(ポート振替表!$K$5:$K$3507,$L1518)&amp;" "&amp;INDEX(ポート振替表!$L$5:$L$3507,$L1518)&amp;"  ⇔  "&amp;INDEX(ポート振替表!$H$5:$H$3507,$L1518)&amp;" "&amp;INDEX(ポート振替表!$I$5:$I$3507,$L1518))</f>
        <v/>
      </c>
      <c r="G1518" s="57" t="s">
        <v>158</v>
      </c>
      <c r="H1518" s="32" t="str">
        <f aca="false">IF(L1518="","",INDEX(ポート振替表!$N$5:$N$3507,$L1518)&amp;"")</f>
        <v/>
      </c>
      <c r="I1518" s="32" t="str">
        <f aca="false">IF(L1518="","",INDEX(ポート振替表!$P$5:$P$3507,$L1518)&amp;"")</f>
        <v/>
      </c>
      <c r="J1518" s="60" t="str">
        <f aca="false">IF(L1518="","",INDEX(ポート振替表!$M$5:$M$3507,$L1518)&amp;"")</f>
        <v/>
      </c>
      <c r="K1518" s="52" t="str">
        <f aca="false">IF(L1518="","",E1518&amp;CHAR(10)&amp;INDEX(ポート振替表!$K$5:$K$3507,$L1518)&amp;" "&amp;INDEX(ポート振替表!$L$5:$L$3507,$L1518)&amp;CHAR(10)&amp;"⇔ "&amp;INDEX(ポート振替表!$H$5:$H$3507,$L1518)&amp;" "&amp;INDEX(ポート振替表!$I$5:$I$3507,$L1518))</f>
        <v/>
      </c>
      <c r="L1518" s="47" t="str">
        <f aca="false">IFERROR(MATCH(ROW()-4,ポート振替表!$V$5:$V$3507,0),"")</f>
        <v/>
      </c>
    </row>
    <row r="1519" customFormat="false" ht="16.4" hidden="false" customHeight="false" outlineLevel="0" collapsed="false">
      <c r="A1519" s="32" t="str">
        <f aca="false">IF(L1519="","",ROW()-4)</f>
        <v/>
      </c>
      <c r="B1519" s="58" t="str">
        <f aca="false">IF(L1519="","",IF(INDEX(ポート振替表!$W$5:$W$3507,$L1519)="","(なし)",INDEX(ポート振替表!$W$5:$W$3507,$L1519)&amp;""))</f>
        <v/>
      </c>
      <c r="C1519" s="52" t="str">
        <f aca="false">IF(L1519="","",INDEX(ポート振替表!$B$5:$B$3507,$L1519)&amp;" "&amp;INDEX(ポート振替表!$C$5:$C$3507,$L1519)&amp;"  ⇔  "&amp;INDEX(ポート振替表!$H$5:$H$3507,$L1519)&amp;" "&amp;INDEX(ポート振替表!$I$5:$I$3507,$L1519))</f>
        <v/>
      </c>
      <c r="D1519" s="57" t="s">
        <v>158</v>
      </c>
      <c r="E1519" s="59" t="str">
        <f aca="false">IF(L1519="","",IF(INDEX(ポート振替表!$O$5:$O$3507,$L1519)="","(未設定)",INDEX(ポート振替表!$O$5:$O$3507,$L1519)&amp;""))</f>
        <v/>
      </c>
      <c r="F1519" s="52" t="str">
        <f aca="false">IF(L1519="","",INDEX(ポート振替表!$K$5:$K$3507,$L1519)&amp;" "&amp;INDEX(ポート振替表!$L$5:$L$3507,$L1519)&amp;"  ⇔  "&amp;INDEX(ポート振替表!$H$5:$H$3507,$L1519)&amp;" "&amp;INDEX(ポート振替表!$I$5:$I$3507,$L1519))</f>
        <v/>
      </c>
      <c r="G1519" s="57" t="s">
        <v>158</v>
      </c>
      <c r="H1519" s="32" t="str">
        <f aca="false">IF(L1519="","",INDEX(ポート振替表!$N$5:$N$3507,$L1519)&amp;"")</f>
        <v/>
      </c>
      <c r="I1519" s="32" t="str">
        <f aca="false">IF(L1519="","",INDEX(ポート振替表!$P$5:$P$3507,$L1519)&amp;"")</f>
        <v/>
      </c>
      <c r="J1519" s="60" t="str">
        <f aca="false">IF(L1519="","",INDEX(ポート振替表!$M$5:$M$3507,$L1519)&amp;"")</f>
        <v/>
      </c>
      <c r="K1519" s="52" t="str">
        <f aca="false">IF(L1519="","",E1519&amp;CHAR(10)&amp;INDEX(ポート振替表!$K$5:$K$3507,$L1519)&amp;" "&amp;INDEX(ポート振替表!$L$5:$L$3507,$L1519)&amp;CHAR(10)&amp;"⇔ "&amp;INDEX(ポート振替表!$H$5:$H$3507,$L1519)&amp;" "&amp;INDEX(ポート振替表!$I$5:$I$3507,$L1519))</f>
        <v/>
      </c>
      <c r="L1519" s="47" t="str">
        <f aca="false">IFERROR(MATCH(ROW()-4,ポート振替表!$V$5:$V$3507,0),"")</f>
        <v/>
      </c>
    </row>
    <row r="1520" customFormat="false" ht="16.4" hidden="false" customHeight="false" outlineLevel="0" collapsed="false">
      <c r="A1520" s="32" t="str">
        <f aca="false">IF(L1520="","",ROW()-4)</f>
        <v/>
      </c>
      <c r="B1520" s="58" t="str">
        <f aca="false">IF(L1520="","",IF(INDEX(ポート振替表!$W$5:$W$3507,$L1520)="","(なし)",INDEX(ポート振替表!$W$5:$W$3507,$L1520)&amp;""))</f>
        <v/>
      </c>
      <c r="C1520" s="52" t="str">
        <f aca="false">IF(L1520="","",INDEX(ポート振替表!$B$5:$B$3507,$L1520)&amp;" "&amp;INDEX(ポート振替表!$C$5:$C$3507,$L1520)&amp;"  ⇔  "&amp;INDEX(ポート振替表!$H$5:$H$3507,$L1520)&amp;" "&amp;INDEX(ポート振替表!$I$5:$I$3507,$L1520))</f>
        <v/>
      </c>
      <c r="D1520" s="57" t="s">
        <v>158</v>
      </c>
      <c r="E1520" s="59" t="str">
        <f aca="false">IF(L1520="","",IF(INDEX(ポート振替表!$O$5:$O$3507,$L1520)="","(未設定)",INDEX(ポート振替表!$O$5:$O$3507,$L1520)&amp;""))</f>
        <v/>
      </c>
      <c r="F1520" s="52" t="str">
        <f aca="false">IF(L1520="","",INDEX(ポート振替表!$K$5:$K$3507,$L1520)&amp;" "&amp;INDEX(ポート振替表!$L$5:$L$3507,$L1520)&amp;"  ⇔  "&amp;INDEX(ポート振替表!$H$5:$H$3507,$L1520)&amp;" "&amp;INDEX(ポート振替表!$I$5:$I$3507,$L1520))</f>
        <v/>
      </c>
      <c r="G1520" s="57" t="s">
        <v>158</v>
      </c>
      <c r="H1520" s="32" t="str">
        <f aca="false">IF(L1520="","",INDEX(ポート振替表!$N$5:$N$3507,$L1520)&amp;"")</f>
        <v/>
      </c>
      <c r="I1520" s="32" t="str">
        <f aca="false">IF(L1520="","",INDEX(ポート振替表!$P$5:$P$3507,$L1520)&amp;"")</f>
        <v/>
      </c>
      <c r="J1520" s="60" t="str">
        <f aca="false">IF(L1520="","",INDEX(ポート振替表!$M$5:$M$3507,$L1520)&amp;"")</f>
        <v/>
      </c>
      <c r="K1520" s="52" t="str">
        <f aca="false">IF(L1520="","",E1520&amp;CHAR(10)&amp;INDEX(ポート振替表!$K$5:$K$3507,$L1520)&amp;" "&amp;INDEX(ポート振替表!$L$5:$L$3507,$L1520)&amp;CHAR(10)&amp;"⇔ "&amp;INDEX(ポート振替表!$H$5:$H$3507,$L1520)&amp;" "&amp;INDEX(ポート振替表!$I$5:$I$3507,$L1520))</f>
        <v/>
      </c>
      <c r="L1520" s="47" t="str">
        <f aca="false">IFERROR(MATCH(ROW()-4,ポート振替表!$V$5:$V$3507,0),"")</f>
        <v/>
      </c>
    </row>
    <row r="1521" customFormat="false" ht="16.4" hidden="false" customHeight="false" outlineLevel="0" collapsed="false">
      <c r="A1521" s="32" t="str">
        <f aca="false">IF(L1521="","",ROW()-4)</f>
        <v/>
      </c>
      <c r="B1521" s="58" t="str">
        <f aca="false">IF(L1521="","",IF(INDEX(ポート振替表!$W$5:$W$3507,$L1521)="","(なし)",INDEX(ポート振替表!$W$5:$W$3507,$L1521)&amp;""))</f>
        <v/>
      </c>
      <c r="C1521" s="52" t="str">
        <f aca="false">IF(L1521="","",INDEX(ポート振替表!$B$5:$B$3507,$L1521)&amp;" "&amp;INDEX(ポート振替表!$C$5:$C$3507,$L1521)&amp;"  ⇔  "&amp;INDEX(ポート振替表!$H$5:$H$3507,$L1521)&amp;" "&amp;INDEX(ポート振替表!$I$5:$I$3507,$L1521))</f>
        <v/>
      </c>
      <c r="D1521" s="57" t="s">
        <v>158</v>
      </c>
      <c r="E1521" s="59" t="str">
        <f aca="false">IF(L1521="","",IF(INDEX(ポート振替表!$O$5:$O$3507,$L1521)="","(未設定)",INDEX(ポート振替表!$O$5:$O$3507,$L1521)&amp;""))</f>
        <v/>
      </c>
      <c r="F1521" s="52" t="str">
        <f aca="false">IF(L1521="","",INDEX(ポート振替表!$K$5:$K$3507,$L1521)&amp;" "&amp;INDEX(ポート振替表!$L$5:$L$3507,$L1521)&amp;"  ⇔  "&amp;INDEX(ポート振替表!$H$5:$H$3507,$L1521)&amp;" "&amp;INDEX(ポート振替表!$I$5:$I$3507,$L1521))</f>
        <v/>
      </c>
      <c r="G1521" s="57" t="s">
        <v>158</v>
      </c>
      <c r="H1521" s="32" t="str">
        <f aca="false">IF(L1521="","",INDEX(ポート振替表!$N$5:$N$3507,$L1521)&amp;"")</f>
        <v/>
      </c>
      <c r="I1521" s="32" t="str">
        <f aca="false">IF(L1521="","",INDEX(ポート振替表!$P$5:$P$3507,$L1521)&amp;"")</f>
        <v/>
      </c>
      <c r="J1521" s="60" t="str">
        <f aca="false">IF(L1521="","",INDEX(ポート振替表!$M$5:$M$3507,$L1521)&amp;"")</f>
        <v/>
      </c>
      <c r="K1521" s="52" t="str">
        <f aca="false">IF(L1521="","",E1521&amp;CHAR(10)&amp;INDEX(ポート振替表!$K$5:$K$3507,$L1521)&amp;" "&amp;INDEX(ポート振替表!$L$5:$L$3507,$L1521)&amp;CHAR(10)&amp;"⇔ "&amp;INDEX(ポート振替表!$H$5:$H$3507,$L1521)&amp;" "&amp;INDEX(ポート振替表!$I$5:$I$3507,$L1521))</f>
        <v/>
      </c>
      <c r="L1521" s="47" t="str">
        <f aca="false">IFERROR(MATCH(ROW()-4,ポート振替表!$V$5:$V$3507,0),"")</f>
        <v/>
      </c>
    </row>
    <row r="1522" customFormat="false" ht="16.4" hidden="false" customHeight="false" outlineLevel="0" collapsed="false">
      <c r="A1522" s="32" t="str">
        <f aca="false">IF(L1522="","",ROW()-4)</f>
        <v/>
      </c>
      <c r="B1522" s="58" t="str">
        <f aca="false">IF(L1522="","",IF(INDEX(ポート振替表!$W$5:$W$3507,$L1522)="","(なし)",INDEX(ポート振替表!$W$5:$W$3507,$L1522)&amp;""))</f>
        <v/>
      </c>
      <c r="C1522" s="52" t="str">
        <f aca="false">IF(L1522="","",INDEX(ポート振替表!$B$5:$B$3507,$L1522)&amp;" "&amp;INDEX(ポート振替表!$C$5:$C$3507,$L1522)&amp;"  ⇔  "&amp;INDEX(ポート振替表!$H$5:$H$3507,$L1522)&amp;" "&amp;INDEX(ポート振替表!$I$5:$I$3507,$L1522))</f>
        <v/>
      </c>
      <c r="D1522" s="57" t="s">
        <v>158</v>
      </c>
      <c r="E1522" s="59" t="str">
        <f aca="false">IF(L1522="","",IF(INDEX(ポート振替表!$O$5:$O$3507,$L1522)="","(未設定)",INDEX(ポート振替表!$O$5:$O$3507,$L1522)&amp;""))</f>
        <v/>
      </c>
      <c r="F1522" s="52" t="str">
        <f aca="false">IF(L1522="","",INDEX(ポート振替表!$K$5:$K$3507,$L1522)&amp;" "&amp;INDEX(ポート振替表!$L$5:$L$3507,$L1522)&amp;"  ⇔  "&amp;INDEX(ポート振替表!$H$5:$H$3507,$L1522)&amp;" "&amp;INDEX(ポート振替表!$I$5:$I$3507,$L1522))</f>
        <v/>
      </c>
      <c r="G1522" s="57" t="s">
        <v>158</v>
      </c>
      <c r="H1522" s="32" t="str">
        <f aca="false">IF(L1522="","",INDEX(ポート振替表!$N$5:$N$3507,$L1522)&amp;"")</f>
        <v/>
      </c>
      <c r="I1522" s="32" t="str">
        <f aca="false">IF(L1522="","",INDEX(ポート振替表!$P$5:$P$3507,$L1522)&amp;"")</f>
        <v/>
      </c>
      <c r="J1522" s="60" t="str">
        <f aca="false">IF(L1522="","",INDEX(ポート振替表!$M$5:$M$3507,$L1522)&amp;"")</f>
        <v/>
      </c>
      <c r="K1522" s="52" t="str">
        <f aca="false">IF(L1522="","",E1522&amp;CHAR(10)&amp;INDEX(ポート振替表!$K$5:$K$3507,$L1522)&amp;" "&amp;INDEX(ポート振替表!$L$5:$L$3507,$L1522)&amp;CHAR(10)&amp;"⇔ "&amp;INDEX(ポート振替表!$H$5:$H$3507,$L1522)&amp;" "&amp;INDEX(ポート振替表!$I$5:$I$3507,$L1522))</f>
        <v/>
      </c>
      <c r="L1522" s="47" t="str">
        <f aca="false">IFERROR(MATCH(ROW()-4,ポート振替表!$V$5:$V$3507,0),"")</f>
        <v/>
      </c>
    </row>
    <row r="1523" customFormat="false" ht="16.4" hidden="false" customHeight="false" outlineLevel="0" collapsed="false">
      <c r="A1523" s="32" t="str">
        <f aca="false">IF(L1523="","",ROW()-4)</f>
        <v/>
      </c>
      <c r="B1523" s="58" t="str">
        <f aca="false">IF(L1523="","",IF(INDEX(ポート振替表!$W$5:$W$3507,$L1523)="","(なし)",INDEX(ポート振替表!$W$5:$W$3507,$L1523)&amp;""))</f>
        <v/>
      </c>
      <c r="C1523" s="52" t="str">
        <f aca="false">IF(L1523="","",INDEX(ポート振替表!$B$5:$B$3507,$L1523)&amp;" "&amp;INDEX(ポート振替表!$C$5:$C$3507,$L1523)&amp;"  ⇔  "&amp;INDEX(ポート振替表!$H$5:$H$3507,$L1523)&amp;" "&amp;INDEX(ポート振替表!$I$5:$I$3507,$L1523))</f>
        <v/>
      </c>
      <c r="D1523" s="57" t="s">
        <v>158</v>
      </c>
      <c r="E1523" s="59" t="str">
        <f aca="false">IF(L1523="","",IF(INDEX(ポート振替表!$O$5:$O$3507,$L1523)="","(未設定)",INDEX(ポート振替表!$O$5:$O$3507,$L1523)&amp;""))</f>
        <v/>
      </c>
      <c r="F1523" s="52" t="str">
        <f aca="false">IF(L1523="","",INDEX(ポート振替表!$K$5:$K$3507,$L1523)&amp;" "&amp;INDEX(ポート振替表!$L$5:$L$3507,$L1523)&amp;"  ⇔  "&amp;INDEX(ポート振替表!$H$5:$H$3507,$L1523)&amp;" "&amp;INDEX(ポート振替表!$I$5:$I$3507,$L1523))</f>
        <v/>
      </c>
      <c r="G1523" s="57" t="s">
        <v>158</v>
      </c>
      <c r="H1523" s="32" t="str">
        <f aca="false">IF(L1523="","",INDEX(ポート振替表!$N$5:$N$3507,$L1523)&amp;"")</f>
        <v/>
      </c>
      <c r="I1523" s="32" t="str">
        <f aca="false">IF(L1523="","",INDEX(ポート振替表!$P$5:$P$3507,$L1523)&amp;"")</f>
        <v/>
      </c>
      <c r="J1523" s="60" t="str">
        <f aca="false">IF(L1523="","",INDEX(ポート振替表!$M$5:$M$3507,$L1523)&amp;"")</f>
        <v/>
      </c>
      <c r="K1523" s="52" t="str">
        <f aca="false">IF(L1523="","",E1523&amp;CHAR(10)&amp;INDEX(ポート振替表!$K$5:$K$3507,$L1523)&amp;" "&amp;INDEX(ポート振替表!$L$5:$L$3507,$L1523)&amp;CHAR(10)&amp;"⇔ "&amp;INDEX(ポート振替表!$H$5:$H$3507,$L1523)&amp;" "&amp;INDEX(ポート振替表!$I$5:$I$3507,$L1523))</f>
        <v/>
      </c>
      <c r="L1523" s="47" t="str">
        <f aca="false">IFERROR(MATCH(ROW()-4,ポート振替表!$V$5:$V$3507,0),"")</f>
        <v/>
      </c>
    </row>
    <row r="1524" customFormat="false" ht="16.4" hidden="false" customHeight="false" outlineLevel="0" collapsed="false">
      <c r="A1524" s="32" t="str">
        <f aca="false">IF(L1524="","",ROW()-4)</f>
        <v/>
      </c>
      <c r="B1524" s="58" t="str">
        <f aca="false">IF(L1524="","",IF(INDEX(ポート振替表!$W$5:$W$3507,$L1524)="","(なし)",INDEX(ポート振替表!$W$5:$W$3507,$L1524)&amp;""))</f>
        <v/>
      </c>
      <c r="C1524" s="52" t="str">
        <f aca="false">IF(L1524="","",INDEX(ポート振替表!$B$5:$B$3507,$L1524)&amp;" "&amp;INDEX(ポート振替表!$C$5:$C$3507,$L1524)&amp;"  ⇔  "&amp;INDEX(ポート振替表!$H$5:$H$3507,$L1524)&amp;" "&amp;INDEX(ポート振替表!$I$5:$I$3507,$L1524))</f>
        <v/>
      </c>
      <c r="D1524" s="57" t="s">
        <v>158</v>
      </c>
      <c r="E1524" s="59" t="str">
        <f aca="false">IF(L1524="","",IF(INDEX(ポート振替表!$O$5:$O$3507,$L1524)="","(未設定)",INDEX(ポート振替表!$O$5:$O$3507,$L1524)&amp;""))</f>
        <v/>
      </c>
      <c r="F1524" s="52" t="str">
        <f aca="false">IF(L1524="","",INDEX(ポート振替表!$K$5:$K$3507,$L1524)&amp;" "&amp;INDEX(ポート振替表!$L$5:$L$3507,$L1524)&amp;"  ⇔  "&amp;INDEX(ポート振替表!$H$5:$H$3507,$L1524)&amp;" "&amp;INDEX(ポート振替表!$I$5:$I$3507,$L1524))</f>
        <v/>
      </c>
      <c r="G1524" s="57" t="s">
        <v>158</v>
      </c>
      <c r="H1524" s="32" t="str">
        <f aca="false">IF(L1524="","",INDEX(ポート振替表!$N$5:$N$3507,$L1524)&amp;"")</f>
        <v/>
      </c>
      <c r="I1524" s="32" t="str">
        <f aca="false">IF(L1524="","",INDEX(ポート振替表!$P$5:$P$3507,$L1524)&amp;"")</f>
        <v/>
      </c>
      <c r="J1524" s="60" t="str">
        <f aca="false">IF(L1524="","",INDEX(ポート振替表!$M$5:$M$3507,$L1524)&amp;"")</f>
        <v/>
      </c>
      <c r="K1524" s="52" t="str">
        <f aca="false">IF(L1524="","",E1524&amp;CHAR(10)&amp;INDEX(ポート振替表!$K$5:$K$3507,$L1524)&amp;" "&amp;INDEX(ポート振替表!$L$5:$L$3507,$L1524)&amp;CHAR(10)&amp;"⇔ "&amp;INDEX(ポート振替表!$H$5:$H$3507,$L1524)&amp;" "&amp;INDEX(ポート振替表!$I$5:$I$3507,$L1524))</f>
        <v/>
      </c>
      <c r="L1524" s="47" t="str">
        <f aca="false">IFERROR(MATCH(ROW()-4,ポート振替表!$V$5:$V$3507,0),"")</f>
        <v/>
      </c>
    </row>
    <row r="1525" customFormat="false" ht="16.4" hidden="false" customHeight="false" outlineLevel="0" collapsed="false">
      <c r="A1525" s="32" t="str">
        <f aca="false">IF(L1525="","",ROW()-4)</f>
        <v/>
      </c>
      <c r="B1525" s="58" t="str">
        <f aca="false">IF(L1525="","",IF(INDEX(ポート振替表!$W$5:$W$3507,$L1525)="","(なし)",INDEX(ポート振替表!$W$5:$W$3507,$L1525)&amp;""))</f>
        <v/>
      </c>
      <c r="C1525" s="52" t="str">
        <f aca="false">IF(L1525="","",INDEX(ポート振替表!$B$5:$B$3507,$L1525)&amp;" "&amp;INDEX(ポート振替表!$C$5:$C$3507,$L1525)&amp;"  ⇔  "&amp;INDEX(ポート振替表!$H$5:$H$3507,$L1525)&amp;" "&amp;INDEX(ポート振替表!$I$5:$I$3507,$L1525))</f>
        <v/>
      </c>
      <c r="D1525" s="57" t="s">
        <v>158</v>
      </c>
      <c r="E1525" s="59" t="str">
        <f aca="false">IF(L1525="","",IF(INDEX(ポート振替表!$O$5:$O$3507,$L1525)="","(未設定)",INDEX(ポート振替表!$O$5:$O$3507,$L1525)&amp;""))</f>
        <v/>
      </c>
      <c r="F1525" s="52" t="str">
        <f aca="false">IF(L1525="","",INDEX(ポート振替表!$K$5:$K$3507,$L1525)&amp;" "&amp;INDEX(ポート振替表!$L$5:$L$3507,$L1525)&amp;"  ⇔  "&amp;INDEX(ポート振替表!$H$5:$H$3507,$L1525)&amp;" "&amp;INDEX(ポート振替表!$I$5:$I$3507,$L1525))</f>
        <v/>
      </c>
      <c r="G1525" s="57" t="s">
        <v>158</v>
      </c>
      <c r="H1525" s="32" t="str">
        <f aca="false">IF(L1525="","",INDEX(ポート振替表!$N$5:$N$3507,$L1525)&amp;"")</f>
        <v/>
      </c>
      <c r="I1525" s="32" t="str">
        <f aca="false">IF(L1525="","",INDEX(ポート振替表!$P$5:$P$3507,$L1525)&amp;"")</f>
        <v/>
      </c>
      <c r="J1525" s="60" t="str">
        <f aca="false">IF(L1525="","",INDEX(ポート振替表!$M$5:$M$3507,$L1525)&amp;"")</f>
        <v/>
      </c>
      <c r="K1525" s="52" t="str">
        <f aca="false">IF(L1525="","",E1525&amp;CHAR(10)&amp;INDEX(ポート振替表!$K$5:$K$3507,$L1525)&amp;" "&amp;INDEX(ポート振替表!$L$5:$L$3507,$L1525)&amp;CHAR(10)&amp;"⇔ "&amp;INDEX(ポート振替表!$H$5:$H$3507,$L1525)&amp;" "&amp;INDEX(ポート振替表!$I$5:$I$3507,$L1525))</f>
        <v/>
      </c>
      <c r="L1525" s="47" t="str">
        <f aca="false">IFERROR(MATCH(ROW()-4,ポート振替表!$V$5:$V$3507,0),"")</f>
        <v/>
      </c>
    </row>
    <row r="1526" customFormat="false" ht="16.4" hidden="false" customHeight="false" outlineLevel="0" collapsed="false">
      <c r="A1526" s="32" t="str">
        <f aca="false">IF(L1526="","",ROW()-4)</f>
        <v/>
      </c>
      <c r="B1526" s="58" t="str">
        <f aca="false">IF(L1526="","",IF(INDEX(ポート振替表!$W$5:$W$3507,$L1526)="","(なし)",INDEX(ポート振替表!$W$5:$W$3507,$L1526)&amp;""))</f>
        <v/>
      </c>
      <c r="C1526" s="52" t="str">
        <f aca="false">IF(L1526="","",INDEX(ポート振替表!$B$5:$B$3507,$L1526)&amp;" "&amp;INDEX(ポート振替表!$C$5:$C$3507,$L1526)&amp;"  ⇔  "&amp;INDEX(ポート振替表!$H$5:$H$3507,$L1526)&amp;" "&amp;INDEX(ポート振替表!$I$5:$I$3507,$L1526))</f>
        <v/>
      </c>
      <c r="D1526" s="57" t="s">
        <v>158</v>
      </c>
      <c r="E1526" s="59" t="str">
        <f aca="false">IF(L1526="","",IF(INDEX(ポート振替表!$O$5:$O$3507,$L1526)="","(未設定)",INDEX(ポート振替表!$O$5:$O$3507,$L1526)&amp;""))</f>
        <v/>
      </c>
      <c r="F1526" s="52" t="str">
        <f aca="false">IF(L1526="","",INDEX(ポート振替表!$K$5:$K$3507,$L1526)&amp;" "&amp;INDEX(ポート振替表!$L$5:$L$3507,$L1526)&amp;"  ⇔  "&amp;INDEX(ポート振替表!$H$5:$H$3507,$L1526)&amp;" "&amp;INDEX(ポート振替表!$I$5:$I$3507,$L1526))</f>
        <v/>
      </c>
      <c r="G1526" s="57" t="s">
        <v>158</v>
      </c>
      <c r="H1526" s="32" t="str">
        <f aca="false">IF(L1526="","",INDEX(ポート振替表!$N$5:$N$3507,$L1526)&amp;"")</f>
        <v/>
      </c>
      <c r="I1526" s="32" t="str">
        <f aca="false">IF(L1526="","",INDEX(ポート振替表!$P$5:$P$3507,$L1526)&amp;"")</f>
        <v/>
      </c>
      <c r="J1526" s="60" t="str">
        <f aca="false">IF(L1526="","",INDEX(ポート振替表!$M$5:$M$3507,$L1526)&amp;"")</f>
        <v/>
      </c>
      <c r="K1526" s="52" t="str">
        <f aca="false">IF(L1526="","",E1526&amp;CHAR(10)&amp;INDEX(ポート振替表!$K$5:$K$3507,$L1526)&amp;" "&amp;INDEX(ポート振替表!$L$5:$L$3507,$L1526)&amp;CHAR(10)&amp;"⇔ "&amp;INDEX(ポート振替表!$H$5:$H$3507,$L1526)&amp;" "&amp;INDEX(ポート振替表!$I$5:$I$3507,$L1526))</f>
        <v/>
      </c>
      <c r="L1526" s="47" t="str">
        <f aca="false">IFERROR(MATCH(ROW()-4,ポート振替表!$V$5:$V$3507,0),"")</f>
        <v/>
      </c>
    </row>
    <row r="1527" customFormat="false" ht="16.4" hidden="false" customHeight="false" outlineLevel="0" collapsed="false">
      <c r="A1527" s="32" t="str">
        <f aca="false">IF(L1527="","",ROW()-4)</f>
        <v/>
      </c>
      <c r="B1527" s="58" t="str">
        <f aca="false">IF(L1527="","",IF(INDEX(ポート振替表!$W$5:$W$3507,$L1527)="","(なし)",INDEX(ポート振替表!$W$5:$W$3507,$L1527)&amp;""))</f>
        <v/>
      </c>
      <c r="C1527" s="52" t="str">
        <f aca="false">IF(L1527="","",INDEX(ポート振替表!$B$5:$B$3507,$L1527)&amp;" "&amp;INDEX(ポート振替表!$C$5:$C$3507,$L1527)&amp;"  ⇔  "&amp;INDEX(ポート振替表!$H$5:$H$3507,$L1527)&amp;" "&amp;INDEX(ポート振替表!$I$5:$I$3507,$L1527))</f>
        <v/>
      </c>
      <c r="D1527" s="57" t="s">
        <v>158</v>
      </c>
      <c r="E1527" s="59" t="str">
        <f aca="false">IF(L1527="","",IF(INDEX(ポート振替表!$O$5:$O$3507,$L1527)="","(未設定)",INDEX(ポート振替表!$O$5:$O$3507,$L1527)&amp;""))</f>
        <v/>
      </c>
      <c r="F1527" s="52" t="str">
        <f aca="false">IF(L1527="","",INDEX(ポート振替表!$K$5:$K$3507,$L1527)&amp;" "&amp;INDEX(ポート振替表!$L$5:$L$3507,$L1527)&amp;"  ⇔  "&amp;INDEX(ポート振替表!$H$5:$H$3507,$L1527)&amp;" "&amp;INDEX(ポート振替表!$I$5:$I$3507,$L1527))</f>
        <v/>
      </c>
      <c r="G1527" s="57" t="s">
        <v>158</v>
      </c>
      <c r="H1527" s="32" t="str">
        <f aca="false">IF(L1527="","",INDEX(ポート振替表!$N$5:$N$3507,$L1527)&amp;"")</f>
        <v/>
      </c>
      <c r="I1527" s="32" t="str">
        <f aca="false">IF(L1527="","",INDEX(ポート振替表!$P$5:$P$3507,$L1527)&amp;"")</f>
        <v/>
      </c>
      <c r="J1527" s="60" t="str">
        <f aca="false">IF(L1527="","",INDEX(ポート振替表!$M$5:$M$3507,$L1527)&amp;"")</f>
        <v/>
      </c>
      <c r="K1527" s="52" t="str">
        <f aca="false">IF(L1527="","",E1527&amp;CHAR(10)&amp;INDEX(ポート振替表!$K$5:$K$3507,$L1527)&amp;" "&amp;INDEX(ポート振替表!$L$5:$L$3507,$L1527)&amp;CHAR(10)&amp;"⇔ "&amp;INDEX(ポート振替表!$H$5:$H$3507,$L1527)&amp;" "&amp;INDEX(ポート振替表!$I$5:$I$3507,$L1527))</f>
        <v/>
      </c>
      <c r="L1527" s="47" t="str">
        <f aca="false">IFERROR(MATCH(ROW()-4,ポート振替表!$V$5:$V$3507,0),"")</f>
        <v/>
      </c>
    </row>
    <row r="1528" customFormat="false" ht="16.4" hidden="false" customHeight="false" outlineLevel="0" collapsed="false">
      <c r="A1528" s="32" t="str">
        <f aca="false">IF(L1528="","",ROW()-4)</f>
        <v/>
      </c>
      <c r="B1528" s="58" t="str">
        <f aca="false">IF(L1528="","",IF(INDEX(ポート振替表!$W$5:$W$3507,$L1528)="","(なし)",INDEX(ポート振替表!$W$5:$W$3507,$L1528)&amp;""))</f>
        <v/>
      </c>
      <c r="C1528" s="52" t="str">
        <f aca="false">IF(L1528="","",INDEX(ポート振替表!$B$5:$B$3507,$L1528)&amp;" "&amp;INDEX(ポート振替表!$C$5:$C$3507,$L1528)&amp;"  ⇔  "&amp;INDEX(ポート振替表!$H$5:$H$3507,$L1528)&amp;" "&amp;INDEX(ポート振替表!$I$5:$I$3507,$L1528))</f>
        <v/>
      </c>
      <c r="D1528" s="57" t="s">
        <v>158</v>
      </c>
      <c r="E1528" s="59" t="str">
        <f aca="false">IF(L1528="","",IF(INDEX(ポート振替表!$O$5:$O$3507,$L1528)="","(未設定)",INDEX(ポート振替表!$O$5:$O$3507,$L1528)&amp;""))</f>
        <v/>
      </c>
      <c r="F1528" s="52" t="str">
        <f aca="false">IF(L1528="","",INDEX(ポート振替表!$K$5:$K$3507,$L1528)&amp;" "&amp;INDEX(ポート振替表!$L$5:$L$3507,$L1528)&amp;"  ⇔  "&amp;INDEX(ポート振替表!$H$5:$H$3507,$L1528)&amp;" "&amp;INDEX(ポート振替表!$I$5:$I$3507,$L1528))</f>
        <v/>
      </c>
      <c r="G1528" s="57" t="s">
        <v>158</v>
      </c>
      <c r="H1528" s="32" t="str">
        <f aca="false">IF(L1528="","",INDEX(ポート振替表!$N$5:$N$3507,$L1528)&amp;"")</f>
        <v/>
      </c>
      <c r="I1528" s="32" t="str">
        <f aca="false">IF(L1528="","",INDEX(ポート振替表!$P$5:$P$3507,$L1528)&amp;"")</f>
        <v/>
      </c>
      <c r="J1528" s="60" t="str">
        <f aca="false">IF(L1528="","",INDEX(ポート振替表!$M$5:$M$3507,$L1528)&amp;"")</f>
        <v/>
      </c>
      <c r="K1528" s="52" t="str">
        <f aca="false">IF(L1528="","",E1528&amp;CHAR(10)&amp;INDEX(ポート振替表!$K$5:$K$3507,$L1528)&amp;" "&amp;INDEX(ポート振替表!$L$5:$L$3507,$L1528)&amp;CHAR(10)&amp;"⇔ "&amp;INDEX(ポート振替表!$H$5:$H$3507,$L1528)&amp;" "&amp;INDEX(ポート振替表!$I$5:$I$3507,$L1528))</f>
        <v/>
      </c>
      <c r="L1528" s="47" t="str">
        <f aca="false">IFERROR(MATCH(ROW()-4,ポート振替表!$V$5:$V$3507,0),"")</f>
        <v/>
      </c>
    </row>
    <row r="1529" customFormat="false" ht="16.4" hidden="false" customHeight="false" outlineLevel="0" collapsed="false">
      <c r="A1529" s="32" t="str">
        <f aca="false">IF(L1529="","",ROW()-4)</f>
        <v/>
      </c>
      <c r="B1529" s="58" t="str">
        <f aca="false">IF(L1529="","",IF(INDEX(ポート振替表!$W$5:$W$3507,$L1529)="","(なし)",INDEX(ポート振替表!$W$5:$W$3507,$L1529)&amp;""))</f>
        <v/>
      </c>
      <c r="C1529" s="52" t="str">
        <f aca="false">IF(L1529="","",INDEX(ポート振替表!$B$5:$B$3507,$L1529)&amp;" "&amp;INDEX(ポート振替表!$C$5:$C$3507,$L1529)&amp;"  ⇔  "&amp;INDEX(ポート振替表!$H$5:$H$3507,$L1529)&amp;" "&amp;INDEX(ポート振替表!$I$5:$I$3507,$L1529))</f>
        <v/>
      </c>
      <c r="D1529" s="57" t="s">
        <v>158</v>
      </c>
      <c r="E1529" s="59" t="str">
        <f aca="false">IF(L1529="","",IF(INDEX(ポート振替表!$O$5:$O$3507,$L1529)="","(未設定)",INDEX(ポート振替表!$O$5:$O$3507,$L1529)&amp;""))</f>
        <v/>
      </c>
      <c r="F1529" s="52" t="str">
        <f aca="false">IF(L1529="","",INDEX(ポート振替表!$K$5:$K$3507,$L1529)&amp;" "&amp;INDEX(ポート振替表!$L$5:$L$3507,$L1529)&amp;"  ⇔  "&amp;INDEX(ポート振替表!$H$5:$H$3507,$L1529)&amp;" "&amp;INDEX(ポート振替表!$I$5:$I$3507,$L1529))</f>
        <v/>
      </c>
      <c r="G1529" s="57" t="s">
        <v>158</v>
      </c>
      <c r="H1529" s="32" t="str">
        <f aca="false">IF(L1529="","",INDEX(ポート振替表!$N$5:$N$3507,$L1529)&amp;"")</f>
        <v/>
      </c>
      <c r="I1529" s="32" t="str">
        <f aca="false">IF(L1529="","",INDEX(ポート振替表!$P$5:$P$3507,$L1529)&amp;"")</f>
        <v/>
      </c>
      <c r="J1529" s="60" t="str">
        <f aca="false">IF(L1529="","",INDEX(ポート振替表!$M$5:$M$3507,$L1529)&amp;"")</f>
        <v/>
      </c>
      <c r="K1529" s="52" t="str">
        <f aca="false">IF(L1529="","",E1529&amp;CHAR(10)&amp;INDEX(ポート振替表!$K$5:$K$3507,$L1529)&amp;" "&amp;INDEX(ポート振替表!$L$5:$L$3507,$L1529)&amp;CHAR(10)&amp;"⇔ "&amp;INDEX(ポート振替表!$H$5:$H$3507,$L1529)&amp;" "&amp;INDEX(ポート振替表!$I$5:$I$3507,$L1529))</f>
        <v/>
      </c>
      <c r="L1529" s="47" t="str">
        <f aca="false">IFERROR(MATCH(ROW()-4,ポート振替表!$V$5:$V$3507,0),"")</f>
        <v/>
      </c>
    </row>
    <row r="1530" customFormat="false" ht="16.4" hidden="false" customHeight="false" outlineLevel="0" collapsed="false">
      <c r="A1530" s="32" t="str">
        <f aca="false">IF(L1530="","",ROW()-4)</f>
        <v/>
      </c>
      <c r="B1530" s="58" t="str">
        <f aca="false">IF(L1530="","",IF(INDEX(ポート振替表!$W$5:$W$3507,$L1530)="","(なし)",INDEX(ポート振替表!$W$5:$W$3507,$L1530)&amp;""))</f>
        <v/>
      </c>
      <c r="C1530" s="52" t="str">
        <f aca="false">IF(L1530="","",INDEX(ポート振替表!$B$5:$B$3507,$L1530)&amp;" "&amp;INDEX(ポート振替表!$C$5:$C$3507,$L1530)&amp;"  ⇔  "&amp;INDEX(ポート振替表!$H$5:$H$3507,$L1530)&amp;" "&amp;INDEX(ポート振替表!$I$5:$I$3507,$L1530))</f>
        <v/>
      </c>
      <c r="D1530" s="57" t="s">
        <v>158</v>
      </c>
      <c r="E1530" s="59" t="str">
        <f aca="false">IF(L1530="","",IF(INDEX(ポート振替表!$O$5:$O$3507,$L1530)="","(未設定)",INDEX(ポート振替表!$O$5:$O$3507,$L1530)&amp;""))</f>
        <v/>
      </c>
      <c r="F1530" s="52" t="str">
        <f aca="false">IF(L1530="","",INDEX(ポート振替表!$K$5:$K$3507,$L1530)&amp;" "&amp;INDEX(ポート振替表!$L$5:$L$3507,$L1530)&amp;"  ⇔  "&amp;INDEX(ポート振替表!$H$5:$H$3507,$L1530)&amp;" "&amp;INDEX(ポート振替表!$I$5:$I$3507,$L1530))</f>
        <v/>
      </c>
      <c r="G1530" s="57" t="s">
        <v>158</v>
      </c>
      <c r="H1530" s="32" t="str">
        <f aca="false">IF(L1530="","",INDEX(ポート振替表!$N$5:$N$3507,$L1530)&amp;"")</f>
        <v/>
      </c>
      <c r="I1530" s="32" t="str">
        <f aca="false">IF(L1530="","",INDEX(ポート振替表!$P$5:$P$3507,$L1530)&amp;"")</f>
        <v/>
      </c>
      <c r="J1530" s="60" t="str">
        <f aca="false">IF(L1530="","",INDEX(ポート振替表!$M$5:$M$3507,$L1530)&amp;"")</f>
        <v/>
      </c>
      <c r="K1530" s="52" t="str">
        <f aca="false">IF(L1530="","",E1530&amp;CHAR(10)&amp;INDEX(ポート振替表!$K$5:$K$3507,$L1530)&amp;" "&amp;INDEX(ポート振替表!$L$5:$L$3507,$L1530)&amp;CHAR(10)&amp;"⇔ "&amp;INDEX(ポート振替表!$H$5:$H$3507,$L1530)&amp;" "&amp;INDEX(ポート振替表!$I$5:$I$3507,$L1530))</f>
        <v/>
      </c>
      <c r="L1530" s="47" t="str">
        <f aca="false">IFERROR(MATCH(ROW()-4,ポート振替表!$V$5:$V$3507,0),"")</f>
        <v/>
      </c>
    </row>
    <row r="1531" customFormat="false" ht="16.4" hidden="false" customHeight="false" outlineLevel="0" collapsed="false">
      <c r="A1531" s="32" t="str">
        <f aca="false">IF(L1531="","",ROW()-4)</f>
        <v/>
      </c>
      <c r="B1531" s="58" t="str">
        <f aca="false">IF(L1531="","",IF(INDEX(ポート振替表!$W$5:$W$3507,$L1531)="","(なし)",INDEX(ポート振替表!$W$5:$W$3507,$L1531)&amp;""))</f>
        <v/>
      </c>
      <c r="C1531" s="52" t="str">
        <f aca="false">IF(L1531="","",INDEX(ポート振替表!$B$5:$B$3507,$L1531)&amp;" "&amp;INDEX(ポート振替表!$C$5:$C$3507,$L1531)&amp;"  ⇔  "&amp;INDEX(ポート振替表!$H$5:$H$3507,$L1531)&amp;" "&amp;INDEX(ポート振替表!$I$5:$I$3507,$L1531))</f>
        <v/>
      </c>
      <c r="D1531" s="57" t="s">
        <v>158</v>
      </c>
      <c r="E1531" s="59" t="str">
        <f aca="false">IF(L1531="","",IF(INDEX(ポート振替表!$O$5:$O$3507,$L1531)="","(未設定)",INDEX(ポート振替表!$O$5:$O$3507,$L1531)&amp;""))</f>
        <v/>
      </c>
      <c r="F1531" s="52" t="str">
        <f aca="false">IF(L1531="","",INDEX(ポート振替表!$K$5:$K$3507,$L1531)&amp;" "&amp;INDEX(ポート振替表!$L$5:$L$3507,$L1531)&amp;"  ⇔  "&amp;INDEX(ポート振替表!$H$5:$H$3507,$L1531)&amp;" "&amp;INDEX(ポート振替表!$I$5:$I$3507,$L1531))</f>
        <v/>
      </c>
      <c r="G1531" s="57" t="s">
        <v>158</v>
      </c>
      <c r="H1531" s="32" t="str">
        <f aca="false">IF(L1531="","",INDEX(ポート振替表!$N$5:$N$3507,$L1531)&amp;"")</f>
        <v/>
      </c>
      <c r="I1531" s="32" t="str">
        <f aca="false">IF(L1531="","",INDEX(ポート振替表!$P$5:$P$3507,$L1531)&amp;"")</f>
        <v/>
      </c>
      <c r="J1531" s="60" t="str">
        <f aca="false">IF(L1531="","",INDEX(ポート振替表!$M$5:$M$3507,$L1531)&amp;"")</f>
        <v/>
      </c>
      <c r="K1531" s="52" t="str">
        <f aca="false">IF(L1531="","",E1531&amp;CHAR(10)&amp;INDEX(ポート振替表!$K$5:$K$3507,$L1531)&amp;" "&amp;INDEX(ポート振替表!$L$5:$L$3507,$L1531)&amp;CHAR(10)&amp;"⇔ "&amp;INDEX(ポート振替表!$H$5:$H$3507,$L1531)&amp;" "&amp;INDEX(ポート振替表!$I$5:$I$3507,$L1531))</f>
        <v/>
      </c>
      <c r="L1531" s="47" t="str">
        <f aca="false">IFERROR(MATCH(ROW()-4,ポート振替表!$V$5:$V$3507,0),"")</f>
        <v/>
      </c>
    </row>
    <row r="1532" customFormat="false" ht="16.4" hidden="false" customHeight="false" outlineLevel="0" collapsed="false">
      <c r="A1532" s="32" t="str">
        <f aca="false">IF(L1532="","",ROW()-4)</f>
        <v/>
      </c>
      <c r="B1532" s="58" t="str">
        <f aca="false">IF(L1532="","",IF(INDEX(ポート振替表!$W$5:$W$3507,$L1532)="","(なし)",INDEX(ポート振替表!$W$5:$W$3507,$L1532)&amp;""))</f>
        <v/>
      </c>
      <c r="C1532" s="52" t="str">
        <f aca="false">IF(L1532="","",INDEX(ポート振替表!$B$5:$B$3507,$L1532)&amp;" "&amp;INDEX(ポート振替表!$C$5:$C$3507,$L1532)&amp;"  ⇔  "&amp;INDEX(ポート振替表!$H$5:$H$3507,$L1532)&amp;" "&amp;INDEX(ポート振替表!$I$5:$I$3507,$L1532))</f>
        <v/>
      </c>
      <c r="D1532" s="57" t="s">
        <v>158</v>
      </c>
      <c r="E1532" s="59" t="str">
        <f aca="false">IF(L1532="","",IF(INDEX(ポート振替表!$O$5:$O$3507,$L1532)="","(未設定)",INDEX(ポート振替表!$O$5:$O$3507,$L1532)&amp;""))</f>
        <v/>
      </c>
      <c r="F1532" s="52" t="str">
        <f aca="false">IF(L1532="","",INDEX(ポート振替表!$K$5:$K$3507,$L1532)&amp;" "&amp;INDEX(ポート振替表!$L$5:$L$3507,$L1532)&amp;"  ⇔  "&amp;INDEX(ポート振替表!$H$5:$H$3507,$L1532)&amp;" "&amp;INDEX(ポート振替表!$I$5:$I$3507,$L1532))</f>
        <v/>
      </c>
      <c r="G1532" s="57" t="s">
        <v>158</v>
      </c>
      <c r="H1532" s="32" t="str">
        <f aca="false">IF(L1532="","",INDEX(ポート振替表!$N$5:$N$3507,$L1532)&amp;"")</f>
        <v/>
      </c>
      <c r="I1532" s="32" t="str">
        <f aca="false">IF(L1532="","",INDEX(ポート振替表!$P$5:$P$3507,$L1532)&amp;"")</f>
        <v/>
      </c>
      <c r="J1532" s="60" t="str">
        <f aca="false">IF(L1532="","",INDEX(ポート振替表!$M$5:$M$3507,$L1532)&amp;"")</f>
        <v/>
      </c>
      <c r="K1532" s="52" t="str">
        <f aca="false">IF(L1532="","",E1532&amp;CHAR(10)&amp;INDEX(ポート振替表!$K$5:$K$3507,$L1532)&amp;" "&amp;INDEX(ポート振替表!$L$5:$L$3507,$L1532)&amp;CHAR(10)&amp;"⇔ "&amp;INDEX(ポート振替表!$H$5:$H$3507,$L1532)&amp;" "&amp;INDEX(ポート振替表!$I$5:$I$3507,$L1532))</f>
        <v/>
      </c>
      <c r="L1532" s="47" t="str">
        <f aca="false">IFERROR(MATCH(ROW()-4,ポート振替表!$V$5:$V$3507,0),"")</f>
        <v/>
      </c>
    </row>
    <row r="1533" customFormat="false" ht="16.4" hidden="false" customHeight="false" outlineLevel="0" collapsed="false">
      <c r="A1533" s="32" t="str">
        <f aca="false">IF(L1533="","",ROW()-4)</f>
        <v/>
      </c>
      <c r="B1533" s="58" t="str">
        <f aca="false">IF(L1533="","",IF(INDEX(ポート振替表!$W$5:$W$3507,$L1533)="","(なし)",INDEX(ポート振替表!$W$5:$W$3507,$L1533)&amp;""))</f>
        <v/>
      </c>
      <c r="C1533" s="52" t="str">
        <f aca="false">IF(L1533="","",INDEX(ポート振替表!$B$5:$B$3507,$L1533)&amp;" "&amp;INDEX(ポート振替表!$C$5:$C$3507,$L1533)&amp;"  ⇔  "&amp;INDEX(ポート振替表!$H$5:$H$3507,$L1533)&amp;" "&amp;INDEX(ポート振替表!$I$5:$I$3507,$L1533))</f>
        <v/>
      </c>
      <c r="D1533" s="57" t="s">
        <v>158</v>
      </c>
      <c r="E1533" s="59" t="str">
        <f aca="false">IF(L1533="","",IF(INDEX(ポート振替表!$O$5:$O$3507,$L1533)="","(未設定)",INDEX(ポート振替表!$O$5:$O$3507,$L1533)&amp;""))</f>
        <v/>
      </c>
      <c r="F1533" s="52" t="str">
        <f aca="false">IF(L1533="","",INDEX(ポート振替表!$K$5:$K$3507,$L1533)&amp;" "&amp;INDEX(ポート振替表!$L$5:$L$3507,$L1533)&amp;"  ⇔  "&amp;INDEX(ポート振替表!$H$5:$H$3507,$L1533)&amp;" "&amp;INDEX(ポート振替表!$I$5:$I$3507,$L1533))</f>
        <v/>
      </c>
      <c r="G1533" s="57" t="s">
        <v>158</v>
      </c>
      <c r="H1533" s="32" t="str">
        <f aca="false">IF(L1533="","",INDEX(ポート振替表!$N$5:$N$3507,$L1533)&amp;"")</f>
        <v/>
      </c>
      <c r="I1533" s="32" t="str">
        <f aca="false">IF(L1533="","",INDEX(ポート振替表!$P$5:$P$3507,$L1533)&amp;"")</f>
        <v/>
      </c>
      <c r="J1533" s="60" t="str">
        <f aca="false">IF(L1533="","",INDEX(ポート振替表!$M$5:$M$3507,$L1533)&amp;"")</f>
        <v/>
      </c>
      <c r="K1533" s="52" t="str">
        <f aca="false">IF(L1533="","",E1533&amp;CHAR(10)&amp;INDEX(ポート振替表!$K$5:$K$3507,$L1533)&amp;" "&amp;INDEX(ポート振替表!$L$5:$L$3507,$L1533)&amp;CHAR(10)&amp;"⇔ "&amp;INDEX(ポート振替表!$H$5:$H$3507,$L1533)&amp;" "&amp;INDEX(ポート振替表!$I$5:$I$3507,$L1533))</f>
        <v/>
      </c>
      <c r="L1533" s="47" t="str">
        <f aca="false">IFERROR(MATCH(ROW()-4,ポート振替表!$V$5:$V$3507,0),"")</f>
        <v/>
      </c>
    </row>
    <row r="1534" customFormat="false" ht="16.4" hidden="false" customHeight="false" outlineLevel="0" collapsed="false">
      <c r="A1534" s="32" t="str">
        <f aca="false">IF(L1534="","",ROW()-4)</f>
        <v/>
      </c>
      <c r="B1534" s="58" t="str">
        <f aca="false">IF(L1534="","",IF(INDEX(ポート振替表!$W$5:$W$3507,$L1534)="","(なし)",INDEX(ポート振替表!$W$5:$W$3507,$L1534)&amp;""))</f>
        <v/>
      </c>
      <c r="C1534" s="52" t="str">
        <f aca="false">IF(L1534="","",INDEX(ポート振替表!$B$5:$B$3507,$L1534)&amp;" "&amp;INDEX(ポート振替表!$C$5:$C$3507,$L1534)&amp;"  ⇔  "&amp;INDEX(ポート振替表!$H$5:$H$3507,$L1534)&amp;" "&amp;INDEX(ポート振替表!$I$5:$I$3507,$L1534))</f>
        <v/>
      </c>
      <c r="D1534" s="57" t="s">
        <v>158</v>
      </c>
      <c r="E1534" s="59" t="str">
        <f aca="false">IF(L1534="","",IF(INDEX(ポート振替表!$O$5:$O$3507,$L1534)="","(未設定)",INDEX(ポート振替表!$O$5:$O$3507,$L1534)&amp;""))</f>
        <v/>
      </c>
      <c r="F1534" s="52" t="str">
        <f aca="false">IF(L1534="","",INDEX(ポート振替表!$K$5:$K$3507,$L1534)&amp;" "&amp;INDEX(ポート振替表!$L$5:$L$3507,$L1534)&amp;"  ⇔  "&amp;INDEX(ポート振替表!$H$5:$H$3507,$L1534)&amp;" "&amp;INDEX(ポート振替表!$I$5:$I$3507,$L1534))</f>
        <v/>
      </c>
      <c r="G1534" s="57" t="s">
        <v>158</v>
      </c>
      <c r="H1534" s="32" t="str">
        <f aca="false">IF(L1534="","",INDEX(ポート振替表!$N$5:$N$3507,$L1534)&amp;"")</f>
        <v/>
      </c>
      <c r="I1534" s="32" t="str">
        <f aca="false">IF(L1534="","",INDEX(ポート振替表!$P$5:$P$3507,$L1534)&amp;"")</f>
        <v/>
      </c>
      <c r="J1534" s="60" t="str">
        <f aca="false">IF(L1534="","",INDEX(ポート振替表!$M$5:$M$3507,$L1534)&amp;"")</f>
        <v/>
      </c>
      <c r="K1534" s="52" t="str">
        <f aca="false">IF(L1534="","",E1534&amp;CHAR(10)&amp;INDEX(ポート振替表!$K$5:$K$3507,$L1534)&amp;" "&amp;INDEX(ポート振替表!$L$5:$L$3507,$L1534)&amp;CHAR(10)&amp;"⇔ "&amp;INDEX(ポート振替表!$H$5:$H$3507,$L1534)&amp;" "&amp;INDEX(ポート振替表!$I$5:$I$3507,$L1534))</f>
        <v/>
      </c>
      <c r="L1534" s="47" t="str">
        <f aca="false">IFERROR(MATCH(ROW()-4,ポート振替表!$V$5:$V$3507,0),"")</f>
        <v/>
      </c>
    </row>
    <row r="1535" customFormat="false" ht="16.4" hidden="false" customHeight="false" outlineLevel="0" collapsed="false">
      <c r="A1535" s="32" t="str">
        <f aca="false">IF(L1535="","",ROW()-4)</f>
        <v/>
      </c>
      <c r="B1535" s="58" t="str">
        <f aca="false">IF(L1535="","",IF(INDEX(ポート振替表!$W$5:$W$3507,$L1535)="","(なし)",INDEX(ポート振替表!$W$5:$W$3507,$L1535)&amp;""))</f>
        <v/>
      </c>
      <c r="C1535" s="52" t="str">
        <f aca="false">IF(L1535="","",INDEX(ポート振替表!$B$5:$B$3507,$L1535)&amp;" "&amp;INDEX(ポート振替表!$C$5:$C$3507,$L1535)&amp;"  ⇔  "&amp;INDEX(ポート振替表!$H$5:$H$3507,$L1535)&amp;" "&amp;INDEX(ポート振替表!$I$5:$I$3507,$L1535))</f>
        <v/>
      </c>
      <c r="D1535" s="57" t="s">
        <v>158</v>
      </c>
      <c r="E1535" s="59" t="str">
        <f aca="false">IF(L1535="","",IF(INDEX(ポート振替表!$O$5:$O$3507,$L1535)="","(未設定)",INDEX(ポート振替表!$O$5:$O$3507,$L1535)&amp;""))</f>
        <v/>
      </c>
      <c r="F1535" s="52" t="str">
        <f aca="false">IF(L1535="","",INDEX(ポート振替表!$K$5:$K$3507,$L1535)&amp;" "&amp;INDEX(ポート振替表!$L$5:$L$3507,$L1535)&amp;"  ⇔  "&amp;INDEX(ポート振替表!$H$5:$H$3507,$L1535)&amp;" "&amp;INDEX(ポート振替表!$I$5:$I$3507,$L1535))</f>
        <v/>
      </c>
      <c r="G1535" s="57" t="s">
        <v>158</v>
      </c>
      <c r="H1535" s="32" t="str">
        <f aca="false">IF(L1535="","",INDEX(ポート振替表!$N$5:$N$3507,$L1535)&amp;"")</f>
        <v/>
      </c>
      <c r="I1535" s="32" t="str">
        <f aca="false">IF(L1535="","",INDEX(ポート振替表!$P$5:$P$3507,$L1535)&amp;"")</f>
        <v/>
      </c>
      <c r="J1535" s="60" t="str">
        <f aca="false">IF(L1535="","",INDEX(ポート振替表!$M$5:$M$3507,$L1535)&amp;"")</f>
        <v/>
      </c>
      <c r="K1535" s="52" t="str">
        <f aca="false">IF(L1535="","",E1535&amp;CHAR(10)&amp;INDEX(ポート振替表!$K$5:$K$3507,$L1535)&amp;" "&amp;INDEX(ポート振替表!$L$5:$L$3507,$L1535)&amp;CHAR(10)&amp;"⇔ "&amp;INDEX(ポート振替表!$H$5:$H$3507,$L1535)&amp;" "&amp;INDEX(ポート振替表!$I$5:$I$3507,$L1535))</f>
        <v/>
      </c>
      <c r="L1535" s="47" t="str">
        <f aca="false">IFERROR(MATCH(ROW()-4,ポート振替表!$V$5:$V$3507,0),"")</f>
        <v/>
      </c>
    </row>
    <row r="1536" customFormat="false" ht="16.4" hidden="false" customHeight="false" outlineLevel="0" collapsed="false">
      <c r="A1536" s="32" t="str">
        <f aca="false">IF(L1536="","",ROW()-4)</f>
        <v/>
      </c>
      <c r="B1536" s="58" t="str">
        <f aca="false">IF(L1536="","",IF(INDEX(ポート振替表!$W$5:$W$3507,$L1536)="","(なし)",INDEX(ポート振替表!$W$5:$W$3507,$L1536)&amp;""))</f>
        <v/>
      </c>
      <c r="C1536" s="52" t="str">
        <f aca="false">IF(L1536="","",INDEX(ポート振替表!$B$5:$B$3507,$L1536)&amp;" "&amp;INDEX(ポート振替表!$C$5:$C$3507,$L1536)&amp;"  ⇔  "&amp;INDEX(ポート振替表!$H$5:$H$3507,$L1536)&amp;" "&amp;INDEX(ポート振替表!$I$5:$I$3507,$L1536))</f>
        <v/>
      </c>
      <c r="D1536" s="57" t="s">
        <v>158</v>
      </c>
      <c r="E1536" s="59" t="str">
        <f aca="false">IF(L1536="","",IF(INDEX(ポート振替表!$O$5:$O$3507,$L1536)="","(未設定)",INDEX(ポート振替表!$O$5:$O$3507,$L1536)&amp;""))</f>
        <v/>
      </c>
      <c r="F1536" s="52" t="str">
        <f aca="false">IF(L1536="","",INDEX(ポート振替表!$K$5:$K$3507,$L1536)&amp;" "&amp;INDEX(ポート振替表!$L$5:$L$3507,$L1536)&amp;"  ⇔  "&amp;INDEX(ポート振替表!$H$5:$H$3507,$L1536)&amp;" "&amp;INDEX(ポート振替表!$I$5:$I$3507,$L1536))</f>
        <v/>
      </c>
      <c r="G1536" s="57" t="s">
        <v>158</v>
      </c>
      <c r="H1536" s="32" t="str">
        <f aca="false">IF(L1536="","",INDEX(ポート振替表!$N$5:$N$3507,$L1536)&amp;"")</f>
        <v/>
      </c>
      <c r="I1536" s="32" t="str">
        <f aca="false">IF(L1536="","",INDEX(ポート振替表!$P$5:$P$3507,$L1536)&amp;"")</f>
        <v/>
      </c>
      <c r="J1536" s="60" t="str">
        <f aca="false">IF(L1536="","",INDEX(ポート振替表!$M$5:$M$3507,$L1536)&amp;"")</f>
        <v/>
      </c>
      <c r="K1536" s="52" t="str">
        <f aca="false">IF(L1536="","",E1536&amp;CHAR(10)&amp;INDEX(ポート振替表!$K$5:$K$3507,$L1536)&amp;" "&amp;INDEX(ポート振替表!$L$5:$L$3507,$L1536)&amp;CHAR(10)&amp;"⇔ "&amp;INDEX(ポート振替表!$H$5:$H$3507,$L1536)&amp;" "&amp;INDEX(ポート振替表!$I$5:$I$3507,$L1536))</f>
        <v/>
      </c>
      <c r="L1536" s="47" t="str">
        <f aca="false">IFERROR(MATCH(ROW()-4,ポート振替表!$V$5:$V$3507,0),"")</f>
        <v/>
      </c>
    </row>
    <row r="1537" customFormat="false" ht="16.4" hidden="false" customHeight="false" outlineLevel="0" collapsed="false">
      <c r="A1537" s="32" t="str">
        <f aca="false">IF(L1537="","",ROW()-4)</f>
        <v/>
      </c>
      <c r="B1537" s="58" t="str">
        <f aca="false">IF(L1537="","",IF(INDEX(ポート振替表!$W$5:$W$3507,$L1537)="","(なし)",INDEX(ポート振替表!$W$5:$W$3507,$L1537)&amp;""))</f>
        <v/>
      </c>
      <c r="C1537" s="52" t="str">
        <f aca="false">IF(L1537="","",INDEX(ポート振替表!$B$5:$B$3507,$L1537)&amp;" "&amp;INDEX(ポート振替表!$C$5:$C$3507,$L1537)&amp;"  ⇔  "&amp;INDEX(ポート振替表!$H$5:$H$3507,$L1537)&amp;" "&amp;INDEX(ポート振替表!$I$5:$I$3507,$L1537))</f>
        <v/>
      </c>
      <c r="D1537" s="57" t="s">
        <v>158</v>
      </c>
      <c r="E1537" s="59" t="str">
        <f aca="false">IF(L1537="","",IF(INDEX(ポート振替表!$O$5:$O$3507,$L1537)="","(未設定)",INDEX(ポート振替表!$O$5:$O$3507,$L1537)&amp;""))</f>
        <v/>
      </c>
      <c r="F1537" s="52" t="str">
        <f aca="false">IF(L1537="","",INDEX(ポート振替表!$K$5:$K$3507,$L1537)&amp;" "&amp;INDEX(ポート振替表!$L$5:$L$3507,$L1537)&amp;"  ⇔  "&amp;INDEX(ポート振替表!$H$5:$H$3507,$L1537)&amp;" "&amp;INDEX(ポート振替表!$I$5:$I$3507,$L1537))</f>
        <v/>
      </c>
      <c r="G1537" s="57" t="s">
        <v>158</v>
      </c>
      <c r="H1537" s="32" t="str">
        <f aca="false">IF(L1537="","",INDEX(ポート振替表!$N$5:$N$3507,$L1537)&amp;"")</f>
        <v/>
      </c>
      <c r="I1537" s="32" t="str">
        <f aca="false">IF(L1537="","",INDEX(ポート振替表!$P$5:$P$3507,$L1537)&amp;"")</f>
        <v/>
      </c>
      <c r="J1537" s="60" t="str">
        <f aca="false">IF(L1537="","",INDEX(ポート振替表!$M$5:$M$3507,$L1537)&amp;"")</f>
        <v/>
      </c>
      <c r="K1537" s="52" t="str">
        <f aca="false">IF(L1537="","",E1537&amp;CHAR(10)&amp;INDEX(ポート振替表!$K$5:$K$3507,$L1537)&amp;" "&amp;INDEX(ポート振替表!$L$5:$L$3507,$L1537)&amp;CHAR(10)&amp;"⇔ "&amp;INDEX(ポート振替表!$H$5:$H$3507,$L1537)&amp;" "&amp;INDEX(ポート振替表!$I$5:$I$3507,$L1537))</f>
        <v/>
      </c>
      <c r="L1537" s="47" t="str">
        <f aca="false">IFERROR(MATCH(ROW()-4,ポート振替表!$V$5:$V$3507,0),"")</f>
        <v/>
      </c>
    </row>
    <row r="1538" customFormat="false" ht="16.4" hidden="false" customHeight="false" outlineLevel="0" collapsed="false">
      <c r="A1538" s="32" t="str">
        <f aca="false">IF(L1538="","",ROW()-4)</f>
        <v/>
      </c>
      <c r="B1538" s="58" t="str">
        <f aca="false">IF(L1538="","",IF(INDEX(ポート振替表!$W$5:$W$3507,$L1538)="","(なし)",INDEX(ポート振替表!$W$5:$W$3507,$L1538)&amp;""))</f>
        <v/>
      </c>
      <c r="C1538" s="52" t="str">
        <f aca="false">IF(L1538="","",INDEX(ポート振替表!$B$5:$B$3507,$L1538)&amp;" "&amp;INDEX(ポート振替表!$C$5:$C$3507,$L1538)&amp;"  ⇔  "&amp;INDEX(ポート振替表!$H$5:$H$3507,$L1538)&amp;" "&amp;INDEX(ポート振替表!$I$5:$I$3507,$L1538))</f>
        <v/>
      </c>
      <c r="D1538" s="57" t="s">
        <v>158</v>
      </c>
      <c r="E1538" s="59" t="str">
        <f aca="false">IF(L1538="","",IF(INDEX(ポート振替表!$O$5:$O$3507,$L1538)="","(未設定)",INDEX(ポート振替表!$O$5:$O$3507,$L1538)&amp;""))</f>
        <v/>
      </c>
      <c r="F1538" s="52" t="str">
        <f aca="false">IF(L1538="","",INDEX(ポート振替表!$K$5:$K$3507,$L1538)&amp;" "&amp;INDEX(ポート振替表!$L$5:$L$3507,$L1538)&amp;"  ⇔  "&amp;INDEX(ポート振替表!$H$5:$H$3507,$L1538)&amp;" "&amp;INDEX(ポート振替表!$I$5:$I$3507,$L1538))</f>
        <v/>
      </c>
      <c r="G1538" s="57" t="s">
        <v>158</v>
      </c>
      <c r="H1538" s="32" t="str">
        <f aca="false">IF(L1538="","",INDEX(ポート振替表!$N$5:$N$3507,$L1538)&amp;"")</f>
        <v/>
      </c>
      <c r="I1538" s="32" t="str">
        <f aca="false">IF(L1538="","",INDEX(ポート振替表!$P$5:$P$3507,$L1538)&amp;"")</f>
        <v/>
      </c>
      <c r="J1538" s="60" t="str">
        <f aca="false">IF(L1538="","",INDEX(ポート振替表!$M$5:$M$3507,$L1538)&amp;"")</f>
        <v/>
      </c>
      <c r="K1538" s="52" t="str">
        <f aca="false">IF(L1538="","",E1538&amp;CHAR(10)&amp;INDEX(ポート振替表!$K$5:$K$3507,$L1538)&amp;" "&amp;INDEX(ポート振替表!$L$5:$L$3507,$L1538)&amp;CHAR(10)&amp;"⇔ "&amp;INDEX(ポート振替表!$H$5:$H$3507,$L1538)&amp;" "&amp;INDEX(ポート振替表!$I$5:$I$3507,$L1538))</f>
        <v/>
      </c>
      <c r="L1538" s="47" t="str">
        <f aca="false">IFERROR(MATCH(ROW()-4,ポート振替表!$V$5:$V$3507,0),"")</f>
        <v/>
      </c>
    </row>
    <row r="1539" customFormat="false" ht="16.4" hidden="false" customHeight="false" outlineLevel="0" collapsed="false">
      <c r="A1539" s="32" t="str">
        <f aca="false">IF(L1539="","",ROW()-4)</f>
        <v/>
      </c>
      <c r="B1539" s="58" t="str">
        <f aca="false">IF(L1539="","",IF(INDEX(ポート振替表!$W$5:$W$3507,$L1539)="","(なし)",INDEX(ポート振替表!$W$5:$W$3507,$L1539)&amp;""))</f>
        <v/>
      </c>
      <c r="C1539" s="52" t="str">
        <f aca="false">IF(L1539="","",INDEX(ポート振替表!$B$5:$B$3507,$L1539)&amp;" "&amp;INDEX(ポート振替表!$C$5:$C$3507,$L1539)&amp;"  ⇔  "&amp;INDEX(ポート振替表!$H$5:$H$3507,$L1539)&amp;" "&amp;INDEX(ポート振替表!$I$5:$I$3507,$L1539))</f>
        <v/>
      </c>
      <c r="D1539" s="57" t="s">
        <v>158</v>
      </c>
      <c r="E1539" s="59" t="str">
        <f aca="false">IF(L1539="","",IF(INDEX(ポート振替表!$O$5:$O$3507,$L1539)="","(未設定)",INDEX(ポート振替表!$O$5:$O$3507,$L1539)&amp;""))</f>
        <v/>
      </c>
      <c r="F1539" s="52" t="str">
        <f aca="false">IF(L1539="","",INDEX(ポート振替表!$K$5:$K$3507,$L1539)&amp;" "&amp;INDEX(ポート振替表!$L$5:$L$3507,$L1539)&amp;"  ⇔  "&amp;INDEX(ポート振替表!$H$5:$H$3507,$L1539)&amp;" "&amp;INDEX(ポート振替表!$I$5:$I$3507,$L1539))</f>
        <v/>
      </c>
      <c r="G1539" s="57" t="s">
        <v>158</v>
      </c>
      <c r="H1539" s="32" t="str">
        <f aca="false">IF(L1539="","",INDEX(ポート振替表!$N$5:$N$3507,$L1539)&amp;"")</f>
        <v/>
      </c>
      <c r="I1539" s="32" t="str">
        <f aca="false">IF(L1539="","",INDEX(ポート振替表!$P$5:$P$3507,$L1539)&amp;"")</f>
        <v/>
      </c>
      <c r="J1539" s="60" t="str">
        <f aca="false">IF(L1539="","",INDEX(ポート振替表!$M$5:$M$3507,$L1539)&amp;"")</f>
        <v/>
      </c>
      <c r="K1539" s="52" t="str">
        <f aca="false">IF(L1539="","",E1539&amp;CHAR(10)&amp;INDEX(ポート振替表!$K$5:$K$3507,$L1539)&amp;" "&amp;INDEX(ポート振替表!$L$5:$L$3507,$L1539)&amp;CHAR(10)&amp;"⇔ "&amp;INDEX(ポート振替表!$H$5:$H$3507,$L1539)&amp;" "&amp;INDEX(ポート振替表!$I$5:$I$3507,$L1539))</f>
        <v/>
      </c>
      <c r="L1539" s="47" t="str">
        <f aca="false">IFERROR(MATCH(ROW()-4,ポート振替表!$V$5:$V$3507,0),"")</f>
        <v/>
      </c>
    </row>
    <row r="1540" customFormat="false" ht="16.4" hidden="false" customHeight="false" outlineLevel="0" collapsed="false">
      <c r="A1540" s="32" t="str">
        <f aca="false">IF(L1540="","",ROW()-4)</f>
        <v/>
      </c>
      <c r="B1540" s="58" t="str">
        <f aca="false">IF(L1540="","",IF(INDEX(ポート振替表!$W$5:$W$3507,$L1540)="","(なし)",INDEX(ポート振替表!$W$5:$W$3507,$L1540)&amp;""))</f>
        <v/>
      </c>
      <c r="C1540" s="52" t="str">
        <f aca="false">IF(L1540="","",INDEX(ポート振替表!$B$5:$B$3507,$L1540)&amp;" "&amp;INDEX(ポート振替表!$C$5:$C$3507,$L1540)&amp;"  ⇔  "&amp;INDEX(ポート振替表!$H$5:$H$3507,$L1540)&amp;" "&amp;INDEX(ポート振替表!$I$5:$I$3507,$L1540))</f>
        <v/>
      </c>
      <c r="D1540" s="57" t="s">
        <v>158</v>
      </c>
      <c r="E1540" s="59" t="str">
        <f aca="false">IF(L1540="","",IF(INDEX(ポート振替表!$O$5:$O$3507,$L1540)="","(未設定)",INDEX(ポート振替表!$O$5:$O$3507,$L1540)&amp;""))</f>
        <v/>
      </c>
      <c r="F1540" s="52" t="str">
        <f aca="false">IF(L1540="","",INDEX(ポート振替表!$K$5:$K$3507,$L1540)&amp;" "&amp;INDEX(ポート振替表!$L$5:$L$3507,$L1540)&amp;"  ⇔  "&amp;INDEX(ポート振替表!$H$5:$H$3507,$L1540)&amp;" "&amp;INDEX(ポート振替表!$I$5:$I$3507,$L1540))</f>
        <v/>
      </c>
      <c r="G1540" s="57" t="s">
        <v>158</v>
      </c>
      <c r="H1540" s="32" t="str">
        <f aca="false">IF(L1540="","",INDEX(ポート振替表!$N$5:$N$3507,$L1540)&amp;"")</f>
        <v/>
      </c>
      <c r="I1540" s="32" t="str">
        <f aca="false">IF(L1540="","",INDEX(ポート振替表!$P$5:$P$3507,$L1540)&amp;"")</f>
        <v/>
      </c>
      <c r="J1540" s="60" t="str">
        <f aca="false">IF(L1540="","",INDEX(ポート振替表!$M$5:$M$3507,$L1540)&amp;"")</f>
        <v/>
      </c>
      <c r="K1540" s="52" t="str">
        <f aca="false">IF(L1540="","",E1540&amp;CHAR(10)&amp;INDEX(ポート振替表!$K$5:$K$3507,$L1540)&amp;" "&amp;INDEX(ポート振替表!$L$5:$L$3507,$L1540)&amp;CHAR(10)&amp;"⇔ "&amp;INDEX(ポート振替表!$H$5:$H$3507,$L1540)&amp;" "&amp;INDEX(ポート振替表!$I$5:$I$3507,$L1540))</f>
        <v/>
      </c>
      <c r="L1540" s="47" t="str">
        <f aca="false">IFERROR(MATCH(ROW()-4,ポート振替表!$V$5:$V$3507,0),"")</f>
        <v/>
      </c>
    </row>
    <row r="1541" customFormat="false" ht="16.4" hidden="false" customHeight="false" outlineLevel="0" collapsed="false">
      <c r="A1541" s="32" t="str">
        <f aca="false">IF(L1541="","",ROW()-4)</f>
        <v/>
      </c>
      <c r="B1541" s="58" t="str">
        <f aca="false">IF(L1541="","",IF(INDEX(ポート振替表!$W$5:$W$3507,$L1541)="","(なし)",INDEX(ポート振替表!$W$5:$W$3507,$L1541)&amp;""))</f>
        <v/>
      </c>
      <c r="C1541" s="52" t="str">
        <f aca="false">IF(L1541="","",INDEX(ポート振替表!$B$5:$B$3507,$L1541)&amp;" "&amp;INDEX(ポート振替表!$C$5:$C$3507,$L1541)&amp;"  ⇔  "&amp;INDEX(ポート振替表!$H$5:$H$3507,$L1541)&amp;" "&amp;INDEX(ポート振替表!$I$5:$I$3507,$L1541))</f>
        <v/>
      </c>
      <c r="D1541" s="57" t="s">
        <v>158</v>
      </c>
      <c r="E1541" s="59" t="str">
        <f aca="false">IF(L1541="","",IF(INDEX(ポート振替表!$O$5:$O$3507,$L1541)="","(未設定)",INDEX(ポート振替表!$O$5:$O$3507,$L1541)&amp;""))</f>
        <v/>
      </c>
      <c r="F1541" s="52" t="str">
        <f aca="false">IF(L1541="","",INDEX(ポート振替表!$K$5:$K$3507,$L1541)&amp;" "&amp;INDEX(ポート振替表!$L$5:$L$3507,$L1541)&amp;"  ⇔  "&amp;INDEX(ポート振替表!$H$5:$H$3507,$L1541)&amp;" "&amp;INDEX(ポート振替表!$I$5:$I$3507,$L1541))</f>
        <v/>
      </c>
      <c r="G1541" s="57" t="s">
        <v>158</v>
      </c>
      <c r="H1541" s="32" t="str">
        <f aca="false">IF(L1541="","",INDEX(ポート振替表!$N$5:$N$3507,$L1541)&amp;"")</f>
        <v/>
      </c>
      <c r="I1541" s="32" t="str">
        <f aca="false">IF(L1541="","",INDEX(ポート振替表!$P$5:$P$3507,$L1541)&amp;"")</f>
        <v/>
      </c>
      <c r="J1541" s="60" t="str">
        <f aca="false">IF(L1541="","",INDEX(ポート振替表!$M$5:$M$3507,$L1541)&amp;"")</f>
        <v/>
      </c>
      <c r="K1541" s="52" t="str">
        <f aca="false">IF(L1541="","",E1541&amp;CHAR(10)&amp;INDEX(ポート振替表!$K$5:$K$3507,$L1541)&amp;" "&amp;INDEX(ポート振替表!$L$5:$L$3507,$L1541)&amp;CHAR(10)&amp;"⇔ "&amp;INDEX(ポート振替表!$H$5:$H$3507,$L1541)&amp;" "&amp;INDEX(ポート振替表!$I$5:$I$3507,$L1541))</f>
        <v/>
      </c>
      <c r="L1541" s="47" t="str">
        <f aca="false">IFERROR(MATCH(ROW()-4,ポート振替表!$V$5:$V$3507,0),"")</f>
        <v/>
      </c>
    </row>
    <row r="1542" customFormat="false" ht="16.4" hidden="false" customHeight="false" outlineLevel="0" collapsed="false">
      <c r="A1542" s="32" t="str">
        <f aca="false">IF(L1542="","",ROW()-4)</f>
        <v/>
      </c>
      <c r="B1542" s="58" t="str">
        <f aca="false">IF(L1542="","",IF(INDEX(ポート振替表!$W$5:$W$3507,$L1542)="","(なし)",INDEX(ポート振替表!$W$5:$W$3507,$L1542)&amp;""))</f>
        <v/>
      </c>
      <c r="C1542" s="52" t="str">
        <f aca="false">IF(L1542="","",INDEX(ポート振替表!$B$5:$B$3507,$L1542)&amp;" "&amp;INDEX(ポート振替表!$C$5:$C$3507,$L1542)&amp;"  ⇔  "&amp;INDEX(ポート振替表!$H$5:$H$3507,$L1542)&amp;" "&amp;INDEX(ポート振替表!$I$5:$I$3507,$L1542))</f>
        <v/>
      </c>
      <c r="D1542" s="57" t="s">
        <v>158</v>
      </c>
      <c r="E1542" s="59" t="str">
        <f aca="false">IF(L1542="","",IF(INDEX(ポート振替表!$O$5:$O$3507,$L1542)="","(未設定)",INDEX(ポート振替表!$O$5:$O$3507,$L1542)&amp;""))</f>
        <v/>
      </c>
      <c r="F1542" s="52" t="str">
        <f aca="false">IF(L1542="","",INDEX(ポート振替表!$K$5:$K$3507,$L1542)&amp;" "&amp;INDEX(ポート振替表!$L$5:$L$3507,$L1542)&amp;"  ⇔  "&amp;INDEX(ポート振替表!$H$5:$H$3507,$L1542)&amp;" "&amp;INDEX(ポート振替表!$I$5:$I$3507,$L1542))</f>
        <v/>
      </c>
      <c r="G1542" s="57" t="s">
        <v>158</v>
      </c>
      <c r="H1542" s="32" t="str">
        <f aca="false">IF(L1542="","",INDEX(ポート振替表!$N$5:$N$3507,$L1542)&amp;"")</f>
        <v/>
      </c>
      <c r="I1542" s="32" t="str">
        <f aca="false">IF(L1542="","",INDEX(ポート振替表!$P$5:$P$3507,$L1542)&amp;"")</f>
        <v/>
      </c>
      <c r="J1542" s="60" t="str">
        <f aca="false">IF(L1542="","",INDEX(ポート振替表!$M$5:$M$3507,$L1542)&amp;"")</f>
        <v/>
      </c>
      <c r="K1542" s="52" t="str">
        <f aca="false">IF(L1542="","",E1542&amp;CHAR(10)&amp;INDEX(ポート振替表!$K$5:$K$3507,$L1542)&amp;" "&amp;INDEX(ポート振替表!$L$5:$L$3507,$L1542)&amp;CHAR(10)&amp;"⇔ "&amp;INDEX(ポート振替表!$H$5:$H$3507,$L1542)&amp;" "&amp;INDEX(ポート振替表!$I$5:$I$3507,$L1542))</f>
        <v/>
      </c>
      <c r="L1542" s="47" t="str">
        <f aca="false">IFERROR(MATCH(ROW()-4,ポート振替表!$V$5:$V$3507,0),"")</f>
        <v/>
      </c>
    </row>
    <row r="1543" customFormat="false" ht="16.4" hidden="false" customHeight="false" outlineLevel="0" collapsed="false">
      <c r="A1543" s="32" t="str">
        <f aca="false">IF(L1543="","",ROW()-4)</f>
        <v/>
      </c>
      <c r="B1543" s="58" t="str">
        <f aca="false">IF(L1543="","",IF(INDEX(ポート振替表!$W$5:$W$3507,$L1543)="","(なし)",INDEX(ポート振替表!$W$5:$W$3507,$L1543)&amp;""))</f>
        <v/>
      </c>
      <c r="C1543" s="52" t="str">
        <f aca="false">IF(L1543="","",INDEX(ポート振替表!$B$5:$B$3507,$L1543)&amp;" "&amp;INDEX(ポート振替表!$C$5:$C$3507,$L1543)&amp;"  ⇔  "&amp;INDEX(ポート振替表!$H$5:$H$3507,$L1543)&amp;" "&amp;INDEX(ポート振替表!$I$5:$I$3507,$L1543))</f>
        <v/>
      </c>
      <c r="D1543" s="57" t="s">
        <v>158</v>
      </c>
      <c r="E1543" s="59" t="str">
        <f aca="false">IF(L1543="","",IF(INDEX(ポート振替表!$O$5:$O$3507,$L1543)="","(未設定)",INDEX(ポート振替表!$O$5:$O$3507,$L1543)&amp;""))</f>
        <v/>
      </c>
      <c r="F1543" s="52" t="str">
        <f aca="false">IF(L1543="","",INDEX(ポート振替表!$K$5:$K$3507,$L1543)&amp;" "&amp;INDEX(ポート振替表!$L$5:$L$3507,$L1543)&amp;"  ⇔  "&amp;INDEX(ポート振替表!$H$5:$H$3507,$L1543)&amp;" "&amp;INDEX(ポート振替表!$I$5:$I$3507,$L1543))</f>
        <v/>
      </c>
      <c r="G1543" s="57" t="s">
        <v>158</v>
      </c>
      <c r="H1543" s="32" t="str">
        <f aca="false">IF(L1543="","",INDEX(ポート振替表!$N$5:$N$3507,$L1543)&amp;"")</f>
        <v/>
      </c>
      <c r="I1543" s="32" t="str">
        <f aca="false">IF(L1543="","",INDEX(ポート振替表!$P$5:$P$3507,$L1543)&amp;"")</f>
        <v/>
      </c>
      <c r="J1543" s="60" t="str">
        <f aca="false">IF(L1543="","",INDEX(ポート振替表!$M$5:$M$3507,$L1543)&amp;"")</f>
        <v/>
      </c>
      <c r="K1543" s="52" t="str">
        <f aca="false">IF(L1543="","",E1543&amp;CHAR(10)&amp;INDEX(ポート振替表!$K$5:$K$3507,$L1543)&amp;" "&amp;INDEX(ポート振替表!$L$5:$L$3507,$L1543)&amp;CHAR(10)&amp;"⇔ "&amp;INDEX(ポート振替表!$H$5:$H$3507,$L1543)&amp;" "&amp;INDEX(ポート振替表!$I$5:$I$3507,$L1543))</f>
        <v/>
      </c>
      <c r="L1543" s="47" t="str">
        <f aca="false">IFERROR(MATCH(ROW()-4,ポート振替表!$V$5:$V$3507,0),"")</f>
        <v/>
      </c>
    </row>
    <row r="1544" customFormat="false" ht="16.4" hidden="false" customHeight="false" outlineLevel="0" collapsed="false">
      <c r="A1544" s="32" t="str">
        <f aca="false">IF(L1544="","",ROW()-4)</f>
        <v/>
      </c>
      <c r="B1544" s="58" t="str">
        <f aca="false">IF(L1544="","",IF(INDEX(ポート振替表!$W$5:$W$3507,$L1544)="","(なし)",INDEX(ポート振替表!$W$5:$W$3507,$L1544)&amp;""))</f>
        <v/>
      </c>
      <c r="C1544" s="52" t="str">
        <f aca="false">IF(L1544="","",INDEX(ポート振替表!$B$5:$B$3507,$L1544)&amp;" "&amp;INDEX(ポート振替表!$C$5:$C$3507,$L1544)&amp;"  ⇔  "&amp;INDEX(ポート振替表!$H$5:$H$3507,$L1544)&amp;" "&amp;INDEX(ポート振替表!$I$5:$I$3507,$L1544))</f>
        <v/>
      </c>
      <c r="D1544" s="57" t="s">
        <v>158</v>
      </c>
      <c r="E1544" s="59" t="str">
        <f aca="false">IF(L1544="","",IF(INDEX(ポート振替表!$O$5:$O$3507,$L1544)="","(未設定)",INDEX(ポート振替表!$O$5:$O$3507,$L1544)&amp;""))</f>
        <v/>
      </c>
      <c r="F1544" s="52" t="str">
        <f aca="false">IF(L1544="","",INDEX(ポート振替表!$K$5:$K$3507,$L1544)&amp;" "&amp;INDEX(ポート振替表!$L$5:$L$3507,$L1544)&amp;"  ⇔  "&amp;INDEX(ポート振替表!$H$5:$H$3507,$L1544)&amp;" "&amp;INDEX(ポート振替表!$I$5:$I$3507,$L1544))</f>
        <v/>
      </c>
      <c r="G1544" s="57" t="s">
        <v>158</v>
      </c>
      <c r="H1544" s="32" t="str">
        <f aca="false">IF(L1544="","",INDEX(ポート振替表!$N$5:$N$3507,$L1544)&amp;"")</f>
        <v/>
      </c>
      <c r="I1544" s="32" t="str">
        <f aca="false">IF(L1544="","",INDEX(ポート振替表!$P$5:$P$3507,$L1544)&amp;"")</f>
        <v/>
      </c>
      <c r="J1544" s="60" t="str">
        <f aca="false">IF(L1544="","",INDEX(ポート振替表!$M$5:$M$3507,$L1544)&amp;"")</f>
        <v/>
      </c>
      <c r="K1544" s="52" t="str">
        <f aca="false">IF(L1544="","",E1544&amp;CHAR(10)&amp;INDEX(ポート振替表!$K$5:$K$3507,$L1544)&amp;" "&amp;INDEX(ポート振替表!$L$5:$L$3507,$L1544)&amp;CHAR(10)&amp;"⇔ "&amp;INDEX(ポート振替表!$H$5:$H$3507,$L1544)&amp;" "&amp;INDEX(ポート振替表!$I$5:$I$3507,$L1544))</f>
        <v/>
      </c>
      <c r="L1544" s="47" t="str">
        <f aca="false">IFERROR(MATCH(ROW()-4,ポート振替表!$V$5:$V$3507,0),"")</f>
        <v/>
      </c>
    </row>
    <row r="1545" customFormat="false" ht="16.4" hidden="false" customHeight="false" outlineLevel="0" collapsed="false">
      <c r="A1545" s="32" t="str">
        <f aca="false">IF(L1545="","",ROW()-4)</f>
        <v/>
      </c>
      <c r="B1545" s="58" t="str">
        <f aca="false">IF(L1545="","",IF(INDEX(ポート振替表!$W$5:$W$3507,$L1545)="","(なし)",INDEX(ポート振替表!$W$5:$W$3507,$L1545)&amp;""))</f>
        <v/>
      </c>
      <c r="C1545" s="52" t="str">
        <f aca="false">IF(L1545="","",INDEX(ポート振替表!$B$5:$B$3507,$L1545)&amp;" "&amp;INDEX(ポート振替表!$C$5:$C$3507,$L1545)&amp;"  ⇔  "&amp;INDEX(ポート振替表!$H$5:$H$3507,$L1545)&amp;" "&amp;INDEX(ポート振替表!$I$5:$I$3507,$L1545))</f>
        <v/>
      </c>
      <c r="D1545" s="57" t="s">
        <v>158</v>
      </c>
      <c r="E1545" s="59" t="str">
        <f aca="false">IF(L1545="","",IF(INDEX(ポート振替表!$O$5:$O$3507,$L1545)="","(未設定)",INDEX(ポート振替表!$O$5:$O$3507,$L1545)&amp;""))</f>
        <v/>
      </c>
      <c r="F1545" s="52" t="str">
        <f aca="false">IF(L1545="","",INDEX(ポート振替表!$K$5:$K$3507,$L1545)&amp;" "&amp;INDEX(ポート振替表!$L$5:$L$3507,$L1545)&amp;"  ⇔  "&amp;INDEX(ポート振替表!$H$5:$H$3507,$L1545)&amp;" "&amp;INDEX(ポート振替表!$I$5:$I$3507,$L1545))</f>
        <v/>
      </c>
      <c r="G1545" s="57" t="s">
        <v>158</v>
      </c>
      <c r="H1545" s="32" t="str">
        <f aca="false">IF(L1545="","",INDEX(ポート振替表!$N$5:$N$3507,$L1545)&amp;"")</f>
        <v/>
      </c>
      <c r="I1545" s="32" t="str">
        <f aca="false">IF(L1545="","",INDEX(ポート振替表!$P$5:$P$3507,$L1545)&amp;"")</f>
        <v/>
      </c>
      <c r="J1545" s="60" t="str">
        <f aca="false">IF(L1545="","",INDEX(ポート振替表!$M$5:$M$3507,$L1545)&amp;"")</f>
        <v/>
      </c>
      <c r="K1545" s="52" t="str">
        <f aca="false">IF(L1545="","",E1545&amp;CHAR(10)&amp;INDEX(ポート振替表!$K$5:$K$3507,$L1545)&amp;" "&amp;INDEX(ポート振替表!$L$5:$L$3507,$L1545)&amp;CHAR(10)&amp;"⇔ "&amp;INDEX(ポート振替表!$H$5:$H$3507,$L1545)&amp;" "&amp;INDEX(ポート振替表!$I$5:$I$3507,$L1545))</f>
        <v/>
      </c>
      <c r="L1545" s="47" t="str">
        <f aca="false">IFERROR(MATCH(ROW()-4,ポート振替表!$V$5:$V$3507,0),"")</f>
        <v/>
      </c>
    </row>
    <row r="1546" customFormat="false" ht="16.4" hidden="false" customHeight="false" outlineLevel="0" collapsed="false">
      <c r="A1546" s="32" t="str">
        <f aca="false">IF(L1546="","",ROW()-4)</f>
        <v/>
      </c>
      <c r="B1546" s="58" t="str">
        <f aca="false">IF(L1546="","",IF(INDEX(ポート振替表!$W$5:$W$3507,$L1546)="","(なし)",INDEX(ポート振替表!$W$5:$W$3507,$L1546)&amp;""))</f>
        <v/>
      </c>
      <c r="C1546" s="52" t="str">
        <f aca="false">IF(L1546="","",INDEX(ポート振替表!$B$5:$B$3507,$L1546)&amp;" "&amp;INDEX(ポート振替表!$C$5:$C$3507,$L1546)&amp;"  ⇔  "&amp;INDEX(ポート振替表!$H$5:$H$3507,$L1546)&amp;" "&amp;INDEX(ポート振替表!$I$5:$I$3507,$L1546))</f>
        <v/>
      </c>
      <c r="D1546" s="57" t="s">
        <v>158</v>
      </c>
      <c r="E1546" s="59" t="str">
        <f aca="false">IF(L1546="","",IF(INDEX(ポート振替表!$O$5:$O$3507,$L1546)="","(未設定)",INDEX(ポート振替表!$O$5:$O$3507,$L1546)&amp;""))</f>
        <v/>
      </c>
      <c r="F1546" s="52" t="str">
        <f aca="false">IF(L1546="","",INDEX(ポート振替表!$K$5:$K$3507,$L1546)&amp;" "&amp;INDEX(ポート振替表!$L$5:$L$3507,$L1546)&amp;"  ⇔  "&amp;INDEX(ポート振替表!$H$5:$H$3507,$L1546)&amp;" "&amp;INDEX(ポート振替表!$I$5:$I$3507,$L1546))</f>
        <v/>
      </c>
      <c r="G1546" s="57" t="s">
        <v>158</v>
      </c>
      <c r="H1546" s="32" t="str">
        <f aca="false">IF(L1546="","",INDEX(ポート振替表!$N$5:$N$3507,$L1546)&amp;"")</f>
        <v/>
      </c>
      <c r="I1546" s="32" t="str">
        <f aca="false">IF(L1546="","",INDEX(ポート振替表!$P$5:$P$3507,$L1546)&amp;"")</f>
        <v/>
      </c>
      <c r="J1546" s="60" t="str">
        <f aca="false">IF(L1546="","",INDEX(ポート振替表!$M$5:$M$3507,$L1546)&amp;"")</f>
        <v/>
      </c>
      <c r="K1546" s="52" t="str">
        <f aca="false">IF(L1546="","",E1546&amp;CHAR(10)&amp;INDEX(ポート振替表!$K$5:$K$3507,$L1546)&amp;" "&amp;INDEX(ポート振替表!$L$5:$L$3507,$L1546)&amp;CHAR(10)&amp;"⇔ "&amp;INDEX(ポート振替表!$H$5:$H$3507,$L1546)&amp;" "&amp;INDEX(ポート振替表!$I$5:$I$3507,$L1546))</f>
        <v/>
      </c>
      <c r="L1546" s="47" t="str">
        <f aca="false">IFERROR(MATCH(ROW()-4,ポート振替表!$V$5:$V$3507,0),"")</f>
        <v/>
      </c>
    </row>
    <row r="1547" customFormat="false" ht="16.4" hidden="false" customHeight="false" outlineLevel="0" collapsed="false">
      <c r="A1547" s="32" t="str">
        <f aca="false">IF(L1547="","",ROW()-4)</f>
        <v/>
      </c>
      <c r="B1547" s="58" t="str">
        <f aca="false">IF(L1547="","",IF(INDEX(ポート振替表!$W$5:$W$3507,$L1547)="","(なし)",INDEX(ポート振替表!$W$5:$W$3507,$L1547)&amp;""))</f>
        <v/>
      </c>
      <c r="C1547" s="52" t="str">
        <f aca="false">IF(L1547="","",INDEX(ポート振替表!$B$5:$B$3507,$L1547)&amp;" "&amp;INDEX(ポート振替表!$C$5:$C$3507,$L1547)&amp;"  ⇔  "&amp;INDEX(ポート振替表!$H$5:$H$3507,$L1547)&amp;" "&amp;INDEX(ポート振替表!$I$5:$I$3507,$L1547))</f>
        <v/>
      </c>
      <c r="D1547" s="57" t="s">
        <v>158</v>
      </c>
      <c r="E1547" s="59" t="str">
        <f aca="false">IF(L1547="","",IF(INDEX(ポート振替表!$O$5:$O$3507,$L1547)="","(未設定)",INDEX(ポート振替表!$O$5:$O$3507,$L1547)&amp;""))</f>
        <v/>
      </c>
      <c r="F1547" s="52" t="str">
        <f aca="false">IF(L1547="","",INDEX(ポート振替表!$K$5:$K$3507,$L1547)&amp;" "&amp;INDEX(ポート振替表!$L$5:$L$3507,$L1547)&amp;"  ⇔  "&amp;INDEX(ポート振替表!$H$5:$H$3507,$L1547)&amp;" "&amp;INDEX(ポート振替表!$I$5:$I$3507,$L1547))</f>
        <v/>
      </c>
      <c r="G1547" s="57" t="s">
        <v>158</v>
      </c>
      <c r="H1547" s="32" t="str">
        <f aca="false">IF(L1547="","",INDEX(ポート振替表!$N$5:$N$3507,$L1547)&amp;"")</f>
        <v/>
      </c>
      <c r="I1547" s="32" t="str">
        <f aca="false">IF(L1547="","",INDEX(ポート振替表!$P$5:$P$3507,$L1547)&amp;"")</f>
        <v/>
      </c>
      <c r="J1547" s="60" t="str">
        <f aca="false">IF(L1547="","",INDEX(ポート振替表!$M$5:$M$3507,$L1547)&amp;"")</f>
        <v/>
      </c>
      <c r="K1547" s="52" t="str">
        <f aca="false">IF(L1547="","",E1547&amp;CHAR(10)&amp;INDEX(ポート振替表!$K$5:$K$3507,$L1547)&amp;" "&amp;INDEX(ポート振替表!$L$5:$L$3507,$L1547)&amp;CHAR(10)&amp;"⇔ "&amp;INDEX(ポート振替表!$H$5:$H$3507,$L1547)&amp;" "&amp;INDEX(ポート振替表!$I$5:$I$3507,$L1547))</f>
        <v/>
      </c>
      <c r="L1547" s="47" t="str">
        <f aca="false">IFERROR(MATCH(ROW()-4,ポート振替表!$V$5:$V$3507,0),"")</f>
        <v/>
      </c>
    </row>
    <row r="1548" customFormat="false" ht="16.4" hidden="false" customHeight="false" outlineLevel="0" collapsed="false">
      <c r="A1548" s="32" t="str">
        <f aca="false">IF(L1548="","",ROW()-4)</f>
        <v/>
      </c>
      <c r="B1548" s="58" t="str">
        <f aca="false">IF(L1548="","",IF(INDEX(ポート振替表!$W$5:$W$3507,$L1548)="","(なし)",INDEX(ポート振替表!$W$5:$W$3507,$L1548)&amp;""))</f>
        <v/>
      </c>
      <c r="C1548" s="52" t="str">
        <f aca="false">IF(L1548="","",INDEX(ポート振替表!$B$5:$B$3507,$L1548)&amp;" "&amp;INDEX(ポート振替表!$C$5:$C$3507,$L1548)&amp;"  ⇔  "&amp;INDEX(ポート振替表!$H$5:$H$3507,$L1548)&amp;" "&amp;INDEX(ポート振替表!$I$5:$I$3507,$L1548))</f>
        <v/>
      </c>
      <c r="D1548" s="57" t="s">
        <v>158</v>
      </c>
      <c r="E1548" s="59" t="str">
        <f aca="false">IF(L1548="","",IF(INDEX(ポート振替表!$O$5:$O$3507,$L1548)="","(未設定)",INDEX(ポート振替表!$O$5:$O$3507,$L1548)&amp;""))</f>
        <v/>
      </c>
      <c r="F1548" s="52" t="str">
        <f aca="false">IF(L1548="","",INDEX(ポート振替表!$K$5:$K$3507,$L1548)&amp;" "&amp;INDEX(ポート振替表!$L$5:$L$3507,$L1548)&amp;"  ⇔  "&amp;INDEX(ポート振替表!$H$5:$H$3507,$L1548)&amp;" "&amp;INDEX(ポート振替表!$I$5:$I$3507,$L1548))</f>
        <v/>
      </c>
      <c r="G1548" s="57" t="s">
        <v>158</v>
      </c>
      <c r="H1548" s="32" t="str">
        <f aca="false">IF(L1548="","",INDEX(ポート振替表!$N$5:$N$3507,$L1548)&amp;"")</f>
        <v/>
      </c>
      <c r="I1548" s="32" t="str">
        <f aca="false">IF(L1548="","",INDEX(ポート振替表!$P$5:$P$3507,$L1548)&amp;"")</f>
        <v/>
      </c>
      <c r="J1548" s="60" t="str">
        <f aca="false">IF(L1548="","",INDEX(ポート振替表!$M$5:$M$3507,$L1548)&amp;"")</f>
        <v/>
      </c>
      <c r="K1548" s="52" t="str">
        <f aca="false">IF(L1548="","",E1548&amp;CHAR(10)&amp;INDEX(ポート振替表!$K$5:$K$3507,$L1548)&amp;" "&amp;INDEX(ポート振替表!$L$5:$L$3507,$L1548)&amp;CHAR(10)&amp;"⇔ "&amp;INDEX(ポート振替表!$H$5:$H$3507,$L1548)&amp;" "&amp;INDEX(ポート振替表!$I$5:$I$3507,$L1548))</f>
        <v/>
      </c>
      <c r="L1548" s="47" t="str">
        <f aca="false">IFERROR(MATCH(ROW()-4,ポート振替表!$V$5:$V$3507,0),"")</f>
        <v/>
      </c>
    </row>
    <row r="1549" customFormat="false" ht="16.4" hidden="false" customHeight="false" outlineLevel="0" collapsed="false">
      <c r="A1549" s="32" t="str">
        <f aca="false">IF(L1549="","",ROW()-4)</f>
        <v/>
      </c>
      <c r="B1549" s="58" t="str">
        <f aca="false">IF(L1549="","",IF(INDEX(ポート振替表!$W$5:$W$3507,$L1549)="","(なし)",INDEX(ポート振替表!$W$5:$W$3507,$L1549)&amp;""))</f>
        <v/>
      </c>
      <c r="C1549" s="52" t="str">
        <f aca="false">IF(L1549="","",INDEX(ポート振替表!$B$5:$B$3507,$L1549)&amp;" "&amp;INDEX(ポート振替表!$C$5:$C$3507,$L1549)&amp;"  ⇔  "&amp;INDEX(ポート振替表!$H$5:$H$3507,$L1549)&amp;" "&amp;INDEX(ポート振替表!$I$5:$I$3507,$L1549))</f>
        <v/>
      </c>
      <c r="D1549" s="57" t="s">
        <v>158</v>
      </c>
      <c r="E1549" s="59" t="str">
        <f aca="false">IF(L1549="","",IF(INDEX(ポート振替表!$O$5:$O$3507,$L1549)="","(未設定)",INDEX(ポート振替表!$O$5:$O$3507,$L1549)&amp;""))</f>
        <v/>
      </c>
      <c r="F1549" s="52" t="str">
        <f aca="false">IF(L1549="","",INDEX(ポート振替表!$K$5:$K$3507,$L1549)&amp;" "&amp;INDEX(ポート振替表!$L$5:$L$3507,$L1549)&amp;"  ⇔  "&amp;INDEX(ポート振替表!$H$5:$H$3507,$L1549)&amp;" "&amp;INDEX(ポート振替表!$I$5:$I$3507,$L1549))</f>
        <v/>
      </c>
      <c r="G1549" s="57" t="s">
        <v>158</v>
      </c>
      <c r="H1549" s="32" t="str">
        <f aca="false">IF(L1549="","",INDEX(ポート振替表!$N$5:$N$3507,$L1549)&amp;"")</f>
        <v/>
      </c>
      <c r="I1549" s="32" t="str">
        <f aca="false">IF(L1549="","",INDEX(ポート振替表!$P$5:$P$3507,$L1549)&amp;"")</f>
        <v/>
      </c>
      <c r="J1549" s="60" t="str">
        <f aca="false">IF(L1549="","",INDEX(ポート振替表!$M$5:$M$3507,$L1549)&amp;"")</f>
        <v/>
      </c>
      <c r="K1549" s="52" t="str">
        <f aca="false">IF(L1549="","",E1549&amp;CHAR(10)&amp;INDEX(ポート振替表!$K$5:$K$3507,$L1549)&amp;" "&amp;INDEX(ポート振替表!$L$5:$L$3507,$L1549)&amp;CHAR(10)&amp;"⇔ "&amp;INDEX(ポート振替表!$H$5:$H$3507,$L1549)&amp;" "&amp;INDEX(ポート振替表!$I$5:$I$3507,$L1549))</f>
        <v/>
      </c>
      <c r="L1549" s="47" t="str">
        <f aca="false">IFERROR(MATCH(ROW()-4,ポート振替表!$V$5:$V$3507,0),"")</f>
        <v/>
      </c>
    </row>
    <row r="1550" customFormat="false" ht="16.4" hidden="false" customHeight="false" outlineLevel="0" collapsed="false">
      <c r="A1550" s="32" t="str">
        <f aca="false">IF(L1550="","",ROW()-4)</f>
        <v/>
      </c>
      <c r="B1550" s="58" t="str">
        <f aca="false">IF(L1550="","",IF(INDEX(ポート振替表!$W$5:$W$3507,$L1550)="","(なし)",INDEX(ポート振替表!$W$5:$W$3507,$L1550)&amp;""))</f>
        <v/>
      </c>
      <c r="C1550" s="52" t="str">
        <f aca="false">IF(L1550="","",INDEX(ポート振替表!$B$5:$B$3507,$L1550)&amp;" "&amp;INDEX(ポート振替表!$C$5:$C$3507,$L1550)&amp;"  ⇔  "&amp;INDEX(ポート振替表!$H$5:$H$3507,$L1550)&amp;" "&amp;INDEX(ポート振替表!$I$5:$I$3507,$L1550))</f>
        <v/>
      </c>
      <c r="D1550" s="57" t="s">
        <v>158</v>
      </c>
      <c r="E1550" s="59" t="str">
        <f aca="false">IF(L1550="","",IF(INDEX(ポート振替表!$O$5:$O$3507,$L1550)="","(未設定)",INDEX(ポート振替表!$O$5:$O$3507,$L1550)&amp;""))</f>
        <v/>
      </c>
      <c r="F1550" s="52" t="str">
        <f aca="false">IF(L1550="","",INDEX(ポート振替表!$K$5:$K$3507,$L1550)&amp;" "&amp;INDEX(ポート振替表!$L$5:$L$3507,$L1550)&amp;"  ⇔  "&amp;INDEX(ポート振替表!$H$5:$H$3507,$L1550)&amp;" "&amp;INDEX(ポート振替表!$I$5:$I$3507,$L1550))</f>
        <v/>
      </c>
      <c r="G1550" s="57" t="s">
        <v>158</v>
      </c>
      <c r="H1550" s="32" t="str">
        <f aca="false">IF(L1550="","",INDEX(ポート振替表!$N$5:$N$3507,$L1550)&amp;"")</f>
        <v/>
      </c>
      <c r="I1550" s="32" t="str">
        <f aca="false">IF(L1550="","",INDEX(ポート振替表!$P$5:$P$3507,$L1550)&amp;"")</f>
        <v/>
      </c>
      <c r="J1550" s="60" t="str">
        <f aca="false">IF(L1550="","",INDEX(ポート振替表!$M$5:$M$3507,$L1550)&amp;"")</f>
        <v/>
      </c>
      <c r="K1550" s="52" t="str">
        <f aca="false">IF(L1550="","",E1550&amp;CHAR(10)&amp;INDEX(ポート振替表!$K$5:$K$3507,$L1550)&amp;" "&amp;INDEX(ポート振替表!$L$5:$L$3507,$L1550)&amp;CHAR(10)&amp;"⇔ "&amp;INDEX(ポート振替表!$H$5:$H$3507,$L1550)&amp;" "&amp;INDEX(ポート振替表!$I$5:$I$3507,$L1550))</f>
        <v/>
      </c>
      <c r="L1550" s="47" t="str">
        <f aca="false">IFERROR(MATCH(ROW()-4,ポート振替表!$V$5:$V$3507,0),"")</f>
        <v/>
      </c>
    </row>
    <row r="1551" customFormat="false" ht="16.4" hidden="false" customHeight="false" outlineLevel="0" collapsed="false">
      <c r="A1551" s="32" t="str">
        <f aca="false">IF(L1551="","",ROW()-4)</f>
        <v/>
      </c>
      <c r="B1551" s="58" t="str">
        <f aca="false">IF(L1551="","",IF(INDEX(ポート振替表!$W$5:$W$3507,$L1551)="","(なし)",INDEX(ポート振替表!$W$5:$W$3507,$L1551)&amp;""))</f>
        <v/>
      </c>
      <c r="C1551" s="52" t="str">
        <f aca="false">IF(L1551="","",INDEX(ポート振替表!$B$5:$B$3507,$L1551)&amp;" "&amp;INDEX(ポート振替表!$C$5:$C$3507,$L1551)&amp;"  ⇔  "&amp;INDEX(ポート振替表!$H$5:$H$3507,$L1551)&amp;" "&amp;INDEX(ポート振替表!$I$5:$I$3507,$L1551))</f>
        <v/>
      </c>
      <c r="D1551" s="57" t="s">
        <v>158</v>
      </c>
      <c r="E1551" s="59" t="str">
        <f aca="false">IF(L1551="","",IF(INDEX(ポート振替表!$O$5:$O$3507,$L1551)="","(未設定)",INDEX(ポート振替表!$O$5:$O$3507,$L1551)&amp;""))</f>
        <v/>
      </c>
      <c r="F1551" s="52" t="str">
        <f aca="false">IF(L1551="","",INDEX(ポート振替表!$K$5:$K$3507,$L1551)&amp;" "&amp;INDEX(ポート振替表!$L$5:$L$3507,$L1551)&amp;"  ⇔  "&amp;INDEX(ポート振替表!$H$5:$H$3507,$L1551)&amp;" "&amp;INDEX(ポート振替表!$I$5:$I$3507,$L1551))</f>
        <v/>
      </c>
      <c r="G1551" s="57" t="s">
        <v>158</v>
      </c>
      <c r="H1551" s="32" t="str">
        <f aca="false">IF(L1551="","",INDEX(ポート振替表!$N$5:$N$3507,$L1551)&amp;"")</f>
        <v/>
      </c>
      <c r="I1551" s="32" t="str">
        <f aca="false">IF(L1551="","",INDEX(ポート振替表!$P$5:$P$3507,$L1551)&amp;"")</f>
        <v/>
      </c>
      <c r="J1551" s="60" t="str">
        <f aca="false">IF(L1551="","",INDEX(ポート振替表!$M$5:$M$3507,$L1551)&amp;"")</f>
        <v/>
      </c>
      <c r="K1551" s="52" t="str">
        <f aca="false">IF(L1551="","",E1551&amp;CHAR(10)&amp;INDEX(ポート振替表!$K$5:$K$3507,$L1551)&amp;" "&amp;INDEX(ポート振替表!$L$5:$L$3507,$L1551)&amp;CHAR(10)&amp;"⇔ "&amp;INDEX(ポート振替表!$H$5:$H$3507,$L1551)&amp;" "&amp;INDEX(ポート振替表!$I$5:$I$3507,$L1551))</f>
        <v/>
      </c>
      <c r="L1551" s="47" t="str">
        <f aca="false">IFERROR(MATCH(ROW()-4,ポート振替表!$V$5:$V$3507,0),"")</f>
        <v/>
      </c>
    </row>
    <row r="1552" customFormat="false" ht="16.4" hidden="false" customHeight="false" outlineLevel="0" collapsed="false">
      <c r="A1552" s="32" t="str">
        <f aca="false">IF(L1552="","",ROW()-4)</f>
        <v/>
      </c>
      <c r="B1552" s="58" t="str">
        <f aca="false">IF(L1552="","",IF(INDEX(ポート振替表!$W$5:$W$3507,$L1552)="","(なし)",INDEX(ポート振替表!$W$5:$W$3507,$L1552)&amp;""))</f>
        <v/>
      </c>
      <c r="C1552" s="52" t="str">
        <f aca="false">IF(L1552="","",INDEX(ポート振替表!$B$5:$B$3507,$L1552)&amp;" "&amp;INDEX(ポート振替表!$C$5:$C$3507,$L1552)&amp;"  ⇔  "&amp;INDEX(ポート振替表!$H$5:$H$3507,$L1552)&amp;" "&amp;INDEX(ポート振替表!$I$5:$I$3507,$L1552))</f>
        <v/>
      </c>
      <c r="D1552" s="57" t="s">
        <v>158</v>
      </c>
      <c r="E1552" s="59" t="str">
        <f aca="false">IF(L1552="","",IF(INDEX(ポート振替表!$O$5:$O$3507,$L1552)="","(未設定)",INDEX(ポート振替表!$O$5:$O$3507,$L1552)&amp;""))</f>
        <v/>
      </c>
      <c r="F1552" s="52" t="str">
        <f aca="false">IF(L1552="","",INDEX(ポート振替表!$K$5:$K$3507,$L1552)&amp;" "&amp;INDEX(ポート振替表!$L$5:$L$3507,$L1552)&amp;"  ⇔  "&amp;INDEX(ポート振替表!$H$5:$H$3507,$L1552)&amp;" "&amp;INDEX(ポート振替表!$I$5:$I$3507,$L1552))</f>
        <v/>
      </c>
      <c r="G1552" s="57" t="s">
        <v>158</v>
      </c>
      <c r="H1552" s="32" t="str">
        <f aca="false">IF(L1552="","",INDEX(ポート振替表!$N$5:$N$3507,$L1552)&amp;"")</f>
        <v/>
      </c>
      <c r="I1552" s="32" t="str">
        <f aca="false">IF(L1552="","",INDEX(ポート振替表!$P$5:$P$3507,$L1552)&amp;"")</f>
        <v/>
      </c>
      <c r="J1552" s="60" t="str">
        <f aca="false">IF(L1552="","",INDEX(ポート振替表!$M$5:$M$3507,$L1552)&amp;"")</f>
        <v/>
      </c>
      <c r="K1552" s="52" t="str">
        <f aca="false">IF(L1552="","",E1552&amp;CHAR(10)&amp;INDEX(ポート振替表!$K$5:$K$3507,$L1552)&amp;" "&amp;INDEX(ポート振替表!$L$5:$L$3507,$L1552)&amp;CHAR(10)&amp;"⇔ "&amp;INDEX(ポート振替表!$H$5:$H$3507,$L1552)&amp;" "&amp;INDEX(ポート振替表!$I$5:$I$3507,$L1552))</f>
        <v/>
      </c>
      <c r="L1552" s="47" t="str">
        <f aca="false">IFERROR(MATCH(ROW()-4,ポート振替表!$V$5:$V$3507,0),"")</f>
        <v/>
      </c>
    </row>
    <row r="1553" customFormat="false" ht="16.4" hidden="false" customHeight="false" outlineLevel="0" collapsed="false">
      <c r="A1553" s="32" t="str">
        <f aca="false">IF(L1553="","",ROW()-4)</f>
        <v/>
      </c>
      <c r="B1553" s="58" t="str">
        <f aca="false">IF(L1553="","",IF(INDEX(ポート振替表!$W$5:$W$3507,$L1553)="","(なし)",INDEX(ポート振替表!$W$5:$W$3507,$L1553)&amp;""))</f>
        <v/>
      </c>
      <c r="C1553" s="52" t="str">
        <f aca="false">IF(L1553="","",INDEX(ポート振替表!$B$5:$B$3507,$L1553)&amp;" "&amp;INDEX(ポート振替表!$C$5:$C$3507,$L1553)&amp;"  ⇔  "&amp;INDEX(ポート振替表!$H$5:$H$3507,$L1553)&amp;" "&amp;INDEX(ポート振替表!$I$5:$I$3507,$L1553))</f>
        <v/>
      </c>
      <c r="D1553" s="57" t="s">
        <v>158</v>
      </c>
      <c r="E1553" s="59" t="str">
        <f aca="false">IF(L1553="","",IF(INDEX(ポート振替表!$O$5:$O$3507,$L1553)="","(未設定)",INDEX(ポート振替表!$O$5:$O$3507,$L1553)&amp;""))</f>
        <v/>
      </c>
      <c r="F1553" s="52" t="str">
        <f aca="false">IF(L1553="","",INDEX(ポート振替表!$K$5:$K$3507,$L1553)&amp;" "&amp;INDEX(ポート振替表!$L$5:$L$3507,$L1553)&amp;"  ⇔  "&amp;INDEX(ポート振替表!$H$5:$H$3507,$L1553)&amp;" "&amp;INDEX(ポート振替表!$I$5:$I$3507,$L1553))</f>
        <v/>
      </c>
      <c r="G1553" s="57" t="s">
        <v>158</v>
      </c>
      <c r="H1553" s="32" t="str">
        <f aca="false">IF(L1553="","",INDEX(ポート振替表!$N$5:$N$3507,$L1553)&amp;"")</f>
        <v/>
      </c>
      <c r="I1553" s="32" t="str">
        <f aca="false">IF(L1553="","",INDEX(ポート振替表!$P$5:$P$3507,$L1553)&amp;"")</f>
        <v/>
      </c>
      <c r="J1553" s="60" t="str">
        <f aca="false">IF(L1553="","",INDEX(ポート振替表!$M$5:$M$3507,$L1553)&amp;"")</f>
        <v/>
      </c>
      <c r="K1553" s="52" t="str">
        <f aca="false">IF(L1553="","",E1553&amp;CHAR(10)&amp;INDEX(ポート振替表!$K$5:$K$3507,$L1553)&amp;" "&amp;INDEX(ポート振替表!$L$5:$L$3507,$L1553)&amp;CHAR(10)&amp;"⇔ "&amp;INDEX(ポート振替表!$H$5:$H$3507,$L1553)&amp;" "&amp;INDEX(ポート振替表!$I$5:$I$3507,$L1553))</f>
        <v/>
      </c>
      <c r="L1553" s="47" t="str">
        <f aca="false">IFERROR(MATCH(ROW()-4,ポート振替表!$V$5:$V$3507,0),"")</f>
        <v/>
      </c>
    </row>
    <row r="1554" customFormat="false" ht="16.4" hidden="false" customHeight="false" outlineLevel="0" collapsed="false">
      <c r="A1554" s="32" t="str">
        <f aca="false">IF(L1554="","",ROW()-4)</f>
        <v/>
      </c>
      <c r="B1554" s="58" t="str">
        <f aca="false">IF(L1554="","",IF(INDEX(ポート振替表!$W$5:$W$3507,$L1554)="","(なし)",INDEX(ポート振替表!$W$5:$W$3507,$L1554)&amp;""))</f>
        <v/>
      </c>
      <c r="C1554" s="52" t="str">
        <f aca="false">IF(L1554="","",INDEX(ポート振替表!$B$5:$B$3507,$L1554)&amp;" "&amp;INDEX(ポート振替表!$C$5:$C$3507,$L1554)&amp;"  ⇔  "&amp;INDEX(ポート振替表!$H$5:$H$3507,$L1554)&amp;" "&amp;INDEX(ポート振替表!$I$5:$I$3507,$L1554))</f>
        <v/>
      </c>
      <c r="D1554" s="57" t="s">
        <v>158</v>
      </c>
      <c r="E1554" s="59" t="str">
        <f aca="false">IF(L1554="","",IF(INDEX(ポート振替表!$O$5:$O$3507,$L1554)="","(未設定)",INDEX(ポート振替表!$O$5:$O$3507,$L1554)&amp;""))</f>
        <v/>
      </c>
      <c r="F1554" s="52" t="str">
        <f aca="false">IF(L1554="","",INDEX(ポート振替表!$K$5:$K$3507,$L1554)&amp;" "&amp;INDEX(ポート振替表!$L$5:$L$3507,$L1554)&amp;"  ⇔  "&amp;INDEX(ポート振替表!$H$5:$H$3507,$L1554)&amp;" "&amp;INDEX(ポート振替表!$I$5:$I$3507,$L1554))</f>
        <v/>
      </c>
      <c r="G1554" s="57" t="s">
        <v>158</v>
      </c>
      <c r="H1554" s="32" t="str">
        <f aca="false">IF(L1554="","",INDEX(ポート振替表!$N$5:$N$3507,$L1554)&amp;"")</f>
        <v/>
      </c>
      <c r="I1554" s="32" t="str">
        <f aca="false">IF(L1554="","",INDEX(ポート振替表!$P$5:$P$3507,$L1554)&amp;"")</f>
        <v/>
      </c>
      <c r="J1554" s="60" t="str">
        <f aca="false">IF(L1554="","",INDEX(ポート振替表!$M$5:$M$3507,$L1554)&amp;"")</f>
        <v/>
      </c>
      <c r="K1554" s="52" t="str">
        <f aca="false">IF(L1554="","",E1554&amp;CHAR(10)&amp;INDEX(ポート振替表!$K$5:$K$3507,$L1554)&amp;" "&amp;INDEX(ポート振替表!$L$5:$L$3507,$L1554)&amp;CHAR(10)&amp;"⇔ "&amp;INDEX(ポート振替表!$H$5:$H$3507,$L1554)&amp;" "&amp;INDEX(ポート振替表!$I$5:$I$3507,$L1554))</f>
        <v/>
      </c>
      <c r="L1554" s="47" t="str">
        <f aca="false">IFERROR(MATCH(ROW()-4,ポート振替表!$V$5:$V$3507,0),"")</f>
        <v/>
      </c>
    </row>
    <row r="1555" customFormat="false" ht="16.4" hidden="false" customHeight="false" outlineLevel="0" collapsed="false">
      <c r="A1555" s="32" t="str">
        <f aca="false">IF(L1555="","",ROW()-4)</f>
        <v/>
      </c>
      <c r="B1555" s="58" t="str">
        <f aca="false">IF(L1555="","",IF(INDEX(ポート振替表!$W$5:$W$3507,$L1555)="","(なし)",INDEX(ポート振替表!$W$5:$W$3507,$L1555)&amp;""))</f>
        <v/>
      </c>
      <c r="C1555" s="52" t="str">
        <f aca="false">IF(L1555="","",INDEX(ポート振替表!$B$5:$B$3507,$L1555)&amp;" "&amp;INDEX(ポート振替表!$C$5:$C$3507,$L1555)&amp;"  ⇔  "&amp;INDEX(ポート振替表!$H$5:$H$3507,$L1555)&amp;" "&amp;INDEX(ポート振替表!$I$5:$I$3507,$L1555))</f>
        <v/>
      </c>
      <c r="D1555" s="57" t="s">
        <v>158</v>
      </c>
      <c r="E1555" s="59" t="str">
        <f aca="false">IF(L1555="","",IF(INDEX(ポート振替表!$O$5:$O$3507,$L1555)="","(未設定)",INDEX(ポート振替表!$O$5:$O$3507,$L1555)&amp;""))</f>
        <v/>
      </c>
      <c r="F1555" s="52" t="str">
        <f aca="false">IF(L1555="","",INDEX(ポート振替表!$K$5:$K$3507,$L1555)&amp;" "&amp;INDEX(ポート振替表!$L$5:$L$3507,$L1555)&amp;"  ⇔  "&amp;INDEX(ポート振替表!$H$5:$H$3507,$L1555)&amp;" "&amp;INDEX(ポート振替表!$I$5:$I$3507,$L1555))</f>
        <v/>
      </c>
      <c r="G1555" s="57" t="s">
        <v>158</v>
      </c>
      <c r="H1555" s="32" t="str">
        <f aca="false">IF(L1555="","",INDEX(ポート振替表!$N$5:$N$3507,$L1555)&amp;"")</f>
        <v/>
      </c>
      <c r="I1555" s="32" t="str">
        <f aca="false">IF(L1555="","",INDEX(ポート振替表!$P$5:$P$3507,$L1555)&amp;"")</f>
        <v/>
      </c>
      <c r="J1555" s="60" t="str">
        <f aca="false">IF(L1555="","",INDEX(ポート振替表!$M$5:$M$3507,$L1555)&amp;"")</f>
        <v/>
      </c>
      <c r="K1555" s="52" t="str">
        <f aca="false">IF(L1555="","",E1555&amp;CHAR(10)&amp;INDEX(ポート振替表!$K$5:$K$3507,$L1555)&amp;" "&amp;INDEX(ポート振替表!$L$5:$L$3507,$L1555)&amp;CHAR(10)&amp;"⇔ "&amp;INDEX(ポート振替表!$H$5:$H$3507,$L1555)&amp;" "&amp;INDEX(ポート振替表!$I$5:$I$3507,$L1555))</f>
        <v/>
      </c>
      <c r="L1555" s="47" t="str">
        <f aca="false">IFERROR(MATCH(ROW()-4,ポート振替表!$V$5:$V$3507,0),"")</f>
        <v/>
      </c>
    </row>
    <row r="1556" customFormat="false" ht="16.4" hidden="false" customHeight="false" outlineLevel="0" collapsed="false">
      <c r="A1556" s="32" t="str">
        <f aca="false">IF(L1556="","",ROW()-4)</f>
        <v/>
      </c>
      <c r="B1556" s="58" t="str">
        <f aca="false">IF(L1556="","",IF(INDEX(ポート振替表!$W$5:$W$3507,$L1556)="","(なし)",INDEX(ポート振替表!$W$5:$W$3507,$L1556)&amp;""))</f>
        <v/>
      </c>
      <c r="C1556" s="52" t="str">
        <f aca="false">IF(L1556="","",INDEX(ポート振替表!$B$5:$B$3507,$L1556)&amp;" "&amp;INDEX(ポート振替表!$C$5:$C$3507,$L1556)&amp;"  ⇔  "&amp;INDEX(ポート振替表!$H$5:$H$3507,$L1556)&amp;" "&amp;INDEX(ポート振替表!$I$5:$I$3507,$L1556))</f>
        <v/>
      </c>
      <c r="D1556" s="57" t="s">
        <v>158</v>
      </c>
      <c r="E1556" s="59" t="str">
        <f aca="false">IF(L1556="","",IF(INDEX(ポート振替表!$O$5:$O$3507,$L1556)="","(未設定)",INDEX(ポート振替表!$O$5:$O$3507,$L1556)&amp;""))</f>
        <v/>
      </c>
      <c r="F1556" s="52" t="str">
        <f aca="false">IF(L1556="","",INDEX(ポート振替表!$K$5:$K$3507,$L1556)&amp;" "&amp;INDEX(ポート振替表!$L$5:$L$3507,$L1556)&amp;"  ⇔  "&amp;INDEX(ポート振替表!$H$5:$H$3507,$L1556)&amp;" "&amp;INDEX(ポート振替表!$I$5:$I$3507,$L1556))</f>
        <v/>
      </c>
      <c r="G1556" s="57" t="s">
        <v>158</v>
      </c>
      <c r="H1556" s="32" t="str">
        <f aca="false">IF(L1556="","",INDEX(ポート振替表!$N$5:$N$3507,$L1556)&amp;"")</f>
        <v/>
      </c>
      <c r="I1556" s="32" t="str">
        <f aca="false">IF(L1556="","",INDEX(ポート振替表!$P$5:$P$3507,$L1556)&amp;"")</f>
        <v/>
      </c>
      <c r="J1556" s="60" t="str">
        <f aca="false">IF(L1556="","",INDEX(ポート振替表!$M$5:$M$3507,$L1556)&amp;"")</f>
        <v/>
      </c>
      <c r="K1556" s="52" t="str">
        <f aca="false">IF(L1556="","",E1556&amp;CHAR(10)&amp;INDEX(ポート振替表!$K$5:$K$3507,$L1556)&amp;" "&amp;INDEX(ポート振替表!$L$5:$L$3507,$L1556)&amp;CHAR(10)&amp;"⇔ "&amp;INDEX(ポート振替表!$H$5:$H$3507,$L1556)&amp;" "&amp;INDEX(ポート振替表!$I$5:$I$3507,$L1556))</f>
        <v/>
      </c>
      <c r="L1556" s="47" t="str">
        <f aca="false">IFERROR(MATCH(ROW()-4,ポート振替表!$V$5:$V$3507,0),"")</f>
        <v/>
      </c>
    </row>
    <row r="1557" customFormat="false" ht="16.4" hidden="false" customHeight="false" outlineLevel="0" collapsed="false">
      <c r="A1557" s="32" t="str">
        <f aca="false">IF(L1557="","",ROW()-4)</f>
        <v/>
      </c>
      <c r="B1557" s="58" t="str">
        <f aca="false">IF(L1557="","",IF(INDEX(ポート振替表!$W$5:$W$3507,$L1557)="","(なし)",INDEX(ポート振替表!$W$5:$W$3507,$L1557)&amp;""))</f>
        <v/>
      </c>
      <c r="C1557" s="52" t="str">
        <f aca="false">IF(L1557="","",INDEX(ポート振替表!$B$5:$B$3507,$L1557)&amp;" "&amp;INDEX(ポート振替表!$C$5:$C$3507,$L1557)&amp;"  ⇔  "&amp;INDEX(ポート振替表!$H$5:$H$3507,$L1557)&amp;" "&amp;INDEX(ポート振替表!$I$5:$I$3507,$L1557))</f>
        <v/>
      </c>
      <c r="D1557" s="57" t="s">
        <v>158</v>
      </c>
      <c r="E1557" s="59" t="str">
        <f aca="false">IF(L1557="","",IF(INDEX(ポート振替表!$O$5:$O$3507,$L1557)="","(未設定)",INDEX(ポート振替表!$O$5:$O$3507,$L1557)&amp;""))</f>
        <v/>
      </c>
      <c r="F1557" s="52" t="str">
        <f aca="false">IF(L1557="","",INDEX(ポート振替表!$K$5:$K$3507,$L1557)&amp;" "&amp;INDEX(ポート振替表!$L$5:$L$3507,$L1557)&amp;"  ⇔  "&amp;INDEX(ポート振替表!$H$5:$H$3507,$L1557)&amp;" "&amp;INDEX(ポート振替表!$I$5:$I$3507,$L1557))</f>
        <v/>
      </c>
      <c r="G1557" s="57" t="s">
        <v>158</v>
      </c>
      <c r="H1557" s="32" t="str">
        <f aca="false">IF(L1557="","",INDEX(ポート振替表!$N$5:$N$3507,$L1557)&amp;"")</f>
        <v/>
      </c>
      <c r="I1557" s="32" t="str">
        <f aca="false">IF(L1557="","",INDEX(ポート振替表!$P$5:$P$3507,$L1557)&amp;"")</f>
        <v/>
      </c>
      <c r="J1557" s="60" t="str">
        <f aca="false">IF(L1557="","",INDEX(ポート振替表!$M$5:$M$3507,$L1557)&amp;"")</f>
        <v/>
      </c>
      <c r="K1557" s="52" t="str">
        <f aca="false">IF(L1557="","",E1557&amp;CHAR(10)&amp;INDEX(ポート振替表!$K$5:$K$3507,$L1557)&amp;" "&amp;INDEX(ポート振替表!$L$5:$L$3507,$L1557)&amp;CHAR(10)&amp;"⇔ "&amp;INDEX(ポート振替表!$H$5:$H$3507,$L1557)&amp;" "&amp;INDEX(ポート振替表!$I$5:$I$3507,$L1557))</f>
        <v/>
      </c>
      <c r="L1557" s="47" t="str">
        <f aca="false">IFERROR(MATCH(ROW()-4,ポート振替表!$V$5:$V$3507,0),"")</f>
        <v/>
      </c>
    </row>
    <row r="1558" customFormat="false" ht="16.4" hidden="false" customHeight="false" outlineLevel="0" collapsed="false">
      <c r="A1558" s="32" t="str">
        <f aca="false">IF(L1558="","",ROW()-4)</f>
        <v/>
      </c>
      <c r="B1558" s="58" t="str">
        <f aca="false">IF(L1558="","",IF(INDEX(ポート振替表!$W$5:$W$3507,$L1558)="","(なし)",INDEX(ポート振替表!$W$5:$W$3507,$L1558)&amp;""))</f>
        <v/>
      </c>
      <c r="C1558" s="52" t="str">
        <f aca="false">IF(L1558="","",INDEX(ポート振替表!$B$5:$B$3507,$L1558)&amp;" "&amp;INDEX(ポート振替表!$C$5:$C$3507,$L1558)&amp;"  ⇔  "&amp;INDEX(ポート振替表!$H$5:$H$3507,$L1558)&amp;" "&amp;INDEX(ポート振替表!$I$5:$I$3507,$L1558))</f>
        <v/>
      </c>
      <c r="D1558" s="57" t="s">
        <v>158</v>
      </c>
      <c r="E1558" s="59" t="str">
        <f aca="false">IF(L1558="","",IF(INDEX(ポート振替表!$O$5:$O$3507,$L1558)="","(未設定)",INDEX(ポート振替表!$O$5:$O$3507,$L1558)&amp;""))</f>
        <v/>
      </c>
      <c r="F1558" s="52" t="str">
        <f aca="false">IF(L1558="","",INDEX(ポート振替表!$K$5:$K$3507,$L1558)&amp;" "&amp;INDEX(ポート振替表!$L$5:$L$3507,$L1558)&amp;"  ⇔  "&amp;INDEX(ポート振替表!$H$5:$H$3507,$L1558)&amp;" "&amp;INDEX(ポート振替表!$I$5:$I$3507,$L1558))</f>
        <v/>
      </c>
      <c r="G1558" s="57" t="s">
        <v>158</v>
      </c>
      <c r="H1558" s="32" t="str">
        <f aca="false">IF(L1558="","",INDEX(ポート振替表!$N$5:$N$3507,$L1558)&amp;"")</f>
        <v/>
      </c>
      <c r="I1558" s="32" t="str">
        <f aca="false">IF(L1558="","",INDEX(ポート振替表!$P$5:$P$3507,$L1558)&amp;"")</f>
        <v/>
      </c>
      <c r="J1558" s="60" t="str">
        <f aca="false">IF(L1558="","",INDEX(ポート振替表!$M$5:$M$3507,$L1558)&amp;"")</f>
        <v/>
      </c>
      <c r="K1558" s="52" t="str">
        <f aca="false">IF(L1558="","",E1558&amp;CHAR(10)&amp;INDEX(ポート振替表!$K$5:$K$3507,$L1558)&amp;" "&amp;INDEX(ポート振替表!$L$5:$L$3507,$L1558)&amp;CHAR(10)&amp;"⇔ "&amp;INDEX(ポート振替表!$H$5:$H$3507,$L1558)&amp;" "&amp;INDEX(ポート振替表!$I$5:$I$3507,$L1558))</f>
        <v/>
      </c>
      <c r="L1558" s="47" t="str">
        <f aca="false">IFERROR(MATCH(ROW()-4,ポート振替表!$V$5:$V$3507,0),"")</f>
        <v/>
      </c>
    </row>
    <row r="1559" customFormat="false" ht="16.4" hidden="false" customHeight="false" outlineLevel="0" collapsed="false">
      <c r="A1559" s="32" t="str">
        <f aca="false">IF(L1559="","",ROW()-4)</f>
        <v/>
      </c>
      <c r="B1559" s="58" t="str">
        <f aca="false">IF(L1559="","",IF(INDEX(ポート振替表!$W$5:$W$3507,$L1559)="","(なし)",INDEX(ポート振替表!$W$5:$W$3507,$L1559)&amp;""))</f>
        <v/>
      </c>
      <c r="C1559" s="52" t="str">
        <f aca="false">IF(L1559="","",INDEX(ポート振替表!$B$5:$B$3507,$L1559)&amp;" "&amp;INDEX(ポート振替表!$C$5:$C$3507,$L1559)&amp;"  ⇔  "&amp;INDEX(ポート振替表!$H$5:$H$3507,$L1559)&amp;" "&amp;INDEX(ポート振替表!$I$5:$I$3507,$L1559))</f>
        <v/>
      </c>
      <c r="D1559" s="57" t="s">
        <v>158</v>
      </c>
      <c r="E1559" s="59" t="str">
        <f aca="false">IF(L1559="","",IF(INDEX(ポート振替表!$O$5:$O$3507,$L1559)="","(未設定)",INDEX(ポート振替表!$O$5:$O$3507,$L1559)&amp;""))</f>
        <v/>
      </c>
      <c r="F1559" s="52" t="str">
        <f aca="false">IF(L1559="","",INDEX(ポート振替表!$K$5:$K$3507,$L1559)&amp;" "&amp;INDEX(ポート振替表!$L$5:$L$3507,$L1559)&amp;"  ⇔  "&amp;INDEX(ポート振替表!$H$5:$H$3507,$L1559)&amp;" "&amp;INDEX(ポート振替表!$I$5:$I$3507,$L1559))</f>
        <v/>
      </c>
      <c r="G1559" s="57" t="s">
        <v>158</v>
      </c>
      <c r="H1559" s="32" t="str">
        <f aca="false">IF(L1559="","",INDEX(ポート振替表!$N$5:$N$3507,$L1559)&amp;"")</f>
        <v/>
      </c>
      <c r="I1559" s="32" t="str">
        <f aca="false">IF(L1559="","",INDEX(ポート振替表!$P$5:$P$3507,$L1559)&amp;"")</f>
        <v/>
      </c>
      <c r="J1559" s="60" t="str">
        <f aca="false">IF(L1559="","",INDEX(ポート振替表!$M$5:$M$3507,$L1559)&amp;"")</f>
        <v/>
      </c>
      <c r="K1559" s="52" t="str">
        <f aca="false">IF(L1559="","",E1559&amp;CHAR(10)&amp;INDEX(ポート振替表!$K$5:$K$3507,$L1559)&amp;" "&amp;INDEX(ポート振替表!$L$5:$L$3507,$L1559)&amp;CHAR(10)&amp;"⇔ "&amp;INDEX(ポート振替表!$H$5:$H$3507,$L1559)&amp;" "&amp;INDEX(ポート振替表!$I$5:$I$3507,$L1559))</f>
        <v/>
      </c>
      <c r="L1559" s="47" t="str">
        <f aca="false">IFERROR(MATCH(ROW()-4,ポート振替表!$V$5:$V$3507,0),"")</f>
        <v/>
      </c>
    </row>
    <row r="1560" customFormat="false" ht="16.4" hidden="false" customHeight="false" outlineLevel="0" collapsed="false">
      <c r="A1560" s="32" t="str">
        <f aca="false">IF(L1560="","",ROW()-4)</f>
        <v/>
      </c>
      <c r="B1560" s="58" t="str">
        <f aca="false">IF(L1560="","",IF(INDEX(ポート振替表!$W$5:$W$3507,$L1560)="","(なし)",INDEX(ポート振替表!$W$5:$W$3507,$L1560)&amp;""))</f>
        <v/>
      </c>
      <c r="C1560" s="52" t="str">
        <f aca="false">IF(L1560="","",INDEX(ポート振替表!$B$5:$B$3507,$L1560)&amp;" "&amp;INDEX(ポート振替表!$C$5:$C$3507,$L1560)&amp;"  ⇔  "&amp;INDEX(ポート振替表!$H$5:$H$3507,$L1560)&amp;" "&amp;INDEX(ポート振替表!$I$5:$I$3507,$L1560))</f>
        <v/>
      </c>
      <c r="D1560" s="57" t="s">
        <v>158</v>
      </c>
      <c r="E1560" s="59" t="str">
        <f aca="false">IF(L1560="","",IF(INDEX(ポート振替表!$O$5:$O$3507,$L1560)="","(未設定)",INDEX(ポート振替表!$O$5:$O$3507,$L1560)&amp;""))</f>
        <v/>
      </c>
      <c r="F1560" s="52" t="str">
        <f aca="false">IF(L1560="","",INDEX(ポート振替表!$K$5:$K$3507,$L1560)&amp;" "&amp;INDEX(ポート振替表!$L$5:$L$3507,$L1560)&amp;"  ⇔  "&amp;INDEX(ポート振替表!$H$5:$H$3507,$L1560)&amp;" "&amp;INDEX(ポート振替表!$I$5:$I$3507,$L1560))</f>
        <v/>
      </c>
      <c r="G1560" s="57" t="s">
        <v>158</v>
      </c>
      <c r="H1560" s="32" t="str">
        <f aca="false">IF(L1560="","",INDEX(ポート振替表!$N$5:$N$3507,$L1560)&amp;"")</f>
        <v/>
      </c>
      <c r="I1560" s="32" t="str">
        <f aca="false">IF(L1560="","",INDEX(ポート振替表!$P$5:$P$3507,$L1560)&amp;"")</f>
        <v/>
      </c>
      <c r="J1560" s="60" t="str">
        <f aca="false">IF(L1560="","",INDEX(ポート振替表!$M$5:$M$3507,$L1560)&amp;"")</f>
        <v/>
      </c>
      <c r="K1560" s="52" t="str">
        <f aca="false">IF(L1560="","",E1560&amp;CHAR(10)&amp;INDEX(ポート振替表!$K$5:$K$3507,$L1560)&amp;" "&amp;INDEX(ポート振替表!$L$5:$L$3507,$L1560)&amp;CHAR(10)&amp;"⇔ "&amp;INDEX(ポート振替表!$H$5:$H$3507,$L1560)&amp;" "&amp;INDEX(ポート振替表!$I$5:$I$3507,$L1560))</f>
        <v/>
      </c>
      <c r="L1560" s="47" t="str">
        <f aca="false">IFERROR(MATCH(ROW()-4,ポート振替表!$V$5:$V$3507,0),"")</f>
        <v/>
      </c>
    </row>
    <row r="1561" customFormat="false" ht="16.4" hidden="false" customHeight="false" outlineLevel="0" collapsed="false">
      <c r="A1561" s="32" t="str">
        <f aca="false">IF(L1561="","",ROW()-4)</f>
        <v/>
      </c>
      <c r="B1561" s="58" t="str">
        <f aca="false">IF(L1561="","",IF(INDEX(ポート振替表!$W$5:$W$3507,$L1561)="","(なし)",INDEX(ポート振替表!$W$5:$W$3507,$L1561)&amp;""))</f>
        <v/>
      </c>
      <c r="C1561" s="52" t="str">
        <f aca="false">IF(L1561="","",INDEX(ポート振替表!$B$5:$B$3507,$L1561)&amp;" "&amp;INDEX(ポート振替表!$C$5:$C$3507,$L1561)&amp;"  ⇔  "&amp;INDEX(ポート振替表!$H$5:$H$3507,$L1561)&amp;" "&amp;INDEX(ポート振替表!$I$5:$I$3507,$L1561))</f>
        <v/>
      </c>
      <c r="D1561" s="57" t="s">
        <v>158</v>
      </c>
      <c r="E1561" s="59" t="str">
        <f aca="false">IF(L1561="","",IF(INDEX(ポート振替表!$O$5:$O$3507,$L1561)="","(未設定)",INDEX(ポート振替表!$O$5:$O$3507,$L1561)&amp;""))</f>
        <v/>
      </c>
      <c r="F1561" s="52" t="str">
        <f aca="false">IF(L1561="","",INDEX(ポート振替表!$K$5:$K$3507,$L1561)&amp;" "&amp;INDEX(ポート振替表!$L$5:$L$3507,$L1561)&amp;"  ⇔  "&amp;INDEX(ポート振替表!$H$5:$H$3507,$L1561)&amp;" "&amp;INDEX(ポート振替表!$I$5:$I$3507,$L1561))</f>
        <v/>
      </c>
      <c r="G1561" s="57" t="s">
        <v>158</v>
      </c>
      <c r="H1561" s="32" t="str">
        <f aca="false">IF(L1561="","",INDEX(ポート振替表!$N$5:$N$3507,$L1561)&amp;"")</f>
        <v/>
      </c>
      <c r="I1561" s="32" t="str">
        <f aca="false">IF(L1561="","",INDEX(ポート振替表!$P$5:$P$3507,$L1561)&amp;"")</f>
        <v/>
      </c>
      <c r="J1561" s="60" t="str">
        <f aca="false">IF(L1561="","",INDEX(ポート振替表!$M$5:$M$3507,$L1561)&amp;"")</f>
        <v/>
      </c>
      <c r="K1561" s="52" t="str">
        <f aca="false">IF(L1561="","",E1561&amp;CHAR(10)&amp;INDEX(ポート振替表!$K$5:$K$3507,$L1561)&amp;" "&amp;INDEX(ポート振替表!$L$5:$L$3507,$L1561)&amp;CHAR(10)&amp;"⇔ "&amp;INDEX(ポート振替表!$H$5:$H$3507,$L1561)&amp;" "&amp;INDEX(ポート振替表!$I$5:$I$3507,$L1561))</f>
        <v/>
      </c>
      <c r="L1561" s="47" t="str">
        <f aca="false">IFERROR(MATCH(ROW()-4,ポート振替表!$V$5:$V$3507,0),"")</f>
        <v/>
      </c>
    </row>
    <row r="1562" customFormat="false" ht="16.4" hidden="false" customHeight="false" outlineLevel="0" collapsed="false">
      <c r="A1562" s="32" t="str">
        <f aca="false">IF(L1562="","",ROW()-4)</f>
        <v/>
      </c>
      <c r="B1562" s="58" t="str">
        <f aca="false">IF(L1562="","",IF(INDEX(ポート振替表!$W$5:$W$3507,$L1562)="","(なし)",INDEX(ポート振替表!$W$5:$W$3507,$L1562)&amp;""))</f>
        <v/>
      </c>
      <c r="C1562" s="52" t="str">
        <f aca="false">IF(L1562="","",INDEX(ポート振替表!$B$5:$B$3507,$L1562)&amp;" "&amp;INDEX(ポート振替表!$C$5:$C$3507,$L1562)&amp;"  ⇔  "&amp;INDEX(ポート振替表!$H$5:$H$3507,$L1562)&amp;" "&amp;INDEX(ポート振替表!$I$5:$I$3507,$L1562))</f>
        <v/>
      </c>
      <c r="D1562" s="57" t="s">
        <v>158</v>
      </c>
      <c r="E1562" s="59" t="str">
        <f aca="false">IF(L1562="","",IF(INDEX(ポート振替表!$O$5:$O$3507,$L1562)="","(未設定)",INDEX(ポート振替表!$O$5:$O$3507,$L1562)&amp;""))</f>
        <v/>
      </c>
      <c r="F1562" s="52" t="str">
        <f aca="false">IF(L1562="","",INDEX(ポート振替表!$K$5:$K$3507,$L1562)&amp;" "&amp;INDEX(ポート振替表!$L$5:$L$3507,$L1562)&amp;"  ⇔  "&amp;INDEX(ポート振替表!$H$5:$H$3507,$L1562)&amp;" "&amp;INDEX(ポート振替表!$I$5:$I$3507,$L1562))</f>
        <v/>
      </c>
      <c r="G1562" s="57" t="s">
        <v>158</v>
      </c>
      <c r="H1562" s="32" t="str">
        <f aca="false">IF(L1562="","",INDEX(ポート振替表!$N$5:$N$3507,$L1562)&amp;"")</f>
        <v/>
      </c>
      <c r="I1562" s="32" t="str">
        <f aca="false">IF(L1562="","",INDEX(ポート振替表!$P$5:$P$3507,$L1562)&amp;"")</f>
        <v/>
      </c>
      <c r="J1562" s="60" t="str">
        <f aca="false">IF(L1562="","",INDEX(ポート振替表!$M$5:$M$3507,$L1562)&amp;"")</f>
        <v/>
      </c>
      <c r="K1562" s="52" t="str">
        <f aca="false">IF(L1562="","",E1562&amp;CHAR(10)&amp;INDEX(ポート振替表!$K$5:$K$3507,$L1562)&amp;" "&amp;INDEX(ポート振替表!$L$5:$L$3507,$L1562)&amp;CHAR(10)&amp;"⇔ "&amp;INDEX(ポート振替表!$H$5:$H$3507,$L1562)&amp;" "&amp;INDEX(ポート振替表!$I$5:$I$3507,$L1562))</f>
        <v/>
      </c>
      <c r="L1562" s="47" t="str">
        <f aca="false">IFERROR(MATCH(ROW()-4,ポート振替表!$V$5:$V$3507,0),"")</f>
        <v/>
      </c>
    </row>
    <row r="1563" customFormat="false" ht="16.4" hidden="false" customHeight="false" outlineLevel="0" collapsed="false">
      <c r="A1563" s="32" t="str">
        <f aca="false">IF(L1563="","",ROW()-4)</f>
        <v/>
      </c>
      <c r="B1563" s="58" t="str">
        <f aca="false">IF(L1563="","",IF(INDEX(ポート振替表!$W$5:$W$3507,$L1563)="","(なし)",INDEX(ポート振替表!$W$5:$W$3507,$L1563)&amp;""))</f>
        <v/>
      </c>
      <c r="C1563" s="52" t="str">
        <f aca="false">IF(L1563="","",INDEX(ポート振替表!$B$5:$B$3507,$L1563)&amp;" "&amp;INDEX(ポート振替表!$C$5:$C$3507,$L1563)&amp;"  ⇔  "&amp;INDEX(ポート振替表!$H$5:$H$3507,$L1563)&amp;" "&amp;INDEX(ポート振替表!$I$5:$I$3507,$L1563))</f>
        <v/>
      </c>
      <c r="D1563" s="57" t="s">
        <v>158</v>
      </c>
      <c r="E1563" s="59" t="str">
        <f aca="false">IF(L1563="","",IF(INDEX(ポート振替表!$O$5:$O$3507,$L1563)="","(未設定)",INDEX(ポート振替表!$O$5:$O$3507,$L1563)&amp;""))</f>
        <v/>
      </c>
      <c r="F1563" s="52" t="str">
        <f aca="false">IF(L1563="","",INDEX(ポート振替表!$K$5:$K$3507,$L1563)&amp;" "&amp;INDEX(ポート振替表!$L$5:$L$3507,$L1563)&amp;"  ⇔  "&amp;INDEX(ポート振替表!$H$5:$H$3507,$L1563)&amp;" "&amp;INDEX(ポート振替表!$I$5:$I$3507,$L1563))</f>
        <v/>
      </c>
      <c r="G1563" s="57" t="s">
        <v>158</v>
      </c>
      <c r="H1563" s="32" t="str">
        <f aca="false">IF(L1563="","",INDEX(ポート振替表!$N$5:$N$3507,$L1563)&amp;"")</f>
        <v/>
      </c>
      <c r="I1563" s="32" t="str">
        <f aca="false">IF(L1563="","",INDEX(ポート振替表!$P$5:$P$3507,$L1563)&amp;"")</f>
        <v/>
      </c>
      <c r="J1563" s="60" t="str">
        <f aca="false">IF(L1563="","",INDEX(ポート振替表!$M$5:$M$3507,$L1563)&amp;"")</f>
        <v/>
      </c>
      <c r="K1563" s="52" t="str">
        <f aca="false">IF(L1563="","",E1563&amp;CHAR(10)&amp;INDEX(ポート振替表!$K$5:$K$3507,$L1563)&amp;" "&amp;INDEX(ポート振替表!$L$5:$L$3507,$L1563)&amp;CHAR(10)&amp;"⇔ "&amp;INDEX(ポート振替表!$H$5:$H$3507,$L1563)&amp;" "&amp;INDEX(ポート振替表!$I$5:$I$3507,$L1563))</f>
        <v/>
      </c>
      <c r="L1563" s="47" t="str">
        <f aca="false">IFERROR(MATCH(ROW()-4,ポート振替表!$V$5:$V$3507,0),"")</f>
        <v/>
      </c>
    </row>
    <row r="1564" customFormat="false" ht="16.4" hidden="false" customHeight="false" outlineLevel="0" collapsed="false">
      <c r="A1564" s="32" t="str">
        <f aca="false">IF(L1564="","",ROW()-4)</f>
        <v/>
      </c>
      <c r="B1564" s="58" t="str">
        <f aca="false">IF(L1564="","",IF(INDEX(ポート振替表!$W$5:$W$3507,$L1564)="","(なし)",INDEX(ポート振替表!$W$5:$W$3507,$L1564)&amp;""))</f>
        <v/>
      </c>
      <c r="C1564" s="52" t="str">
        <f aca="false">IF(L1564="","",INDEX(ポート振替表!$B$5:$B$3507,$L1564)&amp;" "&amp;INDEX(ポート振替表!$C$5:$C$3507,$L1564)&amp;"  ⇔  "&amp;INDEX(ポート振替表!$H$5:$H$3507,$L1564)&amp;" "&amp;INDEX(ポート振替表!$I$5:$I$3507,$L1564))</f>
        <v/>
      </c>
      <c r="D1564" s="57" t="s">
        <v>158</v>
      </c>
      <c r="E1564" s="59" t="str">
        <f aca="false">IF(L1564="","",IF(INDEX(ポート振替表!$O$5:$O$3507,$L1564)="","(未設定)",INDEX(ポート振替表!$O$5:$O$3507,$L1564)&amp;""))</f>
        <v/>
      </c>
      <c r="F1564" s="52" t="str">
        <f aca="false">IF(L1564="","",INDEX(ポート振替表!$K$5:$K$3507,$L1564)&amp;" "&amp;INDEX(ポート振替表!$L$5:$L$3507,$L1564)&amp;"  ⇔  "&amp;INDEX(ポート振替表!$H$5:$H$3507,$L1564)&amp;" "&amp;INDEX(ポート振替表!$I$5:$I$3507,$L1564))</f>
        <v/>
      </c>
      <c r="G1564" s="57" t="s">
        <v>158</v>
      </c>
      <c r="H1564" s="32" t="str">
        <f aca="false">IF(L1564="","",INDEX(ポート振替表!$N$5:$N$3507,$L1564)&amp;"")</f>
        <v/>
      </c>
      <c r="I1564" s="32" t="str">
        <f aca="false">IF(L1564="","",INDEX(ポート振替表!$P$5:$P$3507,$L1564)&amp;"")</f>
        <v/>
      </c>
      <c r="J1564" s="60" t="str">
        <f aca="false">IF(L1564="","",INDEX(ポート振替表!$M$5:$M$3507,$L1564)&amp;"")</f>
        <v/>
      </c>
      <c r="K1564" s="52" t="str">
        <f aca="false">IF(L1564="","",E1564&amp;CHAR(10)&amp;INDEX(ポート振替表!$K$5:$K$3507,$L1564)&amp;" "&amp;INDEX(ポート振替表!$L$5:$L$3507,$L1564)&amp;CHAR(10)&amp;"⇔ "&amp;INDEX(ポート振替表!$H$5:$H$3507,$L1564)&amp;" "&amp;INDEX(ポート振替表!$I$5:$I$3507,$L1564))</f>
        <v/>
      </c>
      <c r="L1564" s="47" t="str">
        <f aca="false">IFERROR(MATCH(ROW()-4,ポート振替表!$V$5:$V$3507,0),"")</f>
        <v/>
      </c>
    </row>
    <row r="1565" customFormat="false" ht="16.4" hidden="false" customHeight="false" outlineLevel="0" collapsed="false">
      <c r="A1565" s="32" t="str">
        <f aca="false">IF(L1565="","",ROW()-4)</f>
        <v/>
      </c>
      <c r="B1565" s="58" t="str">
        <f aca="false">IF(L1565="","",IF(INDEX(ポート振替表!$W$5:$W$3507,$L1565)="","(なし)",INDEX(ポート振替表!$W$5:$W$3507,$L1565)&amp;""))</f>
        <v/>
      </c>
      <c r="C1565" s="52" t="str">
        <f aca="false">IF(L1565="","",INDEX(ポート振替表!$B$5:$B$3507,$L1565)&amp;" "&amp;INDEX(ポート振替表!$C$5:$C$3507,$L1565)&amp;"  ⇔  "&amp;INDEX(ポート振替表!$H$5:$H$3507,$L1565)&amp;" "&amp;INDEX(ポート振替表!$I$5:$I$3507,$L1565))</f>
        <v/>
      </c>
      <c r="D1565" s="57" t="s">
        <v>158</v>
      </c>
      <c r="E1565" s="59" t="str">
        <f aca="false">IF(L1565="","",IF(INDEX(ポート振替表!$O$5:$O$3507,$L1565)="","(未設定)",INDEX(ポート振替表!$O$5:$O$3507,$L1565)&amp;""))</f>
        <v/>
      </c>
      <c r="F1565" s="52" t="str">
        <f aca="false">IF(L1565="","",INDEX(ポート振替表!$K$5:$K$3507,$L1565)&amp;" "&amp;INDEX(ポート振替表!$L$5:$L$3507,$L1565)&amp;"  ⇔  "&amp;INDEX(ポート振替表!$H$5:$H$3507,$L1565)&amp;" "&amp;INDEX(ポート振替表!$I$5:$I$3507,$L1565))</f>
        <v/>
      </c>
      <c r="G1565" s="57" t="s">
        <v>158</v>
      </c>
      <c r="H1565" s="32" t="str">
        <f aca="false">IF(L1565="","",INDEX(ポート振替表!$N$5:$N$3507,$L1565)&amp;"")</f>
        <v/>
      </c>
      <c r="I1565" s="32" t="str">
        <f aca="false">IF(L1565="","",INDEX(ポート振替表!$P$5:$P$3507,$L1565)&amp;"")</f>
        <v/>
      </c>
      <c r="J1565" s="60" t="str">
        <f aca="false">IF(L1565="","",INDEX(ポート振替表!$M$5:$M$3507,$L1565)&amp;"")</f>
        <v/>
      </c>
      <c r="K1565" s="52" t="str">
        <f aca="false">IF(L1565="","",E1565&amp;CHAR(10)&amp;INDEX(ポート振替表!$K$5:$K$3507,$L1565)&amp;" "&amp;INDEX(ポート振替表!$L$5:$L$3507,$L1565)&amp;CHAR(10)&amp;"⇔ "&amp;INDEX(ポート振替表!$H$5:$H$3507,$L1565)&amp;" "&amp;INDEX(ポート振替表!$I$5:$I$3507,$L1565))</f>
        <v/>
      </c>
      <c r="L1565" s="47" t="str">
        <f aca="false">IFERROR(MATCH(ROW()-4,ポート振替表!$V$5:$V$3507,0),"")</f>
        <v/>
      </c>
    </row>
    <row r="1566" customFormat="false" ht="16.4" hidden="false" customHeight="false" outlineLevel="0" collapsed="false">
      <c r="A1566" s="32" t="str">
        <f aca="false">IF(L1566="","",ROW()-4)</f>
        <v/>
      </c>
      <c r="B1566" s="58" t="str">
        <f aca="false">IF(L1566="","",IF(INDEX(ポート振替表!$W$5:$W$3507,$L1566)="","(なし)",INDEX(ポート振替表!$W$5:$W$3507,$L1566)&amp;""))</f>
        <v/>
      </c>
      <c r="C1566" s="52" t="str">
        <f aca="false">IF(L1566="","",INDEX(ポート振替表!$B$5:$B$3507,$L1566)&amp;" "&amp;INDEX(ポート振替表!$C$5:$C$3507,$L1566)&amp;"  ⇔  "&amp;INDEX(ポート振替表!$H$5:$H$3507,$L1566)&amp;" "&amp;INDEX(ポート振替表!$I$5:$I$3507,$L1566))</f>
        <v/>
      </c>
      <c r="D1566" s="57" t="s">
        <v>158</v>
      </c>
      <c r="E1566" s="59" t="str">
        <f aca="false">IF(L1566="","",IF(INDEX(ポート振替表!$O$5:$O$3507,$L1566)="","(未設定)",INDEX(ポート振替表!$O$5:$O$3507,$L1566)&amp;""))</f>
        <v/>
      </c>
      <c r="F1566" s="52" t="str">
        <f aca="false">IF(L1566="","",INDEX(ポート振替表!$K$5:$K$3507,$L1566)&amp;" "&amp;INDEX(ポート振替表!$L$5:$L$3507,$L1566)&amp;"  ⇔  "&amp;INDEX(ポート振替表!$H$5:$H$3507,$L1566)&amp;" "&amp;INDEX(ポート振替表!$I$5:$I$3507,$L1566))</f>
        <v/>
      </c>
      <c r="G1566" s="57" t="s">
        <v>158</v>
      </c>
      <c r="H1566" s="32" t="str">
        <f aca="false">IF(L1566="","",INDEX(ポート振替表!$N$5:$N$3507,$L1566)&amp;"")</f>
        <v/>
      </c>
      <c r="I1566" s="32" t="str">
        <f aca="false">IF(L1566="","",INDEX(ポート振替表!$P$5:$P$3507,$L1566)&amp;"")</f>
        <v/>
      </c>
      <c r="J1566" s="60" t="str">
        <f aca="false">IF(L1566="","",INDEX(ポート振替表!$M$5:$M$3507,$L1566)&amp;"")</f>
        <v/>
      </c>
      <c r="K1566" s="52" t="str">
        <f aca="false">IF(L1566="","",E1566&amp;CHAR(10)&amp;INDEX(ポート振替表!$K$5:$K$3507,$L1566)&amp;" "&amp;INDEX(ポート振替表!$L$5:$L$3507,$L1566)&amp;CHAR(10)&amp;"⇔ "&amp;INDEX(ポート振替表!$H$5:$H$3507,$L1566)&amp;" "&amp;INDEX(ポート振替表!$I$5:$I$3507,$L1566))</f>
        <v/>
      </c>
      <c r="L1566" s="47" t="str">
        <f aca="false">IFERROR(MATCH(ROW()-4,ポート振替表!$V$5:$V$3507,0),"")</f>
        <v/>
      </c>
    </row>
    <row r="1567" customFormat="false" ht="16.4" hidden="false" customHeight="false" outlineLevel="0" collapsed="false">
      <c r="A1567" s="32" t="str">
        <f aca="false">IF(L1567="","",ROW()-4)</f>
        <v/>
      </c>
      <c r="B1567" s="58" t="str">
        <f aca="false">IF(L1567="","",IF(INDEX(ポート振替表!$W$5:$W$3507,$L1567)="","(なし)",INDEX(ポート振替表!$W$5:$W$3507,$L1567)&amp;""))</f>
        <v/>
      </c>
      <c r="C1567" s="52" t="str">
        <f aca="false">IF(L1567="","",INDEX(ポート振替表!$B$5:$B$3507,$L1567)&amp;" "&amp;INDEX(ポート振替表!$C$5:$C$3507,$L1567)&amp;"  ⇔  "&amp;INDEX(ポート振替表!$H$5:$H$3507,$L1567)&amp;" "&amp;INDEX(ポート振替表!$I$5:$I$3507,$L1567))</f>
        <v/>
      </c>
      <c r="D1567" s="57" t="s">
        <v>158</v>
      </c>
      <c r="E1567" s="59" t="str">
        <f aca="false">IF(L1567="","",IF(INDEX(ポート振替表!$O$5:$O$3507,$L1567)="","(未設定)",INDEX(ポート振替表!$O$5:$O$3507,$L1567)&amp;""))</f>
        <v/>
      </c>
      <c r="F1567" s="52" t="str">
        <f aca="false">IF(L1567="","",INDEX(ポート振替表!$K$5:$K$3507,$L1567)&amp;" "&amp;INDEX(ポート振替表!$L$5:$L$3507,$L1567)&amp;"  ⇔  "&amp;INDEX(ポート振替表!$H$5:$H$3507,$L1567)&amp;" "&amp;INDEX(ポート振替表!$I$5:$I$3507,$L1567))</f>
        <v/>
      </c>
      <c r="G1567" s="57" t="s">
        <v>158</v>
      </c>
      <c r="H1567" s="32" t="str">
        <f aca="false">IF(L1567="","",INDEX(ポート振替表!$N$5:$N$3507,$L1567)&amp;"")</f>
        <v/>
      </c>
      <c r="I1567" s="32" t="str">
        <f aca="false">IF(L1567="","",INDEX(ポート振替表!$P$5:$P$3507,$L1567)&amp;"")</f>
        <v/>
      </c>
      <c r="J1567" s="60" t="str">
        <f aca="false">IF(L1567="","",INDEX(ポート振替表!$M$5:$M$3507,$L1567)&amp;"")</f>
        <v/>
      </c>
      <c r="K1567" s="52" t="str">
        <f aca="false">IF(L1567="","",E1567&amp;CHAR(10)&amp;INDEX(ポート振替表!$K$5:$K$3507,$L1567)&amp;" "&amp;INDEX(ポート振替表!$L$5:$L$3507,$L1567)&amp;CHAR(10)&amp;"⇔ "&amp;INDEX(ポート振替表!$H$5:$H$3507,$L1567)&amp;" "&amp;INDEX(ポート振替表!$I$5:$I$3507,$L1567))</f>
        <v/>
      </c>
      <c r="L1567" s="47" t="str">
        <f aca="false">IFERROR(MATCH(ROW()-4,ポート振替表!$V$5:$V$3507,0),"")</f>
        <v/>
      </c>
    </row>
    <row r="1568" customFormat="false" ht="16.4" hidden="false" customHeight="false" outlineLevel="0" collapsed="false">
      <c r="A1568" s="32" t="str">
        <f aca="false">IF(L1568="","",ROW()-4)</f>
        <v/>
      </c>
      <c r="B1568" s="58" t="str">
        <f aca="false">IF(L1568="","",IF(INDEX(ポート振替表!$W$5:$W$3507,$L1568)="","(なし)",INDEX(ポート振替表!$W$5:$W$3507,$L1568)&amp;""))</f>
        <v/>
      </c>
      <c r="C1568" s="52" t="str">
        <f aca="false">IF(L1568="","",INDEX(ポート振替表!$B$5:$B$3507,$L1568)&amp;" "&amp;INDEX(ポート振替表!$C$5:$C$3507,$L1568)&amp;"  ⇔  "&amp;INDEX(ポート振替表!$H$5:$H$3507,$L1568)&amp;" "&amp;INDEX(ポート振替表!$I$5:$I$3507,$L1568))</f>
        <v/>
      </c>
      <c r="D1568" s="57" t="s">
        <v>158</v>
      </c>
      <c r="E1568" s="59" t="str">
        <f aca="false">IF(L1568="","",IF(INDEX(ポート振替表!$O$5:$O$3507,$L1568)="","(未設定)",INDEX(ポート振替表!$O$5:$O$3507,$L1568)&amp;""))</f>
        <v/>
      </c>
      <c r="F1568" s="52" t="str">
        <f aca="false">IF(L1568="","",INDEX(ポート振替表!$K$5:$K$3507,$L1568)&amp;" "&amp;INDEX(ポート振替表!$L$5:$L$3507,$L1568)&amp;"  ⇔  "&amp;INDEX(ポート振替表!$H$5:$H$3507,$L1568)&amp;" "&amp;INDEX(ポート振替表!$I$5:$I$3507,$L1568))</f>
        <v/>
      </c>
      <c r="G1568" s="57" t="s">
        <v>158</v>
      </c>
      <c r="H1568" s="32" t="str">
        <f aca="false">IF(L1568="","",INDEX(ポート振替表!$N$5:$N$3507,$L1568)&amp;"")</f>
        <v/>
      </c>
      <c r="I1568" s="32" t="str">
        <f aca="false">IF(L1568="","",INDEX(ポート振替表!$P$5:$P$3507,$L1568)&amp;"")</f>
        <v/>
      </c>
      <c r="J1568" s="60" t="str">
        <f aca="false">IF(L1568="","",INDEX(ポート振替表!$M$5:$M$3507,$L1568)&amp;"")</f>
        <v/>
      </c>
      <c r="K1568" s="52" t="str">
        <f aca="false">IF(L1568="","",E1568&amp;CHAR(10)&amp;INDEX(ポート振替表!$K$5:$K$3507,$L1568)&amp;" "&amp;INDEX(ポート振替表!$L$5:$L$3507,$L1568)&amp;CHAR(10)&amp;"⇔ "&amp;INDEX(ポート振替表!$H$5:$H$3507,$L1568)&amp;" "&amp;INDEX(ポート振替表!$I$5:$I$3507,$L1568))</f>
        <v/>
      </c>
      <c r="L1568" s="47" t="str">
        <f aca="false">IFERROR(MATCH(ROW()-4,ポート振替表!$V$5:$V$3507,0),"")</f>
        <v/>
      </c>
    </row>
    <row r="1569" customFormat="false" ht="16.4" hidden="false" customHeight="false" outlineLevel="0" collapsed="false">
      <c r="A1569" s="32" t="str">
        <f aca="false">IF(L1569="","",ROW()-4)</f>
        <v/>
      </c>
      <c r="B1569" s="58" t="str">
        <f aca="false">IF(L1569="","",IF(INDEX(ポート振替表!$W$5:$W$3507,$L1569)="","(なし)",INDEX(ポート振替表!$W$5:$W$3507,$L1569)&amp;""))</f>
        <v/>
      </c>
      <c r="C1569" s="52" t="str">
        <f aca="false">IF(L1569="","",INDEX(ポート振替表!$B$5:$B$3507,$L1569)&amp;" "&amp;INDEX(ポート振替表!$C$5:$C$3507,$L1569)&amp;"  ⇔  "&amp;INDEX(ポート振替表!$H$5:$H$3507,$L1569)&amp;" "&amp;INDEX(ポート振替表!$I$5:$I$3507,$L1569))</f>
        <v/>
      </c>
      <c r="D1569" s="57" t="s">
        <v>158</v>
      </c>
      <c r="E1569" s="59" t="str">
        <f aca="false">IF(L1569="","",IF(INDEX(ポート振替表!$O$5:$O$3507,$L1569)="","(未設定)",INDEX(ポート振替表!$O$5:$O$3507,$L1569)&amp;""))</f>
        <v/>
      </c>
      <c r="F1569" s="52" t="str">
        <f aca="false">IF(L1569="","",INDEX(ポート振替表!$K$5:$K$3507,$L1569)&amp;" "&amp;INDEX(ポート振替表!$L$5:$L$3507,$L1569)&amp;"  ⇔  "&amp;INDEX(ポート振替表!$H$5:$H$3507,$L1569)&amp;" "&amp;INDEX(ポート振替表!$I$5:$I$3507,$L1569))</f>
        <v/>
      </c>
      <c r="G1569" s="57" t="s">
        <v>158</v>
      </c>
      <c r="H1569" s="32" t="str">
        <f aca="false">IF(L1569="","",INDEX(ポート振替表!$N$5:$N$3507,$L1569)&amp;"")</f>
        <v/>
      </c>
      <c r="I1569" s="32" t="str">
        <f aca="false">IF(L1569="","",INDEX(ポート振替表!$P$5:$P$3507,$L1569)&amp;"")</f>
        <v/>
      </c>
      <c r="J1569" s="60" t="str">
        <f aca="false">IF(L1569="","",INDEX(ポート振替表!$M$5:$M$3507,$L1569)&amp;"")</f>
        <v/>
      </c>
      <c r="K1569" s="52" t="str">
        <f aca="false">IF(L1569="","",E1569&amp;CHAR(10)&amp;INDEX(ポート振替表!$K$5:$K$3507,$L1569)&amp;" "&amp;INDEX(ポート振替表!$L$5:$L$3507,$L1569)&amp;CHAR(10)&amp;"⇔ "&amp;INDEX(ポート振替表!$H$5:$H$3507,$L1569)&amp;" "&amp;INDEX(ポート振替表!$I$5:$I$3507,$L1569))</f>
        <v/>
      </c>
      <c r="L1569" s="47" t="str">
        <f aca="false">IFERROR(MATCH(ROW()-4,ポート振替表!$V$5:$V$3507,0),"")</f>
        <v/>
      </c>
    </row>
    <row r="1570" customFormat="false" ht="16.4" hidden="false" customHeight="false" outlineLevel="0" collapsed="false">
      <c r="A1570" s="32" t="str">
        <f aca="false">IF(L1570="","",ROW()-4)</f>
        <v/>
      </c>
      <c r="B1570" s="58" t="str">
        <f aca="false">IF(L1570="","",IF(INDEX(ポート振替表!$W$5:$W$3507,$L1570)="","(なし)",INDEX(ポート振替表!$W$5:$W$3507,$L1570)&amp;""))</f>
        <v/>
      </c>
      <c r="C1570" s="52" t="str">
        <f aca="false">IF(L1570="","",INDEX(ポート振替表!$B$5:$B$3507,$L1570)&amp;" "&amp;INDEX(ポート振替表!$C$5:$C$3507,$L1570)&amp;"  ⇔  "&amp;INDEX(ポート振替表!$H$5:$H$3507,$L1570)&amp;" "&amp;INDEX(ポート振替表!$I$5:$I$3507,$L1570))</f>
        <v/>
      </c>
      <c r="D1570" s="57" t="s">
        <v>158</v>
      </c>
      <c r="E1570" s="59" t="str">
        <f aca="false">IF(L1570="","",IF(INDEX(ポート振替表!$O$5:$O$3507,$L1570)="","(未設定)",INDEX(ポート振替表!$O$5:$O$3507,$L1570)&amp;""))</f>
        <v/>
      </c>
      <c r="F1570" s="52" t="str">
        <f aca="false">IF(L1570="","",INDEX(ポート振替表!$K$5:$K$3507,$L1570)&amp;" "&amp;INDEX(ポート振替表!$L$5:$L$3507,$L1570)&amp;"  ⇔  "&amp;INDEX(ポート振替表!$H$5:$H$3507,$L1570)&amp;" "&amp;INDEX(ポート振替表!$I$5:$I$3507,$L1570))</f>
        <v/>
      </c>
      <c r="G1570" s="57" t="s">
        <v>158</v>
      </c>
      <c r="H1570" s="32" t="str">
        <f aca="false">IF(L1570="","",INDEX(ポート振替表!$N$5:$N$3507,$L1570)&amp;"")</f>
        <v/>
      </c>
      <c r="I1570" s="32" t="str">
        <f aca="false">IF(L1570="","",INDEX(ポート振替表!$P$5:$P$3507,$L1570)&amp;"")</f>
        <v/>
      </c>
      <c r="J1570" s="60" t="str">
        <f aca="false">IF(L1570="","",INDEX(ポート振替表!$M$5:$M$3507,$L1570)&amp;"")</f>
        <v/>
      </c>
      <c r="K1570" s="52" t="str">
        <f aca="false">IF(L1570="","",E1570&amp;CHAR(10)&amp;INDEX(ポート振替表!$K$5:$K$3507,$L1570)&amp;" "&amp;INDEX(ポート振替表!$L$5:$L$3507,$L1570)&amp;CHAR(10)&amp;"⇔ "&amp;INDEX(ポート振替表!$H$5:$H$3507,$L1570)&amp;" "&amp;INDEX(ポート振替表!$I$5:$I$3507,$L1570))</f>
        <v/>
      </c>
      <c r="L1570" s="47" t="str">
        <f aca="false">IFERROR(MATCH(ROW()-4,ポート振替表!$V$5:$V$3507,0),"")</f>
        <v/>
      </c>
    </row>
    <row r="1571" customFormat="false" ht="16.4" hidden="false" customHeight="false" outlineLevel="0" collapsed="false">
      <c r="A1571" s="32" t="str">
        <f aca="false">IF(L1571="","",ROW()-4)</f>
        <v/>
      </c>
      <c r="B1571" s="58" t="str">
        <f aca="false">IF(L1571="","",IF(INDEX(ポート振替表!$W$5:$W$3507,$L1571)="","(なし)",INDEX(ポート振替表!$W$5:$W$3507,$L1571)&amp;""))</f>
        <v/>
      </c>
      <c r="C1571" s="52" t="str">
        <f aca="false">IF(L1571="","",INDEX(ポート振替表!$B$5:$B$3507,$L1571)&amp;" "&amp;INDEX(ポート振替表!$C$5:$C$3507,$L1571)&amp;"  ⇔  "&amp;INDEX(ポート振替表!$H$5:$H$3507,$L1571)&amp;" "&amp;INDEX(ポート振替表!$I$5:$I$3507,$L1571))</f>
        <v/>
      </c>
      <c r="D1571" s="57" t="s">
        <v>158</v>
      </c>
      <c r="E1571" s="59" t="str">
        <f aca="false">IF(L1571="","",IF(INDEX(ポート振替表!$O$5:$O$3507,$L1571)="","(未設定)",INDEX(ポート振替表!$O$5:$O$3507,$L1571)&amp;""))</f>
        <v/>
      </c>
      <c r="F1571" s="52" t="str">
        <f aca="false">IF(L1571="","",INDEX(ポート振替表!$K$5:$K$3507,$L1571)&amp;" "&amp;INDEX(ポート振替表!$L$5:$L$3507,$L1571)&amp;"  ⇔  "&amp;INDEX(ポート振替表!$H$5:$H$3507,$L1571)&amp;" "&amp;INDEX(ポート振替表!$I$5:$I$3507,$L1571))</f>
        <v/>
      </c>
      <c r="G1571" s="57" t="s">
        <v>158</v>
      </c>
      <c r="H1571" s="32" t="str">
        <f aca="false">IF(L1571="","",INDEX(ポート振替表!$N$5:$N$3507,$L1571)&amp;"")</f>
        <v/>
      </c>
      <c r="I1571" s="32" t="str">
        <f aca="false">IF(L1571="","",INDEX(ポート振替表!$P$5:$P$3507,$L1571)&amp;"")</f>
        <v/>
      </c>
      <c r="J1571" s="60" t="str">
        <f aca="false">IF(L1571="","",INDEX(ポート振替表!$M$5:$M$3507,$L1571)&amp;"")</f>
        <v/>
      </c>
      <c r="K1571" s="52" t="str">
        <f aca="false">IF(L1571="","",E1571&amp;CHAR(10)&amp;INDEX(ポート振替表!$K$5:$K$3507,$L1571)&amp;" "&amp;INDEX(ポート振替表!$L$5:$L$3507,$L1571)&amp;CHAR(10)&amp;"⇔ "&amp;INDEX(ポート振替表!$H$5:$H$3507,$L1571)&amp;" "&amp;INDEX(ポート振替表!$I$5:$I$3507,$L1571))</f>
        <v/>
      </c>
      <c r="L1571" s="47" t="str">
        <f aca="false">IFERROR(MATCH(ROW()-4,ポート振替表!$V$5:$V$3507,0),"")</f>
        <v/>
      </c>
    </row>
    <row r="1572" customFormat="false" ht="16.4" hidden="false" customHeight="false" outlineLevel="0" collapsed="false">
      <c r="A1572" s="32" t="str">
        <f aca="false">IF(L1572="","",ROW()-4)</f>
        <v/>
      </c>
      <c r="B1572" s="58" t="str">
        <f aca="false">IF(L1572="","",IF(INDEX(ポート振替表!$W$5:$W$3507,$L1572)="","(なし)",INDEX(ポート振替表!$W$5:$W$3507,$L1572)&amp;""))</f>
        <v/>
      </c>
      <c r="C1572" s="52" t="str">
        <f aca="false">IF(L1572="","",INDEX(ポート振替表!$B$5:$B$3507,$L1572)&amp;" "&amp;INDEX(ポート振替表!$C$5:$C$3507,$L1572)&amp;"  ⇔  "&amp;INDEX(ポート振替表!$H$5:$H$3507,$L1572)&amp;" "&amp;INDEX(ポート振替表!$I$5:$I$3507,$L1572))</f>
        <v/>
      </c>
      <c r="D1572" s="57" t="s">
        <v>158</v>
      </c>
      <c r="E1572" s="59" t="str">
        <f aca="false">IF(L1572="","",IF(INDEX(ポート振替表!$O$5:$O$3507,$L1572)="","(未設定)",INDEX(ポート振替表!$O$5:$O$3507,$L1572)&amp;""))</f>
        <v/>
      </c>
      <c r="F1572" s="52" t="str">
        <f aca="false">IF(L1572="","",INDEX(ポート振替表!$K$5:$K$3507,$L1572)&amp;" "&amp;INDEX(ポート振替表!$L$5:$L$3507,$L1572)&amp;"  ⇔  "&amp;INDEX(ポート振替表!$H$5:$H$3507,$L1572)&amp;" "&amp;INDEX(ポート振替表!$I$5:$I$3507,$L1572))</f>
        <v/>
      </c>
      <c r="G1572" s="57" t="s">
        <v>158</v>
      </c>
      <c r="H1572" s="32" t="str">
        <f aca="false">IF(L1572="","",INDEX(ポート振替表!$N$5:$N$3507,$L1572)&amp;"")</f>
        <v/>
      </c>
      <c r="I1572" s="32" t="str">
        <f aca="false">IF(L1572="","",INDEX(ポート振替表!$P$5:$P$3507,$L1572)&amp;"")</f>
        <v/>
      </c>
      <c r="J1572" s="60" t="str">
        <f aca="false">IF(L1572="","",INDEX(ポート振替表!$M$5:$M$3507,$L1572)&amp;"")</f>
        <v/>
      </c>
      <c r="K1572" s="52" t="str">
        <f aca="false">IF(L1572="","",E1572&amp;CHAR(10)&amp;INDEX(ポート振替表!$K$5:$K$3507,$L1572)&amp;" "&amp;INDEX(ポート振替表!$L$5:$L$3507,$L1572)&amp;CHAR(10)&amp;"⇔ "&amp;INDEX(ポート振替表!$H$5:$H$3507,$L1572)&amp;" "&amp;INDEX(ポート振替表!$I$5:$I$3507,$L1572))</f>
        <v/>
      </c>
      <c r="L1572" s="47" t="str">
        <f aca="false">IFERROR(MATCH(ROW()-4,ポート振替表!$V$5:$V$3507,0),"")</f>
        <v/>
      </c>
    </row>
    <row r="1573" customFormat="false" ht="16.4" hidden="false" customHeight="false" outlineLevel="0" collapsed="false">
      <c r="A1573" s="32" t="str">
        <f aca="false">IF(L1573="","",ROW()-4)</f>
        <v/>
      </c>
      <c r="B1573" s="58" t="str">
        <f aca="false">IF(L1573="","",IF(INDEX(ポート振替表!$W$5:$W$3507,$L1573)="","(なし)",INDEX(ポート振替表!$W$5:$W$3507,$L1573)&amp;""))</f>
        <v/>
      </c>
      <c r="C1573" s="52" t="str">
        <f aca="false">IF(L1573="","",INDEX(ポート振替表!$B$5:$B$3507,$L1573)&amp;" "&amp;INDEX(ポート振替表!$C$5:$C$3507,$L1573)&amp;"  ⇔  "&amp;INDEX(ポート振替表!$H$5:$H$3507,$L1573)&amp;" "&amp;INDEX(ポート振替表!$I$5:$I$3507,$L1573))</f>
        <v/>
      </c>
      <c r="D1573" s="57" t="s">
        <v>158</v>
      </c>
      <c r="E1573" s="59" t="str">
        <f aca="false">IF(L1573="","",IF(INDEX(ポート振替表!$O$5:$O$3507,$L1573)="","(未設定)",INDEX(ポート振替表!$O$5:$O$3507,$L1573)&amp;""))</f>
        <v/>
      </c>
      <c r="F1573" s="52" t="str">
        <f aca="false">IF(L1573="","",INDEX(ポート振替表!$K$5:$K$3507,$L1573)&amp;" "&amp;INDEX(ポート振替表!$L$5:$L$3507,$L1573)&amp;"  ⇔  "&amp;INDEX(ポート振替表!$H$5:$H$3507,$L1573)&amp;" "&amp;INDEX(ポート振替表!$I$5:$I$3507,$L1573))</f>
        <v/>
      </c>
      <c r="G1573" s="57" t="s">
        <v>158</v>
      </c>
      <c r="H1573" s="32" t="str">
        <f aca="false">IF(L1573="","",INDEX(ポート振替表!$N$5:$N$3507,$L1573)&amp;"")</f>
        <v/>
      </c>
      <c r="I1573" s="32" t="str">
        <f aca="false">IF(L1573="","",INDEX(ポート振替表!$P$5:$P$3507,$L1573)&amp;"")</f>
        <v/>
      </c>
      <c r="J1573" s="60" t="str">
        <f aca="false">IF(L1573="","",INDEX(ポート振替表!$M$5:$M$3507,$L1573)&amp;"")</f>
        <v/>
      </c>
      <c r="K1573" s="52" t="str">
        <f aca="false">IF(L1573="","",E1573&amp;CHAR(10)&amp;INDEX(ポート振替表!$K$5:$K$3507,$L1573)&amp;" "&amp;INDEX(ポート振替表!$L$5:$L$3507,$L1573)&amp;CHAR(10)&amp;"⇔ "&amp;INDEX(ポート振替表!$H$5:$H$3507,$L1573)&amp;" "&amp;INDEX(ポート振替表!$I$5:$I$3507,$L1573))</f>
        <v/>
      </c>
      <c r="L1573" s="47" t="str">
        <f aca="false">IFERROR(MATCH(ROW()-4,ポート振替表!$V$5:$V$3507,0),"")</f>
        <v/>
      </c>
    </row>
    <row r="1574" customFormat="false" ht="16.4" hidden="false" customHeight="false" outlineLevel="0" collapsed="false">
      <c r="A1574" s="32" t="str">
        <f aca="false">IF(L1574="","",ROW()-4)</f>
        <v/>
      </c>
      <c r="B1574" s="58" t="str">
        <f aca="false">IF(L1574="","",IF(INDEX(ポート振替表!$W$5:$W$3507,$L1574)="","(なし)",INDEX(ポート振替表!$W$5:$W$3507,$L1574)&amp;""))</f>
        <v/>
      </c>
      <c r="C1574" s="52" t="str">
        <f aca="false">IF(L1574="","",INDEX(ポート振替表!$B$5:$B$3507,$L1574)&amp;" "&amp;INDEX(ポート振替表!$C$5:$C$3507,$L1574)&amp;"  ⇔  "&amp;INDEX(ポート振替表!$H$5:$H$3507,$L1574)&amp;" "&amp;INDEX(ポート振替表!$I$5:$I$3507,$L1574))</f>
        <v/>
      </c>
      <c r="D1574" s="57" t="s">
        <v>158</v>
      </c>
      <c r="E1574" s="59" t="str">
        <f aca="false">IF(L1574="","",IF(INDEX(ポート振替表!$O$5:$O$3507,$L1574)="","(未設定)",INDEX(ポート振替表!$O$5:$O$3507,$L1574)&amp;""))</f>
        <v/>
      </c>
      <c r="F1574" s="52" t="str">
        <f aca="false">IF(L1574="","",INDEX(ポート振替表!$K$5:$K$3507,$L1574)&amp;" "&amp;INDEX(ポート振替表!$L$5:$L$3507,$L1574)&amp;"  ⇔  "&amp;INDEX(ポート振替表!$H$5:$H$3507,$L1574)&amp;" "&amp;INDEX(ポート振替表!$I$5:$I$3507,$L1574))</f>
        <v/>
      </c>
      <c r="G1574" s="57" t="s">
        <v>158</v>
      </c>
      <c r="H1574" s="32" t="str">
        <f aca="false">IF(L1574="","",INDEX(ポート振替表!$N$5:$N$3507,$L1574)&amp;"")</f>
        <v/>
      </c>
      <c r="I1574" s="32" t="str">
        <f aca="false">IF(L1574="","",INDEX(ポート振替表!$P$5:$P$3507,$L1574)&amp;"")</f>
        <v/>
      </c>
      <c r="J1574" s="60" t="str">
        <f aca="false">IF(L1574="","",INDEX(ポート振替表!$M$5:$M$3507,$L1574)&amp;"")</f>
        <v/>
      </c>
      <c r="K1574" s="52" t="str">
        <f aca="false">IF(L1574="","",E1574&amp;CHAR(10)&amp;INDEX(ポート振替表!$K$5:$K$3507,$L1574)&amp;" "&amp;INDEX(ポート振替表!$L$5:$L$3507,$L1574)&amp;CHAR(10)&amp;"⇔ "&amp;INDEX(ポート振替表!$H$5:$H$3507,$L1574)&amp;" "&amp;INDEX(ポート振替表!$I$5:$I$3507,$L1574))</f>
        <v/>
      </c>
      <c r="L1574" s="47" t="str">
        <f aca="false">IFERROR(MATCH(ROW()-4,ポート振替表!$V$5:$V$3507,0),"")</f>
        <v/>
      </c>
    </row>
    <row r="1575" customFormat="false" ht="16.4" hidden="false" customHeight="false" outlineLevel="0" collapsed="false">
      <c r="A1575" s="32" t="str">
        <f aca="false">IF(L1575="","",ROW()-4)</f>
        <v/>
      </c>
      <c r="B1575" s="58" t="str">
        <f aca="false">IF(L1575="","",IF(INDEX(ポート振替表!$W$5:$W$3507,$L1575)="","(なし)",INDEX(ポート振替表!$W$5:$W$3507,$L1575)&amp;""))</f>
        <v/>
      </c>
      <c r="C1575" s="52" t="str">
        <f aca="false">IF(L1575="","",INDEX(ポート振替表!$B$5:$B$3507,$L1575)&amp;" "&amp;INDEX(ポート振替表!$C$5:$C$3507,$L1575)&amp;"  ⇔  "&amp;INDEX(ポート振替表!$H$5:$H$3507,$L1575)&amp;" "&amp;INDEX(ポート振替表!$I$5:$I$3507,$L1575))</f>
        <v/>
      </c>
      <c r="D1575" s="57" t="s">
        <v>158</v>
      </c>
      <c r="E1575" s="59" t="str">
        <f aca="false">IF(L1575="","",IF(INDEX(ポート振替表!$O$5:$O$3507,$L1575)="","(未設定)",INDEX(ポート振替表!$O$5:$O$3507,$L1575)&amp;""))</f>
        <v/>
      </c>
      <c r="F1575" s="52" t="str">
        <f aca="false">IF(L1575="","",INDEX(ポート振替表!$K$5:$K$3507,$L1575)&amp;" "&amp;INDEX(ポート振替表!$L$5:$L$3507,$L1575)&amp;"  ⇔  "&amp;INDEX(ポート振替表!$H$5:$H$3507,$L1575)&amp;" "&amp;INDEX(ポート振替表!$I$5:$I$3507,$L1575))</f>
        <v/>
      </c>
      <c r="G1575" s="57" t="s">
        <v>158</v>
      </c>
      <c r="H1575" s="32" t="str">
        <f aca="false">IF(L1575="","",INDEX(ポート振替表!$N$5:$N$3507,$L1575)&amp;"")</f>
        <v/>
      </c>
      <c r="I1575" s="32" t="str">
        <f aca="false">IF(L1575="","",INDEX(ポート振替表!$P$5:$P$3507,$L1575)&amp;"")</f>
        <v/>
      </c>
      <c r="J1575" s="60" t="str">
        <f aca="false">IF(L1575="","",INDEX(ポート振替表!$M$5:$M$3507,$L1575)&amp;"")</f>
        <v/>
      </c>
      <c r="K1575" s="52" t="str">
        <f aca="false">IF(L1575="","",E1575&amp;CHAR(10)&amp;INDEX(ポート振替表!$K$5:$K$3507,$L1575)&amp;" "&amp;INDEX(ポート振替表!$L$5:$L$3507,$L1575)&amp;CHAR(10)&amp;"⇔ "&amp;INDEX(ポート振替表!$H$5:$H$3507,$L1575)&amp;" "&amp;INDEX(ポート振替表!$I$5:$I$3507,$L1575))</f>
        <v/>
      </c>
      <c r="L1575" s="47" t="str">
        <f aca="false">IFERROR(MATCH(ROW()-4,ポート振替表!$V$5:$V$3507,0),"")</f>
        <v/>
      </c>
    </row>
    <row r="1576" customFormat="false" ht="16.4" hidden="false" customHeight="false" outlineLevel="0" collapsed="false">
      <c r="A1576" s="32" t="str">
        <f aca="false">IF(L1576="","",ROW()-4)</f>
        <v/>
      </c>
      <c r="B1576" s="58" t="str">
        <f aca="false">IF(L1576="","",IF(INDEX(ポート振替表!$W$5:$W$3507,$L1576)="","(なし)",INDEX(ポート振替表!$W$5:$W$3507,$L1576)&amp;""))</f>
        <v/>
      </c>
      <c r="C1576" s="52" t="str">
        <f aca="false">IF(L1576="","",INDEX(ポート振替表!$B$5:$B$3507,$L1576)&amp;" "&amp;INDEX(ポート振替表!$C$5:$C$3507,$L1576)&amp;"  ⇔  "&amp;INDEX(ポート振替表!$H$5:$H$3507,$L1576)&amp;" "&amp;INDEX(ポート振替表!$I$5:$I$3507,$L1576))</f>
        <v/>
      </c>
      <c r="D1576" s="57" t="s">
        <v>158</v>
      </c>
      <c r="E1576" s="59" t="str">
        <f aca="false">IF(L1576="","",IF(INDEX(ポート振替表!$O$5:$O$3507,$L1576)="","(未設定)",INDEX(ポート振替表!$O$5:$O$3507,$L1576)&amp;""))</f>
        <v/>
      </c>
      <c r="F1576" s="52" t="str">
        <f aca="false">IF(L1576="","",INDEX(ポート振替表!$K$5:$K$3507,$L1576)&amp;" "&amp;INDEX(ポート振替表!$L$5:$L$3507,$L1576)&amp;"  ⇔  "&amp;INDEX(ポート振替表!$H$5:$H$3507,$L1576)&amp;" "&amp;INDEX(ポート振替表!$I$5:$I$3507,$L1576))</f>
        <v/>
      </c>
      <c r="G1576" s="57" t="s">
        <v>158</v>
      </c>
      <c r="H1576" s="32" t="str">
        <f aca="false">IF(L1576="","",INDEX(ポート振替表!$N$5:$N$3507,$L1576)&amp;"")</f>
        <v/>
      </c>
      <c r="I1576" s="32" t="str">
        <f aca="false">IF(L1576="","",INDEX(ポート振替表!$P$5:$P$3507,$L1576)&amp;"")</f>
        <v/>
      </c>
      <c r="J1576" s="60" t="str">
        <f aca="false">IF(L1576="","",INDEX(ポート振替表!$M$5:$M$3507,$L1576)&amp;"")</f>
        <v/>
      </c>
      <c r="K1576" s="52" t="str">
        <f aca="false">IF(L1576="","",E1576&amp;CHAR(10)&amp;INDEX(ポート振替表!$K$5:$K$3507,$L1576)&amp;" "&amp;INDEX(ポート振替表!$L$5:$L$3507,$L1576)&amp;CHAR(10)&amp;"⇔ "&amp;INDEX(ポート振替表!$H$5:$H$3507,$L1576)&amp;" "&amp;INDEX(ポート振替表!$I$5:$I$3507,$L1576))</f>
        <v/>
      </c>
      <c r="L1576" s="47" t="str">
        <f aca="false">IFERROR(MATCH(ROW()-4,ポート振替表!$V$5:$V$3507,0),"")</f>
        <v/>
      </c>
    </row>
    <row r="1577" customFormat="false" ht="16.4" hidden="false" customHeight="false" outlineLevel="0" collapsed="false">
      <c r="A1577" s="32" t="str">
        <f aca="false">IF(L1577="","",ROW()-4)</f>
        <v/>
      </c>
      <c r="B1577" s="58" t="str">
        <f aca="false">IF(L1577="","",IF(INDEX(ポート振替表!$W$5:$W$3507,$L1577)="","(なし)",INDEX(ポート振替表!$W$5:$W$3507,$L1577)&amp;""))</f>
        <v/>
      </c>
      <c r="C1577" s="52" t="str">
        <f aca="false">IF(L1577="","",INDEX(ポート振替表!$B$5:$B$3507,$L1577)&amp;" "&amp;INDEX(ポート振替表!$C$5:$C$3507,$L1577)&amp;"  ⇔  "&amp;INDEX(ポート振替表!$H$5:$H$3507,$L1577)&amp;" "&amp;INDEX(ポート振替表!$I$5:$I$3507,$L1577))</f>
        <v/>
      </c>
      <c r="D1577" s="57" t="s">
        <v>158</v>
      </c>
      <c r="E1577" s="59" t="str">
        <f aca="false">IF(L1577="","",IF(INDEX(ポート振替表!$O$5:$O$3507,$L1577)="","(未設定)",INDEX(ポート振替表!$O$5:$O$3507,$L1577)&amp;""))</f>
        <v/>
      </c>
      <c r="F1577" s="52" t="str">
        <f aca="false">IF(L1577="","",INDEX(ポート振替表!$K$5:$K$3507,$L1577)&amp;" "&amp;INDEX(ポート振替表!$L$5:$L$3507,$L1577)&amp;"  ⇔  "&amp;INDEX(ポート振替表!$H$5:$H$3507,$L1577)&amp;" "&amp;INDEX(ポート振替表!$I$5:$I$3507,$L1577))</f>
        <v/>
      </c>
      <c r="G1577" s="57" t="s">
        <v>158</v>
      </c>
      <c r="H1577" s="32" t="str">
        <f aca="false">IF(L1577="","",INDEX(ポート振替表!$N$5:$N$3507,$L1577)&amp;"")</f>
        <v/>
      </c>
      <c r="I1577" s="32" t="str">
        <f aca="false">IF(L1577="","",INDEX(ポート振替表!$P$5:$P$3507,$L1577)&amp;"")</f>
        <v/>
      </c>
      <c r="J1577" s="60" t="str">
        <f aca="false">IF(L1577="","",INDEX(ポート振替表!$M$5:$M$3507,$L1577)&amp;"")</f>
        <v/>
      </c>
      <c r="K1577" s="52" t="str">
        <f aca="false">IF(L1577="","",E1577&amp;CHAR(10)&amp;INDEX(ポート振替表!$K$5:$K$3507,$L1577)&amp;" "&amp;INDEX(ポート振替表!$L$5:$L$3507,$L1577)&amp;CHAR(10)&amp;"⇔ "&amp;INDEX(ポート振替表!$H$5:$H$3507,$L1577)&amp;" "&amp;INDEX(ポート振替表!$I$5:$I$3507,$L1577))</f>
        <v/>
      </c>
      <c r="L1577" s="47" t="str">
        <f aca="false">IFERROR(MATCH(ROW()-4,ポート振替表!$V$5:$V$3507,0),"")</f>
        <v/>
      </c>
    </row>
    <row r="1578" customFormat="false" ht="16.4" hidden="false" customHeight="false" outlineLevel="0" collapsed="false">
      <c r="A1578" s="32" t="str">
        <f aca="false">IF(L1578="","",ROW()-4)</f>
        <v/>
      </c>
      <c r="B1578" s="58" t="str">
        <f aca="false">IF(L1578="","",IF(INDEX(ポート振替表!$W$5:$W$3507,$L1578)="","(なし)",INDEX(ポート振替表!$W$5:$W$3507,$L1578)&amp;""))</f>
        <v/>
      </c>
      <c r="C1578" s="52" t="str">
        <f aca="false">IF(L1578="","",INDEX(ポート振替表!$B$5:$B$3507,$L1578)&amp;" "&amp;INDEX(ポート振替表!$C$5:$C$3507,$L1578)&amp;"  ⇔  "&amp;INDEX(ポート振替表!$H$5:$H$3507,$L1578)&amp;" "&amp;INDEX(ポート振替表!$I$5:$I$3507,$L1578))</f>
        <v/>
      </c>
      <c r="D1578" s="57" t="s">
        <v>158</v>
      </c>
      <c r="E1578" s="59" t="str">
        <f aca="false">IF(L1578="","",IF(INDEX(ポート振替表!$O$5:$O$3507,$L1578)="","(未設定)",INDEX(ポート振替表!$O$5:$O$3507,$L1578)&amp;""))</f>
        <v/>
      </c>
      <c r="F1578" s="52" t="str">
        <f aca="false">IF(L1578="","",INDEX(ポート振替表!$K$5:$K$3507,$L1578)&amp;" "&amp;INDEX(ポート振替表!$L$5:$L$3507,$L1578)&amp;"  ⇔  "&amp;INDEX(ポート振替表!$H$5:$H$3507,$L1578)&amp;" "&amp;INDEX(ポート振替表!$I$5:$I$3507,$L1578))</f>
        <v/>
      </c>
      <c r="G1578" s="57" t="s">
        <v>158</v>
      </c>
      <c r="H1578" s="32" t="str">
        <f aca="false">IF(L1578="","",INDEX(ポート振替表!$N$5:$N$3507,$L1578)&amp;"")</f>
        <v/>
      </c>
      <c r="I1578" s="32" t="str">
        <f aca="false">IF(L1578="","",INDEX(ポート振替表!$P$5:$P$3507,$L1578)&amp;"")</f>
        <v/>
      </c>
      <c r="J1578" s="60" t="str">
        <f aca="false">IF(L1578="","",INDEX(ポート振替表!$M$5:$M$3507,$L1578)&amp;"")</f>
        <v/>
      </c>
      <c r="K1578" s="52" t="str">
        <f aca="false">IF(L1578="","",E1578&amp;CHAR(10)&amp;INDEX(ポート振替表!$K$5:$K$3507,$L1578)&amp;" "&amp;INDEX(ポート振替表!$L$5:$L$3507,$L1578)&amp;CHAR(10)&amp;"⇔ "&amp;INDEX(ポート振替表!$H$5:$H$3507,$L1578)&amp;" "&amp;INDEX(ポート振替表!$I$5:$I$3507,$L1578))</f>
        <v/>
      </c>
      <c r="L1578" s="47" t="str">
        <f aca="false">IFERROR(MATCH(ROW()-4,ポート振替表!$V$5:$V$3507,0),"")</f>
        <v/>
      </c>
    </row>
    <row r="1579" customFormat="false" ht="16.4" hidden="false" customHeight="false" outlineLevel="0" collapsed="false">
      <c r="A1579" s="32" t="str">
        <f aca="false">IF(L1579="","",ROW()-4)</f>
        <v/>
      </c>
      <c r="B1579" s="58" t="str">
        <f aca="false">IF(L1579="","",IF(INDEX(ポート振替表!$W$5:$W$3507,$L1579)="","(なし)",INDEX(ポート振替表!$W$5:$W$3507,$L1579)&amp;""))</f>
        <v/>
      </c>
      <c r="C1579" s="52" t="str">
        <f aca="false">IF(L1579="","",INDEX(ポート振替表!$B$5:$B$3507,$L1579)&amp;" "&amp;INDEX(ポート振替表!$C$5:$C$3507,$L1579)&amp;"  ⇔  "&amp;INDEX(ポート振替表!$H$5:$H$3507,$L1579)&amp;" "&amp;INDEX(ポート振替表!$I$5:$I$3507,$L1579))</f>
        <v/>
      </c>
      <c r="D1579" s="57" t="s">
        <v>158</v>
      </c>
      <c r="E1579" s="59" t="str">
        <f aca="false">IF(L1579="","",IF(INDEX(ポート振替表!$O$5:$O$3507,$L1579)="","(未設定)",INDEX(ポート振替表!$O$5:$O$3507,$L1579)&amp;""))</f>
        <v/>
      </c>
      <c r="F1579" s="52" t="str">
        <f aca="false">IF(L1579="","",INDEX(ポート振替表!$K$5:$K$3507,$L1579)&amp;" "&amp;INDEX(ポート振替表!$L$5:$L$3507,$L1579)&amp;"  ⇔  "&amp;INDEX(ポート振替表!$H$5:$H$3507,$L1579)&amp;" "&amp;INDEX(ポート振替表!$I$5:$I$3507,$L1579))</f>
        <v/>
      </c>
      <c r="G1579" s="57" t="s">
        <v>158</v>
      </c>
      <c r="H1579" s="32" t="str">
        <f aca="false">IF(L1579="","",INDEX(ポート振替表!$N$5:$N$3507,$L1579)&amp;"")</f>
        <v/>
      </c>
      <c r="I1579" s="32" t="str">
        <f aca="false">IF(L1579="","",INDEX(ポート振替表!$P$5:$P$3507,$L1579)&amp;"")</f>
        <v/>
      </c>
      <c r="J1579" s="60" t="str">
        <f aca="false">IF(L1579="","",INDEX(ポート振替表!$M$5:$M$3507,$L1579)&amp;"")</f>
        <v/>
      </c>
      <c r="K1579" s="52" t="str">
        <f aca="false">IF(L1579="","",E1579&amp;CHAR(10)&amp;INDEX(ポート振替表!$K$5:$K$3507,$L1579)&amp;" "&amp;INDEX(ポート振替表!$L$5:$L$3507,$L1579)&amp;CHAR(10)&amp;"⇔ "&amp;INDEX(ポート振替表!$H$5:$H$3507,$L1579)&amp;" "&amp;INDEX(ポート振替表!$I$5:$I$3507,$L1579))</f>
        <v/>
      </c>
      <c r="L1579" s="47" t="str">
        <f aca="false">IFERROR(MATCH(ROW()-4,ポート振替表!$V$5:$V$3507,0),"")</f>
        <v/>
      </c>
    </row>
    <row r="1580" customFormat="false" ht="16.4" hidden="false" customHeight="false" outlineLevel="0" collapsed="false">
      <c r="A1580" s="32" t="str">
        <f aca="false">IF(L1580="","",ROW()-4)</f>
        <v/>
      </c>
      <c r="B1580" s="58" t="str">
        <f aca="false">IF(L1580="","",IF(INDEX(ポート振替表!$W$5:$W$3507,$L1580)="","(なし)",INDEX(ポート振替表!$W$5:$W$3507,$L1580)&amp;""))</f>
        <v/>
      </c>
      <c r="C1580" s="52" t="str">
        <f aca="false">IF(L1580="","",INDEX(ポート振替表!$B$5:$B$3507,$L1580)&amp;" "&amp;INDEX(ポート振替表!$C$5:$C$3507,$L1580)&amp;"  ⇔  "&amp;INDEX(ポート振替表!$H$5:$H$3507,$L1580)&amp;" "&amp;INDEX(ポート振替表!$I$5:$I$3507,$L1580))</f>
        <v/>
      </c>
      <c r="D1580" s="57" t="s">
        <v>158</v>
      </c>
      <c r="E1580" s="59" t="str">
        <f aca="false">IF(L1580="","",IF(INDEX(ポート振替表!$O$5:$O$3507,$L1580)="","(未設定)",INDEX(ポート振替表!$O$5:$O$3507,$L1580)&amp;""))</f>
        <v/>
      </c>
      <c r="F1580" s="52" t="str">
        <f aca="false">IF(L1580="","",INDEX(ポート振替表!$K$5:$K$3507,$L1580)&amp;" "&amp;INDEX(ポート振替表!$L$5:$L$3507,$L1580)&amp;"  ⇔  "&amp;INDEX(ポート振替表!$H$5:$H$3507,$L1580)&amp;" "&amp;INDEX(ポート振替表!$I$5:$I$3507,$L1580))</f>
        <v/>
      </c>
      <c r="G1580" s="57" t="s">
        <v>158</v>
      </c>
      <c r="H1580" s="32" t="str">
        <f aca="false">IF(L1580="","",INDEX(ポート振替表!$N$5:$N$3507,$L1580)&amp;"")</f>
        <v/>
      </c>
      <c r="I1580" s="32" t="str">
        <f aca="false">IF(L1580="","",INDEX(ポート振替表!$P$5:$P$3507,$L1580)&amp;"")</f>
        <v/>
      </c>
      <c r="J1580" s="60" t="str">
        <f aca="false">IF(L1580="","",INDEX(ポート振替表!$M$5:$M$3507,$L1580)&amp;"")</f>
        <v/>
      </c>
      <c r="K1580" s="52" t="str">
        <f aca="false">IF(L1580="","",E1580&amp;CHAR(10)&amp;INDEX(ポート振替表!$K$5:$K$3507,$L1580)&amp;" "&amp;INDEX(ポート振替表!$L$5:$L$3507,$L1580)&amp;CHAR(10)&amp;"⇔ "&amp;INDEX(ポート振替表!$H$5:$H$3507,$L1580)&amp;" "&amp;INDEX(ポート振替表!$I$5:$I$3507,$L1580))</f>
        <v/>
      </c>
      <c r="L1580" s="47" t="str">
        <f aca="false">IFERROR(MATCH(ROW()-4,ポート振替表!$V$5:$V$3507,0),"")</f>
        <v/>
      </c>
    </row>
    <row r="1581" customFormat="false" ht="16.4" hidden="false" customHeight="false" outlineLevel="0" collapsed="false">
      <c r="A1581" s="32" t="str">
        <f aca="false">IF(L1581="","",ROW()-4)</f>
        <v/>
      </c>
      <c r="B1581" s="58" t="str">
        <f aca="false">IF(L1581="","",IF(INDEX(ポート振替表!$W$5:$W$3507,$L1581)="","(なし)",INDEX(ポート振替表!$W$5:$W$3507,$L1581)&amp;""))</f>
        <v/>
      </c>
      <c r="C1581" s="52" t="str">
        <f aca="false">IF(L1581="","",INDEX(ポート振替表!$B$5:$B$3507,$L1581)&amp;" "&amp;INDEX(ポート振替表!$C$5:$C$3507,$L1581)&amp;"  ⇔  "&amp;INDEX(ポート振替表!$H$5:$H$3507,$L1581)&amp;" "&amp;INDEX(ポート振替表!$I$5:$I$3507,$L1581))</f>
        <v/>
      </c>
      <c r="D1581" s="57" t="s">
        <v>158</v>
      </c>
      <c r="E1581" s="59" t="str">
        <f aca="false">IF(L1581="","",IF(INDEX(ポート振替表!$O$5:$O$3507,$L1581)="","(未設定)",INDEX(ポート振替表!$O$5:$O$3507,$L1581)&amp;""))</f>
        <v/>
      </c>
      <c r="F1581" s="52" t="str">
        <f aca="false">IF(L1581="","",INDEX(ポート振替表!$K$5:$K$3507,$L1581)&amp;" "&amp;INDEX(ポート振替表!$L$5:$L$3507,$L1581)&amp;"  ⇔  "&amp;INDEX(ポート振替表!$H$5:$H$3507,$L1581)&amp;" "&amp;INDEX(ポート振替表!$I$5:$I$3507,$L1581))</f>
        <v/>
      </c>
      <c r="G1581" s="57" t="s">
        <v>158</v>
      </c>
      <c r="H1581" s="32" t="str">
        <f aca="false">IF(L1581="","",INDEX(ポート振替表!$N$5:$N$3507,$L1581)&amp;"")</f>
        <v/>
      </c>
      <c r="I1581" s="32" t="str">
        <f aca="false">IF(L1581="","",INDEX(ポート振替表!$P$5:$P$3507,$L1581)&amp;"")</f>
        <v/>
      </c>
      <c r="J1581" s="60" t="str">
        <f aca="false">IF(L1581="","",INDEX(ポート振替表!$M$5:$M$3507,$L1581)&amp;"")</f>
        <v/>
      </c>
      <c r="K1581" s="52" t="str">
        <f aca="false">IF(L1581="","",E1581&amp;CHAR(10)&amp;INDEX(ポート振替表!$K$5:$K$3507,$L1581)&amp;" "&amp;INDEX(ポート振替表!$L$5:$L$3507,$L1581)&amp;CHAR(10)&amp;"⇔ "&amp;INDEX(ポート振替表!$H$5:$H$3507,$L1581)&amp;" "&amp;INDEX(ポート振替表!$I$5:$I$3507,$L1581))</f>
        <v/>
      </c>
      <c r="L1581" s="47" t="str">
        <f aca="false">IFERROR(MATCH(ROW()-4,ポート振替表!$V$5:$V$3507,0),"")</f>
        <v/>
      </c>
    </row>
    <row r="1582" customFormat="false" ht="16.4" hidden="false" customHeight="false" outlineLevel="0" collapsed="false">
      <c r="A1582" s="32" t="str">
        <f aca="false">IF(L1582="","",ROW()-4)</f>
        <v/>
      </c>
      <c r="B1582" s="58" t="str">
        <f aca="false">IF(L1582="","",IF(INDEX(ポート振替表!$W$5:$W$3507,$L1582)="","(なし)",INDEX(ポート振替表!$W$5:$W$3507,$L1582)&amp;""))</f>
        <v/>
      </c>
      <c r="C1582" s="52" t="str">
        <f aca="false">IF(L1582="","",INDEX(ポート振替表!$B$5:$B$3507,$L1582)&amp;" "&amp;INDEX(ポート振替表!$C$5:$C$3507,$L1582)&amp;"  ⇔  "&amp;INDEX(ポート振替表!$H$5:$H$3507,$L1582)&amp;" "&amp;INDEX(ポート振替表!$I$5:$I$3507,$L1582))</f>
        <v/>
      </c>
      <c r="D1582" s="57" t="s">
        <v>158</v>
      </c>
      <c r="E1582" s="59" t="str">
        <f aca="false">IF(L1582="","",IF(INDEX(ポート振替表!$O$5:$O$3507,$L1582)="","(未設定)",INDEX(ポート振替表!$O$5:$O$3507,$L1582)&amp;""))</f>
        <v/>
      </c>
      <c r="F1582" s="52" t="str">
        <f aca="false">IF(L1582="","",INDEX(ポート振替表!$K$5:$K$3507,$L1582)&amp;" "&amp;INDEX(ポート振替表!$L$5:$L$3507,$L1582)&amp;"  ⇔  "&amp;INDEX(ポート振替表!$H$5:$H$3507,$L1582)&amp;" "&amp;INDEX(ポート振替表!$I$5:$I$3507,$L1582))</f>
        <v/>
      </c>
      <c r="G1582" s="57" t="s">
        <v>158</v>
      </c>
      <c r="H1582" s="32" t="str">
        <f aca="false">IF(L1582="","",INDEX(ポート振替表!$N$5:$N$3507,$L1582)&amp;"")</f>
        <v/>
      </c>
      <c r="I1582" s="32" t="str">
        <f aca="false">IF(L1582="","",INDEX(ポート振替表!$P$5:$P$3507,$L1582)&amp;"")</f>
        <v/>
      </c>
      <c r="J1582" s="60" t="str">
        <f aca="false">IF(L1582="","",INDEX(ポート振替表!$M$5:$M$3507,$L1582)&amp;"")</f>
        <v/>
      </c>
      <c r="K1582" s="52" t="str">
        <f aca="false">IF(L1582="","",E1582&amp;CHAR(10)&amp;INDEX(ポート振替表!$K$5:$K$3507,$L1582)&amp;" "&amp;INDEX(ポート振替表!$L$5:$L$3507,$L1582)&amp;CHAR(10)&amp;"⇔ "&amp;INDEX(ポート振替表!$H$5:$H$3507,$L1582)&amp;" "&amp;INDEX(ポート振替表!$I$5:$I$3507,$L1582))</f>
        <v/>
      </c>
      <c r="L1582" s="47" t="str">
        <f aca="false">IFERROR(MATCH(ROW()-4,ポート振替表!$V$5:$V$3507,0),"")</f>
        <v/>
      </c>
    </row>
    <row r="1583" customFormat="false" ht="16.4" hidden="false" customHeight="false" outlineLevel="0" collapsed="false">
      <c r="A1583" s="32" t="str">
        <f aca="false">IF(L1583="","",ROW()-4)</f>
        <v/>
      </c>
      <c r="B1583" s="58" t="str">
        <f aca="false">IF(L1583="","",IF(INDEX(ポート振替表!$W$5:$W$3507,$L1583)="","(なし)",INDEX(ポート振替表!$W$5:$W$3507,$L1583)&amp;""))</f>
        <v/>
      </c>
      <c r="C1583" s="52" t="str">
        <f aca="false">IF(L1583="","",INDEX(ポート振替表!$B$5:$B$3507,$L1583)&amp;" "&amp;INDEX(ポート振替表!$C$5:$C$3507,$L1583)&amp;"  ⇔  "&amp;INDEX(ポート振替表!$H$5:$H$3507,$L1583)&amp;" "&amp;INDEX(ポート振替表!$I$5:$I$3507,$L1583))</f>
        <v/>
      </c>
      <c r="D1583" s="57" t="s">
        <v>158</v>
      </c>
      <c r="E1583" s="59" t="str">
        <f aca="false">IF(L1583="","",IF(INDEX(ポート振替表!$O$5:$O$3507,$L1583)="","(未設定)",INDEX(ポート振替表!$O$5:$O$3507,$L1583)&amp;""))</f>
        <v/>
      </c>
      <c r="F1583" s="52" t="str">
        <f aca="false">IF(L1583="","",INDEX(ポート振替表!$K$5:$K$3507,$L1583)&amp;" "&amp;INDEX(ポート振替表!$L$5:$L$3507,$L1583)&amp;"  ⇔  "&amp;INDEX(ポート振替表!$H$5:$H$3507,$L1583)&amp;" "&amp;INDEX(ポート振替表!$I$5:$I$3507,$L1583))</f>
        <v/>
      </c>
      <c r="G1583" s="57" t="s">
        <v>158</v>
      </c>
      <c r="H1583" s="32" t="str">
        <f aca="false">IF(L1583="","",INDEX(ポート振替表!$N$5:$N$3507,$L1583)&amp;"")</f>
        <v/>
      </c>
      <c r="I1583" s="32" t="str">
        <f aca="false">IF(L1583="","",INDEX(ポート振替表!$P$5:$P$3507,$L1583)&amp;"")</f>
        <v/>
      </c>
      <c r="J1583" s="60" t="str">
        <f aca="false">IF(L1583="","",INDEX(ポート振替表!$M$5:$M$3507,$L1583)&amp;"")</f>
        <v/>
      </c>
      <c r="K1583" s="52" t="str">
        <f aca="false">IF(L1583="","",E1583&amp;CHAR(10)&amp;INDEX(ポート振替表!$K$5:$K$3507,$L1583)&amp;" "&amp;INDEX(ポート振替表!$L$5:$L$3507,$L1583)&amp;CHAR(10)&amp;"⇔ "&amp;INDEX(ポート振替表!$H$5:$H$3507,$L1583)&amp;" "&amp;INDEX(ポート振替表!$I$5:$I$3507,$L1583))</f>
        <v/>
      </c>
      <c r="L1583" s="47" t="str">
        <f aca="false">IFERROR(MATCH(ROW()-4,ポート振替表!$V$5:$V$3507,0),"")</f>
        <v/>
      </c>
    </row>
    <row r="1584" customFormat="false" ht="16.4" hidden="false" customHeight="false" outlineLevel="0" collapsed="false">
      <c r="A1584" s="32" t="str">
        <f aca="false">IF(L1584="","",ROW()-4)</f>
        <v/>
      </c>
      <c r="B1584" s="58" t="str">
        <f aca="false">IF(L1584="","",IF(INDEX(ポート振替表!$W$5:$W$3507,$L1584)="","(なし)",INDEX(ポート振替表!$W$5:$W$3507,$L1584)&amp;""))</f>
        <v/>
      </c>
      <c r="C1584" s="52" t="str">
        <f aca="false">IF(L1584="","",INDEX(ポート振替表!$B$5:$B$3507,$L1584)&amp;" "&amp;INDEX(ポート振替表!$C$5:$C$3507,$L1584)&amp;"  ⇔  "&amp;INDEX(ポート振替表!$H$5:$H$3507,$L1584)&amp;" "&amp;INDEX(ポート振替表!$I$5:$I$3507,$L1584))</f>
        <v/>
      </c>
      <c r="D1584" s="57" t="s">
        <v>158</v>
      </c>
      <c r="E1584" s="59" t="str">
        <f aca="false">IF(L1584="","",IF(INDEX(ポート振替表!$O$5:$O$3507,$L1584)="","(未設定)",INDEX(ポート振替表!$O$5:$O$3507,$L1584)&amp;""))</f>
        <v/>
      </c>
      <c r="F1584" s="52" t="str">
        <f aca="false">IF(L1584="","",INDEX(ポート振替表!$K$5:$K$3507,$L1584)&amp;" "&amp;INDEX(ポート振替表!$L$5:$L$3507,$L1584)&amp;"  ⇔  "&amp;INDEX(ポート振替表!$H$5:$H$3507,$L1584)&amp;" "&amp;INDEX(ポート振替表!$I$5:$I$3507,$L1584))</f>
        <v/>
      </c>
      <c r="G1584" s="57" t="s">
        <v>158</v>
      </c>
      <c r="H1584" s="32" t="str">
        <f aca="false">IF(L1584="","",INDEX(ポート振替表!$N$5:$N$3507,$L1584)&amp;"")</f>
        <v/>
      </c>
      <c r="I1584" s="32" t="str">
        <f aca="false">IF(L1584="","",INDEX(ポート振替表!$P$5:$P$3507,$L1584)&amp;"")</f>
        <v/>
      </c>
      <c r="J1584" s="60" t="str">
        <f aca="false">IF(L1584="","",INDEX(ポート振替表!$M$5:$M$3507,$L1584)&amp;"")</f>
        <v/>
      </c>
      <c r="K1584" s="52" t="str">
        <f aca="false">IF(L1584="","",E1584&amp;CHAR(10)&amp;INDEX(ポート振替表!$K$5:$K$3507,$L1584)&amp;" "&amp;INDEX(ポート振替表!$L$5:$L$3507,$L1584)&amp;CHAR(10)&amp;"⇔ "&amp;INDEX(ポート振替表!$H$5:$H$3507,$L1584)&amp;" "&amp;INDEX(ポート振替表!$I$5:$I$3507,$L1584))</f>
        <v/>
      </c>
      <c r="L1584" s="47" t="str">
        <f aca="false">IFERROR(MATCH(ROW()-4,ポート振替表!$V$5:$V$3507,0),"")</f>
        <v/>
      </c>
    </row>
    <row r="1585" customFormat="false" ht="16.4" hidden="false" customHeight="false" outlineLevel="0" collapsed="false">
      <c r="A1585" s="32" t="str">
        <f aca="false">IF(L1585="","",ROW()-4)</f>
        <v/>
      </c>
      <c r="B1585" s="58" t="str">
        <f aca="false">IF(L1585="","",IF(INDEX(ポート振替表!$W$5:$W$3507,$L1585)="","(なし)",INDEX(ポート振替表!$W$5:$W$3507,$L1585)&amp;""))</f>
        <v/>
      </c>
      <c r="C1585" s="52" t="str">
        <f aca="false">IF(L1585="","",INDEX(ポート振替表!$B$5:$B$3507,$L1585)&amp;" "&amp;INDEX(ポート振替表!$C$5:$C$3507,$L1585)&amp;"  ⇔  "&amp;INDEX(ポート振替表!$H$5:$H$3507,$L1585)&amp;" "&amp;INDEX(ポート振替表!$I$5:$I$3507,$L1585))</f>
        <v/>
      </c>
      <c r="D1585" s="57" t="s">
        <v>158</v>
      </c>
      <c r="E1585" s="59" t="str">
        <f aca="false">IF(L1585="","",IF(INDEX(ポート振替表!$O$5:$O$3507,$L1585)="","(未設定)",INDEX(ポート振替表!$O$5:$O$3507,$L1585)&amp;""))</f>
        <v/>
      </c>
      <c r="F1585" s="52" t="str">
        <f aca="false">IF(L1585="","",INDEX(ポート振替表!$K$5:$K$3507,$L1585)&amp;" "&amp;INDEX(ポート振替表!$L$5:$L$3507,$L1585)&amp;"  ⇔  "&amp;INDEX(ポート振替表!$H$5:$H$3507,$L1585)&amp;" "&amp;INDEX(ポート振替表!$I$5:$I$3507,$L1585))</f>
        <v/>
      </c>
      <c r="G1585" s="57" t="s">
        <v>158</v>
      </c>
      <c r="H1585" s="32" t="str">
        <f aca="false">IF(L1585="","",INDEX(ポート振替表!$N$5:$N$3507,$L1585)&amp;"")</f>
        <v/>
      </c>
      <c r="I1585" s="32" t="str">
        <f aca="false">IF(L1585="","",INDEX(ポート振替表!$P$5:$P$3507,$L1585)&amp;"")</f>
        <v/>
      </c>
      <c r="J1585" s="60" t="str">
        <f aca="false">IF(L1585="","",INDEX(ポート振替表!$M$5:$M$3507,$L1585)&amp;"")</f>
        <v/>
      </c>
      <c r="K1585" s="52" t="str">
        <f aca="false">IF(L1585="","",E1585&amp;CHAR(10)&amp;INDEX(ポート振替表!$K$5:$K$3507,$L1585)&amp;" "&amp;INDEX(ポート振替表!$L$5:$L$3507,$L1585)&amp;CHAR(10)&amp;"⇔ "&amp;INDEX(ポート振替表!$H$5:$H$3507,$L1585)&amp;" "&amp;INDEX(ポート振替表!$I$5:$I$3507,$L1585))</f>
        <v/>
      </c>
      <c r="L1585" s="47" t="str">
        <f aca="false">IFERROR(MATCH(ROW()-4,ポート振替表!$V$5:$V$3507,0),"")</f>
        <v/>
      </c>
    </row>
    <row r="1586" customFormat="false" ht="16.4" hidden="false" customHeight="false" outlineLevel="0" collapsed="false">
      <c r="A1586" s="32" t="str">
        <f aca="false">IF(L1586="","",ROW()-4)</f>
        <v/>
      </c>
      <c r="B1586" s="58" t="str">
        <f aca="false">IF(L1586="","",IF(INDEX(ポート振替表!$W$5:$W$3507,$L1586)="","(なし)",INDEX(ポート振替表!$W$5:$W$3507,$L1586)&amp;""))</f>
        <v/>
      </c>
      <c r="C1586" s="52" t="str">
        <f aca="false">IF(L1586="","",INDEX(ポート振替表!$B$5:$B$3507,$L1586)&amp;" "&amp;INDEX(ポート振替表!$C$5:$C$3507,$L1586)&amp;"  ⇔  "&amp;INDEX(ポート振替表!$H$5:$H$3507,$L1586)&amp;" "&amp;INDEX(ポート振替表!$I$5:$I$3507,$L1586))</f>
        <v/>
      </c>
      <c r="D1586" s="57" t="s">
        <v>158</v>
      </c>
      <c r="E1586" s="59" t="str">
        <f aca="false">IF(L1586="","",IF(INDEX(ポート振替表!$O$5:$O$3507,$L1586)="","(未設定)",INDEX(ポート振替表!$O$5:$O$3507,$L1586)&amp;""))</f>
        <v/>
      </c>
      <c r="F1586" s="52" t="str">
        <f aca="false">IF(L1586="","",INDEX(ポート振替表!$K$5:$K$3507,$L1586)&amp;" "&amp;INDEX(ポート振替表!$L$5:$L$3507,$L1586)&amp;"  ⇔  "&amp;INDEX(ポート振替表!$H$5:$H$3507,$L1586)&amp;" "&amp;INDEX(ポート振替表!$I$5:$I$3507,$L1586))</f>
        <v/>
      </c>
      <c r="G1586" s="57" t="s">
        <v>158</v>
      </c>
      <c r="H1586" s="32" t="str">
        <f aca="false">IF(L1586="","",INDEX(ポート振替表!$N$5:$N$3507,$L1586)&amp;"")</f>
        <v/>
      </c>
      <c r="I1586" s="32" t="str">
        <f aca="false">IF(L1586="","",INDEX(ポート振替表!$P$5:$P$3507,$L1586)&amp;"")</f>
        <v/>
      </c>
      <c r="J1586" s="60" t="str">
        <f aca="false">IF(L1586="","",INDEX(ポート振替表!$M$5:$M$3507,$L1586)&amp;"")</f>
        <v/>
      </c>
      <c r="K1586" s="52" t="str">
        <f aca="false">IF(L1586="","",E1586&amp;CHAR(10)&amp;INDEX(ポート振替表!$K$5:$K$3507,$L1586)&amp;" "&amp;INDEX(ポート振替表!$L$5:$L$3507,$L1586)&amp;CHAR(10)&amp;"⇔ "&amp;INDEX(ポート振替表!$H$5:$H$3507,$L1586)&amp;" "&amp;INDEX(ポート振替表!$I$5:$I$3507,$L1586))</f>
        <v/>
      </c>
      <c r="L1586" s="47" t="str">
        <f aca="false">IFERROR(MATCH(ROW()-4,ポート振替表!$V$5:$V$3507,0),"")</f>
        <v/>
      </c>
    </row>
    <row r="1587" customFormat="false" ht="16.4" hidden="false" customHeight="false" outlineLevel="0" collapsed="false">
      <c r="A1587" s="32" t="str">
        <f aca="false">IF(L1587="","",ROW()-4)</f>
        <v/>
      </c>
      <c r="B1587" s="58" t="str">
        <f aca="false">IF(L1587="","",IF(INDEX(ポート振替表!$W$5:$W$3507,$L1587)="","(なし)",INDEX(ポート振替表!$W$5:$W$3507,$L1587)&amp;""))</f>
        <v/>
      </c>
      <c r="C1587" s="52" t="str">
        <f aca="false">IF(L1587="","",INDEX(ポート振替表!$B$5:$B$3507,$L1587)&amp;" "&amp;INDEX(ポート振替表!$C$5:$C$3507,$L1587)&amp;"  ⇔  "&amp;INDEX(ポート振替表!$H$5:$H$3507,$L1587)&amp;" "&amp;INDEX(ポート振替表!$I$5:$I$3507,$L1587))</f>
        <v/>
      </c>
      <c r="D1587" s="57" t="s">
        <v>158</v>
      </c>
      <c r="E1587" s="59" t="str">
        <f aca="false">IF(L1587="","",IF(INDEX(ポート振替表!$O$5:$O$3507,$L1587)="","(未設定)",INDEX(ポート振替表!$O$5:$O$3507,$L1587)&amp;""))</f>
        <v/>
      </c>
      <c r="F1587" s="52" t="str">
        <f aca="false">IF(L1587="","",INDEX(ポート振替表!$K$5:$K$3507,$L1587)&amp;" "&amp;INDEX(ポート振替表!$L$5:$L$3507,$L1587)&amp;"  ⇔  "&amp;INDEX(ポート振替表!$H$5:$H$3507,$L1587)&amp;" "&amp;INDEX(ポート振替表!$I$5:$I$3507,$L1587))</f>
        <v/>
      </c>
      <c r="G1587" s="57" t="s">
        <v>158</v>
      </c>
      <c r="H1587" s="32" t="str">
        <f aca="false">IF(L1587="","",INDEX(ポート振替表!$N$5:$N$3507,$L1587)&amp;"")</f>
        <v/>
      </c>
      <c r="I1587" s="32" t="str">
        <f aca="false">IF(L1587="","",INDEX(ポート振替表!$P$5:$P$3507,$L1587)&amp;"")</f>
        <v/>
      </c>
      <c r="J1587" s="60" t="str">
        <f aca="false">IF(L1587="","",INDEX(ポート振替表!$M$5:$M$3507,$L1587)&amp;"")</f>
        <v/>
      </c>
      <c r="K1587" s="52" t="str">
        <f aca="false">IF(L1587="","",E1587&amp;CHAR(10)&amp;INDEX(ポート振替表!$K$5:$K$3507,$L1587)&amp;" "&amp;INDEX(ポート振替表!$L$5:$L$3507,$L1587)&amp;CHAR(10)&amp;"⇔ "&amp;INDEX(ポート振替表!$H$5:$H$3507,$L1587)&amp;" "&amp;INDEX(ポート振替表!$I$5:$I$3507,$L1587))</f>
        <v/>
      </c>
      <c r="L1587" s="47" t="str">
        <f aca="false">IFERROR(MATCH(ROW()-4,ポート振替表!$V$5:$V$3507,0),"")</f>
        <v/>
      </c>
    </row>
    <row r="1588" customFormat="false" ht="16.4" hidden="false" customHeight="false" outlineLevel="0" collapsed="false">
      <c r="A1588" s="32" t="str">
        <f aca="false">IF(L1588="","",ROW()-4)</f>
        <v/>
      </c>
      <c r="B1588" s="58" t="str">
        <f aca="false">IF(L1588="","",IF(INDEX(ポート振替表!$W$5:$W$3507,$L1588)="","(なし)",INDEX(ポート振替表!$W$5:$W$3507,$L1588)&amp;""))</f>
        <v/>
      </c>
      <c r="C1588" s="52" t="str">
        <f aca="false">IF(L1588="","",INDEX(ポート振替表!$B$5:$B$3507,$L1588)&amp;" "&amp;INDEX(ポート振替表!$C$5:$C$3507,$L1588)&amp;"  ⇔  "&amp;INDEX(ポート振替表!$H$5:$H$3507,$L1588)&amp;" "&amp;INDEX(ポート振替表!$I$5:$I$3507,$L1588))</f>
        <v/>
      </c>
      <c r="D1588" s="57" t="s">
        <v>158</v>
      </c>
      <c r="E1588" s="59" t="str">
        <f aca="false">IF(L1588="","",IF(INDEX(ポート振替表!$O$5:$O$3507,$L1588)="","(未設定)",INDEX(ポート振替表!$O$5:$O$3507,$L1588)&amp;""))</f>
        <v/>
      </c>
      <c r="F1588" s="52" t="str">
        <f aca="false">IF(L1588="","",INDEX(ポート振替表!$K$5:$K$3507,$L1588)&amp;" "&amp;INDEX(ポート振替表!$L$5:$L$3507,$L1588)&amp;"  ⇔  "&amp;INDEX(ポート振替表!$H$5:$H$3507,$L1588)&amp;" "&amp;INDEX(ポート振替表!$I$5:$I$3507,$L1588))</f>
        <v/>
      </c>
      <c r="G1588" s="57" t="s">
        <v>158</v>
      </c>
      <c r="H1588" s="32" t="str">
        <f aca="false">IF(L1588="","",INDEX(ポート振替表!$N$5:$N$3507,$L1588)&amp;"")</f>
        <v/>
      </c>
      <c r="I1588" s="32" t="str">
        <f aca="false">IF(L1588="","",INDEX(ポート振替表!$P$5:$P$3507,$L1588)&amp;"")</f>
        <v/>
      </c>
      <c r="J1588" s="60" t="str">
        <f aca="false">IF(L1588="","",INDEX(ポート振替表!$M$5:$M$3507,$L1588)&amp;"")</f>
        <v/>
      </c>
      <c r="K1588" s="52" t="str">
        <f aca="false">IF(L1588="","",E1588&amp;CHAR(10)&amp;INDEX(ポート振替表!$K$5:$K$3507,$L1588)&amp;" "&amp;INDEX(ポート振替表!$L$5:$L$3507,$L1588)&amp;CHAR(10)&amp;"⇔ "&amp;INDEX(ポート振替表!$H$5:$H$3507,$L1588)&amp;" "&amp;INDEX(ポート振替表!$I$5:$I$3507,$L1588))</f>
        <v/>
      </c>
      <c r="L1588" s="47" t="str">
        <f aca="false">IFERROR(MATCH(ROW()-4,ポート振替表!$V$5:$V$3507,0),"")</f>
        <v/>
      </c>
    </row>
    <row r="1589" customFormat="false" ht="16.4" hidden="false" customHeight="false" outlineLevel="0" collapsed="false">
      <c r="A1589" s="32" t="str">
        <f aca="false">IF(L1589="","",ROW()-4)</f>
        <v/>
      </c>
      <c r="B1589" s="58" t="str">
        <f aca="false">IF(L1589="","",IF(INDEX(ポート振替表!$W$5:$W$3507,$L1589)="","(なし)",INDEX(ポート振替表!$W$5:$W$3507,$L1589)&amp;""))</f>
        <v/>
      </c>
      <c r="C1589" s="52" t="str">
        <f aca="false">IF(L1589="","",INDEX(ポート振替表!$B$5:$B$3507,$L1589)&amp;" "&amp;INDEX(ポート振替表!$C$5:$C$3507,$L1589)&amp;"  ⇔  "&amp;INDEX(ポート振替表!$H$5:$H$3507,$L1589)&amp;" "&amp;INDEX(ポート振替表!$I$5:$I$3507,$L1589))</f>
        <v/>
      </c>
      <c r="D1589" s="57" t="s">
        <v>158</v>
      </c>
      <c r="E1589" s="59" t="str">
        <f aca="false">IF(L1589="","",IF(INDEX(ポート振替表!$O$5:$O$3507,$L1589)="","(未設定)",INDEX(ポート振替表!$O$5:$O$3507,$L1589)&amp;""))</f>
        <v/>
      </c>
      <c r="F1589" s="52" t="str">
        <f aca="false">IF(L1589="","",INDEX(ポート振替表!$K$5:$K$3507,$L1589)&amp;" "&amp;INDEX(ポート振替表!$L$5:$L$3507,$L1589)&amp;"  ⇔  "&amp;INDEX(ポート振替表!$H$5:$H$3507,$L1589)&amp;" "&amp;INDEX(ポート振替表!$I$5:$I$3507,$L1589))</f>
        <v/>
      </c>
      <c r="G1589" s="57" t="s">
        <v>158</v>
      </c>
      <c r="H1589" s="32" t="str">
        <f aca="false">IF(L1589="","",INDEX(ポート振替表!$N$5:$N$3507,$L1589)&amp;"")</f>
        <v/>
      </c>
      <c r="I1589" s="32" t="str">
        <f aca="false">IF(L1589="","",INDEX(ポート振替表!$P$5:$P$3507,$L1589)&amp;"")</f>
        <v/>
      </c>
      <c r="J1589" s="60" t="str">
        <f aca="false">IF(L1589="","",INDEX(ポート振替表!$M$5:$M$3507,$L1589)&amp;"")</f>
        <v/>
      </c>
      <c r="K1589" s="52" t="str">
        <f aca="false">IF(L1589="","",E1589&amp;CHAR(10)&amp;INDEX(ポート振替表!$K$5:$K$3507,$L1589)&amp;" "&amp;INDEX(ポート振替表!$L$5:$L$3507,$L1589)&amp;CHAR(10)&amp;"⇔ "&amp;INDEX(ポート振替表!$H$5:$H$3507,$L1589)&amp;" "&amp;INDEX(ポート振替表!$I$5:$I$3507,$L1589))</f>
        <v/>
      </c>
      <c r="L1589" s="47" t="str">
        <f aca="false">IFERROR(MATCH(ROW()-4,ポート振替表!$V$5:$V$3507,0),"")</f>
        <v/>
      </c>
    </row>
    <row r="1590" customFormat="false" ht="16.4" hidden="false" customHeight="false" outlineLevel="0" collapsed="false">
      <c r="A1590" s="32" t="str">
        <f aca="false">IF(L1590="","",ROW()-4)</f>
        <v/>
      </c>
      <c r="B1590" s="58" t="str">
        <f aca="false">IF(L1590="","",IF(INDEX(ポート振替表!$W$5:$W$3507,$L1590)="","(なし)",INDEX(ポート振替表!$W$5:$W$3507,$L1590)&amp;""))</f>
        <v/>
      </c>
      <c r="C1590" s="52" t="str">
        <f aca="false">IF(L1590="","",INDEX(ポート振替表!$B$5:$B$3507,$L1590)&amp;" "&amp;INDEX(ポート振替表!$C$5:$C$3507,$L1590)&amp;"  ⇔  "&amp;INDEX(ポート振替表!$H$5:$H$3507,$L1590)&amp;" "&amp;INDEX(ポート振替表!$I$5:$I$3507,$L1590))</f>
        <v/>
      </c>
      <c r="D1590" s="57" t="s">
        <v>158</v>
      </c>
      <c r="E1590" s="59" t="str">
        <f aca="false">IF(L1590="","",IF(INDEX(ポート振替表!$O$5:$O$3507,$L1590)="","(未設定)",INDEX(ポート振替表!$O$5:$O$3507,$L1590)&amp;""))</f>
        <v/>
      </c>
      <c r="F1590" s="52" t="str">
        <f aca="false">IF(L1590="","",INDEX(ポート振替表!$K$5:$K$3507,$L1590)&amp;" "&amp;INDEX(ポート振替表!$L$5:$L$3507,$L1590)&amp;"  ⇔  "&amp;INDEX(ポート振替表!$H$5:$H$3507,$L1590)&amp;" "&amp;INDEX(ポート振替表!$I$5:$I$3507,$L1590))</f>
        <v/>
      </c>
      <c r="G1590" s="57" t="s">
        <v>158</v>
      </c>
      <c r="H1590" s="32" t="str">
        <f aca="false">IF(L1590="","",INDEX(ポート振替表!$N$5:$N$3507,$L1590)&amp;"")</f>
        <v/>
      </c>
      <c r="I1590" s="32" t="str">
        <f aca="false">IF(L1590="","",INDEX(ポート振替表!$P$5:$P$3507,$L1590)&amp;"")</f>
        <v/>
      </c>
      <c r="J1590" s="60" t="str">
        <f aca="false">IF(L1590="","",INDEX(ポート振替表!$M$5:$M$3507,$L1590)&amp;"")</f>
        <v/>
      </c>
      <c r="K1590" s="52" t="str">
        <f aca="false">IF(L1590="","",E1590&amp;CHAR(10)&amp;INDEX(ポート振替表!$K$5:$K$3507,$L1590)&amp;" "&amp;INDEX(ポート振替表!$L$5:$L$3507,$L1590)&amp;CHAR(10)&amp;"⇔ "&amp;INDEX(ポート振替表!$H$5:$H$3507,$L1590)&amp;" "&amp;INDEX(ポート振替表!$I$5:$I$3507,$L1590))</f>
        <v/>
      </c>
      <c r="L1590" s="47" t="str">
        <f aca="false">IFERROR(MATCH(ROW()-4,ポート振替表!$V$5:$V$3507,0),"")</f>
        <v/>
      </c>
    </row>
    <row r="1591" customFormat="false" ht="16.4" hidden="false" customHeight="false" outlineLevel="0" collapsed="false">
      <c r="A1591" s="32" t="str">
        <f aca="false">IF(L1591="","",ROW()-4)</f>
        <v/>
      </c>
      <c r="B1591" s="58" t="str">
        <f aca="false">IF(L1591="","",IF(INDEX(ポート振替表!$W$5:$W$3507,$L1591)="","(なし)",INDEX(ポート振替表!$W$5:$W$3507,$L1591)&amp;""))</f>
        <v/>
      </c>
      <c r="C1591" s="52" t="str">
        <f aca="false">IF(L1591="","",INDEX(ポート振替表!$B$5:$B$3507,$L1591)&amp;" "&amp;INDEX(ポート振替表!$C$5:$C$3507,$L1591)&amp;"  ⇔  "&amp;INDEX(ポート振替表!$H$5:$H$3507,$L1591)&amp;" "&amp;INDEX(ポート振替表!$I$5:$I$3507,$L1591))</f>
        <v/>
      </c>
      <c r="D1591" s="57" t="s">
        <v>158</v>
      </c>
      <c r="E1591" s="59" t="str">
        <f aca="false">IF(L1591="","",IF(INDEX(ポート振替表!$O$5:$O$3507,$L1591)="","(未設定)",INDEX(ポート振替表!$O$5:$O$3507,$L1591)&amp;""))</f>
        <v/>
      </c>
      <c r="F1591" s="52" t="str">
        <f aca="false">IF(L1591="","",INDEX(ポート振替表!$K$5:$K$3507,$L1591)&amp;" "&amp;INDEX(ポート振替表!$L$5:$L$3507,$L1591)&amp;"  ⇔  "&amp;INDEX(ポート振替表!$H$5:$H$3507,$L1591)&amp;" "&amp;INDEX(ポート振替表!$I$5:$I$3507,$L1591))</f>
        <v/>
      </c>
      <c r="G1591" s="57" t="s">
        <v>158</v>
      </c>
      <c r="H1591" s="32" t="str">
        <f aca="false">IF(L1591="","",INDEX(ポート振替表!$N$5:$N$3507,$L1591)&amp;"")</f>
        <v/>
      </c>
      <c r="I1591" s="32" t="str">
        <f aca="false">IF(L1591="","",INDEX(ポート振替表!$P$5:$P$3507,$L1591)&amp;"")</f>
        <v/>
      </c>
      <c r="J1591" s="60" t="str">
        <f aca="false">IF(L1591="","",INDEX(ポート振替表!$M$5:$M$3507,$L1591)&amp;"")</f>
        <v/>
      </c>
      <c r="K1591" s="52" t="str">
        <f aca="false">IF(L1591="","",E1591&amp;CHAR(10)&amp;INDEX(ポート振替表!$K$5:$K$3507,$L1591)&amp;" "&amp;INDEX(ポート振替表!$L$5:$L$3507,$L1591)&amp;CHAR(10)&amp;"⇔ "&amp;INDEX(ポート振替表!$H$5:$H$3507,$L1591)&amp;" "&amp;INDEX(ポート振替表!$I$5:$I$3507,$L1591))</f>
        <v/>
      </c>
      <c r="L1591" s="47" t="str">
        <f aca="false">IFERROR(MATCH(ROW()-4,ポート振替表!$V$5:$V$3507,0),"")</f>
        <v/>
      </c>
    </row>
    <row r="1592" customFormat="false" ht="16.4" hidden="false" customHeight="false" outlineLevel="0" collapsed="false">
      <c r="A1592" s="32" t="str">
        <f aca="false">IF(L1592="","",ROW()-4)</f>
        <v/>
      </c>
      <c r="B1592" s="58" t="str">
        <f aca="false">IF(L1592="","",IF(INDEX(ポート振替表!$W$5:$W$3507,$L1592)="","(なし)",INDEX(ポート振替表!$W$5:$W$3507,$L1592)&amp;""))</f>
        <v/>
      </c>
      <c r="C1592" s="52" t="str">
        <f aca="false">IF(L1592="","",INDEX(ポート振替表!$B$5:$B$3507,$L1592)&amp;" "&amp;INDEX(ポート振替表!$C$5:$C$3507,$L1592)&amp;"  ⇔  "&amp;INDEX(ポート振替表!$H$5:$H$3507,$L1592)&amp;" "&amp;INDEX(ポート振替表!$I$5:$I$3507,$L1592))</f>
        <v/>
      </c>
      <c r="D1592" s="57" t="s">
        <v>158</v>
      </c>
      <c r="E1592" s="59" t="str">
        <f aca="false">IF(L1592="","",IF(INDEX(ポート振替表!$O$5:$O$3507,$L1592)="","(未設定)",INDEX(ポート振替表!$O$5:$O$3507,$L1592)&amp;""))</f>
        <v/>
      </c>
      <c r="F1592" s="52" t="str">
        <f aca="false">IF(L1592="","",INDEX(ポート振替表!$K$5:$K$3507,$L1592)&amp;" "&amp;INDEX(ポート振替表!$L$5:$L$3507,$L1592)&amp;"  ⇔  "&amp;INDEX(ポート振替表!$H$5:$H$3507,$L1592)&amp;" "&amp;INDEX(ポート振替表!$I$5:$I$3507,$L1592))</f>
        <v/>
      </c>
      <c r="G1592" s="57" t="s">
        <v>158</v>
      </c>
      <c r="H1592" s="32" t="str">
        <f aca="false">IF(L1592="","",INDEX(ポート振替表!$N$5:$N$3507,$L1592)&amp;"")</f>
        <v/>
      </c>
      <c r="I1592" s="32" t="str">
        <f aca="false">IF(L1592="","",INDEX(ポート振替表!$P$5:$P$3507,$L1592)&amp;"")</f>
        <v/>
      </c>
      <c r="J1592" s="60" t="str">
        <f aca="false">IF(L1592="","",INDEX(ポート振替表!$M$5:$M$3507,$L1592)&amp;"")</f>
        <v/>
      </c>
      <c r="K1592" s="52" t="str">
        <f aca="false">IF(L1592="","",E1592&amp;CHAR(10)&amp;INDEX(ポート振替表!$K$5:$K$3507,$L1592)&amp;" "&amp;INDEX(ポート振替表!$L$5:$L$3507,$L1592)&amp;CHAR(10)&amp;"⇔ "&amp;INDEX(ポート振替表!$H$5:$H$3507,$L1592)&amp;" "&amp;INDEX(ポート振替表!$I$5:$I$3507,$L1592))</f>
        <v/>
      </c>
      <c r="L1592" s="47" t="str">
        <f aca="false">IFERROR(MATCH(ROW()-4,ポート振替表!$V$5:$V$3507,0),"")</f>
        <v/>
      </c>
    </row>
    <row r="1593" customFormat="false" ht="16.4" hidden="false" customHeight="false" outlineLevel="0" collapsed="false">
      <c r="A1593" s="32" t="str">
        <f aca="false">IF(L1593="","",ROW()-4)</f>
        <v/>
      </c>
      <c r="B1593" s="58" t="str">
        <f aca="false">IF(L1593="","",IF(INDEX(ポート振替表!$W$5:$W$3507,$L1593)="","(なし)",INDEX(ポート振替表!$W$5:$W$3507,$L1593)&amp;""))</f>
        <v/>
      </c>
      <c r="C1593" s="52" t="str">
        <f aca="false">IF(L1593="","",INDEX(ポート振替表!$B$5:$B$3507,$L1593)&amp;" "&amp;INDEX(ポート振替表!$C$5:$C$3507,$L1593)&amp;"  ⇔  "&amp;INDEX(ポート振替表!$H$5:$H$3507,$L1593)&amp;" "&amp;INDEX(ポート振替表!$I$5:$I$3507,$L1593))</f>
        <v/>
      </c>
      <c r="D1593" s="57" t="s">
        <v>158</v>
      </c>
      <c r="E1593" s="59" t="str">
        <f aca="false">IF(L1593="","",IF(INDEX(ポート振替表!$O$5:$O$3507,$L1593)="","(未設定)",INDEX(ポート振替表!$O$5:$O$3507,$L1593)&amp;""))</f>
        <v/>
      </c>
      <c r="F1593" s="52" t="str">
        <f aca="false">IF(L1593="","",INDEX(ポート振替表!$K$5:$K$3507,$L1593)&amp;" "&amp;INDEX(ポート振替表!$L$5:$L$3507,$L1593)&amp;"  ⇔  "&amp;INDEX(ポート振替表!$H$5:$H$3507,$L1593)&amp;" "&amp;INDEX(ポート振替表!$I$5:$I$3507,$L1593))</f>
        <v/>
      </c>
      <c r="G1593" s="57" t="s">
        <v>158</v>
      </c>
      <c r="H1593" s="32" t="str">
        <f aca="false">IF(L1593="","",INDEX(ポート振替表!$N$5:$N$3507,$L1593)&amp;"")</f>
        <v/>
      </c>
      <c r="I1593" s="32" t="str">
        <f aca="false">IF(L1593="","",INDEX(ポート振替表!$P$5:$P$3507,$L1593)&amp;"")</f>
        <v/>
      </c>
      <c r="J1593" s="60" t="str">
        <f aca="false">IF(L1593="","",INDEX(ポート振替表!$M$5:$M$3507,$L1593)&amp;"")</f>
        <v/>
      </c>
      <c r="K1593" s="52" t="str">
        <f aca="false">IF(L1593="","",E1593&amp;CHAR(10)&amp;INDEX(ポート振替表!$K$5:$K$3507,$L1593)&amp;" "&amp;INDEX(ポート振替表!$L$5:$L$3507,$L1593)&amp;CHAR(10)&amp;"⇔ "&amp;INDEX(ポート振替表!$H$5:$H$3507,$L1593)&amp;" "&amp;INDEX(ポート振替表!$I$5:$I$3507,$L1593))</f>
        <v/>
      </c>
      <c r="L1593" s="47" t="str">
        <f aca="false">IFERROR(MATCH(ROW()-4,ポート振替表!$V$5:$V$3507,0),"")</f>
        <v/>
      </c>
    </row>
    <row r="1594" customFormat="false" ht="16.4" hidden="false" customHeight="false" outlineLevel="0" collapsed="false">
      <c r="A1594" s="32" t="str">
        <f aca="false">IF(L1594="","",ROW()-4)</f>
        <v/>
      </c>
      <c r="B1594" s="58" t="str">
        <f aca="false">IF(L1594="","",IF(INDEX(ポート振替表!$W$5:$W$3507,$L1594)="","(なし)",INDEX(ポート振替表!$W$5:$W$3507,$L1594)&amp;""))</f>
        <v/>
      </c>
      <c r="C1594" s="52" t="str">
        <f aca="false">IF(L1594="","",INDEX(ポート振替表!$B$5:$B$3507,$L1594)&amp;" "&amp;INDEX(ポート振替表!$C$5:$C$3507,$L1594)&amp;"  ⇔  "&amp;INDEX(ポート振替表!$H$5:$H$3507,$L1594)&amp;" "&amp;INDEX(ポート振替表!$I$5:$I$3507,$L1594))</f>
        <v/>
      </c>
      <c r="D1594" s="57" t="s">
        <v>158</v>
      </c>
      <c r="E1594" s="59" t="str">
        <f aca="false">IF(L1594="","",IF(INDEX(ポート振替表!$O$5:$O$3507,$L1594)="","(未設定)",INDEX(ポート振替表!$O$5:$O$3507,$L1594)&amp;""))</f>
        <v/>
      </c>
      <c r="F1594" s="52" t="str">
        <f aca="false">IF(L1594="","",INDEX(ポート振替表!$K$5:$K$3507,$L1594)&amp;" "&amp;INDEX(ポート振替表!$L$5:$L$3507,$L1594)&amp;"  ⇔  "&amp;INDEX(ポート振替表!$H$5:$H$3507,$L1594)&amp;" "&amp;INDEX(ポート振替表!$I$5:$I$3507,$L1594))</f>
        <v/>
      </c>
      <c r="G1594" s="57" t="s">
        <v>158</v>
      </c>
      <c r="H1594" s="32" t="str">
        <f aca="false">IF(L1594="","",INDEX(ポート振替表!$N$5:$N$3507,$L1594)&amp;"")</f>
        <v/>
      </c>
      <c r="I1594" s="32" t="str">
        <f aca="false">IF(L1594="","",INDEX(ポート振替表!$P$5:$P$3507,$L1594)&amp;"")</f>
        <v/>
      </c>
      <c r="J1594" s="60" t="str">
        <f aca="false">IF(L1594="","",INDEX(ポート振替表!$M$5:$M$3507,$L1594)&amp;"")</f>
        <v/>
      </c>
      <c r="K1594" s="52" t="str">
        <f aca="false">IF(L1594="","",E1594&amp;CHAR(10)&amp;INDEX(ポート振替表!$K$5:$K$3507,$L1594)&amp;" "&amp;INDEX(ポート振替表!$L$5:$L$3507,$L1594)&amp;CHAR(10)&amp;"⇔ "&amp;INDEX(ポート振替表!$H$5:$H$3507,$L1594)&amp;" "&amp;INDEX(ポート振替表!$I$5:$I$3507,$L1594))</f>
        <v/>
      </c>
      <c r="L1594" s="47" t="str">
        <f aca="false">IFERROR(MATCH(ROW()-4,ポート振替表!$V$5:$V$3507,0),"")</f>
        <v/>
      </c>
    </row>
    <row r="1595" customFormat="false" ht="16.4" hidden="false" customHeight="false" outlineLevel="0" collapsed="false">
      <c r="A1595" s="32" t="str">
        <f aca="false">IF(L1595="","",ROW()-4)</f>
        <v/>
      </c>
      <c r="B1595" s="58" t="str">
        <f aca="false">IF(L1595="","",IF(INDEX(ポート振替表!$W$5:$W$3507,$L1595)="","(なし)",INDEX(ポート振替表!$W$5:$W$3507,$L1595)&amp;""))</f>
        <v/>
      </c>
      <c r="C1595" s="52" t="str">
        <f aca="false">IF(L1595="","",INDEX(ポート振替表!$B$5:$B$3507,$L1595)&amp;" "&amp;INDEX(ポート振替表!$C$5:$C$3507,$L1595)&amp;"  ⇔  "&amp;INDEX(ポート振替表!$H$5:$H$3507,$L1595)&amp;" "&amp;INDEX(ポート振替表!$I$5:$I$3507,$L1595))</f>
        <v/>
      </c>
      <c r="D1595" s="57" t="s">
        <v>158</v>
      </c>
      <c r="E1595" s="59" t="str">
        <f aca="false">IF(L1595="","",IF(INDEX(ポート振替表!$O$5:$O$3507,$L1595)="","(未設定)",INDEX(ポート振替表!$O$5:$O$3507,$L1595)&amp;""))</f>
        <v/>
      </c>
      <c r="F1595" s="52" t="str">
        <f aca="false">IF(L1595="","",INDEX(ポート振替表!$K$5:$K$3507,$L1595)&amp;" "&amp;INDEX(ポート振替表!$L$5:$L$3507,$L1595)&amp;"  ⇔  "&amp;INDEX(ポート振替表!$H$5:$H$3507,$L1595)&amp;" "&amp;INDEX(ポート振替表!$I$5:$I$3507,$L1595))</f>
        <v/>
      </c>
      <c r="G1595" s="57" t="s">
        <v>158</v>
      </c>
      <c r="H1595" s="32" t="str">
        <f aca="false">IF(L1595="","",INDEX(ポート振替表!$N$5:$N$3507,$L1595)&amp;"")</f>
        <v/>
      </c>
      <c r="I1595" s="32" t="str">
        <f aca="false">IF(L1595="","",INDEX(ポート振替表!$P$5:$P$3507,$L1595)&amp;"")</f>
        <v/>
      </c>
      <c r="J1595" s="60" t="str">
        <f aca="false">IF(L1595="","",INDEX(ポート振替表!$M$5:$M$3507,$L1595)&amp;"")</f>
        <v/>
      </c>
      <c r="K1595" s="52" t="str">
        <f aca="false">IF(L1595="","",E1595&amp;CHAR(10)&amp;INDEX(ポート振替表!$K$5:$K$3507,$L1595)&amp;" "&amp;INDEX(ポート振替表!$L$5:$L$3507,$L1595)&amp;CHAR(10)&amp;"⇔ "&amp;INDEX(ポート振替表!$H$5:$H$3507,$L1595)&amp;" "&amp;INDEX(ポート振替表!$I$5:$I$3507,$L1595))</f>
        <v/>
      </c>
      <c r="L1595" s="47" t="str">
        <f aca="false">IFERROR(MATCH(ROW()-4,ポート振替表!$V$5:$V$3507,0),"")</f>
        <v/>
      </c>
    </row>
    <row r="1596" customFormat="false" ht="16.4" hidden="false" customHeight="false" outlineLevel="0" collapsed="false">
      <c r="A1596" s="32" t="str">
        <f aca="false">IF(L1596="","",ROW()-4)</f>
        <v/>
      </c>
      <c r="B1596" s="58" t="str">
        <f aca="false">IF(L1596="","",IF(INDEX(ポート振替表!$W$5:$W$3507,$L1596)="","(なし)",INDEX(ポート振替表!$W$5:$W$3507,$L1596)&amp;""))</f>
        <v/>
      </c>
      <c r="C1596" s="52" t="str">
        <f aca="false">IF(L1596="","",INDEX(ポート振替表!$B$5:$B$3507,$L1596)&amp;" "&amp;INDEX(ポート振替表!$C$5:$C$3507,$L1596)&amp;"  ⇔  "&amp;INDEX(ポート振替表!$H$5:$H$3507,$L1596)&amp;" "&amp;INDEX(ポート振替表!$I$5:$I$3507,$L1596))</f>
        <v/>
      </c>
      <c r="D1596" s="57" t="s">
        <v>158</v>
      </c>
      <c r="E1596" s="59" t="str">
        <f aca="false">IF(L1596="","",IF(INDEX(ポート振替表!$O$5:$O$3507,$L1596)="","(未設定)",INDEX(ポート振替表!$O$5:$O$3507,$L1596)&amp;""))</f>
        <v/>
      </c>
      <c r="F1596" s="52" t="str">
        <f aca="false">IF(L1596="","",INDEX(ポート振替表!$K$5:$K$3507,$L1596)&amp;" "&amp;INDEX(ポート振替表!$L$5:$L$3507,$L1596)&amp;"  ⇔  "&amp;INDEX(ポート振替表!$H$5:$H$3507,$L1596)&amp;" "&amp;INDEX(ポート振替表!$I$5:$I$3507,$L1596))</f>
        <v/>
      </c>
      <c r="G1596" s="57" t="s">
        <v>158</v>
      </c>
      <c r="H1596" s="32" t="str">
        <f aca="false">IF(L1596="","",INDEX(ポート振替表!$N$5:$N$3507,$L1596)&amp;"")</f>
        <v/>
      </c>
      <c r="I1596" s="32" t="str">
        <f aca="false">IF(L1596="","",INDEX(ポート振替表!$P$5:$P$3507,$L1596)&amp;"")</f>
        <v/>
      </c>
      <c r="J1596" s="60" t="str">
        <f aca="false">IF(L1596="","",INDEX(ポート振替表!$M$5:$M$3507,$L1596)&amp;"")</f>
        <v/>
      </c>
      <c r="K1596" s="52" t="str">
        <f aca="false">IF(L1596="","",E1596&amp;CHAR(10)&amp;INDEX(ポート振替表!$K$5:$K$3507,$L1596)&amp;" "&amp;INDEX(ポート振替表!$L$5:$L$3507,$L1596)&amp;CHAR(10)&amp;"⇔ "&amp;INDEX(ポート振替表!$H$5:$H$3507,$L1596)&amp;" "&amp;INDEX(ポート振替表!$I$5:$I$3507,$L1596))</f>
        <v/>
      </c>
      <c r="L1596" s="47" t="str">
        <f aca="false">IFERROR(MATCH(ROW()-4,ポート振替表!$V$5:$V$3507,0),"")</f>
        <v/>
      </c>
    </row>
    <row r="1597" customFormat="false" ht="16.4" hidden="false" customHeight="false" outlineLevel="0" collapsed="false">
      <c r="A1597" s="32" t="str">
        <f aca="false">IF(L1597="","",ROW()-4)</f>
        <v/>
      </c>
      <c r="B1597" s="58" t="str">
        <f aca="false">IF(L1597="","",IF(INDEX(ポート振替表!$W$5:$W$3507,$L1597)="","(なし)",INDEX(ポート振替表!$W$5:$W$3507,$L1597)&amp;""))</f>
        <v/>
      </c>
      <c r="C1597" s="52" t="str">
        <f aca="false">IF(L1597="","",INDEX(ポート振替表!$B$5:$B$3507,$L1597)&amp;" "&amp;INDEX(ポート振替表!$C$5:$C$3507,$L1597)&amp;"  ⇔  "&amp;INDEX(ポート振替表!$H$5:$H$3507,$L1597)&amp;" "&amp;INDEX(ポート振替表!$I$5:$I$3507,$L1597))</f>
        <v/>
      </c>
      <c r="D1597" s="57" t="s">
        <v>158</v>
      </c>
      <c r="E1597" s="59" t="str">
        <f aca="false">IF(L1597="","",IF(INDEX(ポート振替表!$O$5:$O$3507,$L1597)="","(未設定)",INDEX(ポート振替表!$O$5:$O$3507,$L1597)&amp;""))</f>
        <v/>
      </c>
      <c r="F1597" s="52" t="str">
        <f aca="false">IF(L1597="","",INDEX(ポート振替表!$K$5:$K$3507,$L1597)&amp;" "&amp;INDEX(ポート振替表!$L$5:$L$3507,$L1597)&amp;"  ⇔  "&amp;INDEX(ポート振替表!$H$5:$H$3507,$L1597)&amp;" "&amp;INDEX(ポート振替表!$I$5:$I$3507,$L1597))</f>
        <v/>
      </c>
      <c r="G1597" s="57" t="s">
        <v>158</v>
      </c>
      <c r="H1597" s="32" t="str">
        <f aca="false">IF(L1597="","",INDEX(ポート振替表!$N$5:$N$3507,$L1597)&amp;"")</f>
        <v/>
      </c>
      <c r="I1597" s="32" t="str">
        <f aca="false">IF(L1597="","",INDEX(ポート振替表!$P$5:$P$3507,$L1597)&amp;"")</f>
        <v/>
      </c>
      <c r="J1597" s="60" t="str">
        <f aca="false">IF(L1597="","",INDEX(ポート振替表!$M$5:$M$3507,$L1597)&amp;"")</f>
        <v/>
      </c>
      <c r="K1597" s="52" t="str">
        <f aca="false">IF(L1597="","",E1597&amp;CHAR(10)&amp;INDEX(ポート振替表!$K$5:$K$3507,$L1597)&amp;" "&amp;INDEX(ポート振替表!$L$5:$L$3507,$L1597)&amp;CHAR(10)&amp;"⇔ "&amp;INDEX(ポート振替表!$H$5:$H$3507,$L1597)&amp;" "&amp;INDEX(ポート振替表!$I$5:$I$3507,$L1597))</f>
        <v/>
      </c>
      <c r="L1597" s="47" t="str">
        <f aca="false">IFERROR(MATCH(ROW()-4,ポート振替表!$V$5:$V$3507,0),"")</f>
        <v/>
      </c>
    </row>
    <row r="1598" customFormat="false" ht="16.4" hidden="false" customHeight="false" outlineLevel="0" collapsed="false">
      <c r="A1598" s="32" t="str">
        <f aca="false">IF(L1598="","",ROW()-4)</f>
        <v/>
      </c>
      <c r="B1598" s="58" t="str">
        <f aca="false">IF(L1598="","",IF(INDEX(ポート振替表!$W$5:$W$3507,$L1598)="","(なし)",INDEX(ポート振替表!$W$5:$W$3507,$L1598)&amp;""))</f>
        <v/>
      </c>
      <c r="C1598" s="52" t="str">
        <f aca="false">IF(L1598="","",INDEX(ポート振替表!$B$5:$B$3507,$L1598)&amp;" "&amp;INDEX(ポート振替表!$C$5:$C$3507,$L1598)&amp;"  ⇔  "&amp;INDEX(ポート振替表!$H$5:$H$3507,$L1598)&amp;" "&amp;INDEX(ポート振替表!$I$5:$I$3507,$L1598))</f>
        <v/>
      </c>
      <c r="D1598" s="57" t="s">
        <v>158</v>
      </c>
      <c r="E1598" s="59" t="str">
        <f aca="false">IF(L1598="","",IF(INDEX(ポート振替表!$O$5:$O$3507,$L1598)="","(未設定)",INDEX(ポート振替表!$O$5:$O$3507,$L1598)&amp;""))</f>
        <v/>
      </c>
      <c r="F1598" s="52" t="str">
        <f aca="false">IF(L1598="","",INDEX(ポート振替表!$K$5:$K$3507,$L1598)&amp;" "&amp;INDEX(ポート振替表!$L$5:$L$3507,$L1598)&amp;"  ⇔  "&amp;INDEX(ポート振替表!$H$5:$H$3507,$L1598)&amp;" "&amp;INDEX(ポート振替表!$I$5:$I$3507,$L1598))</f>
        <v/>
      </c>
      <c r="G1598" s="57" t="s">
        <v>158</v>
      </c>
      <c r="H1598" s="32" t="str">
        <f aca="false">IF(L1598="","",INDEX(ポート振替表!$N$5:$N$3507,$L1598)&amp;"")</f>
        <v/>
      </c>
      <c r="I1598" s="32" t="str">
        <f aca="false">IF(L1598="","",INDEX(ポート振替表!$P$5:$P$3507,$L1598)&amp;"")</f>
        <v/>
      </c>
      <c r="J1598" s="60" t="str">
        <f aca="false">IF(L1598="","",INDEX(ポート振替表!$M$5:$M$3507,$L1598)&amp;"")</f>
        <v/>
      </c>
      <c r="K1598" s="52" t="str">
        <f aca="false">IF(L1598="","",E1598&amp;CHAR(10)&amp;INDEX(ポート振替表!$K$5:$K$3507,$L1598)&amp;" "&amp;INDEX(ポート振替表!$L$5:$L$3507,$L1598)&amp;CHAR(10)&amp;"⇔ "&amp;INDEX(ポート振替表!$H$5:$H$3507,$L1598)&amp;" "&amp;INDEX(ポート振替表!$I$5:$I$3507,$L1598))</f>
        <v/>
      </c>
      <c r="L1598" s="47" t="str">
        <f aca="false">IFERROR(MATCH(ROW()-4,ポート振替表!$V$5:$V$3507,0),"")</f>
        <v/>
      </c>
    </row>
    <row r="1599" customFormat="false" ht="16.4" hidden="false" customHeight="false" outlineLevel="0" collapsed="false">
      <c r="A1599" s="32" t="str">
        <f aca="false">IF(L1599="","",ROW()-4)</f>
        <v/>
      </c>
      <c r="B1599" s="58" t="str">
        <f aca="false">IF(L1599="","",IF(INDEX(ポート振替表!$W$5:$W$3507,$L1599)="","(なし)",INDEX(ポート振替表!$W$5:$W$3507,$L1599)&amp;""))</f>
        <v/>
      </c>
      <c r="C1599" s="52" t="str">
        <f aca="false">IF(L1599="","",INDEX(ポート振替表!$B$5:$B$3507,$L1599)&amp;" "&amp;INDEX(ポート振替表!$C$5:$C$3507,$L1599)&amp;"  ⇔  "&amp;INDEX(ポート振替表!$H$5:$H$3507,$L1599)&amp;" "&amp;INDEX(ポート振替表!$I$5:$I$3507,$L1599))</f>
        <v/>
      </c>
      <c r="D1599" s="57" t="s">
        <v>158</v>
      </c>
      <c r="E1599" s="59" t="str">
        <f aca="false">IF(L1599="","",IF(INDEX(ポート振替表!$O$5:$O$3507,$L1599)="","(未設定)",INDEX(ポート振替表!$O$5:$O$3507,$L1599)&amp;""))</f>
        <v/>
      </c>
      <c r="F1599" s="52" t="str">
        <f aca="false">IF(L1599="","",INDEX(ポート振替表!$K$5:$K$3507,$L1599)&amp;" "&amp;INDEX(ポート振替表!$L$5:$L$3507,$L1599)&amp;"  ⇔  "&amp;INDEX(ポート振替表!$H$5:$H$3507,$L1599)&amp;" "&amp;INDEX(ポート振替表!$I$5:$I$3507,$L1599))</f>
        <v/>
      </c>
      <c r="G1599" s="57" t="s">
        <v>158</v>
      </c>
      <c r="H1599" s="32" t="str">
        <f aca="false">IF(L1599="","",INDEX(ポート振替表!$N$5:$N$3507,$L1599)&amp;"")</f>
        <v/>
      </c>
      <c r="I1599" s="32" t="str">
        <f aca="false">IF(L1599="","",INDEX(ポート振替表!$P$5:$P$3507,$L1599)&amp;"")</f>
        <v/>
      </c>
      <c r="J1599" s="60" t="str">
        <f aca="false">IF(L1599="","",INDEX(ポート振替表!$M$5:$M$3507,$L1599)&amp;"")</f>
        <v/>
      </c>
      <c r="K1599" s="52" t="str">
        <f aca="false">IF(L1599="","",E1599&amp;CHAR(10)&amp;INDEX(ポート振替表!$K$5:$K$3507,$L1599)&amp;" "&amp;INDEX(ポート振替表!$L$5:$L$3507,$L1599)&amp;CHAR(10)&amp;"⇔ "&amp;INDEX(ポート振替表!$H$5:$H$3507,$L1599)&amp;" "&amp;INDEX(ポート振替表!$I$5:$I$3507,$L1599))</f>
        <v/>
      </c>
      <c r="L1599" s="47" t="str">
        <f aca="false">IFERROR(MATCH(ROW()-4,ポート振替表!$V$5:$V$3507,0),"")</f>
        <v/>
      </c>
    </row>
    <row r="1600" customFormat="false" ht="16.4" hidden="false" customHeight="false" outlineLevel="0" collapsed="false">
      <c r="A1600" s="32" t="str">
        <f aca="false">IF(L1600="","",ROW()-4)</f>
        <v/>
      </c>
      <c r="B1600" s="58" t="str">
        <f aca="false">IF(L1600="","",IF(INDEX(ポート振替表!$W$5:$W$3507,$L1600)="","(なし)",INDEX(ポート振替表!$W$5:$W$3507,$L1600)&amp;""))</f>
        <v/>
      </c>
      <c r="C1600" s="52" t="str">
        <f aca="false">IF(L1600="","",INDEX(ポート振替表!$B$5:$B$3507,$L1600)&amp;" "&amp;INDEX(ポート振替表!$C$5:$C$3507,$L1600)&amp;"  ⇔  "&amp;INDEX(ポート振替表!$H$5:$H$3507,$L1600)&amp;" "&amp;INDEX(ポート振替表!$I$5:$I$3507,$L1600))</f>
        <v/>
      </c>
      <c r="D1600" s="57" t="s">
        <v>158</v>
      </c>
      <c r="E1600" s="59" t="str">
        <f aca="false">IF(L1600="","",IF(INDEX(ポート振替表!$O$5:$O$3507,$L1600)="","(未設定)",INDEX(ポート振替表!$O$5:$O$3507,$L1600)&amp;""))</f>
        <v/>
      </c>
      <c r="F1600" s="52" t="str">
        <f aca="false">IF(L1600="","",INDEX(ポート振替表!$K$5:$K$3507,$L1600)&amp;" "&amp;INDEX(ポート振替表!$L$5:$L$3507,$L1600)&amp;"  ⇔  "&amp;INDEX(ポート振替表!$H$5:$H$3507,$L1600)&amp;" "&amp;INDEX(ポート振替表!$I$5:$I$3507,$L1600))</f>
        <v/>
      </c>
      <c r="G1600" s="57" t="s">
        <v>158</v>
      </c>
      <c r="H1600" s="32" t="str">
        <f aca="false">IF(L1600="","",INDEX(ポート振替表!$N$5:$N$3507,$L1600)&amp;"")</f>
        <v/>
      </c>
      <c r="I1600" s="32" t="str">
        <f aca="false">IF(L1600="","",INDEX(ポート振替表!$P$5:$P$3507,$L1600)&amp;"")</f>
        <v/>
      </c>
      <c r="J1600" s="60" t="str">
        <f aca="false">IF(L1600="","",INDEX(ポート振替表!$M$5:$M$3507,$L1600)&amp;"")</f>
        <v/>
      </c>
      <c r="K1600" s="52" t="str">
        <f aca="false">IF(L1600="","",E1600&amp;CHAR(10)&amp;INDEX(ポート振替表!$K$5:$K$3507,$L1600)&amp;" "&amp;INDEX(ポート振替表!$L$5:$L$3507,$L1600)&amp;CHAR(10)&amp;"⇔ "&amp;INDEX(ポート振替表!$H$5:$H$3507,$L1600)&amp;" "&amp;INDEX(ポート振替表!$I$5:$I$3507,$L1600))</f>
        <v/>
      </c>
      <c r="L1600" s="47" t="str">
        <f aca="false">IFERROR(MATCH(ROW()-4,ポート振替表!$V$5:$V$3507,0),"")</f>
        <v/>
      </c>
    </row>
    <row r="1601" customFormat="false" ht="16.4" hidden="false" customHeight="false" outlineLevel="0" collapsed="false">
      <c r="A1601" s="32" t="str">
        <f aca="false">IF(L1601="","",ROW()-4)</f>
        <v/>
      </c>
      <c r="B1601" s="58" t="str">
        <f aca="false">IF(L1601="","",IF(INDEX(ポート振替表!$W$5:$W$3507,$L1601)="","(なし)",INDEX(ポート振替表!$W$5:$W$3507,$L1601)&amp;""))</f>
        <v/>
      </c>
      <c r="C1601" s="52" t="str">
        <f aca="false">IF(L1601="","",INDEX(ポート振替表!$B$5:$B$3507,$L1601)&amp;" "&amp;INDEX(ポート振替表!$C$5:$C$3507,$L1601)&amp;"  ⇔  "&amp;INDEX(ポート振替表!$H$5:$H$3507,$L1601)&amp;" "&amp;INDEX(ポート振替表!$I$5:$I$3507,$L1601))</f>
        <v/>
      </c>
      <c r="D1601" s="57" t="s">
        <v>158</v>
      </c>
      <c r="E1601" s="59" t="str">
        <f aca="false">IF(L1601="","",IF(INDEX(ポート振替表!$O$5:$O$3507,$L1601)="","(未設定)",INDEX(ポート振替表!$O$5:$O$3507,$L1601)&amp;""))</f>
        <v/>
      </c>
      <c r="F1601" s="52" t="str">
        <f aca="false">IF(L1601="","",INDEX(ポート振替表!$K$5:$K$3507,$L1601)&amp;" "&amp;INDEX(ポート振替表!$L$5:$L$3507,$L1601)&amp;"  ⇔  "&amp;INDEX(ポート振替表!$H$5:$H$3507,$L1601)&amp;" "&amp;INDEX(ポート振替表!$I$5:$I$3507,$L1601))</f>
        <v/>
      </c>
      <c r="G1601" s="57" t="s">
        <v>158</v>
      </c>
      <c r="H1601" s="32" t="str">
        <f aca="false">IF(L1601="","",INDEX(ポート振替表!$N$5:$N$3507,$L1601)&amp;"")</f>
        <v/>
      </c>
      <c r="I1601" s="32" t="str">
        <f aca="false">IF(L1601="","",INDEX(ポート振替表!$P$5:$P$3507,$L1601)&amp;"")</f>
        <v/>
      </c>
      <c r="J1601" s="60" t="str">
        <f aca="false">IF(L1601="","",INDEX(ポート振替表!$M$5:$M$3507,$L1601)&amp;"")</f>
        <v/>
      </c>
      <c r="K1601" s="52" t="str">
        <f aca="false">IF(L1601="","",E1601&amp;CHAR(10)&amp;INDEX(ポート振替表!$K$5:$K$3507,$L1601)&amp;" "&amp;INDEX(ポート振替表!$L$5:$L$3507,$L1601)&amp;CHAR(10)&amp;"⇔ "&amp;INDEX(ポート振替表!$H$5:$H$3507,$L1601)&amp;" "&amp;INDEX(ポート振替表!$I$5:$I$3507,$L1601))</f>
        <v/>
      </c>
      <c r="L1601" s="47" t="str">
        <f aca="false">IFERROR(MATCH(ROW()-4,ポート振替表!$V$5:$V$3507,0),"")</f>
        <v/>
      </c>
    </row>
    <row r="1602" customFormat="false" ht="16.4" hidden="false" customHeight="false" outlineLevel="0" collapsed="false">
      <c r="A1602" s="32" t="str">
        <f aca="false">IF(L1602="","",ROW()-4)</f>
        <v/>
      </c>
      <c r="B1602" s="58" t="str">
        <f aca="false">IF(L1602="","",IF(INDEX(ポート振替表!$W$5:$W$3507,$L1602)="","(なし)",INDEX(ポート振替表!$W$5:$W$3507,$L1602)&amp;""))</f>
        <v/>
      </c>
      <c r="C1602" s="52" t="str">
        <f aca="false">IF(L1602="","",INDEX(ポート振替表!$B$5:$B$3507,$L1602)&amp;" "&amp;INDEX(ポート振替表!$C$5:$C$3507,$L1602)&amp;"  ⇔  "&amp;INDEX(ポート振替表!$H$5:$H$3507,$L1602)&amp;" "&amp;INDEX(ポート振替表!$I$5:$I$3507,$L1602))</f>
        <v/>
      </c>
      <c r="D1602" s="57" t="s">
        <v>158</v>
      </c>
      <c r="E1602" s="59" t="str">
        <f aca="false">IF(L1602="","",IF(INDEX(ポート振替表!$O$5:$O$3507,$L1602)="","(未設定)",INDEX(ポート振替表!$O$5:$O$3507,$L1602)&amp;""))</f>
        <v/>
      </c>
      <c r="F1602" s="52" t="str">
        <f aca="false">IF(L1602="","",INDEX(ポート振替表!$K$5:$K$3507,$L1602)&amp;" "&amp;INDEX(ポート振替表!$L$5:$L$3507,$L1602)&amp;"  ⇔  "&amp;INDEX(ポート振替表!$H$5:$H$3507,$L1602)&amp;" "&amp;INDEX(ポート振替表!$I$5:$I$3507,$L1602))</f>
        <v/>
      </c>
      <c r="G1602" s="57" t="s">
        <v>158</v>
      </c>
      <c r="H1602" s="32" t="str">
        <f aca="false">IF(L1602="","",INDEX(ポート振替表!$N$5:$N$3507,$L1602)&amp;"")</f>
        <v/>
      </c>
      <c r="I1602" s="32" t="str">
        <f aca="false">IF(L1602="","",INDEX(ポート振替表!$P$5:$P$3507,$L1602)&amp;"")</f>
        <v/>
      </c>
      <c r="J1602" s="60" t="str">
        <f aca="false">IF(L1602="","",INDEX(ポート振替表!$M$5:$M$3507,$L1602)&amp;"")</f>
        <v/>
      </c>
      <c r="K1602" s="52" t="str">
        <f aca="false">IF(L1602="","",E1602&amp;CHAR(10)&amp;INDEX(ポート振替表!$K$5:$K$3507,$L1602)&amp;" "&amp;INDEX(ポート振替表!$L$5:$L$3507,$L1602)&amp;CHAR(10)&amp;"⇔ "&amp;INDEX(ポート振替表!$H$5:$H$3507,$L1602)&amp;" "&amp;INDEX(ポート振替表!$I$5:$I$3507,$L1602))</f>
        <v/>
      </c>
      <c r="L1602" s="47" t="str">
        <f aca="false">IFERROR(MATCH(ROW()-4,ポート振替表!$V$5:$V$3507,0),"")</f>
        <v/>
      </c>
    </row>
    <row r="1603" customFormat="false" ht="16.4" hidden="false" customHeight="false" outlineLevel="0" collapsed="false">
      <c r="A1603" s="32" t="str">
        <f aca="false">IF(L1603="","",ROW()-4)</f>
        <v/>
      </c>
      <c r="B1603" s="58" t="str">
        <f aca="false">IF(L1603="","",IF(INDEX(ポート振替表!$W$5:$W$3507,$L1603)="","(なし)",INDEX(ポート振替表!$W$5:$W$3507,$L1603)&amp;""))</f>
        <v/>
      </c>
      <c r="C1603" s="52" t="str">
        <f aca="false">IF(L1603="","",INDEX(ポート振替表!$B$5:$B$3507,$L1603)&amp;" "&amp;INDEX(ポート振替表!$C$5:$C$3507,$L1603)&amp;"  ⇔  "&amp;INDEX(ポート振替表!$H$5:$H$3507,$L1603)&amp;" "&amp;INDEX(ポート振替表!$I$5:$I$3507,$L1603))</f>
        <v/>
      </c>
      <c r="D1603" s="57" t="s">
        <v>158</v>
      </c>
      <c r="E1603" s="59" t="str">
        <f aca="false">IF(L1603="","",IF(INDEX(ポート振替表!$O$5:$O$3507,$L1603)="","(未設定)",INDEX(ポート振替表!$O$5:$O$3507,$L1603)&amp;""))</f>
        <v/>
      </c>
      <c r="F1603" s="52" t="str">
        <f aca="false">IF(L1603="","",INDEX(ポート振替表!$K$5:$K$3507,$L1603)&amp;" "&amp;INDEX(ポート振替表!$L$5:$L$3507,$L1603)&amp;"  ⇔  "&amp;INDEX(ポート振替表!$H$5:$H$3507,$L1603)&amp;" "&amp;INDEX(ポート振替表!$I$5:$I$3507,$L1603))</f>
        <v/>
      </c>
      <c r="G1603" s="57" t="s">
        <v>158</v>
      </c>
      <c r="H1603" s="32" t="str">
        <f aca="false">IF(L1603="","",INDEX(ポート振替表!$N$5:$N$3507,$L1603)&amp;"")</f>
        <v/>
      </c>
      <c r="I1603" s="32" t="str">
        <f aca="false">IF(L1603="","",INDEX(ポート振替表!$P$5:$P$3507,$L1603)&amp;"")</f>
        <v/>
      </c>
      <c r="J1603" s="60" t="str">
        <f aca="false">IF(L1603="","",INDEX(ポート振替表!$M$5:$M$3507,$L1603)&amp;"")</f>
        <v/>
      </c>
      <c r="K1603" s="52" t="str">
        <f aca="false">IF(L1603="","",E1603&amp;CHAR(10)&amp;INDEX(ポート振替表!$K$5:$K$3507,$L1603)&amp;" "&amp;INDEX(ポート振替表!$L$5:$L$3507,$L1603)&amp;CHAR(10)&amp;"⇔ "&amp;INDEX(ポート振替表!$H$5:$H$3507,$L1603)&amp;" "&amp;INDEX(ポート振替表!$I$5:$I$3507,$L1603))</f>
        <v/>
      </c>
      <c r="L1603" s="47" t="str">
        <f aca="false">IFERROR(MATCH(ROW()-4,ポート振替表!$V$5:$V$3507,0),"")</f>
        <v/>
      </c>
    </row>
    <row r="1604" customFormat="false" ht="16.4" hidden="false" customHeight="false" outlineLevel="0" collapsed="false">
      <c r="A1604" s="32" t="str">
        <f aca="false">IF(L1604="","",ROW()-4)</f>
        <v/>
      </c>
      <c r="B1604" s="58" t="str">
        <f aca="false">IF(L1604="","",IF(INDEX(ポート振替表!$W$5:$W$3507,$L1604)="","(なし)",INDEX(ポート振替表!$W$5:$W$3507,$L1604)&amp;""))</f>
        <v/>
      </c>
      <c r="C1604" s="52" t="str">
        <f aca="false">IF(L1604="","",INDEX(ポート振替表!$B$5:$B$3507,$L1604)&amp;" "&amp;INDEX(ポート振替表!$C$5:$C$3507,$L1604)&amp;"  ⇔  "&amp;INDEX(ポート振替表!$H$5:$H$3507,$L1604)&amp;" "&amp;INDEX(ポート振替表!$I$5:$I$3507,$L1604))</f>
        <v/>
      </c>
      <c r="D1604" s="57" t="s">
        <v>158</v>
      </c>
      <c r="E1604" s="59" t="str">
        <f aca="false">IF(L1604="","",IF(INDEX(ポート振替表!$O$5:$O$3507,$L1604)="","(未設定)",INDEX(ポート振替表!$O$5:$O$3507,$L1604)&amp;""))</f>
        <v/>
      </c>
      <c r="F1604" s="52" t="str">
        <f aca="false">IF(L1604="","",INDEX(ポート振替表!$K$5:$K$3507,$L1604)&amp;" "&amp;INDEX(ポート振替表!$L$5:$L$3507,$L1604)&amp;"  ⇔  "&amp;INDEX(ポート振替表!$H$5:$H$3507,$L1604)&amp;" "&amp;INDEX(ポート振替表!$I$5:$I$3507,$L1604))</f>
        <v/>
      </c>
      <c r="G1604" s="57" t="s">
        <v>158</v>
      </c>
      <c r="H1604" s="32" t="str">
        <f aca="false">IF(L1604="","",INDEX(ポート振替表!$N$5:$N$3507,$L1604)&amp;"")</f>
        <v/>
      </c>
      <c r="I1604" s="32" t="str">
        <f aca="false">IF(L1604="","",INDEX(ポート振替表!$P$5:$P$3507,$L1604)&amp;"")</f>
        <v/>
      </c>
      <c r="J1604" s="60" t="str">
        <f aca="false">IF(L1604="","",INDEX(ポート振替表!$M$5:$M$3507,$L1604)&amp;"")</f>
        <v/>
      </c>
      <c r="K1604" s="52" t="str">
        <f aca="false">IF(L1604="","",E1604&amp;CHAR(10)&amp;INDEX(ポート振替表!$K$5:$K$3507,$L1604)&amp;" "&amp;INDEX(ポート振替表!$L$5:$L$3507,$L1604)&amp;CHAR(10)&amp;"⇔ "&amp;INDEX(ポート振替表!$H$5:$H$3507,$L1604)&amp;" "&amp;INDEX(ポート振替表!$I$5:$I$3507,$L1604))</f>
        <v/>
      </c>
      <c r="L1604" s="47" t="str">
        <f aca="false">IFERROR(MATCH(ROW()-4,ポート振替表!$V$5:$V$3507,0),"")</f>
        <v/>
      </c>
    </row>
    <row r="1605" customFormat="false" ht="16.4" hidden="false" customHeight="false" outlineLevel="0" collapsed="false">
      <c r="A1605" s="32" t="str">
        <f aca="false">IF(L1605="","",ROW()-4)</f>
        <v/>
      </c>
      <c r="B1605" s="58" t="str">
        <f aca="false">IF(L1605="","",IF(INDEX(ポート振替表!$W$5:$W$3507,$L1605)="","(なし)",INDEX(ポート振替表!$W$5:$W$3507,$L1605)&amp;""))</f>
        <v/>
      </c>
      <c r="C1605" s="52" t="str">
        <f aca="false">IF(L1605="","",INDEX(ポート振替表!$B$5:$B$3507,$L1605)&amp;" "&amp;INDEX(ポート振替表!$C$5:$C$3507,$L1605)&amp;"  ⇔  "&amp;INDEX(ポート振替表!$H$5:$H$3507,$L1605)&amp;" "&amp;INDEX(ポート振替表!$I$5:$I$3507,$L1605))</f>
        <v/>
      </c>
      <c r="D1605" s="57" t="s">
        <v>158</v>
      </c>
      <c r="E1605" s="59" t="str">
        <f aca="false">IF(L1605="","",IF(INDEX(ポート振替表!$O$5:$O$3507,$L1605)="","(未設定)",INDEX(ポート振替表!$O$5:$O$3507,$L1605)&amp;""))</f>
        <v/>
      </c>
      <c r="F1605" s="52" t="str">
        <f aca="false">IF(L1605="","",INDEX(ポート振替表!$K$5:$K$3507,$L1605)&amp;" "&amp;INDEX(ポート振替表!$L$5:$L$3507,$L1605)&amp;"  ⇔  "&amp;INDEX(ポート振替表!$H$5:$H$3507,$L1605)&amp;" "&amp;INDEX(ポート振替表!$I$5:$I$3507,$L1605))</f>
        <v/>
      </c>
      <c r="G1605" s="57" t="s">
        <v>158</v>
      </c>
      <c r="H1605" s="32" t="str">
        <f aca="false">IF(L1605="","",INDEX(ポート振替表!$N$5:$N$3507,$L1605)&amp;"")</f>
        <v/>
      </c>
      <c r="I1605" s="32" t="str">
        <f aca="false">IF(L1605="","",INDEX(ポート振替表!$P$5:$P$3507,$L1605)&amp;"")</f>
        <v/>
      </c>
      <c r="J1605" s="60" t="str">
        <f aca="false">IF(L1605="","",INDEX(ポート振替表!$M$5:$M$3507,$L1605)&amp;"")</f>
        <v/>
      </c>
      <c r="K1605" s="52" t="str">
        <f aca="false">IF(L1605="","",E1605&amp;CHAR(10)&amp;INDEX(ポート振替表!$K$5:$K$3507,$L1605)&amp;" "&amp;INDEX(ポート振替表!$L$5:$L$3507,$L1605)&amp;CHAR(10)&amp;"⇔ "&amp;INDEX(ポート振替表!$H$5:$H$3507,$L1605)&amp;" "&amp;INDEX(ポート振替表!$I$5:$I$3507,$L1605))</f>
        <v/>
      </c>
      <c r="L1605" s="47" t="str">
        <f aca="false">IFERROR(MATCH(ROW()-4,ポート振替表!$V$5:$V$3507,0),"")</f>
        <v/>
      </c>
    </row>
    <row r="1606" customFormat="false" ht="16.4" hidden="false" customHeight="false" outlineLevel="0" collapsed="false">
      <c r="A1606" s="32" t="str">
        <f aca="false">IF(L1606="","",ROW()-4)</f>
        <v/>
      </c>
      <c r="B1606" s="58" t="str">
        <f aca="false">IF(L1606="","",IF(INDEX(ポート振替表!$W$5:$W$3507,$L1606)="","(なし)",INDEX(ポート振替表!$W$5:$W$3507,$L1606)&amp;""))</f>
        <v/>
      </c>
      <c r="C1606" s="52" t="str">
        <f aca="false">IF(L1606="","",INDEX(ポート振替表!$B$5:$B$3507,$L1606)&amp;" "&amp;INDEX(ポート振替表!$C$5:$C$3507,$L1606)&amp;"  ⇔  "&amp;INDEX(ポート振替表!$H$5:$H$3507,$L1606)&amp;" "&amp;INDEX(ポート振替表!$I$5:$I$3507,$L1606))</f>
        <v/>
      </c>
      <c r="D1606" s="57" t="s">
        <v>158</v>
      </c>
      <c r="E1606" s="59" t="str">
        <f aca="false">IF(L1606="","",IF(INDEX(ポート振替表!$O$5:$O$3507,$L1606)="","(未設定)",INDEX(ポート振替表!$O$5:$O$3507,$L1606)&amp;""))</f>
        <v/>
      </c>
      <c r="F1606" s="52" t="str">
        <f aca="false">IF(L1606="","",INDEX(ポート振替表!$K$5:$K$3507,$L1606)&amp;" "&amp;INDEX(ポート振替表!$L$5:$L$3507,$L1606)&amp;"  ⇔  "&amp;INDEX(ポート振替表!$H$5:$H$3507,$L1606)&amp;" "&amp;INDEX(ポート振替表!$I$5:$I$3507,$L1606))</f>
        <v/>
      </c>
      <c r="G1606" s="57" t="s">
        <v>158</v>
      </c>
      <c r="H1606" s="32" t="str">
        <f aca="false">IF(L1606="","",INDEX(ポート振替表!$N$5:$N$3507,$L1606)&amp;"")</f>
        <v/>
      </c>
      <c r="I1606" s="32" t="str">
        <f aca="false">IF(L1606="","",INDEX(ポート振替表!$P$5:$P$3507,$L1606)&amp;"")</f>
        <v/>
      </c>
      <c r="J1606" s="60" t="str">
        <f aca="false">IF(L1606="","",INDEX(ポート振替表!$M$5:$M$3507,$L1606)&amp;"")</f>
        <v/>
      </c>
      <c r="K1606" s="52" t="str">
        <f aca="false">IF(L1606="","",E1606&amp;CHAR(10)&amp;INDEX(ポート振替表!$K$5:$K$3507,$L1606)&amp;" "&amp;INDEX(ポート振替表!$L$5:$L$3507,$L1606)&amp;CHAR(10)&amp;"⇔ "&amp;INDEX(ポート振替表!$H$5:$H$3507,$L1606)&amp;" "&amp;INDEX(ポート振替表!$I$5:$I$3507,$L1606))</f>
        <v/>
      </c>
      <c r="L1606" s="47" t="str">
        <f aca="false">IFERROR(MATCH(ROW()-4,ポート振替表!$V$5:$V$3507,0),"")</f>
        <v/>
      </c>
    </row>
    <row r="1607" customFormat="false" ht="16.4" hidden="false" customHeight="false" outlineLevel="0" collapsed="false">
      <c r="A1607" s="32" t="str">
        <f aca="false">IF(L1607="","",ROW()-4)</f>
        <v/>
      </c>
      <c r="B1607" s="58" t="str">
        <f aca="false">IF(L1607="","",IF(INDEX(ポート振替表!$W$5:$W$3507,$L1607)="","(なし)",INDEX(ポート振替表!$W$5:$W$3507,$L1607)&amp;""))</f>
        <v/>
      </c>
      <c r="C1607" s="52" t="str">
        <f aca="false">IF(L1607="","",INDEX(ポート振替表!$B$5:$B$3507,$L1607)&amp;" "&amp;INDEX(ポート振替表!$C$5:$C$3507,$L1607)&amp;"  ⇔  "&amp;INDEX(ポート振替表!$H$5:$H$3507,$L1607)&amp;" "&amp;INDEX(ポート振替表!$I$5:$I$3507,$L1607))</f>
        <v/>
      </c>
      <c r="D1607" s="57" t="s">
        <v>158</v>
      </c>
      <c r="E1607" s="59" t="str">
        <f aca="false">IF(L1607="","",IF(INDEX(ポート振替表!$O$5:$O$3507,$L1607)="","(未設定)",INDEX(ポート振替表!$O$5:$O$3507,$L1607)&amp;""))</f>
        <v/>
      </c>
      <c r="F1607" s="52" t="str">
        <f aca="false">IF(L1607="","",INDEX(ポート振替表!$K$5:$K$3507,$L1607)&amp;" "&amp;INDEX(ポート振替表!$L$5:$L$3507,$L1607)&amp;"  ⇔  "&amp;INDEX(ポート振替表!$H$5:$H$3507,$L1607)&amp;" "&amp;INDEX(ポート振替表!$I$5:$I$3507,$L1607))</f>
        <v/>
      </c>
      <c r="G1607" s="57" t="s">
        <v>158</v>
      </c>
      <c r="H1607" s="32" t="str">
        <f aca="false">IF(L1607="","",INDEX(ポート振替表!$N$5:$N$3507,$L1607)&amp;"")</f>
        <v/>
      </c>
      <c r="I1607" s="32" t="str">
        <f aca="false">IF(L1607="","",INDEX(ポート振替表!$P$5:$P$3507,$L1607)&amp;"")</f>
        <v/>
      </c>
      <c r="J1607" s="60" t="str">
        <f aca="false">IF(L1607="","",INDEX(ポート振替表!$M$5:$M$3507,$L1607)&amp;"")</f>
        <v/>
      </c>
      <c r="K1607" s="52" t="str">
        <f aca="false">IF(L1607="","",E1607&amp;CHAR(10)&amp;INDEX(ポート振替表!$K$5:$K$3507,$L1607)&amp;" "&amp;INDEX(ポート振替表!$L$5:$L$3507,$L1607)&amp;CHAR(10)&amp;"⇔ "&amp;INDEX(ポート振替表!$H$5:$H$3507,$L1607)&amp;" "&amp;INDEX(ポート振替表!$I$5:$I$3507,$L1607))</f>
        <v/>
      </c>
      <c r="L1607" s="47" t="str">
        <f aca="false">IFERROR(MATCH(ROW()-4,ポート振替表!$V$5:$V$3507,0),"")</f>
        <v/>
      </c>
    </row>
    <row r="1608" customFormat="false" ht="16.4" hidden="false" customHeight="false" outlineLevel="0" collapsed="false">
      <c r="A1608" s="32" t="str">
        <f aca="false">IF(L1608="","",ROW()-4)</f>
        <v/>
      </c>
      <c r="B1608" s="58" t="str">
        <f aca="false">IF(L1608="","",IF(INDEX(ポート振替表!$W$5:$W$3507,$L1608)="","(なし)",INDEX(ポート振替表!$W$5:$W$3507,$L1608)&amp;""))</f>
        <v/>
      </c>
      <c r="C1608" s="52" t="str">
        <f aca="false">IF(L1608="","",INDEX(ポート振替表!$B$5:$B$3507,$L1608)&amp;" "&amp;INDEX(ポート振替表!$C$5:$C$3507,$L1608)&amp;"  ⇔  "&amp;INDEX(ポート振替表!$H$5:$H$3507,$L1608)&amp;" "&amp;INDEX(ポート振替表!$I$5:$I$3507,$L1608))</f>
        <v/>
      </c>
      <c r="D1608" s="57" t="s">
        <v>158</v>
      </c>
      <c r="E1608" s="59" t="str">
        <f aca="false">IF(L1608="","",IF(INDEX(ポート振替表!$O$5:$O$3507,$L1608)="","(未設定)",INDEX(ポート振替表!$O$5:$O$3507,$L1608)&amp;""))</f>
        <v/>
      </c>
      <c r="F1608" s="52" t="str">
        <f aca="false">IF(L1608="","",INDEX(ポート振替表!$K$5:$K$3507,$L1608)&amp;" "&amp;INDEX(ポート振替表!$L$5:$L$3507,$L1608)&amp;"  ⇔  "&amp;INDEX(ポート振替表!$H$5:$H$3507,$L1608)&amp;" "&amp;INDEX(ポート振替表!$I$5:$I$3507,$L1608))</f>
        <v/>
      </c>
      <c r="G1608" s="57" t="s">
        <v>158</v>
      </c>
      <c r="H1608" s="32" t="str">
        <f aca="false">IF(L1608="","",INDEX(ポート振替表!$N$5:$N$3507,$L1608)&amp;"")</f>
        <v/>
      </c>
      <c r="I1608" s="32" t="str">
        <f aca="false">IF(L1608="","",INDEX(ポート振替表!$P$5:$P$3507,$L1608)&amp;"")</f>
        <v/>
      </c>
      <c r="J1608" s="60" t="str">
        <f aca="false">IF(L1608="","",INDEX(ポート振替表!$M$5:$M$3507,$L1608)&amp;"")</f>
        <v/>
      </c>
      <c r="K1608" s="52" t="str">
        <f aca="false">IF(L1608="","",E1608&amp;CHAR(10)&amp;INDEX(ポート振替表!$K$5:$K$3507,$L1608)&amp;" "&amp;INDEX(ポート振替表!$L$5:$L$3507,$L1608)&amp;CHAR(10)&amp;"⇔ "&amp;INDEX(ポート振替表!$H$5:$H$3507,$L1608)&amp;" "&amp;INDEX(ポート振替表!$I$5:$I$3507,$L1608))</f>
        <v/>
      </c>
      <c r="L1608" s="47" t="str">
        <f aca="false">IFERROR(MATCH(ROW()-4,ポート振替表!$V$5:$V$3507,0),"")</f>
        <v/>
      </c>
    </row>
    <row r="1609" customFormat="false" ht="16.4" hidden="false" customHeight="false" outlineLevel="0" collapsed="false">
      <c r="A1609" s="32" t="str">
        <f aca="false">IF(L1609="","",ROW()-4)</f>
        <v/>
      </c>
      <c r="B1609" s="58" t="str">
        <f aca="false">IF(L1609="","",IF(INDEX(ポート振替表!$W$5:$W$3507,$L1609)="","(なし)",INDEX(ポート振替表!$W$5:$W$3507,$L1609)&amp;""))</f>
        <v/>
      </c>
      <c r="C1609" s="52" t="str">
        <f aca="false">IF(L1609="","",INDEX(ポート振替表!$B$5:$B$3507,$L1609)&amp;" "&amp;INDEX(ポート振替表!$C$5:$C$3507,$L1609)&amp;"  ⇔  "&amp;INDEX(ポート振替表!$H$5:$H$3507,$L1609)&amp;" "&amp;INDEX(ポート振替表!$I$5:$I$3507,$L1609))</f>
        <v/>
      </c>
      <c r="D1609" s="57" t="s">
        <v>158</v>
      </c>
      <c r="E1609" s="59" t="str">
        <f aca="false">IF(L1609="","",IF(INDEX(ポート振替表!$O$5:$O$3507,$L1609)="","(未設定)",INDEX(ポート振替表!$O$5:$O$3507,$L1609)&amp;""))</f>
        <v/>
      </c>
      <c r="F1609" s="52" t="str">
        <f aca="false">IF(L1609="","",INDEX(ポート振替表!$K$5:$K$3507,$L1609)&amp;" "&amp;INDEX(ポート振替表!$L$5:$L$3507,$L1609)&amp;"  ⇔  "&amp;INDEX(ポート振替表!$H$5:$H$3507,$L1609)&amp;" "&amp;INDEX(ポート振替表!$I$5:$I$3507,$L1609))</f>
        <v/>
      </c>
      <c r="G1609" s="57" t="s">
        <v>158</v>
      </c>
      <c r="H1609" s="32" t="str">
        <f aca="false">IF(L1609="","",INDEX(ポート振替表!$N$5:$N$3507,$L1609)&amp;"")</f>
        <v/>
      </c>
      <c r="I1609" s="32" t="str">
        <f aca="false">IF(L1609="","",INDEX(ポート振替表!$P$5:$P$3507,$L1609)&amp;"")</f>
        <v/>
      </c>
      <c r="J1609" s="60" t="str">
        <f aca="false">IF(L1609="","",INDEX(ポート振替表!$M$5:$M$3507,$L1609)&amp;"")</f>
        <v/>
      </c>
      <c r="K1609" s="52" t="str">
        <f aca="false">IF(L1609="","",E1609&amp;CHAR(10)&amp;INDEX(ポート振替表!$K$5:$K$3507,$L1609)&amp;" "&amp;INDEX(ポート振替表!$L$5:$L$3507,$L1609)&amp;CHAR(10)&amp;"⇔ "&amp;INDEX(ポート振替表!$H$5:$H$3507,$L1609)&amp;" "&amp;INDEX(ポート振替表!$I$5:$I$3507,$L1609))</f>
        <v/>
      </c>
      <c r="L1609" s="47" t="str">
        <f aca="false">IFERROR(MATCH(ROW()-4,ポート振替表!$V$5:$V$3507,0),"")</f>
        <v/>
      </c>
    </row>
    <row r="1610" customFormat="false" ht="16.4" hidden="false" customHeight="false" outlineLevel="0" collapsed="false">
      <c r="A1610" s="32" t="str">
        <f aca="false">IF(L1610="","",ROW()-4)</f>
        <v/>
      </c>
      <c r="B1610" s="58" t="str">
        <f aca="false">IF(L1610="","",IF(INDEX(ポート振替表!$W$5:$W$3507,$L1610)="","(なし)",INDEX(ポート振替表!$W$5:$W$3507,$L1610)&amp;""))</f>
        <v/>
      </c>
      <c r="C1610" s="52" t="str">
        <f aca="false">IF(L1610="","",INDEX(ポート振替表!$B$5:$B$3507,$L1610)&amp;" "&amp;INDEX(ポート振替表!$C$5:$C$3507,$L1610)&amp;"  ⇔  "&amp;INDEX(ポート振替表!$H$5:$H$3507,$L1610)&amp;" "&amp;INDEX(ポート振替表!$I$5:$I$3507,$L1610))</f>
        <v/>
      </c>
      <c r="D1610" s="57" t="s">
        <v>158</v>
      </c>
      <c r="E1610" s="59" t="str">
        <f aca="false">IF(L1610="","",IF(INDEX(ポート振替表!$O$5:$O$3507,$L1610)="","(未設定)",INDEX(ポート振替表!$O$5:$O$3507,$L1610)&amp;""))</f>
        <v/>
      </c>
      <c r="F1610" s="52" t="str">
        <f aca="false">IF(L1610="","",INDEX(ポート振替表!$K$5:$K$3507,$L1610)&amp;" "&amp;INDEX(ポート振替表!$L$5:$L$3507,$L1610)&amp;"  ⇔  "&amp;INDEX(ポート振替表!$H$5:$H$3507,$L1610)&amp;" "&amp;INDEX(ポート振替表!$I$5:$I$3507,$L1610))</f>
        <v/>
      </c>
      <c r="G1610" s="57" t="s">
        <v>158</v>
      </c>
      <c r="H1610" s="32" t="str">
        <f aca="false">IF(L1610="","",INDEX(ポート振替表!$N$5:$N$3507,$L1610)&amp;"")</f>
        <v/>
      </c>
      <c r="I1610" s="32" t="str">
        <f aca="false">IF(L1610="","",INDEX(ポート振替表!$P$5:$P$3507,$L1610)&amp;"")</f>
        <v/>
      </c>
      <c r="J1610" s="60" t="str">
        <f aca="false">IF(L1610="","",INDEX(ポート振替表!$M$5:$M$3507,$L1610)&amp;"")</f>
        <v/>
      </c>
      <c r="K1610" s="52" t="str">
        <f aca="false">IF(L1610="","",E1610&amp;CHAR(10)&amp;INDEX(ポート振替表!$K$5:$K$3507,$L1610)&amp;" "&amp;INDEX(ポート振替表!$L$5:$L$3507,$L1610)&amp;CHAR(10)&amp;"⇔ "&amp;INDEX(ポート振替表!$H$5:$H$3507,$L1610)&amp;" "&amp;INDEX(ポート振替表!$I$5:$I$3507,$L1610))</f>
        <v/>
      </c>
      <c r="L1610" s="47" t="str">
        <f aca="false">IFERROR(MATCH(ROW()-4,ポート振替表!$V$5:$V$3507,0),"")</f>
        <v/>
      </c>
    </row>
    <row r="1611" customFormat="false" ht="16.4" hidden="false" customHeight="false" outlineLevel="0" collapsed="false">
      <c r="A1611" s="32" t="str">
        <f aca="false">IF(L1611="","",ROW()-4)</f>
        <v/>
      </c>
      <c r="B1611" s="58" t="str">
        <f aca="false">IF(L1611="","",IF(INDEX(ポート振替表!$W$5:$W$3507,$L1611)="","(なし)",INDEX(ポート振替表!$W$5:$W$3507,$L1611)&amp;""))</f>
        <v/>
      </c>
      <c r="C1611" s="52" t="str">
        <f aca="false">IF(L1611="","",INDEX(ポート振替表!$B$5:$B$3507,$L1611)&amp;" "&amp;INDEX(ポート振替表!$C$5:$C$3507,$L1611)&amp;"  ⇔  "&amp;INDEX(ポート振替表!$H$5:$H$3507,$L1611)&amp;" "&amp;INDEX(ポート振替表!$I$5:$I$3507,$L1611))</f>
        <v/>
      </c>
      <c r="D1611" s="57" t="s">
        <v>158</v>
      </c>
      <c r="E1611" s="59" t="str">
        <f aca="false">IF(L1611="","",IF(INDEX(ポート振替表!$O$5:$O$3507,$L1611)="","(未設定)",INDEX(ポート振替表!$O$5:$O$3507,$L1611)&amp;""))</f>
        <v/>
      </c>
      <c r="F1611" s="52" t="str">
        <f aca="false">IF(L1611="","",INDEX(ポート振替表!$K$5:$K$3507,$L1611)&amp;" "&amp;INDEX(ポート振替表!$L$5:$L$3507,$L1611)&amp;"  ⇔  "&amp;INDEX(ポート振替表!$H$5:$H$3507,$L1611)&amp;" "&amp;INDEX(ポート振替表!$I$5:$I$3507,$L1611))</f>
        <v/>
      </c>
      <c r="G1611" s="57" t="s">
        <v>158</v>
      </c>
      <c r="H1611" s="32" t="str">
        <f aca="false">IF(L1611="","",INDEX(ポート振替表!$N$5:$N$3507,$L1611)&amp;"")</f>
        <v/>
      </c>
      <c r="I1611" s="32" t="str">
        <f aca="false">IF(L1611="","",INDEX(ポート振替表!$P$5:$P$3507,$L1611)&amp;"")</f>
        <v/>
      </c>
      <c r="J1611" s="60" t="str">
        <f aca="false">IF(L1611="","",INDEX(ポート振替表!$M$5:$M$3507,$L1611)&amp;"")</f>
        <v/>
      </c>
      <c r="K1611" s="52" t="str">
        <f aca="false">IF(L1611="","",E1611&amp;CHAR(10)&amp;INDEX(ポート振替表!$K$5:$K$3507,$L1611)&amp;" "&amp;INDEX(ポート振替表!$L$5:$L$3507,$L1611)&amp;CHAR(10)&amp;"⇔ "&amp;INDEX(ポート振替表!$H$5:$H$3507,$L1611)&amp;" "&amp;INDEX(ポート振替表!$I$5:$I$3507,$L1611))</f>
        <v/>
      </c>
      <c r="L1611" s="47" t="str">
        <f aca="false">IFERROR(MATCH(ROW()-4,ポート振替表!$V$5:$V$3507,0),"")</f>
        <v/>
      </c>
    </row>
    <row r="1612" customFormat="false" ht="16.4" hidden="false" customHeight="false" outlineLevel="0" collapsed="false">
      <c r="A1612" s="32" t="str">
        <f aca="false">IF(L1612="","",ROW()-4)</f>
        <v/>
      </c>
      <c r="B1612" s="58" t="str">
        <f aca="false">IF(L1612="","",IF(INDEX(ポート振替表!$W$5:$W$3507,$L1612)="","(なし)",INDEX(ポート振替表!$W$5:$W$3507,$L1612)&amp;""))</f>
        <v/>
      </c>
      <c r="C1612" s="52" t="str">
        <f aca="false">IF(L1612="","",INDEX(ポート振替表!$B$5:$B$3507,$L1612)&amp;" "&amp;INDEX(ポート振替表!$C$5:$C$3507,$L1612)&amp;"  ⇔  "&amp;INDEX(ポート振替表!$H$5:$H$3507,$L1612)&amp;" "&amp;INDEX(ポート振替表!$I$5:$I$3507,$L1612))</f>
        <v/>
      </c>
      <c r="D1612" s="57" t="s">
        <v>158</v>
      </c>
      <c r="E1612" s="59" t="str">
        <f aca="false">IF(L1612="","",IF(INDEX(ポート振替表!$O$5:$O$3507,$L1612)="","(未設定)",INDEX(ポート振替表!$O$5:$O$3507,$L1612)&amp;""))</f>
        <v/>
      </c>
      <c r="F1612" s="52" t="str">
        <f aca="false">IF(L1612="","",INDEX(ポート振替表!$K$5:$K$3507,$L1612)&amp;" "&amp;INDEX(ポート振替表!$L$5:$L$3507,$L1612)&amp;"  ⇔  "&amp;INDEX(ポート振替表!$H$5:$H$3507,$L1612)&amp;" "&amp;INDEX(ポート振替表!$I$5:$I$3507,$L1612))</f>
        <v/>
      </c>
      <c r="G1612" s="57" t="s">
        <v>158</v>
      </c>
      <c r="H1612" s="32" t="str">
        <f aca="false">IF(L1612="","",INDEX(ポート振替表!$N$5:$N$3507,$L1612)&amp;"")</f>
        <v/>
      </c>
      <c r="I1612" s="32" t="str">
        <f aca="false">IF(L1612="","",INDEX(ポート振替表!$P$5:$P$3507,$L1612)&amp;"")</f>
        <v/>
      </c>
      <c r="J1612" s="60" t="str">
        <f aca="false">IF(L1612="","",INDEX(ポート振替表!$M$5:$M$3507,$L1612)&amp;"")</f>
        <v/>
      </c>
      <c r="K1612" s="52" t="str">
        <f aca="false">IF(L1612="","",E1612&amp;CHAR(10)&amp;INDEX(ポート振替表!$K$5:$K$3507,$L1612)&amp;" "&amp;INDEX(ポート振替表!$L$5:$L$3507,$L1612)&amp;CHAR(10)&amp;"⇔ "&amp;INDEX(ポート振替表!$H$5:$H$3507,$L1612)&amp;" "&amp;INDEX(ポート振替表!$I$5:$I$3507,$L1612))</f>
        <v/>
      </c>
      <c r="L1612" s="47" t="str">
        <f aca="false">IFERROR(MATCH(ROW()-4,ポート振替表!$V$5:$V$3507,0),"")</f>
        <v/>
      </c>
    </row>
    <row r="1613" customFormat="false" ht="16.4" hidden="false" customHeight="false" outlineLevel="0" collapsed="false">
      <c r="A1613" s="32" t="str">
        <f aca="false">IF(L1613="","",ROW()-4)</f>
        <v/>
      </c>
      <c r="B1613" s="58" t="str">
        <f aca="false">IF(L1613="","",IF(INDEX(ポート振替表!$W$5:$W$3507,$L1613)="","(なし)",INDEX(ポート振替表!$W$5:$W$3507,$L1613)&amp;""))</f>
        <v/>
      </c>
      <c r="C1613" s="52" t="str">
        <f aca="false">IF(L1613="","",INDEX(ポート振替表!$B$5:$B$3507,$L1613)&amp;" "&amp;INDEX(ポート振替表!$C$5:$C$3507,$L1613)&amp;"  ⇔  "&amp;INDEX(ポート振替表!$H$5:$H$3507,$L1613)&amp;" "&amp;INDEX(ポート振替表!$I$5:$I$3507,$L1613))</f>
        <v/>
      </c>
      <c r="D1613" s="57" t="s">
        <v>158</v>
      </c>
      <c r="E1613" s="59" t="str">
        <f aca="false">IF(L1613="","",IF(INDEX(ポート振替表!$O$5:$O$3507,$L1613)="","(未設定)",INDEX(ポート振替表!$O$5:$O$3507,$L1613)&amp;""))</f>
        <v/>
      </c>
      <c r="F1613" s="52" t="str">
        <f aca="false">IF(L1613="","",INDEX(ポート振替表!$K$5:$K$3507,$L1613)&amp;" "&amp;INDEX(ポート振替表!$L$5:$L$3507,$L1613)&amp;"  ⇔  "&amp;INDEX(ポート振替表!$H$5:$H$3507,$L1613)&amp;" "&amp;INDEX(ポート振替表!$I$5:$I$3507,$L1613))</f>
        <v/>
      </c>
      <c r="G1613" s="57" t="s">
        <v>158</v>
      </c>
      <c r="H1613" s="32" t="str">
        <f aca="false">IF(L1613="","",INDEX(ポート振替表!$N$5:$N$3507,$L1613)&amp;"")</f>
        <v/>
      </c>
      <c r="I1613" s="32" t="str">
        <f aca="false">IF(L1613="","",INDEX(ポート振替表!$P$5:$P$3507,$L1613)&amp;"")</f>
        <v/>
      </c>
      <c r="J1613" s="60" t="str">
        <f aca="false">IF(L1613="","",INDEX(ポート振替表!$M$5:$M$3507,$L1613)&amp;"")</f>
        <v/>
      </c>
      <c r="K1613" s="52" t="str">
        <f aca="false">IF(L1613="","",E1613&amp;CHAR(10)&amp;INDEX(ポート振替表!$K$5:$K$3507,$L1613)&amp;" "&amp;INDEX(ポート振替表!$L$5:$L$3507,$L1613)&amp;CHAR(10)&amp;"⇔ "&amp;INDEX(ポート振替表!$H$5:$H$3507,$L1613)&amp;" "&amp;INDEX(ポート振替表!$I$5:$I$3507,$L1613))</f>
        <v/>
      </c>
      <c r="L1613" s="47" t="str">
        <f aca="false">IFERROR(MATCH(ROW()-4,ポート振替表!$V$5:$V$3507,0),"")</f>
        <v/>
      </c>
    </row>
    <row r="1614" customFormat="false" ht="16.4" hidden="false" customHeight="false" outlineLevel="0" collapsed="false">
      <c r="A1614" s="32" t="str">
        <f aca="false">IF(L1614="","",ROW()-4)</f>
        <v/>
      </c>
      <c r="B1614" s="58" t="str">
        <f aca="false">IF(L1614="","",IF(INDEX(ポート振替表!$W$5:$W$3507,$L1614)="","(なし)",INDEX(ポート振替表!$W$5:$W$3507,$L1614)&amp;""))</f>
        <v/>
      </c>
      <c r="C1614" s="52" t="str">
        <f aca="false">IF(L1614="","",INDEX(ポート振替表!$B$5:$B$3507,$L1614)&amp;" "&amp;INDEX(ポート振替表!$C$5:$C$3507,$L1614)&amp;"  ⇔  "&amp;INDEX(ポート振替表!$H$5:$H$3507,$L1614)&amp;" "&amp;INDEX(ポート振替表!$I$5:$I$3507,$L1614))</f>
        <v/>
      </c>
      <c r="D1614" s="57" t="s">
        <v>158</v>
      </c>
      <c r="E1614" s="59" t="str">
        <f aca="false">IF(L1614="","",IF(INDEX(ポート振替表!$O$5:$O$3507,$L1614)="","(未設定)",INDEX(ポート振替表!$O$5:$O$3507,$L1614)&amp;""))</f>
        <v/>
      </c>
      <c r="F1614" s="52" t="str">
        <f aca="false">IF(L1614="","",INDEX(ポート振替表!$K$5:$K$3507,$L1614)&amp;" "&amp;INDEX(ポート振替表!$L$5:$L$3507,$L1614)&amp;"  ⇔  "&amp;INDEX(ポート振替表!$H$5:$H$3507,$L1614)&amp;" "&amp;INDEX(ポート振替表!$I$5:$I$3507,$L1614))</f>
        <v/>
      </c>
      <c r="G1614" s="57" t="s">
        <v>158</v>
      </c>
      <c r="H1614" s="32" t="str">
        <f aca="false">IF(L1614="","",INDEX(ポート振替表!$N$5:$N$3507,$L1614)&amp;"")</f>
        <v/>
      </c>
      <c r="I1614" s="32" t="str">
        <f aca="false">IF(L1614="","",INDEX(ポート振替表!$P$5:$P$3507,$L1614)&amp;"")</f>
        <v/>
      </c>
      <c r="J1614" s="60" t="str">
        <f aca="false">IF(L1614="","",INDEX(ポート振替表!$M$5:$M$3507,$L1614)&amp;"")</f>
        <v/>
      </c>
      <c r="K1614" s="52" t="str">
        <f aca="false">IF(L1614="","",E1614&amp;CHAR(10)&amp;INDEX(ポート振替表!$K$5:$K$3507,$L1614)&amp;" "&amp;INDEX(ポート振替表!$L$5:$L$3507,$L1614)&amp;CHAR(10)&amp;"⇔ "&amp;INDEX(ポート振替表!$H$5:$H$3507,$L1614)&amp;" "&amp;INDEX(ポート振替表!$I$5:$I$3507,$L1614))</f>
        <v/>
      </c>
      <c r="L1614" s="47" t="str">
        <f aca="false">IFERROR(MATCH(ROW()-4,ポート振替表!$V$5:$V$3507,0),"")</f>
        <v/>
      </c>
    </row>
    <row r="1615" customFormat="false" ht="16.4" hidden="false" customHeight="false" outlineLevel="0" collapsed="false">
      <c r="A1615" s="32" t="str">
        <f aca="false">IF(L1615="","",ROW()-4)</f>
        <v/>
      </c>
      <c r="B1615" s="58" t="str">
        <f aca="false">IF(L1615="","",IF(INDEX(ポート振替表!$W$5:$W$3507,$L1615)="","(なし)",INDEX(ポート振替表!$W$5:$W$3507,$L1615)&amp;""))</f>
        <v/>
      </c>
      <c r="C1615" s="52" t="str">
        <f aca="false">IF(L1615="","",INDEX(ポート振替表!$B$5:$B$3507,$L1615)&amp;" "&amp;INDEX(ポート振替表!$C$5:$C$3507,$L1615)&amp;"  ⇔  "&amp;INDEX(ポート振替表!$H$5:$H$3507,$L1615)&amp;" "&amp;INDEX(ポート振替表!$I$5:$I$3507,$L1615))</f>
        <v/>
      </c>
      <c r="D1615" s="57" t="s">
        <v>158</v>
      </c>
      <c r="E1615" s="59" t="str">
        <f aca="false">IF(L1615="","",IF(INDEX(ポート振替表!$O$5:$O$3507,$L1615)="","(未設定)",INDEX(ポート振替表!$O$5:$O$3507,$L1615)&amp;""))</f>
        <v/>
      </c>
      <c r="F1615" s="52" t="str">
        <f aca="false">IF(L1615="","",INDEX(ポート振替表!$K$5:$K$3507,$L1615)&amp;" "&amp;INDEX(ポート振替表!$L$5:$L$3507,$L1615)&amp;"  ⇔  "&amp;INDEX(ポート振替表!$H$5:$H$3507,$L1615)&amp;" "&amp;INDEX(ポート振替表!$I$5:$I$3507,$L1615))</f>
        <v/>
      </c>
      <c r="G1615" s="57" t="s">
        <v>158</v>
      </c>
      <c r="H1615" s="32" t="str">
        <f aca="false">IF(L1615="","",INDEX(ポート振替表!$N$5:$N$3507,$L1615)&amp;"")</f>
        <v/>
      </c>
      <c r="I1615" s="32" t="str">
        <f aca="false">IF(L1615="","",INDEX(ポート振替表!$P$5:$P$3507,$L1615)&amp;"")</f>
        <v/>
      </c>
      <c r="J1615" s="60" t="str">
        <f aca="false">IF(L1615="","",INDEX(ポート振替表!$M$5:$M$3507,$L1615)&amp;"")</f>
        <v/>
      </c>
      <c r="K1615" s="52" t="str">
        <f aca="false">IF(L1615="","",E1615&amp;CHAR(10)&amp;INDEX(ポート振替表!$K$5:$K$3507,$L1615)&amp;" "&amp;INDEX(ポート振替表!$L$5:$L$3507,$L1615)&amp;CHAR(10)&amp;"⇔ "&amp;INDEX(ポート振替表!$H$5:$H$3507,$L1615)&amp;" "&amp;INDEX(ポート振替表!$I$5:$I$3507,$L1615))</f>
        <v/>
      </c>
      <c r="L1615" s="47" t="str">
        <f aca="false">IFERROR(MATCH(ROW()-4,ポート振替表!$V$5:$V$3507,0),"")</f>
        <v/>
      </c>
    </row>
    <row r="1616" customFormat="false" ht="16.4" hidden="false" customHeight="false" outlineLevel="0" collapsed="false">
      <c r="A1616" s="32" t="str">
        <f aca="false">IF(L1616="","",ROW()-4)</f>
        <v/>
      </c>
      <c r="B1616" s="58" t="str">
        <f aca="false">IF(L1616="","",IF(INDEX(ポート振替表!$W$5:$W$3507,$L1616)="","(なし)",INDEX(ポート振替表!$W$5:$W$3507,$L1616)&amp;""))</f>
        <v/>
      </c>
      <c r="C1616" s="52" t="str">
        <f aca="false">IF(L1616="","",INDEX(ポート振替表!$B$5:$B$3507,$L1616)&amp;" "&amp;INDEX(ポート振替表!$C$5:$C$3507,$L1616)&amp;"  ⇔  "&amp;INDEX(ポート振替表!$H$5:$H$3507,$L1616)&amp;" "&amp;INDEX(ポート振替表!$I$5:$I$3507,$L1616))</f>
        <v/>
      </c>
      <c r="D1616" s="57" t="s">
        <v>158</v>
      </c>
      <c r="E1616" s="59" t="str">
        <f aca="false">IF(L1616="","",IF(INDEX(ポート振替表!$O$5:$O$3507,$L1616)="","(未設定)",INDEX(ポート振替表!$O$5:$O$3507,$L1616)&amp;""))</f>
        <v/>
      </c>
      <c r="F1616" s="52" t="str">
        <f aca="false">IF(L1616="","",INDEX(ポート振替表!$K$5:$K$3507,$L1616)&amp;" "&amp;INDEX(ポート振替表!$L$5:$L$3507,$L1616)&amp;"  ⇔  "&amp;INDEX(ポート振替表!$H$5:$H$3507,$L1616)&amp;" "&amp;INDEX(ポート振替表!$I$5:$I$3507,$L1616))</f>
        <v/>
      </c>
      <c r="G1616" s="57" t="s">
        <v>158</v>
      </c>
      <c r="H1616" s="32" t="str">
        <f aca="false">IF(L1616="","",INDEX(ポート振替表!$N$5:$N$3507,$L1616)&amp;"")</f>
        <v/>
      </c>
      <c r="I1616" s="32" t="str">
        <f aca="false">IF(L1616="","",INDEX(ポート振替表!$P$5:$P$3507,$L1616)&amp;"")</f>
        <v/>
      </c>
      <c r="J1616" s="60" t="str">
        <f aca="false">IF(L1616="","",INDEX(ポート振替表!$M$5:$M$3507,$L1616)&amp;"")</f>
        <v/>
      </c>
      <c r="K1616" s="52" t="str">
        <f aca="false">IF(L1616="","",E1616&amp;CHAR(10)&amp;INDEX(ポート振替表!$K$5:$K$3507,$L1616)&amp;" "&amp;INDEX(ポート振替表!$L$5:$L$3507,$L1616)&amp;CHAR(10)&amp;"⇔ "&amp;INDEX(ポート振替表!$H$5:$H$3507,$L1616)&amp;" "&amp;INDEX(ポート振替表!$I$5:$I$3507,$L1616))</f>
        <v/>
      </c>
      <c r="L1616" s="47" t="str">
        <f aca="false">IFERROR(MATCH(ROW()-4,ポート振替表!$V$5:$V$3507,0),"")</f>
        <v/>
      </c>
    </row>
    <row r="1617" customFormat="false" ht="16.4" hidden="false" customHeight="false" outlineLevel="0" collapsed="false">
      <c r="A1617" s="32" t="str">
        <f aca="false">IF(L1617="","",ROW()-4)</f>
        <v/>
      </c>
      <c r="B1617" s="58" t="str">
        <f aca="false">IF(L1617="","",IF(INDEX(ポート振替表!$W$5:$W$3507,$L1617)="","(なし)",INDEX(ポート振替表!$W$5:$W$3507,$L1617)&amp;""))</f>
        <v/>
      </c>
      <c r="C1617" s="52" t="str">
        <f aca="false">IF(L1617="","",INDEX(ポート振替表!$B$5:$B$3507,$L1617)&amp;" "&amp;INDEX(ポート振替表!$C$5:$C$3507,$L1617)&amp;"  ⇔  "&amp;INDEX(ポート振替表!$H$5:$H$3507,$L1617)&amp;" "&amp;INDEX(ポート振替表!$I$5:$I$3507,$L1617))</f>
        <v/>
      </c>
      <c r="D1617" s="57" t="s">
        <v>158</v>
      </c>
      <c r="E1617" s="59" t="str">
        <f aca="false">IF(L1617="","",IF(INDEX(ポート振替表!$O$5:$O$3507,$L1617)="","(未設定)",INDEX(ポート振替表!$O$5:$O$3507,$L1617)&amp;""))</f>
        <v/>
      </c>
      <c r="F1617" s="52" t="str">
        <f aca="false">IF(L1617="","",INDEX(ポート振替表!$K$5:$K$3507,$L1617)&amp;" "&amp;INDEX(ポート振替表!$L$5:$L$3507,$L1617)&amp;"  ⇔  "&amp;INDEX(ポート振替表!$H$5:$H$3507,$L1617)&amp;" "&amp;INDEX(ポート振替表!$I$5:$I$3507,$L1617))</f>
        <v/>
      </c>
      <c r="G1617" s="57" t="s">
        <v>158</v>
      </c>
      <c r="H1617" s="32" t="str">
        <f aca="false">IF(L1617="","",INDEX(ポート振替表!$N$5:$N$3507,$L1617)&amp;"")</f>
        <v/>
      </c>
      <c r="I1617" s="32" t="str">
        <f aca="false">IF(L1617="","",INDEX(ポート振替表!$P$5:$P$3507,$L1617)&amp;"")</f>
        <v/>
      </c>
      <c r="J1617" s="60" t="str">
        <f aca="false">IF(L1617="","",INDEX(ポート振替表!$M$5:$M$3507,$L1617)&amp;"")</f>
        <v/>
      </c>
      <c r="K1617" s="52" t="str">
        <f aca="false">IF(L1617="","",E1617&amp;CHAR(10)&amp;INDEX(ポート振替表!$K$5:$K$3507,$L1617)&amp;" "&amp;INDEX(ポート振替表!$L$5:$L$3507,$L1617)&amp;CHAR(10)&amp;"⇔ "&amp;INDEX(ポート振替表!$H$5:$H$3507,$L1617)&amp;" "&amp;INDEX(ポート振替表!$I$5:$I$3507,$L1617))</f>
        <v/>
      </c>
      <c r="L1617" s="47" t="str">
        <f aca="false">IFERROR(MATCH(ROW()-4,ポート振替表!$V$5:$V$3507,0),"")</f>
        <v/>
      </c>
    </row>
    <row r="1618" customFormat="false" ht="16.4" hidden="false" customHeight="false" outlineLevel="0" collapsed="false">
      <c r="A1618" s="32" t="str">
        <f aca="false">IF(L1618="","",ROW()-4)</f>
        <v/>
      </c>
      <c r="B1618" s="58" t="str">
        <f aca="false">IF(L1618="","",IF(INDEX(ポート振替表!$W$5:$W$3507,$L1618)="","(なし)",INDEX(ポート振替表!$W$5:$W$3507,$L1618)&amp;""))</f>
        <v/>
      </c>
      <c r="C1618" s="52" t="str">
        <f aca="false">IF(L1618="","",INDEX(ポート振替表!$B$5:$B$3507,$L1618)&amp;" "&amp;INDEX(ポート振替表!$C$5:$C$3507,$L1618)&amp;"  ⇔  "&amp;INDEX(ポート振替表!$H$5:$H$3507,$L1618)&amp;" "&amp;INDEX(ポート振替表!$I$5:$I$3507,$L1618))</f>
        <v/>
      </c>
      <c r="D1618" s="57" t="s">
        <v>158</v>
      </c>
      <c r="E1618" s="59" t="str">
        <f aca="false">IF(L1618="","",IF(INDEX(ポート振替表!$O$5:$O$3507,$L1618)="","(未設定)",INDEX(ポート振替表!$O$5:$O$3507,$L1618)&amp;""))</f>
        <v/>
      </c>
      <c r="F1618" s="52" t="str">
        <f aca="false">IF(L1618="","",INDEX(ポート振替表!$K$5:$K$3507,$L1618)&amp;" "&amp;INDEX(ポート振替表!$L$5:$L$3507,$L1618)&amp;"  ⇔  "&amp;INDEX(ポート振替表!$H$5:$H$3507,$L1618)&amp;" "&amp;INDEX(ポート振替表!$I$5:$I$3507,$L1618))</f>
        <v/>
      </c>
      <c r="G1618" s="57" t="s">
        <v>158</v>
      </c>
      <c r="H1618" s="32" t="str">
        <f aca="false">IF(L1618="","",INDEX(ポート振替表!$N$5:$N$3507,$L1618)&amp;"")</f>
        <v/>
      </c>
      <c r="I1618" s="32" t="str">
        <f aca="false">IF(L1618="","",INDEX(ポート振替表!$P$5:$P$3507,$L1618)&amp;"")</f>
        <v/>
      </c>
      <c r="J1618" s="60" t="str">
        <f aca="false">IF(L1618="","",INDEX(ポート振替表!$M$5:$M$3507,$L1618)&amp;"")</f>
        <v/>
      </c>
      <c r="K1618" s="52" t="str">
        <f aca="false">IF(L1618="","",E1618&amp;CHAR(10)&amp;INDEX(ポート振替表!$K$5:$K$3507,$L1618)&amp;" "&amp;INDEX(ポート振替表!$L$5:$L$3507,$L1618)&amp;CHAR(10)&amp;"⇔ "&amp;INDEX(ポート振替表!$H$5:$H$3507,$L1618)&amp;" "&amp;INDEX(ポート振替表!$I$5:$I$3507,$L1618))</f>
        <v/>
      </c>
      <c r="L1618" s="47" t="str">
        <f aca="false">IFERROR(MATCH(ROW()-4,ポート振替表!$V$5:$V$3507,0),"")</f>
        <v/>
      </c>
    </row>
    <row r="1619" customFormat="false" ht="16.4" hidden="false" customHeight="false" outlineLevel="0" collapsed="false">
      <c r="A1619" s="32" t="str">
        <f aca="false">IF(L1619="","",ROW()-4)</f>
        <v/>
      </c>
      <c r="B1619" s="58" t="str">
        <f aca="false">IF(L1619="","",IF(INDEX(ポート振替表!$W$5:$W$3507,$L1619)="","(なし)",INDEX(ポート振替表!$W$5:$W$3507,$L1619)&amp;""))</f>
        <v/>
      </c>
      <c r="C1619" s="52" t="str">
        <f aca="false">IF(L1619="","",INDEX(ポート振替表!$B$5:$B$3507,$L1619)&amp;" "&amp;INDEX(ポート振替表!$C$5:$C$3507,$L1619)&amp;"  ⇔  "&amp;INDEX(ポート振替表!$H$5:$H$3507,$L1619)&amp;" "&amp;INDEX(ポート振替表!$I$5:$I$3507,$L1619))</f>
        <v/>
      </c>
      <c r="D1619" s="57" t="s">
        <v>158</v>
      </c>
      <c r="E1619" s="59" t="str">
        <f aca="false">IF(L1619="","",IF(INDEX(ポート振替表!$O$5:$O$3507,$L1619)="","(未設定)",INDEX(ポート振替表!$O$5:$O$3507,$L1619)&amp;""))</f>
        <v/>
      </c>
      <c r="F1619" s="52" t="str">
        <f aca="false">IF(L1619="","",INDEX(ポート振替表!$K$5:$K$3507,$L1619)&amp;" "&amp;INDEX(ポート振替表!$L$5:$L$3507,$L1619)&amp;"  ⇔  "&amp;INDEX(ポート振替表!$H$5:$H$3507,$L1619)&amp;" "&amp;INDEX(ポート振替表!$I$5:$I$3507,$L1619))</f>
        <v/>
      </c>
      <c r="G1619" s="57" t="s">
        <v>158</v>
      </c>
      <c r="H1619" s="32" t="str">
        <f aca="false">IF(L1619="","",INDEX(ポート振替表!$N$5:$N$3507,$L1619)&amp;"")</f>
        <v/>
      </c>
      <c r="I1619" s="32" t="str">
        <f aca="false">IF(L1619="","",INDEX(ポート振替表!$P$5:$P$3507,$L1619)&amp;"")</f>
        <v/>
      </c>
      <c r="J1619" s="60" t="str">
        <f aca="false">IF(L1619="","",INDEX(ポート振替表!$M$5:$M$3507,$L1619)&amp;"")</f>
        <v/>
      </c>
      <c r="K1619" s="52" t="str">
        <f aca="false">IF(L1619="","",E1619&amp;CHAR(10)&amp;INDEX(ポート振替表!$K$5:$K$3507,$L1619)&amp;" "&amp;INDEX(ポート振替表!$L$5:$L$3507,$L1619)&amp;CHAR(10)&amp;"⇔ "&amp;INDEX(ポート振替表!$H$5:$H$3507,$L1619)&amp;" "&amp;INDEX(ポート振替表!$I$5:$I$3507,$L1619))</f>
        <v/>
      </c>
      <c r="L1619" s="47" t="str">
        <f aca="false">IFERROR(MATCH(ROW()-4,ポート振替表!$V$5:$V$3507,0),"")</f>
        <v/>
      </c>
    </row>
    <row r="1620" customFormat="false" ht="16.4" hidden="false" customHeight="false" outlineLevel="0" collapsed="false">
      <c r="A1620" s="32" t="str">
        <f aca="false">IF(L1620="","",ROW()-4)</f>
        <v/>
      </c>
      <c r="B1620" s="58" t="str">
        <f aca="false">IF(L1620="","",IF(INDEX(ポート振替表!$W$5:$W$3507,$L1620)="","(なし)",INDEX(ポート振替表!$W$5:$W$3507,$L1620)&amp;""))</f>
        <v/>
      </c>
      <c r="C1620" s="52" t="str">
        <f aca="false">IF(L1620="","",INDEX(ポート振替表!$B$5:$B$3507,$L1620)&amp;" "&amp;INDEX(ポート振替表!$C$5:$C$3507,$L1620)&amp;"  ⇔  "&amp;INDEX(ポート振替表!$H$5:$H$3507,$L1620)&amp;" "&amp;INDEX(ポート振替表!$I$5:$I$3507,$L1620))</f>
        <v/>
      </c>
      <c r="D1620" s="57" t="s">
        <v>158</v>
      </c>
      <c r="E1620" s="59" t="str">
        <f aca="false">IF(L1620="","",IF(INDEX(ポート振替表!$O$5:$O$3507,$L1620)="","(未設定)",INDEX(ポート振替表!$O$5:$O$3507,$L1620)&amp;""))</f>
        <v/>
      </c>
      <c r="F1620" s="52" t="str">
        <f aca="false">IF(L1620="","",INDEX(ポート振替表!$K$5:$K$3507,$L1620)&amp;" "&amp;INDEX(ポート振替表!$L$5:$L$3507,$L1620)&amp;"  ⇔  "&amp;INDEX(ポート振替表!$H$5:$H$3507,$L1620)&amp;" "&amp;INDEX(ポート振替表!$I$5:$I$3507,$L1620))</f>
        <v/>
      </c>
      <c r="G1620" s="57" t="s">
        <v>158</v>
      </c>
      <c r="H1620" s="32" t="str">
        <f aca="false">IF(L1620="","",INDEX(ポート振替表!$N$5:$N$3507,$L1620)&amp;"")</f>
        <v/>
      </c>
      <c r="I1620" s="32" t="str">
        <f aca="false">IF(L1620="","",INDEX(ポート振替表!$P$5:$P$3507,$L1620)&amp;"")</f>
        <v/>
      </c>
      <c r="J1620" s="60" t="str">
        <f aca="false">IF(L1620="","",INDEX(ポート振替表!$M$5:$M$3507,$L1620)&amp;"")</f>
        <v/>
      </c>
      <c r="K1620" s="52" t="str">
        <f aca="false">IF(L1620="","",E1620&amp;CHAR(10)&amp;INDEX(ポート振替表!$K$5:$K$3507,$L1620)&amp;" "&amp;INDEX(ポート振替表!$L$5:$L$3507,$L1620)&amp;CHAR(10)&amp;"⇔ "&amp;INDEX(ポート振替表!$H$5:$H$3507,$L1620)&amp;" "&amp;INDEX(ポート振替表!$I$5:$I$3507,$L1620))</f>
        <v/>
      </c>
      <c r="L1620" s="47" t="str">
        <f aca="false">IFERROR(MATCH(ROW()-4,ポート振替表!$V$5:$V$3507,0),"")</f>
        <v/>
      </c>
    </row>
    <row r="1621" customFormat="false" ht="16.4" hidden="false" customHeight="false" outlineLevel="0" collapsed="false">
      <c r="A1621" s="32" t="str">
        <f aca="false">IF(L1621="","",ROW()-4)</f>
        <v/>
      </c>
      <c r="B1621" s="58" t="str">
        <f aca="false">IF(L1621="","",IF(INDEX(ポート振替表!$W$5:$W$3507,$L1621)="","(なし)",INDEX(ポート振替表!$W$5:$W$3507,$L1621)&amp;""))</f>
        <v/>
      </c>
      <c r="C1621" s="52" t="str">
        <f aca="false">IF(L1621="","",INDEX(ポート振替表!$B$5:$B$3507,$L1621)&amp;" "&amp;INDEX(ポート振替表!$C$5:$C$3507,$L1621)&amp;"  ⇔  "&amp;INDEX(ポート振替表!$H$5:$H$3507,$L1621)&amp;" "&amp;INDEX(ポート振替表!$I$5:$I$3507,$L1621))</f>
        <v/>
      </c>
      <c r="D1621" s="57" t="s">
        <v>158</v>
      </c>
      <c r="E1621" s="59" t="str">
        <f aca="false">IF(L1621="","",IF(INDEX(ポート振替表!$O$5:$O$3507,$L1621)="","(未設定)",INDEX(ポート振替表!$O$5:$O$3507,$L1621)&amp;""))</f>
        <v/>
      </c>
      <c r="F1621" s="52" t="str">
        <f aca="false">IF(L1621="","",INDEX(ポート振替表!$K$5:$K$3507,$L1621)&amp;" "&amp;INDEX(ポート振替表!$L$5:$L$3507,$L1621)&amp;"  ⇔  "&amp;INDEX(ポート振替表!$H$5:$H$3507,$L1621)&amp;" "&amp;INDEX(ポート振替表!$I$5:$I$3507,$L1621))</f>
        <v/>
      </c>
      <c r="G1621" s="57" t="s">
        <v>158</v>
      </c>
      <c r="H1621" s="32" t="str">
        <f aca="false">IF(L1621="","",INDEX(ポート振替表!$N$5:$N$3507,$L1621)&amp;"")</f>
        <v/>
      </c>
      <c r="I1621" s="32" t="str">
        <f aca="false">IF(L1621="","",INDEX(ポート振替表!$P$5:$P$3507,$L1621)&amp;"")</f>
        <v/>
      </c>
      <c r="J1621" s="60" t="str">
        <f aca="false">IF(L1621="","",INDEX(ポート振替表!$M$5:$M$3507,$L1621)&amp;"")</f>
        <v/>
      </c>
      <c r="K1621" s="52" t="str">
        <f aca="false">IF(L1621="","",E1621&amp;CHAR(10)&amp;INDEX(ポート振替表!$K$5:$K$3507,$L1621)&amp;" "&amp;INDEX(ポート振替表!$L$5:$L$3507,$L1621)&amp;CHAR(10)&amp;"⇔ "&amp;INDEX(ポート振替表!$H$5:$H$3507,$L1621)&amp;" "&amp;INDEX(ポート振替表!$I$5:$I$3507,$L1621))</f>
        <v/>
      </c>
      <c r="L1621" s="47" t="str">
        <f aca="false">IFERROR(MATCH(ROW()-4,ポート振替表!$V$5:$V$3507,0),"")</f>
        <v/>
      </c>
    </row>
    <row r="1622" customFormat="false" ht="16.4" hidden="false" customHeight="false" outlineLevel="0" collapsed="false">
      <c r="A1622" s="32" t="str">
        <f aca="false">IF(L1622="","",ROW()-4)</f>
        <v/>
      </c>
      <c r="B1622" s="58" t="str">
        <f aca="false">IF(L1622="","",IF(INDEX(ポート振替表!$W$5:$W$3507,$L1622)="","(なし)",INDEX(ポート振替表!$W$5:$W$3507,$L1622)&amp;""))</f>
        <v/>
      </c>
      <c r="C1622" s="52" t="str">
        <f aca="false">IF(L1622="","",INDEX(ポート振替表!$B$5:$B$3507,$L1622)&amp;" "&amp;INDEX(ポート振替表!$C$5:$C$3507,$L1622)&amp;"  ⇔  "&amp;INDEX(ポート振替表!$H$5:$H$3507,$L1622)&amp;" "&amp;INDEX(ポート振替表!$I$5:$I$3507,$L1622))</f>
        <v/>
      </c>
      <c r="D1622" s="57" t="s">
        <v>158</v>
      </c>
      <c r="E1622" s="59" t="str">
        <f aca="false">IF(L1622="","",IF(INDEX(ポート振替表!$O$5:$O$3507,$L1622)="","(未設定)",INDEX(ポート振替表!$O$5:$O$3507,$L1622)&amp;""))</f>
        <v/>
      </c>
      <c r="F1622" s="52" t="str">
        <f aca="false">IF(L1622="","",INDEX(ポート振替表!$K$5:$K$3507,$L1622)&amp;" "&amp;INDEX(ポート振替表!$L$5:$L$3507,$L1622)&amp;"  ⇔  "&amp;INDEX(ポート振替表!$H$5:$H$3507,$L1622)&amp;" "&amp;INDEX(ポート振替表!$I$5:$I$3507,$L1622))</f>
        <v/>
      </c>
      <c r="G1622" s="57" t="s">
        <v>158</v>
      </c>
      <c r="H1622" s="32" t="str">
        <f aca="false">IF(L1622="","",INDEX(ポート振替表!$N$5:$N$3507,$L1622)&amp;"")</f>
        <v/>
      </c>
      <c r="I1622" s="32" t="str">
        <f aca="false">IF(L1622="","",INDEX(ポート振替表!$P$5:$P$3507,$L1622)&amp;"")</f>
        <v/>
      </c>
      <c r="J1622" s="60" t="str">
        <f aca="false">IF(L1622="","",INDEX(ポート振替表!$M$5:$M$3507,$L1622)&amp;"")</f>
        <v/>
      </c>
      <c r="K1622" s="52" t="str">
        <f aca="false">IF(L1622="","",E1622&amp;CHAR(10)&amp;INDEX(ポート振替表!$K$5:$K$3507,$L1622)&amp;" "&amp;INDEX(ポート振替表!$L$5:$L$3507,$L1622)&amp;CHAR(10)&amp;"⇔ "&amp;INDEX(ポート振替表!$H$5:$H$3507,$L1622)&amp;" "&amp;INDEX(ポート振替表!$I$5:$I$3507,$L1622))</f>
        <v/>
      </c>
      <c r="L1622" s="47" t="str">
        <f aca="false">IFERROR(MATCH(ROW()-4,ポート振替表!$V$5:$V$3507,0),"")</f>
        <v/>
      </c>
    </row>
    <row r="1623" customFormat="false" ht="16.4" hidden="false" customHeight="false" outlineLevel="0" collapsed="false">
      <c r="A1623" s="32" t="str">
        <f aca="false">IF(L1623="","",ROW()-4)</f>
        <v/>
      </c>
      <c r="B1623" s="58" t="str">
        <f aca="false">IF(L1623="","",IF(INDEX(ポート振替表!$W$5:$W$3507,$L1623)="","(なし)",INDEX(ポート振替表!$W$5:$W$3507,$L1623)&amp;""))</f>
        <v/>
      </c>
      <c r="C1623" s="52" t="str">
        <f aca="false">IF(L1623="","",INDEX(ポート振替表!$B$5:$B$3507,$L1623)&amp;" "&amp;INDEX(ポート振替表!$C$5:$C$3507,$L1623)&amp;"  ⇔  "&amp;INDEX(ポート振替表!$H$5:$H$3507,$L1623)&amp;" "&amp;INDEX(ポート振替表!$I$5:$I$3507,$L1623))</f>
        <v/>
      </c>
      <c r="D1623" s="57" t="s">
        <v>158</v>
      </c>
      <c r="E1623" s="59" t="str">
        <f aca="false">IF(L1623="","",IF(INDEX(ポート振替表!$O$5:$O$3507,$L1623)="","(未設定)",INDEX(ポート振替表!$O$5:$O$3507,$L1623)&amp;""))</f>
        <v/>
      </c>
      <c r="F1623" s="52" t="str">
        <f aca="false">IF(L1623="","",INDEX(ポート振替表!$K$5:$K$3507,$L1623)&amp;" "&amp;INDEX(ポート振替表!$L$5:$L$3507,$L1623)&amp;"  ⇔  "&amp;INDEX(ポート振替表!$H$5:$H$3507,$L1623)&amp;" "&amp;INDEX(ポート振替表!$I$5:$I$3507,$L1623))</f>
        <v/>
      </c>
      <c r="G1623" s="57" t="s">
        <v>158</v>
      </c>
      <c r="H1623" s="32" t="str">
        <f aca="false">IF(L1623="","",INDEX(ポート振替表!$N$5:$N$3507,$L1623)&amp;"")</f>
        <v/>
      </c>
      <c r="I1623" s="32" t="str">
        <f aca="false">IF(L1623="","",INDEX(ポート振替表!$P$5:$P$3507,$L1623)&amp;"")</f>
        <v/>
      </c>
      <c r="J1623" s="60" t="str">
        <f aca="false">IF(L1623="","",INDEX(ポート振替表!$M$5:$M$3507,$L1623)&amp;"")</f>
        <v/>
      </c>
      <c r="K1623" s="52" t="str">
        <f aca="false">IF(L1623="","",E1623&amp;CHAR(10)&amp;INDEX(ポート振替表!$K$5:$K$3507,$L1623)&amp;" "&amp;INDEX(ポート振替表!$L$5:$L$3507,$L1623)&amp;CHAR(10)&amp;"⇔ "&amp;INDEX(ポート振替表!$H$5:$H$3507,$L1623)&amp;" "&amp;INDEX(ポート振替表!$I$5:$I$3507,$L1623))</f>
        <v/>
      </c>
      <c r="L1623" s="47" t="str">
        <f aca="false">IFERROR(MATCH(ROW()-4,ポート振替表!$V$5:$V$3507,0),"")</f>
        <v/>
      </c>
    </row>
    <row r="1624" customFormat="false" ht="16.4" hidden="false" customHeight="false" outlineLevel="0" collapsed="false">
      <c r="A1624" s="32" t="str">
        <f aca="false">IF(L1624="","",ROW()-4)</f>
        <v/>
      </c>
      <c r="B1624" s="58" t="str">
        <f aca="false">IF(L1624="","",IF(INDEX(ポート振替表!$W$5:$W$3507,$L1624)="","(なし)",INDEX(ポート振替表!$W$5:$W$3507,$L1624)&amp;""))</f>
        <v/>
      </c>
      <c r="C1624" s="52" t="str">
        <f aca="false">IF(L1624="","",INDEX(ポート振替表!$B$5:$B$3507,$L1624)&amp;" "&amp;INDEX(ポート振替表!$C$5:$C$3507,$L1624)&amp;"  ⇔  "&amp;INDEX(ポート振替表!$H$5:$H$3507,$L1624)&amp;" "&amp;INDEX(ポート振替表!$I$5:$I$3507,$L1624))</f>
        <v/>
      </c>
      <c r="D1624" s="57" t="s">
        <v>158</v>
      </c>
      <c r="E1624" s="59" t="str">
        <f aca="false">IF(L1624="","",IF(INDEX(ポート振替表!$O$5:$O$3507,$L1624)="","(未設定)",INDEX(ポート振替表!$O$5:$O$3507,$L1624)&amp;""))</f>
        <v/>
      </c>
      <c r="F1624" s="52" t="str">
        <f aca="false">IF(L1624="","",INDEX(ポート振替表!$K$5:$K$3507,$L1624)&amp;" "&amp;INDEX(ポート振替表!$L$5:$L$3507,$L1624)&amp;"  ⇔  "&amp;INDEX(ポート振替表!$H$5:$H$3507,$L1624)&amp;" "&amp;INDEX(ポート振替表!$I$5:$I$3507,$L1624))</f>
        <v/>
      </c>
      <c r="G1624" s="57" t="s">
        <v>158</v>
      </c>
      <c r="H1624" s="32" t="str">
        <f aca="false">IF(L1624="","",INDEX(ポート振替表!$N$5:$N$3507,$L1624)&amp;"")</f>
        <v/>
      </c>
      <c r="I1624" s="32" t="str">
        <f aca="false">IF(L1624="","",INDEX(ポート振替表!$P$5:$P$3507,$L1624)&amp;"")</f>
        <v/>
      </c>
      <c r="J1624" s="60" t="str">
        <f aca="false">IF(L1624="","",INDEX(ポート振替表!$M$5:$M$3507,$L1624)&amp;"")</f>
        <v/>
      </c>
      <c r="K1624" s="52" t="str">
        <f aca="false">IF(L1624="","",E1624&amp;CHAR(10)&amp;INDEX(ポート振替表!$K$5:$K$3507,$L1624)&amp;" "&amp;INDEX(ポート振替表!$L$5:$L$3507,$L1624)&amp;CHAR(10)&amp;"⇔ "&amp;INDEX(ポート振替表!$H$5:$H$3507,$L1624)&amp;" "&amp;INDEX(ポート振替表!$I$5:$I$3507,$L1624))</f>
        <v/>
      </c>
      <c r="L1624" s="47" t="str">
        <f aca="false">IFERROR(MATCH(ROW()-4,ポート振替表!$V$5:$V$3507,0),"")</f>
        <v/>
      </c>
    </row>
    <row r="1625" customFormat="false" ht="16.4" hidden="false" customHeight="false" outlineLevel="0" collapsed="false">
      <c r="A1625" s="32" t="str">
        <f aca="false">IF(L1625="","",ROW()-4)</f>
        <v/>
      </c>
      <c r="B1625" s="58" t="str">
        <f aca="false">IF(L1625="","",IF(INDEX(ポート振替表!$W$5:$W$3507,$L1625)="","(なし)",INDEX(ポート振替表!$W$5:$W$3507,$L1625)&amp;""))</f>
        <v/>
      </c>
      <c r="C1625" s="52" t="str">
        <f aca="false">IF(L1625="","",INDEX(ポート振替表!$B$5:$B$3507,$L1625)&amp;" "&amp;INDEX(ポート振替表!$C$5:$C$3507,$L1625)&amp;"  ⇔  "&amp;INDEX(ポート振替表!$H$5:$H$3507,$L1625)&amp;" "&amp;INDEX(ポート振替表!$I$5:$I$3507,$L1625))</f>
        <v/>
      </c>
      <c r="D1625" s="57" t="s">
        <v>158</v>
      </c>
      <c r="E1625" s="59" t="str">
        <f aca="false">IF(L1625="","",IF(INDEX(ポート振替表!$O$5:$O$3507,$L1625)="","(未設定)",INDEX(ポート振替表!$O$5:$O$3507,$L1625)&amp;""))</f>
        <v/>
      </c>
      <c r="F1625" s="52" t="str">
        <f aca="false">IF(L1625="","",INDEX(ポート振替表!$K$5:$K$3507,$L1625)&amp;" "&amp;INDEX(ポート振替表!$L$5:$L$3507,$L1625)&amp;"  ⇔  "&amp;INDEX(ポート振替表!$H$5:$H$3507,$L1625)&amp;" "&amp;INDEX(ポート振替表!$I$5:$I$3507,$L1625))</f>
        <v/>
      </c>
      <c r="G1625" s="57" t="s">
        <v>158</v>
      </c>
      <c r="H1625" s="32" t="str">
        <f aca="false">IF(L1625="","",INDEX(ポート振替表!$N$5:$N$3507,$L1625)&amp;"")</f>
        <v/>
      </c>
      <c r="I1625" s="32" t="str">
        <f aca="false">IF(L1625="","",INDEX(ポート振替表!$P$5:$P$3507,$L1625)&amp;"")</f>
        <v/>
      </c>
      <c r="J1625" s="60" t="str">
        <f aca="false">IF(L1625="","",INDEX(ポート振替表!$M$5:$M$3507,$L1625)&amp;"")</f>
        <v/>
      </c>
      <c r="K1625" s="52" t="str">
        <f aca="false">IF(L1625="","",E1625&amp;CHAR(10)&amp;INDEX(ポート振替表!$K$5:$K$3507,$L1625)&amp;" "&amp;INDEX(ポート振替表!$L$5:$L$3507,$L1625)&amp;CHAR(10)&amp;"⇔ "&amp;INDEX(ポート振替表!$H$5:$H$3507,$L1625)&amp;" "&amp;INDEX(ポート振替表!$I$5:$I$3507,$L1625))</f>
        <v/>
      </c>
      <c r="L1625" s="47" t="str">
        <f aca="false">IFERROR(MATCH(ROW()-4,ポート振替表!$V$5:$V$3507,0),"")</f>
        <v/>
      </c>
    </row>
    <row r="1626" customFormat="false" ht="16.4" hidden="false" customHeight="false" outlineLevel="0" collapsed="false">
      <c r="A1626" s="32" t="str">
        <f aca="false">IF(L1626="","",ROW()-4)</f>
        <v/>
      </c>
      <c r="B1626" s="58" t="str">
        <f aca="false">IF(L1626="","",IF(INDEX(ポート振替表!$W$5:$W$3507,$L1626)="","(なし)",INDEX(ポート振替表!$W$5:$W$3507,$L1626)&amp;""))</f>
        <v/>
      </c>
      <c r="C1626" s="52" t="str">
        <f aca="false">IF(L1626="","",INDEX(ポート振替表!$B$5:$B$3507,$L1626)&amp;" "&amp;INDEX(ポート振替表!$C$5:$C$3507,$L1626)&amp;"  ⇔  "&amp;INDEX(ポート振替表!$H$5:$H$3507,$L1626)&amp;" "&amp;INDEX(ポート振替表!$I$5:$I$3507,$L1626))</f>
        <v/>
      </c>
      <c r="D1626" s="57" t="s">
        <v>158</v>
      </c>
      <c r="E1626" s="59" t="str">
        <f aca="false">IF(L1626="","",IF(INDEX(ポート振替表!$O$5:$O$3507,$L1626)="","(未設定)",INDEX(ポート振替表!$O$5:$O$3507,$L1626)&amp;""))</f>
        <v/>
      </c>
      <c r="F1626" s="52" t="str">
        <f aca="false">IF(L1626="","",INDEX(ポート振替表!$K$5:$K$3507,$L1626)&amp;" "&amp;INDEX(ポート振替表!$L$5:$L$3507,$L1626)&amp;"  ⇔  "&amp;INDEX(ポート振替表!$H$5:$H$3507,$L1626)&amp;" "&amp;INDEX(ポート振替表!$I$5:$I$3507,$L1626))</f>
        <v/>
      </c>
      <c r="G1626" s="57" t="s">
        <v>158</v>
      </c>
      <c r="H1626" s="32" t="str">
        <f aca="false">IF(L1626="","",INDEX(ポート振替表!$N$5:$N$3507,$L1626)&amp;"")</f>
        <v/>
      </c>
      <c r="I1626" s="32" t="str">
        <f aca="false">IF(L1626="","",INDEX(ポート振替表!$P$5:$P$3507,$L1626)&amp;"")</f>
        <v/>
      </c>
      <c r="J1626" s="60" t="str">
        <f aca="false">IF(L1626="","",INDEX(ポート振替表!$M$5:$M$3507,$L1626)&amp;"")</f>
        <v/>
      </c>
      <c r="K1626" s="52" t="str">
        <f aca="false">IF(L1626="","",E1626&amp;CHAR(10)&amp;INDEX(ポート振替表!$K$5:$K$3507,$L1626)&amp;" "&amp;INDEX(ポート振替表!$L$5:$L$3507,$L1626)&amp;CHAR(10)&amp;"⇔ "&amp;INDEX(ポート振替表!$H$5:$H$3507,$L1626)&amp;" "&amp;INDEX(ポート振替表!$I$5:$I$3507,$L1626))</f>
        <v/>
      </c>
      <c r="L1626" s="47" t="str">
        <f aca="false">IFERROR(MATCH(ROW()-4,ポート振替表!$V$5:$V$3507,0),"")</f>
        <v/>
      </c>
    </row>
    <row r="1627" customFormat="false" ht="16.4" hidden="false" customHeight="false" outlineLevel="0" collapsed="false">
      <c r="A1627" s="32" t="str">
        <f aca="false">IF(L1627="","",ROW()-4)</f>
        <v/>
      </c>
      <c r="B1627" s="58" t="str">
        <f aca="false">IF(L1627="","",IF(INDEX(ポート振替表!$W$5:$W$3507,$L1627)="","(なし)",INDEX(ポート振替表!$W$5:$W$3507,$L1627)&amp;""))</f>
        <v/>
      </c>
      <c r="C1627" s="52" t="str">
        <f aca="false">IF(L1627="","",INDEX(ポート振替表!$B$5:$B$3507,$L1627)&amp;" "&amp;INDEX(ポート振替表!$C$5:$C$3507,$L1627)&amp;"  ⇔  "&amp;INDEX(ポート振替表!$H$5:$H$3507,$L1627)&amp;" "&amp;INDEX(ポート振替表!$I$5:$I$3507,$L1627))</f>
        <v/>
      </c>
      <c r="D1627" s="57" t="s">
        <v>158</v>
      </c>
      <c r="E1627" s="59" t="str">
        <f aca="false">IF(L1627="","",IF(INDEX(ポート振替表!$O$5:$O$3507,$L1627)="","(未設定)",INDEX(ポート振替表!$O$5:$O$3507,$L1627)&amp;""))</f>
        <v/>
      </c>
      <c r="F1627" s="52" t="str">
        <f aca="false">IF(L1627="","",INDEX(ポート振替表!$K$5:$K$3507,$L1627)&amp;" "&amp;INDEX(ポート振替表!$L$5:$L$3507,$L1627)&amp;"  ⇔  "&amp;INDEX(ポート振替表!$H$5:$H$3507,$L1627)&amp;" "&amp;INDEX(ポート振替表!$I$5:$I$3507,$L1627))</f>
        <v/>
      </c>
      <c r="G1627" s="57" t="s">
        <v>158</v>
      </c>
      <c r="H1627" s="32" t="str">
        <f aca="false">IF(L1627="","",INDEX(ポート振替表!$N$5:$N$3507,$L1627)&amp;"")</f>
        <v/>
      </c>
      <c r="I1627" s="32" t="str">
        <f aca="false">IF(L1627="","",INDEX(ポート振替表!$P$5:$P$3507,$L1627)&amp;"")</f>
        <v/>
      </c>
      <c r="J1627" s="60" t="str">
        <f aca="false">IF(L1627="","",INDEX(ポート振替表!$M$5:$M$3507,$L1627)&amp;"")</f>
        <v/>
      </c>
      <c r="K1627" s="52" t="str">
        <f aca="false">IF(L1627="","",E1627&amp;CHAR(10)&amp;INDEX(ポート振替表!$K$5:$K$3507,$L1627)&amp;" "&amp;INDEX(ポート振替表!$L$5:$L$3507,$L1627)&amp;CHAR(10)&amp;"⇔ "&amp;INDEX(ポート振替表!$H$5:$H$3507,$L1627)&amp;" "&amp;INDEX(ポート振替表!$I$5:$I$3507,$L1627))</f>
        <v/>
      </c>
      <c r="L1627" s="47" t="str">
        <f aca="false">IFERROR(MATCH(ROW()-4,ポート振替表!$V$5:$V$3507,0),"")</f>
        <v/>
      </c>
    </row>
    <row r="1628" customFormat="false" ht="16.4" hidden="false" customHeight="false" outlineLevel="0" collapsed="false">
      <c r="A1628" s="32" t="str">
        <f aca="false">IF(L1628="","",ROW()-4)</f>
        <v/>
      </c>
      <c r="B1628" s="58" t="str">
        <f aca="false">IF(L1628="","",IF(INDEX(ポート振替表!$W$5:$W$3507,$L1628)="","(なし)",INDEX(ポート振替表!$W$5:$W$3507,$L1628)&amp;""))</f>
        <v/>
      </c>
      <c r="C1628" s="52" t="str">
        <f aca="false">IF(L1628="","",INDEX(ポート振替表!$B$5:$B$3507,$L1628)&amp;" "&amp;INDEX(ポート振替表!$C$5:$C$3507,$L1628)&amp;"  ⇔  "&amp;INDEX(ポート振替表!$H$5:$H$3507,$L1628)&amp;" "&amp;INDEX(ポート振替表!$I$5:$I$3507,$L1628))</f>
        <v/>
      </c>
      <c r="D1628" s="57" t="s">
        <v>158</v>
      </c>
      <c r="E1628" s="59" t="str">
        <f aca="false">IF(L1628="","",IF(INDEX(ポート振替表!$O$5:$O$3507,$L1628)="","(未設定)",INDEX(ポート振替表!$O$5:$O$3507,$L1628)&amp;""))</f>
        <v/>
      </c>
      <c r="F1628" s="52" t="str">
        <f aca="false">IF(L1628="","",INDEX(ポート振替表!$K$5:$K$3507,$L1628)&amp;" "&amp;INDEX(ポート振替表!$L$5:$L$3507,$L1628)&amp;"  ⇔  "&amp;INDEX(ポート振替表!$H$5:$H$3507,$L1628)&amp;" "&amp;INDEX(ポート振替表!$I$5:$I$3507,$L1628))</f>
        <v/>
      </c>
      <c r="G1628" s="57" t="s">
        <v>158</v>
      </c>
      <c r="H1628" s="32" t="str">
        <f aca="false">IF(L1628="","",INDEX(ポート振替表!$N$5:$N$3507,$L1628)&amp;"")</f>
        <v/>
      </c>
      <c r="I1628" s="32" t="str">
        <f aca="false">IF(L1628="","",INDEX(ポート振替表!$P$5:$P$3507,$L1628)&amp;"")</f>
        <v/>
      </c>
      <c r="J1628" s="60" t="str">
        <f aca="false">IF(L1628="","",INDEX(ポート振替表!$M$5:$M$3507,$L1628)&amp;"")</f>
        <v/>
      </c>
      <c r="K1628" s="52" t="str">
        <f aca="false">IF(L1628="","",E1628&amp;CHAR(10)&amp;INDEX(ポート振替表!$K$5:$K$3507,$L1628)&amp;" "&amp;INDEX(ポート振替表!$L$5:$L$3507,$L1628)&amp;CHAR(10)&amp;"⇔ "&amp;INDEX(ポート振替表!$H$5:$H$3507,$L1628)&amp;" "&amp;INDEX(ポート振替表!$I$5:$I$3507,$L1628))</f>
        <v/>
      </c>
      <c r="L1628" s="47" t="str">
        <f aca="false">IFERROR(MATCH(ROW()-4,ポート振替表!$V$5:$V$3507,0),"")</f>
        <v/>
      </c>
    </row>
    <row r="1629" customFormat="false" ht="16.4" hidden="false" customHeight="false" outlineLevel="0" collapsed="false">
      <c r="A1629" s="32" t="str">
        <f aca="false">IF(L1629="","",ROW()-4)</f>
        <v/>
      </c>
      <c r="B1629" s="58" t="str">
        <f aca="false">IF(L1629="","",IF(INDEX(ポート振替表!$W$5:$W$3507,$L1629)="","(なし)",INDEX(ポート振替表!$W$5:$W$3507,$L1629)&amp;""))</f>
        <v/>
      </c>
      <c r="C1629" s="52" t="str">
        <f aca="false">IF(L1629="","",INDEX(ポート振替表!$B$5:$B$3507,$L1629)&amp;" "&amp;INDEX(ポート振替表!$C$5:$C$3507,$L1629)&amp;"  ⇔  "&amp;INDEX(ポート振替表!$H$5:$H$3507,$L1629)&amp;" "&amp;INDEX(ポート振替表!$I$5:$I$3507,$L1629))</f>
        <v/>
      </c>
      <c r="D1629" s="57" t="s">
        <v>158</v>
      </c>
      <c r="E1629" s="59" t="str">
        <f aca="false">IF(L1629="","",IF(INDEX(ポート振替表!$O$5:$O$3507,$L1629)="","(未設定)",INDEX(ポート振替表!$O$5:$O$3507,$L1629)&amp;""))</f>
        <v/>
      </c>
      <c r="F1629" s="52" t="str">
        <f aca="false">IF(L1629="","",INDEX(ポート振替表!$K$5:$K$3507,$L1629)&amp;" "&amp;INDEX(ポート振替表!$L$5:$L$3507,$L1629)&amp;"  ⇔  "&amp;INDEX(ポート振替表!$H$5:$H$3507,$L1629)&amp;" "&amp;INDEX(ポート振替表!$I$5:$I$3507,$L1629))</f>
        <v/>
      </c>
      <c r="G1629" s="57" t="s">
        <v>158</v>
      </c>
      <c r="H1629" s="32" t="str">
        <f aca="false">IF(L1629="","",INDEX(ポート振替表!$N$5:$N$3507,$L1629)&amp;"")</f>
        <v/>
      </c>
      <c r="I1629" s="32" t="str">
        <f aca="false">IF(L1629="","",INDEX(ポート振替表!$P$5:$P$3507,$L1629)&amp;"")</f>
        <v/>
      </c>
      <c r="J1629" s="60" t="str">
        <f aca="false">IF(L1629="","",INDEX(ポート振替表!$M$5:$M$3507,$L1629)&amp;"")</f>
        <v/>
      </c>
      <c r="K1629" s="52" t="str">
        <f aca="false">IF(L1629="","",E1629&amp;CHAR(10)&amp;INDEX(ポート振替表!$K$5:$K$3507,$L1629)&amp;" "&amp;INDEX(ポート振替表!$L$5:$L$3507,$L1629)&amp;CHAR(10)&amp;"⇔ "&amp;INDEX(ポート振替表!$H$5:$H$3507,$L1629)&amp;" "&amp;INDEX(ポート振替表!$I$5:$I$3507,$L1629))</f>
        <v/>
      </c>
      <c r="L1629" s="47" t="str">
        <f aca="false">IFERROR(MATCH(ROW()-4,ポート振替表!$V$5:$V$3507,0),"")</f>
        <v/>
      </c>
    </row>
    <row r="1630" customFormat="false" ht="16.4" hidden="false" customHeight="false" outlineLevel="0" collapsed="false">
      <c r="A1630" s="32" t="str">
        <f aca="false">IF(L1630="","",ROW()-4)</f>
        <v/>
      </c>
      <c r="B1630" s="58" t="str">
        <f aca="false">IF(L1630="","",IF(INDEX(ポート振替表!$W$5:$W$3507,$L1630)="","(なし)",INDEX(ポート振替表!$W$5:$W$3507,$L1630)&amp;""))</f>
        <v/>
      </c>
      <c r="C1630" s="52" t="str">
        <f aca="false">IF(L1630="","",INDEX(ポート振替表!$B$5:$B$3507,$L1630)&amp;" "&amp;INDEX(ポート振替表!$C$5:$C$3507,$L1630)&amp;"  ⇔  "&amp;INDEX(ポート振替表!$H$5:$H$3507,$L1630)&amp;" "&amp;INDEX(ポート振替表!$I$5:$I$3507,$L1630))</f>
        <v/>
      </c>
      <c r="D1630" s="57" t="s">
        <v>158</v>
      </c>
      <c r="E1630" s="59" t="str">
        <f aca="false">IF(L1630="","",IF(INDEX(ポート振替表!$O$5:$O$3507,$L1630)="","(未設定)",INDEX(ポート振替表!$O$5:$O$3507,$L1630)&amp;""))</f>
        <v/>
      </c>
      <c r="F1630" s="52" t="str">
        <f aca="false">IF(L1630="","",INDEX(ポート振替表!$K$5:$K$3507,$L1630)&amp;" "&amp;INDEX(ポート振替表!$L$5:$L$3507,$L1630)&amp;"  ⇔  "&amp;INDEX(ポート振替表!$H$5:$H$3507,$L1630)&amp;" "&amp;INDEX(ポート振替表!$I$5:$I$3507,$L1630))</f>
        <v/>
      </c>
      <c r="G1630" s="57" t="s">
        <v>158</v>
      </c>
      <c r="H1630" s="32" t="str">
        <f aca="false">IF(L1630="","",INDEX(ポート振替表!$N$5:$N$3507,$L1630)&amp;"")</f>
        <v/>
      </c>
      <c r="I1630" s="32" t="str">
        <f aca="false">IF(L1630="","",INDEX(ポート振替表!$P$5:$P$3507,$L1630)&amp;"")</f>
        <v/>
      </c>
      <c r="J1630" s="60" t="str">
        <f aca="false">IF(L1630="","",INDEX(ポート振替表!$M$5:$M$3507,$L1630)&amp;"")</f>
        <v/>
      </c>
      <c r="K1630" s="52" t="str">
        <f aca="false">IF(L1630="","",E1630&amp;CHAR(10)&amp;INDEX(ポート振替表!$K$5:$K$3507,$L1630)&amp;" "&amp;INDEX(ポート振替表!$L$5:$L$3507,$L1630)&amp;CHAR(10)&amp;"⇔ "&amp;INDEX(ポート振替表!$H$5:$H$3507,$L1630)&amp;" "&amp;INDEX(ポート振替表!$I$5:$I$3507,$L1630))</f>
        <v/>
      </c>
      <c r="L1630" s="47" t="str">
        <f aca="false">IFERROR(MATCH(ROW()-4,ポート振替表!$V$5:$V$3507,0),"")</f>
        <v/>
      </c>
    </row>
    <row r="1631" customFormat="false" ht="16.4" hidden="false" customHeight="false" outlineLevel="0" collapsed="false">
      <c r="A1631" s="32" t="str">
        <f aca="false">IF(L1631="","",ROW()-4)</f>
        <v/>
      </c>
      <c r="B1631" s="58" t="str">
        <f aca="false">IF(L1631="","",IF(INDEX(ポート振替表!$W$5:$W$3507,$L1631)="","(なし)",INDEX(ポート振替表!$W$5:$W$3507,$L1631)&amp;""))</f>
        <v/>
      </c>
      <c r="C1631" s="52" t="str">
        <f aca="false">IF(L1631="","",INDEX(ポート振替表!$B$5:$B$3507,$L1631)&amp;" "&amp;INDEX(ポート振替表!$C$5:$C$3507,$L1631)&amp;"  ⇔  "&amp;INDEX(ポート振替表!$H$5:$H$3507,$L1631)&amp;" "&amp;INDEX(ポート振替表!$I$5:$I$3507,$L1631))</f>
        <v/>
      </c>
      <c r="D1631" s="57" t="s">
        <v>158</v>
      </c>
      <c r="E1631" s="59" t="str">
        <f aca="false">IF(L1631="","",IF(INDEX(ポート振替表!$O$5:$O$3507,$L1631)="","(未設定)",INDEX(ポート振替表!$O$5:$O$3507,$L1631)&amp;""))</f>
        <v/>
      </c>
      <c r="F1631" s="52" t="str">
        <f aca="false">IF(L1631="","",INDEX(ポート振替表!$K$5:$K$3507,$L1631)&amp;" "&amp;INDEX(ポート振替表!$L$5:$L$3507,$L1631)&amp;"  ⇔  "&amp;INDEX(ポート振替表!$H$5:$H$3507,$L1631)&amp;" "&amp;INDEX(ポート振替表!$I$5:$I$3507,$L1631))</f>
        <v/>
      </c>
      <c r="G1631" s="57" t="s">
        <v>158</v>
      </c>
      <c r="H1631" s="32" t="str">
        <f aca="false">IF(L1631="","",INDEX(ポート振替表!$N$5:$N$3507,$L1631)&amp;"")</f>
        <v/>
      </c>
      <c r="I1631" s="32" t="str">
        <f aca="false">IF(L1631="","",INDEX(ポート振替表!$P$5:$P$3507,$L1631)&amp;"")</f>
        <v/>
      </c>
      <c r="J1631" s="60" t="str">
        <f aca="false">IF(L1631="","",INDEX(ポート振替表!$M$5:$M$3507,$L1631)&amp;"")</f>
        <v/>
      </c>
      <c r="K1631" s="52" t="str">
        <f aca="false">IF(L1631="","",E1631&amp;CHAR(10)&amp;INDEX(ポート振替表!$K$5:$K$3507,$L1631)&amp;" "&amp;INDEX(ポート振替表!$L$5:$L$3507,$L1631)&amp;CHAR(10)&amp;"⇔ "&amp;INDEX(ポート振替表!$H$5:$H$3507,$L1631)&amp;" "&amp;INDEX(ポート振替表!$I$5:$I$3507,$L1631))</f>
        <v/>
      </c>
      <c r="L1631" s="47" t="str">
        <f aca="false">IFERROR(MATCH(ROW()-4,ポート振替表!$V$5:$V$3507,0),"")</f>
        <v/>
      </c>
    </row>
    <row r="1632" customFormat="false" ht="16.4" hidden="false" customHeight="false" outlineLevel="0" collapsed="false">
      <c r="A1632" s="32" t="str">
        <f aca="false">IF(L1632="","",ROW()-4)</f>
        <v/>
      </c>
      <c r="B1632" s="58" t="str">
        <f aca="false">IF(L1632="","",IF(INDEX(ポート振替表!$W$5:$W$3507,$L1632)="","(なし)",INDEX(ポート振替表!$W$5:$W$3507,$L1632)&amp;""))</f>
        <v/>
      </c>
      <c r="C1632" s="52" t="str">
        <f aca="false">IF(L1632="","",INDEX(ポート振替表!$B$5:$B$3507,$L1632)&amp;" "&amp;INDEX(ポート振替表!$C$5:$C$3507,$L1632)&amp;"  ⇔  "&amp;INDEX(ポート振替表!$H$5:$H$3507,$L1632)&amp;" "&amp;INDEX(ポート振替表!$I$5:$I$3507,$L1632))</f>
        <v/>
      </c>
      <c r="D1632" s="57" t="s">
        <v>158</v>
      </c>
      <c r="E1632" s="59" t="str">
        <f aca="false">IF(L1632="","",IF(INDEX(ポート振替表!$O$5:$O$3507,$L1632)="","(未設定)",INDEX(ポート振替表!$O$5:$O$3507,$L1632)&amp;""))</f>
        <v/>
      </c>
      <c r="F1632" s="52" t="str">
        <f aca="false">IF(L1632="","",INDEX(ポート振替表!$K$5:$K$3507,$L1632)&amp;" "&amp;INDEX(ポート振替表!$L$5:$L$3507,$L1632)&amp;"  ⇔  "&amp;INDEX(ポート振替表!$H$5:$H$3507,$L1632)&amp;" "&amp;INDEX(ポート振替表!$I$5:$I$3507,$L1632))</f>
        <v/>
      </c>
      <c r="G1632" s="57" t="s">
        <v>158</v>
      </c>
      <c r="H1632" s="32" t="str">
        <f aca="false">IF(L1632="","",INDEX(ポート振替表!$N$5:$N$3507,$L1632)&amp;"")</f>
        <v/>
      </c>
      <c r="I1632" s="32" t="str">
        <f aca="false">IF(L1632="","",INDEX(ポート振替表!$P$5:$P$3507,$L1632)&amp;"")</f>
        <v/>
      </c>
      <c r="J1632" s="60" t="str">
        <f aca="false">IF(L1632="","",INDEX(ポート振替表!$M$5:$M$3507,$L1632)&amp;"")</f>
        <v/>
      </c>
      <c r="K1632" s="52" t="str">
        <f aca="false">IF(L1632="","",E1632&amp;CHAR(10)&amp;INDEX(ポート振替表!$K$5:$K$3507,$L1632)&amp;" "&amp;INDEX(ポート振替表!$L$5:$L$3507,$L1632)&amp;CHAR(10)&amp;"⇔ "&amp;INDEX(ポート振替表!$H$5:$H$3507,$L1632)&amp;" "&amp;INDEX(ポート振替表!$I$5:$I$3507,$L1632))</f>
        <v/>
      </c>
      <c r="L1632" s="47" t="str">
        <f aca="false">IFERROR(MATCH(ROW()-4,ポート振替表!$V$5:$V$3507,0),"")</f>
        <v/>
      </c>
    </row>
    <row r="1633" customFormat="false" ht="16.4" hidden="false" customHeight="false" outlineLevel="0" collapsed="false">
      <c r="A1633" s="32" t="str">
        <f aca="false">IF(L1633="","",ROW()-4)</f>
        <v/>
      </c>
      <c r="B1633" s="58" t="str">
        <f aca="false">IF(L1633="","",IF(INDEX(ポート振替表!$W$5:$W$3507,$L1633)="","(なし)",INDEX(ポート振替表!$W$5:$W$3507,$L1633)&amp;""))</f>
        <v/>
      </c>
      <c r="C1633" s="52" t="str">
        <f aca="false">IF(L1633="","",INDEX(ポート振替表!$B$5:$B$3507,$L1633)&amp;" "&amp;INDEX(ポート振替表!$C$5:$C$3507,$L1633)&amp;"  ⇔  "&amp;INDEX(ポート振替表!$H$5:$H$3507,$L1633)&amp;" "&amp;INDEX(ポート振替表!$I$5:$I$3507,$L1633))</f>
        <v/>
      </c>
      <c r="D1633" s="57" t="s">
        <v>158</v>
      </c>
      <c r="E1633" s="59" t="str">
        <f aca="false">IF(L1633="","",IF(INDEX(ポート振替表!$O$5:$O$3507,$L1633)="","(未設定)",INDEX(ポート振替表!$O$5:$O$3507,$L1633)&amp;""))</f>
        <v/>
      </c>
      <c r="F1633" s="52" t="str">
        <f aca="false">IF(L1633="","",INDEX(ポート振替表!$K$5:$K$3507,$L1633)&amp;" "&amp;INDEX(ポート振替表!$L$5:$L$3507,$L1633)&amp;"  ⇔  "&amp;INDEX(ポート振替表!$H$5:$H$3507,$L1633)&amp;" "&amp;INDEX(ポート振替表!$I$5:$I$3507,$L1633))</f>
        <v/>
      </c>
      <c r="G1633" s="57" t="s">
        <v>158</v>
      </c>
      <c r="H1633" s="32" t="str">
        <f aca="false">IF(L1633="","",INDEX(ポート振替表!$N$5:$N$3507,$L1633)&amp;"")</f>
        <v/>
      </c>
      <c r="I1633" s="32" t="str">
        <f aca="false">IF(L1633="","",INDEX(ポート振替表!$P$5:$P$3507,$L1633)&amp;"")</f>
        <v/>
      </c>
      <c r="J1633" s="60" t="str">
        <f aca="false">IF(L1633="","",INDEX(ポート振替表!$M$5:$M$3507,$L1633)&amp;"")</f>
        <v/>
      </c>
      <c r="K1633" s="52" t="str">
        <f aca="false">IF(L1633="","",E1633&amp;CHAR(10)&amp;INDEX(ポート振替表!$K$5:$K$3507,$L1633)&amp;" "&amp;INDEX(ポート振替表!$L$5:$L$3507,$L1633)&amp;CHAR(10)&amp;"⇔ "&amp;INDEX(ポート振替表!$H$5:$H$3507,$L1633)&amp;" "&amp;INDEX(ポート振替表!$I$5:$I$3507,$L1633))</f>
        <v/>
      </c>
      <c r="L1633" s="47" t="str">
        <f aca="false">IFERROR(MATCH(ROW()-4,ポート振替表!$V$5:$V$3507,0),"")</f>
        <v/>
      </c>
    </row>
    <row r="1634" customFormat="false" ht="16.4" hidden="false" customHeight="false" outlineLevel="0" collapsed="false">
      <c r="A1634" s="32" t="str">
        <f aca="false">IF(L1634="","",ROW()-4)</f>
        <v/>
      </c>
      <c r="B1634" s="58" t="str">
        <f aca="false">IF(L1634="","",IF(INDEX(ポート振替表!$W$5:$W$3507,$L1634)="","(なし)",INDEX(ポート振替表!$W$5:$W$3507,$L1634)&amp;""))</f>
        <v/>
      </c>
      <c r="C1634" s="52" t="str">
        <f aca="false">IF(L1634="","",INDEX(ポート振替表!$B$5:$B$3507,$L1634)&amp;" "&amp;INDEX(ポート振替表!$C$5:$C$3507,$L1634)&amp;"  ⇔  "&amp;INDEX(ポート振替表!$H$5:$H$3507,$L1634)&amp;" "&amp;INDEX(ポート振替表!$I$5:$I$3507,$L1634))</f>
        <v/>
      </c>
      <c r="D1634" s="57" t="s">
        <v>158</v>
      </c>
      <c r="E1634" s="59" t="str">
        <f aca="false">IF(L1634="","",IF(INDEX(ポート振替表!$O$5:$O$3507,$L1634)="","(未設定)",INDEX(ポート振替表!$O$5:$O$3507,$L1634)&amp;""))</f>
        <v/>
      </c>
      <c r="F1634" s="52" t="str">
        <f aca="false">IF(L1634="","",INDEX(ポート振替表!$K$5:$K$3507,$L1634)&amp;" "&amp;INDEX(ポート振替表!$L$5:$L$3507,$L1634)&amp;"  ⇔  "&amp;INDEX(ポート振替表!$H$5:$H$3507,$L1634)&amp;" "&amp;INDEX(ポート振替表!$I$5:$I$3507,$L1634))</f>
        <v/>
      </c>
      <c r="G1634" s="57" t="s">
        <v>158</v>
      </c>
      <c r="H1634" s="32" t="str">
        <f aca="false">IF(L1634="","",INDEX(ポート振替表!$N$5:$N$3507,$L1634)&amp;"")</f>
        <v/>
      </c>
      <c r="I1634" s="32" t="str">
        <f aca="false">IF(L1634="","",INDEX(ポート振替表!$P$5:$P$3507,$L1634)&amp;"")</f>
        <v/>
      </c>
      <c r="J1634" s="60" t="str">
        <f aca="false">IF(L1634="","",INDEX(ポート振替表!$M$5:$M$3507,$L1634)&amp;"")</f>
        <v/>
      </c>
      <c r="K1634" s="52" t="str">
        <f aca="false">IF(L1634="","",E1634&amp;CHAR(10)&amp;INDEX(ポート振替表!$K$5:$K$3507,$L1634)&amp;" "&amp;INDEX(ポート振替表!$L$5:$L$3507,$L1634)&amp;CHAR(10)&amp;"⇔ "&amp;INDEX(ポート振替表!$H$5:$H$3507,$L1634)&amp;" "&amp;INDEX(ポート振替表!$I$5:$I$3507,$L1634))</f>
        <v/>
      </c>
      <c r="L1634" s="47" t="str">
        <f aca="false">IFERROR(MATCH(ROW()-4,ポート振替表!$V$5:$V$3507,0),"")</f>
        <v/>
      </c>
    </row>
    <row r="1635" customFormat="false" ht="16.4" hidden="false" customHeight="false" outlineLevel="0" collapsed="false">
      <c r="A1635" s="32" t="str">
        <f aca="false">IF(L1635="","",ROW()-4)</f>
        <v/>
      </c>
      <c r="B1635" s="58" t="str">
        <f aca="false">IF(L1635="","",IF(INDEX(ポート振替表!$W$5:$W$3507,$L1635)="","(なし)",INDEX(ポート振替表!$W$5:$W$3507,$L1635)&amp;""))</f>
        <v/>
      </c>
      <c r="C1635" s="52" t="str">
        <f aca="false">IF(L1635="","",INDEX(ポート振替表!$B$5:$B$3507,$L1635)&amp;" "&amp;INDEX(ポート振替表!$C$5:$C$3507,$L1635)&amp;"  ⇔  "&amp;INDEX(ポート振替表!$H$5:$H$3507,$L1635)&amp;" "&amp;INDEX(ポート振替表!$I$5:$I$3507,$L1635))</f>
        <v/>
      </c>
      <c r="D1635" s="57" t="s">
        <v>158</v>
      </c>
      <c r="E1635" s="59" t="str">
        <f aca="false">IF(L1635="","",IF(INDEX(ポート振替表!$O$5:$O$3507,$L1635)="","(未設定)",INDEX(ポート振替表!$O$5:$O$3507,$L1635)&amp;""))</f>
        <v/>
      </c>
      <c r="F1635" s="52" t="str">
        <f aca="false">IF(L1635="","",INDEX(ポート振替表!$K$5:$K$3507,$L1635)&amp;" "&amp;INDEX(ポート振替表!$L$5:$L$3507,$L1635)&amp;"  ⇔  "&amp;INDEX(ポート振替表!$H$5:$H$3507,$L1635)&amp;" "&amp;INDEX(ポート振替表!$I$5:$I$3507,$L1635))</f>
        <v/>
      </c>
      <c r="G1635" s="57" t="s">
        <v>158</v>
      </c>
      <c r="H1635" s="32" t="str">
        <f aca="false">IF(L1635="","",INDEX(ポート振替表!$N$5:$N$3507,$L1635)&amp;"")</f>
        <v/>
      </c>
      <c r="I1635" s="32" t="str">
        <f aca="false">IF(L1635="","",INDEX(ポート振替表!$P$5:$P$3507,$L1635)&amp;"")</f>
        <v/>
      </c>
      <c r="J1635" s="60" t="str">
        <f aca="false">IF(L1635="","",INDEX(ポート振替表!$M$5:$M$3507,$L1635)&amp;"")</f>
        <v/>
      </c>
      <c r="K1635" s="52" t="str">
        <f aca="false">IF(L1635="","",E1635&amp;CHAR(10)&amp;INDEX(ポート振替表!$K$5:$K$3507,$L1635)&amp;" "&amp;INDEX(ポート振替表!$L$5:$L$3507,$L1635)&amp;CHAR(10)&amp;"⇔ "&amp;INDEX(ポート振替表!$H$5:$H$3507,$L1635)&amp;" "&amp;INDEX(ポート振替表!$I$5:$I$3507,$L1635))</f>
        <v/>
      </c>
      <c r="L1635" s="47" t="str">
        <f aca="false">IFERROR(MATCH(ROW()-4,ポート振替表!$V$5:$V$3507,0),"")</f>
        <v/>
      </c>
    </row>
    <row r="1636" customFormat="false" ht="16.4" hidden="false" customHeight="false" outlineLevel="0" collapsed="false">
      <c r="A1636" s="32" t="str">
        <f aca="false">IF(L1636="","",ROW()-4)</f>
        <v/>
      </c>
      <c r="B1636" s="58" t="str">
        <f aca="false">IF(L1636="","",IF(INDEX(ポート振替表!$W$5:$W$3507,$L1636)="","(なし)",INDEX(ポート振替表!$W$5:$W$3507,$L1636)&amp;""))</f>
        <v/>
      </c>
      <c r="C1636" s="52" t="str">
        <f aca="false">IF(L1636="","",INDEX(ポート振替表!$B$5:$B$3507,$L1636)&amp;" "&amp;INDEX(ポート振替表!$C$5:$C$3507,$L1636)&amp;"  ⇔  "&amp;INDEX(ポート振替表!$H$5:$H$3507,$L1636)&amp;" "&amp;INDEX(ポート振替表!$I$5:$I$3507,$L1636))</f>
        <v/>
      </c>
      <c r="D1636" s="57" t="s">
        <v>158</v>
      </c>
      <c r="E1636" s="59" t="str">
        <f aca="false">IF(L1636="","",IF(INDEX(ポート振替表!$O$5:$O$3507,$L1636)="","(未設定)",INDEX(ポート振替表!$O$5:$O$3507,$L1636)&amp;""))</f>
        <v/>
      </c>
      <c r="F1636" s="52" t="str">
        <f aca="false">IF(L1636="","",INDEX(ポート振替表!$K$5:$K$3507,$L1636)&amp;" "&amp;INDEX(ポート振替表!$L$5:$L$3507,$L1636)&amp;"  ⇔  "&amp;INDEX(ポート振替表!$H$5:$H$3507,$L1636)&amp;" "&amp;INDEX(ポート振替表!$I$5:$I$3507,$L1636))</f>
        <v/>
      </c>
      <c r="G1636" s="57" t="s">
        <v>158</v>
      </c>
      <c r="H1636" s="32" t="str">
        <f aca="false">IF(L1636="","",INDEX(ポート振替表!$N$5:$N$3507,$L1636)&amp;"")</f>
        <v/>
      </c>
      <c r="I1636" s="32" t="str">
        <f aca="false">IF(L1636="","",INDEX(ポート振替表!$P$5:$P$3507,$L1636)&amp;"")</f>
        <v/>
      </c>
      <c r="J1636" s="60" t="str">
        <f aca="false">IF(L1636="","",INDEX(ポート振替表!$M$5:$M$3507,$L1636)&amp;"")</f>
        <v/>
      </c>
      <c r="K1636" s="52" t="str">
        <f aca="false">IF(L1636="","",E1636&amp;CHAR(10)&amp;INDEX(ポート振替表!$K$5:$K$3507,$L1636)&amp;" "&amp;INDEX(ポート振替表!$L$5:$L$3507,$L1636)&amp;CHAR(10)&amp;"⇔ "&amp;INDEX(ポート振替表!$H$5:$H$3507,$L1636)&amp;" "&amp;INDEX(ポート振替表!$I$5:$I$3507,$L1636))</f>
        <v/>
      </c>
      <c r="L1636" s="47" t="str">
        <f aca="false">IFERROR(MATCH(ROW()-4,ポート振替表!$V$5:$V$3507,0),"")</f>
        <v/>
      </c>
    </row>
    <row r="1637" customFormat="false" ht="16.4" hidden="false" customHeight="false" outlineLevel="0" collapsed="false">
      <c r="A1637" s="32" t="str">
        <f aca="false">IF(L1637="","",ROW()-4)</f>
        <v/>
      </c>
      <c r="B1637" s="58" t="str">
        <f aca="false">IF(L1637="","",IF(INDEX(ポート振替表!$W$5:$W$3507,$L1637)="","(なし)",INDEX(ポート振替表!$W$5:$W$3507,$L1637)&amp;""))</f>
        <v/>
      </c>
      <c r="C1637" s="52" t="str">
        <f aca="false">IF(L1637="","",INDEX(ポート振替表!$B$5:$B$3507,$L1637)&amp;" "&amp;INDEX(ポート振替表!$C$5:$C$3507,$L1637)&amp;"  ⇔  "&amp;INDEX(ポート振替表!$H$5:$H$3507,$L1637)&amp;" "&amp;INDEX(ポート振替表!$I$5:$I$3507,$L1637))</f>
        <v/>
      </c>
      <c r="D1637" s="57" t="s">
        <v>158</v>
      </c>
      <c r="E1637" s="59" t="str">
        <f aca="false">IF(L1637="","",IF(INDEX(ポート振替表!$O$5:$O$3507,$L1637)="","(未設定)",INDEX(ポート振替表!$O$5:$O$3507,$L1637)&amp;""))</f>
        <v/>
      </c>
      <c r="F1637" s="52" t="str">
        <f aca="false">IF(L1637="","",INDEX(ポート振替表!$K$5:$K$3507,$L1637)&amp;" "&amp;INDEX(ポート振替表!$L$5:$L$3507,$L1637)&amp;"  ⇔  "&amp;INDEX(ポート振替表!$H$5:$H$3507,$L1637)&amp;" "&amp;INDEX(ポート振替表!$I$5:$I$3507,$L1637))</f>
        <v/>
      </c>
      <c r="G1637" s="57" t="s">
        <v>158</v>
      </c>
      <c r="H1637" s="32" t="str">
        <f aca="false">IF(L1637="","",INDEX(ポート振替表!$N$5:$N$3507,$L1637)&amp;"")</f>
        <v/>
      </c>
      <c r="I1637" s="32" t="str">
        <f aca="false">IF(L1637="","",INDEX(ポート振替表!$P$5:$P$3507,$L1637)&amp;"")</f>
        <v/>
      </c>
      <c r="J1637" s="60" t="str">
        <f aca="false">IF(L1637="","",INDEX(ポート振替表!$M$5:$M$3507,$L1637)&amp;"")</f>
        <v/>
      </c>
      <c r="K1637" s="52" t="str">
        <f aca="false">IF(L1637="","",E1637&amp;CHAR(10)&amp;INDEX(ポート振替表!$K$5:$K$3507,$L1637)&amp;" "&amp;INDEX(ポート振替表!$L$5:$L$3507,$L1637)&amp;CHAR(10)&amp;"⇔ "&amp;INDEX(ポート振替表!$H$5:$H$3507,$L1637)&amp;" "&amp;INDEX(ポート振替表!$I$5:$I$3507,$L1637))</f>
        <v/>
      </c>
      <c r="L1637" s="47" t="str">
        <f aca="false">IFERROR(MATCH(ROW()-4,ポート振替表!$V$5:$V$3507,0),"")</f>
        <v/>
      </c>
    </row>
    <row r="1638" customFormat="false" ht="16.4" hidden="false" customHeight="false" outlineLevel="0" collapsed="false">
      <c r="A1638" s="32" t="str">
        <f aca="false">IF(L1638="","",ROW()-4)</f>
        <v/>
      </c>
      <c r="B1638" s="58" t="str">
        <f aca="false">IF(L1638="","",IF(INDEX(ポート振替表!$W$5:$W$3507,$L1638)="","(なし)",INDEX(ポート振替表!$W$5:$W$3507,$L1638)&amp;""))</f>
        <v/>
      </c>
      <c r="C1638" s="52" t="str">
        <f aca="false">IF(L1638="","",INDEX(ポート振替表!$B$5:$B$3507,$L1638)&amp;" "&amp;INDEX(ポート振替表!$C$5:$C$3507,$L1638)&amp;"  ⇔  "&amp;INDEX(ポート振替表!$H$5:$H$3507,$L1638)&amp;" "&amp;INDEX(ポート振替表!$I$5:$I$3507,$L1638))</f>
        <v/>
      </c>
      <c r="D1638" s="57" t="s">
        <v>158</v>
      </c>
      <c r="E1638" s="59" t="str">
        <f aca="false">IF(L1638="","",IF(INDEX(ポート振替表!$O$5:$O$3507,$L1638)="","(未設定)",INDEX(ポート振替表!$O$5:$O$3507,$L1638)&amp;""))</f>
        <v/>
      </c>
      <c r="F1638" s="52" t="str">
        <f aca="false">IF(L1638="","",INDEX(ポート振替表!$K$5:$K$3507,$L1638)&amp;" "&amp;INDEX(ポート振替表!$L$5:$L$3507,$L1638)&amp;"  ⇔  "&amp;INDEX(ポート振替表!$H$5:$H$3507,$L1638)&amp;" "&amp;INDEX(ポート振替表!$I$5:$I$3507,$L1638))</f>
        <v/>
      </c>
      <c r="G1638" s="57" t="s">
        <v>158</v>
      </c>
      <c r="H1638" s="32" t="str">
        <f aca="false">IF(L1638="","",INDEX(ポート振替表!$N$5:$N$3507,$L1638)&amp;"")</f>
        <v/>
      </c>
      <c r="I1638" s="32" t="str">
        <f aca="false">IF(L1638="","",INDEX(ポート振替表!$P$5:$P$3507,$L1638)&amp;"")</f>
        <v/>
      </c>
      <c r="J1638" s="60" t="str">
        <f aca="false">IF(L1638="","",INDEX(ポート振替表!$M$5:$M$3507,$L1638)&amp;"")</f>
        <v/>
      </c>
      <c r="K1638" s="52" t="str">
        <f aca="false">IF(L1638="","",E1638&amp;CHAR(10)&amp;INDEX(ポート振替表!$K$5:$K$3507,$L1638)&amp;" "&amp;INDEX(ポート振替表!$L$5:$L$3507,$L1638)&amp;CHAR(10)&amp;"⇔ "&amp;INDEX(ポート振替表!$H$5:$H$3507,$L1638)&amp;" "&amp;INDEX(ポート振替表!$I$5:$I$3507,$L1638))</f>
        <v/>
      </c>
      <c r="L1638" s="47" t="str">
        <f aca="false">IFERROR(MATCH(ROW()-4,ポート振替表!$V$5:$V$3507,0),"")</f>
        <v/>
      </c>
    </row>
    <row r="1639" customFormat="false" ht="16.4" hidden="false" customHeight="false" outlineLevel="0" collapsed="false">
      <c r="A1639" s="32" t="str">
        <f aca="false">IF(L1639="","",ROW()-4)</f>
        <v/>
      </c>
      <c r="B1639" s="58" t="str">
        <f aca="false">IF(L1639="","",IF(INDEX(ポート振替表!$W$5:$W$3507,$L1639)="","(なし)",INDEX(ポート振替表!$W$5:$W$3507,$L1639)&amp;""))</f>
        <v/>
      </c>
      <c r="C1639" s="52" t="str">
        <f aca="false">IF(L1639="","",INDEX(ポート振替表!$B$5:$B$3507,$L1639)&amp;" "&amp;INDEX(ポート振替表!$C$5:$C$3507,$L1639)&amp;"  ⇔  "&amp;INDEX(ポート振替表!$H$5:$H$3507,$L1639)&amp;" "&amp;INDEX(ポート振替表!$I$5:$I$3507,$L1639))</f>
        <v/>
      </c>
      <c r="D1639" s="57" t="s">
        <v>158</v>
      </c>
      <c r="E1639" s="59" t="str">
        <f aca="false">IF(L1639="","",IF(INDEX(ポート振替表!$O$5:$O$3507,$L1639)="","(未設定)",INDEX(ポート振替表!$O$5:$O$3507,$L1639)&amp;""))</f>
        <v/>
      </c>
      <c r="F1639" s="52" t="str">
        <f aca="false">IF(L1639="","",INDEX(ポート振替表!$K$5:$K$3507,$L1639)&amp;" "&amp;INDEX(ポート振替表!$L$5:$L$3507,$L1639)&amp;"  ⇔  "&amp;INDEX(ポート振替表!$H$5:$H$3507,$L1639)&amp;" "&amp;INDEX(ポート振替表!$I$5:$I$3507,$L1639))</f>
        <v/>
      </c>
      <c r="G1639" s="57" t="s">
        <v>158</v>
      </c>
      <c r="H1639" s="32" t="str">
        <f aca="false">IF(L1639="","",INDEX(ポート振替表!$N$5:$N$3507,$L1639)&amp;"")</f>
        <v/>
      </c>
      <c r="I1639" s="32" t="str">
        <f aca="false">IF(L1639="","",INDEX(ポート振替表!$P$5:$P$3507,$L1639)&amp;"")</f>
        <v/>
      </c>
      <c r="J1639" s="60" t="str">
        <f aca="false">IF(L1639="","",INDEX(ポート振替表!$M$5:$M$3507,$L1639)&amp;"")</f>
        <v/>
      </c>
      <c r="K1639" s="52" t="str">
        <f aca="false">IF(L1639="","",E1639&amp;CHAR(10)&amp;INDEX(ポート振替表!$K$5:$K$3507,$L1639)&amp;" "&amp;INDEX(ポート振替表!$L$5:$L$3507,$L1639)&amp;CHAR(10)&amp;"⇔ "&amp;INDEX(ポート振替表!$H$5:$H$3507,$L1639)&amp;" "&amp;INDEX(ポート振替表!$I$5:$I$3507,$L1639))</f>
        <v/>
      </c>
      <c r="L1639" s="47" t="str">
        <f aca="false">IFERROR(MATCH(ROW()-4,ポート振替表!$V$5:$V$3507,0),"")</f>
        <v/>
      </c>
    </row>
    <row r="1640" customFormat="false" ht="16.4" hidden="false" customHeight="false" outlineLevel="0" collapsed="false">
      <c r="A1640" s="32" t="str">
        <f aca="false">IF(L1640="","",ROW()-4)</f>
        <v/>
      </c>
      <c r="B1640" s="58" t="str">
        <f aca="false">IF(L1640="","",IF(INDEX(ポート振替表!$W$5:$W$3507,$L1640)="","(なし)",INDEX(ポート振替表!$W$5:$W$3507,$L1640)&amp;""))</f>
        <v/>
      </c>
      <c r="C1640" s="52" t="str">
        <f aca="false">IF(L1640="","",INDEX(ポート振替表!$B$5:$B$3507,$L1640)&amp;" "&amp;INDEX(ポート振替表!$C$5:$C$3507,$L1640)&amp;"  ⇔  "&amp;INDEX(ポート振替表!$H$5:$H$3507,$L1640)&amp;" "&amp;INDEX(ポート振替表!$I$5:$I$3507,$L1640))</f>
        <v/>
      </c>
      <c r="D1640" s="57" t="s">
        <v>158</v>
      </c>
      <c r="E1640" s="59" t="str">
        <f aca="false">IF(L1640="","",IF(INDEX(ポート振替表!$O$5:$O$3507,$L1640)="","(未設定)",INDEX(ポート振替表!$O$5:$O$3507,$L1640)&amp;""))</f>
        <v/>
      </c>
      <c r="F1640" s="52" t="str">
        <f aca="false">IF(L1640="","",INDEX(ポート振替表!$K$5:$K$3507,$L1640)&amp;" "&amp;INDEX(ポート振替表!$L$5:$L$3507,$L1640)&amp;"  ⇔  "&amp;INDEX(ポート振替表!$H$5:$H$3507,$L1640)&amp;" "&amp;INDEX(ポート振替表!$I$5:$I$3507,$L1640))</f>
        <v/>
      </c>
      <c r="G1640" s="57" t="s">
        <v>158</v>
      </c>
      <c r="H1640" s="32" t="str">
        <f aca="false">IF(L1640="","",INDEX(ポート振替表!$N$5:$N$3507,$L1640)&amp;"")</f>
        <v/>
      </c>
      <c r="I1640" s="32" t="str">
        <f aca="false">IF(L1640="","",INDEX(ポート振替表!$P$5:$P$3507,$L1640)&amp;"")</f>
        <v/>
      </c>
      <c r="J1640" s="60" t="str">
        <f aca="false">IF(L1640="","",INDEX(ポート振替表!$M$5:$M$3507,$L1640)&amp;"")</f>
        <v/>
      </c>
      <c r="K1640" s="52" t="str">
        <f aca="false">IF(L1640="","",E1640&amp;CHAR(10)&amp;INDEX(ポート振替表!$K$5:$K$3507,$L1640)&amp;" "&amp;INDEX(ポート振替表!$L$5:$L$3507,$L1640)&amp;CHAR(10)&amp;"⇔ "&amp;INDEX(ポート振替表!$H$5:$H$3507,$L1640)&amp;" "&amp;INDEX(ポート振替表!$I$5:$I$3507,$L1640))</f>
        <v/>
      </c>
      <c r="L1640" s="47" t="str">
        <f aca="false">IFERROR(MATCH(ROW()-4,ポート振替表!$V$5:$V$3507,0),"")</f>
        <v/>
      </c>
    </row>
    <row r="1641" customFormat="false" ht="16.4" hidden="false" customHeight="false" outlineLevel="0" collapsed="false">
      <c r="A1641" s="32" t="str">
        <f aca="false">IF(L1641="","",ROW()-4)</f>
        <v/>
      </c>
      <c r="B1641" s="58" t="str">
        <f aca="false">IF(L1641="","",IF(INDEX(ポート振替表!$W$5:$W$3507,$L1641)="","(なし)",INDEX(ポート振替表!$W$5:$W$3507,$L1641)&amp;""))</f>
        <v/>
      </c>
      <c r="C1641" s="52" t="str">
        <f aca="false">IF(L1641="","",INDEX(ポート振替表!$B$5:$B$3507,$L1641)&amp;" "&amp;INDEX(ポート振替表!$C$5:$C$3507,$L1641)&amp;"  ⇔  "&amp;INDEX(ポート振替表!$H$5:$H$3507,$L1641)&amp;" "&amp;INDEX(ポート振替表!$I$5:$I$3507,$L1641))</f>
        <v/>
      </c>
      <c r="D1641" s="57" t="s">
        <v>158</v>
      </c>
      <c r="E1641" s="59" t="str">
        <f aca="false">IF(L1641="","",IF(INDEX(ポート振替表!$O$5:$O$3507,$L1641)="","(未設定)",INDEX(ポート振替表!$O$5:$O$3507,$L1641)&amp;""))</f>
        <v/>
      </c>
      <c r="F1641" s="52" t="str">
        <f aca="false">IF(L1641="","",INDEX(ポート振替表!$K$5:$K$3507,$L1641)&amp;" "&amp;INDEX(ポート振替表!$L$5:$L$3507,$L1641)&amp;"  ⇔  "&amp;INDEX(ポート振替表!$H$5:$H$3507,$L1641)&amp;" "&amp;INDEX(ポート振替表!$I$5:$I$3507,$L1641))</f>
        <v/>
      </c>
      <c r="G1641" s="57" t="s">
        <v>158</v>
      </c>
      <c r="H1641" s="32" t="str">
        <f aca="false">IF(L1641="","",INDEX(ポート振替表!$N$5:$N$3507,$L1641)&amp;"")</f>
        <v/>
      </c>
      <c r="I1641" s="32" t="str">
        <f aca="false">IF(L1641="","",INDEX(ポート振替表!$P$5:$P$3507,$L1641)&amp;"")</f>
        <v/>
      </c>
      <c r="J1641" s="60" t="str">
        <f aca="false">IF(L1641="","",INDEX(ポート振替表!$M$5:$M$3507,$L1641)&amp;"")</f>
        <v/>
      </c>
      <c r="K1641" s="52" t="str">
        <f aca="false">IF(L1641="","",E1641&amp;CHAR(10)&amp;INDEX(ポート振替表!$K$5:$K$3507,$L1641)&amp;" "&amp;INDEX(ポート振替表!$L$5:$L$3507,$L1641)&amp;CHAR(10)&amp;"⇔ "&amp;INDEX(ポート振替表!$H$5:$H$3507,$L1641)&amp;" "&amp;INDEX(ポート振替表!$I$5:$I$3507,$L1641))</f>
        <v/>
      </c>
      <c r="L1641" s="47" t="str">
        <f aca="false">IFERROR(MATCH(ROW()-4,ポート振替表!$V$5:$V$3507,0),"")</f>
        <v/>
      </c>
    </row>
    <row r="1642" customFormat="false" ht="16.4" hidden="false" customHeight="false" outlineLevel="0" collapsed="false">
      <c r="A1642" s="32" t="str">
        <f aca="false">IF(L1642="","",ROW()-4)</f>
        <v/>
      </c>
      <c r="B1642" s="58" t="str">
        <f aca="false">IF(L1642="","",IF(INDEX(ポート振替表!$W$5:$W$3507,$L1642)="","(なし)",INDEX(ポート振替表!$W$5:$W$3507,$L1642)&amp;""))</f>
        <v/>
      </c>
      <c r="C1642" s="52" t="str">
        <f aca="false">IF(L1642="","",INDEX(ポート振替表!$B$5:$B$3507,$L1642)&amp;" "&amp;INDEX(ポート振替表!$C$5:$C$3507,$L1642)&amp;"  ⇔  "&amp;INDEX(ポート振替表!$H$5:$H$3507,$L1642)&amp;" "&amp;INDEX(ポート振替表!$I$5:$I$3507,$L1642))</f>
        <v/>
      </c>
      <c r="D1642" s="57" t="s">
        <v>158</v>
      </c>
      <c r="E1642" s="59" t="str">
        <f aca="false">IF(L1642="","",IF(INDEX(ポート振替表!$O$5:$O$3507,$L1642)="","(未設定)",INDEX(ポート振替表!$O$5:$O$3507,$L1642)&amp;""))</f>
        <v/>
      </c>
      <c r="F1642" s="52" t="str">
        <f aca="false">IF(L1642="","",INDEX(ポート振替表!$K$5:$K$3507,$L1642)&amp;" "&amp;INDEX(ポート振替表!$L$5:$L$3507,$L1642)&amp;"  ⇔  "&amp;INDEX(ポート振替表!$H$5:$H$3507,$L1642)&amp;" "&amp;INDEX(ポート振替表!$I$5:$I$3507,$L1642))</f>
        <v/>
      </c>
      <c r="G1642" s="57" t="s">
        <v>158</v>
      </c>
      <c r="H1642" s="32" t="str">
        <f aca="false">IF(L1642="","",INDEX(ポート振替表!$N$5:$N$3507,$L1642)&amp;"")</f>
        <v/>
      </c>
      <c r="I1642" s="32" t="str">
        <f aca="false">IF(L1642="","",INDEX(ポート振替表!$P$5:$P$3507,$L1642)&amp;"")</f>
        <v/>
      </c>
      <c r="J1642" s="60" t="str">
        <f aca="false">IF(L1642="","",INDEX(ポート振替表!$M$5:$M$3507,$L1642)&amp;"")</f>
        <v/>
      </c>
      <c r="K1642" s="52" t="str">
        <f aca="false">IF(L1642="","",E1642&amp;CHAR(10)&amp;INDEX(ポート振替表!$K$5:$K$3507,$L1642)&amp;" "&amp;INDEX(ポート振替表!$L$5:$L$3507,$L1642)&amp;CHAR(10)&amp;"⇔ "&amp;INDEX(ポート振替表!$H$5:$H$3507,$L1642)&amp;" "&amp;INDEX(ポート振替表!$I$5:$I$3507,$L1642))</f>
        <v/>
      </c>
      <c r="L1642" s="47" t="str">
        <f aca="false">IFERROR(MATCH(ROW()-4,ポート振替表!$V$5:$V$3507,0),"")</f>
        <v/>
      </c>
    </row>
    <row r="1643" customFormat="false" ht="16.4" hidden="false" customHeight="false" outlineLevel="0" collapsed="false">
      <c r="A1643" s="32" t="str">
        <f aca="false">IF(L1643="","",ROW()-4)</f>
        <v/>
      </c>
      <c r="B1643" s="58" t="str">
        <f aca="false">IF(L1643="","",IF(INDEX(ポート振替表!$W$5:$W$3507,$L1643)="","(なし)",INDEX(ポート振替表!$W$5:$W$3507,$L1643)&amp;""))</f>
        <v/>
      </c>
      <c r="C1643" s="52" t="str">
        <f aca="false">IF(L1643="","",INDEX(ポート振替表!$B$5:$B$3507,$L1643)&amp;" "&amp;INDEX(ポート振替表!$C$5:$C$3507,$L1643)&amp;"  ⇔  "&amp;INDEX(ポート振替表!$H$5:$H$3507,$L1643)&amp;" "&amp;INDEX(ポート振替表!$I$5:$I$3507,$L1643))</f>
        <v/>
      </c>
      <c r="D1643" s="57" t="s">
        <v>158</v>
      </c>
      <c r="E1643" s="59" t="str">
        <f aca="false">IF(L1643="","",IF(INDEX(ポート振替表!$O$5:$O$3507,$L1643)="","(未設定)",INDEX(ポート振替表!$O$5:$O$3507,$L1643)&amp;""))</f>
        <v/>
      </c>
      <c r="F1643" s="52" t="str">
        <f aca="false">IF(L1643="","",INDEX(ポート振替表!$K$5:$K$3507,$L1643)&amp;" "&amp;INDEX(ポート振替表!$L$5:$L$3507,$L1643)&amp;"  ⇔  "&amp;INDEX(ポート振替表!$H$5:$H$3507,$L1643)&amp;" "&amp;INDEX(ポート振替表!$I$5:$I$3507,$L1643))</f>
        <v/>
      </c>
      <c r="G1643" s="57" t="s">
        <v>158</v>
      </c>
      <c r="H1643" s="32" t="str">
        <f aca="false">IF(L1643="","",INDEX(ポート振替表!$N$5:$N$3507,$L1643)&amp;"")</f>
        <v/>
      </c>
      <c r="I1643" s="32" t="str">
        <f aca="false">IF(L1643="","",INDEX(ポート振替表!$P$5:$P$3507,$L1643)&amp;"")</f>
        <v/>
      </c>
      <c r="J1643" s="60" t="str">
        <f aca="false">IF(L1643="","",INDEX(ポート振替表!$M$5:$M$3507,$L1643)&amp;"")</f>
        <v/>
      </c>
      <c r="K1643" s="52" t="str">
        <f aca="false">IF(L1643="","",E1643&amp;CHAR(10)&amp;INDEX(ポート振替表!$K$5:$K$3507,$L1643)&amp;" "&amp;INDEX(ポート振替表!$L$5:$L$3507,$L1643)&amp;CHAR(10)&amp;"⇔ "&amp;INDEX(ポート振替表!$H$5:$H$3507,$L1643)&amp;" "&amp;INDEX(ポート振替表!$I$5:$I$3507,$L1643))</f>
        <v/>
      </c>
      <c r="L1643" s="47" t="str">
        <f aca="false">IFERROR(MATCH(ROW()-4,ポート振替表!$V$5:$V$3507,0),"")</f>
        <v/>
      </c>
    </row>
    <row r="1644" customFormat="false" ht="16.4" hidden="false" customHeight="false" outlineLevel="0" collapsed="false">
      <c r="A1644" s="32" t="str">
        <f aca="false">IF(L1644="","",ROW()-4)</f>
        <v/>
      </c>
      <c r="B1644" s="58" t="str">
        <f aca="false">IF(L1644="","",IF(INDEX(ポート振替表!$W$5:$W$3507,$L1644)="","(なし)",INDEX(ポート振替表!$W$5:$W$3507,$L1644)&amp;""))</f>
        <v/>
      </c>
      <c r="C1644" s="52" t="str">
        <f aca="false">IF(L1644="","",INDEX(ポート振替表!$B$5:$B$3507,$L1644)&amp;" "&amp;INDEX(ポート振替表!$C$5:$C$3507,$L1644)&amp;"  ⇔  "&amp;INDEX(ポート振替表!$H$5:$H$3507,$L1644)&amp;" "&amp;INDEX(ポート振替表!$I$5:$I$3507,$L1644))</f>
        <v/>
      </c>
      <c r="D1644" s="57" t="s">
        <v>158</v>
      </c>
      <c r="E1644" s="59" t="str">
        <f aca="false">IF(L1644="","",IF(INDEX(ポート振替表!$O$5:$O$3507,$L1644)="","(未設定)",INDEX(ポート振替表!$O$5:$O$3507,$L1644)&amp;""))</f>
        <v/>
      </c>
      <c r="F1644" s="52" t="str">
        <f aca="false">IF(L1644="","",INDEX(ポート振替表!$K$5:$K$3507,$L1644)&amp;" "&amp;INDEX(ポート振替表!$L$5:$L$3507,$L1644)&amp;"  ⇔  "&amp;INDEX(ポート振替表!$H$5:$H$3507,$L1644)&amp;" "&amp;INDEX(ポート振替表!$I$5:$I$3507,$L1644))</f>
        <v/>
      </c>
      <c r="G1644" s="57" t="s">
        <v>158</v>
      </c>
      <c r="H1644" s="32" t="str">
        <f aca="false">IF(L1644="","",INDEX(ポート振替表!$N$5:$N$3507,$L1644)&amp;"")</f>
        <v/>
      </c>
      <c r="I1644" s="32" t="str">
        <f aca="false">IF(L1644="","",INDEX(ポート振替表!$P$5:$P$3507,$L1644)&amp;"")</f>
        <v/>
      </c>
      <c r="J1644" s="60" t="str">
        <f aca="false">IF(L1644="","",INDEX(ポート振替表!$M$5:$M$3507,$L1644)&amp;"")</f>
        <v/>
      </c>
      <c r="K1644" s="52" t="str">
        <f aca="false">IF(L1644="","",E1644&amp;CHAR(10)&amp;INDEX(ポート振替表!$K$5:$K$3507,$L1644)&amp;" "&amp;INDEX(ポート振替表!$L$5:$L$3507,$L1644)&amp;CHAR(10)&amp;"⇔ "&amp;INDEX(ポート振替表!$H$5:$H$3507,$L1644)&amp;" "&amp;INDEX(ポート振替表!$I$5:$I$3507,$L1644))</f>
        <v/>
      </c>
      <c r="L1644" s="47" t="str">
        <f aca="false">IFERROR(MATCH(ROW()-4,ポート振替表!$V$5:$V$3507,0),"")</f>
        <v/>
      </c>
    </row>
    <row r="1645" customFormat="false" ht="16.4" hidden="false" customHeight="false" outlineLevel="0" collapsed="false">
      <c r="A1645" s="32" t="str">
        <f aca="false">IF(L1645="","",ROW()-4)</f>
        <v/>
      </c>
      <c r="B1645" s="58" t="str">
        <f aca="false">IF(L1645="","",IF(INDEX(ポート振替表!$W$5:$W$3507,$L1645)="","(なし)",INDEX(ポート振替表!$W$5:$W$3507,$L1645)&amp;""))</f>
        <v/>
      </c>
      <c r="C1645" s="52" t="str">
        <f aca="false">IF(L1645="","",INDEX(ポート振替表!$B$5:$B$3507,$L1645)&amp;" "&amp;INDEX(ポート振替表!$C$5:$C$3507,$L1645)&amp;"  ⇔  "&amp;INDEX(ポート振替表!$H$5:$H$3507,$L1645)&amp;" "&amp;INDEX(ポート振替表!$I$5:$I$3507,$L1645))</f>
        <v/>
      </c>
      <c r="D1645" s="57" t="s">
        <v>158</v>
      </c>
      <c r="E1645" s="59" t="str">
        <f aca="false">IF(L1645="","",IF(INDEX(ポート振替表!$O$5:$O$3507,$L1645)="","(未設定)",INDEX(ポート振替表!$O$5:$O$3507,$L1645)&amp;""))</f>
        <v/>
      </c>
      <c r="F1645" s="52" t="str">
        <f aca="false">IF(L1645="","",INDEX(ポート振替表!$K$5:$K$3507,$L1645)&amp;" "&amp;INDEX(ポート振替表!$L$5:$L$3507,$L1645)&amp;"  ⇔  "&amp;INDEX(ポート振替表!$H$5:$H$3507,$L1645)&amp;" "&amp;INDEX(ポート振替表!$I$5:$I$3507,$L1645))</f>
        <v/>
      </c>
      <c r="G1645" s="57" t="s">
        <v>158</v>
      </c>
      <c r="H1645" s="32" t="str">
        <f aca="false">IF(L1645="","",INDEX(ポート振替表!$N$5:$N$3507,$L1645)&amp;"")</f>
        <v/>
      </c>
      <c r="I1645" s="32" t="str">
        <f aca="false">IF(L1645="","",INDEX(ポート振替表!$P$5:$P$3507,$L1645)&amp;"")</f>
        <v/>
      </c>
      <c r="J1645" s="60" t="str">
        <f aca="false">IF(L1645="","",INDEX(ポート振替表!$M$5:$M$3507,$L1645)&amp;"")</f>
        <v/>
      </c>
      <c r="K1645" s="52" t="str">
        <f aca="false">IF(L1645="","",E1645&amp;CHAR(10)&amp;INDEX(ポート振替表!$K$5:$K$3507,$L1645)&amp;" "&amp;INDEX(ポート振替表!$L$5:$L$3507,$L1645)&amp;CHAR(10)&amp;"⇔ "&amp;INDEX(ポート振替表!$H$5:$H$3507,$L1645)&amp;" "&amp;INDEX(ポート振替表!$I$5:$I$3507,$L1645))</f>
        <v/>
      </c>
      <c r="L1645" s="47" t="str">
        <f aca="false">IFERROR(MATCH(ROW()-4,ポート振替表!$V$5:$V$3507,0),"")</f>
        <v/>
      </c>
    </row>
    <row r="1646" customFormat="false" ht="16.4" hidden="false" customHeight="false" outlineLevel="0" collapsed="false">
      <c r="A1646" s="32" t="str">
        <f aca="false">IF(L1646="","",ROW()-4)</f>
        <v/>
      </c>
      <c r="B1646" s="58" t="str">
        <f aca="false">IF(L1646="","",IF(INDEX(ポート振替表!$W$5:$W$3507,$L1646)="","(なし)",INDEX(ポート振替表!$W$5:$W$3507,$L1646)&amp;""))</f>
        <v/>
      </c>
      <c r="C1646" s="52" t="str">
        <f aca="false">IF(L1646="","",INDEX(ポート振替表!$B$5:$B$3507,$L1646)&amp;" "&amp;INDEX(ポート振替表!$C$5:$C$3507,$L1646)&amp;"  ⇔  "&amp;INDEX(ポート振替表!$H$5:$H$3507,$L1646)&amp;" "&amp;INDEX(ポート振替表!$I$5:$I$3507,$L1646))</f>
        <v/>
      </c>
      <c r="D1646" s="57" t="s">
        <v>158</v>
      </c>
      <c r="E1646" s="59" t="str">
        <f aca="false">IF(L1646="","",IF(INDEX(ポート振替表!$O$5:$O$3507,$L1646)="","(未設定)",INDEX(ポート振替表!$O$5:$O$3507,$L1646)&amp;""))</f>
        <v/>
      </c>
      <c r="F1646" s="52" t="str">
        <f aca="false">IF(L1646="","",INDEX(ポート振替表!$K$5:$K$3507,$L1646)&amp;" "&amp;INDEX(ポート振替表!$L$5:$L$3507,$L1646)&amp;"  ⇔  "&amp;INDEX(ポート振替表!$H$5:$H$3507,$L1646)&amp;" "&amp;INDEX(ポート振替表!$I$5:$I$3507,$L1646))</f>
        <v/>
      </c>
      <c r="G1646" s="57" t="s">
        <v>158</v>
      </c>
      <c r="H1646" s="32" t="str">
        <f aca="false">IF(L1646="","",INDEX(ポート振替表!$N$5:$N$3507,$L1646)&amp;"")</f>
        <v/>
      </c>
      <c r="I1646" s="32" t="str">
        <f aca="false">IF(L1646="","",INDEX(ポート振替表!$P$5:$P$3507,$L1646)&amp;"")</f>
        <v/>
      </c>
      <c r="J1646" s="60" t="str">
        <f aca="false">IF(L1646="","",INDEX(ポート振替表!$M$5:$M$3507,$L1646)&amp;"")</f>
        <v/>
      </c>
      <c r="K1646" s="52" t="str">
        <f aca="false">IF(L1646="","",E1646&amp;CHAR(10)&amp;INDEX(ポート振替表!$K$5:$K$3507,$L1646)&amp;" "&amp;INDEX(ポート振替表!$L$5:$L$3507,$L1646)&amp;CHAR(10)&amp;"⇔ "&amp;INDEX(ポート振替表!$H$5:$H$3507,$L1646)&amp;" "&amp;INDEX(ポート振替表!$I$5:$I$3507,$L1646))</f>
        <v/>
      </c>
      <c r="L1646" s="47" t="str">
        <f aca="false">IFERROR(MATCH(ROW()-4,ポート振替表!$V$5:$V$3507,0),"")</f>
        <v/>
      </c>
    </row>
    <row r="1647" customFormat="false" ht="16.4" hidden="false" customHeight="false" outlineLevel="0" collapsed="false">
      <c r="A1647" s="32" t="str">
        <f aca="false">IF(L1647="","",ROW()-4)</f>
        <v/>
      </c>
      <c r="B1647" s="58" t="str">
        <f aca="false">IF(L1647="","",IF(INDEX(ポート振替表!$W$5:$W$3507,$L1647)="","(なし)",INDEX(ポート振替表!$W$5:$W$3507,$L1647)&amp;""))</f>
        <v/>
      </c>
      <c r="C1647" s="52" t="str">
        <f aca="false">IF(L1647="","",INDEX(ポート振替表!$B$5:$B$3507,$L1647)&amp;" "&amp;INDEX(ポート振替表!$C$5:$C$3507,$L1647)&amp;"  ⇔  "&amp;INDEX(ポート振替表!$H$5:$H$3507,$L1647)&amp;" "&amp;INDEX(ポート振替表!$I$5:$I$3507,$L1647))</f>
        <v/>
      </c>
      <c r="D1647" s="57" t="s">
        <v>158</v>
      </c>
      <c r="E1647" s="59" t="str">
        <f aca="false">IF(L1647="","",IF(INDEX(ポート振替表!$O$5:$O$3507,$L1647)="","(未設定)",INDEX(ポート振替表!$O$5:$O$3507,$L1647)&amp;""))</f>
        <v/>
      </c>
      <c r="F1647" s="52" t="str">
        <f aca="false">IF(L1647="","",INDEX(ポート振替表!$K$5:$K$3507,$L1647)&amp;" "&amp;INDEX(ポート振替表!$L$5:$L$3507,$L1647)&amp;"  ⇔  "&amp;INDEX(ポート振替表!$H$5:$H$3507,$L1647)&amp;" "&amp;INDEX(ポート振替表!$I$5:$I$3507,$L1647))</f>
        <v/>
      </c>
      <c r="G1647" s="57" t="s">
        <v>158</v>
      </c>
      <c r="H1647" s="32" t="str">
        <f aca="false">IF(L1647="","",INDEX(ポート振替表!$N$5:$N$3507,$L1647)&amp;"")</f>
        <v/>
      </c>
      <c r="I1647" s="32" t="str">
        <f aca="false">IF(L1647="","",INDEX(ポート振替表!$P$5:$P$3507,$L1647)&amp;"")</f>
        <v/>
      </c>
      <c r="J1647" s="60" t="str">
        <f aca="false">IF(L1647="","",INDEX(ポート振替表!$M$5:$M$3507,$L1647)&amp;"")</f>
        <v/>
      </c>
      <c r="K1647" s="52" t="str">
        <f aca="false">IF(L1647="","",E1647&amp;CHAR(10)&amp;INDEX(ポート振替表!$K$5:$K$3507,$L1647)&amp;" "&amp;INDEX(ポート振替表!$L$5:$L$3507,$L1647)&amp;CHAR(10)&amp;"⇔ "&amp;INDEX(ポート振替表!$H$5:$H$3507,$L1647)&amp;" "&amp;INDEX(ポート振替表!$I$5:$I$3507,$L1647))</f>
        <v/>
      </c>
      <c r="L1647" s="47" t="str">
        <f aca="false">IFERROR(MATCH(ROW()-4,ポート振替表!$V$5:$V$3507,0),"")</f>
        <v/>
      </c>
    </row>
    <row r="1648" customFormat="false" ht="16.4" hidden="false" customHeight="false" outlineLevel="0" collapsed="false">
      <c r="A1648" s="32" t="str">
        <f aca="false">IF(L1648="","",ROW()-4)</f>
        <v/>
      </c>
      <c r="B1648" s="58" t="str">
        <f aca="false">IF(L1648="","",IF(INDEX(ポート振替表!$W$5:$W$3507,$L1648)="","(なし)",INDEX(ポート振替表!$W$5:$W$3507,$L1648)&amp;""))</f>
        <v/>
      </c>
      <c r="C1648" s="52" t="str">
        <f aca="false">IF(L1648="","",INDEX(ポート振替表!$B$5:$B$3507,$L1648)&amp;" "&amp;INDEX(ポート振替表!$C$5:$C$3507,$L1648)&amp;"  ⇔  "&amp;INDEX(ポート振替表!$H$5:$H$3507,$L1648)&amp;" "&amp;INDEX(ポート振替表!$I$5:$I$3507,$L1648))</f>
        <v/>
      </c>
      <c r="D1648" s="57" t="s">
        <v>158</v>
      </c>
      <c r="E1648" s="59" t="str">
        <f aca="false">IF(L1648="","",IF(INDEX(ポート振替表!$O$5:$O$3507,$L1648)="","(未設定)",INDEX(ポート振替表!$O$5:$O$3507,$L1648)&amp;""))</f>
        <v/>
      </c>
      <c r="F1648" s="52" t="str">
        <f aca="false">IF(L1648="","",INDEX(ポート振替表!$K$5:$K$3507,$L1648)&amp;" "&amp;INDEX(ポート振替表!$L$5:$L$3507,$L1648)&amp;"  ⇔  "&amp;INDEX(ポート振替表!$H$5:$H$3507,$L1648)&amp;" "&amp;INDEX(ポート振替表!$I$5:$I$3507,$L1648))</f>
        <v/>
      </c>
      <c r="G1648" s="57" t="s">
        <v>158</v>
      </c>
      <c r="H1648" s="32" t="str">
        <f aca="false">IF(L1648="","",INDEX(ポート振替表!$N$5:$N$3507,$L1648)&amp;"")</f>
        <v/>
      </c>
      <c r="I1648" s="32" t="str">
        <f aca="false">IF(L1648="","",INDEX(ポート振替表!$P$5:$P$3507,$L1648)&amp;"")</f>
        <v/>
      </c>
      <c r="J1648" s="60" t="str">
        <f aca="false">IF(L1648="","",INDEX(ポート振替表!$M$5:$M$3507,$L1648)&amp;"")</f>
        <v/>
      </c>
      <c r="K1648" s="52" t="str">
        <f aca="false">IF(L1648="","",E1648&amp;CHAR(10)&amp;INDEX(ポート振替表!$K$5:$K$3507,$L1648)&amp;" "&amp;INDEX(ポート振替表!$L$5:$L$3507,$L1648)&amp;CHAR(10)&amp;"⇔ "&amp;INDEX(ポート振替表!$H$5:$H$3507,$L1648)&amp;" "&amp;INDEX(ポート振替表!$I$5:$I$3507,$L1648))</f>
        <v/>
      </c>
      <c r="L1648" s="47" t="str">
        <f aca="false">IFERROR(MATCH(ROW()-4,ポート振替表!$V$5:$V$3507,0),"")</f>
        <v/>
      </c>
    </row>
    <row r="1649" customFormat="false" ht="16.4" hidden="false" customHeight="false" outlineLevel="0" collapsed="false">
      <c r="A1649" s="32" t="str">
        <f aca="false">IF(L1649="","",ROW()-4)</f>
        <v/>
      </c>
      <c r="B1649" s="58" t="str">
        <f aca="false">IF(L1649="","",IF(INDEX(ポート振替表!$W$5:$W$3507,$L1649)="","(なし)",INDEX(ポート振替表!$W$5:$W$3507,$L1649)&amp;""))</f>
        <v/>
      </c>
      <c r="C1649" s="52" t="str">
        <f aca="false">IF(L1649="","",INDEX(ポート振替表!$B$5:$B$3507,$L1649)&amp;" "&amp;INDEX(ポート振替表!$C$5:$C$3507,$L1649)&amp;"  ⇔  "&amp;INDEX(ポート振替表!$H$5:$H$3507,$L1649)&amp;" "&amp;INDEX(ポート振替表!$I$5:$I$3507,$L1649))</f>
        <v/>
      </c>
      <c r="D1649" s="57" t="s">
        <v>158</v>
      </c>
      <c r="E1649" s="59" t="str">
        <f aca="false">IF(L1649="","",IF(INDEX(ポート振替表!$O$5:$O$3507,$L1649)="","(未設定)",INDEX(ポート振替表!$O$5:$O$3507,$L1649)&amp;""))</f>
        <v/>
      </c>
      <c r="F1649" s="52" t="str">
        <f aca="false">IF(L1649="","",INDEX(ポート振替表!$K$5:$K$3507,$L1649)&amp;" "&amp;INDEX(ポート振替表!$L$5:$L$3507,$L1649)&amp;"  ⇔  "&amp;INDEX(ポート振替表!$H$5:$H$3507,$L1649)&amp;" "&amp;INDEX(ポート振替表!$I$5:$I$3507,$L1649))</f>
        <v/>
      </c>
      <c r="G1649" s="57" t="s">
        <v>158</v>
      </c>
      <c r="H1649" s="32" t="str">
        <f aca="false">IF(L1649="","",INDEX(ポート振替表!$N$5:$N$3507,$L1649)&amp;"")</f>
        <v/>
      </c>
      <c r="I1649" s="32" t="str">
        <f aca="false">IF(L1649="","",INDEX(ポート振替表!$P$5:$P$3507,$L1649)&amp;"")</f>
        <v/>
      </c>
      <c r="J1649" s="60" t="str">
        <f aca="false">IF(L1649="","",INDEX(ポート振替表!$M$5:$M$3507,$L1649)&amp;"")</f>
        <v/>
      </c>
      <c r="K1649" s="52" t="str">
        <f aca="false">IF(L1649="","",E1649&amp;CHAR(10)&amp;INDEX(ポート振替表!$K$5:$K$3507,$L1649)&amp;" "&amp;INDEX(ポート振替表!$L$5:$L$3507,$L1649)&amp;CHAR(10)&amp;"⇔ "&amp;INDEX(ポート振替表!$H$5:$H$3507,$L1649)&amp;" "&amp;INDEX(ポート振替表!$I$5:$I$3507,$L1649))</f>
        <v/>
      </c>
      <c r="L1649" s="47" t="str">
        <f aca="false">IFERROR(MATCH(ROW()-4,ポート振替表!$V$5:$V$3507,0),"")</f>
        <v/>
      </c>
    </row>
    <row r="1650" customFormat="false" ht="16.4" hidden="false" customHeight="false" outlineLevel="0" collapsed="false">
      <c r="A1650" s="32" t="str">
        <f aca="false">IF(L1650="","",ROW()-4)</f>
        <v/>
      </c>
      <c r="B1650" s="58" t="str">
        <f aca="false">IF(L1650="","",IF(INDEX(ポート振替表!$W$5:$W$3507,$L1650)="","(なし)",INDEX(ポート振替表!$W$5:$W$3507,$L1650)&amp;""))</f>
        <v/>
      </c>
      <c r="C1650" s="52" t="str">
        <f aca="false">IF(L1650="","",INDEX(ポート振替表!$B$5:$B$3507,$L1650)&amp;" "&amp;INDEX(ポート振替表!$C$5:$C$3507,$L1650)&amp;"  ⇔  "&amp;INDEX(ポート振替表!$H$5:$H$3507,$L1650)&amp;" "&amp;INDEX(ポート振替表!$I$5:$I$3507,$L1650))</f>
        <v/>
      </c>
      <c r="D1650" s="57" t="s">
        <v>158</v>
      </c>
      <c r="E1650" s="59" t="str">
        <f aca="false">IF(L1650="","",IF(INDEX(ポート振替表!$O$5:$O$3507,$L1650)="","(未設定)",INDEX(ポート振替表!$O$5:$O$3507,$L1650)&amp;""))</f>
        <v/>
      </c>
      <c r="F1650" s="52" t="str">
        <f aca="false">IF(L1650="","",INDEX(ポート振替表!$K$5:$K$3507,$L1650)&amp;" "&amp;INDEX(ポート振替表!$L$5:$L$3507,$L1650)&amp;"  ⇔  "&amp;INDEX(ポート振替表!$H$5:$H$3507,$L1650)&amp;" "&amp;INDEX(ポート振替表!$I$5:$I$3507,$L1650))</f>
        <v/>
      </c>
      <c r="G1650" s="57" t="s">
        <v>158</v>
      </c>
      <c r="H1650" s="32" t="str">
        <f aca="false">IF(L1650="","",INDEX(ポート振替表!$N$5:$N$3507,$L1650)&amp;"")</f>
        <v/>
      </c>
      <c r="I1650" s="32" t="str">
        <f aca="false">IF(L1650="","",INDEX(ポート振替表!$P$5:$P$3507,$L1650)&amp;"")</f>
        <v/>
      </c>
      <c r="J1650" s="60" t="str">
        <f aca="false">IF(L1650="","",INDEX(ポート振替表!$M$5:$M$3507,$L1650)&amp;"")</f>
        <v/>
      </c>
      <c r="K1650" s="52" t="str">
        <f aca="false">IF(L1650="","",E1650&amp;CHAR(10)&amp;INDEX(ポート振替表!$K$5:$K$3507,$L1650)&amp;" "&amp;INDEX(ポート振替表!$L$5:$L$3507,$L1650)&amp;CHAR(10)&amp;"⇔ "&amp;INDEX(ポート振替表!$H$5:$H$3507,$L1650)&amp;" "&amp;INDEX(ポート振替表!$I$5:$I$3507,$L1650))</f>
        <v/>
      </c>
      <c r="L1650" s="47" t="str">
        <f aca="false">IFERROR(MATCH(ROW()-4,ポート振替表!$V$5:$V$3507,0),"")</f>
        <v/>
      </c>
    </row>
    <row r="1651" customFormat="false" ht="16.4" hidden="false" customHeight="false" outlineLevel="0" collapsed="false">
      <c r="A1651" s="32" t="str">
        <f aca="false">IF(L1651="","",ROW()-4)</f>
        <v/>
      </c>
      <c r="B1651" s="58" t="str">
        <f aca="false">IF(L1651="","",IF(INDEX(ポート振替表!$W$5:$W$3507,$L1651)="","(なし)",INDEX(ポート振替表!$W$5:$W$3507,$L1651)&amp;""))</f>
        <v/>
      </c>
      <c r="C1651" s="52" t="str">
        <f aca="false">IF(L1651="","",INDEX(ポート振替表!$B$5:$B$3507,$L1651)&amp;" "&amp;INDEX(ポート振替表!$C$5:$C$3507,$L1651)&amp;"  ⇔  "&amp;INDEX(ポート振替表!$H$5:$H$3507,$L1651)&amp;" "&amp;INDEX(ポート振替表!$I$5:$I$3507,$L1651))</f>
        <v/>
      </c>
      <c r="D1651" s="57" t="s">
        <v>158</v>
      </c>
      <c r="E1651" s="59" t="str">
        <f aca="false">IF(L1651="","",IF(INDEX(ポート振替表!$O$5:$O$3507,$L1651)="","(未設定)",INDEX(ポート振替表!$O$5:$O$3507,$L1651)&amp;""))</f>
        <v/>
      </c>
      <c r="F1651" s="52" t="str">
        <f aca="false">IF(L1651="","",INDEX(ポート振替表!$K$5:$K$3507,$L1651)&amp;" "&amp;INDEX(ポート振替表!$L$5:$L$3507,$L1651)&amp;"  ⇔  "&amp;INDEX(ポート振替表!$H$5:$H$3507,$L1651)&amp;" "&amp;INDEX(ポート振替表!$I$5:$I$3507,$L1651))</f>
        <v/>
      </c>
      <c r="G1651" s="57" t="s">
        <v>158</v>
      </c>
      <c r="H1651" s="32" t="str">
        <f aca="false">IF(L1651="","",INDEX(ポート振替表!$N$5:$N$3507,$L1651)&amp;"")</f>
        <v/>
      </c>
      <c r="I1651" s="32" t="str">
        <f aca="false">IF(L1651="","",INDEX(ポート振替表!$P$5:$P$3507,$L1651)&amp;"")</f>
        <v/>
      </c>
      <c r="J1651" s="60" t="str">
        <f aca="false">IF(L1651="","",INDEX(ポート振替表!$M$5:$M$3507,$L1651)&amp;"")</f>
        <v/>
      </c>
      <c r="K1651" s="52" t="str">
        <f aca="false">IF(L1651="","",E1651&amp;CHAR(10)&amp;INDEX(ポート振替表!$K$5:$K$3507,$L1651)&amp;" "&amp;INDEX(ポート振替表!$L$5:$L$3507,$L1651)&amp;CHAR(10)&amp;"⇔ "&amp;INDEX(ポート振替表!$H$5:$H$3507,$L1651)&amp;" "&amp;INDEX(ポート振替表!$I$5:$I$3507,$L1651))</f>
        <v/>
      </c>
      <c r="L1651" s="47" t="str">
        <f aca="false">IFERROR(MATCH(ROW()-4,ポート振替表!$V$5:$V$3507,0),"")</f>
        <v/>
      </c>
    </row>
    <row r="1652" customFormat="false" ht="16.4" hidden="false" customHeight="false" outlineLevel="0" collapsed="false">
      <c r="A1652" s="32" t="str">
        <f aca="false">IF(L1652="","",ROW()-4)</f>
        <v/>
      </c>
      <c r="B1652" s="58" t="str">
        <f aca="false">IF(L1652="","",IF(INDEX(ポート振替表!$W$5:$W$3507,$L1652)="","(なし)",INDEX(ポート振替表!$W$5:$W$3507,$L1652)&amp;""))</f>
        <v/>
      </c>
      <c r="C1652" s="52" t="str">
        <f aca="false">IF(L1652="","",INDEX(ポート振替表!$B$5:$B$3507,$L1652)&amp;" "&amp;INDEX(ポート振替表!$C$5:$C$3507,$L1652)&amp;"  ⇔  "&amp;INDEX(ポート振替表!$H$5:$H$3507,$L1652)&amp;" "&amp;INDEX(ポート振替表!$I$5:$I$3507,$L1652))</f>
        <v/>
      </c>
      <c r="D1652" s="57" t="s">
        <v>158</v>
      </c>
      <c r="E1652" s="59" t="str">
        <f aca="false">IF(L1652="","",IF(INDEX(ポート振替表!$O$5:$O$3507,$L1652)="","(未設定)",INDEX(ポート振替表!$O$5:$O$3507,$L1652)&amp;""))</f>
        <v/>
      </c>
      <c r="F1652" s="52" t="str">
        <f aca="false">IF(L1652="","",INDEX(ポート振替表!$K$5:$K$3507,$L1652)&amp;" "&amp;INDEX(ポート振替表!$L$5:$L$3507,$L1652)&amp;"  ⇔  "&amp;INDEX(ポート振替表!$H$5:$H$3507,$L1652)&amp;" "&amp;INDEX(ポート振替表!$I$5:$I$3507,$L1652))</f>
        <v/>
      </c>
      <c r="G1652" s="57" t="s">
        <v>158</v>
      </c>
      <c r="H1652" s="32" t="str">
        <f aca="false">IF(L1652="","",INDEX(ポート振替表!$N$5:$N$3507,$L1652)&amp;"")</f>
        <v/>
      </c>
      <c r="I1652" s="32" t="str">
        <f aca="false">IF(L1652="","",INDEX(ポート振替表!$P$5:$P$3507,$L1652)&amp;"")</f>
        <v/>
      </c>
      <c r="J1652" s="60" t="str">
        <f aca="false">IF(L1652="","",INDEX(ポート振替表!$M$5:$M$3507,$L1652)&amp;"")</f>
        <v/>
      </c>
      <c r="K1652" s="52" t="str">
        <f aca="false">IF(L1652="","",E1652&amp;CHAR(10)&amp;INDEX(ポート振替表!$K$5:$K$3507,$L1652)&amp;" "&amp;INDEX(ポート振替表!$L$5:$L$3507,$L1652)&amp;CHAR(10)&amp;"⇔ "&amp;INDEX(ポート振替表!$H$5:$H$3507,$L1652)&amp;" "&amp;INDEX(ポート振替表!$I$5:$I$3507,$L1652))</f>
        <v/>
      </c>
      <c r="L1652" s="47" t="str">
        <f aca="false">IFERROR(MATCH(ROW()-4,ポート振替表!$V$5:$V$3507,0),"")</f>
        <v/>
      </c>
    </row>
    <row r="1653" customFormat="false" ht="16.4" hidden="false" customHeight="false" outlineLevel="0" collapsed="false">
      <c r="A1653" s="32" t="str">
        <f aca="false">IF(L1653="","",ROW()-4)</f>
        <v/>
      </c>
      <c r="B1653" s="58" t="str">
        <f aca="false">IF(L1653="","",IF(INDEX(ポート振替表!$W$5:$W$3507,$L1653)="","(なし)",INDEX(ポート振替表!$W$5:$W$3507,$L1653)&amp;""))</f>
        <v/>
      </c>
      <c r="C1653" s="52" t="str">
        <f aca="false">IF(L1653="","",INDEX(ポート振替表!$B$5:$B$3507,$L1653)&amp;" "&amp;INDEX(ポート振替表!$C$5:$C$3507,$L1653)&amp;"  ⇔  "&amp;INDEX(ポート振替表!$H$5:$H$3507,$L1653)&amp;" "&amp;INDEX(ポート振替表!$I$5:$I$3507,$L1653))</f>
        <v/>
      </c>
      <c r="D1653" s="57" t="s">
        <v>158</v>
      </c>
      <c r="E1653" s="59" t="str">
        <f aca="false">IF(L1653="","",IF(INDEX(ポート振替表!$O$5:$O$3507,$L1653)="","(未設定)",INDEX(ポート振替表!$O$5:$O$3507,$L1653)&amp;""))</f>
        <v/>
      </c>
      <c r="F1653" s="52" t="str">
        <f aca="false">IF(L1653="","",INDEX(ポート振替表!$K$5:$K$3507,$L1653)&amp;" "&amp;INDEX(ポート振替表!$L$5:$L$3507,$L1653)&amp;"  ⇔  "&amp;INDEX(ポート振替表!$H$5:$H$3507,$L1653)&amp;" "&amp;INDEX(ポート振替表!$I$5:$I$3507,$L1653))</f>
        <v/>
      </c>
      <c r="G1653" s="57" t="s">
        <v>158</v>
      </c>
      <c r="H1653" s="32" t="str">
        <f aca="false">IF(L1653="","",INDEX(ポート振替表!$N$5:$N$3507,$L1653)&amp;"")</f>
        <v/>
      </c>
      <c r="I1653" s="32" t="str">
        <f aca="false">IF(L1653="","",INDEX(ポート振替表!$P$5:$P$3507,$L1653)&amp;"")</f>
        <v/>
      </c>
      <c r="J1653" s="60" t="str">
        <f aca="false">IF(L1653="","",INDEX(ポート振替表!$M$5:$M$3507,$L1653)&amp;"")</f>
        <v/>
      </c>
      <c r="K1653" s="52" t="str">
        <f aca="false">IF(L1653="","",E1653&amp;CHAR(10)&amp;INDEX(ポート振替表!$K$5:$K$3507,$L1653)&amp;" "&amp;INDEX(ポート振替表!$L$5:$L$3507,$L1653)&amp;CHAR(10)&amp;"⇔ "&amp;INDEX(ポート振替表!$H$5:$H$3507,$L1653)&amp;" "&amp;INDEX(ポート振替表!$I$5:$I$3507,$L1653))</f>
        <v/>
      </c>
      <c r="L1653" s="47" t="str">
        <f aca="false">IFERROR(MATCH(ROW()-4,ポート振替表!$V$5:$V$3507,0),"")</f>
        <v/>
      </c>
    </row>
    <row r="1654" customFormat="false" ht="16.4" hidden="false" customHeight="false" outlineLevel="0" collapsed="false">
      <c r="A1654" s="32" t="str">
        <f aca="false">IF(L1654="","",ROW()-4)</f>
        <v/>
      </c>
      <c r="B1654" s="58" t="str">
        <f aca="false">IF(L1654="","",IF(INDEX(ポート振替表!$W$5:$W$3507,$L1654)="","(なし)",INDEX(ポート振替表!$W$5:$W$3507,$L1654)&amp;""))</f>
        <v/>
      </c>
      <c r="C1654" s="52" t="str">
        <f aca="false">IF(L1654="","",INDEX(ポート振替表!$B$5:$B$3507,$L1654)&amp;" "&amp;INDEX(ポート振替表!$C$5:$C$3507,$L1654)&amp;"  ⇔  "&amp;INDEX(ポート振替表!$H$5:$H$3507,$L1654)&amp;" "&amp;INDEX(ポート振替表!$I$5:$I$3507,$L1654))</f>
        <v/>
      </c>
      <c r="D1654" s="57" t="s">
        <v>158</v>
      </c>
      <c r="E1654" s="59" t="str">
        <f aca="false">IF(L1654="","",IF(INDEX(ポート振替表!$O$5:$O$3507,$L1654)="","(未設定)",INDEX(ポート振替表!$O$5:$O$3507,$L1654)&amp;""))</f>
        <v/>
      </c>
      <c r="F1654" s="52" t="str">
        <f aca="false">IF(L1654="","",INDEX(ポート振替表!$K$5:$K$3507,$L1654)&amp;" "&amp;INDEX(ポート振替表!$L$5:$L$3507,$L1654)&amp;"  ⇔  "&amp;INDEX(ポート振替表!$H$5:$H$3507,$L1654)&amp;" "&amp;INDEX(ポート振替表!$I$5:$I$3507,$L1654))</f>
        <v/>
      </c>
      <c r="G1654" s="57" t="s">
        <v>158</v>
      </c>
      <c r="H1654" s="32" t="str">
        <f aca="false">IF(L1654="","",INDEX(ポート振替表!$N$5:$N$3507,$L1654)&amp;"")</f>
        <v/>
      </c>
      <c r="I1654" s="32" t="str">
        <f aca="false">IF(L1654="","",INDEX(ポート振替表!$P$5:$P$3507,$L1654)&amp;"")</f>
        <v/>
      </c>
      <c r="J1654" s="60" t="str">
        <f aca="false">IF(L1654="","",INDEX(ポート振替表!$M$5:$M$3507,$L1654)&amp;"")</f>
        <v/>
      </c>
      <c r="K1654" s="52" t="str">
        <f aca="false">IF(L1654="","",E1654&amp;CHAR(10)&amp;INDEX(ポート振替表!$K$5:$K$3507,$L1654)&amp;" "&amp;INDEX(ポート振替表!$L$5:$L$3507,$L1654)&amp;CHAR(10)&amp;"⇔ "&amp;INDEX(ポート振替表!$H$5:$H$3507,$L1654)&amp;" "&amp;INDEX(ポート振替表!$I$5:$I$3507,$L1654))</f>
        <v/>
      </c>
      <c r="L1654" s="47" t="str">
        <f aca="false">IFERROR(MATCH(ROW()-4,ポート振替表!$V$5:$V$3507,0),"")</f>
        <v/>
      </c>
    </row>
    <row r="1655" customFormat="false" ht="16.4" hidden="false" customHeight="false" outlineLevel="0" collapsed="false">
      <c r="A1655" s="32" t="str">
        <f aca="false">IF(L1655="","",ROW()-4)</f>
        <v/>
      </c>
      <c r="B1655" s="58" t="str">
        <f aca="false">IF(L1655="","",IF(INDEX(ポート振替表!$W$5:$W$3507,$L1655)="","(なし)",INDEX(ポート振替表!$W$5:$W$3507,$L1655)&amp;""))</f>
        <v/>
      </c>
      <c r="C1655" s="52" t="str">
        <f aca="false">IF(L1655="","",INDEX(ポート振替表!$B$5:$B$3507,$L1655)&amp;" "&amp;INDEX(ポート振替表!$C$5:$C$3507,$L1655)&amp;"  ⇔  "&amp;INDEX(ポート振替表!$H$5:$H$3507,$L1655)&amp;" "&amp;INDEX(ポート振替表!$I$5:$I$3507,$L1655))</f>
        <v/>
      </c>
      <c r="D1655" s="57" t="s">
        <v>158</v>
      </c>
      <c r="E1655" s="59" t="str">
        <f aca="false">IF(L1655="","",IF(INDEX(ポート振替表!$O$5:$O$3507,$L1655)="","(未設定)",INDEX(ポート振替表!$O$5:$O$3507,$L1655)&amp;""))</f>
        <v/>
      </c>
      <c r="F1655" s="52" t="str">
        <f aca="false">IF(L1655="","",INDEX(ポート振替表!$K$5:$K$3507,$L1655)&amp;" "&amp;INDEX(ポート振替表!$L$5:$L$3507,$L1655)&amp;"  ⇔  "&amp;INDEX(ポート振替表!$H$5:$H$3507,$L1655)&amp;" "&amp;INDEX(ポート振替表!$I$5:$I$3507,$L1655))</f>
        <v/>
      </c>
      <c r="G1655" s="57" t="s">
        <v>158</v>
      </c>
      <c r="H1655" s="32" t="str">
        <f aca="false">IF(L1655="","",INDEX(ポート振替表!$N$5:$N$3507,$L1655)&amp;"")</f>
        <v/>
      </c>
      <c r="I1655" s="32" t="str">
        <f aca="false">IF(L1655="","",INDEX(ポート振替表!$P$5:$P$3507,$L1655)&amp;"")</f>
        <v/>
      </c>
      <c r="J1655" s="60" t="str">
        <f aca="false">IF(L1655="","",INDEX(ポート振替表!$M$5:$M$3507,$L1655)&amp;"")</f>
        <v/>
      </c>
      <c r="K1655" s="52" t="str">
        <f aca="false">IF(L1655="","",E1655&amp;CHAR(10)&amp;INDEX(ポート振替表!$K$5:$K$3507,$L1655)&amp;" "&amp;INDEX(ポート振替表!$L$5:$L$3507,$L1655)&amp;CHAR(10)&amp;"⇔ "&amp;INDEX(ポート振替表!$H$5:$H$3507,$L1655)&amp;" "&amp;INDEX(ポート振替表!$I$5:$I$3507,$L1655))</f>
        <v/>
      </c>
      <c r="L1655" s="47" t="str">
        <f aca="false">IFERROR(MATCH(ROW()-4,ポート振替表!$V$5:$V$3507,0),"")</f>
        <v/>
      </c>
    </row>
    <row r="1656" customFormat="false" ht="16.4" hidden="false" customHeight="false" outlineLevel="0" collapsed="false">
      <c r="A1656" s="32" t="str">
        <f aca="false">IF(L1656="","",ROW()-4)</f>
        <v/>
      </c>
      <c r="B1656" s="58" t="str">
        <f aca="false">IF(L1656="","",IF(INDEX(ポート振替表!$W$5:$W$3507,$L1656)="","(なし)",INDEX(ポート振替表!$W$5:$W$3507,$L1656)&amp;""))</f>
        <v/>
      </c>
      <c r="C1656" s="52" t="str">
        <f aca="false">IF(L1656="","",INDEX(ポート振替表!$B$5:$B$3507,$L1656)&amp;" "&amp;INDEX(ポート振替表!$C$5:$C$3507,$L1656)&amp;"  ⇔  "&amp;INDEX(ポート振替表!$H$5:$H$3507,$L1656)&amp;" "&amp;INDEX(ポート振替表!$I$5:$I$3507,$L1656))</f>
        <v/>
      </c>
      <c r="D1656" s="57" t="s">
        <v>158</v>
      </c>
      <c r="E1656" s="59" t="str">
        <f aca="false">IF(L1656="","",IF(INDEX(ポート振替表!$O$5:$O$3507,$L1656)="","(未設定)",INDEX(ポート振替表!$O$5:$O$3507,$L1656)&amp;""))</f>
        <v/>
      </c>
      <c r="F1656" s="52" t="str">
        <f aca="false">IF(L1656="","",INDEX(ポート振替表!$K$5:$K$3507,$L1656)&amp;" "&amp;INDEX(ポート振替表!$L$5:$L$3507,$L1656)&amp;"  ⇔  "&amp;INDEX(ポート振替表!$H$5:$H$3507,$L1656)&amp;" "&amp;INDEX(ポート振替表!$I$5:$I$3507,$L1656))</f>
        <v/>
      </c>
      <c r="G1656" s="57" t="s">
        <v>158</v>
      </c>
      <c r="H1656" s="32" t="str">
        <f aca="false">IF(L1656="","",INDEX(ポート振替表!$N$5:$N$3507,$L1656)&amp;"")</f>
        <v/>
      </c>
      <c r="I1656" s="32" t="str">
        <f aca="false">IF(L1656="","",INDEX(ポート振替表!$P$5:$P$3507,$L1656)&amp;"")</f>
        <v/>
      </c>
      <c r="J1656" s="60" t="str">
        <f aca="false">IF(L1656="","",INDEX(ポート振替表!$M$5:$M$3507,$L1656)&amp;"")</f>
        <v/>
      </c>
      <c r="K1656" s="52" t="str">
        <f aca="false">IF(L1656="","",E1656&amp;CHAR(10)&amp;INDEX(ポート振替表!$K$5:$K$3507,$L1656)&amp;" "&amp;INDEX(ポート振替表!$L$5:$L$3507,$L1656)&amp;CHAR(10)&amp;"⇔ "&amp;INDEX(ポート振替表!$H$5:$H$3507,$L1656)&amp;" "&amp;INDEX(ポート振替表!$I$5:$I$3507,$L1656))</f>
        <v/>
      </c>
      <c r="L1656" s="47" t="str">
        <f aca="false">IFERROR(MATCH(ROW()-4,ポート振替表!$V$5:$V$3507,0),"")</f>
        <v/>
      </c>
    </row>
    <row r="1657" customFormat="false" ht="16.4" hidden="false" customHeight="false" outlineLevel="0" collapsed="false">
      <c r="A1657" s="32" t="str">
        <f aca="false">IF(L1657="","",ROW()-4)</f>
        <v/>
      </c>
      <c r="B1657" s="58" t="str">
        <f aca="false">IF(L1657="","",IF(INDEX(ポート振替表!$W$5:$W$3507,$L1657)="","(なし)",INDEX(ポート振替表!$W$5:$W$3507,$L1657)&amp;""))</f>
        <v/>
      </c>
      <c r="C1657" s="52" t="str">
        <f aca="false">IF(L1657="","",INDEX(ポート振替表!$B$5:$B$3507,$L1657)&amp;" "&amp;INDEX(ポート振替表!$C$5:$C$3507,$L1657)&amp;"  ⇔  "&amp;INDEX(ポート振替表!$H$5:$H$3507,$L1657)&amp;" "&amp;INDEX(ポート振替表!$I$5:$I$3507,$L1657))</f>
        <v/>
      </c>
      <c r="D1657" s="57" t="s">
        <v>158</v>
      </c>
      <c r="E1657" s="59" t="str">
        <f aca="false">IF(L1657="","",IF(INDEX(ポート振替表!$O$5:$O$3507,$L1657)="","(未設定)",INDEX(ポート振替表!$O$5:$O$3507,$L1657)&amp;""))</f>
        <v/>
      </c>
      <c r="F1657" s="52" t="str">
        <f aca="false">IF(L1657="","",INDEX(ポート振替表!$K$5:$K$3507,$L1657)&amp;" "&amp;INDEX(ポート振替表!$L$5:$L$3507,$L1657)&amp;"  ⇔  "&amp;INDEX(ポート振替表!$H$5:$H$3507,$L1657)&amp;" "&amp;INDEX(ポート振替表!$I$5:$I$3507,$L1657))</f>
        <v/>
      </c>
      <c r="G1657" s="57" t="s">
        <v>158</v>
      </c>
      <c r="H1657" s="32" t="str">
        <f aca="false">IF(L1657="","",INDEX(ポート振替表!$N$5:$N$3507,$L1657)&amp;"")</f>
        <v/>
      </c>
      <c r="I1657" s="32" t="str">
        <f aca="false">IF(L1657="","",INDEX(ポート振替表!$P$5:$P$3507,$L1657)&amp;"")</f>
        <v/>
      </c>
      <c r="J1657" s="60" t="str">
        <f aca="false">IF(L1657="","",INDEX(ポート振替表!$M$5:$M$3507,$L1657)&amp;"")</f>
        <v/>
      </c>
      <c r="K1657" s="52" t="str">
        <f aca="false">IF(L1657="","",E1657&amp;CHAR(10)&amp;INDEX(ポート振替表!$K$5:$K$3507,$L1657)&amp;" "&amp;INDEX(ポート振替表!$L$5:$L$3507,$L1657)&amp;CHAR(10)&amp;"⇔ "&amp;INDEX(ポート振替表!$H$5:$H$3507,$L1657)&amp;" "&amp;INDEX(ポート振替表!$I$5:$I$3507,$L1657))</f>
        <v/>
      </c>
      <c r="L1657" s="47" t="str">
        <f aca="false">IFERROR(MATCH(ROW()-4,ポート振替表!$V$5:$V$3507,0),"")</f>
        <v/>
      </c>
    </row>
    <row r="1658" customFormat="false" ht="16.4" hidden="false" customHeight="false" outlineLevel="0" collapsed="false">
      <c r="A1658" s="32" t="str">
        <f aca="false">IF(L1658="","",ROW()-4)</f>
        <v/>
      </c>
      <c r="B1658" s="58" t="str">
        <f aca="false">IF(L1658="","",IF(INDEX(ポート振替表!$W$5:$W$3507,$L1658)="","(なし)",INDEX(ポート振替表!$W$5:$W$3507,$L1658)&amp;""))</f>
        <v/>
      </c>
      <c r="C1658" s="52" t="str">
        <f aca="false">IF(L1658="","",INDEX(ポート振替表!$B$5:$B$3507,$L1658)&amp;" "&amp;INDEX(ポート振替表!$C$5:$C$3507,$L1658)&amp;"  ⇔  "&amp;INDEX(ポート振替表!$H$5:$H$3507,$L1658)&amp;" "&amp;INDEX(ポート振替表!$I$5:$I$3507,$L1658))</f>
        <v/>
      </c>
      <c r="D1658" s="57" t="s">
        <v>158</v>
      </c>
      <c r="E1658" s="59" t="str">
        <f aca="false">IF(L1658="","",IF(INDEX(ポート振替表!$O$5:$O$3507,$L1658)="","(未設定)",INDEX(ポート振替表!$O$5:$O$3507,$L1658)&amp;""))</f>
        <v/>
      </c>
      <c r="F1658" s="52" t="str">
        <f aca="false">IF(L1658="","",INDEX(ポート振替表!$K$5:$K$3507,$L1658)&amp;" "&amp;INDEX(ポート振替表!$L$5:$L$3507,$L1658)&amp;"  ⇔  "&amp;INDEX(ポート振替表!$H$5:$H$3507,$L1658)&amp;" "&amp;INDEX(ポート振替表!$I$5:$I$3507,$L1658))</f>
        <v/>
      </c>
      <c r="G1658" s="57" t="s">
        <v>158</v>
      </c>
      <c r="H1658" s="32" t="str">
        <f aca="false">IF(L1658="","",INDEX(ポート振替表!$N$5:$N$3507,$L1658)&amp;"")</f>
        <v/>
      </c>
      <c r="I1658" s="32" t="str">
        <f aca="false">IF(L1658="","",INDEX(ポート振替表!$P$5:$P$3507,$L1658)&amp;"")</f>
        <v/>
      </c>
      <c r="J1658" s="60" t="str">
        <f aca="false">IF(L1658="","",INDEX(ポート振替表!$M$5:$M$3507,$L1658)&amp;"")</f>
        <v/>
      </c>
      <c r="K1658" s="52" t="str">
        <f aca="false">IF(L1658="","",E1658&amp;CHAR(10)&amp;INDEX(ポート振替表!$K$5:$K$3507,$L1658)&amp;" "&amp;INDEX(ポート振替表!$L$5:$L$3507,$L1658)&amp;CHAR(10)&amp;"⇔ "&amp;INDEX(ポート振替表!$H$5:$H$3507,$L1658)&amp;" "&amp;INDEX(ポート振替表!$I$5:$I$3507,$L1658))</f>
        <v/>
      </c>
      <c r="L1658" s="47" t="str">
        <f aca="false">IFERROR(MATCH(ROW()-4,ポート振替表!$V$5:$V$3507,0),"")</f>
        <v/>
      </c>
    </row>
    <row r="1659" customFormat="false" ht="16.4" hidden="false" customHeight="false" outlineLevel="0" collapsed="false">
      <c r="A1659" s="32" t="str">
        <f aca="false">IF(L1659="","",ROW()-4)</f>
        <v/>
      </c>
      <c r="B1659" s="58" t="str">
        <f aca="false">IF(L1659="","",IF(INDEX(ポート振替表!$W$5:$W$3507,$L1659)="","(なし)",INDEX(ポート振替表!$W$5:$W$3507,$L1659)&amp;""))</f>
        <v/>
      </c>
      <c r="C1659" s="52" t="str">
        <f aca="false">IF(L1659="","",INDEX(ポート振替表!$B$5:$B$3507,$L1659)&amp;" "&amp;INDEX(ポート振替表!$C$5:$C$3507,$L1659)&amp;"  ⇔  "&amp;INDEX(ポート振替表!$H$5:$H$3507,$L1659)&amp;" "&amp;INDEX(ポート振替表!$I$5:$I$3507,$L1659))</f>
        <v/>
      </c>
      <c r="D1659" s="57" t="s">
        <v>158</v>
      </c>
      <c r="E1659" s="59" t="str">
        <f aca="false">IF(L1659="","",IF(INDEX(ポート振替表!$O$5:$O$3507,$L1659)="","(未設定)",INDEX(ポート振替表!$O$5:$O$3507,$L1659)&amp;""))</f>
        <v/>
      </c>
      <c r="F1659" s="52" t="str">
        <f aca="false">IF(L1659="","",INDEX(ポート振替表!$K$5:$K$3507,$L1659)&amp;" "&amp;INDEX(ポート振替表!$L$5:$L$3507,$L1659)&amp;"  ⇔  "&amp;INDEX(ポート振替表!$H$5:$H$3507,$L1659)&amp;" "&amp;INDEX(ポート振替表!$I$5:$I$3507,$L1659))</f>
        <v/>
      </c>
      <c r="G1659" s="57" t="s">
        <v>158</v>
      </c>
      <c r="H1659" s="32" t="str">
        <f aca="false">IF(L1659="","",INDEX(ポート振替表!$N$5:$N$3507,$L1659)&amp;"")</f>
        <v/>
      </c>
      <c r="I1659" s="32" t="str">
        <f aca="false">IF(L1659="","",INDEX(ポート振替表!$P$5:$P$3507,$L1659)&amp;"")</f>
        <v/>
      </c>
      <c r="J1659" s="60" t="str">
        <f aca="false">IF(L1659="","",INDEX(ポート振替表!$M$5:$M$3507,$L1659)&amp;"")</f>
        <v/>
      </c>
      <c r="K1659" s="52" t="str">
        <f aca="false">IF(L1659="","",E1659&amp;CHAR(10)&amp;INDEX(ポート振替表!$K$5:$K$3507,$L1659)&amp;" "&amp;INDEX(ポート振替表!$L$5:$L$3507,$L1659)&amp;CHAR(10)&amp;"⇔ "&amp;INDEX(ポート振替表!$H$5:$H$3507,$L1659)&amp;" "&amp;INDEX(ポート振替表!$I$5:$I$3507,$L1659))</f>
        <v/>
      </c>
      <c r="L1659" s="47" t="str">
        <f aca="false">IFERROR(MATCH(ROW()-4,ポート振替表!$V$5:$V$3507,0),"")</f>
        <v/>
      </c>
    </row>
    <row r="1660" customFormat="false" ht="16.4" hidden="false" customHeight="false" outlineLevel="0" collapsed="false">
      <c r="A1660" s="32" t="str">
        <f aca="false">IF(L1660="","",ROW()-4)</f>
        <v/>
      </c>
      <c r="B1660" s="58" t="str">
        <f aca="false">IF(L1660="","",IF(INDEX(ポート振替表!$W$5:$W$3507,$L1660)="","(なし)",INDEX(ポート振替表!$W$5:$W$3507,$L1660)&amp;""))</f>
        <v/>
      </c>
      <c r="C1660" s="52" t="str">
        <f aca="false">IF(L1660="","",INDEX(ポート振替表!$B$5:$B$3507,$L1660)&amp;" "&amp;INDEX(ポート振替表!$C$5:$C$3507,$L1660)&amp;"  ⇔  "&amp;INDEX(ポート振替表!$H$5:$H$3507,$L1660)&amp;" "&amp;INDEX(ポート振替表!$I$5:$I$3507,$L1660))</f>
        <v/>
      </c>
      <c r="D1660" s="57" t="s">
        <v>158</v>
      </c>
      <c r="E1660" s="59" t="str">
        <f aca="false">IF(L1660="","",IF(INDEX(ポート振替表!$O$5:$O$3507,$L1660)="","(未設定)",INDEX(ポート振替表!$O$5:$O$3507,$L1660)&amp;""))</f>
        <v/>
      </c>
      <c r="F1660" s="52" t="str">
        <f aca="false">IF(L1660="","",INDEX(ポート振替表!$K$5:$K$3507,$L1660)&amp;" "&amp;INDEX(ポート振替表!$L$5:$L$3507,$L1660)&amp;"  ⇔  "&amp;INDEX(ポート振替表!$H$5:$H$3507,$L1660)&amp;" "&amp;INDEX(ポート振替表!$I$5:$I$3507,$L1660))</f>
        <v/>
      </c>
      <c r="G1660" s="57" t="s">
        <v>158</v>
      </c>
      <c r="H1660" s="32" t="str">
        <f aca="false">IF(L1660="","",INDEX(ポート振替表!$N$5:$N$3507,$L1660)&amp;"")</f>
        <v/>
      </c>
      <c r="I1660" s="32" t="str">
        <f aca="false">IF(L1660="","",INDEX(ポート振替表!$P$5:$P$3507,$L1660)&amp;"")</f>
        <v/>
      </c>
      <c r="J1660" s="60" t="str">
        <f aca="false">IF(L1660="","",INDEX(ポート振替表!$M$5:$M$3507,$L1660)&amp;"")</f>
        <v/>
      </c>
      <c r="K1660" s="52" t="str">
        <f aca="false">IF(L1660="","",E1660&amp;CHAR(10)&amp;INDEX(ポート振替表!$K$5:$K$3507,$L1660)&amp;" "&amp;INDEX(ポート振替表!$L$5:$L$3507,$L1660)&amp;CHAR(10)&amp;"⇔ "&amp;INDEX(ポート振替表!$H$5:$H$3507,$L1660)&amp;" "&amp;INDEX(ポート振替表!$I$5:$I$3507,$L1660))</f>
        <v/>
      </c>
      <c r="L1660" s="47" t="str">
        <f aca="false">IFERROR(MATCH(ROW()-4,ポート振替表!$V$5:$V$3507,0),"")</f>
        <v/>
      </c>
    </row>
    <row r="1661" customFormat="false" ht="16.4" hidden="false" customHeight="false" outlineLevel="0" collapsed="false">
      <c r="A1661" s="32" t="str">
        <f aca="false">IF(L1661="","",ROW()-4)</f>
        <v/>
      </c>
      <c r="B1661" s="58" t="str">
        <f aca="false">IF(L1661="","",IF(INDEX(ポート振替表!$W$5:$W$3507,$L1661)="","(なし)",INDEX(ポート振替表!$W$5:$W$3507,$L1661)&amp;""))</f>
        <v/>
      </c>
      <c r="C1661" s="52" t="str">
        <f aca="false">IF(L1661="","",INDEX(ポート振替表!$B$5:$B$3507,$L1661)&amp;" "&amp;INDEX(ポート振替表!$C$5:$C$3507,$L1661)&amp;"  ⇔  "&amp;INDEX(ポート振替表!$H$5:$H$3507,$L1661)&amp;" "&amp;INDEX(ポート振替表!$I$5:$I$3507,$L1661))</f>
        <v/>
      </c>
      <c r="D1661" s="57" t="s">
        <v>158</v>
      </c>
      <c r="E1661" s="59" t="str">
        <f aca="false">IF(L1661="","",IF(INDEX(ポート振替表!$O$5:$O$3507,$L1661)="","(未設定)",INDEX(ポート振替表!$O$5:$O$3507,$L1661)&amp;""))</f>
        <v/>
      </c>
      <c r="F1661" s="52" t="str">
        <f aca="false">IF(L1661="","",INDEX(ポート振替表!$K$5:$K$3507,$L1661)&amp;" "&amp;INDEX(ポート振替表!$L$5:$L$3507,$L1661)&amp;"  ⇔  "&amp;INDEX(ポート振替表!$H$5:$H$3507,$L1661)&amp;" "&amp;INDEX(ポート振替表!$I$5:$I$3507,$L1661))</f>
        <v/>
      </c>
      <c r="G1661" s="57" t="s">
        <v>158</v>
      </c>
      <c r="H1661" s="32" t="str">
        <f aca="false">IF(L1661="","",INDEX(ポート振替表!$N$5:$N$3507,$L1661)&amp;"")</f>
        <v/>
      </c>
      <c r="I1661" s="32" t="str">
        <f aca="false">IF(L1661="","",INDEX(ポート振替表!$P$5:$P$3507,$L1661)&amp;"")</f>
        <v/>
      </c>
      <c r="J1661" s="60" t="str">
        <f aca="false">IF(L1661="","",INDEX(ポート振替表!$M$5:$M$3507,$L1661)&amp;"")</f>
        <v/>
      </c>
      <c r="K1661" s="52" t="str">
        <f aca="false">IF(L1661="","",E1661&amp;CHAR(10)&amp;INDEX(ポート振替表!$K$5:$K$3507,$L1661)&amp;" "&amp;INDEX(ポート振替表!$L$5:$L$3507,$L1661)&amp;CHAR(10)&amp;"⇔ "&amp;INDEX(ポート振替表!$H$5:$H$3507,$L1661)&amp;" "&amp;INDEX(ポート振替表!$I$5:$I$3507,$L1661))</f>
        <v/>
      </c>
      <c r="L1661" s="47" t="str">
        <f aca="false">IFERROR(MATCH(ROW()-4,ポート振替表!$V$5:$V$3507,0),"")</f>
        <v/>
      </c>
    </row>
    <row r="1662" customFormat="false" ht="16.4" hidden="false" customHeight="false" outlineLevel="0" collapsed="false">
      <c r="A1662" s="32" t="str">
        <f aca="false">IF(L1662="","",ROW()-4)</f>
        <v/>
      </c>
      <c r="B1662" s="58" t="str">
        <f aca="false">IF(L1662="","",IF(INDEX(ポート振替表!$W$5:$W$3507,$L1662)="","(なし)",INDEX(ポート振替表!$W$5:$W$3507,$L1662)&amp;""))</f>
        <v/>
      </c>
      <c r="C1662" s="52" t="str">
        <f aca="false">IF(L1662="","",INDEX(ポート振替表!$B$5:$B$3507,$L1662)&amp;" "&amp;INDEX(ポート振替表!$C$5:$C$3507,$L1662)&amp;"  ⇔  "&amp;INDEX(ポート振替表!$H$5:$H$3507,$L1662)&amp;" "&amp;INDEX(ポート振替表!$I$5:$I$3507,$L1662))</f>
        <v/>
      </c>
      <c r="D1662" s="57" t="s">
        <v>158</v>
      </c>
      <c r="E1662" s="59" t="str">
        <f aca="false">IF(L1662="","",IF(INDEX(ポート振替表!$O$5:$O$3507,$L1662)="","(未設定)",INDEX(ポート振替表!$O$5:$O$3507,$L1662)&amp;""))</f>
        <v/>
      </c>
      <c r="F1662" s="52" t="str">
        <f aca="false">IF(L1662="","",INDEX(ポート振替表!$K$5:$K$3507,$L1662)&amp;" "&amp;INDEX(ポート振替表!$L$5:$L$3507,$L1662)&amp;"  ⇔  "&amp;INDEX(ポート振替表!$H$5:$H$3507,$L1662)&amp;" "&amp;INDEX(ポート振替表!$I$5:$I$3507,$L1662))</f>
        <v/>
      </c>
      <c r="G1662" s="57" t="s">
        <v>158</v>
      </c>
      <c r="H1662" s="32" t="str">
        <f aca="false">IF(L1662="","",INDEX(ポート振替表!$N$5:$N$3507,$L1662)&amp;"")</f>
        <v/>
      </c>
      <c r="I1662" s="32" t="str">
        <f aca="false">IF(L1662="","",INDEX(ポート振替表!$P$5:$P$3507,$L1662)&amp;"")</f>
        <v/>
      </c>
      <c r="J1662" s="60" t="str">
        <f aca="false">IF(L1662="","",INDEX(ポート振替表!$M$5:$M$3507,$L1662)&amp;"")</f>
        <v/>
      </c>
      <c r="K1662" s="52" t="str">
        <f aca="false">IF(L1662="","",E1662&amp;CHAR(10)&amp;INDEX(ポート振替表!$K$5:$K$3507,$L1662)&amp;" "&amp;INDEX(ポート振替表!$L$5:$L$3507,$L1662)&amp;CHAR(10)&amp;"⇔ "&amp;INDEX(ポート振替表!$H$5:$H$3507,$L1662)&amp;" "&amp;INDEX(ポート振替表!$I$5:$I$3507,$L1662))</f>
        <v/>
      </c>
      <c r="L1662" s="47" t="str">
        <f aca="false">IFERROR(MATCH(ROW()-4,ポート振替表!$V$5:$V$3507,0),"")</f>
        <v/>
      </c>
    </row>
    <row r="1663" customFormat="false" ht="16.4" hidden="false" customHeight="false" outlineLevel="0" collapsed="false">
      <c r="A1663" s="32" t="str">
        <f aca="false">IF(L1663="","",ROW()-4)</f>
        <v/>
      </c>
      <c r="B1663" s="58" t="str">
        <f aca="false">IF(L1663="","",IF(INDEX(ポート振替表!$W$5:$W$3507,$L1663)="","(なし)",INDEX(ポート振替表!$W$5:$W$3507,$L1663)&amp;""))</f>
        <v/>
      </c>
      <c r="C1663" s="52" t="str">
        <f aca="false">IF(L1663="","",INDEX(ポート振替表!$B$5:$B$3507,$L1663)&amp;" "&amp;INDEX(ポート振替表!$C$5:$C$3507,$L1663)&amp;"  ⇔  "&amp;INDEX(ポート振替表!$H$5:$H$3507,$L1663)&amp;" "&amp;INDEX(ポート振替表!$I$5:$I$3507,$L1663))</f>
        <v/>
      </c>
      <c r="D1663" s="57" t="s">
        <v>158</v>
      </c>
      <c r="E1663" s="59" t="str">
        <f aca="false">IF(L1663="","",IF(INDEX(ポート振替表!$O$5:$O$3507,$L1663)="","(未設定)",INDEX(ポート振替表!$O$5:$O$3507,$L1663)&amp;""))</f>
        <v/>
      </c>
      <c r="F1663" s="52" t="str">
        <f aca="false">IF(L1663="","",INDEX(ポート振替表!$K$5:$K$3507,$L1663)&amp;" "&amp;INDEX(ポート振替表!$L$5:$L$3507,$L1663)&amp;"  ⇔  "&amp;INDEX(ポート振替表!$H$5:$H$3507,$L1663)&amp;" "&amp;INDEX(ポート振替表!$I$5:$I$3507,$L1663))</f>
        <v/>
      </c>
      <c r="G1663" s="57" t="s">
        <v>158</v>
      </c>
      <c r="H1663" s="32" t="str">
        <f aca="false">IF(L1663="","",INDEX(ポート振替表!$N$5:$N$3507,$L1663)&amp;"")</f>
        <v/>
      </c>
      <c r="I1663" s="32" t="str">
        <f aca="false">IF(L1663="","",INDEX(ポート振替表!$P$5:$P$3507,$L1663)&amp;"")</f>
        <v/>
      </c>
      <c r="J1663" s="60" t="str">
        <f aca="false">IF(L1663="","",INDEX(ポート振替表!$M$5:$M$3507,$L1663)&amp;"")</f>
        <v/>
      </c>
      <c r="K1663" s="52" t="str">
        <f aca="false">IF(L1663="","",E1663&amp;CHAR(10)&amp;INDEX(ポート振替表!$K$5:$K$3507,$L1663)&amp;" "&amp;INDEX(ポート振替表!$L$5:$L$3507,$L1663)&amp;CHAR(10)&amp;"⇔ "&amp;INDEX(ポート振替表!$H$5:$H$3507,$L1663)&amp;" "&amp;INDEX(ポート振替表!$I$5:$I$3507,$L1663))</f>
        <v/>
      </c>
      <c r="L1663" s="47" t="str">
        <f aca="false">IFERROR(MATCH(ROW()-4,ポート振替表!$V$5:$V$3507,0),"")</f>
        <v/>
      </c>
    </row>
    <row r="1664" customFormat="false" ht="16.4" hidden="false" customHeight="false" outlineLevel="0" collapsed="false">
      <c r="A1664" s="32" t="str">
        <f aca="false">IF(L1664="","",ROW()-4)</f>
        <v/>
      </c>
      <c r="B1664" s="58" t="str">
        <f aca="false">IF(L1664="","",IF(INDEX(ポート振替表!$W$5:$W$3507,$L1664)="","(なし)",INDEX(ポート振替表!$W$5:$W$3507,$L1664)&amp;""))</f>
        <v/>
      </c>
      <c r="C1664" s="52" t="str">
        <f aca="false">IF(L1664="","",INDEX(ポート振替表!$B$5:$B$3507,$L1664)&amp;" "&amp;INDEX(ポート振替表!$C$5:$C$3507,$L1664)&amp;"  ⇔  "&amp;INDEX(ポート振替表!$H$5:$H$3507,$L1664)&amp;" "&amp;INDEX(ポート振替表!$I$5:$I$3507,$L1664))</f>
        <v/>
      </c>
      <c r="D1664" s="57" t="s">
        <v>158</v>
      </c>
      <c r="E1664" s="59" t="str">
        <f aca="false">IF(L1664="","",IF(INDEX(ポート振替表!$O$5:$O$3507,$L1664)="","(未設定)",INDEX(ポート振替表!$O$5:$O$3507,$L1664)&amp;""))</f>
        <v/>
      </c>
      <c r="F1664" s="52" t="str">
        <f aca="false">IF(L1664="","",INDEX(ポート振替表!$K$5:$K$3507,$L1664)&amp;" "&amp;INDEX(ポート振替表!$L$5:$L$3507,$L1664)&amp;"  ⇔  "&amp;INDEX(ポート振替表!$H$5:$H$3507,$L1664)&amp;" "&amp;INDEX(ポート振替表!$I$5:$I$3507,$L1664))</f>
        <v/>
      </c>
      <c r="G1664" s="57" t="s">
        <v>158</v>
      </c>
      <c r="H1664" s="32" t="str">
        <f aca="false">IF(L1664="","",INDEX(ポート振替表!$N$5:$N$3507,$L1664)&amp;"")</f>
        <v/>
      </c>
      <c r="I1664" s="32" t="str">
        <f aca="false">IF(L1664="","",INDEX(ポート振替表!$P$5:$P$3507,$L1664)&amp;"")</f>
        <v/>
      </c>
      <c r="J1664" s="60" t="str">
        <f aca="false">IF(L1664="","",INDEX(ポート振替表!$M$5:$M$3507,$L1664)&amp;"")</f>
        <v/>
      </c>
      <c r="K1664" s="52" t="str">
        <f aca="false">IF(L1664="","",E1664&amp;CHAR(10)&amp;INDEX(ポート振替表!$K$5:$K$3507,$L1664)&amp;" "&amp;INDEX(ポート振替表!$L$5:$L$3507,$L1664)&amp;CHAR(10)&amp;"⇔ "&amp;INDEX(ポート振替表!$H$5:$H$3507,$L1664)&amp;" "&amp;INDEX(ポート振替表!$I$5:$I$3507,$L1664))</f>
        <v/>
      </c>
      <c r="L1664" s="47" t="str">
        <f aca="false">IFERROR(MATCH(ROW()-4,ポート振替表!$V$5:$V$3507,0),"")</f>
        <v/>
      </c>
    </row>
    <row r="1665" customFormat="false" ht="16.4" hidden="false" customHeight="false" outlineLevel="0" collapsed="false">
      <c r="A1665" s="32" t="str">
        <f aca="false">IF(L1665="","",ROW()-4)</f>
        <v/>
      </c>
      <c r="B1665" s="58" t="str">
        <f aca="false">IF(L1665="","",IF(INDEX(ポート振替表!$W$5:$W$3507,$L1665)="","(なし)",INDEX(ポート振替表!$W$5:$W$3507,$L1665)&amp;""))</f>
        <v/>
      </c>
      <c r="C1665" s="52" t="str">
        <f aca="false">IF(L1665="","",INDEX(ポート振替表!$B$5:$B$3507,$L1665)&amp;" "&amp;INDEX(ポート振替表!$C$5:$C$3507,$L1665)&amp;"  ⇔  "&amp;INDEX(ポート振替表!$H$5:$H$3507,$L1665)&amp;" "&amp;INDEX(ポート振替表!$I$5:$I$3507,$L1665))</f>
        <v/>
      </c>
      <c r="D1665" s="57" t="s">
        <v>158</v>
      </c>
      <c r="E1665" s="59" t="str">
        <f aca="false">IF(L1665="","",IF(INDEX(ポート振替表!$O$5:$O$3507,$L1665)="","(未設定)",INDEX(ポート振替表!$O$5:$O$3507,$L1665)&amp;""))</f>
        <v/>
      </c>
      <c r="F1665" s="52" t="str">
        <f aca="false">IF(L1665="","",INDEX(ポート振替表!$K$5:$K$3507,$L1665)&amp;" "&amp;INDEX(ポート振替表!$L$5:$L$3507,$L1665)&amp;"  ⇔  "&amp;INDEX(ポート振替表!$H$5:$H$3507,$L1665)&amp;" "&amp;INDEX(ポート振替表!$I$5:$I$3507,$L1665))</f>
        <v/>
      </c>
      <c r="G1665" s="57" t="s">
        <v>158</v>
      </c>
      <c r="H1665" s="32" t="str">
        <f aca="false">IF(L1665="","",INDEX(ポート振替表!$N$5:$N$3507,$L1665)&amp;"")</f>
        <v/>
      </c>
      <c r="I1665" s="32" t="str">
        <f aca="false">IF(L1665="","",INDEX(ポート振替表!$P$5:$P$3507,$L1665)&amp;"")</f>
        <v/>
      </c>
      <c r="J1665" s="60" t="str">
        <f aca="false">IF(L1665="","",INDEX(ポート振替表!$M$5:$M$3507,$L1665)&amp;"")</f>
        <v/>
      </c>
      <c r="K1665" s="52" t="str">
        <f aca="false">IF(L1665="","",E1665&amp;CHAR(10)&amp;INDEX(ポート振替表!$K$5:$K$3507,$L1665)&amp;" "&amp;INDEX(ポート振替表!$L$5:$L$3507,$L1665)&amp;CHAR(10)&amp;"⇔ "&amp;INDEX(ポート振替表!$H$5:$H$3507,$L1665)&amp;" "&amp;INDEX(ポート振替表!$I$5:$I$3507,$L1665))</f>
        <v/>
      </c>
      <c r="L1665" s="47" t="str">
        <f aca="false">IFERROR(MATCH(ROW()-4,ポート振替表!$V$5:$V$3507,0),"")</f>
        <v/>
      </c>
    </row>
    <row r="1666" customFormat="false" ht="16.4" hidden="false" customHeight="false" outlineLevel="0" collapsed="false">
      <c r="A1666" s="32" t="str">
        <f aca="false">IF(L1666="","",ROW()-4)</f>
        <v/>
      </c>
      <c r="B1666" s="58" t="str">
        <f aca="false">IF(L1666="","",IF(INDEX(ポート振替表!$W$5:$W$3507,$L1666)="","(なし)",INDEX(ポート振替表!$W$5:$W$3507,$L1666)&amp;""))</f>
        <v/>
      </c>
      <c r="C1666" s="52" t="str">
        <f aca="false">IF(L1666="","",INDEX(ポート振替表!$B$5:$B$3507,$L1666)&amp;" "&amp;INDEX(ポート振替表!$C$5:$C$3507,$L1666)&amp;"  ⇔  "&amp;INDEX(ポート振替表!$H$5:$H$3507,$L1666)&amp;" "&amp;INDEX(ポート振替表!$I$5:$I$3507,$L1666))</f>
        <v/>
      </c>
      <c r="D1666" s="57" t="s">
        <v>158</v>
      </c>
      <c r="E1666" s="59" t="str">
        <f aca="false">IF(L1666="","",IF(INDEX(ポート振替表!$O$5:$O$3507,$L1666)="","(未設定)",INDEX(ポート振替表!$O$5:$O$3507,$L1666)&amp;""))</f>
        <v/>
      </c>
      <c r="F1666" s="52" t="str">
        <f aca="false">IF(L1666="","",INDEX(ポート振替表!$K$5:$K$3507,$L1666)&amp;" "&amp;INDEX(ポート振替表!$L$5:$L$3507,$L1666)&amp;"  ⇔  "&amp;INDEX(ポート振替表!$H$5:$H$3507,$L1666)&amp;" "&amp;INDEX(ポート振替表!$I$5:$I$3507,$L1666))</f>
        <v/>
      </c>
      <c r="G1666" s="57" t="s">
        <v>158</v>
      </c>
      <c r="H1666" s="32" t="str">
        <f aca="false">IF(L1666="","",INDEX(ポート振替表!$N$5:$N$3507,$L1666)&amp;"")</f>
        <v/>
      </c>
      <c r="I1666" s="32" t="str">
        <f aca="false">IF(L1666="","",INDEX(ポート振替表!$P$5:$P$3507,$L1666)&amp;"")</f>
        <v/>
      </c>
      <c r="J1666" s="60" t="str">
        <f aca="false">IF(L1666="","",INDEX(ポート振替表!$M$5:$M$3507,$L1666)&amp;"")</f>
        <v/>
      </c>
      <c r="K1666" s="52" t="str">
        <f aca="false">IF(L1666="","",E1666&amp;CHAR(10)&amp;INDEX(ポート振替表!$K$5:$K$3507,$L1666)&amp;" "&amp;INDEX(ポート振替表!$L$5:$L$3507,$L1666)&amp;CHAR(10)&amp;"⇔ "&amp;INDEX(ポート振替表!$H$5:$H$3507,$L1666)&amp;" "&amp;INDEX(ポート振替表!$I$5:$I$3507,$L1666))</f>
        <v/>
      </c>
      <c r="L1666" s="47" t="str">
        <f aca="false">IFERROR(MATCH(ROW()-4,ポート振替表!$V$5:$V$3507,0),"")</f>
        <v/>
      </c>
    </row>
    <row r="1667" customFormat="false" ht="16.4" hidden="false" customHeight="false" outlineLevel="0" collapsed="false">
      <c r="A1667" s="32" t="str">
        <f aca="false">IF(L1667="","",ROW()-4)</f>
        <v/>
      </c>
      <c r="B1667" s="58" t="str">
        <f aca="false">IF(L1667="","",IF(INDEX(ポート振替表!$W$5:$W$3507,$L1667)="","(なし)",INDEX(ポート振替表!$W$5:$W$3507,$L1667)&amp;""))</f>
        <v/>
      </c>
      <c r="C1667" s="52" t="str">
        <f aca="false">IF(L1667="","",INDEX(ポート振替表!$B$5:$B$3507,$L1667)&amp;" "&amp;INDEX(ポート振替表!$C$5:$C$3507,$L1667)&amp;"  ⇔  "&amp;INDEX(ポート振替表!$H$5:$H$3507,$L1667)&amp;" "&amp;INDEX(ポート振替表!$I$5:$I$3507,$L1667))</f>
        <v/>
      </c>
      <c r="D1667" s="57" t="s">
        <v>158</v>
      </c>
      <c r="E1667" s="59" t="str">
        <f aca="false">IF(L1667="","",IF(INDEX(ポート振替表!$O$5:$O$3507,$L1667)="","(未設定)",INDEX(ポート振替表!$O$5:$O$3507,$L1667)&amp;""))</f>
        <v/>
      </c>
      <c r="F1667" s="52" t="str">
        <f aca="false">IF(L1667="","",INDEX(ポート振替表!$K$5:$K$3507,$L1667)&amp;" "&amp;INDEX(ポート振替表!$L$5:$L$3507,$L1667)&amp;"  ⇔  "&amp;INDEX(ポート振替表!$H$5:$H$3507,$L1667)&amp;" "&amp;INDEX(ポート振替表!$I$5:$I$3507,$L1667))</f>
        <v/>
      </c>
      <c r="G1667" s="57" t="s">
        <v>158</v>
      </c>
      <c r="H1667" s="32" t="str">
        <f aca="false">IF(L1667="","",INDEX(ポート振替表!$N$5:$N$3507,$L1667)&amp;"")</f>
        <v/>
      </c>
      <c r="I1667" s="32" t="str">
        <f aca="false">IF(L1667="","",INDEX(ポート振替表!$P$5:$P$3507,$L1667)&amp;"")</f>
        <v/>
      </c>
      <c r="J1667" s="60" t="str">
        <f aca="false">IF(L1667="","",INDEX(ポート振替表!$M$5:$M$3507,$L1667)&amp;"")</f>
        <v/>
      </c>
      <c r="K1667" s="52" t="str">
        <f aca="false">IF(L1667="","",E1667&amp;CHAR(10)&amp;INDEX(ポート振替表!$K$5:$K$3507,$L1667)&amp;" "&amp;INDEX(ポート振替表!$L$5:$L$3507,$L1667)&amp;CHAR(10)&amp;"⇔ "&amp;INDEX(ポート振替表!$H$5:$H$3507,$L1667)&amp;" "&amp;INDEX(ポート振替表!$I$5:$I$3507,$L1667))</f>
        <v/>
      </c>
      <c r="L1667" s="47" t="str">
        <f aca="false">IFERROR(MATCH(ROW()-4,ポート振替表!$V$5:$V$3507,0),"")</f>
        <v/>
      </c>
    </row>
    <row r="1668" customFormat="false" ht="16.4" hidden="false" customHeight="false" outlineLevel="0" collapsed="false">
      <c r="A1668" s="32" t="str">
        <f aca="false">IF(L1668="","",ROW()-4)</f>
        <v/>
      </c>
      <c r="B1668" s="58" t="str">
        <f aca="false">IF(L1668="","",IF(INDEX(ポート振替表!$W$5:$W$3507,$L1668)="","(なし)",INDEX(ポート振替表!$W$5:$W$3507,$L1668)&amp;""))</f>
        <v/>
      </c>
      <c r="C1668" s="52" t="str">
        <f aca="false">IF(L1668="","",INDEX(ポート振替表!$B$5:$B$3507,$L1668)&amp;" "&amp;INDEX(ポート振替表!$C$5:$C$3507,$L1668)&amp;"  ⇔  "&amp;INDEX(ポート振替表!$H$5:$H$3507,$L1668)&amp;" "&amp;INDEX(ポート振替表!$I$5:$I$3507,$L1668))</f>
        <v/>
      </c>
      <c r="D1668" s="57" t="s">
        <v>158</v>
      </c>
      <c r="E1668" s="59" t="str">
        <f aca="false">IF(L1668="","",IF(INDEX(ポート振替表!$O$5:$O$3507,$L1668)="","(未設定)",INDEX(ポート振替表!$O$5:$O$3507,$L1668)&amp;""))</f>
        <v/>
      </c>
      <c r="F1668" s="52" t="str">
        <f aca="false">IF(L1668="","",INDEX(ポート振替表!$K$5:$K$3507,$L1668)&amp;" "&amp;INDEX(ポート振替表!$L$5:$L$3507,$L1668)&amp;"  ⇔  "&amp;INDEX(ポート振替表!$H$5:$H$3507,$L1668)&amp;" "&amp;INDEX(ポート振替表!$I$5:$I$3507,$L1668))</f>
        <v/>
      </c>
      <c r="G1668" s="57" t="s">
        <v>158</v>
      </c>
      <c r="H1668" s="32" t="str">
        <f aca="false">IF(L1668="","",INDEX(ポート振替表!$N$5:$N$3507,$L1668)&amp;"")</f>
        <v/>
      </c>
      <c r="I1668" s="32" t="str">
        <f aca="false">IF(L1668="","",INDEX(ポート振替表!$P$5:$P$3507,$L1668)&amp;"")</f>
        <v/>
      </c>
      <c r="J1668" s="60" t="str">
        <f aca="false">IF(L1668="","",INDEX(ポート振替表!$M$5:$M$3507,$L1668)&amp;"")</f>
        <v/>
      </c>
      <c r="K1668" s="52" t="str">
        <f aca="false">IF(L1668="","",E1668&amp;CHAR(10)&amp;INDEX(ポート振替表!$K$5:$K$3507,$L1668)&amp;" "&amp;INDEX(ポート振替表!$L$5:$L$3507,$L1668)&amp;CHAR(10)&amp;"⇔ "&amp;INDEX(ポート振替表!$H$5:$H$3507,$L1668)&amp;" "&amp;INDEX(ポート振替表!$I$5:$I$3507,$L1668))</f>
        <v/>
      </c>
      <c r="L1668" s="47" t="str">
        <f aca="false">IFERROR(MATCH(ROW()-4,ポート振替表!$V$5:$V$3507,0),"")</f>
        <v/>
      </c>
    </row>
    <row r="1669" customFormat="false" ht="16.4" hidden="false" customHeight="false" outlineLevel="0" collapsed="false">
      <c r="A1669" s="32" t="str">
        <f aca="false">IF(L1669="","",ROW()-4)</f>
        <v/>
      </c>
      <c r="B1669" s="58" t="str">
        <f aca="false">IF(L1669="","",IF(INDEX(ポート振替表!$W$5:$W$3507,$L1669)="","(なし)",INDEX(ポート振替表!$W$5:$W$3507,$L1669)&amp;""))</f>
        <v/>
      </c>
      <c r="C1669" s="52" t="str">
        <f aca="false">IF(L1669="","",INDEX(ポート振替表!$B$5:$B$3507,$L1669)&amp;" "&amp;INDEX(ポート振替表!$C$5:$C$3507,$L1669)&amp;"  ⇔  "&amp;INDEX(ポート振替表!$H$5:$H$3507,$L1669)&amp;" "&amp;INDEX(ポート振替表!$I$5:$I$3507,$L1669))</f>
        <v/>
      </c>
      <c r="D1669" s="57" t="s">
        <v>158</v>
      </c>
      <c r="E1669" s="59" t="str">
        <f aca="false">IF(L1669="","",IF(INDEX(ポート振替表!$O$5:$O$3507,$L1669)="","(未設定)",INDEX(ポート振替表!$O$5:$O$3507,$L1669)&amp;""))</f>
        <v/>
      </c>
      <c r="F1669" s="52" t="str">
        <f aca="false">IF(L1669="","",INDEX(ポート振替表!$K$5:$K$3507,$L1669)&amp;" "&amp;INDEX(ポート振替表!$L$5:$L$3507,$L1669)&amp;"  ⇔  "&amp;INDEX(ポート振替表!$H$5:$H$3507,$L1669)&amp;" "&amp;INDEX(ポート振替表!$I$5:$I$3507,$L1669))</f>
        <v/>
      </c>
      <c r="G1669" s="57" t="s">
        <v>158</v>
      </c>
      <c r="H1669" s="32" t="str">
        <f aca="false">IF(L1669="","",INDEX(ポート振替表!$N$5:$N$3507,$L1669)&amp;"")</f>
        <v/>
      </c>
      <c r="I1669" s="32" t="str">
        <f aca="false">IF(L1669="","",INDEX(ポート振替表!$P$5:$P$3507,$L1669)&amp;"")</f>
        <v/>
      </c>
      <c r="J1669" s="60" t="str">
        <f aca="false">IF(L1669="","",INDEX(ポート振替表!$M$5:$M$3507,$L1669)&amp;"")</f>
        <v/>
      </c>
      <c r="K1669" s="52" t="str">
        <f aca="false">IF(L1669="","",E1669&amp;CHAR(10)&amp;INDEX(ポート振替表!$K$5:$K$3507,$L1669)&amp;" "&amp;INDEX(ポート振替表!$L$5:$L$3507,$L1669)&amp;CHAR(10)&amp;"⇔ "&amp;INDEX(ポート振替表!$H$5:$H$3507,$L1669)&amp;" "&amp;INDEX(ポート振替表!$I$5:$I$3507,$L1669))</f>
        <v/>
      </c>
      <c r="L1669" s="47" t="str">
        <f aca="false">IFERROR(MATCH(ROW()-4,ポート振替表!$V$5:$V$3507,0),"")</f>
        <v/>
      </c>
    </row>
    <row r="1670" customFormat="false" ht="16.4" hidden="false" customHeight="false" outlineLevel="0" collapsed="false">
      <c r="A1670" s="32" t="str">
        <f aca="false">IF(L1670="","",ROW()-4)</f>
        <v/>
      </c>
      <c r="B1670" s="58" t="str">
        <f aca="false">IF(L1670="","",IF(INDEX(ポート振替表!$W$5:$W$3507,$L1670)="","(なし)",INDEX(ポート振替表!$W$5:$W$3507,$L1670)&amp;""))</f>
        <v/>
      </c>
      <c r="C1670" s="52" t="str">
        <f aca="false">IF(L1670="","",INDEX(ポート振替表!$B$5:$B$3507,$L1670)&amp;" "&amp;INDEX(ポート振替表!$C$5:$C$3507,$L1670)&amp;"  ⇔  "&amp;INDEX(ポート振替表!$H$5:$H$3507,$L1670)&amp;" "&amp;INDEX(ポート振替表!$I$5:$I$3507,$L1670))</f>
        <v/>
      </c>
      <c r="D1670" s="57" t="s">
        <v>158</v>
      </c>
      <c r="E1670" s="59" t="str">
        <f aca="false">IF(L1670="","",IF(INDEX(ポート振替表!$O$5:$O$3507,$L1670)="","(未設定)",INDEX(ポート振替表!$O$5:$O$3507,$L1670)&amp;""))</f>
        <v/>
      </c>
      <c r="F1670" s="52" t="str">
        <f aca="false">IF(L1670="","",INDEX(ポート振替表!$K$5:$K$3507,$L1670)&amp;" "&amp;INDEX(ポート振替表!$L$5:$L$3507,$L1670)&amp;"  ⇔  "&amp;INDEX(ポート振替表!$H$5:$H$3507,$L1670)&amp;" "&amp;INDEX(ポート振替表!$I$5:$I$3507,$L1670))</f>
        <v/>
      </c>
      <c r="G1670" s="57" t="s">
        <v>158</v>
      </c>
      <c r="H1670" s="32" t="str">
        <f aca="false">IF(L1670="","",INDEX(ポート振替表!$N$5:$N$3507,$L1670)&amp;"")</f>
        <v/>
      </c>
      <c r="I1670" s="32" t="str">
        <f aca="false">IF(L1670="","",INDEX(ポート振替表!$P$5:$P$3507,$L1670)&amp;"")</f>
        <v/>
      </c>
      <c r="J1670" s="60" t="str">
        <f aca="false">IF(L1670="","",INDEX(ポート振替表!$M$5:$M$3507,$L1670)&amp;"")</f>
        <v/>
      </c>
      <c r="K1670" s="52" t="str">
        <f aca="false">IF(L1670="","",E1670&amp;CHAR(10)&amp;INDEX(ポート振替表!$K$5:$K$3507,$L1670)&amp;" "&amp;INDEX(ポート振替表!$L$5:$L$3507,$L1670)&amp;CHAR(10)&amp;"⇔ "&amp;INDEX(ポート振替表!$H$5:$H$3507,$L1670)&amp;" "&amp;INDEX(ポート振替表!$I$5:$I$3507,$L1670))</f>
        <v/>
      </c>
      <c r="L1670" s="47" t="str">
        <f aca="false">IFERROR(MATCH(ROW()-4,ポート振替表!$V$5:$V$3507,0),"")</f>
        <v/>
      </c>
    </row>
    <row r="1671" customFormat="false" ht="16.4" hidden="false" customHeight="false" outlineLevel="0" collapsed="false">
      <c r="A1671" s="32" t="str">
        <f aca="false">IF(L1671="","",ROW()-4)</f>
        <v/>
      </c>
      <c r="B1671" s="58" t="str">
        <f aca="false">IF(L1671="","",IF(INDEX(ポート振替表!$W$5:$W$3507,$L1671)="","(なし)",INDEX(ポート振替表!$W$5:$W$3507,$L1671)&amp;""))</f>
        <v/>
      </c>
      <c r="C1671" s="52" t="str">
        <f aca="false">IF(L1671="","",INDEX(ポート振替表!$B$5:$B$3507,$L1671)&amp;" "&amp;INDEX(ポート振替表!$C$5:$C$3507,$L1671)&amp;"  ⇔  "&amp;INDEX(ポート振替表!$H$5:$H$3507,$L1671)&amp;" "&amp;INDEX(ポート振替表!$I$5:$I$3507,$L1671))</f>
        <v/>
      </c>
      <c r="D1671" s="57" t="s">
        <v>158</v>
      </c>
      <c r="E1671" s="59" t="str">
        <f aca="false">IF(L1671="","",IF(INDEX(ポート振替表!$O$5:$O$3507,$L1671)="","(未設定)",INDEX(ポート振替表!$O$5:$O$3507,$L1671)&amp;""))</f>
        <v/>
      </c>
      <c r="F1671" s="52" t="str">
        <f aca="false">IF(L1671="","",INDEX(ポート振替表!$K$5:$K$3507,$L1671)&amp;" "&amp;INDEX(ポート振替表!$L$5:$L$3507,$L1671)&amp;"  ⇔  "&amp;INDEX(ポート振替表!$H$5:$H$3507,$L1671)&amp;" "&amp;INDEX(ポート振替表!$I$5:$I$3507,$L1671))</f>
        <v/>
      </c>
      <c r="G1671" s="57" t="s">
        <v>158</v>
      </c>
      <c r="H1671" s="32" t="str">
        <f aca="false">IF(L1671="","",INDEX(ポート振替表!$N$5:$N$3507,$L1671)&amp;"")</f>
        <v/>
      </c>
      <c r="I1671" s="32" t="str">
        <f aca="false">IF(L1671="","",INDEX(ポート振替表!$P$5:$P$3507,$L1671)&amp;"")</f>
        <v/>
      </c>
      <c r="J1671" s="60" t="str">
        <f aca="false">IF(L1671="","",INDEX(ポート振替表!$M$5:$M$3507,$L1671)&amp;"")</f>
        <v/>
      </c>
      <c r="K1671" s="52" t="str">
        <f aca="false">IF(L1671="","",E1671&amp;CHAR(10)&amp;INDEX(ポート振替表!$K$5:$K$3507,$L1671)&amp;" "&amp;INDEX(ポート振替表!$L$5:$L$3507,$L1671)&amp;CHAR(10)&amp;"⇔ "&amp;INDEX(ポート振替表!$H$5:$H$3507,$L1671)&amp;" "&amp;INDEX(ポート振替表!$I$5:$I$3507,$L1671))</f>
        <v/>
      </c>
      <c r="L1671" s="47" t="str">
        <f aca="false">IFERROR(MATCH(ROW()-4,ポート振替表!$V$5:$V$3507,0),"")</f>
        <v/>
      </c>
    </row>
    <row r="1672" customFormat="false" ht="16.4" hidden="false" customHeight="false" outlineLevel="0" collapsed="false">
      <c r="A1672" s="32" t="str">
        <f aca="false">IF(L1672="","",ROW()-4)</f>
        <v/>
      </c>
      <c r="B1672" s="58" t="str">
        <f aca="false">IF(L1672="","",IF(INDEX(ポート振替表!$W$5:$W$3507,$L1672)="","(なし)",INDEX(ポート振替表!$W$5:$W$3507,$L1672)&amp;""))</f>
        <v/>
      </c>
      <c r="C1672" s="52" t="str">
        <f aca="false">IF(L1672="","",INDEX(ポート振替表!$B$5:$B$3507,$L1672)&amp;" "&amp;INDEX(ポート振替表!$C$5:$C$3507,$L1672)&amp;"  ⇔  "&amp;INDEX(ポート振替表!$H$5:$H$3507,$L1672)&amp;" "&amp;INDEX(ポート振替表!$I$5:$I$3507,$L1672))</f>
        <v/>
      </c>
      <c r="D1672" s="57" t="s">
        <v>158</v>
      </c>
      <c r="E1672" s="59" t="str">
        <f aca="false">IF(L1672="","",IF(INDEX(ポート振替表!$O$5:$O$3507,$L1672)="","(未設定)",INDEX(ポート振替表!$O$5:$O$3507,$L1672)&amp;""))</f>
        <v/>
      </c>
      <c r="F1672" s="52" t="str">
        <f aca="false">IF(L1672="","",INDEX(ポート振替表!$K$5:$K$3507,$L1672)&amp;" "&amp;INDEX(ポート振替表!$L$5:$L$3507,$L1672)&amp;"  ⇔  "&amp;INDEX(ポート振替表!$H$5:$H$3507,$L1672)&amp;" "&amp;INDEX(ポート振替表!$I$5:$I$3507,$L1672))</f>
        <v/>
      </c>
      <c r="G1672" s="57" t="s">
        <v>158</v>
      </c>
      <c r="H1672" s="32" t="str">
        <f aca="false">IF(L1672="","",INDEX(ポート振替表!$N$5:$N$3507,$L1672)&amp;"")</f>
        <v/>
      </c>
      <c r="I1672" s="32" t="str">
        <f aca="false">IF(L1672="","",INDEX(ポート振替表!$P$5:$P$3507,$L1672)&amp;"")</f>
        <v/>
      </c>
      <c r="J1672" s="60" t="str">
        <f aca="false">IF(L1672="","",INDEX(ポート振替表!$M$5:$M$3507,$L1672)&amp;"")</f>
        <v/>
      </c>
      <c r="K1672" s="52" t="str">
        <f aca="false">IF(L1672="","",E1672&amp;CHAR(10)&amp;INDEX(ポート振替表!$K$5:$K$3507,$L1672)&amp;" "&amp;INDEX(ポート振替表!$L$5:$L$3507,$L1672)&amp;CHAR(10)&amp;"⇔ "&amp;INDEX(ポート振替表!$H$5:$H$3507,$L1672)&amp;" "&amp;INDEX(ポート振替表!$I$5:$I$3507,$L1672))</f>
        <v/>
      </c>
      <c r="L1672" s="47" t="str">
        <f aca="false">IFERROR(MATCH(ROW()-4,ポート振替表!$V$5:$V$3507,0),"")</f>
        <v/>
      </c>
    </row>
    <row r="1673" customFormat="false" ht="16.4" hidden="false" customHeight="false" outlineLevel="0" collapsed="false">
      <c r="A1673" s="32" t="str">
        <f aca="false">IF(L1673="","",ROW()-4)</f>
        <v/>
      </c>
      <c r="B1673" s="58" t="str">
        <f aca="false">IF(L1673="","",IF(INDEX(ポート振替表!$W$5:$W$3507,$L1673)="","(なし)",INDEX(ポート振替表!$W$5:$W$3507,$L1673)&amp;""))</f>
        <v/>
      </c>
      <c r="C1673" s="52" t="str">
        <f aca="false">IF(L1673="","",INDEX(ポート振替表!$B$5:$B$3507,$L1673)&amp;" "&amp;INDEX(ポート振替表!$C$5:$C$3507,$L1673)&amp;"  ⇔  "&amp;INDEX(ポート振替表!$H$5:$H$3507,$L1673)&amp;" "&amp;INDEX(ポート振替表!$I$5:$I$3507,$L1673))</f>
        <v/>
      </c>
      <c r="D1673" s="57" t="s">
        <v>158</v>
      </c>
      <c r="E1673" s="59" t="str">
        <f aca="false">IF(L1673="","",IF(INDEX(ポート振替表!$O$5:$O$3507,$L1673)="","(未設定)",INDEX(ポート振替表!$O$5:$O$3507,$L1673)&amp;""))</f>
        <v/>
      </c>
      <c r="F1673" s="52" t="str">
        <f aca="false">IF(L1673="","",INDEX(ポート振替表!$K$5:$K$3507,$L1673)&amp;" "&amp;INDEX(ポート振替表!$L$5:$L$3507,$L1673)&amp;"  ⇔  "&amp;INDEX(ポート振替表!$H$5:$H$3507,$L1673)&amp;" "&amp;INDEX(ポート振替表!$I$5:$I$3507,$L1673))</f>
        <v/>
      </c>
      <c r="G1673" s="57" t="s">
        <v>158</v>
      </c>
      <c r="H1673" s="32" t="str">
        <f aca="false">IF(L1673="","",INDEX(ポート振替表!$N$5:$N$3507,$L1673)&amp;"")</f>
        <v/>
      </c>
      <c r="I1673" s="32" t="str">
        <f aca="false">IF(L1673="","",INDEX(ポート振替表!$P$5:$P$3507,$L1673)&amp;"")</f>
        <v/>
      </c>
      <c r="J1673" s="60" t="str">
        <f aca="false">IF(L1673="","",INDEX(ポート振替表!$M$5:$M$3507,$L1673)&amp;"")</f>
        <v/>
      </c>
      <c r="K1673" s="52" t="str">
        <f aca="false">IF(L1673="","",E1673&amp;CHAR(10)&amp;INDEX(ポート振替表!$K$5:$K$3507,$L1673)&amp;" "&amp;INDEX(ポート振替表!$L$5:$L$3507,$L1673)&amp;CHAR(10)&amp;"⇔ "&amp;INDEX(ポート振替表!$H$5:$H$3507,$L1673)&amp;" "&amp;INDEX(ポート振替表!$I$5:$I$3507,$L1673))</f>
        <v/>
      </c>
      <c r="L1673" s="47" t="str">
        <f aca="false">IFERROR(MATCH(ROW()-4,ポート振替表!$V$5:$V$3507,0),"")</f>
        <v/>
      </c>
    </row>
    <row r="1674" customFormat="false" ht="16.4" hidden="false" customHeight="false" outlineLevel="0" collapsed="false">
      <c r="A1674" s="32" t="str">
        <f aca="false">IF(L1674="","",ROW()-4)</f>
        <v/>
      </c>
      <c r="B1674" s="58" t="str">
        <f aca="false">IF(L1674="","",IF(INDEX(ポート振替表!$W$5:$W$3507,$L1674)="","(なし)",INDEX(ポート振替表!$W$5:$W$3507,$L1674)&amp;""))</f>
        <v/>
      </c>
      <c r="C1674" s="52" t="str">
        <f aca="false">IF(L1674="","",INDEX(ポート振替表!$B$5:$B$3507,$L1674)&amp;" "&amp;INDEX(ポート振替表!$C$5:$C$3507,$L1674)&amp;"  ⇔  "&amp;INDEX(ポート振替表!$H$5:$H$3507,$L1674)&amp;" "&amp;INDEX(ポート振替表!$I$5:$I$3507,$L1674))</f>
        <v/>
      </c>
      <c r="D1674" s="57" t="s">
        <v>158</v>
      </c>
      <c r="E1674" s="59" t="str">
        <f aca="false">IF(L1674="","",IF(INDEX(ポート振替表!$O$5:$O$3507,$L1674)="","(未設定)",INDEX(ポート振替表!$O$5:$O$3507,$L1674)&amp;""))</f>
        <v/>
      </c>
      <c r="F1674" s="52" t="str">
        <f aca="false">IF(L1674="","",INDEX(ポート振替表!$K$5:$K$3507,$L1674)&amp;" "&amp;INDEX(ポート振替表!$L$5:$L$3507,$L1674)&amp;"  ⇔  "&amp;INDEX(ポート振替表!$H$5:$H$3507,$L1674)&amp;" "&amp;INDEX(ポート振替表!$I$5:$I$3507,$L1674))</f>
        <v/>
      </c>
      <c r="G1674" s="57" t="s">
        <v>158</v>
      </c>
      <c r="H1674" s="32" t="str">
        <f aca="false">IF(L1674="","",INDEX(ポート振替表!$N$5:$N$3507,$L1674)&amp;"")</f>
        <v/>
      </c>
      <c r="I1674" s="32" t="str">
        <f aca="false">IF(L1674="","",INDEX(ポート振替表!$P$5:$P$3507,$L1674)&amp;"")</f>
        <v/>
      </c>
      <c r="J1674" s="60" t="str">
        <f aca="false">IF(L1674="","",INDEX(ポート振替表!$M$5:$M$3507,$L1674)&amp;"")</f>
        <v/>
      </c>
      <c r="K1674" s="52" t="str">
        <f aca="false">IF(L1674="","",E1674&amp;CHAR(10)&amp;INDEX(ポート振替表!$K$5:$K$3507,$L1674)&amp;" "&amp;INDEX(ポート振替表!$L$5:$L$3507,$L1674)&amp;CHAR(10)&amp;"⇔ "&amp;INDEX(ポート振替表!$H$5:$H$3507,$L1674)&amp;" "&amp;INDEX(ポート振替表!$I$5:$I$3507,$L1674))</f>
        <v/>
      </c>
      <c r="L1674" s="47" t="str">
        <f aca="false">IFERROR(MATCH(ROW()-4,ポート振替表!$V$5:$V$3507,0),"")</f>
        <v/>
      </c>
    </row>
    <row r="1675" customFormat="false" ht="16.4" hidden="false" customHeight="false" outlineLevel="0" collapsed="false">
      <c r="A1675" s="32" t="str">
        <f aca="false">IF(L1675="","",ROW()-4)</f>
        <v/>
      </c>
      <c r="B1675" s="58" t="str">
        <f aca="false">IF(L1675="","",IF(INDEX(ポート振替表!$W$5:$W$3507,$L1675)="","(なし)",INDEX(ポート振替表!$W$5:$W$3507,$L1675)&amp;""))</f>
        <v/>
      </c>
      <c r="C1675" s="52" t="str">
        <f aca="false">IF(L1675="","",INDEX(ポート振替表!$B$5:$B$3507,$L1675)&amp;" "&amp;INDEX(ポート振替表!$C$5:$C$3507,$L1675)&amp;"  ⇔  "&amp;INDEX(ポート振替表!$H$5:$H$3507,$L1675)&amp;" "&amp;INDEX(ポート振替表!$I$5:$I$3507,$L1675))</f>
        <v/>
      </c>
      <c r="D1675" s="57" t="s">
        <v>158</v>
      </c>
      <c r="E1675" s="59" t="str">
        <f aca="false">IF(L1675="","",IF(INDEX(ポート振替表!$O$5:$O$3507,$L1675)="","(未設定)",INDEX(ポート振替表!$O$5:$O$3507,$L1675)&amp;""))</f>
        <v/>
      </c>
      <c r="F1675" s="52" t="str">
        <f aca="false">IF(L1675="","",INDEX(ポート振替表!$K$5:$K$3507,$L1675)&amp;" "&amp;INDEX(ポート振替表!$L$5:$L$3507,$L1675)&amp;"  ⇔  "&amp;INDEX(ポート振替表!$H$5:$H$3507,$L1675)&amp;" "&amp;INDEX(ポート振替表!$I$5:$I$3507,$L1675))</f>
        <v/>
      </c>
      <c r="G1675" s="57" t="s">
        <v>158</v>
      </c>
      <c r="H1675" s="32" t="str">
        <f aca="false">IF(L1675="","",INDEX(ポート振替表!$N$5:$N$3507,$L1675)&amp;"")</f>
        <v/>
      </c>
      <c r="I1675" s="32" t="str">
        <f aca="false">IF(L1675="","",INDEX(ポート振替表!$P$5:$P$3507,$L1675)&amp;"")</f>
        <v/>
      </c>
      <c r="J1675" s="60" t="str">
        <f aca="false">IF(L1675="","",INDEX(ポート振替表!$M$5:$M$3507,$L1675)&amp;"")</f>
        <v/>
      </c>
      <c r="K1675" s="52" t="str">
        <f aca="false">IF(L1675="","",E1675&amp;CHAR(10)&amp;INDEX(ポート振替表!$K$5:$K$3507,$L1675)&amp;" "&amp;INDEX(ポート振替表!$L$5:$L$3507,$L1675)&amp;CHAR(10)&amp;"⇔ "&amp;INDEX(ポート振替表!$H$5:$H$3507,$L1675)&amp;" "&amp;INDEX(ポート振替表!$I$5:$I$3507,$L1675))</f>
        <v/>
      </c>
      <c r="L1675" s="47" t="str">
        <f aca="false">IFERROR(MATCH(ROW()-4,ポート振替表!$V$5:$V$3507,0),"")</f>
        <v/>
      </c>
    </row>
    <row r="1676" customFormat="false" ht="16.4" hidden="false" customHeight="false" outlineLevel="0" collapsed="false">
      <c r="A1676" s="32" t="str">
        <f aca="false">IF(L1676="","",ROW()-4)</f>
        <v/>
      </c>
      <c r="B1676" s="58" t="str">
        <f aca="false">IF(L1676="","",IF(INDEX(ポート振替表!$W$5:$W$3507,$L1676)="","(なし)",INDEX(ポート振替表!$W$5:$W$3507,$L1676)&amp;""))</f>
        <v/>
      </c>
      <c r="C1676" s="52" t="str">
        <f aca="false">IF(L1676="","",INDEX(ポート振替表!$B$5:$B$3507,$L1676)&amp;" "&amp;INDEX(ポート振替表!$C$5:$C$3507,$L1676)&amp;"  ⇔  "&amp;INDEX(ポート振替表!$H$5:$H$3507,$L1676)&amp;" "&amp;INDEX(ポート振替表!$I$5:$I$3507,$L1676))</f>
        <v/>
      </c>
      <c r="D1676" s="57" t="s">
        <v>158</v>
      </c>
      <c r="E1676" s="59" t="str">
        <f aca="false">IF(L1676="","",IF(INDEX(ポート振替表!$O$5:$O$3507,$L1676)="","(未設定)",INDEX(ポート振替表!$O$5:$O$3507,$L1676)&amp;""))</f>
        <v/>
      </c>
      <c r="F1676" s="52" t="str">
        <f aca="false">IF(L1676="","",INDEX(ポート振替表!$K$5:$K$3507,$L1676)&amp;" "&amp;INDEX(ポート振替表!$L$5:$L$3507,$L1676)&amp;"  ⇔  "&amp;INDEX(ポート振替表!$H$5:$H$3507,$L1676)&amp;" "&amp;INDEX(ポート振替表!$I$5:$I$3507,$L1676))</f>
        <v/>
      </c>
      <c r="G1676" s="57" t="s">
        <v>158</v>
      </c>
      <c r="H1676" s="32" t="str">
        <f aca="false">IF(L1676="","",INDEX(ポート振替表!$N$5:$N$3507,$L1676)&amp;"")</f>
        <v/>
      </c>
      <c r="I1676" s="32" t="str">
        <f aca="false">IF(L1676="","",INDEX(ポート振替表!$P$5:$P$3507,$L1676)&amp;"")</f>
        <v/>
      </c>
      <c r="J1676" s="60" t="str">
        <f aca="false">IF(L1676="","",INDEX(ポート振替表!$M$5:$M$3507,$L1676)&amp;"")</f>
        <v/>
      </c>
      <c r="K1676" s="52" t="str">
        <f aca="false">IF(L1676="","",E1676&amp;CHAR(10)&amp;INDEX(ポート振替表!$K$5:$K$3507,$L1676)&amp;" "&amp;INDEX(ポート振替表!$L$5:$L$3507,$L1676)&amp;CHAR(10)&amp;"⇔ "&amp;INDEX(ポート振替表!$H$5:$H$3507,$L1676)&amp;" "&amp;INDEX(ポート振替表!$I$5:$I$3507,$L1676))</f>
        <v/>
      </c>
      <c r="L1676" s="47" t="str">
        <f aca="false">IFERROR(MATCH(ROW()-4,ポート振替表!$V$5:$V$3507,0),"")</f>
        <v/>
      </c>
    </row>
    <row r="1677" customFormat="false" ht="16.4" hidden="false" customHeight="false" outlineLevel="0" collapsed="false">
      <c r="A1677" s="32" t="str">
        <f aca="false">IF(L1677="","",ROW()-4)</f>
        <v/>
      </c>
      <c r="B1677" s="58" t="str">
        <f aca="false">IF(L1677="","",IF(INDEX(ポート振替表!$W$5:$W$3507,$L1677)="","(なし)",INDEX(ポート振替表!$W$5:$W$3507,$L1677)&amp;""))</f>
        <v/>
      </c>
      <c r="C1677" s="52" t="str">
        <f aca="false">IF(L1677="","",INDEX(ポート振替表!$B$5:$B$3507,$L1677)&amp;" "&amp;INDEX(ポート振替表!$C$5:$C$3507,$L1677)&amp;"  ⇔  "&amp;INDEX(ポート振替表!$H$5:$H$3507,$L1677)&amp;" "&amp;INDEX(ポート振替表!$I$5:$I$3507,$L1677))</f>
        <v/>
      </c>
      <c r="D1677" s="57" t="s">
        <v>158</v>
      </c>
      <c r="E1677" s="59" t="str">
        <f aca="false">IF(L1677="","",IF(INDEX(ポート振替表!$O$5:$O$3507,$L1677)="","(未設定)",INDEX(ポート振替表!$O$5:$O$3507,$L1677)&amp;""))</f>
        <v/>
      </c>
      <c r="F1677" s="52" t="str">
        <f aca="false">IF(L1677="","",INDEX(ポート振替表!$K$5:$K$3507,$L1677)&amp;" "&amp;INDEX(ポート振替表!$L$5:$L$3507,$L1677)&amp;"  ⇔  "&amp;INDEX(ポート振替表!$H$5:$H$3507,$L1677)&amp;" "&amp;INDEX(ポート振替表!$I$5:$I$3507,$L1677))</f>
        <v/>
      </c>
      <c r="G1677" s="57" t="s">
        <v>158</v>
      </c>
      <c r="H1677" s="32" t="str">
        <f aca="false">IF(L1677="","",INDEX(ポート振替表!$N$5:$N$3507,$L1677)&amp;"")</f>
        <v/>
      </c>
      <c r="I1677" s="32" t="str">
        <f aca="false">IF(L1677="","",INDEX(ポート振替表!$P$5:$P$3507,$L1677)&amp;"")</f>
        <v/>
      </c>
      <c r="J1677" s="60" t="str">
        <f aca="false">IF(L1677="","",INDEX(ポート振替表!$M$5:$M$3507,$L1677)&amp;"")</f>
        <v/>
      </c>
      <c r="K1677" s="52" t="str">
        <f aca="false">IF(L1677="","",E1677&amp;CHAR(10)&amp;INDEX(ポート振替表!$K$5:$K$3507,$L1677)&amp;" "&amp;INDEX(ポート振替表!$L$5:$L$3507,$L1677)&amp;CHAR(10)&amp;"⇔ "&amp;INDEX(ポート振替表!$H$5:$H$3507,$L1677)&amp;" "&amp;INDEX(ポート振替表!$I$5:$I$3507,$L1677))</f>
        <v/>
      </c>
      <c r="L1677" s="47" t="str">
        <f aca="false">IFERROR(MATCH(ROW()-4,ポート振替表!$V$5:$V$3507,0),"")</f>
        <v/>
      </c>
    </row>
    <row r="1678" customFormat="false" ht="16.4" hidden="false" customHeight="false" outlineLevel="0" collapsed="false">
      <c r="A1678" s="32" t="str">
        <f aca="false">IF(L1678="","",ROW()-4)</f>
        <v/>
      </c>
      <c r="B1678" s="58" t="str">
        <f aca="false">IF(L1678="","",IF(INDEX(ポート振替表!$W$5:$W$3507,$L1678)="","(なし)",INDEX(ポート振替表!$W$5:$W$3507,$L1678)&amp;""))</f>
        <v/>
      </c>
      <c r="C1678" s="52" t="str">
        <f aca="false">IF(L1678="","",INDEX(ポート振替表!$B$5:$B$3507,$L1678)&amp;" "&amp;INDEX(ポート振替表!$C$5:$C$3507,$L1678)&amp;"  ⇔  "&amp;INDEX(ポート振替表!$H$5:$H$3507,$L1678)&amp;" "&amp;INDEX(ポート振替表!$I$5:$I$3507,$L1678))</f>
        <v/>
      </c>
      <c r="D1678" s="57" t="s">
        <v>158</v>
      </c>
      <c r="E1678" s="59" t="str">
        <f aca="false">IF(L1678="","",IF(INDEX(ポート振替表!$O$5:$O$3507,$L1678)="","(未設定)",INDEX(ポート振替表!$O$5:$O$3507,$L1678)&amp;""))</f>
        <v/>
      </c>
      <c r="F1678" s="52" t="str">
        <f aca="false">IF(L1678="","",INDEX(ポート振替表!$K$5:$K$3507,$L1678)&amp;" "&amp;INDEX(ポート振替表!$L$5:$L$3507,$L1678)&amp;"  ⇔  "&amp;INDEX(ポート振替表!$H$5:$H$3507,$L1678)&amp;" "&amp;INDEX(ポート振替表!$I$5:$I$3507,$L1678))</f>
        <v/>
      </c>
      <c r="G1678" s="57" t="s">
        <v>158</v>
      </c>
      <c r="H1678" s="32" t="str">
        <f aca="false">IF(L1678="","",INDEX(ポート振替表!$N$5:$N$3507,$L1678)&amp;"")</f>
        <v/>
      </c>
      <c r="I1678" s="32" t="str">
        <f aca="false">IF(L1678="","",INDEX(ポート振替表!$P$5:$P$3507,$L1678)&amp;"")</f>
        <v/>
      </c>
      <c r="J1678" s="60" t="str">
        <f aca="false">IF(L1678="","",INDEX(ポート振替表!$M$5:$M$3507,$L1678)&amp;"")</f>
        <v/>
      </c>
      <c r="K1678" s="52" t="str">
        <f aca="false">IF(L1678="","",E1678&amp;CHAR(10)&amp;INDEX(ポート振替表!$K$5:$K$3507,$L1678)&amp;" "&amp;INDEX(ポート振替表!$L$5:$L$3507,$L1678)&amp;CHAR(10)&amp;"⇔ "&amp;INDEX(ポート振替表!$H$5:$H$3507,$L1678)&amp;" "&amp;INDEX(ポート振替表!$I$5:$I$3507,$L1678))</f>
        <v/>
      </c>
      <c r="L1678" s="47" t="str">
        <f aca="false">IFERROR(MATCH(ROW()-4,ポート振替表!$V$5:$V$3507,0),"")</f>
        <v/>
      </c>
    </row>
    <row r="1679" customFormat="false" ht="16.4" hidden="false" customHeight="false" outlineLevel="0" collapsed="false">
      <c r="A1679" s="32" t="str">
        <f aca="false">IF(L1679="","",ROW()-4)</f>
        <v/>
      </c>
      <c r="B1679" s="58" t="str">
        <f aca="false">IF(L1679="","",IF(INDEX(ポート振替表!$W$5:$W$3507,$L1679)="","(なし)",INDEX(ポート振替表!$W$5:$W$3507,$L1679)&amp;""))</f>
        <v/>
      </c>
      <c r="C1679" s="52" t="str">
        <f aca="false">IF(L1679="","",INDEX(ポート振替表!$B$5:$B$3507,$L1679)&amp;" "&amp;INDEX(ポート振替表!$C$5:$C$3507,$L1679)&amp;"  ⇔  "&amp;INDEX(ポート振替表!$H$5:$H$3507,$L1679)&amp;" "&amp;INDEX(ポート振替表!$I$5:$I$3507,$L1679))</f>
        <v/>
      </c>
      <c r="D1679" s="57" t="s">
        <v>158</v>
      </c>
      <c r="E1679" s="59" t="str">
        <f aca="false">IF(L1679="","",IF(INDEX(ポート振替表!$O$5:$O$3507,$L1679)="","(未設定)",INDEX(ポート振替表!$O$5:$O$3507,$L1679)&amp;""))</f>
        <v/>
      </c>
      <c r="F1679" s="52" t="str">
        <f aca="false">IF(L1679="","",INDEX(ポート振替表!$K$5:$K$3507,$L1679)&amp;" "&amp;INDEX(ポート振替表!$L$5:$L$3507,$L1679)&amp;"  ⇔  "&amp;INDEX(ポート振替表!$H$5:$H$3507,$L1679)&amp;" "&amp;INDEX(ポート振替表!$I$5:$I$3507,$L1679))</f>
        <v/>
      </c>
      <c r="G1679" s="57" t="s">
        <v>158</v>
      </c>
      <c r="H1679" s="32" t="str">
        <f aca="false">IF(L1679="","",INDEX(ポート振替表!$N$5:$N$3507,$L1679)&amp;"")</f>
        <v/>
      </c>
      <c r="I1679" s="32" t="str">
        <f aca="false">IF(L1679="","",INDEX(ポート振替表!$P$5:$P$3507,$L1679)&amp;"")</f>
        <v/>
      </c>
      <c r="J1679" s="60" t="str">
        <f aca="false">IF(L1679="","",INDEX(ポート振替表!$M$5:$M$3507,$L1679)&amp;"")</f>
        <v/>
      </c>
      <c r="K1679" s="52" t="str">
        <f aca="false">IF(L1679="","",E1679&amp;CHAR(10)&amp;INDEX(ポート振替表!$K$5:$K$3507,$L1679)&amp;" "&amp;INDEX(ポート振替表!$L$5:$L$3507,$L1679)&amp;CHAR(10)&amp;"⇔ "&amp;INDEX(ポート振替表!$H$5:$H$3507,$L1679)&amp;" "&amp;INDEX(ポート振替表!$I$5:$I$3507,$L1679))</f>
        <v/>
      </c>
      <c r="L1679" s="47" t="str">
        <f aca="false">IFERROR(MATCH(ROW()-4,ポート振替表!$V$5:$V$3507,0),"")</f>
        <v/>
      </c>
    </row>
    <row r="1680" customFormat="false" ht="16.4" hidden="false" customHeight="false" outlineLevel="0" collapsed="false">
      <c r="A1680" s="32" t="str">
        <f aca="false">IF(L1680="","",ROW()-4)</f>
        <v/>
      </c>
      <c r="B1680" s="58" t="str">
        <f aca="false">IF(L1680="","",IF(INDEX(ポート振替表!$W$5:$W$3507,$L1680)="","(なし)",INDEX(ポート振替表!$W$5:$W$3507,$L1680)&amp;""))</f>
        <v/>
      </c>
      <c r="C1680" s="52" t="str">
        <f aca="false">IF(L1680="","",INDEX(ポート振替表!$B$5:$B$3507,$L1680)&amp;" "&amp;INDEX(ポート振替表!$C$5:$C$3507,$L1680)&amp;"  ⇔  "&amp;INDEX(ポート振替表!$H$5:$H$3507,$L1680)&amp;" "&amp;INDEX(ポート振替表!$I$5:$I$3507,$L1680))</f>
        <v/>
      </c>
      <c r="D1680" s="57" t="s">
        <v>158</v>
      </c>
      <c r="E1680" s="59" t="str">
        <f aca="false">IF(L1680="","",IF(INDEX(ポート振替表!$O$5:$O$3507,$L1680)="","(未設定)",INDEX(ポート振替表!$O$5:$O$3507,$L1680)&amp;""))</f>
        <v/>
      </c>
      <c r="F1680" s="52" t="str">
        <f aca="false">IF(L1680="","",INDEX(ポート振替表!$K$5:$K$3507,$L1680)&amp;" "&amp;INDEX(ポート振替表!$L$5:$L$3507,$L1680)&amp;"  ⇔  "&amp;INDEX(ポート振替表!$H$5:$H$3507,$L1680)&amp;" "&amp;INDEX(ポート振替表!$I$5:$I$3507,$L1680))</f>
        <v/>
      </c>
      <c r="G1680" s="57" t="s">
        <v>158</v>
      </c>
      <c r="H1680" s="32" t="str">
        <f aca="false">IF(L1680="","",INDEX(ポート振替表!$N$5:$N$3507,$L1680)&amp;"")</f>
        <v/>
      </c>
      <c r="I1680" s="32" t="str">
        <f aca="false">IF(L1680="","",INDEX(ポート振替表!$P$5:$P$3507,$L1680)&amp;"")</f>
        <v/>
      </c>
      <c r="J1680" s="60" t="str">
        <f aca="false">IF(L1680="","",INDEX(ポート振替表!$M$5:$M$3507,$L1680)&amp;"")</f>
        <v/>
      </c>
      <c r="K1680" s="52" t="str">
        <f aca="false">IF(L1680="","",E1680&amp;CHAR(10)&amp;INDEX(ポート振替表!$K$5:$K$3507,$L1680)&amp;" "&amp;INDEX(ポート振替表!$L$5:$L$3507,$L1680)&amp;CHAR(10)&amp;"⇔ "&amp;INDEX(ポート振替表!$H$5:$H$3507,$L1680)&amp;" "&amp;INDEX(ポート振替表!$I$5:$I$3507,$L1680))</f>
        <v/>
      </c>
      <c r="L1680" s="47" t="str">
        <f aca="false">IFERROR(MATCH(ROW()-4,ポート振替表!$V$5:$V$3507,0),"")</f>
        <v/>
      </c>
    </row>
    <row r="1681" customFormat="false" ht="16.4" hidden="false" customHeight="false" outlineLevel="0" collapsed="false">
      <c r="A1681" s="32" t="str">
        <f aca="false">IF(L1681="","",ROW()-4)</f>
        <v/>
      </c>
      <c r="B1681" s="58" t="str">
        <f aca="false">IF(L1681="","",IF(INDEX(ポート振替表!$W$5:$W$3507,$L1681)="","(なし)",INDEX(ポート振替表!$W$5:$W$3507,$L1681)&amp;""))</f>
        <v/>
      </c>
      <c r="C1681" s="52" t="str">
        <f aca="false">IF(L1681="","",INDEX(ポート振替表!$B$5:$B$3507,$L1681)&amp;" "&amp;INDEX(ポート振替表!$C$5:$C$3507,$L1681)&amp;"  ⇔  "&amp;INDEX(ポート振替表!$H$5:$H$3507,$L1681)&amp;" "&amp;INDEX(ポート振替表!$I$5:$I$3507,$L1681))</f>
        <v/>
      </c>
      <c r="D1681" s="57" t="s">
        <v>158</v>
      </c>
      <c r="E1681" s="59" t="str">
        <f aca="false">IF(L1681="","",IF(INDEX(ポート振替表!$O$5:$O$3507,$L1681)="","(未設定)",INDEX(ポート振替表!$O$5:$O$3507,$L1681)&amp;""))</f>
        <v/>
      </c>
      <c r="F1681" s="52" t="str">
        <f aca="false">IF(L1681="","",INDEX(ポート振替表!$K$5:$K$3507,$L1681)&amp;" "&amp;INDEX(ポート振替表!$L$5:$L$3507,$L1681)&amp;"  ⇔  "&amp;INDEX(ポート振替表!$H$5:$H$3507,$L1681)&amp;" "&amp;INDEX(ポート振替表!$I$5:$I$3507,$L1681))</f>
        <v/>
      </c>
      <c r="G1681" s="57" t="s">
        <v>158</v>
      </c>
      <c r="H1681" s="32" t="str">
        <f aca="false">IF(L1681="","",INDEX(ポート振替表!$N$5:$N$3507,$L1681)&amp;"")</f>
        <v/>
      </c>
      <c r="I1681" s="32" t="str">
        <f aca="false">IF(L1681="","",INDEX(ポート振替表!$P$5:$P$3507,$L1681)&amp;"")</f>
        <v/>
      </c>
      <c r="J1681" s="60" t="str">
        <f aca="false">IF(L1681="","",INDEX(ポート振替表!$M$5:$M$3507,$L1681)&amp;"")</f>
        <v/>
      </c>
      <c r="K1681" s="52" t="str">
        <f aca="false">IF(L1681="","",E1681&amp;CHAR(10)&amp;INDEX(ポート振替表!$K$5:$K$3507,$L1681)&amp;" "&amp;INDEX(ポート振替表!$L$5:$L$3507,$L1681)&amp;CHAR(10)&amp;"⇔ "&amp;INDEX(ポート振替表!$H$5:$H$3507,$L1681)&amp;" "&amp;INDEX(ポート振替表!$I$5:$I$3507,$L1681))</f>
        <v/>
      </c>
      <c r="L1681" s="47" t="str">
        <f aca="false">IFERROR(MATCH(ROW()-4,ポート振替表!$V$5:$V$3507,0),"")</f>
        <v/>
      </c>
    </row>
    <row r="1682" customFormat="false" ht="16.4" hidden="false" customHeight="false" outlineLevel="0" collapsed="false">
      <c r="A1682" s="32" t="str">
        <f aca="false">IF(L1682="","",ROW()-4)</f>
        <v/>
      </c>
      <c r="B1682" s="58" t="str">
        <f aca="false">IF(L1682="","",IF(INDEX(ポート振替表!$W$5:$W$3507,$L1682)="","(なし)",INDEX(ポート振替表!$W$5:$W$3507,$L1682)&amp;""))</f>
        <v/>
      </c>
      <c r="C1682" s="52" t="str">
        <f aca="false">IF(L1682="","",INDEX(ポート振替表!$B$5:$B$3507,$L1682)&amp;" "&amp;INDEX(ポート振替表!$C$5:$C$3507,$L1682)&amp;"  ⇔  "&amp;INDEX(ポート振替表!$H$5:$H$3507,$L1682)&amp;" "&amp;INDEX(ポート振替表!$I$5:$I$3507,$L1682))</f>
        <v/>
      </c>
      <c r="D1682" s="57" t="s">
        <v>158</v>
      </c>
      <c r="E1682" s="59" t="str">
        <f aca="false">IF(L1682="","",IF(INDEX(ポート振替表!$O$5:$O$3507,$L1682)="","(未設定)",INDEX(ポート振替表!$O$5:$O$3507,$L1682)&amp;""))</f>
        <v/>
      </c>
      <c r="F1682" s="52" t="str">
        <f aca="false">IF(L1682="","",INDEX(ポート振替表!$K$5:$K$3507,$L1682)&amp;" "&amp;INDEX(ポート振替表!$L$5:$L$3507,$L1682)&amp;"  ⇔  "&amp;INDEX(ポート振替表!$H$5:$H$3507,$L1682)&amp;" "&amp;INDEX(ポート振替表!$I$5:$I$3507,$L1682))</f>
        <v/>
      </c>
      <c r="G1682" s="57" t="s">
        <v>158</v>
      </c>
      <c r="H1682" s="32" t="str">
        <f aca="false">IF(L1682="","",INDEX(ポート振替表!$N$5:$N$3507,$L1682)&amp;"")</f>
        <v/>
      </c>
      <c r="I1682" s="32" t="str">
        <f aca="false">IF(L1682="","",INDEX(ポート振替表!$P$5:$P$3507,$L1682)&amp;"")</f>
        <v/>
      </c>
      <c r="J1682" s="60" t="str">
        <f aca="false">IF(L1682="","",INDEX(ポート振替表!$M$5:$M$3507,$L1682)&amp;"")</f>
        <v/>
      </c>
      <c r="K1682" s="52" t="str">
        <f aca="false">IF(L1682="","",E1682&amp;CHAR(10)&amp;INDEX(ポート振替表!$K$5:$K$3507,$L1682)&amp;" "&amp;INDEX(ポート振替表!$L$5:$L$3507,$L1682)&amp;CHAR(10)&amp;"⇔ "&amp;INDEX(ポート振替表!$H$5:$H$3507,$L1682)&amp;" "&amp;INDEX(ポート振替表!$I$5:$I$3507,$L1682))</f>
        <v/>
      </c>
      <c r="L1682" s="47" t="str">
        <f aca="false">IFERROR(MATCH(ROW()-4,ポート振替表!$V$5:$V$3507,0),"")</f>
        <v/>
      </c>
    </row>
    <row r="1683" customFormat="false" ht="16.4" hidden="false" customHeight="false" outlineLevel="0" collapsed="false">
      <c r="A1683" s="32" t="str">
        <f aca="false">IF(L1683="","",ROW()-4)</f>
        <v/>
      </c>
      <c r="B1683" s="58" t="str">
        <f aca="false">IF(L1683="","",IF(INDEX(ポート振替表!$W$5:$W$3507,$L1683)="","(なし)",INDEX(ポート振替表!$W$5:$W$3507,$L1683)&amp;""))</f>
        <v/>
      </c>
      <c r="C1683" s="52" t="str">
        <f aca="false">IF(L1683="","",INDEX(ポート振替表!$B$5:$B$3507,$L1683)&amp;" "&amp;INDEX(ポート振替表!$C$5:$C$3507,$L1683)&amp;"  ⇔  "&amp;INDEX(ポート振替表!$H$5:$H$3507,$L1683)&amp;" "&amp;INDEX(ポート振替表!$I$5:$I$3507,$L1683))</f>
        <v/>
      </c>
      <c r="D1683" s="57" t="s">
        <v>158</v>
      </c>
      <c r="E1683" s="59" t="str">
        <f aca="false">IF(L1683="","",IF(INDEX(ポート振替表!$O$5:$O$3507,$L1683)="","(未設定)",INDEX(ポート振替表!$O$5:$O$3507,$L1683)&amp;""))</f>
        <v/>
      </c>
      <c r="F1683" s="52" t="str">
        <f aca="false">IF(L1683="","",INDEX(ポート振替表!$K$5:$K$3507,$L1683)&amp;" "&amp;INDEX(ポート振替表!$L$5:$L$3507,$L1683)&amp;"  ⇔  "&amp;INDEX(ポート振替表!$H$5:$H$3507,$L1683)&amp;" "&amp;INDEX(ポート振替表!$I$5:$I$3507,$L1683))</f>
        <v/>
      </c>
      <c r="G1683" s="57" t="s">
        <v>158</v>
      </c>
      <c r="H1683" s="32" t="str">
        <f aca="false">IF(L1683="","",INDEX(ポート振替表!$N$5:$N$3507,$L1683)&amp;"")</f>
        <v/>
      </c>
      <c r="I1683" s="32" t="str">
        <f aca="false">IF(L1683="","",INDEX(ポート振替表!$P$5:$P$3507,$L1683)&amp;"")</f>
        <v/>
      </c>
      <c r="J1683" s="60" t="str">
        <f aca="false">IF(L1683="","",INDEX(ポート振替表!$M$5:$M$3507,$L1683)&amp;"")</f>
        <v/>
      </c>
      <c r="K1683" s="52" t="str">
        <f aca="false">IF(L1683="","",E1683&amp;CHAR(10)&amp;INDEX(ポート振替表!$K$5:$K$3507,$L1683)&amp;" "&amp;INDEX(ポート振替表!$L$5:$L$3507,$L1683)&amp;CHAR(10)&amp;"⇔ "&amp;INDEX(ポート振替表!$H$5:$H$3507,$L1683)&amp;" "&amp;INDEX(ポート振替表!$I$5:$I$3507,$L1683))</f>
        <v/>
      </c>
      <c r="L1683" s="47" t="str">
        <f aca="false">IFERROR(MATCH(ROW()-4,ポート振替表!$V$5:$V$3507,0),"")</f>
        <v/>
      </c>
    </row>
    <row r="1684" customFormat="false" ht="16.4" hidden="false" customHeight="false" outlineLevel="0" collapsed="false">
      <c r="A1684" s="32" t="str">
        <f aca="false">IF(L1684="","",ROW()-4)</f>
        <v/>
      </c>
      <c r="B1684" s="58" t="str">
        <f aca="false">IF(L1684="","",IF(INDEX(ポート振替表!$W$5:$W$3507,$L1684)="","(なし)",INDEX(ポート振替表!$W$5:$W$3507,$L1684)&amp;""))</f>
        <v/>
      </c>
      <c r="C1684" s="52" t="str">
        <f aca="false">IF(L1684="","",INDEX(ポート振替表!$B$5:$B$3507,$L1684)&amp;" "&amp;INDEX(ポート振替表!$C$5:$C$3507,$L1684)&amp;"  ⇔  "&amp;INDEX(ポート振替表!$H$5:$H$3507,$L1684)&amp;" "&amp;INDEX(ポート振替表!$I$5:$I$3507,$L1684))</f>
        <v/>
      </c>
      <c r="D1684" s="57" t="s">
        <v>158</v>
      </c>
      <c r="E1684" s="59" t="str">
        <f aca="false">IF(L1684="","",IF(INDEX(ポート振替表!$O$5:$O$3507,$L1684)="","(未設定)",INDEX(ポート振替表!$O$5:$O$3507,$L1684)&amp;""))</f>
        <v/>
      </c>
      <c r="F1684" s="52" t="str">
        <f aca="false">IF(L1684="","",INDEX(ポート振替表!$K$5:$K$3507,$L1684)&amp;" "&amp;INDEX(ポート振替表!$L$5:$L$3507,$L1684)&amp;"  ⇔  "&amp;INDEX(ポート振替表!$H$5:$H$3507,$L1684)&amp;" "&amp;INDEX(ポート振替表!$I$5:$I$3507,$L1684))</f>
        <v/>
      </c>
      <c r="G1684" s="57" t="s">
        <v>158</v>
      </c>
      <c r="H1684" s="32" t="str">
        <f aca="false">IF(L1684="","",INDEX(ポート振替表!$N$5:$N$3507,$L1684)&amp;"")</f>
        <v/>
      </c>
      <c r="I1684" s="32" t="str">
        <f aca="false">IF(L1684="","",INDEX(ポート振替表!$P$5:$P$3507,$L1684)&amp;"")</f>
        <v/>
      </c>
      <c r="J1684" s="60" t="str">
        <f aca="false">IF(L1684="","",INDEX(ポート振替表!$M$5:$M$3507,$L1684)&amp;"")</f>
        <v/>
      </c>
      <c r="K1684" s="52" t="str">
        <f aca="false">IF(L1684="","",E1684&amp;CHAR(10)&amp;INDEX(ポート振替表!$K$5:$K$3507,$L1684)&amp;" "&amp;INDEX(ポート振替表!$L$5:$L$3507,$L1684)&amp;CHAR(10)&amp;"⇔ "&amp;INDEX(ポート振替表!$H$5:$H$3507,$L1684)&amp;" "&amp;INDEX(ポート振替表!$I$5:$I$3507,$L1684))</f>
        <v/>
      </c>
      <c r="L1684" s="47" t="str">
        <f aca="false">IFERROR(MATCH(ROW()-4,ポート振替表!$V$5:$V$3507,0),"")</f>
        <v/>
      </c>
    </row>
    <row r="1685" customFormat="false" ht="16.4" hidden="false" customHeight="false" outlineLevel="0" collapsed="false">
      <c r="A1685" s="32" t="str">
        <f aca="false">IF(L1685="","",ROW()-4)</f>
        <v/>
      </c>
      <c r="B1685" s="58" t="str">
        <f aca="false">IF(L1685="","",IF(INDEX(ポート振替表!$W$5:$W$3507,$L1685)="","(なし)",INDEX(ポート振替表!$W$5:$W$3507,$L1685)&amp;""))</f>
        <v/>
      </c>
      <c r="C1685" s="52" t="str">
        <f aca="false">IF(L1685="","",INDEX(ポート振替表!$B$5:$B$3507,$L1685)&amp;" "&amp;INDEX(ポート振替表!$C$5:$C$3507,$L1685)&amp;"  ⇔  "&amp;INDEX(ポート振替表!$H$5:$H$3507,$L1685)&amp;" "&amp;INDEX(ポート振替表!$I$5:$I$3507,$L1685))</f>
        <v/>
      </c>
      <c r="D1685" s="57" t="s">
        <v>158</v>
      </c>
      <c r="E1685" s="59" t="str">
        <f aca="false">IF(L1685="","",IF(INDEX(ポート振替表!$O$5:$O$3507,$L1685)="","(未設定)",INDEX(ポート振替表!$O$5:$O$3507,$L1685)&amp;""))</f>
        <v/>
      </c>
      <c r="F1685" s="52" t="str">
        <f aca="false">IF(L1685="","",INDEX(ポート振替表!$K$5:$K$3507,$L1685)&amp;" "&amp;INDEX(ポート振替表!$L$5:$L$3507,$L1685)&amp;"  ⇔  "&amp;INDEX(ポート振替表!$H$5:$H$3507,$L1685)&amp;" "&amp;INDEX(ポート振替表!$I$5:$I$3507,$L1685))</f>
        <v/>
      </c>
      <c r="G1685" s="57" t="s">
        <v>158</v>
      </c>
      <c r="H1685" s="32" t="str">
        <f aca="false">IF(L1685="","",INDEX(ポート振替表!$N$5:$N$3507,$L1685)&amp;"")</f>
        <v/>
      </c>
      <c r="I1685" s="32" t="str">
        <f aca="false">IF(L1685="","",INDEX(ポート振替表!$P$5:$P$3507,$L1685)&amp;"")</f>
        <v/>
      </c>
      <c r="J1685" s="60" t="str">
        <f aca="false">IF(L1685="","",INDEX(ポート振替表!$M$5:$M$3507,$L1685)&amp;"")</f>
        <v/>
      </c>
      <c r="K1685" s="52" t="str">
        <f aca="false">IF(L1685="","",E1685&amp;CHAR(10)&amp;INDEX(ポート振替表!$K$5:$K$3507,$L1685)&amp;" "&amp;INDEX(ポート振替表!$L$5:$L$3507,$L1685)&amp;CHAR(10)&amp;"⇔ "&amp;INDEX(ポート振替表!$H$5:$H$3507,$L1685)&amp;" "&amp;INDEX(ポート振替表!$I$5:$I$3507,$L1685))</f>
        <v/>
      </c>
      <c r="L1685" s="47" t="str">
        <f aca="false">IFERROR(MATCH(ROW()-4,ポート振替表!$V$5:$V$3507,0),"")</f>
        <v/>
      </c>
    </row>
    <row r="1686" customFormat="false" ht="16.4" hidden="false" customHeight="false" outlineLevel="0" collapsed="false">
      <c r="A1686" s="32" t="str">
        <f aca="false">IF(L1686="","",ROW()-4)</f>
        <v/>
      </c>
      <c r="B1686" s="58" t="str">
        <f aca="false">IF(L1686="","",IF(INDEX(ポート振替表!$W$5:$W$3507,$L1686)="","(なし)",INDEX(ポート振替表!$W$5:$W$3507,$L1686)&amp;""))</f>
        <v/>
      </c>
      <c r="C1686" s="52" t="str">
        <f aca="false">IF(L1686="","",INDEX(ポート振替表!$B$5:$B$3507,$L1686)&amp;" "&amp;INDEX(ポート振替表!$C$5:$C$3507,$L1686)&amp;"  ⇔  "&amp;INDEX(ポート振替表!$H$5:$H$3507,$L1686)&amp;" "&amp;INDEX(ポート振替表!$I$5:$I$3507,$L1686))</f>
        <v/>
      </c>
      <c r="D1686" s="57" t="s">
        <v>158</v>
      </c>
      <c r="E1686" s="59" t="str">
        <f aca="false">IF(L1686="","",IF(INDEX(ポート振替表!$O$5:$O$3507,$L1686)="","(未設定)",INDEX(ポート振替表!$O$5:$O$3507,$L1686)&amp;""))</f>
        <v/>
      </c>
      <c r="F1686" s="52" t="str">
        <f aca="false">IF(L1686="","",INDEX(ポート振替表!$K$5:$K$3507,$L1686)&amp;" "&amp;INDEX(ポート振替表!$L$5:$L$3507,$L1686)&amp;"  ⇔  "&amp;INDEX(ポート振替表!$H$5:$H$3507,$L1686)&amp;" "&amp;INDEX(ポート振替表!$I$5:$I$3507,$L1686))</f>
        <v/>
      </c>
      <c r="G1686" s="57" t="s">
        <v>158</v>
      </c>
      <c r="H1686" s="32" t="str">
        <f aca="false">IF(L1686="","",INDEX(ポート振替表!$N$5:$N$3507,$L1686)&amp;"")</f>
        <v/>
      </c>
      <c r="I1686" s="32" t="str">
        <f aca="false">IF(L1686="","",INDEX(ポート振替表!$P$5:$P$3507,$L1686)&amp;"")</f>
        <v/>
      </c>
      <c r="J1686" s="60" t="str">
        <f aca="false">IF(L1686="","",INDEX(ポート振替表!$M$5:$M$3507,$L1686)&amp;"")</f>
        <v/>
      </c>
      <c r="K1686" s="52" t="str">
        <f aca="false">IF(L1686="","",E1686&amp;CHAR(10)&amp;INDEX(ポート振替表!$K$5:$K$3507,$L1686)&amp;" "&amp;INDEX(ポート振替表!$L$5:$L$3507,$L1686)&amp;CHAR(10)&amp;"⇔ "&amp;INDEX(ポート振替表!$H$5:$H$3507,$L1686)&amp;" "&amp;INDEX(ポート振替表!$I$5:$I$3507,$L1686))</f>
        <v/>
      </c>
      <c r="L1686" s="47" t="str">
        <f aca="false">IFERROR(MATCH(ROW()-4,ポート振替表!$V$5:$V$3507,0),"")</f>
        <v/>
      </c>
    </row>
    <row r="1687" customFormat="false" ht="16.4" hidden="false" customHeight="false" outlineLevel="0" collapsed="false">
      <c r="A1687" s="32" t="str">
        <f aca="false">IF(L1687="","",ROW()-4)</f>
        <v/>
      </c>
      <c r="B1687" s="58" t="str">
        <f aca="false">IF(L1687="","",IF(INDEX(ポート振替表!$W$5:$W$3507,$L1687)="","(なし)",INDEX(ポート振替表!$W$5:$W$3507,$L1687)&amp;""))</f>
        <v/>
      </c>
      <c r="C1687" s="52" t="str">
        <f aca="false">IF(L1687="","",INDEX(ポート振替表!$B$5:$B$3507,$L1687)&amp;" "&amp;INDEX(ポート振替表!$C$5:$C$3507,$L1687)&amp;"  ⇔  "&amp;INDEX(ポート振替表!$H$5:$H$3507,$L1687)&amp;" "&amp;INDEX(ポート振替表!$I$5:$I$3507,$L1687))</f>
        <v/>
      </c>
      <c r="D1687" s="57" t="s">
        <v>158</v>
      </c>
      <c r="E1687" s="59" t="str">
        <f aca="false">IF(L1687="","",IF(INDEX(ポート振替表!$O$5:$O$3507,$L1687)="","(未設定)",INDEX(ポート振替表!$O$5:$O$3507,$L1687)&amp;""))</f>
        <v/>
      </c>
      <c r="F1687" s="52" t="str">
        <f aca="false">IF(L1687="","",INDEX(ポート振替表!$K$5:$K$3507,$L1687)&amp;" "&amp;INDEX(ポート振替表!$L$5:$L$3507,$L1687)&amp;"  ⇔  "&amp;INDEX(ポート振替表!$H$5:$H$3507,$L1687)&amp;" "&amp;INDEX(ポート振替表!$I$5:$I$3507,$L1687))</f>
        <v/>
      </c>
      <c r="G1687" s="57" t="s">
        <v>158</v>
      </c>
      <c r="H1687" s="32" t="str">
        <f aca="false">IF(L1687="","",INDEX(ポート振替表!$N$5:$N$3507,$L1687)&amp;"")</f>
        <v/>
      </c>
      <c r="I1687" s="32" t="str">
        <f aca="false">IF(L1687="","",INDEX(ポート振替表!$P$5:$P$3507,$L1687)&amp;"")</f>
        <v/>
      </c>
      <c r="J1687" s="60" t="str">
        <f aca="false">IF(L1687="","",INDEX(ポート振替表!$M$5:$M$3507,$L1687)&amp;"")</f>
        <v/>
      </c>
      <c r="K1687" s="52" t="str">
        <f aca="false">IF(L1687="","",E1687&amp;CHAR(10)&amp;INDEX(ポート振替表!$K$5:$K$3507,$L1687)&amp;" "&amp;INDEX(ポート振替表!$L$5:$L$3507,$L1687)&amp;CHAR(10)&amp;"⇔ "&amp;INDEX(ポート振替表!$H$5:$H$3507,$L1687)&amp;" "&amp;INDEX(ポート振替表!$I$5:$I$3507,$L1687))</f>
        <v/>
      </c>
      <c r="L1687" s="47" t="str">
        <f aca="false">IFERROR(MATCH(ROW()-4,ポート振替表!$V$5:$V$3507,0),"")</f>
        <v/>
      </c>
    </row>
    <row r="1688" customFormat="false" ht="16.4" hidden="false" customHeight="false" outlineLevel="0" collapsed="false">
      <c r="A1688" s="32" t="str">
        <f aca="false">IF(L1688="","",ROW()-4)</f>
        <v/>
      </c>
      <c r="B1688" s="58" t="str">
        <f aca="false">IF(L1688="","",IF(INDEX(ポート振替表!$W$5:$W$3507,$L1688)="","(なし)",INDEX(ポート振替表!$W$5:$W$3507,$L1688)&amp;""))</f>
        <v/>
      </c>
      <c r="C1688" s="52" t="str">
        <f aca="false">IF(L1688="","",INDEX(ポート振替表!$B$5:$B$3507,$L1688)&amp;" "&amp;INDEX(ポート振替表!$C$5:$C$3507,$L1688)&amp;"  ⇔  "&amp;INDEX(ポート振替表!$H$5:$H$3507,$L1688)&amp;" "&amp;INDEX(ポート振替表!$I$5:$I$3507,$L1688))</f>
        <v/>
      </c>
      <c r="D1688" s="57" t="s">
        <v>158</v>
      </c>
      <c r="E1688" s="59" t="str">
        <f aca="false">IF(L1688="","",IF(INDEX(ポート振替表!$O$5:$O$3507,$L1688)="","(未設定)",INDEX(ポート振替表!$O$5:$O$3507,$L1688)&amp;""))</f>
        <v/>
      </c>
      <c r="F1688" s="52" t="str">
        <f aca="false">IF(L1688="","",INDEX(ポート振替表!$K$5:$K$3507,$L1688)&amp;" "&amp;INDEX(ポート振替表!$L$5:$L$3507,$L1688)&amp;"  ⇔  "&amp;INDEX(ポート振替表!$H$5:$H$3507,$L1688)&amp;" "&amp;INDEX(ポート振替表!$I$5:$I$3507,$L1688))</f>
        <v/>
      </c>
      <c r="G1688" s="57" t="s">
        <v>158</v>
      </c>
      <c r="H1688" s="32" t="str">
        <f aca="false">IF(L1688="","",INDEX(ポート振替表!$N$5:$N$3507,$L1688)&amp;"")</f>
        <v/>
      </c>
      <c r="I1688" s="32" t="str">
        <f aca="false">IF(L1688="","",INDEX(ポート振替表!$P$5:$P$3507,$L1688)&amp;"")</f>
        <v/>
      </c>
      <c r="J1688" s="60" t="str">
        <f aca="false">IF(L1688="","",INDEX(ポート振替表!$M$5:$M$3507,$L1688)&amp;"")</f>
        <v/>
      </c>
      <c r="K1688" s="52" t="str">
        <f aca="false">IF(L1688="","",E1688&amp;CHAR(10)&amp;INDEX(ポート振替表!$K$5:$K$3507,$L1688)&amp;" "&amp;INDEX(ポート振替表!$L$5:$L$3507,$L1688)&amp;CHAR(10)&amp;"⇔ "&amp;INDEX(ポート振替表!$H$5:$H$3507,$L1688)&amp;" "&amp;INDEX(ポート振替表!$I$5:$I$3507,$L1688))</f>
        <v/>
      </c>
      <c r="L1688" s="47" t="str">
        <f aca="false">IFERROR(MATCH(ROW()-4,ポート振替表!$V$5:$V$3507,0),"")</f>
        <v/>
      </c>
    </row>
    <row r="1689" customFormat="false" ht="16.4" hidden="false" customHeight="false" outlineLevel="0" collapsed="false">
      <c r="A1689" s="32" t="str">
        <f aca="false">IF(L1689="","",ROW()-4)</f>
        <v/>
      </c>
      <c r="B1689" s="58" t="str">
        <f aca="false">IF(L1689="","",IF(INDEX(ポート振替表!$W$5:$W$3507,$L1689)="","(なし)",INDEX(ポート振替表!$W$5:$W$3507,$L1689)&amp;""))</f>
        <v/>
      </c>
      <c r="C1689" s="52" t="str">
        <f aca="false">IF(L1689="","",INDEX(ポート振替表!$B$5:$B$3507,$L1689)&amp;" "&amp;INDEX(ポート振替表!$C$5:$C$3507,$L1689)&amp;"  ⇔  "&amp;INDEX(ポート振替表!$H$5:$H$3507,$L1689)&amp;" "&amp;INDEX(ポート振替表!$I$5:$I$3507,$L1689))</f>
        <v/>
      </c>
      <c r="D1689" s="57" t="s">
        <v>158</v>
      </c>
      <c r="E1689" s="59" t="str">
        <f aca="false">IF(L1689="","",IF(INDEX(ポート振替表!$O$5:$O$3507,$L1689)="","(未設定)",INDEX(ポート振替表!$O$5:$O$3507,$L1689)&amp;""))</f>
        <v/>
      </c>
      <c r="F1689" s="52" t="str">
        <f aca="false">IF(L1689="","",INDEX(ポート振替表!$K$5:$K$3507,$L1689)&amp;" "&amp;INDEX(ポート振替表!$L$5:$L$3507,$L1689)&amp;"  ⇔  "&amp;INDEX(ポート振替表!$H$5:$H$3507,$L1689)&amp;" "&amp;INDEX(ポート振替表!$I$5:$I$3507,$L1689))</f>
        <v/>
      </c>
      <c r="G1689" s="57" t="s">
        <v>158</v>
      </c>
      <c r="H1689" s="32" t="str">
        <f aca="false">IF(L1689="","",INDEX(ポート振替表!$N$5:$N$3507,$L1689)&amp;"")</f>
        <v/>
      </c>
      <c r="I1689" s="32" t="str">
        <f aca="false">IF(L1689="","",INDEX(ポート振替表!$P$5:$P$3507,$L1689)&amp;"")</f>
        <v/>
      </c>
      <c r="J1689" s="60" t="str">
        <f aca="false">IF(L1689="","",INDEX(ポート振替表!$M$5:$M$3507,$L1689)&amp;"")</f>
        <v/>
      </c>
      <c r="K1689" s="52" t="str">
        <f aca="false">IF(L1689="","",E1689&amp;CHAR(10)&amp;INDEX(ポート振替表!$K$5:$K$3507,$L1689)&amp;" "&amp;INDEX(ポート振替表!$L$5:$L$3507,$L1689)&amp;CHAR(10)&amp;"⇔ "&amp;INDEX(ポート振替表!$H$5:$H$3507,$L1689)&amp;" "&amp;INDEX(ポート振替表!$I$5:$I$3507,$L1689))</f>
        <v/>
      </c>
      <c r="L1689" s="47" t="str">
        <f aca="false">IFERROR(MATCH(ROW()-4,ポート振替表!$V$5:$V$3507,0),"")</f>
        <v/>
      </c>
    </row>
    <row r="1690" customFormat="false" ht="16.4" hidden="false" customHeight="false" outlineLevel="0" collapsed="false">
      <c r="A1690" s="32" t="str">
        <f aca="false">IF(L1690="","",ROW()-4)</f>
        <v/>
      </c>
      <c r="B1690" s="58" t="str">
        <f aca="false">IF(L1690="","",IF(INDEX(ポート振替表!$W$5:$W$3507,$L1690)="","(なし)",INDEX(ポート振替表!$W$5:$W$3507,$L1690)&amp;""))</f>
        <v/>
      </c>
      <c r="C1690" s="52" t="str">
        <f aca="false">IF(L1690="","",INDEX(ポート振替表!$B$5:$B$3507,$L1690)&amp;" "&amp;INDEX(ポート振替表!$C$5:$C$3507,$L1690)&amp;"  ⇔  "&amp;INDEX(ポート振替表!$H$5:$H$3507,$L1690)&amp;" "&amp;INDEX(ポート振替表!$I$5:$I$3507,$L1690))</f>
        <v/>
      </c>
      <c r="D1690" s="57" t="s">
        <v>158</v>
      </c>
      <c r="E1690" s="59" t="str">
        <f aca="false">IF(L1690="","",IF(INDEX(ポート振替表!$O$5:$O$3507,$L1690)="","(未設定)",INDEX(ポート振替表!$O$5:$O$3507,$L1690)&amp;""))</f>
        <v/>
      </c>
      <c r="F1690" s="52" t="str">
        <f aca="false">IF(L1690="","",INDEX(ポート振替表!$K$5:$K$3507,$L1690)&amp;" "&amp;INDEX(ポート振替表!$L$5:$L$3507,$L1690)&amp;"  ⇔  "&amp;INDEX(ポート振替表!$H$5:$H$3507,$L1690)&amp;" "&amp;INDEX(ポート振替表!$I$5:$I$3507,$L1690))</f>
        <v/>
      </c>
      <c r="G1690" s="57" t="s">
        <v>158</v>
      </c>
      <c r="H1690" s="32" t="str">
        <f aca="false">IF(L1690="","",INDEX(ポート振替表!$N$5:$N$3507,$L1690)&amp;"")</f>
        <v/>
      </c>
      <c r="I1690" s="32" t="str">
        <f aca="false">IF(L1690="","",INDEX(ポート振替表!$P$5:$P$3507,$L1690)&amp;"")</f>
        <v/>
      </c>
      <c r="J1690" s="60" t="str">
        <f aca="false">IF(L1690="","",INDEX(ポート振替表!$M$5:$M$3507,$L1690)&amp;"")</f>
        <v/>
      </c>
      <c r="K1690" s="52" t="str">
        <f aca="false">IF(L1690="","",E1690&amp;CHAR(10)&amp;INDEX(ポート振替表!$K$5:$K$3507,$L1690)&amp;" "&amp;INDEX(ポート振替表!$L$5:$L$3507,$L1690)&amp;CHAR(10)&amp;"⇔ "&amp;INDEX(ポート振替表!$H$5:$H$3507,$L1690)&amp;" "&amp;INDEX(ポート振替表!$I$5:$I$3507,$L1690))</f>
        <v/>
      </c>
      <c r="L1690" s="47" t="str">
        <f aca="false">IFERROR(MATCH(ROW()-4,ポート振替表!$V$5:$V$3507,0),"")</f>
        <v/>
      </c>
    </row>
    <row r="1691" customFormat="false" ht="16.4" hidden="false" customHeight="false" outlineLevel="0" collapsed="false">
      <c r="A1691" s="32" t="str">
        <f aca="false">IF(L1691="","",ROW()-4)</f>
        <v/>
      </c>
      <c r="B1691" s="58" t="str">
        <f aca="false">IF(L1691="","",IF(INDEX(ポート振替表!$W$5:$W$3507,$L1691)="","(なし)",INDEX(ポート振替表!$W$5:$W$3507,$L1691)&amp;""))</f>
        <v/>
      </c>
      <c r="C1691" s="52" t="str">
        <f aca="false">IF(L1691="","",INDEX(ポート振替表!$B$5:$B$3507,$L1691)&amp;" "&amp;INDEX(ポート振替表!$C$5:$C$3507,$L1691)&amp;"  ⇔  "&amp;INDEX(ポート振替表!$H$5:$H$3507,$L1691)&amp;" "&amp;INDEX(ポート振替表!$I$5:$I$3507,$L1691))</f>
        <v/>
      </c>
      <c r="D1691" s="57" t="s">
        <v>158</v>
      </c>
      <c r="E1691" s="59" t="str">
        <f aca="false">IF(L1691="","",IF(INDEX(ポート振替表!$O$5:$O$3507,$L1691)="","(未設定)",INDEX(ポート振替表!$O$5:$O$3507,$L1691)&amp;""))</f>
        <v/>
      </c>
      <c r="F1691" s="52" t="str">
        <f aca="false">IF(L1691="","",INDEX(ポート振替表!$K$5:$K$3507,$L1691)&amp;" "&amp;INDEX(ポート振替表!$L$5:$L$3507,$L1691)&amp;"  ⇔  "&amp;INDEX(ポート振替表!$H$5:$H$3507,$L1691)&amp;" "&amp;INDEX(ポート振替表!$I$5:$I$3507,$L1691))</f>
        <v/>
      </c>
      <c r="G1691" s="57" t="s">
        <v>158</v>
      </c>
      <c r="H1691" s="32" t="str">
        <f aca="false">IF(L1691="","",INDEX(ポート振替表!$N$5:$N$3507,$L1691)&amp;"")</f>
        <v/>
      </c>
      <c r="I1691" s="32" t="str">
        <f aca="false">IF(L1691="","",INDEX(ポート振替表!$P$5:$P$3507,$L1691)&amp;"")</f>
        <v/>
      </c>
      <c r="J1691" s="60" t="str">
        <f aca="false">IF(L1691="","",INDEX(ポート振替表!$M$5:$M$3507,$L1691)&amp;"")</f>
        <v/>
      </c>
      <c r="K1691" s="52" t="str">
        <f aca="false">IF(L1691="","",E1691&amp;CHAR(10)&amp;INDEX(ポート振替表!$K$5:$K$3507,$L1691)&amp;" "&amp;INDEX(ポート振替表!$L$5:$L$3507,$L1691)&amp;CHAR(10)&amp;"⇔ "&amp;INDEX(ポート振替表!$H$5:$H$3507,$L1691)&amp;" "&amp;INDEX(ポート振替表!$I$5:$I$3507,$L1691))</f>
        <v/>
      </c>
      <c r="L1691" s="47" t="str">
        <f aca="false">IFERROR(MATCH(ROW()-4,ポート振替表!$V$5:$V$3507,0),"")</f>
        <v/>
      </c>
    </row>
    <row r="1692" customFormat="false" ht="16.4" hidden="false" customHeight="false" outlineLevel="0" collapsed="false">
      <c r="A1692" s="32" t="str">
        <f aca="false">IF(L1692="","",ROW()-4)</f>
        <v/>
      </c>
      <c r="B1692" s="58" t="str">
        <f aca="false">IF(L1692="","",IF(INDEX(ポート振替表!$W$5:$W$3507,$L1692)="","(なし)",INDEX(ポート振替表!$W$5:$W$3507,$L1692)&amp;""))</f>
        <v/>
      </c>
      <c r="C1692" s="52" t="str">
        <f aca="false">IF(L1692="","",INDEX(ポート振替表!$B$5:$B$3507,$L1692)&amp;" "&amp;INDEX(ポート振替表!$C$5:$C$3507,$L1692)&amp;"  ⇔  "&amp;INDEX(ポート振替表!$H$5:$H$3507,$L1692)&amp;" "&amp;INDEX(ポート振替表!$I$5:$I$3507,$L1692))</f>
        <v/>
      </c>
      <c r="D1692" s="57" t="s">
        <v>158</v>
      </c>
      <c r="E1692" s="59" t="str">
        <f aca="false">IF(L1692="","",IF(INDEX(ポート振替表!$O$5:$O$3507,$L1692)="","(未設定)",INDEX(ポート振替表!$O$5:$O$3507,$L1692)&amp;""))</f>
        <v/>
      </c>
      <c r="F1692" s="52" t="str">
        <f aca="false">IF(L1692="","",INDEX(ポート振替表!$K$5:$K$3507,$L1692)&amp;" "&amp;INDEX(ポート振替表!$L$5:$L$3507,$L1692)&amp;"  ⇔  "&amp;INDEX(ポート振替表!$H$5:$H$3507,$L1692)&amp;" "&amp;INDEX(ポート振替表!$I$5:$I$3507,$L1692))</f>
        <v/>
      </c>
      <c r="G1692" s="57" t="s">
        <v>158</v>
      </c>
      <c r="H1692" s="32" t="str">
        <f aca="false">IF(L1692="","",INDEX(ポート振替表!$N$5:$N$3507,$L1692)&amp;"")</f>
        <v/>
      </c>
      <c r="I1692" s="32" t="str">
        <f aca="false">IF(L1692="","",INDEX(ポート振替表!$P$5:$P$3507,$L1692)&amp;"")</f>
        <v/>
      </c>
      <c r="J1692" s="60" t="str">
        <f aca="false">IF(L1692="","",INDEX(ポート振替表!$M$5:$M$3507,$L1692)&amp;"")</f>
        <v/>
      </c>
      <c r="K1692" s="52" t="str">
        <f aca="false">IF(L1692="","",E1692&amp;CHAR(10)&amp;INDEX(ポート振替表!$K$5:$K$3507,$L1692)&amp;" "&amp;INDEX(ポート振替表!$L$5:$L$3507,$L1692)&amp;CHAR(10)&amp;"⇔ "&amp;INDEX(ポート振替表!$H$5:$H$3507,$L1692)&amp;" "&amp;INDEX(ポート振替表!$I$5:$I$3507,$L1692))</f>
        <v/>
      </c>
      <c r="L1692" s="47" t="str">
        <f aca="false">IFERROR(MATCH(ROW()-4,ポート振替表!$V$5:$V$3507,0),"")</f>
        <v/>
      </c>
    </row>
    <row r="1693" customFormat="false" ht="16.4" hidden="false" customHeight="false" outlineLevel="0" collapsed="false">
      <c r="A1693" s="32" t="str">
        <f aca="false">IF(L1693="","",ROW()-4)</f>
        <v/>
      </c>
      <c r="B1693" s="58" t="str">
        <f aca="false">IF(L1693="","",IF(INDEX(ポート振替表!$W$5:$W$3507,$L1693)="","(なし)",INDEX(ポート振替表!$W$5:$W$3507,$L1693)&amp;""))</f>
        <v/>
      </c>
      <c r="C1693" s="52" t="str">
        <f aca="false">IF(L1693="","",INDEX(ポート振替表!$B$5:$B$3507,$L1693)&amp;" "&amp;INDEX(ポート振替表!$C$5:$C$3507,$L1693)&amp;"  ⇔  "&amp;INDEX(ポート振替表!$H$5:$H$3507,$L1693)&amp;" "&amp;INDEX(ポート振替表!$I$5:$I$3507,$L1693))</f>
        <v/>
      </c>
      <c r="D1693" s="57" t="s">
        <v>158</v>
      </c>
      <c r="E1693" s="59" t="str">
        <f aca="false">IF(L1693="","",IF(INDEX(ポート振替表!$O$5:$O$3507,$L1693)="","(未設定)",INDEX(ポート振替表!$O$5:$O$3507,$L1693)&amp;""))</f>
        <v/>
      </c>
      <c r="F1693" s="52" t="str">
        <f aca="false">IF(L1693="","",INDEX(ポート振替表!$K$5:$K$3507,$L1693)&amp;" "&amp;INDEX(ポート振替表!$L$5:$L$3507,$L1693)&amp;"  ⇔  "&amp;INDEX(ポート振替表!$H$5:$H$3507,$L1693)&amp;" "&amp;INDEX(ポート振替表!$I$5:$I$3507,$L1693))</f>
        <v/>
      </c>
      <c r="G1693" s="57" t="s">
        <v>158</v>
      </c>
      <c r="H1693" s="32" t="str">
        <f aca="false">IF(L1693="","",INDEX(ポート振替表!$N$5:$N$3507,$L1693)&amp;"")</f>
        <v/>
      </c>
      <c r="I1693" s="32" t="str">
        <f aca="false">IF(L1693="","",INDEX(ポート振替表!$P$5:$P$3507,$L1693)&amp;"")</f>
        <v/>
      </c>
      <c r="J1693" s="60" t="str">
        <f aca="false">IF(L1693="","",INDEX(ポート振替表!$M$5:$M$3507,$L1693)&amp;"")</f>
        <v/>
      </c>
      <c r="K1693" s="52" t="str">
        <f aca="false">IF(L1693="","",E1693&amp;CHAR(10)&amp;INDEX(ポート振替表!$K$5:$K$3507,$L1693)&amp;" "&amp;INDEX(ポート振替表!$L$5:$L$3507,$L1693)&amp;CHAR(10)&amp;"⇔ "&amp;INDEX(ポート振替表!$H$5:$H$3507,$L1693)&amp;" "&amp;INDEX(ポート振替表!$I$5:$I$3507,$L1693))</f>
        <v/>
      </c>
      <c r="L1693" s="47" t="str">
        <f aca="false">IFERROR(MATCH(ROW()-4,ポート振替表!$V$5:$V$3507,0),"")</f>
        <v/>
      </c>
    </row>
    <row r="1694" customFormat="false" ht="16.4" hidden="false" customHeight="false" outlineLevel="0" collapsed="false">
      <c r="A1694" s="32" t="str">
        <f aca="false">IF(L1694="","",ROW()-4)</f>
        <v/>
      </c>
      <c r="B1694" s="58" t="str">
        <f aca="false">IF(L1694="","",IF(INDEX(ポート振替表!$W$5:$W$3507,$L1694)="","(なし)",INDEX(ポート振替表!$W$5:$W$3507,$L1694)&amp;""))</f>
        <v/>
      </c>
      <c r="C1694" s="52" t="str">
        <f aca="false">IF(L1694="","",INDEX(ポート振替表!$B$5:$B$3507,$L1694)&amp;" "&amp;INDEX(ポート振替表!$C$5:$C$3507,$L1694)&amp;"  ⇔  "&amp;INDEX(ポート振替表!$H$5:$H$3507,$L1694)&amp;" "&amp;INDEX(ポート振替表!$I$5:$I$3507,$L1694))</f>
        <v/>
      </c>
      <c r="D1694" s="57" t="s">
        <v>158</v>
      </c>
      <c r="E1694" s="59" t="str">
        <f aca="false">IF(L1694="","",IF(INDEX(ポート振替表!$O$5:$O$3507,$L1694)="","(未設定)",INDEX(ポート振替表!$O$5:$O$3507,$L1694)&amp;""))</f>
        <v/>
      </c>
      <c r="F1694" s="52" t="str">
        <f aca="false">IF(L1694="","",INDEX(ポート振替表!$K$5:$K$3507,$L1694)&amp;" "&amp;INDEX(ポート振替表!$L$5:$L$3507,$L1694)&amp;"  ⇔  "&amp;INDEX(ポート振替表!$H$5:$H$3507,$L1694)&amp;" "&amp;INDEX(ポート振替表!$I$5:$I$3507,$L1694))</f>
        <v/>
      </c>
      <c r="G1694" s="57" t="s">
        <v>158</v>
      </c>
      <c r="H1694" s="32" t="str">
        <f aca="false">IF(L1694="","",INDEX(ポート振替表!$N$5:$N$3507,$L1694)&amp;"")</f>
        <v/>
      </c>
      <c r="I1694" s="32" t="str">
        <f aca="false">IF(L1694="","",INDEX(ポート振替表!$P$5:$P$3507,$L1694)&amp;"")</f>
        <v/>
      </c>
      <c r="J1694" s="60" t="str">
        <f aca="false">IF(L1694="","",INDEX(ポート振替表!$M$5:$M$3507,$L1694)&amp;"")</f>
        <v/>
      </c>
      <c r="K1694" s="52" t="str">
        <f aca="false">IF(L1694="","",E1694&amp;CHAR(10)&amp;INDEX(ポート振替表!$K$5:$K$3507,$L1694)&amp;" "&amp;INDEX(ポート振替表!$L$5:$L$3507,$L1694)&amp;CHAR(10)&amp;"⇔ "&amp;INDEX(ポート振替表!$H$5:$H$3507,$L1694)&amp;" "&amp;INDEX(ポート振替表!$I$5:$I$3507,$L1694))</f>
        <v/>
      </c>
      <c r="L1694" s="47" t="str">
        <f aca="false">IFERROR(MATCH(ROW()-4,ポート振替表!$V$5:$V$3507,0),"")</f>
        <v/>
      </c>
    </row>
    <row r="1695" customFormat="false" ht="16.4" hidden="false" customHeight="false" outlineLevel="0" collapsed="false">
      <c r="A1695" s="32" t="str">
        <f aca="false">IF(L1695="","",ROW()-4)</f>
        <v/>
      </c>
      <c r="B1695" s="58" t="str">
        <f aca="false">IF(L1695="","",IF(INDEX(ポート振替表!$W$5:$W$3507,$L1695)="","(なし)",INDEX(ポート振替表!$W$5:$W$3507,$L1695)&amp;""))</f>
        <v/>
      </c>
      <c r="C1695" s="52" t="str">
        <f aca="false">IF(L1695="","",INDEX(ポート振替表!$B$5:$B$3507,$L1695)&amp;" "&amp;INDEX(ポート振替表!$C$5:$C$3507,$L1695)&amp;"  ⇔  "&amp;INDEX(ポート振替表!$H$5:$H$3507,$L1695)&amp;" "&amp;INDEX(ポート振替表!$I$5:$I$3507,$L1695))</f>
        <v/>
      </c>
      <c r="D1695" s="57" t="s">
        <v>158</v>
      </c>
      <c r="E1695" s="59" t="str">
        <f aca="false">IF(L1695="","",IF(INDEX(ポート振替表!$O$5:$O$3507,$L1695)="","(未設定)",INDEX(ポート振替表!$O$5:$O$3507,$L1695)&amp;""))</f>
        <v/>
      </c>
      <c r="F1695" s="52" t="str">
        <f aca="false">IF(L1695="","",INDEX(ポート振替表!$K$5:$K$3507,$L1695)&amp;" "&amp;INDEX(ポート振替表!$L$5:$L$3507,$L1695)&amp;"  ⇔  "&amp;INDEX(ポート振替表!$H$5:$H$3507,$L1695)&amp;" "&amp;INDEX(ポート振替表!$I$5:$I$3507,$L1695))</f>
        <v/>
      </c>
      <c r="G1695" s="57" t="s">
        <v>158</v>
      </c>
      <c r="H1695" s="32" t="str">
        <f aca="false">IF(L1695="","",INDEX(ポート振替表!$N$5:$N$3507,$L1695)&amp;"")</f>
        <v/>
      </c>
      <c r="I1695" s="32" t="str">
        <f aca="false">IF(L1695="","",INDEX(ポート振替表!$P$5:$P$3507,$L1695)&amp;"")</f>
        <v/>
      </c>
      <c r="J1695" s="60" t="str">
        <f aca="false">IF(L1695="","",INDEX(ポート振替表!$M$5:$M$3507,$L1695)&amp;"")</f>
        <v/>
      </c>
      <c r="K1695" s="52" t="str">
        <f aca="false">IF(L1695="","",E1695&amp;CHAR(10)&amp;INDEX(ポート振替表!$K$5:$K$3507,$L1695)&amp;" "&amp;INDEX(ポート振替表!$L$5:$L$3507,$L1695)&amp;CHAR(10)&amp;"⇔ "&amp;INDEX(ポート振替表!$H$5:$H$3507,$L1695)&amp;" "&amp;INDEX(ポート振替表!$I$5:$I$3507,$L1695))</f>
        <v/>
      </c>
      <c r="L1695" s="47" t="str">
        <f aca="false">IFERROR(MATCH(ROW()-4,ポート振替表!$V$5:$V$3507,0),"")</f>
        <v/>
      </c>
    </row>
    <row r="1696" customFormat="false" ht="16.4" hidden="false" customHeight="false" outlineLevel="0" collapsed="false">
      <c r="A1696" s="32" t="str">
        <f aca="false">IF(L1696="","",ROW()-4)</f>
        <v/>
      </c>
      <c r="B1696" s="58" t="str">
        <f aca="false">IF(L1696="","",IF(INDEX(ポート振替表!$W$5:$W$3507,$L1696)="","(なし)",INDEX(ポート振替表!$W$5:$W$3507,$L1696)&amp;""))</f>
        <v/>
      </c>
      <c r="C1696" s="52" t="str">
        <f aca="false">IF(L1696="","",INDEX(ポート振替表!$B$5:$B$3507,$L1696)&amp;" "&amp;INDEX(ポート振替表!$C$5:$C$3507,$L1696)&amp;"  ⇔  "&amp;INDEX(ポート振替表!$H$5:$H$3507,$L1696)&amp;" "&amp;INDEX(ポート振替表!$I$5:$I$3507,$L1696))</f>
        <v/>
      </c>
      <c r="D1696" s="57" t="s">
        <v>158</v>
      </c>
      <c r="E1696" s="59" t="str">
        <f aca="false">IF(L1696="","",IF(INDEX(ポート振替表!$O$5:$O$3507,$L1696)="","(未設定)",INDEX(ポート振替表!$O$5:$O$3507,$L1696)&amp;""))</f>
        <v/>
      </c>
      <c r="F1696" s="52" t="str">
        <f aca="false">IF(L1696="","",INDEX(ポート振替表!$K$5:$K$3507,$L1696)&amp;" "&amp;INDEX(ポート振替表!$L$5:$L$3507,$L1696)&amp;"  ⇔  "&amp;INDEX(ポート振替表!$H$5:$H$3507,$L1696)&amp;" "&amp;INDEX(ポート振替表!$I$5:$I$3507,$L1696))</f>
        <v/>
      </c>
      <c r="G1696" s="57" t="s">
        <v>158</v>
      </c>
      <c r="H1696" s="32" t="str">
        <f aca="false">IF(L1696="","",INDEX(ポート振替表!$N$5:$N$3507,$L1696)&amp;"")</f>
        <v/>
      </c>
      <c r="I1696" s="32" t="str">
        <f aca="false">IF(L1696="","",INDEX(ポート振替表!$P$5:$P$3507,$L1696)&amp;"")</f>
        <v/>
      </c>
      <c r="J1696" s="60" t="str">
        <f aca="false">IF(L1696="","",INDEX(ポート振替表!$M$5:$M$3507,$L1696)&amp;"")</f>
        <v/>
      </c>
      <c r="K1696" s="52" t="str">
        <f aca="false">IF(L1696="","",E1696&amp;CHAR(10)&amp;INDEX(ポート振替表!$K$5:$K$3507,$L1696)&amp;" "&amp;INDEX(ポート振替表!$L$5:$L$3507,$L1696)&amp;CHAR(10)&amp;"⇔ "&amp;INDEX(ポート振替表!$H$5:$H$3507,$L1696)&amp;" "&amp;INDEX(ポート振替表!$I$5:$I$3507,$L1696))</f>
        <v/>
      </c>
      <c r="L1696" s="47" t="str">
        <f aca="false">IFERROR(MATCH(ROW()-4,ポート振替表!$V$5:$V$3507,0),"")</f>
        <v/>
      </c>
    </row>
    <row r="1697" customFormat="false" ht="16.4" hidden="false" customHeight="false" outlineLevel="0" collapsed="false">
      <c r="A1697" s="32" t="str">
        <f aca="false">IF(L1697="","",ROW()-4)</f>
        <v/>
      </c>
      <c r="B1697" s="58" t="str">
        <f aca="false">IF(L1697="","",IF(INDEX(ポート振替表!$W$5:$W$3507,$L1697)="","(なし)",INDEX(ポート振替表!$W$5:$W$3507,$L1697)&amp;""))</f>
        <v/>
      </c>
      <c r="C1697" s="52" t="str">
        <f aca="false">IF(L1697="","",INDEX(ポート振替表!$B$5:$B$3507,$L1697)&amp;" "&amp;INDEX(ポート振替表!$C$5:$C$3507,$L1697)&amp;"  ⇔  "&amp;INDEX(ポート振替表!$H$5:$H$3507,$L1697)&amp;" "&amp;INDEX(ポート振替表!$I$5:$I$3507,$L1697))</f>
        <v/>
      </c>
      <c r="D1697" s="57" t="s">
        <v>158</v>
      </c>
      <c r="E1697" s="59" t="str">
        <f aca="false">IF(L1697="","",IF(INDEX(ポート振替表!$O$5:$O$3507,$L1697)="","(未設定)",INDEX(ポート振替表!$O$5:$O$3507,$L1697)&amp;""))</f>
        <v/>
      </c>
      <c r="F1697" s="52" t="str">
        <f aca="false">IF(L1697="","",INDEX(ポート振替表!$K$5:$K$3507,$L1697)&amp;" "&amp;INDEX(ポート振替表!$L$5:$L$3507,$L1697)&amp;"  ⇔  "&amp;INDEX(ポート振替表!$H$5:$H$3507,$L1697)&amp;" "&amp;INDEX(ポート振替表!$I$5:$I$3507,$L1697))</f>
        <v/>
      </c>
      <c r="G1697" s="57" t="s">
        <v>158</v>
      </c>
      <c r="H1697" s="32" t="str">
        <f aca="false">IF(L1697="","",INDEX(ポート振替表!$N$5:$N$3507,$L1697)&amp;"")</f>
        <v/>
      </c>
      <c r="I1697" s="32" t="str">
        <f aca="false">IF(L1697="","",INDEX(ポート振替表!$P$5:$P$3507,$L1697)&amp;"")</f>
        <v/>
      </c>
      <c r="J1697" s="60" t="str">
        <f aca="false">IF(L1697="","",INDEX(ポート振替表!$M$5:$M$3507,$L1697)&amp;"")</f>
        <v/>
      </c>
      <c r="K1697" s="52" t="str">
        <f aca="false">IF(L1697="","",E1697&amp;CHAR(10)&amp;INDEX(ポート振替表!$K$5:$K$3507,$L1697)&amp;" "&amp;INDEX(ポート振替表!$L$5:$L$3507,$L1697)&amp;CHAR(10)&amp;"⇔ "&amp;INDEX(ポート振替表!$H$5:$H$3507,$L1697)&amp;" "&amp;INDEX(ポート振替表!$I$5:$I$3507,$L1697))</f>
        <v/>
      </c>
      <c r="L1697" s="47" t="str">
        <f aca="false">IFERROR(MATCH(ROW()-4,ポート振替表!$V$5:$V$3507,0),"")</f>
        <v/>
      </c>
    </row>
    <row r="1698" customFormat="false" ht="16.4" hidden="false" customHeight="false" outlineLevel="0" collapsed="false">
      <c r="A1698" s="32" t="str">
        <f aca="false">IF(L1698="","",ROW()-4)</f>
        <v/>
      </c>
      <c r="B1698" s="58" t="str">
        <f aca="false">IF(L1698="","",IF(INDEX(ポート振替表!$W$5:$W$3507,$L1698)="","(なし)",INDEX(ポート振替表!$W$5:$W$3507,$L1698)&amp;""))</f>
        <v/>
      </c>
      <c r="C1698" s="52" t="str">
        <f aca="false">IF(L1698="","",INDEX(ポート振替表!$B$5:$B$3507,$L1698)&amp;" "&amp;INDEX(ポート振替表!$C$5:$C$3507,$L1698)&amp;"  ⇔  "&amp;INDEX(ポート振替表!$H$5:$H$3507,$L1698)&amp;" "&amp;INDEX(ポート振替表!$I$5:$I$3507,$L1698))</f>
        <v/>
      </c>
      <c r="D1698" s="57" t="s">
        <v>158</v>
      </c>
      <c r="E1698" s="59" t="str">
        <f aca="false">IF(L1698="","",IF(INDEX(ポート振替表!$O$5:$O$3507,$L1698)="","(未設定)",INDEX(ポート振替表!$O$5:$O$3507,$L1698)&amp;""))</f>
        <v/>
      </c>
      <c r="F1698" s="52" t="str">
        <f aca="false">IF(L1698="","",INDEX(ポート振替表!$K$5:$K$3507,$L1698)&amp;" "&amp;INDEX(ポート振替表!$L$5:$L$3507,$L1698)&amp;"  ⇔  "&amp;INDEX(ポート振替表!$H$5:$H$3507,$L1698)&amp;" "&amp;INDEX(ポート振替表!$I$5:$I$3507,$L1698))</f>
        <v/>
      </c>
      <c r="G1698" s="57" t="s">
        <v>158</v>
      </c>
      <c r="H1698" s="32" t="str">
        <f aca="false">IF(L1698="","",INDEX(ポート振替表!$N$5:$N$3507,$L1698)&amp;"")</f>
        <v/>
      </c>
      <c r="I1698" s="32" t="str">
        <f aca="false">IF(L1698="","",INDEX(ポート振替表!$P$5:$P$3507,$L1698)&amp;"")</f>
        <v/>
      </c>
      <c r="J1698" s="60" t="str">
        <f aca="false">IF(L1698="","",INDEX(ポート振替表!$M$5:$M$3507,$L1698)&amp;"")</f>
        <v/>
      </c>
      <c r="K1698" s="52" t="str">
        <f aca="false">IF(L1698="","",E1698&amp;CHAR(10)&amp;INDEX(ポート振替表!$K$5:$K$3507,$L1698)&amp;" "&amp;INDEX(ポート振替表!$L$5:$L$3507,$L1698)&amp;CHAR(10)&amp;"⇔ "&amp;INDEX(ポート振替表!$H$5:$H$3507,$L1698)&amp;" "&amp;INDEX(ポート振替表!$I$5:$I$3507,$L1698))</f>
        <v/>
      </c>
      <c r="L1698" s="47" t="str">
        <f aca="false">IFERROR(MATCH(ROW()-4,ポート振替表!$V$5:$V$3507,0),"")</f>
        <v/>
      </c>
    </row>
    <row r="1699" customFormat="false" ht="16.4" hidden="false" customHeight="false" outlineLevel="0" collapsed="false">
      <c r="A1699" s="32" t="str">
        <f aca="false">IF(L1699="","",ROW()-4)</f>
        <v/>
      </c>
      <c r="B1699" s="58" t="str">
        <f aca="false">IF(L1699="","",IF(INDEX(ポート振替表!$W$5:$W$3507,$L1699)="","(なし)",INDEX(ポート振替表!$W$5:$W$3507,$L1699)&amp;""))</f>
        <v/>
      </c>
      <c r="C1699" s="52" t="str">
        <f aca="false">IF(L1699="","",INDEX(ポート振替表!$B$5:$B$3507,$L1699)&amp;" "&amp;INDEX(ポート振替表!$C$5:$C$3507,$L1699)&amp;"  ⇔  "&amp;INDEX(ポート振替表!$H$5:$H$3507,$L1699)&amp;" "&amp;INDEX(ポート振替表!$I$5:$I$3507,$L1699))</f>
        <v/>
      </c>
      <c r="D1699" s="57" t="s">
        <v>158</v>
      </c>
      <c r="E1699" s="59" t="str">
        <f aca="false">IF(L1699="","",IF(INDEX(ポート振替表!$O$5:$O$3507,$L1699)="","(未設定)",INDEX(ポート振替表!$O$5:$O$3507,$L1699)&amp;""))</f>
        <v/>
      </c>
      <c r="F1699" s="52" t="str">
        <f aca="false">IF(L1699="","",INDEX(ポート振替表!$K$5:$K$3507,$L1699)&amp;" "&amp;INDEX(ポート振替表!$L$5:$L$3507,$L1699)&amp;"  ⇔  "&amp;INDEX(ポート振替表!$H$5:$H$3507,$L1699)&amp;" "&amp;INDEX(ポート振替表!$I$5:$I$3507,$L1699))</f>
        <v/>
      </c>
      <c r="G1699" s="57" t="s">
        <v>158</v>
      </c>
      <c r="H1699" s="32" t="str">
        <f aca="false">IF(L1699="","",INDEX(ポート振替表!$N$5:$N$3507,$L1699)&amp;"")</f>
        <v/>
      </c>
      <c r="I1699" s="32" t="str">
        <f aca="false">IF(L1699="","",INDEX(ポート振替表!$P$5:$P$3507,$L1699)&amp;"")</f>
        <v/>
      </c>
      <c r="J1699" s="60" t="str">
        <f aca="false">IF(L1699="","",INDEX(ポート振替表!$M$5:$M$3507,$L1699)&amp;"")</f>
        <v/>
      </c>
      <c r="K1699" s="52" t="str">
        <f aca="false">IF(L1699="","",E1699&amp;CHAR(10)&amp;INDEX(ポート振替表!$K$5:$K$3507,$L1699)&amp;" "&amp;INDEX(ポート振替表!$L$5:$L$3507,$L1699)&amp;CHAR(10)&amp;"⇔ "&amp;INDEX(ポート振替表!$H$5:$H$3507,$L1699)&amp;" "&amp;INDEX(ポート振替表!$I$5:$I$3507,$L1699))</f>
        <v/>
      </c>
      <c r="L1699" s="47" t="str">
        <f aca="false">IFERROR(MATCH(ROW()-4,ポート振替表!$V$5:$V$3507,0),"")</f>
        <v/>
      </c>
    </row>
    <row r="1700" customFormat="false" ht="16.4" hidden="false" customHeight="false" outlineLevel="0" collapsed="false">
      <c r="A1700" s="32" t="str">
        <f aca="false">IF(L1700="","",ROW()-4)</f>
        <v/>
      </c>
      <c r="B1700" s="58" t="str">
        <f aca="false">IF(L1700="","",IF(INDEX(ポート振替表!$W$5:$W$3507,$L1700)="","(なし)",INDEX(ポート振替表!$W$5:$W$3507,$L1700)&amp;""))</f>
        <v/>
      </c>
      <c r="C1700" s="52" t="str">
        <f aca="false">IF(L1700="","",INDEX(ポート振替表!$B$5:$B$3507,$L1700)&amp;" "&amp;INDEX(ポート振替表!$C$5:$C$3507,$L1700)&amp;"  ⇔  "&amp;INDEX(ポート振替表!$H$5:$H$3507,$L1700)&amp;" "&amp;INDEX(ポート振替表!$I$5:$I$3507,$L1700))</f>
        <v/>
      </c>
      <c r="D1700" s="57" t="s">
        <v>158</v>
      </c>
      <c r="E1700" s="59" t="str">
        <f aca="false">IF(L1700="","",IF(INDEX(ポート振替表!$O$5:$O$3507,$L1700)="","(未設定)",INDEX(ポート振替表!$O$5:$O$3507,$L1700)&amp;""))</f>
        <v/>
      </c>
      <c r="F1700" s="52" t="str">
        <f aca="false">IF(L1700="","",INDEX(ポート振替表!$K$5:$K$3507,$L1700)&amp;" "&amp;INDEX(ポート振替表!$L$5:$L$3507,$L1700)&amp;"  ⇔  "&amp;INDEX(ポート振替表!$H$5:$H$3507,$L1700)&amp;" "&amp;INDEX(ポート振替表!$I$5:$I$3507,$L1700))</f>
        <v/>
      </c>
      <c r="G1700" s="57" t="s">
        <v>158</v>
      </c>
      <c r="H1700" s="32" t="str">
        <f aca="false">IF(L1700="","",INDEX(ポート振替表!$N$5:$N$3507,$L1700)&amp;"")</f>
        <v/>
      </c>
      <c r="I1700" s="32" t="str">
        <f aca="false">IF(L1700="","",INDEX(ポート振替表!$P$5:$P$3507,$L1700)&amp;"")</f>
        <v/>
      </c>
      <c r="J1700" s="60" t="str">
        <f aca="false">IF(L1700="","",INDEX(ポート振替表!$M$5:$M$3507,$L1700)&amp;"")</f>
        <v/>
      </c>
      <c r="K1700" s="52" t="str">
        <f aca="false">IF(L1700="","",E1700&amp;CHAR(10)&amp;INDEX(ポート振替表!$K$5:$K$3507,$L1700)&amp;" "&amp;INDEX(ポート振替表!$L$5:$L$3507,$L1700)&amp;CHAR(10)&amp;"⇔ "&amp;INDEX(ポート振替表!$H$5:$H$3507,$L1700)&amp;" "&amp;INDEX(ポート振替表!$I$5:$I$3507,$L1700))</f>
        <v/>
      </c>
      <c r="L1700" s="47" t="str">
        <f aca="false">IFERROR(MATCH(ROW()-4,ポート振替表!$V$5:$V$3507,0),"")</f>
        <v/>
      </c>
    </row>
    <row r="1701" customFormat="false" ht="16.4" hidden="false" customHeight="false" outlineLevel="0" collapsed="false">
      <c r="A1701" s="32" t="str">
        <f aca="false">IF(L1701="","",ROW()-4)</f>
        <v/>
      </c>
      <c r="B1701" s="58" t="str">
        <f aca="false">IF(L1701="","",IF(INDEX(ポート振替表!$W$5:$W$3507,$L1701)="","(なし)",INDEX(ポート振替表!$W$5:$W$3507,$L1701)&amp;""))</f>
        <v/>
      </c>
      <c r="C1701" s="52" t="str">
        <f aca="false">IF(L1701="","",INDEX(ポート振替表!$B$5:$B$3507,$L1701)&amp;" "&amp;INDEX(ポート振替表!$C$5:$C$3507,$L1701)&amp;"  ⇔  "&amp;INDEX(ポート振替表!$H$5:$H$3507,$L1701)&amp;" "&amp;INDEX(ポート振替表!$I$5:$I$3507,$L1701))</f>
        <v/>
      </c>
      <c r="D1701" s="57" t="s">
        <v>158</v>
      </c>
      <c r="E1701" s="59" t="str">
        <f aca="false">IF(L1701="","",IF(INDEX(ポート振替表!$O$5:$O$3507,$L1701)="","(未設定)",INDEX(ポート振替表!$O$5:$O$3507,$L1701)&amp;""))</f>
        <v/>
      </c>
      <c r="F1701" s="52" t="str">
        <f aca="false">IF(L1701="","",INDEX(ポート振替表!$K$5:$K$3507,$L1701)&amp;" "&amp;INDEX(ポート振替表!$L$5:$L$3507,$L1701)&amp;"  ⇔  "&amp;INDEX(ポート振替表!$H$5:$H$3507,$L1701)&amp;" "&amp;INDEX(ポート振替表!$I$5:$I$3507,$L1701))</f>
        <v/>
      </c>
      <c r="G1701" s="57" t="s">
        <v>158</v>
      </c>
      <c r="H1701" s="32" t="str">
        <f aca="false">IF(L1701="","",INDEX(ポート振替表!$N$5:$N$3507,$L1701)&amp;"")</f>
        <v/>
      </c>
      <c r="I1701" s="32" t="str">
        <f aca="false">IF(L1701="","",INDEX(ポート振替表!$P$5:$P$3507,$L1701)&amp;"")</f>
        <v/>
      </c>
      <c r="J1701" s="60" t="str">
        <f aca="false">IF(L1701="","",INDEX(ポート振替表!$M$5:$M$3507,$L1701)&amp;"")</f>
        <v/>
      </c>
      <c r="K1701" s="52" t="str">
        <f aca="false">IF(L1701="","",E1701&amp;CHAR(10)&amp;INDEX(ポート振替表!$K$5:$K$3507,$L1701)&amp;" "&amp;INDEX(ポート振替表!$L$5:$L$3507,$L1701)&amp;CHAR(10)&amp;"⇔ "&amp;INDEX(ポート振替表!$H$5:$H$3507,$L1701)&amp;" "&amp;INDEX(ポート振替表!$I$5:$I$3507,$L1701))</f>
        <v/>
      </c>
      <c r="L1701" s="47" t="str">
        <f aca="false">IFERROR(MATCH(ROW()-4,ポート振替表!$V$5:$V$3507,0),"")</f>
        <v/>
      </c>
    </row>
    <row r="1702" customFormat="false" ht="16.4" hidden="false" customHeight="false" outlineLevel="0" collapsed="false">
      <c r="A1702" s="32" t="str">
        <f aca="false">IF(L1702="","",ROW()-4)</f>
        <v/>
      </c>
      <c r="B1702" s="58" t="str">
        <f aca="false">IF(L1702="","",IF(INDEX(ポート振替表!$W$5:$W$3507,$L1702)="","(なし)",INDEX(ポート振替表!$W$5:$W$3507,$L1702)&amp;""))</f>
        <v/>
      </c>
      <c r="C1702" s="52" t="str">
        <f aca="false">IF(L1702="","",INDEX(ポート振替表!$B$5:$B$3507,$L1702)&amp;" "&amp;INDEX(ポート振替表!$C$5:$C$3507,$L1702)&amp;"  ⇔  "&amp;INDEX(ポート振替表!$H$5:$H$3507,$L1702)&amp;" "&amp;INDEX(ポート振替表!$I$5:$I$3507,$L1702))</f>
        <v/>
      </c>
      <c r="D1702" s="57" t="s">
        <v>158</v>
      </c>
      <c r="E1702" s="59" t="str">
        <f aca="false">IF(L1702="","",IF(INDEX(ポート振替表!$O$5:$O$3507,$L1702)="","(未設定)",INDEX(ポート振替表!$O$5:$O$3507,$L1702)&amp;""))</f>
        <v/>
      </c>
      <c r="F1702" s="52" t="str">
        <f aca="false">IF(L1702="","",INDEX(ポート振替表!$K$5:$K$3507,$L1702)&amp;" "&amp;INDEX(ポート振替表!$L$5:$L$3507,$L1702)&amp;"  ⇔  "&amp;INDEX(ポート振替表!$H$5:$H$3507,$L1702)&amp;" "&amp;INDEX(ポート振替表!$I$5:$I$3507,$L1702))</f>
        <v/>
      </c>
      <c r="G1702" s="57" t="s">
        <v>158</v>
      </c>
      <c r="H1702" s="32" t="str">
        <f aca="false">IF(L1702="","",INDEX(ポート振替表!$N$5:$N$3507,$L1702)&amp;"")</f>
        <v/>
      </c>
      <c r="I1702" s="32" t="str">
        <f aca="false">IF(L1702="","",INDEX(ポート振替表!$P$5:$P$3507,$L1702)&amp;"")</f>
        <v/>
      </c>
      <c r="J1702" s="60" t="str">
        <f aca="false">IF(L1702="","",INDEX(ポート振替表!$M$5:$M$3507,$L1702)&amp;"")</f>
        <v/>
      </c>
      <c r="K1702" s="52" t="str">
        <f aca="false">IF(L1702="","",E1702&amp;CHAR(10)&amp;INDEX(ポート振替表!$K$5:$K$3507,$L1702)&amp;" "&amp;INDEX(ポート振替表!$L$5:$L$3507,$L1702)&amp;CHAR(10)&amp;"⇔ "&amp;INDEX(ポート振替表!$H$5:$H$3507,$L1702)&amp;" "&amp;INDEX(ポート振替表!$I$5:$I$3507,$L1702))</f>
        <v/>
      </c>
      <c r="L1702" s="47" t="str">
        <f aca="false">IFERROR(MATCH(ROW()-4,ポート振替表!$V$5:$V$3507,0),"")</f>
        <v/>
      </c>
    </row>
    <row r="1703" customFormat="false" ht="16.4" hidden="false" customHeight="false" outlineLevel="0" collapsed="false">
      <c r="A1703" s="32" t="str">
        <f aca="false">IF(L1703="","",ROW()-4)</f>
        <v/>
      </c>
      <c r="B1703" s="58" t="str">
        <f aca="false">IF(L1703="","",IF(INDEX(ポート振替表!$W$5:$W$3507,$L1703)="","(なし)",INDEX(ポート振替表!$W$5:$W$3507,$L1703)&amp;""))</f>
        <v/>
      </c>
      <c r="C1703" s="52" t="str">
        <f aca="false">IF(L1703="","",INDEX(ポート振替表!$B$5:$B$3507,$L1703)&amp;" "&amp;INDEX(ポート振替表!$C$5:$C$3507,$L1703)&amp;"  ⇔  "&amp;INDEX(ポート振替表!$H$5:$H$3507,$L1703)&amp;" "&amp;INDEX(ポート振替表!$I$5:$I$3507,$L1703))</f>
        <v/>
      </c>
      <c r="D1703" s="57" t="s">
        <v>158</v>
      </c>
      <c r="E1703" s="59" t="str">
        <f aca="false">IF(L1703="","",IF(INDEX(ポート振替表!$O$5:$O$3507,$L1703)="","(未設定)",INDEX(ポート振替表!$O$5:$O$3507,$L1703)&amp;""))</f>
        <v/>
      </c>
      <c r="F1703" s="52" t="str">
        <f aca="false">IF(L1703="","",INDEX(ポート振替表!$K$5:$K$3507,$L1703)&amp;" "&amp;INDEX(ポート振替表!$L$5:$L$3507,$L1703)&amp;"  ⇔  "&amp;INDEX(ポート振替表!$H$5:$H$3507,$L1703)&amp;" "&amp;INDEX(ポート振替表!$I$5:$I$3507,$L1703))</f>
        <v/>
      </c>
      <c r="G1703" s="57" t="s">
        <v>158</v>
      </c>
      <c r="H1703" s="32" t="str">
        <f aca="false">IF(L1703="","",INDEX(ポート振替表!$N$5:$N$3507,$L1703)&amp;"")</f>
        <v/>
      </c>
      <c r="I1703" s="32" t="str">
        <f aca="false">IF(L1703="","",INDEX(ポート振替表!$P$5:$P$3507,$L1703)&amp;"")</f>
        <v/>
      </c>
      <c r="J1703" s="60" t="str">
        <f aca="false">IF(L1703="","",INDEX(ポート振替表!$M$5:$M$3507,$L1703)&amp;"")</f>
        <v/>
      </c>
      <c r="K1703" s="52" t="str">
        <f aca="false">IF(L1703="","",E1703&amp;CHAR(10)&amp;INDEX(ポート振替表!$K$5:$K$3507,$L1703)&amp;" "&amp;INDEX(ポート振替表!$L$5:$L$3507,$L1703)&amp;CHAR(10)&amp;"⇔ "&amp;INDEX(ポート振替表!$H$5:$H$3507,$L1703)&amp;" "&amp;INDEX(ポート振替表!$I$5:$I$3507,$L1703))</f>
        <v/>
      </c>
      <c r="L1703" s="47" t="str">
        <f aca="false">IFERROR(MATCH(ROW()-4,ポート振替表!$V$5:$V$3507,0),"")</f>
        <v/>
      </c>
    </row>
    <row r="1704" customFormat="false" ht="16.4" hidden="false" customHeight="false" outlineLevel="0" collapsed="false">
      <c r="A1704" s="32" t="str">
        <f aca="false">IF(L1704="","",ROW()-4)</f>
        <v/>
      </c>
      <c r="B1704" s="58" t="str">
        <f aca="false">IF(L1704="","",IF(INDEX(ポート振替表!$W$5:$W$3507,$L1704)="","(なし)",INDEX(ポート振替表!$W$5:$W$3507,$L1704)&amp;""))</f>
        <v/>
      </c>
      <c r="C1704" s="52" t="str">
        <f aca="false">IF(L1704="","",INDEX(ポート振替表!$B$5:$B$3507,$L1704)&amp;" "&amp;INDEX(ポート振替表!$C$5:$C$3507,$L1704)&amp;"  ⇔  "&amp;INDEX(ポート振替表!$H$5:$H$3507,$L1704)&amp;" "&amp;INDEX(ポート振替表!$I$5:$I$3507,$L1704))</f>
        <v/>
      </c>
      <c r="D1704" s="57" t="s">
        <v>158</v>
      </c>
      <c r="E1704" s="59" t="str">
        <f aca="false">IF(L1704="","",IF(INDEX(ポート振替表!$O$5:$O$3507,$L1704)="","(未設定)",INDEX(ポート振替表!$O$5:$O$3507,$L1704)&amp;""))</f>
        <v/>
      </c>
      <c r="F1704" s="52" t="str">
        <f aca="false">IF(L1704="","",INDEX(ポート振替表!$K$5:$K$3507,$L1704)&amp;" "&amp;INDEX(ポート振替表!$L$5:$L$3507,$L1704)&amp;"  ⇔  "&amp;INDEX(ポート振替表!$H$5:$H$3507,$L1704)&amp;" "&amp;INDEX(ポート振替表!$I$5:$I$3507,$L1704))</f>
        <v/>
      </c>
      <c r="G1704" s="57" t="s">
        <v>158</v>
      </c>
      <c r="H1704" s="32" t="str">
        <f aca="false">IF(L1704="","",INDEX(ポート振替表!$N$5:$N$3507,$L1704)&amp;"")</f>
        <v/>
      </c>
      <c r="I1704" s="32" t="str">
        <f aca="false">IF(L1704="","",INDEX(ポート振替表!$P$5:$P$3507,$L1704)&amp;"")</f>
        <v/>
      </c>
      <c r="J1704" s="60" t="str">
        <f aca="false">IF(L1704="","",INDEX(ポート振替表!$M$5:$M$3507,$L1704)&amp;"")</f>
        <v/>
      </c>
      <c r="K1704" s="52" t="str">
        <f aca="false">IF(L1704="","",E1704&amp;CHAR(10)&amp;INDEX(ポート振替表!$K$5:$K$3507,$L1704)&amp;" "&amp;INDEX(ポート振替表!$L$5:$L$3507,$L1704)&amp;CHAR(10)&amp;"⇔ "&amp;INDEX(ポート振替表!$H$5:$H$3507,$L1704)&amp;" "&amp;INDEX(ポート振替表!$I$5:$I$3507,$L1704))</f>
        <v/>
      </c>
      <c r="L1704" s="47" t="str">
        <f aca="false">IFERROR(MATCH(ROW()-4,ポート振替表!$V$5:$V$3507,0),"")</f>
        <v/>
      </c>
    </row>
    <row r="1705" customFormat="false" ht="16.4" hidden="false" customHeight="false" outlineLevel="0" collapsed="false">
      <c r="A1705" s="32" t="str">
        <f aca="false">IF(L1705="","",ROW()-4)</f>
        <v/>
      </c>
      <c r="B1705" s="58" t="str">
        <f aca="false">IF(L1705="","",IF(INDEX(ポート振替表!$W$5:$W$3507,$L1705)="","(なし)",INDEX(ポート振替表!$W$5:$W$3507,$L1705)&amp;""))</f>
        <v/>
      </c>
      <c r="C1705" s="52" t="str">
        <f aca="false">IF(L1705="","",INDEX(ポート振替表!$B$5:$B$3507,$L1705)&amp;" "&amp;INDEX(ポート振替表!$C$5:$C$3507,$L1705)&amp;"  ⇔  "&amp;INDEX(ポート振替表!$H$5:$H$3507,$L1705)&amp;" "&amp;INDEX(ポート振替表!$I$5:$I$3507,$L1705))</f>
        <v/>
      </c>
      <c r="D1705" s="57" t="s">
        <v>158</v>
      </c>
      <c r="E1705" s="59" t="str">
        <f aca="false">IF(L1705="","",IF(INDEX(ポート振替表!$O$5:$O$3507,$L1705)="","(未設定)",INDEX(ポート振替表!$O$5:$O$3507,$L1705)&amp;""))</f>
        <v/>
      </c>
      <c r="F1705" s="52" t="str">
        <f aca="false">IF(L1705="","",INDEX(ポート振替表!$K$5:$K$3507,$L1705)&amp;" "&amp;INDEX(ポート振替表!$L$5:$L$3507,$L1705)&amp;"  ⇔  "&amp;INDEX(ポート振替表!$H$5:$H$3507,$L1705)&amp;" "&amp;INDEX(ポート振替表!$I$5:$I$3507,$L1705))</f>
        <v/>
      </c>
      <c r="G1705" s="57" t="s">
        <v>158</v>
      </c>
      <c r="H1705" s="32" t="str">
        <f aca="false">IF(L1705="","",INDEX(ポート振替表!$N$5:$N$3507,$L1705)&amp;"")</f>
        <v/>
      </c>
      <c r="I1705" s="32" t="str">
        <f aca="false">IF(L1705="","",INDEX(ポート振替表!$P$5:$P$3507,$L1705)&amp;"")</f>
        <v/>
      </c>
      <c r="J1705" s="60" t="str">
        <f aca="false">IF(L1705="","",INDEX(ポート振替表!$M$5:$M$3507,$L1705)&amp;"")</f>
        <v/>
      </c>
      <c r="K1705" s="52" t="str">
        <f aca="false">IF(L1705="","",E1705&amp;CHAR(10)&amp;INDEX(ポート振替表!$K$5:$K$3507,$L1705)&amp;" "&amp;INDEX(ポート振替表!$L$5:$L$3507,$L1705)&amp;CHAR(10)&amp;"⇔ "&amp;INDEX(ポート振替表!$H$5:$H$3507,$L1705)&amp;" "&amp;INDEX(ポート振替表!$I$5:$I$3507,$L1705))</f>
        <v/>
      </c>
      <c r="L1705" s="47" t="str">
        <f aca="false">IFERROR(MATCH(ROW()-4,ポート振替表!$V$5:$V$3507,0),"")</f>
        <v/>
      </c>
    </row>
    <row r="1706" customFormat="false" ht="16.4" hidden="false" customHeight="false" outlineLevel="0" collapsed="false">
      <c r="A1706" s="32" t="str">
        <f aca="false">IF(L1706="","",ROW()-4)</f>
        <v/>
      </c>
      <c r="B1706" s="58" t="str">
        <f aca="false">IF(L1706="","",IF(INDEX(ポート振替表!$W$5:$W$3507,$L1706)="","(なし)",INDEX(ポート振替表!$W$5:$W$3507,$L1706)&amp;""))</f>
        <v/>
      </c>
      <c r="C1706" s="52" t="str">
        <f aca="false">IF(L1706="","",INDEX(ポート振替表!$B$5:$B$3507,$L1706)&amp;" "&amp;INDEX(ポート振替表!$C$5:$C$3507,$L1706)&amp;"  ⇔  "&amp;INDEX(ポート振替表!$H$5:$H$3507,$L1706)&amp;" "&amp;INDEX(ポート振替表!$I$5:$I$3507,$L1706))</f>
        <v/>
      </c>
      <c r="D1706" s="57" t="s">
        <v>158</v>
      </c>
      <c r="E1706" s="59" t="str">
        <f aca="false">IF(L1706="","",IF(INDEX(ポート振替表!$O$5:$O$3507,$L1706)="","(未設定)",INDEX(ポート振替表!$O$5:$O$3507,$L1706)&amp;""))</f>
        <v/>
      </c>
      <c r="F1706" s="52" t="str">
        <f aca="false">IF(L1706="","",INDEX(ポート振替表!$K$5:$K$3507,$L1706)&amp;" "&amp;INDEX(ポート振替表!$L$5:$L$3507,$L1706)&amp;"  ⇔  "&amp;INDEX(ポート振替表!$H$5:$H$3507,$L1706)&amp;" "&amp;INDEX(ポート振替表!$I$5:$I$3507,$L1706))</f>
        <v/>
      </c>
      <c r="G1706" s="57" t="s">
        <v>158</v>
      </c>
      <c r="H1706" s="32" t="str">
        <f aca="false">IF(L1706="","",INDEX(ポート振替表!$N$5:$N$3507,$L1706)&amp;"")</f>
        <v/>
      </c>
      <c r="I1706" s="32" t="str">
        <f aca="false">IF(L1706="","",INDEX(ポート振替表!$P$5:$P$3507,$L1706)&amp;"")</f>
        <v/>
      </c>
      <c r="J1706" s="60" t="str">
        <f aca="false">IF(L1706="","",INDEX(ポート振替表!$M$5:$M$3507,$L1706)&amp;"")</f>
        <v/>
      </c>
      <c r="K1706" s="52" t="str">
        <f aca="false">IF(L1706="","",E1706&amp;CHAR(10)&amp;INDEX(ポート振替表!$K$5:$K$3507,$L1706)&amp;" "&amp;INDEX(ポート振替表!$L$5:$L$3507,$L1706)&amp;CHAR(10)&amp;"⇔ "&amp;INDEX(ポート振替表!$H$5:$H$3507,$L1706)&amp;" "&amp;INDEX(ポート振替表!$I$5:$I$3507,$L1706))</f>
        <v/>
      </c>
      <c r="L1706" s="47" t="str">
        <f aca="false">IFERROR(MATCH(ROW()-4,ポート振替表!$V$5:$V$3507,0),"")</f>
        <v/>
      </c>
    </row>
    <row r="1707" customFormat="false" ht="16.4" hidden="false" customHeight="false" outlineLevel="0" collapsed="false">
      <c r="A1707" s="32" t="str">
        <f aca="false">IF(L1707="","",ROW()-4)</f>
        <v/>
      </c>
      <c r="B1707" s="58" t="str">
        <f aca="false">IF(L1707="","",IF(INDEX(ポート振替表!$W$5:$W$3507,$L1707)="","(なし)",INDEX(ポート振替表!$W$5:$W$3507,$L1707)&amp;""))</f>
        <v/>
      </c>
      <c r="C1707" s="52" t="str">
        <f aca="false">IF(L1707="","",INDEX(ポート振替表!$B$5:$B$3507,$L1707)&amp;" "&amp;INDEX(ポート振替表!$C$5:$C$3507,$L1707)&amp;"  ⇔  "&amp;INDEX(ポート振替表!$H$5:$H$3507,$L1707)&amp;" "&amp;INDEX(ポート振替表!$I$5:$I$3507,$L1707))</f>
        <v/>
      </c>
      <c r="D1707" s="57" t="s">
        <v>158</v>
      </c>
      <c r="E1707" s="59" t="str">
        <f aca="false">IF(L1707="","",IF(INDEX(ポート振替表!$O$5:$O$3507,$L1707)="","(未設定)",INDEX(ポート振替表!$O$5:$O$3507,$L1707)&amp;""))</f>
        <v/>
      </c>
      <c r="F1707" s="52" t="str">
        <f aca="false">IF(L1707="","",INDEX(ポート振替表!$K$5:$K$3507,$L1707)&amp;" "&amp;INDEX(ポート振替表!$L$5:$L$3507,$L1707)&amp;"  ⇔  "&amp;INDEX(ポート振替表!$H$5:$H$3507,$L1707)&amp;" "&amp;INDEX(ポート振替表!$I$5:$I$3507,$L1707))</f>
        <v/>
      </c>
      <c r="G1707" s="57" t="s">
        <v>158</v>
      </c>
      <c r="H1707" s="32" t="str">
        <f aca="false">IF(L1707="","",INDEX(ポート振替表!$N$5:$N$3507,$L1707)&amp;"")</f>
        <v/>
      </c>
      <c r="I1707" s="32" t="str">
        <f aca="false">IF(L1707="","",INDEX(ポート振替表!$P$5:$P$3507,$L1707)&amp;"")</f>
        <v/>
      </c>
      <c r="J1707" s="60" t="str">
        <f aca="false">IF(L1707="","",INDEX(ポート振替表!$M$5:$M$3507,$L1707)&amp;"")</f>
        <v/>
      </c>
      <c r="K1707" s="52" t="str">
        <f aca="false">IF(L1707="","",E1707&amp;CHAR(10)&amp;INDEX(ポート振替表!$K$5:$K$3507,$L1707)&amp;" "&amp;INDEX(ポート振替表!$L$5:$L$3507,$L1707)&amp;CHAR(10)&amp;"⇔ "&amp;INDEX(ポート振替表!$H$5:$H$3507,$L1707)&amp;" "&amp;INDEX(ポート振替表!$I$5:$I$3507,$L1707))</f>
        <v/>
      </c>
      <c r="L1707" s="47" t="str">
        <f aca="false">IFERROR(MATCH(ROW()-4,ポート振替表!$V$5:$V$3507,0),"")</f>
        <v/>
      </c>
    </row>
    <row r="1708" customFormat="false" ht="16.4" hidden="false" customHeight="false" outlineLevel="0" collapsed="false">
      <c r="A1708" s="32" t="str">
        <f aca="false">IF(L1708="","",ROW()-4)</f>
        <v/>
      </c>
      <c r="B1708" s="58" t="str">
        <f aca="false">IF(L1708="","",IF(INDEX(ポート振替表!$W$5:$W$3507,$L1708)="","(なし)",INDEX(ポート振替表!$W$5:$W$3507,$L1708)&amp;""))</f>
        <v/>
      </c>
      <c r="C1708" s="52" t="str">
        <f aca="false">IF(L1708="","",INDEX(ポート振替表!$B$5:$B$3507,$L1708)&amp;" "&amp;INDEX(ポート振替表!$C$5:$C$3507,$L1708)&amp;"  ⇔  "&amp;INDEX(ポート振替表!$H$5:$H$3507,$L1708)&amp;" "&amp;INDEX(ポート振替表!$I$5:$I$3507,$L1708))</f>
        <v/>
      </c>
      <c r="D1708" s="57" t="s">
        <v>158</v>
      </c>
      <c r="E1708" s="59" t="str">
        <f aca="false">IF(L1708="","",IF(INDEX(ポート振替表!$O$5:$O$3507,$L1708)="","(未設定)",INDEX(ポート振替表!$O$5:$O$3507,$L1708)&amp;""))</f>
        <v/>
      </c>
      <c r="F1708" s="52" t="str">
        <f aca="false">IF(L1708="","",INDEX(ポート振替表!$K$5:$K$3507,$L1708)&amp;" "&amp;INDEX(ポート振替表!$L$5:$L$3507,$L1708)&amp;"  ⇔  "&amp;INDEX(ポート振替表!$H$5:$H$3507,$L1708)&amp;" "&amp;INDEX(ポート振替表!$I$5:$I$3507,$L1708))</f>
        <v/>
      </c>
      <c r="G1708" s="57" t="s">
        <v>158</v>
      </c>
      <c r="H1708" s="32" t="str">
        <f aca="false">IF(L1708="","",INDEX(ポート振替表!$N$5:$N$3507,$L1708)&amp;"")</f>
        <v/>
      </c>
      <c r="I1708" s="32" t="str">
        <f aca="false">IF(L1708="","",INDEX(ポート振替表!$P$5:$P$3507,$L1708)&amp;"")</f>
        <v/>
      </c>
      <c r="J1708" s="60" t="str">
        <f aca="false">IF(L1708="","",INDEX(ポート振替表!$M$5:$M$3507,$L1708)&amp;"")</f>
        <v/>
      </c>
      <c r="K1708" s="52" t="str">
        <f aca="false">IF(L1708="","",E1708&amp;CHAR(10)&amp;INDEX(ポート振替表!$K$5:$K$3507,$L1708)&amp;" "&amp;INDEX(ポート振替表!$L$5:$L$3507,$L1708)&amp;CHAR(10)&amp;"⇔ "&amp;INDEX(ポート振替表!$H$5:$H$3507,$L1708)&amp;" "&amp;INDEX(ポート振替表!$I$5:$I$3507,$L1708))</f>
        <v/>
      </c>
      <c r="L1708" s="47" t="str">
        <f aca="false">IFERROR(MATCH(ROW()-4,ポート振替表!$V$5:$V$3507,0),"")</f>
        <v/>
      </c>
    </row>
    <row r="1709" customFormat="false" ht="16.4" hidden="false" customHeight="false" outlineLevel="0" collapsed="false">
      <c r="A1709" s="32" t="str">
        <f aca="false">IF(L1709="","",ROW()-4)</f>
        <v/>
      </c>
      <c r="B1709" s="58" t="str">
        <f aca="false">IF(L1709="","",IF(INDEX(ポート振替表!$W$5:$W$3507,$L1709)="","(なし)",INDEX(ポート振替表!$W$5:$W$3507,$L1709)&amp;""))</f>
        <v/>
      </c>
      <c r="C1709" s="52" t="str">
        <f aca="false">IF(L1709="","",INDEX(ポート振替表!$B$5:$B$3507,$L1709)&amp;" "&amp;INDEX(ポート振替表!$C$5:$C$3507,$L1709)&amp;"  ⇔  "&amp;INDEX(ポート振替表!$H$5:$H$3507,$L1709)&amp;" "&amp;INDEX(ポート振替表!$I$5:$I$3507,$L1709))</f>
        <v/>
      </c>
      <c r="D1709" s="57" t="s">
        <v>158</v>
      </c>
      <c r="E1709" s="59" t="str">
        <f aca="false">IF(L1709="","",IF(INDEX(ポート振替表!$O$5:$O$3507,$L1709)="","(未設定)",INDEX(ポート振替表!$O$5:$O$3507,$L1709)&amp;""))</f>
        <v/>
      </c>
      <c r="F1709" s="52" t="str">
        <f aca="false">IF(L1709="","",INDEX(ポート振替表!$K$5:$K$3507,$L1709)&amp;" "&amp;INDEX(ポート振替表!$L$5:$L$3507,$L1709)&amp;"  ⇔  "&amp;INDEX(ポート振替表!$H$5:$H$3507,$L1709)&amp;" "&amp;INDEX(ポート振替表!$I$5:$I$3507,$L1709))</f>
        <v/>
      </c>
      <c r="G1709" s="57" t="s">
        <v>158</v>
      </c>
      <c r="H1709" s="32" t="str">
        <f aca="false">IF(L1709="","",INDEX(ポート振替表!$N$5:$N$3507,$L1709)&amp;"")</f>
        <v/>
      </c>
      <c r="I1709" s="32" t="str">
        <f aca="false">IF(L1709="","",INDEX(ポート振替表!$P$5:$P$3507,$L1709)&amp;"")</f>
        <v/>
      </c>
      <c r="J1709" s="60" t="str">
        <f aca="false">IF(L1709="","",INDEX(ポート振替表!$M$5:$M$3507,$L1709)&amp;"")</f>
        <v/>
      </c>
      <c r="K1709" s="52" t="str">
        <f aca="false">IF(L1709="","",E1709&amp;CHAR(10)&amp;INDEX(ポート振替表!$K$5:$K$3507,$L1709)&amp;" "&amp;INDEX(ポート振替表!$L$5:$L$3507,$L1709)&amp;CHAR(10)&amp;"⇔ "&amp;INDEX(ポート振替表!$H$5:$H$3507,$L1709)&amp;" "&amp;INDEX(ポート振替表!$I$5:$I$3507,$L1709))</f>
        <v/>
      </c>
      <c r="L1709" s="47" t="str">
        <f aca="false">IFERROR(MATCH(ROW()-4,ポート振替表!$V$5:$V$3507,0),"")</f>
        <v/>
      </c>
    </row>
    <row r="1710" customFormat="false" ht="16.4" hidden="false" customHeight="false" outlineLevel="0" collapsed="false">
      <c r="A1710" s="32" t="str">
        <f aca="false">IF(L1710="","",ROW()-4)</f>
        <v/>
      </c>
      <c r="B1710" s="58" t="str">
        <f aca="false">IF(L1710="","",IF(INDEX(ポート振替表!$W$5:$W$3507,$L1710)="","(なし)",INDEX(ポート振替表!$W$5:$W$3507,$L1710)&amp;""))</f>
        <v/>
      </c>
      <c r="C1710" s="52" t="str">
        <f aca="false">IF(L1710="","",INDEX(ポート振替表!$B$5:$B$3507,$L1710)&amp;" "&amp;INDEX(ポート振替表!$C$5:$C$3507,$L1710)&amp;"  ⇔  "&amp;INDEX(ポート振替表!$H$5:$H$3507,$L1710)&amp;" "&amp;INDEX(ポート振替表!$I$5:$I$3507,$L1710))</f>
        <v/>
      </c>
      <c r="D1710" s="57" t="s">
        <v>158</v>
      </c>
      <c r="E1710" s="59" t="str">
        <f aca="false">IF(L1710="","",IF(INDEX(ポート振替表!$O$5:$O$3507,$L1710)="","(未設定)",INDEX(ポート振替表!$O$5:$O$3507,$L1710)&amp;""))</f>
        <v/>
      </c>
      <c r="F1710" s="52" t="str">
        <f aca="false">IF(L1710="","",INDEX(ポート振替表!$K$5:$K$3507,$L1710)&amp;" "&amp;INDEX(ポート振替表!$L$5:$L$3507,$L1710)&amp;"  ⇔  "&amp;INDEX(ポート振替表!$H$5:$H$3507,$L1710)&amp;" "&amp;INDEX(ポート振替表!$I$5:$I$3507,$L1710))</f>
        <v/>
      </c>
      <c r="G1710" s="57" t="s">
        <v>158</v>
      </c>
      <c r="H1710" s="32" t="str">
        <f aca="false">IF(L1710="","",INDEX(ポート振替表!$N$5:$N$3507,$L1710)&amp;"")</f>
        <v/>
      </c>
      <c r="I1710" s="32" t="str">
        <f aca="false">IF(L1710="","",INDEX(ポート振替表!$P$5:$P$3507,$L1710)&amp;"")</f>
        <v/>
      </c>
      <c r="J1710" s="60" t="str">
        <f aca="false">IF(L1710="","",INDEX(ポート振替表!$M$5:$M$3507,$L1710)&amp;"")</f>
        <v/>
      </c>
      <c r="K1710" s="52" t="str">
        <f aca="false">IF(L1710="","",E1710&amp;CHAR(10)&amp;INDEX(ポート振替表!$K$5:$K$3507,$L1710)&amp;" "&amp;INDEX(ポート振替表!$L$5:$L$3507,$L1710)&amp;CHAR(10)&amp;"⇔ "&amp;INDEX(ポート振替表!$H$5:$H$3507,$L1710)&amp;" "&amp;INDEX(ポート振替表!$I$5:$I$3507,$L1710))</f>
        <v/>
      </c>
      <c r="L1710" s="47" t="str">
        <f aca="false">IFERROR(MATCH(ROW()-4,ポート振替表!$V$5:$V$3507,0),"")</f>
        <v/>
      </c>
    </row>
    <row r="1711" customFormat="false" ht="16.4" hidden="false" customHeight="false" outlineLevel="0" collapsed="false">
      <c r="A1711" s="32" t="str">
        <f aca="false">IF(L1711="","",ROW()-4)</f>
        <v/>
      </c>
      <c r="B1711" s="58" t="str">
        <f aca="false">IF(L1711="","",IF(INDEX(ポート振替表!$W$5:$W$3507,$L1711)="","(なし)",INDEX(ポート振替表!$W$5:$W$3507,$L1711)&amp;""))</f>
        <v/>
      </c>
      <c r="C1711" s="52" t="str">
        <f aca="false">IF(L1711="","",INDEX(ポート振替表!$B$5:$B$3507,$L1711)&amp;" "&amp;INDEX(ポート振替表!$C$5:$C$3507,$L1711)&amp;"  ⇔  "&amp;INDEX(ポート振替表!$H$5:$H$3507,$L1711)&amp;" "&amp;INDEX(ポート振替表!$I$5:$I$3507,$L1711))</f>
        <v/>
      </c>
      <c r="D1711" s="57" t="s">
        <v>158</v>
      </c>
      <c r="E1711" s="59" t="str">
        <f aca="false">IF(L1711="","",IF(INDEX(ポート振替表!$O$5:$O$3507,$L1711)="","(未設定)",INDEX(ポート振替表!$O$5:$O$3507,$L1711)&amp;""))</f>
        <v/>
      </c>
      <c r="F1711" s="52" t="str">
        <f aca="false">IF(L1711="","",INDEX(ポート振替表!$K$5:$K$3507,$L1711)&amp;" "&amp;INDEX(ポート振替表!$L$5:$L$3507,$L1711)&amp;"  ⇔  "&amp;INDEX(ポート振替表!$H$5:$H$3507,$L1711)&amp;" "&amp;INDEX(ポート振替表!$I$5:$I$3507,$L1711))</f>
        <v/>
      </c>
      <c r="G1711" s="57" t="s">
        <v>158</v>
      </c>
      <c r="H1711" s="32" t="str">
        <f aca="false">IF(L1711="","",INDEX(ポート振替表!$N$5:$N$3507,$L1711)&amp;"")</f>
        <v/>
      </c>
      <c r="I1711" s="32" t="str">
        <f aca="false">IF(L1711="","",INDEX(ポート振替表!$P$5:$P$3507,$L1711)&amp;"")</f>
        <v/>
      </c>
      <c r="J1711" s="60" t="str">
        <f aca="false">IF(L1711="","",INDEX(ポート振替表!$M$5:$M$3507,$L1711)&amp;"")</f>
        <v/>
      </c>
      <c r="K1711" s="52" t="str">
        <f aca="false">IF(L1711="","",E1711&amp;CHAR(10)&amp;INDEX(ポート振替表!$K$5:$K$3507,$L1711)&amp;" "&amp;INDEX(ポート振替表!$L$5:$L$3507,$L1711)&amp;CHAR(10)&amp;"⇔ "&amp;INDEX(ポート振替表!$H$5:$H$3507,$L1711)&amp;" "&amp;INDEX(ポート振替表!$I$5:$I$3507,$L1711))</f>
        <v/>
      </c>
      <c r="L1711" s="47" t="str">
        <f aca="false">IFERROR(MATCH(ROW()-4,ポート振替表!$V$5:$V$3507,0),"")</f>
        <v/>
      </c>
    </row>
    <row r="1712" customFormat="false" ht="16.4" hidden="false" customHeight="false" outlineLevel="0" collapsed="false">
      <c r="A1712" s="32" t="str">
        <f aca="false">IF(L1712="","",ROW()-4)</f>
        <v/>
      </c>
      <c r="B1712" s="58" t="str">
        <f aca="false">IF(L1712="","",IF(INDEX(ポート振替表!$W$5:$W$3507,$L1712)="","(なし)",INDEX(ポート振替表!$W$5:$W$3507,$L1712)&amp;""))</f>
        <v/>
      </c>
      <c r="C1712" s="52" t="str">
        <f aca="false">IF(L1712="","",INDEX(ポート振替表!$B$5:$B$3507,$L1712)&amp;" "&amp;INDEX(ポート振替表!$C$5:$C$3507,$L1712)&amp;"  ⇔  "&amp;INDEX(ポート振替表!$H$5:$H$3507,$L1712)&amp;" "&amp;INDEX(ポート振替表!$I$5:$I$3507,$L1712))</f>
        <v/>
      </c>
      <c r="D1712" s="57" t="s">
        <v>158</v>
      </c>
      <c r="E1712" s="59" t="str">
        <f aca="false">IF(L1712="","",IF(INDEX(ポート振替表!$O$5:$O$3507,$L1712)="","(未設定)",INDEX(ポート振替表!$O$5:$O$3507,$L1712)&amp;""))</f>
        <v/>
      </c>
      <c r="F1712" s="52" t="str">
        <f aca="false">IF(L1712="","",INDEX(ポート振替表!$K$5:$K$3507,$L1712)&amp;" "&amp;INDEX(ポート振替表!$L$5:$L$3507,$L1712)&amp;"  ⇔  "&amp;INDEX(ポート振替表!$H$5:$H$3507,$L1712)&amp;" "&amp;INDEX(ポート振替表!$I$5:$I$3507,$L1712))</f>
        <v/>
      </c>
      <c r="G1712" s="57" t="s">
        <v>158</v>
      </c>
      <c r="H1712" s="32" t="str">
        <f aca="false">IF(L1712="","",INDEX(ポート振替表!$N$5:$N$3507,$L1712)&amp;"")</f>
        <v/>
      </c>
      <c r="I1712" s="32" t="str">
        <f aca="false">IF(L1712="","",INDEX(ポート振替表!$P$5:$P$3507,$L1712)&amp;"")</f>
        <v/>
      </c>
      <c r="J1712" s="60" t="str">
        <f aca="false">IF(L1712="","",INDEX(ポート振替表!$M$5:$M$3507,$L1712)&amp;"")</f>
        <v/>
      </c>
      <c r="K1712" s="52" t="str">
        <f aca="false">IF(L1712="","",E1712&amp;CHAR(10)&amp;INDEX(ポート振替表!$K$5:$K$3507,$L1712)&amp;" "&amp;INDEX(ポート振替表!$L$5:$L$3507,$L1712)&amp;CHAR(10)&amp;"⇔ "&amp;INDEX(ポート振替表!$H$5:$H$3507,$L1712)&amp;" "&amp;INDEX(ポート振替表!$I$5:$I$3507,$L1712))</f>
        <v/>
      </c>
      <c r="L1712" s="47" t="str">
        <f aca="false">IFERROR(MATCH(ROW()-4,ポート振替表!$V$5:$V$3507,0),"")</f>
        <v/>
      </c>
    </row>
    <row r="1713" customFormat="false" ht="16.4" hidden="false" customHeight="false" outlineLevel="0" collapsed="false">
      <c r="A1713" s="32" t="str">
        <f aca="false">IF(L1713="","",ROW()-4)</f>
        <v/>
      </c>
      <c r="B1713" s="58" t="str">
        <f aca="false">IF(L1713="","",IF(INDEX(ポート振替表!$W$5:$W$3507,$L1713)="","(なし)",INDEX(ポート振替表!$W$5:$W$3507,$L1713)&amp;""))</f>
        <v/>
      </c>
      <c r="C1713" s="52" t="str">
        <f aca="false">IF(L1713="","",INDEX(ポート振替表!$B$5:$B$3507,$L1713)&amp;" "&amp;INDEX(ポート振替表!$C$5:$C$3507,$L1713)&amp;"  ⇔  "&amp;INDEX(ポート振替表!$H$5:$H$3507,$L1713)&amp;" "&amp;INDEX(ポート振替表!$I$5:$I$3507,$L1713))</f>
        <v/>
      </c>
      <c r="D1713" s="57" t="s">
        <v>158</v>
      </c>
      <c r="E1713" s="59" t="str">
        <f aca="false">IF(L1713="","",IF(INDEX(ポート振替表!$O$5:$O$3507,$L1713)="","(未設定)",INDEX(ポート振替表!$O$5:$O$3507,$L1713)&amp;""))</f>
        <v/>
      </c>
      <c r="F1713" s="52" t="str">
        <f aca="false">IF(L1713="","",INDEX(ポート振替表!$K$5:$K$3507,$L1713)&amp;" "&amp;INDEX(ポート振替表!$L$5:$L$3507,$L1713)&amp;"  ⇔  "&amp;INDEX(ポート振替表!$H$5:$H$3507,$L1713)&amp;" "&amp;INDEX(ポート振替表!$I$5:$I$3507,$L1713))</f>
        <v/>
      </c>
      <c r="G1713" s="57" t="s">
        <v>158</v>
      </c>
      <c r="H1713" s="32" t="str">
        <f aca="false">IF(L1713="","",INDEX(ポート振替表!$N$5:$N$3507,$L1713)&amp;"")</f>
        <v/>
      </c>
      <c r="I1713" s="32" t="str">
        <f aca="false">IF(L1713="","",INDEX(ポート振替表!$P$5:$P$3507,$L1713)&amp;"")</f>
        <v/>
      </c>
      <c r="J1713" s="60" t="str">
        <f aca="false">IF(L1713="","",INDEX(ポート振替表!$M$5:$M$3507,$L1713)&amp;"")</f>
        <v/>
      </c>
      <c r="K1713" s="52" t="str">
        <f aca="false">IF(L1713="","",E1713&amp;CHAR(10)&amp;INDEX(ポート振替表!$K$5:$K$3507,$L1713)&amp;" "&amp;INDEX(ポート振替表!$L$5:$L$3507,$L1713)&amp;CHAR(10)&amp;"⇔ "&amp;INDEX(ポート振替表!$H$5:$H$3507,$L1713)&amp;" "&amp;INDEX(ポート振替表!$I$5:$I$3507,$L1713))</f>
        <v/>
      </c>
      <c r="L1713" s="47" t="str">
        <f aca="false">IFERROR(MATCH(ROW()-4,ポート振替表!$V$5:$V$3507,0),"")</f>
        <v/>
      </c>
    </row>
    <row r="1714" customFormat="false" ht="16.4" hidden="false" customHeight="false" outlineLevel="0" collapsed="false">
      <c r="A1714" s="32" t="str">
        <f aca="false">IF(L1714="","",ROW()-4)</f>
        <v/>
      </c>
      <c r="B1714" s="58" t="str">
        <f aca="false">IF(L1714="","",IF(INDEX(ポート振替表!$W$5:$W$3507,$L1714)="","(なし)",INDEX(ポート振替表!$W$5:$W$3507,$L1714)&amp;""))</f>
        <v/>
      </c>
      <c r="C1714" s="52" t="str">
        <f aca="false">IF(L1714="","",INDEX(ポート振替表!$B$5:$B$3507,$L1714)&amp;" "&amp;INDEX(ポート振替表!$C$5:$C$3507,$L1714)&amp;"  ⇔  "&amp;INDEX(ポート振替表!$H$5:$H$3507,$L1714)&amp;" "&amp;INDEX(ポート振替表!$I$5:$I$3507,$L1714))</f>
        <v/>
      </c>
      <c r="D1714" s="57" t="s">
        <v>158</v>
      </c>
      <c r="E1714" s="59" t="str">
        <f aca="false">IF(L1714="","",IF(INDEX(ポート振替表!$O$5:$O$3507,$L1714)="","(未設定)",INDEX(ポート振替表!$O$5:$O$3507,$L1714)&amp;""))</f>
        <v/>
      </c>
      <c r="F1714" s="52" t="str">
        <f aca="false">IF(L1714="","",INDEX(ポート振替表!$K$5:$K$3507,$L1714)&amp;" "&amp;INDEX(ポート振替表!$L$5:$L$3507,$L1714)&amp;"  ⇔  "&amp;INDEX(ポート振替表!$H$5:$H$3507,$L1714)&amp;" "&amp;INDEX(ポート振替表!$I$5:$I$3507,$L1714))</f>
        <v/>
      </c>
      <c r="G1714" s="57" t="s">
        <v>158</v>
      </c>
      <c r="H1714" s="32" t="str">
        <f aca="false">IF(L1714="","",INDEX(ポート振替表!$N$5:$N$3507,$L1714)&amp;"")</f>
        <v/>
      </c>
      <c r="I1714" s="32" t="str">
        <f aca="false">IF(L1714="","",INDEX(ポート振替表!$P$5:$P$3507,$L1714)&amp;"")</f>
        <v/>
      </c>
      <c r="J1714" s="60" t="str">
        <f aca="false">IF(L1714="","",INDEX(ポート振替表!$M$5:$M$3507,$L1714)&amp;"")</f>
        <v/>
      </c>
      <c r="K1714" s="52" t="str">
        <f aca="false">IF(L1714="","",E1714&amp;CHAR(10)&amp;INDEX(ポート振替表!$K$5:$K$3507,$L1714)&amp;" "&amp;INDEX(ポート振替表!$L$5:$L$3507,$L1714)&amp;CHAR(10)&amp;"⇔ "&amp;INDEX(ポート振替表!$H$5:$H$3507,$L1714)&amp;" "&amp;INDEX(ポート振替表!$I$5:$I$3507,$L1714))</f>
        <v/>
      </c>
      <c r="L1714" s="47" t="str">
        <f aca="false">IFERROR(MATCH(ROW()-4,ポート振替表!$V$5:$V$3507,0),"")</f>
        <v/>
      </c>
    </row>
    <row r="1715" customFormat="false" ht="16.4" hidden="false" customHeight="false" outlineLevel="0" collapsed="false">
      <c r="A1715" s="32" t="str">
        <f aca="false">IF(L1715="","",ROW()-4)</f>
        <v/>
      </c>
      <c r="B1715" s="58" t="str">
        <f aca="false">IF(L1715="","",IF(INDEX(ポート振替表!$W$5:$W$3507,$L1715)="","(なし)",INDEX(ポート振替表!$W$5:$W$3507,$L1715)&amp;""))</f>
        <v/>
      </c>
      <c r="C1715" s="52" t="str">
        <f aca="false">IF(L1715="","",INDEX(ポート振替表!$B$5:$B$3507,$L1715)&amp;" "&amp;INDEX(ポート振替表!$C$5:$C$3507,$L1715)&amp;"  ⇔  "&amp;INDEX(ポート振替表!$H$5:$H$3507,$L1715)&amp;" "&amp;INDEX(ポート振替表!$I$5:$I$3507,$L1715))</f>
        <v/>
      </c>
      <c r="D1715" s="57" t="s">
        <v>158</v>
      </c>
      <c r="E1715" s="59" t="str">
        <f aca="false">IF(L1715="","",IF(INDEX(ポート振替表!$O$5:$O$3507,$L1715)="","(未設定)",INDEX(ポート振替表!$O$5:$O$3507,$L1715)&amp;""))</f>
        <v/>
      </c>
      <c r="F1715" s="52" t="str">
        <f aca="false">IF(L1715="","",INDEX(ポート振替表!$K$5:$K$3507,$L1715)&amp;" "&amp;INDEX(ポート振替表!$L$5:$L$3507,$L1715)&amp;"  ⇔  "&amp;INDEX(ポート振替表!$H$5:$H$3507,$L1715)&amp;" "&amp;INDEX(ポート振替表!$I$5:$I$3507,$L1715))</f>
        <v/>
      </c>
      <c r="G1715" s="57" t="s">
        <v>158</v>
      </c>
      <c r="H1715" s="32" t="str">
        <f aca="false">IF(L1715="","",INDEX(ポート振替表!$N$5:$N$3507,$L1715)&amp;"")</f>
        <v/>
      </c>
      <c r="I1715" s="32" t="str">
        <f aca="false">IF(L1715="","",INDEX(ポート振替表!$P$5:$P$3507,$L1715)&amp;"")</f>
        <v/>
      </c>
      <c r="J1715" s="60" t="str">
        <f aca="false">IF(L1715="","",INDEX(ポート振替表!$M$5:$M$3507,$L1715)&amp;"")</f>
        <v/>
      </c>
      <c r="K1715" s="52" t="str">
        <f aca="false">IF(L1715="","",E1715&amp;CHAR(10)&amp;INDEX(ポート振替表!$K$5:$K$3507,$L1715)&amp;" "&amp;INDEX(ポート振替表!$L$5:$L$3507,$L1715)&amp;CHAR(10)&amp;"⇔ "&amp;INDEX(ポート振替表!$H$5:$H$3507,$L1715)&amp;" "&amp;INDEX(ポート振替表!$I$5:$I$3507,$L1715))</f>
        <v/>
      </c>
      <c r="L1715" s="47" t="str">
        <f aca="false">IFERROR(MATCH(ROW()-4,ポート振替表!$V$5:$V$3507,0),"")</f>
        <v/>
      </c>
    </row>
    <row r="1716" customFormat="false" ht="16.4" hidden="false" customHeight="false" outlineLevel="0" collapsed="false">
      <c r="A1716" s="32" t="str">
        <f aca="false">IF(L1716="","",ROW()-4)</f>
        <v/>
      </c>
      <c r="B1716" s="58" t="str">
        <f aca="false">IF(L1716="","",IF(INDEX(ポート振替表!$W$5:$W$3507,$L1716)="","(なし)",INDEX(ポート振替表!$W$5:$W$3507,$L1716)&amp;""))</f>
        <v/>
      </c>
      <c r="C1716" s="52" t="str">
        <f aca="false">IF(L1716="","",INDEX(ポート振替表!$B$5:$B$3507,$L1716)&amp;" "&amp;INDEX(ポート振替表!$C$5:$C$3507,$L1716)&amp;"  ⇔  "&amp;INDEX(ポート振替表!$H$5:$H$3507,$L1716)&amp;" "&amp;INDEX(ポート振替表!$I$5:$I$3507,$L1716))</f>
        <v/>
      </c>
      <c r="D1716" s="57" t="s">
        <v>158</v>
      </c>
      <c r="E1716" s="59" t="str">
        <f aca="false">IF(L1716="","",IF(INDEX(ポート振替表!$O$5:$O$3507,$L1716)="","(未設定)",INDEX(ポート振替表!$O$5:$O$3507,$L1716)&amp;""))</f>
        <v/>
      </c>
      <c r="F1716" s="52" t="str">
        <f aca="false">IF(L1716="","",INDEX(ポート振替表!$K$5:$K$3507,$L1716)&amp;" "&amp;INDEX(ポート振替表!$L$5:$L$3507,$L1716)&amp;"  ⇔  "&amp;INDEX(ポート振替表!$H$5:$H$3507,$L1716)&amp;" "&amp;INDEX(ポート振替表!$I$5:$I$3507,$L1716))</f>
        <v/>
      </c>
      <c r="G1716" s="57" t="s">
        <v>158</v>
      </c>
      <c r="H1716" s="32" t="str">
        <f aca="false">IF(L1716="","",INDEX(ポート振替表!$N$5:$N$3507,$L1716)&amp;"")</f>
        <v/>
      </c>
      <c r="I1716" s="32" t="str">
        <f aca="false">IF(L1716="","",INDEX(ポート振替表!$P$5:$P$3507,$L1716)&amp;"")</f>
        <v/>
      </c>
      <c r="J1716" s="60" t="str">
        <f aca="false">IF(L1716="","",INDEX(ポート振替表!$M$5:$M$3507,$L1716)&amp;"")</f>
        <v/>
      </c>
      <c r="K1716" s="52" t="str">
        <f aca="false">IF(L1716="","",E1716&amp;CHAR(10)&amp;INDEX(ポート振替表!$K$5:$K$3507,$L1716)&amp;" "&amp;INDEX(ポート振替表!$L$5:$L$3507,$L1716)&amp;CHAR(10)&amp;"⇔ "&amp;INDEX(ポート振替表!$H$5:$H$3507,$L1716)&amp;" "&amp;INDEX(ポート振替表!$I$5:$I$3507,$L1716))</f>
        <v/>
      </c>
      <c r="L1716" s="47" t="str">
        <f aca="false">IFERROR(MATCH(ROW()-4,ポート振替表!$V$5:$V$3507,0),"")</f>
        <v/>
      </c>
    </row>
    <row r="1717" customFormat="false" ht="16.4" hidden="false" customHeight="false" outlineLevel="0" collapsed="false">
      <c r="A1717" s="32" t="str">
        <f aca="false">IF(L1717="","",ROW()-4)</f>
        <v/>
      </c>
      <c r="B1717" s="58" t="str">
        <f aca="false">IF(L1717="","",IF(INDEX(ポート振替表!$W$5:$W$3507,$L1717)="","(なし)",INDEX(ポート振替表!$W$5:$W$3507,$L1717)&amp;""))</f>
        <v/>
      </c>
      <c r="C1717" s="52" t="str">
        <f aca="false">IF(L1717="","",INDEX(ポート振替表!$B$5:$B$3507,$L1717)&amp;" "&amp;INDEX(ポート振替表!$C$5:$C$3507,$L1717)&amp;"  ⇔  "&amp;INDEX(ポート振替表!$H$5:$H$3507,$L1717)&amp;" "&amp;INDEX(ポート振替表!$I$5:$I$3507,$L1717))</f>
        <v/>
      </c>
      <c r="D1717" s="57" t="s">
        <v>158</v>
      </c>
      <c r="E1717" s="59" t="str">
        <f aca="false">IF(L1717="","",IF(INDEX(ポート振替表!$O$5:$O$3507,$L1717)="","(未設定)",INDEX(ポート振替表!$O$5:$O$3507,$L1717)&amp;""))</f>
        <v/>
      </c>
      <c r="F1717" s="52" t="str">
        <f aca="false">IF(L1717="","",INDEX(ポート振替表!$K$5:$K$3507,$L1717)&amp;" "&amp;INDEX(ポート振替表!$L$5:$L$3507,$L1717)&amp;"  ⇔  "&amp;INDEX(ポート振替表!$H$5:$H$3507,$L1717)&amp;" "&amp;INDEX(ポート振替表!$I$5:$I$3507,$L1717))</f>
        <v/>
      </c>
      <c r="G1717" s="57" t="s">
        <v>158</v>
      </c>
      <c r="H1717" s="32" t="str">
        <f aca="false">IF(L1717="","",INDEX(ポート振替表!$N$5:$N$3507,$L1717)&amp;"")</f>
        <v/>
      </c>
      <c r="I1717" s="32" t="str">
        <f aca="false">IF(L1717="","",INDEX(ポート振替表!$P$5:$P$3507,$L1717)&amp;"")</f>
        <v/>
      </c>
      <c r="J1717" s="60" t="str">
        <f aca="false">IF(L1717="","",INDEX(ポート振替表!$M$5:$M$3507,$L1717)&amp;"")</f>
        <v/>
      </c>
      <c r="K1717" s="52" t="str">
        <f aca="false">IF(L1717="","",E1717&amp;CHAR(10)&amp;INDEX(ポート振替表!$K$5:$K$3507,$L1717)&amp;" "&amp;INDEX(ポート振替表!$L$5:$L$3507,$L1717)&amp;CHAR(10)&amp;"⇔ "&amp;INDEX(ポート振替表!$H$5:$H$3507,$L1717)&amp;" "&amp;INDEX(ポート振替表!$I$5:$I$3507,$L1717))</f>
        <v/>
      </c>
      <c r="L1717" s="47" t="str">
        <f aca="false">IFERROR(MATCH(ROW()-4,ポート振替表!$V$5:$V$3507,0),"")</f>
        <v/>
      </c>
    </row>
    <row r="1718" customFormat="false" ht="16.4" hidden="false" customHeight="false" outlineLevel="0" collapsed="false">
      <c r="A1718" s="32" t="str">
        <f aca="false">IF(L1718="","",ROW()-4)</f>
        <v/>
      </c>
      <c r="B1718" s="58" t="str">
        <f aca="false">IF(L1718="","",IF(INDEX(ポート振替表!$W$5:$W$3507,$L1718)="","(なし)",INDEX(ポート振替表!$W$5:$W$3507,$L1718)&amp;""))</f>
        <v/>
      </c>
      <c r="C1718" s="52" t="str">
        <f aca="false">IF(L1718="","",INDEX(ポート振替表!$B$5:$B$3507,$L1718)&amp;" "&amp;INDEX(ポート振替表!$C$5:$C$3507,$L1718)&amp;"  ⇔  "&amp;INDEX(ポート振替表!$H$5:$H$3507,$L1718)&amp;" "&amp;INDEX(ポート振替表!$I$5:$I$3507,$L1718))</f>
        <v/>
      </c>
      <c r="D1718" s="57" t="s">
        <v>158</v>
      </c>
      <c r="E1718" s="59" t="str">
        <f aca="false">IF(L1718="","",IF(INDEX(ポート振替表!$O$5:$O$3507,$L1718)="","(未設定)",INDEX(ポート振替表!$O$5:$O$3507,$L1718)&amp;""))</f>
        <v/>
      </c>
      <c r="F1718" s="52" t="str">
        <f aca="false">IF(L1718="","",INDEX(ポート振替表!$K$5:$K$3507,$L1718)&amp;" "&amp;INDEX(ポート振替表!$L$5:$L$3507,$L1718)&amp;"  ⇔  "&amp;INDEX(ポート振替表!$H$5:$H$3507,$L1718)&amp;" "&amp;INDEX(ポート振替表!$I$5:$I$3507,$L1718))</f>
        <v/>
      </c>
      <c r="G1718" s="57" t="s">
        <v>158</v>
      </c>
      <c r="H1718" s="32" t="str">
        <f aca="false">IF(L1718="","",INDEX(ポート振替表!$N$5:$N$3507,$L1718)&amp;"")</f>
        <v/>
      </c>
      <c r="I1718" s="32" t="str">
        <f aca="false">IF(L1718="","",INDEX(ポート振替表!$P$5:$P$3507,$L1718)&amp;"")</f>
        <v/>
      </c>
      <c r="J1718" s="60" t="str">
        <f aca="false">IF(L1718="","",INDEX(ポート振替表!$M$5:$M$3507,$L1718)&amp;"")</f>
        <v/>
      </c>
      <c r="K1718" s="52" t="str">
        <f aca="false">IF(L1718="","",E1718&amp;CHAR(10)&amp;INDEX(ポート振替表!$K$5:$K$3507,$L1718)&amp;" "&amp;INDEX(ポート振替表!$L$5:$L$3507,$L1718)&amp;CHAR(10)&amp;"⇔ "&amp;INDEX(ポート振替表!$H$5:$H$3507,$L1718)&amp;" "&amp;INDEX(ポート振替表!$I$5:$I$3507,$L1718))</f>
        <v/>
      </c>
      <c r="L1718" s="47" t="str">
        <f aca="false">IFERROR(MATCH(ROW()-4,ポート振替表!$V$5:$V$3507,0),"")</f>
        <v/>
      </c>
    </row>
    <row r="1719" customFormat="false" ht="16.4" hidden="false" customHeight="false" outlineLevel="0" collapsed="false">
      <c r="A1719" s="32" t="str">
        <f aca="false">IF(L1719="","",ROW()-4)</f>
        <v/>
      </c>
      <c r="B1719" s="58" t="str">
        <f aca="false">IF(L1719="","",IF(INDEX(ポート振替表!$W$5:$W$3507,$L1719)="","(なし)",INDEX(ポート振替表!$W$5:$W$3507,$L1719)&amp;""))</f>
        <v/>
      </c>
      <c r="C1719" s="52" t="str">
        <f aca="false">IF(L1719="","",INDEX(ポート振替表!$B$5:$B$3507,$L1719)&amp;" "&amp;INDEX(ポート振替表!$C$5:$C$3507,$L1719)&amp;"  ⇔  "&amp;INDEX(ポート振替表!$H$5:$H$3507,$L1719)&amp;" "&amp;INDEX(ポート振替表!$I$5:$I$3507,$L1719))</f>
        <v/>
      </c>
      <c r="D1719" s="57" t="s">
        <v>158</v>
      </c>
      <c r="E1719" s="59" t="str">
        <f aca="false">IF(L1719="","",IF(INDEX(ポート振替表!$O$5:$O$3507,$L1719)="","(未設定)",INDEX(ポート振替表!$O$5:$O$3507,$L1719)&amp;""))</f>
        <v/>
      </c>
      <c r="F1719" s="52" t="str">
        <f aca="false">IF(L1719="","",INDEX(ポート振替表!$K$5:$K$3507,$L1719)&amp;" "&amp;INDEX(ポート振替表!$L$5:$L$3507,$L1719)&amp;"  ⇔  "&amp;INDEX(ポート振替表!$H$5:$H$3507,$L1719)&amp;" "&amp;INDEX(ポート振替表!$I$5:$I$3507,$L1719))</f>
        <v/>
      </c>
      <c r="G1719" s="57" t="s">
        <v>158</v>
      </c>
      <c r="H1719" s="32" t="str">
        <f aca="false">IF(L1719="","",INDEX(ポート振替表!$N$5:$N$3507,$L1719)&amp;"")</f>
        <v/>
      </c>
      <c r="I1719" s="32" t="str">
        <f aca="false">IF(L1719="","",INDEX(ポート振替表!$P$5:$P$3507,$L1719)&amp;"")</f>
        <v/>
      </c>
      <c r="J1719" s="60" t="str">
        <f aca="false">IF(L1719="","",INDEX(ポート振替表!$M$5:$M$3507,$L1719)&amp;"")</f>
        <v/>
      </c>
      <c r="K1719" s="52" t="str">
        <f aca="false">IF(L1719="","",E1719&amp;CHAR(10)&amp;INDEX(ポート振替表!$K$5:$K$3507,$L1719)&amp;" "&amp;INDEX(ポート振替表!$L$5:$L$3507,$L1719)&amp;CHAR(10)&amp;"⇔ "&amp;INDEX(ポート振替表!$H$5:$H$3507,$L1719)&amp;" "&amp;INDEX(ポート振替表!$I$5:$I$3507,$L1719))</f>
        <v/>
      </c>
      <c r="L1719" s="47" t="str">
        <f aca="false">IFERROR(MATCH(ROW()-4,ポート振替表!$V$5:$V$3507,0),"")</f>
        <v/>
      </c>
    </row>
    <row r="1720" customFormat="false" ht="16.4" hidden="false" customHeight="false" outlineLevel="0" collapsed="false">
      <c r="A1720" s="32" t="str">
        <f aca="false">IF(L1720="","",ROW()-4)</f>
        <v/>
      </c>
      <c r="B1720" s="58" t="str">
        <f aca="false">IF(L1720="","",IF(INDEX(ポート振替表!$W$5:$W$3507,$L1720)="","(なし)",INDEX(ポート振替表!$W$5:$W$3507,$L1720)&amp;""))</f>
        <v/>
      </c>
      <c r="C1720" s="52" t="str">
        <f aca="false">IF(L1720="","",INDEX(ポート振替表!$B$5:$B$3507,$L1720)&amp;" "&amp;INDEX(ポート振替表!$C$5:$C$3507,$L1720)&amp;"  ⇔  "&amp;INDEX(ポート振替表!$H$5:$H$3507,$L1720)&amp;" "&amp;INDEX(ポート振替表!$I$5:$I$3507,$L1720))</f>
        <v/>
      </c>
      <c r="D1720" s="57" t="s">
        <v>158</v>
      </c>
      <c r="E1720" s="59" t="str">
        <f aca="false">IF(L1720="","",IF(INDEX(ポート振替表!$O$5:$O$3507,$L1720)="","(未設定)",INDEX(ポート振替表!$O$5:$O$3507,$L1720)&amp;""))</f>
        <v/>
      </c>
      <c r="F1720" s="52" t="str">
        <f aca="false">IF(L1720="","",INDEX(ポート振替表!$K$5:$K$3507,$L1720)&amp;" "&amp;INDEX(ポート振替表!$L$5:$L$3507,$L1720)&amp;"  ⇔  "&amp;INDEX(ポート振替表!$H$5:$H$3507,$L1720)&amp;" "&amp;INDEX(ポート振替表!$I$5:$I$3507,$L1720))</f>
        <v/>
      </c>
      <c r="G1720" s="57" t="s">
        <v>158</v>
      </c>
      <c r="H1720" s="32" t="str">
        <f aca="false">IF(L1720="","",INDEX(ポート振替表!$N$5:$N$3507,$L1720)&amp;"")</f>
        <v/>
      </c>
      <c r="I1720" s="32" t="str">
        <f aca="false">IF(L1720="","",INDEX(ポート振替表!$P$5:$P$3507,$L1720)&amp;"")</f>
        <v/>
      </c>
      <c r="J1720" s="60" t="str">
        <f aca="false">IF(L1720="","",INDEX(ポート振替表!$M$5:$M$3507,$L1720)&amp;"")</f>
        <v/>
      </c>
      <c r="K1720" s="52" t="str">
        <f aca="false">IF(L1720="","",E1720&amp;CHAR(10)&amp;INDEX(ポート振替表!$K$5:$K$3507,$L1720)&amp;" "&amp;INDEX(ポート振替表!$L$5:$L$3507,$L1720)&amp;CHAR(10)&amp;"⇔ "&amp;INDEX(ポート振替表!$H$5:$H$3507,$L1720)&amp;" "&amp;INDEX(ポート振替表!$I$5:$I$3507,$L1720))</f>
        <v/>
      </c>
      <c r="L1720" s="47" t="str">
        <f aca="false">IFERROR(MATCH(ROW()-4,ポート振替表!$V$5:$V$3507,0),"")</f>
        <v/>
      </c>
    </row>
    <row r="1721" customFormat="false" ht="16.4" hidden="false" customHeight="false" outlineLevel="0" collapsed="false">
      <c r="A1721" s="32" t="str">
        <f aca="false">IF(L1721="","",ROW()-4)</f>
        <v/>
      </c>
      <c r="B1721" s="58" t="str">
        <f aca="false">IF(L1721="","",IF(INDEX(ポート振替表!$W$5:$W$3507,$L1721)="","(なし)",INDEX(ポート振替表!$W$5:$W$3507,$L1721)&amp;""))</f>
        <v/>
      </c>
      <c r="C1721" s="52" t="str">
        <f aca="false">IF(L1721="","",INDEX(ポート振替表!$B$5:$B$3507,$L1721)&amp;" "&amp;INDEX(ポート振替表!$C$5:$C$3507,$L1721)&amp;"  ⇔  "&amp;INDEX(ポート振替表!$H$5:$H$3507,$L1721)&amp;" "&amp;INDEX(ポート振替表!$I$5:$I$3507,$L1721))</f>
        <v/>
      </c>
      <c r="D1721" s="57" t="s">
        <v>158</v>
      </c>
      <c r="E1721" s="59" t="str">
        <f aca="false">IF(L1721="","",IF(INDEX(ポート振替表!$O$5:$O$3507,$L1721)="","(未設定)",INDEX(ポート振替表!$O$5:$O$3507,$L1721)&amp;""))</f>
        <v/>
      </c>
      <c r="F1721" s="52" t="str">
        <f aca="false">IF(L1721="","",INDEX(ポート振替表!$K$5:$K$3507,$L1721)&amp;" "&amp;INDEX(ポート振替表!$L$5:$L$3507,$L1721)&amp;"  ⇔  "&amp;INDEX(ポート振替表!$H$5:$H$3507,$L1721)&amp;" "&amp;INDEX(ポート振替表!$I$5:$I$3507,$L1721))</f>
        <v/>
      </c>
      <c r="G1721" s="57" t="s">
        <v>158</v>
      </c>
      <c r="H1721" s="32" t="str">
        <f aca="false">IF(L1721="","",INDEX(ポート振替表!$N$5:$N$3507,$L1721)&amp;"")</f>
        <v/>
      </c>
      <c r="I1721" s="32" t="str">
        <f aca="false">IF(L1721="","",INDEX(ポート振替表!$P$5:$P$3507,$L1721)&amp;"")</f>
        <v/>
      </c>
      <c r="J1721" s="60" t="str">
        <f aca="false">IF(L1721="","",INDEX(ポート振替表!$M$5:$M$3507,$L1721)&amp;"")</f>
        <v/>
      </c>
      <c r="K1721" s="52" t="str">
        <f aca="false">IF(L1721="","",E1721&amp;CHAR(10)&amp;INDEX(ポート振替表!$K$5:$K$3507,$L1721)&amp;" "&amp;INDEX(ポート振替表!$L$5:$L$3507,$L1721)&amp;CHAR(10)&amp;"⇔ "&amp;INDEX(ポート振替表!$H$5:$H$3507,$L1721)&amp;" "&amp;INDEX(ポート振替表!$I$5:$I$3507,$L1721))</f>
        <v/>
      </c>
      <c r="L1721" s="47" t="str">
        <f aca="false">IFERROR(MATCH(ROW()-4,ポート振替表!$V$5:$V$3507,0),"")</f>
        <v/>
      </c>
    </row>
    <row r="1722" customFormat="false" ht="16.4" hidden="false" customHeight="false" outlineLevel="0" collapsed="false">
      <c r="A1722" s="32" t="str">
        <f aca="false">IF(L1722="","",ROW()-4)</f>
        <v/>
      </c>
      <c r="B1722" s="58" t="str">
        <f aca="false">IF(L1722="","",IF(INDEX(ポート振替表!$W$5:$W$3507,$L1722)="","(なし)",INDEX(ポート振替表!$W$5:$W$3507,$L1722)&amp;""))</f>
        <v/>
      </c>
      <c r="C1722" s="52" t="str">
        <f aca="false">IF(L1722="","",INDEX(ポート振替表!$B$5:$B$3507,$L1722)&amp;" "&amp;INDEX(ポート振替表!$C$5:$C$3507,$L1722)&amp;"  ⇔  "&amp;INDEX(ポート振替表!$H$5:$H$3507,$L1722)&amp;" "&amp;INDEX(ポート振替表!$I$5:$I$3507,$L1722))</f>
        <v/>
      </c>
      <c r="D1722" s="57" t="s">
        <v>158</v>
      </c>
      <c r="E1722" s="59" t="str">
        <f aca="false">IF(L1722="","",IF(INDEX(ポート振替表!$O$5:$O$3507,$L1722)="","(未設定)",INDEX(ポート振替表!$O$5:$O$3507,$L1722)&amp;""))</f>
        <v/>
      </c>
      <c r="F1722" s="52" t="str">
        <f aca="false">IF(L1722="","",INDEX(ポート振替表!$K$5:$K$3507,$L1722)&amp;" "&amp;INDEX(ポート振替表!$L$5:$L$3507,$L1722)&amp;"  ⇔  "&amp;INDEX(ポート振替表!$H$5:$H$3507,$L1722)&amp;" "&amp;INDEX(ポート振替表!$I$5:$I$3507,$L1722))</f>
        <v/>
      </c>
      <c r="G1722" s="57" t="s">
        <v>158</v>
      </c>
      <c r="H1722" s="32" t="str">
        <f aca="false">IF(L1722="","",INDEX(ポート振替表!$N$5:$N$3507,$L1722)&amp;"")</f>
        <v/>
      </c>
      <c r="I1722" s="32" t="str">
        <f aca="false">IF(L1722="","",INDEX(ポート振替表!$P$5:$P$3507,$L1722)&amp;"")</f>
        <v/>
      </c>
      <c r="J1722" s="60" t="str">
        <f aca="false">IF(L1722="","",INDEX(ポート振替表!$M$5:$M$3507,$L1722)&amp;"")</f>
        <v/>
      </c>
      <c r="K1722" s="52" t="str">
        <f aca="false">IF(L1722="","",E1722&amp;CHAR(10)&amp;INDEX(ポート振替表!$K$5:$K$3507,$L1722)&amp;" "&amp;INDEX(ポート振替表!$L$5:$L$3507,$L1722)&amp;CHAR(10)&amp;"⇔ "&amp;INDEX(ポート振替表!$H$5:$H$3507,$L1722)&amp;" "&amp;INDEX(ポート振替表!$I$5:$I$3507,$L1722))</f>
        <v/>
      </c>
      <c r="L1722" s="47" t="str">
        <f aca="false">IFERROR(MATCH(ROW()-4,ポート振替表!$V$5:$V$3507,0),"")</f>
        <v/>
      </c>
    </row>
    <row r="1723" customFormat="false" ht="16.4" hidden="false" customHeight="false" outlineLevel="0" collapsed="false">
      <c r="A1723" s="32" t="str">
        <f aca="false">IF(L1723="","",ROW()-4)</f>
        <v/>
      </c>
      <c r="B1723" s="58" t="str">
        <f aca="false">IF(L1723="","",IF(INDEX(ポート振替表!$W$5:$W$3507,$L1723)="","(なし)",INDEX(ポート振替表!$W$5:$W$3507,$L1723)&amp;""))</f>
        <v/>
      </c>
      <c r="C1723" s="52" t="str">
        <f aca="false">IF(L1723="","",INDEX(ポート振替表!$B$5:$B$3507,$L1723)&amp;" "&amp;INDEX(ポート振替表!$C$5:$C$3507,$L1723)&amp;"  ⇔  "&amp;INDEX(ポート振替表!$H$5:$H$3507,$L1723)&amp;" "&amp;INDEX(ポート振替表!$I$5:$I$3507,$L1723))</f>
        <v/>
      </c>
      <c r="D1723" s="57" t="s">
        <v>158</v>
      </c>
      <c r="E1723" s="59" t="str">
        <f aca="false">IF(L1723="","",IF(INDEX(ポート振替表!$O$5:$O$3507,$L1723)="","(未設定)",INDEX(ポート振替表!$O$5:$O$3507,$L1723)&amp;""))</f>
        <v/>
      </c>
      <c r="F1723" s="52" t="str">
        <f aca="false">IF(L1723="","",INDEX(ポート振替表!$K$5:$K$3507,$L1723)&amp;" "&amp;INDEX(ポート振替表!$L$5:$L$3507,$L1723)&amp;"  ⇔  "&amp;INDEX(ポート振替表!$H$5:$H$3507,$L1723)&amp;" "&amp;INDEX(ポート振替表!$I$5:$I$3507,$L1723))</f>
        <v/>
      </c>
      <c r="G1723" s="57" t="s">
        <v>158</v>
      </c>
      <c r="H1723" s="32" t="str">
        <f aca="false">IF(L1723="","",INDEX(ポート振替表!$N$5:$N$3507,$L1723)&amp;"")</f>
        <v/>
      </c>
      <c r="I1723" s="32" t="str">
        <f aca="false">IF(L1723="","",INDEX(ポート振替表!$P$5:$P$3507,$L1723)&amp;"")</f>
        <v/>
      </c>
      <c r="J1723" s="60" t="str">
        <f aca="false">IF(L1723="","",INDEX(ポート振替表!$M$5:$M$3507,$L1723)&amp;"")</f>
        <v/>
      </c>
      <c r="K1723" s="52" t="str">
        <f aca="false">IF(L1723="","",E1723&amp;CHAR(10)&amp;INDEX(ポート振替表!$K$5:$K$3507,$L1723)&amp;" "&amp;INDEX(ポート振替表!$L$5:$L$3507,$L1723)&amp;CHAR(10)&amp;"⇔ "&amp;INDEX(ポート振替表!$H$5:$H$3507,$L1723)&amp;" "&amp;INDEX(ポート振替表!$I$5:$I$3507,$L1723))</f>
        <v/>
      </c>
      <c r="L1723" s="47" t="str">
        <f aca="false">IFERROR(MATCH(ROW()-4,ポート振替表!$V$5:$V$3507,0),"")</f>
        <v/>
      </c>
    </row>
    <row r="1724" customFormat="false" ht="16.4" hidden="false" customHeight="false" outlineLevel="0" collapsed="false">
      <c r="A1724" s="32" t="str">
        <f aca="false">IF(L1724="","",ROW()-4)</f>
        <v/>
      </c>
      <c r="B1724" s="58" t="str">
        <f aca="false">IF(L1724="","",IF(INDEX(ポート振替表!$W$5:$W$3507,$L1724)="","(なし)",INDEX(ポート振替表!$W$5:$W$3507,$L1724)&amp;""))</f>
        <v/>
      </c>
      <c r="C1724" s="52" t="str">
        <f aca="false">IF(L1724="","",INDEX(ポート振替表!$B$5:$B$3507,$L1724)&amp;" "&amp;INDEX(ポート振替表!$C$5:$C$3507,$L1724)&amp;"  ⇔  "&amp;INDEX(ポート振替表!$H$5:$H$3507,$L1724)&amp;" "&amp;INDEX(ポート振替表!$I$5:$I$3507,$L1724))</f>
        <v/>
      </c>
      <c r="D1724" s="57" t="s">
        <v>158</v>
      </c>
      <c r="E1724" s="59" t="str">
        <f aca="false">IF(L1724="","",IF(INDEX(ポート振替表!$O$5:$O$3507,$L1724)="","(未設定)",INDEX(ポート振替表!$O$5:$O$3507,$L1724)&amp;""))</f>
        <v/>
      </c>
      <c r="F1724" s="52" t="str">
        <f aca="false">IF(L1724="","",INDEX(ポート振替表!$K$5:$K$3507,$L1724)&amp;" "&amp;INDEX(ポート振替表!$L$5:$L$3507,$L1724)&amp;"  ⇔  "&amp;INDEX(ポート振替表!$H$5:$H$3507,$L1724)&amp;" "&amp;INDEX(ポート振替表!$I$5:$I$3507,$L1724))</f>
        <v/>
      </c>
      <c r="G1724" s="57" t="s">
        <v>158</v>
      </c>
      <c r="H1724" s="32" t="str">
        <f aca="false">IF(L1724="","",INDEX(ポート振替表!$N$5:$N$3507,$L1724)&amp;"")</f>
        <v/>
      </c>
      <c r="I1724" s="32" t="str">
        <f aca="false">IF(L1724="","",INDEX(ポート振替表!$P$5:$P$3507,$L1724)&amp;"")</f>
        <v/>
      </c>
      <c r="J1724" s="60" t="str">
        <f aca="false">IF(L1724="","",INDEX(ポート振替表!$M$5:$M$3507,$L1724)&amp;"")</f>
        <v/>
      </c>
      <c r="K1724" s="52" t="str">
        <f aca="false">IF(L1724="","",E1724&amp;CHAR(10)&amp;INDEX(ポート振替表!$K$5:$K$3507,$L1724)&amp;" "&amp;INDEX(ポート振替表!$L$5:$L$3507,$L1724)&amp;CHAR(10)&amp;"⇔ "&amp;INDEX(ポート振替表!$H$5:$H$3507,$L1724)&amp;" "&amp;INDEX(ポート振替表!$I$5:$I$3507,$L1724))</f>
        <v/>
      </c>
      <c r="L1724" s="47" t="str">
        <f aca="false">IFERROR(MATCH(ROW()-4,ポート振替表!$V$5:$V$3507,0),"")</f>
        <v/>
      </c>
    </row>
    <row r="1725" customFormat="false" ht="16.4" hidden="false" customHeight="false" outlineLevel="0" collapsed="false">
      <c r="A1725" s="32" t="str">
        <f aca="false">IF(L1725="","",ROW()-4)</f>
        <v/>
      </c>
      <c r="B1725" s="58" t="str">
        <f aca="false">IF(L1725="","",IF(INDEX(ポート振替表!$W$5:$W$3507,$L1725)="","(なし)",INDEX(ポート振替表!$W$5:$W$3507,$L1725)&amp;""))</f>
        <v/>
      </c>
      <c r="C1725" s="52" t="str">
        <f aca="false">IF(L1725="","",INDEX(ポート振替表!$B$5:$B$3507,$L1725)&amp;" "&amp;INDEX(ポート振替表!$C$5:$C$3507,$L1725)&amp;"  ⇔  "&amp;INDEX(ポート振替表!$H$5:$H$3507,$L1725)&amp;" "&amp;INDEX(ポート振替表!$I$5:$I$3507,$L1725))</f>
        <v/>
      </c>
      <c r="D1725" s="57" t="s">
        <v>158</v>
      </c>
      <c r="E1725" s="59" t="str">
        <f aca="false">IF(L1725="","",IF(INDEX(ポート振替表!$O$5:$O$3507,$L1725)="","(未設定)",INDEX(ポート振替表!$O$5:$O$3507,$L1725)&amp;""))</f>
        <v/>
      </c>
      <c r="F1725" s="52" t="str">
        <f aca="false">IF(L1725="","",INDEX(ポート振替表!$K$5:$K$3507,$L1725)&amp;" "&amp;INDEX(ポート振替表!$L$5:$L$3507,$L1725)&amp;"  ⇔  "&amp;INDEX(ポート振替表!$H$5:$H$3507,$L1725)&amp;" "&amp;INDEX(ポート振替表!$I$5:$I$3507,$L1725))</f>
        <v/>
      </c>
      <c r="G1725" s="57" t="s">
        <v>158</v>
      </c>
      <c r="H1725" s="32" t="str">
        <f aca="false">IF(L1725="","",INDEX(ポート振替表!$N$5:$N$3507,$L1725)&amp;"")</f>
        <v/>
      </c>
      <c r="I1725" s="32" t="str">
        <f aca="false">IF(L1725="","",INDEX(ポート振替表!$P$5:$P$3507,$L1725)&amp;"")</f>
        <v/>
      </c>
      <c r="J1725" s="60" t="str">
        <f aca="false">IF(L1725="","",INDEX(ポート振替表!$M$5:$M$3507,$L1725)&amp;"")</f>
        <v/>
      </c>
      <c r="K1725" s="52" t="str">
        <f aca="false">IF(L1725="","",E1725&amp;CHAR(10)&amp;INDEX(ポート振替表!$K$5:$K$3507,$L1725)&amp;" "&amp;INDEX(ポート振替表!$L$5:$L$3507,$L1725)&amp;CHAR(10)&amp;"⇔ "&amp;INDEX(ポート振替表!$H$5:$H$3507,$L1725)&amp;" "&amp;INDEX(ポート振替表!$I$5:$I$3507,$L1725))</f>
        <v/>
      </c>
      <c r="L1725" s="47" t="str">
        <f aca="false">IFERROR(MATCH(ROW()-4,ポート振替表!$V$5:$V$3507,0),"")</f>
        <v/>
      </c>
    </row>
    <row r="1726" customFormat="false" ht="16.4" hidden="false" customHeight="false" outlineLevel="0" collapsed="false">
      <c r="A1726" s="32" t="str">
        <f aca="false">IF(L1726="","",ROW()-4)</f>
        <v/>
      </c>
      <c r="B1726" s="58" t="str">
        <f aca="false">IF(L1726="","",IF(INDEX(ポート振替表!$W$5:$W$3507,$L1726)="","(なし)",INDEX(ポート振替表!$W$5:$W$3507,$L1726)&amp;""))</f>
        <v/>
      </c>
      <c r="C1726" s="52" t="str">
        <f aca="false">IF(L1726="","",INDEX(ポート振替表!$B$5:$B$3507,$L1726)&amp;" "&amp;INDEX(ポート振替表!$C$5:$C$3507,$L1726)&amp;"  ⇔  "&amp;INDEX(ポート振替表!$H$5:$H$3507,$L1726)&amp;" "&amp;INDEX(ポート振替表!$I$5:$I$3507,$L1726))</f>
        <v/>
      </c>
      <c r="D1726" s="57" t="s">
        <v>158</v>
      </c>
      <c r="E1726" s="59" t="str">
        <f aca="false">IF(L1726="","",IF(INDEX(ポート振替表!$O$5:$O$3507,$L1726)="","(未設定)",INDEX(ポート振替表!$O$5:$O$3507,$L1726)&amp;""))</f>
        <v/>
      </c>
      <c r="F1726" s="52" t="str">
        <f aca="false">IF(L1726="","",INDEX(ポート振替表!$K$5:$K$3507,$L1726)&amp;" "&amp;INDEX(ポート振替表!$L$5:$L$3507,$L1726)&amp;"  ⇔  "&amp;INDEX(ポート振替表!$H$5:$H$3507,$L1726)&amp;" "&amp;INDEX(ポート振替表!$I$5:$I$3507,$L1726))</f>
        <v/>
      </c>
      <c r="G1726" s="57" t="s">
        <v>158</v>
      </c>
      <c r="H1726" s="32" t="str">
        <f aca="false">IF(L1726="","",INDEX(ポート振替表!$N$5:$N$3507,$L1726)&amp;"")</f>
        <v/>
      </c>
      <c r="I1726" s="32" t="str">
        <f aca="false">IF(L1726="","",INDEX(ポート振替表!$P$5:$P$3507,$L1726)&amp;"")</f>
        <v/>
      </c>
      <c r="J1726" s="60" t="str">
        <f aca="false">IF(L1726="","",INDEX(ポート振替表!$M$5:$M$3507,$L1726)&amp;"")</f>
        <v/>
      </c>
      <c r="K1726" s="52" t="str">
        <f aca="false">IF(L1726="","",E1726&amp;CHAR(10)&amp;INDEX(ポート振替表!$K$5:$K$3507,$L1726)&amp;" "&amp;INDEX(ポート振替表!$L$5:$L$3507,$L1726)&amp;CHAR(10)&amp;"⇔ "&amp;INDEX(ポート振替表!$H$5:$H$3507,$L1726)&amp;" "&amp;INDEX(ポート振替表!$I$5:$I$3507,$L1726))</f>
        <v/>
      </c>
      <c r="L1726" s="47" t="str">
        <f aca="false">IFERROR(MATCH(ROW()-4,ポート振替表!$V$5:$V$3507,0),"")</f>
        <v/>
      </c>
    </row>
    <row r="1727" customFormat="false" ht="16.4" hidden="false" customHeight="false" outlineLevel="0" collapsed="false">
      <c r="A1727" s="32" t="str">
        <f aca="false">IF(L1727="","",ROW()-4)</f>
        <v/>
      </c>
      <c r="B1727" s="58" t="str">
        <f aca="false">IF(L1727="","",IF(INDEX(ポート振替表!$W$5:$W$3507,$L1727)="","(なし)",INDEX(ポート振替表!$W$5:$W$3507,$L1727)&amp;""))</f>
        <v/>
      </c>
      <c r="C1727" s="52" t="str">
        <f aca="false">IF(L1727="","",INDEX(ポート振替表!$B$5:$B$3507,$L1727)&amp;" "&amp;INDEX(ポート振替表!$C$5:$C$3507,$L1727)&amp;"  ⇔  "&amp;INDEX(ポート振替表!$H$5:$H$3507,$L1727)&amp;" "&amp;INDEX(ポート振替表!$I$5:$I$3507,$L1727))</f>
        <v/>
      </c>
      <c r="D1727" s="57" t="s">
        <v>158</v>
      </c>
      <c r="E1727" s="59" t="str">
        <f aca="false">IF(L1727="","",IF(INDEX(ポート振替表!$O$5:$O$3507,$L1727)="","(未設定)",INDEX(ポート振替表!$O$5:$O$3507,$L1727)&amp;""))</f>
        <v/>
      </c>
      <c r="F1727" s="52" t="str">
        <f aca="false">IF(L1727="","",INDEX(ポート振替表!$K$5:$K$3507,$L1727)&amp;" "&amp;INDEX(ポート振替表!$L$5:$L$3507,$L1727)&amp;"  ⇔  "&amp;INDEX(ポート振替表!$H$5:$H$3507,$L1727)&amp;" "&amp;INDEX(ポート振替表!$I$5:$I$3507,$L1727))</f>
        <v/>
      </c>
      <c r="G1727" s="57" t="s">
        <v>158</v>
      </c>
      <c r="H1727" s="32" t="str">
        <f aca="false">IF(L1727="","",INDEX(ポート振替表!$N$5:$N$3507,$L1727)&amp;"")</f>
        <v/>
      </c>
      <c r="I1727" s="32" t="str">
        <f aca="false">IF(L1727="","",INDEX(ポート振替表!$P$5:$P$3507,$L1727)&amp;"")</f>
        <v/>
      </c>
      <c r="J1727" s="60" t="str">
        <f aca="false">IF(L1727="","",INDEX(ポート振替表!$M$5:$M$3507,$L1727)&amp;"")</f>
        <v/>
      </c>
      <c r="K1727" s="52" t="str">
        <f aca="false">IF(L1727="","",E1727&amp;CHAR(10)&amp;INDEX(ポート振替表!$K$5:$K$3507,$L1727)&amp;" "&amp;INDEX(ポート振替表!$L$5:$L$3507,$L1727)&amp;CHAR(10)&amp;"⇔ "&amp;INDEX(ポート振替表!$H$5:$H$3507,$L1727)&amp;" "&amp;INDEX(ポート振替表!$I$5:$I$3507,$L1727))</f>
        <v/>
      </c>
      <c r="L1727" s="47" t="str">
        <f aca="false">IFERROR(MATCH(ROW()-4,ポート振替表!$V$5:$V$3507,0),"")</f>
        <v/>
      </c>
    </row>
    <row r="1728" customFormat="false" ht="16.4" hidden="false" customHeight="false" outlineLevel="0" collapsed="false">
      <c r="A1728" s="32" t="str">
        <f aca="false">IF(L1728="","",ROW()-4)</f>
        <v/>
      </c>
      <c r="B1728" s="58" t="str">
        <f aca="false">IF(L1728="","",IF(INDEX(ポート振替表!$W$5:$W$3507,$L1728)="","(なし)",INDEX(ポート振替表!$W$5:$W$3507,$L1728)&amp;""))</f>
        <v/>
      </c>
      <c r="C1728" s="52" t="str">
        <f aca="false">IF(L1728="","",INDEX(ポート振替表!$B$5:$B$3507,$L1728)&amp;" "&amp;INDEX(ポート振替表!$C$5:$C$3507,$L1728)&amp;"  ⇔  "&amp;INDEX(ポート振替表!$H$5:$H$3507,$L1728)&amp;" "&amp;INDEX(ポート振替表!$I$5:$I$3507,$L1728))</f>
        <v/>
      </c>
      <c r="D1728" s="57" t="s">
        <v>158</v>
      </c>
      <c r="E1728" s="59" t="str">
        <f aca="false">IF(L1728="","",IF(INDEX(ポート振替表!$O$5:$O$3507,$L1728)="","(未設定)",INDEX(ポート振替表!$O$5:$O$3507,$L1728)&amp;""))</f>
        <v/>
      </c>
      <c r="F1728" s="52" t="str">
        <f aca="false">IF(L1728="","",INDEX(ポート振替表!$K$5:$K$3507,$L1728)&amp;" "&amp;INDEX(ポート振替表!$L$5:$L$3507,$L1728)&amp;"  ⇔  "&amp;INDEX(ポート振替表!$H$5:$H$3507,$L1728)&amp;" "&amp;INDEX(ポート振替表!$I$5:$I$3507,$L1728))</f>
        <v/>
      </c>
      <c r="G1728" s="57" t="s">
        <v>158</v>
      </c>
      <c r="H1728" s="32" t="str">
        <f aca="false">IF(L1728="","",INDEX(ポート振替表!$N$5:$N$3507,$L1728)&amp;"")</f>
        <v/>
      </c>
      <c r="I1728" s="32" t="str">
        <f aca="false">IF(L1728="","",INDEX(ポート振替表!$P$5:$P$3507,$L1728)&amp;"")</f>
        <v/>
      </c>
      <c r="J1728" s="60" t="str">
        <f aca="false">IF(L1728="","",INDEX(ポート振替表!$M$5:$M$3507,$L1728)&amp;"")</f>
        <v/>
      </c>
      <c r="K1728" s="52" t="str">
        <f aca="false">IF(L1728="","",E1728&amp;CHAR(10)&amp;INDEX(ポート振替表!$K$5:$K$3507,$L1728)&amp;" "&amp;INDEX(ポート振替表!$L$5:$L$3507,$L1728)&amp;CHAR(10)&amp;"⇔ "&amp;INDEX(ポート振替表!$H$5:$H$3507,$L1728)&amp;" "&amp;INDEX(ポート振替表!$I$5:$I$3507,$L1728))</f>
        <v/>
      </c>
      <c r="L1728" s="47" t="str">
        <f aca="false">IFERROR(MATCH(ROW()-4,ポート振替表!$V$5:$V$3507,0),"")</f>
        <v/>
      </c>
    </row>
    <row r="1729" customFormat="false" ht="16.4" hidden="false" customHeight="false" outlineLevel="0" collapsed="false">
      <c r="A1729" s="32" t="str">
        <f aca="false">IF(L1729="","",ROW()-4)</f>
        <v/>
      </c>
      <c r="B1729" s="58" t="str">
        <f aca="false">IF(L1729="","",IF(INDEX(ポート振替表!$W$5:$W$3507,$L1729)="","(なし)",INDEX(ポート振替表!$W$5:$W$3507,$L1729)&amp;""))</f>
        <v/>
      </c>
      <c r="C1729" s="52" t="str">
        <f aca="false">IF(L1729="","",INDEX(ポート振替表!$B$5:$B$3507,$L1729)&amp;" "&amp;INDEX(ポート振替表!$C$5:$C$3507,$L1729)&amp;"  ⇔  "&amp;INDEX(ポート振替表!$H$5:$H$3507,$L1729)&amp;" "&amp;INDEX(ポート振替表!$I$5:$I$3507,$L1729))</f>
        <v/>
      </c>
      <c r="D1729" s="57" t="s">
        <v>158</v>
      </c>
      <c r="E1729" s="59" t="str">
        <f aca="false">IF(L1729="","",IF(INDEX(ポート振替表!$O$5:$O$3507,$L1729)="","(未設定)",INDEX(ポート振替表!$O$5:$O$3507,$L1729)&amp;""))</f>
        <v/>
      </c>
      <c r="F1729" s="52" t="str">
        <f aca="false">IF(L1729="","",INDEX(ポート振替表!$K$5:$K$3507,$L1729)&amp;" "&amp;INDEX(ポート振替表!$L$5:$L$3507,$L1729)&amp;"  ⇔  "&amp;INDEX(ポート振替表!$H$5:$H$3507,$L1729)&amp;" "&amp;INDEX(ポート振替表!$I$5:$I$3507,$L1729))</f>
        <v/>
      </c>
      <c r="G1729" s="57" t="s">
        <v>158</v>
      </c>
      <c r="H1729" s="32" t="str">
        <f aca="false">IF(L1729="","",INDEX(ポート振替表!$N$5:$N$3507,$L1729)&amp;"")</f>
        <v/>
      </c>
      <c r="I1729" s="32" t="str">
        <f aca="false">IF(L1729="","",INDEX(ポート振替表!$P$5:$P$3507,$L1729)&amp;"")</f>
        <v/>
      </c>
      <c r="J1729" s="60" t="str">
        <f aca="false">IF(L1729="","",INDEX(ポート振替表!$M$5:$M$3507,$L1729)&amp;"")</f>
        <v/>
      </c>
      <c r="K1729" s="52" t="str">
        <f aca="false">IF(L1729="","",E1729&amp;CHAR(10)&amp;INDEX(ポート振替表!$K$5:$K$3507,$L1729)&amp;" "&amp;INDEX(ポート振替表!$L$5:$L$3507,$L1729)&amp;CHAR(10)&amp;"⇔ "&amp;INDEX(ポート振替表!$H$5:$H$3507,$L1729)&amp;" "&amp;INDEX(ポート振替表!$I$5:$I$3507,$L1729))</f>
        <v/>
      </c>
      <c r="L1729" s="47" t="str">
        <f aca="false">IFERROR(MATCH(ROW()-4,ポート振替表!$V$5:$V$3507,0),"")</f>
        <v/>
      </c>
    </row>
    <row r="1730" customFormat="false" ht="16.4" hidden="false" customHeight="false" outlineLevel="0" collapsed="false">
      <c r="A1730" s="32" t="str">
        <f aca="false">IF(L1730="","",ROW()-4)</f>
        <v/>
      </c>
      <c r="B1730" s="58" t="str">
        <f aca="false">IF(L1730="","",IF(INDEX(ポート振替表!$W$5:$W$3507,$L1730)="","(なし)",INDEX(ポート振替表!$W$5:$W$3507,$L1730)&amp;""))</f>
        <v/>
      </c>
      <c r="C1730" s="52" t="str">
        <f aca="false">IF(L1730="","",INDEX(ポート振替表!$B$5:$B$3507,$L1730)&amp;" "&amp;INDEX(ポート振替表!$C$5:$C$3507,$L1730)&amp;"  ⇔  "&amp;INDEX(ポート振替表!$H$5:$H$3507,$L1730)&amp;" "&amp;INDEX(ポート振替表!$I$5:$I$3507,$L1730))</f>
        <v/>
      </c>
      <c r="D1730" s="57" t="s">
        <v>158</v>
      </c>
      <c r="E1730" s="59" t="str">
        <f aca="false">IF(L1730="","",IF(INDEX(ポート振替表!$O$5:$O$3507,$L1730)="","(未設定)",INDEX(ポート振替表!$O$5:$O$3507,$L1730)&amp;""))</f>
        <v/>
      </c>
      <c r="F1730" s="52" t="str">
        <f aca="false">IF(L1730="","",INDEX(ポート振替表!$K$5:$K$3507,$L1730)&amp;" "&amp;INDEX(ポート振替表!$L$5:$L$3507,$L1730)&amp;"  ⇔  "&amp;INDEX(ポート振替表!$H$5:$H$3507,$L1730)&amp;" "&amp;INDEX(ポート振替表!$I$5:$I$3507,$L1730))</f>
        <v/>
      </c>
      <c r="G1730" s="57" t="s">
        <v>158</v>
      </c>
      <c r="H1730" s="32" t="str">
        <f aca="false">IF(L1730="","",INDEX(ポート振替表!$N$5:$N$3507,$L1730)&amp;"")</f>
        <v/>
      </c>
      <c r="I1730" s="32" t="str">
        <f aca="false">IF(L1730="","",INDEX(ポート振替表!$P$5:$P$3507,$L1730)&amp;"")</f>
        <v/>
      </c>
      <c r="J1730" s="60" t="str">
        <f aca="false">IF(L1730="","",INDEX(ポート振替表!$M$5:$M$3507,$L1730)&amp;"")</f>
        <v/>
      </c>
      <c r="K1730" s="52" t="str">
        <f aca="false">IF(L1730="","",E1730&amp;CHAR(10)&amp;INDEX(ポート振替表!$K$5:$K$3507,$L1730)&amp;" "&amp;INDEX(ポート振替表!$L$5:$L$3507,$L1730)&amp;CHAR(10)&amp;"⇔ "&amp;INDEX(ポート振替表!$H$5:$H$3507,$L1730)&amp;" "&amp;INDEX(ポート振替表!$I$5:$I$3507,$L1730))</f>
        <v/>
      </c>
      <c r="L1730" s="47" t="str">
        <f aca="false">IFERROR(MATCH(ROW()-4,ポート振替表!$V$5:$V$3507,0),"")</f>
        <v/>
      </c>
    </row>
    <row r="1731" customFormat="false" ht="16.4" hidden="false" customHeight="false" outlineLevel="0" collapsed="false">
      <c r="A1731" s="32" t="str">
        <f aca="false">IF(L1731="","",ROW()-4)</f>
        <v/>
      </c>
      <c r="B1731" s="58" t="str">
        <f aca="false">IF(L1731="","",IF(INDEX(ポート振替表!$W$5:$W$3507,$L1731)="","(なし)",INDEX(ポート振替表!$W$5:$W$3507,$L1731)&amp;""))</f>
        <v/>
      </c>
      <c r="C1731" s="52" t="str">
        <f aca="false">IF(L1731="","",INDEX(ポート振替表!$B$5:$B$3507,$L1731)&amp;" "&amp;INDEX(ポート振替表!$C$5:$C$3507,$L1731)&amp;"  ⇔  "&amp;INDEX(ポート振替表!$H$5:$H$3507,$L1731)&amp;" "&amp;INDEX(ポート振替表!$I$5:$I$3507,$L1731))</f>
        <v/>
      </c>
      <c r="D1731" s="57" t="s">
        <v>158</v>
      </c>
      <c r="E1731" s="59" t="str">
        <f aca="false">IF(L1731="","",IF(INDEX(ポート振替表!$O$5:$O$3507,$L1731)="","(未設定)",INDEX(ポート振替表!$O$5:$O$3507,$L1731)&amp;""))</f>
        <v/>
      </c>
      <c r="F1731" s="52" t="str">
        <f aca="false">IF(L1731="","",INDEX(ポート振替表!$K$5:$K$3507,$L1731)&amp;" "&amp;INDEX(ポート振替表!$L$5:$L$3507,$L1731)&amp;"  ⇔  "&amp;INDEX(ポート振替表!$H$5:$H$3507,$L1731)&amp;" "&amp;INDEX(ポート振替表!$I$5:$I$3507,$L1731))</f>
        <v/>
      </c>
      <c r="G1731" s="57" t="s">
        <v>158</v>
      </c>
      <c r="H1731" s="32" t="str">
        <f aca="false">IF(L1731="","",INDEX(ポート振替表!$N$5:$N$3507,$L1731)&amp;"")</f>
        <v/>
      </c>
      <c r="I1731" s="32" t="str">
        <f aca="false">IF(L1731="","",INDEX(ポート振替表!$P$5:$P$3507,$L1731)&amp;"")</f>
        <v/>
      </c>
      <c r="J1731" s="60" t="str">
        <f aca="false">IF(L1731="","",INDEX(ポート振替表!$M$5:$M$3507,$L1731)&amp;"")</f>
        <v/>
      </c>
      <c r="K1731" s="52" t="str">
        <f aca="false">IF(L1731="","",E1731&amp;CHAR(10)&amp;INDEX(ポート振替表!$K$5:$K$3507,$L1731)&amp;" "&amp;INDEX(ポート振替表!$L$5:$L$3507,$L1731)&amp;CHAR(10)&amp;"⇔ "&amp;INDEX(ポート振替表!$H$5:$H$3507,$L1731)&amp;" "&amp;INDEX(ポート振替表!$I$5:$I$3507,$L1731))</f>
        <v/>
      </c>
      <c r="L1731" s="47" t="str">
        <f aca="false">IFERROR(MATCH(ROW()-4,ポート振替表!$V$5:$V$3507,0),"")</f>
        <v/>
      </c>
    </row>
    <row r="1732" customFormat="false" ht="16.4" hidden="false" customHeight="false" outlineLevel="0" collapsed="false">
      <c r="A1732" s="32" t="str">
        <f aca="false">IF(L1732="","",ROW()-4)</f>
        <v/>
      </c>
      <c r="B1732" s="58" t="str">
        <f aca="false">IF(L1732="","",IF(INDEX(ポート振替表!$W$5:$W$3507,$L1732)="","(なし)",INDEX(ポート振替表!$W$5:$W$3507,$L1732)&amp;""))</f>
        <v/>
      </c>
      <c r="C1732" s="52" t="str">
        <f aca="false">IF(L1732="","",INDEX(ポート振替表!$B$5:$B$3507,$L1732)&amp;" "&amp;INDEX(ポート振替表!$C$5:$C$3507,$L1732)&amp;"  ⇔  "&amp;INDEX(ポート振替表!$H$5:$H$3507,$L1732)&amp;" "&amp;INDEX(ポート振替表!$I$5:$I$3507,$L1732))</f>
        <v/>
      </c>
      <c r="D1732" s="57" t="s">
        <v>158</v>
      </c>
      <c r="E1732" s="59" t="str">
        <f aca="false">IF(L1732="","",IF(INDEX(ポート振替表!$O$5:$O$3507,$L1732)="","(未設定)",INDEX(ポート振替表!$O$5:$O$3507,$L1732)&amp;""))</f>
        <v/>
      </c>
      <c r="F1732" s="52" t="str">
        <f aca="false">IF(L1732="","",INDEX(ポート振替表!$K$5:$K$3507,$L1732)&amp;" "&amp;INDEX(ポート振替表!$L$5:$L$3507,$L1732)&amp;"  ⇔  "&amp;INDEX(ポート振替表!$H$5:$H$3507,$L1732)&amp;" "&amp;INDEX(ポート振替表!$I$5:$I$3507,$L1732))</f>
        <v/>
      </c>
      <c r="G1732" s="57" t="s">
        <v>158</v>
      </c>
      <c r="H1732" s="32" t="str">
        <f aca="false">IF(L1732="","",INDEX(ポート振替表!$N$5:$N$3507,$L1732)&amp;"")</f>
        <v/>
      </c>
      <c r="I1732" s="32" t="str">
        <f aca="false">IF(L1732="","",INDEX(ポート振替表!$P$5:$P$3507,$L1732)&amp;"")</f>
        <v/>
      </c>
      <c r="J1732" s="60" t="str">
        <f aca="false">IF(L1732="","",INDEX(ポート振替表!$M$5:$M$3507,$L1732)&amp;"")</f>
        <v/>
      </c>
      <c r="K1732" s="52" t="str">
        <f aca="false">IF(L1732="","",E1732&amp;CHAR(10)&amp;INDEX(ポート振替表!$K$5:$K$3507,$L1732)&amp;" "&amp;INDEX(ポート振替表!$L$5:$L$3507,$L1732)&amp;CHAR(10)&amp;"⇔ "&amp;INDEX(ポート振替表!$H$5:$H$3507,$L1732)&amp;" "&amp;INDEX(ポート振替表!$I$5:$I$3507,$L1732))</f>
        <v/>
      </c>
      <c r="L1732" s="47" t="str">
        <f aca="false">IFERROR(MATCH(ROW()-4,ポート振替表!$V$5:$V$3507,0),"")</f>
        <v/>
      </c>
    </row>
    <row r="1733" customFormat="false" ht="16.4" hidden="false" customHeight="false" outlineLevel="0" collapsed="false">
      <c r="A1733" s="32" t="str">
        <f aca="false">IF(L1733="","",ROW()-4)</f>
        <v/>
      </c>
      <c r="B1733" s="58" t="str">
        <f aca="false">IF(L1733="","",IF(INDEX(ポート振替表!$W$5:$W$3507,$L1733)="","(なし)",INDEX(ポート振替表!$W$5:$W$3507,$L1733)&amp;""))</f>
        <v/>
      </c>
      <c r="C1733" s="52" t="str">
        <f aca="false">IF(L1733="","",INDEX(ポート振替表!$B$5:$B$3507,$L1733)&amp;" "&amp;INDEX(ポート振替表!$C$5:$C$3507,$L1733)&amp;"  ⇔  "&amp;INDEX(ポート振替表!$H$5:$H$3507,$L1733)&amp;" "&amp;INDEX(ポート振替表!$I$5:$I$3507,$L1733))</f>
        <v/>
      </c>
      <c r="D1733" s="57" t="s">
        <v>158</v>
      </c>
      <c r="E1733" s="59" t="str">
        <f aca="false">IF(L1733="","",IF(INDEX(ポート振替表!$O$5:$O$3507,$L1733)="","(未設定)",INDEX(ポート振替表!$O$5:$O$3507,$L1733)&amp;""))</f>
        <v/>
      </c>
      <c r="F1733" s="52" t="str">
        <f aca="false">IF(L1733="","",INDEX(ポート振替表!$K$5:$K$3507,$L1733)&amp;" "&amp;INDEX(ポート振替表!$L$5:$L$3507,$L1733)&amp;"  ⇔  "&amp;INDEX(ポート振替表!$H$5:$H$3507,$L1733)&amp;" "&amp;INDEX(ポート振替表!$I$5:$I$3507,$L1733))</f>
        <v/>
      </c>
      <c r="G1733" s="57" t="s">
        <v>158</v>
      </c>
      <c r="H1733" s="32" t="str">
        <f aca="false">IF(L1733="","",INDEX(ポート振替表!$N$5:$N$3507,$L1733)&amp;"")</f>
        <v/>
      </c>
      <c r="I1733" s="32" t="str">
        <f aca="false">IF(L1733="","",INDEX(ポート振替表!$P$5:$P$3507,$L1733)&amp;"")</f>
        <v/>
      </c>
      <c r="J1733" s="60" t="str">
        <f aca="false">IF(L1733="","",INDEX(ポート振替表!$M$5:$M$3507,$L1733)&amp;"")</f>
        <v/>
      </c>
      <c r="K1733" s="52" t="str">
        <f aca="false">IF(L1733="","",E1733&amp;CHAR(10)&amp;INDEX(ポート振替表!$K$5:$K$3507,$L1733)&amp;" "&amp;INDEX(ポート振替表!$L$5:$L$3507,$L1733)&amp;CHAR(10)&amp;"⇔ "&amp;INDEX(ポート振替表!$H$5:$H$3507,$L1733)&amp;" "&amp;INDEX(ポート振替表!$I$5:$I$3507,$L1733))</f>
        <v/>
      </c>
      <c r="L1733" s="47" t="str">
        <f aca="false">IFERROR(MATCH(ROW()-4,ポート振替表!$V$5:$V$3507,0),"")</f>
        <v/>
      </c>
    </row>
    <row r="1734" customFormat="false" ht="16.4" hidden="false" customHeight="false" outlineLevel="0" collapsed="false">
      <c r="A1734" s="32" t="str">
        <f aca="false">IF(L1734="","",ROW()-4)</f>
        <v/>
      </c>
      <c r="B1734" s="58" t="str">
        <f aca="false">IF(L1734="","",IF(INDEX(ポート振替表!$W$5:$W$3507,$L1734)="","(なし)",INDEX(ポート振替表!$W$5:$W$3507,$L1734)&amp;""))</f>
        <v/>
      </c>
      <c r="C1734" s="52" t="str">
        <f aca="false">IF(L1734="","",INDEX(ポート振替表!$B$5:$B$3507,$L1734)&amp;" "&amp;INDEX(ポート振替表!$C$5:$C$3507,$L1734)&amp;"  ⇔  "&amp;INDEX(ポート振替表!$H$5:$H$3507,$L1734)&amp;" "&amp;INDEX(ポート振替表!$I$5:$I$3507,$L1734))</f>
        <v/>
      </c>
      <c r="D1734" s="57" t="s">
        <v>158</v>
      </c>
      <c r="E1734" s="59" t="str">
        <f aca="false">IF(L1734="","",IF(INDEX(ポート振替表!$O$5:$O$3507,$L1734)="","(未設定)",INDEX(ポート振替表!$O$5:$O$3507,$L1734)&amp;""))</f>
        <v/>
      </c>
      <c r="F1734" s="52" t="str">
        <f aca="false">IF(L1734="","",INDEX(ポート振替表!$K$5:$K$3507,$L1734)&amp;" "&amp;INDEX(ポート振替表!$L$5:$L$3507,$L1734)&amp;"  ⇔  "&amp;INDEX(ポート振替表!$H$5:$H$3507,$L1734)&amp;" "&amp;INDEX(ポート振替表!$I$5:$I$3507,$L1734))</f>
        <v/>
      </c>
      <c r="G1734" s="57" t="s">
        <v>158</v>
      </c>
      <c r="H1734" s="32" t="str">
        <f aca="false">IF(L1734="","",INDEX(ポート振替表!$N$5:$N$3507,$L1734)&amp;"")</f>
        <v/>
      </c>
      <c r="I1734" s="32" t="str">
        <f aca="false">IF(L1734="","",INDEX(ポート振替表!$P$5:$P$3507,$L1734)&amp;"")</f>
        <v/>
      </c>
      <c r="J1734" s="60" t="str">
        <f aca="false">IF(L1734="","",INDEX(ポート振替表!$M$5:$M$3507,$L1734)&amp;"")</f>
        <v/>
      </c>
      <c r="K1734" s="52" t="str">
        <f aca="false">IF(L1734="","",E1734&amp;CHAR(10)&amp;INDEX(ポート振替表!$K$5:$K$3507,$L1734)&amp;" "&amp;INDEX(ポート振替表!$L$5:$L$3507,$L1734)&amp;CHAR(10)&amp;"⇔ "&amp;INDEX(ポート振替表!$H$5:$H$3507,$L1734)&amp;" "&amp;INDEX(ポート振替表!$I$5:$I$3507,$L1734))</f>
        <v/>
      </c>
      <c r="L1734" s="47" t="str">
        <f aca="false">IFERROR(MATCH(ROW()-4,ポート振替表!$V$5:$V$3507,0),"")</f>
        <v/>
      </c>
    </row>
    <row r="1735" customFormat="false" ht="16.4" hidden="false" customHeight="false" outlineLevel="0" collapsed="false">
      <c r="A1735" s="32" t="str">
        <f aca="false">IF(L1735="","",ROW()-4)</f>
        <v/>
      </c>
      <c r="B1735" s="58" t="str">
        <f aca="false">IF(L1735="","",IF(INDEX(ポート振替表!$W$5:$W$3507,$L1735)="","(なし)",INDEX(ポート振替表!$W$5:$W$3507,$L1735)&amp;""))</f>
        <v/>
      </c>
      <c r="C1735" s="52" t="str">
        <f aca="false">IF(L1735="","",INDEX(ポート振替表!$B$5:$B$3507,$L1735)&amp;" "&amp;INDEX(ポート振替表!$C$5:$C$3507,$L1735)&amp;"  ⇔  "&amp;INDEX(ポート振替表!$H$5:$H$3507,$L1735)&amp;" "&amp;INDEX(ポート振替表!$I$5:$I$3507,$L1735))</f>
        <v/>
      </c>
      <c r="D1735" s="57" t="s">
        <v>158</v>
      </c>
      <c r="E1735" s="59" t="str">
        <f aca="false">IF(L1735="","",IF(INDEX(ポート振替表!$O$5:$O$3507,$L1735)="","(未設定)",INDEX(ポート振替表!$O$5:$O$3507,$L1735)&amp;""))</f>
        <v/>
      </c>
      <c r="F1735" s="52" t="str">
        <f aca="false">IF(L1735="","",INDEX(ポート振替表!$K$5:$K$3507,$L1735)&amp;" "&amp;INDEX(ポート振替表!$L$5:$L$3507,$L1735)&amp;"  ⇔  "&amp;INDEX(ポート振替表!$H$5:$H$3507,$L1735)&amp;" "&amp;INDEX(ポート振替表!$I$5:$I$3507,$L1735))</f>
        <v/>
      </c>
      <c r="G1735" s="57" t="s">
        <v>158</v>
      </c>
      <c r="H1735" s="32" t="str">
        <f aca="false">IF(L1735="","",INDEX(ポート振替表!$N$5:$N$3507,$L1735)&amp;"")</f>
        <v/>
      </c>
      <c r="I1735" s="32" t="str">
        <f aca="false">IF(L1735="","",INDEX(ポート振替表!$P$5:$P$3507,$L1735)&amp;"")</f>
        <v/>
      </c>
      <c r="J1735" s="60" t="str">
        <f aca="false">IF(L1735="","",INDEX(ポート振替表!$M$5:$M$3507,$L1735)&amp;"")</f>
        <v/>
      </c>
      <c r="K1735" s="52" t="str">
        <f aca="false">IF(L1735="","",E1735&amp;CHAR(10)&amp;INDEX(ポート振替表!$K$5:$K$3507,$L1735)&amp;" "&amp;INDEX(ポート振替表!$L$5:$L$3507,$L1735)&amp;CHAR(10)&amp;"⇔ "&amp;INDEX(ポート振替表!$H$5:$H$3507,$L1735)&amp;" "&amp;INDEX(ポート振替表!$I$5:$I$3507,$L1735))</f>
        <v/>
      </c>
      <c r="L1735" s="47" t="str">
        <f aca="false">IFERROR(MATCH(ROW()-4,ポート振替表!$V$5:$V$3507,0),"")</f>
        <v/>
      </c>
    </row>
    <row r="1736" customFormat="false" ht="16.4" hidden="false" customHeight="false" outlineLevel="0" collapsed="false">
      <c r="A1736" s="32" t="str">
        <f aca="false">IF(L1736="","",ROW()-4)</f>
        <v/>
      </c>
      <c r="B1736" s="58" t="str">
        <f aca="false">IF(L1736="","",IF(INDEX(ポート振替表!$W$5:$W$3507,$L1736)="","(なし)",INDEX(ポート振替表!$W$5:$W$3507,$L1736)&amp;""))</f>
        <v/>
      </c>
      <c r="C1736" s="52" t="str">
        <f aca="false">IF(L1736="","",INDEX(ポート振替表!$B$5:$B$3507,$L1736)&amp;" "&amp;INDEX(ポート振替表!$C$5:$C$3507,$L1736)&amp;"  ⇔  "&amp;INDEX(ポート振替表!$H$5:$H$3507,$L1736)&amp;" "&amp;INDEX(ポート振替表!$I$5:$I$3507,$L1736))</f>
        <v/>
      </c>
      <c r="D1736" s="57" t="s">
        <v>158</v>
      </c>
      <c r="E1736" s="59" t="str">
        <f aca="false">IF(L1736="","",IF(INDEX(ポート振替表!$O$5:$O$3507,$L1736)="","(未設定)",INDEX(ポート振替表!$O$5:$O$3507,$L1736)&amp;""))</f>
        <v/>
      </c>
      <c r="F1736" s="52" t="str">
        <f aca="false">IF(L1736="","",INDEX(ポート振替表!$K$5:$K$3507,$L1736)&amp;" "&amp;INDEX(ポート振替表!$L$5:$L$3507,$L1736)&amp;"  ⇔  "&amp;INDEX(ポート振替表!$H$5:$H$3507,$L1736)&amp;" "&amp;INDEX(ポート振替表!$I$5:$I$3507,$L1736))</f>
        <v/>
      </c>
      <c r="G1736" s="57" t="s">
        <v>158</v>
      </c>
      <c r="H1736" s="32" t="str">
        <f aca="false">IF(L1736="","",INDEX(ポート振替表!$N$5:$N$3507,$L1736)&amp;"")</f>
        <v/>
      </c>
      <c r="I1736" s="32" t="str">
        <f aca="false">IF(L1736="","",INDEX(ポート振替表!$P$5:$P$3507,$L1736)&amp;"")</f>
        <v/>
      </c>
      <c r="J1736" s="60" t="str">
        <f aca="false">IF(L1736="","",INDEX(ポート振替表!$M$5:$M$3507,$L1736)&amp;"")</f>
        <v/>
      </c>
      <c r="K1736" s="52" t="str">
        <f aca="false">IF(L1736="","",E1736&amp;CHAR(10)&amp;INDEX(ポート振替表!$K$5:$K$3507,$L1736)&amp;" "&amp;INDEX(ポート振替表!$L$5:$L$3507,$L1736)&amp;CHAR(10)&amp;"⇔ "&amp;INDEX(ポート振替表!$H$5:$H$3507,$L1736)&amp;" "&amp;INDEX(ポート振替表!$I$5:$I$3507,$L1736))</f>
        <v/>
      </c>
      <c r="L1736" s="47" t="str">
        <f aca="false">IFERROR(MATCH(ROW()-4,ポート振替表!$V$5:$V$3507,0),"")</f>
        <v/>
      </c>
    </row>
    <row r="1737" customFormat="false" ht="16.4" hidden="false" customHeight="false" outlineLevel="0" collapsed="false">
      <c r="A1737" s="32" t="str">
        <f aca="false">IF(L1737="","",ROW()-4)</f>
        <v/>
      </c>
      <c r="B1737" s="58" t="str">
        <f aca="false">IF(L1737="","",IF(INDEX(ポート振替表!$W$5:$W$3507,$L1737)="","(なし)",INDEX(ポート振替表!$W$5:$W$3507,$L1737)&amp;""))</f>
        <v/>
      </c>
      <c r="C1737" s="52" t="str">
        <f aca="false">IF(L1737="","",INDEX(ポート振替表!$B$5:$B$3507,$L1737)&amp;" "&amp;INDEX(ポート振替表!$C$5:$C$3507,$L1737)&amp;"  ⇔  "&amp;INDEX(ポート振替表!$H$5:$H$3507,$L1737)&amp;" "&amp;INDEX(ポート振替表!$I$5:$I$3507,$L1737))</f>
        <v/>
      </c>
      <c r="D1737" s="57" t="s">
        <v>158</v>
      </c>
      <c r="E1737" s="59" t="str">
        <f aca="false">IF(L1737="","",IF(INDEX(ポート振替表!$O$5:$O$3507,$L1737)="","(未設定)",INDEX(ポート振替表!$O$5:$O$3507,$L1737)&amp;""))</f>
        <v/>
      </c>
      <c r="F1737" s="52" t="str">
        <f aca="false">IF(L1737="","",INDEX(ポート振替表!$K$5:$K$3507,$L1737)&amp;" "&amp;INDEX(ポート振替表!$L$5:$L$3507,$L1737)&amp;"  ⇔  "&amp;INDEX(ポート振替表!$H$5:$H$3507,$L1737)&amp;" "&amp;INDEX(ポート振替表!$I$5:$I$3507,$L1737))</f>
        <v/>
      </c>
      <c r="G1737" s="57" t="s">
        <v>158</v>
      </c>
      <c r="H1737" s="32" t="str">
        <f aca="false">IF(L1737="","",INDEX(ポート振替表!$N$5:$N$3507,$L1737)&amp;"")</f>
        <v/>
      </c>
      <c r="I1737" s="32" t="str">
        <f aca="false">IF(L1737="","",INDEX(ポート振替表!$P$5:$P$3507,$L1737)&amp;"")</f>
        <v/>
      </c>
      <c r="J1737" s="60" t="str">
        <f aca="false">IF(L1737="","",INDEX(ポート振替表!$M$5:$M$3507,$L1737)&amp;"")</f>
        <v/>
      </c>
      <c r="K1737" s="52" t="str">
        <f aca="false">IF(L1737="","",E1737&amp;CHAR(10)&amp;INDEX(ポート振替表!$K$5:$K$3507,$L1737)&amp;" "&amp;INDEX(ポート振替表!$L$5:$L$3507,$L1737)&amp;CHAR(10)&amp;"⇔ "&amp;INDEX(ポート振替表!$H$5:$H$3507,$L1737)&amp;" "&amp;INDEX(ポート振替表!$I$5:$I$3507,$L1737))</f>
        <v/>
      </c>
      <c r="L1737" s="47" t="str">
        <f aca="false">IFERROR(MATCH(ROW()-4,ポート振替表!$V$5:$V$3507,0),"")</f>
        <v/>
      </c>
    </row>
    <row r="1738" customFormat="false" ht="16.4" hidden="false" customHeight="false" outlineLevel="0" collapsed="false">
      <c r="A1738" s="32" t="str">
        <f aca="false">IF(L1738="","",ROW()-4)</f>
        <v/>
      </c>
      <c r="B1738" s="58" t="str">
        <f aca="false">IF(L1738="","",IF(INDEX(ポート振替表!$W$5:$W$3507,$L1738)="","(なし)",INDEX(ポート振替表!$W$5:$W$3507,$L1738)&amp;""))</f>
        <v/>
      </c>
      <c r="C1738" s="52" t="str">
        <f aca="false">IF(L1738="","",INDEX(ポート振替表!$B$5:$B$3507,$L1738)&amp;" "&amp;INDEX(ポート振替表!$C$5:$C$3507,$L1738)&amp;"  ⇔  "&amp;INDEX(ポート振替表!$H$5:$H$3507,$L1738)&amp;" "&amp;INDEX(ポート振替表!$I$5:$I$3507,$L1738))</f>
        <v/>
      </c>
      <c r="D1738" s="57" t="s">
        <v>158</v>
      </c>
      <c r="E1738" s="59" t="str">
        <f aca="false">IF(L1738="","",IF(INDEX(ポート振替表!$O$5:$O$3507,$L1738)="","(未設定)",INDEX(ポート振替表!$O$5:$O$3507,$L1738)&amp;""))</f>
        <v/>
      </c>
      <c r="F1738" s="52" t="str">
        <f aca="false">IF(L1738="","",INDEX(ポート振替表!$K$5:$K$3507,$L1738)&amp;" "&amp;INDEX(ポート振替表!$L$5:$L$3507,$L1738)&amp;"  ⇔  "&amp;INDEX(ポート振替表!$H$5:$H$3507,$L1738)&amp;" "&amp;INDEX(ポート振替表!$I$5:$I$3507,$L1738))</f>
        <v/>
      </c>
      <c r="G1738" s="57" t="s">
        <v>158</v>
      </c>
      <c r="H1738" s="32" t="str">
        <f aca="false">IF(L1738="","",INDEX(ポート振替表!$N$5:$N$3507,$L1738)&amp;"")</f>
        <v/>
      </c>
      <c r="I1738" s="32" t="str">
        <f aca="false">IF(L1738="","",INDEX(ポート振替表!$P$5:$P$3507,$L1738)&amp;"")</f>
        <v/>
      </c>
      <c r="J1738" s="60" t="str">
        <f aca="false">IF(L1738="","",INDEX(ポート振替表!$M$5:$M$3507,$L1738)&amp;"")</f>
        <v/>
      </c>
      <c r="K1738" s="52" t="str">
        <f aca="false">IF(L1738="","",E1738&amp;CHAR(10)&amp;INDEX(ポート振替表!$K$5:$K$3507,$L1738)&amp;" "&amp;INDEX(ポート振替表!$L$5:$L$3507,$L1738)&amp;CHAR(10)&amp;"⇔ "&amp;INDEX(ポート振替表!$H$5:$H$3507,$L1738)&amp;" "&amp;INDEX(ポート振替表!$I$5:$I$3507,$L1738))</f>
        <v/>
      </c>
      <c r="L1738" s="47" t="str">
        <f aca="false">IFERROR(MATCH(ROW()-4,ポート振替表!$V$5:$V$3507,0),"")</f>
        <v/>
      </c>
    </row>
    <row r="1739" customFormat="false" ht="16.4" hidden="false" customHeight="false" outlineLevel="0" collapsed="false">
      <c r="A1739" s="32" t="str">
        <f aca="false">IF(L1739="","",ROW()-4)</f>
        <v/>
      </c>
      <c r="B1739" s="58" t="str">
        <f aca="false">IF(L1739="","",IF(INDEX(ポート振替表!$W$5:$W$3507,$L1739)="","(なし)",INDEX(ポート振替表!$W$5:$W$3507,$L1739)&amp;""))</f>
        <v/>
      </c>
      <c r="C1739" s="52" t="str">
        <f aca="false">IF(L1739="","",INDEX(ポート振替表!$B$5:$B$3507,$L1739)&amp;" "&amp;INDEX(ポート振替表!$C$5:$C$3507,$L1739)&amp;"  ⇔  "&amp;INDEX(ポート振替表!$H$5:$H$3507,$L1739)&amp;" "&amp;INDEX(ポート振替表!$I$5:$I$3507,$L1739))</f>
        <v/>
      </c>
      <c r="D1739" s="57" t="s">
        <v>158</v>
      </c>
      <c r="E1739" s="59" t="str">
        <f aca="false">IF(L1739="","",IF(INDEX(ポート振替表!$O$5:$O$3507,$L1739)="","(未設定)",INDEX(ポート振替表!$O$5:$O$3507,$L1739)&amp;""))</f>
        <v/>
      </c>
      <c r="F1739" s="52" t="str">
        <f aca="false">IF(L1739="","",INDEX(ポート振替表!$K$5:$K$3507,$L1739)&amp;" "&amp;INDEX(ポート振替表!$L$5:$L$3507,$L1739)&amp;"  ⇔  "&amp;INDEX(ポート振替表!$H$5:$H$3507,$L1739)&amp;" "&amp;INDEX(ポート振替表!$I$5:$I$3507,$L1739))</f>
        <v/>
      </c>
      <c r="G1739" s="57" t="s">
        <v>158</v>
      </c>
      <c r="H1739" s="32" t="str">
        <f aca="false">IF(L1739="","",INDEX(ポート振替表!$N$5:$N$3507,$L1739)&amp;"")</f>
        <v/>
      </c>
      <c r="I1739" s="32" t="str">
        <f aca="false">IF(L1739="","",INDEX(ポート振替表!$P$5:$P$3507,$L1739)&amp;"")</f>
        <v/>
      </c>
      <c r="J1739" s="60" t="str">
        <f aca="false">IF(L1739="","",INDEX(ポート振替表!$M$5:$M$3507,$L1739)&amp;"")</f>
        <v/>
      </c>
      <c r="K1739" s="52" t="str">
        <f aca="false">IF(L1739="","",E1739&amp;CHAR(10)&amp;INDEX(ポート振替表!$K$5:$K$3507,$L1739)&amp;" "&amp;INDEX(ポート振替表!$L$5:$L$3507,$L1739)&amp;CHAR(10)&amp;"⇔ "&amp;INDEX(ポート振替表!$H$5:$H$3507,$L1739)&amp;" "&amp;INDEX(ポート振替表!$I$5:$I$3507,$L1739))</f>
        <v/>
      </c>
      <c r="L1739" s="47" t="str">
        <f aca="false">IFERROR(MATCH(ROW()-4,ポート振替表!$V$5:$V$3507,0),"")</f>
        <v/>
      </c>
    </row>
    <row r="1740" customFormat="false" ht="16.4" hidden="false" customHeight="false" outlineLevel="0" collapsed="false">
      <c r="A1740" s="32" t="str">
        <f aca="false">IF(L1740="","",ROW()-4)</f>
        <v/>
      </c>
      <c r="B1740" s="58" t="str">
        <f aca="false">IF(L1740="","",IF(INDEX(ポート振替表!$W$5:$W$3507,$L1740)="","(なし)",INDEX(ポート振替表!$W$5:$W$3507,$L1740)&amp;""))</f>
        <v/>
      </c>
      <c r="C1740" s="52" t="str">
        <f aca="false">IF(L1740="","",INDEX(ポート振替表!$B$5:$B$3507,$L1740)&amp;" "&amp;INDEX(ポート振替表!$C$5:$C$3507,$L1740)&amp;"  ⇔  "&amp;INDEX(ポート振替表!$H$5:$H$3507,$L1740)&amp;" "&amp;INDEX(ポート振替表!$I$5:$I$3507,$L1740))</f>
        <v/>
      </c>
      <c r="D1740" s="57" t="s">
        <v>158</v>
      </c>
      <c r="E1740" s="59" t="str">
        <f aca="false">IF(L1740="","",IF(INDEX(ポート振替表!$O$5:$O$3507,$L1740)="","(未設定)",INDEX(ポート振替表!$O$5:$O$3507,$L1740)&amp;""))</f>
        <v/>
      </c>
      <c r="F1740" s="52" t="str">
        <f aca="false">IF(L1740="","",INDEX(ポート振替表!$K$5:$K$3507,$L1740)&amp;" "&amp;INDEX(ポート振替表!$L$5:$L$3507,$L1740)&amp;"  ⇔  "&amp;INDEX(ポート振替表!$H$5:$H$3507,$L1740)&amp;" "&amp;INDEX(ポート振替表!$I$5:$I$3507,$L1740))</f>
        <v/>
      </c>
      <c r="G1740" s="57" t="s">
        <v>158</v>
      </c>
      <c r="H1740" s="32" t="str">
        <f aca="false">IF(L1740="","",INDEX(ポート振替表!$N$5:$N$3507,$L1740)&amp;"")</f>
        <v/>
      </c>
      <c r="I1740" s="32" t="str">
        <f aca="false">IF(L1740="","",INDEX(ポート振替表!$P$5:$P$3507,$L1740)&amp;"")</f>
        <v/>
      </c>
      <c r="J1740" s="60" t="str">
        <f aca="false">IF(L1740="","",INDEX(ポート振替表!$M$5:$M$3507,$L1740)&amp;"")</f>
        <v/>
      </c>
      <c r="K1740" s="52" t="str">
        <f aca="false">IF(L1740="","",E1740&amp;CHAR(10)&amp;INDEX(ポート振替表!$K$5:$K$3507,$L1740)&amp;" "&amp;INDEX(ポート振替表!$L$5:$L$3507,$L1740)&amp;CHAR(10)&amp;"⇔ "&amp;INDEX(ポート振替表!$H$5:$H$3507,$L1740)&amp;" "&amp;INDEX(ポート振替表!$I$5:$I$3507,$L1740))</f>
        <v/>
      </c>
      <c r="L1740" s="47" t="str">
        <f aca="false">IFERROR(MATCH(ROW()-4,ポート振替表!$V$5:$V$3507,0),"")</f>
        <v/>
      </c>
    </row>
    <row r="1741" customFormat="false" ht="16.4" hidden="false" customHeight="false" outlineLevel="0" collapsed="false">
      <c r="A1741" s="32" t="str">
        <f aca="false">IF(L1741="","",ROW()-4)</f>
        <v/>
      </c>
      <c r="B1741" s="58" t="str">
        <f aca="false">IF(L1741="","",IF(INDEX(ポート振替表!$W$5:$W$3507,$L1741)="","(なし)",INDEX(ポート振替表!$W$5:$W$3507,$L1741)&amp;""))</f>
        <v/>
      </c>
      <c r="C1741" s="52" t="str">
        <f aca="false">IF(L1741="","",INDEX(ポート振替表!$B$5:$B$3507,$L1741)&amp;" "&amp;INDEX(ポート振替表!$C$5:$C$3507,$L1741)&amp;"  ⇔  "&amp;INDEX(ポート振替表!$H$5:$H$3507,$L1741)&amp;" "&amp;INDEX(ポート振替表!$I$5:$I$3507,$L1741))</f>
        <v/>
      </c>
      <c r="D1741" s="57" t="s">
        <v>158</v>
      </c>
      <c r="E1741" s="59" t="str">
        <f aca="false">IF(L1741="","",IF(INDEX(ポート振替表!$O$5:$O$3507,$L1741)="","(未設定)",INDEX(ポート振替表!$O$5:$O$3507,$L1741)&amp;""))</f>
        <v/>
      </c>
      <c r="F1741" s="52" t="str">
        <f aca="false">IF(L1741="","",INDEX(ポート振替表!$K$5:$K$3507,$L1741)&amp;" "&amp;INDEX(ポート振替表!$L$5:$L$3507,$L1741)&amp;"  ⇔  "&amp;INDEX(ポート振替表!$H$5:$H$3507,$L1741)&amp;" "&amp;INDEX(ポート振替表!$I$5:$I$3507,$L1741))</f>
        <v/>
      </c>
      <c r="G1741" s="57" t="s">
        <v>158</v>
      </c>
      <c r="H1741" s="32" t="str">
        <f aca="false">IF(L1741="","",INDEX(ポート振替表!$N$5:$N$3507,$L1741)&amp;"")</f>
        <v/>
      </c>
      <c r="I1741" s="32" t="str">
        <f aca="false">IF(L1741="","",INDEX(ポート振替表!$P$5:$P$3507,$L1741)&amp;"")</f>
        <v/>
      </c>
      <c r="J1741" s="60" t="str">
        <f aca="false">IF(L1741="","",INDEX(ポート振替表!$M$5:$M$3507,$L1741)&amp;"")</f>
        <v/>
      </c>
      <c r="K1741" s="52" t="str">
        <f aca="false">IF(L1741="","",E1741&amp;CHAR(10)&amp;INDEX(ポート振替表!$K$5:$K$3507,$L1741)&amp;" "&amp;INDEX(ポート振替表!$L$5:$L$3507,$L1741)&amp;CHAR(10)&amp;"⇔ "&amp;INDEX(ポート振替表!$H$5:$H$3507,$L1741)&amp;" "&amp;INDEX(ポート振替表!$I$5:$I$3507,$L1741))</f>
        <v/>
      </c>
      <c r="L1741" s="47" t="str">
        <f aca="false">IFERROR(MATCH(ROW()-4,ポート振替表!$V$5:$V$3507,0),"")</f>
        <v/>
      </c>
    </row>
    <row r="1742" customFormat="false" ht="16.4" hidden="false" customHeight="false" outlineLevel="0" collapsed="false">
      <c r="A1742" s="32" t="str">
        <f aca="false">IF(L1742="","",ROW()-4)</f>
        <v/>
      </c>
      <c r="B1742" s="58" t="str">
        <f aca="false">IF(L1742="","",IF(INDEX(ポート振替表!$W$5:$W$3507,$L1742)="","(なし)",INDEX(ポート振替表!$W$5:$W$3507,$L1742)&amp;""))</f>
        <v/>
      </c>
      <c r="C1742" s="52" t="str">
        <f aca="false">IF(L1742="","",INDEX(ポート振替表!$B$5:$B$3507,$L1742)&amp;" "&amp;INDEX(ポート振替表!$C$5:$C$3507,$L1742)&amp;"  ⇔  "&amp;INDEX(ポート振替表!$H$5:$H$3507,$L1742)&amp;" "&amp;INDEX(ポート振替表!$I$5:$I$3507,$L1742))</f>
        <v/>
      </c>
      <c r="D1742" s="57" t="s">
        <v>158</v>
      </c>
      <c r="E1742" s="59" t="str">
        <f aca="false">IF(L1742="","",IF(INDEX(ポート振替表!$O$5:$O$3507,$L1742)="","(未設定)",INDEX(ポート振替表!$O$5:$O$3507,$L1742)&amp;""))</f>
        <v/>
      </c>
      <c r="F1742" s="52" t="str">
        <f aca="false">IF(L1742="","",INDEX(ポート振替表!$K$5:$K$3507,$L1742)&amp;" "&amp;INDEX(ポート振替表!$L$5:$L$3507,$L1742)&amp;"  ⇔  "&amp;INDEX(ポート振替表!$H$5:$H$3507,$L1742)&amp;" "&amp;INDEX(ポート振替表!$I$5:$I$3507,$L1742))</f>
        <v/>
      </c>
      <c r="G1742" s="57" t="s">
        <v>158</v>
      </c>
      <c r="H1742" s="32" t="str">
        <f aca="false">IF(L1742="","",INDEX(ポート振替表!$N$5:$N$3507,$L1742)&amp;"")</f>
        <v/>
      </c>
      <c r="I1742" s="32" t="str">
        <f aca="false">IF(L1742="","",INDEX(ポート振替表!$P$5:$P$3507,$L1742)&amp;"")</f>
        <v/>
      </c>
      <c r="J1742" s="60" t="str">
        <f aca="false">IF(L1742="","",INDEX(ポート振替表!$M$5:$M$3507,$L1742)&amp;"")</f>
        <v/>
      </c>
      <c r="K1742" s="52" t="str">
        <f aca="false">IF(L1742="","",E1742&amp;CHAR(10)&amp;INDEX(ポート振替表!$K$5:$K$3507,$L1742)&amp;" "&amp;INDEX(ポート振替表!$L$5:$L$3507,$L1742)&amp;CHAR(10)&amp;"⇔ "&amp;INDEX(ポート振替表!$H$5:$H$3507,$L1742)&amp;" "&amp;INDEX(ポート振替表!$I$5:$I$3507,$L1742))</f>
        <v/>
      </c>
      <c r="L1742" s="47" t="str">
        <f aca="false">IFERROR(MATCH(ROW()-4,ポート振替表!$V$5:$V$3507,0),"")</f>
        <v/>
      </c>
    </row>
    <row r="1743" customFormat="false" ht="16.4" hidden="false" customHeight="false" outlineLevel="0" collapsed="false">
      <c r="A1743" s="32" t="str">
        <f aca="false">IF(L1743="","",ROW()-4)</f>
        <v/>
      </c>
      <c r="B1743" s="58" t="str">
        <f aca="false">IF(L1743="","",IF(INDEX(ポート振替表!$W$5:$W$3507,$L1743)="","(なし)",INDEX(ポート振替表!$W$5:$W$3507,$L1743)&amp;""))</f>
        <v/>
      </c>
      <c r="C1743" s="52" t="str">
        <f aca="false">IF(L1743="","",INDEX(ポート振替表!$B$5:$B$3507,$L1743)&amp;" "&amp;INDEX(ポート振替表!$C$5:$C$3507,$L1743)&amp;"  ⇔  "&amp;INDEX(ポート振替表!$H$5:$H$3507,$L1743)&amp;" "&amp;INDEX(ポート振替表!$I$5:$I$3507,$L1743))</f>
        <v/>
      </c>
      <c r="D1743" s="57" t="s">
        <v>158</v>
      </c>
      <c r="E1743" s="59" t="str">
        <f aca="false">IF(L1743="","",IF(INDEX(ポート振替表!$O$5:$O$3507,$L1743)="","(未設定)",INDEX(ポート振替表!$O$5:$O$3507,$L1743)&amp;""))</f>
        <v/>
      </c>
      <c r="F1743" s="52" t="str">
        <f aca="false">IF(L1743="","",INDEX(ポート振替表!$K$5:$K$3507,$L1743)&amp;" "&amp;INDEX(ポート振替表!$L$5:$L$3507,$L1743)&amp;"  ⇔  "&amp;INDEX(ポート振替表!$H$5:$H$3507,$L1743)&amp;" "&amp;INDEX(ポート振替表!$I$5:$I$3507,$L1743))</f>
        <v/>
      </c>
      <c r="G1743" s="57" t="s">
        <v>158</v>
      </c>
      <c r="H1743" s="32" t="str">
        <f aca="false">IF(L1743="","",INDEX(ポート振替表!$N$5:$N$3507,$L1743)&amp;"")</f>
        <v/>
      </c>
      <c r="I1743" s="32" t="str">
        <f aca="false">IF(L1743="","",INDEX(ポート振替表!$P$5:$P$3507,$L1743)&amp;"")</f>
        <v/>
      </c>
      <c r="J1743" s="60" t="str">
        <f aca="false">IF(L1743="","",INDEX(ポート振替表!$M$5:$M$3507,$L1743)&amp;"")</f>
        <v/>
      </c>
      <c r="K1743" s="52" t="str">
        <f aca="false">IF(L1743="","",E1743&amp;CHAR(10)&amp;INDEX(ポート振替表!$K$5:$K$3507,$L1743)&amp;" "&amp;INDEX(ポート振替表!$L$5:$L$3507,$L1743)&amp;CHAR(10)&amp;"⇔ "&amp;INDEX(ポート振替表!$H$5:$H$3507,$L1743)&amp;" "&amp;INDEX(ポート振替表!$I$5:$I$3507,$L1743))</f>
        <v/>
      </c>
      <c r="L1743" s="47" t="str">
        <f aca="false">IFERROR(MATCH(ROW()-4,ポート振替表!$V$5:$V$3507,0),"")</f>
        <v/>
      </c>
    </row>
    <row r="1744" customFormat="false" ht="16.4" hidden="false" customHeight="false" outlineLevel="0" collapsed="false">
      <c r="A1744" s="32" t="str">
        <f aca="false">IF(L1744="","",ROW()-4)</f>
        <v/>
      </c>
      <c r="B1744" s="58" t="str">
        <f aca="false">IF(L1744="","",IF(INDEX(ポート振替表!$W$5:$W$3507,$L1744)="","(なし)",INDEX(ポート振替表!$W$5:$W$3507,$L1744)&amp;""))</f>
        <v/>
      </c>
      <c r="C1744" s="52" t="str">
        <f aca="false">IF(L1744="","",INDEX(ポート振替表!$B$5:$B$3507,$L1744)&amp;" "&amp;INDEX(ポート振替表!$C$5:$C$3507,$L1744)&amp;"  ⇔  "&amp;INDEX(ポート振替表!$H$5:$H$3507,$L1744)&amp;" "&amp;INDEX(ポート振替表!$I$5:$I$3507,$L1744))</f>
        <v/>
      </c>
      <c r="D1744" s="57" t="s">
        <v>158</v>
      </c>
      <c r="E1744" s="59" t="str">
        <f aca="false">IF(L1744="","",IF(INDEX(ポート振替表!$O$5:$O$3507,$L1744)="","(未設定)",INDEX(ポート振替表!$O$5:$O$3507,$L1744)&amp;""))</f>
        <v/>
      </c>
      <c r="F1744" s="52" t="str">
        <f aca="false">IF(L1744="","",INDEX(ポート振替表!$K$5:$K$3507,$L1744)&amp;" "&amp;INDEX(ポート振替表!$L$5:$L$3507,$L1744)&amp;"  ⇔  "&amp;INDEX(ポート振替表!$H$5:$H$3507,$L1744)&amp;" "&amp;INDEX(ポート振替表!$I$5:$I$3507,$L1744))</f>
        <v/>
      </c>
      <c r="G1744" s="57" t="s">
        <v>158</v>
      </c>
      <c r="H1744" s="32" t="str">
        <f aca="false">IF(L1744="","",INDEX(ポート振替表!$N$5:$N$3507,$L1744)&amp;"")</f>
        <v/>
      </c>
      <c r="I1744" s="32" t="str">
        <f aca="false">IF(L1744="","",INDEX(ポート振替表!$P$5:$P$3507,$L1744)&amp;"")</f>
        <v/>
      </c>
      <c r="J1744" s="60" t="str">
        <f aca="false">IF(L1744="","",INDEX(ポート振替表!$M$5:$M$3507,$L1744)&amp;"")</f>
        <v/>
      </c>
      <c r="K1744" s="52" t="str">
        <f aca="false">IF(L1744="","",E1744&amp;CHAR(10)&amp;INDEX(ポート振替表!$K$5:$K$3507,$L1744)&amp;" "&amp;INDEX(ポート振替表!$L$5:$L$3507,$L1744)&amp;CHAR(10)&amp;"⇔ "&amp;INDEX(ポート振替表!$H$5:$H$3507,$L1744)&amp;" "&amp;INDEX(ポート振替表!$I$5:$I$3507,$L1744))</f>
        <v/>
      </c>
      <c r="L1744" s="47" t="str">
        <f aca="false">IFERROR(MATCH(ROW()-4,ポート振替表!$V$5:$V$3507,0),"")</f>
        <v/>
      </c>
    </row>
    <row r="1745" customFormat="false" ht="16.4" hidden="false" customHeight="false" outlineLevel="0" collapsed="false">
      <c r="A1745" s="32" t="str">
        <f aca="false">IF(L1745="","",ROW()-4)</f>
        <v/>
      </c>
      <c r="B1745" s="58" t="str">
        <f aca="false">IF(L1745="","",IF(INDEX(ポート振替表!$W$5:$W$3507,$L1745)="","(なし)",INDEX(ポート振替表!$W$5:$W$3507,$L1745)&amp;""))</f>
        <v/>
      </c>
      <c r="C1745" s="52" t="str">
        <f aca="false">IF(L1745="","",INDEX(ポート振替表!$B$5:$B$3507,$L1745)&amp;" "&amp;INDEX(ポート振替表!$C$5:$C$3507,$L1745)&amp;"  ⇔  "&amp;INDEX(ポート振替表!$H$5:$H$3507,$L1745)&amp;" "&amp;INDEX(ポート振替表!$I$5:$I$3507,$L1745))</f>
        <v/>
      </c>
      <c r="D1745" s="57" t="s">
        <v>158</v>
      </c>
      <c r="E1745" s="59" t="str">
        <f aca="false">IF(L1745="","",IF(INDEX(ポート振替表!$O$5:$O$3507,$L1745)="","(未設定)",INDEX(ポート振替表!$O$5:$O$3507,$L1745)&amp;""))</f>
        <v/>
      </c>
      <c r="F1745" s="52" t="str">
        <f aca="false">IF(L1745="","",INDEX(ポート振替表!$K$5:$K$3507,$L1745)&amp;" "&amp;INDEX(ポート振替表!$L$5:$L$3507,$L1745)&amp;"  ⇔  "&amp;INDEX(ポート振替表!$H$5:$H$3507,$L1745)&amp;" "&amp;INDEX(ポート振替表!$I$5:$I$3507,$L1745))</f>
        <v/>
      </c>
      <c r="G1745" s="57" t="s">
        <v>158</v>
      </c>
      <c r="H1745" s="32" t="str">
        <f aca="false">IF(L1745="","",INDEX(ポート振替表!$N$5:$N$3507,$L1745)&amp;"")</f>
        <v/>
      </c>
      <c r="I1745" s="32" t="str">
        <f aca="false">IF(L1745="","",INDEX(ポート振替表!$P$5:$P$3507,$L1745)&amp;"")</f>
        <v/>
      </c>
      <c r="J1745" s="60" t="str">
        <f aca="false">IF(L1745="","",INDEX(ポート振替表!$M$5:$M$3507,$L1745)&amp;"")</f>
        <v/>
      </c>
      <c r="K1745" s="52" t="str">
        <f aca="false">IF(L1745="","",E1745&amp;CHAR(10)&amp;INDEX(ポート振替表!$K$5:$K$3507,$L1745)&amp;" "&amp;INDEX(ポート振替表!$L$5:$L$3507,$L1745)&amp;CHAR(10)&amp;"⇔ "&amp;INDEX(ポート振替表!$H$5:$H$3507,$L1745)&amp;" "&amp;INDEX(ポート振替表!$I$5:$I$3507,$L1745))</f>
        <v/>
      </c>
      <c r="L1745" s="47" t="str">
        <f aca="false">IFERROR(MATCH(ROW()-4,ポート振替表!$V$5:$V$3507,0),"")</f>
        <v/>
      </c>
    </row>
    <row r="1746" customFormat="false" ht="16.4" hidden="false" customHeight="false" outlineLevel="0" collapsed="false">
      <c r="A1746" s="32" t="str">
        <f aca="false">IF(L1746="","",ROW()-4)</f>
        <v/>
      </c>
      <c r="B1746" s="58" t="str">
        <f aca="false">IF(L1746="","",IF(INDEX(ポート振替表!$W$5:$W$3507,$L1746)="","(なし)",INDEX(ポート振替表!$W$5:$W$3507,$L1746)&amp;""))</f>
        <v/>
      </c>
      <c r="C1746" s="52" t="str">
        <f aca="false">IF(L1746="","",INDEX(ポート振替表!$B$5:$B$3507,$L1746)&amp;" "&amp;INDEX(ポート振替表!$C$5:$C$3507,$L1746)&amp;"  ⇔  "&amp;INDEX(ポート振替表!$H$5:$H$3507,$L1746)&amp;" "&amp;INDEX(ポート振替表!$I$5:$I$3507,$L1746))</f>
        <v/>
      </c>
      <c r="D1746" s="57" t="s">
        <v>158</v>
      </c>
      <c r="E1746" s="59" t="str">
        <f aca="false">IF(L1746="","",IF(INDEX(ポート振替表!$O$5:$O$3507,$L1746)="","(未設定)",INDEX(ポート振替表!$O$5:$O$3507,$L1746)&amp;""))</f>
        <v/>
      </c>
      <c r="F1746" s="52" t="str">
        <f aca="false">IF(L1746="","",INDEX(ポート振替表!$K$5:$K$3507,$L1746)&amp;" "&amp;INDEX(ポート振替表!$L$5:$L$3507,$L1746)&amp;"  ⇔  "&amp;INDEX(ポート振替表!$H$5:$H$3507,$L1746)&amp;" "&amp;INDEX(ポート振替表!$I$5:$I$3507,$L1746))</f>
        <v/>
      </c>
      <c r="G1746" s="57" t="s">
        <v>158</v>
      </c>
      <c r="H1746" s="32" t="str">
        <f aca="false">IF(L1746="","",INDEX(ポート振替表!$N$5:$N$3507,$L1746)&amp;"")</f>
        <v/>
      </c>
      <c r="I1746" s="32" t="str">
        <f aca="false">IF(L1746="","",INDEX(ポート振替表!$P$5:$P$3507,$L1746)&amp;"")</f>
        <v/>
      </c>
      <c r="J1746" s="60" t="str">
        <f aca="false">IF(L1746="","",INDEX(ポート振替表!$M$5:$M$3507,$L1746)&amp;"")</f>
        <v/>
      </c>
      <c r="K1746" s="52" t="str">
        <f aca="false">IF(L1746="","",E1746&amp;CHAR(10)&amp;INDEX(ポート振替表!$K$5:$K$3507,$L1746)&amp;" "&amp;INDEX(ポート振替表!$L$5:$L$3507,$L1746)&amp;CHAR(10)&amp;"⇔ "&amp;INDEX(ポート振替表!$H$5:$H$3507,$L1746)&amp;" "&amp;INDEX(ポート振替表!$I$5:$I$3507,$L1746))</f>
        <v/>
      </c>
      <c r="L1746" s="47" t="str">
        <f aca="false">IFERROR(MATCH(ROW()-4,ポート振替表!$V$5:$V$3507,0),"")</f>
        <v/>
      </c>
    </row>
    <row r="1747" customFormat="false" ht="16.4" hidden="false" customHeight="false" outlineLevel="0" collapsed="false">
      <c r="A1747" s="32" t="str">
        <f aca="false">IF(L1747="","",ROW()-4)</f>
        <v/>
      </c>
      <c r="B1747" s="58" t="str">
        <f aca="false">IF(L1747="","",IF(INDEX(ポート振替表!$W$5:$W$3507,$L1747)="","(なし)",INDEX(ポート振替表!$W$5:$W$3507,$L1747)&amp;""))</f>
        <v/>
      </c>
      <c r="C1747" s="52" t="str">
        <f aca="false">IF(L1747="","",INDEX(ポート振替表!$B$5:$B$3507,$L1747)&amp;" "&amp;INDEX(ポート振替表!$C$5:$C$3507,$L1747)&amp;"  ⇔  "&amp;INDEX(ポート振替表!$H$5:$H$3507,$L1747)&amp;" "&amp;INDEX(ポート振替表!$I$5:$I$3507,$L1747))</f>
        <v/>
      </c>
      <c r="D1747" s="57" t="s">
        <v>158</v>
      </c>
      <c r="E1747" s="59" t="str">
        <f aca="false">IF(L1747="","",IF(INDEX(ポート振替表!$O$5:$O$3507,$L1747)="","(未設定)",INDEX(ポート振替表!$O$5:$O$3507,$L1747)&amp;""))</f>
        <v/>
      </c>
      <c r="F1747" s="52" t="str">
        <f aca="false">IF(L1747="","",INDEX(ポート振替表!$K$5:$K$3507,$L1747)&amp;" "&amp;INDEX(ポート振替表!$L$5:$L$3507,$L1747)&amp;"  ⇔  "&amp;INDEX(ポート振替表!$H$5:$H$3507,$L1747)&amp;" "&amp;INDEX(ポート振替表!$I$5:$I$3507,$L1747))</f>
        <v/>
      </c>
      <c r="G1747" s="57" t="s">
        <v>158</v>
      </c>
      <c r="H1747" s="32" t="str">
        <f aca="false">IF(L1747="","",INDEX(ポート振替表!$N$5:$N$3507,$L1747)&amp;"")</f>
        <v/>
      </c>
      <c r="I1747" s="32" t="str">
        <f aca="false">IF(L1747="","",INDEX(ポート振替表!$P$5:$P$3507,$L1747)&amp;"")</f>
        <v/>
      </c>
      <c r="J1747" s="60" t="str">
        <f aca="false">IF(L1747="","",INDEX(ポート振替表!$M$5:$M$3507,$L1747)&amp;"")</f>
        <v/>
      </c>
      <c r="K1747" s="52" t="str">
        <f aca="false">IF(L1747="","",E1747&amp;CHAR(10)&amp;INDEX(ポート振替表!$K$5:$K$3507,$L1747)&amp;" "&amp;INDEX(ポート振替表!$L$5:$L$3507,$L1747)&amp;CHAR(10)&amp;"⇔ "&amp;INDEX(ポート振替表!$H$5:$H$3507,$L1747)&amp;" "&amp;INDEX(ポート振替表!$I$5:$I$3507,$L1747))</f>
        <v/>
      </c>
      <c r="L1747" s="47" t="str">
        <f aca="false">IFERROR(MATCH(ROW()-4,ポート振替表!$V$5:$V$3507,0),"")</f>
        <v/>
      </c>
    </row>
    <row r="1748" customFormat="false" ht="16.4" hidden="false" customHeight="false" outlineLevel="0" collapsed="false">
      <c r="A1748" s="32" t="str">
        <f aca="false">IF(L1748="","",ROW()-4)</f>
        <v/>
      </c>
      <c r="B1748" s="58" t="str">
        <f aca="false">IF(L1748="","",IF(INDEX(ポート振替表!$W$5:$W$3507,$L1748)="","(なし)",INDEX(ポート振替表!$W$5:$W$3507,$L1748)&amp;""))</f>
        <v/>
      </c>
      <c r="C1748" s="52" t="str">
        <f aca="false">IF(L1748="","",INDEX(ポート振替表!$B$5:$B$3507,$L1748)&amp;" "&amp;INDEX(ポート振替表!$C$5:$C$3507,$L1748)&amp;"  ⇔  "&amp;INDEX(ポート振替表!$H$5:$H$3507,$L1748)&amp;" "&amp;INDEX(ポート振替表!$I$5:$I$3507,$L1748))</f>
        <v/>
      </c>
      <c r="D1748" s="57" t="s">
        <v>158</v>
      </c>
      <c r="E1748" s="59" t="str">
        <f aca="false">IF(L1748="","",IF(INDEX(ポート振替表!$O$5:$O$3507,$L1748)="","(未設定)",INDEX(ポート振替表!$O$5:$O$3507,$L1748)&amp;""))</f>
        <v/>
      </c>
      <c r="F1748" s="52" t="str">
        <f aca="false">IF(L1748="","",INDEX(ポート振替表!$K$5:$K$3507,$L1748)&amp;" "&amp;INDEX(ポート振替表!$L$5:$L$3507,$L1748)&amp;"  ⇔  "&amp;INDEX(ポート振替表!$H$5:$H$3507,$L1748)&amp;" "&amp;INDEX(ポート振替表!$I$5:$I$3507,$L1748))</f>
        <v/>
      </c>
      <c r="G1748" s="57" t="s">
        <v>158</v>
      </c>
      <c r="H1748" s="32" t="str">
        <f aca="false">IF(L1748="","",INDEX(ポート振替表!$N$5:$N$3507,$L1748)&amp;"")</f>
        <v/>
      </c>
      <c r="I1748" s="32" t="str">
        <f aca="false">IF(L1748="","",INDEX(ポート振替表!$P$5:$P$3507,$L1748)&amp;"")</f>
        <v/>
      </c>
      <c r="J1748" s="60" t="str">
        <f aca="false">IF(L1748="","",INDEX(ポート振替表!$M$5:$M$3507,$L1748)&amp;"")</f>
        <v/>
      </c>
      <c r="K1748" s="52" t="str">
        <f aca="false">IF(L1748="","",E1748&amp;CHAR(10)&amp;INDEX(ポート振替表!$K$5:$K$3507,$L1748)&amp;" "&amp;INDEX(ポート振替表!$L$5:$L$3507,$L1748)&amp;CHAR(10)&amp;"⇔ "&amp;INDEX(ポート振替表!$H$5:$H$3507,$L1748)&amp;" "&amp;INDEX(ポート振替表!$I$5:$I$3507,$L1748))</f>
        <v/>
      </c>
      <c r="L1748" s="47" t="str">
        <f aca="false">IFERROR(MATCH(ROW()-4,ポート振替表!$V$5:$V$3507,0),"")</f>
        <v/>
      </c>
    </row>
    <row r="1749" customFormat="false" ht="16.4" hidden="false" customHeight="false" outlineLevel="0" collapsed="false">
      <c r="A1749" s="32" t="str">
        <f aca="false">IF(L1749="","",ROW()-4)</f>
        <v/>
      </c>
      <c r="B1749" s="58" t="str">
        <f aca="false">IF(L1749="","",IF(INDEX(ポート振替表!$W$5:$W$3507,$L1749)="","(なし)",INDEX(ポート振替表!$W$5:$W$3507,$L1749)&amp;""))</f>
        <v/>
      </c>
      <c r="C1749" s="52" t="str">
        <f aca="false">IF(L1749="","",INDEX(ポート振替表!$B$5:$B$3507,$L1749)&amp;" "&amp;INDEX(ポート振替表!$C$5:$C$3507,$L1749)&amp;"  ⇔  "&amp;INDEX(ポート振替表!$H$5:$H$3507,$L1749)&amp;" "&amp;INDEX(ポート振替表!$I$5:$I$3507,$L1749))</f>
        <v/>
      </c>
      <c r="D1749" s="57" t="s">
        <v>158</v>
      </c>
      <c r="E1749" s="59" t="str">
        <f aca="false">IF(L1749="","",IF(INDEX(ポート振替表!$O$5:$O$3507,$L1749)="","(未設定)",INDEX(ポート振替表!$O$5:$O$3507,$L1749)&amp;""))</f>
        <v/>
      </c>
      <c r="F1749" s="52" t="str">
        <f aca="false">IF(L1749="","",INDEX(ポート振替表!$K$5:$K$3507,$L1749)&amp;" "&amp;INDEX(ポート振替表!$L$5:$L$3507,$L1749)&amp;"  ⇔  "&amp;INDEX(ポート振替表!$H$5:$H$3507,$L1749)&amp;" "&amp;INDEX(ポート振替表!$I$5:$I$3507,$L1749))</f>
        <v/>
      </c>
      <c r="G1749" s="57" t="s">
        <v>158</v>
      </c>
      <c r="H1749" s="32" t="str">
        <f aca="false">IF(L1749="","",INDEX(ポート振替表!$N$5:$N$3507,$L1749)&amp;"")</f>
        <v/>
      </c>
      <c r="I1749" s="32" t="str">
        <f aca="false">IF(L1749="","",INDEX(ポート振替表!$P$5:$P$3507,$L1749)&amp;"")</f>
        <v/>
      </c>
      <c r="J1749" s="60" t="str">
        <f aca="false">IF(L1749="","",INDEX(ポート振替表!$M$5:$M$3507,$L1749)&amp;"")</f>
        <v/>
      </c>
      <c r="K1749" s="52" t="str">
        <f aca="false">IF(L1749="","",E1749&amp;CHAR(10)&amp;INDEX(ポート振替表!$K$5:$K$3507,$L1749)&amp;" "&amp;INDEX(ポート振替表!$L$5:$L$3507,$L1749)&amp;CHAR(10)&amp;"⇔ "&amp;INDEX(ポート振替表!$H$5:$H$3507,$L1749)&amp;" "&amp;INDEX(ポート振替表!$I$5:$I$3507,$L1749))</f>
        <v/>
      </c>
      <c r="L1749" s="47" t="str">
        <f aca="false">IFERROR(MATCH(ROW()-4,ポート振替表!$V$5:$V$3507,0),"")</f>
        <v/>
      </c>
    </row>
    <row r="1750" customFormat="false" ht="16.4" hidden="false" customHeight="false" outlineLevel="0" collapsed="false">
      <c r="A1750" s="32" t="str">
        <f aca="false">IF(L1750="","",ROW()-4)</f>
        <v/>
      </c>
      <c r="B1750" s="58" t="str">
        <f aca="false">IF(L1750="","",IF(INDEX(ポート振替表!$W$5:$W$3507,$L1750)="","(なし)",INDEX(ポート振替表!$W$5:$W$3507,$L1750)&amp;""))</f>
        <v/>
      </c>
      <c r="C1750" s="52" t="str">
        <f aca="false">IF(L1750="","",INDEX(ポート振替表!$B$5:$B$3507,$L1750)&amp;" "&amp;INDEX(ポート振替表!$C$5:$C$3507,$L1750)&amp;"  ⇔  "&amp;INDEX(ポート振替表!$H$5:$H$3507,$L1750)&amp;" "&amp;INDEX(ポート振替表!$I$5:$I$3507,$L1750))</f>
        <v/>
      </c>
      <c r="D1750" s="57" t="s">
        <v>158</v>
      </c>
      <c r="E1750" s="59" t="str">
        <f aca="false">IF(L1750="","",IF(INDEX(ポート振替表!$O$5:$O$3507,$L1750)="","(未設定)",INDEX(ポート振替表!$O$5:$O$3507,$L1750)&amp;""))</f>
        <v/>
      </c>
      <c r="F1750" s="52" t="str">
        <f aca="false">IF(L1750="","",INDEX(ポート振替表!$K$5:$K$3507,$L1750)&amp;" "&amp;INDEX(ポート振替表!$L$5:$L$3507,$L1750)&amp;"  ⇔  "&amp;INDEX(ポート振替表!$H$5:$H$3507,$L1750)&amp;" "&amp;INDEX(ポート振替表!$I$5:$I$3507,$L1750))</f>
        <v/>
      </c>
      <c r="G1750" s="57" t="s">
        <v>158</v>
      </c>
      <c r="H1750" s="32" t="str">
        <f aca="false">IF(L1750="","",INDEX(ポート振替表!$N$5:$N$3507,$L1750)&amp;"")</f>
        <v/>
      </c>
      <c r="I1750" s="32" t="str">
        <f aca="false">IF(L1750="","",INDEX(ポート振替表!$P$5:$P$3507,$L1750)&amp;"")</f>
        <v/>
      </c>
      <c r="J1750" s="60" t="str">
        <f aca="false">IF(L1750="","",INDEX(ポート振替表!$M$5:$M$3507,$L1750)&amp;"")</f>
        <v/>
      </c>
      <c r="K1750" s="52" t="str">
        <f aca="false">IF(L1750="","",E1750&amp;CHAR(10)&amp;INDEX(ポート振替表!$K$5:$K$3507,$L1750)&amp;" "&amp;INDEX(ポート振替表!$L$5:$L$3507,$L1750)&amp;CHAR(10)&amp;"⇔ "&amp;INDEX(ポート振替表!$H$5:$H$3507,$L1750)&amp;" "&amp;INDEX(ポート振替表!$I$5:$I$3507,$L1750))</f>
        <v/>
      </c>
      <c r="L1750" s="47" t="str">
        <f aca="false">IFERROR(MATCH(ROW()-4,ポート振替表!$V$5:$V$3507,0),"")</f>
        <v/>
      </c>
    </row>
    <row r="1751" customFormat="false" ht="16.4" hidden="false" customHeight="false" outlineLevel="0" collapsed="false">
      <c r="A1751" s="32" t="str">
        <f aca="false">IF(L1751="","",ROW()-4)</f>
        <v/>
      </c>
      <c r="B1751" s="58" t="str">
        <f aca="false">IF(L1751="","",IF(INDEX(ポート振替表!$W$5:$W$3507,$L1751)="","(なし)",INDEX(ポート振替表!$W$5:$W$3507,$L1751)&amp;""))</f>
        <v/>
      </c>
      <c r="C1751" s="52" t="str">
        <f aca="false">IF(L1751="","",INDEX(ポート振替表!$B$5:$B$3507,$L1751)&amp;" "&amp;INDEX(ポート振替表!$C$5:$C$3507,$L1751)&amp;"  ⇔  "&amp;INDEX(ポート振替表!$H$5:$H$3507,$L1751)&amp;" "&amp;INDEX(ポート振替表!$I$5:$I$3507,$L1751))</f>
        <v/>
      </c>
      <c r="D1751" s="57" t="s">
        <v>158</v>
      </c>
      <c r="E1751" s="59" t="str">
        <f aca="false">IF(L1751="","",IF(INDEX(ポート振替表!$O$5:$O$3507,$L1751)="","(未設定)",INDEX(ポート振替表!$O$5:$O$3507,$L1751)&amp;""))</f>
        <v/>
      </c>
      <c r="F1751" s="52" t="str">
        <f aca="false">IF(L1751="","",INDEX(ポート振替表!$K$5:$K$3507,$L1751)&amp;" "&amp;INDEX(ポート振替表!$L$5:$L$3507,$L1751)&amp;"  ⇔  "&amp;INDEX(ポート振替表!$H$5:$H$3507,$L1751)&amp;" "&amp;INDEX(ポート振替表!$I$5:$I$3507,$L1751))</f>
        <v/>
      </c>
      <c r="G1751" s="57" t="s">
        <v>158</v>
      </c>
      <c r="H1751" s="32" t="str">
        <f aca="false">IF(L1751="","",INDEX(ポート振替表!$N$5:$N$3507,$L1751)&amp;"")</f>
        <v/>
      </c>
      <c r="I1751" s="32" t="str">
        <f aca="false">IF(L1751="","",INDEX(ポート振替表!$P$5:$P$3507,$L1751)&amp;"")</f>
        <v/>
      </c>
      <c r="J1751" s="60" t="str">
        <f aca="false">IF(L1751="","",INDEX(ポート振替表!$M$5:$M$3507,$L1751)&amp;"")</f>
        <v/>
      </c>
      <c r="K1751" s="52" t="str">
        <f aca="false">IF(L1751="","",E1751&amp;CHAR(10)&amp;INDEX(ポート振替表!$K$5:$K$3507,$L1751)&amp;" "&amp;INDEX(ポート振替表!$L$5:$L$3507,$L1751)&amp;CHAR(10)&amp;"⇔ "&amp;INDEX(ポート振替表!$H$5:$H$3507,$L1751)&amp;" "&amp;INDEX(ポート振替表!$I$5:$I$3507,$L1751))</f>
        <v/>
      </c>
      <c r="L1751" s="47" t="str">
        <f aca="false">IFERROR(MATCH(ROW()-4,ポート振替表!$V$5:$V$3507,0),"")</f>
        <v/>
      </c>
    </row>
    <row r="1752" customFormat="false" ht="16.4" hidden="false" customHeight="false" outlineLevel="0" collapsed="false">
      <c r="A1752" s="32" t="str">
        <f aca="false">IF(L1752="","",ROW()-4)</f>
        <v/>
      </c>
      <c r="B1752" s="58" t="str">
        <f aca="false">IF(L1752="","",IF(INDEX(ポート振替表!$W$5:$W$3507,$L1752)="","(なし)",INDEX(ポート振替表!$W$5:$W$3507,$L1752)&amp;""))</f>
        <v/>
      </c>
      <c r="C1752" s="52" t="str">
        <f aca="false">IF(L1752="","",INDEX(ポート振替表!$B$5:$B$3507,$L1752)&amp;" "&amp;INDEX(ポート振替表!$C$5:$C$3507,$L1752)&amp;"  ⇔  "&amp;INDEX(ポート振替表!$H$5:$H$3507,$L1752)&amp;" "&amp;INDEX(ポート振替表!$I$5:$I$3507,$L1752))</f>
        <v/>
      </c>
      <c r="D1752" s="57" t="s">
        <v>158</v>
      </c>
      <c r="E1752" s="59" t="str">
        <f aca="false">IF(L1752="","",IF(INDEX(ポート振替表!$O$5:$O$3507,$L1752)="","(未設定)",INDEX(ポート振替表!$O$5:$O$3507,$L1752)&amp;""))</f>
        <v/>
      </c>
      <c r="F1752" s="52" t="str">
        <f aca="false">IF(L1752="","",INDEX(ポート振替表!$K$5:$K$3507,$L1752)&amp;" "&amp;INDEX(ポート振替表!$L$5:$L$3507,$L1752)&amp;"  ⇔  "&amp;INDEX(ポート振替表!$H$5:$H$3507,$L1752)&amp;" "&amp;INDEX(ポート振替表!$I$5:$I$3507,$L1752))</f>
        <v/>
      </c>
      <c r="G1752" s="57" t="s">
        <v>158</v>
      </c>
      <c r="H1752" s="32" t="str">
        <f aca="false">IF(L1752="","",INDEX(ポート振替表!$N$5:$N$3507,$L1752)&amp;"")</f>
        <v/>
      </c>
      <c r="I1752" s="32" t="str">
        <f aca="false">IF(L1752="","",INDEX(ポート振替表!$P$5:$P$3507,$L1752)&amp;"")</f>
        <v/>
      </c>
      <c r="J1752" s="60" t="str">
        <f aca="false">IF(L1752="","",INDEX(ポート振替表!$M$5:$M$3507,$L1752)&amp;"")</f>
        <v/>
      </c>
      <c r="K1752" s="52" t="str">
        <f aca="false">IF(L1752="","",E1752&amp;CHAR(10)&amp;INDEX(ポート振替表!$K$5:$K$3507,$L1752)&amp;" "&amp;INDEX(ポート振替表!$L$5:$L$3507,$L1752)&amp;CHAR(10)&amp;"⇔ "&amp;INDEX(ポート振替表!$H$5:$H$3507,$L1752)&amp;" "&amp;INDEX(ポート振替表!$I$5:$I$3507,$L1752))</f>
        <v/>
      </c>
      <c r="L1752" s="47" t="str">
        <f aca="false">IFERROR(MATCH(ROW()-4,ポート振替表!$V$5:$V$3507,0),"")</f>
        <v/>
      </c>
    </row>
    <row r="1753" customFormat="false" ht="16.4" hidden="false" customHeight="false" outlineLevel="0" collapsed="false">
      <c r="A1753" s="32" t="str">
        <f aca="false">IF(L1753="","",ROW()-4)</f>
        <v/>
      </c>
      <c r="B1753" s="58" t="str">
        <f aca="false">IF(L1753="","",IF(INDEX(ポート振替表!$W$5:$W$3507,$L1753)="","(なし)",INDEX(ポート振替表!$W$5:$W$3507,$L1753)&amp;""))</f>
        <v/>
      </c>
      <c r="C1753" s="52" t="str">
        <f aca="false">IF(L1753="","",INDEX(ポート振替表!$B$5:$B$3507,$L1753)&amp;" "&amp;INDEX(ポート振替表!$C$5:$C$3507,$L1753)&amp;"  ⇔  "&amp;INDEX(ポート振替表!$H$5:$H$3507,$L1753)&amp;" "&amp;INDEX(ポート振替表!$I$5:$I$3507,$L1753))</f>
        <v/>
      </c>
      <c r="D1753" s="57" t="s">
        <v>158</v>
      </c>
      <c r="E1753" s="59" t="str">
        <f aca="false">IF(L1753="","",IF(INDEX(ポート振替表!$O$5:$O$3507,$L1753)="","(未設定)",INDEX(ポート振替表!$O$5:$O$3507,$L1753)&amp;""))</f>
        <v/>
      </c>
      <c r="F1753" s="52" t="str">
        <f aca="false">IF(L1753="","",INDEX(ポート振替表!$K$5:$K$3507,$L1753)&amp;" "&amp;INDEX(ポート振替表!$L$5:$L$3507,$L1753)&amp;"  ⇔  "&amp;INDEX(ポート振替表!$H$5:$H$3507,$L1753)&amp;" "&amp;INDEX(ポート振替表!$I$5:$I$3507,$L1753))</f>
        <v/>
      </c>
      <c r="G1753" s="57" t="s">
        <v>158</v>
      </c>
      <c r="H1753" s="32" t="str">
        <f aca="false">IF(L1753="","",INDEX(ポート振替表!$N$5:$N$3507,$L1753)&amp;"")</f>
        <v/>
      </c>
      <c r="I1753" s="32" t="str">
        <f aca="false">IF(L1753="","",INDEX(ポート振替表!$P$5:$P$3507,$L1753)&amp;"")</f>
        <v/>
      </c>
      <c r="J1753" s="60" t="str">
        <f aca="false">IF(L1753="","",INDEX(ポート振替表!$M$5:$M$3507,$L1753)&amp;"")</f>
        <v/>
      </c>
      <c r="K1753" s="52" t="str">
        <f aca="false">IF(L1753="","",E1753&amp;CHAR(10)&amp;INDEX(ポート振替表!$K$5:$K$3507,$L1753)&amp;" "&amp;INDEX(ポート振替表!$L$5:$L$3507,$L1753)&amp;CHAR(10)&amp;"⇔ "&amp;INDEX(ポート振替表!$H$5:$H$3507,$L1753)&amp;" "&amp;INDEX(ポート振替表!$I$5:$I$3507,$L1753))</f>
        <v/>
      </c>
      <c r="L1753" s="47" t="str">
        <f aca="false">IFERROR(MATCH(ROW()-4,ポート振替表!$V$5:$V$3507,0),"")</f>
        <v/>
      </c>
    </row>
    <row r="1754" customFormat="false" ht="16.4" hidden="false" customHeight="false" outlineLevel="0" collapsed="false">
      <c r="A1754" s="32" t="str">
        <f aca="false">IF(L1754="","",ROW()-4)</f>
        <v/>
      </c>
      <c r="B1754" s="58" t="str">
        <f aca="false">IF(L1754="","",IF(INDEX(ポート振替表!$W$5:$W$3507,$L1754)="","(なし)",INDEX(ポート振替表!$W$5:$W$3507,$L1754)&amp;""))</f>
        <v/>
      </c>
      <c r="C1754" s="52" t="str">
        <f aca="false">IF(L1754="","",INDEX(ポート振替表!$B$5:$B$3507,$L1754)&amp;" "&amp;INDEX(ポート振替表!$C$5:$C$3507,$L1754)&amp;"  ⇔  "&amp;INDEX(ポート振替表!$H$5:$H$3507,$L1754)&amp;" "&amp;INDEX(ポート振替表!$I$5:$I$3507,$L1754))</f>
        <v/>
      </c>
      <c r="D1754" s="57" t="s">
        <v>158</v>
      </c>
      <c r="E1754" s="59" t="str">
        <f aca="false">IF(L1754="","",IF(INDEX(ポート振替表!$O$5:$O$3507,$L1754)="","(未設定)",INDEX(ポート振替表!$O$5:$O$3507,$L1754)&amp;""))</f>
        <v/>
      </c>
      <c r="F1754" s="52" t="str">
        <f aca="false">IF(L1754="","",INDEX(ポート振替表!$K$5:$K$3507,$L1754)&amp;" "&amp;INDEX(ポート振替表!$L$5:$L$3507,$L1754)&amp;"  ⇔  "&amp;INDEX(ポート振替表!$H$5:$H$3507,$L1754)&amp;" "&amp;INDEX(ポート振替表!$I$5:$I$3507,$L1754))</f>
        <v/>
      </c>
      <c r="G1754" s="57" t="s">
        <v>158</v>
      </c>
      <c r="H1754" s="32" t="str">
        <f aca="false">IF(L1754="","",INDEX(ポート振替表!$N$5:$N$3507,$L1754)&amp;"")</f>
        <v/>
      </c>
      <c r="I1754" s="32" t="str">
        <f aca="false">IF(L1754="","",INDEX(ポート振替表!$P$5:$P$3507,$L1754)&amp;"")</f>
        <v/>
      </c>
      <c r="J1754" s="60" t="str">
        <f aca="false">IF(L1754="","",INDEX(ポート振替表!$M$5:$M$3507,$L1754)&amp;"")</f>
        <v/>
      </c>
      <c r="K1754" s="52" t="str">
        <f aca="false">IF(L1754="","",E1754&amp;CHAR(10)&amp;INDEX(ポート振替表!$K$5:$K$3507,$L1754)&amp;" "&amp;INDEX(ポート振替表!$L$5:$L$3507,$L1754)&amp;CHAR(10)&amp;"⇔ "&amp;INDEX(ポート振替表!$H$5:$H$3507,$L1754)&amp;" "&amp;INDEX(ポート振替表!$I$5:$I$3507,$L1754))</f>
        <v/>
      </c>
      <c r="L1754" s="47" t="str">
        <f aca="false">IFERROR(MATCH(ROW()-4,ポート振替表!$V$5:$V$3507,0),"")</f>
        <v/>
      </c>
    </row>
    <row r="1755" customFormat="false" ht="16.4" hidden="false" customHeight="false" outlineLevel="0" collapsed="false">
      <c r="A1755" s="32" t="str">
        <f aca="false">IF(L1755="","",ROW()-4)</f>
        <v/>
      </c>
      <c r="B1755" s="58" t="str">
        <f aca="false">IF(L1755="","",IF(INDEX(ポート振替表!$W$5:$W$3507,$L1755)="","(なし)",INDEX(ポート振替表!$W$5:$W$3507,$L1755)&amp;""))</f>
        <v/>
      </c>
      <c r="C1755" s="52" t="str">
        <f aca="false">IF(L1755="","",INDEX(ポート振替表!$B$5:$B$3507,$L1755)&amp;" "&amp;INDEX(ポート振替表!$C$5:$C$3507,$L1755)&amp;"  ⇔  "&amp;INDEX(ポート振替表!$H$5:$H$3507,$L1755)&amp;" "&amp;INDEX(ポート振替表!$I$5:$I$3507,$L1755))</f>
        <v/>
      </c>
      <c r="D1755" s="57" t="s">
        <v>158</v>
      </c>
      <c r="E1755" s="59" t="str">
        <f aca="false">IF(L1755="","",IF(INDEX(ポート振替表!$O$5:$O$3507,$L1755)="","(未設定)",INDEX(ポート振替表!$O$5:$O$3507,$L1755)&amp;""))</f>
        <v/>
      </c>
      <c r="F1755" s="52" t="str">
        <f aca="false">IF(L1755="","",INDEX(ポート振替表!$K$5:$K$3507,$L1755)&amp;" "&amp;INDEX(ポート振替表!$L$5:$L$3507,$L1755)&amp;"  ⇔  "&amp;INDEX(ポート振替表!$H$5:$H$3507,$L1755)&amp;" "&amp;INDEX(ポート振替表!$I$5:$I$3507,$L1755))</f>
        <v/>
      </c>
      <c r="G1755" s="57" t="s">
        <v>158</v>
      </c>
      <c r="H1755" s="32" t="str">
        <f aca="false">IF(L1755="","",INDEX(ポート振替表!$N$5:$N$3507,$L1755)&amp;"")</f>
        <v/>
      </c>
      <c r="I1755" s="32" t="str">
        <f aca="false">IF(L1755="","",INDEX(ポート振替表!$P$5:$P$3507,$L1755)&amp;"")</f>
        <v/>
      </c>
      <c r="J1755" s="60" t="str">
        <f aca="false">IF(L1755="","",INDEX(ポート振替表!$M$5:$M$3507,$L1755)&amp;"")</f>
        <v/>
      </c>
      <c r="K1755" s="52" t="str">
        <f aca="false">IF(L1755="","",E1755&amp;CHAR(10)&amp;INDEX(ポート振替表!$K$5:$K$3507,$L1755)&amp;" "&amp;INDEX(ポート振替表!$L$5:$L$3507,$L1755)&amp;CHAR(10)&amp;"⇔ "&amp;INDEX(ポート振替表!$H$5:$H$3507,$L1755)&amp;" "&amp;INDEX(ポート振替表!$I$5:$I$3507,$L1755))</f>
        <v/>
      </c>
      <c r="L1755" s="47" t="str">
        <f aca="false">IFERROR(MATCH(ROW()-4,ポート振替表!$V$5:$V$3507,0),"")</f>
        <v/>
      </c>
    </row>
    <row r="1756" customFormat="false" ht="16.4" hidden="false" customHeight="false" outlineLevel="0" collapsed="false">
      <c r="A1756" s="32" t="str">
        <f aca="false">IF(L1756="","",ROW()-4)</f>
        <v/>
      </c>
      <c r="B1756" s="58" t="str">
        <f aca="false">IF(L1756="","",IF(INDEX(ポート振替表!$W$5:$W$3507,$L1756)="","(なし)",INDEX(ポート振替表!$W$5:$W$3507,$L1756)&amp;""))</f>
        <v/>
      </c>
      <c r="C1756" s="52" t="str">
        <f aca="false">IF(L1756="","",INDEX(ポート振替表!$B$5:$B$3507,$L1756)&amp;" "&amp;INDEX(ポート振替表!$C$5:$C$3507,$L1756)&amp;"  ⇔  "&amp;INDEX(ポート振替表!$H$5:$H$3507,$L1756)&amp;" "&amp;INDEX(ポート振替表!$I$5:$I$3507,$L1756))</f>
        <v/>
      </c>
      <c r="D1756" s="57" t="s">
        <v>158</v>
      </c>
      <c r="E1756" s="59" t="str">
        <f aca="false">IF(L1756="","",IF(INDEX(ポート振替表!$O$5:$O$3507,$L1756)="","(未設定)",INDEX(ポート振替表!$O$5:$O$3507,$L1756)&amp;""))</f>
        <v/>
      </c>
      <c r="F1756" s="52" t="str">
        <f aca="false">IF(L1756="","",INDEX(ポート振替表!$K$5:$K$3507,$L1756)&amp;" "&amp;INDEX(ポート振替表!$L$5:$L$3507,$L1756)&amp;"  ⇔  "&amp;INDEX(ポート振替表!$H$5:$H$3507,$L1756)&amp;" "&amp;INDEX(ポート振替表!$I$5:$I$3507,$L1756))</f>
        <v/>
      </c>
      <c r="G1756" s="57" t="s">
        <v>158</v>
      </c>
      <c r="H1756" s="32" t="str">
        <f aca="false">IF(L1756="","",INDEX(ポート振替表!$N$5:$N$3507,$L1756)&amp;"")</f>
        <v/>
      </c>
      <c r="I1756" s="32" t="str">
        <f aca="false">IF(L1756="","",INDEX(ポート振替表!$P$5:$P$3507,$L1756)&amp;"")</f>
        <v/>
      </c>
      <c r="J1756" s="60" t="str">
        <f aca="false">IF(L1756="","",INDEX(ポート振替表!$M$5:$M$3507,$L1756)&amp;"")</f>
        <v/>
      </c>
      <c r="K1756" s="52" t="str">
        <f aca="false">IF(L1756="","",E1756&amp;CHAR(10)&amp;INDEX(ポート振替表!$K$5:$K$3507,$L1756)&amp;" "&amp;INDEX(ポート振替表!$L$5:$L$3507,$L1756)&amp;CHAR(10)&amp;"⇔ "&amp;INDEX(ポート振替表!$H$5:$H$3507,$L1756)&amp;" "&amp;INDEX(ポート振替表!$I$5:$I$3507,$L1756))</f>
        <v/>
      </c>
      <c r="L1756" s="47" t="str">
        <f aca="false">IFERROR(MATCH(ROW()-4,ポート振替表!$V$5:$V$3507,0),"")</f>
        <v/>
      </c>
    </row>
    <row r="1757" customFormat="false" ht="16.4" hidden="false" customHeight="false" outlineLevel="0" collapsed="false">
      <c r="A1757" s="32" t="str">
        <f aca="false">IF(L1757="","",ROW()-4)</f>
        <v/>
      </c>
      <c r="B1757" s="58" t="str">
        <f aca="false">IF(L1757="","",IF(INDEX(ポート振替表!$W$5:$W$3507,$L1757)="","(なし)",INDEX(ポート振替表!$W$5:$W$3507,$L1757)&amp;""))</f>
        <v/>
      </c>
      <c r="C1757" s="52" t="str">
        <f aca="false">IF(L1757="","",INDEX(ポート振替表!$B$5:$B$3507,$L1757)&amp;" "&amp;INDEX(ポート振替表!$C$5:$C$3507,$L1757)&amp;"  ⇔  "&amp;INDEX(ポート振替表!$H$5:$H$3507,$L1757)&amp;" "&amp;INDEX(ポート振替表!$I$5:$I$3507,$L1757))</f>
        <v/>
      </c>
      <c r="D1757" s="57" t="s">
        <v>158</v>
      </c>
      <c r="E1757" s="59" t="str">
        <f aca="false">IF(L1757="","",IF(INDEX(ポート振替表!$O$5:$O$3507,$L1757)="","(未設定)",INDEX(ポート振替表!$O$5:$O$3507,$L1757)&amp;""))</f>
        <v/>
      </c>
      <c r="F1757" s="52" t="str">
        <f aca="false">IF(L1757="","",INDEX(ポート振替表!$K$5:$K$3507,$L1757)&amp;" "&amp;INDEX(ポート振替表!$L$5:$L$3507,$L1757)&amp;"  ⇔  "&amp;INDEX(ポート振替表!$H$5:$H$3507,$L1757)&amp;" "&amp;INDEX(ポート振替表!$I$5:$I$3507,$L1757))</f>
        <v/>
      </c>
      <c r="G1757" s="57" t="s">
        <v>158</v>
      </c>
      <c r="H1757" s="32" t="str">
        <f aca="false">IF(L1757="","",INDEX(ポート振替表!$N$5:$N$3507,$L1757)&amp;"")</f>
        <v/>
      </c>
      <c r="I1757" s="32" t="str">
        <f aca="false">IF(L1757="","",INDEX(ポート振替表!$P$5:$P$3507,$L1757)&amp;"")</f>
        <v/>
      </c>
      <c r="J1757" s="60" t="str">
        <f aca="false">IF(L1757="","",INDEX(ポート振替表!$M$5:$M$3507,$L1757)&amp;"")</f>
        <v/>
      </c>
      <c r="K1757" s="52" t="str">
        <f aca="false">IF(L1757="","",E1757&amp;CHAR(10)&amp;INDEX(ポート振替表!$K$5:$K$3507,$L1757)&amp;" "&amp;INDEX(ポート振替表!$L$5:$L$3507,$L1757)&amp;CHAR(10)&amp;"⇔ "&amp;INDEX(ポート振替表!$H$5:$H$3507,$L1757)&amp;" "&amp;INDEX(ポート振替表!$I$5:$I$3507,$L1757))</f>
        <v/>
      </c>
      <c r="L1757" s="47" t="str">
        <f aca="false">IFERROR(MATCH(ROW()-4,ポート振替表!$V$5:$V$3507,0),"")</f>
        <v/>
      </c>
    </row>
    <row r="1758" customFormat="false" ht="16.4" hidden="false" customHeight="false" outlineLevel="0" collapsed="false">
      <c r="A1758" s="32" t="str">
        <f aca="false">IF(L1758="","",ROW()-4)</f>
        <v/>
      </c>
      <c r="B1758" s="58" t="str">
        <f aca="false">IF(L1758="","",IF(INDEX(ポート振替表!$W$5:$W$3507,$L1758)="","(なし)",INDEX(ポート振替表!$W$5:$W$3507,$L1758)&amp;""))</f>
        <v/>
      </c>
      <c r="C1758" s="52" t="str">
        <f aca="false">IF(L1758="","",INDEX(ポート振替表!$B$5:$B$3507,$L1758)&amp;" "&amp;INDEX(ポート振替表!$C$5:$C$3507,$L1758)&amp;"  ⇔  "&amp;INDEX(ポート振替表!$H$5:$H$3507,$L1758)&amp;" "&amp;INDEX(ポート振替表!$I$5:$I$3507,$L1758))</f>
        <v/>
      </c>
      <c r="D1758" s="57" t="s">
        <v>158</v>
      </c>
      <c r="E1758" s="59" t="str">
        <f aca="false">IF(L1758="","",IF(INDEX(ポート振替表!$O$5:$O$3507,$L1758)="","(未設定)",INDEX(ポート振替表!$O$5:$O$3507,$L1758)&amp;""))</f>
        <v/>
      </c>
      <c r="F1758" s="52" t="str">
        <f aca="false">IF(L1758="","",INDEX(ポート振替表!$K$5:$K$3507,$L1758)&amp;" "&amp;INDEX(ポート振替表!$L$5:$L$3507,$L1758)&amp;"  ⇔  "&amp;INDEX(ポート振替表!$H$5:$H$3507,$L1758)&amp;" "&amp;INDEX(ポート振替表!$I$5:$I$3507,$L1758))</f>
        <v/>
      </c>
      <c r="G1758" s="57" t="s">
        <v>158</v>
      </c>
      <c r="H1758" s="32" t="str">
        <f aca="false">IF(L1758="","",INDEX(ポート振替表!$N$5:$N$3507,$L1758)&amp;"")</f>
        <v/>
      </c>
      <c r="I1758" s="32" t="str">
        <f aca="false">IF(L1758="","",INDEX(ポート振替表!$P$5:$P$3507,$L1758)&amp;"")</f>
        <v/>
      </c>
      <c r="J1758" s="60" t="str">
        <f aca="false">IF(L1758="","",INDEX(ポート振替表!$M$5:$M$3507,$L1758)&amp;"")</f>
        <v/>
      </c>
      <c r="K1758" s="52" t="str">
        <f aca="false">IF(L1758="","",E1758&amp;CHAR(10)&amp;INDEX(ポート振替表!$K$5:$K$3507,$L1758)&amp;" "&amp;INDEX(ポート振替表!$L$5:$L$3507,$L1758)&amp;CHAR(10)&amp;"⇔ "&amp;INDEX(ポート振替表!$H$5:$H$3507,$L1758)&amp;" "&amp;INDEX(ポート振替表!$I$5:$I$3507,$L1758))</f>
        <v/>
      </c>
      <c r="L1758" s="47" t="str">
        <f aca="false">IFERROR(MATCH(ROW()-4,ポート振替表!$V$5:$V$3507,0),"")</f>
        <v/>
      </c>
    </row>
    <row r="1759" customFormat="false" ht="16.4" hidden="false" customHeight="false" outlineLevel="0" collapsed="false">
      <c r="A1759" s="32" t="str">
        <f aca="false">IF(L1759="","",ROW()-4)</f>
        <v/>
      </c>
      <c r="B1759" s="58" t="str">
        <f aca="false">IF(L1759="","",IF(INDEX(ポート振替表!$W$5:$W$3507,$L1759)="","(なし)",INDEX(ポート振替表!$W$5:$W$3507,$L1759)&amp;""))</f>
        <v/>
      </c>
      <c r="C1759" s="52" t="str">
        <f aca="false">IF(L1759="","",INDEX(ポート振替表!$B$5:$B$3507,$L1759)&amp;" "&amp;INDEX(ポート振替表!$C$5:$C$3507,$L1759)&amp;"  ⇔  "&amp;INDEX(ポート振替表!$H$5:$H$3507,$L1759)&amp;" "&amp;INDEX(ポート振替表!$I$5:$I$3507,$L1759))</f>
        <v/>
      </c>
      <c r="D1759" s="57" t="s">
        <v>158</v>
      </c>
      <c r="E1759" s="59" t="str">
        <f aca="false">IF(L1759="","",IF(INDEX(ポート振替表!$O$5:$O$3507,$L1759)="","(未設定)",INDEX(ポート振替表!$O$5:$O$3507,$L1759)&amp;""))</f>
        <v/>
      </c>
      <c r="F1759" s="52" t="str">
        <f aca="false">IF(L1759="","",INDEX(ポート振替表!$K$5:$K$3507,$L1759)&amp;" "&amp;INDEX(ポート振替表!$L$5:$L$3507,$L1759)&amp;"  ⇔  "&amp;INDEX(ポート振替表!$H$5:$H$3507,$L1759)&amp;" "&amp;INDEX(ポート振替表!$I$5:$I$3507,$L1759))</f>
        <v/>
      </c>
      <c r="G1759" s="57" t="s">
        <v>158</v>
      </c>
      <c r="H1759" s="32" t="str">
        <f aca="false">IF(L1759="","",INDEX(ポート振替表!$N$5:$N$3507,$L1759)&amp;"")</f>
        <v/>
      </c>
      <c r="I1759" s="32" t="str">
        <f aca="false">IF(L1759="","",INDEX(ポート振替表!$P$5:$P$3507,$L1759)&amp;"")</f>
        <v/>
      </c>
      <c r="J1759" s="60" t="str">
        <f aca="false">IF(L1759="","",INDEX(ポート振替表!$M$5:$M$3507,$L1759)&amp;"")</f>
        <v/>
      </c>
      <c r="K1759" s="52" t="str">
        <f aca="false">IF(L1759="","",E1759&amp;CHAR(10)&amp;INDEX(ポート振替表!$K$5:$K$3507,$L1759)&amp;" "&amp;INDEX(ポート振替表!$L$5:$L$3507,$L1759)&amp;CHAR(10)&amp;"⇔ "&amp;INDEX(ポート振替表!$H$5:$H$3507,$L1759)&amp;" "&amp;INDEX(ポート振替表!$I$5:$I$3507,$L1759))</f>
        <v/>
      </c>
      <c r="L1759" s="47" t="str">
        <f aca="false">IFERROR(MATCH(ROW()-4,ポート振替表!$V$5:$V$3507,0),"")</f>
        <v/>
      </c>
    </row>
    <row r="1760" customFormat="false" ht="16.4" hidden="false" customHeight="false" outlineLevel="0" collapsed="false">
      <c r="A1760" s="32" t="str">
        <f aca="false">IF(L1760="","",ROW()-4)</f>
        <v/>
      </c>
      <c r="B1760" s="58" t="str">
        <f aca="false">IF(L1760="","",IF(INDEX(ポート振替表!$W$5:$W$3507,$L1760)="","(なし)",INDEX(ポート振替表!$W$5:$W$3507,$L1760)&amp;""))</f>
        <v/>
      </c>
      <c r="C1760" s="52" t="str">
        <f aca="false">IF(L1760="","",INDEX(ポート振替表!$B$5:$B$3507,$L1760)&amp;" "&amp;INDEX(ポート振替表!$C$5:$C$3507,$L1760)&amp;"  ⇔  "&amp;INDEX(ポート振替表!$H$5:$H$3507,$L1760)&amp;" "&amp;INDEX(ポート振替表!$I$5:$I$3507,$L1760))</f>
        <v/>
      </c>
      <c r="D1760" s="57" t="s">
        <v>158</v>
      </c>
      <c r="E1760" s="59" t="str">
        <f aca="false">IF(L1760="","",IF(INDEX(ポート振替表!$O$5:$O$3507,$L1760)="","(未設定)",INDEX(ポート振替表!$O$5:$O$3507,$L1760)&amp;""))</f>
        <v/>
      </c>
      <c r="F1760" s="52" t="str">
        <f aca="false">IF(L1760="","",INDEX(ポート振替表!$K$5:$K$3507,$L1760)&amp;" "&amp;INDEX(ポート振替表!$L$5:$L$3507,$L1760)&amp;"  ⇔  "&amp;INDEX(ポート振替表!$H$5:$H$3507,$L1760)&amp;" "&amp;INDEX(ポート振替表!$I$5:$I$3507,$L1760))</f>
        <v/>
      </c>
      <c r="G1760" s="57" t="s">
        <v>158</v>
      </c>
      <c r="H1760" s="32" t="str">
        <f aca="false">IF(L1760="","",INDEX(ポート振替表!$N$5:$N$3507,$L1760)&amp;"")</f>
        <v/>
      </c>
      <c r="I1760" s="32" t="str">
        <f aca="false">IF(L1760="","",INDEX(ポート振替表!$P$5:$P$3507,$L1760)&amp;"")</f>
        <v/>
      </c>
      <c r="J1760" s="60" t="str">
        <f aca="false">IF(L1760="","",INDEX(ポート振替表!$M$5:$M$3507,$L1760)&amp;"")</f>
        <v/>
      </c>
      <c r="K1760" s="52" t="str">
        <f aca="false">IF(L1760="","",E1760&amp;CHAR(10)&amp;INDEX(ポート振替表!$K$5:$K$3507,$L1760)&amp;" "&amp;INDEX(ポート振替表!$L$5:$L$3507,$L1760)&amp;CHAR(10)&amp;"⇔ "&amp;INDEX(ポート振替表!$H$5:$H$3507,$L1760)&amp;" "&amp;INDEX(ポート振替表!$I$5:$I$3507,$L1760))</f>
        <v/>
      </c>
      <c r="L1760" s="47" t="str">
        <f aca="false">IFERROR(MATCH(ROW()-4,ポート振替表!$V$5:$V$3507,0),"")</f>
        <v/>
      </c>
    </row>
    <row r="1761" customFormat="false" ht="16.4" hidden="false" customHeight="false" outlineLevel="0" collapsed="false">
      <c r="A1761" s="32" t="str">
        <f aca="false">IF(L1761="","",ROW()-4)</f>
        <v/>
      </c>
      <c r="B1761" s="58" t="str">
        <f aca="false">IF(L1761="","",IF(INDEX(ポート振替表!$W$5:$W$3507,$L1761)="","(なし)",INDEX(ポート振替表!$W$5:$W$3507,$L1761)&amp;""))</f>
        <v/>
      </c>
      <c r="C1761" s="52" t="str">
        <f aca="false">IF(L1761="","",INDEX(ポート振替表!$B$5:$B$3507,$L1761)&amp;" "&amp;INDEX(ポート振替表!$C$5:$C$3507,$L1761)&amp;"  ⇔  "&amp;INDEX(ポート振替表!$H$5:$H$3507,$L1761)&amp;" "&amp;INDEX(ポート振替表!$I$5:$I$3507,$L1761))</f>
        <v/>
      </c>
      <c r="D1761" s="57" t="s">
        <v>158</v>
      </c>
      <c r="E1761" s="59" t="str">
        <f aca="false">IF(L1761="","",IF(INDEX(ポート振替表!$O$5:$O$3507,$L1761)="","(未設定)",INDEX(ポート振替表!$O$5:$O$3507,$L1761)&amp;""))</f>
        <v/>
      </c>
      <c r="F1761" s="52" t="str">
        <f aca="false">IF(L1761="","",INDEX(ポート振替表!$K$5:$K$3507,$L1761)&amp;" "&amp;INDEX(ポート振替表!$L$5:$L$3507,$L1761)&amp;"  ⇔  "&amp;INDEX(ポート振替表!$H$5:$H$3507,$L1761)&amp;" "&amp;INDEX(ポート振替表!$I$5:$I$3507,$L1761))</f>
        <v/>
      </c>
      <c r="G1761" s="57" t="s">
        <v>158</v>
      </c>
      <c r="H1761" s="32" t="str">
        <f aca="false">IF(L1761="","",INDEX(ポート振替表!$N$5:$N$3507,$L1761)&amp;"")</f>
        <v/>
      </c>
      <c r="I1761" s="32" t="str">
        <f aca="false">IF(L1761="","",INDEX(ポート振替表!$P$5:$P$3507,$L1761)&amp;"")</f>
        <v/>
      </c>
      <c r="J1761" s="60" t="str">
        <f aca="false">IF(L1761="","",INDEX(ポート振替表!$M$5:$M$3507,$L1761)&amp;"")</f>
        <v/>
      </c>
      <c r="K1761" s="52" t="str">
        <f aca="false">IF(L1761="","",E1761&amp;CHAR(10)&amp;INDEX(ポート振替表!$K$5:$K$3507,$L1761)&amp;" "&amp;INDEX(ポート振替表!$L$5:$L$3507,$L1761)&amp;CHAR(10)&amp;"⇔ "&amp;INDEX(ポート振替表!$H$5:$H$3507,$L1761)&amp;" "&amp;INDEX(ポート振替表!$I$5:$I$3507,$L1761))</f>
        <v/>
      </c>
      <c r="L1761" s="47" t="str">
        <f aca="false">IFERROR(MATCH(ROW()-4,ポート振替表!$V$5:$V$3507,0),"")</f>
        <v/>
      </c>
    </row>
    <row r="1762" customFormat="false" ht="16.4" hidden="false" customHeight="false" outlineLevel="0" collapsed="false">
      <c r="A1762" s="32" t="str">
        <f aca="false">IF(L1762="","",ROW()-4)</f>
        <v/>
      </c>
      <c r="B1762" s="58" t="str">
        <f aca="false">IF(L1762="","",IF(INDEX(ポート振替表!$W$5:$W$3507,$L1762)="","(なし)",INDEX(ポート振替表!$W$5:$W$3507,$L1762)&amp;""))</f>
        <v/>
      </c>
      <c r="C1762" s="52" t="str">
        <f aca="false">IF(L1762="","",INDEX(ポート振替表!$B$5:$B$3507,$L1762)&amp;" "&amp;INDEX(ポート振替表!$C$5:$C$3507,$L1762)&amp;"  ⇔  "&amp;INDEX(ポート振替表!$H$5:$H$3507,$L1762)&amp;" "&amp;INDEX(ポート振替表!$I$5:$I$3507,$L1762))</f>
        <v/>
      </c>
      <c r="D1762" s="57" t="s">
        <v>158</v>
      </c>
      <c r="E1762" s="59" t="str">
        <f aca="false">IF(L1762="","",IF(INDEX(ポート振替表!$O$5:$O$3507,$L1762)="","(未設定)",INDEX(ポート振替表!$O$5:$O$3507,$L1762)&amp;""))</f>
        <v/>
      </c>
      <c r="F1762" s="52" t="str">
        <f aca="false">IF(L1762="","",INDEX(ポート振替表!$K$5:$K$3507,$L1762)&amp;" "&amp;INDEX(ポート振替表!$L$5:$L$3507,$L1762)&amp;"  ⇔  "&amp;INDEX(ポート振替表!$H$5:$H$3507,$L1762)&amp;" "&amp;INDEX(ポート振替表!$I$5:$I$3507,$L1762))</f>
        <v/>
      </c>
      <c r="G1762" s="57" t="s">
        <v>158</v>
      </c>
      <c r="H1762" s="32" t="str">
        <f aca="false">IF(L1762="","",INDEX(ポート振替表!$N$5:$N$3507,$L1762)&amp;"")</f>
        <v/>
      </c>
      <c r="I1762" s="32" t="str">
        <f aca="false">IF(L1762="","",INDEX(ポート振替表!$P$5:$P$3507,$L1762)&amp;"")</f>
        <v/>
      </c>
      <c r="J1762" s="60" t="str">
        <f aca="false">IF(L1762="","",INDEX(ポート振替表!$M$5:$M$3507,$L1762)&amp;"")</f>
        <v/>
      </c>
      <c r="K1762" s="52" t="str">
        <f aca="false">IF(L1762="","",E1762&amp;CHAR(10)&amp;INDEX(ポート振替表!$K$5:$K$3507,$L1762)&amp;" "&amp;INDEX(ポート振替表!$L$5:$L$3507,$L1762)&amp;CHAR(10)&amp;"⇔ "&amp;INDEX(ポート振替表!$H$5:$H$3507,$L1762)&amp;" "&amp;INDEX(ポート振替表!$I$5:$I$3507,$L1762))</f>
        <v/>
      </c>
      <c r="L1762" s="47" t="str">
        <f aca="false">IFERROR(MATCH(ROW()-4,ポート振替表!$V$5:$V$3507,0),"")</f>
        <v/>
      </c>
    </row>
    <row r="1763" customFormat="false" ht="16.4" hidden="false" customHeight="false" outlineLevel="0" collapsed="false">
      <c r="A1763" s="32" t="str">
        <f aca="false">IF(L1763="","",ROW()-4)</f>
        <v/>
      </c>
      <c r="B1763" s="58" t="str">
        <f aca="false">IF(L1763="","",IF(INDEX(ポート振替表!$W$5:$W$3507,$L1763)="","(なし)",INDEX(ポート振替表!$W$5:$W$3507,$L1763)&amp;""))</f>
        <v/>
      </c>
      <c r="C1763" s="52" t="str">
        <f aca="false">IF(L1763="","",INDEX(ポート振替表!$B$5:$B$3507,$L1763)&amp;" "&amp;INDEX(ポート振替表!$C$5:$C$3507,$L1763)&amp;"  ⇔  "&amp;INDEX(ポート振替表!$H$5:$H$3507,$L1763)&amp;" "&amp;INDEX(ポート振替表!$I$5:$I$3507,$L1763))</f>
        <v/>
      </c>
      <c r="D1763" s="57" t="s">
        <v>158</v>
      </c>
      <c r="E1763" s="59" t="str">
        <f aca="false">IF(L1763="","",IF(INDEX(ポート振替表!$O$5:$O$3507,$L1763)="","(未設定)",INDEX(ポート振替表!$O$5:$O$3507,$L1763)&amp;""))</f>
        <v/>
      </c>
      <c r="F1763" s="52" t="str">
        <f aca="false">IF(L1763="","",INDEX(ポート振替表!$K$5:$K$3507,$L1763)&amp;" "&amp;INDEX(ポート振替表!$L$5:$L$3507,$L1763)&amp;"  ⇔  "&amp;INDEX(ポート振替表!$H$5:$H$3507,$L1763)&amp;" "&amp;INDEX(ポート振替表!$I$5:$I$3507,$L1763))</f>
        <v/>
      </c>
      <c r="G1763" s="57" t="s">
        <v>158</v>
      </c>
      <c r="H1763" s="32" t="str">
        <f aca="false">IF(L1763="","",INDEX(ポート振替表!$N$5:$N$3507,$L1763)&amp;"")</f>
        <v/>
      </c>
      <c r="I1763" s="32" t="str">
        <f aca="false">IF(L1763="","",INDEX(ポート振替表!$P$5:$P$3507,$L1763)&amp;"")</f>
        <v/>
      </c>
      <c r="J1763" s="60" t="str">
        <f aca="false">IF(L1763="","",INDEX(ポート振替表!$M$5:$M$3507,$L1763)&amp;"")</f>
        <v/>
      </c>
      <c r="K1763" s="52" t="str">
        <f aca="false">IF(L1763="","",E1763&amp;CHAR(10)&amp;INDEX(ポート振替表!$K$5:$K$3507,$L1763)&amp;" "&amp;INDEX(ポート振替表!$L$5:$L$3507,$L1763)&amp;CHAR(10)&amp;"⇔ "&amp;INDEX(ポート振替表!$H$5:$H$3507,$L1763)&amp;" "&amp;INDEX(ポート振替表!$I$5:$I$3507,$L1763))</f>
        <v/>
      </c>
      <c r="L1763" s="47" t="str">
        <f aca="false">IFERROR(MATCH(ROW()-4,ポート振替表!$V$5:$V$3507,0),"")</f>
        <v/>
      </c>
    </row>
    <row r="1764" customFormat="false" ht="16.4" hidden="false" customHeight="false" outlineLevel="0" collapsed="false">
      <c r="A1764" s="32" t="str">
        <f aca="false">IF(L1764="","",ROW()-4)</f>
        <v/>
      </c>
      <c r="B1764" s="58" t="str">
        <f aca="false">IF(L1764="","",IF(INDEX(ポート振替表!$W$5:$W$3507,$L1764)="","(なし)",INDEX(ポート振替表!$W$5:$W$3507,$L1764)&amp;""))</f>
        <v/>
      </c>
      <c r="C1764" s="52" t="str">
        <f aca="false">IF(L1764="","",INDEX(ポート振替表!$B$5:$B$3507,$L1764)&amp;" "&amp;INDEX(ポート振替表!$C$5:$C$3507,$L1764)&amp;"  ⇔  "&amp;INDEX(ポート振替表!$H$5:$H$3507,$L1764)&amp;" "&amp;INDEX(ポート振替表!$I$5:$I$3507,$L1764))</f>
        <v/>
      </c>
      <c r="D1764" s="57" t="s">
        <v>158</v>
      </c>
      <c r="E1764" s="59" t="str">
        <f aca="false">IF(L1764="","",IF(INDEX(ポート振替表!$O$5:$O$3507,$L1764)="","(未設定)",INDEX(ポート振替表!$O$5:$O$3507,$L1764)&amp;""))</f>
        <v/>
      </c>
      <c r="F1764" s="52" t="str">
        <f aca="false">IF(L1764="","",INDEX(ポート振替表!$K$5:$K$3507,$L1764)&amp;" "&amp;INDEX(ポート振替表!$L$5:$L$3507,$L1764)&amp;"  ⇔  "&amp;INDEX(ポート振替表!$H$5:$H$3507,$L1764)&amp;" "&amp;INDEX(ポート振替表!$I$5:$I$3507,$L1764))</f>
        <v/>
      </c>
      <c r="G1764" s="57" t="s">
        <v>158</v>
      </c>
      <c r="H1764" s="32" t="str">
        <f aca="false">IF(L1764="","",INDEX(ポート振替表!$N$5:$N$3507,$L1764)&amp;"")</f>
        <v/>
      </c>
      <c r="I1764" s="32" t="str">
        <f aca="false">IF(L1764="","",INDEX(ポート振替表!$P$5:$P$3507,$L1764)&amp;"")</f>
        <v/>
      </c>
      <c r="J1764" s="60" t="str">
        <f aca="false">IF(L1764="","",INDEX(ポート振替表!$M$5:$M$3507,$L1764)&amp;"")</f>
        <v/>
      </c>
      <c r="K1764" s="52" t="str">
        <f aca="false">IF(L1764="","",E1764&amp;CHAR(10)&amp;INDEX(ポート振替表!$K$5:$K$3507,$L1764)&amp;" "&amp;INDEX(ポート振替表!$L$5:$L$3507,$L1764)&amp;CHAR(10)&amp;"⇔ "&amp;INDEX(ポート振替表!$H$5:$H$3507,$L1764)&amp;" "&amp;INDEX(ポート振替表!$I$5:$I$3507,$L1764))</f>
        <v/>
      </c>
      <c r="L1764" s="47" t="str">
        <f aca="false">IFERROR(MATCH(ROW()-4,ポート振替表!$V$5:$V$3507,0),"")</f>
        <v/>
      </c>
    </row>
    <row r="1765" customFormat="false" ht="16.4" hidden="false" customHeight="false" outlineLevel="0" collapsed="false">
      <c r="A1765" s="32" t="str">
        <f aca="false">IF(L1765="","",ROW()-4)</f>
        <v/>
      </c>
      <c r="B1765" s="58" t="str">
        <f aca="false">IF(L1765="","",IF(INDEX(ポート振替表!$W$5:$W$3507,$L1765)="","(なし)",INDEX(ポート振替表!$W$5:$W$3507,$L1765)&amp;""))</f>
        <v/>
      </c>
      <c r="C1765" s="52" t="str">
        <f aca="false">IF(L1765="","",INDEX(ポート振替表!$B$5:$B$3507,$L1765)&amp;" "&amp;INDEX(ポート振替表!$C$5:$C$3507,$L1765)&amp;"  ⇔  "&amp;INDEX(ポート振替表!$H$5:$H$3507,$L1765)&amp;" "&amp;INDEX(ポート振替表!$I$5:$I$3507,$L1765))</f>
        <v/>
      </c>
      <c r="D1765" s="57" t="s">
        <v>158</v>
      </c>
      <c r="E1765" s="59" t="str">
        <f aca="false">IF(L1765="","",IF(INDEX(ポート振替表!$O$5:$O$3507,$L1765)="","(未設定)",INDEX(ポート振替表!$O$5:$O$3507,$L1765)&amp;""))</f>
        <v/>
      </c>
      <c r="F1765" s="52" t="str">
        <f aca="false">IF(L1765="","",INDEX(ポート振替表!$K$5:$K$3507,$L1765)&amp;" "&amp;INDEX(ポート振替表!$L$5:$L$3507,$L1765)&amp;"  ⇔  "&amp;INDEX(ポート振替表!$H$5:$H$3507,$L1765)&amp;" "&amp;INDEX(ポート振替表!$I$5:$I$3507,$L1765))</f>
        <v/>
      </c>
      <c r="G1765" s="57" t="s">
        <v>158</v>
      </c>
      <c r="H1765" s="32" t="str">
        <f aca="false">IF(L1765="","",INDEX(ポート振替表!$N$5:$N$3507,$L1765)&amp;"")</f>
        <v/>
      </c>
      <c r="I1765" s="32" t="str">
        <f aca="false">IF(L1765="","",INDEX(ポート振替表!$P$5:$P$3507,$L1765)&amp;"")</f>
        <v/>
      </c>
      <c r="J1765" s="60" t="str">
        <f aca="false">IF(L1765="","",INDEX(ポート振替表!$M$5:$M$3507,$L1765)&amp;"")</f>
        <v/>
      </c>
      <c r="K1765" s="52" t="str">
        <f aca="false">IF(L1765="","",E1765&amp;CHAR(10)&amp;INDEX(ポート振替表!$K$5:$K$3507,$L1765)&amp;" "&amp;INDEX(ポート振替表!$L$5:$L$3507,$L1765)&amp;CHAR(10)&amp;"⇔ "&amp;INDEX(ポート振替表!$H$5:$H$3507,$L1765)&amp;" "&amp;INDEX(ポート振替表!$I$5:$I$3507,$L1765))</f>
        <v/>
      </c>
      <c r="L1765" s="47" t="str">
        <f aca="false">IFERROR(MATCH(ROW()-4,ポート振替表!$V$5:$V$3507,0),"")</f>
        <v/>
      </c>
    </row>
    <row r="1766" customFormat="false" ht="16.4" hidden="false" customHeight="false" outlineLevel="0" collapsed="false">
      <c r="A1766" s="32" t="str">
        <f aca="false">IF(L1766="","",ROW()-4)</f>
        <v/>
      </c>
      <c r="B1766" s="58" t="str">
        <f aca="false">IF(L1766="","",IF(INDEX(ポート振替表!$W$5:$W$3507,$L1766)="","(なし)",INDEX(ポート振替表!$W$5:$W$3507,$L1766)&amp;""))</f>
        <v/>
      </c>
      <c r="C1766" s="52" t="str">
        <f aca="false">IF(L1766="","",INDEX(ポート振替表!$B$5:$B$3507,$L1766)&amp;" "&amp;INDEX(ポート振替表!$C$5:$C$3507,$L1766)&amp;"  ⇔  "&amp;INDEX(ポート振替表!$H$5:$H$3507,$L1766)&amp;" "&amp;INDEX(ポート振替表!$I$5:$I$3507,$L1766))</f>
        <v/>
      </c>
      <c r="D1766" s="57" t="s">
        <v>158</v>
      </c>
      <c r="E1766" s="59" t="str">
        <f aca="false">IF(L1766="","",IF(INDEX(ポート振替表!$O$5:$O$3507,$L1766)="","(未設定)",INDEX(ポート振替表!$O$5:$O$3507,$L1766)&amp;""))</f>
        <v/>
      </c>
      <c r="F1766" s="52" t="str">
        <f aca="false">IF(L1766="","",INDEX(ポート振替表!$K$5:$K$3507,$L1766)&amp;" "&amp;INDEX(ポート振替表!$L$5:$L$3507,$L1766)&amp;"  ⇔  "&amp;INDEX(ポート振替表!$H$5:$H$3507,$L1766)&amp;" "&amp;INDEX(ポート振替表!$I$5:$I$3507,$L1766))</f>
        <v/>
      </c>
      <c r="G1766" s="57" t="s">
        <v>158</v>
      </c>
      <c r="H1766" s="32" t="str">
        <f aca="false">IF(L1766="","",INDEX(ポート振替表!$N$5:$N$3507,$L1766)&amp;"")</f>
        <v/>
      </c>
      <c r="I1766" s="32" t="str">
        <f aca="false">IF(L1766="","",INDEX(ポート振替表!$P$5:$P$3507,$L1766)&amp;"")</f>
        <v/>
      </c>
      <c r="J1766" s="60" t="str">
        <f aca="false">IF(L1766="","",INDEX(ポート振替表!$M$5:$M$3507,$L1766)&amp;"")</f>
        <v/>
      </c>
      <c r="K1766" s="52" t="str">
        <f aca="false">IF(L1766="","",E1766&amp;CHAR(10)&amp;INDEX(ポート振替表!$K$5:$K$3507,$L1766)&amp;" "&amp;INDEX(ポート振替表!$L$5:$L$3507,$L1766)&amp;CHAR(10)&amp;"⇔ "&amp;INDEX(ポート振替表!$H$5:$H$3507,$L1766)&amp;" "&amp;INDEX(ポート振替表!$I$5:$I$3507,$L1766))</f>
        <v/>
      </c>
      <c r="L1766" s="47" t="str">
        <f aca="false">IFERROR(MATCH(ROW()-4,ポート振替表!$V$5:$V$3507,0),"")</f>
        <v/>
      </c>
    </row>
    <row r="1767" customFormat="false" ht="16.4" hidden="false" customHeight="false" outlineLevel="0" collapsed="false">
      <c r="A1767" s="32" t="str">
        <f aca="false">IF(L1767="","",ROW()-4)</f>
        <v/>
      </c>
      <c r="B1767" s="58" t="str">
        <f aca="false">IF(L1767="","",IF(INDEX(ポート振替表!$W$5:$W$3507,$L1767)="","(なし)",INDEX(ポート振替表!$W$5:$W$3507,$L1767)&amp;""))</f>
        <v/>
      </c>
      <c r="C1767" s="52" t="str">
        <f aca="false">IF(L1767="","",INDEX(ポート振替表!$B$5:$B$3507,$L1767)&amp;" "&amp;INDEX(ポート振替表!$C$5:$C$3507,$L1767)&amp;"  ⇔  "&amp;INDEX(ポート振替表!$H$5:$H$3507,$L1767)&amp;" "&amp;INDEX(ポート振替表!$I$5:$I$3507,$L1767))</f>
        <v/>
      </c>
      <c r="D1767" s="57" t="s">
        <v>158</v>
      </c>
      <c r="E1767" s="59" t="str">
        <f aca="false">IF(L1767="","",IF(INDEX(ポート振替表!$O$5:$O$3507,$L1767)="","(未設定)",INDEX(ポート振替表!$O$5:$O$3507,$L1767)&amp;""))</f>
        <v/>
      </c>
      <c r="F1767" s="52" t="str">
        <f aca="false">IF(L1767="","",INDEX(ポート振替表!$K$5:$K$3507,$L1767)&amp;" "&amp;INDEX(ポート振替表!$L$5:$L$3507,$L1767)&amp;"  ⇔  "&amp;INDEX(ポート振替表!$H$5:$H$3507,$L1767)&amp;" "&amp;INDEX(ポート振替表!$I$5:$I$3507,$L1767))</f>
        <v/>
      </c>
      <c r="G1767" s="57" t="s">
        <v>158</v>
      </c>
      <c r="H1767" s="32" t="str">
        <f aca="false">IF(L1767="","",INDEX(ポート振替表!$N$5:$N$3507,$L1767)&amp;"")</f>
        <v/>
      </c>
      <c r="I1767" s="32" t="str">
        <f aca="false">IF(L1767="","",INDEX(ポート振替表!$P$5:$P$3507,$L1767)&amp;"")</f>
        <v/>
      </c>
      <c r="J1767" s="60" t="str">
        <f aca="false">IF(L1767="","",INDEX(ポート振替表!$M$5:$M$3507,$L1767)&amp;"")</f>
        <v/>
      </c>
      <c r="K1767" s="52" t="str">
        <f aca="false">IF(L1767="","",E1767&amp;CHAR(10)&amp;INDEX(ポート振替表!$K$5:$K$3507,$L1767)&amp;" "&amp;INDEX(ポート振替表!$L$5:$L$3507,$L1767)&amp;CHAR(10)&amp;"⇔ "&amp;INDEX(ポート振替表!$H$5:$H$3507,$L1767)&amp;" "&amp;INDEX(ポート振替表!$I$5:$I$3507,$L1767))</f>
        <v/>
      </c>
      <c r="L1767" s="47" t="str">
        <f aca="false">IFERROR(MATCH(ROW()-4,ポート振替表!$V$5:$V$3507,0),"")</f>
        <v/>
      </c>
    </row>
    <row r="1768" customFormat="false" ht="16.4" hidden="false" customHeight="false" outlineLevel="0" collapsed="false">
      <c r="A1768" s="32" t="str">
        <f aca="false">IF(L1768="","",ROW()-4)</f>
        <v/>
      </c>
      <c r="B1768" s="58" t="str">
        <f aca="false">IF(L1768="","",IF(INDEX(ポート振替表!$W$5:$W$3507,$L1768)="","(なし)",INDEX(ポート振替表!$W$5:$W$3507,$L1768)&amp;""))</f>
        <v/>
      </c>
      <c r="C1768" s="52" t="str">
        <f aca="false">IF(L1768="","",INDEX(ポート振替表!$B$5:$B$3507,$L1768)&amp;" "&amp;INDEX(ポート振替表!$C$5:$C$3507,$L1768)&amp;"  ⇔  "&amp;INDEX(ポート振替表!$H$5:$H$3507,$L1768)&amp;" "&amp;INDEX(ポート振替表!$I$5:$I$3507,$L1768))</f>
        <v/>
      </c>
      <c r="D1768" s="57" t="s">
        <v>158</v>
      </c>
      <c r="E1768" s="59" t="str">
        <f aca="false">IF(L1768="","",IF(INDEX(ポート振替表!$O$5:$O$3507,$L1768)="","(未設定)",INDEX(ポート振替表!$O$5:$O$3507,$L1768)&amp;""))</f>
        <v/>
      </c>
      <c r="F1768" s="52" t="str">
        <f aca="false">IF(L1768="","",INDEX(ポート振替表!$K$5:$K$3507,$L1768)&amp;" "&amp;INDEX(ポート振替表!$L$5:$L$3507,$L1768)&amp;"  ⇔  "&amp;INDEX(ポート振替表!$H$5:$H$3507,$L1768)&amp;" "&amp;INDEX(ポート振替表!$I$5:$I$3507,$L1768))</f>
        <v/>
      </c>
      <c r="G1768" s="57" t="s">
        <v>158</v>
      </c>
      <c r="H1768" s="32" t="str">
        <f aca="false">IF(L1768="","",INDEX(ポート振替表!$N$5:$N$3507,$L1768)&amp;"")</f>
        <v/>
      </c>
      <c r="I1768" s="32" t="str">
        <f aca="false">IF(L1768="","",INDEX(ポート振替表!$P$5:$P$3507,$L1768)&amp;"")</f>
        <v/>
      </c>
      <c r="J1768" s="60" t="str">
        <f aca="false">IF(L1768="","",INDEX(ポート振替表!$M$5:$M$3507,$L1768)&amp;"")</f>
        <v/>
      </c>
      <c r="K1768" s="52" t="str">
        <f aca="false">IF(L1768="","",E1768&amp;CHAR(10)&amp;INDEX(ポート振替表!$K$5:$K$3507,$L1768)&amp;" "&amp;INDEX(ポート振替表!$L$5:$L$3507,$L1768)&amp;CHAR(10)&amp;"⇔ "&amp;INDEX(ポート振替表!$H$5:$H$3507,$L1768)&amp;" "&amp;INDEX(ポート振替表!$I$5:$I$3507,$L1768))</f>
        <v/>
      </c>
      <c r="L1768" s="47" t="str">
        <f aca="false">IFERROR(MATCH(ROW()-4,ポート振替表!$V$5:$V$3507,0),"")</f>
        <v/>
      </c>
    </row>
    <row r="1769" customFormat="false" ht="16.4" hidden="false" customHeight="false" outlineLevel="0" collapsed="false">
      <c r="A1769" s="32" t="str">
        <f aca="false">IF(L1769="","",ROW()-4)</f>
        <v/>
      </c>
      <c r="B1769" s="58" t="str">
        <f aca="false">IF(L1769="","",IF(INDEX(ポート振替表!$W$5:$W$3507,$L1769)="","(なし)",INDEX(ポート振替表!$W$5:$W$3507,$L1769)&amp;""))</f>
        <v/>
      </c>
      <c r="C1769" s="52" t="str">
        <f aca="false">IF(L1769="","",INDEX(ポート振替表!$B$5:$B$3507,$L1769)&amp;" "&amp;INDEX(ポート振替表!$C$5:$C$3507,$L1769)&amp;"  ⇔  "&amp;INDEX(ポート振替表!$H$5:$H$3507,$L1769)&amp;" "&amp;INDEX(ポート振替表!$I$5:$I$3507,$L1769))</f>
        <v/>
      </c>
      <c r="D1769" s="57" t="s">
        <v>158</v>
      </c>
      <c r="E1769" s="59" t="str">
        <f aca="false">IF(L1769="","",IF(INDEX(ポート振替表!$O$5:$O$3507,$L1769)="","(未設定)",INDEX(ポート振替表!$O$5:$O$3507,$L1769)&amp;""))</f>
        <v/>
      </c>
      <c r="F1769" s="52" t="str">
        <f aca="false">IF(L1769="","",INDEX(ポート振替表!$K$5:$K$3507,$L1769)&amp;" "&amp;INDEX(ポート振替表!$L$5:$L$3507,$L1769)&amp;"  ⇔  "&amp;INDEX(ポート振替表!$H$5:$H$3507,$L1769)&amp;" "&amp;INDEX(ポート振替表!$I$5:$I$3507,$L1769))</f>
        <v/>
      </c>
      <c r="G1769" s="57" t="s">
        <v>158</v>
      </c>
      <c r="H1769" s="32" t="str">
        <f aca="false">IF(L1769="","",INDEX(ポート振替表!$N$5:$N$3507,$L1769)&amp;"")</f>
        <v/>
      </c>
      <c r="I1769" s="32" t="str">
        <f aca="false">IF(L1769="","",INDEX(ポート振替表!$P$5:$P$3507,$L1769)&amp;"")</f>
        <v/>
      </c>
      <c r="J1769" s="60" t="str">
        <f aca="false">IF(L1769="","",INDEX(ポート振替表!$M$5:$M$3507,$L1769)&amp;"")</f>
        <v/>
      </c>
      <c r="K1769" s="52" t="str">
        <f aca="false">IF(L1769="","",E1769&amp;CHAR(10)&amp;INDEX(ポート振替表!$K$5:$K$3507,$L1769)&amp;" "&amp;INDEX(ポート振替表!$L$5:$L$3507,$L1769)&amp;CHAR(10)&amp;"⇔ "&amp;INDEX(ポート振替表!$H$5:$H$3507,$L1769)&amp;" "&amp;INDEX(ポート振替表!$I$5:$I$3507,$L1769))</f>
        <v/>
      </c>
      <c r="L1769" s="47" t="str">
        <f aca="false">IFERROR(MATCH(ROW()-4,ポート振替表!$V$5:$V$3507,0),"")</f>
        <v/>
      </c>
    </row>
    <row r="1770" customFormat="false" ht="16.4" hidden="false" customHeight="false" outlineLevel="0" collapsed="false">
      <c r="A1770" s="32" t="str">
        <f aca="false">IF(L1770="","",ROW()-4)</f>
        <v/>
      </c>
      <c r="B1770" s="58" t="str">
        <f aca="false">IF(L1770="","",IF(INDEX(ポート振替表!$W$5:$W$3507,$L1770)="","(なし)",INDEX(ポート振替表!$W$5:$W$3507,$L1770)&amp;""))</f>
        <v/>
      </c>
      <c r="C1770" s="52" t="str">
        <f aca="false">IF(L1770="","",INDEX(ポート振替表!$B$5:$B$3507,$L1770)&amp;" "&amp;INDEX(ポート振替表!$C$5:$C$3507,$L1770)&amp;"  ⇔  "&amp;INDEX(ポート振替表!$H$5:$H$3507,$L1770)&amp;" "&amp;INDEX(ポート振替表!$I$5:$I$3507,$L1770))</f>
        <v/>
      </c>
      <c r="D1770" s="57" t="s">
        <v>158</v>
      </c>
      <c r="E1770" s="59" t="str">
        <f aca="false">IF(L1770="","",IF(INDEX(ポート振替表!$O$5:$O$3507,$L1770)="","(未設定)",INDEX(ポート振替表!$O$5:$O$3507,$L1770)&amp;""))</f>
        <v/>
      </c>
      <c r="F1770" s="52" t="str">
        <f aca="false">IF(L1770="","",INDEX(ポート振替表!$K$5:$K$3507,$L1770)&amp;" "&amp;INDEX(ポート振替表!$L$5:$L$3507,$L1770)&amp;"  ⇔  "&amp;INDEX(ポート振替表!$H$5:$H$3507,$L1770)&amp;" "&amp;INDEX(ポート振替表!$I$5:$I$3507,$L1770))</f>
        <v/>
      </c>
      <c r="G1770" s="57" t="s">
        <v>158</v>
      </c>
      <c r="H1770" s="32" t="str">
        <f aca="false">IF(L1770="","",INDEX(ポート振替表!$N$5:$N$3507,$L1770)&amp;"")</f>
        <v/>
      </c>
      <c r="I1770" s="32" t="str">
        <f aca="false">IF(L1770="","",INDEX(ポート振替表!$P$5:$P$3507,$L1770)&amp;"")</f>
        <v/>
      </c>
      <c r="J1770" s="60" t="str">
        <f aca="false">IF(L1770="","",INDEX(ポート振替表!$M$5:$M$3507,$L1770)&amp;"")</f>
        <v/>
      </c>
      <c r="K1770" s="52" t="str">
        <f aca="false">IF(L1770="","",E1770&amp;CHAR(10)&amp;INDEX(ポート振替表!$K$5:$K$3507,$L1770)&amp;" "&amp;INDEX(ポート振替表!$L$5:$L$3507,$L1770)&amp;CHAR(10)&amp;"⇔ "&amp;INDEX(ポート振替表!$H$5:$H$3507,$L1770)&amp;" "&amp;INDEX(ポート振替表!$I$5:$I$3507,$L1770))</f>
        <v/>
      </c>
      <c r="L1770" s="47" t="str">
        <f aca="false">IFERROR(MATCH(ROW()-4,ポート振替表!$V$5:$V$3507,0),"")</f>
        <v/>
      </c>
    </row>
    <row r="1771" customFormat="false" ht="16.4" hidden="false" customHeight="false" outlineLevel="0" collapsed="false">
      <c r="A1771" s="32" t="str">
        <f aca="false">IF(L1771="","",ROW()-4)</f>
        <v/>
      </c>
      <c r="B1771" s="58" t="str">
        <f aca="false">IF(L1771="","",IF(INDEX(ポート振替表!$W$5:$W$3507,$L1771)="","(なし)",INDEX(ポート振替表!$W$5:$W$3507,$L1771)&amp;""))</f>
        <v/>
      </c>
      <c r="C1771" s="52" t="str">
        <f aca="false">IF(L1771="","",INDEX(ポート振替表!$B$5:$B$3507,$L1771)&amp;" "&amp;INDEX(ポート振替表!$C$5:$C$3507,$L1771)&amp;"  ⇔  "&amp;INDEX(ポート振替表!$H$5:$H$3507,$L1771)&amp;" "&amp;INDEX(ポート振替表!$I$5:$I$3507,$L1771))</f>
        <v/>
      </c>
      <c r="D1771" s="57" t="s">
        <v>158</v>
      </c>
      <c r="E1771" s="59" t="str">
        <f aca="false">IF(L1771="","",IF(INDEX(ポート振替表!$O$5:$O$3507,$L1771)="","(未設定)",INDEX(ポート振替表!$O$5:$O$3507,$L1771)&amp;""))</f>
        <v/>
      </c>
      <c r="F1771" s="52" t="str">
        <f aca="false">IF(L1771="","",INDEX(ポート振替表!$K$5:$K$3507,$L1771)&amp;" "&amp;INDEX(ポート振替表!$L$5:$L$3507,$L1771)&amp;"  ⇔  "&amp;INDEX(ポート振替表!$H$5:$H$3507,$L1771)&amp;" "&amp;INDEX(ポート振替表!$I$5:$I$3507,$L1771))</f>
        <v/>
      </c>
      <c r="G1771" s="57" t="s">
        <v>158</v>
      </c>
      <c r="H1771" s="32" t="str">
        <f aca="false">IF(L1771="","",INDEX(ポート振替表!$N$5:$N$3507,$L1771)&amp;"")</f>
        <v/>
      </c>
      <c r="I1771" s="32" t="str">
        <f aca="false">IF(L1771="","",INDEX(ポート振替表!$P$5:$P$3507,$L1771)&amp;"")</f>
        <v/>
      </c>
      <c r="J1771" s="60" t="str">
        <f aca="false">IF(L1771="","",INDEX(ポート振替表!$M$5:$M$3507,$L1771)&amp;"")</f>
        <v/>
      </c>
      <c r="K1771" s="52" t="str">
        <f aca="false">IF(L1771="","",E1771&amp;CHAR(10)&amp;INDEX(ポート振替表!$K$5:$K$3507,$L1771)&amp;" "&amp;INDEX(ポート振替表!$L$5:$L$3507,$L1771)&amp;CHAR(10)&amp;"⇔ "&amp;INDEX(ポート振替表!$H$5:$H$3507,$L1771)&amp;" "&amp;INDEX(ポート振替表!$I$5:$I$3507,$L1771))</f>
        <v/>
      </c>
      <c r="L1771" s="47" t="str">
        <f aca="false">IFERROR(MATCH(ROW()-4,ポート振替表!$V$5:$V$3507,0),"")</f>
        <v/>
      </c>
    </row>
    <row r="1772" customFormat="false" ht="16.4" hidden="false" customHeight="false" outlineLevel="0" collapsed="false">
      <c r="A1772" s="32" t="str">
        <f aca="false">IF(L1772="","",ROW()-4)</f>
        <v/>
      </c>
      <c r="B1772" s="58" t="str">
        <f aca="false">IF(L1772="","",IF(INDEX(ポート振替表!$W$5:$W$3507,$L1772)="","(なし)",INDEX(ポート振替表!$W$5:$W$3507,$L1772)&amp;""))</f>
        <v/>
      </c>
      <c r="C1772" s="52" t="str">
        <f aca="false">IF(L1772="","",INDEX(ポート振替表!$B$5:$B$3507,$L1772)&amp;" "&amp;INDEX(ポート振替表!$C$5:$C$3507,$L1772)&amp;"  ⇔  "&amp;INDEX(ポート振替表!$H$5:$H$3507,$L1772)&amp;" "&amp;INDEX(ポート振替表!$I$5:$I$3507,$L1772))</f>
        <v/>
      </c>
      <c r="D1772" s="57" t="s">
        <v>158</v>
      </c>
      <c r="E1772" s="59" t="str">
        <f aca="false">IF(L1772="","",IF(INDEX(ポート振替表!$O$5:$O$3507,$L1772)="","(未設定)",INDEX(ポート振替表!$O$5:$O$3507,$L1772)&amp;""))</f>
        <v/>
      </c>
      <c r="F1772" s="52" t="str">
        <f aca="false">IF(L1772="","",INDEX(ポート振替表!$K$5:$K$3507,$L1772)&amp;" "&amp;INDEX(ポート振替表!$L$5:$L$3507,$L1772)&amp;"  ⇔  "&amp;INDEX(ポート振替表!$H$5:$H$3507,$L1772)&amp;" "&amp;INDEX(ポート振替表!$I$5:$I$3507,$L1772))</f>
        <v/>
      </c>
      <c r="G1772" s="57" t="s">
        <v>158</v>
      </c>
      <c r="H1772" s="32" t="str">
        <f aca="false">IF(L1772="","",INDEX(ポート振替表!$N$5:$N$3507,$L1772)&amp;"")</f>
        <v/>
      </c>
      <c r="I1772" s="32" t="str">
        <f aca="false">IF(L1772="","",INDEX(ポート振替表!$P$5:$P$3507,$L1772)&amp;"")</f>
        <v/>
      </c>
      <c r="J1772" s="60" t="str">
        <f aca="false">IF(L1772="","",INDEX(ポート振替表!$M$5:$M$3507,$L1772)&amp;"")</f>
        <v/>
      </c>
      <c r="K1772" s="52" t="str">
        <f aca="false">IF(L1772="","",E1772&amp;CHAR(10)&amp;INDEX(ポート振替表!$K$5:$K$3507,$L1772)&amp;" "&amp;INDEX(ポート振替表!$L$5:$L$3507,$L1772)&amp;CHAR(10)&amp;"⇔ "&amp;INDEX(ポート振替表!$H$5:$H$3507,$L1772)&amp;" "&amp;INDEX(ポート振替表!$I$5:$I$3507,$L1772))</f>
        <v/>
      </c>
      <c r="L1772" s="47" t="str">
        <f aca="false">IFERROR(MATCH(ROW()-4,ポート振替表!$V$5:$V$3507,0),"")</f>
        <v/>
      </c>
    </row>
    <row r="1773" customFormat="false" ht="16.4" hidden="false" customHeight="false" outlineLevel="0" collapsed="false">
      <c r="A1773" s="32" t="str">
        <f aca="false">IF(L1773="","",ROW()-4)</f>
        <v/>
      </c>
      <c r="B1773" s="58" t="str">
        <f aca="false">IF(L1773="","",IF(INDEX(ポート振替表!$W$5:$W$3507,$L1773)="","(なし)",INDEX(ポート振替表!$W$5:$W$3507,$L1773)&amp;""))</f>
        <v/>
      </c>
      <c r="C1773" s="52" t="str">
        <f aca="false">IF(L1773="","",INDEX(ポート振替表!$B$5:$B$3507,$L1773)&amp;" "&amp;INDEX(ポート振替表!$C$5:$C$3507,$L1773)&amp;"  ⇔  "&amp;INDEX(ポート振替表!$H$5:$H$3507,$L1773)&amp;" "&amp;INDEX(ポート振替表!$I$5:$I$3507,$L1773))</f>
        <v/>
      </c>
      <c r="D1773" s="57" t="s">
        <v>158</v>
      </c>
      <c r="E1773" s="59" t="str">
        <f aca="false">IF(L1773="","",IF(INDEX(ポート振替表!$O$5:$O$3507,$L1773)="","(未設定)",INDEX(ポート振替表!$O$5:$O$3507,$L1773)&amp;""))</f>
        <v/>
      </c>
      <c r="F1773" s="52" t="str">
        <f aca="false">IF(L1773="","",INDEX(ポート振替表!$K$5:$K$3507,$L1773)&amp;" "&amp;INDEX(ポート振替表!$L$5:$L$3507,$L1773)&amp;"  ⇔  "&amp;INDEX(ポート振替表!$H$5:$H$3507,$L1773)&amp;" "&amp;INDEX(ポート振替表!$I$5:$I$3507,$L1773))</f>
        <v/>
      </c>
      <c r="G1773" s="57" t="s">
        <v>158</v>
      </c>
      <c r="H1773" s="32" t="str">
        <f aca="false">IF(L1773="","",INDEX(ポート振替表!$N$5:$N$3507,$L1773)&amp;"")</f>
        <v/>
      </c>
      <c r="I1773" s="32" t="str">
        <f aca="false">IF(L1773="","",INDEX(ポート振替表!$P$5:$P$3507,$L1773)&amp;"")</f>
        <v/>
      </c>
      <c r="J1773" s="60" t="str">
        <f aca="false">IF(L1773="","",INDEX(ポート振替表!$M$5:$M$3507,$L1773)&amp;"")</f>
        <v/>
      </c>
      <c r="K1773" s="52" t="str">
        <f aca="false">IF(L1773="","",E1773&amp;CHAR(10)&amp;INDEX(ポート振替表!$K$5:$K$3507,$L1773)&amp;" "&amp;INDEX(ポート振替表!$L$5:$L$3507,$L1773)&amp;CHAR(10)&amp;"⇔ "&amp;INDEX(ポート振替表!$H$5:$H$3507,$L1773)&amp;" "&amp;INDEX(ポート振替表!$I$5:$I$3507,$L1773))</f>
        <v/>
      </c>
      <c r="L1773" s="47" t="str">
        <f aca="false">IFERROR(MATCH(ROW()-4,ポート振替表!$V$5:$V$3507,0),"")</f>
        <v/>
      </c>
    </row>
    <row r="1774" customFormat="false" ht="16.4" hidden="false" customHeight="false" outlineLevel="0" collapsed="false">
      <c r="A1774" s="32" t="str">
        <f aca="false">IF(L1774="","",ROW()-4)</f>
        <v/>
      </c>
      <c r="B1774" s="58" t="str">
        <f aca="false">IF(L1774="","",IF(INDEX(ポート振替表!$W$5:$W$3507,$L1774)="","(なし)",INDEX(ポート振替表!$W$5:$W$3507,$L1774)&amp;""))</f>
        <v/>
      </c>
      <c r="C1774" s="52" t="str">
        <f aca="false">IF(L1774="","",INDEX(ポート振替表!$B$5:$B$3507,$L1774)&amp;" "&amp;INDEX(ポート振替表!$C$5:$C$3507,$L1774)&amp;"  ⇔  "&amp;INDEX(ポート振替表!$H$5:$H$3507,$L1774)&amp;" "&amp;INDEX(ポート振替表!$I$5:$I$3507,$L1774))</f>
        <v/>
      </c>
      <c r="D1774" s="57" t="s">
        <v>158</v>
      </c>
      <c r="E1774" s="59" t="str">
        <f aca="false">IF(L1774="","",IF(INDEX(ポート振替表!$O$5:$O$3507,$L1774)="","(未設定)",INDEX(ポート振替表!$O$5:$O$3507,$L1774)&amp;""))</f>
        <v/>
      </c>
      <c r="F1774" s="52" t="str">
        <f aca="false">IF(L1774="","",INDEX(ポート振替表!$K$5:$K$3507,$L1774)&amp;" "&amp;INDEX(ポート振替表!$L$5:$L$3507,$L1774)&amp;"  ⇔  "&amp;INDEX(ポート振替表!$H$5:$H$3507,$L1774)&amp;" "&amp;INDEX(ポート振替表!$I$5:$I$3507,$L1774))</f>
        <v/>
      </c>
      <c r="G1774" s="57" t="s">
        <v>158</v>
      </c>
      <c r="H1774" s="32" t="str">
        <f aca="false">IF(L1774="","",INDEX(ポート振替表!$N$5:$N$3507,$L1774)&amp;"")</f>
        <v/>
      </c>
      <c r="I1774" s="32" t="str">
        <f aca="false">IF(L1774="","",INDEX(ポート振替表!$P$5:$P$3507,$L1774)&amp;"")</f>
        <v/>
      </c>
      <c r="J1774" s="60" t="str">
        <f aca="false">IF(L1774="","",INDEX(ポート振替表!$M$5:$M$3507,$L1774)&amp;"")</f>
        <v/>
      </c>
      <c r="K1774" s="52" t="str">
        <f aca="false">IF(L1774="","",E1774&amp;CHAR(10)&amp;INDEX(ポート振替表!$K$5:$K$3507,$L1774)&amp;" "&amp;INDEX(ポート振替表!$L$5:$L$3507,$L1774)&amp;CHAR(10)&amp;"⇔ "&amp;INDEX(ポート振替表!$H$5:$H$3507,$L1774)&amp;" "&amp;INDEX(ポート振替表!$I$5:$I$3507,$L1774))</f>
        <v/>
      </c>
      <c r="L1774" s="47" t="str">
        <f aca="false">IFERROR(MATCH(ROW()-4,ポート振替表!$V$5:$V$3507,0),"")</f>
        <v/>
      </c>
    </row>
    <row r="1775" customFormat="false" ht="16.4" hidden="false" customHeight="false" outlineLevel="0" collapsed="false">
      <c r="A1775" s="32" t="str">
        <f aca="false">IF(L1775="","",ROW()-4)</f>
        <v/>
      </c>
      <c r="B1775" s="58" t="str">
        <f aca="false">IF(L1775="","",IF(INDEX(ポート振替表!$W$5:$W$3507,$L1775)="","(なし)",INDEX(ポート振替表!$W$5:$W$3507,$L1775)&amp;""))</f>
        <v/>
      </c>
      <c r="C1775" s="52" t="str">
        <f aca="false">IF(L1775="","",INDEX(ポート振替表!$B$5:$B$3507,$L1775)&amp;" "&amp;INDEX(ポート振替表!$C$5:$C$3507,$L1775)&amp;"  ⇔  "&amp;INDEX(ポート振替表!$H$5:$H$3507,$L1775)&amp;" "&amp;INDEX(ポート振替表!$I$5:$I$3507,$L1775))</f>
        <v/>
      </c>
      <c r="D1775" s="57" t="s">
        <v>158</v>
      </c>
      <c r="E1775" s="59" t="str">
        <f aca="false">IF(L1775="","",IF(INDEX(ポート振替表!$O$5:$O$3507,$L1775)="","(未設定)",INDEX(ポート振替表!$O$5:$O$3507,$L1775)&amp;""))</f>
        <v/>
      </c>
      <c r="F1775" s="52" t="str">
        <f aca="false">IF(L1775="","",INDEX(ポート振替表!$K$5:$K$3507,$L1775)&amp;" "&amp;INDEX(ポート振替表!$L$5:$L$3507,$L1775)&amp;"  ⇔  "&amp;INDEX(ポート振替表!$H$5:$H$3507,$L1775)&amp;" "&amp;INDEX(ポート振替表!$I$5:$I$3507,$L1775))</f>
        <v/>
      </c>
      <c r="G1775" s="57" t="s">
        <v>158</v>
      </c>
      <c r="H1775" s="32" t="str">
        <f aca="false">IF(L1775="","",INDEX(ポート振替表!$N$5:$N$3507,$L1775)&amp;"")</f>
        <v/>
      </c>
      <c r="I1775" s="32" t="str">
        <f aca="false">IF(L1775="","",INDEX(ポート振替表!$P$5:$P$3507,$L1775)&amp;"")</f>
        <v/>
      </c>
      <c r="J1775" s="60" t="str">
        <f aca="false">IF(L1775="","",INDEX(ポート振替表!$M$5:$M$3507,$L1775)&amp;"")</f>
        <v/>
      </c>
      <c r="K1775" s="52" t="str">
        <f aca="false">IF(L1775="","",E1775&amp;CHAR(10)&amp;INDEX(ポート振替表!$K$5:$K$3507,$L1775)&amp;" "&amp;INDEX(ポート振替表!$L$5:$L$3507,$L1775)&amp;CHAR(10)&amp;"⇔ "&amp;INDEX(ポート振替表!$H$5:$H$3507,$L1775)&amp;" "&amp;INDEX(ポート振替表!$I$5:$I$3507,$L1775))</f>
        <v/>
      </c>
      <c r="L1775" s="47" t="str">
        <f aca="false">IFERROR(MATCH(ROW()-4,ポート振替表!$V$5:$V$3507,0),"")</f>
        <v/>
      </c>
    </row>
    <row r="1776" customFormat="false" ht="16.4" hidden="false" customHeight="false" outlineLevel="0" collapsed="false">
      <c r="A1776" s="32" t="str">
        <f aca="false">IF(L1776="","",ROW()-4)</f>
        <v/>
      </c>
      <c r="B1776" s="58" t="str">
        <f aca="false">IF(L1776="","",IF(INDEX(ポート振替表!$W$5:$W$3507,$L1776)="","(なし)",INDEX(ポート振替表!$W$5:$W$3507,$L1776)&amp;""))</f>
        <v/>
      </c>
      <c r="C1776" s="52" t="str">
        <f aca="false">IF(L1776="","",INDEX(ポート振替表!$B$5:$B$3507,$L1776)&amp;" "&amp;INDEX(ポート振替表!$C$5:$C$3507,$L1776)&amp;"  ⇔  "&amp;INDEX(ポート振替表!$H$5:$H$3507,$L1776)&amp;" "&amp;INDEX(ポート振替表!$I$5:$I$3507,$L1776))</f>
        <v/>
      </c>
      <c r="D1776" s="57" t="s">
        <v>158</v>
      </c>
      <c r="E1776" s="59" t="str">
        <f aca="false">IF(L1776="","",IF(INDEX(ポート振替表!$O$5:$O$3507,$L1776)="","(未設定)",INDEX(ポート振替表!$O$5:$O$3507,$L1776)&amp;""))</f>
        <v/>
      </c>
      <c r="F1776" s="52" t="str">
        <f aca="false">IF(L1776="","",INDEX(ポート振替表!$K$5:$K$3507,$L1776)&amp;" "&amp;INDEX(ポート振替表!$L$5:$L$3507,$L1776)&amp;"  ⇔  "&amp;INDEX(ポート振替表!$H$5:$H$3507,$L1776)&amp;" "&amp;INDEX(ポート振替表!$I$5:$I$3507,$L1776))</f>
        <v/>
      </c>
      <c r="G1776" s="57" t="s">
        <v>158</v>
      </c>
      <c r="H1776" s="32" t="str">
        <f aca="false">IF(L1776="","",INDEX(ポート振替表!$N$5:$N$3507,$L1776)&amp;"")</f>
        <v/>
      </c>
      <c r="I1776" s="32" t="str">
        <f aca="false">IF(L1776="","",INDEX(ポート振替表!$P$5:$P$3507,$L1776)&amp;"")</f>
        <v/>
      </c>
      <c r="J1776" s="60" t="str">
        <f aca="false">IF(L1776="","",INDEX(ポート振替表!$M$5:$M$3507,$L1776)&amp;"")</f>
        <v/>
      </c>
      <c r="K1776" s="52" t="str">
        <f aca="false">IF(L1776="","",E1776&amp;CHAR(10)&amp;INDEX(ポート振替表!$K$5:$K$3507,$L1776)&amp;" "&amp;INDEX(ポート振替表!$L$5:$L$3507,$L1776)&amp;CHAR(10)&amp;"⇔ "&amp;INDEX(ポート振替表!$H$5:$H$3507,$L1776)&amp;" "&amp;INDEX(ポート振替表!$I$5:$I$3507,$L1776))</f>
        <v/>
      </c>
      <c r="L1776" s="47" t="str">
        <f aca="false">IFERROR(MATCH(ROW()-4,ポート振替表!$V$5:$V$3507,0),"")</f>
        <v/>
      </c>
    </row>
    <row r="1777" customFormat="false" ht="16.4" hidden="false" customHeight="false" outlineLevel="0" collapsed="false">
      <c r="A1777" s="32" t="str">
        <f aca="false">IF(L1777="","",ROW()-4)</f>
        <v/>
      </c>
      <c r="B1777" s="58" t="str">
        <f aca="false">IF(L1777="","",IF(INDEX(ポート振替表!$W$5:$W$3507,$L1777)="","(なし)",INDEX(ポート振替表!$W$5:$W$3507,$L1777)&amp;""))</f>
        <v/>
      </c>
      <c r="C1777" s="52" t="str">
        <f aca="false">IF(L1777="","",INDEX(ポート振替表!$B$5:$B$3507,$L1777)&amp;" "&amp;INDEX(ポート振替表!$C$5:$C$3507,$L1777)&amp;"  ⇔  "&amp;INDEX(ポート振替表!$H$5:$H$3507,$L1777)&amp;" "&amp;INDEX(ポート振替表!$I$5:$I$3507,$L1777))</f>
        <v/>
      </c>
      <c r="D1777" s="57" t="s">
        <v>158</v>
      </c>
      <c r="E1777" s="59" t="str">
        <f aca="false">IF(L1777="","",IF(INDEX(ポート振替表!$O$5:$O$3507,$L1777)="","(未設定)",INDEX(ポート振替表!$O$5:$O$3507,$L1777)&amp;""))</f>
        <v/>
      </c>
      <c r="F1777" s="52" t="str">
        <f aca="false">IF(L1777="","",INDEX(ポート振替表!$K$5:$K$3507,$L1777)&amp;" "&amp;INDEX(ポート振替表!$L$5:$L$3507,$L1777)&amp;"  ⇔  "&amp;INDEX(ポート振替表!$H$5:$H$3507,$L1777)&amp;" "&amp;INDEX(ポート振替表!$I$5:$I$3507,$L1777))</f>
        <v/>
      </c>
      <c r="G1777" s="57" t="s">
        <v>158</v>
      </c>
      <c r="H1777" s="32" t="str">
        <f aca="false">IF(L1777="","",INDEX(ポート振替表!$N$5:$N$3507,$L1777)&amp;"")</f>
        <v/>
      </c>
      <c r="I1777" s="32" t="str">
        <f aca="false">IF(L1777="","",INDEX(ポート振替表!$P$5:$P$3507,$L1777)&amp;"")</f>
        <v/>
      </c>
      <c r="J1777" s="60" t="str">
        <f aca="false">IF(L1777="","",INDEX(ポート振替表!$M$5:$M$3507,$L1777)&amp;"")</f>
        <v/>
      </c>
      <c r="K1777" s="52" t="str">
        <f aca="false">IF(L1777="","",E1777&amp;CHAR(10)&amp;INDEX(ポート振替表!$K$5:$K$3507,$L1777)&amp;" "&amp;INDEX(ポート振替表!$L$5:$L$3507,$L1777)&amp;CHAR(10)&amp;"⇔ "&amp;INDEX(ポート振替表!$H$5:$H$3507,$L1777)&amp;" "&amp;INDEX(ポート振替表!$I$5:$I$3507,$L1777))</f>
        <v/>
      </c>
      <c r="L1777" s="47" t="str">
        <f aca="false">IFERROR(MATCH(ROW()-4,ポート振替表!$V$5:$V$3507,0),"")</f>
        <v/>
      </c>
    </row>
    <row r="1778" customFormat="false" ht="16.4" hidden="false" customHeight="false" outlineLevel="0" collapsed="false">
      <c r="A1778" s="32" t="str">
        <f aca="false">IF(L1778="","",ROW()-4)</f>
        <v/>
      </c>
      <c r="B1778" s="58" t="str">
        <f aca="false">IF(L1778="","",IF(INDEX(ポート振替表!$W$5:$W$3507,$L1778)="","(なし)",INDEX(ポート振替表!$W$5:$W$3507,$L1778)&amp;""))</f>
        <v/>
      </c>
      <c r="C1778" s="52" t="str">
        <f aca="false">IF(L1778="","",INDEX(ポート振替表!$B$5:$B$3507,$L1778)&amp;" "&amp;INDEX(ポート振替表!$C$5:$C$3507,$L1778)&amp;"  ⇔  "&amp;INDEX(ポート振替表!$H$5:$H$3507,$L1778)&amp;" "&amp;INDEX(ポート振替表!$I$5:$I$3507,$L1778))</f>
        <v/>
      </c>
      <c r="D1778" s="57" t="s">
        <v>158</v>
      </c>
      <c r="E1778" s="59" t="str">
        <f aca="false">IF(L1778="","",IF(INDEX(ポート振替表!$O$5:$O$3507,$L1778)="","(未設定)",INDEX(ポート振替表!$O$5:$O$3507,$L1778)&amp;""))</f>
        <v/>
      </c>
      <c r="F1778" s="52" t="str">
        <f aca="false">IF(L1778="","",INDEX(ポート振替表!$K$5:$K$3507,$L1778)&amp;" "&amp;INDEX(ポート振替表!$L$5:$L$3507,$L1778)&amp;"  ⇔  "&amp;INDEX(ポート振替表!$H$5:$H$3507,$L1778)&amp;" "&amp;INDEX(ポート振替表!$I$5:$I$3507,$L1778))</f>
        <v/>
      </c>
      <c r="G1778" s="57" t="s">
        <v>158</v>
      </c>
      <c r="H1778" s="32" t="str">
        <f aca="false">IF(L1778="","",INDEX(ポート振替表!$N$5:$N$3507,$L1778)&amp;"")</f>
        <v/>
      </c>
      <c r="I1778" s="32" t="str">
        <f aca="false">IF(L1778="","",INDEX(ポート振替表!$P$5:$P$3507,$L1778)&amp;"")</f>
        <v/>
      </c>
      <c r="J1778" s="60" t="str">
        <f aca="false">IF(L1778="","",INDEX(ポート振替表!$M$5:$M$3507,$L1778)&amp;"")</f>
        <v/>
      </c>
      <c r="K1778" s="52" t="str">
        <f aca="false">IF(L1778="","",E1778&amp;CHAR(10)&amp;INDEX(ポート振替表!$K$5:$K$3507,$L1778)&amp;" "&amp;INDEX(ポート振替表!$L$5:$L$3507,$L1778)&amp;CHAR(10)&amp;"⇔ "&amp;INDEX(ポート振替表!$H$5:$H$3507,$L1778)&amp;" "&amp;INDEX(ポート振替表!$I$5:$I$3507,$L1778))</f>
        <v/>
      </c>
      <c r="L1778" s="47" t="str">
        <f aca="false">IFERROR(MATCH(ROW()-4,ポート振替表!$V$5:$V$3507,0),"")</f>
        <v/>
      </c>
    </row>
    <row r="1779" customFormat="false" ht="16.4" hidden="false" customHeight="false" outlineLevel="0" collapsed="false">
      <c r="A1779" s="32" t="str">
        <f aca="false">IF(L1779="","",ROW()-4)</f>
        <v/>
      </c>
      <c r="B1779" s="58" t="str">
        <f aca="false">IF(L1779="","",IF(INDEX(ポート振替表!$W$5:$W$3507,$L1779)="","(なし)",INDEX(ポート振替表!$W$5:$W$3507,$L1779)&amp;""))</f>
        <v/>
      </c>
      <c r="C1779" s="52" t="str">
        <f aca="false">IF(L1779="","",INDEX(ポート振替表!$B$5:$B$3507,$L1779)&amp;" "&amp;INDEX(ポート振替表!$C$5:$C$3507,$L1779)&amp;"  ⇔  "&amp;INDEX(ポート振替表!$H$5:$H$3507,$L1779)&amp;" "&amp;INDEX(ポート振替表!$I$5:$I$3507,$L1779))</f>
        <v/>
      </c>
      <c r="D1779" s="57" t="s">
        <v>158</v>
      </c>
      <c r="E1779" s="59" t="str">
        <f aca="false">IF(L1779="","",IF(INDEX(ポート振替表!$O$5:$O$3507,$L1779)="","(未設定)",INDEX(ポート振替表!$O$5:$O$3507,$L1779)&amp;""))</f>
        <v/>
      </c>
      <c r="F1779" s="52" t="str">
        <f aca="false">IF(L1779="","",INDEX(ポート振替表!$K$5:$K$3507,$L1779)&amp;" "&amp;INDEX(ポート振替表!$L$5:$L$3507,$L1779)&amp;"  ⇔  "&amp;INDEX(ポート振替表!$H$5:$H$3507,$L1779)&amp;" "&amp;INDEX(ポート振替表!$I$5:$I$3507,$L1779))</f>
        <v/>
      </c>
      <c r="G1779" s="57" t="s">
        <v>158</v>
      </c>
      <c r="H1779" s="32" t="str">
        <f aca="false">IF(L1779="","",INDEX(ポート振替表!$N$5:$N$3507,$L1779)&amp;"")</f>
        <v/>
      </c>
      <c r="I1779" s="32" t="str">
        <f aca="false">IF(L1779="","",INDEX(ポート振替表!$P$5:$P$3507,$L1779)&amp;"")</f>
        <v/>
      </c>
      <c r="J1779" s="60" t="str">
        <f aca="false">IF(L1779="","",INDEX(ポート振替表!$M$5:$M$3507,$L1779)&amp;"")</f>
        <v/>
      </c>
      <c r="K1779" s="52" t="str">
        <f aca="false">IF(L1779="","",E1779&amp;CHAR(10)&amp;INDEX(ポート振替表!$K$5:$K$3507,$L1779)&amp;" "&amp;INDEX(ポート振替表!$L$5:$L$3507,$L1779)&amp;CHAR(10)&amp;"⇔ "&amp;INDEX(ポート振替表!$H$5:$H$3507,$L1779)&amp;" "&amp;INDEX(ポート振替表!$I$5:$I$3507,$L1779))</f>
        <v/>
      </c>
      <c r="L1779" s="47" t="str">
        <f aca="false">IFERROR(MATCH(ROW()-4,ポート振替表!$V$5:$V$3507,0),"")</f>
        <v/>
      </c>
    </row>
    <row r="1780" customFormat="false" ht="16.4" hidden="false" customHeight="false" outlineLevel="0" collapsed="false">
      <c r="A1780" s="32" t="str">
        <f aca="false">IF(L1780="","",ROW()-4)</f>
        <v/>
      </c>
      <c r="B1780" s="58" t="str">
        <f aca="false">IF(L1780="","",IF(INDEX(ポート振替表!$W$5:$W$3507,$L1780)="","(なし)",INDEX(ポート振替表!$W$5:$W$3507,$L1780)&amp;""))</f>
        <v/>
      </c>
      <c r="C1780" s="52" t="str">
        <f aca="false">IF(L1780="","",INDEX(ポート振替表!$B$5:$B$3507,$L1780)&amp;" "&amp;INDEX(ポート振替表!$C$5:$C$3507,$L1780)&amp;"  ⇔  "&amp;INDEX(ポート振替表!$H$5:$H$3507,$L1780)&amp;" "&amp;INDEX(ポート振替表!$I$5:$I$3507,$L1780))</f>
        <v/>
      </c>
      <c r="D1780" s="57" t="s">
        <v>158</v>
      </c>
      <c r="E1780" s="59" t="str">
        <f aca="false">IF(L1780="","",IF(INDEX(ポート振替表!$O$5:$O$3507,$L1780)="","(未設定)",INDEX(ポート振替表!$O$5:$O$3507,$L1780)&amp;""))</f>
        <v/>
      </c>
      <c r="F1780" s="52" t="str">
        <f aca="false">IF(L1780="","",INDEX(ポート振替表!$K$5:$K$3507,$L1780)&amp;" "&amp;INDEX(ポート振替表!$L$5:$L$3507,$L1780)&amp;"  ⇔  "&amp;INDEX(ポート振替表!$H$5:$H$3507,$L1780)&amp;" "&amp;INDEX(ポート振替表!$I$5:$I$3507,$L1780))</f>
        <v/>
      </c>
      <c r="G1780" s="57" t="s">
        <v>158</v>
      </c>
      <c r="H1780" s="32" t="str">
        <f aca="false">IF(L1780="","",INDEX(ポート振替表!$N$5:$N$3507,$L1780)&amp;"")</f>
        <v/>
      </c>
      <c r="I1780" s="32" t="str">
        <f aca="false">IF(L1780="","",INDEX(ポート振替表!$P$5:$P$3507,$L1780)&amp;"")</f>
        <v/>
      </c>
      <c r="J1780" s="60" t="str">
        <f aca="false">IF(L1780="","",INDEX(ポート振替表!$M$5:$M$3507,$L1780)&amp;"")</f>
        <v/>
      </c>
      <c r="K1780" s="52" t="str">
        <f aca="false">IF(L1780="","",E1780&amp;CHAR(10)&amp;INDEX(ポート振替表!$K$5:$K$3507,$L1780)&amp;" "&amp;INDEX(ポート振替表!$L$5:$L$3507,$L1780)&amp;CHAR(10)&amp;"⇔ "&amp;INDEX(ポート振替表!$H$5:$H$3507,$L1780)&amp;" "&amp;INDEX(ポート振替表!$I$5:$I$3507,$L1780))</f>
        <v/>
      </c>
      <c r="L1780" s="47" t="str">
        <f aca="false">IFERROR(MATCH(ROW()-4,ポート振替表!$V$5:$V$3507,0),"")</f>
        <v/>
      </c>
    </row>
    <row r="1781" customFormat="false" ht="16.4" hidden="false" customHeight="false" outlineLevel="0" collapsed="false">
      <c r="A1781" s="32" t="str">
        <f aca="false">IF(L1781="","",ROW()-4)</f>
        <v/>
      </c>
      <c r="B1781" s="58" t="str">
        <f aca="false">IF(L1781="","",IF(INDEX(ポート振替表!$W$5:$W$3507,$L1781)="","(なし)",INDEX(ポート振替表!$W$5:$W$3507,$L1781)&amp;""))</f>
        <v/>
      </c>
      <c r="C1781" s="52" t="str">
        <f aca="false">IF(L1781="","",INDEX(ポート振替表!$B$5:$B$3507,$L1781)&amp;" "&amp;INDEX(ポート振替表!$C$5:$C$3507,$L1781)&amp;"  ⇔  "&amp;INDEX(ポート振替表!$H$5:$H$3507,$L1781)&amp;" "&amp;INDEX(ポート振替表!$I$5:$I$3507,$L1781))</f>
        <v/>
      </c>
      <c r="D1781" s="57" t="s">
        <v>158</v>
      </c>
      <c r="E1781" s="59" t="str">
        <f aca="false">IF(L1781="","",IF(INDEX(ポート振替表!$O$5:$O$3507,$L1781)="","(未設定)",INDEX(ポート振替表!$O$5:$O$3507,$L1781)&amp;""))</f>
        <v/>
      </c>
      <c r="F1781" s="52" t="str">
        <f aca="false">IF(L1781="","",INDEX(ポート振替表!$K$5:$K$3507,$L1781)&amp;" "&amp;INDEX(ポート振替表!$L$5:$L$3507,$L1781)&amp;"  ⇔  "&amp;INDEX(ポート振替表!$H$5:$H$3507,$L1781)&amp;" "&amp;INDEX(ポート振替表!$I$5:$I$3507,$L1781))</f>
        <v/>
      </c>
      <c r="G1781" s="57" t="s">
        <v>158</v>
      </c>
      <c r="H1781" s="32" t="str">
        <f aca="false">IF(L1781="","",INDEX(ポート振替表!$N$5:$N$3507,$L1781)&amp;"")</f>
        <v/>
      </c>
      <c r="I1781" s="32" t="str">
        <f aca="false">IF(L1781="","",INDEX(ポート振替表!$P$5:$P$3507,$L1781)&amp;"")</f>
        <v/>
      </c>
      <c r="J1781" s="60" t="str">
        <f aca="false">IF(L1781="","",INDEX(ポート振替表!$M$5:$M$3507,$L1781)&amp;"")</f>
        <v/>
      </c>
      <c r="K1781" s="52" t="str">
        <f aca="false">IF(L1781="","",E1781&amp;CHAR(10)&amp;INDEX(ポート振替表!$K$5:$K$3507,$L1781)&amp;" "&amp;INDEX(ポート振替表!$L$5:$L$3507,$L1781)&amp;CHAR(10)&amp;"⇔ "&amp;INDEX(ポート振替表!$H$5:$H$3507,$L1781)&amp;" "&amp;INDEX(ポート振替表!$I$5:$I$3507,$L1781))</f>
        <v/>
      </c>
      <c r="L1781" s="47" t="str">
        <f aca="false">IFERROR(MATCH(ROW()-4,ポート振替表!$V$5:$V$3507,0),"")</f>
        <v/>
      </c>
    </row>
    <row r="1782" customFormat="false" ht="16.4" hidden="false" customHeight="false" outlineLevel="0" collapsed="false">
      <c r="A1782" s="32" t="str">
        <f aca="false">IF(L1782="","",ROW()-4)</f>
        <v/>
      </c>
      <c r="B1782" s="58" t="str">
        <f aca="false">IF(L1782="","",IF(INDEX(ポート振替表!$W$5:$W$3507,$L1782)="","(なし)",INDEX(ポート振替表!$W$5:$W$3507,$L1782)&amp;""))</f>
        <v/>
      </c>
      <c r="C1782" s="52" t="str">
        <f aca="false">IF(L1782="","",INDEX(ポート振替表!$B$5:$B$3507,$L1782)&amp;" "&amp;INDEX(ポート振替表!$C$5:$C$3507,$L1782)&amp;"  ⇔  "&amp;INDEX(ポート振替表!$H$5:$H$3507,$L1782)&amp;" "&amp;INDEX(ポート振替表!$I$5:$I$3507,$L1782))</f>
        <v/>
      </c>
      <c r="D1782" s="57" t="s">
        <v>158</v>
      </c>
      <c r="E1782" s="59" t="str">
        <f aca="false">IF(L1782="","",IF(INDEX(ポート振替表!$O$5:$O$3507,$L1782)="","(未設定)",INDEX(ポート振替表!$O$5:$O$3507,$L1782)&amp;""))</f>
        <v/>
      </c>
      <c r="F1782" s="52" t="str">
        <f aca="false">IF(L1782="","",INDEX(ポート振替表!$K$5:$K$3507,$L1782)&amp;" "&amp;INDEX(ポート振替表!$L$5:$L$3507,$L1782)&amp;"  ⇔  "&amp;INDEX(ポート振替表!$H$5:$H$3507,$L1782)&amp;" "&amp;INDEX(ポート振替表!$I$5:$I$3507,$L1782))</f>
        <v/>
      </c>
      <c r="G1782" s="57" t="s">
        <v>158</v>
      </c>
      <c r="H1782" s="32" t="str">
        <f aca="false">IF(L1782="","",INDEX(ポート振替表!$N$5:$N$3507,$L1782)&amp;"")</f>
        <v/>
      </c>
      <c r="I1782" s="32" t="str">
        <f aca="false">IF(L1782="","",INDEX(ポート振替表!$P$5:$P$3507,$L1782)&amp;"")</f>
        <v/>
      </c>
      <c r="J1782" s="60" t="str">
        <f aca="false">IF(L1782="","",INDEX(ポート振替表!$M$5:$M$3507,$L1782)&amp;"")</f>
        <v/>
      </c>
      <c r="K1782" s="52" t="str">
        <f aca="false">IF(L1782="","",E1782&amp;CHAR(10)&amp;INDEX(ポート振替表!$K$5:$K$3507,$L1782)&amp;" "&amp;INDEX(ポート振替表!$L$5:$L$3507,$L1782)&amp;CHAR(10)&amp;"⇔ "&amp;INDEX(ポート振替表!$H$5:$H$3507,$L1782)&amp;" "&amp;INDEX(ポート振替表!$I$5:$I$3507,$L1782))</f>
        <v/>
      </c>
      <c r="L1782" s="47" t="str">
        <f aca="false">IFERROR(MATCH(ROW()-4,ポート振替表!$V$5:$V$3507,0),"")</f>
        <v/>
      </c>
    </row>
    <row r="1783" customFormat="false" ht="16.4" hidden="false" customHeight="false" outlineLevel="0" collapsed="false">
      <c r="A1783" s="32" t="str">
        <f aca="false">IF(L1783="","",ROW()-4)</f>
        <v/>
      </c>
      <c r="B1783" s="58" t="str">
        <f aca="false">IF(L1783="","",IF(INDEX(ポート振替表!$W$5:$W$3507,$L1783)="","(なし)",INDEX(ポート振替表!$W$5:$W$3507,$L1783)&amp;""))</f>
        <v/>
      </c>
      <c r="C1783" s="52" t="str">
        <f aca="false">IF(L1783="","",INDEX(ポート振替表!$B$5:$B$3507,$L1783)&amp;" "&amp;INDEX(ポート振替表!$C$5:$C$3507,$L1783)&amp;"  ⇔  "&amp;INDEX(ポート振替表!$H$5:$H$3507,$L1783)&amp;" "&amp;INDEX(ポート振替表!$I$5:$I$3507,$L1783))</f>
        <v/>
      </c>
      <c r="D1783" s="57" t="s">
        <v>158</v>
      </c>
      <c r="E1783" s="59" t="str">
        <f aca="false">IF(L1783="","",IF(INDEX(ポート振替表!$O$5:$O$3507,$L1783)="","(未設定)",INDEX(ポート振替表!$O$5:$O$3507,$L1783)&amp;""))</f>
        <v/>
      </c>
      <c r="F1783" s="52" t="str">
        <f aca="false">IF(L1783="","",INDEX(ポート振替表!$K$5:$K$3507,$L1783)&amp;" "&amp;INDEX(ポート振替表!$L$5:$L$3507,$L1783)&amp;"  ⇔  "&amp;INDEX(ポート振替表!$H$5:$H$3507,$L1783)&amp;" "&amp;INDEX(ポート振替表!$I$5:$I$3507,$L1783))</f>
        <v/>
      </c>
      <c r="G1783" s="57" t="s">
        <v>158</v>
      </c>
      <c r="H1783" s="32" t="str">
        <f aca="false">IF(L1783="","",INDEX(ポート振替表!$N$5:$N$3507,$L1783)&amp;"")</f>
        <v/>
      </c>
      <c r="I1783" s="32" t="str">
        <f aca="false">IF(L1783="","",INDEX(ポート振替表!$P$5:$P$3507,$L1783)&amp;"")</f>
        <v/>
      </c>
      <c r="J1783" s="60" t="str">
        <f aca="false">IF(L1783="","",INDEX(ポート振替表!$M$5:$M$3507,$L1783)&amp;"")</f>
        <v/>
      </c>
      <c r="K1783" s="52" t="str">
        <f aca="false">IF(L1783="","",E1783&amp;CHAR(10)&amp;INDEX(ポート振替表!$K$5:$K$3507,$L1783)&amp;" "&amp;INDEX(ポート振替表!$L$5:$L$3507,$L1783)&amp;CHAR(10)&amp;"⇔ "&amp;INDEX(ポート振替表!$H$5:$H$3507,$L1783)&amp;" "&amp;INDEX(ポート振替表!$I$5:$I$3507,$L1783))</f>
        <v/>
      </c>
      <c r="L1783" s="47" t="str">
        <f aca="false">IFERROR(MATCH(ROW()-4,ポート振替表!$V$5:$V$3507,0),"")</f>
        <v/>
      </c>
    </row>
    <row r="1784" customFormat="false" ht="16.4" hidden="false" customHeight="false" outlineLevel="0" collapsed="false">
      <c r="A1784" s="32" t="str">
        <f aca="false">IF(L1784="","",ROW()-4)</f>
        <v/>
      </c>
      <c r="B1784" s="58" t="str">
        <f aca="false">IF(L1784="","",IF(INDEX(ポート振替表!$W$5:$W$3507,$L1784)="","(なし)",INDEX(ポート振替表!$W$5:$W$3507,$L1784)&amp;""))</f>
        <v/>
      </c>
      <c r="C1784" s="52" t="str">
        <f aca="false">IF(L1784="","",INDEX(ポート振替表!$B$5:$B$3507,$L1784)&amp;" "&amp;INDEX(ポート振替表!$C$5:$C$3507,$L1784)&amp;"  ⇔  "&amp;INDEX(ポート振替表!$H$5:$H$3507,$L1784)&amp;" "&amp;INDEX(ポート振替表!$I$5:$I$3507,$L1784))</f>
        <v/>
      </c>
      <c r="D1784" s="57" t="s">
        <v>158</v>
      </c>
      <c r="E1784" s="59" t="str">
        <f aca="false">IF(L1784="","",IF(INDEX(ポート振替表!$O$5:$O$3507,$L1784)="","(未設定)",INDEX(ポート振替表!$O$5:$O$3507,$L1784)&amp;""))</f>
        <v/>
      </c>
      <c r="F1784" s="52" t="str">
        <f aca="false">IF(L1784="","",INDEX(ポート振替表!$K$5:$K$3507,$L1784)&amp;" "&amp;INDEX(ポート振替表!$L$5:$L$3507,$L1784)&amp;"  ⇔  "&amp;INDEX(ポート振替表!$H$5:$H$3507,$L1784)&amp;" "&amp;INDEX(ポート振替表!$I$5:$I$3507,$L1784))</f>
        <v/>
      </c>
      <c r="G1784" s="57" t="s">
        <v>158</v>
      </c>
      <c r="H1784" s="32" t="str">
        <f aca="false">IF(L1784="","",INDEX(ポート振替表!$N$5:$N$3507,$L1784)&amp;"")</f>
        <v/>
      </c>
      <c r="I1784" s="32" t="str">
        <f aca="false">IF(L1784="","",INDEX(ポート振替表!$P$5:$P$3507,$L1784)&amp;"")</f>
        <v/>
      </c>
      <c r="J1784" s="60" t="str">
        <f aca="false">IF(L1784="","",INDEX(ポート振替表!$M$5:$M$3507,$L1784)&amp;"")</f>
        <v/>
      </c>
      <c r="K1784" s="52" t="str">
        <f aca="false">IF(L1784="","",E1784&amp;CHAR(10)&amp;INDEX(ポート振替表!$K$5:$K$3507,$L1784)&amp;" "&amp;INDEX(ポート振替表!$L$5:$L$3507,$L1784)&amp;CHAR(10)&amp;"⇔ "&amp;INDEX(ポート振替表!$H$5:$H$3507,$L1784)&amp;" "&amp;INDEX(ポート振替表!$I$5:$I$3507,$L1784))</f>
        <v/>
      </c>
      <c r="L1784" s="47" t="str">
        <f aca="false">IFERROR(MATCH(ROW()-4,ポート振替表!$V$5:$V$3507,0),"")</f>
        <v/>
      </c>
    </row>
    <row r="1785" customFormat="false" ht="16.4" hidden="false" customHeight="false" outlineLevel="0" collapsed="false">
      <c r="A1785" s="32" t="str">
        <f aca="false">IF(L1785="","",ROW()-4)</f>
        <v/>
      </c>
      <c r="B1785" s="58" t="str">
        <f aca="false">IF(L1785="","",IF(INDEX(ポート振替表!$W$5:$W$3507,$L1785)="","(なし)",INDEX(ポート振替表!$W$5:$W$3507,$L1785)&amp;""))</f>
        <v/>
      </c>
      <c r="C1785" s="52" t="str">
        <f aca="false">IF(L1785="","",INDEX(ポート振替表!$B$5:$B$3507,$L1785)&amp;" "&amp;INDEX(ポート振替表!$C$5:$C$3507,$L1785)&amp;"  ⇔  "&amp;INDEX(ポート振替表!$H$5:$H$3507,$L1785)&amp;" "&amp;INDEX(ポート振替表!$I$5:$I$3507,$L1785))</f>
        <v/>
      </c>
      <c r="D1785" s="57" t="s">
        <v>158</v>
      </c>
      <c r="E1785" s="59" t="str">
        <f aca="false">IF(L1785="","",IF(INDEX(ポート振替表!$O$5:$O$3507,$L1785)="","(未設定)",INDEX(ポート振替表!$O$5:$O$3507,$L1785)&amp;""))</f>
        <v/>
      </c>
      <c r="F1785" s="52" t="str">
        <f aca="false">IF(L1785="","",INDEX(ポート振替表!$K$5:$K$3507,$L1785)&amp;" "&amp;INDEX(ポート振替表!$L$5:$L$3507,$L1785)&amp;"  ⇔  "&amp;INDEX(ポート振替表!$H$5:$H$3507,$L1785)&amp;" "&amp;INDEX(ポート振替表!$I$5:$I$3507,$L1785))</f>
        <v/>
      </c>
      <c r="G1785" s="57" t="s">
        <v>158</v>
      </c>
      <c r="H1785" s="32" t="str">
        <f aca="false">IF(L1785="","",INDEX(ポート振替表!$N$5:$N$3507,$L1785)&amp;"")</f>
        <v/>
      </c>
      <c r="I1785" s="32" t="str">
        <f aca="false">IF(L1785="","",INDEX(ポート振替表!$P$5:$P$3507,$L1785)&amp;"")</f>
        <v/>
      </c>
      <c r="J1785" s="60" t="str">
        <f aca="false">IF(L1785="","",INDEX(ポート振替表!$M$5:$M$3507,$L1785)&amp;"")</f>
        <v/>
      </c>
      <c r="K1785" s="52" t="str">
        <f aca="false">IF(L1785="","",E1785&amp;CHAR(10)&amp;INDEX(ポート振替表!$K$5:$K$3507,$L1785)&amp;" "&amp;INDEX(ポート振替表!$L$5:$L$3507,$L1785)&amp;CHAR(10)&amp;"⇔ "&amp;INDEX(ポート振替表!$H$5:$H$3507,$L1785)&amp;" "&amp;INDEX(ポート振替表!$I$5:$I$3507,$L1785))</f>
        <v/>
      </c>
      <c r="L1785" s="47" t="str">
        <f aca="false">IFERROR(MATCH(ROW()-4,ポート振替表!$V$5:$V$3507,0),"")</f>
        <v/>
      </c>
    </row>
    <row r="1786" customFormat="false" ht="16.4" hidden="false" customHeight="false" outlineLevel="0" collapsed="false">
      <c r="A1786" s="32" t="str">
        <f aca="false">IF(L1786="","",ROW()-4)</f>
        <v/>
      </c>
      <c r="B1786" s="58" t="str">
        <f aca="false">IF(L1786="","",IF(INDEX(ポート振替表!$W$5:$W$3507,$L1786)="","(なし)",INDEX(ポート振替表!$W$5:$W$3507,$L1786)&amp;""))</f>
        <v/>
      </c>
      <c r="C1786" s="52" t="str">
        <f aca="false">IF(L1786="","",INDEX(ポート振替表!$B$5:$B$3507,$L1786)&amp;" "&amp;INDEX(ポート振替表!$C$5:$C$3507,$L1786)&amp;"  ⇔  "&amp;INDEX(ポート振替表!$H$5:$H$3507,$L1786)&amp;" "&amp;INDEX(ポート振替表!$I$5:$I$3507,$L1786))</f>
        <v/>
      </c>
      <c r="D1786" s="57" t="s">
        <v>158</v>
      </c>
      <c r="E1786" s="59" t="str">
        <f aca="false">IF(L1786="","",IF(INDEX(ポート振替表!$O$5:$O$3507,$L1786)="","(未設定)",INDEX(ポート振替表!$O$5:$O$3507,$L1786)&amp;""))</f>
        <v/>
      </c>
      <c r="F1786" s="52" t="str">
        <f aca="false">IF(L1786="","",INDEX(ポート振替表!$K$5:$K$3507,$L1786)&amp;" "&amp;INDEX(ポート振替表!$L$5:$L$3507,$L1786)&amp;"  ⇔  "&amp;INDEX(ポート振替表!$H$5:$H$3507,$L1786)&amp;" "&amp;INDEX(ポート振替表!$I$5:$I$3507,$L1786))</f>
        <v/>
      </c>
      <c r="G1786" s="57" t="s">
        <v>158</v>
      </c>
      <c r="H1786" s="32" t="str">
        <f aca="false">IF(L1786="","",INDEX(ポート振替表!$N$5:$N$3507,$L1786)&amp;"")</f>
        <v/>
      </c>
      <c r="I1786" s="32" t="str">
        <f aca="false">IF(L1786="","",INDEX(ポート振替表!$P$5:$P$3507,$L1786)&amp;"")</f>
        <v/>
      </c>
      <c r="J1786" s="60" t="str">
        <f aca="false">IF(L1786="","",INDEX(ポート振替表!$M$5:$M$3507,$L1786)&amp;"")</f>
        <v/>
      </c>
      <c r="K1786" s="52" t="str">
        <f aca="false">IF(L1786="","",E1786&amp;CHAR(10)&amp;INDEX(ポート振替表!$K$5:$K$3507,$L1786)&amp;" "&amp;INDEX(ポート振替表!$L$5:$L$3507,$L1786)&amp;CHAR(10)&amp;"⇔ "&amp;INDEX(ポート振替表!$H$5:$H$3507,$L1786)&amp;" "&amp;INDEX(ポート振替表!$I$5:$I$3507,$L1786))</f>
        <v/>
      </c>
      <c r="L1786" s="47" t="str">
        <f aca="false">IFERROR(MATCH(ROW()-4,ポート振替表!$V$5:$V$3507,0),"")</f>
        <v/>
      </c>
    </row>
    <row r="1787" customFormat="false" ht="16.4" hidden="false" customHeight="false" outlineLevel="0" collapsed="false">
      <c r="A1787" s="32" t="str">
        <f aca="false">IF(L1787="","",ROW()-4)</f>
        <v/>
      </c>
      <c r="B1787" s="58" t="str">
        <f aca="false">IF(L1787="","",IF(INDEX(ポート振替表!$W$5:$W$3507,$L1787)="","(なし)",INDEX(ポート振替表!$W$5:$W$3507,$L1787)&amp;""))</f>
        <v/>
      </c>
      <c r="C1787" s="52" t="str">
        <f aca="false">IF(L1787="","",INDEX(ポート振替表!$B$5:$B$3507,$L1787)&amp;" "&amp;INDEX(ポート振替表!$C$5:$C$3507,$L1787)&amp;"  ⇔  "&amp;INDEX(ポート振替表!$H$5:$H$3507,$L1787)&amp;" "&amp;INDEX(ポート振替表!$I$5:$I$3507,$L1787))</f>
        <v/>
      </c>
      <c r="D1787" s="57" t="s">
        <v>158</v>
      </c>
      <c r="E1787" s="59" t="str">
        <f aca="false">IF(L1787="","",IF(INDEX(ポート振替表!$O$5:$O$3507,$L1787)="","(未設定)",INDEX(ポート振替表!$O$5:$O$3507,$L1787)&amp;""))</f>
        <v/>
      </c>
      <c r="F1787" s="52" t="str">
        <f aca="false">IF(L1787="","",INDEX(ポート振替表!$K$5:$K$3507,$L1787)&amp;" "&amp;INDEX(ポート振替表!$L$5:$L$3507,$L1787)&amp;"  ⇔  "&amp;INDEX(ポート振替表!$H$5:$H$3507,$L1787)&amp;" "&amp;INDEX(ポート振替表!$I$5:$I$3507,$L1787))</f>
        <v/>
      </c>
      <c r="G1787" s="57" t="s">
        <v>158</v>
      </c>
      <c r="H1787" s="32" t="str">
        <f aca="false">IF(L1787="","",INDEX(ポート振替表!$N$5:$N$3507,$L1787)&amp;"")</f>
        <v/>
      </c>
      <c r="I1787" s="32" t="str">
        <f aca="false">IF(L1787="","",INDEX(ポート振替表!$P$5:$P$3507,$L1787)&amp;"")</f>
        <v/>
      </c>
      <c r="J1787" s="60" t="str">
        <f aca="false">IF(L1787="","",INDEX(ポート振替表!$M$5:$M$3507,$L1787)&amp;"")</f>
        <v/>
      </c>
      <c r="K1787" s="52" t="str">
        <f aca="false">IF(L1787="","",E1787&amp;CHAR(10)&amp;INDEX(ポート振替表!$K$5:$K$3507,$L1787)&amp;" "&amp;INDEX(ポート振替表!$L$5:$L$3507,$L1787)&amp;CHAR(10)&amp;"⇔ "&amp;INDEX(ポート振替表!$H$5:$H$3507,$L1787)&amp;" "&amp;INDEX(ポート振替表!$I$5:$I$3507,$L1787))</f>
        <v/>
      </c>
      <c r="L1787" s="47" t="str">
        <f aca="false">IFERROR(MATCH(ROW()-4,ポート振替表!$V$5:$V$3507,0),"")</f>
        <v/>
      </c>
    </row>
    <row r="1788" customFormat="false" ht="16.4" hidden="false" customHeight="false" outlineLevel="0" collapsed="false">
      <c r="A1788" s="32" t="str">
        <f aca="false">IF(L1788="","",ROW()-4)</f>
        <v/>
      </c>
      <c r="B1788" s="58" t="str">
        <f aca="false">IF(L1788="","",IF(INDEX(ポート振替表!$W$5:$W$3507,$L1788)="","(なし)",INDEX(ポート振替表!$W$5:$W$3507,$L1788)&amp;""))</f>
        <v/>
      </c>
      <c r="C1788" s="52" t="str">
        <f aca="false">IF(L1788="","",INDEX(ポート振替表!$B$5:$B$3507,$L1788)&amp;" "&amp;INDEX(ポート振替表!$C$5:$C$3507,$L1788)&amp;"  ⇔  "&amp;INDEX(ポート振替表!$H$5:$H$3507,$L1788)&amp;" "&amp;INDEX(ポート振替表!$I$5:$I$3507,$L1788))</f>
        <v/>
      </c>
      <c r="D1788" s="57" t="s">
        <v>158</v>
      </c>
      <c r="E1788" s="59" t="str">
        <f aca="false">IF(L1788="","",IF(INDEX(ポート振替表!$O$5:$O$3507,$L1788)="","(未設定)",INDEX(ポート振替表!$O$5:$O$3507,$L1788)&amp;""))</f>
        <v/>
      </c>
      <c r="F1788" s="52" t="str">
        <f aca="false">IF(L1788="","",INDEX(ポート振替表!$K$5:$K$3507,$L1788)&amp;" "&amp;INDEX(ポート振替表!$L$5:$L$3507,$L1788)&amp;"  ⇔  "&amp;INDEX(ポート振替表!$H$5:$H$3507,$L1788)&amp;" "&amp;INDEX(ポート振替表!$I$5:$I$3507,$L1788))</f>
        <v/>
      </c>
      <c r="G1788" s="57" t="s">
        <v>158</v>
      </c>
      <c r="H1788" s="32" t="str">
        <f aca="false">IF(L1788="","",INDEX(ポート振替表!$N$5:$N$3507,$L1788)&amp;"")</f>
        <v/>
      </c>
      <c r="I1788" s="32" t="str">
        <f aca="false">IF(L1788="","",INDEX(ポート振替表!$P$5:$P$3507,$L1788)&amp;"")</f>
        <v/>
      </c>
      <c r="J1788" s="60" t="str">
        <f aca="false">IF(L1788="","",INDEX(ポート振替表!$M$5:$M$3507,$L1788)&amp;"")</f>
        <v/>
      </c>
      <c r="K1788" s="52" t="str">
        <f aca="false">IF(L1788="","",E1788&amp;CHAR(10)&amp;INDEX(ポート振替表!$K$5:$K$3507,$L1788)&amp;" "&amp;INDEX(ポート振替表!$L$5:$L$3507,$L1788)&amp;CHAR(10)&amp;"⇔ "&amp;INDEX(ポート振替表!$H$5:$H$3507,$L1788)&amp;" "&amp;INDEX(ポート振替表!$I$5:$I$3507,$L1788))</f>
        <v/>
      </c>
      <c r="L1788" s="47" t="str">
        <f aca="false">IFERROR(MATCH(ROW()-4,ポート振替表!$V$5:$V$3507,0),"")</f>
        <v/>
      </c>
    </row>
    <row r="1789" customFormat="false" ht="16.4" hidden="false" customHeight="false" outlineLevel="0" collapsed="false">
      <c r="A1789" s="32" t="str">
        <f aca="false">IF(L1789="","",ROW()-4)</f>
        <v/>
      </c>
      <c r="B1789" s="58" t="str">
        <f aca="false">IF(L1789="","",IF(INDEX(ポート振替表!$W$5:$W$3507,$L1789)="","(なし)",INDEX(ポート振替表!$W$5:$W$3507,$L1789)&amp;""))</f>
        <v/>
      </c>
      <c r="C1789" s="52" t="str">
        <f aca="false">IF(L1789="","",INDEX(ポート振替表!$B$5:$B$3507,$L1789)&amp;" "&amp;INDEX(ポート振替表!$C$5:$C$3507,$L1789)&amp;"  ⇔  "&amp;INDEX(ポート振替表!$H$5:$H$3507,$L1789)&amp;" "&amp;INDEX(ポート振替表!$I$5:$I$3507,$L1789))</f>
        <v/>
      </c>
      <c r="D1789" s="57" t="s">
        <v>158</v>
      </c>
      <c r="E1789" s="59" t="str">
        <f aca="false">IF(L1789="","",IF(INDEX(ポート振替表!$O$5:$O$3507,$L1789)="","(未設定)",INDEX(ポート振替表!$O$5:$O$3507,$L1789)&amp;""))</f>
        <v/>
      </c>
      <c r="F1789" s="52" t="str">
        <f aca="false">IF(L1789="","",INDEX(ポート振替表!$K$5:$K$3507,$L1789)&amp;" "&amp;INDEX(ポート振替表!$L$5:$L$3507,$L1789)&amp;"  ⇔  "&amp;INDEX(ポート振替表!$H$5:$H$3507,$L1789)&amp;" "&amp;INDEX(ポート振替表!$I$5:$I$3507,$L1789))</f>
        <v/>
      </c>
      <c r="G1789" s="57" t="s">
        <v>158</v>
      </c>
      <c r="H1789" s="32" t="str">
        <f aca="false">IF(L1789="","",INDEX(ポート振替表!$N$5:$N$3507,$L1789)&amp;"")</f>
        <v/>
      </c>
      <c r="I1789" s="32" t="str">
        <f aca="false">IF(L1789="","",INDEX(ポート振替表!$P$5:$P$3507,$L1789)&amp;"")</f>
        <v/>
      </c>
      <c r="J1789" s="60" t="str">
        <f aca="false">IF(L1789="","",INDEX(ポート振替表!$M$5:$M$3507,$L1789)&amp;"")</f>
        <v/>
      </c>
      <c r="K1789" s="52" t="str">
        <f aca="false">IF(L1789="","",E1789&amp;CHAR(10)&amp;INDEX(ポート振替表!$K$5:$K$3507,$L1789)&amp;" "&amp;INDEX(ポート振替表!$L$5:$L$3507,$L1789)&amp;CHAR(10)&amp;"⇔ "&amp;INDEX(ポート振替表!$H$5:$H$3507,$L1789)&amp;" "&amp;INDEX(ポート振替表!$I$5:$I$3507,$L1789))</f>
        <v/>
      </c>
      <c r="L1789" s="47" t="str">
        <f aca="false">IFERROR(MATCH(ROW()-4,ポート振替表!$V$5:$V$3507,0),"")</f>
        <v/>
      </c>
    </row>
    <row r="1790" customFormat="false" ht="16.4" hidden="false" customHeight="false" outlineLevel="0" collapsed="false">
      <c r="A1790" s="32" t="str">
        <f aca="false">IF(L1790="","",ROW()-4)</f>
        <v/>
      </c>
      <c r="B1790" s="58" t="str">
        <f aca="false">IF(L1790="","",IF(INDEX(ポート振替表!$W$5:$W$3507,$L1790)="","(なし)",INDEX(ポート振替表!$W$5:$W$3507,$L1790)&amp;""))</f>
        <v/>
      </c>
      <c r="C1790" s="52" t="str">
        <f aca="false">IF(L1790="","",INDEX(ポート振替表!$B$5:$B$3507,$L1790)&amp;" "&amp;INDEX(ポート振替表!$C$5:$C$3507,$L1790)&amp;"  ⇔  "&amp;INDEX(ポート振替表!$H$5:$H$3507,$L1790)&amp;" "&amp;INDEX(ポート振替表!$I$5:$I$3507,$L1790))</f>
        <v/>
      </c>
      <c r="D1790" s="57" t="s">
        <v>158</v>
      </c>
      <c r="E1790" s="59" t="str">
        <f aca="false">IF(L1790="","",IF(INDEX(ポート振替表!$O$5:$O$3507,$L1790)="","(未設定)",INDEX(ポート振替表!$O$5:$O$3507,$L1790)&amp;""))</f>
        <v/>
      </c>
      <c r="F1790" s="52" t="str">
        <f aca="false">IF(L1790="","",INDEX(ポート振替表!$K$5:$K$3507,$L1790)&amp;" "&amp;INDEX(ポート振替表!$L$5:$L$3507,$L1790)&amp;"  ⇔  "&amp;INDEX(ポート振替表!$H$5:$H$3507,$L1790)&amp;" "&amp;INDEX(ポート振替表!$I$5:$I$3507,$L1790))</f>
        <v/>
      </c>
      <c r="G1790" s="57" t="s">
        <v>158</v>
      </c>
      <c r="H1790" s="32" t="str">
        <f aca="false">IF(L1790="","",INDEX(ポート振替表!$N$5:$N$3507,$L1790)&amp;"")</f>
        <v/>
      </c>
      <c r="I1790" s="32" t="str">
        <f aca="false">IF(L1790="","",INDEX(ポート振替表!$P$5:$P$3507,$L1790)&amp;"")</f>
        <v/>
      </c>
      <c r="J1790" s="60" t="str">
        <f aca="false">IF(L1790="","",INDEX(ポート振替表!$M$5:$M$3507,$L1790)&amp;"")</f>
        <v/>
      </c>
      <c r="K1790" s="52" t="str">
        <f aca="false">IF(L1790="","",E1790&amp;CHAR(10)&amp;INDEX(ポート振替表!$K$5:$K$3507,$L1790)&amp;" "&amp;INDEX(ポート振替表!$L$5:$L$3507,$L1790)&amp;CHAR(10)&amp;"⇔ "&amp;INDEX(ポート振替表!$H$5:$H$3507,$L1790)&amp;" "&amp;INDEX(ポート振替表!$I$5:$I$3507,$L1790))</f>
        <v/>
      </c>
      <c r="L1790" s="47" t="str">
        <f aca="false">IFERROR(MATCH(ROW()-4,ポート振替表!$V$5:$V$3507,0),"")</f>
        <v/>
      </c>
    </row>
    <row r="1791" customFormat="false" ht="16.4" hidden="false" customHeight="false" outlineLevel="0" collapsed="false">
      <c r="A1791" s="32" t="str">
        <f aca="false">IF(L1791="","",ROW()-4)</f>
        <v/>
      </c>
      <c r="B1791" s="58" t="str">
        <f aca="false">IF(L1791="","",IF(INDEX(ポート振替表!$W$5:$W$3507,$L1791)="","(なし)",INDEX(ポート振替表!$W$5:$W$3507,$L1791)&amp;""))</f>
        <v/>
      </c>
      <c r="C1791" s="52" t="str">
        <f aca="false">IF(L1791="","",INDEX(ポート振替表!$B$5:$B$3507,$L1791)&amp;" "&amp;INDEX(ポート振替表!$C$5:$C$3507,$L1791)&amp;"  ⇔  "&amp;INDEX(ポート振替表!$H$5:$H$3507,$L1791)&amp;" "&amp;INDEX(ポート振替表!$I$5:$I$3507,$L1791))</f>
        <v/>
      </c>
      <c r="D1791" s="57" t="s">
        <v>158</v>
      </c>
      <c r="E1791" s="59" t="str">
        <f aca="false">IF(L1791="","",IF(INDEX(ポート振替表!$O$5:$O$3507,$L1791)="","(未設定)",INDEX(ポート振替表!$O$5:$O$3507,$L1791)&amp;""))</f>
        <v/>
      </c>
      <c r="F1791" s="52" t="str">
        <f aca="false">IF(L1791="","",INDEX(ポート振替表!$K$5:$K$3507,$L1791)&amp;" "&amp;INDEX(ポート振替表!$L$5:$L$3507,$L1791)&amp;"  ⇔  "&amp;INDEX(ポート振替表!$H$5:$H$3507,$L1791)&amp;" "&amp;INDEX(ポート振替表!$I$5:$I$3507,$L1791))</f>
        <v/>
      </c>
      <c r="G1791" s="57" t="s">
        <v>158</v>
      </c>
      <c r="H1791" s="32" t="str">
        <f aca="false">IF(L1791="","",INDEX(ポート振替表!$N$5:$N$3507,$L1791)&amp;"")</f>
        <v/>
      </c>
      <c r="I1791" s="32" t="str">
        <f aca="false">IF(L1791="","",INDEX(ポート振替表!$P$5:$P$3507,$L1791)&amp;"")</f>
        <v/>
      </c>
      <c r="J1791" s="60" t="str">
        <f aca="false">IF(L1791="","",INDEX(ポート振替表!$M$5:$M$3507,$L1791)&amp;"")</f>
        <v/>
      </c>
      <c r="K1791" s="52" t="str">
        <f aca="false">IF(L1791="","",E1791&amp;CHAR(10)&amp;INDEX(ポート振替表!$K$5:$K$3507,$L1791)&amp;" "&amp;INDEX(ポート振替表!$L$5:$L$3507,$L1791)&amp;CHAR(10)&amp;"⇔ "&amp;INDEX(ポート振替表!$H$5:$H$3507,$L1791)&amp;" "&amp;INDEX(ポート振替表!$I$5:$I$3507,$L1791))</f>
        <v/>
      </c>
      <c r="L1791" s="47" t="str">
        <f aca="false">IFERROR(MATCH(ROW()-4,ポート振替表!$V$5:$V$3507,0),"")</f>
        <v/>
      </c>
    </row>
    <row r="1792" customFormat="false" ht="16.4" hidden="false" customHeight="false" outlineLevel="0" collapsed="false">
      <c r="A1792" s="32" t="str">
        <f aca="false">IF(L1792="","",ROW()-4)</f>
        <v/>
      </c>
      <c r="B1792" s="58" t="str">
        <f aca="false">IF(L1792="","",IF(INDEX(ポート振替表!$W$5:$W$3507,$L1792)="","(なし)",INDEX(ポート振替表!$W$5:$W$3507,$L1792)&amp;""))</f>
        <v/>
      </c>
      <c r="C1792" s="52" t="str">
        <f aca="false">IF(L1792="","",INDEX(ポート振替表!$B$5:$B$3507,$L1792)&amp;" "&amp;INDEX(ポート振替表!$C$5:$C$3507,$L1792)&amp;"  ⇔  "&amp;INDEX(ポート振替表!$H$5:$H$3507,$L1792)&amp;" "&amp;INDEX(ポート振替表!$I$5:$I$3507,$L1792))</f>
        <v/>
      </c>
      <c r="D1792" s="57" t="s">
        <v>158</v>
      </c>
      <c r="E1792" s="59" t="str">
        <f aca="false">IF(L1792="","",IF(INDEX(ポート振替表!$O$5:$O$3507,$L1792)="","(未設定)",INDEX(ポート振替表!$O$5:$O$3507,$L1792)&amp;""))</f>
        <v/>
      </c>
      <c r="F1792" s="52" t="str">
        <f aca="false">IF(L1792="","",INDEX(ポート振替表!$K$5:$K$3507,$L1792)&amp;" "&amp;INDEX(ポート振替表!$L$5:$L$3507,$L1792)&amp;"  ⇔  "&amp;INDEX(ポート振替表!$H$5:$H$3507,$L1792)&amp;" "&amp;INDEX(ポート振替表!$I$5:$I$3507,$L1792))</f>
        <v/>
      </c>
      <c r="G1792" s="57" t="s">
        <v>158</v>
      </c>
      <c r="H1792" s="32" t="str">
        <f aca="false">IF(L1792="","",INDEX(ポート振替表!$N$5:$N$3507,$L1792)&amp;"")</f>
        <v/>
      </c>
      <c r="I1792" s="32" t="str">
        <f aca="false">IF(L1792="","",INDEX(ポート振替表!$P$5:$P$3507,$L1792)&amp;"")</f>
        <v/>
      </c>
      <c r="J1792" s="60" t="str">
        <f aca="false">IF(L1792="","",INDEX(ポート振替表!$M$5:$M$3507,$L1792)&amp;"")</f>
        <v/>
      </c>
      <c r="K1792" s="52" t="str">
        <f aca="false">IF(L1792="","",E1792&amp;CHAR(10)&amp;INDEX(ポート振替表!$K$5:$K$3507,$L1792)&amp;" "&amp;INDEX(ポート振替表!$L$5:$L$3507,$L1792)&amp;CHAR(10)&amp;"⇔ "&amp;INDEX(ポート振替表!$H$5:$H$3507,$L1792)&amp;" "&amp;INDEX(ポート振替表!$I$5:$I$3507,$L1792))</f>
        <v/>
      </c>
      <c r="L1792" s="47" t="str">
        <f aca="false">IFERROR(MATCH(ROW()-4,ポート振替表!$V$5:$V$3507,0),"")</f>
        <v/>
      </c>
    </row>
    <row r="1793" customFormat="false" ht="16.4" hidden="false" customHeight="false" outlineLevel="0" collapsed="false">
      <c r="A1793" s="32" t="str">
        <f aca="false">IF(L1793="","",ROW()-4)</f>
        <v/>
      </c>
      <c r="B1793" s="58" t="str">
        <f aca="false">IF(L1793="","",IF(INDEX(ポート振替表!$W$5:$W$3507,$L1793)="","(なし)",INDEX(ポート振替表!$W$5:$W$3507,$L1793)&amp;""))</f>
        <v/>
      </c>
      <c r="C1793" s="52" t="str">
        <f aca="false">IF(L1793="","",INDEX(ポート振替表!$B$5:$B$3507,$L1793)&amp;" "&amp;INDEX(ポート振替表!$C$5:$C$3507,$L1793)&amp;"  ⇔  "&amp;INDEX(ポート振替表!$H$5:$H$3507,$L1793)&amp;" "&amp;INDEX(ポート振替表!$I$5:$I$3507,$L1793))</f>
        <v/>
      </c>
      <c r="D1793" s="57" t="s">
        <v>158</v>
      </c>
      <c r="E1793" s="59" t="str">
        <f aca="false">IF(L1793="","",IF(INDEX(ポート振替表!$O$5:$O$3507,$L1793)="","(未設定)",INDEX(ポート振替表!$O$5:$O$3507,$L1793)&amp;""))</f>
        <v/>
      </c>
      <c r="F1793" s="52" t="str">
        <f aca="false">IF(L1793="","",INDEX(ポート振替表!$K$5:$K$3507,$L1793)&amp;" "&amp;INDEX(ポート振替表!$L$5:$L$3507,$L1793)&amp;"  ⇔  "&amp;INDEX(ポート振替表!$H$5:$H$3507,$L1793)&amp;" "&amp;INDEX(ポート振替表!$I$5:$I$3507,$L1793))</f>
        <v/>
      </c>
      <c r="G1793" s="57" t="s">
        <v>158</v>
      </c>
      <c r="H1793" s="32" t="str">
        <f aca="false">IF(L1793="","",INDEX(ポート振替表!$N$5:$N$3507,$L1793)&amp;"")</f>
        <v/>
      </c>
      <c r="I1793" s="32" t="str">
        <f aca="false">IF(L1793="","",INDEX(ポート振替表!$P$5:$P$3507,$L1793)&amp;"")</f>
        <v/>
      </c>
      <c r="J1793" s="60" t="str">
        <f aca="false">IF(L1793="","",INDEX(ポート振替表!$M$5:$M$3507,$L1793)&amp;"")</f>
        <v/>
      </c>
      <c r="K1793" s="52" t="str">
        <f aca="false">IF(L1793="","",E1793&amp;CHAR(10)&amp;INDEX(ポート振替表!$K$5:$K$3507,$L1793)&amp;" "&amp;INDEX(ポート振替表!$L$5:$L$3507,$L1793)&amp;CHAR(10)&amp;"⇔ "&amp;INDEX(ポート振替表!$H$5:$H$3507,$L1793)&amp;" "&amp;INDEX(ポート振替表!$I$5:$I$3507,$L1793))</f>
        <v/>
      </c>
      <c r="L1793" s="47" t="str">
        <f aca="false">IFERROR(MATCH(ROW()-4,ポート振替表!$V$5:$V$3507,0),"")</f>
        <v/>
      </c>
    </row>
    <row r="1794" customFormat="false" ht="16.4" hidden="false" customHeight="false" outlineLevel="0" collapsed="false">
      <c r="A1794" s="32" t="str">
        <f aca="false">IF(L1794="","",ROW()-4)</f>
        <v/>
      </c>
      <c r="B1794" s="58" t="str">
        <f aca="false">IF(L1794="","",IF(INDEX(ポート振替表!$W$5:$W$3507,$L1794)="","(なし)",INDEX(ポート振替表!$W$5:$W$3507,$L1794)&amp;""))</f>
        <v/>
      </c>
      <c r="C1794" s="52" t="str">
        <f aca="false">IF(L1794="","",INDEX(ポート振替表!$B$5:$B$3507,$L1794)&amp;" "&amp;INDEX(ポート振替表!$C$5:$C$3507,$L1794)&amp;"  ⇔  "&amp;INDEX(ポート振替表!$H$5:$H$3507,$L1794)&amp;" "&amp;INDEX(ポート振替表!$I$5:$I$3507,$L1794))</f>
        <v/>
      </c>
      <c r="D1794" s="57" t="s">
        <v>158</v>
      </c>
      <c r="E1794" s="59" t="str">
        <f aca="false">IF(L1794="","",IF(INDEX(ポート振替表!$O$5:$O$3507,$L1794)="","(未設定)",INDEX(ポート振替表!$O$5:$O$3507,$L1794)&amp;""))</f>
        <v/>
      </c>
      <c r="F1794" s="52" t="str">
        <f aca="false">IF(L1794="","",INDEX(ポート振替表!$K$5:$K$3507,$L1794)&amp;" "&amp;INDEX(ポート振替表!$L$5:$L$3507,$L1794)&amp;"  ⇔  "&amp;INDEX(ポート振替表!$H$5:$H$3507,$L1794)&amp;" "&amp;INDEX(ポート振替表!$I$5:$I$3507,$L1794))</f>
        <v/>
      </c>
      <c r="G1794" s="57" t="s">
        <v>158</v>
      </c>
      <c r="H1794" s="32" t="str">
        <f aca="false">IF(L1794="","",INDEX(ポート振替表!$N$5:$N$3507,$L1794)&amp;"")</f>
        <v/>
      </c>
      <c r="I1794" s="32" t="str">
        <f aca="false">IF(L1794="","",INDEX(ポート振替表!$P$5:$P$3507,$L1794)&amp;"")</f>
        <v/>
      </c>
      <c r="J1794" s="60" t="str">
        <f aca="false">IF(L1794="","",INDEX(ポート振替表!$M$5:$M$3507,$L1794)&amp;"")</f>
        <v/>
      </c>
      <c r="K1794" s="52" t="str">
        <f aca="false">IF(L1794="","",E1794&amp;CHAR(10)&amp;INDEX(ポート振替表!$K$5:$K$3507,$L1794)&amp;" "&amp;INDEX(ポート振替表!$L$5:$L$3507,$L1794)&amp;CHAR(10)&amp;"⇔ "&amp;INDEX(ポート振替表!$H$5:$H$3507,$L1794)&amp;" "&amp;INDEX(ポート振替表!$I$5:$I$3507,$L1794))</f>
        <v/>
      </c>
      <c r="L1794" s="47" t="str">
        <f aca="false">IFERROR(MATCH(ROW()-4,ポート振替表!$V$5:$V$3507,0),"")</f>
        <v/>
      </c>
    </row>
    <row r="1795" customFormat="false" ht="16.4" hidden="false" customHeight="false" outlineLevel="0" collapsed="false">
      <c r="A1795" s="32" t="str">
        <f aca="false">IF(L1795="","",ROW()-4)</f>
        <v/>
      </c>
      <c r="B1795" s="58" t="str">
        <f aca="false">IF(L1795="","",IF(INDEX(ポート振替表!$W$5:$W$3507,$L1795)="","(なし)",INDEX(ポート振替表!$W$5:$W$3507,$L1795)&amp;""))</f>
        <v/>
      </c>
      <c r="C1795" s="52" t="str">
        <f aca="false">IF(L1795="","",INDEX(ポート振替表!$B$5:$B$3507,$L1795)&amp;" "&amp;INDEX(ポート振替表!$C$5:$C$3507,$L1795)&amp;"  ⇔  "&amp;INDEX(ポート振替表!$H$5:$H$3507,$L1795)&amp;" "&amp;INDEX(ポート振替表!$I$5:$I$3507,$L1795))</f>
        <v/>
      </c>
      <c r="D1795" s="57" t="s">
        <v>158</v>
      </c>
      <c r="E1795" s="59" t="str">
        <f aca="false">IF(L1795="","",IF(INDEX(ポート振替表!$O$5:$O$3507,$L1795)="","(未設定)",INDEX(ポート振替表!$O$5:$O$3507,$L1795)&amp;""))</f>
        <v/>
      </c>
      <c r="F1795" s="52" t="str">
        <f aca="false">IF(L1795="","",INDEX(ポート振替表!$K$5:$K$3507,$L1795)&amp;" "&amp;INDEX(ポート振替表!$L$5:$L$3507,$L1795)&amp;"  ⇔  "&amp;INDEX(ポート振替表!$H$5:$H$3507,$L1795)&amp;" "&amp;INDEX(ポート振替表!$I$5:$I$3507,$L1795))</f>
        <v/>
      </c>
      <c r="G1795" s="57" t="s">
        <v>158</v>
      </c>
      <c r="H1795" s="32" t="str">
        <f aca="false">IF(L1795="","",INDEX(ポート振替表!$N$5:$N$3507,$L1795)&amp;"")</f>
        <v/>
      </c>
      <c r="I1795" s="32" t="str">
        <f aca="false">IF(L1795="","",INDEX(ポート振替表!$P$5:$P$3507,$L1795)&amp;"")</f>
        <v/>
      </c>
      <c r="J1795" s="60" t="str">
        <f aca="false">IF(L1795="","",INDEX(ポート振替表!$M$5:$M$3507,$L1795)&amp;"")</f>
        <v/>
      </c>
      <c r="K1795" s="52" t="str">
        <f aca="false">IF(L1795="","",E1795&amp;CHAR(10)&amp;INDEX(ポート振替表!$K$5:$K$3507,$L1795)&amp;" "&amp;INDEX(ポート振替表!$L$5:$L$3507,$L1795)&amp;CHAR(10)&amp;"⇔ "&amp;INDEX(ポート振替表!$H$5:$H$3507,$L1795)&amp;" "&amp;INDEX(ポート振替表!$I$5:$I$3507,$L1795))</f>
        <v/>
      </c>
      <c r="L1795" s="47" t="str">
        <f aca="false">IFERROR(MATCH(ROW()-4,ポート振替表!$V$5:$V$3507,0),"")</f>
        <v/>
      </c>
    </row>
    <row r="1796" customFormat="false" ht="16.4" hidden="false" customHeight="false" outlineLevel="0" collapsed="false">
      <c r="A1796" s="32" t="str">
        <f aca="false">IF(L1796="","",ROW()-4)</f>
        <v/>
      </c>
      <c r="B1796" s="58" t="str">
        <f aca="false">IF(L1796="","",IF(INDEX(ポート振替表!$W$5:$W$3507,$L1796)="","(なし)",INDEX(ポート振替表!$W$5:$W$3507,$L1796)&amp;""))</f>
        <v/>
      </c>
      <c r="C1796" s="52" t="str">
        <f aca="false">IF(L1796="","",INDEX(ポート振替表!$B$5:$B$3507,$L1796)&amp;" "&amp;INDEX(ポート振替表!$C$5:$C$3507,$L1796)&amp;"  ⇔  "&amp;INDEX(ポート振替表!$H$5:$H$3507,$L1796)&amp;" "&amp;INDEX(ポート振替表!$I$5:$I$3507,$L1796))</f>
        <v/>
      </c>
      <c r="D1796" s="57" t="s">
        <v>158</v>
      </c>
      <c r="E1796" s="59" t="str">
        <f aca="false">IF(L1796="","",IF(INDEX(ポート振替表!$O$5:$O$3507,$L1796)="","(未設定)",INDEX(ポート振替表!$O$5:$O$3507,$L1796)&amp;""))</f>
        <v/>
      </c>
      <c r="F1796" s="52" t="str">
        <f aca="false">IF(L1796="","",INDEX(ポート振替表!$K$5:$K$3507,$L1796)&amp;" "&amp;INDEX(ポート振替表!$L$5:$L$3507,$L1796)&amp;"  ⇔  "&amp;INDEX(ポート振替表!$H$5:$H$3507,$L1796)&amp;" "&amp;INDEX(ポート振替表!$I$5:$I$3507,$L1796))</f>
        <v/>
      </c>
      <c r="G1796" s="57" t="s">
        <v>158</v>
      </c>
      <c r="H1796" s="32" t="str">
        <f aca="false">IF(L1796="","",INDEX(ポート振替表!$N$5:$N$3507,$L1796)&amp;"")</f>
        <v/>
      </c>
      <c r="I1796" s="32" t="str">
        <f aca="false">IF(L1796="","",INDEX(ポート振替表!$P$5:$P$3507,$L1796)&amp;"")</f>
        <v/>
      </c>
      <c r="J1796" s="60" t="str">
        <f aca="false">IF(L1796="","",INDEX(ポート振替表!$M$5:$M$3507,$L1796)&amp;"")</f>
        <v/>
      </c>
      <c r="K1796" s="52" t="str">
        <f aca="false">IF(L1796="","",E1796&amp;CHAR(10)&amp;INDEX(ポート振替表!$K$5:$K$3507,$L1796)&amp;" "&amp;INDEX(ポート振替表!$L$5:$L$3507,$L1796)&amp;CHAR(10)&amp;"⇔ "&amp;INDEX(ポート振替表!$H$5:$H$3507,$L1796)&amp;" "&amp;INDEX(ポート振替表!$I$5:$I$3507,$L1796))</f>
        <v/>
      </c>
      <c r="L1796" s="47" t="str">
        <f aca="false">IFERROR(MATCH(ROW()-4,ポート振替表!$V$5:$V$3507,0),"")</f>
        <v/>
      </c>
    </row>
    <row r="1797" customFormat="false" ht="16.4" hidden="false" customHeight="false" outlineLevel="0" collapsed="false">
      <c r="A1797" s="32" t="str">
        <f aca="false">IF(L1797="","",ROW()-4)</f>
        <v/>
      </c>
      <c r="B1797" s="58" t="str">
        <f aca="false">IF(L1797="","",IF(INDEX(ポート振替表!$W$5:$W$3507,$L1797)="","(なし)",INDEX(ポート振替表!$W$5:$W$3507,$L1797)&amp;""))</f>
        <v/>
      </c>
      <c r="C1797" s="52" t="str">
        <f aca="false">IF(L1797="","",INDEX(ポート振替表!$B$5:$B$3507,$L1797)&amp;" "&amp;INDEX(ポート振替表!$C$5:$C$3507,$L1797)&amp;"  ⇔  "&amp;INDEX(ポート振替表!$H$5:$H$3507,$L1797)&amp;" "&amp;INDEX(ポート振替表!$I$5:$I$3507,$L1797))</f>
        <v/>
      </c>
      <c r="D1797" s="57" t="s">
        <v>158</v>
      </c>
      <c r="E1797" s="59" t="str">
        <f aca="false">IF(L1797="","",IF(INDEX(ポート振替表!$O$5:$O$3507,$L1797)="","(未設定)",INDEX(ポート振替表!$O$5:$O$3507,$L1797)&amp;""))</f>
        <v/>
      </c>
      <c r="F1797" s="52" t="str">
        <f aca="false">IF(L1797="","",INDEX(ポート振替表!$K$5:$K$3507,$L1797)&amp;" "&amp;INDEX(ポート振替表!$L$5:$L$3507,$L1797)&amp;"  ⇔  "&amp;INDEX(ポート振替表!$H$5:$H$3507,$L1797)&amp;" "&amp;INDEX(ポート振替表!$I$5:$I$3507,$L1797))</f>
        <v/>
      </c>
      <c r="G1797" s="57" t="s">
        <v>158</v>
      </c>
      <c r="H1797" s="32" t="str">
        <f aca="false">IF(L1797="","",INDEX(ポート振替表!$N$5:$N$3507,$L1797)&amp;"")</f>
        <v/>
      </c>
      <c r="I1797" s="32" t="str">
        <f aca="false">IF(L1797="","",INDEX(ポート振替表!$P$5:$P$3507,$L1797)&amp;"")</f>
        <v/>
      </c>
      <c r="J1797" s="60" t="str">
        <f aca="false">IF(L1797="","",INDEX(ポート振替表!$M$5:$M$3507,$L1797)&amp;"")</f>
        <v/>
      </c>
      <c r="K1797" s="52" t="str">
        <f aca="false">IF(L1797="","",E1797&amp;CHAR(10)&amp;INDEX(ポート振替表!$K$5:$K$3507,$L1797)&amp;" "&amp;INDEX(ポート振替表!$L$5:$L$3507,$L1797)&amp;CHAR(10)&amp;"⇔ "&amp;INDEX(ポート振替表!$H$5:$H$3507,$L1797)&amp;" "&amp;INDEX(ポート振替表!$I$5:$I$3507,$L1797))</f>
        <v/>
      </c>
      <c r="L1797" s="47" t="str">
        <f aca="false">IFERROR(MATCH(ROW()-4,ポート振替表!$V$5:$V$3507,0),"")</f>
        <v/>
      </c>
    </row>
    <row r="1798" customFormat="false" ht="16.4" hidden="false" customHeight="false" outlineLevel="0" collapsed="false">
      <c r="A1798" s="32" t="str">
        <f aca="false">IF(L1798="","",ROW()-4)</f>
        <v/>
      </c>
      <c r="B1798" s="58" t="str">
        <f aca="false">IF(L1798="","",IF(INDEX(ポート振替表!$W$5:$W$3507,$L1798)="","(なし)",INDEX(ポート振替表!$W$5:$W$3507,$L1798)&amp;""))</f>
        <v/>
      </c>
      <c r="C1798" s="52" t="str">
        <f aca="false">IF(L1798="","",INDEX(ポート振替表!$B$5:$B$3507,$L1798)&amp;" "&amp;INDEX(ポート振替表!$C$5:$C$3507,$L1798)&amp;"  ⇔  "&amp;INDEX(ポート振替表!$H$5:$H$3507,$L1798)&amp;" "&amp;INDEX(ポート振替表!$I$5:$I$3507,$L1798))</f>
        <v/>
      </c>
      <c r="D1798" s="57" t="s">
        <v>158</v>
      </c>
      <c r="E1798" s="59" t="str">
        <f aca="false">IF(L1798="","",IF(INDEX(ポート振替表!$O$5:$O$3507,$L1798)="","(未設定)",INDEX(ポート振替表!$O$5:$O$3507,$L1798)&amp;""))</f>
        <v/>
      </c>
      <c r="F1798" s="52" t="str">
        <f aca="false">IF(L1798="","",INDEX(ポート振替表!$K$5:$K$3507,$L1798)&amp;" "&amp;INDEX(ポート振替表!$L$5:$L$3507,$L1798)&amp;"  ⇔  "&amp;INDEX(ポート振替表!$H$5:$H$3507,$L1798)&amp;" "&amp;INDEX(ポート振替表!$I$5:$I$3507,$L1798))</f>
        <v/>
      </c>
      <c r="G1798" s="57" t="s">
        <v>158</v>
      </c>
      <c r="H1798" s="32" t="str">
        <f aca="false">IF(L1798="","",INDEX(ポート振替表!$N$5:$N$3507,$L1798)&amp;"")</f>
        <v/>
      </c>
      <c r="I1798" s="32" t="str">
        <f aca="false">IF(L1798="","",INDEX(ポート振替表!$P$5:$P$3507,$L1798)&amp;"")</f>
        <v/>
      </c>
      <c r="J1798" s="60" t="str">
        <f aca="false">IF(L1798="","",INDEX(ポート振替表!$M$5:$M$3507,$L1798)&amp;"")</f>
        <v/>
      </c>
      <c r="K1798" s="52" t="str">
        <f aca="false">IF(L1798="","",E1798&amp;CHAR(10)&amp;INDEX(ポート振替表!$K$5:$K$3507,$L1798)&amp;" "&amp;INDEX(ポート振替表!$L$5:$L$3507,$L1798)&amp;CHAR(10)&amp;"⇔ "&amp;INDEX(ポート振替表!$H$5:$H$3507,$L1798)&amp;" "&amp;INDEX(ポート振替表!$I$5:$I$3507,$L1798))</f>
        <v/>
      </c>
      <c r="L1798" s="47" t="str">
        <f aca="false">IFERROR(MATCH(ROW()-4,ポート振替表!$V$5:$V$3507,0),"")</f>
        <v/>
      </c>
    </row>
    <row r="1799" customFormat="false" ht="16.4" hidden="false" customHeight="false" outlineLevel="0" collapsed="false">
      <c r="A1799" s="32" t="str">
        <f aca="false">IF(L1799="","",ROW()-4)</f>
        <v/>
      </c>
      <c r="B1799" s="58" t="str">
        <f aca="false">IF(L1799="","",IF(INDEX(ポート振替表!$W$5:$W$3507,$L1799)="","(なし)",INDEX(ポート振替表!$W$5:$W$3507,$L1799)&amp;""))</f>
        <v/>
      </c>
      <c r="C1799" s="52" t="str">
        <f aca="false">IF(L1799="","",INDEX(ポート振替表!$B$5:$B$3507,$L1799)&amp;" "&amp;INDEX(ポート振替表!$C$5:$C$3507,$L1799)&amp;"  ⇔  "&amp;INDEX(ポート振替表!$H$5:$H$3507,$L1799)&amp;" "&amp;INDEX(ポート振替表!$I$5:$I$3507,$L1799))</f>
        <v/>
      </c>
      <c r="D1799" s="57" t="s">
        <v>158</v>
      </c>
      <c r="E1799" s="59" t="str">
        <f aca="false">IF(L1799="","",IF(INDEX(ポート振替表!$O$5:$O$3507,$L1799)="","(未設定)",INDEX(ポート振替表!$O$5:$O$3507,$L1799)&amp;""))</f>
        <v/>
      </c>
      <c r="F1799" s="52" t="str">
        <f aca="false">IF(L1799="","",INDEX(ポート振替表!$K$5:$K$3507,$L1799)&amp;" "&amp;INDEX(ポート振替表!$L$5:$L$3507,$L1799)&amp;"  ⇔  "&amp;INDEX(ポート振替表!$H$5:$H$3507,$L1799)&amp;" "&amp;INDEX(ポート振替表!$I$5:$I$3507,$L1799))</f>
        <v/>
      </c>
      <c r="G1799" s="57" t="s">
        <v>158</v>
      </c>
      <c r="H1799" s="32" t="str">
        <f aca="false">IF(L1799="","",INDEX(ポート振替表!$N$5:$N$3507,$L1799)&amp;"")</f>
        <v/>
      </c>
      <c r="I1799" s="32" t="str">
        <f aca="false">IF(L1799="","",INDEX(ポート振替表!$P$5:$P$3507,$L1799)&amp;"")</f>
        <v/>
      </c>
      <c r="J1799" s="60" t="str">
        <f aca="false">IF(L1799="","",INDEX(ポート振替表!$M$5:$M$3507,$L1799)&amp;"")</f>
        <v/>
      </c>
      <c r="K1799" s="52" t="str">
        <f aca="false">IF(L1799="","",E1799&amp;CHAR(10)&amp;INDEX(ポート振替表!$K$5:$K$3507,$L1799)&amp;" "&amp;INDEX(ポート振替表!$L$5:$L$3507,$L1799)&amp;CHAR(10)&amp;"⇔ "&amp;INDEX(ポート振替表!$H$5:$H$3507,$L1799)&amp;" "&amp;INDEX(ポート振替表!$I$5:$I$3507,$L1799))</f>
        <v/>
      </c>
      <c r="L1799" s="47" t="str">
        <f aca="false">IFERROR(MATCH(ROW()-4,ポート振替表!$V$5:$V$3507,0),"")</f>
        <v/>
      </c>
    </row>
    <row r="1800" customFormat="false" ht="16.4" hidden="false" customHeight="false" outlineLevel="0" collapsed="false">
      <c r="A1800" s="32" t="str">
        <f aca="false">IF(L1800="","",ROW()-4)</f>
        <v/>
      </c>
      <c r="B1800" s="58" t="str">
        <f aca="false">IF(L1800="","",IF(INDEX(ポート振替表!$W$5:$W$3507,$L1800)="","(なし)",INDEX(ポート振替表!$W$5:$W$3507,$L1800)&amp;""))</f>
        <v/>
      </c>
      <c r="C1800" s="52" t="str">
        <f aca="false">IF(L1800="","",INDEX(ポート振替表!$B$5:$B$3507,$L1800)&amp;" "&amp;INDEX(ポート振替表!$C$5:$C$3507,$L1800)&amp;"  ⇔  "&amp;INDEX(ポート振替表!$H$5:$H$3507,$L1800)&amp;" "&amp;INDEX(ポート振替表!$I$5:$I$3507,$L1800))</f>
        <v/>
      </c>
      <c r="D1800" s="57" t="s">
        <v>158</v>
      </c>
      <c r="E1800" s="59" t="str">
        <f aca="false">IF(L1800="","",IF(INDEX(ポート振替表!$O$5:$O$3507,$L1800)="","(未設定)",INDEX(ポート振替表!$O$5:$O$3507,$L1800)&amp;""))</f>
        <v/>
      </c>
      <c r="F1800" s="52" t="str">
        <f aca="false">IF(L1800="","",INDEX(ポート振替表!$K$5:$K$3507,$L1800)&amp;" "&amp;INDEX(ポート振替表!$L$5:$L$3507,$L1800)&amp;"  ⇔  "&amp;INDEX(ポート振替表!$H$5:$H$3507,$L1800)&amp;" "&amp;INDEX(ポート振替表!$I$5:$I$3507,$L1800))</f>
        <v/>
      </c>
      <c r="G1800" s="57" t="s">
        <v>158</v>
      </c>
      <c r="H1800" s="32" t="str">
        <f aca="false">IF(L1800="","",INDEX(ポート振替表!$N$5:$N$3507,$L1800)&amp;"")</f>
        <v/>
      </c>
      <c r="I1800" s="32" t="str">
        <f aca="false">IF(L1800="","",INDEX(ポート振替表!$P$5:$P$3507,$L1800)&amp;"")</f>
        <v/>
      </c>
      <c r="J1800" s="60" t="str">
        <f aca="false">IF(L1800="","",INDEX(ポート振替表!$M$5:$M$3507,$L1800)&amp;"")</f>
        <v/>
      </c>
      <c r="K1800" s="52" t="str">
        <f aca="false">IF(L1800="","",E1800&amp;CHAR(10)&amp;INDEX(ポート振替表!$K$5:$K$3507,$L1800)&amp;" "&amp;INDEX(ポート振替表!$L$5:$L$3507,$L1800)&amp;CHAR(10)&amp;"⇔ "&amp;INDEX(ポート振替表!$H$5:$H$3507,$L1800)&amp;" "&amp;INDEX(ポート振替表!$I$5:$I$3507,$L1800))</f>
        <v/>
      </c>
      <c r="L1800" s="47" t="str">
        <f aca="false">IFERROR(MATCH(ROW()-4,ポート振替表!$V$5:$V$3507,0),"")</f>
        <v/>
      </c>
    </row>
    <row r="1801" customFormat="false" ht="16.4" hidden="false" customHeight="false" outlineLevel="0" collapsed="false">
      <c r="A1801" s="32" t="str">
        <f aca="false">IF(L1801="","",ROW()-4)</f>
        <v/>
      </c>
      <c r="B1801" s="58" t="str">
        <f aca="false">IF(L1801="","",IF(INDEX(ポート振替表!$W$5:$W$3507,$L1801)="","(なし)",INDEX(ポート振替表!$W$5:$W$3507,$L1801)&amp;""))</f>
        <v/>
      </c>
      <c r="C1801" s="52" t="str">
        <f aca="false">IF(L1801="","",INDEX(ポート振替表!$B$5:$B$3507,$L1801)&amp;" "&amp;INDEX(ポート振替表!$C$5:$C$3507,$L1801)&amp;"  ⇔  "&amp;INDEX(ポート振替表!$H$5:$H$3507,$L1801)&amp;" "&amp;INDEX(ポート振替表!$I$5:$I$3507,$L1801))</f>
        <v/>
      </c>
      <c r="D1801" s="57" t="s">
        <v>158</v>
      </c>
      <c r="E1801" s="59" t="str">
        <f aca="false">IF(L1801="","",IF(INDEX(ポート振替表!$O$5:$O$3507,$L1801)="","(未設定)",INDEX(ポート振替表!$O$5:$O$3507,$L1801)&amp;""))</f>
        <v/>
      </c>
      <c r="F1801" s="52" t="str">
        <f aca="false">IF(L1801="","",INDEX(ポート振替表!$K$5:$K$3507,$L1801)&amp;" "&amp;INDEX(ポート振替表!$L$5:$L$3507,$L1801)&amp;"  ⇔  "&amp;INDEX(ポート振替表!$H$5:$H$3507,$L1801)&amp;" "&amp;INDEX(ポート振替表!$I$5:$I$3507,$L1801))</f>
        <v/>
      </c>
      <c r="G1801" s="57" t="s">
        <v>158</v>
      </c>
      <c r="H1801" s="32" t="str">
        <f aca="false">IF(L1801="","",INDEX(ポート振替表!$N$5:$N$3507,$L1801)&amp;"")</f>
        <v/>
      </c>
      <c r="I1801" s="32" t="str">
        <f aca="false">IF(L1801="","",INDEX(ポート振替表!$P$5:$P$3507,$L1801)&amp;"")</f>
        <v/>
      </c>
      <c r="J1801" s="60" t="str">
        <f aca="false">IF(L1801="","",INDEX(ポート振替表!$M$5:$M$3507,$L1801)&amp;"")</f>
        <v/>
      </c>
      <c r="K1801" s="52" t="str">
        <f aca="false">IF(L1801="","",E1801&amp;CHAR(10)&amp;INDEX(ポート振替表!$K$5:$K$3507,$L1801)&amp;" "&amp;INDEX(ポート振替表!$L$5:$L$3507,$L1801)&amp;CHAR(10)&amp;"⇔ "&amp;INDEX(ポート振替表!$H$5:$H$3507,$L1801)&amp;" "&amp;INDEX(ポート振替表!$I$5:$I$3507,$L1801))</f>
        <v/>
      </c>
      <c r="L1801" s="47" t="str">
        <f aca="false">IFERROR(MATCH(ROW()-4,ポート振替表!$V$5:$V$3507,0),"")</f>
        <v/>
      </c>
    </row>
    <row r="1802" customFormat="false" ht="16.4" hidden="false" customHeight="false" outlineLevel="0" collapsed="false">
      <c r="A1802" s="32" t="str">
        <f aca="false">IF(L1802="","",ROW()-4)</f>
        <v/>
      </c>
      <c r="B1802" s="58" t="str">
        <f aca="false">IF(L1802="","",IF(INDEX(ポート振替表!$W$5:$W$3507,$L1802)="","(なし)",INDEX(ポート振替表!$W$5:$W$3507,$L1802)&amp;""))</f>
        <v/>
      </c>
      <c r="C1802" s="52" t="str">
        <f aca="false">IF(L1802="","",INDEX(ポート振替表!$B$5:$B$3507,$L1802)&amp;" "&amp;INDEX(ポート振替表!$C$5:$C$3507,$L1802)&amp;"  ⇔  "&amp;INDEX(ポート振替表!$H$5:$H$3507,$L1802)&amp;" "&amp;INDEX(ポート振替表!$I$5:$I$3507,$L1802))</f>
        <v/>
      </c>
      <c r="D1802" s="57" t="s">
        <v>158</v>
      </c>
      <c r="E1802" s="59" t="str">
        <f aca="false">IF(L1802="","",IF(INDEX(ポート振替表!$O$5:$O$3507,$L1802)="","(未設定)",INDEX(ポート振替表!$O$5:$O$3507,$L1802)&amp;""))</f>
        <v/>
      </c>
      <c r="F1802" s="52" t="str">
        <f aca="false">IF(L1802="","",INDEX(ポート振替表!$K$5:$K$3507,$L1802)&amp;" "&amp;INDEX(ポート振替表!$L$5:$L$3507,$L1802)&amp;"  ⇔  "&amp;INDEX(ポート振替表!$H$5:$H$3507,$L1802)&amp;" "&amp;INDEX(ポート振替表!$I$5:$I$3507,$L1802))</f>
        <v/>
      </c>
      <c r="G1802" s="57" t="s">
        <v>158</v>
      </c>
      <c r="H1802" s="32" t="str">
        <f aca="false">IF(L1802="","",INDEX(ポート振替表!$N$5:$N$3507,$L1802)&amp;"")</f>
        <v/>
      </c>
      <c r="I1802" s="32" t="str">
        <f aca="false">IF(L1802="","",INDEX(ポート振替表!$P$5:$P$3507,$L1802)&amp;"")</f>
        <v/>
      </c>
      <c r="J1802" s="60" t="str">
        <f aca="false">IF(L1802="","",INDEX(ポート振替表!$M$5:$M$3507,$L1802)&amp;"")</f>
        <v/>
      </c>
      <c r="K1802" s="52" t="str">
        <f aca="false">IF(L1802="","",E1802&amp;CHAR(10)&amp;INDEX(ポート振替表!$K$5:$K$3507,$L1802)&amp;" "&amp;INDEX(ポート振替表!$L$5:$L$3507,$L1802)&amp;CHAR(10)&amp;"⇔ "&amp;INDEX(ポート振替表!$H$5:$H$3507,$L1802)&amp;" "&amp;INDEX(ポート振替表!$I$5:$I$3507,$L1802))</f>
        <v/>
      </c>
      <c r="L1802" s="47" t="str">
        <f aca="false">IFERROR(MATCH(ROW()-4,ポート振替表!$V$5:$V$3507,0),"")</f>
        <v/>
      </c>
    </row>
    <row r="1803" customFormat="false" ht="16.4" hidden="false" customHeight="false" outlineLevel="0" collapsed="false">
      <c r="A1803" s="32" t="str">
        <f aca="false">IF(L1803="","",ROW()-4)</f>
        <v/>
      </c>
      <c r="B1803" s="58" t="str">
        <f aca="false">IF(L1803="","",IF(INDEX(ポート振替表!$W$5:$W$3507,$L1803)="","(なし)",INDEX(ポート振替表!$W$5:$W$3507,$L1803)&amp;""))</f>
        <v/>
      </c>
      <c r="C1803" s="52" t="str">
        <f aca="false">IF(L1803="","",INDEX(ポート振替表!$B$5:$B$3507,$L1803)&amp;" "&amp;INDEX(ポート振替表!$C$5:$C$3507,$L1803)&amp;"  ⇔  "&amp;INDEX(ポート振替表!$H$5:$H$3507,$L1803)&amp;" "&amp;INDEX(ポート振替表!$I$5:$I$3507,$L1803))</f>
        <v/>
      </c>
      <c r="D1803" s="57" t="s">
        <v>158</v>
      </c>
      <c r="E1803" s="59" t="str">
        <f aca="false">IF(L1803="","",IF(INDEX(ポート振替表!$O$5:$O$3507,$L1803)="","(未設定)",INDEX(ポート振替表!$O$5:$O$3507,$L1803)&amp;""))</f>
        <v/>
      </c>
      <c r="F1803" s="52" t="str">
        <f aca="false">IF(L1803="","",INDEX(ポート振替表!$K$5:$K$3507,$L1803)&amp;" "&amp;INDEX(ポート振替表!$L$5:$L$3507,$L1803)&amp;"  ⇔  "&amp;INDEX(ポート振替表!$H$5:$H$3507,$L1803)&amp;" "&amp;INDEX(ポート振替表!$I$5:$I$3507,$L1803))</f>
        <v/>
      </c>
      <c r="G1803" s="57" t="s">
        <v>158</v>
      </c>
      <c r="H1803" s="32" t="str">
        <f aca="false">IF(L1803="","",INDEX(ポート振替表!$N$5:$N$3507,$L1803)&amp;"")</f>
        <v/>
      </c>
      <c r="I1803" s="32" t="str">
        <f aca="false">IF(L1803="","",INDEX(ポート振替表!$P$5:$P$3507,$L1803)&amp;"")</f>
        <v/>
      </c>
      <c r="J1803" s="60" t="str">
        <f aca="false">IF(L1803="","",INDEX(ポート振替表!$M$5:$M$3507,$L1803)&amp;"")</f>
        <v/>
      </c>
      <c r="K1803" s="52" t="str">
        <f aca="false">IF(L1803="","",E1803&amp;CHAR(10)&amp;INDEX(ポート振替表!$K$5:$K$3507,$L1803)&amp;" "&amp;INDEX(ポート振替表!$L$5:$L$3507,$L1803)&amp;CHAR(10)&amp;"⇔ "&amp;INDEX(ポート振替表!$H$5:$H$3507,$L1803)&amp;" "&amp;INDEX(ポート振替表!$I$5:$I$3507,$L1803))</f>
        <v/>
      </c>
      <c r="L1803" s="47" t="str">
        <f aca="false">IFERROR(MATCH(ROW()-4,ポート振替表!$V$5:$V$3507,0),"")</f>
        <v/>
      </c>
    </row>
    <row r="1804" customFormat="false" ht="16.4" hidden="false" customHeight="false" outlineLevel="0" collapsed="false">
      <c r="A1804" s="32" t="str">
        <f aca="false">IF(L1804="","",ROW()-4)</f>
        <v/>
      </c>
      <c r="B1804" s="58" t="str">
        <f aca="false">IF(L1804="","",IF(INDEX(ポート振替表!$W$5:$W$3507,$L1804)="","(なし)",INDEX(ポート振替表!$W$5:$W$3507,$L1804)&amp;""))</f>
        <v/>
      </c>
      <c r="C1804" s="52" t="str">
        <f aca="false">IF(L1804="","",INDEX(ポート振替表!$B$5:$B$3507,$L1804)&amp;" "&amp;INDEX(ポート振替表!$C$5:$C$3507,$L1804)&amp;"  ⇔  "&amp;INDEX(ポート振替表!$H$5:$H$3507,$L1804)&amp;" "&amp;INDEX(ポート振替表!$I$5:$I$3507,$L1804))</f>
        <v/>
      </c>
      <c r="D1804" s="57" t="s">
        <v>158</v>
      </c>
      <c r="E1804" s="59" t="str">
        <f aca="false">IF(L1804="","",IF(INDEX(ポート振替表!$O$5:$O$3507,$L1804)="","(未設定)",INDEX(ポート振替表!$O$5:$O$3507,$L1804)&amp;""))</f>
        <v/>
      </c>
      <c r="F1804" s="52" t="str">
        <f aca="false">IF(L1804="","",INDEX(ポート振替表!$K$5:$K$3507,$L1804)&amp;" "&amp;INDEX(ポート振替表!$L$5:$L$3507,$L1804)&amp;"  ⇔  "&amp;INDEX(ポート振替表!$H$5:$H$3507,$L1804)&amp;" "&amp;INDEX(ポート振替表!$I$5:$I$3507,$L1804))</f>
        <v/>
      </c>
      <c r="G1804" s="57" t="s">
        <v>158</v>
      </c>
      <c r="H1804" s="32" t="str">
        <f aca="false">IF(L1804="","",INDEX(ポート振替表!$N$5:$N$3507,$L1804)&amp;"")</f>
        <v/>
      </c>
      <c r="I1804" s="32" t="str">
        <f aca="false">IF(L1804="","",INDEX(ポート振替表!$P$5:$P$3507,$L1804)&amp;"")</f>
        <v/>
      </c>
      <c r="J1804" s="60" t="str">
        <f aca="false">IF(L1804="","",INDEX(ポート振替表!$M$5:$M$3507,$L1804)&amp;"")</f>
        <v/>
      </c>
      <c r="K1804" s="52" t="str">
        <f aca="false">IF(L1804="","",E1804&amp;CHAR(10)&amp;INDEX(ポート振替表!$K$5:$K$3507,$L1804)&amp;" "&amp;INDEX(ポート振替表!$L$5:$L$3507,$L1804)&amp;CHAR(10)&amp;"⇔ "&amp;INDEX(ポート振替表!$H$5:$H$3507,$L1804)&amp;" "&amp;INDEX(ポート振替表!$I$5:$I$3507,$L1804))</f>
        <v/>
      </c>
      <c r="L1804" s="47" t="str">
        <f aca="false">IFERROR(MATCH(ROW()-4,ポート振替表!$V$5:$V$3507,0),"")</f>
        <v/>
      </c>
    </row>
    <row r="1805" customFormat="false" ht="16.4" hidden="false" customHeight="false" outlineLevel="0" collapsed="false">
      <c r="A1805" s="32" t="str">
        <f aca="false">IF(L1805="","",ROW()-4)</f>
        <v/>
      </c>
      <c r="B1805" s="58" t="str">
        <f aca="false">IF(L1805="","",IF(INDEX(ポート振替表!$W$5:$W$3507,$L1805)="","(なし)",INDEX(ポート振替表!$W$5:$W$3507,$L1805)&amp;""))</f>
        <v/>
      </c>
      <c r="C1805" s="52" t="str">
        <f aca="false">IF(L1805="","",INDEX(ポート振替表!$B$5:$B$3507,$L1805)&amp;" "&amp;INDEX(ポート振替表!$C$5:$C$3507,$L1805)&amp;"  ⇔  "&amp;INDEX(ポート振替表!$H$5:$H$3507,$L1805)&amp;" "&amp;INDEX(ポート振替表!$I$5:$I$3507,$L1805))</f>
        <v/>
      </c>
      <c r="D1805" s="57" t="s">
        <v>158</v>
      </c>
      <c r="E1805" s="59" t="str">
        <f aca="false">IF(L1805="","",IF(INDEX(ポート振替表!$O$5:$O$3507,$L1805)="","(未設定)",INDEX(ポート振替表!$O$5:$O$3507,$L1805)&amp;""))</f>
        <v/>
      </c>
      <c r="F1805" s="52" t="str">
        <f aca="false">IF(L1805="","",INDEX(ポート振替表!$K$5:$K$3507,$L1805)&amp;" "&amp;INDEX(ポート振替表!$L$5:$L$3507,$L1805)&amp;"  ⇔  "&amp;INDEX(ポート振替表!$H$5:$H$3507,$L1805)&amp;" "&amp;INDEX(ポート振替表!$I$5:$I$3507,$L1805))</f>
        <v/>
      </c>
      <c r="G1805" s="57" t="s">
        <v>158</v>
      </c>
      <c r="H1805" s="32" t="str">
        <f aca="false">IF(L1805="","",INDEX(ポート振替表!$N$5:$N$3507,$L1805)&amp;"")</f>
        <v/>
      </c>
      <c r="I1805" s="32" t="str">
        <f aca="false">IF(L1805="","",INDEX(ポート振替表!$P$5:$P$3507,$L1805)&amp;"")</f>
        <v/>
      </c>
      <c r="J1805" s="60" t="str">
        <f aca="false">IF(L1805="","",INDEX(ポート振替表!$M$5:$M$3507,$L1805)&amp;"")</f>
        <v/>
      </c>
      <c r="K1805" s="52" t="str">
        <f aca="false">IF(L1805="","",E1805&amp;CHAR(10)&amp;INDEX(ポート振替表!$K$5:$K$3507,$L1805)&amp;" "&amp;INDEX(ポート振替表!$L$5:$L$3507,$L1805)&amp;CHAR(10)&amp;"⇔ "&amp;INDEX(ポート振替表!$H$5:$H$3507,$L1805)&amp;" "&amp;INDEX(ポート振替表!$I$5:$I$3507,$L1805))</f>
        <v/>
      </c>
      <c r="L1805" s="47" t="str">
        <f aca="false">IFERROR(MATCH(ROW()-4,ポート振替表!$V$5:$V$3507,0),"")</f>
        <v/>
      </c>
    </row>
    <row r="1806" customFormat="false" ht="16.4" hidden="false" customHeight="false" outlineLevel="0" collapsed="false">
      <c r="A1806" s="32" t="str">
        <f aca="false">IF(L1806="","",ROW()-4)</f>
        <v/>
      </c>
      <c r="B1806" s="58" t="str">
        <f aca="false">IF(L1806="","",IF(INDEX(ポート振替表!$W$5:$W$3507,$L1806)="","(なし)",INDEX(ポート振替表!$W$5:$W$3507,$L1806)&amp;""))</f>
        <v/>
      </c>
      <c r="C1806" s="52" t="str">
        <f aca="false">IF(L1806="","",INDEX(ポート振替表!$B$5:$B$3507,$L1806)&amp;" "&amp;INDEX(ポート振替表!$C$5:$C$3507,$L1806)&amp;"  ⇔  "&amp;INDEX(ポート振替表!$H$5:$H$3507,$L1806)&amp;" "&amp;INDEX(ポート振替表!$I$5:$I$3507,$L1806))</f>
        <v/>
      </c>
      <c r="D1806" s="57" t="s">
        <v>158</v>
      </c>
      <c r="E1806" s="59" t="str">
        <f aca="false">IF(L1806="","",IF(INDEX(ポート振替表!$O$5:$O$3507,$L1806)="","(未設定)",INDEX(ポート振替表!$O$5:$O$3507,$L1806)&amp;""))</f>
        <v/>
      </c>
      <c r="F1806" s="52" t="str">
        <f aca="false">IF(L1806="","",INDEX(ポート振替表!$K$5:$K$3507,$L1806)&amp;" "&amp;INDEX(ポート振替表!$L$5:$L$3507,$L1806)&amp;"  ⇔  "&amp;INDEX(ポート振替表!$H$5:$H$3507,$L1806)&amp;" "&amp;INDEX(ポート振替表!$I$5:$I$3507,$L1806))</f>
        <v/>
      </c>
      <c r="G1806" s="57" t="s">
        <v>158</v>
      </c>
      <c r="H1806" s="32" t="str">
        <f aca="false">IF(L1806="","",INDEX(ポート振替表!$N$5:$N$3507,$L1806)&amp;"")</f>
        <v/>
      </c>
      <c r="I1806" s="32" t="str">
        <f aca="false">IF(L1806="","",INDEX(ポート振替表!$P$5:$P$3507,$L1806)&amp;"")</f>
        <v/>
      </c>
      <c r="J1806" s="60" t="str">
        <f aca="false">IF(L1806="","",INDEX(ポート振替表!$M$5:$M$3507,$L1806)&amp;"")</f>
        <v/>
      </c>
      <c r="K1806" s="52" t="str">
        <f aca="false">IF(L1806="","",E1806&amp;CHAR(10)&amp;INDEX(ポート振替表!$K$5:$K$3507,$L1806)&amp;" "&amp;INDEX(ポート振替表!$L$5:$L$3507,$L1806)&amp;CHAR(10)&amp;"⇔ "&amp;INDEX(ポート振替表!$H$5:$H$3507,$L1806)&amp;" "&amp;INDEX(ポート振替表!$I$5:$I$3507,$L1806))</f>
        <v/>
      </c>
      <c r="L1806" s="47" t="str">
        <f aca="false">IFERROR(MATCH(ROW()-4,ポート振替表!$V$5:$V$3507,0),"")</f>
        <v/>
      </c>
    </row>
    <row r="1807" customFormat="false" ht="16.4" hidden="false" customHeight="false" outlineLevel="0" collapsed="false">
      <c r="A1807" s="32" t="str">
        <f aca="false">IF(L1807="","",ROW()-4)</f>
        <v/>
      </c>
      <c r="B1807" s="58" t="str">
        <f aca="false">IF(L1807="","",IF(INDEX(ポート振替表!$W$5:$W$3507,$L1807)="","(なし)",INDEX(ポート振替表!$W$5:$W$3507,$L1807)&amp;""))</f>
        <v/>
      </c>
      <c r="C1807" s="52" t="str">
        <f aca="false">IF(L1807="","",INDEX(ポート振替表!$B$5:$B$3507,$L1807)&amp;" "&amp;INDEX(ポート振替表!$C$5:$C$3507,$L1807)&amp;"  ⇔  "&amp;INDEX(ポート振替表!$H$5:$H$3507,$L1807)&amp;" "&amp;INDEX(ポート振替表!$I$5:$I$3507,$L1807))</f>
        <v/>
      </c>
      <c r="D1807" s="57" t="s">
        <v>158</v>
      </c>
      <c r="E1807" s="59" t="str">
        <f aca="false">IF(L1807="","",IF(INDEX(ポート振替表!$O$5:$O$3507,$L1807)="","(未設定)",INDEX(ポート振替表!$O$5:$O$3507,$L1807)&amp;""))</f>
        <v/>
      </c>
      <c r="F1807" s="52" t="str">
        <f aca="false">IF(L1807="","",INDEX(ポート振替表!$K$5:$K$3507,$L1807)&amp;" "&amp;INDEX(ポート振替表!$L$5:$L$3507,$L1807)&amp;"  ⇔  "&amp;INDEX(ポート振替表!$H$5:$H$3507,$L1807)&amp;" "&amp;INDEX(ポート振替表!$I$5:$I$3507,$L1807))</f>
        <v/>
      </c>
      <c r="G1807" s="57" t="s">
        <v>158</v>
      </c>
      <c r="H1807" s="32" t="str">
        <f aca="false">IF(L1807="","",INDEX(ポート振替表!$N$5:$N$3507,$L1807)&amp;"")</f>
        <v/>
      </c>
      <c r="I1807" s="32" t="str">
        <f aca="false">IF(L1807="","",INDEX(ポート振替表!$P$5:$P$3507,$L1807)&amp;"")</f>
        <v/>
      </c>
      <c r="J1807" s="60" t="str">
        <f aca="false">IF(L1807="","",INDEX(ポート振替表!$M$5:$M$3507,$L1807)&amp;"")</f>
        <v/>
      </c>
      <c r="K1807" s="52" t="str">
        <f aca="false">IF(L1807="","",E1807&amp;CHAR(10)&amp;INDEX(ポート振替表!$K$5:$K$3507,$L1807)&amp;" "&amp;INDEX(ポート振替表!$L$5:$L$3507,$L1807)&amp;CHAR(10)&amp;"⇔ "&amp;INDEX(ポート振替表!$H$5:$H$3507,$L1807)&amp;" "&amp;INDEX(ポート振替表!$I$5:$I$3507,$L1807))</f>
        <v/>
      </c>
      <c r="L1807" s="47" t="str">
        <f aca="false">IFERROR(MATCH(ROW()-4,ポート振替表!$V$5:$V$3507,0),"")</f>
        <v/>
      </c>
    </row>
    <row r="1808" customFormat="false" ht="16.4" hidden="false" customHeight="false" outlineLevel="0" collapsed="false">
      <c r="A1808" s="32" t="str">
        <f aca="false">IF(L1808="","",ROW()-4)</f>
        <v/>
      </c>
      <c r="B1808" s="58" t="str">
        <f aca="false">IF(L1808="","",IF(INDEX(ポート振替表!$W$5:$W$3507,$L1808)="","(なし)",INDEX(ポート振替表!$W$5:$W$3507,$L1808)&amp;""))</f>
        <v/>
      </c>
      <c r="C1808" s="52" t="str">
        <f aca="false">IF(L1808="","",INDEX(ポート振替表!$B$5:$B$3507,$L1808)&amp;" "&amp;INDEX(ポート振替表!$C$5:$C$3507,$L1808)&amp;"  ⇔  "&amp;INDEX(ポート振替表!$H$5:$H$3507,$L1808)&amp;" "&amp;INDEX(ポート振替表!$I$5:$I$3507,$L1808))</f>
        <v/>
      </c>
      <c r="D1808" s="57" t="s">
        <v>158</v>
      </c>
      <c r="E1808" s="59" t="str">
        <f aca="false">IF(L1808="","",IF(INDEX(ポート振替表!$O$5:$O$3507,$L1808)="","(未設定)",INDEX(ポート振替表!$O$5:$O$3507,$L1808)&amp;""))</f>
        <v/>
      </c>
      <c r="F1808" s="52" t="str">
        <f aca="false">IF(L1808="","",INDEX(ポート振替表!$K$5:$K$3507,$L1808)&amp;" "&amp;INDEX(ポート振替表!$L$5:$L$3507,$L1808)&amp;"  ⇔  "&amp;INDEX(ポート振替表!$H$5:$H$3507,$L1808)&amp;" "&amp;INDEX(ポート振替表!$I$5:$I$3507,$L1808))</f>
        <v/>
      </c>
      <c r="G1808" s="57" t="s">
        <v>158</v>
      </c>
      <c r="H1808" s="32" t="str">
        <f aca="false">IF(L1808="","",INDEX(ポート振替表!$N$5:$N$3507,$L1808)&amp;"")</f>
        <v/>
      </c>
      <c r="I1808" s="32" t="str">
        <f aca="false">IF(L1808="","",INDEX(ポート振替表!$P$5:$P$3507,$L1808)&amp;"")</f>
        <v/>
      </c>
      <c r="J1808" s="60" t="str">
        <f aca="false">IF(L1808="","",INDEX(ポート振替表!$M$5:$M$3507,$L1808)&amp;"")</f>
        <v/>
      </c>
      <c r="K1808" s="52" t="str">
        <f aca="false">IF(L1808="","",E1808&amp;CHAR(10)&amp;INDEX(ポート振替表!$K$5:$K$3507,$L1808)&amp;" "&amp;INDEX(ポート振替表!$L$5:$L$3507,$L1808)&amp;CHAR(10)&amp;"⇔ "&amp;INDEX(ポート振替表!$H$5:$H$3507,$L1808)&amp;" "&amp;INDEX(ポート振替表!$I$5:$I$3507,$L1808))</f>
        <v/>
      </c>
      <c r="L1808" s="47" t="str">
        <f aca="false">IFERROR(MATCH(ROW()-4,ポート振替表!$V$5:$V$3507,0),"")</f>
        <v/>
      </c>
    </row>
    <row r="1809" customFormat="false" ht="16.4" hidden="false" customHeight="false" outlineLevel="0" collapsed="false">
      <c r="A1809" s="32" t="str">
        <f aca="false">IF(L1809="","",ROW()-4)</f>
        <v/>
      </c>
      <c r="B1809" s="58" t="str">
        <f aca="false">IF(L1809="","",IF(INDEX(ポート振替表!$W$5:$W$3507,$L1809)="","(なし)",INDEX(ポート振替表!$W$5:$W$3507,$L1809)&amp;""))</f>
        <v/>
      </c>
      <c r="C1809" s="52" t="str">
        <f aca="false">IF(L1809="","",INDEX(ポート振替表!$B$5:$B$3507,$L1809)&amp;" "&amp;INDEX(ポート振替表!$C$5:$C$3507,$L1809)&amp;"  ⇔  "&amp;INDEX(ポート振替表!$H$5:$H$3507,$L1809)&amp;" "&amp;INDEX(ポート振替表!$I$5:$I$3507,$L1809))</f>
        <v/>
      </c>
      <c r="D1809" s="57" t="s">
        <v>158</v>
      </c>
      <c r="E1809" s="59" t="str">
        <f aca="false">IF(L1809="","",IF(INDEX(ポート振替表!$O$5:$O$3507,$L1809)="","(未設定)",INDEX(ポート振替表!$O$5:$O$3507,$L1809)&amp;""))</f>
        <v/>
      </c>
      <c r="F1809" s="52" t="str">
        <f aca="false">IF(L1809="","",INDEX(ポート振替表!$K$5:$K$3507,$L1809)&amp;" "&amp;INDEX(ポート振替表!$L$5:$L$3507,$L1809)&amp;"  ⇔  "&amp;INDEX(ポート振替表!$H$5:$H$3507,$L1809)&amp;" "&amp;INDEX(ポート振替表!$I$5:$I$3507,$L1809))</f>
        <v/>
      </c>
      <c r="G1809" s="57" t="s">
        <v>158</v>
      </c>
      <c r="H1809" s="32" t="str">
        <f aca="false">IF(L1809="","",INDEX(ポート振替表!$N$5:$N$3507,$L1809)&amp;"")</f>
        <v/>
      </c>
      <c r="I1809" s="32" t="str">
        <f aca="false">IF(L1809="","",INDEX(ポート振替表!$P$5:$P$3507,$L1809)&amp;"")</f>
        <v/>
      </c>
      <c r="J1809" s="60" t="str">
        <f aca="false">IF(L1809="","",INDEX(ポート振替表!$M$5:$M$3507,$L1809)&amp;"")</f>
        <v/>
      </c>
      <c r="K1809" s="52" t="str">
        <f aca="false">IF(L1809="","",E1809&amp;CHAR(10)&amp;INDEX(ポート振替表!$K$5:$K$3507,$L1809)&amp;" "&amp;INDEX(ポート振替表!$L$5:$L$3507,$L1809)&amp;CHAR(10)&amp;"⇔ "&amp;INDEX(ポート振替表!$H$5:$H$3507,$L1809)&amp;" "&amp;INDEX(ポート振替表!$I$5:$I$3507,$L1809))</f>
        <v/>
      </c>
      <c r="L1809" s="47" t="str">
        <f aca="false">IFERROR(MATCH(ROW()-4,ポート振替表!$V$5:$V$3507,0),"")</f>
        <v/>
      </c>
    </row>
    <row r="1810" customFormat="false" ht="16.4" hidden="false" customHeight="false" outlineLevel="0" collapsed="false">
      <c r="A1810" s="32" t="str">
        <f aca="false">IF(L1810="","",ROW()-4)</f>
        <v/>
      </c>
      <c r="B1810" s="58" t="str">
        <f aca="false">IF(L1810="","",IF(INDEX(ポート振替表!$W$5:$W$3507,$L1810)="","(なし)",INDEX(ポート振替表!$W$5:$W$3507,$L1810)&amp;""))</f>
        <v/>
      </c>
      <c r="C1810" s="52" t="str">
        <f aca="false">IF(L1810="","",INDEX(ポート振替表!$B$5:$B$3507,$L1810)&amp;" "&amp;INDEX(ポート振替表!$C$5:$C$3507,$L1810)&amp;"  ⇔  "&amp;INDEX(ポート振替表!$H$5:$H$3507,$L1810)&amp;" "&amp;INDEX(ポート振替表!$I$5:$I$3507,$L1810))</f>
        <v/>
      </c>
      <c r="D1810" s="57" t="s">
        <v>158</v>
      </c>
      <c r="E1810" s="59" t="str">
        <f aca="false">IF(L1810="","",IF(INDEX(ポート振替表!$O$5:$O$3507,$L1810)="","(未設定)",INDEX(ポート振替表!$O$5:$O$3507,$L1810)&amp;""))</f>
        <v/>
      </c>
      <c r="F1810" s="52" t="str">
        <f aca="false">IF(L1810="","",INDEX(ポート振替表!$K$5:$K$3507,$L1810)&amp;" "&amp;INDEX(ポート振替表!$L$5:$L$3507,$L1810)&amp;"  ⇔  "&amp;INDEX(ポート振替表!$H$5:$H$3507,$L1810)&amp;" "&amp;INDEX(ポート振替表!$I$5:$I$3507,$L1810))</f>
        <v/>
      </c>
      <c r="G1810" s="57" t="s">
        <v>158</v>
      </c>
      <c r="H1810" s="32" t="str">
        <f aca="false">IF(L1810="","",INDEX(ポート振替表!$N$5:$N$3507,$L1810)&amp;"")</f>
        <v/>
      </c>
      <c r="I1810" s="32" t="str">
        <f aca="false">IF(L1810="","",INDEX(ポート振替表!$P$5:$P$3507,$L1810)&amp;"")</f>
        <v/>
      </c>
      <c r="J1810" s="60" t="str">
        <f aca="false">IF(L1810="","",INDEX(ポート振替表!$M$5:$M$3507,$L1810)&amp;"")</f>
        <v/>
      </c>
      <c r="K1810" s="52" t="str">
        <f aca="false">IF(L1810="","",E1810&amp;CHAR(10)&amp;INDEX(ポート振替表!$K$5:$K$3507,$L1810)&amp;" "&amp;INDEX(ポート振替表!$L$5:$L$3507,$L1810)&amp;CHAR(10)&amp;"⇔ "&amp;INDEX(ポート振替表!$H$5:$H$3507,$L1810)&amp;" "&amp;INDEX(ポート振替表!$I$5:$I$3507,$L1810))</f>
        <v/>
      </c>
      <c r="L1810" s="47" t="str">
        <f aca="false">IFERROR(MATCH(ROW()-4,ポート振替表!$V$5:$V$3507,0),"")</f>
        <v/>
      </c>
    </row>
    <row r="1811" customFormat="false" ht="16.4" hidden="false" customHeight="false" outlineLevel="0" collapsed="false">
      <c r="A1811" s="32" t="str">
        <f aca="false">IF(L1811="","",ROW()-4)</f>
        <v/>
      </c>
      <c r="B1811" s="58" t="str">
        <f aca="false">IF(L1811="","",IF(INDEX(ポート振替表!$W$5:$W$3507,$L1811)="","(なし)",INDEX(ポート振替表!$W$5:$W$3507,$L1811)&amp;""))</f>
        <v/>
      </c>
      <c r="C1811" s="52" t="str">
        <f aca="false">IF(L1811="","",INDEX(ポート振替表!$B$5:$B$3507,$L1811)&amp;" "&amp;INDEX(ポート振替表!$C$5:$C$3507,$L1811)&amp;"  ⇔  "&amp;INDEX(ポート振替表!$H$5:$H$3507,$L1811)&amp;" "&amp;INDEX(ポート振替表!$I$5:$I$3507,$L1811))</f>
        <v/>
      </c>
      <c r="D1811" s="57" t="s">
        <v>158</v>
      </c>
      <c r="E1811" s="59" t="str">
        <f aca="false">IF(L1811="","",IF(INDEX(ポート振替表!$O$5:$O$3507,$L1811)="","(未設定)",INDEX(ポート振替表!$O$5:$O$3507,$L1811)&amp;""))</f>
        <v/>
      </c>
      <c r="F1811" s="52" t="str">
        <f aca="false">IF(L1811="","",INDEX(ポート振替表!$K$5:$K$3507,$L1811)&amp;" "&amp;INDEX(ポート振替表!$L$5:$L$3507,$L1811)&amp;"  ⇔  "&amp;INDEX(ポート振替表!$H$5:$H$3507,$L1811)&amp;" "&amp;INDEX(ポート振替表!$I$5:$I$3507,$L1811))</f>
        <v/>
      </c>
      <c r="G1811" s="57" t="s">
        <v>158</v>
      </c>
      <c r="H1811" s="32" t="str">
        <f aca="false">IF(L1811="","",INDEX(ポート振替表!$N$5:$N$3507,$L1811)&amp;"")</f>
        <v/>
      </c>
      <c r="I1811" s="32" t="str">
        <f aca="false">IF(L1811="","",INDEX(ポート振替表!$P$5:$P$3507,$L1811)&amp;"")</f>
        <v/>
      </c>
      <c r="J1811" s="60" t="str">
        <f aca="false">IF(L1811="","",INDEX(ポート振替表!$M$5:$M$3507,$L1811)&amp;"")</f>
        <v/>
      </c>
      <c r="K1811" s="52" t="str">
        <f aca="false">IF(L1811="","",E1811&amp;CHAR(10)&amp;INDEX(ポート振替表!$K$5:$K$3507,$L1811)&amp;" "&amp;INDEX(ポート振替表!$L$5:$L$3507,$L1811)&amp;CHAR(10)&amp;"⇔ "&amp;INDEX(ポート振替表!$H$5:$H$3507,$L1811)&amp;" "&amp;INDEX(ポート振替表!$I$5:$I$3507,$L1811))</f>
        <v/>
      </c>
      <c r="L1811" s="47" t="str">
        <f aca="false">IFERROR(MATCH(ROW()-4,ポート振替表!$V$5:$V$3507,0),"")</f>
        <v/>
      </c>
    </row>
    <row r="1812" customFormat="false" ht="16.4" hidden="false" customHeight="false" outlineLevel="0" collapsed="false">
      <c r="A1812" s="32" t="str">
        <f aca="false">IF(L1812="","",ROW()-4)</f>
        <v/>
      </c>
      <c r="B1812" s="58" t="str">
        <f aca="false">IF(L1812="","",IF(INDEX(ポート振替表!$W$5:$W$3507,$L1812)="","(なし)",INDEX(ポート振替表!$W$5:$W$3507,$L1812)&amp;""))</f>
        <v/>
      </c>
      <c r="C1812" s="52" t="str">
        <f aca="false">IF(L1812="","",INDEX(ポート振替表!$B$5:$B$3507,$L1812)&amp;" "&amp;INDEX(ポート振替表!$C$5:$C$3507,$L1812)&amp;"  ⇔  "&amp;INDEX(ポート振替表!$H$5:$H$3507,$L1812)&amp;" "&amp;INDEX(ポート振替表!$I$5:$I$3507,$L1812))</f>
        <v/>
      </c>
      <c r="D1812" s="57" t="s">
        <v>158</v>
      </c>
      <c r="E1812" s="59" t="str">
        <f aca="false">IF(L1812="","",IF(INDEX(ポート振替表!$O$5:$O$3507,$L1812)="","(未設定)",INDEX(ポート振替表!$O$5:$O$3507,$L1812)&amp;""))</f>
        <v/>
      </c>
      <c r="F1812" s="52" t="str">
        <f aca="false">IF(L1812="","",INDEX(ポート振替表!$K$5:$K$3507,$L1812)&amp;" "&amp;INDEX(ポート振替表!$L$5:$L$3507,$L1812)&amp;"  ⇔  "&amp;INDEX(ポート振替表!$H$5:$H$3507,$L1812)&amp;" "&amp;INDEX(ポート振替表!$I$5:$I$3507,$L1812))</f>
        <v/>
      </c>
      <c r="G1812" s="57" t="s">
        <v>158</v>
      </c>
      <c r="H1812" s="32" t="str">
        <f aca="false">IF(L1812="","",INDEX(ポート振替表!$N$5:$N$3507,$L1812)&amp;"")</f>
        <v/>
      </c>
      <c r="I1812" s="32" t="str">
        <f aca="false">IF(L1812="","",INDEX(ポート振替表!$P$5:$P$3507,$L1812)&amp;"")</f>
        <v/>
      </c>
      <c r="J1812" s="60" t="str">
        <f aca="false">IF(L1812="","",INDEX(ポート振替表!$M$5:$M$3507,$L1812)&amp;"")</f>
        <v/>
      </c>
      <c r="K1812" s="52" t="str">
        <f aca="false">IF(L1812="","",E1812&amp;CHAR(10)&amp;INDEX(ポート振替表!$K$5:$K$3507,$L1812)&amp;" "&amp;INDEX(ポート振替表!$L$5:$L$3507,$L1812)&amp;CHAR(10)&amp;"⇔ "&amp;INDEX(ポート振替表!$H$5:$H$3507,$L1812)&amp;" "&amp;INDEX(ポート振替表!$I$5:$I$3507,$L1812))</f>
        <v/>
      </c>
      <c r="L1812" s="47" t="str">
        <f aca="false">IFERROR(MATCH(ROW()-4,ポート振替表!$V$5:$V$3507,0),"")</f>
        <v/>
      </c>
    </row>
    <row r="1813" customFormat="false" ht="16.4" hidden="false" customHeight="false" outlineLevel="0" collapsed="false">
      <c r="A1813" s="32" t="str">
        <f aca="false">IF(L1813="","",ROW()-4)</f>
        <v/>
      </c>
      <c r="B1813" s="58" t="str">
        <f aca="false">IF(L1813="","",IF(INDEX(ポート振替表!$W$5:$W$3507,$L1813)="","(なし)",INDEX(ポート振替表!$W$5:$W$3507,$L1813)&amp;""))</f>
        <v/>
      </c>
      <c r="C1813" s="52" t="str">
        <f aca="false">IF(L1813="","",INDEX(ポート振替表!$B$5:$B$3507,$L1813)&amp;" "&amp;INDEX(ポート振替表!$C$5:$C$3507,$L1813)&amp;"  ⇔  "&amp;INDEX(ポート振替表!$H$5:$H$3507,$L1813)&amp;" "&amp;INDEX(ポート振替表!$I$5:$I$3507,$L1813))</f>
        <v/>
      </c>
      <c r="D1813" s="57" t="s">
        <v>158</v>
      </c>
      <c r="E1813" s="59" t="str">
        <f aca="false">IF(L1813="","",IF(INDEX(ポート振替表!$O$5:$O$3507,$L1813)="","(未設定)",INDEX(ポート振替表!$O$5:$O$3507,$L1813)&amp;""))</f>
        <v/>
      </c>
      <c r="F1813" s="52" t="str">
        <f aca="false">IF(L1813="","",INDEX(ポート振替表!$K$5:$K$3507,$L1813)&amp;" "&amp;INDEX(ポート振替表!$L$5:$L$3507,$L1813)&amp;"  ⇔  "&amp;INDEX(ポート振替表!$H$5:$H$3507,$L1813)&amp;" "&amp;INDEX(ポート振替表!$I$5:$I$3507,$L1813))</f>
        <v/>
      </c>
      <c r="G1813" s="57" t="s">
        <v>158</v>
      </c>
      <c r="H1813" s="32" t="str">
        <f aca="false">IF(L1813="","",INDEX(ポート振替表!$N$5:$N$3507,$L1813)&amp;"")</f>
        <v/>
      </c>
      <c r="I1813" s="32" t="str">
        <f aca="false">IF(L1813="","",INDEX(ポート振替表!$P$5:$P$3507,$L1813)&amp;"")</f>
        <v/>
      </c>
      <c r="J1813" s="60" t="str">
        <f aca="false">IF(L1813="","",INDEX(ポート振替表!$M$5:$M$3507,$L1813)&amp;"")</f>
        <v/>
      </c>
      <c r="K1813" s="52" t="str">
        <f aca="false">IF(L1813="","",E1813&amp;CHAR(10)&amp;INDEX(ポート振替表!$K$5:$K$3507,$L1813)&amp;" "&amp;INDEX(ポート振替表!$L$5:$L$3507,$L1813)&amp;CHAR(10)&amp;"⇔ "&amp;INDEX(ポート振替表!$H$5:$H$3507,$L1813)&amp;" "&amp;INDEX(ポート振替表!$I$5:$I$3507,$L1813))</f>
        <v/>
      </c>
      <c r="L1813" s="47" t="str">
        <f aca="false">IFERROR(MATCH(ROW()-4,ポート振替表!$V$5:$V$3507,0),"")</f>
        <v/>
      </c>
    </row>
    <row r="1814" customFormat="false" ht="16.4" hidden="false" customHeight="false" outlineLevel="0" collapsed="false">
      <c r="A1814" s="32" t="str">
        <f aca="false">IF(L1814="","",ROW()-4)</f>
        <v/>
      </c>
      <c r="B1814" s="58" t="str">
        <f aca="false">IF(L1814="","",IF(INDEX(ポート振替表!$W$5:$W$3507,$L1814)="","(なし)",INDEX(ポート振替表!$W$5:$W$3507,$L1814)&amp;""))</f>
        <v/>
      </c>
      <c r="C1814" s="52" t="str">
        <f aca="false">IF(L1814="","",INDEX(ポート振替表!$B$5:$B$3507,$L1814)&amp;" "&amp;INDEX(ポート振替表!$C$5:$C$3507,$L1814)&amp;"  ⇔  "&amp;INDEX(ポート振替表!$H$5:$H$3507,$L1814)&amp;" "&amp;INDEX(ポート振替表!$I$5:$I$3507,$L1814))</f>
        <v/>
      </c>
      <c r="D1814" s="57" t="s">
        <v>158</v>
      </c>
      <c r="E1814" s="59" t="str">
        <f aca="false">IF(L1814="","",IF(INDEX(ポート振替表!$O$5:$O$3507,$L1814)="","(未設定)",INDEX(ポート振替表!$O$5:$O$3507,$L1814)&amp;""))</f>
        <v/>
      </c>
      <c r="F1814" s="52" t="str">
        <f aca="false">IF(L1814="","",INDEX(ポート振替表!$K$5:$K$3507,$L1814)&amp;" "&amp;INDEX(ポート振替表!$L$5:$L$3507,$L1814)&amp;"  ⇔  "&amp;INDEX(ポート振替表!$H$5:$H$3507,$L1814)&amp;" "&amp;INDEX(ポート振替表!$I$5:$I$3507,$L1814))</f>
        <v/>
      </c>
      <c r="G1814" s="57" t="s">
        <v>158</v>
      </c>
      <c r="H1814" s="32" t="str">
        <f aca="false">IF(L1814="","",INDEX(ポート振替表!$N$5:$N$3507,$L1814)&amp;"")</f>
        <v/>
      </c>
      <c r="I1814" s="32" t="str">
        <f aca="false">IF(L1814="","",INDEX(ポート振替表!$P$5:$P$3507,$L1814)&amp;"")</f>
        <v/>
      </c>
      <c r="J1814" s="60" t="str">
        <f aca="false">IF(L1814="","",INDEX(ポート振替表!$M$5:$M$3507,$L1814)&amp;"")</f>
        <v/>
      </c>
      <c r="K1814" s="52" t="str">
        <f aca="false">IF(L1814="","",E1814&amp;CHAR(10)&amp;INDEX(ポート振替表!$K$5:$K$3507,$L1814)&amp;" "&amp;INDEX(ポート振替表!$L$5:$L$3507,$L1814)&amp;CHAR(10)&amp;"⇔ "&amp;INDEX(ポート振替表!$H$5:$H$3507,$L1814)&amp;" "&amp;INDEX(ポート振替表!$I$5:$I$3507,$L1814))</f>
        <v/>
      </c>
      <c r="L1814" s="47" t="str">
        <f aca="false">IFERROR(MATCH(ROW()-4,ポート振替表!$V$5:$V$3507,0),"")</f>
        <v/>
      </c>
    </row>
    <row r="1815" customFormat="false" ht="16.4" hidden="false" customHeight="false" outlineLevel="0" collapsed="false">
      <c r="A1815" s="32" t="str">
        <f aca="false">IF(L1815="","",ROW()-4)</f>
        <v/>
      </c>
      <c r="B1815" s="58" t="str">
        <f aca="false">IF(L1815="","",IF(INDEX(ポート振替表!$W$5:$W$3507,$L1815)="","(なし)",INDEX(ポート振替表!$W$5:$W$3507,$L1815)&amp;""))</f>
        <v/>
      </c>
      <c r="C1815" s="52" t="str">
        <f aca="false">IF(L1815="","",INDEX(ポート振替表!$B$5:$B$3507,$L1815)&amp;" "&amp;INDEX(ポート振替表!$C$5:$C$3507,$L1815)&amp;"  ⇔  "&amp;INDEX(ポート振替表!$H$5:$H$3507,$L1815)&amp;" "&amp;INDEX(ポート振替表!$I$5:$I$3507,$L1815))</f>
        <v/>
      </c>
      <c r="D1815" s="57" t="s">
        <v>158</v>
      </c>
      <c r="E1815" s="59" t="str">
        <f aca="false">IF(L1815="","",IF(INDEX(ポート振替表!$O$5:$O$3507,$L1815)="","(未設定)",INDEX(ポート振替表!$O$5:$O$3507,$L1815)&amp;""))</f>
        <v/>
      </c>
      <c r="F1815" s="52" t="str">
        <f aca="false">IF(L1815="","",INDEX(ポート振替表!$K$5:$K$3507,$L1815)&amp;" "&amp;INDEX(ポート振替表!$L$5:$L$3507,$L1815)&amp;"  ⇔  "&amp;INDEX(ポート振替表!$H$5:$H$3507,$L1815)&amp;" "&amp;INDEX(ポート振替表!$I$5:$I$3507,$L1815))</f>
        <v/>
      </c>
      <c r="G1815" s="57" t="s">
        <v>158</v>
      </c>
      <c r="H1815" s="32" t="str">
        <f aca="false">IF(L1815="","",INDEX(ポート振替表!$N$5:$N$3507,$L1815)&amp;"")</f>
        <v/>
      </c>
      <c r="I1815" s="32" t="str">
        <f aca="false">IF(L1815="","",INDEX(ポート振替表!$P$5:$P$3507,$L1815)&amp;"")</f>
        <v/>
      </c>
      <c r="J1815" s="60" t="str">
        <f aca="false">IF(L1815="","",INDEX(ポート振替表!$M$5:$M$3507,$L1815)&amp;"")</f>
        <v/>
      </c>
      <c r="K1815" s="52" t="str">
        <f aca="false">IF(L1815="","",E1815&amp;CHAR(10)&amp;INDEX(ポート振替表!$K$5:$K$3507,$L1815)&amp;" "&amp;INDEX(ポート振替表!$L$5:$L$3507,$L1815)&amp;CHAR(10)&amp;"⇔ "&amp;INDEX(ポート振替表!$H$5:$H$3507,$L1815)&amp;" "&amp;INDEX(ポート振替表!$I$5:$I$3507,$L1815))</f>
        <v/>
      </c>
      <c r="L1815" s="47" t="str">
        <f aca="false">IFERROR(MATCH(ROW()-4,ポート振替表!$V$5:$V$3507,0),"")</f>
        <v/>
      </c>
    </row>
    <row r="1816" customFormat="false" ht="16.4" hidden="false" customHeight="false" outlineLevel="0" collapsed="false">
      <c r="A1816" s="32" t="str">
        <f aca="false">IF(L1816="","",ROW()-4)</f>
        <v/>
      </c>
      <c r="B1816" s="58" t="str">
        <f aca="false">IF(L1816="","",IF(INDEX(ポート振替表!$W$5:$W$3507,$L1816)="","(なし)",INDEX(ポート振替表!$W$5:$W$3507,$L1816)&amp;""))</f>
        <v/>
      </c>
      <c r="C1816" s="52" t="str">
        <f aca="false">IF(L1816="","",INDEX(ポート振替表!$B$5:$B$3507,$L1816)&amp;" "&amp;INDEX(ポート振替表!$C$5:$C$3507,$L1816)&amp;"  ⇔  "&amp;INDEX(ポート振替表!$H$5:$H$3507,$L1816)&amp;" "&amp;INDEX(ポート振替表!$I$5:$I$3507,$L1816))</f>
        <v/>
      </c>
      <c r="D1816" s="57" t="s">
        <v>158</v>
      </c>
      <c r="E1816" s="59" t="str">
        <f aca="false">IF(L1816="","",IF(INDEX(ポート振替表!$O$5:$O$3507,$L1816)="","(未設定)",INDEX(ポート振替表!$O$5:$O$3507,$L1816)&amp;""))</f>
        <v/>
      </c>
      <c r="F1816" s="52" t="str">
        <f aca="false">IF(L1816="","",INDEX(ポート振替表!$K$5:$K$3507,$L1816)&amp;" "&amp;INDEX(ポート振替表!$L$5:$L$3507,$L1816)&amp;"  ⇔  "&amp;INDEX(ポート振替表!$H$5:$H$3507,$L1816)&amp;" "&amp;INDEX(ポート振替表!$I$5:$I$3507,$L1816))</f>
        <v/>
      </c>
      <c r="G1816" s="57" t="s">
        <v>158</v>
      </c>
      <c r="H1816" s="32" t="str">
        <f aca="false">IF(L1816="","",INDEX(ポート振替表!$N$5:$N$3507,$L1816)&amp;"")</f>
        <v/>
      </c>
      <c r="I1816" s="32" t="str">
        <f aca="false">IF(L1816="","",INDEX(ポート振替表!$P$5:$P$3507,$L1816)&amp;"")</f>
        <v/>
      </c>
      <c r="J1816" s="60" t="str">
        <f aca="false">IF(L1816="","",INDEX(ポート振替表!$M$5:$M$3507,$L1816)&amp;"")</f>
        <v/>
      </c>
      <c r="K1816" s="52" t="str">
        <f aca="false">IF(L1816="","",E1816&amp;CHAR(10)&amp;INDEX(ポート振替表!$K$5:$K$3507,$L1816)&amp;" "&amp;INDEX(ポート振替表!$L$5:$L$3507,$L1816)&amp;CHAR(10)&amp;"⇔ "&amp;INDEX(ポート振替表!$H$5:$H$3507,$L1816)&amp;" "&amp;INDEX(ポート振替表!$I$5:$I$3507,$L1816))</f>
        <v/>
      </c>
      <c r="L1816" s="47" t="str">
        <f aca="false">IFERROR(MATCH(ROW()-4,ポート振替表!$V$5:$V$3507,0),"")</f>
        <v/>
      </c>
    </row>
    <row r="1817" customFormat="false" ht="16.4" hidden="false" customHeight="false" outlineLevel="0" collapsed="false">
      <c r="A1817" s="32" t="str">
        <f aca="false">IF(L1817="","",ROW()-4)</f>
        <v/>
      </c>
      <c r="B1817" s="58" t="str">
        <f aca="false">IF(L1817="","",IF(INDEX(ポート振替表!$W$5:$W$3507,$L1817)="","(なし)",INDEX(ポート振替表!$W$5:$W$3507,$L1817)&amp;""))</f>
        <v/>
      </c>
      <c r="C1817" s="52" t="str">
        <f aca="false">IF(L1817="","",INDEX(ポート振替表!$B$5:$B$3507,$L1817)&amp;" "&amp;INDEX(ポート振替表!$C$5:$C$3507,$L1817)&amp;"  ⇔  "&amp;INDEX(ポート振替表!$H$5:$H$3507,$L1817)&amp;" "&amp;INDEX(ポート振替表!$I$5:$I$3507,$L1817))</f>
        <v/>
      </c>
      <c r="D1817" s="57" t="s">
        <v>158</v>
      </c>
      <c r="E1817" s="59" t="str">
        <f aca="false">IF(L1817="","",IF(INDEX(ポート振替表!$O$5:$O$3507,$L1817)="","(未設定)",INDEX(ポート振替表!$O$5:$O$3507,$L1817)&amp;""))</f>
        <v/>
      </c>
      <c r="F1817" s="52" t="str">
        <f aca="false">IF(L1817="","",INDEX(ポート振替表!$K$5:$K$3507,$L1817)&amp;" "&amp;INDEX(ポート振替表!$L$5:$L$3507,$L1817)&amp;"  ⇔  "&amp;INDEX(ポート振替表!$H$5:$H$3507,$L1817)&amp;" "&amp;INDEX(ポート振替表!$I$5:$I$3507,$L1817))</f>
        <v/>
      </c>
      <c r="G1817" s="57" t="s">
        <v>158</v>
      </c>
      <c r="H1817" s="32" t="str">
        <f aca="false">IF(L1817="","",INDEX(ポート振替表!$N$5:$N$3507,$L1817)&amp;"")</f>
        <v/>
      </c>
      <c r="I1817" s="32" t="str">
        <f aca="false">IF(L1817="","",INDEX(ポート振替表!$P$5:$P$3507,$L1817)&amp;"")</f>
        <v/>
      </c>
      <c r="J1817" s="60" t="str">
        <f aca="false">IF(L1817="","",INDEX(ポート振替表!$M$5:$M$3507,$L1817)&amp;"")</f>
        <v/>
      </c>
      <c r="K1817" s="52" t="str">
        <f aca="false">IF(L1817="","",E1817&amp;CHAR(10)&amp;INDEX(ポート振替表!$K$5:$K$3507,$L1817)&amp;" "&amp;INDEX(ポート振替表!$L$5:$L$3507,$L1817)&amp;CHAR(10)&amp;"⇔ "&amp;INDEX(ポート振替表!$H$5:$H$3507,$L1817)&amp;" "&amp;INDEX(ポート振替表!$I$5:$I$3507,$L1817))</f>
        <v/>
      </c>
      <c r="L1817" s="47" t="str">
        <f aca="false">IFERROR(MATCH(ROW()-4,ポート振替表!$V$5:$V$3507,0),"")</f>
        <v/>
      </c>
    </row>
    <row r="1818" customFormat="false" ht="16.4" hidden="false" customHeight="false" outlineLevel="0" collapsed="false">
      <c r="A1818" s="32" t="str">
        <f aca="false">IF(L1818="","",ROW()-4)</f>
        <v/>
      </c>
      <c r="B1818" s="58" t="str">
        <f aca="false">IF(L1818="","",IF(INDEX(ポート振替表!$W$5:$W$3507,$L1818)="","(なし)",INDEX(ポート振替表!$W$5:$W$3507,$L1818)&amp;""))</f>
        <v/>
      </c>
      <c r="C1818" s="52" t="str">
        <f aca="false">IF(L1818="","",INDEX(ポート振替表!$B$5:$B$3507,$L1818)&amp;" "&amp;INDEX(ポート振替表!$C$5:$C$3507,$L1818)&amp;"  ⇔  "&amp;INDEX(ポート振替表!$H$5:$H$3507,$L1818)&amp;" "&amp;INDEX(ポート振替表!$I$5:$I$3507,$L1818))</f>
        <v/>
      </c>
      <c r="D1818" s="57" t="s">
        <v>158</v>
      </c>
      <c r="E1818" s="59" t="str">
        <f aca="false">IF(L1818="","",IF(INDEX(ポート振替表!$O$5:$O$3507,$L1818)="","(未設定)",INDEX(ポート振替表!$O$5:$O$3507,$L1818)&amp;""))</f>
        <v/>
      </c>
      <c r="F1818" s="52" t="str">
        <f aca="false">IF(L1818="","",INDEX(ポート振替表!$K$5:$K$3507,$L1818)&amp;" "&amp;INDEX(ポート振替表!$L$5:$L$3507,$L1818)&amp;"  ⇔  "&amp;INDEX(ポート振替表!$H$5:$H$3507,$L1818)&amp;" "&amp;INDEX(ポート振替表!$I$5:$I$3507,$L1818))</f>
        <v/>
      </c>
      <c r="G1818" s="57" t="s">
        <v>158</v>
      </c>
      <c r="H1818" s="32" t="str">
        <f aca="false">IF(L1818="","",INDEX(ポート振替表!$N$5:$N$3507,$L1818)&amp;"")</f>
        <v/>
      </c>
      <c r="I1818" s="32" t="str">
        <f aca="false">IF(L1818="","",INDEX(ポート振替表!$P$5:$P$3507,$L1818)&amp;"")</f>
        <v/>
      </c>
      <c r="J1818" s="60" t="str">
        <f aca="false">IF(L1818="","",INDEX(ポート振替表!$M$5:$M$3507,$L1818)&amp;"")</f>
        <v/>
      </c>
      <c r="K1818" s="52" t="str">
        <f aca="false">IF(L1818="","",E1818&amp;CHAR(10)&amp;INDEX(ポート振替表!$K$5:$K$3507,$L1818)&amp;" "&amp;INDEX(ポート振替表!$L$5:$L$3507,$L1818)&amp;CHAR(10)&amp;"⇔ "&amp;INDEX(ポート振替表!$H$5:$H$3507,$L1818)&amp;" "&amp;INDEX(ポート振替表!$I$5:$I$3507,$L1818))</f>
        <v/>
      </c>
      <c r="L1818" s="47" t="str">
        <f aca="false">IFERROR(MATCH(ROW()-4,ポート振替表!$V$5:$V$3507,0),"")</f>
        <v/>
      </c>
    </row>
    <row r="1819" customFormat="false" ht="16.4" hidden="false" customHeight="false" outlineLevel="0" collapsed="false">
      <c r="A1819" s="32" t="str">
        <f aca="false">IF(L1819="","",ROW()-4)</f>
        <v/>
      </c>
      <c r="B1819" s="58" t="str">
        <f aca="false">IF(L1819="","",IF(INDEX(ポート振替表!$W$5:$W$3507,$L1819)="","(なし)",INDEX(ポート振替表!$W$5:$W$3507,$L1819)&amp;""))</f>
        <v/>
      </c>
      <c r="C1819" s="52" t="str">
        <f aca="false">IF(L1819="","",INDEX(ポート振替表!$B$5:$B$3507,$L1819)&amp;" "&amp;INDEX(ポート振替表!$C$5:$C$3507,$L1819)&amp;"  ⇔  "&amp;INDEX(ポート振替表!$H$5:$H$3507,$L1819)&amp;" "&amp;INDEX(ポート振替表!$I$5:$I$3507,$L1819))</f>
        <v/>
      </c>
      <c r="D1819" s="57" t="s">
        <v>158</v>
      </c>
      <c r="E1819" s="59" t="str">
        <f aca="false">IF(L1819="","",IF(INDEX(ポート振替表!$O$5:$O$3507,$L1819)="","(未設定)",INDEX(ポート振替表!$O$5:$O$3507,$L1819)&amp;""))</f>
        <v/>
      </c>
      <c r="F1819" s="52" t="str">
        <f aca="false">IF(L1819="","",INDEX(ポート振替表!$K$5:$K$3507,$L1819)&amp;" "&amp;INDEX(ポート振替表!$L$5:$L$3507,$L1819)&amp;"  ⇔  "&amp;INDEX(ポート振替表!$H$5:$H$3507,$L1819)&amp;" "&amp;INDEX(ポート振替表!$I$5:$I$3507,$L1819))</f>
        <v/>
      </c>
      <c r="G1819" s="57" t="s">
        <v>158</v>
      </c>
      <c r="H1819" s="32" t="str">
        <f aca="false">IF(L1819="","",INDEX(ポート振替表!$N$5:$N$3507,$L1819)&amp;"")</f>
        <v/>
      </c>
      <c r="I1819" s="32" t="str">
        <f aca="false">IF(L1819="","",INDEX(ポート振替表!$P$5:$P$3507,$L1819)&amp;"")</f>
        <v/>
      </c>
      <c r="J1819" s="60" t="str">
        <f aca="false">IF(L1819="","",INDEX(ポート振替表!$M$5:$M$3507,$L1819)&amp;"")</f>
        <v/>
      </c>
      <c r="K1819" s="52" t="str">
        <f aca="false">IF(L1819="","",E1819&amp;CHAR(10)&amp;INDEX(ポート振替表!$K$5:$K$3507,$L1819)&amp;" "&amp;INDEX(ポート振替表!$L$5:$L$3507,$L1819)&amp;CHAR(10)&amp;"⇔ "&amp;INDEX(ポート振替表!$H$5:$H$3507,$L1819)&amp;" "&amp;INDEX(ポート振替表!$I$5:$I$3507,$L1819))</f>
        <v/>
      </c>
      <c r="L1819" s="47" t="str">
        <f aca="false">IFERROR(MATCH(ROW()-4,ポート振替表!$V$5:$V$3507,0),"")</f>
        <v/>
      </c>
    </row>
    <row r="1820" customFormat="false" ht="16.4" hidden="false" customHeight="false" outlineLevel="0" collapsed="false">
      <c r="A1820" s="32" t="str">
        <f aca="false">IF(L1820="","",ROW()-4)</f>
        <v/>
      </c>
      <c r="B1820" s="58" t="str">
        <f aca="false">IF(L1820="","",IF(INDEX(ポート振替表!$W$5:$W$3507,$L1820)="","(なし)",INDEX(ポート振替表!$W$5:$W$3507,$L1820)&amp;""))</f>
        <v/>
      </c>
      <c r="C1820" s="52" t="str">
        <f aca="false">IF(L1820="","",INDEX(ポート振替表!$B$5:$B$3507,$L1820)&amp;" "&amp;INDEX(ポート振替表!$C$5:$C$3507,$L1820)&amp;"  ⇔  "&amp;INDEX(ポート振替表!$H$5:$H$3507,$L1820)&amp;" "&amp;INDEX(ポート振替表!$I$5:$I$3507,$L1820))</f>
        <v/>
      </c>
      <c r="D1820" s="57" t="s">
        <v>158</v>
      </c>
      <c r="E1820" s="59" t="str">
        <f aca="false">IF(L1820="","",IF(INDEX(ポート振替表!$O$5:$O$3507,$L1820)="","(未設定)",INDEX(ポート振替表!$O$5:$O$3507,$L1820)&amp;""))</f>
        <v/>
      </c>
      <c r="F1820" s="52" t="str">
        <f aca="false">IF(L1820="","",INDEX(ポート振替表!$K$5:$K$3507,$L1820)&amp;" "&amp;INDEX(ポート振替表!$L$5:$L$3507,$L1820)&amp;"  ⇔  "&amp;INDEX(ポート振替表!$H$5:$H$3507,$L1820)&amp;" "&amp;INDEX(ポート振替表!$I$5:$I$3507,$L1820))</f>
        <v/>
      </c>
      <c r="G1820" s="57" t="s">
        <v>158</v>
      </c>
      <c r="H1820" s="32" t="str">
        <f aca="false">IF(L1820="","",INDEX(ポート振替表!$N$5:$N$3507,$L1820)&amp;"")</f>
        <v/>
      </c>
      <c r="I1820" s="32" t="str">
        <f aca="false">IF(L1820="","",INDEX(ポート振替表!$P$5:$P$3507,$L1820)&amp;"")</f>
        <v/>
      </c>
      <c r="J1820" s="60" t="str">
        <f aca="false">IF(L1820="","",INDEX(ポート振替表!$M$5:$M$3507,$L1820)&amp;"")</f>
        <v/>
      </c>
      <c r="K1820" s="52" t="str">
        <f aca="false">IF(L1820="","",E1820&amp;CHAR(10)&amp;INDEX(ポート振替表!$K$5:$K$3507,$L1820)&amp;" "&amp;INDEX(ポート振替表!$L$5:$L$3507,$L1820)&amp;CHAR(10)&amp;"⇔ "&amp;INDEX(ポート振替表!$H$5:$H$3507,$L1820)&amp;" "&amp;INDEX(ポート振替表!$I$5:$I$3507,$L1820))</f>
        <v/>
      </c>
      <c r="L1820" s="47" t="str">
        <f aca="false">IFERROR(MATCH(ROW()-4,ポート振替表!$V$5:$V$3507,0),"")</f>
        <v/>
      </c>
    </row>
    <row r="1821" customFormat="false" ht="16.4" hidden="false" customHeight="false" outlineLevel="0" collapsed="false">
      <c r="A1821" s="32" t="str">
        <f aca="false">IF(L1821="","",ROW()-4)</f>
        <v/>
      </c>
      <c r="B1821" s="58" t="str">
        <f aca="false">IF(L1821="","",IF(INDEX(ポート振替表!$W$5:$W$3507,$L1821)="","(なし)",INDEX(ポート振替表!$W$5:$W$3507,$L1821)&amp;""))</f>
        <v/>
      </c>
      <c r="C1821" s="52" t="str">
        <f aca="false">IF(L1821="","",INDEX(ポート振替表!$B$5:$B$3507,$L1821)&amp;" "&amp;INDEX(ポート振替表!$C$5:$C$3507,$L1821)&amp;"  ⇔  "&amp;INDEX(ポート振替表!$H$5:$H$3507,$L1821)&amp;" "&amp;INDEX(ポート振替表!$I$5:$I$3507,$L1821))</f>
        <v/>
      </c>
      <c r="D1821" s="57" t="s">
        <v>158</v>
      </c>
      <c r="E1821" s="59" t="str">
        <f aca="false">IF(L1821="","",IF(INDEX(ポート振替表!$O$5:$O$3507,$L1821)="","(未設定)",INDEX(ポート振替表!$O$5:$O$3507,$L1821)&amp;""))</f>
        <v/>
      </c>
      <c r="F1821" s="52" t="str">
        <f aca="false">IF(L1821="","",INDEX(ポート振替表!$K$5:$K$3507,$L1821)&amp;" "&amp;INDEX(ポート振替表!$L$5:$L$3507,$L1821)&amp;"  ⇔  "&amp;INDEX(ポート振替表!$H$5:$H$3507,$L1821)&amp;" "&amp;INDEX(ポート振替表!$I$5:$I$3507,$L1821))</f>
        <v/>
      </c>
      <c r="G1821" s="57" t="s">
        <v>158</v>
      </c>
      <c r="H1821" s="32" t="str">
        <f aca="false">IF(L1821="","",INDEX(ポート振替表!$N$5:$N$3507,$L1821)&amp;"")</f>
        <v/>
      </c>
      <c r="I1821" s="32" t="str">
        <f aca="false">IF(L1821="","",INDEX(ポート振替表!$P$5:$P$3507,$L1821)&amp;"")</f>
        <v/>
      </c>
      <c r="J1821" s="60" t="str">
        <f aca="false">IF(L1821="","",INDEX(ポート振替表!$M$5:$M$3507,$L1821)&amp;"")</f>
        <v/>
      </c>
      <c r="K1821" s="52" t="str">
        <f aca="false">IF(L1821="","",E1821&amp;CHAR(10)&amp;INDEX(ポート振替表!$K$5:$K$3507,$L1821)&amp;" "&amp;INDEX(ポート振替表!$L$5:$L$3507,$L1821)&amp;CHAR(10)&amp;"⇔ "&amp;INDEX(ポート振替表!$H$5:$H$3507,$L1821)&amp;" "&amp;INDEX(ポート振替表!$I$5:$I$3507,$L1821))</f>
        <v/>
      </c>
      <c r="L1821" s="47" t="str">
        <f aca="false">IFERROR(MATCH(ROW()-4,ポート振替表!$V$5:$V$3507,0),"")</f>
        <v/>
      </c>
    </row>
    <row r="1822" customFormat="false" ht="16.4" hidden="false" customHeight="false" outlineLevel="0" collapsed="false">
      <c r="A1822" s="32" t="str">
        <f aca="false">IF(L1822="","",ROW()-4)</f>
        <v/>
      </c>
      <c r="B1822" s="58" t="str">
        <f aca="false">IF(L1822="","",IF(INDEX(ポート振替表!$W$5:$W$3507,$L1822)="","(なし)",INDEX(ポート振替表!$W$5:$W$3507,$L1822)&amp;""))</f>
        <v/>
      </c>
      <c r="C1822" s="52" t="str">
        <f aca="false">IF(L1822="","",INDEX(ポート振替表!$B$5:$B$3507,$L1822)&amp;" "&amp;INDEX(ポート振替表!$C$5:$C$3507,$L1822)&amp;"  ⇔  "&amp;INDEX(ポート振替表!$H$5:$H$3507,$L1822)&amp;" "&amp;INDEX(ポート振替表!$I$5:$I$3507,$L1822))</f>
        <v/>
      </c>
      <c r="D1822" s="57" t="s">
        <v>158</v>
      </c>
      <c r="E1822" s="59" t="str">
        <f aca="false">IF(L1822="","",IF(INDEX(ポート振替表!$O$5:$O$3507,$L1822)="","(未設定)",INDEX(ポート振替表!$O$5:$O$3507,$L1822)&amp;""))</f>
        <v/>
      </c>
      <c r="F1822" s="52" t="str">
        <f aca="false">IF(L1822="","",INDEX(ポート振替表!$K$5:$K$3507,$L1822)&amp;" "&amp;INDEX(ポート振替表!$L$5:$L$3507,$L1822)&amp;"  ⇔  "&amp;INDEX(ポート振替表!$H$5:$H$3507,$L1822)&amp;" "&amp;INDEX(ポート振替表!$I$5:$I$3507,$L1822))</f>
        <v/>
      </c>
      <c r="G1822" s="57" t="s">
        <v>158</v>
      </c>
      <c r="H1822" s="32" t="str">
        <f aca="false">IF(L1822="","",INDEX(ポート振替表!$N$5:$N$3507,$L1822)&amp;"")</f>
        <v/>
      </c>
      <c r="I1822" s="32" t="str">
        <f aca="false">IF(L1822="","",INDEX(ポート振替表!$P$5:$P$3507,$L1822)&amp;"")</f>
        <v/>
      </c>
      <c r="J1822" s="60" t="str">
        <f aca="false">IF(L1822="","",INDEX(ポート振替表!$M$5:$M$3507,$L1822)&amp;"")</f>
        <v/>
      </c>
      <c r="K1822" s="52" t="str">
        <f aca="false">IF(L1822="","",E1822&amp;CHAR(10)&amp;INDEX(ポート振替表!$K$5:$K$3507,$L1822)&amp;" "&amp;INDEX(ポート振替表!$L$5:$L$3507,$L1822)&amp;CHAR(10)&amp;"⇔ "&amp;INDEX(ポート振替表!$H$5:$H$3507,$L1822)&amp;" "&amp;INDEX(ポート振替表!$I$5:$I$3507,$L1822))</f>
        <v/>
      </c>
      <c r="L1822" s="47" t="str">
        <f aca="false">IFERROR(MATCH(ROW()-4,ポート振替表!$V$5:$V$3507,0),"")</f>
        <v/>
      </c>
    </row>
    <row r="1823" customFormat="false" ht="16.4" hidden="false" customHeight="false" outlineLevel="0" collapsed="false">
      <c r="A1823" s="32" t="str">
        <f aca="false">IF(L1823="","",ROW()-4)</f>
        <v/>
      </c>
      <c r="B1823" s="58" t="str">
        <f aca="false">IF(L1823="","",IF(INDEX(ポート振替表!$W$5:$W$3507,$L1823)="","(なし)",INDEX(ポート振替表!$W$5:$W$3507,$L1823)&amp;""))</f>
        <v/>
      </c>
      <c r="C1823" s="52" t="str">
        <f aca="false">IF(L1823="","",INDEX(ポート振替表!$B$5:$B$3507,$L1823)&amp;" "&amp;INDEX(ポート振替表!$C$5:$C$3507,$L1823)&amp;"  ⇔  "&amp;INDEX(ポート振替表!$H$5:$H$3507,$L1823)&amp;" "&amp;INDEX(ポート振替表!$I$5:$I$3507,$L1823))</f>
        <v/>
      </c>
      <c r="D1823" s="57" t="s">
        <v>158</v>
      </c>
      <c r="E1823" s="59" t="str">
        <f aca="false">IF(L1823="","",IF(INDEX(ポート振替表!$O$5:$O$3507,$L1823)="","(未設定)",INDEX(ポート振替表!$O$5:$O$3507,$L1823)&amp;""))</f>
        <v/>
      </c>
      <c r="F1823" s="52" t="str">
        <f aca="false">IF(L1823="","",INDEX(ポート振替表!$K$5:$K$3507,$L1823)&amp;" "&amp;INDEX(ポート振替表!$L$5:$L$3507,$L1823)&amp;"  ⇔  "&amp;INDEX(ポート振替表!$H$5:$H$3507,$L1823)&amp;" "&amp;INDEX(ポート振替表!$I$5:$I$3507,$L1823))</f>
        <v/>
      </c>
      <c r="G1823" s="57" t="s">
        <v>158</v>
      </c>
      <c r="H1823" s="32" t="str">
        <f aca="false">IF(L1823="","",INDEX(ポート振替表!$N$5:$N$3507,$L1823)&amp;"")</f>
        <v/>
      </c>
      <c r="I1823" s="32" t="str">
        <f aca="false">IF(L1823="","",INDEX(ポート振替表!$P$5:$P$3507,$L1823)&amp;"")</f>
        <v/>
      </c>
      <c r="J1823" s="60" t="str">
        <f aca="false">IF(L1823="","",INDEX(ポート振替表!$M$5:$M$3507,$L1823)&amp;"")</f>
        <v/>
      </c>
      <c r="K1823" s="52" t="str">
        <f aca="false">IF(L1823="","",E1823&amp;CHAR(10)&amp;INDEX(ポート振替表!$K$5:$K$3507,$L1823)&amp;" "&amp;INDEX(ポート振替表!$L$5:$L$3507,$L1823)&amp;CHAR(10)&amp;"⇔ "&amp;INDEX(ポート振替表!$H$5:$H$3507,$L1823)&amp;" "&amp;INDEX(ポート振替表!$I$5:$I$3507,$L1823))</f>
        <v/>
      </c>
      <c r="L1823" s="47" t="str">
        <f aca="false">IFERROR(MATCH(ROW()-4,ポート振替表!$V$5:$V$3507,0),"")</f>
        <v/>
      </c>
    </row>
    <row r="1824" customFormat="false" ht="16.4" hidden="false" customHeight="false" outlineLevel="0" collapsed="false">
      <c r="A1824" s="32" t="str">
        <f aca="false">IF(L1824="","",ROW()-4)</f>
        <v/>
      </c>
      <c r="B1824" s="58" t="str">
        <f aca="false">IF(L1824="","",IF(INDEX(ポート振替表!$W$5:$W$3507,$L1824)="","(なし)",INDEX(ポート振替表!$W$5:$W$3507,$L1824)&amp;""))</f>
        <v/>
      </c>
      <c r="C1824" s="52" t="str">
        <f aca="false">IF(L1824="","",INDEX(ポート振替表!$B$5:$B$3507,$L1824)&amp;" "&amp;INDEX(ポート振替表!$C$5:$C$3507,$L1824)&amp;"  ⇔  "&amp;INDEX(ポート振替表!$H$5:$H$3507,$L1824)&amp;" "&amp;INDEX(ポート振替表!$I$5:$I$3507,$L1824))</f>
        <v/>
      </c>
      <c r="D1824" s="57" t="s">
        <v>158</v>
      </c>
      <c r="E1824" s="59" t="str">
        <f aca="false">IF(L1824="","",IF(INDEX(ポート振替表!$O$5:$O$3507,$L1824)="","(未設定)",INDEX(ポート振替表!$O$5:$O$3507,$L1824)&amp;""))</f>
        <v/>
      </c>
      <c r="F1824" s="52" t="str">
        <f aca="false">IF(L1824="","",INDEX(ポート振替表!$K$5:$K$3507,$L1824)&amp;" "&amp;INDEX(ポート振替表!$L$5:$L$3507,$L1824)&amp;"  ⇔  "&amp;INDEX(ポート振替表!$H$5:$H$3507,$L1824)&amp;" "&amp;INDEX(ポート振替表!$I$5:$I$3507,$L1824))</f>
        <v/>
      </c>
      <c r="G1824" s="57" t="s">
        <v>158</v>
      </c>
      <c r="H1824" s="32" t="str">
        <f aca="false">IF(L1824="","",INDEX(ポート振替表!$N$5:$N$3507,$L1824)&amp;"")</f>
        <v/>
      </c>
      <c r="I1824" s="32" t="str">
        <f aca="false">IF(L1824="","",INDEX(ポート振替表!$P$5:$P$3507,$L1824)&amp;"")</f>
        <v/>
      </c>
      <c r="J1824" s="60" t="str">
        <f aca="false">IF(L1824="","",INDEX(ポート振替表!$M$5:$M$3507,$L1824)&amp;"")</f>
        <v/>
      </c>
      <c r="K1824" s="52" t="str">
        <f aca="false">IF(L1824="","",E1824&amp;CHAR(10)&amp;INDEX(ポート振替表!$K$5:$K$3507,$L1824)&amp;" "&amp;INDEX(ポート振替表!$L$5:$L$3507,$L1824)&amp;CHAR(10)&amp;"⇔ "&amp;INDEX(ポート振替表!$H$5:$H$3507,$L1824)&amp;" "&amp;INDEX(ポート振替表!$I$5:$I$3507,$L1824))</f>
        <v/>
      </c>
      <c r="L1824" s="47" t="str">
        <f aca="false">IFERROR(MATCH(ROW()-4,ポート振替表!$V$5:$V$3507,0),"")</f>
        <v/>
      </c>
    </row>
    <row r="1825" customFormat="false" ht="16.4" hidden="false" customHeight="false" outlineLevel="0" collapsed="false">
      <c r="A1825" s="32" t="str">
        <f aca="false">IF(L1825="","",ROW()-4)</f>
        <v/>
      </c>
      <c r="B1825" s="58" t="str">
        <f aca="false">IF(L1825="","",IF(INDEX(ポート振替表!$W$5:$W$3507,$L1825)="","(なし)",INDEX(ポート振替表!$W$5:$W$3507,$L1825)&amp;""))</f>
        <v/>
      </c>
      <c r="C1825" s="52" t="str">
        <f aca="false">IF(L1825="","",INDEX(ポート振替表!$B$5:$B$3507,$L1825)&amp;" "&amp;INDEX(ポート振替表!$C$5:$C$3507,$L1825)&amp;"  ⇔  "&amp;INDEX(ポート振替表!$H$5:$H$3507,$L1825)&amp;" "&amp;INDEX(ポート振替表!$I$5:$I$3507,$L1825))</f>
        <v/>
      </c>
      <c r="D1825" s="57" t="s">
        <v>158</v>
      </c>
      <c r="E1825" s="59" t="str">
        <f aca="false">IF(L1825="","",IF(INDEX(ポート振替表!$O$5:$O$3507,$L1825)="","(未設定)",INDEX(ポート振替表!$O$5:$O$3507,$L1825)&amp;""))</f>
        <v/>
      </c>
      <c r="F1825" s="52" t="str">
        <f aca="false">IF(L1825="","",INDEX(ポート振替表!$K$5:$K$3507,$L1825)&amp;" "&amp;INDEX(ポート振替表!$L$5:$L$3507,$L1825)&amp;"  ⇔  "&amp;INDEX(ポート振替表!$H$5:$H$3507,$L1825)&amp;" "&amp;INDEX(ポート振替表!$I$5:$I$3507,$L1825))</f>
        <v/>
      </c>
      <c r="G1825" s="57" t="s">
        <v>158</v>
      </c>
      <c r="H1825" s="32" t="str">
        <f aca="false">IF(L1825="","",INDEX(ポート振替表!$N$5:$N$3507,$L1825)&amp;"")</f>
        <v/>
      </c>
      <c r="I1825" s="32" t="str">
        <f aca="false">IF(L1825="","",INDEX(ポート振替表!$P$5:$P$3507,$L1825)&amp;"")</f>
        <v/>
      </c>
      <c r="J1825" s="60" t="str">
        <f aca="false">IF(L1825="","",INDEX(ポート振替表!$M$5:$M$3507,$L1825)&amp;"")</f>
        <v/>
      </c>
      <c r="K1825" s="52" t="str">
        <f aca="false">IF(L1825="","",E1825&amp;CHAR(10)&amp;INDEX(ポート振替表!$K$5:$K$3507,$L1825)&amp;" "&amp;INDEX(ポート振替表!$L$5:$L$3507,$L1825)&amp;CHAR(10)&amp;"⇔ "&amp;INDEX(ポート振替表!$H$5:$H$3507,$L1825)&amp;" "&amp;INDEX(ポート振替表!$I$5:$I$3507,$L1825))</f>
        <v/>
      </c>
      <c r="L1825" s="47" t="str">
        <f aca="false">IFERROR(MATCH(ROW()-4,ポート振替表!$V$5:$V$3507,0),"")</f>
        <v/>
      </c>
    </row>
    <row r="1826" customFormat="false" ht="16.4" hidden="false" customHeight="false" outlineLevel="0" collapsed="false">
      <c r="A1826" s="32" t="str">
        <f aca="false">IF(L1826="","",ROW()-4)</f>
        <v/>
      </c>
      <c r="B1826" s="58" t="str">
        <f aca="false">IF(L1826="","",IF(INDEX(ポート振替表!$W$5:$W$3507,$L1826)="","(なし)",INDEX(ポート振替表!$W$5:$W$3507,$L1826)&amp;""))</f>
        <v/>
      </c>
      <c r="C1826" s="52" t="str">
        <f aca="false">IF(L1826="","",INDEX(ポート振替表!$B$5:$B$3507,$L1826)&amp;" "&amp;INDEX(ポート振替表!$C$5:$C$3507,$L1826)&amp;"  ⇔  "&amp;INDEX(ポート振替表!$H$5:$H$3507,$L1826)&amp;" "&amp;INDEX(ポート振替表!$I$5:$I$3507,$L1826))</f>
        <v/>
      </c>
      <c r="D1826" s="57" t="s">
        <v>158</v>
      </c>
      <c r="E1826" s="59" t="str">
        <f aca="false">IF(L1826="","",IF(INDEX(ポート振替表!$O$5:$O$3507,$L1826)="","(未設定)",INDEX(ポート振替表!$O$5:$O$3507,$L1826)&amp;""))</f>
        <v/>
      </c>
      <c r="F1826" s="52" t="str">
        <f aca="false">IF(L1826="","",INDEX(ポート振替表!$K$5:$K$3507,$L1826)&amp;" "&amp;INDEX(ポート振替表!$L$5:$L$3507,$L1826)&amp;"  ⇔  "&amp;INDEX(ポート振替表!$H$5:$H$3507,$L1826)&amp;" "&amp;INDEX(ポート振替表!$I$5:$I$3507,$L1826))</f>
        <v/>
      </c>
      <c r="G1826" s="57" t="s">
        <v>158</v>
      </c>
      <c r="H1826" s="32" t="str">
        <f aca="false">IF(L1826="","",INDEX(ポート振替表!$N$5:$N$3507,$L1826)&amp;"")</f>
        <v/>
      </c>
      <c r="I1826" s="32" t="str">
        <f aca="false">IF(L1826="","",INDEX(ポート振替表!$P$5:$P$3507,$L1826)&amp;"")</f>
        <v/>
      </c>
      <c r="J1826" s="60" t="str">
        <f aca="false">IF(L1826="","",INDEX(ポート振替表!$M$5:$M$3507,$L1826)&amp;"")</f>
        <v/>
      </c>
      <c r="K1826" s="52" t="str">
        <f aca="false">IF(L1826="","",E1826&amp;CHAR(10)&amp;INDEX(ポート振替表!$K$5:$K$3507,$L1826)&amp;" "&amp;INDEX(ポート振替表!$L$5:$L$3507,$L1826)&amp;CHAR(10)&amp;"⇔ "&amp;INDEX(ポート振替表!$H$5:$H$3507,$L1826)&amp;" "&amp;INDEX(ポート振替表!$I$5:$I$3507,$L1826))</f>
        <v/>
      </c>
      <c r="L1826" s="47" t="str">
        <f aca="false">IFERROR(MATCH(ROW()-4,ポート振替表!$V$5:$V$3507,0),"")</f>
        <v/>
      </c>
    </row>
    <row r="1827" customFormat="false" ht="16.4" hidden="false" customHeight="false" outlineLevel="0" collapsed="false">
      <c r="A1827" s="32" t="str">
        <f aca="false">IF(L1827="","",ROW()-4)</f>
        <v/>
      </c>
      <c r="B1827" s="58" t="str">
        <f aca="false">IF(L1827="","",IF(INDEX(ポート振替表!$W$5:$W$3507,$L1827)="","(なし)",INDEX(ポート振替表!$W$5:$W$3507,$L1827)&amp;""))</f>
        <v/>
      </c>
      <c r="C1827" s="52" t="str">
        <f aca="false">IF(L1827="","",INDEX(ポート振替表!$B$5:$B$3507,$L1827)&amp;" "&amp;INDEX(ポート振替表!$C$5:$C$3507,$L1827)&amp;"  ⇔  "&amp;INDEX(ポート振替表!$H$5:$H$3507,$L1827)&amp;" "&amp;INDEX(ポート振替表!$I$5:$I$3507,$L1827))</f>
        <v/>
      </c>
      <c r="D1827" s="57" t="s">
        <v>158</v>
      </c>
      <c r="E1827" s="59" t="str">
        <f aca="false">IF(L1827="","",IF(INDEX(ポート振替表!$O$5:$O$3507,$L1827)="","(未設定)",INDEX(ポート振替表!$O$5:$O$3507,$L1827)&amp;""))</f>
        <v/>
      </c>
      <c r="F1827" s="52" t="str">
        <f aca="false">IF(L1827="","",INDEX(ポート振替表!$K$5:$K$3507,$L1827)&amp;" "&amp;INDEX(ポート振替表!$L$5:$L$3507,$L1827)&amp;"  ⇔  "&amp;INDEX(ポート振替表!$H$5:$H$3507,$L1827)&amp;" "&amp;INDEX(ポート振替表!$I$5:$I$3507,$L1827))</f>
        <v/>
      </c>
      <c r="G1827" s="57" t="s">
        <v>158</v>
      </c>
      <c r="H1827" s="32" t="str">
        <f aca="false">IF(L1827="","",INDEX(ポート振替表!$N$5:$N$3507,$L1827)&amp;"")</f>
        <v/>
      </c>
      <c r="I1827" s="32" t="str">
        <f aca="false">IF(L1827="","",INDEX(ポート振替表!$P$5:$P$3507,$L1827)&amp;"")</f>
        <v/>
      </c>
      <c r="J1827" s="60" t="str">
        <f aca="false">IF(L1827="","",INDEX(ポート振替表!$M$5:$M$3507,$L1827)&amp;"")</f>
        <v/>
      </c>
      <c r="K1827" s="52" t="str">
        <f aca="false">IF(L1827="","",E1827&amp;CHAR(10)&amp;INDEX(ポート振替表!$K$5:$K$3507,$L1827)&amp;" "&amp;INDEX(ポート振替表!$L$5:$L$3507,$L1827)&amp;CHAR(10)&amp;"⇔ "&amp;INDEX(ポート振替表!$H$5:$H$3507,$L1827)&amp;" "&amp;INDEX(ポート振替表!$I$5:$I$3507,$L1827))</f>
        <v/>
      </c>
      <c r="L1827" s="47" t="str">
        <f aca="false">IFERROR(MATCH(ROW()-4,ポート振替表!$V$5:$V$3507,0),"")</f>
        <v/>
      </c>
    </row>
    <row r="1828" customFormat="false" ht="16.4" hidden="false" customHeight="false" outlineLevel="0" collapsed="false">
      <c r="A1828" s="32" t="str">
        <f aca="false">IF(L1828="","",ROW()-4)</f>
        <v/>
      </c>
      <c r="B1828" s="58" t="str">
        <f aca="false">IF(L1828="","",IF(INDEX(ポート振替表!$W$5:$W$3507,$L1828)="","(なし)",INDEX(ポート振替表!$W$5:$W$3507,$L1828)&amp;""))</f>
        <v/>
      </c>
      <c r="C1828" s="52" t="str">
        <f aca="false">IF(L1828="","",INDEX(ポート振替表!$B$5:$B$3507,$L1828)&amp;" "&amp;INDEX(ポート振替表!$C$5:$C$3507,$L1828)&amp;"  ⇔  "&amp;INDEX(ポート振替表!$H$5:$H$3507,$L1828)&amp;" "&amp;INDEX(ポート振替表!$I$5:$I$3507,$L1828))</f>
        <v/>
      </c>
      <c r="D1828" s="57" t="s">
        <v>158</v>
      </c>
      <c r="E1828" s="59" t="str">
        <f aca="false">IF(L1828="","",IF(INDEX(ポート振替表!$O$5:$O$3507,$L1828)="","(未設定)",INDEX(ポート振替表!$O$5:$O$3507,$L1828)&amp;""))</f>
        <v/>
      </c>
      <c r="F1828" s="52" t="str">
        <f aca="false">IF(L1828="","",INDEX(ポート振替表!$K$5:$K$3507,$L1828)&amp;" "&amp;INDEX(ポート振替表!$L$5:$L$3507,$L1828)&amp;"  ⇔  "&amp;INDEX(ポート振替表!$H$5:$H$3507,$L1828)&amp;" "&amp;INDEX(ポート振替表!$I$5:$I$3507,$L1828))</f>
        <v/>
      </c>
      <c r="G1828" s="57" t="s">
        <v>158</v>
      </c>
      <c r="H1828" s="32" t="str">
        <f aca="false">IF(L1828="","",INDEX(ポート振替表!$N$5:$N$3507,$L1828)&amp;"")</f>
        <v/>
      </c>
      <c r="I1828" s="32" t="str">
        <f aca="false">IF(L1828="","",INDEX(ポート振替表!$P$5:$P$3507,$L1828)&amp;"")</f>
        <v/>
      </c>
      <c r="J1828" s="60" t="str">
        <f aca="false">IF(L1828="","",INDEX(ポート振替表!$M$5:$M$3507,$L1828)&amp;"")</f>
        <v/>
      </c>
      <c r="K1828" s="52" t="str">
        <f aca="false">IF(L1828="","",E1828&amp;CHAR(10)&amp;INDEX(ポート振替表!$K$5:$K$3507,$L1828)&amp;" "&amp;INDEX(ポート振替表!$L$5:$L$3507,$L1828)&amp;CHAR(10)&amp;"⇔ "&amp;INDEX(ポート振替表!$H$5:$H$3507,$L1828)&amp;" "&amp;INDEX(ポート振替表!$I$5:$I$3507,$L1828))</f>
        <v/>
      </c>
      <c r="L1828" s="47" t="str">
        <f aca="false">IFERROR(MATCH(ROW()-4,ポート振替表!$V$5:$V$3507,0),"")</f>
        <v/>
      </c>
    </row>
    <row r="1829" customFormat="false" ht="16.4" hidden="false" customHeight="false" outlineLevel="0" collapsed="false">
      <c r="A1829" s="32" t="str">
        <f aca="false">IF(L1829="","",ROW()-4)</f>
        <v/>
      </c>
      <c r="B1829" s="58" t="str">
        <f aca="false">IF(L1829="","",IF(INDEX(ポート振替表!$W$5:$W$3507,$L1829)="","(なし)",INDEX(ポート振替表!$W$5:$W$3507,$L1829)&amp;""))</f>
        <v/>
      </c>
      <c r="C1829" s="52" t="str">
        <f aca="false">IF(L1829="","",INDEX(ポート振替表!$B$5:$B$3507,$L1829)&amp;" "&amp;INDEX(ポート振替表!$C$5:$C$3507,$L1829)&amp;"  ⇔  "&amp;INDEX(ポート振替表!$H$5:$H$3507,$L1829)&amp;" "&amp;INDEX(ポート振替表!$I$5:$I$3507,$L1829))</f>
        <v/>
      </c>
      <c r="D1829" s="57" t="s">
        <v>158</v>
      </c>
      <c r="E1829" s="59" t="str">
        <f aca="false">IF(L1829="","",IF(INDEX(ポート振替表!$O$5:$O$3507,$L1829)="","(未設定)",INDEX(ポート振替表!$O$5:$O$3507,$L1829)&amp;""))</f>
        <v/>
      </c>
      <c r="F1829" s="52" t="str">
        <f aca="false">IF(L1829="","",INDEX(ポート振替表!$K$5:$K$3507,$L1829)&amp;" "&amp;INDEX(ポート振替表!$L$5:$L$3507,$L1829)&amp;"  ⇔  "&amp;INDEX(ポート振替表!$H$5:$H$3507,$L1829)&amp;" "&amp;INDEX(ポート振替表!$I$5:$I$3507,$L1829))</f>
        <v/>
      </c>
      <c r="G1829" s="57" t="s">
        <v>158</v>
      </c>
      <c r="H1829" s="32" t="str">
        <f aca="false">IF(L1829="","",INDEX(ポート振替表!$N$5:$N$3507,$L1829)&amp;"")</f>
        <v/>
      </c>
      <c r="I1829" s="32" t="str">
        <f aca="false">IF(L1829="","",INDEX(ポート振替表!$P$5:$P$3507,$L1829)&amp;"")</f>
        <v/>
      </c>
      <c r="J1829" s="60" t="str">
        <f aca="false">IF(L1829="","",INDEX(ポート振替表!$M$5:$M$3507,$L1829)&amp;"")</f>
        <v/>
      </c>
      <c r="K1829" s="52" t="str">
        <f aca="false">IF(L1829="","",E1829&amp;CHAR(10)&amp;INDEX(ポート振替表!$K$5:$K$3507,$L1829)&amp;" "&amp;INDEX(ポート振替表!$L$5:$L$3507,$L1829)&amp;CHAR(10)&amp;"⇔ "&amp;INDEX(ポート振替表!$H$5:$H$3507,$L1829)&amp;" "&amp;INDEX(ポート振替表!$I$5:$I$3507,$L1829))</f>
        <v/>
      </c>
      <c r="L1829" s="47" t="str">
        <f aca="false">IFERROR(MATCH(ROW()-4,ポート振替表!$V$5:$V$3507,0),"")</f>
        <v/>
      </c>
    </row>
    <row r="1830" customFormat="false" ht="16.4" hidden="false" customHeight="false" outlineLevel="0" collapsed="false">
      <c r="A1830" s="32" t="str">
        <f aca="false">IF(L1830="","",ROW()-4)</f>
        <v/>
      </c>
      <c r="B1830" s="58" t="str">
        <f aca="false">IF(L1830="","",IF(INDEX(ポート振替表!$W$5:$W$3507,$L1830)="","(なし)",INDEX(ポート振替表!$W$5:$W$3507,$L1830)&amp;""))</f>
        <v/>
      </c>
      <c r="C1830" s="52" t="str">
        <f aca="false">IF(L1830="","",INDEX(ポート振替表!$B$5:$B$3507,$L1830)&amp;" "&amp;INDEX(ポート振替表!$C$5:$C$3507,$L1830)&amp;"  ⇔  "&amp;INDEX(ポート振替表!$H$5:$H$3507,$L1830)&amp;" "&amp;INDEX(ポート振替表!$I$5:$I$3507,$L1830))</f>
        <v/>
      </c>
      <c r="D1830" s="57" t="s">
        <v>158</v>
      </c>
      <c r="E1830" s="59" t="str">
        <f aca="false">IF(L1830="","",IF(INDEX(ポート振替表!$O$5:$O$3507,$L1830)="","(未設定)",INDEX(ポート振替表!$O$5:$O$3507,$L1830)&amp;""))</f>
        <v/>
      </c>
      <c r="F1830" s="52" t="str">
        <f aca="false">IF(L1830="","",INDEX(ポート振替表!$K$5:$K$3507,$L1830)&amp;" "&amp;INDEX(ポート振替表!$L$5:$L$3507,$L1830)&amp;"  ⇔  "&amp;INDEX(ポート振替表!$H$5:$H$3507,$L1830)&amp;" "&amp;INDEX(ポート振替表!$I$5:$I$3507,$L1830))</f>
        <v/>
      </c>
      <c r="G1830" s="57" t="s">
        <v>158</v>
      </c>
      <c r="H1830" s="32" t="str">
        <f aca="false">IF(L1830="","",INDEX(ポート振替表!$N$5:$N$3507,$L1830)&amp;"")</f>
        <v/>
      </c>
      <c r="I1830" s="32" t="str">
        <f aca="false">IF(L1830="","",INDEX(ポート振替表!$P$5:$P$3507,$L1830)&amp;"")</f>
        <v/>
      </c>
      <c r="J1830" s="60" t="str">
        <f aca="false">IF(L1830="","",INDEX(ポート振替表!$M$5:$M$3507,$L1830)&amp;"")</f>
        <v/>
      </c>
      <c r="K1830" s="52" t="str">
        <f aca="false">IF(L1830="","",E1830&amp;CHAR(10)&amp;INDEX(ポート振替表!$K$5:$K$3507,$L1830)&amp;" "&amp;INDEX(ポート振替表!$L$5:$L$3507,$L1830)&amp;CHAR(10)&amp;"⇔ "&amp;INDEX(ポート振替表!$H$5:$H$3507,$L1830)&amp;" "&amp;INDEX(ポート振替表!$I$5:$I$3507,$L1830))</f>
        <v/>
      </c>
      <c r="L1830" s="47" t="str">
        <f aca="false">IFERROR(MATCH(ROW()-4,ポート振替表!$V$5:$V$3507,0),"")</f>
        <v/>
      </c>
    </row>
    <row r="1831" customFormat="false" ht="16.4" hidden="false" customHeight="false" outlineLevel="0" collapsed="false">
      <c r="A1831" s="32" t="str">
        <f aca="false">IF(L1831="","",ROW()-4)</f>
        <v/>
      </c>
      <c r="B1831" s="58" t="str">
        <f aca="false">IF(L1831="","",IF(INDEX(ポート振替表!$W$5:$W$3507,$L1831)="","(なし)",INDEX(ポート振替表!$W$5:$W$3507,$L1831)&amp;""))</f>
        <v/>
      </c>
      <c r="C1831" s="52" t="str">
        <f aca="false">IF(L1831="","",INDEX(ポート振替表!$B$5:$B$3507,$L1831)&amp;" "&amp;INDEX(ポート振替表!$C$5:$C$3507,$L1831)&amp;"  ⇔  "&amp;INDEX(ポート振替表!$H$5:$H$3507,$L1831)&amp;" "&amp;INDEX(ポート振替表!$I$5:$I$3507,$L1831))</f>
        <v/>
      </c>
      <c r="D1831" s="57" t="s">
        <v>158</v>
      </c>
      <c r="E1831" s="59" t="str">
        <f aca="false">IF(L1831="","",IF(INDEX(ポート振替表!$O$5:$O$3507,$L1831)="","(未設定)",INDEX(ポート振替表!$O$5:$O$3507,$L1831)&amp;""))</f>
        <v/>
      </c>
      <c r="F1831" s="52" t="str">
        <f aca="false">IF(L1831="","",INDEX(ポート振替表!$K$5:$K$3507,$L1831)&amp;" "&amp;INDEX(ポート振替表!$L$5:$L$3507,$L1831)&amp;"  ⇔  "&amp;INDEX(ポート振替表!$H$5:$H$3507,$L1831)&amp;" "&amp;INDEX(ポート振替表!$I$5:$I$3507,$L1831))</f>
        <v/>
      </c>
      <c r="G1831" s="57" t="s">
        <v>158</v>
      </c>
      <c r="H1831" s="32" t="str">
        <f aca="false">IF(L1831="","",INDEX(ポート振替表!$N$5:$N$3507,$L1831)&amp;"")</f>
        <v/>
      </c>
      <c r="I1831" s="32" t="str">
        <f aca="false">IF(L1831="","",INDEX(ポート振替表!$P$5:$P$3507,$L1831)&amp;"")</f>
        <v/>
      </c>
      <c r="J1831" s="60" t="str">
        <f aca="false">IF(L1831="","",INDEX(ポート振替表!$M$5:$M$3507,$L1831)&amp;"")</f>
        <v/>
      </c>
      <c r="K1831" s="52" t="str">
        <f aca="false">IF(L1831="","",E1831&amp;CHAR(10)&amp;INDEX(ポート振替表!$K$5:$K$3507,$L1831)&amp;" "&amp;INDEX(ポート振替表!$L$5:$L$3507,$L1831)&amp;CHAR(10)&amp;"⇔ "&amp;INDEX(ポート振替表!$H$5:$H$3507,$L1831)&amp;" "&amp;INDEX(ポート振替表!$I$5:$I$3507,$L1831))</f>
        <v/>
      </c>
      <c r="L1831" s="47" t="str">
        <f aca="false">IFERROR(MATCH(ROW()-4,ポート振替表!$V$5:$V$3507,0),"")</f>
        <v/>
      </c>
    </row>
    <row r="1832" customFormat="false" ht="16.4" hidden="false" customHeight="false" outlineLevel="0" collapsed="false">
      <c r="A1832" s="32" t="str">
        <f aca="false">IF(L1832="","",ROW()-4)</f>
        <v/>
      </c>
      <c r="B1832" s="58" t="str">
        <f aca="false">IF(L1832="","",IF(INDEX(ポート振替表!$W$5:$W$3507,$L1832)="","(なし)",INDEX(ポート振替表!$W$5:$W$3507,$L1832)&amp;""))</f>
        <v/>
      </c>
      <c r="C1832" s="52" t="str">
        <f aca="false">IF(L1832="","",INDEX(ポート振替表!$B$5:$B$3507,$L1832)&amp;" "&amp;INDEX(ポート振替表!$C$5:$C$3507,$L1832)&amp;"  ⇔  "&amp;INDEX(ポート振替表!$H$5:$H$3507,$L1832)&amp;" "&amp;INDEX(ポート振替表!$I$5:$I$3507,$L1832))</f>
        <v/>
      </c>
      <c r="D1832" s="57" t="s">
        <v>158</v>
      </c>
      <c r="E1832" s="59" t="str">
        <f aca="false">IF(L1832="","",IF(INDEX(ポート振替表!$O$5:$O$3507,$L1832)="","(未設定)",INDEX(ポート振替表!$O$5:$O$3507,$L1832)&amp;""))</f>
        <v/>
      </c>
      <c r="F1832" s="52" t="str">
        <f aca="false">IF(L1832="","",INDEX(ポート振替表!$K$5:$K$3507,$L1832)&amp;" "&amp;INDEX(ポート振替表!$L$5:$L$3507,$L1832)&amp;"  ⇔  "&amp;INDEX(ポート振替表!$H$5:$H$3507,$L1832)&amp;" "&amp;INDEX(ポート振替表!$I$5:$I$3507,$L1832))</f>
        <v/>
      </c>
      <c r="G1832" s="57" t="s">
        <v>158</v>
      </c>
      <c r="H1832" s="32" t="str">
        <f aca="false">IF(L1832="","",INDEX(ポート振替表!$N$5:$N$3507,$L1832)&amp;"")</f>
        <v/>
      </c>
      <c r="I1832" s="32" t="str">
        <f aca="false">IF(L1832="","",INDEX(ポート振替表!$P$5:$P$3507,$L1832)&amp;"")</f>
        <v/>
      </c>
      <c r="J1832" s="60" t="str">
        <f aca="false">IF(L1832="","",INDEX(ポート振替表!$M$5:$M$3507,$L1832)&amp;"")</f>
        <v/>
      </c>
      <c r="K1832" s="52" t="str">
        <f aca="false">IF(L1832="","",E1832&amp;CHAR(10)&amp;INDEX(ポート振替表!$K$5:$K$3507,$L1832)&amp;" "&amp;INDEX(ポート振替表!$L$5:$L$3507,$L1832)&amp;CHAR(10)&amp;"⇔ "&amp;INDEX(ポート振替表!$H$5:$H$3507,$L1832)&amp;" "&amp;INDEX(ポート振替表!$I$5:$I$3507,$L1832))</f>
        <v/>
      </c>
      <c r="L1832" s="47" t="str">
        <f aca="false">IFERROR(MATCH(ROW()-4,ポート振替表!$V$5:$V$3507,0),"")</f>
        <v/>
      </c>
    </row>
    <row r="1833" customFormat="false" ht="16.4" hidden="false" customHeight="false" outlineLevel="0" collapsed="false">
      <c r="A1833" s="32" t="str">
        <f aca="false">IF(L1833="","",ROW()-4)</f>
        <v/>
      </c>
      <c r="B1833" s="58" t="str">
        <f aca="false">IF(L1833="","",IF(INDEX(ポート振替表!$W$5:$W$3507,$L1833)="","(なし)",INDEX(ポート振替表!$W$5:$W$3507,$L1833)&amp;""))</f>
        <v/>
      </c>
      <c r="C1833" s="52" t="str">
        <f aca="false">IF(L1833="","",INDEX(ポート振替表!$B$5:$B$3507,$L1833)&amp;" "&amp;INDEX(ポート振替表!$C$5:$C$3507,$L1833)&amp;"  ⇔  "&amp;INDEX(ポート振替表!$H$5:$H$3507,$L1833)&amp;" "&amp;INDEX(ポート振替表!$I$5:$I$3507,$L1833))</f>
        <v/>
      </c>
      <c r="D1833" s="57" t="s">
        <v>158</v>
      </c>
      <c r="E1833" s="59" t="str">
        <f aca="false">IF(L1833="","",IF(INDEX(ポート振替表!$O$5:$O$3507,$L1833)="","(未設定)",INDEX(ポート振替表!$O$5:$O$3507,$L1833)&amp;""))</f>
        <v/>
      </c>
      <c r="F1833" s="52" t="str">
        <f aca="false">IF(L1833="","",INDEX(ポート振替表!$K$5:$K$3507,$L1833)&amp;" "&amp;INDEX(ポート振替表!$L$5:$L$3507,$L1833)&amp;"  ⇔  "&amp;INDEX(ポート振替表!$H$5:$H$3507,$L1833)&amp;" "&amp;INDEX(ポート振替表!$I$5:$I$3507,$L1833))</f>
        <v/>
      </c>
      <c r="G1833" s="57" t="s">
        <v>158</v>
      </c>
      <c r="H1833" s="32" t="str">
        <f aca="false">IF(L1833="","",INDEX(ポート振替表!$N$5:$N$3507,$L1833)&amp;"")</f>
        <v/>
      </c>
      <c r="I1833" s="32" t="str">
        <f aca="false">IF(L1833="","",INDEX(ポート振替表!$P$5:$P$3507,$L1833)&amp;"")</f>
        <v/>
      </c>
      <c r="J1833" s="60" t="str">
        <f aca="false">IF(L1833="","",INDEX(ポート振替表!$M$5:$M$3507,$L1833)&amp;"")</f>
        <v/>
      </c>
      <c r="K1833" s="52" t="str">
        <f aca="false">IF(L1833="","",E1833&amp;CHAR(10)&amp;INDEX(ポート振替表!$K$5:$K$3507,$L1833)&amp;" "&amp;INDEX(ポート振替表!$L$5:$L$3507,$L1833)&amp;CHAR(10)&amp;"⇔ "&amp;INDEX(ポート振替表!$H$5:$H$3507,$L1833)&amp;" "&amp;INDEX(ポート振替表!$I$5:$I$3507,$L1833))</f>
        <v/>
      </c>
      <c r="L1833" s="47" t="str">
        <f aca="false">IFERROR(MATCH(ROW()-4,ポート振替表!$V$5:$V$3507,0),"")</f>
        <v/>
      </c>
    </row>
    <row r="1834" customFormat="false" ht="16.4" hidden="false" customHeight="false" outlineLevel="0" collapsed="false">
      <c r="A1834" s="32" t="str">
        <f aca="false">IF(L1834="","",ROW()-4)</f>
        <v/>
      </c>
      <c r="B1834" s="58" t="str">
        <f aca="false">IF(L1834="","",IF(INDEX(ポート振替表!$W$5:$W$3507,$L1834)="","(なし)",INDEX(ポート振替表!$W$5:$W$3507,$L1834)&amp;""))</f>
        <v/>
      </c>
      <c r="C1834" s="52" t="str">
        <f aca="false">IF(L1834="","",INDEX(ポート振替表!$B$5:$B$3507,$L1834)&amp;" "&amp;INDEX(ポート振替表!$C$5:$C$3507,$L1834)&amp;"  ⇔  "&amp;INDEX(ポート振替表!$H$5:$H$3507,$L1834)&amp;" "&amp;INDEX(ポート振替表!$I$5:$I$3507,$L1834))</f>
        <v/>
      </c>
      <c r="D1834" s="57" t="s">
        <v>158</v>
      </c>
      <c r="E1834" s="59" t="str">
        <f aca="false">IF(L1834="","",IF(INDEX(ポート振替表!$O$5:$O$3507,$L1834)="","(未設定)",INDEX(ポート振替表!$O$5:$O$3507,$L1834)&amp;""))</f>
        <v/>
      </c>
      <c r="F1834" s="52" t="str">
        <f aca="false">IF(L1834="","",INDEX(ポート振替表!$K$5:$K$3507,$L1834)&amp;" "&amp;INDEX(ポート振替表!$L$5:$L$3507,$L1834)&amp;"  ⇔  "&amp;INDEX(ポート振替表!$H$5:$H$3507,$L1834)&amp;" "&amp;INDEX(ポート振替表!$I$5:$I$3507,$L1834))</f>
        <v/>
      </c>
      <c r="G1834" s="57" t="s">
        <v>158</v>
      </c>
      <c r="H1834" s="32" t="str">
        <f aca="false">IF(L1834="","",INDEX(ポート振替表!$N$5:$N$3507,$L1834)&amp;"")</f>
        <v/>
      </c>
      <c r="I1834" s="32" t="str">
        <f aca="false">IF(L1834="","",INDEX(ポート振替表!$P$5:$P$3507,$L1834)&amp;"")</f>
        <v/>
      </c>
      <c r="J1834" s="60" t="str">
        <f aca="false">IF(L1834="","",INDEX(ポート振替表!$M$5:$M$3507,$L1834)&amp;"")</f>
        <v/>
      </c>
      <c r="K1834" s="52" t="str">
        <f aca="false">IF(L1834="","",E1834&amp;CHAR(10)&amp;INDEX(ポート振替表!$K$5:$K$3507,$L1834)&amp;" "&amp;INDEX(ポート振替表!$L$5:$L$3507,$L1834)&amp;CHAR(10)&amp;"⇔ "&amp;INDEX(ポート振替表!$H$5:$H$3507,$L1834)&amp;" "&amp;INDEX(ポート振替表!$I$5:$I$3507,$L1834))</f>
        <v/>
      </c>
      <c r="L1834" s="47" t="str">
        <f aca="false">IFERROR(MATCH(ROW()-4,ポート振替表!$V$5:$V$3507,0),"")</f>
        <v/>
      </c>
    </row>
    <row r="1835" customFormat="false" ht="16.4" hidden="false" customHeight="false" outlineLevel="0" collapsed="false">
      <c r="A1835" s="32" t="str">
        <f aca="false">IF(L1835="","",ROW()-4)</f>
        <v/>
      </c>
      <c r="B1835" s="58" t="str">
        <f aca="false">IF(L1835="","",IF(INDEX(ポート振替表!$W$5:$W$3507,$L1835)="","(なし)",INDEX(ポート振替表!$W$5:$W$3507,$L1835)&amp;""))</f>
        <v/>
      </c>
      <c r="C1835" s="52" t="str">
        <f aca="false">IF(L1835="","",INDEX(ポート振替表!$B$5:$B$3507,$L1835)&amp;" "&amp;INDEX(ポート振替表!$C$5:$C$3507,$L1835)&amp;"  ⇔  "&amp;INDEX(ポート振替表!$H$5:$H$3507,$L1835)&amp;" "&amp;INDEX(ポート振替表!$I$5:$I$3507,$L1835))</f>
        <v/>
      </c>
      <c r="D1835" s="57" t="s">
        <v>158</v>
      </c>
      <c r="E1835" s="59" t="str">
        <f aca="false">IF(L1835="","",IF(INDEX(ポート振替表!$O$5:$O$3507,$L1835)="","(未設定)",INDEX(ポート振替表!$O$5:$O$3507,$L1835)&amp;""))</f>
        <v/>
      </c>
      <c r="F1835" s="52" t="str">
        <f aca="false">IF(L1835="","",INDEX(ポート振替表!$K$5:$K$3507,$L1835)&amp;" "&amp;INDEX(ポート振替表!$L$5:$L$3507,$L1835)&amp;"  ⇔  "&amp;INDEX(ポート振替表!$H$5:$H$3507,$L1835)&amp;" "&amp;INDEX(ポート振替表!$I$5:$I$3507,$L1835))</f>
        <v/>
      </c>
      <c r="G1835" s="57" t="s">
        <v>158</v>
      </c>
      <c r="H1835" s="32" t="str">
        <f aca="false">IF(L1835="","",INDEX(ポート振替表!$N$5:$N$3507,$L1835)&amp;"")</f>
        <v/>
      </c>
      <c r="I1835" s="32" t="str">
        <f aca="false">IF(L1835="","",INDEX(ポート振替表!$P$5:$P$3507,$L1835)&amp;"")</f>
        <v/>
      </c>
      <c r="J1835" s="60" t="str">
        <f aca="false">IF(L1835="","",INDEX(ポート振替表!$M$5:$M$3507,$L1835)&amp;"")</f>
        <v/>
      </c>
      <c r="K1835" s="52" t="str">
        <f aca="false">IF(L1835="","",E1835&amp;CHAR(10)&amp;INDEX(ポート振替表!$K$5:$K$3507,$L1835)&amp;" "&amp;INDEX(ポート振替表!$L$5:$L$3507,$L1835)&amp;CHAR(10)&amp;"⇔ "&amp;INDEX(ポート振替表!$H$5:$H$3507,$L1835)&amp;" "&amp;INDEX(ポート振替表!$I$5:$I$3507,$L1835))</f>
        <v/>
      </c>
      <c r="L1835" s="47" t="str">
        <f aca="false">IFERROR(MATCH(ROW()-4,ポート振替表!$V$5:$V$3507,0),"")</f>
        <v/>
      </c>
    </row>
    <row r="1836" customFormat="false" ht="16.4" hidden="false" customHeight="false" outlineLevel="0" collapsed="false">
      <c r="A1836" s="32" t="str">
        <f aca="false">IF(L1836="","",ROW()-4)</f>
        <v/>
      </c>
      <c r="B1836" s="58" t="str">
        <f aca="false">IF(L1836="","",IF(INDEX(ポート振替表!$W$5:$W$3507,$L1836)="","(なし)",INDEX(ポート振替表!$W$5:$W$3507,$L1836)&amp;""))</f>
        <v/>
      </c>
      <c r="C1836" s="52" t="str">
        <f aca="false">IF(L1836="","",INDEX(ポート振替表!$B$5:$B$3507,$L1836)&amp;" "&amp;INDEX(ポート振替表!$C$5:$C$3507,$L1836)&amp;"  ⇔  "&amp;INDEX(ポート振替表!$H$5:$H$3507,$L1836)&amp;" "&amp;INDEX(ポート振替表!$I$5:$I$3507,$L1836))</f>
        <v/>
      </c>
      <c r="D1836" s="57" t="s">
        <v>158</v>
      </c>
      <c r="E1836" s="59" t="str">
        <f aca="false">IF(L1836="","",IF(INDEX(ポート振替表!$O$5:$O$3507,$L1836)="","(未設定)",INDEX(ポート振替表!$O$5:$O$3507,$L1836)&amp;""))</f>
        <v/>
      </c>
      <c r="F1836" s="52" t="str">
        <f aca="false">IF(L1836="","",INDEX(ポート振替表!$K$5:$K$3507,$L1836)&amp;" "&amp;INDEX(ポート振替表!$L$5:$L$3507,$L1836)&amp;"  ⇔  "&amp;INDEX(ポート振替表!$H$5:$H$3507,$L1836)&amp;" "&amp;INDEX(ポート振替表!$I$5:$I$3507,$L1836))</f>
        <v/>
      </c>
      <c r="G1836" s="57" t="s">
        <v>158</v>
      </c>
      <c r="H1836" s="32" t="str">
        <f aca="false">IF(L1836="","",INDEX(ポート振替表!$N$5:$N$3507,$L1836)&amp;"")</f>
        <v/>
      </c>
      <c r="I1836" s="32" t="str">
        <f aca="false">IF(L1836="","",INDEX(ポート振替表!$P$5:$P$3507,$L1836)&amp;"")</f>
        <v/>
      </c>
      <c r="J1836" s="60" t="str">
        <f aca="false">IF(L1836="","",INDEX(ポート振替表!$M$5:$M$3507,$L1836)&amp;"")</f>
        <v/>
      </c>
      <c r="K1836" s="52" t="str">
        <f aca="false">IF(L1836="","",E1836&amp;CHAR(10)&amp;INDEX(ポート振替表!$K$5:$K$3507,$L1836)&amp;" "&amp;INDEX(ポート振替表!$L$5:$L$3507,$L1836)&amp;CHAR(10)&amp;"⇔ "&amp;INDEX(ポート振替表!$H$5:$H$3507,$L1836)&amp;" "&amp;INDEX(ポート振替表!$I$5:$I$3507,$L1836))</f>
        <v/>
      </c>
      <c r="L1836" s="47" t="str">
        <f aca="false">IFERROR(MATCH(ROW()-4,ポート振替表!$V$5:$V$3507,0),"")</f>
        <v/>
      </c>
    </row>
    <row r="1837" customFormat="false" ht="16.4" hidden="false" customHeight="false" outlineLevel="0" collapsed="false">
      <c r="A1837" s="32" t="str">
        <f aca="false">IF(L1837="","",ROW()-4)</f>
        <v/>
      </c>
      <c r="B1837" s="58" t="str">
        <f aca="false">IF(L1837="","",IF(INDEX(ポート振替表!$W$5:$W$3507,$L1837)="","(なし)",INDEX(ポート振替表!$W$5:$W$3507,$L1837)&amp;""))</f>
        <v/>
      </c>
      <c r="C1837" s="52" t="str">
        <f aca="false">IF(L1837="","",INDEX(ポート振替表!$B$5:$B$3507,$L1837)&amp;" "&amp;INDEX(ポート振替表!$C$5:$C$3507,$L1837)&amp;"  ⇔  "&amp;INDEX(ポート振替表!$H$5:$H$3507,$L1837)&amp;" "&amp;INDEX(ポート振替表!$I$5:$I$3507,$L1837))</f>
        <v/>
      </c>
      <c r="D1837" s="57" t="s">
        <v>158</v>
      </c>
      <c r="E1837" s="59" t="str">
        <f aca="false">IF(L1837="","",IF(INDEX(ポート振替表!$O$5:$O$3507,$L1837)="","(未設定)",INDEX(ポート振替表!$O$5:$O$3507,$L1837)&amp;""))</f>
        <v/>
      </c>
      <c r="F1837" s="52" t="str">
        <f aca="false">IF(L1837="","",INDEX(ポート振替表!$K$5:$K$3507,$L1837)&amp;" "&amp;INDEX(ポート振替表!$L$5:$L$3507,$L1837)&amp;"  ⇔  "&amp;INDEX(ポート振替表!$H$5:$H$3507,$L1837)&amp;" "&amp;INDEX(ポート振替表!$I$5:$I$3507,$L1837))</f>
        <v/>
      </c>
      <c r="G1837" s="57" t="s">
        <v>158</v>
      </c>
      <c r="H1837" s="32" t="str">
        <f aca="false">IF(L1837="","",INDEX(ポート振替表!$N$5:$N$3507,$L1837)&amp;"")</f>
        <v/>
      </c>
      <c r="I1837" s="32" t="str">
        <f aca="false">IF(L1837="","",INDEX(ポート振替表!$P$5:$P$3507,$L1837)&amp;"")</f>
        <v/>
      </c>
      <c r="J1837" s="60" t="str">
        <f aca="false">IF(L1837="","",INDEX(ポート振替表!$M$5:$M$3507,$L1837)&amp;"")</f>
        <v/>
      </c>
      <c r="K1837" s="52" t="str">
        <f aca="false">IF(L1837="","",E1837&amp;CHAR(10)&amp;INDEX(ポート振替表!$K$5:$K$3507,$L1837)&amp;" "&amp;INDEX(ポート振替表!$L$5:$L$3507,$L1837)&amp;CHAR(10)&amp;"⇔ "&amp;INDEX(ポート振替表!$H$5:$H$3507,$L1837)&amp;" "&amp;INDEX(ポート振替表!$I$5:$I$3507,$L1837))</f>
        <v/>
      </c>
      <c r="L1837" s="47" t="str">
        <f aca="false">IFERROR(MATCH(ROW()-4,ポート振替表!$V$5:$V$3507,0),"")</f>
        <v/>
      </c>
    </row>
    <row r="1838" customFormat="false" ht="16.4" hidden="false" customHeight="false" outlineLevel="0" collapsed="false">
      <c r="A1838" s="32" t="str">
        <f aca="false">IF(L1838="","",ROW()-4)</f>
        <v/>
      </c>
      <c r="B1838" s="58" t="str">
        <f aca="false">IF(L1838="","",IF(INDEX(ポート振替表!$W$5:$W$3507,$L1838)="","(なし)",INDEX(ポート振替表!$W$5:$W$3507,$L1838)&amp;""))</f>
        <v/>
      </c>
      <c r="C1838" s="52" t="str">
        <f aca="false">IF(L1838="","",INDEX(ポート振替表!$B$5:$B$3507,$L1838)&amp;" "&amp;INDEX(ポート振替表!$C$5:$C$3507,$L1838)&amp;"  ⇔  "&amp;INDEX(ポート振替表!$H$5:$H$3507,$L1838)&amp;" "&amp;INDEX(ポート振替表!$I$5:$I$3507,$L1838))</f>
        <v/>
      </c>
      <c r="D1838" s="57" t="s">
        <v>158</v>
      </c>
      <c r="E1838" s="59" t="str">
        <f aca="false">IF(L1838="","",IF(INDEX(ポート振替表!$O$5:$O$3507,$L1838)="","(未設定)",INDEX(ポート振替表!$O$5:$O$3507,$L1838)&amp;""))</f>
        <v/>
      </c>
      <c r="F1838" s="52" t="str">
        <f aca="false">IF(L1838="","",INDEX(ポート振替表!$K$5:$K$3507,$L1838)&amp;" "&amp;INDEX(ポート振替表!$L$5:$L$3507,$L1838)&amp;"  ⇔  "&amp;INDEX(ポート振替表!$H$5:$H$3507,$L1838)&amp;" "&amp;INDEX(ポート振替表!$I$5:$I$3507,$L1838))</f>
        <v/>
      </c>
      <c r="G1838" s="57" t="s">
        <v>158</v>
      </c>
      <c r="H1838" s="32" t="str">
        <f aca="false">IF(L1838="","",INDEX(ポート振替表!$N$5:$N$3507,$L1838)&amp;"")</f>
        <v/>
      </c>
      <c r="I1838" s="32" t="str">
        <f aca="false">IF(L1838="","",INDEX(ポート振替表!$P$5:$P$3507,$L1838)&amp;"")</f>
        <v/>
      </c>
      <c r="J1838" s="60" t="str">
        <f aca="false">IF(L1838="","",INDEX(ポート振替表!$M$5:$M$3507,$L1838)&amp;"")</f>
        <v/>
      </c>
      <c r="K1838" s="52" t="str">
        <f aca="false">IF(L1838="","",E1838&amp;CHAR(10)&amp;INDEX(ポート振替表!$K$5:$K$3507,$L1838)&amp;" "&amp;INDEX(ポート振替表!$L$5:$L$3507,$L1838)&amp;CHAR(10)&amp;"⇔ "&amp;INDEX(ポート振替表!$H$5:$H$3507,$L1838)&amp;" "&amp;INDEX(ポート振替表!$I$5:$I$3507,$L1838))</f>
        <v/>
      </c>
      <c r="L1838" s="47" t="str">
        <f aca="false">IFERROR(MATCH(ROW()-4,ポート振替表!$V$5:$V$3507,0),"")</f>
        <v/>
      </c>
    </row>
    <row r="1839" customFormat="false" ht="16.4" hidden="false" customHeight="false" outlineLevel="0" collapsed="false">
      <c r="A1839" s="32" t="str">
        <f aca="false">IF(L1839="","",ROW()-4)</f>
        <v/>
      </c>
      <c r="B1839" s="58" t="str">
        <f aca="false">IF(L1839="","",IF(INDEX(ポート振替表!$W$5:$W$3507,$L1839)="","(なし)",INDEX(ポート振替表!$W$5:$W$3507,$L1839)&amp;""))</f>
        <v/>
      </c>
      <c r="C1839" s="52" t="str">
        <f aca="false">IF(L1839="","",INDEX(ポート振替表!$B$5:$B$3507,$L1839)&amp;" "&amp;INDEX(ポート振替表!$C$5:$C$3507,$L1839)&amp;"  ⇔  "&amp;INDEX(ポート振替表!$H$5:$H$3507,$L1839)&amp;" "&amp;INDEX(ポート振替表!$I$5:$I$3507,$L1839))</f>
        <v/>
      </c>
      <c r="D1839" s="57" t="s">
        <v>158</v>
      </c>
      <c r="E1839" s="59" t="str">
        <f aca="false">IF(L1839="","",IF(INDEX(ポート振替表!$O$5:$O$3507,$L1839)="","(未設定)",INDEX(ポート振替表!$O$5:$O$3507,$L1839)&amp;""))</f>
        <v/>
      </c>
      <c r="F1839" s="52" t="str">
        <f aca="false">IF(L1839="","",INDEX(ポート振替表!$K$5:$K$3507,$L1839)&amp;" "&amp;INDEX(ポート振替表!$L$5:$L$3507,$L1839)&amp;"  ⇔  "&amp;INDEX(ポート振替表!$H$5:$H$3507,$L1839)&amp;" "&amp;INDEX(ポート振替表!$I$5:$I$3507,$L1839))</f>
        <v/>
      </c>
      <c r="G1839" s="57" t="s">
        <v>158</v>
      </c>
      <c r="H1839" s="32" t="str">
        <f aca="false">IF(L1839="","",INDEX(ポート振替表!$N$5:$N$3507,$L1839)&amp;"")</f>
        <v/>
      </c>
      <c r="I1839" s="32" t="str">
        <f aca="false">IF(L1839="","",INDEX(ポート振替表!$P$5:$P$3507,$L1839)&amp;"")</f>
        <v/>
      </c>
      <c r="J1839" s="60" t="str">
        <f aca="false">IF(L1839="","",INDEX(ポート振替表!$M$5:$M$3507,$L1839)&amp;"")</f>
        <v/>
      </c>
      <c r="K1839" s="52" t="str">
        <f aca="false">IF(L1839="","",E1839&amp;CHAR(10)&amp;INDEX(ポート振替表!$K$5:$K$3507,$L1839)&amp;" "&amp;INDEX(ポート振替表!$L$5:$L$3507,$L1839)&amp;CHAR(10)&amp;"⇔ "&amp;INDEX(ポート振替表!$H$5:$H$3507,$L1839)&amp;" "&amp;INDEX(ポート振替表!$I$5:$I$3507,$L1839))</f>
        <v/>
      </c>
      <c r="L1839" s="47" t="str">
        <f aca="false">IFERROR(MATCH(ROW()-4,ポート振替表!$V$5:$V$3507,0),"")</f>
        <v/>
      </c>
    </row>
    <row r="1840" customFormat="false" ht="16.4" hidden="false" customHeight="false" outlineLevel="0" collapsed="false">
      <c r="A1840" s="32" t="str">
        <f aca="false">IF(L1840="","",ROW()-4)</f>
        <v/>
      </c>
      <c r="B1840" s="58" t="str">
        <f aca="false">IF(L1840="","",IF(INDEX(ポート振替表!$W$5:$W$3507,$L1840)="","(なし)",INDEX(ポート振替表!$W$5:$W$3507,$L1840)&amp;""))</f>
        <v/>
      </c>
      <c r="C1840" s="52" t="str">
        <f aca="false">IF(L1840="","",INDEX(ポート振替表!$B$5:$B$3507,$L1840)&amp;" "&amp;INDEX(ポート振替表!$C$5:$C$3507,$L1840)&amp;"  ⇔  "&amp;INDEX(ポート振替表!$H$5:$H$3507,$L1840)&amp;" "&amp;INDEX(ポート振替表!$I$5:$I$3507,$L1840))</f>
        <v/>
      </c>
      <c r="D1840" s="57" t="s">
        <v>158</v>
      </c>
      <c r="E1840" s="59" t="str">
        <f aca="false">IF(L1840="","",IF(INDEX(ポート振替表!$O$5:$O$3507,$L1840)="","(未設定)",INDEX(ポート振替表!$O$5:$O$3507,$L1840)&amp;""))</f>
        <v/>
      </c>
      <c r="F1840" s="52" t="str">
        <f aca="false">IF(L1840="","",INDEX(ポート振替表!$K$5:$K$3507,$L1840)&amp;" "&amp;INDEX(ポート振替表!$L$5:$L$3507,$L1840)&amp;"  ⇔  "&amp;INDEX(ポート振替表!$H$5:$H$3507,$L1840)&amp;" "&amp;INDEX(ポート振替表!$I$5:$I$3507,$L1840))</f>
        <v/>
      </c>
      <c r="G1840" s="57" t="s">
        <v>158</v>
      </c>
      <c r="H1840" s="32" t="str">
        <f aca="false">IF(L1840="","",INDEX(ポート振替表!$N$5:$N$3507,$L1840)&amp;"")</f>
        <v/>
      </c>
      <c r="I1840" s="32" t="str">
        <f aca="false">IF(L1840="","",INDEX(ポート振替表!$P$5:$P$3507,$L1840)&amp;"")</f>
        <v/>
      </c>
      <c r="J1840" s="60" t="str">
        <f aca="false">IF(L1840="","",INDEX(ポート振替表!$M$5:$M$3507,$L1840)&amp;"")</f>
        <v/>
      </c>
      <c r="K1840" s="52" t="str">
        <f aca="false">IF(L1840="","",E1840&amp;CHAR(10)&amp;INDEX(ポート振替表!$K$5:$K$3507,$L1840)&amp;" "&amp;INDEX(ポート振替表!$L$5:$L$3507,$L1840)&amp;CHAR(10)&amp;"⇔ "&amp;INDEX(ポート振替表!$H$5:$H$3507,$L1840)&amp;" "&amp;INDEX(ポート振替表!$I$5:$I$3507,$L1840))</f>
        <v/>
      </c>
      <c r="L1840" s="47" t="str">
        <f aca="false">IFERROR(MATCH(ROW()-4,ポート振替表!$V$5:$V$3507,0),"")</f>
        <v/>
      </c>
    </row>
    <row r="1841" customFormat="false" ht="16.4" hidden="false" customHeight="false" outlineLevel="0" collapsed="false">
      <c r="A1841" s="32" t="str">
        <f aca="false">IF(L1841="","",ROW()-4)</f>
        <v/>
      </c>
      <c r="B1841" s="58" t="str">
        <f aca="false">IF(L1841="","",IF(INDEX(ポート振替表!$W$5:$W$3507,$L1841)="","(なし)",INDEX(ポート振替表!$W$5:$W$3507,$L1841)&amp;""))</f>
        <v/>
      </c>
      <c r="C1841" s="52" t="str">
        <f aca="false">IF(L1841="","",INDEX(ポート振替表!$B$5:$B$3507,$L1841)&amp;" "&amp;INDEX(ポート振替表!$C$5:$C$3507,$L1841)&amp;"  ⇔  "&amp;INDEX(ポート振替表!$H$5:$H$3507,$L1841)&amp;" "&amp;INDEX(ポート振替表!$I$5:$I$3507,$L1841))</f>
        <v/>
      </c>
      <c r="D1841" s="57" t="s">
        <v>158</v>
      </c>
      <c r="E1841" s="59" t="str">
        <f aca="false">IF(L1841="","",IF(INDEX(ポート振替表!$O$5:$O$3507,$L1841)="","(未設定)",INDEX(ポート振替表!$O$5:$O$3507,$L1841)&amp;""))</f>
        <v/>
      </c>
      <c r="F1841" s="52" t="str">
        <f aca="false">IF(L1841="","",INDEX(ポート振替表!$K$5:$K$3507,$L1841)&amp;" "&amp;INDEX(ポート振替表!$L$5:$L$3507,$L1841)&amp;"  ⇔  "&amp;INDEX(ポート振替表!$H$5:$H$3507,$L1841)&amp;" "&amp;INDEX(ポート振替表!$I$5:$I$3507,$L1841))</f>
        <v/>
      </c>
      <c r="G1841" s="57" t="s">
        <v>158</v>
      </c>
      <c r="H1841" s="32" t="str">
        <f aca="false">IF(L1841="","",INDEX(ポート振替表!$N$5:$N$3507,$L1841)&amp;"")</f>
        <v/>
      </c>
      <c r="I1841" s="32" t="str">
        <f aca="false">IF(L1841="","",INDEX(ポート振替表!$P$5:$P$3507,$L1841)&amp;"")</f>
        <v/>
      </c>
      <c r="J1841" s="60" t="str">
        <f aca="false">IF(L1841="","",INDEX(ポート振替表!$M$5:$M$3507,$L1841)&amp;"")</f>
        <v/>
      </c>
      <c r="K1841" s="52" t="str">
        <f aca="false">IF(L1841="","",E1841&amp;CHAR(10)&amp;INDEX(ポート振替表!$K$5:$K$3507,$L1841)&amp;" "&amp;INDEX(ポート振替表!$L$5:$L$3507,$L1841)&amp;CHAR(10)&amp;"⇔ "&amp;INDEX(ポート振替表!$H$5:$H$3507,$L1841)&amp;" "&amp;INDEX(ポート振替表!$I$5:$I$3507,$L1841))</f>
        <v/>
      </c>
      <c r="L1841" s="47" t="str">
        <f aca="false">IFERROR(MATCH(ROW()-4,ポート振替表!$V$5:$V$3507,0),"")</f>
        <v/>
      </c>
    </row>
    <row r="1842" customFormat="false" ht="16.4" hidden="false" customHeight="false" outlineLevel="0" collapsed="false">
      <c r="A1842" s="32" t="str">
        <f aca="false">IF(L1842="","",ROW()-4)</f>
        <v/>
      </c>
      <c r="B1842" s="58" t="str">
        <f aca="false">IF(L1842="","",IF(INDEX(ポート振替表!$W$5:$W$3507,$L1842)="","(なし)",INDEX(ポート振替表!$W$5:$W$3507,$L1842)&amp;""))</f>
        <v/>
      </c>
      <c r="C1842" s="52" t="str">
        <f aca="false">IF(L1842="","",INDEX(ポート振替表!$B$5:$B$3507,$L1842)&amp;" "&amp;INDEX(ポート振替表!$C$5:$C$3507,$L1842)&amp;"  ⇔  "&amp;INDEX(ポート振替表!$H$5:$H$3507,$L1842)&amp;" "&amp;INDEX(ポート振替表!$I$5:$I$3507,$L1842))</f>
        <v/>
      </c>
      <c r="D1842" s="57" t="s">
        <v>158</v>
      </c>
      <c r="E1842" s="59" t="str">
        <f aca="false">IF(L1842="","",IF(INDEX(ポート振替表!$O$5:$O$3507,$L1842)="","(未設定)",INDEX(ポート振替表!$O$5:$O$3507,$L1842)&amp;""))</f>
        <v/>
      </c>
      <c r="F1842" s="52" t="str">
        <f aca="false">IF(L1842="","",INDEX(ポート振替表!$K$5:$K$3507,$L1842)&amp;" "&amp;INDEX(ポート振替表!$L$5:$L$3507,$L1842)&amp;"  ⇔  "&amp;INDEX(ポート振替表!$H$5:$H$3507,$L1842)&amp;" "&amp;INDEX(ポート振替表!$I$5:$I$3507,$L1842))</f>
        <v/>
      </c>
      <c r="G1842" s="57" t="s">
        <v>158</v>
      </c>
      <c r="H1842" s="32" t="str">
        <f aca="false">IF(L1842="","",INDEX(ポート振替表!$N$5:$N$3507,$L1842)&amp;"")</f>
        <v/>
      </c>
      <c r="I1842" s="32" t="str">
        <f aca="false">IF(L1842="","",INDEX(ポート振替表!$P$5:$P$3507,$L1842)&amp;"")</f>
        <v/>
      </c>
      <c r="J1842" s="60" t="str">
        <f aca="false">IF(L1842="","",INDEX(ポート振替表!$M$5:$M$3507,$L1842)&amp;"")</f>
        <v/>
      </c>
      <c r="K1842" s="52" t="str">
        <f aca="false">IF(L1842="","",E1842&amp;CHAR(10)&amp;INDEX(ポート振替表!$K$5:$K$3507,$L1842)&amp;" "&amp;INDEX(ポート振替表!$L$5:$L$3507,$L1842)&amp;CHAR(10)&amp;"⇔ "&amp;INDEX(ポート振替表!$H$5:$H$3507,$L1842)&amp;" "&amp;INDEX(ポート振替表!$I$5:$I$3507,$L1842))</f>
        <v/>
      </c>
      <c r="L1842" s="47" t="str">
        <f aca="false">IFERROR(MATCH(ROW()-4,ポート振替表!$V$5:$V$3507,0),"")</f>
        <v/>
      </c>
    </row>
    <row r="1843" customFormat="false" ht="16.4" hidden="false" customHeight="false" outlineLevel="0" collapsed="false">
      <c r="A1843" s="32" t="str">
        <f aca="false">IF(L1843="","",ROW()-4)</f>
        <v/>
      </c>
      <c r="B1843" s="58" t="str">
        <f aca="false">IF(L1843="","",IF(INDEX(ポート振替表!$W$5:$W$3507,$L1843)="","(なし)",INDEX(ポート振替表!$W$5:$W$3507,$L1843)&amp;""))</f>
        <v/>
      </c>
      <c r="C1843" s="52" t="str">
        <f aca="false">IF(L1843="","",INDEX(ポート振替表!$B$5:$B$3507,$L1843)&amp;" "&amp;INDEX(ポート振替表!$C$5:$C$3507,$L1843)&amp;"  ⇔  "&amp;INDEX(ポート振替表!$H$5:$H$3507,$L1843)&amp;" "&amp;INDEX(ポート振替表!$I$5:$I$3507,$L1843))</f>
        <v/>
      </c>
      <c r="D1843" s="57" t="s">
        <v>158</v>
      </c>
      <c r="E1843" s="59" t="str">
        <f aca="false">IF(L1843="","",IF(INDEX(ポート振替表!$O$5:$O$3507,$L1843)="","(未設定)",INDEX(ポート振替表!$O$5:$O$3507,$L1843)&amp;""))</f>
        <v/>
      </c>
      <c r="F1843" s="52" t="str">
        <f aca="false">IF(L1843="","",INDEX(ポート振替表!$K$5:$K$3507,$L1843)&amp;" "&amp;INDEX(ポート振替表!$L$5:$L$3507,$L1843)&amp;"  ⇔  "&amp;INDEX(ポート振替表!$H$5:$H$3507,$L1843)&amp;" "&amp;INDEX(ポート振替表!$I$5:$I$3507,$L1843))</f>
        <v/>
      </c>
      <c r="G1843" s="57" t="s">
        <v>158</v>
      </c>
      <c r="H1843" s="32" t="str">
        <f aca="false">IF(L1843="","",INDEX(ポート振替表!$N$5:$N$3507,$L1843)&amp;"")</f>
        <v/>
      </c>
      <c r="I1843" s="32" t="str">
        <f aca="false">IF(L1843="","",INDEX(ポート振替表!$P$5:$P$3507,$L1843)&amp;"")</f>
        <v/>
      </c>
      <c r="J1843" s="60" t="str">
        <f aca="false">IF(L1843="","",INDEX(ポート振替表!$M$5:$M$3507,$L1843)&amp;"")</f>
        <v/>
      </c>
      <c r="K1843" s="52" t="str">
        <f aca="false">IF(L1843="","",E1843&amp;CHAR(10)&amp;INDEX(ポート振替表!$K$5:$K$3507,$L1843)&amp;" "&amp;INDEX(ポート振替表!$L$5:$L$3507,$L1843)&amp;CHAR(10)&amp;"⇔ "&amp;INDEX(ポート振替表!$H$5:$H$3507,$L1843)&amp;" "&amp;INDEX(ポート振替表!$I$5:$I$3507,$L1843))</f>
        <v/>
      </c>
      <c r="L1843" s="47" t="str">
        <f aca="false">IFERROR(MATCH(ROW()-4,ポート振替表!$V$5:$V$3507,0),"")</f>
        <v/>
      </c>
    </row>
    <row r="1844" customFormat="false" ht="16.4" hidden="false" customHeight="false" outlineLevel="0" collapsed="false">
      <c r="A1844" s="32" t="str">
        <f aca="false">IF(L1844="","",ROW()-4)</f>
        <v/>
      </c>
      <c r="B1844" s="58" t="str">
        <f aca="false">IF(L1844="","",IF(INDEX(ポート振替表!$W$5:$W$3507,$L1844)="","(なし)",INDEX(ポート振替表!$W$5:$W$3507,$L1844)&amp;""))</f>
        <v/>
      </c>
      <c r="C1844" s="52" t="str">
        <f aca="false">IF(L1844="","",INDEX(ポート振替表!$B$5:$B$3507,$L1844)&amp;" "&amp;INDEX(ポート振替表!$C$5:$C$3507,$L1844)&amp;"  ⇔  "&amp;INDEX(ポート振替表!$H$5:$H$3507,$L1844)&amp;" "&amp;INDEX(ポート振替表!$I$5:$I$3507,$L1844))</f>
        <v/>
      </c>
      <c r="D1844" s="57" t="s">
        <v>158</v>
      </c>
      <c r="E1844" s="59" t="str">
        <f aca="false">IF(L1844="","",IF(INDEX(ポート振替表!$O$5:$O$3507,$L1844)="","(未設定)",INDEX(ポート振替表!$O$5:$O$3507,$L1844)&amp;""))</f>
        <v/>
      </c>
      <c r="F1844" s="52" t="str">
        <f aca="false">IF(L1844="","",INDEX(ポート振替表!$K$5:$K$3507,$L1844)&amp;" "&amp;INDEX(ポート振替表!$L$5:$L$3507,$L1844)&amp;"  ⇔  "&amp;INDEX(ポート振替表!$H$5:$H$3507,$L1844)&amp;" "&amp;INDEX(ポート振替表!$I$5:$I$3507,$L1844))</f>
        <v/>
      </c>
      <c r="G1844" s="57" t="s">
        <v>158</v>
      </c>
      <c r="H1844" s="32" t="str">
        <f aca="false">IF(L1844="","",INDEX(ポート振替表!$N$5:$N$3507,$L1844)&amp;"")</f>
        <v/>
      </c>
      <c r="I1844" s="32" t="str">
        <f aca="false">IF(L1844="","",INDEX(ポート振替表!$P$5:$P$3507,$L1844)&amp;"")</f>
        <v/>
      </c>
      <c r="J1844" s="60" t="str">
        <f aca="false">IF(L1844="","",INDEX(ポート振替表!$M$5:$M$3507,$L1844)&amp;"")</f>
        <v/>
      </c>
      <c r="K1844" s="52" t="str">
        <f aca="false">IF(L1844="","",E1844&amp;CHAR(10)&amp;INDEX(ポート振替表!$K$5:$K$3507,$L1844)&amp;" "&amp;INDEX(ポート振替表!$L$5:$L$3507,$L1844)&amp;CHAR(10)&amp;"⇔ "&amp;INDEX(ポート振替表!$H$5:$H$3507,$L1844)&amp;" "&amp;INDEX(ポート振替表!$I$5:$I$3507,$L1844))</f>
        <v/>
      </c>
      <c r="L1844" s="47" t="str">
        <f aca="false">IFERROR(MATCH(ROW()-4,ポート振替表!$V$5:$V$3507,0),"")</f>
        <v/>
      </c>
    </row>
    <row r="1845" customFormat="false" ht="16.4" hidden="false" customHeight="false" outlineLevel="0" collapsed="false">
      <c r="A1845" s="32" t="str">
        <f aca="false">IF(L1845="","",ROW()-4)</f>
        <v/>
      </c>
      <c r="B1845" s="58" t="str">
        <f aca="false">IF(L1845="","",IF(INDEX(ポート振替表!$W$5:$W$3507,$L1845)="","(なし)",INDEX(ポート振替表!$W$5:$W$3507,$L1845)&amp;""))</f>
        <v/>
      </c>
      <c r="C1845" s="52" t="str">
        <f aca="false">IF(L1845="","",INDEX(ポート振替表!$B$5:$B$3507,$L1845)&amp;" "&amp;INDEX(ポート振替表!$C$5:$C$3507,$L1845)&amp;"  ⇔  "&amp;INDEX(ポート振替表!$H$5:$H$3507,$L1845)&amp;" "&amp;INDEX(ポート振替表!$I$5:$I$3507,$L1845))</f>
        <v/>
      </c>
      <c r="D1845" s="57" t="s">
        <v>158</v>
      </c>
      <c r="E1845" s="59" t="str">
        <f aca="false">IF(L1845="","",IF(INDEX(ポート振替表!$O$5:$O$3507,$L1845)="","(未設定)",INDEX(ポート振替表!$O$5:$O$3507,$L1845)&amp;""))</f>
        <v/>
      </c>
      <c r="F1845" s="52" t="str">
        <f aca="false">IF(L1845="","",INDEX(ポート振替表!$K$5:$K$3507,$L1845)&amp;" "&amp;INDEX(ポート振替表!$L$5:$L$3507,$L1845)&amp;"  ⇔  "&amp;INDEX(ポート振替表!$H$5:$H$3507,$L1845)&amp;" "&amp;INDEX(ポート振替表!$I$5:$I$3507,$L1845))</f>
        <v/>
      </c>
      <c r="G1845" s="57" t="s">
        <v>158</v>
      </c>
      <c r="H1845" s="32" t="str">
        <f aca="false">IF(L1845="","",INDEX(ポート振替表!$N$5:$N$3507,$L1845)&amp;"")</f>
        <v/>
      </c>
      <c r="I1845" s="32" t="str">
        <f aca="false">IF(L1845="","",INDEX(ポート振替表!$P$5:$P$3507,$L1845)&amp;"")</f>
        <v/>
      </c>
      <c r="J1845" s="60" t="str">
        <f aca="false">IF(L1845="","",INDEX(ポート振替表!$M$5:$M$3507,$L1845)&amp;"")</f>
        <v/>
      </c>
      <c r="K1845" s="52" t="str">
        <f aca="false">IF(L1845="","",E1845&amp;CHAR(10)&amp;INDEX(ポート振替表!$K$5:$K$3507,$L1845)&amp;" "&amp;INDEX(ポート振替表!$L$5:$L$3507,$L1845)&amp;CHAR(10)&amp;"⇔ "&amp;INDEX(ポート振替表!$H$5:$H$3507,$L1845)&amp;" "&amp;INDEX(ポート振替表!$I$5:$I$3507,$L1845))</f>
        <v/>
      </c>
      <c r="L1845" s="47" t="str">
        <f aca="false">IFERROR(MATCH(ROW()-4,ポート振替表!$V$5:$V$3507,0),"")</f>
        <v/>
      </c>
    </row>
    <row r="1846" customFormat="false" ht="16.4" hidden="false" customHeight="false" outlineLevel="0" collapsed="false">
      <c r="A1846" s="32" t="str">
        <f aca="false">IF(L1846="","",ROW()-4)</f>
        <v/>
      </c>
      <c r="B1846" s="58" t="str">
        <f aca="false">IF(L1846="","",IF(INDEX(ポート振替表!$W$5:$W$3507,$L1846)="","(なし)",INDEX(ポート振替表!$W$5:$W$3507,$L1846)&amp;""))</f>
        <v/>
      </c>
      <c r="C1846" s="52" t="str">
        <f aca="false">IF(L1846="","",INDEX(ポート振替表!$B$5:$B$3507,$L1846)&amp;" "&amp;INDEX(ポート振替表!$C$5:$C$3507,$L1846)&amp;"  ⇔  "&amp;INDEX(ポート振替表!$H$5:$H$3507,$L1846)&amp;" "&amp;INDEX(ポート振替表!$I$5:$I$3507,$L1846))</f>
        <v/>
      </c>
      <c r="D1846" s="57" t="s">
        <v>158</v>
      </c>
      <c r="E1846" s="59" t="str">
        <f aca="false">IF(L1846="","",IF(INDEX(ポート振替表!$O$5:$O$3507,$L1846)="","(未設定)",INDEX(ポート振替表!$O$5:$O$3507,$L1846)&amp;""))</f>
        <v/>
      </c>
      <c r="F1846" s="52" t="str">
        <f aca="false">IF(L1846="","",INDEX(ポート振替表!$K$5:$K$3507,$L1846)&amp;" "&amp;INDEX(ポート振替表!$L$5:$L$3507,$L1846)&amp;"  ⇔  "&amp;INDEX(ポート振替表!$H$5:$H$3507,$L1846)&amp;" "&amp;INDEX(ポート振替表!$I$5:$I$3507,$L1846))</f>
        <v/>
      </c>
      <c r="G1846" s="57" t="s">
        <v>158</v>
      </c>
      <c r="H1846" s="32" t="str">
        <f aca="false">IF(L1846="","",INDEX(ポート振替表!$N$5:$N$3507,$L1846)&amp;"")</f>
        <v/>
      </c>
      <c r="I1846" s="32" t="str">
        <f aca="false">IF(L1846="","",INDEX(ポート振替表!$P$5:$P$3507,$L1846)&amp;"")</f>
        <v/>
      </c>
      <c r="J1846" s="60" t="str">
        <f aca="false">IF(L1846="","",INDEX(ポート振替表!$M$5:$M$3507,$L1846)&amp;"")</f>
        <v/>
      </c>
      <c r="K1846" s="52" t="str">
        <f aca="false">IF(L1846="","",E1846&amp;CHAR(10)&amp;INDEX(ポート振替表!$K$5:$K$3507,$L1846)&amp;" "&amp;INDEX(ポート振替表!$L$5:$L$3507,$L1846)&amp;CHAR(10)&amp;"⇔ "&amp;INDEX(ポート振替表!$H$5:$H$3507,$L1846)&amp;" "&amp;INDEX(ポート振替表!$I$5:$I$3507,$L1846))</f>
        <v/>
      </c>
      <c r="L1846" s="47" t="str">
        <f aca="false">IFERROR(MATCH(ROW()-4,ポート振替表!$V$5:$V$3507,0),"")</f>
        <v/>
      </c>
    </row>
    <row r="1847" customFormat="false" ht="16.4" hidden="false" customHeight="false" outlineLevel="0" collapsed="false">
      <c r="A1847" s="32" t="str">
        <f aca="false">IF(L1847="","",ROW()-4)</f>
        <v/>
      </c>
      <c r="B1847" s="58" t="str">
        <f aca="false">IF(L1847="","",IF(INDEX(ポート振替表!$W$5:$W$3507,$L1847)="","(なし)",INDEX(ポート振替表!$W$5:$W$3507,$L1847)&amp;""))</f>
        <v/>
      </c>
      <c r="C1847" s="52" t="str">
        <f aca="false">IF(L1847="","",INDEX(ポート振替表!$B$5:$B$3507,$L1847)&amp;" "&amp;INDEX(ポート振替表!$C$5:$C$3507,$L1847)&amp;"  ⇔  "&amp;INDEX(ポート振替表!$H$5:$H$3507,$L1847)&amp;" "&amp;INDEX(ポート振替表!$I$5:$I$3507,$L1847))</f>
        <v/>
      </c>
      <c r="D1847" s="57" t="s">
        <v>158</v>
      </c>
      <c r="E1847" s="59" t="str">
        <f aca="false">IF(L1847="","",IF(INDEX(ポート振替表!$O$5:$O$3507,$L1847)="","(未設定)",INDEX(ポート振替表!$O$5:$O$3507,$L1847)&amp;""))</f>
        <v/>
      </c>
      <c r="F1847" s="52" t="str">
        <f aca="false">IF(L1847="","",INDEX(ポート振替表!$K$5:$K$3507,$L1847)&amp;" "&amp;INDEX(ポート振替表!$L$5:$L$3507,$L1847)&amp;"  ⇔  "&amp;INDEX(ポート振替表!$H$5:$H$3507,$L1847)&amp;" "&amp;INDEX(ポート振替表!$I$5:$I$3507,$L1847))</f>
        <v/>
      </c>
      <c r="G1847" s="57" t="s">
        <v>158</v>
      </c>
      <c r="H1847" s="32" t="str">
        <f aca="false">IF(L1847="","",INDEX(ポート振替表!$N$5:$N$3507,$L1847)&amp;"")</f>
        <v/>
      </c>
      <c r="I1847" s="32" t="str">
        <f aca="false">IF(L1847="","",INDEX(ポート振替表!$P$5:$P$3507,$L1847)&amp;"")</f>
        <v/>
      </c>
      <c r="J1847" s="60" t="str">
        <f aca="false">IF(L1847="","",INDEX(ポート振替表!$M$5:$M$3507,$L1847)&amp;"")</f>
        <v/>
      </c>
      <c r="K1847" s="52" t="str">
        <f aca="false">IF(L1847="","",E1847&amp;CHAR(10)&amp;INDEX(ポート振替表!$K$5:$K$3507,$L1847)&amp;" "&amp;INDEX(ポート振替表!$L$5:$L$3507,$L1847)&amp;CHAR(10)&amp;"⇔ "&amp;INDEX(ポート振替表!$H$5:$H$3507,$L1847)&amp;" "&amp;INDEX(ポート振替表!$I$5:$I$3507,$L1847))</f>
        <v/>
      </c>
      <c r="L1847" s="47" t="str">
        <f aca="false">IFERROR(MATCH(ROW()-4,ポート振替表!$V$5:$V$3507,0),"")</f>
        <v/>
      </c>
    </row>
    <row r="1848" customFormat="false" ht="16.4" hidden="false" customHeight="false" outlineLevel="0" collapsed="false">
      <c r="A1848" s="32" t="str">
        <f aca="false">IF(L1848="","",ROW()-4)</f>
        <v/>
      </c>
      <c r="B1848" s="58" t="str">
        <f aca="false">IF(L1848="","",IF(INDEX(ポート振替表!$W$5:$W$3507,$L1848)="","(なし)",INDEX(ポート振替表!$W$5:$W$3507,$L1848)&amp;""))</f>
        <v/>
      </c>
      <c r="C1848" s="52" t="str">
        <f aca="false">IF(L1848="","",INDEX(ポート振替表!$B$5:$B$3507,$L1848)&amp;" "&amp;INDEX(ポート振替表!$C$5:$C$3507,$L1848)&amp;"  ⇔  "&amp;INDEX(ポート振替表!$H$5:$H$3507,$L1848)&amp;" "&amp;INDEX(ポート振替表!$I$5:$I$3507,$L1848))</f>
        <v/>
      </c>
      <c r="D1848" s="57" t="s">
        <v>158</v>
      </c>
      <c r="E1848" s="59" t="str">
        <f aca="false">IF(L1848="","",IF(INDEX(ポート振替表!$O$5:$O$3507,$L1848)="","(未設定)",INDEX(ポート振替表!$O$5:$O$3507,$L1848)&amp;""))</f>
        <v/>
      </c>
      <c r="F1848" s="52" t="str">
        <f aca="false">IF(L1848="","",INDEX(ポート振替表!$K$5:$K$3507,$L1848)&amp;" "&amp;INDEX(ポート振替表!$L$5:$L$3507,$L1848)&amp;"  ⇔  "&amp;INDEX(ポート振替表!$H$5:$H$3507,$L1848)&amp;" "&amp;INDEX(ポート振替表!$I$5:$I$3507,$L1848))</f>
        <v/>
      </c>
      <c r="G1848" s="57" t="s">
        <v>158</v>
      </c>
      <c r="H1848" s="32" t="str">
        <f aca="false">IF(L1848="","",INDEX(ポート振替表!$N$5:$N$3507,$L1848)&amp;"")</f>
        <v/>
      </c>
      <c r="I1848" s="32" t="str">
        <f aca="false">IF(L1848="","",INDEX(ポート振替表!$P$5:$P$3507,$L1848)&amp;"")</f>
        <v/>
      </c>
      <c r="J1848" s="60" t="str">
        <f aca="false">IF(L1848="","",INDEX(ポート振替表!$M$5:$M$3507,$L1848)&amp;"")</f>
        <v/>
      </c>
      <c r="K1848" s="52" t="str">
        <f aca="false">IF(L1848="","",E1848&amp;CHAR(10)&amp;INDEX(ポート振替表!$K$5:$K$3507,$L1848)&amp;" "&amp;INDEX(ポート振替表!$L$5:$L$3507,$L1848)&amp;CHAR(10)&amp;"⇔ "&amp;INDEX(ポート振替表!$H$5:$H$3507,$L1848)&amp;" "&amp;INDEX(ポート振替表!$I$5:$I$3507,$L1848))</f>
        <v/>
      </c>
      <c r="L1848" s="47" t="str">
        <f aca="false">IFERROR(MATCH(ROW()-4,ポート振替表!$V$5:$V$3507,0),"")</f>
        <v/>
      </c>
    </row>
    <row r="1849" customFormat="false" ht="16.4" hidden="false" customHeight="false" outlineLevel="0" collapsed="false">
      <c r="A1849" s="32" t="str">
        <f aca="false">IF(L1849="","",ROW()-4)</f>
        <v/>
      </c>
      <c r="B1849" s="58" t="str">
        <f aca="false">IF(L1849="","",IF(INDEX(ポート振替表!$W$5:$W$3507,$L1849)="","(なし)",INDEX(ポート振替表!$W$5:$W$3507,$L1849)&amp;""))</f>
        <v/>
      </c>
      <c r="C1849" s="52" t="str">
        <f aca="false">IF(L1849="","",INDEX(ポート振替表!$B$5:$B$3507,$L1849)&amp;" "&amp;INDEX(ポート振替表!$C$5:$C$3507,$L1849)&amp;"  ⇔  "&amp;INDEX(ポート振替表!$H$5:$H$3507,$L1849)&amp;" "&amp;INDEX(ポート振替表!$I$5:$I$3507,$L1849))</f>
        <v/>
      </c>
      <c r="D1849" s="57" t="s">
        <v>158</v>
      </c>
      <c r="E1849" s="59" t="str">
        <f aca="false">IF(L1849="","",IF(INDEX(ポート振替表!$O$5:$O$3507,$L1849)="","(未設定)",INDEX(ポート振替表!$O$5:$O$3507,$L1849)&amp;""))</f>
        <v/>
      </c>
      <c r="F1849" s="52" t="str">
        <f aca="false">IF(L1849="","",INDEX(ポート振替表!$K$5:$K$3507,$L1849)&amp;" "&amp;INDEX(ポート振替表!$L$5:$L$3507,$L1849)&amp;"  ⇔  "&amp;INDEX(ポート振替表!$H$5:$H$3507,$L1849)&amp;" "&amp;INDEX(ポート振替表!$I$5:$I$3507,$L1849))</f>
        <v/>
      </c>
      <c r="G1849" s="57" t="s">
        <v>158</v>
      </c>
      <c r="H1849" s="32" t="str">
        <f aca="false">IF(L1849="","",INDEX(ポート振替表!$N$5:$N$3507,$L1849)&amp;"")</f>
        <v/>
      </c>
      <c r="I1849" s="32" t="str">
        <f aca="false">IF(L1849="","",INDEX(ポート振替表!$P$5:$P$3507,$L1849)&amp;"")</f>
        <v/>
      </c>
      <c r="J1849" s="60" t="str">
        <f aca="false">IF(L1849="","",INDEX(ポート振替表!$M$5:$M$3507,$L1849)&amp;"")</f>
        <v/>
      </c>
      <c r="K1849" s="52" t="str">
        <f aca="false">IF(L1849="","",E1849&amp;CHAR(10)&amp;INDEX(ポート振替表!$K$5:$K$3507,$L1849)&amp;" "&amp;INDEX(ポート振替表!$L$5:$L$3507,$L1849)&amp;CHAR(10)&amp;"⇔ "&amp;INDEX(ポート振替表!$H$5:$H$3507,$L1849)&amp;" "&amp;INDEX(ポート振替表!$I$5:$I$3507,$L1849))</f>
        <v/>
      </c>
      <c r="L1849" s="47" t="str">
        <f aca="false">IFERROR(MATCH(ROW()-4,ポート振替表!$V$5:$V$3507,0),"")</f>
        <v/>
      </c>
    </row>
    <row r="1850" customFormat="false" ht="16.4" hidden="false" customHeight="false" outlineLevel="0" collapsed="false">
      <c r="A1850" s="32" t="str">
        <f aca="false">IF(L1850="","",ROW()-4)</f>
        <v/>
      </c>
      <c r="B1850" s="58" t="str">
        <f aca="false">IF(L1850="","",IF(INDEX(ポート振替表!$W$5:$W$3507,$L1850)="","(なし)",INDEX(ポート振替表!$W$5:$W$3507,$L1850)&amp;""))</f>
        <v/>
      </c>
      <c r="C1850" s="52" t="str">
        <f aca="false">IF(L1850="","",INDEX(ポート振替表!$B$5:$B$3507,$L1850)&amp;" "&amp;INDEX(ポート振替表!$C$5:$C$3507,$L1850)&amp;"  ⇔  "&amp;INDEX(ポート振替表!$H$5:$H$3507,$L1850)&amp;" "&amp;INDEX(ポート振替表!$I$5:$I$3507,$L1850))</f>
        <v/>
      </c>
      <c r="D1850" s="57" t="s">
        <v>158</v>
      </c>
      <c r="E1850" s="59" t="str">
        <f aca="false">IF(L1850="","",IF(INDEX(ポート振替表!$O$5:$O$3507,$L1850)="","(未設定)",INDEX(ポート振替表!$O$5:$O$3507,$L1850)&amp;""))</f>
        <v/>
      </c>
      <c r="F1850" s="52" t="str">
        <f aca="false">IF(L1850="","",INDEX(ポート振替表!$K$5:$K$3507,$L1850)&amp;" "&amp;INDEX(ポート振替表!$L$5:$L$3507,$L1850)&amp;"  ⇔  "&amp;INDEX(ポート振替表!$H$5:$H$3507,$L1850)&amp;" "&amp;INDEX(ポート振替表!$I$5:$I$3507,$L1850))</f>
        <v/>
      </c>
      <c r="G1850" s="57" t="s">
        <v>158</v>
      </c>
      <c r="H1850" s="32" t="str">
        <f aca="false">IF(L1850="","",INDEX(ポート振替表!$N$5:$N$3507,$L1850)&amp;"")</f>
        <v/>
      </c>
      <c r="I1850" s="32" t="str">
        <f aca="false">IF(L1850="","",INDEX(ポート振替表!$P$5:$P$3507,$L1850)&amp;"")</f>
        <v/>
      </c>
      <c r="J1850" s="60" t="str">
        <f aca="false">IF(L1850="","",INDEX(ポート振替表!$M$5:$M$3507,$L1850)&amp;"")</f>
        <v/>
      </c>
      <c r="K1850" s="52" t="str">
        <f aca="false">IF(L1850="","",E1850&amp;CHAR(10)&amp;INDEX(ポート振替表!$K$5:$K$3507,$L1850)&amp;" "&amp;INDEX(ポート振替表!$L$5:$L$3507,$L1850)&amp;CHAR(10)&amp;"⇔ "&amp;INDEX(ポート振替表!$H$5:$H$3507,$L1850)&amp;" "&amp;INDEX(ポート振替表!$I$5:$I$3507,$L1850))</f>
        <v/>
      </c>
      <c r="L1850" s="47" t="str">
        <f aca="false">IFERROR(MATCH(ROW()-4,ポート振替表!$V$5:$V$3507,0),"")</f>
        <v/>
      </c>
    </row>
    <row r="1851" customFormat="false" ht="16.4" hidden="false" customHeight="false" outlineLevel="0" collapsed="false">
      <c r="A1851" s="32" t="str">
        <f aca="false">IF(L1851="","",ROW()-4)</f>
        <v/>
      </c>
      <c r="B1851" s="58" t="str">
        <f aca="false">IF(L1851="","",IF(INDEX(ポート振替表!$W$5:$W$3507,$L1851)="","(なし)",INDEX(ポート振替表!$W$5:$W$3507,$L1851)&amp;""))</f>
        <v/>
      </c>
      <c r="C1851" s="52" t="str">
        <f aca="false">IF(L1851="","",INDEX(ポート振替表!$B$5:$B$3507,$L1851)&amp;" "&amp;INDEX(ポート振替表!$C$5:$C$3507,$L1851)&amp;"  ⇔  "&amp;INDEX(ポート振替表!$H$5:$H$3507,$L1851)&amp;" "&amp;INDEX(ポート振替表!$I$5:$I$3507,$L1851))</f>
        <v/>
      </c>
      <c r="D1851" s="57" t="s">
        <v>158</v>
      </c>
      <c r="E1851" s="59" t="str">
        <f aca="false">IF(L1851="","",IF(INDEX(ポート振替表!$O$5:$O$3507,$L1851)="","(未設定)",INDEX(ポート振替表!$O$5:$O$3507,$L1851)&amp;""))</f>
        <v/>
      </c>
      <c r="F1851" s="52" t="str">
        <f aca="false">IF(L1851="","",INDEX(ポート振替表!$K$5:$K$3507,$L1851)&amp;" "&amp;INDEX(ポート振替表!$L$5:$L$3507,$L1851)&amp;"  ⇔  "&amp;INDEX(ポート振替表!$H$5:$H$3507,$L1851)&amp;" "&amp;INDEX(ポート振替表!$I$5:$I$3507,$L1851))</f>
        <v/>
      </c>
      <c r="G1851" s="57" t="s">
        <v>158</v>
      </c>
      <c r="H1851" s="32" t="str">
        <f aca="false">IF(L1851="","",INDEX(ポート振替表!$N$5:$N$3507,$L1851)&amp;"")</f>
        <v/>
      </c>
      <c r="I1851" s="32" t="str">
        <f aca="false">IF(L1851="","",INDEX(ポート振替表!$P$5:$P$3507,$L1851)&amp;"")</f>
        <v/>
      </c>
      <c r="J1851" s="60" t="str">
        <f aca="false">IF(L1851="","",INDEX(ポート振替表!$M$5:$M$3507,$L1851)&amp;"")</f>
        <v/>
      </c>
      <c r="K1851" s="52" t="str">
        <f aca="false">IF(L1851="","",E1851&amp;CHAR(10)&amp;INDEX(ポート振替表!$K$5:$K$3507,$L1851)&amp;" "&amp;INDEX(ポート振替表!$L$5:$L$3507,$L1851)&amp;CHAR(10)&amp;"⇔ "&amp;INDEX(ポート振替表!$H$5:$H$3507,$L1851)&amp;" "&amp;INDEX(ポート振替表!$I$5:$I$3507,$L1851))</f>
        <v/>
      </c>
      <c r="L1851" s="47" t="str">
        <f aca="false">IFERROR(MATCH(ROW()-4,ポート振替表!$V$5:$V$3507,0),"")</f>
        <v/>
      </c>
    </row>
    <row r="1852" customFormat="false" ht="16.4" hidden="false" customHeight="false" outlineLevel="0" collapsed="false">
      <c r="A1852" s="32" t="str">
        <f aca="false">IF(L1852="","",ROW()-4)</f>
        <v/>
      </c>
      <c r="B1852" s="58" t="str">
        <f aca="false">IF(L1852="","",IF(INDEX(ポート振替表!$W$5:$W$3507,$L1852)="","(なし)",INDEX(ポート振替表!$W$5:$W$3507,$L1852)&amp;""))</f>
        <v/>
      </c>
      <c r="C1852" s="52" t="str">
        <f aca="false">IF(L1852="","",INDEX(ポート振替表!$B$5:$B$3507,$L1852)&amp;" "&amp;INDEX(ポート振替表!$C$5:$C$3507,$L1852)&amp;"  ⇔  "&amp;INDEX(ポート振替表!$H$5:$H$3507,$L1852)&amp;" "&amp;INDEX(ポート振替表!$I$5:$I$3507,$L1852))</f>
        <v/>
      </c>
      <c r="D1852" s="57" t="s">
        <v>158</v>
      </c>
      <c r="E1852" s="59" t="str">
        <f aca="false">IF(L1852="","",IF(INDEX(ポート振替表!$O$5:$O$3507,$L1852)="","(未設定)",INDEX(ポート振替表!$O$5:$O$3507,$L1852)&amp;""))</f>
        <v/>
      </c>
      <c r="F1852" s="52" t="str">
        <f aca="false">IF(L1852="","",INDEX(ポート振替表!$K$5:$K$3507,$L1852)&amp;" "&amp;INDEX(ポート振替表!$L$5:$L$3507,$L1852)&amp;"  ⇔  "&amp;INDEX(ポート振替表!$H$5:$H$3507,$L1852)&amp;" "&amp;INDEX(ポート振替表!$I$5:$I$3507,$L1852))</f>
        <v/>
      </c>
      <c r="G1852" s="57" t="s">
        <v>158</v>
      </c>
      <c r="H1852" s="32" t="str">
        <f aca="false">IF(L1852="","",INDEX(ポート振替表!$N$5:$N$3507,$L1852)&amp;"")</f>
        <v/>
      </c>
      <c r="I1852" s="32" t="str">
        <f aca="false">IF(L1852="","",INDEX(ポート振替表!$P$5:$P$3507,$L1852)&amp;"")</f>
        <v/>
      </c>
      <c r="J1852" s="60" t="str">
        <f aca="false">IF(L1852="","",INDEX(ポート振替表!$M$5:$M$3507,$L1852)&amp;"")</f>
        <v/>
      </c>
      <c r="K1852" s="52" t="str">
        <f aca="false">IF(L1852="","",E1852&amp;CHAR(10)&amp;INDEX(ポート振替表!$K$5:$K$3507,$L1852)&amp;" "&amp;INDEX(ポート振替表!$L$5:$L$3507,$L1852)&amp;CHAR(10)&amp;"⇔ "&amp;INDEX(ポート振替表!$H$5:$H$3507,$L1852)&amp;" "&amp;INDEX(ポート振替表!$I$5:$I$3507,$L1852))</f>
        <v/>
      </c>
      <c r="L1852" s="47" t="str">
        <f aca="false">IFERROR(MATCH(ROW()-4,ポート振替表!$V$5:$V$3507,0),"")</f>
        <v/>
      </c>
    </row>
    <row r="1853" customFormat="false" ht="16.4" hidden="false" customHeight="false" outlineLevel="0" collapsed="false">
      <c r="A1853" s="32" t="str">
        <f aca="false">IF(L1853="","",ROW()-4)</f>
        <v/>
      </c>
      <c r="B1853" s="58" t="str">
        <f aca="false">IF(L1853="","",IF(INDEX(ポート振替表!$W$5:$W$3507,$L1853)="","(なし)",INDEX(ポート振替表!$W$5:$W$3507,$L1853)&amp;""))</f>
        <v/>
      </c>
      <c r="C1853" s="52" t="str">
        <f aca="false">IF(L1853="","",INDEX(ポート振替表!$B$5:$B$3507,$L1853)&amp;" "&amp;INDEX(ポート振替表!$C$5:$C$3507,$L1853)&amp;"  ⇔  "&amp;INDEX(ポート振替表!$H$5:$H$3507,$L1853)&amp;" "&amp;INDEX(ポート振替表!$I$5:$I$3507,$L1853))</f>
        <v/>
      </c>
      <c r="D1853" s="57" t="s">
        <v>158</v>
      </c>
      <c r="E1853" s="59" t="str">
        <f aca="false">IF(L1853="","",IF(INDEX(ポート振替表!$O$5:$O$3507,$L1853)="","(未設定)",INDEX(ポート振替表!$O$5:$O$3507,$L1853)&amp;""))</f>
        <v/>
      </c>
      <c r="F1853" s="52" t="str">
        <f aca="false">IF(L1853="","",INDEX(ポート振替表!$K$5:$K$3507,$L1853)&amp;" "&amp;INDEX(ポート振替表!$L$5:$L$3507,$L1853)&amp;"  ⇔  "&amp;INDEX(ポート振替表!$H$5:$H$3507,$L1853)&amp;" "&amp;INDEX(ポート振替表!$I$5:$I$3507,$L1853))</f>
        <v/>
      </c>
      <c r="G1853" s="57" t="s">
        <v>158</v>
      </c>
      <c r="H1853" s="32" t="str">
        <f aca="false">IF(L1853="","",INDEX(ポート振替表!$N$5:$N$3507,$L1853)&amp;"")</f>
        <v/>
      </c>
      <c r="I1853" s="32" t="str">
        <f aca="false">IF(L1853="","",INDEX(ポート振替表!$P$5:$P$3507,$L1853)&amp;"")</f>
        <v/>
      </c>
      <c r="J1853" s="60" t="str">
        <f aca="false">IF(L1853="","",INDEX(ポート振替表!$M$5:$M$3507,$L1853)&amp;"")</f>
        <v/>
      </c>
      <c r="K1853" s="52" t="str">
        <f aca="false">IF(L1853="","",E1853&amp;CHAR(10)&amp;INDEX(ポート振替表!$K$5:$K$3507,$L1853)&amp;" "&amp;INDEX(ポート振替表!$L$5:$L$3507,$L1853)&amp;CHAR(10)&amp;"⇔ "&amp;INDEX(ポート振替表!$H$5:$H$3507,$L1853)&amp;" "&amp;INDEX(ポート振替表!$I$5:$I$3507,$L1853))</f>
        <v/>
      </c>
      <c r="L1853" s="47" t="str">
        <f aca="false">IFERROR(MATCH(ROW()-4,ポート振替表!$V$5:$V$3507,0),"")</f>
        <v/>
      </c>
    </row>
    <row r="1854" customFormat="false" ht="16.4" hidden="false" customHeight="false" outlineLevel="0" collapsed="false">
      <c r="A1854" s="32" t="str">
        <f aca="false">IF(L1854="","",ROW()-4)</f>
        <v/>
      </c>
      <c r="B1854" s="58" t="str">
        <f aca="false">IF(L1854="","",IF(INDEX(ポート振替表!$W$5:$W$3507,$L1854)="","(なし)",INDEX(ポート振替表!$W$5:$W$3507,$L1854)&amp;""))</f>
        <v/>
      </c>
      <c r="C1854" s="52" t="str">
        <f aca="false">IF(L1854="","",INDEX(ポート振替表!$B$5:$B$3507,$L1854)&amp;" "&amp;INDEX(ポート振替表!$C$5:$C$3507,$L1854)&amp;"  ⇔  "&amp;INDEX(ポート振替表!$H$5:$H$3507,$L1854)&amp;" "&amp;INDEX(ポート振替表!$I$5:$I$3507,$L1854))</f>
        <v/>
      </c>
      <c r="D1854" s="57" t="s">
        <v>158</v>
      </c>
      <c r="E1854" s="59" t="str">
        <f aca="false">IF(L1854="","",IF(INDEX(ポート振替表!$O$5:$O$3507,$L1854)="","(未設定)",INDEX(ポート振替表!$O$5:$O$3507,$L1854)&amp;""))</f>
        <v/>
      </c>
      <c r="F1854" s="52" t="str">
        <f aca="false">IF(L1854="","",INDEX(ポート振替表!$K$5:$K$3507,$L1854)&amp;" "&amp;INDEX(ポート振替表!$L$5:$L$3507,$L1854)&amp;"  ⇔  "&amp;INDEX(ポート振替表!$H$5:$H$3507,$L1854)&amp;" "&amp;INDEX(ポート振替表!$I$5:$I$3507,$L1854))</f>
        <v/>
      </c>
      <c r="G1854" s="57" t="s">
        <v>158</v>
      </c>
      <c r="H1854" s="32" t="str">
        <f aca="false">IF(L1854="","",INDEX(ポート振替表!$N$5:$N$3507,$L1854)&amp;"")</f>
        <v/>
      </c>
      <c r="I1854" s="32" t="str">
        <f aca="false">IF(L1854="","",INDEX(ポート振替表!$P$5:$P$3507,$L1854)&amp;"")</f>
        <v/>
      </c>
      <c r="J1854" s="60" t="str">
        <f aca="false">IF(L1854="","",INDEX(ポート振替表!$M$5:$M$3507,$L1854)&amp;"")</f>
        <v/>
      </c>
      <c r="K1854" s="52" t="str">
        <f aca="false">IF(L1854="","",E1854&amp;CHAR(10)&amp;INDEX(ポート振替表!$K$5:$K$3507,$L1854)&amp;" "&amp;INDEX(ポート振替表!$L$5:$L$3507,$L1854)&amp;CHAR(10)&amp;"⇔ "&amp;INDEX(ポート振替表!$H$5:$H$3507,$L1854)&amp;" "&amp;INDEX(ポート振替表!$I$5:$I$3507,$L1854))</f>
        <v/>
      </c>
      <c r="L1854" s="47" t="str">
        <f aca="false">IFERROR(MATCH(ROW()-4,ポート振替表!$V$5:$V$3507,0),"")</f>
        <v/>
      </c>
    </row>
    <row r="1855" customFormat="false" ht="16.4" hidden="false" customHeight="false" outlineLevel="0" collapsed="false">
      <c r="A1855" s="32" t="str">
        <f aca="false">IF(L1855="","",ROW()-4)</f>
        <v/>
      </c>
      <c r="B1855" s="58" t="str">
        <f aca="false">IF(L1855="","",IF(INDEX(ポート振替表!$W$5:$W$3507,$L1855)="","(なし)",INDEX(ポート振替表!$W$5:$W$3507,$L1855)&amp;""))</f>
        <v/>
      </c>
      <c r="C1855" s="52" t="str">
        <f aca="false">IF(L1855="","",INDEX(ポート振替表!$B$5:$B$3507,$L1855)&amp;" "&amp;INDEX(ポート振替表!$C$5:$C$3507,$L1855)&amp;"  ⇔  "&amp;INDEX(ポート振替表!$H$5:$H$3507,$L1855)&amp;" "&amp;INDEX(ポート振替表!$I$5:$I$3507,$L1855))</f>
        <v/>
      </c>
      <c r="D1855" s="57" t="s">
        <v>158</v>
      </c>
      <c r="E1855" s="59" t="str">
        <f aca="false">IF(L1855="","",IF(INDEX(ポート振替表!$O$5:$O$3507,$L1855)="","(未設定)",INDEX(ポート振替表!$O$5:$O$3507,$L1855)&amp;""))</f>
        <v/>
      </c>
      <c r="F1855" s="52" t="str">
        <f aca="false">IF(L1855="","",INDEX(ポート振替表!$K$5:$K$3507,$L1855)&amp;" "&amp;INDEX(ポート振替表!$L$5:$L$3507,$L1855)&amp;"  ⇔  "&amp;INDEX(ポート振替表!$H$5:$H$3507,$L1855)&amp;" "&amp;INDEX(ポート振替表!$I$5:$I$3507,$L1855))</f>
        <v/>
      </c>
      <c r="G1855" s="57" t="s">
        <v>158</v>
      </c>
      <c r="H1855" s="32" t="str">
        <f aca="false">IF(L1855="","",INDEX(ポート振替表!$N$5:$N$3507,$L1855)&amp;"")</f>
        <v/>
      </c>
      <c r="I1855" s="32" t="str">
        <f aca="false">IF(L1855="","",INDEX(ポート振替表!$P$5:$P$3507,$L1855)&amp;"")</f>
        <v/>
      </c>
      <c r="J1855" s="60" t="str">
        <f aca="false">IF(L1855="","",INDEX(ポート振替表!$M$5:$M$3507,$L1855)&amp;"")</f>
        <v/>
      </c>
      <c r="K1855" s="52" t="str">
        <f aca="false">IF(L1855="","",E1855&amp;CHAR(10)&amp;INDEX(ポート振替表!$K$5:$K$3507,$L1855)&amp;" "&amp;INDEX(ポート振替表!$L$5:$L$3507,$L1855)&amp;CHAR(10)&amp;"⇔ "&amp;INDEX(ポート振替表!$H$5:$H$3507,$L1855)&amp;" "&amp;INDEX(ポート振替表!$I$5:$I$3507,$L1855))</f>
        <v/>
      </c>
      <c r="L1855" s="47" t="str">
        <f aca="false">IFERROR(MATCH(ROW()-4,ポート振替表!$V$5:$V$3507,0),"")</f>
        <v/>
      </c>
    </row>
    <row r="1856" customFormat="false" ht="16.4" hidden="false" customHeight="false" outlineLevel="0" collapsed="false">
      <c r="A1856" s="32" t="str">
        <f aca="false">IF(L1856="","",ROW()-4)</f>
        <v/>
      </c>
      <c r="B1856" s="58" t="str">
        <f aca="false">IF(L1856="","",IF(INDEX(ポート振替表!$W$5:$W$3507,$L1856)="","(なし)",INDEX(ポート振替表!$W$5:$W$3507,$L1856)&amp;""))</f>
        <v/>
      </c>
      <c r="C1856" s="52" t="str">
        <f aca="false">IF(L1856="","",INDEX(ポート振替表!$B$5:$B$3507,$L1856)&amp;" "&amp;INDEX(ポート振替表!$C$5:$C$3507,$L1856)&amp;"  ⇔  "&amp;INDEX(ポート振替表!$H$5:$H$3507,$L1856)&amp;" "&amp;INDEX(ポート振替表!$I$5:$I$3507,$L1856))</f>
        <v/>
      </c>
      <c r="D1856" s="57" t="s">
        <v>158</v>
      </c>
      <c r="E1856" s="59" t="str">
        <f aca="false">IF(L1856="","",IF(INDEX(ポート振替表!$O$5:$O$3507,$L1856)="","(未設定)",INDEX(ポート振替表!$O$5:$O$3507,$L1856)&amp;""))</f>
        <v/>
      </c>
      <c r="F1856" s="52" t="str">
        <f aca="false">IF(L1856="","",INDEX(ポート振替表!$K$5:$K$3507,$L1856)&amp;" "&amp;INDEX(ポート振替表!$L$5:$L$3507,$L1856)&amp;"  ⇔  "&amp;INDEX(ポート振替表!$H$5:$H$3507,$L1856)&amp;" "&amp;INDEX(ポート振替表!$I$5:$I$3507,$L1856))</f>
        <v/>
      </c>
      <c r="G1856" s="57" t="s">
        <v>158</v>
      </c>
      <c r="H1856" s="32" t="str">
        <f aca="false">IF(L1856="","",INDEX(ポート振替表!$N$5:$N$3507,$L1856)&amp;"")</f>
        <v/>
      </c>
      <c r="I1856" s="32" t="str">
        <f aca="false">IF(L1856="","",INDEX(ポート振替表!$P$5:$P$3507,$L1856)&amp;"")</f>
        <v/>
      </c>
      <c r="J1856" s="60" t="str">
        <f aca="false">IF(L1856="","",INDEX(ポート振替表!$M$5:$M$3507,$L1856)&amp;"")</f>
        <v/>
      </c>
      <c r="K1856" s="52" t="str">
        <f aca="false">IF(L1856="","",E1856&amp;CHAR(10)&amp;INDEX(ポート振替表!$K$5:$K$3507,$L1856)&amp;" "&amp;INDEX(ポート振替表!$L$5:$L$3507,$L1856)&amp;CHAR(10)&amp;"⇔ "&amp;INDEX(ポート振替表!$H$5:$H$3507,$L1856)&amp;" "&amp;INDEX(ポート振替表!$I$5:$I$3507,$L1856))</f>
        <v/>
      </c>
      <c r="L1856" s="47" t="str">
        <f aca="false">IFERROR(MATCH(ROW()-4,ポート振替表!$V$5:$V$3507,0),"")</f>
        <v/>
      </c>
    </row>
    <row r="1857" customFormat="false" ht="16.4" hidden="false" customHeight="false" outlineLevel="0" collapsed="false">
      <c r="A1857" s="32" t="str">
        <f aca="false">IF(L1857="","",ROW()-4)</f>
        <v/>
      </c>
      <c r="B1857" s="58" t="str">
        <f aca="false">IF(L1857="","",IF(INDEX(ポート振替表!$W$5:$W$3507,$L1857)="","(なし)",INDEX(ポート振替表!$W$5:$W$3507,$L1857)&amp;""))</f>
        <v/>
      </c>
      <c r="C1857" s="52" t="str">
        <f aca="false">IF(L1857="","",INDEX(ポート振替表!$B$5:$B$3507,$L1857)&amp;" "&amp;INDEX(ポート振替表!$C$5:$C$3507,$L1857)&amp;"  ⇔  "&amp;INDEX(ポート振替表!$H$5:$H$3507,$L1857)&amp;" "&amp;INDEX(ポート振替表!$I$5:$I$3507,$L1857))</f>
        <v/>
      </c>
      <c r="D1857" s="57" t="s">
        <v>158</v>
      </c>
      <c r="E1857" s="59" t="str">
        <f aca="false">IF(L1857="","",IF(INDEX(ポート振替表!$O$5:$O$3507,$L1857)="","(未設定)",INDEX(ポート振替表!$O$5:$O$3507,$L1857)&amp;""))</f>
        <v/>
      </c>
      <c r="F1857" s="52" t="str">
        <f aca="false">IF(L1857="","",INDEX(ポート振替表!$K$5:$K$3507,$L1857)&amp;" "&amp;INDEX(ポート振替表!$L$5:$L$3507,$L1857)&amp;"  ⇔  "&amp;INDEX(ポート振替表!$H$5:$H$3507,$L1857)&amp;" "&amp;INDEX(ポート振替表!$I$5:$I$3507,$L1857))</f>
        <v/>
      </c>
      <c r="G1857" s="57" t="s">
        <v>158</v>
      </c>
      <c r="H1857" s="32" t="str">
        <f aca="false">IF(L1857="","",INDEX(ポート振替表!$N$5:$N$3507,$L1857)&amp;"")</f>
        <v/>
      </c>
      <c r="I1857" s="32" t="str">
        <f aca="false">IF(L1857="","",INDEX(ポート振替表!$P$5:$P$3507,$L1857)&amp;"")</f>
        <v/>
      </c>
      <c r="J1857" s="60" t="str">
        <f aca="false">IF(L1857="","",INDEX(ポート振替表!$M$5:$M$3507,$L1857)&amp;"")</f>
        <v/>
      </c>
      <c r="K1857" s="52" t="str">
        <f aca="false">IF(L1857="","",E1857&amp;CHAR(10)&amp;INDEX(ポート振替表!$K$5:$K$3507,$L1857)&amp;" "&amp;INDEX(ポート振替表!$L$5:$L$3507,$L1857)&amp;CHAR(10)&amp;"⇔ "&amp;INDEX(ポート振替表!$H$5:$H$3507,$L1857)&amp;" "&amp;INDEX(ポート振替表!$I$5:$I$3507,$L1857))</f>
        <v/>
      </c>
      <c r="L1857" s="47" t="str">
        <f aca="false">IFERROR(MATCH(ROW()-4,ポート振替表!$V$5:$V$3507,0),"")</f>
        <v/>
      </c>
    </row>
    <row r="1858" customFormat="false" ht="16.4" hidden="false" customHeight="false" outlineLevel="0" collapsed="false">
      <c r="A1858" s="32" t="str">
        <f aca="false">IF(L1858="","",ROW()-4)</f>
        <v/>
      </c>
      <c r="B1858" s="58" t="str">
        <f aca="false">IF(L1858="","",IF(INDEX(ポート振替表!$W$5:$W$3507,$L1858)="","(なし)",INDEX(ポート振替表!$W$5:$W$3507,$L1858)&amp;""))</f>
        <v/>
      </c>
      <c r="C1858" s="52" t="str">
        <f aca="false">IF(L1858="","",INDEX(ポート振替表!$B$5:$B$3507,$L1858)&amp;" "&amp;INDEX(ポート振替表!$C$5:$C$3507,$L1858)&amp;"  ⇔  "&amp;INDEX(ポート振替表!$H$5:$H$3507,$L1858)&amp;" "&amp;INDEX(ポート振替表!$I$5:$I$3507,$L1858))</f>
        <v/>
      </c>
      <c r="D1858" s="57" t="s">
        <v>158</v>
      </c>
      <c r="E1858" s="59" t="str">
        <f aca="false">IF(L1858="","",IF(INDEX(ポート振替表!$O$5:$O$3507,$L1858)="","(未設定)",INDEX(ポート振替表!$O$5:$O$3507,$L1858)&amp;""))</f>
        <v/>
      </c>
      <c r="F1858" s="52" t="str">
        <f aca="false">IF(L1858="","",INDEX(ポート振替表!$K$5:$K$3507,$L1858)&amp;" "&amp;INDEX(ポート振替表!$L$5:$L$3507,$L1858)&amp;"  ⇔  "&amp;INDEX(ポート振替表!$H$5:$H$3507,$L1858)&amp;" "&amp;INDEX(ポート振替表!$I$5:$I$3507,$L1858))</f>
        <v/>
      </c>
      <c r="G1858" s="57" t="s">
        <v>158</v>
      </c>
      <c r="H1858" s="32" t="str">
        <f aca="false">IF(L1858="","",INDEX(ポート振替表!$N$5:$N$3507,$L1858)&amp;"")</f>
        <v/>
      </c>
      <c r="I1858" s="32" t="str">
        <f aca="false">IF(L1858="","",INDEX(ポート振替表!$P$5:$P$3507,$L1858)&amp;"")</f>
        <v/>
      </c>
      <c r="J1858" s="60" t="str">
        <f aca="false">IF(L1858="","",INDEX(ポート振替表!$M$5:$M$3507,$L1858)&amp;"")</f>
        <v/>
      </c>
      <c r="K1858" s="52" t="str">
        <f aca="false">IF(L1858="","",E1858&amp;CHAR(10)&amp;INDEX(ポート振替表!$K$5:$K$3507,$L1858)&amp;" "&amp;INDEX(ポート振替表!$L$5:$L$3507,$L1858)&amp;CHAR(10)&amp;"⇔ "&amp;INDEX(ポート振替表!$H$5:$H$3507,$L1858)&amp;" "&amp;INDEX(ポート振替表!$I$5:$I$3507,$L1858))</f>
        <v/>
      </c>
      <c r="L1858" s="47" t="str">
        <f aca="false">IFERROR(MATCH(ROW()-4,ポート振替表!$V$5:$V$3507,0),"")</f>
        <v/>
      </c>
    </row>
    <row r="1859" customFormat="false" ht="16.4" hidden="false" customHeight="false" outlineLevel="0" collapsed="false">
      <c r="A1859" s="32" t="str">
        <f aca="false">IF(L1859="","",ROW()-4)</f>
        <v/>
      </c>
      <c r="B1859" s="58" t="str">
        <f aca="false">IF(L1859="","",IF(INDEX(ポート振替表!$W$5:$W$3507,$L1859)="","(なし)",INDEX(ポート振替表!$W$5:$W$3507,$L1859)&amp;""))</f>
        <v/>
      </c>
      <c r="C1859" s="52" t="str">
        <f aca="false">IF(L1859="","",INDEX(ポート振替表!$B$5:$B$3507,$L1859)&amp;" "&amp;INDEX(ポート振替表!$C$5:$C$3507,$L1859)&amp;"  ⇔  "&amp;INDEX(ポート振替表!$H$5:$H$3507,$L1859)&amp;" "&amp;INDEX(ポート振替表!$I$5:$I$3507,$L1859))</f>
        <v/>
      </c>
      <c r="D1859" s="57" t="s">
        <v>158</v>
      </c>
      <c r="E1859" s="59" t="str">
        <f aca="false">IF(L1859="","",IF(INDEX(ポート振替表!$O$5:$O$3507,$L1859)="","(未設定)",INDEX(ポート振替表!$O$5:$O$3507,$L1859)&amp;""))</f>
        <v/>
      </c>
      <c r="F1859" s="52" t="str">
        <f aca="false">IF(L1859="","",INDEX(ポート振替表!$K$5:$K$3507,$L1859)&amp;" "&amp;INDEX(ポート振替表!$L$5:$L$3507,$L1859)&amp;"  ⇔  "&amp;INDEX(ポート振替表!$H$5:$H$3507,$L1859)&amp;" "&amp;INDEX(ポート振替表!$I$5:$I$3507,$L1859))</f>
        <v/>
      </c>
      <c r="G1859" s="57" t="s">
        <v>158</v>
      </c>
      <c r="H1859" s="32" t="str">
        <f aca="false">IF(L1859="","",INDEX(ポート振替表!$N$5:$N$3507,$L1859)&amp;"")</f>
        <v/>
      </c>
      <c r="I1859" s="32" t="str">
        <f aca="false">IF(L1859="","",INDEX(ポート振替表!$P$5:$P$3507,$L1859)&amp;"")</f>
        <v/>
      </c>
      <c r="J1859" s="60" t="str">
        <f aca="false">IF(L1859="","",INDEX(ポート振替表!$M$5:$M$3507,$L1859)&amp;"")</f>
        <v/>
      </c>
      <c r="K1859" s="52" t="str">
        <f aca="false">IF(L1859="","",E1859&amp;CHAR(10)&amp;INDEX(ポート振替表!$K$5:$K$3507,$L1859)&amp;" "&amp;INDEX(ポート振替表!$L$5:$L$3507,$L1859)&amp;CHAR(10)&amp;"⇔ "&amp;INDEX(ポート振替表!$H$5:$H$3507,$L1859)&amp;" "&amp;INDEX(ポート振替表!$I$5:$I$3507,$L1859))</f>
        <v/>
      </c>
      <c r="L1859" s="47" t="str">
        <f aca="false">IFERROR(MATCH(ROW()-4,ポート振替表!$V$5:$V$3507,0),"")</f>
        <v/>
      </c>
    </row>
    <row r="1860" customFormat="false" ht="16.4" hidden="false" customHeight="false" outlineLevel="0" collapsed="false">
      <c r="A1860" s="32" t="str">
        <f aca="false">IF(L1860="","",ROW()-4)</f>
        <v/>
      </c>
      <c r="B1860" s="58" t="str">
        <f aca="false">IF(L1860="","",IF(INDEX(ポート振替表!$W$5:$W$3507,$L1860)="","(なし)",INDEX(ポート振替表!$W$5:$W$3507,$L1860)&amp;""))</f>
        <v/>
      </c>
      <c r="C1860" s="52" t="str">
        <f aca="false">IF(L1860="","",INDEX(ポート振替表!$B$5:$B$3507,$L1860)&amp;" "&amp;INDEX(ポート振替表!$C$5:$C$3507,$L1860)&amp;"  ⇔  "&amp;INDEX(ポート振替表!$H$5:$H$3507,$L1860)&amp;" "&amp;INDEX(ポート振替表!$I$5:$I$3507,$L1860))</f>
        <v/>
      </c>
      <c r="D1860" s="57" t="s">
        <v>158</v>
      </c>
      <c r="E1860" s="59" t="str">
        <f aca="false">IF(L1860="","",IF(INDEX(ポート振替表!$O$5:$O$3507,$L1860)="","(未設定)",INDEX(ポート振替表!$O$5:$O$3507,$L1860)&amp;""))</f>
        <v/>
      </c>
      <c r="F1860" s="52" t="str">
        <f aca="false">IF(L1860="","",INDEX(ポート振替表!$K$5:$K$3507,$L1860)&amp;" "&amp;INDEX(ポート振替表!$L$5:$L$3507,$L1860)&amp;"  ⇔  "&amp;INDEX(ポート振替表!$H$5:$H$3507,$L1860)&amp;" "&amp;INDEX(ポート振替表!$I$5:$I$3507,$L1860))</f>
        <v/>
      </c>
      <c r="G1860" s="57" t="s">
        <v>158</v>
      </c>
      <c r="H1860" s="32" t="str">
        <f aca="false">IF(L1860="","",INDEX(ポート振替表!$N$5:$N$3507,$L1860)&amp;"")</f>
        <v/>
      </c>
      <c r="I1860" s="32" t="str">
        <f aca="false">IF(L1860="","",INDEX(ポート振替表!$P$5:$P$3507,$L1860)&amp;"")</f>
        <v/>
      </c>
      <c r="J1860" s="60" t="str">
        <f aca="false">IF(L1860="","",INDEX(ポート振替表!$M$5:$M$3507,$L1860)&amp;"")</f>
        <v/>
      </c>
      <c r="K1860" s="52" t="str">
        <f aca="false">IF(L1860="","",E1860&amp;CHAR(10)&amp;INDEX(ポート振替表!$K$5:$K$3507,$L1860)&amp;" "&amp;INDEX(ポート振替表!$L$5:$L$3507,$L1860)&amp;CHAR(10)&amp;"⇔ "&amp;INDEX(ポート振替表!$H$5:$H$3507,$L1860)&amp;" "&amp;INDEX(ポート振替表!$I$5:$I$3507,$L1860))</f>
        <v/>
      </c>
      <c r="L1860" s="47" t="str">
        <f aca="false">IFERROR(MATCH(ROW()-4,ポート振替表!$V$5:$V$3507,0),"")</f>
        <v/>
      </c>
    </row>
    <row r="1861" customFormat="false" ht="16.4" hidden="false" customHeight="false" outlineLevel="0" collapsed="false">
      <c r="A1861" s="32" t="str">
        <f aca="false">IF(L1861="","",ROW()-4)</f>
        <v/>
      </c>
      <c r="B1861" s="58" t="str">
        <f aca="false">IF(L1861="","",IF(INDEX(ポート振替表!$W$5:$W$3507,$L1861)="","(なし)",INDEX(ポート振替表!$W$5:$W$3507,$L1861)&amp;""))</f>
        <v/>
      </c>
      <c r="C1861" s="52" t="str">
        <f aca="false">IF(L1861="","",INDEX(ポート振替表!$B$5:$B$3507,$L1861)&amp;" "&amp;INDEX(ポート振替表!$C$5:$C$3507,$L1861)&amp;"  ⇔  "&amp;INDEX(ポート振替表!$H$5:$H$3507,$L1861)&amp;" "&amp;INDEX(ポート振替表!$I$5:$I$3507,$L1861))</f>
        <v/>
      </c>
      <c r="D1861" s="57" t="s">
        <v>158</v>
      </c>
      <c r="E1861" s="59" t="str">
        <f aca="false">IF(L1861="","",IF(INDEX(ポート振替表!$O$5:$O$3507,$L1861)="","(未設定)",INDEX(ポート振替表!$O$5:$O$3507,$L1861)&amp;""))</f>
        <v/>
      </c>
      <c r="F1861" s="52" t="str">
        <f aca="false">IF(L1861="","",INDEX(ポート振替表!$K$5:$K$3507,$L1861)&amp;" "&amp;INDEX(ポート振替表!$L$5:$L$3507,$L1861)&amp;"  ⇔  "&amp;INDEX(ポート振替表!$H$5:$H$3507,$L1861)&amp;" "&amp;INDEX(ポート振替表!$I$5:$I$3507,$L1861))</f>
        <v/>
      </c>
      <c r="G1861" s="57" t="s">
        <v>158</v>
      </c>
      <c r="H1861" s="32" t="str">
        <f aca="false">IF(L1861="","",INDEX(ポート振替表!$N$5:$N$3507,$L1861)&amp;"")</f>
        <v/>
      </c>
      <c r="I1861" s="32" t="str">
        <f aca="false">IF(L1861="","",INDEX(ポート振替表!$P$5:$P$3507,$L1861)&amp;"")</f>
        <v/>
      </c>
      <c r="J1861" s="60" t="str">
        <f aca="false">IF(L1861="","",INDEX(ポート振替表!$M$5:$M$3507,$L1861)&amp;"")</f>
        <v/>
      </c>
      <c r="K1861" s="52" t="str">
        <f aca="false">IF(L1861="","",E1861&amp;CHAR(10)&amp;INDEX(ポート振替表!$K$5:$K$3507,$L1861)&amp;" "&amp;INDEX(ポート振替表!$L$5:$L$3507,$L1861)&amp;CHAR(10)&amp;"⇔ "&amp;INDEX(ポート振替表!$H$5:$H$3507,$L1861)&amp;" "&amp;INDEX(ポート振替表!$I$5:$I$3507,$L1861))</f>
        <v/>
      </c>
      <c r="L1861" s="47" t="str">
        <f aca="false">IFERROR(MATCH(ROW()-4,ポート振替表!$V$5:$V$3507,0),"")</f>
        <v/>
      </c>
    </row>
    <row r="1862" customFormat="false" ht="16.4" hidden="false" customHeight="false" outlineLevel="0" collapsed="false">
      <c r="A1862" s="32" t="str">
        <f aca="false">IF(L1862="","",ROW()-4)</f>
        <v/>
      </c>
      <c r="B1862" s="58" t="str">
        <f aca="false">IF(L1862="","",IF(INDEX(ポート振替表!$W$5:$W$3507,$L1862)="","(なし)",INDEX(ポート振替表!$W$5:$W$3507,$L1862)&amp;""))</f>
        <v/>
      </c>
      <c r="C1862" s="52" t="str">
        <f aca="false">IF(L1862="","",INDEX(ポート振替表!$B$5:$B$3507,$L1862)&amp;" "&amp;INDEX(ポート振替表!$C$5:$C$3507,$L1862)&amp;"  ⇔  "&amp;INDEX(ポート振替表!$H$5:$H$3507,$L1862)&amp;" "&amp;INDEX(ポート振替表!$I$5:$I$3507,$L1862))</f>
        <v/>
      </c>
      <c r="D1862" s="57" t="s">
        <v>158</v>
      </c>
      <c r="E1862" s="59" t="str">
        <f aca="false">IF(L1862="","",IF(INDEX(ポート振替表!$O$5:$O$3507,$L1862)="","(未設定)",INDEX(ポート振替表!$O$5:$O$3507,$L1862)&amp;""))</f>
        <v/>
      </c>
      <c r="F1862" s="52" t="str">
        <f aca="false">IF(L1862="","",INDEX(ポート振替表!$K$5:$K$3507,$L1862)&amp;" "&amp;INDEX(ポート振替表!$L$5:$L$3507,$L1862)&amp;"  ⇔  "&amp;INDEX(ポート振替表!$H$5:$H$3507,$L1862)&amp;" "&amp;INDEX(ポート振替表!$I$5:$I$3507,$L1862))</f>
        <v/>
      </c>
      <c r="G1862" s="57" t="s">
        <v>158</v>
      </c>
      <c r="H1862" s="32" t="str">
        <f aca="false">IF(L1862="","",INDEX(ポート振替表!$N$5:$N$3507,$L1862)&amp;"")</f>
        <v/>
      </c>
      <c r="I1862" s="32" t="str">
        <f aca="false">IF(L1862="","",INDEX(ポート振替表!$P$5:$P$3507,$L1862)&amp;"")</f>
        <v/>
      </c>
      <c r="J1862" s="60" t="str">
        <f aca="false">IF(L1862="","",INDEX(ポート振替表!$M$5:$M$3507,$L1862)&amp;"")</f>
        <v/>
      </c>
      <c r="K1862" s="52" t="str">
        <f aca="false">IF(L1862="","",E1862&amp;CHAR(10)&amp;INDEX(ポート振替表!$K$5:$K$3507,$L1862)&amp;" "&amp;INDEX(ポート振替表!$L$5:$L$3507,$L1862)&amp;CHAR(10)&amp;"⇔ "&amp;INDEX(ポート振替表!$H$5:$H$3507,$L1862)&amp;" "&amp;INDEX(ポート振替表!$I$5:$I$3507,$L1862))</f>
        <v/>
      </c>
      <c r="L1862" s="47" t="str">
        <f aca="false">IFERROR(MATCH(ROW()-4,ポート振替表!$V$5:$V$3507,0),"")</f>
        <v/>
      </c>
    </row>
    <row r="1863" customFormat="false" ht="16.4" hidden="false" customHeight="false" outlineLevel="0" collapsed="false">
      <c r="A1863" s="32" t="str">
        <f aca="false">IF(L1863="","",ROW()-4)</f>
        <v/>
      </c>
      <c r="B1863" s="58" t="str">
        <f aca="false">IF(L1863="","",IF(INDEX(ポート振替表!$W$5:$W$3507,$L1863)="","(なし)",INDEX(ポート振替表!$W$5:$W$3507,$L1863)&amp;""))</f>
        <v/>
      </c>
      <c r="C1863" s="52" t="str">
        <f aca="false">IF(L1863="","",INDEX(ポート振替表!$B$5:$B$3507,$L1863)&amp;" "&amp;INDEX(ポート振替表!$C$5:$C$3507,$L1863)&amp;"  ⇔  "&amp;INDEX(ポート振替表!$H$5:$H$3507,$L1863)&amp;" "&amp;INDEX(ポート振替表!$I$5:$I$3507,$L1863))</f>
        <v/>
      </c>
      <c r="D1863" s="57" t="s">
        <v>158</v>
      </c>
      <c r="E1863" s="59" t="str">
        <f aca="false">IF(L1863="","",IF(INDEX(ポート振替表!$O$5:$O$3507,$L1863)="","(未設定)",INDEX(ポート振替表!$O$5:$O$3507,$L1863)&amp;""))</f>
        <v/>
      </c>
      <c r="F1863" s="52" t="str">
        <f aca="false">IF(L1863="","",INDEX(ポート振替表!$K$5:$K$3507,$L1863)&amp;" "&amp;INDEX(ポート振替表!$L$5:$L$3507,$L1863)&amp;"  ⇔  "&amp;INDEX(ポート振替表!$H$5:$H$3507,$L1863)&amp;" "&amp;INDEX(ポート振替表!$I$5:$I$3507,$L1863))</f>
        <v/>
      </c>
      <c r="G1863" s="57" t="s">
        <v>158</v>
      </c>
      <c r="H1863" s="32" t="str">
        <f aca="false">IF(L1863="","",INDEX(ポート振替表!$N$5:$N$3507,$L1863)&amp;"")</f>
        <v/>
      </c>
      <c r="I1863" s="32" t="str">
        <f aca="false">IF(L1863="","",INDEX(ポート振替表!$P$5:$P$3507,$L1863)&amp;"")</f>
        <v/>
      </c>
      <c r="J1863" s="60" t="str">
        <f aca="false">IF(L1863="","",INDEX(ポート振替表!$M$5:$M$3507,$L1863)&amp;"")</f>
        <v/>
      </c>
      <c r="K1863" s="52" t="str">
        <f aca="false">IF(L1863="","",E1863&amp;CHAR(10)&amp;INDEX(ポート振替表!$K$5:$K$3507,$L1863)&amp;" "&amp;INDEX(ポート振替表!$L$5:$L$3507,$L1863)&amp;CHAR(10)&amp;"⇔ "&amp;INDEX(ポート振替表!$H$5:$H$3507,$L1863)&amp;" "&amp;INDEX(ポート振替表!$I$5:$I$3507,$L1863))</f>
        <v/>
      </c>
      <c r="L1863" s="47" t="str">
        <f aca="false">IFERROR(MATCH(ROW()-4,ポート振替表!$V$5:$V$3507,0),"")</f>
        <v/>
      </c>
    </row>
    <row r="1864" customFormat="false" ht="16.4" hidden="false" customHeight="false" outlineLevel="0" collapsed="false">
      <c r="A1864" s="32" t="str">
        <f aca="false">IF(L1864="","",ROW()-4)</f>
        <v/>
      </c>
      <c r="B1864" s="58" t="str">
        <f aca="false">IF(L1864="","",IF(INDEX(ポート振替表!$W$5:$W$3507,$L1864)="","(なし)",INDEX(ポート振替表!$W$5:$W$3507,$L1864)&amp;""))</f>
        <v/>
      </c>
      <c r="C1864" s="52" t="str">
        <f aca="false">IF(L1864="","",INDEX(ポート振替表!$B$5:$B$3507,$L1864)&amp;" "&amp;INDEX(ポート振替表!$C$5:$C$3507,$L1864)&amp;"  ⇔  "&amp;INDEX(ポート振替表!$H$5:$H$3507,$L1864)&amp;" "&amp;INDEX(ポート振替表!$I$5:$I$3507,$L1864))</f>
        <v/>
      </c>
      <c r="D1864" s="57" t="s">
        <v>158</v>
      </c>
      <c r="E1864" s="59" t="str">
        <f aca="false">IF(L1864="","",IF(INDEX(ポート振替表!$O$5:$O$3507,$L1864)="","(未設定)",INDEX(ポート振替表!$O$5:$O$3507,$L1864)&amp;""))</f>
        <v/>
      </c>
      <c r="F1864" s="52" t="str">
        <f aca="false">IF(L1864="","",INDEX(ポート振替表!$K$5:$K$3507,$L1864)&amp;" "&amp;INDEX(ポート振替表!$L$5:$L$3507,$L1864)&amp;"  ⇔  "&amp;INDEX(ポート振替表!$H$5:$H$3507,$L1864)&amp;" "&amp;INDEX(ポート振替表!$I$5:$I$3507,$L1864))</f>
        <v/>
      </c>
      <c r="G1864" s="57" t="s">
        <v>158</v>
      </c>
      <c r="H1864" s="32" t="str">
        <f aca="false">IF(L1864="","",INDEX(ポート振替表!$N$5:$N$3507,$L1864)&amp;"")</f>
        <v/>
      </c>
      <c r="I1864" s="32" t="str">
        <f aca="false">IF(L1864="","",INDEX(ポート振替表!$P$5:$P$3507,$L1864)&amp;"")</f>
        <v/>
      </c>
      <c r="J1864" s="60" t="str">
        <f aca="false">IF(L1864="","",INDEX(ポート振替表!$M$5:$M$3507,$L1864)&amp;"")</f>
        <v/>
      </c>
      <c r="K1864" s="52" t="str">
        <f aca="false">IF(L1864="","",E1864&amp;CHAR(10)&amp;INDEX(ポート振替表!$K$5:$K$3507,$L1864)&amp;" "&amp;INDEX(ポート振替表!$L$5:$L$3507,$L1864)&amp;CHAR(10)&amp;"⇔ "&amp;INDEX(ポート振替表!$H$5:$H$3507,$L1864)&amp;" "&amp;INDEX(ポート振替表!$I$5:$I$3507,$L1864))</f>
        <v/>
      </c>
      <c r="L1864" s="47" t="str">
        <f aca="false">IFERROR(MATCH(ROW()-4,ポート振替表!$V$5:$V$3507,0),"")</f>
        <v/>
      </c>
    </row>
    <row r="1865" customFormat="false" ht="16.4" hidden="false" customHeight="false" outlineLevel="0" collapsed="false">
      <c r="A1865" s="32" t="str">
        <f aca="false">IF(L1865="","",ROW()-4)</f>
        <v/>
      </c>
      <c r="B1865" s="58" t="str">
        <f aca="false">IF(L1865="","",IF(INDEX(ポート振替表!$W$5:$W$3507,$L1865)="","(なし)",INDEX(ポート振替表!$W$5:$W$3507,$L1865)&amp;""))</f>
        <v/>
      </c>
      <c r="C1865" s="52" t="str">
        <f aca="false">IF(L1865="","",INDEX(ポート振替表!$B$5:$B$3507,$L1865)&amp;" "&amp;INDEX(ポート振替表!$C$5:$C$3507,$L1865)&amp;"  ⇔  "&amp;INDEX(ポート振替表!$H$5:$H$3507,$L1865)&amp;" "&amp;INDEX(ポート振替表!$I$5:$I$3507,$L1865))</f>
        <v/>
      </c>
      <c r="D1865" s="57" t="s">
        <v>158</v>
      </c>
      <c r="E1865" s="59" t="str">
        <f aca="false">IF(L1865="","",IF(INDEX(ポート振替表!$O$5:$O$3507,$L1865)="","(未設定)",INDEX(ポート振替表!$O$5:$O$3507,$L1865)&amp;""))</f>
        <v/>
      </c>
      <c r="F1865" s="52" t="str">
        <f aca="false">IF(L1865="","",INDEX(ポート振替表!$K$5:$K$3507,$L1865)&amp;" "&amp;INDEX(ポート振替表!$L$5:$L$3507,$L1865)&amp;"  ⇔  "&amp;INDEX(ポート振替表!$H$5:$H$3507,$L1865)&amp;" "&amp;INDEX(ポート振替表!$I$5:$I$3507,$L1865))</f>
        <v/>
      </c>
      <c r="G1865" s="57" t="s">
        <v>158</v>
      </c>
      <c r="H1865" s="32" t="str">
        <f aca="false">IF(L1865="","",INDEX(ポート振替表!$N$5:$N$3507,$L1865)&amp;"")</f>
        <v/>
      </c>
      <c r="I1865" s="32" t="str">
        <f aca="false">IF(L1865="","",INDEX(ポート振替表!$P$5:$P$3507,$L1865)&amp;"")</f>
        <v/>
      </c>
      <c r="J1865" s="60" t="str">
        <f aca="false">IF(L1865="","",INDEX(ポート振替表!$M$5:$M$3507,$L1865)&amp;"")</f>
        <v/>
      </c>
      <c r="K1865" s="52" t="str">
        <f aca="false">IF(L1865="","",E1865&amp;CHAR(10)&amp;INDEX(ポート振替表!$K$5:$K$3507,$L1865)&amp;" "&amp;INDEX(ポート振替表!$L$5:$L$3507,$L1865)&amp;CHAR(10)&amp;"⇔ "&amp;INDEX(ポート振替表!$H$5:$H$3507,$L1865)&amp;" "&amp;INDEX(ポート振替表!$I$5:$I$3507,$L1865))</f>
        <v/>
      </c>
      <c r="L1865" s="47" t="str">
        <f aca="false">IFERROR(MATCH(ROW()-4,ポート振替表!$V$5:$V$3507,0),"")</f>
        <v/>
      </c>
    </row>
    <row r="1866" customFormat="false" ht="16.4" hidden="false" customHeight="false" outlineLevel="0" collapsed="false">
      <c r="A1866" s="32" t="str">
        <f aca="false">IF(L1866="","",ROW()-4)</f>
        <v/>
      </c>
      <c r="B1866" s="58" t="str">
        <f aca="false">IF(L1866="","",IF(INDEX(ポート振替表!$W$5:$W$3507,$L1866)="","(なし)",INDEX(ポート振替表!$W$5:$W$3507,$L1866)&amp;""))</f>
        <v/>
      </c>
      <c r="C1866" s="52" t="str">
        <f aca="false">IF(L1866="","",INDEX(ポート振替表!$B$5:$B$3507,$L1866)&amp;" "&amp;INDEX(ポート振替表!$C$5:$C$3507,$L1866)&amp;"  ⇔  "&amp;INDEX(ポート振替表!$H$5:$H$3507,$L1866)&amp;" "&amp;INDEX(ポート振替表!$I$5:$I$3507,$L1866))</f>
        <v/>
      </c>
      <c r="D1866" s="57" t="s">
        <v>158</v>
      </c>
      <c r="E1866" s="59" t="str">
        <f aca="false">IF(L1866="","",IF(INDEX(ポート振替表!$O$5:$O$3507,$L1866)="","(未設定)",INDEX(ポート振替表!$O$5:$O$3507,$L1866)&amp;""))</f>
        <v/>
      </c>
      <c r="F1866" s="52" t="str">
        <f aca="false">IF(L1866="","",INDEX(ポート振替表!$K$5:$K$3507,$L1866)&amp;" "&amp;INDEX(ポート振替表!$L$5:$L$3507,$L1866)&amp;"  ⇔  "&amp;INDEX(ポート振替表!$H$5:$H$3507,$L1866)&amp;" "&amp;INDEX(ポート振替表!$I$5:$I$3507,$L1866))</f>
        <v/>
      </c>
      <c r="G1866" s="57" t="s">
        <v>158</v>
      </c>
      <c r="H1866" s="32" t="str">
        <f aca="false">IF(L1866="","",INDEX(ポート振替表!$N$5:$N$3507,$L1866)&amp;"")</f>
        <v/>
      </c>
      <c r="I1866" s="32" t="str">
        <f aca="false">IF(L1866="","",INDEX(ポート振替表!$P$5:$P$3507,$L1866)&amp;"")</f>
        <v/>
      </c>
      <c r="J1866" s="60" t="str">
        <f aca="false">IF(L1866="","",INDEX(ポート振替表!$M$5:$M$3507,$L1866)&amp;"")</f>
        <v/>
      </c>
      <c r="K1866" s="52" t="str">
        <f aca="false">IF(L1866="","",E1866&amp;CHAR(10)&amp;INDEX(ポート振替表!$K$5:$K$3507,$L1866)&amp;" "&amp;INDEX(ポート振替表!$L$5:$L$3507,$L1866)&amp;CHAR(10)&amp;"⇔ "&amp;INDEX(ポート振替表!$H$5:$H$3507,$L1866)&amp;" "&amp;INDEX(ポート振替表!$I$5:$I$3507,$L1866))</f>
        <v/>
      </c>
      <c r="L1866" s="47" t="str">
        <f aca="false">IFERROR(MATCH(ROW()-4,ポート振替表!$V$5:$V$3507,0),"")</f>
        <v/>
      </c>
    </row>
    <row r="1867" customFormat="false" ht="16.4" hidden="false" customHeight="false" outlineLevel="0" collapsed="false">
      <c r="A1867" s="32" t="str">
        <f aca="false">IF(L1867="","",ROW()-4)</f>
        <v/>
      </c>
      <c r="B1867" s="58" t="str">
        <f aca="false">IF(L1867="","",IF(INDEX(ポート振替表!$W$5:$W$3507,$L1867)="","(なし)",INDEX(ポート振替表!$W$5:$W$3507,$L1867)&amp;""))</f>
        <v/>
      </c>
      <c r="C1867" s="52" t="str">
        <f aca="false">IF(L1867="","",INDEX(ポート振替表!$B$5:$B$3507,$L1867)&amp;" "&amp;INDEX(ポート振替表!$C$5:$C$3507,$L1867)&amp;"  ⇔  "&amp;INDEX(ポート振替表!$H$5:$H$3507,$L1867)&amp;" "&amp;INDEX(ポート振替表!$I$5:$I$3507,$L1867))</f>
        <v/>
      </c>
      <c r="D1867" s="57" t="s">
        <v>158</v>
      </c>
      <c r="E1867" s="59" t="str">
        <f aca="false">IF(L1867="","",IF(INDEX(ポート振替表!$O$5:$O$3507,$L1867)="","(未設定)",INDEX(ポート振替表!$O$5:$O$3507,$L1867)&amp;""))</f>
        <v/>
      </c>
      <c r="F1867" s="52" t="str">
        <f aca="false">IF(L1867="","",INDEX(ポート振替表!$K$5:$K$3507,$L1867)&amp;" "&amp;INDEX(ポート振替表!$L$5:$L$3507,$L1867)&amp;"  ⇔  "&amp;INDEX(ポート振替表!$H$5:$H$3507,$L1867)&amp;" "&amp;INDEX(ポート振替表!$I$5:$I$3507,$L1867))</f>
        <v/>
      </c>
      <c r="G1867" s="57" t="s">
        <v>158</v>
      </c>
      <c r="H1867" s="32" t="str">
        <f aca="false">IF(L1867="","",INDEX(ポート振替表!$N$5:$N$3507,$L1867)&amp;"")</f>
        <v/>
      </c>
      <c r="I1867" s="32" t="str">
        <f aca="false">IF(L1867="","",INDEX(ポート振替表!$P$5:$P$3507,$L1867)&amp;"")</f>
        <v/>
      </c>
      <c r="J1867" s="60" t="str">
        <f aca="false">IF(L1867="","",INDEX(ポート振替表!$M$5:$M$3507,$L1867)&amp;"")</f>
        <v/>
      </c>
      <c r="K1867" s="52" t="str">
        <f aca="false">IF(L1867="","",E1867&amp;CHAR(10)&amp;INDEX(ポート振替表!$K$5:$K$3507,$L1867)&amp;" "&amp;INDEX(ポート振替表!$L$5:$L$3507,$L1867)&amp;CHAR(10)&amp;"⇔ "&amp;INDEX(ポート振替表!$H$5:$H$3507,$L1867)&amp;" "&amp;INDEX(ポート振替表!$I$5:$I$3507,$L1867))</f>
        <v/>
      </c>
      <c r="L1867" s="47" t="str">
        <f aca="false">IFERROR(MATCH(ROW()-4,ポート振替表!$V$5:$V$3507,0),"")</f>
        <v/>
      </c>
    </row>
    <row r="1868" customFormat="false" ht="16.4" hidden="false" customHeight="false" outlineLevel="0" collapsed="false">
      <c r="A1868" s="32" t="str">
        <f aca="false">IF(L1868="","",ROW()-4)</f>
        <v/>
      </c>
      <c r="B1868" s="58" t="str">
        <f aca="false">IF(L1868="","",IF(INDEX(ポート振替表!$W$5:$W$3507,$L1868)="","(なし)",INDEX(ポート振替表!$W$5:$W$3507,$L1868)&amp;""))</f>
        <v/>
      </c>
      <c r="C1868" s="52" t="str">
        <f aca="false">IF(L1868="","",INDEX(ポート振替表!$B$5:$B$3507,$L1868)&amp;" "&amp;INDEX(ポート振替表!$C$5:$C$3507,$L1868)&amp;"  ⇔  "&amp;INDEX(ポート振替表!$H$5:$H$3507,$L1868)&amp;" "&amp;INDEX(ポート振替表!$I$5:$I$3507,$L1868))</f>
        <v/>
      </c>
      <c r="D1868" s="57" t="s">
        <v>158</v>
      </c>
      <c r="E1868" s="59" t="str">
        <f aca="false">IF(L1868="","",IF(INDEX(ポート振替表!$O$5:$O$3507,$L1868)="","(未設定)",INDEX(ポート振替表!$O$5:$O$3507,$L1868)&amp;""))</f>
        <v/>
      </c>
      <c r="F1868" s="52" t="str">
        <f aca="false">IF(L1868="","",INDEX(ポート振替表!$K$5:$K$3507,$L1868)&amp;" "&amp;INDEX(ポート振替表!$L$5:$L$3507,$L1868)&amp;"  ⇔  "&amp;INDEX(ポート振替表!$H$5:$H$3507,$L1868)&amp;" "&amp;INDEX(ポート振替表!$I$5:$I$3507,$L1868))</f>
        <v/>
      </c>
      <c r="G1868" s="57" t="s">
        <v>158</v>
      </c>
      <c r="H1868" s="32" t="str">
        <f aca="false">IF(L1868="","",INDEX(ポート振替表!$N$5:$N$3507,$L1868)&amp;"")</f>
        <v/>
      </c>
      <c r="I1868" s="32" t="str">
        <f aca="false">IF(L1868="","",INDEX(ポート振替表!$P$5:$P$3507,$L1868)&amp;"")</f>
        <v/>
      </c>
      <c r="J1868" s="60" t="str">
        <f aca="false">IF(L1868="","",INDEX(ポート振替表!$M$5:$M$3507,$L1868)&amp;"")</f>
        <v/>
      </c>
      <c r="K1868" s="52" t="str">
        <f aca="false">IF(L1868="","",E1868&amp;CHAR(10)&amp;INDEX(ポート振替表!$K$5:$K$3507,$L1868)&amp;" "&amp;INDEX(ポート振替表!$L$5:$L$3507,$L1868)&amp;CHAR(10)&amp;"⇔ "&amp;INDEX(ポート振替表!$H$5:$H$3507,$L1868)&amp;" "&amp;INDEX(ポート振替表!$I$5:$I$3507,$L1868))</f>
        <v/>
      </c>
      <c r="L1868" s="47" t="str">
        <f aca="false">IFERROR(MATCH(ROW()-4,ポート振替表!$V$5:$V$3507,0),"")</f>
        <v/>
      </c>
    </row>
    <row r="1869" customFormat="false" ht="16.4" hidden="false" customHeight="false" outlineLevel="0" collapsed="false">
      <c r="A1869" s="32" t="str">
        <f aca="false">IF(L1869="","",ROW()-4)</f>
        <v/>
      </c>
      <c r="B1869" s="58" t="str">
        <f aca="false">IF(L1869="","",IF(INDEX(ポート振替表!$W$5:$W$3507,$L1869)="","(なし)",INDEX(ポート振替表!$W$5:$W$3507,$L1869)&amp;""))</f>
        <v/>
      </c>
      <c r="C1869" s="52" t="str">
        <f aca="false">IF(L1869="","",INDEX(ポート振替表!$B$5:$B$3507,$L1869)&amp;" "&amp;INDEX(ポート振替表!$C$5:$C$3507,$L1869)&amp;"  ⇔  "&amp;INDEX(ポート振替表!$H$5:$H$3507,$L1869)&amp;" "&amp;INDEX(ポート振替表!$I$5:$I$3507,$L1869))</f>
        <v/>
      </c>
      <c r="D1869" s="57" t="s">
        <v>158</v>
      </c>
      <c r="E1869" s="59" t="str">
        <f aca="false">IF(L1869="","",IF(INDEX(ポート振替表!$O$5:$O$3507,$L1869)="","(未設定)",INDEX(ポート振替表!$O$5:$O$3507,$L1869)&amp;""))</f>
        <v/>
      </c>
      <c r="F1869" s="52" t="str">
        <f aca="false">IF(L1869="","",INDEX(ポート振替表!$K$5:$K$3507,$L1869)&amp;" "&amp;INDEX(ポート振替表!$L$5:$L$3507,$L1869)&amp;"  ⇔  "&amp;INDEX(ポート振替表!$H$5:$H$3507,$L1869)&amp;" "&amp;INDEX(ポート振替表!$I$5:$I$3507,$L1869))</f>
        <v/>
      </c>
      <c r="G1869" s="57" t="s">
        <v>158</v>
      </c>
      <c r="H1869" s="32" t="str">
        <f aca="false">IF(L1869="","",INDEX(ポート振替表!$N$5:$N$3507,$L1869)&amp;"")</f>
        <v/>
      </c>
      <c r="I1869" s="32" t="str">
        <f aca="false">IF(L1869="","",INDEX(ポート振替表!$P$5:$P$3507,$L1869)&amp;"")</f>
        <v/>
      </c>
      <c r="J1869" s="60" t="str">
        <f aca="false">IF(L1869="","",INDEX(ポート振替表!$M$5:$M$3507,$L1869)&amp;"")</f>
        <v/>
      </c>
      <c r="K1869" s="52" t="str">
        <f aca="false">IF(L1869="","",E1869&amp;CHAR(10)&amp;INDEX(ポート振替表!$K$5:$K$3507,$L1869)&amp;" "&amp;INDEX(ポート振替表!$L$5:$L$3507,$L1869)&amp;CHAR(10)&amp;"⇔ "&amp;INDEX(ポート振替表!$H$5:$H$3507,$L1869)&amp;" "&amp;INDEX(ポート振替表!$I$5:$I$3507,$L1869))</f>
        <v/>
      </c>
      <c r="L1869" s="47" t="str">
        <f aca="false">IFERROR(MATCH(ROW()-4,ポート振替表!$V$5:$V$3507,0),"")</f>
        <v/>
      </c>
    </row>
    <row r="1870" customFormat="false" ht="16.4" hidden="false" customHeight="false" outlineLevel="0" collapsed="false">
      <c r="A1870" s="32" t="str">
        <f aca="false">IF(L1870="","",ROW()-4)</f>
        <v/>
      </c>
      <c r="B1870" s="58" t="str">
        <f aca="false">IF(L1870="","",IF(INDEX(ポート振替表!$W$5:$W$3507,$L1870)="","(なし)",INDEX(ポート振替表!$W$5:$W$3507,$L1870)&amp;""))</f>
        <v/>
      </c>
      <c r="C1870" s="52" t="str">
        <f aca="false">IF(L1870="","",INDEX(ポート振替表!$B$5:$B$3507,$L1870)&amp;" "&amp;INDEX(ポート振替表!$C$5:$C$3507,$L1870)&amp;"  ⇔  "&amp;INDEX(ポート振替表!$H$5:$H$3507,$L1870)&amp;" "&amp;INDEX(ポート振替表!$I$5:$I$3507,$L1870))</f>
        <v/>
      </c>
      <c r="D1870" s="57" t="s">
        <v>158</v>
      </c>
      <c r="E1870" s="59" t="str">
        <f aca="false">IF(L1870="","",IF(INDEX(ポート振替表!$O$5:$O$3507,$L1870)="","(未設定)",INDEX(ポート振替表!$O$5:$O$3507,$L1870)&amp;""))</f>
        <v/>
      </c>
      <c r="F1870" s="52" t="str">
        <f aca="false">IF(L1870="","",INDEX(ポート振替表!$K$5:$K$3507,$L1870)&amp;" "&amp;INDEX(ポート振替表!$L$5:$L$3507,$L1870)&amp;"  ⇔  "&amp;INDEX(ポート振替表!$H$5:$H$3507,$L1870)&amp;" "&amp;INDEX(ポート振替表!$I$5:$I$3507,$L1870))</f>
        <v/>
      </c>
      <c r="G1870" s="57" t="s">
        <v>158</v>
      </c>
      <c r="H1870" s="32" t="str">
        <f aca="false">IF(L1870="","",INDEX(ポート振替表!$N$5:$N$3507,$L1870)&amp;"")</f>
        <v/>
      </c>
      <c r="I1870" s="32" t="str">
        <f aca="false">IF(L1870="","",INDEX(ポート振替表!$P$5:$P$3507,$L1870)&amp;"")</f>
        <v/>
      </c>
      <c r="J1870" s="60" t="str">
        <f aca="false">IF(L1870="","",INDEX(ポート振替表!$M$5:$M$3507,$L1870)&amp;"")</f>
        <v/>
      </c>
      <c r="K1870" s="52" t="str">
        <f aca="false">IF(L1870="","",E1870&amp;CHAR(10)&amp;INDEX(ポート振替表!$K$5:$K$3507,$L1870)&amp;" "&amp;INDEX(ポート振替表!$L$5:$L$3507,$L1870)&amp;CHAR(10)&amp;"⇔ "&amp;INDEX(ポート振替表!$H$5:$H$3507,$L1870)&amp;" "&amp;INDEX(ポート振替表!$I$5:$I$3507,$L1870))</f>
        <v/>
      </c>
      <c r="L1870" s="47" t="str">
        <f aca="false">IFERROR(MATCH(ROW()-4,ポート振替表!$V$5:$V$3507,0),"")</f>
        <v/>
      </c>
    </row>
    <row r="1871" customFormat="false" ht="16.4" hidden="false" customHeight="false" outlineLevel="0" collapsed="false">
      <c r="A1871" s="32" t="str">
        <f aca="false">IF(L1871="","",ROW()-4)</f>
        <v/>
      </c>
      <c r="B1871" s="58" t="str">
        <f aca="false">IF(L1871="","",IF(INDEX(ポート振替表!$W$5:$W$3507,$L1871)="","(なし)",INDEX(ポート振替表!$W$5:$W$3507,$L1871)&amp;""))</f>
        <v/>
      </c>
      <c r="C1871" s="52" t="str">
        <f aca="false">IF(L1871="","",INDEX(ポート振替表!$B$5:$B$3507,$L1871)&amp;" "&amp;INDEX(ポート振替表!$C$5:$C$3507,$L1871)&amp;"  ⇔  "&amp;INDEX(ポート振替表!$H$5:$H$3507,$L1871)&amp;" "&amp;INDEX(ポート振替表!$I$5:$I$3507,$L1871))</f>
        <v/>
      </c>
      <c r="D1871" s="57" t="s">
        <v>158</v>
      </c>
      <c r="E1871" s="59" t="str">
        <f aca="false">IF(L1871="","",IF(INDEX(ポート振替表!$O$5:$O$3507,$L1871)="","(未設定)",INDEX(ポート振替表!$O$5:$O$3507,$L1871)&amp;""))</f>
        <v/>
      </c>
      <c r="F1871" s="52" t="str">
        <f aca="false">IF(L1871="","",INDEX(ポート振替表!$K$5:$K$3507,$L1871)&amp;" "&amp;INDEX(ポート振替表!$L$5:$L$3507,$L1871)&amp;"  ⇔  "&amp;INDEX(ポート振替表!$H$5:$H$3507,$L1871)&amp;" "&amp;INDEX(ポート振替表!$I$5:$I$3507,$L1871))</f>
        <v/>
      </c>
      <c r="G1871" s="57" t="s">
        <v>158</v>
      </c>
      <c r="H1871" s="32" t="str">
        <f aca="false">IF(L1871="","",INDEX(ポート振替表!$N$5:$N$3507,$L1871)&amp;"")</f>
        <v/>
      </c>
      <c r="I1871" s="32" t="str">
        <f aca="false">IF(L1871="","",INDEX(ポート振替表!$P$5:$P$3507,$L1871)&amp;"")</f>
        <v/>
      </c>
      <c r="J1871" s="60" t="str">
        <f aca="false">IF(L1871="","",INDEX(ポート振替表!$M$5:$M$3507,$L1871)&amp;"")</f>
        <v/>
      </c>
      <c r="K1871" s="52" t="str">
        <f aca="false">IF(L1871="","",E1871&amp;CHAR(10)&amp;INDEX(ポート振替表!$K$5:$K$3507,$L1871)&amp;" "&amp;INDEX(ポート振替表!$L$5:$L$3507,$L1871)&amp;CHAR(10)&amp;"⇔ "&amp;INDEX(ポート振替表!$H$5:$H$3507,$L1871)&amp;" "&amp;INDEX(ポート振替表!$I$5:$I$3507,$L1871))</f>
        <v/>
      </c>
      <c r="L1871" s="47" t="str">
        <f aca="false">IFERROR(MATCH(ROW()-4,ポート振替表!$V$5:$V$3507,0),"")</f>
        <v/>
      </c>
    </row>
    <row r="1872" customFormat="false" ht="16.4" hidden="false" customHeight="false" outlineLevel="0" collapsed="false">
      <c r="A1872" s="32" t="str">
        <f aca="false">IF(L1872="","",ROW()-4)</f>
        <v/>
      </c>
      <c r="B1872" s="58" t="str">
        <f aca="false">IF(L1872="","",IF(INDEX(ポート振替表!$W$5:$W$3507,$L1872)="","(なし)",INDEX(ポート振替表!$W$5:$W$3507,$L1872)&amp;""))</f>
        <v/>
      </c>
      <c r="C1872" s="52" t="str">
        <f aca="false">IF(L1872="","",INDEX(ポート振替表!$B$5:$B$3507,$L1872)&amp;" "&amp;INDEX(ポート振替表!$C$5:$C$3507,$L1872)&amp;"  ⇔  "&amp;INDEX(ポート振替表!$H$5:$H$3507,$L1872)&amp;" "&amp;INDEX(ポート振替表!$I$5:$I$3507,$L1872))</f>
        <v/>
      </c>
      <c r="D1872" s="57" t="s">
        <v>158</v>
      </c>
      <c r="E1872" s="59" t="str">
        <f aca="false">IF(L1872="","",IF(INDEX(ポート振替表!$O$5:$O$3507,$L1872)="","(未設定)",INDEX(ポート振替表!$O$5:$O$3507,$L1872)&amp;""))</f>
        <v/>
      </c>
      <c r="F1872" s="52" t="str">
        <f aca="false">IF(L1872="","",INDEX(ポート振替表!$K$5:$K$3507,$L1872)&amp;" "&amp;INDEX(ポート振替表!$L$5:$L$3507,$L1872)&amp;"  ⇔  "&amp;INDEX(ポート振替表!$H$5:$H$3507,$L1872)&amp;" "&amp;INDEX(ポート振替表!$I$5:$I$3507,$L1872))</f>
        <v/>
      </c>
      <c r="G1872" s="57" t="s">
        <v>158</v>
      </c>
      <c r="H1872" s="32" t="str">
        <f aca="false">IF(L1872="","",INDEX(ポート振替表!$N$5:$N$3507,$L1872)&amp;"")</f>
        <v/>
      </c>
      <c r="I1872" s="32" t="str">
        <f aca="false">IF(L1872="","",INDEX(ポート振替表!$P$5:$P$3507,$L1872)&amp;"")</f>
        <v/>
      </c>
      <c r="J1872" s="60" t="str">
        <f aca="false">IF(L1872="","",INDEX(ポート振替表!$M$5:$M$3507,$L1872)&amp;"")</f>
        <v/>
      </c>
      <c r="K1872" s="52" t="str">
        <f aca="false">IF(L1872="","",E1872&amp;CHAR(10)&amp;INDEX(ポート振替表!$K$5:$K$3507,$L1872)&amp;" "&amp;INDEX(ポート振替表!$L$5:$L$3507,$L1872)&amp;CHAR(10)&amp;"⇔ "&amp;INDEX(ポート振替表!$H$5:$H$3507,$L1872)&amp;" "&amp;INDEX(ポート振替表!$I$5:$I$3507,$L1872))</f>
        <v/>
      </c>
      <c r="L1872" s="47" t="str">
        <f aca="false">IFERROR(MATCH(ROW()-4,ポート振替表!$V$5:$V$3507,0),"")</f>
        <v/>
      </c>
    </row>
    <row r="1873" customFormat="false" ht="16.4" hidden="false" customHeight="false" outlineLevel="0" collapsed="false">
      <c r="A1873" s="32" t="str">
        <f aca="false">IF(L1873="","",ROW()-4)</f>
        <v/>
      </c>
      <c r="B1873" s="58" t="str">
        <f aca="false">IF(L1873="","",IF(INDEX(ポート振替表!$W$5:$W$3507,$L1873)="","(なし)",INDEX(ポート振替表!$W$5:$W$3507,$L1873)&amp;""))</f>
        <v/>
      </c>
      <c r="C1873" s="52" t="str">
        <f aca="false">IF(L1873="","",INDEX(ポート振替表!$B$5:$B$3507,$L1873)&amp;" "&amp;INDEX(ポート振替表!$C$5:$C$3507,$L1873)&amp;"  ⇔  "&amp;INDEX(ポート振替表!$H$5:$H$3507,$L1873)&amp;" "&amp;INDEX(ポート振替表!$I$5:$I$3507,$L1873))</f>
        <v/>
      </c>
      <c r="D1873" s="57" t="s">
        <v>158</v>
      </c>
      <c r="E1873" s="59" t="str">
        <f aca="false">IF(L1873="","",IF(INDEX(ポート振替表!$O$5:$O$3507,$L1873)="","(未設定)",INDEX(ポート振替表!$O$5:$O$3507,$L1873)&amp;""))</f>
        <v/>
      </c>
      <c r="F1873" s="52" t="str">
        <f aca="false">IF(L1873="","",INDEX(ポート振替表!$K$5:$K$3507,$L1873)&amp;" "&amp;INDEX(ポート振替表!$L$5:$L$3507,$L1873)&amp;"  ⇔  "&amp;INDEX(ポート振替表!$H$5:$H$3507,$L1873)&amp;" "&amp;INDEX(ポート振替表!$I$5:$I$3507,$L1873))</f>
        <v/>
      </c>
      <c r="G1873" s="57" t="s">
        <v>158</v>
      </c>
      <c r="H1873" s="32" t="str">
        <f aca="false">IF(L1873="","",INDEX(ポート振替表!$N$5:$N$3507,$L1873)&amp;"")</f>
        <v/>
      </c>
      <c r="I1873" s="32" t="str">
        <f aca="false">IF(L1873="","",INDEX(ポート振替表!$P$5:$P$3507,$L1873)&amp;"")</f>
        <v/>
      </c>
      <c r="J1873" s="60" t="str">
        <f aca="false">IF(L1873="","",INDEX(ポート振替表!$M$5:$M$3507,$L1873)&amp;"")</f>
        <v/>
      </c>
      <c r="K1873" s="52" t="str">
        <f aca="false">IF(L1873="","",E1873&amp;CHAR(10)&amp;INDEX(ポート振替表!$K$5:$K$3507,$L1873)&amp;" "&amp;INDEX(ポート振替表!$L$5:$L$3507,$L1873)&amp;CHAR(10)&amp;"⇔ "&amp;INDEX(ポート振替表!$H$5:$H$3507,$L1873)&amp;" "&amp;INDEX(ポート振替表!$I$5:$I$3507,$L1873))</f>
        <v/>
      </c>
      <c r="L1873" s="47" t="str">
        <f aca="false">IFERROR(MATCH(ROW()-4,ポート振替表!$V$5:$V$3507,0),"")</f>
        <v/>
      </c>
    </row>
    <row r="1874" customFormat="false" ht="16.4" hidden="false" customHeight="false" outlineLevel="0" collapsed="false">
      <c r="A1874" s="32" t="str">
        <f aca="false">IF(L1874="","",ROW()-4)</f>
        <v/>
      </c>
      <c r="B1874" s="58" t="str">
        <f aca="false">IF(L1874="","",IF(INDEX(ポート振替表!$W$5:$W$3507,$L1874)="","(なし)",INDEX(ポート振替表!$W$5:$W$3507,$L1874)&amp;""))</f>
        <v/>
      </c>
      <c r="C1874" s="52" t="str">
        <f aca="false">IF(L1874="","",INDEX(ポート振替表!$B$5:$B$3507,$L1874)&amp;" "&amp;INDEX(ポート振替表!$C$5:$C$3507,$L1874)&amp;"  ⇔  "&amp;INDEX(ポート振替表!$H$5:$H$3507,$L1874)&amp;" "&amp;INDEX(ポート振替表!$I$5:$I$3507,$L1874))</f>
        <v/>
      </c>
      <c r="D1874" s="57" t="s">
        <v>158</v>
      </c>
      <c r="E1874" s="59" t="str">
        <f aca="false">IF(L1874="","",IF(INDEX(ポート振替表!$O$5:$O$3507,$L1874)="","(未設定)",INDEX(ポート振替表!$O$5:$O$3507,$L1874)&amp;""))</f>
        <v/>
      </c>
      <c r="F1874" s="52" t="str">
        <f aca="false">IF(L1874="","",INDEX(ポート振替表!$K$5:$K$3507,$L1874)&amp;" "&amp;INDEX(ポート振替表!$L$5:$L$3507,$L1874)&amp;"  ⇔  "&amp;INDEX(ポート振替表!$H$5:$H$3507,$L1874)&amp;" "&amp;INDEX(ポート振替表!$I$5:$I$3507,$L1874))</f>
        <v/>
      </c>
      <c r="G1874" s="57" t="s">
        <v>158</v>
      </c>
      <c r="H1874" s="32" t="str">
        <f aca="false">IF(L1874="","",INDEX(ポート振替表!$N$5:$N$3507,$L1874)&amp;"")</f>
        <v/>
      </c>
      <c r="I1874" s="32" t="str">
        <f aca="false">IF(L1874="","",INDEX(ポート振替表!$P$5:$P$3507,$L1874)&amp;"")</f>
        <v/>
      </c>
      <c r="J1874" s="60" t="str">
        <f aca="false">IF(L1874="","",INDEX(ポート振替表!$M$5:$M$3507,$L1874)&amp;"")</f>
        <v/>
      </c>
      <c r="K1874" s="52" t="str">
        <f aca="false">IF(L1874="","",E1874&amp;CHAR(10)&amp;INDEX(ポート振替表!$K$5:$K$3507,$L1874)&amp;" "&amp;INDEX(ポート振替表!$L$5:$L$3507,$L1874)&amp;CHAR(10)&amp;"⇔ "&amp;INDEX(ポート振替表!$H$5:$H$3507,$L1874)&amp;" "&amp;INDEX(ポート振替表!$I$5:$I$3507,$L1874))</f>
        <v/>
      </c>
      <c r="L1874" s="47" t="str">
        <f aca="false">IFERROR(MATCH(ROW()-4,ポート振替表!$V$5:$V$3507,0),"")</f>
        <v/>
      </c>
    </row>
    <row r="1875" customFormat="false" ht="16.4" hidden="false" customHeight="false" outlineLevel="0" collapsed="false">
      <c r="A1875" s="32" t="str">
        <f aca="false">IF(L1875="","",ROW()-4)</f>
        <v/>
      </c>
      <c r="B1875" s="58" t="str">
        <f aca="false">IF(L1875="","",IF(INDEX(ポート振替表!$W$5:$W$3507,$L1875)="","(なし)",INDEX(ポート振替表!$W$5:$W$3507,$L1875)&amp;""))</f>
        <v/>
      </c>
      <c r="C1875" s="52" t="str">
        <f aca="false">IF(L1875="","",INDEX(ポート振替表!$B$5:$B$3507,$L1875)&amp;" "&amp;INDEX(ポート振替表!$C$5:$C$3507,$L1875)&amp;"  ⇔  "&amp;INDEX(ポート振替表!$H$5:$H$3507,$L1875)&amp;" "&amp;INDEX(ポート振替表!$I$5:$I$3507,$L1875))</f>
        <v/>
      </c>
      <c r="D1875" s="57" t="s">
        <v>158</v>
      </c>
      <c r="E1875" s="59" t="str">
        <f aca="false">IF(L1875="","",IF(INDEX(ポート振替表!$O$5:$O$3507,$L1875)="","(未設定)",INDEX(ポート振替表!$O$5:$O$3507,$L1875)&amp;""))</f>
        <v/>
      </c>
      <c r="F1875" s="52" t="str">
        <f aca="false">IF(L1875="","",INDEX(ポート振替表!$K$5:$K$3507,$L1875)&amp;" "&amp;INDEX(ポート振替表!$L$5:$L$3507,$L1875)&amp;"  ⇔  "&amp;INDEX(ポート振替表!$H$5:$H$3507,$L1875)&amp;" "&amp;INDEX(ポート振替表!$I$5:$I$3507,$L1875))</f>
        <v/>
      </c>
      <c r="G1875" s="57" t="s">
        <v>158</v>
      </c>
      <c r="H1875" s="32" t="str">
        <f aca="false">IF(L1875="","",INDEX(ポート振替表!$N$5:$N$3507,$L1875)&amp;"")</f>
        <v/>
      </c>
      <c r="I1875" s="32" t="str">
        <f aca="false">IF(L1875="","",INDEX(ポート振替表!$P$5:$P$3507,$L1875)&amp;"")</f>
        <v/>
      </c>
      <c r="J1875" s="60" t="str">
        <f aca="false">IF(L1875="","",INDEX(ポート振替表!$M$5:$M$3507,$L1875)&amp;"")</f>
        <v/>
      </c>
      <c r="K1875" s="52" t="str">
        <f aca="false">IF(L1875="","",E1875&amp;CHAR(10)&amp;INDEX(ポート振替表!$K$5:$K$3507,$L1875)&amp;" "&amp;INDEX(ポート振替表!$L$5:$L$3507,$L1875)&amp;CHAR(10)&amp;"⇔ "&amp;INDEX(ポート振替表!$H$5:$H$3507,$L1875)&amp;" "&amp;INDEX(ポート振替表!$I$5:$I$3507,$L1875))</f>
        <v/>
      </c>
      <c r="L1875" s="47" t="str">
        <f aca="false">IFERROR(MATCH(ROW()-4,ポート振替表!$V$5:$V$3507,0),"")</f>
        <v/>
      </c>
    </row>
    <row r="1876" customFormat="false" ht="16.4" hidden="false" customHeight="false" outlineLevel="0" collapsed="false">
      <c r="A1876" s="32" t="str">
        <f aca="false">IF(L1876="","",ROW()-4)</f>
        <v/>
      </c>
      <c r="B1876" s="58" t="str">
        <f aca="false">IF(L1876="","",IF(INDEX(ポート振替表!$W$5:$W$3507,$L1876)="","(なし)",INDEX(ポート振替表!$W$5:$W$3507,$L1876)&amp;""))</f>
        <v/>
      </c>
      <c r="C1876" s="52" t="str">
        <f aca="false">IF(L1876="","",INDEX(ポート振替表!$B$5:$B$3507,$L1876)&amp;" "&amp;INDEX(ポート振替表!$C$5:$C$3507,$L1876)&amp;"  ⇔  "&amp;INDEX(ポート振替表!$H$5:$H$3507,$L1876)&amp;" "&amp;INDEX(ポート振替表!$I$5:$I$3507,$L1876))</f>
        <v/>
      </c>
      <c r="D1876" s="57" t="s">
        <v>158</v>
      </c>
      <c r="E1876" s="59" t="str">
        <f aca="false">IF(L1876="","",IF(INDEX(ポート振替表!$O$5:$O$3507,$L1876)="","(未設定)",INDEX(ポート振替表!$O$5:$O$3507,$L1876)&amp;""))</f>
        <v/>
      </c>
      <c r="F1876" s="52" t="str">
        <f aca="false">IF(L1876="","",INDEX(ポート振替表!$K$5:$K$3507,$L1876)&amp;" "&amp;INDEX(ポート振替表!$L$5:$L$3507,$L1876)&amp;"  ⇔  "&amp;INDEX(ポート振替表!$H$5:$H$3507,$L1876)&amp;" "&amp;INDEX(ポート振替表!$I$5:$I$3507,$L1876))</f>
        <v/>
      </c>
      <c r="G1876" s="57" t="s">
        <v>158</v>
      </c>
      <c r="H1876" s="32" t="str">
        <f aca="false">IF(L1876="","",INDEX(ポート振替表!$N$5:$N$3507,$L1876)&amp;"")</f>
        <v/>
      </c>
      <c r="I1876" s="32" t="str">
        <f aca="false">IF(L1876="","",INDEX(ポート振替表!$P$5:$P$3507,$L1876)&amp;"")</f>
        <v/>
      </c>
      <c r="J1876" s="60" t="str">
        <f aca="false">IF(L1876="","",INDEX(ポート振替表!$M$5:$M$3507,$L1876)&amp;"")</f>
        <v/>
      </c>
      <c r="K1876" s="52" t="str">
        <f aca="false">IF(L1876="","",E1876&amp;CHAR(10)&amp;INDEX(ポート振替表!$K$5:$K$3507,$L1876)&amp;" "&amp;INDEX(ポート振替表!$L$5:$L$3507,$L1876)&amp;CHAR(10)&amp;"⇔ "&amp;INDEX(ポート振替表!$H$5:$H$3507,$L1876)&amp;" "&amp;INDEX(ポート振替表!$I$5:$I$3507,$L1876))</f>
        <v/>
      </c>
      <c r="L1876" s="47" t="str">
        <f aca="false">IFERROR(MATCH(ROW()-4,ポート振替表!$V$5:$V$3507,0),"")</f>
        <v/>
      </c>
    </row>
    <row r="1877" customFormat="false" ht="16.4" hidden="false" customHeight="false" outlineLevel="0" collapsed="false">
      <c r="A1877" s="32" t="str">
        <f aca="false">IF(L1877="","",ROW()-4)</f>
        <v/>
      </c>
      <c r="B1877" s="58" t="str">
        <f aca="false">IF(L1877="","",IF(INDEX(ポート振替表!$W$5:$W$3507,$L1877)="","(なし)",INDEX(ポート振替表!$W$5:$W$3507,$L1877)&amp;""))</f>
        <v/>
      </c>
      <c r="C1877" s="52" t="str">
        <f aca="false">IF(L1877="","",INDEX(ポート振替表!$B$5:$B$3507,$L1877)&amp;" "&amp;INDEX(ポート振替表!$C$5:$C$3507,$L1877)&amp;"  ⇔  "&amp;INDEX(ポート振替表!$H$5:$H$3507,$L1877)&amp;" "&amp;INDEX(ポート振替表!$I$5:$I$3507,$L1877))</f>
        <v/>
      </c>
      <c r="D1877" s="57" t="s">
        <v>158</v>
      </c>
      <c r="E1877" s="59" t="str">
        <f aca="false">IF(L1877="","",IF(INDEX(ポート振替表!$O$5:$O$3507,$L1877)="","(未設定)",INDEX(ポート振替表!$O$5:$O$3507,$L1877)&amp;""))</f>
        <v/>
      </c>
      <c r="F1877" s="52" t="str">
        <f aca="false">IF(L1877="","",INDEX(ポート振替表!$K$5:$K$3507,$L1877)&amp;" "&amp;INDEX(ポート振替表!$L$5:$L$3507,$L1877)&amp;"  ⇔  "&amp;INDEX(ポート振替表!$H$5:$H$3507,$L1877)&amp;" "&amp;INDEX(ポート振替表!$I$5:$I$3507,$L1877))</f>
        <v/>
      </c>
      <c r="G1877" s="57" t="s">
        <v>158</v>
      </c>
      <c r="H1877" s="32" t="str">
        <f aca="false">IF(L1877="","",INDEX(ポート振替表!$N$5:$N$3507,$L1877)&amp;"")</f>
        <v/>
      </c>
      <c r="I1877" s="32" t="str">
        <f aca="false">IF(L1877="","",INDEX(ポート振替表!$P$5:$P$3507,$L1877)&amp;"")</f>
        <v/>
      </c>
      <c r="J1877" s="60" t="str">
        <f aca="false">IF(L1877="","",INDEX(ポート振替表!$M$5:$M$3507,$L1877)&amp;"")</f>
        <v/>
      </c>
      <c r="K1877" s="52" t="str">
        <f aca="false">IF(L1877="","",E1877&amp;CHAR(10)&amp;INDEX(ポート振替表!$K$5:$K$3507,$L1877)&amp;" "&amp;INDEX(ポート振替表!$L$5:$L$3507,$L1877)&amp;CHAR(10)&amp;"⇔ "&amp;INDEX(ポート振替表!$H$5:$H$3507,$L1877)&amp;" "&amp;INDEX(ポート振替表!$I$5:$I$3507,$L1877))</f>
        <v/>
      </c>
      <c r="L1877" s="47" t="str">
        <f aca="false">IFERROR(MATCH(ROW()-4,ポート振替表!$V$5:$V$3507,0),"")</f>
        <v/>
      </c>
    </row>
    <row r="1878" customFormat="false" ht="16.4" hidden="false" customHeight="false" outlineLevel="0" collapsed="false">
      <c r="A1878" s="32" t="str">
        <f aca="false">IF(L1878="","",ROW()-4)</f>
        <v/>
      </c>
      <c r="B1878" s="58" t="str">
        <f aca="false">IF(L1878="","",IF(INDEX(ポート振替表!$W$5:$W$3507,$L1878)="","(なし)",INDEX(ポート振替表!$W$5:$W$3507,$L1878)&amp;""))</f>
        <v/>
      </c>
      <c r="C1878" s="52" t="str">
        <f aca="false">IF(L1878="","",INDEX(ポート振替表!$B$5:$B$3507,$L1878)&amp;" "&amp;INDEX(ポート振替表!$C$5:$C$3507,$L1878)&amp;"  ⇔  "&amp;INDEX(ポート振替表!$H$5:$H$3507,$L1878)&amp;" "&amp;INDEX(ポート振替表!$I$5:$I$3507,$L1878))</f>
        <v/>
      </c>
      <c r="D1878" s="57" t="s">
        <v>158</v>
      </c>
      <c r="E1878" s="59" t="str">
        <f aca="false">IF(L1878="","",IF(INDEX(ポート振替表!$O$5:$O$3507,$L1878)="","(未設定)",INDEX(ポート振替表!$O$5:$O$3507,$L1878)&amp;""))</f>
        <v/>
      </c>
      <c r="F1878" s="52" t="str">
        <f aca="false">IF(L1878="","",INDEX(ポート振替表!$K$5:$K$3507,$L1878)&amp;" "&amp;INDEX(ポート振替表!$L$5:$L$3507,$L1878)&amp;"  ⇔  "&amp;INDEX(ポート振替表!$H$5:$H$3507,$L1878)&amp;" "&amp;INDEX(ポート振替表!$I$5:$I$3507,$L1878))</f>
        <v/>
      </c>
      <c r="G1878" s="57" t="s">
        <v>158</v>
      </c>
      <c r="H1878" s="32" t="str">
        <f aca="false">IF(L1878="","",INDEX(ポート振替表!$N$5:$N$3507,$L1878)&amp;"")</f>
        <v/>
      </c>
      <c r="I1878" s="32" t="str">
        <f aca="false">IF(L1878="","",INDEX(ポート振替表!$P$5:$P$3507,$L1878)&amp;"")</f>
        <v/>
      </c>
      <c r="J1878" s="60" t="str">
        <f aca="false">IF(L1878="","",INDEX(ポート振替表!$M$5:$M$3507,$L1878)&amp;"")</f>
        <v/>
      </c>
      <c r="K1878" s="52" t="str">
        <f aca="false">IF(L1878="","",E1878&amp;CHAR(10)&amp;INDEX(ポート振替表!$K$5:$K$3507,$L1878)&amp;" "&amp;INDEX(ポート振替表!$L$5:$L$3507,$L1878)&amp;CHAR(10)&amp;"⇔ "&amp;INDEX(ポート振替表!$H$5:$H$3507,$L1878)&amp;" "&amp;INDEX(ポート振替表!$I$5:$I$3507,$L1878))</f>
        <v/>
      </c>
      <c r="L1878" s="47" t="str">
        <f aca="false">IFERROR(MATCH(ROW()-4,ポート振替表!$V$5:$V$3507,0),"")</f>
        <v/>
      </c>
    </row>
    <row r="1879" customFormat="false" ht="16.4" hidden="false" customHeight="false" outlineLevel="0" collapsed="false">
      <c r="A1879" s="32" t="str">
        <f aca="false">IF(L1879="","",ROW()-4)</f>
        <v/>
      </c>
      <c r="B1879" s="58" t="str">
        <f aca="false">IF(L1879="","",IF(INDEX(ポート振替表!$W$5:$W$3507,$L1879)="","(なし)",INDEX(ポート振替表!$W$5:$W$3507,$L1879)&amp;""))</f>
        <v/>
      </c>
      <c r="C1879" s="52" t="str">
        <f aca="false">IF(L1879="","",INDEX(ポート振替表!$B$5:$B$3507,$L1879)&amp;" "&amp;INDEX(ポート振替表!$C$5:$C$3507,$L1879)&amp;"  ⇔  "&amp;INDEX(ポート振替表!$H$5:$H$3507,$L1879)&amp;" "&amp;INDEX(ポート振替表!$I$5:$I$3507,$L1879))</f>
        <v/>
      </c>
      <c r="D1879" s="57" t="s">
        <v>158</v>
      </c>
      <c r="E1879" s="59" t="str">
        <f aca="false">IF(L1879="","",IF(INDEX(ポート振替表!$O$5:$O$3507,$L1879)="","(未設定)",INDEX(ポート振替表!$O$5:$O$3507,$L1879)&amp;""))</f>
        <v/>
      </c>
      <c r="F1879" s="52" t="str">
        <f aca="false">IF(L1879="","",INDEX(ポート振替表!$K$5:$K$3507,$L1879)&amp;" "&amp;INDEX(ポート振替表!$L$5:$L$3507,$L1879)&amp;"  ⇔  "&amp;INDEX(ポート振替表!$H$5:$H$3507,$L1879)&amp;" "&amp;INDEX(ポート振替表!$I$5:$I$3507,$L1879))</f>
        <v/>
      </c>
      <c r="G1879" s="57" t="s">
        <v>158</v>
      </c>
      <c r="H1879" s="32" t="str">
        <f aca="false">IF(L1879="","",INDEX(ポート振替表!$N$5:$N$3507,$L1879)&amp;"")</f>
        <v/>
      </c>
      <c r="I1879" s="32" t="str">
        <f aca="false">IF(L1879="","",INDEX(ポート振替表!$P$5:$P$3507,$L1879)&amp;"")</f>
        <v/>
      </c>
      <c r="J1879" s="60" t="str">
        <f aca="false">IF(L1879="","",INDEX(ポート振替表!$M$5:$M$3507,$L1879)&amp;"")</f>
        <v/>
      </c>
      <c r="K1879" s="52" t="str">
        <f aca="false">IF(L1879="","",E1879&amp;CHAR(10)&amp;INDEX(ポート振替表!$K$5:$K$3507,$L1879)&amp;" "&amp;INDEX(ポート振替表!$L$5:$L$3507,$L1879)&amp;CHAR(10)&amp;"⇔ "&amp;INDEX(ポート振替表!$H$5:$H$3507,$L1879)&amp;" "&amp;INDEX(ポート振替表!$I$5:$I$3507,$L1879))</f>
        <v/>
      </c>
      <c r="L1879" s="47" t="str">
        <f aca="false">IFERROR(MATCH(ROW()-4,ポート振替表!$V$5:$V$3507,0),"")</f>
        <v/>
      </c>
    </row>
    <row r="1880" customFormat="false" ht="16.4" hidden="false" customHeight="false" outlineLevel="0" collapsed="false">
      <c r="A1880" s="32" t="str">
        <f aca="false">IF(L1880="","",ROW()-4)</f>
        <v/>
      </c>
      <c r="B1880" s="58" t="str">
        <f aca="false">IF(L1880="","",IF(INDEX(ポート振替表!$W$5:$W$3507,$L1880)="","(なし)",INDEX(ポート振替表!$W$5:$W$3507,$L1880)&amp;""))</f>
        <v/>
      </c>
      <c r="C1880" s="52" t="str">
        <f aca="false">IF(L1880="","",INDEX(ポート振替表!$B$5:$B$3507,$L1880)&amp;" "&amp;INDEX(ポート振替表!$C$5:$C$3507,$L1880)&amp;"  ⇔  "&amp;INDEX(ポート振替表!$H$5:$H$3507,$L1880)&amp;" "&amp;INDEX(ポート振替表!$I$5:$I$3507,$L1880))</f>
        <v/>
      </c>
      <c r="D1880" s="57" t="s">
        <v>158</v>
      </c>
      <c r="E1880" s="59" t="str">
        <f aca="false">IF(L1880="","",IF(INDEX(ポート振替表!$O$5:$O$3507,$L1880)="","(未設定)",INDEX(ポート振替表!$O$5:$O$3507,$L1880)&amp;""))</f>
        <v/>
      </c>
      <c r="F1880" s="52" t="str">
        <f aca="false">IF(L1880="","",INDEX(ポート振替表!$K$5:$K$3507,$L1880)&amp;" "&amp;INDEX(ポート振替表!$L$5:$L$3507,$L1880)&amp;"  ⇔  "&amp;INDEX(ポート振替表!$H$5:$H$3507,$L1880)&amp;" "&amp;INDEX(ポート振替表!$I$5:$I$3507,$L1880))</f>
        <v/>
      </c>
      <c r="G1880" s="57" t="s">
        <v>158</v>
      </c>
      <c r="H1880" s="32" t="str">
        <f aca="false">IF(L1880="","",INDEX(ポート振替表!$N$5:$N$3507,$L1880)&amp;"")</f>
        <v/>
      </c>
      <c r="I1880" s="32" t="str">
        <f aca="false">IF(L1880="","",INDEX(ポート振替表!$P$5:$P$3507,$L1880)&amp;"")</f>
        <v/>
      </c>
      <c r="J1880" s="60" t="str">
        <f aca="false">IF(L1880="","",INDEX(ポート振替表!$M$5:$M$3507,$L1880)&amp;"")</f>
        <v/>
      </c>
      <c r="K1880" s="52" t="str">
        <f aca="false">IF(L1880="","",E1880&amp;CHAR(10)&amp;INDEX(ポート振替表!$K$5:$K$3507,$L1880)&amp;" "&amp;INDEX(ポート振替表!$L$5:$L$3507,$L1880)&amp;CHAR(10)&amp;"⇔ "&amp;INDEX(ポート振替表!$H$5:$H$3507,$L1880)&amp;" "&amp;INDEX(ポート振替表!$I$5:$I$3507,$L1880))</f>
        <v/>
      </c>
      <c r="L1880" s="47" t="str">
        <f aca="false">IFERROR(MATCH(ROW()-4,ポート振替表!$V$5:$V$3507,0),"")</f>
        <v/>
      </c>
    </row>
    <row r="1881" customFormat="false" ht="16.4" hidden="false" customHeight="false" outlineLevel="0" collapsed="false">
      <c r="A1881" s="32" t="str">
        <f aca="false">IF(L1881="","",ROW()-4)</f>
        <v/>
      </c>
      <c r="B1881" s="58" t="str">
        <f aca="false">IF(L1881="","",IF(INDEX(ポート振替表!$W$5:$W$3507,$L1881)="","(なし)",INDEX(ポート振替表!$W$5:$W$3507,$L1881)&amp;""))</f>
        <v/>
      </c>
      <c r="C1881" s="52" t="str">
        <f aca="false">IF(L1881="","",INDEX(ポート振替表!$B$5:$B$3507,$L1881)&amp;" "&amp;INDEX(ポート振替表!$C$5:$C$3507,$L1881)&amp;"  ⇔  "&amp;INDEX(ポート振替表!$H$5:$H$3507,$L1881)&amp;" "&amp;INDEX(ポート振替表!$I$5:$I$3507,$L1881))</f>
        <v/>
      </c>
      <c r="D1881" s="57" t="s">
        <v>158</v>
      </c>
      <c r="E1881" s="59" t="str">
        <f aca="false">IF(L1881="","",IF(INDEX(ポート振替表!$O$5:$O$3507,$L1881)="","(未設定)",INDEX(ポート振替表!$O$5:$O$3507,$L1881)&amp;""))</f>
        <v/>
      </c>
      <c r="F1881" s="52" t="str">
        <f aca="false">IF(L1881="","",INDEX(ポート振替表!$K$5:$K$3507,$L1881)&amp;" "&amp;INDEX(ポート振替表!$L$5:$L$3507,$L1881)&amp;"  ⇔  "&amp;INDEX(ポート振替表!$H$5:$H$3507,$L1881)&amp;" "&amp;INDEX(ポート振替表!$I$5:$I$3507,$L1881))</f>
        <v/>
      </c>
      <c r="G1881" s="57" t="s">
        <v>158</v>
      </c>
      <c r="H1881" s="32" t="str">
        <f aca="false">IF(L1881="","",INDEX(ポート振替表!$N$5:$N$3507,$L1881)&amp;"")</f>
        <v/>
      </c>
      <c r="I1881" s="32" t="str">
        <f aca="false">IF(L1881="","",INDEX(ポート振替表!$P$5:$P$3507,$L1881)&amp;"")</f>
        <v/>
      </c>
      <c r="J1881" s="60" t="str">
        <f aca="false">IF(L1881="","",INDEX(ポート振替表!$M$5:$M$3507,$L1881)&amp;"")</f>
        <v/>
      </c>
      <c r="K1881" s="52" t="str">
        <f aca="false">IF(L1881="","",E1881&amp;CHAR(10)&amp;INDEX(ポート振替表!$K$5:$K$3507,$L1881)&amp;" "&amp;INDEX(ポート振替表!$L$5:$L$3507,$L1881)&amp;CHAR(10)&amp;"⇔ "&amp;INDEX(ポート振替表!$H$5:$H$3507,$L1881)&amp;" "&amp;INDEX(ポート振替表!$I$5:$I$3507,$L1881))</f>
        <v/>
      </c>
      <c r="L1881" s="47" t="str">
        <f aca="false">IFERROR(MATCH(ROW()-4,ポート振替表!$V$5:$V$3507,0),"")</f>
        <v/>
      </c>
    </row>
    <row r="1882" customFormat="false" ht="16.4" hidden="false" customHeight="false" outlineLevel="0" collapsed="false">
      <c r="A1882" s="32" t="str">
        <f aca="false">IF(L1882="","",ROW()-4)</f>
        <v/>
      </c>
      <c r="B1882" s="58" t="str">
        <f aca="false">IF(L1882="","",IF(INDEX(ポート振替表!$W$5:$W$3507,$L1882)="","(なし)",INDEX(ポート振替表!$W$5:$W$3507,$L1882)&amp;""))</f>
        <v/>
      </c>
      <c r="C1882" s="52" t="str">
        <f aca="false">IF(L1882="","",INDEX(ポート振替表!$B$5:$B$3507,$L1882)&amp;" "&amp;INDEX(ポート振替表!$C$5:$C$3507,$L1882)&amp;"  ⇔  "&amp;INDEX(ポート振替表!$H$5:$H$3507,$L1882)&amp;" "&amp;INDEX(ポート振替表!$I$5:$I$3507,$L1882))</f>
        <v/>
      </c>
      <c r="D1882" s="57" t="s">
        <v>158</v>
      </c>
      <c r="E1882" s="59" t="str">
        <f aca="false">IF(L1882="","",IF(INDEX(ポート振替表!$O$5:$O$3507,$L1882)="","(未設定)",INDEX(ポート振替表!$O$5:$O$3507,$L1882)&amp;""))</f>
        <v/>
      </c>
      <c r="F1882" s="52" t="str">
        <f aca="false">IF(L1882="","",INDEX(ポート振替表!$K$5:$K$3507,$L1882)&amp;" "&amp;INDEX(ポート振替表!$L$5:$L$3507,$L1882)&amp;"  ⇔  "&amp;INDEX(ポート振替表!$H$5:$H$3507,$L1882)&amp;" "&amp;INDEX(ポート振替表!$I$5:$I$3507,$L1882))</f>
        <v/>
      </c>
      <c r="G1882" s="57" t="s">
        <v>158</v>
      </c>
      <c r="H1882" s="32" t="str">
        <f aca="false">IF(L1882="","",INDEX(ポート振替表!$N$5:$N$3507,$L1882)&amp;"")</f>
        <v/>
      </c>
      <c r="I1882" s="32" t="str">
        <f aca="false">IF(L1882="","",INDEX(ポート振替表!$P$5:$P$3507,$L1882)&amp;"")</f>
        <v/>
      </c>
      <c r="J1882" s="60" t="str">
        <f aca="false">IF(L1882="","",INDEX(ポート振替表!$M$5:$M$3507,$L1882)&amp;"")</f>
        <v/>
      </c>
      <c r="K1882" s="52" t="str">
        <f aca="false">IF(L1882="","",E1882&amp;CHAR(10)&amp;INDEX(ポート振替表!$K$5:$K$3507,$L1882)&amp;" "&amp;INDEX(ポート振替表!$L$5:$L$3507,$L1882)&amp;CHAR(10)&amp;"⇔ "&amp;INDEX(ポート振替表!$H$5:$H$3507,$L1882)&amp;" "&amp;INDEX(ポート振替表!$I$5:$I$3507,$L1882))</f>
        <v/>
      </c>
      <c r="L1882" s="47" t="str">
        <f aca="false">IFERROR(MATCH(ROW()-4,ポート振替表!$V$5:$V$3507,0),"")</f>
        <v/>
      </c>
    </row>
    <row r="1883" customFormat="false" ht="16.4" hidden="false" customHeight="false" outlineLevel="0" collapsed="false">
      <c r="A1883" s="32" t="str">
        <f aca="false">IF(L1883="","",ROW()-4)</f>
        <v/>
      </c>
      <c r="B1883" s="58" t="str">
        <f aca="false">IF(L1883="","",IF(INDEX(ポート振替表!$W$5:$W$3507,$L1883)="","(なし)",INDEX(ポート振替表!$W$5:$W$3507,$L1883)&amp;""))</f>
        <v/>
      </c>
      <c r="C1883" s="52" t="str">
        <f aca="false">IF(L1883="","",INDEX(ポート振替表!$B$5:$B$3507,$L1883)&amp;" "&amp;INDEX(ポート振替表!$C$5:$C$3507,$L1883)&amp;"  ⇔  "&amp;INDEX(ポート振替表!$H$5:$H$3507,$L1883)&amp;" "&amp;INDEX(ポート振替表!$I$5:$I$3507,$L1883))</f>
        <v/>
      </c>
      <c r="D1883" s="57" t="s">
        <v>158</v>
      </c>
      <c r="E1883" s="59" t="str">
        <f aca="false">IF(L1883="","",IF(INDEX(ポート振替表!$O$5:$O$3507,$L1883)="","(未設定)",INDEX(ポート振替表!$O$5:$O$3507,$L1883)&amp;""))</f>
        <v/>
      </c>
      <c r="F1883" s="52" t="str">
        <f aca="false">IF(L1883="","",INDEX(ポート振替表!$K$5:$K$3507,$L1883)&amp;" "&amp;INDEX(ポート振替表!$L$5:$L$3507,$L1883)&amp;"  ⇔  "&amp;INDEX(ポート振替表!$H$5:$H$3507,$L1883)&amp;" "&amp;INDEX(ポート振替表!$I$5:$I$3507,$L1883))</f>
        <v/>
      </c>
      <c r="G1883" s="57" t="s">
        <v>158</v>
      </c>
      <c r="H1883" s="32" t="str">
        <f aca="false">IF(L1883="","",INDEX(ポート振替表!$N$5:$N$3507,$L1883)&amp;"")</f>
        <v/>
      </c>
      <c r="I1883" s="32" t="str">
        <f aca="false">IF(L1883="","",INDEX(ポート振替表!$P$5:$P$3507,$L1883)&amp;"")</f>
        <v/>
      </c>
      <c r="J1883" s="60" t="str">
        <f aca="false">IF(L1883="","",INDEX(ポート振替表!$M$5:$M$3507,$L1883)&amp;"")</f>
        <v/>
      </c>
      <c r="K1883" s="52" t="str">
        <f aca="false">IF(L1883="","",E1883&amp;CHAR(10)&amp;INDEX(ポート振替表!$K$5:$K$3507,$L1883)&amp;" "&amp;INDEX(ポート振替表!$L$5:$L$3507,$L1883)&amp;CHAR(10)&amp;"⇔ "&amp;INDEX(ポート振替表!$H$5:$H$3507,$L1883)&amp;" "&amp;INDEX(ポート振替表!$I$5:$I$3507,$L1883))</f>
        <v/>
      </c>
      <c r="L1883" s="47" t="str">
        <f aca="false">IFERROR(MATCH(ROW()-4,ポート振替表!$V$5:$V$3507,0),"")</f>
        <v/>
      </c>
    </row>
    <row r="1884" customFormat="false" ht="16.4" hidden="false" customHeight="false" outlineLevel="0" collapsed="false">
      <c r="A1884" s="32" t="str">
        <f aca="false">IF(L1884="","",ROW()-4)</f>
        <v/>
      </c>
      <c r="B1884" s="58" t="str">
        <f aca="false">IF(L1884="","",IF(INDEX(ポート振替表!$W$5:$W$3507,$L1884)="","(なし)",INDEX(ポート振替表!$W$5:$W$3507,$L1884)&amp;""))</f>
        <v/>
      </c>
      <c r="C1884" s="52" t="str">
        <f aca="false">IF(L1884="","",INDEX(ポート振替表!$B$5:$B$3507,$L1884)&amp;" "&amp;INDEX(ポート振替表!$C$5:$C$3507,$L1884)&amp;"  ⇔  "&amp;INDEX(ポート振替表!$H$5:$H$3507,$L1884)&amp;" "&amp;INDEX(ポート振替表!$I$5:$I$3507,$L1884))</f>
        <v/>
      </c>
      <c r="D1884" s="57" t="s">
        <v>158</v>
      </c>
      <c r="E1884" s="59" t="str">
        <f aca="false">IF(L1884="","",IF(INDEX(ポート振替表!$O$5:$O$3507,$L1884)="","(未設定)",INDEX(ポート振替表!$O$5:$O$3507,$L1884)&amp;""))</f>
        <v/>
      </c>
      <c r="F1884" s="52" t="str">
        <f aca="false">IF(L1884="","",INDEX(ポート振替表!$K$5:$K$3507,$L1884)&amp;" "&amp;INDEX(ポート振替表!$L$5:$L$3507,$L1884)&amp;"  ⇔  "&amp;INDEX(ポート振替表!$H$5:$H$3507,$L1884)&amp;" "&amp;INDEX(ポート振替表!$I$5:$I$3507,$L1884))</f>
        <v/>
      </c>
      <c r="G1884" s="57" t="s">
        <v>158</v>
      </c>
      <c r="H1884" s="32" t="str">
        <f aca="false">IF(L1884="","",INDEX(ポート振替表!$N$5:$N$3507,$L1884)&amp;"")</f>
        <v/>
      </c>
      <c r="I1884" s="32" t="str">
        <f aca="false">IF(L1884="","",INDEX(ポート振替表!$P$5:$P$3507,$L1884)&amp;"")</f>
        <v/>
      </c>
      <c r="J1884" s="60" t="str">
        <f aca="false">IF(L1884="","",INDEX(ポート振替表!$M$5:$M$3507,$L1884)&amp;"")</f>
        <v/>
      </c>
      <c r="K1884" s="52" t="str">
        <f aca="false">IF(L1884="","",E1884&amp;CHAR(10)&amp;INDEX(ポート振替表!$K$5:$K$3507,$L1884)&amp;" "&amp;INDEX(ポート振替表!$L$5:$L$3507,$L1884)&amp;CHAR(10)&amp;"⇔ "&amp;INDEX(ポート振替表!$H$5:$H$3507,$L1884)&amp;" "&amp;INDEX(ポート振替表!$I$5:$I$3507,$L1884))</f>
        <v/>
      </c>
      <c r="L1884" s="47" t="str">
        <f aca="false">IFERROR(MATCH(ROW()-4,ポート振替表!$V$5:$V$3507,0),"")</f>
        <v/>
      </c>
    </row>
    <row r="1885" customFormat="false" ht="16.4" hidden="false" customHeight="false" outlineLevel="0" collapsed="false">
      <c r="A1885" s="32" t="str">
        <f aca="false">IF(L1885="","",ROW()-4)</f>
        <v/>
      </c>
      <c r="B1885" s="58" t="str">
        <f aca="false">IF(L1885="","",IF(INDEX(ポート振替表!$W$5:$W$3507,$L1885)="","(なし)",INDEX(ポート振替表!$W$5:$W$3507,$L1885)&amp;""))</f>
        <v/>
      </c>
      <c r="C1885" s="52" t="str">
        <f aca="false">IF(L1885="","",INDEX(ポート振替表!$B$5:$B$3507,$L1885)&amp;" "&amp;INDEX(ポート振替表!$C$5:$C$3507,$L1885)&amp;"  ⇔  "&amp;INDEX(ポート振替表!$H$5:$H$3507,$L1885)&amp;" "&amp;INDEX(ポート振替表!$I$5:$I$3507,$L1885))</f>
        <v/>
      </c>
      <c r="D1885" s="57" t="s">
        <v>158</v>
      </c>
      <c r="E1885" s="59" t="str">
        <f aca="false">IF(L1885="","",IF(INDEX(ポート振替表!$O$5:$O$3507,$L1885)="","(未設定)",INDEX(ポート振替表!$O$5:$O$3507,$L1885)&amp;""))</f>
        <v/>
      </c>
      <c r="F1885" s="52" t="str">
        <f aca="false">IF(L1885="","",INDEX(ポート振替表!$K$5:$K$3507,$L1885)&amp;" "&amp;INDEX(ポート振替表!$L$5:$L$3507,$L1885)&amp;"  ⇔  "&amp;INDEX(ポート振替表!$H$5:$H$3507,$L1885)&amp;" "&amp;INDEX(ポート振替表!$I$5:$I$3507,$L1885))</f>
        <v/>
      </c>
      <c r="G1885" s="57" t="s">
        <v>158</v>
      </c>
      <c r="H1885" s="32" t="str">
        <f aca="false">IF(L1885="","",INDEX(ポート振替表!$N$5:$N$3507,$L1885)&amp;"")</f>
        <v/>
      </c>
      <c r="I1885" s="32" t="str">
        <f aca="false">IF(L1885="","",INDEX(ポート振替表!$P$5:$P$3507,$L1885)&amp;"")</f>
        <v/>
      </c>
      <c r="J1885" s="60" t="str">
        <f aca="false">IF(L1885="","",INDEX(ポート振替表!$M$5:$M$3507,$L1885)&amp;"")</f>
        <v/>
      </c>
      <c r="K1885" s="52" t="str">
        <f aca="false">IF(L1885="","",E1885&amp;CHAR(10)&amp;INDEX(ポート振替表!$K$5:$K$3507,$L1885)&amp;" "&amp;INDEX(ポート振替表!$L$5:$L$3507,$L1885)&amp;CHAR(10)&amp;"⇔ "&amp;INDEX(ポート振替表!$H$5:$H$3507,$L1885)&amp;" "&amp;INDEX(ポート振替表!$I$5:$I$3507,$L1885))</f>
        <v/>
      </c>
      <c r="L1885" s="47" t="str">
        <f aca="false">IFERROR(MATCH(ROW()-4,ポート振替表!$V$5:$V$3507,0),"")</f>
        <v/>
      </c>
    </row>
    <row r="1886" customFormat="false" ht="16.4" hidden="false" customHeight="false" outlineLevel="0" collapsed="false">
      <c r="A1886" s="32" t="str">
        <f aca="false">IF(L1886="","",ROW()-4)</f>
        <v/>
      </c>
      <c r="B1886" s="58" t="str">
        <f aca="false">IF(L1886="","",IF(INDEX(ポート振替表!$W$5:$W$3507,$L1886)="","(なし)",INDEX(ポート振替表!$W$5:$W$3507,$L1886)&amp;""))</f>
        <v/>
      </c>
      <c r="C1886" s="52" t="str">
        <f aca="false">IF(L1886="","",INDEX(ポート振替表!$B$5:$B$3507,$L1886)&amp;" "&amp;INDEX(ポート振替表!$C$5:$C$3507,$L1886)&amp;"  ⇔  "&amp;INDEX(ポート振替表!$H$5:$H$3507,$L1886)&amp;" "&amp;INDEX(ポート振替表!$I$5:$I$3507,$L1886))</f>
        <v/>
      </c>
      <c r="D1886" s="57" t="s">
        <v>158</v>
      </c>
      <c r="E1886" s="59" t="str">
        <f aca="false">IF(L1886="","",IF(INDEX(ポート振替表!$O$5:$O$3507,$L1886)="","(未設定)",INDEX(ポート振替表!$O$5:$O$3507,$L1886)&amp;""))</f>
        <v/>
      </c>
      <c r="F1886" s="52" t="str">
        <f aca="false">IF(L1886="","",INDEX(ポート振替表!$K$5:$K$3507,$L1886)&amp;" "&amp;INDEX(ポート振替表!$L$5:$L$3507,$L1886)&amp;"  ⇔  "&amp;INDEX(ポート振替表!$H$5:$H$3507,$L1886)&amp;" "&amp;INDEX(ポート振替表!$I$5:$I$3507,$L1886))</f>
        <v/>
      </c>
      <c r="G1886" s="57" t="s">
        <v>158</v>
      </c>
      <c r="H1886" s="32" t="str">
        <f aca="false">IF(L1886="","",INDEX(ポート振替表!$N$5:$N$3507,$L1886)&amp;"")</f>
        <v/>
      </c>
      <c r="I1886" s="32" t="str">
        <f aca="false">IF(L1886="","",INDEX(ポート振替表!$P$5:$P$3507,$L1886)&amp;"")</f>
        <v/>
      </c>
      <c r="J1886" s="60" t="str">
        <f aca="false">IF(L1886="","",INDEX(ポート振替表!$M$5:$M$3507,$L1886)&amp;"")</f>
        <v/>
      </c>
      <c r="K1886" s="52" t="str">
        <f aca="false">IF(L1886="","",E1886&amp;CHAR(10)&amp;INDEX(ポート振替表!$K$5:$K$3507,$L1886)&amp;" "&amp;INDEX(ポート振替表!$L$5:$L$3507,$L1886)&amp;CHAR(10)&amp;"⇔ "&amp;INDEX(ポート振替表!$H$5:$H$3507,$L1886)&amp;" "&amp;INDEX(ポート振替表!$I$5:$I$3507,$L1886))</f>
        <v/>
      </c>
      <c r="L1886" s="47" t="str">
        <f aca="false">IFERROR(MATCH(ROW()-4,ポート振替表!$V$5:$V$3507,0),"")</f>
        <v/>
      </c>
    </row>
    <row r="1887" customFormat="false" ht="16.4" hidden="false" customHeight="false" outlineLevel="0" collapsed="false">
      <c r="A1887" s="32" t="str">
        <f aca="false">IF(L1887="","",ROW()-4)</f>
        <v/>
      </c>
      <c r="B1887" s="58" t="str">
        <f aca="false">IF(L1887="","",IF(INDEX(ポート振替表!$W$5:$W$3507,$L1887)="","(なし)",INDEX(ポート振替表!$W$5:$W$3507,$L1887)&amp;""))</f>
        <v/>
      </c>
      <c r="C1887" s="52" t="str">
        <f aca="false">IF(L1887="","",INDEX(ポート振替表!$B$5:$B$3507,$L1887)&amp;" "&amp;INDEX(ポート振替表!$C$5:$C$3507,$L1887)&amp;"  ⇔  "&amp;INDEX(ポート振替表!$H$5:$H$3507,$L1887)&amp;" "&amp;INDEX(ポート振替表!$I$5:$I$3507,$L1887))</f>
        <v/>
      </c>
      <c r="D1887" s="57" t="s">
        <v>158</v>
      </c>
      <c r="E1887" s="59" t="str">
        <f aca="false">IF(L1887="","",IF(INDEX(ポート振替表!$O$5:$O$3507,$L1887)="","(未設定)",INDEX(ポート振替表!$O$5:$O$3507,$L1887)&amp;""))</f>
        <v/>
      </c>
      <c r="F1887" s="52" t="str">
        <f aca="false">IF(L1887="","",INDEX(ポート振替表!$K$5:$K$3507,$L1887)&amp;" "&amp;INDEX(ポート振替表!$L$5:$L$3507,$L1887)&amp;"  ⇔  "&amp;INDEX(ポート振替表!$H$5:$H$3507,$L1887)&amp;" "&amp;INDEX(ポート振替表!$I$5:$I$3507,$L1887))</f>
        <v/>
      </c>
      <c r="G1887" s="57" t="s">
        <v>158</v>
      </c>
      <c r="H1887" s="32" t="str">
        <f aca="false">IF(L1887="","",INDEX(ポート振替表!$N$5:$N$3507,$L1887)&amp;"")</f>
        <v/>
      </c>
      <c r="I1887" s="32" t="str">
        <f aca="false">IF(L1887="","",INDEX(ポート振替表!$P$5:$P$3507,$L1887)&amp;"")</f>
        <v/>
      </c>
      <c r="J1887" s="60" t="str">
        <f aca="false">IF(L1887="","",INDEX(ポート振替表!$M$5:$M$3507,$L1887)&amp;"")</f>
        <v/>
      </c>
      <c r="K1887" s="52" t="str">
        <f aca="false">IF(L1887="","",E1887&amp;CHAR(10)&amp;INDEX(ポート振替表!$K$5:$K$3507,$L1887)&amp;" "&amp;INDEX(ポート振替表!$L$5:$L$3507,$L1887)&amp;CHAR(10)&amp;"⇔ "&amp;INDEX(ポート振替表!$H$5:$H$3507,$L1887)&amp;" "&amp;INDEX(ポート振替表!$I$5:$I$3507,$L1887))</f>
        <v/>
      </c>
      <c r="L1887" s="47" t="str">
        <f aca="false">IFERROR(MATCH(ROW()-4,ポート振替表!$V$5:$V$3507,0),"")</f>
        <v/>
      </c>
    </row>
    <row r="1888" customFormat="false" ht="16.4" hidden="false" customHeight="false" outlineLevel="0" collapsed="false">
      <c r="A1888" s="32" t="str">
        <f aca="false">IF(L1888="","",ROW()-4)</f>
        <v/>
      </c>
      <c r="B1888" s="58" t="str">
        <f aca="false">IF(L1888="","",IF(INDEX(ポート振替表!$W$5:$W$3507,$L1888)="","(なし)",INDEX(ポート振替表!$W$5:$W$3507,$L1888)&amp;""))</f>
        <v/>
      </c>
      <c r="C1888" s="52" t="str">
        <f aca="false">IF(L1888="","",INDEX(ポート振替表!$B$5:$B$3507,$L1888)&amp;" "&amp;INDEX(ポート振替表!$C$5:$C$3507,$L1888)&amp;"  ⇔  "&amp;INDEX(ポート振替表!$H$5:$H$3507,$L1888)&amp;" "&amp;INDEX(ポート振替表!$I$5:$I$3507,$L1888))</f>
        <v/>
      </c>
      <c r="D1888" s="57" t="s">
        <v>158</v>
      </c>
      <c r="E1888" s="59" t="str">
        <f aca="false">IF(L1888="","",IF(INDEX(ポート振替表!$O$5:$O$3507,$L1888)="","(未設定)",INDEX(ポート振替表!$O$5:$O$3507,$L1888)&amp;""))</f>
        <v/>
      </c>
      <c r="F1888" s="52" t="str">
        <f aca="false">IF(L1888="","",INDEX(ポート振替表!$K$5:$K$3507,$L1888)&amp;" "&amp;INDEX(ポート振替表!$L$5:$L$3507,$L1888)&amp;"  ⇔  "&amp;INDEX(ポート振替表!$H$5:$H$3507,$L1888)&amp;" "&amp;INDEX(ポート振替表!$I$5:$I$3507,$L1888))</f>
        <v/>
      </c>
      <c r="G1888" s="57" t="s">
        <v>158</v>
      </c>
      <c r="H1888" s="32" t="str">
        <f aca="false">IF(L1888="","",INDEX(ポート振替表!$N$5:$N$3507,$L1888)&amp;"")</f>
        <v/>
      </c>
      <c r="I1888" s="32" t="str">
        <f aca="false">IF(L1888="","",INDEX(ポート振替表!$P$5:$P$3507,$L1888)&amp;"")</f>
        <v/>
      </c>
      <c r="J1888" s="60" t="str">
        <f aca="false">IF(L1888="","",INDEX(ポート振替表!$M$5:$M$3507,$L1888)&amp;"")</f>
        <v/>
      </c>
      <c r="K1888" s="52" t="str">
        <f aca="false">IF(L1888="","",E1888&amp;CHAR(10)&amp;INDEX(ポート振替表!$K$5:$K$3507,$L1888)&amp;" "&amp;INDEX(ポート振替表!$L$5:$L$3507,$L1888)&amp;CHAR(10)&amp;"⇔ "&amp;INDEX(ポート振替表!$H$5:$H$3507,$L1888)&amp;" "&amp;INDEX(ポート振替表!$I$5:$I$3507,$L1888))</f>
        <v/>
      </c>
      <c r="L1888" s="47" t="str">
        <f aca="false">IFERROR(MATCH(ROW()-4,ポート振替表!$V$5:$V$3507,0),"")</f>
        <v/>
      </c>
    </row>
    <row r="1889" customFormat="false" ht="16.4" hidden="false" customHeight="false" outlineLevel="0" collapsed="false">
      <c r="A1889" s="32" t="str">
        <f aca="false">IF(L1889="","",ROW()-4)</f>
        <v/>
      </c>
      <c r="B1889" s="58" t="str">
        <f aca="false">IF(L1889="","",IF(INDEX(ポート振替表!$W$5:$W$3507,$L1889)="","(なし)",INDEX(ポート振替表!$W$5:$W$3507,$L1889)&amp;""))</f>
        <v/>
      </c>
      <c r="C1889" s="52" t="str">
        <f aca="false">IF(L1889="","",INDEX(ポート振替表!$B$5:$B$3507,$L1889)&amp;" "&amp;INDEX(ポート振替表!$C$5:$C$3507,$L1889)&amp;"  ⇔  "&amp;INDEX(ポート振替表!$H$5:$H$3507,$L1889)&amp;" "&amp;INDEX(ポート振替表!$I$5:$I$3507,$L1889))</f>
        <v/>
      </c>
      <c r="D1889" s="57" t="s">
        <v>158</v>
      </c>
      <c r="E1889" s="59" t="str">
        <f aca="false">IF(L1889="","",IF(INDEX(ポート振替表!$O$5:$O$3507,$L1889)="","(未設定)",INDEX(ポート振替表!$O$5:$O$3507,$L1889)&amp;""))</f>
        <v/>
      </c>
      <c r="F1889" s="52" t="str">
        <f aca="false">IF(L1889="","",INDEX(ポート振替表!$K$5:$K$3507,$L1889)&amp;" "&amp;INDEX(ポート振替表!$L$5:$L$3507,$L1889)&amp;"  ⇔  "&amp;INDEX(ポート振替表!$H$5:$H$3507,$L1889)&amp;" "&amp;INDEX(ポート振替表!$I$5:$I$3507,$L1889))</f>
        <v/>
      </c>
      <c r="G1889" s="57" t="s">
        <v>158</v>
      </c>
      <c r="H1889" s="32" t="str">
        <f aca="false">IF(L1889="","",INDEX(ポート振替表!$N$5:$N$3507,$L1889)&amp;"")</f>
        <v/>
      </c>
      <c r="I1889" s="32" t="str">
        <f aca="false">IF(L1889="","",INDEX(ポート振替表!$P$5:$P$3507,$L1889)&amp;"")</f>
        <v/>
      </c>
      <c r="J1889" s="60" t="str">
        <f aca="false">IF(L1889="","",INDEX(ポート振替表!$M$5:$M$3507,$L1889)&amp;"")</f>
        <v/>
      </c>
      <c r="K1889" s="52" t="str">
        <f aca="false">IF(L1889="","",E1889&amp;CHAR(10)&amp;INDEX(ポート振替表!$K$5:$K$3507,$L1889)&amp;" "&amp;INDEX(ポート振替表!$L$5:$L$3507,$L1889)&amp;CHAR(10)&amp;"⇔ "&amp;INDEX(ポート振替表!$H$5:$H$3507,$L1889)&amp;" "&amp;INDEX(ポート振替表!$I$5:$I$3507,$L1889))</f>
        <v/>
      </c>
      <c r="L1889" s="47" t="str">
        <f aca="false">IFERROR(MATCH(ROW()-4,ポート振替表!$V$5:$V$3507,0),"")</f>
        <v/>
      </c>
    </row>
    <row r="1890" customFormat="false" ht="16.4" hidden="false" customHeight="false" outlineLevel="0" collapsed="false">
      <c r="A1890" s="32" t="str">
        <f aca="false">IF(L1890="","",ROW()-4)</f>
        <v/>
      </c>
      <c r="B1890" s="58" t="str">
        <f aca="false">IF(L1890="","",IF(INDEX(ポート振替表!$W$5:$W$3507,$L1890)="","(なし)",INDEX(ポート振替表!$W$5:$W$3507,$L1890)&amp;""))</f>
        <v/>
      </c>
      <c r="C1890" s="52" t="str">
        <f aca="false">IF(L1890="","",INDEX(ポート振替表!$B$5:$B$3507,$L1890)&amp;" "&amp;INDEX(ポート振替表!$C$5:$C$3507,$L1890)&amp;"  ⇔  "&amp;INDEX(ポート振替表!$H$5:$H$3507,$L1890)&amp;" "&amp;INDEX(ポート振替表!$I$5:$I$3507,$L1890))</f>
        <v/>
      </c>
      <c r="D1890" s="57" t="s">
        <v>158</v>
      </c>
      <c r="E1890" s="59" t="str">
        <f aca="false">IF(L1890="","",IF(INDEX(ポート振替表!$O$5:$O$3507,$L1890)="","(未設定)",INDEX(ポート振替表!$O$5:$O$3507,$L1890)&amp;""))</f>
        <v/>
      </c>
      <c r="F1890" s="52" t="str">
        <f aca="false">IF(L1890="","",INDEX(ポート振替表!$K$5:$K$3507,$L1890)&amp;" "&amp;INDEX(ポート振替表!$L$5:$L$3507,$L1890)&amp;"  ⇔  "&amp;INDEX(ポート振替表!$H$5:$H$3507,$L1890)&amp;" "&amp;INDEX(ポート振替表!$I$5:$I$3507,$L1890))</f>
        <v/>
      </c>
      <c r="G1890" s="57" t="s">
        <v>158</v>
      </c>
      <c r="H1890" s="32" t="str">
        <f aca="false">IF(L1890="","",INDEX(ポート振替表!$N$5:$N$3507,$L1890)&amp;"")</f>
        <v/>
      </c>
      <c r="I1890" s="32" t="str">
        <f aca="false">IF(L1890="","",INDEX(ポート振替表!$P$5:$P$3507,$L1890)&amp;"")</f>
        <v/>
      </c>
      <c r="J1890" s="60" t="str">
        <f aca="false">IF(L1890="","",INDEX(ポート振替表!$M$5:$M$3507,$L1890)&amp;"")</f>
        <v/>
      </c>
      <c r="K1890" s="52" t="str">
        <f aca="false">IF(L1890="","",E1890&amp;CHAR(10)&amp;INDEX(ポート振替表!$K$5:$K$3507,$L1890)&amp;" "&amp;INDEX(ポート振替表!$L$5:$L$3507,$L1890)&amp;CHAR(10)&amp;"⇔ "&amp;INDEX(ポート振替表!$H$5:$H$3507,$L1890)&amp;" "&amp;INDEX(ポート振替表!$I$5:$I$3507,$L1890))</f>
        <v/>
      </c>
      <c r="L1890" s="47" t="str">
        <f aca="false">IFERROR(MATCH(ROW()-4,ポート振替表!$V$5:$V$3507,0),"")</f>
        <v/>
      </c>
    </row>
    <row r="1891" customFormat="false" ht="16.4" hidden="false" customHeight="false" outlineLevel="0" collapsed="false">
      <c r="A1891" s="32" t="str">
        <f aca="false">IF(L1891="","",ROW()-4)</f>
        <v/>
      </c>
      <c r="B1891" s="58" t="str">
        <f aca="false">IF(L1891="","",IF(INDEX(ポート振替表!$W$5:$W$3507,$L1891)="","(なし)",INDEX(ポート振替表!$W$5:$W$3507,$L1891)&amp;""))</f>
        <v/>
      </c>
      <c r="C1891" s="52" t="str">
        <f aca="false">IF(L1891="","",INDEX(ポート振替表!$B$5:$B$3507,$L1891)&amp;" "&amp;INDEX(ポート振替表!$C$5:$C$3507,$L1891)&amp;"  ⇔  "&amp;INDEX(ポート振替表!$H$5:$H$3507,$L1891)&amp;" "&amp;INDEX(ポート振替表!$I$5:$I$3507,$L1891))</f>
        <v/>
      </c>
      <c r="D1891" s="57" t="s">
        <v>158</v>
      </c>
      <c r="E1891" s="59" t="str">
        <f aca="false">IF(L1891="","",IF(INDEX(ポート振替表!$O$5:$O$3507,$L1891)="","(未設定)",INDEX(ポート振替表!$O$5:$O$3507,$L1891)&amp;""))</f>
        <v/>
      </c>
      <c r="F1891" s="52" t="str">
        <f aca="false">IF(L1891="","",INDEX(ポート振替表!$K$5:$K$3507,$L1891)&amp;" "&amp;INDEX(ポート振替表!$L$5:$L$3507,$L1891)&amp;"  ⇔  "&amp;INDEX(ポート振替表!$H$5:$H$3507,$L1891)&amp;" "&amp;INDEX(ポート振替表!$I$5:$I$3507,$L1891))</f>
        <v/>
      </c>
      <c r="G1891" s="57" t="s">
        <v>158</v>
      </c>
      <c r="H1891" s="32" t="str">
        <f aca="false">IF(L1891="","",INDEX(ポート振替表!$N$5:$N$3507,$L1891)&amp;"")</f>
        <v/>
      </c>
      <c r="I1891" s="32" t="str">
        <f aca="false">IF(L1891="","",INDEX(ポート振替表!$P$5:$P$3507,$L1891)&amp;"")</f>
        <v/>
      </c>
      <c r="J1891" s="60" t="str">
        <f aca="false">IF(L1891="","",INDEX(ポート振替表!$M$5:$M$3507,$L1891)&amp;"")</f>
        <v/>
      </c>
      <c r="K1891" s="52" t="str">
        <f aca="false">IF(L1891="","",E1891&amp;CHAR(10)&amp;INDEX(ポート振替表!$K$5:$K$3507,$L1891)&amp;" "&amp;INDEX(ポート振替表!$L$5:$L$3507,$L1891)&amp;CHAR(10)&amp;"⇔ "&amp;INDEX(ポート振替表!$H$5:$H$3507,$L1891)&amp;" "&amp;INDEX(ポート振替表!$I$5:$I$3507,$L1891))</f>
        <v/>
      </c>
      <c r="L1891" s="47" t="str">
        <f aca="false">IFERROR(MATCH(ROW()-4,ポート振替表!$V$5:$V$3507,0),"")</f>
        <v/>
      </c>
    </row>
    <row r="1892" customFormat="false" ht="16.4" hidden="false" customHeight="false" outlineLevel="0" collapsed="false">
      <c r="A1892" s="32" t="str">
        <f aca="false">IF(L1892="","",ROW()-4)</f>
        <v/>
      </c>
      <c r="B1892" s="58" t="str">
        <f aca="false">IF(L1892="","",IF(INDEX(ポート振替表!$W$5:$W$3507,$L1892)="","(なし)",INDEX(ポート振替表!$W$5:$W$3507,$L1892)&amp;""))</f>
        <v/>
      </c>
      <c r="C1892" s="52" t="str">
        <f aca="false">IF(L1892="","",INDEX(ポート振替表!$B$5:$B$3507,$L1892)&amp;" "&amp;INDEX(ポート振替表!$C$5:$C$3507,$L1892)&amp;"  ⇔  "&amp;INDEX(ポート振替表!$H$5:$H$3507,$L1892)&amp;" "&amp;INDEX(ポート振替表!$I$5:$I$3507,$L1892))</f>
        <v/>
      </c>
      <c r="D1892" s="57" t="s">
        <v>158</v>
      </c>
      <c r="E1892" s="59" t="str">
        <f aca="false">IF(L1892="","",IF(INDEX(ポート振替表!$O$5:$O$3507,$L1892)="","(未設定)",INDEX(ポート振替表!$O$5:$O$3507,$L1892)&amp;""))</f>
        <v/>
      </c>
      <c r="F1892" s="52" t="str">
        <f aca="false">IF(L1892="","",INDEX(ポート振替表!$K$5:$K$3507,$L1892)&amp;" "&amp;INDEX(ポート振替表!$L$5:$L$3507,$L1892)&amp;"  ⇔  "&amp;INDEX(ポート振替表!$H$5:$H$3507,$L1892)&amp;" "&amp;INDEX(ポート振替表!$I$5:$I$3507,$L1892))</f>
        <v/>
      </c>
      <c r="G1892" s="57" t="s">
        <v>158</v>
      </c>
      <c r="H1892" s="32" t="str">
        <f aca="false">IF(L1892="","",INDEX(ポート振替表!$N$5:$N$3507,$L1892)&amp;"")</f>
        <v/>
      </c>
      <c r="I1892" s="32" t="str">
        <f aca="false">IF(L1892="","",INDEX(ポート振替表!$P$5:$P$3507,$L1892)&amp;"")</f>
        <v/>
      </c>
      <c r="J1892" s="60" t="str">
        <f aca="false">IF(L1892="","",INDEX(ポート振替表!$M$5:$M$3507,$L1892)&amp;"")</f>
        <v/>
      </c>
      <c r="K1892" s="52" t="str">
        <f aca="false">IF(L1892="","",E1892&amp;CHAR(10)&amp;INDEX(ポート振替表!$K$5:$K$3507,$L1892)&amp;" "&amp;INDEX(ポート振替表!$L$5:$L$3507,$L1892)&amp;CHAR(10)&amp;"⇔ "&amp;INDEX(ポート振替表!$H$5:$H$3507,$L1892)&amp;" "&amp;INDEX(ポート振替表!$I$5:$I$3507,$L1892))</f>
        <v/>
      </c>
      <c r="L1892" s="47" t="str">
        <f aca="false">IFERROR(MATCH(ROW()-4,ポート振替表!$V$5:$V$3507,0),"")</f>
        <v/>
      </c>
    </row>
    <row r="1893" customFormat="false" ht="16.4" hidden="false" customHeight="false" outlineLevel="0" collapsed="false">
      <c r="A1893" s="32" t="str">
        <f aca="false">IF(L1893="","",ROW()-4)</f>
        <v/>
      </c>
      <c r="B1893" s="58" t="str">
        <f aca="false">IF(L1893="","",IF(INDEX(ポート振替表!$W$5:$W$3507,$L1893)="","(なし)",INDEX(ポート振替表!$W$5:$W$3507,$L1893)&amp;""))</f>
        <v/>
      </c>
      <c r="C1893" s="52" t="str">
        <f aca="false">IF(L1893="","",INDEX(ポート振替表!$B$5:$B$3507,$L1893)&amp;" "&amp;INDEX(ポート振替表!$C$5:$C$3507,$L1893)&amp;"  ⇔  "&amp;INDEX(ポート振替表!$H$5:$H$3507,$L1893)&amp;" "&amp;INDEX(ポート振替表!$I$5:$I$3507,$L1893))</f>
        <v/>
      </c>
      <c r="D1893" s="57" t="s">
        <v>158</v>
      </c>
      <c r="E1893" s="59" t="str">
        <f aca="false">IF(L1893="","",IF(INDEX(ポート振替表!$O$5:$O$3507,$L1893)="","(未設定)",INDEX(ポート振替表!$O$5:$O$3507,$L1893)&amp;""))</f>
        <v/>
      </c>
      <c r="F1893" s="52" t="str">
        <f aca="false">IF(L1893="","",INDEX(ポート振替表!$K$5:$K$3507,$L1893)&amp;" "&amp;INDEX(ポート振替表!$L$5:$L$3507,$L1893)&amp;"  ⇔  "&amp;INDEX(ポート振替表!$H$5:$H$3507,$L1893)&amp;" "&amp;INDEX(ポート振替表!$I$5:$I$3507,$L1893))</f>
        <v/>
      </c>
      <c r="G1893" s="57" t="s">
        <v>158</v>
      </c>
      <c r="H1893" s="32" t="str">
        <f aca="false">IF(L1893="","",INDEX(ポート振替表!$N$5:$N$3507,$L1893)&amp;"")</f>
        <v/>
      </c>
      <c r="I1893" s="32" t="str">
        <f aca="false">IF(L1893="","",INDEX(ポート振替表!$P$5:$P$3507,$L1893)&amp;"")</f>
        <v/>
      </c>
      <c r="J1893" s="60" t="str">
        <f aca="false">IF(L1893="","",INDEX(ポート振替表!$M$5:$M$3507,$L1893)&amp;"")</f>
        <v/>
      </c>
      <c r="K1893" s="52" t="str">
        <f aca="false">IF(L1893="","",E1893&amp;CHAR(10)&amp;INDEX(ポート振替表!$K$5:$K$3507,$L1893)&amp;" "&amp;INDEX(ポート振替表!$L$5:$L$3507,$L1893)&amp;CHAR(10)&amp;"⇔ "&amp;INDEX(ポート振替表!$H$5:$H$3507,$L1893)&amp;" "&amp;INDEX(ポート振替表!$I$5:$I$3507,$L1893))</f>
        <v/>
      </c>
      <c r="L1893" s="47" t="str">
        <f aca="false">IFERROR(MATCH(ROW()-4,ポート振替表!$V$5:$V$3507,0),"")</f>
        <v/>
      </c>
    </row>
    <row r="1894" customFormat="false" ht="16.4" hidden="false" customHeight="false" outlineLevel="0" collapsed="false">
      <c r="A1894" s="32" t="str">
        <f aca="false">IF(L1894="","",ROW()-4)</f>
        <v/>
      </c>
      <c r="B1894" s="58" t="str">
        <f aca="false">IF(L1894="","",IF(INDEX(ポート振替表!$W$5:$W$3507,$L1894)="","(なし)",INDEX(ポート振替表!$W$5:$W$3507,$L1894)&amp;""))</f>
        <v/>
      </c>
      <c r="C1894" s="52" t="str">
        <f aca="false">IF(L1894="","",INDEX(ポート振替表!$B$5:$B$3507,$L1894)&amp;" "&amp;INDEX(ポート振替表!$C$5:$C$3507,$L1894)&amp;"  ⇔  "&amp;INDEX(ポート振替表!$H$5:$H$3507,$L1894)&amp;" "&amp;INDEX(ポート振替表!$I$5:$I$3507,$L1894))</f>
        <v/>
      </c>
      <c r="D1894" s="57" t="s">
        <v>158</v>
      </c>
      <c r="E1894" s="59" t="str">
        <f aca="false">IF(L1894="","",IF(INDEX(ポート振替表!$O$5:$O$3507,$L1894)="","(未設定)",INDEX(ポート振替表!$O$5:$O$3507,$L1894)&amp;""))</f>
        <v/>
      </c>
      <c r="F1894" s="52" t="str">
        <f aca="false">IF(L1894="","",INDEX(ポート振替表!$K$5:$K$3507,$L1894)&amp;" "&amp;INDEX(ポート振替表!$L$5:$L$3507,$L1894)&amp;"  ⇔  "&amp;INDEX(ポート振替表!$H$5:$H$3507,$L1894)&amp;" "&amp;INDEX(ポート振替表!$I$5:$I$3507,$L1894))</f>
        <v/>
      </c>
      <c r="G1894" s="57" t="s">
        <v>158</v>
      </c>
      <c r="H1894" s="32" t="str">
        <f aca="false">IF(L1894="","",INDEX(ポート振替表!$N$5:$N$3507,$L1894)&amp;"")</f>
        <v/>
      </c>
      <c r="I1894" s="32" t="str">
        <f aca="false">IF(L1894="","",INDEX(ポート振替表!$P$5:$P$3507,$L1894)&amp;"")</f>
        <v/>
      </c>
      <c r="J1894" s="60" t="str">
        <f aca="false">IF(L1894="","",INDEX(ポート振替表!$M$5:$M$3507,$L1894)&amp;"")</f>
        <v/>
      </c>
      <c r="K1894" s="52" t="str">
        <f aca="false">IF(L1894="","",E1894&amp;CHAR(10)&amp;INDEX(ポート振替表!$K$5:$K$3507,$L1894)&amp;" "&amp;INDEX(ポート振替表!$L$5:$L$3507,$L1894)&amp;CHAR(10)&amp;"⇔ "&amp;INDEX(ポート振替表!$H$5:$H$3507,$L1894)&amp;" "&amp;INDEX(ポート振替表!$I$5:$I$3507,$L1894))</f>
        <v/>
      </c>
      <c r="L1894" s="47" t="str">
        <f aca="false">IFERROR(MATCH(ROW()-4,ポート振替表!$V$5:$V$3507,0),"")</f>
        <v/>
      </c>
    </row>
    <row r="1895" customFormat="false" ht="16.4" hidden="false" customHeight="false" outlineLevel="0" collapsed="false">
      <c r="A1895" s="32" t="str">
        <f aca="false">IF(L1895="","",ROW()-4)</f>
        <v/>
      </c>
      <c r="B1895" s="58" t="str">
        <f aca="false">IF(L1895="","",IF(INDEX(ポート振替表!$W$5:$W$3507,$L1895)="","(なし)",INDEX(ポート振替表!$W$5:$W$3507,$L1895)&amp;""))</f>
        <v/>
      </c>
      <c r="C1895" s="52" t="str">
        <f aca="false">IF(L1895="","",INDEX(ポート振替表!$B$5:$B$3507,$L1895)&amp;" "&amp;INDEX(ポート振替表!$C$5:$C$3507,$L1895)&amp;"  ⇔  "&amp;INDEX(ポート振替表!$H$5:$H$3507,$L1895)&amp;" "&amp;INDEX(ポート振替表!$I$5:$I$3507,$L1895))</f>
        <v/>
      </c>
      <c r="D1895" s="57" t="s">
        <v>158</v>
      </c>
      <c r="E1895" s="59" t="str">
        <f aca="false">IF(L1895="","",IF(INDEX(ポート振替表!$O$5:$O$3507,$L1895)="","(未設定)",INDEX(ポート振替表!$O$5:$O$3507,$L1895)&amp;""))</f>
        <v/>
      </c>
      <c r="F1895" s="52" t="str">
        <f aca="false">IF(L1895="","",INDEX(ポート振替表!$K$5:$K$3507,$L1895)&amp;" "&amp;INDEX(ポート振替表!$L$5:$L$3507,$L1895)&amp;"  ⇔  "&amp;INDEX(ポート振替表!$H$5:$H$3507,$L1895)&amp;" "&amp;INDEX(ポート振替表!$I$5:$I$3507,$L1895))</f>
        <v/>
      </c>
      <c r="G1895" s="57" t="s">
        <v>158</v>
      </c>
      <c r="H1895" s="32" t="str">
        <f aca="false">IF(L1895="","",INDEX(ポート振替表!$N$5:$N$3507,$L1895)&amp;"")</f>
        <v/>
      </c>
      <c r="I1895" s="32" t="str">
        <f aca="false">IF(L1895="","",INDEX(ポート振替表!$P$5:$P$3507,$L1895)&amp;"")</f>
        <v/>
      </c>
      <c r="J1895" s="60" t="str">
        <f aca="false">IF(L1895="","",INDEX(ポート振替表!$M$5:$M$3507,$L1895)&amp;"")</f>
        <v/>
      </c>
      <c r="K1895" s="52" t="str">
        <f aca="false">IF(L1895="","",E1895&amp;CHAR(10)&amp;INDEX(ポート振替表!$K$5:$K$3507,$L1895)&amp;" "&amp;INDEX(ポート振替表!$L$5:$L$3507,$L1895)&amp;CHAR(10)&amp;"⇔ "&amp;INDEX(ポート振替表!$H$5:$H$3507,$L1895)&amp;" "&amp;INDEX(ポート振替表!$I$5:$I$3507,$L1895))</f>
        <v/>
      </c>
      <c r="L1895" s="47" t="str">
        <f aca="false">IFERROR(MATCH(ROW()-4,ポート振替表!$V$5:$V$3507,0),"")</f>
        <v/>
      </c>
    </row>
    <row r="1896" customFormat="false" ht="16.4" hidden="false" customHeight="false" outlineLevel="0" collapsed="false">
      <c r="A1896" s="32" t="str">
        <f aca="false">IF(L1896="","",ROW()-4)</f>
        <v/>
      </c>
      <c r="B1896" s="58" t="str">
        <f aca="false">IF(L1896="","",IF(INDEX(ポート振替表!$W$5:$W$3507,$L1896)="","(なし)",INDEX(ポート振替表!$W$5:$W$3507,$L1896)&amp;""))</f>
        <v/>
      </c>
      <c r="C1896" s="52" t="str">
        <f aca="false">IF(L1896="","",INDEX(ポート振替表!$B$5:$B$3507,$L1896)&amp;" "&amp;INDEX(ポート振替表!$C$5:$C$3507,$L1896)&amp;"  ⇔  "&amp;INDEX(ポート振替表!$H$5:$H$3507,$L1896)&amp;" "&amp;INDEX(ポート振替表!$I$5:$I$3507,$L1896))</f>
        <v/>
      </c>
      <c r="D1896" s="57" t="s">
        <v>158</v>
      </c>
      <c r="E1896" s="59" t="str">
        <f aca="false">IF(L1896="","",IF(INDEX(ポート振替表!$O$5:$O$3507,$L1896)="","(未設定)",INDEX(ポート振替表!$O$5:$O$3507,$L1896)&amp;""))</f>
        <v/>
      </c>
      <c r="F1896" s="52" t="str">
        <f aca="false">IF(L1896="","",INDEX(ポート振替表!$K$5:$K$3507,$L1896)&amp;" "&amp;INDEX(ポート振替表!$L$5:$L$3507,$L1896)&amp;"  ⇔  "&amp;INDEX(ポート振替表!$H$5:$H$3507,$L1896)&amp;" "&amp;INDEX(ポート振替表!$I$5:$I$3507,$L1896))</f>
        <v/>
      </c>
      <c r="G1896" s="57" t="s">
        <v>158</v>
      </c>
      <c r="H1896" s="32" t="str">
        <f aca="false">IF(L1896="","",INDEX(ポート振替表!$N$5:$N$3507,$L1896)&amp;"")</f>
        <v/>
      </c>
      <c r="I1896" s="32" t="str">
        <f aca="false">IF(L1896="","",INDEX(ポート振替表!$P$5:$P$3507,$L1896)&amp;"")</f>
        <v/>
      </c>
      <c r="J1896" s="60" t="str">
        <f aca="false">IF(L1896="","",INDEX(ポート振替表!$M$5:$M$3507,$L1896)&amp;"")</f>
        <v/>
      </c>
      <c r="K1896" s="52" t="str">
        <f aca="false">IF(L1896="","",E1896&amp;CHAR(10)&amp;INDEX(ポート振替表!$K$5:$K$3507,$L1896)&amp;" "&amp;INDEX(ポート振替表!$L$5:$L$3507,$L1896)&amp;CHAR(10)&amp;"⇔ "&amp;INDEX(ポート振替表!$H$5:$H$3507,$L1896)&amp;" "&amp;INDEX(ポート振替表!$I$5:$I$3507,$L1896))</f>
        <v/>
      </c>
      <c r="L1896" s="47" t="str">
        <f aca="false">IFERROR(MATCH(ROW()-4,ポート振替表!$V$5:$V$3507,0),"")</f>
        <v/>
      </c>
    </row>
    <row r="1897" customFormat="false" ht="16.4" hidden="false" customHeight="false" outlineLevel="0" collapsed="false">
      <c r="A1897" s="32" t="str">
        <f aca="false">IF(L1897="","",ROW()-4)</f>
        <v/>
      </c>
      <c r="B1897" s="58" t="str">
        <f aca="false">IF(L1897="","",IF(INDEX(ポート振替表!$W$5:$W$3507,$L1897)="","(なし)",INDEX(ポート振替表!$W$5:$W$3507,$L1897)&amp;""))</f>
        <v/>
      </c>
      <c r="C1897" s="52" t="str">
        <f aca="false">IF(L1897="","",INDEX(ポート振替表!$B$5:$B$3507,$L1897)&amp;" "&amp;INDEX(ポート振替表!$C$5:$C$3507,$L1897)&amp;"  ⇔  "&amp;INDEX(ポート振替表!$H$5:$H$3507,$L1897)&amp;" "&amp;INDEX(ポート振替表!$I$5:$I$3507,$L1897))</f>
        <v/>
      </c>
      <c r="D1897" s="57" t="s">
        <v>158</v>
      </c>
      <c r="E1897" s="59" t="str">
        <f aca="false">IF(L1897="","",IF(INDEX(ポート振替表!$O$5:$O$3507,$L1897)="","(未設定)",INDEX(ポート振替表!$O$5:$O$3507,$L1897)&amp;""))</f>
        <v/>
      </c>
      <c r="F1897" s="52" t="str">
        <f aca="false">IF(L1897="","",INDEX(ポート振替表!$K$5:$K$3507,$L1897)&amp;" "&amp;INDEX(ポート振替表!$L$5:$L$3507,$L1897)&amp;"  ⇔  "&amp;INDEX(ポート振替表!$H$5:$H$3507,$L1897)&amp;" "&amp;INDEX(ポート振替表!$I$5:$I$3507,$L1897))</f>
        <v/>
      </c>
      <c r="G1897" s="57" t="s">
        <v>158</v>
      </c>
      <c r="H1897" s="32" t="str">
        <f aca="false">IF(L1897="","",INDEX(ポート振替表!$N$5:$N$3507,$L1897)&amp;"")</f>
        <v/>
      </c>
      <c r="I1897" s="32" t="str">
        <f aca="false">IF(L1897="","",INDEX(ポート振替表!$P$5:$P$3507,$L1897)&amp;"")</f>
        <v/>
      </c>
      <c r="J1897" s="60" t="str">
        <f aca="false">IF(L1897="","",INDEX(ポート振替表!$M$5:$M$3507,$L1897)&amp;"")</f>
        <v/>
      </c>
      <c r="K1897" s="52" t="str">
        <f aca="false">IF(L1897="","",E1897&amp;CHAR(10)&amp;INDEX(ポート振替表!$K$5:$K$3507,$L1897)&amp;" "&amp;INDEX(ポート振替表!$L$5:$L$3507,$L1897)&amp;CHAR(10)&amp;"⇔ "&amp;INDEX(ポート振替表!$H$5:$H$3507,$L1897)&amp;" "&amp;INDEX(ポート振替表!$I$5:$I$3507,$L1897))</f>
        <v/>
      </c>
      <c r="L1897" s="47" t="str">
        <f aca="false">IFERROR(MATCH(ROW()-4,ポート振替表!$V$5:$V$3507,0),"")</f>
        <v/>
      </c>
    </row>
    <row r="1898" customFormat="false" ht="16.4" hidden="false" customHeight="false" outlineLevel="0" collapsed="false">
      <c r="A1898" s="32" t="str">
        <f aca="false">IF(L1898="","",ROW()-4)</f>
        <v/>
      </c>
      <c r="B1898" s="58" t="str">
        <f aca="false">IF(L1898="","",IF(INDEX(ポート振替表!$W$5:$W$3507,$L1898)="","(なし)",INDEX(ポート振替表!$W$5:$W$3507,$L1898)&amp;""))</f>
        <v/>
      </c>
      <c r="C1898" s="52" t="str">
        <f aca="false">IF(L1898="","",INDEX(ポート振替表!$B$5:$B$3507,$L1898)&amp;" "&amp;INDEX(ポート振替表!$C$5:$C$3507,$L1898)&amp;"  ⇔  "&amp;INDEX(ポート振替表!$H$5:$H$3507,$L1898)&amp;" "&amp;INDEX(ポート振替表!$I$5:$I$3507,$L1898))</f>
        <v/>
      </c>
      <c r="D1898" s="57" t="s">
        <v>158</v>
      </c>
      <c r="E1898" s="59" t="str">
        <f aca="false">IF(L1898="","",IF(INDEX(ポート振替表!$O$5:$O$3507,$L1898)="","(未設定)",INDEX(ポート振替表!$O$5:$O$3507,$L1898)&amp;""))</f>
        <v/>
      </c>
      <c r="F1898" s="52" t="str">
        <f aca="false">IF(L1898="","",INDEX(ポート振替表!$K$5:$K$3507,$L1898)&amp;" "&amp;INDEX(ポート振替表!$L$5:$L$3507,$L1898)&amp;"  ⇔  "&amp;INDEX(ポート振替表!$H$5:$H$3507,$L1898)&amp;" "&amp;INDEX(ポート振替表!$I$5:$I$3507,$L1898))</f>
        <v/>
      </c>
      <c r="G1898" s="57" t="s">
        <v>158</v>
      </c>
      <c r="H1898" s="32" t="str">
        <f aca="false">IF(L1898="","",INDEX(ポート振替表!$N$5:$N$3507,$L1898)&amp;"")</f>
        <v/>
      </c>
      <c r="I1898" s="32" t="str">
        <f aca="false">IF(L1898="","",INDEX(ポート振替表!$P$5:$P$3507,$L1898)&amp;"")</f>
        <v/>
      </c>
      <c r="J1898" s="60" t="str">
        <f aca="false">IF(L1898="","",INDEX(ポート振替表!$M$5:$M$3507,$L1898)&amp;"")</f>
        <v/>
      </c>
      <c r="K1898" s="52" t="str">
        <f aca="false">IF(L1898="","",E1898&amp;CHAR(10)&amp;INDEX(ポート振替表!$K$5:$K$3507,$L1898)&amp;" "&amp;INDEX(ポート振替表!$L$5:$L$3507,$L1898)&amp;CHAR(10)&amp;"⇔ "&amp;INDEX(ポート振替表!$H$5:$H$3507,$L1898)&amp;" "&amp;INDEX(ポート振替表!$I$5:$I$3507,$L1898))</f>
        <v/>
      </c>
      <c r="L1898" s="47" t="str">
        <f aca="false">IFERROR(MATCH(ROW()-4,ポート振替表!$V$5:$V$3507,0),"")</f>
        <v/>
      </c>
    </row>
    <row r="1899" customFormat="false" ht="16.4" hidden="false" customHeight="false" outlineLevel="0" collapsed="false">
      <c r="A1899" s="32" t="str">
        <f aca="false">IF(L1899="","",ROW()-4)</f>
        <v/>
      </c>
      <c r="B1899" s="58" t="str">
        <f aca="false">IF(L1899="","",IF(INDEX(ポート振替表!$W$5:$W$3507,$L1899)="","(なし)",INDEX(ポート振替表!$W$5:$W$3507,$L1899)&amp;""))</f>
        <v/>
      </c>
      <c r="C1899" s="52" t="str">
        <f aca="false">IF(L1899="","",INDEX(ポート振替表!$B$5:$B$3507,$L1899)&amp;" "&amp;INDEX(ポート振替表!$C$5:$C$3507,$L1899)&amp;"  ⇔  "&amp;INDEX(ポート振替表!$H$5:$H$3507,$L1899)&amp;" "&amp;INDEX(ポート振替表!$I$5:$I$3507,$L1899))</f>
        <v/>
      </c>
      <c r="D1899" s="57" t="s">
        <v>158</v>
      </c>
      <c r="E1899" s="59" t="str">
        <f aca="false">IF(L1899="","",IF(INDEX(ポート振替表!$O$5:$O$3507,$L1899)="","(未設定)",INDEX(ポート振替表!$O$5:$O$3507,$L1899)&amp;""))</f>
        <v/>
      </c>
      <c r="F1899" s="52" t="str">
        <f aca="false">IF(L1899="","",INDEX(ポート振替表!$K$5:$K$3507,$L1899)&amp;" "&amp;INDEX(ポート振替表!$L$5:$L$3507,$L1899)&amp;"  ⇔  "&amp;INDEX(ポート振替表!$H$5:$H$3507,$L1899)&amp;" "&amp;INDEX(ポート振替表!$I$5:$I$3507,$L1899))</f>
        <v/>
      </c>
      <c r="G1899" s="57" t="s">
        <v>158</v>
      </c>
      <c r="H1899" s="32" t="str">
        <f aca="false">IF(L1899="","",INDEX(ポート振替表!$N$5:$N$3507,$L1899)&amp;"")</f>
        <v/>
      </c>
      <c r="I1899" s="32" t="str">
        <f aca="false">IF(L1899="","",INDEX(ポート振替表!$P$5:$P$3507,$L1899)&amp;"")</f>
        <v/>
      </c>
      <c r="J1899" s="60" t="str">
        <f aca="false">IF(L1899="","",INDEX(ポート振替表!$M$5:$M$3507,$L1899)&amp;"")</f>
        <v/>
      </c>
      <c r="K1899" s="52" t="str">
        <f aca="false">IF(L1899="","",E1899&amp;CHAR(10)&amp;INDEX(ポート振替表!$K$5:$K$3507,$L1899)&amp;" "&amp;INDEX(ポート振替表!$L$5:$L$3507,$L1899)&amp;CHAR(10)&amp;"⇔ "&amp;INDEX(ポート振替表!$H$5:$H$3507,$L1899)&amp;" "&amp;INDEX(ポート振替表!$I$5:$I$3507,$L1899))</f>
        <v/>
      </c>
      <c r="L1899" s="47" t="str">
        <f aca="false">IFERROR(MATCH(ROW()-4,ポート振替表!$V$5:$V$3507,0),"")</f>
        <v/>
      </c>
    </row>
    <row r="1900" customFormat="false" ht="16.4" hidden="false" customHeight="false" outlineLevel="0" collapsed="false">
      <c r="A1900" s="32" t="str">
        <f aca="false">IF(L1900="","",ROW()-4)</f>
        <v/>
      </c>
      <c r="B1900" s="58" t="str">
        <f aca="false">IF(L1900="","",IF(INDEX(ポート振替表!$W$5:$W$3507,$L1900)="","(なし)",INDEX(ポート振替表!$W$5:$W$3507,$L1900)&amp;""))</f>
        <v/>
      </c>
      <c r="C1900" s="52" t="str">
        <f aca="false">IF(L1900="","",INDEX(ポート振替表!$B$5:$B$3507,$L1900)&amp;" "&amp;INDEX(ポート振替表!$C$5:$C$3507,$L1900)&amp;"  ⇔  "&amp;INDEX(ポート振替表!$H$5:$H$3507,$L1900)&amp;" "&amp;INDEX(ポート振替表!$I$5:$I$3507,$L1900))</f>
        <v/>
      </c>
      <c r="D1900" s="57" t="s">
        <v>158</v>
      </c>
      <c r="E1900" s="59" t="str">
        <f aca="false">IF(L1900="","",IF(INDEX(ポート振替表!$O$5:$O$3507,$L1900)="","(未設定)",INDEX(ポート振替表!$O$5:$O$3507,$L1900)&amp;""))</f>
        <v/>
      </c>
      <c r="F1900" s="52" t="str">
        <f aca="false">IF(L1900="","",INDEX(ポート振替表!$K$5:$K$3507,$L1900)&amp;" "&amp;INDEX(ポート振替表!$L$5:$L$3507,$L1900)&amp;"  ⇔  "&amp;INDEX(ポート振替表!$H$5:$H$3507,$L1900)&amp;" "&amp;INDEX(ポート振替表!$I$5:$I$3507,$L1900))</f>
        <v/>
      </c>
      <c r="G1900" s="57" t="s">
        <v>158</v>
      </c>
      <c r="H1900" s="32" t="str">
        <f aca="false">IF(L1900="","",INDEX(ポート振替表!$N$5:$N$3507,$L1900)&amp;"")</f>
        <v/>
      </c>
      <c r="I1900" s="32" t="str">
        <f aca="false">IF(L1900="","",INDEX(ポート振替表!$P$5:$P$3507,$L1900)&amp;"")</f>
        <v/>
      </c>
      <c r="J1900" s="60" t="str">
        <f aca="false">IF(L1900="","",INDEX(ポート振替表!$M$5:$M$3507,$L1900)&amp;"")</f>
        <v/>
      </c>
      <c r="K1900" s="52" t="str">
        <f aca="false">IF(L1900="","",E1900&amp;CHAR(10)&amp;INDEX(ポート振替表!$K$5:$K$3507,$L1900)&amp;" "&amp;INDEX(ポート振替表!$L$5:$L$3507,$L1900)&amp;CHAR(10)&amp;"⇔ "&amp;INDEX(ポート振替表!$H$5:$H$3507,$L1900)&amp;" "&amp;INDEX(ポート振替表!$I$5:$I$3507,$L1900))</f>
        <v/>
      </c>
      <c r="L1900" s="47" t="str">
        <f aca="false">IFERROR(MATCH(ROW()-4,ポート振替表!$V$5:$V$3507,0),"")</f>
        <v/>
      </c>
    </row>
    <row r="1901" customFormat="false" ht="16.4" hidden="false" customHeight="false" outlineLevel="0" collapsed="false">
      <c r="A1901" s="32" t="str">
        <f aca="false">IF(L1901="","",ROW()-4)</f>
        <v/>
      </c>
      <c r="B1901" s="58" t="str">
        <f aca="false">IF(L1901="","",IF(INDEX(ポート振替表!$W$5:$W$3507,$L1901)="","(なし)",INDEX(ポート振替表!$W$5:$W$3507,$L1901)&amp;""))</f>
        <v/>
      </c>
      <c r="C1901" s="52" t="str">
        <f aca="false">IF(L1901="","",INDEX(ポート振替表!$B$5:$B$3507,$L1901)&amp;" "&amp;INDEX(ポート振替表!$C$5:$C$3507,$L1901)&amp;"  ⇔  "&amp;INDEX(ポート振替表!$H$5:$H$3507,$L1901)&amp;" "&amp;INDEX(ポート振替表!$I$5:$I$3507,$L1901))</f>
        <v/>
      </c>
      <c r="D1901" s="57" t="s">
        <v>158</v>
      </c>
      <c r="E1901" s="59" t="str">
        <f aca="false">IF(L1901="","",IF(INDEX(ポート振替表!$O$5:$O$3507,$L1901)="","(未設定)",INDEX(ポート振替表!$O$5:$O$3507,$L1901)&amp;""))</f>
        <v/>
      </c>
      <c r="F1901" s="52" t="str">
        <f aca="false">IF(L1901="","",INDEX(ポート振替表!$K$5:$K$3507,$L1901)&amp;" "&amp;INDEX(ポート振替表!$L$5:$L$3507,$L1901)&amp;"  ⇔  "&amp;INDEX(ポート振替表!$H$5:$H$3507,$L1901)&amp;" "&amp;INDEX(ポート振替表!$I$5:$I$3507,$L1901))</f>
        <v/>
      </c>
      <c r="G1901" s="57" t="s">
        <v>158</v>
      </c>
      <c r="H1901" s="32" t="str">
        <f aca="false">IF(L1901="","",INDEX(ポート振替表!$N$5:$N$3507,$L1901)&amp;"")</f>
        <v/>
      </c>
      <c r="I1901" s="32" t="str">
        <f aca="false">IF(L1901="","",INDEX(ポート振替表!$P$5:$P$3507,$L1901)&amp;"")</f>
        <v/>
      </c>
      <c r="J1901" s="60" t="str">
        <f aca="false">IF(L1901="","",INDEX(ポート振替表!$M$5:$M$3507,$L1901)&amp;"")</f>
        <v/>
      </c>
      <c r="K1901" s="52" t="str">
        <f aca="false">IF(L1901="","",E1901&amp;CHAR(10)&amp;INDEX(ポート振替表!$K$5:$K$3507,$L1901)&amp;" "&amp;INDEX(ポート振替表!$L$5:$L$3507,$L1901)&amp;CHAR(10)&amp;"⇔ "&amp;INDEX(ポート振替表!$H$5:$H$3507,$L1901)&amp;" "&amp;INDEX(ポート振替表!$I$5:$I$3507,$L1901))</f>
        <v/>
      </c>
      <c r="L1901" s="47" t="str">
        <f aca="false">IFERROR(MATCH(ROW()-4,ポート振替表!$V$5:$V$3507,0),"")</f>
        <v/>
      </c>
    </row>
    <row r="1902" customFormat="false" ht="16.4" hidden="false" customHeight="false" outlineLevel="0" collapsed="false">
      <c r="A1902" s="32" t="str">
        <f aca="false">IF(L1902="","",ROW()-4)</f>
        <v/>
      </c>
      <c r="B1902" s="58" t="str">
        <f aca="false">IF(L1902="","",IF(INDEX(ポート振替表!$W$5:$W$3507,$L1902)="","(なし)",INDEX(ポート振替表!$W$5:$W$3507,$L1902)&amp;""))</f>
        <v/>
      </c>
      <c r="C1902" s="52" t="str">
        <f aca="false">IF(L1902="","",INDEX(ポート振替表!$B$5:$B$3507,$L1902)&amp;" "&amp;INDEX(ポート振替表!$C$5:$C$3507,$L1902)&amp;"  ⇔  "&amp;INDEX(ポート振替表!$H$5:$H$3507,$L1902)&amp;" "&amp;INDEX(ポート振替表!$I$5:$I$3507,$L1902))</f>
        <v/>
      </c>
      <c r="D1902" s="57" t="s">
        <v>158</v>
      </c>
      <c r="E1902" s="59" t="str">
        <f aca="false">IF(L1902="","",IF(INDEX(ポート振替表!$O$5:$O$3507,$L1902)="","(未設定)",INDEX(ポート振替表!$O$5:$O$3507,$L1902)&amp;""))</f>
        <v/>
      </c>
      <c r="F1902" s="52" t="str">
        <f aca="false">IF(L1902="","",INDEX(ポート振替表!$K$5:$K$3507,$L1902)&amp;" "&amp;INDEX(ポート振替表!$L$5:$L$3507,$L1902)&amp;"  ⇔  "&amp;INDEX(ポート振替表!$H$5:$H$3507,$L1902)&amp;" "&amp;INDEX(ポート振替表!$I$5:$I$3507,$L1902))</f>
        <v/>
      </c>
      <c r="G1902" s="57" t="s">
        <v>158</v>
      </c>
      <c r="H1902" s="32" t="str">
        <f aca="false">IF(L1902="","",INDEX(ポート振替表!$N$5:$N$3507,$L1902)&amp;"")</f>
        <v/>
      </c>
      <c r="I1902" s="32" t="str">
        <f aca="false">IF(L1902="","",INDEX(ポート振替表!$P$5:$P$3507,$L1902)&amp;"")</f>
        <v/>
      </c>
      <c r="J1902" s="60" t="str">
        <f aca="false">IF(L1902="","",INDEX(ポート振替表!$M$5:$M$3507,$L1902)&amp;"")</f>
        <v/>
      </c>
      <c r="K1902" s="52" t="str">
        <f aca="false">IF(L1902="","",E1902&amp;CHAR(10)&amp;INDEX(ポート振替表!$K$5:$K$3507,$L1902)&amp;" "&amp;INDEX(ポート振替表!$L$5:$L$3507,$L1902)&amp;CHAR(10)&amp;"⇔ "&amp;INDEX(ポート振替表!$H$5:$H$3507,$L1902)&amp;" "&amp;INDEX(ポート振替表!$I$5:$I$3507,$L1902))</f>
        <v/>
      </c>
      <c r="L1902" s="47" t="str">
        <f aca="false">IFERROR(MATCH(ROW()-4,ポート振替表!$V$5:$V$3507,0),"")</f>
        <v/>
      </c>
    </row>
    <row r="1903" customFormat="false" ht="16.4" hidden="false" customHeight="false" outlineLevel="0" collapsed="false">
      <c r="A1903" s="32" t="str">
        <f aca="false">IF(L1903="","",ROW()-4)</f>
        <v/>
      </c>
      <c r="B1903" s="58" t="str">
        <f aca="false">IF(L1903="","",IF(INDEX(ポート振替表!$W$5:$W$3507,$L1903)="","(なし)",INDEX(ポート振替表!$W$5:$W$3507,$L1903)&amp;""))</f>
        <v/>
      </c>
      <c r="C1903" s="52" t="str">
        <f aca="false">IF(L1903="","",INDEX(ポート振替表!$B$5:$B$3507,$L1903)&amp;" "&amp;INDEX(ポート振替表!$C$5:$C$3507,$L1903)&amp;"  ⇔  "&amp;INDEX(ポート振替表!$H$5:$H$3507,$L1903)&amp;" "&amp;INDEX(ポート振替表!$I$5:$I$3507,$L1903))</f>
        <v/>
      </c>
      <c r="D1903" s="57" t="s">
        <v>158</v>
      </c>
      <c r="E1903" s="59" t="str">
        <f aca="false">IF(L1903="","",IF(INDEX(ポート振替表!$O$5:$O$3507,$L1903)="","(未設定)",INDEX(ポート振替表!$O$5:$O$3507,$L1903)&amp;""))</f>
        <v/>
      </c>
      <c r="F1903" s="52" t="str">
        <f aca="false">IF(L1903="","",INDEX(ポート振替表!$K$5:$K$3507,$L1903)&amp;" "&amp;INDEX(ポート振替表!$L$5:$L$3507,$L1903)&amp;"  ⇔  "&amp;INDEX(ポート振替表!$H$5:$H$3507,$L1903)&amp;" "&amp;INDEX(ポート振替表!$I$5:$I$3507,$L1903))</f>
        <v/>
      </c>
      <c r="G1903" s="57" t="s">
        <v>158</v>
      </c>
      <c r="H1903" s="32" t="str">
        <f aca="false">IF(L1903="","",INDEX(ポート振替表!$N$5:$N$3507,$L1903)&amp;"")</f>
        <v/>
      </c>
      <c r="I1903" s="32" t="str">
        <f aca="false">IF(L1903="","",INDEX(ポート振替表!$P$5:$P$3507,$L1903)&amp;"")</f>
        <v/>
      </c>
      <c r="J1903" s="60" t="str">
        <f aca="false">IF(L1903="","",INDEX(ポート振替表!$M$5:$M$3507,$L1903)&amp;"")</f>
        <v/>
      </c>
      <c r="K1903" s="52" t="str">
        <f aca="false">IF(L1903="","",E1903&amp;CHAR(10)&amp;INDEX(ポート振替表!$K$5:$K$3507,$L1903)&amp;" "&amp;INDEX(ポート振替表!$L$5:$L$3507,$L1903)&amp;CHAR(10)&amp;"⇔ "&amp;INDEX(ポート振替表!$H$5:$H$3507,$L1903)&amp;" "&amp;INDEX(ポート振替表!$I$5:$I$3507,$L1903))</f>
        <v/>
      </c>
      <c r="L1903" s="47" t="str">
        <f aca="false">IFERROR(MATCH(ROW()-4,ポート振替表!$V$5:$V$3507,0),"")</f>
        <v/>
      </c>
    </row>
    <row r="1904" customFormat="false" ht="16.4" hidden="false" customHeight="false" outlineLevel="0" collapsed="false">
      <c r="A1904" s="32" t="str">
        <f aca="false">IF(L1904="","",ROW()-4)</f>
        <v/>
      </c>
      <c r="B1904" s="58" t="str">
        <f aca="false">IF(L1904="","",IF(INDEX(ポート振替表!$W$5:$W$3507,$L1904)="","(なし)",INDEX(ポート振替表!$W$5:$W$3507,$L1904)&amp;""))</f>
        <v/>
      </c>
      <c r="C1904" s="52" t="str">
        <f aca="false">IF(L1904="","",INDEX(ポート振替表!$B$5:$B$3507,$L1904)&amp;" "&amp;INDEX(ポート振替表!$C$5:$C$3507,$L1904)&amp;"  ⇔  "&amp;INDEX(ポート振替表!$H$5:$H$3507,$L1904)&amp;" "&amp;INDEX(ポート振替表!$I$5:$I$3507,$L1904))</f>
        <v/>
      </c>
      <c r="D1904" s="57" t="s">
        <v>158</v>
      </c>
      <c r="E1904" s="59" t="str">
        <f aca="false">IF(L1904="","",IF(INDEX(ポート振替表!$O$5:$O$3507,$L1904)="","(未設定)",INDEX(ポート振替表!$O$5:$O$3507,$L1904)&amp;""))</f>
        <v/>
      </c>
      <c r="F1904" s="52" t="str">
        <f aca="false">IF(L1904="","",INDEX(ポート振替表!$K$5:$K$3507,$L1904)&amp;" "&amp;INDEX(ポート振替表!$L$5:$L$3507,$L1904)&amp;"  ⇔  "&amp;INDEX(ポート振替表!$H$5:$H$3507,$L1904)&amp;" "&amp;INDEX(ポート振替表!$I$5:$I$3507,$L1904))</f>
        <v/>
      </c>
      <c r="G1904" s="57" t="s">
        <v>158</v>
      </c>
      <c r="H1904" s="32" t="str">
        <f aca="false">IF(L1904="","",INDEX(ポート振替表!$N$5:$N$3507,$L1904)&amp;"")</f>
        <v/>
      </c>
      <c r="I1904" s="32" t="str">
        <f aca="false">IF(L1904="","",INDEX(ポート振替表!$P$5:$P$3507,$L1904)&amp;"")</f>
        <v/>
      </c>
      <c r="J1904" s="60" t="str">
        <f aca="false">IF(L1904="","",INDEX(ポート振替表!$M$5:$M$3507,$L1904)&amp;"")</f>
        <v/>
      </c>
      <c r="K1904" s="52" t="str">
        <f aca="false">IF(L1904="","",E1904&amp;CHAR(10)&amp;INDEX(ポート振替表!$K$5:$K$3507,$L1904)&amp;" "&amp;INDEX(ポート振替表!$L$5:$L$3507,$L1904)&amp;CHAR(10)&amp;"⇔ "&amp;INDEX(ポート振替表!$H$5:$H$3507,$L1904)&amp;" "&amp;INDEX(ポート振替表!$I$5:$I$3507,$L1904))</f>
        <v/>
      </c>
      <c r="L1904" s="47" t="str">
        <f aca="false">IFERROR(MATCH(ROW()-4,ポート振替表!$V$5:$V$3507,0),"")</f>
        <v/>
      </c>
    </row>
    <row r="1905" customFormat="false" ht="16.4" hidden="false" customHeight="false" outlineLevel="0" collapsed="false">
      <c r="A1905" s="32" t="str">
        <f aca="false">IF(L1905="","",ROW()-4)</f>
        <v/>
      </c>
      <c r="B1905" s="58" t="str">
        <f aca="false">IF(L1905="","",IF(INDEX(ポート振替表!$W$5:$W$3507,$L1905)="","(なし)",INDEX(ポート振替表!$W$5:$W$3507,$L1905)&amp;""))</f>
        <v/>
      </c>
      <c r="C1905" s="52" t="str">
        <f aca="false">IF(L1905="","",INDEX(ポート振替表!$B$5:$B$3507,$L1905)&amp;" "&amp;INDEX(ポート振替表!$C$5:$C$3507,$L1905)&amp;"  ⇔  "&amp;INDEX(ポート振替表!$H$5:$H$3507,$L1905)&amp;" "&amp;INDEX(ポート振替表!$I$5:$I$3507,$L1905))</f>
        <v/>
      </c>
      <c r="D1905" s="57" t="s">
        <v>158</v>
      </c>
      <c r="E1905" s="59" t="str">
        <f aca="false">IF(L1905="","",IF(INDEX(ポート振替表!$O$5:$O$3507,$L1905)="","(未設定)",INDEX(ポート振替表!$O$5:$O$3507,$L1905)&amp;""))</f>
        <v/>
      </c>
      <c r="F1905" s="52" t="str">
        <f aca="false">IF(L1905="","",INDEX(ポート振替表!$K$5:$K$3507,$L1905)&amp;" "&amp;INDEX(ポート振替表!$L$5:$L$3507,$L1905)&amp;"  ⇔  "&amp;INDEX(ポート振替表!$H$5:$H$3507,$L1905)&amp;" "&amp;INDEX(ポート振替表!$I$5:$I$3507,$L1905))</f>
        <v/>
      </c>
      <c r="G1905" s="57" t="s">
        <v>158</v>
      </c>
      <c r="H1905" s="32" t="str">
        <f aca="false">IF(L1905="","",INDEX(ポート振替表!$N$5:$N$3507,$L1905)&amp;"")</f>
        <v/>
      </c>
      <c r="I1905" s="32" t="str">
        <f aca="false">IF(L1905="","",INDEX(ポート振替表!$P$5:$P$3507,$L1905)&amp;"")</f>
        <v/>
      </c>
      <c r="J1905" s="60" t="str">
        <f aca="false">IF(L1905="","",INDEX(ポート振替表!$M$5:$M$3507,$L1905)&amp;"")</f>
        <v/>
      </c>
      <c r="K1905" s="52" t="str">
        <f aca="false">IF(L1905="","",E1905&amp;CHAR(10)&amp;INDEX(ポート振替表!$K$5:$K$3507,$L1905)&amp;" "&amp;INDEX(ポート振替表!$L$5:$L$3507,$L1905)&amp;CHAR(10)&amp;"⇔ "&amp;INDEX(ポート振替表!$H$5:$H$3507,$L1905)&amp;" "&amp;INDEX(ポート振替表!$I$5:$I$3507,$L1905))</f>
        <v/>
      </c>
      <c r="L1905" s="47" t="str">
        <f aca="false">IFERROR(MATCH(ROW()-4,ポート振替表!$V$5:$V$3507,0),"")</f>
        <v/>
      </c>
    </row>
    <row r="1906" customFormat="false" ht="16.4" hidden="false" customHeight="false" outlineLevel="0" collapsed="false">
      <c r="A1906" s="32" t="str">
        <f aca="false">IF(L1906="","",ROW()-4)</f>
        <v/>
      </c>
      <c r="B1906" s="58" t="str">
        <f aca="false">IF(L1906="","",IF(INDEX(ポート振替表!$W$5:$W$3507,$L1906)="","(なし)",INDEX(ポート振替表!$W$5:$W$3507,$L1906)&amp;""))</f>
        <v/>
      </c>
      <c r="C1906" s="52" t="str">
        <f aca="false">IF(L1906="","",INDEX(ポート振替表!$B$5:$B$3507,$L1906)&amp;" "&amp;INDEX(ポート振替表!$C$5:$C$3507,$L1906)&amp;"  ⇔  "&amp;INDEX(ポート振替表!$H$5:$H$3507,$L1906)&amp;" "&amp;INDEX(ポート振替表!$I$5:$I$3507,$L1906))</f>
        <v/>
      </c>
      <c r="D1906" s="57" t="s">
        <v>158</v>
      </c>
      <c r="E1906" s="59" t="str">
        <f aca="false">IF(L1906="","",IF(INDEX(ポート振替表!$O$5:$O$3507,$L1906)="","(未設定)",INDEX(ポート振替表!$O$5:$O$3507,$L1906)&amp;""))</f>
        <v/>
      </c>
      <c r="F1906" s="52" t="str">
        <f aca="false">IF(L1906="","",INDEX(ポート振替表!$K$5:$K$3507,$L1906)&amp;" "&amp;INDEX(ポート振替表!$L$5:$L$3507,$L1906)&amp;"  ⇔  "&amp;INDEX(ポート振替表!$H$5:$H$3507,$L1906)&amp;" "&amp;INDEX(ポート振替表!$I$5:$I$3507,$L1906))</f>
        <v/>
      </c>
      <c r="G1906" s="57" t="s">
        <v>158</v>
      </c>
      <c r="H1906" s="32" t="str">
        <f aca="false">IF(L1906="","",INDEX(ポート振替表!$N$5:$N$3507,$L1906)&amp;"")</f>
        <v/>
      </c>
      <c r="I1906" s="32" t="str">
        <f aca="false">IF(L1906="","",INDEX(ポート振替表!$P$5:$P$3507,$L1906)&amp;"")</f>
        <v/>
      </c>
      <c r="J1906" s="60" t="str">
        <f aca="false">IF(L1906="","",INDEX(ポート振替表!$M$5:$M$3507,$L1906)&amp;"")</f>
        <v/>
      </c>
      <c r="K1906" s="52" t="str">
        <f aca="false">IF(L1906="","",E1906&amp;CHAR(10)&amp;INDEX(ポート振替表!$K$5:$K$3507,$L1906)&amp;" "&amp;INDEX(ポート振替表!$L$5:$L$3507,$L1906)&amp;CHAR(10)&amp;"⇔ "&amp;INDEX(ポート振替表!$H$5:$H$3507,$L1906)&amp;" "&amp;INDEX(ポート振替表!$I$5:$I$3507,$L1906))</f>
        <v/>
      </c>
      <c r="L1906" s="47" t="str">
        <f aca="false">IFERROR(MATCH(ROW()-4,ポート振替表!$V$5:$V$3507,0),"")</f>
        <v/>
      </c>
    </row>
    <row r="1907" customFormat="false" ht="16.4" hidden="false" customHeight="false" outlineLevel="0" collapsed="false">
      <c r="A1907" s="32" t="str">
        <f aca="false">IF(L1907="","",ROW()-4)</f>
        <v/>
      </c>
      <c r="B1907" s="58" t="str">
        <f aca="false">IF(L1907="","",IF(INDEX(ポート振替表!$W$5:$W$3507,$L1907)="","(なし)",INDEX(ポート振替表!$W$5:$W$3507,$L1907)&amp;""))</f>
        <v/>
      </c>
      <c r="C1907" s="52" t="str">
        <f aca="false">IF(L1907="","",INDEX(ポート振替表!$B$5:$B$3507,$L1907)&amp;" "&amp;INDEX(ポート振替表!$C$5:$C$3507,$L1907)&amp;"  ⇔  "&amp;INDEX(ポート振替表!$H$5:$H$3507,$L1907)&amp;" "&amp;INDEX(ポート振替表!$I$5:$I$3507,$L1907))</f>
        <v/>
      </c>
      <c r="D1907" s="57" t="s">
        <v>158</v>
      </c>
      <c r="E1907" s="59" t="str">
        <f aca="false">IF(L1907="","",IF(INDEX(ポート振替表!$O$5:$O$3507,$L1907)="","(未設定)",INDEX(ポート振替表!$O$5:$O$3507,$L1907)&amp;""))</f>
        <v/>
      </c>
      <c r="F1907" s="52" t="str">
        <f aca="false">IF(L1907="","",INDEX(ポート振替表!$K$5:$K$3507,$L1907)&amp;" "&amp;INDEX(ポート振替表!$L$5:$L$3507,$L1907)&amp;"  ⇔  "&amp;INDEX(ポート振替表!$H$5:$H$3507,$L1907)&amp;" "&amp;INDEX(ポート振替表!$I$5:$I$3507,$L1907))</f>
        <v/>
      </c>
      <c r="G1907" s="57" t="s">
        <v>158</v>
      </c>
      <c r="H1907" s="32" t="str">
        <f aca="false">IF(L1907="","",INDEX(ポート振替表!$N$5:$N$3507,$L1907)&amp;"")</f>
        <v/>
      </c>
      <c r="I1907" s="32" t="str">
        <f aca="false">IF(L1907="","",INDEX(ポート振替表!$P$5:$P$3507,$L1907)&amp;"")</f>
        <v/>
      </c>
      <c r="J1907" s="60" t="str">
        <f aca="false">IF(L1907="","",INDEX(ポート振替表!$M$5:$M$3507,$L1907)&amp;"")</f>
        <v/>
      </c>
      <c r="K1907" s="52" t="str">
        <f aca="false">IF(L1907="","",E1907&amp;CHAR(10)&amp;INDEX(ポート振替表!$K$5:$K$3507,$L1907)&amp;" "&amp;INDEX(ポート振替表!$L$5:$L$3507,$L1907)&amp;CHAR(10)&amp;"⇔ "&amp;INDEX(ポート振替表!$H$5:$H$3507,$L1907)&amp;" "&amp;INDEX(ポート振替表!$I$5:$I$3507,$L1907))</f>
        <v/>
      </c>
      <c r="L1907" s="47" t="str">
        <f aca="false">IFERROR(MATCH(ROW()-4,ポート振替表!$V$5:$V$3507,0),"")</f>
        <v/>
      </c>
    </row>
    <row r="1908" customFormat="false" ht="16.4" hidden="false" customHeight="false" outlineLevel="0" collapsed="false">
      <c r="A1908" s="32" t="str">
        <f aca="false">IF(L1908="","",ROW()-4)</f>
        <v/>
      </c>
      <c r="B1908" s="58" t="str">
        <f aca="false">IF(L1908="","",IF(INDEX(ポート振替表!$W$5:$W$3507,$L1908)="","(なし)",INDEX(ポート振替表!$W$5:$W$3507,$L1908)&amp;""))</f>
        <v/>
      </c>
      <c r="C1908" s="52" t="str">
        <f aca="false">IF(L1908="","",INDEX(ポート振替表!$B$5:$B$3507,$L1908)&amp;" "&amp;INDEX(ポート振替表!$C$5:$C$3507,$L1908)&amp;"  ⇔  "&amp;INDEX(ポート振替表!$H$5:$H$3507,$L1908)&amp;" "&amp;INDEX(ポート振替表!$I$5:$I$3507,$L1908))</f>
        <v/>
      </c>
      <c r="D1908" s="57" t="s">
        <v>158</v>
      </c>
      <c r="E1908" s="59" t="str">
        <f aca="false">IF(L1908="","",IF(INDEX(ポート振替表!$O$5:$O$3507,$L1908)="","(未設定)",INDEX(ポート振替表!$O$5:$O$3507,$L1908)&amp;""))</f>
        <v/>
      </c>
      <c r="F1908" s="52" t="str">
        <f aca="false">IF(L1908="","",INDEX(ポート振替表!$K$5:$K$3507,$L1908)&amp;" "&amp;INDEX(ポート振替表!$L$5:$L$3507,$L1908)&amp;"  ⇔  "&amp;INDEX(ポート振替表!$H$5:$H$3507,$L1908)&amp;" "&amp;INDEX(ポート振替表!$I$5:$I$3507,$L1908))</f>
        <v/>
      </c>
      <c r="G1908" s="57" t="s">
        <v>158</v>
      </c>
      <c r="H1908" s="32" t="str">
        <f aca="false">IF(L1908="","",INDEX(ポート振替表!$N$5:$N$3507,$L1908)&amp;"")</f>
        <v/>
      </c>
      <c r="I1908" s="32" t="str">
        <f aca="false">IF(L1908="","",INDEX(ポート振替表!$P$5:$P$3507,$L1908)&amp;"")</f>
        <v/>
      </c>
      <c r="J1908" s="60" t="str">
        <f aca="false">IF(L1908="","",INDEX(ポート振替表!$M$5:$M$3507,$L1908)&amp;"")</f>
        <v/>
      </c>
      <c r="K1908" s="52" t="str">
        <f aca="false">IF(L1908="","",E1908&amp;CHAR(10)&amp;INDEX(ポート振替表!$K$5:$K$3507,$L1908)&amp;" "&amp;INDEX(ポート振替表!$L$5:$L$3507,$L1908)&amp;CHAR(10)&amp;"⇔ "&amp;INDEX(ポート振替表!$H$5:$H$3507,$L1908)&amp;" "&amp;INDEX(ポート振替表!$I$5:$I$3507,$L1908))</f>
        <v/>
      </c>
      <c r="L1908" s="47" t="str">
        <f aca="false">IFERROR(MATCH(ROW()-4,ポート振替表!$V$5:$V$3507,0),"")</f>
        <v/>
      </c>
    </row>
    <row r="1909" customFormat="false" ht="16.4" hidden="false" customHeight="false" outlineLevel="0" collapsed="false">
      <c r="A1909" s="32" t="str">
        <f aca="false">IF(L1909="","",ROW()-4)</f>
        <v/>
      </c>
      <c r="B1909" s="58" t="str">
        <f aca="false">IF(L1909="","",IF(INDEX(ポート振替表!$W$5:$W$3507,$L1909)="","(なし)",INDEX(ポート振替表!$W$5:$W$3507,$L1909)&amp;""))</f>
        <v/>
      </c>
      <c r="C1909" s="52" t="str">
        <f aca="false">IF(L1909="","",INDEX(ポート振替表!$B$5:$B$3507,$L1909)&amp;" "&amp;INDEX(ポート振替表!$C$5:$C$3507,$L1909)&amp;"  ⇔  "&amp;INDEX(ポート振替表!$H$5:$H$3507,$L1909)&amp;" "&amp;INDEX(ポート振替表!$I$5:$I$3507,$L1909))</f>
        <v/>
      </c>
      <c r="D1909" s="57" t="s">
        <v>158</v>
      </c>
      <c r="E1909" s="59" t="str">
        <f aca="false">IF(L1909="","",IF(INDEX(ポート振替表!$O$5:$O$3507,$L1909)="","(未設定)",INDEX(ポート振替表!$O$5:$O$3507,$L1909)&amp;""))</f>
        <v/>
      </c>
      <c r="F1909" s="52" t="str">
        <f aca="false">IF(L1909="","",INDEX(ポート振替表!$K$5:$K$3507,$L1909)&amp;" "&amp;INDEX(ポート振替表!$L$5:$L$3507,$L1909)&amp;"  ⇔  "&amp;INDEX(ポート振替表!$H$5:$H$3507,$L1909)&amp;" "&amp;INDEX(ポート振替表!$I$5:$I$3507,$L1909))</f>
        <v/>
      </c>
      <c r="G1909" s="57" t="s">
        <v>158</v>
      </c>
      <c r="H1909" s="32" t="str">
        <f aca="false">IF(L1909="","",INDEX(ポート振替表!$N$5:$N$3507,$L1909)&amp;"")</f>
        <v/>
      </c>
      <c r="I1909" s="32" t="str">
        <f aca="false">IF(L1909="","",INDEX(ポート振替表!$P$5:$P$3507,$L1909)&amp;"")</f>
        <v/>
      </c>
      <c r="J1909" s="60" t="str">
        <f aca="false">IF(L1909="","",INDEX(ポート振替表!$M$5:$M$3507,$L1909)&amp;"")</f>
        <v/>
      </c>
      <c r="K1909" s="52" t="str">
        <f aca="false">IF(L1909="","",E1909&amp;CHAR(10)&amp;INDEX(ポート振替表!$K$5:$K$3507,$L1909)&amp;" "&amp;INDEX(ポート振替表!$L$5:$L$3507,$L1909)&amp;CHAR(10)&amp;"⇔ "&amp;INDEX(ポート振替表!$H$5:$H$3507,$L1909)&amp;" "&amp;INDEX(ポート振替表!$I$5:$I$3507,$L1909))</f>
        <v/>
      </c>
      <c r="L1909" s="47" t="str">
        <f aca="false">IFERROR(MATCH(ROW()-4,ポート振替表!$V$5:$V$3507,0),"")</f>
        <v/>
      </c>
    </row>
    <row r="1910" customFormat="false" ht="16.4" hidden="false" customHeight="false" outlineLevel="0" collapsed="false">
      <c r="A1910" s="32" t="str">
        <f aca="false">IF(L1910="","",ROW()-4)</f>
        <v/>
      </c>
      <c r="B1910" s="58" t="str">
        <f aca="false">IF(L1910="","",IF(INDEX(ポート振替表!$W$5:$W$3507,$L1910)="","(なし)",INDEX(ポート振替表!$W$5:$W$3507,$L1910)&amp;""))</f>
        <v/>
      </c>
      <c r="C1910" s="52" t="str">
        <f aca="false">IF(L1910="","",INDEX(ポート振替表!$B$5:$B$3507,$L1910)&amp;" "&amp;INDEX(ポート振替表!$C$5:$C$3507,$L1910)&amp;"  ⇔  "&amp;INDEX(ポート振替表!$H$5:$H$3507,$L1910)&amp;" "&amp;INDEX(ポート振替表!$I$5:$I$3507,$L1910))</f>
        <v/>
      </c>
      <c r="D1910" s="57" t="s">
        <v>158</v>
      </c>
      <c r="E1910" s="59" t="str">
        <f aca="false">IF(L1910="","",IF(INDEX(ポート振替表!$O$5:$O$3507,$L1910)="","(未設定)",INDEX(ポート振替表!$O$5:$O$3507,$L1910)&amp;""))</f>
        <v/>
      </c>
      <c r="F1910" s="52" t="str">
        <f aca="false">IF(L1910="","",INDEX(ポート振替表!$K$5:$K$3507,$L1910)&amp;" "&amp;INDEX(ポート振替表!$L$5:$L$3507,$L1910)&amp;"  ⇔  "&amp;INDEX(ポート振替表!$H$5:$H$3507,$L1910)&amp;" "&amp;INDEX(ポート振替表!$I$5:$I$3507,$L1910))</f>
        <v/>
      </c>
      <c r="G1910" s="57" t="s">
        <v>158</v>
      </c>
      <c r="H1910" s="32" t="str">
        <f aca="false">IF(L1910="","",INDEX(ポート振替表!$N$5:$N$3507,$L1910)&amp;"")</f>
        <v/>
      </c>
      <c r="I1910" s="32" t="str">
        <f aca="false">IF(L1910="","",INDEX(ポート振替表!$P$5:$P$3507,$L1910)&amp;"")</f>
        <v/>
      </c>
      <c r="J1910" s="60" t="str">
        <f aca="false">IF(L1910="","",INDEX(ポート振替表!$M$5:$M$3507,$L1910)&amp;"")</f>
        <v/>
      </c>
      <c r="K1910" s="52" t="str">
        <f aca="false">IF(L1910="","",E1910&amp;CHAR(10)&amp;INDEX(ポート振替表!$K$5:$K$3507,$L1910)&amp;" "&amp;INDEX(ポート振替表!$L$5:$L$3507,$L1910)&amp;CHAR(10)&amp;"⇔ "&amp;INDEX(ポート振替表!$H$5:$H$3507,$L1910)&amp;" "&amp;INDEX(ポート振替表!$I$5:$I$3507,$L1910))</f>
        <v/>
      </c>
      <c r="L1910" s="47" t="str">
        <f aca="false">IFERROR(MATCH(ROW()-4,ポート振替表!$V$5:$V$3507,0),"")</f>
        <v/>
      </c>
    </row>
    <row r="1911" customFormat="false" ht="16.4" hidden="false" customHeight="false" outlineLevel="0" collapsed="false">
      <c r="A1911" s="32" t="str">
        <f aca="false">IF(L1911="","",ROW()-4)</f>
        <v/>
      </c>
      <c r="B1911" s="58" t="str">
        <f aca="false">IF(L1911="","",IF(INDEX(ポート振替表!$W$5:$W$3507,$L1911)="","(なし)",INDEX(ポート振替表!$W$5:$W$3507,$L1911)&amp;""))</f>
        <v/>
      </c>
      <c r="C1911" s="52" t="str">
        <f aca="false">IF(L1911="","",INDEX(ポート振替表!$B$5:$B$3507,$L1911)&amp;" "&amp;INDEX(ポート振替表!$C$5:$C$3507,$L1911)&amp;"  ⇔  "&amp;INDEX(ポート振替表!$H$5:$H$3507,$L1911)&amp;" "&amp;INDEX(ポート振替表!$I$5:$I$3507,$L1911))</f>
        <v/>
      </c>
      <c r="D1911" s="57" t="s">
        <v>158</v>
      </c>
      <c r="E1911" s="59" t="str">
        <f aca="false">IF(L1911="","",IF(INDEX(ポート振替表!$O$5:$O$3507,$L1911)="","(未設定)",INDEX(ポート振替表!$O$5:$O$3507,$L1911)&amp;""))</f>
        <v/>
      </c>
      <c r="F1911" s="52" t="str">
        <f aca="false">IF(L1911="","",INDEX(ポート振替表!$K$5:$K$3507,$L1911)&amp;" "&amp;INDEX(ポート振替表!$L$5:$L$3507,$L1911)&amp;"  ⇔  "&amp;INDEX(ポート振替表!$H$5:$H$3507,$L1911)&amp;" "&amp;INDEX(ポート振替表!$I$5:$I$3507,$L1911))</f>
        <v/>
      </c>
      <c r="G1911" s="57" t="s">
        <v>158</v>
      </c>
      <c r="H1911" s="32" t="str">
        <f aca="false">IF(L1911="","",INDEX(ポート振替表!$N$5:$N$3507,$L1911)&amp;"")</f>
        <v/>
      </c>
      <c r="I1911" s="32" t="str">
        <f aca="false">IF(L1911="","",INDEX(ポート振替表!$P$5:$P$3507,$L1911)&amp;"")</f>
        <v/>
      </c>
      <c r="J1911" s="60" t="str">
        <f aca="false">IF(L1911="","",INDEX(ポート振替表!$M$5:$M$3507,$L1911)&amp;"")</f>
        <v/>
      </c>
      <c r="K1911" s="52" t="str">
        <f aca="false">IF(L1911="","",E1911&amp;CHAR(10)&amp;INDEX(ポート振替表!$K$5:$K$3507,$L1911)&amp;" "&amp;INDEX(ポート振替表!$L$5:$L$3507,$L1911)&amp;CHAR(10)&amp;"⇔ "&amp;INDEX(ポート振替表!$H$5:$H$3507,$L1911)&amp;" "&amp;INDEX(ポート振替表!$I$5:$I$3507,$L1911))</f>
        <v/>
      </c>
      <c r="L1911" s="47" t="str">
        <f aca="false">IFERROR(MATCH(ROW()-4,ポート振替表!$V$5:$V$3507,0),"")</f>
        <v/>
      </c>
    </row>
    <row r="1912" customFormat="false" ht="16.4" hidden="false" customHeight="false" outlineLevel="0" collapsed="false">
      <c r="A1912" s="32" t="str">
        <f aca="false">IF(L1912="","",ROW()-4)</f>
        <v/>
      </c>
      <c r="B1912" s="58" t="str">
        <f aca="false">IF(L1912="","",IF(INDEX(ポート振替表!$W$5:$W$3507,$L1912)="","(なし)",INDEX(ポート振替表!$W$5:$W$3507,$L1912)&amp;""))</f>
        <v/>
      </c>
      <c r="C1912" s="52" t="str">
        <f aca="false">IF(L1912="","",INDEX(ポート振替表!$B$5:$B$3507,$L1912)&amp;" "&amp;INDEX(ポート振替表!$C$5:$C$3507,$L1912)&amp;"  ⇔  "&amp;INDEX(ポート振替表!$H$5:$H$3507,$L1912)&amp;" "&amp;INDEX(ポート振替表!$I$5:$I$3507,$L1912))</f>
        <v/>
      </c>
      <c r="D1912" s="57" t="s">
        <v>158</v>
      </c>
      <c r="E1912" s="59" t="str">
        <f aca="false">IF(L1912="","",IF(INDEX(ポート振替表!$O$5:$O$3507,$L1912)="","(未設定)",INDEX(ポート振替表!$O$5:$O$3507,$L1912)&amp;""))</f>
        <v/>
      </c>
      <c r="F1912" s="52" t="str">
        <f aca="false">IF(L1912="","",INDEX(ポート振替表!$K$5:$K$3507,$L1912)&amp;" "&amp;INDEX(ポート振替表!$L$5:$L$3507,$L1912)&amp;"  ⇔  "&amp;INDEX(ポート振替表!$H$5:$H$3507,$L1912)&amp;" "&amp;INDEX(ポート振替表!$I$5:$I$3507,$L1912))</f>
        <v/>
      </c>
      <c r="G1912" s="57" t="s">
        <v>158</v>
      </c>
      <c r="H1912" s="32" t="str">
        <f aca="false">IF(L1912="","",INDEX(ポート振替表!$N$5:$N$3507,$L1912)&amp;"")</f>
        <v/>
      </c>
      <c r="I1912" s="32" t="str">
        <f aca="false">IF(L1912="","",INDEX(ポート振替表!$P$5:$P$3507,$L1912)&amp;"")</f>
        <v/>
      </c>
      <c r="J1912" s="60" t="str">
        <f aca="false">IF(L1912="","",INDEX(ポート振替表!$M$5:$M$3507,$L1912)&amp;"")</f>
        <v/>
      </c>
      <c r="K1912" s="52" t="str">
        <f aca="false">IF(L1912="","",E1912&amp;CHAR(10)&amp;INDEX(ポート振替表!$K$5:$K$3507,$L1912)&amp;" "&amp;INDEX(ポート振替表!$L$5:$L$3507,$L1912)&amp;CHAR(10)&amp;"⇔ "&amp;INDEX(ポート振替表!$H$5:$H$3507,$L1912)&amp;" "&amp;INDEX(ポート振替表!$I$5:$I$3507,$L1912))</f>
        <v/>
      </c>
      <c r="L1912" s="47" t="str">
        <f aca="false">IFERROR(MATCH(ROW()-4,ポート振替表!$V$5:$V$3507,0),"")</f>
        <v/>
      </c>
    </row>
    <row r="1913" customFormat="false" ht="16.4" hidden="false" customHeight="false" outlineLevel="0" collapsed="false">
      <c r="A1913" s="32" t="str">
        <f aca="false">IF(L1913="","",ROW()-4)</f>
        <v/>
      </c>
      <c r="B1913" s="58" t="str">
        <f aca="false">IF(L1913="","",IF(INDEX(ポート振替表!$W$5:$W$3507,$L1913)="","(なし)",INDEX(ポート振替表!$W$5:$W$3507,$L1913)&amp;""))</f>
        <v/>
      </c>
      <c r="C1913" s="52" t="str">
        <f aca="false">IF(L1913="","",INDEX(ポート振替表!$B$5:$B$3507,$L1913)&amp;" "&amp;INDEX(ポート振替表!$C$5:$C$3507,$L1913)&amp;"  ⇔  "&amp;INDEX(ポート振替表!$H$5:$H$3507,$L1913)&amp;" "&amp;INDEX(ポート振替表!$I$5:$I$3507,$L1913))</f>
        <v/>
      </c>
      <c r="D1913" s="57" t="s">
        <v>158</v>
      </c>
      <c r="E1913" s="59" t="str">
        <f aca="false">IF(L1913="","",IF(INDEX(ポート振替表!$O$5:$O$3507,$L1913)="","(未設定)",INDEX(ポート振替表!$O$5:$O$3507,$L1913)&amp;""))</f>
        <v/>
      </c>
      <c r="F1913" s="52" t="str">
        <f aca="false">IF(L1913="","",INDEX(ポート振替表!$K$5:$K$3507,$L1913)&amp;" "&amp;INDEX(ポート振替表!$L$5:$L$3507,$L1913)&amp;"  ⇔  "&amp;INDEX(ポート振替表!$H$5:$H$3507,$L1913)&amp;" "&amp;INDEX(ポート振替表!$I$5:$I$3507,$L1913))</f>
        <v/>
      </c>
      <c r="G1913" s="57" t="s">
        <v>158</v>
      </c>
      <c r="H1913" s="32" t="str">
        <f aca="false">IF(L1913="","",INDEX(ポート振替表!$N$5:$N$3507,$L1913)&amp;"")</f>
        <v/>
      </c>
      <c r="I1913" s="32" t="str">
        <f aca="false">IF(L1913="","",INDEX(ポート振替表!$P$5:$P$3507,$L1913)&amp;"")</f>
        <v/>
      </c>
      <c r="J1913" s="60" t="str">
        <f aca="false">IF(L1913="","",INDEX(ポート振替表!$M$5:$M$3507,$L1913)&amp;"")</f>
        <v/>
      </c>
      <c r="K1913" s="52" t="str">
        <f aca="false">IF(L1913="","",E1913&amp;CHAR(10)&amp;INDEX(ポート振替表!$K$5:$K$3507,$L1913)&amp;" "&amp;INDEX(ポート振替表!$L$5:$L$3507,$L1913)&amp;CHAR(10)&amp;"⇔ "&amp;INDEX(ポート振替表!$H$5:$H$3507,$L1913)&amp;" "&amp;INDEX(ポート振替表!$I$5:$I$3507,$L1913))</f>
        <v/>
      </c>
      <c r="L1913" s="47" t="str">
        <f aca="false">IFERROR(MATCH(ROW()-4,ポート振替表!$V$5:$V$3507,0),"")</f>
        <v/>
      </c>
    </row>
    <row r="1914" customFormat="false" ht="16.4" hidden="false" customHeight="false" outlineLevel="0" collapsed="false">
      <c r="A1914" s="32" t="str">
        <f aca="false">IF(L1914="","",ROW()-4)</f>
        <v/>
      </c>
      <c r="B1914" s="58" t="str">
        <f aca="false">IF(L1914="","",IF(INDEX(ポート振替表!$W$5:$W$3507,$L1914)="","(なし)",INDEX(ポート振替表!$W$5:$W$3507,$L1914)&amp;""))</f>
        <v/>
      </c>
      <c r="C1914" s="52" t="str">
        <f aca="false">IF(L1914="","",INDEX(ポート振替表!$B$5:$B$3507,$L1914)&amp;" "&amp;INDEX(ポート振替表!$C$5:$C$3507,$L1914)&amp;"  ⇔  "&amp;INDEX(ポート振替表!$H$5:$H$3507,$L1914)&amp;" "&amp;INDEX(ポート振替表!$I$5:$I$3507,$L1914))</f>
        <v/>
      </c>
      <c r="D1914" s="57" t="s">
        <v>158</v>
      </c>
      <c r="E1914" s="59" t="str">
        <f aca="false">IF(L1914="","",IF(INDEX(ポート振替表!$O$5:$O$3507,$L1914)="","(未設定)",INDEX(ポート振替表!$O$5:$O$3507,$L1914)&amp;""))</f>
        <v/>
      </c>
      <c r="F1914" s="52" t="str">
        <f aca="false">IF(L1914="","",INDEX(ポート振替表!$K$5:$K$3507,$L1914)&amp;" "&amp;INDEX(ポート振替表!$L$5:$L$3507,$L1914)&amp;"  ⇔  "&amp;INDEX(ポート振替表!$H$5:$H$3507,$L1914)&amp;" "&amp;INDEX(ポート振替表!$I$5:$I$3507,$L1914))</f>
        <v/>
      </c>
      <c r="G1914" s="57" t="s">
        <v>158</v>
      </c>
      <c r="H1914" s="32" t="str">
        <f aca="false">IF(L1914="","",INDEX(ポート振替表!$N$5:$N$3507,$L1914)&amp;"")</f>
        <v/>
      </c>
      <c r="I1914" s="32" t="str">
        <f aca="false">IF(L1914="","",INDEX(ポート振替表!$P$5:$P$3507,$L1914)&amp;"")</f>
        <v/>
      </c>
      <c r="J1914" s="60" t="str">
        <f aca="false">IF(L1914="","",INDEX(ポート振替表!$M$5:$M$3507,$L1914)&amp;"")</f>
        <v/>
      </c>
      <c r="K1914" s="52" t="str">
        <f aca="false">IF(L1914="","",E1914&amp;CHAR(10)&amp;INDEX(ポート振替表!$K$5:$K$3507,$L1914)&amp;" "&amp;INDEX(ポート振替表!$L$5:$L$3507,$L1914)&amp;CHAR(10)&amp;"⇔ "&amp;INDEX(ポート振替表!$H$5:$H$3507,$L1914)&amp;" "&amp;INDEX(ポート振替表!$I$5:$I$3507,$L1914))</f>
        <v/>
      </c>
      <c r="L1914" s="47" t="str">
        <f aca="false">IFERROR(MATCH(ROW()-4,ポート振替表!$V$5:$V$3507,0),"")</f>
        <v/>
      </c>
    </row>
    <row r="1915" customFormat="false" ht="16.4" hidden="false" customHeight="false" outlineLevel="0" collapsed="false">
      <c r="A1915" s="32" t="str">
        <f aca="false">IF(L1915="","",ROW()-4)</f>
        <v/>
      </c>
      <c r="B1915" s="58" t="str">
        <f aca="false">IF(L1915="","",IF(INDEX(ポート振替表!$W$5:$W$3507,$L1915)="","(なし)",INDEX(ポート振替表!$W$5:$W$3507,$L1915)&amp;""))</f>
        <v/>
      </c>
      <c r="C1915" s="52" t="str">
        <f aca="false">IF(L1915="","",INDEX(ポート振替表!$B$5:$B$3507,$L1915)&amp;" "&amp;INDEX(ポート振替表!$C$5:$C$3507,$L1915)&amp;"  ⇔  "&amp;INDEX(ポート振替表!$H$5:$H$3507,$L1915)&amp;" "&amp;INDEX(ポート振替表!$I$5:$I$3507,$L1915))</f>
        <v/>
      </c>
      <c r="D1915" s="57" t="s">
        <v>158</v>
      </c>
      <c r="E1915" s="59" t="str">
        <f aca="false">IF(L1915="","",IF(INDEX(ポート振替表!$O$5:$O$3507,$L1915)="","(未設定)",INDEX(ポート振替表!$O$5:$O$3507,$L1915)&amp;""))</f>
        <v/>
      </c>
      <c r="F1915" s="52" t="str">
        <f aca="false">IF(L1915="","",INDEX(ポート振替表!$K$5:$K$3507,$L1915)&amp;" "&amp;INDEX(ポート振替表!$L$5:$L$3507,$L1915)&amp;"  ⇔  "&amp;INDEX(ポート振替表!$H$5:$H$3507,$L1915)&amp;" "&amp;INDEX(ポート振替表!$I$5:$I$3507,$L1915))</f>
        <v/>
      </c>
      <c r="G1915" s="57" t="s">
        <v>158</v>
      </c>
      <c r="H1915" s="32" t="str">
        <f aca="false">IF(L1915="","",INDEX(ポート振替表!$N$5:$N$3507,$L1915)&amp;"")</f>
        <v/>
      </c>
      <c r="I1915" s="32" t="str">
        <f aca="false">IF(L1915="","",INDEX(ポート振替表!$P$5:$P$3507,$L1915)&amp;"")</f>
        <v/>
      </c>
      <c r="J1915" s="60" t="str">
        <f aca="false">IF(L1915="","",INDEX(ポート振替表!$M$5:$M$3507,$L1915)&amp;"")</f>
        <v/>
      </c>
      <c r="K1915" s="52" t="str">
        <f aca="false">IF(L1915="","",E1915&amp;CHAR(10)&amp;INDEX(ポート振替表!$K$5:$K$3507,$L1915)&amp;" "&amp;INDEX(ポート振替表!$L$5:$L$3507,$L1915)&amp;CHAR(10)&amp;"⇔ "&amp;INDEX(ポート振替表!$H$5:$H$3507,$L1915)&amp;" "&amp;INDEX(ポート振替表!$I$5:$I$3507,$L1915))</f>
        <v/>
      </c>
      <c r="L1915" s="47" t="str">
        <f aca="false">IFERROR(MATCH(ROW()-4,ポート振替表!$V$5:$V$3507,0),"")</f>
        <v/>
      </c>
    </row>
    <row r="1916" customFormat="false" ht="16.4" hidden="false" customHeight="false" outlineLevel="0" collapsed="false">
      <c r="A1916" s="32" t="str">
        <f aca="false">IF(L1916="","",ROW()-4)</f>
        <v/>
      </c>
      <c r="B1916" s="58" t="str">
        <f aca="false">IF(L1916="","",IF(INDEX(ポート振替表!$W$5:$W$3507,$L1916)="","(なし)",INDEX(ポート振替表!$W$5:$W$3507,$L1916)&amp;""))</f>
        <v/>
      </c>
      <c r="C1916" s="52" t="str">
        <f aca="false">IF(L1916="","",INDEX(ポート振替表!$B$5:$B$3507,$L1916)&amp;" "&amp;INDEX(ポート振替表!$C$5:$C$3507,$L1916)&amp;"  ⇔  "&amp;INDEX(ポート振替表!$H$5:$H$3507,$L1916)&amp;" "&amp;INDEX(ポート振替表!$I$5:$I$3507,$L1916))</f>
        <v/>
      </c>
      <c r="D1916" s="57" t="s">
        <v>158</v>
      </c>
      <c r="E1916" s="59" t="str">
        <f aca="false">IF(L1916="","",IF(INDEX(ポート振替表!$O$5:$O$3507,$L1916)="","(未設定)",INDEX(ポート振替表!$O$5:$O$3507,$L1916)&amp;""))</f>
        <v/>
      </c>
      <c r="F1916" s="52" t="str">
        <f aca="false">IF(L1916="","",INDEX(ポート振替表!$K$5:$K$3507,$L1916)&amp;" "&amp;INDEX(ポート振替表!$L$5:$L$3507,$L1916)&amp;"  ⇔  "&amp;INDEX(ポート振替表!$H$5:$H$3507,$L1916)&amp;" "&amp;INDEX(ポート振替表!$I$5:$I$3507,$L1916))</f>
        <v/>
      </c>
      <c r="G1916" s="57" t="s">
        <v>158</v>
      </c>
      <c r="H1916" s="32" t="str">
        <f aca="false">IF(L1916="","",INDEX(ポート振替表!$N$5:$N$3507,$L1916)&amp;"")</f>
        <v/>
      </c>
      <c r="I1916" s="32" t="str">
        <f aca="false">IF(L1916="","",INDEX(ポート振替表!$P$5:$P$3507,$L1916)&amp;"")</f>
        <v/>
      </c>
      <c r="J1916" s="60" t="str">
        <f aca="false">IF(L1916="","",INDEX(ポート振替表!$M$5:$M$3507,$L1916)&amp;"")</f>
        <v/>
      </c>
      <c r="K1916" s="52" t="str">
        <f aca="false">IF(L1916="","",E1916&amp;CHAR(10)&amp;INDEX(ポート振替表!$K$5:$K$3507,$L1916)&amp;" "&amp;INDEX(ポート振替表!$L$5:$L$3507,$L1916)&amp;CHAR(10)&amp;"⇔ "&amp;INDEX(ポート振替表!$H$5:$H$3507,$L1916)&amp;" "&amp;INDEX(ポート振替表!$I$5:$I$3507,$L1916))</f>
        <v/>
      </c>
      <c r="L1916" s="47" t="str">
        <f aca="false">IFERROR(MATCH(ROW()-4,ポート振替表!$V$5:$V$3507,0),"")</f>
        <v/>
      </c>
    </row>
    <row r="1917" customFormat="false" ht="16.4" hidden="false" customHeight="false" outlineLevel="0" collapsed="false">
      <c r="A1917" s="32" t="str">
        <f aca="false">IF(L1917="","",ROW()-4)</f>
        <v/>
      </c>
      <c r="B1917" s="58" t="str">
        <f aca="false">IF(L1917="","",IF(INDEX(ポート振替表!$W$5:$W$3507,$L1917)="","(なし)",INDEX(ポート振替表!$W$5:$W$3507,$L1917)&amp;""))</f>
        <v/>
      </c>
      <c r="C1917" s="52" t="str">
        <f aca="false">IF(L1917="","",INDEX(ポート振替表!$B$5:$B$3507,$L1917)&amp;" "&amp;INDEX(ポート振替表!$C$5:$C$3507,$L1917)&amp;"  ⇔  "&amp;INDEX(ポート振替表!$H$5:$H$3507,$L1917)&amp;" "&amp;INDEX(ポート振替表!$I$5:$I$3507,$L1917))</f>
        <v/>
      </c>
      <c r="D1917" s="57" t="s">
        <v>158</v>
      </c>
      <c r="E1917" s="59" t="str">
        <f aca="false">IF(L1917="","",IF(INDEX(ポート振替表!$O$5:$O$3507,$L1917)="","(未設定)",INDEX(ポート振替表!$O$5:$O$3507,$L1917)&amp;""))</f>
        <v/>
      </c>
      <c r="F1917" s="52" t="str">
        <f aca="false">IF(L1917="","",INDEX(ポート振替表!$K$5:$K$3507,$L1917)&amp;" "&amp;INDEX(ポート振替表!$L$5:$L$3507,$L1917)&amp;"  ⇔  "&amp;INDEX(ポート振替表!$H$5:$H$3507,$L1917)&amp;" "&amp;INDEX(ポート振替表!$I$5:$I$3507,$L1917))</f>
        <v/>
      </c>
      <c r="G1917" s="57" t="s">
        <v>158</v>
      </c>
      <c r="H1917" s="32" t="str">
        <f aca="false">IF(L1917="","",INDEX(ポート振替表!$N$5:$N$3507,$L1917)&amp;"")</f>
        <v/>
      </c>
      <c r="I1917" s="32" t="str">
        <f aca="false">IF(L1917="","",INDEX(ポート振替表!$P$5:$P$3507,$L1917)&amp;"")</f>
        <v/>
      </c>
      <c r="J1917" s="60" t="str">
        <f aca="false">IF(L1917="","",INDEX(ポート振替表!$M$5:$M$3507,$L1917)&amp;"")</f>
        <v/>
      </c>
      <c r="K1917" s="52" t="str">
        <f aca="false">IF(L1917="","",E1917&amp;CHAR(10)&amp;INDEX(ポート振替表!$K$5:$K$3507,$L1917)&amp;" "&amp;INDEX(ポート振替表!$L$5:$L$3507,$L1917)&amp;CHAR(10)&amp;"⇔ "&amp;INDEX(ポート振替表!$H$5:$H$3507,$L1917)&amp;" "&amp;INDEX(ポート振替表!$I$5:$I$3507,$L1917))</f>
        <v/>
      </c>
      <c r="L1917" s="47" t="str">
        <f aca="false">IFERROR(MATCH(ROW()-4,ポート振替表!$V$5:$V$3507,0),"")</f>
        <v/>
      </c>
    </row>
    <row r="1918" customFormat="false" ht="16.4" hidden="false" customHeight="false" outlineLevel="0" collapsed="false">
      <c r="A1918" s="32" t="str">
        <f aca="false">IF(L1918="","",ROW()-4)</f>
        <v/>
      </c>
      <c r="B1918" s="58" t="str">
        <f aca="false">IF(L1918="","",IF(INDEX(ポート振替表!$W$5:$W$3507,$L1918)="","(なし)",INDEX(ポート振替表!$W$5:$W$3507,$L1918)&amp;""))</f>
        <v/>
      </c>
      <c r="C1918" s="52" t="str">
        <f aca="false">IF(L1918="","",INDEX(ポート振替表!$B$5:$B$3507,$L1918)&amp;" "&amp;INDEX(ポート振替表!$C$5:$C$3507,$L1918)&amp;"  ⇔  "&amp;INDEX(ポート振替表!$H$5:$H$3507,$L1918)&amp;" "&amp;INDEX(ポート振替表!$I$5:$I$3507,$L1918))</f>
        <v/>
      </c>
      <c r="D1918" s="57" t="s">
        <v>158</v>
      </c>
      <c r="E1918" s="59" t="str">
        <f aca="false">IF(L1918="","",IF(INDEX(ポート振替表!$O$5:$O$3507,$L1918)="","(未設定)",INDEX(ポート振替表!$O$5:$O$3507,$L1918)&amp;""))</f>
        <v/>
      </c>
      <c r="F1918" s="52" t="str">
        <f aca="false">IF(L1918="","",INDEX(ポート振替表!$K$5:$K$3507,$L1918)&amp;" "&amp;INDEX(ポート振替表!$L$5:$L$3507,$L1918)&amp;"  ⇔  "&amp;INDEX(ポート振替表!$H$5:$H$3507,$L1918)&amp;" "&amp;INDEX(ポート振替表!$I$5:$I$3507,$L1918))</f>
        <v/>
      </c>
      <c r="G1918" s="57" t="s">
        <v>158</v>
      </c>
      <c r="H1918" s="32" t="str">
        <f aca="false">IF(L1918="","",INDEX(ポート振替表!$N$5:$N$3507,$L1918)&amp;"")</f>
        <v/>
      </c>
      <c r="I1918" s="32" t="str">
        <f aca="false">IF(L1918="","",INDEX(ポート振替表!$P$5:$P$3507,$L1918)&amp;"")</f>
        <v/>
      </c>
      <c r="J1918" s="60" t="str">
        <f aca="false">IF(L1918="","",INDEX(ポート振替表!$M$5:$M$3507,$L1918)&amp;"")</f>
        <v/>
      </c>
      <c r="K1918" s="52" t="str">
        <f aca="false">IF(L1918="","",E1918&amp;CHAR(10)&amp;INDEX(ポート振替表!$K$5:$K$3507,$L1918)&amp;" "&amp;INDEX(ポート振替表!$L$5:$L$3507,$L1918)&amp;CHAR(10)&amp;"⇔ "&amp;INDEX(ポート振替表!$H$5:$H$3507,$L1918)&amp;" "&amp;INDEX(ポート振替表!$I$5:$I$3507,$L1918))</f>
        <v/>
      </c>
      <c r="L1918" s="47" t="str">
        <f aca="false">IFERROR(MATCH(ROW()-4,ポート振替表!$V$5:$V$3507,0),"")</f>
        <v/>
      </c>
    </row>
    <row r="1919" customFormat="false" ht="16.4" hidden="false" customHeight="false" outlineLevel="0" collapsed="false">
      <c r="A1919" s="32" t="str">
        <f aca="false">IF(L1919="","",ROW()-4)</f>
        <v/>
      </c>
      <c r="B1919" s="58" t="str">
        <f aca="false">IF(L1919="","",IF(INDEX(ポート振替表!$W$5:$W$3507,$L1919)="","(なし)",INDEX(ポート振替表!$W$5:$W$3507,$L1919)&amp;""))</f>
        <v/>
      </c>
      <c r="C1919" s="52" t="str">
        <f aca="false">IF(L1919="","",INDEX(ポート振替表!$B$5:$B$3507,$L1919)&amp;" "&amp;INDEX(ポート振替表!$C$5:$C$3507,$L1919)&amp;"  ⇔  "&amp;INDEX(ポート振替表!$H$5:$H$3507,$L1919)&amp;" "&amp;INDEX(ポート振替表!$I$5:$I$3507,$L1919))</f>
        <v/>
      </c>
      <c r="D1919" s="57" t="s">
        <v>158</v>
      </c>
      <c r="E1919" s="59" t="str">
        <f aca="false">IF(L1919="","",IF(INDEX(ポート振替表!$O$5:$O$3507,$L1919)="","(未設定)",INDEX(ポート振替表!$O$5:$O$3507,$L1919)&amp;""))</f>
        <v/>
      </c>
      <c r="F1919" s="52" t="str">
        <f aca="false">IF(L1919="","",INDEX(ポート振替表!$K$5:$K$3507,$L1919)&amp;" "&amp;INDEX(ポート振替表!$L$5:$L$3507,$L1919)&amp;"  ⇔  "&amp;INDEX(ポート振替表!$H$5:$H$3507,$L1919)&amp;" "&amp;INDEX(ポート振替表!$I$5:$I$3507,$L1919))</f>
        <v/>
      </c>
      <c r="G1919" s="57" t="s">
        <v>158</v>
      </c>
      <c r="H1919" s="32" t="str">
        <f aca="false">IF(L1919="","",INDEX(ポート振替表!$N$5:$N$3507,$L1919)&amp;"")</f>
        <v/>
      </c>
      <c r="I1919" s="32" t="str">
        <f aca="false">IF(L1919="","",INDEX(ポート振替表!$P$5:$P$3507,$L1919)&amp;"")</f>
        <v/>
      </c>
      <c r="J1919" s="60" t="str">
        <f aca="false">IF(L1919="","",INDEX(ポート振替表!$M$5:$M$3507,$L1919)&amp;"")</f>
        <v/>
      </c>
      <c r="K1919" s="52" t="str">
        <f aca="false">IF(L1919="","",E1919&amp;CHAR(10)&amp;INDEX(ポート振替表!$K$5:$K$3507,$L1919)&amp;" "&amp;INDEX(ポート振替表!$L$5:$L$3507,$L1919)&amp;CHAR(10)&amp;"⇔ "&amp;INDEX(ポート振替表!$H$5:$H$3507,$L1919)&amp;" "&amp;INDEX(ポート振替表!$I$5:$I$3507,$L1919))</f>
        <v/>
      </c>
      <c r="L1919" s="47" t="str">
        <f aca="false">IFERROR(MATCH(ROW()-4,ポート振替表!$V$5:$V$3507,0),"")</f>
        <v/>
      </c>
    </row>
    <row r="1920" customFormat="false" ht="16.4" hidden="false" customHeight="false" outlineLevel="0" collapsed="false">
      <c r="A1920" s="32" t="str">
        <f aca="false">IF(L1920="","",ROW()-4)</f>
        <v/>
      </c>
      <c r="B1920" s="58" t="str">
        <f aca="false">IF(L1920="","",IF(INDEX(ポート振替表!$W$5:$W$3507,$L1920)="","(なし)",INDEX(ポート振替表!$W$5:$W$3507,$L1920)&amp;""))</f>
        <v/>
      </c>
      <c r="C1920" s="52" t="str">
        <f aca="false">IF(L1920="","",INDEX(ポート振替表!$B$5:$B$3507,$L1920)&amp;" "&amp;INDEX(ポート振替表!$C$5:$C$3507,$L1920)&amp;"  ⇔  "&amp;INDEX(ポート振替表!$H$5:$H$3507,$L1920)&amp;" "&amp;INDEX(ポート振替表!$I$5:$I$3507,$L1920))</f>
        <v/>
      </c>
      <c r="D1920" s="57" t="s">
        <v>158</v>
      </c>
      <c r="E1920" s="59" t="str">
        <f aca="false">IF(L1920="","",IF(INDEX(ポート振替表!$O$5:$O$3507,$L1920)="","(未設定)",INDEX(ポート振替表!$O$5:$O$3507,$L1920)&amp;""))</f>
        <v/>
      </c>
      <c r="F1920" s="52" t="str">
        <f aca="false">IF(L1920="","",INDEX(ポート振替表!$K$5:$K$3507,$L1920)&amp;" "&amp;INDEX(ポート振替表!$L$5:$L$3507,$L1920)&amp;"  ⇔  "&amp;INDEX(ポート振替表!$H$5:$H$3507,$L1920)&amp;" "&amp;INDEX(ポート振替表!$I$5:$I$3507,$L1920))</f>
        <v/>
      </c>
      <c r="G1920" s="57" t="s">
        <v>158</v>
      </c>
      <c r="H1920" s="32" t="str">
        <f aca="false">IF(L1920="","",INDEX(ポート振替表!$N$5:$N$3507,$L1920)&amp;"")</f>
        <v/>
      </c>
      <c r="I1920" s="32" t="str">
        <f aca="false">IF(L1920="","",INDEX(ポート振替表!$P$5:$P$3507,$L1920)&amp;"")</f>
        <v/>
      </c>
      <c r="J1920" s="60" t="str">
        <f aca="false">IF(L1920="","",INDEX(ポート振替表!$M$5:$M$3507,$L1920)&amp;"")</f>
        <v/>
      </c>
      <c r="K1920" s="52" t="str">
        <f aca="false">IF(L1920="","",E1920&amp;CHAR(10)&amp;INDEX(ポート振替表!$K$5:$K$3507,$L1920)&amp;" "&amp;INDEX(ポート振替表!$L$5:$L$3507,$L1920)&amp;CHAR(10)&amp;"⇔ "&amp;INDEX(ポート振替表!$H$5:$H$3507,$L1920)&amp;" "&amp;INDEX(ポート振替表!$I$5:$I$3507,$L1920))</f>
        <v/>
      </c>
      <c r="L1920" s="47" t="str">
        <f aca="false">IFERROR(MATCH(ROW()-4,ポート振替表!$V$5:$V$3507,0),"")</f>
        <v/>
      </c>
    </row>
    <row r="1921" customFormat="false" ht="16.4" hidden="false" customHeight="false" outlineLevel="0" collapsed="false">
      <c r="A1921" s="32" t="str">
        <f aca="false">IF(L1921="","",ROW()-4)</f>
        <v/>
      </c>
      <c r="B1921" s="58" t="str">
        <f aca="false">IF(L1921="","",IF(INDEX(ポート振替表!$W$5:$W$3507,$L1921)="","(なし)",INDEX(ポート振替表!$W$5:$W$3507,$L1921)&amp;""))</f>
        <v/>
      </c>
      <c r="C1921" s="52" t="str">
        <f aca="false">IF(L1921="","",INDEX(ポート振替表!$B$5:$B$3507,$L1921)&amp;" "&amp;INDEX(ポート振替表!$C$5:$C$3507,$L1921)&amp;"  ⇔  "&amp;INDEX(ポート振替表!$H$5:$H$3507,$L1921)&amp;" "&amp;INDEX(ポート振替表!$I$5:$I$3507,$L1921))</f>
        <v/>
      </c>
      <c r="D1921" s="57" t="s">
        <v>158</v>
      </c>
      <c r="E1921" s="59" t="str">
        <f aca="false">IF(L1921="","",IF(INDEX(ポート振替表!$O$5:$O$3507,$L1921)="","(未設定)",INDEX(ポート振替表!$O$5:$O$3507,$L1921)&amp;""))</f>
        <v/>
      </c>
      <c r="F1921" s="52" t="str">
        <f aca="false">IF(L1921="","",INDEX(ポート振替表!$K$5:$K$3507,$L1921)&amp;" "&amp;INDEX(ポート振替表!$L$5:$L$3507,$L1921)&amp;"  ⇔  "&amp;INDEX(ポート振替表!$H$5:$H$3507,$L1921)&amp;" "&amp;INDEX(ポート振替表!$I$5:$I$3507,$L1921))</f>
        <v/>
      </c>
      <c r="G1921" s="57" t="s">
        <v>158</v>
      </c>
      <c r="H1921" s="32" t="str">
        <f aca="false">IF(L1921="","",INDEX(ポート振替表!$N$5:$N$3507,$L1921)&amp;"")</f>
        <v/>
      </c>
      <c r="I1921" s="32" t="str">
        <f aca="false">IF(L1921="","",INDEX(ポート振替表!$P$5:$P$3507,$L1921)&amp;"")</f>
        <v/>
      </c>
      <c r="J1921" s="60" t="str">
        <f aca="false">IF(L1921="","",INDEX(ポート振替表!$M$5:$M$3507,$L1921)&amp;"")</f>
        <v/>
      </c>
      <c r="K1921" s="52" t="str">
        <f aca="false">IF(L1921="","",E1921&amp;CHAR(10)&amp;INDEX(ポート振替表!$K$5:$K$3507,$L1921)&amp;" "&amp;INDEX(ポート振替表!$L$5:$L$3507,$L1921)&amp;CHAR(10)&amp;"⇔ "&amp;INDEX(ポート振替表!$H$5:$H$3507,$L1921)&amp;" "&amp;INDEX(ポート振替表!$I$5:$I$3507,$L1921))</f>
        <v/>
      </c>
      <c r="L1921" s="47" t="str">
        <f aca="false">IFERROR(MATCH(ROW()-4,ポート振替表!$V$5:$V$3507,0),"")</f>
        <v/>
      </c>
    </row>
    <row r="1922" customFormat="false" ht="16.4" hidden="false" customHeight="false" outlineLevel="0" collapsed="false">
      <c r="A1922" s="32" t="str">
        <f aca="false">IF(L1922="","",ROW()-4)</f>
        <v/>
      </c>
      <c r="B1922" s="58" t="str">
        <f aca="false">IF(L1922="","",IF(INDEX(ポート振替表!$W$5:$W$3507,$L1922)="","(なし)",INDEX(ポート振替表!$W$5:$W$3507,$L1922)&amp;""))</f>
        <v/>
      </c>
      <c r="C1922" s="52" t="str">
        <f aca="false">IF(L1922="","",INDEX(ポート振替表!$B$5:$B$3507,$L1922)&amp;" "&amp;INDEX(ポート振替表!$C$5:$C$3507,$L1922)&amp;"  ⇔  "&amp;INDEX(ポート振替表!$H$5:$H$3507,$L1922)&amp;" "&amp;INDEX(ポート振替表!$I$5:$I$3507,$L1922))</f>
        <v/>
      </c>
      <c r="D1922" s="57" t="s">
        <v>158</v>
      </c>
      <c r="E1922" s="59" t="str">
        <f aca="false">IF(L1922="","",IF(INDEX(ポート振替表!$O$5:$O$3507,$L1922)="","(未設定)",INDEX(ポート振替表!$O$5:$O$3507,$L1922)&amp;""))</f>
        <v/>
      </c>
      <c r="F1922" s="52" t="str">
        <f aca="false">IF(L1922="","",INDEX(ポート振替表!$K$5:$K$3507,$L1922)&amp;" "&amp;INDEX(ポート振替表!$L$5:$L$3507,$L1922)&amp;"  ⇔  "&amp;INDEX(ポート振替表!$H$5:$H$3507,$L1922)&amp;" "&amp;INDEX(ポート振替表!$I$5:$I$3507,$L1922))</f>
        <v/>
      </c>
      <c r="G1922" s="57" t="s">
        <v>158</v>
      </c>
      <c r="H1922" s="32" t="str">
        <f aca="false">IF(L1922="","",INDEX(ポート振替表!$N$5:$N$3507,$L1922)&amp;"")</f>
        <v/>
      </c>
      <c r="I1922" s="32" t="str">
        <f aca="false">IF(L1922="","",INDEX(ポート振替表!$P$5:$P$3507,$L1922)&amp;"")</f>
        <v/>
      </c>
      <c r="J1922" s="60" t="str">
        <f aca="false">IF(L1922="","",INDEX(ポート振替表!$M$5:$M$3507,$L1922)&amp;"")</f>
        <v/>
      </c>
      <c r="K1922" s="52" t="str">
        <f aca="false">IF(L1922="","",E1922&amp;CHAR(10)&amp;INDEX(ポート振替表!$K$5:$K$3507,$L1922)&amp;" "&amp;INDEX(ポート振替表!$L$5:$L$3507,$L1922)&amp;CHAR(10)&amp;"⇔ "&amp;INDEX(ポート振替表!$H$5:$H$3507,$L1922)&amp;" "&amp;INDEX(ポート振替表!$I$5:$I$3507,$L1922))</f>
        <v/>
      </c>
      <c r="L1922" s="47" t="str">
        <f aca="false">IFERROR(MATCH(ROW()-4,ポート振替表!$V$5:$V$3507,0),"")</f>
        <v/>
      </c>
    </row>
    <row r="1923" customFormat="false" ht="16.4" hidden="false" customHeight="false" outlineLevel="0" collapsed="false">
      <c r="A1923" s="32" t="str">
        <f aca="false">IF(L1923="","",ROW()-4)</f>
        <v/>
      </c>
      <c r="B1923" s="58" t="str">
        <f aca="false">IF(L1923="","",IF(INDEX(ポート振替表!$W$5:$W$3507,$L1923)="","(なし)",INDEX(ポート振替表!$W$5:$W$3507,$L1923)&amp;""))</f>
        <v/>
      </c>
      <c r="C1923" s="52" t="str">
        <f aca="false">IF(L1923="","",INDEX(ポート振替表!$B$5:$B$3507,$L1923)&amp;" "&amp;INDEX(ポート振替表!$C$5:$C$3507,$L1923)&amp;"  ⇔  "&amp;INDEX(ポート振替表!$H$5:$H$3507,$L1923)&amp;" "&amp;INDEX(ポート振替表!$I$5:$I$3507,$L1923))</f>
        <v/>
      </c>
      <c r="D1923" s="57" t="s">
        <v>158</v>
      </c>
      <c r="E1923" s="59" t="str">
        <f aca="false">IF(L1923="","",IF(INDEX(ポート振替表!$O$5:$O$3507,$L1923)="","(未設定)",INDEX(ポート振替表!$O$5:$O$3507,$L1923)&amp;""))</f>
        <v/>
      </c>
      <c r="F1923" s="52" t="str">
        <f aca="false">IF(L1923="","",INDEX(ポート振替表!$K$5:$K$3507,$L1923)&amp;" "&amp;INDEX(ポート振替表!$L$5:$L$3507,$L1923)&amp;"  ⇔  "&amp;INDEX(ポート振替表!$H$5:$H$3507,$L1923)&amp;" "&amp;INDEX(ポート振替表!$I$5:$I$3507,$L1923))</f>
        <v/>
      </c>
      <c r="G1923" s="57" t="s">
        <v>158</v>
      </c>
      <c r="H1923" s="32" t="str">
        <f aca="false">IF(L1923="","",INDEX(ポート振替表!$N$5:$N$3507,$L1923)&amp;"")</f>
        <v/>
      </c>
      <c r="I1923" s="32" t="str">
        <f aca="false">IF(L1923="","",INDEX(ポート振替表!$P$5:$P$3507,$L1923)&amp;"")</f>
        <v/>
      </c>
      <c r="J1923" s="60" t="str">
        <f aca="false">IF(L1923="","",INDEX(ポート振替表!$M$5:$M$3507,$L1923)&amp;"")</f>
        <v/>
      </c>
      <c r="K1923" s="52" t="str">
        <f aca="false">IF(L1923="","",E1923&amp;CHAR(10)&amp;INDEX(ポート振替表!$K$5:$K$3507,$L1923)&amp;" "&amp;INDEX(ポート振替表!$L$5:$L$3507,$L1923)&amp;CHAR(10)&amp;"⇔ "&amp;INDEX(ポート振替表!$H$5:$H$3507,$L1923)&amp;" "&amp;INDEX(ポート振替表!$I$5:$I$3507,$L1923))</f>
        <v/>
      </c>
      <c r="L1923" s="47" t="str">
        <f aca="false">IFERROR(MATCH(ROW()-4,ポート振替表!$V$5:$V$3507,0),"")</f>
        <v/>
      </c>
    </row>
    <row r="1924" customFormat="false" ht="16.4" hidden="false" customHeight="false" outlineLevel="0" collapsed="false">
      <c r="A1924" s="32" t="str">
        <f aca="false">IF(L1924="","",ROW()-4)</f>
        <v/>
      </c>
      <c r="B1924" s="58" t="str">
        <f aca="false">IF(L1924="","",IF(INDEX(ポート振替表!$W$5:$W$3507,$L1924)="","(なし)",INDEX(ポート振替表!$W$5:$W$3507,$L1924)&amp;""))</f>
        <v/>
      </c>
      <c r="C1924" s="52" t="str">
        <f aca="false">IF(L1924="","",INDEX(ポート振替表!$B$5:$B$3507,$L1924)&amp;" "&amp;INDEX(ポート振替表!$C$5:$C$3507,$L1924)&amp;"  ⇔  "&amp;INDEX(ポート振替表!$H$5:$H$3507,$L1924)&amp;" "&amp;INDEX(ポート振替表!$I$5:$I$3507,$L1924))</f>
        <v/>
      </c>
      <c r="D1924" s="57" t="s">
        <v>158</v>
      </c>
      <c r="E1924" s="59" t="str">
        <f aca="false">IF(L1924="","",IF(INDEX(ポート振替表!$O$5:$O$3507,$L1924)="","(未設定)",INDEX(ポート振替表!$O$5:$O$3507,$L1924)&amp;""))</f>
        <v/>
      </c>
      <c r="F1924" s="52" t="str">
        <f aca="false">IF(L1924="","",INDEX(ポート振替表!$K$5:$K$3507,$L1924)&amp;" "&amp;INDEX(ポート振替表!$L$5:$L$3507,$L1924)&amp;"  ⇔  "&amp;INDEX(ポート振替表!$H$5:$H$3507,$L1924)&amp;" "&amp;INDEX(ポート振替表!$I$5:$I$3507,$L1924))</f>
        <v/>
      </c>
      <c r="G1924" s="57" t="s">
        <v>158</v>
      </c>
      <c r="H1924" s="32" t="str">
        <f aca="false">IF(L1924="","",INDEX(ポート振替表!$N$5:$N$3507,$L1924)&amp;"")</f>
        <v/>
      </c>
      <c r="I1924" s="32" t="str">
        <f aca="false">IF(L1924="","",INDEX(ポート振替表!$P$5:$P$3507,$L1924)&amp;"")</f>
        <v/>
      </c>
      <c r="J1924" s="60" t="str">
        <f aca="false">IF(L1924="","",INDEX(ポート振替表!$M$5:$M$3507,$L1924)&amp;"")</f>
        <v/>
      </c>
      <c r="K1924" s="52" t="str">
        <f aca="false">IF(L1924="","",E1924&amp;CHAR(10)&amp;INDEX(ポート振替表!$K$5:$K$3507,$L1924)&amp;" "&amp;INDEX(ポート振替表!$L$5:$L$3507,$L1924)&amp;CHAR(10)&amp;"⇔ "&amp;INDEX(ポート振替表!$H$5:$H$3507,$L1924)&amp;" "&amp;INDEX(ポート振替表!$I$5:$I$3507,$L1924))</f>
        <v/>
      </c>
      <c r="L1924" s="47" t="str">
        <f aca="false">IFERROR(MATCH(ROW()-4,ポート振替表!$V$5:$V$3507,0),"")</f>
        <v/>
      </c>
    </row>
    <row r="1925" customFormat="false" ht="16.4" hidden="false" customHeight="false" outlineLevel="0" collapsed="false">
      <c r="A1925" s="32" t="str">
        <f aca="false">IF(L1925="","",ROW()-4)</f>
        <v/>
      </c>
      <c r="B1925" s="58" t="str">
        <f aca="false">IF(L1925="","",IF(INDEX(ポート振替表!$W$5:$W$3507,$L1925)="","(なし)",INDEX(ポート振替表!$W$5:$W$3507,$L1925)&amp;""))</f>
        <v/>
      </c>
      <c r="C1925" s="52" t="str">
        <f aca="false">IF(L1925="","",INDEX(ポート振替表!$B$5:$B$3507,$L1925)&amp;" "&amp;INDEX(ポート振替表!$C$5:$C$3507,$L1925)&amp;"  ⇔  "&amp;INDEX(ポート振替表!$H$5:$H$3507,$L1925)&amp;" "&amp;INDEX(ポート振替表!$I$5:$I$3507,$L1925))</f>
        <v/>
      </c>
      <c r="D1925" s="57" t="s">
        <v>158</v>
      </c>
      <c r="E1925" s="59" t="str">
        <f aca="false">IF(L1925="","",IF(INDEX(ポート振替表!$O$5:$O$3507,$L1925)="","(未設定)",INDEX(ポート振替表!$O$5:$O$3507,$L1925)&amp;""))</f>
        <v/>
      </c>
      <c r="F1925" s="52" t="str">
        <f aca="false">IF(L1925="","",INDEX(ポート振替表!$K$5:$K$3507,$L1925)&amp;" "&amp;INDEX(ポート振替表!$L$5:$L$3507,$L1925)&amp;"  ⇔  "&amp;INDEX(ポート振替表!$H$5:$H$3507,$L1925)&amp;" "&amp;INDEX(ポート振替表!$I$5:$I$3507,$L1925))</f>
        <v/>
      </c>
      <c r="G1925" s="57" t="s">
        <v>158</v>
      </c>
      <c r="H1925" s="32" t="str">
        <f aca="false">IF(L1925="","",INDEX(ポート振替表!$N$5:$N$3507,$L1925)&amp;"")</f>
        <v/>
      </c>
      <c r="I1925" s="32" t="str">
        <f aca="false">IF(L1925="","",INDEX(ポート振替表!$P$5:$P$3507,$L1925)&amp;"")</f>
        <v/>
      </c>
      <c r="J1925" s="60" t="str">
        <f aca="false">IF(L1925="","",INDEX(ポート振替表!$M$5:$M$3507,$L1925)&amp;"")</f>
        <v/>
      </c>
      <c r="K1925" s="52" t="str">
        <f aca="false">IF(L1925="","",E1925&amp;CHAR(10)&amp;INDEX(ポート振替表!$K$5:$K$3507,$L1925)&amp;" "&amp;INDEX(ポート振替表!$L$5:$L$3507,$L1925)&amp;CHAR(10)&amp;"⇔ "&amp;INDEX(ポート振替表!$H$5:$H$3507,$L1925)&amp;" "&amp;INDEX(ポート振替表!$I$5:$I$3507,$L1925))</f>
        <v/>
      </c>
      <c r="L1925" s="47" t="str">
        <f aca="false">IFERROR(MATCH(ROW()-4,ポート振替表!$V$5:$V$3507,0),"")</f>
        <v/>
      </c>
    </row>
    <row r="1926" customFormat="false" ht="16.4" hidden="false" customHeight="false" outlineLevel="0" collapsed="false">
      <c r="A1926" s="32" t="str">
        <f aca="false">IF(L1926="","",ROW()-4)</f>
        <v/>
      </c>
      <c r="B1926" s="58" t="str">
        <f aca="false">IF(L1926="","",IF(INDEX(ポート振替表!$W$5:$W$3507,$L1926)="","(なし)",INDEX(ポート振替表!$W$5:$W$3507,$L1926)&amp;""))</f>
        <v/>
      </c>
      <c r="C1926" s="52" t="str">
        <f aca="false">IF(L1926="","",INDEX(ポート振替表!$B$5:$B$3507,$L1926)&amp;" "&amp;INDEX(ポート振替表!$C$5:$C$3507,$L1926)&amp;"  ⇔  "&amp;INDEX(ポート振替表!$H$5:$H$3507,$L1926)&amp;" "&amp;INDEX(ポート振替表!$I$5:$I$3507,$L1926))</f>
        <v/>
      </c>
      <c r="D1926" s="57" t="s">
        <v>158</v>
      </c>
      <c r="E1926" s="59" t="str">
        <f aca="false">IF(L1926="","",IF(INDEX(ポート振替表!$O$5:$O$3507,$L1926)="","(未設定)",INDEX(ポート振替表!$O$5:$O$3507,$L1926)&amp;""))</f>
        <v/>
      </c>
      <c r="F1926" s="52" t="str">
        <f aca="false">IF(L1926="","",INDEX(ポート振替表!$K$5:$K$3507,$L1926)&amp;" "&amp;INDEX(ポート振替表!$L$5:$L$3507,$L1926)&amp;"  ⇔  "&amp;INDEX(ポート振替表!$H$5:$H$3507,$L1926)&amp;" "&amp;INDEX(ポート振替表!$I$5:$I$3507,$L1926))</f>
        <v/>
      </c>
      <c r="G1926" s="57" t="s">
        <v>158</v>
      </c>
      <c r="H1926" s="32" t="str">
        <f aca="false">IF(L1926="","",INDEX(ポート振替表!$N$5:$N$3507,$L1926)&amp;"")</f>
        <v/>
      </c>
      <c r="I1926" s="32" t="str">
        <f aca="false">IF(L1926="","",INDEX(ポート振替表!$P$5:$P$3507,$L1926)&amp;"")</f>
        <v/>
      </c>
      <c r="J1926" s="60" t="str">
        <f aca="false">IF(L1926="","",INDEX(ポート振替表!$M$5:$M$3507,$L1926)&amp;"")</f>
        <v/>
      </c>
      <c r="K1926" s="52" t="str">
        <f aca="false">IF(L1926="","",E1926&amp;CHAR(10)&amp;INDEX(ポート振替表!$K$5:$K$3507,$L1926)&amp;" "&amp;INDEX(ポート振替表!$L$5:$L$3507,$L1926)&amp;CHAR(10)&amp;"⇔ "&amp;INDEX(ポート振替表!$H$5:$H$3507,$L1926)&amp;" "&amp;INDEX(ポート振替表!$I$5:$I$3507,$L1926))</f>
        <v/>
      </c>
      <c r="L1926" s="47" t="str">
        <f aca="false">IFERROR(MATCH(ROW()-4,ポート振替表!$V$5:$V$3507,0),"")</f>
        <v/>
      </c>
    </row>
    <row r="1927" customFormat="false" ht="16.4" hidden="false" customHeight="false" outlineLevel="0" collapsed="false">
      <c r="A1927" s="32" t="str">
        <f aca="false">IF(L1927="","",ROW()-4)</f>
        <v/>
      </c>
      <c r="B1927" s="58" t="str">
        <f aca="false">IF(L1927="","",IF(INDEX(ポート振替表!$W$5:$W$3507,$L1927)="","(なし)",INDEX(ポート振替表!$W$5:$W$3507,$L1927)&amp;""))</f>
        <v/>
      </c>
      <c r="C1927" s="52" t="str">
        <f aca="false">IF(L1927="","",INDEX(ポート振替表!$B$5:$B$3507,$L1927)&amp;" "&amp;INDEX(ポート振替表!$C$5:$C$3507,$L1927)&amp;"  ⇔  "&amp;INDEX(ポート振替表!$H$5:$H$3507,$L1927)&amp;" "&amp;INDEX(ポート振替表!$I$5:$I$3507,$L1927))</f>
        <v/>
      </c>
      <c r="D1927" s="57" t="s">
        <v>158</v>
      </c>
      <c r="E1927" s="59" t="str">
        <f aca="false">IF(L1927="","",IF(INDEX(ポート振替表!$O$5:$O$3507,$L1927)="","(未設定)",INDEX(ポート振替表!$O$5:$O$3507,$L1927)&amp;""))</f>
        <v/>
      </c>
      <c r="F1927" s="52" t="str">
        <f aca="false">IF(L1927="","",INDEX(ポート振替表!$K$5:$K$3507,$L1927)&amp;" "&amp;INDEX(ポート振替表!$L$5:$L$3507,$L1927)&amp;"  ⇔  "&amp;INDEX(ポート振替表!$H$5:$H$3507,$L1927)&amp;" "&amp;INDEX(ポート振替表!$I$5:$I$3507,$L1927))</f>
        <v/>
      </c>
      <c r="G1927" s="57" t="s">
        <v>158</v>
      </c>
      <c r="H1927" s="32" t="str">
        <f aca="false">IF(L1927="","",INDEX(ポート振替表!$N$5:$N$3507,$L1927)&amp;"")</f>
        <v/>
      </c>
      <c r="I1927" s="32" t="str">
        <f aca="false">IF(L1927="","",INDEX(ポート振替表!$P$5:$P$3507,$L1927)&amp;"")</f>
        <v/>
      </c>
      <c r="J1927" s="60" t="str">
        <f aca="false">IF(L1927="","",INDEX(ポート振替表!$M$5:$M$3507,$L1927)&amp;"")</f>
        <v/>
      </c>
      <c r="K1927" s="52" t="str">
        <f aca="false">IF(L1927="","",E1927&amp;CHAR(10)&amp;INDEX(ポート振替表!$K$5:$K$3507,$L1927)&amp;" "&amp;INDEX(ポート振替表!$L$5:$L$3507,$L1927)&amp;CHAR(10)&amp;"⇔ "&amp;INDEX(ポート振替表!$H$5:$H$3507,$L1927)&amp;" "&amp;INDEX(ポート振替表!$I$5:$I$3507,$L1927))</f>
        <v/>
      </c>
      <c r="L1927" s="47" t="str">
        <f aca="false">IFERROR(MATCH(ROW()-4,ポート振替表!$V$5:$V$3507,0),"")</f>
        <v/>
      </c>
    </row>
    <row r="1928" customFormat="false" ht="16.4" hidden="false" customHeight="false" outlineLevel="0" collapsed="false">
      <c r="A1928" s="32" t="str">
        <f aca="false">IF(L1928="","",ROW()-4)</f>
        <v/>
      </c>
      <c r="B1928" s="58" t="str">
        <f aca="false">IF(L1928="","",IF(INDEX(ポート振替表!$W$5:$W$3507,$L1928)="","(なし)",INDEX(ポート振替表!$W$5:$W$3507,$L1928)&amp;""))</f>
        <v/>
      </c>
      <c r="C1928" s="52" t="str">
        <f aca="false">IF(L1928="","",INDEX(ポート振替表!$B$5:$B$3507,$L1928)&amp;" "&amp;INDEX(ポート振替表!$C$5:$C$3507,$L1928)&amp;"  ⇔  "&amp;INDEX(ポート振替表!$H$5:$H$3507,$L1928)&amp;" "&amp;INDEX(ポート振替表!$I$5:$I$3507,$L1928))</f>
        <v/>
      </c>
      <c r="D1928" s="57" t="s">
        <v>158</v>
      </c>
      <c r="E1928" s="59" t="str">
        <f aca="false">IF(L1928="","",IF(INDEX(ポート振替表!$O$5:$O$3507,$L1928)="","(未設定)",INDEX(ポート振替表!$O$5:$O$3507,$L1928)&amp;""))</f>
        <v/>
      </c>
      <c r="F1928" s="52" t="str">
        <f aca="false">IF(L1928="","",INDEX(ポート振替表!$K$5:$K$3507,$L1928)&amp;" "&amp;INDEX(ポート振替表!$L$5:$L$3507,$L1928)&amp;"  ⇔  "&amp;INDEX(ポート振替表!$H$5:$H$3507,$L1928)&amp;" "&amp;INDEX(ポート振替表!$I$5:$I$3507,$L1928))</f>
        <v/>
      </c>
      <c r="G1928" s="57" t="s">
        <v>158</v>
      </c>
      <c r="H1928" s="32" t="str">
        <f aca="false">IF(L1928="","",INDEX(ポート振替表!$N$5:$N$3507,$L1928)&amp;"")</f>
        <v/>
      </c>
      <c r="I1928" s="32" t="str">
        <f aca="false">IF(L1928="","",INDEX(ポート振替表!$P$5:$P$3507,$L1928)&amp;"")</f>
        <v/>
      </c>
      <c r="J1928" s="60" t="str">
        <f aca="false">IF(L1928="","",INDEX(ポート振替表!$M$5:$M$3507,$L1928)&amp;"")</f>
        <v/>
      </c>
      <c r="K1928" s="52" t="str">
        <f aca="false">IF(L1928="","",E1928&amp;CHAR(10)&amp;INDEX(ポート振替表!$K$5:$K$3507,$L1928)&amp;" "&amp;INDEX(ポート振替表!$L$5:$L$3507,$L1928)&amp;CHAR(10)&amp;"⇔ "&amp;INDEX(ポート振替表!$H$5:$H$3507,$L1928)&amp;" "&amp;INDEX(ポート振替表!$I$5:$I$3507,$L1928))</f>
        <v/>
      </c>
      <c r="L1928" s="47" t="str">
        <f aca="false">IFERROR(MATCH(ROW()-4,ポート振替表!$V$5:$V$3507,0),"")</f>
        <v/>
      </c>
    </row>
    <row r="1929" customFormat="false" ht="16.4" hidden="false" customHeight="false" outlineLevel="0" collapsed="false">
      <c r="A1929" s="32" t="str">
        <f aca="false">IF(L1929="","",ROW()-4)</f>
        <v/>
      </c>
      <c r="B1929" s="58" t="str">
        <f aca="false">IF(L1929="","",IF(INDEX(ポート振替表!$W$5:$W$3507,$L1929)="","(なし)",INDEX(ポート振替表!$W$5:$W$3507,$L1929)&amp;""))</f>
        <v/>
      </c>
      <c r="C1929" s="52" t="str">
        <f aca="false">IF(L1929="","",INDEX(ポート振替表!$B$5:$B$3507,$L1929)&amp;" "&amp;INDEX(ポート振替表!$C$5:$C$3507,$L1929)&amp;"  ⇔  "&amp;INDEX(ポート振替表!$H$5:$H$3507,$L1929)&amp;" "&amp;INDEX(ポート振替表!$I$5:$I$3507,$L1929))</f>
        <v/>
      </c>
      <c r="D1929" s="57" t="s">
        <v>158</v>
      </c>
      <c r="E1929" s="59" t="str">
        <f aca="false">IF(L1929="","",IF(INDEX(ポート振替表!$O$5:$O$3507,$L1929)="","(未設定)",INDEX(ポート振替表!$O$5:$O$3507,$L1929)&amp;""))</f>
        <v/>
      </c>
      <c r="F1929" s="52" t="str">
        <f aca="false">IF(L1929="","",INDEX(ポート振替表!$K$5:$K$3507,$L1929)&amp;" "&amp;INDEX(ポート振替表!$L$5:$L$3507,$L1929)&amp;"  ⇔  "&amp;INDEX(ポート振替表!$H$5:$H$3507,$L1929)&amp;" "&amp;INDEX(ポート振替表!$I$5:$I$3507,$L1929))</f>
        <v/>
      </c>
      <c r="G1929" s="57" t="s">
        <v>158</v>
      </c>
      <c r="H1929" s="32" t="str">
        <f aca="false">IF(L1929="","",INDEX(ポート振替表!$N$5:$N$3507,$L1929)&amp;"")</f>
        <v/>
      </c>
      <c r="I1929" s="32" t="str">
        <f aca="false">IF(L1929="","",INDEX(ポート振替表!$P$5:$P$3507,$L1929)&amp;"")</f>
        <v/>
      </c>
      <c r="J1929" s="60" t="str">
        <f aca="false">IF(L1929="","",INDEX(ポート振替表!$M$5:$M$3507,$L1929)&amp;"")</f>
        <v/>
      </c>
      <c r="K1929" s="52" t="str">
        <f aca="false">IF(L1929="","",E1929&amp;CHAR(10)&amp;INDEX(ポート振替表!$K$5:$K$3507,$L1929)&amp;" "&amp;INDEX(ポート振替表!$L$5:$L$3507,$L1929)&amp;CHAR(10)&amp;"⇔ "&amp;INDEX(ポート振替表!$H$5:$H$3507,$L1929)&amp;" "&amp;INDEX(ポート振替表!$I$5:$I$3507,$L1929))</f>
        <v/>
      </c>
      <c r="L1929" s="47" t="str">
        <f aca="false">IFERROR(MATCH(ROW()-4,ポート振替表!$V$5:$V$3507,0),"")</f>
        <v/>
      </c>
    </row>
    <row r="1930" customFormat="false" ht="16.4" hidden="false" customHeight="false" outlineLevel="0" collapsed="false">
      <c r="A1930" s="32" t="str">
        <f aca="false">IF(L1930="","",ROW()-4)</f>
        <v/>
      </c>
      <c r="B1930" s="58" t="str">
        <f aca="false">IF(L1930="","",IF(INDEX(ポート振替表!$W$5:$W$3507,$L1930)="","(なし)",INDEX(ポート振替表!$W$5:$W$3507,$L1930)&amp;""))</f>
        <v/>
      </c>
      <c r="C1930" s="52" t="str">
        <f aca="false">IF(L1930="","",INDEX(ポート振替表!$B$5:$B$3507,$L1930)&amp;" "&amp;INDEX(ポート振替表!$C$5:$C$3507,$L1930)&amp;"  ⇔  "&amp;INDEX(ポート振替表!$H$5:$H$3507,$L1930)&amp;" "&amp;INDEX(ポート振替表!$I$5:$I$3507,$L1930))</f>
        <v/>
      </c>
      <c r="D1930" s="57" t="s">
        <v>158</v>
      </c>
      <c r="E1930" s="59" t="str">
        <f aca="false">IF(L1930="","",IF(INDEX(ポート振替表!$O$5:$O$3507,$L1930)="","(未設定)",INDEX(ポート振替表!$O$5:$O$3507,$L1930)&amp;""))</f>
        <v/>
      </c>
      <c r="F1930" s="52" t="str">
        <f aca="false">IF(L1930="","",INDEX(ポート振替表!$K$5:$K$3507,$L1930)&amp;" "&amp;INDEX(ポート振替表!$L$5:$L$3507,$L1930)&amp;"  ⇔  "&amp;INDEX(ポート振替表!$H$5:$H$3507,$L1930)&amp;" "&amp;INDEX(ポート振替表!$I$5:$I$3507,$L1930))</f>
        <v/>
      </c>
      <c r="G1930" s="57" t="s">
        <v>158</v>
      </c>
      <c r="H1930" s="32" t="str">
        <f aca="false">IF(L1930="","",INDEX(ポート振替表!$N$5:$N$3507,$L1930)&amp;"")</f>
        <v/>
      </c>
      <c r="I1930" s="32" t="str">
        <f aca="false">IF(L1930="","",INDEX(ポート振替表!$P$5:$P$3507,$L1930)&amp;"")</f>
        <v/>
      </c>
      <c r="J1930" s="60" t="str">
        <f aca="false">IF(L1930="","",INDEX(ポート振替表!$M$5:$M$3507,$L1930)&amp;"")</f>
        <v/>
      </c>
      <c r="K1930" s="52" t="str">
        <f aca="false">IF(L1930="","",E1930&amp;CHAR(10)&amp;INDEX(ポート振替表!$K$5:$K$3507,$L1930)&amp;" "&amp;INDEX(ポート振替表!$L$5:$L$3507,$L1930)&amp;CHAR(10)&amp;"⇔ "&amp;INDEX(ポート振替表!$H$5:$H$3507,$L1930)&amp;" "&amp;INDEX(ポート振替表!$I$5:$I$3507,$L1930))</f>
        <v/>
      </c>
      <c r="L1930" s="47" t="str">
        <f aca="false">IFERROR(MATCH(ROW()-4,ポート振替表!$V$5:$V$3507,0),"")</f>
        <v/>
      </c>
    </row>
    <row r="1931" customFormat="false" ht="16.4" hidden="false" customHeight="false" outlineLevel="0" collapsed="false">
      <c r="A1931" s="32" t="str">
        <f aca="false">IF(L1931="","",ROW()-4)</f>
        <v/>
      </c>
      <c r="B1931" s="58" t="str">
        <f aca="false">IF(L1931="","",IF(INDEX(ポート振替表!$W$5:$W$3507,$L1931)="","(なし)",INDEX(ポート振替表!$W$5:$W$3507,$L1931)&amp;""))</f>
        <v/>
      </c>
      <c r="C1931" s="52" t="str">
        <f aca="false">IF(L1931="","",INDEX(ポート振替表!$B$5:$B$3507,$L1931)&amp;" "&amp;INDEX(ポート振替表!$C$5:$C$3507,$L1931)&amp;"  ⇔  "&amp;INDEX(ポート振替表!$H$5:$H$3507,$L1931)&amp;" "&amp;INDEX(ポート振替表!$I$5:$I$3507,$L1931))</f>
        <v/>
      </c>
      <c r="D1931" s="57" t="s">
        <v>158</v>
      </c>
      <c r="E1931" s="59" t="str">
        <f aca="false">IF(L1931="","",IF(INDEX(ポート振替表!$O$5:$O$3507,$L1931)="","(未設定)",INDEX(ポート振替表!$O$5:$O$3507,$L1931)&amp;""))</f>
        <v/>
      </c>
      <c r="F1931" s="52" t="str">
        <f aca="false">IF(L1931="","",INDEX(ポート振替表!$K$5:$K$3507,$L1931)&amp;" "&amp;INDEX(ポート振替表!$L$5:$L$3507,$L1931)&amp;"  ⇔  "&amp;INDEX(ポート振替表!$H$5:$H$3507,$L1931)&amp;" "&amp;INDEX(ポート振替表!$I$5:$I$3507,$L1931))</f>
        <v/>
      </c>
      <c r="G1931" s="57" t="s">
        <v>158</v>
      </c>
      <c r="H1931" s="32" t="str">
        <f aca="false">IF(L1931="","",INDEX(ポート振替表!$N$5:$N$3507,$L1931)&amp;"")</f>
        <v/>
      </c>
      <c r="I1931" s="32" t="str">
        <f aca="false">IF(L1931="","",INDEX(ポート振替表!$P$5:$P$3507,$L1931)&amp;"")</f>
        <v/>
      </c>
      <c r="J1931" s="60" t="str">
        <f aca="false">IF(L1931="","",INDEX(ポート振替表!$M$5:$M$3507,$L1931)&amp;"")</f>
        <v/>
      </c>
      <c r="K1931" s="52" t="str">
        <f aca="false">IF(L1931="","",E1931&amp;CHAR(10)&amp;INDEX(ポート振替表!$K$5:$K$3507,$L1931)&amp;" "&amp;INDEX(ポート振替表!$L$5:$L$3507,$L1931)&amp;CHAR(10)&amp;"⇔ "&amp;INDEX(ポート振替表!$H$5:$H$3507,$L1931)&amp;" "&amp;INDEX(ポート振替表!$I$5:$I$3507,$L1931))</f>
        <v/>
      </c>
      <c r="L1931" s="47" t="str">
        <f aca="false">IFERROR(MATCH(ROW()-4,ポート振替表!$V$5:$V$3507,0),"")</f>
        <v/>
      </c>
    </row>
    <row r="1932" customFormat="false" ht="16.4" hidden="false" customHeight="false" outlineLevel="0" collapsed="false">
      <c r="A1932" s="32" t="str">
        <f aca="false">IF(L1932="","",ROW()-4)</f>
        <v/>
      </c>
      <c r="B1932" s="58" t="str">
        <f aca="false">IF(L1932="","",IF(INDEX(ポート振替表!$W$5:$W$3507,$L1932)="","(なし)",INDEX(ポート振替表!$W$5:$W$3507,$L1932)&amp;""))</f>
        <v/>
      </c>
      <c r="C1932" s="52" t="str">
        <f aca="false">IF(L1932="","",INDEX(ポート振替表!$B$5:$B$3507,$L1932)&amp;" "&amp;INDEX(ポート振替表!$C$5:$C$3507,$L1932)&amp;"  ⇔  "&amp;INDEX(ポート振替表!$H$5:$H$3507,$L1932)&amp;" "&amp;INDEX(ポート振替表!$I$5:$I$3507,$L1932))</f>
        <v/>
      </c>
      <c r="D1932" s="57" t="s">
        <v>158</v>
      </c>
      <c r="E1932" s="59" t="str">
        <f aca="false">IF(L1932="","",IF(INDEX(ポート振替表!$O$5:$O$3507,$L1932)="","(未設定)",INDEX(ポート振替表!$O$5:$O$3507,$L1932)&amp;""))</f>
        <v/>
      </c>
      <c r="F1932" s="52" t="str">
        <f aca="false">IF(L1932="","",INDEX(ポート振替表!$K$5:$K$3507,$L1932)&amp;" "&amp;INDEX(ポート振替表!$L$5:$L$3507,$L1932)&amp;"  ⇔  "&amp;INDEX(ポート振替表!$H$5:$H$3507,$L1932)&amp;" "&amp;INDEX(ポート振替表!$I$5:$I$3507,$L1932))</f>
        <v/>
      </c>
      <c r="G1932" s="57" t="s">
        <v>158</v>
      </c>
      <c r="H1932" s="32" t="str">
        <f aca="false">IF(L1932="","",INDEX(ポート振替表!$N$5:$N$3507,$L1932)&amp;"")</f>
        <v/>
      </c>
      <c r="I1932" s="32" t="str">
        <f aca="false">IF(L1932="","",INDEX(ポート振替表!$P$5:$P$3507,$L1932)&amp;"")</f>
        <v/>
      </c>
      <c r="J1932" s="60" t="str">
        <f aca="false">IF(L1932="","",INDEX(ポート振替表!$M$5:$M$3507,$L1932)&amp;"")</f>
        <v/>
      </c>
      <c r="K1932" s="52" t="str">
        <f aca="false">IF(L1932="","",E1932&amp;CHAR(10)&amp;INDEX(ポート振替表!$K$5:$K$3507,$L1932)&amp;" "&amp;INDEX(ポート振替表!$L$5:$L$3507,$L1932)&amp;CHAR(10)&amp;"⇔ "&amp;INDEX(ポート振替表!$H$5:$H$3507,$L1932)&amp;" "&amp;INDEX(ポート振替表!$I$5:$I$3507,$L1932))</f>
        <v/>
      </c>
      <c r="L1932" s="47" t="str">
        <f aca="false">IFERROR(MATCH(ROW()-4,ポート振替表!$V$5:$V$3507,0),"")</f>
        <v/>
      </c>
    </row>
    <row r="1933" customFormat="false" ht="16.4" hidden="false" customHeight="false" outlineLevel="0" collapsed="false">
      <c r="A1933" s="32" t="str">
        <f aca="false">IF(L1933="","",ROW()-4)</f>
        <v/>
      </c>
      <c r="B1933" s="58" t="str">
        <f aca="false">IF(L1933="","",IF(INDEX(ポート振替表!$W$5:$W$3507,$L1933)="","(なし)",INDEX(ポート振替表!$W$5:$W$3507,$L1933)&amp;""))</f>
        <v/>
      </c>
      <c r="C1933" s="52" t="str">
        <f aca="false">IF(L1933="","",INDEX(ポート振替表!$B$5:$B$3507,$L1933)&amp;" "&amp;INDEX(ポート振替表!$C$5:$C$3507,$L1933)&amp;"  ⇔  "&amp;INDEX(ポート振替表!$H$5:$H$3507,$L1933)&amp;" "&amp;INDEX(ポート振替表!$I$5:$I$3507,$L1933))</f>
        <v/>
      </c>
      <c r="D1933" s="57" t="s">
        <v>158</v>
      </c>
      <c r="E1933" s="59" t="str">
        <f aca="false">IF(L1933="","",IF(INDEX(ポート振替表!$O$5:$O$3507,$L1933)="","(未設定)",INDEX(ポート振替表!$O$5:$O$3507,$L1933)&amp;""))</f>
        <v/>
      </c>
      <c r="F1933" s="52" t="str">
        <f aca="false">IF(L1933="","",INDEX(ポート振替表!$K$5:$K$3507,$L1933)&amp;" "&amp;INDEX(ポート振替表!$L$5:$L$3507,$L1933)&amp;"  ⇔  "&amp;INDEX(ポート振替表!$H$5:$H$3507,$L1933)&amp;" "&amp;INDEX(ポート振替表!$I$5:$I$3507,$L1933))</f>
        <v/>
      </c>
      <c r="G1933" s="57" t="s">
        <v>158</v>
      </c>
      <c r="H1933" s="32" t="str">
        <f aca="false">IF(L1933="","",INDEX(ポート振替表!$N$5:$N$3507,$L1933)&amp;"")</f>
        <v/>
      </c>
      <c r="I1933" s="32" t="str">
        <f aca="false">IF(L1933="","",INDEX(ポート振替表!$P$5:$P$3507,$L1933)&amp;"")</f>
        <v/>
      </c>
      <c r="J1933" s="60" t="str">
        <f aca="false">IF(L1933="","",INDEX(ポート振替表!$M$5:$M$3507,$L1933)&amp;"")</f>
        <v/>
      </c>
      <c r="K1933" s="52" t="str">
        <f aca="false">IF(L1933="","",E1933&amp;CHAR(10)&amp;INDEX(ポート振替表!$K$5:$K$3507,$L1933)&amp;" "&amp;INDEX(ポート振替表!$L$5:$L$3507,$L1933)&amp;CHAR(10)&amp;"⇔ "&amp;INDEX(ポート振替表!$H$5:$H$3507,$L1933)&amp;" "&amp;INDEX(ポート振替表!$I$5:$I$3507,$L1933))</f>
        <v/>
      </c>
      <c r="L1933" s="47" t="str">
        <f aca="false">IFERROR(MATCH(ROW()-4,ポート振替表!$V$5:$V$3507,0),"")</f>
        <v/>
      </c>
    </row>
    <row r="1934" customFormat="false" ht="16.4" hidden="false" customHeight="false" outlineLevel="0" collapsed="false">
      <c r="A1934" s="32" t="str">
        <f aca="false">IF(L1934="","",ROW()-4)</f>
        <v/>
      </c>
      <c r="B1934" s="58" t="str">
        <f aca="false">IF(L1934="","",IF(INDEX(ポート振替表!$W$5:$W$3507,$L1934)="","(なし)",INDEX(ポート振替表!$W$5:$W$3507,$L1934)&amp;""))</f>
        <v/>
      </c>
      <c r="C1934" s="52" t="str">
        <f aca="false">IF(L1934="","",INDEX(ポート振替表!$B$5:$B$3507,$L1934)&amp;" "&amp;INDEX(ポート振替表!$C$5:$C$3507,$L1934)&amp;"  ⇔  "&amp;INDEX(ポート振替表!$H$5:$H$3507,$L1934)&amp;" "&amp;INDEX(ポート振替表!$I$5:$I$3507,$L1934))</f>
        <v/>
      </c>
      <c r="D1934" s="57" t="s">
        <v>158</v>
      </c>
      <c r="E1934" s="59" t="str">
        <f aca="false">IF(L1934="","",IF(INDEX(ポート振替表!$O$5:$O$3507,$L1934)="","(未設定)",INDEX(ポート振替表!$O$5:$O$3507,$L1934)&amp;""))</f>
        <v/>
      </c>
      <c r="F1934" s="52" t="str">
        <f aca="false">IF(L1934="","",INDEX(ポート振替表!$K$5:$K$3507,$L1934)&amp;" "&amp;INDEX(ポート振替表!$L$5:$L$3507,$L1934)&amp;"  ⇔  "&amp;INDEX(ポート振替表!$H$5:$H$3507,$L1934)&amp;" "&amp;INDEX(ポート振替表!$I$5:$I$3507,$L1934))</f>
        <v/>
      </c>
      <c r="G1934" s="57" t="s">
        <v>158</v>
      </c>
      <c r="H1934" s="32" t="str">
        <f aca="false">IF(L1934="","",INDEX(ポート振替表!$N$5:$N$3507,$L1934)&amp;"")</f>
        <v/>
      </c>
      <c r="I1934" s="32" t="str">
        <f aca="false">IF(L1934="","",INDEX(ポート振替表!$P$5:$P$3507,$L1934)&amp;"")</f>
        <v/>
      </c>
      <c r="J1934" s="60" t="str">
        <f aca="false">IF(L1934="","",INDEX(ポート振替表!$M$5:$M$3507,$L1934)&amp;"")</f>
        <v/>
      </c>
      <c r="K1934" s="52" t="str">
        <f aca="false">IF(L1934="","",E1934&amp;CHAR(10)&amp;INDEX(ポート振替表!$K$5:$K$3507,$L1934)&amp;" "&amp;INDEX(ポート振替表!$L$5:$L$3507,$L1934)&amp;CHAR(10)&amp;"⇔ "&amp;INDEX(ポート振替表!$H$5:$H$3507,$L1934)&amp;" "&amp;INDEX(ポート振替表!$I$5:$I$3507,$L1934))</f>
        <v/>
      </c>
      <c r="L1934" s="47" t="str">
        <f aca="false">IFERROR(MATCH(ROW()-4,ポート振替表!$V$5:$V$3507,0),"")</f>
        <v/>
      </c>
    </row>
    <row r="1935" customFormat="false" ht="16.4" hidden="false" customHeight="false" outlineLevel="0" collapsed="false">
      <c r="A1935" s="32" t="str">
        <f aca="false">IF(L1935="","",ROW()-4)</f>
        <v/>
      </c>
      <c r="B1935" s="58" t="str">
        <f aca="false">IF(L1935="","",IF(INDEX(ポート振替表!$W$5:$W$3507,$L1935)="","(なし)",INDEX(ポート振替表!$W$5:$W$3507,$L1935)&amp;""))</f>
        <v/>
      </c>
      <c r="C1935" s="52" t="str">
        <f aca="false">IF(L1935="","",INDEX(ポート振替表!$B$5:$B$3507,$L1935)&amp;" "&amp;INDEX(ポート振替表!$C$5:$C$3507,$L1935)&amp;"  ⇔  "&amp;INDEX(ポート振替表!$H$5:$H$3507,$L1935)&amp;" "&amp;INDEX(ポート振替表!$I$5:$I$3507,$L1935))</f>
        <v/>
      </c>
      <c r="D1935" s="57" t="s">
        <v>158</v>
      </c>
      <c r="E1935" s="59" t="str">
        <f aca="false">IF(L1935="","",IF(INDEX(ポート振替表!$O$5:$O$3507,$L1935)="","(未設定)",INDEX(ポート振替表!$O$5:$O$3507,$L1935)&amp;""))</f>
        <v/>
      </c>
      <c r="F1935" s="52" t="str">
        <f aca="false">IF(L1935="","",INDEX(ポート振替表!$K$5:$K$3507,$L1935)&amp;" "&amp;INDEX(ポート振替表!$L$5:$L$3507,$L1935)&amp;"  ⇔  "&amp;INDEX(ポート振替表!$H$5:$H$3507,$L1935)&amp;" "&amp;INDEX(ポート振替表!$I$5:$I$3507,$L1935))</f>
        <v/>
      </c>
      <c r="G1935" s="57" t="s">
        <v>158</v>
      </c>
      <c r="H1935" s="32" t="str">
        <f aca="false">IF(L1935="","",INDEX(ポート振替表!$N$5:$N$3507,$L1935)&amp;"")</f>
        <v/>
      </c>
      <c r="I1935" s="32" t="str">
        <f aca="false">IF(L1935="","",INDEX(ポート振替表!$P$5:$P$3507,$L1935)&amp;"")</f>
        <v/>
      </c>
      <c r="J1935" s="60" t="str">
        <f aca="false">IF(L1935="","",INDEX(ポート振替表!$M$5:$M$3507,$L1935)&amp;"")</f>
        <v/>
      </c>
      <c r="K1935" s="52" t="str">
        <f aca="false">IF(L1935="","",E1935&amp;CHAR(10)&amp;INDEX(ポート振替表!$K$5:$K$3507,$L1935)&amp;" "&amp;INDEX(ポート振替表!$L$5:$L$3507,$L1935)&amp;CHAR(10)&amp;"⇔ "&amp;INDEX(ポート振替表!$H$5:$H$3507,$L1935)&amp;" "&amp;INDEX(ポート振替表!$I$5:$I$3507,$L1935))</f>
        <v/>
      </c>
      <c r="L1935" s="47" t="str">
        <f aca="false">IFERROR(MATCH(ROW()-4,ポート振替表!$V$5:$V$3507,0),"")</f>
        <v/>
      </c>
    </row>
    <row r="1936" customFormat="false" ht="16.4" hidden="false" customHeight="false" outlineLevel="0" collapsed="false">
      <c r="A1936" s="32" t="str">
        <f aca="false">IF(L1936="","",ROW()-4)</f>
        <v/>
      </c>
      <c r="B1936" s="58" t="str">
        <f aca="false">IF(L1936="","",IF(INDEX(ポート振替表!$W$5:$W$3507,$L1936)="","(なし)",INDEX(ポート振替表!$W$5:$W$3507,$L1936)&amp;""))</f>
        <v/>
      </c>
      <c r="C1936" s="52" t="str">
        <f aca="false">IF(L1936="","",INDEX(ポート振替表!$B$5:$B$3507,$L1936)&amp;" "&amp;INDEX(ポート振替表!$C$5:$C$3507,$L1936)&amp;"  ⇔  "&amp;INDEX(ポート振替表!$H$5:$H$3507,$L1936)&amp;" "&amp;INDEX(ポート振替表!$I$5:$I$3507,$L1936))</f>
        <v/>
      </c>
      <c r="D1936" s="57" t="s">
        <v>158</v>
      </c>
      <c r="E1936" s="59" t="str">
        <f aca="false">IF(L1936="","",IF(INDEX(ポート振替表!$O$5:$O$3507,$L1936)="","(未設定)",INDEX(ポート振替表!$O$5:$O$3507,$L1936)&amp;""))</f>
        <v/>
      </c>
      <c r="F1936" s="52" t="str">
        <f aca="false">IF(L1936="","",INDEX(ポート振替表!$K$5:$K$3507,$L1936)&amp;" "&amp;INDEX(ポート振替表!$L$5:$L$3507,$L1936)&amp;"  ⇔  "&amp;INDEX(ポート振替表!$H$5:$H$3507,$L1936)&amp;" "&amp;INDEX(ポート振替表!$I$5:$I$3507,$L1936))</f>
        <v/>
      </c>
      <c r="G1936" s="57" t="s">
        <v>158</v>
      </c>
      <c r="H1936" s="32" t="str">
        <f aca="false">IF(L1936="","",INDEX(ポート振替表!$N$5:$N$3507,$L1936)&amp;"")</f>
        <v/>
      </c>
      <c r="I1936" s="32" t="str">
        <f aca="false">IF(L1936="","",INDEX(ポート振替表!$P$5:$P$3507,$L1936)&amp;"")</f>
        <v/>
      </c>
      <c r="J1936" s="60" t="str">
        <f aca="false">IF(L1936="","",INDEX(ポート振替表!$M$5:$M$3507,$L1936)&amp;"")</f>
        <v/>
      </c>
      <c r="K1936" s="52" t="str">
        <f aca="false">IF(L1936="","",E1936&amp;CHAR(10)&amp;INDEX(ポート振替表!$K$5:$K$3507,$L1936)&amp;" "&amp;INDEX(ポート振替表!$L$5:$L$3507,$L1936)&amp;CHAR(10)&amp;"⇔ "&amp;INDEX(ポート振替表!$H$5:$H$3507,$L1936)&amp;" "&amp;INDEX(ポート振替表!$I$5:$I$3507,$L1936))</f>
        <v/>
      </c>
      <c r="L1936" s="47" t="str">
        <f aca="false">IFERROR(MATCH(ROW()-4,ポート振替表!$V$5:$V$3507,0),"")</f>
        <v/>
      </c>
    </row>
    <row r="1937" customFormat="false" ht="16.4" hidden="false" customHeight="false" outlineLevel="0" collapsed="false">
      <c r="A1937" s="32" t="str">
        <f aca="false">IF(L1937="","",ROW()-4)</f>
        <v/>
      </c>
      <c r="B1937" s="58" t="str">
        <f aca="false">IF(L1937="","",IF(INDEX(ポート振替表!$W$5:$W$3507,$L1937)="","(なし)",INDEX(ポート振替表!$W$5:$W$3507,$L1937)&amp;""))</f>
        <v/>
      </c>
      <c r="C1937" s="52" t="str">
        <f aca="false">IF(L1937="","",INDEX(ポート振替表!$B$5:$B$3507,$L1937)&amp;" "&amp;INDEX(ポート振替表!$C$5:$C$3507,$L1937)&amp;"  ⇔  "&amp;INDEX(ポート振替表!$H$5:$H$3507,$L1937)&amp;" "&amp;INDEX(ポート振替表!$I$5:$I$3507,$L1937))</f>
        <v/>
      </c>
      <c r="D1937" s="57" t="s">
        <v>158</v>
      </c>
      <c r="E1937" s="59" t="str">
        <f aca="false">IF(L1937="","",IF(INDEX(ポート振替表!$O$5:$O$3507,$L1937)="","(未設定)",INDEX(ポート振替表!$O$5:$O$3507,$L1937)&amp;""))</f>
        <v/>
      </c>
      <c r="F1937" s="52" t="str">
        <f aca="false">IF(L1937="","",INDEX(ポート振替表!$K$5:$K$3507,$L1937)&amp;" "&amp;INDEX(ポート振替表!$L$5:$L$3507,$L1937)&amp;"  ⇔  "&amp;INDEX(ポート振替表!$H$5:$H$3507,$L1937)&amp;" "&amp;INDEX(ポート振替表!$I$5:$I$3507,$L1937))</f>
        <v/>
      </c>
      <c r="G1937" s="57" t="s">
        <v>158</v>
      </c>
      <c r="H1937" s="32" t="str">
        <f aca="false">IF(L1937="","",INDEX(ポート振替表!$N$5:$N$3507,$L1937)&amp;"")</f>
        <v/>
      </c>
      <c r="I1937" s="32" t="str">
        <f aca="false">IF(L1937="","",INDEX(ポート振替表!$P$5:$P$3507,$L1937)&amp;"")</f>
        <v/>
      </c>
      <c r="J1937" s="60" t="str">
        <f aca="false">IF(L1937="","",INDEX(ポート振替表!$M$5:$M$3507,$L1937)&amp;"")</f>
        <v/>
      </c>
      <c r="K1937" s="52" t="str">
        <f aca="false">IF(L1937="","",E1937&amp;CHAR(10)&amp;INDEX(ポート振替表!$K$5:$K$3507,$L1937)&amp;" "&amp;INDEX(ポート振替表!$L$5:$L$3507,$L1937)&amp;CHAR(10)&amp;"⇔ "&amp;INDEX(ポート振替表!$H$5:$H$3507,$L1937)&amp;" "&amp;INDEX(ポート振替表!$I$5:$I$3507,$L1937))</f>
        <v/>
      </c>
      <c r="L1937" s="47" t="str">
        <f aca="false">IFERROR(MATCH(ROW()-4,ポート振替表!$V$5:$V$3507,0),"")</f>
        <v/>
      </c>
    </row>
    <row r="1938" customFormat="false" ht="16.4" hidden="false" customHeight="false" outlineLevel="0" collapsed="false">
      <c r="A1938" s="32" t="str">
        <f aca="false">IF(L1938="","",ROW()-4)</f>
        <v/>
      </c>
      <c r="B1938" s="58" t="str">
        <f aca="false">IF(L1938="","",IF(INDEX(ポート振替表!$W$5:$W$3507,$L1938)="","(なし)",INDEX(ポート振替表!$W$5:$W$3507,$L1938)&amp;""))</f>
        <v/>
      </c>
      <c r="C1938" s="52" t="str">
        <f aca="false">IF(L1938="","",INDEX(ポート振替表!$B$5:$B$3507,$L1938)&amp;" "&amp;INDEX(ポート振替表!$C$5:$C$3507,$L1938)&amp;"  ⇔  "&amp;INDEX(ポート振替表!$H$5:$H$3507,$L1938)&amp;" "&amp;INDEX(ポート振替表!$I$5:$I$3507,$L1938))</f>
        <v/>
      </c>
      <c r="D1938" s="57" t="s">
        <v>158</v>
      </c>
      <c r="E1938" s="59" t="str">
        <f aca="false">IF(L1938="","",IF(INDEX(ポート振替表!$O$5:$O$3507,$L1938)="","(未設定)",INDEX(ポート振替表!$O$5:$O$3507,$L1938)&amp;""))</f>
        <v/>
      </c>
      <c r="F1938" s="52" t="str">
        <f aca="false">IF(L1938="","",INDEX(ポート振替表!$K$5:$K$3507,$L1938)&amp;" "&amp;INDEX(ポート振替表!$L$5:$L$3507,$L1938)&amp;"  ⇔  "&amp;INDEX(ポート振替表!$H$5:$H$3507,$L1938)&amp;" "&amp;INDEX(ポート振替表!$I$5:$I$3507,$L1938))</f>
        <v/>
      </c>
      <c r="G1938" s="57" t="s">
        <v>158</v>
      </c>
      <c r="H1938" s="32" t="str">
        <f aca="false">IF(L1938="","",INDEX(ポート振替表!$N$5:$N$3507,$L1938)&amp;"")</f>
        <v/>
      </c>
      <c r="I1938" s="32" t="str">
        <f aca="false">IF(L1938="","",INDEX(ポート振替表!$P$5:$P$3507,$L1938)&amp;"")</f>
        <v/>
      </c>
      <c r="J1938" s="60" t="str">
        <f aca="false">IF(L1938="","",INDEX(ポート振替表!$M$5:$M$3507,$L1938)&amp;"")</f>
        <v/>
      </c>
      <c r="K1938" s="52" t="str">
        <f aca="false">IF(L1938="","",E1938&amp;CHAR(10)&amp;INDEX(ポート振替表!$K$5:$K$3507,$L1938)&amp;" "&amp;INDEX(ポート振替表!$L$5:$L$3507,$L1938)&amp;CHAR(10)&amp;"⇔ "&amp;INDEX(ポート振替表!$H$5:$H$3507,$L1938)&amp;" "&amp;INDEX(ポート振替表!$I$5:$I$3507,$L1938))</f>
        <v/>
      </c>
      <c r="L1938" s="47" t="str">
        <f aca="false">IFERROR(MATCH(ROW()-4,ポート振替表!$V$5:$V$3507,0),"")</f>
        <v/>
      </c>
    </row>
    <row r="1939" customFormat="false" ht="16.4" hidden="false" customHeight="false" outlineLevel="0" collapsed="false">
      <c r="A1939" s="32" t="str">
        <f aca="false">IF(L1939="","",ROW()-4)</f>
        <v/>
      </c>
      <c r="B1939" s="58" t="str">
        <f aca="false">IF(L1939="","",IF(INDEX(ポート振替表!$W$5:$W$3507,$L1939)="","(なし)",INDEX(ポート振替表!$W$5:$W$3507,$L1939)&amp;""))</f>
        <v/>
      </c>
      <c r="C1939" s="52" t="str">
        <f aca="false">IF(L1939="","",INDEX(ポート振替表!$B$5:$B$3507,$L1939)&amp;" "&amp;INDEX(ポート振替表!$C$5:$C$3507,$L1939)&amp;"  ⇔  "&amp;INDEX(ポート振替表!$H$5:$H$3507,$L1939)&amp;" "&amp;INDEX(ポート振替表!$I$5:$I$3507,$L1939))</f>
        <v/>
      </c>
      <c r="D1939" s="57" t="s">
        <v>158</v>
      </c>
      <c r="E1939" s="59" t="str">
        <f aca="false">IF(L1939="","",IF(INDEX(ポート振替表!$O$5:$O$3507,$L1939)="","(未設定)",INDEX(ポート振替表!$O$5:$O$3507,$L1939)&amp;""))</f>
        <v/>
      </c>
      <c r="F1939" s="52" t="str">
        <f aca="false">IF(L1939="","",INDEX(ポート振替表!$K$5:$K$3507,$L1939)&amp;" "&amp;INDEX(ポート振替表!$L$5:$L$3507,$L1939)&amp;"  ⇔  "&amp;INDEX(ポート振替表!$H$5:$H$3507,$L1939)&amp;" "&amp;INDEX(ポート振替表!$I$5:$I$3507,$L1939))</f>
        <v/>
      </c>
      <c r="G1939" s="57" t="s">
        <v>158</v>
      </c>
      <c r="H1939" s="32" t="str">
        <f aca="false">IF(L1939="","",INDEX(ポート振替表!$N$5:$N$3507,$L1939)&amp;"")</f>
        <v/>
      </c>
      <c r="I1939" s="32" t="str">
        <f aca="false">IF(L1939="","",INDEX(ポート振替表!$P$5:$P$3507,$L1939)&amp;"")</f>
        <v/>
      </c>
      <c r="J1939" s="60" t="str">
        <f aca="false">IF(L1939="","",INDEX(ポート振替表!$M$5:$M$3507,$L1939)&amp;"")</f>
        <v/>
      </c>
      <c r="K1939" s="52" t="str">
        <f aca="false">IF(L1939="","",E1939&amp;CHAR(10)&amp;INDEX(ポート振替表!$K$5:$K$3507,$L1939)&amp;" "&amp;INDEX(ポート振替表!$L$5:$L$3507,$L1939)&amp;CHAR(10)&amp;"⇔ "&amp;INDEX(ポート振替表!$H$5:$H$3507,$L1939)&amp;" "&amp;INDEX(ポート振替表!$I$5:$I$3507,$L1939))</f>
        <v/>
      </c>
      <c r="L1939" s="47" t="str">
        <f aca="false">IFERROR(MATCH(ROW()-4,ポート振替表!$V$5:$V$3507,0),"")</f>
        <v/>
      </c>
    </row>
    <row r="1940" customFormat="false" ht="16.4" hidden="false" customHeight="false" outlineLevel="0" collapsed="false">
      <c r="A1940" s="32" t="str">
        <f aca="false">IF(L1940="","",ROW()-4)</f>
        <v/>
      </c>
      <c r="B1940" s="58" t="str">
        <f aca="false">IF(L1940="","",IF(INDEX(ポート振替表!$W$5:$W$3507,$L1940)="","(なし)",INDEX(ポート振替表!$W$5:$W$3507,$L1940)&amp;""))</f>
        <v/>
      </c>
      <c r="C1940" s="52" t="str">
        <f aca="false">IF(L1940="","",INDEX(ポート振替表!$B$5:$B$3507,$L1940)&amp;" "&amp;INDEX(ポート振替表!$C$5:$C$3507,$L1940)&amp;"  ⇔  "&amp;INDEX(ポート振替表!$H$5:$H$3507,$L1940)&amp;" "&amp;INDEX(ポート振替表!$I$5:$I$3507,$L1940))</f>
        <v/>
      </c>
      <c r="D1940" s="57" t="s">
        <v>158</v>
      </c>
      <c r="E1940" s="59" t="str">
        <f aca="false">IF(L1940="","",IF(INDEX(ポート振替表!$O$5:$O$3507,$L1940)="","(未設定)",INDEX(ポート振替表!$O$5:$O$3507,$L1940)&amp;""))</f>
        <v/>
      </c>
      <c r="F1940" s="52" t="str">
        <f aca="false">IF(L1940="","",INDEX(ポート振替表!$K$5:$K$3507,$L1940)&amp;" "&amp;INDEX(ポート振替表!$L$5:$L$3507,$L1940)&amp;"  ⇔  "&amp;INDEX(ポート振替表!$H$5:$H$3507,$L1940)&amp;" "&amp;INDEX(ポート振替表!$I$5:$I$3507,$L1940))</f>
        <v/>
      </c>
      <c r="G1940" s="57" t="s">
        <v>158</v>
      </c>
      <c r="H1940" s="32" t="str">
        <f aca="false">IF(L1940="","",INDEX(ポート振替表!$N$5:$N$3507,$L1940)&amp;"")</f>
        <v/>
      </c>
      <c r="I1940" s="32" t="str">
        <f aca="false">IF(L1940="","",INDEX(ポート振替表!$P$5:$P$3507,$L1940)&amp;"")</f>
        <v/>
      </c>
      <c r="J1940" s="60" t="str">
        <f aca="false">IF(L1940="","",INDEX(ポート振替表!$M$5:$M$3507,$L1940)&amp;"")</f>
        <v/>
      </c>
      <c r="K1940" s="52" t="str">
        <f aca="false">IF(L1940="","",E1940&amp;CHAR(10)&amp;INDEX(ポート振替表!$K$5:$K$3507,$L1940)&amp;" "&amp;INDEX(ポート振替表!$L$5:$L$3507,$L1940)&amp;CHAR(10)&amp;"⇔ "&amp;INDEX(ポート振替表!$H$5:$H$3507,$L1940)&amp;" "&amp;INDEX(ポート振替表!$I$5:$I$3507,$L1940))</f>
        <v/>
      </c>
      <c r="L1940" s="47" t="str">
        <f aca="false">IFERROR(MATCH(ROW()-4,ポート振替表!$V$5:$V$3507,0),"")</f>
        <v/>
      </c>
    </row>
    <row r="1941" customFormat="false" ht="16.4" hidden="false" customHeight="false" outlineLevel="0" collapsed="false">
      <c r="A1941" s="32" t="str">
        <f aca="false">IF(L1941="","",ROW()-4)</f>
        <v/>
      </c>
      <c r="B1941" s="58" t="str">
        <f aca="false">IF(L1941="","",IF(INDEX(ポート振替表!$W$5:$W$3507,$L1941)="","(なし)",INDEX(ポート振替表!$W$5:$W$3507,$L1941)&amp;""))</f>
        <v/>
      </c>
      <c r="C1941" s="52" t="str">
        <f aca="false">IF(L1941="","",INDEX(ポート振替表!$B$5:$B$3507,$L1941)&amp;" "&amp;INDEX(ポート振替表!$C$5:$C$3507,$L1941)&amp;"  ⇔  "&amp;INDEX(ポート振替表!$H$5:$H$3507,$L1941)&amp;" "&amp;INDEX(ポート振替表!$I$5:$I$3507,$L1941))</f>
        <v/>
      </c>
      <c r="D1941" s="57" t="s">
        <v>158</v>
      </c>
      <c r="E1941" s="59" t="str">
        <f aca="false">IF(L1941="","",IF(INDEX(ポート振替表!$O$5:$O$3507,$L1941)="","(未設定)",INDEX(ポート振替表!$O$5:$O$3507,$L1941)&amp;""))</f>
        <v/>
      </c>
      <c r="F1941" s="52" t="str">
        <f aca="false">IF(L1941="","",INDEX(ポート振替表!$K$5:$K$3507,$L1941)&amp;" "&amp;INDEX(ポート振替表!$L$5:$L$3507,$L1941)&amp;"  ⇔  "&amp;INDEX(ポート振替表!$H$5:$H$3507,$L1941)&amp;" "&amp;INDEX(ポート振替表!$I$5:$I$3507,$L1941))</f>
        <v/>
      </c>
      <c r="G1941" s="57" t="s">
        <v>158</v>
      </c>
      <c r="H1941" s="32" t="str">
        <f aca="false">IF(L1941="","",INDEX(ポート振替表!$N$5:$N$3507,$L1941)&amp;"")</f>
        <v/>
      </c>
      <c r="I1941" s="32" t="str">
        <f aca="false">IF(L1941="","",INDEX(ポート振替表!$P$5:$P$3507,$L1941)&amp;"")</f>
        <v/>
      </c>
      <c r="J1941" s="60" t="str">
        <f aca="false">IF(L1941="","",INDEX(ポート振替表!$M$5:$M$3507,$L1941)&amp;"")</f>
        <v/>
      </c>
      <c r="K1941" s="52" t="str">
        <f aca="false">IF(L1941="","",E1941&amp;CHAR(10)&amp;INDEX(ポート振替表!$K$5:$K$3507,$L1941)&amp;" "&amp;INDEX(ポート振替表!$L$5:$L$3507,$L1941)&amp;CHAR(10)&amp;"⇔ "&amp;INDEX(ポート振替表!$H$5:$H$3507,$L1941)&amp;" "&amp;INDEX(ポート振替表!$I$5:$I$3507,$L1941))</f>
        <v/>
      </c>
      <c r="L1941" s="47" t="str">
        <f aca="false">IFERROR(MATCH(ROW()-4,ポート振替表!$V$5:$V$3507,0),"")</f>
        <v/>
      </c>
    </row>
    <row r="1942" customFormat="false" ht="16.4" hidden="false" customHeight="false" outlineLevel="0" collapsed="false">
      <c r="A1942" s="32" t="str">
        <f aca="false">IF(L1942="","",ROW()-4)</f>
        <v/>
      </c>
      <c r="B1942" s="58" t="str">
        <f aca="false">IF(L1942="","",IF(INDEX(ポート振替表!$W$5:$W$3507,$L1942)="","(なし)",INDEX(ポート振替表!$W$5:$W$3507,$L1942)&amp;""))</f>
        <v/>
      </c>
      <c r="C1942" s="52" t="str">
        <f aca="false">IF(L1942="","",INDEX(ポート振替表!$B$5:$B$3507,$L1942)&amp;" "&amp;INDEX(ポート振替表!$C$5:$C$3507,$L1942)&amp;"  ⇔  "&amp;INDEX(ポート振替表!$H$5:$H$3507,$L1942)&amp;" "&amp;INDEX(ポート振替表!$I$5:$I$3507,$L1942))</f>
        <v/>
      </c>
      <c r="D1942" s="57" t="s">
        <v>158</v>
      </c>
      <c r="E1942" s="59" t="str">
        <f aca="false">IF(L1942="","",IF(INDEX(ポート振替表!$O$5:$O$3507,$L1942)="","(未設定)",INDEX(ポート振替表!$O$5:$O$3507,$L1942)&amp;""))</f>
        <v/>
      </c>
      <c r="F1942" s="52" t="str">
        <f aca="false">IF(L1942="","",INDEX(ポート振替表!$K$5:$K$3507,$L1942)&amp;" "&amp;INDEX(ポート振替表!$L$5:$L$3507,$L1942)&amp;"  ⇔  "&amp;INDEX(ポート振替表!$H$5:$H$3507,$L1942)&amp;" "&amp;INDEX(ポート振替表!$I$5:$I$3507,$L1942))</f>
        <v/>
      </c>
      <c r="G1942" s="57" t="s">
        <v>158</v>
      </c>
      <c r="H1942" s="32" t="str">
        <f aca="false">IF(L1942="","",INDEX(ポート振替表!$N$5:$N$3507,$L1942)&amp;"")</f>
        <v/>
      </c>
      <c r="I1942" s="32" t="str">
        <f aca="false">IF(L1942="","",INDEX(ポート振替表!$P$5:$P$3507,$L1942)&amp;"")</f>
        <v/>
      </c>
      <c r="J1942" s="60" t="str">
        <f aca="false">IF(L1942="","",INDEX(ポート振替表!$M$5:$M$3507,$L1942)&amp;"")</f>
        <v/>
      </c>
      <c r="K1942" s="52" t="str">
        <f aca="false">IF(L1942="","",E1942&amp;CHAR(10)&amp;INDEX(ポート振替表!$K$5:$K$3507,$L1942)&amp;" "&amp;INDEX(ポート振替表!$L$5:$L$3507,$L1942)&amp;CHAR(10)&amp;"⇔ "&amp;INDEX(ポート振替表!$H$5:$H$3507,$L1942)&amp;" "&amp;INDEX(ポート振替表!$I$5:$I$3507,$L1942))</f>
        <v/>
      </c>
      <c r="L1942" s="47" t="str">
        <f aca="false">IFERROR(MATCH(ROW()-4,ポート振替表!$V$5:$V$3507,0),"")</f>
        <v/>
      </c>
    </row>
    <row r="1943" customFormat="false" ht="16.4" hidden="false" customHeight="false" outlineLevel="0" collapsed="false">
      <c r="A1943" s="32" t="str">
        <f aca="false">IF(L1943="","",ROW()-4)</f>
        <v/>
      </c>
      <c r="B1943" s="58" t="str">
        <f aca="false">IF(L1943="","",IF(INDEX(ポート振替表!$W$5:$W$3507,$L1943)="","(なし)",INDEX(ポート振替表!$W$5:$W$3507,$L1943)&amp;""))</f>
        <v/>
      </c>
      <c r="C1943" s="52" t="str">
        <f aca="false">IF(L1943="","",INDEX(ポート振替表!$B$5:$B$3507,$L1943)&amp;" "&amp;INDEX(ポート振替表!$C$5:$C$3507,$L1943)&amp;"  ⇔  "&amp;INDEX(ポート振替表!$H$5:$H$3507,$L1943)&amp;" "&amp;INDEX(ポート振替表!$I$5:$I$3507,$L1943))</f>
        <v/>
      </c>
      <c r="D1943" s="57" t="s">
        <v>158</v>
      </c>
      <c r="E1943" s="59" t="str">
        <f aca="false">IF(L1943="","",IF(INDEX(ポート振替表!$O$5:$O$3507,$L1943)="","(未設定)",INDEX(ポート振替表!$O$5:$O$3507,$L1943)&amp;""))</f>
        <v/>
      </c>
      <c r="F1943" s="52" t="str">
        <f aca="false">IF(L1943="","",INDEX(ポート振替表!$K$5:$K$3507,$L1943)&amp;" "&amp;INDEX(ポート振替表!$L$5:$L$3507,$L1943)&amp;"  ⇔  "&amp;INDEX(ポート振替表!$H$5:$H$3507,$L1943)&amp;" "&amp;INDEX(ポート振替表!$I$5:$I$3507,$L1943))</f>
        <v/>
      </c>
      <c r="G1943" s="57" t="s">
        <v>158</v>
      </c>
      <c r="H1943" s="32" t="str">
        <f aca="false">IF(L1943="","",INDEX(ポート振替表!$N$5:$N$3507,$L1943)&amp;"")</f>
        <v/>
      </c>
      <c r="I1943" s="32" t="str">
        <f aca="false">IF(L1943="","",INDEX(ポート振替表!$P$5:$P$3507,$L1943)&amp;"")</f>
        <v/>
      </c>
      <c r="J1943" s="60" t="str">
        <f aca="false">IF(L1943="","",INDEX(ポート振替表!$M$5:$M$3507,$L1943)&amp;"")</f>
        <v/>
      </c>
      <c r="K1943" s="52" t="str">
        <f aca="false">IF(L1943="","",E1943&amp;CHAR(10)&amp;INDEX(ポート振替表!$K$5:$K$3507,$L1943)&amp;" "&amp;INDEX(ポート振替表!$L$5:$L$3507,$L1943)&amp;CHAR(10)&amp;"⇔ "&amp;INDEX(ポート振替表!$H$5:$H$3507,$L1943)&amp;" "&amp;INDEX(ポート振替表!$I$5:$I$3507,$L1943))</f>
        <v/>
      </c>
      <c r="L1943" s="47" t="str">
        <f aca="false">IFERROR(MATCH(ROW()-4,ポート振替表!$V$5:$V$3507,0),"")</f>
        <v/>
      </c>
    </row>
    <row r="1944" customFormat="false" ht="16.4" hidden="false" customHeight="false" outlineLevel="0" collapsed="false">
      <c r="A1944" s="32" t="str">
        <f aca="false">IF(L1944="","",ROW()-4)</f>
        <v/>
      </c>
      <c r="B1944" s="58" t="str">
        <f aca="false">IF(L1944="","",IF(INDEX(ポート振替表!$W$5:$W$3507,$L1944)="","(なし)",INDEX(ポート振替表!$W$5:$W$3507,$L1944)&amp;""))</f>
        <v/>
      </c>
      <c r="C1944" s="52" t="str">
        <f aca="false">IF(L1944="","",INDEX(ポート振替表!$B$5:$B$3507,$L1944)&amp;" "&amp;INDEX(ポート振替表!$C$5:$C$3507,$L1944)&amp;"  ⇔  "&amp;INDEX(ポート振替表!$H$5:$H$3507,$L1944)&amp;" "&amp;INDEX(ポート振替表!$I$5:$I$3507,$L1944))</f>
        <v/>
      </c>
      <c r="D1944" s="57" t="s">
        <v>158</v>
      </c>
      <c r="E1944" s="59" t="str">
        <f aca="false">IF(L1944="","",IF(INDEX(ポート振替表!$O$5:$O$3507,$L1944)="","(未設定)",INDEX(ポート振替表!$O$5:$O$3507,$L1944)&amp;""))</f>
        <v/>
      </c>
      <c r="F1944" s="52" t="str">
        <f aca="false">IF(L1944="","",INDEX(ポート振替表!$K$5:$K$3507,$L1944)&amp;" "&amp;INDEX(ポート振替表!$L$5:$L$3507,$L1944)&amp;"  ⇔  "&amp;INDEX(ポート振替表!$H$5:$H$3507,$L1944)&amp;" "&amp;INDEX(ポート振替表!$I$5:$I$3507,$L1944))</f>
        <v/>
      </c>
      <c r="G1944" s="57" t="s">
        <v>158</v>
      </c>
      <c r="H1944" s="32" t="str">
        <f aca="false">IF(L1944="","",INDEX(ポート振替表!$N$5:$N$3507,$L1944)&amp;"")</f>
        <v/>
      </c>
      <c r="I1944" s="32" t="str">
        <f aca="false">IF(L1944="","",INDEX(ポート振替表!$P$5:$P$3507,$L1944)&amp;"")</f>
        <v/>
      </c>
      <c r="J1944" s="60" t="str">
        <f aca="false">IF(L1944="","",INDEX(ポート振替表!$M$5:$M$3507,$L1944)&amp;"")</f>
        <v/>
      </c>
      <c r="K1944" s="52" t="str">
        <f aca="false">IF(L1944="","",E1944&amp;CHAR(10)&amp;INDEX(ポート振替表!$K$5:$K$3507,$L1944)&amp;" "&amp;INDEX(ポート振替表!$L$5:$L$3507,$L1944)&amp;CHAR(10)&amp;"⇔ "&amp;INDEX(ポート振替表!$H$5:$H$3507,$L1944)&amp;" "&amp;INDEX(ポート振替表!$I$5:$I$3507,$L1944))</f>
        <v/>
      </c>
      <c r="L1944" s="47" t="str">
        <f aca="false">IFERROR(MATCH(ROW()-4,ポート振替表!$V$5:$V$3507,0),"")</f>
        <v/>
      </c>
    </row>
    <row r="1945" customFormat="false" ht="16.4" hidden="false" customHeight="false" outlineLevel="0" collapsed="false">
      <c r="A1945" s="32" t="str">
        <f aca="false">IF(L1945="","",ROW()-4)</f>
        <v/>
      </c>
      <c r="B1945" s="58" t="str">
        <f aca="false">IF(L1945="","",IF(INDEX(ポート振替表!$W$5:$W$3507,$L1945)="","(なし)",INDEX(ポート振替表!$W$5:$W$3507,$L1945)&amp;""))</f>
        <v/>
      </c>
      <c r="C1945" s="52" t="str">
        <f aca="false">IF(L1945="","",INDEX(ポート振替表!$B$5:$B$3507,$L1945)&amp;" "&amp;INDEX(ポート振替表!$C$5:$C$3507,$L1945)&amp;"  ⇔  "&amp;INDEX(ポート振替表!$H$5:$H$3507,$L1945)&amp;" "&amp;INDEX(ポート振替表!$I$5:$I$3507,$L1945))</f>
        <v/>
      </c>
      <c r="D1945" s="57" t="s">
        <v>158</v>
      </c>
      <c r="E1945" s="59" t="str">
        <f aca="false">IF(L1945="","",IF(INDEX(ポート振替表!$O$5:$O$3507,$L1945)="","(未設定)",INDEX(ポート振替表!$O$5:$O$3507,$L1945)&amp;""))</f>
        <v/>
      </c>
      <c r="F1945" s="52" t="str">
        <f aca="false">IF(L1945="","",INDEX(ポート振替表!$K$5:$K$3507,$L1945)&amp;" "&amp;INDEX(ポート振替表!$L$5:$L$3507,$L1945)&amp;"  ⇔  "&amp;INDEX(ポート振替表!$H$5:$H$3507,$L1945)&amp;" "&amp;INDEX(ポート振替表!$I$5:$I$3507,$L1945))</f>
        <v/>
      </c>
      <c r="G1945" s="57" t="s">
        <v>158</v>
      </c>
      <c r="H1945" s="32" t="str">
        <f aca="false">IF(L1945="","",INDEX(ポート振替表!$N$5:$N$3507,$L1945)&amp;"")</f>
        <v/>
      </c>
      <c r="I1945" s="32" t="str">
        <f aca="false">IF(L1945="","",INDEX(ポート振替表!$P$5:$P$3507,$L1945)&amp;"")</f>
        <v/>
      </c>
      <c r="J1945" s="60" t="str">
        <f aca="false">IF(L1945="","",INDEX(ポート振替表!$M$5:$M$3507,$L1945)&amp;"")</f>
        <v/>
      </c>
      <c r="K1945" s="52" t="str">
        <f aca="false">IF(L1945="","",E1945&amp;CHAR(10)&amp;INDEX(ポート振替表!$K$5:$K$3507,$L1945)&amp;" "&amp;INDEX(ポート振替表!$L$5:$L$3507,$L1945)&amp;CHAR(10)&amp;"⇔ "&amp;INDEX(ポート振替表!$H$5:$H$3507,$L1945)&amp;" "&amp;INDEX(ポート振替表!$I$5:$I$3507,$L1945))</f>
        <v/>
      </c>
      <c r="L1945" s="47" t="str">
        <f aca="false">IFERROR(MATCH(ROW()-4,ポート振替表!$V$5:$V$3507,0),"")</f>
        <v/>
      </c>
    </row>
    <row r="1946" customFormat="false" ht="16.4" hidden="false" customHeight="false" outlineLevel="0" collapsed="false">
      <c r="A1946" s="32" t="str">
        <f aca="false">IF(L1946="","",ROW()-4)</f>
        <v/>
      </c>
      <c r="B1946" s="58" t="str">
        <f aca="false">IF(L1946="","",IF(INDEX(ポート振替表!$W$5:$W$3507,$L1946)="","(なし)",INDEX(ポート振替表!$W$5:$W$3507,$L1946)&amp;""))</f>
        <v/>
      </c>
      <c r="C1946" s="52" t="str">
        <f aca="false">IF(L1946="","",INDEX(ポート振替表!$B$5:$B$3507,$L1946)&amp;" "&amp;INDEX(ポート振替表!$C$5:$C$3507,$L1946)&amp;"  ⇔  "&amp;INDEX(ポート振替表!$H$5:$H$3507,$L1946)&amp;" "&amp;INDEX(ポート振替表!$I$5:$I$3507,$L1946))</f>
        <v/>
      </c>
      <c r="D1946" s="57" t="s">
        <v>158</v>
      </c>
      <c r="E1946" s="59" t="str">
        <f aca="false">IF(L1946="","",IF(INDEX(ポート振替表!$O$5:$O$3507,$L1946)="","(未設定)",INDEX(ポート振替表!$O$5:$O$3507,$L1946)&amp;""))</f>
        <v/>
      </c>
      <c r="F1946" s="52" t="str">
        <f aca="false">IF(L1946="","",INDEX(ポート振替表!$K$5:$K$3507,$L1946)&amp;" "&amp;INDEX(ポート振替表!$L$5:$L$3507,$L1946)&amp;"  ⇔  "&amp;INDEX(ポート振替表!$H$5:$H$3507,$L1946)&amp;" "&amp;INDEX(ポート振替表!$I$5:$I$3507,$L1946))</f>
        <v/>
      </c>
      <c r="G1946" s="57" t="s">
        <v>158</v>
      </c>
      <c r="H1946" s="32" t="str">
        <f aca="false">IF(L1946="","",INDEX(ポート振替表!$N$5:$N$3507,$L1946)&amp;"")</f>
        <v/>
      </c>
      <c r="I1946" s="32" t="str">
        <f aca="false">IF(L1946="","",INDEX(ポート振替表!$P$5:$P$3507,$L1946)&amp;"")</f>
        <v/>
      </c>
      <c r="J1946" s="60" t="str">
        <f aca="false">IF(L1946="","",INDEX(ポート振替表!$M$5:$M$3507,$L1946)&amp;"")</f>
        <v/>
      </c>
      <c r="K1946" s="52" t="str">
        <f aca="false">IF(L1946="","",E1946&amp;CHAR(10)&amp;INDEX(ポート振替表!$K$5:$K$3507,$L1946)&amp;" "&amp;INDEX(ポート振替表!$L$5:$L$3507,$L1946)&amp;CHAR(10)&amp;"⇔ "&amp;INDEX(ポート振替表!$H$5:$H$3507,$L1946)&amp;" "&amp;INDEX(ポート振替表!$I$5:$I$3507,$L1946))</f>
        <v/>
      </c>
      <c r="L1946" s="47" t="str">
        <f aca="false">IFERROR(MATCH(ROW()-4,ポート振替表!$V$5:$V$3507,0),"")</f>
        <v/>
      </c>
    </row>
    <row r="1947" customFormat="false" ht="16.4" hidden="false" customHeight="false" outlineLevel="0" collapsed="false">
      <c r="A1947" s="32" t="str">
        <f aca="false">IF(L1947="","",ROW()-4)</f>
        <v/>
      </c>
      <c r="B1947" s="58" t="str">
        <f aca="false">IF(L1947="","",IF(INDEX(ポート振替表!$W$5:$W$3507,$L1947)="","(なし)",INDEX(ポート振替表!$W$5:$W$3507,$L1947)&amp;""))</f>
        <v/>
      </c>
      <c r="C1947" s="52" t="str">
        <f aca="false">IF(L1947="","",INDEX(ポート振替表!$B$5:$B$3507,$L1947)&amp;" "&amp;INDEX(ポート振替表!$C$5:$C$3507,$L1947)&amp;"  ⇔  "&amp;INDEX(ポート振替表!$H$5:$H$3507,$L1947)&amp;" "&amp;INDEX(ポート振替表!$I$5:$I$3507,$L1947))</f>
        <v/>
      </c>
      <c r="D1947" s="57" t="s">
        <v>158</v>
      </c>
      <c r="E1947" s="59" t="str">
        <f aca="false">IF(L1947="","",IF(INDEX(ポート振替表!$O$5:$O$3507,$L1947)="","(未設定)",INDEX(ポート振替表!$O$5:$O$3507,$L1947)&amp;""))</f>
        <v/>
      </c>
      <c r="F1947" s="52" t="str">
        <f aca="false">IF(L1947="","",INDEX(ポート振替表!$K$5:$K$3507,$L1947)&amp;" "&amp;INDEX(ポート振替表!$L$5:$L$3507,$L1947)&amp;"  ⇔  "&amp;INDEX(ポート振替表!$H$5:$H$3507,$L1947)&amp;" "&amp;INDEX(ポート振替表!$I$5:$I$3507,$L1947))</f>
        <v/>
      </c>
      <c r="G1947" s="57" t="s">
        <v>158</v>
      </c>
      <c r="H1947" s="32" t="str">
        <f aca="false">IF(L1947="","",INDEX(ポート振替表!$N$5:$N$3507,$L1947)&amp;"")</f>
        <v/>
      </c>
      <c r="I1947" s="32" t="str">
        <f aca="false">IF(L1947="","",INDEX(ポート振替表!$P$5:$P$3507,$L1947)&amp;"")</f>
        <v/>
      </c>
      <c r="J1947" s="60" t="str">
        <f aca="false">IF(L1947="","",INDEX(ポート振替表!$M$5:$M$3507,$L1947)&amp;"")</f>
        <v/>
      </c>
      <c r="K1947" s="52" t="str">
        <f aca="false">IF(L1947="","",E1947&amp;CHAR(10)&amp;INDEX(ポート振替表!$K$5:$K$3507,$L1947)&amp;" "&amp;INDEX(ポート振替表!$L$5:$L$3507,$L1947)&amp;CHAR(10)&amp;"⇔ "&amp;INDEX(ポート振替表!$H$5:$H$3507,$L1947)&amp;" "&amp;INDEX(ポート振替表!$I$5:$I$3507,$L1947))</f>
        <v/>
      </c>
      <c r="L1947" s="47" t="str">
        <f aca="false">IFERROR(MATCH(ROW()-4,ポート振替表!$V$5:$V$3507,0),"")</f>
        <v/>
      </c>
    </row>
    <row r="1948" customFormat="false" ht="16.4" hidden="false" customHeight="false" outlineLevel="0" collapsed="false">
      <c r="A1948" s="32" t="str">
        <f aca="false">IF(L1948="","",ROW()-4)</f>
        <v/>
      </c>
      <c r="B1948" s="58" t="str">
        <f aca="false">IF(L1948="","",IF(INDEX(ポート振替表!$W$5:$W$3507,$L1948)="","(なし)",INDEX(ポート振替表!$W$5:$W$3507,$L1948)&amp;""))</f>
        <v/>
      </c>
      <c r="C1948" s="52" t="str">
        <f aca="false">IF(L1948="","",INDEX(ポート振替表!$B$5:$B$3507,$L1948)&amp;" "&amp;INDEX(ポート振替表!$C$5:$C$3507,$L1948)&amp;"  ⇔  "&amp;INDEX(ポート振替表!$H$5:$H$3507,$L1948)&amp;" "&amp;INDEX(ポート振替表!$I$5:$I$3507,$L1948))</f>
        <v/>
      </c>
      <c r="D1948" s="57" t="s">
        <v>158</v>
      </c>
      <c r="E1948" s="59" t="str">
        <f aca="false">IF(L1948="","",IF(INDEX(ポート振替表!$O$5:$O$3507,$L1948)="","(未設定)",INDEX(ポート振替表!$O$5:$O$3507,$L1948)&amp;""))</f>
        <v/>
      </c>
      <c r="F1948" s="52" t="str">
        <f aca="false">IF(L1948="","",INDEX(ポート振替表!$K$5:$K$3507,$L1948)&amp;" "&amp;INDEX(ポート振替表!$L$5:$L$3507,$L1948)&amp;"  ⇔  "&amp;INDEX(ポート振替表!$H$5:$H$3507,$L1948)&amp;" "&amp;INDEX(ポート振替表!$I$5:$I$3507,$L1948))</f>
        <v/>
      </c>
      <c r="G1948" s="57" t="s">
        <v>158</v>
      </c>
      <c r="H1948" s="32" t="str">
        <f aca="false">IF(L1948="","",INDEX(ポート振替表!$N$5:$N$3507,$L1948)&amp;"")</f>
        <v/>
      </c>
      <c r="I1948" s="32" t="str">
        <f aca="false">IF(L1948="","",INDEX(ポート振替表!$P$5:$P$3507,$L1948)&amp;"")</f>
        <v/>
      </c>
      <c r="J1948" s="60" t="str">
        <f aca="false">IF(L1948="","",INDEX(ポート振替表!$M$5:$M$3507,$L1948)&amp;"")</f>
        <v/>
      </c>
      <c r="K1948" s="52" t="str">
        <f aca="false">IF(L1948="","",E1948&amp;CHAR(10)&amp;INDEX(ポート振替表!$K$5:$K$3507,$L1948)&amp;" "&amp;INDEX(ポート振替表!$L$5:$L$3507,$L1948)&amp;CHAR(10)&amp;"⇔ "&amp;INDEX(ポート振替表!$H$5:$H$3507,$L1948)&amp;" "&amp;INDEX(ポート振替表!$I$5:$I$3507,$L1948))</f>
        <v/>
      </c>
      <c r="L1948" s="47" t="str">
        <f aca="false">IFERROR(MATCH(ROW()-4,ポート振替表!$V$5:$V$3507,0),"")</f>
        <v/>
      </c>
    </row>
    <row r="1949" customFormat="false" ht="16.4" hidden="false" customHeight="false" outlineLevel="0" collapsed="false">
      <c r="A1949" s="32" t="str">
        <f aca="false">IF(L1949="","",ROW()-4)</f>
        <v/>
      </c>
      <c r="B1949" s="58" t="str">
        <f aca="false">IF(L1949="","",IF(INDEX(ポート振替表!$W$5:$W$3507,$L1949)="","(なし)",INDEX(ポート振替表!$W$5:$W$3507,$L1949)&amp;""))</f>
        <v/>
      </c>
      <c r="C1949" s="52" t="str">
        <f aca="false">IF(L1949="","",INDEX(ポート振替表!$B$5:$B$3507,$L1949)&amp;" "&amp;INDEX(ポート振替表!$C$5:$C$3507,$L1949)&amp;"  ⇔  "&amp;INDEX(ポート振替表!$H$5:$H$3507,$L1949)&amp;" "&amp;INDEX(ポート振替表!$I$5:$I$3507,$L1949))</f>
        <v/>
      </c>
      <c r="D1949" s="57" t="s">
        <v>158</v>
      </c>
      <c r="E1949" s="59" t="str">
        <f aca="false">IF(L1949="","",IF(INDEX(ポート振替表!$O$5:$O$3507,$L1949)="","(未設定)",INDEX(ポート振替表!$O$5:$O$3507,$L1949)&amp;""))</f>
        <v/>
      </c>
      <c r="F1949" s="52" t="str">
        <f aca="false">IF(L1949="","",INDEX(ポート振替表!$K$5:$K$3507,$L1949)&amp;" "&amp;INDEX(ポート振替表!$L$5:$L$3507,$L1949)&amp;"  ⇔  "&amp;INDEX(ポート振替表!$H$5:$H$3507,$L1949)&amp;" "&amp;INDEX(ポート振替表!$I$5:$I$3507,$L1949))</f>
        <v/>
      </c>
      <c r="G1949" s="57" t="s">
        <v>158</v>
      </c>
      <c r="H1949" s="32" t="str">
        <f aca="false">IF(L1949="","",INDEX(ポート振替表!$N$5:$N$3507,$L1949)&amp;"")</f>
        <v/>
      </c>
      <c r="I1949" s="32" t="str">
        <f aca="false">IF(L1949="","",INDEX(ポート振替表!$P$5:$P$3507,$L1949)&amp;"")</f>
        <v/>
      </c>
      <c r="J1949" s="60" t="str">
        <f aca="false">IF(L1949="","",INDEX(ポート振替表!$M$5:$M$3507,$L1949)&amp;"")</f>
        <v/>
      </c>
      <c r="K1949" s="52" t="str">
        <f aca="false">IF(L1949="","",E1949&amp;CHAR(10)&amp;INDEX(ポート振替表!$K$5:$K$3507,$L1949)&amp;" "&amp;INDEX(ポート振替表!$L$5:$L$3507,$L1949)&amp;CHAR(10)&amp;"⇔ "&amp;INDEX(ポート振替表!$H$5:$H$3507,$L1949)&amp;" "&amp;INDEX(ポート振替表!$I$5:$I$3507,$L1949))</f>
        <v/>
      </c>
      <c r="L1949" s="47" t="str">
        <f aca="false">IFERROR(MATCH(ROW()-4,ポート振替表!$V$5:$V$3507,0),"")</f>
        <v/>
      </c>
    </row>
    <row r="1950" customFormat="false" ht="16.4" hidden="false" customHeight="false" outlineLevel="0" collapsed="false">
      <c r="A1950" s="32" t="str">
        <f aca="false">IF(L1950="","",ROW()-4)</f>
        <v/>
      </c>
      <c r="B1950" s="58" t="str">
        <f aca="false">IF(L1950="","",IF(INDEX(ポート振替表!$W$5:$W$3507,$L1950)="","(なし)",INDEX(ポート振替表!$W$5:$W$3507,$L1950)&amp;""))</f>
        <v/>
      </c>
      <c r="C1950" s="52" t="str">
        <f aca="false">IF(L1950="","",INDEX(ポート振替表!$B$5:$B$3507,$L1950)&amp;" "&amp;INDEX(ポート振替表!$C$5:$C$3507,$L1950)&amp;"  ⇔  "&amp;INDEX(ポート振替表!$H$5:$H$3507,$L1950)&amp;" "&amp;INDEX(ポート振替表!$I$5:$I$3507,$L1950))</f>
        <v/>
      </c>
      <c r="D1950" s="57" t="s">
        <v>158</v>
      </c>
      <c r="E1950" s="59" t="str">
        <f aca="false">IF(L1950="","",IF(INDEX(ポート振替表!$O$5:$O$3507,$L1950)="","(未設定)",INDEX(ポート振替表!$O$5:$O$3507,$L1950)&amp;""))</f>
        <v/>
      </c>
      <c r="F1950" s="52" t="str">
        <f aca="false">IF(L1950="","",INDEX(ポート振替表!$K$5:$K$3507,$L1950)&amp;" "&amp;INDEX(ポート振替表!$L$5:$L$3507,$L1950)&amp;"  ⇔  "&amp;INDEX(ポート振替表!$H$5:$H$3507,$L1950)&amp;" "&amp;INDEX(ポート振替表!$I$5:$I$3507,$L1950))</f>
        <v/>
      </c>
      <c r="G1950" s="57" t="s">
        <v>158</v>
      </c>
      <c r="H1950" s="32" t="str">
        <f aca="false">IF(L1950="","",INDEX(ポート振替表!$N$5:$N$3507,$L1950)&amp;"")</f>
        <v/>
      </c>
      <c r="I1950" s="32" t="str">
        <f aca="false">IF(L1950="","",INDEX(ポート振替表!$P$5:$P$3507,$L1950)&amp;"")</f>
        <v/>
      </c>
      <c r="J1950" s="60" t="str">
        <f aca="false">IF(L1950="","",INDEX(ポート振替表!$M$5:$M$3507,$L1950)&amp;"")</f>
        <v/>
      </c>
      <c r="K1950" s="52" t="str">
        <f aca="false">IF(L1950="","",E1950&amp;CHAR(10)&amp;INDEX(ポート振替表!$K$5:$K$3507,$L1950)&amp;" "&amp;INDEX(ポート振替表!$L$5:$L$3507,$L1950)&amp;CHAR(10)&amp;"⇔ "&amp;INDEX(ポート振替表!$H$5:$H$3507,$L1950)&amp;" "&amp;INDEX(ポート振替表!$I$5:$I$3507,$L1950))</f>
        <v/>
      </c>
      <c r="L1950" s="47" t="str">
        <f aca="false">IFERROR(MATCH(ROW()-4,ポート振替表!$V$5:$V$3507,0),"")</f>
        <v/>
      </c>
    </row>
    <row r="1951" customFormat="false" ht="16.4" hidden="false" customHeight="false" outlineLevel="0" collapsed="false">
      <c r="A1951" s="32" t="str">
        <f aca="false">IF(L1951="","",ROW()-4)</f>
        <v/>
      </c>
      <c r="B1951" s="58" t="str">
        <f aca="false">IF(L1951="","",IF(INDEX(ポート振替表!$W$5:$W$3507,$L1951)="","(なし)",INDEX(ポート振替表!$W$5:$W$3507,$L1951)&amp;""))</f>
        <v/>
      </c>
      <c r="C1951" s="52" t="str">
        <f aca="false">IF(L1951="","",INDEX(ポート振替表!$B$5:$B$3507,$L1951)&amp;" "&amp;INDEX(ポート振替表!$C$5:$C$3507,$L1951)&amp;"  ⇔  "&amp;INDEX(ポート振替表!$H$5:$H$3507,$L1951)&amp;" "&amp;INDEX(ポート振替表!$I$5:$I$3507,$L1951))</f>
        <v/>
      </c>
      <c r="D1951" s="57" t="s">
        <v>158</v>
      </c>
      <c r="E1951" s="59" t="str">
        <f aca="false">IF(L1951="","",IF(INDEX(ポート振替表!$O$5:$O$3507,$L1951)="","(未設定)",INDEX(ポート振替表!$O$5:$O$3507,$L1951)&amp;""))</f>
        <v/>
      </c>
      <c r="F1951" s="52" t="str">
        <f aca="false">IF(L1951="","",INDEX(ポート振替表!$K$5:$K$3507,$L1951)&amp;" "&amp;INDEX(ポート振替表!$L$5:$L$3507,$L1951)&amp;"  ⇔  "&amp;INDEX(ポート振替表!$H$5:$H$3507,$L1951)&amp;" "&amp;INDEX(ポート振替表!$I$5:$I$3507,$L1951))</f>
        <v/>
      </c>
      <c r="G1951" s="57" t="s">
        <v>158</v>
      </c>
      <c r="H1951" s="32" t="str">
        <f aca="false">IF(L1951="","",INDEX(ポート振替表!$N$5:$N$3507,$L1951)&amp;"")</f>
        <v/>
      </c>
      <c r="I1951" s="32" t="str">
        <f aca="false">IF(L1951="","",INDEX(ポート振替表!$P$5:$P$3507,$L1951)&amp;"")</f>
        <v/>
      </c>
      <c r="J1951" s="60" t="str">
        <f aca="false">IF(L1951="","",INDEX(ポート振替表!$M$5:$M$3507,$L1951)&amp;"")</f>
        <v/>
      </c>
      <c r="K1951" s="52" t="str">
        <f aca="false">IF(L1951="","",E1951&amp;CHAR(10)&amp;INDEX(ポート振替表!$K$5:$K$3507,$L1951)&amp;" "&amp;INDEX(ポート振替表!$L$5:$L$3507,$L1951)&amp;CHAR(10)&amp;"⇔ "&amp;INDEX(ポート振替表!$H$5:$H$3507,$L1951)&amp;" "&amp;INDEX(ポート振替表!$I$5:$I$3507,$L1951))</f>
        <v/>
      </c>
      <c r="L1951" s="47" t="str">
        <f aca="false">IFERROR(MATCH(ROW()-4,ポート振替表!$V$5:$V$3507,0),"")</f>
        <v/>
      </c>
    </row>
    <row r="1952" customFormat="false" ht="16.4" hidden="false" customHeight="false" outlineLevel="0" collapsed="false">
      <c r="A1952" s="32" t="str">
        <f aca="false">IF(L1952="","",ROW()-4)</f>
        <v/>
      </c>
      <c r="B1952" s="58" t="str">
        <f aca="false">IF(L1952="","",IF(INDEX(ポート振替表!$W$5:$W$3507,$L1952)="","(なし)",INDEX(ポート振替表!$W$5:$W$3507,$L1952)&amp;""))</f>
        <v/>
      </c>
      <c r="C1952" s="52" t="str">
        <f aca="false">IF(L1952="","",INDEX(ポート振替表!$B$5:$B$3507,$L1952)&amp;" "&amp;INDEX(ポート振替表!$C$5:$C$3507,$L1952)&amp;"  ⇔  "&amp;INDEX(ポート振替表!$H$5:$H$3507,$L1952)&amp;" "&amp;INDEX(ポート振替表!$I$5:$I$3507,$L1952))</f>
        <v/>
      </c>
      <c r="D1952" s="57" t="s">
        <v>158</v>
      </c>
      <c r="E1952" s="59" t="str">
        <f aca="false">IF(L1952="","",IF(INDEX(ポート振替表!$O$5:$O$3507,$L1952)="","(未設定)",INDEX(ポート振替表!$O$5:$O$3507,$L1952)&amp;""))</f>
        <v/>
      </c>
      <c r="F1952" s="52" t="str">
        <f aca="false">IF(L1952="","",INDEX(ポート振替表!$K$5:$K$3507,$L1952)&amp;" "&amp;INDEX(ポート振替表!$L$5:$L$3507,$L1952)&amp;"  ⇔  "&amp;INDEX(ポート振替表!$H$5:$H$3507,$L1952)&amp;" "&amp;INDEX(ポート振替表!$I$5:$I$3507,$L1952))</f>
        <v/>
      </c>
      <c r="G1952" s="57" t="s">
        <v>158</v>
      </c>
      <c r="H1952" s="32" t="str">
        <f aca="false">IF(L1952="","",INDEX(ポート振替表!$N$5:$N$3507,$L1952)&amp;"")</f>
        <v/>
      </c>
      <c r="I1952" s="32" t="str">
        <f aca="false">IF(L1952="","",INDEX(ポート振替表!$P$5:$P$3507,$L1952)&amp;"")</f>
        <v/>
      </c>
      <c r="J1952" s="60" t="str">
        <f aca="false">IF(L1952="","",INDEX(ポート振替表!$M$5:$M$3507,$L1952)&amp;"")</f>
        <v/>
      </c>
      <c r="K1952" s="52" t="str">
        <f aca="false">IF(L1952="","",E1952&amp;CHAR(10)&amp;INDEX(ポート振替表!$K$5:$K$3507,$L1952)&amp;" "&amp;INDEX(ポート振替表!$L$5:$L$3507,$L1952)&amp;CHAR(10)&amp;"⇔ "&amp;INDEX(ポート振替表!$H$5:$H$3507,$L1952)&amp;" "&amp;INDEX(ポート振替表!$I$5:$I$3507,$L1952))</f>
        <v/>
      </c>
      <c r="L1952" s="47" t="str">
        <f aca="false">IFERROR(MATCH(ROW()-4,ポート振替表!$V$5:$V$3507,0),"")</f>
        <v/>
      </c>
    </row>
    <row r="1953" customFormat="false" ht="16.4" hidden="false" customHeight="false" outlineLevel="0" collapsed="false">
      <c r="A1953" s="32" t="str">
        <f aca="false">IF(L1953="","",ROW()-4)</f>
        <v/>
      </c>
      <c r="B1953" s="58" t="str">
        <f aca="false">IF(L1953="","",IF(INDEX(ポート振替表!$W$5:$W$3507,$L1953)="","(なし)",INDEX(ポート振替表!$W$5:$W$3507,$L1953)&amp;""))</f>
        <v/>
      </c>
      <c r="C1953" s="52" t="str">
        <f aca="false">IF(L1953="","",INDEX(ポート振替表!$B$5:$B$3507,$L1953)&amp;" "&amp;INDEX(ポート振替表!$C$5:$C$3507,$L1953)&amp;"  ⇔  "&amp;INDEX(ポート振替表!$H$5:$H$3507,$L1953)&amp;" "&amp;INDEX(ポート振替表!$I$5:$I$3507,$L1953))</f>
        <v/>
      </c>
      <c r="D1953" s="57" t="s">
        <v>158</v>
      </c>
      <c r="E1953" s="59" t="str">
        <f aca="false">IF(L1953="","",IF(INDEX(ポート振替表!$O$5:$O$3507,$L1953)="","(未設定)",INDEX(ポート振替表!$O$5:$O$3507,$L1953)&amp;""))</f>
        <v/>
      </c>
      <c r="F1953" s="52" t="str">
        <f aca="false">IF(L1953="","",INDEX(ポート振替表!$K$5:$K$3507,$L1953)&amp;" "&amp;INDEX(ポート振替表!$L$5:$L$3507,$L1953)&amp;"  ⇔  "&amp;INDEX(ポート振替表!$H$5:$H$3507,$L1953)&amp;" "&amp;INDEX(ポート振替表!$I$5:$I$3507,$L1953))</f>
        <v/>
      </c>
      <c r="G1953" s="57" t="s">
        <v>158</v>
      </c>
      <c r="H1953" s="32" t="str">
        <f aca="false">IF(L1953="","",INDEX(ポート振替表!$N$5:$N$3507,$L1953)&amp;"")</f>
        <v/>
      </c>
      <c r="I1953" s="32" t="str">
        <f aca="false">IF(L1953="","",INDEX(ポート振替表!$P$5:$P$3507,$L1953)&amp;"")</f>
        <v/>
      </c>
      <c r="J1953" s="60" t="str">
        <f aca="false">IF(L1953="","",INDEX(ポート振替表!$M$5:$M$3507,$L1953)&amp;"")</f>
        <v/>
      </c>
      <c r="K1953" s="52" t="str">
        <f aca="false">IF(L1953="","",E1953&amp;CHAR(10)&amp;INDEX(ポート振替表!$K$5:$K$3507,$L1953)&amp;" "&amp;INDEX(ポート振替表!$L$5:$L$3507,$L1953)&amp;CHAR(10)&amp;"⇔ "&amp;INDEX(ポート振替表!$H$5:$H$3507,$L1953)&amp;" "&amp;INDEX(ポート振替表!$I$5:$I$3507,$L1953))</f>
        <v/>
      </c>
      <c r="L1953" s="47" t="str">
        <f aca="false">IFERROR(MATCH(ROW()-4,ポート振替表!$V$5:$V$3507,0),"")</f>
        <v/>
      </c>
    </row>
    <row r="1954" customFormat="false" ht="16.4" hidden="false" customHeight="false" outlineLevel="0" collapsed="false">
      <c r="A1954" s="32" t="str">
        <f aca="false">IF(L1954="","",ROW()-4)</f>
        <v/>
      </c>
      <c r="B1954" s="58" t="str">
        <f aca="false">IF(L1954="","",IF(INDEX(ポート振替表!$W$5:$W$3507,$L1954)="","(なし)",INDEX(ポート振替表!$W$5:$W$3507,$L1954)&amp;""))</f>
        <v/>
      </c>
      <c r="C1954" s="52" t="str">
        <f aca="false">IF(L1954="","",INDEX(ポート振替表!$B$5:$B$3507,$L1954)&amp;" "&amp;INDEX(ポート振替表!$C$5:$C$3507,$L1954)&amp;"  ⇔  "&amp;INDEX(ポート振替表!$H$5:$H$3507,$L1954)&amp;" "&amp;INDEX(ポート振替表!$I$5:$I$3507,$L1954))</f>
        <v/>
      </c>
      <c r="D1954" s="57" t="s">
        <v>158</v>
      </c>
      <c r="E1954" s="59" t="str">
        <f aca="false">IF(L1954="","",IF(INDEX(ポート振替表!$O$5:$O$3507,$L1954)="","(未設定)",INDEX(ポート振替表!$O$5:$O$3507,$L1954)&amp;""))</f>
        <v/>
      </c>
      <c r="F1954" s="52" t="str">
        <f aca="false">IF(L1954="","",INDEX(ポート振替表!$K$5:$K$3507,$L1954)&amp;" "&amp;INDEX(ポート振替表!$L$5:$L$3507,$L1954)&amp;"  ⇔  "&amp;INDEX(ポート振替表!$H$5:$H$3507,$L1954)&amp;" "&amp;INDEX(ポート振替表!$I$5:$I$3507,$L1954))</f>
        <v/>
      </c>
      <c r="G1954" s="57" t="s">
        <v>158</v>
      </c>
      <c r="H1954" s="32" t="str">
        <f aca="false">IF(L1954="","",INDEX(ポート振替表!$N$5:$N$3507,$L1954)&amp;"")</f>
        <v/>
      </c>
      <c r="I1954" s="32" t="str">
        <f aca="false">IF(L1954="","",INDEX(ポート振替表!$P$5:$P$3507,$L1954)&amp;"")</f>
        <v/>
      </c>
      <c r="J1954" s="60" t="str">
        <f aca="false">IF(L1954="","",INDEX(ポート振替表!$M$5:$M$3507,$L1954)&amp;"")</f>
        <v/>
      </c>
      <c r="K1954" s="52" t="str">
        <f aca="false">IF(L1954="","",E1954&amp;CHAR(10)&amp;INDEX(ポート振替表!$K$5:$K$3507,$L1954)&amp;" "&amp;INDEX(ポート振替表!$L$5:$L$3507,$L1954)&amp;CHAR(10)&amp;"⇔ "&amp;INDEX(ポート振替表!$H$5:$H$3507,$L1954)&amp;" "&amp;INDEX(ポート振替表!$I$5:$I$3507,$L1954))</f>
        <v/>
      </c>
      <c r="L1954" s="47" t="str">
        <f aca="false">IFERROR(MATCH(ROW()-4,ポート振替表!$V$5:$V$3507,0),"")</f>
        <v/>
      </c>
    </row>
    <row r="1955" customFormat="false" ht="16.4" hidden="false" customHeight="false" outlineLevel="0" collapsed="false">
      <c r="A1955" s="32" t="str">
        <f aca="false">IF(L1955="","",ROW()-4)</f>
        <v/>
      </c>
      <c r="B1955" s="58" t="str">
        <f aca="false">IF(L1955="","",IF(INDEX(ポート振替表!$W$5:$W$3507,$L1955)="","(なし)",INDEX(ポート振替表!$W$5:$W$3507,$L1955)&amp;""))</f>
        <v/>
      </c>
      <c r="C1955" s="52" t="str">
        <f aca="false">IF(L1955="","",INDEX(ポート振替表!$B$5:$B$3507,$L1955)&amp;" "&amp;INDEX(ポート振替表!$C$5:$C$3507,$L1955)&amp;"  ⇔  "&amp;INDEX(ポート振替表!$H$5:$H$3507,$L1955)&amp;" "&amp;INDEX(ポート振替表!$I$5:$I$3507,$L1955))</f>
        <v/>
      </c>
      <c r="D1955" s="57" t="s">
        <v>158</v>
      </c>
      <c r="E1955" s="59" t="str">
        <f aca="false">IF(L1955="","",IF(INDEX(ポート振替表!$O$5:$O$3507,$L1955)="","(未設定)",INDEX(ポート振替表!$O$5:$O$3507,$L1955)&amp;""))</f>
        <v/>
      </c>
      <c r="F1955" s="52" t="str">
        <f aca="false">IF(L1955="","",INDEX(ポート振替表!$K$5:$K$3507,$L1955)&amp;" "&amp;INDEX(ポート振替表!$L$5:$L$3507,$L1955)&amp;"  ⇔  "&amp;INDEX(ポート振替表!$H$5:$H$3507,$L1955)&amp;" "&amp;INDEX(ポート振替表!$I$5:$I$3507,$L1955))</f>
        <v/>
      </c>
      <c r="G1955" s="57" t="s">
        <v>158</v>
      </c>
      <c r="H1955" s="32" t="str">
        <f aca="false">IF(L1955="","",INDEX(ポート振替表!$N$5:$N$3507,$L1955)&amp;"")</f>
        <v/>
      </c>
      <c r="I1955" s="32" t="str">
        <f aca="false">IF(L1955="","",INDEX(ポート振替表!$P$5:$P$3507,$L1955)&amp;"")</f>
        <v/>
      </c>
      <c r="J1955" s="60" t="str">
        <f aca="false">IF(L1955="","",INDEX(ポート振替表!$M$5:$M$3507,$L1955)&amp;"")</f>
        <v/>
      </c>
      <c r="K1955" s="52" t="str">
        <f aca="false">IF(L1955="","",E1955&amp;CHAR(10)&amp;INDEX(ポート振替表!$K$5:$K$3507,$L1955)&amp;" "&amp;INDEX(ポート振替表!$L$5:$L$3507,$L1955)&amp;CHAR(10)&amp;"⇔ "&amp;INDEX(ポート振替表!$H$5:$H$3507,$L1955)&amp;" "&amp;INDEX(ポート振替表!$I$5:$I$3507,$L1955))</f>
        <v/>
      </c>
      <c r="L1955" s="47" t="str">
        <f aca="false">IFERROR(MATCH(ROW()-4,ポート振替表!$V$5:$V$3507,0),"")</f>
        <v/>
      </c>
    </row>
    <row r="1956" customFormat="false" ht="16.4" hidden="false" customHeight="false" outlineLevel="0" collapsed="false">
      <c r="A1956" s="32" t="str">
        <f aca="false">IF(L1956="","",ROW()-4)</f>
        <v/>
      </c>
      <c r="B1956" s="58" t="str">
        <f aca="false">IF(L1956="","",IF(INDEX(ポート振替表!$W$5:$W$3507,$L1956)="","(なし)",INDEX(ポート振替表!$W$5:$W$3507,$L1956)&amp;""))</f>
        <v/>
      </c>
      <c r="C1956" s="52" t="str">
        <f aca="false">IF(L1956="","",INDEX(ポート振替表!$B$5:$B$3507,$L1956)&amp;" "&amp;INDEX(ポート振替表!$C$5:$C$3507,$L1956)&amp;"  ⇔  "&amp;INDEX(ポート振替表!$H$5:$H$3507,$L1956)&amp;" "&amp;INDEX(ポート振替表!$I$5:$I$3507,$L1956))</f>
        <v/>
      </c>
      <c r="D1956" s="57" t="s">
        <v>158</v>
      </c>
      <c r="E1956" s="59" t="str">
        <f aca="false">IF(L1956="","",IF(INDEX(ポート振替表!$O$5:$O$3507,$L1956)="","(未設定)",INDEX(ポート振替表!$O$5:$O$3507,$L1956)&amp;""))</f>
        <v/>
      </c>
      <c r="F1956" s="52" t="str">
        <f aca="false">IF(L1956="","",INDEX(ポート振替表!$K$5:$K$3507,$L1956)&amp;" "&amp;INDEX(ポート振替表!$L$5:$L$3507,$L1956)&amp;"  ⇔  "&amp;INDEX(ポート振替表!$H$5:$H$3507,$L1956)&amp;" "&amp;INDEX(ポート振替表!$I$5:$I$3507,$L1956))</f>
        <v/>
      </c>
      <c r="G1956" s="57" t="s">
        <v>158</v>
      </c>
      <c r="H1956" s="32" t="str">
        <f aca="false">IF(L1956="","",INDEX(ポート振替表!$N$5:$N$3507,$L1956)&amp;"")</f>
        <v/>
      </c>
      <c r="I1956" s="32" t="str">
        <f aca="false">IF(L1956="","",INDEX(ポート振替表!$P$5:$P$3507,$L1956)&amp;"")</f>
        <v/>
      </c>
      <c r="J1956" s="60" t="str">
        <f aca="false">IF(L1956="","",INDEX(ポート振替表!$M$5:$M$3507,$L1956)&amp;"")</f>
        <v/>
      </c>
      <c r="K1956" s="52" t="str">
        <f aca="false">IF(L1956="","",E1956&amp;CHAR(10)&amp;INDEX(ポート振替表!$K$5:$K$3507,$L1956)&amp;" "&amp;INDEX(ポート振替表!$L$5:$L$3507,$L1956)&amp;CHAR(10)&amp;"⇔ "&amp;INDEX(ポート振替表!$H$5:$H$3507,$L1956)&amp;" "&amp;INDEX(ポート振替表!$I$5:$I$3507,$L1956))</f>
        <v/>
      </c>
      <c r="L1956" s="47" t="str">
        <f aca="false">IFERROR(MATCH(ROW()-4,ポート振替表!$V$5:$V$3507,0),"")</f>
        <v/>
      </c>
    </row>
    <row r="1957" customFormat="false" ht="16.4" hidden="false" customHeight="false" outlineLevel="0" collapsed="false">
      <c r="A1957" s="32" t="str">
        <f aca="false">IF(L1957="","",ROW()-4)</f>
        <v/>
      </c>
      <c r="B1957" s="58" t="str">
        <f aca="false">IF(L1957="","",IF(INDEX(ポート振替表!$W$5:$W$3507,$L1957)="","(なし)",INDEX(ポート振替表!$W$5:$W$3507,$L1957)&amp;""))</f>
        <v/>
      </c>
      <c r="C1957" s="52" t="str">
        <f aca="false">IF(L1957="","",INDEX(ポート振替表!$B$5:$B$3507,$L1957)&amp;" "&amp;INDEX(ポート振替表!$C$5:$C$3507,$L1957)&amp;"  ⇔  "&amp;INDEX(ポート振替表!$H$5:$H$3507,$L1957)&amp;" "&amp;INDEX(ポート振替表!$I$5:$I$3507,$L1957))</f>
        <v/>
      </c>
      <c r="D1957" s="57" t="s">
        <v>158</v>
      </c>
      <c r="E1957" s="59" t="str">
        <f aca="false">IF(L1957="","",IF(INDEX(ポート振替表!$O$5:$O$3507,$L1957)="","(未設定)",INDEX(ポート振替表!$O$5:$O$3507,$L1957)&amp;""))</f>
        <v/>
      </c>
      <c r="F1957" s="52" t="str">
        <f aca="false">IF(L1957="","",INDEX(ポート振替表!$K$5:$K$3507,$L1957)&amp;" "&amp;INDEX(ポート振替表!$L$5:$L$3507,$L1957)&amp;"  ⇔  "&amp;INDEX(ポート振替表!$H$5:$H$3507,$L1957)&amp;" "&amp;INDEX(ポート振替表!$I$5:$I$3507,$L1957))</f>
        <v/>
      </c>
      <c r="G1957" s="57" t="s">
        <v>158</v>
      </c>
      <c r="H1957" s="32" t="str">
        <f aca="false">IF(L1957="","",INDEX(ポート振替表!$N$5:$N$3507,$L1957)&amp;"")</f>
        <v/>
      </c>
      <c r="I1957" s="32" t="str">
        <f aca="false">IF(L1957="","",INDEX(ポート振替表!$P$5:$P$3507,$L1957)&amp;"")</f>
        <v/>
      </c>
      <c r="J1957" s="60" t="str">
        <f aca="false">IF(L1957="","",INDEX(ポート振替表!$M$5:$M$3507,$L1957)&amp;"")</f>
        <v/>
      </c>
      <c r="K1957" s="52" t="str">
        <f aca="false">IF(L1957="","",E1957&amp;CHAR(10)&amp;INDEX(ポート振替表!$K$5:$K$3507,$L1957)&amp;" "&amp;INDEX(ポート振替表!$L$5:$L$3507,$L1957)&amp;CHAR(10)&amp;"⇔ "&amp;INDEX(ポート振替表!$H$5:$H$3507,$L1957)&amp;" "&amp;INDEX(ポート振替表!$I$5:$I$3507,$L1957))</f>
        <v/>
      </c>
      <c r="L1957" s="47" t="str">
        <f aca="false">IFERROR(MATCH(ROW()-4,ポート振替表!$V$5:$V$3507,0),"")</f>
        <v/>
      </c>
    </row>
    <row r="1958" customFormat="false" ht="16.4" hidden="false" customHeight="false" outlineLevel="0" collapsed="false">
      <c r="A1958" s="32" t="str">
        <f aca="false">IF(L1958="","",ROW()-4)</f>
        <v/>
      </c>
      <c r="B1958" s="58" t="str">
        <f aca="false">IF(L1958="","",IF(INDEX(ポート振替表!$W$5:$W$3507,$L1958)="","(なし)",INDEX(ポート振替表!$W$5:$W$3507,$L1958)&amp;""))</f>
        <v/>
      </c>
      <c r="C1958" s="52" t="str">
        <f aca="false">IF(L1958="","",INDEX(ポート振替表!$B$5:$B$3507,$L1958)&amp;" "&amp;INDEX(ポート振替表!$C$5:$C$3507,$L1958)&amp;"  ⇔  "&amp;INDEX(ポート振替表!$H$5:$H$3507,$L1958)&amp;" "&amp;INDEX(ポート振替表!$I$5:$I$3507,$L1958))</f>
        <v/>
      </c>
      <c r="D1958" s="57" t="s">
        <v>158</v>
      </c>
      <c r="E1958" s="59" t="str">
        <f aca="false">IF(L1958="","",IF(INDEX(ポート振替表!$O$5:$O$3507,$L1958)="","(未設定)",INDEX(ポート振替表!$O$5:$O$3507,$L1958)&amp;""))</f>
        <v/>
      </c>
      <c r="F1958" s="52" t="str">
        <f aca="false">IF(L1958="","",INDEX(ポート振替表!$K$5:$K$3507,$L1958)&amp;" "&amp;INDEX(ポート振替表!$L$5:$L$3507,$L1958)&amp;"  ⇔  "&amp;INDEX(ポート振替表!$H$5:$H$3507,$L1958)&amp;" "&amp;INDEX(ポート振替表!$I$5:$I$3507,$L1958))</f>
        <v/>
      </c>
      <c r="G1958" s="57" t="s">
        <v>158</v>
      </c>
      <c r="H1958" s="32" t="str">
        <f aca="false">IF(L1958="","",INDEX(ポート振替表!$N$5:$N$3507,$L1958)&amp;"")</f>
        <v/>
      </c>
      <c r="I1958" s="32" t="str">
        <f aca="false">IF(L1958="","",INDEX(ポート振替表!$P$5:$P$3507,$L1958)&amp;"")</f>
        <v/>
      </c>
      <c r="J1958" s="60" t="str">
        <f aca="false">IF(L1958="","",INDEX(ポート振替表!$M$5:$M$3507,$L1958)&amp;"")</f>
        <v/>
      </c>
      <c r="K1958" s="52" t="str">
        <f aca="false">IF(L1958="","",E1958&amp;CHAR(10)&amp;INDEX(ポート振替表!$K$5:$K$3507,$L1958)&amp;" "&amp;INDEX(ポート振替表!$L$5:$L$3507,$L1958)&amp;CHAR(10)&amp;"⇔ "&amp;INDEX(ポート振替表!$H$5:$H$3507,$L1958)&amp;" "&amp;INDEX(ポート振替表!$I$5:$I$3507,$L1958))</f>
        <v/>
      </c>
      <c r="L1958" s="47" t="str">
        <f aca="false">IFERROR(MATCH(ROW()-4,ポート振替表!$V$5:$V$3507,0),"")</f>
        <v/>
      </c>
    </row>
    <row r="1959" customFormat="false" ht="16.4" hidden="false" customHeight="false" outlineLevel="0" collapsed="false">
      <c r="A1959" s="32" t="str">
        <f aca="false">IF(L1959="","",ROW()-4)</f>
        <v/>
      </c>
      <c r="B1959" s="58" t="str">
        <f aca="false">IF(L1959="","",IF(INDEX(ポート振替表!$W$5:$W$3507,$L1959)="","(なし)",INDEX(ポート振替表!$W$5:$W$3507,$L1959)&amp;""))</f>
        <v/>
      </c>
      <c r="C1959" s="52" t="str">
        <f aca="false">IF(L1959="","",INDEX(ポート振替表!$B$5:$B$3507,$L1959)&amp;" "&amp;INDEX(ポート振替表!$C$5:$C$3507,$L1959)&amp;"  ⇔  "&amp;INDEX(ポート振替表!$H$5:$H$3507,$L1959)&amp;" "&amp;INDEX(ポート振替表!$I$5:$I$3507,$L1959))</f>
        <v/>
      </c>
      <c r="D1959" s="57" t="s">
        <v>158</v>
      </c>
      <c r="E1959" s="59" t="str">
        <f aca="false">IF(L1959="","",IF(INDEX(ポート振替表!$O$5:$O$3507,$L1959)="","(未設定)",INDEX(ポート振替表!$O$5:$O$3507,$L1959)&amp;""))</f>
        <v/>
      </c>
      <c r="F1959" s="52" t="str">
        <f aca="false">IF(L1959="","",INDEX(ポート振替表!$K$5:$K$3507,$L1959)&amp;" "&amp;INDEX(ポート振替表!$L$5:$L$3507,$L1959)&amp;"  ⇔  "&amp;INDEX(ポート振替表!$H$5:$H$3507,$L1959)&amp;" "&amp;INDEX(ポート振替表!$I$5:$I$3507,$L1959))</f>
        <v/>
      </c>
      <c r="G1959" s="57" t="s">
        <v>158</v>
      </c>
      <c r="H1959" s="32" t="str">
        <f aca="false">IF(L1959="","",INDEX(ポート振替表!$N$5:$N$3507,$L1959)&amp;"")</f>
        <v/>
      </c>
      <c r="I1959" s="32" t="str">
        <f aca="false">IF(L1959="","",INDEX(ポート振替表!$P$5:$P$3507,$L1959)&amp;"")</f>
        <v/>
      </c>
      <c r="J1959" s="60" t="str">
        <f aca="false">IF(L1959="","",INDEX(ポート振替表!$M$5:$M$3507,$L1959)&amp;"")</f>
        <v/>
      </c>
      <c r="K1959" s="52" t="str">
        <f aca="false">IF(L1959="","",E1959&amp;CHAR(10)&amp;INDEX(ポート振替表!$K$5:$K$3507,$L1959)&amp;" "&amp;INDEX(ポート振替表!$L$5:$L$3507,$L1959)&amp;CHAR(10)&amp;"⇔ "&amp;INDEX(ポート振替表!$H$5:$H$3507,$L1959)&amp;" "&amp;INDEX(ポート振替表!$I$5:$I$3507,$L1959))</f>
        <v/>
      </c>
      <c r="L1959" s="47" t="str">
        <f aca="false">IFERROR(MATCH(ROW()-4,ポート振替表!$V$5:$V$3507,0),"")</f>
        <v/>
      </c>
    </row>
    <row r="1960" customFormat="false" ht="16.4" hidden="false" customHeight="false" outlineLevel="0" collapsed="false">
      <c r="A1960" s="32" t="str">
        <f aca="false">IF(L1960="","",ROW()-4)</f>
        <v/>
      </c>
      <c r="B1960" s="58" t="str">
        <f aca="false">IF(L1960="","",IF(INDEX(ポート振替表!$W$5:$W$3507,$L1960)="","(なし)",INDEX(ポート振替表!$W$5:$W$3507,$L1960)&amp;""))</f>
        <v/>
      </c>
      <c r="C1960" s="52" t="str">
        <f aca="false">IF(L1960="","",INDEX(ポート振替表!$B$5:$B$3507,$L1960)&amp;" "&amp;INDEX(ポート振替表!$C$5:$C$3507,$L1960)&amp;"  ⇔  "&amp;INDEX(ポート振替表!$H$5:$H$3507,$L1960)&amp;" "&amp;INDEX(ポート振替表!$I$5:$I$3507,$L1960))</f>
        <v/>
      </c>
      <c r="D1960" s="57" t="s">
        <v>158</v>
      </c>
      <c r="E1960" s="59" t="str">
        <f aca="false">IF(L1960="","",IF(INDEX(ポート振替表!$O$5:$O$3507,$L1960)="","(未設定)",INDEX(ポート振替表!$O$5:$O$3507,$L1960)&amp;""))</f>
        <v/>
      </c>
      <c r="F1960" s="52" t="str">
        <f aca="false">IF(L1960="","",INDEX(ポート振替表!$K$5:$K$3507,$L1960)&amp;" "&amp;INDEX(ポート振替表!$L$5:$L$3507,$L1960)&amp;"  ⇔  "&amp;INDEX(ポート振替表!$H$5:$H$3507,$L1960)&amp;" "&amp;INDEX(ポート振替表!$I$5:$I$3507,$L1960))</f>
        <v/>
      </c>
      <c r="G1960" s="57" t="s">
        <v>158</v>
      </c>
      <c r="H1960" s="32" t="str">
        <f aca="false">IF(L1960="","",INDEX(ポート振替表!$N$5:$N$3507,$L1960)&amp;"")</f>
        <v/>
      </c>
      <c r="I1960" s="32" t="str">
        <f aca="false">IF(L1960="","",INDEX(ポート振替表!$P$5:$P$3507,$L1960)&amp;"")</f>
        <v/>
      </c>
      <c r="J1960" s="60" t="str">
        <f aca="false">IF(L1960="","",INDEX(ポート振替表!$M$5:$M$3507,$L1960)&amp;"")</f>
        <v/>
      </c>
      <c r="K1960" s="52" t="str">
        <f aca="false">IF(L1960="","",E1960&amp;CHAR(10)&amp;INDEX(ポート振替表!$K$5:$K$3507,$L1960)&amp;" "&amp;INDEX(ポート振替表!$L$5:$L$3507,$L1960)&amp;CHAR(10)&amp;"⇔ "&amp;INDEX(ポート振替表!$H$5:$H$3507,$L1960)&amp;" "&amp;INDEX(ポート振替表!$I$5:$I$3507,$L1960))</f>
        <v/>
      </c>
      <c r="L1960" s="47" t="str">
        <f aca="false">IFERROR(MATCH(ROW()-4,ポート振替表!$V$5:$V$3507,0),"")</f>
        <v/>
      </c>
    </row>
    <row r="1961" customFormat="false" ht="16.4" hidden="false" customHeight="false" outlineLevel="0" collapsed="false">
      <c r="A1961" s="32" t="str">
        <f aca="false">IF(L1961="","",ROW()-4)</f>
        <v/>
      </c>
      <c r="B1961" s="58" t="str">
        <f aca="false">IF(L1961="","",IF(INDEX(ポート振替表!$W$5:$W$3507,$L1961)="","(なし)",INDEX(ポート振替表!$W$5:$W$3507,$L1961)&amp;""))</f>
        <v/>
      </c>
      <c r="C1961" s="52" t="str">
        <f aca="false">IF(L1961="","",INDEX(ポート振替表!$B$5:$B$3507,$L1961)&amp;" "&amp;INDEX(ポート振替表!$C$5:$C$3507,$L1961)&amp;"  ⇔  "&amp;INDEX(ポート振替表!$H$5:$H$3507,$L1961)&amp;" "&amp;INDEX(ポート振替表!$I$5:$I$3507,$L1961))</f>
        <v/>
      </c>
      <c r="D1961" s="57" t="s">
        <v>158</v>
      </c>
      <c r="E1961" s="59" t="str">
        <f aca="false">IF(L1961="","",IF(INDEX(ポート振替表!$O$5:$O$3507,$L1961)="","(未設定)",INDEX(ポート振替表!$O$5:$O$3507,$L1961)&amp;""))</f>
        <v/>
      </c>
      <c r="F1961" s="52" t="str">
        <f aca="false">IF(L1961="","",INDEX(ポート振替表!$K$5:$K$3507,$L1961)&amp;" "&amp;INDEX(ポート振替表!$L$5:$L$3507,$L1961)&amp;"  ⇔  "&amp;INDEX(ポート振替表!$H$5:$H$3507,$L1961)&amp;" "&amp;INDEX(ポート振替表!$I$5:$I$3507,$L1961))</f>
        <v/>
      </c>
      <c r="G1961" s="57" t="s">
        <v>158</v>
      </c>
      <c r="H1961" s="32" t="str">
        <f aca="false">IF(L1961="","",INDEX(ポート振替表!$N$5:$N$3507,$L1961)&amp;"")</f>
        <v/>
      </c>
      <c r="I1961" s="32" t="str">
        <f aca="false">IF(L1961="","",INDEX(ポート振替表!$P$5:$P$3507,$L1961)&amp;"")</f>
        <v/>
      </c>
      <c r="J1961" s="60" t="str">
        <f aca="false">IF(L1961="","",INDEX(ポート振替表!$M$5:$M$3507,$L1961)&amp;"")</f>
        <v/>
      </c>
      <c r="K1961" s="52" t="str">
        <f aca="false">IF(L1961="","",E1961&amp;CHAR(10)&amp;INDEX(ポート振替表!$K$5:$K$3507,$L1961)&amp;" "&amp;INDEX(ポート振替表!$L$5:$L$3507,$L1961)&amp;CHAR(10)&amp;"⇔ "&amp;INDEX(ポート振替表!$H$5:$H$3507,$L1961)&amp;" "&amp;INDEX(ポート振替表!$I$5:$I$3507,$L1961))</f>
        <v/>
      </c>
      <c r="L1961" s="47" t="str">
        <f aca="false">IFERROR(MATCH(ROW()-4,ポート振替表!$V$5:$V$3507,0),"")</f>
        <v/>
      </c>
    </row>
    <row r="1962" customFormat="false" ht="16.4" hidden="false" customHeight="false" outlineLevel="0" collapsed="false">
      <c r="A1962" s="32" t="str">
        <f aca="false">IF(L1962="","",ROW()-4)</f>
        <v/>
      </c>
      <c r="B1962" s="58" t="str">
        <f aca="false">IF(L1962="","",IF(INDEX(ポート振替表!$W$5:$W$3507,$L1962)="","(なし)",INDEX(ポート振替表!$W$5:$W$3507,$L1962)&amp;""))</f>
        <v/>
      </c>
      <c r="C1962" s="52" t="str">
        <f aca="false">IF(L1962="","",INDEX(ポート振替表!$B$5:$B$3507,$L1962)&amp;" "&amp;INDEX(ポート振替表!$C$5:$C$3507,$L1962)&amp;"  ⇔  "&amp;INDEX(ポート振替表!$H$5:$H$3507,$L1962)&amp;" "&amp;INDEX(ポート振替表!$I$5:$I$3507,$L1962))</f>
        <v/>
      </c>
      <c r="D1962" s="57" t="s">
        <v>158</v>
      </c>
      <c r="E1962" s="59" t="str">
        <f aca="false">IF(L1962="","",IF(INDEX(ポート振替表!$O$5:$O$3507,$L1962)="","(未設定)",INDEX(ポート振替表!$O$5:$O$3507,$L1962)&amp;""))</f>
        <v/>
      </c>
      <c r="F1962" s="52" t="str">
        <f aca="false">IF(L1962="","",INDEX(ポート振替表!$K$5:$K$3507,$L1962)&amp;" "&amp;INDEX(ポート振替表!$L$5:$L$3507,$L1962)&amp;"  ⇔  "&amp;INDEX(ポート振替表!$H$5:$H$3507,$L1962)&amp;" "&amp;INDEX(ポート振替表!$I$5:$I$3507,$L1962))</f>
        <v/>
      </c>
      <c r="G1962" s="57" t="s">
        <v>158</v>
      </c>
      <c r="H1962" s="32" t="str">
        <f aca="false">IF(L1962="","",INDEX(ポート振替表!$N$5:$N$3507,$L1962)&amp;"")</f>
        <v/>
      </c>
      <c r="I1962" s="32" t="str">
        <f aca="false">IF(L1962="","",INDEX(ポート振替表!$P$5:$P$3507,$L1962)&amp;"")</f>
        <v/>
      </c>
      <c r="J1962" s="60" t="str">
        <f aca="false">IF(L1962="","",INDEX(ポート振替表!$M$5:$M$3507,$L1962)&amp;"")</f>
        <v/>
      </c>
      <c r="K1962" s="52" t="str">
        <f aca="false">IF(L1962="","",E1962&amp;CHAR(10)&amp;INDEX(ポート振替表!$K$5:$K$3507,$L1962)&amp;" "&amp;INDEX(ポート振替表!$L$5:$L$3507,$L1962)&amp;CHAR(10)&amp;"⇔ "&amp;INDEX(ポート振替表!$H$5:$H$3507,$L1962)&amp;" "&amp;INDEX(ポート振替表!$I$5:$I$3507,$L1962))</f>
        <v/>
      </c>
      <c r="L1962" s="47" t="str">
        <f aca="false">IFERROR(MATCH(ROW()-4,ポート振替表!$V$5:$V$3507,0),"")</f>
        <v/>
      </c>
    </row>
    <row r="1963" customFormat="false" ht="16.4" hidden="false" customHeight="false" outlineLevel="0" collapsed="false">
      <c r="A1963" s="32" t="str">
        <f aca="false">IF(L1963="","",ROW()-4)</f>
        <v/>
      </c>
      <c r="B1963" s="58" t="str">
        <f aca="false">IF(L1963="","",IF(INDEX(ポート振替表!$W$5:$W$3507,$L1963)="","(なし)",INDEX(ポート振替表!$W$5:$W$3507,$L1963)&amp;""))</f>
        <v/>
      </c>
      <c r="C1963" s="52" t="str">
        <f aca="false">IF(L1963="","",INDEX(ポート振替表!$B$5:$B$3507,$L1963)&amp;" "&amp;INDEX(ポート振替表!$C$5:$C$3507,$L1963)&amp;"  ⇔  "&amp;INDEX(ポート振替表!$H$5:$H$3507,$L1963)&amp;" "&amp;INDEX(ポート振替表!$I$5:$I$3507,$L1963))</f>
        <v/>
      </c>
      <c r="D1963" s="57" t="s">
        <v>158</v>
      </c>
      <c r="E1963" s="59" t="str">
        <f aca="false">IF(L1963="","",IF(INDEX(ポート振替表!$O$5:$O$3507,$L1963)="","(未設定)",INDEX(ポート振替表!$O$5:$O$3507,$L1963)&amp;""))</f>
        <v/>
      </c>
      <c r="F1963" s="52" t="str">
        <f aca="false">IF(L1963="","",INDEX(ポート振替表!$K$5:$K$3507,$L1963)&amp;" "&amp;INDEX(ポート振替表!$L$5:$L$3507,$L1963)&amp;"  ⇔  "&amp;INDEX(ポート振替表!$H$5:$H$3507,$L1963)&amp;" "&amp;INDEX(ポート振替表!$I$5:$I$3507,$L1963))</f>
        <v/>
      </c>
      <c r="G1963" s="57" t="s">
        <v>158</v>
      </c>
      <c r="H1963" s="32" t="str">
        <f aca="false">IF(L1963="","",INDEX(ポート振替表!$N$5:$N$3507,$L1963)&amp;"")</f>
        <v/>
      </c>
      <c r="I1963" s="32" t="str">
        <f aca="false">IF(L1963="","",INDEX(ポート振替表!$P$5:$P$3507,$L1963)&amp;"")</f>
        <v/>
      </c>
      <c r="J1963" s="60" t="str">
        <f aca="false">IF(L1963="","",INDEX(ポート振替表!$M$5:$M$3507,$L1963)&amp;"")</f>
        <v/>
      </c>
      <c r="K1963" s="52" t="str">
        <f aca="false">IF(L1963="","",E1963&amp;CHAR(10)&amp;INDEX(ポート振替表!$K$5:$K$3507,$L1963)&amp;" "&amp;INDEX(ポート振替表!$L$5:$L$3507,$L1963)&amp;CHAR(10)&amp;"⇔ "&amp;INDEX(ポート振替表!$H$5:$H$3507,$L1963)&amp;" "&amp;INDEX(ポート振替表!$I$5:$I$3507,$L1963))</f>
        <v/>
      </c>
      <c r="L1963" s="47" t="str">
        <f aca="false">IFERROR(MATCH(ROW()-4,ポート振替表!$V$5:$V$3507,0),"")</f>
        <v/>
      </c>
    </row>
    <row r="1964" customFormat="false" ht="16.4" hidden="false" customHeight="false" outlineLevel="0" collapsed="false">
      <c r="A1964" s="32" t="str">
        <f aca="false">IF(L1964="","",ROW()-4)</f>
        <v/>
      </c>
      <c r="B1964" s="58" t="str">
        <f aca="false">IF(L1964="","",IF(INDEX(ポート振替表!$W$5:$W$3507,$L1964)="","(なし)",INDEX(ポート振替表!$W$5:$W$3507,$L1964)&amp;""))</f>
        <v/>
      </c>
      <c r="C1964" s="52" t="str">
        <f aca="false">IF(L1964="","",INDEX(ポート振替表!$B$5:$B$3507,$L1964)&amp;" "&amp;INDEX(ポート振替表!$C$5:$C$3507,$L1964)&amp;"  ⇔  "&amp;INDEX(ポート振替表!$H$5:$H$3507,$L1964)&amp;" "&amp;INDEX(ポート振替表!$I$5:$I$3507,$L1964))</f>
        <v/>
      </c>
      <c r="D1964" s="57" t="s">
        <v>158</v>
      </c>
      <c r="E1964" s="59" t="str">
        <f aca="false">IF(L1964="","",IF(INDEX(ポート振替表!$O$5:$O$3507,$L1964)="","(未設定)",INDEX(ポート振替表!$O$5:$O$3507,$L1964)&amp;""))</f>
        <v/>
      </c>
      <c r="F1964" s="52" t="str">
        <f aca="false">IF(L1964="","",INDEX(ポート振替表!$K$5:$K$3507,$L1964)&amp;" "&amp;INDEX(ポート振替表!$L$5:$L$3507,$L1964)&amp;"  ⇔  "&amp;INDEX(ポート振替表!$H$5:$H$3507,$L1964)&amp;" "&amp;INDEX(ポート振替表!$I$5:$I$3507,$L1964))</f>
        <v/>
      </c>
      <c r="G1964" s="57" t="s">
        <v>158</v>
      </c>
      <c r="H1964" s="32" t="str">
        <f aca="false">IF(L1964="","",INDEX(ポート振替表!$N$5:$N$3507,$L1964)&amp;"")</f>
        <v/>
      </c>
      <c r="I1964" s="32" t="str">
        <f aca="false">IF(L1964="","",INDEX(ポート振替表!$P$5:$P$3507,$L1964)&amp;"")</f>
        <v/>
      </c>
      <c r="J1964" s="60" t="str">
        <f aca="false">IF(L1964="","",INDEX(ポート振替表!$M$5:$M$3507,$L1964)&amp;"")</f>
        <v/>
      </c>
      <c r="K1964" s="52" t="str">
        <f aca="false">IF(L1964="","",E1964&amp;CHAR(10)&amp;INDEX(ポート振替表!$K$5:$K$3507,$L1964)&amp;" "&amp;INDEX(ポート振替表!$L$5:$L$3507,$L1964)&amp;CHAR(10)&amp;"⇔ "&amp;INDEX(ポート振替表!$H$5:$H$3507,$L1964)&amp;" "&amp;INDEX(ポート振替表!$I$5:$I$3507,$L1964))</f>
        <v/>
      </c>
      <c r="L1964" s="47" t="str">
        <f aca="false">IFERROR(MATCH(ROW()-4,ポート振替表!$V$5:$V$3507,0),"")</f>
        <v/>
      </c>
    </row>
    <row r="1965" customFormat="false" ht="16.4" hidden="false" customHeight="false" outlineLevel="0" collapsed="false">
      <c r="A1965" s="32" t="str">
        <f aca="false">IF(L1965="","",ROW()-4)</f>
        <v/>
      </c>
      <c r="B1965" s="58" t="str">
        <f aca="false">IF(L1965="","",IF(INDEX(ポート振替表!$W$5:$W$3507,$L1965)="","(なし)",INDEX(ポート振替表!$W$5:$W$3507,$L1965)&amp;""))</f>
        <v/>
      </c>
      <c r="C1965" s="52" t="str">
        <f aca="false">IF(L1965="","",INDEX(ポート振替表!$B$5:$B$3507,$L1965)&amp;" "&amp;INDEX(ポート振替表!$C$5:$C$3507,$L1965)&amp;"  ⇔  "&amp;INDEX(ポート振替表!$H$5:$H$3507,$L1965)&amp;" "&amp;INDEX(ポート振替表!$I$5:$I$3507,$L1965))</f>
        <v/>
      </c>
      <c r="D1965" s="57" t="s">
        <v>158</v>
      </c>
      <c r="E1965" s="59" t="str">
        <f aca="false">IF(L1965="","",IF(INDEX(ポート振替表!$O$5:$O$3507,$L1965)="","(未設定)",INDEX(ポート振替表!$O$5:$O$3507,$L1965)&amp;""))</f>
        <v/>
      </c>
      <c r="F1965" s="52" t="str">
        <f aca="false">IF(L1965="","",INDEX(ポート振替表!$K$5:$K$3507,$L1965)&amp;" "&amp;INDEX(ポート振替表!$L$5:$L$3507,$L1965)&amp;"  ⇔  "&amp;INDEX(ポート振替表!$H$5:$H$3507,$L1965)&amp;" "&amp;INDEX(ポート振替表!$I$5:$I$3507,$L1965))</f>
        <v/>
      </c>
      <c r="G1965" s="57" t="s">
        <v>158</v>
      </c>
      <c r="H1965" s="32" t="str">
        <f aca="false">IF(L1965="","",INDEX(ポート振替表!$N$5:$N$3507,$L1965)&amp;"")</f>
        <v/>
      </c>
      <c r="I1965" s="32" t="str">
        <f aca="false">IF(L1965="","",INDEX(ポート振替表!$P$5:$P$3507,$L1965)&amp;"")</f>
        <v/>
      </c>
      <c r="J1965" s="60" t="str">
        <f aca="false">IF(L1965="","",INDEX(ポート振替表!$M$5:$M$3507,$L1965)&amp;"")</f>
        <v/>
      </c>
      <c r="K1965" s="52" t="str">
        <f aca="false">IF(L1965="","",E1965&amp;CHAR(10)&amp;INDEX(ポート振替表!$K$5:$K$3507,$L1965)&amp;" "&amp;INDEX(ポート振替表!$L$5:$L$3507,$L1965)&amp;CHAR(10)&amp;"⇔ "&amp;INDEX(ポート振替表!$H$5:$H$3507,$L1965)&amp;" "&amp;INDEX(ポート振替表!$I$5:$I$3507,$L1965))</f>
        <v/>
      </c>
      <c r="L1965" s="47" t="str">
        <f aca="false">IFERROR(MATCH(ROW()-4,ポート振替表!$V$5:$V$3507,0),"")</f>
        <v/>
      </c>
    </row>
    <row r="1966" customFormat="false" ht="16.4" hidden="false" customHeight="false" outlineLevel="0" collapsed="false">
      <c r="A1966" s="32" t="str">
        <f aca="false">IF(L1966="","",ROW()-4)</f>
        <v/>
      </c>
      <c r="B1966" s="58" t="str">
        <f aca="false">IF(L1966="","",IF(INDEX(ポート振替表!$W$5:$W$3507,$L1966)="","(なし)",INDEX(ポート振替表!$W$5:$W$3507,$L1966)&amp;""))</f>
        <v/>
      </c>
      <c r="C1966" s="52" t="str">
        <f aca="false">IF(L1966="","",INDEX(ポート振替表!$B$5:$B$3507,$L1966)&amp;" "&amp;INDEX(ポート振替表!$C$5:$C$3507,$L1966)&amp;"  ⇔  "&amp;INDEX(ポート振替表!$H$5:$H$3507,$L1966)&amp;" "&amp;INDEX(ポート振替表!$I$5:$I$3507,$L1966))</f>
        <v/>
      </c>
      <c r="D1966" s="57" t="s">
        <v>158</v>
      </c>
      <c r="E1966" s="59" t="str">
        <f aca="false">IF(L1966="","",IF(INDEX(ポート振替表!$O$5:$O$3507,$L1966)="","(未設定)",INDEX(ポート振替表!$O$5:$O$3507,$L1966)&amp;""))</f>
        <v/>
      </c>
      <c r="F1966" s="52" t="str">
        <f aca="false">IF(L1966="","",INDEX(ポート振替表!$K$5:$K$3507,$L1966)&amp;" "&amp;INDEX(ポート振替表!$L$5:$L$3507,$L1966)&amp;"  ⇔  "&amp;INDEX(ポート振替表!$H$5:$H$3507,$L1966)&amp;" "&amp;INDEX(ポート振替表!$I$5:$I$3507,$L1966))</f>
        <v/>
      </c>
      <c r="G1966" s="57" t="s">
        <v>158</v>
      </c>
      <c r="H1966" s="32" t="str">
        <f aca="false">IF(L1966="","",INDEX(ポート振替表!$N$5:$N$3507,$L1966)&amp;"")</f>
        <v/>
      </c>
      <c r="I1966" s="32" t="str">
        <f aca="false">IF(L1966="","",INDEX(ポート振替表!$P$5:$P$3507,$L1966)&amp;"")</f>
        <v/>
      </c>
      <c r="J1966" s="60" t="str">
        <f aca="false">IF(L1966="","",INDEX(ポート振替表!$M$5:$M$3507,$L1966)&amp;"")</f>
        <v/>
      </c>
      <c r="K1966" s="52" t="str">
        <f aca="false">IF(L1966="","",E1966&amp;CHAR(10)&amp;INDEX(ポート振替表!$K$5:$K$3507,$L1966)&amp;" "&amp;INDEX(ポート振替表!$L$5:$L$3507,$L1966)&amp;CHAR(10)&amp;"⇔ "&amp;INDEX(ポート振替表!$H$5:$H$3507,$L1966)&amp;" "&amp;INDEX(ポート振替表!$I$5:$I$3507,$L1966))</f>
        <v/>
      </c>
      <c r="L1966" s="47" t="str">
        <f aca="false">IFERROR(MATCH(ROW()-4,ポート振替表!$V$5:$V$3507,0),"")</f>
        <v/>
      </c>
    </row>
    <row r="1967" customFormat="false" ht="16.4" hidden="false" customHeight="false" outlineLevel="0" collapsed="false">
      <c r="A1967" s="32" t="str">
        <f aca="false">IF(L1967="","",ROW()-4)</f>
        <v/>
      </c>
      <c r="B1967" s="58" t="str">
        <f aca="false">IF(L1967="","",IF(INDEX(ポート振替表!$W$5:$W$3507,$L1967)="","(なし)",INDEX(ポート振替表!$W$5:$W$3507,$L1967)&amp;""))</f>
        <v/>
      </c>
      <c r="C1967" s="52" t="str">
        <f aca="false">IF(L1967="","",INDEX(ポート振替表!$B$5:$B$3507,$L1967)&amp;" "&amp;INDEX(ポート振替表!$C$5:$C$3507,$L1967)&amp;"  ⇔  "&amp;INDEX(ポート振替表!$H$5:$H$3507,$L1967)&amp;" "&amp;INDEX(ポート振替表!$I$5:$I$3507,$L1967))</f>
        <v/>
      </c>
      <c r="D1967" s="57" t="s">
        <v>158</v>
      </c>
      <c r="E1967" s="59" t="str">
        <f aca="false">IF(L1967="","",IF(INDEX(ポート振替表!$O$5:$O$3507,$L1967)="","(未設定)",INDEX(ポート振替表!$O$5:$O$3507,$L1967)&amp;""))</f>
        <v/>
      </c>
      <c r="F1967" s="52" t="str">
        <f aca="false">IF(L1967="","",INDEX(ポート振替表!$K$5:$K$3507,$L1967)&amp;" "&amp;INDEX(ポート振替表!$L$5:$L$3507,$L1967)&amp;"  ⇔  "&amp;INDEX(ポート振替表!$H$5:$H$3507,$L1967)&amp;" "&amp;INDEX(ポート振替表!$I$5:$I$3507,$L1967))</f>
        <v/>
      </c>
      <c r="G1967" s="57" t="s">
        <v>158</v>
      </c>
      <c r="H1967" s="32" t="str">
        <f aca="false">IF(L1967="","",INDEX(ポート振替表!$N$5:$N$3507,$L1967)&amp;"")</f>
        <v/>
      </c>
      <c r="I1967" s="32" t="str">
        <f aca="false">IF(L1967="","",INDEX(ポート振替表!$P$5:$P$3507,$L1967)&amp;"")</f>
        <v/>
      </c>
      <c r="J1967" s="60" t="str">
        <f aca="false">IF(L1967="","",INDEX(ポート振替表!$M$5:$M$3507,$L1967)&amp;"")</f>
        <v/>
      </c>
      <c r="K1967" s="52" t="str">
        <f aca="false">IF(L1967="","",E1967&amp;CHAR(10)&amp;INDEX(ポート振替表!$K$5:$K$3507,$L1967)&amp;" "&amp;INDEX(ポート振替表!$L$5:$L$3507,$L1967)&amp;CHAR(10)&amp;"⇔ "&amp;INDEX(ポート振替表!$H$5:$H$3507,$L1967)&amp;" "&amp;INDEX(ポート振替表!$I$5:$I$3507,$L1967))</f>
        <v/>
      </c>
      <c r="L1967" s="47" t="str">
        <f aca="false">IFERROR(MATCH(ROW()-4,ポート振替表!$V$5:$V$3507,0),"")</f>
        <v/>
      </c>
    </row>
    <row r="1968" customFormat="false" ht="16.4" hidden="false" customHeight="false" outlineLevel="0" collapsed="false">
      <c r="A1968" s="32" t="str">
        <f aca="false">IF(L1968="","",ROW()-4)</f>
        <v/>
      </c>
      <c r="B1968" s="58" t="str">
        <f aca="false">IF(L1968="","",IF(INDEX(ポート振替表!$W$5:$W$3507,$L1968)="","(なし)",INDEX(ポート振替表!$W$5:$W$3507,$L1968)&amp;""))</f>
        <v/>
      </c>
      <c r="C1968" s="52" t="str">
        <f aca="false">IF(L1968="","",INDEX(ポート振替表!$B$5:$B$3507,$L1968)&amp;" "&amp;INDEX(ポート振替表!$C$5:$C$3507,$L1968)&amp;"  ⇔  "&amp;INDEX(ポート振替表!$H$5:$H$3507,$L1968)&amp;" "&amp;INDEX(ポート振替表!$I$5:$I$3507,$L1968))</f>
        <v/>
      </c>
      <c r="D1968" s="57" t="s">
        <v>158</v>
      </c>
      <c r="E1968" s="59" t="str">
        <f aca="false">IF(L1968="","",IF(INDEX(ポート振替表!$O$5:$O$3507,$L1968)="","(未設定)",INDEX(ポート振替表!$O$5:$O$3507,$L1968)&amp;""))</f>
        <v/>
      </c>
      <c r="F1968" s="52" t="str">
        <f aca="false">IF(L1968="","",INDEX(ポート振替表!$K$5:$K$3507,$L1968)&amp;" "&amp;INDEX(ポート振替表!$L$5:$L$3507,$L1968)&amp;"  ⇔  "&amp;INDEX(ポート振替表!$H$5:$H$3507,$L1968)&amp;" "&amp;INDEX(ポート振替表!$I$5:$I$3507,$L1968))</f>
        <v/>
      </c>
      <c r="G1968" s="57" t="s">
        <v>158</v>
      </c>
      <c r="H1968" s="32" t="str">
        <f aca="false">IF(L1968="","",INDEX(ポート振替表!$N$5:$N$3507,$L1968)&amp;"")</f>
        <v/>
      </c>
      <c r="I1968" s="32" t="str">
        <f aca="false">IF(L1968="","",INDEX(ポート振替表!$P$5:$P$3507,$L1968)&amp;"")</f>
        <v/>
      </c>
      <c r="J1968" s="60" t="str">
        <f aca="false">IF(L1968="","",INDEX(ポート振替表!$M$5:$M$3507,$L1968)&amp;"")</f>
        <v/>
      </c>
      <c r="K1968" s="52" t="str">
        <f aca="false">IF(L1968="","",E1968&amp;CHAR(10)&amp;INDEX(ポート振替表!$K$5:$K$3507,$L1968)&amp;" "&amp;INDEX(ポート振替表!$L$5:$L$3507,$L1968)&amp;CHAR(10)&amp;"⇔ "&amp;INDEX(ポート振替表!$H$5:$H$3507,$L1968)&amp;" "&amp;INDEX(ポート振替表!$I$5:$I$3507,$L1968))</f>
        <v/>
      </c>
      <c r="L1968" s="47" t="str">
        <f aca="false">IFERROR(MATCH(ROW()-4,ポート振替表!$V$5:$V$3507,0),"")</f>
        <v/>
      </c>
    </row>
    <row r="1969" customFormat="false" ht="16.4" hidden="false" customHeight="false" outlineLevel="0" collapsed="false">
      <c r="A1969" s="32" t="str">
        <f aca="false">IF(L1969="","",ROW()-4)</f>
        <v/>
      </c>
      <c r="B1969" s="58" t="str">
        <f aca="false">IF(L1969="","",IF(INDEX(ポート振替表!$W$5:$W$3507,$L1969)="","(なし)",INDEX(ポート振替表!$W$5:$W$3507,$L1969)&amp;""))</f>
        <v/>
      </c>
      <c r="C1969" s="52" t="str">
        <f aca="false">IF(L1969="","",INDEX(ポート振替表!$B$5:$B$3507,$L1969)&amp;" "&amp;INDEX(ポート振替表!$C$5:$C$3507,$L1969)&amp;"  ⇔  "&amp;INDEX(ポート振替表!$H$5:$H$3507,$L1969)&amp;" "&amp;INDEX(ポート振替表!$I$5:$I$3507,$L1969))</f>
        <v/>
      </c>
      <c r="D1969" s="57" t="s">
        <v>158</v>
      </c>
      <c r="E1969" s="59" t="str">
        <f aca="false">IF(L1969="","",IF(INDEX(ポート振替表!$O$5:$O$3507,$L1969)="","(未設定)",INDEX(ポート振替表!$O$5:$O$3507,$L1969)&amp;""))</f>
        <v/>
      </c>
      <c r="F1969" s="52" t="str">
        <f aca="false">IF(L1969="","",INDEX(ポート振替表!$K$5:$K$3507,$L1969)&amp;" "&amp;INDEX(ポート振替表!$L$5:$L$3507,$L1969)&amp;"  ⇔  "&amp;INDEX(ポート振替表!$H$5:$H$3507,$L1969)&amp;" "&amp;INDEX(ポート振替表!$I$5:$I$3507,$L1969))</f>
        <v/>
      </c>
      <c r="G1969" s="57" t="s">
        <v>158</v>
      </c>
      <c r="H1969" s="32" t="str">
        <f aca="false">IF(L1969="","",INDEX(ポート振替表!$N$5:$N$3507,$L1969)&amp;"")</f>
        <v/>
      </c>
      <c r="I1969" s="32" t="str">
        <f aca="false">IF(L1969="","",INDEX(ポート振替表!$P$5:$P$3507,$L1969)&amp;"")</f>
        <v/>
      </c>
      <c r="J1969" s="60" t="str">
        <f aca="false">IF(L1969="","",INDEX(ポート振替表!$M$5:$M$3507,$L1969)&amp;"")</f>
        <v/>
      </c>
      <c r="K1969" s="52" t="str">
        <f aca="false">IF(L1969="","",E1969&amp;CHAR(10)&amp;INDEX(ポート振替表!$K$5:$K$3507,$L1969)&amp;" "&amp;INDEX(ポート振替表!$L$5:$L$3507,$L1969)&amp;CHAR(10)&amp;"⇔ "&amp;INDEX(ポート振替表!$H$5:$H$3507,$L1969)&amp;" "&amp;INDEX(ポート振替表!$I$5:$I$3507,$L1969))</f>
        <v/>
      </c>
      <c r="L1969" s="47" t="str">
        <f aca="false">IFERROR(MATCH(ROW()-4,ポート振替表!$V$5:$V$3507,0),"")</f>
        <v/>
      </c>
    </row>
    <row r="1970" customFormat="false" ht="16.4" hidden="false" customHeight="false" outlineLevel="0" collapsed="false">
      <c r="A1970" s="32" t="str">
        <f aca="false">IF(L1970="","",ROW()-4)</f>
        <v/>
      </c>
      <c r="B1970" s="58" t="str">
        <f aca="false">IF(L1970="","",IF(INDEX(ポート振替表!$W$5:$W$3507,$L1970)="","(なし)",INDEX(ポート振替表!$W$5:$W$3507,$L1970)&amp;""))</f>
        <v/>
      </c>
      <c r="C1970" s="52" t="str">
        <f aca="false">IF(L1970="","",INDEX(ポート振替表!$B$5:$B$3507,$L1970)&amp;" "&amp;INDEX(ポート振替表!$C$5:$C$3507,$L1970)&amp;"  ⇔  "&amp;INDEX(ポート振替表!$H$5:$H$3507,$L1970)&amp;" "&amp;INDEX(ポート振替表!$I$5:$I$3507,$L1970))</f>
        <v/>
      </c>
      <c r="D1970" s="57" t="s">
        <v>158</v>
      </c>
      <c r="E1970" s="59" t="str">
        <f aca="false">IF(L1970="","",IF(INDEX(ポート振替表!$O$5:$O$3507,$L1970)="","(未設定)",INDEX(ポート振替表!$O$5:$O$3507,$L1970)&amp;""))</f>
        <v/>
      </c>
      <c r="F1970" s="52" t="str">
        <f aca="false">IF(L1970="","",INDEX(ポート振替表!$K$5:$K$3507,$L1970)&amp;" "&amp;INDEX(ポート振替表!$L$5:$L$3507,$L1970)&amp;"  ⇔  "&amp;INDEX(ポート振替表!$H$5:$H$3507,$L1970)&amp;" "&amp;INDEX(ポート振替表!$I$5:$I$3507,$L1970))</f>
        <v/>
      </c>
      <c r="G1970" s="57" t="s">
        <v>158</v>
      </c>
      <c r="H1970" s="32" t="str">
        <f aca="false">IF(L1970="","",INDEX(ポート振替表!$N$5:$N$3507,$L1970)&amp;"")</f>
        <v/>
      </c>
      <c r="I1970" s="32" t="str">
        <f aca="false">IF(L1970="","",INDEX(ポート振替表!$P$5:$P$3507,$L1970)&amp;"")</f>
        <v/>
      </c>
      <c r="J1970" s="60" t="str">
        <f aca="false">IF(L1970="","",INDEX(ポート振替表!$M$5:$M$3507,$L1970)&amp;"")</f>
        <v/>
      </c>
      <c r="K1970" s="52" t="str">
        <f aca="false">IF(L1970="","",E1970&amp;CHAR(10)&amp;INDEX(ポート振替表!$K$5:$K$3507,$L1970)&amp;" "&amp;INDEX(ポート振替表!$L$5:$L$3507,$L1970)&amp;CHAR(10)&amp;"⇔ "&amp;INDEX(ポート振替表!$H$5:$H$3507,$L1970)&amp;" "&amp;INDEX(ポート振替表!$I$5:$I$3507,$L1970))</f>
        <v/>
      </c>
      <c r="L1970" s="47" t="str">
        <f aca="false">IFERROR(MATCH(ROW()-4,ポート振替表!$V$5:$V$3507,0),"")</f>
        <v/>
      </c>
    </row>
    <row r="1971" customFormat="false" ht="16.4" hidden="false" customHeight="false" outlineLevel="0" collapsed="false">
      <c r="A1971" s="32" t="str">
        <f aca="false">IF(L1971="","",ROW()-4)</f>
        <v/>
      </c>
      <c r="B1971" s="58" t="str">
        <f aca="false">IF(L1971="","",IF(INDEX(ポート振替表!$W$5:$W$3507,$L1971)="","(なし)",INDEX(ポート振替表!$W$5:$W$3507,$L1971)&amp;""))</f>
        <v/>
      </c>
      <c r="C1971" s="52" t="str">
        <f aca="false">IF(L1971="","",INDEX(ポート振替表!$B$5:$B$3507,$L1971)&amp;" "&amp;INDEX(ポート振替表!$C$5:$C$3507,$L1971)&amp;"  ⇔  "&amp;INDEX(ポート振替表!$H$5:$H$3507,$L1971)&amp;" "&amp;INDEX(ポート振替表!$I$5:$I$3507,$L1971))</f>
        <v/>
      </c>
      <c r="D1971" s="57" t="s">
        <v>158</v>
      </c>
      <c r="E1971" s="59" t="str">
        <f aca="false">IF(L1971="","",IF(INDEX(ポート振替表!$O$5:$O$3507,$L1971)="","(未設定)",INDEX(ポート振替表!$O$5:$O$3507,$L1971)&amp;""))</f>
        <v/>
      </c>
      <c r="F1971" s="52" t="str">
        <f aca="false">IF(L1971="","",INDEX(ポート振替表!$K$5:$K$3507,$L1971)&amp;" "&amp;INDEX(ポート振替表!$L$5:$L$3507,$L1971)&amp;"  ⇔  "&amp;INDEX(ポート振替表!$H$5:$H$3507,$L1971)&amp;" "&amp;INDEX(ポート振替表!$I$5:$I$3507,$L1971))</f>
        <v/>
      </c>
      <c r="G1971" s="57" t="s">
        <v>158</v>
      </c>
      <c r="H1971" s="32" t="str">
        <f aca="false">IF(L1971="","",INDEX(ポート振替表!$N$5:$N$3507,$L1971)&amp;"")</f>
        <v/>
      </c>
      <c r="I1971" s="32" t="str">
        <f aca="false">IF(L1971="","",INDEX(ポート振替表!$P$5:$P$3507,$L1971)&amp;"")</f>
        <v/>
      </c>
      <c r="J1971" s="60" t="str">
        <f aca="false">IF(L1971="","",INDEX(ポート振替表!$M$5:$M$3507,$L1971)&amp;"")</f>
        <v/>
      </c>
      <c r="K1971" s="52" t="str">
        <f aca="false">IF(L1971="","",E1971&amp;CHAR(10)&amp;INDEX(ポート振替表!$K$5:$K$3507,$L1971)&amp;" "&amp;INDEX(ポート振替表!$L$5:$L$3507,$L1971)&amp;CHAR(10)&amp;"⇔ "&amp;INDEX(ポート振替表!$H$5:$H$3507,$L1971)&amp;" "&amp;INDEX(ポート振替表!$I$5:$I$3507,$L1971))</f>
        <v/>
      </c>
      <c r="L1971" s="47" t="str">
        <f aca="false">IFERROR(MATCH(ROW()-4,ポート振替表!$V$5:$V$3507,0),"")</f>
        <v/>
      </c>
    </row>
    <row r="1972" customFormat="false" ht="16.4" hidden="false" customHeight="false" outlineLevel="0" collapsed="false">
      <c r="A1972" s="32" t="str">
        <f aca="false">IF(L1972="","",ROW()-4)</f>
        <v/>
      </c>
      <c r="B1972" s="58" t="str">
        <f aca="false">IF(L1972="","",IF(INDEX(ポート振替表!$W$5:$W$3507,$L1972)="","(なし)",INDEX(ポート振替表!$W$5:$W$3507,$L1972)&amp;""))</f>
        <v/>
      </c>
      <c r="C1972" s="52" t="str">
        <f aca="false">IF(L1972="","",INDEX(ポート振替表!$B$5:$B$3507,$L1972)&amp;" "&amp;INDEX(ポート振替表!$C$5:$C$3507,$L1972)&amp;"  ⇔  "&amp;INDEX(ポート振替表!$H$5:$H$3507,$L1972)&amp;" "&amp;INDEX(ポート振替表!$I$5:$I$3507,$L1972))</f>
        <v/>
      </c>
      <c r="D1972" s="57" t="s">
        <v>158</v>
      </c>
      <c r="E1972" s="59" t="str">
        <f aca="false">IF(L1972="","",IF(INDEX(ポート振替表!$O$5:$O$3507,$L1972)="","(未設定)",INDEX(ポート振替表!$O$5:$O$3507,$L1972)&amp;""))</f>
        <v/>
      </c>
      <c r="F1972" s="52" t="str">
        <f aca="false">IF(L1972="","",INDEX(ポート振替表!$K$5:$K$3507,$L1972)&amp;" "&amp;INDEX(ポート振替表!$L$5:$L$3507,$L1972)&amp;"  ⇔  "&amp;INDEX(ポート振替表!$H$5:$H$3507,$L1972)&amp;" "&amp;INDEX(ポート振替表!$I$5:$I$3507,$L1972))</f>
        <v/>
      </c>
      <c r="G1972" s="57" t="s">
        <v>158</v>
      </c>
      <c r="H1972" s="32" t="str">
        <f aca="false">IF(L1972="","",INDEX(ポート振替表!$N$5:$N$3507,$L1972)&amp;"")</f>
        <v/>
      </c>
      <c r="I1972" s="32" t="str">
        <f aca="false">IF(L1972="","",INDEX(ポート振替表!$P$5:$P$3507,$L1972)&amp;"")</f>
        <v/>
      </c>
      <c r="J1972" s="60" t="str">
        <f aca="false">IF(L1972="","",INDEX(ポート振替表!$M$5:$M$3507,$L1972)&amp;"")</f>
        <v/>
      </c>
      <c r="K1972" s="52" t="str">
        <f aca="false">IF(L1972="","",E1972&amp;CHAR(10)&amp;INDEX(ポート振替表!$K$5:$K$3507,$L1972)&amp;" "&amp;INDEX(ポート振替表!$L$5:$L$3507,$L1972)&amp;CHAR(10)&amp;"⇔ "&amp;INDEX(ポート振替表!$H$5:$H$3507,$L1972)&amp;" "&amp;INDEX(ポート振替表!$I$5:$I$3507,$L1972))</f>
        <v/>
      </c>
      <c r="L1972" s="47" t="str">
        <f aca="false">IFERROR(MATCH(ROW()-4,ポート振替表!$V$5:$V$3507,0),"")</f>
        <v/>
      </c>
    </row>
    <row r="1973" customFormat="false" ht="16.4" hidden="false" customHeight="false" outlineLevel="0" collapsed="false">
      <c r="A1973" s="32" t="str">
        <f aca="false">IF(L1973="","",ROW()-4)</f>
        <v/>
      </c>
      <c r="B1973" s="58" t="str">
        <f aca="false">IF(L1973="","",IF(INDEX(ポート振替表!$W$5:$W$3507,$L1973)="","(なし)",INDEX(ポート振替表!$W$5:$W$3507,$L1973)&amp;""))</f>
        <v/>
      </c>
      <c r="C1973" s="52" t="str">
        <f aca="false">IF(L1973="","",INDEX(ポート振替表!$B$5:$B$3507,$L1973)&amp;" "&amp;INDEX(ポート振替表!$C$5:$C$3507,$L1973)&amp;"  ⇔  "&amp;INDEX(ポート振替表!$H$5:$H$3507,$L1973)&amp;" "&amp;INDEX(ポート振替表!$I$5:$I$3507,$L1973))</f>
        <v/>
      </c>
      <c r="D1973" s="57" t="s">
        <v>158</v>
      </c>
      <c r="E1973" s="59" t="str">
        <f aca="false">IF(L1973="","",IF(INDEX(ポート振替表!$O$5:$O$3507,$L1973)="","(未設定)",INDEX(ポート振替表!$O$5:$O$3507,$L1973)&amp;""))</f>
        <v/>
      </c>
      <c r="F1973" s="52" t="str">
        <f aca="false">IF(L1973="","",INDEX(ポート振替表!$K$5:$K$3507,$L1973)&amp;" "&amp;INDEX(ポート振替表!$L$5:$L$3507,$L1973)&amp;"  ⇔  "&amp;INDEX(ポート振替表!$H$5:$H$3507,$L1973)&amp;" "&amp;INDEX(ポート振替表!$I$5:$I$3507,$L1973))</f>
        <v/>
      </c>
      <c r="G1973" s="57" t="s">
        <v>158</v>
      </c>
      <c r="H1973" s="32" t="str">
        <f aca="false">IF(L1973="","",INDEX(ポート振替表!$N$5:$N$3507,$L1973)&amp;"")</f>
        <v/>
      </c>
      <c r="I1973" s="32" t="str">
        <f aca="false">IF(L1973="","",INDEX(ポート振替表!$P$5:$P$3507,$L1973)&amp;"")</f>
        <v/>
      </c>
      <c r="J1973" s="60" t="str">
        <f aca="false">IF(L1973="","",INDEX(ポート振替表!$M$5:$M$3507,$L1973)&amp;"")</f>
        <v/>
      </c>
      <c r="K1973" s="52" t="str">
        <f aca="false">IF(L1973="","",E1973&amp;CHAR(10)&amp;INDEX(ポート振替表!$K$5:$K$3507,$L1973)&amp;" "&amp;INDEX(ポート振替表!$L$5:$L$3507,$L1973)&amp;CHAR(10)&amp;"⇔ "&amp;INDEX(ポート振替表!$H$5:$H$3507,$L1973)&amp;" "&amp;INDEX(ポート振替表!$I$5:$I$3507,$L1973))</f>
        <v/>
      </c>
      <c r="L1973" s="47" t="str">
        <f aca="false">IFERROR(MATCH(ROW()-4,ポート振替表!$V$5:$V$3507,0),"")</f>
        <v/>
      </c>
    </row>
    <row r="1974" customFormat="false" ht="16.4" hidden="false" customHeight="false" outlineLevel="0" collapsed="false">
      <c r="A1974" s="32" t="str">
        <f aca="false">IF(L1974="","",ROW()-4)</f>
        <v/>
      </c>
      <c r="B1974" s="58" t="str">
        <f aca="false">IF(L1974="","",IF(INDEX(ポート振替表!$W$5:$W$3507,$L1974)="","(なし)",INDEX(ポート振替表!$W$5:$W$3507,$L1974)&amp;""))</f>
        <v/>
      </c>
      <c r="C1974" s="52" t="str">
        <f aca="false">IF(L1974="","",INDEX(ポート振替表!$B$5:$B$3507,$L1974)&amp;" "&amp;INDEX(ポート振替表!$C$5:$C$3507,$L1974)&amp;"  ⇔  "&amp;INDEX(ポート振替表!$H$5:$H$3507,$L1974)&amp;" "&amp;INDEX(ポート振替表!$I$5:$I$3507,$L1974))</f>
        <v/>
      </c>
      <c r="D1974" s="57" t="s">
        <v>158</v>
      </c>
      <c r="E1974" s="59" t="str">
        <f aca="false">IF(L1974="","",IF(INDEX(ポート振替表!$O$5:$O$3507,$L1974)="","(未設定)",INDEX(ポート振替表!$O$5:$O$3507,$L1974)&amp;""))</f>
        <v/>
      </c>
      <c r="F1974" s="52" t="str">
        <f aca="false">IF(L1974="","",INDEX(ポート振替表!$K$5:$K$3507,$L1974)&amp;" "&amp;INDEX(ポート振替表!$L$5:$L$3507,$L1974)&amp;"  ⇔  "&amp;INDEX(ポート振替表!$H$5:$H$3507,$L1974)&amp;" "&amp;INDEX(ポート振替表!$I$5:$I$3507,$L1974))</f>
        <v/>
      </c>
      <c r="G1974" s="57" t="s">
        <v>158</v>
      </c>
      <c r="H1974" s="32" t="str">
        <f aca="false">IF(L1974="","",INDEX(ポート振替表!$N$5:$N$3507,$L1974)&amp;"")</f>
        <v/>
      </c>
      <c r="I1974" s="32" t="str">
        <f aca="false">IF(L1974="","",INDEX(ポート振替表!$P$5:$P$3507,$L1974)&amp;"")</f>
        <v/>
      </c>
      <c r="J1974" s="60" t="str">
        <f aca="false">IF(L1974="","",INDEX(ポート振替表!$M$5:$M$3507,$L1974)&amp;"")</f>
        <v/>
      </c>
      <c r="K1974" s="52" t="str">
        <f aca="false">IF(L1974="","",E1974&amp;CHAR(10)&amp;INDEX(ポート振替表!$K$5:$K$3507,$L1974)&amp;" "&amp;INDEX(ポート振替表!$L$5:$L$3507,$L1974)&amp;CHAR(10)&amp;"⇔ "&amp;INDEX(ポート振替表!$H$5:$H$3507,$L1974)&amp;" "&amp;INDEX(ポート振替表!$I$5:$I$3507,$L1974))</f>
        <v/>
      </c>
      <c r="L1974" s="47" t="str">
        <f aca="false">IFERROR(MATCH(ROW()-4,ポート振替表!$V$5:$V$3507,0),"")</f>
        <v/>
      </c>
    </row>
    <row r="1975" customFormat="false" ht="16.4" hidden="false" customHeight="false" outlineLevel="0" collapsed="false">
      <c r="A1975" s="32" t="str">
        <f aca="false">IF(L1975="","",ROW()-4)</f>
        <v/>
      </c>
      <c r="B1975" s="58" t="str">
        <f aca="false">IF(L1975="","",IF(INDEX(ポート振替表!$W$5:$W$3507,$L1975)="","(なし)",INDEX(ポート振替表!$W$5:$W$3507,$L1975)&amp;""))</f>
        <v/>
      </c>
      <c r="C1975" s="52" t="str">
        <f aca="false">IF(L1975="","",INDEX(ポート振替表!$B$5:$B$3507,$L1975)&amp;" "&amp;INDEX(ポート振替表!$C$5:$C$3507,$L1975)&amp;"  ⇔  "&amp;INDEX(ポート振替表!$H$5:$H$3507,$L1975)&amp;" "&amp;INDEX(ポート振替表!$I$5:$I$3507,$L1975))</f>
        <v/>
      </c>
      <c r="D1975" s="57" t="s">
        <v>158</v>
      </c>
      <c r="E1975" s="59" t="str">
        <f aca="false">IF(L1975="","",IF(INDEX(ポート振替表!$O$5:$O$3507,$L1975)="","(未設定)",INDEX(ポート振替表!$O$5:$O$3507,$L1975)&amp;""))</f>
        <v/>
      </c>
      <c r="F1975" s="52" t="str">
        <f aca="false">IF(L1975="","",INDEX(ポート振替表!$K$5:$K$3507,$L1975)&amp;" "&amp;INDEX(ポート振替表!$L$5:$L$3507,$L1975)&amp;"  ⇔  "&amp;INDEX(ポート振替表!$H$5:$H$3507,$L1975)&amp;" "&amp;INDEX(ポート振替表!$I$5:$I$3507,$L1975))</f>
        <v/>
      </c>
      <c r="G1975" s="57" t="s">
        <v>158</v>
      </c>
      <c r="H1975" s="32" t="str">
        <f aca="false">IF(L1975="","",INDEX(ポート振替表!$N$5:$N$3507,$L1975)&amp;"")</f>
        <v/>
      </c>
      <c r="I1975" s="32" t="str">
        <f aca="false">IF(L1975="","",INDEX(ポート振替表!$P$5:$P$3507,$L1975)&amp;"")</f>
        <v/>
      </c>
      <c r="J1975" s="60" t="str">
        <f aca="false">IF(L1975="","",INDEX(ポート振替表!$M$5:$M$3507,$L1975)&amp;"")</f>
        <v/>
      </c>
      <c r="K1975" s="52" t="str">
        <f aca="false">IF(L1975="","",E1975&amp;CHAR(10)&amp;INDEX(ポート振替表!$K$5:$K$3507,$L1975)&amp;" "&amp;INDEX(ポート振替表!$L$5:$L$3507,$L1975)&amp;CHAR(10)&amp;"⇔ "&amp;INDEX(ポート振替表!$H$5:$H$3507,$L1975)&amp;" "&amp;INDEX(ポート振替表!$I$5:$I$3507,$L1975))</f>
        <v/>
      </c>
      <c r="L1975" s="47" t="str">
        <f aca="false">IFERROR(MATCH(ROW()-4,ポート振替表!$V$5:$V$3507,0),"")</f>
        <v/>
      </c>
    </row>
    <row r="1976" customFormat="false" ht="16.4" hidden="false" customHeight="false" outlineLevel="0" collapsed="false">
      <c r="A1976" s="32" t="str">
        <f aca="false">IF(L1976="","",ROW()-4)</f>
        <v/>
      </c>
      <c r="B1976" s="58" t="str">
        <f aca="false">IF(L1976="","",IF(INDEX(ポート振替表!$W$5:$W$3507,$L1976)="","(なし)",INDEX(ポート振替表!$W$5:$W$3507,$L1976)&amp;""))</f>
        <v/>
      </c>
      <c r="C1976" s="52" t="str">
        <f aca="false">IF(L1976="","",INDEX(ポート振替表!$B$5:$B$3507,$L1976)&amp;" "&amp;INDEX(ポート振替表!$C$5:$C$3507,$L1976)&amp;"  ⇔  "&amp;INDEX(ポート振替表!$H$5:$H$3507,$L1976)&amp;" "&amp;INDEX(ポート振替表!$I$5:$I$3507,$L1976))</f>
        <v/>
      </c>
      <c r="D1976" s="57" t="s">
        <v>158</v>
      </c>
      <c r="E1976" s="59" t="str">
        <f aca="false">IF(L1976="","",IF(INDEX(ポート振替表!$O$5:$O$3507,$L1976)="","(未設定)",INDEX(ポート振替表!$O$5:$O$3507,$L1976)&amp;""))</f>
        <v/>
      </c>
      <c r="F1976" s="52" t="str">
        <f aca="false">IF(L1976="","",INDEX(ポート振替表!$K$5:$K$3507,$L1976)&amp;" "&amp;INDEX(ポート振替表!$L$5:$L$3507,$L1976)&amp;"  ⇔  "&amp;INDEX(ポート振替表!$H$5:$H$3507,$L1976)&amp;" "&amp;INDEX(ポート振替表!$I$5:$I$3507,$L1976))</f>
        <v/>
      </c>
      <c r="G1976" s="57" t="s">
        <v>158</v>
      </c>
      <c r="H1976" s="32" t="str">
        <f aca="false">IF(L1976="","",INDEX(ポート振替表!$N$5:$N$3507,$L1976)&amp;"")</f>
        <v/>
      </c>
      <c r="I1976" s="32" t="str">
        <f aca="false">IF(L1976="","",INDEX(ポート振替表!$P$5:$P$3507,$L1976)&amp;"")</f>
        <v/>
      </c>
      <c r="J1976" s="60" t="str">
        <f aca="false">IF(L1976="","",INDEX(ポート振替表!$M$5:$M$3507,$L1976)&amp;"")</f>
        <v/>
      </c>
      <c r="K1976" s="52" t="str">
        <f aca="false">IF(L1976="","",E1976&amp;CHAR(10)&amp;INDEX(ポート振替表!$K$5:$K$3507,$L1976)&amp;" "&amp;INDEX(ポート振替表!$L$5:$L$3507,$L1976)&amp;CHAR(10)&amp;"⇔ "&amp;INDEX(ポート振替表!$H$5:$H$3507,$L1976)&amp;" "&amp;INDEX(ポート振替表!$I$5:$I$3507,$L1976))</f>
        <v/>
      </c>
      <c r="L1976" s="47" t="str">
        <f aca="false">IFERROR(MATCH(ROW()-4,ポート振替表!$V$5:$V$3507,0),"")</f>
        <v/>
      </c>
    </row>
    <row r="1977" customFormat="false" ht="16.4" hidden="false" customHeight="false" outlineLevel="0" collapsed="false">
      <c r="A1977" s="32" t="str">
        <f aca="false">IF(L1977="","",ROW()-4)</f>
        <v/>
      </c>
      <c r="B1977" s="58" t="str">
        <f aca="false">IF(L1977="","",IF(INDEX(ポート振替表!$W$5:$W$3507,$L1977)="","(なし)",INDEX(ポート振替表!$W$5:$W$3507,$L1977)&amp;""))</f>
        <v/>
      </c>
      <c r="C1977" s="52" t="str">
        <f aca="false">IF(L1977="","",INDEX(ポート振替表!$B$5:$B$3507,$L1977)&amp;" "&amp;INDEX(ポート振替表!$C$5:$C$3507,$L1977)&amp;"  ⇔  "&amp;INDEX(ポート振替表!$H$5:$H$3507,$L1977)&amp;" "&amp;INDEX(ポート振替表!$I$5:$I$3507,$L1977))</f>
        <v/>
      </c>
      <c r="D1977" s="57" t="s">
        <v>158</v>
      </c>
      <c r="E1977" s="59" t="str">
        <f aca="false">IF(L1977="","",IF(INDEX(ポート振替表!$O$5:$O$3507,$L1977)="","(未設定)",INDEX(ポート振替表!$O$5:$O$3507,$L1977)&amp;""))</f>
        <v/>
      </c>
      <c r="F1977" s="52" t="str">
        <f aca="false">IF(L1977="","",INDEX(ポート振替表!$K$5:$K$3507,$L1977)&amp;" "&amp;INDEX(ポート振替表!$L$5:$L$3507,$L1977)&amp;"  ⇔  "&amp;INDEX(ポート振替表!$H$5:$H$3507,$L1977)&amp;" "&amp;INDEX(ポート振替表!$I$5:$I$3507,$L1977))</f>
        <v/>
      </c>
      <c r="G1977" s="57" t="s">
        <v>158</v>
      </c>
      <c r="H1977" s="32" t="str">
        <f aca="false">IF(L1977="","",INDEX(ポート振替表!$N$5:$N$3507,$L1977)&amp;"")</f>
        <v/>
      </c>
      <c r="I1977" s="32" t="str">
        <f aca="false">IF(L1977="","",INDEX(ポート振替表!$P$5:$P$3507,$L1977)&amp;"")</f>
        <v/>
      </c>
      <c r="J1977" s="60" t="str">
        <f aca="false">IF(L1977="","",INDEX(ポート振替表!$M$5:$M$3507,$L1977)&amp;"")</f>
        <v/>
      </c>
      <c r="K1977" s="52" t="str">
        <f aca="false">IF(L1977="","",E1977&amp;CHAR(10)&amp;INDEX(ポート振替表!$K$5:$K$3507,$L1977)&amp;" "&amp;INDEX(ポート振替表!$L$5:$L$3507,$L1977)&amp;CHAR(10)&amp;"⇔ "&amp;INDEX(ポート振替表!$H$5:$H$3507,$L1977)&amp;" "&amp;INDEX(ポート振替表!$I$5:$I$3507,$L1977))</f>
        <v/>
      </c>
      <c r="L1977" s="47" t="str">
        <f aca="false">IFERROR(MATCH(ROW()-4,ポート振替表!$V$5:$V$3507,0),"")</f>
        <v/>
      </c>
    </row>
    <row r="1978" customFormat="false" ht="16.4" hidden="false" customHeight="false" outlineLevel="0" collapsed="false">
      <c r="A1978" s="32" t="str">
        <f aca="false">IF(L1978="","",ROW()-4)</f>
        <v/>
      </c>
      <c r="B1978" s="58" t="str">
        <f aca="false">IF(L1978="","",IF(INDEX(ポート振替表!$W$5:$W$3507,$L1978)="","(なし)",INDEX(ポート振替表!$W$5:$W$3507,$L1978)&amp;""))</f>
        <v/>
      </c>
      <c r="C1978" s="52" t="str">
        <f aca="false">IF(L1978="","",INDEX(ポート振替表!$B$5:$B$3507,$L1978)&amp;" "&amp;INDEX(ポート振替表!$C$5:$C$3507,$L1978)&amp;"  ⇔  "&amp;INDEX(ポート振替表!$H$5:$H$3507,$L1978)&amp;" "&amp;INDEX(ポート振替表!$I$5:$I$3507,$L1978))</f>
        <v/>
      </c>
      <c r="D1978" s="57" t="s">
        <v>158</v>
      </c>
      <c r="E1978" s="59" t="str">
        <f aca="false">IF(L1978="","",IF(INDEX(ポート振替表!$O$5:$O$3507,$L1978)="","(未設定)",INDEX(ポート振替表!$O$5:$O$3507,$L1978)&amp;""))</f>
        <v/>
      </c>
      <c r="F1978" s="52" t="str">
        <f aca="false">IF(L1978="","",INDEX(ポート振替表!$K$5:$K$3507,$L1978)&amp;" "&amp;INDEX(ポート振替表!$L$5:$L$3507,$L1978)&amp;"  ⇔  "&amp;INDEX(ポート振替表!$H$5:$H$3507,$L1978)&amp;" "&amp;INDEX(ポート振替表!$I$5:$I$3507,$L1978))</f>
        <v/>
      </c>
      <c r="G1978" s="57" t="s">
        <v>158</v>
      </c>
      <c r="H1978" s="32" t="str">
        <f aca="false">IF(L1978="","",INDEX(ポート振替表!$N$5:$N$3507,$L1978)&amp;"")</f>
        <v/>
      </c>
      <c r="I1978" s="32" t="str">
        <f aca="false">IF(L1978="","",INDEX(ポート振替表!$P$5:$P$3507,$L1978)&amp;"")</f>
        <v/>
      </c>
      <c r="J1978" s="60" t="str">
        <f aca="false">IF(L1978="","",INDEX(ポート振替表!$M$5:$M$3507,$L1978)&amp;"")</f>
        <v/>
      </c>
      <c r="K1978" s="52" t="str">
        <f aca="false">IF(L1978="","",E1978&amp;CHAR(10)&amp;INDEX(ポート振替表!$K$5:$K$3507,$L1978)&amp;" "&amp;INDEX(ポート振替表!$L$5:$L$3507,$L1978)&amp;CHAR(10)&amp;"⇔ "&amp;INDEX(ポート振替表!$H$5:$H$3507,$L1978)&amp;" "&amp;INDEX(ポート振替表!$I$5:$I$3507,$L1978))</f>
        <v/>
      </c>
      <c r="L1978" s="47" t="str">
        <f aca="false">IFERROR(MATCH(ROW()-4,ポート振替表!$V$5:$V$3507,0),"")</f>
        <v/>
      </c>
    </row>
    <row r="1979" customFormat="false" ht="16.4" hidden="false" customHeight="false" outlineLevel="0" collapsed="false">
      <c r="A1979" s="32" t="str">
        <f aca="false">IF(L1979="","",ROW()-4)</f>
        <v/>
      </c>
      <c r="B1979" s="58" t="str">
        <f aca="false">IF(L1979="","",IF(INDEX(ポート振替表!$W$5:$W$3507,$L1979)="","(なし)",INDEX(ポート振替表!$W$5:$W$3507,$L1979)&amp;""))</f>
        <v/>
      </c>
      <c r="C1979" s="52" t="str">
        <f aca="false">IF(L1979="","",INDEX(ポート振替表!$B$5:$B$3507,$L1979)&amp;" "&amp;INDEX(ポート振替表!$C$5:$C$3507,$L1979)&amp;"  ⇔  "&amp;INDEX(ポート振替表!$H$5:$H$3507,$L1979)&amp;" "&amp;INDEX(ポート振替表!$I$5:$I$3507,$L1979))</f>
        <v/>
      </c>
      <c r="D1979" s="57" t="s">
        <v>158</v>
      </c>
      <c r="E1979" s="59" t="str">
        <f aca="false">IF(L1979="","",IF(INDEX(ポート振替表!$O$5:$O$3507,$L1979)="","(未設定)",INDEX(ポート振替表!$O$5:$O$3507,$L1979)&amp;""))</f>
        <v/>
      </c>
      <c r="F1979" s="52" t="str">
        <f aca="false">IF(L1979="","",INDEX(ポート振替表!$K$5:$K$3507,$L1979)&amp;" "&amp;INDEX(ポート振替表!$L$5:$L$3507,$L1979)&amp;"  ⇔  "&amp;INDEX(ポート振替表!$H$5:$H$3507,$L1979)&amp;" "&amp;INDEX(ポート振替表!$I$5:$I$3507,$L1979))</f>
        <v/>
      </c>
      <c r="G1979" s="57" t="s">
        <v>158</v>
      </c>
      <c r="H1979" s="32" t="str">
        <f aca="false">IF(L1979="","",INDEX(ポート振替表!$N$5:$N$3507,$L1979)&amp;"")</f>
        <v/>
      </c>
      <c r="I1979" s="32" t="str">
        <f aca="false">IF(L1979="","",INDEX(ポート振替表!$P$5:$P$3507,$L1979)&amp;"")</f>
        <v/>
      </c>
      <c r="J1979" s="60" t="str">
        <f aca="false">IF(L1979="","",INDEX(ポート振替表!$M$5:$M$3507,$L1979)&amp;"")</f>
        <v/>
      </c>
      <c r="K1979" s="52" t="str">
        <f aca="false">IF(L1979="","",E1979&amp;CHAR(10)&amp;INDEX(ポート振替表!$K$5:$K$3507,$L1979)&amp;" "&amp;INDEX(ポート振替表!$L$5:$L$3507,$L1979)&amp;CHAR(10)&amp;"⇔ "&amp;INDEX(ポート振替表!$H$5:$H$3507,$L1979)&amp;" "&amp;INDEX(ポート振替表!$I$5:$I$3507,$L1979))</f>
        <v/>
      </c>
      <c r="L1979" s="47" t="str">
        <f aca="false">IFERROR(MATCH(ROW()-4,ポート振替表!$V$5:$V$3507,0),"")</f>
        <v/>
      </c>
    </row>
    <row r="1980" customFormat="false" ht="16.4" hidden="false" customHeight="false" outlineLevel="0" collapsed="false">
      <c r="A1980" s="32" t="str">
        <f aca="false">IF(L1980="","",ROW()-4)</f>
        <v/>
      </c>
      <c r="B1980" s="58" t="str">
        <f aca="false">IF(L1980="","",IF(INDEX(ポート振替表!$W$5:$W$3507,$L1980)="","(なし)",INDEX(ポート振替表!$W$5:$W$3507,$L1980)&amp;""))</f>
        <v/>
      </c>
      <c r="C1980" s="52" t="str">
        <f aca="false">IF(L1980="","",INDEX(ポート振替表!$B$5:$B$3507,$L1980)&amp;" "&amp;INDEX(ポート振替表!$C$5:$C$3507,$L1980)&amp;"  ⇔  "&amp;INDEX(ポート振替表!$H$5:$H$3507,$L1980)&amp;" "&amp;INDEX(ポート振替表!$I$5:$I$3507,$L1980))</f>
        <v/>
      </c>
      <c r="D1980" s="57" t="s">
        <v>158</v>
      </c>
      <c r="E1980" s="59" t="str">
        <f aca="false">IF(L1980="","",IF(INDEX(ポート振替表!$O$5:$O$3507,$L1980)="","(未設定)",INDEX(ポート振替表!$O$5:$O$3507,$L1980)&amp;""))</f>
        <v/>
      </c>
      <c r="F1980" s="52" t="str">
        <f aca="false">IF(L1980="","",INDEX(ポート振替表!$K$5:$K$3507,$L1980)&amp;" "&amp;INDEX(ポート振替表!$L$5:$L$3507,$L1980)&amp;"  ⇔  "&amp;INDEX(ポート振替表!$H$5:$H$3507,$L1980)&amp;" "&amp;INDEX(ポート振替表!$I$5:$I$3507,$L1980))</f>
        <v/>
      </c>
      <c r="G1980" s="57" t="s">
        <v>158</v>
      </c>
      <c r="H1980" s="32" t="str">
        <f aca="false">IF(L1980="","",INDEX(ポート振替表!$N$5:$N$3507,$L1980)&amp;"")</f>
        <v/>
      </c>
      <c r="I1980" s="32" t="str">
        <f aca="false">IF(L1980="","",INDEX(ポート振替表!$P$5:$P$3507,$L1980)&amp;"")</f>
        <v/>
      </c>
      <c r="J1980" s="60" t="str">
        <f aca="false">IF(L1980="","",INDEX(ポート振替表!$M$5:$M$3507,$L1980)&amp;"")</f>
        <v/>
      </c>
      <c r="K1980" s="52" t="str">
        <f aca="false">IF(L1980="","",E1980&amp;CHAR(10)&amp;INDEX(ポート振替表!$K$5:$K$3507,$L1980)&amp;" "&amp;INDEX(ポート振替表!$L$5:$L$3507,$L1980)&amp;CHAR(10)&amp;"⇔ "&amp;INDEX(ポート振替表!$H$5:$H$3507,$L1980)&amp;" "&amp;INDEX(ポート振替表!$I$5:$I$3507,$L1980))</f>
        <v/>
      </c>
      <c r="L1980" s="47" t="str">
        <f aca="false">IFERROR(MATCH(ROW()-4,ポート振替表!$V$5:$V$3507,0),"")</f>
        <v/>
      </c>
    </row>
    <row r="1981" customFormat="false" ht="16.4" hidden="false" customHeight="false" outlineLevel="0" collapsed="false">
      <c r="A1981" s="32" t="str">
        <f aca="false">IF(L1981="","",ROW()-4)</f>
        <v/>
      </c>
      <c r="B1981" s="58" t="str">
        <f aca="false">IF(L1981="","",IF(INDEX(ポート振替表!$W$5:$W$3507,$L1981)="","(なし)",INDEX(ポート振替表!$W$5:$W$3507,$L1981)&amp;""))</f>
        <v/>
      </c>
      <c r="C1981" s="52" t="str">
        <f aca="false">IF(L1981="","",INDEX(ポート振替表!$B$5:$B$3507,$L1981)&amp;" "&amp;INDEX(ポート振替表!$C$5:$C$3507,$L1981)&amp;"  ⇔  "&amp;INDEX(ポート振替表!$H$5:$H$3507,$L1981)&amp;" "&amp;INDEX(ポート振替表!$I$5:$I$3507,$L1981))</f>
        <v/>
      </c>
      <c r="D1981" s="57" t="s">
        <v>158</v>
      </c>
      <c r="E1981" s="59" t="str">
        <f aca="false">IF(L1981="","",IF(INDEX(ポート振替表!$O$5:$O$3507,$L1981)="","(未設定)",INDEX(ポート振替表!$O$5:$O$3507,$L1981)&amp;""))</f>
        <v/>
      </c>
      <c r="F1981" s="52" t="str">
        <f aca="false">IF(L1981="","",INDEX(ポート振替表!$K$5:$K$3507,$L1981)&amp;" "&amp;INDEX(ポート振替表!$L$5:$L$3507,$L1981)&amp;"  ⇔  "&amp;INDEX(ポート振替表!$H$5:$H$3507,$L1981)&amp;" "&amp;INDEX(ポート振替表!$I$5:$I$3507,$L1981))</f>
        <v/>
      </c>
      <c r="G1981" s="57" t="s">
        <v>158</v>
      </c>
      <c r="H1981" s="32" t="str">
        <f aca="false">IF(L1981="","",INDEX(ポート振替表!$N$5:$N$3507,$L1981)&amp;"")</f>
        <v/>
      </c>
      <c r="I1981" s="32" t="str">
        <f aca="false">IF(L1981="","",INDEX(ポート振替表!$P$5:$P$3507,$L1981)&amp;"")</f>
        <v/>
      </c>
      <c r="J1981" s="60" t="str">
        <f aca="false">IF(L1981="","",INDEX(ポート振替表!$M$5:$M$3507,$L1981)&amp;"")</f>
        <v/>
      </c>
      <c r="K1981" s="52" t="str">
        <f aca="false">IF(L1981="","",E1981&amp;CHAR(10)&amp;INDEX(ポート振替表!$K$5:$K$3507,$L1981)&amp;" "&amp;INDEX(ポート振替表!$L$5:$L$3507,$L1981)&amp;CHAR(10)&amp;"⇔ "&amp;INDEX(ポート振替表!$H$5:$H$3507,$L1981)&amp;" "&amp;INDEX(ポート振替表!$I$5:$I$3507,$L1981))</f>
        <v/>
      </c>
      <c r="L1981" s="47" t="str">
        <f aca="false">IFERROR(MATCH(ROW()-4,ポート振替表!$V$5:$V$3507,0),"")</f>
        <v/>
      </c>
    </row>
    <row r="1982" customFormat="false" ht="16.4" hidden="false" customHeight="false" outlineLevel="0" collapsed="false">
      <c r="A1982" s="32" t="str">
        <f aca="false">IF(L1982="","",ROW()-4)</f>
        <v/>
      </c>
      <c r="B1982" s="58" t="str">
        <f aca="false">IF(L1982="","",IF(INDEX(ポート振替表!$W$5:$W$3507,$L1982)="","(なし)",INDEX(ポート振替表!$W$5:$W$3507,$L1982)&amp;""))</f>
        <v/>
      </c>
      <c r="C1982" s="52" t="str">
        <f aca="false">IF(L1982="","",INDEX(ポート振替表!$B$5:$B$3507,$L1982)&amp;" "&amp;INDEX(ポート振替表!$C$5:$C$3507,$L1982)&amp;"  ⇔  "&amp;INDEX(ポート振替表!$H$5:$H$3507,$L1982)&amp;" "&amp;INDEX(ポート振替表!$I$5:$I$3507,$L1982))</f>
        <v/>
      </c>
      <c r="D1982" s="57" t="s">
        <v>158</v>
      </c>
      <c r="E1982" s="59" t="str">
        <f aca="false">IF(L1982="","",IF(INDEX(ポート振替表!$O$5:$O$3507,$L1982)="","(未設定)",INDEX(ポート振替表!$O$5:$O$3507,$L1982)&amp;""))</f>
        <v/>
      </c>
      <c r="F1982" s="52" t="str">
        <f aca="false">IF(L1982="","",INDEX(ポート振替表!$K$5:$K$3507,$L1982)&amp;" "&amp;INDEX(ポート振替表!$L$5:$L$3507,$L1982)&amp;"  ⇔  "&amp;INDEX(ポート振替表!$H$5:$H$3507,$L1982)&amp;" "&amp;INDEX(ポート振替表!$I$5:$I$3507,$L1982))</f>
        <v/>
      </c>
      <c r="G1982" s="57" t="s">
        <v>158</v>
      </c>
      <c r="H1982" s="32" t="str">
        <f aca="false">IF(L1982="","",INDEX(ポート振替表!$N$5:$N$3507,$L1982)&amp;"")</f>
        <v/>
      </c>
      <c r="I1982" s="32" t="str">
        <f aca="false">IF(L1982="","",INDEX(ポート振替表!$P$5:$P$3507,$L1982)&amp;"")</f>
        <v/>
      </c>
      <c r="J1982" s="60" t="str">
        <f aca="false">IF(L1982="","",INDEX(ポート振替表!$M$5:$M$3507,$L1982)&amp;"")</f>
        <v/>
      </c>
      <c r="K1982" s="52" t="str">
        <f aca="false">IF(L1982="","",E1982&amp;CHAR(10)&amp;INDEX(ポート振替表!$K$5:$K$3507,$L1982)&amp;" "&amp;INDEX(ポート振替表!$L$5:$L$3507,$L1982)&amp;CHAR(10)&amp;"⇔ "&amp;INDEX(ポート振替表!$H$5:$H$3507,$L1982)&amp;" "&amp;INDEX(ポート振替表!$I$5:$I$3507,$L1982))</f>
        <v/>
      </c>
      <c r="L1982" s="47" t="str">
        <f aca="false">IFERROR(MATCH(ROW()-4,ポート振替表!$V$5:$V$3507,0),"")</f>
        <v/>
      </c>
    </row>
    <row r="1983" customFormat="false" ht="16.4" hidden="false" customHeight="false" outlineLevel="0" collapsed="false">
      <c r="A1983" s="32" t="str">
        <f aca="false">IF(L1983="","",ROW()-4)</f>
        <v/>
      </c>
      <c r="B1983" s="58" t="str">
        <f aca="false">IF(L1983="","",IF(INDEX(ポート振替表!$W$5:$W$3507,$L1983)="","(なし)",INDEX(ポート振替表!$W$5:$W$3507,$L1983)&amp;""))</f>
        <v/>
      </c>
      <c r="C1983" s="52" t="str">
        <f aca="false">IF(L1983="","",INDEX(ポート振替表!$B$5:$B$3507,$L1983)&amp;" "&amp;INDEX(ポート振替表!$C$5:$C$3507,$L1983)&amp;"  ⇔  "&amp;INDEX(ポート振替表!$H$5:$H$3507,$L1983)&amp;" "&amp;INDEX(ポート振替表!$I$5:$I$3507,$L1983))</f>
        <v/>
      </c>
      <c r="D1983" s="57" t="s">
        <v>158</v>
      </c>
      <c r="E1983" s="59" t="str">
        <f aca="false">IF(L1983="","",IF(INDEX(ポート振替表!$O$5:$O$3507,$L1983)="","(未設定)",INDEX(ポート振替表!$O$5:$O$3507,$L1983)&amp;""))</f>
        <v/>
      </c>
      <c r="F1983" s="52" t="str">
        <f aca="false">IF(L1983="","",INDEX(ポート振替表!$K$5:$K$3507,$L1983)&amp;" "&amp;INDEX(ポート振替表!$L$5:$L$3507,$L1983)&amp;"  ⇔  "&amp;INDEX(ポート振替表!$H$5:$H$3507,$L1983)&amp;" "&amp;INDEX(ポート振替表!$I$5:$I$3507,$L1983))</f>
        <v/>
      </c>
      <c r="G1983" s="57" t="s">
        <v>158</v>
      </c>
      <c r="H1983" s="32" t="str">
        <f aca="false">IF(L1983="","",INDEX(ポート振替表!$N$5:$N$3507,$L1983)&amp;"")</f>
        <v/>
      </c>
      <c r="I1983" s="32" t="str">
        <f aca="false">IF(L1983="","",INDEX(ポート振替表!$P$5:$P$3507,$L1983)&amp;"")</f>
        <v/>
      </c>
      <c r="J1983" s="60" t="str">
        <f aca="false">IF(L1983="","",INDEX(ポート振替表!$M$5:$M$3507,$L1983)&amp;"")</f>
        <v/>
      </c>
      <c r="K1983" s="52" t="str">
        <f aca="false">IF(L1983="","",E1983&amp;CHAR(10)&amp;INDEX(ポート振替表!$K$5:$K$3507,$L1983)&amp;" "&amp;INDEX(ポート振替表!$L$5:$L$3507,$L1983)&amp;CHAR(10)&amp;"⇔ "&amp;INDEX(ポート振替表!$H$5:$H$3507,$L1983)&amp;" "&amp;INDEX(ポート振替表!$I$5:$I$3507,$L1983))</f>
        <v/>
      </c>
      <c r="L1983" s="47" t="str">
        <f aca="false">IFERROR(MATCH(ROW()-4,ポート振替表!$V$5:$V$3507,0),"")</f>
        <v/>
      </c>
    </row>
    <row r="1984" customFormat="false" ht="16.4" hidden="false" customHeight="false" outlineLevel="0" collapsed="false">
      <c r="A1984" s="32" t="str">
        <f aca="false">IF(L1984="","",ROW()-4)</f>
        <v/>
      </c>
      <c r="B1984" s="58" t="str">
        <f aca="false">IF(L1984="","",IF(INDEX(ポート振替表!$W$5:$W$3507,$L1984)="","(なし)",INDEX(ポート振替表!$W$5:$W$3507,$L1984)&amp;""))</f>
        <v/>
      </c>
      <c r="C1984" s="52" t="str">
        <f aca="false">IF(L1984="","",INDEX(ポート振替表!$B$5:$B$3507,$L1984)&amp;" "&amp;INDEX(ポート振替表!$C$5:$C$3507,$L1984)&amp;"  ⇔  "&amp;INDEX(ポート振替表!$H$5:$H$3507,$L1984)&amp;" "&amp;INDEX(ポート振替表!$I$5:$I$3507,$L1984))</f>
        <v/>
      </c>
      <c r="D1984" s="57" t="s">
        <v>158</v>
      </c>
      <c r="E1984" s="59" t="str">
        <f aca="false">IF(L1984="","",IF(INDEX(ポート振替表!$O$5:$O$3507,$L1984)="","(未設定)",INDEX(ポート振替表!$O$5:$O$3507,$L1984)&amp;""))</f>
        <v/>
      </c>
      <c r="F1984" s="52" t="str">
        <f aca="false">IF(L1984="","",INDEX(ポート振替表!$K$5:$K$3507,$L1984)&amp;" "&amp;INDEX(ポート振替表!$L$5:$L$3507,$L1984)&amp;"  ⇔  "&amp;INDEX(ポート振替表!$H$5:$H$3507,$L1984)&amp;" "&amp;INDEX(ポート振替表!$I$5:$I$3507,$L1984))</f>
        <v/>
      </c>
      <c r="G1984" s="57" t="s">
        <v>158</v>
      </c>
      <c r="H1984" s="32" t="str">
        <f aca="false">IF(L1984="","",INDEX(ポート振替表!$N$5:$N$3507,$L1984)&amp;"")</f>
        <v/>
      </c>
      <c r="I1984" s="32" t="str">
        <f aca="false">IF(L1984="","",INDEX(ポート振替表!$P$5:$P$3507,$L1984)&amp;"")</f>
        <v/>
      </c>
      <c r="J1984" s="60" t="str">
        <f aca="false">IF(L1984="","",INDEX(ポート振替表!$M$5:$M$3507,$L1984)&amp;"")</f>
        <v/>
      </c>
      <c r="K1984" s="52" t="str">
        <f aca="false">IF(L1984="","",E1984&amp;CHAR(10)&amp;INDEX(ポート振替表!$K$5:$K$3507,$L1984)&amp;" "&amp;INDEX(ポート振替表!$L$5:$L$3507,$L1984)&amp;CHAR(10)&amp;"⇔ "&amp;INDEX(ポート振替表!$H$5:$H$3507,$L1984)&amp;" "&amp;INDEX(ポート振替表!$I$5:$I$3507,$L1984))</f>
        <v/>
      </c>
      <c r="L1984" s="47" t="str">
        <f aca="false">IFERROR(MATCH(ROW()-4,ポート振替表!$V$5:$V$3507,0),"")</f>
        <v/>
      </c>
    </row>
    <row r="1985" customFormat="false" ht="16.4" hidden="false" customHeight="false" outlineLevel="0" collapsed="false">
      <c r="A1985" s="32" t="str">
        <f aca="false">IF(L1985="","",ROW()-4)</f>
        <v/>
      </c>
      <c r="B1985" s="58" t="str">
        <f aca="false">IF(L1985="","",IF(INDEX(ポート振替表!$W$5:$W$3507,$L1985)="","(なし)",INDEX(ポート振替表!$W$5:$W$3507,$L1985)&amp;""))</f>
        <v/>
      </c>
      <c r="C1985" s="52" t="str">
        <f aca="false">IF(L1985="","",INDEX(ポート振替表!$B$5:$B$3507,$L1985)&amp;" "&amp;INDEX(ポート振替表!$C$5:$C$3507,$L1985)&amp;"  ⇔  "&amp;INDEX(ポート振替表!$H$5:$H$3507,$L1985)&amp;" "&amp;INDEX(ポート振替表!$I$5:$I$3507,$L1985))</f>
        <v/>
      </c>
      <c r="D1985" s="57" t="s">
        <v>158</v>
      </c>
      <c r="E1985" s="59" t="str">
        <f aca="false">IF(L1985="","",IF(INDEX(ポート振替表!$O$5:$O$3507,$L1985)="","(未設定)",INDEX(ポート振替表!$O$5:$O$3507,$L1985)&amp;""))</f>
        <v/>
      </c>
      <c r="F1985" s="52" t="str">
        <f aca="false">IF(L1985="","",INDEX(ポート振替表!$K$5:$K$3507,$L1985)&amp;" "&amp;INDEX(ポート振替表!$L$5:$L$3507,$L1985)&amp;"  ⇔  "&amp;INDEX(ポート振替表!$H$5:$H$3507,$L1985)&amp;" "&amp;INDEX(ポート振替表!$I$5:$I$3507,$L1985))</f>
        <v/>
      </c>
      <c r="G1985" s="57" t="s">
        <v>158</v>
      </c>
      <c r="H1985" s="32" t="str">
        <f aca="false">IF(L1985="","",INDEX(ポート振替表!$N$5:$N$3507,$L1985)&amp;"")</f>
        <v/>
      </c>
      <c r="I1985" s="32" t="str">
        <f aca="false">IF(L1985="","",INDEX(ポート振替表!$P$5:$P$3507,$L1985)&amp;"")</f>
        <v/>
      </c>
      <c r="J1985" s="60" t="str">
        <f aca="false">IF(L1985="","",INDEX(ポート振替表!$M$5:$M$3507,$L1985)&amp;"")</f>
        <v/>
      </c>
      <c r="K1985" s="52" t="str">
        <f aca="false">IF(L1985="","",E1985&amp;CHAR(10)&amp;INDEX(ポート振替表!$K$5:$K$3507,$L1985)&amp;" "&amp;INDEX(ポート振替表!$L$5:$L$3507,$L1985)&amp;CHAR(10)&amp;"⇔ "&amp;INDEX(ポート振替表!$H$5:$H$3507,$L1985)&amp;" "&amp;INDEX(ポート振替表!$I$5:$I$3507,$L1985))</f>
        <v/>
      </c>
      <c r="L1985" s="47" t="str">
        <f aca="false">IFERROR(MATCH(ROW()-4,ポート振替表!$V$5:$V$3507,0),"")</f>
        <v/>
      </c>
    </row>
    <row r="1986" customFormat="false" ht="16.4" hidden="false" customHeight="false" outlineLevel="0" collapsed="false">
      <c r="A1986" s="32" t="str">
        <f aca="false">IF(L1986="","",ROW()-4)</f>
        <v/>
      </c>
      <c r="B1986" s="58" t="str">
        <f aca="false">IF(L1986="","",IF(INDEX(ポート振替表!$W$5:$W$3507,$L1986)="","(なし)",INDEX(ポート振替表!$W$5:$W$3507,$L1986)&amp;""))</f>
        <v/>
      </c>
      <c r="C1986" s="52" t="str">
        <f aca="false">IF(L1986="","",INDEX(ポート振替表!$B$5:$B$3507,$L1986)&amp;" "&amp;INDEX(ポート振替表!$C$5:$C$3507,$L1986)&amp;"  ⇔  "&amp;INDEX(ポート振替表!$H$5:$H$3507,$L1986)&amp;" "&amp;INDEX(ポート振替表!$I$5:$I$3507,$L1986))</f>
        <v/>
      </c>
      <c r="D1986" s="57" t="s">
        <v>158</v>
      </c>
      <c r="E1986" s="59" t="str">
        <f aca="false">IF(L1986="","",IF(INDEX(ポート振替表!$O$5:$O$3507,$L1986)="","(未設定)",INDEX(ポート振替表!$O$5:$O$3507,$L1986)&amp;""))</f>
        <v/>
      </c>
      <c r="F1986" s="52" t="str">
        <f aca="false">IF(L1986="","",INDEX(ポート振替表!$K$5:$K$3507,$L1986)&amp;" "&amp;INDEX(ポート振替表!$L$5:$L$3507,$L1986)&amp;"  ⇔  "&amp;INDEX(ポート振替表!$H$5:$H$3507,$L1986)&amp;" "&amp;INDEX(ポート振替表!$I$5:$I$3507,$L1986))</f>
        <v/>
      </c>
      <c r="G1986" s="57" t="s">
        <v>158</v>
      </c>
      <c r="H1986" s="32" t="str">
        <f aca="false">IF(L1986="","",INDEX(ポート振替表!$N$5:$N$3507,$L1986)&amp;"")</f>
        <v/>
      </c>
      <c r="I1986" s="32" t="str">
        <f aca="false">IF(L1986="","",INDEX(ポート振替表!$P$5:$P$3507,$L1986)&amp;"")</f>
        <v/>
      </c>
      <c r="J1986" s="60" t="str">
        <f aca="false">IF(L1986="","",INDEX(ポート振替表!$M$5:$M$3507,$L1986)&amp;"")</f>
        <v/>
      </c>
      <c r="K1986" s="52" t="str">
        <f aca="false">IF(L1986="","",E1986&amp;CHAR(10)&amp;INDEX(ポート振替表!$K$5:$K$3507,$L1986)&amp;" "&amp;INDEX(ポート振替表!$L$5:$L$3507,$L1986)&amp;CHAR(10)&amp;"⇔ "&amp;INDEX(ポート振替表!$H$5:$H$3507,$L1986)&amp;" "&amp;INDEX(ポート振替表!$I$5:$I$3507,$L1986))</f>
        <v/>
      </c>
      <c r="L1986" s="47" t="str">
        <f aca="false">IFERROR(MATCH(ROW()-4,ポート振替表!$V$5:$V$3507,0),"")</f>
        <v/>
      </c>
    </row>
    <row r="1987" customFormat="false" ht="16.4" hidden="false" customHeight="false" outlineLevel="0" collapsed="false">
      <c r="A1987" s="32" t="str">
        <f aca="false">IF(L1987="","",ROW()-4)</f>
        <v/>
      </c>
      <c r="B1987" s="58" t="str">
        <f aca="false">IF(L1987="","",IF(INDEX(ポート振替表!$W$5:$W$3507,$L1987)="","(なし)",INDEX(ポート振替表!$W$5:$W$3507,$L1987)&amp;""))</f>
        <v/>
      </c>
      <c r="C1987" s="52" t="str">
        <f aca="false">IF(L1987="","",INDEX(ポート振替表!$B$5:$B$3507,$L1987)&amp;" "&amp;INDEX(ポート振替表!$C$5:$C$3507,$L1987)&amp;"  ⇔  "&amp;INDEX(ポート振替表!$H$5:$H$3507,$L1987)&amp;" "&amp;INDEX(ポート振替表!$I$5:$I$3507,$L1987))</f>
        <v/>
      </c>
      <c r="D1987" s="57" t="s">
        <v>158</v>
      </c>
      <c r="E1987" s="59" t="str">
        <f aca="false">IF(L1987="","",IF(INDEX(ポート振替表!$O$5:$O$3507,$L1987)="","(未設定)",INDEX(ポート振替表!$O$5:$O$3507,$L1987)&amp;""))</f>
        <v/>
      </c>
      <c r="F1987" s="52" t="str">
        <f aca="false">IF(L1987="","",INDEX(ポート振替表!$K$5:$K$3507,$L1987)&amp;" "&amp;INDEX(ポート振替表!$L$5:$L$3507,$L1987)&amp;"  ⇔  "&amp;INDEX(ポート振替表!$H$5:$H$3507,$L1987)&amp;" "&amp;INDEX(ポート振替表!$I$5:$I$3507,$L1987))</f>
        <v/>
      </c>
      <c r="G1987" s="57" t="s">
        <v>158</v>
      </c>
      <c r="H1987" s="32" t="str">
        <f aca="false">IF(L1987="","",INDEX(ポート振替表!$N$5:$N$3507,$L1987)&amp;"")</f>
        <v/>
      </c>
      <c r="I1987" s="32" t="str">
        <f aca="false">IF(L1987="","",INDEX(ポート振替表!$P$5:$P$3507,$L1987)&amp;"")</f>
        <v/>
      </c>
      <c r="J1987" s="60" t="str">
        <f aca="false">IF(L1987="","",INDEX(ポート振替表!$M$5:$M$3507,$L1987)&amp;"")</f>
        <v/>
      </c>
      <c r="K1987" s="52" t="str">
        <f aca="false">IF(L1987="","",E1987&amp;CHAR(10)&amp;INDEX(ポート振替表!$K$5:$K$3507,$L1987)&amp;" "&amp;INDEX(ポート振替表!$L$5:$L$3507,$L1987)&amp;CHAR(10)&amp;"⇔ "&amp;INDEX(ポート振替表!$H$5:$H$3507,$L1987)&amp;" "&amp;INDEX(ポート振替表!$I$5:$I$3507,$L1987))</f>
        <v/>
      </c>
      <c r="L1987" s="47" t="str">
        <f aca="false">IFERROR(MATCH(ROW()-4,ポート振替表!$V$5:$V$3507,0),"")</f>
        <v/>
      </c>
    </row>
    <row r="1988" customFormat="false" ht="16.4" hidden="false" customHeight="false" outlineLevel="0" collapsed="false">
      <c r="A1988" s="32" t="str">
        <f aca="false">IF(L1988="","",ROW()-4)</f>
        <v/>
      </c>
      <c r="B1988" s="58" t="str">
        <f aca="false">IF(L1988="","",IF(INDEX(ポート振替表!$W$5:$W$3507,$L1988)="","(なし)",INDEX(ポート振替表!$W$5:$W$3507,$L1988)&amp;""))</f>
        <v/>
      </c>
      <c r="C1988" s="52" t="str">
        <f aca="false">IF(L1988="","",INDEX(ポート振替表!$B$5:$B$3507,$L1988)&amp;" "&amp;INDEX(ポート振替表!$C$5:$C$3507,$L1988)&amp;"  ⇔  "&amp;INDEX(ポート振替表!$H$5:$H$3507,$L1988)&amp;" "&amp;INDEX(ポート振替表!$I$5:$I$3507,$L1988))</f>
        <v/>
      </c>
      <c r="D1988" s="57" t="s">
        <v>158</v>
      </c>
      <c r="E1988" s="59" t="str">
        <f aca="false">IF(L1988="","",IF(INDEX(ポート振替表!$O$5:$O$3507,$L1988)="","(未設定)",INDEX(ポート振替表!$O$5:$O$3507,$L1988)&amp;""))</f>
        <v/>
      </c>
      <c r="F1988" s="52" t="str">
        <f aca="false">IF(L1988="","",INDEX(ポート振替表!$K$5:$K$3507,$L1988)&amp;" "&amp;INDEX(ポート振替表!$L$5:$L$3507,$L1988)&amp;"  ⇔  "&amp;INDEX(ポート振替表!$H$5:$H$3507,$L1988)&amp;" "&amp;INDEX(ポート振替表!$I$5:$I$3507,$L1988))</f>
        <v/>
      </c>
      <c r="G1988" s="57" t="s">
        <v>158</v>
      </c>
      <c r="H1988" s="32" t="str">
        <f aca="false">IF(L1988="","",INDEX(ポート振替表!$N$5:$N$3507,$L1988)&amp;"")</f>
        <v/>
      </c>
      <c r="I1988" s="32" t="str">
        <f aca="false">IF(L1988="","",INDEX(ポート振替表!$P$5:$P$3507,$L1988)&amp;"")</f>
        <v/>
      </c>
      <c r="J1988" s="60" t="str">
        <f aca="false">IF(L1988="","",INDEX(ポート振替表!$M$5:$M$3507,$L1988)&amp;"")</f>
        <v/>
      </c>
      <c r="K1988" s="52" t="str">
        <f aca="false">IF(L1988="","",E1988&amp;CHAR(10)&amp;INDEX(ポート振替表!$K$5:$K$3507,$L1988)&amp;" "&amp;INDEX(ポート振替表!$L$5:$L$3507,$L1988)&amp;CHAR(10)&amp;"⇔ "&amp;INDEX(ポート振替表!$H$5:$H$3507,$L1988)&amp;" "&amp;INDEX(ポート振替表!$I$5:$I$3507,$L1988))</f>
        <v/>
      </c>
      <c r="L1988" s="47" t="str">
        <f aca="false">IFERROR(MATCH(ROW()-4,ポート振替表!$V$5:$V$3507,0),"")</f>
        <v/>
      </c>
    </row>
    <row r="1989" customFormat="false" ht="16.4" hidden="false" customHeight="false" outlineLevel="0" collapsed="false">
      <c r="A1989" s="32" t="str">
        <f aca="false">IF(L1989="","",ROW()-4)</f>
        <v/>
      </c>
      <c r="B1989" s="58" t="str">
        <f aca="false">IF(L1989="","",IF(INDEX(ポート振替表!$W$5:$W$3507,$L1989)="","(なし)",INDEX(ポート振替表!$W$5:$W$3507,$L1989)&amp;""))</f>
        <v/>
      </c>
      <c r="C1989" s="52" t="str">
        <f aca="false">IF(L1989="","",INDEX(ポート振替表!$B$5:$B$3507,$L1989)&amp;" "&amp;INDEX(ポート振替表!$C$5:$C$3507,$L1989)&amp;"  ⇔  "&amp;INDEX(ポート振替表!$H$5:$H$3507,$L1989)&amp;" "&amp;INDEX(ポート振替表!$I$5:$I$3507,$L1989))</f>
        <v/>
      </c>
      <c r="D1989" s="57" t="s">
        <v>158</v>
      </c>
      <c r="E1989" s="59" t="str">
        <f aca="false">IF(L1989="","",IF(INDEX(ポート振替表!$O$5:$O$3507,$L1989)="","(未設定)",INDEX(ポート振替表!$O$5:$O$3507,$L1989)&amp;""))</f>
        <v/>
      </c>
      <c r="F1989" s="52" t="str">
        <f aca="false">IF(L1989="","",INDEX(ポート振替表!$K$5:$K$3507,$L1989)&amp;" "&amp;INDEX(ポート振替表!$L$5:$L$3507,$L1989)&amp;"  ⇔  "&amp;INDEX(ポート振替表!$H$5:$H$3507,$L1989)&amp;" "&amp;INDEX(ポート振替表!$I$5:$I$3507,$L1989))</f>
        <v/>
      </c>
      <c r="G1989" s="57" t="s">
        <v>158</v>
      </c>
      <c r="H1989" s="32" t="str">
        <f aca="false">IF(L1989="","",INDEX(ポート振替表!$N$5:$N$3507,$L1989)&amp;"")</f>
        <v/>
      </c>
      <c r="I1989" s="32" t="str">
        <f aca="false">IF(L1989="","",INDEX(ポート振替表!$P$5:$P$3507,$L1989)&amp;"")</f>
        <v/>
      </c>
      <c r="J1989" s="60" t="str">
        <f aca="false">IF(L1989="","",INDEX(ポート振替表!$M$5:$M$3507,$L1989)&amp;"")</f>
        <v/>
      </c>
      <c r="K1989" s="52" t="str">
        <f aca="false">IF(L1989="","",E1989&amp;CHAR(10)&amp;INDEX(ポート振替表!$K$5:$K$3507,$L1989)&amp;" "&amp;INDEX(ポート振替表!$L$5:$L$3507,$L1989)&amp;CHAR(10)&amp;"⇔ "&amp;INDEX(ポート振替表!$H$5:$H$3507,$L1989)&amp;" "&amp;INDEX(ポート振替表!$I$5:$I$3507,$L1989))</f>
        <v/>
      </c>
      <c r="L1989" s="47" t="str">
        <f aca="false">IFERROR(MATCH(ROW()-4,ポート振替表!$V$5:$V$3507,0),"")</f>
        <v/>
      </c>
    </row>
    <row r="1990" customFormat="false" ht="16.4" hidden="false" customHeight="false" outlineLevel="0" collapsed="false">
      <c r="A1990" s="32" t="str">
        <f aca="false">IF(L1990="","",ROW()-4)</f>
        <v/>
      </c>
      <c r="B1990" s="58" t="str">
        <f aca="false">IF(L1990="","",IF(INDEX(ポート振替表!$W$5:$W$3507,$L1990)="","(なし)",INDEX(ポート振替表!$W$5:$W$3507,$L1990)&amp;""))</f>
        <v/>
      </c>
      <c r="C1990" s="52" t="str">
        <f aca="false">IF(L1990="","",INDEX(ポート振替表!$B$5:$B$3507,$L1990)&amp;" "&amp;INDEX(ポート振替表!$C$5:$C$3507,$L1990)&amp;"  ⇔  "&amp;INDEX(ポート振替表!$H$5:$H$3507,$L1990)&amp;" "&amp;INDEX(ポート振替表!$I$5:$I$3507,$L1990))</f>
        <v/>
      </c>
      <c r="D1990" s="57" t="s">
        <v>158</v>
      </c>
      <c r="E1990" s="59" t="str">
        <f aca="false">IF(L1990="","",IF(INDEX(ポート振替表!$O$5:$O$3507,$L1990)="","(未設定)",INDEX(ポート振替表!$O$5:$O$3507,$L1990)&amp;""))</f>
        <v/>
      </c>
      <c r="F1990" s="52" t="str">
        <f aca="false">IF(L1990="","",INDEX(ポート振替表!$K$5:$K$3507,$L1990)&amp;" "&amp;INDEX(ポート振替表!$L$5:$L$3507,$L1990)&amp;"  ⇔  "&amp;INDEX(ポート振替表!$H$5:$H$3507,$L1990)&amp;" "&amp;INDEX(ポート振替表!$I$5:$I$3507,$L1990))</f>
        <v/>
      </c>
      <c r="G1990" s="57" t="s">
        <v>158</v>
      </c>
      <c r="H1990" s="32" t="str">
        <f aca="false">IF(L1990="","",INDEX(ポート振替表!$N$5:$N$3507,$L1990)&amp;"")</f>
        <v/>
      </c>
      <c r="I1990" s="32" t="str">
        <f aca="false">IF(L1990="","",INDEX(ポート振替表!$P$5:$P$3507,$L1990)&amp;"")</f>
        <v/>
      </c>
      <c r="J1990" s="60" t="str">
        <f aca="false">IF(L1990="","",INDEX(ポート振替表!$M$5:$M$3507,$L1990)&amp;"")</f>
        <v/>
      </c>
      <c r="K1990" s="52" t="str">
        <f aca="false">IF(L1990="","",E1990&amp;CHAR(10)&amp;INDEX(ポート振替表!$K$5:$K$3507,$L1990)&amp;" "&amp;INDEX(ポート振替表!$L$5:$L$3507,$L1990)&amp;CHAR(10)&amp;"⇔ "&amp;INDEX(ポート振替表!$H$5:$H$3507,$L1990)&amp;" "&amp;INDEX(ポート振替表!$I$5:$I$3507,$L1990))</f>
        <v/>
      </c>
      <c r="L1990" s="47" t="str">
        <f aca="false">IFERROR(MATCH(ROW()-4,ポート振替表!$V$5:$V$3507,0),"")</f>
        <v/>
      </c>
    </row>
    <row r="1991" customFormat="false" ht="16.4" hidden="false" customHeight="false" outlineLevel="0" collapsed="false">
      <c r="A1991" s="32" t="str">
        <f aca="false">IF(L1991="","",ROW()-4)</f>
        <v/>
      </c>
      <c r="B1991" s="58" t="str">
        <f aca="false">IF(L1991="","",IF(INDEX(ポート振替表!$W$5:$W$3507,$L1991)="","(なし)",INDEX(ポート振替表!$W$5:$W$3507,$L1991)&amp;""))</f>
        <v/>
      </c>
      <c r="C1991" s="52" t="str">
        <f aca="false">IF(L1991="","",INDEX(ポート振替表!$B$5:$B$3507,$L1991)&amp;" "&amp;INDEX(ポート振替表!$C$5:$C$3507,$L1991)&amp;"  ⇔  "&amp;INDEX(ポート振替表!$H$5:$H$3507,$L1991)&amp;" "&amp;INDEX(ポート振替表!$I$5:$I$3507,$L1991))</f>
        <v/>
      </c>
      <c r="D1991" s="57" t="s">
        <v>158</v>
      </c>
      <c r="E1991" s="59" t="str">
        <f aca="false">IF(L1991="","",IF(INDEX(ポート振替表!$O$5:$O$3507,$L1991)="","(未設定)",INDEX(ポート振替表!$O$5:$O$3507,$L1991)&amp;""))</f>
        <v/>
      </c>
      <c r="F1991" s="52" t="str">
        <f aca="false">IF(L1991="","",INDEX(ポート振替表!$K$5:$K$3507,$L1991)&amp;" "&amp;INDEX(ポート振替表!$L$5:$L$3507,$L1991)&amp;"  ⇔  "&amp;INDEX(ポート振替表!$H$5:$H$3507,$L1991)&amp;" "&amp;INDEX(ポート振替表!$I$5:$I$3507,$L1991))</f>
        <v/>
      </c>
      <c r="G1991" s="57" t="s">
        <v>158</v>
      </c>
      <c r="H1991" s="32" t="str">
        <f aca="false">IF(L1991="","",INDEX(ポート振替表!$N$5:$N$3507,$L1991)&amp;"")</f>
        <v/>
      </c>
      <c r="I1991" s="32" t="str">
        <f aca="false">IF(L1991="","",INDEX(ポート振替表!$P$5:$P$3507,$L1991)&amp;"")</f>
        <v/>
      </c>
      <c r="J1991" s="60" t="str">
        <f aca="false">IF(L1991="","",INDEX(ポート振替表!$M$5:$M$3507,$L1991)&amp;"")</f>
        <v/>
      </c>
      <c r="K1991" s="52" t="str">
        <f aca="false">IF(L1991="","",E1991&amp;CHAR(10)&amp;INDEX(ポート振替表!$K$5:$K$3507,$L1991)&amp;" "&amp;INDEX(ポート振替表!$L$5:$L$3507,$L1991)&amp;CHAR(10)&amp;"⇔ "&amp;INDEX(ポート振替表!$H$5:$H$3507,$L1991)&amp;" "&amp;INDEX(ポート振替表!$I$5:$I$3507,$L1991))</f>
        <v/>
      </c>
      <c r="L1991" s="47" t="str">
        <f aca="false">IFERROR(MATCH(ROW()-4,ポート振替表!$V$5:$V$3507,0),"")</f>
        <v/>
      </c>
    </row>
    <row r="1992" customFormat="false" ht="16.4" hidden="false" customHeight="false" outlineLevel="0" collapsed="false">
      <c r="A1992" s="32" t="str">
        <f aca="false">IF(L1992="","",ROW()-4)</f>
        <v/>
      </c>
      <c r="B1992" s="58" t="str">
        <f aca="false">IF(L1992="","",IF(INDEX(ポート振替表!$W$5:$W$3507,$L1992)="","(なし)",INDEX(ポート振替表!$W$5:$W$3507,$L1992)&amp;""))</f>
        <v/>
      </c>
      <c r="C1992" s="52" t="str">
        <f aca="false">IF(L1992="","",INDEX(ポート振替表!$B$5:$B$3507,$L1992)&amp;" "&amp;INDEX(ポート振替表!$C$5:$C$3507,$L1992)&amp;"  ⇔  "&amp;INDEX(ポート振替表!$H$5:$H$3507,$L1992)&amp;" "&amp;INDEX(ポート振替表!$I$5:$I$3507,$L1992))</f>
        <v/>
      </c>
      <c r="D1992" s="57" t="s">
        <v>158</v>
      </c>
      <c r="E1992" s="59" t="str">
        <f aca="false">IF(L1992="","",IF(INDEX(ポート振替表!$O$5:$O$3507,$L1992)="","(未設定)",INDEX(ポート振替表!$O$5:$O$3507,$L1992)&amp;""))</f>
        <v/>
      </c>
      <c r="F1992" s="52" t="str">
        <f aca="false">IF(L1992="","",INDEX(ポート振替表!$K$5:$K$3507,$L1992)&amp;" "&amp;INDEX(ポート振替表!$L$5:$L$3507,$L1992)&amp;"  ⇔  "&amp;INDEX(ポート振替表!$H$5:$H$3507,$L1992)&amp;" "&amp;INDEX(ポート振替表!$I$5:$I$3507,$L1992))</f>
        <v/>
      </c>
      <c r="G1992" s="57" t="s">
        <v>158</v>
      </c>
      <c r="H1992" s="32" t="str">
        <f aca="false">IF(L1992="","",INDEX(ポート振替表!$N$5:$N$3507,$L1992)&amp;"")</f>
        <v/>
      </c>
      <c r="I1992" s="32" t="str">
        <f aca="false">IF(L1992="","",INDEX(ポート振替表!$P$5:$P$3507,$L1992)&amp;"")</f>
        <v/>
      </c>
      <c r="J1992" s="60" t="str">
        <f aca="false">IF(L1992="","",INDEX(ポート振替表!$M$5:$M$3507,$L1992)&amp;"")</f>
        <v/>
      </c>
      <c r="K1992" s="52" t="str">
        <f aca="false">IF(L1992="","",E1992&amp;CHAR(10)&amp;INDEX(ポート振替表!$K$5:$K$3507,$L1992)&amp;" "&amp;INDEX(ポート振替表!$L$5:$L$3507,$L1992)&amp;CHAR(10)&amp;"⇔ "&amp;INDEX(ポート振替表!$H$5:$H$3507,$L1992)&amp;" "&amp;INDEX(ポート振替表!$I$5:$I$3507,$L1992))</f>
        <v/>
      </c>
      <c r="L1992" s="47" t="str">
        <f aca="false">IFERROR(MATCH(ROW()-4,ポート振替表!$V$5:$V$3507,0),"")</f>
        <v/>
      </c>
    </row>
    <row r="1993" customFormat="false" ht="16.4" hidden="false" customHeight="false" outlineLevel="0" collapsed="false">
      <c r="A1993" s="32" t="str">
        <f aca="false">IF(L1993="","",ROW()-4)</f>
        <v/>
      </c>
      <c r="B1993" s="58" t="str">
        <f aca="false">IF(L1993="","",IF(INDEX(ポート振替表!$W$5:$W$3507,$L1993)="","(なし)",INDEX(ポート振替表!$W$5:$W$3507,$L1993)&amp;""))</f>
        <v/>
      </c>
      <c r="C1993" s="52" t="str">
        <f aca="false">IF(L1993="","",INDEX(ポート振替表!$B$5:$B$3507,$L1993)&amp;" "&amp;INDEX(ポート振替表!$C$5:$C$3507,$L1993)&amp;"  ⇔  "&amp;INDEX(ポート振替表!$H$5:$H$3507,$L1993)&amp;" "&amp;INDEX(ポート振替表!$I$5:$I$3507,$L1993))</f>
        <v/>
      </c>
      <c r="D1993" s="57" t="s">
        <v>158</v>
      </c>
      <c r="E1993" s="59" t="str">
        <f aca="false">IF(L1993="","",IF(INDEX(ポート振替表!$O$5:$O$3507,$L1993)="","(未設定)",INDEX(ポート振替表!$O$5:$O$3507,$L1993)&amp;""))</f>
        <v/>
      </c>
      <c r="F1993" s="52" t="str">
        <f aca="false">IF(L1993="","",INDEX(ポート振替表!$K$5:$K$3507,$L1993)&amp;" "&amp;INDEX(ポート振替表!$L$5:$L$3507,$L1993)&amp;"  ⇔  "&amp;INDEX(ポート振替表!$H$5:$H$3507,$L1993)&amp;" "&amp;INDEX(ポート振替表!$I$5:$I$3507,$L1993))</f>
        <v/>
      </c>
      <c r="G1993" s="57" t="s">
        <v>158</v>
      </c>
      <c r="H1993" s="32" t="str">
        <f aca="false">IF(L1993="","",INDEX(ポート振替表!$N$5:$N$3507,$L1993)&amp;"")</f>
        <v/>
      </c>
      <c r="I1993" s="32" t="str">
        <f aca="false">IF(L1993="","",INDEX(ポート振替表!$P$5:$P$3507,$L1993)&amp;"")</f>
        <v/>
      </c>
      <c r="J1993" s="60" t="str">
        <f aca="false">IF(L1993="","",INDEX(ポート振替表!$M$5:$M$3507,$L1993)&amp;"")</f>
        <v/>
      </c>
      <c r="K1993" s="52" t="str">
        <f aca="false">IF(L1993="","",E1993&amp;CHAR(10)&amp;INDEX(ポート振替表!$K$5:$K$3507,$L1993)&amp;" "&amp;INDEX(ポート振替表!$L$5:$L$3507,$L1993)&amp;CHAR(10)&amp;"⇔ "&amp;INDEX(ポート振替表!$H$5:$H$3507,$L1993)&amp;" "&amp;INDEX(ポート振替表!$I$5:$I$3507,$L1993))</f>
        <v/>
      </c>
      <c r="L1993" s="47" t="str">
        <f aca="false">IFERROR(MATCH(ROW()-4,ポート振替表!$V$5:$V$3507,0),"")</f>
        <v/>
      </c>
    </row>
    <row r="1994" customFormat="false" ht="16.4" hidden="false" customHeight="false" outlineLevel="0" collapsed="false">
      <c r="A1994" s="32" t="str">
        <f aca="false">IF(L1994="","",ROW()-4)</f>
        <v/>
      </c>
      <c r="B1994" s="58" t="str">
        <f aca="false">IF(L1994="","",IF(INDEX(ポート振替表!$W$5:$W$3507,$L1994)="","(なし)",INDEX(ポート振替表!$W$5:$W$3507,$L1994)&amp;""))</f>
        <v/>
      </c>
      <c r="C1994" s="52" t="str">
        <f aca="false">IF(L1994="","",INDEX(ポート振替表!$B$5:$B$3507,$L1994)&amp;" "&amp;INDEX(ポート振替表!$C$5:$C$3507,$L1994)&amp;"  ⇔  "&amp;INDEX(ポート振替表!$H$5:$H$3507,$L1994)&amp;" "&amp;INDEX(ポート振替表!$I$5:$I$3507,$L1994))</f>
        <v/>
      </c>
      <c r="D1994" s="57" t="s">
        <v>158</v>
      </c>
      <c r="E1994" s="59" t="str">
        <f aca="false">IF(L1994="","",IF(INDEX(ポート振替表!$O$5:$O$3507,$L1994)="","(未設定)",INDEX(ポート振替表!$O$5:$O$3507,$L1994)&amp;""))</f>
        <v/>
      </c>
      <c r="F1994" s="52" t="str">
        <f aca="false">IF(L1994="","",INDEX(ポート振替表!$K$5:$K$3507,$L1994)&amp;" "&amp;INDEX(ポート振替表!$L$5:$L$3507,$L1994)&amp;"  ⇔  "&amp;INDEX(ポート振替表!$H$5:$H$3507,$L1994)&amp;" "&amp;INDEX(ポート振替表!$I$5:$I$3507,$L1994))</f>
        <v/>
      </c>
      <c r="G1994" s="57" t="s">
        <v>158</v>
      </c>
      <c r="H1994" s="32" t="str">
        <f aca="false">IF(L1994="","",INDEX(ポート振替表!$N$5:$N$3507,$L1994)&amp;"")</f>
        <v/>
      </c>
      <c r="I1994" s="32" t="str">
        <f aca="false">IF(L1994="","",INDEX(ポート振替表!$P$5:$P$3507,$L1994)&amp;"")</f>
        <v/>
      </c>
      <c r="J1994" s="60" t="str">
        <f aca="false">IF(L1994="","",INDEX(ポート振替表!$M$5:$M$3507,$L1994)&amp;"")</f>
        <v/>
      </c>
      <c r="K1994" s="52" t="str">
        <f aca="false">IF(L1994="","",E1994&amp;CHAR(10)&amp;INDEX(ポート振替表!$K$5:$K$3507,$L1994)&amp;" "&amp;INDEX(ポート振替表!$L$5:$L$3507,$L1994)&amp;CHAR(10)&amp;"⇔ "&amp;INDEX(ポート振替表!$H$5:$H$3507,$L1994)&amp;" "&amp;INDEX(ポート振替表!$I$5:$I$3507,$L1994))</f>
        <v/>
      </c>
      <c r="L1994" s="47" t="str">
        <f aca="false">IFERROR(MATCH(ROW()-4,ポート振替表!$V$5:$V$3507,0),"")</f>
        <v/>
      </c>
    </row>
    <row r="1995" customFormat="false" ht="16.4" hidden="false" customHeight="false" outlineLevel="0" collapsed="false">
      <c r="A1995" s="32" t="str">
        <f aca="false">IF(L1995="","",ROW()-4)</f>
        <v/>
      </c>
      <c r="B1995" s="58" t="str">
        <f aca="false">IF(L1995="","",IF(INDEX(ポート振替表!$W$5:$W$3507,$L1995)="","(なし)",INDEX(ポート振替表!$W$5:$W$3507,$L1995)&amp;""))</f>
        <v/>
      </c>
      <c r="C1995" s="52" t="str">
        <f aca="false">IF(L1995="","",INDEX(ポート振替表!$B$5:$B$3507,$L1995)&amp;" "&amp;INDEX(ポート振替表!$C$5:$C$3507,$L1995)&amp;"  ⇔  "&amp;INDEX(ポート振替表!$H$5:$H$3507,$L1995)&amp;" "&amp;INDEX(ポート振替表!$I$5:$I$3507,$L1995))</f>
        <v/>
      </c>
      <c r="D1995" s="57" t="s">
        <v>158</v>
      </c>
      <c r="E1995" s="59" t="str">
        <f aca="false">IF(L1995="","",IF(INDEX(ポート振替表!$O$5:$O$3507,$L1995)="","(未設定)",INDEX(ポート振替表!$O$5:$O$3507,$L1995)&amp;""))</f>
        <v/>
      </c>
      <c r="F1995" s="52" t="str">
        <f aca="false">IF(L1995="","",INDEX(ポート振替表!$K$5:$K$3507,$L1995)&amp;" "&amp;INDEX(ポート振替表!$L$5:$L$3507,$L1995)&amp;"  ⇔  "&amp;INDEX(ポート振替表!$H$5:$H$3507,$L1995)&amp;" "&amp;INDEX(ポート振替表!$I$5:$I$3507,$L1995))</f>
        <v/>
      </c>
      <c r="G1995" s="57" t="s">
        <v>158</v>
      </c>
      <c r="H1995" s="32" t="str">
        <f aca="false">IF(L1995="","",INDEX(ポート振替表!$N$5:$N$3507,$L1995)&amp;"")</f>
        <v/>
      </c>
      <c r="I1995" s="32" t="str">
        <f aca="false">IF(L1995="","",INDEX(ポート振替表!$P$5:$P$3507,$L1995)&amp;"")</f>
        <v/>
      </c>
      <c r="J1995" s="60" t="str">
        <f aca="false">IF(L1995="","",INDEX(ポート振替表!$M$5:$M$3507,$L1995)&amp;"")</f>
        <v/>
      </c>
      <c r="K1995" s="52" t="str">
        <f aca="false">IF(L1995="","",E1995&amp;CHAR(10)&amp;INDEX(ポート振替表!$K$5:$K$3507,$L1995)&amp;" "&amp;INDEX(ポート振替表!$L$5:$L$3507,$L1995)&amp;CHAR(10)&amp;"⇔ "&amp;INDEX(ポート振替表!$H$5:$H$3507,$L1995)&amp;" "&amp;INDEX(ポート振替表!$I$5:$I$3507,$L1995))</f>
        <v/>
      </c>
      <c r="L1995" s="47" t="str">
        <f aca="false">IFERROR(MATCH(ROW()-4,ポート振替表!$V$5:$V$3507,0),"")</f>
        <v/>
      </c>
    </row>
    <row r="1996" customFormat="false" ht="16.4" hidden="false" customHeight="false" outlineLevel="0" collapsed="false">
      <c r="A1996" s="32" t="str">
        <f aca="false">IF(L1996="","",ROW()-4)</f>
        <v/>
      </c>
      <c r="B1996" s="58" t="str">
        <f aca="false">IF(L1996="","",IF(INDEX(ポート振替表!$W$5:$W$3507,$L1996)="","(なし)",INDEX(ポート振替表!$W$5:$W$3507,$L1996)&amp;""))</f>
        <v/>
      </c>
      <c r="C1996" s="52" t="str">
        <f aca="false">IF(L1996="","",INDEX(ポート振替表!$B$5:$B$3507,$L1996)&amp;" "&amp;INDEX(ポート振替表!$C$5:$C$3507,$L1996)&amp;"  ⇔  "&amp;INDEX(ポート振替表!$H$5:$H$3507,$L1996)&amp;" "&amp;INDEX(ポート振替表!$I$5:$I$3507,$L1996))</f>
        <v/>
      </c>
      <c r="D1996" s="57" t="s">
        <v>158</v>
      </c>
      <c r="E1996" s="59" t="str">
        <f aca="false">IF(L1996="","",IF(INDEX(ポート振替表!$O$5:$O$3507,$L1996)="","(未設定)",INDEX(ポート振替表!$O$5:$O$3507,$L1996)&amp;""))</f>
        <v/>
      </c>
      <c r="F1996" s="52" t="str">
        <f aca="false">IF(L1996="","",INDEX(ポート振替表!$K$5:$K$3507,$L1996)&amp;" "&amp;INDEX(ポート振替表!$L$5:$L$3507,$L1996)&amp;"  ⇔  "&amp;INDEX(ポート振替表!$H$5:$H$3507,$L1996)&amp;" "&amp;INDEX(ポート振替表!$I$5:$I$3507,$L1996))</f>
        <v/>
      </c>
      <c r="G1996" s="57" t="s">
        <v>158</v>
      </c>
      <c r="H1996" s="32" t="str">
        <f aca="false">IF(L1996="","",INDEX(ポート振替表!$N$5:$N$3507,$L1996)&amp;"")</f>
        <v/>
      </c>
      <c r="I1996" s="32" t="str">
        <f aca="false">IF(L1996="","",INDEX(ポート振替表!$P$5:$P$3507,$L1996)&amp;"")</f>
        <v/>
      </c>
      <c r="J1996" s="60" t="str">
        <f aca="false">IF(L1996="","",INDEX(ポート振替表!$M$5:$M$3507,$L1996)&amp;"")</f>
        <v/>
      </c>
      <c r="K1996" s="52" t="str">
        <f aca="false">IF(L1996="","",E1996&amp;CHAR(10)&amp;INDEX(ポート振替表!$K$5:$K$3507,$L1996)&amp;" "&amp;INDEX(ポート振替表!$L$5:$L$3507,$L1996)&amp;CHAR(10)&amp;"⇔ "&amp;INDEX(ポート振替表!$H$5:$H$3507,$L1996)&amp;" "&amp;INDEX(ポート振替表!$I$5:$I$3507,$L1996))</f>
        <v/>
      </c>
      <c r="L1996" s="47" t="str">
        <f aca="false">IFERROR(MATCH(ROW()-4,ポート振替表!$V$5:$V$3507,0),"")</f>
        <v/>
      </c>
    </row>
    <row r="1997" customFormat="false" ht="16.4" hidden="false" customHeight="false" outlineLevel="0" collapsed="false">
      <c r="A1997" s="32" t="str">
        <f aca="false">IF(L1997="","",ROW()-4)</f>
        <v/>
      </c>
      <c r="B1997" s="58" t="str">
        <f aca="false">IF(L1997="","",IF(INDEX(ポート振替表!$W$5:$W$3507,$L1997)="","(なし)",INDEX(ポート振替表!$W$5:$W$3507,$L1997)&amp;""))</f>
        <v/>
      </c>
      <c r="C1997" s="52" t="str">
        <f aca="false">IF(L1997="","",INDEX(ポート振替表!$B$5:$B$3507,$L1997)&amp;" "&amp;INDEX(ポート振替表!$C$5:$C$3507,$L1997)&amp;"  ⇔  "&amp;INDEX(ポート振替表!$H$5:$H$3507,$L1997)&amp;" "&amp;INDEX(ポート振替表!$I$5:$I$3507,$L1997))</f>
        <v/>
      </c>
      <c r="D1997" s="57" t="s">
        <v>158</v>
      </c>
      <c r="E1997" s="59" t="str">
        <f aca="false">IF(L1997="","",IF(INDEX(ポート振替表!$O$5:$O$3507,$L1997)="","(未設定)",INDEX(ポート振替表!$O$5:$O$3507,$L1997)&amp;""))</f>
        <v/>
      </c>
      <c r="F1997" s="52" t="str">
        <f aca="false">IF(L1997="","",INDEX(ポート振替表!$K$5:$K$3507,$L1997)&amp;" "&amp;INDEX(ポート振替表!$L$5:$L$3507,$L1997)&amp;"  ⇔  "&amp;INDEX(ポート振替表!$H$5:$H$3507,$L1997)&amp;" "&amp;INDEX(ポート振替表!$I$5:$I$3507,$L1997))</f>
        <v/>
      </c>
      <c r="G1997" s="57" t="s">
        <v>158</v>
      </c>
      <c r="H1997" s="32" t="str">
        <f aca="false">IF(L1997="","",INDEX(ポート振替表!$N$5:$N$3507,$L1997)&amp;"")</f>
        <v/>
      </c>
      <c r="I1997" s="32" t="str">
        <f aca="false">IF(L1997="","",INDEX(ポート振替表!$P$5:$P$3507,$L1997)&amp;"")</f>
        <v/>
      </c>
      <c r="J1997" s="60" t="str">
        <f aca="false">IF(L1997="","",INDEX(ポート振替表!$M$5:$M$3507,$L1997)&amp;"")</f>
        <v/>
      </c>
      <c r="K1997" s="52" t="str">
        <f aca="false">IF(L1997="","",E1997&amp;CHAR(10)&amp;INDEX(ポート振替表!$K$5:$K$3507,$L1997)&amp;" "&amp;INDEX(ポート振替表!$L$5:$L$3507,$L1997)&amp;CHAR(10)&amp;"⇔ "&amp;INDEX(ポート振替表!$H$5:$H$3507,$L1997)&amp;" "&amp;INDEX(ポート振替表!$I$5:$I$3507,$L1997))</f>
        <v/>
      </c>
      <c r="L1997" s="47" t="str">
        <f aca="false">IFERROR(MATCH(ROW()-4,ポート振替表!$V$5:$V$3507,0),"")</f>
        <v/>
      </c>
    </row>
    <row r="1998" customFormat="false" ht="16.4" hidden="false" customHeight="false" outlineLevel="0" collapsed="false">
      <c r="A1998" s="32" t="str">
        <f aca="false">IF(L1998="","",ROW()-4)</f>
        <v/>
      </c>
      <c r="B1998" s="58" t="str">
        <f aca="false">IF(L1998="","",IF(INDEX(ポート振替表!$W$5:$W$3507,$L1998)="","(なし)",INDEX(ポート振替表!$W$5:$W$3507,$L1998)&amp;""))</f>
        <v/>
      </c>
      <c r="C1998" s="52" t="str">
        <f aca="false">IF(L1998="","",INDEX(ポート振替表!$B$5:$B$3507,$L1998)&amp;" "&amp;INDEX(ポート振替表!$C$5:$C$3507,$L1998)&amp;"  ⇔  "&amp;INDEX(ポート振替表!$H$5:$H$3507,$L1998)&amp;" "&amp;INDEX(ポート振替表!$I$5:$I$3507,$L1998))</f>
        <v/>
      </c>
      <c r="D1998" s="57" t="s">
        <v>158</v>
      </c>
      <c r="E1998" s="59" t="str">
        <f aca="false">IF(L1998="","",IF(INDEX(ポート振替表!$O$5:$O$3507,$L1998)="","(未設定)",INDEX(ポート振替表!$O$5:$O$3507,$L1998)&amp;""))</f>
        <v/>
      </c>
      <c r="F1998" s="52" t="str">
        <f aca="false">IF(L1998="","",INDEX(ポート振替表!$K$5:$K$3507,$L1998)&amp;" "&amp;INDEX(ポート振替表!$L$5:$L$3507,$L1998)&amp;"  ⇔  "&amp;INDEX(ポート振替表!$H$5:$H$3507,$L1998)&amp;" "&amp;INDEX(ポート振替表!$I$5:$I$3507,$L1998))</f>
        <v/>
      </c>
      <c r="G1998" s="57" t="s">
        <v>158</v>
      </c>
      <c r="H1998" s="32" t="str">
        <f aca="false">IF(L1998="","",INDEX(ポート振替表!$N$5:$N$3507,$L1998)&amp;"")</f>
        <v/>
      </c>
      <c r="I1998" s="32" t="str">
        <f aca="false">IF(L1998="","",INDEX(ポート振替表!$P$5:$P$3507,$L1998)&amp;"")</f>
        <v/>
      </c>
      <c r="J1998" s="60" t="str">
        <f aca="false">IF(L1998="","",INDEX(ポート振替表!$M$5:$M$3507,$L1998)&amp;"")</f>
        <v/>
      </c>
      <c r="K1998" s="52" t="str">
        <f aca="false">IF(L1998="","",E1998&amp;CHAR(10)&amp;INDEX(ポート振替表!$K$5:$K$3507,$L1998)&amp;" "&amp;INDEX(ポート振替表!$L$5:$L$3507,$L1998)&amp;CHAR(10)&amp;"⇔ "&amp;INDEX(ポート振替表!$H$5:$H$3507,$L1998)&amp;" "&amp;INDEX(ポート振替表!$I$5:$I$3507,$L1998))</f>
        <v/>
      </c>
      <c r="L1998" s="47" t="str">
        <f aca="false">IFERROR(MATCH(ROW()-4,ポート振替表!$V$5:$V$3507,0),"")</f>
        <v/>
      </c>
    </row>
    <row r="1999" customFormat="false" ht="16.4" hidden="false" customHeight="false" outlineLevel="0" collapsed="false">
      <c r="A1999" s="32" t="str">
        <f aca="false">IF(L1999="","",ROW()-4)</f>
        <v/>
      </c>
      <c r="B1999" s="58" t="str">
        <f aca="false">IF(L1999="","",IF(INDEX(ポート振替表!$W$5:$W$3507,$L1999)="","(なし)",INDEX(ポート振替表!$W$5:$W$3507,$L1999)&amp;""))</f>
        <v/>
      </c>
      <c r="C1999" s="52" t="str">
        <f aca="false">IF(L1999="","",INDEX(ポート振替表!$B$5:$B$3507,$L1999)&amp;" "&amp;INDEX(ポート振替表!$C$5:$C$3507,$L1999)&amp;"  ⇔  "&amp;INDEX(ポート振替表!$H$5:$H$3507,$L1999)&amp;" "&amp;INDEX(ポート振替表!$I$5:$I$3507,$L1999))</f>
        <v/>
      </c>
      <c r="D1999" s="57" t="s">
        <v>158</v>
      </c>
      <c r="E1999" s="59" t="str">
        <f aca="false">IF(L1999="","",IF(INDEX(ポート振替表!$O$5:$O$3507,$L1999)="","(未設定)",INDEX(ポート振替表!$O$5:$O$3507,$L1999)&amp;""))</f>
        <v/>
      </c>
      <c r="F1999" s="52" t="str">
        <f aca="false">IF(L1999="","",INDEX(ポート振替表!$K$5:$K$3507,$L1999)&amp;" "&amp;INDEX(ポート振替表!$L$5:$L$3507,$L1999)&amp;"  ⇔  "&amp;INDEX(ポート振替表!$H$5:$H$3507,$L1999)&amp;" "&amp;INDEX(ポート振替表!$I$5:$I$3507,$L1999))</f>
        <v/>
      </c>
      <c r="G1999" s="57" t="s">
        <v>158</v>
      </c>
      <c r="H1999" s="32" t="str">
        <f aca="false">IF(L1999="","",INDEX(ポート振替表!$N$5:$N$3507,$L1999)&amp;"")</f>
        <v/>
      </c>
      <c r="I1999" s="32" t="str">
        <f aca="false">IF(L1999="","",INDEX(ポート振替表!$P$5:$P$3507,$L1999)&amp;"")</f>
        <v/>
      </c>
      <c r="J1999" s="60" t="str">
        <f aca="false">IF(L1999="","",INDEX(ポート振替表!$M$5:$M$3507,$L1999)&amp;"")</f>
        <v/>
      </c>
      <c r="K1999" s="52" t="str">
        <f aca="false">IF(L1999="","",E1999&amp;CHAR(10)&amp;INDEX(ポート振替表!$K$5:$K$3507,$L1999)&amp;" "&amp;INDEX(ポート振替表!$L$5:$L$3507,$L1999)&amp;CHAR(10)&amp;"⇔ "&amp;INDEX(ポート振替表!$H$5:$H$3507,$L1999)&amp;" "&amp;INDEX(ポート振替表!$I$5:$I$3507,$L1999))</f>
        <v/>
      </c>
      <c r="L1999" s="47" t="str">
        <f aca="false">IFERROR(MATCH(ROW()-4,ポート振替表!$V$5:$V$3507,0),"")</f>
        <v/>
      </c>
    </row>
    <row r="2000" customFormat="false" ht="16.4" hidden="false" customHeight="false" outlineLevel="0" collapsed="false">
      <c r="A2000" s="32" t="str">
        <f aca="false">IF(L2000="","",ROW()-4)</f>
        <v/>
      </c>
      <c r="B2000" s="58" t="str">
        <f aca="false">IF(L2000="","",IF(INDEX(ポート振替表!$W$5:$W$3507,$L2000)="","(なし)",INDEX(ポート振替表!$W$5:$W$3507,$L2000)&amp;""))</f>
        <v/>
      </c>
      <c r="C2000" s="52" t="str">
        <f aca="false">IF(L2000="","",INDEX(ポート振替表!$B$5:$B$3507,$L2000)&amp;" "&amp;INDEX(ポート振替表!$C$5:$C$3507,$L2000)&amp;"  ⇔  "&amp;INDEX(ポート振替表!$H$5:$H$3507,$L2000)&amp;" "&amp;INDEX(ポート振替表!$I$5:$I$3507,$L2000))</f>
        <v/>
      </c>
      <c r="D2000" s="57" t="s">
        <v>158</v>
      </c>
      <c r="E2000" s="59" t="str">
        <f aca="false">IF(L2000="","",IF(INDEX(ポート振替表!$O$5:$O$3507,$L2000)="","(未設定)",INDEX(ポート振替表!$O$5:$O$3507,$L2000)&amp;""))</f>
        <v/>
      </c>
      <c r="F2000" s="52" t="str">
        <f aca="false">IF(L2000="","",INDEX(ポート振替表!$K$5:$K$3507,$L2000)&amp;" "&amp;INDEX(ポート振替表!$L$5:$L$3507,$L2000)&amp;"  ⇔  "&amp;INDEX(ポート振替表!$H$5:$H$3507,$L2000)&amp;" "&amp;INDEX(ポート振替表!$I$5:$I$3507,$L2000))</f>
        <v/>
      </c>
      <c r="G2000" s="57" t="s">
        <v>158</v>
      </c>
      <c r="H2000" s="32" t="str">
        <f aca="false">IF(L2000="","",INDEX(ポート振替表!$N$5:$N$3507,$L2000)&amp;"")</f>
        <v/>
      </c>
      <c r="I2000" s="32" t="str">
        <f aca="false">IF(L2000="","",INDEX(ポート振替表!$P$5:$P$3507,$L2000)&amp;"")</f>
        <v/>
      </c>
      <c r="J2000" s="60" t="str">
        <f aca="false">IF(L2000="","",INDEX(ポート振替表!$M$5:$M$3507,$L2000)&amp;"")</f>
        <v/>
      </c>
      <c r="K2000" s="52" t="str">
        <f aca="false">IF(L2000="","",E2000&amp;CHAR(10)&amp;INDEX(ポート振替表!$K$5:$K$3507,$L2000)&amp;" "&amp;INDEX(ポート振替表!$L$5:$L$3507,$L2000)&amp;CHAR(10)&amp;"⇔ "&amp;INDEX(ポート振替表!$H$5:$H$3507,$L2000)&amp;" "&amp;INDEX(ポート振替表!$I$5:$I$3507,$L2000))</f>
        <v/>
      </c>
      <c r="L2000" s="47" t="str">
        <f aca="false">IFERROR(MATCH(ROW()-4,ポート振替表!$V$5:$V$3507,0),"")</f>
        <v/>
      </c>
    </row>
    <row r="2001" customFormat="false" ht="16.4" hidden="false" customHeight="false" outlineLevel="0" collapsed="false">
      <c r="A2001" s="32" t="str">
        <f aca="false">IF(L2001="","",ROW()-4)</f>
        <v/>
      </c>
      <c r="B2001" s="58" t="str">
        <f aca="false">IF(L2001="","",IF(INDEX(ポート振替表!$W$5:$W$3507,$L2001)="","(なし)",INDEX(ポート振替表!$W$5:$W$3507,$L2001)&amp;""))</f>
        <v/>
      </c>
      <c r="C2001" s="52" t="str">
        <f aca="false">IF(L2001="","",INDEX(ポート振替表!$B$5:$B$3507,$L2001)&amp;" "&amp;INDEX(ポート振替表!$C$5:$C$3507,$L2001)&amp;"  ⇔  "&amp;INDEX(ポート振替表!$H$5:$H$3507,$L2001)&amp;" "&amp;INDEX(ポート振替表!$I$5:$I$3507,$L2001))</f>
        <v/>
      </c>
      <c r="D2001" s="57" t="s">
        <v>158</v>
      </c>
      <c r="E2001" s="59" t="str">
        <f aca="false">IF(L2001="","",IF(INDEX(ポート振替表!$O$5:$O$3507,$L2001)="","(未設定)",INDEX(ポート振替表!$O$5:$O$3507,$L2001)&amp;""))</f>
        <v/>
      </c>
      <c r="F2001" s="52" t="str">
        <f aca="false">IF(L2001="","",INDEX(ポート振替表!$K$5:$K$3507,$L2001)&amp;" "&amp;INDEX(ポート振替表!$L$5:$L$3507,$L2001)&amp;"  ⇔  "&amp;INDEX(ポート振替表!$H$5:$H$3507,$L2001)&amp;" "&amp;INDEX(ポート振替表!$I$5:$I$3507,$L2001))</f>
        <v/>
      </c>
      <c r="G2001" s="57" t="s">
        <v>158</v>
      </c>
      <c r="H2001" s="32" t="str">
        <f aca="false">IF(L2001="","",INDEX(ポート振替表!$N$5:$N$3507,$L2001)&amp;"")</f>
        <v/>
      </c>
      <c r="I2001" s="32" t="str">
        <f aca="false">IF(L2001="","",INDEX(ポート振替表!$P$5:$P$3507,$L2001)&amp;"")</f>
        <v/>
      </c>
      <c r="J2001" s="60" t="str">
        <f aca="false">IF(L2001="","",INDEX(ポート振替表!$M$5:$M$3507,$L2001)&amp;"")</f>
        <v/>
      </c>
      <c r="K2001" s="52" t="str">
        <f aca="false">IF(L2001="","",E2001&amp;CHAR(10)&amp;INDEX(ポート振替表!$K$5:$K$3507,$L2001)&amp;" "&amp;INDEX(ポート振替表!$L$5:$L$3507,$L2001)&amp;CHAR(10)&amp;"⇔ "&amp;INDEX(ポート振替表!$H$5:$H$3507,$L2001)&amp;" "&amp;INDEX(ポート振替表!$I$5:$I$3507,$L2001))</f>
        <v/>
      </c>
      <c r="L2001" s="47" t="str">
        <f aca="false">IFERROR(MATCH(ROW()-4,ポート振替表!$V$5:$V$3507,0),"")</f>
        <v/>
      </c>
    </row>
    <row r="2002" customFormat="false" ht="16.4" hidden="false" customHeight="false" outlineLevel="0" collapsed="false">
      <c r="A2002" s="32" t="str">
        <f aca="false">IF(L2002="","",ROW()-4)</f>
        <v/>
      </c>
      <c r="B2002" s="58" t="str">
        <f aca="false">IF(L2002="","",IF(INDEX(ポート振替表!$W$5:$W$3507,$L2002)="","(なし)",INDEX(ポート振替表!$W$5:$W$3507,$L2002)&amp;""))</f>
        <v/>
      </c>
      <c r="C2002" s="52" t="str">
        <f aca="false">IF(L2002="","",INDEX(ポート振替表!$B$5:$B$3507,$L2002)&amp;" "&amp;INDEX(ポート振替表!$C$5:$C$3507,$L2002)&amp;"  ⇔  "&amp;INDEX(ポート振替表!$H$5:$H$3507,$L2002)&amp;" "&amp;INDEX(ポート振替表!$I$5:$I$3507,$L2002))</f>
        <v/>
      </c>
      <c r="D2002" s="57" t="s">
        <v>158</v>
      </c>
      <c r="E2002" s="59" t="str">
        <f aca="false">IF(L2002="","",IF(INDEX(ポート振替表!$O$5:$O$3507,$L2002)="","(未設定)",INDEX(ポート振替表!$O$5:$O$3507,$L2002)&amp;""))</f>
        <v/>
      </c>
      <c r="F2002" s="52" t="str">
        <f aca="false">IF(L2002="","",INDEX(ポート振替表!$K$5:$K$3507,$L2002)&amp;" "&amp;INDEX(ポート振替表!$L$5:$L$3507,$L2002)&amp;"  ⇔  "&amp;INDEX(ポート振替表!$H$5:$H$3507,$L2002)&amp;" "&amp;INDEX(ポート振替表!$I$5:$I$3507,$L2002))</f>
        <v/>
      </c>
      <c r="G2002" s="57" t="s">
        <v>158</v>
      </c>
      <c r="H2002" s="32" t="str">
        <f aca="false">IF(L2002="","",INDEX(ポート振替表!$N$5:$N$3507,$L2002)&amp;"")</f>
        <v/>
      </c>
      <c r="I2002" s="32" t="str">
        <f aca="false">IF(L2002="","",INDEX(ポート振替表!$P$5:$P$3507,$L2002)&amp;"")</f>
        <v/>
      </c>
      <c r="J2002" s="60" t="str">
        <f aca="false">IF(L2002="","",INDEX(ポート振替表!$M$5:$M$3507,$L2002)&amp;"")</f>
        <v/>
      </c>
      <c r="K2002" s="52" t="str">
        <f aca="false">IF(L2002="","",E2002&amp;CHAR(10)&amp;INDEX(ポート振替表!$K$5:$K$3507,$L2002)&amp;" "&amp;INDEX(ポート振替表!$L$5:$L$3507,$L2002)&amp;CHAR(10)&amp;"⇔ "&amp;INDEX(ポート振替表!$H$5:$H$3507,$L2002)&amp;" "&amp;INDEX(ポート振替表!$I$5:$I$3507,$L2002))</f>
        <v/>
      </c>
      <c r="L2002" s="47" t="str">
        <f aca="false">IFERROR(MATCH(ROW()-4,ポート振替表!$V$5:$V$3507,0),"")</f>
        <v/>
      </c>
    </row>
    <row r="2003" customFormat="false" ht="16.4" hidden="false" customHeight="false" outlineLevel="0" collapsed="false">
      <c r="A2003" s="32" t="str">
        <f aca="false">IF(L2003="","",ROW()-4)</f>
        <v/>
      </c>
      <c r="B2003" s="58" t="str">
        <f aca="false">IF(L2003="","",IF(INDEX(ポート振替表!$W$5:$W$3507,$L2003)="","(なし)",INDEX(ポート振替表!$W$5:$W$3507,$L2003)&amp;""))</f>
        <v/>
      </c>
      <c r="C2003" s="52" t="str">
        <f aca="false">IF(L2003="","",INDEX(ポート振替表!$B$5:$B$3507,$L2003)&amp;" "&amp;INDEX(ポート振替表!$C$5:$C$3507,$L2003)&amp;"  ⇔  "&amp;INDEX(ポート振替表!$H$5:$H$3507,$L2003)&amp;" "&amp;INDEX(ポート振替表!$I$5:$I$3507,$L2003))</f>
        <v/>
      </c>
      <c r="D2003" s="57" t="s">
        <v>158</v>
      </c>
      <c r="E2003" s="59" t="str">
        <f aca="false">IF(L2003="","",IF(INDEX(ポート振替表!$O$5:$O$3507,$L2003)="","(未設定)",INDEX(ポート振替表!$O$5:$O$3507,$L2003)&amp;""))</f>
        <v/>
      </c>
      <c r="F2003" s="52" t="str">
        <f aca="false">IF(L2003="","",INDEX(ポート振替表!$K$5:$K$3507,$L2003)&amp;" "&amp;INDEX(ポート振替表!$L$5:$L$3507,$L2003)&amp;"  ⇔  "&amp;INDEX(ポート振替表!$H$5:$H$3507,$L2003)&amp;" "&amp;INDEX(ポート振替表!$I$5:$I$3507,$L2003))</f>
        <v/>
      </c>
      <c r="G2003" s="57" t="s">
        <v>158</v>
      </c>
      <c r="H2003" s="32" t="str">
        <f aca="false">IF(L2003="","",INDEX(ポート振替表!$N$5:$N$3507,$L2003)&amp;"")</f>
        <v/>
      </c>
      <c r="I2003" s="32" t="str">
        <f aca="false">IF(L2003="","",INDEX(ポート振替表!$P$5:$P$3507,$L2003)&amp;"")</f>
        <v/>
      </c>
      <c r="J2003" s="60" t="str">
        <f aca="false">IF(L2003="","",INDEX(ポート振替表!$M$5:$M$3507,$L2003)&amp;"")</f>
        <v/>
      </c>
      <c r="K2003" s="52" t="str">
        <f aca="false">IF(L2003="","",E2003&amp;CHAR(10)&amp;INDEX(ポート振替表!$K$5:$K$3507,$L2003)&amp;" "&amp;INDEX(ポート振替表!$L$5:$L$3507,$L2003)&amp;CHAR(10)&amp;"⇔ "&amp;INDEX(ポート振替表!$H$5:$H$3507,$L2003)&amp;" "&amp;INDEX(ポート振替表!$I$5:$I$3507,$L2003))</f>
        <v/>
      </c>
      <c r="L2003" s="47" t="str">
        <f aca="false">IFERROR(MATCH(ROW()-4,ポート振替表!$V$5:$V$3507,0),"")</f>
        <v/>
      </c>
    </row>
    <row r="2004" customFormat="false" ht="16.4" hidden="false" customHeight="false" outlineLevel="0" collapsed="false">
      <c r="A2004" s="32" t="str">
        <f aca="false">IF(L2004="","",ROW()-4)</f>
        <v/>
      </c>
      <c r="B2004" s="58" t="str">
        <f aca="false">IF(L2004="","",IF(INDEX(ポート振替表!$W$5:$W$3507,$L2004)="","(なし)",INDEX(ポート振替表!$W$5:$W$3507,$L2004)&amp;""))</f>
        <v/>
      </c>
      <c r="C2004" s="52" t="str">
        <f aca="false">IF(L2004="","",INDEX(ポート振替表!$B$5:$B$3507,$L2004)&amp;" "&amp;INDEX(ポート振替表!$C$5:$C$3507,$L2004)&amp;"  ⇔  "&amp;INDEX(ポート振替表!$H$5:$H$3507,$L2004)&amp;" "&amp;INDEX(ポート振替表!$I$5:$I$3507,$L2004))</f>
        <v/>
      </c>
      <c r="D2004" s="57" t="s">
        <v>158</v>
      </c>
      <c r="E2004" s="59" t="str">
        <f aca="false">IF(L2004="","",IF(INDEX(ポート振替表!$O$5:$O$3507,$L2004)="","(未設定)",INDEX(ポート振替表!$O$5:$O$3507,$L2004)&amp;""))</f>
        <v/>
      </c>
      <c r="F2004" s="52" t="str">
        <f aca="false">IF(L2004="","",INDEX(ポート振替表!$K$5:$K$3507,$L2004)&amp;" "&amp;INDEX(ポート振替表!$L$5:$L$3507,$L2004)&amp;"  ⇔  "&amp;INDEX(ポート振替表!$H$5:$H$3507,$L2004)&amp;" "&amp;INDEX(ポート振替表!$I$5:$I$3507,$L2004))</f>
        <v/>
      </c>
      <c r="G2004" s="57" t="s">
        <v>158</v>
      </c>
      <c r="H2004" s="32" t="str">
        <f aca="false">IF(L2004="","",INDEX(ポート振替表!$N$5:$N$3507,$L2004)&amp;"")</f>
        <v/>
      </c>
      <c r="I2004" s="32" t="str">
        <f aca="false">IF(L2004="","",INDEX(ポート振替表!$P$5:$P$3507,$L2004)&amp;"")</f>
        <v/>
      </c>
      <c r="J2004" s="60" t="str">
        <f aca="false">IF(L2004="","",INDEX(ポート振替表!$M$5:$M$3507,$L2004)&amp;"")</f>
        <v/>
      </c>
      <c r="K2004" s="52" t="str">
        <f aca="false">IF(L2004="","",E2004&amp;CHAR(10)&amp;INDEX(ポート振替表!$K$5:$K$3507,$L2004)&amp;" "&amp;INDEX(ポート振替表!$L$5:$L$3507,$L2004)&amp;CHAR(10)&amp;"⇔ "&amp;INDEX(ポート振替表!$H$5:$H$3507,$L2004)&amp;" "&amp;INDEX(ポート振替表!$I$5:$I$3507,$L2004))</f>
        <v/>
      </c>
      <c r="L2004" s="47" t="str">
        <f aca="false">IFERROR(MATCH(ROW()-4,ポート振替表!$V$5:$V$3507,0),"")</f>
        <v/>
      </c>
    </row>
    <row r="2005" customFormat="false" ht="16.4" hidden="false" customHeight="false" outlineLevel="0" collapsed="false">
      <c r="A2005" s="32" t="str">
        <f aca="false">IF(L2005="","",ROW()-4)</f>
        <v/>
      </c>
      <c r="B2005" s="58" t="str">
        <f aca="false">IF(L2005="","",IF(INDEX(ポート振替表!$W$5:$W$3507,$L2005)="","(なし)",INDEX(ポート振替表!$W$5:$W$3507,$L2005)&amp;""))</f>
        <v/>
      </c>
      <c r="C2005" s="52" t="str">
        <f aca="false">IF(L2005="","",INDEX(ポート振替表!$B$5:$B$3507,$L2005)&amp;" "&amp;INDEX(ポート振替表!$C$5:$C$3507,$L2005)&amp;"  ⇔  "&amp;INDEX(ポート振替表!$H$5:$H$3507,$L2005)&amp;" "&amp;INDEX(ポート振替表!$I$5:$I$3507,$L2005))</f>
        <v/>
      </c>
      <c r="D2005" s="57" t="s">
        <v>158</v>
      </c>
      <c r="E2005" s="59" t="str">
        <f aca="false">IF(L2005="","",IF(INDEX(ポート振替表!$O$5:$O$3507,$L2005)="","(未設定)",INDEX(ポート振替表!$O$5:$O$3507,$L2005)&amp;""))</f>
        <v/>
      </c>
      <c r="F2005" s="52" t="str">
        <f aca="false">IF(L2005="","",INDEX(ポート振替表!$K$5:$K$3507,$L2005)&amp;" "&amp;INDEX(ポート振替表!$L$5:$L$3507,$L2005)&amp;"  ⇔  "&amp;INDEX(ポート振替表!$H$5:$H$3507,$L2005)&amp;" "&amp;INDEX(ポート振替表!$I$5:$I$3507,$L2005))</f>
        <v/>
      </c>
      <c r="G2005" s="57" t="s">
        <v>158</v>
      </c>
      <c r="H2005" s="32" t="str">
        <f aca="false">IF(L2005="","",INDEX(ポート振替表!$N$5:$N$3507,$L2005)&amp;"")</f>
        <v/>
      </c>
      <c r="I2005" s="32" t="str">
        <f aca="false">IF(L2005="","",INDEX(ポート振替表!$P$5:$P$3507,$L2005)&amp;"")</f>
        <v/>
      </c>
      <c r="J2005" s="60" t="str">
        <f aca="false">IF(L2005="","",INDEX(ポート振替表!$M$5:$M$3507,$L2005)&amp;"")</f>
        <v/>
      </c>
      <c r="K2005" s="52" t="str">
        <f aca="false">IF(L2005="","",E2005&amp;CHAR(10)&amp;INDEX(ポート振替表!$K$5:$K$3507,$L2005)&amp;" "&amp;INDEX(ポート振替表!$L$5:$L$3507,$L2005)&amp;CHAR(10)&amp;"⇔ "&amp;INDEX(ポート振替表!$H$5:$H$3507,$L2005)&amp;" "&amp;INDEX(ポート振替表!$I$5:$I$3507,$L2005))</f>
        <v/>
      </c>
      <c r="L2005" s="47" t="str">
        <f aca="false">IFERROR(MATCH(ROW()-4,ポート振替表!$V$5:$V$3507,0),"")</f>
        <v/>
      </c>
    </row>
    <row r="2006" customFormat="false" ht="16.4" hidden="false" customHeight="false" outlineLevel="0" collapsed="false">
      <c r="A2006" s="32" t="str">
        <f aca="false">IF(L2006="","",ROW()-4)</f>
        <v/>
      </c>
      <c r="B2006" s="58" t="str">
        <f aca="false">IF(L2006="","",IF(INDEX(ポート振替表!$W$5:$W$3507,$L2006)="","(なし)",INDEX(ポート振替表!$W$5:$W$3507,$L2006)&amp;""))</f>
        <v/>
      </c>
      <c r="C2006" s="52" t="str">
        <f aca="false">IF(L2006="","",INDEX(ポート振替表!$B$5:$B$3507,$L2006)&amp;" "&amp;INDEX(ポート振替表!$C$5:$C$3507,$L2006)&amp;"  ⇔  "&amp;INDEX(ポート振替表!$H$5:$H$3507,$L2006)&amp;" "&amp;INDEX(ポート振替表!$I$5:$I$3507,$L2006))</f>
        <v/>
      </c>
      <c r="D2006" s="57" t="s">
        <v>158</v>
      </c>
      <c r="E2006" s="59" t="str">
        <f aca="false">IF(L2006="","",IF(INDEX(ポート振替表!$O$5:$O$3507,$L2006)="","(未設定)",INDEX(ポート振替表!$O$5:$O$3507,$L2006)&amp;""))</f>
        <v/>
      </c>
      <c r="F2006" s="52" t="str">
        <f aca="false">IF(L2006="","",INDEX(ポート振替表!$K$5:$K$3507,$L2006)&amp;" "&amp;INDEX(ポート振替表!$L$5:$L$3507,$L2006)&amp;"  ⇔  "&amp;INDEX(ポート振替表!$H$5:$H$3507,$L2006)&amp;" "&amp;INDEX(ポート振替表!$I$5:$I$3507,$L2006))</f>
        <v/>
      </c>
      <c r="G2006" s="57" t="s">
        <v>158</v>
      </c>
      <c r="H2006" s="32" t="str">
        <f aca="false">IF(L2006="","",INDEX(ポート振替表!$N$5:$N$3507,$L2006)&amp;"")</f>
        <v/>
      </c>
      <c r="I2006" s="32" t="str">
        <f aca="false">IF(L2006="","",INDEX(ポート振替表!$P$5:$P$3507,$L2006)&amp;"")</f>
        <v/>
      </c>
      <c r="J2006" s="60" t="str">
        <f aca="false">IF(L2006="","",INDEX(ポート振替表!$M$5:$M$3507,$L2006)&amp;"")</f>
        <v/>
      </c>
      <c r="K2006" s="52" t="str">
        <f aca="false">IF(L2006="","",E2006&amp;CHAR(10)&amp;INDEX(ポート振替表!$K$5:$K$3507,$L2006)&amp;" "&amp;INDEX(ポート振替表!$L$5:$L$3507,$L2006)&amp;CHAR(10)&amp;"⇔ "&amp;INDEX(ポート振替表!$H$5:$H$3507,$L2006)&amp;" "&amp;INDEX(ポート振替表!$I$5:$I$3507,$L2006))</f>
        <v/>
      </c>
      <c r="L2006" s="47" t="str">
        <f aca="false">IFERROR(MATCH(ROW()-4,ポート振替表!$V$5:$V$3507,0),"")</f>
        <v/>
      </c>
    </row>
    <row r="2007" customFormat="false" ht="16.4" hidden="false" customHeight="false" outlineLevel="0" collapsed="false">
      <c r="A2007" s="32" t="str">
        <f aca="false">IF(L2007="","",ROW()-4)</f>
        <v/>
      </c>
      <c r="B2007" s="58" t="str">
        <f aca="false">IF(L2007="","",IF(INDEX(ポート振替表!$W$5:$W$3507,$L2007)="","(なし)",INDEX(ポート振替表!$W$5:$W$3507,$L2007)&amp;""))</f>
        <v/>
      </c>
      <c r="C2007" s="52" t="str">
        <f aca="false">IF(L2007="","",INDEX(ポート振替表!$B$5:$B$3507,$L2007)&amp;" "&amp;INDEX(ポート振替表!$C$5:$C$3507,$L2007)&amp;"  ⇔  "&amp;INDEX(ポート振替表!$H$5:$H$3507,$L2007)&amp;" "&amp;INDEX(ポート振替表!$I$5:$I$3507,$L2007))</f>
        <v/>
      </c>
      <c r="D2007" s="57" t="s">
        <v>158</v>
      </c>
      <c r="E2007" s="59" t="str">
        <f aca="false">IF(L2007="","",IF(INDEX(ポート振替表!$O$5:$O$3507,$L2007)="","(未設定)",INDEX(ポート振替表!$O$5:$O$3507,$L2007)&amp;""))</f>
        <v/>
      </c>
      <c r="F2007" s="52" t="str">
        <f aca="false">IF(L2007="","",INDEX(ポート振替表!$K$5:$K$3507,$L2007)&amp;" "&amp;INDEX(ポート振替表!$L$5:$L$3507,$L2007)&amp;"  ⇔  "&amp;INDEX(ポート振替表!$H$5:$H$3507,$L2007)&amp;" "&amp;INDEX(ポート振替表!$I$5:$I$3507,$L2007))</f>
        <v/>
      </c>
      <c r="G2007" s="57" t="s">
        <v>158</v>
      </c>
      <c r="H2007" s="32" t="str">
        <f aca="false">IF(L2007="","",INDEX(ポート振替表!$N$5:$N$3507,$L2007)&amp;"")</f>
        <v/>
      </c>
      <c r="I2007" s="32" t="str">
        <f aca="false">IF(L2007="","",INDEX(ポート振替表!$P$5:$P$3507,$L2007)&amp;"")</f>
        <v/>
      </c>
      <c r="J2007" s="60" t="str">
        <f aca="false">IF(L2007="","",INDEX(ポート振替表!$M$5:$M$3507,$L2007)&amp;"")</f>
        <v/>
      </c>
      <c r="K2007" s="52" t="str">
        <f aca="false">IF(L2007="","",E2007&amp;CHAR(10)&amp;INDEX(ポート振替表!$K$5:$K$3507,$L2007)&amp;" "&amp;INDEX(ポート振替表!$L$5:$L$3507,$L2007)&amp;CHAR(10)&amp;"⇔ "&amp;INDEX(ポート振替表!$H$5:$H$3507,$L2007)&amp;" "&amp;INDEX(ポート振替表!$I$5:$I$3507,$L2007))</f>
        <v/>
      </c>
      <c r="L2007" s="47" t="str">
        <f aca="false">IFERROR(MATCH(ROW()-4,ポート振替表!$V$5:$V$3507,0),"")</f>
        <v/>
      </c>
    </row>
    <row r="2008" customFormat="false" ht="16.4" hidden="false" customHeight="false" outlineLevel="0" collapsed="false">
      <c r="A2008" s="32" t="str">
        <f aca="false">IF(L2008="","",ROW()-4)</f>
        <v/>
      </c>
      <c r="B2008" s="58" t="str">
        <f aca="false">IF(L2008="","",IF(INDEX(ポート振替表!$W$5:$W$3507,$L2008)="","(なし)",INDEX(ポート振替表!$W$5:$W$3507,$L2008)&amp;""))</f>
        <v/>
      </c>
      <c r="C2008" s="52" t="str">
        <f aca="false">IF(L2008="","",INDEX(ポート振替表!$B$5:$B$3507,$L2008)&amp;" "&amp;INDEX(ポート振替表!$C$5:$C$3507,$L2008)&amp;"  ⇔  "&amp;INDEX(ポート振替表!$H$5:$H$3507,$L2008)&amp;" "&amp;INDEX(ポート振替表!$I$5:$I$3507,$L2008))</f>
        <v/>
      </c>
      <c r="D2008" s="57" t="s">
        <v>158</v>
      </c>
      <c r="E2008" s="59" t="str">
        <f aca="false">IF(L2008="","",IF(INDEX(ポート振替表!$O$5:$O$3507,$L2008)="","(未設定)",INDEX(ポート振替表!$O$5:$O$3507,$L2008)&amp;""))</f>
        <v/>
      </c>
      <c r="F2008" s="52" t="str">
        <f aca="false">IF(L2008="","",INDEX(ポート振替表!$K$5:$K$3507,$L2008)&amp;" "&amp;INDEX(ポート振替表!$L$5:$L$3507,$L2008)&amp;"  ⇔  "&amp;INDEX(ポート振替表!$H$5:$H$3507,$L2008)&amp;" "&amp;INDEX(ポート振替表!$I$5:$I$3507,$L2008))</f>
        <v/>
      </c>
      <c r="G2008" s="57" t="s">
        <v>158</v>
      </c>
      <c r="H2008" s="32" t="str">
        <f aca="false">IF(L2008="","",INDEX(ポート振替表!$N$5:$N$3507,$L2008)&amp;"")</f>
        <v/>
      </c>
      <c r="I2008" s="32" t="str">
        <f aca="false">IF(L2008="","",INDEX(ポート振替表!$P$5:$P$3507,$L2008)&amp;"")</f>
        <v/>
      </c>
      <c r="J2008" s="60" t="str">
        <f aca="false">IF(L2008="","",INDEX(ポート振替表!$M$5:$M$3507,$L2008)&amp;"")</f>
        <v/>
      </c>
      <c r="K2008" s="52" t="str">
        <f aca="false">IF(L2008="","",E2008&amp;CHAR(10)&amp;INDEX(ポート振替表!$K$5:$K$3507,$L2008)&amp;" "&amp;INDEX(ポート振替表!$L$5:$L$3507,$L2008)&amp;CHAR(10)&amp;"⇔ "&amp;INDEX(ポート振替表!$H$5:$H$3507,$L2008)&amp;" "&amp;INDEX(ポート振替表!$I$5:$I$3507,$L2008))</f>
        <v/>
      </c>
      <c r="L2008" s="47" t="str">
        <f aca="false">IFERROR(MATCH(ROW()-4,ポート振替表!$V$5:$V$3507,0),"")</f>
        <v/>
      </c>
    </row>
    <row r="2009" customFormat="false" ht="16.4" hidden="false" customHeight="false" outlineLevel="0" collapsed="false">
      <c r="A2009" s="32" t="str">
        <f aca="false">IF(L2009="","",ROW()-4)</f>
        <v/>
      </c>
      <c r="B2009" s="58" t="str">
        <f aca="false">IF(L2009="","",IF(INDEX(ポート振替表!$W$5:$W$3507,$L2009)="","(なし)",INDEX(ポート振替表!$W$5:$W$3507,$L2009)&amp;""))</f>
        <v/>
      </c>
      <c r="C2009" s="52" t="str">
        <f aca="false">IF(L2009="","",INDEX(ポート振替表!$B$5:$B$3507,$L2009)&amp;" "&amp;INDEX(ポート振替表!$C$5:$C$3507,$L2009)&amp;"  ⇔  "&amp;INDEX(ポート振替表!$H$5:$H$3507,$L2009)&amp;" "&amp;INDEX(ポート振替表!$I$5:$I$3507,$L2009))</f>
        <v/>
      </c>
      <c r="D2009" s="57" t="s">
        <v>158</v>
      </c>
      <c r="E2009" s="59" t="str">
        <f aca="false">IF(L2009="","",IF(INDEX(ポート振替表!$O$5:$O$3507,$L2009)="","(未設定)",INDEX(ポート振替表!$O$5:$O$3507,$L2009)&amp;""))</f>
        <v/>
      </c>
      <c r="F2009" s="52" t="str">
        <f aca="false">IF(L2009="","",INDEX(ポート振替表!$K$5:$K$3507,$L2009)&amp;" "&amp;INDEX(ポート振替表!$L$5:$L$3507,$L2009)&amp;"  ⇔  "&amp;INDEX(ポート振替表!$H$5:$H$3507,$L2009)&amp;" "&amp;INDEX(ポート振替表!$I$5:$I$3507,$L2009))</f>
        <v/>
      </c>
      <c r="G2009" s="57" t="s">
        <v>158</v>
      </c>
      <c r="H2009" s="32" t="str">
        <f aca="false">IF(L2009="","",INDEX(ポート振替表!$N$5:$N$3507,$L2009)&amp;"")</f>
        <v/>
      </c>
      <c r="I2009" s="32" t="str">
        <f aca="false">IF(L2009="","",INDEX(ポート振替表!$P$5:$P$3507,$L2009)&amp;"")</f>
        <v/>
      </c>
      <c r="J2009" s="60" t="str">
        <f aca="false">IF(L2009="","",INDEX(ポート振替表!$M$5:$M$3507,$L2009)&amp;"")</f>
        <v/>
      </c>
      <c r="K2009" s="52" t="str">
        <f aca="false">IF(L2009="","",E2009&amp;CHAR(10)&amp;INDEX(ポート振替表!$K$5:$K$3507,$L2009)&amp;" "&amp;INDEX(ポート振替表!$L$5:$L$3507,$L2009)&amp;CHAR(10)&amp;"⇔ "&amp;INDEX(ポート振替表!$H$5:$H$3507,$L2009)&amp;" "&amp;INDEX(ポート振替表!$I$5:$I$3507,$L2009))</f>
        <v/>
      </c>
      <c r="L2009" s="47" t="str">
        <f aca="false">IFERROR(MATCH(ROW()-4,ポート振替表!$V$5:$V$3507,0),"")</f>
        <v/>
      </c>
    </row>
    <row r="2010" customFormat="false" ht="16.4" hidden="false" customHeight="false" outlineLevel="0" collapsed="false">
      <c r="A2010" s="32" t="str">
        <f aca="false">IF(L2010="","",ROW()-4)</f>
        <v/>
      </c>
      <c r="B2010" s="58" t="str">
        <f aca="false">IF(L2010="","",IF(INDEX(ポート振替表!$W$5:$W$3507,$L2010)="","(なし)",INDEX(ポート振替表!$W$5:$W$3507,$L2010)&amp;""))</f>
        <v/>
      </c>
      <c r="C2010" s="52" t="str">
        <f aca="false">IF(L2010="","",INDEX(ポート振替表!$B$5:$B$3507,$L2010)&amp;" "&amp;INDEX(ポート振替表!$C$5:$C$3507,$L2010)&amp;"  ⇔  "&amp;INDEX(ポート振替表!$H$5:$H$3507,$L2010)&amp;" "&amp;INDEX(ポート振替表!$I$5:$I$3507,$L2010))</f>
        <v/>
      </c>
      <c r="D2010" s="57" t="s">
        <v>158</v>
      </c>
      <c r="E2010" s="59" t="str">
        <f aca="false">IF(L2010="","",IF(INDEX(ポート振替表!$O$5:$O$3507,$L2010)="","(未設定)",INDEX(ポート振替表!$O$5:$O$3507,$L2010)&amp;""))</f>
        <v/>
      </c>
      <c r="F2010" s="52" t="str">
        <f aca="false">IF(L2010="","",INDEX(ポート振替表!$K$5:$K$3507,$L2010)&amp;" "&amp;INDEX(ポート振替表!$L$5:$L$3507,$L2010)&amp;"  ⇔  "&amp;INDEX(ポート振替表!$H$5:$H$3507,$L2010)&amp;" "&amp;INDEX(ポート振替表!$I$5:$I$3507,$L2010))</f>
        <v/>
      </c>
      <c r="G2010" s="57" t="s">
        <v>158</v>
      </c>
      <c r="H2010" s="32" t="str">
        <f aca="false">IF(L2010="","",INDEX(ポート振替表!$N$5:$N$3507,$L2010)&amp;"")</f>
        <v/>
      </c>
      <c r="I2010" s="32" t="str">
        <f aca="false">IF(L2010="","",INDEX(ポート振替表!$P$5:$P$3507,$L2010)&amp;"")</f>
        <v/>
      </c>
      <c r="J2010" s="60" t="str">
        <f aca="false">IF(L2010="","",INDEX(ポート振替表!$M$5:$M$3507,$L2010)&amp;"")</f>
        <v/>
      </c>
      <c r="K2010" s="52" t="str">
        <f aca="false">IF(L2010="","",E2010&amp;CHAR(10)&amp;INDEX(ポート振替表!$K$5:$K$3507,$L2010)&amp;" "&amp;INDEX(ポート振替表!$L$5:$L$3507,$L2010)&amp;CHAR(10)&amp;"⇔ "&amp;INDEX(ポート振替表!$H$5:$H$3507,$L2010)&amp;" "&amp;INDEX(ポート振替表!$I$5:$I$3507,$L2010))</f>
        <v/>
      </c>
      <c r="L2010" s="47" t="str">
        <f aca="false">IFERROR(MATCH(ROW()-4,ポート振替表!$V$5:$V$3507,0),"")</f>
        <v/>
      </c>
    </row>
    <row r="2011" customFormat="false" ht="16.4" hidden="false" customHeight="false" outlineLevel="0" collapsed="false">
      <c r="A2011" s="32" t="str">
        <f aca="false">IF(L2011="","",ROW()-4)</f>
        <v/>
      </c>
      <c r="B2011" s="58" t="str">
        <f aca="false">IF(L2011="","",IF(INDEX(ポート振替表!$W$5:$W$3507,$L2011)="","(なし)",INDEX(ポート振替表!$W$5:$W$3507,$L2011)&amp;""))</f>
        <v/>
      </c>
      <c r="C2011" s="52" t="str">
        <f aca="false">IF(L2011="","",INDEX(ポート振替表!$B$5:$B$3507,$L2011)&amp;" "&amp;INDEX(ポート振替表!$C$5:$C$3507,$L2011)&amp;"  ⇔  "&amp;INDEX(ポート振替表!$H$5:$H$3507,$L2011)&amp;" "&amp;INDEX(ポート振替表!$I$5:$I$3507,$L2011))</f>
        <v/>
      </c>
      <c r="D2011" s="57" t="s">
        <v>158</v>
      </c>
      <c r="E2011" s="59" t="str">
        <f aca="false">IF(L2011="","",IF(INDEX(ポート振替表!$O$5:$O$3507,$L2011)="","(未設定)",INDEX(ポート振替表!$O$5:$O$3507,$L2011)&amp;""))</f>
        <v/>
      </c>
      <c r="F2011" s="52" t="str">
        <f aca="false">IF(L2011="","",INDEX(ポート振替表!$K$5:$K$3507,$L2011)&amp;" "&amp;INDEX(ポート振替表!$L$5:$L$3507,$L2011)&amp;"  ⇔  "&amp;INDEX(ポート振替表!$H$5:$H$3507,$L2011)&amp;" "&amp;INDEX(ポート振替表!$I$5:$I$3507,$L2011))</f>
        <v/>
      </c>
      <c r="G2011" s="57" t="s">
        <v>158</v>
      </c>
      <c r="H2011" s="32" t="str">
        <f aca="false">IF(L2011="","",INDEX(ポート振替表!$N$5:$N$3507,$L2011)&amp;"")</f>
        <v/>
      </c>
      <c r="I2011" s="32" t="str">
        <f aca="false">IF(L2011="","",INDEX(ポート振替表!$P$5:$P$3507,$L2011)&amp;"")</f>
        <v/>
      </c>
      <c r="J2011" s="60" t="str">
        <f aca="false">IF(L2011="","",INDEX(ポート振替表!$M$5:$M$3507,$L2011)&amp;"")</f>
        <v/>
      </c>
      <c r="K2011" s="52" t="str">
        <f aca="false">IF(L2011="","",E2011&amp;CHAR(10)&amp;INDEX(ポート振替表!$K$5:$K$3507,$L2011)&amp;" "&amp;INDEX(ポート振替表!$L$5:$L$3507,$L2011)&amp;CHAR(10)&amp;"⇔ "&amp;INDEX(ポート振替表!$H$5:$H$3507,$L2011)&amp;" "&amp;INDEX(ポート振替表!$I$5:$I$3507,$L2011))</f>
        <v/>
      </c>
      <c r="L2011" s="47" t="str">
        <f aca="false">IFERROR(MATCH(ROW()-4,ポート振替表!$V$5:$V$3507,0),"")</f>
        <v/>
      </c>
    </row>
    <row r="2012" customFormat="false" ht="16.4" hidden="false" customHeight="false" outlineLevel="0" collapsed="false">
      <c r="A2012" s="32" t="str">
        <f aca="false">IF(L2012="","",ROW()-4)</f>
        <v/>
      </c>
      <c r="B2012" s="58" t="str">
        <f aca="false">IF(L2012="","",IF(INDEX(ポート振替表!$W$5:$W$3507,$L2012)="","(なし)",INDEX(ポート振替表!$W$5:$W$3507,$L2012)&amp;""))</f>
        <v/>
      </c>
      <c r="C2012" s="52" t="str">
        <f aca="false">IF(L2012="","",INDEX(ポート振替表!$B$5:$B$3507,$L2012)&amp;" "&amp;INDEX(ポート振替表!$C$5:$C$3507,$L2012)&amp;"  ⇔  "&amp;INDEX(ポート振替表!$H$5:$H$3507,$L2012)&amp;" "&amp;INDEX(ポート振替表!$I$5:$I$3507,$L2012))</f>
        <v/>
      </c>
      <c r="D2012" s="57" t="s">
        <v>158</v>
      </c>
      <c r="E2012" s="59" t="str">
        <f aca="false">IF(L2012="","",IF(INDEX(ポート振替表!$O$5:$O$3507,$L2012)="","(未設定)",INDEX(ポート振替表!$O$5:$O$3507,$L2012)&amp;""))</f>
        <v/>
      </c>
      <c r="F2012" s="52" t="str">
        <f aca="false">IF(L2012="","",INDEX(ポート振替表!$K$5:$K$3507,$L2012)&amp;" "&amp;INDEX(ポート振替表!$L$5:$L$3507,$L2012)&amp;"  ⇔  "&amp;INDEX(ポート振替表!$H$5:$H$3507,$L2012)&amp;" "&amp;INDEX(ポート振替表!$I$5:$I$3507,$L2012))</f>
        <v/>
      </c>
      <c r="G2012" s="57" t="s">
        <v>158</v>
      </c>
      <c r="H2012" s="32" t="str">
        <f aca="false">IF(L2012="","",INDEX(ポート振替表!$N$5:$N$3507,$L2012)&amp;"")</f>
        <v/>
      </c>
      <c r="I2012" s="32" t="str">
        <f aca="false">IF(L2012="","",INDEX(ポート振替表!$P$5:$P$3507,$L2012)&amp;"")</f>
        <v/>
      </c>
      <c r="J2012" s="60" t="str">
        <f aca="false">IF(L2012="","",INDEX(ポート振替表!$M$5:$M$3507,$L2012)&amp;"")</f>
        <v/>
      </c>
      <c r="K2012" s="52" t="str">
        <f aca="false">IF(L2012="","",E2012&amp;CHAR(10)&amp;INDEX(ポート振替表!$K$5:$K$3507,$L2012)&amp;" "&amp;INDEX(ポート振替表!$L$5:$L$3507,$L2012)&amp;CHAR(10)&amp;"⇔ "&amp;INDEX(ポート振替表!$H$5:$H$3507,$L2012)&amp;" "&amp;INDEX(ポート振替表!$I$5:$I$3507,$L2012))</f>
        <v/>
      </c>
      <c r="L2012" s="47" t="str">
        <f aca="false">IFERROR(MATCH(ROW()-4,ポート振替表!$V$5:$V$3507,0),"")</f>
        <v/>
      </c>
    </row>
    <row r="2013" customFormat="false" ht="16.4" hidden="false" customHeight="false" outlineLevel="0" collapsed="false">
      <c r="A2013" s="32" t="str">
        <f aca="false">IF(L2013="","",ROW()-4)</f>
        <v/>
      </c>
      <c r="B2013" s="58" t="str">
        <f aca="false">IF(L2013="","",IF(INDEX(ポート振替表!$W$5:$W$3507,$L2013)="","(なし)",INDEX(ポート振替表!$W$5:$W$3507,$L2013)&amp;""))</f>
        <v/>
      </c>
      <c r="C2013" s="52" t="str">
        <f aca="false">IF(L2013="","",INDEX(ポート振替表!$B$5:$B$3507,$L2013)&amp;" "&amp;INDEX(ポート振替表!$C$5:$C$3507,$L2013)&amp;"  ⇔  "&amp;INDEX(ポート振替表!$H$5:$H$3507,$L2013)&amp;" "&amp;INDEX(ポート振替表!$I$5:$I$3507,$L2013))</f>
        <v/>
      </c>
      <c r="D2013" s="57" t="s">
        <v>158</v>
      </c>
      <c r="E2013" s="59" t="str">
        <f aca="false">IF(L2013="","",IF(INDEX(ポート振替表!$O$5:$O$3507,$L2013)="","(未設定)",INDEX(ポート振替表!$O$5:$O$3507,$L2013)&amp;""))</f>
        <v/>
      </c>
      <c r="F2013" s="52" t="str">
        <f aca="false">IF(L2013="","",INDEX(ポート振替表!$K$5:$K$3507,$L2013)&amp;" "&amp;INDEX(ポート振替表!$L$5:$L$3507,$L2013)&amp;"  ⇔  "&amp;INDEX(ポート振替表!$H$5:$H$3507,$L2013)&amp;" "&amp;INDEX(ポート振替表!$I$5:$I$3507,$L2013))</f>
        <v/>
      </c>
      <c r="G2013" s="57" t="s">
        <v>158</v>
      </c>
      <c r="H2013" s="32" t="str">
        <f aca="false">IF(L2013="","",INDEX(ポート振替表!$N$5:$N$3507,$L2013)&amp;"")</f>
        <v/>
      </c>
      <c r="I2013" s="32" t="str">
        <f aca="false">IF(L2013="","",INDEX(ポート振替表!$P$5:$P$3507,$L2013)&amp;"")</f>
        <v/>
      </c>
      <c r="J2013" s="60" t="str">
        <f aca="false">IF(L2013="","",INDEX(ポート振替表!$M$5:$M$3507,$L2013)&amp;"")</f>
        <v/>
      </c>
      <c r="K2013" s="52" t="str">
        <f aca="false">IF(L2013="","",E2013&amp;CHAR(10)&amp;INDEX(ポート振替表!$K$5:$K$3507,$L2013)&amp;" "&amp;INDEX(ポート振替表!$L$5:$L$3507,$L2013)&amp;CHAR(10)&amp;"⇔ "&amp;INDEX(ポート振替表!$H$5:$H$3507,$L2013)&amp;" "&amp;INDEX(ポート振替表!$I$5:$I$3507,$L2013))</f>
        <v/>
      </c>
      <c r="L2013" s="47" t="str">
        <f aca="false">IFERROR(MATCH(ROW()-4,ポート振替表!$V$5:$V$3507,0),"")</f>
        <v/>
      </c>
    </row>
    <row r="2014" customFormat="false" ht="16.4" hidden="false" customHeight="false" outlineLevel="0" collapsed="false">
      <c r="A2014" s="32" t="str">
        <f aca="false">IF(L2014="","",ROW()-4)</f>
        <v/>
      </c>
      <c r="B2014" s="58" t="str">
        <f aca="false">IF(L2014="","",IF(INDEX(ポート振替表!$W$5:$W$3507,$L2014)="","(なし)",INDEX(ポート振替表!$W$5:$W$3507,$L2014)&amp;""))</f>
        <v/>
      </c>
      <c r="C2014" s="52" t="str">
        <f aca="false">IF(L2014="","",INDEX(ポート振替表!$B$5:$B$3507,$L2014)&amp;" "&amp;INDEX(ポート振替表!$C$5:$C$3507,$L2014)&amp;"  ⇔  "&amp;INDEX(ポート振替表!$H$5:$H$3507,$L2014)&amp;" "&amp;INDEX(ポート振替表!$I$5:$I$3507,$L2014))</f>
        <v/>
      </c>
      <c r="D2014" s="57" t="s">
        <v>158</v>
      </c>
      <c r="E2014" s="59" t="str">
        <f aca="false">IF(L2014="","",IF(INDEX(ポート振替表!$O$5:$O$3507,$L2014)="","(未設定)",INDEX(ポート振替表!$O$5:$O$3507,$L2014)&amp;""))</f>
        <v/>
      </c>
      <c r="F2014" s="52" t="str">
        <f aca="false">IF(L2014="","",INDEX(ポート振替表!$K$5:$K$3507,$L2014)&amp;" "&amp;INDEX(ポート振替表!$L$5:$L$3507,$L2014)&amp;"  ⇔  "&amp;INDEX(ポート振替表!$H$5:$H$3507,$L2014)&amp;" "&amp;INDEX(ポート振替表!$I$5:$I$3507,$L2014))</f>
        <v/>
      </c>
      <c r="G2014" s="57" t="s">
        <v>158</v>
      </c>
      <c r="H2014" s="32" t="str">
        <f aca="false">IF(L2014="","",INDEX(ポート振替表!$N$5:$N$3507,$L2014)&amp;"")</f>
        <v/>
      </c>
      <c r="I2014" s="32" t="str">
        <f aca="false">IF(L2014="","",INDEX(ポート振替表!$P$5:$P$3507,$L2014)&amp;"")</f>
        <v/>
      </c>
      <c r="J2014" s="60" t="str">
        <f aca="false">IF(L2014="","",INDEX(ポート振替表!$M$5:$M$3507,$L2014)&amp;"")</f>
        <v/>
      </c>
      <c r="K2014" s="52" t="str">
        <f aca="false">IF(L2014="","",E2014&amp;CHAR(10)&amp;INDEX(ポート振替表!$K$5:$K$3507,$L2014)&amp;" "&amp;INDEX(ポート振替表!$L$5:$L$3507,$L2014)&amp;CHAR(10)&amp;"⇔ "&amp;INDEX(ポート振替表!$H$5:$H$3507,$L2014)&amp;" "&amp;INDEX(ポート振替表!$I$5:$I$3507,$L2014))</f>
        <v/>
      </c>
      <c r="L2014" s="47" t="str">
        <f aca="false">IFERROR(MATCH(ROW()-4,ポート振替表!$V$5:$V$3507,0),"")</f>
        <v/>
      </c>
    </row>
    <row r="2015" customFormat="false" ht="16.4" hidden="false" customHeight="false" outlineLevel="0" collapsed="false">
      <c r="A2015" s="32" t="str">
        <f aca="false">IF(L2015="","",ROW()-4)</f>
        <v/>
      </c>
      <c r="B2015" s="58" t="str">
        <f aca="false">IF(L2015="","",IF(INDEX(ポート振替表!$W$5:$W$3507,$L2015)="","(なし)",INDEX(ポート振替表!$W$5:$W$3507,$L2015)&amp;""))</f>
        <v/>
      </c>
      <c r="C2015" s="52" t="str">
        <f aca="false">IF(L2015="","",INDEX(ポート振替表!$B$5:$B$3507,$L2015)&amp;" "&amp;INDEX(ポート振替表!$C$5:$C$3507,$L2015)&amp;"  ⇔  "&amp;INDEX(ポート振替表!$H$5:$H$3507,$L2015)&amp;" "&amp;INDEX(ポート振替表!$I$5:$I$3507,$L2015))</f>
        <v/>
      </c>
      <c r="D2015" s="57" t="s">
        <v>158</v>
      </c>
      <c r="E2015" s="59" t="str">
        <f aca="false">IF(L2015="","",IF(INDEX(ポート振替表!$O$5:$O$3507,$L2015)="","(未設定)",INDEX(ポート振替表!$O$5:$O$3507,$L2015)&amp;""))</f>
        <v/>
      </c>
      <c r="F2015" s="52" t="str">
        <f aca="false">IF(L2015="","",INDEX(ポート振替表!$K$5:$K$3507,$L2015)&amp;" "&amp;INDEX(ポート振替表!$L$5:$L$3507,$L2015)&amp;"  ⇔  "&amp;INDEX(ポート振替表!$H$5:$H$3507,$L2015)&amp;" "&amp;INDEX(ポート振替表!$I$5:$I$3507,$L2015))</f>
        <v/>
      </c>
      <c r="G2015" s="57" t="s">
        <v>158</v>
      </c>
      <c r="H2015" s="32" t="str">
        <f aca="false">IF(L2015="","",INDEX(ポート振替表!$N$5:$N$3507,$L2015)&amp;"")</f>
        <v/>
      </c>
      <c r="I2015" s="32" t="str">
        <f aca="false">IF(L2015="","",INDEX(ポート振替表!$P$5:$P$3507,$L2015)&amp;"")</f>
        <v/>
      </c>
      <c r="J2015" s="60" t="str">
        <f aca="false">IF(L2015="","",INDEX(ポート振替表!$M$5:$M$3507,$L2015)&amp;"")</f>
        <v/>
      </c>
      <c r="K2015" s="52" t="str">
        <f aca="false">IF(L2015="","",E2015&amp;CHAR(10)&amp;INDEX(ポート振替表!$K$5:$K$3507,$L2015)&amp;" "&amp;INDEX(ポート振替表!$L$5:$L$3507,$L2015)&amp;CHAR(10)&amp;"⇔ "&amp;INDEX(ポート振替表!$H$5:$H$3507,$L2015)&amp;" "&amp;INDEX(ポート振替表!$I$5:$I$3507,$L2015))</f>
        <v/>
      </c>
      <c r="L2015" s="47" t="str">
        <f aca="false">IFERROR(MATCH(ROW()-4,ポート振替表!$V$5:$V$3507,0),"")</f>
        <v/>
      </c>
    </row>
    <row r="2016" customFormat="false" ht="16.4" hidden="false" customHeight="false" outlineLevel="0" collapsed="false">
      <c r="A2016" s="32" t="str">
        <f aca="false">IF(L2016="","",ROW()-4)</f>
        <v/>
      </c>
      <c r="B2016" s="58" t="str">
        <f aca="false">IF(L2016="","",IF(INDEX(ポート振替表!$W$5:$W$3507,$L2016)="","(なし)",INDEX(ポート振替表!$W$5:$W$3507,$L2016)&amp;""))</f>
        <v/>
      </c>
      <c r="C2016" s="52" t="str">
        <f aca="false">IF(L2016="","",INDEX(ポート振替表!$B$5:$B$3507,$L2016)&amp;" "&amp;INDEX(ポート振替表!$C$5:$C$3507,$L2016)&amp;"  ⇔  "&amp;INDEX(ポート振替表!$H$5:$H$3507,$L2016)&amp;" "&amp;INDEX(ポート振替表!$I$5:$I$3507,$L2016))</f>
        <v/>
      </c>
      <c r="D2016" s="57" t="s">
        <v>158</v>
      </c>
      <c r="E2016" s="59" t="str">
        <f aca="false">IF(L2016="","",IF(INDEX(ポート振替表!$O$5:$O$3507,$L2016)="","(未設定)",INDEX(ポート振替表!$O$5:$O$3507,$L2016)&amp;""))</f>
        <v/>
      </c>
      <c r="F2016" s="52" t="str">
        <f aca="false">IF(L2016="","",INDEX(ポート振替表!$K$5:$K$3507,$L2016)&amp;" "&amp;INDEX(ポート振替表!$L$5:$L$3507,$L2016)&amp;"  ⇔  "&amp;INDEX(ポート振替表!$H$5:$H$3507,$L2016)&amp;" "&amp;INDEX(ポート振替表!$I$5:$I$3507,$L2016))</f>
        <v/>
      </c>
      <c r="G2016" s="57" t="s">
        <v>158</v>
      </c>
      <c r="H2016" s="32" t="str">
        <f aca="false">IF(L2016="","",INDEX(ポート振替表!$N$5:$N$3507,$L2016)&amp;"")</f>
        <v/>
      </c>
      <c r="I2016" s="32" t="str">
        <f aca="false">IF(L2016="","",INDEX(ポート振替表!$P$5:$P$3507,$L2016)&amp;"")</f>
        <v/>
      </c>
      <c r="J2016" s="60" t="str">
        <f aca="false">IF(L2016="","",INDEX(ポート振替表!$M$5:$M$3507,$L2016)&amp;"")</f>
        <v/>
      </c>
      <c r="K2016" s="52" t="str">
        <f aca="false">IF(L2016="","",E2016&amp;CHAR(10)&amp;INDEX(ポート振替表!$K$5:$K$3507,$L2016)&amp;" "&amp;INDEX(ポート振替表!$L$5:$L$3507,$L2016)&amp;CHAR(10)&amp;"⇔ "&amp;INDEX(ポート振替表!$H$5:$H$3507,$L2016)&amp;" "&amp;INDEX(ポート振替表!$I$5:$I$3507,$L2016))</f>
        <v/>
      </c>
      <c r="L2016" s="47" t="str">
        <f aca="false">IFERROR(MATCH(ROW()-4,ポート振替表!$V$5:$V$3507,0),"")</f>
        <v/>
      </c>
    </row>
    <row r="2017" customFormat="false" ht="16.4" hidden="false" customHeight="false" outlineLevel="0" collapsed="false">
      <c r="A2017" s="32" t="str">
        <f aca="false">IF(L2017="","",ROW()-4)</f>
        <v/>
      </c>
      <c r="B2017" s="58" t="str">
        <f aca="false">IF(L2017="","",IF(INDEX(ポート振替表!$W$5:$W$3507,$L2017)="","(なし)",INDEX(ポート振替表!$W$5:$W$3507,$L2017)&amp;""))</f>
        <v/>
      </c>
      <c r="C2017" s="52" t="str">
        <f aca="false">IF(L2017="","",INDEX(ポート振替表!$B$5:$B$3507,$L2017)&amp;" "&amp;INDEX(ポート振替表!$C$5:$C$3507,$L2017)&amp;"  ⇔  "&amp;INDEX(ポート振替表!$H$5:$H$3507,$L2017)&amp;" "&amp;INDEX(ポート振替表!$I$5:$I$3507,$L2017))</f>
        <v/>
      </c>
      <c r="D2017" s="57" t="s">
        <v>158</v>
      </c>
      <c r="E2017" s="59" t="str">
        <f aca="false">IF(L2017="","",IF(INDEX(ポート振替表!$O$5:$O$3507,$L2017)="","(未設定)",INDEX(ポート振替表!$O$5:$O$3507,$L2017)&amp;""))</f>
        <v/>
      </c>
      <c r="F2017" s="52" t="str">
        <f aca="false">IF(L2017="","",INDEX(ポート振替表!$K$5:$K$3507,$L2017)&amp;" "&amp;INDEX(ポート振替表!$L$5:$L$3507,$L2017)&amp;"  ⇔  "&amp;INDEX(ポート振替表!$H$5:$H$3507,$L2017)&amp;" "&amp;INDEX(ポート振替表!$I$5:$I$3507,$L2017))</f>
        <v/>
      </c>
      <c r="G2017" s="57" t="s">
        <v>158</v>
      </c>
      <c r="H2017" s="32" t="str">
        <f aca="false">IF(L2017="","",INDEX(ポート振替表!$N$5:$N$3507,$L2017)&amp;"")</f>
        <v/>
      </c>
      <c r="I2017" s="32" t="str">
        <f aca="false">IF(L2017="","",INDEX(ポート振替表!$P$5:$P$3507,$L2017)&amp;"")</f>
        <v/>
      </c>
      <c r="J2017" s="60" t="str">
        <f aca="false">IF(L2017="","",INDEX(ポート振替表!$M$5:$M$3507,$L2017)&amp;"")</f>
        <v/>
      </c>
      <c r="K2017" s="52" t="str">
        <f aca="false">IF(L2017="","",E2017&amp;CHAR(10)&amp;INDEX(ポート振替表!$K$5:$K$3507,$L2017)&amp;" "&amp;INDEX(ポート振替表!$L$5:$L$3507,$L2017)&amp;CHAR(10)&amp;"⇔ "&amp;INDEX(ポート振替表!$H$5:$H$3507,$L2017)&amp;" "&amp;INDEX(ポート振替表!$I$5:$I$3507,$L2017))</f>
        <v/>
      </c>
      <c r="L2017" s="47" t="str">
        <f aca="false">IFERROR(MATCH(ROW()-4,ポート振替表!$V$5:$V$3507,0),"")</f>
        <v/>
      </c>
    </row>
    <row r="2018" customFormat="false" ht="16.4" hidden="false" customHeight="false" outlineLevel="0" collapsed="false">
      <c r="A2018" s="32" t="str">
        <f aca="false">IF(L2018="","",ROW()-4)</f>
        <v/>
      </c>
      <c r="B2018" s="58" t="str">
        <f aca="false">IF(L2018="","",IF(INDEX(ポート振替表!$W$5:$W$3507,$L2018)="","(なし)",INDEX(ポート振替表!$W$5:$W$3507,$L2018)&amp;""))</f>
        <v/>
      </c>
      <c r="C2018" s="52" t="str">
        <f aca="false">IF(L2018="","",INDEX(ポート振替表!$B$5:$B$3507,$L2018)&amp;" "&amp;INDEX(ポート振替表!$C$5:$C$3507,$L2018)&amp;"  ⇔  "&amp;INDEX(ポート振替表!$H$5:$H$3507,$L2018)&amp;" "&amp;INDEX(ポート振替表!$I$5:$I$3507,$L2018))</f>
        <v/>
      </c>
      <c r="D2018" s="57" t="s">
        <v>158</v>
      </c>
      <c r="E2018" s="59" t="str">
        <f aca="false">IF(L2018="","",IF(INDEX(ポート振替表!$O$5:$O$3507,$L2018)="","(未設定)",INDEX(ポート振替表!$O$5:$O$3507,$L2018)&amp;""))</f>
        <v/>
      </c>
      <c r="F2018" s="52" t="str">
        <f aca="false">IF(L2018="","",INDEX(ポート振替表!$K$5:$K$3507,$L2018)&amp;" "&amp;INDEX(ポート振替表!$L$5:$L$3507,$L2018)&amp;"  ⇔  "&amp;INDEX(ポート振替表!$H$5:$H$3507,$L2018)&amp;" "&amp;INDEX(ポート振替表!$I$5:$I$3507,$L2018))</f>
        <v/>
      </c>
      <c r="G2018" s="57" t="s">
        <v>158</v>
      </c>
      <c r="H2018" s="32" t="str">
        <f aca="false">IF(L2018="","",INDEX(ポート振替表!$N$5:$N$3507,$L2018)&amp;"")</f>
        <v/>
      </c>
      <c r="I2018" s="32" t="str">
        <f aca="false">IF(L2018="","",INDEX(ポート振替表!$P$5:$P$3507,$L2018)&amp;"")</f>
        <v/>
      </c>
      <c r="J2018" s="60" t="str">
        <f aca="false">IF(L2018="","",INDEX(ポート振替表!$M$5:$M$3507,$L2018)&amp;"")</f>
        <v/>
      </c>
      <c r="K2018" s="52" t="str">
        <f aca="false">IF(L2018="","",E2018&amp;CHAR(10)&amp;INDEX(ポート振替表!$K$5:$K$3507,$L2018)&amp;" "&amp;INDEX(ポート振替表!$L$5:$L$3507,$L2018)&amp;CHAR(10)&amp;"⇔ "&amp;INDEX(ポート振替表!$H$5:$H$3507,$L2018)&amp;" "&amp;INDEX(ポート振替表!$I$5:$I$3507,$L2018))</f>
        <v/>
      </c>
      <c r="L2018" s="47" t="str">
        <f aca="false">IFERROR(MATCH(ROW()-4,ポート振替表!$V$5:$V$3507,0),"")</f>
        <v/>
      </c>
    </row>
    <row r="2019" customFormat="false" ht="16.4" hidden="false" customHeight="false" outlineLevel="0" collapsed="false">
      <c r="A2019" s="32" t="str">
        <f aca="false">IF(L2019="","",ROW()-4)</f>
        <v/>
      </c>
      <c r="B2019" s="58" t="str">
        <f aca="false">IF(L2019="","",IF(INDEX(ポート振替表!$W$5:$W$3507,$L2019)="","(なし)",INDEX(ポート振替表!$W$5:$W$3507,$L2019)&amp;""))</f>
        <v/>
      </c>
      <c r="C2019" s="52" t="str">
        <f aca="false">IF(L2019="","",INDEX(ポート振替表!$B$5:$B$3507,$L2019)&amp;" "&amp;INDEX(ポート振替表!$C$5:$C$3507,$L2019)&amp;"  ⇔  "&amp;INDEX(ポート振替表!$H$5:$H$3507,$L2019)&amp;" "&amp;INDEX(ポート振替表!$I$5:$I$3507,$L2019))</f>
        <v/>
      </c>
      <c r="D2019" s="57" t="s">
        <v>158</v>
      </c>
      <c r="E2019" s="59" t="str">
        <f aca="false">IF(L2019="","",IF(INDEX(ポート振替表!$O$5:$O$3507,$L2019)="","(未設定)",INDEX(ポート振替表!$O$5:$O$3507,$L2019)&amp;""))</f>
        <v/>
      </c>
      <c r="F2019" s="52" t="str">
        <f aca="false">IF(L2019="","",INDEX(ポート振替表!$K$5:$K$3507,$L2019)&amp;" "&amp;INDEX(ポート振替表!$L$5:$L$3507,$L2019)&amp;"  ⇔  "&amp;INDEX(ポート振替表!$H$5:$H$3507,$L2019)&amp;" "&amp;INDEX(ポート振替表!$I$5:$I$3507,$L2019))</f>
        <v/>
      </c>
      <c r="G2019" s="57" t="s">
        <v>158</v>
      </c>
      <c r="H2019" s="32" t="str">
        <f aca="false">IF(L2019="","",INDEX(ポート振替表!$N$5:$N$3507,$L2019)&amp;"")</f>
        <v/>
      </c>
      <c r="I2019" s="32" t="str">
        <f aca="false">IF(L2019="","",INDEX(ポート振替表!$P$5:$P$3507,$L2019)&amp;"")</f>
        <v/>
      </c>
      <c r="J2019" s="60" t="str">
        <f aca="false">IF(L2019="","",INDEX(ポート振替表!$M$5:$M$3507,$L2019)&amp;"")</f>
        <v/>
      </c>
      <c r="K2019" s="52" t="str">
        <f aca="false">IF(L2019="","",E2019&amp;CHAR(10)&amp;INDEX(ポート振替表!$K$5:$K$3507,$L2019)&amp;" "&amp;INDEX(ポート振替表!$L$5:$L$3507,$L2019)&amp;CHAR(10)&amp;"⇔ "&amp;INDEX(ポート振替表!$H$5:$H$3507,$L2019)&amp;" "&amp;INDEX(ポート振替表!$I$5:$I$3507,$L2019))</f>
        <v/>
      </c>
      <c r="L2019" s="47" t="str">
        <f aca="false">IFERROR(MATCH(ROW()-4,ポート振替表!$V$5:$V$3507,0),"")</f>
        <v/>
      </c>
    </row>
    <row r="2020" customFormat="false" ht="16.4" hidden="false" customHeight="false" outlineLevel="0" collapsed="false">
      <c r="A2020" s="32" t="str">
        <f aca="false">IF(L2020="","",ROW()-4)</f>
        <v/>
      </c>
      <c r="B2020" s="58" t="str">
        <f aca="false">IF(L2020="","",IF(INDEX(ポート振替表!$W$5:$W$3507,$L2020)="","(なし)",INDEX(ポート振替表!$W$5:$W$3507,$L2020)&amp;""))</f>
        <v/>
      </c>
      <c r="C2020" s="52" t="str">
        <f aca="false">IF(L2020="","",INDEX(ポート振替表!$B$5:$B$3507,$L2020)&amp;" "&amp;INDEX(ポート振替表!$C$5:$C$3507,$L2020)&amp;"  ⇔  "&amp;INDEX(ポート振替表!$H$5:$H$3507,$L2020)&amp;" "&amp;INDEX(ポート振替表!$I$5:$I$3507,$L2020))</f>
        <v/>
      </c>
      <c r="D2020" s="57" t="s">
        <v>158</v>
      </c>
      <c r="E2020" s="59" t="str">
        <f aca="false">IF(L2020="","",IF(INDEX(ポート振替表!$O$5:$O$3507,$L2020)="","(未設定)",INDEX(ポート振替表!$O$5:$O$3507,$L2020)&amp;""))</f>
        <v/>
      </c>
      <c r="F2020" s="52" t="str">
        <f aca="false">IF(L2020="","",INDEX(ポート振替表!$K$5:$K$3507,$L2020)&amp;" "&amp;INDEX(ポート振替表!$L$5:$L$3507,$L2020)&amp;"  ⇔  "&amp;INDEX(ポート振替表!$H$5:$H$3507,$L2020)&amp;" "&amp;INDEX(ポート振替表!$I$5:$I$3507,$L2020))</f>
        <v/>
      </c>
      <c r="G2020" s="57" t="s">
        <v>158</v>
      </c>
      <c r="H2020" s="32" t="str">
        <f aca="false">IF(L2020="","",INDEX(ポート振替表!$N$5:$N$3507,$L2020)&amp;"")</f>
        <v/>
      </c>
      <c r="I2020" s="32" t="str">
        <f aca="false">IF(L2020="","",INDEX(ポート振替表!$P$5:$P$3507,$L2020)&amp;"")</f>
        <v/>
      </c>
      <c r="J2020" s="60" t="str">
        <f aca="false">IF(L2020="","",INDEX(ポート振替表!$M$5:$M$3507,$L2020)&amp;"")</f>
        <v/>
      </c>
      <c r="K2020" s="52" t="str">
        <f aca="false">IF(L2020="","",E2020&amp;CHAR(10)&amp;INDEX(ポート振替表!$K$5:$K$3507,$L2020)&amp;" "&amp;INDEX(ポート振替表!$L$5:$L$3507,$L2020)&amp;CHAR(10)&amp;"⇔ "&amp;INDEX(ポート振替表!$H$5:$H$3507,$L2020)&amp;" "&amp;INDEX(ポート振替表!$I$5:$I$3507,$L2020))</f>
        <v/>
      </c>
      <c r="L2020" s="47" t="str">
        <f aca="false">IFERROR(MATCH(ROW()-4,ポート振替表!$V$5:$V$3507,0),"")</f>
        <v/>
      </c>
    </row>
    <row r="2021" customFormat="false" ht="16.4" hidden="false" customHeight="false" outlineLevel="0" collapsed="false">
      <c r="A2021" s="32" t="str">
        <f aca="false">IF(L2021="","",ROW()-4)</f>
        <v/>
      </c>
      <c r="B2021" s="58" t="str">
        <f aca="false">IF(L2021="","",IF(INDEX(ポート振替表!$W$5:$W$3507,$L2021)="","(なし)",INDEX(ポート振替表!$W$5:$W$3507,$L2021)&amp;""))</f>
        <v/>
      </c>
      <c r="C2021" s="52" t="str">
        <f aca="false">IF(L2021="","",INDEX(ポート振替表!$B$5:$B$3507,$L2021)&amp;" "&amp;INDEX(ポート振替表!$C$5:$C$3507,$L2021)&amp;"  ⇔  "&amp;INDEX(ポート振替表!$H$5:$H$3507,$L2021)&amp;" "&amp;INDEX(ポート振替表!$I$5:$I$3507,$L2021))</f>
        <v/>
      </c>
      <c r="D2021" s="57" t="s">
        <v>158</v>
      </c>
      <c r="E2021" s="59" t="str">
        <f aca="false">IF(L2021="","",IF(INDEX(ポート振替表!$O$5:$O$3507,$L2021)="","(未設定)",INDEX(ポート振替表!$O$5:$O$3507,$L2021)&amp;""))</f>
        <v/>
      </c>
      <c r="F2021" s="52" t="str">
        <f aca="false">IF(L2021="","",INDEX(ポート振替表!$K$5:$K$3507,$L2021)&amp;" "&amp;INDEX(ポート振替表!$L$5:$L$3507,$L2021)&amp;"  ⇔  "&amp;INDEX(ポート振替表!$H$5:$H$3507,$L2021)&amp;" "&amp;INDEX(ポート振替表!$I$5:$I$3507,$L2021))</f>
        <v/>
      </c>
      <c r="G2021" s="57" t="s">
        <v>158</v>
      </c>
      <c r="H2021" s="32" t="str">
        <f aca="false">IF(L2021="","",INDEX(ポート振替表!$N$5:$N$3507,$L2021)&amp;"")</f>
        <v/>
      </c>
      <c r="I2021" s="32" t="str">
        <f aca="false">IF(L2021="","",INDEX(ポート振替表!$P$5:$P$3507,$L2021)&amp;"")</f>
        <v/>
      </c>
      <c r="J2021" s="60" t="str">
        <f aca="false">IF(L2021="","",INDEX(ポート振替表!$M$5:$M$3507,$L2021)&amp;"")</f>
        <v/>
      </c>
      <c r="K2021" s="52" t="str">
        <f aca="false">IF(L2021="","",E2021&amp;CHAR(10)&amp;INDEX(ポート振替表!$K$5:$K$3507,$L2021)&amp;" "&amp;INDEX(ポート振替表!$L$5:$L$3507,$L2021)&amp;CHAR(10)&amp;"⇔ "&amp;INDEX(ポート振替表!$H$5:$H$3507,$L2021)&amp;" "&amp;INDEX(ポート振替表!$I$5:$I$3507,$L2021))</f>
        <v/>
      </c>
      <c r="L2021" s="47" t="str">
        <f aca="false">IFERROR(MATCH(ROW()-4,ポート振替表!$V$5:$V$3507,0),"")</f>
        <v/>
      </c>
    </row>
    <row r="2022" customFormat="false" ht="16.4" hidden="false" customHeight="false" outlineLevel="0" collapsed="false">
      <c r="A2022" s="32" t="str">
        <f aca="false">IF(L2022="","",ROW()-4)</f>
        <v/>
      </c>
      <c r="B2022" s="58" t="str">
        <f aca="false">IF(L2022="","",IF(INDEX(ポート振替表!$W$5:$W$3507,$L2022)="","(なし)",INDEX(ポート振替表!$W$5:$W$3507,$L2022)&amp;""))</f>
        <v/>
      </c>
      <c r="C2022" s="52" t="str">
        <f aca="false">IF(L2022="","",INDEX(ポート振替表!$B$5:$B$3507,$L2022)&amp;" "&amp;INDEX(ポート振替表!$C$5:$C$3507,$L2022)&amp;"  ⇔  "&amp;INDEX(ポート振替表!$H$5:$H$3507,$L2022)&amp;" "&amp;INDEX(ポート振替表!$I$5:$I$3507,$L2022))</f>
        <v/>
      </c>
      <c r="D2022" s="57" t="s">
        <v>158</v>
      </c>
      <c r="E2022" s="59" t="str">
        <f aca="false">IF(L2022="","",IF(INDEX(ポート振替表!$O$5:$O$3507,$L2022)="","(未設定)",INDEX(ポート振替表!$O$5:$O$3507,$L2022)&amp;""))</f>
        <v/>
      </c>
      <c r="F2022" s="52" t="str">
        <f aca="false">IF(L2022="","",INDEX(ポート振替表!$K$5:$K$3507,$L2022)&amp;" "&amp;INDEX(ポート振替表!$L$5:$L$3507,$L2022)&amp;"  ⇔  "&amp;INDEX(ポート振替表!$H$5:$H$3507,$L2022)&amp;" "&amp;INDEX(ポート振替表!$I$5:$I$3507,$L2022))</f>
        <v/>
      </c>
      <c r="G2022" s="57" t="s">
        <v>158</v>
      </c>
      <c r="H2022" s="32" t="str">
        <f aca="false">IF(L2022="","",INDEX(ポート振替表!$N$5:$N$3507,$L2022)&amp;"")</f>
        <v/>
      </c>
      <c r="I2022" s="32" t="str">
        <f aca="false">IF(L2022="","",INDEX(ポート振替表!$P$5:$P$3507,$L2022)&amp;"")</f>
        <v/>
      </c>
      <c r="J2022" s="60" t="str">
        <f aca="false">IF(L2022="","",INDEX(ポート振替表!$M$5:$M$3507,$L2022)&amp;"")</f>
        <v/>
      </c>
      <c r="K2022" s="52" t="str">
        <f aca="false">IF(L2022="","",E2022&amp;CHAR(10)&amp;INDEX(ポート振替表!$K$5:$K$3507,$L2022)&amp;" "&amp;INDEX(ポート振替表!$L$5:$L$3507,$L2022)&amp;CHAR(10)&amp;"⇔ "&amp;INDEX(ポート振替表!$H$5:$H$3507,$L2022)&amp;" "&amp;INDEX(ポート振替表!$I$5:$I$3507,$L2022))</f>
        <v/>
      </c>
      <c r="L2022" s="47" t="str">
        <f aca="false">IFERROR(MATCH(ROW()-4,ポート振替表!$V$5:$V$3507,0),"")</f>
        <v/>
      </c>
    </row>
    <row r="2023" customFormat="false" ht="16.4" hidden="false" customHeight="false" outlineLevel="0" collapsed="false">
      <c r="A2023" s="32" t="str">
        <f aca="false">IF(L2023="","",ROW()-4)</f>
        <v/>
      </c>
      <c r="B2023" s="58" t="str">
        <f aca="false">IF(L2023="","",IF(INDEX(ポート振替表!$W$5:$W$3507,$L2023)="","(なし)",INDEX(ポート振替表!$W$5:$W$3507,$L2023)&amp;""))</f>
        <v/>
      </c>
      <c r="C2023" s="52" t="str">
        <f aca="false">IF(L2023="","",INDEX(ポート振替表!$B$5:$B$3507,$L2023)&amp;" "&amp;INDEX(ポート振替表!$C$5:$C$3507,$L2023)&amp;"  ⇔  "&amp;INDEX(ポート振替表!$H$5:$H$3507,$L2023)&amp;" "&amp;INDEX(ポート振替表!$I$5:$I$3507,$L2023))</f>
        <v/>
      </c>
      <c r="D2023" s="57" t="s">
        <v>158</v>
      </c>
      <c r="E2023" s="59" t="str">
        <f aca="false">IF(L2023="","",IF(INDEX(ポート振替表!$O$5:$O$3507,$L2023)="","(未設定)",INDEX(ポート振替表!$O$5:$O$3507,$L2023)&amp;""))</f>
        <v/>
      </c>
      <c r="F2023" s="52" t="str">
        <f aca="false">IF(L2023="","",INDEX(ポート振替表!$K$5:$K$3507,$L2023)&amp;" "&amp;INDEX(ポート振替表!$L$5:$L$3507,$L2023)&amp;"  ⇔  "&amp;INDEX(ポート振替表!$H$5:$H$3507,$L2023)&amp;" "&amp;INDEX(ポート振替表!$I$5:$I$3507,$L2023))</f>
        <v/>
      </c>
      <c r="G2023" s="57" t="s">
        <v>158</v>
      </c>
      <c r="H2023" s="32" t="str">
        <f aca="false">IF(L2023="","",INDEX(ポート振替表!$N$5:$N$3507,$L2023)&amp;"")</f>
        <v/>
      </c>
      <c r="I2023" s="32" t="str">
        <f aca="false">IF(L2023="","",INDEX(ポート振替表!$P$5:$P$3507,$L2023)&amp;"")</f>
        <v/>
      </c>
      <c r="J2023" s="60" t="str">
        <f aca="false">IF(L2023="","",INDEX(ポート振替表!$M$5:$M$3507,$L2023)&amp;"")</f>
        <v/>
      </c>
      <c r="K2023" s="52" t="str">
        <f aca="false">IF(L2023="","",E2023&amp;CHAR(10)&amp;INDEX(ポート振替表!$K$5:$K$3507,$L2023)&amp;" "&amp;INDEX(ポート振替表!$L$5:$L$3507,$L2023)&amp;CHAR(10)&amp;"⇔ "&amp;INDEX(ポート振替表!$H$5:$H$3507,$L2023)&amp;" "&amp;INDEX(ポート振替表!$I$5:$I$3507,$L2023))</f>
        <v/>
      </c>
      <c r="L2023" s="47" t="str">
        <f aca="false">IFERROR(MATCH(ROW()-4,ポート振替表!$V$5:$V$3507,0),"")</f>
        <v/>
      </c>
    </row>
    <row r="2024" customFormat="false" ht="16.4" hidden="false" customHeight="false" outlineLevel="0" collapsed="false">
      <c r="A2024" s="32" t="str">
        <f aca="false">IF(L2024="","",ROW()-4)</f>
        <v/>
      </c>
      <c r="B2024" s="58" t="str">
        <f aca="false">IF(L2024="","",IF(INDEX(ポート振替表!$W$5:$W$3507,$L2024)="","(なし)",INDEX(ポート振替表!$W$5:$W$3507,$L2024)&amp;""))</f>
        <v/>
      </c>
      <c r="C2024" s="52" t="str">
        <f aca="false">IF(L2024="","",INDEX(ポート振替表!$B$5:$B$3507,$L2024)&amp;" "&amp;INDEX(ポート振替表!$C$5:$C$3507,$L2024)&amp;"  ⇔  "&amp;INDEX(ポート振替表!$H$5:$H$3507,$L2024)&amp;" "&amp;INDEX(ポート振替表!$I$5:$I$3507,$L2024))</f>
        <v/>
      </c>
      <c r="D2024" s="57" t="s">
        <v>158</v>
      </c>
      <c r="E2024" s="59" t="str">
        <f aca="false">IF(L2024="","",IF(INDEX(ポート振替表!$O$5:$O$3507,$L2024)="","(未設定)",INDEX(ポート振替表!$O$5:$O$3507,$L2024)&amp;""))</f>
        <v/>
      </c>
      <c r="F2024" s="52" t="str">
        <f aca="false">IF(L2024="","",INDEX(ポート振替表!$K$5:$K$3507,$L2024)&amp;" "&amp;INDEX(ポート振替表!$L$5:$L$3507,$L2024)&amp;"  ⇔  "&amp;INDEX(ポート振替表!$H$5:$H$3507,$L2024)&amp;" "&amp;INDEX(ポート振替表!$I$5:$I$3507,$L2024))</f>
        <v/>
      </c>
      <c r="G2024" s="57" t="s">
        <v>158</v>
      </c>
      <c r="H2024" s="32" t="str">
        <f aca="false">IF(L2024="","",INDEX(ポート振替表!$N$5:$N$3507,$L2024)&amp;"")</f>
        <v/>
      </c>
      <c r="I2024" s="32" t="str">
        <f aca="false">IF(L2024="","",INDEX(ポート振替表!$P$5:$P$3507,$L2024)&amp;"")</f>
        <v/>
      </c>
      <c r="J2024" s="60" t="str">
        <f aca="false">IF(L2024="","",INDEX(ポート振替表!$M$5:$M$3507,$L2024)&amp;"")</f>
        <v/>
      </c>
      <c r="K2024" s="52" t="str">
        <f aca="false">IF(L2024="","",E2024&amp;CHAR(10)&amp;INDEX(ポート振替表!$K$5:$K$3507,$L2024)&amp;" "&amp;INDEX(ポート振替表!$L$5:$L$3507,$L2024)&amp;CHAR(10)&amp;"⇔ "&amp;INDEX(ポート振替表!$H$5:$H$3507,$L2024)&amp;" "&amp;INDEX(ポート振替表!$I$5:$I$3507,$L2024))</f>
        <v/>
      </c>
      <c r="L2024" s="47" t="str">
        <f aca="false">IFERROR(MATCH(ROW()-4,ポート振替表!$V$5:$V$3507,0),"")</f>
        <v/>
      </c>
    </row>
    <row r="2025" customFormat="false" ht="16.4" hidden="false" customHeight="false" outlineLevel="0" collapsed="false">
      <c r="A2025" s="32" t="str">
        <f aca="false">IF(L2025="","",ROW()-4)</f>
        <v/>
      </c>
      <c r="B2025" s="58" t="str">
        <f aca="false">IF(L2025="","",IF(INDEX(ポート振替表!$W$5:$W$3507,$L2025)="","(なし)",INDEX(ポート振替表!$W$5:$W$3507,$L2025)&amp;""))</f>
        <v/>
      </c>
      <c r="C2025" s="52" t="str">
        <f aca="false">IF(L2025="","",INDEX(ポート振替表!$B$5:$B$3507,$L2025)&amp;" "&amp;INDEX(ポート振替表!$C$5:$C$3507,$L2025)&amp;"  ⇔  "&amp;INDEX(ポート振替表!$H$5:$H$3507,$L2025)&amp;" "&amp;INDEX(ポート振替表!$I$5:$I$3507,$L2025))</f>
        <v/>
      </c>
      <c r="D2025" s="57" t="s">
        <v>158</v>
      </c>
      <c r="E2025" s="59" t="str">
        <f aca="false">IF(L2025="","",IF(INDEX(ポート振替表!$O$5:$O$3507,$L2025)="","(未設定)",INDEX(ポート振替表!$O$5:$O$3507,$L2025)&amp;""))</f>
        <v/>
      </c>
      <c r="F2025" s="52" t="str">
        <f aca="false">IF(L2025="","",INDEX(ポート振替表!$K$5:$K$3507,$L2025)&amp;" "&amp;INDEX(ポート振替表!$L$5:$L$3507,$L2025)&amp;"  ⇔  "&amp;INDEX(ポート振替表!$H$5:$H$3507,$L2025)&amp;" "&amp;INDEX(ポート振替表!$I$5:$I$3507,$L2025))</f>
        <v/>
      </c>
      <c r="G2025" s="57" t="s">
        <v>158</v>
      </c>
      <c r="H2025" s="32" t="str">
        <f aca="false">IF(L2025="","",INDEX(ポート振替表!$N$5:$N$3507,$L2025)&amp;"")</f>
        <v/>
      </c>
      <c r="I2025" s="32" t="str">
        <f aca="false">IF(L2025="","",INDEX(ポート振替表!$P$5:$P$3507,$L2025)&amp;"")</f>
        <v/>
      </c>
      <c r="J2025" s="60" t="str">
        <f aca="false">IF(L2025="","",INDEX(ポート振替表!$M$5:$M$3507,$L2025)&amp;"")</f>
        <v/>
      </c>
      <c r="K2025" s="52" t="str">
        <f aca="false">IF(L2025="","",E2025&amp;CHAR(10)&amp;INDEX(ポート振替表!$K$5:$K$3507,$L2025)&amp;" "&amp;INDEX(ポート振替表!$L$5:$L$3507,$L2025)&amp;CHAR(10)&amp;"⇔ "&amp;INDEX(ポート振替表!$H$5:$H$3507,$L2025)&amp;" "&amp;INDEX(ポート振替表!$I$5:$I$3507,$L2025))</f>
        <v/>
      </c>
      <c r="L2025" s="47" t="str">
        <f aca="false">IFERROR(MATCH(ROW()-4,ポート振替表!$V$5:$V$3507,0),"")</f>
        <v/>
      </c>
    </row>
    <row r="2026" customFormat="false" ht="16.4" hidden="false" customHeight="false" outlineLevel="0" collapsed="false">
      <c r="A2026" s="32" t="str">
        <f aca="false">IF(L2026="","",ROW()-4)</f>
        <v/>
      </c>
      <c r="B2026" s="58" t="str">
        <f aca="false">IF(L2026="","",IF(INDEX(ポート振替表!$W$5:$W$3507,$L2026)="","(なし)",INDEX(ポート振替表!$W$5:$W$3507,$L2026)&amp;""))</f>
        <v/>
      </c>
      <c r="C2026" s="52" t="str">
        <f aca="false">IF(L2026="","",INDEX(ポート振替表!$B$5:$B$3507,$L2026)&amp;" "&amp;INDEX(ポート振替表!$C$5:$C$3507,$L2026)&amp;"  ⇔  "&amp;INDEX(ポート振替表!$H$5:$H$3507,$L2026)&amp;" "&amp;INDEX(ポート振替表!$I$5:$I$3507,$L2026))</f>
        <v/>
      </c>
      <c r="D2026" s="57" t="s">
        <v>158</v>
      </c>
      <c r="E2026" s="59" t="str">
        <f aca="false">IF(L2026="","",IF(INDEX(ポート振替表!$O$5:$O$3507,$L2026)="","(未設定)",INDEX(ポート振替表!$O$5:$O$3507,$L2026)&amp;""))</f>
        <v/>
      </c>
      <c r="F2026" s="52" t="str">
        <f aca="false">IF(L2026="","",INDEX(ポート振替表!$K$5:$K$3507,$L2026)&amp;" "&amp;INDEX(ポート振替表!$L$5:$L$3507,$L2026)&amp;"  ⇔  "&amp;INDEX(ポート振替表!$H$5:$H$3507,$L2026)&amp;" "&amp;INDEX(ポート振替表!$I$5:$I$3507,$L2026))</f>
        <v/>
      </c>
      <c r="G2026" s="57" t="s">
        <v>158</v>
      </c>
      <c r="H2026" s="32" t="str">
        <f aca="false">IF(L2026="","",INDEX(ポート振替表!$N$5:$N$3507,$L2026)&amp;"")</f>
        <v/>
      </c>
      <c r="I2026" s="32" t="str">
        <f aca="false">IF(L2026="","",INDEX(ポート振替表!$P$5:$P$3507,$L2026)&amp;"")</f>
        <v/>
      </c>
      <c r="J2026" s="60" t="str">
        <f aca="false">IF(L2026="","",INDEX(ポート振替表!$M$5:$M$3507,$L2026)&amp;"")</f>
        <v/>
      </c>
      <c r="K2026" s="52" t="str">
        <f aca="false">IF(L2026="","",E2026&amp;CHAR(10)&amp;INDEX(ポート振替表!$K$5:$K$3507,$L2026)&amp;" "&amp;INDEX(ポート振替表!$L$5:$L$3507,$L2026)&amp;CHAR(10)&amp;"⇔ "&amp;INDEX(ポート振替表!$H$5:$H$3507,$L2026)&amp;" "&amp;INDEX(ポート振替表!$I$5:$I$3507,$L2026))</f>
        <v/>
      </c>
      <c r="L2026" s="47" t="str">
        <f aca="false">IFERROR(MATCH(ROW()-4,ポート振替表!$V$5:$V$3507,0),"")</f>
        <v/>
      </c>
    </row>
    <row r="2027" customFormat="false" ht="16.4" hidden="false" customHeight="false" outlineLevel="0" collapsed="false">
      <c r="A2027" s="32" t="str">
        <f aca="false">IF(L2027="","",ROW()-4)</f>
        <v/>
      </c>
      <c r="B2027" s="58" t="str">
        <f aca="false">IF(L2027="","",IF(INDEX(ポート振替表!$W$5:$W$3507,$L2027)="","(なし)",INDEX(ポート振替表!$W$5:$W$3507,$L2027)&amp;""))</f>
        <v/>
      </c>
      <c r="C2027" s="52" t="str">
        <f aca="false">IF(L2027="","",INDEX(ポート振替表!$B$5:$B$3507,$L2027)&amp;" "&amp;INDEX(ポート振替表!$C$5:$C$3507,$L2027)&amp;"  ⇔  "&amp;INDEX(ポート振替表!$H$5:$H$3507,$L2027)&amp;" "&amp;INDEX(ポート振替表!$I$5:$I$3507,$L2027))</f>
        <v/>
      </c>
      <c r="D2027" s="57" t="s">
        <v>158</v>
      </c>
      <c r="E2027" s="59" t="str">
        <f aca="false">IF(L2027="","",IF(INDEX(ポート振替表!$O$5:$O$3507,$L2027)="","(未設定)",INDEX(ポート振替表!$O$5:$O$3507,$L2027)&amp;""))</f>
        <v/>
      </c>
      <c r="F2027" s="52" t="str">
        <f aca="false">IF(L2027="","",INDEX(ポート振替表!$K$5:$K$3507,$L2027)&amp;" "&amp;INDEX(ポート振替表!$L$5:$L$3507,$L2027)&amp;"  ⇔  "&amp;INDEX(ポート振替表!$H$5:$H$3507,$L2027)&amp;" "&amp;INDEX(ポート振替表!$I$5:$I$3507,$L2027))</f>
        <v/>
      </c>
      <c r="G2027" s="57" t="s">
        <v>158</v>
      </c>
      <c r="H2027" s="32" t="str">
        <f aca="false">IF(L2027="","",INDEX(ポート振替表!$N$5:$N$3507,$L2027)&amp;"")</f>
        <v/>
      </c>
      <c r="I2027" s="32" t="str">
        <f aca="false">IF(L2027="","",INDEX(ポート振替表!$P$5:$P$3507,$L2027)&amp;"")</f>
        <v/>
      </c>
      <c r="J2027" s="60" t="str">
        <f aca="false">IF(L2027="","",INDEX(ポート振替表!$M$5:$M$3507,$L2027)&amp;"")</f>
        <v/>
      </c>
      <c r="K2027" s="52" t="str">
        <f aca="false">IF(L2027="","",E2027&amp;CHAR(10)&amp;INDEX(ポート振替表!$K$5:$K$3507,$L2027)&amp;" "&amp;INDEX(ポート振替表!$L$5:$L$3507,$L2027)&amp;CHAR(10)&amp;"⇔ "&amp;INDEX(ポート振替表!$H$5:$H$3507,$L2027)&amp;" "&amp;INDEX(ポート振替表!$I$5:$I$3507,$L2027))</f>
        <v/>
      </c>
      <c r="L2027" s="47" t="str">
        <f aca="false">IFERROR(MATCH(ROW()-4,ポート振替表!$V$5:$V$3507,0),"")</f>
        <v/>
      </c>
    </row>
    <row r="2028" customFormat="false" ht="16.4" hidden="false" customHeight="false" outlineLevel="0" collapsed="false">
      <c r="A2028" s="32" t="str">
        <f aca="false">IF(L2028="","",ROW()-4)</f>
        <v/>
      </c>
      <c r="B2028" s="58" t="str">
        <f aca="false">IF(L2028="","",IF(INDEX(ポート振替表!$W$5:$W$3507,$L2028)="","(なし)",INDEX(ポート振替表!$W$5:$W$3507,$L2028)&amp;""))</f>
        <v/>
      </c>
      <c r="C2028" s="52" t="str">
        <f aca="false">IF(L2028="","",INDEX(ポート振替表!$B$5:$B$3507,$L2028)&amp;" "&amp;INDEX(ポート振替表!$C$5:$C$3507,$L2028)&amp;"  ⇔  "&amp;INDEX(ポート振替表!$H$5:$H$3507,$L2028)&amp;" "&amp;INDEX(ポート振替表!$I$5:$I$3507,$L2028))</f>
        <v/>
      </c>
      <c r="D2028" s="57" t="s">
        <v>158</v>
      </c>
      <c r="E2028" s="59" t="str">
        <f aca="false">IF(L2028="","",IF(INDEX(ポート振替表!$O$5:$O$3507,$L2028)="","(未設定)",INDEX(ポート振替表!$O$5:$O$3507,$L2028)&amp;""))</f>
        <v/>
      </c>
      <c r="F2028" s="52" t="str">
        <f aca="false">IF(L2028="","",INDEX(ポート振替表!$K$5:$K$3507,$L2028)&amp;" "&amp;INDEX(ポート振替表!$L$5:$L$3507,$L2028)&amp;"  ⇔  "&amp;INDEX(ポート振替表!$H$5:$H$3507,$L2028)&amp;" "&amp;INDEX(ポート振替表!$I$5:$I$3507,$L2028))</f>
        <v/>
      </c>
      <c r="G2028" s="57" t="s">
        <v>158</v>
      </c>
      <c r="H2028" s="32" t="str">
        <f aca="false">IF(L2028="","",INDEX(ポート振替表!$N$5:$N$3507,$L2028)&amp;"")</f>
        <v/>
      </c>
      <c r="I2028" s="32" t="str">
        <f aca="false">IF(L2028="","",INDEX(ポート振替表!$P$5:$P$3507,$L2028)&amp;"")</f>
        <v/>
      </c>
      <c r="J2028" s="60" t="str">
        <f aca="false">IF(L2028="","",INDEX(ポート振替表!$M$5:$M$3507,$L2028)&amp;"")</f>
        <v/>
      </c>
      <c r="K2028" s="52" t="str">
        <f aca="false">IF(L2028="","",E2028&amp;CHAR(10)&amp;INDEX(ポート振替表!$K$5:$K$3507,$L2028)&amp;" "&amp;INDEX(ポート振替表!$L$5:$L$3507,$L2028)&amp;CHAR(10)&amp;"⇔ "&amp;INDEX(ポート振替表!$H$5:$H$3507,$L2028)&amp;" "&amp;INDEX(ポート振替表!$I$5:$I$3507,$L2028))</f>
        <v/>
      </c>
      <c r="L2028" s="47" t="str">
        <f aca="false">IFERROR(MATCH(ROW()-4,ポート振替表!$V$5:$V$3507,0),"")</f>
        <v/>
      </c>
    </row>
    <row r="2029" customFormat="false" ht="16.4" hidden="false" customHeight="false" outlineLevel="0" collapsed="false">
      <c r="A2029" s="32" t="str">
        <f aca="false">IF(L2029="","",ROW()-4)</f>
        <v/>
      </c>
      <c r="B2029" s="58" t="str">
        <f aca="false">IF(L2029="","",IF(INDEX(ポート振替表!$W$5:$W$3507,$L2029)="","(なし)",INDEX(ポート振替表!$W$5:$W$3507,$L2029)&amp;""))</f>
        <v/>
      </c>
      <c r="C2029" s="52" t="str">
        <f aca="false">IF(L2029="","",INDEX(ポート振替表!$B$5:$B$3507,$L2029)&amp;" "&amp;INDEX(ポート振替表!$C$5:$C$3507,$L2029)&amp;"  ⇔  "&amp;INDEX(ポート振替表!$H$5:$H$3507,$L2029)&amp;" "&amp;INDEX(ポート振替表!$I$5:$I$3507,$L2029))</f>
        <v/>
      </c>
      <c r="D2029" s="57" t="s">
        <v>158</v>
      </c>
      <c r="E2029" s="59" t="str">
        <f aca="false">IF(L2029="","",IF(INDEX(ポート振替表!$O$5:$O$3507,$L2029)="","(未設定)",INDEX(ポート振替表!$O$5:$O$3507,$L2029)&amp;""))</f>
        <v/>
      </c>
      <c r="F2029" s="52" t="str">
        <f aca="false">IF(L2029="","",INDEX(ポート振替表!$K$5:$K$3507,$L2029)&amp;" "&amp;INDEX(ポート振替表!$L$5:$L$3507,$L2029)&amp;"  ⇔  "&amp;INDEX(ポート振替表!$H$5:$H$3507,$L2029)&amp;" "&amp;INDEX(ポート振替表!$I$5:$I$3507,$L2029))</f>
        <v/>
      </c>
      <c r="G2029" s="57" t="s">
        <v>158</v>
      </c>
      <c r="H2029" s="32" t="str">
        <f aca="false">IF(L2029="","",INDEX(ポート振替表!$N$5:$N$3507,$L2029)&amp;"")</f>
        <v/>
      </c>
      <c r="I2029" s="32" t="str">
        <f aca="false">IF(L2029="","",INDEX(ポート振替表!$P$5:$P$3507,$L2029)&amp;"")</f>
        <v/>
      </c>
      <c r="J2029" s="60" t="str">
        <f aca="false">IF(L2029="","",INDEX(ポート振替表!$M$5:$M$3507,$L2029)&amp;"")</f>
        <v/>
      </c>
      <c r="K2029" s="52" t="str">
        <f aca="false">IF(L2029="","",E2029&amp;CHAR(10)&amp;INDEX(ポート振替表!$K$5:$K$3507,$L2029)&amp;" "&amp;INDEX(ポート振替表!$L$5:$L$3507,$L2029)&amp;CHAR(10)&amp;"⇔ "&amp;INDEX(ポート振替表!$H$5:$H$3507,$L2029)&amp;" "&amp;INDEX(ポート振替表!$I$5:$I$3507,$L2029))</f>
        <v/>
      </c>
      <c r="L2029" s="47" t="str">
        <f aca="false">IFERROR(MATCH(ROW()-4,ポート振替表!$V$5:$V$3507,0),"")</f>
        <v/>
      </c>
    </row>
    <row r="2030" customFormat="false" ht="16.4" hidden="false" customHeight="false" outlineLevel="0" collapsed="false">
      <c r="A2030" s="32" t="str">
        <f aca="false">IF(L2030="","",ROW()-4)</f>
        <v/>
      </c>
      <c r="B2030" s="58" t="str">
        <f aca="false">IF(L2030="","",IF(INDEX(ポート振替表!$W$5:$W$3507,$L2030)="","(なし)",INDEX(ポート振替表!$W$5:$W$3507,$L2030)&amp;""))</f>
        <v/>
      </c>
      <c r="C2030" s="52" t="str">
        <f aca="false">IF(L2030="","",INDEX(ポート振替表!$B$5:$B$3507,$L2030)&amp;" "&amp;INDEX(ポート振替表!$C$5:$C$3507,$L2030)&amp;"  ⇔  "&amp;INDEX(ポート振替表!$H$5:$H$3507,$L2030)&amp;" "&amp;INDEX(ポート振替表!$I$5:$I$3507,$L2030))</f>
        <v/>
      </c>
      <c r="D2030" s="57" t="s">
        <v>158</v>
      </c>
      <c r="E2030" s="59" t="str">
        <f aca="false">IF(L2030="","",IF(INDEX(ポート振替表!$O$5:$O$3507,$L2030)="","(未設定)",INDEX(ポート振替表!$O$5:$O$3507,$L2030)&amp;""))</f>
        <v/>
      </c>
      <c r="F2030" s="52" t="str">
        <f aca="false">IF(L2030="","",INDEX(ポート振替表!$K$5:$K$3507,$L2030)&amp;" "&amp;INDEX(ポート振替表!$L$5:$L$3507,$L2030)&amp;"  ⇔  "&amp;INDEX(ポート振替表!$H$5:$H$3507,$L2030)&amp;" "&amp;INDEX(ポート振替表!$I$5:$I$3507,$L2030))</f>
        <v/>
      </c>
      <c r="G2030" s="57" t="s">
        <v>158</v>
      </c>
      <c r="H2030" s="32" t="str">
        <f aca="false">IF(L2030="","",INDEX(ポート振替表!$N$5:$N$3507,$L2030)&amp;"")</f>
        <v/>
      </c>
      <c r="I2030" s="32" t="str">
        <f aca="false">IF(L2030="","",INDEX(ポート振替表!$P$5:$P$3507,$L2030)&amp;"")</f>
        <v/>
      </c>
      <c r="J2030" s="60" t="str">
        <f aca="false">IF(L2030="","",INDEX(ポート振替表!$M$5:$M$3507,$L2030)&amp;"")</f>
        <v/>
      </c>
      <c r="K2030" s="52" t="str">
        <f aca="false">IF(L2030="","",E2030&amp;CHAR(10)&amp;INDEX(ポート振替表!$K$5:$K$3507,$L2030)&amp;" "&amp;INDEX(ポート振替表!$L$5:$L$3507,$L2030)&amp;CHAR(10)&amp;"⇔ "&amp;INDEX(ポート振替表!$H$5:$H$3507,$L2030)&amp;" "&amp;INDEX(ポート振替表!$I$5:$I$3507,$L2030))</f>
        <v/>
      </c>
      <c r="L2030" s="47" t="str">
        <f aca="false">IFERROR(MATCH(ROW()-4,ポート振替表!$V$5:$V$3507,0),"")</f>
        <v/>
      </c>
    </row>
    <row r="2031" customFormat="false" ht="16.4" hidden="false" customHeight="false" outlineLevel="0" collapsed="false">
      <c r="A2031" s="32" t="str">
        <f aca="false">IF(L2031="","",ROW()-4)</f>
        <v/>
      </c>
      <c r="B2031" s="58" t="str">
        <f aca="false">IF(L2031="","",IF(INDEX(ポート振替表!$W$5:$W$3507,$L2031)="","(なし)",INDEX(ポート振替表!$W$5:$W$3507,$L2031)&amp;""))</f>
        <v/>
      </c>
      <c r="C2031" s="52" t="str">
        <f aca="false">IF(L2031="","",INDEX(ポート振替表!$B$5:$B$3507,$L2031)&amp;" "&amp;INDEX(ポート振替表!$C$5:$C$3507,$L2031)&amp;"  ⇔  "&amp;INDEX(ポート振替表!$H$5:$H$3507,$L2031)&amp;" "&amp;INDEX(ポート振替表!$I$5:$I$3507,$L2031))</f>
        <v/>
      </c>
      <c r="D2031" s="57" t="s">
        <v>158</v>
      </c>
      <c r="E2031" s="59" t="str">
        <f aca="false">IF(L2031="","",IF(INDEX(ポート振替表!$O$5:$O$3507,$L2031)="","(未設定)",INDEX(ポート振替表!$O$5:$O$3507,$L2031)&amp;""))</f>
        <v/>
      </c>
      <c r="F2031" s="52" t="str">
        <f aca="false">IF(L2031="","",INDEX(ポート振替表!$K$5:$K$3507,$L2031)&amp;" "&amp;INDEX(ポート振替表!$L$5:$L$3507,$L2031)&amp;"  ⇔  "&amp;INDEX(ポート振替表!$H$5:$H$3507,$L2031)&amp;" "&amp;INDEX(ポート振替表!$I$5:$I$3507,$L2031))</f>
        <v/>
      </c>
      <c r="G2031" s="57" t="s">
        <v>158</v>
      </c>
      <c r="H2031" s="32" t="str">
        <f aca="false">IF(L2031="","",INDEX(ポート振替表!$N$5:$N$3507,$L2031)&amp;"")</f>
        <v/>
      </c>
      <c r="I2031" s="32" t="str">
        <f aca="false">IF(L2031="","",INDEX(ポート振替表!$P$5:$P$3507,$L2031)&amp;"")</f>
        <v/>
      </c>
      <c r="J2031" s="60" t="str">
        <f aca="false">IF(L2031="","",INDEX(ポート振替表!$M$5:$M$3507,$L2031)&amp;"")</f>
        <v/>
      </c>
      <c r="K2031" s="52" t="str">
        <f aca="false">IF(L2031="","",E2031&amp;CHAR(10)&amp;INDEX(ポート振替表!$K$5:$K$3507,$L2031)&amp;" "&amp;INDEX(ポート振替表!$L$5:$L$3507,$L2031)&amp;CHAR(10)&amp;"⇔ "&amp;INDEX(ポート振替表!$H$5:$H$3507,$L2031)&amp;" "&amp;INDEX(ポート振替表!$I$5:$I$3507,$L2031))</f>
        <v/>
      </c>
      <c r="L2031" s="47" t="str">
        <f aca="false">IFERROR(MATCH(ROW()-4,ポート振替表!$V$5:$V$3507,0),"")</f>
        <v/>
      </c>
    </row>
    <row r="2032" customFormat="false" ht="16.4" hidden="false" customHeight="false" outlineLevel="0" collapsed="false">
      <c r="A2032" s="32" t="str">
        <f aca="false">IF(L2032="","",ROW()-4)</f>
        <v/>
      </c>
      <c r="B2032" s="58" t="str">
        <f aca="false">IF(L2032="","",IF(INDEX(ポート振替表!$W$5:$W$3507,$L2032)="","(なし)",INDEX(ポート振替表!$W$5:$W$3507,$L2032)&amp;""))</f>
        <v/>
      </c>
      <c r="C2032" s="52" t="str">
        <f aca="false">IF(L2032="","",INDEX(ポート振替表!$B$5:$B$3507,$L2032)&amp;" "&amp;INDEX(ポート振替表!$C$5:$C$3507,$L2032)&amp;"  ⇔  "&amp;INDEX(ポート振替表!$H$5:$H$3507,$L2032)&amp;" "&amp;INDEX(ポート振替表!$I$5:$I$3507,$L2032))</f>
        <v/>
      </c>
      <c r="D2032" s="57" t="s">
        <v>158</v>
      </c>
      <c r="E2032" s="59" t="str">
        <f aca="false">IF(L2032="","",IF(INDEX(ポート振替表!$O$5:$O$3507,$L2032)="","(未設定)",INDEX(ポート振替表!$O$5:$O$3507,$L2032)&amp;""))</f>
        <v/>
      </c>
      <c r="F2032" s="52" t="str">
        <f aca="false">IF(L2032="","",INDEX(ポート振替表!$K$5:$K$3507,$L2032)&amp;" "&amp;INDEX(ポート振替表!$L$5:$L$3507,$L2032)&amp;"  ⇔  "&amp;INDEX(ポート振替表!$H$5:$H$3507,$L2032)&amp;" "&amp;INDEX(ポート振替表!$I$5:$I$3507,$L2032))</f>
        <v/>
      </c>
      <c r="G2032" s="57" t="s">
        <v>158</v>
      </c>
      <c r="H2032" s="32" t="str">
        <f aca="false">IF(L2032="","",INDEX(ポート振替表!$N$5:$N$3507,$L2032)&amp;"")</f>
        <v/>
      </c>
      <c r="I2032" s="32" t="str">
        <f aca="false">IF(L2032="","",INDEX(ポート振替表!$P$5:$P$3507,$L2032)&amp;"")</f>
        <v/>
      </c>
      <c r="J2032" s="60" t="str">
        <f aca="false">IF(L2032="","",INDEX(ポート振替表!$M$5:$M$3507,$L2032)&amp;"")</f>
        <v/>
      </c>
      <c r="K2032" s="52" t="str">
        <f aca="false">IF(L2032="","",E2032&amp;CHAR(10)&amp;INDEX(ポート振替表!$K$5:$K$3507,$L2032)&amp;" "&amp;INDEX(ポート振替表!$L$5:$L$3507,$L2032)&amp;CHAR(10)&amp;"⇔ "&amp;INDEX(ポート振替表!$H$5:$H$3507,$L2032)&amp;" "&amp;INDEX(ポート振替表!$I$5:$I$3507,$L2032))</f>
        <v/>
      </c>
      <c r="L2032" s="47" t="str">
        <f aca="false">IFERROR(MATCH(ROW()-4,ポート振替表!$V$5:$V$3507,0),"")</f>
        <v/>
      </c>
    </row>
    <row r="2033" customFormat="false" ht="16.4" hidden="false" customHeight="false" outlineLevel="0" collapsed="false">
      <c r="A2033" s="32" t="str">
        <f aca="false">IF(L2033="","",ROW()-4)</f>
        <v/>
      </c>
      <c r="B2033" s="58" t="str">
        <f aca="false">IF(L2033="","",IF(INDEX(ポート振替表!$W$5:$W$3507,$L2033)="","(なし)",INDEX(ポート振替表!$W$5:$W$3507,$L2033)&amp;""))</f>
        <v/>
      </c>
      <c r="C2033" s="52" t="str">
        <f aca="false">IF(L2033="","",INDEX(ポート振替表!$B$5:$B$3507,$L2033)&amp;" "&amp;INDEX(ポート振替表!$C$5:$C$3507,$L2033)&amp;"  ⇔  "&amp;INDEX(ポート振替表!$H$5:$H$3507,$L2033)&amp;" "&amp;INDEX(ポート振替表!$I$5:$I$3507,$L2033))</f>
        <v/>
      </c>
      <c r="D2033" s="57" t="s">
        <v>158</v>
      </c>
      <c r="E2033" s="59" t="str">
        <f aca="false">IF(L2033="","",IF(INDEX(ポート振替表!$O$5:$O$3507,$L2033)="","(未設定)",INDEX(ポート振替表!$O$5:$O$3507,$L2033)&amp;""))</f>
        <v/>
      </c>
      <c r="F2033" s="52" t="str">
        <f aca="false">IF(L2033="","",INDEX(ポート振替表!$K$5:$K$3507,$L2033)&amp;" "&amp;INDEX(ポート振替表!$L$5:$L$3507,$L2033)&amp;"  ⇔  "&amp;INDEX(ポート振替表!$H$5:$H$3507,$L2033)&amp;" "&amp;INDEX(ポート振替表!$I$5:$I$3507,$L2033))</f>
        <v/>
      </c>
      <c r="G2033" s="57" t="s">
        <v>158</v>
      </c>
      <c r="H2033" s="32" t="str">
        <f aca="false">IF(L2033="","",INDEX(ポート振替表!$N$5:$N$3507,$L2033)&amp;"")</f>
        <v/>
      </c>
      <c r="I2033" s="32" t="str">
        <f aca="false">IF(L2033="","",INDEX(ポート振替表!$P$5:$P$3507,$L2033)&amp;"")</f>
        <v/>
      </c>
      <c r="J2033" s="60" t="str">
        <f aca="false">IF(L2033="","",INDEX(ポート振替表!$M$5:$M$3507,$L2033)&amp;"")</f>
        <v/>
      </c>
      <c r="K2033" s="52" t="str">
        <f aca="false">IF(L2033="","",E2033&amp;CHAR(10)&amp;INDEX(ポート振替表!$K$5:$K$3507,$L2033)&amp;" "&amp;INDEX(ポート振替表!$L$5:$L$3507,$L2033)&amp;CHAR(10)&amp;"⇔ "&amp;INDEX(ポート振替表!$H$5:$H$3507,$L2033)&amp;" "&amp;INDEX(ポート振替表!$I$5:$I$3507,$L2033))</f>
        <v/>
      </c>
      <c r="L2033" s="47" t="str">
        <f aca="false">IFERROR(MATCH(ROW()-4,ポート振替表!$V$5:$V$3507,0),"")</f>
        <v/>
      </c>
    </row>
    <row r="2034" customFormat="false" ht="16.4" hidden="false" customHeight="false" outlineLevel="0" collapsed="false">
      <c r="A2034" s="32" t="str">
        <f aca="false">IF(L2034="","",ROW()-4)</f>
        <v/>
      </c>
      <c r="B2034" s="58" t="str">
        <f aca="false">IF(L2034="","",IF(INDEX(ポート振替表!$W$5:$W$3507,$L2034)="","(なし)",INDEX(ポート振替表!$W$5:$W$3507,$L2034)&amp;""))</f>
        <v/>
      </c>
      <c r="C2034" s="52" t="str">
        <f aca="false">IF(L2034="","",INDEX(ポート振替表!$B$5:$B$3507,$L2034)&amp;" "&amp;INDEX(ポート振替表!$C$5:$C$3507,$L2034)&amp;"  ⇔  "&amp;INDEX(ポート振替表!$H$5:$H$3507,$L2034)&amp;" "&amp;INDEX(ポート振替表!$I$5:$I$3507,$L2034))</f>
        <v/>
      </c>
      <c r="D2034" s="57" t="s">
        <v>158</v>
      </c>
      <c r="E2034" s="59" t="str">
        <f aca="false">IF(L2034="","",IF(INDEX(ポート振替表!$O$5:$O$3507,$L2034)="","(未設定)",INDEX(ポート振替表!$O$5:$O$3507,$L2034)&amp;""))</f>
        <v/>
      </c>
      <c r="F2034" s="52" t="str">
        <f aca="false">IF(L2034="","",INDEX(ポート振替表!$K$5:$K$3507,$L2034)&amp;" "&amp;INDEX(ポート振替表!$L$5:$L$3507,$L2034)&amp;"  ⇔  "&amp;INDEX(ポート振替表!$H$5:$H$3507,$L2034)&amp;" "&amp;INDEX(ポート振替表!$I$5:$I$3507,$L2034))</f>
        <v/>
      </c>
      <c r="G2034" s="57" t="s">
        <v>158</v>
      </c>
      <c r="H2034" s="32" t="str">
        <f aca="false">IF(L2034="","",INDEX(ポート振替表!$N$5:$N$3507,$L2034)&amp;"")</f>
        <v/>
      </c>
      <c r="I2034" s="32" t="str">
        <f aca="false">IF(L2034="","",INDEX(ポート振替表!$P$5:$P$3507,$L2034)&amp;"")</f>
        <v/>
      </c>
      <c r="J2034" s="60" t="str">
        <f aca="false">IF(L2034="","",INDEX(ポート振替表!$M$5:$M$3507,$L2034)&amp;"")</f>
        <v/>
      </c>
      <c r="K2034" s="52" t="str">
        <f aca="false">IF(L2034="","",E2034&amp;CHAR(10)&amp;INDEX(ポート振替表!$K$5:$K$3507,$L2034)&amp;" "&amp;INDEX(ポート振替表!$L$5:$L$3507,$L2034)&amp;CHAR(10)&amp;"⇔ "&amp;INDEX(ポート振替表!$H$5:$H$3507,$L2034)&amp;" "&amp;INDEX(ポート振替表!$I$5:$I$3507,$L2034))</f>
        <v/>
      </c>
      <c r="L2034" s="47" t="str">
        <f aca="false">IFERROR(MATCH(ROW()-4,ポート振替表!$V$5:$V$3507,0),"")</f>
        <v/>
      </c>
    </row>
    <row r="2035" customFormat="false" ht="16.4" hidden="false" customHeight="false" outlineLevel="0" collapsed="false">
      <c r="A2035" s="32" t="str">
        <f aca="false">IF(L2035="","",ROW()-4)</f>
        <v/>
      </c>
      <c r="B2035" s="58" t="str">
        <f aca="false">IF(L2035="","",IF(INDEX(ポート振替表!$W$5:$W$3507,$L2035)="","(なし)",INDEX(ポート振替表!$W$5:$W$3507,$L2035)&amp;""))</f>
        <v/>
      </c>
      <c r="C2035" s="52" t="str">
        <f aca="false">IF(L2035="","",INDEX(ポート振替表!$B$5:$B$3507,$L2035)&amp;" "&amp;INDEX(ポート振替表!$C$5:$C$3507,$L2035)&amp;"  ⇔  "&amp;INDEX(ポート振替表!$H$5:$H$3507,$L2035)&amp;" "&amp;INDEX(ポート振替表!$I$5:$I$3507,$L2035))</f>
        <v/>
      </c>
      <c r="D2035" s="57" t="s">
        <v>158</v>
      </c>
      <c r="E2035" s="59" t="str">
        <f aca="false">IF(L2035="","",IF(INDEX(ポート振替表!$O$5:$O$3507,$L2035)="","(未設定)",INDEX(ポート振替表!$O$5:$O$3507,$L2035)&amp;""))</f>
        <v/>
      </c>
      <c r="F2035" s="52" t="str">
        <f aca="false">IF(L2035="","",INDEX(ポート振替表!$K$5:$K$3507,$L2035)&amp;" "&amp;INDEX(ポート振替表!$L$5:$L$3507,$L2035)&amp;"  ⇔  "&amp;INDEX(ポート振替表!$H$5:$H$3507,$L2035)&amp;" "&amp;INDEX(ポート振替表!$I$5:$I$3507,$L2035))</f>
        <v/>
      </c>
      <c r="G2035" s="57" t="s">
        <v>158</v>
      </c>
      <c r="H2035" s="32" t="str">
        <f aca="false">IF(L2035="","",INDEX(ポート振替表!$N$5:$N$3507,$L2035)&amp;"")</f>
        <v/>
      </c>
      <c r="I2035" s="32" t="str">
        <f aca="false">IF(L2035="","",INDEX(ポート振替表!$P$5:$P$3507,$L2035)&amp;"")</f>
        <v/>
      </c>
      <c r="J2035" s="60" t="str">
        <f aca="false">IF(L2035="","",INDEX(ポート振替表!$M$5:$M$3507,$L2035)&amp;"")</f>
        <v/>
      </c>
      <c r="K2035" s="52" t="str">
        <f aca="false">IF(L2035="","",E2035&amp;CHAR(10)&amp;INDEX(ポート振替表!$K$5:$K$3507,$L2035)&amp;" "&amp;INDEX(ポート振替表!$L$5:$L$3507,$L2035)&amp;CHAR(10)&amp;"⇔ "&amp;INDEX(ポート振替表!$H$5:$H$3507,$L2035)&amp;" "&amp;INDEX(ポート振替表!$I$5:$I$3507,$L2035))</f>
        <v/>
      </c>
      <c r="L2035" s="47" t="str">
        <f aca="false">IFERROR(MATCH(ROW()-4,ポート振替表!$V$5:$V$3507,0),"")</f>
        <v/>
      </c>
    </row>
    <row r="2036" customFormat="false" ht="16.4" hidden="false" customHeight="false" outlineLevel="0" collapsed="false">
      <c r="A2036" s="32" t="str">
        <f aca="false">IF(L2036="","",ROW()-4)</f>
        <v/>
      </c>
      <c r="B2036" s="58" t="str">
        <f aca="false">IF(L2036="","",IF(INDEX(ポート振替表!$W$5:$W$3507,$L2036)="","(なし)",INDEX(ポート振替表!$W$5:$W$3507,$L2036)&amp;""))</f>
        <v/>
      </c>
      <c r="C2036" s="52" t="str">
        <f aca="false">IF(L2036="","",INDEX(ポート振替表!$B$5:$B$3507,$L2036)&amp;" "&amp;INDEX(ポート振替表!$C$5:$C$3507,$L2036)&amp;"  ⇔  "&amp;INDEX(ポート振替表!$H$5:$H$3507,$L2036)&amp;" "&amp;INDEX(ポート振替表!$I$5:$I$3507,$L2036))</f>
        <v/>
      </c>
      <c r="D2036" s="57" t="s">
        <v>158</v>
      </c>
      <c r="E2036" s="59" t="str">
        <f aca="false">IF(L2036="","",IF(INDEX(ポート振替表!$O$5:$O$3507,$L2036)="","(未設定)",INDEX(ポート振替表!$O$5:$O$3507,$L2036)&amp;""))</f>
        <v/>
      </c>
      <c r="F2036" s="52" t="str">
        <f aca="false">IF(L2036="","",INDEX(ポート振替表!$K$5:$K$3507,$L2036)&amp;" "&amp;INDEX(ポート振替表!$L$5:$L$3507,$L2036)&amp;"  ⇔  "&amp;INDEX(ポート振替表!$H$5:$H$3507,$L2036)&amp;" "&amp;INDEX(ポート振替表!$I$5:$I$3507,$L2036))</f>
        <v/>
      </c>
      <c r="G2036" s="57" t="s">
        <v>158</v>
      </c>
      <c r="H2036" s="32" t="str">
        <f aca="false">IF(L2036="","",INDEX(ポート振替表!$N$5:$N$3507,$L2036)&amp;"")</f>
        <v/>
      </c>
      <c r="I2036" s="32" t="str">
        <f aca="false">IF(L2036="","",INDEX(ポート振替表!$P$5:$P$3507,$L2036)&amp;"")</f>
        <v/>
      </c>
      <c r="J2036" s="60" t="str">
        <f aca="false">IF(L2036="","",INDEX(ポート振替表!$M$5:$M$3507,$L2036)&amp;"")</f>
        <v/>
      </c>
      <c r="K2036" s="52" t="str">
        <f aca="false">IF(L2036="","",E2036&amp;CHAR(10)&amp;INDEX(ポート振替表!$K$5:$K$3507,$L2036)&amp;" "&amp;INDEX(ポート振替表!$L$5:$L$3507,$L2036)&amp;CHAR(10)&amp;"⇔ "&amp;INDEX(ポート振替表!$H$5:$H$3507,$L2036)&amp;" "&amp;INDEX(ポート振替表!$I$5:$I$3507,$L2036))</f>
        <v/>
      </c>
      <c r="L2036" s="47" t="str">
        <f aca="false">IFERROR(MATCH(ROW()-4,ポート振替表!$V$5:$V$3507,0),"")</f>
        <v/>
      </c>
    </row>
    <row r="2037" customFormat="false" ht="16.4" hidden="false" customHeight="false" outlineLevel="0" collapsed="false">
      <c r="A2037" s="32" t="str">
        <f aca="false">IF(L2037="","",ROW()-4)</f>
        <v/>
      </c>
      <c r="B2037" s="58" t="str">
        <f aca="false">IF(L2037="","",IF(INDEX(ポート振替表!$W$5:$W$3507,$L2037)="","(なし)",INDEX(ポート振替表!$W$5:$W$3507,$L2037)&amp;""))</f>
        <v/>
      </c>
      <c r="C2037" s="52" t="str">
        <f aca="false">IF(L2037="","",INDEX(ポート振替表!$B$5:$B$3507,$L2037)&amp;" "&amp;INDEX(ポート振替表!$C$5:$C$3507,$L2037)&amp;"  ⇔  "&amp;INDEX(ポート振替表!$H$5:$H$3507,$L2037)&amp;" "&amp;INDEX(ポート振替表!$I$5:$I$3507,$L2037))</f>
        <v/>
      </c>
      <c r="D2037" s="57" t="s">
        <v>158</v>
      </c>
      <c r="E2037" s="59" t="str">
        <f aca="false">IF(L2037="","",IF(INDEX(ポート振替表!$O$5:$O$3507,$L2037)="","(未設定)",INDEX(ポート振替表!$O$5:$O$3507,$L2037)&amp;""))</f>
        <v/>
      </c>
      <c r="F2037" s="52" t="str">
        <f aca="false">IF(L2037="","",INDEX(ポート振替表!$K$5:$K$3507,$L2037)&amp;" "&amp;INDEX(ポート振替表!$L$5:$L$3507,$L2037)&amp;"  ⇔  "&amp;INDEX(ポート振替表!$H$5:$H$3507,$L2037)&amp;" "&amp;INDEX(ポート振替表!$I$5:$I$3507,$L2037))</f>
        <v/>
      </c>
      <c r="G2037" s="57" t="s">
        <v>158</v>
      </c>
      <c r="H2037" s="32" t="str">
        <f aca="false">IF(L2037="","",INDEX(ポート振替表!$N$5:$N$3507,$L2037)&amp;"")</f>
        <v/>
      </c>
      <c r="I2037" s="32" t="str">
        <f aca="false">IF(L2037="","",INDEX(ポート振替表!$P$5:$P$3507,$L2037)&amp;"")</f>
        <v/>
      </c>
      <c r="J2037" s="60" t="str">
        <f aca="false">IF(L2037="","",INDEX(ポート振替表!$M$5:$M$3507,$L2037)&amp;"")</f>
        <v/>
      </c>
      <c r="K2037" s="52" t="str">
        <f aca="false">IF(L2037="","",E2037&amp;CHAR(10)&amp;INDEX(ポート振替表!$K$5:$K$3507,$L2037)&amp;" "&amp;INDEX(ポート振替表!$L$5:$L$3507,$L2037)&amp;CHAR(10)&amp;"⇔ "&amp;INDEX(ポート振替表!$H$5:$H$3507,$L2037)&amp;" "&amp;INDEX(ポート振替表!$I$5:$I$3507,$L2037))</f>
        <v/>
      </c>
      <c r="L2037" s="47" t="str">
        <f aca="false">IFERROR(MATCH(ROW()-4,ポート振替表!$V$5:$V$3507,0),"")</f>
        <v/>
      </c>
    </row>
    <row r="2038" customFormat="false" ht="16.4" hidden="false" customHeight="false" outlineLevel="0" collapsed="false">
      <c r="A2038" s="32" t="str">
        <f aca="false">IF(L2038="","",ROW()-4)</f>
        <v/>
      </c>
      <c r="B2038" s="58" t="str">
        <f aca="false">IF(L2038="","",IF(INDEX(ポート振替表!$W$5:$W$3507,$L2038)="","(なし)",INDEX(ポート振替表!$W$5:$W$3507,$L2038)&amp;""))</f>
        <v/>
      </c>
      <c r="C2038" s="52" t="str">
        <f aca="false">IF(L2038="","",INDEX(ポート振替表!$B$5:$B$3507,$L2038)&amp;" "&amp;INDEX(ポート振替表!$C$5:$C$3507,$L2038)&amp;"  ⇔  "&amp;INDEX(ポート振替表!$H$5:$H$3507,$L2038)&amp;" "&amp;INDEX(ポート振替表!$I$5:$I$3507,$L2038))</f>
        <v/>
      </c>
      <c r="D2038" s="57" t="s">
        <v>158</v>
      </c>
      <c r="E2038" s="59" t="str">
        <f aca="false">IF(L2038="","",IF(INDEX(ポート振替表!$O$5:$O$3507,$L2038)="","(未設定)",INDEX(ポート振替表!$O$5:$O$3507,$L2038)&amp;""))</f>
        <v/>
      </c>
      <c r="F2038" s="52" t="str">
        <f aca="false">IF(L2038="","",INDEX(ポート振替表!$K$5:$K$3507,$L2038)&amp;" "&amp;INDEX(ポート振替表!$L$5:$L$3507,$L2038)&amp;"  ⇔  "&amp;INDEX(ポート振替表!$H$5:$H$3507,$L2038)&amp;" "&amp;INDEX(ポート振替表!$I$5:$I$3507,$L2038))</f>
        <v/>
      </c>
      <c r="G2038" s="57" t="s">
        <v>158</v>
      </c>
      <c r="H2038" s="32" t="str">
        <f aca="false">IF(L2038="","",INDEX(ポート振替表!$N$5:$N$3507,$L2038)&amp;"")</f>
        <v/>
      </c>
      <c r="I2038" s="32" t="str">
        <f aca="false">IF(L2038="","",INDEX(ポート振替表!$P$5:$P$3507,$L2038)&amp;"")</f>
        <v/>
      </c>
      <c r="J2038" s="60" t="str">
        <f aca="false">IF(L2038="","",INDEX(ポート振替表!$M$5:$M$3507,$L2038)&amp;"")</f>
        <v/>
      </c>
      <c r="K2038" s="52" t="str">
        <f aca="false">IF(L2038="","",E2038&amp;CHAR(10)&amp;INDEX(ポート振替表!$K$5:$K$3507,$L2038)&amp;" "&amp;INDEX(ポート振替表!$L$5:$L$3507,$L2038)&amp;CHAR(10)&amp;"⇔ "&amp;INDEX(ポート振替表!$H$5:$H$3507,$L2038)&amp;" "&amp;INDEX(ポート振替表!$I$5:$I$3507,$L2038))</f>
        <v/>
      </c>
      <c r="L2038" s="47" t="str">
        <f aca="false">IFERROR(MATCH(ROW()-4,ポート振替表!$V$5:$V$3507,0),"")</f>
        <v/>
      </c>
    </row>
    <row r="2039" customFormat="false" ht="16.4" hidden="false" customHeight="false" outlineLevel="0" collapsed="false">
      <c r="A2039" s="32" t="str">
        <f aca="false">IF(L2039="","",ROW()-4)</f>
        <v/>
      </c>
      <c r="B2039" s="58" t="str">
        <f aca="false">IF(L2039="","",IF(INDEX(ポート振替表!$W$5:$W$3507,$L2039)="","(なし)",INDEX(ポート振替表!$W$5:$W$3507,$L2039)&amp;""))</f>
        <v/>
      </c>
      <c r="C2039" s="52" t="str">
        <f aca="false">IF(L2039="","",INDEX(ポート振替表!$B$5:$B$3507,$L2039)&amp;" "&amp;INDEX(ポート振替表!$C$5:$C$3507,$L2039)&amp;"  ⇔  "&amp;INDEX(ポート振替表!$H$5:$H$3507,$L2039)&amp;" "&amp;INDEX(ポート振替表!$I$5:$I$3507,$L2039))</f>
        <v/>
      </c>
      <c r="D2039" s="57" t="s">
        <v>158</v>
      </c>
      <c r="E2039" s="59" t="str">
        <f aca="false">IF(L2039="","",IF(INDEX(ポート振替表!$O$5:$O$3507,$L2039)="","(未設定)",INDEX(ポート振替表!$O$5:$O$3507,$L2039)&amp;""))</f>
        <v/>
      </c>
      <c r="F2039" s="52" t="str">
        <f aca="false">IF(L2039="","",INDEX(ポート振替表!$K$5:$K$3507,$L2039)&amp;" "&amp;INDEX(ポート振替表!$L$5:$L$3507,$L2039)&amp;"  ⇔  "&amp;INDEX(ポート振替表!$H$5:$H$3507,$L2039)&amp;" "&amp;INDEX(ポート振替表!$I$5:$I$3507,$L2039))</f>
        <v/>
      </c>
      <c r="G2039" s="57" t="s">
        <v>158</v>
      </c>
      <c r="H2039" s="32" t="str">
        <f aca="false">IF(L2039="","",INDEX(ポート振替表!$N$5:$N$3507,$L2039)&amp;"")</f>
        <v/>
      </c>
      <c r="I2039" s="32" t="str">
        <f aca="false">IF(L2039="","",INDEX(ポート振替表!$P$5:$P$3507,$L2039)&amp;"")</f>
        <v/>
      </c>
      <c r="J2039" s="60" t="str">
        <f aca="false">IF(L2039="","",INDEX(ポート振替表!$M$5:$M$3507,$L2039)&amp;"")</f>
        <v/>
      </c>
      <c r="K2039" s="52" t="str">
        <f aca="false">IF(L2039="","",E2039&amp;CHAR(10)&amp;INDEX(ポート振替表!$K$5:$K$3507,$L2039)&amp;" "&amp;INDEX(ポート振替表!$L$5:$L$3507,$L2039)&amp;CHAR(10)&amp;"⇔ "&amp;INDEX(ポート振替表!$H$5:$H$3507,$L2039)&amp;" "&amp;INDEX(ポート振替表!$I$5:$I$3507,$L2039))</f>
        <v/>
      </c>
      <c r="L2039" s="47" t="str">
        <f aca="false">IFERROR(MATCH(ROW()-4,ポート振替表!$V$5:$V$3507,0),"")</f>
        <v/>
      </c>
    </row>
    <row r="2040" customFormat="false" ht="16.4" hidden="false" customHeight="false" outlineLevel="0" collapsed="false">
      <c r="A2040" s="32" t="str">
        <f aca="false">IF(L2040="","",ROW()-4)</f>
        <v/>
      </c>
      <c r="B2040" s="58" t="str">
        <f aca="false">IF(L2040="","",IF(INDEX(ポート振替表!$W$5:$W$3507,$L2040)="","(なし)",INDEX(ポート振替表!$W$5:$W$3507,$L2040)&amp;""))</f>
        <v/>
      </c>
      <c r="C2040" s="52" t="str">
        <f aca="false">IF(L2040="","",INDEX(ポート振替表!$B$5:$B$3507,$L2040)&amp;" "&amp;INDEX(ポート振替表!$C$5:$C$3507,$L2040)&amp;"  ⇔  "&amp;INDEX(ポート振替表!$H$5:$H$3507,$L2040)&amp;" "&amp;INDEX(ポート振替表!$I$5:$I$3507,$L2040))</f>
        <v/>
      </c>
      <c r="D2040" s="57" t="s">
        <v>158</v>
      </c>
      <c r="E2040" s="59" t="str">
        <f aca="false">IF(L2040="","",IF(INDEX(ポート振替表!$O$5:$O$3507,$L2040)="","(未設定)",INDEX(ポート振替表!$O$5:$O$3507,$L2040)&amp;""))</f>
        <v/>
      </c>
      <c r="F2040" s="52" t="str">
        <f aca="false">IF(L2040="","",INDEX(ポート振替表!$K$5:$K$3507,$L2040)&amp;" "&amp;INDEX(ポート振替表!$L$5:$L$3507,$L2040)&amp;"  ⇔  "&amp;INDEX(ポート振替表!$H$5:$H$3507,$L2040)&amp;" "&amp;INDEX(ポート振替表!$I$5:$I$3507,$L2040))</f>
        <v/>
      </c>
      <c r="G2040" s="57" t="s">
        <v>158</v>
      </c>
      <c r="H2040" s="32" t="str">
        <f aca="false">IF(L2040="","",INDEX(ポート振替表!$N$5:$N$3507,$L2040)&amp;"")</f>
        <v/>
      </c>
      <c r="I2040" s="32" t="str">
        <f aca="false">IF(L2040="","",INDEX(ポート振替表!$P$5:$P$3507,$L2040)&amp;"")</f>
        <v/>
      </c>
      <c r="J2040" s="60" t="str">
        <f aca="false">IF(L2040="","",INDEX(ポート振替表!$M$5:$M$3507,$L2040)&amp;"")</f>
        <v/>
      </c>
      <c r="K2040" s="52" t="str">
        <f aca="false">IF(L2040="","",E2040&amp;CHAR(10)&amp;INDEX(ポート振替表!$K$5:$K$3507,$L2040)&amp;" "&amp;INDEX(ポート振替表!$L$5:$L$3507,$L2040)&amp;CHAR(10)&amp;"⇔ "&amp;INDEX(ポート振替表!$H$5:$H$3507,$L2040)&amp;" "&amp;INDEX(ポート振替表!$I$5:$I$3507,$L2040))</f>
        <v/>
      </c>
      <c r="L2040" s="47" t="str">
        <f aca="false">IFERROR(MATCH(ROW()-4,ポート振替表!$V$5:$V$3507,0),"")</f>
        <v/>
      </c>
    </row>
    <row r="2041" customFormat="false" ht="16.4" hidden="false" customHeight="false" outlineLevel="0" collapsed="false">
      <c r="A2041" s="32" t="str">
        <f aca="false">IF(L2041="","",ROW()-4)</f>
        <v/>
      </c>
      <c r="B2041" s="58" t="str">
        <f aca="false">IF(L2041="","",IF(INDEX(ポート振替表!$W$5:$W$3507,$L2041)="","(なし)",INDEX(ポート振替表!$W$5:$W$3507,$L2041)&amp;""))</f>
        <v/>
      </c>
      <c r="C2041" s="52" t="str">
        <f aca="false">IF(L2041="","",INDEX(ポート振替表!$B$5:$B$3507,$L2041)&amp;" "&amp;INDEX(ポート振替表!$C$5:$C$3507,$L2041)&amp;"  ⇔  "&amp;INDEX(ポート振替表!$H$5:$H$3507,$L2041)&amp;" "&amp;INDEX(ポート振替表!$I$5:$I$3507,$L2041))</f>
        <v/>
      </c>
      <c r="D2041" s="57" t="s">
        <v>158</v>
      </c>
      <c r="E2041" s="59" t="str">
        <f aca="false">IF(L2041="","",IF(INDEX(ポート振替表!$O$5:$O$3507,$L2041)="","(未設定)",INDEX(ポート振替表!$O$5:$O$3507,$L2041)&amp;""))</f>
        <v/>
      </c>
      <c r="F2041" s="52" t="str">
        <f aca="false">IF(L2041="","",INDEX(ポート振替表!$K$5:$K$3507,$L2041)&amp;" "&amp;INDEX(ポート振替表!$L$5:$L$3507,$L2041)&amp;"  ⇔  "&amp;INDEX(ポート振替表!$H$5:$H$3507,$L2041)&amp;" "&amp;INDEX(ポート振替表!$I$5:$I$3507,$L2041))</f>
        <v/>
      </c>
      <c r="G2041" s="57" t="s">
        <v>158</v>
      </c>
      <c r="H2041" s="32" t="str">
        <f aca="false">IF(L2041="","",INDEX(ポート振替表!$N$5:$N$3507,$L2041)&amp;"")</f>
        <v/>
      </c>
      <c r="I2041" s="32" t="str">
        <f aca="false">IF(L2041="","",INDEX(ポート振替表!$P$5:$P$3507,$L2041)&amp;"")</f>
        <v/>
      </c>
      <c r="J2041" s="60" t="str">
        <f aca="false">IF(L2041="","",INDEX(ポート振替表!$M$5:$M$3507,$L2041)&amp;"")</f>
        <v/>
      </c>
      <c r="K2041" s="52" t="str">
        <f aca="false">IF(L2041="","",E2041&amp;CHAR(10)&amp;INDEX(ポート振替表!$K$5:$K$3507,$L2041)&amp;" "&amp;INDEX(ポート振替表!$L$5:$L$3507,$L2041)&amp;CHAR(10)&amp;"⇔ "&amp;INDEX(ポート振替表!$H$5:$H$3507,$L2041)&amp;" "&amp;INDEX(ポート振替表!$I$5:$I$3507,$L2041))</f>
        <v/>
      </c>
      <c r="L2041" s="47" t="str">
        <f aca="false">IFERROR(MATCH(ROW()-4,ポート振替表!$V$5:$V$3507,0),"")</f>
        <v/>
      </c>
    </row>
    <row r="2042" customFormat="false" ht="16.4" hidden="false" customHeight="false" outlineLevel="0" collapsed="false">
      <c r="A2042" s="32" t="str">
        <f aca="false">IF(L2042="","",ROW()-4)</f>
        <v/>
      </c>
      <c r="B2042" s="58" t="str">
        <f aca="false">IF(L2042="","",IF(INDEX(ポート振替表!$W$5:$W$3507,$L2042)="","(なし)",INDEX(ポート振替表!$W$5:$W$3507,$L2042)&amp;""))</f>
        <v/>
      </c>
      <c r="C2042" s="52" t="str">
        <f aca="false">IF(L2042="","",INDEX(ポート振替表!$B$5:$B$3507,$L2042)&amp;" "&amp;INDEX(ポート振替表!$C$5:$C$3507,$L2042)&amp;"  ⇔  "&amp;INDEX(ポート振替表!$H$5:$H$3507,$L2042)&amp;" "&amp;INDEX(ポート振替表!$I$5:$I$3507,$L2042))</f>
        <v/>
      </c>
      <c r="D2042" s="57" t="s">
        <v>158</v>
      </c>
      <c r="E2042" s="59" t="str">
        <f aca="false">IF(L2042="","",IF(INDEX(ポート振替表!$O$5:$O$3507,$L2042)="","(未設定)",INDEX(ポート振替表!$O$5:$O$3507,$L2042)&amp;""))</f>
        <v/>
      </c>
      <c r="F2042" s="52" t="str">
        <f aca="false">IF(L2042="","",INDEX(ポート振替表!$K$5:$K$3507,$L2042)&amp;" "&amp;INDEX(ポート振替表!$L$5:$L$3507,$L2042)&amp;"  ⇔  "&amp;INDEX(ポート振替表!$H$5:$H$3507,$L2042)&amp;" "&amp;INDEX(ポート振替表!$I$5:$I$3507,$L2042))</f>
        <v/>
      </c>
      <c r="G2042" s="57" t="s">
        <v>158</v>
      </c>
      <c r="H2042" s="32" t="str">
        <f aca="false">IF(L2042="","",INDEX(ポート振替表!$N$5:$N$3507,$L2042)&amp;"")</f>
        <v/>
      </c>
      <c r="I2042" s="32" t="str">
        <f aca="false">IF(L2042="","",INDEX(ポート振替表!$P$5:$P$3507,$L2042)&amp;"")</f>
        <v/>
      </c>
      <c r="J2042" s="60" t="str">
        <f aca="false">IF(L2042="","",INDEX(ポート振替表!$M$5:$M$3507,$L2042)&amp;"")</f>
        <v/>
      </c>
      <c r="K2042" s="52" t="str">
        <f aca="false">IF(L2042="","",E2042&amp;CHAR(10)&amp;INDEX(ポート振替表!$K$5:$K$3507,$L2042)&amp;" "&amp;INDEX(ポート振替表!$L$5:$L$3507,$L2042)&amp;CHAR(10)&amp;"⇔ "&amp;INDEX(ポート振替表!$H$5:$H$3507,$L2042)&amp;" "&amp;INDEX(ポート振替表!$I$5:$I$3507,$L2042))</f>
        <v/>
      </c>
      <c r="L2042" s="47" t="str">
        <f aca="false">IFERROR(MATCH(ROW()-4,ポート振替表!$V$5:$V$3507,0),"")</f>
        <v/>
      </c>
    </row>
    <row r="2043" customFormat="false" ht="16.4" hidden="false" customHeight="false" outlineLevel="0" collapsed="false">
      <c r="A2043" s="32" t="str">
        <f aca="false">IF(L2043="","",ROW()-4)</f>
        <v/>
      </c>
      <c r="B2043" s="58" t="str">
        <f aca="false">IF(L2043="","",IF(INDEX(ポート振替表!$W$5:$W$3507,$L2043)="","(なし)",INDEX(ポート振替表!$W$5:$W$3507,$L2043)&amp;""))</f>
        <v/>
      </c>
      <c r="C2043" s="52" t="str">
        <f aca="false">IF(L2043="","",INDEX(ポート振替表!$B$5:$B$3507,$L2043)&amp;" "&amp;INDEX(ポート振替表!$C$5:$C$3507,$L2043)&amp;"  ⇔  "&amp;INDEX(ポート振替表!$H$5:$H$3507,$L2043)&amp;" "&amp;INDEX(ポート振替表!$I$5:$I$3507,$L2043))</f>
        <v/>
      </c>
      <c r="D2043" s="57" t="s">
        <v>158</v>
      </c>
      <c r="E2043" s="59" t="str">
        <f aca="false">IF(L2043="","",IF(INDEX(ポート振替表!$O$5:$O$3507,$L2043)="","(未設定)",INDEX(ポート振替表!$O$5:$O$3507,$L2043)&amp;""))</f>
        <v/>
      </c>
      <c r="F2043" s="52" t="str">
        <f aca="false">IF(L2043="","",INDEX(ポート振替表!$K$5:$K$3507,$L2043)&amp;" "&amp;INDEX(ポート振替表!$L$5:$L$3507,$L2043)&amp;"  ⇔  "&amp;INDEX(ポート振替表!$H$5:$H$3507,$L2043)&amp;" "&amp;INDEX(ポート振替表!$I$5:$I$3507,$L2043))</f>
        <v/>
      </c>
      <c r="G2043" s="57" t="s">
        <v>158</v>
      </c>
      <c r="H2043" s="32" t="str">
        <f aca="false">IF(L2043="","",INDEX(ポート振替表!$N$5:$N$3507,$L2043)&amp;"")</f>
        <v/>
      </c>
      <c r="I2043" s="32" t="str">
        <f aca="false">IF(L2043="","",INDEX(ポート振替表!$P$5:$P$3507,$L2043)&amp;"")</f>
        <v/>
      </c>
      <c r="J2043" s="60" t="str">
        <f aca="false">IF(L2043="","",INDEX(ポート振替表!$M$5:$M$3507,$L2043)&amp;"")</f>
        <v/>
      </c>
      <c r="K2043" s="52" t="str">
        <f aca="false">IF(L2043="","",E2043&amp;CHAR(10)&amp;INDEX(ポート振替表!$K$5:$K$3507,$L2043)&amp;" "&amp;INDEX(ポート振替表!$L$5:$L$3507,$L2043)&amp;CHAR(10)&amp;"⇔ "&amp;INDEX(ポート振替表!$H$5:$H$3507,$L2043)&amp;" "&amp;INDEX(ポート振替表!$I$5:$I$3507,$L2043))</f>
        <v/>
      </c>
      <c r="L2043" s="47" t="str">
        <f aca="false">IFERROR(MATCH(ROW()-4,ポート振替表!$V$5:$V$3507,0),"")</f>
        <v/>
      </c>
    </row>
    <row r="2044" customFormat="false" ht="16.4" hidden="false" customHeight="false" outlineLevel="0" collapsed="false">
      <c r="A2044" s="32" t="str">
        <f aca="false">IF(L2044="","",ROW()-4)</f>
        <v/>
      </c>
      <c r="B2044" s="58" t="str">
        <f aca="false">IF(L2044="","",IF(INDEX(ポート振替表!$W$5:$W$3507,$L2044)="","(なし)",INDEX(ポート振替表!$W$5:$W$3507,$L2044)&amp;""))</f>
        <v/>
      </c>
      <c r="C2044" s="52" t="str">
        <f aca="false">IF(L2044="","",INDEX(ポート振替表!$B$5:$B$3507,$L2044)&amp;" "&amp;INDEX(ポート振替表!$C$5:$C$3507,$L2044)&amp;"  ⇔  "&amp;INDEX(ポート振替表!$H$5:$H$3507,$L2044)&amp;" "&amp;INDEX(ポート振替表!$I$5:$I$3507,$L2044))</f>
        <v/>
      </c>
      <c r="D2044" s="57" t="s">
        <v>158</v>
      </c>
      <c r="E2044" s="59" t="str">
        <f aca="false">IF(L2044="","",IF(INDEX(ポート振替表!$O$5:$O$3507,$L2044)="","(未設定)",INDEX(ポート振替表!$O$5:$O$3507,$L2044)&amp;""))</f>
        <v/>
      </c>
      <c r="F2044" s="52" t="str">
        <f aca="false">IF(L2044="","",INDEX(ポート振替表!$K$5:$K$3507,$L2044)&amp;" "&amp;INDEX(ポート振替表!$L$5:$L$3507,$L2044)&amp;"  ⇔  "&amp;INDEX(ポート振替表!$H$5:$H$3507,$L2044)&amp;" "&amp;INDEX(ポート振替表!$I$5:$I$3507,$L2044))</f>
        <v/>
      </c>
      <c r="G2044" s="57" t="s">
        <v>158</v>
      </c>
      <c r="H2044" s="32" t="str">
        <f aca="false">IF(L2044="","",INDEX(ポート振替表!$N$5:$N$3507,$L2044)&amp;"")</f>
        <v/>
      </c>
      <c r="I2044" s="32" t="str">
        <f aca="false">IF(L2044="","",INDEX(ポート振替表!$P$5:$P$3507,$L2044)&amp;"")</f>
        <v/>
      </c>
      <c r="J2044" s="60" t="str">
        <f aca="false">IF(L2044="","",INDEX(ポート振替表!$M$5:$M$3507,$L2044)&amp;"")</f>
        <v/>
      </c>
      <c r="K2044" s="52" t="str">
        <f aca="false">IF(L2044="","",E2044&amp;CHAR(10)&amp;INDEX(ポート振替表!$K$5:$K$3507,$L2044)&amp;" "&amp;INDEX(ポート振替表!$L$5:$L$3507,$L2044)&amp;CHAR(10)&amp;"⇔ "&amp;INDEX(ポート振替表!$H$5:$H$3507,$L2044)&amp;" "&amp;INDEX(ポート振替表!$I$5:$I$3507,$L2044))</f>
        <v/>
      </c>
      <c r="L2044" s="47" t="str">
        <f aca="false">IFERROR(MATCH(ROW()-4,ポート振替表!$V$5:$V$3507,0),"")</f>
        <v/>
      </c>
    </row>
    <row r="2045" customFormat="false" ht="16.4" hidden="false" customHeight="false" outlineLevel="0" collapsed="false">
      <c r="A2045" s="32" t="str">
        <f aca="false">IF(L2045="","",ROW()-4)</f>
        <v/>
      </c>
      <c r="B2045" s="58" t="str">
        <f aca="false">IF(L2045="","",IF(INDEX(ポート振替表!$W$5:$W$3507,$L2045)="","(なし)",INDEX(ポート振替表!$W$5:$W$3507,$L2045)&amp;""))</f>
        <v/>
      </c>
      <c r="C2045" s="52" t="str">
        <f aca="false">IF(L2045="","",INDEX(ポート振替表!$B$5:$B$3507,$L2045)&amp;" "&amp;INDEX(ポート振替表!$C$5:$C$3507,$L2045)&amp;"  ⇔  "&amp;INDEX(ポート振替表!$H$5:$H$3507,$L2045)&amp;" "&amp;INDEX(ポート振替表!$I$5:$I$3507,$L2045))</f>
        <v/>
      </c>
      <c r="D2045" s="57" t="s">
        <v>158</v>
      </c>
      <c r="E2045" s="59" t="str">
        <f aca="false">IF(L2045="","",IF(INDEX(ポート振替表!$O$5:$O$3507,$L2045)="","(未設定)",INDEX(ポート振替表!$O$5:$O$3507,$L2045)&amp;""))</f>
        <v/>
      </c>
      <c r="F2045" s="52" t="str">
        <f aca="false">IF(L2045="","",INDEX(ポート振替表!$K$5:$K$3507,$L2045)&amp;" "&amp;INDEX(ポート振替表!$L$5:$L$3507,$L2045)&amp;"  ⇔  "&amp;INDEX(ポート振替表!$H$5:$H$3507,$L2045)&amp;" "&amp;INDEX(ポート振替表!$I$5:$I$3507,$L2045))</f>
        <v/>
      </c>
      <c r="G2045" s="57" t="s">
        <v>158</v>
      </c>
      <c r="H2045" s="32" t="str">
        <f aca="false">IF(L2045="","",INDEX(ポート振替表!$N$5:$N$3507,$L2045)&amp;"")</f>
        <v/>
      </c>
      <c r="I2045" s="32" t="str">
        <f aca="false">IF(L2045="","",INDEX(ポート振替表!$P$5:$P$3507,$L2045)&amp;"")</f>
        <v/>
      </c>
      <c r="J2045" s="60" t="str">
        <f aca="false">IF(L2045="","",INDEX(ポート振替表!$M$5:$M$3507,$L2045)&amp;"")</f>
        <v/>
      </c>
      <c r="K2045" s="52" t="str">
        <f aca="false">IF(L2045="","",E2045&amp;CHAR(10)&amp;INDEX(ポート振替表!$K$5:$K$3507,$L2045)&amp;" "&amp;INDEX(ポート振替表!$L$5:$L$3507,$L2045)&amp;CHAR(10)&amp;"⇔ "&amp;INDEX(ポート振替表!$H$5:$H$3507,$L2045)&amp;" "&amp;INDEX(ポート振替表!$I$5:$I$3507,$L2045))</f>
        <v/>
      </c>
      <c r="L2045" s="47" t="str">
        <f aca="false">IFERROR(MATCH(ROW()-4,ポート振替表!$V$5:$V$3507,0),"")</f>
        <v/>
      </c>
    </row>
    <row r="2046" customFormat="false" ht="16.4" hidden="false" customHeight="false" outlineLevel="0" collapsed="false">
      <c r="A2046" s="32" t="str">
        <f aca="false">IF(L2046="","",ROW()-4)</f>
        <v/>
      </c>
      <c r="B2046" s="58" t="str">
        <f aca="false">IF(L2046="","",IF(INDEX(ポート振替表!$W$5:$W$3507,$L2046)="","(なし)",INDEX(ポート振替表!$W$5:$W$3507,$L2046)&amp;""))</f>
        <v/>
      </c>
      <c r="C2046" s="52" t="str">
        <f aca="false">IF(L2046="","",INDEX(ポート振替表!$B$5:$B$3507,$L2046)&amp;" "&amp;INDEX(ポート振替表!$C$5:$C$3507,$L2046)&amp;"  ⇔  "&amp;INDEX(ポート振替表!$H$5:$H$3507,$L2046)&amp;" "&amp;INDEX(ポート振替表!$I$5:$I$3507,$L2046))</f>
        <v/>
      </c>
      <c r="D2046" s="57" t="s">
        <v>158</v>
      </c>
      <c r="E2046" s="59" t="str">
        <f aca="false">IF(L2046="","",IF(INDEX(ポート振替表!$O$5:$O$3507,$L2046)="","(未設定)",INDEX(ポート振替表!$O$5:$O$3507,$L2046)&amp;""))</f>
        <v/>
      </c>
      <c r="F2046" s="52" t="str">
        <f aca="false">IF(L2046="","",INDEX(ポート振替表!$K$5:$K$3507,$L2046)&amp;" "&amp;INDEX(ポート振替表!$L$5:$L$3507,$L2046)&amp;"  ⇔  "&amp;INDEX(ポート振替表!$H$5:$H$3507,$L2046)&amp;" "&amp;INDEX(ポート振替表!$I$5:$I$3507,$L2046))</f>
        <v/>
      </c>
      <c r="G2046" s="57" t="s">
        <v>158</v>
      </c>
      <c r="H2046" s="32" t="str">
        <f aca="false">IF(L2046="","",INDEX(ポート振替表!$N$5:$N$3507,$L2046)&amp;"")</f>
        <v/>
      </c>
      <c r="I2046" s="32" t="str">
        <f aca="false">IF(L2046="","",INDEX(ポート振替表!$P$5:$P$3507,$L2046)&amp;"")</f>
        <v/>
      </c>
      <c r="J2046" s="60" t="str">
        <f aca="false">IF(L2046="","",INDEX(ポート振替表!$M$5:$M$3507,$L2046)&amp;"")</f>
        <v/>
      </c>
      <c r="K2046" s="52" t="str">
        <f aca="false">IF(L2046="","",E2046&amp;CHAR(10)&amp;INDEX(ポート振替表!$K$5:$K$3507,$L2046)&amp;" "&amp;INDEX(ポート振替表!$L$5:$L$3507,$L2046)&amp;CHAR(10)&amp;"⇔ "&amp;INDEX(ポート振替表!$H$5:$H$3507,$L2046)&amp;" "&amp;INDEX(ポート振替表!$I$5:$I$3507,$L2046))</f>
        <v/>
      </c>
      <c r="L2046" s="47" t="str">
        <f aca="false">IFERROR(MATCH(ROW()-4,ポート振替表!$V$5:$V$3507,0),"")</f>
        <v/>
      </c>
    </row>
    <row r="2047" customFormat="false" ht="16.4" hidden="false" customHeight="false" outlineLevel="0" collapsed="false">
      <c r="A2047" s="32" t="str">
        <f aca="false">IF(L2047="","",ROW()-4)</f>
        <v/>
      </c>
      <c r="B2047" s="58" t="str">
        <f aca="false">IF(L2047="","",IF(INDEX(ポート振替表!$W$5:$W$3507,$L2047)="","(なし)",INDEX(ポート振替表!$W$5:$W$3507,$L2047)&amp;""))</f>
        <v/>
      </c>
      <c r="C2047" s="52" t="str">
        <f aca="false">IF(L2047="","",INDEX(ポート振替表!$B$5:$B$3507,$L2047)&amp;" "&amp;INDEX(ポート振替表!$C$5:$C$3507,$L2047)&amp;"  ⇔  "&amp;INDEX(ポート振替表!$H$5:$H$3507,$L2047)&amp;" "&amp;INDEX(ポート振替表!$I$5:$I$3507,$L2047))</f>
        <v/>
      </c>
      <c r="D2047" s="57" t="s">
        <v>158</v>
      </c>
      <c r="E2047" s="59" t="str">
        <f aca="false">IF(L2047="","",IF(INDEX(ポート振替表!$O$5:$O$3507,$L2047)="","(未設定)",INDEX(ポート振替表!$O$5:$O$3507,$L2047)&amp;""))</f>
        <v/>
      </c>
      <c r="F2047" s="52" t="str">
        <f aca="false">IF(L2047="","",INDEX(ポート振替表!$K$5:$K$3507,$L2047)&amp;" "&amp;INDEX(ポート振替表!$L$5:$L$3507,$L2047)&amp;"  ⇔  "&amp;INDEX(ポート振替表!$H$5:$H$3507,$L2047)&amp;" "&amp;INDEX(ポート振替表!$I$5:$I$3507,$L2047))</f>
        <v/>
      </c>
      <c r="G2047" s="57" t="s">
        <v>158</v>
      </c>
      <c r="H2047" s="32" t="str">
        <f aca="false">IF(L2047="","",INDEX(ポート振替表!$N$5:$N$3507,$L2047)&amp;"")</f>
        <v/>
      </c>
      <c r="I2047" s="32" t="str">
        <f aca="false">IF(L2047="","",INDEX(ポート振替表!$P$5:$P$3507,$L2047)&amp;"")</f>
        <v/>
      </c>
      <c r="J2047" s="60" t="str">
        <f aca="false">IF(L2047="","",INDEX(ポート振替表!$M$5:$M$3507,$L2047)&amp;"")</f>
        <v/>
      </c>
      <c r="K2047" s="52" t="str">
        <f aca="false">IF(L2047="","",E2047&amp;CHAR(10)&amp;INDEX(ポート振替表!$K$5:$K$3507,$L2047)&amp;" "&amp;INDEX(ポート振替表!$L$5:$L$3507,$L2047)&amp;CHAR(10)&amp;"⇔ "&amp;INDEX(ポート振替表!$H$5:$H$3507,$L2047)&amp;" "&amp;INDEX(ポート振替表!$I$5:$I$3507,$L2047))</f>
        <v/>
      </c>
      <c r="L2047" s="47" t="str">
        <f aca="false">IFERROR(MATCH(ROW()-4,ポート振替表!$V$5:$V$3507,0),"")</f>
        <v/>
      </c>
    </row>
    <row r="2048" customFormat="false" ht="16.4" hidden="false" customHeight="false" outlineLevel="0" collapsed="false">
      <c r="A2048" s="32" t="str">
        <f aca="false">IF(L2048="","",ROW()-4)</f>
        <v/>
      </c>
      <c r="B2048" s="58" t="str">
        <f aca="false">IF(L2048="","",IF(INDEX(ポート振替表!$W$5:$W$3507,$L2048)="","(なし)",INDEX(ポート振替表!$W$5:$W$3507,$L2048)&amp;""))</f>
        <v/>
      </c>
      <c r="C2048" s="52" t="str">
        <f aca="false">IF(L2048="","",INDEX(ポート振替表!$B$5:$B$3507,$L2048)&amp;" "&amp;INDEX(ポート振替表!$C$5:$C$3507,$L2048)&amp;"  ⇔  "&amp;INDEX(ポート振替表!$H$5:$H$3507,$L2048)&amp;" "&amp;INDEX(ポート振替表!$I$5:$I$3507,$L2048))</f>
        <v/>
      </c>
      <c r="D2048" s="57" t="s">
        <v>158</v>
      </c>
      <c r="E2048" s="59" t="str">
        <f aca="false">IF(L2048="","",IF(INDEX(ポート振替表!$O$5:$O$3507,$L2048)="","(未設定)",INDEX(ポート振替表!$O$5:$O$3507,$L2048)&amp;""))</f>
        <v/>
      </c>
      <c r="F2048" s="52" t="str">
        <f aca="false">IF(L2048="","",INDEX(ポート振替表!$K$5:$K$3507,$L2048)&amp;" "&amp;INDEX(ポート振替表!$L$5:$L$3507,$L2048)&amp;"  ⇔  "&amp;INDEX(ポート振替表!$H$5:$H$3507,$L2048)&amp;" "&amp;INDEX(ポート振替表!$I$5:$I$3507,$L2048))</f>
        <v/>
      </c>
      <c r="G2048" s="57" t="s">
        <v>158</v>
      </c>
      <c r="H2048" s="32" t="str">
        <f aca="false">IF(L2048="","",INDEX(ポート振替表!$N$5:$N$3507,$L2048)&amp;"")</f>
        <v/>
      </c>
      <c r="I2048" s="32" t="str">
        <f aca="false">IF(L2048="","",INDEX(ポート振替表!$P$5:$P$3507,$L2048)&amp;"")</f>
        <v/>
      </c>
      <c r="J2048" s="60" t="str">
        <f aca="false">IF(L2048="","",INDEX(ポート振替表!$M$5:$M$3507,$L2048)&amp;"")</f>
        <v/>
      </c>
      <c r="K2048" s="52" t="str">
        <f aca="false">IF(L2048="","",E2048&amp;CHAR(10)&amp;INDEX(ポート振替表!$K$5:$K$3507,$L2048)&amp;" "&amp;INDEX(ポート振替表!$L$5:$L$3507,$L2048)&amp;CHAR(10)&amp;"⇔ "&amp;INDEX(ポート振替表!$H$5:$H$3507,$L2048)&amp;" "&amp;INDEX(ポート振替表!$I$5:$I$3507,$L2048))</f>
        <v/>
      </c>
      <c r="L2048" s="47" t="str">
        <f aca="false">IFERROR(MATCH(ROW()-4,ポート振替表!$V$5:$V$3507,0),"")</f>
        <v/>
      </c>
    </row>
    <row r="2049" customFormat="false" ht="16.4" hidden="false" customHeight="false" outlineLevel="0" collapsed="false">
      <c r="A2049" s="32" t="str">
        <f aca="false">IF(L2049="","",ROW()-4)</f>
        <v/>
      </c>
      <c r="B2049" s="58" t="str">
        <f aca="false">IF(L2049="","",IF(INDEX(ポート振替表!$W$5:$W$3507,$L2049)="","(なし)",INDEX(ポート振替表!$W$5:$W$3507,$L2049)&amp;""))</f>
        <v/>
      </c>
      <c r="C2049" s="52" t="str">
        <f aca="false">IF(L2049="","",INDEX(ポート振替表!$B$5:$B$3507,$L2049)&amp;" "&amp;INDEX(ポート振替表!$C$5:$C$3507,$L2049)&amp;"  ⇔  "&amp;INDEX(ポート振替表!$H$5:$H$3507,$L2049)&amp;" "&amp;INDEX(ポート振替表!$I$5:$I$3507,$L2049))</f>
        <v/>
      </c>
      <c r="D2049" s="57" t="s">
        <v>158</v>
      </c>
      <c r="E2049" s="59" t="str">
        <f aca="false">IF(L2049="","",IF(INDEX(ポート振替表!$O$5:$O$3507,$L2049)="","(未設定)",INDEX(ポート振替表!$O$5:$O$3507,$L2049)&amp;""))</f>
        <v/>
      </c>
      <c r="F2049" s="52" t="str">
        <f aca="false">IF(L2049="","",INDEX(ポート振替表!$K$5:$K$3507,$L2049)&amp;" "&amp;INDEX(ポート振替表!$L$5:$L$3507,$L2049)&amp;"  ⇔  "&amp;INDEX(ポート振替表!$H$5:$H$3507,$L2049)&amp;" "&amp;INDEX(ポート振替表!$I$5:$I$3507,$L2049))</f>
        <v/>
      </c>
      <c r="G2049" s="57" t="s">
        <v>158</v>
      </c>
      <c r="H2049" s="32" t="str">
        <f aca="false">IF(L2049="","",INDEX(ポート振替表!$N$5:$N$3507,$L2049)&amp;"")</f>
        <v/>
      </c>
      <c r="I2049" s="32" t="str">
        <f aca="false">IF(L2049="","",INDEX(ポート振替表!$P$5:$P$3507,$L2049)&amp;"")</f>
        <v/>
      </c>
      <c r="J2049" s="60" t="str">
        <f aca="false">IF(L2049="","",INDEX(ポート振替表!$M$5:$M$3507,$L2049)&amp;"")</f>
        <v/>
      </c>
      <c r="K2049" s="52" t="str">
        <f aca="false">IF(L2049="","",E2049&amp;CHAR(10)&amp;INDEX(ポート振替表!$K$5:$K$3507,$L2049)&amp;" "&amp;INDEX(ポート振替表!$L$5:$L$3507,$L2049)&amp;CHAR(10)&amp;"⇔ "&amp;INDEX(ポート振替表!$H$5:$H$3507,$L2049)&amp;" "&amp;INDEX(ポート振替表!$I$5:$I$3507,$L2049))</f>
        <v/>
      </c>
      <c r="L2049" s="47" t="str">
        <f aca="false">IFERROR(MATCH(ROW()-4,ポート振替表!$V$5:$V$3507,0),"")</f>
        <v/>
      </c>
    </row>
    <row r="2050" customFormat="false" ht="16.4" hidden="false" customHeight="false" outlineLevel="0" collapsed="false">
      <c r="A2050" s="32" t="str">
        <f aca="false">IF(L2050="","",ROW()-4)</f>
        <v/>
      </c>
      <c r="B2050" s="58" t="str">
        <f aca="false">IF(L2050="","",IF(INDEX(ポート振替表!$W$5:$W$3507,$L2050)="","(なし)",INDEX(ポート振替表!$W$5:$W$3507,$L2050)&amp;""))</f>
        <v/>
      </c>
      <c r="C2050" s="52" t="str">
        <f aca="false">IF(L2050="","",INDEX(ポート振替表!$B$5:$B$3507,$L2050)&amp;" "&amp;INDEX(ポート振替表!$C$5:$C$3507,$L2050)&amp;"  ⇔  "&amp;INDEX(ポート振替表!$H$5:$H$3507,$L2050)&amp;" "&amp;INDEX(ポート振替表!$I$5:$I$3507,$L2050))</f>
        <v/>
      </c>
      <c r="D2050" s="57" t="s">
        <v>158</v>
      </c>
      <c r="E2050" s="59" t="str">
        <f aca="false">IF(L2050="","",IF(INDEX(ポート振替表!$O$5:$O$3507,$L2050)="","(未設定)",INDEX(ポート振替表!$O$5:$O$3507,$L2050)&amp;""))</f>
        <v/>
      </c>
      <c r="F2050" s="52" t="str">
        <f aca="false">IF(L2050="","",INDEX(ポート振替表!$K$5:$K$3507,$L2050)&amp;" "&amp;INDEX(ポート振替表!$L$5:$L$3507,$L2050)&amp;"  ⇔  "&amp;INDEX(ポート振替表!$H$5:$H$3507,$L2050)&amp;" "&amp;INDEX(ポート振替表!$I$5:$I$3507,$L2050))</f>
        <v/>
      </c>
      <c r="G2050" s="57" t="s">
        <v>158</v>
      </c>
      <c r="H2050" s="32" t="str">
        <f aca="false">IF(L2050="","",INDEX(ポート振替表!$N$5:$N$3507,$L2050)&amp;"")</f>
        <v/>
      </c>
      <c r="I2050" s="32" t="str">
        <f aca="false">IF(L2050="","",INDEX(ポート振替表!$P$5:$P$3507,$L2050)&amp;"")</f>
        <v/>
      </c>
      <c r="J2050" s="60" t="str">
        <f aca="false">IF(L2050="","",INDEX(ポート振替表!$M$5:$M$3507,$L2050)&amp;"")</f>
        <v/>
      </c>
      <c r="K2050" s="52" t="str">
        <f aca="false">IF(L2050="","",E2050&amp;CHAR(10)&amp;INDEX(ポート振替表!$K$5:$K$3507,$L2050)&amp;" "&amp;INDEX(ポート振替表!$L$5:$L$3507,$L2050)&amp;CHAR(10)&amp;"⇔ "&amp;INDEX(ポート振替表!$H$5:$H$3507,$L2050)&amp;" "&amp;INDEX(ポート振替表!$I$5:$I$3507,$L2050))</f>
        <v/>
      </c>
      <c r="L2050" s="47" t="str">
        <f aca="false">IFERROR(MATCH(ROW()-4,ポート振替表!$V$5:$V$3507,0),"")</f>
        <v/>
      </c>
    </row>
    <row r="2051" customFormat="false" ht="16.4" hidden="false" customHeight="false" outlineLevel="0" collapsed="false">
      <c r="A2051" s="32" t="str">
        <f aca="false">IF(L2051="","",ROW()-4)</f>
        <v/>
      </c>
      <c r="B2051" s="58" t="str">
        <f aca="false">IF(L2051="","",IF(INDEX(ポート振替表!$W$5:$W$3507,$L2051)="","(なし)",INDEX(ポート振替表!$W$5:$W$3507,$L2051)&amp;""))</f>
        <v/>
      </c>
      <c r="C2051" s="52" t="str">
        <f aca="false">IF(L2051="","",INDEX(ポート振替表!$B$5:$B$3507,$L2051)&amp;" "&amp;INDEX(ポート振替表!$C$5:$C$3507,$L2051)&amp;"  ⇔  "&amp;INDEX(ポート振替表!$H$5:$H$3507,$L2051)&amp;" "&amp;INDEX(ポート振替表!$I$5:$I$3507,$L2051))</f>
        <v/>
      </c>
      <c r="D2051" s="57" t="s">
        <v>158</v>
      </c>
      <c r="E2051" s="59" t="str">
        <f aca="false">IF(L2051="","",IF(INDEX(ポート振替表!$O$5:$O$3507,$L2051)="","(未設定)",INDEX(ポート振替表!$O$5:$O$3507,$L2051)&amp;""))</f>
        <v/>
      </c>
      <c r="F2051" s="52" t="str">
        <f aca="false">IF(L2051="","",INDEX(ポート振替表!$K$5:$K$3507,$L2051)&amp;" "&amp;INDEX(ポート振替表!$L$5:$L$3507,$L2051)&amp;"  ⇔  "&amp;INDEX(ポート振替表!$H$5:$H$3507,$L2051)&amp;" "&amp;INDEX(ポート振替表!$I$5:$I$3507,$L2051))</f>
        <v/>
      </c>
      <c r="G2051" s="57" t="s">
        <v>158</v>
      </c>
      <c r="H2051" s="32" t="str">
        <f aca="false">IF(L2051="","",INDEX(ポート振替表!$N$5:$N$3507,$L2051)&amp;"")</f>
        <v/>
      </c>
      <c r="I2051" s="32" t="str">
        <f aca="false">IF(L2051="","",INDEX(ポート振替表!$P$5:$P$3507,$L2051)&amp;"")</f>
        <v/>
      </c>
      <c r="J2051" s="60" t="str">
        <f aca="false">IF(L2051="","",INDEX(ポート振替表!$M$5:$M$3507,$L2051)&amp;"")</f>
        <v/>
      </c>
      <c r="K2051" s="52" t="str">
        <f aca="false">IF(L2051="","",E2051&amp;CHAR(10)&amp;INDEX(ポート振替表!$K$5:$K$3507,$L2051)&amp;" "&amp;INDEX(ポート振替表!$L$5:$L$3507,$L2051)&amp;CHAR(10)&amp;"⇔ "&amp;INDEX(ポート振替表!$H$5:$H$3507,$L2051)&amp;" "&amp;INDEX(ポート振替表!$I$5:$I$3507,$L2051))</f>
        <v/>
      </c>
      <c r="L2051" s="47" t="str">
        <f aca="false">IFERROR(MATCH(ROW()-4,ポート振替表!$V$5:$V$3507,0),"")</f>
        <v/>
      </c>
    </row>
    <row r="2052" customFormat="false" ht="16.4" hidden="false" customHeight="false" outlineLevel="0" collapsed="false">
      <c r="A2052" s="32" t="str">
        <f aca="false">IF(L2052="","",ROW()-4)</f>
        <v/>
      </c>
      <c r="B2052" s="58" t="str">
        <f aca="false">IF(L2052="","",IF(INDEX(ポート振替表!$W$5:$W$3507,$L2052)="","(なし)",INDEX(ポート振替表!$W$5:$W$3507,$L2052)&amp;""))</f>
        <v/>
      </c>
      <c r="C2052" s="52" t="str">
        <f aca="false">IF(L2052="","",INDEX(ポート振替表!$B$5:$B$3507,$L2052)&amp;" "&amp;INDEX(ポート振替表!$C$5:$C$3507,$L2052)&amp;"  ⇔  "&amp;INDEX(ポート振替表!$H$5:$H$3507,$L2052)&amp;" "&amp;INDEX(ポート振替表!$I$5:$I$3507,$L2052))</f>
        <v/>
      </c>
      <c r="D2052" s="57" t="s">
        <v>158</v>
      </c>
      <c r="E2052" s="59" t="str">
        <f aca="false">IF(L2052="","",IF(INDEX(ポート振替表!$O$5:$O$3507,$L2052)="","(未設定)",INDEX(ポート振替表!$O$5:$O$3507,$L2052)&amp;""))</f>
        <v/>
      </c>
      <c r="F2052" s="52" t="str">
        <f aca="false">IF(L2052="","",INDEX(ポート振替表!$K$5:$K$3507,$L2052)&amp;" "&amp;INDEX(ポート振替表!$L$5:$L$3507,$L2052)&amp;"  ⇔  "&amp;INDEX(ポート振替表!$H$5:$H$3507,$L2052)&amp;" "&amp;INDEX(ポート振替表!$I$5:$I$3507,$L2052))</f>
        <v/>
      </c>
      <c r="G2052" s="57" t="s">
        <v>158</v>
      </c>
      <c r="H2052" s="32" t="str">
        <f aca="false">IF(L2052="","",INDEX(ポート振替表!$N$5:$N$3507,$L2052)&amp;"")</f>
        <v/>
      </c>
      <c r="I2052" s="32" t="str">
        <f aca="false">IF(L2052="","",INDEX(ポート振替表!$P$5:$P$3507,$L2052)&amp;"")</f>
        <v/>
      </c>
      <c r="J2052" s="60" t="str">
        <f aca="false">IF(L2052="","",INDEX(ポート振替表!$M$5:$M$3507,$L2052)&amp;"")</f>
        <v/>
      </c>
      <c r="K2052" s="52" t="str">
        <f aca="false">IF(L2052="","",E2052&amp;CHAR(10)&amp;INDEX(ポート振替表!$K$5:$K$3507,$L2052)&amp;" "&amp;INDEX(ポート振替表!$L$5:$L$3507,$L2052)&amp;CHAR(10)&amp;"⇔ "&amp;INDEX(ポート振替表!$H$5:$H$3507,$L2052)&amp;" "&amp;INDEX(ポート振替表!$I$5:$I$3507,$L2052))</f>
        <v/>
      </c>
      <c r="L2052" s="47" t="str">
        <f aca="false">IFERROR(MATCH(ROW()-4,ポート振替表!$V$5:$V$3507,0),"")</f>
        <v/>
      </c>
    </row>
    <row r="2053" customFormat="false" ht="16.4" hidden="false" customHeight="false" outlineLevel="0" collapsed="false">
      <c r="A2053" s="32" t="str">
        <f aca="false">IF(L2053="","",ROW()-4)</f>
        <v/>
      </c>
      <c r="B2053" s="58" t="str">
        <f aca="false">IF(L2053="","",IF(INDEX(ポート振替表!$W$5:$W$3507,$L2053)="","(なし)",INDEX(ポート振替表!$W$5:$W$3507,$L2053)&amp;""))</f>
        <v/>
      </c>
      <c r="C2053" s="52" t="str">
        <f aca="false">IF(L2053="","",INDEX(ポート振替表!$B$5:$B$3507,$L2053)&amp;" "&amp;INDEX(ポート振替表!$C$5:$C$3507,$L2053)&amp;"  ⇔  "&amp;INDEX(ポート振替表!$H$5:$H$3507,$L2053)&amp;" "&amp;INDEX(ポート振替表!$I$5:$I$3507,$L2053))</f>
        <v/>
      </c>
      <c r="D2053" s="57" t="s">
        <v>158</v>
      </c>
      <c r="E2053" s="59" t="str">
        <f aca="false">IF(L2053="","",IF(INDEX(ポート振替表!$O$5:$O$3507,$L2053)="","(未設定)",INDEX(ポート振替表!$O$5:$O$3507,$L2053)&amp;""))</f>
        <v/>
      </c>
      <c r="F2053" s="52" t="str">
        <f aca="false">IF(L2053="","",INDEX(ポート振替表!$K$5:$K$3507,$L2053)&amp;" "&amp;INDEX(ポート振替表!$L$5:$L$3507,$L2053)&amp;"  ⇔  "&amp;INDEX(ポート振替表!$H$5:$H$3507,$L2053)&amp;" "&amp;INDEX(ポート振替表!$I$5:$I$3507,$L2053))</f>
        <v/>
      </c>
      <c r="G2053" s="57" t="s">
        <v>158</v>
      </c>
      <c r="H2053" s="32" t="str">
        <f aca="false">IF(L2053="","",INDEX(ポート振替表!$N$5:$N$3507,$L2053)&amp;"")</f>
        <v/>
      </c>
      <c r="I2053" s="32" t="str">
        <f aca="false">IF(L2053="","",INDEX(ポート振替表!$P$5:$P$3507,$L2053)&amp;"")</f>
        <v/>
      </c>
      <c r="J2053" s="60" t="str">
        <f aca="false">IF(L2053="","",INDEX(ポート振替表!$M$5:$M$3507,$L2053)&amp;"")</f>
        <v/>
      </c>
      <c r="K2053" s="52" t="str">
        <f aca="false">IF(L2053="","",E2053&amp;CHAR(10)&amp;INDEX(ポート振替表!$K$5:$K$3507,$L2053)&amp;" "&amp;INDEX(ポート振替表!$L$5:$L$3507,$L2053)&amp;CHAR(10)&amp;"⇔ "&amp;INDEX(ポート振替表!$H$5:$H$3507,$L2053)&amp;" "&amp;INDEX(ポート振替表!$I$5:$I$3507,$L2053))</f>
        <v/>
      </c>
      <c r="L2053" s="47" t="str">
        <f aca="false">IFERROR(MATCH(ROW()-4,ポート振替表!$V$5:$V$3507,0),"")</f>
        <v/>
      </c>
    </row>
    <row r="2054" customFormat="false" ht="16.4" hidden="false" customHeight="false" outlineLevel="0" collapsed="false">
      <c r="A2054" s="32" t="str">
        <f aca="false">IF(L2054="","",ROW()-4)</f>
        <v/>
      </c>
      <c r="B2054" s="58" t="str">
        <f aca="false">IF(L2054="","",IF(INDEX(ポート振替表!$W$5:$W$3507,$L2054)="","(なし)",INDEX(ポート振替表!$W$5:$W$3507,$L2054)&amp;""))</f>
        <v/>
      </c>
      <c r="C2054" s="52" t="str">
        <f aca="false">IF(L2054="","",INDEX(ポート振替表!$B$5:$B$3507,$L2054)&amp;" "&amp;INDEX(ポート振替表!$C$5:$C$3507,$L2054)&amp;"  ⇔  "&amp;INDEX(ポート振替表!$H$5:$H$3507,$L2054)&amp;" "&amp;INDEX(ポート振替表!$I$5:$I$3507,$L2054))</f>
        <v/>
      </c>
      <c r="D2054" s="57" t="s">
        <v>158</v>
      </c>
      <c r="E2054" s="59" t="str">
        <f aca="false">IF(L2054="","",IF(INDEX(ポート振替表!$O$5:$O$3507,$L2054)="","(未設定)",INDEX(ポート振替表!$O$5:$O$3507,$L2054)&amp;""))</f>
        <v/>
      </c>
      <c r="F2054" s="52" t="str">
        <f aca="false">IF(L2054="","",INDEX(ポート振替表!$K$5:$K$3507,$L2054)&amp;" "&amp;INDEX(ポート振替表!$L$5:$L$3507,$L2054)&amp;"  ⇔  "&amp;INDEX(ポート振替表!$H$5:$H$3507,$L2054)&amp;" "&amp;INDEX(ポート振替表!$I$5:$I$3507,$L2054))</f>
        <v/>
      </c>
      <c r="G2054" s="57" t="s">
        <v>158</v>
      </c>
      <c r="H2054" s="32" t="str">
        <f aca="false">IF(L2054="","",INDEX(ポート振替表!$N$5:$N$3507,$L2054)&amp;"")</f>
        <v/>
      </c>
      <c r="I2054" s="32" t="str">
        <f aca="false">IF(L2054="","",INDEX(ポート振替表!$P$5:$P$3507,$L2054)&amp;"")</f>
        <v/>
      </c>
      <c r="J2054" s="60" t="str">
        <f aca="false">IF(L2054="","",INDEX(ポート振替表!$M$5:$M$3507,$L2054)&amp;"")</f>
        <v/>
      </c>
      <c r="K2054" s="52" t="str">
        <f aca="false">IF(L2054="","",E2054&amp;CHAR(10)&amp;INDEX(ポート振替表!$K$5:$K$3507,$L2054)&amp;" "&amp;INDEX(ポート振替表!$L$5:$L$3507,$L2054)&amp;CHAR(10)&amp;"⇔ "&amp;INDEX(ポート振替表!$H$5:$H$3507,$L2054)&amp;" "&amp;INDEX(ポート振替表!$I$5:$I$3507,$L2054))</f>
        <v/>
      </c>
      <c r="L2054" s="47" t="str">
        <f aca="false">IFERROR(MATCH(ROW()-4,ポート振替表!$V$5:$V$3507,0),"")</f>
        <v/>
      </c>
    </row>
    <row r="2055" customFormat="false" ht="16.4" hidden="false" customHeight="false" outlineLevel="0" collapsed="false">
      <c r="A2055" s="32" t="str">
        <f aca="false">IF(L2055="","",ROW()-4)</f>
        <v/>
      </c>
      <c r="B2055" s="58" t="str">
        <f aca="false">IF(L2055="","",IF(INDEX(ポート振替表!$W$5:$W$3507,$L2055)="","(なし)",INDEX(ポート振替表!$W$5:$W$3507,$L2055)&amp;""))</f>
        <v/>
      </c>
      <c r="C2055" s="52" t="str">
        <f aca="false">IF(L2055="","",INDEX(ポート振替表!$B$5:$B$3507,$L2055)&amp;" "&amp;INDEX(ポート振替表!$C$5:$C$3507,$L2055)&amp;"  ⇔  "&amp;INDEX(ポート振替表!$H$5:$H$3507,$L2055)&amp;" "&amp;INDEX(ポート振替表!$I$5:$I$3507,$L2055))</f>
        <v/>
      </c>
      <c r="D2055" s="57" t="s">
        <v>158</v>
      </c>
      <c r="E2055" s="59" t="str">
        <f aca="false">IF(L2055="","",IF(INDEX(ポート振替表!$O$5:$O$3507,$L2055)="","(未設定)",INDEX(ポート振替表!$O$5:$O$3507,$L2055)&amp;""))</f>
        <v/>
      </c>
      <c r="F2055" s="52" t="str">
        <f aca="false">IF(L2055="","",INDEX(ポート振替表!$K$5:$K$3507,$L2055)&amp;" "&amp;INDEX(ポート振替表!$L$5:$L$3507,$L2055)&amp;"  ⇔  "&amp;INDEX(ポート振替表!$H$5:$H$3507,$L2055)&amp;" "&amp;INDEX(ポート振替表!$I$5:$I$3507,$L2055))</f>
        <v/>
      </c>
      <c r="G2055" s="57" t="s">
        <v>158</v>
      </c>
      <c r="H2055" s="32" t="str">
        <f aca="false">IF(L2055="","",INDEX(ポート振替表!$N$5:$N$3507,$L2055)&amp;"")</f>
        <v/>
      </c>
      <c r="I2055" s="32" t="str">
        <f aca="false">IF(L2055="","",INDEX(ポート振替表!$P$5:$P$3507,$L2055)&amp;"")</f>
        <v/>
      </c>
      <c r="J2055" s="60" t="str">
        <f aca="false">IF(L2055="","",INDEX(ポート振替表!$M$5:$M$3507,$L2055)&amp;"")</f>
        <v/>
      </c>
      <c r="K2055" s="52" t="str">
        <f aca="false">IF(L2055="","",E2055&amp;CHAR(10)&amp;INDEX(ポート振替表!$K$5:$K$3507,$L2055)&amp;" "&amp;INDEX(ポート振替表!$L$5:$L$3507,$L2055)&amp;CHAR(10)&amp;"⇔ "&amp;INDEX(ポート振替表!$H$5:$H$3507,$L2055)&amp;" "&amp;INDEX(ポート振替表!$I$5:$I$3507,$L2055))</f>
        <v/>
      </c>
      <c r="L2055" s="47" t="str">
        <f aca="false">IFERROR(MATCH(ROW()-4,ポート振替表!$V$5:$V$3507,0),"")</f>
        <v/>
      </c>
    </row>
    <row r="2056" customFormat="false" ht="16.4" hidden="false" customHeight="false" outlineLevel="0" collapsed="false">
      <c r="A2056" s="32" t="str">
        <f aca="false">IF(L2056="","",ROW()-4)</f>
        <v/>
      </c>
      <c r="B2056" s="58" t="str">
        <f aca="false">IF(L2056="","",IF(INDEX(ポート振替表!$W$5:$W$3507,$L2056)="","(なし)",INDEX(ポート振替表!$W$5:$W$3507,$L2056)&amp;""))</f>
        <v/>
      </c>
      <c r="C2056" s="52" t="str">
        <f aca="false">IF(L2056="","",INDEX(ポート振替表!$B$5:$B$3507,$L2056)&amp;" "&amp;INDEX(ポート振替表!$C$5:$C$3507,$L2056)&amp;"  ⇔  "&amp;INDEX(ポート振替表!$H$5:$H$3507,$L2056)&amp;" "&amp;INDEX(ポート振替表!$I$5:$I$3507,$L2056))</f>
        <v/>
      </c>
      <c r="D2056" s="57" t="s">
        <v>158</v>
      </c>
      <c r="E2056" s="59" t="str">
        <f aca="false">IF(L2056="","",IF(INDEX(ポート振替表!$O$5:$O$3507,$L2056)="","(未設定)",INDEX(ポート振替表!$O$5:$O$3507,$L2056)&amp;""))</f>
        <v/>
      </c>
      <c r="F2056" s="52" t="str">
        <f aca="false">IF(L2056="","",INDEX(ポート振替表!$K$5:$K$3507,$L2056)&amp;" "&amp;INDEX(ポート振替表!$L$5:$L$3507,$L2056)&amp;"  ⇔  "&amp;INDEX(ポート振替表!$H$5:$H$3507,$L2056)&amp;" "&amp;INDEX(ポート振替表!$I$5:$I$3507,$L2056))</f>
        <v/>
      </c>
      <c r="G2056" s="57" t="s">
        <v>158</v>
      </c>
      <c r="H2056" s="32" t="str">
        <f aca="false">IF(L2056="","",INDEX(ポート振替表!$N$5:$N$3507,$L2056)&amp;"")</f>
        <v/>
      </c>
      <c r="I2056" s="32" t="str">
        <f aca="false">IF(L2056="","",INDEX(ポート振替表!$P$5:$P$3507,$L2056)&amp;"")</f>
        <v/>
      </c>
      <c r="J2056" s="60" t="str">
        <f aca="false">IF(L2056="","",INDEX(ポート振替表!$M$5:$M$3507,$L2056)&amp;"")</f>
        <v/>
      </c>
      <c r="K2056" s="52" t="str">
        <f aca="false">IF(L2056="","",E2056&amp;CHAR(10)&amp;INDEX(ポート振替表!$K$5:$K$3507,$L2056)&amp;" "&amp;INDEX(ポート振替表!$L$5:$L$3507,$L2056)&amp;CHAR(10)&amp;"⇔ "&amp;INDEX(ポート振替表!$H$5:$H$3507,$L2056)&amp;" "&amp;INDEX(ポート振替表!$I$5:$I$3507,$L2056))</f>
        <v/>
      </c>
      <c r="L2056" s="47" t="str">
        <f aca="false">IFERROR(MATCH(ROW()-4,ポート振替表!$V$5:$V$3507,0),"")</f>
        <v/>
      </c>
    </row>
    <row r="2057" customFormat="false" ht="16.4" hidden="false" customHeight="false" outlineLevel="0" collapsed="false">
      <c r="A2057" s="32" t="str">
        <f aca="false">IF(L2057="","",ROW()-4)</f>
        <v/>
      </c>
      <c r="B2057" s="58" t="str">
        <f aca="false">IF(L2057="","",IF(INDEX(ポート振替表!$W$5:$W$3507,$L2057)="","(なし)",INDEX(ポート振替表!$W$5:$W$3507,$L2057)&amp;""))</f>
        <v/>
      </c>
      <c r="C2057" s="52" t="str">
        <f aca="false">IF(L2057="","",INDEX(ポート振替表!$B$5:$B$3507,$L2057)&amp;" "&amp;INDEX(ポート振替表!$C$5:$C$3507,$L2057)&amp;"  ⇔  "&amp;INDEX(ポート振替表!$H$5:$H$3507,$L2057)&amp;" "&amp;INDEX(ポート振替表!$I$5:$I$3507,$L2057))</f>
        <v/>
      </c>
      <c r="D2057" s="57" t="s">
        <v>158</v>
      </c>
      <c r="E2057" s="59" t="str">
        <f aca="false">IF(L2057="","",IF(INDEX(ポート振替表!$O$5:$O$3507,$L2057)="","(未設定)",INDEX(ポート振替表!$O$5:$O$3507,$L2057)&amp;""))</f>
        <v/>
      </c>
      <c r="F2057" s="52" t="str">
        <f aca="false">IF(L2057="","",INDEX(ポート振替表!$K$5:$K$3507,$L2057)&amp;" "&amp;INDEX(ポート振替表!$L$5:$L$3507,$L2057)&amp;"  ⇔  "&amp;INDEX(ポート振替表!$H$5:$H$3507,$L2057)&amp;" "&amp;INDEX(ポート振替表!$I$5:$I$3507,$L2057))</f>
        <v/>
      </c>
      <c r="G2057" s="57" t="s">
        <v>158</v>
      </c>
      <c r="H2057" s="32" t="str">
        <f aca="false">IF(L2057="","",INDEX(ポート振替表!$N$5:$N$3507,$L2057)&amp;"")</f>
        <v/>
      </c>
      <c r="I2057" s="32" t="str">
        <f aca="false">IF(L2057="","",INDEX(ポート振替表!$P$5:$P$3507,$L2057)&amp;"")</f>
        <v/>
      </c>
      <c r="J2057" s="60" t="str">
        <f aca="false">IF(L2057="","",INDEX(ポート振替表!$M$5:$M$3507,$L2057)&amp;"")</f>
        <v/>
      </c>
      <c r="K2057" s="52" t="str">
        <f aca="false">IF(L2057="","",E2057&amp;CHAR(10)&amp;INDEX(ポート振替表!$K$5:$K$3507,$L2057)&amp;" "&amp;INDEX(ポート振替表!$L$5:$L$3507,$L2057)&amp;CHAR(10)&amp;"⇔ "&amp;INDEX(ポート振替表!$H$5:$H$3507,$L2057)&amp;" "&amp;INDEX(ポート振替表!$I$5:$I$3507,$L2057))</f>
        <v/>
      </c>
      <c r="L2057" s="47" t="str">
        <f aca="false">IFERROR(MATCH(ROW()-4,ポート振替表!$V$5:$V$3507,0),"")</f>
        <v/>
      </c>
    </row>
    <row r="2058" customFormat="false" ht="16.4" hidden="false" customHeight="false" outlineLevel="0" collapsed="false">
      <c r="A2058" s="32" t="str">
        <f aca="false">IF(L2058="","",ROW()-4)</f>
        <v/>
      </c>
      <c r="B2058" s="58" t="str">
        <f aca="false">IF(L2058="","",IF(INDEX(ポート振替表!$W$5:$W$3507,$L2058)="","(なし)",INDEX(ポート振替表!$W$5:$W$3507,$L2058)&amp;""))</f>
        <v/>
      </c>
      <c r="C2058" s="52" t="str">
        <f aca="false">IF(L2058="","",INDEX(ポート振替表!$B$5:$B$3507,$L2058)&amp;" "&amp;INDEX(ポート振替表!$C$5:$C$3507,$L2058)&amp;"  ⇔  "&amp;INDEX(ポート振替表!$H$5:$H$3507,$L2058)&amp;" "&amp;INDEX(ポート振替表!$I$5:$I$3507,$L2058))</f>
        <v/>
      </c>
      <c r="D2058" s="57" t="s">
        <v>158</v>
      </c>
      <c r="E2058" s="59" t="str">
        <f aca="false">IF(L2058="","",IF(INDEX(ポート振替表!$O$5:$O$3507,$L2058)="","(未設定)",INDEX(ポート振替表!$O$5:$O$3507,$L2058)&amp;""))</f>
        <v/>
      </c>
      <c r="F2058" s="52" t="str">
        <f aca="false">IF(L2058="","",INDEX(ポート振替表!$K$5:$K$3507,$L2058)&amp;" "&amp;INDEX(ポート振替表!$L$5:$L$3507,$L2058)&amp;"  ⇔  "&amp;INDEX(ポート振替表!$H$5:$H$3507,$L2058)&amp;" "&amp;INDEX(ポート振替表!$I$5:$I$3507,$L2058))</f>
        <v/>
      </c>
      <c r="G2058" s="57" t="s">
        <v>158</v>
      </c>
      <c r="H2058" s="32" t="str">
        <f aca="false">IF(L2058="","",INDEX(ポート振替表!$N$5:$N$3507,$L2058)&amp;"")</f>
        <v/>
      </c>
      <c r="I2058" s="32" t="str">
        <f aca="false">IF(L2058="","",INDEX(ポート振替表!$P$5:$P$3507,$L2058)&amp;"")</f>
        <v/>
      </c>
      <c r="J2058" s="60" t="str">
        <f aca="false">IF(L2058="","",INDEX(ポート振替表!$M$5:$M$3507,$L2058)&amp;"")</f>
        <v/>
      </c>
      <c r="K2058" s="52" t="str">
        <f aca="false">IF(L2058="","",E2058&amp;CHAR(10)&amp;INDEX(ポート振替表!$K$5:$K$3507,$L2058)&amp;" "&amp;INDEX(ポート振替表!$L$5:$L$3507,$L2058)&amp;CHAR(10)&amp;"⇔ "&amp;INDEX(ポート振替表!$H$5:$H$3507,$L2058)&amp;" "&amp;INDEX(ポート振替表!$I$5:$I$3507,$L2058))</f>
        <v/>
      </c>
      <c r="L2058" s="47" t="str">
        <f aca="false">IFERROR(MATCH(ROW()-4,ポート振替表!$V$5:$V$3507,0),"")</f>
        <v/>
      </c>
    </row>
    <row r="2059" customFormat="false" ht="16.4" hidden="false" customHeight="false" outlineLevel="0" collapsed="false">
      <c r="A2059" s="32" t="str">
        <f aca="false">IF(L2059="","",ROW()-4)</f>
        <v/>
      </c>
      <c r="B2059" s="58" t="str">
        <f aca="false">IF(L2059="","",IF(INDEX(ポート振替表!$W$5:$W$3507,$L2059)="","(なし)",INDEX(ポート振替表!$W$5:$W$3507,$L2059)&amp;""))</f>
        <v/>
      </c>
      <c r="C2059" s="52" t="str">
        <f aca="false">IF(L2059="","",INDEX(ポート振替表!$B$5:$B$3507,$L2059)&amp;" "&amp;INDEX(ポート振替表!$C$5:$C$3507,$L2059)&amp;"  ⇔  "&amp;INDEX(ポート振替表!$H$5:$H$3507,$L2059)&amp;" "&amp;INDEX(ポート振替表!$I$5:$I$3507,$L2059))</f>
        <v/>
      </c>
      <c r="D2059" s="57" t="s">
        <v>158</v>
      </c>
      <c r="E2059" s="59" t="str">
        <f aca="false">IF(L2059="","",IF(INDEX(ポート振替表!$O$5:$O$3507,$L2059)="","(未設定)",INDEX(ポート振替表!$O$5:$O$3507,$L2059)&amp;""))</f>
        <v/>
      </c>
      <c r="F2059" s="52" t="str">
        <f aca="false">IF(L2059="","",INDEX(ポート振替表!$K$5:$K$3507,$L2059)&amp;" "&amp;INDEX(ポート振替表!$L$5:$L$3507,$L2059)&amp;"  ⇔  "&amp;INDEX(ポート振替表!$H$5:$H$3507,$L2059)&amp;" "&amp;INDEX(ポート振替表!$I$5:$I$3507,$L2059))</f>
        <v/>
      </c>
      <c r="G2059" s="57" t="s">
        <v>158</v>
      </c>
      <c r="H2059" s="32" t="str">
        <f aca="false">IF(L2059="","",INDEX(ポート振替表!$N$5:$N$3507,$L2059)&amp;"")</f>
        <v/>
      </c>
      <c r="I2059" s="32" t="str">
        <f aca="false">IF(L2059="","",INDEX(ポート振替表!$P$5:$P$3507,$L2059)&amp;"")</f>
        <v/>
      </c>
      <c r="J2059" s="60" t="str">
        <f aca="false">IF(L2059="","",INDEX(ポート振替表!$M$5:$M$3507,$L2059)&amp;"")</f>
        <v/>
      </c>
      <c r="K2059" s="52" t="str">
        <f aca="false">IF(L2059="","",E2059&amp;CHAR(10)&amp;INDEX(ポート振替表!$K$5:$K$3507,$L2059)&amp;" "&amp;INDEX(ポート振替表!$L$5:$L$3507,$L2059)&amp;CHAR(10)&amp;"⇔ "&amp;INDEX(ポート振替表!$H$5:$H$3507,$L2059)&amp;" "&amp;INDEX(ポート振替表!$I$5:$I$3507,$L2059))</f>
        <v/>
      </c>
      <c r="L2059" s="47" t="str">
        <f aca="false">IFERROR(MATCH(ROW()-4,ポート振替表!$V$5:$V$3507,0),"")</f>
        <v/>
      </c>
    </row>
    <row r="2060" customFormat="false" ht="16.4" hidden="false" customHeight="false" outlineLevel="0" collapsed="false">
      <c r="A2060" s="32" t="str">
        <f aca="false">IF(L2060="","",ROW()-4)</f>
        <v/>
      </c>
      <c r="B2060" s="58" t="str">
        <f aca="false">IF(L2060="","",IF(INDEX(ポート振替表!$W$5:$W$3507,$L2060)="","(なし)",INDEX(ポート振替表!$W$5:$W$3507,$L2060)&amp;""))</f>
        <v/>
      </c>
      <c r="C2060" s="52" t="str">
        <f aca="false">IF(L2060="","",INDEX(ポート振替表!$B$5:$B$3507,$L2060)&amp;" "&amp;INDEX(ポート振替表!$C$5:$C$3507,$L2060)&amp;"  ⇔  "&amp;INDEX(ポート振替表!$H$5:$H$3507,$L2060)&amp;" "&amp;INDEX(ポート振替表!$I$5:$I$3507,$L2060))</f>
        <v/>
      </c>
      <c r="D2060" s="57" t="s">
        <v>158</v>
      </c>
      <c r="E2060" s="59" t="str">
        <f aca="false">IF(L2060="","",IF(INDEX(ポート振替表!$O$5:$O$3507,$L2060)="","(未設定)",INDEX(ポート振替表!$O$5:$O$3507,$L2060)&amp;""))</f>
        <v/>
      </c>
      <c r="F2060" s="52" t="str">
        <f aca="false">IF(L2060="","",INDEX(ポート振替表!$K$5:$K$3507,$L2060)&amp;" "&amp;INDEX(ポート振替表!$L$5:$L$3507,$L2060)&amp;"  ⇔  "&amp;INDEX(ポート振替表!$H$5:$H$3507,$L2060)&amp;" "&amp;INDEX(ポート振替表!$I$5:$I$3507,$L2060))</f>
        <v/>
      </c>
      <c r="G2060" s="57" t="s">
        <v>158</v>
      </c>
      <c r="H2060" s="32" t="str">
        <f aca="false">IF(L2060="","",INDEX(ポート振替表!$N$5:$N$3507,$L2060)&amp;"")</f>
        <v/>
      </c>
      <c r="I2060" s="32" t="str">
        <f aca="false">IF(L2060="","",INDEX(ポート振替表!$P$5:$P$3507,$L2060)&amp;"")</f>
        <v/>
      </c>
      <c r="J2060" s="60" t="str">
        <f aca="false">IF(L2060="","",INDEX(ポート振替表!$M$5:$M$3507,$L2060)&amp;"")</f>
        <v/>
      </c>
      <c r="K2060" s="52" t="str">
        <f aca="false">IF(L2060="","",E2060&amp;CHAR(10)&amp;INDEX(ポート振替表!$K$5:$K$3507,$L2060)&amp;" "&amp;INDEX(ポート振替表!$L$5:$L$3507,$L2060)&amp;CHAR(10)&amp;"⇔ "&amp;INDEX(ポート振替表!$H$5:$H$3507,$L2060)&amp;" "&amp;INDEX(ポート振替表!$I$5:$I$3507,$L2060))</f>
        <v/>
      </c>
      <c r="L2060" s="47" t="str">
        <f aca="false">IFERROR(MATCH(ROW()-4,ポート振替表!$V$5:$V$3507,0),"")</f>
        <v/>
      </c>
    </row>
    <row r="2061" customFormat="false" ht="16.4" hidden="false" customHeight="false" outlineLevel="0" collapsed="false">
      <c r="A2061" s="32" t="str">
        <f aca="false">IF(L2061="","",ROW()-4)</f>
        <v/>
      </c>
      <c r="B2061" s="58" t="str">
        <f aca="false">IF(L2061="","",IF(INDEX(ポート振替表!$W$5:$W$3507,$L2061)="","(なし)",INDEX(ポート振替表!$W$5:$W$3507,$L2061)&amp;""))</f>
        <v/>
      </c>
      <c r="C2061" s="52" t="str">
        <f aca="false">IF(L2061="","",INDEX(ポート振替表!$B$5:$B$3507,$L2061)&amp;" "&amp;INDEX(ポート振替表!$C$5:$C$3507,$L2061)&amp;"  ⇔  "&amp;INDEX(ポート振替表!$H$5:$H$3507,$L2061)&amp;" "&amp;INDEX(ポート振替表!$I$5:$I$3507,$L2061))</f>
        <v/>
      </c>
      <c r="D2061" s="57" t="s">
        <v>158</v>
      </c>
      <c r="E2061" s="59" t="str">
        <f aca="false">IF(L2061="","",IF(INDEX(ポート振替表!$O$5:$O$3507,$L2061)="","(未設定)",INDEX(ポート振替表!$O$5:$O$3507,$L2061)&amp;""))</f>
        <v/>
      </c>
      <c r="F2061" s="52" t="str">
        <f aca="false">IF(L2061="","",INDEX(ポート振替表!$K$5:$K$3507,$L2061)&amp;" "&amp;INDEX(ポート振替表!$L$5:$L$3507,$L2061)&amp;"  ⇔  "&amp;INDEX(ポート振替表!$H$5:$H$3507,$L2061)&amp;" "&amp;INDEX(ポート振替表!$I$5:$I$3507,$L2061))</f>
        <v/>
      </c>
      <c r="G2061" s="57" t="s">
        <v>158</v>
      </c>
      <c r="H2061" s="32" t="str">
        <f aca="false">IF(L2061="","",INDEX(ポート振替表!$N$5:$N$3507,$L2061)&amp;"")</f>
        <v/>
      </c>
      <c r="I2061" s="32" t="str">
        <f aca="false">IF(L2061="","",INDEX(ポート振替表!$P$5:$P$3507,$L2061)&amp;"")</f>
        <v/>
      </c>
      <c r="J2061" s="60" t="str">
        <f aca="false">IF(L2061="","",INDEX(ポート振替表!$M$5:$M$3507,$L2061)&amp;"")</f>
        <v/>
      </c>
      <c r="K2061" s="52" t="str">
        <f aca="false">IF(L2061="","",E2061&amp;CHAR(10)&amp;INDEX(ポート振替表!$K$5:$K$3507,$L2061)&amp;" "&amp;INDEX(ポート振替表!$L$5:$L$3507,$L2061)&amp;CHAR(10)&amp;"⇔ "&amp;INDEX(ポート振替表!$H$5:$H$3507,$L2061)&amp;" "&amp;INDEX(ポート振替表!$I$5:$I$3507,$L2061))</f>
        <v/>
      </c>
      <c r="L2061" s="47" t="str">
        <f aca="false">IFERROR(MATCH(ROW()-4,ポート振替表!$V$5:$V$3507,0),"")</f>
        <v/>
      </c>
    </row>
    <row r="2062" customFormat="false" ht="16.4" hidden="false" customHeight="false" outlineLevel="0" collapsed="false">
      <c r="A2062" s="32" t="str">
        <f aca="false">IF(L2062="","",ROW()-4)</f>
        <v/>
      </c>
      <c r="B2062" s="58" t="str">
        <f aca="false">IF(L2062="","",IF(INDEX(ポート振替表!$W$5:$W$3507,$L2062)="","(なし)",INDEX(ポート振替表!$W$5:$W$3507,$L2062)&amp;""))</f>
        <v/>
      </c>
      <c r="C2062" s="52" t="str">
        <f aca="false">IF(L2062="","",INDEX(ポート振替表!$B$5:$B$3507,$L2062)&amp;" "&amp;INDEX(ポート振替表!$C$5:$C$3507,$L2062)&amp;"  ⇔  "&amp;INDEX(ポート振替表!$H$5:$H$3507,$L2062)&amp;" "&amp;INDEX(ポート振替表!$I$5:$I$3507,$L2062))</f>
        <v/>
      </c>
      <c r="D2062" s="57" t="s">
        <v>158</v>
      </c>
      <c r="E2062" s="59" t="str">
        <f aca="false">IF(L2062="","",IF(INDEX(ポート振替表!$O$5:$O$3507,$L2062)="","(未設定)",INDEX(ポート振替表!$O$5:$O$3507,$L2062)&amp;""))</f>
        <v/>
      </c>
      <c r="F2062" s="52" t="str">
        <f aca="false">IF(L2062="","",INDEX(ポート振替表!$K$5:$K$3507,$L2062)&amp;" "&amp;INDEX(ポート振替表!$L$5:$L$3507,$L2062)&amp;"  ⇔  "&amp;INDEX(ポート振替表!$H$5:$H$3507,$L2062)&amp;" "&amp;INDEX(ポート振替表!$I$5:$I$3507,$L2062))</f>
        <v/>
      </c>
      <c r="G2062" s="57" t="s">
        <v>158</v>
      </c>
      <c r="H2062" s="32" t="str">
        <f aca="false">IF(L2062="","",INDEX(ポート振替表!$N$5:$N$3507,$L2062)&amp;"")</f>
        <v/>
      </c>
      <c r="I2062" s="32" t="str">
        <f aca="false">IF(L2062="","",INDEX(ポート振替表!$P$5:$P$3507,$L2062)&amp;"")</f>
        <v/>
      </c>
      <c r="J2062" s="60" t="str">
        <f aca="false">IF(L2062="","",INDEX(ポート振替表!$M$5:$M$3507,$L2062)&amp;"")</f>
        <v/>
      </c>
      <c r="K2062" s="52" t="str">
        <f aca="false">IF(L2062="","",E2062&amp;CHAR(10)&amp;INDEX(ポート振替表!$K$5:$K$3507,$L2062)&amp;" "&amp;INDEX(ポート振替表!$L$5:$L$3507,$L2062)&amp;CHAR(10)&amp;"⇔ "&amp;INDEX(ポート振替表!$H$5:$H$3507,$L2062)&amp;" "&amp;INDEX(ポート振替表!$I$5:$I$3507,$L2062))</f>
        <v/>
      </c>
      <c r="L2062" s="47" t="str">
        <f aca="false">IFERROR(MATCH(ROW()-4,ポート振替表!$V$5:$V$3507,0),"")</f>
        <v/>
      </c>
    </row>
    <row r="2063" customFormat="false" ht="16.4" hidden="false" customHeight="false" outlineLevel="0" collapsed="false">
      <c r="A2063" s="32" t="str">
        <f aca="false">IF(L2063="","",ROW()-4)</f>
        <v/>
      </c>
      <c r="B2063" s="58" t="str">
        <f aca="false">IF(L2063="","",IF(INDEX(ポート振替表!$W$5:$W$3507,$L2063)="","(なし)",INDEX(ポート振替表!$W$5:$W$3507,$L2063)&amp;""))</f>
        <v/>
      </c>
      <c r="C2063" s="52" t="str">
        <f aca="false">IF(L2063="","",INDEX(ポート振替表!$B$5:$B$3507,$L2063)&amp;" "&amp;INDEX(ポート振替表!$C$5:$C$3507,$L2063)&amp;"  ⇔  "&amp;INDEX(ポート振替表!$H$5:$H$3507,$L2063)&amp;" "&amp;INDEX(ポート振替表!$I$5:$I$3507,$L2063))</f>
        <v/>
      </c>
      <c r="D2063" s="57" t="s">
        <v>158</v>
      </c>
      <c r="E2063" s="59" t="str">
        <f aca="false">IF(L2063="","",IF(INDEX(ポート振替表!$O$5:$O$3507,$L2063)="","(未設定)",INDEX(ポート振替表!$O$5:$O$3507,$L2063)&amp;""))</f>
        <v/>
      </c>
      <c r="F2063" s="52" t="str">
        <f aca="false">IF(L2063="","",INDEX(ポート振替表!$K$5:$K$3507,$L2063)&amp;" "&amp;INDEX(ポート振替表!$L$5:$L$3507,$L2063)&amp;"  ⇔  "&amp;INDEX(ポート振替表!$H$5:$H$3507,$L2063)&amp;" "&amp;INDEX(ポート振替表!$I$5:$I$3507,$L2063))</f>
        <v/>
      </c>
      <c r="G2063" s="57" t="s">
        <v>158</v>
      </c>
      <c r="H2063" s="32" t="str">
        <f aca="false">IF(L2063="","",INDEX(ポート振替表!$N$5:$N$3507,$L2063)&amp;"")</f>
        <v/>
      </c>
      <c r="I2063" s="32" t="str">
        <f aca="false">IF(L2063="","",INDEX(ポート振替表!$P$5:$P$3507,$L2063)&amp;"")</f>
        <v/>
      </c>
      <c r="J2063" s="60" t="str">
        <f aca="false">IF(L2063="","",INDEX(ポート振替表!$M$5:$M$3507,$L2063)&amp;"")</f>
        <v/>
      </c>
      <c r="K2063" s="52" t="str">
        <f aca="false">IF(L2063="","",E2063&amp;CHAR(10)&amp;INDEX(ポート振替表!$K$5:$K$3507,$L2063)&amp;" "&amp;INDEX(ポート振替表!$L$5:$L$3507,$L2063)&amp;CHAR(10)&amp;"⇔ "&amp;INDEX(ポート振替表!$H$5:$H$3507,$L2063)&amp;" "&amp;INDEX(ポート振替表!$I$5:$I$3507,$L2063))</f>
        <v/>
      </c>
      <c r="L2063" s="47" t="str">
        <f aca="false">IFERROR(MATCH(ROW()-4,ポート振替表!$V$5:$V$3507,0),"")</f>
        <v/>
      </c>
    </row>
    <row r="2064" customFormat="false" ht="16.4" hidden="false" customHeight="false" outlineLevel="0" collapsed="false">
      <c r="A2064" s="32" t="str">
        <f aca="false">IF(L2064="","",ROW()-4)</f>
        <v/>
      </c>
      <c r="B2064" s="58" t="str">
        <f aca="false">IF(L2064="","",IF(INDEX(ポート振替表!$W$5:$W$3507,$L2064)="","(なし)",INDEX(ポート振替表!$W$5:$W$3507,$L2064)&amp;""))</f>
        <v/>
      </c>
      <c r="C2064" s="52" t="str">
        <f aca="false">IF(L2064="","",INDEX(ポート振替表!$B$5:$B$3507,$L2064)&amp;" "&amp;INDEX(ポート振替表!$C$5:$C$3507,$L2064)&amp;"  ⇔  "&amp;INDEX(ポート振替表!$H$5:$H$3507,$L2064)&amp;" "&amp;INDEX(ポート振替表!$I$5:$I$3507,$L2064))</f>
        <v/>
      </c>
      <c r="D2064" s="57" t="s">
        <v>158</v>
      </c>
      <c r="E2064" s="59" t="str">
        <f aca="false">IF(L2064="","",IF(INDEX(ポート振替表!$O$5:$O$3507,$L2064)="","(未設定)",INDEX(ポート振替表!$O$5:$O$3507,$L2064)&amp;""))</f>
        <v/>
      </c>
      <c r="F2064" s="52" t="str">
        <f aca="false">IF(L2064="","",INDEX(ポート振替表!$K$5:$K$3507,$L2064)&amp;" "&amp;INDEX(ポート振替表!$L$5:$L$3507,$L2064)&amp;"  ⇔  "&amp;INDEX(ポート振替表!$H$5:$H$3507,$L2064)&amp;" "&amp;INDEX(ポート振替表!$I$5:$I$3507,$L2064))</f>
        <v/>
      </c>
      <c r="G2064" s="57" t="s">
        <v>158</v>
      </c>
      <c r="H2064" s="32" t="str">
        <f aca="false">IF(L2064="","",INDEX(ポート振替表!$N$5:$N$3507,$L2064)&amp;"")</f>
        <v/>
      </c>
      <c r="I2064" s="32" t="str">
        <f aca="false">IF(L2064="","",INDEX(ポート振替表!$P$5:$P$3507,$L2064)&amp;"")</f>
        <v/>
      </c>
      <c r="J2064" s="60" t="str">
        <f aca="false">IF(L2064="","",INDEX(ポート振替表!$M$5:$M$3507,$L2064)&amp;"")</f>
        <v/>
      </c>
      <c r="K2064" s="52" t="str">
        <f aca="false">IF(L2064="","",E2064&amp;CHAR(10)&amp;INDEX(ポート振替表!$K$5:$K$3507,$L2064)&amp;" "&amp;INDEX(ポート振替表!$L$5:$L$3507,$L2064)&amp;CHAR(10)&amp;"⇔ "&amp;INDEX(ポート振替表!$H$5:$H$3507,$L2064)&amp;" "&amp;INDEX(ポート振替表!$I$5:$I$3507,$L2064))</f>
        <v/>
      </c>
      <c r="L2064" s="47" t="str">
        <f aca="false">IFERROR(MATCH(ROW()-4,ポート振替表!$V$5:$V$3507,0),"")</f>
        <v/>
      </c>
    </row>
    <row r="2065" customFormat="false" ht="16.4" hidden="false" customHeight="false" outlineLevel="0" collapsed="false">
      <c r="A2065" s="32" t="str">
        <f aca="false">IF(L2065="","",ROW()-4)</f>
        <v/>
      </c>
      <c r="B2065" s="58" t="str">
        <f aca="false">IF(L2065="","",IF(INDEX(ポート振替表!$W$5:$W$3507,$L2065)="","(なし)",INDEX(ポート振替表!$W$5:$W$3507,$L2065)&amp;""))</f>
        <v/>
      </c>
      <c r="C2065" s="52" t="str">
        <f aca="false">IF(L2065="","",INDEX(ポート振替表!$B$5:$B$3507,$L2065)&amp;" "&amp;INDEX(ポート振替表!$C$5:$C$3507,$L2065)&amp;"  ⇔  "&amp;INDEX(ポート振替表!$H$5:$H$3507,$L2065)&amp;" "&amp;INDEX(ポート振替表!$I$5:$I$3507,$L2065))</f>
        <v/>
      </c>
      <c r="D2065" s="57" t="s">
        <v>158</v>
      </c>
      <c r="E2065" s="59" t="str">
        <f aca="false">IF(L2065="","",IF(INDEX(ポート振替表!$O$5:$O$3507,$L2065)="","(未設定)",INDEX(ポート振替表!$O$5:$O$3507,$L2065)&amp;""))</f>
        <v/>
      </c>
      <c r="F2065" s="52" t="str">
        <f aca="false">IF(L2065="","",INDEX(ポート振替表!$K$5:$K$3507,$L2065)&amp;" "&amp;INDEX(ポート振替表!$L$5:$L$3507,$L2065)&amp;"  ⇔  "&amp;INDEX(ポート振替表!$H$5:$H$3507,$L2065)&amp;" "&amp;INDEX(ポート振替表!$I$5:$I$3507,$L2065))</f>
        <v/>
      </c>
      <c r="G2065" s="57" t="s">
        <v>158</v>
      </c>
      <c r="H2065" s="32" t="str">
        <f aca="false">IF(L2065="","",INDEX(ポート振替表!$N$5:$N$3507,$L2065)&amp;"")</f>
        <v/>
      </c>
      <c r="I2065" s="32" t="str">
        <f aca="false">IF(L2065="","",INDEX(ポート振替表!$P$5:$P$3507,$L2065)&amp;"")</f>
        <v/>
      </c>
      <c r="J2065" s="60" t="str">
        <f aca="false">IF(L2065="","",INDEX(ポート振替表!$M$5:$M$3507,$L2065)&amp;"")</f>
        <v/>
      </c>
      <c r="K2065" s="52" t="str">
        <f aca="false">IF(L2065="","",E2065&amp;CHAR(10)&amp;INDEX(ポート振替表!$K$5:$K$3507,$L2065)&amp;" "&amp;INDEX(ポート振替表!$L$5:$L$3507,$L2065)&amp;CHAR(10)&amp;"⇔ "&amp;INDEX(ポート振替表!$H$5:$H$3507,$L2065)&amp;" "&amp;INDEX(ポート振替表!$I$5:$I$3507,$L2065))</f>
        <v/>
      </c>
      <c r="L2065" s="47" t="str">
        <f aca="false">IFERROR(MATCH(ROW()-4,ポート振替表!$V$5:$V$3507,0),"")</f>
        <v/>
      </c>
    </row>
    <row r="2066" customFormat="false" ht="16.4" hidden="false" customHeight="false" outlineLevel="0" collapsed="false">
      <c r="A2066" s="32" t="str">
        <f aca="false">IF(L2066="","",ROW()-4)</f>
        <v/>
      </c>
      <c r="B2066" s="58" t="str">
        <f aca="false">IF(L2066="","",IF(INDEX(ポート振替表!$W$5:$W$3507,$L2066)="","(なし)",INDEX(ポート振替表!$W$5:$W$3507,$L2066)&amp;""))</f>
        <v/>
      </c>
      <c r="C2066" s="52" t="str">
        <f aca="false">IF(L2066="","",INDEX(ポート振替表!$B$5:$B$3507,$L2066)&amp;" "&amp;INDEX(ポート振替表!$C$5:$C$3507,$L2066)&amp;"  ⇔  "&amp;INDEX(ポート振替表!$H$5:$H$3507,$L2066)&amp;" "&amp;INDEX(ポート振替表!$I$5:$I$3507,$L2066))</f>
        <v/>
      </c>
      <c r="D2066" s="57" t="s">
        <v>158</v>
      </c>
      <c r="E2066" s="59" t="str">
        <f aca="false">IF(L2066="","",IF(INDEX(ポート振替表!$O$5:$O$3507,$L2066)="","(未設定)",INDEX(ポート振替表!$O$5:$O$3507,$L2066)&amp;""))</f>
        <v/>
      </c>
      <c r="F2066" s="52" t="str">
        <f aca="false">IF(L2066="","",INDEX(ポート振替表!$K$5:$K$3507,$L2066)&amp;" "&amp;INDEX(ポート振替表!$L$5:$L$3507,$L2066)&amp;"  ⇔  "&amp;INDEX(ポート振替表!$H$5:$H$3507,$L2066)&amp;" "&amp;INDEX(ポート振替表!$I$5:$I$3507,$L2066))</f>
        <v/>
      </c>
      <c r="G2066" s="57" t="s">
        <v>158</v>
      </c>
      <c r="H2066" s="32" t="str">
        <f aca="false">IF(L2066="","",INDEX(ポート振替表!$N$5:$N$3507,$L2066)&amp;"")</f>
        <v/>
      </c>
      <c r="I2066" s="32" t="str">
        <f aca="false">IF(L2066="","",INDEX(ポート振替表!$P$5:$P$3507,$L2066)&amp;"")</f>
        <v/>
      </c>
      <c r="J2066" s="60" t="str">
        <f aca="false">IF(L2066="","",INDEX(ポート振替表!$M$5:$M$3507,$L2066)&amp;"")</f>
        <v/>
      </c>
      <c r="K2066" s="52" t="str">
        <f aca="false">IF(L2066="","",E2066&amp;CHAR(10)&amp;INDEX(ポート振替表!$K$5:$K$3507,$L2066)&amp;" "&amp;INDEX(ポート振替表!$L$5:$L$3507,$L2066)&amp;CHAR(10)&amp;"⇔ "&amp;INDEX(ポート振替表!$H$5:$H$3507,$L2066)&amp;" "&amp;INDEX(ポート振替表!$I$5:$I$3507,$L2066))</f>
        <v/>
      </c>
      <c r="L2066" s="47" t="str">
        <f aca="false">IFERROR(MATCH(ROW()-4,ポート振替表!$V$5:$V$3507,0),"")</f>
        <v/>
      </c>
    </row>
    <row r="2067" customFormat="false" ht="16.4" hidden="false" customHeight="false" outlineLevel="0" collapsed="false">
      <c r="A2067" s="32" t="str">
        <f aca="false">IF(L2067="","",ROW()-4)</f>
        <v/>
      </c>
      <c r="B2067" s="58" t="str">
        <f aca="false">IF(L2067="","",IF(INDEX(ポート振替表!$W$5:$W$3507,$L2067)="","(なし)",INDEX(ポート振替表!$W$5:$W$3507,$L2067)&amp;""))</f>
        <v/>
      </c>
      <c r="C2067" s="52" t="str">
        <f aca="false">IF(L2067="","",INDEX(ポート振替表!$B$5:$B$3507,$L2067)&amp;" "&amp;INDEX(ポート振替表!$C$5:$C$3507,$L2067)&amp;"  ⇔  "&amp;INDEX(ポート振替表!$H$5:$H$3507,$L2067)&amp;" "&amp;INDEX(ポート振替表!$I$5:$I$3507,$L2067))</f>
        <v/>
      </c>
      <c r="D2067" s="57" t="s">
        <v>158</v>
      </c>
      <c r="E2067" s="59" t="str">
        <f aca="false">IF(L2067="","",IF(INDEX(ポート振替表!$O$5:$O$3507,$L2067)="","(未設定)",INDEX(ポート振替表!$O$5:$O$3507,$L2067)&amp;""))</f>
        <v/>
      </c>
      <c r="F2067" s="52" t="str">
        <f aca="false">IF(L2067="","",INDEX(ポート振替表!$K$5:$K$3507,$L2067)&amp;" "&amp;INDEX(ポート振替表!$L$5:$L$3507,$L2067)&amp;"  ⇔  "&amp;INDEX(ポート振替表!$H$5:$H$3507,$L2067)&amp;" "&amp;INDEX(ポート振替表!$I$5:$I$3507,$L2067))</f>
        <v/>
      </c>
      <c r="G2067" s="57" t="s">
        <v>158</v>
      </c>
      <c r="H2067" s="32" t="str">
        <f aca="false">IF(L2067="","",INDEX(ポート振替表!$N$5:$N$3507,$L2067)&amp;"")</f>
        <v/>
      </c>
      <c r="I2067" s="32" t="str">
        <f aca="false">IF(L2067="","",INDEX(ポート振替表!$P$5:$P$3507,$L2067)&amp;"")</f>
        <v/>
      </c>
      <c r="J2067" s="60" t="str">
        <f aca="false">IF(L2067="","",INDEX(ポート振替表!$M$5:$M$3507,$L2067)&amp;"")</f>
        <v/>
      </c>
      <c r="K2067" s="52" t="str">
        <f aca="false">IF(L2067="","",E2067&amp;CHAR(10)&amp;INDEX(ポート振替表!$K$5:$K$3507,$L2067)&amp;" "&amp;INDEX(ポート振替表!$L$5:$L$3507,$L2067)&amp;CHAR(10)&amp;"⇔ "&amp;INDEX(ポート振替表!$H$5:$H$3507,$L2067)&amp;" "&amp;INDEX(ポート振替表!$I$5:$I$3507,$L2067))</f>
        <v/>
      </c>
      <c r="L2067" s="47" t="str">
        <f aca="false">IFERROR(MATCH(ROW()-4,ポート振替表!$V$5:$V$3507,0),"")</f>
        <v/>
      </c>
    </row>
    <row r="2068" customFormat="false" ht="16.4" hidden="false" customHeight="false" outlineLevel="0" collapsed="false">
      <c r="A2068" s="32" t="str">
        <f aca="false">IF(L2068="","",ROW()-4)</f>
        <v/>
      </c>
      <c r="B2068" s="58" t="str">
        <f aca="false">IF(L2068="","",IF(INDEX(ポート振替表!$W$5:$W$3507,$L2068)="","(なし)",INDEX(ポート振替表!$W$5:$W$3507,$L2068)&amp;""))</f>
        <v/>
      </c>
      <c r="C2068" s="52" t="str">
        <f aca="false">IF(L2068="","",INDEX(ポート振替表!$B$5:$B$3507,$L2068)&amp;" "&amp;INDEX(ポート振替表!$C$5:$C$3507,$L2068)&amp;"  ⇔  "&amp;INDEX(ポート振替表!$H$5:$H$3507,$L2068)&amp;" "&amp;INDEX(ポート振替表!$I$5:$I$3507,$L2068))</f>
        <v/>
      </c>
      <c r="D2068" s="57" t="s">
        <v>158</v>
      </c>
      <c r="E2068" s="59" t="str">
        <f aca="false">IF(L2068="","",IF(INDEX(ポート振替表!$O$5:$O$3507,$L2068)="","(未設定)",INDEX(ポート振替表!$O$5:$O$3507,$L2068)&amp;""))</f>
        <v/>
      </c>
      <c r="F2068" s="52" t="str">
        <f aca="false">IF(L2068="","",INDEX(ポート振替表!$K$5:$K$3507,$L2068)&amp;" "&amp;INDEX(ポート振替表!$L$5:$L$3507,$L2068)&amp;"  ⇔  "&amp;INDEX(ポート振替表!$H$5:$H$3507,$L2068)&amp;" "&amp;INDEX(ポート振替表!$I$5:$I$3507,$L2068))</f>
        <v/>
      </c>
      <c r="G2068" s="57" t="s">
        <v>158</v>
      </c>
      <c r="H2068" s="32" t="str">
        <f aca="false">IF(L2068="","",INDEX(ポート振替表!$N$5:$N$3507,$L2068)&amp;"")</f>
        <v/>
      </c>
      <c r="I2068" s="32" t="str">
        <f aca="false">IF(L2068="","",INDEX(ポート振替表!$P$5:$P$3507,$L2068)&amp;"")</f>
        <v/>
      </c>
      <c r="J2068" s="60" t="str">
        <f aca="false">IF(L2068="","",INDEX(ポート振替表!$M$5:$M$3507,$L2068)&amp;"")</f>
        <v/>
      </c>
      <c r="K2068" s="52" t="str">
        <f aca="false">IF(L2068="","",E2068&amp;CHAR(10)&amp;INDEX(ポート振替表!$K$5:$K$3507,$L2068)&amp;" "&amp;INDEX(ポート振替表!$L$5:$L$3507,$L2068)&amp;CHAR(10)&amp;"⇔ "&amp;INDEX(ポート振替表!$H$5:$H$3507,$L2068)&amp;" "&amp;INDEX(ポート振替表!$I$5:$I$3507,$L2068))</f>
        <v/>
      </c>
      <c r="L2068" s="47" t="str">
        <f aca="false">IFERROR(MATCH(ROW()-4,ポート振替表!$V$5:$V$3507,0),"")</f>
        <v/>
      </c>
    </row>
    <row r="2069" customFormat="false" ht="16.4" hidden="false" customHeight="false" outlineLevel="0" collapsed="false">
      <c r="A2069" s="32" t="str">
        <f aca="false">IF(L2069="","",ROW()-4)</f>
        <v/>
      </c>
      <c r="B2069" s="58" t="str">
        <f aca="false">IF(L2069="","",IF(INDEX(ポート振替表!$W$5:$W$3507,$L2069)="","(なし)",INDEX(ポート振替表!$W$5:$W$3507,$L2069)&amp;""))</f>
        <v/>
      </c>
      <c r="C2069" s="52" t="str">
        <f aca="false">IF(L2069="","",INDEX(ポート振替表!$B$5:$B$3507,$L2069)&amp;" "&amp;INDEX(ポート振替表!$C$5:$C$3507,$L2069)&amp;"  ⇔  "&amp;INDEX(ポート振替表!$H$5:$H$3507,$L2069)&amp;" "&amp;INDEX(ポート振替表!$I$5:$I$3507,$L2069))</f>
        <v/>
      </c>
      <c r="D2069" s="57" t="s">
        <v>158</v>
      </c>
      <c r="E2069" s="59" t="str">
        <f aca="false">IF(L2069="","",IF(INDEX(ポート振替表!$O$5:$O$3507,$L2069)="","(未設定)",INDEX(ポート振替表!$O$5:$O$3507,$L2069)&amp;""))</f>
        <v/>
      </c>
      <c r="F2069" s="52" t="str">
        <f aca="false">IF(L2069="","",INDEX(ポート振替表!$K$5:$K$3507,$L2069)&amp;" "&amp;INDEX(ポート振替表!$L$5:$L$3507,$L2069)&amp;"  ⇔  "&amp;INDEX(ポート振替表!$H$5:$H$3507,$L2069)&amp;" "&amp;INDEX(ポート振替表!$I$5:$I$3507,$L2069))</f>
        <v/>
      </c>
      <c r="G2069" s="57" t="s">
        <v>158</v>
      </c>
      <c r="H2069" s="32" t="str">
        <f aca="false">IF(L2069="","",INDEX(ポート振替表!$N$5:$N$3507,$L2069)&amp;"")</f>
        <v/>
      </c>
      <c r="I2069" s="32" t="str">
        <f aca="false">IF(L2069="","",INDEX(ポート振替表!$P$5:$P$3507,$L2069)&amp;"")</f>
        <v/>
      </c>
      <c r="J2069" s="60" t="str">
        <f aca="false">IF(L2069="","",INDEX(ポート振替表!$M$5:$M$3507,$L2069)&amp;"")</f>
        <v/>
      </c>
      <c r="K2069" s="52" t="str">
        <f aca="false">IF(L2069="","",E2069&amp;CHAR(10)&amp;INDEX(ポート振替表!$K$5:$K$3507,$L2069)&amp;" "&amp;INDEX(ポート振替表!$L$5:$L$3507,$L2069)&amp;CHAR(10)&amp;"⇔ "&amp;INDEX(ポート振替表!$H$5:$H$3507,$L2069)&amp;" "&amp;INDEX(ポート振替表!$I$5:$I$3507,$L2069))</f>
        <v/>
      </c>
      <c r="L2069" s="47" t="str">
        <f aca="false">IFERROR(MATCH(ROW()-4,ポート振替表!$V$5:$V$3507,0),"")</f>
        <v/>
      </c>
    </row>
    <row r="2070" customFormat="false" ht="16.4" hidden="false" customHeight="false" outlineLevel="0" collapsed="false">
      <c r="A2070" s="32" t="str">
        <f aca="false">IF(L2070="","",ROW()-4)</f>
        <v/>
      </c>
      <c r="B2070" s="58" t="str">
        <f aca="false">IF(L2070="","",IF(INDEX(ポート振替表!$W$5:$W$3507,$L2070)="","(なし)",INDEX(ポート振替表!$W$5:$W$3507,$L2070)&amp;""))</f>
        <v/>
      </c>
      <c r="C2070" s="52" t="str">
        <f aca="false">IF(L2070="","",INDEX(ポート振替表!$B$5:$B$3507,$L2070)&amp;" "&amp;INDEX(ポート振替表!$C$5:$C$3507,$L2070)&amp;"  ⇔  "&amp;INDEX(ポート振替表!$H$5:$H$3507,$L2070)&amp;" "&amp;INDEX(ポート振替表!$I$5:$I$3507,$L2070))</f>
        <v/>
      </c>
      <c r="D2070" s="57" t="s">
        <v>158</v>
      </c>
      <c r="E2070" s="59" t="str">
        <f aca="false">IF(L2070="","",IF(INDEX(ポート振替表!$O$5:$O$3507,$L2070)="","(未設定)",INDEX(ポート振替表!$O$5:$O$3507,$L2070)&amp;""))</f>
        <v/>
      </c>
      <c r="F2070" s="52" t="str">
        <f aca="false">IF(L2070="","",INDEX(ポート振替表!$K$5:$K$3507,$L2070)&amp;" "&amp;INDEX(ポート振替表!$L$5:$L$3507,$L2070)&amp;"  ⇔  "&amp;INDEX(ポート振替表!$H$5:$H$3507,$L2070)&amp;" "&amp;INDEX(ポート振替表!$I$5:$I$3507,$L2070))</f>
        <v/>
      </c>
      <c r="G2070" s="57" t="s">
        <v>158</v>
      </c>
      <c r="H2070" s="32" t="str">
        <f aca="false">IF(L2070="","",INDEX(ポート振替表!$N$5:$N$3507,$L2070)&amp;"")</f>
        <v/>
      </c>
      <c r="I2070" s="32" t="str">
        <f aca="false">IF(L2070="","",INDEX(ポート振替表!$P$5:$P$3507,$L2070)&amp;"")</f>
        <v/>
      </c>
      <c r="J2070" s="60" t="str">
        <f aca="false">IF(L2070="","",INDEX(ポート振替表!$M$5:$M$3507,$L2070)&amp;"")</f>
        <v/>
      </c>
      <c r="K2070" s="52" t="str">
        <f aca="false">IF(L2070="","",E2070&amp;CHAR(10)&amp;INDEX(ポート振替表!$K$5:$K$3507,$L2070)&amp;" "&amp;INDEX(ポート振替表!$L$5:$L$3507,$L2070)&amp;CHAR(10)&amp;"⇔ "&amp;INDEX(ポート振替表!$H$5:$H$3507,$L2070)&amp;" "&amp;INDEX(ポート振替表!$I$5:$I$3507,$L2070))</f>
        <v/>
      </c>
      <c r="L2070" s="47" t="str">
        <f aca="false">IFERROR(MATCH(ROW()-4,ポート振替表!$V$5:$V$3507,0),"")</f>
        <v/>
      </c>
    </row>
    <row r="2071" customFormat="false" ht="16.4" hidden="false" customHeight="false" outlineLevel="0" collapsed="false">
      <c r="A2071" s="32" t="str">
        <f aca="false">IF(L2071="","",ROW()-4)</f>
        <v/>
      </c>
      <c r="B2071" s="58" t="str">
        <f aca="false">IF(L2071="","",IF(INDEX(ポート振替表!$W$5:$W$3507,$L2071)="","(なし)",INDEX(ポート振替表!$W$5:$W$3507,$L2071)&amp;""))</f>
        <v/>
      </c>
      <c r="C2071" s="52" t="str">
        <f aca="false">IF(L2071="","",INDEX(ポート振替表!$B$5:$B$3507,$L2071)&amp;" "&amp;INDEX(ポート振替表!$C$5:$C$3507,$L2071)&amp;"  ⇔  "&amp;INDEX(ポート振替表!$H$5:$H$3507,$L2071)&amp;" "&amp;INDEX(ポート振替表!$I$5:$I$3507,$L2071))</f>
        <v/>
      </c>
      <c r="D2071" s="57" t="s">
        <v>158</v>
      </c>
      <c r="E2071" s="59" t="str">
        <f aca="false">IF(L2071="","",IF(INDEX(ポート振替表!$O$5:$O$3507,$L2071)="","(未設定)",INDEX(ポート振替表!$O$5:$O$3507,$L2071)&amp;""))</f>
        <v/>
      </c>
      <c r="F2071" s="52" t="str">
        <f aca="false">IF(L2071="","",INDEX(ポート振替表!$K$5:$K$3507,$L2071)&amp;" "&amp;INDEX(ポート振替表!$L$5:$L$3507,$L2071)&amp;"  ⇔  "&amp;INDEX(ポート振替表!$H$5:$H$3507,$L2071)&amp;" "&amp;INDEX(ポート振替表!$I$5:$I$3507,$L2071))</f>
        <v/>
      </c>
      <c r="G2071" s="57" t="s">
        <v>158</v>
      </c>
      <c r="H2071" s="32" t="str">
        <f aca="false">IF(L2071="","",INDEX(ポート振替表!$N$5:$N$3507,$L2071)&amp;"")</f>
        <v/>
      </c>
      <c r="I2071" s="32" t="str">
        <f aca="false">IF(L2071="","",INDEX(ポート振替表!$P$5:$P$3507,$L2071)&amp;"")</f>
        <v/>
      </c>
      <c r="J2071" s="60" t="str">
        <f aca="false">IF(L2071="","",INDEX(ポート振替表!$M$5:$M$3507,$L2071)&amp;"")</f>
        <v/>
      </c>
      <c r="K2071" s="52" t="str">
        <f aca="false">IF(L2071="","",E2071&amp;CHAR(10)&amp;INDEX(ポート振替表!$K$5:$K$3507,$L2071)&amp;" "&amp;INDEX(ポート振替表!$L$5:$L$3507,$L2071)&amp;CHAR(10)&amp;"⇔ "&amp;INDEX(ポート振替表!$H$5:$H$3507,$L2071)&amp;" "&amp;INDEX(ポート振替表!$I$5:$I$3507,$L2071))</f>
        <v/>
      </c>
      <c r="L2071" s="47" t="str">
        <f aca="false">IFERROR(MATCH(ROW()-4,ポート振替表!$V$5:$V$3507,0),"")</f>
        <v/>
      </c>
    </row>
    <row r="2072" customFormat="false" ht="16.4" hidden="false" customHeight="false" outlineLevel="0" collapsed="false">
      <c r="A2072" s="32" t="str">
        <f aca="false">IF(L2072="","",ROW()-4)</f>
        <v/>
      </c>
      <c r="B2072" s="58" t="str">
        <f aca="false">IF(L2072="","",IF(INDEX(ポート振替表!$W$5:$W$3507,$L2072)="","(なし)",INDEX(ポート振替表!$W$5:$W$3507,$L2072)&amp;""))</f>
        <v/>
      </c>
      <c r="C2072" s="52" t="str">
        <f aca="false">IF(L2072="","",INDEX(ポート振替表!$B$5:$B$3507,$L2072)&amp;" "&amp;INDEX(ポート振替表!$C$5:$C$3507,$L2072)&amp;"  ⇔  "&amp;INDEX(ポート振替表!$H$5:$H$3507,$L2072)&amp;" "&amp;INDEX(ポート振替表!$I$5:$I$3507,$L2072))</f>
        <v/>
      </c>
      <c r="D2072" s="57" t="s">
        <v>158</v>
      </c>
      <c r="E2072" s="59" t="str">
        <f aca="false">IF(L2072="","",IF(INDEX(ポート振替表!$O$5:$O$3507,$L2072)="","(未設定)",INDEX(ポート振替表!$O$5:$O$3507,$L2072)&amp;""))</f>
        <v/>
      </c>
      <c r="F2072" s="52" t="str">
        <f aca="false">IF(L2072="","",INDEX(ポート振替表!$K$5:$K$3507,$L2072)&amp;" "&amp;INDEX(ポート振替表!$L$5:$L$3507,$L2072)&amp;"  ⇔  "&amp;INDEX(ポート振替表!$H$5:$H$3507,$L2072)&amp;" "&amp;INDEX(ポート振替表!$I$5:$I$3507,$L2072))</f>
        <v/>
      </c>
      <c r="G2072" s="57" t="s">
        <v>158</v>
      </c>
      <c r="H2072" s="32" t="str">
        <f aca="false">IF(L2072="","",INDEX(ポート振替表!$N$5:$N$3507,$L2072)&amp;"")</f>
        <v/>
      </c>
      <c r="I2072" s="32" t="str">
        <f aca="false">IF(L2072="","",INDEX(ポート振替表!$P$5:$P$3507,$L2072)&amp;"")</f>
        <v/>
      </c>
      <c r="J2072" s="60" t="str">
        <f aca="false">IF(L2072="","",INDEX(ポート振替表!$M$5:$M$3507,$L2072)&amp;"")</f>
        <v/>
      </c>
      <c r="K2072" s="52" t="str">
        <f aca="false">IF(L2072="","",E2072&amp;CHAR(10)&amp;INDEX(ポート振替表!$K$5:$K$3507,$L2072)&amp;" "&amp;INDEX(ポート振替表!$L$5:$L$3507,$L2072)&amp;CHAR(10)&amp;"⇔ "&amp;INDEX(ポート振替表!$H$5:$H$3507,$L2072)&amp;" "&amp;INDEX(ポート振替表!$I$5:$I$3507,$L2072))</f>
        <v/>
      </c>
      <c r="L2072" s="47" t="str">
        <f aca="false">IFERROR(MATCH(ROW()-4,ポート振替表!$V$5:$V$3507,0),"")</f>
        <v/>
      </c>
    </row>
    <row r="2073" customFormat="false" ht="16.4" hidden="false" customHeight="false" outlineLevel="0" collapsed="false">
      <c r="A2073" s="32" t="str">
        <f aca="false">IF(L2073="","",ROW()-4)</f>
        <v/>
      </c>
      <c r="B2073" s="58" t="str">
        <f aca="false">IF(L2073="","",IF(INDEX(ポート振替表!$W$5:$W$3507,$L2073)="","(なし)",INDEX(ポート振替表!$W$5:$W$3507,$L2073)&amp;""))</f>
        <v/>
      </c>
      <c r="C2073" s="52" t="str">
        <f aca="false">IF(L2073="","",INDEX(ポート振替表!$B$5:$B$3507,$L2073)&amp;" "&amp;INDEX(ポート振替表!$C$5:$C$3507,$L2073)&amp;"  ⇔  "&amp;INDEX(ポート振替表!$H$5:$H$3507,$L2073)&amp;" "&amp;INDEX(ポート振替表!$I$5:$I$3507,$L2073))</f>
        <v/>
      </c>
      <c r="D2073" s="57" t="s">
        <v>158</v>
      </c>
      <c r="E2073" s="59" t="str">
        <f aca="false">IF(L2073="","",IF(INDEX(ポート振替表!$O$5:$O$3507,$L2073)="","(未設定)",INDEX(ポート振替表!$O$5:$O$3507,$L2073)&amp;""))</f>
        <v/>
      </c>
      <c r="F2073" s="52" t="str">
        <f aca="false">IF(L2073="","",INDEX(ポート振替表!$K$5:$K$3507,$L2073)&amp;" "&amp;INDEX(ポート振替表!$L$5:$L$3507,$L2073)&amp;"  ⇔  "&amp;INDEX(ポート振替表!$H$5:$H$3507,$L2073)&amp;" "&amp;INDEX(ポート振替表!$I$5:$I$3507,$L2073))</f>
        <v/>
      </c>
      <c r="G2073" s="57" t="s">
        <v>158</v>
      </c>
      <c r="H2073" s="32" t="str">
        <f aca="false">IF(L2073="","",INDEX(ポート振替表!$N$5:$N$3507,$L2073)&amp;"")</f>
        <v/>
      </c>
      <c r="I2073" s="32" t="str">
        <f aca="false">IF(L2073="","",INDEX(ポート振替表!$P$5:$P$3507,$L2073)&amp;"")</f>
        <v/>
      </c>
      <c r="J2073" s="60" t="str">
        <f aca="false">IF(L2073="","",INDEX(ポート振替表!$M$5:$M$3507,$L2073)&amp;"")</f>
        <v/>
      </c>
      <c r="K2073" s="52" t="str">
        <f aca="false">IF(L2073="","",E2073&amp;CHAR(10)&amp;INDEX(ポート振替表!$K$5:$K$3507,$L2073)&amp;" "&amp;INDEX(ポート振替表!$L$5:$L$3507,$L2073)&amp;CHAR(10)&amp;"⇔ "&amp;INDEX(ポート振替表!$H$5:$H$3507,$L2073)&amp;" "&amp;INDEX(ポート振替表!$I$5:$I$3507,$L2073))</f>
        <v/>
      </c>
      <c r="L2073" s="47" t="str">
        <f aca="false">IFERROR(MATCH(ROW()-4,ポート振替表!$V$5:$V$3507,0),"")</f>
        <v/>
      </c>
    </row>
    <row r="2074" customFormat="false" ht="16.4" hidden="false" customHeight="false" outlineLevel="0" collapsed="false">
      <c r="A2074" s="32" t="str">
        <f aca="false">IF(L2074="","",ROW()-4)</f>
        <v/>
      </c>
      <c r="B2074" s="58" t="str">
        <f aca="false">IF(L2074="","",IF(INDEX(ポート振替表!$W$5:$W$3507,$L2074)="","(なし)",INDEX(ポート振替表!$W$5:$W$3507,$L2074)&amp;""))</f>
        <v/>
      </c>
      <c r="C2074" s="52" t="str">
        <f aca="false">IF(L2074="","",INDEX(ポート振替表!$B$5:$B$3507,$L2074)&amp;" "&amp;INDEX(ポート振替表!$C$5:$C$3507,$L2074)&amp;"  ⇔  "&amp;INDEX(ポート振替表!$H$5:$H$3507,$L2074)&amp;" "&amp;INDEX(ポート振替表!$I$5:$I$3507,$L2074))</f>
        <v/>
      </c>
      <c r="D2074" s="57" t="s">
        <v>158</v>
      </c>
      <c r="E2074" s="59" t="str">
        <f aca="false">IF(L2074="","",IF(INDEX(ポート振替表!$O$5:$O$3507,$L2074)="","(未設定)",INDEX(ポート振替表!$O$5:$O$3507,$L2074)&amp;""))</f>
        <v/>
      </c>
      <c r="F2074" s="52" t="str">
        <f aca="false">IF(L2074="","",INDEX(ポート振替表!$K$5:$K$3507,$L2074)&amp;" "&amp;INDEX(ポート振替表!$L$5:$L$3507,$L2074)&amp;"  ⇔  "&amp;INDEX(ポート振替表!$H$5:$H$3507,$L2074)&amp;" "&amp;INDEX(ポート振替表!$I$5:$I$3507,$L2074))</f>
        <v/>
      </c>
      <c r="G2074" s="57" t="s">
        <v>158</v>
      </c>
      <c r="H2074" s="32" t="str">
        <f aca="false">IF(L2074="","",INDEX(ポート振替表!$N$5:$N$3507,$L2074)&amp;"")</f>
        <v/>
      </c>
      <c r="I2074" s="32" t="str">
        <f aca="false">IF(L2074="","",INDEX(ポート振替表!$P$5:$P$3507,$L2074)&amp;"")</f>
        <v/>
      </c>
      <c r="J2074" s="60" t="str">
        <f aca="false">IF(L2074="","",INDEX(ポート振替表!$M$5:$M$3507,$L2074)&amp;"")</f>
        <v/>
      </c>
      <c r="K2074" s="52" t="str">
        <f aca="false">IF(L2074="","",E2074&amp;CHAR(10)&amp;INDEX(ポート振替表!$K$5:$K$3507,$L2074)&amp;" "&amp;INDEX(ポート振替表!$L$5:$L$3507,$L2074)&amp;CHAR(10)&amp;"⇔ "&amp;INDEX(ポート振替表!$H$5:$H$3507,$L2074)&amp;" "&amp;INDEX(ポート振替表!$I$5:$I$3507,$L2074))</f>
        <v/>
      </c>
      <c r="L2074" s="47" t="str">
        <f aca="false">IFERROR(MATCH(ROW()-4,ポート振替表!$V$5:$V$3507,0),"")</f>
        <v/>
      </c>
    </row>
    <row r="2075" customFormat="false" ht="16.4" hidden="false" customHeight="false" outlineLevel="0" collapsed="false">
      <c r="A2075" s="32" t="str">
        <f aca="false">IF(L2075="","",ROW()-4)</f>
        <v/>
      </c>
      <c r="B2075" s="58" t="str">
        <f aca="false">IF(L2075="","",IF(INDEX(ポート振替表!$W$5:$W$3507,$L2075)="","(なし)",INDEX(ポート振替表!$W$5:$W$3507,$L2075)&amp;""))</f>
        <v/>
      </c>
      <c r="C2075" s="52" t="str">
        <f aca="false">IF(L2075="","",INDEX(ポート振替表!$B$5:$B$3507,$L2075)&amp;" "&amp;INDEX(ポート振替表!$C$5:$C$3507,$L2075)&amp;"  ⇔  "&amp;INDEX(ポート振替表!$H$5:$H$3507,$L2075)&amp;" "&amp;INDEX(ポート振替表!$I$5:$I$3507,$L2075))</f>
        <v/>
      </c>
      <c r="D2075" s="57" t="s">
        <v>158</v>
      </c>
      <c r="E2075" s="59" t="str">
        <f aca="false">IF(L2075="","",IF(INDEX(ポート振替表!$O$5:$O$3507,$L2075)="","(未設定)",INDEX(ポート振替表!$O$5:$O$3507,$L2075)&amp;""))</f>
        <v/>
      </c>
      <c r="F2075" s="52" t="str">
        <f aca="false">IF(L2075="","",INDEX(ポート振替表!$K$5:$K$3507,$L2075)&amp;" "&amp;INDEX(ポート振替表!$L$5:$L$3507,$L2075)&amp;"  ⇔  "&amp;INDEX(ポート振替表!$H$5:$H$3507,$L2075)&amp;" "&amp;INDEX(ポート振替表!$I$5:$I$3507,$L2075))</f>
        <v/>
      </c>
      <c r="G2075" s="57" t="s">
        <v>158</v>
      </c>
      <c r="H2075" s="32" t="str">
        <f aca="false">IF(L2075="","",INDEX(ポート振替表!$N$5:$N$3507,$L2075)&amp;"")</f>
        <v/>
      </c>
      <c r="I2075" s="32" t="str">
        <f aca="false">IF(L2075="","",INDEX(ポート振替表!$P$5:$P$3507,$L2075)&amp;"")</f>
        <v/>
      </c>
      <c r="J2075" s="60" t="str">
        <f aca="false">IF(L2075="","",INDEX(ポート振替表!$M$5:$M$3507,$L2075)&amp;"")</f>
        <v/>
      </c>
      <c r="K2075" s="52" t="str">
        <f aca="false">IF(L2075="","",E2075&amp;CHAR(10)&amp;INDEX(ポート振替表!$K$5:$K$3507,$L2075)&amp;" "&amp;INDEX(ポート振替表!$L$5:$L$3507,$L2075)&amp;CHAR(10)&amp;"⇔ "&amp;INDEX(ポート振替表!$H$5:$H$3507,$L2075)&amp;" "&amp;INDEX(ポート振替表!$I$5:$I$3507,$L2075))</f>
        <v/>
      </c>
      <c r="L2075" s="47" t="str">
        <f aca="false">IFERROR(MATCH(ROW()-4,ポート振替表!$V$5:$V$3507,0),"")</f>
        <v/>
      </c>
    </row>
    <row r="2076" customFormat="false" ht="16.4" hidden="false" customHeight="false" outlineLevel="0" collapsed="false">
      <c r="A2076" s="32" t="str">
        <f aca="false">IF(L2076="","",ROW()-4)</f>
        <v/>
      </c>
      <c r="B2076" s="58" t="str">
        <f aca="false">IF(L2076="","",IF(INDEX(ポート振替表!$W$5:$W$3507,$L2076)="","(なし)",INDEX(ポート振替表!$W$5:$W$3507,$L2076)&amp;""))</f>
        <v/>
      </c>
      <c r="C2076" s="52" t="str">
        <f aca="false">IF(L2076="","",INDEX(ポート振替表!$B$5:$B$3507,$L2076)&amp;" "&amp;INDEX(ポート振替表!$C$5:$C$3507,$L2076)&amp;"  ⇔  "&amp;INDEX(ポート振替表!$H$5:$H$3507,$L2076)&amp;" "&amp;INDEX(ポート振替表!$I$5:$I$3507,$L2076))</f>
        <v/>
      </c>
      <c r="D2076" s="57" t="s">
        <v>158</v>
      </c>
      <c r="E2076" s="59" t="str">
        <f aca="false">IF(L2076="","",IF(INDEX(ポート振替表!$O$5:$O$3507,$L2076)="","(未設定)",INDEX(ポート振替表!$O$5:$O$3507,$L2076)&amp;""))</f>
        <v/>
      </c>
      <c r="F2076" s="52" t="str">
        <f aca="false">IF(L2076="","",INDEX(ポート振替表!$K$5:$K$3507,$L2076)&amp;" "&amp;INDEX(ポート振替表!$L$5:$L$3507,$L2076)&amp;"  ⇔  "&amp;INDEX(ポート振替表!$H$5:$H$3507,$L2076)&amp;" "&amp;INDEX(ポート振替表!$I$5:$I$3507,$L2076))</f>
        <v/>
      </c>
      <c r="G2076" s="57" t="s">
        <v>158</v>
      </c>
      <c r="H2076" s="32" t="str">
        <f aca="false">IF(L2076="","",INDEX(ポート振替表!$N$5:$N$3507,$L2076)&amp;"")</f>
        <v/>
      </c>
      <c r="I2076" s="32" t="str">
        <f aca="false">IF(L2076="","",INDEX(ポート振替表!$P$5:$P$3507,$L2076)&amp;"")</f>
        <v/>
      </c>
      <c r="J2076" s="60" t="str">
        <f aca="false">IF(L2076="","",INDEX(ポート振替表!$M$5:$M$3507,$L2076)&amp;"")</f>
        <v/>
      </c>
      <c r="K2076" s="52" t="str">
        <f aca="false">IF(L2076="","",E2076&amp;CHAR(10)&amp;INDEX(ポート振替表!$K$5:$K$3507,$L2076)&amp;" "&amp;INDEX(ポート振替表!$L$5:$L$3507,$L2076)&amp;CHAR(10)&amp;"⇔ "&amp;INDEX(ポート振替表!$H$5:$H$3507,$L2076)&amp;" "&amp;INDEX(ポート振替表!$I$5:$I$3507,$L2076))</f>
        <v/>
      </c>
      <c r="L2076" s="47" t="str">
        <f aca="false">IFERROR(MATCH(ROW()-4,ポート振替表!$V$5:$V$3507,0),"")</f>
        <v/>
      </c>
    </row>
    <row r="2077" customFormat="false" ht="16.4" hidden="false" customHeight="false" outlineLevel="0" collapsed="false">
      <c r="A2077" s="32" t="str">
        <f aca="false">IF(L2077="","",ROW()-4)</f>
        <v/>
      </c>
      <c r="B2077" s="58" t="str">
        <f aca="false">IF(L2077="","",IF(INDEX(ポート振替表!$W$5:$W$3507,$L2077)="","(なし)",INDEX(ポート振替表!$W$5:$W$3507,$L2077)&amp;""))</f>
        <v/>
      </c>
      <c r="C2077" s="52" t="str">
        <f aca="false">IF(L2077="","",INDEX(ポート振替表!$B$5:$B$3507,$L2077)&amp;" "&amp;INDEX(ポート振替表!$C$5:$C$3507,$L2077)&amp;"  ⇔  "&amp;INDEX(ポート振替表!$H$5:$H$3507,$L2077)&amp;" "&amp;INDEX(ポート振替表!$I$5:$I$3507,$L2077))</f>
        <v/>
      </c>
      <c r="D2077" s="57" t="s">
        <v>158</v>
      </c>
      <c r="E2077" s="59" t="str">
        <f aca="false">IF(L2077="","",IF(INDEX(ポート振替表!$O$5:$O$3507,$L2077)="","(未設定)",INDEX(ポート振替表!$O$5:$O$3507,$L2077)&amp;""))</f>
        <v/>
      </c>
      <c r="F2077" s="52" t="str">
        <f aca="false">IF(L2077="","",INDEX(ポート振替表!$K$5:$K$3507,$L2077)&amp;" "&amp;INDEX(ポート振替表!$L$5:$L$3507,$L2077)&amp;"  ⇔  "&amp;INDEX(ポート振替表!$H$5:$H$3507,$L2077)&amp;" "&amp;INDEX(ポート振替表!$I$5:$I$3507,$L2077))</f>
        <v/>
      </c>
      <c r="G2077" s="57" t="s">
        <v>158</v>
      </c>
      <c r="H2077" s="32" t="str">
        <f aca="false">IF(L2077="","",INDEX(ポート振替表!$N$5:$N$3507,$L2077)&amp;"")</f>
        <v/>
      </c>
      <c r="I2077" s="32" t="str">
        <f aca="false">IF(L2077="","",INDEX(ポート振替表!$P$5:$P$3507,$L2077)&amp;"")</f>
        <v/>
      </c>
      <c r="J2077" s="60" t="str">
        <f aca="false">IF(L2077="","",INDEX(ポート振替表!$M$5:$M$3507,$L2077)&amp;"")</f>
        <v/>
      </c>
      <c r="K2077" s="52" t="str">
        <f aca="false">IF(L2077="","",E2077&amp;CHAR(10)&amp;INDEX(ポート振替表!$K$5:$K$3507,$L2077)&amp;" "&amp;INDEX(ポート振替表!$L$5:$L$3507,$L2077)&amp;CHAR(10)&amp;"⇔ "&amp;INDEX(ポート振替表!$H$5:$H$3507,$L2077)&amp;" "&amp;INDEX(ポート振替表!$I$5:$I$3507,$L2077))</f>
        <v/>
      </c>
      <c r="L2077" s="47" t="str">
        <f aca="false">IFERROR(MATCH(ROW()-4,ポート振替表!$V$5:$V$3507,0),"")</f>
        <v/>
      </c>
    </row>
    <row r="2078" customFormat="false" ht="16.4" hidden="false" customHeight="false" outlineLevel="0" collapsed="false">
      <c r="A2078" s="32" t="str">
        <f aca="false">IF(L2078="","",ROW()-4)</f>
        <v/>
      </c>
      <c r="B2078" s="58" t="str">
        <f aca="false">IF(L2078="","",IF(INDEX(ポート振替表!$W$5:$W$3507,$L2078)="","(なし)",INDEX(ポート振替表!$W$5:$W$3507,$L2078)&amp;""))</f>
        <v/>
      </c>
      <c r="C2078" s="52" t="str">
        <f aca="false">IF(L2078="","",INDEX(ポート振替表!$B$5:$B$3507,$L2078)&amp;" "&amp;INDEX(ポート振替表!$C$5:$C$3507,$L2078)&amp;"  ⇔  "&amp;INDEX(ポート振替表!$H$5:$H$3507,$L2078)&amp;" "&amp;INDEX(ポート振替表!$I$5:$I$3507,$L2078))</f>
        <v/>
      </c>
      <c r="D2078" s="57" t="s">
        <v>158</v>
      </c>
      <c r="E2078" s="59" t="str">
        <f aca="false">IF(L2078="","",IF(INDEX(ポート振替表!$O$5:$O$3507,$L2078)="","(未設定)",INDEX(ポート振替表!$O$5:$O$3507,$L2078)&amp;""))</f>
        <v/>
      </c>
      <c r="F2078" s="52" t="str">
        <f aca="false">IF(L2078="","",INDEX(ポート振替表!$K$5:$K$3507,$L2078)&amp;" "&amp;INDEX(ポート振替表!$L$5:$L$3507,$L2078)&amp;"  ⇔  "&amp;INDEX(ポート振替表!$H$5:$H$3507,$L2078)&amp;" "&amp;INDEX(ポート振替表!$I$5:$I$3507,$L2078))</f>
        <v/>
      </c>
      <c r="G2078" s="57" t="s">
        <v>158</v>
      </c>
      <c r="H2078" s="32" t="str">
        <f aca="false">IF(L2078="","",INDEX(ポート振替表!$N$5:$N$3507,$L2078)&amp;"")</f>
        <v/>
      </c>
      <c r="I2078" s="32" t="str">
        <f aca="false">IF(L2078="","",INDEX(ポート振替表!$P$5:$P$3507,$L2078)&amp;"")</f>
        <v/>
      </c>
      <c r="J2078" s="60" t="str">
        <f aca="false">IF(L2078="","",INDEX(ポート振替表!$M$5:$M$3507,$L2078)&amp;"")</f>
        <v/>
      </c>
      <c r="K2078" s="52" t="str">
        <f aca="false">IF(L2078="","",E2078&amp;CHAR(10)&amp;INDEX(ポート振替表!$K$5:$K$3507,$L2078)&amp;" "&amp;INDEX(ポート振替表!$L$5:$L$3507,$L2078)&amp;CHAR(10)&amp;"⇔ "&amp;INDEX(ポート振替表!$H$5:$H$3507,$L2078)&amp;" "&amp;INDEX(ポート振替表!$I$5:$I$3507,$L2078))</f>
        <v/>
      </c>
      <c r="L2078" s="47" t="str">
        <f aca="false">IFERROR(MATCH(ROW()-4,ポート振替表!$V$5:$V$3507,0),"")</f>
        <v/>
      </c>
    </row>
    <row r="2079" customFormat="false" ht="16.4" hidden="false" customHeight="false" outlineLevel="0" collapsed="false">
      <c r="A2079" s="32" t="str">
        <f aca="false">IF(L2079="","",ROW()-4)</f>
        <v/>
      </c>
      <c r="B2079" s="58" t="str">
        <f aca="false">IF(L2079="","",IF(INDEX(ポート振替表!$W$5:$W$3507,$L2079)="","(なし)",INDEX(ポート振替表!$W$5:$W$3507,$L2079)&amp;""))</f>
        <v/>
      </c>
      <c r="C2079" s="52" t="str">
        <f aca="false">IF(L2079="","",INDEX(ポート振替表!$B$5:$B$3507,$L2079)&amp;" "&amp;INDEX(ポート振替表!$C$5:$C$3507,$L2079)&amp;"  ⇔  "&amp;INDEX(ポート振替表!$H$5:$H$3507,$L2079)&amp;" "&amp;INDEX(ポート振替表!$I$5:$I$3507,$L2079))</f>
        <v/>
      </c>
      <c r="D2079" s="57" t="s">
        <v>158</v>
      </c>
      <c r="E2079" s="59" t="str">
        <f aca="false">IF(L2079="","",IF(INDEX(ポート振替表!$O$5:$O$3507,$L2079)="","(未設定)",INDEX(ポート振替表!$O$5:$O$3507,$L2079)&amp;""))</f>
        <v/>
      </c>
      <c r="F2079" s="52" t="str">
        <f aca="false">IF(L2079="","",INDEX(ポート振替表!$K$5:$K$3507,$L2079)&amp;" "&amp;INDEX(ポート振替表!$L$5:$L$3507,$L2079)&amp;"  ⇔  "&amp;INDEX(ポート振替表!$H$5:$H$3507,$L2079)&amp;" "&amp;INDEX(ポート振替表!$I$5:$I$3507,$L2079))</f>
        <v/>
      </c>
      <c r="G2079" s="57" t="s">
        <v>158</v>
      </c>
      <c r="H2079" s="32" t="str">
        <f aca="false">IF(L2079="","",INDEX(ポート振替表!$N$5:$N$3507,$L2079)&amp;"")</f>
        <v/>
      </c>
      <c r="I2079" s="32" t="str">
        <f aca="false">IF(L2079="","",INDEX(ポート振替表!$P$5:$P$3507,$L2079)&amp;"")</f>
        <v/>
      </c>
      <c r="J2079" s="60" t="str">
        <f aca="false">IF(L2079="","",INDEX(ポート振替表!$M$5:$M$3507,$L2079)&amp;"")</f>
        <v/>
      </c>
      <c r="K2079" s="52" t="str">
        <f aca="false">IF(L2079="","",E2079&amp;CHAR(10)&amp;INDEX(ポート振替表!$K$5:$K$3507,$L2079)&amp;" "&amp;INDEX(ポート振替表!$L$5:$L$3507,$L2079)&amp;CHAR(10)&amp;"⇔ "&amp;INDEX(ポート振替表!$H$5:$H$3507,$L2079)&amp;" "&amp;INDEX(ポート振替表!$I$5:$I$3507,$L2079))</f>
        <v/>
      </c>
      <c r="L2079" s="47" t="str">
        <f aca="false">IFERROR(MATCH(ROW()-4,ポート振替表!$V$5:$V$3507,0),"")</f>
        <v/>
      </c>
    </row>
    <row r="2080" customFormat="false" ht="16.4" hidden="false" customHeight="false" outlineLevel="0" collapsed="false">
      <c r="A2080" s="32" t="str">
        <f aca="false">IF(L2080="","",ROW()-4)</f>
        <v/>
      </c>
      <c r="B2080" s="58" t="str">
        <f aca="false">IF(L2080="","",IF(INDEX(ポート振替表!$W$5:$W$3507,$L2080)="","(なし)",INDEX(ポート振替表!$W$5:$W$3507,$L2080)&amp;""))</f>
        <v/>
      </c>
      <c r="C2080" s="52" t="str">
        <f aca="false">IF(L2080="","",INDEX(ポート振替表!$B$5:$B$3507,$L2080)&amp;" "&amp;INDEX(ポート振替表!$C$5:$C$3507,$L2080)&amp;"  ⇔  "&amp;INDEX(ポート振替表!$H$5:$H$3507,$L2080)&amp;" "&amp;INDEX(ポート振替表!$I$5:$I$3507,$L2080))</f>
        <v/>
      </c>
      <c r="D2080" s="57" t="s">
        <v>158</v>
      </c>
      <c r="E2080" s="59" t="str">
        <f aca="false">IF(L2080="","",IF(INDEX(ポート振替表!$O$5:$O$3507,$L2080)="","(未設定)",INDEX(ポート振替表!$O$5:$O$3507,$L2080)&amp;""))</f>
        <v/>
      </c>
      <c r="F2080" s="52" t="str">
        <f aca="false">IF(L2080="","",INDEX(ポート振替表!$K$5:$K$3507,$L2080)&amp;" "&amp;INDEX(ポート振替表!$L$5:$L$3507,$L2080)&amp;"  ⇔  "&amp;INDEX(ポート振替表!$H$5:$H$3507,$L2080)&amp;" "&amp;INDEX(ポート振替表!$I$5:$I$3507,$L2080))</f>
        <v/>
      </c>
      <c r="G2080" s="57" t="s">
        <v>158</v>
      </c>
      <c r="H2080" s="32" t="str">
        <f aca="false">IF(L2080="","",INDEX(ポート振替表!$N$5:$N$3507,$L2080)&amp;"")</f>
        <v/>
      </c>
      <c r="I2080" s="32" t="str">
        <f aca="false">IF(L2080="","",INDEX(ポート振替表!$P$5:$P$3507,$L2080)&amp;"")</f>
        <v/>
      </c>
      <c r="J2080" s="60" t="str">
        <f aca="false">IF(L2080="","",INDEX(ポート振替表!$M$5:$M$3507,$L2080)&amp;"")</f>
        <v/>
      </c>
      <c r="K2080" s="52" t="str">
        <f aca="false">IF(L2080="","",E2080&amp;CHAR(10)&amp;INDEX(ポート振替表!$K$5:$K$3507,$L2080)&amp;" "&amp;INDEX(ポート振替表!$L$5:$L$3507,$L2080)&amp;CHAR(10)&amp;"⇔ "&amp;INDEX(ポート振替表!$H$5:$H$3507,$L2080)&amp;" "&amp;INDEX(ポート振替表!$I$5:$I$3507,$L2080))</f>
        <v/>
      </c>
      <c r="L2080" s="47" t="str">
        <f aca="false">IFERROR(MATCH(ROW()-4,ポート振替表!$V$5:$V$3507,0),"")</f>
        <v/>
      </c>
    </row>
    <row r="2081" customFormat="false" ht="16.4" hidden="false" customHeight="false" outlineLevel="0" collapsed="false">
      <c r="A2081" s="32" t="str">
        <f aca="false">IF(L2081="","",ROW()-4)</f>
        <v/>
      </c>
      <c r="B2081" s="58" t="str">
        <f aca="false">IF(L2081="","",IF(INDEX(ポート振替表!$W$5:$W$3507,$L2081)="","(なし)",INDEX(ポート振替表!$W$5:$W$3507,$L2081)&amp;""))</f>
        <v/>
      </c>
      <c r="C2081" s="52" t="str">
        <f aca="false">IF(L2081="","",INDEX(ポート振替表!$B$5:$B$3507,$L2081)&amp;" "&amp;INDEX(ポート振替表!$C$5:$C$3507,$L2081)&amp;"  ⇔  "&amp;INDEX(ポート振替表!$H$5:$H$3507,$L2081)&amp;" "&amp;INDEX(ポート振替表!$I$5:$I$3507,$L2081))</f>
        <v/>
      </c>
      <c r="D2081" s="57" t="s">
        <v>158</v>
      </c>
      <c r="E2081" s="59" t="str">
        <f aca="false">IF(L2081="","",IF(INDEX(ポート振替表!$O$5:$O$3507,$L2081)="","(未設定)",INDEX(ポート振替表!$O$5:$O$3507,$L2081)&amp;""))</f>
        <v/>
      </c>
      <c r="F2081" s="52" t="str">
        <f aca="false">IF(L2081="","",INDEX(ポート振替表!$K$5:$K$3507,$L2081)&amp;" "&amp;INDEX(ポート振替表!$L$5:$L$3507,$L2081)&amp;"  ⇔  "&amp;INDEX(ポート振替表!$H$5:$H$3507,$L2081)&amp;" "&amp;INDEX(ポート振替表!$I$5:$I$3507,$L2081))</f>
        <v/>
      </c>
      <c r="G2081" s="57" t="s">
        <v>158</v>
      </c>
      <c r="H2081" s="32" t="str">
        <f aca="false">IF(L2081="","",INDEX(ポート振替表!$N$5:$N$3507,$L2081)&amp;"")</f>
        <v/>
      </c>
      <c r="I2081" s="32" t="str">
        <f aca="false">IF(L2081="","",INDEX(ポート振替表!$P$5:$P$3507,$L2081)&amp;"")</f>
        <v/>
      </c>
      <c r="J2081" s="60" t="str">
        <f aca="false">IF(L2081="","",INDEX(ポート振替表!$M$5:$M$3507,$L2081)&amp;"")</f>
        <v/>
      </c>
      <c r="K2081" s="52" t="str">
        <f aca="false">IF(L2081="","",E2081&amp;CHAR(10)&amp;INDEX(ポート振替表!$K$5:$K$3507,$L2081)&amp;" "&amp;INDEX(ポート振替表!$L$5:$L$3507,$L2081)&amp;CHAR(10)&amp;"⇔ "&amp;INDEX(ポート振替表!$H$5:$H$3507,$L2081)&amp;" "&amp;INDEX(ポート振替表!$I$5:$I$3507,$L2081))</f>
        <v/>
      </c>
      <c r="L2081" s="47" t="str">
        <f aca="false">IFERROR(MATCH(ROW()-4,ポート振替表!$V$5:$V$3507,0),"")</f>
        <v/>
      </c>
    </row>
    <row r="2082" customFormat="false" ht="16.4" hidden="false" customHeight="false" outlineLevel="0" collapsed="false">
      <c r="A2082" s="32" t="str">
        <f aca="false">IF(L2082="","",ROW()-4)</f>
        <v/>
      </c>
      <c r="B2082" s="58" t="str">
        <f aca="false">IF(L2082="","",IF(INDEX(ポート振替表!$W$5:$W$3507,$L2082)="","(なし)",INDEX(ポート振替表!$W$5:$W$3507,$L2082)&amp;""))</f>
        <v/>
      </c>
      <c r="C2082" s="52" t="str">
        <f aca="false">IF(L2082="","",INDEX(ポート振替表!$B$5:$B$3507,$L2082)&amp;" "&amp;INDEX(ポート振替表!$C$5:$C$3507,$L2082)&amp;"  ⇔  "&amp;INDEX(ポート振替表!$H$5:$H$3507,$L2082)&amp;" "&amp;INDEX(ポート振替表!$I$5:$I$3507,$L2082))</f>
        <v/>
      </c>
      <c r="D2082" s="57" t="s">
        <v>158</v>
      </c>
      <c r="E2082" s="59" t="str">
        <f aca="false">IF(L2082="","",IF(INDEX(ポート振替表!$O$5:$O$3507,$L2082)="","(未設定)",INDEX(ポート振替表!$O$5:$O$3507,$L2082)&amp;""))</f>
        <v/>
      </c>
      <c r="F2082" s="52" t="str">
        <f aca="false">IF(L2082="","",INDEX(ポート振替表!$K$5:$K$3507,$L2082)&amp;" "&amp;INDEX(ポート振替表!$L$5:$L$3507,$L2082)&amp;"  ⇔  "&amp;INDEX(ポート振替表!$H$5:$H$3507,$L2082)&amp;" "&amp;INDEX(ポート振替表!$I$5:$I$3507,$L2082))</f>
        <v/>
      </c>
      <c r="G2082" s="57" t="s">
        <v>158</v>
      </c>
      <c r="H2082" s="32" t="str">
        <f aca="false">IF(L2082="","",INDEX(ポート振替表!$N$5:$N$3507,$L2082)&amp;"")</f>
        <v/>
      </c>
      <c r="I2082" s="32" t="str">
        <f aca="false">IF(L2082="","",INDEX(ポート振替表!$P$5:$P$3507,$L2082)&amp;"")</f>
        <v/>
      </c>
      <c r="J2082" s="60" t="str">
        <f aca="false">IF(L2082="","",INDEX(ポート振替表!$M$5:$M$3507,$L2082)&amp;"")</f>
        <v/>
      </c>
      <c r="K2082" s="52" t="str">
        <f aca="false">IF(L2082="","",E2082&amp;CHAR(10)&amp;INDEX(ポート振替表!$K$5:$K$3507,$L2082)&amp;" "&amp;INDEX(ポート振替表!$L$5:$L$3507,$L2082)&amp;CHAR(10)&amp;"⇔ "&amp;INDEX(ポート振替表!$H$5:$H$3507,$L2082)&amp;" "&amp;INDEX(ポート振替表!$I$5:$I$3507,$L2082))</f>
        <v/>
      </c>
      <c r="L2082" s="47" t="str">
        <f aca="false">IFERROR(MATCH(ROW()-4,ポート振替表!$V$5:$V$3507,0),"")</f>
        <v/>
      </c>
    </row>
    <row r="2083" customFormat="false" ht="16.4" hidden="false" customHeight="false" outlineLevel="0" collapsed="false">
      <c r="A2083" s="32" t="str">
        <f aca="false">IF(L2083="","",ROW()-4)</f>
        <v/>
      </c>
      <c r="B2083" s="58" t="str">
        <f aca="false">IF(L2083="","",IF(INDEX(ポート振替表!$W$5:$W$3507,$L2083)="","(なし)",INDEX(ポート振替表!$W$5:$W$3507,$L2083)&amp;""))</f>
        <v/>
      </c>
      <c r="C2083" s="52" t="str">
        <f aca="false">IF(L2083="","",INDEX(ポート振替表!$B$5:$B$3507,$L2083)&amp;" "&amp;INDEX(ポート振替表!$C$5:$C$3507,$L2083)&amp;"  ⇔  "&amp;INDEX(ポート振替表!$H$5:$H$3507,$L2083)&amp;" "&amp;INDEX(ポート振替表!$I$5:$I$3507,$L2083))</f>
        <v/>
      </c>
      <c r="D2083" s="57" t="s">
        <v>158</v>
      </c>
      <c r="E2083" s="59" t="str">
        <f aca="false">IF(L2083="","",IF(INDEX(ポート振替表!$O$5:$O$3507,$L2083)="","(未設定)",INDEX(ポート振替表!$O$5:$O$3507,$L2083)&amp;""))</f>
        <v/>
      </c>
      <c r="F2083" s="52" t="str">
        <f aca="false">IF(L2083="","",INDEX(ポート振替表!$K$5:$K$3507,$L2083)&amp;" "&amp;INDEX(ポート振替表!$L$5:$L$3507,$L2083)&amp;"  ⇔  "&amp;INDEX(ポート振替表!$H$5:$H$3507,$L2083)&amp;" "&amp;INDEX(ポート振替表!$I$5:$I$3507,$L2083))</f>
        <v/>
      </c>
      <c r="G2083" s="57" t="s">
        <v>158</v>
      </c>
      <c r="H2083" s="32" t="str">
        <f aca="false">IF(L2083="","",INDEX(ポート振替表!$N$5:$N$3507,$L2083)&amp;"")</f>
        <v/>
      </c>
      <c r="I2083" s="32" t="str">
        <f aca="false">IF(L2083="","",INDEX(ポート振替表!$P$5:$P$3507,$L2083)&amp;"")</f>
        <v/>
      </c>
      <c r="J2083" s="60" t="str">
        <f aca="false">IF(L2083="","",INDEX(ポート振替表!$M$5:$M$3507,$L2083)&amp;"")</f>
        <v/>
      </c>
      <c r="K2083" s="52" t="str">
        <f aca="false">IF(L2083="","",E2083&amp;CHAR(10)&amp;INDEX(ポート振替表!$K$5:$K$3507,$L2083)&amp;" "&amp;INDEX(ポート振替表!$L$5:$L$3507,$L2083)&amp;CHAR(10)&amp;"⇔ "&amp;INDEX(ポート振替表!$H$5:$H$3507,$L2083)&amp;" "&amp;INDEX(ポート振替表!$I$5:$I$3507,$L2083))</f>
        <v/>
      </c>
      <c r="L2083" s="47" t="str">
        <f aca="false">IFERROR(MATCH(ROW()-4,ポート振替表!$V$5:$V$3507,0),"")</f>
        <v/>
      </c>
    </row>
    <row r="2084" customFormat="false" ht="16.4" hidden="false" customHeight="false" outlineLevel="0" collapsed="false">
      <c r="A2084" s="32" t="str">
        <f aca="false">IF(L2084="","",ROW()-4)</f>
        <v/>
      </c>
      <c r="B2084" s="58" t="str">
        <f aca="false">IF(L2084="","",IF(INDEX(ポート振替表!$W$5:$W$3507,$L2084)="","(なし)",INDEX(ポート振替表!$W$5:$W$3507,$L2084)&amp;""))</f>
        <v/>
      </c>
      <c r="C2084" s="52" t="str">
        <f aca="false">IF(L2084="","",INDEX(ポート振替表!$B$5:$B$3507,$L2084)&amp;" "&amp;INDEX(ポート振替表!$C$5:$C$3507,$L2084)&amp;"  ⇔  "&amp;INDEX(ポート振替表!$H$5:$H$3507,$L2084)&amp;" "&amp;INDEX(ポート振替表!$I$5:$I$3507,$L2084))</f>
        <v/>
      </c>
      <c r="D2084" s="57" t="s">
        <v>158</v>
      </c>
      <c r="E2084" s="59" t="str">
        <f aca="false">IF(L2084="","",IF(INDEX(ポート振替表!$O$5:$O$3507,$L2084)="","(未設定)",INDEX(ポート振替表!$O$5:$O$3507,$L2084)&amp;""))</f>
        <v/>
      </c>
      <c r="F2084" s="52" t="str">
        <f aca="false">IF(L2084="","",INDEX(ポート振替表!$K$5:$K$3507,$L2084)&amp;" "&amp;INDEX(ポート振替表!$L$5:$L$3507,$L2084)&amp;"  ⇔  "&amp;INDEX(ポート振替表!$H$5:$H$3507,$L2084)&amp;" "&amp;INDEX(ポート振替表!$I$5:$I$3507,$L2084))</f>
        <v/>
      </c>
      <c r="G2084" s="57" t="s">
        <v>158</v>
      </c>
      <c r="H2084" s="32" t="str">
        <f aca="false">IF(L2084="","",INDEX(ポート振替表!$N$5:$N$3507,$L2084)&amp;"")</f>
        <v/>
      </c>
      <c r="I2084" s="32" t="str">
        <f aca="false">IF(L2084="","",INDEX(ポート振替表!$P$5:$P$3507,$L2084)&amp;"")</f>
        <v/>
      </c>
      <c r="J2084" s="60" t="str">
        <f aca="false">IF(L2084="","",INDEX(ポート振替表!$M$5:$M$3507,$L2084)&amp;"")</f>
        <v/>
      </c>
      <c r="K2084" s="52" t="str">
        <f aca="false">IF(L2084="","",E2084&amp;CHAR(10)&amp;INDEX(ポート振替表!$K$5:$K$3507,$L2084)&amp;" "&amp;INDEX(ポート振替表!$L$5:$L$3507,$L2084)&amp;CHAR(10)&amp;"⇔ "&amp;INDEX(ポート振替表!$H$5:$H$3507,$L2084)&amp;" "&amp;INDEX(ポート振替表!$I$5:$I$3507,$L2084))</f>
        <v/>
      </c>
      <c r="L2084" s="47" t="str">
        <f aca="false">IFERROR(MATCH(ROW()-4,ポート振替表!$V$5:$V$3507,0),"")</f>
        <v/>
      </c>
    </row>
    <row r="2085" customFormat="false" ht="16.4" hidden="false" customHeight="false" outlineLevel="0" collapsed="false">
      <c r="A2085" s="32" t="str">
        <f aca="false">IF(L2085="","",ROW()-4)</f>
        <v/>
      </c>
      <c r="B2085" s="58" t="str">
        <f aca="false">IF(L2085="","",IF(INDEX(ポート振替表!$W$5:$W$3507,$L2085)="","(なし)",INDEX(ポート振替表!$W$5:$W$3507,$L2085)&amp;""))</f>
        <v/>
      </c>
      <c r="C2085" s="52" t="str">
        <f aca="false">IF(L2085="","",INDEX(ポート振替表!$B$5:$B$3507,$L2085)&amp;" "&amp;INDEX(ポート振替表!$C$5:$C$3507,$L2085)&amp;"  ⇔  "&amp;INDEX(ポート振替表!$H$5:$H$3507,$L2085)&amp;" "&amp;INDEX(ポート振替表!$I$5:$I$3507,$L2085))</f>
        <v/>
      </c>
      <c r="D2085" s="57" t="s">
        <v>158</v>
      </c>
      <c r="E2085" s="59" t="str">
        <f aca="false">IF(L2085="","",IF(INDEX(ポート振替表!$O$5:$O$3507,$L2085)="","(未設定)",INDEX(ポート振替表!$O$5:$O$3507,$L2085)&amp;""))</f>
        <v/>
      </c>
      <c r="F2085" s="52" t="str">
        <f aca="false">IF(L2085="","",INDEX(ポート振替表!$K$5:$K$3507,$L2085)&amp;" "&amp;INDEX(ポート振替表!$L$5:$L$3507,$L2085)&amp;"  ⇔  "&amp;INDEX(ポート振替表!$H$5:$H$3507,$L2085)&amp;" "&amp;INDEX(ポート振替表!$I$5:$I$3507,$L2085))</f>
        <v/>
      </c>
      <c r="G2085" s="57" t="s">
        <v>158</v>
      </c>
      <c r="H2085" s="32" t="str">
        <f aca="false">IF(L2085="","",INDEX(ポート振替表!$N$5:$N$3507,$L2085)&amp;"")</f>
        <v/>
      </c>
      <c r="I2085" s="32" t="str">
        <f aca="false">IF(L2085="","",INDEX(ポート振替表!$P$5:$P$3507,$L2085)&amp;"")</f>
        <v/>
      </c>
      <c r="J2085" s="60" t="str">
        <f aca="false">IF(L2085="","",INDEX(ポート振替表!$M$5:$M$3507,$L2085)&amp;"")</f>
        <v/>
      </c>
      <c r="K2085" s="52" t="str">
        <f aca="false">IF(L2085="","",E2085&amp;CHAR(10)&amp;INDEX(ポート振替表!$K$5:$K$3507,$L2085)&amp;" "&amp;INDEX(ポート振替表!$L$5:$L$3507,$L2085)&amp;CHAR(10)&amp;"⇔ "&amp;INDEX(ポート振替表!$H$5:$H$3507,$L2085)&amp;" "&amp;INDEX(ポート振替表!$I$5:$I$3507,$L2085))</f>
        <v/>
      </c>
      <c r="L2085" s="47" t="str">
        <f aca="false">IFERROR(MATCH(ROW()-4,ポート振替表!$V$5:$V$3507,0),"")</f>
        <v/>
      </c>
    </row>
    <row r="2086" customFormat="false" ht="16.4" hidden="false" customHeight="false" outlineLevel="0" collapsed="false">
      <c r="A2086" s="32" t="str">
        <f aca="false">IF(L2086="","",ROW()-4)</f>
        <v/>
      </c>
      <c r="B2086" s="58" t="str">
        <f aca="false">IF(L2086="","",IF(INDEX(ポート振替表!$W$5:$W$3507,$L2086)="","(なし)",INDEX(ポート振替表!$W$5:$W$3507,$L2086)&amp;""))</f>
        <v/>
      </c>
      <c r="C2086" s="52" t="str">
        <f aca="false">IF(L2086="","",INDEX(ポート振替表!$B$5:$B$3507,$L2086)&amp;" "&amp;INDEX(ポート振替表!$C$5:$C$3507,$L2086)&amp;"  ⇔  "&amp;INDEX(ポート振替表!$H$5:$H$3507,$L2086)&amp;" "&amp;INDEX(ポート振替表!$I$5:$I$3507,$L2086))</f>
        <v/>
      </c>
      <c r="D2086" s="57" t="s">
        <v>158</v>
      </c>
      <c r="E2086" s="59" t="str">
        <f aca="false">IF(L2086="","",IF(INDEX(ポート振替表!$O$5:$O$3507,$L2086)="","(未設定)",INDEX(ポート振替表!$O$5:$O$3507,$L2086)&amp;""))</f>
        <v/>
      </c>
      <c r="F2086" s="52" t="str">
        <f aca="false">IF(L2086="","",INDEX(ポート振替表!$K$5:$K$3507,$L2086)&amp;" "&amp;INDEX(ポート振替表!$L$5:$L$3507,$L2086)&amp;"  ⇔  "&amp;INDEX(ポート振替表!$H$5:$H$3507,$L2086)&amp;" "&amp;INDEX(ポート振替表!$I$5:$I$3507,$L2086))</f>
        <v/>
      </c>
      <c r="G2086" s="57" t="s">
        <v>158</v>
      </c>
      <c r="H2086" s="32" t="str">
        <f aca="false">IF(L2086="","",INDEX(ポート振替表!$N$5:$N$3507,$L2086)&amp;"")</f>
        <v/>
      </c>
      <c r="I2086" s="32" t="str">
        <f aca="false">IF(L2086="","",INDEX(ポート振替表!$P$5:$P$3507,$L2086)&amp;"")</f>
        <v/>
      </c>
      <c r="J2086" s="60" t="str">
        <f aca="false">IF(L2086="","",INDEX(ポート振替表!$M$5:$M$3507,$L2086)&amp;"")</f>
        <v/>
      </c>
      <c r="K2086" s="52" t="str">
        <f aca="false">IF(L2086="","",E2086&amp;CHAR(10)&amp;INDEX(ポート振替表!$K$5:$K$3507,$L2086)&amp;" "&amp;INDEX(ポート振替表!$L$5:$L$3507,$L2086)&amp;CHAR(10)&amp;"⇔ "&amp;INDEX(ポート振替表!$H$5:$H$3507,$L2086)&amp;" "&amp;INDEX(ポート振替表!$I$5:$I$3507,$L2086))</f>
        <v/>
      </c>
      <c r="L2086" s="47" t="str">
        <f aca="false">IFERROR(MATCH(ROW()-4,ポート振替表!$V$5:$V$3507,0),"")</f>
        <v/>
      </c>
    </row>
    <row r="2087" customFormat="false" ht="16.4" hidden="false" customHeight="false" outlineLevel="0" collapsed="false">
      <c r="A2087" s="32" t="str">
        <f aca="false">IF(L2087="","",ROW()-4)</f>
        <v/>
      </c>
      <c r="B2087" s="58" t="str">
        <f aca="false">IF(L2087="","",IF(INDEX(ポート振替表!$W$5:$W$3507,$L2087)="","(なし)",INDEX(ポート振替表!$W$5:$W$3507,$L2087)&amp;""))</f>
        <v/>
      </c>
      <c r="C2087" s="52" t="str">
        <f aca="false">IF(L2087="","",INDEX(ポート振替表!$B$5:$B$3507,$L2087)&amp;" "&amp;INDEX(ポート振替表!$C$5:$C$3507,$L2087)&amp;"  ⇔  "&amp;INDEX(ポート振替表!$H$5:$H$3507,$L2087)&amp;" "&amp;INDEX(ポート振替表!$I$5:$I$3507,$L2087))</f>
        <v/>
      </c>
      <c r="D2087" s="57" t="s">
        <v>158</v>
      </c>
      <c r="E2087" s="59" t="str">
        <f aca="false">IF(L2087="","",IF(INDEX(ポート振替表!$O$5:$O$3507,$L2087)="","(未設定)",INDEX(ポート振替表!$O$5:$O$3507,$L2087)&amp;""))</f>
        <v/>
      </c>
      <c r="F2087" s="52" t="str">
        <f aca="false">IF(L2087="","",INDEX(ポート振替表!$K$5:$K$3507,$L2087)&amp;" "&amp;INDEX(ポート振替表!$L$5:$L$3507,$L2087)&amp;"  ⇔  "&amp;INDEX(ポート振替表!$H$5:$H$3507,$L2087)&amp;" "&amp;INDEX(ポート振替表!$I$5:$I$3507,$L2087))</f>
        <v/>
      </c>
      <c r="G2087" s="57" t="s">
        <v>158</v>
      </c>
      <c r="H2087" s="32" t="str">
        <f aca="false">IF(L2087="","",INDEX(ポート振替表!$N$5:$N$3507,$L2087)&amp;"")</f>
        <v/>
      </c>
      <c r="I2087" s="32" t="str">
        <f aca="false">IF(L2087="","",INDEX(ポート振替表!$P$5:$P$3507,$L2087)&amp;"")</f>
        <v/>
      </c>
      <c r="J2087" s="60" t="str">
        <f aca="false">IF(L2087="","",INDEX(ポート振替表!$M$5:$M$3507,$L2087)&amp;"")</f>
        <v/>
      </c>
      <c r="K2087" s="52" t="str">
        <f aca="false">IF(L2087="","",E2087&amp;CHAR(10)&amp;INDEX(ポート振替表!$K$5:$K$3507,$L2087)&amp;" "&amp;INDEX(ポート振替表!$L$5:$L$3507,$L2087)&amp;CHAR(10)&amp;"⇔ "&amp;INDEX(ポート振替表!$H$5:$H$3507,$L2087)&amp;" "&amp;INDEX(ポート振替表!$I$5:$I$3507,$L2087))</f>
        <v/>
      </c>
      <c r="L2087" s="47" t="str">
        <f aca="false">IFERROR(MATCH(ROW()-4,ポート振替表!$V$5:$V$3507,0),"")</f>
        <v/>
      </c>
    </row>
    <row r="2088" customFormat="false" ht="16.4" hidden="false" customHeight="false" outlineLevel="0" collapsed="false">
      <c r="A2088" s="32" t="str">
        <f aca="false">IF(L2088="","",ROW()-4)</f>
        <v/>
      </c>
      <c r="B2088" s="58" t="str">
        <f aca="false">IF(L2088="","",IF(INDEX(ポート振替表!$W$5:$W$3507,$L2088)="","(なし)",INDEX(ポート振替表!$W$5:$W$3507,$L2088)&amp;""))</f>
        <v/>
      </c>
      <c r="C2088" s="52" t="str">
        <f aca="false">IF(L2088="","",INDEX(ポート振替表!$B$5:$B$3507,$L2088)&amp;" "&amp;INDEX(ポート振替表!$C$5:$C$3507,$L2088)&amp;"  ⇔  "&amp;INDEX(ポート振替表!$H$5:$H$3507,$L2088)&amp;" "&amp;INDEX(ポート振替表!$I$5:$I$3507,$L2088))</f>
        <v/>
      </c>
      <c r="D2088" s="57" t="s">
        <v>158</v>
      </c>
      <c r="E2088" s="59" t="str">
        <f aca="false">IF(L2088="","",IF(INDEX(ポート振替表!$O$5:$O$3507,$L2088)="","(未設定)",INDEX(ポート振替表!$O$5:$O$3507,$L2088)&amp;""))</f>
        <v/>
      </c>
      <c r="F2088" s="52" t="str">
        <f aca="false">IF(L2088="","",INDEX(ポート振替表!$K$5:$K$3507,$L2088)&amp;" "&amp;INDEX(ポート振替表!$L$5:$L$3507,$L2088)&amp;"  ⇔  "&amp;INDEX(ポート振替表!$H$5:$H$3507,$L2088)&amp;" "&amp;INDEX(ポート振替表!$I$5:$I$3507,$L2088))</f>
        <v/>
      </c>
      <c r="G2088" s="57" t="s">
        <v>158</v>
      </c>
      <c r="H2088" s="32" t="str">
        <f aca="false">IF(L2088="","",INDEX(ポート振替表!$N$5:$N$3507,$L2088)&amp;"")</f>
        <v/>
      </c>
      <c r="I2088" s="32" t="str">
        <f aca="false">IF(L2088="","",INDEX(ポート振替表!$P$5:$P$3507,$L2088)&amp;"")</f>
        <v/>
      </c>
      <c r="J2088" s="60" t="str">
        <f aca="false">IF(L2088="","",INDEX(ポート振替表!$M$5:$M$3507,$L2088)&amp;"")</f>
        <v/>
      </c>
      <c r="K2088" s="52" t="str">
        <f aca="false">IF(L2088="","",E2088&amp;CHAR(10)&amp;INDEX(ポート振替表!$K$5:$K$3507,$L2088)&amp;" "&amp;INDEX(ポート振替表!$L$5:$L$3507,$L2088)&amp;CHAR(10)&amp;"⇔ "&amp;INDEX(ポート振替表!$H$5:$H$3507,$L2088)&amp;" "&amp;INDEX(ポート振替表!$I$5:$I$3507,$L2088))</f>
        <v/>
      </c>
      <c r="L2088" s="47" t="str">
        <f aca="false">IFERROR(MATCH(ROW()-4,ポート振替表!$V$5:$V$3507,0),"")</f>
        <v/>
      </c>
    </row>
    <row r="2089" customFormat="false" ht="16.4" hidden="false" customHeight="false" outlineLevel="0" collapsed="false">
      <c r="A2089" s="32" t="str">
        <f aca="false">IF(L2089="","",ROW()-4)</f>
        <v/>
      </c>
      <c r="B2089" s="58" t="str">
        <f aca="false">IF(L2089="","",IF(INDEX(ポート振替表!$W$5:$W$3507,$L2089)="","(なし)",INDEX(ポート振替表!$W$5:$W$3507,$L2089)&amp;""))</f>
        <v/>
      </c>
      <c r="C2089" s="52" t="str">
        <f aca="false">IF(L2089="","",INDEX(ポート振替表!$B$5:$B$3507,$L2089)&amp;" "&amp;INDEX(ポート振替表!$C$5:$C$3507,$L2089)&amp;"  ⇔  "&amp;INDEX(ポート振替表!$H$5:$H$3507,$L2089)&amp;" "&amp;INDEX(ポート振替表!$I$5:$I$3507,$L2089))</f>
        <v/>
      </c>
      <c r="D2089" s="57" t="s">
        <v>158</v>
      </c>
      <c r="E2089" s="59" t="str">
        <f aca="false">IF(L2089="","",IF(INDEX(ポート振替表!$O$5:$O$3507,$L2089)="","(未設定)",INDEX(ポート振替表!$O$5:$O$3507,$L2089)&amp;""))</f>
        <v/>
      </c>
      <c r="F2089" s="52" t="str">
        <f aca="false">IF(L2089="","",INDEX(ポート振替表!$K$5:$K$3507,$L2089)&amp;" "&amp;INDEX(ポート振替表!$L$5:$L$3507,$L2089)&amp;"  ⇔  "&amp;INDEX(ポート振替表!$H$5:$H$3507,$L2089)&amp;" "&amp;INDEX(ポート振替表!$I$5:$I$3507,$L2089))</f>
        <v/>
      </c>
      <c r="G2089" s="57" t="s">
        <v>158</v>
      </c>
      <c r="H2089" s="32" t="str">
        <f aca="false">IF(L2089="","",INDEX(ポート振替表!$N$5:$N$3507,$L2089)&amp;"")</f>
        <v/>
      </c>
      <c r="I2089" s="32" t="str">
        <f aca="false">IF(L2089="","",INDEX(ポート振替表!$P$5:$P$3507,$L2089)&amp;"")</f>
        <v/>
      </c>
      <c r="J2089" s="60" t="str">
        <f aca="false">IF(L2089="","",INDEX(ポート振替表!$M$5:$M$3507,$L2089)&amp;"")</f>
        <v/>
      </c>
      <c r="K2089" s="52" t="str">
        <f aca="false">IF(L2089="","",E2089&amp;CHAR(10)&amp;INDEX(ポート振替表!$K$5:$K$3507,$L2089)&amp;" "&amp;INDEX(ポート振替表!$L$5:$L$3507,$L2089)&amp;CHAR(10)&amp;"⇔ "&amp;INDEX(ポート振替表!$H$5:$H$3507,$L2089)&amp;" "&amp;INDEX(ポート振替表!$I$5:$I$3507,$L2089))</f>
        <v/>
      </c>
      <c r="L2089" s="47" t="str">
        <f aca="false">IFERROR(MATCH(ROW()-4,ポート振替表!$V$5:$V$3507,0),"")</f>
        <v/>
      </c>
    </row>
    <row r="2090" customFormat="false" ht="16.4" hidden="false" customHeight="false" outlineLevel="0" collapsed="false">
      <c r="A2090" s="32" t="str">
        <f aca="false">IF(L2090="","",ROW()-4)</f>
        <v/>
      </c>
      <c r="B2090" s="58" t="str">
        <f aca="false">IF(L2090="","",IF(INDEX(ポート振替表!$W$5:$W$3507,$L2090)="","(なし)",INDEX(ポート振替表!$W$5:$W$3507,$L2090)&amp;""))</f>
        <v/>
      </c>
      <c r="C2090" s="52" t="str">
        <f aca="false">IF(L2090="","",INDEX(ポート振替表!$B$5:$B$3507,$L2090)&amp;" "&amp;INDEX(ポート振替表!$C$5:$C$3507,$L2090)&amp;"  ⇔  "&amp;INDEX(ポート振替表!$H$5:$H$3507,$L2090)&amp;" "&amp;INDEX(ポート振替表!$I$5:$I$3507,$L2090))</f>
        <v/>
      </c>
      <c r="D2090" s="57" t="s">
        <v>158</v>
      </c>
      <c r="E2090" s="59" t="str">
        <f aca="false">IF(L2090="","",IF(INDEX(ポート振替表!$O$5:$O$3507,$L2090)="","(未設定)",INDEX(ポート振替表!$O$5:$O$3507,$L2090)&amp;""))</f>
        <v/>
      </c>
      <c r="F2090" s="52" t="str">
        <f aca="false">IF(L2090="","",INDEX(ポート振替表!$K$5:$K$3507,$L2090)&amp;" "&amp;INDEX(ポート振替表!$L$5:$L$3507,$L2090)&amp;"  ⇔  "&amp;INDEX(ポート振替表!$H$5:$H$3507,$L2090)&amp;" "&amp;INDEX(ポート振替表!$I$5:$I$3507,$L2090))</f>
        <v/>
      </c>
      <c r="G2090" s="57" t="s">
        <v>158</v>
      </c>
      <c r="H2090" s="32" t="str">
        <f aca="false">IF(L2090="","",INDEX(ポート振替表!$N$5:$N$3507,$L2090)&amp;"")</f>
        <v/>
      </c>
      <c r="I2090" s="32" t="str">
        <f aca="false">IF(L2090="","",INDEX(ポート振替表!$P$5:$P$3507,$L2090)&amp;"")</f>
        <v/>
      </c>
      <c r="J2090" s="60" t="str">
        <f aca="false">IF(L2090="","",INDEX(ポート振替表!$M$5:$M$3507,$L2090)&amp;"")</f>
        <v/>
      </c>
      <c r="K2090" s="52" t="str">
        <f aca="false">IF(L2090="","",E2090&amp;CHAR(10)&amp;INDEX(ポート振替表!$K$5:$K$3507,$L2090)&amp;" "&amp;INDEX(ポート振替表!$L$5:$L$3507,$L2090)&amp;CHAR(10)&amp;"⇔ "&amp;INDEX(ポート振替表!$H$5:$H$3507,$L2090)&amp;" "&amp;INDEX(ポート振替表!$I$5:$I$3507,$L2090))</f>
        <v/>
      </c>
      <c r="L2090" s="47" t="str">
        <f aca="false">IFERROR(MATCH(ROW()-4,ポート振替表!$V$5:$V$3507,0),"")</f>
        <v/>
      </c>
    </row>
    <row r="2091" customFormat="false" ht="16.4" hidden="false" customHeight="false" outlineLevel="0" collapsed="false">
      <c r="A2091" s="32" t="str">
        <f aca="false">IF(L2091="","",ROW()-4)</f>
        <v/>
      </c>
      <c r="B2091" s="58" t="str">
        <f aca="false">IF(L2091="","",IF(INDEX(ポート振替表!$W$5:$W$3507,$L2091)="","(なし)",INDEX(ポート振替表!$W$5:$W$3507,$L2091)&amp;""))</f>
        <v/>
      </c>
      <c r="C2091" s="52" t="str">
        <f aca="false">IF(L2091="","",INDEX(ポート振替表!$B$5:$B$3507,$L2091)&amp;" "&amp;INDEX(ポート振替表!$C$5:$C$3507,$L2091)&amp;"  ⇔  "&amp;INDEX(ポート振替表!$H$5:$H$3507,$L2091)&amp;" "&amp;INDEX(ポート振替表!$I$5:$I$3507,$L2091))</f>
        <v/>
      </c>
      <c r="D2091" s="57" t="s">
        <v>158</v>
      </c>
      <c r="E2091" s="59" t="str">
        <f aca="false">IF(L2091="","",IF(INDEX(ポート振替表!$O$5:$O$3507,$L2091)="","(未設定)",INDEX(ポート振替表!$O$5:$O$3507,$L2091)&amp;""))</f>
        <v/>
      </c>
      <c r="F2091" s="52" t="str">
        <f aca="false">IF(L2091="","",INDEX(ポート振替表!$K$5:$K$3507,$L2091)&amp;" "&amp;INDEX(ポート振替表!$L$5:$L$3507,$L2091)&amp;"  ⇔  "&amp;INDEX(ポート振替表!$H$5:$H$3507,$L2091)&amp;" "&amp;INDEX(ポート振替表!$I$5:$I$3507,$L2091))</f>
        <v/>
      </c>
      <c r="G2091" s="57" t="s">
        <v>158</v>
      </c>
      <c r="H2091" s="32" t="str">
        <f aca="false">IF(L2091="","",INDEX(ポート振替表!$N$5:$N$3507,$L2091)&amp;"")</f>
        <v/>
      </c>
      <c r="I2091" s="32" t="str">
        <f aca="false">IF(L2091="","",INDEX(ポート振替表!$P$5:$P$3507,$L2091)&amp;"")</f>
        <v/>
      </c>
      <c r="J2091" s="60" t="str">
        <f aca="false">IF(L2091="","",INDEX(ポート振替表!$M$5:$M$3507,$L2091)&amp;"")</f>
        <v/>
      </c>
      <c r="K2091" s="52" t="str">
        <f aca="false">IF(L2091="","",E2091&amp;CHAR(10)&amp;INDEX(ポート振替表!$K$5:$K$3507,$L2091)&amp;" "&amp;INDEX(ポート振替表!$L$5:$L$3507,$L2091)&amp;CHAR(10)&amp;"⇔ "&amp;INDEX(ポート振替表!$H$5:$H$3507,$L2091)&amp;" "&amp;INDEX(ポート振替表!$I$5:$I$3507,$L2091))</f>
        <v/>
      </c>
      <c r="L2091" s="47" t="str">
        <f aca="false">IFERROR(MATCH(ROW()-4,ポート振替表!$V$5:$V$3507,0),"")</f>
        <v/>
      </c>
    </row>
    <row r="2092" customFormat="false" ht="16.4" hidden="false" customHeight="false" outlineLevel="0" collapsed="false">
      <c r="A2092" s="32" t="str">
        <f aca="false">IF(L2092="","",ROW()-4)</f>
        <v/>
      </c>
      <c r="B2092" s="58" t="str">
        <f aca="false">IF(L2092="","",IF(INDEX(ポート振替表!$W$5:$W$3507,$L2092)="","(なし)",INDEX(ポート振替表!$W$5:$W$3507,$L2092)&amp;""))</f>
        <v/>
      </c>
      <c r="C2092" s="52" t="str">
        <f aca="false">IF(L2092="","",INDEX(ポート振替表!$B$5:$B$3507,$L2092)&amp;" "&amp;INDEX(ポート振替表!$C$5:$C$3507,$L2092)&amp;"  ⇔  "&amp;INDEX(ポート振替表!$H$5:$H$3507,$L2092)&amp;" "&amp;INDEX(ポート振替表!$I$5:$I$3507,$L2092))</f>
        <v/>
      </c>
      <c r="D2092" s="57" t="s">
        <v>158</v>
      </c>
      <c r="E2092" s="59" t="str">
        <f aca="false">IF(L2092="","",IF(INDEX(ポート振替表!$O$5:$O$3507,$L2092)="","(未設定)",INDEX(ポート振替表!$O$5:$O$3507,$L2092)&amp;""))</f>
        <v/>
      </c>
      <c r="F2092" s="52" t="str">
        <f aca="false">IF(L2092="","",INDEX(ポート振替表!$K$5:$K$3507,$L2092)&amp;" "&amp;INDEX(ポート振替表!$L$5:$L$3507,$L2092)&amp;"  ⇔  "&amp;INDEX(ポート振替表!$H$5:$H$3507,$L2092)&amp;" "&amp;INDEX(ポート振替表!$I$5:$I$3507,$L2092))</f>
        <v/>
      </c>
      <c r="G2092" s="57" t="s">
        <v>158</v>
      </c>
      <c r="H2092" s="32" t="str">
        <f aca="false">IF(L2092="","",INDEX(ポート振替表!$N$5:$N$3507,$L2092)&amp;"")</f>
        <v/>
      </c>
      <c r="I2092" s="32" t="str">
        <f aca="false">IF(L2092="","",INDEX(ポート振替表!$P$5:$P$3507,$L2092)&amp;"")</f>
        <v/>
      </c>
      <c r="J2092" s="60" t="str">
        <f aca="false">IF(L2092="","",INDEX(ポート振替表!$M$5:$M$3507,$L2092)&amp;"")</f>
        <v/>
      </c>
      <c r="K2092" s="52" t="str">
        <f aca="false">IF(L2092="","",E2092&amp;CHAR(10)&amp;INDEX(ポート振替表!$K$5:$K$3507,$L2092)&amp;" "&amp;INDEX(ポート振替表!$L$5:$L$3507,$L2092)&amp;CHAR(10)&amp;"⇔ "&amp;INDEX(ポート振替表!$H$5:$H$3507,$L2092)&amp;" "&amp;INDEX(ポート振替表!$I$5:$I$3507,$L2092))</f>
        <v/>
      </c>
      <c r="L2092" s="47" t="str">
        <f aca="false">IFERROR(MATCH(ROW()-4,ポート振替表!$V$5:$V$3507,0),"")</f>
        <v/>
      </c>
    </row>
    <row r="2093" customFormat="false" ht="16.4" hidden="false" customHeight="false" outlineLevel="0" collapsed="false">
      <c r="A2093" s="32" t="str">
        <f aca="false">IF(L2093="","",ROW()-4)</f>
        <v/>
      </c>
      <c r="B2093" s="58" t="str">
        <f aca="false">IF(L2093="","",IF(INDEX(ポート振替表!$W$5:$W$3507,$L2093)="","(なし)",INDEX(ポート振替表!$W$5:$W$3507,$L2093)&amp;""))</f>
        <v/>
      </c>
      <c r="C2093" s="52" t="str">
        <f aca="false">IF(L2093="","",INDEX(ポート振替表!$B$5:$B$3507,$L2093)&amp;" "&amp;INDEX(ポート振替表!$C$5:$C$3507,$L2093)&amp;"  ⇔  "&amp;INDEX(ポート振替表!$H$5:$H$3507,$L2093)&amp;" "&amp;INDEX(ポート振替表!$I$5:$I$3507,$L2093))</f>
        <v/>
      </c>
      <c r="D2093" s="57" t="s">
        <v>158</v>
      </c>
      <c r="E2093" s="59" t="str">
        <f aca="false">IF(L2093="","",IF(INDEX(ポート振替表!$O$5:$O$3507,$L2093)="","(未設定)",INDEX(ポート振替表!$O$5:$O$3507,$L2093)&amp;""))</f>
        <v/>
      </c>
      <c r="F2093" s="52" t="str">
        <f aca="false">IF(L2093="","",INDEX(ポート振替表!$K$5:$K$3507,$L2093)&amp;" "&amp;INDEX(ポート振替表!$L$5:$L$3507,$L2093)&amp;"  ⇔  "&amp;INDEX(ポート振替表!$H$5:$H$3507,$L2093)&amp;" "&amp;INDEX(ポート振替表!$I$5:$I$3507,$L2093))</f>
        <v/>
      </c>
      <c r="G2093" s="57" t="s">
        <v>158</v>
      </c>
      <c r="H2093" s="32" t="str">
        <f aca="false">IF(L2093="","",INDEX(ポート振替表!$N$5:$N$3507,$L2093)&amp;"")</f>
        <v/>
      </c>
      <c r="I2093" s="32" t="str">
        <f aca="false">IF(L2093="","",INDEX(ポート振替表!$P$5:$P$3507,$L2093)&amp;"")</f>
        <v/>
      </c>
      <c r="J2093" s="60" t="str">
        <f aca="false">IF(L2093="","",INDEX(ポート振替表!$M$5:$M$3507,$L2093)&amp;"")</f>
        <v/>
      </c>
      <c r="K2093" s="52" t="str">
        <f aca="false">IF(L2093="","",E2093&amp;CHAR(10)&amp;INDEX(ポート振替表!$K$5:$K$3507,$L2093)&amp;" "&amp;INDEX(ポート振替表!$L$5:$L$3507,$L2093)&amp;CHAR(10)&amp;"⇔ "&amp;INDEX(ポート振替表!$H$5:$H$3507,$L2093)&amp;" "&amp;INDEX(ポート振替表!$I$5:$I$3507,$L2093))</f>
        <v/>
      </c>
      <c r="L2093" s="47" t="str">
        <f aca="false">IFERROR(MATCH(ROW()-4,ポート振替表!$V$5:$V$3507,0),"")</f>
        <v/>
      </c>
    </row>
    <row r="2094" customFormat="false" ht="16.4" hidden="false" customHeight="false" outlineLevel="0" collapsed="false">
      <c r="A2094" s="32" t="str">
        <f aca="false">IF(L2094="","",ROW()-4)</f>
        <v/>
      </c>
      <c r="B2094" s="58" t="str">
        <f aca="false">IF(L2094="","",IF(INDEX(ポート振替表!$W$5:$W$3507,$L2094)="","(なし)",INDEX(ポート振替表!$W$5:$W$3507,$L2094)&amp;""))</f>
        <v/>
      </c>
      <c r="C2094" s="52" t="str">
        <f aca="false">IF(L2094="","",INDEX(ポート振替表!$B$5:$B$3507,$L2094)&amp;" "&amp;INDEX(ポート振替表!$C$5:$C$3507,$L2094)&amp;"  ⇔  "&amp;INDEX(ポート振替表!$H$5:$H$3507,$L2094)&amp;" "&amp;INDEX(ポート振替表!$I$5:$I$3507,$L2094))</f>
        <v/>
      </c>
      <c r="D2094" s="57" t="s">
        <v>158</v>
      </c>
      <c r="E2094" s="59" t="str">
        <f aca="false">IF(L2094="","",IF(INDEX(ポート振替表!$O$5:$O$3507,$L2094)="","(未設定)",INDEX(ポート振替表!$O$5:$O$3507,$L2094)&amp;""))</f>
        <v/>
      </c>
      <c r="F2094" s="52" t="str">
        <f aca="false">IF(L2094="","",INDEX(ポート振替表!$K$5:$K$3507,$L2094)&amp;" "&amp;INDEX(ポート振替表!$L$5:$L$3507,$L2094)&amp;"  ⇔  "&amp;INDEX(ポート振替表!$H$5:$H$3507,$L2094)&amp;" "&amp;INDEX(ポート振替表!$I$5:$I$3507,$L2094))</f>
        <v/>
      </c>
      <c r="G2094" s="57" t="s">
        <v>158</v>
      </c>
      <c r="H2094" s="32" t="str">
        <f aca="false">IF(L2094="","",INDEX(ポート振替表!$N$5:$N$3507,$L2094)&amp;"")</f>
        <v/>
      </c>
      <c r="I2094" s="32" t="str">
        <f aca="false">IF(L2094="","",INDEX(ポート振替表!$P$5:$P$3507,$L2094)&amp;"")</f>
        <v/>
      </c>
      <c r="J2094" s="60" t="str">
        <f aca="false">IF(L2094="","",INDEX(ポート振替表!$M$5:$M$3507,$L2094)&amp;"")</f>
        <v/>
      </c>
      <c r="K2094" s="52" t="str">
        <f aca="false">IF(L2094="","",E2094&amp;CHAR(10)&amp;INDEX(ポート振替表!$K$5:$K$3507,$L2094)&amp;" "&amp;INDEX(ポート振替表!$L$5:$L$3507,$L2094)&amp;CHAR(10)&amp;"⇔ "&amp;INDEX(ポート振替表!$H$5:$H$3507,$L2094)&amp;" "&amp;INDEX(ポート振替表!$I$5:$I$3507,$L2094))</f>
        <v/>
      </c>
      <c r="L2094" s="47" t="str">
        <f aca="false">IFERROR(MATCH(ROW()-4,ポート振替表!$V$5:$V$3507,0),"")</f>
        <v/>
      </c>
    </row>
    <row r="2095" customFormat="false" ht="16.4" hidden="false" customHeight="false" outlineLevel="0" collapsed="false">
      <c r="A2095" s="32" t="str">
        <f aca="false">IF(L2095="","",ROW()-4)</f>
        <v/>
      </c>
      <c r="B2095" s="58" t="str">
        <f aca="false">IF(L2095="","",IF(INDEX(ポート振替表!$W$5:$W$3507,$L2095)="","(なし)",INDEX(ポート振替表!$W$5:$W$3507,$L2095)&amp;""))</f>
        <v/>
      </c>
      <c r="C2095" s="52" t="str">
        <f aca="false">IF(L2095="","",INDEX(ポート振替表!$B$5:$B$3507,$L2095)&amp;" "&amp;INDEX(ポート振替表!$C$5:$C$3507,$L2095)&amp;"  ⇔  "&amp;INDEX(ポート振替表!$H$5:$H$3507,$L2095)&amp;" "&amp;INDEX(ポート振替表!$I$5:$I$3507,$L2095))</f>
        <v/>
      </c>
      <c r="D2095" s="57" t="s">
        <v>158</v>
      </c>
      <c r="E2095" s="59" t="str">
        <f aca="false">IF(L2095="","",IF(INDEX(ポート振替表!$O$5:$O$3507,$L2095)="","(未設定)",INDEX(ポート振替表!$O$5:$O$3507,$L2095)&amp;""))</f>
        <v/>
      </c>
      <c r="F2095" s="52" t="str">
        <f aca="false">IF(L2095="","",INDEX(ポート振替表!$K$5:$K$3507,$L2095)&amp;" "&amp;INDEX(ポート振替表!$L$5:$L$3507,$L2095)&amp;"  ⇔  "&amp;INDEX(ポート振替表!$H$5:$H$3507,$L2095)&amp;" "&amp;INDEX(ポート振替表!$I$5:$I$3507,$L2095))</f>
        <v/>
      </c>
      <c r="G2095" s="57" t="s">
        <v>158</v>
      </c>
      <c r="H2095" s="32" t="str">
        <f aca="false">IF(L2095="","",INDEX(ポート振替表!$N$5:$N$3507,$L2095)&amp;"")</f>
        <v/>
      </c>
      <c r="I2095" s="32" t="str">
        <f aca="false">IF(L2095="","",INDEX(ポート振替表!$P$5:$P$3507,$L2095)&amp;"")</f>
        <v/>
      </c>
      <c r="J2095" s="60" t="str">
        <f aca="false">IF(L2095="","",INDEX(ポート振替表!$M$5:$M$3507,$L2095)&amp;"")</f>
        <v/>
      </c>
      <c r="K2095" s="52" t="str">
        <f aca="false">IF(L2095="","",E2095&amp;CHAR(10)&amp;INDEX(ポート振替表!$K$5:$K$3507,$L2095)&amp;" "&amp;INDEX(ポート振替表!$L$5:$L$3507,$L2095)&amp;CHAR(10)&amp;"⇔ "&amp;INDEX(ポート振替表!$H$5:$H$3507,$L2095)&amp;" "&amp;INDEX(ポート振替表!$I$5:$I$3507,$L2095))</f>
        <v/>
      </c>
      <c r="L2095" s="47" t="str">
        <f aca="false">IFERROR(MATCH(ROW()-4,ポート振替表!$V$5:$V$3507,0),"")</f>
        <v/>
      </c>
    </row>
    <row r="2096" customFormat="false" ht="16.4" hidden="false" customHeight="false" outlineLevel="0" collapsed="false">
      <c r="A2096" s="32" t="str">
        <f aca="false">IF(L2096="","",ROW()-4)</f>
        <v/>
      </c>
      <c r="B2096" s="58" t="str">
        <f aca="false">IF(L2096="","",IF(INDEX(ポート振替表!$W$5:$W$3507,$L2096)="","(なし)",INDEX(ポート振替表!$W$5:$W$3507,$L2096)&amp;""))</f>
        <v/>
      </c>
      <c r="C2096" s="52" t="str">
        <f aca="false">IF(L2096="","",INDEX(ポート振替表!$B$5:$B$3507,$L2096)&amp;" "&amp;INDEX(ポート振替表!$C$5:$C$3507,$L2096)&amp;"  ⇔  "&amp;INDEX(ポート振替表!$H$5:$H$3507,$L2096)&amp;" "&amp;INDEX(ポート振替表!$I$5:$I$3507,$L2096))</f>
        <v/>
      </c>
      <c r="D2096" s="57" t="s">
        <v>158</v>
      </c>
      <c r="E2096" s="59" t="str">
        <f aca="false">IF(L2096="","",IF(INDEX(ポート振替表!$O$5:$O$3507,$L2096)="","(未設定)",INDEX(ポート振替表!$O$5:$O$3507,$L2096)&amp;""))</f>
        <v/>
      </c>
      <c r="F2096" s="52" t="str">
        <f aca="false">IF(L2096="","",INDEX(ポート振替表!$K$5:$K$3507,$L2096)&amp;" "&amp;INDEX(ポート振替表!$L$5:$L$3507,$L2096)&amp;"  ⇔  "&amp;INDEX(ポート振替表!$H$5:$H$3507,$L2096)&amp;" "&amp;INDEX(ポート振替表!$I$5:$I$3507,$L2096))</f>
        <v/>
      </c>
      <c r="G2096" s="57" t="s">
        <v>158</v>
      </c>
      <c r="H2096" s="32" t="str">
        <f aca="false">IF(L2096="","",INDEX(ポート振替表!$N$5:$N$3507,$L2096)&amp;"")</f>
        <v/>
      </c>
      <c r="I2096" s="32" t="str">
        <f aca="false">IF(L2096="","",INDEX(ポート振替表!$P$5:$P$3507,$L2096)&amp;"")</f>
        <v/>
      </c>
      <c r="J2096" s="60" t="str">
        <f aca="false">IF(L2096="","",INDEX(ポート振替表!$M$5:$M$3507,$L2096)&amp;"")</f>
        <v/>
      </c>
      <c r="K2096" s="52" t="str">
        <f aca="false">IF(L2096="","",E2096&amp;CHAR(10)&amp;INDEX(ポート振替表!$K$5:$K$3507,$L2096)&amp;" "&amp;INDEX(ポート振替表!$L$5:$L$3507,$L2096)&amp;CHAR(10)&amp;"⇔ "&amp;INDEX(ポート振替表!$H$5:$H$3507,$L2096)&amp;" "&amp;INDEX(ポート振替表!$I$5:$I$3507,$L2096))</f>
        <v/>
      </c>
      <c r="L2096" s="47" t="str">
        <f aca="false">IFERROR(MATCH(ROW()-4,ポート振替表!$V$5:$V$3507,0),"")</f>
        <v/>
      </c>
    </row>
    <row r="2097" customFormat="false" ht="16.4" hidden="false" customHeight="false" outlineLevel="0" collapsed="false">
      <c r="A2097" s="32" t="str">
        <f aca="false">IF(L2097="","",ROW()-4)</f>
        <v/>
      </c>
      <c r="B2097" s="58" t="str">
        <f aca="false">IF(L2097="","",IF(INDEX(ポート振替表!$W$5:$W$3507,$L2097)="","(なし)",INDEX(ポート振替表!$W$5:$W$3507,$L2097)&amp;""))</f>
        <v/>
      </c>
      <c r="C2097" s="52" t="str">
        <f aca="false">IF(L2097="","",INDEX(ポート振替表!$B$5:$B$3507,$L2097)&amp;" "&amp;INDEX(ポート振替表!$C$5:$C$3507,$L2097)&amp;"  ⇔  "&amp;INDEX(ポート振替表!$H$5:$H$3507,$L2097)&amp;" "&amp;INDEX(ポート振替表!$I$5:$I$3507,$L2097))</f>
        <v/>
      </c>
      <c r="D2097" s="57" t="s">
        <v>158</v>
      </c>
      <c r="E2097" s="59" t="str">
        <f aca="false">IF(L2097="","",IF(INDEX(ポート振替表!$O$5:$O$3507,$L2097)="","(未設定)",INDEX(ポート振替表!$O$5:$O$3507,$L2097)&amp;""))</f>
        <v/>
      </c>
      <c r="F2097" s="52" t="str">
        <f aca="false">IF(L2097="","",INDEX(ポート振替表!$K$5:$K$3507,$L2097)&amp;" "&amp;INDEX(ポート振替表!$L$5:$L$3507,$L2097)&amp;"  ⇔  "&amp;INDEX(ポート振替表!$H$5:$H$3507,$L2097)&amp;" "&amp;INDEX(ポート振替表!$I$5:$I$3507,$L2097))</f>
        <v/>
      </c>
      <c r="G2097" s="57" t="s">
        <v>158</v>
      </c>
      <c r="H2097" s="32" t="str">
        <f aca="false">IF(L2097="","",INDEX(ポート振替表!$N$5:$N$3507,$L2097)&amp;"")</f>
        <v/>
      </c>
      <c r="I2097" s="32" t="str">
        <f aca="false">IF(L2097="","",INDEX(ポート振替表!$P$5:$P$3507,$L2097)&amp;"")</f>
        <v/>
      </c>
      <c r="J2097" s="60" t="str">
        <f aca="false">IF(L2097="","",INDEX(ポート振替表!$M$5:$M$3507,$L2097)&amp;"")</f>
        <v/>
      </c>
      <c r="K2097" s="52" t="str">
        <f aca="false">IF(L2097="","",E2097&amp;CHAR(10)&amp;INDEX(ポート振替表!$K$5:$K$3507,$L2097)&amp;" "&amp;INDEX(ポート振替表!$L$5:$L$3507,$L2097)&amp;CHAR(10)&amp;"⇔ "&amp;INDEX(ポート振替表!$H$5:$H$3507,$L2097)&amp;" "&amp;INDEX(ポート振替表!$I$5:$I$3507,$L2097))</f>
        <v/>
      </c>
      <c r="L2097" s="47" t="str">
        <f aca="false">IFERROR(MATCH(ROW()-4,ポート振替表!$V$5:$V$3507,0),"")</f>
        <v/>
      </c>
    </row>
    <row r="2098" customFormat="false" ht="16.4" hidden="false" customHeight="false" outlineLevel="0" collapsed="false">
      <c r="A2098" s="32" t="str">
        <f aca="false">IF(L2098="","",ROW()-4)</f>
        <v/>
      </c>
      <c r="B2098" s="58" t="str">
        <f aca="false">IF(L2098="","",IF(INDEX(ポート振替表!$W$5:$W$3507,$L2098)="","(なし)",INDEX(ポート振替表!$W$5:$W$3507,$L2098)&amp;""))</f>
        <v/>
      </c>
      <c r="C2098" s="52" t="str">
        <f aca="false">IF(L2098="","",INDEX(ポート振替表!$B$5:$B$3507,$L2098)&amp;" "&amp;INDEX(ポート振替表!$C$5:$C$3507,$L2098)&amp;"  ⇔  "&amp;INDEX(ポート振替表!$H$5:$H$3507,$L2098)&amp;" "&amp;INDEX(ポート振替表!$I$5:$I$3507,$L2098))</f>
        <v/>
      </c>
      <c r="D2098" s="57" t="s">
        <v>158</v>
      </c>
      <c r="E2098" s="59" t="str">
        <f aca="false">IF(L2098="","",IF(INDEX(ポート振替表!$O$5:$O$3507,$L2098)="","(未設定)",INDEX(ポート振替表!$O$5:$O$3507,$L2098)&amp;""))</f>
        <v/>
      </c>
      <c r="F2098" s="52" t="str">
        <f aca="false">IF(L2098="","",INDEX(ポート振替表!$K$5:$K$3507,$L2098)&amp;" "&amp;INDEX(ポート振替表!$L$5:$L$3507,$L2098)&amp;"  ⇔  "&amp;INDEX(ポート振替表!$H$5:$H$3507,$L2098)&amp;" "&amp;INDEX(ポート振替表!$I$5:$I$3507,$L2098))</f>
        <v/>
      </c>
      <c r="G2098" s="57" t="s">
        <v>158</v>
      </c>
      <c r="H2098" s="32" t="str">
        <f aca="false">IF(L2098="","",INDEX(ポート振替表!$N$5:$N$3507,$L2098)&amp;"")</f>
        <v/>
      </c>
      <c r="I2098" s="32" t="str">
        <f aca="false">IF(L2098="","",INDEX(ポート振替表!$P$5:$P$3507,$L2098)&amp;"")</f>
        <v/>
      </c>
      <c r="J2098" s="60" t="str">
        <f aca="false">IF(L2098="","",INDEX(ポート振替表!$M$5:$M$3507,$L2098)&amp;"")</f>
        <v/>
      </c>
      <c r="K2098" s="52" t="str">
        <f aca="false">IF(L2098="","",E2098&amp;CHAR(10)&amp;INDEX(ポート振替表!$K$5:$K$3507,$L2098)&amp;" "&amp;INDEX(ポート振替表!$L$5:$L$3507,$L2098)&amp;CHAR(10)&amp;"⇔ "&amp;INDEX(ポート振替表!$H$5:$H$3507,$L2098)&amp;" "&amp;INDEX(ポート振替表!$I$5:$I$3507,$L2098))</f>
        <v/>
      </c>
      <c r="L2098" s="47" t="str">
        <f aca="false">IFERROR(MATCH(ROW()-4,ポート振替表!$V$5:$V$3507,0),"")</f>
        <v/>
      </c>
    </row>
    <row r="2099" customFormat="false" ht="16.4" hidden="false" customHeight="false" outlineLevel="0" collapsed="false">
      <c r="A2099" s="32" t="str">
        <f aca="false">IF(L2099="","",ROW()-4)</f>
        <v/>
      </c>
      <c r="B2099" s="58" t="str">
        <f aca="false">IF(L2099="","",IF(INDEX(ポート振替表!$W$5:$W$3507,$L2099)="","(なし)",INDEX(ポート振替表!$W$5:$W$3507,$L2099)&amp;""))</f>
        <v/>
      </c>
      <c r="C2099" s="52" t="str">
        <f aca="false">IF(L2099="","",INDEX(ポート振替表!$B$5:$B$3507,$L2099)&amp;" "&amp;INDEX(ポート振替表!$C$5:$C$3507,$L2099)&amp;"  ⇔  "&amp;INDEX(ポート振替表!$H$5:$H$3507,$L2099)&amp;" "&amp;INDEX(ポート振替表!$I$5:$I$3507,$L2099))</f>
        <v/>
      </c>
      <c r="D2099" s="57" t="s">
        <v>158</v>
      </c>
      <c r="E2099" s="59" t="str">
        <f aca="false">IF(L2099="","",IF(INDEX(ポート振替表!$O$5:$O$3507,$L2099)="","(未設定)",INDEX(ポート振替表!$O$5:$O$3507,$L2099)&amp;""))</f>
        <v/>
      </c>
      <c r="F2099" s="52" t="str">
        <f aca="false">IF(L2099="","",INDEX(ポート振替表!$K$5:$K$3507,$L2099)&amp;" "&amp;INDEX(ポート振替表!$L$5:$L$3507,$L2099)&amp;"  ⇔  "&amp;INDEX(ポート振替表!$H$5:$H$3507,$L2099)&amp;" "&amp;INDEX(ポート振替表!$I$5:$I$3507,$L2099))</f>
        <v/>
      </c>
      <c r="G2099" s="57" t="s">
        <v>158</v>
      </c>
      <c r="H2099" s="32" t="str">
        <f aca="false">IF(L2099="","",INDEX(ポート振替表!$N$5:$N$3507,$L2099)&amp;"")</f>
        <v/>
      </c>
      <c r="I2099" s="32" t="str">
        <f aca="false">IF(L2099="","",INDEX(ポート振替表!$P$5:$P$3507,$L2099)&amp;"")</f>
        <v/>
      </c>
      <c r="J2099" s="60" t="str">
        <f aca="false">IF(L2099="","",INDEX(ポート振替表!$M$5:$M$3507,$L2099)&amp;"")</f>
        <v/>
      </c>
      <c r="K2099" s="52" t="str">
        <f aca="false">IF(L2099="","",E2099&amp;CHAR(10)&amp;INDEX(ポート振替表!$K$5:$K$3507,$L2099)&amp;" "&amp;INDEX(ポート振替表!$L$5:$L$3507,$L2099)&amp;CHAR(10)&amp;"⇔ "&amp;INDEX(ポート振替表!$H$5:$H$3507,$L2099)&amp;" "&amp;INDEX(ポート振替表!$I$5:$I$3507,$L2099))</f>
        <v/>
      </c>
      <c r="L2099" s="47" t="str">
        <f aca="false">IFERROR(MATCH(ROW()-4,ポート振替表!$V$5:$V$3507,0),"")</f>
        <v/>
      </c>
    </row>
    <row r="2100" customFormat="false" ht="16.4" hidden="false" customHeight="false" outlineLevel="0" collapsed="false">
      <c r="A2100" s="32" t="str">
        <f aca="false">IF(L2100="","",ROW()-4)</f>
        <v/>
      </c>
      <c r="B2100" s="58" t="str">
        <f aca="false">IF(L2100="","",IF(INDEX(ポート振替表!$W$5:$W$3507,$L2100)="","(なし)",INDEX(ポート振替表!$W$5:$W$3507,$L2100)&amp;""))</f>
        <v/>
      </c>
      <c r="C2100" s="52" t="str">
        <f aca="false">IF(L2100="","",INDEX(ポート振替表!$B$5:$B$3507,$L2100)&amp;" "&amp;INDEX(ポート振替表!$C$5:$C$3507,$L2100)&amp;"  ⇔  "&amp;INDEX(ポート振替表!$H$5:$H$3507,$L2100)&amp;" "&amp;INDEX(ポート振替表!$I$5:$I$3507,$L2100))</f>
        <v/>
      </c>
      <c r="D2100" s="57" t="s">
        <v>158</v>
      </c>
      <c r="E2100" s="59" t="str">
        <f aca="false">IF(L2100="","",IF(INDEX(ポート振替表!$O$5:$O$3507,$L2100)="","(未設定)",INDEX(ポート振替表!$O$5:$O$3507,$L2100)&amp;""))</f>
        <v/>
      </c>
      <c r="F2100" s="52" t="str">
        <f aca="false">IF(L2100="","",INDEX(ポート振替表!$K$5:$K$3507,$L2100)&amp;" "&amp;INDEX(ポート振替表!$L$5:$L$3507,$L2100)&amp;"  ⇔  "&amp;INDEX(ポート振替表!$H$5:$H$3507,$L2100)&amp;" "&amp;INDEX(ポート振替表!$I$5:$I$3507,$L2100))</f>
        <v/>
      </c>
      <c r="G2100" s="57" t="s">
        <v>158</v>
      </c>
      <c r="H2100" s="32" t="str">
        <f aca="false">IF(L2100="","",INDEX(ポート振替表!$N$5:$N$3507,$L2100)&amp;"")</f>
        <v/>
      </c>
      <c r="I2100" s="32" t="str">
        <f aca="false">IF(L2100="","",INDEX(ポート振替表!$P$5:$P$3507,$L2100)&amp;"")</f>
        <v/>
      </c>
      <c r="J2100" s="60" t="str">
        <f aca="false">IF(L2100="","",INDEX(ポート振替表!$M$5:$M$3507,$L2100)&amp;"")</f>
        <v/>
      </c>
      <c r="K2100" s="52" t="str">
        <f aca="false">IF(L2100="","",E2100&amp;CHAR(10)&amp;INDEX(ポート振替表!$K$5:$K$3507,$L2100)&amp;" "&amp;INDEX(ポート振替表!$L$5:$L$3507,$L2100)&amp;CHAR(10)&amp;"⇔ "&amp;INDEX(ポート振替表!$H$5:$H$3507,$L2100)&amp;" "&amp;INDEX(ポート振替表!$I$5:$I$3507,$L2100))</f>
        <v/>
      </c>
      <c r="L2100" s="47" t="str">
        <f aca="false">IFERROR(MATCH(ROW()-4,ポート振替表!$V$5:$V$3507,0),"")</f>
        <v/>
      </c>
    </row>
    <row r="2101" customFormat="false" ht="16.4" hidden="false" customHeight="false" outlineLevel="0" collapsed="false">
      <c r="A2101" s="32" t="str">
        <f aca="false">IF(L2101="","",ROW()-4)</f>
        <v/>
      </c>
      <c r="B2101" s="58" t="str">
        <f aca="false">IF(L2101="","",IF(INDEX(ポート振替表!$W$5:$W$3507,$L2101)="","(なし)",INDEX(ポート振替表!$W$5:$W$3507,$L2101)&amp;""))</f>
        <v/>
      </c>
      <c r="C2101" s="52" t="str">
        <f aca="false">IF(L2101="","",INDEX(ポート振替表!$B$5:$B$3507,$L2101)&amp;" "&amp;INDEX(ポート振替表!$C$5:$C$3507,$L2101)&amp;"  ⇔  "&amp;INDEX(ポート振替表!$H$5:$H$3507,$L2101)&amp;" "&amp;INDEX(ポート振替表!$I$5:$I$3507,$L2101))</f>
        <v/>
      </c>
      <c r="D2101" s="57" t="s">
        <v>158</v>
      </c>
      <c r="E2101" s="59" t="str">
        <f aca="false">IF(L2101="","",IF(INDEX(ポート振替表!$O$5:$O$3507,$L2101)="","(未設定)",INDEX(ポート振替表!$O$5:$O$3507,$L2101)&amp;""))</f>
        <v/>
      </c>
      <c r="F2101" s="52" t="str">
        <f aca="false">IF(L2101="","",INDEX(ポート振替表!$K$5:$K$3507,$L2101)&amp;" "&amp;INDEX(ポート振替表!$L$5:$L$3507,$L2101)&amp;"  ⇔  "&amp;INDEX(ポート振替表!$H$5:$H$3507,$L2101)&amp;" "&amp;INDEX(ポート振替表!$I$5:$I$3507,$L2101))</f>
        <v/>
      </c>
      <c r="G2101" s="57" t="s">
        <v>158</v>
      </c>
      <c r="H2101" s="32" t="str">
        <f aca="false">IF(L2101="","",INDEX(ポート振替表!$N$5:$N$3507,$L2101)&amp;"")</f>
        <v/>
      </c>
      <c r="I2101" s="32" t="str">
        <f aca="false">IF(L2101="","",INDEX(ポート振替表!$P$5:$P$3507,$L2101)&amp;"")</f>
        <v/>
      </c>
      <c r="J2101" s="60" t="str">
        <f aca="false">IF(L2101="","",INDEX(ポート振替表!$M$5:$M$3507,$L2101)&amp;"")</f>
        <v/>
      </c>
      <c r="K2101" s="52" t="str">
        <f aca="false">IF(L2101="","",E2101&amp;CHAR(10)&amp;INDEX(ポート振替表!$K$5:$K$3507,$L2101)&amp;" "&amp;INDEX(ポート振替表!$L$5:$L$3507,$L2101)&amp;CHAR(10)&amp;"⇔ "&amp;INDEX(ポート振替表!$H$5:$H$3507,$L2101)&amp;" "&amp;INDEX(ポート振替表!$I$5:$I$3507,$L2101))</f>
        <v/>
      </c>
      <c r="L2101" s="47" t="str">
        <f aca="false">IFERROR(MATCH(ROW()-4,ポート振替表!$V$5:$V$3507,0),"")</f>
        <v/>
      </c>
    </row>
    <row r="2102" customFormat="false" ht="16.4" hidden="false" customHeight="false" outlineLevel="0" collapsed="false">
      <c r="A2102" s="32" t="str">
        <f aca="false">IF(L2102="","",ROW()-4)</f>
        <v/>
      </c>
      <c r="B2102" s="58" t="str">
        <f aca="false">IF(L2102="","",IF(INDEX(ポート振替表!$W$5:$W$3507,$L2102)="","(なし)",INDEX(ポート振替表!$W$5:$W$3507,$L2102)&amp;""))</f>
        <v/>
      </c>
      <c r="C2102" s="52" t="str">
        <f aca="false">IF(L2102="","",INDEX(ポート振替表!$B$5:$B$3507,$L2102)&amp;" "&amp;INDEX(ポート振替表!$C$5:$C$3507,$L2102)&amp;"  ⇔  "&amp;INDEX(ポート振替表!$H$5:$H$3507,$L2102)&amp;" "&amp;INDEX(ポート振替表!$I$5:$I$3507,$L2102))</f>
        <v/>
      </c>
      <c r="D2102" s="57" t="s">
        <v>158</v>
      </c>
      <c r="E2102" s="59" t="str">
        <f aca="false">IF(L2102="","",IF(INDEX(ポート振替表!$O$5:$O$3507,$L2102)="","(未設定)",INDEX(ポート振替表!$O$5:$O$3507,$L2102)&amp;""))</f>
        <v/>
      </c>
      <c r="F2102" s="52" t="str">
        <f aca="false">IF(L2102="","",INDEX(ポート振替表!$K$5:$K$3507,$L2102)&amp;" "&amp;INDEX(ポート振替表!$L$5:$L$3507,$L2102)&amp;"  ⇔  "&amp;INDEX(ポート振替表!$H$5:$H$3507,$L2102)&amp;" "&amp;INDEX(ポート振替表!$I$5:$I$3507,$L2102))</f>
        <v/>
      </c>
      <c r="G2102" s="57" t="s">
        <v>158</v>
      </c>
      <c r="H2102" s="32" t="str">
        <f aca="false">IF(L2102="","",INDEX(ポート振替表!$N$5:$N$3507,$L2102)&amp;"")</f>
        <v/>
      </c>
      <c r="I2102" s="32" t="str">
        <f aca="false">IF(L2102="","",INDEX(ポート振替表!$P$5:$P$3507,$L2102)&amp;"")</f>
        <v/>
      </c>
      <c r="J2102" s="60" t="str">
        <f aca="false">IF(L2102="","",INDEX(ポート振替表!$M$5:$M$3507,$L2102)&amp;"")</f>
        <v/>
      </c>
      <c r="K2102" s="52" t="str">
        <f aca="false">IF(L2102="","",E2102&amp;CHAR(10)&amp;INDEX(ポート振替表!$K$5:$K$3507,$L2102)&amp;" "&amp;INDEX(ポート振替表!$L$5:$L$3507,$L2102)&amp;CHAR(10)&amp;"⇔ "&amp;INDEX(ポート振替表!$H$5:$H$3507,$L2102)&amp;" "&amp;INDEX(ポート振替表!$I$5:$I$3507,$L2102))</f>
        <v/>
      </c>
      <c r="L2102" s="47" t="str">
        <f aca="false">IFERROR(MATCH(ROW()-4,ポート振替表!$V$5:$V$3507,0),"")</f>
        <v/>
      </c>
    </row>
    <row r="2103" customFormat="false" ht="16.4" hidden="false" customHeight="false" outlineLevel="0" collapsed="false">
      <c r="A2103" s="32" t="str">
        <f aca="false">IF(L2103="","",ROW()-4)</f>
        <v/>
      </c>
      <c r="B2103" s="58" t="str">
        <f aca="false">IF(L2103="","",IF(INDEX(ポート振替表!$W$5:$W$3507,$L2103)="","(なし)",INDEX(ポート振替表!$W$5:$W$3507,$L2103)&amp;""))</f>
        <v/>
      </c>
      <c r="C2103" s="52" t="str">
        <f aca="false">IF(L2103="","",INDEX(ポート振替表!$B$5:$B$3507,$L2103)&amp;" "&amp;INDEX(ポート振替表!$C$5:$C$3507,$L2103)&amp;"  ⇔  "&amp;INDEX(ポート振替表!$H$5:$H$3507,$L2103)&amp;" "&amp;INDEX(ポート振替表!$I$5:$I$3507,$L2103))</f>
        <v/>
      </c>
      <c r="D2103" s="57" t="s">
        <v>158</v>
      </c>
      <c r="E2103" s="59" t="str">
        <f aca="false">IF(L2103="","",IF(INDEX(ポート振替表!$O$5:$O$3507,$L2103)="","(未設定)",INDEX(ポート振替表!$O$5:$O$3507,$L2103)&amp;""))</f>
        <v/>
      </c>
      <c r="F2103" s="52" t="str">
        <f aca="false">IF(L2103="","",INDEX(ポート振替表!$K$5:$K$3507,$L2103)&amp;" "&amp;INDEX(ポート振替表!$L$5:$L$3507,$L2103)&amp;"  ⇔  "&amp;INDEX(ポート振替表!$H$5:$H$3507,$L2103)&amp;" "&amp;INDEX(ポート振替表!$I$5:$I$3507,$L2103))</f>
        <v/>
      </c>
      <c r="G2103" s="57" t="s">
        <v>158</v>
      </c>
      <c r="H2103" s="32" t="str">
        <f aca="false">IF(L2103="","",INDEX(ポート振替表!$N$5:$N$3507,$L2103)&amp;"")</f>
        <v/>
      </c>
      <c r="I2103" s="32" t="str">
        <f aca="false">IF(L2103="","",INDEX(ポート振替表!$P$5:$P$3507,$L2103)&amp;"")</f>
        <v/>
      </c>
      <c r="J2103" s="60" t="str">
        <f aca="false">IF(L2103="","",INDEX(ポート振替表!$M$5:$M$3507,$L2103)&amp;"")</f>
        <v/>
      </c>
      <c r="K2103" s="52" t="str">
        <f aca="false">IF(L2103="","",E2103&amp;CHAR(10)&amp;INDEX(ポート振替表!$K$5:$K$3507,$L2103)&amp;" "&amp;INDEX(ポート振替表!$L$5:$L$3507,$L2103)&amp;CHAR(10)&amp;"⇔ "&amp;INDEX(ポート振替表!$H$5:$H$3507,$L2103)&amp;" "&amp;INDEX(ポート振替表!$I$5:$I$3507,$L2103))</f>
        <v/>
      </c>
      <c r="L2103" s="47" t="str">
        <f aca="false">IFERROR(MATCH(ROW()-4,ポート振替表!$V$5:$V$3507,0),"")</f>
        <v/>
      </c>
    </row>
    <row r="2104" customFormat="false" ht="16.4" hidden="false" customHeight="false" outlineLevel="0" collapsed="false">
      <c r="A2104" s="32" t="str">
        <f aca="false">IF(L2104="","",ROW()-4)</f>
        <v/>
      </c>
      <c r="B2104" s="58" t="str">
        <f aca="false">IF(L2104="","",IF(INDEX(ポート振替表!$W$5:$W$3507,$L2104)="","(なし)",INDEX(ポート振替表!$W$5:$W$3507,$L2104)&amp;""))</f>
        <v/>
      </c>
      <c r="C2104" s="52" t="str">
        <f aca="false">IF(L2104="","",INDEX(ポート振替表!$B$5:$B$3507,$L2104)&amp;" "&amp;INDEX(ポート振替表!$C$5:$C$3507,$L2104)&amp;"  ⇔  "&amp;INDEX(ポート振替表!$H$5:$H$3507,$L2104)&amp;" "&amp;INDEX(ポート振替表!$I$5:$I$3507,$L2104))</f>
        <v/>
      </c>
      <c r="D2104" s="57" t="s">
        <v>158</v>
      </c>
      <c r="E2104" s="59" t="str">
        <f aca="false">IF(L2104="","",IF(INDEX(ポート振替表!$O$5:$O$3507,$L2104)="","(未設定)",INDEX(ポート振替表!$O$5:$O$3507,$L2104)&amp;""))</f>
        <v/>
      </c>
      <c r="F2104" s="52" t="str">
        <f aca="false">IF(L2104="","",INDEX(ポート振替表!$K$5:$K$3507,$L2104)&amp;" "&amp;INDEX(ポート振替表!$L$5:$L$3507,$L2104)&amp;"  ⇔  "&amp;INDEX(ポート振替表!$H$5:$H$3507,$L2104)&amp;" "&amp;INDEX(ポート振替表!$I$5:$I$3507,$L2104))</f>
        <v/>
      </c>
      <c r="G2104" s="57" t="s">
        <v>158</v>
      </c>
      <c r="H2104" s="32" t="str">
        <f aca="false">IF(L2104="","",INDEX(ポート振替表!$N$5:$N$3507,$L2104)&amp;"")</f>
        <v/>
      </c>
      <c r="I2104" s="32" t="str">
        <f aca="false">IF(L2104="","",INDEX(ポート振替表!$P$5:$P$3507,$L2104)&amp;"")</f>
        <v/>
      </c>
      <c r="J2104" s="60" t="str">
        <f aca="false">IF(L2104="","",INDEX(ポート振替表!$M$5:$M$3507,$L2104)&amp;"")</f>
        <v/>
      </c>
      <c r="K2104" s="52" t="str">
        <f aca="false">IF(L2104="","",E2104&amp;CHAR(10)&amp;INDEX(ポート振替表!$K$5:$K$3507,$L2104)&amp;" "&amp;INDEX(ポート振替表!$L$5:$L$3507,$L2104)&amp;CHAR(10)&amp;"⇔ "&amp;INDEX(ポート振替表!$H$5:$H$3507,$L2104)&amp;" "&amp;INDEX(ポート振替表!$I$5:$I$3507,$L2104))</f>
        <v/>
      </c>
      <c r="L2104" s="47" t="str">
        <f aca="false">IFERROR(MATCH(ROW()-4,ポート振替表!$V$5:$V$3507,0),"")</f>
        <v/>
      </c>
    </row>
    <row r="2105" customFormat="false" ht="16.4" hidden="false" customHeight="false" outlineLevel="0" collapsed="false">
      <c r="A2105" s="32" t="str">
        <f aca="false">IF(L2105="","",ROW()-4)</f>
        <v/>
      </c>
      <c r="B2105" s="58" t="str">
        <f aca="false">IF(L2105="","",IF(INDEX(ポート振替表!$W$5:$W$3507,$L2105)="","(なし)",INDEX(ポート振替表!$W$5:$W$3507,$L2105)&amp;""))</f>
        <v/>
      </c>
      <c r="C2105" s="52" t="str">
        <f aca="false">IF(L2105="","",INDEX(ポート振替表!$B$5:$B$3507,$L2105)&amp;" "&amp;INDEX(ポート振替表!$C$5:$C$3507,$L2105)&amp;"  ⇔  "&amp;INDEX(ポート振替表!$H$5:$H$3507,$L2105)&amp;" "&amp;INDEX(ポート振替表!$I$5:$I$3507,$L2105))</f>
        <v/>
      </c>
      <c r="D2105" s="57" t="s">
        <v>158</v>
      </c>
      <c r="E2105" s="59" t="str">
        <f aca="false">IF(L2105="","",IF(INDEX(ポート振替表!$O$5:$O$3507,$L2105)="","(未設定)",INDEX(ポート振替表!$O$5:$O$3507,$L2105)&amp;""))</f>
        <v/>
      </c>
      <c r="F2105" s="52" t="str">
        <f aca="false">IF(L2105="","",INDEX(ポート振替表!$K$5:$K$3507,$L2105)&amp;" "&amp;INDEX(ポート振替表!$L$5:$L$3507,$L2105)&amp;"  ⇔  "&amp;INDEX(ポート振替表!$H$5:$H$3507,$L2105)&amp;" "&amp;INDEX(ポート振替表!$I$5:$I$3507,$L2105))</f>
        <v/>
      </c>
      <c r="G2105" s="57" t="s">
        <v>158</v>
      </c>
      <c r="H2105" s="32" t="str">
        <f aca="false">IF(L2105="","",INDEX(ポート振替表!$N$5:$N$3507,$L2105)&amp;"")</f>
        <v/>
      </c>
      <c r="I2105" s="32" t="str">
        <f aca="false">IF(L2105="","",INDEX(ポート振替表!$P$5:$P$3507,$L2105)&amp;"")</f>
        <v/>
      </c>
      <c r="J2105" s="60" t="str">
        <f aca="false">IF(L2105="","",INDEX(ポート振替表!$M$5:$M$3507,$L2105)&amp;"")</f>
        <v/>
      </c>
      <c r="K2105" s="52" t="str">
        <f aca="false">IF(L2105="","",E2105&amp;CHAR(10)&amp;INDEX(ポート振替表!$K$5:$K$3507,$L2105)&amp;" "&amp;INDEX(ポート振替表!$L$5:$L$3507,$L2105)&amp;CHAR(10)&amp;"⇔ "&amp;INDEX(ポート振替表!$H$5:$H$3507,$L2105)&amp;" "&amp;INDEX(ポート振替表!$I$5:$I$3507,$L2105))</f>
        <v/>
      </c>
      <c r="L2105" s="47" t="str">
        <f aca="false">IFERROR(MATCH(ROW()-4,ポート振替表!$V$5:$V$3507,0),"")</f>
        <v/>
      </c>
    </row>
    <row r="2106" customFormat="false" ht="16.4" hidden="false" customHeight="false" outlineLevel="0" collapsed="false">
      <c r="A2106" s="32" t="str">
        <f aca="false">IF(L2106="","",ROW()-4)</f>
        <v/>
      </c>
      <c r="B2106" s="58" t="str">
        <f aca="false">IF(L2106="","",IF(INDEX(ポート振替表!$W$5:$W$3507,$L2106)="","(なし)",INDEX(ポート振替表!$W$5:$W$3507,$L2106)&amp;""))</f>
        <v/>
      </c>
      <c r="C2106" s="52" t="str">
        <f aca="false">IF(L2106="","",INDEX(ポート振替表!$B$5:$B$3507,$L2106)&amp;" "&amp;INDEX(ポート振替表!$C$5:$C$3507,$L2106)&amp;"  ⇔  "&amp;INDEX(ポート振替表!$H$5:$H$3507,$L2106)&amp;" "&amp;INDEX(ポート振替表!$I$5:$I$3507,$L2106))</f>
        <v/>
      </c>
      <c r="D2106" s="57" t="s">
        <v>158</v>
      </c>
      <c r="E2106" s="59" t="str">
        <f aca="false">IF(L2106="","",IF(INDEX(ポート振替表!$O$5:$O$3507,$L2106)="","(未設定)",INDEX(ポート振替表!$O$5:$O$3507,$L2106)&amp;""))</f>
        <v/>
      </c>
      <c r="F2106" s="52" t="str">
        <f aca="false">IF(L2106="","",INDEX(ポート振替表!$K$5:$K$3507,$L2106)&amp;" "&amp;INDEX(ポート振替表!$L$5:$L$3507,$L2106)&amp;"  ⇔  "&amp;INDEX(ポート振替表!$H$5:$H$3507,$L2106)&amp;" "&amp;INDEX(ポート振替表!$I$5:$I$3507,$L2106))</f>
        <v/>
      </c>
      <c r="G2106" s="57" t="s">
        <v>158</v>
      </c>
      <c r="H2106" s="32" t="str">
        <f aca="false">IF(L2106="","",INDEX(ポート振替表!$N$5:$N$3507,$L2106)&amp;"")</f>
        <v/>
      </c>
      <c r="I2106" s="32" t="str">
        <f aca="false">IF(L2106="","",INDEX(ポート振替表!$P$5:$P$3507,$L2106)&amp;"")</f>
        <v/>
      </c>
      <c r="J2106" s="60" t="str">
        <f aca="false">IF(L2106="","",INDEX(ポート振替表!$M$5:$M$3507,$L2106)&amp;"")</f>
        <v/>
      </c>
      <c r="K2106" s="52" t="str">
        <f aca="false">IF(L2106="","",E2106&amp;CHAR(10)&amp;INDEX(ポート振替表!$K$5:$K$3507,$L2106)&amp;" "&amp;INDEX(ポート振替表!$L$5:$L$3507,$L2106)&amp;CHAR(10)&amp;"⇔ "&amp;INDEX(ポート振替表!$H$5:$H$3507,$L2106)&amp;" "&amp;INDEX(ポート振替表!$I$5:$I$3507,$L2106))</f>
        <v/>
      </c>
      <c r="L2106" s="47" t="str">
        <f aca="false">IFERROR(MATCH(ROW()-4,ポート振替表!$V$5:$V$3507,0),"")</f>
        <v/>
      </c>
    </row>
    <row r="2107" customFormat="false" ht="16.4" hidden="false" customHeight="false" outlineLevel="0" collapsed="false">
      <c r="A2107" s="32" t="str">
        <f aca="false">IF(L2107="","",ROW()-4)</f>
        <v/>
      </c>
      <c r="B2107" s="58" t="str">
        <f aca="false">IF(L2107="","",IF(INDEX(ポート振替表!$W$5:$W$3507,$L2107)="","(なし)",INDEX(ポート振替表!$W$5:$W$3507,$L2107)&amp;""))</f>
        <v/>
      </c>
      <c r="C2107" s="52" t="str">
        <f aca="false">IF(L2107="","",INDEX(ポート振替表!$B$5:$B$3507,$L2107)&amp;" "&amp;INDEX(ポート振替表!$C$5:$C$3507,$L2107)&amp;"  ⇔  "&amp;INDEX(ポート振替表!$H$5:$H$3507,$L2107)&amp;" "&amp;INDEX(ポート振替表!$I$5:$I$3507,$L2107))</f>
        <v/>
      </c>
      <c r="D2107" s="57" t="s">
        <v>158</v>
      </c>
      <c r="E2107" s="59" t="str">
        <f aca="false">IF(L2107="","",IF(INDEX(ポート振替表!$O$5:$O$3507,$L2107)="","(未設定)",INDEX(ポート振替表!$O$5:$O$3507,$L2107)&amp;""))</f>
        <v/>
      </c>
      <c r="F2107" s="52" t="str">
        <f aca="false">IF(L2107="","",INDEX(ポート振替表!$K$5:$K$3507,$L2107)&amp;" "&amp;INDEX(ポート振替表!$L$5:$L$3507,$L2107)&amp;"  ⇔  "&amp;INDEX(ポート振替表!$H$5:$H$3507,$L2107)&amp;" "&amp;INDEX(ポート振替表!$I$5:$I$3507,$L2107))</f>
        <v/>
      </c>
      <c r="G2107" s="57" t="s">
        <v>158</v>
      </c>
      <c r="H2107" s="32" t="str">
        <f aca="false">IF(L2107="","",INDEX(ポート振替表!$N$5:$N$3507,$L2107)&amp;"")</f>
        <v/>
      </c>
      <c r="I2107" s="32" t="str">
        <f aca="false">IF(L2107="","",INDEX(ポート振替表!$P$5:$P$3507,$L2107)&amp;"")</f>
        <v/>
      </c>
      <c r="J2107" s="60" t="str">
        <f aca="false">IF(L2107="","",INDEX(ポート振替表!$M$5:$M$3507,$L2107)&amp;"")</f>
        <v/>
      </c>
      <c r="K2107" s="52" t="str">
        <f aca="false">IF(L2107="","",E2107&amp;CHAR(10)&amp;INDEX(ポート振替表!$K$5:$K$3507,$L2107)&amp;" "&amp;INDEX(ポート振替表!$L$5:$L$3507,$L2107)&amp;CHAR(10)&amp;"⇔ "&amp;INDEX(ポート振替表!$H$5:$H$3507,$L2107)&amp;" "&amp;INDEX(ポート振替表!$I$5:$I$3507,$L2107))</f>
        <v/>
      </c>
      <c r="L2107" s="47" t="str">
        <f aca="false">IFERROR(MATCH(ROW()-4,ポート振替表!$V$5:$V$3507,0),"")</f>
        <v/>
      </c>
    </row>
    <row r="2108" customFormat="false" ht="16.4" hidden="false" customHeight="false" outlineLevel="0" collapsed="false">
      <c r="A2108" s="32" t="str">
        <f aca="false">IF(L2108="","",ROW()-4)</f>
        <v/>
      </c>
      <c r="B2108" s="58" t="str">
        <f aca="false">IF(L2108="","",IF(INDEX(ポート振替表!$W$5:$W$3507,$L2108)="","(なし)",INDEX(ポート振替表!$W$5:$W$3507,$L2108)&amp;""))</f>
        <v/>
      </c>
      <c r="C2108" s="52" t="str">
        <f aca="false">IF(L2108="","",INDEX(ポート振替表!$B$5:$B$3507,$L2108)&amp;" "&amp;INDEX(ポート振替表!$C$5:$C$3507,$L2108)&amp;"  ⇔  "&amp;INDEX(ポート振替表!$H$5:$H$3507,$L2108)&amp;" "&amp;INDEX(ポート振替表!$I$5:$I$3507,$L2108))</f>
        <v/>
      </c>
      <c r="D2108" s="57" t="s">
        <v>158</v>
      </c>
      <c r="E2108" s="59" t="str">
        <f aca="false">IF(L2108="","",IF(INDEX(ポート振替表!$O$5:$O$3507,$L2108)="","(未設定)",INDEX(ポート振替表!$O$5:$O$3507,$L2108)&amp;""))</f>
        <v/>
      </c>
      <c r="F2108" s="52" t="str">
        <f aca="false">IF(L2108="","",INDEX(ポート振替表!$K$5:$K$3507,$L2108)&amp;" "&amp;INDEX(ポート振替表!$L$5:$L$3507,$L2108)&amp;"  ⇔  "&amp;INDEX(ポート振替表!$H$5:$H$3507,$L2108)&amp;" "&amp;INDEX(ポート振替表!$I$5:$I$3507,$L2108))</f>
        <v/>
      </c>
      <c r="G2108" s="57" t="s">
        <v>158</v>
      </c>
      <c r="H2108" s="32" t="str">
        <f aca="false">IF(L2108="","",INDEX(ポート振替表!$N$5:$N$3507,$L2108)&amp;"")</f>
        <v/>
      </c>
      <c r="I2108" s="32" t="str">
        <f aca="false">IF(L2108="","",INDEX(ポート振替表!$P$5:$P$3507,$L2108)&amp;"")</f>
        <v/>
      </c>
      <c r="J2108" s="60" t="str">
        <f aca="false">IF(L2108="","",INDEX(ポート振替表!$M$5:$M$3507,$L2108)&amp;"")</f>
        <v/>
      </c>
      <c r="K2108" s="52" t="str">
        <f aca="false">IF(L2108="","",E2108&amp;CHAR(10)&amp;INDEX(ポート振替表!$K$5:$K$3507,$L2108)&amp;" "&amp;INDEX(ポート振替表!$L$5:$L$3507,$L2108)&amp;CHAR(10)&amp;"⇔ "&amp;INDEX(ポート振替表!$H$5:$H$3507,$L2108)&amp;" "&amp;INDEX(ポート振替表!$I$5:$I$3507,$L2108))</f>
        <v/>
      </c>
      <c r="L2108" s="47" t="str">
        <f aca="false">IFERROR(MATCH(ROW()-4,ポート振替表!$V$5:$V$3507,0),"")</f>
        <v/>
      </c>
    </row>
    <row r="2109" customFormat="false" ht="16.4" hidden="false" customHeight="false" outlineLevel="0" collapsed="false">
      <c r="A2109" s="32" t="str">
        <f aca="false">IF(L2109="","",ROW()-4)</f>
        <v/>
      </c>
      <c r="B2109" s="58" t="str">
        <f aca="false">IF(L2109="","",IF(INDEX(ポート振替表!$W$5:$W$3507,$L2109)="","(なし)",INDEX(ポート振替表!$W$5:$W$3507,$L2109)&amp;""))</f>
        <v/>
      </c>
      <c r="C2109" s="52" t="str">
        <f aca="false">IF(L2109="","",INDEX(ポート振替表!$B$5:$B$3507,$L2109)&amp;" "&amp;INDEX(ポート振替表!$C$5:$C$3507,$L2109)&amp;"  ⇔  "&amp;INDEX(ポート振替表!$H$5:$H$3507,$L2109)&amp;" "&amp;INDEX(ポート振替表!$I$5:$I$3507,$L2109))</f>
        <v/>
      </c>
      <c r="D2109" s="57" t="s">
        <v>158</v>
      </c>
      <c r="E2109" s="59" t="str">
        <f aca="false">IF(L2109="","",IF(INDEX(ポート振替表!$O$5:$O$3507,$L2109)="","(未設定)",INDEX(ポート振替表!$O$5:$O$3507,$L2109)&amp;""))</f>
        <v/>
      </c>
      <c r="F2109" s="52" t="str">
        <f aca="false">IF(L2109="","",INDEX(ポート振替表!$K$5:$K$3507,$L2109)&amp;" "&amp;INDEX(ポート振替表!$L$5:$L$3507,$L2109)&amp;"  ⇔  "&amp;INDEX(ポート振替表!$H$5:$H$3507,$L2109)&amp;" "&amp;INDEX(ポート振替表!$I$5:$I$3507,$L2109))</f>
        <v/>
      </c>
      <c r="G2109" s="57" t="s">
        <v>158</v>
      </c>
      <c r="H2109" s="32" t="str">
        <f aca="false">IF(L2109="","",INDEX(ポート振替表!$N$5:$N$3507,$L2109)&amp;"")</f>
        <v/>
      </c>
      <c r="I2109" s="32" t="str">
        <f aca="false">IF(L2109="","",INDEX(ポート振替表!$P$5:$P$3507,$L2109)&amp;"")</f>
        <v/>
      </c>
      <c r="J2109" s="60" t="str">
        <f aca="false">IF(L2109="","",INDEX(ポート振替表!$M$5:$M$3507,$L2109)&amp;"")</f>
        <v/>
      </c>
      <c r="K2109" s="52" t="str">
        <f aca="false">IF(L2109="","",E2109&amp;CHAR(10)&amp;INDEX(ポート振替表!$K$5:$K$3507,$L2109)&amp;" "&amp;INDEX(ポート振替表!$L$5:$L$3507,$L2109)&amp;CHAR(10)&amp;"⇔ "&amp;INDEX(ポート振替表!$H$5:$H$3507,$L2109)&amp;" "&amp;INDEX(ポート振替表!$I$5:$I$3507,$L2109))</f>
        <v/>
      </c>
      <c r="L2109" s="47" t="str">
        <f aca="false">IFERROR(MATCH(ROW()-4,ポート振替表!$V$5:$V$3507,0),"")</f>
        <v/>
      </c>
    </row>
    <row r="2110" customFormat="false" ht="16.4" hidden="false" customHeight="false" outlineLevel="0" collapsed="false">
      <c r="A2110" s="32" t="str">
        <f aca="false">IF(L2110="","",ROW()-4)</f>
        <v/>
      </c>
      <c r="B2110" s="58" t="str">
        <f aca="false">IF(L2110="","",IF(INDEX(ポート振替表!$W$5:$W$3507,$L2110)="","(なし)",INDEX(ポート振替表!$W$5:$W$3507,$L2110)&amp;""))</f>
        <v/>
      </c>
      <c r="C2110" s="52" t="str">
        <f aca="false">IF(L2110="","",INDEX(ポート振替表!$B$5:$B$3507,$L2110)&amp;" "&amp;INDEX(ポート振替表!$C$5:$C$3507,$L2110)&amp;"  ⇔  "&amp;INDEX(ポート振替表!$H$5:$H$3507,$L2110)&amp;" "&amp;INDEX(ポート振替表!$I$5:$I$3507,$L2110))</f>
        <v/>
      </c>
      <c r="D2110" s="57" t="s">
        <v>158</v>
      </c>
      <c r="E2110" s="59" t="str">
        <f aca="false">IF(L2110="","",IF(INDEX(ポート振替表!$O$5:$O$3507,$L2110)="","(未設定)",INDEX(ポート振替表!$O$5:$O$3507,$L2110)&amp;""))</f>
        <v/>
      </c>
      <c r="F2110" s="52" t="str">
        <f aca="false">IF(L2110="","",INDEX(ポート振替表!$K$5:$K$3507,$L2110)&amp;" "&amp;INDEX(ポート振替表!$L$5:$L$3507,$L2110)&amp;"  ⇔  "&amp;INDEX(ポート振替表!$H$5:$H$3507,$L2110)&amp;" "&amp;INDEX(ポート振替表!$I$5:$I$3507,$L2110))</f>
        <v/>
      </c>
      <c r="G2110" s="57" t="s">
        <v>158</v>
      </c>
      <c r="H2110" s="32" t="str">
        <f aca="false">IF(L2110="","",INDEX(ポート振替表!$N$5:$N$3507,$L2110)&amp;"")</f>
        <v/>
      </c>
      <c r="I2110" s="32" t="str">
        <f aca="false">IF(L2110="","",INDEX(ポート振替表!$P$5:$P$3507,$L2110)&amp;"")</f>
        <v/>
      </c>
      <c r="J2110" s="60" t="str">
        <f aca="false">IF(L2110="","",INDEX(ポート振替表!$M$5:$M$3507,$L2110)&amp;"")</f>
        <v/>
      </c>
      <c r="K2110" s="52" t="str">
        <f aca="false">IF(L2110="","",E2110&amp;CHAR(10)&amp;INDEX(ポート振替表!$K$5:$K$3507,$L2110)&amp;" "&amp;INDEX(ポート振替表!$L$5:$L$3507,$L2110)&amp;CHAR(10)&amp;"⇔ "&amp;INDEX(ポート振替表!$H$5:$H$3507,$L2110)&amp;" "&amp;INDEX(ポート振替表!$I$5:$I$3507,$L2110))</f>
        <v/>
      </c>
      <c r="L2110" s="47" t="str">
        <f aca="false">IFERROR(MATCH(ROW()-4,ポート振替表!$V$5:$V$3507,0),"")</f>
        <v/>
      </c>
    </row>
    <row r="2111" customFormat="false" ht="16.4" hidden="false" customHeight="false" outlineLevel="0" collapsed="false">
      <c r="A2111" s="32" t="str">
        <f aca="false">IF(L2111="","",ROW()-4)</f>
        <v/>
      </c>
      <c r="B2111" s="58" t="str">
        <f aca="false">IF(L2111="","",IF(INDEX(ポート振替表!$W$5:$W$3507,$L2111)="","(なし)",INDEX(ポート振替表!$W$5:$W$3507,$L2111)&amp;""))</f>
        <v/>
      </c>
      <c r="C2111" s="52" t="str">
        <f aca="false">IF(L2111="","",INDEX(ポート振替表!$B$5:$B$3507,$L2111)&amp;" "&amp;INDEX(ポート振替表!$C$5:$C$3507,$L2111)&amp;"  ⇔  "&amp;INDEX(ポート振替表!$H$5:$H$3507,$L2111)&amp;" "&amp;INDEX(ポート振替表!$I$5:$I$3507,$L2111))</f>
        <v/>
      </c>
      <c r="D2111" s="57" t="s">
        <v>158</v>
      </c>
      <c r="E2111" s="59" t="str">
        <f aca="false">IF(L2111="","",IF(INDEX(ポート振替表!$O$5:$O$3507,$L2111)="","(未設定)",INDEX(ポート振替表!$O$5:$O$3507,$L2111)&amp;""))</f>
        <v/>
      </c>
      <c r="F2111" s="52" t="str">
        <f aca="false">IF(L2111="","",INDEX(ポート振替表!$K$5:$K$3507,$L2111)&amp;" "&amp;INDEX(ポート振替表!$L$5:$L$3507,$L2111)&amp;"  ⇔  "&amp;INDEX(ポート振替表!$H$5:$H$3507,$L2111)&amp;" "&amp;INDEX(ポート振替表!$I$5:$I$3507,$L2111))</f>
        <v/>
      </c>
      <c r="G2111" s="57" t="s">
        <v>158</v>
      </c>
      <c r="H2111" s="32" t="str">
        <f aca="false">IF(L2111="","",INDEX(ポート振替表!$N$5:$N$3507,$L2111)&amp;"")</f>
        <v/>
      </c>
      <c r="I2111" s="32" t="str">
        <f aca="false">IF(L2111="","",INDEX(ポート振替表!$P$5:$P$3507,$L2111)&amp;"")</f>
        <v/>
      </c>
      <c r="J2111" s="60" t="str">
        <f aca="false">IF(L2111="","",INDEX(ポート振替表!$M$5:$M$3507,$L2111)&amp;"")</f>
        <v/>
      </c>
      <c r="K2111" s="52" t="str">
        <f aca="false">IF(L2111="","",E2111&amp;CHAR(10)&amp;INDEX(ポート振替表!$K$5:$K$3507,$L2111)&amp;" "&amp;INDEX(ポート振替表!$L$5:$L$3507,$L2111)&amp;CHAR(10)&amp;"⇔ "&amp;INDEX(ポート振替表!$H$5:$H$3507,$L2111)&amp;" "&amp;INDEX(ポート振替表!$I$5:$I$3507,$L2111))</f>
        <v/>
      </c>
      <c r="L2111" s="47" t="str">
        <f aca="false">IFERROR(MATCH(ROW()-4,ポート振替表!$V$5:$V$3507,0),"")</f>
        <v/>
      </c>
    </row>
    <row r="2112" customFormat="false" ht="16.4" hidden="false" customHeight="false" outlineLevel="0" collapsed="false">
      <c r="A2112" s="32" t="str">
        <f aca="false">IF(L2112="","",ROW()-4)</f>
        <v/>
      </c>
      <c r="B2112" s="58" t="str">
        <f aca="false">IF(L2112="","",IF(INDEX(ポート振替表!$W$5:$W$3507,$L2112)="","(なし)",INDEX(ポート振替表!$W$5:$W$3507,$L2112)&amp;""))</f>
        <v/>
      </c>
      <c r="C2112" s="52" t="str">
        <f aca="false">IF(L2112="","",INDEX(ポート振替表!$B$5:$B$3507,$L2112)&amp;" "&amp;INDEX(ポート振替表!$C$5:$C$3507,$L2112)&amp;"  ⇔  "&amp;INDEX(ポート振替表!$H$5:$H$3507,$L2112)&amp;" "&amp;INDEX(ポート振替表!$I$5:$I$3507,$L2112))</f>
        <v/>
      </c>
      <c r="D2112" s="57" t="s">
        <v>158</v>
      </c>
      <c r="E2112" s="59" t="str">
        <f aca="false">IF(L2112="","",IF(INDEX(ポート振替表!$O$5:$O$3507,$L2112)="","(未設定)",INDEX(ポート振替表!$O$5:$O$3507,$L2112)&amp;""))</f>
        <v/>
      </c>
      <c r="F2112" s="52" t="str">
        <f aca="false">IF(L2112="","",INDEX(ポート振替表!$K$5:$K$3507,$L2112)&amp;" "&amp;INDEX(ポート振替表!$L$5:$L$3507,$L2112)&amp;"  ⇔  "&amp;INDEX(ポート振替表!$H$5:$H$3507,$L2112)&amp;" "&amp;INDEX(ポート振替表!$I$5:$I$3507,$L2112))</f>
        <v/>
      </c>
      <c r="G2112" s="57" t="s">
        <v>158</v>
      </c>
      <c r="H2112" s="32" t="str">
        <f aca="false">IF(L2112="","",INDEX(ポート振替表!$N$5:$N$3507,$L2112)&amp;"")</f>
        <v/>
      </c>
      <c r="I2112" s="32" t="str">
        <f aca="false">IF(L2112="","",INDEX(ポート振替表!$P$5:$P$3507,$L2112)&amp;"")</f>
        <v/>
      </c>
      <c r="J2112" s="60" t="str">
        <f aca="false">IF(L2112="","",INDEX(ポート振替表!$M$5:$M$3507,$L2112)&amp;"")</f>
        <v/>
      </c>
      <c r="K2112" s="52" t="str">
        <f aca="false">IF(L2112="","",E2112&amp;CHAR(10)&amp;INDEX(ポート振替表!$K$5:$K$3507,$L2112)&amp;" "&amp;INDEX(ポート振替表!$L$5:$L$3507,$L2112)&amp;CHAR(10)&amp;"⇔ "&amp;INDEX(ポート振替表!$H$5:$H$3507,$L2112)&amp;" "&amp;INDEX(ポート振替表!$I$5:$I$3507,$L2112))</f>
        <v/>
      </c>
      <c r="L2112" s="47" t="str">
        <f aca="false">IFERROR(MATCH(ROW()-4,ポート振替表!$V$5:$V$3507,0),"")</f>
        <v/>
      </c>
    </row>
    <row r="2113" customFormat="false" ht="16.4" hidden="false" customHeight="false" outlineLevel="0" collapsed="false">
      <c r="A2113" s="32" t="str">
        <f aca="false">IF(L2113="","",ROW()-4)</f>
        <v/>
      </c>
      <c r="B2113" s="58" t="str">
        <f aca="false">IF(L2113="","",IF(INDEX(ポート振替表!$W$5:$W$3507,$L2113)="","(なし)",INDEX(ポート振替表!$W$5:$W$3507,$L2113)&amp;""))</f>
        <v/>
      </c>
      <c r="C2113" s="52" t="str">
        <f aca="false">IF(L2113="","",INDEX(ポート振替表!$B$5:$B$3507,$L2113)&amp;" "&amp;INDEX(ポート振替表!$C$5:$C$3507,$L2113)&amp;"  ⇔  "&amp;INDEX(ポート振替表!$H$5:$H$3507,$L2113)&amp;" "&amp;INDEX(ポート振替表!$I$5:$I$3507,$L2113))</f>
        <v/>
      </c>
      <c r="D2113" s="57" t="s">
        <v>158</v>
      </c>
      <c r="E2113" s="59" t="str">
        <f aca="false">IF(L2113="","",IF(INDEX(ポート振替表!$O$5:$O$3507,$L2113)="","(未設定)",INDEX(ポート振替表!$O$5:$O$3507,$L2113)&amp;""))</f>
        <v/>
      </c>
      <c r="F2113" s="52" t="str">
        <f aca="false">IF(L2113="","",INDEX(ポート振替表!$K$5:$K$3507,$L2113)&amp;" "&amp;INDEX(ポート振替表!$L$5:$L$3507,$L2113)&amp;"  ⇔  "&amp;INDEX(ポート振替表!$H$5:$H$3507,$L2113)&amp;" "&amp;INDEX(ポート振替表!$I$5:$I$3507,$L2113))</f>
        <v/>
      </c>
      <c r="G2113" s="57" t="s">
        <v>158</v>
      </c>
      <c r="H2113" s="32" t="str">
        <f aca="false">IF(L2113="","",INDEX(ポート振替表!$N$5:$N$3507,$L2113)&amp;"")</f>
        <v/>
      </c>
      <c r="I2113" s="32" t="str">
        <f aca="false">IF(L2113="","",INDEX(ポート振替表!$P$5:$P$3507,$L2113)&amp;"")</f>
        <v/>
      </c>
      <c r="J2113" s="60" t="str">
        <f aca="false">IF(L2113="","",INDEX(ポート振替表!$M$5:$M$3507,$L2113)&amp;"")</f>
        <v/>
      </c>
      <c r="K2113" s="52" t="str">
        <f aca="false">IF(L2113="","",E2113&amp;CHAR(10)&amp;INDEX(ポート振替表!$K$5:$K$3507,$L2113)&amp;" "&amp;INDEX(ポート振替表!$L$5:$L$3507,$L2113)&amp;CHAR(10)&amp;"⇔ "&amp;INDEX(ポート振替表!$H$5:$H$3507,$L2113)&amp;" "&amp;INDEX(ポート振替表!$I$5:$I$3507,$L2113))</f>
        <v/>
      </c>
      <c r="L2113" s="47" t="str">
        <f aca="false">IFERROR(MATCH(ROW()-4,ポート振替表!$V$5:$V$3507,0),"")</f>
        <v/>
      </c>
    </row>
    <row r="2114" customFormat="false" ht="16.4" hidden="false" customHeight="false" outlineLevel="0" collapsed="false">
      <c r="A2114" s="32" t="str">
        <f aca="false">IF(L2114="","",ROW()-4)</f>
        <v/>
      </c>
      <c r="B2114" s="58" t="str">
        <f aca="false">IF(L2114="","",IF(INDEX(ポート振替表!$W$5:$W$3507,$L2114)="","(なし)",INDEX(ポート振替表!$W$5:$W$3507,$L2114)&amp;""))</f>
        <v/>
      </c>
      <c r="C2114" s="52" t="str">
        <f aca="false">IF(L2114="","",INDEX(ポート振替表!$B$5:$B$3507,$L2114)&amp;" "&amp;INDEX(ポート振替表!$C$5:$C$3507,$L2114)&amp;"  ⇔  "&amp;INDEX(ポート振替表!$H$5:$H$3507,$L2114)&amp;" "&amp;INDEX(ポート振替表!$I$5:$I$3507,$L2114))</f>
        <v/>
      </c>
      <c r="D2114" s="57" t="s">
        <v>158</v>
      </c>
      <c r="E2114" s="59" t="str">
        <f aca="false">IF(L2114="","",IF(INDEX(ポート振替表!$O$5:$O$3507,$L2114)="","(未設定)",INDEX(ポート振替表!$O$5:$O$3507,$L2114)&amp;""))</f>
        <v/>
      </c>
      <c r="F2114" s="52" t="str">
        <f aca="false">IF(L2114="","",INDEX(ポート振替表!$K$5:$K$3507,$L2114)&amp;" "&amp;INDEX(ポート振替表!$L$5:$L$3507,$L2114)&amp;"  ⇔  "&amp;INDEX(ポート振替表!$H$5:$H$3507,$L2114)&amp;" "&amp;INDEX(ポート振替表!$I$5:$I$3507,$L2114))</f>
        <v/>
      </c>
      <c r="G2114" s="57" t="s">
        <v>158</v>
      </c>
      <c r="H2114" s="32" t="str">
        <f aca="false">IF(L2114="","",INDEX(ポート振替表!$N$5:$N$3507,$L2114)&amp;"")</f>
        <v/>
      </c>
      <c r="I2114" s="32" t="str">
        <f aca="false">IF(L2114="","",INDEX(ポート振替表!$P$5:$P$3507,$L2114)&amp;"")</f>
        <v/>
      </c>
      <c r="J2114" s="60" t="str">
        <f aca="false">IF(L2114="","",INDEX(ポート振替表!$M$5:$M$3507,$L2114)&amp;"")</f>
        <v/>
      </c>
      <c r="K2114" s="52" t="str">
        <f aca="false">IF(L2114="","",E2114&amp;CHAR(10)&amp;INDEX(ポート振替表!$K$5:$K$3507,$L2114)&amp;" "&amp;INDEX(ポート振替表!$L$5:$L$3507,$L2114)&amp;CHAR(10)&amp;"⇔ "&amp;INDEX(ポート振替表!$H$5:$H$3507,$L2114)&amp;" "&amp;INDEX(ポート振替表!$I$5:$I$3507,$L2114))</f>
        <v/>
      </c>
      <c r="L2114" s="47" t="str">
        <f aca="false">IFERROR(MATCH(ROW()-4,ポート振替表!$V$5:$V$3507,0),"")</f>
        <v/>
      </c>
    </row>
    <row r="2115" customFormat="false" ht="16.4" hidden="false" customHeight="false" outlineLevel="0" collapsed="false">
      <c r="A2115" s="32" t="str">
        <f aca="false">IF(L2115="","",ROW()-4)</f>
        <v/>
      </c>
      <c r="B2115" s="58" t="str">
        <f aca="false">IF(L2115="","",IF(INDEX(ポート振替表!$W$5:$W$3507,$L2115)="","(なし)",INDEX(ポート振替表!$W$5:$W$3507,$L2115)&amp;""))</f>
        <v/>
      </c>
      <c r="C2115" s="52" t="str">
        <f aca="false">IF(L2115="","",INDEX(ポート振替表!$B$5:$B$3507,$L2115)&amp;" "&amp;INDEX(ポート振替表!$C$5:$C$3507,$L2115)&amp;"  ⇔  "&amp;INDEX(ポート振替表!$H$5:$H$3507,$L2115)&amp;" "&amp;INDEX(ポート振替表!$I$5:$I$3507,$L2115))</f>
        <v/>
      </c>
      <c r="D2115" s="57" t="s">
        <v>158</v>
      </c>
      <c r="E2115" s="59" t="str">
        <f aca="false">IF(L2115="","",IF(INDEX(ポート振替表!$O$5:$O$3507,$L2115)="","(未設定)",INDEX(ポート振替表!$O$5:$O$3507,$L2115)&amp;""))</f>
        <v/>
      </c>
      <c r="F2115" s="52" t="str">
        <f aca="false">IF(L2115="","",INDEX(ポート振替表!$K$5:$K$3507,$L2115)&amp;" "&amp;INDEX(ポート振替表!$L$5:$L$3507,$L2115)&amp;"  ⇔  "&amp;INDEX(ポート振替表!$H$5:$H$3507,$L2115)&amp;" "&amp;INDEX(ポート振替表!$I$5:$I$3507,$L2115))</f>
        <v/>
      </c>
      <c r="G2115" s="57" t="s">
        <v>158</v>
      </c>
      <c r="H2115" s="32" t="str">
        <f aca="false">IF(L2115="","",INDEX(ポート振替表!$N$5:$N$3507,$L2115)&amp;"")</f>
        <v/>
      </c>
      <c r="I2115" s="32" t="str">
        <f aca="false">IF(L2115="","",INDEX(ポート振替表!$P$5:$P$3507,$L2115)&amp;"")</f>
        <v/>
      </c>
      <c r="J2115" s="60" t="str">
        <f aca="false">IF(L2115="","",INDEX(ポート振替表!$M$5:$M$3507,$L2115)&amp;"")</f>
        <v/>
      </c>
      <c r="K2115" s="52" t="str">
        <f aca="false">IF(L2115="","",E2115&amp;CHAR(10)&amp;INDEX(ポート振替表!$K$5:$K$3507,$L2115)&amp;" "&amp;INDEX(ポート振替表!$L$5:$L$3507,$L2115)&amp;CHAR(10)&amp;"⇔ "&amp;INDEX(ポート振替表!$H$5:$H$3507,$L2115)&amp;" "&amp;INDEX(ポート振替表!$I$5:$I$3507,$L2115))</f>
        <v/>
      </c>
      <c r="L2115" s="47" t="str">
        <f aca="false">IFERROR(MATCH(ROW()-4,ポート振替表!$V$5:$V$3507,0),"")</f>
        <v/>
      </c>
    </row>
    <row r="2116" customFormat="false" ht="16.4" hidden="false" customHeight="false" outlineLevel="0" collapsed="false">
      <c r="A2116" s="32" t="str">
        <f aca="false">IF(L2116="","",ROW()-4)</f>
        <v/>
      </c>
      <c r="B2116" s="58" t="str">
        <f aca="false">IF(L2116="","",IF(INDEX(ポート振替表!$W$5:$W$3507,$L2116)="","(なし)",INDEX(ポート振替表!$W$5:$W$3507,$L2116)&amp;""))</f>
        <v/>
      </c>
      <c r="C2116" s="52" t="str">
        <f aca="false">IF(L2116="","",INDEX(ポート振替表!$B$5:$B$3507,$L2116)&amp;" "&amp;INDEX(ポート振替表!$C$5:$C$3507,$L2116)&amp;"  ⇔  "&amp;INDEX(ポート振替表!$H$5:$H$3507,$L2116)&amp;" "&amp;INDEX(ポート振替表!$I$5:$I$3507,$L2116))</f>
        <v/>
      </c>
      <c r="D2116" s="57" t="s">
        <v>158</v>
      </c>
      <c r="E2116" s="59" t="str">
        <f aca="false">IF(L2116="","",IF(INDEX(ポート振替表!$O$5:$O$3507,$L2116)="","(未設定)",INDEX(ポート振替表!$O$5:$O$3507,$L2116)&amp;""))</f>
        <v/>
      </c>
      <c r="F2116" s="52" t="str">
        <f aca="false">IF(L2116="","",INDEX(ポート振替表!$K$5:$K$3507,$L2116)&amp;" "&amp;INDEX(ポート振替表!$L$5:$L$3507,$L2116)&amp;"  ⇔  "&amp;INDEX(ポート振替表!$H$5:$H$3507,$L2116)&amp;" "&amp;INDEX(ポート振替表!$I$5:$I$3507,$L2116))</f>
        <v/>
      </c>
      <c r="G2116" s="57" t="s">
        <v>158</v>
      </c>
      <c r="H2116" s="32" t="str">
        <f aca="false">IF(L2116="","",INDEX(ポート振替表!$N$5:$N$3507,$L2116)&amp;"")</f>
        <v/>
      </c>
      <c r="I2116" s="32" t="str">
        <f aca="false">IF(L2116="","",INDEX(ポート振替表!$P$5:$P$3507,$L2116)&amp;"")</f>
        <v/>
      </c>
      <c r="J2116" s="60" t="str">
        <f aca="false">IF(L2116="","",INDEX(ポート振替表!$M$5:$M$3507,$L2116)&amp;"")</f>
        <v/>
      </c>
      <c r="K2116" s="52" t="str">
        <f aca="false">IF(L2116="","",E2116&amp;CHAR(10)&amp;INDEX(ポート振替表!$K$5:$K$3507,$L2116)&amp;" "&amp;INDEX(ポート振替表!$L$5:$L$3507,$L2116)&amp;CHAR(10)&amp;"⇔ "&amp;INDEX(ポート振替表!$H$5:$H$3507,$L2116)&amp;" "&amp;INDEX(ポート振替表!$I$5:$I$3507,$L2116))</f>
        <v/>
      </c>
      <c r="L2116" s="47" t="str">
        <f aca="false">IFERROR(MATCH(ROW()-4,ポート振替表!$V$5:$V$3507,0),"")</f>
        <v/>
      </c>
    </row>
    <row r="2117" customFormat="false" ht="16.4" hidden="false" customHeight="false" outlineLevel="0" collapsed="false">
      <c r="A2117" s="32" t="str">
        <f aca="false">IF(L2117="","",ROW()-4)</f>
        <v/>
      </c>
      <c r="B2117" s="58" t="str">
        <f aca="false">IF(L2117="","",IF(INDEX(ポート振替表!$W$5:$W$3507,$L2117)="","(なし)",INDEX(ポート振替表!$W$5:$W$3507,$L2117)&amp;""))</f>
        <v/>
      </c>
      <c r="C2117" s="52" t="str">
        <f aca="false">IF(L2117="","",INDEX(ポート振替表!$B$5:$B$3507,$L2117)&amp;" "&amp;INDEX(ポート振替表!$C$5:$C$3507,$L2117)&amp;"  ⇔  "&amp;INDEX(ポート振替表!$H$5:$H$3507,$L2117)&amp;" "&amp;INDEX(ポート振替表!$I$5:$I$3507,$L2117))</f>
        <v/>
      </c>
      <c r="D2117" s="57" t="s">
        <v>158</v>
      </c>
      <c r="E2117" s="59" t="str">
        <f aca="false">IF(L2117="","",IF(INDEX(ポート振替表!$O$5:$O$3507,$L2117)="","(未設定)",INDEX(ポート振替表!$O$5:$O$3507,$L2117)&amp;""))</f>
        <v/>
      </c>
      <c r="F2117" s="52" t="str">
        <f aca="false">IF(L2117="","",INDEX(ポート振替表!$K$5:$K$3507,$L2117)&amp;" "&amp;INDEX(ポート振替表!$L$5:$L$3507,$L2117)&amp;"  ⇔  "&amp;INDEX(ポート振替表!$H$5:$H$3507,$L2117)&amp;" "&amp;INDEX(ポート振替表!$I$5:$I$3507,$L2117))</f>
        <v/>
      </c>
      <c r="G2117" s="57" t="s">
        <v>158</v>
      </c>
      <c r="H2117" s="32" t="str">
        <f aca="false">IF(L2117="","",INDEX(ポート振替表!$N$5:$N$3507,$L2117)&amp;"")</f>
        <v/>
      </c>
      <c r="I2117" s="32" t="str">
        <f aca="false">IF(L2117="","",INDEX(ポート振替表!$P$5:$P$3507,$L2117)&amp;"")</f>
        <v/>
      </c>
      <c r="J2117" s="60" t="str">
        <f aca="false">IF(L2117="","",INDEX(ポート振替表!$M$5:$M$3507,$L2117)&amp;"")</f>
        <v/>
      </c>
      <c r="K2117" s="52" t="str">
        <f aca="false">IF(L2117="","",E2117&amp;CHAR(10)&amp;INDEX(ポート振替表!$K$5:$K$3507,$L2117)&amp;" "&amp;INDEX(ポート振替表!$L$5:$L$3507,$L2117)&amp;CHAR(10)&amp;"⇔ "&amp;INDEX(ポート振替表!$H$5:$H$3507,$L2117)&amp;" "&amp;INDEX(ポート振替表!$I$5:$I$3507,$L2117))</f>
        <v/>
      </c>
      <c r="L2117" s="47" t="str">
        <f aca="false">IFERROR(MATCH(ROW()-4,ポート振替表!$V$5:$V$3507,0),"")</f>
        <v/>
      </c>
    </row>
    <row r="2118" customFormat="false" ht="16.4" hidden="false" customHeight="false" outlineLevel="0" collapsed="false">
      <c r="A2118" s="32" t="str">
        <f aca="false">IF(L2118="","",ROW()-4)</f>
        <v/>
      </c>
      <c r="B2118" s="58" t="str">
        <f aca="false">IF(L2118="","",IF(INDEX(ポート振替表!$W$5:$W$3507,$L2118)="","(なし)",INDEX(ポート振替表!$W$5:$W$3507,$L2118)&amp;""))</f>
        <v/>
      </c>
      <c r="C2118" s="52" t="str">
        <f aca="false">IF(L2118="","",INDEX(ポート振替表!$B$5:$B$3507,$L2118)&amp;" "&amp;INDEX(ポート振替表!$C$5:$C$3507,$L2118)&amp;"  ⇔  "&amp;INDEX(ポート振替表!$H$5:$H$3507,$L2118)&amp;" "&amp;INDEX(ポート振替表!$I$5:$I$3507,$L2118))</f>
        <v/>
      </c>
      <c r="D2118" s="57" t="s">
        <v>158</v>
      </c>
      <c r="E2118" s="59" t="str">
        <f aca="false">IF(L2118="","",IF(INDEX(ポート振替表!$O$5:$O$3507,$L2118)="","(未設定)",INDEX(ポート振替表!$O$5:$O$3507,$L2118)&amp;""))</f>
        <v/>
      </c>
      <c r="F2118" s="52" t="str">
        <f aca="false">IF(L2118="","",INDEX(ポート振替表!$K$5:$K$3507,$L2118)&amp;" "&amp;INDEX(ポート振替表!$L$5:$L$3507,$L2118)&amp;"  ⇔  "&amp;INDEX(ポート振替表!$H$5:$H$3507,$L2118)&amp;" "&amp;INDEX(ポート振替表!$I$5:$I$3507,$L2118))</f>
        <v/>
      </c>
      <c r="G2118" s="57" t="s">
        <v>158</v>
      </c>
      <c r="H2118" s="32" t="str">
        <f aca="false">IF(L2118="","",INDEX(ポート振替表!$N$5:$N$3507,$L2118)&amp;"")</f>
        <v/>
      </c>
      <c r="I2118" s="32" t="str">
        <f aca="false">IF(L2118="","",INDEX(ポート振替表!$P$5:$P$3507,$L2118)&amp;"")</f>
        <v/>
      </c>
      <c r="J2118" s="60" t="str">
        <f aca="false">IF(L2118="","",INDEX(ポート振替表!$M$5:$M$3507,$L2118)&amp;"")</f>
        <v/>
      </c>
      <c r="K2118" s="52" t="str">
        <f aca="false">IF(L2118="","",E2118&amp;CHAR(10)&amp;INDEX(ポート振替表!$K$5:$K$3507,$L2118)&amp;" "&amp;INDEX(ポート振替表!$L$5:$L$3507,$L2118)&amp;CHAR(10)&amp;"⇔ "&amp;INDEX(ポート振替表!$H$5:$H$3507,$L2118)&amp;" "&amp;INDEX(ポート振替表!$I$5:$I$3507,$L2118))</f>
        <v/>
      </c>
      <c r="L2118" s="47" t="str">
        <f aca="false">IFERROR(MATCH(ROW()-4,ポート振替表!$V$5:$V$3507,0),"")</f>
        <v/>
      </c>
    </row>
    <row r="2119" customFormat="false" ht="16.4" hidden="false" customHeight="false" outlineLevel="0" collapsed="false">
      <c r="A2119" s="32" t="str">
        <f aca="false">IF(L2119="","",ROW()-4)</f>
        <v/>
      </c>
      <c r="B2119" s="58" t="str">
        <f aca="false">IF(L2119="","",IF(INDEX(ポート振替表!$W$5:$W$3507,$L2119)="","(なし)",INDEX(ポート振替表!$W$5:$W$3507,$L2119)&amp;""))</f>
        <v/>
      </c>
      <c r="C2119" s="52" t="str">
        <f aca="false">IF(L2119="","",INDEX(ポート振替表!$B$5:$B$3507,$L2119)&amp;" "&amp;INDEX(ポート振替表!$C$5:$C$3507,$L2119)&amp;"  ⇔  "&amp;INDEX(ポート振替表!$H$5:$H$3507,$L2119)&amp;" "&amp;INDEX(ポート振替表!$I$5:$I$3507,$L2119))</f>
        <v/>
      </c>
      <c r="D2119" s="57" t="s">
        <v>158</v>
      </c>
      <c r="E2119" s="59" t="str">
        <f aca="false">IF(L2119="","",IF(INDEX(ポート振替表!$O$5:$O$3507,$L2119)="","(未設定)",INDEX(ポート振替表!$O$5:$O$3507,$L2119)&amp;""))</f>
        <v/>
      </c>
      <c r="F2119" s="52" t="str">
        <f aca="false">IF(L2119="","",INDEX(ポート振替表!$K$5:$K$3507,$L2119)&amp;" "&amp;INDEX(ポート振替表!$L$5:$L$3507,$L2119)&amp;"  ⇔  "&amp;INDEX(ポート振替表!$H$5:$H$3507,$L2119)&amp;" "&amp;INDEX(ポート振替表!$I$5:$I$3507,$L2119))</f>
        <v/>
      </c>
      <c r="G2119" s="57" t="s">
        <v>158</v>
      </c>
      <c r="H2119" s="32" t="str">
        <f aca="false">IF(L2119="","",INDEX(ポート振替表!$N$5:$N$3507,$L2119)&amp;"")</f>
        <v/>
      </c>
      <c r="I2119" s="32" t="str">
        <f aca="false">IF(L2119="","",INDEX(ポート振替表!$P$5:$P$3507,$L2119)&amp;"")</f>
        <v/>
      </c>
      <c r="J2119" s="60" t="str">
        <f aca="false">IF(L2119="","",INDEX(ポート振替表!$M$5:$M$3507,$L2119)&amp;"")</f>
        <v/>
      </c>
      <c r="K2119" s="52" t="str">
        <f aca="false">IF(L2119="","",E2119&amp;CHAR(10)&amp;INDEX(ポート振替表!$K$5:$K$3507,$L2119)&amp;" "&amp;INDEX(ポート振替表!$L$5:$L$3507,$L2119)&amp;CHAR(10)&amp;"⇔ "&amp;INDEX(ポート振替表!$H$5:$H$3507,$L2119)&amp;" "&amp;INDEX(ポート振替表!$I$5:$I$3507,$L2119))</f>
        <v/>
      </c>
      <c r="L2119" s="47" t="str">
        <f aca="false">IFERROR(MATCH(ROW()-4,ポート振替表!$V$5:$V$3507,0),"")</f>
        <v/>
      </c>
    </row>
    <row r="2120" customFormat="false" ht="16.4" hidden="false" customHeight="false" outlineLevel="0" collapsed="false">
      <c r="A2120" s="32" t="str">
        <f aca="false">IF(L2120="","",ROW()-4)</f>
        <v/>
      </c>
      <c r="B2120" s="58" t="str">
        <f aca="false">IF(L2120="","",IF(INDEX(ポート振替表!$W$5:$W$3507,$L2120)="","(なし)",INDEX(ポート振替表!$W$5:$W$3507,$L2120)&amp;""))</f>
        <v/>
      </c>
      <c r="C2120" s="52" t="str">
        <f aca="false">IF(L2120="","",INDEX(ポート振替表!$B$5:$B$3507,$L2120)&amp;" "&amp;INDEX(ポート振替表!$C$5:$C$3507,$L2120)&amp;"  ⇔  "&amp;INDEX(ポート振替表!$H$5:$H$3507,$L2120)&amp;" "&amp;INDEX(ポート振替表!$I$5:$I$3507,$L2120))</f>
        <v/>
      </c>
      <c r="D2120" s="57" t="s">
        <v>158</v>
      </c>
      <c r="E2120" s="59" t="str">
        <f aca="false">IF(L2120="","",IF(INDEX(ポート振替表!$O$5:$O$3507,$L2120)="","(未設定)",INDEX(ポート振替表!$O$5:$O$3507,$L2120)&amp;""))</f>
        <v/>
      </c>
      <c r="F2120" s="52" t="str">
        <f aca="false">IF(L2120="","",INDEX(ポート振替表!$K$5:$K$3507,$L2120)&amp;" "&amp;INDEX(ポート振替表!$L$5:$L$3507,$L2120)&amp;"  ⇔  "&amp;INDEX(ポート振替表!$H$5:$H$3507,$L2120)&amp;" "&amp;INDEX(ポート振替表!$I$5:$I$3507,$L2120))</f>
        <v/>
      </c>
      <c r="G2120" s="57" t="s">
        <v>158</v>
      </c>
      <c r="H2120" s="32" t="str">
        <f aca="false">IF(L2120="","",INDEX(ポート振替表!$N$5:$N$3507,$L2120)&amp;"")</f>
        <v/>
      </c>
      <c r="I2120" s="32" t="str">
        <f aca="false">IF(L2120="","",INDEX(ポート振替表!$P$5:$P$3507,$L2120)&amp;"")</f>
        <v/>
      </c>
      <c r="J2120" s="60" t="str">
        <f aca="false">IF(L2120="","",INDEX(ポート振替表!$M$5:$M$3507,$L2120)&amp;"")</f>
        <v/>
      </c>
      <c r="K2120" s="52" t="str">
        <f aca="false">IF(L2120="","",E2120&amp;CHAR(10)&amp;INDEX(ポート振替表!$K$5:$K$3507,$L2120)&amp;" "&amp;INDEX(ポート振替表!$L$5:$L$3507,$L2120)&amp;CHAR(10)&amp;"⇔ "&amp;INDEX(ポート振替表!$H$5:$H$3507,$L2120)&amp;" "&amp;INDEX(ポート振替表!$I$5:$I$3507,$L2120))</f>
        <v/>
      </c>
      <c r="L2120" s="47" t="str">
        <f aca="false">IFERROR(MATCH(ROW()-4,ポート振替表!$V$5:$V$3507,0),"")</f>
        <v/>
      </c>
    </row>
    <row r="2121" customFormat="false" ht="16.4" hidden="false" customHeight="false" outlineLevel="0" collapsed="false">
      <c r="A2121" s="32" t="str">
        <f aca="false">IF(L2121="","",ROW()-4)</f>
        <v/>
      </c>
      <c r="B2121" s="58" t="str">
        <f aca="false">IF(L2121="","",IF(INDEX(ポート振替表!$W$5:$W$3507,$L2121)="","(なし)",INDEX(ポート振替表!$W$5:$W$3507,$L2121)&amp;""))</f>
        <v/>
      </c>
      <c r="C2121" s="52" t="str">
        <f aca="false">IF(L2121="","",INDEX(ポート振替表!$B$5:$B$3507,$L2121)&amp;" "&amp;INDEX(ポート振替表!$C$5:$C$3507,$L2121)&amp;"  ⇔  "&amp;INDEX(ポート振替表!$H$5:$H$3507,$L2121)&amp;" "&amp;INDEX(ポート振替表!$I$5:$I$3507,$L2121))</f>
        <v/>
      </c>
      <c r="D2121" s="57" t="s">
        <v>158</v>
      </c>
      <c r="E2121" s="59" t="str">
        <f aca="false">IF(L2121="","",IF(INDEX(ポート振替表!$O$5:$O$3507,$L2121)="","(未設定)",INDEX(ポート振替表!$O$5:$O$3507,$L2121)&amp;""))</f>
        <v/>
      </c>
      <c r="F2121" s="52" t="str">
        <f aca="false">IF(L2121="","",INDEX(ポート振替表!$K$5:$K$3507,$L2121)&amp;" "&amp;INDEX(ポート振替表!$L$5:$L$3507,$L2121)&amp;"  ⇔  "&amp;INDEX(ポート振替表!$H$5:$H$3507,$L2121)&amp;" "&amp;INDEX(ポート振替表!$I$5:$I$3507,$L2121))</f>
        <v/>
      </c>
      <c r="G2121" s="57" t="s">
        <v>158</v>
      </c>
      <c r="H2121" s="32" t="str">
        <f aca="false">IF(L2121="","",INDEX(ポート振替表!$N$5:$N$3507,$L2121)&amp;"")</f>
        <v/>
      </c>
      <c r="I2121" s="32" t="str">
        <f aca="false">IF(L2121="","",INDEX(ポート振替表!$P$5:$P$3507,$L2121)&amp;"")</f>
        <v/>
      </c>
      <c r="J2121" s="60" t="str">
        <f aca="false">IF(L2121="","",INDEX(ポート振替表!$M$5:$M$3507,$L2121)&amp;"")</f>
        <v/>
      </c>
      <c r="K2121" s="52" t="str">
        <f aca="false">IF(L2121="","",E2121&amp;CHAR(10)&amp;INDEX(ポート振替表!$K$5:$K$3507,$L2121)&amp;" "&amp;INDEX(ポート振替表!$L$5:$L$3507,$L2121)&amp;CHAR(10)&amp;"⇔ "&amp;INDEX(ポート振替表!$H$5:$H$3507,$L2121)&amp;" "&amp;INDEX(ポート振替表!$I$5:$I$3507,$L2121))</f>
        <v/>
      </c>
      <c r="L2121" s="47" t="str">
        <f aca="false">IFERROR(MATCH(ROW()-4,ポート振替表!$V$5:$V$3507,0),"")</f>
        <v/>
      </c>
    </row>
    <row r="2122" customFormat="false" ht="16.4" hidden="false" customHeight="false" outlineLevel="0" collapsed="false">
      <c r="A2122" s="32" t="str">
        <f aca="false">IF(L2122="","",ROW()-4)</f>
        <v/>
      </c>
      <c r="B2122" s="58" t="str">
        <f aca="false">IF(L2122="","",IF(INDEX(ポート振替表!$W$5:$W$3507,$L2122)="","(なし)",INDEX(ポート振替表!$W$5:$W$3507,$L2122)&amp;""))</f>
        <v/>
      </c>
      <c r="C2122" s="52" t="str">
        <f aca="false">IF(L2122="","",INDEX(ポート振替表!$B$5:$B$3507,$L2122)&amp;" "&amp;INDEX(ポート振替表!$C$5:$C$3507,$L2122)&amp;"  ⇔  "&amp;INDEX(ポート振替表!$H$5:$H$3507,$L2122)&amp;" "&amp;INDEX(ポート振替表!$I$5:$I$3507,$L2122))</f>
        <v/>
      </c>
      <c r="D2122" s="57" t="s">
        <v>158</v>
      </c>
      <c r="E2122" s="59" t="str">
        <f aca="false">IF(L2122="","",IF(INDEX(ポート振替表!$O$5:$O$3507,$L2122)="","(未設定)",INDEX(ポート振替表!$O$5:$O$3507,$L2122)&amp;""))</f>
        <v/>
      </c>
      <c r="F2122" s="52" t="str">
        <f aca="false">IF(L2122="","",INDEX(ポート振替表!$K$5:$K$3507,$L2122)&amp;" "&amp;INDEX(ポート振替表!$L$5:$L$3507,$L2122)&amp;"  ⇔  "&amp;INDEX(ポート振替表!$H$5:$H$3507,$L2122)&amp;" "&amp;INDEX(ポート振替表!$I$5:$I$3507,$L2122))</f>
        <v/>
      </c>
      <c r="G2122" s="57" t="s">
        <v>158</v>
      </c>
      <c r="H2122" s="32" t="str">
        <f aca="false">IF(L2122="","",INDEX(ポート振替表!$N$5:$N$3507,$L2122)&amp;"")</f>
        <v/>
      </c>
      <c r="I2122" s="32" t="str">
        <f aca="false">IF(L2122="","",INDEX(ポート振替表!$P$5:$P$3507,$L2122)&amp;"")</f>
        <v/>
      </c>
      <c r="J2122" s="60" t="str">
        <f aca="false">IF(L2122="","",INDEX(ポート振替表!$M$5:$M$3507,$L2122)&amp;"")</f>
        <v/>
      </c>
      <c r="K2122" s="52" t="str">
        <f aca="false">IF(L2122="","",E2122&amp;CHAR(10)&amp;INDEX(ポート振替表!$K$5:$K$3507,$L2122)&amp;" "&amp;INDEX(ポート振替表!$L$5:$L$3507,$L2122)&amp;CHAR(10)&amp;"⇔ "&amp;INDEX(ポート振替表!$H$5:$H$3507,$L2122)&amp;" "&amp;INDEX(ポート振替表!$I$5:$I$3507,$L2122))</f>
        <v/>
      </c>
      <c r="L2122" s="47" t="str">
        <f aca="false">IFERROR(MATCH(ROW()-4,ポート振替表!$V$5:$V$3507,0),"")</f>
        <v/>
      </c>
    </row>
    <row r="2123" customFormat="false" ht="16.4" hidden="false" customHeight="false" outlineLevel="0" collapsed="false">
      <c r="A2123" s="32" t="str">
        <f aca="false">IF(L2123="","",ROW()-4)</f>
        <v/>
      </c>
      <c r="B2123" s="58" t="str">
        <f aca="false">IF(L2123="","",IF(INDEX(ポート振替表!$W$5:$W$3507,$L2123)="","(なし)",INDEX(ポート振替表!$W$5:$W$3507,$L2123)&amp;""))</f>
        <v/>
      </c>
      <c r="C2123" s="52" t="str">
        <f aca="false">IF(L2123="","",INDEX(ポート振替表!$B$5:$B$3507,$L2123)&amp;" "&amp;INDEX(ポート振替表!$C$5:$C$3507,$L2123)&amp;"  ⇔  "&amp;INDEX(ポート振替表!$H$5:$H$3507,$L2123)&amp;" "&amp;INDEX(ポート振替表!$I$5:$I$3507,$L2123))</f>
        <v/>
      </c>
      <c r="D2123" s="57" t="s">
        <v>158</v>
      </c>
      <c r="E2123" s="59" t="str">
        <f aca="false">IF(L2123="","",IF(INDEX(ポート振替表!$O$5:$O$3507,$L2123)="","(未設定)",INDEX(ポート振替表!$O$5:$O$3507,$L2123)&amp;""))</f>
        <v/>
      </c>
      <c r="F2123" s="52" t="str">
        <f aca="false">IF(L2123="","",INDEX(ポート振替表!$K$5:$K$3507,$L2123)&amp;" "&amp;INDEX(ポート振替表!$L$5:$L$3507,$L2123)&amp;"  ⇔  "&amp;INDEX(ポート振替表!$H$5:$H$3507,$L2123)&amp;" "&amp;INDEX(ポート振替表!$I$5:$I$3507,$L2123))</f>
        <v/>
      </c>
      <c r="G2123" s="57" t="s">
        <v>158</v>
      </c>
      <c r="H2123" s="32" t="str">
        <f aca="false">IF(L2123="","",INDEX(ポート振替表!$N$5:$N$3507,$L2123)&amp;"")</f>
        <v/>
      </c>
      <c r="I2123" s="32" t="str">
        <f aca="false">IF(L2123="","",INDEX(ポート振替表!$P$5:$P$3507,$L2123)&amp;"")</f>
        <v/>
      </c>
      <c r="J2123" s="60" t="str">
        <f aca="false">IF(L2123="","",INDEX(ポート振替表!$M$5:$M$3507,$L2123)&amp;"")</f>
        <v/>
      </c>
      <c r="K2123" s="52" t="str">
        <f aca="false">IF(L2123="","",E2123&amp;CHAR(10)&amp;INDEX(ポート振替表!$K$5:$K$3507,$L2123)&amp;" "&amp;INDEX(ポート振替表!$L$5:$L$3507,$L2123)&amp;CHAR(10)&amp;"⇔ "&amp;INDEX(ポート振替表!$H$5:$H$3507,$L2123)&amp;" "&amp;INDEX(ポート振替表!$I$5:$I$3507,$L2123))</f>
        <v/>
      </c>
      <c r="L2123" s="47" t="str">
        <f aca="false">IFERROR(MATCH(ROW()-4,ポート振替表!$V$5:$V$3507,0),"")</f>
        <v/>
      </c>
    </row>
    <row r="2124" customFormat="false" ht="16.4" hidden="false" customHeight="false" outlineLevel="0" collapsed="false">
      <c r="A2124" s="32" t="str">
        <f aca="false">IF(L2124="","",ROW()-4)</f>
        <v/>
      </c>
      <c r="B2124" s="58" t="str">
        <f aca="false">IF(L2124="","",IF(INDEX(ポート振替表!$W$5:$W$3507,$L2124)="","(なし)",INDEX(ポート振替表!$W$5:$W$3507,$L2124)&amp;""))</f>
        <v/>
      </c>
      <c r="C2124" s="52" t="str">
        <f aca="false">IF(L2124="","",INDEX(ポート振替表!$B$5:$B$3507,$L2124)&amp;" "&amp;INDEX(ポート振替表!$C$5:$C$3507,$L2124)&amp;"  ⇔  "&amp;INDEX(ポート振替表!$H$5:$H$3507,$L2124)&amp;" "&amp;INDEX(ポート振替表!$I$5:$I$3507,$L2124))</f>
        <v/>
      </c>
      <c r="D2124" s="57" t="s">
        <v>158</v>
      </c>
      <c r="E2124" s="59" t="str">
        <f aca="false">IF(L2124="","",IF(INDEX(ポート振替表!$O$5:$O$3507,$L2124)="","(未設定)",INDEX(ポート振替表!$O$5:$O$3507,$L2124)&amp;""))</f>
        <v/>
      </c>
      <c r="F2124" s="52" t="str">
        <f aca="false">IF(L2124="","",INDEX(ポート振替表!$K$5:$K$3507,$L2124)&amp;" "&amp;INDEX(ポート振替表!$L$5:$L$3507,$L2124)&amp;"  ⇔  "&amp;INDEX(ポート振替表!$H$5:$H$3507,$L2124)&amp;" "&amp;INDEX(ポート振替表!$I$5:$I$3507,$L2124))</f>
        <v/>
      </c>
      <c r="G2124" s="57" t="s">
        <v>158</v>
      </c>
      <c r="H2124" s="32" t="str">
        <f aca="false">IF(L2124="","",INDEX(ポート振替表!$N$5:$N$3507,$L2124)&amp;"")</f>
        <v/>
      </c>
      <c r="I2124" s="32" t="str">
        <f aca="false">IF(L2124="","",INDEX(ポート振替表!$P$5:$P$3507,$L2124)&amp;"")</f>
        <v/>
      </c>
      <c r="J2124" s="60" t="str">
        <f aca="false">IF(L2124="","",INDEX(ポート振替表!$M$5:$M$3507,$L2124)&amp;"")</f>
        <v/>
      </c>
      <c r="K2124" s="52" t="str">
        <f aca="false">IF(L2124="","",E2124&amp;CHAR(10)&amp;INDEX(ポート振替表!$K$5:$K$3507,$L2124)&amp;" "&amp;INDEX(ポート振替表!$L$5:$L$3507,$L2124)&amp;CHAR(10)&amp;"⇔ "&amp;INDEX(ポート振替表!$H$5:$H$3507,$L2124)&amp;" "&amp;INDEX(ポート振替表!$I$5:$I$3507,$L2124))</f>
        <v/>
      </c>
      <c r="L2124" s="47" t="str">
        <f aca="false">IFERROR(MATCH(ROW()-4,ポート振替表!$V$5:$V$3507,0),"")</f>
        <v/>
      </c>
    </row>
    <row r="2125" customFormat="false" ht="16.4" hidden="false" customHeight="false" outlineLevel="0" collapsed="false">
      <c r="A2125" s="32" t="str">
        <f aca="false">IF(L2125="","",ROW()-4)</f>
        <v/>
      </c>
      <c r="B2125" s="58" t="str">
        <f aca="false">IF(L2125="","",IF(INDEX(ポート振替表!$W$5:$W$3507,$L2125)="","(なし)",INDEX(ポート振替表!$W$5:$W$3507,$L2125)&amp;""))</f>
        <v/>
      </c>
      <c r="C2125" s="52" t="str">
        <f aca="false">IF(L2125="","",INDEX(ポート振替表!$B$5:$B$3507,$L2125)&amp;" "&amp;INDEX(ポート振替表!$C$5:$C$3507,$L2125)&amp;"  ⇔  "&amp;INDEX(ポート振替表!$H$5:$H$3507,$L2125)&amp;" "&amp;INDEX(ポート振替表!$I$5:$I$3507,$L2125))</f>
        <v/>
      </c>
      <c r="D2125" s="57" t="s">
        <v>158</v>
      </c>
      <c r="E2125" s="59" t="str">
        <f aca="false">IF(L2125="","",IF(INDEX(ポート振替表!$O$5:$O$3507,$L2125)="","(未設定)",INDEX(ポート振替表!$O$5:$O$3507,$L2125)&amp;""))</f>
        <v/>
      </c>
      <c r="F2125" s="52" t="str">
        <f aca="false">IF(L2125="","",INDEX(ポート振替表!$K$5:$K$3507,$L2125)&amp;" "&amp;INDEX(ポート振替表!$L$5:$L$3507,$L2125)&amp;"  ⇔  "&amp;INDEX(ポート振替表!$H$5:$H$3507,$L2125)&amp;" "&amp;INDEX(ポート振替表!$I$5:$I$3507,$L2125))</f>
        <v/>
      </c>
      <c r="G2125" s="57" t="s">
        <v>158</v>
      </c>
      <c r="H2125" s="32" t="str">
        <f aca="false">IF(L2125="","",INDEX(ポート振替表!$N$5:$N$3507,$L2125)&amp;"")</f>
        <v/>
      </c>
      <c r="I2125" s="32" t="str">
        <f aca="false">IF(L2125="","",INDEX(ポート振替表!$P$5:$P$3507,$L2125)&amp;"")</f>
        <v/>
      </c>
      <c r="J2125" s="60" t="str">
        <f aca="false">IF(L2125="","",INDEX(ポート振替表!$M$5:$M$3507,$L2125)&amp;"")</f>
        <v/>
      </c>
      <c r="K2125" s="52" t="str">
        <f aca="false">IF(L2125="","",E2125&amp;CHAR(10)&amp;INDEX(ポート振替表!$K$5:$K$3507,$L2125)&amp;" "&amp;INDEX(ポート振替表!$L$5:$L$3507,$L2125)&amp;CHAR(10)&amp;"⇔ "&amp;INDEX(ポート振替表!$H$5:$H$3507,$L2125)&amp;" "&amp;INDEX(ポート振替表!$I$5:$I$3507,$L2125))</f>
        <v/>
      </c>
      <c r="L2125" s="47" t="str">
        <f aca="false">IFERROR(MATCH(ROW()-4,ポート振替表!$V$5:$V$3507,0),"")</f>
        <v/>
      </c>
    </row>
    <row r="2126" customFormat="false" ht="16.4" hidden="false" customHeight="false" outlineLevel="0" collapsed="false">
      <c r="A2126" s="32" t="str">
        <f aca="false">IF(L2126="","",ROW()-4)</f>
        <v/>
      </c>
      <c r="B2126" s="58" t="str">
        <f aca="false">IF(L2126="","",IF(INDEX(ポート振替表!$W$5:$W$3507,$L2126)="","(なし)",INDEX(ポート振替表!$W$5:$W$3507,$L2126)&amp;""))</f>
        <v/>
      </c>
      <c r="C2126" s="52" t="str">
        <f aca="false">IF(L2126="","",INDEX(ポート振替表!$B$5:$B$3507,$L2126)&amp;" "&amp;INDEX(ポート振替表!$C$5:$C$3507,$L2126)&amp;"  ⇔  "&amp;INDEX(ポート振替表!$H$5:$H$3507,$L2126)&amp;" "&amp;INDEX(ポート振替表!$I$5:$I$3507,$L2126))</f>
        <v/>
      </c>
      <c r="D2126" s="57" t="s">
        <v>158</v>
      </c>
      <c r="E2126" s="59" t="str">
        <f aca="false">IF(L2126="","",IF(INDEX(ポート振替表!$O$5:$O$3507,$L2126)="","(未設定)",INDEX(ポート振替表!$O$5:$O$3507,$L2126)&amp;""))</f>
        <v/>
      </c>
      <c r="F2126" s="52" t="str">
        <f aca="false">IF(L2126="","",INDEX(ポート振替表!$K$5:$K$3507,$L2126)&amp;" "&amp;INDEX(ポート振替表!$L$5:$L$3507,$L2126)&amp;"  ⇔  "&amp;INDEX(ポート振替表!$H$5:$H$3507,$L2126)&amp;" "&amp;INDEX(ポート振替表!$I$5:$I$3507,$L2126))</f>
        <v/>
      </c>
      <c r="G2126" s="57" t="s">
        <v>158</v>
      </c>
      <c r="H2126" s="32" t="str">
        <f aca="false">IF(L2126="","",INDEX(ポート振替表!$N$5:$N$3507,$L2126)&amp;"")</f>
        <v/>
      </c>
      <c r="I2126" s="32" t="str">
        <f aca="false">IF(L2126="","",INDEX(ポート振替表!$P$5:$P$3507,$L2126)&amp;"")</f>
        <v/>
      </c>
      <c r="J2126" s="60" t="str">
        <f aca="false">IF(L2126="","",INDEX(ポート振替表!$M$5:$M$3507,$L2126)&amp;"")</f>
        <v/>
      </c>
      <c r="K2126" s="52" t="str">
        <f aca="false">IF(L2126="","",E2126&amp;CHAR(10)&amp;INDEX(ポート振替表!$K$5:$K$3507,$L2126)&amp;" "&amp;INDEX(ポート振替表!$L$5:$L$3507,$L2126)&amp;CHAR(10)&amp;"⇔ "&amp;INDEX(ポート振替表!$H$5:$H$3507,$L2126)&amp;" "&amp;INDEX(ポート振替表!$I$5:$I$3507,$L2126))</f>
        <v/>
      </c>
      <c r="L2126" s="47" t="str">
        <f aca="false">IFERROR(MATCH(ROW()-4,ポート振替表!$V$5:$V$3507,0),"")</f>
        <v/>
      </c>
    </row>
    <row r="2127" customFormat="false" ht="16.4" hidden="false" customHeight="false" outlineLevel="0" collapsed="false">
      <c r="A2127" s="32" t="str">
        <f aca="false">IF(L2127="","",ROW()-4)</f>
        <v/>
      </c>
      <c r="B2127" s="58" t="str">
        <f aca="false">IF(L2127="","",IF(INDEX(ポート振替表!$W$5:$W$3507,$L2127)="","(なし)",INDEX(ポート振替表!$W$5:$W$3507,$L2127)&amp;""))</f>
        <v/>
      </c>
      <c r="C2127" s="52" t="str">
        <f aca="false">IF(L2127="","",INDEX(ポート振替表!$B$5:$B$3507,$L2127)&amp;" "&amp;INDEX(ポート振替表!$C$5:$C$3507,$L2127)&amp;"  ⇔  "&amp;INDEX(ポート振替表!$H$5:$H$3507,$L2127)&amp;" "&amp;INDEX(ポート振替表!$I$5:$I$3507,$L2127))</f>
        <v/>
      </c>
      <c r="D2127" s="57" t="s">
        <v>158</v>
      </c>
      <c r="E2127" s="59" t="str">
        <f aca="false">IF(L2127="","",IF(INDEX(ポート振替表!$O$5:$O$3507,$L2127)="","(未設定)",INDEX(ポート振替表!$O$5:$O$3507,$L2127)&amp;""))</f>
        <v/>
      </c>
      <c r="F2127" s="52" t="str">
        <f aca="false">IF(L2127="","",INDEX(ポート振替表!$K$5:$K$3507,$L2127)&amp;" "&amp;INDEX(ポート振替表!$L$5:$L$3507,$L2127)&amp;"  ⇔  "&amp;INDEX(ポート振替表!$H$5:$H$3507,$L2127)&amp;" "&amp;INDEX(ポート振替表!$I$5:$I$3507,$L2127))</f>
        <v/>
      </c>
      <c r="G2127" s="57" t="s">
        <v>158</v>
      </c>
      <c r="H2127" s="32" t="str">
        <f aca="false">IF(L2127="","",INDEX(ポート振替表!$N$5:$N$3507,$L2127)&amp;"")</f>
        <v/>
      </c>
      <c r="I2127" s="32" t="str">
        <f aca="false">IF(L2127="","",INDEX(ポート振替表!$P$5:$P$3507,$L2127)&amp;"")</f>
        <v/>
      </c>
      <c r="J2127" s="60" t="str">
        <f aca="false">IF(L2127="","",INDEX(ポート振替表!$M$5:$M$3507,$L2127)&amp;"")</f>
        <v/>
      </c>
      <c r="K2127" s="52" t="str">
        <f aca="false">IF(L2127="","",E2127&amp;CHAR(10)&amp;INDEX(ポート振替表!$K$5:$K$3507,$L2127)&amp;" "&amp;INDEX(ポート振替表!$L$5:$L$3507,$L2127)&amp;CHAR(10)&amp;"⇔ "&amp;INDEX(ポート振替表!$H$5:$H$3507,$L2127)&amp;" "&amp;INDEX(ポート振替表!$I$5:$I$3507,$L2127))</f>
        <v/>
      </c>
      <c r="L2127" s="47" t="str">
        <f aca="false">IFERROR(MATCH(ROW()-4,ポート振替表!$V$5:$V$3507,0),"")</f>
        <v/>
      </c>
    </row>
    <row r="2128" customFormat="false" ht="16.4" hidden="false" customHeight="false" outlineLevel="0" collapsed="false">
      <c r="A2128" s="32" t="str">
        <f aca="false">IF(L2128="","",ROW()-4)</f>
        <v/>
      </c>
      <c r="B2128" s="58" t="str">
        <f aca="false">IF(L2128="","",IF(INDEX(ポート振替表!$W$5:$W$3507,$L2128)="","(なし)",INDEX(ポート振替表!$W$5:$W$3507,$L2128)&amp;""))</f>
        <v/>
      </c>
      <c r="C2128" s="52" t="str">
        <f aca="false">IF(L2128="","",INDEX(ポート振替表!$B$5:$B$3507,$L2128)&amp;" "&amp;INDEX(ポート振替表!$C$5:$C$3507,$L2128)&amp;"  ⇔  "&amp;INDEX(ポート振替表!$H$5:$H$3507,$L2128)&amp;" "&amp;INDEX(ポート振替表!$I$5:$I$3507,$L2128))</f>
        <v/>
      </c>
      <c r="D2128" s="57" t="s">
        <v>158</v>
      </c>
      <c r="E2128" s="59" t="str">
        <f aca="false">IF(L2128="","",IF(INDEX(ポート振替表!$O$5:$O$3507,$L2128)="","(未設定)",INDEX(ポート振替表!$O$5:$O$3507,$L2128)&amp;""))</f>
        <v/>
      </c>
      <c r="F2128" s="52" t="str">
        <f aca="false">IF(L2128="","",INDEX(ポート振替表!$K$5:$K$3507,$L2128)&amp;" "&amp;INDEX(ポート振替表!$L$5:$L$3507,$L2128)&amp;"  ⇔  "&amp;INDEX(ポート振替表!$H$5:$H$3507,$L2128)&amp;" "&amp;INDEX(ポート振替表!$I$5:$I$3507,$L2128))</f>
        <v/>
      </c>
      <c r="G2128" s="57" t="s">
        <v>158</v>
      </c>
      <c r="H2128" s="32" t="str">
        <f aca="false">IF(L2128="","",INDEX(ポート振替表!$N$5:$N$3507,$L2128)&amp;"")</f>
        <v/>
      </c>
      <c r="I2128" s="32" t="str">
        <f aca="false">IF(L2128="","",INDEX(ポート振替表!$P$5:$P$3507,$L2128)&amp;"")</f>
        <v/>
      </c>
      <c r="J2128" s="60" t="str">
        <f aca="false">IF(L2128="","",INDEX(ポート振替表!$M$5:$M$3507,$L2128)&amp;"")</f>
        <v/>
      </c>
      <c r="K2128" s="52" t="str">
        <f aca="false">IF(L2128="","",E2128&amp;CHAR(10)&amp;INDEX(ポート振替表!$K$5:$K$3507,$L2128)&amp;" "&amp;INDEX(ポート振替表!$L$5:$L$3507,$L2128)&amp;CHAR(10)&amp;"⇔ "&amp;INDEX(ポート振替表!$H$5:$H$3507,$L2128)&amp;" "&amp;INDEX(ポート振替表!$I$5:$I$3507,$L2128))</f>
        <v/>
      </c>
      <c r="L2128" s="47" t="str">
        <f aca="false">IFERROR(MATCH(ROW()-4,ポート振替表!$V$5:$V$3507,0),"")</f>
        <v/>
      </c>
    </row>
    <row r="2129" customFormat="false" ht="16.4" hidden="false" customHeight="false" outlineLevel="0" collapsed="false">
      <c r="A2129" s="32" t="str">
        <f aca="false">IF(L2129="","",ROW()-4)</f>
        <v/>
      </c>
      <c r="B2129" s="58" t="str">
        <f aca="false">IF(L2129="","",IF(INDEX(ポート振替表!$W$5:$W$3507,$L2129)="","(なし)",INDEX(ポート振替表!$W$5:$W$3507,$L2129)&amp;""))</f>
        <v/>
      </c>
      <c r="C2129" s="52" t="str">
        <f aca="false">IF(L2129="","",INDEX(ポート振替表!$B$5:$B$3507,$L2129)&amp;" "&amp;INDEX(ポート振替表!$C$5:$C$3507,$L2129)&amp;"  ⇔  "&amp;INDEX(ポート振替表!$H$5:$H$3507,$L2129)&amp;" "&amp;INDEX(ポート振替表!$I$5:$I$3507,$L2129))</f>
        <v/>
      </c>
      <c r="D2129" s="57" t="s">
        <v>158</v>
      </c>
      <c r="E2129" s="59" t="str">
        <f aca="false">IF(L2129="","",IF(INDEX(ポート振替表!$O$5:$O$3507,$L2129)="","(未設定)",INDEX(ポート振替表!$O$5:$O$3507,$L2129)&amp;""))</f>
        <v/>
      </c>
      <c r="F2129" s="52" t="str">
        <f aca="false">IF(L2129="","",INDEX(ポート振替表!$K$5:$K$3507,$L2129)&amp;" "&amp;INDEX(ポート振替表!$L$5:$L$3507,$L2129)&amp;"  ⇔  "&amp;INDEX(ポート振替表!$H$5:$H$3507,$L2129)&amp;" "&amp;INDEX(ポート振替表!$I$5:$I$3507,$L2129))</f>
        <v/>
      </c>
      <c r="G2129" s="57" t="s">
        <v>158</v>
      </c>
      <c r="H2129" s="32" t="str">
        <f aca="false">IF(L2129="","",INDEX(ポート振替表!$N$5:$N$3507,$L2129)&amp;"")</f>
        <v/>
      </c>
      <c r="I2129" s="32" t="str">
        <f aca="false">IF(L2129="","",INDEX(ポート振替表!$P$5:$P$3507,$L2129)&amp;"")</f>
        <v/>
      </c>
      <c r="J2129" s="60" t="str">
        <f aca="false">IF(L2129="","",INDEX(ポート振替表!$M$5:$M$3507,$L2129)&amp;"")</f>
        <v/>
      </c>
      <c r="K2129" s="52" t="str">
        <f aca="false">IF(L2129="","",E2129&amp;CHAR(10)&amp;INDEX(ポート振替表!$K$5:$K$3507,$L2129)&amp;" "&amp;INDEX(ポート振替表!$L$5:$L$3507,$L2129)&amp;CHAR(10)&amp;"⇔ "&amp;INDEX(ポート振替表!$H$5:$H$3507,$L2129)&amp;" "&amp;INDEX(ポート振替表!$I$5:$I$3507,$L2129))</f>
        <v/>
      </c>
      <c r="L2129" s="47" t="str">
        <f aca="false">IFERROR(MATCH(ROW()-4,ポート振替表!$V$5:$V$3507,0),"")</f>
        <v/>
      </c>
    </row>
    <row r="2130" customFormat="false" ht="16.4" hidden="false" customHeight="false" outlineLevel="0" collapsed="false">
      <c r="A2130" s="32" t="str">
        <f aca="false">IF(L2130="","",ROW()-4)</f>
        <v/>
      </c>
      <c r="B2130" s="58" t="str">
        <f aca="false">IF(L2130="","",IF(INDEX(ポート振替表!$W$5:$W$3507,$L2130)="","(なし)",INDEX(ポート振替表!$W$5:$W$3507,$L2130)&amp;""))</f>
        <v/>
      </c>
      <c r="C2130" s="52" t="str">
        <f aca="false">IF(L2130="","",INDEX(ポート振替表!$B$5:$B$3507,$L2130)&amp;" "&amp;INDEX(ポート振替表!$C$5:$C$3507,$L2130)&amp;"  ⇔  "&amp;INDEX(ポート振替表!$H$5:$H$3507,$L2130)&amp;" "&amp;INDEX(ポート振替表!$I$5:$I$3507,$L2130))</f>
        <v/>
      </c>
      <c r="D2130" s="57" t="s">
        <v>158</v>
      </c>
      <c r="E2130" s="59" t="str">
        <f aca="false">IF(L2130="","",IF(INDEX(ポート振替表!$O$5:$O$3507,$L2130)="","(未設定)",INDEX(ポート振替表!$O$5:$O$3507,$L2130)&amp;""))</f>
        <v/>
      </c>
      <c r="F2130" s="52" t="str">
        <f aca="false">IF(L2130="","",INDEX(ポート振替表!$K$5:$K$3507,$L2130)&amp;" "&amp;INDEX(ポート振替表!$L$5:$L$3507,$L2130)&amp;"  ⇔  "&amp;INDEX(ポート振替表!$H$5:$H$3507,$L2130)&amp;" "&amp;INDEX(ポート振替表!$I$5:$I$3507,$L2130))</f>
        <v/>
      </c>
      <c r="G2130" s="57" t="s">
        <v>158</v>
      </c>
      <c r="H2130" s="32" t="str">
        <f aca="false">IF(L2130="","",INDEX(ポート振替表!$N$5:$N$3507,$L2130)&amp;"")</f>
        <v/>
      </c>
      <c r="I2130" s="32" t="str">
        <f aca="false">IF(L2130="","",INDEX(ポート振替表!$P$5:$P$3507,$L2130)&amp;"")</f>
        <v/>
      </c>
      <c r="J2130" s="60" t="str">
        <f aca="false">IF(L2130="","",INDEX(ポート振替表!$M$5:$M$3507,$L2130)&amp;"")</f>
        <v/>
      </c>
      <c r="K2130" s="52" t="str">
        <f aca="false">IF(L2130="","",E2130&amp;CHAR(10)&amp;INDEX(ポート振替表!$K$5:$K$3507,$L2130)&amp;" "&amp;INDEX(ポート振替表!$L$5:$L$3507,$L2130)&amp;CHAR(10)&amp;"⇔ "&amp;INDEX(ポート振替表!$H$5:$H$3507,$L2130)&amp;" "&amp;INDEX(ポート振替表!$I$5:$I$3507,$L2130))</f>
        <v/>
      </c>
      <c r="L2130" s="47" t="str">
        <f aca="false">IFERROR(MATCH(ROW()-4,ポート振替表!$V$5:$V$3507,0),"")</f>
        <v/>
      </c>
    </row>
    <row r="2131" customFormat="false" ht="16.4" hidden="false" customHeight="false" outlineLevel="0" collapsed="false">
      <c r="A2131" s="32" t="str">
        <f aca="false">IF(L2131="","",ROW()-4)</f>
        <v/>
      </c>
      <c r="B2131" s="58" t="str">
        <f aca="false">IF(L2131="","",IF(INDEX(ポート振替表!$W$5:$W$3507,$L2131)="","(なし)",INDEX(ポート振替表!$W$5:$W$3507,$L2131)&amp;""))</f>
        <v/>
      </c>
      <c r="C2131" s="52" t="str">
        <f aca="false">IF(L2131="","",INDEX(ポート振替表!$B$5:$B$3507,$L2131)&amp;" "&amp;INDEX(ポート振替表!$C$5:$C$3507,$L2131)&amp;"  ⇔  "&amp;INDEX(ポート振替表!$H$5:$H$3507,$L2131)&amp;" "&amp;INDEX(ポート振替表!$I$5:$I$3507,$L2131))</f>
        <v/>
      </c>
      <c r="D2131" s="57" t="s">
        <v>158</v>
      </c>
      <c r="E2131" s="59" t="str">
        <f aca="false">IF(L2131="","",IF(INDEX(ポート振替表!$O$5:$O$3507,$L2131)="","(未設定)",INDEX(ポート振替表!$O$5:$O$3507,$L2131)&amp;""))</f>
        <v/>
      </c>
      <c r="F2131" s="52" t="str">
        <f aca="false">IF(L2131="","",INDEX(ポート振替表!$K$5:$K$3507,$L2131)&amp;" "&amp;INDEX(ポート振替表!$L$5:$L$3507,$L2131)&amp;"  ⇔  "&amp;INDEX(ポート振替表!$H$5:$H$3507,$L2131)&amp;" "&amp;INDEX(ポート振替表!$I$5:$I$3507,$L2131))</f>
        <v/>
      </c>
      <c r="G2131" s="57" t="s">
        <v>158</v>
      </c>
      <c r="H2131" s="32" t="str">
        <f aca="false">IF(L2131="","",INDEX(ポート振替表!$N$5:$N$3507,$L2131)&amp;"")</f>
        <v/>
      </c>
      <c r="I2131" s="32" t="str">
        <f aca="false">IF(L2131="","",INDEX(ポート振替表!$P$5:$P$3507,$L2131)&amp;"")</f>
        <v/>
      </c>
      <c r="J2131" s="60" t="str">
        <f aca="false">IF(L2131="","",INDEX(ポート振替表!$M$5:$M$3507,$L2131)&amp;"")</f>
        <v/>
      </c>
      <c r="K2131" s="52" t="str">
        <f aca="false">IF(L2131="","",E2131&amp;CHAR(10)&amp;INDEX(ポート振替表!$K$5:$K$3507,$L2131)&amp;" "&amp;INDEX(ポート振替表!$L$5:$L$3507,$L2131)&amp;CHAR(10)&amp;"⇔ "&amp;INDEX(ポート振替表!$H$5:$H$3507,$L2131)&amp;" "&amp;INDEX(ポート振替表!$I$5:$I$3507,$L2131))</f>
        <v/>
      </c>
      <c r="L2131" s="47" t="str">
        <f aca="false">IFERROR(MATCH(ROW()-4,ポート振替表!$V$5:$V$3507,0),"")</f>
        <v/>
      </c>
    </row>
    <row r="2132" customFormat="false" ht="16.4" hidden="false" customHeight="false" outlineLevel="0" collapsed="false">
      <c r="A2132" s="32" t="str">
        <f aca="false">IF(L2132="","",ROW()-4)</f>
        <v/>
      </c>
      <c r="B2132" s="58" t="str">
        <f aca="false">IF(L2132="","",IF(INDEX(ポート振替表!$W$5:$W$3507,$L2132)="","(なし)",INDEX(ポート振替表!$W$5:$W$3507,$L2132)&amp;""))</f>
        <v/>
      </c>
      <c r="C2132" s="52" t="str">
        <f aca="false">IF(L2132="","",INDEX(ポート振替表!$B$5:$B$3507,$L2132)&amp;" "&amp;INDEX(ポート振替表!$C$5:$C$3507,$L2132)&amp;"  ⇔  "&amp;INDEX(ポート振替表!$H$5:$H$3507,$L2132)&amp;" "&amp;INDEX(ポート振替表!$I$5:$I$3507,$L2132))</f>
        <v/>
      </c>
      <c r="D2132" s="57" t="s">
        <v>158</v>
      </c>
      <c r="E2132" s="59" t="str">
        <f aca="false">IF(L2132="","",IF(INDEX(ポート振替表!$O$5:$O$3507,$L2132)="","(未設定)",INDEX(ポート振替表!$O$5:$O$3507,$L2132)&amp;""))</f>
        <v/>
      </c>
      <c r="F2132" s="52" t="str">
        <f aca="false">IF(L2132="","",INDEX(ポート振替表!$K$5:$K$3507,$L2132)&amp;" "&amp;INDEX(ポート振替表!$L$5:$L$3507,$L2132)&amp;"  ⇔  "&amp;INDEX(ポート振替表!$H$5:$H$3507,$L2132)&amp;" "&amp;INDEX(ポート振替表!$I$5:$I$3507,$L2132))</f>
        <v/>
      </c>
      <c r="G2132" s="57" t="s">
        <v>158</v>
      </c>
      <c r="H2132" s="32" t="str">
        <f aca="false">IF(L2132="","",INDEX(ポート振替表!$N$5:$N$3507,$L2132)&amp;"")</f>
        <v/>
      </c>
      <c r="I2132" s="32" t="str">
        <f aca="false">IF(L2132="","",INDEX(ポート振替表!$P$5:$P$3507,$L2132)&amp;"")</f>
        <v/>
      </c>
      <c r="J2132" s="60" t="str">
        <f aca="false">IF(L2132="","",INDEX(ポート振替表!$M$5:$M$3507,$L2132)&amp;"")</f>
        <v/>
      </c>
      <c r="K2132" s="52" t="str">
        <f aca="false">IF(L2132="","",E2132&amp;CHAR(10)&amp;INDEX(ポート振替表!$K$5:$K$3507,$L2132)&amp;" "&amp;INDEX(ポート振替表!$L$5:$L$3507,$L2132)&amp;CHAR(10)&amp;"⇔ "&amp;INDEX(ポート振替表!$H$5:$H$3507,$L2132)&amp;" "&amp;INDEX(ポート振替表!$I$5:$I$3507,$L2132))</f>
        <v/>
      </c>
      <c r="L2132" s="47" t="str">
        <f aca="false">IFERROR(MATCH(ROW()-4,ポート振替表!$V$5:$V$3507,0),"")</f>
        <v/>
      </c>
    </row>
    <row r="2133" customFormat="false" ht="16.4" hidden="false" customHeight="false" outlineLevel="0" collapsed="false">
      <c r="A2133" s="32" t="str">
        <f aca="false">IF(L2133="","",ROW()-4)</f>
        <v/>
      </c>
      <c r="B2133" s="58" t="str">
        <f aca="false">IF(L2133="","",IF(INDEX(ポート振替表!$W$5:$W$3507,$L2133)="","(なし)",INDEX(ポート振替表!$W$5:$W$3507,$L2133)&amp;""))</f>
        <v/>
      </c>
      <c r="C2133" s="52" t="str">
        <f aca="false">IF(L2133="","",INDEX(ポート振替表!$B$5:$B$3507,$L2133)&amp;" "&amp;INDEX(ポート振替表!$C$5:$C$3507,$L2133)&amp;"  ⇔  "&amp;INDEX(ポート振替表!$H$5:$H$3507,$L2133)&amp;" "&amp;INDEX(ポート振替表!$I$5:$I$3507,$L2133))</f>
        <v/>
      </c>
      <c r="D2133" s="57" t="s">
        <v>158</v>
      </c>
      <c r="E2133" s="59" t="str">
        <f aca="false">IF(L2133="","",IF(INDEX(ポート振替表!$O$5:$O$3507,$L2133)="","(未設定)",INDEX(ポート振替表!$O$5:$O$3507,$L2133)&amp;""))</f>
        <v/>
      </c>
      <c r="F2133" s="52" t="str">
        <f aca="false">IF(L2133="","",INDEX(ポート振替表!$K$5:$K$3507,$L2133)&amp;" "&amp;INDEX(ポート振替表!$L$5:$L$3507,$L2133)&amp;"  ⇔  "&amp;INDEX(ポート振替表!$H$5:$H$3507,$L2133)&amp;" "&amp;INDEX(ポート振替表!$I$5:$I$3507,$L2133))</f>
        <v/>
      </c>
      <c r="G2133" s="57" t="s">
        <v>158</v>
      </c>
      <c r="H2133" s="32" t="str">
        <f aca="false">IF(L2133="","",INDEX(ポート振替表!$N$5:$N$3507,$L2133)&amp;"")</f>
        <v/>
      </c>
      <c r="I2133" s="32" t="str">
        <f aca="false">IF(L2133="","",INDEX(ポート振替表!$P$5:$P$3507,$L2133)&amp;"")</f>
        <v/>
      </c>
      <c r="J2133" s="60" t="str">
        <f aca="false">IF(L2133="","",INDEX(ポート振替表!$M$5:$M$3507,$L2133)&amp;"")</f>
        <v/>
      </c>
      <c r="K2133" s="52" t="str">
        <f aca="false">IF(L2133="","",E2133&amp;CHAR(10)&amp;INDEX(ポート振替表!$K$5:$K$3507,$L2133)&amp;" "&amp;INDEX(ポート振替表!$L$5:$L$3507,$L2133)&amp;CHAR(10)&amp;"⇔ "&amp;INDEX(ポート振替表!$H$5:$H$3507,$L2133)&amp;" "&amp;INDEX(ポート振替表!$I$5:$I$3507,$L2133))</f>
        <v/>
      </c>
      <c r="L2133" s="47" t="str">
        <f aca="false">IFERROR(MATCH(ROW()-4,ポート振替表!$V$5:$V$3507,0),"")</f>
        <v/>
      </c>
    </row>
    <row r="2134" customFormat="false" ht="16.4" hidden="false" customHeight="false" outlineLevel="0" collapsed="false">
      <c r="A2134" s="32" t="str">
        <f aca="false">IF(L2134="","",ROW()-4)</f>
        <v/>
      </c>
      <c r="B2134" s="58" t="str">
        <f aca="false">IF(L2134="","",IF(INDEX(ポート振替表!$W$5:$W$3507,$L2134)="","(なし)",INDEX(ポート振替表!$W$5:$W$3507,$L2134)&amp;""))</f>
        <v/>
      </c>
      <c r="C2134" s="52" t="str">
        <f aca="false">IF(L2134="","",INDEX(ポート振替表!$B$5:$B$3507,$L2134)&amp;" "&amp;INDEX(ポート振替表!$C$5:$C$3507,$L2134)&amp;"  ⇔  "&amp;INDEX(ポート振替表!$H$5:$H$3507,$L2134)&amp;" "&amp;INDEX(ポート振替表!$I$5:$I$3507,$L2134))</f>
        <v/>
      </c>
      <c r="D2134" s="57" t="s">
        <v>158</v>
      </c>
      <c r="E2134" s="59" t="str">
        <f aca="false">IF(L2134="","",IF(INDEX(ポート振替表!$O$5:$O$3507,$L2134)="","(未設定)",INDEX(ポート振替表!$O$5:$O$3507,$L2134)&amp;""))</f>
        <v/>
      </c>
      <c r="F2134" s="52" t="str">
        <f aca="false">IF(L2134="","",INDEX(ポート振替表!$K$5:$K$3507,$L2134)&amp;" "&amp;INDEX(ポート振替表!$L$5:$L$3507,$L2134)&amp;"  ⇔  "&amp;INDEX(ポート振替表!$H$5:$H$3507,$L2134)&amp;" "&amp;INDEX(ポート振替表!$I$5:$I$3507,$L2134))</f>
        <v/>
      </c>
      <c r="G2134" s="57" t="s">
        <v>158</v>
      </c>
      <c r="H2134" s="32" t="str">
        <f aca="false">IF(L2134="","",INDEX(ポート振替表!$N$5:$N$3507,$L2134)&amp;"")</f>
        <v/>
      </c>
      <c r="I2134" s="32" t="str">
        <f aca="false">IF(L2134="","",INDEX(ポート振替表!$P$5:$P$3507,$L2134)&amp;"")</f>
        <v/>
      </c>
      <c r="J2134" s="60" t="str">
        <f aca="false">IF(L2134="","",INDEX(ポート振替表!$M$5:$M$3507,$L2134)&amp;"")</f>
        <v/>
      </c>
      <c r="K2134" s="52" t="str">
        <f aca="false">IF(L2134="","",E2134&amp;CHAR(10)&amp;INDEX(ポート振替表!$K$5:$K$3507,$L2134)&amp;" "&amp;INDEX(ポート振替表!$L$5:$L$3507,$L2134)&amp;CHAR(10)&amp;"⇔ "&amp;INDEX(ポート振替表!$H$5:$H$3507,$L2134)&amp;" "&amp;INDEX(ポート振替表!$I$5:$I$3507,$L2134))</f>
        <v/>
      </c>
      <c r="L2134" s="47" t="str">
        <f aca="false">IFERROR(MATCH(ROW()-4,ポート振替表!$V$5:$V$3507,0),"")</f>
        <v/>
      </c>
    </row>
    <row r="2135" customFormat="false" ht="16.4" hidden="false" customHeight="false" outlineLevel="0" collapsed="false">
      <c r="A2135" s="32" t="str">
        <f aca="false">IF(L2135="","",ROW()-4)</f>
        <v/>
      </c>
      <c r="B2135" s="58" t="str">
        <f aca="false">IF(L2135="","",IF(INDEX(ポート振替表!$W$5:$W$3507,$L2135)="","(なし)",INDEX(ポート振替表!$W$5:$W$3507,$L2135)&amp;""))</f>
        <v/>
      </c>
      <c r="C2135" s="52" t="str">
        <f aca="false">IF(L2135="","",INDEX(ポート振替表!$B$5:$B$3507,$L2135)&amp;" "&amp;INDEX(ポート振替表!$C$5:$C$3507,$L2135)&amp;"  ⇔  "&amp;INDEX(ポート振替表!$H$5:$H$3507,$L2135)&amp;" "&amp;INDEX(ポート振替表!$I$5:$I$3507,$L2135))</f>
        <v/>
      </c>
      <c r="D2135" s="57" t="s">
        <v>158</v>
      </c>
      <c r="E2135" s="59" t="str">
        <f aca="false">IF(L2135="","",IF(INDEX(ポート振替表!$O$5:$O$3507,$L2135)="","(未設定)",INDEX(ポート振替表!$O$5:$O$3507,$L2135)&amp;""))</f>
        <v/>
      </c>
      <c r="F2135" s="52" t="str">
        <f aca="false">IF(L2135="","",INDEX(ポート振替表!$K$5:$K$3507,$L2135)&amp;" "&amp;INDEX(ポート振替表!$L$5:$L$3507,$L2135)&amp;"  ⇔  "&amp;INDEX(ポート振替表!$H$5:$H$3507,$L2135)&amp;" "&amp;INDEX(ポート振替表!$I$5:$I$3507,$L2135))</f>
        <v/>
      </c>
      <c r="G2135" s="57" t="s">
        <v>158</v>
      </c>
      <c r="H2135" s="32" t="str">
        <f aca="false">IF(L2135="","",INDEX(ポート振替表!$N$5:$N$3507,$L2135)&amp;"")</f>
        <v/>
      </c>
      <c r="I2135" s="32" t="str">
        <f aca="false">IF(L2135="","",INDEX(ポート振替表!$P$5:$P$3507,$L2135)&amp;"")</f>
        <v/>
      </c>
      <c r="J2135" s="60" t="str">
        <f aca="false">IF(L2135="","",INDEX(ポート振替表!$M$5:$M$3507,$L2135)&amp;"")</f>
        <v/>
      </c>
      <c r="K2135" s="52" t="str">
        <f aca="false">IF(L2135="","",E2135&amp;CHAR(10)&amp;INDEX(ポート振替表!$K$5:$K$3507,$L2135)&amp;" "&amp;INDEX(ポート振替表!$L$5:$L$3507,$L2135)&amp;CHAR(10)&amp;"⇔ "&amp;INDEX(ポート振替表!$H$5:$H$3507,$L2135)&amp;" "&amp;INDEX(ポート振替表!$I$5:$I$3507,$L2135))</f>
        <v/>
      </c>
      <c r="L2135" s="47" t="str">
        <f aca="false">IFERROR(MATCH(ROW()-4,ポート振替表!$V$5:$V$3507,0),"")</f>
        <v/>
      </c>
    </row>
    <row r="2136" customFormat="false" ht="16.4" hidden="false" customHeight="false" outlineLevel="0" collapsed="false">
      <c r="A2136" s="32" t="str">
        <f aca="false">IF(L2136="","",ROW()-4)</f>
        <v/>
      </c>
      <c r="B2136" s="58" t="str">
        <f aca="false">IF(L2136="","",IF(INDEX(ポート振替表!$W$5:$W$3507,$L2136)="","(なし)",INDEX(ポート振替表!$W$5:$W$3507,$L2136)&amp;""))</f>
        <v/>
      </c>
      <c r="C2136" s="52" t="str">
        <f aca="false">IF(L2136="","",INDEX(ポート振替表!$B$5:$B$3507,$L2136)&amp;" "&amp;INDEX(ポート振替表!$C$5:$C$3507,$L2136)&amp;"  ⇔  "&amp;INDEX(ポート振替表!$H$5:$H$3507,$L2136)&amp;" "&amp;INDEX(ポート振替表!$I$5:$I$3507,$L2136))</f>
        <v/>
      </c>
      <c r="D2136" s="57" t="s">
        <v>158</v>
      </c>
      <c r="E2136" s="59" t="str">
        <f aca="false">IF(L2136="","",IF(INDEX(ポート振替表!$O$5:$O$3507,$L2136)="","(未設定)",INDEX(ポート振替表!$O$5:$O$3507,$L2136)&amp;""))</f>
        <v/>
      </c>
      <c r="F2136" s="52" t="str">
        <f aca="false">IF(L2136="","",INDEX(ポート振替表!$K$5:$K$3507,$L2136)&amp;" "&amp;INDEX(ポート振替表!$L$5:$L$3507,$L2136)&amp;"  ⇔  "&amp;INDEX(ポート振替表!$H$5:$H$3507,$L2136)&amp;" "&amp;INDEX(ポート振替表!$I$5:$I$3507,$L2136))</f>
        <v/>
      </c>
      <c r="G2136" s="57" t="s">
        <v>158</v>
      </c>
      <c r="H2136" s="32" t="str">
        <f aca="false">IF(L2136="","",INDEX(ポート振替表!$N$5:$N$3507,$L2136)&amp;"")</f>
        <v/>
      </c>
      <c r="I2136" s="32" t="str">
        <f aca="false">IF(L2136="","",INDEX(ポート振替表!$P$5:$P$3507,$L2136)&amp;"")</f>
        <v/>
      </c>
      <c r="J2136" s="60" t="str">
        <f aca="false">IF(L2136="","",INDEX(ポート振替表!$M$5:$M$3507,$L2136)&amp;"")</f>
        <v/>
      </c>
      <c r="K2136" s="52" t="str">
        <f aca="false">IF(L2136="","",E2136&amp;CHAR(10)&amp;INDEX(ポート振替表!$K$5:$K$3507,$L2136)&amp;" "&amp;INDEX(ポート振替表!$L$5:$L$3507,$L2136)&amp;CHAR(10)&amp;"⇔ "&amp;INDEX(ポート振替表!$H$5:$H$3507,$L2136)&amp;" "&amp;INDEX(ポート振替表!$I$5:$I$3507,$L2136))</f>
        <v/>
      </c>
      <c r="L2136" s="47" t="str">
        <f aca="false">IFERROR(MATCH(ROW()-4,ポート振替表!$V$5:$V$3507,0),"")</f>
        <v/>
      </c>
    </row>
    <row r="2137" customFormat="false" ht="16.4" hidden="false" customHeight="false" outlineLevel="0" collapsed="false">
      <c r="A2137" s="32" t="str">
        <f aca="false">IF(L2137="","",ROW()-4)</f>
        <v/>
      </c>
      <c r="B2137" s="58" t="str">
        <f aca="false">IF(L2137="","",IF(INDEX(ポート振替表!$W$5:$W$3507,$L2137)="","(なし)",INDEX(ポート振替表!$W$5:$W$3507,$L2137)&amp;""))</f>
        <v/>
      </c>
      <c r="C2137" s="52" t="str">
        <f aca="false">IF(L2137="","",INDEX(ポート振替表!$B$5:$B$3507,$L2137)&amp;" "&amp;INDEX(ポート振替表!$C$5:$C$3507,$L2137)&amp;"  ⇔  "&amp;INDEX(ポート振替表!$H$5:$H$3507,$L2137)&amp;" "&amp;INDEX(ポート振替表!$I$5:$I$3507,$L2137))</f>
        <v/>
      </c>
      <c r="D2137" s="57" t="s">
        <v>158</v>
      </c>
      <c r="E2137" s="59" t="str">
        <f aca="false">IF(L2137="","",IF(INDEX(ポート振替表!$O$5:$O$3507,$L2137)="","(未設定)",INDEX(ポート振替表!$O$5:$O$3507,$L2137)&amp;""))</f>
        <v/>
      </c>
      <c r="F2137" s="52" t="str">
        <f aca="false">IF(L2137="","",INDEX(ポート振替表!$K$5:$K$3507,$L2137)&amp;" "&amp;INDEX(ポート振替表!$L$5:$L$3507,$L2137)&amp;"  ⇔  "&amp;INDEX(ポート振替表!$H$5:$H$3507,$L2137)&amp;" "&amp;INDEX(ポート振替表!$I$5:$I$3507,$L2137))</f>
        <v/>
      </c>
      <c r="G2137" s="57" t="s">
        <v>158</v>
      </c>
      <c r="H2137" s="32" t="str">
        <f aca="false">IF(L2137="","",INDEX(ポート振替表!$N$5:$N$3507,$L2137)&amp;"")</f>
        <v/>
      </c>
      <c r="I2137" s="32" t="str">
        <f aca="false">IF(L2137="","",INDEX(ポート振替表!$P$5:$P$3507,$L2137)&amp;"")</f>
        <v/>
      </c>
      <c r="J2137" s="60" t="str">
        <f aca="false">IF(L2137="","",INDEX(ポート振替表!$M$5:$M$3507,$L2137)&amp;"")</f>
        <v/>
      </c>
      <c r="K2137" s="52" t="str">
        <f aca="false">IF(L2137="","",E2137&amp;CHAR(10)&amp;INDEX(ポート振替表!$K$5:$K$3507,$L2137)&amp;" "&amp;INDEX(ポート振替表!$L$5:$L$3507,$L2137)&amp;CHAR(10)&amp;"⇔ "&amp;INDEX(ポート振替表!$H$5:$H$3507,$L2137)&amp;" "&amp;INDEX(ポート振替表!$I$5:$I$3507,$L2137))</f>
        <v/>
      </c>
      <c r="L2137" s="47" t="str">
        <f aca="false">IFERROR(MATCH(ROW()-4,ポート振替表!$V$5:$V$3507,0),"")</f>
        <v/>
      </c>
    </row>
    <row r="2138" customFormat="false" ht="16.4" hidden="false" customHeight="false" outlineLevel="0" collapsed="false">
      <c r="A2138" s="32" t="str">
        <f aca="false">IF(L2138="","",ROW()-4)</f>
        <v/>
      </c>
      <c r="B2138" s="58" t="str">
        <f aca="false">IF(L2138="","",IF(INDEX(ポート振替表!$W$5:$W$3507,$L2138)="","(なし)",INDEX(ポート振替表!$W$5:$W$3507,$L2138)&amp;""))</f>
        <v/>
      </c>
      <c r="C2138" s="52" t="str">
        <f aca="false">IF(L2138="","",INDEX(ポート振替表!$B$5:$B$3507,$L2138)&amp;" "&amp;INDEX(ポート振替表!$C$5:$C$3507,$L2138)&amp;"  ⇔  "&amp;INDEX(ポート振替表!$H$5:$H$3507,$L2138)&amp;" "&amp;INDEX(ポート振替表!$I$5:$I$3507,$L2138))</f>
        <v/>
      </c>
      <c r="D2138" s="57" t="s">
        <v>158</v>
      </c>
      <c r="E2138" s="59" t="str">
        <f aca="false">IF(L2138="","",IF(INDEX(ポート振替表!$O$5:$O$3507,$L2138)="","(未設定)",INDEX(ポート振替表!$O$5:$O$3507,$L2138)&amp;""))</f>
        <v/>
      </c>
      <c r="F2138" s="52" t="str">
        <f aca="false">IF(L2138="","",INDEX(ポート振替表!$K$5:$K$3507,$L2138)&amp;" "&amp;INDEX(ポート振替表!$L$5:$L$3507,$L2138)&amp;"  ⇔  "&amp;INDEX(ポート振替表!$H$5:$H$3507,$L2138)&amp;" "&amp;INDEX(ポート振替表!$I$5:$I$3507,$L2138))</f>
        <v/>
      </c>
      <c r="G2138" s="57" t="s">
        <v>158</v>
      </c>
      <c r="H2138" s="32" t="str">
        <f aca="false">IF(L2138="","",INDEX(ポート振替表!$N$5:$N$3507,$L2138)&amp;"")</f>
        <v/>
      </c>
      <c r="I2138" s="32" t="str">
        <f aca="false">IF(L2138="","",INDEX(ポート振替表!$P$5:$P$3507,$L2138)&amp;"")</f>
        <v/>
      </c>
      <c r="J2138" s="60" t="str">
        <f aca="false">IF(L2138="","",INDEX(ポート振替表!$M$5:$M$3507,$L2138)&amp;"")</f>
        <v/>
      </c>
      <c r="K2138" s="52" t="str">
        <f aca="false">IF(L2138="","",E2138&amp;CHAR(10)&amp;INDEX(ポート振替表!$K$5:$K$3507,$L2138)&amp;" "&amp;INDEX(ポート振替表!$L$5:$L$3507,$L2138)&amp;CHAR(10)&amp;"⇔ "&amp;INDEX(ポート振替表!$H$5:$H$3507,$L2138)&amp;" "&amp;INDEX(ポート振替表!$I$5:$I$3507,$L2138))</f>
        <v/>
      </c>
      <c r="L2138" s="47" t="str">
        <f aca="false">IFERROR(MATCH(ROW()-4,ポート振替表!$V$5:$V$3507,0),"")</f>
        <v/>
      </c>
    </row>
    <row r="2139" customFormat="false" ht="16.4" hidden="false" customHeight="false" outlineLevel="0" collapsed="false">
      <c r="A2139" s="32" t="str">
        <f aca="false">IF(L2139="","",ROW()-4)</f>
        <v/>
      </c>
      <c r="B2139" s="58" t="str">
        <f aca="false">IF(L2139="","",IF(INDEX(ポート振替表!$W$5:$W$3507,$L2139)="","(なし)",INDEX(ポート振替表!$W$5:$W$3507,$L2139)&amp;""))</f>
        <v/>
      </c>
      <c r="C2139" s="52" t="str">
        <f aca="false">IF(L2139="","",INDEX(ポート振替表!$B$5:$B$3507,$L2139)&amp;" "&amp;INDEX(ポート振替表!$C$5:$C$3507,$L2139)&amp;"  ⇔  "&amp;INDEX(ポート振替表!$H$5:$H$3507,$L2139)&amp;" "&amp;INDEX(ポート振替表!$I$5:$I$3507,$L2139))</f>
        <v/>
      </c>
      <c r="D2139" s="57" t="s">
        <v>158</v>
      </c>
      <c r="E2139" s="59" t="str">
        <f aca="false">IF(L2139="","",IF(INDEX(ポート振替表!$O$5:$O$3507,$L2139)="","(未設定)",INDEX(ポート振替表!$O$5:$O$3507,$L2139)&amp;""))</f>
        <v/>
      </c>
      <c r="F2139" s="52" t="str">
        <f aca="false">IF(L2139="","",INDEX(ポート振替表!$K$5:$K$3507,$L2139)&amp;" "&amp;INDEX(ポート振替表!$L$5:$L$3507,$L2139)&amp;"  ⇔  "&amp;INDEX(ポート振替表!$H$5:$H$3507,$L2139)&amp;" "&amp;INDEX(ポート振替表!$I$5:$I$3507,$L2139))</f>
        <v/>
      </c>
      <c r="G2139" s="57" t="s">
        <v>158</v>
      </c>
      <c r="H2139" s="32" t="str">
        <f aca="false">IF(L2139="","",INDEX(ポート振替表!$N$5:$N$3507,$L2139)&amp;"")</f>
        <v/>
      </c>
      <c r="I2139" s="32" t="str">
        <f aca="false">IF(L2139="","",INDEX(ポート振替表!$P$5:$P$3507,$L2139)&amp;"")</f>
        <v/>
      </c>
      <c r="J2139" s="60" t="str">
        <f aca="false">IF(L2139="","",INDEX(ポート振替表!$M$5:$M$3507,$L2139)&amp;"")</f>
        <v/>
      </c>
      <c r="K2139" s="52" t="str">
        <f aca="false">IF(L2139="","",E2139&amp;CHAR(10)&amp;INDEX(ポート振替表!$K$5:$K$3507,$L2139)&amp;" "&amp;INDEX(ポート振替表!$L$5:$L$3507,$L2139)&amp;CHAR(10)&amp;"⇔ "&amp;INDEX(ポート振替表!$H$5:$H$3507,$L2139)&amp;" "&amp;INDEX(ポート振替表!$I$5:$I$3507,$L2139))</f>
        <v/>
      </c>
      <c r="L2139" s="47" t="str">
        <f aca="false">IFERROR(MATCH(ROW()-4,ポート振替表!$V$5:$V$3507,0),"")</f>
        <v/>
      </c>
    </row>
    <row r="2140" customFormat="false" ht="16.4" hidden="false" customHeight="false" outlineLevel="0" collapsed="false">
      <c r="A2140" s="32" t="str">
        <f aca="false">IF(L2140="","",ROW()-4)</f>
        <v/>
      </c>
      <c r="B2140" s="58" t="str">
        <f aca="false">IF(L2140="","",IF(INDEX(ポート振替表!$W$5:$W$3507,$L2140)="","(なし)",INDEX(ポート振替表!$W$5:$W$3507,$L2140)&amp;""))</f>
        <v/>
      </c>
      <c r="C2140" s="52" t="str">
        <f aca="false">IF(L2140="","",INDEX(ポート振替表!$B$5:$B$3507,$L2140)&amp;" "&amp;INDEX(ポート振替表!$C$5:$C$3507,$L2140)&amp;"  ⇔  "&amp;INDEX(ポート振替表!$H$5:$H$3507,$L2140)&amp;" "&amp;INDEX(ポート振替表!$I$5:$I$3507,$L2140))</f>
        <v/>
      </c>
      <c r="D2140" s="57" t="s">
        <v>158</v>
      </c>
      <c r="E2140" s="59" t="str">
        <f aca="false">IF(L2140="","",IF(INDEX(ポート振替表!$O$5:$O$3507,$L2140)="","(未設定)",INDEX(ポート振替表!$O$5:$O$3507,$L2140)&amp;""))</f>
        <v/>
      </c>
      <c r="F2140" s="52" t="str">
        <f aca="false">IF(L2140="","",INDEX(ポート振替表!$K$5:$K$3507,$L2140)&amp;" "&amp;INDEX(ポート振替表!$L$5:$L$3507,$L2140)&amp;"  ⇔  "&amp;INDEX(ポート振替表!$H$5:$H$3507,$L2140)&amp;" "&amp;INDEX(ポート振替表!$I$5:$I$3507,$L2140))</f>
        <v/>
      </c>
      <c r="G2140" s="57" t="s">
        <v>158</v>
      </c>
      <c r="H2140" s="32" t="str">
        <f aca="false">IF(L2140="","",INDEX(ポート振替表!$N$5:$N$3507,$L2140)&amp;"")</f>
        <v/>
      </c>
      <c r="I2140" s="32" t="str">
        <f aca="false">IF(L2140="","",INDEX(ポート振替表!$P$5:$P$3507,$L2140)&amp;"")</f>
        <v/>
      </c>
      <c r="J2140" s="60" t="str">
        <f aca="false">IF(L2140="","",INDEX(ポート振替表!$M$5:$M$3507,$L2140)&amp;"")</f>
        <v/>
      </c>
      <c r="K2140" s="52" t="str">
        <f aca="false">IF(L2140="","",E2140&amp;CHAR(10)&amp;INDEX(ポート振替表!$K$5:$K$3507,$L2140)&amp;" "&amp;INDEX(ポート振替表!$L$5:$L$3507,$L2140)&amp;CHAR(10)&amp;"⇔ "&amp;INDEX(ポート振替表!$H$5:$H$3507,$L2140)&amp;" "&amp;INDEX(ポート振替表!$I$5:$I$3507,$L2140))</f>
        <v/>
      </c>
      <c r="L2140" s="47" t="str">
        <f aca="false">IFERROR(MATCH(ROW()-4,ポート振替表!$V$5:$V$3507,0),"")</f>
        <v/>
      </c>
    </row>
    <row r="2141" customFormat="false" ht="16.4" hidden="false" customHeight="false" outlineLevel="0" collapsed="false">
      <c r="A2141" s="32" t="str">
        <f aca="false">IF(L2141="","",ROW()-4)</f>
        <v/>
      </c>
      <c r="B2141" s="58" t="str">
        <f aca="false">IF(L2141="","",IF(INDEX(ポート振替表!$W$5:$W$3507,$L2141)="","(なし)",INDEX(ポート振替表!$W$5:$W$3507,$L2141)&amp;""))</f>
        <v/>
      </c>
      <c r="C2141" s="52" t="str">
        <f aca="false">IF(L2141="","",INDEX(ポート振替表!$B$5:$B$3507,$L2141)&amp;" "&amp;INDEX(ポート振替表!$C$5:$C$3507,$L2141)&amp;"  ⇔  "&amp;INDEX(ポート振替表!$H$5:$H$3507,$L2141)&amp;" "&amp;INDEX(ポート振替表!$I$5:$I$3507,$L2141))</f>
        <v/>
      </c>
      <c r="D2141" s="57" t="s">
        <v>158</v>
      </c>
      <c r="E2141" s="59" t="str">
        <f aca="false">IF(L2141="","",IF(INDEX(ポート振替表!$O$5:$O$3507,$L2141)="","(未設定)",INDEX(ポート振替表!$O$5:$O$3507,$L2141)&amp;""))</f>
        <v/>
      </c>
      <c r="F2141" s="52" t="str">
        <f aca="false">IF(L2141="","",INDEX(ポート振替表!$K$5:$K$3507,$L2141)&amp;" "&amp;INDEX(ポート振替表!$L$5:$L$3507,$L2141)&amp;"  ⇔  "&amp;INDEX(ポート振替表!$H$5:$H$3507,$L2141)&amp;" "&amp;INDEX(ポート振替表!$I$5:$I$3507,$L2141))</f>
        <v/>
      </c>
      <c r="G2141" s="57" t="s">
        <v>158</v>
      </c>
      <c r="H2141" s="32" t="str">
        <f aca="false">IF(L2141="","",INDEX(ポート振替表!$N$5:$N$3507,$L2141)&amp;"")</f>
        <v/>
      </c>
      <c r="I2141" s="32" t="str">
        <f aca="false">IF(L2141="","",INDEX(ポート振替表!$P$5:$P$3507,$L2141)&amp;"")</f>
        <v/>
      </c>
      <c r="J2141" s="60" t="str">
        <f aca="false">IF(L2141="","",INDEX(ポート振替表!$M$5:$M$3507,$L2141)&amp;"")</f>
        <v/>
      </c>
      <c r="K2141" s="52" t="str">
        <f aca="false">IF(L2141="","",E2141&amp;CHAR(10)&amp;INDEX(ポート振替表!$K$5:$K$3507,$L2141)&amp;" "&amp;INDEX(ポート振替表!$L$5:$L$3507,$L2141)&amp;CHAR(10)&amp;"⇔ "&amp;INDEX(ポート振替表!$H$5:$H$3507,$L2141)&amp;" "&amp;INDEX(ポート振替表!$I$5:$I$3507,$L2141))</f>
        <v/>
      </c>
      <c r="L2141" s="47" t="str">
        <f aca="false">IFERROR(MATCH(ROW()-4,ポート振替表!$V$5:$V$3507,0),"")</f>
        <v/>
      </c>
    </row>
    <row r="2142" customFormat="false" ht="16.4" hidden="false" customHeight="false" outlineLevel="0" collapsed="false">
      <c r="A2142" s="32" t="str">
        <f aca="false">IF(L2142="","",ROW()-4)</f>
        <v/>
      </c>
      <c r="B2142" s="58" t="str">
        <f aca="false">IF(L2142="","",IF(INDEX(ポート振替表!$W$5:$W$3507,$L2142)="","(なし)",INDEX(ポート振替表!$W$5:$W$3507,$L2142)&amp;""))</f>
        <v/>
      </c>
      <c r="C2142" s="52" t="str">
        <f aca="false">IF(L2142="","",INDEX(ポート振替表!$B$5:$B$3507,$L2142)&amp;" "&amp;INDEX(ポート振替表!$C$5:$C$3507,$L2142)&amp;"  ⇔  "&amp;INDEX(ポート振替表!$H$5:$H$3507,$L2142)&amp;" "&amp;INDEX(ポート振替表!$I$5:$I$3507,$L2142))</f>
        <v/>
      </c>
      <c r="D2142" s="57" t="s">
        <v>158</v>
      </c>
      <c r="E2142" s="59" t="str">
        <f aca="false">IF(L2142="","",IF(INDEX(ポート振替表!$O$5:$O$3507,$L2142)="","(未設定)",INDEX(ポート振替表!$O$5:$O$3507,$L2142)&amp;""))</f>
        <v/>
      </c>
      <c r="F2142" s="52" t="str">
        <f aca="false">IF(L2142="","",INDEX(ポート振替表!$K$5:$K$3507,$L2142)&amp;" "&amp;INDEX(ポート振替表!$L$5:$L$3507,$L2142)&amp;"  ⇔  "&amp;INDEX(ポート振替表!$H$5:$H$3507,$L2142)&amp;" "&amp;INDEX(ポート振替表!$I$5:$I$3507,$L2142))</f>
        <v/>
      </c>
      <c r="G2142" s="57" t="s">
        <v>158</v>
      </c>
      <c r="H2142" s="32" t="str">
        <f aca="false">IF(L2142="","",INDEX(ポート振替表!$N$5:$N$3507,$L2142)&amp;"")</f>
        <v/>
      </c>
      <c r="I2142" s="32" t="str">
        <f aca="false">IF(L2142="","",INDEX(ポート振替表!$P$5:$P$3507,$L2142)&amp;"")</f>
        <v/>
      </c>
      <c r="J2142" s="60" t="str">
        <f aca="false">IF(L2142="","",INDEX(ポート振替表!$M$5:$M$3507,$L2142)&amp;"")</f>
        <v/>
      </c>
      <c r="K2142" s="52" t="str">
        <f aca="false">IF(L2142="","",E2142&amp;CHAR(10)&amp;INDEX(ポート振替表!$K$5:$K$3507,$L2142)&amp;" "&amp;INDEX(ポート振替表!$L$5:$L$3507,$L2142)&amp;CHAR(10)&amp;"⇔ "&amp;INDEX(ポート振替表!$H$5:$H$3507,$L2142)&amp;" "&amp;INDEX(ポート振替表!$I$5:$I$3507,$L2142))</f>
        <v/>
      </c>
      <c r="L2142" s="47" t="str">
        <f aca="false">IFERROR(MATCH(ROW()-4,ポート振替表!$V$5:$V$3507,0),"")</f>
        <v/>
      </c>
    </row>
    <row r="2143" customFormat="false" ht="16.4" hidden="false" customHeight="false" outlineLevel="0" collapsed="false">
      <c r="A2143" s="32" t="str">
        <f aca="false">IF(L2143="","",ROW()-4)</f>
        <v/>
      </c>
      <c r="B2143" s="58" t="str">
        <f aca="false">IF(L2143="","",IF(INDEX(ポート振替表!$W$5:$W$3507,$L2143)="","(なし)",INDEX(ポート振替表!$W$5:$W$3507,$L2143)&amp;""))</f>
        <v/>
      </c>
      <c r="C2143" s="52" t="str">
        <f aca="false">IF(L2143="","",INDEX(ポート振替表!$B$5:$B$3507,$L2143)&amp;" "&amp;INDEX(ポート振替表!$C$5:$C$3507,$L2143)&amp;"  ⇔  "&amp;INDEX(ポート振替表!$H$5:$H$3507,$L2143)&amp;" "&amp;INDEX(ポート振替表!$I$5:$I$3507,$L2143))</f>
        <v/>
      </c>
      <c r="D2143" s="57" t="s">
        <v>158</v>
      </c>
      <c r="E2143" s="59" t="str">
        <f aca="false">IF(L2143="","",IF(INDEX(ポート振替表!$O$5:$O$3507,$L2143)="","(未設定)",INDEX(ポート振替表!$O$5:$O$3507,$L2143)&amp;""))</f>
        <v/>
      </c>
      <c r="F2143" s="52" t="str">
        <f aca="false">IF(L2143="","",INDEX(ポート振替表!$K$5:$K$3507,$L2143)&amp;" "&amp;INDEX(ポート振替表!$L$5:$L$3507,$L2143)&amp;"  ⇔  "&amp;INDEX(ポート振替表!$H$5:$H$3507,$L2143)&amp;" "&amp;INDEX(ポート振替表!$I$5:$I$3507,$L2143))</f>
        <v/>
      </c>
      <c r="G2143" s="57" t="s">
        <v>158</v>
      </c>
      <c r="H2143" s="32" t="str">
        <f aca="false">IF(L2143="","",INDEX(ポート振替表!$N$5:$N$3507,$L2143)&amp;"")</f>
        <v/>
      </c>
      <c r="I2143" s="32" t="str">
        <f aca="false">IF(L2143="","",INDEX(ポート振替表!$P$5:$P$3507,$L2143)&amp;"")</f>
        <v/>
      </c>
      <c r="J2143" s="60" t="str">
        <f aca="false">IF(L2143="","",INDEX(ポート振替表!$M$5:$M$3507,$L2143)&amp;"")</f>
        <v/>
      </c>
      <c r="K2143" s="52" t="str">
        <f aca="false">IF(L2143="","",E2143&amp;CHAR(10)&amp;INDEX(ポート振替表!$K$5:$K$3507,$L2143)&amp;" "&amp;INDEX(ポート振替表!$L$5:$L$3507,$L2143)&amp;CHAR(10)&amp;"⇔ "&amp;INDEX(ポート振替表!$H$5:$H$3507,$L2143)&amp;" "&amp;INDEX(ポート振替表!$I$5:$I$3507,$L2143))</f>
        <v/>
      </c>
      <c r="L2143" s="47" t="str">
        <f aca="false">IFERROR(MATCH(ROW()-4,ポート振替表!$V$5:$V$3507,0),"")</f>
        <v/>
      </c>
    </row>
    <row r="2144" customFormat="false" ht="16.4" hidden="false" customHeight="false" outlineLevel="0" collapsed="false">
      <c r="A2144" s="32" t="str">
        <f aca="false">IF(L2144="","",ROW()-4)</f>
        <v/>
      </c>
      <c r="B2144" s="58" t="str">
        <f aca="false">IF(L2144="","",IF(INDEX(ポート振替表!$W$5:$W$3507,$L2144)="","(なし)",INDEX(ポート振替表!$W$5:$W$3507,$L2144)&amp;""))</f>
        <v/>
      </c>
      <c r="C2144" s="52" t="str">
        <f aca="false">IF(L2144="","",INDEX(ポート振替表!$B$5:$B$3507,$L2144)&amp;" "&amp;INDEX(ポート振替表!$C$5:$C$3507,$L2144)&amp;"  ⇔  "&amp;INDEX(ポート振替表!$H$5:$H$3507,$L2144)&amp;" "&amp;INDEX(ポート振替表!$I$5:$I$3507,$L2144))</f>
        <v/>
      </c>
      <c r="D2144" s="57" t="s">
        <v>158</v>
      </c>
      <c r="E2144" s="59" t="str">
        <f aca="false">IF(L2144="","",IF(INDEX(ポート振替表!$O$5:$O$3507,$L2144)="","(未設定)",INDEX(ポート振替表!$O$5:$O$3507,$L2144)&amp;""))</f>
        <v/>
      </c>
      <c r="F2144" s="52" t="str">
        <f aca="false">IF(L2144="","",INDEX(ポート振替表!$K$5:$K$3507,$L2144)&amp;" "&amp;INDEX(ポート振替表!$L$5:$L$3507,$L2144)&amp;"  ⇔  "&amp;INDEX(ポート振替表!$H$5:$H$3507,$L2144)&amp;" "&amp;INDEX(ポート振替表!$I$5:$I$3507,$L2144))</f>
        <v/>
      </c>
      <c r="G2144" s="57" t="s">
        <v>158</v>
      </c>
      <c r="H2144" s="32" t="str">
        <f aca="false">IF(L2144="","",INDEX(ポート振替表!$N$5:$N$3507,$L2144)&amp;"")</f>
        <v/>
      </c>
      <c r="I2144" s="32" t="str">
        <f aca="false">IF(L2144="","",INDEX(ポート振替表!$P$5:$P$3507,$L2144)&amp;"")</f>
        <v/>
      </c>
      <c r="J2144" s="60" t="str">
        <f aca="false">IF(L2144="","",INDEX(ポート振替表!$M$5:$M$3507,$L2144)&amp;"")</f>
        <v/>
      </c>
      <c r="K2144" s="52" t="str">
        <f aca="false">IF(L2144="","",E2144&amp;CHAR(10)&amp;INDEX(ポート振替表!$K$5:$K$3507,$L2144)&amp;" "&amp;INDEX(ポート振替表!$L$5:$L$3507,$L2144)&amp;CHAR(10)&amp;"⇔ "&amp;INDEX(ポート振替表!$H$5:$H$3507,$L2144)&amp;" "&amp;INDEX(ポート振替表!$I$5:$I$3507,$L2144))</f>
        <v/>
      </c>
      <c r="L2144" s="47" t="str">
        <f aca="false">IFERROR(MATCH(ROW()-4,ポート振替表!$V$5:$V$3507,0),"")</f>
        <v/>
      </c>
    </row>
    <row r="2145" customFormat="false" ht="16.4" hidden="false" customHeight="false" outlineLevel="0" collapsed="false">
      <c r="A2145" s="32" t="str">
        <f aca="false">IF(L2145="","",ROW()-4)</f>
        <v/>
      </c>
      <c r="B2145" s="58" t="str">
        <f aca="false">IF(L2145="","",IF(INDEX(ポート振替表!$W$5:$W$3507,$L2145)="","(なし)",INDEX(ポート振替表!$W$5:$W$3507,$L2145)&amp;""))</f>
        <v/>
      </c>
      <c r="C2145" s="52" t="str">
        <f aca="false">IF(L2145="","",INDEX(ポート振替表!$B$5:$B$3507,$L2145)&amp;" "&amp;INDEX(ポート振替表!$C$5:$C$3507,$L2145)&amp;"  ⇔  "&amp;INDEX(ポート振替表!$H$5:$H$3507,$L2145)&amp;" "&amp;INDEX(ポート振替表!$I$5:$I$3507,$L2145))</f>
        <v/>
      </c>
      <c r="D2145" s="57" t="s">
        <v>158</v>
      </c>
      <c r="E2145" s="59" t="str">
        <f aca="false">IF(L2145="","",IF(INDEX(ポート振替表!$O$5:$O$3507,$L2145)="","(未設定)",INDEX(ポート振替表!$O$5:$O$3507,$L2145)&amp;""))</f>
        <v/>
      </c>
      <c r="F2145" s="52" t="str">
        <f aca="false">IF(L2145="","",INDEX(ポート振替表!$K$5:$K$3507,$L2145)&amp;" "&amp;INDEX(ポート振替表!$L$5:$L$3507,$L2145)&amp;"  ⇔  "&amp;INDEX(ポート振替表!$H$5:$H$3507,$L2145)&amp;" "&amp;INDEX(ポート振替表!$I$5:$I$3507,$L2145))</f>
        <v/>
      </c>
      <c r="G2145" s="57" t="s">
        <v>158</v>
      </c>
      <c r="H2145" s="32" t="str">
        <f aca="false">IF(L2145="","",INDEX(ポート振替表!$N$5:$N$3507,$L2145)&amp;"")</f>
        <v/>
      </c>
      <c r="I2145" s="32" t="str">
        <f aca="false">IF(L2145="","",INDEX(ポート振替表!$P$5:$P$3507,$L2145)&amp;"")</f>
        <v/>
      </c>
      <c r="J2145" s="60" t="str">
        <f aca="false">IF(L2145="","",INDEX(ポート振替表!$M$5:$M$3507,$L2145)&amp;"")</f>
        <v/>
      </c>
      <c r="K2145" s="52" t="str">
        <f aca="false">IF(L2145="","",E2145&amp;CHAR(10)&amp;INDEX(ポート振替表!$K$5:$K$3507,$L2145)&amp;" "&amp;INDEX(ポート振替表!$L$5:$L$3507,$L2145)&amp;CHAR(10)&amp;"⇔ "&amp;INDEX(ポート振替表!$H$5:$H$3507,$L2145)&amp;" "&amp;INDEX(ポート振替表!$I$5:$I$3507,$L2145))</f>
        <v/>
      </c>
      <c r="L2145" s="47" t="str">
        <f aca="false">IFERROR(MATCH(ROW()-4,ポート振替表!$V$5:$V$3507,0),"")</f>
        <v/>
      </c>
    </row>
    <row r="2146" customFormat="false" ht="16.4" hidden="false" customHeight="false" outlineLevel="0" collapsed="false">
      <c r="A2146" s="32" t="str">
        <f aca="false">IF(L2146="","",ROW()-4)</f>
        <v/>
      </c>
      <c r="B2146" s="58" t="str">
        <f aca="false">IF(L2146="","",IF(INDEX(ポート振替表!$W$5:$W$3507,$L2146)="","(なし)",INDEX(ポート振替表!$W$5:$W$3507,$L2146)&amp;""))</f>
        <v/>
      </c>
      <c r="C2146" s="52" t="str">
        <f aca="false">IF(L2146="","",INDEX(ポート振替表!$B$5:$B$3507,$L2146)&amp;" "&amp;INDEX(ポート振替表!$C$5:$C$3507,$L2146)&amp;"  ⇔  "&amp;INDEX(ポート振替表!$H$5:$H$3507,$L2146)&amp;" "&amp;INDEX(ポート振替表!$I$5:$I$3507,$L2146))</f>
        <v/>
      </c>
      <c r="D2146" s="57" t="s">
        <v>158</v>
      </c>
      <c r="E2146" s="59" t="str">
        <f aca="false">IF(L2146="","",IF(INDEX(ポート振替表!$O$5:$O$3507,$L2146)="","(未設定)",INDEX(ポート振替表!$O$5:$O$3507,$L2146)&amp;""))</f>
        <v/>
      </c>
      <c r="F2146" s="52" t="str">
        <f aca="false">IF(L2146="","",INDEX(ポート振替表!$K$5:$K$3507,$L2146)&amp;" "&amp;INDEX(ポート振替表!$L$5:$L$3507,$L2146)&amp;"  ⇔  "&amp;INDEX(ポート振替表!$H$5:$H$3507,$L2146)&amp;" "&amp;INDEX(ポート振替表!$I$5:$I$3507,$L2146))</f>
        <v/>
      </c>
      <c r="G2146" s="57" t="s">
        <v>158</v>
      </c>
      <c r="H2146" s="32" t="str">
        <f aca="false">IF(L2146="","",INDEX(ポート振替表!$N$5:$N$3507,$L2146)&amp;"")</f>
        <v/>
      </c>
      <c r="I2146" s="32" t="str">
        <f aca="false">IF(L2146="","",INDEX(ポート振替表!$P$5:$P$3507,$L2146)&amp;"")</f>
        <v/>
      </c>
      <c r="J2146" s="60" t="str">
        <f aca="false">IF(L2146="","",INDEX(ポート振替表!$M$5:$M$3507,$L2146)&amp;"")</f>
        <v/>
      </c>
      <c r="K2146" s="52" t="str">
        <f aca="false">IF(L2146="","",E2146&amp;CHAR(10)&amp;INDEX(ポート振替表!$K$5:$K$3507,$L2146)&amp;" "&amp;INDEX(ポート振替表!$L$5:$L$3507,$L2146)&amp;CHAR(10)&amp;"⇔ "&amp;INDEX(ポート振替表!$H$5:$H$3507,$L2146)&amp;" "&amp;INDEX(ポート振替表!$I$5:$I$3507,$L2146))</f>
        <v/>
      </c>
      <c r="L2146" s="47" t="str">
        <f aca="false">IFERROR(MATCH(ROW()-4,ポート振替表!$V$5:$V$3507,0),"")</f>
        <v/>
      </c>
    </row>
    <row r="2147" customFormat="false" ht="16.4" hidden="false" customHeight="false" outlineLevel="0" collapsed="false">
      <c r="A2147" s="32" t="str">
        <f aca="false">IF(L2147="","",ROW()-4)</f>
        <v/>
      </c>
      <c r="B2147" s="58" t="str">
        <f aca="false">IF(L2147="","",IF(INDEX(ポート振替表!$W$5:$W$3507,$L2147)="","(なし)",INDEX(ポート振替表!$W$5:$W$3507,$L2147)&amp;""))</f>
        <v/>
      </c>
      <c r="C2147" s="52" t="str">
        <f aca="false">IF(L2147="","",INDEX(ポート振替表!$B$5:$B$3507,$L2147)&amp;" "&amp;INDEX(ポート振替表!$C$5:$C$3507,$L2147)&amp;"  ⇔  "&amp;INDEX(ポート振替表!$H$5:$H$3507,$L2147)&amp;" "&amp;INDEX(ポート振替表!$I$5:$I$3507,$L2147))</f>
        <v/>
      </c>
      <c r="D2147" s="57" t="s">
        <v>158</v>
      </c>
      <c r="E2147" s="59" t="str">
        <f aca="false">IF(L2147="","",IF(INDEX(ポート振替表!$O$5:$O$3507,$L2147)="","(未設定)",INDEX(ポート振替表!$O$5:$O$3507,$L2147)&amp;""))</f>
        <v/>
      </c>
      <c r="F2147" s="52" t="str">
        <f aca="false">IF(L2147="","",INDEX(ポート振替表!$K$5:$K$3507,$L2147)&amp;" "&amp;INDEX(ポート振替表!$L$5:$L$3507,$L2147)&amp;"  ⇔  "&amp;INDEX(ポート振替表!$H$5:$H$3507,$L2147)&amp;" "&amp;INDEX(ポート振替表!$I$5:$I$3507,$L2147))</f>
        <v/>
      </c>
      <c r="G2147" s="57" t="s">
        <v>158</v>
      </c>
      <c r="H2147" s="32" t="str">
        <f aca="false">IF(L2147="","",INDEX(ポート振替表!$N$5:$N$3507,$L2147)&amp;"")</f>
        <v/>
      </c>
      <c r="I2147" s="32" t="str">
        <f aca="false">IF(L2147="","",INDEX(ポート振替表!$P$5:$P$3507,$L2147)&amp;"")</f>
        <v/>
      </c>
      <c r="J2147" s="60" t="str">
        <f aca="false">IF(L2147="","",INDEX(ポート振替表!$M$5:$M$3507,$L2147)&amp;"")</f>
        <v/>
      </c>
      <c r="K2147" s="52" t="str">
        <f aca="false">IF(L2147="","",E2147&amp;CHAR(10)&amp;INDEX(ポート振替表!$K$5:$K$3507,$L2147)&amp;" "&amp;INDEX(ポート振替表!$L$5:$L$3507,$L2147)&amp;CHAR(10)&amp;"⇔ "&amp;INDEX(ポート振替表!$H$5:$H$3507,$L2147)&amp;" "&amp;INDEX(ポート振替表!$I$5:$I$3507,$L2147))</f>
        <v/>
      </c>
      <c r="L2147" s="47" t="str">
        <f aca="false">IFERROR(MATCH(ROW()-4,ポート振替表!$V$5:$V$3507,0),"")</f>
        <v/>
      </c>
    </row>
    <row r="2148" customFormat="false" ht="16.4" hidden="false" customHeight="false" outlineLevel="0" collapsed="false">
      <c r="A2148" s="32" t="str">
        <f aca="false">IF(L2148="","",ROW()-4)</f>
        <v/>
      </c>
      <c r="B2148" s="58" t="str">
        <f aca="false">IF(L2148="","",IF(INDEX(ポート振替表!$W$5:$W$3507,$L2148)="","(なし)",INDEX(ポート振替表!$W$5:$W$3507,$L2148)&amp;""))</f>
        <v/>
      </c>
      <c r="C2148" s="52" t="str">
        <f aca="false">IF(L2148="","",INDEX(ポート振替表!$B$5:$B$3507,$L2148)&amp;" "&amp;INDEX(ポート振替表!$C$5:$C$3507,$L2148)&amp;"  ⇔  "&amp;INDEX(ポート振替表!$H$5:$H$3507,$L2148)&amp;" "&amp;INDEX(ポート振替表!$I$5:$I$3507,$L2148))</f>
        <v/>
      </c>
      <c r="D2148" s="57" t="s">
        <v>158</v>
      </c>
      <c r="E2148" s="59" t="str">
        <f aca="false">IF(L2148="","",IF(INDEX(ポート振替表!$O$5:$O$3507,$L2148)="","(未設定)",INDEX(ポート振替表!$O$5:$O$3507,$L2148)&amp;""))</f>
        <v/>
      </c>
      <c r="F2148" s="52" t="str">
        <f aca="false">IF(L2148="","",INDEX(ポート振替表!$K$5:$K$3507,$L2148)&amp;" "&amp;INDEX(ポート振替表!$L$5:$L$3507,$L2148)&amp;"  ⇔  "&amp;INDEX(ポート振替表!$H$5:$H$3507,$L2148)&amp;" "&amp;INDEX(ポート振替表!$I$5:$I$3507,$L2148))</f>
        <v/>
      </c>
      <c r="G2148" s="57" t="s">
        <v>158</v>
      </c>
      <c r="H2148" s="32" t="str">
        <f aca="false">IF(L2148="","",INDEX(ポート振替表!$N$5:$N$3507,$L2148)&amp;"")</f>
        <v/>
      </c>
      <c r="I2148" s="32" t="str">
        <f aca="false">IF(L2148="","",INDEX(ポート振替表!$P$5:$P$3507,$L2148)&amp;"")</f>
        <v/>
      </c>
      <c r="J2148" s="60" t="str">
        <f aca="false">IF(L2148="","",INDEX(ポート振替表!$M$5:$M$3507,$L2148)&amp;"")</f>
        <v/>
      </c>
      <c r="K2148" s="52" t="str">
        <f aca="false">IF(L2148="","",E2148&amp;CHAR(10)&amp;INDEX(ポート振替表!$K$5:$K$3507,$L2148)&amp;" "&amp;INDEX(ポート振替表!$L$5:$L$3507,$L2148)&amp;CHAR(10)&amp;"⇔ "&amp;INDEX(ポート振替表!$H$5:$H$3507,$L2148)&amp;" "&amp;INDEX(ポート振替表!$I$5:$I$3507,$L2148))</f>
        <v/>
      </c>
      <c r="L2148" s="47" t="str">
        <f aca="false">IFERROR(MATCH(ROW()-4,ポート振替表!$V$5:$V$3507,0),"")</f>
        <v/>
      </c>
    </row>
    <row r="2149" customFormat="false" ht="16.4" hidden="false" customHeight="false" outlineLevel="0" collapsed="false">
      <c r="A2149" s="32" t="str">
        <f aca="false">IF(L2149="","",ROW()-4)</f>
        <v/>
      </c>
      <c r="B2149" s="58" t="str">
        <f aca="false">IF(L2149="","",IF(INDEX(ポート振替表!$W$5:$W$3507,$L2149)="","(なし)",INDEX(ポート振替表!$W$5:$W$3507,$L2149)&amp;""))</f>
        <v/>
      </c>
      <c r="C2149" s="52" t="str">
        <f aca="false">IF(L2149="","",INDEX(ポート振替表!$B$5:$B$3507,$L2149)&amp;" "&amp;INDEX(ポート振替表!$C$5:$C$3507,$L2149)&amp;"  ⇔  "&amp;INDEX(ポート振替表!$H$5:$H$3507,$L2149)&amp;" "&amp;INDEX(ポート振替表!$I$5:$I$3507,$L2149))</f>
        <v/>
      </c>
      <c r="D2149" s="57" t="s">
        <v>158</v>
      </c>
      <c r="E2149" s="59" t="str">
        <f aca="false">IF(L2149="","",IF(INDEX(ポート振替表!$O$5:$O$3507,$L2149)="","(未設定)",INDEX(ポート振替表!$O$5:$O$3507,$L2149)&amp;""))</f>
        <v/>
      </c>
      <c r="F2149" s="52" t="str">
        <f aca="false">IF(L2149="","",INDEX(ポート振替表!$K$5:$K$3507,$L2149)&amp;" "&amp;INDEX(ポート振替表!$L$5:$L$3507,$L2149)&amp;"  ⇔  "&amp;INDEX(ポート振替表!$H$5:$H$3507,$L2149)&amp;" "&amp;INDEX(ポート振替表!$I$5:$I$3507,$L2149))</f>
        <v/>
      </c>
      <c r="G2149" s="57" t="s">
        <v>158</v>
      </c>
      <c r="H2149" s="32" t="str">
        <f aca="false">IF(L2149="","",INDEX(ポート振替表!$N$5:$N$3507,$L2149)&amp;"")</f>
        <v/>
      </c>
      <c r="I2149" s="32" t="str">
        <f aca="false">IF(L2149="","",INDEX(ポート振替表!$P$5:$P$3507,$L2149)&amp;"")</f>
        <v/>
      </c>
      <c r="J2149" s="60" t="str">
        <f aca="false">IF(L2149="","",INDEX(ポート振替表!$M$5:$M$3507,$L2149)&amp;"")</f>
        <v/>
      </c>
      <c r="K2149" s="52" t="str">
        <f aca="false">IF(L2149="","",E2149&amp;CHAR(10)&amp;INDEX(ポート振替表!$K$5:$K$3507,$L2149)&amp;" "&amp;INDEX(ポート振替表!$L$5:$L$3507,$L2149)&amp;CHAR(10)&amp;"⇔ "&amp;INDEX(ポート振替表!$H$5:$H$3507,$L2149)&amp;" "&amp;INDEX(ポート振替表!$I$5:$I$3507,$L2149))</f>
        <v/>
      </c>
      <c r="L2149" s="47" t="str">
        <f aca="false">IFERROR(MATCH(ROW()-4,ポート振替表!$V$5:$V$3507,0),"")</f>
        <v/>
      </c>
    </row>
    <row r="2150" customFormat="false" ht="16.4" hidden="false" customHeight="false" outlineLevel="0" collapsed="false">
      <c r="A2150" s="32" t="str">
        <f aca="false">IF(L2150="","",ROW()-4)</f>
        <v/>
      </c>
      <c r="B2150" s="58" t="str">
        <f aca="false">IF(L2150="","",IF(INDEX(ポート振替表!$W$5:$W$3507,$L2150)="","(なし)",INDEX(ポート振替表!$W$5:$W$3507,$L2150)&amp;""))</f>
        <v/>
      </c>
      <c r="C2150" s="52" t="str">
        <f aca="false">IF(L2150="","",INDEX(ポート振替表!$B$5:$B$3507,$L2150)&amp;" "&amp;INDEX(ポート振替表!$C$5:$C$3507,$L2150)&amp;"  ⇔  "&amp;INDEX(ポート振替表!$H$5:$H$3507,$L2150)&amp;" "&amp;INDEX(ポート振替表!$I$5:$I$3507,$L2150))</f>
        <v/>
      </c>
      <c r="D2150" s="57" t="s">
        <v>158</v>
      </c>
      <c r="E2150" s="59" t="str">
        <f aca="false">IF(L2150="","",IF(INDEX(ポート振替表!$O$5:$O$3507,$L2150)="","(未設定)",INDEX(ポート振替表!$O$5:$O$3507,$L2150)&amp;""))</f>
        <v/>
      </c>
      <c r="F2150" s="52" t="str">
        <f aca="false">IF(L2150="","",INDEX(ポート振替表!$K$5:$K$3507,$L2150)&amp;" "&amp;INDEX(ポート振替表!$L$5:$L$3507,$L2150)&amp;"  ⇔  "&amp;INDEX(ポート振替表!$H$5:$H$3507,$L2150)&amp;" "&amp;INDEX(ポート振替表!$I$5:$I$3507,$L2150))</f>
        <v/>
      </c>
      <c r="G2150" s="57" t="s">
        <v>158</v>
      </c>
      <c r="H2150" s="32" t="str">
        <f aca="false">IF(L2150="","",INDEX(ポート振替表!$N$5:$N$3507,$L2150)&amp;"")</f>
        <v/>
      </c>
      <c r="I2150" s="32" t="str">
        <f aca="false">IF(L2150="","",INDEX(ポート振替表!$P$5:$P$3507,$L2150)&amp;"")</f>
        <v/>
      </c>
      <c r="J2150" s="60" t="str">
        <f aca="false">IF(L2150="","",INDEX(ポート振替表!$M$5:$M$3507,$L2150)&amp;"")</f>
        <v/>
      </c>
      <c r="K2150" s="52" t="str">
        <f aca="false">IF(L2150="","",E2150&amp;CHAR(10)&amp;INDEX(ポート振替表!$K$5:$K$3507,$L2150)&amp;" "&amp;INDEX(ポート振替表!$L$5:$L$3507,$L2150)&amp;CHAR(10)&amp;"⇔ "&amp;INDEX(ポート振替表!$H$5:$H$3507,$L2150)&amp;" "&amp;INDEX(ポート振替表!$I$5:$I$3507,$L2150))</f>
        <v/>
      </c>
      <c r="L2150" s="47" t="str">
        <f aca="false">IFERROR(MATCH(ROW()-4,ポート振替表!$V$5:$V$3507,0),"")</f>
        <v/>
      </c>
    </row>
    <row r="2151" customFormat="false" ht="16.4" hidden="false" customHeight="false" outlineLevel="0" collapsed="false">
      <c r="A2151" s="32" t="str">
        <f aca="false">IF(L2151="","",ROW()-4)</f>
        <v/>
      </c>
      <c r="B2151" s="58" t="str">
        <f aca="false">IF(L2151="","",IF(INDEX(ポート振替表!$W$5:$W$3507,$L2151)="","(なし)",INDEX(ポート振替表!$W$5:$W$3507,$L2151)&amp;""))</f>
        <v/>
      </c>
      <c r="C2151" s="52" t="str">
        <f aca="false">IF(L2151="","",INDEX(ポート振替表!$B$5:$B$3507,$L2151)&amp;" "&amp;INDEX(ポート振替表!$C$5:$C$3507,$L2151)&amp;"  ⇔  "&amp;INDEX(ポート振替表!$H$5:$H$3507,$L2151)&amp;" "&amp;INDEX(ポート振替表!$I$5:$I$3507,$L2151))</f>
        <v/>
      </c>
      <c r="D2151" s="57" t="s">
        <v>158</v>
      </c>
      <c r="E2151" s="59" t="str">
        <f aca="false">IF(L2151="","",IF(INDEX(ポート振替表!$O$5:$O$3507,$L2151)="","(未設定)",INDEX(ポート振替表!$O$5:$O$3507,$L2151)&amp;""))</f>
        <v/>
      </c>
      <c r="F2151" s="52" t="str">
        <f aca="false">IF(L2151="","",INDEX(ポート振替表!$K$5:$K$3507,$L2151)&amp;" "&amp;INDEX(ポート振替表!$L$5:$L$3507,$L2151)&amp;"  ⇔  "&amp;INDEX(ポート振替表!$H$5:$H$3507,$L2151)&amp;" "&amp;INDEX(ポート振替表!$I$5:$I$3507,$L2151))</f>
        <v/>
      </c>
      <c r="G2151" s="57" t="s">
        <v>158</v>
      </c>
      <c r="H2151" s="32" t="str">
        <f aca="false">IF(L2151="","",INDEX(ポート振替表!$N$5:$N$3507,$L2151)&amp;"")</f>
        <v/>
      </c>
      <c r="I2151" s="32" t="str">
        <f aca="false">IF(L2151="","",INDEX(ポート振替表!$P$5:$P$3507,$L2151)&amp;"")</f>
        <v/>
      </c>
      <c r="J2151" s="60" t="str">
        <f aca="false">IF(L2151="","",INDEX(ポート振替表!$M$5:$M$3507,$L2151)&amp;"")</f>
        <v/>
      </c>
      <c r="K2151" s="52" t="str">
        <f aca="false">IF(L2151="","",E2151&amp;CHAR(10)&amp;INDEX(ポート振替表!$K$5:$K$3507,$L2151)&amp;" "&amp;INDEX(ポート振替表!$L$5:$L$3507,$L2151)&amp;CHAR(10)&amp;"⇔ "&amp;INDEX(ポート振替表!$H$5:$H$3507,$L2151)&amp;" "&amp;INDEX(ポート振替表!$I$5:$I$3507,$L2151))</f>
        <v/>
      </c>
      <c r="L2151" s="47" t="str">
        <f aca="false">IFERROR(MATCH(ROW()-4,ポート振替表!$V$5:$V$3507,0),"")</f>
        <v/>
      </c>
    </row>
    <row r="2152" customFormat="false" ht="16.4" hidden="false" customHeight="false" outlineLevel="0" collapsed="false">
      <c r="A2152" s="32" t="str">
        <f aca="false">IF(L2152="","",ROW()-4)</f>
        <v/>
      </c>
      <c r="B2152" s="58" t="str">
        <f aca="false">IF(L2152="","",IF(INDEX(ポート振替表!$W$5:$W$3507,$L2152)="","(なし)",INDEX(ポート振替表!$W$5:$W$3507,$L2152)&amp;""))</f>
        <v/>
      </c>
      <c r="C2152" s="52" t="str">
        <f aca="false">IF(L2152="","",INDEX(ポート振替表!$B$5:$B$3507,$L2152)&amp;" "&amp;INDEX(ポート振替表!$C$5:$C$3507,$L2152)&amp;"  ⇔  "&amp;INDEX(ポート振替表!$H$5:$H$3507,$L2152)&amp;" "&amp;INDEX(ポート振替表!$I$5:$I$3507,$L2152))</f>
        <v/>
      </c>
      <c r="D2152" s="57" t="s">
        <v>158</v>
      </c>
      <c r="E2152" s="59" t="str">
        <f aca="false">IF(L2152="","",IF(INDEX(ポート振替表!$O$5:$O$3507,$L2152)="","(未設定)",INDEX(ポート振替表!$O$5:$O$3507,$L2152)&amp;""))</f>
        <v/>
      </c>
      <c r="F2152" s="52" t="str">
        <f aca="false">IF(L2152="","",INDEX(ポート振替表!$K$5:$K$3507,$L2152)&amp;" "&amp;INDEX(ポート振替表!$L$5:$L$3507,$L2152)&amp;"  ⇔  "&amp;INDEX(ポート振替表!$H$5:$H$3507,$L2152)&amp;" "&amp;INDEX(ポート振替表!$I$5:$I$3507,$L2152))</f>
        <v/>
      </c>
      <c r="G2152" s="57" t="s">
        <v>158</v>
      </c>
      <c r="H2152" s="32" t="str">
        <f aca="false">IF(L2152="","",INDEX(ポート振替表!$N$5:$N$3507,$L2152)&amp;"")</f>
        <v/>
      </c>
      <c r="I2152" s="32" t="str">
        <f aca="false">IF(L2152="","",INDEX(ポート振替表!$P$5:$P$3507,$L2152)&amp;"")</f>
        <v/>
      </c>
      <c r="J2152" s="60" t="str">
        <f aca="false">IF(L2152="","",INDEX(ポート振替表!$M$5:$M$3507,$L2152)&amp;"")</f>
        <v/>
      </c>
      <c r="K2152" s="52" t="str">
        <f aca="false">IF(L2152="","",E2152&amp;CHAR(10)&amp;INDEX(ポート振替表!$K$5:$K$3507,$L2152)&amp;" "&amp;INDEX(ポート振替表!$L$5:$L$3507,$L2152)&amp;CHAR(10)&amp;"⇔ "&amp;INDEX(ポート振替表!$H$5:$H$3507,$L2152)&amp;" "&amp;INDEX(ポート振替表!$I$5:$I$3507,$L2152))</f>
        <v/>
      </c>
      <c r="L2152" s="47" t="str">
        <f aca="false">IFERROR(MATCH(ROW()-4,ポート振替表!$V$5:$V$3507,0),"")</f>
        <v/>
      </c>
    </row>
    <row r="2153" customFormat="false" ht="16.4" hidden="false" customHeight="false" outlineLevel="0" collapsed="false">
      <c r="A2153" s="32" t="str">
        <f aca="false">IF(L2153="","",ROW()-4)</f>
        <v/>
      </c>
      <c r="B2153" s="58" t="str">
        <f aca="false">IF(L2153="","",IF(INDEX(ポート振替表!$W$5:$W$3507,$L2153)="","(なし)",INDEX(ポート振替表!$W$5:$W$3507,$L2153)&amp;""))</f>
        <v/>
      </c>
      <c r="C2153" s="52" t="str">
        <f aca="false">IF(L2153="","",INDEX(ポート振替表!$B$5:$B$3507,$L2153)&amp;" "&amp;INDEX(ポート振替表!$C$5:$C$3507,$L2153)&amp;"  ⇔  "&amp;INDEX(ポート振替表!$H$5:$H$3507,$L2153)&amp;" "&amp;INDEX(ポート振替表!$I$5:$I$3507,$L2153))</f>
        <v/>
      </c>
      <c r="D2153" s="57" t="s">
        <v>158</v>
      </c>
      <c r="E2153" s="59" t="str">
        <f aca="false">IF(L2153="","",IF(INDEX(ポート振替表!$O$5:$O$3507,$L2153)="","(未設定)",INDEX(ポート振替表!$O$5:$O$3507,$L2153)&amp;""))</f>
        <v/>
      </c>
      <c r="F2153" s="52" t="str">
        <f aca="false">IF(L2153="","",INDEX(ポート振替表!$K$5:$K$3507,$L2153)&amp;" "&amp;INDEX(ポート振替表!$L$5:$L$3507,$L2153)&amp;"  ⇔  "&amp;INDEX(ポート振替表!$H$5:$H$3507,$L2153)&amp;" "&amp;INDEX(ポート振替表!$I$5:$I$3507,$L2153))</f>
        <v/>
      </c>
      <c r="G2153" s="57" t="s">
        <v>158</v>
      </c>
      <c r="H2153" s="32" t="str">
        <f aca="false">IF(L2153="","",INDEX(ポート振替表!$N$5:$N$3507,$L2153)&amp;"")</f>
        <v/>
      </c>
      <c r="I2153" s="32" t="str">
        <f aca="false">IF(L2153="","",INDEX(ポート振替表!$P$5:$P$3507,$L2153)&amp;"")</f>
        <v/>
      </c>
      <c r="J2153" s="60" t="str">
        <f aca="false">IF(L2153="","",INDEX(ポート振替表!$M$5:$M$3507,$L2153)&amp;"")</f>
        <v/>
      </c>
      <c r="K2153" s="52" t="str">
        <f aca="false">IF(L2153="","",E2153&amp;CHAR(10)&amp;INDEX(ポート振替表!$K$5:$K$3507,$L2153)&amp;" "&amp;INDEX(ポート振替表!$L$5:$L$3507,$L2153)&amp;CHAR(10)&amp;"⇔ "&amp;INDEX(ポート振替表!$H$5:$H$3507,$L2153)&amp;" "&amp;INDEX(ポート振替表!$I$5:$I$3507,$L2153))</f>
        <v/>
      </c>
      <c r="L2153" s="47" t="str">
        <f aca="false">IFERROR(MATCH(ROW()-4,ポート振替表!$V$5:$V$3507,0),"")</f>
        <v/>
      </c>
    </row>
    <row r="2154" customFormat="false" ht="16.4" hidden="false" customHeight="false" outlineLevel="0" collapsed="false">
      <c r="A2154" s="32" t="str">
        <f aca="false">IF(L2154="","",ROW()-4)</f>
        <v/>
      </c>
      <c r="B2154" s="58" t="str">
        <f aca="false">IF(L2154="","",IF(INDEX(ポート振替表!$W$5:$W$3507,$L2154)="","(なし)",INDEX(ポート振替表!$W$5:$W$3507,$L2154)&amp;""))</f>
        <v/>
      </c>
      <c r="C2154" s="52" t="str">
        <f aca="false">IF(L2154="","",INDEX(ポート振替表!$B$5:$B$3507,$L2154)&amp;" "&amp;INDEX(ポート振替表!$C$5:$C$3507,$L2154)&amp;"  ⇔  "&amp;INDEX(ポート振替表!$H$5:$H$3507,$L2154)&amp;" "&amp;INDEX(ポート振替表!$I$5:$I$3507,$L2154))</f>
        <v/>
      </c>
      <c r="D2154" s="57" t="s">
        <v>158</v>
      </c>
      <c r="E2154" s="59" t="str">
        <f aca="false">IF(L2154="","",IF(INDEX(ポート振替表!$O$5:$O$3507,$L2154)="","(未設定)",INDEX(ポート振替表!$O$5:$O$3507,$L2154)&amp;""))</f>
        <v/>
      </c>
      <c r="F2154" s="52" t="str">
        <f aca="false">IF(L2154="","",INDEX(ポート振替表!$K$5:$K$3507,$L2154)&amp;" "&amp;INDEX(ポート振替表!$L$5:$L$3507,$L2154)&amp;"  ⇔  "&amp;INDEX(ポート振替表!$H$5:$H$3507,$L2154)&amp;" "&amp;INDEX(ポート振替表!$I$5:$I$3507,$L2154))</f>
        <v/>
      </c>
      <c r="G2154" s="57" t="s">
        <v>158</v>
      </c>
      <c r="H2154" s="32" t="str">
        <f aca="false">IF(L2154="","",INDEX(ポート振替表!$N$5:$N$3507,$L2154)&amp;"")</f>
        <v/>
      </c>
      <c r="I2154" s="32" t="str">
        <f aca="false">IF(L2154="","",INDEX(ポート振替表!$P$5:$P$3507,$L2154)&amp;"")</f>
        <v/>
      </c>
      <c r="J2154" s="60" t="str">
        <f aca="false">IF(L2154="","",INDEX(ポート振替表!$M$5:$M$3507,$L2154)&amp;"")</f>
        <v/>
      </c>
      <c r="K2154" s="52" t="str">
        <f aca="false">IF(L2154="","",E2154&amp;CHAR(10)&amp;INDEX(ポート振替表!$K$5:$K$3507,$L2154)&amp;" "&amp;INDEX(ポート振替表!$L$5:$L$3507,$L2154)&amp;CHAR(10)&amp;"⇔ "&amp;INDEX(ポート振替表!$H$5:$H$3507,$L2154)&amp;" "&amp;INDEX(ポート振替表!$I$5:$I$3507,$L2154))</f>
        <v/>
      </c>
      <c r="L2154" s="47" t="str">
        <f aca="false">IFERROR(MATCH(ROW()-4,ポート振替表!$V$5:$V$3507,0),"")</f>
        <v/>
      </c>
    </row>
    <row r="2155" customFormat="false" ht="16.4" hidden="false" customHeight="false" outlineLevel="0" collapsed="false">
      <c r="A2155" s="32" t="str">
        <f aca="false">IF(L2155="","",ROW()-4)</f>
        <v/>
      </c>
      <c r="B2155" s="58" t="str">
        <f aca="false">IF(L2155="","",IF(INDEX(ポート振替表!$W$5:$W$3507,$L2155)="","(なし)",INDEX(ポート振替表!$W$5:$W$3507,$L2155)&amp;""))</f>
        <v/>
      </c>
      <c r="C2155" s="52" t="str">
        <f aca="false">IF(L2155="","",INDEX(ポート振替表!$B$5:$B$3507,$L2155)&amp;" "&amp;INDEX(ポート振替表!$C$5:$C$3507,$L2155)&amp;"  ⇔  "&amp;INDEX(ポート振替表!$H$5:$H$3507,$L2155)&amp;" "&amp;INDEX(ポート振替表!$I$5:$I$3507,$L2155))</f>
        <v/>
      </c>
      <c r="D2155" s="57" t="s">
        <v>158</v>
      </c>
      <c r="E2155" s="59" t="str">
        <f aca="false">IF(L2155="","",IF(INDEX(ポート振替表!$O$5:$O$3507,$L2155)="","(未設定)",INDEX(ポート振替表!$O$5:$O$3507,$L2155)&amp;""))</f>
        <v/>
      </c>
      <c r="F2155" s="52" t="str">
        <f aca="false">IF(L2155="","",INDEX(ポート振替表!$K$5:$K$3507,$L2155)&amp;" "&amp;INDEX(ポート振替表!$L$5:$L$3507,$L2155)&amp;"  ⇔  "&amp;INDEX(ポート振替表!$H$5:$H$3507,$L2155)&amp;" "&amp;INDEX(ポート振替表!$I$5:$I$3507,$L2155))</f>
        <v/>
      </c>
      <c r="G2155" s="57" t="s">
        <v>158</v>
      </c>
      <c r="H2155" s="32" t="str">
        <f aca="false">IF(L2155="","",INDEX(ポート振替表!$N$5:$N$3507,$L2155)&amp;"")</f>
        <v/>
      </c>
      <c r="I2155" s="32" t="str">
        <f aca="false">IF(L2155="","",INDEX(ポート振替表!$P$5:$P$3507,$L2155)&amp;"")</f>
        <v/>
      </c>
      <c r="J2155" s="60" t="str">
        <f aca="false">IF(L2155="","",INDEX(ポート振替表!$M$5:$M$3507,$L2155)&amp;"")</f>
        <v/>
      </c>
      <c r="K2155" s="52" t="str">
        <f aca="false">IF(L2155="","",E2155&amp;CHAR(10)&amp;INDEX(ポート振替表!$K$5:$K$3507,$L2155)&amp;" "&amp;INDEX(ポート振替表!$L$5:$L$3507,$L2155)&amp;CHAR(10)&amp;"⇔ "&amp;INDEX(ポート振替表!$H$5:$H$3507,$L2155)&amp;" "&amp;INDEX(ポート振替表!$I$5:$I$3507,$L2155))</f>
        <v/>
      </c>
      <c r="L2155" s="47" t="str">
        <f aca="false">IFERROR(MATCH(ROW()-4,ポート振替表!$V$5:$V$3507,0),"")</f>
        <v/>
      </c>
    </row>
    <row r="2156" customFormat="false" ht="16.4" hidden="false" customHeight="false" outlineLevel="0" collapsed="false">
      <c r="A2156" s="32" t="str">
        <f aca="false">IF(L2156="","",ROW()-4)</f>
        <v/>
      </c>
      <c r="B2156" s="58" t="str">
        <f aca="false">IF(L2156="","",IF(INDEX(ポート振替表!$W$5:$W$3507,$L2156)="","(なし)",INDEX(ポート振替表!$W$5:$W$3507,$L2156)&amp;""))</f>
        <v/>
      </c>
      <c r="C2156" s="52" t="str">
        <f aca="false">IF(L2156="","",INDEX(ポート振替表!$B$5:$B$3507,$L2156)&amp;" "&amp;INDEX(ポート振替表!$C$5:$C$3507,$L2156)&amp;"  ⇔  "&amp;INDEX(ポート振替表!$H$5:$H$3507,$L2156)&amp;" "&amp;INDEX(ポート振替表!$I$5:$I$3507,$L2156))</f>
        <v/>
      </c>
      <c r="D2156" s="57" t="s">
        <v>158</v>
      </c>
      <c r="E2156" s="59" t="str">
        <f aca="false">IF(L2156="","",IF(INDEX(ポート振替表!$O$5:$O$3507,$L2156)="","(未設定)",INDEX(ポート振替表!$O$5:$O$3507,$L2156)&amp;""))</f>
        <v/>
      </c>
      <c r="F2156" s="52" t="str">
        <f aca="false">IF(L2156="","",INDEX(ポート振替表!$K$5:$K$3507,$L2156)&amp;" "&amp;INDEX(ポート振替表!$L$5:$L$3507,$L2156)&amp;"  ⇔  "&amp;INDEX(ポート振替表!$H$5:$H$3507,$L2156)&amp;" "&amp;INDEX(ポート振替表!$I$5:$I$3507,$L2156))</f>
        <v/>
      </c>
      <c r="G2156" s="57" t="s">
        <v>158</v>
      </c>
      <c r="H2156" s="32" t="str">
        <f aca="false">IF(L2156="","",INDEX(ポート振替表!$N$5:$N$3507,$L2156)&amp;"")</f>
        <v/>
      </c>
      <c r="I2156" s="32" t="str">
        <f aca="false">IF(L2156="","",INDEX(ポート振替表!$P$5:$P$3507,$L2156)&amp;"")</f>
        <v/>
      </c>
      <c r="J2156" s="60" t="str">
        <f aca="false">IF(L2156="","",INDEX(ポート振替表!$M$5:$M$3507,$L2156)&amp;"")</f>
        <v/>
      </c>
      <c r="K2156" s="52" t="str">
        <f aca="false">IF(L2156="","",E2156&amp;CHAR(10)&amp;INDEX(ポート振替表!$K$5:$K$3507,$L2156)&amp;" "&amp;INDEX(ポート振替表!$L$5:$L$3507,$L2156)&amp;CHAR(10)&amp;"⇔ "&amp;INDEX(ポート振替表!$H$5:$H$3507,$L2156)&amp;" "&amp;INDEX(ポート振替表!$I$5:$I$3507,$L2156))</f>
        <v/>
      </c>
      <c r="L2156" s="47" t="str">
        <f aca="false">IFERROR(MATCH(ROW()-4,ポート振替表!$V$5:$V$3507,0),"")</f>
        <v/>
      </c>
    </row>
    <row r="2157" customFormat="false" ht="16.4" hidden="false" customHeight="false" outlineLevel="0" collapsed="false">
      <c r="A2157" s="32" t="str">
        <f aca="false">IF(L2157="","",ROW()-4)</f>
        <v/>
      </c>
      <c r="B2157" s="58" t="str">
        <f aca="false">IF(L2157="","",IF(INDEX(ポート振替表!$W$5:$W$3507,$L2157)="","(なし)",INDEX(ポート振替表!$W$5:$W$3507,$L2157)&amp;""))</f>
        <v/>
      </c>
      <c r="C2157" s="52" t="str">
        <f aca="false">IF(L2157="","",INDEX(ポート振替表!$B$5:$B$3507,$L2157)&amp;" "&amp;INDEX(ポート振替表!$C$5:$C$3507,$L2157)&amp;"  ⇔  "&amp;INDEX(ポート振替表!$H$5:$H$3507,$L2157)&amp;" "&amp;INDEX(ポート振替表!$I$5:$I$3507,$L2157))</f>
        <v/>
      </c>
      <c r="D2157" s="57" t="s">
        <v>158</v>
      </c>
      <c r="E2157" s="59" t="str">
        <f aca="false">IF(L2157="","",IF(INDEX(ポート振替表!$O$5:$O$3507,$L2157)="","(未設定)",INDEX(ポート振替表!$O$5:$O$3507,$L2157)&amp;""))</f>
        <v/>
      </c>
      <c r="F2157" s="52" t="str">
        <f aca="false">IF(L2157="","",INDEX(ポート振替表!$K$5:$K$3507,$L2157)&amp;" "&amp;INDEX(ポート振替表!$L$5:$L$3507,$L2157)&amp;"  ⇔  "&amp;INDEX(ポート振替表!$H$5:$H$3507,$L2157)&amp;" "&amp;INDEX(ポート振替表!$I$5:$I$3507,$L2157))</f>
        <v/>
      </c>
      <c r="G2157" s="57" t="s">
        <v>158</v>
      </c>
      <c r="H2157" s="32" t="str">
        <f aca="false">IF(L2157="","",INDEX(ポート振替表!$N$5:$N$3507,$L2157)&amp;"")</f>
        <v/>
      </c>
      <c r="I2157" s="32" t="str">
        <f aca="false">IF(L2157="","",INDEX(ポート振替表!$P$5:$P$3507,$L2157)&amp;"")</f>
        <v/>
      </c>
      <c r="J2157" s="60" t="str">
        <f aca="false">IF(L2157="","",INDEX(ポート振替表!$M$5:$M$3507,$L2157)&amp;"")</f>
        <v/>
      </c>
      <c r="K2157" s="52" t="str">
        <f aca="false">IF(L2157="","",E2157&amp;CHAR(10)&amp;INDEX(ポート振替表!$K$5:$K$3507,$L2157)&amp;" "&amp;INDEX(ポート振替表!$L$5:$L$3507,$L2157)&amp;CHAR(10)&amp;"⇔ "&amp;INDEX(ポート振替表!$H$5:$H$3507,$L2157)&amp;" "&amp;INDEX(ポート振替表!$I$5:$I$3507,$L2157))</f>
        <v/>
      </c>
      <c r="L2157" s="47" t="str">
        <f aca="false">IFERROR(MATCH(ROW()-4,ポート振替表!$V$5:$V$3507,0),"")</f>
        <v/>
      </c>
    </row>
    <row r="2158" customFormat="false" ht="16.4" hidden="false" customHeight="false" outlineLevel="0" collapsed="false">
      <c r="A2158" s="32" t="str">
        <f aca="false">IF(L2158="","",ROW()-4)</f>
        <v/>
      </c>
      <c r="B2158" s="58" t="str">
        <f aca="false">IF(L2158="","",IF(INDEX(ポート振替表!$W$5:$W$3507,$L2158)="","(なし)",INDEX(ポート振替表!$W$5:$W$3507,$L2158)&amp;""))</f>
        <v/>
      </c>
      <c r="C2158" s="52" t="str">
        <f aca="false">IF(L2158="","",INDEX(ポート振替表!$B$5:$B$3507,$L2158)&amp;" "&amp;INDEX(ポート振替表!$C$5:$C$3507,$L2158)&amp;"  ⇔  "&amp;INDEX(ポート振替表!$H$5:$H$3507,$L2158)&amp;" "&amp;INDEX(ポート振替表!$I$5:$I$3507,$L2158))</f>
        <v/>
      </c>
      <c r="D2158" s="57" t="s">
        <v>158</v>
      </c>
      <c r="E2158" s="59" t="str">
        <f aca="false">IF(L2158="","",IF(INDEX(ポート振替表!$O$5:$O$3507,$L2158)="","(未設定)",INDEX(ポート振替表!$O$5:$O$3507,$L2158)&amp;""))</f>
        <v/>
      </c>
      <c r="F2158" s="52" t="str">
        <f aca="false">IF(L2158="","",INDEX(ポート振替表!$K$5:$K$3507,$L2158)&amp;" "&amp;INDEX(ポート振替表!$L$5:$L$3507,$L2158)&amp;"  ⇔  "&amp;INDEX(ポート振替表!$H$5:$H$3507,$L2158)&amp;" "&amp;INDEX(ポート振替表!$I$5:$I$3507,$L2158))</f>
        <v/>
      </c>
      <c r="G2158" s="57" t="s">
        <v>158</v>
      </c>
      <c r="H2158" s="32" t="str">
        <f aca="false">IF(L2158="","",INDEX(ポート振替表!$N$5:$N$3507,$L2158)&amp;"")</f>
        <v/>
      </c>
      <c r="I2158" s="32" t="str">
        <f aca="false">IF(L2158="","",INDEX(ポート振替表!$P$5:$P$3507,$L2158)&amp;"")</f>
        <v/>
      </c>
      <c r="J2158" s="60" t="str">
        <f aca="false">IF(L2158="","",INDEX(ポート振替表!$M$5:$M$3507,$L2158)&amp;"")</f>
        <v/>
      </c>
      <c r="K2158" s="52" t="str">
        <f aca="false">IF(L2158="","",E2158&amp;CHAR(10)&amp;INDEX(ポート振替表!$K$5:$K$3507,$L2158)&amp;" "&amp;INDEX(ポート振替表!$L$5:$L$3507,$L2158)&amp;CHAR(10)&amp;"⇔ "&amp;INDEX(ポート振替表!$H$5:$H$3507,$L2158)&amp;" "&amp;INDEX(ポート振替表!$I$5:$I$3507,$L2158))</f>
        <v/>
      </c>
      <c r="L2158" s="47" t="str">
        <f aca="false">IFERROR(MATCH(ROW()-4,ポート振替表!$V$5:$V$3507,0),"")</f>
        <v/>
      </c>
    </row>
    <row r="2159" customFormat="false" ht="16.4" hidden="false" customHeight="false" outlineLevel="0" collapsed="false">
      <c r="A2159" s="32" t="str">
        <f aca="false">IF(L2159="","",ROW()-4)</f>
        <v/>
      </c>
      <c r="B2159" s="58" t="str">
        <f aca="false">IF(L2159="","",IF(INDEX(ポート振替表!$W$5:$W$3507,$L2159)="","(なし)",INDEX(ポート振替表!$W$5:$W$3507,$L2159)&amp;""))</f>
        <v/>
      </c>
      <c r="C2159" s="52" t="str">
        <f aca="false">IF(L2159="","",INDEX(ポート振替表!$B$5:$B$3507,$L2159)&amp;" "&amp;INDEX(ポート振替表!$C$5:$C$3507,$L2159)&amp;"  ⇔  "&amp;INDEX(ポート振替表!$H$5:$H$3507,$L2159)&amp;" "&amp;INDEX(ポート振替表!$I$5:$I$3507,$L2159))</f>
        <v/>
      </c>
      <c r="D2159" s="57" t="s">
        <v>158</v>
      </c>
      <c r="E2159" s="59" t="str">
        <f aca="false">IF(L2159="","",IF(INDEX(ポート振替表!$O$5:$O$3507,$L2159)="","(未設定)",INDEX(ポート振替表!$O$5:$O$3507,$L2159)&amp;""))</f>
        <v/>
      </c>
      <c r="F2159" s="52" t="str">
        <f aca="false">IF(L2159="","",INDEX(ポート振替表!$K$5:$K$3507,$L2159)&amp;" "&amp;INDEX(ポート振替表!$L$5:$L$3507,$L2159)&amp;"  ⇔  "&amp;INDEX(ポート振替表!$H$5:$H$3507,$L2159)&amp;" "&amp;INDEX(ポート振替表!$I$5:$I$3507,$L2159))</f>
        <v/>
      </c>
      <c r="G2159" s="57" t="s">
        <v>158</v>
      </c>
      <c r="H2159" s="32" t="str">
        <f aca="false">IF(L2159="","",INDEX(ポート振替表!$N$5:$N$3507,$L2159)&amp;"")</f>
        <v/>
      </c>
      <c r="I2159" s="32" t="str">
        <f aca="false">IF(L2159="","",INDEX(ポート振替表!$P$5:$P$3507,$L2159)&amp;"")</f>
        <v/>
      </c>
      <c r="J2159" s="60" t="str">
        <f aca="false">IF(L2159="","",INDEX(ポート振替表!$M$5:$M$3507,$L2159)&amp;"")</f>
        <v/>
      </c>
      <c r="K2159" s="52" t="str">
        <f aca="false">IF(L2159="","",E2159&amp;CHAR(10)&amp;INDEX(ポート振替表!$K$5:$K$3507,$L2159)&amp;" "&amp;INDEX(ポート振替表!$L$5:$L$3507,$L2159)&amp;CHAR(10)&amp;"⇔ "&amp;INDEX(ポート振替表!$H$5:$H$3507,$L2159)&amp;" "&amp;INDEX(ポート振替表!$I$5:$I$3507,$L2159))</f>
        <v/>
      </c>
      <c r="L2159" s="47" t="str">
        <f aca="false">IFERROR(MATCH(ROW()-4,ポート振替表!$V$5:$V$3507,0),"")</f>
        <v/>
      </c>
    </row>
    <row r="2160" customFormat="false" ht="16.4" hidden="false" customHeight="false" outlineLevel="0" collapsed="false">
      <c r="A2160" s="32" t="str">
        <f aca="false">IF(L2160="","",ROW()-4)</f>
        <v/>
      </c>
      <c r="B2160" s="58" t="str">
        <f aca="false">IF(L2160="","",IF(INDEX(ポート振替表!$W$5:$W$3507,$L2160)="","(なし)",INDEX(ポート振替表!$W$5:$W$3507,$L2160)&amp;""))</f>
        <v/>
      </c>
      <c r="C2160" s="52" t="str">
        <f aca="false">IF(L2160="","",INDEX(ポート振替表!$B$5:$B$3507,$L2160)&amp;" "&amp;INDEX(ポート振替表!$C$5:$C$3507,$L2160)&amp;"  ⇔  "&amp;INDEX(ポート振替表!$H$5:$H$3507,$L2160)&amp;" "&amp;INDEX(ポート振替表!$I$5:$I$3507,$L2160))</f>
        <v/>
      </c>
      <c r="D2160" s="57" t="s">
        <v>158</v>
      </c>
      <c r="E2160" s="59" t="str">
        <f aca="false">IF(L2160="","",IF(INDEX(ポート振替表!$O$5:$O$3507,$L2160)="","(未設定)",INDEX(ポート振替表!$O$5:$O$3507,$L2160)&amp;""))</f>
        <v/>
      </c>
      <c r="F2160" s="52" t="str">
        <f aca="false">IF(L2160="","",INDEX(ポート振替表!$K$5:$K$3507,$L2160)&amp;" "&amp;INDEX(ポート振替表!$L$5:$L$3507,$L2160)&amp;"  ⇔  "&amp;INDEX(ポート振替表!$H$5:$H$3507,$L2160)&amp;" "&amp;INDEX(ポート振替表!$I$5:$I$3507,$L2160))</f>
        <v/>
      </c>
      <c r="G2160" s="57" t="s">
        <v>158</v>
      </c>
      <c r="H2160" s="32" t="str">
        <f aca="false">IF(L2160="","",INDEX(ポート振替表!$N$5:$N$3507,$L2160)&amp;"")</f>
        <v/>
      </c>
      <c r="I2160" s="32" t="str">
        <f aca="false">IF(L2160="","",INDEX(ポート振替表!$P$5:$P$3507,$L2160)&amp;"")</f>
        <v/>
      </c>
      <c r="J2160" s="60" t="str">
        <f aca="false">IF(L2160="","",INDEX(ポート振替表!$M$5:$M$3507,$L2160)&amp;"")</f>
        <v/>
      </c>
      <c r="K2160" s="52" t="str">
        <f aca="false">IF(L2160="","",E2160&amp;CHAR(10)&amp;INDEX(ポート振替表!$K$5:$K$3507,$L2160)&amp;" "&amp;INDEX(ポート振替表!$L$5:$L$3507,$L2160)&amp;CHAR(10)&amp;"⇔ "&amp;INDEX(ポート振替表!$H$5:$H$3507,$L2160)&amp;" "&amp;INDEX(ポート振替表!$I$5:$I$3507,$L2160))</f>
        <v/>
      </c>
      <c r="L2160" s="47" t="str">
        <f aca="false">IFERROR(MATCH(ROW()-4,ポート振替表!$V$5:$V$3507,0),"")</f>
        <v/>
      </c>
    </row>
    <row r="2161" customFormat="false" ht="16.4" hidden="false" customHeight="false" outlineLevel="0" collapsed="false">
      <c r="A2161" s="32" t="str">
        <f aca="false">IF(L2161="","",ROW()-4)</f>
        <v/>
      </c>
      <c r="B2161" s="58" t="str">
        <f aca="false">IF(L2161="","",IF(INDEX(ポート振替表!$W$5:$W$3507,$L2161)="","(なし)",INDEX(ポート振替表!$W$5:$W$3507,$L2161)&amp;""))</f>
        <v/>
      </c>
      <c r="C2161" s="52" t="str">
        <f aca="false">IF(L2161="","",INDEX(ポート振替表!$B$5:$B$3507,$L2161)&amp;" "&amp;INDEX(ポート振替表!$C$5:$C$3507,$L2161)&amp;"  ⇔  "&amp;INDEX(ポート振替表!$H$5:$H$3507,$L2161)&amp;" "&amp;INDEX(ポート振替表!$I$5:$I$3507,$L2161))</f>
        <v/>
      </c>
      <c r="D2161" s="57" t="s">
        <v>158</v>
      </c>
      <c r="E2161" s="59" t="str">
        <f aca="false">IF(L2161="","",IF(INDEX(ポート振替表!$O$5:$O$3507,$L2161)="","(未設定)",INDEX(ポート振替表!$O$5:$O$3507,$L2161)&amp;""))</f>
        <v/>
      </c>
      <c r="F2161" s="52" t="str">
        <f aca="false">IF(L2161="","",INDEX(ポート振替表!$K$5:$K$3507,$L2161)&amp;" "&amp;INDEX(ポート振替表!$L$5:$L$3507,$L2161)&amp;"  ⇔  "&amp;INDEX(ポート振替表!$H$5:$H$3507,$L2161)&amp;" "&amp;INDEX(ポート振替表!$I$5:$I$3507,$L2161))</f>
        <v/>
      </c>
      <c r="G2161" s="57" t="s">
        <v>158</v>
      </c>
      <c r="H2161" s="32" t="str">
        <f aca="false">IF(L2161="","",INDEX(ポート振替表!$N$5:$N$3507,$L2161)&amp;"")</f>
        <v/>
      </c>
      <c r="I2161" s="32" t="str">
        <f aca="false">IF(L2161="","",INDEX(ポート振替表!$P$5:$P$3507,$L2161)&amp;"")</f>
        <v/>
      </c>
      <c r="J2161" s="60" t="str">
        <f aca="false">IF(L2161="","",INDEX(ポート振替表!$M$5:$M$3507,$L2161)&amp;"")</f>
        <v/>
      </c>
      <c r="K2161" s="52" t="str">
        <f aca="false">IF(L2161="","",E2161&amp;CHAR(10)&amp;INDEX(ポート振替表!$K$5:$K$3507,$L2161)&amp;" "&amp;INDEX(ポート振替表!$L$5:$L$3507,$L2161)&amp;CHAR(10)&amp;"⇔ "&amp;INDEX(ポート振替表!$H$5:$H$3507,$L2161)&amp;" "&amp;INDEX(ポート振替表!$I$5:$I$3507,$L2161))</f>
        <v/>
      </c>
      <c r="L2161" s="47" t="str">
        <f aca="false">IFERROR(MATCH(ROW()-4,ポート振替表!$V$5:$V$3507,0),"")</f>
        <v/>
      </c>
    </row>
    <row r="2162" customFormat="false" ht="16.4" hidden="false" customHeight="false" outlineLevel="0" collapsed="false">
      <c r="A2162" s="32" t="str">
        <f aca="false">IF(L2162="","",ROW()-4)</f>
        <v/>
      </c>
      <c r="B2162" s="58" t="str">
        <f aca="false">IF(L2162="","",IF(INDEX(ポート振替表!$W$5:$W$3507,$L2162)="","(なし)",INDEX(ポート振替表!$W$5:$W$3507,$L2162)&amp;""))</f>
        <v/>
      </c>
      <c r="C2162" s="52" t="str">
        <f aca="false">IF(L2162="","",INDEX(ポート振替表!$B$5:$B$3507,$L2162)&amp;" "&amp;INDEX(ポート振替表!$C$5:$C$3507,$L2162)&amp;"  ⇔  "&amp;INDEX(ポート振替表!$H$5:$H$3507,$L2162)&amp;" "&amp;INDEX(ポート振替表!$I$5:$I$3507,$L2162))</f>
        <v/>
      </c>
      <c r="D2162" s="57" t="s">
        <v>158</v>
      </c>
      <c r="E2162" s="59" t="str">
        <f aca="false">IF(L2162="","",IF(INDEX(ポート振替表!$O$5:$O$3507,$L2162)="","(未設定)",INDEX(ポート振替表!$O$5:$O$3507,$L2162)&amp;""))</f>
        <v/>
      </c>
      <c r="F2162" s="52" t="str">
        <f aca="false">IF(L2162="","",INDEX(ポート振替表!$K$5:$K$3507,$L2162)&amp;" "&amp;INDEX(ポート振替表!$L$5:$L$3507,$L2162)&amp;"  ⇔  "&amp;INDEX(ポート振替表!$H$5:$H$3507,$L2162)&amp;" "&amp;INDEX(ポート振替表!$I$5:$I$3507,$L2162))</f>
        <v/>
      </c>
      <c r="G2162" s="57" t="s">
        <v>158</v>
      </c>
      <c r="H2162" s="32" t="str">
        <f aca="false">IF(L2162="","",INDEX(ポート振替表!$N$5:$N$3507,$L2162)&amp;"")</f>
        <v/>
      </c>
      <c r="I2162" s="32" t="str">
        <f aca="false">IF(L2162="","",INDEX(ポート振替表!$P$5:$P$3507,$L2162)&amp;"")</f>
        <v/>
      </c>
      <c r="J2162" s="60" t="str">
        <f aca="false">IF(L2162="","",INDEX(ポート振替表!$M$5:$M$3507,$L2162)&amp;"")</f>
        <v/>
      </c>
      <c r="K2162" s="52" t="str">
        <f aca="false">IF(L2162="","",E2162&amp;CHAR(10)&amp;INDEX(ポート振替表!$K$5:$K$3507,$L2162)&amp;" "&amp;INDEX(ポート振替表!$L$5:$L$3507,$L2162)&amp;CHAR(10)&amp;"⇔ "&amp;INDEX(ポート振替表!$H$5:$H$3507,$L2162)&amp;" "&amp;INDEX(ポート振替表!$I$5:$I$3507,$L2162))</f>
        <v/>
      </c>
      <c r="L2162" s="47" t="str">
        <f aca="false">IFERROR(MATCH(ROW()-4,ポート振替表!$V$5:$V$3507,0),"")</f>
        <v/>
      </c>
    </row>
    <row r="2163" customFormat="false" ht="16.4" hidden="false" customHeight="false" outlineLevel="0" collapsed="false">
      <c r="A2163" s="32" t="str">
        <f aca="false">IF(L2163="","",ROW()-4)</f>
        <v/>
      </c>
      <c r="B2163" s="58" t="str">
        <f aca="false">IF(L2163="","",IF(INDEX(ポート振替表!$W$5:$W$3507,$L2163)="","(なし)",INDEX(ポート振替表!$W$5:$W$3507,$L2163)&amp;""))</f>
        <v/>
      </c>
      <c r="C2163" s="52" t="str">
        <f aca="false">IF(L2163="","",INDEX(ポート振替表!$B$5:$B$3507,$L2163)&amp;" "&amp;INDEX(ポート振替表!$C$5:$C$3507,$L2163)&amp;"  ⇔  "&amp;INDEX(ポート振替表!$H$5:$H$3507,$L2163)&amp;" "&amp;INDEX(ポート振替表!$I$5:$I$3507,$L2163))</f>
        <v/>
      </c>
      <c r="D2163" s="57" t="s">
        <v>158</v>
      </c>
      <c r="E2163" s="59" t="str">
        <f aca="false">IF(L2163="","",IF(INDEX(ポート振替表!$O$5:$O$3507,$L2163)="","(未設定)",INDEX(ポート振替表!$O$5:$O$3507,$L2163)&amp;""))</f>
        <v/>
      </c>
      <c r="F2163" s="52" t="str">
        <f aca="false">IF(L2163="","",INDEX(ポート振替表!$K$5:$K$3507,$L2163)&amp;" "&amp;INDEX(ポート振替表!$L$5:$L$3507,$L2163)&amp;"  ⇔  "&amp;INDEX(ポート振替表!$H$5:$H$3507,$L2163)&amp;" "&amp;INDEX(ポート振替表!$I$5:$I$3507,$L2163))</f>
        <v/>
      </c>
      <c r="G2163" s="57" t="s">
        <v>158</v>
      </c>
      <c r="H2163" s="32" t="str">
        <f aca="false">IF(L2163="","",INDEX(ポート振替表!$N$5:$N$3507,$L2163)&amp;"")</f>
        <v/>
      </c>
      <c r="I2163" s="32" t="str">
        <f aca="false">IF(L2163="","",INDEX(ポート振替表!$P$5:$P$3507,$L2163)&amp;"")</f>
        <v/>
      </c>
      <c r="J2163" s="60" t="str">
        <f aca="false">IF(L2163="","",INDEX(ポート振替表!$M$5:$M$3507,$L2163)&amp;"")</f>
        <v/>
      </c>
      <c r="K2163" s="52" t="str">
        <f aca="false">IF(L2163="","",E2163&amp;CHAR(10)&amp;INDEX(ポート振替表!$K$5:$K$3507,$L2163)&amp;" "&amp;INDEX(ポート振替表!$L$5:$L$3507,$L2163)&amp;CHAR(10)&amp;"⇔ "&amp;INDEX(ポート振替表!$H$5:$H$3507,$L2163)&amp;" "&amp;INDEX(ポート振替表!$I$5:$I$3507,$L2163))</f>
        <v/>
      </c>
      <c r="L2163" s="47" t="str">
        <f aca="false">IFERROR(MATCH(ROW()-4,ポート振替表!$V$5:$V$3507,0),"")</f>
        <v/>
      </c>
    </row>
    <row r="2164" customFormat="false" ht="16.4" hidden="false" customHeight="false" outlineLevel="0" collapsed="false">
      <c r="A2164" s="32" t="str">
        <f aca="false">IF(L2164="","",ROW()-4)</f>
        <v/>
      </c>
      <c r="B2164" s="58" t="str">
        <f aca="false">IF(L2164="","",IF(INDEX(ポート振替表!$W$5:$W$3507,$L2164)="","(なし)",INDEX(ポート振替表!$W$5:$W$3507,$L2164)&amp;""))</f>
        <v/>
      </c>
      <c r="C2164" s="52" t="str">
        <f aca="false">IF(L2164="","",INDEX(ポート振替表!$B$5:$B$3507,$L2164)&amp;" "&amp;INDEX(ポート振替表!$C$5:$C$3507,$L2164)&amp;"  ⇔  "&amp;INDEX(ポート振替表!$H$5:$H$3507,$L2164)&amp;" "&amp;INDEX(ポート振替表!$I$5:$I$3507,$L2164))</f>
        <v/>
      </c>
      <c r="D2164" s="57" t="s">
        <v>158</v>
      </c>
      <c r="E2164" s="59" t="str">
        <f aca="false">IF(L2164="","",IF(INDEX(ポート振替表!$O$5:$O$3507,$L2164)="","(未設定)",INDEX(ポート振替表!$O$5:$O$3507,$L2164)&amp;""))</f>
        <v/>
      </c>
      <c r="F2164" s="52" t="str">
        <f aca="false">IF(L2164="","",INDEX(ポート振替表!$K$5:$K$3507,$L2164)&amp;" "&amp;INDEX(ポート振替表!$L$5:$L$3507,$L2164)&amp;"  ⇔  "&amp;INDEX(ポート振替表!$H$5:$H$3507,$L2164)&amp;" "&amp;INDEX(ポート振替表!$I$5:$I$3507,$L2164))</f>
        <v/>
      </c>
      <c r="G2164" s="57" t="s">
        <v>158</v>
      </c>
      <c r="H2164" s="32" t="str">
        <f aca="false">IF(L2164="","",INDEX(ポート振替表!$N$5:$N$3507,$L2164)&amp;"")</f>
        <v/>
      </c>
      <c r="I2164" s="32" t="str">
        <f aca="false">IF(L2164="","",INDEX(ポート振替表!$P$5:$P$3507,$L2164)&amp;"")</f>
        <v/>
      </c>
      <c r="J2164" s="60" t="str">
        <f aca="false">IF(L2164="","",INDEX(ポート振替表!$M$5:$M$3507,$L2164)&amp;"")</f>
        <v/>
      </c>
      <c r="K2164" s="52" t="str">
        <f aca="false">IF(L2164="","",E2164&amp;CHAR(10)&amp;INDEX(ポート振替表!$K$5:$K$3507,$L2164)&amp;" "&amp;INDEX(ポート振替表!$L$5:$L$3507,$L2164)&amp;CHAR(10)&amp;"⇔ "&amp;INDEX(ポート振替表!$H$5:$H$3507,$L2164)&amp;" "&amp;INDEX(ポート振替表!$I$5:$I$3507,$L2164))</f>
        <v/>
      </c>
      <c r="L2164" s="47" t="str">
        <f aca="false">IFERROR(MATCH(ROW()-4,ポート振替表!$V$5:$V$3507,0),"")</f>
        <v/>
      </c>
    </row>
    <row r="2165" customFormat="false" ht="16.4" hidden="false" customHeight="false" outlineLevel="0" collapsed="false">
      <c r="A2165" s="32" t="str">
        <f aca="false">IF(L2165="","",ROW()-4)</f>
        <v/>
      </c>
      <c r="B2165" s="58" t="str">
        <f aca="false">IF(L2165="","",IF(INDEX(ポート振替表!$W$5:$W$3507,$L2165)="","(なし)",INDEX(ポート振替表!$W$5:$W$3507,$L2165)&amp;""))</f>
        <v/>
      </c>
      <c r="C2165" s="52" t="str">
        <f aca="false">IF(L2165="","",INDEX(ポート振替表!$B$5:$B$3507,$L2165)&amp;" "&amp;INDEX(ポート振替表!$C$5:$C$3507,$L2165)&amp;"  ⇔  "&amp;INDEX(ポート振替表!$H$5:$H$3507,$L2165)&amp;" "&amp;INDEX(ポート振替表!$I$5:$I$3507,$L2165))</f>
        <v/>
      </c>
      <c r="D2165" s="57" t="s">
        <v>158</v>
      </c>
      <c r="E2165" s="59" t="str">
        <f aca="false">IF(L2165="","",IF(INDEX(ポート振替表!$O$5:$O$3507,$L2165)="","(未設定)",INDEX(ポート振替表!$O$5:$O$3507,$L2165)&amp;""))</f>
        <v/>
      </c>
      <c r="F2165" s="52" t="str">
        <f aca="false">IF(L2165="","",INDEX(ポート振替表!$K$5:$K$3507,$L2165)&amp;" "&amp;INDEX(ポート振替表!$L$5:$L$3507,$L2165)&amp;"  ⇔  "&amp;INDEX(ポート振替表!$H$5:$H$3507,$L2165)&amp;" "&amp;INDEX(ポート振替表!$I$5:$I$3507,$L2165))</f>
        <v/>
      </c>
      <c r="G2165" s="57" t="s">
        <v>158</v>
      </c>
      <c r="H2165" s="32" t="str">
        <f aca="false">IF(L2165="","",INDEX(ポート振替表!$N$5:$N$3507,$L2165)&amp;"")</f>
        <v/>
      </c>
      <c r="I2165" s="32" t="str">
        <f aca="false">IF(L2165="","",INDEX(ポート振替表!$P$5:$P$3507,$L2165)&amp;"")</f>
        <v/>
      </c>
      <c r="J2165" s="60" t="str">
        <f aca="false">IF(L2165="","",INDEX(ポート振替表!$M$5:$M$3507,$L2165)&amp;"")</f>
        <v/>
      </c>
      <c r="K2165" s="52" t="str">
        <f aca="false">IF(L2165="","",E2165&amp;CHAR(10)&amp;INDEX(ポート振替表!$K$5:$K$3507,$L2165)&amp;" "&amp;INDEX(ポート振替表!$L$5:$L$3507,$L2165)&amp;CHAR(10)&amp;"⇔ "&amp;INDEX(ポート振替表!$H$5:$H$3507,$L2165)&amp;" "&amp;INDEX(ポート振替表!$I$5:$I$3507,$L2165))</f>
        <v/>
      </c>
      <c r="L2165" s="47" t="str">
        <f aca="false">IFERROR(MATCH(ROW()-4,ポート振替表!$V$5:$V$3507,0),"")</f>
        <v/>
      </c>
    </row>
    <row r="2166" customFormat="false" ht="16.4" hidden="false" customHeight="false" outlineLevel="0" collapsed="false">
      <c r="A2166" s="32" t="str">
        <f aca="false">IF(L2166="","",ROW()-4)</f>
        <v/>
      </c>
      <c r="B2166" s="58" t="str">
        <f aca="false">IF(L2166="","",IF(INDEX(ポート振替表!$W$5:$W$3507,$L2166)="","(なし)",INDEX(ポート振替表!$W$5:$W$3507,$L2166)&amp;""))</f>
        <v/>
      </c>
      <c r="C2166" s="52" t="str">
        <f aca="false">IF(L2166="","",INDEX(ポート振替表!$B$5:$B$3507,$L2166)&amp;" "&amp;INDEX(ポート振替表!$C$5:$C$3507,$L2166)&amp;"  ⇔  "&amp;INDEX(ポート振替表!$H$5:$H$3507,$L2166)&amp;" "&amp;INDEX(ポート振替表!$I$5:$I$3507,$L2166))</f>
        <v/>
      </c>
      <c r="D2166" s="57" t="s">
        <v>158</v>
      </c>
      <c r="E2166" s="59" t="str">
        <f aca="false">IF(L2166="","",IF(INDEX(ポート振替表!$O$5:$O$3507,$L2166)="","(未設定)",INDEX(ポート振替表!$O$5:$O$3507,$L2166)&amp;""))</f>
        <v/>
      </c>
      <c r="F2166" s="52" t="str">
        <f aca="false">IF(L2166="","",INDEX(ポート振替表!$K$5:$K$3507,$L2166)&amp;" "&amp;INDEX(ポート振替表!$L$5:$L$3507,$L2166)&amp;"  ⇔  "&amp;INDEX(ポート振替表!$H$5:$H$3507,$L2166)&amp;" "&amp;INDEX(ポート振替表!$I$5:$I$3507,$L2166))</f>
        <v/>
      </c>
      <c r="G2166" s="57" t="s">
        <v>158</v>
      </c>
      <c r="H2166" s="32" t="str">
        <f aca="false">IF(L2166="","",INDEX(ポート振替表!$N$5:$N$3507,$L2166)&amp;"")</f>
        <v/>
      </c>
      <c r="I2166" s="32" t="str">
        <f aca="false">IF(L2166="","",INDEX(ポート振替表!$P$5:$P$3507,$L2166)&amp;"")</f>
        <v/>
      </c>
      <c r="J2166" s="60" t="str">
        <f aca="false">IF(L2166="","",INDEX(ポート振替表!$M$5:$M$3507,$L2166)&amp;"")</f>
        <v/>
      </c>
      <c r="K2166" s="52" t="str">
        <f aca="false">IF(L2166="","",E2166&amp;CHAR(10)&amp;INDEX(ポート振替表!$K$5:$K$3507,$L2166)&amp;" "&amp;INDEX(ポート振替表!$L$5:$L$3507,$L2166)&amp;CHAR(10)&amp;"⇔ "&amp;INDEX(ポート振替表!$H$5:$H$3507,$L2166)&amp;" "&amp;INDEX(ポート振替表!$I$5:$I$3507,$L2166))</f>
        <v/>
      </c>
      <c r="L2166" s="47" t="str">
        <f aca="false">IFERROR(MATCH(ROW()-4,ポート振替表!$V$5:$V$3507,0),"")</f>
        <v/>
      </c>
    </row>
    <row r="2167" customFormat="false" ht="16.4" hidden="false" customHeight="false" outlineLevel="0" collapsed="false">
      <c r="A2167" s="32" t="str">
        <f aca="false">IF(L2167="","",ROW()-4)</f>
        <v/>
      </c>
      <c r="B2167" s="58" t="str">
        <f aca="false">IF(L2167="","",IF(INDEX(ポート振替表!$W$5:$W$3507,$L2167)="","(なし)",INDEX(ポート振替表!$W$5:$W$3507,$L2167)&amp;""))</f>
        <v/>
      </c>
      <c r="C2167" s="52" t="str">
        <f aca="false">IF(L2167="","",INDEX(ポート振替表!$B$5:$B$3507,$L2167)&amp;" "&amp;INDEX(ポート振替表!$C$5:$C$3507,$L2167)&amp;"  ⇔  "&amp;INDEX(ポート振替表!$H$5:$H$3507,$L2167)&amp;" "&amp;INDEX(ポート振替表!$I$5:$I$3507,$L2167))</f>
        <v/>
      </c>
      <c r="D2167" s="57" t="s">
        <v>158</v>
      </c>
      <c r="E2167" s="59" t="str">
        <f aca="false">IF(L2167="","",IF(INDEX(ポート振替表!$O$5:$O$3507,$L2167)="","(未設定)",INDEX(ポート振替表!$O$5:$O$3507,$L2167)&amp;""))</f>
        <v/>
      </c>
      <c r="F2167" s="52" t="str">
        <f aca="false">IF(L2167="","",INDEX(ポート振替表!$K$5:$K$3507,$L2167)&amp;" "&amp;INDEX(ポート振替表!$L$5:$L$3507,$L2167)&amp;"  ⇔  "&amp;INDEX(ポート振替表!$H$5:$H$3507,$L2167)&amp;" "&amp;INDEX(ポート振替表!$I$5:$I$3507,$L2167))</f>
        <v/>
      </c>
      <c r="G2167" s="57" t="s">
        <v>158</v>
      </c>
      <c r="H2167" s="32" t="str">
        <f aca="false">IF(L2167="","",INDEX(ポート振替表!$N$5:$N$3507,$L2167)&amp;"")</f>
        <v/>
      </c>
      <c r="I2167" s="32" t="str">
        <f aca="false">IF(L2167="","",INDEX(ポート振替表!$P$5:$P$3507,$L2167)&amp;"")</f>
        <v/>
      </c>
      <c r="J2167" s="60" t="str">
        <f aca="false">IF(L2167="","",INDEX(ポート振替表!$M$5:$M$3507,$L2167)&amp;"")</f>
        <v/>
      </c>
      <c r="K2167" s="52" t="str">
        <f aca="false">IF(L2167="","",E2167&amp;CHAR(10)&amp;INDEX(ポート振替表!$K$5:$K$3507,$L2167)&amp;" "&amp;INDEX(ポート振替表!$L$5:$L$3507,$L2167)&amp;CHAR(10)&amp;"⇔ "&amp;INDEX(ポート振替表!$H$5:$H$3507,$L2167)&amp;" "&amp;INDEX(ポート振替表!$I$5:$I$3507,$L2167))</f>
        <v/>
      </c>
      <c r="L2167" s="47" t="str">
        <f aca="false">IFERROR(MATCH(ROW()-4,ポート振替表!$V$5:$V$3507,0),"")</f>
        <v/>
      </c>
    </row>
    <row r="2168" customFormat="false" ht="16.4" hidden="false" customHeight="false" outlineLevel="0" collapsed="false">
      <c r="A2168" s="32" t="str">
        <f aca="false">IF(L2168="","",ROW()-4)</f>
        <v/>
      </c>
      <c r="B2168" s="58" t="str">
        <f aca="false">IF(L2168="","",IF(INDEX(ポート振替表!$W$5:$W$3507,$L2168)="","(なし)",INDEX(ポート振替表!$W$5:$W$3507,$L2168)&amp;""))</f>
        <v/>
      </c>
      <c r="C2168" s="52" t="str">
        <f aca="false">IF(L2168="","",INDEX(ポート振替表!$B$5:$B$3507,$L2168)&amp;" "&amp;INDEX(ポート振替表!$C$5:$C$3507,$L2168)&amp;"  ⇔  "&amp;INDEX(ポート振替表!$H$5:$H$3507,$L2168)&amp;" "&amp;INDEX(ポート振替表!$I$5:$I$3507,$L2168))</f>
        <v/>
      </c>
      <c r="D2168" s="57" t="s">
        <v>158</v>
      </c>
      <c r="E2168" s="59" t="str">
        <f aca="false">IF(L2168="","",IF(INDEX(ポート振替表!$O$5:$O$3507,$L2168)="","(未設定)",INDEX(ポート振替表!$O$5:$O$3507,$L2168)&amp;""))</f>
        <v/>
      </c>
      <c r="F2168" s="52" t="str">
        <f aca="false">IF(L2168="","",INDEX(ポート振替表!$K$5:$K$3507,$L2168)&amp;" "&amp;INDEX(ポート振替表!$L$5:$L$3507,$L2168)&amp;"  ⇔  "&amp;INDEX(ポート振替表!$H$5:$H$3507,$L2168)&amp;" "&amp;INDEX(ポート振替表!$I$5:$I$3507,$L2168))</f>
        <v/>
      </c>
      <c r="G2168" s="57" t="s">
        <v>158</v>
      </c>
      <c r="H2168" s="32" t="str">
        <f aca="false">IF(L2168="","",INDEX(ポート振替表!$N$5:$N$3507,$L2168)&amp;"")</f>
        <v/>
      </c>
      <c r="I2168" s="32" t="str">
        <f aca="false">IF(L2168="","",INDEX(ポート振替表!$P$5:$P$3507,$L2168)&amp;"")</f>
        <v/>
      </c>
      <c r="J2168" s="60" t="str">
        <f aca="false">IF(L2168="","",INDEX(ポート振替表!$M$5:$M$3507,$L2168)&amp;"")</f>
        <v/>
      </c>
      <c r="K2168" s="52" t="str">
        <f aca="false">IF(L2168="","",E2168&amp;CHAR(10)&amp;INDEX(ポート振替表!$K$5:$K$3507,$L2168)&amp;" "&amp;INDEX(ポート振替表!$L$5:$L$3507,$L2168)&amp;CHAR(10)&amp;"⇔ "&amp;INDEX(ポート振替表!$H$5:$H$3507,$L2168)&amp;" "&amp;INDEX(ポート振替表!$I$5:$I$3507,$L2168))</f>
        <v/>
      </c>
      <c r="L2168" s="47" t="str">
        <f aca="false">IFERROR(MATCH(ROW()-4,ポート振替表!$V$5:$V$3507,0),"")</f>
        <v/>
      </c>
    </row>
    <row r="2169" customFormat="false" ht="16.4" hidden="false" customHeight="false" outlineLevel="0" collapsed="false">
      <c r="A2169" s="32" t="str">
        <f aca="false">IF(L2169="","",ROW()-4)</f>
        <v/>
      </c>
      <c r="B2169" s="58" t="str">
        <f aca="false">IF(L2169="","",IF(INDEX(ポート振替表!$W$5:$W$3507,$L2169)="","(なし)",INDEX(ポート振替表!$W$5:$W$3507,$L2169)&amp;""))</f>
        <v/>
      </c>
      <c r="C2169" s="52" t="str">
        <f aca="false">IF(L2169="","",INDEX(ポート振替表!$B$5:$B$3507,$L2169)&amp;" "&amp;INDEX(ポート振替表!$C$5:$C$3507,$L2169)&amp;"  ⇔  "&amp;INDEX(ポート振替表!$H$5:$H$3507,$L2169)&amp;" "&amp;INDEX(ポート振替表!$I$5:$I$3507,$L2169))</f>
        <v/>
      </c>
      <c r="D2169" s="57" t="s">
        <v>158</v>
      </c>
      <c r="E2169" s="59" t="str">
        <f aca="false">IF(L2169="","",IF(INDEX(ポート振替表!$O$5:$O$3507,$L2169)="","(未設定)",INDEX(ポート振替表!$O$5:$O$3507,$L2169)&amp;""))</f>
        <v/>
      </c>
      <c r="F2169" s="52" t="str">
        <f aca="false">IF(L2169="","",INDEX(ポート振替表!$K$5:$K$3507,$L2169)&amp;" "&amp;INDEX(ポート振替表!$L$5:$L$3507,$L2169)&amp;"  ⇔  "&amp;INDEX(ポート振替表!$H$5:$H$3507,$L2169)&amp;" "&amp;INDEX(ポート振替表!$I$5:$I$3507,$L2169))</f>
        <v/>
      </c>
      <c r="G2169" s="57" t="s">
        <v>158</v>
      </c>
      <c r="H2169" s="32" t="str">
        <f aca="false">IF(L2169="","",INDEX(ポート振替表!$N$5:$N$3507,$L2169)&amp;"")</f>
        <v/>
      </c>
      <c r="I2169" s="32" t="str">
        <f aca="false">IF(L2169="","",INDEX(ポート振替表!$P$5:$P$3507,$L2169)&amp;"")</f>
        <v/>
      </c>
      <c r="J2169" s="60" t="str">
        <f aca="false">IF(L2169="","",INDEX(ポート振替表!$M$5:$M$3507,$L2169)&amp;"")</f>
        <v/>
      </c>
      <c r="K2169" s="52" t="str">
        <f aca="false">IF(L2169="","",E2169&amp;CHAR(10)&amp;INDEX(ポート振替表!$K$5:$K$3507,$L2169)&amp;" "&amp;INDEX(ポート振替表!$L$5:$L$3507,$L2169)&amp;CHAR(10)&amp;"⇔ "&amp;INDEX(ポート振替表!$H$5:$H$3507,$L2169)&amp;" "&amp;INDEX(ポート振替表!$I$5:$I$3507,$L2169))</f>
        <v/>
      </c>
      <c r="L2169" s="47" t="str">
        <f aca="false">IFERROR(MATCH(ROW()-4,ポート振替表!$V$5:$V$3507,0),"")</f>
        <v/>
      </c>
    </row>
    <row r="2170" customFormat="false" ht="16.4" hidden="false" customHeight="false" outlineLevel="0" collapsed="false">
      <c r="A2170" s="32" t="str">
        <f aca="false">IF(L2170="","",ROW()-4)</f>
        <v/>
      </c>
      <c r="B2170" s="58" t="str">
        <f aca="false">IF(L2170="","",IF(INDEX(ポート振替表!$W$5:$W$3507,$L2170)="","(なし)",INDEX(ポート振替表!$W$5:$W$3507,$L2170)&amp;""))</f>
        <v/>
      </c>
      <c r="C2170" s="52" t="str">
        <f aca="false">IF(L2170="","",INDEX(ポート振替表!$B$5:$B$3507,$L2170)&amp;" "&amp;INDEX(ポート振替表!$C$5:$C$3507,$L2170)&amp;"  ⇔  "&amp;INDEX(ポート振替表!$H$5:$H$3507,$L2170)&amp;" "&amp;INDEX(ポート振替表!$I$5:$I$3507,$L2170))</f>
        <v/>
      </c>
      <c r="D2170" s="57" t="s">
        <v>158</v>
      </c>
      <c r="E2170" s="59" t="str">
        <f aca="false">IF(L2170="","",IF(INDEX(ポート振替表!$O$5:$O$3507,$L2170)="","(未設定)",INDEX(ポート振替表!$O$5:$O$3507,$L2170)&amp;""))</f>
        <v/>
      </c>
      <c r="F2170" s="52" t="str">
        <f aca="false">IF(L2170="","",INDEX(ポート振替表!$K$5:$K$3507,$L2170)&amp;" "&amp;INDEX(ポート振替表!$L$5:$L$3507,$L2170)&amp;"  ⇔  "&amp;INDEX(ポート振替表!$H$5:$H$3507,$L2170)&amp;" "&amp;INDEX(ポート振替表!$I$5:$I$3507,$L2170))</f>
        <v/>
      </c>
      <c r="G2170" s="57" t="s">
        <v>158</v>
      </c>
      <c r="H2170" s="32" t="str">
        <f aca="false">IF(L2170="","",INDEX(ポート振替表!$N$5:$N$3507,$L2170)&amp;"")</f>
        <v/>
      </c>
      <c r="I2170" s="32" t="str">
        <f aca="false">IF(L2170="","",INDEX(ポート振替表!$P$5:$P$3507,$L2170)&amp;"")</f>
        <v/>
      </c>
      <c r="J2170" s="60" t="str">
        <f aca="false">IF(L2170="","",INDEX(ポート振替表!$M$5:$M$3507,$L2170)&amp;"")</f>
        <v/>
      </c>
      <c r="K2170" s="52" t="str">
        <f aca="false">IF(L2170="","",E2170&amp;CHAR(10)&amp;INDEX(ポート振替表!$K$5:$K$3507,$L2170)&amp;" "&amp;INDEX(ポート振替表!$L$5:$L$3507,$L2170)&amp;CHAR(10)&amp;"⇔ "&amp;INDEX(ポート振替表!$H$5:$H$3507,$L2170)&amp;" "&amp;INDEX(ポート振替表!$I$5:$I$3507,$L2170))</f>
        <v/>
      </c>
      <c r="L2170" s="47" t="str">
        <f aca="false">IFERROR(MATCH(ROW()-4,ポート振替表!$V$5:$V$3507,0),"")</f>
        <v/>
      </c>
    </row>
    <row r="2171" customFormat="false" ht="16.4" hidden="false" customHeight="false" outlineLevel="0" collapsed="false">
      <c r="A2171" s="32" t="str">
        <f aca="false">IF(L2171="","",ROW()-4)</f>
        <v/>
      </c>
      <c r="B2171" s="58" t="str">
        <f aca="false">IF(L2171="","",IF(INDEX(ポート振替表!$W$5:$W$3507,$L2171)="","(なし)",INDEX(ポート振替表!$W$5:$W$3507,$L2171)&amp;""))</f>
        <v/>
      </c>
      <c r="C2171" s="52" t="str">
        <f aca="false">IF(L2171="","",INDEX(ポート振替表!$B$5:$B$3507,$L2171)&amp;" "&amp;INDEX(ポート振替表!$C$5:$C$3507,$L2171)&amp;"  ⇔  "&amp;INDEX(ポート振替表!$H$5:$H$3507,$L2171)&amp;" "&amp;INDEX(ポート振替表!$I$5:$I$3507,$L2171))</f>
        <v/>
      </c>
      <c r="D2171" s="57" t="s">
        <v>158</v>
      </c>
      <c r="E2171" s="59" t="str">
        <f aca="false">IF(L2171="","",IF(INDEX(ポート振替表!$O$5:$O$3507,$L2171)="","(未設定)",INDEX(ポート振替表!$O$5:$O$3507,$L2171)&amp;""))</f>
        <v/>
      </c>
      <c r="F2171" s="52" t="str">
        <f aca="false">IF(L2171="","",INDEX(ポート振替表!$K$5:$K$3507,$L2171)&amp;" "&amp;INDEX(ポート振替表!$L$5:$L$3507,$L2171)&amp;"  ⇔  "&amp;INDEX(ポート振替表!$H$5:$H$3507,$L2171)&amp;" "&amp;INDEX(ポート振替表!$I$5:$I$3507,$L2171))</f>
        <v/>
      </c>
      <c r="G2171" s="57" t="s">
        <v>158</v>
      </c>
      <c r="H2171" s="32" t="str">
        <f aca="false">IF(L2171="","",INDEX(ポート振替表!$N$5:$N$3507,$L2171)&amp;"")</f>
        <v/>
      </c>
      <c r="I2171" s="32" t="str">
        <f aca="false">IF(L2171="","",INDEX(ポート振替表!$P$5:$P$3507,$L2171)&amp;"")</f>
        <v/>
      </c>
      <c r="J2171" s="60" t="str">
        <f aca="false">IF(L2171="","",INDEX(ポート振替表!$M$5:$M$3507,$L2171)&amp;"")</f>
        <v/>
      </c>
      <c r="K2171" s="52" t="str">
        <f aca="false">IF(L2171="","",E2171&amp;CHAR(10)&amp;INDEX(ポート振替表!$K$5:$K$3507,$L2171)&amp;" "&amp;INDEX(ポート振替表!$L$5:$L$3507,$L2171)&amp;CHAR(10)&amp;"⇔ "&amp;INDEX(ポート振替表!$H$5:$H$3507,$L2171)&amp;" "&amp;INDEX(ポート振替表!$I$5:$I$3507,$L2171))</f>
        <v/>
      </c>
      <c r="L2171" s="47" t="str">
        <f aca="false">IFERROR(MATCH(ROW()-4,ポート振替表!$V$5:$V$3507,0),"")</f>
        <v/>
      </c>
    </row>
    <row r="2172" customFormat="false" ht="16.4" hidden="false" customHeight="false" outlineLevel="0" collapsed="false">
      <c r="A2172" s="32" t="str">
        <f aca="false">IF(L2172="","",ROW()-4)</f>
        <v/>
      </c>
      <c r="B2172" s="58" t="str">
        <f aca="false">IF(L2172="","",IF(INDEX(ポート振替表!$W$5:$W$3507,$L2172)="","(なし)",INDEX(ポート振替表!$W$5:$W$3507,$L2172)&amp;""))</f>
        <v/>
      </c>
      <c r="C2172" s="52" t="str">
        <f aca="false">IF(L2172="","",INDEX(ポート振替表!$B$5:$B$3507,$L2172)&amp;" "&amp;INDEX(ポート振替表!$C$5:$C$3507,$L2172)&amp;"  ⇔  "&amp;INDEX(ポート振替表!$H$5:$H$3507,$L2172)&amp;" "&amp;INDEX(ポート振替表!$I$5:$I$3507,$L2172))</f>
        <v/>
      </c>
      <c r="D2172" s="57" t="s">
        <v>158</v>
      </c>
      <c r="E2172" s="59" t="str">
        <f aca="false">IF(L2172="","",IF(INDEX(ポート振替表!$O$5:$O$3507,$L2172)="","(未設定)",INDEX(ポート振替表!$O$5:$O$3507,$L2172)&amp;""))</f>
        <v/>
      </c>
      <c r="F2172" s="52" t="str">
        <f aca="false">IF(L2172="","",INDEX(ポート振替表!$K$5:$K$3507,$L2172)&amp;" "&amp;INDEX(ポート振替表!$L$5:$L$3507,$L2172)&amp;"  ⇔  "&amp;INDEX(ポート振替表!$H$5:$H$3507,$L2172)&amp;" "&amp;INDEX(ポート振替表!$I$5:$I$3507,$L2172))</f>
        <v/>
      </c>
      <c r="G2172" s="57" t="s">
        <v>158</v>
      </c>
      <c r="H2172" s="32" t="str">
        <f aca="false">IF(L2172="","",INDEX(ポート振替表!$N$5:$N$3507,$L2172)&amp;"")</f>
        <v/>
      </c>
      <c r="I2172" s="32" t="str">
        <f aca="false">IF(L2172="","",INDEX(ポート振替表!$P$5:$P$3507,$L2172)&amp;"")</f>
        <v/>
      </c>
      <c r="J2172" s="60" t="str">
        <f aca="false">IF(L2172="","",INDEX(ポート振替表!$M$5:$M$3507,$L2172)&amp;"")</f>
        <v/>
      </c>
      <c r="K2172" s="52" t="str">
        <f aca="false">IF(L2172="","",E2172&amp;CHAR(10)&amp;INDEX(ポート振替表!$K$5:$K$3507,$L2172)&amp;" "&amp;INDEX(ポート振替表!$L$5:$L$3507,$L2172)&amp;CHAR(10)&amp;"⇔ "&amp;INDEX(ポート振替表!$H$5:$H$3507,$L2172)&amp;" "&amp;INDEX(ポート振替表!$I$5:$I$3507,$L2172))</f>
        <v/>
      </c>
      <c r="L2172" s="47" t="str">
        <f aca="false">IFERROR(MATCH(ROW()-4,ポート振替表!$V$5:$V$3507,0),"")</f>
        <v/>
      </c>
    </row>
    <row r="2173" customFormat="false" ht="16.4" hidden="false" customHeight="false" outlineLevel="0" collapsed="false">
      <c r="A2173" s="32" t="str">
        <f aca="false">IF(L2173="","",ROW()-4)</f>
        <v/>
      </c>
      <c r="B2173" s="58" t="str">
        <f aca="false">IF(L2173="","",IF(INDEX(ポート振替表!$W$5:$W$3507,$L2173)="","(なし)",INDEX(ポート振替表!$W$5:$W$3507,$L2173)&amp;""))</f>
        <v/>
      </c>
      <c r="C2173" s="52" t="str">
        <f aca="false">IF(L2173="","",INDEX(ポート振替表!$B$5:$B$3507,$L2173)&amp;" "&amp;INDEX(ポート振替表!$C$5:$C$3507,$L2173)&amp;"  ⇔  "&amp;INDEX(ポート振替表!$H$5:$H$3507,$L2173)&amp;" "&amp;INDEX(ポート振替表!$I$5:$I$3507,$L2173))</f>
        <v/>
      </c>
      <c r="D2173" s="57" t="s">
        <v>158</v>
      </c>
      <c r="E2173" s="59" t="str">
        <f aca="false">IF(L2173="","",IF(INDEX(ポート振替表!$O$5:$O$3507,$L2173)="","(未設定)",INDEX(ポート振替表!$O$5:$O$3507,$L2173)&amp;""))</f>
        <v/>
      </c>
      <c r="F2173" s="52" t="str">
        <f aca="false">IF(L2173="","",INDEX(ポート振替表!$K$5:$K$3507,$L2173)&amp;" "&amp;INDEX(ポート振替表!$L$5:$L$3507,$L2173)&amp;"  ⇔  "&amp;INDEX(ポート振替表!$H$5:$H$3507,$L2173)&amp;" "&amp;INDEX(ポート振替表!$I$5:$I$3507,$L2173))</f>
        <v/>
      </c>
      <c r="G2173" s="57" t="s">
        <v>158</v>
      </c>
      <c r="H2173" s="32" t="str">
        <f aca="false">IF(L2173="","",INDEX(ポート振替表!$N$5:$N$3507,$L2173)&amp;"")</f>
        <v/>
      </c>
      <c r="I2173" s="32" t="str">
        <f aca="false">IF(L2173="","",INDEX(ポート振替表!$P$5:$P$3507,$L2173)&amp;"")</f>
        <v/>
      </c>
      <c r="J2173" s="60" t="str">
        <f aca="false">IF(L2173="","",INDEX(ポート振替表!$M$5:$M$3507,$L2173)&amp;"")</f>
        <v/>
      </c>
      <c r="K2173" s="52" t="str">
        <f aca="false">IF(L2173="","",E2173&amp;CHAR(10)&amp;INDEX(ポート振替表!$K$5:$K$3507,$L2173)&amp;" "&amp;INDEX(ポート振替表!$L$5:$L$3507,$L2173)&amp;CHAR(10)&amp;"⇔ "&amp;INDEX(ポート振替表!$H$5:$H$3507,$L2173)&amp;" "&amp;INDEX(ポート振替表!$I$5:$I$3507,$L2173))</f>
        <v/>
      </c>
      <c r="L2173" s="47" t="str">
        <f aca="false">IFERROR(MATCH(ROW()-4,ポート振替表!$V$5:$V$3507,0),"")</f>
        <v/>
      </c>
    </row>
    <row r="2174" customFormat="false" ht="16.4" hidden="false" customHeight="false" outlineLevel="0" collapsed="false">
      <c r="A2174" s="32" t="str">
        <f aca="false">IF(L2174="","",ROW()-4)</f>
        <v/>
      </c>
      <c r="B2174" s="58" t="str">
        <f aca="false">IF(L2174="","",IF(INDEX(ポート振替表!$W$5:$W$3507,$L2174)="","(なし)",INDEX(ポート振替表!$W$5:$W$3507,$L2174)&amp;""))</f>
        <v/>
      </c>
      <c r="C2174" s="52" t="str">
        <f aca="false">IF(L2174="","",INDEX(ポート振替表!$B$5:$B$3507,$L2174)&amp;" "&amp;INDEX(ポート振替表!$C$5:$C$3507,$L2174)&amp;"  ⇔  "&amp;INDEX(ポート振替表!$H$5:$H$3507,$L2174)&amp;" "&amp;INDEX(ポート振替表!$I$5:$I$3507,$L2174))</f>
        <v/>
      </c>
      <c r="D2174" s="57" t="s">
        <v>158</v>
      </c>
      <c r="E2174" s="59" t="str">
        <f aca="false">IF(L2174="","",IF(INDEX(ポート振替表!$O$5:$O$3507,$L2174)="","(未設定)",INDEX(ポート振替表!$O$5:$O$3507,$L2174)&amp;""))</f>
        <v/>
      </c>
      <c r="F2174" s="52" t="str">
        <f aca="false">IF(L2174="","",INDEX(ポート振替表!$K$5:$K$3507,$L2174)&amp;" "&amp;INDEX(ポート振替表!$L$5:$L$3507,$L2174)&amp;"  ⇔  "&amp;INDEX(ポート振替表!$H$5:$H$3507,$L2174)&amp;" "&amp;INDEX(ポート振替表!$I$5:$I$3507,$L2174))</f>
        <v/>
      </c>
      <c r="G2174" s="57" t="s">
        <v>158</v>
      </c>
      <c r="H2174" s="32" t="str">
        <f aca="false">IF(L2174="","",INDEX(ポート振替表!$N$5:$N$3507,$L2174)&amp;"")</f>
        <v/>
      </c>
      <c r="I2174" s="32" t="str">
        <f aca="false">IF(L2174="","",INDEX(ポート振替表!$P$5:$P$3507,$L2174)&amp;"")</f>
        <v/>
      </c>
      <c r="J2174" s="60" t="str">
        <f aca="false">IF(L2174="","",INDEX(ポート振替表!$M$5:$M$3507,$L2174)&amp;"")</f>
        <v/>
      </c>
      <c r="K2174" s="52" t="str">
        <f aca="false">IF(L2174="","",E2174&amp;CHAR(10)&amp;INDEX(ポート振替表!$K$5:$K$3507,$L2174)&amp;" "&amp;INDEX(ポート振替表!$L$5:$L$3507,$L2174)&amp;CHAR(10)&amp;"⇔ "&amp;INDEX(ポート振替表!$H$5:$H$3507,$L2174)&amp;" "&amp;INDEX(ポート振替表!$I$5:$I$3507,$L2174))</f>
        <v/>
      </c>
      <c r="L2174" s="47" t="str">
        <f aca="false">IFERROR(MATCH(ROW()-4,ポート振替表!$V$5:$V$3507,0),"")</f>
        <v/>
      </c>
    </row>
    <row r="2175" customFormat="false" ht="16.4" hidden="false" customHeight="false" outlineLevel="0" collapsed="false">
      <c r="A2175" s="32" t="str">
        <f aca="false">IF(L2175="","",ROW()-4)</f>
        <v/>
      </c>
      <c r="B2175" s="58" t="str">
        <f aca="false">IF(L2175="","",IF(INDEX(ポート振替表!$W$5:$W$3507,$L2175)="","(なし)",INDEX(ポート振替表!$W$5:$W$3507,$L2175)&amp;""))</f>
        <v/>
      </c>
      <c r="C2175" s="52" t="str">
        <f aca="false">IF(L2175="","",INDEX(ポート振替表!$B$5:$B$3507,$L2175)&amp;" "&amp;INDEX(ポート振替表!$C$5:$C$3507,$L2175)&amp;"  ⇔  "&amp;INDEX(ポート振替表!$H$5:$H$3507,$L2175)&amp;" "&amp;INDEX(ポート振替表!$I$5:$I$3507,$L2175))</f>
        <v/>
      </c>
      <c r="D2175" s="57" t="s">
        <v>158</v>
      </c>
      <c r="E2175" s="59" t="str">
        <f aca="false">IF(L2175="","",IF(INDEX(ポート振替表!$O$5:$O$3507,$L2175)="","(未設定)",INDEX(ポート振替表!$O$5:$O$3507,$L2175)&amp;""))</f>
        <v/>
      </c>
      <c r="F2175" s="52" t="str">
        <f aca="false">IF(L2175="","",INDEX(ポート振替表!$K$5:$K$3507,$L2175)&amp;" "&amp;INDEX(ポート振替表!$L$5:$L$3507,$L2175)&amp;"  ⇔  "&amp;INDEX(ポート振替表!$H$5:$H$3507,$L2175)&amp;" "&amp;INDEX(ポート振替表!$I$5:$I$3507,$L2175))</f>
        <v/>
      </c>
      <c r="G2175" s="57" t="s">
        <v>158</v>
      </c>
      <c r="H2175" s="32" t="str">
        <f aca="false">IF(L2175="","",INDEX(ポート振替表!$N$5:$N$3507,$L2175)&amp;"")</f>
        <v/>
      </c>
      <c r="I2175" s="32" t="str">
        <f aca="false">IF(L2175="","",INDEX(ポート振替表!$P$5:$P$3507,$L2175)&amp;"")</f>
        <v/>
      </c>
      <c r="J2175" s="60" t="str">
        <f aca="false">IF(L2175="","",INDEX(ポート振替表!$M$5:$M$3507,$L2175)&amp;"")</f>
        <v/>
      </c>
      <c r="K2175" s="52" t="str">
        <f aca="false">IF(L2175="","",E2175&amp;CHAR(10)&amp;INDEX(ポート振替表!$K$5:$K$3507,$L2175)&amp;" "&amp;INDEX(ポート振替表!$L$5:$L$3507,$L2175)&amp;CHAR(10)&amp;"⇔ "&amp;INDEX(ポート振替表!$H$5:$H$3507,$L2175)&amp;" "&amp;INDEX(ポート振替表!$I$5:$I$3507,$L2175))</f>
        <v/>
      </c>
      <c r="L2175" s="47" t="str">
        <f aca="false">IFERROR(MATCH(ROW()-4,ポート振替表!$V$5:$V$3507,0),"")</f>
        <v/>
      </c>
    </row>
    <row r="2176" customFormat="false" ht="16.4" hidden="false" customHeight="false" outlineLevel="0" collapsed="false">
      <c r="A2176" s="32" t="str">
        <f aca="false">IF(L2176="","",ROW()-4)</f>
        <v/>
      </c>
      <c r="B2176" s="58" t="str">
        <f aca="false">IF(L2176="","",IF(INDEX(ポート振替表!$W$5:$W$3507,$L2176)="","(なし)",INDEX(ポート振替表!$W$5:$W$3507,$L2176)&amp;""))</f>
        <v/>
      </c>
      <c r="C2176" s="52" t="str">
        <f aca="false">IF(L2176="","",INDEX(ポート振替表!$B$5:$B$3507,$L2176)&amp;" "&amp;INDEX(ポート振替表!$C$5:$C$3507,$L2176)&amp;"  ⇔  "&amp;INDEX(ポート振替表!$H$5:$H$3507,$L2176)&amp;" "&amp;INDEX(ポート振替表!$I$5:$I$3507,$L2176))</f>
        <v/>
      </c>
      <c r="D2176" s="57" t="s">
        <v>158</v>
      </c>
      <c r="E2176" s="59" t="str">
        <f aca="false">IF(L2176="","",IF(INDEX(ポート振替表!$O$5:$O$3507,$L2176)="","(未設定)",INDEX(ポート振替表!$O$5:$O$3507,$L2176)&amp;""))</f>
        <v/>
      </c>
      <c r="F2176" s="52" t="str">
        <f aca="false">IF(L2176="","",INDEX(ポート振替表!$K$5:$K$3507,$L2176)&amp;" "&amp;INDEX(ポート振替表!$L$5:$L$3507,$L2176)&amp;"  ⇔  "&amp;INDEX(ポート振替表!$H$5:$H$3507,$L2176)&amp;" "&amp;INDEX(ポート振替表!$I$5:$I$3507,$L2176))</f>
        <v/>
      </c>
      <c r="G2176" s="57" t="s">
        <v>158</v>
      </c>
      <c r="H2176" s="32" t="str">
        <f aca="false">IF(L2176="","",INDEX(ポート振替表!$N$5:$N$3507,$L2176)&amp;"")</f>
        <v/>
      </c>
      <c r="I2176" s="32" t="str">
        <f aca="false">IF(L2176="","",INDEX(ポート振替表!$P$5:$P$3507,$L2176)&amp;"")</f>
        <v/>
      </c>
      <c r="J2176" s="60" t="str">
        <f aca="false">IF(L2176="","",INDEX(ポート振替表!$M$5:$M$3507,$L2176)&amp;"")</f>
        <v/>
      </c>
      <c r="K2176" s="52" t="str">
        <f aca="false">IF(L2176="","",E2176&amp;CHAR(10)&amp;INDEX(ポート振替表!$K$5:$K$3507,$L2176)&amp;" "&amp;INDEX(ポート振替表!$L$5:$L$3507,$L2176)&amp;CHAR(10)&amp;"⇔ "&amp;INDEX(ポート振替表!$H$5:$H$3507,$L2176)&amp;" "&amp;INDEX(ポート振替表!$I$5:$I$3507,$L2176))</f>
        <v/>
      </c>
      <c r="L2176" s="47" t="str">
        <f aca="false">IFERROR(MATCH(ROW()-4,ポート振替表!$V$5:$V$3507,0),"")</f>
        <v/>
      </c>
    </row>
    <row r="2177" customFormat="false" ht="16.4" hidden="false" customHeight="false" outlineLevel="0" collapsed="false">
      <c r="A2177" s="32" t="str">
        <f aca="false">IF(L2177="","",ROW()-4)</f>
        <v/>
      </c>
      <c r="B2177" s="58" t="str">
        <f aca="false">IF(L2177="","",IF(INDEX(ポート振替表!$W$5:$W$3507,$L2177)="","(なし)",INDEX(ポート振替表!$W$5:$W$3507,$L2177)&amp;""))</f>
        <v/>
      </c>
      <c r="C2177" s="52" t="str">
        <f aca="false">IF(L2177="","",INDEX(ポート振替表!$B$5:$B$3507,$L2177)&amp;" "&amp;INDEX(ポート振替表!$C$5:$C$3507,$L2177)&amp;"  ⇔  "&amp;INDEX(ポート振替表!$H$5:$H$3507,$L2177)&amp;" "&amp;INDEX(ポート振替表!$I$5:$I$3507,$L2177))</f>
        <v/>
      </c>
      <c r="D2177" s="57" t="s">
        <v>158</v>
      </c>
      <c r="E2177" s="59" t="str">
        <f aca="false">IF(L2177="","",IF(INDEX(ポート振替表!$O$5:$O$3507,$L2177)="","(未設定)",INDEX(ポート振替表!$O$5:$O$3507,$L2177)&amp;""))</f>
        <v/>
      </c>
      <c r="F2177" s="52" t="str">
        <f aca="false">IF(L2177="","",INDEX(ポート振替表!$K$5:$K$3507,$L2177)&amp;" "&amp;INDEX(ポート振替表!$L$5:$L$3507,$L2177)&amp;"  ⇔  "&amp;INDEX(ポート振替表!$H$5:$H$3507,$L2177)&amp;" "&amp;INDEX(ポート振替表!$I$5:$I$3507,$L2177))</f>
        <v/>
      </c>
      <c r="G2177" s="57" t="s">
        <v>158</v>
      </c>
      <c r="H2177" s="32" t="str">
        <f aca="false">IF(L2177="","",INDEX(ポート振替表!$N$5:$N$3507,$L2177)&amp;"")</f>
        <v/>
      </c>
      <c r="I2177" s="32" t="str">
        <f aca="false">IF(L2177="","",INDEX(ポート振替表!$P$5:$P$3507,$L2177)&amp;"")</f>
        <v/>
      </c>
      <c r="J2177" s="60" t="str">
        <f aca="false">IF(L2177="","",INDEX(ポート振替表!$M$5:$M$3507,$L2177)&amp;"")</f>
        <v/>
      </c>
      <c r="K2177" s="52" t="str">
        <f aca="false">IF(L2177="","",E2177&amp;CHAR(10)&amp;INDEX(ポート振替表!$K$5:$K$3507,$L2177)&amp;" "&amp;INDEX(ポート振替表!$L$5:$L$3507,$L2177)&amp;CHAR(10)&amp;"⇔ "&amp;INDEX(ポート振替表!$H$5:$H$3507,$L2177)&amp;" "&amp;INDEX(ポート振替表!$I$5:$I$3507,$L2177))</f>
        <v/>
      </c>
      <c r="L2177" s="47" t="str">
        <f aca="false">IFERROR(MATCH(ROW()-4,ポート振替表!$V$5:$V$3507,0),"")</f>
        <v/>
      </c>
    </row>
    <row r="2178" customFormat="false" ht="16.4" hidden="false" customHeight="false" outlineLevel="0" collapsed="false">
      <c r="A2178" s="32" t="str">
        <f aca="false">IF(L2178="","",ROW()-4)</f>
        <v/>
      </c>
      <c r="B2178" s="58" t="str">
        <f aca="false">IF(L2178="","",IF(INDEX(ポート振替表!$W$5:$W$3507,$L2178)="","(なし)",INDEX(ポート振替表!$W$5:$W$3507,$L2178)&amp;""))</f>
        <v/>
      </c>
      <c r="C2178" s="52" t="str">
        <f aca="false">IF(L2178="","",INDEX(ポート振替表!$B$5:$B$3507,$L2178)&amp;" "&amp;INDEX(ポート振替表!$C$5:$C$3507,$L2178)&amp;"  ⇔  "&amp;INDEX(ポート振替表!$H$5:$H$3507,$L2178)&amp;" "&amp;INDEX(ポート振替表!$I$5:$I$3507,$L2178))</f>
        <v/>
      </c>
      <c r="D2178" s="57" t="s">
        <v>158</v>
      </c>
      <c r="E2178" s="59" t="str">
        <f aca="false">IF(L2178="","",IF(INDEX(ポート振替表!$O$5:$O$3507,$L2178)="","(未設定)",INDEX(ポート振替表!$O$5:$O$3507,$L2178)&amp;""))</f>
        <v/>
      </c>
      <c r="F2178" s="52" t="str">
        <f aca="false">IF(L2178="","",INDEX(ポート振替表!$K$5:$K$3507,$L2178)&amp;" "&amp;INDEX(ポート振替表!$L$5:$L$3507,$L2178)&amp;"  ⇔  "&amp;INDEX(ポート振替表!$H$5:$H$3507,$L2178)&amp;" "&amp;INDEX(ポート振替表!$I$5:$I$3507,$L2178))</f>
        <v/>
      </c>
      <c r="G2178" s="57" t="s">
        <v>158</v>
      </c>
      <c r="H2178" s="32" t="str">
        <f aca="false">IF(L2178="","",INDEX(ポート振替表!$N$5:$N$3507,$L2178)&amp;"")</f>
        <v/>
      </c>
      <c r="I2178" s="32" t="str">
        <f aca="false">IF(L2178="","",INDEX(ポート振替表!$P$5:$P$3507,$L2178)&amp;"")</f>
        <v/>
      </c>
      <c r="J2178" s="60" t="str">
        <f aca="false">IF(L2178="","",INDEX(ポート振替表!$M$5:$M$3507,$L2178)&amp;"")</f>
        <v/>
      </c>
      <c r="K2178" s="52" t="str">
        <f aca="false">IF(L2178="","",E2178&amp;CHAR(10)&amp;INDEX(ポート振替表!$K$5:$K$3507,$L2178)&amp;" "&amp;INDEX(ポート振替表!$L$5:$L$3507,$L2178)&amp;CHAR(10)&amp;"⇔ "&amp;INDEX(ポート振替表!$H$5:$H$3507,$L2178)&amp;" "&amp;INDEX(ポート振替表!$I$5:$I$3507,$L2178))</f>
        <v/>
      </c>
      <c r="L2178" s="47" t="str">
        <f aca="false">IFERROR(MATCH(ROW()-4,ポート振替表!$V$5:$V$3507,0),"")</f>
        <v/>
      </c>
    </row>
    <row r="2179" customFormat="false" ht="16.4" hidden="false" customHeight="false" outlineLevel="0" collapsed="false">
      <c r="A2179" s="32" t="str">
        <f aca="false">IF(L2179="","",ROW()-4)</f>
        <v/>
      </c>
      <c r="B2179" s="58" t="str">
        <f aca="false">IF(L2179="","",IF(INDEX(ポート振替表!$W$5:$W$3507,$L2179)="","(なし)",INDEX(ポート振替表!$W$5:$W$3507,$L2179)&amp;""))</f>
        <v/>
      </c>
      <c r="C2179" s="52" t="str">
        <f aca="false">IF(L2179="","",INDEX(ポート振替表!$B$5:$B$3507,$L2179)&amp;" "&amp;INDEX(ポート振替表!$C$5:$C$3507,$L2179)&amp;"  ⇔  "&amp;INDEX(ポート振替表!$H$5:$H$3507,$L2179)&amp;" "&amp;INDEX(ポート振替表!$I$5:$I$3507,$L2179))</f>
        <v/>
      </c>
      <c r="D2179" s="57" t="s">
        <v>158</v>
      </c>
      <c r="E2179" s="59" t="str">
        <f aca="false">IF(L2179="","",IF(INDEX(ポート振替表!$O$5:$O$3507,$L2179)="","(未設定)",INDEX(ポート振替表!$O$5:$O$3507,$L2179)&amp;""))</f>
        <v/>
      </c>
      <c r="F2179" s="52" t="str">
        <f aca="false">IF(L2179="","",INDEX(ポート振替表!$K$5:$K$3507,$L2179)&amp;" "&amp;INDEX(ポート振替表!$L$5:$L$3507,$L2179)&amp;"  ⇔  "&amp;INDEX(ポート振替表!$H$5:$H$3507,$L2179)&amp;" "&amp;INDEX(ポート振替表!$I$5:$I$3507,$L2179))</f>
        <v/>
      </c>
      <c r="G2179" s="57" t="s">
        <v>158</v>
      </c>
      <c r="H2179" s="32" t="str">
        <f aca="false">IF(L2179="","",INDEX(ポート振替表!$N$5:$N$3507,$L2179)&amp;"")</f>
        <v/>
      </c>
      <c r="I2179" s="32" t="str">
        <f aca="false">IF(L2179="","",INDEX(ポート振替表!$P$5:$P$3507,$L2179)&amp;"")</f>
        <v/>
      </c>
      <c r="J2179" s="60" t="str">
        <f aca="false">IF(L2179="","",INDEX(ポート振替表!$M$5:$M$3507,$L2179)&amp;"")</f>
        <v/>
      </c>
      <c r="K2179" s="52" t="str">
        <f aca="false">IF(L2179="","",E2179&amp;CHAR(10)&amp;INDEX(ポート振替表!$K$5:$K$3507,$L2179)&amp;" "&amp;INDEX(ポート振替表!$L$5:$L$3507,$L2179)&amp;CHAR(10)&amp;"⇔ "&amp;INDEX(ポート振替表!$H$5:$H$3507,$L2179)&amp;" "&amp;INDEX(ポート振替表!$I$5:$I$3507,$L2179))</f>
        <v/>
      </c>
      <c r="L2179" s="47" t="str">
        <f aca="false">IFERROR(MATCH(ROW()-4,ポート振替表!$V$5:$V$3507,0),"")</f>
        <v/>
      </c>
    </row>
    <row r="2180" customFormat="false" ht="16.4" hidden="false" customHeight="false" outlineLevel="0" collapsed="false">
      <c r="A2180" s="32" t="str">
        <f aca="false">IF(L2180="","",ROW()-4)</f>
        <v/>
      </c>
      <c r="B2180" s="58" t="str">
        <f aca="false">IF(L2180="","",IF(INDEX(ポート振替表!$W$5:$W$3507,$L2180)="","(なし)",INDEX(ポート振替表!$W$5:$W$3507,$L2180)&amp;""))</f>
        <v/>
      </c>
      <c r="C2180" s="52" t="str">
        <f aca="false">IF(L2180="","",INDEX(ポート振替表!$B$5:$B$3507,$L2180)&amp;" "&amp;INDEX(ポート振替表!$C$5:$C$3507,$L2180)&amp;"  ⇔  "&amp;INDEX(ポート振替表!$H$5:$H$3507,$L2180)&amp;" "&amp;INDEX(ポート振替表!$I$5:$I$3507,$L2180))</f>
        <v/>
      </c>
      <c r="D2180" s="57" t="s">
        <v>158</v>
      </c>
      <c r="E2180" s="59" t="str">
        <f aca="false">IF(L2180="","",IF(INDEX(ポート振替表!$O$5:$O$3507,$L2180)="","(未設定)",INDEX(ポート振替表!$O$5:$O$3507,$L2180)&amp;""))</f>
        <v/>
      </c>
      <c r="F2180" s="52" t="str">
        <f aca="false">IF(L2180="","",INDEX(ポート振替表!$K$5:$K$3507,$L2180)&amp;" "&amp;INDEX(ポート振替表!$L$5:$L$3507,$L2180)&amp;"  ⇔  "&amp;INDEX(ポート振替表!$H$5:$H$3507,$L2180)&amp;" "&amp;INDEX(ポート振替表!$I$5:$I$3507,$L2180))</f>
        <v/>
      </c>
      <c r="G2180" s="57" t="s">
        <v>158</v>
      </c>
      <c r="H2180" s="32" t="str">
        <f aca="false">IF(L2180="","",INDEX(ポート振替表!$N$5:$N$3507,$L2180)&amp;"")</f>
        <v/>
      </c>
      <c r="I2180" s="32" t="str">
        <f aca="false">IF(L2180="","",INDEX(ポート振替表!$P$5:$P$3507,$L2180)&amp;"")</f>
        <v/>
      </c>
      <c r="J2180" s="60" t="str">
        <f aca="false">IF(L2180="","",INDEX(ポート振替表!$M$5:$M$3507,$L2180)&amp;"")</f>
        <v/>
      </c>
      <c r="K2180" s="52" t="str">
        <f aca="false">IF(L2180="","",E2180&amp;CHAR(10)&amp;INDEX(ポート振替表!$K$5:$K$3507,$L2180)&amp;" "&amp;INDEX(ポート振替表!$L$5:$L$3507,$L2180)&amp;CHAR(10)&amp;"⇔ "&amp;INDEX(ポート振替表!$H$5:$H$3507,$L2180)&amp;" "&amp;INDEX(ポート振替表!$I$5:$I$3507,$L2180))</f>
        <v/>
      </c>
      <c r="L2180" s="47" t="str">
        <f aca="false">IFERROR(MATCH(ROW()-4,ポート振替表!$V$5:$V$3507,0),"")</f>
        <v/>
      </c>
    </row>
    <row r="2181" customFormat="false" ht="16.4" hidden="false" customHeight="false" outlineLevel="0" collapsed="false">
      <c r="A2181" s="32" t="str">
        <f aca="false">IF(L2181="","",ROW()-4)</f>
        <v/>
      </c>
      <c r="B2181" s="58" t="str">
        <f aca="false">IF(L2181="","",IF(INDEX(ポート振替表!$W$5:$W$3507,$L2181)="","(なし)",INDEX(ポート振替表!$W$5:$W$3507,$L2181)&amp;""))</f>
        <v/>
      </c>
      <c r="C2181" s="52" t="str">
        <f aca="false">IF(L2181="","",INDEX(ポート振替表!$B$5:$B$3507,$L2181)&amp;" "&amp;INDEX(ポート振替表!$C$5:$C$3507,$L2181)&amp;"  ⇔  "&amp;INDEX(ポート振替表!$H$5:$H$3507,$L2181)&amp;" "&amp;INDEX(ポート振替表!$I$5:$I$3507,$L2181))</f>
        <v/>
      </c>
      <c r="D2181" s="57" t="s">
        <v>158</v>
      </c>
      <c r="E2181" s="59" t="str">
        <f aca="false">IF(L2181="","",IF(INDEX(ポート振替表!$O$5:$O$3507,$L2181)="","(未設定)",INDEX(ポート振替表!$O$5:$O$3507,$L2181)&amp;""))</f>
        <v/>
      </c>
      <c r="F2181" s="52" t="str">
        <f aca="false">IF(L2181="","",INDEX(ポート振替表!$K$5:$K$3507,$L2181)&amp;" "&amp;INDEX(ポート振替表!$L$5:$L$3507,$L2181)&amp;"  ⇔  "&amp;INDEX(ポート振替表!$H$5:$H$3507,$L2181)&amp;" "&amp;INDEX(ポート振替表!$I$5:$I$3507,$L2181))</f>
        <v/>
      </c>
      <c r="G2181" s="57" t="s">
        <v>158</v>
      </c>
      <c r="H2181" s="32" t="str">
        <f aca="false">IF(L2181="","",INDEX(ポート振替表!$N$5:$N$3507,$L2181)&amp;"")</f>
        <v/>
      </c>
      <c r="I2181" s="32" t="str">
        <f aca="false">IF(L2181="","",INDEX(ポート振替表!$P$5:$P$3507,$L2181)&amp;"")</f>
        <v/>
      </c>
      <c r="J2181" s="60" t="str">
        <f aca="false">IF(L2181="","",INDEX(ポート振替表!$M$5:$M$3507,$L2181)&amp;"")</f>
        <v/>
      </c>
      <c r="K2181" s="52" t="str">
        <f aca="false">IF(L2181="","",E2181&amp;CHAR(10)&amp;INDEX(ポート振替表!$K$5:$K$3507,$L2181)&amp;" "&amp;INDEX(ポート振替表!$L$5:$L$3507,$L2181)&amp;CHAR(10)&amp;"⇔ "&amp;INDEX(ポート振替表!$H$5:$H$3507,$L2181)&amp;" "&amp;INDEX(ポート振替表!$I$5:$I$3507,$L2181))</f>
        <v/>
      </c>
      <c r="L2181" s="47" t="str">
        <f aca="false">IFERROR(MATCH(ROW()-4,ポート振替表!$V$5:$V$3507,0),"")</f>
        <v/>
      </c>
    </row>
    <row r="2182" customFormat="false" ht="16.4" hidden="false" customHeight="false" outlineLevel="0" collapsed="false">
      <c r="A2182" s="32" t="str">
        <f aca="false">IF(L2182="","",ROW()-4)</f>
        <v/>
      </c>
      <c r="B2182" s="58" t="str">
        <f aca="false">IF(L2182="","",IF(INDEX(ポート振替表!$W$5:$W$3507,$L2182)="","(なし)",INDEX(ポート振替表!$W$5:$W$3507,$L2182)&amp;""))</f>
        <v/>
      </c>
      <c r="C2182" s="52" t="str">
        <f aca="false">IF(L2182="","",INDEX(ポート振替表!$B$5:$B$3507,$L2182)&amp;" "&amp;INDEX(ポート振替表!$C$5:$C$3507,$L2182)&amp;"  ⇔  "&amp;INDEX(ポート振替表!$H$5:$H$3507,$L2182)&amp;" "&amp;INDEX(ポート振替表!$I$5:$I$3507,$L2182))</f>
        <v/>
      </c>
      <c r="D2182" s="57" t="s">
        <v>158</v>
      </c>
      <c r="E2182" s="59" t="str">
        <f aca="false">IF(L2182="","",IF(INDEX(ポート振替表!$O$5:$O$3507,$L2182)="","(未設定)",INDEX(ポート振替表!$O$5:$O$3507,$L2182)&amp;""))</f>
        <v/>
      </c>
      <c r="F2182" s="52" t="str">
        <f aca="false">IF(L2182="","",INDEX(ポート振替表!$K$5:$K$3507,$L2182)&amp;" "&amp;INDEX(ポート振替表!$L$5:$L$3507,$L2182)&amp;"  ⇔  "&amp;INDEX(ポート振替表!$H$5:$H$3507,$L2182)&amp;" "&amp;INDEX(ポート振替表!$I$5:$I$3507,$L2182))</f>
        <v/>
      </c>
      <c r="G2182" s="57" t="s">
        <v>158</v>
      </c>
      <c r="H2182" s="32" t="str">
        <f aca="false">IF(L2182="","",INDEX(ポート振替表!$N$5:$N$3507,$L2182)&amp;"")</f>
        <v/>
      </c>
      <c r="I2182" s="32" t="str">
        <f aca="false">IF(L2182="","",INDEX(ポート振替表!$P$5:$P$3507,$L2182)&amp;"")</f>
        <v/>
      </c>
      <c r="J2182" s="60" t="str">
        <f aca="false">IF(L2182="","",INDEX(ポート振替表!$M$5:$M$3507,$L2182)&amp;"")</f>
        <v/>
      </c>
      <c r="K2182" s="52" t="str">
        <f aca="false">IF(L2182="","",E2182&amp;CHAR(10)&amp;INDEX(ポート振替表!$K$5:$K$3507,$L2182)&amp;" "&amp;INDEX(ポート振替表!$L$5:$L$3507,$L2182)&amp;CHAR(10)&amp;"⇔ "&amp;INDEX(ポート振替表!$H$5:$H$3507,$L2182)&amp;" "&amp;INDEX(ポート振替表!$I$5:$I$3507,$L2182))</f>
        <v/>
      </c>
      <c r="L2182" s="47" t="str">
        <f aca="false">IFERROR(MATCH(ROW()-4,ポート振替表!$V$5:$V$3507,0),"")</f>
        <v/>
      </c>
    </row>
    <row r="2183" customFormat="false" ht="16.4" hidden="false" customHeight="false" outlineLevel="0" collapsed="false">
      <c r="A2183" s="32" t="str">
        <f aca="false">IF(L2183="","",ROW()-4)</f>
        <v/>
      </c>
      <c r="B2183" s="58" t="str">
        <f aca="false">IF(L2183="","",IF(INDEX(ポート振替表!$W$5:$W$3507,$L2183)="","(なし)",INDEX(ポート振替表!$W$5:$W$3507,$L2183)&amp;""))</f>
        <v/>
      </c>
      <c r="C2183" s="52" t="str">
        <f aca="false">IF(L2183="","",INDEX(ポート振替表!$B$5:$B$3507,$L2183)&amp;" "&amp;INDEX(ポート振替表!$C$5:$C$3507,$L2183)&amp;"  ⇔  "&amp;INDEX(ポート振替表!$H$5:$H$3507,$L2183)&amp;" "&amp;INDEX(ポート振替表!$I$5:$I$3507,$L2183))</f>
        <v/>
      </c>
      <c r="D2183" s="57" t="s">
        <v>158</v>
      </c>
      <c r="E2183" s="59" t="str">
        <f aca="false">IF(L2183="","",IF(INDEX(ポート振替表!$O$5:$O$3507,$L2183)="","(未設定)",INDEX(ポート振替表!$O$5:$O$3507,$L2183)&amp;""))</f>
        <v/>
      </c>
      <c r="F2183" s="52" t="str">
        <f aca="false">IF(L2183="","",INDEX(ポート振替表!$K$5:$K$3507,$L2183)&amp;" "&amp;INDEX(ポート振替表!$L$5:$L$3507,$L2183)&amp;"  ⇔  "&amp;INDEX(ポート振替表!$H$5:$H$3507,$L2183)&amp;" "&amp;INDEX(ポート振替表!$I$5:$I$3507,$L2183))</f>
        <v/>
      </c>
      <c r="G2183" s="57" t="s">
        <v>158</v>
      </c>
      <c r="H2183" s="32" t="str">
        <f aca="false">IF(L2183="","",INDEX(ポート振替表!$N$5:$N$3507,$L2183)&amp;"")</f>
        <v/>
      </c>
      <c r="I2183" s="32" t="str">
        <f aca="false">IF(L2183="","",INDEX(ポート振替表!$P$5:$P$3507,$L2183)&amp;"")</f>
        <v/>
      </c>
      <c r="J2183" s="60" t="str">
        <f aca="false">IF(L2183="","",INDEX(ポート振替表!$M$5:$M$3507,$L2183)&amp;"")</f>
        <v/>
      </c>
      <c r="K2183" s="52" t="str">
        <f aca="false">IF(L2183="","",E2183&amp;CHAR(10)&amp;INDEX(ポート振替表!$K$5:$K$3507,$L2183)&amp;" "&amp;INDEX(ポート振替表!$L$5:$L$3507,$L2183)&amp;CHAR(10)&amp;"⇔ "&amp;INDEX(ポート振替表!$H$5:$H$3507,$L2183)&amp;" "&amp;INDEX(ポート振替表!$I$5:$I$3507,$L2183))</f>
        <v/>
      </c>
      <c r="L2183" s="47" t="str">
        <f aca="false">IFERROR(MATCH(ROW()-4,ポート振替表!$V$5:$V$3507,0),"")</f>
        <v/>
      </c>
    </row>
    <row r="2184" customFormat="false" ht="16.4" hidden="false" customHeight="false" outlineLevel="0" collapsed="false">
      <c r="A2184" s="32" t="str">
        <f aca="false">IF(L2184="","",ROW()-4)</f>
        <v/>
      </c>
      <c r="B2184" s="58" t="str">
        <f aca="false">IF(L2184="","",IF(INDEX(ポート振替表!$W$5:$W$3507,$L2184)="","(なし)",INDEX(ポート振替表!$W$5:$W$3507,$L2184)&amp;""))</f>
        <v/>
      </c>
      <c r="C2184" s="52" t="str">
        <f aca="false">IF(L2184="","",INDEX(ポート振替表!$B$5:$B$3507,$L2184)&amp;" "&amp;INDEX(ポート振替表!$C$5:$C$3507,$L2184)&amp;"  ⇔  "&amp;INDEX(ポート振替表!$H$5:$H$3507,$L2184)&amp;" "&amp;INDEX(ポート振替表!$I$5:$I$3507,$L2184))</f>
        <v/>
      </c>
      <c r="D2184" s="57" t="s">
        <v>158</v>
      </c>
      <c r="E2184" s="59" t="str">
        <f aca="false">IF(L2184="","",IF(INDEX(ポート振替表!$O$5:$O$3507,$L2184)="","(未設定)",INDEX(ポート振替表!$O$5:$O$3507,$L2184)&amp;""))</f>
        <v/>
      </c>
      <c r="F2184" s="52" t="str">
        <f aca="false">IF(L2184="","",INDEX(ポート振替表!$K$5:$K$3507,$L2184)&amp;" "&amp;INDEX(ポート振替表!$L$5:$L$3507,$L2184)&amp;"  ⇔  "&amp;INDEX(ポート振替表!$H$5:$H$3507,$L2184)&amp;" "&amp;INDEX(ポート振替表!$I$5:$I$3507,$L2184))</f>
        <v/>
      </c>
      <c r="G2184" s="57" t="s">
        <v>158</v>
      </c>
      <c r="H2184" s="32" t="str">
        <f aca="false">IF(L2184="","",INDEX(ポート振替表!$N$5:$N$3507,$L2184)&amp;"")</f>
        <v/>
      </c>
      <c r="I2184" s="32" t="str">
        <f aca="false">IF(L2184="","",INDEX(ポート振替表!$P$5:$P$3507,$L2184)&amp;"")</f>
        <v/>
      </c>
      <c r="J2184" s="60" t="str">
        <f aca="false">IF(L2184="","",INDEX(ポート振替表!$M$5:$M$3507,$L2184)&amp;"")</f>
        <v/>
      </c>
      <c r="K2184" s="52" t="str">
        <f aca="false">IF(L2184="","",E2184&amp;CHAR(10)&amp;INDEX(ポート振替表!$K$5:$K$3507,$L2184)&amp;" "&amp;INDEX(ポート振替表!$L$5:$L$3507,$L2184)&amp;CHAR(10)&amp;"⇔ "&amp;INDEX(ポート振替表!$H$5:$H$3507,$L2184)&amp;" "&amp;INDEX(ポート振替表!$I$5:$I$3507,$L2184))</f>
        <v/>
      </c>
      <c r="L2184" s="47" t="str">
        <f aca="false">IFERROR(MATCH(ROW()-4,ポート振替表!$V$5:$V$3507,0),"")</f>
        <v/>
      </c>
    </row>
    <row r="2185" customFormat="false" ht="16.4" hidden="false" customHeight="false" outlineLevel="0" collapsed="false">
      <c r="A2185" s="32" t="str">
        <f aca="false">IF(L2185="","",ROW()-4)</f>
        <v/>
      </c>
      <c r="B2185" s="58" t="str">
        <f aca="false">IF(L2185="","",IF(INDEX(ポート振替表!$W$5:$W$3507,$L2185)="","(なし)",INDEX(ポート振替表!$W$5:$W$3507,$L2185)&amp;""))</f>
        <v/>
      </c>
      <c r="C2185" s="52" t="str">
        <f aca="false">IF(L2185="","",INDEX(ポート振替表!$B$5:$B$3507,$L2185)&amp;" "&amp;INDEX(ポート振替表!$C$5:$C$3507,$L2185)&amp;"  ⇔  "&amp;INDEX(ポート振替表!$H$5:$H$3507,$L2185)&amp;" "&amp;INDEX(ポート振替表!$I$5:$I$3507,$L2185))</f>
        <v/>
      </c>
      <c r="D2185" s="57" t="s">
        <v>158</v>
      </c>
      <c r="E2185" s="59" t="str">
        <f aca="false">IF(L2185="","",IF(INDEX(ポート振替表!$O$5:$O$3507,$L2185)="","(未設定)",INDEX(ポート振替表!$O$5:$O$3507,$L2185)&amp;""))</f>
        <v/>
      </c>
      <c r="F2185" s="52" t="str">
        <f aca="false">IF(L2185="","",INDEX(ポート振替表!$K$5:$K$3507,$L2185)&amp;" "&amp;INDEX(ポート振替表!$L$5:$L$3507,$L2185)&amp;"  ⇔  "&amp;INDEX(ポート振替表!$H$5:$H$3507,$L2185)&amp;" "&amp;INDEX(ポート振替表!$I$5:$I$3507,$L2185))</f>
        <v/>
      </c>
      <c r="G2185" s="57" t="s">
        <v>158</v>
      </c>
      <c r="H2185" s="32" t="str">
        <f aca="false">IF(L2185="","",INDEX(ポート振替表!$N$5:$N$3507,$L2185)&amp;"")</f>
        <v/>
      </c>
      <c r="I2185" s="32" t="str">
        <f aca="false">IF(L2185="","",INDEX(ポート振替表!$P$5:$P$3507,$L2185)&amp;"")</f>
        <v/>
      </c>
      <c r="J2185" s="60" t="str">
        <f aca="false">IF(L2185="","",INDEX(ポート振替表!$M$5:$M$3507,$L2185)&amp;"")</f>
        <v/>
      </c>
      <c r="K2185" s="52" t="str">
        <f aca="false">IF(L2185="","",E2185&amp;CHAR(10)&amp;INDEX(ポート振替表!$K$5:$K$3507,$L2185)&amp;" "&amp;INDEX(ポート振替表!$L$5:$L$3507,$L2185)&amp;CHAR(10)&amp;"⇔ "&amp;INDEX(ポート振替表!$H$5:$H$3507,$L2185)&amp;" "&amp;INDEX(ポート振替表!$I$5:$I$3507,$L2185))</f>
        <v/>
      </c>
      <c r="L2185" s="47" t="str">
        <f aca="false">IFERROR(MATCH(ROW()-4,ポート振替表!$V$5:$V$3507,0),"")</f>
        <v/>
      </c>
    </row>
    <row r="2186" customFormat="false" ht="16.4" hidden="false" customHeight="false" outlineLevel="0" collapsed="false">
      <c r="A2186" s="32" t="str">
        <f aca="false">IF(L2186="","",ROW()-4)</f>
        <v/>
      </c>
      <c r="B2186" s="58" t="str">
        <f aca="false">IF(L2186="","",IF(INDEX(ポート振替表!$W$5:$W$3507,$L2186)="","(なし)",INDEX(ポート振替表!$W$5:$W$3507,$L2186)&amp;""))</f>
        <v/>
      </c>
      <c r="C2186" s="52" t="str">
        <f aca="false">IF(L2186="","",INDEX(ポート振替表!$B$5:$B$3507,$L2186)&amp;" "&amp;INDEX(ポート振替表!$C$5:$C$3507,$L2186)&amp;"  ⇔  "&amp;INDEX(ポート振替表!$H$5:$H$3507,$L2186)&amp;" "&amp;INDEX(ポート振替表!$I$5:$I$3507,$L2186))</f>
        <v/>
      </c>
      <c r="D2186" s="57" t="s">
        <v>158</v>
      </c>
      <c r="E2186" s="59" t="str">
        <f aca="false">IF(L2186="","",IF(INDEX(ポート振替表!$O$5:$O$3507,$L2186)="","(未設定)",INDEX(ポート振替表!$O$5:$O$3507,$L2186)&amp;""))</f>
        <v/>
      </c>
      <c r="F2186" s="52" t="str">
        <f aca="false">IF(L2186="","",INDEX(ポート振替表!$K$5:$K$3507,$L2186)&amp;" "&amp;INDEX(ポート振替表!$L$5:$L$3507,$L2186)&amp;"  ⇔  "&amp;INDEX(ポート振替表!$H$5:$H$3507,$L2186)&amp;" "&amp;INDEX(ポート振替表!$I$5:$I$3507,$L2186))</f>
        <v/>
      </c>
      <c r="G2186" s="57" t="s">
        <v>158</v>
      </c>
      <c r="H2186" s="32" t="str">
        <f aca="false">IF(L2186="","",INDEX(ポート振替表!$N$5:$N$3507,$L2186)&amp;"")</f>
        <v/>
      </c>
      <c r="I2186" s="32" t="str">
        <f aca="false">IF(L2186="","",INDEX(ポート振替表!$P$5:$P$3507,$L2186)&amp;"")</f>
        <v/>
      </c>
      <c r="J2186" s="60" t="str">
        <f aca="false">IF(L2186="","",INDEX(ポート振替表!$M$5:$M$3507,$L2186)&amp;"")</f>
        <v/>
      </c>
      <c r="K2186" s="52" t="str">
        <f aca="false">IF(L2186="","",E2186&amp;CHAR(10)&amp;INDEX(ポート振替表!$K$5:$K$3507,$L2186)&amp;" "&amp;INDEX(ポート振替表!$L$5:$L$3507,$L2186)&amp;CHAR(10)&amp;"⇔ "&amp;INDEX(ポート振替表!$H$5:$H$3507,$L2186)&amp;" "&amp;INDEX(ポート振替表!$I$5:$I$3507,$L2186))</f>
        <v/>
      </c>
      <c r="L2186" s="47" t="str">
        <f aca="false">IFERROR(MATCH(ROW()-4,ポート振替表!$V$5:$V$3507,0),"")</f>
        <v/>
      </c>
    </row>
    <row r="2187" customFormat="false" ht="16.4" hidden="false" customHeight="false" outlineLevel="0" collapsed="false">
      <c r="A2187" s="32" t="str">
        <f aca="false">IF(L2187="","",ROW()-4)</f>
        <v/>
      </c>
      <c r="B2187" s="58" t="str">
        <f aca="false">IF(L2187="","",IF(INDEX(ポート振替表!$W$5:$W$3507,$L2187)="","(なし)",INDEX(ポート振替表!$W$5:$W$3507,$L2187)&amp;""))</f>
        <v/>
      </c>
      <c r="C2187" s="52" t="str">
        <f aca="false">IF(L2187="","",INDEX(ポート振替表!$B$5:$B$3507,$L2187)&amp;" "&amp;INDEX(ポート振替表!$C$5:$C$3507,$L2187)&amp;"  ⇔  "&amp;INDEX(ポート振替表!$H$5:$H$3507,$L2187)&amp;" "&amp;INDEX(ポート振替表!$I$5:$I$3507,$L2187))</f>
        <v/>
      </c>
      <c r="D2187" s="57" t="s">
        <v>158</v>
      </c>
      <c r="E2187" s="59" t="str">
        <f aca="false">IF(L2187="","",IF(INDEX(ポート振替表!$O$5:$O$3507,$L2187)="","(未設定)",INDEX(ポート振替表!$O$5:$O$3507,$L2187)&amp;""))</f>
        <v/>
      </c>
      <c r="F2187" s="52" t="str">
        <f aca="false">IF(L2187="","",INDEX(ポート振替表!$K$5:$K$3507,$L2187)&amp;" "&amp;INDEX(ポート振替表!$L$5:$L$3507,$L2187)&amp;"  ⇔  "&amp;INDEX(ポート振替表!$H$5:$H$3507,$L2187)&amp;" "&amp;INDEX(ポート振替表!$I$5:$I$3507,$L2187))</f>
        <v/>
      </c>
      <c r="G2187" s="57" t="s">
        <v>158</v>
      </c>
      <c r="H2187" s="32" t="str">
        <f aca="false">IF(L2187="","",INDEX(ポート振替表!$N$5:$N$3507,$L2187)&amp;"")</f>
        <v/>
      </c>
      <c r="I2187" s="32" t="str">
        <f aca="false">IF(L2187="","",INDEX(ポート振替表!$P$5:$P$3507,$L2187)&amp;"")</f>
        <v/>
      </c>
      <c r="J2187" s="60" t="str">
        <f aca="false">IF(L2187="","",INDEX(ポート振替表!$M$5:$M$3507,$L2187)&amp;"")</f>
        <v/>
      </c>
      <c r="K2187" s="52" t="str">
        <f aca="false">IF(L2187="","",E2187&amp;CHAR(10)&amp;INDEX(ポート振替表!$K$5:$K$3507,$L2187)&amp;" "&amp;INDEX(ポート振替表!$L$5:$L$3507,$L2187)&amp;CHAR(10)&amp;"⇔ "&amp;INDEX(ポート振替表!$H$5:$H$3507,$L2187)&amp;" "&amp;INDEX(ポート振替表!$I$5:$I$3507,$L2187))</f>
        <v/>
      </c>
      <c r="L2187" s="47" t="str">
        <f aca="false">IFERROR(MATCH(ROW()-4,ポート振替表!$V$5:$V$3507,0),"")</f>
        <v/>
      </c>
    </row>
    <row r="2188" customFormat="false" ht="16.4" hidden="false" customHeight="false" outlineLevel="0" collapsed="false">
      <c r="A2188" s="32" t="str">
        <f aca="false">IF(L2188="","",ROW()-4)</f>
        <v/>
      </c>
      <c r="B2188" s="58" t="str">
        <f aca="false">IF(L2188="","",IF(INDEX(ポート振替表!$W$5:$W$3507,$L2188)="","(なし)",INDEX(ポート振替表!$W$5:$W$3507,$L2188)&amp;""))</f>
        <v/>
      </c>
      <c r="C2188" s="52" t="str">
        <f aca="false">IF(L2188="","",INDEX(ポート振替表!$B$5:$B$3507,$L2188)&amp;" "&amp;INDEX(ポート振替表!$C$5:$C$3507,$L2188)&amp;"  ⇔  "&amp;INDEX(ポート振替表!$H$5:$H$3507,$L2188)&amp;" "&amp;INDEX(ポート振替表!$I$5:$I$3507,$L2188))</f>
        <v/>
      </c>
      <c r="D2188" s="57" t="s">
        <v>158</v>
      </c>
      <c r="E2188" s="59" t="str">
        <f aca="false">IF(L2188="","",IF(INDEX(ポート振替表!$O$5:$O$3507,$L2188)="","(未設定)",INDEX(ポート振替表!$O$5:$O$3507,$L2188)&amp;""))</f>
        <v/>
      </c>
      <c r="F2188" s="52" t="str">
        <f aca="false">IF(L2188="","",INDEX(ポート振替表!$K$5:$K$3507,$L2188)&amp;" "&amp;INDEX(ポート振替表!$L$5:$L$3507,$L2188)&amp;"  ⇔  "&amp;INDEX(ポート振替表!$H$5:$H$3507,$L2188)&amp;" "&amp;INDEX(ポート振替表!$I$5:$I$3507,$L2188))</f>
        <v/>
      </c>
      <c r="G2188" s="57" t="s">
        <v>158</v>
      </c>
      <c r="H2188" s="32" t="str">
        <f aca="false">IF(L2188="","",INDEX(ポート振替表!$N$5:$N$3507,$L2188)&amp;"")</f>
        <v/>
      </c>
      <c r="I2188" s="32" t="str">
        <f aca="false">IF(L2188="","",INDEX(ポート振替表!$P$5:$P$3507,$L2188)&amp;"")</f>
        <v/>
      </c>
      <c r="J2188" s="60" t="str">
        <f aca="false">IF(L2188="","",INDEX(ポート振替表!$M$5:$M$3507,$L2188)&amp;"")</f>
        <v/>
      </c>
      <c r="K2188" s="52" t="str">
        <f aca="false">IF(L2188="","",E2188&amp;CHAR(10)&amp;INDEX(ポート振替表!$K$5:$K$3507,$L2188)&amp;" "&amp;INDEX(ポート振替表!$L$5:$L$3507,$L2188)&amp;CHAR(10)&amp;"⇔ "&amp;INDEX(ポート振替表!$H$5:$H$3507,$L2188)&amp;" "&amp;INDEX(ポート振替表!$I$5:$I$3507,$L2188))</f>
        <v/>
      </c>
      <c r="L2188" s="47" t="str">
        <f aca="false">IFERROR(MATCH(ROW()-4,ポート振替表!$V$5:$V$3507,0),"")</f>
        <v/>
      </c>
    </row>
    <row r="2189" customFormat="false" ht="16.4" hidden="false" customHeight="false" outlineLevel="0" collapsed="false">
      <c r="A2189" s="32" t="str">
        <f aca="false">IF(L2189="","",ROW()-4)</f>
        <v/>
      </c>
      <c r="B2189" s="58" t="str">
        <f aca="false">IF(L2189="","",IF(INDEX(ポート振替表!$W$5:$W$3507,$L2189)="","(なし)",INDEX(ポート振替表!$W$5:$W$3507,$L2189)&amp;""))</f>
        <v/>
      </c>
      <c r="C2189" s="52" t="str">
        <f aca="false">IF(L2189="","",INDEX(ポート振替表!$B$5:$B$3507,$L2189)&amp;" "&amp;INDEX(ポート振替表!$C$5:$C$3507,$L2189)&amp;"  ⇔  "&amp;INDEX(ポート振替表!$H$5:$H$3507,$L2189)&amp;" "&amp;INDEX(ポート振替表!$I$5:$I$3507,$L2189))</f>
        <v/>
      </c>
      <c r="D2189" s="57" t="s">
        <v>158</v>
      </c>
      <c r="E2189" s="59" t="str">
        <f aca="false">IF(L2189="","",IF(INDEX(ポート振替表!$O$5:$O$3507,$L2189)="","(未設定)",INDEX(ポート振替表!$O$5:$O$3507,$L2189)&amp;""))</f>
        <v/>
      </c>
      <c r="F2189" s="52" t="str">
        <f aca="false">IF(L2189="","",INDEX(ポート振替表!$K$5:$K$3507,$L2189)&amp;" "&amp;INDEX(ポート振替表!$L$5:$L$3507,$L2189)&amp;"  ⇔  "&amp;INDEX(ポート振替表!$H$5:$H$3507,$L2189)&amp;" "&amp;INDEX(ポート振替表!$I$5:$I$3507,$L2189))</f>
        <v/>
      </c>
      <c r="G2189" s="57" t="s">
        <v>158</v>
      </c>
      <c r="H2189" s="32" t="str">
        <f aca="false">IF(L2189="","",INDEX(ポート振替表!$N$5:$N$3507,$L2189)&amp;"")</f>
        <v/>
      </c>
      <c r="I2189" s="32" t="str">
        <f aca="false">IF(L2189="","",INDEX(ポート振替表!$P$5:$P$3507,$L2189)&amp;"")</f>
        <v/>
      </c>
      <c r="J2189" s="60" t="str">
        <f aca="false">IF(L2189="","",INDEX(ポート振替表!$M$5:$M$3507,$L2189)&amp;"")</f>
        <v/>
      </c>
      <c r="K2189" s="52" t="str">
        <f aca="false">IF(L2189="","",E2189&amp;CHAR(10)&amp;INDEX(ポート振替表!$K$5:$K$3507,$L2189)&amp;" "&amp;INDEX(ポート振替表!$L$5:$L$3507,$L2189)&amp;CHAR(10)&amp;"⇔ "&amp;INDEX(ポート振替表!$H$5:$H$3507,$L2189)&amp;" "&amp;INDEX(ポート振替表!$I$5:$I$3507,$L2189))</f>
        <v/>
      </c>
      <c r="L2189" s="47" t="str">
        <f aca="false">IFERROR(MATCH(ROW()-4,ポート振替表!$V$5:$V$3507,0),"")</f>
        <v/>
      </c>
    </row>
    <row r="2190" customFormat="false" ht="16.4" hidden="false" customHeight="false" outlineLevel="0" collapsed="false">
      <c r="A2190" s="32" t="str">
        <f aca="false">IF(L2190="","",ROW()-4)</f>
        <v/>
      </c>
      <c r="B2190" s="58" t="str">
        <f aca="false">IF(L2190="","",IF(INDEX(ポート振替表!$W$5:$W$3507,$L2190)="","(なし)",INDEX(ポート振替表!$W$5:$W$3507,$L2190)&amp;""))</f>
        <v/>
      </c>
      <c r="C2190" s="52" t="str">
        <f aca="false">IF(L2190="","",INDEX(ポート振替表!$B$5:$B$3507,$L2190)&amp;" "&amp;INDEX(ポート振替表!$C$5:$C$3507,$L2190)&amp;"  ⇔  "&amp;INDEX(ポート振替表!$H$5:$H$3507,$L2190)&amp;" "&amp;INDEX(ポート振替表!$I$5:$I$3507,$L2190))</f>
        <v/>
      </c>
      <c r="D2190" s="57" t="s">
        <v>158</v>
      </c>
      <c r="E2190" s="59" t="str">
        <f aca="false">IF(L2190="","",IF(INDEX(ポート振替表!$O$5:$O$3507,$L2190)="","(未設定)",INDEX(ポート振替表!$O$5:$O$3507,$L2190)&amp;""))</f>
        <v/>
      </c>
      <c r="F2190" s="52" t="str">
        <f aca="false">IF(L2190="","",INDEX(ポート振替表!$K$5:$K$3507,$L2190)&amp;" "&amp;INDEX(ポート振替表!$L$5:$L$3507,$L2190)&amp;"  ⇔  "&amp;INDEX(ポート振替表!$H$5:$H$3507,$L2190)&amp;" "&amp;INDEX(ポート振替表!$I$5:$I$3507,$L2190))</f>
        <v/>
      </c>
      <c r="G2190" s="57" t="s">
        <v>158</v>
      </c>
      <c r="H2190" s="32" t="str">
        <f aca="false">IF(L2190="","",INDEX(ポート振替表!$N$5:$N$3507,$L2190)&amp;"")</f>
        <v/>
      </c>
      <c r="I2190" s="32" t="str">
        <f aca="false">IF(L2190="","",INDEX(ポート振替表!$P$5:$P$3507,$L2190)&amp;"")</f>
        <v/>
      </c>
      <c r="J2190" s="60" t="str">
        <f aca="false">IF(L2190="","",INDEX(ポート振替表!$M$5:$M$3507,$L2190)&amp;"")</f>
        <v/>
      </c>
      <c r="K2190" s="52" t="str">
        <f aca="false">IF(L2190="","",E2190&amp;CHAR(10)&amp;INDEX(ポート振替表!$K$5:$K$3507,$L2190)&amp;" "&amp;INDEX(ポート振替表!$L$5:$L$3507,$L2190)&amp;CHAR(10)&amp;"⇔ "&amp;INDEX(ポート振替表!$H$5:$H$3507,$L2190)&amp;" "&amp;INDEX(ポート振替表!$I$5:$I$3507,$L2190))</f>
        <v/>
      </c>
      <c r="L2190" s="47" t="str">
        <f aca="false">IFERROR(MATCH(ROW()-4,ポート振替表!$V$5:$V$3507,0),"")</f>
        <v/>
      </c>
    </row>
    <row r="2191" customFormat="false" ht="16.4" hidden="false" customHeight="false" outlineLevel="0" collapsed="false">
      <c r="A2191" s="32" t="str">
        <f aca="false">IF(L2191="","",ROW()-4)</f>
        <v/>
      </c>
      <c r="B2191" s="58" t="str">
        <f aca="false">IF(L2191="","",IF(INDEX(ポート振替表!$W$5:$W$3507,$L2191)="","(なし)",INDEX(ポート振替表!$W$5:$W$3507,$L2191)&amp;""))</f>
        <v/>
      </c>
      <c r="C2191" s="52" t="str">
        <f aca="false">IF(L2191="","",INDEX(ポート振替表!$B$5:$B$3507,$L2191)&amp;" "&amp;INDEX(ポート振替表!$C$5:$C$3507,$L2191)&amp;"  ⇔  "&amp;INDEX(ポート振替表!$H$5:$H$3507,$L2191)&amp;" "&amp;INDEX(ポート振替表!$I$5:$I$3507,$L2191))</f>
        <v/>
      </c>
      <c r="D2191" s="57" t="s">
        <v>158</v>
      </c>
      <c r="E2191" s="59" t="str">
        <f aca="false">IF(L2191="","",IF(INDEX(ポート振替表!$O$5:$O$3507,$L2191)="","(未設定)",INDEX(ポート振替表!$O$5:$O$3507,$L2191)&amp;""))</f>
        <v/>
      </c>
      <c r="F2191" s="52" t="str">
        <f aca="false">IF(L2191="","",INDEX(ポート振替表!$K$5:$K$3507,$L2191)&amp;" "&amp;INDEX(ポート振替表!$L$5:$L$3507,$L2191)&amp;"  ⇔  "&amp;INDEX(ポート振替表!$H$5:$H$3507,$L2191)&amp;" "&amp;INDEX(ポート振替表!$I$5:$I$3507,$L2191))</f>
        <v/>
      </c>
      <c r="G2191" s="57" t="s">
        <v>158</v>
      </c>
      <c r="H2191" s="32" t="str">
        <f aca="false">IF(L2191="","",INDEX(ポート振替表!$N$5:$N$3507,$L2191)&amp;"")</f>
        <v/>
      </c>
      <c r="I2191" s="32" t="str">
        <f aca="false">IF(L2191="","",INDEX(ポート振替表!$P$5:$P$3507,$L2191)&amp;"")</f>
        <v/>
      </c>
      <c r="J2191" s="60" t="str">
        <f aca="false">IF(L2191="","",INDEX(ポート振替表!$M$5:$M$3507,$L2191)&amp;"")</f>
        <v/>
      </c>
      <c r="K2191" s="52" t="str">
        <f aca="false">IF(L2191="","",E2191&amp;CHAR(10)&amp;INDEX(ポート振替表!$K$5:$K$3507,$L2191)&amp;" "&amp;INDEX(ポート振替表!$L$5:$L$3507,$L2191)&amp;CHAR(10)&amp;"⇔ "&amp;INDEX(ポート振替表!$H$5:$H$3507,$L2191)&amp;" "&amp;INDEX(ポート振替表!$I$5:$I$3507,$L2191))</f>
        <v/>
      </c>
      <c r="L2191" s="47" t="str">
        <f aca="false">IFERROR(MATCH(ROW()-4,ポート振替表!$V$5:$V$3507,0),"")</f>
        <v/>
      </c>
    </row>
    <row r="2192" customFormat="false" ht="16.4" hidden="false" customHeight="false" outlineLevel="0" collapsed="false">
      <c r="A2192" s="32" t="str">
        <f aca="false">IF(L2192="","",ROW()-4)</f>
        <v/>
      </c>
      <c r="B2192" s="58" t="str">
        <f aca="false">IF(L2192="","",IF(INDEX(ポート振替表!$W$5:$W$3507,$L2192)="","(なし)",INDEX(ポート振替表!$W$5:$W$3507,$L2192)&amp;""))</f>
        <v/>
      </c>
      <c r="C2192" s="52" t="str">
        <f aca="false">IF(L2192="","",INDEX(ポート振替表!$B$5:$B$3507,$L2192)&amp;" "&amp;INDEX(ポート振替表!$C$5:$C$3507,$L2192)&amp;"  ⇔  "&amp;INDEX(ポート振替表!$H$5:$H$3507,$L2192)&amp;" "&amp;INDEX(ポート振替表!$I$5:$I$3507,$L2192))</f>
        <v/>
      </c>
      <c r="D2192" s="57" t="s">
        <v>158</v>
      </c>
      <c r="E2192" s="59" t="str">
        <f aca="false">IF(L2192="","",IF(INDEX(ポート振替表!$O$5:$O$3507,$L2192)="","(未設定)",INDEX(ポート振替表!$O$5:$O$3507,$L2192)&amp;""))</f>
        <v/>
      </c>
      <c r="F2192" s="52" t="str">
        <f aca="false">IF(L2192="","",INDEX(ポート振替表!$K$5:$K$3507,$L2192)&amp;" "&amp;INDEX(ポート振替表!$L$5:$L$3507,$L2192)&amp;"  ⇔  "&amp;INDEX(ポート振替表!$H$5:$H$3507,$L2192)&amp;" "&amp;INDEX(ポート振替表!$I$5:$I$3507,$L2192))</f>
        <v/>
      </c>
      <c r="G2192" s="57" t="s">
        <v>158</v>
      </c>
      <c r="H2192" s="32" t="str">
        <f aca="false">IF(L2192="","",INDEX(ポート振替表!$N$5:$N$3507,$L2192)&amp;"")</f>
        <v/>
      </c>
      <c r="I2192" s="32" t="str">
        <f aca="false">IF(L2192="","",INDEX(ポート振替表!$P$5:$P$3507,$L2192)&amp;"")</f>
        <v/>
      </c>
      <c r="J2192" s="60" t="str">
        <f aca="false">IF(L2192="","",INDEX(ポート振替表!$M$5:$M$3507,$L2192)&amp;"")</f>
        <v/>
      </c>
      <c r="K2192" s="52" t="str">
        <f aca="false">IF(L2192="","",E2192&amp;CHAR(10)&amp;INDEX(ポート振替表!$K$5:$K$3507,$L2192)&amp;" "&amp;INDEX(ポート振替表!$L$5:$L$3507,$L2192)&amp;CHAR(10)&amp;"⇔ "&amp;INDEX(ポート振替表!$H$5:$H$3507,$L2192)&amp;" "&amp;INDEX(ポート振替表!$I$5:$I$3507,$L2192))</f>
        <v/>
      </c>
      <c r="L2192" s="47" t="str">
        <f aca="false">IFERROR(MATCH(ROW()-4,ポート振替表!$V$5:$V$3507,0),"")</f>
        <v/>
      </c>
    </row>
    <row r="2193" customFormat="false" ht="16.4" hidden="false" customHeight="false" outlineLevel="0" collapsed="false">
      <c r="A2193" s="32" t="str">
        <f aca="false">IF(L2193="","",ROW()-4)</f>
        <v/>
      </c>
      <c r="B2193" s="58" t="str">
        <f aca="false">IF(L2193="","",IF(INDEX(ポート振替表!$W$5:$W$3507,$L2193)="","(なし)",INDEX(ポート振替表!$W$5:$W$3507,$L2193)&amp;""))</f>
        <v/>
      </c>
      <c r="C2193" s="52" t="str">
        <f aca="false">IF(L2193="","",INDEX(ポート振替表!$B$5:$B$3507,$L2193)&amp;" "&amp;INDEX(ポート振替表!$C$5:$C$3507,$L2193)&amp;"  ⇔  "&amp;INDEX(ポート振替表!$H$5:$H$3507,$L2193)&amp;" "&amp;INDEX(ポート振替表!$I$5:$I$3507,$L2193))</f>
        <v/>
      </c>
      <c r="D2193" s="57" t="s">
        <v>158</v>
      </c>
      <c r="E2193" s="59" t="str">
        <f aca="false">IF(L2193="","",IF(INDEX(ポート振替表!$O$5:$O$3507,$L2193)="","(未設定)",INDEX(ポート振替表!$O$5:$O$3507,$L2193)&amp;""))</f>
        <v/>
      </c>
      <c r="F2193" s="52" t="str">
        <f aca="false">IF(L2193="","",INDEX(ポート振替表!$K$5:$K$3507,$L2193)&amp;" "&amp;INDEX(ポート振替表!$L$5:$L$3507,$L2193)&amp;"  ⇔  "&amp;INDEX(ポート振替表!$H$5:$H$3507,$L2193)&amp;" "&amp;INDEX(ポート振替表!$I$5:$I$3507,$L2193))</f>
        <v/>
      </c>
      <c r="G2193" s="57" t="s">
        <v>158</v>
      </c>
      <c r="H2193" s="32" t="str">
        <f aca="false">IF(L2193="","",INDEX(ポート振替表!$N$5:$N$3507,$L2193)&amp;"")</f>
        <v/>
      </c>
      <c r="I2193" s="32" t="str">
        <f aca="false">IF(L2193="","",INDEX(ポート振替表!$P$5:$P$3507,$L2193)&amp;"")</f>
        <v/>
      </c>
      <c r="J2193" s="60" t="str">
        <f aca="false">IF(L2193="","",INDEX(ポート振替表!$M$5:$M$3507,$L2193)&amp;"")</f>
        <v/>
      </c>
      <c r="K2193" s="52" t="str">
        <f aca="false">IF(L2193="","",E2193&amp;CHAR(10)&amp;INDEX(ポート振替表!$K$5:$K$3507,$L2193)&amp;" "&amp;INDEX(ポート振替表!$L$5:$L$3507,$L2193)&amp;CHAR(10)&amp;"⇔ "&amp;INDEX(ポート振替表!$H$5:$H$3507,$L2193)&amp;" "&amp;INDEX(ポート振替表!$I$5:$I$3507,$L2193))</f>
        <v/>
      </c>
      <c r="L2193" s="47" t="str">
        <f aca="false">IFERROR(MATCH(ROW()-4,ポート振替表!$V$5:$V$3507,0),"")</f>
        <v/>
      </c>
    </row>
    <row r="2194" customFormat="false" ht="16.4" hidden="false" customHeight="false" outlineLevel="0" collapsed="false">
      <c r="A2194" s="32" t="str">
        <f aca="false">IF(L2194="","",ROW()-4)</f>
        <v/>
      </c>
      <c r="B2194" s="58" t="str">
        <f aca="false">IF(L2194="","",IF(INDEX(ポート振替表!$W$5:$W$3507,$L2194)="","(なし)",INDEX(ポート振替表!$W$5:$W$3507,$L2194)&amp;""))</f>
        <v/>
      </c>
      <c r="C2194" s="52" t="str">
        <f aca="false">IF(L2194="","",INDEX(ポート振替表!$B$5:$B$3507,$L2194)&amp;" "&amp;INDEX(ポート振替表!$C$5:$C$3507,$L2194)&amp;"  ⇔  "&amp;INDEX(ポート振替表!$H$5:$H$3507,$L2194)&amp;" "&amp;INDEX(ポート振替表!$I$5:$I$3507,$L2194))</f>
        <v/>
      </c>
      <c r="D2194" s="57" t="s">
        <v>158</v>
      </c>
      <c r="E2194" s="59" t="str">
        <f aca="false">IF(L2194="","",IF(INDEX(ポート振替表!$O$5:$O$3507,$L2194)="","(未設定)",INDEX(ポート振替表!$O$5:$O$3507,$L2194)&amp;""))</f>
        <v/>
      </c>
      <c r="F2194" s="52" t="str">
        <f aca="false">IF(L2194="","",INDEX(ポート振替表!$K$5:$K$3507,$L2194)&amp;" "&amp;INDEX(ポート振替表!$L$5:$L$3507,$L2194)&amp;"  ⇔  "&amp;INDEX(ポート振替表!$H$5:$H$3507,$L2194)&amp;" "&amp;INDEX(ポート振替表!$I$5:$I$3507,$L2194))</f>
        <v/>
      </c>
      <c r="G2194" s="57" t="s">
        <v>158</v>
      </c>
      <c r="H2194" s="32" t="str">
        <f aca="false">IF(L2194="","",INDEX(ポート振替表!$N$5:$N$3507,$L2194)&amp;"")</f>
        <v/>
      </c>
      <c r="I2194" s="32" t="str">
        <f aca="false">IF(L2194="","",INDEX(ポート振替表!$P$5:$P$3507,$L2194)&amp;"")</f>
        <v/>
      </c>
      <c r="J2194" s="60" t="str">
        <f aca="false">IF(L2194="","",INDEX(ポート振替表!$M$5:$M$3507,$L2194)&amp;"")</f>
        <v/>
      </c>
      <c r="K2194" s="52" t="str">
        <f aca="false">IF(L2194="","",E2194&amp;CHAR(10)&amp;INDEX(ポート振替表!$K$5:$K$3507,$L2194)&amp;" "&amp;INDEX(ポート振替表!$L$5:$L$3507,$L2194)&amp;CHAR(10)&amp;"⇔ "&amp;INDEX(ポート振替表!$H$5:$H$3507,$L2194)&amp;" "&amp;INDEX(ポート振替表!$I$5:$I$3507,$L2194))</f>
        <v/>
      </c>
      <c r="L2194" s="47" t="str">
        <f aca="false">IFERROR(MATCH(ROW()-4,ポート振替表!$V$5:$V$3507,0),"")</f>
        <v/>
      </c>
    </row>
    <row r="2195" customFormat="false" ht="16.4" hidden="false" customHeight="false" outlineLevel="0" collapsed="false">
      <c r="A2195" s="32" t="str">
        <f aca="false">IF(L2195="","",ROW()-4)</f>
        <v/>
      </c>
      <c r="B2195" s="58" t="str">
        <f aca="false">IF(L2195="","",IF(INDEX(ポート振替表!$W$5:$W$3507,$L2195)="","(なし)",INDEX(ポート振替表!$W$5:$W$3507,$L2195)&amp;""))</f>
        <v/>
      </c>
      <c r="C2195" s="52" t="str">
        <f aca="false">IF(L2195="","",INDEX(ポート振替表!$B$5:$B$3507,$L2195)&amp;" "&amp;INDEX(ポート振替表!$C$5:$C$3507,$L2195)&amp;"  ⇔  "&amp;INDEX(ポート振替表!$H$5:$H$3507,$L2195)&amp;" "&amp;INDEX(ポート振替表!$I$5:$I$3507,$L2195))</f>
        <v/>
      </c>
      <c r="D2195" s="57" t="s">
        <v>158</v>
      </c>
      <c r="E2195" s="59" t="str">
        <f aca="false">IF(L2195="","",IF(INDEX(ポート振替表!$O$5:$O$3507,$L2195)="","(未設定)",INDEX(ポート振替表!$O$5:$O$3507,$L2195)&amp;""))</f>
        <v/>
      </c>
      <c r="F2195" s="52" t="str">
        <f aca="false">IF(L2195="","",INDEX(ポート振替表!$K$5:$K$3507,$L2195)&amp;" "&amp;INDEX(ポート振替表!$L$5:$L$3507,$L2195)&amp;"  ⇔  "&amp;INDEX(ポート振替表!$H$5:$H$3507,$L2195)&amp;" "&amp;INDEX(ポート振替表!$I$5:$I$3507,$L2195))</f>
        <v/>
      </c>
      <c r="G2195" s="57" t="s">
        <v>158</v>
      </c>
      <c r="H2195" s="32" t="str">
        <f aca="false">IF(L2195="","",INDEX(ポート振替表!$N$5:$N$3507,$L2195)&amp;"")</f>
        <v/>
      </c>
      <c r="I2195" s="32" t="str">
        <f aca="false">IF(L2195="","",INDEX(ポート振替表!$P$5:$P$3507,$L2195)&amp;"")</f>
        <v/>
      </c>
      <c r="J2195" s="60" t="str">
        <f aca="false">IF(L2195="","",INDEX(ポート振替表!$M$5:$M$3507,$L2195)&amp;"")</f>
        <v/>
      </c>
      <c r="K2195" s="52" t="str">
        <f aca="false">IF(L2195="","",E2195&amp;CHAR(10)&amp;INDEX(ポート振替表!$K$5:$K$3507,$L2195)&amp;" "&amp;INDEX(ポート振替表!$L$5:$L$3507,$L2195)&amp;CHAR(10)&amp;"⇔ "&amp;INDEX(ポート振替表!$H$5:$H$3507,$L2195)&amp;" "&amp;INDEX(ポート振替表!$I$5:$I$3507,$L2195))</f>
        <v/>
      </c>
      <c r="L2195" s="47" t="str">
        <f aca="false">IFERROR(MATCH(ROW()-4,ポート振替表!$V$5:$V$3507,0),"")</f>
        <v/>
      </c>
    </row>
    <row r="2196" customFormat="false" ht="16.4" hidden="false" customHeight="false" outlineLevel="0" collapsed="false">
      <c r="A2196" s="32" t="str">
        <f aca="false">IF(L2196="","",ROW()-4)</f>
        <v/>
      </c>
      <c r="B2196" s="58" t="str">
        <f aca="false">IF(L2196="","",IF(INDEX(ポート振替表!$W$5:$W$3507,$L2196)="","(なし)",INDEX(ポート振替表!$W$5:$W$3507,$L2196)&amp;""))</f>
        <v/>
      </c>
      <c r="C2196" s="52" t="str">
        <f aca="false">IF(L2196="","",INDEX(ポート振替表!$B$5:$B$3507,$L2196)&amp;" "&amp;INDEX(ポート振替表!$C$5:$C$3507,$L2196)&amp;"  ⇔  "&amp;INDEX(ポート振替表!$H$5:$H$3507,$L2196)&amp;" "&amp;INDEX(ポート振替表!$I$5:$I$3507,$L2196))</f>
        <v/>
      </c>
      <c r="D2196" s="57" t="s">
        <v>158</v>
      </c>
      <c r="E2196" s="59" t="str">
        <f aca="false">IF(L2196="","",IF(INDEX(ポート振替表!$O$5:$O$3507,$L2196)="","(未設定)",INDEX(ポート振替表!$O$5:$O$3507,$L2196)&amp;""))</f>
        <v/>
      </c>
      <c r="F2196" s="52" t="str">
        <f aca="false">IF(L2196="","",INDEX(ポート振替表!$K$5:$K$3507,$L2196)&amp;" "&amp;INDEX(ポート振替表!$L$5:$L$3507,$L2196)&amp;"  ⇔  "&amp;INDEX(ポート振替表!$H$5:$H$3507,$L2196)&amp;" "&amp;INDEX(ポート振替表!$I$5:$I$3507,$L2196))</f>
        <v/>
      </c>
      <c r="G2196" s="57" t="s">
        <v>158</v>
      </c>
      <c r="H2196" s="32" t="str">
        <f aca="false">IF(L2196="","",INDEX(ポート振替表!$N$5:$N$3507,$L2196)&amp;"")</f>
        <v/>
      </c>
      <c r="I2196" s="32" t="str">
        <f aca="false">IF(L2196="","",INDEX(ポート振替表!$P$5:$P$3507,$L2196)&amp;"")</f>
        <v/>
      </c>
      <c r="J2196" s="60" t="str">
        <f aca="false">IF(L2196="","",INDEX(ポート振替表!$M$5:$M$3507,$L2196)&amp;"")</f>
        <v/>
      </c>
      <c r="K2196" s="52" t="str">
        <f aca="false">IF(L2196="","",E2196&amp;CHAR(10)&amp;INDEX(ポート振替表!$K$5:$K$3507,$L2196)&amp;" "&amp;INDEX(ポート振替表!$L$5:$L$3507,$L2196)&amp;CHAR(10)&amp;"⇔ "&amp;INDEX(ポート振替表!$H$5:$H$3507,$L2196)&amp;" "&amp;INDEX(ポート振替表!$I$5:$I$3507,$L2196))</f>
        <v/>
      </c>
      <c r="L2196" s="47" t="str">
        <f aca="false">IFERROR(MATCH(ROW()-4,ポート振替表!$V$5:$V$3507,0),"")</f>
        <v/>
      </c>
    </row>
    <row r="2197" customFormat="false" ht="16.4" hidden="false" customHeight="false" outlineLevel="0" collapsed="false">
      <c r="A2197" s="32" t="str">
        <f aca="false">IF(L2197="","",ROW()-4)</f>
        <v/>
      </c>
      <c r="B2197" s="58" t="str">
        <f aca="false">IF(L2197="","",IF(INDEX(ポート振替表!$W$5:$W$3507,$L2197)="","(なし)",INDEX(ポート振替表!$W$5:$W$3507,$L2197)&amp;""))</f>
        <v/>
      </c>
      <c r="C2197" s="52" t="str">
        <f aca="false">IF(L2197="","",INDEX(ポート振替表!$B$5:$B$3507,$L2197)&amp;" "&amp;INDEX(ポート振替表!$C$5:$C$3507,$L2197)&amp;"  ⇔  "&amp;INDEX(ポート振替表!$H$5:$H$3507,$L2197)&amp;" "&amp;INDEX(ポート振替表!$I$5:$I$3507,$L2197))</f>
        <v/>
      </c>
      <c r="D2197" s="57" t="s">
        <v>158</v>
      </c>
      <c r="E2197" s="59" t="str">
        <f aca="false">IF(L2197="","",IF(INDEX(ポート振替表!$O$5:$O$3507,$L2197)="","(未設定)",INDEX(ポート振替表!$O$5:$O$3507,$L2197)&amp;""))</f>
        <v/>
      </c>
      <c r="F2197" s="52" t="str">
        <f aca="false">IF(L2197="","",INDEX(ポート振替表!$K$5:$K$3507,$L2197)&amp;" "&amp;INDEX(ポート振替表!$L$5:$L$3507,$L2197)&amp;"  ⇔  "&amp;INDEX(ポート振替表!$H$5:$H$3507,$L2197)&amp;" "&amp;INDEX(ポート振替表!$I$5:$I$3507,$L2197))</f>
        <v/>
      </c>
      <c r="G2197" s="57" t="s">
        <v>158</v>
      </c>
      <c r="H2197" s="32" t="str">
        <f aca="false">IF(L2197="","",INDEX(ポート振替表!$N$5:$N$3507,$L2197)&amp;"")</f>
        <v/>
      </c>
      <c r="I2197" s="32" t="str">
        <f aca="false">IF(L2197="","",INDEX(ポート振替表!$P$5:$P$3507,$L2197)&amp;"")</f>
        <v/>
      </c>
      <c r="J2197" s="60" t="str">
        <f aca="false">IF(L2197="","",INDEX(ポート振替表!$M$5:$M$3507,$L2197)&amp;"")</f>
        <v/>
      </c>
      <c r="K2197" s="52" t="str">
        <f aca="false">IF(L2197="","",E2197&amp;CHAR(10)&amp;INDEX(ポート振替表!$K$5:$K$3507,$L2197)&amp;" "&amp;INDEX(ポート振替表!$L$5:$L$3507,$L2197)&amp;CHAR(10)&amp;"⇔ "&amp;INDEX(ポート振替表!$H$5:$H$3507,$L2197)&amp;" "&amp;INDEX(ポート振替表!$I$5:$I$3507,$L2197))</f>
        <v/>
      </c>
      <c r="L2197" s="47" t="str">
        <f aca="false">IFERROR(MATCH(ROW()-4,ポート振替表!$V$5:$V$3507,0),"")</f>
        <v/>
      </c>
    </row>
    <row r="2198" customFormat="false" ht="16.4" hidden="false" customHeight="false" outlineLevel="0" collapsed="false">
      <c r="A2198" s="32" t="str">
        <f aca="false">IF(L2198="","",ROW()-4)</f>
        <v/>
      </c>
      <c r="B2198" s="58" t="str">
        <f aca="false">IF(L2198="","",IF(INDEX(ポート振替表!$W$5:$W$3507,$L2198)="","(なし)",INDEX(ポート振替表!$W$5:$W$3507,$L2198)&amp;""))</f>
        <v/>
      </c>
      <c r="C2198" s="52" t="str">
        <f aca="false">IF(L2198="","",INDEX(ポート振替表!$B$5:$B$3507,$L2198)&amp;" "&amp;INDEX(ポート振替表!$C$5:$C$3507,$L2198)&amp;"  ⇔  "&amp;INDEX(ポート振替表!$H$5:$H$3507,$L2198)&amp;" "&amp;INDEX(ポート振替表!$I$5:$I$3507,$L2198))</f>
        <v/>
      </c>
      <c r="D2198" s="57" t="s">
        <v>158</v>
      </c>
      <c r="E2198" s="59" t="str">
        <f aca="false">IF(L2198="","",IF(INDEX(ポート振替表!$O$5:$O$3507,$L2198)="","(未設定)",INDEX(ポート振替表!$O$5:$O$3507,$L2198)&amp;""))</f>
        <v/>
      </c>
      <c r="F2198" s="52" t="str">
        <f aca="false">IF(L2198="","",INDEX(ポート振替表!$K$5:$K$3507,$L2198)&amp;" "&amp;INDEX(ポート振替表!$L$5:$L$3507,$L2198)&amp;"  ⇔  "&amp;INDEX(ポート振替表!$H$5:$H$3507,$L2198)&amp;" "&amp;INDEX(ポート振替表!$I$5:$I$3507,$L2198))</f>
        <v/>
      </c>
      <c r="G2198" s="57" t="s">
        <v>158</v>
      </c>
      <c r="H2198" s="32" t="str">
        <f aca="false">IF(L2198="","",INDEX(ポート振替表!$N$5:$N$3507,$L2198)&amp;"")</f>
        <v/>
      </c>
      <c r="I2198" s="32" t="str">
        <f aca="false">IF(L2198="","",INDEX(ポート振替表!$P$5:$P$3507,$L2198)&amp;"")</f>
        <v/>
      </c>
      <c r="J2198" s="60" t="str">
        <f aca="false">IF(L2198="","",INDEX(ポート振替表!$M$5:$M$3507,$L2198)&amp;"")</f>
        <v/>
      </c>
      <c r="K2198" s="52" t="str">
        <f aca="false">IF(L2198="","",E2198&amp;CHAR(10)&amp;INDEX(ポート振替表!$K$5:$K$3507,$L2198)&amp;" "&amp;INDEX(ポート振替表!$L$5:$L$3507,$L2198)&amp;CHAR(10)&amp;"⇔ "&amp;INDEX(ポート振替表!$H$5:$H$3507,$L2198)&amp;" "&amp;INDEX(ポート振替表!$I$5:$I$3507,$L2198))</f>
        <v/>
      </c>
      <c r="L2198" s="47" t="str">
        <f aca="false">IFERROR(MATCH(ROW()-4,ポート振替表!$V$5:$V$3507,0),"")</f>
        <v/>
      </c>
    </row>
    <row r="2199" customFormat="false" ht="16.4" hidden="false" customHeight="false" outlineLevel="0" collapsed="false">
      <c r="A2199" s="32" t="str">
        <f aca="false">IF(L2199="","",ROW()-4)</f>
        <v/>
      </c>
      <c r="B2199" s="58" t="str">
        <f aca="false">IF(L2199="","",IF(INDEX(ポート振替表!$W$5:$W$3507,$L2199)="","(なし)",INDEX(ポート振替表!$W$5:$W$3507,$L2199)&amp;""))</f>
        <v/>
      </c>
      <c r="C2199" s="52" t="str">
        <f aca="false">IF(L2199="","",INDEX(ポート振替表!$B$5:$B$3507,$L2199)&amp;" "&amp;INDEX(ポート振替表!$C$5:$C$3507,$L2199)&amp;"  ⇔  "&amp;INDEX(ポート振替表!$H$5:$H$3507,$L2199)&amp;" "&amp;INDEX(ポート振替表!$I$5:$I$3507,$L2199))</f>
        <v/>
      </c>
      <c r="D2199" s="57" t="s">
        <v>158</v>
      </c>
      <c r="E2199" s="59" t="str">
        <f aca="false">IF(L2199="","",IF(INDEX(ポート振替表!$O$5:$O$3507,$L2199)="","(未設定)",INDEX(ポート振替表!$O$5:$O$3507,$L2199)&amp;""))</f>
        <v/>
      </c>
      <c r="F2199" s="52" t="str">
        <f aca="false">IF(L2199="","",INDEX(ポート振替表!$K$5:$K$3507,$L2199)&amp;" "&amp;INDEX(ポート振替表!$L$5:$L$3507,$L2199)&amp;"  ⇔  "&amp;INDEX(ポート振替表!$H$5:$H$3507,$L2199)&amp;" "&amp;INDEX(ポート振替表!$I$5:$I$3507,$L2199))</f>
        <v/>
      </c>
      <c r="G2199" s="57" t="s">
        <v>158</v>
      </c>
      <c r="H2199" s="32" t="str">
        <f aca="false">IF(L2199="","",INDEX(ポート振替表!$N$5:$N$3507,$L2199)&amp;"")</f>
        <v/>
      </c>
      <c r="I2199" s="32" t="str">
        <f aca="false">IF(L2199="","",INDEX(ポート振替表!$P$5:$P$3507,$L2199)&amp;"")</f>
        <v/>
      </c>
      <c r="J2199" s="60" t="str">
        <f aca="false">IF(L2199="","",INDEX(ポート振替表!$M$5:$M$3507,$L2199)&amp;"")</f>
        <v/>
      </c>
      <c r="K2199" s="52" t="str">
        <f aca="false">IF(L2199="","",E2199&amp;CHAR(10)&amp;INDEX(ポート振替表!$K$5:$K$3507,$L2199)&amp;" "&amp;INDEX(ポート振替表!$L$5:$L$3507,$L2199)&amp;CHAR(10)&amp;"⇔ "&amp;INDEX(ポート振替表!$H$5:$H$3507,$L2199)&amp;" "&amp;INDEX(ポート振替表!$I$5:$I$3507,$L2199))</f>
        <v/>
      </c>
      <c r="L2199" s="47" t="str">
        <f aca="false">IFERROR(MATCH(ROW()-4,ポート振替表!$V$5:$V$3507,0),"")</f>
        <v/>
      </c>
    </row>
    <row r="2200" customFormat="false" ht="16.4" hidden="false" customHeight="false" outlineLevel="0" collapsed="false">
      <c r="A2200" s="32" t="str">
        <f aca="false">IF(L2200="","",ROW()-4)</f>
        <v/>
      </c>
      <c r="B2200" s="58" t="str">
        <f aca="false">IF(L2200="","",IF(INDEX(ポート振替表!$W$5:$W$3507,$L2200)="","(なし)",INDEX(ポート振替表!$W$5:$W$3507,$L2200)&amp;""))</f>
        <v/>
      </c>
      <c r="C2200" s="52" t="str">
        <f aca="false">IF(L2200="","",INDEX(ポート振替表!$B$5:$B$3507,$L2200)&amp;" "&amp;INDEX(ポート振替表!$C$5:$C$3507,$L2200)&amp;"  ⇔  "&amp;INDEX(ポート振替表!$H$5:$H$3507,$L2200)&amp;" "&amp;INDEX(ポート振替表!$I$5:$I$3507,$L2200))</f>
        <v/>
      </c>
      <c r="D2200" s="57" t="s">
        <v>158</v>
      </c>
      <c r="E2200" s="59" t="str">
        <f aca="false">IF(L2200="","",IF(INDEX(ポート振替表!$O$5:$O$3507,$L2200)="","(未設定)",INDEX(ポート振替表!$O$5:$O$3507,$L2200)&amp;""))</f>
        <v/>
      </c>
      <c r="F2200" s="52" t="str">
        <f aca="false">IF(L2200="","",INDEX(ポート振替表!$K$5:$K$3507,$L2200)&amp;" "&amp;INDEX(ポート振替表!$L$5:$L$3507,$L2200)&amp;"  ⇔  "&amp;INDEX(ポート振替表!$H$5:$H$3507,$L2200)&amp;" "&amp;INDEX(ポート振替表!$I$5:$I$3507,$L2200))</f>
        <v/>
      </c>
      <c r="G2200" s="57" t="s">
        <v>158</v>
      </c>
      <c r="H2200" s="32" t="str">
        <f aca="false">IF(L2200="","",INDEX(ポート振替表!$N$5:$N$3507,$L2200)&amp;"")</f>
        <v/>
      </c>
      <c r="I2200" s="32" t="str">
        <f aca="false">IF(L2200="","",INDEX(ポート振替表!$P$5:$P$3507,$L2200)&amp;"")</f>
        <v/>
      </c>
      <c r="J2200" s="60" t="str">
        <f aca="false">IF(L2200="","",INDEX(ポート振替表!$M$5:$M$3507,$L2200)&amp;"")</f>
        <v/>
      </c>
      <c r="K2200" s="52" t="str">
        <f aca="false">IF(L2200="","",E2200&amp;CHAR(10)&amp;INDEX(ポート振替表!$K$5:$K$3507,$L2200)&amp;" "&amp;INDEX(ポート振替表!$L$5:$L$3507,$L2200)&amp;CHAR(10)&amp;"⇔ "&amp;INDEX(ポート振替表!$H$5:$H$3507,$L2200)&amp;" "&amp;INDEX(ポート振替表!$I$5:$I$3507,$L2200))</f>
        <v/>
      </c>
      <c r="L2200" s="47" t="str">
        <f aca="false">IFERROR(MATCH(ROW()-4,ポート振替表!$V$5:$V$3507,0),"")</f>
        <v/>
      </c>
    </row>
    <row r="2201" customFormat="false" ht="16.4" hidden="false" customHeight="false" outlineLevel="0" collapsed="false">
      <c r="A2201" s="32" t="str">
        <f aca="false">IF(L2201="","",ROW()-4)</f>
        <v/>
      </c>
      <c r="B2201" s="58" t="str">
        <f aca="false">IF(L2201="","",IF(INDEX(ポート振替表!$W$5:$W$3507,$L2201)="","(なし)",INDEX(ポート振替表!$W$5:$W$3507,$L2201)&amp;""))</f>
        <v/>
      </c>
      <c r="C2201" s="52" t="str">
        <f aca="false">IF(L2201="","",INDEX(ポート振替表!$B$5:$B$3507,$L2201)&amp;" "&amp;INDEX(ポート振替表!$C$5:$C$3507,$L2201)&amp;"  ⇔  "&amp;INDEX(ポート振替表!$H$5:$H$3507,$L2201)&amp;" "&amp;INDEX(ポート振替表!$I$5:$I$3507,$L2201))</f>
        <v/>
      </c>
      <c r="D2201" s="57" t="s">
        <v>158</v>
      </c>
      <c r="E2201" s="59" t="str">
        <f aca="false">IF(L2201="","",IF(INDEX(ポート振替表!$O$5:$O$3507,$L2201)="","(未設定)",INDEX(ポート振替表!$O$5:$O$3507,$L2201)&amp;""))</f>
        <v/>
      </c>
      <c r="F2201" s="52" t="str">
        <f aca="false">IF(L2201="","",INDEX(ポート振替表!$K$5:$K$3507,$L2201)&amp;" "&amp;INDEX(ポート振替表!$L$5:$L$3507,$L2201)&amp;"  ⇔  "&amp;INDEX(ポート振替表!$H$5:$H$3507,$L2201)&amp;" "&amp;INDEX(ポート振替表!$I$5:$I$3507,$L2201))</f>
        <v/>
      </c>
      <c r="G2201" s="57" t="s">
        <v>158</v>
      </c>
      <c r="H2201" s="32" t="str">
        <f aca="false">IF(L2201="","",INDEX(ポート振替表!$N$5:$N$3507,$L2201)&amp;"")</f>
        <v/>
      </c>
      <c r="I2201" s="32" t="str">
        <f aca="false">IF(L2201="","",INDEX(ポート振替表!$P$5:$P$3507,$L2201)&amp;"")</f>
        <v/>
      </c>
      <c r="J2201" s="60" t="str">
        <f aca="false">IF(L2201="","",INDEX(ポート振替表!$M$5:$M$3507,$L2201)&amp;"")</f>
        <v/>
      </c>
      <c r="K2201" s="52" t="str">
        <f aca="false">IF(L2201="","",E2201&amp;CHAR(10)&amp;INDEX(ポート振替表!$K$5:$K$3507,$L2201)&amp;" "&amp;INDEX(ポート振替表!$L$5:$L$3507,$L2201)&amp;CHAR(10)&amp;"⇔ "&amp;INDEX(ポート振替表!$H$5:$H$3507,$L2201)&amp;" "&amp;INDEX(ポート振替表!$I$5:$I$3507,$L2201))</f>
        <v/>
      </c>
      <c r="L2201" s="47" t="str">
        <f aca="false">IFERROR(MATCH(ROW()-4,ポート振替表!$V$5:$V$3507,0),"")</f>
        <v/>
      </c>
    </row>
    <row r="2202" customFormat="false" ht="16.4" hidden="false" customHeight="false" outlineLevel="0" collapsed="false">
      <c r="A2202" s="32" t="str">
        <f aca="false">IF(L2202="","",ROW()-4)</f>
        <v/>
      </c>
      <c r="B2202" s="58" t="str">
        <f aca="false">IF(L2202="","",IF(INDEX(ポート振替表!$W$5:$W$3507,$L2202)="","(なし)",INDEX(ポート振替表!$W$5:$W$3507,$L2202)&amp;""))</f>
        <v/>
      </c>
      <c r="C2202" s="52" t="str">
        <f aca="false">IF(L2202="","",INDEX(ポート振替表!$B$5:$B$3507,$L2202)&amp;" "&amp;INDEX(ポート振替表!$C$5:$C$3507,$L2202)&amp;"  ⇔  "&amp;INDEX(ポート振替表!$H$5:$H$3507,$L2202)&amp;" "&amp;INDEX(ポート振替表!$I$5:$I$3507,$L2202))</f>
        <v/>
      </c>
      <c r="D2202" s="57" t="s">
        <v>158</v>
      </c>
      <c r="E2202" s="59" t="str">
        <f aca="false">IF(L2202="","",IF(INDEX(ポート振替表!$O$5:$O$3507,$L2202)="","(未設定)",INDEX(ポート振替表!$O$5:$O$3507,$L2202)&amp;""))</f>
        <v/>
      </c>
      <c r="F2202" s="52" t="str">
        <f aca="false">IF(L2202="","",INDEX(ポート振替表!$K$5:$K$3507,$L2202)&amp;" "&amp;INDEX(ポート振替表!$L$5:$L$3507,$L2202)&amp;"  ⇔  "&amp;INDEX(ポート振替表!$H$5:$H$3507,$L2202)&amp;" "&amp;INDEX(ポート振替表!$I$5:$I$3507,$L2202))</f>
        <v/>
      </c>
      <c r="G2202" s="57" t="s">
        <v>158</v>
      </c>
      <c r="H2202" s="32" t="str">
        <f aca="false">IF(L2202="","",INDEX(ポート振替表!$N$5:$N$3507,$L2202)&amp;"")</f>
        <v/>
      </c>
      <c r="I2202" s="32" t="str">
        <f aca="false">IF(L2202="","",INDEX(ポート振替表!$P$5:$P$3507,$L2202)&amp;"")</f>
        <v/>
      </c>
      <c r="J2202" s="60" t="str">
        <f aca="false">IF(L2202="","",INDEX(ポート振替表!$M$5:$M$3507,$L2202)&amp;"")</f>
        <v/>
      </c>
      <c r="K2202" s="52" t="str">
        <f aca="false">IF(L2202="","",E2202&amp;CHAR(10)&amp;INDEX(ポート振替表!$K$5:$K$3507,$L2202)&amp;" "&amp;INDEX(ポート振替表!$L$5:$L$3507,$L2202)&amp;CHAR(10)&amp;"⇔ "&amp;INDEX(ポート振替表!$H$5:$H$3507,$L2202)&amp;" "&amp;INDEX(ポート振替表!$I$5:$I$3507,$L2202))</f>
        <v/>
      </c>
      <c r="L2202" s="47" t="str">
        <f aca="false">IFERROR(MATCH(ROW()-4,ポート振替表!$V$5:$V$3507,0),"")</f>
        <v/>
      </c>
    </row>
    <row r="2203" customFormat="false" ht="16.4" hidden="false" customHeight="false" outlineLevel="0" collapsed="false">
      <c r="A2203" s="32" t="str">
        <f aca="false">IF(L2203="","",ROW()-4)</f>
        <v/>
      </c>
      <c r="B2203" s="58" t="str">
        <f aca="false">IF(L2203="","",IF(INDEX(ポート振替表!$W$5:$W$3507,$L2203)="","(なし)",INDEX(ポート振替表!$W$5:$W$3507,$L2203)&amp;""))</f>
        <v/>
      </c>
      <c r="C2203" s="52" t="str">
        <f aca="false">IF(L2203="","",INDEX(ポート振替表!$B$5:$B$3507,$L2203)&amp;" "&amp;INDEX(ポート振替表!$C$5:$C$3507,$L2203)&amp;"  ⇔  "&amp;INDEX(ポート振替表!$H$5:$H$3507,$L2203)&amp;" "&amp;INDEX(ポート振替表!$I$5:$I$3507,$L2203))</f>
        <v/>
      </c>
      <c r="D2203" s="57" t="s">
        <v>158</v>
      </c>
      <c r="E2203" s="59" t="str">
        <f aca="false">IF(L2203="","",IF(INDEX(ポート振替表!$O$5:$O$3507,$L2203)="","(未設定)",INDEX(ポート振替表!$O$5:$O$3507,$L2203)&amp;""))</f>
        <v/>
      </c>
      <c r="F2203" s="52" t="str">
        <f aca="false">IF(L2203="","",INDEX(ポート振替表!$K$5:$K$3507,$L2203)&amp;" "&amp;INDEX(ポート振替表!$L$5:$L$3507,$L2203)&amp;"  ⇔  "&amp;INDEX(ポート振替表!$H$5:$H$3507,$L2203)&amp;" "&amp;INDEX(ポート振替表!$I$5:$I$3507,$L2203))</f>
        <v/>
      </c>
      <c r="G2203" s="57" t="s">
        <v>158</v>
      </c>
      <c r="H2203" s="32" t="str">
        <f aca="false">IF(L2203="","",INDEX(ポート振替表!$N$5:$N$3507,$L2203)&amp;"")</f>
        <v/>
      </c>
      <c r="I2203" s="32" t="str">
        <f aca="false">IF(L2203="","",INDEX(ポート振替表!$P$5:$P$3507,$L2203)&amp;"")</f>
        <v/>
      </c>
      <c r="J2203" s="60" t="str">
        <f aca="false">IF(L2203="","",INDEX(ポート振替表!$M$5:$M$3507,$L2203)&amp;"")</f>
        <v/>
      </c>
      <c r="K2203" s="52" t="str">
        <f aca="false">IF(L2203="","",E2203&amp;CHAR(10)&amp;INDEX(ポート振替表!$K$5:$K$3507,$L2203)&amp;" "&amp;INDEX(ポート振替表!$L$5:$L$3507,$L2203)&amp;CHAR(10)&amp;"⇔ "&amp;INDEX(ポート振替表!$H$5:$H$3507,$L2203)&amp;" "&amp;INDEX(ポート振替表!$I$5:$I$3507,$L2203))</f>
        <v/>
      </c>
      <c r="L2203" s="47" t="str">
        <f aca="false">IFERROR(MATCH(ROW()-4,ポート振替表!$V$5:$V$3507,0),"")</f>
        <v/>
      </c>
    </row>
    <row r="2204" customFormat="false" ht="16.4" hidden="false" customHeight="false" outlineLevel="0" collapsed="false">
      <c r="A2204" s="32" t="str">
        <f aca="false">IF(L2204="","",ROW()-4)</f>
        <v/>
      </c>
      <c r="B2204" s="58" t="str">
        <f aca="false">IF(L2204="","",IF(INDEX(ポート振替表!$W$5:$W$3507,$L2204)="","(なし)",INDEX(ポート振替表!$W$5:$W$3507,$L2204)&amp;""))</f>
        <v/>
      </c>
      <c r="C2204" s="52" t="str">
        <f aca="false">IF(L2204="","",INDEX(ポート振替表!$B$5:$B$3507,$L2204)&amp;" "&amp;INDEX(ポート振替表!$C$5:$C$3507,$L2204)&amp;"  ⇔  "&amp;INDEX(ポート振替表!$H$5:$H$3507,$L2204)&amp;" "&amp;INDEX(ポート振替表!$I$5:$I$3507,$L2204))</f>
        <v/>
      </c>
      <c r="D2204" s="57" t="s">
        <v>158</v>
      </c>
      <c r="E2204" s="59" t="str">
        <f aca="false">IF(L2204="","",IF(INDEX(ポート振替表!$O$5:$O$3507,$L2204)="","(未設定)",INDEX(ポート振替表!$O$5:$O$3507,$L2204)&amp;""))</f>
        <v/>
      </c>
      <c r="F2204" s="52" t="str">
        <f aca="false">IF(L2204="","",INDEX(ポート振替表!$K$5:$K$3507,$L2204)&amp;" "&amp;INDEX(ポート振替表!$L$5:$L$3507,$L2204)&amp;"  ⇔  "&amp;INDEX(ポート振替表!$H$5:$H$3507,$L2204)&amp;" "&amp;INDEX(ポート振替表!$I$5:$I$3507,$L2204))</f>
        <v/>
      </c>
      <c r="G2204" s="57" t="s">
        <v>158</v>
      </c>
      <c r="H2204" s="32" t="str">
        <f aca="false">IF(L2204="","",INDEX(ポート振替表!$N$5:$N$3507,$L2204)&amp;"")</f>
        <v/>
      </c>
      <c r="I2204" s="32" t="str">
        <f aca="false">IF(L2204="","",INDEX(ポート振替表!$P$5:$P$3507,$L2204)&amp;"")</f>
        <v/>
      </c>
      <c r="J2204" s="60" t="str">
        <f aca="false">IF(L2204="","",INDEX(ポート振替表!$M$5:$M$3507,$L2204)&amp;"")</f>
        <v/>
      </c>
      <c r="K2204" s="52" t="str">
        <f aca="false">IF(L2204="","",E2204&amp;CHAR(10)&amp;INDEX(ポート振替表!$K$5:$K$3507,$L2204)&amp;" "&amp;INDEX(ポート振替表!$L$5:$L$3507,$L2204)&amp;CHAR(10)&amp;"⇔ "&amp;INDEX(ポート振替表!$H$5:$H$3507,$L2204)&amp;" "&amp;INDEX(ポート振替表!$I$5:$I$3507,$L2204))</f>
        <v/>
      </c>
      <c r="L2204" s="47" t="str">
        <f aca="false">IFERROR(MATCH(ROW()-4,ポート振替表!$V$5:$V$3507,0),"")</f>
        <v/>
      </c>
    </row>
    <row r="2205" customFormat="false" ht="16.4" hidden="false" customHeight="false" outlineLevel="0" collapsed="false">
      <c r="A2205" s="32" t="str">
        <f aca="false">IF(L2205="","",ROW()-4)</f>
        <v/>
      </c>
      <c r="B2205" s="58" t="str">
        <f aca="false">IF(L2205="","",IF(INDEX(ポート振替表!$W$5:$W$3507,$L2205)="","(なし)",INDEX(ポート振替表!$W$5:$W$3507,$L2205)&amp;""))</f>
        <v/>
      </c>
      <c r="C2205" s="52" t="str">
        <f aca="false">IF(L2205="","",INDEX(ポート振替表!$B$5:$B$3507,$L2205)&amp;" "&amp;INDEX(ポート振替表!$C$5:$C$3507,$L2205)&amp;"  ⇔  "&amp;INDEX(ポート振替表!$H$5:$H$3507,$L2205)&amp;" "&amp;INDEX(ポート振替表!$I$5:$I$3507,$L2205))</f>
        <v/>
      </c>
      <c r="D2205" s="57" t="s">
        <v>158</v>
      </c>
      <c r="E2205" s="59" t="str">
        <f aca="false">IF(L2205="","",IF(INDEX(ポート振替表!$O$5:$O$3507,$L2205)="","(未設定)",INDEX(ポート振替表!$O$5:$O$3507,$L2205)&amp;""))</f>
        <v/>
      </c>
      <c r="F2205" s="52" t="str">
        <f aca="false">IF(L2205="","",INDEX(ポート振替表!$K$5:$K$3507,$L2205)&amp;" "&amp;INDEX(ポート振替表!$L$5:$L$3507,$L2205)&amp;"  ⇔  "&amp;INDEX(ポート振替表!$H$5:$H$3507,$L2205)&amp;" "&amp;INDEX(ポート振替表!$I$5:$I$3507,$L2205))</f>
        <v/>
      </c>
      <c r="G2205" s="57" t="s">
        <v>158</v>
      </c>
      <c r="H2205" s="32" t="str">
        <f aca="false">IF(L2205="","",INDEX(ポート振替表!$N$5:$N$3507,$L2205)&amp;"")</f>
        <v/>
      </c>
      <c r="I2205" s="32" t="str">
        <f aca="false">IF(L2205="","",INDEX(ポート振替表!$P$5:$P$3507,$L2205)&amp;"")</f>
        <v/>
      </c>
      <c r="J2205" s="60" t="str">
        <f aca="false">IF(L2205="","",INDEX(ポート振替表!$M$5:$M$3507,$L2205)&amp;"")</f>
        <v/>
      </c>
      <c r="K2205" s="52" t="str">
        <f aca="false">IF(L2205="","",E2205&amp;CHAR(10)&amp;INDEX(ポート振替表!$K$5:$K$3507,$L2205)&amp;" "&amp;INDEX(ポート振替表!$L$5:$L$3507,$L2205)&amp;CHAR(10)&amp;"⇔ "&amp;INDEX(ポート振替表!$H$5:$H$3507,$L2205)&amp;" "&amp;INDEX(ポート振替表!$I$5:$I$3507,$L2205))</f>
        <v/>
      </c>
      <c r="L2205" s="47" t="str">
        <f aca="false">IFERROR(MATCH(ROW()-4,ポート振替表!$V$5:$V$3507,0),"")</f>
        <v/>
      </c>
    </row>
    <row r="2206" customFormat="false" ht="16.4" hidden="false" customHeight="false" outlineLevel="0" collapsed="false">
      <c r="A2206" s="32" t="str">
        <f aca="false">IF(L2206="","",ROW()-4)</f>
        <v/>
      </c>
      <c r="B2206" s="58" t="str">
        <f aca="false">IF(L2206="","",IF(INDEX(ポート振替表!$W$5:$W$3507,$L2206)="","(なし)",INDEX(ポート振替表!$W$5:$W$3507,$L2206)&amp;""))</f>
        <v/>
      </c>
      <c r="C2206" s="52" t="str">
        <f aca="false">IF(L2206="","",INDEX(ポート振替表!$B$5:$B$3507,$L2206)&amp;" "&amp;INDEX(ポート振替表!$C$5:$C$3507,$L2206)&amp;"  ⇔  "&amp;INDEX(ポート振替表!$H$5:$H$3507,$L2206)&amp;" "&amp;INDEX(ポート振替表!$I$5:$I$3507,$L2206))</f>
        <v/>
      </c>
      <c r="D2206" s="57" t="s">
        <v>158</v>
      </c>
      <c r="E2206" s="59" t="str">
        <f aca="false">IF(L2206="","",IF(INDEX(ポート振替表!$O$5:$O$3507,$L2206)="","(未設定)",INDEX(ポート振替表!$O$5:$O$3507,$L2206)&amp;""))</f>
        <v/>
      </c>
      <c r="F2206" s="52" t="str">
        <f aca="false">IF(L2206="","",INDEX(ポート振替表!$K$5:$K$3507,$L2206)&amp;" "&amp;INDEX(ポート振替表!$L$5:$L$3507,$L2206)&amp;"  ⇔  "&amp;INDEX(ポート振替表!$H$5:$H$3507,$L2206)&amp;" "&amp;INDEX(ポート振替表!$I$5:$I$3507,$L2206))</f>
        <v/>
      </c>
      <c r="G2206" s="57" t="s">
        <v>158</v>
      </c>
      <c r="H2206" s="32" t="str">
        <f aca="false">IF(L2206="","",INDEX(ポート振替表!$N$5:$N$3507,$L2206)&amp;"")</f>
        <v/>
      </c>
      <c r="I2206" s="32" t="str">
        <f aca="false">IF(L2206="","",INDEX(ポート振替表!$P$5:$P$3507,$L2206)&amp;"")</f>
        <v/>
      </c>
      <c r="J2206" s="60" t="str">
        <f aca="false">IF(L2206="","",INDEX(ポート振替表!$M$5:$M$3507,$L2206)&amp;"")</f>
        <v/>
      </c>
      <c r="K2206" s="52" t="str">
        <f aca="false">IF(L2206="","",E2206&amp;CHAR(10)&amp;INDEX(ポート振替表!$K$5:$K$3507,$L2206)&amp;" "&amp;INDEX(ポート振替表!$L$5:$L$3507,$L2206)&amp;CHAR(10)&amp;"⇔ "&amp;INDEX(ポート振替表!$H$5:$H$3507,$L2206)&amp;" "&amp;INDEX(ポート振替表!$I$5:$I$3507,$L2206))</f>
        <v/>
      </c>
      <c r="L2206" s="47" t="str">
        <f aca="false">IFERROR(MATCH(ROW()-4,ポート振替表!$V$5:$V$3507,0),"")</f>
        <v/>
      </c>
    </row>
    <row r="2207" customFormat="false" ht="16.4" hidden="false" customHeight="false" outlineLevel="0" collapsed="false">
      <c r="A2207" s="32" t="str">
        <f aca="false">IF(L2207="","",ROW()-4)</f>
        <v/>
      </c>
      <c r="B2207" s="58" t="str">
        <f aca="false">IF(L2207="","",IF(INDEX(ポート振替表!$W$5:$W$3507,$L2207)="","(なし)",INDEX(ポート振替表!$W$5:$W$3507,$L2207)&amp;""))</f>
        <v/>
      </c>
      <c r="C2207" s="52" t="str">
        <f aca="false">IF(L2207="","",INDEX(ポート振替表!$B$5:$B$3507,$L2207)&amp;" "&amp;INDEX(ポート振替表!$C$5:$C$3507,$L2207)&amp;"  ⇔  "&amp;INDEX(ポート振替表!$H$5:$H$3507,$L2207)&amp;" "&amp;INDEX(ポート振替表!$I$5:$I$3507,$L2207))</f>
        <v/>
      </c>
      <c r="D2207" s="57" t="s">
        <v>158</v>
      </c>
      <c r="E2207" s="59" t="str">
        <f aca="false">IF(L2207="","",IF(INDEX(ポート振替表!$O$5:$O$3507,$L2207)="","(未設定)",INDEX(ポート振替表!$O$5:$O$3507,$L2207)&amp;""))</f>
        <v/>
      </c>
      <c r="F2207" s="52" t="str">
        <f aca="false">IF(L2207="","",INDEX(ポート振替表!$K$5:$K$3507,$L2207)&amp;" "&amp;INDEX(ポート振替表!$L$5:$L$3507,$L2207)&amp;"  ⇔  "&amp;INDEX(ポート振替表!$H$5:$H$3507,$L2207)&amp;" "&amp;INDEX(ポート振替表!$I$5:$I$3507,$L2207))</f>
        <v/>
      </c>
      <c r="G2207" s="57" t="s">
        <v>158</v>
      </c>
      <c r="H2207" s="32" t="str">
        <f aca="false">IF(L2207="","",INDEX(ポート振替表!$N$5:$N$3507,$L2207)&amp;"")</f>
        <v/>
      </c>
      <c r="I2207" s="32" t="str">
        <f aca="false">IF(L2207="","",INDEX(ポート振替表!$P$5:$P$3507,$L2207)&amp;"")</f>
        <v/>
      </c>
      <c r="J2207" s="60" t="str">
        <f aca="false">IF(L2207="","",INDEX(ポート振替表!$M$5:$M$3507,$L2207)&amp;"")</f>
        <v/>
      </c>
      <c r="K2207" s="52" t="str">
        <f aca="false">IF(L2207="","",E2207&amp;CHAR(10)&amp;INDEX(ポート振替表!$K$5:$K$3507,$L2207)&amp;" "&amp;INDEX(ポート振替表!$L$5:$L$3507,$L2207)&amp;CHAR(10)&amp;"⇔ "&amp;INDEX(ポート振替表!$H$5:$H$3507,$L2207)&amp;" "&amp;INDEX(ポート振替表!$I$5:$I$3507,$L2207))</f>
        <v/>
      </c>
      <c r="L2207" s="47" t="str">
        <f aca="false">IFERROR(MATCH(ROW()-4,ポート振替表!$V$5:$V$3507,0),"")</f>
        <v/>
      </c>
    </row>
    <row r="2208" customFormat="false" ht="16.4" hidden="false" customHeight="false" outlineLevel="0" collapsed="false">
      <c r="A2208" s="32" t="str">
        <f aca="false">IF(L2208="","",ROW()-4)</f>
        <v/>
      </c>
      <c r="B2208" s="58" t="str">
        <f aca="false">IF(L2208="","",IF(INDEX(ポート振替表!$W$5:$W$3507,$L2208)="","(なし)",INDEX(ポート振替表!$W$5:$W$3507,$L2208)&amp;""))</f>
        <v/>
      </c>
      <c r="C2208" s="52" t="str">
        <f aca="false">IF(L2208="","",INDEX(ポート振替表!$B$5:$B$3507,$L2208)&amp;" "&amp;INDEX(ポート振替表!$C$5:$C$3507,$L2208)&amp;"  ⇔  "&amp;INDEX(ポート振替表!$H$5:$H$3507,$L2208)&amp;" "&amp;INDEX(ポート振替表!$I$5:$I$3507,$L2208))</f>
        <v/>
      </c>
      <c r="D2208" s="57" t="s">
        <v>158</v>
      </c>
      <c r="E2208" s="59" t="str">
        <f aca="false">IF(L2208="","",IF(INDEX(ポート振替表!$O$5:$O$3507,$L2208)="","(未設定)",INDEX(ポート振替表!$O$5:$O$3507,$L2208)&amp;""))</f>
        <v/>
      </c>
      <c r="F2208" s="52" t="str">
        <f aca="false">IF(L2208="","",INDEX(ポート振替表!$K$5:$K$3507,$L2208)&amp;" "&amp;INDEX(ポート振替表!$L$5:$L$3507,$L2208)&amp;"  ⇔  "&amp;INDEX(ポート振替表!$H$5:$H$3507,$L2208)&amp;" "&amp;INDEX(ポート振替表!$I$5:$I$3507,$L2208))</f>
        <v/>
      </c>
      <c r="G2208" s="57" t="s">
        <v>158</v>
      </c>
      <c r="H2208" s="32" t="str">
        <f aca="false">IF(L2208="","",INDEX(ポート振替表!$N$5:$N$3507,$L2208)&amp;"")</f>
        <v/>
      </c>
      <c r="I2208" s="32" t="str">
        <f aca="false">IF(L2208="","",INDEX(ポート振替表!$P$5:$P$3507,$L2208)&amp;"")</f>
        <v/>
      </c>
      <c r="J2208" s="60" t="str">
        <f aca="false">IF(L2208="","",INDEX(ポート振替表!$M$5:$M$3507,$L2208)&amp;"")</f>
        <v/>
      </c>
      <c r="K2208" s="52" t="str">
        <f aca="false">IF(L2208="","",E2208&amp;CHAR(10)&amp;INDEX(ポート振替表!$K$5:$K$3507,$L2208)&amp;" "&amp;INDEX(ポート振替表!$L$5:$L$3507,$L2208)&amp;CHAR(10)&amp;"⇔ "&amp;INDEX(ポート振替表!$H$5:$H$3507,$L2208)&amp;" "&amp;INDEX(ポート振替表!$I$5:$I$3507,$L2208))</f>
        <v/>
      </c>
      <c r="L2208" s="47" t="str">
        <f aca="false">IFERROR(MATCH(ROW()-4,ポート振替表!$V$5:$V$3507,0),"")</f>
        <v/>
      </c>
    </row>
    <row r="2209" customFormat="false" ht="16.4" hidden="false" customHeight="false" outlineLevel="0" collapsed="false">
      <c r="A2209" s="32" t="str">
        <f aca="false">IF(L2209="","",ROW()-4)</f>
        <v/>
      </c>
      <c r="B2209" s="58" t="str">
        <f aca="false">IF(L2209="","",IF(INDEX(ポート振替表!$W$5:$W$3507,$L2209)="","(なし)",INDEX(ポート振替表!$W$5:$W$3507,$L2209)&amp;""))</f>
        <v/>
      </c>
      <c r="C2209" s="52" t="str">
        <f aca="false">IF(L2209="","",INDEX(ポート振替表!$B$5:$B$3507,$L2209)&amp;" "&amp;INDEX(ポート振替表!$C$5:$C$3507,$L2209)&amp;"  ⇔  "&amp;INDEX(ポート振替表!$H$5:$H$3507,$L2209)&amp;" "&amp;INDEX(ポート振替表!$I$5:$I$3507,$L2209))</f>
        <v/>
      </c>
      <c r="D2209" s="57" t="s">
        <v>158</v>
      </c>
      <c r="E2209" s="59" t="str">
        <f aca="false">IF(L2209="","",IF(INDEX(ポート振替表!$O$5:$O$3507,$L2209)="","(未設定)",INDEX(ポート振替表!$O$5:$O$3507,$L2209)&amp;""))</f>
        <v/>
      </c>
      <c r="F2209" s="52" t="str">
        <f aca="false">IF(L2209="","",INDEX(ポート振替表!$K$5:$K$3507,$L2209)&amp;" "&amp;INDEX(ポート振替表!$L$5:$L$3507,$L2209)&amp;"  ⇔  "&amp;INDEX(ポート振替表!$H$5:$H$3507,$L2209)&amp;" "&amp;INDEX(ポート振替表!$I$5:$I$3507,$L2209))</f>
        <v/>
      </c>
      <c r="G2209" s="57" t="s">
        <v>158</v>
      </c>
      <c r="H2209" s="32" t="str">
        <f aca="false">IF(L2209="","",INDEX(ポート振替表!$N$5:$N$3507,$L2209)&amp;"")</f>
        <v/>
      </c>
      <c r="I2209" s="32" t="str">
        <f aca="false">IF(L2209="","",INDEX(ポート振替表!$P$5:$P$3507,$L2209)&amp;"")</f>
        <v/>
      </c>
      <c r="J2209" s="60" t="str">
        <f aca="false">IF(L2209="","",INDEX(ポート振替表!$M$5:$M$3507,$L2209)&amp;"")</f>
        <v/>
      </c>
      <c r="K2209" s="52" t="str">
        <f aca="false">IF(L2209="","",E2209&amp;CHAR(10)&amp;INDEX(ポート振替表!$K$5:$K$3507,$L2209)&amp;" "&amp;INDEX(ポート振替表!$L$5:$L$3507,$L2209)&amp;CHAR(10)&amp;"⇔ "&amp;INDEX(ポート振替表!$H$5:$H$3507,$L2209)&amp;" "&amp;INDEX(ポート振替表!$I$5:$I$3507,$L2209))</f>
        <v/>
      </c>
      <c r="L2209" s="47" t="str">
        <f aca="false">IFERROR(MATCH(ROW()-4,ポート振替表!$V$5:$V$3507,0),"")</f>
        <v/>
      </c>
    </row>
    <row r="2210" customFormat="false" ht="16.4" hidden="false" customHeight="false" outlineLevel="0" collapsed="false">
      <c r="A2210" s="32" t="str">
        <f aca="false">IF(L2210="","",ROW()-4)</f>
        <v/>
      </c>
      <c r="B2210" s="58" t="str">
        <f aca="false">IF(L2210="","",IF(INDEX(ポート振替表!$W$5:$W$3507,$L2210)="","(なし)",INDEX(ポート振替表!$W$5:$W$3507,$L2210)&amp;""))</f>
        <v/>
      </c>
      <c r="C2210" s="52" t="str">
        <f aca="false">IF(L2210="","",INDEX(ポート振替表!$B$5:$B$3507,$L2210)&amp;" "&amp;INDEX(ポート振替表!$C$5:$C$3507,$L2210)&amp;"  ⇔  "&amp;INDEX(ポート振替表!$H$5:$H$3507,$L2210)&amp;" "&amp;INDEX(ポート振替表!$I$5:$I$3507,$L2210))</f>
        <v/>
      </c>
      <c r="D2210" s="57" t="s">
        <v>158</v>
      </c>
      <c r="E2210" s="59" t="str">
        <f aca="false">IF(L2210="","",IF(INDEX(ポート振替表!$O$5:$O$3507,$L2210)="","(未設定)",INDEX(ポート振替表!$O$5:$O$3507,$L2210)&amp;""))</f>
        <v/>
      </c>
      <c r="F2210" s="52" t="str">
        <f aca="false">IF(L2210="","",INDEX(ポート振替表!$K$5:$K$3507,$L2210)&amp;" "&amp;INDEX(ポート振替表!$L$5:$L$3507,$L2210)&amp;"  ⇔  "&amp;INDEX(ポート振替表!$H$5:$H$3507,$L2210)&amp;" "&amp;INDEX(ポート振替表!$I$5:$I$3507,$L2210))</f>
        <v/>
      </c>
      <c r="G2210" s="57" t="s">
        <v>158</v>
      </c>
      <c r="H2210" s="32" t="str">
        <f aca="false">IF(L2210="","",INDEX(ポート振替表!$N$5:$N$3507,$L2210)&amp;"")</f>
        <v/>
      </c>
      <c r="I2210" s="32" t="str">
        <f aca="false">IF(L2210="","",INDEX(ポート振替表!$P$5:$P$3507,$L2210)&amp;"")</f>
        <v/>
      </c>
      <c r="J2210" s="60" t="str">
        <f aca="false">IF(L2210="","",INDEX(ポート振替表!$M$5:$M$3507,$L2210)&amp;"")</f>
        <v/>
      </c>
      <c r="K2210" s="52" t="str">
        <f aca="false">IF(L2210="","",E2210&amp;CHAR(10)&amp;INDEX(ポート振替表!$K$5:$K$3507,$L2210)&amp;" "&amp;INDEX(ポート振替表!$L$5:$L$3507,$L2210)&amp;CHAR(10)&amp;"⇔ "&amp;INDEX(ポート振替表!$H$5:$H$3507,$L2210)&amp;" "&amp;INDEX(ポート振替表!$I$5:$I$3507,$L2210))</f>
        <v/>
      </c>
      <c r="L2210" s="47" t="str">
        <f aca="false">IFERROR(MATCH(ROW()-4,ポート振替表!$V$5:$V$3507,0),"")</f>
        <v/>
      </c>
    </row>
    <row r="2211" customFormat="false" ht="16.4" hidden="false" customHeight="false" outlineLevel="0" collapsed="false">
      <c r="A2211" s="32" t="str">
        <f aca="false">IF(L2211="","",ROW()-4)</f>
        <v/>
      </c>
      <c r="B2211" s="58" t="str">
        <f aca="false">IF(L2211="","",IF(INDEX(ポート振替表!$W$5:$W$3507,$L2211)="","(なし)",INDEX(ポート振替表!$W$5:$W$3507,$L2211)&amp;""))</f>
        <v/>
      </c>
      <c r="C2211" s="52" t="str">
        <f aca="false">IF(L2211="","",INDEX(ポート振替表!$B$5:$B$3507,$L2211)&amp;" "&amp;INDEX(ポート振替表!$C$5:$C$3507,$L2211)&amp;"  ⇔  "&amp;INDEX(ポート振替表!$H$5:$H$3507,$L2211)&amp;" "&amp;INDEX(ポート振替表!$I$5:$I$3507,$L2211))</f>
        <v/>
      </c>
      <c r="D2211" s="57" t="s">
        <v>158</v>
      </c>
      <c r="E2211" s="59" t="str">
        <f aca="false">IF(L2211="","",IF(INDEX(ポート振替表!$O$5:$O$3507,$L2211)="","(未設定)",INDEX(ポート振替表!$O$5:$O$3507,$L2211)&amp;""))</f>
        <v/>
      </c>
      <c r="F2211" s="52" t="str">
        <f aca="false">IF(L2211="","",INDEX(ポート振替表!$K$5:$K$3507,$L2211)&amp;" "&amp;INDEX(ポート振替表!$L$5:$L$3507,$L2211)&amp;"  ⇔  "&amp;INDEX(ポート振替表!$H$5:$H$3507,$L2211)&amp;" "&amp;INDEX(ポート振替表!$I$5:$I$3507,$L2211))</f>
        <v/>
      </c>
      <c r="G2211" s="57" t="s">
        <v>158</v>
      </c>
      <c r="H2211" s="32" t="str">
        <f aca="false">IF(L2211="","",INDEX(ポート振替表!$N$5:$N$3507,$L2211)&amp;"")</f>
        <v/>
      </c>
      <c r="I2211" s="32" t="str">
        <f aca="false">IF(L2211="","",INDEX(ポート振替表!$P$5:$P$3507,$L2211)&amp;"")</f>
        <v/>
      </c>
      <c r="J2211" s="60" t="str">
        <f aca="false">IF(L2211="","",INDEX(ポート振替表!$M$5:$M$3507,$L2211)&amp;"")</f>
        <v/>
      </c>
      <c r="K2211" s="52" t="str">
        <f aca="false">IF(L2211="","",E2211&amp;CHAR(10)&amp;INDEX(ポート振替表!$K$5:$K$3507,$L2211)&amp;" "&amp;INDEX(ポート振替表!$L$5:$L$3507,$L2211)&amp;CHAR(10)&amp;"⇔ "&amp;INDEX(ポート振替表!$H$5:$H$3507,$L2211)&amp;" "&amp;INDEX(ポート振替表!$I$5:$I$3507,$L2211))</f>
        <v/>
      </c>
      <c r="L2211" s="47" t="str">
        <f aca="false">IFERROR(MATCH(ROW()-4,ポート振替表!$V$5:$V$3507,0),"")</f>
        <v/>
      </c>
    </row>
    <row r="2212" customFormat="false" ht="16.4" hidden="false" customHeight="false" outlineLevel="0" collapsed="false">
      <c r="A2212" s="32" t="str">
        <f aca="false">IF(L2212="","",ROW()-4)</f>
        <v/>
      </c>
      <c r="B2212" s="58" t="str">
        <f aca="false">IF(L2212="","",IF(INDEX(ポート振替表!$W$5:$W$3507,$L2212)="","(なし)",INDEX(ポート振替表!$W$5:$W$3507,$L2212)&amp;""))</f>
        <v/>
      </c>
      <c r="C2212" s="52" t="str">
        <f aca="false">IF(L2212="","",INDEX(ポート振替表!$B$5:$B$3507,$L2212)&amp;" "&amp;INDEX(ポート振替表!$C$5:$C$3507,$L2212)&amp;"  ⇔  "&amp;INDEX(ポート振替表!$H$5:$H$3507,$L2212)&amp;" "&amp;INDEX(ポート振替表!$I$5:$I$3507,$L2212))</f>
        <v/>
      </c>
      <c r="D2212" s="57" t="s">
        <v>158</v>
      </c>
      <c r="E2212" s="59" t="str">
        <f aca="false">IF(L2212="","",IF(INDEX(ポート振替表!$O$5:$O$3507,$L2212)="","(未設定)",INDEX(ポート振替表!$O$5:$O$3507,$L2212)&amp;""))</f>
        <v/>
      </c>
      <c r="F2212" s="52" t="str">
        <f aca="false">IF(L2212="","",INDEX(ポート振替表!$K$5:$K$3507,$L2212)&amp;" "&amp;INDEX(ポート振替表!$L$5:$L$3507,$L2212)&amp;"  ⇔  "&amp;INDEX(ポート振替表!$H$5:$H$3507,$L2212)&amp;" "&amp;INDEX(ポート振替表!$I$5:$I$3507,$L2212))</f>
        <v/>
      </c>
      <c r="G2212" s="57" t="s">
        <v>158</v>
      </c>
      <c r="H2212" s="32" t="str">
        <f aca="false">IF(L2212="","",INDEX(ポート振替表!$N$5:$N$3507,$L2212)&amp;"")</f>
        <v/>
      </c>
      <c r="I2212" s="32" t="str">
        <f aca="false">IF(L2212="","",INDEX(ポート振替表!$P$5:$P$3507,$L2212)&amp;"")</f>
        <v/>
      </c>
      <c r="J2212" s="60" t="str">
        <f aca="false">IF(L2212="","",INDEX(ポート振替表!$M$5:$M$3507,$L2212)&amp;"")</f>
        <v/>
      </c>
      <c r="K2212" s="52" t="str">
        <f aca="false">IF(L2212="","",E2212&amp;CHAR(10)&amp;INDEX(ポート振替表!$K$5:$K$3507,$L2212)&amp;" "&amp;INDEX(ポート振替表!$L$5:$L$3507,$L2212)&amp;CHAR(10)&amp;"⇔ "&amp;INDEX(ポート振替表!$H$5:$H$3507,$L2212)&amp;" "&amp;INDEX(ポート振替表!$I$5:$I$3507,$L2212))</f>
        <v/>
      </c>
      <c r="L2212" s="47" t="str">
        <f aca="false">IFERROR(MATCH(ROW()-4,ポート振替表!$V$5:$V$3507,0),"")</f>
        <v/>
      </c>
    </row>
    <row r="2213" customFormat="false" ht="16.4" hidden="false" customHeight="false" outlineLevel="0" collapsed="false">
      <c r="A2213" s="32" t="str">
        <f aca="false">IF(L2213="","",ROW()-4)</f>
        <v/>
      </c>
      <c r="B2213" s="58" t="str">
        <f aca="false">IF(L2213="","",IF(INDEX(ポート振替表!$W$5:$W$3507,$L2213)="","(なし)",INDEX(ポート振替表!$W$5:$W$3507,$L2213)&amp;""))</f>
        <v/>
      </c>
      <c r="C2213" s="52" t="str">
        <f aca="false">IF(L2213="","",INDEX(ポート振替表!$B$5:$B$3507,$L2213)&amp;" "&amp;INDEX(ポート振替表!$C$5:$C$3507,$L2213)&amp;"  ⇔  "&amp;INDEX(ポート振替表!$H$5:$H$3507,$L2213)&amp;" "&amp;INDEX(ポート振替表!$I$5:$I$3507,$L2213))</f>
        <v/>
      </c>
      <c r="D2213" s="57" t="s">
        <v>158</v>
      </c>
      <c r="E2213" s="59" t="str">
        <f aca="false">IF(L2213="","",IF(INDEX(ポート振替表!$O$5:$O$3507,$L2213)="","(未設定)",INDEX(ポート振替表!$O$5:$O$3507,$L2213)&amp;""))</f>
        <v/>
      </c>
      <c r="F2213" s="52" t="str">
        <f aca="false">IF(L2213="","",INDEX(ポート振替表!$K$5:$K$3507,$L2213)&amp;" "&amp;INDEX(ポート振替表!$L$5:$L$3507,$L2213)&amp;"  ⇔  "&amp;INDEX(ポート振替表!$H$5:$H$3507,$L2213)&amp;" "&amp;INDEX(ポート振替表!$I$5:$I$3507,$L2213))</f>
        <v/>
      </c>
      <c r="G2213" s="57" t="s">
        <v>158</v>
      </c>
      <c r="H2213" s="32" t="str">
        <f aca="false">IF(L2213="","",INDEX(ポート振替表!$N$5:$N$3507,$L2213)&amp;"")</f>
        <v/>
      </c>
      <c r="I2213" s="32" t="str">
        <f aca="false">IF(L2213="","",INDEX(ポート振替表!$P$5:$P$3507,$L2213)&amp;"")</f>
        <v/>
      </c>
      <c r="J2213" s="60" t="str">
        <f aca="false">IF(L2213="","",INDEX(ポート振替表!$M$5:$M$3507,$L2213)&amp;"")</f>
        <v/>
      </c>
      <c r="K2213" s="52" t="str">
        <f aca="false">IF(L2213="","",E2213&amp;CHAR(10)&amp;INDEX(ポート振替表!$K$5:$K$3507,$L2213)&amp;" "&amp;INDEX(ポート振替表!$L$5:$L$3507,$L2213)&amp;CHAR(10)&amp;"⇔ "&amp;INDEX(ポート振替表!$H$5:$H$3507,$L2213)&amp;" "&amp;INDEX(ポート振替表!$I$5:$I$3507,$L2213))</f>
        <v/>
      </c>
      <c r="L2213" s="47" t="str">
        <f aca="false">IFERROR(MATCH(ROW()-4,ポート振替表!$V$5:$V$3507,0),"")</f>
        <v/>
      </c>
    </row>
    <row r="2214" customFormat="false" ht="16.4" hidden="false" customHeight="false" outlineLevel="0" collapsed="false">
      <c r="A2214" s="32" t="str">
        <f aca="false">IF(L2214="","",ROW()-4)</f>
        <v/>
      </c>
      <c r="B2214" s="58" t="str">
        <f aca="false">IF(L2214="","",IF(INDEX(ポート振替表!$W$5:$W$3507,$L2214)="","(なし)",INDEX(ポート振替表!$W$5:$W$3507,$L2214)&amp;""))</f>
        <v/>
      </c>
      <c r="C2214" s="52" t="str">
        <f aca="false">IF(L2214="","",INDEX(ポート振替表!$B$5:$B$3507,$L2214)&amp;" "&amp;INDEX(ポート振替表!$C$5:$C$3507,$L2214)&amp;"  ⇔  "&amp;INDEX(ポート振替表!$H$5:$H$3507,$L2214)&amp;" "&amp;INDEX(ポート振替表!$I$5:$I$3507,$L2214))</f>
        <v/>
      </c>
      <c r="D2214" s="57" t="s">
        <v>158</v>
      </c>
      <c r="E2214" s="59" t="str">
        <f aca="false">IF(L2214="","",IF(INDEX(ポート振替表!$O$5:$O$3507,$L2214)="","(未設定)",INDEX(ポート振替表!$O$5:$O$3507,$L2214)&amp;""))</f>
        <v/>
      </c>
      <c r="F2214" s="52" t="str">
        <f aca="false">IF(L2214="","",INDEX(ポート振替表!$K$5:$K$3507,$L2214)&amp;" "&amp;INDEX(ポート振替表!$L$5:$L$3507,$L2214)&amp;"  ⇔  "&amp;INDEX(ポート振替表!$H$5:$H$3507,$L2214)&amp;" "&amp;INDEX(ポート振替表!$I$5:$I$3507,$L2214))</f>
        <v/>
      </c>
      <c r="G2214" s="57" t="s">
        <v>158</v>
      </c>
      <c r="H2214" s="32" t="str">
        <f aca="false">IF(L2214="","",INDEX(ポート振替表!$N$5:$N$3507,$L2214)&amp;"")</f>
        <v/>
      </c>
      <c r="I2214" s="32" t="str">
        <f aca="false">IF(L2214="","",INDEX(ポート振替表!$P$5:$P$3507,$L2214)&amp;"")</f>
        <v/>
      </c>
      <c r="J2214" s="60" t="str">
        <f aca="false">IF(L2214="","",INDEX(ポート振替表!$M$5:$M$3507,$L2214)&amp;"")</f>
        <v/>
      </c>
      <c r="K2214" s="52" t="str">
        <f aca="false">IF(L2214="","",E2214&amp;CHAR(10)&amp;INDEX(ポート振替表!$K$5:$K$3507,$L2214)&amp;" "&amp;INDEX(ポート振替表!$L$5:$L$3507,$L2214)&amp;CHAR(10)&amp;"⇔ "&amp;INDEX(ポート振替表!$H$5:$H$3507,$L2214)&amp;" "&amp;INDEX(ポート振替表!$I$5:$I$3507,$L2214))</f>
        <v/>
      </c>
      <c r="L2214" s="47" t="str">
        <f aca="false">IFERROR(MATCH(ROW()-4,ポート振替表!$V$5:$V$3507,0),"")</f>
        <v/>
      </c>
    </row>
    <row r="2215" customFormat="false" ht="16.4" hidden="false" customHeight="false" outlineLevel="0" collapsed="false">
      <c r="A2215" s="32" t="str">
        <f aca="false">IF(L2215="","",ROW()-4)</f>
        <v/>
      </c>
      <c r="B2215" s="58" t="str">
        <f aca="false">IF(L2215="","",IF(INDEX(ポート振替表!$W$5:$W$3507,$L2215)="","(なし)",INDEX(ポート振替表!$W$5:$W$3507,$L2215)&amp;""))</f>
        <v/>
      </c>
      <c r="C2215" s="52" t="str">
        <f aca="false">IF(L2215="","",INDEX(ポート振替表!$B$5:$B$3507,$L2215)&amp;" "&amp;INDEX(ポート振替表!$C$5:$C$3507,$L2215)&amp;"  ⇔  "&amp;INDEX(ポート振替表!$H$5:$H$3507,$L2215)&amp;" "&amp;INDEX(ポート振替表!$I$5:$I$3507,$L2215))</f>
        <v/>
      </c>
      <c r="D2215" s="57" t="s">
        <v>158</v>
      </c>
      <c r="E2215" s="59" t="str">
        <f aca="false">IF(L2215="","",IF(INDEX(ポート振替表!$O$5:$O$3507,$L2215)="","(未設定)",INDEX(ポート振替表!$O$5:$O$3507,$L2215)&amp;""))</f>
        <v/>
      </c>
      <c r="F2215" s="52" t="str">
        <f aca="false">IF(L2215="","",INDEX(ポート振替表!$K$5:$K$3507,$L2215)&amp;" "&amp;INDEX(ポート振替表!$L$5:$L$3507,$L2215)&amp;"  ⇔  "&amp;INDEX(ポート振替表!$H$5:$H$3507,$L2215)&amp;" "&amp;INDEX(ポート振替表!$I$5:$I$3507,$L2215))</f>
        <v/>
      </c>
      <c r="G2215" s="57" t="s">
        <v>158</v>
      </c>
      <c r="H2215" s="32" t="str">
        <f aca="false">IF(L2215="","",INDEX(ポート振替表!$N$5:$N$3507,$L2215)&amp;"")</f>
        <v/>
      </c>
      <c r="I2215" s="32" t="str">
        <f aca="false">IF(L2215="","",INDEX(ポート振替表!$P$5:$P$3507,$L2215)&amp;"")</f>
        <v/>
      </c>
      <c r="J2215" s="60" t="str">
        <f aca="false">IF(L2215="","",INDEX(ポート振替表!$M$5:$M$3507,$L2215)&amp;"")</f>
        <v/>
      </c>
      <c r="K2215" s="52" t="str">
        <f aca="false">IF(L2215="","",E2215&amp;CHAR(10)&amp;INDEX(ポート振替表!$K$5:$K$3507,$L2215)&amp;" "&amp;INDEX(ポート振替表!$L$5:$L$3507,$L2215)&amp;CHAR(10)&amp;"⇔ "&amp;INDEX(ポート振替表!$H$5:$H$3507,$L2215)&amp;" "&amp;INDEX(ポート振替表!$I$5:$I$3507,$L2215))</f>
        <v/>
      </c>
      <c r="L2215" s="47" t="str">
        <f aca="false">IFERROR(MATCH(ROW()-4,ポート振替表!$V$5:$V$3507,0),"")</f>
        <v/>
      </c>
    </row>
    <row r="2216" customFormat="false" ht="16.4" hidden="false" customHeight="false" outlineLevel="0" collapsed="false">
      <c r="A2216" s="32" t="str">
        <f aca="false">IF(L2216="","",ROW()-4)</f>
        <v/>
      </c>
      <c r="B2216" s="58" t="str">
        <f aca="false">IF(L2216="","",IF(INDEX(ポート振替表!$W$5:$W$3507,$L2216)="","(なし)",INDEX(ポート振替表!$W$5:$W$3507,$L2216)&amp;""))</f>
        <v/>
      </c>
      <c r="C2216" s="52" t="str">
        <f aca="false">IF(L2216="","",INDEX(ポート振替表!$B$5:$B$3507,$L2216)&amp;" "&amp;INDEX(ポート振替表!$C$5:$C$3507,$L2216)&amp;"  ⇔  "&amp;INDEX(ポート振替表!$H$5:$H$3507,$L2216)&amp;" "&amp;INDEX(ポート振替表!$I$5:$I$3507,$L2216))</f>
        <v/>
      </c>
      <c r="D2216" s="57" t="s">
        <v>158</v>
      </c>
      <c r="E2216" s="59" t="str">
        <f aca="false">IF(L2216="","",IF(INDEX(ポート振替表!$O$5:$O$3507,$L2216)="","(未設定)",INDEX(ポート振替表!$O$5:$O$3507,$L2216)&amp;""))</f>
        <v/>
      </c>
      <c r="F2216" s="52" t="str">
        <f aca="false">IF(L2216="","",INDEX(ポート振替表!$K$5:$K$3507,$L2216)&amp;" "&amp;INDEX(ポート振替表!$L$5:$L$3507,$L2216)&amp;"  ⇔  "&amp;INDEX(ポート振替表!$H$5:$H$3507,$L2216)&amp;" "&amp;INDEX(ポート振替表!$I$5:$I$3507,$L2216))</f>
        <v/>
      </c>
      <c r="G2216" s="57" t="s">
        <v>158</v>
      </c>
      <c r="H2216" s="32" t="str">
        <f aca="false">IF(L2216="","",INDEX(ポート振替表!$N$5:$N$3507,$L2216)&amp;"")</f>
        <v/>
      </c>
      <c r="I2216" s="32" t="str">
        <f aca="false">IF(L2216="","",INDEX(ポート振替表!$P$5:$P$3507,$L2216)&amp;"")</f>
        <v/>
      </c>
      <c r="J2216" s="60" t="str">
        <f aca="false">IF(L2216="","",INDEX(ポート振替表!$M$5:$M$3507,$L2216)&amp;"")</f>
        <v/>
      </c>
      <c r="K2216" s="52" t="str">
        <f aca="false">IF(L2216="","",E2216&amp;CHAR(10)&amp;INDEX(ポート振替表!$K$5:$K$3507,$L2216)&amp;" "&amp;INDEX(ポート振替表!$L$5:$L$3507,$L2216)&amp;CHAR(10)&amp;"⇔ "&amp;INDEX(ポート振替表!$H$5:$H$3507,$L2216)&amp;" "&amp;INDEX(ポート振替表!$I$5:$I$3507,$L2216))</f>
        <v/>
      </c>
      <c r="L2216" s="47" t="str">
        <f aca="false">IFERROR(MATCH(ROW()-4,ポート振替表!$V$5:$V$3507,0),"")</f>
        <v/>
      </c>
    </row>
    <row r="2217" customFormat="false" ht="16.4" hidden="false" customHeight="false" outlineLevel="0" collapsed="false">
      <c r="A2217" s="32" t="str">
        <f aca="false">IF(L2217="","",ROW()-4)</f>
        <v/>
      </c>
      <c r="B2217" s="58" t="str">
        <f aca="false">IF(L2217="","",IF(INDEX(ポート振替表!$W$5:$W$3507,$L2217)="","(なし)",INDEX(ポート振替表!$W$5:$W$3507,$L2217)&amp;""))</f>
        <v/>
      </c>
      <c r="C2217" s="52" t="str">
        <f aca="false">IF(L2217="","",INDEX(ポート振替表!$B$5:$B$3507,$L2217)&amp;" "&amp;INDEX(ポート振替表!$C$5:$C$3507,$L2217)&amp;"  ⇔  "&amp;INDEX(ポート振替表!$H$5:$H$3507,$L2217)&amp;" "&amp;INDEX(ポート振替表!$I$5:$I$3507,$L2217))</f>
        <v/>
      </c>
      <c r="D2217" s="57" t="s">
        <v>158</v>
      </c>
      <c r="E2217" s="59" t="str">
        <f aca="false">IF(L2217="","",IF(INDEX(ポート振替表!$O$5:$O$3507,$L2217)="","(未設定)",INDEX(ポート振替表!$O$5:$O$3507,$L2217)&amp;""))</f>
        <v/>
      </c>
      <c r="F2217" s="52" t="str">
        <f aca="false">IF(L2217="","",INDEX(ポート振替表!$K$5:$K$3507,$L2217)&amp;" "&amp;INDEX(ポート振替表!$L$5:$L$3507,$L2217)&amp;"  ⇔  "&amp;INDEX(ポート振替表!$H$5:$H$3507,$L2217)&amp;" "&amp;INDEX(ポート振替表!$I$5:$I$3507,$L2217))</f>
        <v/>
      </c>
      <c r="G2217" s="57" t="s">
        <v>158</v>
      </c>
      <c r="H2217" s="32" t="str">
        <f aca="false">IF(L2217="","",INDEX(ポート振替表!$N$5:$N$3507,$L2217)&amp;"")</f>
        <v/>
      </c>
      <c r="I2217" s="32" t="str">
        <f aca="false">IF(L2217="","",INDEX(ポート振替表!$P$5:$P$3507,$L2217)&amp;"")</f>
        <v/>
      </c>
      <c r="J2217" s="60" t="str">
        <f aca="false">IF(L2217="","",INDEX(ポート振替表!$M$5:$M$3507,$L2217)&amp;"")</f>
        <v/>
      </c>
      <c r="K2217" s="52" t="str">
        <f aca="false">IF(L2217="","",E2217&amp;CHAR(10)&amp;INDEX(ポート振替表!$K$5:$K$3507,$L2217)&amp;" "&amp;INDEX(ポート振替表!$L$5:$L$3507,$L2217)&amp;CHAR(10)&amp;"⇔ "&amp;INDEX(ポート振替表!$H$5:$H$3507,$L2217)&amp;" "&amp;INDEX(ポート振替表!$I$5:$I$3507,$L2217))</f>
        <v/>
      </c>
      <c r="L2217" s="47" t="str">
        <f aca="false">IFERROR(MATCH(ROW()-4,ポート振替表!$V$5:$V$3507,0),"")</f>
        <v/>
      </c>
    </row>
    <row r="2218" customFormat="false" ht="16.4" hidden="false" customHeight="false" outlineLevel="0" collapsed="false">
      <c r="A2218" s="32" t="str">
        <f aca="false">IF(L2218="","",ROW()-4)</f>
        <v/>
      </c>
      <c r="B2218" s="58" t="str">
        <f aca="false">IF(L2218="","",IF(INDEX(ポート振替表!$W$5:$W$3507,$L2218)="","(なし)",INDEX(ポート振替表!$W$5:$W$3507,$L2218)&amp;""))</f>
        <v/>
      </c>
      <c r="C2218" s="52" t="str">
        <f aca="false">IF(L2218="","",INDEX(ポート振替表!$B$5:$B$3507,$L2218)&amp;" "&amp;INDEX(ポート振替表!$C$5:$C$3507,$L2218)&amp;"  ⇔  "&amp;INDEX(ポート振替表!$H$5:$H$3507,$L2218)&amp;" "&amp;INDEX(ポート振替表!$I$5:$I$3507,$L2218))</f>
        <v/>
      </c>
      <c r="D2218" s="57" t="s">
        <v>158</v>
      </c>
      <c r="E2218" s="59" t="str">
        <f aca="false">IF(L2218="","",IF(INDEX(ポート振替表!$O$5:$O$3507,$L2218)="","(未設定)",INDEX(ポート振替表!$O$5:$O$3507,$L2218)&amp;""))</f>
        <v/>
      </c>
      <c r="F2218" s="52" t="str">
        <f aca="false">IF(L2218="","",INDEX(ポート振替表!$K$5:$K$3507,$L2218)&amp;" "&amp;INDEX(ポート振替表!$L$5:$L$3507,$L2218)&amp;"  ⇔  "&amp;INDEX(ポート振替表!$H$5:$H$3507,$L2218)&amp;" "&amp;INDEX(ポート振替表!$I$5:$I$3507,$L2218))</f>
        <v/>
      </c>
      <c r="G2218" s="57" t="s">
        <v>158</v>
      </c>
      <c r="H2218" s="32" t="str">
        <f aca="false">IF(L2218="","",INDEX(ポート振替表!$N$5:$N$3507,$L2218)&amp;"")</f>
        <v/>
      </c>
      <c r="I2218" s="32" t="str">
        <f aca="false">IF(L2218="","",INDEX(ポート振替表!$P$5:$P$3507,$L2218)&amp;"")</f>
        <v/>
      </c>
      <c r="J2218" s="60" t="str">
        <f aca="false">IF(L2218="","",INDEX(ポート振替表!$M$5:$M$3507,$L2218)&amp;"")</f>
        <v/>
      </c>
      <c r="K2218" s="52" t="str">
        <f aca="false">IF(L2218="","",E2218&amp;CHAR(10)&amp;INDEX(ポート振替表!$K$5:$K$3507,$L2218)&amp;" "&amp;INDEX(ポート振替表!$L$5:$L$3507,$L2218)&amp;CHAR(10)&amp;"⇔ "&amp;INDEX(ポート振替表!$H$5:$H$3507,$L2218)&amp;" "&amp;INDEX(ポート振替表!$I$5:$I$3507,$L2218))</f>
        <v/>
      </c>
      <c r="L2218" s="47" t="str">
        <f aca="false">IFERROR(MATCH(ROW()-4,ポート振替表!$V$5:$V$3507,0),"")</f>
        <v/>
      </c>
    </row>
    <row r="2219" customFormat="false" ht="16.4" hidden="false" customHeight="false" outlineLevel="0" collapsed="false">
      <c r="A2219" s="32" t="str">
        <f aca="false">IF(L2219="","",ROW()-4)</f>
        <v/>
      </c>
      <c r="B2219" s="58" t="str">
        <f aca="false">IF(L2219="","",IF(INDEX(ポート振替表!$W$5:$W$3507,$L2219)="","(なし)",INDEX(ポート振替表!$W$5:$W$3507,$L2219)&amp;""))</f>
        <v/>
      </c>
      <c r="C2219" s="52" t="str">
        <f aca="false">IF(L2219="","",INDEX(ポート振替表!$B$5:$B$3507,$L2219)&amp;" "&amp;INDEX(ポート振替表!$C$5:$C$3507,$L2219)&amp;"  ⇔  "&amp;INDEX(ポート振替表!$H$5:$H$3507,$L2219)&amp;" "&amp;INDEX(ポート振替表!$I$5:$I$3507,$L2219))</f>
        <v/>
      </c>
      <c r="D2219" s="57" t="s">
        <v>158</v>
      </c>
      <c r="E2219" s="59" t="str">
        <f aca="false">IF(L2219="","",IF(INDEX(ポート振替表!$O$5:$O$3507,$L2219)="","(未設定)",INDEX(ポート振替表!$O$5:$O$3507,$L2219)&amp;""))</f>
        <v/>
      </c>
      <c r="F2219" s="52" t="str">
        <f aca="false">IF(L2219="","",INDEX(ポート振替表!$K$5:$K$3507,$L2219)&amp;" "&amp;INDEX(ポート振替表!$L$5:$L$3507,$L2219)&amp;"  ⇔  "&amp;INDEX(ポート振替表!$H$5:$H$3507,$L2219)&amp;" "&amp;INDEX(ポート振替表!$I$5:$I$3507,$L2219))</f>
        <v/>
      </c>
      <c r="G2219" s="57" t="s">
        <v>158</v>
      </c>
      <c r="H2219" s="32" t="str">
        <f aca="false">IF(L2219="","",INDEX(ポート振替表!$N$5:$N$3507,$L2219)&amp;"")</f>
        <v/>
      </c>
      <c r="I2219" s="32" t="str">
        <f aca="false">IF(L2219="","",INDEX(ポート振替表!$P$5:$P$3507,$L2219)&amp;"")</f>
        <v/>
      </c>
      <c r="J2219" s="60" t="str">
        <f aca="false">IF(L2219="","",INDEX(ポート振替表!$M$5:$M$3507,$L2219)&amp;"")</f>
        <v/>
      </c>
      <c r="K2219" s="52" t="str">
        <f aca="false">IF(L2219="","",E2219&amp;CHAR(10)&amp;INDEX(ポート振替表!$K$5:$K$3507,$L2219)&amp;" "&amp;INDEX(ポート振替表!$L$5:$L$3507,$L2219)&amp;CHAR(10)&amp;"⇔ "&amp;INDEX(ポート振替表!$H$5:$H$3507,$L2219)&amp;" "&amp;INDEX(ポート振替表!$I$5:$I$3507,$L2219))</f>
        <v/>
      </c>
      <c r="L2219" s="47" t="str">
        <f aca="false">IFERROR(MATCH(ROW()-4,ポート振替表!$V$5:$V$3507,0),"")</f>
        <v/>
      </c>
    </row>
    <row r="2220" customFormat="false" ht="16.4" hidden="false" customHeight="false" outlineLevel="0" collapsed="false">
      <c r="A2220" s="32" t="str">
        <f aca="false">IF(L2220="","",ROW()-4)</f>
        <v/>
      </c>
      <c r="B2220" s="58" t="str">
        <f aca="false">IF(L2220="","",IF(INDEX(ポート振替表!$W$5:$W$3507,$L2220)="","(なし)",INDEX(ポート振替表!$W$5:$W$3507,$L2220)&amp;""))</f>
        <v/>
      </c>
      <c r="C2220" s="52" t="str">
        <f aca="false">IF(L2220="","",INDEX(ポート振替表!$B$5:$B$3507,$L2220)&amp;" "&amp;INDEX(ポート振替表!$C$5:$C$3507,$L2220)&amp;"  ⇔  "&amp;INDEX(ポート振替表!$H$5:$H$3507,$L2220)&amp;" "&amp;INDEX(ポート振替表!$I$5:$I$3507,$L2220))</f>
        <v/>
      </c>
      <c r="D2220" s="57" t="s">
        <v>158</v>
      </c>
      <c r="E2220" s="59" t="str">
        <f aca="false">IF(L2220="","",IF(INDEX(ポート振替表!$O$5:$O$3507,$L2220)="","(未設定)",INDEX(ポート振替表!$O$5:$O$3507,$L2220)&amp;""))</f>
        <v/>
      </c>
      <c r="F2220" s="52" t="str">
        <f aca="false">IF(L2220="","",INDEX(ポート振替表!$K$5:$K$3507,$L2220)&amp;" "&amp;INDEX(ポート振替表!$L$5:$L$3507,$L2220)&amp;"  ⇔  "&amp;INDEX(ポート振替表!$H$5:$H$3507,$L2220)&amp;" "&amp;INDEX(ポート振替表!$I$5:$I$3507,$L2220))</f>
        <v/>
      </c>
      <c r="G2220" s="57" t="s">
        <v>158</v>
      </c>
      <c r="H2220" s="32" t="str">
        <f aca="false">IF(L2220="","",INDEX(ポート振替表!$N$5:$N$3507,$L2220)&amp;"")</f>
        <v/>
      </c>
      <c r="I2220" s="32" t="str">
        <f aca="false">IF(L2220="","",INDEX(ポート振替表!$P$5:$P$3507,$L2220)&amp;"")</f>
        <v/>
      </c>
      <c r="J2220" s="60" t="str">
        <f aca="false">IF(L2220="","",INDEX(ポート振替表!$M$5:$M$3507,$L2220)&amp;"")</f>
        <v/>
      </c>
      <c r="K2220" s="52" t="str">
        <f aca="false">IF(L2220="","",E2220&amp;CHAR(10)&amp;INDEX(ポート振替表!$K$5:$K$3507,$L2220)&amp;" "&amp;INDEX(ポート振替表!$L$5:$L$3507,$L2220)&amp;CHAR(10)&amp;"⇔ "&amp;INDEX(ポート振替表!$H$5:$H$3507,$L2220)&amp;" "&amp;INDEX(ポート振替表!$I$5:$I$3507,$L2220))</f>
        <v/>
      </c>
      <c r="L2220" s="47" t="str">
        <f aca="false">IFERROR(MATCH(ROW()-4,ポート振替表!$V$5:$V$3507,0),"")</f>
        <v/>
      </c>
    </row>
    <row r="2221" customFormat="false" ht="16.4" hidden="false" customHeight="false" outlineLevel="0" collapsed="false">
      <c r="A2221" s="32" t="str">
        <f aca="false">IF(L2221="","",ROW()-4)</f>
        <v/>
      </c>
      <c r="B2221" s="58" t="str">
        <f aca="false">IF(L2221="","",IF(INDEX(ポート振替表!$W$5:$W$3507,$L2221)="","(なし)",INDEX(ポート振替表!$W$5:$W$3507,$L2221)&amp;""))</f>
        <v/>
      </c>
      <c r="C2221" s="52" t="str">
        <f aca="false">IF(L2221="","",INDEX(ポート振替表!$B$5:$B$3507,$L2221)&amp;" "&amp;INDEX(ポート振替表!$C$5:$C$3507,$L2221)&amp;"  ⇔  "&amp;INDEX(ポート振替表!$H$5:$H$3507,$L2221)&amp;" "&amp;INDEX(ポート振替表!$I$5:$I$3507,$L2221))</f>
        <v/>
      </c>
      <c r="D2221" s="57" t="s">
        <v>158</v>
      </c>
      <c r="E2221" s="59" t="str">
        <f aca="false">IF(L2221="","",IF(INDEX(ポート振替表!$O$5:$O$3507,$L2221)="","(未設定)",INDEX(ポート振替表!$O$5:$O$3507,$L2221)&amp;""))</f>
        <v/>
      </c>
      <c r="F2221" s="52" t="str">
        <f aca="false">IF(L2221="","",INDEX(ポート振替表!$K$5:$K$3507,$L2221)&amp;" "&amp;INDEX(ポート振替表!$L$5:$L$3507,$L2221)&amp;"  ⇔  "&amp;INDEX(ポート振替表!$H$5:$H$3507,$L2221)&amp;" "&amp;INDEX(ポート振替表!$I$5:$I$3507,$L2221))</f>
        <v/>
      </c>
      <c r="G2221" s="57" t="s">
        <v>158</v>
      </c>
      <c r="H2221" s="32" t="str">
        <f aca="false">IF(L2221="","",INDEX(ポート振替表!$N$5:$N$3507,$L2221)&amp;"")</f>
        <v/>
      </c>
      <c r="I2221" s="32" t="str">
        <f aca="false">IF(L2221="","",INDEX(ポート振替表!$P$5:$P$3507,$L2221)&amp;"")</f>
        <v/>
      </c>
      <c r="J2221" s="60" t="str">
        <f aca="false">IF(L2221="","",INDEX(ポート振替表!$M$5:$M$3507,$L2221)&amp;"")</f>
        <v/>
      </c>
      <c r="K2221" s="52" t="str">
        <f aca="false">IF(L2221="","",E2221&amp;CHAR(10)&amp;INDEX(ポート振替表!$K$5:$K$3507,$L2221)&amp;" "&amp;INDEX(ポート振替表!$L$5:$L$3507,$L2221)&amp;CHAR(10)&amp;"⇔ "&amp;INDEX(ポート振替表!$H$5:$H$3507,$L2221)&amp;" "&amp;INDEX(ポート振替表!$I$5:$I$3507,$L2221))</f>
        <v/>
      </c>
      <c r="L2221" s="47" t="str">
        <f aca="false">IFERROR(MATCH(ROW()-4,ポート振替表!$V$5:$V$3507,0),"")</f>
        <v/>
      </c>
    </row>
    <row r="2222" customFormat="false" ht="16.4" hidden="false" customHeight="false" outlineLevel="0" collapsed="false">
      <c r="A2222" s="32" t="str">
        <f aca="false">IF(L2222="","",ROW()-4)</f>
        <v/>
      </c>
      <c r="B2222" s="58" t="str">
        <f aca="false">IF(L2222="","",IF(INDEX(ポート振替表!$W$5:$W$3507,$L2222)="","(なし)",INDEX(ポート振替表!$W$5:$W$3507,$L2222)&amp;""))</f>
        <v/>
      </c>
      <c r="C2222" s="52" t="str">
        <f aca="false">IF(L2222="","",INDEX(ポート振替表!$B$5:$B$3507,$L2222)&amp;" "&amp;INDEX(ポート振替表!$C$5:$C$3507,$L2222)&amp;"  ⇔  "&amp;INDEX(ポート振替表!$H$5:$H$3507,$L2222)&amp;" "&amp;INDEX(ポート振替表!$I$5:$I$3507,$L2222))</f>
        <v/>
      </c>
      <c r="D2222" s="57" t="s">
        <v>158</v>
      </c>
      <c r="E2222" s="59" t="str">
        <f aca="false">IF(L2222="","",IF(INDEX(ポート振替表!$O$5:$O$3507,$L2222)="","(未設定)",INDEX(ポート振替表!$O$5:$O$3507,$L2222)&amp;""))</f>
        <v/>
      </c>
      <c r="F2222" s="52" t="str">
        <f aca="false">IF(L2222="","",INDEX(ポート振替表!$K$5:$K$3507,$L2222)&amp;" "&amp;INDEX(ポート振替表!$L$5:$L$3507,$L2222)&amp;"  ⇔  "&amp;INDEX(ポート振替表!$H$5:$H$3507,$L2222)&amp;" "&amp;INDEX(ポート振替表!$I$5:$I$3507,$L2222))</f>
        <v/>
      </c>
      <c r="G2222" s="57" t="s">
        <v>158</v>
      </c>
      <c r="H2222" s="32" t="str">
        <f aca="false">IF(L2222="","",INDEX(ポート振替表!$N$5:$N$3507,$L2222)&amp;"")</f>
        <v/>
      </c>
      <c r="I2222" s="32" t="str">
        <f aca="false">IF(L2222="","",INDEX(ポート振替表!$P$5:$P$3507,$L2222)&amp;"")</f>
        <v/>
      </c>
      <c r="J2222" s="60" t="str">
        <f aca="false">IF(L2222="","",INDEX(ポート振替表!$M$5:$M$3507,$L2222)&amp;"")</f>
        <v/>
      </c>
      <c r="K2222" s="52" t="str">
        <f aca="false">IF(L2222="","",E2222&amp;CHAR(10)&amp;INDEX(ポート振替表!$K$5:$K$3507,$L2222)&amp;" "&amp;INDEX(ポート振替表!$L$5:$L$3507,$L2222)&amp;CHAR(10)&amp;"⇔ "&amp;INDEX(ポート振替表!$H$5:$H$3507,$L2222)&amp;" "&amp;INDEX(ポート振替表!$I$5:$I$3507,$L2222))</f>
        <v/>
      </c>
      <c r="L2222" s="47" t="str">
        <f aca="false">IFERROR(MATCH(ROW()-4,ポート振替表!$V$5:$V$3507,0),"")</f>
        <v/>
      </c>
    </row>
    <row r="2223" customFormat="false" ht="16.4" hidden="false" customHeight="false" outlineLevel="0" collapsed="false">
      <c r="A2223" s="32" t="str">
        <f aca="false">IF(L2223="","",ROW()-4)</f>
        <v/>
      </c>
      <c r="B2223" s="58" t="str">
        <f aca="false">IF(L2223="","",IF(INDEX(ポート振替表!$W$5:$W$3507,$L2223)="","(なし)",INDEX(ポート振替表!$W$5:$W$3507,$L2223)&amp;""))</f>
        <v/>
      </c>
      <c r="C2223" s="52" t="str">
        <f aca="false">IF(L2223="","",INDEX(ポート振替表!$B$5:$B$3507,$L2223)&amp;" "&amp;INDEX(ポート振替表!$C$5:$C$3507,$L2223)&amp;"  ⇔  "&amp;INDEX(ポート振替表!$H$5:$H$3507,$L2223)&amp;" "&amp;INDEX(ポート振替表!$I$5:$I$3507,$L2223))</f>
        <v/>
      </c>
      <c r="D2223" s="57" t="s">
        <v>158</v>
      </c>
      <c r="E2223" s="59" t="str">
        <f aca="false">IF(L2223="","",IF(INDEX(ポート振替表!$O$5:$O$3507,$L2223)="","(未設定)",INDEX(ポート振替表!$O$5:$O$3507,$L2223)&amp;""))</f>
        <v/>
      </c>
      <c r="F2223" s="52" t="str">
        <f aca="false">IF(L2223="","",INDEX(ポート振替表!$K$5:$K$3507,$L2223)&amp;" "&amp;INDEX(ポート振替表!$L$5:$L$3507,$L2223)&amp;"  ⇔  "&amp;INDEX(ポート振替表!$H$5:$H$3507,$L2223)&amp;" "&amp;INDEX(ポート振替表!$I$5:$I$3507,$L2223))</f>
        <v/>
      </c>
      <c r="G2223" s="57" t="s">
        <v>158</v>
      </c>
      <c r="H2223" s="32" t="str">
        <f aca="false">IF(L2223="","",INDEX(ポート振替表!$N$5:$N$3507,$L2223)&amp;"")</f>
        <v/>
      </c>
      <c r="I2223" s="32" t="str">
        <f aca="false">IF(L2223="","",INDEX(ポート振替表!$P$5:$P$3507,$L2223)&amp;"")</f>
        <v/>
      </c>
      <c r="J2223" s="60" t="str">
        <f aca="false">IF(L2223="","",INDEX(ポート振替表!$M$5:$M$3507,$L2223)&amp;"")</f>
        <v/>
      </c>
      <c r="K2223" s="52" t="str">
        <f aca="false">IF(L2223="","",E2223&amp;CHAR(10)&amp;INDEX(ポート振替表!$K$5:$K$3507,$L2223)&amp;" "&amp;INDEX(ポート振替表!$L$5:$L$3507,$L2223)&amp;CHAR(10)&amp;"⇔ "&amp;INDEX(ポート振替表!$H$5:$H$3507,$L2223)&amp;" "&amp;INDEX(ポート振替表!$I$5:$I$3507,$L2223))</f>
        <v/>
      </c>
      <c r="L2223" s="47" t="str">
        <f aca="false">IFERROR(MATCH(ROW()-4,ポート振替表!$V$5:$V$3507,0),"")</f>
        <v/>
      </c>
    </row>
    <row r="2224" customFormat="false" ht="16.4" hidden="false" customHeight="false" outlineLevel="0" collapsed="false">
      <c r="A2224" s="32" t="str">
        <f aca="false">IF(L2224="","",ROW()-4)</f>
        <v/>
      </c>
      <c r="B2224" s="58" t="str">
        <f aca="false">IF(L2224="","",IF(INDEX(ポート振替表!$W$5:$W$3507,$L2224)="","(なし)",INDEX(ポート振替表!$W$5:$W$3507,$L2224)&amp;""))</f>
        <v/>
      </c>
      <c r="C2224" s="52" t="str">
        <f aca="false">IF(L2224="","",INDEX(ポート振替表!$B$5:$B$3507,$L2224)&amp;" "&amp;INDEX(ポート振替表!$C$5:$C$3507,$L2224)&amp;"  ⇔  "&amp;INDEX(ポート振替表!$H$5:$H$3507,$L2224)&amp;" "&amp;INDEX(ポート振替表!$I$5:$I$3507,$L2224))</f>
        <v/>
      </c>
      <c r="D2224" s="57" t="s">
        <v>158</v>
      </c>
      <c r="E2224" s="59" t="str">
        <f aca="false">IF(L2224="","",IF(INDEX(ポート振替表!$O$5:$O$3507,$L2224)="","(未設定)",INDEX(ポート振替表!$O$5:$O$3507,$L2224)&amp;""))</f>
        <v/>
      </c>
      <c r="F2224" s="52" t="str">
        <f aca="false">IF(L2224="","",INDEX(ポート振替表!$K$5:$K$3507,$L2224)&amp;" "&amp;INDEX(ポート振替表!$L$5:$L$3507,$L2224)&amp;"  ⇔  "&amp;INDEX(ポート振替表!$H$5:$H$3507,$L2224)&amp;" "&amp;INDEX(ポート振替表!$I$5:$I$3507,$L2224))</f>
        <v/>
      </c>
      <c r="G2224" s="57" t="s">
        <v>158</v>
      </c>
      <c r="H2224" s="32" t="str">
        <f aca="false">IF(L2224="","",INDEX(ポート振替表!$N$5:$N$3507,$L2224)&amp;"")</f>
        <v/>
      </c>
      <c r="I2224" s="32" t="str">
        <f aca="false">IF(L2224="","",INDEX(ポート振替表!$P$5:$P$3507,$L2224)&amp;"")</f>
        <v/>
      </c>
      <c r="J2224" s="60" t="str">
        <f aca="false">IF(L2224="","",INDEX(ポート振替表!$M$5:$M$3507,$L2224)&amp;"")</f>
        <v/>
      </c>
      <c r="K2224" s="52" t="str">
        <f aca="false">IF(L2224="","",E2224&amp;CHAR(10)&amp;INDEX(ポート振替表!$K$5:$K$3507,$L2224)&amp;" "&amp;INDEX(ポート振替表!$L$5:$L$3507,$L2224)&amp;CHAR(10)&amp;"⇔ "&amp;INDEX(ポート振替表!$H$5:$H$3507,$L2224)&amp;" "&amp;INDEX(ポート振替表!$I$5:$I$3507,$L2224))</f>
        <v/>
      </c>
      <c r="L2224" s="47" t="str">
        <f aca="false">IFERROR(MATCH(ROW()-4,ポート振替表!$V$5:$V$3507,0),"")</f>
        <v/>
      </c>
    </row>
    <row r="2225" customFormat="false" ht="16.4" hidden="false" customHeight="false" outlineLevel="0" collapsed="false">
      <c r="A2225" s="32" t="str">
        <f aca="false">IF(L2225="","",ROW()-4)</f>
        <v/>
      </c>
      <c r="B2225" s="58" t="str">
        <f aca="false">IF(L2225="","",IF(INDEX(ポート振替表!$W$5:$W$3507,$L2225)="","(なし)",INDEX(ポート振替表!$W$5:$W$3507,$L2225)&amp;""))</f>
        <v/>
      </c>
      <c r="C2225" s="52" t="str">
        <f aca="false">IF(L2225="","",INDEX(ポート振替表!$B$5:$B$3507,$L2225)&amp;" "&amp;INDEX(ポート振替表!$C$5:$C$3507,$L2225)&amp;"  ⇔  "&amp;INDEX(ポート振替表!$H$5:$H$3507,$L2225)&amp;" "&amp;INDEX(ポート振替表!$I$5:$I$3507,$L2225))</f>
        <v/>
      </c>
      <c r="D2225" s="57" t="s">
        <v>158</v>
      </c>
      <c r="E2225" s="59" t="str">
        <f aca="false">IF(L2225="","",IF(INDEX(ポート振替表!$O$5:$O$3507,$L2225)="","(未設定)",INDEX(ポート振替表!$O$5:$O$3507,$L2225)&amp;""))</f>
        <v/>
      </c>
      <c r="F2225" s="52" t="str">
        <f aca="false">IF(L2225="","",INDEX(ポート振替表!$K$5:$K$3507,$L2225)&amp;" "&amp;INDEX(ポート振替表!$L$5:$L$3507,$L2225)&amp;"  ⇔  "&amp;INDEX(ポート振替表!$H$5:$H$3507,$L2225)&amp;" "&amp;INDEX(ポート振替表!$I$5:$I$3507,$L2225))</f>
        <v/>
      </c>
      <c r="G2225" s="57" t="s">
        <v>158</v>
      </c>
      <c r="H2225" s="32" t="str">
        <f aca="false">IF(L2225="","",INDEX(ポート振替表!$N$5:$N$3507,$L2225)&amp;"")</f>
        <v/>
      </c>
      <c r="I2225" s="32" t="str">
        <f aca="false">IF(L2225="","",INDEX(ポート振替表!$P$5:$P$3507,$L2225)&amp;"")</f>
        <v/>
      </c>
      <c r="J2225" s="60" t="str">
        <f aca="false">IF(L2225="","",INDEX(ポート振替表!$M$5:$M$3507,$L2225)&amp;"")</f>
        <v/>
      </c>
      <c r="K2225" s="52" t="str">
        <f aca="false">IF(L2225="","",E2225&amp;CHAR(10)&amp;INDEX(ポート振替表!$K$5:$K$3507,$L2225)&amp;" "&amp;INDEX(ポート振替表!$L$5:$L$3507,$L2225)&amp;CHAR(10)&amp;"⇔ "&amp;INDEX(ポート振替表!$H$5:$H$3507,$L2225)&amp;" "&amp;INDEX(ポート振替表!$I$5:$I$3507,$L2225))</f>
        <v/>
      </c>
      <c r="L2225" s="47" t="str">
        <f aca="false">IFERROR(MATCH(ROW()-4,ポート振替表!$V$5:$V$3507,0),"")</f>
        <v/>
      </c>
    </row>
    <row r="2226" customFormat="false" ht="16.4" hidden="false" customHeight="false" outlineLevel="0" collapsed="false">
      <c r="A2226" s="32" t="str">
        <f aca="false">IF(L2226="","",ROW()-4)</f>
        <v/>
      </c>
      <c r="B2226" s="58" t="str">
        <f aca="false">IF(L2226="","",IF(INDEX(ポート振替表!$W$5:$W$3507,$L2226)="","(なし)",INDEX(ポート振替表!$W$5:$W$3507,$L2226)&amp;""))</f>
        <v/>
      </c>
      <c r="C2226" s="52" t="str">
        <f aca="false">IF(L2226="","",INDEX(ポート振替表!$B$5:$B$3507,$L2226)&amp;" "&amp;INDEX(ポート振替表!$C$5:$C$3507,$L2226)&amp;"  ⇔  "&amp;INDEX(ポート振替表!$H$5:$H$3507,$L2226)&amp;" "&amp;INDEX(ポート振替表!$I$5:$I$3507,$L2226))</f>
        <v/>
      </c>
      <c r="D2226" s="57" t="s">
        <v>158</v>
      </c>
      <c r="E2226" s="59" t="str">
        <f aca="false">IF(L2226="","",IF(INDEX(ポート振替表!$O$5:$O$3507,$L2226)="","(未設定)",INDEX(ポート振替表!$O$5:$O$3507,$L2226)&amp;""))</f>
        <v/>
      </c>
      <c r="F2226" s="52" t="str">
        <f aca="false">IF(L2226="","",INDEX(ポート振替表!$K$5:$K$3507,$L2226)&amp;" "&amp;INDEX(ポート振替表!$L$5:$L$3507,$L2226)&amp;"  ⇔  "&amp;INDEX(ポート振替表!$H$5:$H$3507,$L2226)&amp;" "&amp;INDEX(ポート振替表!$I$5:$I$3507,$L2226))</f>
        <v/>
      </c>
      <c r="G2226" s="57" t="s">
        <v>158</v>
      </c>
      <c r="H2226" s="32" t="str">
        <f aca="false">IF(L2226="","",INDEX(ポート振替表!$N$5:$N$3507,$L2226)&amp;"")</f>
        <v/>
      </c>
      <c r="I2226" s="32" t="str">
        <f aca="false">IF(L2226="","",INDEX(ポート振替表!$P$5:$P$3507,$L2226)&amp;"")</f>
        <v/>
      </c>
      <c r="J2226" s="60" t="str">
        <f aca="false">IF(L2226="","",INDEX(ポート振替表!$M$5:$M$3507,$L2226)&amp;"")</f>
        <v/>
      </c>
      <c r="K2226" s="52" t="str">
        <f aca="false">IF(L2226="","",E2226&amp;CHAR(10)&amp;INDEX(ポート振替表!$K$5:$K$3507,$L2226)&amp;" "&amp;INDEX(ポート振替表!$L$5:$L$3507,$L2226)&amp;CHAR(10)&amp;"⇔ "&amp;INDEX(ポート振替表!$H$5:$H$3507,$L2226)&amp;" "&amp;INDEX(ポート振替表!$I$5:$I$3507,$L2226))</f>
        <v/>
      </c>
      <c r="L2226" s="47" t="str">
        <f aca="false">IFERROR(MATCH(ROW()-4,ポート振替表!$V$5:$V$3507,0),"")</f>
        <v/>
      </c>
    </row>
    <row r="2227" customFormat="false" ht="16.4" hidden="false" customHeight="false" outlineLevel="0" collapsed="false">
      <c r="A2227" s="32" t="str">
        <f aca="false">IF(L2227="","",ROW()-4)</f>
        <v/>
      </c>
      <c r="B2227" s="58" t="str">
        <f aca="false">IF(L2227="","",IF(INDEX(ポート振替表!$W$5:$W$3507,$L2227)="","(なし)",INDEX(ポート振替表!$W$5:$W$3507,$L2227)&amp;""))</f>
        <v/>
      </c>
      <c r="C2227" s="52" t="str">
        <f aca="false">IF(L2227="","",INDEX(ポート振替表!$B$5:$B$3507,$L2227)&amp;" "&amp;INDEX(ポート振替表!$C$5:$C$3507,$L2227)&amp;"  ⇔  "&amp;INDEX(ポート振替表!$H$5:$H$3507,$L2227)&amp;" "&amp;INDEX(ポート振替表!$I$5:$I$3507,$L2227))</f>
        <v/>
      </c>
      <c r="D2227" s="57" t="s">
        <v>158</v>
      </c>
      <c r="E2227" s="59" t="str">
        <f aca="false">IF(L2227="","",IF(INDEX(ポート振替表!$O$5:$O$3507,$L2227)="","(未設定)",INDEX(ポート振替表!$O$5:$O$3507,$L2227)&amp;""))</f>
        <v/>
      </c>
      <c r="F2227" s="52" t="str">
        <f aca="false">IF(L2227="","",INDEX(ポート振替表!$K$5:$K$3507,$L2227)&amp;" "&amp;INDEX(ポート振替表!$L$5:$L$3507,$L2227)&amp;"  ⇔  "&amp;INDEX(ポート振替表!$H$5:$H$3507,$L2227)&amp;" "&amp;INDEX(ポート振替表!$I$5:$I$3507,$L2227))</f>
        <v/>
      </c>
      <c r="G2227" s="57" t="s">
        <v>158</v>
      </c>
      <c r="H2227" s="32" t="str">
        <f aca="false">IF(L2227="","",INDEX(ポート振替表!$N$5:$N$3507,$L2227)&amp;"")</f>
        <v/>
      </c>
      <c r="I2227" s="32" t="str">
        <f aca="false">IF(L2227="","",INDEX(ポート振替表!$P$5:$P$3507,$L2227)&amp;"")</f>
        <v/>
      </c>
      <c r="J2227" s="60" t="str">
        <f aca="false">IF(L2227="","",INDEX(ポート振替表!$M$5:$M$3507,$L2227)&amp;"")</f>
        <v/>
      </c>
      <c r="K2227" s="52" t="str">
        <f aca="false">IF(L2227="","",E2227&amp;CHAR(10)&amp;INDEX(ポート振替表!$K$5:$K$3507,$L2227)&amp;" "&amp;INDEX(ポート振替表!$L$5:$L$3507,$L2227)&amp;CHAR(10)&amp;"⇔ "&amp;INDEX(ポート振替表!$H$5:$H$3507,$L2227)&amp;" "&amp;INDEX(ポート振替表!$I$5:$I$3507,$L2227))</f>
        <v/>
      </c>
      <c r="L2227" s="47" t="str">
        <f aca="false">IFERROR(MATCH(ROW()-4,ポート振替表!$V$5:$V$3507,0),"")</f>
        <v/>
      </c>
    </row>
    <row r="2228" customFormat="false" ht="16.4" hidden="false" customHeight="false" outlineLevel="0" collapsed="false">
      <c r="A2228" s="32" t="str">
        <f aca="false">IF(L2228="","",ROW()-4)</f>
        <v/>
      </c>
      <c r="B2228" s="58" t="str">
        <f aca="false">IF(L2228="","",IF(INDEX(ポート振替表!$W$5:$W$3507,$L2228)="","(なし)",INDEX(ポート振替表!$W$5:$W$3507,$L2228)&amp;""))</f>
        <v/>
      </c>
      <c r="C2228" s="52" t="str">
        <f aca="false">IF(L2228="","",INDEX(ポート振替表!$B$5:$B$3507,$L2228)&amp;" "&amp;INDEX(ポート振替表!$C$5:$C$3507,$L2228)&amp;"  ⇔  "&amp;INDEX(ポート振替表!$H$5:$H$3507,$L2228)&amp;" "&amp;INDEX(ポート振替表!$I$5:$I$3507,$L2228))</f>
        <v/>
      </c>
      <c r="D2228" s="57" t="s">
        <v>158</v>
      </c>
      <c r="E2228" s="59" t="str">
        <f aca="false">IF(L2228="","",IF(INDEX(ポート振替表!$O$5:$O$3507,$L2228)="","(未設定)",INDEX(ポート振替表!$O$5:$O$3507,$L2228)&amp;""))</f>
        <v/>
      </c>
      <c r="F2228" s="52" t="str">
        <f aca="false">IF(L2228="","",INDEX(ポート振替表!$K$5:$K$3507,$L2228)&amp;" "&amp;INDEX(ポート振替表!$L$5:$L$3507,$L2228)&amp;"  ⇔  "&amp;INDEX(ポート振替表!$H$5:$H$3507,$L2228)&amp;" "&amp;INDEX(ポート振替表!$I$5:$I$3507,$L2228))</f>
        <v/>
      </c>
      <c r="G2228" s="57" t="s">
        <v>158</v>
      </c>
      <c r="H2228" s="32" t="str">
        <f aca="false">IF(L2228="","",INDEX(ポート振替表!$N$5:$N$3507,$L2228)&amp;"")</f>
        <v/>
      </c>
      <c r="I2228" s="32" t="str">
        <f aca="false">IF(L2228="","",INDEX(ポート振替表!$P$5:$P$3507,$L2228)&amp;"")</f>
        <v/>
      </c>
      <c r="J2228" s="60" t="str">
        <f aca="false">IF(L2228="","",INDEX(ポート振替表!$M$5:$M$3507,$L2228)&amp;"")</f>
        <v/>
      </c>
      <c r="K2228" s="52" t="str">
        <f aca="false">IF(L2228="","",E2228&amp;CHAR(10)&amp;INDEX(ポート振替表!$K$5:$K$3507,$L2228)&amp;" "&amp;INDEX(ポート振替表!$L$5:$L$3507,$L2228)&amp;CHAR(10)&amp;"⇔ "&amp;INDEX(ポート振替表!$H$5:$H$3507,$L2228)&amp;" "&amp;INDEX(ポート振替表!$I$5:$I$3507,$L2228))</f>
        <v/>
      </c>
      <c r="L2228" s="47" t="str">
        <f aca="false">IFERROR(MATCH(ROW()-4,ポート振替表!$V$5:$V$3507,0),"")</f>
        <v/>
      </c>
    </row>
    <row r="2229" customFormat="false" ht="16.4" hidden="false" customHeight="false" outlineLevel="0" collapsed="false">
      <c r="A2229" s="32" t="str">
        <f aca="false">IF(L2229="","",ROW()-4)</f>
        <v/>
      </c>
      <c r="B2229" s="58" t="str">
        <f aca="false">IF(L2229="","",IF(INDEX(ポート振替表!$W$5:$W$3507,$L2229)="","(なし)",INDEX(ポート振替表!$W$5:$W$3507,$L2229)&amp;""))</f>
        <v/>
      </c>
      <c r="C2229" s="52" t="str">
        <f aca="false">IF(L2229="","",INDEX(ポート振替表!$B$5:$B$3507,$L2229)&amp;" "&amp;INDEX(ポート振替表!$C$5:$C$3507,$L2229)&amp;"  ⇔  "&amp;INDEX(ポート振替表!$H$5:$H$3507,$L2229)&amp;" "&amp;INDEX(ポート振替表!$I$5:$I$3507,$L2229))</f>
        <v/>
      </c>
      <c r="D2229" s="57" t="s">
        <v>158</v>
      </c>
      <c r="E2229" s="59" t="str">
        <f aca="false">IF(L2229="","",IF(INDEX(ポート振替表!$O$5:$O$3507,$L2229)="","(未設定)",INDEX(ポート振替表!$O$5:$O$3507,$L2229)&amp;""))</f>
        <v/>
      </c>
      <c r="F2229" s="52" t="str">
        <f aca="false">IF(L2229="","",INDEX(ポート振替表!$K$5:$K$3507,$L2229)&amp;" "&amp;INDEX(ポート振替表!$L$5:$L$3507,$L2229)&amp;"  ⇔  "&amp;INDEX(ポート振替表!$H$5:$H$3507,$L2229)&amp;" "&amp;INDEX(ポート振替表!$I$5:$I$3507,$L2229))</f>
        <v/>
      </c>
      <c r="G2229" s="57" t="s">
        <v>158</v>
      </c>
      <c r="H2229" s="32" t="str">
        <f aca="false">IF(L2229="","",INDEX(ポート振替表!$N$5:$N$3507,$L2229)&amp;"")</f>
        <v/>
      </c>
      <c r="I2229" s="32" t="str">
        <f aca="false">IF(L2229="","",INDEX(ポート振替表!$P$5:$P$3507,$L2229)&amp;"")</f>
        <v/>
      </c>
      <c r="J2229" s="60" t="str">
        <f aca="false">IF(L2229="","",INDEX(ポート振替表!$M$5:$M$3507,$L2229)&amp;"")</f>
        <v/>
      </c>
      <c r="K2229" s="52" t="str">
        <f aca="false">IF(L2229="","",E2229&amp;CHAR(10)&amp;INDEX(ポート振替表!$K$5:$K$3507,$L2229)&amp;" "&amp;INDEX(ポート振替表!$L$5:$L$3507,$L2229)&amp;CHAR(10)&amp;"⇔ "&amp;INDEX(ポート振替表!$H$5:$H$3507,$L2229)&amp;" "&amp;INDEX(ポート振替表!$I$5:$I$3507,$L2229))</f>
        <v/>
      </c>
      <c r="L2229" s="47" t="str">
        <f aca="false">IFERROR(MATCH(ROW()-4,ポート振替表!$V$5:$V$3507,0),"")</f>
        <v/>
      </c>
    </row>
    <row r="2230" customFormat="false" ht="16.4" hidden="false" customHeight="false" outlineLevel="0" collapsed="false">
      <c r="A2230" s="32" t="str">
        <f aca="false">IF(L2230="","",ROW()-4)</f>
        <v/>
      </c>
      <c r="B2230" s="58" t="str">
        <f aca="false">IF(L2230="","",IF(INDEX(ポート振替表!$W$5:$W$3507,$L2230)="","(なし)",INDEX(ポート振替表!$W$5:$W$3507,$L2230)&amp;""))</f>
        <v/>
      </c>
      <c r="C2230" s="52" t="str">
        <f aca="false">IF(L2230="","",INDEX(ポート振替表!$B$5:$B$3507,$L2230)&amp;" "&amp;INDEX(ポート振替表!$C$5:$C$3507,$L2230)&amp;"  ⇔  "&amp;INDEX(ポート振替表!$H$5:$H$3507,$L2230)&amp;" "&amp;INDEX(ポート振替表!$I$5:$I$3507,$L2230))</f>
        <v/>
      </c>
      <c r="D2230" s="57" t="s">
        <v>158</v>
      </c>
      <c r="E2230" s="59" t="str">
        <f aca="false">IF(L2230="","",IF(INDEX(ポート振替表!$O$5:$O$3507,$L2230)="","(未設定)",INDEX(ポート振替表!$O$5:$O$3507,$L2230)&amp;""))</f>
        <v/>
      </c>
      <c r="F2230" s="52" t="str">
        <f aca="false">IF(L2230="","",INDEX(ポート振替表!$K$5:$K$3507,$L2230)&amp;" "&amp;INDEX(ポート振替表!$L$5:$L$3507,$L2230)&amp;"  ⇔  "&amp;INDEX(ポート振替表!$H$5:$H$3507,$L2230)&amp;" "&amp;INDEX(ポート振替表!$I$5:$I$3507,$L2230))</f>
        <v/>
      </c>
      <c r="G2230" s="57" t="s">
        <v>158</v>
      </c>
      <c r="H2230" s="32" t="str">
        <f aca="false">IF(L2230="","",INDEX(ポート振替表!$N$5:$N$3507,$L2230)&amp;"")</f>
        <v/>
      </c>
      <c r="I2230" s="32" t="str">
        <f aca="false">IF(L2230="","",INDEX(ポート振替表!$P$5:$P$3507,$L2230)&amp;"")</f>
        <v/>
      </c>
      <c r="J2230" s="60" t="str">
        <f aca="false">IF(L2230="","",INDEX(ポート振替表!$M$5:$M$3507,$L2230)&amp;"")</f>
        <v/>
      </c>
      <c r="K2230" s="52" t="str">
        <f aca="false">IF(L2230="","",E2230&amp;CHAR(10)&amp;INDEX(ポート振替表!$K$5:$K$3507,$L2230)&amp;" "&amp;INDEX(ポート振替表!$L$5:$L$3507,$L2230)&amp;CHAR(10)&amp;"⇔ "&amp;INDEX(ポート振替表!$H$5:$H$3507,$L2230)&amp;" "&amp;INDEX(ポート振替表!$I$5:$I$3507,$L2230))</f>
        <v/>
      </c>
      <c r="L2230" s="47" t="str">
        <f aca="false">IFERROR(MATCH(ROW()-4,ポート振替表!$V$5:$V$3507,0),"")</f>
        <v/>
      </c>
    </row>
    <row r="2231" customFormat="false" ht="16.4" hidden="false" customHeight="false" outlineLevel="0" collapsed="false">
      <c r="A2231" s="32" t="str">
        <f aca="false">IF(L2231="","",ROW()-4)</f>
        <v/>
      </c>
      <c r="B2231" s="58" t="str">
        <f aca="false">IF(L2231="","",IF(INDEX(ポート振替表!$W$5:$W$3507,$L2231)="","(なし)",INDEX(ポート振替表!$W$5:$W$3507,$L2231)&amp;""))</f>
        <v/>
      </c>
      <c r="C2231" s="52" t="str">
        <f aca="false">IF(L2231="","",INDEX(ポート振替表!$B$5:$B$3507,$L2231)&amp;" "&amp;INDEX(ポート振替表!$C$5:$C$3507,$L2231)&amp;"  ⇔  "&amp;INDEX(ポート振替表!$H$5:$H$3507,$L2231)&amp;" "&amp;INDEX(ポート振替表!$I$5:$I$3507,$L2231))</f>
        <v/>
      </c>
      <c r="D2231" s="57" t="s">
        <v>158</v>
      </c>
      <c r="E2231" s="59" t="str">
        <f aca="false">IF(L2231="","",IF(INDEX(ポート振替表!$O$5:$O$3507,$L2231)="","(未設定)",INDEX(ポート振替表!$O$5:$O$3507,$L2231)&amp;""))</f>
        <v/>
      </c>
      <c r="F2231" s="52" t="str">
        <f aca="false">IF(L2231="","",INDEX(ポート振替表!$K$5:$K$3507,$L2231)&amp;" "&amp;INDEX(ポート振替表!$L$5:$L$3507,$L2231)&amp;"  ⇔  "&amp;INDEX(ポート振替表!$H$5:$H$3507,$L2231)&amp;" "&amp;INDEX(ポート振替表!$I$5:$I$3507,$L2231))</f>
        <v/>
      </c>
      <c r="G2231" s="57" t="s">
        <v>158</v>
      </c>
      <c r="H2231" s="32" t="str">
        <f aca="false">IF(L2231="","",INDEX(ポート振替表!$N$5:$N$3507,$L2231)&amp;"")</f>
        <v/>
      </c>
      <c r="I2231" s="32" t="str">
        <f aca="false">IF(L2231="","",INDEX(ポート振替表!$P$5:$P$3507,$L2231)&amp;"")</f>
        <v/>
      </c>
      <c r="J2231" s="60" t="str">
        <f aca="false">IF(L2231="","",INDEX(ポート振替表!$M$5:$M$3507,$L2231)&amp;"")</f>
        <v/>
      </c>
      <c r="K2231" s="52" t="str">
        <f aca="false">IF(L2231="","",E2231&amp;CHAR(10)&amp;INDEX(ポート振替表!$K$5:$K$3507,$L2231)&amp;" "&amp;INDEX(ポート振替表!$L$5:$L$3507,$L2231)&amp;CHAR(10)&amp;"⇔ "&amp;INDEX(ポート振替表!$H$5:$H$3507,$L2231)&amp;" "&amp;INDEX(ポート振替表!$I$5:$I$3507,$L2231))</f>
        <v/>
      </c>
      <c r="L2231" s="47" t="str">
        <f aca="false">IFERROR(MATCH(ROW()-4,ポート振替表!$V$5:$V$3507,0),"")</f>
        <v/>
      </c>
    </row>
    <row r="2232" customFormat="false" ht="16.4" hidden="false" customHeight="false" outlineLevel="0" collapsed="false">
      <c r="A2232" s="32" t="str">
        <f aca="false">IF(L2232="","",ROW()-4)</f>
        <v/>
      </c>
      <c r="B2232" s="58" t="str">
        <f aca="false">IF(L2232="","",IF(INDEX(ポート振替表!$W$5:$W$3507,$L2232)="","(なし)",INDEX(ポート振替表!$W$5:$W$3507,$L2232)&amp;""))</f>
        <v/>
      </c>
      <c r="C2232" s="52" t="str">
        <f aca="false">IF(L2232="","",INDEX(ポート振替表!$B$5:$B$3507,$L2232)&amp;" "&amp;INDEX(ポート振替表!$C$5:$C$3507,$L2232)&amp;"  ⇔  "&amp;INDEX(ポート振替表!$H$5:$H$3507,$L2232)&amp;" "&amp;INDEX(ポート振替表!$I$5:$I$3507,$L2232))</f>
        <v/>
      </c>
      <c r="D2232" s="57" t="s">
        <v>158</v>
      </c>
      <c r="E2232" s="59" t="str">
        <f aca="false">IF(L2232="","",IF(INDEX(ポート振替表!$O$5:$O$3507,$L2232)="","(未設定)",INDEX(ポート振替表!$O$5:$O$3507,$L2232)&amp;""))</f>
        <v/>
      </c>
      <c r="F2232" s="52" t="str">
        <f aca="false">IF(L2232="","",INDEX(ポート振替表!$K$5:$K$3507,$L2232)&amp;" "&amp;INDEX(ポート振替表!$L$5:$L$3507,$L2232)&amp;"  ⇔  "&amp;INDEX(ポート振替表!$H$5:$H$3507,$L2232)&amp;" "&amp;INDEX(ポート振替表!$I$5:$I$3507,$L2232))</f>
        <v/>
      </c>
      <c r="G2232" s="57" t="s">
        <v>158</v>
      </c>
      <c r="H2232" s="32" t="str">
        <f aca="false">IF(L2232="","",INDEX(ポート振替表!$N$5:$N$3507,$L2232)&amp;"")</f>
        <v/>
      </c>
      <c r="I2232" s="32" t="str">
        <f aca="false">IF(L2232="","",INDEX(ポート振替表!$P$5:$P$3507,$L2232)&amp;"")</f>
        <v/>
      </c>
      <c r="J2232" s="60" t="str">
        <f aca="false">IF(L2232="","",INDEX(ポート振替表!$M$5:$M$3507,$L2232)&amp;"")</f>
        <v/>
      </c>
      <c r="K2232" s="52" t="str">
        <f aca="false">IF(L2232="","",E2232&amp;CHAR(10)&amp;INDEX(ポート振替表!$K$5:$K$3507,$L2232)&amp;" "&amp;INDEX(ポート振替表!$L$5:$L$3507,$L2232)&amp;CHAR(10)&amp;"⇔ "&amp;INDEX(ポート振替表!$H$5:$H$3507,$L2232)&amp;" "&amp;INDEX(ポート振替表!$I$5:$I$3507,$L2232))</f>
        <v/>
      </c>
      <c r="L2232" s="47" t="str">
        <f aca="false">IFERROR(MATCH(ROW()-4,ポート振替表!$V$5:$V$3507,0),"")</f>
        <v/>
      </c>
    </row>
    <row r="2233" customFormat="false" ht="16.4" hidden="false" customHeight="false" outlineLevel="0" collapsed="false">
      <c r="A2233" s="32" t="str">
        <f aca="false">IF(L2233="","",ROW()-4)</f>
        <v/>
      </c>
      <c r="B2233" s="58" t="str">
        <f aca="false">IF(L2233="","",IF(INDEX(ポート振替表!$W$5:$W$3507,$L2233)="","(なし)",INDEX(ポート振替表!$W$5:$W$3507,$L2233)&amp;""))</f>
        <v/>
      </c>
      <c r="C2233" s="52" t="str">
        <f aca="false">IF(L2233="","",INDEX(ポート振替表!$B$5:$B$3507,$L2233)&amp;" "&amp;INDEX(ポート振替表!$C$5:$C$3507,$L2233)&amp;"  ⇔  "&amp;INDEX(ポート振替表!$H$5:$H$3507,$L2233)&amp;" "&amp;INDEX(ポート振替表!$I$5:$I$3507,$L2233))</f>
        <v/>
      </c>
      <c r="D2233" s="57" t="s">
        <v>158</v>
      </c>
      <c r="E2233" s="59" t="str">
        <f aca="false">IF(L2233="","",IF(INDEX(ポート振替表!$O$5:$O$3507,$L2233)="","(未設定)",INDEX(ポート振替表!$O$5:$O$3507,$L2233)&amp;""))</f>
        <v/>
      </c>
      <c r="F2233" s="52" t="str">
        <f aca="false">IF(L2233="","",INDEX(ポート振替表!$K$5:$K$3507,$L2233)&amp;" "&amp;INDEX(ポート振替表!$L$5:$L$3507,$L2233)&amp;"  ⇔  "&amp;INDEX(ポート振替表!$H$5:$H$3507,$L2233)&amp;" "&amp;INDEX(ポート振替表!$I$5:$I$3507,$L2233))</f>
        <v/>
      </c>
      <c r="G2233" s="57" t="s">
        <v>158</v>
      </c>
      <c r="H2233" s="32" t="str">
        <f aca="false">IF(L2233="","",INDEX(ポート振替表!$N$5:$N$3507,$L2233)&amp;"")</f>
        <v/>
      </c>
      <c r="I2233" s="32" t="str">
        <f aca="false">IF(L2233="","",INDEX(ポート振替表!$P$5:$P$3507,$L2233)&amp;"")</f>
        <v/>
      </c>
      <c r="J2233" s="60" t="str">
        <f aca="false">IF(L2233="","",INDEX(ポート振替表!$M$5:$M$3507,$L2233)&amp;"")</f>
        <v/>
      </c>
      <c r="K2233" s="52" t="str">
        <f aca="false">IF(L2233="","",E2233&amp;CHAR(10)&amp;INDEX(ポート振替表!$K$5:$K$3507,$L2233)&amp;" "&amp;INDEX(ポート振替表!$L$5:$L$3507,$L2233)&amp;CHAR(10)&amp;"⇔ "&amp;INDEX(ポート振替表!$H$5:$H$3507,$L2233)&amp;" "&amp;INDEX(ポート振替表!$I$5:$I$3507,$L2233))</f>
        <v/>
      </c>
      <c r="L2233" s="47" t="str">
        <f aca="false">IFERROR(MATCH(ROW()-4,ポート振替表!$V$5:$V$3507,0),"")</f>
        <v/>
      </c>
    </row>
    <row r="2234" customFormat="false" ht="16.4" hidden="false" customHeight="false" outlineLevel="0" collapsed="false">
      <c r="A2234" s="32" t="str">
        <f aca="false">IF(L2234="","",ROW()-4)</f>
        <v/>
      </c>
      <c r="B2234" s="58" t="str">
        <f aca="false">IF(L2234="","",IF(INDEX(ポート振替表!$W$5:$W$3507,$L2234)="","(なし)",INDEX(ポート振替表!$W$5:$W$3507,$L2234)&amp;""))</f>
        <v/>
      </c>
      <c r="C2234" s="52" t="str">
        <f aca="false">IF(L2234="","",INDEX(ポート振替表!$B$5:$B$3507,$L2234)&amp;" "&amp;INDEX(ポート振替表!$C$5:$C$3507,$L2234)&amp;"  ⇔  "&amp;INDEX(ポート振替表!$H$5:$H$3507,$L2234)&amp;" "&amp;INDEX(ポート振替表!$I$5:$I$3507,$L2234))</f>
        <v/>
      </c>
      <c r="D2234" s="57" t="s">
        <v>158</v>
      </c>
      <c r="E2234" s="59" t="str">
        <f aca="false">IF(L2234="","",IF(INDEX(ポート振替表!$O$5:$O$3507,$L2234)="","(未設定)",INDEX(ポート振替表!$O$5:$O$3507,$L2234)&amp;""))</f>
        <v/>
      </c>
      <c r="F2234" s="52" t="str">
        <f aca="false">IF(L2234="","",INDEX(ポート振替表!$K$5:$K$3507,$L2234)&amp;" "&amp;INDEX(ポート振替表!$L$5:$L$3507,$L2234)&amp;"  ⇔  "&amp;INDEX(ポート振替表!$H$5:$H$3507,$L2234)&amp;" "&amp;INDEX(ポート振替表!$I$5:$I$3507,$L2234))</f>
        <v/>
      </c>
      <c r="G2234" s="57" t="s">
        <v>158</v>
      </c>
      <c r="H2234" s="32" t="str">
        <f aca="false">IF(L2234="","",INDEX(ポート振替表!$N$5:$N$3507,$L2234)&amp;"")</f>
        <v/>
      </c>
      <c r="I2234" s="32" t="str">
        <f aca="false">IF(L2234="","",INDEX(ポート振替表!$P$5:$P$3507,$L2234)&amp;"")</f>
        <v/>
      </c>
      <c r="J2234" s="60" t="str">
        <f aca="false">IF(L2234="","",INDEX(ポート振替表!$M$5:$M$3507,$L2234)&amp;"")</f>
        <v/>
      </c>
      <c r="K2234" s="52" t="str">
        <f aca="false">IF(L2234="","",E2234&amp;CHAR(10)&amp;INDEX(ポート振替表!$K$5:$K$3507,$L2234)&amp;" "&amp;INDEX(ポート振替表!$L$5:$L$3507,$L2234)&amp;CHAR(10)&amp;"⇔ "&amp;INDEX(ポート振替表!$H$5:$H$3507,$L2234)&amp;" "&amp;INDEX(ポート振替表!$I$5:$I$3507,$L2234))</f>
        <v/>
      </c>
      <c r="L2234" s="47" t="str">
        <f aca="false">IFERROR(MATCH(ROW()-4,ポート振替表!$V$5:$V$3507,0),"")</f>
        <v/>
      </c>
    </row>
    <row r="2235" customFormat="false" ht="16.4" hidden="false" customHeight="false" outlineLevel="0" collapsed="false">
      <c r="A2235" s="32" t="str">
        <f aca="false">IF(L2235="","",ROW()-4)</f>
        <v/>
      </c>
      <c r="B2235" s="58" t="str">
        <f aca="false">IF(L2235="","",IF(INDEX(ポート振替表!$W$5:$W$3507,$L2235)="","(なし)",INDEX(ポート振替表!$W$5:$W$3507,$L2235)&amp;""))</f>
        <v/>
      </c>
      <c r="C2235" s="52" t="str">
        <f aca="false">IF(L2235="","",INDEX(ポート振替表!$B$5:$B$3507,$L2235)&amp;" "&amp;INDEX(ポート振替表!$C$5:$C$3507,$L2235)&amp;"  ⇔  "&amp;INDEX(ポート振替表!$H$5:$H$3507,$L2235)&amp;" "&amp;INDEX(ポート振替表!$I$5:$I$3507,$L2235))</f>
        <v/>
      </c>
      <c r="D2235" s="57" t="s">
        <v>158</v>
      </c>
      <c r="E2235" s="59" t="str">
        <f aca="false">IF(L2235="","",IF(INDEX(ポート振替表!$O$5:$O$3507,$L2235)="","(未設定)",INDEX(ポート振替表!$O$5:$O$3507,$L2235)&amp;""))</f>
        <v/>
      </c>
      <c r="F2235" s="52" t="str">
        <f aca="false">IF(L2235="","",INDEX(ポート振替表!$K$5:$K$3507,$L2235)&amp;" "&amp;INDEX(ポート振替表!$L$5:$L$3507,$L2235)&amp;"  ⇔  "&amp;INDEX(ポート振替表!$H$5:$H$3507,$L2235)&amp;" "&amp;INDEX(ポート振替表!$I$5:$I$3507,$L2235))</f>
        <v/>
      </c>
      <c r="G2235" s="57" t="s">
        <v>158</v>
      </c>
      <c r="H2235" s="32" t="str">
        <f aca="false">IF(L2235="","",INDEX(ポート振替表!$N$5:$N$3507,$L2235)&amp;"")</f>
        <v/>
      </c>
      <c r="I2235" s="32" t="str">
        <f aca="false">IF(L2235="","",INDEX(ポート振替表!$P$5:$P$3507,$L2235)&amp;"")</f>
        <v/>
      </c>
      <c r="J2235" s="60" t="str">
        <f aca="false">IF(L2235="","",INDEX(ポート振替表!$M$5:$M$3507,$L2235)&amp;"")</f>
        <v/>
      </c>
      <c r="K2235" s="52" t="str">
        <f aca="false">IF(L2235="","",E2235&amp;CHAR(10)&amp;INDEX(ポート振替表!$K$5:$K$3507,$L2235)&amp;" "&amp;INDEX(ポート振替表!$L$5:$L$3507,$L2235)&amp;CHAR(10)&amp;"⇔ "&amp;INDEX(ポート振替表!$H$5:$H$3507,$L2235)&amp;" "&amp;INDEX(ポート振替表!$I$5:$I$3507,$L2235))</f>
        <v/>
      </c>
      <c r="L2235" s="47" t="str">
        <f aca="false">IFERROR(MATCH(ROW()-4,ポート振替表!$V$5:$V$3507,0),"")</f>
        <v/>
      </c>
    </row>
    <row r="2236" customFormat="false" ht="16.4" hidden="false" customHeight="false" outlineLevel="0" collapsed="false">
      <c r="A2236" s="32" t="str">
        <f aca="false">IF(L2236="","",ROW()-4)</f>
        <v/>
      </c>
      <c r="B2236" s="58" t="str">
        <f aca="false">IF(L2236="","",IF(INDEX(ポート振替表!$W$5:$W$3507,$L2236)="","(なし)",INDEX(ポート振替表!$W$5:$W$3507,$L2236)&amp;""))</f>
        <v/>
      </c>
      <c r="C2236" s="52" t="str">
        <f aca="false">IF(L2236="","",INDEX(ポート振替表!$B$5:$B$3507,$L2236)&amp;" "&amp;INDEX(ポート振替表!$C$5:$C$3507,$L2236)&amp;"  ⇔  "&amp;INDEX(ポート振替表!$H$5:$H$3507,$L2236)&amp;" "&amp;INDEX(ポート振替表!$I$5:$I$3507,$L2236))</f>
        <v/>
      </c>
      <c r="D2236" s="57" t="s">
        <v>158</v>
      </c>
      <c r="E2236" s="59" t="str">
        <f aca="false">IF(L2236="","",IF(INDEX(ポート振替表!$O$5:$O$3507,$L2236)="","(未設定)",INDEX(ポート振替表!$O$5:$O$3507,$L2236)&amp;""))</f>
        <v/>
      </c>
      <c r="F2236" s="52" t="str">
        <f aca="false">IF(L2236="","",INDEX(ポート振替表!$K$5:$K$3507,$L2236)&amp;" "&amp;INDEX(ポート振替表!$L$5:$L$3507,$L2236)&amp;"  ⇔  "&amp;INDEX(ポート振替表!$H$5:$H$3507,$L2236)&amp;" "&amp;INDEX(ポート振替表!$I$5:$I$3507,$L2236))</f>
        <v/>
      </c>
      <c r="G2236" s="57" t="s">
        <v>158</v>
      </c>
      <c r="H2236" s="32" t="str">
        <f aca="false">IF(L2236="","",INDEX(ポート振替表!$N$5:$N$3507,$L2236)&amp;"")</f>
        <v/>
      </c>
      <c r="I2236" s="32" t="str">
        <f aca="false">IF(L2236="","",INDEX(ポート振替表!$P$5:$P$3507,$L2236)&amp;"")</f>
        <v/>
      </c>
      <c r="J2236" s="60" t="str">
        <f aca="false">IF(L2236="","",INDEX(ポート振替表!$M$5:$M$3507,$L2236)&amp;"")</f>
        <v/>
      </c>
      <c r="K2236" s="52" t="str">
        <f aca="false">IF(L2236="","",E2236&amp;CHAR(10)&amp;INDEX(ポート振替表!$K$5:$K$3507,$L2236)&amp;" "&amp;INDEX(ポート振替表!$L$5:$L$3507,$L2236)&amp;CHAR(10)&amp;"⇔ "&amp;INDEX(ポート振替表!$H$5:$H$3507,$L2236)&amp;" "&amp;INDEX(ポート振替表!$I$5:$I$3507,$L2236))</f>
        <v/>
      </c>
      <c r="L2236" s="47" t="str">
        <f aca="false">IFERROR(MATCH(ROW()-4,ポート振替表!$V$5:$V$3507,0),"")</f>
        <v/>
      </c>
    </row>
    <row r="2237" customFormat="false" ht="16.4" hidden="false" customHeight="false" outlineLevel="0" collapsed="false">
      <c r="A2237" s="32" t="str">
        <f aca="false">IF(L2237="","",ROW()-4)</f>
        <v/>
      </c>
      <c r="B2237" s="58" t="str">
        <f aca="false">IF(L2237="","",IF(INDEX(ポート振替表!$W$5:$W$3507,$L2237)="","(なし)",INDEX(ポート振替表!$W$5:$W$3507,$L2237)&amp;""))</f>
        <v/>
      </c>
      <c r="C2237" s="52" t="str">
        <f aca="false">IF(L2237="","",INDEX(ポート振替表!$B$5:$B$3507,$L2237)&amp;" "&amp;INDEX(ポート振替表!$C$5:$C$3507,$L2237)&amp;"  ⇔  "&amp;INDEX(ポート振替表!$H$5:$H$3507,$L2237)&amp;" "&amp;INDEX(ポート振替表!$I$5:$I$3507,$L2237))</f>
        <v/>
      </c>
      <c r="D2237" s="57" t="s">
        <v>158</v>
      </c>
      <c r="E2237" s="59" t="str">
        <f aca="false">IF(L2237="","",IF(INDEX(ポート振替表!$O$5:$O$3507,$L2237)="","(未設定)",INDEX(ポート振替表!$O$5:$O$3507,$L2237)&amp;""))</f>
        <v/>
      </c>
      <c r="F2237" s="52" t="str">
        <f aca="false">IF(L2237="","",INDEX(ポート振替表!$K$5:$K$3507,$L2237)&amp;" "&amp;INDEX(ポート振替表!$L$5:$L$3507,$L2237)&amp;"  ⇔  "&amp;INDEX(ポート振替表!$H$5:$H$3507,$L2237)&amp;" "&amp;INDEX(ポート振替表!$I$5:$I$3507,$L2237))</f>
        <v/>
      </c>
      <c r="G2237" s="57" t="s">
        <v>158</v>
      </c>
      <c r="H2237" s="32" t="str">
        <f aca="false">IF(L2237="","",INDEX(ポート振替表!$N$5:$N$3507,$L2237)&amp;"")</f>
        <v/>
      </c>
      <c r="I2237" s="32" t="str">
        <f aca="false">IF(L2237="","",INDEX(ポート振替表!$P$5:$P$3507,$L2237)&amp;"")</f>
        <v/>
      </c>
      <c r="J2237" s="60" t="str">
        <f aca="false">IF(L2237="","",INDEX(ポート振替表!$M$5:$M$3507,$L2237)&amp;"")</f>
        <v/>
      </c>
      <c r="K2237" s="52" t="str">
        <f aca="false">IF(L2237="","",E2237&amp;CHAR(10)&amp;INDEX(ポート振替表!$K$5:$K$3507,$L2237)&amp;" "&amp;INDEX(ポート振替表!$L$5:$L$3507,$L2237)&amp;CHAR(10)&amp;"⇔ "&amp;INDEX(ポート振替表!$H$5:$H$3507,$L2237)&amp;" "&amp;INDEX(ポート振替表!$I$5:$I$3507,$L2237))</f>
        <v/>
      </c>
      <c r="L2237" s="47" t="str">
        <f aca="false">IFERROR(MATCH(ROW()-4,ポート振替表!$V$5:$V$3507,0),"")</f>
        <v/>
      </c>
    </row>
    <row r="2238" customFormat="false" ht="16.4" hidden="false" customHeight="false" outlineLevel="0" collapsed="false">
      <c r="A2238" s="32" t="str">
        <f aca="false">IF(L2238="","",ROW()-4)</f>
        <v/>
      </c>
      <c r="B2238" s="58" t="str">
        <f aca="false">IF(L2238="","",IF(INDEX(ポート振替表!$W$5:$W$3507,$L2238)="","(なし)",INDEX(ポート振替表!$W$5:$W$3507,$L2238)&amp;""))</f>
        <v/>
      </c>
      <c r="C2238" s="52" t="str">
        <f aca="false">IF(L2238="","",INDEX(ポート振替表!$B$5:$B$3507,$L2238)&amp;" "&amp;INDEX(ポート振替表!$C$5:$C$3507,$L2238)&amp;"  ⇔  "&amp;INDEX(ポート振替表!$H$5:$H$3507,$L2238)&amp;" "&amp;INDEX(ポート振替表!$I$5:$I$3507,$L2238))</f>
        <v/>
      </c>
      <c r="D2238" s="57" t="s">
        <v>158</v>
      </c>
      <c r="E2238" s="59" t="str">
        <f aca="false">IF(L2238="","",IF(INDEX(ポート振替表!$O$5:$O$3507,$L2238)="","(未設定)",INDEX(ポート振替表!$O$5:$O$3507,$L2238)&amp;""))</f>
        <v/>
      </c>
      <c r="F2238" s="52" t="str">
        <f aca="false">IF(L2238="","",INDEX(ポート振替表!$K$5:$K$3507,$L2238)&amp;" "&amp;INDEX(ポート振替表!$L$5:$L$3507,$L2238)&amp;"  ⇔  "&amp;INDEX(ポート振替表!$H$5:$H$3507,$L2238)&amp;" "&amp;INDEX(ポート振替表!$I$5:$I$3507,$L2238))</f>
        <v/>
      </c>
      <c r="G2238" s="57" t="s">
        <v>158</v>
      </c>
      <c r="H2238" s="32" t="str">
        <f aca="false">IF(L2238="","",INDEX(ポート振替表!$N$5:$N$3507,$L2238)&amp;"")</f>
        <v/>
      </c>
      <c r="I2238" s="32" t="str">
        <f aca="false">IF(L2238="","",INDEX(ポート振替表!$P$5:$P$3507,$L2238)&amp;"")</f>
        <v/>
      </c>
      <c r="J2238" s="60" t="str">
        <f aca="false">IF(L2238="","",INDEX(ポート振替表!$M$5:$M$3507,$L2238)&amp;"")</f>
        <v/>
      </c>
      <c r="K2238" s="52" t="str">
        <f aca="false">IF(L2238="","",E2238&amp;CHAR(10)&amp;INDEX(ポート振替表!$K$5:$K$3507,$L2238)&amp;" "&amp;INDEX(ポート振替表!$L$5:$L$3507,$L2238)&amp;CHAR(10)&amp;"⇔ "&amp;INDEX(ポート振替表!$H$5:$H$3507,$L2238)&amp;" "&amp;INDEX(ポート振替表!$I$5:$I$3507,$L2238))</f>
        <v/>
      </c>
      <c r="L2238" s="47" t="str">
        <f aca="false">IFERROR(MATCH(ROW()-4,ポート振替表!$V$5:$V$3507,0),"")</f>
        <v/>
      </c>
    </row>
    <row r="2239" customFormat="false" ht="16.4" hidden="false" customHeight="false" outlineLevel="0" collapsed="false">
      <c r="A2239" s="32" t="str">
        <f aca="false">IF(L2239="","",ROW()-4)</f>
        <v/>
      </c>
      <c r="B2239" s="58" t="str">
        <f aca="false">IF(L2239="","",IF(INDEX(ポート振替表!$W$5:$W$3507,$L2239)="","(なし)",INDEX(ポート振替表!$W$5:$W$3507,$L2239)&amp;""))</f>
        <v/>
      </c>
      <c r="C2239" s="52" t="str">
        <f aca="false">IF(L2239="","",INDEX(ポート振替表!$B$5:$B$3507,$L2239)&amp;" "&amp;INDEX(ポート振替表!$C$5:$C$3507,$L2239)&amp;"  ⇔  "&amp;INDEX(ポート振替表!$H$5:$H$3507,$L2239)&amp;" "&amp;INDEX(ポート振替表!$I$5:$I$3507,$L2239))</f>
        <v/>
      </c>
      <c r="D2239" s="57" t="s">
        <v>158</v>
      </c>
      <c r="E2239" s="59" t="str">
        <f aca="false">IF(L2239="","",IF(INDEX(ポート振替表!$O$5:$O$3507,$L2239)="","(未設定)",INDEX(ポート振替表!$O$5:$O$3507,$L2239)&amp;""))</f>
        <v/>
      </c>
      <c r="F2239" s="52" t="str">
        <f aca="false">IF(L2239="","",INDEX(ポート振替表!$K$5:$K$3507,$L2239)&amp;" "&amp;INDEX(ポート振替表!$L$5:$L$3507,$L2239)&amp;"  ⇔  "&amp;INDEX(ポート振替表!$H$5:$H$3507,$L2239)&amp;" "&amp;INDEX(ポート振替表!$I$5:$I$3507,$L2239))</f>
        <v/>
      </c>
      <c r="G2239" s="57" t="s">
        <v>158</v>
      </c>
      <c r="H2239" s="32" t="str">
        <f aca="false">IF(L2239="","",INDEX(ポート振替表!$N$5:$N$3507,$L2239)&amp;"")</f>
        <v/>
      </c>
      <c r="I2239" s="32" t="str">
        <f aca="false">IF(L2239="","",INDEX(ポート振替表!$P$5:$P$3507,$L2239)&amp;"")</f>
        <v/>
      </c>
      <c r="J2239" s="60" t="str">
        <f aca="false">IF(L2239="","",INDEX(ポート振替表!$M$5:$M$3507,$L2239)&amp;"")</f>
        <v/>
      </c>
      <c r="K2239" s="52" t="str">
        <f aca="false">IF(L2239="","",E2239&amp;CHAR(10)&amp;INDEX(ポート振替表!$K$5:$K$3507,$L2239)&amp;" "&amp;INDEX(ポート振替表!$L$5:$L$3507,$L2239)&amp;CHAR(10)&amp;"⇔ "&amp;INDEX(ポート振替表!$H$5:$H$3507,$L2239)&amp;" "&amp;INDEX(ポート振替表!$I$5:$I$3507,$L2239))</f>
        <v/>
      </c>
      <c r="L2239" s="47" t="str">
        <f aca="false">IFERROR(MATCH(ROW()-4,ポート振替表!$V$5:$V$3507,0),"")</f>
        <v/>
      </c>
    </row>
    <row r="2240" customFormat="false" ht="16.4" hidden="false" customHeight="false" outlineLevel="0" collapsed="false">
      <c r="A2240" s="32" t="str">
        <f aca="false">IF(L2240="","",ROW()-4)</f>
        <v/>
      </c>
      <c r="B2240" s="58" t="str">
        <f aca="false">IF(L2240="","",IF(INDEX(ポート振替表!$W$5:$W$3507,$L2240)="","(なし)",INDEX(ポート振替表!$W$5:$W$3507,$L2240)&amp;""))</f>
        <v/>
      </c>
      <c r="C2240" s="52" t="str">
        <f aca="false">IF(L2240="","",INDEX(ポート振替表!$B$5:$B$3507,$L2240)&amp;" "&amp;INDEX(ポート振替表!$C$5:$C$3507,$L2240)&amp;"  ⇔  "&amp;INDEX(ポート振替表!$H$5:$H$3507,$L2240)&amp;" "&amp;INDEX(ポート振替表!$I$5:$I$3507,$L2240))</f>
        <v/>
      </c>
      <c r="D2240" s="57" t="s">
        <v>158</v>
      </c>
      <c r="E2240" s="59" t="str">
        <f aca="false">IF(L2240="","",IF(INDEX(ポート振替表!$O$5:$O$3507,$L2240)="","(未設定)",INDEX(ポート振替表!$O$5:$O$3507,$L2240)&amp;""))</f>
        <v/>
      </c>
      <c r="F2240" s="52" t="str">
        <f aca="false">IF(L2240="","",INDEX(ポート振替表!$K$5:$K$3507,$L2240)&amp;" "&amp;INDEX(ポート振替表!$L$5:$L$3507,$L2240)&amp;"  ⇔  "&amp;INDEX(ポート振替表!$H$5:$H$3507,$L2240)&amp;" "&amp;INDEX(ポート振替表!$I$5:$I$3507,$L2240))</f>
        <v/>
      </c>
      <c r="G2240" s="57" t="s">
        <v>158</v>
      </c>
      <c r="H2240" s="32" t="str">
        <f aca="false">IF(L2240="","",INDEX(ポート振替表!$N$5:$N$3507,$L2240)&amp;"")</f>
        <v/>
      </c>
      <c r="I2240" s="32" t="str">
        <f aca="false">IF(L2240="","",INDEX(ポート振替表!$P$5:$P$3507,$L2240)&amp;"")</f>
        <v/>
      </c>
      <c r="J2240" s="60" t="str">
        <f aca="false">IF(L2240="","",INDEX(ポート振替表!$M$5:$M$3507,$L2240)&amp;"")</f>
        <v/>
      </c>
      <c r="K2240" s="52" t="str">
        <f aca="false">IF(L2240="","",E2240&amp;CHAR(10)&amp;INDEX(ポート振替表!$K$5:$K$3507,$L2240)&amp;" "&amp;INDEX(ポート振替表!$L$5:$L$3507,$L2240)&amp;CHAR(10)&amp;"⇔ "&amp;INDEX(ポート振替表!$H$5:$H$3507,$L2240)&amp;" "&amp;INDEX(ポート振替表!$I$5:$I$3507,$L2240))</f>
        <v/>
      </c>
      <c r="L2240" s="47" t="str">
        <f aca="false">IFERROR(MATCH(ROW()-4,ポート振替表!$V$5:$V$3507,0),"")</f>
        <v/>
      </c>
    </row>
    <row r="2241" customFormat="false" ht="16.4" hidden="false" customHeight="false" outlineLevel="0" collapsed="false">
      <c r="A2241" s="32" t="str">
        <f aca="false">IF(L2241="","",ROW()-4)</f>
        <v/>
      </c>
      <c r="B2241" s="58" t="str">
        <f aca="false">IF(L2241="","",IF(INDEX(ポート振替表!$W$5:$W$3507,$L2241)="","(なし)",INDEX(ポート振替表!$W$5:$W$3507,$L2241)&amp;""))</f>
        <v/>
      </c>
      <c r="C2241" s="52" t="str">
        <f aca="false">IF(L2241="","",INDEX(ポート振替表!$B$5:$B$3507,$L2241)&amp;" "&amp;INDEX(ポート振替表!$C$5:$C$3507,$L2241)&amp;"  ⇔  "&amp;INDEX(ポート振替表!$H$5:$H$3507,$L2241)&amp;" "&amp;INDEX(ポート振替表!$I$5:$I$3507,$L2241))</f>
        <v/>
      </c>
      <c r="D2241" s="57" t="s">
        <v>158</v>
      </c>
      <c r="E2241" s="59" t="str">
        <f aca="false">IF(L2241="","",IF(INDEX(ポート振替表!$O$5:$O$3507,$L2241)="","(未設定)",INDEX(ポート振替表!$O$5:$O$3507,$L2241)&amp;""))</f>
        <v/>
      </c>
      <c r="F2241" s="52" t="str">
        <f aca="false">IF(L2241="","",INDEX(ポート振替表!$K$5:$K$3507,$L2241)&amp;" "&amp;INDEX(ポート振替表!$L$5:$L$3507,$L2241)&amp;"  ⇔  "&amp;INDEX(ポート振替表!$H$5:$H$3507,$L2241)&amp;" "&amp;INDEX(ポート振替表!$I$5:$I$3507,$L2241))</f>
        <v/>
      </c>
      <c r="G2241" s="57" t="s">
        <v>158</v>
      </c>
      <c r="H2241" s="32" t="str">
        <f aca="false">IF(L2241="","",INDEX(ポート振替表!$N$5:$N$3507,$L2241)&amp;"")</f>
        <v/>
      </c>
      <c r="I2241" s="32" t="str">
        <f aca="false">IF(L2241="","",INDEX(ポート振替表!$P$5:$P$3507,$L2241)&amp;"")</f>
        <v/>
      </c>
      <c r="J2241" s="60" t="str">
        <f aca="false">IF(L2241="","",INDEX(ポート振替表!$M$5:$M$3507,$L2241)&amp;"")</f>
        <v/>
      </c>
      <c r="K2241" s="52" t="str">
        <f aca="false">IF(L2241="","",E2241&amp;CHAR(10)&amp;INDEX(ポート振替表!$K$5:$K$3507,$L2241)&amp;" "&amp;INDEX(ポート振替表!$L$5:$L$3507,$L2241)&amp;CHAR(10)&amp;"⇔ "&amp;INDEX(ポート振替表!$H$5:$H$3507,$L2241)&amp;" "&amp;INDEX(ポート振替表!$I$5:$I$3507,$L2241))</f>
        <v/>
      </c>
      <c r="L2241" s="47" t="str">
        <f aca="false">IFERROR(MATCH(ROW()-4,ポート振替表!$V$5:$V$3507,0),"")</f>
        <v/>
      </c>
    </row>
    <row r="2242" customFormat="false" ht="16.4" hidden="false" customHeight="false" outlineLevel="0" collapsed="false">
      <c r="A2242" s="32" t="str">
        <f aca="false">IF(L2242="","",ROW()-4)</f>
        <v/>
      </c>
      <c r="B2242" s="58" t="str">
        <f aca="false">IF(L2242="","",IF(INDEX(ポート振替表!$W$5:$W$3507,$L2242)="","(なし)",INDEX(ポート振替表!$W$5:$W$3507,$L2242)&amp;""))</f>
        <v/>
      </c>
      <c r="C2242" s="52" t="str">
        <f aca="false">IF(L2242="","",INDEX(ポート振替表!$B$5:$B$3507,$L2242)&amp;" "&amp;INDEX(ポート振替表!$C$5:$C$3507,$L2242)&amp;"  ⇔  "&amp;INDEX(ポート振替表!$H$5:$H$3507,$L2242)&amp;" "&amp;INDEX(ポート振替表!$I$5:$I$3507,$L2242))</f>
        <v/>
      </c>
      <c r="D2242" s="57" t="s">
        <v>158</v>
      </c>
      <c r="E2242" s="59" t="str">
        <f aca="false">IF(L2242="","",IF(INDEX(ポート振替表!$O$5:$O$3507,$L2242)="","(未設定)",INDEX(ポート振替表!$O$5:$O$3507,$L2242)&amp;""))</f>
        <v/>
      </c>
      <c r="F2242" s="52" t="str">
        <f aca="false">IF(L2242="","",INDEX(ポート振替表!$K$5:$K$3507,$L2242)&amp;" "&amp;INDEX(ポート振替表!$L$5:$L$3507,$L2242)&amp;"  ⇔  "&amp;INDEX(ポート振替表!$H$5:$H$3507,$L2242)&amp;" "&amp;INDEX(ポート振替表!$I$5:$I$3507,$L2242))</f>
        <v/>
      </c>
      <c r="G2242" s="57" t="s">
        <v>158</v>
      </c>
      <c r="H2242" s="32" t="str">
        <f aca="false">IF(L2242="","",INDEX(ポート振替表!$N$5:$N$3507,$L2242)&amp;"")</f>
        <v/>
      </c>
      <c r="I2242" s="32" t="str">
        <f aca="false">IF(L2242="","",INDEX(ポート振替表!$P$5:$P$3507,$L2242)&amp;"")</f>
        <v/>
      </c>
      <c r="J2242" s="60" t="str">
        <f aca="false">IF(L2242="","",INDEX(ポート振替表!$M$5:$M$3507,$L2242)&amp;"")</f>
        <v/>
      </c>
      <c r="K2242" s="52" t="str">
        <f aca="false">IF(L2242="","",E2242&amp;CHAR(10)&amp;INDEX(ポート振替表!$K$5:$K$3507,$L2242)&amp;" "&amp;INDEX(ポート振替表!$L$5:$L$3507,$L2242)&amp;CHAR(10)&amp;"⇔ "&amp;INDEX(ポート振替表!$H$5:$H$3507,$L2242)&amp;" "&amp;INDEX(ポート振替表!$I$5:$I$3507,$L2242))</f>
        <v/>
      </c>
      <c r="L2242" s="47" t="str">
        <f aca="false">IFERROR(MATCH(ROW()-4,ポート振替表!$V$5:$V$3507,0),"")</f>
        <v/>
      </c>
    </row>
    <row r="2243" customFormat="false" ht="16.4" hidden="false" customHeight="false" outlineLevel="0" collapsed="false">
      <c r="A2243" s="32" t="str">
        <f aca="false">IF(L2243="","",ROW()-4)</f>
        <v/>
      </c>
      <c r="B2243" s="58" t="str">
        <f aca="false">IF(L2243="","",IF(INDEX(ポート振替表!$W$5:$W$3507,$L2243)="","(なし)",INDEX(ポート振替表!$W$5:$W$3507,$L2243)&amp;""))</f>
        <v/>
      </c>
      <c r="C2243" s="52" t="str">
        <f aca="false">IF(L2243="","",INDEX(ポート振替表!$B$5:$B$3507,$L2243)&amp;" "&amp;INDEX(ポート振替表!$C$5:$C$3507,$L2243)&amp;"  ⇔  "&amp;INDEX(ポート振替表!$H$5:$H$3507,$L2243)&amp;" "&amp;INDEX(ポート振替表!$I$5:$I$3507,$L2243))</f>
        <v/>
      </c>
      <c r="D2243" s="57" t="s">
        <v>158</v>
      </c>
      <c r="E2243" s="59" t="str">
        <f aca="false">IF(L2243="","",IF(INDEX(ポート振替表!$O$5:$O$3507,$L2243)="","(未設定)",INDEX(ポート振替表!$O$5:$O$3507,$L2243)&amp;""))</f>
        <v/>
      </c>
      <c r="F2243" s="52" t="str">
        <f aca="false">IF(L2243="","",INDEX(ポート振替表!$K$5:$K$3507,$L2243)&amp;" "&amp;INDEX(ポート振替表!$L$5:$L$3507,$L2243)&amp;"  ⇔  "&amp;INDEX(ポート振替表!$H$5:$H$3507,$L2243)&amp;" "&amp;INDEX(ポート振替表!$I$5:$I$3507,$L2243))</f>
        <v/>
      </c>
      <c r="G2243" s="57" t="s">
        <v>158</v>
      </c>
      <c r="H2243" s="32" t="str">
        <f aca="false">IF(L2243="","",INDEX(ポート振替表!$N$5:$N$3507,$L2243)&amp;"")</f>
        <v/>
      </c>
      <c r="I2243" s="32" t="str">
        <f aca="false">IF(L2243="","",INDEX(ポート振替表!$P$5:$P$3507,$L2243)&amp;"")</f>
        <v/>
      </c>
      <c r="J2243" s="60" t="str">
        <f aca="false">IF(L2243="","",INDEX(ポート振替表!$M$5:$M$3507,$L2243)&amp;"")</f>
        <v/>
      </c>
      <c r="K2243" s="52" t="str">
        <f aca="false">IF(L2243="","",E2243&amp;CHAR(10)&amp;INDEX(ポート振替表!$K$5:$K$3507,$L2243)&amp;" "&amp;INDEX(ポート振替表!$L$5:$L$3507,$L2243)&amp;CHAR(10)&amp;"⇔ "&amp;INDEX(ポート振替表!$H$5:$H$3507,$L2243)&amp;" "&amp;INDEX(ポート振替表!$I$5:$I$3507,$L2243))</f>
        <v/>
      </c>
      <c r="L2243" s="47" t="str">
        <f aca="false">IFERROR(MATCH(ROW()-4,ポート振替表!$V$5:$V$3507,0),"")</f>
        <v/>
      </c>
    </row>
    <row r="2244" customFormat="false" ht="16.4" hidden="false" customHeight="false" outlineLevel="0" collapsed="false">
      <c r="A2244" s="32" t="str">
        <f aca="false">IF(L2244="","",ROW()-4)</f>
        <v/>
      </c>
      <c r="B2244" s="58" t="str">
        <f aca="false">IF(L2244="","",IF(INDEX(ポート振替表!$W$5:$W$3507,$L2244)="","(なし)",INDEX(ポート振替表!$W$5:$W$3507,$L2244)&amp;""))</f>
        <v/>
      </c>
      <c r="C2244" s="52" t="str">
        <f aca="false">IF(L2244="","",INDEX(ポート振替表!$B$5:$B$3507,$L2244)&amp;" "&amp;INDEX(ポート振替表!$C$5:$C$3507,$L2244)&amp;"  ⇔  "&amp;INDEX(ポート振替表!$H$5:$H$3507,$L2244)&amp;" "&amp;INDEX(ポート振替表!$I$5:$I$3507,$L2244))</f>
        <v/>
      </c>
      <c r="D2244" s="57" t="s">
        <v>158</v>
      </c>
      <c r="E2244" s="59" t="str">
        <f aca="false">IF(L2244="","",IF(INDEX(ポート振替表!$O$5:$O$3507,$L2244)="","(未設定)",INDEX(ポート振替表!$O$5:$O$3507,$L2244)&amp;""))</f>
        <v/>
      </c>
      <c r="F2244" s="52" t="str">
        <f aca="false">IF(L2244="","",INDEX(ポート振替表!$K$5:$K$3507,$L2244)&amp;" "&amp;INDEX(ポート振替表!$L$5:$L$3507,$L2244)&amp;"  ⇔  "&amp;INDEX(ポート振替表!$H$5:$H$3507,$L2244)&amp;" "&amp;INDEX(ポート振替表!$I$5:$I$3507,$L2244))</f>
        <v/>
      </c>
      <c r="G2244" s="57" t="s">
        <v>158</v>
      </c>
      <c r="H2244" s="32" t="str">
        <f aca="false">IF(L2244="","",INDEX(ポート振替表!$N$5:$N$3507,$L2244)&amp;"")</f>
        <v/>
      </c>
      <c r="I2244" s="32" t="str">
        <f aca="false">IF(L2244="","",INDEX(ポート振替表!$P$5:$P$3507,$L2244)&amp;"")</f>
        <v/>
      </c>
      <c r="J2244" s="60" t="str">
        <f aca="false">IF(L2244="","",INDEX(ポート振替表!$M$5:$M$3507,$L2244)&amp;"")</f>
        <v/>
      </c>
      <c r="K2244" s="52" t="str">
        <f aca="false">IF(L2244="","",E2244&amp;CHAR(10)&amp;INDEX(ポート振替表!$K$5:$K$3507,$L2244)&amp;" "&amp;INDEX(ポート振替表!$L$5:$L$3507,$L2244)&amp;CHAR(10)&amp;"⇔ "&amp;INDEX(ポート振替表!$H$5:$H$3507,$L2244)&amp;" "&amp;INDEX(ポート振替表!$I$5:$I$3507,$L2244))</f>
        <v/>
      </c>
      <c r="L2244" s="47" t="str">
        <f aca="false">IFERROR(MATCH(ROW()-4,ポート振替表!$V$5:$V$3507,0),"")</f>
        <v/>
      </c>
    </row>
    <row r="2245" customFormat="false" ht="16.4" hidden="false" customHeight="false" outlineLevel="0" collapsed="false">
      <c r="A2245" s="32" t="str">
        <f aca="false">IF(L2245="","",ROW()-4)</f>
        <v/>
      </c>
      <c r="B2245" s="58" t="str">
        <f aca="false">IF(L2245="","",IF(INDEX(ポート振替表!$W$5:$W$3507,$L2245)="","(なし)",INDEX(ポート振替表!$W$5:$W$3507,$L2245)&amp;""))</f>
        <v/>
      </c>
      <c r="C2245" s="52" t="str">
        <f aca="false">IF(L2245="","",INDEX(ポート振替表!$B$5:$B$3507,$L2245)&amp;" "&amp;INDEX(ポート振替表!$C$5:$C$3507,$L2245)&amp;"  ⇔  "&amp;INDEX(ポート振替表!$H$5:$H$3507,$L2245)&amp;" "&amp;INDEX(ポート振替表!$I$5:$I$3507,$L2245))</f>
        <v/>
      </c>
      <c r="D2245" s="57" t="s">
        <v>158</v>
      </c>
      <c r="E2245" s="59" t="str">
        <f aca="false">IF(L2245="","",IF(INDEX(ポート振替表!$O$5:$O$3507,$L2245)="","(未設定)",INDEX(ポート振替表!$O$5:$O$3507,$L2245)&amp;""))</f>
        <v/>
      </c>
      <c r="F2245" s="52" t="str">
        <f aca="false">IF(L2245="","",INDEX(ポート振替表!$K$5:$K$3507,$L2245)&amp;" "&amp;INDEX(ポート振替表!$L$5:$L$3507,$L2245)&amp;"  ⇔  "&amp;INDEX(ポート振替表!$H$5:$H$3507,$L2245)&amp;" "&amp;INDEX(ポート振替表!$I$5:$I$3507,$L2245))</f>
        <v/>
      </c>
      <c r="G2245" s="57" t="s">
        <v>158</v>
      </c>
      <c r="H2245" s="32" t="str">
        <f aca="false">IF(L2245="","",INDEX(ポート振替表!$N$5:$N$3507,$L2245)&amp;"")</f>
        <v/>
      </c>
      <c r="I2245" s="32" t="str">
        <f aca="false">IF(L2245="","",INDEX(ポート振替表!$P$5:$P$3507,$L2245)&amp;"")</f>
        <v/>
      </c>
      <c r="J2245" s="60" t="str">
        <f aca="false">IF(L2245="","",INDEX(ポート振替表!$M$5:$M$3507,$L2245)&amp;"")</f>
        <v/>
      </c>
      <c r="K2245" s="52" t="str">
        <f aca="false">IF(L2245="","",E2245&amp;CHAR(10)&amp;INDEX(ポート振替表!$K$5:$K$3507,$L2245)&amp;" "&amp;INDEX(ポート振替表!$L$5:$L$3507,$L2245)&amp;CHAR(10)&amp;"⇔ "&amp;INDEX(ポート振替表!$H$5:$H$3507,$L2245)&amp;" "&amp;INDEX(ポート振替表!$I$5:$I$3507,$L2245))</f>
        <v/>
      </c>
      <c r="L2245" s="47" t="str">
        <f aca="false">IFERROR(MATCH(ROW()-4,ポート振替表!$V$5:$V$3507,0),"")</f>
        <v/>
      </c>
    </row>
    <row r="2246" customFormat="false" ht="16.4" hidden="false" customHeight="false" outlineLevel="0" collapsed="false">
      <c r="A2246" s="32" t="str">
        <f aca="false">IF(L2246="","",ROW()-4)</f>
        <v/>
      </c>
      <c r="B2246" s="58" t="str">
        <f aca="false">IF(L2246="","",IF(INDEX(ポート振替表!$W$5:$W$3507,$L2246)="","(なし)",INDEX(ポート振替表!$W$5:$W$3507,$L2246)&amp;""))</f>
        <v/>
      </c>
      <c r="C2246" s="52" t="str">
        <f aca="false">IF(L2246="","",INDEX(ポート振替表!$B$5:$B$3507,$L2246)&amp;" "&amp;INDEX(ポート振替表!$C$5:$C$3507,$L2246)&amp;"  ⇔  "&amp;INDEX(ポート振替表!$H$5:$H$3507,$L2246)&amp;" "&amp;INDEX(ポート振替表!$I$5:$I$3507,$L2246))</f>
        <v/>
      </c>
      <c r="D2246" s="57" t="s">
        <v>158</v>
      </c>
      <c r="E2246" s="59" t="str">
        <f aca="false">IF(L2246="","",IF(INDEX(ポート振替表!$O$5:$O$3507,$L2246)="","(未設定)",INDEX(ポート振替表!$O$5:$O$3507,$L2246)&amp;""))</f>
        <v/>
      </c>
      <c r="F2246" s="52" t="str">
        <f aca="false">IF(L2246="","",INDEX(ポート振替表!$K$5:$K$3507,$L2246)&amp;" "&amp;INDEX(ポート振替表!$L$5:$L$3507,$L2246)&amp;"  ⇔  "&amp;INDEX(ポート振替表!$H$5:$H$3507,$L2246)&amp;" "&amp;INDEX(ポート振替表!$I$5:$I$3507,$L2246))</f>
        <v/>
      </c>
      <c r="G2246" s="57" t="s">
        <v>158</v>
      </c>
      <c r="H2246" s="32" t="str">
        <f aca="false">IF(L2246="","",INDEX(ポート振替表!$N$5:$N$3507,$L2246)&amp;"")</f>
        <v/>
      </c>
      <c r="I2246" s="32" t="str">
        <f aca="false">IF(L2246="","",INDEX(ポート振替表!$P$5:$P$3507,$L2246)&amp;"")</f>
        <v/>
      </c>
      <c r="J2246" s="60" t="str">
        <f aca="false">IF(L2246="","",INDEX(ポート振替表!$M$5:$M$3507,$L2246)&amp;"")</f>
        <v/>
      </c>
      <c r="K2246" s="52" t="str">
        <f aca="false">IF(L2246="","",E2246&amp;CHAR(10)&amp;INDEX(ポート振替表!$K$5:$K$3507,$L2246)&amp;" "&amp;INDEX(ポート振替表!$L$5:$L$3507,$L2246)&amp;CHAR(10)&amp;"⇔ "&amp;INDEX(ポート振替表!$H$5:$H$3507,$L2246)&amp;" "&amp;INDEX(ポート振替表!$I$5:$I$3507,$L2246))</f>
        <v/>
      </c>
      <c r="L2246" s="47" t="str">
        <f aca="false">IFERROR(MATCH(ROW()-4,ポート振替表!$V$5:$V$3507,0),"")</f>
        <v/>
      </c>
    </row>
    <row r="2247" customFormat="false" ht="16.4" hidden="false" customHeight="false" outlineLevel="0" collapsed="false">
      <c r="A2247" s="32" t="str">
        <f aca="false">IF(L2247="","",ROW()-4)</f>
        <v/>
      </c>
      <c r="B2247" s="58" t="str">
        <f aca="false">IF(L2247="","",IF(INDEX(ポート振替表!$W$5:$W$3507,$L2247)="","(なし)",INDEX(ポート振替表!$W$5:$W$3507,$L2247)&amp;""))</f>
        <v/>
      </c>
      <c r="C2247" s="52" t="str">
        <f aca="false">IF(L2247="","",INDEX(ポート振替表!$B$5:$B$3507,$L2247)&amp;" "&amp;INDEX(ポート振替表!$C$5:$C$3507,$L2247)&amp;"  ⇔  "&amp;INDEX(ポート振替表!$H$5:$H$3507,$L2247)&amp;" "&amp;INDEX(ポート振替表!$I$5:$I$3507,$L2247))</f>
        <v/>
      </c>
      <c r="D2247" s="57" t="s">
        <v>158</v>
      </c>
      <c r="E2247" s="59" t="str">
        <f aca="false">IF(L2247="","",IF(INDEX(ポート振替表!$O$5:$O$3507,$L2247)="","(未設定)",INDEX(ポート振替表!$O$5:$O$3507,$L2247)&amp;""))</f>
        <v/>
      </c>
      <c r="F2247" s="52" t="str">
        <f aca="false">IF(L2247="","",INDEX(ポート振替表!$K$5:$K$3507,$L2247)&amp;" "&amp;INDEX(ポート振替表!$L$5:$L$3507,$L2247)&amp;"  ⇔  "&amp;INDEX(ポート振替表!$H$5:$H$3507,$L2247)&amp;" "&amp;INDEX(ポート振替表!$I$5:$I$3507,$L2247))</f>
        <v/>
      </c>
      <c r="G2247" s="57" t="s">
        <v>158</v>
      </c>
      <c r="H2247" s="32" t="str">
        <f aca="false">IF(L2247="","",INDEX(ポート振替表!$N$5:$N$3507,$L2247)&amp;"")</f>
        <v/>
      </c>
      <c r="I2247" s="32" t="str">
        <f aca="false">IF(L2247="","",INDEX(ポート振替表!$P$5:$P$3507,$L2247)&amp;"")</f>
        <v/>
      </c>
      <c r="J2247" s="60" t="str">
        <f aca="false">IF(L2247="","",INDEX(ポート振替表!$M$5:$M$3507,$L2247)&amp;"")</f>
        <v/>
      </c>
      <c r="K2247" s="52" t="str">
        <f aca="false">IF(L2247="","",E2247&amp;CHAR(10)&amp;INDEX(ポート振替表!$K$5:$K$3507,$L2247)&amp;" "&amp;INDEX(ポート振替表!$L$5:$L$3507,$L2247)&amp;CHAR(10)&amp;"⇔ "&amp;INDEX(ポート振替表!$H$5:$H$3507,$L2247)&amp;" "&amp;INDEX(ポート振替表!$I$5:$I$3507,$L2247))</f>
        <v/>
      </c>
      <c r="L2247" s="47" t="str">
        <f aca="false">IFERROR(MATCH(ROW()-4,ポート振替表!$V$5:$V$3507,0),"")</f>
        <v/>
      </c>
    </row>
    <row r="2248" customFormat="false" ht="16.4" hidden="false" customHeight="false" outlineLevel="0" collapsed="false">
      <c r="A2248" s="32" t="str">
        <f aca="false">IF(L2248="","",ROW()-4)</f>
        <v/>
      </c>
      <c r="B2248" s="58" t="str">
        <f aca="false">IF(L2248="","",IF(INDEX(ポート振替表!$W$5:$W$3507,$L2248)="","(なし)",INDEX(ポート振替表!$W$5:$W$3507,$L2248)&amp;""))</f>
        <v/>
      </c>
      <c r="C2248" s="52" t="str">
        <f aca="false">IF(L2248="","",INDEX(ポート振替表!$B$5:$B$3507,$L2248)&amp;" "&amp;INDEX(ポート振替表!$C$5:$C$3507,$L2248)&amp;"  ⇔  "&amp;INDEX(ポート振替表!$H$5:$H$3507,$L2248)&amp;" "&amp;INDEX(ポート振替表!$I$5:$I$3507,$L2248))</f>
        <v/>
      </c>
      <c r="D2248" s="57" t="s">
        <v>158</v>
      </c>
      <c r="E2248" s="59" t="str">
        <f aca="false">IF(L2248="","",IF(INDEX(ポート振替表!$O$5:$O$3507,$L2248)="","(未設定)",INDEX(ポート振替表!$O$5:$O$3507,$L2248)&amp;""))</f>
        <v/>
      </c>
      <c r="F2248" s="52" t="str">
        <f aca="false">IF(L2248="","",INDEX(ポート振替表!$K$5:$K$3507,$L2248)&amp;" "&amp;INDEX(ポート振替表!$L$5:$L$3507,$L2248)&amp;"  ⇔  "&amp;INDEX(ポート振替表!$H$5:$H$3507,$L2248)&amp;" "&amp;INDEX(ポート振替表!$I$5:$I$3507,$L2248))</f>
        <v/>
      </c>
      <c r="G2248" s="57" t="s">
        <v>158</v>
      </c>
      <c r="H2248" s="32" t="str">
        <f aca="false">IF(L2248="","",INDEX(ポート振替表!$N$5:$N$3507,$L2248)&amp;"")</f>
        <v/>
      </c>
      <c r="I2248" s="32" t="str">
        <f aca="false">IF(L2248="","",INDEX(ポート振替表!$P$5:$P$3507,$L2248)&amp;"")</f>
        <v/>
      </c>
      <c r="J2248" s="60" t="str">
        <f aca="false">IF(L2248="","",INDEX(ポート振替表!$M$5:$M$3507,$L2248)&amp;"")</f>
        <v/>
      </c>
      <c r="K2248" s="52" t="str">
        <f aca="false">IF(L2248="","",E2248&amp;CHAR(10)&amp;INDEX(ポート振替表!$K$5:$K$3507,$L2248)&amp;" "&amp;INDEX(ポート振替表!$L$5:$L$3507,$L2248)&amp;CHAR(10)&amp;"⇔ "&amp;INDEX(ポート振替表!$H$5:$H$3507,$L2248)&amp;" "&amp;INDEX(ポート振替表!$I$5:$I$3507,$L2248))</f>
        <v/>
      </c>
      <c r="L2248" s="47" t="str">
        <f aca="false">IFERROR(MATCH(ROW()-4,ポート振替表!$V$5:$V$3507,0),"")</f>
        <v/>
      </c>
    </row>
    <row r="2249" customFormat="false" ht="16.4" hidden="false" customHeight="false" outlineLevel="0" collapsed="false">
      <c r="A2249" s="32" t="str">
        <f aca="false">IF(L2249="","",ROW()-4)</f>
        <v/>
      </c>
      <c r="B2249" s="58" t="str">
        <f aca="false">IF(L2249="","",IF(INDEX(ポート振替表!$W$5:$W$3507,$L2249)="","(なし)",INDEX(ポート振替表!$W$5:$W$3507,$L2249)&amp;""))</f>
        <v/>
      </c>
      <c r="C2249" s="52" t="str">
        <f aca="false">IF(L2249="","",INDEX(ポート振替表!$B$5:$B$3507,$L2249)&amp;" "&amp;INDEX(ポート振替表!$C$5:$C$3507,$L2249)&amp;"  ⇔  "&amp;INDEX(ポート振替表!$H$5:$H$3507,$L2249)&amp;" "&amp;INDEX(ポート振替表!$I$5:$I$3507,$L2249))</f>
        <v/>
      </c>
      <c r="D2249" s="57" t="s">
        <v>158</v>
      </c>
      <c r="E2249" s="59" t="str">
        <f aca="false">IF(L2249="","",IF(INDEX(ポート振替表!$O$5:$O$3507,$L2249)="","(未設定)",INDEX(ポート振替表!$O$5:$O$3507,$L2249)&amp;""))</f>
        <v/>
      </c>
      <c r="F2249" s="52" t="str">
        <f aca="false">IF(L2249="","",INDEX(ポート振替表!$K$5:$K$3507,$L2249)&amp;" "&amp;INDEX(ポート振替表!$L$5:$L$3507,$L2249)&amp;"  ⇔  "&amp;INDEX(ポート振替表!$H$5:$H$3507,$L2249)&amp;" "&amp;INDEX(ポート振替表!$I$5:$I$3507,$L2249))</f>
        <v/>
      </c>
      <c r="G2249" s="57" t="s">
        <v>158</v>
      </c>
      <c r="H2249" s="32" t="str">
        <f aca="false">IF(L2249="","",INDEX(ポート振替表!$N$5:$N$3507,$L2249)&amp;"")</f>
        <v/>
      </c>
      <c r="I2249" s="32" t="str">
        <f aca="false">IF(L2249="","",INDEX(ポート振替表!$P$5:$P$3507,$L2249)&amp;"")</f>
        <v/>
      </c>
      <c r="J2249" s="60" t="str">
        <f aca="false">IF(L2249="","",INDEX(ポート振替表!$M$5:$M$3507,$L2249)&amp;"")</f>
        <v/>
      </c>
      <c r="K2249" s="52" t="str">
        <f aca="false">IF(L2249="","",E2249&amp;CHAR(10)&amp;INDEX(ポート振替表!$K$5:$K$3507,$L2249)&amp;" "&amp;INDEX(ポート振替表!$L$5:$L$3507,$L2249)&amp;CHAR(10)&amp;"⇔ "&amp;INDEX(ポート振替表!$H$5:$H$3507,$L2249)&amp;" "&amp;INDEX(ポート振替表!$I$5:$I$3507,$L2249))</f>
        <v/>
      </c>
      <c r="L2249" s="47" t="str">
        <f aca="false">IFERROR(MATCH(ROW()-4,ポート振替表!$V$5:$V$3507,0),"")</f>
        <v/>
      </c>
    </row>
    <row r="2250" customFormat="false" ht="16.4" hidden="false" customHeight="false" outlineLevel="0" collapsed="false">
      <c r="A2250" s="32" t="str">
        <f aca="false">IF(L2250="","",ROW()-4)</f>
        <v/>
      </c>
      <c r="B2250" s="58" t="str">
        <f aca="false">IF(L2250="","",IF(INDEX(ポート振替表!$W$5:$W$3507,$L2250)="","(なし)",INDEX(ポート振替表!$W$5:$W$3507,$L2250)&amp;""))</f>
        <v/>
      </c>
      <c r="C2250" s="52" t="str">
        <f aca="false">IF(L2250="","",INDEX(ポート振替表!$B$5:$B$3507,$L2250)&amp;" "&amp;INDEX(ポート振替表!$C$5:$C$3507,$L2250)&amp;"  ⇔  "&amp;INDEX(ポート振替表!$H$5:$H$3507,$L2250)&amp;" "&amp;INDEX(ポート振替表!$I$5:$I$3507,$L2250))</f>
        <v/>
      </c>
      <c r="D2250" s="57" t="s">
        <v>158</v>
      </c>
      <c r="E2250" s="59" t="str">
        <f aca="false">IF(L2250="","",IF(INDEX(ポート振替表!$O$5:$O$3507,$L2250)="","(未設定)",INDEX(ポート振替表!$O$5:$O$3507,$L2250)&amp;""))</f>
        <v/>
      </c>
      <c r="F2250" s="52" t="str">
        <f aca="false">IF(L2250="","",INDEX(ポート振替表!$K$5:$K$3507,$L2250)&amp;" "&amp;INDEX(ポート振替表!$L$5:$L$3507,$L2250)&amp;"  ⇔  "&amp;INDEX(ポート振替表!$H$5:$H$3507,$L2250)&amp;" "&amp;INDEX(ポート振替表!$I$5:$I$3507,$L2250))</f>
        <v/>
      </c>
      <c r="G2250" s="57" t="s">
        <v>158</v>
      </c>
      <c r="H2250" s="32" t="str">
        <f aca="false">IF(L2250="","",INDEX(ポート振替表!$N$5:$N$3507,$L2250)&amp;"")</f>
        <v/>
      </c>
      <c r="I2250" s="32" t="str">
        <f aca="false">IF(L2250="","",INDEX(ポート振替表!$P$5:$P$3507,$L2250)&amp;"")</f>
        <v/>
      </c>
      <c r="J2250" s="60" t="str">
        <f aca="false">IF(L2250="","",INDEX(ポート振替表!$M$5:$M$3507,$L2250)&amp;"")</f>
        <v/>
      </c>
      <c r="K2250" s="52" t="str">
        <f aca="false">IF(L2250="","",E2250&amp;CHAR(10)&amp;INDEX(ポート振替表!$K$5:$K$3507,$L2250)&amp;" "&amp;INDEX(ポート振替表!$L$5:$L$3507,$L2250)&amp;CHAR(10)&amp;"⇔ "&amp;INDEX(ポート振替表!$H$5:$H$3507,$L2250)&amp;" "&amp;INDEX(ポート振替表!$I$5:$I$3507,$L2250))</f>
        <v/>
      </c>
      <c r="L2250" s="47" t="str">
        <f aca="false">IFERROR(MATCH(ROW()-4,ポート振替表!$V$5:$V$3507,0),"")</f>
        <v/>
      </c>
    </row>
    <row r="2251" customFormat="false" ht="16.4" hidden="false" customHeight="false" outlineLevel="0" collapsed="false">
      <c r="A2251" s="32" t="str">
        <f aca="false">IF(L2251="","",ROW()-4)</f>
        <v/>
      </c>
      <c r="B2251" s="58" t="str">
        <f aca="false">IF(L2251="","",IF(INDEX(ポート振替表!$W$5:$W$3507,$L2251)="","(なし)",INDEX(ポート振替表!$W$5:$W$3507,$L2251)&amp;""))</f>
        <v/>
      </c>
      <c r="C2251" s="52" t="str">
        <f aca="false">IF(L2251="","",INDEX(ポート振替表!$B$5:$B$3507,$L2251)&amp;" "&amp;INDEX(ポート振替表!$C$5:$C$3507,$L2251)&amp;"  ⇔  "&amp;INDEX(ポート振替表!$H$5:$H$3507,$L2251)&amp;" "&amp;INDEX(ポート振替表!$I$5:$I$3507,$L2251))</f>
        <v/>
      </c>
      <c r="D2251" s="57" t="s">
        <v>158</v>
      </c>
      <c r="E2251" s="59" t="str">
        <f aca="false">IF(L2251="","",IF(INDEX(ポート振替表!$O$5:$O$3507,$L2251)="","(未設定)",INDEX(ポート振替表!$O$5:$O$3507,$L2251)&amp;""))</f>
        <v/>
      </c>
      <c r="F2251" s="52" t="str">
        <f aca="false">IF(L2251="","",INDEX(ポート振替表!$K$5:$K$3507,$L2251)&amp;" "&amp;INDEX(ポート振替表!$L$5:$L$3507,$L2251)&amp;"  ⇔  "&amp;INDEX(ポート振替表!$H$5:$H$3507,$L2251)&amp;" "&amp;INDEX(ポート振替表!$I$5:$I$3507,$L2251))</f>
        <v/>
      </c>
      <c r="G2251" s="57" t="s">
        <v>158</v>
      </c>
      <c r="H2251" s="32" t="str">
        <f aca="false">IF(L2251="","",INDEX(ポート振替表!$N$5:$N$3507,$L2251)&amp;"")</f>
        <v/>
      </c>
      <c r="I2251" s="32" t="str">
        <f aca="false">IF(L2251="","",INDEX(ポート振替表!$P$5:$P$3507,$L2251)&amp;"")</f>
        <v/>
      </c>
      <c r="J2251" s="60" t="str">
        <f aca="false">IF(L2251="","",INDEX(ポート振替表!$M$5:$M$3507,$L2251)&amp;"")</f>
        <v/>
      </c>
      <c r="K2251" s="52" t="str">
        <f aca="false">IF(L2251="","",E2251&amp;CHAR(10)&amp;INDEX(ポート振替表!$K$5:$K$3507,$L2251)&amp;" "&amp;INDEX(ポート振替表!$L$5:$L$3507,$L2251)&amp;CHAR(10)&amp;"⇔ "&amp;INDEX(ポート振替表!$H$5:$H$3507,$L2251)&amp;" "&amp;INDEX(ポート振替表!$I$5:$I$3507,$L2251))</f>
        <v/>
      </c>
      <c r="L2251" s="47" t="str">
        <f aca="false">IFERROR(MATCH(ROW()-4,ポート振替表!$V$5:$V$3507,0),"")</f>
        <v/>
      </c>
    </row>
    <row r="2252" customFormat="false" ht="16.4" hidden="false" customHeight="false" outlineLevel="0" collapsed="false">
      <c r="A2252" s="32" t="str">
        <f aca="false">IF(L2252="","",ROW()-4)</f>
        <v/>
      </c>
      <c r="B2252" s="58" t="str">
        <f aca="false">IF(L2252="","",IF(INDEX(ポート振替表!$W$5:$W$3507,$L2252)="","(なし)",INDEX(ポート振替表!$W$5:$W$3507,$L2252)&amp;""))</f>
        <v/>
      </c>
      <c r="C2252" s="52" t="str">
        <f aca="false">IF(L2252="","",INDEX(ポート振替表!$B$5:$B$3507,$L2252)&amp;" "&amp;INDEX(ポート振替表!$C$5:$C$3507,$L2252)&amp;"  ⇔  "&amp;INDEX(ポート振替表!$H$5:$H$3507,$L2252)&amp;" "&amp;INDEX(ポート振替表!$I$5:$I$3507,$L2252))</f>
        <v/>
      </c>
      <c r="D2252" s="57" t="s">
        <v>158</v>
      </c>
      <c r="E2252" s="59" t="str">
        <f aca="false">IF(L2252="","",IF(INDEX(ポート振替表!$O$5:$O$3507,$L2252)="","(未設定)",INDEX(ポート振替表!$O$5:$O$3507,$L2252)&amp;""))</f>
        <v/>
      </c>
      <c r="F2252" s="52" t="str">
        <f aca="false">IF(L2252="","",INDEX(ポート振替表!$K$5:$K$3507,$L2252)&amp;" "&amp;INDEX(ポート振替表!$L$5:$L$3507,$L2252)&amp;"  ⇔  "&amp;INDEX(ポート振替表!$H$5:$H$3507,$L2252)&amp;" "&amp;INDEX(ポート振替表!$I$5:$I$3507,$L2252))</f>
        <v/>
      </c>
      <c r="G2252" s="57" t="s">
        <v>158</v>
      </c>
      <c r="H2252" s="32" t="str">
        <f aca="false">IF(L2252="","",INDEX(ポート振替表!$N$5:$N$3507,$L2252)&amp;"")</f>
        <v/>
      </c>
      <c r="I2252" s="32" t="str">
        <f aca="false">IF(L2252="","",INDEX(ポート振替表!$P$5:$P$3507,$L2252)&amp;"")</f>
        <v/>
      </c>
      <c r="J2252" s="60" t="str">
        <f aca="false">IF(L2252="","",INDEX(ポート振替表!$M$5:$M$3507,$L2252)&amp;"")</f>
        <v/>
      </c>
      <c r="K2252" s="52" t="str">
        <f aca="false">IF(L2252="","",E2252&amp;CHAR(10)&amp;INDEX(ポート振替表!$K$5:$K$3507,$L2252)&amp;" "&amp;INDEX(ポート振替表!$L$5:$L$3507,$L2252)&amp;CHAR(10)&amp;"⇔ "&amp;INDEX(ポート振替表!$H$5:$H$3507,$L2252)&amp;" "&amp;INDEX(ポート振替表!$I$5:$I$3507,$L2252))</f>
        <v/>
      </c>
      <c r="L2252" s="47" t="str">
        <f aca="false">IFERROR(MATCH(ROW()-4,ポート振替表!$V$5:$V$3507,0),"")</f>
        <v/>
      </c>
    </row>
    <row r="2253" customFormat="false" ht="16.4" hidden="false" customHeight="false" outlineLevel="0" collapsed="false">
      <c r="A2253" s="32" t="str">
        <f aca="false">IF(L2253="","",ROW()-4)</f>
        <v/>
      </c>
      <c r="B2253" s="58" t="str">
        <f aca="false">IF(L2253="","",IF(INDEX(ポート振替表!$W$5:$W$3507,$L2253)="","(なし)",INDEX(ポート振替表!$W$5:$W$3507,$L2253)&amp;""))</f>
        <v/>
      </c>
      <c r="C2253" s="52" t="str">
        <f aca="false">IF(L2253="","",INDEX(ポート振替表!$B$5:$B$3507,$L2253)&amp;" "&amp;INDEX(ポート振替表!$C$5:$C$3507,$L2253)&amp;"  ⇔  "&amp;INDEX(ポート振替表!$H$5:$H$3507,$L2253)&amp;" "&amp;INDEX(ポート振替表!$I$5:$I$3507,$L2253))</f>
        <v/>
      </c>
      <c r="D2253" s="57" t="s">
        <v>158</v>
      </c>
      <c r="E2253" s="59" t="str">
        <f aca="false">IF(L2253="","",IF(INDEX(ポート振替表!$O$5:$O$3507,$L2253)="","(未設定)",INDEX(ポート振替表!$O$5:$O$3507,$L2253)&amp;""))</f>
        <v/>
      </c>
      <c r="F2253" s="52" t="str">
        <f aca="false">IF(L2253="","",INDEX(ポート振替表!$K$5:$K$3507,$L2253)&amp;" "&amp;INDEX(ポート振替表!$L$5:$L$3507,$L2253)&amp;"  ⇔  "&amp;INDEX(ポート振替表!$H$5:$H$3507,$L2253)&amp;" "&amp;INDEX(ポート振替表!$I$5:$I$3507,$L2253))</f>
        <v/>
      </c>
      <c r="G2253" s="57" t="s">
        <v>158</v>
      </c>
      <c r="H2253" s="32" t="str">
        <f aca="false">IF(L2253="","",INDEX(ポート振替表!$N$5:$N$3507,$L2253)&amp;"")</f>
        <v/>
      </c>
      <c r="I2253" s="32" t="str">
        <f aca="false">IF(L2253="","",INDEX(ポート振替表!$P$5:$P$3507,$L2253)&amp;"")</f>
        <v/>
      </c>
      <c r="J2253" s="60" t="str">
        <f aca="false">IF(L2253="","",INDEX(ポート振替表!$M$5:$M$3507,$L2253)&amp;"")</f>
        <v/>
      </c>
      <c r="K2253" s="52" t="str">
        <f aca="false">IF(L2253="","",E2253&amp;CHAR(10)&amp;INDEX(ポート振替表!$K$5:$K$3507,$L2253)&amp;" "&amp;INDEX(ポート振替表!$L$5:$L$3507,$L2253)&amp;CHAR(10)&amp;"⇔ "&amp;INDEX(ポート振替表!$H$5:$H$3507,$L2253)&amp;" "&amp;INDEX(ポート振替表!$I$5:$I$3507,$L2253))</f>
        <v/>
      </c>
      <c r="L2253" s="47" t="str">
        <f aca="false">IFERROR(MATCH(ROW()-4,ポート振替表!$V$5:$V$3507,0),"")</f>
        <v/>
      </c>
    </row>
    <row r="2254" customFormat="false" ht="16.4" hidden="false" customHeight="false" outlineLevel="0" collapsed="false">
      <c r="A2254" s="32" t="str">
        <f aca="false">IF(L2254="","",ROW()-4)</f>
        <v/>
      </c>
      <c r="B2254" s="58" t="str">
        <f aca="false">IF(L2254="","",IF(INDEX(ポート振替表!$W$5:$W$3507,$L2254)="","(なし)",INDEX(ポート振替表!$W$5:$W$3507,$L2254)&amp;""))</f>
        <v/>
      </c>
      <c r="C2254" s="52" t="str">
        <f aca="false">IF(L2254="","",INDEX(ポート振替表!$B$5:$B$3507,$L2254)&amp;" "&amp;INDEX(ポート振替表!$C$5:$C$3507,$L2254)&amp;"  ⇔  "&amp;INDEX(ポート振替表!$H$5:$H$3507,$L2254)&amp;" "&amp;INDEX(ポート振替表!$I$5:$I$3507,$L2254))</f>
        <v/>
      </c>
      <c r="D2254" s="57" t="s">
        <v>158</v>
      </c>
      <c r="E2254" s="59" t="str">
        <f aca="false">IF(L2254="","",IF(INDEX(ポート振替表!$O$5:$O$3507,$L2254)="","(未設定)",INDEX(ポート振替表!$O$5:$O$3507,$L2254)&amp;""))</f>
        <v/>
      </c>
      <c r="F2254" s="52" t="str">
        <f aca="false">IF(L2254="","",INDEX(ポート振替表!$K$5:$K$3507,$L2254)&amp;" "&amp;INDEX(ポート振替表!$L$5:$L$3507,$L2254)&amp;"  ⇔  "&amp;INDEX(ポート振替表!$H$5:$H$3507,$L2254)&amp;" "&amp;INDEX(ポート振替表!$I$5:$I$3507,$L2254))</f>
        <v/>
      </c>
      <c r="G2254" s="57" t="s">
        <v>158</v>
      </c>
      <c r="H2254" s="32" t="str">
        <f aca="false">IF(L2254="","",INDEX(ポート振替表!$N$5:$N$3507,$L2254)&amp;"")</f>
        <v/>
      </c>
      <c r="I2254" s="32" t="str">
        <f aca="false">IF(L2254="","",INDEX(ポート振替表!$P$5:$P$3507,$L2254)&amp;"")</f>
        <v/>
      </c>
      <c r="J2254" s="60" t="str">
        <f aca="false">IF(L2254="","",INDEX(ポート振替表!$M$5:$M$3507,$L2254)&amp;"")</f>
        <v/>
      </c>
      <c r="K2254" s="52" t="str">
        <f aca="false">IF(L2254="","",E2254&amp;CHAR(10)&amp;INDEX(ポート振替表!$K$5:$K$3507,$L2254)&amp;" "&amp;INDEX(ポート振替表!$L$5:$L$3507,$L2254)&amp;CHAR(10)&amp;"⇔ "&amp;INDEX(ポート振替表!$H$5:$H$3507,$L2254)&amp;" "&amp;INDEX(ポート振替表!$I$5:$I$3507,$L2254))</f>
        <v/>
      </c>
      <c r="L2254" s="47" t="str">
        <f aca="false">IFERROR(MATCH(ROW()-4,ポート振替表!$V$5:$V$3507,0),"")</f>
        <v/>
      </c>
    </row>
    <row r="2255" customFormat="false" ht="16.4" hidden="false" customHeight="false" outlineLevel="0" collapsed="false">
      <c r="A2255" s="32" t="str">
        <f aca="false">IF(L2255="","",ROW()-4)</f>
        <v/>
      </c>
      <c r="B2255" s="58" t="str">
        <f aca="false">IF(L2255="","",IF(INDEX(ポート振替表!$W$5:$W$3507,$L2255)="","(なし)",INDEX(ポート振替表!$W$5:$W$3507,$L2255)&amp;""))</f>
        <v/>
      </c>
      <c r="C2255" s="52" t="str">
        <f aca="false">IF(L2255="","",INDEX(ポート振替表!$B$5:$B$3507,$L2255)&amp;" "&amp;INDEX(ポート振替表!$C$5:$C$3507,$L2255)&amp;"  ⇔  "&amp;INDEX(ポート振替表!$H$5:$H$3507,$L2255)&amp;" "&amp;INDEX(ポート振替表!$I$5:$I$3507,$L2255))</f>
        <v/>
      </c>
      <c r="D2255" s="57" t="s">
        <v>158</v>
      </c>
      <c r="E2255" s="59" t="str">
        <f aca="false">IF(L2255="","",IF(INDEX(ポート振替表!$O$5:$O$3507,$L2255)="","(未設定)",INDEX(ポート振替表!$O$5:$O$3507,$L2255)&amp;""))</f>
        <v/>
      </c>
      <c r="F2255" s="52" t="str">
        <f aca="false">IF(L2255="","",INDEX(ポート振替表!$K$5:$K$3507,$L2255)&amp;" "&amp;INDEX(ポート振替表!$L$5:$L$3507,$L2255)&amp;"  ⇔  "&amp;INDEX(ポート振替表!$H$5:$H$3507,$L2255)&amp;" "&amp;INDEX(ポート振替表!$I$5:$I$3507,$L2255))</f>
        <v/>
      </c>
      <c r="G2255" s="57" t="s">
        <v>158</v>
      </c>
      <c r="H2255" s="32" t="str">
        <f aca="false">IF(L2255="","",INDEX(ポート振替表!$N$5:$N$3507,$L2255)&amp;"")</f>
        <v/>
      </c>
      <c r="I2255" s="32" t="str">
        <f aca="false">IF(L2255="","",INDEX(ポート振替表!$P$5:$P$3507,$L2255)&amp;"")</f>
        <v/>
      </c>
      <c r="J2255" s="60" t="str">
        <f aca="false">IF(L2255="","",INDEX(ポート振替表!$M$5:$M$3507,$L2255)&amp;"")</f>
        <v/>
      </c>
      <c r="K2255" s="52" t="str">
        <f aca="false">IF(L2255="","",E2255&amp;CHAR(10)&amp;INDEX(ポート振替表!$K$5:$K$3507,$L2255)&amp;" "&amp;INDEX(ポート振替表!$L$5:$L$3507,$L2255)&amp;CHAR(10)&amp;"⇔ "&amp;INDEX(ポート振替表!$H$5:$H$3507,$L2255)&amp;" "&amp;INDEX(ポート振替表!$I$5:$I$3507,$L2255))</f>
        <v/>
      </c>
      <c r="L2255" s="47" t="str">
        <f aca="false">IFERROR(MATCH(ROW()-4,ポート振替表!$V$5:$V$3507,0),"")</f>
        <v/>
      </c>
    </row>
    <row r="2256" customFormat="false" ht="16.4" hidden="false" customHeight="false" outlineLevel="0" collapsed="false">
      <c r="A2256" s="32" t="str">
        <f aca="false">IF(L2256="","",ROW()-4)</f>
        <v/>
      </c>
      <c r="B2256" s="58" t="str">
        <f aca="false">IF(L2256="","",IF(INDEX(ポート振替表!$W$5:$W$3507,$L2256)="","(なし)",INDEX(ポート振替表!$W$5:$W$3507,$L2256)&amp;""))</f>
        <v/>
      </c>
      <c r="C2256" s="52" t="str">
        <f aca="false">IF(L2256="","",INDEX(ポート振替表!$B$5:$B$3507,$L2256)&amp;" "&amp;INDEX(ポート振替表!$C$5:$C$3507,$L2256)&amp;"  ⇔  "&amp;INDEX(ポート振替表!$H$5:$H$3507,$L2256)&amp;" "&amp;INDEX(ポート振替表!$I$5:$I$3507,$L2256))</f>
        <v/>
      </c>
      <c r="D2256" s="57" t="s">
        <v>158</v>
      </c>
      <c r="E2256" s="59" t="str">
        <f aca="false">IF(L2256="","",IF(INDEX(ポート振替表!$O$5:$O$3507,$L2256)="","(未設定)",INDEX(ポート振替表!$O$5:$O$3507,$L2256)&amp;""))</f>
        <v/>
      </c>
      <c r="F2256" s="52" t="str">
        <f aca="false">IF(L2256="","",INDEX(ポート振替表!$K$5:$K$3507,$L2256)&amp;" "&amp;INDEX(ポート振替表!$L$5:$L$3507,$L2256)&amp;"  ⇔  "&amp;INDEX(ポート振替表!$H$5:$H$3507,$L2256)&amp;" "&amp;INDEX(ポート振替表!$I$5:$I$3507,$L2256))</f>
        <v/>
      </c>
      <c r="G2256" s="57" t="s">
        <v>158</v>
      </c>
      <c r="H2256" s="32" t="str">
        <f aca="false">IF(L2256="","",INDEX(ポート振替表!$N$5:$N$3507,$L2256)&amp;"")</f>
        <v/>
      </c>
      <c r="I2256" s="32" t="str">
        <f aca="false">IF(L2256="","",INDEX(ポート振替表!$P$5:$P$3507,$L2256)&amp;"")</f>
        <v/>
      </c>
      <c r="J2256" s="60" t="str">
        <f aca="false">IF(L2256="","",INDEX(ポート振替表!$M$5:$M$3507,$L2256)&amp;"")</f>
        <v/>
      </c>
      <c r="K2256" s="52" t="str">
        <f aca="false">IF(L2256="","",E2256&amp;CHAR(10)&amp;INDEX(ポート振替表!$K$5:$K$3507,$L2256)&amp;" "&amp;INDEX(ポート振替表!$L$5:$L$3507,$L2256)&amp;CHAR(10)&amp;"⇔ "&amp;INDEX(ポート振替表!$H$5:$H$3507,$L2256)&amp;" "&amp;INDEX(ポート振替表!$I$5:$I$3507,$L2256))</f>
        <v/>
      </c>
      <c r="L2256" s="47" t="str">
        <f aca="false">IFERROR(MATCH(ROW()-4,ポート振替表!$V$5:$V$3507,0),"")</f>
        <v/>
      </c>
    </row>
    <row r="2257" customFormat="false" ht="16.4" hidden="false" customHeight="false" outlineLevel="0" collapsed="false">
      <c r="A2257" s="32" t="str">
        <f aca="false">IF(L2257="","",ROW()-4)</f>
        <v/>
      </c>
      <c r="B2257" s="58" t="str">
        <f aca="false">IF(L2257="","",IF(INDEX(ポート振替表!$W$5:$W$3507,$L2257)="","(なし)",INDEX(ポート振替表!$W$5:$W$3507,$L2257)&amp;""))</f>
        <v/>
      </c>
      <c r="C2257" s="52" t="str">
        <f aca="false">IF(L2257="","",INDEX(ポート振替表!$B$5:$B$3507,$L2257)&amp;" "&amp;INDEX(ポート振替表!$C$5:$C$3507,$L2257)&amp;"  ⇔  "&amp;INDEX(ポート振替表!$H$5:$H$3507,$L2257)&amp;" "&amp;INDEX(ポート振替表!$I$5:$I$3507,$L2257))</f>
        <v/>
      </c>
      <c r="D2257" s="57" t="s">
        <v>158</v>
      </c>
      <c r="E2257" s="59" t="str">
        <f aca="false">IF(L2257="","",IF(INDEX(ポート振替表!$O$5:$O$3507,$L2257)="","(未設定)",INDEX(ポート振替表!$O$5:$O$3507,$L2257)&amp;""))</f>
        <v/>
      </c>
      <c r="F2257" s="52" t="str">
        <f aca="false">IF(L2257="","",INDEX(ポート振替表!$K$5:$K$3507,$L2257)&amp;" "&amp;INDEX(ポート振替表!$L$5:$L$3507,$L2257)&amp;"  ⇔  "&amp;INDEX(ポート振替表!$H$5:$H$3507,$L2257)&amp;" "&amp;INDEX(ポート振替表!$I$5:$I$3507,$L2257))</f>
        <v/>
      </c>
      <c r="G2257" s="57" t="s">
        <v>158</v>
      </c>
      <c r="H2257" s="32" t="str">
        <f aca="false">IF(L2257="","",INDEX(ポート振替表!$N$5:$N$3507,$L2257)&amp;"")</f>
        <v/>
      </c>
      <c r="I2257" s="32" t="str">
        <f aca="false">IF(L2257="","",INDEX(ポート振替表!$P$5:$P$3507,$L2257)&amp;"")</f>
        <v/>
      </c>
      <c r="J2257" s="60" t="str">
        <f aca="false">IF(L2257="","",INDEX(ポート振替表!$M$5:$M$3507,$L2257)&amp;"")</f>
        <v/>
      </c>
      <c r="K2257" s="52" t="str">
        <f aca="false">IF(L2257="","",E2257&amp;CHAR(10)&amp;INDEX(ポート振替表!$K$5:$K$3507,$L2257)&amp;" "&amp;INDEX(ポート振替表!$L$5:$L$3507,$L2257)&amp;CHAR(10)&amp;"⇔ "&amp;INDEX(ポート振替表!$H$5:$H$3507,$L2257)&amp;" "&amp;INDEX(ポート振替表!$I$5:$I$3507,$L2257))</f>
        <v/>
      </c>
      <c r="L2257" s="47" t="str">
        <f aca="false">IFERROR(MATCH(ROW()-4,ポート振替表!$V$5:$V$3507,0),"")</f>
        <v/>
      </c>
    </row>
    <row r="2258" customFormat="false" ht="16.4" hidden="false" customHeight="false" outlineLevel="0" collapsed="false">
      <c r="A2258" s="32" t="str">
        <f aca="false">IF(L2258="","",ROW()-4)</f>
        <v/>
      </c>
      <c r="B2258" s="58" t="str">
        <f aca="false">IF(L2258="","",IF(INDEX(ポート振替表!$W$5:$W$3507,$L2258)="","(なし)",INDEX(ポート振替表!$W$5:$W$3507,$L2258)&amp;""))</f>
        <v/>
      </c>
      <c r="C2258" s="52" t="str">
        <f aca="false">IF(L2258="","",INDEX(ポート振替表!$B$5:$B$3507,$L2258)&amp;" "&amp;INDEX(ポート振替表!$C$5:$C$3507,$L2258)&amp;"  ⇔  "&amp;INDEX(ポート振替表!$H$5:$H$3507,$L2258)&amp;" "&amp;INDEX(ポート振替表!$I$5:$I$3507,$L2258))</f>
        <v/>
      </c>
      <c r="D2258" s="57" t="s">
        <v>158</v>
      </c>
      <c r="E2258" s="59" t="str">
        <f aca="false">IF(L2258="","",IF(INDEX(ポート振替表!$O$5:$O$3507,$L2258)="","(未設定)",INDEX(ポート振替表!$O$5:$O$3507,$L2258)&amp;""))</f>
        <v/>
      </c>
      <c r="F2258" s="52" t="str">
        <f aca="false">IF(L2258="","",INDEX(ポート振替表!$K$5:$K$3507,$L2258)&amp;" "&amp;INDEX(ポート振替表!$L$5:$L$3507,$L2258)&amp;"  ⇔  "&amp;INDEX(ポート振替表!$H$5:$H$3507,$L2258)&amp;" "&amp;INDEX(ポート振替表!$I$5:$I$3507,$L2258))</f>
        <v/>
      </c>
      <c r="G2258" s="57" t="s">
        <v>158</v>
      </c>
      <c r="H2258" s="32" t="str">
        <f aca="false">IF(L2258="","",INDEX(ポート振替表!$N$5:$N$3507,$L2258)&amp;"")</f>
        <v/>
      </c>
      <c r="I2258" s="32" t="str">
        <f aca="false">IF(L2258="","",INDEX(ポート振替表!$P$5:$P$3507,$L2258)&amp;"")</f>
        <v/>
      </c>
      <c r="J2258" s="60" t="str">
        <f aca="false">IF(L2258="","",INDEX(ポート振替表!$M$5:$M$3507,$L2258)&amp;"")</f>
        <v/>
      </c>
      <c r="K2258" s="52" t="str">
        <f aca="false">IF(L2258="","",E2258&amp;CHAR(10)&amp;INDEX(ポート振替表!$K$5:$K$3507,$L2258)&amp;" "&amp;INDEX(ポート振替表!$L$5:$L$3507,$L2258)&amp;CHAR(10)&amp;"⇔ "&amp;INDEX(ポート振替表!$H$5:$H$3507,$L2258)&amp;" "&amp;INDEX(ポート振替表!$I$5:$I$3507,$L2258))</f>
        <v/>
      </c>
      <c r="L2258" s="47" t="str">
        <f aca="false">IFERROR(MATCH(ROW()-4,ポート振替表!$V$5:$V$3507,0),"")</f>
        <v/>
      </c>
    </row>
    <row r="2259" customFormat="false" ht="16.4" hidden="false" customHeight="false" outlineLevel="0" collapsed="false">
      <c r="A2259" s="32" t="str">
        <f aca="false">IF(L2259="","",ROW()-4)</f>
        <v/>
      </c>
      <c r="B2259" s="58" t="str">
        <f aca="false">IF(L2259="","",IF(INDEX(ポート振替表!$W$5:$W$3507,$L2259)="","(なし)",INDEX(ポート振替表!$W$5:$W$3507,$L2259)&amp;""))</f>
        <v/>
      </c>
      <c r="C2259" s="52" t="str">
        <f aca="false">IF(L2259="","",INDEX(ポート振替表!$B$5:$B$3507,$L2259)&amp;" "&amp;INDEX(ポート振替表!$C$5:$C$3507,$L2259)&amp;"  ⇔  "&amp;INDEX(ポート振替表!$H$5:$H$3507,$L2259)&amp;" "&amp;INDEX(ポート振替表!$I$5:$I$3507,$L2259))</f>
        <v/>
      </c>
      <c r="D2259" s="57" t="s">
        <v>158</v>
      </c>
      <c r="E2259" s="59" t="str">
        <f aca="false">IF(L2259="","",IF(INDEX(ポート振替表!$O$5:$O$3507,$L2259)="","(未設定)",INDEX(ポート振替表!$O$5:$O$3507,$L2259)&amp;""))</f>
        <v/>
      </c>
      <c r="F2259" s="52" t="str">
        <f aca="false">IF(L2259="","",INDEX(ポート振替表!$K$5:$K$3507,$L2259)&amp;" "&amp;INDEX(ポート振替表!$L$5:$L$3507,$L2259)&amp;"  ⇔  "&amp;INDEX(ポート振替表!$H$5:$H$3507,$L2259)&amp;" "&amp;INDEX(ポート振替表!$I$5:$I$3507,$L2259))</f>
        <v/>
      </c>
      <c r="G2259" s="57" t="s">
        <v>158</v>
      </c>
      <c r="H2259" s="32" t="str">
        <f aca="false">IF(L2259="","",INDEX(ポート振替表!$N$5:$N$3507,$L2259)&amp;"")</f>
        <v/>
      </c>
      <c r="I2259" s="32" t="str">
        <f aca="false">IF(L2259="","",INDEX(ポート振替表!$P$5:$P$3507,$L2259)&amp;"")</f>
        <v/>
      </c>
      <c r="J2259" s="60" t="str">
        <f aca="false">IF(L2259="","",INDEX(ポート振替表!$M$5:$M$3507,$L2259)&amp;"")</f>
        <v/>
      </c>
      <c r="K2259" s="52" t="str">
        <f aca="false">IF(L2259="","",E2259&amp;CHAR(10)&amp;INDEX(ポート振替表!$K$5:$K$3507,$L2259)&amp;" "&amp;INDEX(ポート振替表!$L$5:$L$3507,$L2259)&amp;CHAR(10)&amp;"⇔ "&amp;INDEX(ポート振替表!$H$5:$H$3507,$L2259)&amp;" "&amp;INDEX(ポート振替表!$I$5:$I$3507,$L2259))</f>
        <v/>
      </c>
      <c r="L2259" s="47" t="str">
        <f aca="false">IFERROR(MATCH(ROW()-4,ポート振替表!$V$5:$V$3507,0),"")</f>
        <v/>
      </c>
    </row>
    <row r="2260" customFormat="false" ht="16.4" hidden="false" customHeight="false" outlineLevel="0" collapsed="false">
      <c r="A2260" s="32" t="str">
        <f aca="false">IF(L2260="","",ROW()-4)</f>
        <v/>
      </c>
      <c r="B2260" s="58" t="str">
        <f aca="false">IF(L2260="","",IF(INDEX(ポート振替表!$W$5:$W$3507,$L2260)="","(なし)",INDEX(ポート振替表!$W$5:$W$3507,$L2260)&amp;""))</f>
        <v/>
      </c>
      <c r="C2260" s="52" t="str">
        <f aca="false">IF(L2260="","",INDEX(ポート振替表!$B$5:$B$3507,$L2260)&amp;" "&amp;INDEX(ポート振替表!$C$5:$C$3507,$L2260)&amp;"  ⇔  "&amp;INDEX(ポート振替表!$H$5:$H$3507,$L2260)&amp;" "&amp;INDEX(ポート振替表!$I$5:$I$3507,$L2260))</f>
        <v/>
      </c>
      <c r="D2260" s="57" t="s">
        <v>158</v>
      </c>
      <c r="E2260" s="59" t="str">
        <f aca="false">IF(L2260="","",IF(INDEX(ポート振替表!$O$5:$O$3507,$L2260)="","(未設定)",INDEX(ポート振替表!$O$5:$O$3507,$L2260)&amp;""))</f>
        <v/>
      </c>
      <c r="F2260" s="52" t="str">
        <f aca="false">IF(L2260="","",INDEX(ポート振替表!$K$5:$K$3507,$L2260)&amp;" "&amp;INDEX(ポート振替表!$L$5:$L$3507,$L2260)&amp;"  ⇔  "&amp;INDEX(ポート振替表!$H$5:$H$3507,$L2260)&amp;" "&amp;INDEX(ポート振替表!$I$5:$I$3507,$L2260))</f>
        <v/>
      </c>
      <c r="G2260" s="57" t="s">
        <v>158</v>
      </c>
      <c r="H2260" s="32" t="str">
        <f aca="false">IF(L2260="","",INDEX(ポート振替表!$N$5:$N$3507,$L2260)&amp;"")</f>
        <v/>
      </c>
      <c r="I2260" s="32" t="str">
        <f aca="false">IF(L2260="","",INDEX(ポート振替表!$P$5:$P$3507,$L2260)&amp;"")</f>
        <v/>
      </c>
      <c r="J2260" s="60" t="str">
        <f aca="false">IF(L2260="","",INDEX(ポート振替表!$M$5:$M$3507,$L2260)&amp;"")</f>
        <v/>
      </c>
      <c r="K2260" s="52" t="str">
        <f aca="false">IF(L2260="","",E2260&amp;CHAR(10)&amp;INDEX(ポート振替表!$K$5:$K$3507,$L2260)&amp;" "&amp;INDEX(ポート振替表!$L$5:$L$3507,$L2260)&amp;CHAR(10)&amp;"⇔ "&amp;INDEX(ポート振替表!$H$5:$H$3507,$L2260)&amp;" "&amp;INDEX(ポート振替表!$I$5:$I$3507,$L2260))</f>
        <v/>
      </c>
      <c r="L2260" s="47" t="str">
        <f aca="false">IFERROR(MATCH(ROW()-4,ポート振替表!$V$5:$V$3507,0),"")</f>
        <v/>
      </c>
    </row>
    <row r="2261" customFormat="false" ht="16.4" hidden="false" customHeight="false" outlineLevel="0" collapsed="false">
      <c r="A2261" s="32" t="str">
        <f aca="false">IF(L2261="","",ROW()-4)</f>
        <v/>
      </c>
      <c r="B2261" s="58" t="str">
        <f aca="false">IF(L2261="","",IF(INDEX(ポート振替表!$W$5:$W$3507,$L2261)="","(なし)",INDEX(ポート振替表!$W$5:$W$3507,$L2261)&amp;""))</f>
        <v/>
      </c>
      <c r="C2261" s="52" t="str">
        <f aca="false">IF(L2261="","",INDEX(ポート振替表!$B$5:$B$3507,$L2261)&amp;" "&amp;INDEX(ポート振替表!$C$5:$C$3507,$L2261)&amp;"  ⇔  "&amp;INDEX(ポート振替表!$H$5:$H$3507,$L2261)&amp;" "&amp;INDEX(ポート振替表!$I$5:$I$3507,$L2261))</f>
        <v/>
      </c>
      <c r="D2261" s="57" t="s">
        <v>158</v>
      </c>
      <c r="E2261" s="59" t="str">
        <f aca="false">IF(L2261="","",IF(INDEX(ポート振替表!$O$5:$O$3507,$L2261)="","(未設定)",INDEX(ポート振替表!$O$5:$O$3507,$L2261)&amp;""))</f>
        <v/>
      </c>
      <c r="F2261" s="52" t="str">
        <f aca="false">IF(L2261="","",INDEX(ポート振替表!$K$5:$K$3507,$L2261)&amp;" "&amp;INDEX(ポート振替表!$L$5:$L$3507,$L2261)&amp;"  ⇔  "&amp;INDEX(ポート振替表!$H$5:$H$3507,$L2261)&amp;" "&amp;INDEX(ポート振替表!$I$5:$I$3507,$L2261))</f>
        <v/>
      </c>
      <c r="G2261" s="57" t="s">
        <v>158</v>
      </c>
      <c r="H2261" s="32" t="str">
        <f aca="false">IF(L2261="","",INDEX(ポート振替表!$N$5:$N$3507,$L2261)&amp;"")</f>
        <v/>
      </c>
      <c r="I2261" s="32" t="str">
        <f aca="false">IF(L2261="","",INDEX(ポート振替表!$P$5:$P$3507,$L2261)&amp;"")</f>
        <v/>
      </c>
      <c r="J2261" s="60" t="str">
        <f aca="false">IF(L2261="","",INDEX(ポート振替表!$M$5:$M$3507,$L2261)&amp;"")</f>
        <v/>
      </c>
      <c r="K2261" s="52" t="str">
        <f aca="false">IF(L2261="","",E2261&amp;CHAR(10)&amp;INDEX(ポート振替表!$K$5:$K$3507,$L2261)&amp;" "&amp;INDEX(ポート振替表!$L$5:$L$3507,$L2261)&amp;CHAR(10)&amp;"⇔ "&amp;INDEX(ポート振替表!$H$5:$H$3507,$L2261)&amp;" "&amp;INDEX(ポート振替表!$I$5:$I$3507,$L2261))</f>
        <v/>
      </c>
      <c r="L2261" s="47" t="str">
        <f aca="false">IFERROR(MATCH(ROW()-4,ポート振替表!$V$5:$V$3507,0),"")</f>
        <v/>
      </c>
    </row>
    <row r="2262" customFormat="false" ht="16.4" hidden="false" customHeight="false" outlineLevel="0" collapsed="false">
      <c r="A2262" s="32" t="str">
        <f aca="false">IF(L2262="","",ROW()-4)</f>
        <v/>
      </c>
      <c r="B2262" s="58" t="str">
        <f aca="false">IF(L2262="","",IF(INDEX(ポート振替表!$W$5:$W$3507,$L2262)="","(なし)",INDEX(ポート振替表!$W$5:$W$3507,$L2262)&amp;""))</f>
        <v/>
      </c>
      <c r="C2262" s="52" t="str">
        <f aca="false">IF(L2262="","",INDEX(ポート振替表!$B$5:$B$3507,$L2262)&amp;" "&amp;INDEX(ポート振替表!$C$5:$C$3507,$L2262)&amp;"  ⇔  "&amp;INDEX(ポート振替表!$H$5:$H$3507,$L2262)&amp;" "&amp;INDEX(ポート振替表!$I$5:$I$3507,$L2262))</f>
        <v/>
      </c>
      <c r="D2262" s="57" t="s">
        <v>158</v>
      </c>
      <c r="E2262" s="59" t="str">
        <f aca="false">IF(L2262="","",IF(INDEX(ポート振替表!$O$5:$O$3507,$L2262)="","(未設定)",INDEX(ポート振替表!$O$5:$O$3507,$L2262)&amp;""))</f>
        <v/>
      </c>
      <c r="F2262" s="52" t="str">
        <f aca="false">IF(L2262="","",INDEX(ポート振替表!$K$5:$K$3507,$L2262)&amp;" "&amp;INDEX(ポート振替表!$L$5:$L$3507,$L2262)&amp;"  ⇔  "&amp;INDEX(ポート振替表!$H$5:$H$3507,$L2262)&amp;" "&amp;INDEX(ポート振替表!$I$5:$I$3507,$L2262))</f>
        <v/>
      </c>
      <c r="G2262" s="57" t="s">
        <v>158</v>
      </c>
      <c r="H2262" s="32" t="str">
        <f aca="false">IF(L2262="","",INDEX(ポート振替表!$N$5:$N$3507,$L2262)&amp;"")</f>
        <v/>
      </c>
      <c r="I2262" s="32" t="str">
        <f aca="false">IF(L2262="","",INDEX(ポート振替表!$P$5:$P$3507,$L2262)&amp;"")</f>
        <v/>
      </c>
      <c r="J2262" s="60" t="str">
        <f aca="false">IF(L2262="","",INDEX(ポート振替表!$M$5:$M$3507,$L2262)&amp;"")</f>
        <v/>
      </c>
      <c r="K2262" s="52" t="str">
        <f aca="false">IF(L2262="","",E2262&amp;CHAR(10)&amp;INDEX(ポート振替表!$K$5:$K$3507,$L2262)&amp;" "&amp;INDEX(ポート振替表!$L$5:$L$3507,$L2262)&amp;CHAR(10)&amp;"⇔ "&amp;INDEX(ポート振替表!$H$5:$H$3507,$L2262)&amp;" "&amp;INDEX(ポート振替表!$I$5:$I$3507,$L2262))</f>
        <v/>
      </c>
      <c r="L2262" s="47" t="str">
        <f aca="false">IFERROR(MATCH(ROW()-4,ポート振替表!$V$5:$V$3507,0),"")</f>
        <v/>
      </c>
    </row>
    <row r="2263" customFormat="false" ht="16.4" hidden="false" customHeight="false" outlineLevel="0" collapsed="false">
      <c r="A2263" s="32" t="str">
        <f aca="false">IF(L2263="","",ROW()-4)</f>
        <v/>
      </c>
      <c r="B2263" s="58" t="str">
        <f aca="false">IF(L2263="","",IF(INDEX(ポート振替表!$W$5:$W$3507,$L2263)="","(なし)",INDEX(ポート振替表!$W$5:$W$3507,$L2263)&amp;""))</f>
        <v/>
      </c>
      <c r="C2263" s="52" t="str">
        <f aca="false">IF(L2263="","",INDEX(ポート振替表!$B$5:$B$3507,$L2263)&amp;" "&amp;INDEX(ポート振替表!$C$5:$C$3507,$L2263)&amp;"  ⇔  "&amp;INDEX(ポート振替表!$H$5:$H$3507,$L2263)&amp;" "&amp;INDEX(ポート振替表!$I$5:$I$3507,$L2263))</f>
        <v/>
      </c>
      <c r="D2263" s="57" t="s">
        <v>158</v>
      </c>
      <c r="E2263" s="59" t="str">
        <f aca="false">IF(L2263="","",IF(INDEX(ポート振替表!$O$5:$O$3507,$L2263)="","(未設定)",INDEX(ポート振替表!$O$5:$O$3507,$L2263)&amp;""))</f>
        <v/>
      </c>
      <c r="F2263" s="52" t="str">
        <f aca="false">IF(L2263="","",INDEX(ポート振替表!$K$5:$K$3507,$L2263)&amp;" "&amp;INDEX(ポート振替表!$L$5:$L$3507,$L2263)&amp;"  ⇔  "&amp;INDEX(ポート振替表!$H$5:$H$3507,$L2263)&amp;" "&amp;INDEX(ポート振替表!$I$5:$I$3507,$L2263))</f>
        <v/>
      </c>
      <c r="G2263" s="57" t="s">
        <v>158</v>
      </c>
      <c r="H2263" s="32" t="str">
        <f aca="false">IF(L2263="","",INDEX(ポート振替表!$N$5:$N$3507,$L2263)&amp;"")</f>
        <v/>
      </c>
      <c r="I2263" s="32" t="str">
        <f aca="false">IF(L2263="","",INDEX(ポート振替表!$P$5:$P$3507,$L2263)&amp;"")</f>
        <v/>
      </c>
      <c r="J2263" s="60" t="str">
        <f aca="false">IF(L2263="","",INDEX(ポート振替表!$M$5:$M$3507,$L2263)&amp;"")</f>
        <v/>
      </c>
      <c r="K2263" s="52" t="str">
        <f aca="false">IF(L2263="","",E2263&amp;CHAR(10)&amp;INDEX(ポート振替表!$K$5:$K$3507,$L2263)&amp;" "&amp;INDEX(ポート振替表!$L$5:$L$3507,$L2263)&amp;CHAR(10)&amp;"⇔ "&amp;INDEX(ポート振替表!$H$5:$H$3507,$L2263)&amp;" "&amp;INDEX(ポート振替表!$I$5:$I$3507,$L2263))</f>
        <v/>
      </c>
      <c r="L2263" s="47" t="str">
        <f aca="false">IFERROR(MATCH(ROW()-4,ポート振替表!$V$5:$V$3507,0),"")</f>
        <v/>
      </c>
    </row>
    <row r="2264" customFormat="false" ht="16.4" hidden="false" customHeight="false" outlineLevel="0" collapsed="false">
      <c r="A2264" s="32" t="str">
        <f aca="false">IF(L2264="","",ROW()-4)</f>
        <v/>
      </c>
      <c r="B2264" s="58" t="str">
        <f aca="false">IF(L2264="","",IF(INDEX(ポート振替表!$W$5:$W$3507,$L2264)="","(なし)",INDEX(ポート振替表!$W$5:$W$3507,$L2264)&amp;""))</f>
        <v/>
      </c>
      <c r="C2264" s="52" t="str">
        <f aca="false">IF(L2264="","",INDEX(ポート振替表!$B$5:$B$3507,$L2264)&amp;" "&amp;INDEX(ポート振替表!$C$5:$C$3507,$L2264)&amp;"  ⇔  "&amp;INDEX(ポート振替表!$H$5:$H$3507,$L2264)&amp;" "&amp;INDEX(ポート振替表!$I$5:$I$3507,$L2264))</f>
        <v/>
      </c>
      <c r="D2264" s="57" t="s">
        <v>158</v>
      </c>
      <c r="E2264" s="59" t="str">
        <f aca="false">IF(L2264="","",IF(INDEX(ポート振替表!$O$5:$O$3507,$L2264)="","(未設定)",INDEX(ポート振替表!$O$5:$O$3507,$L2264)&amp;""))</f>
        <v/>
      </c>
      <c r="F2264" s="52" t="str">
        <f aca="false">IF(L2264="","",INDEX(ポート振替表!$K$5:$K$3507,$L2264)&amp;" "&amp;INDEX(ポート振替表!$L$5:$L$3507,$L2264)&amp;"  ⇔  "&amp;INDEX(ポート振替表!$H$5:$H$3507,$L2264)&amp;" "&amp;INDEX(ポート振替表!$I$5:$I$3507,$L2264))</f>
        <v/>
      </c>
      <c r="G2264" s="57" t="s">
        <v>158</v>
      </c>
      <c r="H2264" s="32" t="str">
        <f aca="false">IF(L2264="","",INDEX(ポート振替表!$N$5:$N$3507,$L2264)&amp;"")</f>
        <v/>
      </c>
      <c r="I2264" s="32" t="str">
        <f aca="false">IF(L2264="","",INDEX(ポート振替表!$P$5:$P$3507,$L2264)&amp;"")</f>
        <v/>
      </c>
      <c r="J2264" s="60" t="str">
        <f aca="false">IF(L2264="","",INDEX(ポート振替表!$M$5:$M$3507,$L2264)&amp;"")</f>
        <v/>
      </c>
      <c r="K2264" s="52" t="str">
        <f aca="false">IF(L2264="","",E2264&amp;CHAR(10)&amp;INDEX(ポート振替表!$K$5:$K$3507,$L2264)&amp;" "&amp;INDEX(ポート振替表!$L$5:$L$3507,$L2264)&amp;CHAR(10)&amp;"⇔ "&amp;INDEX(ポート振替表!$H$5:$H$3507,$L2264)&amp;" "&amp;INDEX(ポート振替表!$I$5:$I$3507,$L2264))</f>
        <v/>
      </c>
      <c r="L2264" s="47" t="str">
        <f aca="false">IFERROR(MATCH(ROW()-4,ポート振替表!$V$5:$V$3507,0),"")</f>
        <v/>
      </c>
    </row>
    <row r="2265" customFormat="false" ht="16.4" hidden="false" customHeight="false" outlineLevel="0" collapsed="false">
      <c r="A2265" s="32" t="str">
        <f aca="false">IF(L2265="","",ROW()-4)</f>
        <v/>
      </c>
      <c r="B2265" s="58" t="str">
        <f aca="false">IF(L2265="","",IF(INDEX(ポート振替表!$W$5:$W$3507,$L2265)="","(なし)",INDEX(ポート振替表!$W$5:$W$3507,$L2265)&amp;""))</f>
        <v/>
      </c>
      <c r="C2265" s="52" t="str">
        <f aca="false">IF(L2265="","",INDEX(ポート振替表!$B$5:$B$3507,$L2265)&amp;" "&amp;INDEX(ポート振替表!$C$5:$C$3507,$L2265)&amp;"  ⇔  "&amp;INDEX(ポート振替表!$H$5:$H$3507,$L2265)&amp;" "&amp;INDEX(ポート振替表!$I$5:$I$3507,$L2265))</f>
        <v/>
      </c>
      <c r="D2265" s="57" t="s">
        <v>158</v>
      </c>
      <c r="E2265" s="59" t="str">
        <f aca="false">IF(L2265="","",IF(INDEX(ポート振替表!$O$5:$O$3507,$L2265)="","(未設定)",INDEX(ポート振替表!$O$5:$O$3507,$L2265)&amp;""))</f>
        <v/>
      </c>
      <c r="F2265" s="52" t="str">
        <f aca="false">IF(L2265="","",INDEX(ポート振替表!$K$5:$K$3507,$L2265)&amp;" "&amp;INDEX(ポート振替表!$L$5:$L$3507,$L2265)&amp;"  ⇔  "&amp;INDEX(ポート振替表!$H$5:$H$3507,$L2265)&amp;" "&amp;INDEX(ポート振替表!$I$5:$I$3507,$L2265))</f>
        <v/>
      </c>
      <c r="G2265" s="57" t="s">
        <v>158</v>
      </c>
      <c r="H2265" s="32" t="str">
        <f aca="false">IF(L2265="","",INDEX(ポート振替表!$N$5:$N$3507,$L2265)&amp;"")</f>
        <v/>
      </c>
      <c r="I2265" s="32" t="str">
        <f aca="false">IF(L2265="","",INDEX(ポート振替表!$P$5:$P$3507,$L2265)&amp;"")</f>
        <v/>
      </c>
      <c r="J2265" s="60" t="str">
        <f aca="false">IF(L2265="","",INDEX(ポート振替表!$M$5:$M$3507,$L2265)&amp;"")</f>
        <v/>
      </c>
      <c r="K2265" s="52" t="str">
        <f aca="false">IF(L2265="","",E2265&amp;CHAR(10)&amp;INDEX(ポート振替表!$K$5:$K$3507,$L2265)&amp;" "&amp;INDEX(ポート振替表!$L$5:$L$3507,$L2265)&amp;CHAR(10)&amp;"⇔ "&amp;INDEX(ポート振替表!$H$5:$H$3507,$L2265)&amp;" "&amp;INDEX(ポート振替表!$I$5:$I$3507,$L2265))</f>
        <v/>
      </c>
      <c r="L2265" s="47" t="str">
        <f aca="false">IFERROR(MATCH(ROW()-4,ポート振替表!$V$5:$V$3507,0),"")</f>
        <v/>
      </c>
    </row>
    <row r="2266" customFormat="false" ht="16.4" hidden="false" customHeight="false" outlineLevel="0" collapsed="false">
      <c r="A2266" s="32" t="str">
        <f aca="false">IF(L2266="","",ROW()-4)</f>
        <v/>
      </c>
      <c r="B2266" s="58" t="str">
        <f aca="false">IF(L2266="","",IF(INDEX(ポート振替表!$W$5:$W$3507,$L2266)="","(なし)",INDEX(ポート振替表!$W$5:$W$3507,$L2266)&amp;""))</f>
        <v/>
      </c>
      <c r="C2266" s="52" t="str">
        <f aca="false">IF(L2266="","",INDEX(ポート振替表!$B$5:$B$3507,$L2266)&amp;" "&amp;INDEX(ポート振替表!$C$5:$C$3507,$L2266)&amp;"  ⇔  "&amp;INDEX(ポート振替表!$H$5:$H$3507,$L2266)&amp;" "&amp;INDEX(ポート振替表!$I$5:$I$3507,$L2266))</f>
        <v/>
      </c>
      <c r="D2266" s="57" t="s">
        <v>158</v>
      </c>
      <c r="E2266" s="59" t="str">
        <f aca="false">IF(L2266="","",IF(INDEX(ポート振替表!$O$5:$O$3507,$L2266)="","(未設定)",INDEX(ポート振替表!$O$5:$O$3507,$L2266)&amp;""))</f>
        <v/>
      </c>
      <c r="F2266" s="52" t="str">
        <f aca="false">IF(L2266="","",INDEX(ポート振替表!$K$5:$K$3507,$L2266)&amp;" "&amp;INDEX(ポート振替表!$L$5:$L$3507,$L2266)&amp;"  ⇔  "&amp;INDEX(ポート振替表!$H$5:$H$3507,$L2266)&amp;" "&amp;INDEX(ポート振替表!$I$5:$I$3507,$L2266))</f>
        <v/>
      </c>
      <c r="G2266" s="57" t="s">
        <v>158</v>
      </c>
      <c r="H2266" s="32" t="str">
        <f aca="false">IF(L2266="","",INDEX(ポート振替表!$N$5:$N$3507,$L2266)&amp;"")</f>
        <v/>
      </c>
      <c r="I2266" s="32" t="str">
        <f aca="false">IF(L2266="","",INDEX(ポート振替表!$P$5:$P$3507,$L2266)&amp;"")</f>
        <v/>
      </c>
      <c r="J2266" s="60" t="str">
        <f aca="false">IF(L2266="","",INDEX(ポート振替表!$M$5:$M$3507,$L2266)&amp;"")</f>
        <v/>
      </c>
      <c r="K2266" s="52" t="str">
        <f aca="false">IF(L2266="","",E2266&amp;CHAR(10)&amp;INDEX(ポート振替表!$K$5:$K$3507,$L2266)&amp;" "&amp;INDEX(ポート振替表!$L$5:$L$3507,$L2266)&amp;CHAR(10)&amp;"⇔ "&amp;INDEX(ポート振替表!$H$5:$H$3507,$L2266)&amp;" "&amp;INDEX(ポート振替表!$I$5:$I$3507,$L2266))</f>
        <v/>
      </c>
      <c r="L2266" s="47" t="str">
        <f aca="false">IFERROR(MATCH(ROW()-4,ポート振替表!$V$5:$V$3507,0),"")</f>
        <v/>
      </c>
    </row>
    <row r="2267" customFormat="false" ht="16.4" hidden="false" customHeight="false" outlineLevel="0" collapsed="false">
      <c r="A2267" s="32" t="str">
        <f aca="false">IF(L2267="","",ROW()-4)</f>
        <v/>
      </c>
      <c r="B2267" s="58" t="str">
        <f aca="false">IF(L2267="","",IF(INDEX(ポート振替表!$W$5:$W$3507,$L2267)="","(なし)",INDEX(ポート振替表!$W$5:$W$3507,$L2267)&amp;""))</f>
        <v/>
      </c>
      <c r="C2267" s="52" t="str">
        <f aca="false">IF(L2267="","",INDEX(ポート振替表!$B$5:$B$3507,$L2267)&amp;" "&amp;INDEX(ポート振替表!$C$5:$C$3507,$L2267)&amp;"  ⇔  "&amp;INDEX(ポート振替表!$H$5:$H$3507,$L2267)&amp;" "&amp;INDEX(ポート振替表!$I$5:$I$3507,$L2267))</f>
        <v/>
      </c>
      <c r="D2267" s="57" t="s">
        <v>158</v>
      </c>
      <c r="E2267" s="59" t="str">
        <f aca="false">IF(L2267="","",IF(INDEX(ポート振替表!$O$5:$O$3507,$L2267)="","(未設定)",INDEX(ポート振替表!$O$5:$O$3507,$L2267)&amp;""))</f>
        <v/>
      </c>
      <c r="F2267" s="52" t="str">
        <f aca="false">IF(L2267="","",INDEX(ポート振替表!$K$5:$K$3507,$L2267)&amp;" "&amp;INDEX(ポート振替表!$L$5:$L$3507,$L2267)&amp;"  ⇔  "&amp;INDEX(ポート振替表!$H$5:$H$3507,$L2267)&amp;" "&amp;INDEX(ポート振替表!$I$5:$I$3507,$L2267))</f>
        <v/>
      </c>
      <c r="G2267" s="57" t="s">
        <v>158</v>
      </c>
      <c r="H2267" s="32" t="str">
        <f aca="false">IF(L2267="","",INDEX(ポート振替表!$N$5:$N$3507,$L2267)&amp;"")</f>
        <v/>
      </c>
      <c r="I2267" s="32" t="str">
        <f aca="false">IF(L2267="","",INDEX(ポート振替表!$P$5:$P$3507,$L2267)&amp;"")</f>
        <v/>
      </c>
      <c r="J2267" s="60" t="str">
        <f aca="false">IF(L2267="","",INDEX(ポート振替表!$M$5:$M$3507,$L2267)&amp;"")</f>
        <v/>
      </c>
      <c r="K2267" s="52" t="str">
        <f aca="false">IF(L2267="","",E2267&amp;CHAR(10)&amp;INDEX(ポート振替表!$K$5:$K$3507,$L2267)&amp;" "&amp;INDEX(ポート振替表!$L$5:$L$3507,$L2267)&amp;CHAR(10)&amp;"⇔ "&amp;INDEX(ポート振替表!$H$5:$H$3507,$L2267)&amp;" "&amp;INDEX(ポート振替表!$I$5:$I$3507,$L2267))</f>
        <v/>
      </c>
      <c r="L2267" s="47" t="str">
        <f aca="false">IFERROR(MATCH(ROW()-4,ポート振替表!$V$5:$V$3507,0),"")</f>
        <v/>
      </c>
    </row>
    <row r="2268" customFormat="false" ht="16.4" hidden="false" customHeight="false" outlineLevel="0" collapsed="false">
      <c r="A2268" s="32" t="str">
        <f aca="false">IF(L2268="","",ROW()-4)</f>
        <v/>
      </c>
      <c r="B2268" s="58" t="str">
        <f aca="false">IF(L2268="","",IF(INDEX(ポート振替表!$W$5:$W$3507,$L2268)="","(なし)",INDEX(ポート振替表!$W$5:$W$3507,$L2268)&amp;""))</f>
        <v/>
      </c>
      <c r="C2268" s="52" t="str">
        <f aca="false">IF(L2268="","",INDEX(ポート振替表!$B$5:$B$3507,$L2268)&amp;" "&amp;INDEX(ポート振替表!$C$5:$C$3507,$L2268)&amp;"  ⇔  "&amp;INDEX(ポート振替表!$H$5:$H$3507,$L2268)&amp;" "&amp;INDEX(ポート振替表!$I$5:$I$3507,$L2268))</f>
        <v/>
      </c>
      <c r="D2268" s="57" t="s">
        <v>158</v>
      </c>
      <c r="E2268" s="59" t="str">
        <f aca="false">IF(L2268="","",IF(INDEX(ポート振替表!$O$5:$O$3507,$L2268)="","(未設定)",INDEX(ポート振替表!$O$5:$O$3507,$L2268)&amp;""))</f>
        <v/>
      </c>
      <c r="F2268" s="52" t="str">
        <f aca="false">IF(L2268="","",INDEX(ポート振替表!$K$5:$K$3507,$L2268)&amp;" "&amp;INDEX(ポート振替表!$L$5:$L$3507,$L2268)&amp;"  ⇔  "&amp;INDEX(ポート振替表!$H$5:$H$3507,$L2268)&amp;" "&amp;INDEX(ポート振替表!$I$5:$I$3507,$L2268))</f>
        <v/>
      </c>
      <c r="G2268" s="57" t="s">
        <v>158</v>
      </c>
      <c r="H2268" s="32" t="str">
        <f aca="false">IF(L2268="","",INDEX(ポート振替表!$N$5:$N$3507,$L2268)&amp;"")</f>
        <v/>
      </c>
      <c r="I2268" s="32" t="str">
        <f aca="false">IF(L2268="","",INDEX(ポート振替表!$P$5:$P$3507,$L2268)&amp;"")</f>
        <v/>
      </c>
      <c r="J2268" s="60" t="str">
        <f aca="false">IF(L2268="","",INDEX(ポート振替表!$M$5:$M$3507,$L2268)&amp;"")</f>
        <v/>
      </c>
      <c r="K2268" s="52" t="str">
        <f aca="false">IF(L2268="","",E2268&amp;CHAR(10)&amp;INDEX(ポート振替表!$K$5:$K$3507,$L2268)&amp;" "&amp;INDEX(ポート振替表!$L$5:$L$3507,$L2268)&amp;CHAR(10)&amp;"⇔ "&amp;INDEX(ポート振替表!$H$5:$H$3507,$L2268)&amp;" "&amp;INDEX(ポート振替表!$I$5:$I$3507,$L2268))</f>
        <v/>
      </c>
      <c r="L2268" s="47" t="str">
        <f aca="false">IFERROR(MATCH(ROW()-4,ポート振替表!$V$5:$V$3507,0),"")</f>
        <v/>
      </c>
    </row>
    <row r="2269" customFormat="false" ht="16.4" hidden="false" customHeight="false" outlineLevel="0" collapsed="false">
      <c r="A2269" s="32" t="str">
        <f aca="false">IF(L2269="","",ROW()-4)</f>
        <v/>
      </c>
      <c r="B2269" s="58" t="str">
        <f aca="false">IF(L2269="","",IF(INDEX(ポート振替表!$W$5:$W$3507,$L2269)="","(なし)",INDEX(ポート振替表!$W$5:$W$3507,$L2269)&amp;""))</f>
        <v/>
      </c>
      <c r="C2269" s="52" t="str">
        <f aca="false">IF(L2269="","",INDEX(ポート振替表!$B$5:$B$3507,$L2269)&amp;" "&amp;INDEX(ポート振替表!$C$5:$C$3507,$L2269)&amp;"  ⇔  "&amp;INDEX(ポート振替表!$H$5:$H$3507,$L2269)&amp;" "&amp;INDEX(ポート振替表!$I$5:$I$3507,$L2269))</f>
        <v/>
      </c>
      <c r="D2269" s="57" t="s">
        <v>158</v>
      </c>
      <c r="E2269" s="59" t="str">
        <f aca="false">IF(L2269="","",IF(INDEX(ポート振替表!$O$5:$O$3507,$L2269)="","(未設定)",INDEX(ポート振替表!$O$5:$O$3507,$L2269)&amp;""))</f>
        <v/>
      </c>
      <c r="F2269" s="52" t="str">
        <f aca="false">IF(L2269="","",INDEX(ポート振替表!$K$5:$K$3507,$L2269)&amp;" "&amp;INDEX(ポート振替表!$L$5:$L$3507,$L2269)&amp;"  ⇔  "&amp;INDEX(ポート振替表!$H$5:$H$3507,$L2269)&amp;" "&amp;INDEX(ポート振替表!$I$5:$I$3507,$L2269))</f>
        <v/>
      </c>
      <c r="G2269" s="57" t="s">
        <v>158</v>
      </c>
      <c r="H2269" s="32" t="str">
        <f aca="false">IF(L2269="","",INDEX(ポート振替表!$N$5:$N$3507,$L2269)&amp;"")</f>
        <v/>
      </c>
      <c r="I2269" s="32" t="str">
        <f aca="false">IF(L2269="","",INDEX(ポート振替表!$P$5:$P$3507,$L2269)&amp;"")</f>
        <v/>
      </c>
      <c r="J2269" s="60" t="str">
        <f aca="false">IF(L2269="","",INDEX(ポート振替表!$M$5:$M$3507,$L2269)&amp;"")</f>
        <v/>
      </c>
      <c r="K2269" s="52" t="str">
        <f aca="false">IF(L2269="","",E2269&amp;CHAR(10)&amp;INDEX(ポート振替表!$K$5:$K$3507,$L2269)&amp;" "&amp;INDEX(ポート振替表!$L$5:$L$3507,$L2269)&amp;CHAR(10)&amp;"⇔ "&amp;INDEX(ポート振替表!$H$5:$H$3507,$L2269)&amp;" "&amp;INDEX(ポート振替表!$I$5:$I$3507,$L2269))</f>
        <v/>
      </c>
      <c r="L2269" s="47" t="str">
        <f aca="false">IFERROR(MATCH(ROW()-4,ポート振替表!$V$5:$V$3507,0),"")</f>
        <v/>
      </c>
    </row>
    <row r="2270" customFormat="false" ht="16.4" hidden="false" customHeight="false" outlineLevel="0" collapsed="false">
      <c r="A2270" s="32" t="str">
        <f aca="false">IF(L2270="","",ROW()-4)</f>
        <v/>
      </c>
      <c r="B2270" s="58" t="str">
        <f aca="false">IF(L2270="","",IF(INDEX(ポート振替表!$W$5:$W$3507,$L2270)="","(なし)",INDEX(ポート振替表!$W$5:$W$3507,$L2270)&amp;""))</f>
        <v/>
      </c>
      <c r="C2270" s="52" t="str">
        <f aca="false">IF(L2270="","",INDEX(ポート振替表!$B$5:$B$3507,$L2270)&amp;" "&amp;INDEX(ポート振替表!$C$5:$C$3507,$L2270)&amp;"  ⇔  "&amp;INDEX(ポート振替表!$H$5:$H$3507,$L2270)&amp;" "&amp;INDEX(ポート振替表!$I$5:$I$3507,$L2270))</f>
        <v/>
      </c>
      <c r="D2270" s="57" t="s">
        <v>158</v>
      </c>
      <c r="E2270" s="59" t="str">
        <f aca="false">IF(L2270="","",IF(INDEX(ポート振替表!$O$5:$O$3507,$L2270)="","(未設定)",INDEX(ポート振替表!$O$5:$O$3507,$L2270)&amp;""))</f>
        <v/>
      </c>
      <c r="F2270" s="52" t="str">
        <f aca="false">IF(L2270="","",INDEX(ポート振替表!$K$5:$K$3507,$L2270)&amp;" "&amp;INDEX(ポート振替表!$L$5:$L$3507,$L2270)&amp;"  ⇔  "&amp;INDEX(ポート振替表!$H$5:$H$3507,$L2270)&amp;" "&amp;INDEX(ポート振替表!$I$5:$I$3507,$L2270))</f>
        <v/>
      </c>
      <c r="G2270" s="57" t="s">
        <v>158</v>
      </c>
      <c r="H2270" s="32" t="str">
        <f aca="false">IF(L2270="","",INDEX(ポート振替表!$N$5:$N$3507,$L2270)&amp;"")</f>
        <v/>
      </c>
      <c r="I2270" s="32" t="str">
        <f aca="false">IF(L2270="","",INDEX(ポート振替表!$P$5:$P$3507,$L2270)&amp;"")</f>
        <v/>
      </c>
      <c r="J2270" s="60" t="str">
        <f aca="false">IF(L2270="","",INDEX(ポート振替表!$M$5:$M$3507,$L2270)&amp;"")</f>
        <v/>
      </c>
      <c r="K2270" s="52" t="str">
        <f aca="false">IF(L2270="","",E2270&amp;CHAR(10)&amp;INDEX(ポート振替表!$K$5:$K$3507,$L2270)&amp;" "&amp;INDEX(ポート振替表!$L$5:$L$3507,$L2270)&amp;CHAR(10)&amp;"⇔ "&amp;INDEX(ポート振替表!$H$5:$H$3507,$L2270)&amp;" "&amp;INDEX(ポート振替表!$I$5:$I$3507,$L2270))</f>
        <v/>
      </c>
      <c r="L2270" s="47" t="str">
        <f aca="false">IFERROR(MATCH(ROW()-4,ポート振替表!$V$5:$V$3507,0),"")</f>
        <v/>
      </c>
    </row>
    <row r="2271" customFormat="false" ht="16.4" hidden="false" customHeight="false" outlineLevel="0" collapsed="false">
      <c r="A2271" s="32" t="str">
        <f aca="false">IF(L2271="","",ROW()-4)</f>
        <v/>
      </c>
      <c r="B2271" s="58" t="str">
        <f aca="false">IF(L2271="","",IF(INDEX(ポート振替表!$W$5:$W$3507,$L2271)="","(なし)",INDEX(ポート振替表!$W$5:$W$3507,$L2271)&amp;""))</f>
        <v/>
      </c>
      <c r="C2271" s="52" t="str">
        <f aca="false">IF(L2271="","",INDEX(ポート振替表!$B$5:$B$3507,$L2271)&amp;" "&amp;INDEX(ポート振替表!$C$5:$C$3507,$L2271)&amp;"  ⇔  "&amp;INDEX(ポート振替表!$H$5:$H$3507,$L2271)&amp;" "&amp;INDEX(ポート振替表!$I$5:$I$3507,$L2271))</f>
        <v/>
      </c>
      <c r="D2271" s="57" t="s">
        <v>158</v>
      </c>
      <c r="E2271" s="59" t="str">
        <f aca="false">IF(L2271="","",IF(INDEX(ポート振替表!$O$5:$O$3507,$L2271)="","(未設定)",INDEX(ポート振替表!$O$5:$O$3507,$L2271)&amp;""))</f>
        <v/>
      </c>
      <c r="F2271" s="52" t="str">
        <f aca="false">IF(L2271="","",INDEX(ポート振替表!$K$5:$K$3507,$L2271)&amp;" "&amp;INDEX(ポート振替表!$L$5:$L$3507,$L2271)&amp;"  ⇔  "&amp;INDEX(ポート振替表!$H$5:$H$3507,$L2271)&amp;" "&amp;INDEX(ポート振替表!$I$5:$I$3507,$L2271))</f>
        <v/>
      </c>
      <c r="G2271" s="57" t="s">
        <v>158</v>
      </c>
      <c r="H2271" s="32" t="str">
        <f aca="false">IF(L2271="","",INDEX(ポート振替表!$N$5:$N$3507,$L2271)&amp;"")</f>
        <v/>
      </c>
      <c r="I2271" s="32" t="str">
        <f aca="false">IF(L2271="","",INDEX(ポート振替表!$P$5:$P$3507,$L2271)&amp;"")</f>
        <v/>
      </c>
      <c r="J2271" s="60" t="str">
        <f aca="false">IF(L2271="","",INDEX(ポート振替表!$M$5:$M$3507,$L2271)&amp;"")</f>
        <v/>
      </c>
      <c r="K2271" s="52" t="str">
        <f aca="false">IF(L2271="","",E2271&amp;CHAR(10)&amp;INDEX(ポート振替表!$K$5:$K$3507,$L2271)&amp;" "&amp;INDEX(ポート振替表!$L$5:$L$3507,$L2271)&amp;CHAR(10)&amp;"⇔ "&amp;INDEX(ポート振替表!$H$5:$H$3507,$L2271)&amp;" "&amp;INDEX(ポート振替表!$I$5:$I$3507,$L2271))</f>
        <v/>
      </c>
      <c r="L2271" s="47" t="str">
        <f aca="false">IFERROR(MATCH(ROW()-4,ポート振替表!$V$5:$V$3507,0),"")</f>
        <v/>
      </c>
    </row>
    <row r="2272" customFormat="false" ht="16.4" hidden="false" customHeight="false" outlineLevel="0" collapsed="false">
      <c r="A2272" s="32" t="str">
        <f aca="false">IF(L2272="","",ROW()-4)</f>
        <v/>
      </c>
      <c r="B2272" s="58" t="str">
        <f aca="false">IF(L2272="","",IF(INDEX(ポート振替表!$W$5:$W$3507,$L2272)="","(なし)",INDEX(ポート振替表!$W$5:$W$3507,$L2272)&amp;""))</f>
        <v/>
      </c>
      <c r="C2272" s="52" t="str">
        <f aca="false">IF(L2272="","",INDEX(ポート振替表!$B$5:$B$3507,$L2272)&amp;" "&amp;INDEX(ポート振替表!$C$5:$C$3507,$L2272)&amp;"  ⇔  "&amp;INDEX(ポート振替表!$H$5:$H$3507,$L2272)&amp;" "&amp;INDEX(ポート振替表!$I$5:$I$3507,$L2272))</f>
        <v/>
      </c>
      <c r="D2272" s="57" t="s">
        <v>158</v>
      </c>
      <c r="E2272" s="59" t="str">
        <f aca="false">IF(L2272="","",IF(INDEX(ポート振替表!$O$5:$O$3507,$L2272)="","(未設定)",INDEX(ポート振替表!$O$5:$O$3507,$L2272)&amp;""))</f>
        <v/>
      </c>
      <c r="F2272" s="52" t="str">
        <f aca="false">IF(L2272="","",INDEX(ポート振替表!$K$5:$K$3507,$L2272)&amp;" "&amp;INDEX(ポート振替表!$L$5:$L$3507,$L2272)&amp;"  ⇔  "&amp;INDEX(ポート振替表!$H$5:$H$3507,$L2272)&amp;" "&amp;INDEX(ポート振替表!$I$5:$I$3507,$L2272))</f>
        <v/>
      </c>
      <c r="G2272" s="57" t="s">
        <v>158</v>
      </c>
      <c r="H2272" s="32" t="str">
        <f aca="false">IF(L2272="","",INDEX(ポート振替表!$N$5:$N$3507,$L2272)&amp;"")</f>
        <v/>
      </c>
      <c r="I2272" s="32" t="str">
        <f aca="false">IF(L2272="","",INDEX(ポート振替表!$P$5:$P$3507,$L2272)&amp;"")</f>
        <v/>
      </c>
      <c r="J2272" s="60" t="str">
        <f aca="false">IF(L2272="","",INDEX(ポート振替表!$M$5:$M$3507,$L2272)&amp;"")</f>
        <v/>
      </c>
      <c r="K2272" s="52" t="str">
        <f aca="false">IF(L2272="","",E2272&amp;CHAR(10)&amp;INDEX(ポート振替表!$K$5:$K$3507,$L2272)&amp;" "&amp;INDEX(ポート振替表!$L$5:$L$3507,$L2272)&amp;CHAR(10)&amp;"⇔ "&amp;INDEX(ポート振替表!$H$5:$H$3507,$L2272)&amp;" "&amp;INDEX(ポート振替表!$I$5:$I$3507,$L2272))</f>
        <v/>
      </c>
      <c r="L2272" s="47" t="str">
        <f aca="false">IFERROR(MATCH(ROW()-4,ポート振替表!$V$5:$V$3507,0),"")</f>
        <v/>
      </c>
    </row>
    <row r="2273" customFormat="false" ht="16.4" hidden="false" customHeight="false" outlineLevel="0" collapsed="false">
      <c r="A2273" s="32" t="str">
        <f aca="false">IF(L2273="","",ROW()-4)</f>
        <v/>
      </c>
      <c r="B2273" s="58" t="str">
        <f aca="false">IF(L2273="","",IF(INDEX(ポート振替表!$W$5:$W$3507,$L2273)="","(なし)",INDEX(ポート振替表!$W$5:$W$3507,$L2273)&amp;""))</f>
        <v/>
      </c>
      <c r="C2273" s="52" t="str">
        <f aca="false">IF(L2273="","",INDEX(ポート振替表!$B$5:$B$3507,$L2273)&amp;" "&amp;INDEX(ポート振替表!$C$5:$C$3507,$L2273)&amp;"  ⇔  "&amp;INDEX(ポート振替表!$H$5:$H$3507,$L2273)&amp;" "&amp;INDEX(ポート振替表!$I$5:$I$3507,$L2273))</f>
        <v/>
      </c>
      <c r="D2273" s="57" t="s">
        <v>158</v>
      </c>
      <c r="E2273" s="59" t="str">
        <f aca="false">IF(L2273="","",IF(INDEX(ポート振替表!$O$5:$O$3507,$L2273)="","(未設定)",INDEX(ポート振替表!$O$5:$O$3507,$L2273)&amp;""))</f>
        <v/>
      </c>
      <c r="F2273" s="52" t="str">
        <f aca="false">IF(L2273="","",INDEX(ポート振替表!$K$5:$K$3507,$L2273)&amp;" "&amp;INDEX(ポート振替表!$L$5:$L$3507,$L2273)&amp;"  ⇔  "&amp;INDEX(ポート振替表!$H$5:$H$3507,$L2273)&amp;" "&amp;INDEX(ポート振替表!$I$5:$I$3507,$L2273))</f>
        <v/>
      </c>
      <c r="G2273" s="57" t="s">
        <v>158</v>
      </c>
      <c r="H2273" s="32" t="str">
        <f aca="false">IF(L2273="","",INDEX(ポート振替表!$N$5:$N$3507,$L2273)&amp;"")</f>
        <v/>
      </c>
      <c r="I2273" s="32" t="str">
        <f aca="false">IF(L2273="","",INDEX(ポート振替表!$P$5:$P$3507,$L2273)&amp;"")</f>
        <v/>
      </c>
      <c r="J2273" s="60" t="str">
        <f aca="false">IF(L2273="","",INDEX(ポート振替表!$M$5:$M$3507,$L2273)&amp;"")</f>
        <v/>
      </c>
      <c r="K2273" s="52" t="str">
        <f aca="false">IF(L2273="","",E2273&amp;CHAR(10)&amp;INDEX(ポート振替表!$K$5:$K$3507,$L2273)&amp;" "&amp;INDEX(ポート振替表!$L$5:$L$3507,$L2273)&amp;CHAR(10)&amp;"⇔ "&amp;INDEX(ポート振替表!$H$5:$H$3507,$L2273)&amp;" "&amp;INDEX(ポート振替表!$I$5:$I$3507,$L2273))</f>
        <v/>
      </c>
      <c r="L2273" s="47" t="str">
        <f aca="false">IFERROR(MATCH(ROW()-4,ポート振替表!$V$5:$V$3507,0),"")</f>
        <v/>
      </c>
    </row>
    <row r="2274" customFormat="false" ht="16.4" hidden="false" customHeight="false" outlineLevel="0" collapsed="false">
      <c r="A2274" s="32" t="str">
        <f aca="false">IF(L2274="","",ROW()-4)</f>
        <v/>
      </c>
      <c r="B2274" s="58" t="str">
        <f aca="false">IF(L2274="","",IF(INDEX(ポート振替表!$W$5:$W$3507,$L2274)="","(なし)",INDEX(ポート振替表!$W$5:$W$3507,$L2274)&amp;""))</f>
        <v/>
      </c>
      <c r="C2274" s="52" t="str">
        <f aca="false">IF(L2274="","",INDEX(ポート振替表!$B$5:$B$3507,$L2274)&amp;" "&amp;INDEX(ポート振替表!$C$5:$C$3507,$L2274)&amp;"  ⇔  "&amp;INDEX(ポート振替表!$H$5:$H$3507,$L2274)&amp;" "&amp;INDEX(ポート振替表!$I$5:$I$3507,$L2274))</f>
        <v/>
      </c>
      <c r="D2274" s="57" t="s">
        <v>158</v>
      </c>
      <c r="E2274" s="59" t="str">
        <f aca="false">IF(L2274="","",IF(INDEX(ポート振替表!$O$5:$O$3507,$L2274)="","(未設定)",INDEX(ポート振替表!$O$5:$O$3507,$L2274)&amp;""))</f>
        <v/>
      </c>
      <c r="F2274" s="52" t="str">
        <f aca="false">IF(L2274="","",INDEX(ポート振替表!$K$5:$K$3507,$L2274)&amp;" "&amp;INDEX(ポート振替表!$L$5:$L$3507,$L2274)&amp;"  ⇔  "&amp;INDEX(ポート振替表!$H$5:$H$3507,$L2274)&amp;" "&amp;INDEX(ポート振替表!$I$5:$I$3507,$L2274))</f>
        <v/>
      </c>
      <c r="G2274" s="57" t="s">
        <v>158</v>
      </c>
      <c r="H2274" s="32" t="str">
        <f aca="false">IF(L2274="","",INDEX(ポート振替表!$N$5:$N$3507,$L2274)&amp;"")</f>
        <v/>
      </c>
      <c r="I2274" s="32" t="str">
        <f aca="false">IF(L2274="","",INDEX(ポート振替表!$P$5:$P$3507,$L2274)&amp;"")</f>
        <v/>
      </c>
      <c r="J2274" s="60" t="str">
        <f aca="false">IF(L2274="","",INDEX(ポート振替表!$M$5:$M$3507,$L2274)&amp;"")</f>
        <v/>
      </c>
      <c r="K2274" s="52" t="str">
        <f aca="false">IF(L2274="","",E2274&amp;CHAR(10)&amp;INDEX(ポート振替表!$K$5:$K$3507,$L2274)&amp;" "&amp;INDEX(ポート振替表!$L$5:$L$3507,$L2274)&amp;CHAR(10)&amp;"⇔ "&amp;INDEX(ポート振替表!$H$5:$H$3507,$L2274)&amp;" "&amp;INDEX(ポート振替表!$I$5:$I$3507,$L2274))</f>
        <v/>
      </c>
      <c r="L2274" s="47" t="str">
        <f aca="false">IFERROR(MATCH(ROW()-4,ポート振替表!$V$5:$V$3507,0),"")</f>
        <v/>
      </c>
    </row>
    <row r="2275" customFormat="false" ht="16.4" hidden="false" customHeight="false" outlineLevel="0" collapsed="false">
      <c r="A2275" s="32" t="str">
        <f aca="false">IF(L2275="","",ROW()-4)</f>
        <v/>
      </c>
      <c r="B2275" s="58" t="str">
        <f aca="false">IF(L2275="","",IF(INDEX(ポート振替表!$W$5:$W$3507,$L2275)="","(なし)",INDEX(ポート振替表!$W$5:$W$3507,$L2275)&amp;""))</f>
        <v/>
      </c>
      <c r="C2275" s="52" t="str">
        <f aca="false">IF(L2275="","",INDEX(ポート振替表!$B$5:$B$3507,$L2275)&amp;" "&amp;INDEX(ポート振替表!$C$5:$C$3507,$L2275)&amp;"  ⇔  "&amp;INDEX(ポート振替表!$H$5:$H$3507,$L2275)&amp;" "&amp;INDEX(ポート振替表!$I$5:$I$3507,$L2275))</f>
        <v/>
      </c>
      <c r="D2275" s="57" t="s">
        <v>158</v>
      </c>
      <c r="E2275" s="59" t="str">
        <f aca="false">IF(L2275="","",IF(INDEX(ポート振替表!$O$5:$O$3507,$L2275)="","(未設定)",INDEX(ポート振替表!$O$5:$O$3507,$L2275)&amp;""))</f>
        <v/>
      </c>
      <c r="F2275" s="52" t="str">
        <f aca="false">IF(L2275="","",INDEX(ポート振替表!$K$5:$K$3507,$L2275)&amp;" "&amp;INDEX(ポート振替表!$L$5:$L$3507,$L2275)&amp;"  ⇔  "&amp;INDEX(ポート振替表!$H$5:$H$3507,$L2275)&amp;" "&amp;INDEX(ポート振替表!$I$5:$I$3507,$L2275))</f>
        <v/>
      </c>
      <c r="G2275" s="57" t="s">
        <v>158</v>
      </c>
      <c r="H2275" s="32" t="str">
        <f aca="false">IF(L2275="","",INDEX(ポート振替表!$N$5:$N$3507,$L2275)&amp;"")</f>
        <v/>
      </c>
      <c r="I2275" s="32" t="str">
        <f aca="false">IF(L2275="","",INDEX(ポート振替表!$P$5:$P$3507,$L2275)&amp;"")</f>
        <v/>
      </c>
      <c r="J2275" s="60" t="str">
        <f aca="false">IF(L2275="","",INDEX(ポート振替表!$M$5:$M$3507,$L2275)&amp;"")</f>
        <v/>
      </c>
      <c r="K2275" s="52" t="str">
        <f aca="false">IF(L2275="","",E2275&amp;CHAR(10)&amp;INDEX(ポート振替表!$K$5:$K$3507,$L2275)&amp;" "&amp;INDEX(ポート振替表!$L$5:$L$3507,$L2275)&amp;CHAR(10)&amp;"⇔ "&amp;INDEX(ポート振替表!$H$5:$H$3507,$L2275)&amp;" "&amp;INDEX(ポート振替表!$I$5:$I$3507,$L2275))</f>
        <v/>
      </c>
      <c r="L2275" s="47" t="str">
        <f aca="false">IFERROR(MATCH(ROW()-4,ポート振替表!$V$5:$V$3507,0),"")</f>
        <v/>
      </c>
    </row>
    <row r="2276" customFormat="false" ht="16.4" hidden="false" customHeight="false" outlineLevel="0" collapsed="false">
      <c r="A2276" s="32" t="str">
        <f aca="false">IF(L2276="","",ROW()-4)</f>
        <v/>
      </c>
      <c r="B2276" s="58" t="str">
        <f aca="false">IF(L2276="","",IF(INDEX(ポート振替表!$W$5:$W$3507,$L2276)="","(なし)",INDEX(ポート振替表!$W$5:$W$3507,$L2276)&amp;""))</f>
        <v/>
      </c>
      <c r="C2276" s="52" t="str">
        <f aca="false">IF(L2276="","",INDEX(ポート振替表!$B$5:$B$3507,$L2276)&amp;" "&amp;INDEX(ポート振替表!$C$5:$C$3507,$L2276)&amp;"  ⇔  "&amp;INDEX(ポート振替表!$H$5:$H$3507,$L2276)&amp;" "&amp;INDEX(ポート振替表!$I$5:$I$3507,$L2276))</f>
        <v/>
      </c>
      <c r="D2276" s="57" t="s">
        <v>158</v>
      </c>
      <c r="E2276" s="59" t="str">
        <f aca="false">IF(L2276="","",IF(INDEX(ポート振替表!$O$5:$O$3507,$L2276)="","(未設定)",INDEX(ポート振替表!$O$5:$O$3507,$L2276)&amp;""))</f>
        <v/>
      </c>
      <c r="F2276" s="52" t="str">
        <f aca="false">IF(L2276="","",INDEX(ポート振替表!$K$5:$K$3507,$L2276)&amp;" "&amp;INDEX(ポート振替表!$L$5:$L$3507,$L2276)&amp;"  ⇔  "&amp;INDEX(ポート振替表!$H$5:$H$3507,$L2276)&amp;" "&amp;INDEX(ポート振替表!$I$5:$I$3507,$L2276))</f>
        <v/>
      </c>
      <c r="G2276" s="57" t="s">
        <v>158</v>
      </c>
      <c r="H2276" s="32" t="str">
        <f aca="false">IF(L2276="","",INDEX(ポート振替表!$N$5:$N$3507,$L2276)&amp;"")</f>
        <v/>
      </c>
      <c r="I2276" s="32" t="str">
        <f aca="false">IF(L2276="","",INDEX(ポート振替表!$P$5:$P$3507,$L2276)&amp;"")</f>
        <v/>
      </c>
      <c r="J2276" s="60" t="str">
        <f aca="false">IF(L2276="","",INDEX(ポート振替表!$M$5:$M$3507,$L2276)&amp;"")</f>
        <v/>
      </c>
      <c r="K2276" s="52" t="str">
        <f aca="false">IF(L2276="","",E2276&amp;CHAR(10)&amp;INDEX(ポート振替表!$K$5:$K$3507,$L2276)&amp;" "&amp;INDEX(ポート振替表!$L$5:$L$3507,$L2276)&amp;CHAR(10)&amp;"⇔ "&amp;INDEX(ポート振替表!$H$5:$H$3507,$L2276)&amp;" "&amp;INDEX(ポート振替表!$I$5:$I$3507,$L2276))</f>
        <v/>
      </c>
      <c r="L2276" s="47" t="str">
        <f aca="false">IFERROR(MATCH(ROW()-4,ポート振替表!$V$5:$V$3507,0),"")</f>
        <v/>
      </c>
    </row>
    <row r="2277" customFormat="false" ht="16.4" hidden="false" customHeight="false" outlineLevel="0" collapsed="false">
      <c r="A2277" s="32" t="str">
        <f aca="false">IF(L2277="","",ROW()-4)</f>
        <v/>
      </c>
      <c r="B2277" s="58" t="str">
        <f aca="false">IF(L2277="","",IF(INDEX(ポート振替表!$W$5:$W$3507,$L2277)="","(なし)",INDEX(ポート振替表!$W$5:$W$3507,$L2277)&amp;""))</f>
        <v/>
      </c>
      <c r="C2277" s="52" t="str">
        <f aca="false">IF(L2277="","",INDEX(ポート振替表!$B$5:$B$3507,$L2277)&amp;" "&amp;INDEX(ポート振替表!$C$5:$C$3507,$L2277)&amp;"  ⇔  "&amp;INDEX(ポート振替表!$H$5:$H$3507,$L2277)&amp;" "&amp;INDEX(ポート振替表!$I$5:$I$3507,$L2277))</f>
        <v/>
      </c>
      <c r="D2277" s="57" t="s">
        <v>158</v>
      </c>
      <c r="E2277" s="59" t="str">
        <f aca="false">IF(L2277="","",IF(INDEX(ポート振替表!$O$5:$O$3507,$L2277)="","(未設定)",INDEX(ポート振替表!$O$5:$O$3507,$L2277)&amp;""))</f>
        <v/>
      </c>
      <c r="F2277" s="52" t="str">
        <f aca="false">IF(L2277="","",INDEX(ポート振替表!$K$5:$K$3507,$L2277)&amp;" "&amp;INDEX(ポート振替表!$L$5:$L$3507,$L2277)&amp;"  ⇔  "&amp;INDEX(ポート振替表!$H$5:$H$3507,$L2277)&amp;" "&amp;INDEX(ポート振替表!$I$5:$I$3507,$L2277))</f>
        <v/>
      </c>
      <c r="G2277" s="57" t="s">
        <v>158</v>
      </c>
      <c r="H2277" s="32" t="str">
        <f aca="false">IF(L2277="","",INDEX(ポート振替表!$N$5:$N$3507,$L2277)&amp;"")</f>
        <v/>
      </c>
      <c r="I2277" s="32" t="str">
        <f aca="false">IF(L2277="","",INDEX(ポート振替表!$P$5:$P$3507,$L2277)&amp;"")</f>
        <v/>
      </c>
      <c r="J2277" s="60" t="str">
        <f aca="false">IF(L2277="","",INDEX(ポート振替表!$M$5:$M$3507,$L2277)&amp;"")</f>
        <v/>
      </c>
      <c r="K2277" s="52" t="str">
        <f aca="false">IF(L2277="","",E2277&amp;CHAR(10)&amp;INDEX(ポート振替表!$K$5:$K$3507,$L2277)&amp;" "&amp;INDEX(ポート振替表!$L$5:$L$3507,$L2277)&amp;CHAR(10)&amp;"⇔ "&amp;INDEX(ポート振替表!$H$5:$H$3507,$L2277)&amp;" "&amp;INDEX(ポート振替表!$I$5:$I$3507,$L2277))</f>
        <v/>
      </c>
      <c r="L2277" s="47" t="str">
        <f aca="false">IFERROR(MATCH(ROW()-4,ポート振替表!$V$5:$V$3507,0),"")</f>
        <v/>
      </c>
    </row>
    <row r="2278" customFormat="false" ht="16.4" hidden="false" customHeight="false" outlineLevel="0" collapsed="false">
      <c r="A2278" s="32" t="str">
        <f aca="false">IF(L2278="","",ROW()-4)</f>
        <v/>
      </c>
      <c r="B2278" s="58" t="str">
        <f aca="false">IF(L2278="","",IF(INDEX(ポート振替表!$W$5:$W$3507,$L2278)="","(なし)",INDEX(ポート振替表!$W$5:$W$3507,$L2278)&amp;""))</f>
        <v/>
      </c>
      <c r="C2278" s="52" t="str">
        <f aca="false">IF(L2278="","",INDEX(ポート振替表!$B$5:$B$3507,$L2278)&amp;" "&amp;INDEX(ポート振替表!$C$5:$C$3507,$L2278)&amp;"  ⇔  "&amp;INDEX(ポート振替表!$H$5:$H$3507,$L2278)&amp;" "&amp;INDEX(ポート振替表!$I$5:$I$3507,$L2278))</f>
        <v/>
      </c>
      <c r="D2278" s="57" t="s">
        <v>158</v>
      </c>
      <c r="E2278" s="59" t="str">
        <f aca="false">IF(L2278="","",IF(INDEX(ポート振替表!$O$5:$O$3507,$L2278)="","(未設定)",INDEX(ポート振替表!$O$5:$O$3507,$L2278)&amp;""))</f>
        <v/>
      </c>
      <c r="F2278" s="52" t="str">
        <f aca="false">IF(L2278="","",INDEX(ポート振替表!$K$5:$K$3507,$L2278)&amp;" "&amp;INDEX(ポート振替表!$L$5:$L$3507,$L2278)&amp;"  ⇔  "&amp;INDEX(ポート振替表!$H$5:$H$3507,$L2278)&amp;" "&amp;INDEX(ポート振替表!$I$5:$I$3507,$L2278))</f>
        <v/>
      </c>
      <c r="G2278" s="57" t="s">
        <v>158</v>
      </c>
      <c r="H2278" s="32" t="str">
        <f aca="false">IF(L2278="","",INDEX(ポート振替表!$N$5:$N$3507,$L2278)&amp;"")</f>
        <v/>
      </c>
      <c r="I2278" s="32" t="str">
        <f aca="false">IF(L2278="","",INDEX(ポート振替表!$P$5:$P$3507,$L2278)&amp;"")</f>
        <v/>
      </c>
      <c r="J2278" s="60" t="str">
        <f aca="false">IF(L2278="","",INDEX(ポート振替表!$M$5:$M$3507,$L2278)&amp;"")</f>
        <v/>
      </c>
      <c r="K2278" s="52" t="str">
        <f aca="false">IF(L2278="","",E2278&amp;CHAR(10)&amp;INDEX(ポート振替表!$K$5:$K$3507,$L2278)&amp;" "&amp;INDEX(ポート振替表!$L$5:$L$3507,$L2278)&amp;CHAR(10)&amp;"⇔ "&amp;INDEX(ポート振替表!$H$5:$H$3507,$L2278)&amp;" "&amp;INDEX(ポート振替表!$I$5:$I$3507,$L2278))</f>
        <v/>
      </c>
      <c r="L2278" s="47" t="str">
        <f aca="false">IFERROR(MATCH(ROW()-4,ポート振替表!$V$5:$V$3507,0),"")</f>
        <v/>
      </c>
    </row>
    <row r="2279" customFormat="false" ht="16.4" hidden="false" customHeight="false" outlineLevel="0" collapsed="false">
      <c r="A2279" s="32" t="str">
        <f aca="false">IF(L2279="","",ROW()-4)</f>
        <v/>
      </c>
      <c r="B2279" s="58" t="str">
        <f aca="false">IF(L2279="","",IF(INDEX(ポート振替表!$W$5:$W$3507,$L2279)="","(なし)",INDEX(ポート振替表!$W$5:$W$3507,$L2279)&amp;""))</f>
        <v/>
      </c>
      <c r="C2279" s="52" t="str">
        <f aca="false">IF(L2279="","",INDEX(ポート振替表!$B$5:$B$3507,$L2279)&amp;" "&amp;INDEX(ポート振替表!$C$5:$C$3507,$L2279)&amp;"  ⇔  "&amp;INDEX(ポート振替表!$H$5:$H$3507,$L2279)&amp;" "&amp;INDEX(ポート振替表!$I$5:$I$3507,$L2279))</f>
        <v/>
      </c>
      <c r="D2279" s="57" t="s">
        <v>158</v>
      </c>
      <c r="E2279" s="59" t="str">
        <f aca="false">IF(L2279="","",IF(INDEX(ポート振替表!$O$5:$O$3507,$L2279)="","(未設定)",INDEX(ポート振替表!$O$5:$O$3507,$L2279)&amp;""))</f>
        <v/>
      </c>
      <c r="F2279" s="52" t="str">
        <f aca="false">IF(L2279="","",INDEX(ポート振替表!$K$5:$K$3507,$L2279)&amp;" "&amp;INDEX(ポート振替表!$L$5:$L$3507,$L2279)&amp;"  ⇔  "&amp;INDEX(ポート振替表!$H$5:$H$3507,$L2279)&amp;" "&amp;INDEX(ポート振替表!$I$5:$I$3507,$L2279))</f>
        <v/>
      </c>
      <c r="G2279" s="57" t="s">
        <v>158</v>
      </c>
      <c r="H2279" s="32" t="str">
        <f aca="false">IF(L2279="","",INDEX(ポート振替表!$N$5:$N$3507,$L2279)&amp;"")</f>
        <v/>
      </c>
      <c r="I2279" s="32" t="str">
        <f aca="false">IF(L2279="","",INDEX(ポート振替表!$P$5:$P$3507,$L2279)&amp;"")</f>
        <v/>
      </c>
      <c r="J2279" s="60" t="str">
        <f aca="false">IF(L2279="","",INDEX(ポート振替表!$M$5:$M$3507,$L2279)&amp;"")</f>
        <v/>
      </c>
      <c r="K2279" s="52" t="str">
        <f aca="false">IF(L2279="","",E2279&amp;CHAR(10)&amp;INDEX(ポート振替表!$K$5:$K$3507,$L2279)&amp;" "&amp;INDEX(ポート振替表!$L$5:$L$3507,$L2279)&amp;CHAR(10)&amp;"⇔ "&amp;INDEX(ポート振替表!$H$5:$H$3507,$L2279)&amp;" "&amp;INDEX(ポート振替表!$I$5:$I$3507,$L2279))</f>
        <v/>
      </c>
      <c r="L2279" s="47" t="str">
        <f aca="false">IFERROR(MATCH(ROW()-4,ポート振替表!$V$5:$V$3507,0),"")</f>
        <v/>
      </c>
    </row>
    <row r="2280" customFormat="false" ht="16.4" hidden="false" customHeight="false" outlineLevel="0" collapsed="false">
      <c r="A2280" s="32" t="str">
        <f aca="false">IF(L2280="","",ROW()-4)</f>
        <v/>
      </c>
      <c r="B2280" s="58" t="str">
        <f aca="false">IF(L2280="","",IF(INDEX(ポート振替表!$W$5:$W$3507,$L2280)="","(なし)",INDEX(ポート振替表!$W$5:$W$3507,$L2280)&amp;""))</f>
        <v/>
      </c>
      <c r="C2280" s="52" t="str">
        <f aca="false">IF(L2280="","",INDEX(ポート振替表!$B$5:$B$3507,$L2280)&amp;" "&amp;INDEX(ポート振替表!$C$5:$C$3507,$L2280)&amp;"  ⇔  "&amp;INDEX(ポート振替表!$H$5:$H$3507,$L2280)&amp;" "&amp;INDEX(ポート振替表!$I$5:$I$3507,$L2280))</f>
        <v/>
      </c>
      <c r="D2280" s="57" t="s">
        <v>158</v>
      </c>
      <c r="E2280" s="59" t="str">
        <f aca="false">IF(L2280="","",IF(INDEX(ポート振替表!$O$5:$O$3507,$L2280)="","(未設定)",INDEX(ポート振替表!$O$5:$O$3507,$L2280)&amp;""))</f>
        <v/>
      </c>
      <c r="F2280" s="52" t="str">
        <f aca="false">IF(L2280="","",INDEX(ポート振替表!$K$5:$K$3507,$L2280)&amp;" "&amp;INDEX(ポート振替表!$L$5:$L$3507,$L2280)&amp;"  ⇔  "&amp;INDEX(ポート振替表!$H$5:$H$3507,$L2280)&amp;" "&amp;INDEX(ポート振替表!$I$5:$I$3507,$L2280))</f>
        <v/>
      </c>
      <c r="G2280" s="57" t="s">
        <v>158</v>
      </c>
      <c r="H2280" s="32" t="str">
        <f aca="false">IF(L2280="","",INDEX(ポート振替表!$N$5:$N$3507,$L2280)&amp;"")</f>
        <v/>
      </c>
      <c r="I2280" s="32" t="str">
        <f aca="false">IF(L2280="","",INDEX(ポート振替表!$P$5:$P$3507,$L2280)&amp;"")</f>
        <v/>
      </c>
      <c r="J2280" s="60" t="str">
        <f aca="false">IF(L2280="","",INDEX(ポート振替表!$M$5:$M$3507,$L2280)&amp;"")</f>
        <v/>
      </c>
      <c r="K2280" s="52" t="str">
        <f aca="false">IF(L2280="","",E2280&amp;CHAR(10)&amp;INDEX(ポート振替表!$K$5:$K$3507,$L2280)&amp;" "&amp;INDEX(ポート振替表!$L$5:$L$3507,$L2280)&amp;CHAR(10)&amp;"⇔ "&amp;INDEX(ポート振替表!$H$5:$H$3507,$L2280)&amp;" "&amp;INDEX(ポート振替表!$I$5:$I$3507,$L2280))</f>
        <v/>
      </c>
      <c r="L2280" s="47" t="str">
        <f aca="false">IFERROR(MATCH(ROW()-4,ポート振替表!$V$5:$V$3507,0),"")</f>
        <v/>
      </c>
    </row>
    <row r="2281" customFormat="false" ht="16.4" hidden="false" customHeight="false" outlineLevel="0" collapsed="false">
      <c r="A2281" s="32" t="str">
        <f aca="false">IF(L2281="","",ROW()-4)</f>
        <v/>
      </c>
      <c r="B2281" s="58" t="str">
        <f aca="false">IF(L2281="","",IF(INDEX(ポート振替表!$W$5:$W$3507,$L2281)="","(なし)",INDEX(ポート振替表!$W$5:$W$3507,$L2281)&amp;""))</f>
        <v/>
      </c>
      <c r="C2281" s="52" t="str">
        <f aca="false">IF(L2281="","",INDEX(ポート振替表!$B$5:$B$3507,$L2281)&amp;" "&amp;INDEX(ポート振替表!$C$5:$C$3507,$L2281)&amp;"  ⇔  "&amp;INDEX(ポート振替表!$H$5:$H$3507,$L2281)&amp;" "&amp;INDEX(ポート振替表!$I$5:$I$3507,$L2281))</f>
        <v/>
      </c>
      <c r="D2281" s="57" t="s">
        <v>158</v>
      </c>
      <c r="E2281" s="59" t="str">
        <f aca="false">IF(L2281="","",IF(INDEX(ポート振替表!$O$5:$O$3507,$L2281)="","(未設定)",INDEX(ポート振替表!$O$5:$O$3507,$L2281)&amp;""))</f>
        <v/>
      </c>
      <c r="F2281" s="52" t="str">
        <f aca="false">IF(L2281="","",INDEX(ポート振替表!$K$5:$K$3507,$L2281)&amp;" "&amp;INDEX(ポート振替表!$L$5:$L$3507,$L2281)&amp;"  ⇔  "&amp;INDEX(ポート振替表!$H$5:$H$3507,$L2281)&amp;" "&amp;INDEX(ポート振替表!$I$5:$I$3507,$L2281))</f>
        <v/>
      </c>
      <c r="G2281" s="57" t="s">
        <v>158</v>
      </c>
      <c r="H2281" s="32" t="str">
        <f aca="false">IF(L2281="","",INDEX(ポート振替表!$N$5:$N$3507,$L2281)&amp;"")</f>
        <v/>
      </c>
      <c r="I2281" s="32" t="str">
        <f aca="false">IF(L2281="","",INDEX(ポート振替表!$P$5:$P$3507,$L2281)&amp;"")</f>
        <v/>
      </c>
      <c r="J2281" s="60" t="str">
        <f aca="false">IF(L2281="","",INDEX(ポート振替表!$M$5:$M$3507,$L2281)&amp;"")</f>
        <v/>
      </c>
      <c r="K2281" s="52" t="str">
        <f aca="false">IF(L2281="","",E2281&amp;CHAR(10)&amp;INDEX(ポート振替表!$K$5:$K$3507,$L2281)&amp;" "&amp;INDEX(ポート振替表!$L$5:$L$3507,$L2281)&amp;CHAR(10)&amp;"⇔ "&amp;INDEX(ポート振替表!$H$5:$H$3507,$L2281)&amp;" "&amp;INDEX(ポート振替表!$I$5:$I$3507,$L2281))</f>
        <v/>
      </c>
      <c r="L2281" s="47" t="str">
        <f aca="false">IFERROR(MATCH(ROW()-4,ポート振替表!$V$5:$V$3507,0),"")</f>
        <v/>
      </c>
    </row>
    <row r="2282" customFormat="false" ht="16.4" hidden="false" customHeight="false" outlineLevel="0" collapsed="false">
      <c r="A2282" s="32" t="str">
        <f aca="false">IF(L2282="","",ROW()-4)</f>
        <v/>
      </c>
      <c r="B2282" s="58" t="str">
        <f aca="false">IF(L2282="","",IF(INDEX(ポート振替表!$W$5:$W$3507,$L2282)="","(なし)",INDEX(ポート振替表!$W$5:$W$3507,$L2282)&amp;""))</f>
        <v/>
      </c>
      <c r="C2282" s="52" t="str">
        <f aca="false">IF(L2282="","",INDEX(ポート振替表!$B$5:$B$3507,$L2282)&amp;" "&amp;INDEX(ポート振替表!$C$5:$C$3507,$L2282)&amp;"  ⇔  "&amp;INDEX(ポート振替表!$H$5:$H$3507,$L2282)&amp;" "&amp;INDEX(ポート振替表!$I$5:$I$3507,$L2282))</f>
        <v/>
      </c>
      <c r="D2282" s="57" t="s">
        <v>158</v>
      </c>
      <c r="E2282" s="59" t="str">
        <f aca="false">IF(L2282="","",IF(INDEX(ポート振替表!$O$5:$O$3507,$L2282)="","(未設定)",INDEX(ポート振替表!$O$5:$O$3507,$L2282)&amp;""))</f>
        <v/>
      </c>
      <c r="F2282" s="52" t="str">
        <f aca="false">IF(L2282="","",INDEX(ポート振替表!$K$5:$K$3507,$L2282)&amp;" "&amp;INDEX(ポート振替表!$L$5:$L$3507,$L2282)&amp;"  ⇔  "&amp;INDEX(ポート振替表!$H$5:$H$3507,$L2282)&amp;" "&amp;INDEX(ポート振替表!$I$5:$I$3507,$L2282))</f>
        <v/>
      </c>
      <c r="G2282" s="57" t="s">
        <v>158</v>
      </c>
      <c r="H2282" s="32" t="str">
        <f aca="false">IF(L2282="","",INDEX(ポート振替表!$N$5:$N$3507,$L2282)&amp;"")</f>
        <v/>
      </c>
      <c r="I2282" s="32" t="str">
        <f aca="false">IF(L2282="","",INDEX(ポート振替表!$P$5:$P$3507,$L2282)&amp;"")</f>
        <v/>
      </c>
      <c r="J2282" s="60" t="str">
        <f aca="false">IF(L2282="","",INDEX(ポート振替表!$M$5:$M$3507,$L2282)&amp;"")</f>
        <v/>
      </c>
      <c r="K2282" s="52" t="str">
        <f aca="false">IF(L2282="","",E2282&amp;CHAR(10)&amp;INDEX(ポート振替表!$K$5:$K$3507,$L2282)&amp;" "&amp;INDEX(ポート振替表!$L$5:$L$3507,$L2282)&amp;CHAR(10)&amp;"⇔ "&amp;INDEX(ポート振替表!$H$5:$H$3507,$L2282)&amp;" "&amp;INDEX(ポート振替表!$I$5:$I$3507,$L2282))</f>
        <v/>
      </c>
      <c r="L2282" s="47" t="str">
        <f aca="false">IFERROR(MATCH(ROW()-4,ポート振替表!$V$5:$V$3507,0),"")</f>
        <v/>
      </c>
    </row>
    <row r="2283" customFormat="false" ht="16.4" hidden="false" customHeight="false" outlineLevel="0" collapsed="false">
      <c r="A2283" s="32" t="str">
        <f aca="false">IF(L2283="","",ROW()-4)</f>
        <v/>
      </c>
      <c r="B2283" s="58" t="str">
        <f aca="false">IF(L2283="","",IF(INDEX(ポート振替表!$W$5:$W$3507,$L2283)="","(なし)",INDEX(ポート振替表!$W$5:$W$3507,$L2283)&amp;""))</f>
        <v/>
      </c>
      <c r="C2283" s="52" t="str">
        <f aca="false">IF(L2283="","",INDEX(ポート振替表!$B$5:$B$3507,$L2283)&amp;" "&amp;INDEX(ポート振替表!$C$5:$C$3507,$L2283)&amp;"  ⇔  "&amp;INDEX(ポート振替表!$H$5:$H$3507,$L2283)&amp;" "&amp;INDEX(ポート振替表!$I$5:$I$3507,$L2283))</f>
        <v/>
      </c>
      <c r="D2283" s="57" t="s">
        <v>158</v>
      </c>
      <c r="E2283" s="59" t="str">
        <f aca="false">IF(L2283="","",IF(INDEX(ポート振替表!$O$5:$O$3507,$L2283)="","(未設定)",INDEX(ポート振替表!$O$5:$O$3507,$L2283)&amp;""))</f>
        <v/>
      </c>
      <c r="F2283" s="52" t="str">
        <f aca="false">IF(L2283="","",INDEX(ポート振替表!$K$5:$K$3507,$L2283)&amp;" "&amp;INDEX(ポート振替表!$L$5:$L$3507,$L2283)&amp;"  ⇔  "&amp;INDEX(ポート振替表!$H$5:$H$3507,$L2283)&amp;" "&amp;INDEX(ポート振替表!$I$5:$I$3507,$L2283))</f>
        <v/>
      </c>
      <c r="G2283" s="57" t="s">
        <v>158</v>
      </c>
      <c r="H2283" s="32" t="str">
        <f aca="false">IF(L2283="","",INDEX(ポート振替表!$N$5:$N$3507,$L2283)&amp;"")</f>
        <v/>
      </c>
      <c r="I2283" s="32" t="str">
        <f aca="false">IF(L2283="","",INDEX(ポート振替表!$P$5:$P$3507,$L2283)&amp;"")</f>
        <v/>
      </c>
      <c r="J2283" s="60" t="str">
        <f aca="false">IF(L2283="","",INDEX(ポート振替表!$M$5:$M$3507,$L2283)&amp;"")</f>
        <v/>
      </c>
      <c r="K2283" s="52" t="str">
        <f aca="false">IF(L2283="","",E2283&amp;CHAR(10)&amp;INDEX(ポート振替表!$K$5:$K$3507,$L2283)&amp;" "&amp;INDEX(ポート振替表!$L$5:$L$3507,$L2283)&amp;CHAR(10)&amp;"⇔ "&amp;INDEX(ポート振替表!$H$5:$H$3507,$L2283)&amp;" "&amp;INDEX(ポート振替表!$I$5:$I$3507,$L2283))</f>
        <v/>
      </c>
      <c r="L2283" s="47" t="str">
        <f aca="false">IFERROR(MATCH(ROW()-4,ポート振替表!$V$5:$V$3507,0),"")</f>
        <v/>
      </c>
    </row>
    <row r="2284" customFormat="false" ht="16.4" hidden="false" customHeight="false" outlineLevel="0" collapsed="false">
      <c r="A2284" s="32" t="str">
        <f aca="false">IF(L2284="","",ROW()-4)</f>
        <v/>
      </c>
      <c r="B2284" s="58" t="str">
        <f aca="false">IF(L2284="","",IF(INDEX(ポート振替表!$W$5:$W$3507,$L2284)="","(なし)",INDEX(ポート振替表!$W$5:$W$3507,$L2284)&amp;""))</f>
        <v/>
      </c>
      <c r="C2284" s="52" t="str">
        <f aca="false">IF(L2284="","",INDEX(ポート振替表!$B$5:$B$3507,$L2284)&amp;" "&amp;INDEX(ポート振替表!$C$5:$C$3507,$L2284)&amp;"  ⇔  "&amp;INDEX(ポート振替表!$H$5:$H$3507,$L2284)&amp;" "&amp;INDEX(ポート振替表!$I$5:$I$3507,$L2284))</f>
        <v/>
      </c>
      <c r="D2284" s="57" t="s">
        <v>158</v>
      </c>
      <c r="E2284" s="59" t="str">
        <f aca="false">IF(L2284="","",IF(INDEX(ポート振替表!$O$5:$O$3507,$L2284)="","(未設定)",INDEX(ポート振替表!$O$5:$O$3507,$L2284)&amp;""))</f>
        <v/>
      </c>
      <c r="F2284" s="52" t="str">
        <f aca="false">IF(L2284="","",INDEX(ポート振替表!$K$5:$K$3507,$L2284)&amp;" "&amp;INDEX(ポート振替表!$L$5:$L$3507,$L2284)&amp;"  ⇔  "&amp;INDEX(ポート振替表!$H$5:$H$3507,$L2284)&amp;" "&amp;INDEX(ポート振替表!$I$5:$I$3507,$L2284))</f>
        <v/>
      </c>
      <c r="G2284" s="57" t="s">
        <v>158</v>
      </c>
      <c r="H2284" s="32" t="str">
        <f aca="false">IF(L2284="","",INDEX(ポート振替表!$N$5:$N$3507,$L2284)&amp;"")</f>
        <v/>
      </c>
      <c r="I2284" s="32" t="str">
        <f aca="false">IF(L2284="","",INDEX(ポート振替表!$P$5:$P$3507,$L2284)&amp;"")</f>
        <v/>
      </c>
      <c r="J2284" s="60" t="str">
        <f aca="false">IF(L2284="","",INDEX(ポート振替表!$M$5:$M$3507,$L2284)&amp;"")</f>
        <v/>
      </c>
      <c r="K2284" s="52" t="str">
        <f aca="false">IF(L2284="","",E2284&amp;CHAR(10)&amp;INDEX(ポート振替表!$K$5:$K$3507,$L2284)&amp;" "&amp;INDEX(ポート振替表!$L$5:$L$3507,$L2284)&amp;CHAR(10)&amp;"⇔ "&amp;INDEX(ポート振替表!$H$5:$H$3507,$L2284)&amp;" "&amp;INDEX(ポート振替表!$I$5:$I$3507,$L2284))</f>
        <v/>
      </c>
      <c r="L2284" s="47" t="str">
        <f aca="false">IFERROR(MATCH(ROW()-4,ポート振替表!$V$5:$V$3507,0),"")</f>
        <v/>
      </c>
    </row>
    <row r="2285" customFormat="false" ht="16.4" hidden="false" customHeight="false" outlineLevel="0" collapsed="false">
      <c r="A2285" s="32" t="str">
        <f aca="false">IF(L2285="","",ROW()-4)</f>
        <v/>
      </c>
      <c r="B2285" s="58" t="str">
        <f aca="false">IF(L2285="","",IF(INDEX(ポート振替表!$W$5:$W$3507,$L2285)="","(なし)",INDEX(ポート振替表!$W$5:$W$3507,$L2285)&amp;""))</f>
        <v/>
      </c>
      <c r="C2285" s="52" t="str">
        <f aca="false">IF(L2285="","",INDEX(ポート振替表!$B$5:$B$3507,$L2285)&amp;" "&amp;INDEX(ポート振替表!$C$5:$C$3507,$L2285)&amp;"  ⇔  "&amp;INDEX(ポート振替表!$H$5:$H$3507,$L2285)&amp;" "&amp;INDEX(ポート振替表!$I$5:$I$3507,$L2285))</f>
        <v/>
      </c>
      <c r="D2285" s="57" t="s">
        <v>158</v>
      </c>
      <c r="E2285" s="59" t="str">
        <f aca="false">IF(L2285="","",IF(INDEX(ポート振替表!$O$5:$O$3507,$L2285)="","(未設定)",INDEX(ポート振替表!$O$5:$O$3507,$L2285)&amp;""))</f>
        <v/>
      </c>
      <c r="F2285" s="52" t="str">
        <f aca="false">IF(L2285="","",INDEX(ポート振替表!$K$5:$K$3507,$L2285)&amp;" "&amp;INDEX(ポート振替表!$L$5:$L$3507,$L2285)&amp;"  ⇔  "&amp;INDEX(ポート振替表!$H$5:$H$3507,$L2285)&amp;" "&amp;INDEX(ポート振替表!$I$5:$I$3507,$L2285))</f>
        <v/>
      </c>
      <c r="G2285" s="57" t="s">
        <v>158</v>
      </c>
      <c r="H2285" s="32" t="str">
        <f aca="false">IF(L2285="","",INDEX(ポート振替表!$N$5:$N$3507,$L2285)&amp;"")</f>
        <v/>
      </c>
      <c r="I2285" s="32" t="str">
        <f aca="false">IF(L2285="","",INDEX(ポート振替表!$P$5:$P$3507,$L2285)&amp;"")</f>
        <v/>
      </c>
      <c r="J2285" s="60" t="str">
        <f aca="false">IF(L2285="","",INDEX(ポート振替表!$M$5:$M$3507,$L2285)&amp;"")</f>
        <v/>
      </c>
      <c r="K2285" s="52" t="str">
        <f aca="false">IF(L2285="","",E2285&amp;CHAR(10)&amp;INDEX(ポート振替表!$K$5:$K$3507,$L2285)&amp;" "&amp;INDEX(ポート振替表!$L$5:$L$3507,$L2285)&amp;CHAR(10)&amp;"⇔ "&amp;INDEX(ポート振替表!$H$5:$H$3507,$L2285)&amp;" "&amp;INDEX(ポート振替表!$I$5:$I$3507,$L2285))</f>
        <v/>
      </c>
      <c r="L2285" s="47" t="str">
        <f aca="false">IFERROR(MATCH(ROW()-4,ポート振替表!$V$5:$V$3507,0),"")</f>
        <v/>
      </c>
    </row>
    <row r="2286" customFormat="false" ht="16.4" hidden="false" customHeight="false" outlineLevel="0" collapsed="false">
      <c r="A2286" s="32" t="str">
        <f aca="false">IF(L2286="","",ROW()-4)</f>
        <v/>
      </c>
      <c r="B2286" s="58" t="str">
        <f aca="false">IF(L2286="","",IF(INDEX(ポート振替表!$W$5:$W$3507,$L2286)="","(なし)",INDEX(ポート振替表!$W$5:$W$3507,$L2286)&amp;""))</f>
        <v/>
      </c>
      <c r="C2286" s="52" t="str">
        <f aca="false">IF(L2286="","",INDEX(ポート振替表!$B$5:$B$3507,$L2286)&amp;" "&amp;INDEX(ポート振替表!$C$5:$C$3507,$L2286)&amp;"  ⇔  "&amp;INDEX(ポート振替表!$H$5:$H$3507,$L2286)&amp;" "&amp;INDEX(ポート振替表!$I$5:$I$3507,$L2286))</f>
        <v/>
      </c>
      <c r="D2286" s="57" t="s">
        <v>158</v>
      </c>
      <c r="E2286" s="59" t="str">
        <f aca="false">IF(L2286="","",IF(INDEX(ポート振替表!$O$5:$O$3507,$L2286)="","(未設定)",INDEX(ポート振替表!$O$5:$O$3507,$L2286)&amp;""))</f>
        <v/>
      </c>
      <c r="F2286" s="52" t="str">
        <f aca="false">IF(L2286="","",INDEX(ポート振替表!$K$5:$K$3507,$L2286)&amp;" "&amp;INDEX(ポート振替表!$L$5:$L$3507,$L2286)&amp;"  ⇔  "&amp;INDEX(ポート振替表!$H$5:$H$3507,$L2286)&amp;" "&amp;INDEX(ポート振替表!$I$5:$I$3507,$L2286))</f>
        <v/>
      </c>
      <c r="G2286" s="57" t="s">
        <v>158</v>
      </c>
      <c r="H2286" s="32" t="str">
        <f aca="false">IF(L2286="","",INDEX(ポート振替表!$N$5:$N$3507,$L2286)&amp;"")</f>
        <v/>
      </c>
      <c r="I2286" s="32" t="str">
        <f aca="false">IF(L2286="","",INDEX(ポート振替表!$P$5:$P$3507,$L2286)&amp;"")</f>
        <v/>
      </c>
      <c r="J2286" s="60" t="str">
        <f aca="false">IF(L2286="","",INDEX(ポート振替表!$M$5:$M$3507,$L2286)&amp;"")</f>
        <v/>
      </c>
      <c r="K2286" s="52" t="str">
        <f aca="false">IF(L2286="","",E2286&amp;CHAR(10)&amp;INDEX(ポート振替表!$K$5:$K$3507,$L2286)&amp;" "&amp;INDEX(ポート振替表!$L$5:$L$3507,$L2286)&amp;CHAR(10)&amp;"⇔ "&amp;INDEX(ポート振替表!$H$5:$H$3507,$L2286)&amp;" "&amp;INDEX(ポート振替表!$I$5:$I$3507,$L2286))</f>
        <v/>
      </c>
      <c r="L2286" s="47" t="str">
        <f aca="false">IFERROR(MATCH(ROW()-4,ポート振替表!$V$5:$V$3507,0),"")</f>
        <v/>
      </c>
    </row>
    <row r="2287" customFormat="false" ht="16.4" hidden="false" customHeight="false" outlineLevel="0" collapsed="false">
      <c r="A2287" s="32" t="str">
        <f aca="false">IF(L2287="","",ROW()-4)</f>
        <v/>
      </c>
      <c r="B2287" s="58" t="str">
        <f aca="false">IF(L2287="","",IF(INDEX(ポート振替表!$W$5:$W$3507,$L2287)="","(なし)",INDEX(ポート振替表!$W$5:$W$3507,$L2287)&amp;""))</f>
        <v/>
      </c>
      <c r="C2287" s="52" t="str">
        <f aca="false">IF(L2287="","",INDEX(ポート振替表!$B$5:$B$3507,$L2287)&amp;" "&amp;INDEX(ポート振替表!$C$5:$C$3507,$L2287)&amp;"  ⇔  "&amp;INDEX(ポート振替表!$H$5:$H$3507,$L2287)&amp;" "&amp;INDEX(ポート振替表!$I$5:$I$3507,$L2287))</f>
        <v/>
      </c>
      <c r="D2287" s="57" t="s">
        <v>158</v>
      </c>
      <c r="E2287" s="59" t="str">
        <f aca="false">IF(L2287="","",IF(INDEX(ポート振替表!$O$5:$O$3507,$L2287)="","(未設定)",INDEX(ポート振替表!$O$5:$O$3507,$L2287)&amp;""))</f>
        <v/>
      </c>
      <c r="F2287" s="52" t="str">
        <f aca="false">IF(L2287="","",INDEX(ポート振替表!$K$5:$K$3507,$L2287)&amp;" "&amp;INDEX(ポート振替表!$L$5:$L$3507,$L2287)&amp;"  ⇔  "&amp;INDEX(ポート振替表!$H$5:$H$3507,$L2287)&amp;" "&amp;INDEX(ポート振替表!$I$5:$I$3507,$L2287))</f>
        <v/>
      </c>
      <c r="G2287" s="57" t="s">
        <v>158</v>
      </c>
      <c r="H2287" s="32" t="str">
        <f aca="false">IF(L2287="","",INDEX(ポート振替表!$N$5:$N$3507,$L2287)&amp;"")</f>
        <v/>
      </c>
      <c r="I2287" s="32" t="str">
        <f aca="false">IF(L2287="","",INDEX(ポート振替表!$P$5:$P$3507,$L2287)&amp;"")</f>
        <v/>
      </c>
      <c r="J2287" s="60" t="str">
        <f aca="false">IF(L2287="","",INDEX(ポート振替表!$M$5:$M$3507,$L2287)&amp;"")</f>
        <v/>
      </c>
      <c r="K2287" s="52" t="str">
        <f aca="false">IF(L2287="","",E2287&amp;CHAR(10)&amp;INDEX(ポート振替表!$K$5:$K$3507,$L2287)&amp;" "&amp;INDEX(ポート振替表!$L$5:$L$3507,$L2287)&amp;CHAR(10)&amp;"⇔ "&amp;INDEX(ポート振替表!$H$5:$H$3507,$L2287)&amp;" "&amp;INDEX(ポート振替表!$I$5:$I$3507,$L2287))</f>
        <v/>
      </c>
      <c r="L2287" s="47" t="str">
        <f aca="false">IFERROR(MATCH(ROW()-4,ポート振替表!$V$5:$V$3507,0),"")</f>
        <v/>
      </c>
    </row>
    <row r="2288" customFormat="false" ht="16.4" hidden="false" customHeight="false" outlineLevel="0" collapsed="false">
      <c r="A2288" s="32" t="str">
        <f aca="false">IF(L2288="","",ROW()-4)</f>
        <v/>
      </c>
      <c r="B2288" s="58" t="str">
        <f aca="false">IF(L2288="","",IF(INDEX(ポート振替表!$W$5:$W$3507,$L2288)="","(なし)",INDEX(ポート振替表!$W$5:$W$3507,$L2288)&amp;""))</f>
        <v/>
      </c>
      <c r="C2288" s="52" t="str">
        <f aca="false">IF(L2288="","",INDEX(ポート振替表!$B$5:$B$3507,$L2288)&amp;" "&amp;INDEX(ポート振替表!$C$5:$C$3507,$L2288)&amp;"  ⇔  "&amp;INDEX(ポート振替表!$H$5:$H$3507,$L2288)&amp;" "&amp;INDEX(ポート振替表!$I$5:$I$3507,$L2288))</f>
        <v/>
      </c>
      <c r="D2288" s="57" t="s">
        <v>158</v>
      </c>
      <c r="E2288" s="59" t="str">
        <f aca="false">IF(L2288="","",IF(INDEX(ポート振替表!$O$5:$O$3507,$L2288)="","(未設定)",INDEX(ポート振替表!$O$5:$O$3507,$L2288)&amp;""))</f>
        <v/>
      </c>
      <c r="F2288" s="52" t="str">
        <f aca="false">IF(L2288="","",INDEX(ポート振替表!$K$5:$K$3507,$L2288)&amp;" "&amp;INDEX(ポート振替表!$L$5:$L$3507,$L2288)&amp;"  ⇔  "&amp;INDEX(ポート振替表!$H$5:$H$3507,$L2288)&amp;" "&amp;INDEX(ポート振替表!$I$5:$I$3507,$L2288))</f>
        <v/>
      </c>
      <c r="G2288" s="57" t="s">
        <v>158</v>
      </c>
      <c r="H2288" s="32" t="str">
        <f aca="false">IF(L2288="","",INDEX(ポート振替表!$N$5:$N$3507,$L2288)&amp;"")</f>
        <v/>
      </c>
      <c r="I2288" s="32" t="str">
        <f aca="false">IF(L2288="","",INDEX(ポート振替表!$P$5:$P$3507,$L2288)&amp;"")</f>
        <v/>
      </c>
      <c r="J2288" s="60" t="str">
        <f aca="false">IF(L2288="","",INDEX(ポート振替表!$M$5:$M$3507,$L2288)&amp;"")</f>
        <v/>
      </c>
      <c r="K2288" s="52" t="str">
        <f aca="false">IF(L2288="","",E2288&amp;CHAR(10)&amp;INDEX(ポート振替表!$K$5:$K$3507,$L2288)&amp;" "&amp;INDEX(ポート振替表!$L$5:$L$3507,$L2288)&amp;CHAR(10)&amp;"⇔ "&amp;INDEX(ポート振替表!$H$5:$H$3507,$L2288)&amp;" "&amp;INDEX(ポート振替表!$I$5:$I$3507,$L2288))</f>
        <v/>
      </c>
      <c r="L2288" s="47" t="str">
        <f aca="false">IFERROR(MATCH(ROW()-4,ポート振替表!$V$5:$V$3507,0),"")</f>
        <v/>
      </c>
    </row>
    <row r="2289" customFormat="false" ht="16.4" hidden="false" customHeight="false" outlineLevel="0" collapsed="false">
      <c r="A2289" s="32" t="str">
        <f aca="false">IF(L2289="","",ROW()-4)</f>
        <v/>
      </c>
      <c r="B2289" s="58" t="str">
        <f aca="false">IF(L2289="","",IF(INDEX(ポート振替表!$W$5:$W$3507,$L2289)="","(なし)",INDEX(ポート振替表!$W$5:$W$3507,$L2289)&amp;""))</f>
        <v/>
      </c>
      <c r="C2289" s="52" t="str">
        <f aca="false">IF(L2289="","",INDEX(ポート振替表!$B$5:$B$3507,$L2289)&amp;" "&amp;INDEX(ポート振替表!$C$5:$C$3507,$L2289)&amp;"  ⇔  "&amp;INDEX(ポート振替表!$H$5:$H$3507,$L2289)&amp;" "&amp;INDEX(ポート振替表!$I$5:$I$3507,$L2289))</f>
        <v/>
      </c>
      <c r="D2289" s="57" t="s">
        <v>158</v>
      </c>
      <c r="E2289" s="59" t="str">
        <f aca="false">IF(L2289="","",IF(INDEX(ポート振替表!$O$5:$O$3507,$L2289)="","(未設定)",INDEX(ポート振替表!$O$5:$O$3507,$L2289)&amp;""))</f>
        <v/>
      </c>
      <c r="F2289" s="52" t="str">
        <f aca="false">IF(L2289="","",INDEX(ポート振替表!$K$5:$K$3507,$L2289)&amp;" "&amp;INDEX(ポート振替表!$L$5:$L$3507,$L2289)&amp;"  ⇔  "&amp;INDEX(ポート振替表!$H$5:$H$3507,$L2289)&amp;" "&amp;INDEX(ポート振替表!$I$5:$I$3507,$L2289))</f>
        <v/>
      </c>
      <c r="G2289" s="57" t="s">
        <v>158</v>
      </c>
      <c r="H2289" s="32" t="str">
        <f aca="false">IF(L2289="","",INDEX(ポート振替表!$N$5:$N$3507,$L2289)&amp;"")</f>
        <v/>
      </c>
      <c r="I2289" s="32" t="str">
        <f aca="false">IF(L2289="","",INDEX(ポート振替表!$P$5:$P$3507,$L2289)&amp;"")</f>
        <v/>
      </c>
      <c r="J2289" s="60" t="str">
        <f aca="false">IF(L2289="","",INDEX(ポート振替表!$M$5:$M$3507,$L2289)&amp;"")</f>
        <v/>
      </c>
      <c r="K2289" s="52" t="str">
        <f aca="false">IF(L2289="","",E2289&amp;CHAR(10)&amp;INDEX(ポート振替表!$K$5:$K$3507,$L2289)&amp;" "&amp;INDEX(ポート振替表!$L$5:$L$3507,$L2289)&amp;CHAR(10)&amp;"⇔ "&amp;INDEX(ポート振替表!$H$5:$H$3507,$L2289)&amp;" "&amp;INDEX(ポート振替表!$I$5:$I$3507,$L2289))</f>
        <v/>
      </c>
      <c r="L2289" s="47" t="str">
        <f aca="false">IFERROR(MATCH(ROW()-4,ポート振替表!$V$5:$V$3507,0),"")</f>
        <v/>
      </c>
    </row>
    <row r="2290" customFormat="false" ht="16.4" hidden="false" customHeight="false" outlineLevel="0" collapsed="false">
      <c r="A2290" s="32" t="str">
        <f aca="false">IF(L2290="","",ROW()-4)</f>
        <v/>
      </c>
      <c r="B2290" s="58" t="str">
        <f aca="false">IF(L2290="","",IF(INDEX(ポート振替表!$W$5:$W$3507,$L2290)="","(なし)",INDEX(ポート振替表!$W$5:$W$3507,$L2290)&amp;""))</f>
        <v/>
      </c>
      <c r="C2290" s="52" t="str">
        <f aca="false">IF(L2290="","",INDEX(ポート振替表!$B$5:$B$3507,$L2290)&amp;" "&amp;INDEX(ポート振替表!$C$5:$C$3507,$L2290)&amp;"  ⇔  "&amp;INDEX(ポート振替表!$H$5:$H$3507,$L2290)&amp;" "&amp;INDEX(ポート振替表!$I$5:$I$3507,$L2290))</f>
        <v/>
      </c>
      <c r="D2290" s="57" t="s">
        <v>158</v>
      </c>
      <c r="E2290" s="59" t="str">
        <f aca="false">IF(L2290="","",IF(INDEX(ポート振替表!$O$5:$O$3507,$L2290)="","(未設定)",INDEX(ポート振替表!$O$5:$O$3507,$L2290)&amp;""))</f>
        <v/>
      </c>
      <c r="F2290" s="52" t="str">
        <f aca="false">IF(L2290="","",INDEX(ポート振替表!$K$5:$K$3507,$L2290)&amp;" "&amp;INDEX(ポート振替表!$L$5:$L$3507,$L2290)&amp;"  ⇔  "&amp;INDEX(ポート振替表!$H$5:$H$3507,$L2290)&amp;" "&amp;INDEX(ポート振替表!$I$5:$I$3507,$L2290))</f>
        <v/>
      </c>
      <c r="G2290" s="57" t="s">
        <v>158</v>
      </c>
      <c r="H2290" s="32" t="str">
        <f aca="false">IF(L2290="","",INDEX(ポート振替表!$N$5:$N$3507,$L2290)&amp;"")</f>
        <v/>
      </c>
      <c r="I2290" s="32" t="str">
        <f aca="false">IF(L2290="","",INDEX(ポート振替表!$P$5:$P$3507,$L2290)&amp;"")</f>
        <v/>
      </c>
      <c r="J2290" s="60" t="str">
        <f aca="false">IF(L2290="","",INDEX(ポート振替表!$M$5:$M$3507,$L2290)&amp;"")</f>
        <v/>
      </c>
      <c r="K2290" s="52" t="str">
        <f aca="false">IF(L2290="","",E2290&amp;CHAR(10)&amp;INDEX(ポート振替表!$K$5:$K$3507,$L2290)&amp;" "&amp;INDEX(ポート振替表!$L$5:$L$3507,$L2290)&amp;CHAR(10)&amp;"⇔ "&amp;INDEX(ポート振替表!$H$5:$H$3507,$L2290)&amp;" "&amp;INDEX(ポート振替表!$I$5:$I$3507,$L2290))</f>
        <v/>
      </c>
      <c r="L2290" s="47" t="str">
        <f aca="false">IFERROR(MATCH(ROW()-4,ポート振替表!$V$5:$V$3507,0),"")</f>
        <v/>
      </c>
    </row>
    <row r="2291" customFormat="false" ht="16.4" hidden="false" customHeight="false" outlineLevel="0" collapsed="false">
      <c r="A2291" s="32" t="str">
        <f aca="false">IF(L2291="","",ROW()-4)</f>
        <v/>
      </c>
      <c r="B2291" s="58" t="str">
        <f aca="false">IF(L2291="","",IF(INDEX(ポート振替表!$W$5:$W$3507,$L2291)="","(なし)",INDEX(ポート振替表!$W$5:$W$3507,$L2291)&amp;""))</f>
        <v/>
      </c>
      <c r="C2291" s="52" t="str">
        <f aca="false">IF(L2291="","",INDEX(ポート振替表!$B$5:$B$3507,$L2291)&amp;" "&amp;INDEX(ポート振替表!$C$5:$C$3507,$L2291)&amp;"  ⇔  "&amp;INDEX(ポート振替表!$H$5:$H$3507,$L2291)&amp;" "&amp;INDEX(ポート振替表!$I$5:$I$3507,$L2291))</f>
        <v/>
      </c>
      <c r="D2291" s="57" t="s">
        <v>158</v>
      </c>
      <c r="E2291" s="59" t="str">
        <f aca="false">IF(L2291="","",IF(INDEX(ポート振替表!$O$5:$O$3507,$L2291)="","(未設定)",INDEX(ポート振替表!$O$5:$O$3507,$L2291)&amp;""))</f>
        <v/>
      </c>
      <c r="F2291" s="52" t="str">
        <f aca="false">IF(L2291="","",INDEX(ポート振替表!$K$5:$K$3507,$L2291)&amp;" "&amp;INDEX(ポート振替表!$L$5:$L$3507,$L2291)&amp;"  ⇔  "&amp;INDEX(ポート振替表!$H$5:$H$3507,$L2291)&amp;" "&amp;INDEX(ポート振替表!$I$5:$I$3507,$L2291))</f>
        <v/>
      </c>
      <c r="G2291" s="57" t="s">
        <v>158</v>
      </c>
      <c r="H2291" s="32" t="str">
        <f aca="false">IF(L2291="","",INDEX(ポート振替表!$N$5:$N$3507,$L2291)&amp;"")</f>
        <v/>
      </c>
      <c r="I2291" s="32" t="str">
        <f aca="false">IF(L2291="","",INDEX(ポート振替表!$P$5:$P$3507,$L2291)&amp;"")</f>
        <v/>
      </c>
      <c r="J2291" s="60" t="str">
        <f aca="false">IF(L2291="","",INDEX(ポート振替表!$M$5:$M$3507,$L2291)&amp;"")</f>
        <v/>
      </c>
      <c r="K2291" s="52" t="str">
        <f aca="false">IF(L2291="","",E2291&amp;CHAR(10)&amp;INDEX(ポート振替表!$K$5:$K$3507,$L2291)&amp;" "&amp;INDEX(ポート振替表!$L$5:$L$3507,$L2291)&amp;CHAR(10)&amp;"⇔ "&amp;INDEX(ポート振替表!$H$5:$H$3507,$L2291)&amp;" "&amp;INDEX(ポート振替表!$I$5:$I$3507,$L2291))</f>
        <v/>
      </c>
      <c r="L2291" s="47" t="str">
        <f aca="false">IFERROR(MATCH(ROW()-4,ポート振替表!$V$5:$V$3507,0),"")</f>
        <v/>
      </c>
    </row>
    <row r="2292" customFormat="false" ht="16.4" hidden="false" customHeight="false" outlineLevel="0" collapsed="false">
      <c r="A2292" s="32" t="str">
        <f aca="false">IF(L2292="","",ROW()-4)</f>
        <v/>
      </c>
      <c r="B2292" s="58" t="str">
        <f aca="false">IF(L2292="","",IF(INDEX(ポート振替表!$W$5:$W$3507,$L2292)="","(なし)",INDEX(ポート振替表!$W$5:$W$3507,$L2292)&amp;""))</f>
        <v/>
      </c>
      <c r="C2292" s="52" t="str">
        <f aca="false">IF(L2292="","",INDEX(ポート振替表!$B$5:$B$3507,$L2292)&amp;" "&amp;INDEX(ポート振替表!$C$5:$C$3507,$L2292)&amp;"  ⇔  "&amp;INDEX(ポート振替表!$H$5:$H$3507,$L2292)&amp;" "&amp;INDEX(ポート振替表!$I$5:$I$3507,$L2292))</f>
        <v/>
      </c>
      <c r="D2292" s="57" t="s">
        <v>158</v>
      </c>
      <c r="E2292" s="59" t="str">
        <f aca="false">IF(L2292="","",IF(INDEX(ポート振替表!$O$5:$O$3507,$L2292)="","(未設定)",INDEX(ポート振替表!$O$5:$O$3507,$L2292)&amp;""))</f>
        <v/>
      </c>
      <c r="F2292" s="52" t="str">
        <f aca="false">IF(L2292="","",INDEX(ポート振替表!$K$5:$K$3507,$L2292)&amp;" "&amp;INDEX(ポート振替表!$L$5:$L$3507,$L2292)&amp;"  ⇔  "&amp;INDEX(ポート振替表!$H$5:$H$3507,$L2292)&amp;" "&amp;INDEX(ポート振替表!$I$5:$I$3507,$L2292))</f>
        <v/>
      </c>
      <c r="G2292" s="57" t="s">
        <v>158</v>
      </c>
      <c r="H2292" s="32" t="str">
        <f aca="false">IF(L2292="","",INDEX(ポート振替表!$N$5:$N$3507,$L2292)&amp;"")</f>
        <v/>
      </c>
      <c r="I2292" s="32" t="str">
        <f aca="false">IF(L2292="","",INDEX(ポート振替表!$P$5:$P$3507,$L2292)&amp;"")</f>
        <v/>
      </c>
      <c r="J2292" s="60" t="str">
        <f aca="false">IF(L2292="","",INDEX(ポート振替表!$M$5:$M$3507,$L2292)&amp;"")</f>
        <v/>
      </c>
      <c r="K2292" s="52" t="str">
        <f aca="false">IF(L2292="","",E2292&amp;CHAR(10)&amp;INDEX(ポート振替表!$K$5:$K$3507,$L2292)&amp;" "&amp;INDEX(ポート振替表!$L$5:$L$3507,$L2292)&amp;CHAR(10)&amp;"⇔ "&amp;INDEX(ポート振替表!$H$5:$H$3507,$L2292)&amp;" "&amp;INDEX(ポート振替表!$I$5:$I$3507,$L2292))</f>
        <v/>
      </c>
      <c r="L2292" s="47" t="str">
        <f aca="false">IFERROR(MATCH(ROW()-4,ポート振替表!$V$5:$V$3507,0),"")</f>
        <v/>
      </c>
    </row>
    <row r="2293" customFormat="false" ht="16.4" hidden="false" customHeight="false" outlineLevel="0" collapsed="false">
      <c r="A2293" s="32" t="str">
        <f aca="false">IF(L2293="","",ROW()-4)</f>
        <v/>
      </c>
      <c r="B2293" s="58" t="str">
        <f aca="false">IF(L2293="","",IF(INDEX(ポート振替表!$W$5:$W$3507,$L2293)="","(なし)",INDEX(ポート振替表!$W$5:$W$3507,$L2293)&amp;""))</f>
        <v/>
      </c>
      <c r="C2293" s="52" t="str">
        <f aca="false">IF(L2293="","",INDEX(ポート振替表!$B$5:$B$3507,$L2293)&amp;" "&amp;INDEX(ポート振替表!$C$5:$C$3507,$L2293)&amp;"  ⇔  "&amp;INDEX(ポート振替表!$H$5:$H$3507,$L2293)&amp;" "&amp;INDEX(ポート振替表!$I$5:$I$3507,$L2293))</f>
        <v/>
      </c>
      <c r="D2293" s="57" t="s">
        <v>158</v>
      </c>
      <c r="E2293" s="59" t="str">
        <f aca="false">IF(L2293="","",IF(INDEX(ポート振替表!$O$5:$O$3507,$L2293)="","(未設定)",INDEX(ポート振替表!$O$5:$O$3507,$L2293)&amp;""))</f>
        <v/>
      </c>
      <c r="F2293" s="52" t="str">
        <f aca="false">IF(L2293="","",INDEX(ポート振替表!$K$5:$K$3507,$L2293)&amp;" "&amp;INDEX(ポート振替表!$L$5:$L$3507,$L2293)&amp;"  ⇔  "&amp;INDEX(ポート振替表!$H$5:$H$3507,$L2293)&amp;" "&amp;INDEX(ポート振替表!$I$5:$I$3507,$L2293))</f>
        <v/>
      </c>
      <c r="G2293" s="57" t="s">
        <v>158</v>
      </c>
      <c r="H2293" s="32" t="str">
        <f aca="false">IF(L2293="","",INDEX(ポート振替表!$N$5:$N$3507,$L2293)&amp;"")</f>
        <v/>
      </c>
      <c r="I2293" s="32" t="str">
        <f aca="false">IF(L2293="","",INDEX(ポート振替表!$P$5:$P$3507,$L2293)&amp;"")</f>
        <v/>
      </c>
      <c r="J2293" s="60" t="str">
        <f aca="false">IF(L2293="","",INDEX(ポート振替表!$M$5:$M$3507,$L2293)&amp;"")</f>
        <v/>
      </c>
      <c r="K2293" s="52" t="str">
        <f aca="false">IF(L2293="","",E2293&amp;CHAR(10)&amp;INDEX(ポート振替表!$K$5:$K$3507,$L2293)&amp;" "&amp;INDEX(ポート振替表!$L$5:$L$3507,$L2293)&amp;CHAR(10)&amp;"⇔ "&amp;INDEX(ポート振替表!$H$5:$H$3507,$L2293)&amp;" "&amp;INDEX(ポート振替表!$I$5:$I$3507,$L2293))</f>
        <v/>
      </c>
      <c r="L2293" s="47" t="str">
        <f aca="false">IFERROR(MATCH(ROW()-4,ポート振替表!$V$5:$V$3507,0),"")</f>
        <v/>
      </c>
    </row>
    <row r="2294" customFormat="false" ht="16.4" hidden="false" customHeight="false" outlineLevel="0" collapsed="false">
      <c r="A2294" s="32" t="str">
        <f aca="false">IF(L2294="","",ROW()-4)</f>
        <v/>
      </c>
      <c r="B2294" s="58" t="str">
        <f aca="false">IF(L2294="","",IF(INDEX(ポート振替表!$W$5:$W$3507,$L2294)="","(なし)",INDEX(ポート振替表!$W$5:$W$3507,$L2294)&amp;""))</f>
        <v/>
      </c>
      <c r="C2294" s="52" t="str">
        <f aca="false">IF(L2294="","",INDEX(ポート振替表!$B$5:$B$3507,$L2294)&amp;" "&amp;INDEX(ポート振替表!$C$5:$C$3507,$L2294)&amp;"  ⇔  "&amp;INDEX(ポート振替表!$H$5:$H$3507,$L2294)&amp;" "&amp;INDEX(ポート振替表!$I$5:$I$3507,$L2294))</f>
        <v/>
      </c>
      <c r="D2294" s="57" t="s">
        <v>158</v>
      </c>
      <c r="E2294" s="59" t="str">
        <f aca="false">IF(L2294="","",IF(INDEX(ポート振替表!$O$5:$O$3507,$L2294)="","(未設定)",INDEX(ポート振替表!$O$5:$O$3507,$L2294)&amp;""))</f>
        <v/>
      </c>
      <c r="F2294" s="52" t="str">
        <f aca="false">IF(L2294="","",INDEX(ポート振替表!$K$5:$K$3507,$L2294)&amp;" "&amp;INDEX(ポート振替表!$L$5:$L$3507,$L2294)&amp;"  ⇔  "&amp;INDEX(ポート振替表!$H$5:$H$3507,$L2294)&amp;" "&amp;INDEX(ポート振替表!$I$5:$I$3507,$L2294))</f>
        <v/>
      </c>
      <c r="G2294" s="57" t="s">
        <v>158</v>
      </c>
      <c r="H2294" s="32" t="str">
        <f aca="false">IF(L2294="","",INDEX(ポート振替表!$N$5:$N$3507,$L2294)&amp;"")</f>
        <v/>
      </c>
      <c r="I2294" s="32" t="str">
        <f aca="false">IF(L2294="","",INDEX(ポート振替表!$P$5:$P$3507,$L2294)&amp;"")</f>
        <v/>
      </c>
      <c r="J2294" s="60" t="str">
        <f aca="false">IF(L2294="","",INDEX(ポート振替表!$M$5:$M$3507,$L2294)&amp;"")</f>
        <v/>
      </c>
      <c r="K2294" s="52" t="str">
        <f aca="false">IF(L2294="","",E2294&amp;CHAR(10)&amp;INDEX(ポート振替表!$K$5:$K$3507,$L2294)&amp;" "&amp;INDEX(ポート振替表!$L$5:$L$3507,$L2294)&amp;CHAR(10)&amp;"⇔ "&amp;INDEX(ポート振替表!$H$5:$H$3507,$L2294)&amp;" "&amp;INDEX(ポート振替表!$I$5:$I$3507,$L2294))</f>
        <v/>
      </c>
      <c r="L2294" s="47" t="str">
        <f aca="false">IFERROR(MATCH(ROW()-4,ポート振替表!$V$5:$V$3507,0),"")</f>
        <v/>
      </c>
    </row>
    <row r="2295" customFormat="false" ht="16.4" hidden="false" customHeight="false" outlineLevel="0" collapsed="false">
      <c r="A2295" s="32" t="str">
        <f aca="false">IF(L2295="","",ROW()-4)</f>
        <v/>
      </c>
      <c r="B2295" s="58" t="str">
        <f aca="false">IF(L2295="","",IF(INDEX(ポート振替表!$W$5:$W$3507,$L2295)="","(なし)",INDEX(ポート振替表!$W$5:$W$3507,$L2295)&amp;""))</f>
        <v/>
      </c>
      <c r="C2295" s="52" t="str">
        <f aca="false">IF(L2295="","",INDEX(ポート振替表!$B$5:$B$3507,$L2295)&amp;" "&amp;INDEX(ポート振替表!$C$5:$C$3507,$L2295)&amp;"  ⇔  "&amp;INDEX(ポート振替表!$H$5:$H$3507,$L2295)&amp;" "&amp;INDEX(ポート振替表!$I$5:$I$3507,$L2295))</f>
        <v/>
      </c>
      <c r="D2295" s="57" t="s">
        <v>158</v>
      </c>
      <c r="E2295" s="59" t="str">
        <f aca="false">IF(L2295="","",IF(INDEX(ポート振替表!$O$5:$O$3507,$L2295)="","(未設定)",INDEX(ポート振替表!$O$5:$O$3507,$L2295)&amp;""))</f>
        <v/>
      </c>
      <c r="F2295" s="52" t="str">
        <f aca="false">IF(L2295="","",INDEX(ポート振替表!$K$5:$K$3507,$L2295)&amp;" "&amp;INDEX(ポート振替表!$L$5:$L$3507,$L2295)&amp;"  ⇔  "&amp;INDEX(ポート振替表!$H$5:$H$3507,$L2295)&amp;" "&amp;INDEX(ポート振替表!$I$5:$I$3507,$L2295))</f>
        <v/>
      </c>
      <c r="G2295" s="57" t="s">
        <v>158</v>
      </c>
      <c r="H2295" s="32" t="str">
        <f aca="false">IF(L2295="","",INDEX(ポート振替表!$N$5:$N$3507,$L2295)&amp;"")</f>
        <v/>
      </c>
      <c r="I2295" s="32" t="str">
        <f aca="false">IF(L2295="","",INDEX(ポート振替表!$P$5:$P$3507,$L2295)&amp;"")</f>
        <v/>
      </c>
      <c r="J2295" s="60" t="str">
        <f aca="false">IF(L2295="","",INDEX(ポート振替表!$M$5:$M$3507,$L2295)&amp;"")</f>
        <v/>
      </c>
      <c r="K2295" s="52" t="str">
        <f aca="false">IF(L2295="","",E2295&amp;CHAR(10)&amp;INDEX(ポート振替表!$K$5:$K$3507,$L2295)&amp;" "&amp;INDEX(ポート振替表!$L$5:$L$3507,$L2295)&amp;CHAR(10)&amp;"⇔ "&amp;INDEX(ポート振替表!$H$5:$H$3507,$L2295)&amp;" "&amp;INDEX(ポート振替表!$I$5:$I$3507,$L2295))</f>
        <v/>
      </c>
      <c r="L2295" s="47" t="str">
        <f aca="false">IFERROR(MATCH(ROW()-4,ポート振替表!$V$5:$V$3507,0),"")</f>
        <v/>
      </c>
    </row>
    <row r="2296" customFormat="false" ht="16.4" hidden="false" customHeight="false" outlineLevel="0" collapsed="false">
      <c r="A2296" s="32" t="str">
        <f aca="false">IF(L2296="","",ROW()-4)</f>
        <v/>
      </c>
      <c r="B2296" s="58" t="str">
        <f aca="false">IF(L2296="","",IF(INDEX(ポート振替表!$W$5:$W$3507,$L2296)="","(なし)",INDEX(ポート振替表!$W$5:$W$3507,$L2296)&amp;""))</f>
        <v/>
      </c>
      <c r="C2296" s="52" t="str">
        <f aca="false">IF(L2296="","",INDEX(ポート振替表!$B$5:$B$3507,$L2296)&amp;" "&amp;INDEX(ポート振替表!$C$5:$C$3507,$L2296)&amp;"  ⇔  "&amp;INDEX(ポート振替表!$H$5:$H$3507,$L2296)&amp;" "&amp;INDEX(ポート振替表!$I$5:$I$3507,$L2296))</f>
        <v/>
      </c>
      <c r="D2296" s="57" t="s">
        <v>158</v>
      </c>
      <c r="E2296" s="59" t="str">
        <f aca="false">IF(L2296="","",IF(INDEX(ポート振替表!$O$5:$O$3507,$L2296)="","(未設定)",INDEX(ポート振替表!$O$5:$O$3507,$L2296)&amp;""))</f>
        <v/>
      </c>
      <c r="F2296" s="52" t="str">
        <f aca="false">IF(L2296="","",INDEX(ポート振替表!$K$5:$K$3507,$L2296)&amp;" "&amp;INDEX(ポート振替表!$L$5:$L$3507,$L2296)&amp;"  ⇔  "&amp;INDEX(ポート振替表!$H$5:$H$3507,$L2296)&amp;" "&amp;INDEX(ポート振替表!$I$5:$I$3507,$L2296))</f>
        <v/>
      </c>
      <c r="G2296" s="57" t="s">
        <v>158</v>
      </c>
      <c r="H2296" s="32" t="str">
        <f aca="false">IF(L2296="","",INDEX(ポート振替表!$N$5:$N$3507,$L2296)&amp;"")</f>
        <v/>
      </c>
      <c r="I2296" s="32" t="str">
        <f aca="false">IF(L2296="","",INDEX(ポート振替表!$P$5:$P$3507,$L2296)&amp;"")</f>
        <v/>
      </c>
      <c r="J2296" s="60" t="str">
        <f aca="false">IF(L2296="","",INDEX(ポート振替表!$M$5:$M$3507,$L2296)&amp;"")</f>
        <v/>
      </c>
      <c r="K2296" s="52" t="str">
        <f aca="false">IF(L2296="","",E2296&amp;CHAR(10)&amp;INDEX(ポート振替表!$K$5:$K$3507,$L2296)&amp;" "&amp;INDEX(ポート振替表!$L$5:$L$3507,$L2296)&amp;CHAR(10)&amp;"⇔ "&amp;INDEX(ポート振替表!$H$5:$H$3507,$L2296)&amp;" "&amp;INDEX(ポート振替表!$I$5:$I$3507,$L2296))</f>
        <v/>
      </c>
      <c r="L2296" s="47" t="str">
        <f aca="false">IFERROR(MATCH(ROW()-4,ポート振替表!$V$5:$V$3507,0),"")</f>
        <v/>
      </c>
    </row>
    <row r="2297" customFormat="false" ht="16.4" hidden="false" customHeight="false" outlineLevel="0" collapsed="false">
      <c r="A2297" s="32" t="str">
        <f aca="false">IF(L2297="","",ROW()-4)</f>
        <v/>
      </c>
      <c r="B2297" s="58" t="str">
        <f aca="false">IF(L2297="","",IF(INDEX(ポート振替表!$W$5:$W$3507,$L2297)="","(なし)",INDEX(ポート振替表!$W$5:$W$3507,$L2297)&amp;""))</f>
        <v/>
      </c>
      <c r="C2297" s="52" t="str">
        <f aca="false">IF(L2297="","",INDEX(ポート振替表!$B$5:$B$3507,$L2297)&amp;" "&amp;INDEX(ポート振替表!$C$5:$C$3507,$L2297)&amp;"  ⇔  "&amp;INDEX(ポート振替表!$H$5:$H$3507,$L2297)&amp;" "&amp;INDEX(ポート振替表!$I$5:$I$3507,$L2297))</f>
        <v/>
      </c>
      <c r="D2297" s="57" t="s">
        <v>158</v>
      </c>
      <c r="E2297" s="59" t="str">
        <f aca="false">IF(L2297="","",IF(INDEX(ポート振替表!$O$5:$O$3507,$L2297)="","(未設定)",INDEX(ポート振替表!$O$5:$O$3507,$L2297)&amp;""))</f>
        <v/>
      </c>
      <c r="F2297" s="52" t="str">
        <f aca="false">IF(L2297="","",INDEX(ポート振替表!$K$5:$K$3507,$L2297)&amp;" "&amp;INDEX(ポート振替表!$L$5:$L$3507,$L2297)&amp;"  ⇔  "&amp;INDEX(ポート振替表!$H$5:$H$3507,$L2297)&amp;" "&amp;INDEX(ポート振替表!$I$5:$I$3507,$L2297))</f>
        <v/>
      </c>
      <c r="G2297" s="57" t="s">
        <v>158</v>
      </c>
      <c r="H2297" s="32" t="str">
        <f aca="false">IF(L2297="","",INDEX(ポート振替表!$N$5:$N$3507,$L2297)&amp;"")</f>
        <v/>
      </c>
      <c r="I2297" s="32" t="str">
        <f aca="false">IF(L2297="","",INDEX(ポート振替表!$P$5:$P$3507,$L2297)&amp;"")</f>
        <v/>
      </c>
      <c r="J2297" s="60" t="str">
        <f aca="false">IF(L2297="","",INDEX(ポート振替表!$M$5:$M$3507,$L2297)&amp;"")</f>
        <v/>
      </c>
      <c r="K2297" s="52" t="str">
        <f aca="false">IF(L2297="","",E2297&amp;CHAR(10)&amp;INDEX(ポート振替表!$K$5:$K$3507,$L2297)&amp;" "&amp;INDEX(ポート振替表!$L$5:$L$3507,$L2297)&amp;CHAR(10)&amp;"⇔ "&amp;INDEX(ポート振替表!$H$5:$H$3507,$L2297)&amp;" "&amp;INDEX(ポート振替表!$I$5:$I$3507,$L2297))</f>
        <v/>
      </c>
      <c r="L2297" s="47" t="str">
        <f aca="false">IFERROR(MATCH(ROW()-4,ポート振替表!$V$5:$V$3507,0),"")</f>
        <v/>
      </c>
    </row>
    <row r="2298" customFormat="false" ht="16.4" hidden="false" customHeight="false" outlineLevel="0" collapsed="false">
      <c r="A2298" s="32" t="str">
        <f aca="false">IF(L2298="","",ROW()-4)</f>
        <v/>
      </c>
      <c r="B2298" s="58" t="str">
        <f aca="false">IF(L2298="","",IF(INDEX(ポート振替表!$W$5:$W$3507,$L2298)="","(なし)",INDEX(ポート振替表!$W$5:$W$3507,$L2298)&amp;""))</f>
        <v/>
      </c>
      <c r="C2298" s="52" t="str">
        <f aca="false">IF(L2298="","",INDEX(ポート振替表!$B$5:$B$3507,$L2298)&amp;" "&amp;INDEX(ポート振替表!$C$5:$C$3507,$L2298)&amp;"  ⇔  "&amp;INDEX(ポート振替表!$H$5:$H$3507,$L2298)&amp;" "&amp;INDEX(ポート振替表!$I$5:$I$3507,$L2298))</f>
        <v/>
      </c>
      <c r="D2298" s="57" t="s">
        <v>158</v>
      </c>
      <c r="E2298" s="59" t="str">
        <f aca="false">IF(L2298="","",IF(INDEX(ポート振替表!$O$5:$O$3507,$L2298)="","(未設定)",INDEX(ポート振替表!$O$5:$O$3507,$L2298)&amp;""))</f>
        <v/>
      </c>
      <c r="F2298" s="52" t="str">
        <f aca="false">IF(L2298="","",INDEX(ポート振替表!$K$5:$K$3507,$L2298)&amp;" "&amp;INDEX(ポート振替表!$L$5:$L$3507,$L2298)&amp;"  ⇔  "&amp;INDEX(ポート振替表!$H$5:$H$3507,$L2298)&amp;" "&amp;INDEX(ポート振替表!$I$5:$I$3507,$L2298))</f>
        <v/>
      </c>
      <c r="G2298" s="57" t="s">
        <v>158</v>
      </c>
      <c r="H2298" s="32" t="str">
        <f aca="false">IF(L2298="","",INDEX(ポート振替表!$N$5:$N$3507,$L2298)&amp;"")</f>
        <v/>
      </c>
      <c r="I2298" s="32" t="str">
        <f aca="false">IF(L2298="","",INDEX(ポート振替表!$P$5:$P$3507,$L2298)&amp;"")</f>
        <v/>
      </c>
      <c r="J2298" s="60" t="str">
        <f aca="false">IF(L2298="","",INDEX(ポート振替表!$M$5:$M$3507,$L2298)&amp;"")</f>
        <v/>
      </c>
      <c r="K2298" s="52" t="str">
        <f aca="false">IF(L2298="","",E2298&amp;CHAR(10)&amp;INDEX(ポート振替表!$K$5:$K$3507,$L2298)&amp;" "&amp;INDEX(ポート振替表!$L$5:$L$3507,$L2298)&amp;CHAR(10)&amp;"⇔ "&amp;INDEX(ポート振替表!$H$5:$H$3507,$L2298)&amp;" "&amp;INDEX(ポート振替表!$I$5:$I$3507,$L2298))</f>
        <v/>
      </c>
      <c r="L2298" s="47" t="str">
        <f aca="false">IFERROR(MATCH(ROW()-4,ポート振替表!$V$5:$V$3507,0),"")</f>
        <v/>
      </c>
    </row>
    <row r="2299" customFormat="false" ht="16.4" hidden="false" customHeight="false" outlineLevel="0" collapsed="false">
      <c r="A2299" s="32" t="str">
        <f aca="false">IF(L2299="","",ROW()-4)</f>
        <v/>
      </c>
      <c r="B2299" s="58" t="str">
        <f aca="false">IF(L2299="","",IF(INDEX(ポート振替表!$W$5:$W$3507,$L2299)="","(なし)",INDEX(ポート振替表!$W$5:$W$3507,$L2299)&amp;""))</f>
        <v/>
      </c>
      <c r="C2299" s="52" t="str">
        <f aca="false">IF(L2299="","",INDEX(ポート振替表!$B$5:$B$3507,$L2299)&amp;" "&amp;INDEX(ポート振替表!$C$5:$C$3507,$L2299)&amp;"  ⇔  "&amp;INDEX(ポート振替表!$H$5:$H$3507,$L2299)&amp;" "&amp;INDEX(ポート振替表!$I$5:$I$3507,$L2299))</f>
        <v/>
      </c>
      <c r="D2299" s="57" t="s">
        <v>158</v>
      </c>
      <c r="E2299" s="59" t="str">
        <f aca="false">IF(L2299="","",IF(INDEX(ポート振替表!$O$5:$O$3507,$L2299)="","(未設定)",INDEX(ポート振替表!$O$5:$O$3507,$L2299)&amp;""))</f>
        <v/>
      </c>
      <c r="F2299" s="52" t="str">
        <f aca="false">IF(L2299="","",INDEX(ポート振替表!$K$5:$K$3507,$L2299)&amp;" "&amp;INDEX(ポート振替表!$L$5:$L$3507,$L2299)&amp;"  ⇔  "&amp;INDEX(ポート振替表!$H$5:$H$3507,$L2299)&amp;" "&amp;INDEX(ポート振替表!$I$5:$I$3507,$L2299))</f>
        <v/>
      </c>
      <c r="G2299" s="57" t="s">
        <v>158</v>
      </c>
      <c r="H2299" s="32" t="str">
        <f aca="false">IF(L2299="","",INDEX(ポート振替表!$N$5:$N$3507,$L2299)&amp;"")</f>
        <v/>
      </c>
      <c r="I2299" s="32" t="str">
        <f aca="false">IF(L2299="","",INDEX(ポート振替表!$P$5:$P$3507,$L2299)&amp;"")</f>
        <v/>
      </c>
      <c r="J2299" s="60" t="str">
        <f aca="false">IF(L2299="","",INDEX(ポート振替表!$M$5:$M$3507,$L2299)&amp;"")</f>
        <v/>
      </c>
      <c r="K2299" s="52" t="str">
        <f aca="false">IF(L2299="","",E2299&amp;CHAR(10)&amp;INDEX(ポート振替表!$K$5:$K$3507,$L2299)&amp;" "&amp;INDEX(ポート振替表!$L$5:$L$3507,$L2299)&amp;CHAR(10)&amp;"⇔ "&amp;INDEX(ポート振替表!$H$5:$H$3507,$L2299)&amp;" "&amp;INDEX(ポート振替表!$I$5:$I$3507,$L2299))</f>
        <v/>
      </c>
      <c r="L2299" s="47" t="str">
        <f aca="false">IFERROR(MATCH(ROW()-4,ポート振替表!$V$5:$V$3507,0),"")</f>
        <v/>
      </c>
    </row>
    <row r="2300" customFormat="false" ht="16.4" hidden="false" customHeight="false" outlineLevel="0" collapsed="false">
      <c r="A2300" s="32" t="str">
        <f aca="false">IF(L2300="","",ROW()-4)</f>
        <v/>
      </c>
      <c r="B2300" s="58" t="str">
        <f aca="false">IF(L2300="","",IF(INDEX(ポート振替表!$W$5:$W$3507,$L2300)="","(なし)",INDEX(ポート振替表!$W$5:$W$3507,$L2300)&amp;""))</f>
        <v/>
      </c>
      <c r="C2300" s="52" t="str">
        <f aca="false">IF(L2300="","",INDEX(ポート振替表!$B$5:$B$3507,$L2300)&amp;" "&amp;INDEX(ポート振替表!$C$5:$C$3507,$L2300)&amp;"  ⇔  "&amp;INDEX(ポート振替表!$H$5:$H$3507,$L2300)&amp;" "&amp;INDEX(ポート振替表!$I$5:$I$3507,$L2300))</f>
        <v/>
      </c>
      <c r="D2300" s="57" t="s">
        <v>158</v>
      </c>
      <c r="E2300" s="59" t="str">
        <f aca="false">IF(L2300="","",IF(INDEX(ポート振替表!$O$5:$O$3507,$L2300)="","(未設定)",INDEX(ポート振替表!$O$5:$O$3507,$L2300)&amp;""))</f>
        <v/>
      </c>
      <c r="F2300" s="52" t="str">
        <f aca="false">IF(L2300="","",INDEX(ポート振替表!$K$5:$K$3507,$L2300)&amp;" "&amp;INDEX(ポート振替表!$L$5:$L$3507,$L2300)&amp;"  ⇔  "&amp;INDEX(ポート振替表!$H$5:$H$3507,$L2300)&amp;" "&amp;INDEX(ポート振替表!$I$5:$I$3507,$L2300))</f>
        <v/>
      </c>
      <c r="G2300" s="57" t="s">
        <v>158</v>
      </c>
      <c r="H2300" s="32" t="str">
        <f aca="false">IF(L2300="","",INDEX(ポート振替表!$N$5:$N$3507,$L2300)&amp;"")</f>
        <v/>
      </c>
      <c r="I2300" s="32" t="str">
        <f aca="false">IF(L2300="","",INDEX(ポート振替表!$P$5:$P$3507,$L2300)&amp;"")</f>
        <v/>
      </c>
      <c r="J2300" s="60" t="str">
        <f aca="false">IF(L2300="","",INDEX(ポート振替表!$M$5:$M$3507,$L2300)&amp;"")</f>
        <v/>
      </c>
      <c r="K2300" s="52" t="str">
        <f aca="false">IF(L2300="","",E2300&amp;CHAR(10)&amp;INDEX(ポート振替表!$K$5:$K$3507,$L2300)&amp;" "&amp;INDEX(ポート振替表!$L$5:$L$3507,$L2300)&amp;CHAR(10)&amp;"⇔ "&amp;INDEX(ポート振替表!$H$5:$H$3507,$L2300)&amp;" "&amp;INDEX(ポート振替表!$I$5:$I$3507,$L2300))</f>
        <v/>
      </c>
      <c r="L2300" s="47" t="str">
        <f aca="false">IFERROR(MATCH(ROW()-4,ポート振替表!$V$5:$V$3507,0),"")</f>
        <v/>
      </c>
    </row>
    <row r="2301" customFormat="false" ht="16.4" hidden="false" customHeight="false" outlineLevel="0" collapsed="false">
      <c r="A2301" s="32" t="str">
        <f aca="false">IF(L2301="","",ROW()-4)</f>
        <v/>
      </c>
      <c r="B2301" s="58" t="str">
        <f aca="false">IF(L2301="","",IF(INDEX(ポート振替表!$W$5:$W$3507,$L2301)="","(なし)",INDEX(ポート振替表!$W$5:$W$3507,$L2301)&amp;""))</f>
        <v/>
      </c>
      <c r="C2301" s="52" t="str">
        <f aca="false">IF(L2301="","",INDEX(ポート振替表!$B$5:$B$3507,$L2301)&amp;" "&amp;INDEX(ポート振替表!$C$5:$C$3507,$L2301)&amp;"  ⇔  "&amp;INDEX(ポート振替表!$H$5:$H$3507,$L2301)&amp;" "&amp;INDEX(ポート振替表!$I$5:$I$3507,$L2301))</f>
        <v/>
      </c>
      <c r="D2301" s="57" t="s">
        <v>158</v>
      </c>
      <c r="E2301" s="59" t="str">
        <f aca="false">IF(L2301="","",IF(INDEX(ポート振替表!$O$5:$O$3507,$L2301)="","(未設定)",INDEX(ポート振替表!$O$5:$O$3507,$L2301)&amp;""))</f>
        <v/>
      </c>
      <c r="F2301" s="52" t="str">
        <f aca="false">IF(L2301="","",INDEX(ポート振替表!$K$5:$K$3507,$L2301)&amp;" "&amp;INDEX(ポート振替表!$L$5:$L$3507,$L2301)&amp;"  ⇔  "&amp;INDEX(ポート振替表!$H$5:$H$3507,$L2301)&amp;" "&amp;INDEX(ポート振替表!$I$5:$I$3507,$L2301))</f>
        <v/>
      </c>
      <c r="G2301" s="57" t="s">
        <v>158</v>
      </c>
      <c r="H2301" s="32" t="str">
        <f aca="false">IF(L2301="","",INDEX(ポート振替表!$N$5:$N$3507,$L2301)&amp;"")</f>
        <v/>
      </c>
      <c r="I2301" s="32" t="str">
        <f aca="false">IF(L2301="","",INDEX(ポート振替表!$P$5:$P$3507,$L2301)&amp;"")</f>
        <v/>
      </c>
      <c r="J2301" s="60" t="str">
        <f aca="false">IF(L2301="","",INDEX(ポート振替表!$M$5:$M$3507,$L2301)&amp;"")</f>
        <v/>
      </c>
      <c r="K2301" s="52" t="str">
        <f aca="false">IF(L2301="","",E2301&amp;CHAR(10)&amp;INDEX(ポート振替表!$K$5:$K$3507,$L2301)&amp;" "&amp;INDEX(ポート振替表!$L$5:$L$3507,$L2301)&amp;CHAR(10)&amp;"⇔ "&amp;INDEX(ポート振替表!$H$5:$H$3507,$L2301)&amp;" "&amp;INDEX(ポート振替表!$I$5:$I$3507,$L2301))</f>
        <v/>
      </c>
      <c r="L2301" s="47" t="str">
        <f aca="false">IFERROR(MATCH(ROW()-4,ポート振替表!$V$5:$V$3507,0),"")</f>
        <v/>
      </c>
    </row>
    <row r="2302" customFormat="false" ht="16.4" hidden="false" customHeight="false" outlineLevel="0" collapsed="false">
      <c r="A2302" s="32" t="str">
        <f aca="false">IF(L2302="","",ROW()-4)</f>
        <v/>
      </c>
      <c r="B2302" s="58" t="str">
        <f aca="false">IF(L2302="","",IF(INDEX(ポート振替表!$W$5:$W$3507,$L2302)="","(なし)",INDEX(ポート振替表!$W$5:$W$3507,$L2302)&amp;""))</f>
        <v/>
      </c>
      <c r="C2302" s="52" t="str">
        <f aca="false">IF(L2302="","",INDEX(ポート振替表!$B$5:$B$3507,$L2302)&amp;" "&amp;INDEX(ポート振替表!$C$5:$C$3507,$L2302)&amp;"  ⇔  "&amp;INDEX(ポート振替表!$H$5:$H$3507,$L2302)&amp;" "&amp;INDEX(ポート振替表!$I$5:$I$3507,$L2302))</f>
        <v/>
      </c>
      <c r="D2302" s="57" t="s">
        <v>158</v>
      </c>
      <c r="E2302" s="59" t="str">
        <f aca="false">IF(L2302="","",IF(INDEX(ポート振替表!$O$5:$O$3507,$L2302)="","(未設定)",INDEX(ポート振替表!$O$5:$O$3507,$L2302)&amp;""))</f>
        <v/>
      </c>
      <c r="F2302" s="52" t="str">
        <f aca="false">IF(L2302="","",INDEX(ポート振替表!$K$5:$K$3507,$L2302)&amp;" "&amp;INDEX(ポート振替表!$L$5:$L$3507,$L2302)&amp;"  ⇔  "&amp;INDEX(ポート振替表!$H$5:$H$3507,$L2302)&amp;" "&amp;INDEX(ポート振替表!$I$5:$I$3507,$L2302))</f>
        <v/>
      </c>
      <c r="G2302" s="57" t="s">
        <v>158</v>
      </c>
      <c r="H2302" s="32" t="str">
        <f aca="false">IF(L2302="","",INDEX(ポート振替表!$N$5:$N$3507,$L2302)&amp;"")</f>
        <v/>
      </c>
      <c r="I2302" s="32" t="str">
        <f aca="false">IF(L2302="","",INDEX(ポート振替表!$P$5:$P$3507,$L2302)&amp;"")</f>
        <v/>
      </c>
      <c r="J2302" s="60" t="str">
        <f aca="false">IF(L2302="","",INDEX(ポート振替表!$M$5:$M$3507,$L2302)&amp;"")</f>
        <v/>
      </c>
      <c r="K2302" s="52" t="str">
        <f aca="false">IF(L2302="","",E2302&amp;CHAR(10)&amp;INDEX(ポート振替表!$K$5:$K$3507,$L2302)&amp;" "&amp;INDEX(ポート振替表!$L$5:$L$3507,$L2302)&amp;CHAR(10)&amp;"⇔ "&amp;INDEX(ポート振替表!$H$5:$H$3507,$L2302)&amp;" "&amp;INDEX(ポート振替表!$I$5:$I$3507,$L2302))</f>
        <v/>
      </c>
      <c r="L2302" s="47" t="str">
        <f aca="false">IFERROR(MATCH(ROW()-4,ポート振替表!$V$5:$V$3507,0),"")</f>
        <v/>
      </c>
    </row>
    <row r="2303" customFormat="false" ht="16.4" hidden="false" customHeight="false" outlineLevel="0" collapsed="false">
      <c r="A2303" s="32" t="str">
        <f aca="false">IF(L2303="","",ROW()-4)</f>
        <v/>
      </c>
      <c r="B2303" s="58" t="str">
        <f aca="false">IF(L2303="","",IF(INDEX(ポート振替表!$W$5:$W$3507,$L2303)="","(なし)",INDEX(ポート振替表!$W$5:$W$3507,$L2303)&amp;""))</f>
        <v/>
      </c>
      <c r="C2303" s="52" t="str">
        <f aca="false">IF(L2303="","",INDEX(ポート振替表!$B$5:$B$3507,$L2303)&amp;" "&amp;INDEX(ポート振替表!$C$5:$C$3507,$L2303)&amp;"  ⇔  "&amp;INDEX(ポート振替表!$H$5:$H$3507,$L2303)&amp;" "&amp;INDEX(ポート振替表!$I$5:$I$3507,$L2303))</f>
        <v/>
      </c>
      <c r="D2303" s="57" t="s">
        <v>158</v>
      </c>
      <c r="E2303" s="59" t="str">
        <f aca="false">IF(L2303="","",IF(INDEX(ポート振替表!$O$5:$O$3507,$L2303)="","(未設定)",INDEX(ポート振替表!$O$5:$O$3507,$L2303)&amp;""))</f>
        <v/>
      </c>
      <c r="F2303" s="52" t="str">
        <f aca="false">IF(L2303="","",INDEX(ポート振替表!$K$5:$K$3507,$L2303)&amp;" "&amp;INDEX(ポート振替表!$L$5:$L$3507,$L2303)&amp;"  ⇔  "&amp;INDEX(ポート振替表!$H$5:$H$3507,$L2303)&amp;" "&amp;INDEX(ポート振替表!$I$5:$I$3507,$L2303))</f>
        <v/>
      </c>
      <c r="G2303" s="57" t="s">
        <v>158</v>
      </c>
      <c r="H2303" s="32" t="str">
        <f aca="false">IF(L2303="","",INDEX(ポート振替表!$N$5:$N$3507,$L2303)&amp;"")</f>
        <v/>
      </c>
      <c r="I2303" s="32" t="str">
        <f aca="false">IF(L2303="","",INDEX(ポート振替表!$P$5:$P$3507,$L2303)&amp;"")</f>
        <v/>
      </c>
      <c r="J2303" s="60" t="str">
        <f aca="false">IF(L2303="","",INDEX(ポート振替表!$M$5:$M$3507,$L2303)&amp;"")</f>
        <v/>
      </c>
      <c r="K2303" s="52" t="str">
        <f aca="false">IF(L2303="","",E2303&amp;CHAR(10)&amp;INDEX(ポート振替表!$K$5:$K$3507,$L2303)&amp;" "&amp;INDEX(ポート振替表!$L$5:$L$3507,$L2303)&amp;CHAR(10)&amp;"⇔ "&amp;INDEX(ポート振替表!$H$5:$H$3507,$L2303)&amp;" "&amp;INDEX(ポート振替表!$I$5:$I$3507,$L2303))</f>
        <v/>
      </c>
      <c r="L2303" s="47" t="str">
        <f aca="false">IFERROR(MATCH(ROW()-4,ポート振替表!$V$5:$V$3507,0),"")</f>
        <v/>
      </c>
    </row>
    <row r="2304" customFormat="false" ht="16.4" hidden="false" customHeight="false" outlineLevel="0" collapsed="false">
      <c r="A2304" s="32" t="str">
        <f aca="false">IF(L2304="","",ROW()-4)</f>
        <v/>
      </c>
      <c r="B2304" s="58" t="str">
        <f aca="false">IF(L2304="","",IF(INDEX(ポート振替表!$W$5:$W$3507,$L2304)="","(なし)",INDEX(ポート振替表!$W$5:$W$3507,$L2304)&amp;""))</f>
        <v/>
      </c>
      <c r="C2304" s="52" t="str">
        <f aca="false">IF(L2304="","",INDEX(ポート振替表!$B$5:$B$3507,$L2304)&amp;" "&amp;INDEX(ポート振替表!$C$5:$C$3507,$L2304)&amp;"  ⇔  "&amp;INDEX(ポート振替表!$H$5:$H$3507,$L2304)&amp;" "&amp;INDEX(ポート振替表!$I$5:$I$3507,$L2304))</f>
        <v/>
      </c>
      <c r="D2304" s="57" t="s">
        <v>158</v>
      </c>
      <c r="E2304" s="59" t="str">
        <f aca="false">IF(L2304="","",IF(INDEX(ポート振替表!$O$5:$O$3507,$L2304)="","(未設定)",INDEX(ポート振替表!$O$5:$O$3507,$L2304)&amp;""))</f>
        <v/>
      </c>
      <c r="F2304" s="52" t="str">
        <f aca="false">IF(L2304="","",INDEX(ポート振替表!$K$5:$K$3507,$L2304)&amp;" "&amp;INDEX(ポート振替表!$L$5:$L$3507,$L2304)&amp;"  ⇔  "&amp;INDEX(ポート振替表!$H$5:$H$3507,$L2304)&amp;" "&amp;INDEX(ポート振替表!$I$5:$I$3507,$L2304))</f>
        <v/>
      </c>
      <c r="G2304" s="57" t="s">
        <v>158</v>
      </c>
      <c r="H2304" s="32" t="str">
        <f aca="false">IF(L2304="","",INDEX(ポート振替表!$N$5:$N$3507,$L2304)&amp;"")</f>
        <v/>
      </c>
      <c r="I2304" s="32" t="str">
        <f aca="false">IF(L2304="","",INDEX(ポート振替表!$P$5:$P$3507,$L2304)&amp;"")</f>
        <v/>
      </c>
      <c r="J2304" s="60" t="str">
        <f aca="false">IF(L2304="","",INDEX(ポート振替表!$M$5:$M$3507,$L2304)&amp;"")</f>
        <v/>
      </c>
      <c r="K2304" s="52" t="str">
        <f aca="false">IF(L2304="","",E2304&amp;CHAR(10)&amp;INDEX(ポート振替表!$K$5:$K$3507,$L2304)&amp;" "&amp;INDEX(ポート振替表!$L$5:$L$3507,$L2304)&amp;CHAR(10)&amp;"⇔ "&amp;INDEX(ポート振替表!$H$5:$H$3507,$L2304)&amp;" "&amp;INDEX(ポート振替表!$I$5:$I$3507,$L2304))</f>
        <v/>
      </c>
      <c r="L2304" s="47" t="str">
        <f aca="false">IFERROR(MATCH(ROW()-4,ポート振替表!$V$5:$V$3507,0),"")</f>
        <v/>
      </c>
    </row>
    <row r="2305" customFormat="false" ht="16.4" hidden="false" customHeight="false" outlineLevel="0" collapsed="false">
      <c r="A2305" s="32" t="str">
        <f aca="false">IF(L2305="","",ROW()-4)</f>
        <v/>
      </c>
      <c r="B2305" s="58" t="str">
        <f aca="false">IF(L2305="","",IF(INDEX(ポート振替表!$W$5:$W$3507,$L2305)="","(なし)",INDEX(ポート振替表!$W$5:$W$3507,$L2305)&amp;""))</f>
        <v/>
      </c>
      <c r="C2305" s="52" t="str">
        <f aca="false">IF(L2305="","",INDEX(ポート振替表!$B$5:$B$3507,$L2305)&amp;" "&amp;INDEX(ポート振替表!$C$5:$C$3507,$L2305)&amp;"  ⇔  "&amp;INDEX(ポート振替表!$H$5:$H$3507,$L2305)&amp;" "&amp;INDEX(ポート振替表!$I$5:$I$3507,$L2305))</f>
        <v/>
      </c>
      <c r="D2305" s="57" t="s">
        <v>158</v>
      </c>
      <c r="E2305" s="59" t="str">
        <f aca="false">IF(L2305="","",IF(INDEX(ポート振替表!$O$5:$O$3507,$L2305)="","(未設定)",INDEX(ポート振替表!$O$5:$O$3507,$L2305)&amp;""))</f>
        <v/>
      </c>
      <c r="F2305" s="52" t="str">
        <f aca="false">IF(L2305="","",INDEX(ポート振替表!$K$5:$K$3507,$L2305)&amp;" "&amp;INDEX(ポート振替表!$L$5:$L$3507,$L2305)&amp;"  ⇔  "&amp;INDEX(ポート振替表!$H$5:$H$3507,$L2305)&amp;" "&amp;INDEX(ポート振替表!$I$5:$I$3507,$L2305))</f>
        <v/>
      </c>
      <c r="G2305" s="57" t="s">
        <v>158</v>
      </c>
      <c r="H2305" s="32" t="str">
        <f aca="false">IF(L2305="","",INDEX(ポート振替表!$N$5:$N$3507,$L2305)&amp;"")</f>
        <v/>
      </c>
      <c r="I2305" s="32" t="str">
        <f aca="false">IF(L2305="","",INDEX(ポート振替表!$P$5:$P$3507,$L2305)&amp;"")</f>
        <v/>
      </c>
      <c r="J2305" s="60" t="str">
        <f aca="false">IF(L2305="","",INDEX(ポート振替表!$M$5:$M$3507,$L2305)&amp;"")</f>
        <v/>
      </c>
      <c r="K2305" s="52" t="str">
        <f aca="false">IF(L2305="","",E2305&amp;CHAR(10)&amp;INDEX(ポート振替表!$K$5:$K$3507,$L2305)&amp;" "&amp;INDEX(ポート振替表!$L$5:$L$3507,$L2305)&amp;CHAR(10)&amp;"⇔ "&amp;INDEX(ポート振替表!$H$5:$H$3507,$L2305)&amp;" "&amp;INDEX(ポート振替表!$I$5:$I$3507,$L2305))</f>
        <v/>
      </c>
      <c r="L2305" s="47" t="str">
        <f aca="false">IFERROR(MATCH(ROW()-4,ポート振替表!$V$5:$V$3507,0),"")</f>
        <v/>
      </c>
    </row>
    <row r="2306" customFormat="false" ht="16.4" hidden="false" customHeight="false" outlineLevel="0" collapsed="false">
      <c r="A2306" s="32" t="str">
        <f aca="false">IF(L2306="","",ROW()-4)</f>
        <v/>
      </c>
      <c r="B2306" s="58" t="str">
        <f aca="false">IF(L2306="","",IF(INDEX(ポート振替表!$W$5:$W$3507,$L2306)="","(なし)",INDEX(ポート振替表!$W$5:$W$3507,$L2306)&amp;""))</f>
        <v/>
      </c>
      <c r="C2306" s="52" t="str">
        <f aca="false">IF(L2306="","",INDEX(ポート振替表!$B$5:$B$3507,$L2306)&amp;" "&amp;INDEX(ポート振替表!$C$5:$C$3507,$L2306)&amp;"  ⇔  "&amp;INDEX(ポート振替表!$H$5:$H$3507,$L2306)&amp;" "&amp;INDEX(ポート振替表!$I$5:$I$3507,$L2306))</f>
        <v/>
      </c>
      <c r="D2306" s="57" t="s">
        <v>158</v>
      </c>
      <c r="E2306" s="59" t="str">
        <f aca="false">IF(L2306="","",IF(INDEX(ポート振替表!$O$5:$O$3507,$L2306)="","(未設定)",INDEX(ポート振替表!$O$5:$O$3507,$L2306)&amp;""))</f>
        <v/>
      </c>
      <c r="F2306" s="52" t="str">
        <f aca="false">IF(L2306="","",INDEX(ポート振替表!$K$5:$K$3507,$L2306)&amp;" "&amp;INDEX(ポート振替表!$L$5:$L$3507,$L2306)&amp;"  ⇔  "&amp;INDEX(ポート振替表!$H$5:$H$3507,$L2306)&amp;" "&amp;INDEX(ポート振替表!$I$5:$I$3507,$L2306))</f>
        <v/>
      </c>
      <c r="G2306" s="57" t="s">
        <v>158</v>
      </c>
      <c r="H2306" s="32" t="str">
        <f aca="false">IF(L2306="","",INDEX(ポート振替表!$N$5:$N$3507,$L2306)&amp;"")</f>
        <v/>
      </c>
      <c r="I2306" s="32" t="str">
        <f aca="false">IF(L2306="","",INDEX(ポート振替表!$P$5:$P$3507,$L2306)&amp;"")</f>
        <v/>
      </c>
      <c r="J2306" s="60" t="str">
        <f aca="false">IF(L2306="","",INDEX(ポート振替表!$M$5:$M$3507,$L2306)&amp;"")</f>
        <v/>
      </c>
      <c r="K2306" s="52" t="str">
        <f aca="false">IF(L2306="","",E2306&amp;CHAR(10)&amp;INDEX(ポート振替表!$K$5:$K$3507,$L2306)&amp;" "&amp;INDEX(ポート振替表!$L$5:$L$3507,$L2306)&amp;CHAR(10)&amp;"⇔ "&amp;INDEX(ポート振替表!$H$5:$H$3507,$L2306)&amp;" "&amp;INDEX(ポート振替表!$I$5:$I$3507,$L2306))</f>
        <v/>
      </c>
      <c r="L2306" s="47" t="str">
        <f aca="false">IFERROR(MATCH(ROW()-4,ポート振替表!$V$5:$V$3507,0),"")</f>
        <v/>
      </c>
    </row>
    <row r="2307" customFormat="false" ht="16.4" hidden="false" customHeight="false" outlineLevel="0" collapsed="false">
      <c r="A2307" s="32" t="str">
        <f aca="false">IF(L2307="","",ROW()-4)</f>
        <v/>
      </c>
      <c r="B2307" s="58" t="str">
        <f aca="false">IF(L2307="","",IF(INDEX(ポート振替表!$W$5:$W$3507,$L2307)="","(なし)",INDEX(ポート振替表!$W$5:$W$3507,$L2307)&amp;""))</f>
        <v/>
      </c>
      <c r="C2307" s="52" t="str">
        <f aca="false">IF(L2307="","",INDEX(ポート振替表!$B$5:$B$3507,$L2307)&amp;" "&amp;INDEX(ポート振替表!$C$5:$C$3507,$L2307)&amp;"  ⇔  "&amp;INDEX(ポート振替表!$H$5:$H$3507,$L2307)&amp;" "&amp;INDEX(ポート振替表!$I$5:$I$3507,$L2307))</f>
        <v/>
      </c>
      <c r="D2307" s="57" t="s">
        <v>158</v>
      </c>
      <c r="E2307" s="59" t="str">
        <f aca="false">IF(L2307="","",IF(INDEX(ポート振替表!$O$5:$O$3507,$L2307)="","(未設定)",INDEX(ポート振替表!$O$5:$O$3507,$L2307)&amp;""))</f>
        <v/>
      </c>
      <c r="F2307" s="52" t="str">
        <f aca="false">IF(L2307="","",INDEX(ポート振替表!$K$5:$K$3507,$L2307)&amp;" "&amp;INDEX(ポート振替表!$L$5:$L$3507,$L2307)&amp;"  ⇔  "&amp;INDEX(ポート振替表!$H$5:$H$3507,$L2307)&amp;" "&amp;INDEX(ポート振替表!$I$5:$I$3507,$L2307))</f>
        <v/>
      </c>
      <c r="G2307" s="57" t="s">
        <v>158</v>
      </c>
      <c r="H2307" s="32" t="str">
        <f aca="false">IF(L2307="","",INDEX(ポート振替表!$N$5:$N$3507,$L2307)&amp;"")</f>
        <v/>
      </c>
      <c r="I2307" s="32" t="str">
        <f aca="false">IF(L2307="","",INDEX(ポート振替表!$P$5:$P$3507,$L2307)&amp;"")</f>
        <v/>
      </c>
      <c r="J2307" s="60" t="str">
        <f aca="false">IF(L2307="","",INDEX(ポート振替表!$M$5:$M$3507,$L2307)&amp;"")</f>
        <v/>
      </c>
      <c r="K2307" s="52" t="str">
        <f aca="false">IF(L2307="","",E2307&amp;CHAR(10)&amp;INDEX(ポート振替表!$K$5:$K$3507,$L2307)&amp;" "&amp;INDEX(ポート振替表!$L$5:$L$3507,$L2307)&amp;CHAR(10)&amp;"⇔ "&amp;INDEX(ポート振替表!$H$5:$H$3507,$L2307)&amp;" "&amp;INDEX(ポート振替表!$I$5:$I$3507,$L2307))</f>
        <v/>
      </c>
      <c r="L2307" s="47" t="str">
        <f aca="false">IFERROR(MATCH(ROW()-4,ポート振替表!$V$5:$V$3507,0),"")</f>
        <v/>
      </c>
    </row>
    <row r="2308" customFormat="false" ht="16.4" hidden="false" customHeight="false" outlineLevel="0" collapsed="false">
      <c r="A2308" s="32" t="str">
        <f aca="false">IF(L2308="","",ROW()-4)</f>
        <v/>
      </c>
      <c r="B2308" s="58" t="str">
        <f aca="false">IF(L2308="","",IF(INDEX(ポート振替表!$W$5:$W$3507,$L2308)="","(なし)",INDEX(ポート振替表!$W$5:$W$3507,$L2308)&amp;""))</f>
        <v/>
      </c>
      <c r="C2308" s="52" t="str">
        <f aca="false">IF(L2308="","",INDEX(ポート振替表!$B$5:$B$3507,$L2308)&amp;" "&amp;INDEX(ポート振替表!$C$5:$C$3507,$L2308)&amp;"  ⇔  "&amp;INDEX(ポート振替表!$H$5:$H$3507,$L2308)&amp;" "&amp;INDEX(ポート振替表!$I$5:$I$3507,$L2308))</f>
        <v/>
      </c>
      <c r="D2308" s="57" t="s">
        <v>158</v>
      </c>
      <c r="E2308" s="59" t="str">
        <f aca="false">IF(L2308="","",IF(INDEX(ポート振替表!$O$5:$O$3507,$L2308)="","(未設定)",INDEX(ポート振替表!$O$5:$O$3507,$L2308)&amp;""))</f>
        <v/>
      </c>
      <c r="F2308" s="52" t="str">
        <f aca="false">IF(L2308="","",INDEX(ポート振替表!$K$5:$K$3507,$L2308)&amp;" "&amp;INDEX(ポート振替表!$L$5:$L$3507,$L2308)&amp;"  ⇔  "&amp;INDEX(ポート振替表!$H$5:$H$3507,$L2308)&amp;" "&amp;INDEX(ポート振替表!$I$5:$I$3507,$L2308))</f>
        <v/>
      </c>
      <c r="G2308" s="57" t="s">
        <v>158</v>
      </c>
      <c r="H2308" s="32" t="str">
        <f aca="false">IF(L2308="","",INDEX(ポート振替表!$N$5:$N$3507,$L2308)&amp;"")</f>
        <v/>
      </c>
      <c r="I2308" s="32" t="str">
        <f aca="false">IF(L2308="","",INDEX(ポート振替表!$P$5:$P$3507,$L2308)&amp;"")</f>
        <v/>
      </c>
      <c r="J2308" s="60" t="str">
        <f aca="false">IF(L2308="","",INDEX(ポート振替表!$M$5:$M$3507,$L2308)&amp;"")</f>
        <v/>
      </c>
      <c r="K2308" s="52" t="str">
        <f aca="false">IF(L2308="","",E2308&amp;CHAR(10)&amp;INDEX(ポート振替表!$K$5:$K$3507,$L2308)&amp;" "&amp;INDEX(ポート振替表!$L$5:$L$3507,$L2308)&amp;CHAR(10)&amp;"⇔ "&amp;INDEX(ポート振替表!$H$5:$H$3507,$L2308)&amp;" "&amp;INDEX(ポート振替表!$I$5:$I$3507,$L2308))</f>
        <v/>
      </c>
      <c r="L2308" s="47" t="str">
        <f aca="false">IFERROR(MATCH(ROW()-4,ポート振替表!$V$5:$V$3507,0),"")</f>
        <v/>
      </c>
    </row>
    <row r="2309" customFormat="false" ht="16.4" hidden="false" customHeight="false" outlineLevel="0" collapsed="false">
      <c r="A2309" s="32" t="str">
        <f aca="false">IF(L2309="","",ROW()-4)</f>
        <v/>
      </c>
      <c r="B2309" s="58" t="str">
        <f aca="false">IF(L2309="","",IF(INDEX(ポート振替表!$W$5:$W$3507,$L2309)="","(なし)",INDEX(ポート振替表!$W$5:$W$3507,$L2309)&amp;""))</f>
        <v/>
      </c>
      <c r="C2309" s="52" t="str">
        <f aca="false">IF(L2309="","",INDEX(ポート振替表!$B$5:$B$3507,$L2309)&amp;" "&amp;INDEX(ポート振替表!$C$5:$C$3507,$L2309)&amp;"  ⇔  "&amp;INDEX(ポート振替表!$H$5:$H$3507,$L2309)&amp;" "&amp;INDEX(ポート振替表!$I$5:$I$3507,$L2309))</f>
        <v/>
      </c>
      <c r="D2309" s="57" t="s">
        <v>158</v>
      </c>
      <c r="E2309" s="59" t="str">
        <f aca="false">IF(L2309="","",IF(INDEX(ポート振替表!$O$5:$O$3507,$L2309)="","(未設定)",INDEX(ポート振替表!$O$5:$O$3507,$L2309)&amp;""))</f>
        <v/>
      </c>
      <c r="F2309" s="52" t="str">
        <f aca="false">IF(L2309="","",INDEX(ポート振替表!$K$5:$K$3507,$L2309)&amp;" "&amp;INDEX(ポート振替表!$L$5:$L$3507,$L2309)&amp;"  ⇔  "&amp;INDEX(ポート振替表!$H$5:$H$3507,$L2309)&amp;" "&amp;INDEX(ポート振替表!$I$5:$I$3507,$L2309))</f>
        <v/>
      </c>
      <c r="G2309" s="57" t="s">
        <v>158</v>
      </c>
      <c r="H2309" s="32" t="str">
        <f aca="false">IF(L2309="","",INDEX(ポート振替表!$N$5:$N$3507,$L2309)&amp;"")</f>
        <v/>
      </c>
      <c r="I2309" s="32" t="str">
        <f aca="false">IF(L2309="","",INDEX(ポート振替表!$P$5:$P$3507,$L2309)&amp;"")</f>
        <v/>
      </c>
      <c r="J2309" s="60" t="str">
        <f aca="false">IF(L2309="","",INDEX(ポート振替表!$M$5:$M$3507,$L2309)&amp;"")</f>
        <v/>
      </c>
      <c r="K2309" s="52" t="str">
        <f aca="false">IF(L2309="","",E2309&amp;CHAR(10)&amp;INDEX(ポート振替表!$K$5:$K$3507,$L2309)&amp;" "&amp;INDEX(ポート振替表!$L$5:$L$3507,$L2309)&amp;CHAR(10)&amp;"⇔ "&amp;INDEX(ポート振替表!$H$5:$H$3507,$L2309)&amp;" "&amp;INDEX(ポート振替表!$I$5:$I$3507,$L2309))</f>
        <v/>
      </c>
      <c r="L2309" s="47" t="str">
        <f aca="false">IFERROR(MATCH(ROW()-4,ポート振替表!$V$5:$V$3507,0),"")</f>
        <v/>
      </c>
    </row>
    <row r="2310" customFormat="false" ht="16.4" hidden="false" customHeight="false" outlineLevel="0" collapsed="false">
      <c r="A2310" s="32" t="str">
        <f aca="false">IF(L2310="","",ROW()-4)</f>
        <v/>
      </c>
      <c r="B2310" s="58" t="str">
        <f aca="false">IF(L2310="","",IF(INDEX(ポート振替表!$W$5:$W$3507,$L2310)="","(なし)",INDEX(ポート振替表!$W$5:$W$3507,$L2310)&amp;""))</f>
        <v/>
      </c>
      <c r="C2310" s="52" t="str">
        <f aca="false">IF(L2310="","",INDEX(ポート振替表!$B$5:$B$3507,$L2310)&amp;" "&amp;INDEX(ポート振替表!$C$5:$C$3507,$L2310)&amp;"  ⇔  "&amp;INDEX(ポート振替表!$H$5:$H$3507,$L2310)&amp;" "&amp;INDEX(ポート振替表!$I$5:$I$3507,$L2310))</f>
        <v/>
      </c>
      <c r="D2310" s="57" t="s">
        <v>158</v>
      </c>
      <c r="E2310" s="59" t="str">
        <f aca="false">IF(L2310="","",IF(INDEX(ポート振替表!$O$5:$O$3507,$L2310)="","(未設定)",INDEX(ポート振替表!$O$5:$O$3507,$L2310)&amp;""))</f>
        <v/>
      </c>
      <c r="F2310" s="52" t="str">
        <f aca="false">IF(L2310="","",INDEX(ポート振替表!$K$5:$K$3507,$L2310)&amp;" "&amp;INDEX(ポート振替表!$L$5:$L$3507,$L2310)&amp;"  ⇔  "&amp;INDEX(ポート振替表!$H$5:$H$3507,$L2310)&amp;" "&amp;INDEX(ポート振替表!$I$5:$I$3507,$L2310))</f>
        <v/>
      </c>
      <c r="G2310" s="57" t="s">
        <v>158</v>
      </c>
      <c r="H2310" s="32" t="str">
        <f aca="false">IF(L2310="","",INDEX(ポート振替表!$N$5:$N$3507,$L2310)&amp;"")</f>
        <v/>
      </c>
      <c r="I2310" s="32" t="str">
        <f aca="false">IF(L2310="","",INDEX(ポート振替表!$P$5:$P$3507,$L2310)&amp;"")</f>
        <v/>
      </c>
      <c r="J2310" s="60" t="str">
        <f aca="false">IF(L2310="","",INDEX(ポート振替表!$M$5:$M$3507,$L2310)&amp;"")</f>
        <v/>
      </c>
      <c r="K2310" s="52" t="str">
        <f aca="false">IF(L2310="","",E2310&amp;CHAR(10)&amp;INDEX(ポート振替表!$K$5:$K$3507,$L2310)&amp;" "&amp;INDEX(ポート振替表!$L$5:$L$3507,$L2310)&amp;CHAR(10)&amp;"⇔ "&amp;INDEX(ポート振替表!$H$5:$H$3507,$L2310)&amp;" "&amp;INDEX(ポート振替表!$I$5:$I$3507,$L2310))</f>
        <v/>
      </c>
      <c r="L2310" s="47" t="str">
        <f aca="false">IFERROR(MATCH(ROW()-4,ポート振替表!$V$5:$V$3507,0),"")</f>
        <v/>
      </c>
    </row>
    <row r="2311" customFormat="false" ht="16.4" hidden="false" customHeight="false" outlineLevel="0" collapsed="false">
      <c r="A2311" s="32" t="str">
        <f aca="false">IF(L2311="","",ROW()-4)</f>
        <v/>
      </c>
      <c r="B2311" s="58" t="str">
        <f aca="false">IF(L2311="","",IF(INDEX(ポート振替表!$W$5:$W$3507,$L2311)="","(なし)",INDEX(ポート振替表!$W$5:$W$3507,$L2311)&amp;""))</f>
        <v/>
      </c>
      <c r="C2311" s="52" t="str">
        <f aca="false">IF(L2311="","",INDEX(ポート振替表!$B$5:$B$3507,$L2311)&amp;" "&amp;INDEX(ポート振替表!$C$5:$C$3507,$L2311)&amp;"  ⇔  "&amp;INDEX(ポート振替表!$H$5:$H$3507,$L2311)&amp;" "&amp;INDEX(ポート振替表!$I$5:$I$3507,$L2311))</f>
        <v/>
      </c>
      <c r="D2311" s="57" t="s">
        <v>158</v>
      </c>
      <c r="E2311" s="59" t="str">
        <f aca="false">IF(L2311="","",IF(INDEX(ポート振替表!$O$5:$O$3507,$L2311)="","(未設定)",INDEX(ポート振替表!$O$5:$O$3507,$L2311)&amp;""))</f>
        <v/>
      </c>
      <c r="F2311" s="52" t="str">
        <f aca="false">IF(L2311="","",INDEX(ポート振替表!$K$5:$K$3507,$L2311)&amp;" "&amp;INDEX(ポート振替表!$L$5:$L$3507,$L2311)&amp;"  ⇔  "&amp;INDEX(ポート振替表!$H$5:$H$3507,$L2311)&amp;" "&amp;INDEX(ポート振替表!$I$5:$I$3507,$L2311))</f>
        <v/>
      </c>
      <c r="G2311" s="57" t="s">
        <v>158</v>
      </c>
      <c r="H2311" s="32" t="str">
        <f aca="false">IF(L2311="","",INDEX(ポート振替表!$N$5:$N$3507,$L2311)&amp;"")</f>
        <v/>
      </c>
      <c r="I2311" s="32" t="str">
        <f aca="false">IF(L2311="","",INDEX(ポート振替表!$P$5:$P$3507,$L2311)&amp;"")</f>
        <v/>
      </c>
      <c r="J2311" s="60" t="str">
        <f aca="false">IF(L2311="","",INDEX(ポート振替表!$M$5:$M$3507,$L2311)&amp;"")</f>
        <v/>
      </c>
      <c r="K2311" s="52" t="str">
        <f aca="false">IF(L2311="","",E2311&amp;CHAR(10)&amp;INDEX(ポート振替表!$K$5:$K$3507,$L2311)&amp;" "&amp;INDEX(ポート振替表!$L$5:$L$3507,$L2311)&amp;CHAR(10)&amp;"⇔ "&amp;INDEX(ポート振替表!$H$5:$H$3507,$L2311)&amp;" "&amp;INDEX(ポート振替表!$I$5:$I$3507,$L2311))</f>
        <v/>
      </c>
      <c r="L2311" s="47" t="str">
        <f aca="false">IFERROR(MATCH(ROW()-4,ポート振替表!$V$5:$V$3507,0),"")</f>
        <v/>
      </c>
    </row>
    <row r="2312" customFormat="false" ht="16.4" hidden="false" customHeight="false" outlineLevel="0" collapsed="false">
      <c r="A2312" s="32" t="str">
        <f aca="false">IF(L2312="","",ROW()-4)</f>
        <v/>
      </c>
      <c r="B2312" s="58" t="str">
        <f aca="false">IF(L2312="","",IF(INDEX(ポート振替表!$W$5:$W$3507,$L2312)="","(なし)",INDEX(ポート振替表!$W$5:$W$3507,$L2312)&amp;""))</f>
        <v/>
      </c>
      <c r="C2312" s="52" t="str">
        <f aca="false">IF(L2312="","",INDEX(ポート振替表!$B$5:$B$3507,$L2312)&amp;" "&amp;INDEX(ポート振替表!$C$5:$C$3507,$L2312)&amp;"  ⇔  "&amp;INDEX(ポート振替表!$H$5:$H$3507,$L2312)&amp;" "&amp;INDEX(ポート振替表!$I$5:$I$3507,$L2312))</f>
        <v/>
      </c>
      <c r="D2312" s="57" t="s">
        <v>158</v>
      </c>
      <c r="E2312" s="59" t="str">
        <f aca="false">IF(L2312="","",IF(INDEX(ポート振替表!$O$5:$O$3507,$L2312)="","(未設定)",INDEX(ポート振替表!$O$5:$O$3507,$L2312)&amp;""))</f>
        <v/>
      </c>
      <c r="F2312" s="52" t="str">
        <f aca="false">IF(L2312="","",INDEX(ポート振替表!$K$5:$K$3507,$L2312)&amp;" "&amp;INDEX(ポート振替表!$L$5:$L$3507,$L2312)&amp;"  ⇔  "&amp;INDEX(ポート振替表!$H$5:$H$3507,$L2312)&amp;" "&amp;INDEX(ポート振替表!$I$5:$I$3507,$L2312))</f>
        <v/>
      </c>
      <c r="G2312" s="57" t="s">
        <v>158</v>
      </c>
      <c r="H2312" s="32" t="str">
        <f aca="false">IF(L2312="","",INDEX(ポート振替表!$N$5:$N$3507,$L2312)&amp;"")</f>
        <v/>
      </c>
      <c r="I2312" s="32" t="str">
        <f aca="false">IF(L2312="","",INDEX(ポート振替表!$P$5:$P$3507,$L2312)&amp;"")</f>
        <v/>
      </c>
      <c r="J2312" s="60" t="str">
        <f aca="false">IF(L2312="","",INDEX(ポート振替表!$M$5:$M$3507,$L2312)&amp;"")</f>
        <v/>
      </c>
      <c r="K2312" s="52" t="str">
        <f aca="false">IF(L2312="","",E2312&amp;CHAR(10)&amp;INDEX(ポート振替表!$K$5:$K$3507,$L2312)&amp;" "&amp;INDEX(ポート振替表!$L$5:$L$3507,$L2312)&amp;CHAR(10)&amp;"⇔ "&amp;INDEX(ポート振替表!$H$5:$H$3507,$L2312)&amp;" "&amp;INDEX(ポート振替表!$I$5:$I$3507,$L2312))</f>
        <v/>
      </c>
      <c r="L2312" s="47" t="str">
        <f aca="false">IFERROR(MATCH(ROW()-4,ポート振替表!$V$5:$V$3507,0),"")</f>
        <v/>
      </c>
    </row>
    <row r="2313" customFormat="false" ht="16.4" hidden="false" customHeight="false" outlineLevel="0" collapsed="false">
      <c r="A2313" s="32" t="str">
        <f aca="false">IF(L2313="","",ROW()-4)</f>
        <v/>
      </c>
      <c r="B2313" s="58" t="str">
        <f aca="false">IF(L2313="","",IF(INDEX(ポート振替表!$W$5:$W$3507,$L2313)="","(なし)",INDEX(ポート振替表!$W$5:$W$3507,$L2313)&amp;""))</f>
        <v/>
      </c>
      <c r="C2313" s="52" t="str">
        <f aca="false">IF(L2313="","",INDEX(ポート振替表!$B$5:$B$3507,$L2313)&amp;" "&amp;INDEX(ポート振替表!$C$5:$C$3507,$L2313)&amp;"  ⇔  "&amp;INDEX(ポート振替表!$H$5:$H$3507,$L2313)&amp;" "&amp;INDEX(ポート振替表!$I$5:$I$3507,$L2313))</f>
        <v/>
      </c>
      <c r="D2313" s="57" t="s">
        <v>158</v>
      </c>
      <c r="E2313" s="59" t="str">
        <f aca="false">IF(L2313="","",IF(INDEX(ポート振替表!$O$5:$O$3507,$L2313)="","(未設定)",INDEX(ポート振替表!$O$5:$O$3507,$L2313)&amp;""))</f>
        <v/>
      </c>
      <c r="F2313" s="52" t="str">
        <f aca="false">IF(L2313="","",INDEX(ポート振替表!$K$5:$K$3507,$L2313)&amp;" "&amp;INDEX(ポート振替表!$L$5:$L$3507,$L2313)&amp;"  ⇔  "&amp;INDEX(ポート振替表!$H$5:$H$3507,$L2313)&amp;" "&amp;INDEX(ポート振替表!$I$5:$I$3507,$L2313))</f>
        <v/>
      </c>
      <c r="G2313" s="57" t="s">
        <v>158</v>
      </c>
      <c r="H2313" s="32" t="str">
        <f aca="false">IF(L2313="","",INDEX(ポート振替表!$N$5:$N$3507,$L2313)&amp;"")</f>
        <v/>
      </c>
      <c r="I2313" s="32" t="str">
        <f aca="false">IF(L2313="","",INDEX(ポート振替表!$P$5:$P$3507,$L2313)&amp;"")</f>
        <v/>
      </c>
      <c r="J2313" s="60" t="str">
        <f aca="false">IF(L2313="","",INDEX(ポート振替表!$M$5:$M$3507,$L2313)&amp;"")</f>
        <v/>
      </c>
      <c r="K2313" s="52" t="str">
        <f aca="false">IF(L2313="","",E2313&amp;CHAR(10)&amp;INDEX(ポート振替表!$K$5:$K$3507,$L2313)&amp;" "&amp;INDEX(ポート振替表!$L$5:$L$3507,$L2313)&amp;CHAR(10)&amp;"⇔ "&amp;INDEX(ポート振替表!$H$5:$H$3507,$L2313)&amp;" "&amp;INDEX(ポート振替表!$I$5:$I$3507,$L2313))</f>
        <v/>
      </c>
      <c r="L2313" s="47" t="str">
        <f aca="false">IFERROR(MATCH(ROW()-4,ポート振替表!$V$5:$V$3507,0),"")</f>
        <v/>
      </c>
    </row>
    <row r="2314" customFormat="false" ht="16.4" hidden="false" customHeight="false" outlineLevel="0" collapsed="false">
      <c r="A2314" s="32" t="str">
        <f aca="false">IF(L2314="","",ROW()-4)</f>
        <v/>
      </c>
      <c r="B2314" s="58" t="str">
        <f aca="false">IF(L2314="","",IF(INDEX(ポート振替表!$W$5:$W$3507,$L2314)="","(なし)",INDEX(ポート振替表!$W$5:$W$3507,$L2314)&amp;""))</f>
        <v/>
      </c>
      <c r="C2314" s="52" t="str">
        <f aca="false">IF(L2314="","",INDEX(ポート振替表!$B$5:$B$3507,$L2314)&amp;" "&amp;INDEX(ポート振替表!$C$5:$C$3507,$L2314)&amp;"  ⇔  "&amp;INDEX(ポート振替表!$H$5:$H$3507,$L2314)&amp;" "&amp;INDEX(ポート振替表!$I$5:$I$3507,$L2314))</f>
        <v/>
      </c>
      <c r="D2314" s="57" t="s">
        <v>158</v>
      </c>
      <c r="E2314" s="59" t="str">
        <f aca="false">IF(L2314="","",IF(INDEX(ポート振替表!$O$5:$O$3507,$L2314)="","(未設定)",INDEX(ポート振替表!$O$5:$O$3507,$L2314)&amp;""))</f>
        <v/>
      </c>
      <c r="F2314" s="52" t="str">
        <f aca="false">IF(L2314="","",INDEX(ポート振替表!$K$5:$K$3507,$L2314)&amp;" "&amp;INDEX(ポート振替表!$L$5:$L$3507,$L2314)&amp;"  ⇔  "&amp;INDEX(ポート振替表!$H$5:$H$3507,$L2314)&amp;" "&amp;INDEX(ポート振替表!$I$5:$I$3507,$L2314))</f>
        <v/>
      </c>
      <c r="G2314" s="57" t="s">
        <v>158</v>
      </c>
      <c r="H2314" s="32" t="str">
        <f aca="false">IF(L2314="","",INDEX(ポート振替表!$N$5:$N$3507,$L2314)&amp;"")</f>
        <v/>
      </c>
      <c r="I2314" s="32" t="str">
        <f aca="false">IF(L2314="","",INDEX(ポート振替表!$P$5:$P$3507,$L2314)&amp;"")</f>
        <v/>
      </c>
      <c r="J2314" s="60" t="str">
        <f aca="false">IF(L2314="","",INDEX(ポート振替表!$M$5:$M$3507,$L2314)&amp;"")</f>
        <v/>
      </c>
      <c r="K2314" s="52" t="str">
        <f aca="false">IF(L2314="","",E2314&amp;CHAR(10)&amp;INDEX(ポート振替表!$K$5:$K$3507,$L2314)&amp;" "&amp;INDEX(ポート振替表!$L$5:$L$3507,$L2314)&amp;CHAR(10)&amp;"⇔ "&amp;INDEX(ポート振替表!$H$5:$H$3507,$L2314)&amp;" "&amp;INDEX(ポート振替表!$I$5:$I$3507,$L2314))</f>
        <v/>
      </c>
      <c r="L2314" s="47" t="str">
        <f aca="false">IFERROR(MATCH(ROW()-4,ポート振替表!$V$5:$V$3507,0),"")</f>
        <v/>
      </c>
    </row>
    <row r="2315" customFormat="false" ht="16.4" hidden="false" customHeight="false" outlineLevel="0" collapsed="false">
      <c r="A2315" s="32" t="str">
        <f aca="false">IF(L2315="","",ROW()-4)</f>
        <v/>
      </c>
      <c r="B2315" s="58" t="str">
        <f aca="false">IF(L2315="","",IF(INDEX(ポート振替表!$W$5:$W$3507,$L2315)="","(なし)",INDEX(ポート振替表!$W$5:$W$3507,$L2315)&amp;""))</f>
        <v/>
      </c>
      <c r="C2315" s="52" t="str">
        <f aca="false">IF(L2315="","",INDEX(ポート振替表!$B$5:$B$3507,$L2315)&amp;" "&amp;INDEX(ポート振替表!$C$5:$C$3507,$L2315)&amp;"  ⇔  "&amp;INDEX(ポート振替表!$H$5:$H$3507,$L2315)&amp;" "&amp;INDEX(ポート振替表!$I$5:$I$3507,$L2315))</f>
        <v/>
      </c>
      <c r="D2315" s="57" t="s">
        <v>158</v>
      </c>
      <c r="E2315" s="59" t="str">
        <f aca="false">IF(L2315="","",IF(INDEX(ポート振替表!$O$5:$O$3507,$L2315)="","(未設定)",INDEX(ポート振替表!$O$5:$O$3507,$L2315)&amp;""))</f>
        <v/>
      </c>
      <c r="F2315" s="52" t="str">
        <f aca="false">IF(L2315="","",INDEX(ポート振替表!$K$5:$K$3507,$L2315)&amp;" "&amp;INDEX(ポート振替表!$L$5:$L$3507,$L2315)&amp;"  ⇔  "&amp;INDEX(ポート振替表!$H$5:$H$3507,$L2315)&amp;" "&amp;INDEX(ポート振替表!$I$5:$I$3507,$L2315))</f>
        <v/>
      </c>
      <c r="G2315" s="57" t="s">
        <v>158</v>
      </c>
      <c r="H2315" s="32" t="str">
        <f aca="false">IF(L2315="","",INDEX(ポート振替表!$N$5:$N$3507,$L2315)&amp;"")</f>
        <v/>
      </c>
      <c r="I2315" s="32" t="str">
        <f aca="false">IF(L2315="","",INDEX(ポート振替表!$P$5:$P$3507,$L2315)&amp;"")</f>
        <v/>
      </c>
      <c r="J2315" s="60" t="str">
        <f aca="false">IF(L2315="","",INDEX(ポート振替表!$M$5:$M$3507,$L2315)&amp;"")</f>
        <v/>
      </c>
      <c r="K2315" s="52" t="str">
        <f aca="false">IF(L2315="","",E2315&amp;CHAR(10)&amp;INDEX(ポート振替表!$K$5:$K$3507,$L2315)&amp;" "&amp;INDEX(ポート振替表!$L$5:$L$3507,$L2315)&amp;CHAR(10)&amp;"⇔ "&amp;INDEX(ポート振替表!$H$5:$H$3507,$L2315)&amp;" "&amp;INDEX(ポート振替表!$I$5:$I$3507,$L2315))</f>
        <v/>
      </c>
      <c r="L2315" s="47" t="str">
        <f aca="false">IFERROR(MATCH(ROW()-4,ポート振替表!$V$5:$V$3507,0),"")</f>
        <v/>
      </c>
    </row>
    <row r="2316" customFormat="false" ht="16.4" hidden="false" customHeight="false" outlineLevel="0" collapsed="false">
      <c r="A2316" s="32" t="str">
        <f aca="false">IF(L2316="","",ROW()-4)</f>
        <v/>
      </c>
      <c r="B2316" s="58" t="str">
        <f aca="false">IF(L2316="","",IF(INDEX(ポート振替表!$W$5:$W$3507,$L2316)="","(なし)",INDEX(ポート振替表!$W$5:$W$3507,$L2316)&amp;""))</f>
        <v/>
      </c>
      <c r="C2316" s="52" t="str">
        <f aca="false">IF(L2316="","",INDEX(ポート振替表!$B$5:$B$3507,$L2316)&amp;" "&amp;INDEX(ポート振替表!$C$5:$C$3507,$L2316)&amp;"  ⇔  "&amp;INDEX(ポート振替表!$H$5:$H$3507,$L2316)&amp;" "&amp;INDEX(ポート振替表!$I$5:$I$3507,$L2316))</f>
        <v/>
      </c>
      <c r="D2316" s="57" t="s">
        <v>158</v>
      </c>
      <c r="E2316" s="59" t="str">
        <f aca="false">IF(L2316="","",IF(INDEX(ポート振替表!$O$5:$O$3507,$L2316)="","(未設定)",INDEX(ポート振替表!$O$5:$O$3507,$L2316)&amp;""))</f>
        <v/>
      </c>
      <c r="F2316" s="52" t="str">
        <f aca="false">IF(L2316="","",INDEX(ポート振替表!$K$5:$K$3507,$L2316)&amp;" "&amp;INDEX(ポート振替表!$L$5:$L$3507,$L2316)&amp;"  ⇔  "&amp;INDEX(ポート振替表!$H$5:$H$3507,$L2316)&amp;" "&amp;INDEX(ポート振替表!$I$5:$I$3507,$L2316))</f>
        <v/>
      </c>
      <c r="G2316" s="57" t="s">
        <v>158</v>
      </c>
      <c r="H2316" s="32" t="str">
        <f aca="false">IF(L2316="","",INDEX(ポート振替表!$N$5:$N$3507,$L2316)&amp;"")</f>
        <v/>
      </c>
      <c r="I2316" s="32" t="str">
        <f aca="false">IF(L2316="","",INDEX(ポート振替表!$P$5:$P$3507,$L2316)&amp;"")</f>
        <v/>
      </c>
      <c r="J2316" s="60" t="str">
        <f aca="false">IF(L2316="","",INDEX(ポート振替表!$M$5:$M$3507,$L2316)&amp;"")</f>
        <v/>
      </c>
      <c r="K2316" s="52" t="str">
        <f aca="false">IF(L2316="","",E2316&amp;CHAR(10)&amp;INDEX(ポート振替表!$K$5:$K$3507,$L2316)&amp;" "&amp;INDEX(ポート振替表!$L$5:$L$3507,$L2316)&amp;CHAR(10)&amp;"⇔ "&amp;INDEX(ポート振替表!$H$5:$H$3507,$L2316)&amp;" "&amp;INDEX(ポート振替表!$I$5:$I$3507,$L2316))</f>
        <v/>
      </c>
      <c r="L2316" s="47" t="str">
        <f aca="false">IFERROR(MATCH(ROW()-4,ポート振替表!$V$5:$V$3507,0),"")</f>
        <v/>
      </c>
    </row>
    <row r="2317" customFormat="false" ht="16.4" hidden="false" customHeight="false" outlineLevel="0" collapsed="false">
      <c r="A2317" s="32" t="str">
        <f aca="false">IF(L2317="","",ROW()-4)</f>
        <v/>
      </c>
      <c r="B2317" s="58" t="str">
        <f aca="false">IF(L2317="","",IF(INDEX(ポート振替表!$W$5:$W$3507,$L2317)="","(なし)",INDEX(ポート振替表!$W$5:$W$3507,$L2317)&amp;""))</f>
        <v/>
      </c>
      <c r="C2317" s="52" t="str">
        <f aca="false">IF(L2317="","",INDEX(ポート振替表!$B$5:$B$3507,$L2317)&amp;" "&amp;INDEX(ポート振替表!$C$5:$C$3507,$L2317)&amp;"  ⇔  "&amp;INDEX(ポート振替表!$H$5:$H$3507,$L2317)&amp;" "&amp;INDEX(ポート振替表!$I$5:$I$3507,$L2317))</f>
        <v/>
      </c>
      <c r="D2317" s="57" t="s">
        <v>158</v>
      </c>
      <c r="E2317" s="59" t="str">
        <f aca="false">IF(L2317="","",IF(INDEX(ポート振替表!$O$5:$O$3507,$L2317)="","(未設定)",INDEX(ポート振替表!$O$5:$O$3507,$L2317)&amp;""))</f>
        <v/>
      </c>
      <c r="F2317" s="52" t="str">
        <f aca="false">IF(L2317="","",INDEX(ポート振替表!$K$5:$K$3507,$L2317)&amp;" "&amp;INDEX(ポート振替表!$L$5:$L$3507,$L2317)&amp;"  ⇔  "&amp;INDEX(ポート振替表!$H$5:$H$3507,$L2317)&amp;" "&amp;INDEX(ポート振替表!$I$5:$I$3507,$L2317))</f>
        <v/>
      </c>
      <c r="G2317" s="57" t="s">
        <v>158</v>
      </c>
      <c r="H2317" s="32" t="str">
        <f aca="false">IF(L2317="","",INDEX(ポート振替表!$N$5:$N$3507,$L2317)&amp;"")</f>
        <v/>
      </c>
      <c r="I2317" s="32" t="str">
        <f aca="false">IF(L2317="","",INDEX(ポート振替表!$P$5:$P$3507,$L2317)&amp;"")</f>
        <v/>
      </c>
      <c r="J2317" s="60" t="str">
        <f aca="false">IF(L2317="","",INDEX(ポート振替表!$M$5:$M$3507,$L2317)&amp;"")</f>
        <v/>
      </c>
      <c r="K2317" s="52" t="str">
        <f aca="false">IF(L2317="","",E2317&amp;CHAR(10)&amp;INDEX(ポート振替表!$K$5:$K$3507,$L2317)&amp;" "&amp;INDEX(ポート振替表!$L$5:$L$3507,$L2317)&amp;CHAR(10)&amp;"⇔ "&amp;INDEX(ポート振替表!$H$5:$H$3507,$L2317)&amp;" "&amp;INDEX(ポート振替表!$I$5:$I$3507,$L2317))</f>
        <v/>
      </c>
      <c r="L2317" s="47" t="str">
        <f aca="false">IFERROR(MATCH(ROW()-4,ポート振替表!$V$5:$V$3507,0),"")</f>
        <v/>
      </c>
    </row>
    <row r="2318" customFormat="false" ht="16.4" hidden="false" customHeight="false" outlineLevel="0" collapsed="false">
      <c r="A2318" s="32" t="str">
        <f aca="false">IF(L2318="","",ROW()-4)</f>
        <v/>
      </c>
      <c r="B2318" s="58" t="str">
        <f aca="false">IF(L2318="","",IF(INDEX(ポート振替表!$W$5:$W$3507,$L2318)="","(なし)",INDEX(ポート振替表!$W$5:$W$3507,$L2318)&amp;""))</f>
        <v/>
      </c>
      <c r="C2318" s="52" t="str">
        <f aca="false">IF(L2318="","",INDEX(ポート振替表!$B$5:$B$3507,$L2318)&amp;" "&amp;INDEX(ポート振替表!$C$5:$C$3507,$L2318)&amp;"  ⇔  "&amp;INDEX(ポート振替表!$H$5:$H$3507,$L2318)&amp;" "&amp;INDEX(ポート振替表!$I$5:$I$3507,$L2318))</f>
        <v/>
      </c>
      <c r="D2318" s="57" t="s">
        <v>158</v>
      </c>
      <c r="E2318" s="59" t="str">
        <f aca="false">IF(L2318="","",IF(INDEX(ポート振替表!$O$5:$O$3507,$L2318)="","(未設定)",INDEX(ポート振替表!$O$5:$O$3507,$L2318)&amp;""))</f>
        <v/>
      </c>
      <c r="F2318" s="52" t="str">
        <f aca="false">IF(L2318="","",INDEX(ポート振替表!$K$5:$K$3507,$L2318)&amp;" "&amp;INDEX(ポート振替表!$L$5:$L$3507,$L2318)&amp;"  ⇔  "&amp;INDEX(ポート振替表!$H$5:$H$3507,$L2318)&amp;" "&amp;INDEX(ポート振替表!$I$5:$I$3507,$L2318))</f>
        <v/>
      </c>
      <c r="G2318" s="57" t="s">
        <v>158</v>
      </c>
      <c r="H2318" s="32" t="str">
        <f aca="false">IF(L2318="","",INDEX(ポート振替表!$N$5:$N$3507,$L2318)&amp;"")</f>
        <v/>
      </c>
      <c r="I2318" s="32" t="str">
        <f aca="false">IF(L2318="","",INDEX(ポート振替表!$P$5:$P$3507,$L2318)&amp;"")</f>
        <v/>
      </c>
      <c r="J2318" s="60" t="str">
        <f aca="false">IF(L2318="","",INDEX(ポート振替表!$M$5:$M$3507,$L2318)&amp;"")</f>
        <v/>
      </c>
      <c r="K2318" s="52" t="str">
        <f aca="false">IF(L2318="","",E2318&amp;CHAR(10)&amp;INDEX(ポート振替表!$K$5:$K$3507,$L2318)&amp;" "&amp;INDEX(ポート振替表!$L$5:$L$3507,$L2318)&amp;CHAR(10)&amp;"⇔ "&amp;INDEX(ポート振替表!$H$5:$H$3507,$L2318)&amp;" "&amp;INDEX(ポート振替表!$I$5:$I$3507,$L2318))</f>
        <v/>
      </c>
      <c r="L2318" s="47" t="str">
        <f aca="false">IFERROR(MATCH(ROW()-4,ポート振替表!$V$5:$V$3507,0),"")</f>
        <v/>
      </c>
    </row>
    <row r="2319" customFormat="false" ht="16.4" hidden="false" customHeight="false" outlineLevel="0" collapsed="false">
      <c r="A2319" s="32" t="str">
        <f aca="false">IF(L2319="","",ROW()-4)</f>
        <v/>
      </c>
      <c r="B2319" s="58" t="str">
        <f aca="false">IF(L2319="","",IF(INDEX(ポート振替表!$W$5:$W$3507,$L2319)="","(なし)",INDEX(ポート振替表!$W$5:$W$3507,$L2319)&amp;""))</f>
        <v/>
      </c>
      <c r="C2319" s="52" t="str">
        <f aca="false">IF(L2319="","",INDEX(ポート振替表!$B$5:$B$3507,$L2319)&amp;" "&amp;INDEX(ポート振替表!$C$5:$C$3507,$L2319)&amp;"  ⇔  "&amp;INDEX(ポート振替表!$H$5:$H$3507,$L2319)&amp;" "&amp;INDEX(ポート振替表!$I$5:$I$3507,$L2319))</f>
        <v/>
      </c>
      <c r="D2319" s="57" t="s">
        <v>158</v>
      </c>
      <c r="E2319" s="59" t="str">
        <f aca="false">IF(L2319="","",IF(INDEX(ポート振替表!$O$5:$O$3507,$L2319)="","(未設定)",INDEX(ポート振替表!$O$5:$O$3507,$L2319)&amp;""))</f>
        <v/>
      </c>
      <c r="F2319" s="52" t="str">
        <f aca="false">IF(L2319="","",INDEX(ポート振替表!$K$5:$K$3507,$L2319)&amp;" "&amp;INDEX(ポート振替表!$L$5:$L$3507,$L2319)&amp;"  ⇔  "&amp;INDEX(ポート振替表!$H$5:$H$3507,$L2319)&amp;" "&amp;INDEX(ポート振替表!$I$5:$I$3507,$L2319))</f>
        <v/>
      </c>
      <c r="G2319" s="57" t="s">
        <v>158</v>
      </c>
      <c r="H2319" s="32" t="str">
        <f aca="false">IF(L2319="","",INDEX(ポート振替表!$N$5:$N$3507,$L2319)&amp;"")</f>
        <v/>
      </c>
      <c r="I2319" s="32" t="str">
        <f aca="false">IF(L2319="","",INDEX(ポート振替表!$P$5:$P$3507,$L2319)&amp;"")</f>
        <v/>
      </c>
      <c r="J2319" s="60" t="str">
        <f aca="false">IF(L2319="","",INDEX(ポート振替表!$M$5:$M$3507,$L2319)&amp;"")</f>
        <v/>
      </c>
      <c r="K2319" s="52" t="str">
        <f aca="false">IF(L2319="","",E2319&amp;CHAR(10)&amp;INDEX(ポート振替表!$K$5:$K$3507,$L2319)&amp;" "&amp;INDEX(ポート振替表!$L$5:$L$3507,$L2319)&amp;CHAR(10)&amp;"⇔ "&amp;INDEX(ポート振替表!$H$5:$H$3507,$L2319)&amp;" "&amp;INDEX(ポート振替表!$I$5:$I$3507,$L2319))</f>
        <v/>
      </c>
      <c r="L2319" s="47" t="str">
        <f aca="false">IFERROR(MATCH(ROW()-4,ポート振替表!$V$5:$V$3507,0),"")</f>
        <v/>
      </c>
    </row>
    <row r="2320" customFormat="false" ht="16.4" hidden="false" customHeight="false" outlineLevel="0" collapsed="false">
      <c r="A2320" s="32" t="str">
        <f aca="false">IF(L2320="","",ROW()-4)</f>
        <v/>
      </c>
      <c r="B2320" s="58" t="str">
        <f aca="false">IF(L2320="","",IF(INDEX(ポート振替表!$W$5:$W$3507,$L2320)="","(なし)",INDEX(ポート振替表!$W$5:$W$3507,$L2320)&amp;""))</f>
        <v/>
      </c>
      <c r="C2320" s="52" t="str">
        <f aca="false">IF(L2320="","",INDEX(ポート振替表!$B$5:$B$3507,$L2320)&amp;" "&amp;INDEX(ポート振替表!$C$5:$C$3507,$L2320)&amp;"  ⇔  "&amp;INDEX(ポート振替表!$H$5:$H$3507,$L2320)&amp;" "&amp;INDEX(ポート振替表!$I$5:$I$3507,$L2320))</f>
        <v/>
      </c>
      <c r="D2320" s="57" t="s">
        <v>158</v>
      </c>
      <c r="E2320" s="59" t="str">
        <f aca="false">IF(L2320="","",IF(INDEX(ポート振替表!$O$5:$O$3507,$L2320)="","(未設定)",INDEX(ポート振替表!$O$5:$O$3507,$L2320)&amp;""))</f>
        <v/>
      </c>
      <c r="F2320" s="52" t="str">
        <f aca="false">IF(L2320="","",INDEX(ポート振替表!$K$5:$K$3507,$L2320)&amp;" "&amp;INDEX(ポート振替表!$L$5:$L$3507,$L2320)&amp;"  ⇔  "&amp;INDEX(ポート振替表!$H$5:$H$3507,$L2320)&amp;" "&amp;INDEX(ポート振替表!$I$5:$I$3507,$L2320))</f>
        <v/>
      </c>
      <c r="G2320" s="57" t="s">
        <v>158</v>
      </c>
      <c r="H2320" s="32" t="str">
        <f aca="false">IF(L2320="","",INDEX(ポート振替表!$N$5:$N$3507,$L2320)&amp;"")</f>
        <v/>
      </c>
      <c r="I2320" s="32" t="str">
        <f aca="false">IF(L2320="","",INDEX(ポート振替表!$P$5:$P$3507,$L2320)&amp;"")</f>
        <v/>
      </c>
      <c r="J2320" s="60" t="str">
        <f aca="false">IF(L2320="","",INDEX(ポート振替表!$M$5:$M$3507,$L2320)&amp;"")</f>
        <v/>
      </c>
      <c r="K2320" s="52" t="str">
        <f aca="false">IF(L2320="","",E2320&amp;CHAR(10)&amp;INDEX(ポート振替表!$K$5:$K$3507,$L2320)&amp;" "&amp;INDEX(ポート振替表!$L$5:$L$3507,$L2320)&amp;CHAR(10)&amp;"⇔ "&amp;INDEX(ポート振替表!$H$5:$H$3507,$L2320)&amp;" "&amp;INDEX(ポート振替表!$I$5:$I$3507,$L2320))</f>
        <v/>
      </c>
      <c r="L2320" s="47" t="str">
        <f aca="false">IFERROR(MATCH(ROW()-4,ポート振替表!$V$5:$V$3507,0),"")</f>
        <v/>
      </c>
    </row>
    <row r="2321" customFormat="false" ht="16.4" hidden="false" customHeight="false" outlineLevel="0" collapsed="false">
      <c r="A2321" s="32" t="str">
        <f aca="false">IF(L2321="","",ROW()-4)</f>
        <v/>
      </c>
      <c r="B2321" s="58" t="str">
        <f aca="false">IF(L2321="","",IF(INDEX(ポート振替表!$W$5:$W$3507,$L2321)="","(なし)",INDEX(ポート振替表!$W$5:$W$3507,$L2321)&amp;""))</f>
        <v/>
      </c>
      <c r="C2321" s="52" t="str">
        <f aca="false">IF(L2321="","",INDEX(ポート振替表!$B$5:$B$3507,$L2321)&amp;" "&amp;INDEX(ポート振替表!$C$5:$C$3507,$L2321)&amp;"  ⇔  "&amp;INDEX(ポート振替表!$H$5:$H$3507,$L2321)&amp;" "&amp;INDEX(ポート振替表!$I$5:$I$3507,$L2321))</f>
        <v/>
      </c>
      <c r="D2321" s="57" t="s">
        <v>158</v>
      </c>
      <c r="E2321" s="59" t="str">
        <f aca="false">IF(L2321="","",IF(INDEX(ポート振替表!$O$5:$O$3507,$L2321)="","(未設定)",INDEX(ポート振替表!$O$5:$O$3507,$L2321)&amp;""))</f>
        <v/>
      </c>
      <c r="F2321" s="52" t="str">
        <f aca="false">IF(L2321="","",INDEX(ポート振替表!$K$5:$K$3507,$L2321)&amp;" "&amp;INDEX(ポート振替表!$L$5:$L$3507,$L2321)&amp;"  ⇔  "&amp;INDEX(ポート振替表!$H$5:$H$3507,$L2321)&amp;" "&amp;INDEX(ポート振替表!$I$5:$I$3507,$L2321))</f>
        <v/>
      </c>
      <c r="G2321" s="57" t="s">
        <v>158</v>
      </c>
      <c r="H2321" s="32" t="str">
        <f aca="false">IF(L2321="","",INDEX(ポート振替表!$N$5:$N$3507,$L2321)&amp;"")</f>
        <v/>
      </c>
      <c r="I2321" s="32" t="str">
        <f aca="false">IF(L2321="","",INDEX(ポート振替表!$P$5:$P$3507,$L2321)&amp;"")</f>
        <v/>
      </c>
      <c r="J2321" s="60" t="str">
        <f aca="false">IF(L2321="","",INDEX(ポート振替表!$M$5:$M$3507,$L2321)&amp;"")</f>
        <v/>
      </c>
      <c r="K2321" s="52" t="str">
        <f aca="false">IF(L2321="","",E2321&amp;CHAR(10)&amp;INDEX(ポート振替表!$K$5:$K$3507,$L2321)&amp;" "&amp;INDEX(ポート振替表!$L$5:$L$3507,$L2321)&amp;CHAR(10)&amp;"⇔ "&amp;INDEX(ポート振替表!$H$5:$H$3507,$L2321)&amp;" "&amp;INDEX(ポート振替表!$I$5:$I$3507,$L2321))</f>
        <v/>
      </c>
      <c r="L2321" s="47" t="str">
        <f aca="false">IFERROR(MATCH(ROW()-4,ポート振替表!$V$5:$V$3507,0),"")</f>
        <v/>
      </c>
    </row>
    <row r="2322" customFormat="false" ht="16.4" hidden="false" customHeight="false" outlineLevel="0" collapsed="false">
      <c r="A2322" s="32" t="str">
        <f aca="false">IF(L2322="","",ROW()-4)</f>
        <v/>
      </c>
      <c r="B2322" s="58" t="str">
        <f aca="false">IF(L2322="","",IF(INDEX(ポート振替表!$W$5:$W$3507,$L2322)="","(なし)",INDEX(ポート振替表!$W$5:$W$3507,$L2322)&amp;""))</f>
        <v/>
      </c>
      <c r="C2322" s="52" t="str">
        <f aca="false">IF(L2322="","",INDEX(ポート振替表!$B$5:$B$3507,$L2322)&amp;" "&amp;INDEX(ポート振替表!$C$5:$C$3507,$L2322)&amp;"  ⇔  "&amp;INDEX(ポート振替表!$H$5:$H$3507,$L2322)&amp;" "&amp;INDEX(ポート振替表!$I$5:$I$3507,$L2322))</f>
        <v/>
      </c>
      <c r="D2322" s="57" t="s">
        <v>158</v>
      </c>
      <c r="E2322" s="59" t="str">
        <f aca="false">IF(L2322="","",IF(INDEX(ポート振替表!$O$5:$O$3507,$L2322)="","(未設定)",INDEX(ポート振替表!$O$5:$O$3507,$L2322)&amp;""))</f>
        <v/>
      </c>
      <c r="F2322" s="52" t="str">
        <f aca="false">IF(L2322="","",INDEX(ポート振替表!$K$5:$K$3507,$L2322)&amp;" "&amp;INDEX(ポート振替表!$L$5:$L$3507,$L2322)&amp;"  ⇔  "&amp;INDEX(ポート振替表!$H$5:$H$3507,$L2322)&amp;" "&amp;INDEX(ポート振替表!$I$5:$I$3507,$L2322))</f>
        <v/>
      </c>
      <c r="G2322" s="57" t="s">
        <v>158</v>
      </c>
      <c r="H2322" s="32" t="str">
        <f aca="false">IF(L2322="","",INDEX(ポート振替表!$N$5:$N$3507,$L2322)&amp;"")</f>
        <v/>
      </c>
      <c r="I2322" s="32" t="str">
        <f aca="false">IF(L2322="","",INDEX(ポート振替表!$P$5:$P$3507,$L2322)&amp;"")</f>
        <v/>
      </c>
      <c r="J2322" s="60" t="str">
        <f aca="false">IF(L2322="","",INDEX(ポート振替表!$M$5:$M$3507,$L2322)&amp;"")</f>
        <v/>
      </c>
      <c r="K2322" s="52" t="str">
        <f aca="false">IF(L2322="","",E2322&amp;CHAR(10)&amp;INDEX(ポート振替表!$K$5:$K$3507,$L2322)&amp;" "&amp;INDEX(ポート振替表!$L$5:$L$3507,$L2322)&amp;CHAR(10)&amp;"⇔ "&amp;INDEX(ポート振替表!$H$5:$H$3507,$L2322)&amp;" "&amp;INDEX(ポート振替表!$I$5:$I$3507,$L2322))</f>
        <v/>
      </c>
      <c r="L2322" s="47" t="str">
        <f aca="false">IFERROR(MATCH(ROW()-4,ポート振替表!$V$5:$V$3507,0),"")</f>
        <v/>
      </c>
    </row>
    <row r="2323" customFormat="false" ht="16.4" hidden="false" customHeight="false" outlineLevel="0" collapsed="false">
      <c r="A2323" s="32" t="str">
        <f aca="false">IF(L2323="","",ROW()-4)</f>
        <v/>
      </c>
      <c r="B2323" s="58" t="str">
        <f aca="false">IF(L2323="","",IF(INDEX(ポート振替表!$W$5:$W$3507,$L2323)="","(なし)",INDEX(ポート振替表!$W$5:$W$3507,$L2323)&amp;""))</f>
        <v/>
      </c>
      <c r="C2323" s="52" t="str">
        <f aca="false">IF(L2323="","",INDEX(ポート振替表!$B$5:$B$3507,$L2323)&amp;" "&amp;INDEX(ポート振替表!$C$5:$C$3507,$L2323)&amp;"  ⇔  "&amp;INDEX(ポート振替表!$H$5:$H$3507,$L2323)&amp;" "&amp;INDEX(ポート振替表!$I$5:$I$3507,$L2323))</f>
        <v/>
      </c>
      <c r="D2323" s="57" t="s">
        <v>158</v>
      </c>
      <c r="E2323" s="59" t="str">
        <f aca="false">IF(L2323="","",IF(INDEX(ポート振替表!$O$5:$O$3507,$L2323)="","(未設定)",INDEX(ポート振替表!$O$5:$O$3507,$L2323)&amp;""))</f>
        <v/>
      </c>
      <c r="F2323" s="52" t="str">
        <f aca="false">IF(L2323="","",INDEX(ポート振替表!$K$5:$K$3507,$L2323)&amp;" "&amp;INDEX(ポート振替表!$L$5:$L$3507,$L2323)&amp;"  ⇔  "&amp;INDEX(ポート振替表!$H$5:$H$3507,$L2323)&amp;" "&amp;INDEX(ポート振替表!$I$5:$I$3507,$L2323))</f>
        <v/>
      </c>
      <c r="G2323" s="57" t="s">
        <v>158</v>
      </c>
      <c r="H2323" s="32" t="str">
        <f aca="false">IF(L2323="","",INDEX(ポート振替表!$N$5:$N$3507,$L2323)&amp;"")</f>
        <v/>
      </c>
      <c r="I2323" s="32" t="str">
        <f aca="false">IF(L2323="","",INDEX(ポート振替表!$P$5:$P$3507,$L2323)&amp;"")</f>
        <v/>
      </c>
      <c r="J2323" s="60" t="str">
        <f aca="false">IF(L2323="","",INDEX(ポート振替表!$M$5:$M$3507,$L2323)&amp;"")</f>
        <v/>
      </c>
      <c r="K2323" s="52" t="str">
        <f aca="false">IF(L2323="","",E2323&amp;CHAR(10)&amp;INDEX(ポート振替表!$K$5:$K$3507,$L2323)&amp;" "&amp;INDEX(ポート振替表!$L$5:$L$3507,$L2323)&amp;CHAR(10)&amp;"⇔ "&amp;INDEX(ポート振替表!$H$5:$H$3507,$L2323)&amp;" "&amp;INDEX(ポート振替表!$I$5:$I$3507,$L2323))</f>
        <v/>
      </c>
      <c r="L2323" s="47" t="str">
        <f aca="false">IFERROR(MATCH(ROW()-4,ポート振替表!$V$5:$V$3507,0),"")</f>
        <v/>
      </c>
    </row>
    <row r="2324" customFormat="false" ht="16.4" hidden="false" customHeight="false" outlineLevel="0" collapsed="false">
      <c r="A2324" s="32" t="str">
        <f aca="false">IF(L2324="","",ROW()-4)</f>
        <v/>
      </c>
      <c r="B2324" s="58" t="str">
        <f aca="false">IF(L2324="","",IF(INDEX(ポート振替表!$W$5:$W$3507,$L2324)="","(なし)",INDEX(ポート振替表!$W$5:$W$3507,$L2324)&amp;""))</f>
        <v/>
      </c>
      <c r="C2324" s="52" t="str">
        <f aca="false">IF(L2324="","",INDEX(ポート振替表!$B$5:$B$3507,$L2324)&amp;" "&amp;INDEX(ポート振替表!$C$5:$C$3507,$L2324)&amp;"  ⇔  "&amp;INDEX(ポート振替表!$H$5:$H$3507,$L2324)&amp;" "&amp;INDEX(ポート振替表!$I$5:$I$3507,$L2324))</f>
        <v/>
      </c>
      <c r="D2324" s="57" t="s">
        <v>158</v>
      </c>
      <c r="E2324" s="59" t="str">
        <f aca="false">IF(L2324="","",IF(INDEX(ポート振替表!$O$5:$O$3507,$L2324)="","(未設定)",INDEX(ポート振替表!$O$5:$O$3507,$L2324)&amp;""))</f>
        <v/>
      </c>
      <c r="F2324" s="52" t="str">
        <f aca="false">IF(L2324="","",INDEX(ポート振替表!$K$5:$K$3507,$L2324)&amp;" "&amp;INDEX(ポート振替表!$L$5:$L$3507,$L2324)&amp;"  ⇔  "&amp;INDEX(ポート振替表!$H$5:$H$3507,$L2324)&amp;" "&amp;INDEX(ポート振替表!$I$5:$I$3507,$L2324))</f>
        <v/>
      </c>
      <c r="G2324" s="57" t="s">
        <v>158</v>
      </c>
      <c r="H2324" s="32" t="str">
        <f aca="false">IF(L2324="","",INDEX(ポート振替表!$N$5:$N$3507,$L2324)&amp;"")</f>
        <v/>
      </c>
      <c r="I2324" s="32" t="str">
        <f aca="false">IF(L2324="","",INDEX(ポート振替表!$P$5:$P$3507,$L2324)&amp;"")</f>
        <v/>
      </c>
      <c r="J2324" s="60" t="str">
        <f aca="false">IF(L2324="","",INDEX(ポート振替表!$M$5:$M$3507,$L2324)&amp;"")</f>
        <v/>
      </c>
      <c r="K2324" s="52" t="str">
        <f aca="false">IF(L2324="","",E2324&amp;CHAR(10)&amp;INDEX(ポート振替表!$K$5:$K$3507,$L2324)&amp;" "&amp;INDEX(ポート振替表!$L$5:$L$3507,$L2324)&amp;CHAR(10)&amp;"⇔ "&amp;INDEX(ポート振替表!$H$5:$H$3507,$L2324)&amp;" "&amp;INDEX(ポート振替表!$I$5:$I$3507,$L2324))</f>
        <v/>
      </c>
      <c r="L2324" s="47" t="str">
        <f aca="false">IFERROR(MATCH(ROW()-4,ポート振替表!$V$5:$V$3507,0),"")</f>
        <v/>
      </c>
    </row>
    <row r="2325" customFormat="false" ht="16.4" hidden="false" customHeight="false" outlineLevel="0" collapsed="false">
      <c r="A2325" s="32" t="str">
        <f aca="false">IF(L2325="","",ROW()-4)</f>
        <v/>
      </c>
      <c r="B2325" s="58" t="str">
        <f aca="false">IF(L2325="","",IF(INDEX(ポート振替表!$W$5:$W$3507,$L2325)="","(なし)",INDEX(ポート振替表!$W$5:$W$3507,$L2325)&amp;""))</f>
        <v/>
      </c>
      <c r="C2325" s="52" t="str">
        <f aca="false">IF(L2325="","",INDEX(ポート振替表!$B$5:$B$3507,$L2325)&amp;" "&amp;INDEX(ポート振替表!$C$5:$C$3507,$L2325)&amp;"  ⇔  "&amp;INDEX(ポート振替表!$H$5:$H$3507,$L2325)&amp;" "&amp;INDEX(ポート振替表!$I$5:$I$3507,$L2325))</f>
        <v/>
      </c>
      <c r="D2325" s="57" t="s">
        <v>158</v>
      </c>
      <c r="E2325" s="59" t="str">
        <f aca="false">IF(L2325="","",IF(INDEX(ポート振替表!$O$5:$O$3507,$L2325)="","(未設定)",INDEX(ポート振替表!$O$5:$O$3507,$L2325)&amp;""))</f>
        <v/>
      </c>
      <c r="F2325" s="52" t="str">
        <f aca="false">IF(L2325="","",INDEX(ポート振替表!$K$5:$K$3507,$L2325)&amp;" "&amp;INDEX(ポート振替表!$L$5:$L$3507,$L2325)&amp;"  ⇔  "&amp;INDEX(ポート振替表!$H$5:$H$3507,$L2325)&amp;" "&amp;INDEX(ポート振替表!$I$5:$I$3507,$L2325))</f>
        <v/>
      </c>
      <c r="G2325" s="57" t="s">
        <v>158</v>
      </c>
      <c r="H2325" s="32" t="str">
        <f aca="false">IF(L2325="","",INDEX(ポート振替表!$N$5:$N$3507,$L2325)&amp;"")</f>
        <v/>
      </c>
      <c r="I2325" s="32" t="str">
        <f aca="false">IF(L2325="","",INDEX(ポート振替表!$P$5:$P$3507,$L2325)&amp;"")</f>
        <v/>
      </c>
      <c r="J2325" s="60" t="str">
        <f aca="false">IF(L2325="","",INDEX(ポート振替表!$M$5:$M$3507,$L2325)&amp;"")</f>
        <v/>
      </c>
      <c r="K2325" s="52" t="str">
        <f aca="false">IF(L2325="","",E2325&amp;CHAR(10)&amp;INDEX(ポート振替表!$K$5:$K$3507,$L2325)&amp;" "&amp;INDEX(ポート振替表!$L$5:$L$3507,$L2325)&amp;CHAR(10)&amp;"⇔ "&amp;INDEX(ポート振替表!$H$5:$H$3507,$L2325)&amp;" "&amp;INDEX(ポート振替表!$I$5:$I$3507,$L2325))</f>
        <v/>
      </c>
      <c r="L2325" s="47" t="str">
        <f aca="false">IFERROR(MATCH(ROW()-4,ポート振替表!$V$5:$V$3507,0),"")</f>
        <v/>
      </c>
    </row>
    <row r="2326" customFormat="false" ht="16.4" hidden="false" customHeight="false" outlineLevel="0" collapsed="false">
      <c r="A2326" s="32" t="str">
        <f aca="false">IF(L2326="","",ROW()-4)</f>
        <v/>
      </c>
      <c r="B2326" s="58" t="str">
        <f aca="false">IF(L2326="","",IF(INDEX(ポート振替表!$W$5:$W$3507,$L2326)="","(なし)",INDEX(ポート振替表!$W$5:$W$3507,$L2326)&amp;""))</f>
        <v/>
      </c>
      <c r="C2326" s="52" t="str">
        <f aca="false">IF(L2326="","",INDEX(ポート振替表!$B$5:$B$3507,$L2326)&amp;" "&amp;INDEX(ポート振替表!$C$5:$C$3507,$L2326)&amp;"  ⇔  "&amp;INDEX(ポート振替表!$H$5:$H$3507,$L2326)&amp;" "&amp;INDEX(ポート振替表!$I$5:$I$3507,$L2326))</f>
        <v/>
      </c>
      <c r="D2326" s="57" t="s">
        <v>158</v>
      </c>
      <c r="E2326" s="59" t="str">
        <f aca="false">IF(L2326="","",IF(INDEX(ポート振替表!$O$5:$O$3507,$L2326)="","(未設定)",INDEX(ポート振替表!$O$5:$O$3507,$L2326)&amp;""))</f>
        <v/>
      </c>
      <c r="F2326" s="52" t="str">
        <f aca="false">IF(L2326="","",INDEX(ポート振替表!$K$5:$K$3507,$L2326)&amp;" "&amp;INDEX(ポート振替表!$L$5:$L$3507,$L2326)&amp;"  ⇔  "&amp;INDEX(ポート振替表!$H$5:$H$3507,$L2326)&amp;" "&amp;INDEX(ポート振替表!$I$5:$I$3507,$L2326))</f>
        <v/>
      </c>
      <c r="G2326" s="57" t="s">
        <v>158</v>
      </c>
      <c r="H2326" s="32" t="str">
        <f aca="false">IF(L2326="","",INDEX(ポート振替表!$N$5:$N$3507,$L2326)&amp;"")</f>
        <v/>
      </c>
      <c r="I2326" s="32" t="str">
        <f aca="false">IF(L2326="","",INDEX(ポート振替表!$P$5:$P$3507,$L2326)&amp;"")</f>
        <v/>
      </c>
      <c r="J2326" s="60" t="str">
        <f aca="false">IF(L2326="","",INDEX(ポート振替表!$M$5:$M$3507,$L2326)&amp;"")</f>
        <v/>
      </c>
      <c r="K2326" s="52" t="str">
        <f aca="false">IF(L2326="","",E2326&amp;CHAR(10)&amp;INDEX(ポート振替表!$K$5:$K$3507,$L2326)&amp;" "&amp;INDEX(ポート振替表!$L$5:$L$3507,$L2326)&amp;CHAR(10)&amp;"⇔ "&amp;INDEX(ポート振替表!$H$5:$H$3507,$L2326)&amp;" "&amp;INDEX(ポート振替表!$I$5:$I$3507,$L2326))</f>
        <v/>
      </c>
      <c r="L2326" s="47" t="str">
        <f aca="false">IFERROR(MATCH(ROW()-4,ポート振替表!$V$5:$V$3507,0),"")</f>
        <v/>
      </c>
    </row>
    <row r="2327" customFormat="false" ht="16.4" hidden="false" customHeight="false" outlineLevel="0" collapsed="false">
      <c r="A2327" s="32" t="str">
        <f aca="false">IF(L2327="","",ROW()-4)</f>
        <v/>
      </c>
      <c r="B2327" s="58" t="str">
        <f aca="false">IF(L2327="","",IF(INDEX(ポート振替表!$W$5:$W$3507,$L2327)="","(なし)",INDEX(ポート振替表!$W$5:$W$3507,$L2327)&amp;""))</f>
        <v/>
      </c>
      <c r="C2327" s="52" t="str">
        <f aca="false">IF(L2327="","",INDEX(ポート振替表!$B$5:$B$3507,$L2327)&amp;" "&amp;INDEX(ポート振替表!$C$5:$C$3507,$L2327)&amp;"  ⇔  "&amp;INDEX(ポート振替表!$H$5:$H$3507,$L2327)&amp;" "&amp;INDEX(ポート振替表!$I$5:$I$3507,$L2327))</f>
        <v/>
      </c>
      <c r="D2327" s="57" t="s">
        <v>158</v>
      </c>
      <c r="E2327" s="59" t="str">
        <f aca="false">IF(L2327="","",IF(INDEX(ポート振替表!$O$5:$O$3507,$L2327)="","(未設定)",INDEX(ポート振替表!$O$5:$O$3507,$L2327)&amp;""))</f>
        <v/>
      </c>
      <c r="F2327" s="52" t="str">
        <f aca="false">IF(L2327="","",INDEX(ポート振替表!$K$5:$K$3507,$L2327)&amp;" "&amp;INDEX(ポート振替表!$L$5:$L$3507,$L2327)&amp;"  ⇔  "&amp;INDEX(ポート振替表!$H$5:$H$3507,$L2327)&amp;" "&amp;INDEX(ポート振替表!$I$5:$I$3507,$L2327))</f>
        <v/>
      </c>
      <c r="G2327" s="57" t="s">
        <v>158</v>
      </c>
      <c r="H2327" s="32" t="str">
        <f aca="false">IF(L2327="","",INDEX(ポート振替表!$N$5:$N$3507,$L2327)&amp;"")</f>
        <v/>
      </c>
      <c r="I2327" s="32" t="str">
        <f aca="false">IF(L2327="","",INDEX(ポート振替表!$P$5:$P$3507,$L2327)&amp;"")</f>
        <v/>
      </c>
      <c r="J2327" s="60" t="str">
        <f aca="false">IF(L2327="","",INDEX(ポート振替表!$M$5:$M$3507,$L2327)&amp;"")</f>
        <v/>
      </c>
      <c r="K2327" s="52" t="str">
        <f aca="false">IF(L2327="","",E2327&amp;CHAR(10)&amp;INDEX(ポート振替表!$K$5:$K$3507,$L2327)&amp;" "&amp;INDEX(ポート振替表!$L$5:$L$3507,$L2327)&amp;CHAR(10)&amp;"⇔ "&amp;INDEX(ポート振替表!$H$5:$H$3507,$L2327)&amp;" "&amp;INDEX(ポート振替表!$I$5:$I$3507,$L2327))</f>
        <v/>
      </c>
      <c r="L2327" s="47" t="str">
        <f aca="false">IFERROR(MATCH(ROW()-4,ポート振替表!$V$5:$V$3507,0),"")</f>
        <v/>
      </c>
    </row>
    <row r="2328" customFormat="false" ht="16.4" hidden="false" customHeight="false" outlineLevel="0" collapsed="false">
      <c r="A2328" s="32" t="str">
        <f aca="false">IF(L2328="","",ROW()-4)</f>
        <v/>
      </c>
      <c r="B2328" s="58" t="str">
        <f aca="false">IF(L2328="","",IF(INDEX(ポート振替表!$W$5:$W$3507,$L2328)="","(なし)",INDEX(ポート振替表!$W$5:$W$3507,$L2328)&amp;""))</f>
        <v/>
      </c>
      <c r="C2328" s="52" t="str">
        <f aca="false">IF(L2328="","",INDEX(ポート振替表!$B$5:$B$3507,$L2328)&amp;" "&amp;INDEX(ポート振替表!$C$5:$C$3507,$L2328)&amp;"  ⇔  "&amp;INDEX(ポート振替表!$H$5:$H$3507,$L2328)&amp;" "&amp;INDEX(ポート振替表!$I$5:$I$3507,$L2328))</f>
        <v/>
      </c>
      <c r="D2328" s="57" t="s">
        <v>158</v>
      </c>
      <c r="E2328" s="59" t="str">
        <f aca="false">IF(L2328="","",IF(INDEX(ポート振替表!$O$5:$O$3507,$L2328)="","(未設定)",INDEX(ポート振替表!$O$5:$O$3507,$L2328)&amp;""))</f>
        <v/>
      </c>
      <c r="F2328" s="52" t="str">
        <f aca="false">IF(L2328="","",INDEX(ポート振替表!$K$5:$K$3507,$L2328)&amp;" "&amp;INDEX(ポート振替表!$L$5:$L$3507,$L2328)&amp;"  ⇔  "&amp;INDEX(ポート振替表!$H$5:$H$3507,$L2328)&amp;" "&amp;INDEX(ポート振替表!$I$5:$I$3507,$L2328))</f>
        <v/>
      </c>
      <c r="G2328" s="57" t="s">
        <v>158</v>
      </c>
      <c r="H2328" s="32" t="str">
        <f aca="false">IF(L2328="","",INDEX(ポート振替表!$N$5:$N$3507,$L2328)&amp;"")</f>
        <v/>
      </c>
      <c r="I2328" s="32" t="str">
        <f aca="false">IF(L2328="","",INDEX(ポート振替表!$P$5:$P$3507,$L2328)&amp;"")</f>
        <v/>
      </c>
      <c r="J2328" s="60" t="str">
        <f aca="false">IF(L2328="","",INDEX(ポート振替表!$M$5:$M$3507,$L2328)&amp;"")</f>
        <v/>
      </c>
      <c r="K2328" s="52" t="str">
        <f aca="false">IF(L2328="","",E2328&amp;CHAR(10)&amp;INDEX(ポート振替表!$K$5:$K$3507,$L2328)&amp;" "&amp;INDEX(ポート振替表!$L$5:$L$3507,$L2328)&amp;CHAR(10)&amp;"⇔ "&amp;INDEX(ポート振替表!$H$5:$H$3507,$L2328)&amp;" "&amp;INDEX(ポート振替表!$I$5:$I$3507,$L2328))</f>
        <v/>
      </c>
      <c r="L2328" s="47" t="str">
        <f aca="false">IFERROR(MATCH(ROW()-4,ポート振替表!$V$5:$V$3507,0),"")</f>
        <v/>
      </c>
    </row>
    <row r="2329" customFormat="false" ht="16.4" hidden="false" customHeight="false" outlineLevel="0" collapsed="false">
      <c r="A2329" s="32" t="str">
        <f aca="false">IF(L2329="","",ROW()-4)</f>
        <v/>
      </c>
      <c r="B2329" s="58" t="str">
        <f aca="false">IF(L2329="","",IF(INDEX(ポート振替表!$W$5:$W$3507,$L2329)="","(なし)",INDEX(ポート振替表!$W$5:$W$3507,$L2329)&amp;""))</f>
        <v/>
      </c>
      <c r="C2329" s="52" t="str">
        <f aca="false">IF(L2329="","",INDEX(ポート振替表!$B$5:$B$3507,$L2329)&amp;" "&amp;INDEX(ポート振替表!$C$5:$C$3507,$L2329)&amp;"  ⇔  "&amp;INDEX(ポート振替表!$H$5:$H$3507,$L2329)&amp;" "&amp;INDEX(ポート振替表!$I$5:$I$3507,$L2329))</f>
        <v/>
      </c>
      <c r="D2329" s="57" t="s">
        <v>158</v>
      </c>
      <c r="E2329" s="59" t="str">
        <f aca="false">IF(L2329="","",IF(INDEX(ポート振替表!$O$5:$O$3507,$L2329)="","(未設定)",INDEX(ポート振替表!$O$5:$O$3507,$L2329)&amp;""))</f>
        <v/>
      </c>
      <c r="F2329" s="52" t="str">
        <f aca="false">IF(L2329="","",INDEX(ポート振替表!$K$5:$K$3507,$L2329)&amp;" "&amp;INDEX(ポート振替表!$L$5:$L$3507,$L2329)&amp;"  ⇔  "&amp;INDEX(ポート振替表!$H$5:$H$3507,$L2329)&amp;" "&amp;INDEX(ポート振替表!$I$5:$I$3507,$L2329))</f>
        <v/>
      </c>
      <c r="G2329" s="57" t="s">
        <v>158</v>
      </c>
      <c r="H2329" s="32" t="str">
        <f aca="false">IF(L2329="","",INDEX(ポート振替表!$N$5:$N$3507,$L2329)&amp;"")</f>
        <v/>
      </c>
      <c r="I2329" s="32" t="str">
        <f aca="false">IF(L2329="","",INDEX(ポート振替表!$P$5:$P$3507,$L2329)&amp;"")</f>
        <v/>
      </c>
      <c r="J2329" s="60" t="str">
        <f aca="false">IF(L2329="","",INDEX(ポート振替表!$M$5:$M$3507,$L2329)&amp;"")</f>
        <v/>
      </c>
      <c r="K2329" s="52" t="str">
        <f aca="false">IF(L2329="","",E2329&amp;CHAR(10)&amp;INDEX(ポート振替表!$K$5:$K$3507,$L2329)&amp;" "&amp;INDEX(ポート振替表!$L$5:$L$3507,$L2329)&amp;CHAR(10)&amp;"⇔ "&amp;INDEX(ポート振替表!$H$5:$H$3507,$L2329)&amp;" "&amp;INDEX(ポート振替表!$I$5:$I$3507,$L2329))</f>
        <v/>
      </c>
      <c r="L2329" s="47" t="str">
        <f aca="false">IFERROR(MATCH(ROW()-4,ポート振替表!$V$5:$V$3507,0),"")</f>
        <v/>
      </c>
    </row>
    <row r="2330" customFormat="false" ht="16.4" hidden="false" customHeight="false" outlineLevel="0" collapsed="false">
      <c r="A2330" s="32" t="str">
        <f aca="false">IF(L2330="","",ROW()-4)</f>
        <v/>
      </c>
      <c r="B2330" s="58" t="str">
        <f aca="false">IF(L2330="","",IF(INDEX(ポート振替表!$W$5:$W$3507,$L2330)="","(なし)",INDEX(ポート振替表!$W$5:$W$3507,$L2330)&amp;""))</f>
        <v/>
      </c>
      <c r="C2330" s="52" t="str">
        <f aca="false">IF(L2330="","",INDEX(ポート振替表!$B$5:$B$3507,$L2330)&amp;" "&amp;INDEX(ポート振替表!$C$5:$C$3507,$L2330)&amp;"  ⇔  "&amp;INDEX(ポート振替表!$H$5:$H$3507,$L2330)&amp;" "&amp;INDEX(ポート振替表!$I$5:$I$3507,$L2330))</f>
        <v/>
      </c>
      <c r="D2330" s="57" t="s">
        <v>158</v>
      </c>
      <c r="E2330" s="59" t="str">
        <f aca="false">IF(L2330="","",IF(INDEX(ポート振替表!$O$5:$O$3507,$L2330)="","(未設定)",INDEX(ポート振替表!$O$5:$O$3507,$L2330)&amp;""))</f>
        <v/>
      </c>
      <c r="F2330" s="52" t="str">
        <f aca="false">IF(L2330="","",INDEX(ポート振替表!$K$5:$K$3507,$L2330)&amp;" "&amp;INDEX(ポート振替表!$L$5:$L$3507,$L2330)&amp;"  ⇔  "&amp;INDEX(ポート振替表!$H$5:$H$3507,$L2330)&amp;" "&amp;INDEX(ポート振替表!$I$5:$I$3507,$L2330))</f>
        <v/>
      </c>
      <c r="G2330" s="57" t="s">
        <v>158</v>
      </c>
      <c r="H2330" s="32" t="str">
        <f aca="false">IF(L2330="","",INDEX(ポート振替表!$N$5:$N$3507,$L2330)&amp;"")</f>
        <v/>
      </c>
      <c r="I2330" s="32" t="str">
        <f aca="false">IF(L2330="","",INDEX(ポート振替表!$P$5:$P$3507,$L2330)&amp;"")</f>
        <v/>
      </c>
      <c r="J2330" s="60" t="str">
        <f aca="false">IF(L2330="","",INDEX(ポート振替表!$M$5:$M$3507,$L2330)&amp;"")</f>
        <v/>
      </c>
      <c r="K2330" s="52" t="str">
        <f aca="false">IF(L2330="","",E2330&amp;CHAR(10)&amp;INDEX(ポート振替表!$K$5:$K$3507,$L2330)&amp;" "&amp;INDEX(ポート振替表!$L$5:$L$3507,$L2330)&amp;CHAR(10)&amp;"⇔ "&amp;INDEX(ポート振替表!$H$5:$H$3507,$L2330)&amp;" "&amp;INDEX(ポート振替表!$I$5:$I$3507,$L2330))</f>
        <v/>
      </c>
      <c r="L2330" s="47" t="str">
        <f aca="false">IFERROR(MATCH(ROW()-4,ポート振替表!$V$5:$V$3507,0),"")</f>
        <v/>
      </c>
    </row>
    <row r="2331" customFormat="false" ht="16.4" hidden="false" customHeight="false" outlineLevel="0" collapsed="false">
      <c r="A2331" s="32" t="str">
        <f aca="false">IF(L2331="","",ROW()-4)</f>
        <v/>
      </c>
      <c r="B2331" s="58" t="str">
        <f aca="false">IF(L2331="","",IF(INDEX(ポート振替表!$W$5:$W$3507,$L2331)="","(なし)",INDEX(ポート振替表!$W$5:$W$3507,$L2331)&amp;""))</f>
        <v/>
      </c>
      <c r="C2331" s="52" t="str">
        <f aca="false">IF(L2331="","",INDEX(ポート振替表!$B$5:$B$3507,$L2331)&amp;" "&amp;INDEX(ポート振替表!$C$5:$C$3507,$L2331)&amp;"  ⇔  "&amp;INDEX(ポート振替表!$H$5:$H$3507,$L2331)&amp;" "&amp;INDEX(ポート振替表!$I$5:$I$3507,$L2331))</f>
        <v/>
      </c>
      <c r="D2331" s="57" t="s">
        <v>158</v>
      </c>
      <c r="E2331" s="59" t="str">
        <f aca="false">IF(L2331="","",IF(INDEX(ポート振替表!$O$5:$O$3507,$L2331)="","(未設定)",INDEX(ポート振替表!$O$5:$O$3507,$L2331)&amp;""))</f>
        <v/>
      </c>
      <c r="F2331" s="52" t="str">
        <f aca="false">IF(L2331="","",INDEX(ポート振替表!$K$5:$K$3507,$L2331)&amp;" "&amp;INDEX(ポート振替表!$L$5:$L$3507,$L2331)&amp;"  ⇔  "&amp;INDEX(ポート振替表!$H$5:$H$3507,$L2331)&amp;" "&amp;INDEX(ポート振替表!$I$5:$I$3507,$L2331))</f>
        <v/>
      </c>
      <c r="G2331" s="57" t="s">
        <v>158</v>
      </c>
      <c r="H2331" s="32" t="str">
        <f aca="false">IF(L2331="","",INDEX(ポート振替表!$N$5:$N$3507,$L2331)&amp;"")</f>
        <v/>
      </c>
      <c r="I2331" s="32" t="str">
        <f aca="false">IF(L2331="","",INDEX(ポート振替表!$P$5:$P$3507,$L2331)&amp;"")</f>
        <v/>
      </c>
      <c r="J2331" s="60" t="str">
        <f aca="false">IF(L2331="","",INDEX(ポート振替表!$M$5:$M$3507,$L2331)&amp;"")</f>
        <v/>
      </c>
      <c r="K2331" s="52" t="str">
        <f aca="false">IF(L2331="","",E2331&amp;CHAR(10)&amp;INDEX(ポート振替表!$K$5:$K$3507,$L2331)&amp;" "&amp;INDEX(ポート振替表!$L$5:$L$3507,$L2331)&amp;CHAR(10)&amp;"⇔ "&amp;INDEX(ポート振替表!$H$5:$H$3507,$L2331)&amp;" "&amp;INDEX(ポート振替表!$I$5:$I$3507,$L2331))</f>
        <v/>
      </c>
      <c r="L2331" s="47" t="str">
        <f aca="false">IFERROR(MATCH(ROW()-4,ポート振替表!$V$5:$V$3507,0),"")</f>
        <v/>
      </c>
    </row>
    <row r="2332" customFormat="false" ht="16.4" hidden="false" customHeight="false" outlineLevel="0" collapsed="false">
      <c r="A2332" s="32" t="str">
        <f aca="false">IF(L2332="","",ROW()-4)</f>
        <v/>
      </c>
      <c r="B2332" s="58" t="str">
        <f aca="false">IF(L2332="","",IF(INDEX(ポート振替表!$W$5:$W$3507,$L2332)="","(なし)",INDEX(ポート振替表!$W$5:$W$3507,$L2332)&amp;""))</f>
        <v/>
      </c>
      <c r="C2332" s="52" t="str">
        <f aca="false">IF(L2332="","",INDEX(ポート振替表!$B$5:$B$3507,$L2332)&amp;" "&amp;INDEX(ポート振替表!$C$5:$C$3507,$L2332)&amp;"  ⇔  "&amp;INDEX(ポート振替表!$H$5:$H$3507,$L2332)&amp;" "&amp;INDEX(ポート振替表!$I$5:$I$3507,$L2332))</f>
        <v/>
      </c>
      <c r="D2332" s="57" t="s">
        <v>158</v>
      </c>
      <c r="E2332" s="59" t="str">
        <f aca="false">IF(L2332="","",IF(INDEX(ポート振替表!$O$5:$O$3507,$L2332)="","(未設定)",INDEX(ポート振替表!$O$5:$O$3507,$L2332)&amp;""))</f>
        <v/>
      </c>
      <c r="F2332" s="52" t="str">
        <f aca="false">IF(L2332="","",INDEX(ポート振替表!$K$5:$K$3507,$L2332)&amp;" "&amp;INDEX(ポート振替表!$L$5:$L$3507,$L2332)&amp;"  ⇔  "&amp;INDEX(ポート振替表!$H$5:$H$3507,$L2332)&amp;" "&amp;INDEX(ポート振替表!$I$5:$I$3507,$L2332))</f>
        <v/>
      </c>
      <c r="G2332" s="57" t="s">
        <v>158</v>
      </c>
      <c r="H2332" s="32" t="str">
        <f aca="false">IF(L2332="","",INDEX(ポート振替表!$N$5:$N$3507,$L2332)&amp;"")</f>
        <v/>
      </c>
      <c r="I2332" s="32" t="str">
        <f aca="false">IF(L2332="","",INDEX(ポート振替表!$P$5:$P$3507,$L2332)&amp;"")</f>
        <v/>
      </c>
      <c r="J2332" s="60" t="str">
        <f aca="false">IF(L2332="","",INDEX(ポート振替表!$M$5:$M$3507,$L2332)&amp;"")</f>
        <v/>
      </c>
      <c r="K2332" s="52" t="str">
        <f aca="false">IF(L2332="","",E2332&amp;CHAR(10)&amp;INDEX(ポート振替表!$K$5:$K$3507,$L2332)&amp;" "&amp;INDEX(ポート振替表!$L$5:$L$3507,$L2332)&amp;CHAR(10)&amp;"⇔ "&amp;INDEX(ポート振替表!$H$5:$H$3507,$L2332)&amp;" "&amp;INDEX(ポート振替表!$I$5:$I$3507,$L2332))</f>
        <v/>
      </c>
      <c r="L2332" s="47" t="str">
        <f aca="false">IFERROR(MATCH(ROW()-4,ポート振替表!$V$5:$V$3507,0),"")</f>
        <v/>
      </c>
    </row>
    <row r="2333" customFormat="false" ht="16.4" hidden="false" customHeight="false" outlineLevel="0" collapsed="false">
      <c r="A2333" s="32" t="str">
        <f aca="false">IF(L2333="","",ROW()-4)</f>
        <v/>
      </c>
      <c r="B2333" s="58" t="str">
        <f aca="false">IF(L2333="","",IF(INDEX(ポート振替表!$W$5:$W$3507,$L2333)="","(なし)",INDEX(ポート振替表!$W$5:$W$3507,$L2333)&amp;""))</f>
        <v/>
      </c>
      <c r="C2333" s="52" t="str">
        <f aca="false">IF(L2333="","",INDEX(ポート振替表!$B$5:$B$3507,$L2333)&amp;" "&amp;INDEX(ポート振替表!$C$5:$C$3507,$L2333)&amp;"  ⇔  "&amp;INDEX(ポート振替表!$H$5:$H$3507,$L2333)&amp;" "&amp;INDEX(ポート振替表!$I$5:$I$3507,$L2333))</f>
        <v/>
      </c>
      <c r="D2333" s="57" t="s">
        <v>158</v>
      </c>
      <c r="E2333" s="59" t="str">
        <f aca="false">IF(L2333="","",IF(INDEX(ポート振替表!$O$5:$O$3507,$L2333)="","(未設定)",INDEX(ポート振替表!$O$5:$O$3507,$L2333)&amp;""))</f>
        <v/>
      </c>
      <c r="F2333" s="52" t="str">
        <f aca="false">IF(L2333="","",INDEX(ポート振替表!$K$5:$K$3507,$L2333)&amp;" "&amp;INDEX(ポート振替表!$L$5:$L$3507,$L2333)&amp;"  ⇔  "&amp;INDEX(ポート振替表!$H$5:$H$3507,$L2333)&amp;" "&amp;INDEX(ポート振替表!$I$5:$I$3507,$L2333))</f>
        <v/>
      </c>
      <c r="G2333" s="57" t="s">
        <v>158</v>
      </c>
      <c r="H2333" s="32" t="str">
        <f aca="false">IF(L2333="","",INDEX(ポート振替表!$N$5:$N$3507,$L2333)&amp;"")</f>
        <v/>
      </c>
      <c r="I2333" s="32" t="str">
        <f aca="false">IF(L2333="","",INDEX(ポート振替表!$P$5:$P$3507,$L2333)&amp;"")</f>
        <v/>
      </c>
      <c r="J2333" s="60" t="str">
        <f aca="false">IF(L2333="","",INDEX(ポート振替表!$M$5:$M$3507,$L2333)&amp;"")</f>
        <v/>
      </c>
      <c r="K2333" s="52" t="str">
        <f aca="false">IF(L2333="","",E2333&amp;CHAR(10)&amp;INDEX(ポート振替表!$K$5:$K$3507,$L2333)&amp;" "&amp;INDEX(ポート振替表!$L$5:$L$3507,$L2333)&amp;CHAR(10)&amp;"⇔ "&amp;INDEX(ポート振替表!$H$5:$H$3507,$L2333)&amp;" "&amp;INDEX(ポート振替表!$I$5:$I$3507,$L2333))</f>
        <v/>
      </c>
      <c r="L2333" s="47" t="str">
        <f aca="false">IFERROR(MATCH(ROW()-4,ポート振替表!$V$5:$V$3507,0),"")</f>
        <v/>
      </c>
    </row>
    <row r="2334" customFormat="false" ht="16.4" hidden="false" customHeight="false" outlineLevel="0" collapsed="false">
      <c r="A2334" s="32" t="str">
        <f aca="false">IF(L2334="","",ROW()-4)</f>
        <v/>
      </c>
      <c r="B2334" s="58" t="str">
        <f aca="false">IF(L2334="","",IF(INDEX(ポート振替表!$W$5:$W$3507,$L2334)="","(なし)",INDEX(ポート振替表!$W$5:$W$3507,$L2334)&amp;""))</f>
        <v/>
      </c>
      <c r="C2334" s="52" t="str">
        <f aca="false">IF(L2334="","",INDEX(ポート振替表!$B$5:$B$3507,$L2334)&amp;" "&amp;INDEX(ポート振替表!$C$5:$C$3507,$L2334)&amp;"  ⇔  "&amp;INDEX(ポート振替表!$H$5:$H$3507,$L2334)&amp;" "&amp;INDEX(ポート振替表!$I$5:$I$3507,$L2334))</f>
        <v/>
      </c>
      <c r="D2334" s="57" t="s">
        <v>158</v>
      </c>
      <c r="E2334" s="59" t="str">
        <f aca="false">IF(L2334="","",IF(INDEX(ポート振替表!$O$5:$O$3507,$L2334)="","(未設定)",INDEX(ポート振替表!$O$5:$O$3507,$L2334)&amp;""))</f>
        <v/>
      </c>
      <c r="F2334" s="52" t="str">
        <f aca="false">IF(L2334="","",INDEX(ポート振替表!$K$5:$K$3507,$L2334)&amp;" "&amp;INDEX(ポート振替表!$L$5:$L$3507,$L2334)&amp;"  ⇔  "&amp;INDEX(ポート振替表!$H$5:$H$3507,$L2334)&amp;" "&amp;INDEX(ポート振替表!$I$5:$I$3507,$L2334))</f>
        <v/>
      </c>
      <c r="G2334" s="57" t="s">
        <v>158</v>
      </c>
      <c r="H2334" s="32" t="str">
        <f aca="false">IF(L2334="","",INDEX(ポート振替表!$N$5:$N$3507,$L2334)&amp;"")</f>
        <v/>
      </c>
      <c r="I2334" s="32" t="str">
        <f aca="false">IF(L2334="","",INDEX(ポート振替表!$P$5:$P$3507,$L2334)&amp;"")</f>
        <v/>
      </c>
      <c r="J2334" s="60" t="str">
        <f aca="false">IF(L2334="","",INDEX(ポート振替表!$M$5:$M$3507,$L2334)&amp;"")</f>
        <v/>
      </c>
      <c r="K2334" s="52" t="str">
        <f aca="false">IF(L2334="","",E2334&amp;CHAR(10)&amp;INDEX(ポート振替表!$K$5:$K$3507,$L2334)&amp;" "&amp;INDEX(ポート振替表!$L$5:$L$3507,$L2334)&amp;CHAR(10)&amp;"⇔ "&amp;INDEX(ポート振替表!$H$5:$H$3507,$L2334)&amp;" "&amp;INDEX(ポート振替表!$I$5:$I$3507,$L2334))</f>
        <v/>
      </c>
      <c r="L2334" s="47" t="str">
        <f aca="false">IFERROR(MATCH(ROW()-4,ポート振替表!$V$5:$V$3507,0),"")</f>
        <v/>
      </c>
    </row>
    <row r="2335" customFormat="false" ht="16.4" hidden="false" customHeight="false" outlineLevel="0" collapsed="false">
      <c r="A2335" s="32" t="str">
        <f aca="false">IF(L2335="","",ROW()-4)</f>
        <v/>
      </c>
      <c r="B2335" s="58" t="str">
        <f aca="false">IF(L2335="","",IF(INDEX(ポート振替表!$W$5:$W$3507,$L2335)="","(なし)",INDEX(ポート振替表!$W$5:$W$3507,$L2335)&amp;""))</f>
        <v/>
      </c>
      <c r="C2335" s="52" t="str">
        <f aca="false">IF(L2335="","",INDEX(ポート振替表!$B$5:$B$3507,$L2335)&amp;" "&amp;INDEX(ポート振替表!$C$5:$C$3507,$L2335)&amp;"  ⇔  "&amp;INDEX(ポート振替表!$H$5:$H$3507,$L2335)&amp;" "&amp;INDEX(ポート振替表!$I$5:$I$3507,$L2335))</f>
        <v/>
      </c>
      <c r="D2335" s="57" t="s">
        <v>158</v>
      </c>
      <c r="E2335" s="59" t="str">
        <f aca="false">IF(L2335="","",IF(INDEX(ポート振替表!$O$5:$O$3507,$L2335)="","(未設定)",INDEX(ポート振替表!$O$5:$O$3507,$L2335)&amp;""))</f>
        <v/>
      </c>
      <c r="F2335" s="52" t="str">
        <f aca="false">IF(L2335="","",INDEX(ポート振替表!$K$5:$K$3507,$L2335)&amp;" "&amp;INDEX(ポート振替表!$L$5:$L$3507,$L2335)&amp;"  ⇔  "&amp;INDEX(ポート振替表!$H$5:$H$3507,$L2335)&amp;" "&amp;INDEX(ポート振替表!$I$5:$I$3507,$L2335))</f>
        <v/>
      </c>
      <c r="G2335" s="57" t="s">
        <v>158</v>
      </c>
      <c r="H2335" s="32" t="str">
        <f aca="false">IF(L2335="","",INDEX(ポート振替表!$N$5:$N$3507,$L2335)&amp;"")</f>
        <v/>
      </c>
      <c r="I2335" s="32" t="str">
        <f aca="false">IF(L2335="","",INDEX(ポート振替表!$P$5:$P$3507,$L2335)&amp;"")</f>
        <v/>
      </c>
      <c r="J2335" s="60" t="str">
        <f aca="false">IF(L2335="","",INDEX(ポート振替表!$M$5:$M$3507,$L2335)&amp;"")</f>
        <v/>
      </c>
      <c r="K2335" s="52" t="str">
        <f aca="false">IF(L2335="","",E2335&amp;CHAR(10)&amp;INDEX(ポート振替表!$K$5:$K$3507,$L2335)&amp;" "&amp;INDEX(ポート振替表!$L$5:$L$3507,$L2335)&amp;CHAR(10)&amp;"⇔ "&amp;INDEX(ポート振替表!$H$5:$H$3507,$L2335)&amp;" "&amp;INDEX(ポート振替表!$I$5:$I$3507,$L2335))</f>
        <v/>
      </c>
      <c r="L2335" s="47" t="str">
        <f aca="false">IFERROR(MATCH(ROW()-4,ポート振替表!$V$5:$V$3507,0),"")</f>
        <v/>
      </c>
    </row>
    <row r="2336" customFormat="false" ht="16.4" hidden="false" customHeight="false" outlineLevel="0" collapsed="false">
      <c r="A2336" s="32" t="str">
        <f aca="false">IF(L2336="","",ROW()-4)</f>
        <v/>
      </c>
      <c r="B2336" s="58" t="str">
        <f aca="false">IF(L2336="","",IF(INDEX(ポート振替表!$W$5:$W$3507,$L2336)="","(なし)",INDEX(ポート振替表!$W$5:$W$3507,$L2336)&amp;""))</f>
        <v/>
      </c>
      <c r="C2336" s="52" t="str">
        <f aca="false">IF(L2336="","",INDEX(ポート振替表!$B$5:$B$3507,$L2336)&amp;" "&amp;INDEX(ポート振替表!$C$5:$C$3507,$L2336)&amp;"  ⇔  "&amp;INDEX(ポート振替表!$H$5:$H$3507,$L2336)&amp;" "&amp;INDEX(ポート振替表!$I$5:$I$3507,$L2336))</f>
        <v/>
      </c>
      <c r="D2336" s="57" t="s">
        <v>158</v>
      </c>
      <c r="E2336" s="59" t="str">
        <f aca="false">IF(L2336="","",IF(INDEX(ポート振替表!$O$5:$O$3507,$L2336)="","(未設定)",INDEX(ポート振替表!$O$5:$O$3507,$L2336)&amp;""))</f>
        <v/>
      </c>
      <c r="F2336" s="52" t="str">
        <f aca="false">IF(L2336="","",INDEX(ポート振替表!$K$5:$K$3507,$L2336)&amp;" "&amp;INDEX(ポート振替表!$L$5:$L$3507,$L2336)&amp;"  ⇔  "&amp;INDEX(ポート振替表!$H$5:$H$3507,$L2336)&amp;" "&amp;INDEX(ポート振替表!$I$5:$I$3507,$L2336))</f>
        <v/>
      </c>
      <c r="G2336" s="57" t="s">
        <v>158</v>
      </c>
      <c r="H2336" s="32" t="str">
        <f aca="false">IF(L2336="","",INDEX(ポート振替表!$N$5:$N$3507,$L2336)&amp;"")</f>
        <v/>
      </c>
      <c r="I2336" s="32" t="str">
        <f aca="false">IF(L2336="","",INDEX(ポート振替表!$P$5:$P$3507,$L2336)&amp;"")</f>
        <v/>
      </c>
      <c r="J2336" s="60" t="str">
        <f aca="false">IF(L2336="","",INDEX(ポート振替表!$M$5:$M$3507,$L2336)&amp;"")</f>
        <v/>
      </c>
      <c r="K2336" s="52" t="str">
        <f aca="false">IF(L2336="","",E2336&amp;CHAR(10)&amp;INDEX(ポート振替表!$K$5:$K$3507,$L2336)&amp;" "&amp;INDEX(ポート振替表!$L$5:$L$3507,$L2336)&amp;CHAR(10)&amp;"⇔ "&amp;INDEX(ポート振替表!$H$5:$H$3507,$L2336)&amp;" "&amp;INDEX(ポート振替表!$I$5:$I$3507,$L2336))</f>
        <v/>
      </c>
      <c r="L2336" s="47" t="str">
        <f aca="false">IFERROR(MATCH(ROW()-4,ポート振替表!$V$5:$V$3507,0),"")</f>
        <v/>
      </c>
    </row>
    <row r="2337" customFormat="false" ht="16.4" hidden="false" customHeight="false" outlineLevel="0" collapsed="false">
      <c r="A2337" s="32" t="str">
        <f aca="false">IF(L2337="","",ROW()-4)</f>
        <v/>
      </c>
      <c r="B2337" s="58" t="str">
        <f aca="false">IF(L2337="","",IF(INDEX(ポート振替表!$W$5:$W$3507,$L2337)="","(なし)",INDEX(ポート振替表!$W$5:$W$3507,$L2337)&amp;""))</f>
        <v/>
      </c>
      <c r="C2337" s="52" t="str">
        <f aca="false">IF(L2337="","",INDEX(ポート振替表!$B$5:$B$3507,$L2337)&amp;" "&amp;INDEX(ポート振替表!$C$5:$C$3507,$L2337)&amp;"  ⇔  "&amp;INDEX(ポート振替表!$H$5:$H$3507,$L2337)&amp;" "&amp;INDEX(ポート振替表!$I$5:$I$3507,$L2337))</f>
        <v/>
      </c>
      <c r="D2337" s="57" t="s">
        <v>158</v>
      </c>
      <c r="E2337" s="59" t="str">
        <f aca="false">IF(L2337="","",IF(INDEX(ポート振替表!$O$5:$O$3507,$L2337)="","(未設定)",INDEX(ポート振替表!$O$5:$O$3507,$L2337)&amp;""))</f>
        <v/>
      </c>
      <c r="F2337" s="52" t="str">
        <f aca="false">IF(L2337="","",INDEX(ポート振替表!$K$5:$K$3507,$L2337)&amp;" "&amp;INDEX(ポート振替表!$L$5:$L$3507,$L2337)&amp;"  ⇔  "&amp;INDEX(ポート振替表!$H$5:$H$3507,$L2337)&amp;" "&amp;INDEX(ポート振替表!$I$5:$I$3507,$L2337))</f>
        <v/>
      </c>
      <c r="G2337" s="57" t="s">
        <v>158</v>
      </c>
      <c r="H2337" s="32" t="str">
        <f aca="false">IF(L2337="","",INDEX(ポート振替表!$N$5:$N$3507,$L2337)&amp;"")</f>
        <v/>
      </c>
      <c r="I2337" s="32" t="str">
        <f aca="false">IF(L2337="","",INDEX(ポート振替表!$P$5:$P$3507,$L2337)&amp;"")</f>
        <v/>
      </c>
      <c r="J2337" s="60" t="str">
        <f aca="false">IF(L2337="","",INDEX(ポート振替表!$M$5:$M$3507,$L2337)&amp;"")</f>
        <v/>
      </c>
      <c r="K2337" s="52" t="str">
        <f aca="false">IF(L2337="","",E2337&amp;CHAR(10)&amp;INDEX(ポート振替表!$K$5:$K$3507,$L2337)&amp;" "&amp;INDEX(ポート振替表!$L$5:$L$3507,$L2337)&amp;CHAR(10)&amp;"⇔ "&amp;INDEX(ポート振替表!$H$5:$H$3507,$L2337)&amp;" "&amp;INDEX(ポート振替表!$I$5:$I$3507,$L2337))</f>
        <v/>
      </c>
      <c r="L2337" s="47" t="str">
        <f aca="false">IFERROR(MATCH(ROW()-4,ポート振替表!$V$5:$V$3507,0),"")</f>
        <v/>
      </c>
    </row>
    <row r="2338" customFormat="false" ht="16.4" hidden="false" customHeight="false" outlineLevel="0" collapsed="false">
      <c r="A2338" s="32" t="str">
        <f aca="false">IF(L2338="","",ROW()-4)</f>
        <v/>
      </c>
      <c r="B2338" s="58" t="str">
        <f aca="false">IF(L2338="","",IF(INDEX(ポート振替表!$W$5:$W$3507,$L2338)="","(なし)",INDEX(ポート振替表!$W$5:$W$3507,$L2338)&amp;""))</f>
        <v/>
      </c>
      <c r="C2338" s="52" t="str">
        <f aca="false">IF(L2338="","",INDEX(ポート振替表!$B$5:$B$3507,$L2338)&amp;" "&amp;INDEX(ポート振替表!$C$5:$C$3507,$L2338)&amp;"  ⇔  "&amp;INDEX(ポート振替表!$H$5:$H$3507,$L2338)&amp;" "&amp;INDEX(ポート振替表!$I$5:$I$3507,$L2338))</f>
        <v/>
      </c>
      <c r="D2338" s="57" t="s">
        <v>158</v>
      </c>
      <c r="E2338" s="59" t="str">
        <f aca="false">IF(L2338="","",IF(INDEX(ポート振替表!$O$5:$O$3507,$L2338)="","(未設定)",INDEX(ポート振替表!$O$5:$O$3507,$L2338)&amp;""))</f>
        <v/>
      </c>
      <c r="F2338" s="52" t="str">
        <f aca="false">IF(L2338="","",INDEX(ポート振替表!$K$5:$K$3507,$L2338)&amp;" "&amp;INDEX(ポート振替表!$L$5:$L$3507,$L2338)&amp;"  ⇔  "&amp;INDEX(ポート振替表!$H$5:$H$3507,$L2338)&amp;" "&amp;INDEX(ポート振替表!$I$5:$I$3507,$L2338))</f>
        <v/>
      </c>
      <c r="G2338" s="57" t="s">
        <v>158</v>
      </c>
      <c r="H2338" s="32" t="str">
        <f aca="false">IF(L2338="","",INDEX(ポート振替表!$N$5:$N$3507,$L2338)&amp;"")</f>
        <v/>
      </c>
      <c r="I2338" s="32" t="str">
        <f aca="false">IF(L2338="","",INDEX(ポート振替表!$P$5:$P$3507,$L2338)&amp;"")</f>
        <v/>
      </c>
      <c r="J2338" s="60" t="str">
        <f aca="false">IF(L2338="","",INDEX(ポート振替表!$M$5:$M$3507,$L2338)&amp;"")</f>
        <v/>
      </c>
      <c r="K2338" s="52" t="str">
        <f aca="false">IF(L2338="","",E2338&amp;CHAR(10)&amp;INDEX(ポート振替表!$K$5:$K$3507,$L2338)&amp;" "&amp;INDEX(ポート振替表!$L$5:$L$3507,$L2338)&amp;CHAR(10)&amp;"⇔ "&amp;INDEX(ポート振替表!$H$5:$H$3507,$L2338)&amp;" "&amp;INDEX(ポート振替表!$I$5:$I$3507,$L2338))</f>
        <v/>
      </c>
      <c r="L2338" s="47" t="str">
        <f aca="false">IFERROR(MATCH(ROW()-4,ポート振替表!$V$5:$V$3507,0),"")</f>
        <v/>
      </c>
    </row>
    <row r="2339" customFormat="false" ht="16.4" hidden="false" customHeight="false" outlineLevel="0" collapsed="false">
      <c r="A2339" s="32" t="str">
        <f aca="false">IF(L2339="","",ROW()-4)</f>
        <v/>
      </c>
      <c r="B2339" s="58" t="str">
        <f aca="false">IF(L2339="","",IF(INDEX(ポート振替表!$W$5:$W$3507,$L2339)="","(なし)",INDEX(ポート振替表!$W$5:$W$3507,$L2339)&amp;""))</f>
        <v/>
      </c>
      <c r="C2339" s="52" t="str">
        <f aca="false">IF(L2339="","",INDEX(ポート振替表!$B$5:$B$3507,$L2339)&amp;" "&amp;INDEX(ポート振替表!$C$5:$C$3507,$L2339)&amp;"  ⇔  "&amp;INDEX(ポート振替表!$H$5:$H$3507,$L2339)&amp;" "&amp;INDEX(ポート振替表!$I$5:$I$3507,$L2339))</f>
        <v/>
      </c>
      <c r="D2339" s="57" t="s">
        <v>158</v>
      </c>
      <c r="E2339" s="59" t="str">
        <f aca="false">IF(L2339="","",IF(INDEX(ポート振替表!$O$5:$O$3507,$L2339)="","(未設定)",INDEX(ポート振替表!$O$5:$O$3507,$L2339)&amp;""))</f>
        <v/>
      </c>
      <c r="F2339" s="52" t="str">
        <f aca="false">IF(L2339="","",INDEX(ポート振替表!$K$5:$K$3507,$L2339)&amp;" "&amp;INDEX(ポート振替表!$L$5:$L$3507,$L2339)&amp;"  ⇔  "&amp;INDEX(ポート振替表!$H$5:$H$3507,$L2339)&amp;" "&amp;INDEX(ポート振替表!$I$5:$I$3507,$L2339))</f>
        <v/>
      </c>
      <c r="G2339" s="57" t="s">
        <v>158</v>
      </c>
      <c r="H2339" s="32" t="str">
        <f aca="false">IF(L2339="","",INDEX(ポート振替表!$N$5:$N$3507,$L2339)&amp;"")</f>
        <v/>
      </c>
      <c r="I2339" s="32" t="str">
        <f aca="false">IF(L2339="","",INDEX(ポート振替表!$P$5:$P$3507,$L2339)&amp;"")</f>
        <v/>
      </c>
      <c r="J2339" s="60" t="str">
        <f aca="false">IF(L2339="","",INDEX(ポート振替表!$M$5:$M$3507,$L2339)&amp;"")</f>
        <v/>
      </c>
      <c r="K2339" s="52" t="str">
        <f aca="false">IF(L2339="","",E2339&amp;CHAR(10)&amp;INDEX(ポート振替表!$K$5:$K$3507,$L2339)&amp;" "&amp;INDEX(ポート振替表!$L$5:$L$3507,$L2339)&amp;CHAR(10)&amp;"⇔ "&amp;INDEX(ポート振替表!$H$5:$H$3507,$L2339)&amp;" "&amp;INDEX(ポート振替表!$I$5:$I$3507,$L2339))</f>
        <v/>
      </c>
      <c r="L2339" s="47" t="str">
        <f aca="false">IFERROR(MATCH(ROW()-4,ポート振替表!$V$5:$V$3507,0),"")</f>
        <v/>
      </c>
    </row>
    <row r="2340" customFormat="false" ht="16.4" hidden="false" customHeight="false" outlineLevel="0" collapsed="false">
      <c r="A2340" s="32" t="str">
        <f aca="false">IF(L2340="","",ROW()-4)</f>
        <v/>
      </c>
      <c r="B2340" s="58" t="str">
        <f aca="false">IF(L2340="","",IF(INDEX(ポート振替表!$W$5:$W$3507,$L2340)="","(なし)",INDEX(ポート振替表!$W$5:$W$3507,$L2340)&amp;""))</f>
        <v/>
      </c>
      <c r="C2340" s="52" t="str">
        <f aca="false">IF(L2340="","",INDEX(ポート振替表!$B$5:$B$3507,$L2340)&amp;" "&amp;INDEX(ポート振替表!$C$5:$C$3507,$L2340)&amp;"  ⇔  "&amp;INDEX(ポート振替表!$H$5:$H$3507,$L2340)&amp;" "&amp;INDEX(ポート振替表!$I$5:$I$3507,$L2340))</f>
        <v/>
      </c>
      <c r="D2340" s="57" t="s">
        <v>158</v>
      </c>
      <c r="E2340" s="59" t="str">
        <f aca="false">IF(L2340="","",IF(INDEX(ポート振替表!$O$5:$O$3507,$L2340)="","(未設定)",INDEX(ポート振替表!$O$5:$O$3507,$L2340)&amp;""))</f>
        <v/>
      </c>
      <c r="F2340" s="52" t="str">
        <f aca="false">IF(L2340="","",INDEX(ポート振替表!$K$5:$K$3507,$L2340)&amp;" "&amp;INDEX(ポート振替表!$L$5:$L$3507,$L2340)&amp;"  ⇔  "&amp;INDEX(ポート振替表!$H$5:$H$3507,$L2340)&amp;" "&amp;INDEX(ポート振替表!$I$5:$I$3507,$L2340))</f>
        <v/>
      </c>
      <c r="G2340" s="57" t="s">
        <v>158</v>
      </c>
      <c r="H2340" s="32" t="str">
        <f aca="false">IF(L2340="","",INDEX(ポート振替表!$N$5:$N$3507,$L2340)&amp;"")</f>
        <v/>
      </c>
      <c r="I2340" s="32" t="str">
        <f aca="false">IF(L2340="","",INDEX(ポート振替表!$P$5:$P$3507,$L2340)&amp;"")</f>
        <v/>
      </c>
      <c r="J2340" s="60" t="str">
        <f aca="false">IF(L2340="","",INDEX(ポート振替表!$M$5:$M$3507,$L2340)&amp;"")</f>
        <v/>
      </c>
      <c r="K2340" s="52" t="str">
        <f aca="false">IF(L2340="","",E2340&amp;CHAR(10)&amp;INDEX(ポート振替表!$K$5:$K$3507,$L2340)&amp;" "&amp;INDEX(ポート振替表!$L$5:$L$3507,$L2340)&amp;CHAR(10)&amp;"⇔ "&amp;INDEX(ポート振替表!$H$5:$H$3507,$L2340)&amp;" "&amp;INDEX(ポート振替表!$I$5:$I$3507,$L2340))</f>
        <v/>
      </c>
      <c r="L2340" s="47" t="str">
        <f aca="false">IFERROR(MATCH(ROW()-4,ポート振替表!$V$5:$V$3507,0),"")</f>
        <v/>
      </c>
    </row>
    <row r="2341" customFormat="false" ht="16.4" hidden="false" customHeight="false" outlineLevel="0" collapsed="false">
      <c r="A2341" s="32" t="str">
        <f aca="false">IF(L2341="","",ROW()-4)</f>
        <v/>
      </c>
      <c r="B2341" s="58" t="str">
        <f aca="false">IF(L2341="","",IF(INDEX(ポート振替表!$W$5:$W$3507,$L2341)="","(なし)",INDEX(ポート振替表!$W$5:$W$3507,$L2341)&amp;""))</f>
        <v/>
      </c>
      <c r="C2341" s="52" t="str">
        <f aca="false">IF(L2341="","",INDEX(ポート振替表!$B$5:$B$3507,$L2341)&amp;" "&amp;INDEX(ポート振替表!$C$5:$C$3507,$L2341)&amp;"  ⇔  "&amp;INDEX(ポート振替表!$H$5:$H$3507,$L2341)&amp;" "&amp;INDEX(ポート振替表!$I$5:$I$3507,$L2341))</f>
        <v/>
      </c>
      <c r="D2341" s="57" t="s">
        <v>158</v>
      </c>
      <c r="E2341" s="59" t="str">
        <f aca="false">IF(L2341="","",IF(INDEX(ポート振替表!$O$5:$O$3507,$L2341)="","(未設定)",INDEX(ポート振替表!$O$5:$O$3507,$L2341)&amp;""))</f>
        <v/>
      </c>
      <c r="F2341" s="52" t="str">
        <f aca="false">IF(L2341="","",INDEX(ポート振替表!$K$5:$K$3507,$L2341)&amp;" "&amp;INDEX(ポート振替表!$L$5:$L$3507,$L2341)&amp;"  ⇔  "&amp;INDEX(ポート振替表!$H$5:$H$3507,$L2341)&amp;" "&amp;INDEX(ポート振替表!$I$5:$I$3507,$L2341))</f>
        <v/>
      </c>
      <c r="G2341" s="57" t="s">
        <v>158</v>
      </c>
      <c r="H2341" s="32" t="str">
        <f aca="false">IF(L2341="","",INDEX(ポート振替表!$N$5:$N$3507,$L2341)&amp;"")</f>
        <v/>
      </c>
      <c r="I2341" s="32" t="str">
        <f aca="false">IF(L2341="","",INDEX(ポート振替表!$P$5:$P$3507,$L2341)&amp;"")</f>
        <v/>
      </c>
      <c r="J2341" s="60" t="str">
        <f aca="false">IF(L2341="","",INDEX(ポート振替表!$M$5:$M$3507,$L2341)&amp;"")</f>
        <v/>
      </c>
      <c r="K2341" s="52" t="str">
        <f aca="false">IF(L2341="","",E2341&amp;CHAR(10)&amp;INDEX(ポート振替表!$K$5:$K$3507,$L2341)&amp;" "&amp;INDEX(ポート振替表!$L$5:$L$3507,$L2341)&amp;CHAR(10)&amp;"⇔ "&amp;INDEX(ポート振替表!$H$5:$H$3507,$L2341)&amp;" "&amp;INDEX(ポート振替表!$I$5:$I$3507,$L2341))</f>
        <v/>
      </c>
      <c r="L2341" s="47" t="str">
        <f aca="false">IFERROR(MATCH(ROW()-4,ポート振替表!$V$5:$V$3507,0),"")</f>
        <v/>
      </c>
    </row>
    <row r="2342" customFormat="false" ht="16.4" hidden="false" customHeight="false" outlineLevel="0" collapsed="false">
      <c r="A2342" s="32" t="str">
        <f aca="false">IF(L2342="","",ROW()-4)</f>
        <v/>
      </c>
      <c r="B2342" s="58" t="str">
        <f aca="false">IF(L2342="","",IF(INDEX(ポート振替表!$W$5:$W$3507,$L2342)="","(なし)",INDEX(ポート振替表!$W$5:$W$3507,$L2342)&amp;""))</f>
        <v/>
      </c>
      <c r="C2342" s="52" t="str">
        <f aca="false">IF(L2342="","",INDEX(ポート振替表!$B$5:$B$3507,$L2342)&amp;" "&amp;INDEX(ポート振替表!$C$5:$C$3507,$L2342)&amp;"  ⇔  "&amp;INDEX(ポート振替表!$H$5:$H$3507,$L2342)&amp;" "&amp;INDEX(ポート振替表!$I$5:$I$3507,$L2342))</f>
        <v/>
      </c>
      <c r="D2342" s="57" t="s">
        <v>158</v>
      </c>
      <c r="E2342" s="59" t="str">
        <f aca="false">IF(L2342="","",IF(INDEX(ポート振替表!$O$5:$O$3507,$L2342)="","(未設定)",INDEX(ポート振替表!$O$5:$O$3507,$L2342)&amp;""))</f>
        <v/>
      </c>
      <c r="F2342" s="52" t="str">
        <f aca="false">IF(L2342="","",INDEX(ポート振替表!$K$5:$K$3507,$L2342)&amp;" "&amp;INDEX(ポート振替表!$L$5:$L$3507,$L2342)&amp;"  ⇔  "&amp;INDEX(ポート振替表!$H$5:$H$3507,$L2342)&amp;" "&amp;INDEX(ポート振替表!$I$5:$I$3507,$L2342))</f>
        <v/>
      </c>
      <c r="G2342" s="57" t="s">
        <v>158</v>
      </c>
      <c r="H2342" s="32" t="str">
        <f aca="false">IF(L2342="","",INDEX(ポート振替表!$N$5:$N$3507,$L2342)&amp;"")</f>
        <v/>
      </c>
      <c r="I2342" s="32" t="str">
        <f aca="false">IF(L2342="","",INDEX(ポート振替表!$P$5:$P$3507,$L2342)&amp;"")</f>
        <v/>
      </c>
      <c r="J2342" s="60" t="str">
        <f aca="false">IF(L2342="","",INDEX(ポート振替表!$M$5:$M$3507,$L2342)&amp;"")</f>
        <v/>
      </c>
      <c r="K2342" s="52" t="str">
        <f aca="false">IF(L2342="","",E2342&amp;CHAR(10)&amp;INDEX(ポート振替表!$K$5:$K$3507,$L2342)&amp;" "&amp;INDEX(ポート振替表!$L$5:$L$3507,$L2342)&amp;CHAR(10)&amp;"⇔ "&amp;INDEX(ポート振替表!$H$5:$H$3507,$L2342)&amp;" "&amp;INDEX(ポート振替表!$I$5:$I$3507,$L2342))</f>
        <v/>
      </c>
      <c r="L2342" s="47" t="str">
        <f aca="false">IFERROR(MATCH(ROW()-4,ポート振替表!$V$5:$V$3507,0),"")</f>
        <v/>
      </c>
    </row>
    <row r="2343" customFormat="false" ht="16.4" hidden="false" customHeight="false" outlineLevel="0" collapsed="false">
      <c r="A2343" s="32" t="str">
        <f aca="false">IF(L2343="","",ROW()-4)</f>
        <v/>
      </c>
      <c r="B2343" s="58" t="str">
        <f aca="false">IF(L2343="","",IF(INDEX(ポート振替表!$W$5:$W$3507,$L2343)="","(なし)",INDEX(ポート振替表!$W$5:$W$3507,$L2343)&amp;""))</f>
        <v/>
      </c>
      <c r="C2343" s="52" t="str">
        <f aca="false">IF(L2343="","",INDEX(ポート振替表!$B$5:$B$3507,$L2343)&amp;" "&amp;INDEX(ポート振替表!$C$5:$C$3507,$L2343)&amp;"  ⇔  "&amp;INDEX(ポート振替表!$H$5:$H$3507,$L2343)&amp;" "&amp;INDEX(ポート振替表!$I$5:$I$3507,$L2343))</f>
        <v/>
      </c>
      <c r="D2343" s="57" t="s">
        <v>158</v>
      </c>
      <c r="E2343" s="59" t="str">
        <f aca="false">IF(L2343="","",IF(INDEX(ポート振替表!$O$5:$O$3507,$L2343)="","(未設定)",INDEX(ポート振替表!$O$5:$O$3507,$L2343)&amp;""))</f>
        <v/>
      </c>
      <c r="F2343" s="52" t="str">
        <f aca="false">IF(L2343="","",INDEX(ポート振替表!$K$5:$K$3507,$L2343)&amp;" "&amp;INDEX(ポート振替表!$L$5:$L$3507,$L2343)&amp;"  ⇔  "&amp;INDEX(ポート振替表!$H$5:$H$3507,$L2343)&amp;" "&amp;INDEX(ポート振替表!$I$5:$I$3507,$L2343))</f>
        <v/>
      </c>
      <c r="G2343" s="57" t="s">
        <v>158</v>
      </c>
      <c r="H2343" s="32" t="str">
        <f aca="false">IF(L2343="","",INDEX(ポート振替表!$N$5:$N$3507,$L2343)&amp;"")</f>
        <v/>
      </c>
      <c r="I2343" s="32" t="str">
        <f aca="false">IF(L2343="","",INDEX(ポート振替表!$P$5:$P$3507,$L2343)&amp;"")</f>
        <v/>
      </c>
      <c r="J2343" s="60" t="str">
        <f aca="false">IF(L2343="","",INDEX(ポート振替表!$M$5:$M$3507,$L2343)&amp;"")</f>
        <v/>
      </c>
      <c r="K2343" s="52" t="str">
        <f aca="false">IF(L2343="","",E2343&amp;CHAR(10)&amp;INDEX(ポート振替表!$K$5:$K$3507,$L2343)&amp;" "&amp;INDEX(ポート振替表!$L$5:$L$3507,$L2343)&amp;CHAR(10)&amp;"⇔ "&amp;INDEX(ポート振替表!$H$5:$H$3507,$L2343)&amp;" "&amp;INDEX(ポート振替表!$I$5:$I$3507,$L2343))</f>
        <v/>
      </c>
      <c r="L2343" s="47" t="str">
        <f aca="false">IFERROR(MATCH(ROW()-4,ポート振替表!$V$5:$V$3507,0),"")</f>
        <v/>
      </c>
    </row>
    <row r="2344" customFormat="false" ht="16.4" hidden="false" customHeight="false" outlineLevel="0" collapsed="false">
      <c r="A2344" s="32" t="str">
        <f aca="false">IF(L2344="","",ROW()-4)</f>
        <v/>
      </c>
      <c r="B2344" s="58" t="str">
        <f aca="false">IF(L2344="","",IF(INDEX(ポート振替表!$W$5:$W$3507,$L2344)="","(なし)",INDEX(ポート振替表!$W$5:$W$3507,$L2344)&amp;""))</f>
        <v/>
      </c>
      <c r="C2344" s="52" t="str">
        <f aca="false">IF(L2344="","",INDEX(ポート振替表!$B$5:$B$3507,$L2344)&amp;" "&amp;INDEX(ポート振替表!$C$5:$C$3507,$L2344)&amp;"  ⇔  "&amp;INDEX(ポート振替表!$H$5:$H$3507,$L2344)&amp;" "&amp;INDEX(ポート振替表!$I$5:$I$3507,$L2344))</f>
        <v/>
      </c>
      <c r="D2344" s="57" t="s">
        <v>158</v>
      </c>
      <c r="E2344" s="59" t="str">
        <f aca="false">IF(L2344="","",IF(INDEX(ポート振替表!$O$5:$O$3507,$L2344)="","(未設定)",INDEX(ポート振替表!$O$5:$O$3507,$L2344)&amp;""))</f>
        <v/>
      </c>
      <c r="F2344" s="52" t="str">
        <f aca="false">IF(L2344="","",INDEX(ポート振替表!$K$5:$K$3507,$L2344)&amp;" "&amp;INDEX(ポート振替表!$L$5:$L$3507,$L2344)&amp;"  ⇔  "&amp;INDEX(ポート振替表!$H$5:$H$3507,$L2344)&amp;" "&amp;INDEX(ポート振替表!$I$5:$I$3507,$L2344))</f>
        <v/>
      </c>
      <c r="G2344" s="57" t="s">
        <v>158</v>
      </c>
      <c r="H2344" s="32" t="str">
        <f aca="false">IF(L2344="","",INDEX(ポート振替表!$N$5:$N$3507,$L2344)&amp;"")</f>
        <v/>
      </c>
      <c r="I2344" s="32" t="str">
        <f aca="false">IF(L2344="","",INDEX(ポート振替表!$P$5:$P$3507,$L2344)&amp;"")</f>
        <v/>
      </c>
      <c r="J2344" s="60" t="str">
        <f aca="false">IF(L2344="","",INDEX(ポート振替表!$M$5:$M$3507,$L2344)&amp;"")</f>
        <v/>
      </c>
      <c r="K2344" s="52" t="str">
        <f aca="false">IF(L2344="","",E2344&amp;CHAR(10)&amp;INDEX(ポート振替表!$K$5:$K$3507,$L2344)&amp;" "&amp;INDEX(ポート振替表!$L$5:$L$3507,$L2344)&amp;CHAR(10)&amp;"⇔ "&amp;INDEX(ポート振替表!$H$5:$H$3507,$L2344)&amp;" "&amp;INDEX(ポート振替表!$I$5:$I$3507,$L2344))</f>
        <v/>
      </c>
      <c r="L2344" s="47" t="str">
        <f aca="false">IFERROR(MATCH(ROW()-4,ポート振替表!$V$5:$V$3507,0),"")</f>
        <v/>
      </c>
    </row>
    <row r="2345" customFormat="false" ht="16.4" hidden="false" customHeight="false" outlineLevel="0" collapsed="false">
      <c r="A2345" s="32" t="str">
        <f aca="false">IF(L2345="","",ROW()-4)</f>
        <v/>
      </c>
      <c r="B2345" s="58" t="str">
        <f aca="false">IF(L2345="","",IF(INDEX(ポート振替表!$W$5:$W$3507,$L2345)="","(なし)",INDEX(ポート振替表!$W$5:$W$3507,$L2345)&amp;""))</f>
        <v/>
      </c>
      <c r="C2345" s="52" t="str">
        <f aca="false">IF(L2345="","",INDEX(ポート振替表!$B$5:$B$3507,$L2345)&amp;" "&amp;INDEX(ポート振替表!$C$5:$C$3507,$L2345)&amp;"  ⇔  "&amp;INDEX(ポート振替表!$H$5:$H$3507,$L2345)&amp;" "&amp;INDEX(ポート振替表!$I$5:$I$3507,$L2345))</f>
        <v/>
      </c>
      <c r="D2345" s="57" t="s">
        <v>158</v>
      </c>
      <c r="E2345" s="59" t="str">
        <f aca="false">IF(L2345="","",IF(INDEX(ポート振替表!$O$5:$O$3507,$L2345)="","(未設定)",INDEX(ポート振替表!$O$5:$O$3507,$L2345)&amp;""))</f>
        <v/>
      </c>
      <c r="F2345" s="52" t="str">
        <f aca="false">IF(L2345="","",INDEX(ポート振替表!$K$5:$K$3507,$L2345)&amp;" "&amp;INDEX(ポート振替表!$L$5:$L$3507,$L2345)&amp;"  ⇔  "&amp;INDEX(ポート振替表!$H$5:$H$3507,$L2345)&amp;" "&amp;INDEX(ポート振替表!$I$5:$I$3507,$L2345))</f>
        <v/>
      </c>
      <c r="G2345" s="57" t="s">
        <v>158</v>
      </c>
      <c r="H2345" s="32" t="str">
        <f aca="false">IF(L2345="","",INDEX(ポート振替表!$N$5:$N$3507,$L2345)&amp;"")</f>
        <v/>
      </c>
      <c r="I2345" s="32" t="str">
        <f aca="false">IF(L2345="","",INDEX(ポート振替表!$P$5:$P$3507,$L2345)&amp;"")</f>
        <v/>
      </c>
      <c r="J2345" s="60" t="str">
        <f aca="false">IF(L2345="","",INDEX(ポート振替表!$M$5:$M$3507,$L2345)&amp;"")</f>
        <v/>
      </c>
      <c r="K2345" s="52" t="str">
        <f aca="false">IF(L2345="","",E2345&amp;CHAR(10)&amp;INDEX(ポート振替表!$K$5:$K$3507,$L2345)&amp;" "&amp;INDEX(ポート振替表!$L$5:$L$3507,$L2345)&amp;CHAR(10)&amp;"⇔ "&amp;INDEX(ポート振替表!$H$5:$H$3507,$L2345)&amp;" "&amp;INDEX(ポート振替表!$I$5:$I$3507,$L2345))</f>
        <v/>
      </c>
      <c r="L2345" s="47" t="str">
        <f aca="false">IFERROR(MATCH(ROW()-4,ポート振替表!$V$5:$V$3507,0),"")</f>
        <v/>
      </c>
    </row>
    <row r="2346" customFormat="false" ht="16.4" hidden="false" customHeight="false" outlineLevel="0" collapsed="false">
      <c r="A2346" s="32" t="str">
        <f aca="false">IF(L2346="","",ROW()-4)</f>
        <v/>
      </c>
      <c r="B2346" s="58" t="str">
        <f aca="false">IF(L2346="","",IF(INDEX(ポート振替表!$W$5:$W$3507,$L2346)="","(なし)",INDEX(ポート振替表!$W$5:$W$3507,$L2346)&amp;""))</f>
        <v/>
      </c>
      <c r="C2346" s="52" t="str">
        <f aca="false">IF(L2346="","",INDEX(ポート振替表!$B$5:$B$3507,$L2346)&amp;" "&amp;INDEX(ポート振替表!$C$5:$C$3507,$L2346)&amp;"  ⇔  "&amp;INDEX(ポート振替表!$H$5:$H$3507,$L2346)&amp;" "&amp;INDEX(ポート振替表!$I$5:$I$3507,$L2346))</f>
        <v/>
      </c>
      <c r="D2346" s="57" t="s">
        <v>158</v>
      </c>
      <c r="E2346" s="59" t="str">
        <f aca="false">IF(L2346="","",IF(INDEX(ポート振替表!$O$5:$O$3507,$L2346)="","(未設定)",INDEX(ポート振替表!$O$5:$O$3507,$L2346)&amp;""))</f>
        <v/>
      </c>
      <c r="F2346" s="52" t="str">
        <f aca="false">IF(L2346="","",INDEX(ポート振替表!$K$5:$K$3507,$L2346)&amp;" "&amp;INDEX(ポート振替表!$L$5:$L$3507,$L2346)&amp;"  ⇔  "&amp;INDEX(ポート振替表!$H$5:$H$3507,$L2346)&amp;" "&amp;INDEX(ポート振替表!$I$5:$I$3507,$L2346))</f>
        <v/>
      </c>
      <c r="G2346" s="57" t="s">
        <v>158</v>
      </c>
      <c r="H2346" s="32" t="str">
        <f aca="false">IF(L2346="","",INDEX(ポート振替表!$N$5:$N$3507,$L2346)&amp;"")</f>
        <v/>
      </c>
      <c r="I2346" s="32" t="str">
        <f aca="false">IF(L2346="","",INDEX(ポート振替表!$P$5:$P$3507,$L2346)&amp;"")</f>
        <v/>
      </c>
      <c r="J2346" s="60" t="str">
        <f aca="false">IF(L2346="","",INDEX(ポート振替表!$M$5:$M$3507,$L2346)&amp;"")</f>
        <v/>
      </c>
      <c r="K2346" s="52" t="str">
        <f aca="false">IF(L2346="","",E2346&amp;CHAR(10)&amp;INDEX(ポート振替表!$K$5:$K$3507,$L2346)&amp;" "&amp;INDEX(ポート振替表!$L$5:$L$3507,$L2346)&amp;CHAR(10)&amp;"⇔ "&amp;INDEX(ポート振替表!$H$5:$H$3507,$L2346)&amp;" "&amp;INDEX(ポート振替表!$I$5:$I$3507,$L2346))</f>
        <v/>
      </c>
      <c r="L2346" s="47" t="str">
        <f aca="false">IFERROR(MATCH(ROW()-4,ポート振替表!$V$5:$V$3507,0),"")</f>
        <v/>
      </c>
    </row>
    <row r="2347" customFormat="false" ht="16.4" hidden="false" customHeight="false" outlineLevel="0" collapsed="false">
      <c r="A2347" s="32" t="str">
        <f aca="false">IF(L2347="","",ROW()-4)</f>
        <v/>
      </c>
      <c r="B2347" s="58" t="str">
        <f aca="false">IF(L2347="","",IF(INDEX(ポート振替表!$W$5:$W$3507,$L2347)="","(なし)",INDEX(ポート振替表!$W$5:$W$3507,$L2347)&amp;""))</f>
        <v/>
      </c>
      <c r="C2347" s="52" t="str">
        <f aca="false">IF(L2347="","",INDEX(ポート振替表!$B$5:$B$3507,$L2347)&amp;" "&amp;INDEX(ポート振替表!$C$5:$C$3507,$L2347)&amp;"  ⇔  "&amp;INDEX(ポート振替表!$H$5:$H$3507,$L2347)&amp;" "&amp;INDEX(ポート振替表!$I$5:$I$3507,$L2347))</f>
        <v/>
      </c>
      <c r="D2347" s="57" t="s">
        <v>158</v>
      </c>
      <c r="E2347" s="59" t="str">
        <f aca="false">IF(L2347="","",IF(INDEX(ポート振替表!$O$5:$O$3507,$L2347)="","(未設定)",INDEX(ポート振替表!$O$5:$O$3507,$L2347)&amp;""))</f>
        <v/>
      </c>
      <c r="F2347" s="52" t="str">
        <f aca="false">IF(L2347="","",INDEX(ポート振替表!$K$5:$K$3507,$L2347)&amp;" "&amp;INDEX(ポート振替表!$L$5:$L$3507,$L2347)&amp;"  ⇔  "&amp;INDEX(ポート振替表!$H$5:$H$3507,$L2347)&amp;" "&amp;INDEX(ポート振替表!$I$5:$I$3507,$L2347))</f>
        <v/>
      </c>
      <c r="G2347" s="57" t="s">
        <v>158</v>
      </c>
      <c r="H2347" s="32" t="str">
        <f aca="false">IF(L2347="","",INDEX(ポート振替表!$N$5:$N$3507,$L2347)&amp;"")</f>
        <v/>
      </c>
      <c r="I2347" s="32" t="str">
        <f aca="false">IF(L2347="","",INDEX(ポート振替表!$P$5:$P$3507,$L2347)&amp;"")</f>
        <v/>
      </c>
      <c r="J2347" s="60" t="str">
        <f aca="false">IF(L2347="","",INDEX(ポート振替表!$M$5:$M$3507,$L2347)&amp;"")</f>
        <v/>
      </c>
      <c r="K2347" s="52" t="str">
        <f aca="false">IF(L2347="","",E2347&amp;CHAR(10)&amp;INDEX(ポート振替表!$K$5:$K$3507,$L2347)&amp;" "&amp;INDEX(ポート振替表!$L$5:$L$3507,$L2347)&amp;CHAR(10)&amp;"⇔ "&amp;INDEX(ポート振替表!$H$5:$H$3507,$L2347)&amp;" "&amp;INDEX(ポート振替表!$I$5:$I$3507,$L2347))</f>
        <v/>
      </c>
      <c r="L2347" s="47" t="str">
        <f aca="false">IFERROR(MATCH(ROW()-4,ポート振替表!$V$5:$V$3507,0),"")</f>
        <v/>
      </c>
    </row>
    <row r="2348" customFormat="false" ht="16.4" hidden="false" customHeight="false" outlineLevel="0" collapsed="false">
      <c r="A2348" s="32" t="str">
        <f aca="false">IF(L2348="","",ROW()-4)</f>
        <v/>
      </c>
      <c r="B2348" s="58" t="str">
        <f aca="false">IF(L2348="","",IF(INDEX(ポート振替表!$W$5:$W$3507,$L2348)="","(なし)",INDEX(ポート振替表!$W$5:$W$3507,$L2348)&amp;""))</f>
        <v/>
      </c>
      <c r="C2348" s="52" t="str">
        <f aca="false">IF(L2348="","",INDEX(ポート振替表!$B$5:$B$3507,$L2348)&amp;" "&amp;INDEX(ポート振替表!$C$5:$C$3507,$L2348)&amp;"  ⇔  "&amp;INDEX(ポート振替表!$H$5:$H$3507,$L2348)&amp;" "&amp;INDEX(ポート振替表!$I$5:$I$3507,$L2348))</f>
        <v/>
      </c>
      <c r="D2348" s="57" t="s">
        <v>158</v>
      </c>
      <c r="E2348" s="59" t="str">
        <f aca="false">IF(L2348="","",IF(INDEX(ポート振替表!$O$5:$O$3507,$L2348)="","(未設定)",INDEX(ポート振替表!$O$5:$O$3507,$L2348)&amp;""))</f>
        <v/>
      </c>
      <c r="F2348" s="52" t="str">
        <f aca="false">IF(L2348="","",INDEX(ポート振替表!$K$5:$K$3507,$L2348)&amp;" "&amp;INDEX(ポート振替表!$L$5:$L$3507,$L2348)&amp;"  ⇔  "&amp;INDEX(ポート振替表!$H$5:$H$3507,$L2348)&amp;" "&amp;INDEX(ポート振替表!$I$5:$I$3507,$L2348))</f>
        <v/>
      </c>
      <c r="G2348" s="57" t="s">
        <v>158</v>
      </c>
      <c r="H2348" s="32" t="str">
        <f aca="false">IF(L2348="","",INDEX(ポート振替表!$N$5:$N$3507,$L2348)&amp;"")</f>
        <v/>
      </c>
      <c r="I2348" s="32" t="str">
        <f aca="false">IF(L2348="","",INDEX(ポート振替表!$P$5:$P$3507,$L2348)&amp;"")</f>
        <v/>
      </c>
      <c r="J2348" s="60" t="str">
        <f aca="false">IF(L2348="","",INDEX(ポート振替表!$M$5:$M$3507,$L2348)&amp;"")</f>
        <v/>
      </c>
      <c r="K2348" s="52" t="str">
        <f aca="false">IF(L2348="","",E2348&amp;CHAR(10)&amp;INDEX(ポート振替表!$K$5:$K$3507,$L2348)&amp;" "&amp;INDEX(ポート振替表!$L$5:$L$3507,$L2348)&amp;CHAR(10)&amp;"⇔ "&amp;INDEX(ポート振替表!$H$5:$H$3507,$L2348)&amp;" "&amp;INDEX(ポート振替表!$I$5:$I$3507,$L2348))</f>
        <v/>
      </c>
      <c r="L2348" s="47" t="str">
        <f aca="false">IFERROR(MATCH(ROW()-4,ポート振替表!$V$5:$V$3507,0),"")</f>
        <v/>
      </c>
    </row>
    <row r="2349" customFormat="false" ht="16.4" hidden="false" customHeight="false" outlineLevel="0" collapsed="false">
      <c r="A2349" s="32" t="str">
        <f aca="false">IF(L2349="","",ROW()-4)</f>
        <v/>
      </c>
      <c r="B2349" s="58" t="str">
        <f aca="false">IF(L2349="","",IF(INDEX(ポート振替表!$W$5:$W$3507,$L2349)="","(なし)",INDEX(ポート振替表!$W$5:$W$3507,$L2349)&amp;""))</f>
        <v/>
      </c>
      <c r="C2349" s="52" t="str">
        <f aca="false">IF(L2349="","",INDEX(ポート振替表!$B$5:$B$3507,$L2349)&amp;" "&amp;INDEX(ポート振替表!$C$5:$C$3507,$L2349)&amp;"  ⇔  "&amp;INDEX(ポート振替表!$H$5:$H$3507,$L2349)&amp;" "&amp;INDEX(ポート振替表!$I$5:$I$3507,$L2349))</f>
        <v/>
      </c>
      <c r="D2349" s="57" t="s">
        <v>158</v>
      </c>
      <c r="E2349" s="59" t="str">
        <f aca="false">IF(L2349="","",IF(INDEX(ポート振替表!$O$5:$O$3507,$L2349)="","(未設定)",INDEX(ポート振替表!$O$5:$O$3507,$L2349)&amp;""))</f>
        <v/>
      </c>
      <c r="F2349" s="52" t="str">
        <f aca="false">IF(L2349="","",INDEX(ポート振替表!$K$5:$K$3507,$L2349)&amp;" "&amp;INDEX(ポート振替表!$L$5:$L$3507,$L2349)&amp;"  ⇔  "&amp;INDEX(ポート振替表!$H$5:$H$3507,$L2349)&amp;" "&amp;INDEX(ポート振替表!$I$5:$I$3507,$L2349))</f>
        <v/>
      </c>
      <c r="G2349" s="57" t="s">
        <v>158</v>
      </c>
      <c r="H2349" s="32" t="str">
        <f aca="false">IF(L2349="","",INDEX(ポート振替表!$N$5:$N$3507,$L2349)&amp;"")</f>
        <v/>
      </c>
      <c r="I2349" s="32" t="str">
        <f aca="false">IF(L2349="","",INDEX(ポート振替表!$P$5:$P$3507,$L2349)&amp;"")</f>
        <v/>
      </c>
      <c r="J2349" s="60" t="str">
        <f aca="false">IF(L2349="","",INDEX(ポート振替表!$M$5:$M$3507,$L2349)&amp;"")</f>
        <v/>
      </c>
      <c r="K2349" s="52" t="str">
        <f aca="false">IF(L2349="","",E2349&amp;CHAR(10)&amp;INDEX(ポート振替表!$K$5:$K$3507,$L2349)&amp;" "&amp;INDEX(ポート振替表!$L$5:$L$3507,$L2349)&amp;CHAR(10)&amp;"⇔ "&amp;INDEX(ポート振替表!$H$5:$H$3507,$L2349)&amp;" "&amp;INDEX(ポート振替表!$I$5:$I$3507,$L2349))</f>
        <v/>
      </c>
      <c r="L2349" s="47" t="str">
        <f aca="false">IFERROR(MATCH(ROW()-4,ポート振替表!$V$5:$V$3507,0),"")</f>
        <v/>
      </c>
    </row>
    <row r="2350" customFormat="false" ht="16.4" hidden="false" customHeight="false" outlineLevel="0" collapsed="false">
      <c r="A2350" s="32" t="str">
        <f aca="false">IF(L2350="","",ROW()-4)</f>
        <v/>
      </c>
      <c r="B2350" s="58" t="str">
        <f aca="false">IF(L2350="","",IF(INDEX(ポート振替表!$W$5:$W$3507,$L2350)="","(なし)",INDEX(ポート振替表!$W$5:$W$3507,$L2350)&amp;""))</f>
        <v/>
      </c>
      <c r="C2350" s="52" t="str">
        <f aca="false">IF(L2350="","",INDEX(ポート振替表!$B$5:$B$3507,$L2350)&amp;" "&amp;INDEX(ポート振替表!$C$5:$C$3507,$L2350)&amp;"  ⇔  "&amp;INDEX(ポート振替表!$H$5:$H$3507,$L2350)&amp;" "&amp;INDEX(ポート振替表!$I$5:$I$3507,$L2350))</f>
        <v/>
      </c>
      <c r="D2350" s="57" t="s">
        <v>158</v>
      </c>
      <c r="E2350" s="59" t="str">
        <f aca="false">IF(L2350="","",IF(INDEX(ポート振替表!$O$5:$O$3507,$L2350)="","(未設定)",INDEX(ポート振替表!$O$5:$O$3507,$L2350)&amp;""))</f>
        <v/>
      </c>
      <c r="F2350" s="52" t="str">
        <f aca="false">IF(L2350="","",INDEX(ポート振替表!$K$5:$K$3507,$L2350)&amp;" "&amp;INDEX(ポート振替表!$L$5:$L$3507,$L2350)&amp;"  ⇔  "&amp;INDEX(ポート振替表!$H$5:$H$3507,$L2350)&amp;" "&amp;INDEX(ポート振替表!$I$5:$I$3507,$L2350))</f>
        <v/>
      </c>
      <c r="G2350" s="57" t="s">
        <v>158</v>
      </c>
      <c r="H2350" s="32" t="str">
        <f aca="false">IF(L2350="","",INDEX(ポート振替表!$N$5:$N$3507,$L2350)&amp;"")</f>
        <v/>
      </c>
      <c r="I2350" s="32" t="str">
        <f aca="false">IF(L2350="","",INDEX(ポート振替表!$P$5:$P$3507,$L2350)&amp;"")</f>
        <v/>
      </c>
      <c r="J2350" s="60" t="str">
        <f aca="false">IF(L2350="","",INDEX(ポート振替表!$M$5:$M$3507,$L2350)&amp;"")</f>
        <v/>
      </c>
      <c r="K2350" s="52" t="str">
        <f aca="false">IF(L2350="","",E2350&amp;CHAR(10)&amp;INDEX(ポート振替表!$K$5:$K$3507,$L2350)&amp;" "&amp;INDEX(ポート振替表!$L$5:$L$3507,$L2350)&amp;CHAR(10)&amp;"⇔ "&amp;INDEX(ポート振替表!$H$5:$H$3507,$L2350)&amp;" "&amp;INDEX(ポート振替表!$I$5:$I$3507,$L2350))</f>
        <v/>
      </c>
      <c r="L2350" s="47" t="str">
        <f aca="false">IFERROR(MATCH(ROW()-4,ポート振替表!$V$5:$V$3507,0),"")</f>
        <v/>
      </c>
    </row>
    <row r="2351" customFormat="false" ht="16.4" hidden="false" customHeight="false" outlineLevel="0" collapsed="false">
      <c r="A2351" s="32" t="str">
        <f aca="false">IF(L2351="","",ROW()-4)</f>
        <v/>
      </c>
      <c r="B2351" s="58" t="str">
        <f aca="false">IF(L2351="","",IF(INDEX(ポート振替表!$W$5:$W$3507,$L2351)="","(なし)",INDEX(ポート振替表!$W$5:$W$3507,$L2351)&amp;""))</f>
        <v/>
      </c>
      <c r="C2351" s="52" t="str">
        <f aca="false">IF(L2351="","",INDEX(ポート振替表!$B$5:$B$3507,$L2351)&amp;" "&amp;INDEX(ポート振替表!$C$5:$C$3507,$L2351)&amp;"  ⇔  "&amp;INDEX(ポート振替表!$H$5:$H$3507,$L2351)&amp;" "&amp;INDEX(ポート振替表!$I$5:$I$3507,$L2351))</f>
        <v/>
      </c>
      <c r="D2351" s="57" t="s">
        <v>158</v>
      </c>
      <c r="E2351" s="59" t="str">
        <f aca="false">IF(L2351="","",IF(INDEX(ポート振替表!$O$5:$O$3507,$L2351)="","(未設定)",INDEX(ポート振替表!$O$5:$O$3507,$L2351)&amp;""))</f>
        <v/>
      </c>
      <c r="F2351" s="52" t="str">
        <f aca="false">IF(L2351="","",INDEX(ポート振替表!$K$5:$K$3507,$L2351)&amp;" "&amp;INDEX(ポート振替表!$L$5:$L$3507,$L2351)&amp;"  ⇔  "&amp;INDEX(ポート振替表!$H$5:$H$3507,$L2351)&amp;" "&amp;INDEX(ポート振替表!$I$5:$I$3507,$L2351))</f>
        <v/>
      </c>
      <c r="G2351" s="57" t="s">
        <v>158</v>
      </c>
      <c r="H2351" s="32" t="str">
        <f aca="false">IF(L2351="","",INDEX(ポート振替表!$N$5:$N$3507,$L2351)&amp;"")</f>
        <v/>
      </c>
      <c r="I2351" s="32" t="str">
        <f aca="false">IF(L2351="","",INDEX(ポート振替表!$P$5:$P$3507,$L2351)&amp;"")</f>
        <v/>
      </c>
      <c r="J2351" s="60" t="str">
        <f aca="false">IF(L2351="","",INDEX(ポート振替表!$M$5:$M$3507,$L2351)&amp;"")</f>
        <v/>
      </c>
      <c r="K2351" s="52" t="str">
        <f aca="false">IF(L2351="","",E2351&amp;CHAR(10)&amp;INDEX(ポート振替表!$K$5:$K$3507,$L2351)&amp;" "&amp;INDEX(ポート振替表!$L$5:$L$3507,$L2351)&amp;CHAR(10)&amp;"⇔ "&amp;INDEX(ポート振替表!$H$5:$H$3507,$L2351)&amp;" "&amp;INDEX(ポート振替表!$I$5:$I$3507,$L2351))</f>
        <v/>
      </c>
      <c r="L2351" s="47" t="str">
        <f aca="false">IFERROR(MATCH(ROW()-4,ポート振替表!$V$5:$V$3507,0),"")</f>
        <v/>
      </c>
    </row>
    <row r="2352" customFormat="false" ht="16.4" hidden="false" customHeight="false" outlineLevel="0" collapsed="false">
      <c r="A2352" s="32" t="str">
        <f aca="false">IF(L2352="","",ROW()-4)</f>
        <v/>
      </c>
      <c r="B2352" s="58" t="str">
        <f aca="false">IF(L2352="","",IF(INDEX(ポート振替表!$W$5:$W$3507,$L2352)="","(なし)",INDEX(ポート振替表!$W$5:$W$3507,$L2352)&amp;""))</f>
        <v/>
      </c>
      <c r="C2352" s="52" t="str">
        <f aca="false">IF(L2352="","",INDEX(ポート振替表!$B$5:$B$3507,$L2352)&amp;" "&amp;INDEX(ポート振替表!$C$5:$C$3507,$L2352)&amp;"  ⇔  "&amp;INDEX(ポート振替表!$H$5:$H$3507,$L2352)&amp;" "&amp;INDEX(ポート振替表!$I$5:$I$3507,$L2352))</f>
        <v/>
      </c>
      <c r="D2352" s="57" t="s">
        <v>158</v>
      </c>
      <c r="E2352" s="59" t="str">
        <f aca="false">IF(L2352="","",IF(INDEX(ポート振替表!$O$5:$O$3507,$L2352)="","(未設定)",INDEX(ポート振替表!$O$5:$O$3507,$L2352)&amp;""))</f>
        <v/>
      </c>
      <c r="F2352" s="52" t="str">
        <f aca="false">IF(L2352="","",INDEX(ポート振替表!$K$5:$K$3507,$L2352)&amp;" "&amp;INDEX(ポート振替表!$L$5:$L$3507,$L2352)&amp;"  ⇔  "&amp;INDEX(ポート振替表!$H$5:$H$3507,$L2352)&amp;" "&amp;INDEX(ポート振替表!$I$5:$I$3507,$L2352))</f>
        <v/>
      </c>
      <c r="G2352" s="57" t="s">
        <v>158</v>
      </c>
      <c r="H2352" s="32" t="str">
        <f aca="false">IF(L2352="","",INDEX(ポート振替表!$N$5:$N$3507,$L2352)&amp;"")</f>
        <v/>
      </c>
      <c r="I2352" s="32" t="str">
        <f aca="false">IF(L2352="","",INDEX(ポート振替表!$P$5:$P$3507,$L2352)&amp;"")</f>
        <v/>
      </c>
      <c r="J2352" s="60" t="str">
        <f aca="false">IF(L2352="","",INDEX(ポート振替表!$M$5:$M$3507,$L2352)&amp;"")</f>
        <v/>
      </c>
      <c r="K2352" s="52" t="str">
        <f aca="false">IF(L2352="","",E2352&amp;CHAR(10)&amp;INDEX(ポート振替表!$K$5:$K$3507,$L2352)&amp;" "&amp;INDEX(ポート振替表!$L$5:$L$3507,$L2352)&amp;CHAR(10)&amp;"⇔ "&amp;INDEX(ポート振替表!$H$5:$H$3507,$L2352)&amp;" "&amp;INDEX(ポート振替表!$I$5:$I$3507,$L2352))</f>
        <v/>
      </c>
      <c r="L2352" s="47" t="str">
        <f aca="false">IFERROR(MATCH(ROW()-4,ポート振替表!$V$5:$V$3507,0),"")</f>
        <v/>
      </c>
    </row>
    <row r="2353" customFormat="false" ht="16.4" hidden="false" customHeight="false" outlineLevel="0" collapsed="false">
      <c r="A2353" s="32" t="str">
        <f aca="false">IF(L2353="","",ROW()-4)</f>
        <v/>
      </c>
      <c r="B2353" s="58" t="str">
        <f aca="false">IF(L2353="","",IF(INDEX(ポート振替表!$W$5:$W$3507,$L2353)="","(なし)",INDEX(ポート振替表!$W$5:$W$3507,$L2353)&amp;""))</f>
        <v/>
      </c>
      <c r="C2353" s="52" t="str">
        <f aca="false">IF(L2353="","",INDEX(ポート振替表!$B$5:$B$3507,$L2353)&amp;" "&amp;INDEX(ポート振替表!$C$5:$C$3507,$L2353)&amp;"  ⇔  "&amp;INDEX(ポート振替表!$H$5:$H$3507,$L2353)&amp;" "&amp;INDEX(ポート振替表!$I$5:$I$3507,$L2353))</f>
        <v/>
      </c>
      <c r="D2353" s="57" t="s">
        <v>158</v>
      </c>
      <c r="E2353" s="59" t="str">
        <f aca="false">IF(L2353="","",IF(INDEX(ポート振替表!$O$5:$O$3507,$L2353)="","(未設定)",INDEX(ポート振替表!$O$5:$O$3507,$L2353)&amp;""))</f>
        <v/>
      </c>
      <c r="F2353" s="52" t="str">
        <f aca="false">IF(L2353="","",INDEX(ポート振替表!$K$5:$K$3507,$L2353)&amp;" "&amp;INDEX(ポート振替表!$L$5:$L$3507,$L2353)&amp;"  ⇔  "&amp;INDEX(ポート振替表!$H$5:$H$3507,$L2353)&amp;" "&amp;INDEX(ポート振替表!$I$5:$I$3507,$L2353))</f>
        <v/>
      </c>
      <c r="G2353" s="57" t="s">
        <v>158</v>
      </c>
      <c r="H2353" s="32" t="str">
        <f aca="false">IF(L2353="","",INDEX(ポート振替表!$N$5:$N$3507,$L2353)&amp;"")</f>
        <v/>
      </c>
      <c r="I2353" s="32" t="str">
        <f aca="false">IF(L2353="","",INDEX(ポート振替表!$P$5:$P$3507,$L2353)&amp;"")</f>
        <v/>
      </c>
      <c r="J2353" s="60" t="str">
        <f aca="false">IF(L2353="","",INDEX(ポート振替表!$M$5:$M$3507,$L2353)&amp;"")</f>
        <v/>
      </c>
      <c r="K2353" s="52" t="str">
        <f aca="false">IF(L2353="","",E2353&amp;CHAR(10)&amp;INDEX(ポート振替表!$K$5:$K$3507,$L2353)&amp;" "&amp;INDEX(ポート振替表!$L$5:$L$3507,$L2353)&amp;CHAR(10)&amp;"⇔ "&amp;INDEX(ポート振替表!$H$5:$H$3507,$L2353)&amp;" "&amp;INDEX(ポート振替表!$I$5:$I$3507,$L2353))</f>
        <v/>
      </c>
      <c r="L2353" s="47" t="str">
        <f aca="false">IFERROR(MATCH(ROW()-4,ポート振替表!$V$5:$V$3507,0),"")</f>
        <v/>
      </c>
    </row>
    <row r="2354" customFormat="false" ht="16.4" hidden="false" customHeight="false" outlineLevel="0" collapsed="false">
      <c r="A2354" s="32" t="str">
        <f aca="false">IF(L2354="","",ROW()-4)</f>
        <v/>
      </c>
      <c r="B2354" s="58" t="str">
        <f aca="false">IF(L2354="","",IF(INDEX(ポート振替表!$W$5:$W$3507,$L2354)="","(なし)",INDEX(ポート振替表!$W$5:$W$3507,$L2354)&amp;""))</f>
        <v/>
      </c>
      <c r="C2354" s="52" t="str">
        <f aca="false">IF(L2354="","",INDEX(ポート振替表!$B$5:$B$3507,$L2354)&amp;" "&amp;INDEX(ポート振替表!$C$5:$C$3507,$L2354)&amp;"  ⇔  "&amp;INDEX(ポート振替表!$H$5:$H$3507,$L2354)&amp;" "&amp;INDEX(ポート振替表!$I$5:$I$3507,$L2354))</f>
        <v/>
      </c>
      <c r="D2354" s="57" t="s">
        <v>158</v>
      </c>
      <c r="E2354" s="59" t="str">
        <f aca="false">IF(L2354="","",IF(INDEX(ポート振替表!$O$5:$O$3507,$L2354)="","(未設定)",INDEX(ポート振替表!$O$5:$O$3507,$L2354)&amp;""))</f>
        <v/>
      </c>
      <c r="F2354" s="52" t="str">
        <f aca="false">IF(L2354="","",INDEX(ポート振替表!$K$5:$K$3507,$L2354)&amp;" "&amp;INDEX(ポート振替表!$L$5:$L$3507,$L2354)&amp;"  ⇔  "&amp;INDEX(ポート振替表!$H$5:$H$3507,$L2354)&amp;" "&amp;INDEX(ポート振替表!$I$5:$I$3507,$L2354))</f>
        <v/>
      </c>
      <c r="G2354" s="57" t="s">
        <v>158</v>
      </c>
      <c r="H2354" s="32" t="str">
        <f aca="false">IF(L2354="","",INDEX(ポート振替表!$N$5:$N$3507,$L2354)&amp;"")</f>
        <v/>
      </c>
      <c r="I2354" s="32" t="str">
        <f aca="false">IF(L2354="","",INDEX(ポート振替表!$P$5:$P$3507,$L2354)&amp;"")</f>
        <v/>
      </c>
      <c r="J2354" s="60" t="str">
        <f aca="false">IF(L2354="","",INDEX(ポート振替表!$M$5:$M$3507,$L2354)&amp;"")</f>
        <v/>
      </c>
      <c r="K2354" s="52" t="str">
        <f aca="false">IF(L2354="","",E2354&amp;CHAR(10)&amp;INDEX(ポート振替表!$K$5:$K$3507,$L2354)&amp;" "&amp;INDEX(ポート振替表!$L$5:$L$3507,$L2354)&amp;CHAR(10)&amp;"⇔ "&amp;INDEX(ポート振替表!$H$5:$H$3507,$L2354)&amp;" "&amp;INDEX(ポート振替表!$I$5:$I$3507,$L2354))</f>
        <v/>
      </c>
      <c r="L2354" s="47" t="str">
        <f aca="false">IFERROR(MATCH(ROW()-4,ポート振替表!$V$5:$V$3507,0),"")</f>
        <v/>
      </c>
    </row>
    <row r="2355" customFormat="false" ht="16.4" hidden="false" customHeight="false" outlineLevel="0" collapsed="false">
      <c r="A2355" s="32" t="str">
        <f aca="false">IF(L2355="","",ROW()-4)</f>
        <v/>
      </c>
      <c r="B2355" s="58" t="str">
        <f aca="false">IF(L2355="","",IF(INDEX(ポート振替表!$W$5:$W$3507,$L2355)="","(なし)",INDEX(ポート振替表!$W$5:$W$3507,$L2355)&amp;""))</f>
        <v/>
      </c>
      <c r="C2355" s="52" t="str">
        <f aca="false">IF(L2355="","",INDEX(ポート振替表!$B$5:$B$3507,$L2355)&amp;" "&amp;INDEX(ポート振替表!$C$5:$C$3507,$L2355)&amp;"  ⇔  "&amp;INDEX(ポート振替表!$H$5:$H$3507,$L2355)&amp;" "&amp;INDEX(ポート振替表!$I$5:$I$3507,$L2355))</f>
        <v/>
      </c>
      <c r="D2355" s="57" t="s">
        <v>158</v>
      </c>
      <c r="E2355" s="59" t="str">
        <f aca="false">IF(L2355="","",IF(INDEX(ポート振替表!$O$5:$O$3507,$L2355)="","(未設定)",INDEX(ポート振替表!$O$5:$O$3507,$L2355)&amp;""))</f>
        <v/>
      </c>
      <c r="F2355" s="52" t="str">
        <f aca="false">IF(L2355="","",INDEX(ポート振替表!$K$5:$K$3507,$L2355)&amp;" "&amp;INDEX(ポート振替表!$L$5:$L$3507,$L2355)&amp;"  ⇔  "&amp;INDEX(ポート振替表!$H$5:$H$3507,$L2355)&amp;" "&amp;INDEX(ポート振替表!$I$5:$I$3507,$L2355))</f>
        <v/>
      </c>
      <c r="G2355" s="57" t="s">
        <v>158</v>
      </c>
      <c r="H2355" s="32" t="str">
        <f aca="false">IF(L2355="","",INDEX(ポート振替表!$N$5:$N$3507,$L2355)&amp;"")</f>
        <v/>
      </c>
      <c r="I2355" s="32" t="str">
        <f aca="false">IF(L2355="","",INDEX(ポート振替表!$P$5:$P$3507,$L2355)&amp;"")</f>
        <v/>
      </c>
      <c r="J2355" s="60" t="str">
        <f aca="false">IF(L2355="","",INDEX(ポート振替表!$M$5:$M$3507,$L2355)&amp;"")</f>
        <v/>
      </c>
      <c r="K2355" s="52" t="str">
        <f aca="false">IF(L2355="","",E2355&amp;CHAR(10)&amp;INDEX(ポート振替表!$K$5:$K$3507,$L2355)&amp;" "&amp;INDEX(ポート振替表!$L$5:$L$3507,$L2355)&amp;CHAR(10)&amp;"⇔ "&amp;INDEX(ポート振替表!$H$5:$H$3507,$L2355)&amp;" "&amp;INDEX(ポート振替表!$I$5:$I$3507,$L2355))</f>
        <v/>
      </c>
      <c r="L2355" s="47" t="str">
        <f aca="false">IFERROR(MATCH(ROW()-4,ポート振替表!$V$5:$V$3507,0),"")</f>
        <v/>
      </c>
    </row>
    <row r="2356" customFormat="false" ht="16.4" hidden="false" customHeight="false" outlineLevel="0" collapsed="false">
      <c r="A2356" s="32" t="str">
        <f aca="false">IF(L2356="","",ROW()-4)</f>
        <v/>
      </c>
      <c r="B2356" s="58" t="str">
        <f aca="false">IF(L2356="","",IF(INDEX(ポート振替表!$W$5:$W$3507,$L2356)="","(なし)",INDEX(ポート振替表!$W$5:$W$3507,$L2356)&amp;""))</f>
        <v/>
      </c>
      <c r="C2356" s="52" t="str">
        <f aca="false">IF(L2356="","",INDEX(ポート振替表!$B$5:$B$3507,$L2356)&amp;" "&amp;INDEX(ポート振替表!$C$5:$C$3507,$L2356)&amp;"  ⇔  "&amp;INDEX(ポート振替表!$H$5:$H$3507,$L2356)&amp;" "&amp;INDEX(ポート振替表!$I$5:$I$3507,$L2356))</f>
        <v/>
      </c>
      <c r="D2356" s="57" t="s">
        <v>158</v>
      </c>
      <c r="E2356" s="59" t="str">
        <f aca="false">IF(L2356="","",IF(INDEX(ポート振替表!$O$5:$O$3507,$L2356)="","(未設定)",INDEX(ポート振替表!$O$5:$O$3507,$L2356)&amp;""))</f>
        <v/>
      </c>
      <c r="F2356" s="52" t="str">
        <f aca="false">IF(L2356="","",INDEX(ポート振替表!$K$5:$K$3507,$L2356)&amp;" "&amp;INDEX(ポート振替表!$L$5:$L$3507,$L2356)&amp;"  ⇔  "&amp;INDEX(ポート振替表!$H$5:$H$3507,$L2356)&amp;" "&amp;INDEX(ポート振替表!$I$5:$I$3507,$L2356))</f>
        <v/>
      </c>
      <c r="G2356" s="57" t="s">
        <v>158</v>
      </c>
      <c r="H2356" s="32" t="str">
        <f aca="false">IF(L2356="","",INDEX(ポート振替表!$N$5:$N$3507,$L2356)&amp;"")</f>
        <v/>
      </c>
      <c r="I2356" s="32" t="str">
        <f aca="false">IF(L2356="","",INDEX(ポート振替表!$P$5:$P$3507,$L2356)&amp;"")</f>
        <v/>
      </c>
      <c r="J2356" s="60" t="str">
        <f aca="false">IF(L2356="","",INDEX(ポート振替表!$M$5:$M$3507,$L2356)&amp;"")</f>
        <v/>
      </c>
      <c r="K2356" s="52" t="str">
        <f aca="false">IF(L2356="","",E2356&amp;CHAR(10)&amp;INDEX(ポート振替表!$K$5:$K$3507,$L2356)&amp;" "&amp;INDEX(ポート振替表!$L$5:$L$3507,$L2356)&amp;CHAR(10)&amp;"⇔ "&amp;INDEX(ポート振替表!$H$5:$H$3507,$L2356)&amp;" "&amp;INDEX(ポート振替表!$I$5:$I$3507,$L2356))</f>
        <v/>
      </c>
      <c r="L2356" s="47" t="str">
        <f aca="false">IFERROR(MATCH(ROW()-4,ポート振替表!$V$5:$V$3507,0),"")</f>
        <v/>
      </c>
    </row>
    <row r="2357" customFormat="false" ht="16.4" hidden="false" customHeight="false" outlineLevel="0" collapsed="false">
      <c r="A2357" s="32" t="str">
        <f aca="false">IF(L2357="","",ROW()-4)</f>
        <v/>
      </c>
      <c r="B2357" s="58" t="str">
        <f aca="false">IF(L2357="","",IF(INDEX(ポート振替表!$W$5:$W$3507,$L2357)="","(なし)",INDEX(ポート振替表!$W$5:$W$3507,$L2357)&amp;""))</f>
        <v/>
      </c>
      <c r="C2357" s="52" t="str">
        <f aca="false">IF(L2357="","",INDEX(ポート振替表!$B$5:$B$3507,$L2357)&amp;" "&amp;INDEX(ポート振替表!$C$5:$C$3507,$L2357)&amp;"  ⇔  "&amp;INDEX(ポート振替表!$H$5:$H$3507,$L2357)&amp;" "&amp;INDEX(ポート振替表!$I$5:$I$3507,$L2357))</f>
        <v/>
      </c>
      <c r="D2357" s="57" t="s">
        <v>158</v>
      </c>
      <c r="E2357" s="59" t="str">
        <f aca="false">IF(L2357="","",IF(INDEX(ポート振替表!$O$5:$O$3507,$L2357)="","(未設定)",INDEX(ポート振替表!$O$5:$O$3507,$L2357)&amp;""))</f>
        <v/>
      </c>
      <c r="F2357" s="52" t="str">
        <f aca="false">IF(L2357="","",INDEX(ポート振替表!$K$5:$K$3507,$L2357)&amp;" "&amp;INDEX(ポート振替表!$L$5:$L$3507,$L2357)&amp;"  ⇔  "&amp;INDEX(ポート振替表!$H$5:$H$3507,$L2357)&amp;" "&amp;INDEX(ポート振替表!$I$5:$I$3507,$L2357))</f>
        <v/>
      </c>
      <c r="G2357" s="57" t="s">
        <v>158</v>
      </c>
      <c r="H2357" s="32" t="str">
        <f aca="false">IF(L2357="","",INDEX(ポート振替表!$N$5:$N$3507,$L2357)&amp;"")</f>
        <v/>
      </c>
      <c r="I2357" s="32" t="str">
        <f aca="false">IF(L2357="","",INDEX(ポート振替表!$P$5:$P$3507,$L2357)&amp;"")</f>
        <v/>
      </c>
      <c r="J2357" s="60" t="str">
        <f aca="false">IF(L2357="","",INDEX(ポート振替表!$M$5:$M$3507,$L2357)&amp;"")</f>
        <v/>
      </c>
      <c r="K2357" s="52" t="str">
        <f aca="false">IF(L2357="","",E2357&amp;CHAR(10)&amp;INDEX(ポート振替表!$K$5:$K$3507,$L2357)&amp;" "&amp;INDEX(ポート振替表!$L$5:$L$3507,$L2357)&amp;CHAR(10)&amp;"⇔ "&amp;INDEX(ポート振替表!$H$5:$H$3507,$L2357)&amp;" "&amp;INDEX(ポート振替表!$I$5:$I$3507,$L2357))</f>
        <v/>
      </c>
      <c r="L2357" s="47" t="str">
        <f aca="false">IFERROR(MATCH(ROW()-4,ポート振替表!$V$5:$V$3507,0),"")</f>
        <v/>
      </c>
    </row>
    <row r="2358" customFormat="false" ht="16.4" hidden="false" customHeight="false" outlineLevel="0" collapsed="false">
      <c r="A2358" s="32" t="str">
        <f aca="false">IF(L2358="","",ROW()-4)</f>
        <v/>
      </c>
      <c r="B2358" s="58" t="str">
        <f aca="false">IF(L2358="","",IF(INDEX(ポート振替表!$W$5:$W$3507,$L2358)="","(なし)",INDEX(ポート振替表!$W$5:$W$3507,$L2358)&amp;""))</f>
        <v/>
      </c>
      <c r="C2358" s="52" t="str">
        <f aca="false">IF(L2358="","",INDEX(ポート振替表!$B$5:$B$3507,$L2358)&amp;" "&amp;INDEX(ポート振替表!$C$5:$C$3507,$L2358)&amp;"  ⇔  "&amp;INDEX(ポート振替表!$H$5:$H$3507,$L2358)&amp;" "&amp;INDEX(ポート振替表!$I$5:$I$3507,$L2358))</f>
        <v/>
      </c>
      <c r="D2358" s="57" t="s">
        <v>158</v>
      </c>
      <c r="E2358" s="59" t="str">
        <f aca="false">IF(L2358="","",IF(INDEX(ポート振替表!$O$5:$O$3507,$L2358)="","(未設定)",INDEX(ポート振替表!$O$5:$O$3507,$L2358)&amp;""))</f>
        <v/>
      </c>
      <c r="F2358" s="52" t="str">
        <f aca="false">IF(L2358="","",INDEX(ポート振替表!$K$5:$K$3507,$L2358)&amp;" "&amp;INDEX(ポート振替表!$L$5:$L$3507,$L2358)&amp;"  ⇔  "&amp;INDEX(ポート振替表!$H$5:$H$3507,$L2358)&amp;" "&amp;INDEX(ポート振替表!$I$5:$I$3507,$L2358))</f>
        <v/>
      </c>
      <c r="G2358" s="57" t="s">
        <v>158</v>
      </c>
      <c r="H2358" s="32" t="str">
        <f aca="false">IF(L2358="","",INDEX(ポート振替表!$N$5:$N$3507,$L2358)&amp;"")</f>
        <v/>
      </c>
      <c r="I2358" s="32" t="str">
        <f aca="false">IF(L2358="","",INDEX(ポート振替表!$P$5:$P$3507,$L2358)&amp;"")</f>
        <v/>
      </c>
      <c r="J2358" s="60" t="str">
        <f aca="false">IF(L2358="","",INDEX(ポート振替表!$M$5:$M$3507,$L2358)&amp;"")</f>
        <v/>
      </c>
      <c r="K2358" s="52" t="str">
        <f aca="false">IF(L2358="","",E2358&amp;CHAR(10)&amp;INDEX(ポート振替表!$K$5:$K$3507,$L2358)&amp;" "&amp;INDEX(ポート振替表!$L$5:$L$3507,$L2358)&amp;CHAR(10)&amp;"⇔ "&amp;INDEX(ポート振替表!$H$5:$H$3507,$L2358)&amp;" "&amp;INDEX(ポート振替表!$I$5:$I$3507,$L2358))</f>
        <v/>
      </c>
      <c r="L2358" s="47" t="str">
        <f aca="false">IFERROR(MATCH(ROW()-4,ポート振替表!$V$5:$V$3507,0),"")</f>
        <v/>
      </c>
    </row>
    <row r="2359" customFormat="false" ht="16.4" hidden="false" customHeight="false" outlineLevel="0" collapsed="false">
      <c r="A2359" s="32" t="str">
        <f aca="false">IF(L2359="","",ROW()-4)</f>
        <v/>
      </c>
      <c r="B2359" s="58" t="str">
        <f aca="false">IF(L2359="","",IF(INDEX(ポート振替表!$W$5:$W$3507,$L2359)="","(なし)",INDEX(ポート振替表!$W$5:$W$3507,$L2359)&amp;""))</f>
        <v/>
      </c>
      <c r="C2359" s="52" t="str">
        <f aca="false">IF(L2359="","",INDEX(ポート振替表!$B$5:$B$3507,$L2359)&amp;" "&amp;INDEX(ポート振替表!$C$5:$C$3507,$L2359)&amp;"  ⇔  "&amp;INDEX(ポート振替表!$H$5:$H$3507,$L2359)&amp;" "&amp;INDEX(ポート振替表!$I$5:$I$3507,$L2359))</f>
        <v/>
      </c>
      <c r="D2359" s="57" t="s">
        <v>158</v>
      </c>
      <c r="E2359" s="59" t="str">
        <f aca="false">IF(L2359="","",IF(INDEX(ポート振替表!$O$5:$O$3507,$L2359)="","(未設定)",INDEX(ポート振替表!$O$5:$O$3507,$L2359)&amp;""))</f>
        <v/>
      </c>
      <c r="F2359" s="52" t="str">
        <f aca="false">IF(L2359="","",INDEX(ポート振替表!$K$5:$K$3507,$L2359)&amp;" "&amp;INDEX(ポート振替表!$L$5:$L$3507,$L2359)&amp;"  ⇔  "&amp;INDEX(ポート振替表!$H$5:$H$3507,$L2359)&amp;" "&amp;INDEX(ポート振替表!$I$5:$I$3507,$L2359))</f>
        <v/>
      </c>
      <c r="G2359" s="57" t="s">
        <v>158</v>
      </c>
      <c r="H2359" s="32" t="str">
        <f aca="false">IF(L2359="","",INDEX(ポート振替表!$N$5:$N$3507,$L2359)&amp;"")</f>
        <v/>
      </c>
      <c r="I2359" s="32" t="str">
        <f aca="false">IF(L2359="","",INDEX(ポート振替表!$P$5:$P$3507,$L2359)&amp;"")</f>
        <v/>
      </c>
      <c r="J2359" s="60" t="str">
        <f aca="false">IF(L2359="","",INDEX(ポート振替表!$M$5:$M$3507,$L2359)&amp;"")</f>
        <v/>
      </c>
      <c r="K2359" s="52" t="str">
        <f aca="false">IF(L2359="","",E2359&amp;CHAR(10)&amp;INDEX(ポート振替表!$K$5:$K$3507,$L2359)&amp;" "&amp;INDEX(ポート振替表!$L$5:$L$3507,$L2359)&amp;CHAR(10)&amp;"⇔ "&amp;INDEX(ポート振替表!$H$5:$H$3507,$L2359)&amp;" "&amp;INDEX(ポート振替表!$I$5:$I$3507,$L2359))</f>
        <v/>
      </c>
      <c r="L2359" s="47" t="str">
        <f aca="false">IFERROR(MATCH(ROW()-4,ポート振替表!$V$5:$V$3507,0),"")</f>
        <v/>
      </c>
    </row>
    <row r="2360" customFormat="false" ht="16.4" hidden="false" customHeight="false" outlineLevel="0" collapsed="false">
      <c r="A2360" s="32" t="str">
        <f aca="false">IF(L2360="","",ROW()-4)</f>
        <v/>
      </c>
      <c r="B2360" s="58" t="str">
        <f aca="false">IF(L2360="","",IF(INDEX(ポート振替表!$W$5:$W$3507,$L2360)="","(なし)",INDEX(ポート振替表!$W$5:$W$3507,$L2360)&amp;""))</f>
        <v/>
      </c>
      <c r="C2360" s="52" t="str">
        <f aca="false">IF(L2360="","",INDEX(ポート振替表!$B$5:$B$3507,$L2360)&amp;" "&amp;INDEX(ポート振替表!$C$5:$C$3507,$L2360)&amp;"  ⇔  "&amp;INDEX(ポート振替表!$H$5:$H$3507,$L2360)&amp;" "&amp;INDEX(ポート振替表!$I$5:$I$3507,$L2360))</f>
        <v/>
      </c>
      <c r="D2360" s="57" t="s">
        <v>158</v>
      </c>
      <c r="E2360" s="59" t="str">
        <f aca="false">IF(L2360="","",IF(INDEX(ポート振替表!$O$5:$O$3507,$L2360)="","(未設定)",INDEX(ポート振替表!$O$5:$O$3507,$L2360)&amp;""))</f>
        <v/>
      </c>
      <c r="F2360" s="52" t="str">
        <f aca="false">IF(L2360="","",INDEX(ポート振替表!$K$5:$K$3507,$L2360)&amp;" "&amp;INDEX(ポート振替表!$L$5:$L$3507,$L2360)&amp;"  ⇔  "&amp;INDEX(ポート振替表!$H$5:$H$3507,$L2360)&amp;" "&amp;INDEX(ポート振替表!$I$5:$I$3507,$L2360))</f>
        <v/>
      </c>
      <c r="G2360" s="57" t="s">
        <v>158</v>
      </c>
      <c r="H2360" s="32" t="str">
        <f aca="false">IF(L2360="","",INDEX(ポート振替表!$N$5:$N$3507,$L2360)&amp;"")</f>
        <v/>
      </c>
      <c r="I2360" s="32" t="str">
        <f aca="false">IF(L2360="","",INDEX(ポート振替表!$P$5:$P$3507,$L2360)&amp;"")</f>
        <v/>
      </c>
      <c r="J2360" s="60" t="str">
        <f aca="false">IF(L2360="","",INDEX(ポート振替表!$M$5:$M$3507,$L2360)&amp;"")</f>
        <v/>
      </c>
      <c r="K2360" s="52" t="str">
        <f aca="false">IF(L2360="","",E2360&amp;CHAR(10)&amp;INDEX(ポート振替表!$K$5:$K$3507,$L2360)&amp;" "&amp;INDEX(ポート振替表!$L$5:$L$3507,$L2360)&amp;CHAR(10)&amp;"⇔ "&amp;INDEX(ポート振替表!$H$5:$H$3507,$L2360)&amp;" "&amp;INDEX(ポート振替表!$I$5:$I$3507,$L2360))</f>
        <v/>
      </c>
      <c r="L2360" s="47" t="str">
        <f aca="false">IFERROR(MATCH(ROW()-4,ポート振替表!$V$5:$V$3507,0),"")</f>
        <v/>
      </c>
    </row>
    <row r="2361" customFormat="false" ht="16.4" hidden="false" customHeight="false" outlineLevel="0" collapsed="false">
      <c r="A2361" s="32" t="str">
        <f aca="false">IF(L2361="","",ROW()-4)</f>
        <v/>
      </c>
      <c r="B2361" s="58" t="str">
        <f aca="false">IF(L2361="","",IF(INDEX(ポート振替表!$W$5:$W$3507,$L2361)="","(なし)",INDEX(ポート振替表!$W$5:$W$3507,$L2361)&amp;""))</f>
        <v/>
      </c>
      <c r="C2361" s="52" t="str">
        <f aca="false">IF(L2361="","",INDEX(ポート振替表!$B$5:$B$3507,$L2361)&amp;" "&amp;INDEX(ポート振替表!$C$5:$C$3507,$L2361)&amp;"  ⇔  "&amp;INDEX(ポート振替表!$H$5:$H$3507,$L2361)&amp;" "&amp;INDEX(ポート振替表!$I$5:$I$3507,$L2361))</f>
        <v/>
      </c>
      <c r="D2361" s="57" t="s">
        <v>158</v>
      </c>
      <c r="E2361" s="59" t="str">
        <f aca="false">IF(L2361="","",IF(INDEX(ポート振替表!$O$5:$O$3507,$L2361)="","(未設定)",INDEX(ポート振替表!$O$5:$O$3507,$L2361)&amp;""))</f>
        <v/>
      </c>
      <c r="F2361" s="52" t="str">
        <f aca="false">IF(L2361="","",INDEX(ポート振替表!$K$5:$K$3507,$L2361)&amp;" "&amp;INDEX(ポート振替表!$L$5:$L$3507,$L2361)&amp;"  ⇔  "&amp;INDEX(ポート振替表!$H$5:$H$3507,$L2361)&amp;" "&amp;INDEX(ポート振替表!$I$5:$I$3507,$L2361))</f>
        <v/>
      </c>
      <c r="G2361" s="57" t="s">
        <v>158</v>
      </c>
      <c r="H2361" s="32" t="str">
        <f aca="false">IF(L2361="","",INDEX(ポート振替表!$N$5:$N$3507,$L2361)&amp;"")</f>
        <v/>
      </c>
      <c r="I2361" s="32" t="str">
        <f aca="false">IF(L2361="","",INDEX(ポート振替表!$P$5:$P$3507,$L2361)&amp;"")</f>
        <v/>
      </c>
      <c r="J2361" s="60" t="str">
        <f aca="false">IF(L2361="","",INDEX(ポート振替表!$M$5:$M$3507,$L2361)&amp;"")</f>
        <v/>
      </c>
      <c r="K2361" s="52" t="str">
        <f aca="false">IF(L2361="","",E2361&amp;CHAR(10)&amp;INDEX(ポート振替表!$K$5:$K$3507,$L2361)&amp;" "&amp;INDEX(ポート振替表!$L$5:$L$3507,$L2361)&amp;CHAR(10)&amp;"⇔ "&amp;INDEX(ポート振替表!$H$5:$H$3507,$L2361)&amp;" "&amp;INDEX(ポート振替表!$I$5:$I$3507,$L2361))</f>
        <v/>
      </c>
      <c r="L2361" s="47" t="str">
        <f aca="false">IFERROR(MATCH(ROW()-4,ポート振替表!$V$5:$V$3507,0),"")</f>
        <v/>
      </c>
    </row>
    <row r="2362" customFormat="false" ht="16.4" hidden="false" customHeight="false" outlineLevel="0" collapsed="false">
      <c r="A2362" s="32" t="str">
        <f aca="false">IF(L2362="","",ROW()-4)</f>
        <v/>
      </c>
      <c r="B2362" s="58" t="str">
        <f aca="false">IF(L2362="","",IF(INDEX(ポート振替表!$W$5:$W$3507,$L2362)="","(なし)",INDEX(ポート振替表!$W$5:$W$3507,$L2362)&amp;""))</f>
        <v/>
      </c>
      <c r="C2362" s="52" t="str">
        <f aca="false">IF(L2362="","",INDEX(ポート振替表!$B$5:$B$3507,$L2362)&amp;" "&amp;INDEX(ポート振替表!$C$5:$C$3507,$L2362)&amp;"  ⇔  "&amp;INDEX(ポート振替表!$H$5:$H$3507,$L2362)&amp;" "&amp;INDEX(ポート振替表!$I$5:$I$3507,$L2362))</f>
        <v/>
      </c>
      <c r="D2362" s="57" t="s">
        <v>158</v>
      </c>
      <c r="E2362" s="59" t="str">
        <f aca="false">IF(L2362="","",IF(INDEX(ポート振替表!$O$5:$O$3507,$L2362)="","(未設定)",INDEX(ポート振替表!$O$5:$O$3507,$L2362)&amp;""))</f>
        <v/>
      </c>
      <c r="F2362" s="52" t="str">
        <f aca="false">IF(L2362="","",INDEX(ポート振替表!$K$5:$K$3507,$L2362)&amp;" "&amp;INDEX(ポート振替表!$L$5:$L$3507,$L2362)&amp;"  ⇔  "&amp;INDEX(ポート振替表!$H$5:$H$3507,$L2362)&amp;" "&amp;INDEX(ポート振替表!$I$5:$I$3507,$L2362))</f>
        <v/>
      </c>
      <c r="G2362" s="57" t="s">
        <v>158</v>
      </c>
      <c r="H2362" s="32" t="str">
        <f aca="false">IF(L2362="","",INDEX(ポート振替表!$N$5:$N$3507,$L2362)&amp;"")</f>
        <v/>
      </c>
      <c r="I2362" s="32" t="str">
        <f aca="false">IF(L2362="","",INDEX(ポート振替表!$P$5:$P$3507,$L2362)&amp;"")</f>
        <v/>
      </c>
      <c r="J2362" s="60" t="str">
        <f aca="false">IF(L2362="","",INDEX(ポート振替表!$M$5:$M$3507,$L2362)&amp;"")</f>
        <v/>
      </c>
      <c r="K2362" s="52" t="str">
        <f aca="false">IF(L2362="","",E2362&amp;CHAR(10)&amp;INDEX(ポート振替表!$K$5:$K$3507,$L2362)&amp;" "&amp;INDEX(ポート振替表!$L$5:$L$3507,$L2362)&amp;CHAR(10)&amp;"⇔ "&amp;INDEX(ポート振替表!$H$5:$H$3507,$L2362)&amp;" "&amp;INDEX(ポート振替表!$I$5:$I$3507,$L2362))</f>
        <v/>
      </c>
      <c r="L2362" s="47" t="str">
        <f aca="false">IFERROR(MATCH(ROW()-4,ポート振替表!$V$5:$V$3507,0),"")</f>
        <v/>
      </c>
    </row>
    <row r="2363" customFormat="false" ht="16.4" hidden="false" customHeight="false" outlineLevel="0" collapsed="false">
      <c r="A2363" s="32" t="str">
        <f aca="false">IF(L2363="","",ROW()-4)</f>
        <v/>
      </c>
      <c r="B2363" s="58" t="str">
        <f aca="false">IF(L2363="","",IF(INDEX(ポート振替表!$W$5:$W$3507,$L2363)="","(なし)",INDEX(ポート振替表!$W$5:$W$3507,$L2363)&amp;""))</f>
        <v/>
      </c>
      <c r="C2363" s="52" t="str">
        <f aca="false">IF(L2363="","",INDEX(ポート振替表!$B$5:$B$3507,$L2363)&amp;" "&amp;INDEX(ポート振替表!$C$5:$C$3507,$L2363)&amp;"  ⇔  "&amp;INDEX(ポート振替表!$H$5:$H$3507,$L2363)&amp;" "&amp;INDEX(ポート振替表!$I$5:$I$3507,$L2363))</f>
        <v/>
      </c>
      <c r="D2363" s="57" t="s">
        <v>158</v>
      </c>
      <c r="E2363" s="59" t="str">
        <f aca="false">IF(L2363="","",IF(INDEX(ポート振替表!$O$5:$O$3507,$L2363)="","(未設定)",INDEX(ポート振替表!$O$5:$O$3507,$L2363)&amp;""))</f>
        <v/>
      </c>
      <c r="F2363" s="52" t="str">
        <f aca="false">IF(L2363="","",INDEX(ポート振替表!$K$5:$K$3507,$L2363)&amp;" "&amp;INDEX(ポート振替表!$L$5:$L$3507,$L2363)&amp;"  ⇔  "&amp;INDEX(ポート振替表!$H$5:$H$3507,$L2363)&amp;" "&amp;INDEX(ポート振替表!$I$5:$I$3507,$L2363))</f>
        <v/>
      </c>
      <c r="G2363" s="57" t="s">
        <v>158</v>
      </c>
      <c r="H2363" s="32" t="str">
        <f aca="false">IF(L2363="","",INDEX(ポート振替表!$N$5:$N$3507,$L2363)&amp;"")</f>
        <v/>
      </c>
      <c r="I2363" s="32" t="str">
        <f aca="false">IF(L2363="","",INDEX(ポート振替表!$P$5:$P$3507,$L2363)&amp;"")</f>
        <v/>
      </c>
      <c r="J2363" s="60" t="str">
        <f aca="false">IF(L2363="","",INDEX(ポート振替表!$M$5:$M$3507,$L2363)&amp;"")</f>
        <v/>
      </c>
      <c r="K2363" s="52" t="str">
        <f aca="false">IF(L2363="","",E2363&amp;CHAR(10)&amp;INDEX(ポート振替表!$K$5:$K$3507,$L2363)&amp;" "&amp;INDEX(ポート振替表!$L$5:$L$3507,$L2363)&amp;CHAR(10)&amp;"⇔ "&amp;INDEX(ポート振替表!$H$5:$H$3507,$L2363)&amp;" "&amp;INDEX(ポート振替表!$I$5:$I$3507,$L2363))</f>
        <v/>
      </c>
      <c r="L2363" s="47" t="str">
        <f aca="false">IFERROR(MATCH(ROW()-4,ポート振替表!$V$5:$V$3507,0),"")</f>
        <v/>
      </c>
    </row>
    <row r="2364" customFormat="false" ht="16.4" hidden="false" customHeight="false" outlineLevel="0" collapsed="false">
      <c r="A2364" s="32" t="str">
        <f aca="false">IF(L2364="","",ROW()-4)</f>
        <v/>
      </c>
      <c r="B2364" s="58" t="str">
        <f aca="false">IF(L2364="","",IF(INDEX(ポート振替表!$W$5:$W$3507,$L2364)="","(なし)",INDEX(ポート振替表!$W$5:$W$3507,$L2364)&amp;""))</f>
        <v/>
      </c>
      <c r="C2364" s="52" t="str">
        <f aca="false">IF(L2364="","",INDEX(ポート振替表!$B$5:$B$3507,$L2364)&amp;" "&amp;INDEX(ポート振替表!$C$5:$C$3507,$L2364)&amp;"  ⇔  "&amp;INDEX(ポート振替表!$H$5:$H$3507,$L2364)&amp;" "&amp;INDEX(ポート振替表!$I$5:$I$3507,$L2364))</f>
        <v/>
      </c>
      <c r="D2364" s="57" t="s">
        <v>158</v>
      </c>
      <c r="E2364" s="59" t="str">
        <f aca="false">IF(L2364="","",IF(INDEX(ポート振替表!$O$5:$O$3507,$L2364)="","(未設定)",INDEX(ポート振替表!$O$5:$O$3507,$L2364)&amp;""))</f>
        <v/>
      </c>
      <c r="F2364" s="52" t="str">
        <f aca="false">IF(L2364="","",INDEX(ポート振替表!$K$5:$K$3507,$L2364)&amp;" "&amp;INDEX(ポート振替表!$L$5:$L$3507,$L2364)&amp;"  ⇔  "&amp;INDEX(ポート振替表!$H$5:$H$3507,$L2364)&amp;" "&amp;INDEX(ポート振替表!$I$5:$I$3507,$L2364))</f>
        <v/>
      </c>
      <c r="G2364" s="57" t="s">
        <v>158</v>
      </c>
      <c r="H2364" s="32" t="str">
        <f aca="false">IF(L2364="","",INDEX(ポート振替表!$N$5:$N$3507,$L2364)&amp;"")</f>
        <v/>
      </c>
      <c r="I2364" s="32" t="str">
        <f aca="false">IF(L2364="","",INDEX(ポート振替表!$P$5:$P$3507,$L2364)&amp;"")</f>
        <v/>
      </c>
      <c r="J2364" s="60" t="str">
        <f aca="false">IF(L2364="","",INDEX(ポート振替表!$M$5:$M$3507,$L2364)&amp;"")</f>
        <v/>
      </c>
      <c r="K2364" s="52" t="str">
        <f aca="false">IF(L2364="","",E2364&amp;CHAR(10)&amp;INDEX(ポート振替表!$K$5:$K$3507,$L2364)&amp;" "&amp;INDEX(ポート振替表!$L$5:$L$3507,$L2364)&amp;CHAR(10)&amp;"⇔ "&amp;INDEX(ポート振替表!$H$5:$H$3507,$L2364)&amp;" "&amp;INDEX(ポート振替表!$I$5:$I$3507,$L2364))</f>
        <v/>
      </c>
      <c r="L2364" s="47" t="str">
        <f aca="false">IFERROR(MATCH(ROW()-4,ポート振替表!$V$5:$V$3507,0),"")</f>
        <v/>
      </c>
    </row>
    <row r="2365" customFormat="false" ht="16.4" hidden="false" customHeight="false" outlineLevel="0" collapsed="false">
      <c r="A2365" s="32" t="str">
        <f aca="false">IF(L2365="","",ROW()-4)</f>
        <v/>
      </c>
      <c r="B2365" s="58" t="str">
        <f aca="false">IF(L2365="","",IF(INDEX(ポート振替表!$W$5:$W$3507,$L2365)="","(なし)",INDEX(ポート振替表!$W$5:$W$3507,$L2365)&amp;""))</f>
        <v/>
      </c>
      <c r="C2365" s="52" t="str">
        <f aca="false">IF(L2365="","",INDEX(ポート振替表!$B$5:$B$3507,$L2365)&amp;" "&amp;INDEX(ポート振替表!$C$5:$C$3507,$L2365)&amp;"  ⇔  "&amp;INDEX(ポート振替表!$H$5:$H$3507,$L2365)&amp;" "&amp;INDEX(ポート振替表!$I$5:$I$3507,$L2365))</f>
        <v/>
      </c>
      <c r="D2365" s="57" t="s">
        <v>158</v>
      </c>
      <c r="E2365" s="59" t="str">
        <f aca="false">IF(L2365="","",IF(INDEX(ポート振替表!$O$5:$O$3507,$L2365)="","(未設定)",INDEX(ポート振替表!$O$5:$O$3507,$L2365)&amp;""))</f>
        <v/>
      </c>
      <c r="F2365" s="52" t="str">
        <f aca="false">IF(L2365="","",INDEX(ポート振替表!$K$5:$K$3507,$L2365)&amp;" "&amp;INDEX(ポート振替表!$L$5:$L$3507,$L2365)&amp;"  ⇔  "&amp;INDEX(ポート振替表!$H$5:$H$3507,$L2365)&amp;" "&amp;INDEX(ポート振替表!$I$5:$I$3507,$L2365))</f>
        <v/>
      </c>
      <c r="G2365" s="57" t="s">
        <v>158</v>
      </c>
      <c r="H2365" s="32" t="str">
        <f aca="false">IF(L2365="","",INDEX(ポート振替表!$N$5:$N$3507,$L2365)&amp;"")</f>
        <v/>
      </c>
      <c r="I2365" s="32" t="str">
        <f aca="false">IF(L2365="","",INDEX(ポート振替表!$P$5:$P$3507,$L2365)&amp;"")</f>
        <v/>
      </c>
      <c r="J2365" s="60" t="str">
        <f aca="false">IF(L2365="","",INDEX(ポート振替表!$M$5:$M$3507,$L2365)&amp;"")</f>
        <v/>
      </c>
      <c r="K2365" s="52" t="str">
        <f aca="false">IF(L2365="","",E2365&amp;CHAR(10)&amp;INDEX(ポート振替表!$K$5:$K$3507,$L2365)&amp;" "&amp;INDEX(ポート振替表!$L$5:$L$3507,$L2365)&amp;CHAR(10)&amp;"⇔ "&amp;INDEX(ポート振替表!$H$5:$H$3507,$L2365)&amp;" "&amp;INDEX(ポート振替表!$I$5:$I$3507,$L2365))</f>
        <v/>
      </c>
      <c r="L2365" s="47" t="str">
        <f aca="false">IFERROR(MATCH(ROW()-4,ポート振替表!$V$5:$V$3507,0),"")</f>
        <v/>
      </c>
    </row>
    <row r="2366" customFormat="false" ht="16.4" hidden="false" customHeight="false" outlineLevel="0" collapsed="false">
      <c r="A2366" s="32" t="str">
        <f aca="false">IF(L2366="","",ROW()-4)</f>
        <v/>
      </c>
      <c r="B2366" s="58" t="str">
        <f aca="false">IF(L2366="","",IF(INDEX(ポート振替表!$W$5:$W$3507,$L2366)="","(なし)",INDEX(ポート振替表!$W$5:$W$3507,$L2366)&amp;""))</f>
        <v/>
      </c>
      <c r="C2366" s="52" t="str">
        <f aca="false">IF(L2366="","",INDEX(ポート振替表!$B$5:$B$3507,$L2366)&amp;" "&amp;INDEX(ポート振替表!$C$5:$C$3507,$L2366)&amp;"  ⇔  "&amp;INDEX(ポート振替表!$H$5:$H$3507,$L2366)&amp;" "&amp;INDEX(ポート振替表!$I$5:$I$3507,$L2366))</f>
        <v/>
      </c>
      <c r="D2366" s="57" t="s">
        <v>158</v>
      </c>
      <c r="E2366" s="59" t="str">
        <f aca="false">IF(L2366="","",IF(INDEX(ポート振替表!$O$5:$O$3507,$L2366)="","(未設定)",INDEX(ポート振替表!$O$5:$O$3507,$L2366)&amp;""))</f>
        <v/>
      </c>
      <c r="F2366" s="52" t="str">
        <f aca="false">IF(L2366="","",INDEX(ポート振替表!$K$5:$K$3507,$L2366)&amp;" "&amp;INDEX(ポート振替表!$L$5:$L$3507,$L2366)&amp;"  ⇔  "&amp;INDEX(ポート振替表!$H$5:$H$3507,$L2366)&amp;" "&amp;INDEX(ポート振替表!$I$5:$I$3507,$L2366))</f>
        <v/>
      </c>
      <c r="G2366" s="57" t="s">
        <v>158</v>
      </c>
      <c r="H2366" s="32" t="str">
        <f aca="false">IF(L2366="","",INDEX(ポート振替表!$N$5:$N$3507,$L2366)&amp;"")</f>
        <v/>
      </c>
      <c r="I2366" s="32" t="str">
        <f aca="false">IF(L2366="","",INDEX(ポート振替表!$P$5:$P$3507,$L2366)&amp;"")</f>
        <v/>
      </c>
      <c r="J2366" s="60" t="str">
        <f aca="false">IF(L2366="","",INDEX(ポート振替表!$M$5:$M$3507,$L2366)&amp;"")</f>
        <v/>
      </c>
      <c r="K2366" s="52" t="str">
        <f aca="false">IF(L2366="","",E2366&amp;CHAR(10)&amp;INDEX(ポート振替表!$K$5:$K$3507,$L2366)&amp;" "&amp;INDEX(ポート振替表!$L$5:$L$3507,$L2366)&amp;CHAR(10)&amp;"⇔ "&amp;INDEX(ポート振替表!$H$5:$H$3507,$L2366)&amp;" "&amp;INDEX(ポート振替表!$I$5:$I$3507,$L2366))</f>
        <v/>
      </c>
      <c r="L2366" s="47" t="str">
        <f aca="false">IFERROR(MATCH(ROW()-4,ポート振替表!$V$5:$V$3507,0),"")</f>
        <v/>
      </c>
    </row>
    <row r="2367" customFormat="false" ht="16.4" hidden="false" customHeight="false" outlineLevel="0" collapsed="false">
      <c r="A2367" s="32" t="str">
        <f aca="false">IF(L2367="","",ROW()-4)</f>
        <v/>
      </c>
      <c r="B2367" s="58" t="str">
        <f aca="false">IF(L2367="","",IF(INDEX(ポート振替表!$W$5:$W$3507,$L2367)="","(なし)",INDEX(ポート振替表!$W$5:$W$3507,$L2367)&amp;""))</f>
        <v/>
      </c>
      <c r="C2367" s="52" t="str">
        <f aca="false">IF(L2367="","",INDEX(ポート振替表!$B$5:$B$3507,$L2367)&amp;" "&amp;INDEX(ポート振替表!$C$5:$C$3507,$L2367)&amp;"  ⇔  "&amp;INDEX(ポート振替表!$H$5:$H$3507,$L2367)&amp;" "&amp;INDEX(ポート振替表!$I$5:$I$3507,$L2367))</f>
        <v/>
      </c>
      <c r="D2367" s="57" t="s">
        <v>158</v>
      </c>
      <c r="E2367" s="59" t="str">
        <f aca="false">IF(L2367="","",IF(INDEX(ポート振替表!$O$5:$O$3507,$L2367)="","(未設定)",INDEX(ポート振替表!$O$5:$O$3507,$L2367)&amp;""))</f>
        <v/>
      </c>
      <c r="F2367" s="52" t="str">
        <f aca="false">IF(L2367="","",INDEX(ポート振替表!$K$5:$K$3507,$L2367)&amp;" "&amp;INDEX(ポート振替表!$L$5:$L$3507,$L2367)&amp;"  ⇔  "&amp;INDEX(ポート振替表!$H$5:$H$3507,$L2367)&amp;" "&amp;INDEX(ポート振替表!$I$5:$I$3507,$L2367))</f>
        <v/>
      </c>
      <c r="G2367" s="57" t="s">
        <v>158</v>
      </c>
      <c r="H2367" s="32" t="str">
        <f aca="false">IF(L2367="","",INDEX(ポート振替表!$N$5:$N$3507,$L2367)&amp;"")</f>
        <v/>
      </c>
      <c r="I2367" s="32" t="str">
        <f aca="false">IF(L2367="","",INDEX(ポート振替表!$P$5:$P$3507,$L2367)&amp;"")</f>
        <v/>
      </c>
      <c r="J2367" s="60" t="str">
        <f aca="false">IF(L2367="","",INDEX(ポート振替表!$M$5:$M$3507,$L2367)&amp;"")</f>
        <v/>
      </c>
      <c r="K2367" s="52" t="str">
        <f aca="false">IF(L2367="","",E2367&amp;CHAR(10)&amp;INDEX(ポート振替表!$K$5:$K$3507,$L2367)&amp;" "&amp;INDEX(ポート振替表!$L$5:$L$3507,$L2367)&amp;CHAR(10)&amp;"⇔ "&amp;INDEX(ポート振替表!$H$5:$H$3507,$L2367)&amp;" "&amp;INDEX(ポート振替表!$I$5:$I$3507,$L2367))</f>
        <v/>
      </c>
      <c r="L2367" s="47" t="str">
        <f aca="false">IFERROR(MATCH(ROW()-4,ポート振替表!$V$5:$V$3507,0),"")</f>
        <v/>
      </c>
    </row>
    <row r="2368" customFormat="false" ht="16.4" hidden="false" customHeight="false" outlineLevel="0" collapsed="false">
      <c r="A2368" s="32" t="str">
        <f aca="false">IF(L2368="","",ROW()-4)</f>
        <v/>
      </c>
      <c r="B2368" s="58" t="str">
        <f aca="false">IF(L2368="","",IF(INDEX(ポート振替表!$W$5:$W$3507,$L2368)="","(なし)",INDEX(ポート振替表!$W$5:$W$3507,$L2368)&amp;""))</f>
        <v/>
      </c>
      <c r="C2368" s="52" t="str">
        <f aca="false">IF(L2368="","",INDEX(ポート振替表!$B$5:$B$3507,$L2368)&amp;" "&amp;INDEX(ポート振替表!$C$5:$C$3507,$L2368)&amp;"  ⇔  "&amp;INDEX(ポート振替表!$H$5:$H$3507,$L2368)&amp;" "&amp;INDEX(ポート振替表!$I$5:$I$3507,$L2368))</f>
        <v/>
      </c>
      <c r="D2368" s="57" t="s">
        <v>158</v>
      </c>
      <c r="E2368" s="59" t="str">
        <f aca="false">IF(L2368="","",IF(INDEX(ポート振替表!$O$5:$O$3507,$L2368)="","(未設定)",INDEX(ポート振替表!$O$5:$O$3507,$L2368)&amp;""))</f>
        <v/>
      </c>
      <c r="F2368" s="52" t="str">
        <f aca="false">IF(L2368="","",INDEX(ポート振替表!$K$5:$K$3507,$L2368)&amp;" "&amp;INDEX(ポート振替表!$L$5:$L$3507,$L2368)&amp;"  ⇔  "&amp;INDEX(ポート振替表!$H$5:$H$3507,$L2368)&amp;" "&amp;INDEX(ポート振替表!$I$5:$I$3507,$L2368))</f>
        <v/>
      </c>
      <c r="G2368" s="57" t="s">
        <v>158</v>
      </c>
      <c r="H2368" s="32" t="str">
        <f aca="false">IF(L2368="","",INDEX(ポート振替表!$N$5:$N$3507,$L2368)&amp;"")</f>
        <v/>
      </c>
      <c r="I2368" s="32" t="str">
        <f aca="false">IF(L2368="","",INDEX(ポート振替表!$P$5:$P$3507,$L2368)&amp;"")</f>
        <v/>
      </c>
      <c r="J2368" s="60" t="str">
        <f aca="false">IF(L2368="","",INDEX(ポート振替表!$M$5:$M$3507,$L2368)&amp;"")</f>
        <v/>
      </c>
      <c r="K2368" s="52" t="str">
        <f aca="false">IF(L2368="","",E2368&amp;CHAR(10)&amp;INDEX(ポート振替表!$K$5:$K$3507,$L2368)&amp;" "&amp;INDEX(ポート振替表!$L$5:$L$3507,$L2368)&amp;CHAR(10)&amp;"⇔ "&amp;INDEX(ポート振替表!$H$5:$H$3507,$L2368)&amp;" "&amp;INDEX(ポート振替表!$I$5:$I$3507,$L2368))</f>
        <v/>
      </c>
      <c r="L2368" s="47" t="str">
        <f aca="false">IFERROR(MATCH(ROW()-4,ポート振替表!$V$5:$V$3507,0),"")</f>
        <v/>
      </c>
    </row>
    <row r="2369" customFormat="false" ht="16.4" hidden="false" customHeight="false" outlineLevel="0" collapsed="false">
      <c r="A2369" s="32" t="str">
        <f aca="false">IF(L2369="","",ROW()-4)</f>
        <v/>
      </c>
      <c r="B2369" s="58" t="str">
        <f aca="false">IF(L2369="","",IF(INDEX(ポート振替表!$W$5:$W$3507,$L2369)="","(なし)",INDEX(ポート振替表!$W$5:$W$3507,$L2369)&amp;""))</f>
        <v/>
      </c>
      <c r="C2369" s="52" t="str">
        <f aca="false">IF(L2369="","",INDEX(ポート振替表!$B$5:$B$3507,$L2369)&amp;" "&amp;INDEX(ポート振替表!$C$5:$C$3507,$L2369)&amp;"  ⇔  "&amp;INDEX(ポート振替表!$H$5:$H$3507,$L2369)&amp;" "&amp;INDEX(ポート振替表!$I$5:$I$3507,$L2369))</f>
        <v/>
      </c>
      <c r="D2369" s="57" t="s">
        <v>158</v>
      </c>
      <c r="E2369" s="59" t="str">
        <f aca="false">IF(L2369="","",IF(INDEX(ポート振替表!$O$5:$O$3507,$L2369)="","(未設定)",INDEX(ポート振替表!$O$5:$O$3507,$L2369)&amp;""))</f>
        <v/>
      </c>
      <c r="F2369" s="52" t="str">
        <f aca="false">IF(L2369="","",INDEX(ポート振替表!$K$5:$K$3507,$L2369)&amp;" "&amp;INDEX(ポート振替表!$L$5:$L$3507,$L2369)&amp;"  ⇔  "&amp;INDEX(ポート振替表!$H$5:$H$3507,$L2369)&amp;" "&amp;INDEX(ポート振替表!$I$5:$I$3507,$L2369))</f>
        <v/>
      </c>
      <c r="G2369" s="57" t="s">
        <v>158</v>
      </c>
      <c r="H2369" s="32" t="str">
        <f aca="false">IF(L2369="","",INDEX(ポート振替表!$N$5:$N$3507,$L2369)&amp;"")</f>
        <v/>
      </c>
      <c r="I2369" s="32" t="str">
        <f aca="false">IF(L2369="","",INDEX(ポート振替表!$P$5:$P$3507,$L2369)&amp;"")</f>
        <v/>
      </c>
      <c r="J2369" s="60" t="str">
        <f aca="false">IF(L2369="","",INDEX(ポート振替表!$M$5:$M$3507,$L2369)&amp;"")</f>
        <v/>
      </c>
      <c r="K2369" s="52" t="str">
        <f aca="false">IF(L2369="","",E2369&amp;CHAR(10)&amp;INDEX(ポート振替表!$K$5:$K$3507,$L2369)&amp;" "&amp;INDEX(ポート振替表!$L$5:$L$3507,$L2369)&amp;CHAR(10)&amp;"⇔ "&amp;INDEX(ポート振替表!$H$5:$H$3507,$L2369)&amp;" "&amp;INDEX(ポート振替表!$I$5:$I$3507,$L2369))</f>
        <v/>
      </c>
      <c r="L2369" s="47" t="str">
        <f aca="false">IFERROR(MATCH(ROW()-4,ポート振替表!$V$5:$V$3507,0),"")</f>
        <v/>
      </c>
    </row>
    <row r="2370" customFormat="false" ht="16.4" hidden="false" customHeight="false" outlineLevel="0" collapsed="false">
      <c r="A2370" s="32" t="str">
        <f aca="false">IF(L2370="","",ROW()-4)</f>
        <v/>
      </c>
      <c r="B2370" s="58" t="str">
        <f aca="false">IF(L2370="","",IF(INDEX(ポート振替表!$W$5:$W$3507,$L2370)="","(なし)",INDEX(ポート振替表!$W$5:$W$3507,$L2370)&amp;""))</f>
        <v/>
      </c>
      <c r="C2370" s="52" t="str">
        <f aca="false">IF(L2370="","",INDEX(ポート振替表!$B$5:$B$3507,$L2370)&amp;" "&amp;INDEX(ポート振替表!$C$5:$C$3507,$L2370)&amp;"  ⇔  "&amp;INDEX(ポート振替表!$H$5:$H$3507,$L2370)&amp;" "&amp;INDEX(ポート振替表!$I$5:$I$3507,$L2370))</f>
        <v/>
      </c>
      <c r="D2370" s="57" t="s">
        <v>158</v>
      </c>
      <c r="E2370" s="59" t="str">
        <f aca="false">IF(L2370="","",IF(INDEX(ポート振替表!$O$5:$O$3507,$L2370)="","(未設定)",INDEX(ポート振替表!$O$5:$O$3507,$L2370)&amp;""))</f>
        <v/>
      </c>
      <c r="F2370" s="52" t="str">
        <f aca="false">IF(L2370="","",INDEX(ポート振替表!$K$5:$K$3507,$L2370)&amp;" "&amp;INDEX(ポート振替表!$L$5:$L$3507,$L2370)&amp;"  ⇔  "&amp;INDEX(ポート振替表!$H$5:$H$3507,$L2370)&amp;" "&amp;INDEX(ポート振替表!$I$5:$I$3507,$L2370))</f>
        <v/>
      </c>
      <c r="G2370" s="57" t="s">
        <v>158</v>
      </c>
      <c r="H2370" s="32" t="str">
        <f aca="false">IF(L2370="","",INDEX(ポート振替表!$N$5:$N$3507,$L2370)&amp;"")</f>
        <v/>
      </c>
      <c r="I2370" s="32" t="str">
        <f aca="false">IF(L2370="","",INDEX(ポート振替表!$P$5:$P$3507,$L2370)&amp;"")</f>
        <v/>
      </c>
      <c r="J2370" s="60" t="str">
        <f aca="false">IF(L2370="","",INDEX(ポート振替表!$M$5:$M$3507,$L2370)&amp;"")</f>
        <v/>
      </c>
      <c r="K2370" s="52" t="str">
        <f aca="false">IF(L2370="","",E2370&amp;CHAR(10)&amp;INDEX(ポート振替表!$K$5:$K$3507,$L2370)&amp;" "&amp;INDEX(ポート振替表!$L$5:$L$3507,$L2370)&amp;CHAR(10)&amp;"⇔ "&amp;INDEX(ポート振替表!$H$5:$H$3507,$L2370)&amp;" "&amp;INDEX(ポート振替表!$I$5:$I$3507,$L2370))</f>
        <v/>
      </c>
      <c r="L2370" s="47" t="str">
        <f aca="false">IFERROR(MATCH(ROW()-4,ポート振替表!$V$5:$V$3507,0),"")</f>
        <v/>
      </c>
    </row>
    <row r="2371" customFormat="false" ht="16.4" hidden="false" customHeight="false" outlineLevel="0" collapsed="false">
      <c r="A2371" s="32" t="str">
        <f aca="false">IF(L2371="","",ROW()-4)</f>
        <v/>
      </c>
      <c r="B2371" s="58" t="str">
        <f aca="false">IF(L2371="","",IF(INDEX(ポート振替表!$W$5:$W$3507,$L2371)="","(なし)",INDEX(ポート振替表!$W$5:$W$3507,$L2371)&amp;""))</f>
        <v/>
      </c>
      <c r="C2371" s="52" t="str">
        <f aca="false">IF(L2371="","",INDEX(ポート振替表!$B$5:$B$3507,$L2371)&amp;" "&amp;INDEX(ポート振替表!$C$5:$C$3507,$L2371)&amp;"  ⇔  "&amp;INDEX(ポート振替表!$H$5:$H$3507,$L2371)&amp;" "&amp;INDEX(ポート振替表!$I$5:$I$3507,$L2371))</f>
        <v/>
      </c>
      <c r="D2371" s="57" t="s">
        <v>158</v>
      </c>
      <c r="E2371" s="59" t="str">
        <f aca="false">IF(L2371="","",IF(INDEX(ポート振替表!$O$5:$O$3507,$L2371)="","(未設定)",INDEX(ポート振替表!$O$5:$O$3507,$L2371)&amp;""))</f>
        <v/>
      </c>
      <c r="F2371" s="52" t="str">
        <f aca="false">IF(L2371="","",INDEX(ポート振替表!$K$5:$K$3507,$L2371)&amp;" "&amp;INDEX(ポート振替表!$L$5:$L$3507,$L2371)&amp;"  ⇔  "&amp;INDEX(ポート振替表!$H$5:$H$3507,$L2371)&amp;" "&amp;INDEX(ポート振替表!$I$5:$I$3507,$L2371))</f>
        <v/>
      </c>
      <c r="G2371" s="57" t="s">
        <v>158</v>
      </c>
      <c r="H2371" s="32" t="str">
        <f aca="false">IF(L2371="","",INDEX(ポート振替表!$N$5:$N$3507,$L2371)&amp;"")</f>
        <v/>
      </c>
      <c r="I2371" s="32" t="str">
        <f aca="false">IF(L2371="","",INDEX(ポート振替表!$P$5:$P$3507,$L2371)&amp;"")</f>
        <v/>
      </c>
      <c r="J2371" s="60" t="str">
        <f aca="false">IF(L2371="","",INDEX(ポート振替表!$M$5:$M$3507,$L2371)&amp;"")</f>
        <v/>
      </c>
      <c r="K2371" s="52" t="str">
        <f aca="false">IF(L2371="","",E2371&amp;CHAR(10)&amp;INDEX(ポート振替表!$K$5:$K$3507,$L2371)&amp;" "&amp;INDEX(ポート振替表!$L$5:$L$3507,$L2371)&amp;CHAR(10)&amp;"⇔ "&amp;INDEX(ポート振替表!$H$5:$H$3507,$L2371)&amp;" "&amp;INDEX(ポート振替表!$I$5:$I$3507,$L2371))</f>
        <v/>
      </c>
      <c r="L2371" s="47" t="str">
        <f aca="false">IFERROR(MATCH(ROW()-4,ポート振替表!$V$5:$V$3507,0),"")</f>
        <v/>
      </c>
    </row>
    <row r="2372" customFormat="false" ht="16.4" hidden="false" customHeight="false" outlineLevel="0" collapsed="false">
      <c r="A2372" s="32" t="str">
        <f aca="false">IF(L2372="","",ROW()-4)</f>
        <v/>
      </c>
      <c r="B2372" s="58" t="str">
        <f aca="false">IF(L2372="","",IF(INDEX(ポート振替表!$W$5:$W$3507,$L2372)="","(なし)",INDEX(ポート振替表!$W$5:$W$3507,$L2372)&amp;""))</f>
        <v/>
      </c>
      <c r="C2372" s="52" t="str">
        <f aca="false">IF(L2372="","",INDEX(ポート振替表!$B$5:$B$3507,$L2372)&amp;" "&amp;INDEX(ポート振替表!$C$5:$C$3507,$L2372)&amp;"  ⇔  "&amp;INDEX(ポート振替表!$H$5:$H$3507,$L2372)&amp;" "&amp;INDEX(ポート振替表!$I$5:$I$3507,$L2372))</f>
        <v/>
      </c>
      <c r="D2372" s="57" t="s">
        <v>158</v>
      </c>
      <c r="E2372" s="59" t="str">
        <f aca="false">IF(L2372="","",IF(INDEX(ポート振替表!$O$5:$O$3507,$L2372)="","(未設定)",INDEX(ポート振替表!$O$5:$O$3507,$L2372)&amp;""))</f>
        <v/>
      </c>
      <c r="F2372" s="52" t="str">
        <f aca="false">IF(L2372="","",INDEX(ポート振替表!$K$5:$K$3507,$L2372)&amp;" "&amp;INDEX(ポート振替表!$L$5:$L$3507,$L2372)&amp;"  ⇔  "&amp;INDEX(ポート振替表!$H$5:$H$3507,$L2372)&amp;" "&amp;INDEX(ポート振替表!$I$5:$I$3507,$L2372))</f>
        <v/>
      </c>
      <c r="G2372" s="57" t="s">
        <v>158</v>
      </c>
      <c r="H2372" s="32" t="str">
        <f aca="false">IF(L2372="","",INDEX(ポート振替表!$N$5:$N$3507,$L2372)&amp;"")</f>
        <v/>
      </c>
      <c r="I2372" s="32" t="str">
        <f aca="false">IF(L2372="","",INDEX(ポート振替表!$P$5:$P$3507,$L2372)&amp;"")</f>
        <v/>
      </c>
      <c r="J2372" s="60" t="str">
        <f aca="false">IF(L2372="","",INDEX(ポート振替表!$M$5:$M$3507,$L2372)&amp;"")</f>
        <v/>
      </c>
      <c r="K2372" s="52" t="str">
        <f aca="false">IF(L2372="","",E2372&amp;CHAR(10)&amp;INDEX(ポート振替表!$K$5:$K$3507,$L2372)&amp;" "&amp;INDEX(ポート振替表!$L$5:$L$3507,$L2372)&amp;CHAR(10)&amp;"⇔ "&amp;INDEX(ポート振替表!$H$5:$H$3507,$L2372)&amp;" "&amp;INDEX(ポート振替表!$I$5:$I$3507,$L2372))</f>
        <v/>
      </c>
      <c r="L2372" s="47" t="str">
        <f aca="false">IFERROR(MATCH(ROW()-4,ポート振替表!$V$5:$V$3507,0),"")</f>
        <v/>
      </c>
    </row>
    <row r="2373" customFormat="false" ht="16.4" hidden="false" customHeight="false" outlineLevel="0" collapsed="false">
      <c r="A2373" s="32" t="str">
        <f aca="false">IF(L2373="","",ROW()-4)</f>
        <v/>
      </c>
      <c r="B2373" s="58" t="str">
        <f aca="false">IF(L2373="","",IF(INDEX(ポート振替表!$W$5:$W$3507,$L2373)="","(なし)",INDEX(ポート振替表!$W$5:$W$3507,$L2373)&amp;""))</f>
        <v/>
      </c>
      <c r="C2373" s="52" t="str">
        <f aca="false">IF(L2373="","",INDEX(ポート振替表!$B$5:$B$3507,$L2373)&amp;" "&amp;INDEX(ポート振替表!$C$5:$C$3507,$L2373)&amp;"  ⇔  "&amp;INDEX(ポート振替表!$H$5:$H$3507,$L2373)&amp;" "&amp;INDEX(ポート振替表!$I$5:$I$3507,$L2373))</f>
        <v/>
      </c>
      <c r="D2373" s="57" t="s">
        <v>158</v>
      </c>
      <c r="E2373" s="59" t="str">
        <f aca="false">IF(L2373="","",IF(INDEX(ポート振替表!$O$5:$O$3507,$L2373)="","(未設定)",INDEX(ポート振替表!$O$5:$O$3507,$L2373)&amp;""))</f>
        <v/>
      </c>
      <c r="F2373" s="52" t="str">
        <f aca="false">IF(L2373="","",INDEX(ポート振替表!$K$5:$K$3507,$L2373)&amp;" "&amp;INDEX(ポート振替表!$L$5:$L$3507,$L2373)&amp;"  ⇔  "&amp;INDEX(ポート振替表!$H$5:$H$3507,$L2373)&amp;" "&amp;INDEX(ポート振替表!$I$5:$I$3507,$L2373))</f>
        <v/>
      </c>
      <c r="G2373" s="57" t="s">
        <v>158</v>
      </c>
      <c r="H2373" s="32" t="str">
        <f aca="false">IF(L2373="","",INDEX(ポート振替表!$N$5:$N$3507,$L2373)&amp;"")</f>
        <v/>
      </c>
      <c r="I2373" s="32" t="str">
        <f aca="false">IF(L2373="","",INDEX(ポート振替表!$P$5:$P$3507,$L2373)&amp;"")</f>
        <v/>
      </c>
      <c r="J2373" s="60" t="str">
        <f aca="false">IF(L2373="","",INDEX(ポート振替表!$M$5:$M$3507,$L2373)&amp;"")</f>
        <v/>
      </c>
      <c r="K2373" s="52" t="str">
        <f aca="false">IF(L2373="","",E2373&amp;CHAR(10)&amp;INDEX(ポート振替表!$K$5:$K$3507,$L2373)&amp;" "&amp;INDEX(ポート振替表!$L$5:$L$3507,$L2373)&amp;CHAR(10)&amp;"⇔ "&amp;INDEX(ポート振替表!$H$5:$H$3507,$L2373)&amp;" "&amp;INDEX(ポート振替表!$I$5:$I$3507,$L2373))</f>
        <v/>
      </c>
      <c r="L2373" s="47" t="str">
        <f aca="false">IFERROR(MATCH(ROW()-4,ポート振替表!$V$5:$V$3507,0),"")</f>
        <v/>
      </c>
    </row>
    <row r="2374" customFormat="false" ht="16.4" hidden="false" customHeight="false" outlineLevel="0" collapsed="false">
      <c r="A2374" s="32" t="str">
        <f aca="false">IF(L2374="","",ROW()-4)</f>
        <v/>
      </c>
      <c r="B2374" s="58" t="str">
        <f aca="false">IF(L2374="","",IF(INDEX(ポート振替表!$W$5:$W$3507,$L2374)="","(なし)",INDEX(ポート振替表!$W$5:$W$3507,$L2374)&amp;""))</f>
        <v/>
      </c>
      <c r="C2374" s="52" t="str">
        <f aca="false">IF(L2374="","",INDEX(ポート振替表!$B$5:$B$3507,$L2374)&amp;" "&amp;INDEX(ポート振替表!$C$5:$C$3507,$L2374)&amp;"  ⇔  "&amp;INDEX(ポート振替表!$H$5:$H$3507,$L2374)&amp;" "&amp;INDEX(ポート振替表!$I$5:$I$3507,$L2374))</f>
        <v/>
      </c>
      <c r="D2374" s="57" t="s">
        <v>158</v>
      </c>
      <c r="E2374" s="59" t="str">
        <f aca="false">IF(L2374="","",IF(INDEX(ポート振替表!$O$5:$O$3507,$L2374)="","(未設定)",INDEX(ポート振替表!$O$5:$O$3507,$L2374)&amp;""))</f>
        <v/>
      </c>
      <c r="F2374" s="52" t="str">
        <f aca="false">IF(L2374="","",INDEX(ポート振替表!$K$5:$K$3507,$L2374)&amp;" "&amp;INDEX(ポート振替表!$L$5:$L$3507,$L2374)&amp;"  ⇔  "&amp;INDEX(ポート振替表!$H$5:$H$3507,$L2374)&amp;" "&amp;INDEX(ポート振替表!$I$5:$I$3507,$L2374))</f>
        <v/>
      </c>
      <c r="G2374" s="57" t="s">
        <v>158</v>
      </c>
      <c r="H2374" s="32" t="str">
        <f aca="false">IF(L2374="","",INDEX(ポート振替表!$N$5:$N$3507,$L2374)&amp;"")</f>
        <v/>
      </c>
      <c r="I2374" s="32" t="str">
        <f aca="false">IF(L2374="","",INDEX(ポート振替表!$P$5:$P$3507,$L2374)&amp;"")</f>
        <v/>
      </c>
      <c r="J2374" s="60" t="str">
        <f aca="false">IF(L2374="","",INDEX(ポート振替表!$M$5:$M$3507,$L2374)&amp;"")</f>
        <v/>
      </c>
      <c r="K2374" s="52" t="str">
        <f aca="false">IF(L2374="","",E2374&amp;CHAR(10)&amp;INDEX(ポート振替表!$K$5:$K$3507,$L2374)&amp;" "&amp;INDEX(ポート振替表!$L$5:$L$3507,$L2374)&amp;CHAR(10)&amp;"⇔ "&amp;INDEX(ポート振替表!$H$5:$H$3507,$L2374)&amp;" "&amp;INDEX(ポート振替表!$I$5:$I$3507,$L2374))</f>
        <v/>
      </c>
      <c r="L2374" s="47" t="str">
        <f aca="false">IFERROR(MATCH(ROW()-4,ポート振替表!$V$5:$V$3507,0),"")</f>
        <v/>
      </c>
    </row>
    <row r="2375" customFormat="false" ht="16.4" hidden="false" customHeight="false" outlineLevel="0" collapsed="false">
      <c r="A2375" s="32" t="str">
        <f aca="false">IF(L2375="","",ROW()-4)</f>
        <v/>
      </c>
      <c r="B2375" s="58" t="str">
        <f aca="false">IF(L2375="","",IF(INDEX(ポート振替表!$W$5:$W$3507,$L2375)="","(なし)",INDEX(ポート振替表!$W$5:$W$3507,$L2375)&amp;""))</f>
        <v/>
      </c>
      <c r="C2375" s="52" t="str">
        <f aca="false">IF(L2375="","",INDEX(ポート振替表!$B$5:$B$3507,$L2375)&amp;" "&amp;INDEX(ポート振替表!$C$5:$C$3507,$L2375)&amp;"  ⇔  "&amp;INDEX(ポート振替表!$H$5:$H$3507,$L2375)&amp;" "&amp;INDEX(ポート振替表!$I$5:$I$3507,$L2375))</f>
        <v/>
      </c>
      <c r="D2375" s="57" t="s">
        <v>158</v>
      </c>
      <c r="E2375" s="59" t="str">
        <f aca="false">IF(L2375="","",IF(INDEX(ポート振替表!$O$5:$O$3507,$L2375)="","(未設定)",INDEX(ポート振替表!$O$5:$O$3507,$L2375)&amp;""))</f>
        <v/>
      </c>
      <c r="F2375" s="52" t="str">
        <f aca="false">IF(L2375="","",INDEX(ポート振替表!$K$5:$K$3507,$L2375)&amp;" "&amp;INDEX(ポート振替表!$L$5:$L$3507,$L2375)&amp;"  ⇔  "&amp;INDEX(ポート振替表!$H$5:$H$3507,$L2375)&amp;" "&amp;INDEX(ポート振替表!$I$5:$I$3507,$L2375))</f>
        <v/>
      </c>
      <c r="G2375" s="57" t="s">
        <v>158</v>
      </c>
      <c r="H2375" s="32" t="str">
        <f aca="false">IF(L2375="","",INDEX(ポート振替表!$N$5:$N$3507,$L2375)&amp;"")</f>
        <v/>
      </c>
      <c r="I2375" s="32" t="str">
        <f aca="false">IF(L2375="","",INDEX(ポート振替表!$P$5:$P$3507,$L2375)&amp;"")</f>
        <v/>
      </c>
      <c r="J2375" s="60" t="str">
        <f aca="false">IF(L2375="","",INDEX(ポート振替表!$M$5:$M$3507,$L2375)&amp;"")</f>
        <v/>
      </c>
      <c r="K2375" s="52" t="str">
        <f aca="false">IF(L2375="","",E2375&amp;CHAR(10)&amp;INDEX(ポート振替表!$K$5:$K$3507,$L2375)&amp;" "&amp;INDEX(ポート振替表!$L$5:$L$3507,$L2375)&amp;CHAR(10)&amp;"⇔ "&amp;INDEX(ポート振替表!$H$5:$H$3507,$L2375)&amp;" "&amp;INDEX(ポート振替表!$I$5:$I$3507,$L2375))</f>
        <v/>
      </c>
      <c r="L2375" s="47" t="str">
        <f aca="false">IFERROR(MATCH(ROW()-4,ポート振替表!$V$5:$V$3507,0),"")</f>
        <v/>
      </c>
    </row>
    <row r="2376" customFormat="false" ht="16.4" hidden="false" customHeight="false" outlineLevel="0" collapsed="false">
      <c r="A2376" s="32" t="str">
        <f aca="false">IF(L2376="","",ROW()-4)</f>
        <v/>
      </c>
      <c r="B2376" s="58" t="str">
        <f aca="false">IF(L2376="","",IF(INDEX(ポート振替表!$W$5:$W$3507,$L2376)="","(なし)",INDEX(ポート振替表!$W$5:$W$3507,$L2376)&amp;""))</f>
        <v/>
      </c>
      <c r="C2376" s="52" t="str">
        <f aca="false">IF(L2376="","",INDEX(ポート振替表!$B$5:$B$3507,$L2376)&amp;" "&amp;INDEX(ポート振替表!$C$5:$C$3507,$L2376)&amp;"  ⇔  "&amp;INDEX(ポート振替表!$H$5:$H$3507,$L2376)&amp;" "&amp;INDEX(ポート振替表!$I$5:$I$3507,$L2376))</f>
        <v/>
      </c>
      <c r="D2376" s="57" t="s">
        <v>158</v>
      </c>
      <c r="E2376" s="59" t="str">
        <f aca="false">IF(L2376="","",IF(INDEX(ポート振替表!$O$5:$O$3507,$L2376)="","(未設定)",INDEX(ポート振替表!$O$5:$O$3507,$L2376)&amp;""))</f>
        <v/>
      </c>
      <c r="F2376" s="52" t="str">
        <f aca="false">IF(L2376="","",INDEX(ポート振替表!$K$5:$K$3507,$L2376)&amp;" "&amp;INDEX(ポート振替表!$L$5:$L$3507,$L2376)&amp;"  ⇔  "&amp;INDEX(ポート振替表!$H$5:$H$3507,$L2376)&amp;" "&amp;INDEX(ポート振替表!$I$5:$I$3507,$L2376))</f>
        <v/>
      </c>
      <c r="G2376" s="57" t="s">
        <v>158</v>
      </c>
      <c r="H2376" s="32" t="str">
        <f aca="false">IF(L2376="","",INDEX(ポート振替表!$N$5:$N$3507,$L2376)&amp;"")</f>
        <v/>
      </c>
      <c r="I2376" s="32" t="str">
        <f aca="false">IF(L2376="","",INDEX(ポート振替表!$P$5:$P$3507,$L2376)&amp;"")</f>
        <v/>
      </c>
      <c r="J2376" s="60" t="str">
        <f aca="false">IF(L2376="","",INDEX(ポート振替表!$M$5:$M$3507,$L2376)&amp;"")</f>
        <v/>
      </c>
      <c r="K2376" s="52" t="str">
        <f aca="false">IF(L2376="","",E2376&amp;CHAR(10)&amp;INDEX(ポート振替表!$K$5:$K$3507,$L2376)&amp;" "&amp;INDEX(ポート振替表!$L$5:$L$3507,$L2376)&amp;CHAR(10)&amp;"⇔ "&amp;INDEX(ポート振替表!$H$5:$H$3507,$L2376)&amp;" "&amp;INDEX(ポート振替表!$I$5:$I$3507,$L2376))</f>
        <v/>
      </c>
      <c r="L2376" s="47" t="str">
        <f aca="false">IFERROR(MATCH(ROW()-4,ポート振替表!$V$5:$V$3507,0),"")</f>
        <v/>
      </c>
    </row>
    <row r="2377" customFormat="false" ht="16.4" hidden="false" customHeight="false" outlineLevel="0" collapsed="false">
      <c r="A2377" s="32" t="str">
        <f aca="false">IF(L2377="","",ROW()-4)</f>
        <v/>
      </c>
      <c r="B2377" s="58" t="str">
        <f aca="false">IF(L2377="","",IF(INDEX(ポート振替表!$W$5:$W$3507,$L2377)="","(なし)",INDEX(ポート振替表!$W$5:$W$3507,$L2377)&amp;""))</f>
        <v/>
      </c>
      <c r="C2377" s="52" t="str">
        <f aca="false">IF(L2377="","",INDEX(ポート振替表!$B$5:$B$3507,$L2377)&amp;" "&amp;INDEX(ポート振替表!$C$5:$C$3507,$L2377)&amp;"  ⇔  "&amp;INDEX(ポート振替表!$H$5:$H$3507,$L2377)&amp;" "&amp;INDEX(ポート振替表!$I$5:$I$3507,$L2377))</f>
        <v/>
      </c>
      <c r="D2377" s="57" t="s">
        <v>158</v>
      </c>
      <c r="E2377" s="59" t="str">
        <f aca="false">IF(L2377="","",IF(INDEX(ポート振替表!$O$5:$O$3507,$L2377)="","(未設定)",INDEX(ポート振替表!$O$5:$O$3507,$L2377)&amp;""))</f>
        <v/>
      </c>
      <c r="F2377" s="52" t="str">
        <f aca="false">IF(L2377="","",INDEX(ポート振替表!$K$5:$K$3507,$L2377)&amp;" "&amp;INDEX(ポート振替表!$L$5:$L$3507,$L2377)&amp;"  ⇔  "&amp;INDEX(ポート振替表!$H$5:$H$3507,$L2377)&amp;" "&amp;INDEX(ポート振替表!$I$5:$I$3507,$L2377))</f>
        <v/>
      </c>
      <c r="G2377" s="57" t="s">
        <v>158</v>
      </c>
      <c r="H2377" s="32" t="str">
        <f aca="false">IF(L2377="","",INDEX(ポート振替表!$N$5:$N$3507,$L2377)&amp;"")</f>
        <v/>
      </c>
      <c r="I2377" s="32" t="str">
        <f aca="false">IF(L2377="","",INDEX(ポート振替表!$P$5:$P$3507,$L2377)&amp;"")</f>
        <v/>
      </c>
      <c r="J2377" s="60" t="str">
        <f aca="false">IF(L2377="","",INDEX(ポート振替表!$M$5:$M$3507,$L2377)&amp;"")</f>
        <v/>
      </c>
      <c r="K2377" s="52" t="str">
        <f aca="false">IF(L2377="","",E2377&amp;CHAR(10)&amp;INDEX(ポート振替表!$K$5:$K$3507,$L2377)&amp;" "&amp;INDEX(ポート振替表!$L$5:$L$3507,$L2377)&amp;CHAR(10)&amp;"⇔ "&amp;INDEX(ポート振替表!$H$5:$H$3507,$L2377)&amp;" "&amp;INDEX(ポート振替表!$I$5:$I$3507,$L2377))</f>
        <v/>
      </c>
      <c r="L2377" s="47" t="str">
        <f aca="false">IFERROR(MATCH(ROW()-4,ポート振替表!$V$5:$V$3507,0),"")</f>
        <v/>
      </c>
    </row>
    <row r="2378" customFormat="false" ht="16.4" hidden="false" customHeight="false" outlineLevel="0" collapsed="false">
      <c r="A2378" s="32" t="str">
        <f aca="false">IF(L2378="","",ROW()-4)</f>
        <v/>
      </c>
      <c r="B2378" s="58" t="str">
        <f aca="false">IF(L2378="","",IF(INDEX(ポート振替表!$W$5:$W$3507,$L2378)="","(なし)",INDEX(ポート振替表!$W$5:$W$3507,$L2378)&amp;""))</f>
        <v/>
      </c>
      <c r="C2378" s="52" t="str">
        <f aca="false">IF(L2378="","",INDEX(ポート振替表!$B$5:$B$3507,$L2378)&amp;" "&amp;INDEX(ポート振替表!$C$5:$C$3507,$L2378)&amp;"  ⇔  "&amp;INDEX(ポート振替表!$H$5:$H$3507,$L2378)&amp;" "&amp;INDEX(ポート振替表!$I$5:$I$3507,$L2378))</f>
        <v/>
      </c>
      <c r="D2378" s="57" t="s">
        <v>158</v>
      </c>
      <c r="E2378" s="59" t="str">
        <f aca="false">IF(L2378="","",IF(INDEX(ポート振替表!$O$5:$O$3507,$L2378)="","(未設定)",INDEX(ポート振替表!$O$5:$O$3507,$L2378)&amp;""))</f>
        <v/>
      </c>
      <c r="F2378" s="52" t="str">
        <f aca="false">IF(L2378="","",INDEX(ポート振替表!$K$5:$K$3507,$L2378)&amp;" "&amp;INDEX(ポート振替表!$L$5:$L$3507,$L2378)&amp;"  ⇔  "&amp;INDEX(ポート振替表!$H$5:$H$3507,$L2378)&amp;" "&amp;INDEX(ポート振替表!$I$5:$I$3507,$L2378))</f>
        <v/>
      </c>
      <c r="G2378" s="57" t="s">
        <v>158</v>
      </c>
      <c r="H2378" s="32" t="str">
        <f aca="false">IF(L2378="","",INDEX(ポート振替表!$N$5:$N$3507,$L2378)&amp;"")</f>
        <v/>
      </c>
      <c r="I2378" s="32" t="str">
        <f aca="false">IF(L2378="","",INDEX(ポート振替表!$P$5:$P$3507,$L2378)&amp;"")</f>
        <v/>
      </c>
      <c r="J2378" s="60" t="str">
        <f aca="false">IF(L2378="","",INDEX(ポート振替表!$M$5:$M$3507,$L2378)&amp;"")</f>
        <v/>
      </c>
      <c r="K2378" s="52" t="str">
        <f aca="false">IF(L2378="","",E2378&amp;CHAR(10)&amp;INDEX(ポート振替表!$K$5:$K$3507,$L2378)&amp;" "&amp;INDEX(ポート振替表!$L$5:$L$3507,$L2378)&amp;CHAR(10)&amp;"⇔ "&amp;INDEX(ポート振替表!$H$5:$H$3507,$L2378)&amp;" "&amp;INDEX(ポート振替表!$I$5:$I$3507,$L2378))</f>
        <v/>
      </c>
      <c r="L2378" s="47" t="str">
        <f aca="false">IFERROR(MATCH(ROW()-4,ポート振替表!$V$5:$V$3507,0),"")</f>
        <v/>
      </c>
    </row>
    <row r="2379" customFormat="false" ht="16.4" hidden="false" customHeight="false" outlineLevel="0" collapsed="false">
      <c r="A2379" s="32" t="str">
        <f aca="false">IF(L2379="","",ROW()-4)</f>
        <v/>
      </c>
      <c r="B2379" s="58" t="str">
        <f aca="false">IF(L2379="","",IF(INDEX(ポート振替表!$W$5:$W$3507,$L2379)="","(なし)",INDEX(ポート振替表!$W$5:$W$3507,$L2379)&amp;""))</f>
        <v/>
      </c>
      <c r="C2379" s="52" t="str">
        <f aca="false">IF(L2379="","",INDEX(ポート振替表!$B$5:$B$3507,$L2379)&amp;" "&amp;INDEX(ポート振替表!$C$5:$C$3507,$L2379)&amp;"  ⇔  "&amp;INDEX(ポート振替表!$H$5:$H$3507,$L2379)&amp;" "&amp;INDEX(ポート振替表!$I$5:$I$3507,$L2379))</f>
        <v/>
      </c>
      <c r="D2379" s="57" t="s">
        <v>158</v>
      </c>
      <c r="E2379" s="59" t="str">
        <f aca="false">IF(L2379="","",IF(INDEX(ポート振替表!$O$5:$O$3507,$L2379)="","(未設定)",INDEX(ポート振替表!$O$5:$O$3507,$L2379)&amp;""))</f>
        <v/>
      </c>
      <c r="F2379" s="52" t="str">
        <f aca="false">IF(L2379="","",INDEX(ポート振替表!$K$5:$K$3507,$L2379)&amp;" "&amp;INDEX(ポート振替表!$L$5:$L$3507,$L2379)&amp;"  ⇔  "&amp;INDEX(ポート振替表!$H$5:$H$3507,$L2379)&amp;" "&amp;INDEX(ポート振替表!$I$5:$I$3507,$L2379))</f>
        <v/>
      </c>
      <c r="G2379" s="57" t="s">
        <v>158</v>
      </c>
      <c r="H2379" s="32" t="str">
        <f aca="false">IF(L2379="","",INDEX(ポート振替表!$N$5:$N$3507,$L2379)&amp;"")</f>
        <v/>
      </c>
      <c r="I2379" s="32" t="str">
        <f aca="false">IF(L2379="","",INDEX(ポート振替表!$P$5:$P$3507,$L2379)&amp;"")</f>
        <v/>
      </c>
      <c r="J2379" s="60" t="str">
        <f aca="false">IF(L2379="","",INDEX(ポート振替表!$M$5:$M$3507,$L2379)&amp;"")</f>
        <v/>
      </c>
      <c r="K2379" s="52" t="str">
        <f aca="false">IF(L2379="","",E2379&amp;CHAR(10)&amp;INDEX(ポート振替表!$K$5:$K$3507,$L2379)&amp;" "&amp;INDEX(ポート振替表!$L$5:$L$3507,$L2379)&amp;CHAR(10)&amp;"⇔ "&amp;INDEX(ポート振替表!$H$5:$H$3507,$L2379)&amp;" "&amp;INDEX(ポート振替表!$I$5:$I$3507,$L2379))</f>
        <v/>
      </c>
      <c r="L2379" s="47" t="str">
        <f aca="false">IFERROR(MATCH(ROW()-4,ポート振替表!$V$5:$V$3507,0),"")</f>
        <v/>
      </c>
    </row>
    <row r="2380" customFormat="false" ht="16.4" hidden="false" customHeight="false" outlineLevel="0" collapsed="false">
      <c r="A2380" s="32" t="str">
        <f aca="false">IF(L2380="","",ROW()-4)</f>
        <v/>
      </c>
      <c r="B2380" s="58" t="str">
        <f aca="false">IF(L2380="","",IF(INDEX(ポート振替表!$W$5:$W$3507,$L2380)="","(なし)",INDEX(ポート振替表!$W$5:$W$3507,$L2380)&amp;""))</f>
        <v/>
      </c>
      <c r="C2380" s="52" t="str">
        <f aca="false">IF(L2380="","",INDEX(ポート振替表!$B$5:$B$3507,$L2380)&amp;" "&amp;INDEX(ポート振替表!$C$5:$C$3507,$L2380)&amp;"  ⇔  "&amp;INDEX(ポート振替表!$H$5:$H$3507,$L2380)&amp;" "&amp;INDEX(ポート振替表!$I$5:$I$3507,$L2380))</f>
        <v/>
      </c>
      <c r="D2380" s="57" t="s">
        <v>158</v>
      </c>
      <c r="E2380" s="59" t="str">
        <f aca="false">IF(L2380="","",IF(INDEX(ポート振替表!$O$5:$O$3507,$L2380)="","(未設定)",INDEX(ポート振替表!$O$5:$O$3507,$L2380)&amp;""))</f>
        <v/>
      </c>
      <c r="F2380" s="52" t="str">
        <f aca="false">IF(L2380="","",INDEX(ポート振替表!$K$5:$K$3507,$L2380)&amp;" "&amp;INDEX(ポート振替表!$L$5:$L$3507,$L2380)&amp;"  ⇔  "&amp;INDEX(ポート振替表!$H$5:$H$3507,$L2380)&amp;" "&amp;INDEX(ポート振替表!$I$5:$I$3507,$L2380))</f>
        <v/>
      </c>
      <c r="G2380" s="57" t="s">
        <v>158</v>
      </c>
      <c r="H2380" s="32" t="str">
        <f aca="false">IF(L2380="","",INDEX(ポート振替表!$N$5:$N$3507,$L2380)&amp;"")</f>
        <v/>
      </c>
      <c r="I2380" s="32" t="str">
        <f aca="false">IF(L2380="","",INDEX(ポート振替表!$P$5:$P$3507,$L2380)&amp;"")</f>
        <v/>
      </c>
      <c r="J2380" s="60" t="str">
        <f aca="false">IF(L2380="","",INDEX(ポート振替表!$M$5:$M$3507,$L2380)&amp;"")</f>
        <v/>
      </c>
      <c r="K2380" s="52" t="str">
        <f aca="false">IF(L2380="","",E2380&amp;CHAR(10)&amp;INDEX(ポート振替表!$K$5:$K$3507,$L2380)&amp;" "&amp;INDEX(ポート振替表!$L$5:$L$3507,$L2380)&amp;CHAR(10)&amp;"⇔ "&amp;INDEX(ポート振替表!$H$5:$H$3507,$L2380)&amp;" "&amp;INDEX(ポート振替表!$I$5:$I$3507,$L2380))</f>
        <v/>
      </c>
      <c r="L2380" s="47" t="str">
        <f aca="false">IFERROR(MATCH(ROW()-4,ポート振替表!$V$5:$V$3507,0),"")</f>
        <v/>
      </c>
    </row>
    <row r="2381" customFormat="false" ht="16.4" hidden="false" customHeight="false" outlineLevel="0" collapsed="false">
      <c r="A2381" s="32" t="str">
        <f aca="false">IF(L2381="","",ROW()-4)</f>
        <v/>
      </c>
      <c r="B2381" s="58" t="str">
        <f aca="false">IF(L2381="","",IF(INDEX(ポート振替表!$W$5:$W$3507,$L2381)="","(なし)",INDEX(ポート振替表!$W$5:$W$3507,$L2381)&amp;""))</f>
        <v/>
      </c>
      <c r="C2381" s="52" t="str">
        <f aca="false">IF(L2381="","",INDEX(ポート振替表!$B$5:$B$3507,$L2381)&amp;" "&amp;INDEX(ポート振替表!$C$5:$C$3507,$L2381)&amp;"  ⇔  "&amp;INDEX(ポート振替表!$H$5:$H$3507,$L2381)&amp;" "&amp;INDEX(ポート振替表!$I$5:$I$3507,$L2381))</f>
        <v/>
      </c>
      <c r="D2381" s="57" t="s">
        <v>158</v>
      </c>
      <c r="E2381" s="59" t="str">
        <f aca="false">IF(L2381="","",IF(INDEX(ポート振替表!$O$5:$O$3507,$L2381)="","(未設定)",INDEX(ポート振替表!$O$5:$O$3507,$L2381)&amp;""))</f>
        <v/>
      </c>
      <c r="F2381" s="52" t="str">
        <f aca="false">IF(L2381="","",INDEX(ポート振替表!$K$5:$K$3507,$L2381)&amp;" "&amp;INDEX(ポート振替表!$L$5:$L$3507,$L2381)&amp;"  ⇔  "&amp;INDEX(ポート振替表!$H$5:$H$3507,$L2381)&amp;" "&amp;INDEX(ポート振替表!$I$5:$I$3507,$L2381))</f>
        <v/>
      </c>
      <c r="G2381" s="57" t="s">
        <v>158</v>
      </c>
      <c r="H2381" s="32" t="str">
        <f aca="false">IF(L2381="","",INDEX(ポート振替表!$N$5:$N$3507,$L2381)&amp;"")</f>
        <v/>
      </c>
      <c r="I2381" s="32" t="str">
        <f aca="false">IF(L2381="","",INDEX(ポート振替表!$P$5:$P$3507,$L2381)&amp;"")</f>
        <v/>
      </c>
      <c r="J2381" s="60" t="str">
        <f aca="false">IF(L2381="","",INDEX(ポート振替表!$M$5:$M$3507,$L2381)&amp;"")</f>
        <v/>
      </c>
      <c r="K2381" s="52" t="str">
        <f aca="false">IF(L2381="","",E2381&amp;CHAR(10)&amp;INDEX(ポート振替表!$K$5:$K$3507,$L2381)&amp;" "&amp;INDEX(ポート振替表!$L$5:$L$3507,$L2381)&amp;CHAR(10)&amp;"⇔ "&amp;INDEX(ポート振替表!$H$5:$H$3507,$L2381)&amp;" "&amp;INDEX(ポート振替表!$I$5:$I$3507,$L2381))</f>
        <v/>
      </c>
      <c r="L2381" s="47" t="str">
        <f aca="false">IFERROR(MATCH(ROW()-4,ポート振替表!$V$5:$V$3507,0),"")</f>
        <v/>
      </c>
    </row>
    <row r="2382" customFormat="false" ht="16.4" hidden="false" customHeight="false" outlineLevel="0" collapsed="false">
      <c r="A2382" s="32" t="str">
        <f aca="false">IF(L2382="","",ROW()-4)</f>
        <v/>
      </c>
      <c r="B2382" s="58" t="str">
        <f aca="false">IF(L2382="","",IF(INDEX(ポート振替表!$W$5:$W$3507,$L2382)="","(なし)",INDEX(ポート振替表!$W$5:$W$3507,$L2382)&amp;""))</f>
        <v/>
      </c>
      <c r="C2382" s="52" t="str">
        <f aca="false">IF(L2382="","",INDEX(ポート振替表!$B$5:$B$3507,$L2382)&amp;" "&amp;INDEX(ポート振替表!$C$5:$C$3507,$L2382)&amp;"  ⇔  "&amp;INDEX(ポート振替表!$H$5:$H$3507,$L2382)&amp;" "&amp;INDEX(ポート振替表!$I$5:$I$3507,$L2382))</f>
        <v/>
      </c>
      <c r="D2382" s="57" t="s">
        <v>158</v>
      </c>
      <c r="E2382" s="59" t="str">
        <f aca="false">IF(L2382="","",IF(INDEX(ポート振替表!$O$5:$O$3507,$L2382)="","(未設定)",INDEX(ポート振替表!$O$5:$O$3507,$L2382)&amp;""))</f>
        <v/>
      </c>
      <c r="F2382" s="52" t="str">
        <f aca="false">IF(L2382="","",INDEX(ポート振替表!$K$5:$K$3507,$L2382)&amp;" "&amp;INDEX(ポート振替表!$L$5:$L$3507,$L2382)&amp;"  ⇔  "&amp;INDEX(ポート振替表!$H$5:$H$3507,$L2382)&amp;" "&amp;INDEX(ポート振替表!$I$5:$I$3507,$L2382))</f>
        <v/>
      </c>
      <c r="G2382" s="57" t="s">
        <v>158</v>
      </c>
      <c r="H2382" s="32" t="str">
        <f aca="false">IF(L2382="","",INDEX(ポート振替表!$N$5:$N$3507,$L2382)&amp;"")</f>
        <v/>
      </c>
      <c r="I2382" s="32" t="str">
        <f aca="false">IF(L2382="","",INDEX(ポート振替表!$P$5:$P$3507,$L2382)&amp;"")</f>
        <v/>
      </c>
      <c r="J2382" s="60" t="str">
        <f aca="false">IF(L2382="","",INDEX(ポート振替表!$M$5:$M$3507,$L2382)&amp;"")</f>
        <v/>
      </c>
      <c r="K2382" s="52" t="str">
        <f aca="false">IF(L2382="","",E2382&amp;CHAR(10)&amp;INDEX(ポート振替表!$K$5:$K$3507,$L2382)&amp;" "&amp;INDEX(ポート振替表!$L$5:$L$3507,$L2382)&amp;CHAR(10)&amp;"⇔ "&amp;INDEX(ポート振替表!$H$5:$H$3507,$L2382)&amp;" "&amp;INDEX(ポート振替表!$I$5:$I$3507,$L2382))</f>
        <v/>
      </c>
      <c r="L2382" s="47" t="str">
        <f aca="false">IFERROR(MATCH(ROW()-4,ポート振替表!$V$5:$V$3507,0),"")</f>
        <v/>
      </c>
    </row>
    <row r="2383" customFormat="false" ht="16.4" hidden="false" customHeight="false" outlineLevel="0" collapsed="false">
      <c r="A2383" s="32" t="str">
        <f aca="false">IF(L2383="","",ROW()-4)</f>
        <v/>
      </c>
      <c r="B2383" s="58" t="str">
        <f aca="false">IF(L2383="","",IF(INDEX(ポート振替表!$W$5:$W$3507,$L2383)="","(なし)",INDEX(ポート振替表!$W$5:$W$3507,$L2383)&amp;""))</f>
        <v/>
      </c>
      <c r="C2383" s="52" t="str">
        <f aca="false">IF(L2383="","",INDEX(ポート振替表!$B$5:$B$3507,$L2383)&amp;" "&amp;INDEX(ポート振替表!$C$5:$C$3507,$L2383)&amp;"  ⇔  "&amp;INDEX(ポート振替表!$H$5:$H$3507,$L2383)&amp;" "&amp;INDEX(ポート振替表!$I$5:$I$3507,$L2383))</f>
        <v/>
      </c>
      <c r="D2383" s="57" t="s">
        <v>158</v>
      </c>
      <c r="E2383" s="59" t="str">
        <f aca="false">IF(L2383="","",IF(INDEX(ポート振替表!$O$5:$O$3507,$L2383)="","(未設定)",INDEX(ポート振替表!$O$5:$O$3507,$L2383)&amp;""))</f>
        <v/>
      </c>
      <c r="F2383" s="52" t="str">
        <f aca="false">IF(L2383="","",INDEX(ポート振替表!$K$5:$K$3507,$L2383)&amp;" "&amp;INDEX(ポート振替表!$L$5:$L$3507,$L2383)&amp;"  ⇔  "&amp;INDEX(ポート振替表!$H$5:$H$3507,$L2383)&amp;" "&amp;INDEX(ポート振替表!$I$5:$I$3507,$L2383))</f>
        <v/>
      </c>
      <c r="G2383" s="57" t="s">
        <v>158</v>
      </c>
      <c r="H2383" s="32" t="str">
        <f aca="false">IF(L2383="","",INDEX(ポート振替表!$N$5:$N$3507,$L2383)&amp;"")</f>
        <v/>
      </c>
      <c r="I2383" s="32" t="str">
        <f aca="false">IF(L2383="","",INDEX(ポート振替表!$P$5:$P$3507,$L2383)&amp;"")</f>
        <v/>
      </c>
      <c r="J2383" s="60" t="str">
        <f aca="false">IF(L2383="","",INDEX(ポート振替表!$M$5:$M$3507,$L2383)&amp;"")</f>
        <v/>
      </c>
      <c r="K2383" s="52" t="str">
        <f aca="false">IF(L2383="","",E2383&amp;CHAR(10)&amp;INDEX(ポート振替表!$K$5:$K$3507,$L2383)&amp;" "&amp;INDEX(ポート振替表!$L$5:$L$3507,$L2383)&amp;CHAR(10)&amp;"⇔ "&amp;INDEX(ポート振替表!$H$5:$H$3507,$L2383)&amp;" "&amp;INDEX(ポート振替表!$I$5:$I$3507,$L2383))</f>
        <v/>
      </c>
      <c r="L2383" s="47" t="str">
        <f aca="false">IFERROR(MATCH(ROW()-4,ポート振替表!$V$5:$V$3507,0),"")</f>
        <v/>
      </c>
    </row>
    <row r="2384" customFormat="false" ht="16.4" hidden="false" customHeight="false" outlineLevel="0" collapsed="false">
      <c r="A2384" s="32" t="str">
        <f aca="false">IF(L2384="","",ROW()-4)</f>
        <v/>
      </c>
      <c r="B2384" s="58" t="str">
        <f aca="false">IF(L2384="","",IF(INDEX(ポート振替表!$W$5:$W$3507,$L2384)="","(なし)",INDEX(ポート振替表!$W$5:$W$3507,$L2384)&amp;""))</f>
        <v/>
      </c>
      <c r="C2384" s="52" t="str">
        <f aca="false">IF(L2384="","",INDEX(ポート振替表!$B$5:$B$3507,$L2384)&amp;" "&amp;INDEX(ポート振替表!$C$5:$C$3507,$L2384)&amp;"  ⇔  "&amp;INDEX(ポート振替表!$H$5:$H$3507,$L2384)&amp;" "&amp;INDEX(ポート振替表!$I$5:$I$3507,$L2384))</f>
        <v/>
      </c>
      <c r="D2384" s="57" t="s">
        <v>158</v>
      </c>
      <c r="E2384" s="59" t="str">
        <f aca="false">IF(L2384="","",IF(INDEX(ポート振替表!$O$5:$O$3507,$L2384)="","(未設定)",INDEX(ポート振替表!$O$5:$O$3507,$L2384)&amp;""))</f>
        <v/>
      </c>
      <c r="F2384" s="52" t="str">
        <f aca="false">IF(L2384="","",INDEX(ポート振替表!$K$5:$K$3507,$L2384)&amp;" "&amp;INDEX(ポート振替表!$L$5:$L$3507,$L2384)&amp;"  ⇔  "&amp;INDEX(ポート振替表!$H$5:$H$3507,$L2384)&amp;" "&amp;INDEX(ポート振替表!$I$5:$I$3507,$L2384))</f>
        <v/>
      </c>
      <c r="G2384" s="57" t="s">
        <v>158</v>
      </c>
      <c r="H2384" s="32" t="str">
        <f aca="false">IF(L2384="","",INDEX(ポート振替表!$N$5:$N$3507,$L2384)&amp;"")</f>
        <v/>
      </c>
      <c r="I2384" s="32" t="str">
        <f aca="false">IF(L2384="","",INDEX(ポート振替表!$P$5:$P$3507,$L2384)&amp;"")</f>
        <v/>
      </c>
      <c r="J2384" s="60" t="str">
        <f aca="false">IF(L2384="","",INDEX(ポート振替表!$M$5:$M$3507,$L2384)&amp;"")</f>
        <v/>
      </c>
      <c r="K2384" s="52" t="str">
        <f aca="false">IF(L2384="","",E2384&amp;CHAR(10)&amp;INDEX(ポート振替表!$K$5:$K$3507,$L2384)&amp;" "&amp;INDEX(ポート振替表!$L$5:$L$3507,$L2384)&amp;CHAR(10)&amp;"⇔ "&amp;INDEX(ポート振替表!$H$5:$H$3507,$L2384)&amp;" "&amp;INDEX(ポート振替表!$I$5:$I$3507,$L2384))</f>
        <v/>
      </c>
      <c r="L2384" s="47" t="str">
        <f aca="false">IFERROR(MATCH(ROW()-4,ポート振替表!$V$5:$V$3507,0),"")</f>
        <v/>
      </c>
    </row>
    <row r="2385" customFormat="false" ht="16.4" hidden="false" customHeight="false" outlineLevel="0" collapsed="false">
      <c r="A2385" s="32" t="str">
        <f aca="false">IF(L2385="","",ROW()-4)</f>
        <v/>
      </c>
      <c r="B2385" s="58" t="str">
        <f aca="false">IF(L2385="","",IF(INDEX(ポート振替表!$W$5:$W$3507,$L2385)="","(なし)",INDEX(ポート振替表!$W$5:$W$3507,$L2385)&amp;""))</f>
        <v/>
      </c>
      <c r="C2385" s="52" t="str">
        <f aca="false">IF(L2385="","",INDEX(ポート振替表!$B$5:$B$3507,$L2385)&amp;" "&amp;INDEX(ポート振替表!$C$5:$C$3507,$L2385)&amp;"  ⇔  "&amp;INDEX(ポート振替表!$H$5:$H$3507,$L2385)&amp;" "&amp;INDEX(ポート振替表!$I$5:$I$3507,$L2385))</f>
        <v/>
      </c>
      <c r="D2385" s="57" t="s">
        <v>158</v>
      </c>
      <c r="E2385" s="59" t="str">
        <f aca="false">IF(L2385="","",IF(INDEX(ポート振替表!$O$5:$O$3507,$L2385)="","(未設定)",INDEX(ポート振替表!$O$5:$O$3507,$L2385)&amp;""))</f>
        <v/>
      </c>
      <c r="F2385" s="52" t="str">
        <f aca="false">IF(L2385="","",INDEX(ポート振替表!$K$5:$K$3507,$L2385)&amp;" "&amp;INDEX(ポート振替表!$L$5:$L$3507,$L2385)&amp;"  ⇔  "&amp;INDEX(ポート振替表!$H$5:$H$3507,$L2385)&amp;" "&amp;INDEX(ポート振替表!$I$5:$I$3507,$L2385))</f>
        <v/>
      </c>
      <c r="G2385" s="57" t="s">
        <v>158</v>
      </c>
      <c r="H2385" s="32" t="str">
        <f aca="false">IF(L2385="","",INDEX(ポート振替表!$N$5:$N$3507,$L2385)&amp;"")</f>
        <v/>
      </c>
      <c r="I2385" s="32" t="str">
        <f aca="false">IF(L2385="","",INDEX(ポート振替表!$P$5:$P$3507,$L2385)&amp;"")</f>
        <v/>
      </c>
      <c r="J2385" s="60" t="str">
        <f aca="false">IF(L2385="","",INDEX(ポート振替表!$M$5:$M$3507,$L2385)&amp;"")</f>
        <v/>
      </c>
      <c r="K2385" s="52" t="str">
        <f aca="false">IF(L2385="","",E2385&amp;CHAR(10)&amp;INDEX(ポート振替表!$K$5:$K$3507,$L2385)&amp;" "&amp;INDEX(ポート振替表!$L$5:$L$3507,$L2385)&amp;CHAR(10)&amp;"⇔ "&amp;INDEX(ポート振替表!$H$5:$H$3507,$L2385)&amp;" "&amp;INDEX(ポート振替表!$I$5:$I$3507,$L2385))</f>
        <v/>
      </c>
      <c r="L2385" s="47" t="str">
        <f aca="false">IFERROR(MATCH(ROW()-4,ポート振替表!$V$5:$V$3507,0),"")</f>
        <v/>
      </c>
    </row>
    <row r="2386" customFormat="false" ht="16.4" hidden="false" customHeight="false" outlineLevel="0" collapsed="false">
      <c r="A2386" s="32" t="str">
        <f aca="false">IF(L2386="","",ROW()-4)</f>
        <v/>
      </c>
      <c r="B2386" s="58" t="str">
        <f aca="false">IF(L2386="","",IF(INDEX(ポート振替表!$W$5:$W$3507,$L2386)="","(なし)",INDEX(ポート振替表!$W$5:$W$3507,$L2386)&amp;""))</f>
        <v/>
      </c>
      <c r="C2386" s="52" t="str">
        <f aca="false">IF(L2386="","",INDEX(ポート振替表!$B$5:$B$3507,$L2386)&amp;" "&amp;INDEX(ポート振替表!$C$5:$C$3507,$L2386)&amp;"  ⇔  "&amp;INDEX(ポート振替表!$H$5:$H$3507,$L2386)&amp;" "&amp;INDEX(ポート振替表!$I$5:$I$3507,$L2386))</f>
        <v/>
      </c>
      <c r="D2386" s="57" t="s">
        <v>158</v>
      </c>
      <c r="E2386" s="59" t="str">
        <f aca="false">IF(L2386="","",IF(INDEX(ポート振替表!$O$5:$O$3507,$L2386)="","(未設定)",INDEX(ポート振替表!$O$5:$O$3507,$L2386)&amp;""))</f>
        <v/>
      </c>
      <c r="F2386" s="52" t="str">
        <f aca="false">IF(L2386="","",INDEX(ポート振替表!$K$5:$K$3507,$L2386)&amp;" "&amp;INDEX(ポート振替表!$L$5:$L$3507,$L2386)&amp;"  ⇔  "&amp;INDEX(ポート振替表!$H$5:$H$3507,$L2386)&amp;" "&amp;INDEX(ポート振替表!$I$5:$I$3507,$L2386))</f>
        <v/>
      </c>
      <c r="G2386" s="57" t="s">
        <v>158</v>
      </c>
      <c r="H2386" s="32" t="str">
        <f aca="false">IF(L2386="","",INDEX(ポート振替表!$N$5:$N$3507,$L2386)&amp;"")</f>
        <v/>
      </c>
      <c r="I2386" s="32" t="str">
        <f aca="false">IF(L2386="","",INDEX(ポート振替表!$P$5:$P$3507,$L2386)&amp;"")</f>
        <v/>
      </c>
      <c r="J2386" s="60" t="str">
        <f aca="false">IF(L2386="","",INDEX(ポート振替表!$M$5:$M$3507,$L2386)&amp;"")</f>
        <v/>
      </c>
      <c r="K2386" s="52" t="str">
        <f aca="false">IF(L2386="","",E2386&amp;CHAR(10)&amp;INDEX(ポート振替表!$K$5:$K$3507,$L2386)&amp;" "&amp;INDEX(ポート振替表!$L$5:$L$3507,$L2386)&amp;CHAR(10)&amp;"⇔ "&amp;INDEX(ポート振替表!$H$5:$H$3507,$L2386)&amp;" "&amp;INDEX(ポート振替表!$I$5:$I$3507,$L2386))</f>
        <v/>
      </c>
      <c r="L2386" s="47" t="str">
        <f aca="false">IFERROR(MATCH(ROW()-4,ポート振替表!$V$5:$V$3507,0),"")</f>
        <v/>
      </c>
    </row>
    <row r="2387" customFormat="false" ht="16.4" hidden="false" customHeight="false" outlineLevel="0" collapsed="false">
      <c r="A2387" s="32" t="str">
        <f aca="false">IF(L2387="","",ROW()-4)</f>
        <v/>
      </c>
      <c r="B2387" s="58" t="str">
        <f aca="false">IF(L2387="","",IF(INDEX(ポート振替表!$W$5:$W$3507,$L2387)="","(なし)",INDEX(ポート振替表!$W$5:$W$3507,$L2387)&amp;""))</f>
        <v/>
      </c>
      <c r="C2387" s="52" t="str">
        <f aca="false">IF(L2387="","",INDEX(ポート振替表!$B$5:$B$3507,$L2387)&amp;" "&amp;INDEX(ポート振替表!$C$5:$C$3507,$L2387)&amp;"  ⇔  "&amp;INDEX(ポート振替表!$H$5:$H$3507,$L2387)&amp;" "&amp;INDEX(ポート振替表!$I$5:$I$3507,$L2387))</f>
        <v/>
      </c>
      <c r="D2387" s="57" t="s">
        <v>158</v>
      </c>
      <c r="E2387" s="59" t="str">
        <f aca="false">IF(L2387="","",IF(INDEX(ポート振替表!$O$5:$O$3507,$L2387)="","(未設定)",INDEX(ポート振替表!$O$5:$O$3507,$L2387)&amp;""))</f>
        <v/>
      </c>
      <c r="F2387" s="52" t="str">
        <f aca="false">IF(L2387="","",INDEX(ポート振替表!$K$5:$K$3507,$L2387)&amp;" "&amp;INDEX(ポート振替表!$L$5:$L$3507,$L2387)&amp;"  ⇔  "&amp;INDEX(ポート振替表!$H$5:$H$3507,$L2387)&amp;" "&amp;INDEX(ポート振替表!$I$5:$I$3507,$L2387))</f>
        <v/>
      </c>
      <c r="G2387" s="57" t="s">
        <v>158</v>
      </c>
      <c r="H2387" s="32" t="str">
        <f aca="false">IF(L2387="","",INDEX(ポート振替表!$N$5:$N$3507,$L2387)&amp;"")</f>
        <v/>
      </c>
      <c r="I2387" s="32" t="str">
        <f aca="false">IF(L2387="","",INDEX(ポート振替表!$P$5:$P$3507,$L2387)&amp;"")</f>
        <v/>
      </c>
      <c r="J2387" s="60" t="str">
        <f aca="false">IF(L2387="","",INDEX(ポート振替表!$M$5:$M$3507,$L2387)&amp;"")</f>
        <v/>
      </c>
      <c r="K2387" s="52" t="str">
        <f aca="false">IF(L2387="","",E2387&amp;CHAR(10)&amp;INDEX(ポート振替表!$K$5:$K$3507,$L2387)&amp;" "&amp;INDEX(ポート振替表!$L$5:$L$3507,$L2387)&amp;CHAR(10)&amp;"⇔ "&amp;INDEX(ポート振替表!$H$5:$H$3507,$L2387)&amp;" "&amp;INDEX(ポート振替表!$I$5:$I$3507,$L2387))</f>
        <v/>
      </c>
      <c r="L2387" s="47" t="str">
        <f aca="false">IFERROR(MATCH(ROW()-4,ポート振替表!$V$5:$V$3507,0),"")</f>
        <v/>
      </c>
    </row>
    <row r="2388" customFormat="false" ht="16.4" hidden="false" customHeight="false" outlineLevel="0" collapsed="false">
      <c r="A2388" s="32" t="str">
        <f aca="false">IF(L2388="","",ROW()-4)</f>
        <v/>
      </c>
      <c r="B2388" s="58" t="str">
        <f aca="false">IF(L2388="","",IF(INDEX(ポート振替表!$W$5:$W$3507,$L2388)="","(なし)",INDEX(ポート振替表!$W$5:$W$3507,$L2388)&amp;""))</f>
        <v/>
      </c>
      <c r="C2388" s="52" t="str">
        <f aca="false">IF(L2388="","",INDEX(ポート振替表!$B$5:$B$3507,$L2388)&amp;" "&amp;INDEX(ポート振替表!$C$5:$C$3507,$L2388)&amp;"  ⇔  "&amp;INDEX(ポート振替表!$H$5:$H$3507,$L2388)&amp;" "&amp;INDEX(ポート振替表!$I$5:$I$3507,$L2388))</f>
        <v/>
      </c>
      <c r="D2388" s="57" t="s">
        <v>158</v>
      </c>
      <c r="E2388" s="59" t="str">
        <f aca="false">IF(L2388="","",IF(INDEX(ポート振替表!$O$5:$O$3507,$L2388)="","(未設定)",INDEX(ポート振替表!$O$5:$O$3507,$L2388)&amp;""))</f>
        <v/>
      </c>
      <c r="F2388" s="52" t="str">
        <f aca="false">IF(L2388="","",INDEX(ポート振替表!$K$5:$K$3507,$L2388)&amp;" "&amp;INDEX(ポート振替表!$L$5:$L$3507,$L2388)&amp;"  ⇔  "&amp;INDEX(ポート振替表!$H$5:$H$3507,$L2388)&amp;" "&amp;INDEX(ポート振替表!$I$5:$I$3507,$L2388))</f>
        <v/>
      </c>
      <c r="G2388" s="57" t="s">
        <v>158</v>
      </c>
      <c r="H2388" s="32" t="str">
        <f aca="false">IF(L2388="","",INDEX(ポート振替表!$N$5:$N$3507,$L2388)&amp;"")</f>
        <v/>
      </c>
      <c r="I2388" s="32" t="str">
        <f aca="false">IF(L2388="","",INDEX(ポート振替表!$P$5:$P$3507,$L2388)&amp;"")</f>
        <v/>
      </c>
      <c r="J2388" s="60" t="str">
        <f aca="false">IF(L2388="","",INDEX(ポート振替表!$M$5:$M$3507,$L2388)&amp;"")</f>
        <v/>
      </c>
      <c r="K2388" s="52" t="str">
        <f aca="false">IF(L2388="","",E2388&amp;CHAR(10)&amp;INDEX(ポート振替表!$K$5:$K$3507,$L2388)&amp;" "&amp;INDEX(ポート振替表!$L$5:$L$3507,$L2388)&amp;CHAR(10)&amp;"⇔ "&amp;INDEX(ポート振替表!$H$5:$H$3507,$L2388)&amp;" "&amp;INDEX(ポート振替表!$I$5:$I$3507,$L2388))</f>
        <v/>
      </c>
      <c r="L2388" s="47" t="str">
        <f aca="false">IFERROR(MATCH(ROW()-4,ポート振替表!$V$5:$V$3507,0),"")</f>
        <v/>
      </c>
    </row>
    <row r="2389" customFormat="false" ht="16.4" hidden="false" customHeight="false" outlineLevel="0" collapsed="false">
      <c r="A2389" s="32" t="str">
        <f aca="false">IF(L2389="","",ROW()-4)</f>
        <v/>
      </c>
      <c r="B2389" s="58" t="str">
        <f aca="false">IF(L2389="","",IF(INDEX(ポート振替表!$W$5:$W$3507,$L2389)="","(なし)",INDEX(ポート振替表!$W$5:$W$3507,$L2389)&amp;""))</f>
        <v/>
      </c>
      <c r="C2389" s="52" t="str">
        <f aca="false">IF(L2389="","",INDEX(ポート振替表!$B$5:$B$3507,$L2389)&amp;" "&amp;INDEX(ポート振替表!$C$5:$C$3507,$L2389)&amp;"  ⇔  "&amp;INDEX(ポート振替表!$H$5:$H$3507,$L2389)&amp;" "&amp;INDEX(ポート振替表!$I$5:$I$3507,$L2389))</f>
        <v/>
      </c>
      <c r="D2389" s="57" t="s">
        <v>158</v>
      </c>
      <c r="E2389" s="59" t="str">
        <f aca="false">IF(L2389="","",IF(INDEX(ポート振替表!$O$5:$O$3507,$L2389)="","(未設定)",INDEX(ポート振替表!$O$5:$O$3507,$L2389)&amp;""))</f>
        <v/>
      </c>
      <c r="F2389" s="52" t="str">
        <f aca="false">IF(L2389="","",INDEX(ポート振替表!$K$5:$K$3507,$L2389)&amp;" "&amp;INDEX(ポート振替表!$L$5:$L$3507,$L2389)&amp;"  ⇔  "&amp;INDEX(ポート振替表!$H$5:$H$3507,$L2389)&amp;" "&amp;INDEX(ポート振替表!$I$5:$I$3507,$L2389))</f>
        <v/>
      </c>
      <c r="G2389" s="57" t="s">
        <v>158</v>
      </c>
      <c r="H2389" s="32" t="str">
        <f aca="false">IF(L2389="","",INDEX(ポート振替表!$N$5:$N$3507,$L2389)&amp;"")</f>
        <v/>
      </c>
      <c r="I2389" s="32" t="str">
        <f aca="false">IF(L2389="","",INDEX(ポート振替表!$P$5:$P$3507,$L2389)&amp;"")</f>
        <v/>
      </c>
      <c r="J2389" s="60" t="str">
        <f aca="false">IF(L2389="","",INDEX(ポート振替表!$M$5:$M$3507,$L2389)&amp;"")</f>
        <v/>
      </c>
      <c r="K2389" s="52" t="str">
        <f aca="false">IF(L2389="","",E2389&amp;CHAR(10)&amp;INDEX(ポート振替表!$K$5:$K$3507,$L2389)&amp;" "&amp;INDEX(ポート振替表!$L$5:$L$3507,$L2389)&amp;CHAR(10)&amp;"⇔ "&amp;INDEX(ポート振替表!$H$5:$H$3507,$L2389)&amp;" "&amp;INDEX(ポート振替表!$I$5:$I$3507,$L2389))</f>
        <v/>
      </c>
      <c r="L2389" s="47" t="str">
        <f aca="false">IFERROR(MATCH(ROW()-4,ポート振替表!$V$5:$V$3507,0),"")</f>
        <v/>
      </c>
    </row>
    <row r="2390" customFormat="false" ht="16.4" hidden="false" customHeight="false" outlineLevel="0" collapsed="false">
      <c r="A2390" s="32" t="str">
        <f aca="false">IF(L2390="","",ROW()-4)</f>
        <v/>
      </c>
      <c r="B2390" s="58" t="str">
        <f aca="false">IF(L2390="","",IF(INDEX(ポート振替表!$W$5:$W$3507,$L2390)="","(なし)",INDEX(ポート振替表!$W$5:$W$3507,$L2390)&amp;""))</f>
        <v/>
      </c>
      <c r="C2390" s="52" t="str">
        <f aca="false">IF(L2390="","",INDEX(ポート振替表!$B$5:$B$3507,$L2390)&amp;" "&amp;INDEX(ポート振替表!$C$5:$C$3507,$L2390)&amp;"  ⇔  "&amp;INDEX(ポート振替表!$H$5:$H$3507,$L2390)&amp;" "&amp;INDEX(ポート振替表!$I$5:$I$3507,$L2390))</f>
        <v/>
      </c>
      <c r="D2390" s="57" t="s">
        <v>158</v>
      </c>
      <c r="E2390" s="59" t="str">
        <f aca="false">IF(L2390="","",IF(INDEX(ポート振替表!$O$5:$O$3507,$L2390)="","(未設定)",INDEX(ポート振替表!$O$5:$O$3507,$L2390)&amp;""))</f>
        <v/>
      </c>
      <c r="F2390" s="52" t="str">
        <f aca="false">IF(L2390="","",INDEX(ポート振替表!$K$5:$K$3507,$L2390)&amp;" "&amp;INDEX(ポート振替表!$L$5:$L$3507,$L2390)&amp;"  ⇔  "&amp;INDEX(ポート振替表!$H$5:$H$3507,$L2390)&amp;" "&amp;INDEX(ポート振替表!$I$5:$I$3507,$L2390))</f>
        <v/>
      </c>
      <c r="G2390" s="57" t="s">
        <v>158</v>
      </c>
      <c r="H2390" s="32" t="str">
        <f aca="false">IF(L2390="","",INDEX(ポート振替表!$N$5:$N$3507,$L2390)&amp;"")</f>
        <v/>
      </c>
      <c r="I2390" s="32" t="str">
        <f aca="false">IF(L2390="","",INDEX(ポート振替表!$P$5:$P$3507,$L2390)&amp;"")</f>
        <v/>
      </c>
      <c r="J2390" s="60" t="str">
        <f aca="false">IF(L2390="","",INDEX(ポート振替表!$M$5:$M$3507,$L2390)&amp;"")</f>
        <v/>
      </c>
      <c r="K2390" s="52" t="str">
        <f aca="false">IF(L2390="","",E2390&amp;CHAR(10)&amp;INDEX(ポート振替表!$K$5:$K$3507,$L2390)&amp;" "&amp;INDEX(ポート振替表!$L$5:$L$3507,$L2390)&amp;CHAR(10)&amp;"⇔ "&amp;INDEX(ポート振替表!$H$5:$H$3507,$L2390)&amp;" "&amp;INDEX(ポート振替表!$I$5:$I$3507,$L2390))</f>
        <v/>
      </c>
      <c r="L2390" s="47" t="str">
        <f aca="false">IFERROR(MATCH(ROW()-4,ポート振替表!$V$5:$V$3507,0),"")</f>
        <v/>
      </c>
    </row>
    <row r="2391" customFormat="false" ht="16.4" hidden="false" customHeight="false" outlineLevel="0" collapsed="false">
      <c r="A2391" s="32" t="str">
        <f aca="false">IF(L2391="","",ROW()-4)</f>
        <v/>
      </c>
      <c r="B2391" s="58" t="str">
        <f aca="false">IF(L2391="","",IF(INDEX(ポート振替表!$W$5:$W$3507,$L2391)="","(なし)",INDEX(ポート振替表!$W$5:$W$3507,$L2391)&amp;""))</f>
        <v/>
      </c>
      <c r="C2391" s="52" t="str">
        <f aca="false">IF(L2391="","",INDEX(ポート振替表!$B$5:$B$3507,$L2391)&amp;" "&amp;INDEX(ポート振替表!$C$5:$C$3507,$L2391)&amp;"  ⇔  "&amp;INDEX(ポート振替表!$H$5:$H$3507,$L2391)&amp;" "&amp;INDEX(ポート振替表!$I$5:$I$3507,$L2391))</f>
        <v/>
      </c>
      <c r="D2391" s="57" t="s">
        <v>158</v>
      </c>
      <c r="E2391" s="59" t="str">
        <f aca="false">IF(L2391="","",IF(INDEX(ポート振替表!$O$5:$O$3507,$L2391)="","(未設定)",INDEX(ポート振替表!$O$5:$O$3507,$L2391)&amp;""))</f>
        <v/>
      </c>
      <c r="F2391" s="52" t="str">
        <f aca="false">IF(L2391="","",INDEX(ポート振替表!$K$5:$K$3507,$L2391)&amp;" "&amp;INDEX(ポート振替表!$L$5:$L$3507,$L2391)&amp;"  ⇔  "&amp;INDEX(ポート振替表!$H$5:$H$3507,$L2391)&amp;" "&amp;INDEX(ポート振替表!$I$5:$I$3507,$L2391))</f>
        <v/>
      </c>
      <c r="G2391" s="57" t="s">
        <v>158</v>
      </c>
      <c r="H2391" s="32" t="str">
        <f aca="false">IF(L2391="","",INDEX(ポート振替表!$N$5:$N$3507,$L2391)&amp;"")</f>
        <v/>
      </c>
      <c r="I2391" s="32" t="str">
        <f aca="false">IF(L2391="","",INDEX(ポート振替表!$P$5:$P$3507,$L2391)&amp;"")</f>
        <v/>
      </c>
      <c r="J2391" s="60" t="str">
        <f aca="false">IF(L2391="","",INDEX(ポート振替表!$M$5:$M$3507,$L2391)&amp;"")</f>
        <v/>
      </c>
      <c r="K2391" s="52" t="str">
        <f aca="false">IF(L2391="","",E2391&amp;CHAR(10)&amp;INDEX(ポート振替表!$K$5:$K$3507,$L2391)&amp;" "&amp;INDEX(ポート振替表!$L$5:$L$3507,$L2391)&amp;CHAR(10)&amp;"⇔ "&amp;INDEX(ポート振替表!$H$5:$H$3507,$L2391)&amp;" "&amp;INDEX(ポート振替表!$I$5:$I$3507,$L2391))</f>
        <v/>
      </c>
      <c r="L2391" s="47" t="str">
        <f aca="false">IFERROR(MATCH(ROW()-4,ポート振替表!$V$5:$V$3507,0),"")</f>
        <v/>
      </c>
    </row>
    <row r="2392" customFormat="false" ht="16.4" hidden="false" customHeight="false" outlineLevel="0" collapsed="false">
      <c r="A2392" s="32" t="str">
        <f aca="false">IF(L2392="","",ROW()-4)</f>
        <v/>
      </c>
      <c r="B2392" s="58" t="str">
        <f aca="false">IF(L2392="","",IF(INDEX(ポート振替表!$W$5:$W$3507,$L2392)="","(なし)",INDEX(ポート振替表!$W$5:$W$3507,$L2392)&amp;""))</f>
        <v/>
      </c>
      <c r="C2392" s="52" t="str">
        <f aca="false">IF(L2392="","",INDEX(ポート振替表!$B$5:$B$3507,$L2392)&amp;" "&amp;INDEX(ポート振替表!$C$5:$C$3507,$L2392)&amp;"  ⇔  "&amp;INDEX(ポート振替表!$H$5:$H$3507,$L2392)&amp;" "&amp;INDEX(ポート振替表!$I$5:$I$3507,$L2392))</f>
        <v/>
      </c>
      <c r="D2392" s="57" t="s">
        <v>158</v>
      </c>
      <c r="E2392" s="59" t="str">
        <f aca="false">IF(L2392="","",IF(INDEX(ポート振替表!$O$5:$O$3507,$L2392)="","(未設定)",INDEX(ポート振替表!$O$5:$O$3507,$L2392)&amp;""))</f>
        <v/>
      </c>
      <c r="F2392" s="52" t="str">
        <f aca="false">IF(L2392="","",INDEX(ポート振替表!$K$5:$K$3507,$L2392)&amp;" "&amp;INDEX(ポート振替表!$L$5:$L$3507,$L2392)&amp;"  ⇔  "&amp;INDEX(ポート振替表!$H$5:$H$3507,$L2392)&amp;" "&amp;INDEX(ポート振替表!$I$5:$I$3507,$L2392))</f>
        <v/>
      </c>
      <c r="G2392" s="57" t="s">
        <v>158</v>
      </c>
      <c r="H2392" s="32" t="str">
        <f aca="false">IF(L2392="","",INDEX(ポート振替表!$N$5:$N$3507,$L2392)&amp;"")</f>
        <v/>
      </c>
      <c r="I2392" s="32" t="str">
        <f aca="false">IF(L2392="","",INDEX(ポート振替表!$P$5:$P$3507,$L2392)&amp;"")</f>
        <v/>
      </c>
      <c r="J2392" s="60" t="str">
        <f aca="false">IF(L2392="","",INDEX(ポート振替表!$M$5:$M$3507,$L2392)&amp;"")</f>
        <v/>
      </c>
      <c r="K2392" s="52" t="str">
        <f aca="false">IF(L2392="","",E2392&amp;CHAR(10)&amp;INDEX(ポート振替表!$K$5:$K$3507,$L2392)&amp;" "&amp;INDEX(ポート振替表!$L$5:$L$3507,$L2392)&amp;CHAR(10)&amp;"⇔ "&amp;INDEX(ポート振替表!$H$5:$H$3507,$L2392)&amp;" "&amp;INDEX(ポート振替表!$I$5:$I$3507,$L2392))</f>
        <v/>
      </c>
      <c r="L2392" s="47" t="str">
        <f aca="false">IFERROR(MATCH(ROW()-4,ポート振替表!$V$5:$V$3507,0),"")</f>
        <v/>
      </c>
    </row>
    <row r="2393" customFormat="false" ht="16.4" hidden="false" customHeight="false" outlineLevel="0" collapsed="false">
      <c r="A2393" s="32" t="str">
        <f aca="false">IF(L2393="","",ROW()-4)</f>
        <v/>
      </c>
      <c r="B2393" s="58" t="str">
        <f aca="false">IF(L2393="","",IF(INDEX(ポート振替表!$W$5:$W$3507,$L2393)="","(なし)",INDEX(ポート振替表!$W$5:$W$3507,$L2393)&amp;""))</f>
        <v/>
      </c>
      <c r="C2393" s="52" t="str">
        <f aca="false">IF(L2393="","",INDEX(ポート振替表!$B$5:$B$3507,$L2393)&amp;" "&amp;INDEX(ポート振替表!$C$5:$C$3507,$L2393)&amp;"  ⇔  "&amp;INDEX(ポート振替表!$H$5:$H$3507,$L2393)&amp;" "&amp;INDEX(ポート振替表!$I$5:$I$3507,$L2393))</f>
        <v/>
      </c>
      <c r="D2393" s="57" t="s">
        <v>158</v>
      </c>
      <c r="E2393" s="59" t="str">
        <f aca="false">IF(L2393="","",IF(INDEX(ポート振替表!$O$5:$O$3507,$L2393)="","(未設定)",INDEX(ポート振替表!$O$5:$O$3507,$L2393)&amp;""))</f>
        <v/>
      </c>
      <c r="F2393" s="52" t="str">
        <f aca="false">IF(L2393="","",INDEX(ポート振替表!$K$5:$K$3507,$L2393)&amp;" "&amp;INDEX(ポート振替表!$L$5:$L$3507,$L2393)&amp;"  ⇔  "&amp;INDEX(ポート振替表!$H$5:$H$3507,$L2393)&amp;" "&amp;INDEX(ポート振替表!$I$5:$I$3507,$L2393))</f>
        <v/>
      </c>
      <c r="G2393" s="57" t="s">
        <v>158</v>
      </c>
      <c r="H2393" s="32" t="str">
        <f aca="false">IF(L2393="","",INDEX(ポート振替表!$N$5:$N$3507,$L2393)&amp;"")</f>
        <v/>
      </c>
      <c r="I2393" s="32" t="str">
        <f aca="false">IF(L2393="","",INDEX(ポート振替表!$P$5:$P$3507,$L2393)&amp;"")</f>
        <v/>
      </c>
      <c r="J2393" s="60" t="str">
        <f aca="false">IF(L2393="","",INDEX(ポート振替表!$M$5:$M$3507,$L2393)&amp;"")</f>
        <v/>
      </c>
      <c r="K2393" s="52" t="str">
        <f aca="false">IF(L2393="","",E2393&amp;CHAR(10)&amp;INDEX(ポート振替表!$K$5:$K$3507,$L2393)&amp;" "&amp;INDEX(ポート振替表!$L$5:$L$3507,$L2393)&amp;CHAR(10)&amp;"⇔ "&amp;INDEX(ポート振替表!$H$5:$H$3507,$L2393)&amp;" "&amp;INDEX(ポート振替表!$I$5:$I$3507,$L2393))</f>
        <v/>
      </c>
      <c r="L2393" s="47" t="str">
        <f aca="false">IFERROR(MATCH(ROW()-4,ポート振替表!$V$5:$V$3507,0),"")</f>
        <v/>
      </c>
    </row>
    <row r="2394" customFormat="false" ht="16.4" hidden="false" customHeight="false" outlineLevel="0" collapsed="false">
      <c r="A2394" s="32" t="str">
        <f aca="false">IF(L2394="","",ROW()-4)</f>
        <v/>
      </c>
      <c r="B2394" s="58" t="str">
        <f aca="false">IF(L2394="","",IF(INDEX(ポート振替表!$W$5:$W$3507,$L2394)="","(なし)",INDEX(ポート振替表!$W$5:$W$3507,$L2394)&amp;""))</f>
        <v/>
      </c>
      <c r="C2394" s="52" t="str">
        <f aca="false">IF(L2394="","",INDEX(ポート振替表!$B$5:$B$3507,$L2394)&amp;" "&amp;INDEX(ポート振替表!$C$5:$C$3507,$L2394)&amp;"  ⇔  "&amp;INDEX(ポート振替表!$H$5:$H$3507,$L2394)&amp;" "&amp;INDEX(ポート振替表!$I$5:$I$3507,$L2394))</f>
        <v/>
      </c>
      <c r="D2394" s="57" t="s">
        <v>158</v>
      </c>
      <c r="E2394" s="59" t="str">
        <f aca="false">IF(L2394="","",IF(INDEX(ポート振替表!$O$5:$O$3507,$L2394)="","(未設定)",INDEX(ポート振替表!$O$5:$O$3507,$L2394)&amp;""))</f>
        <v/>
      </c>
      <c r="F2394" s="52" t="str">
        <f aca="false">IF(L2394="","",INDEX(ポート振替表!$K$5:$K$3507,$L2394)&amp;" "&amp;INDEX(ポート振替表!$L$5:$L$3507,$L2394)&amp;"  ⇔  "&amp;INDEX(ポート振替表!$H$5:$H$3507,$L2394)&amp;" "&amp;INDEX(ポート振替表!$I$5:$I$3507,$L2394))</f>
        <v/>
      </c>
      <c r="G2394" s="57" t="s">
        <v>158</v>
      </c>
      <c r="H2394" s="32" t="str">
        <f aca="false">IF(L2394="","",INDEX(ポート振替表!$N$5:$N$3507,$L2394)&amp;"")</f>
        <v/>
      </c>
      <c r="I2394" s="32" t="str">
        <f aca="false">IF(L2394="","",INDEX(ポート振替表!$P$5:$P$3507,$L2394)&amp;"")</f>
        <v/>
      </c>
      <c r="J2394" s="60" t="str">
        <f aca="false">IF(L2394="","",INDEX(ポート振替表!$M$5:$M$3507,$L2394)&amp;"")</f>
        <v/>
      </c>
      <c r="K2394" s="52" t="str">
        <f aca="false">IF(L2394="","",E2394&amp;CHAR(10)&amp;INDEX(ポート振替表!$K$5:$K$3507,$L2394)&amp;" "&amp;INDEX(ポート振替表!$L$5:$L$3507,$L2394)&amp;CHAR(10)&amp;"⇔ "&amp;INDEX(ポート振替表!$H$5:$H$3507,$L2394)&amp;" "&amp;INDEX(ポート振替表!$I$5:$I$3507,$L2394))</f>
        <v/>
      </c>
      <c r="L2394" s="47" t="str">
        <f aca="false">IFERROR(MATCH(ROW()-4,ポート振替表!$V$5:$V$3507,0),"")</f>
        <v/>
      </c>
    </row>
    <row r="2395" customFormat="false" ht="16.4" hidden="false" customHeight="false" outlineLevel="0" collapsed="false">
      <c r="A2395" s="32" t="str">
        <f aca="false">IF(L2395="","",ROW()-4)</f>
        <v/>
      </c>
      <c r="B2395" s="58" t="str">
        <f aca="false">IF(L2395="","",IF(INDEX(ポート振替表!$W$5:$W$3507,$L2395)="","(なし)",INDEX(ポート振替表!$W$5:$W$3507,$L2395)&amp;""))</f>
        <v/>
      </c>
      <c r="C2395" s="52" t="str">
        <f aca="false">IF(L2395="","",INDEX(ポート振替表!$B$5:$B$3507,$L2395)&amp;" "&amp;INDEX(ポート振替表!$C$5:$C$3507,$L2395)&amp;"  ⇔  "&amp;INDEX(ポート振替表!$H$5:$H$3507,$L2395)&amp;" "&amp;INDEX(ポート振替表!$I$5:$I$3507,$L2395))</f>
        <v/>
      </c>
      <c r="D2395" s="57" t="s">
        <v>158</v>
      </c>
      <c r="E2395" s="59" t="str">
        <f aca="false">IF(L2395="","",IF(INDEX(ポート振替表!$O$5:$O$3507,$L2395)="","(未設定)",INDEX(ポート振替表!$O$5:$O$3507,$L2395)&amp;""))</f>
        <v/>
      </c>
      <c r="F2395" s="52" t="str">
        <f aca="false">IF(L2395="","",INDEX(ポート振替表!$K$5:$K$3507,$L2395)&amp;" "&amp;INDEX(ポート振替表!$L$5:$L$3507,$L2395)&amp;"  ⇔  "&amp;INDEX(ポート振替表!$H$5:$H$3507,$L2395)&amp;" "&amp;INDEX(ポート振替表!$I$5:$I$3507,$L2395))</f>
        <v/>
      </c>
      <c r="G2395" s="57" t="s">
        <v>158</v>
      </c>
      <c r="H2395" s="32" t="str">
        <f aca="false">IF(L2395="","",INDEX(ポート振替表!$N$5:$N$3507,$L2395)&amp;"")</f>
        <v/>
      </c>
      <c r="I2395" s="32" t="str">
        <f aca="false">IF(L2395="","",INDEX(ポート振替表!$P$5:$P$3507,$L2395)&amp;"")</f>
        <v/>
      </c>
      <c r="J2395" s="60" t="str">
        <f aca="false">IF(L2395="","",INDEX(ポート振替表!$M$5:$M$3507,$L2395)&amp;"")</f>
        <v/>
      </c>
      <c r="K2395" s="52" t="str">
        <f aca="false">IF(L2395="","",E2395&amp;CHAR(10)&amp;INDEX(ポート振替表!$K$5:$K$3507,$L2395)&amp;" "&amp;INDEX(ポート振替表!$L$5:$L$3507,$L2395)&amp;CHAR(10)&amp;"⇔ "&amp;INDEX(ポート振替表!$H$5:$H$3507,$L2395)&amp;" "&amp;INDEX(ポート振替表!$I$5:$I$3507,$L2395))</f>
        <v/>
      </c>
      <c r="L2395" s="47" t="str">
        <f aca="false">IFERROR(MATCH(ROW()-4,ポート振替表!$V$5:$V$3507,0),"")</f>
        <v/>
      </c>
    </row>
    <row r="2396" customFormat="false" ht="16.4" hidden="false" customHeight="false" outlineLevel="0" collapsed="false">
      <c r="A2396" s="32" t="str">
        <f aca="false">IF(L2396="","",ROW()-4)</f>
        <v/>
      </c>
      <c r="B2396" s="58" t="str">
        <f aca="false">IF(L2396="","",IF(INDEX(ポート振替表!$W$5:$W$3507,$L2396)="","(なし)",INDEX(ポート振替表!$W$5:$W$3507,$L2396)&amp;""))</f>
        <v/>
      </c>
      <c r="C2396" s="52" t="str">
        <f aca="false">IF(L2396="","",INDEX(ポート振替表!$B$5:$B$3507,$L2396)&amp;" "&amp;INDEX(ポート振替表!$C$5:$C$3507,$L2396)&amp;"  ⇔  "&amp;INDEX(ポート振替表!$H$5:$H$3507,$L2396)&amp;" "&amp;INDEX(ポート振替表!$I$5:$I$3507,$L2396))</f>
        <v/>
      </c>
      <c r="D2396" s="57" t="s">
        <v>158</v>
      </c>
      <c r="E2396" s="59" t="str">
        <f aca="false">IF(L2396="","",IF(INDEX(ポート振替表!$O$5:$O$3507,$L2396)="","(未設定)",INDEX(ポート振替表!$O$5:$O$3507,$L2396)&amp;""))</f>
        <v/>
      </c>
      <c r="F2396" s="52" t="str">
        <f aca="false">IF(L2396="","",INDEX(ポート振替表!$K$5:$K$3507,$L2396)&amp;" "&amp;INDEX(ポート振替表!$L$5:$L$3507,$L2396)&amp;"  ⇔  "&amp;INDEX(ポート振替表!$H$5:$H$3507,$L2396)&amp;" "&amp;INDEX(ポート振替表!$I$5:$I$3507,$L2396))</f>
        <v/>
      </c>
      <c r="G2396" s="57" t="s">
        <v>158</v>
      </c>
      <c r="H2396" s="32" t="str">
        <f aca="false">IF(L2396="","",INDEX(ポート振替表!$N$5:$N$3507,$L2396)&amp;"")</f>
        <v/>
      </c>
      <c r="I2396" s="32" t="str">
        <f aca="false">IF(L2396="","",INDEX(ポート振替表!$P$5:$P$3507,$L2396)&amp;"")</f>
        <v/>
      </c>
      <c r="J2396" s="60" t="str">
        <f aca="false">IF(L2396="","",INDEX(ポート振替表!$M$5:$M$3507,$L2396)&amp;"")</f>
        <v/>
      </c>
      <c r="K2396" s="52" t="str">
        <f aca="false">IF(L2396="","",E2396&amp;CHAR(10)&amp;INDEX(ポート振替表!$K$5:$K$3507,$L2396)&amp;" "&amp;INDEX(ポート振替表!$L$5:$L$3507,$L2396)&amp;CHAR(10)&amp;"⇔ "&amp;INDEX(ポート振替表!$H$5:$H$3507,$L2396)&amp;" "&amp;INDEX(ポート振替表!$I$5:$I$3507,$L2396))</f>
        <v/>
      </c>
      <c r="L2396" s="47" t="str">
        <f aca="false">IFERROR(MATCH(ROW()-4,ポート振替表!$V$5:$V$3507,0),"")</f>
        <v/>
      </c>
    </row>
    <row r="2397" customFormat="false" ht="16.4" hidden="false" customHeight="false" outlineLevel="0" collapsed="false">
      <c r="A2397" s="32" t="str">
        <f aca="false">IF(L2397="","",ROW()-4)</f>
        <v/>
      </c>
      <c r="B2397" s="58" t="str">
        <f aca="false">IF(L2397="","",IF(INDEX(ポート振替表!$W$5:$W$3507,$L2397)="","(なし)",INDEX(ポート振替表!$W$5:$W$3507,$L2397)&amp;""))</f>
        <v/>
      </c>
      <c r="C2397" s="52" t="str">
        <f aca="false">IF(L2397="","",INDEX(ポート振替表!$B$5:$B$3507,$L2397)&amp;" "&amp;INDEX(ポート振替表!$C$5:$C$3507,$L2397)&amp;"  ⇔  "&amp;INDEX(ポート振替表!$H$5:$H$3507,$L2397)&amp;" "&amp;INDEX(ポート振替表!$I$5:$I$3507,$L2397))</f>
        <v/>
      </c>
      <c r="D2397" s="57" t="s">
        <v>158</v>
      </c>
      <c r="E2397" s="59" t="str">
        <f aca="false">IF(L2397="","",IF(INDEX(ポート振替表!$O$5:$O$3507,$L2397)="","(未設定)",INDEX(ポート振替表!$O$5:$O$3507,$L2397)&amp;""))</f>
        <v/>
      </c>
      <c r="F2397" s="52" t="str">
        <f aca="false">IF(L2397="","",INDEX(ポート振替表!$K$5:$K$3507,$L2397)&amp;" "&amp;INDEX(ポート振替表!$L$5:$L$3507,$L2397)&amp;"  ⇔  "&amp;INDEX(ポート振替表!$H$5:$H$3507,$L2397)&amp;" "&amp;INDEX(ポート振替表!$I$5:$I$3507,$L2397))</f>
        <v/>
      </c>
      <c r="G2397" s="57" t="s">
        <v>158</v>
      </c>
      <c r="H2397" s="32" t="str">
        <f aca="false">IF(L2397="","",INDEX(ポート振替表!$N$5:$N$3507,$L2397)&amp;"")</f>
        <v/>
      </c>
      <c r="I2397" s="32" t="str">
        <f aca="false">IF(L2397="","",INDEX(ポート振替表!$P$5:$P$3507,$L2397)&amp;"")</f>
        <v/>
      </c>
      <c r="J2397" s="60" t="str">
        <f aca="false">IF(L2397="","",INDEX(ポート振替表!$M$5:$M$3507,$L2397)&amp;"")</f>
        <v/>
      </c>
      <c r="K2397" s="52" t="str">
        <f aca="false">IF(L2397="","",E2397&amp;CHAR(10)&amp;INDEX(ポート振替表!$K$5:$K$3507,$L2397)&amp;" "&amp;INDEX(ポート振替表!$L$5:$L$3507,$L2397)&amp;CHAR(10)&amp;"⇔ "&amp;INDEX(ポート振替表!$H$5:$H$3507,$L2397)&amp;" "&amp;INDEX(ポート振替表!$I$5:$I$3507,$L2397))</f>
        <v/>
      </c>
      <c r="L2397" s="47" t="str">
        <f aca="false">IFERROR(MATCH(ROW()-4,ポート振替表!$V$5:$V$3507,0),"")</f>
        <v/>
      </c>
    </row>
    <row r="2398" customFormat="false" ht="16.4" hidden="false" customHeight="false" outlineLevel="0" collapsed="false">
      <c r="A2398" s="32" t="str">
        <f aca="false">IF(L2398="","",ROW()-4)</f>
        <v/>
      </c>
      <c r="B2398" s="58" t="str">
        <f aca="false">IF(L2398="","",IF(INDEX(ポート振替表!$W$5:$W$3507,$L2398)="","(なし)",INDEX(ポート振替表!$W$5:$W$3507,$L2398)&amp;""))</f>
        <v/>
      </c>
      <c r="C2398" s="52" t="str">
        <f aca="false">IF(L2398="","",INDEX(ポート振替表!$B$5:$B$3507,$L2398)&amp;" "&amp;INDEX(ポート振替表!$C$5:$C$3507,$L2398)&amp;"  ⇔  "&amp;INDEX(ポート振替表!$H$5:$H$3507,$L2398)&amp;" "&amp;INDEX(ポート振替表!$I$5:$I$3507,$L2398))</f>
        <v/>
      </c>
      <c r="D2398" s="57" t="s">
        <v>158</v>
      </c>
      <c r="E2398" s="59" t="str">
        <f aca="false">IF(L2398="","",IF(INDEX(ポート振替表!$O$5:$O$3507,$L2398)="","(未設定)",INDEX(ポート振替表!$O$5:$O$3507,$L2398)&amp;""))</f>
        <v/>
      </c>
      <c r="F2398" s="52" t="str">
        <f aca="false">IF(L2398="","",INDEX(ポート振替表!$K$5:$K$3507,$L2398)&amp;" "&amp;INDEX(ポート振替表!$L$5:$L$3507,$L2398)&amp;"  ⇔  "&amp;INDEX(ポート振替表!$H$5:$H$3507,$L2398)&amp;" "&amp;INDEX(ポート振替表!$I$5:$I$3507,$L2398))</f>
        <v/>
      </c>
      <c r="G2398" s="57" t="s">
        <v>158</v>
      </c>
      <c r="H2398" s="32" t="str">
        <f aca="false">IF(L2398="","",INDEX(ポート振替表!$N$5:$N$3507,$L2398)&amp;"")</f>
        <v/>
      </c>
      <c r="I2398" s="32" t="str">
        <f aca="false">IF(L2398="","",INDEX(ポート振替表!$P$5:$P$3507,$L2398)&amp;"")</f>
        <v/>
      </c>
      <c r="J2398" s="60" t="str">
        <f aca="false">IF(L2398="","",INDEX(ポート振替表!$M$5:$M$3507,$L2398)&amp;"")</f>
        <v/>
      </c>
      <c r="K2398" s="52" t="str">
        <f aca="false">IF(L2398="","",E2398&amp;CHAR(10)&amp;INDEX(ポート振替表!$K$5:$K$3507,$L2398)&amp;" "&amp;INDEX(ポート振替表!$L$5:$L$3507,$L2398)&amp;CHAR(10)&amp;"⇔ "&amp;INDEX(ポート振替表!$H$5:$H$3507,$L2398)&amp;" "&amp;INDEX(ポート振替表!$I$5:$I$3507,$L2398))</f>
        <v/>
      </c>
      <c r="L2398" s="47" t="str">
        <f aca="false">IFERROR(MATCH(ROW()-4,ポート振替表!$V$5:$V$3507,0),"")</f>
        <v/>
      </c>
    </row>
    <row r="2399" customFormat="false" ht="16.4" hidden="false" customHeight="false" outlineLevel="0" collapsed="false">
      <c r="A2399" s="32" t="str">
        <f aca="false">IF(L2399="","",ROW()-4)</f>
        <v/>
      </c>
      <c r="B2399" s="58" t="str">
        <f aca="false">IF(L2399="","",IF(INDEX(ポート振替表!$W$5:$W$3507,$L2399)="","(なし)",INDEX(ポート振替表!$W$5:$W$3507,$L2399)&amp;""))</f>
        <v/>
      </c>
      <c r="C2399" s="52" t="str">
        <f aca="false">IF(L2399="","",INDEX(ポート振替表!$B$5:$B$3507,$L2399)&amp;" "&amp;INDEX(ポート振替表!$C$5:$C$3507,$L2399)&amp;"  ⇔  "&amp;INDEX(ポート振替表!$H$5:$H$3507,$L2399)&amp;" "&amp;INDEX(ポート振替表!$I$5:$I$3507,$L2399))</f>
        <v/>
      </c>
      <c r="D2399" s="57" t="s">
        <v>158</v>
      </c>
      <c r="E2399" s="59" t="str">
        <f aca="false">IF(L2399="","",IF(INDEX(ポート振替表!$O$5:$O$3507,$L2399)="","(未設定)",INDEX(ポート振替表!$O$5:$O$3507,$L2399)&amp;""))</f>
        <v/>
      </c>
      <c r="F2399" s="52" t="str">
        <f aca="false">IF(L2399="","",INDEX(ポート振替表!$K$5:$K$3507,$L2399)&amp;" "&amp;INDEX(ポート振替表!$L$5:$L$3507,$L2399)&amp;"  ⇔  "&amp;INDEX(ポート振替表!$H$5:$H$3507,$L2399)&amp;" "&amp;INDEX(ポート振替表!$I$5:$I$3507,$L2399))</f>
        <v/>
      </c>
      <c r="G2399" s="57" t="s">
        <v>158</v>
      </c>
      <c r="H2399" s="32" t="str">
        <f aca="false">IF(L2399="","",INDEX(ポート振替表!$N$5:$N$3507,$L2399)&amp;"")</f>
        <v/>
      </c>
      <c r="I2399" s="32" t="str">
        <f aca="false">IF(L2399="","",INDEX(ポート振替表!$P$5:$P$3507,$L2399)&amp;"")</f>
        <v/>
      </c>
      <c r="J2399" s="60" t="str">
        <f aca="false">IF(L2399="","",INDEX(ポート振替表!$M$5:$M$3507,$L2399)&amp;"")</f>
        <v/>
      </c>
      <c r="K2399" s="52" t="str">
        <f aca="false">IF(L2399="","",E2399&amp;CHAR(10)&amp;INDEX(ポート振替表!$K$5:$K$3507,$L2399)&amp;" "&amp;INDEX(ポート振替表!$L$5:$L$3507,$L2399)&amp;CHAR(10)&amp;"⇔ "&amp;INDEX(ポート振替表!$H$5:$H$3507,$L2399)&amp;" "&amp;INDEX(ポート振替表!$I$5:$I$3507,$L2399))</f>
        <v/>
      </c>
      <c r="L2399" s="47" t="str">
        <f aca="false">IFERROR(MATCH(ROW()-4,ポート振替表!$V$5:$V$3507,0),"")</f>
        <v/>
      </c>
    </row>
    <row r="2400" customFormat="false" ht="16.4" hidden="false" customHeight="false" outlineLevel="0" collapsed="false">
      <c r="A2400" s="32" t="str">
        <f aca="false">IF(L2400="","",ROW()-4)</f>
        <v/>
      </c>
      <c r="B2400" s="58" t="str">
        <f aca="false">IF(L2400="","",IF(INDEX(ポート振替表!$W$5:$W$3507,$L2400)="","(なし)",INDEX(ポート振替表!$W$5:$W$3507,$L2400)&amp;""))</f>
        <v/>
      </c>
      <c r="C2400" s="52" t="str">
        <f aca="false">IF(L2400="","",INDEX(ポート振替表!$B$5:$B$3507,$L2400)&amp;" "&amp;INDEX(ポート振替表!$C$5:$C$3507,$L2400)&amp;"  ⇔  "&amp;INDEX(ポート振替表!$H$5:$H$3507,$L2400)&amp;" "&amp;INDEX(ポート振替表!$I$5:$I$3507,$L2400))</f>
        <v/>
      </c>
      <c r="D2400" s="57" t="s">
        <v>158</v>
      </c>
      <c r="E2400" s="59" t="str">
        <f aca="false">IF(L2400="","",IF(INDEX(ポート振替表!$O$5:$O$3507,$L2400)="","(未設定)",INDEX(ポート振替表!$O$5:$O$3507,$L2400)&amp;""))</f>
        <v/>
      </c>
      <c r="F2400" s="52" t="str">
        <f aca="false">IF(L2400="","",INDEX(ポート振替表!$K$5:$K$3507,$L2400)&amp;" "&amp;INDEX(ポート振替表!$L$5:$L$3507,$L2400)&amp;"  ⇔  "&amp;INDEX(ポート振替表!$H$5:$H$3507,$L2400)&amp;" "&amp;INDEX(ポート振替表!$I$5:$I$3507,$L2400))</f>
        <v/>
      </c>
      <c r="G2400" s="57" t="s">
        <v>158</v>
      </c>
      <c r="H2400" s="32" t="str">
        <f aca="false">IF(L2400="","",INDEX(ポート振替表!$N$5:$N$3507,$L2400)&amp;"")</f>
        <v/>
      </c>
      <c r="I2400" s="32" t="str">
        <f aca="false">IF(L2400="","",INDEX(ポート振替表!$P$5:$P$3507,$L2400)&amp;"")</f>
        <v/>
      </c>
      <c r="J2400" s="60" t="str">
        <f aca="false">IF(L2400="","",INDEX(ポート振替表!$M$5:$M$3507,$L2400)&amp;"")</f>
        <v/>
      </c>
      <c r="K2400" s="52" t="str">
        <f aca="false">IF(L2400="","",E2400&amp;CHAR(10)&amp;INDEX(ポート振替表!$K$5:$K$3507,$L2400)&amp;" "&amp;INDEX(ポート振替表!$L$5:$L$3507,$L2400)&amp;CHAR(10)&amp;"⇔ "&amp;INDEX(ポート振替表!$H$5:$H$3507,$L2400)&amp;" "&amp;INDEX(ポート振替表!$I$5:$I$3507,$L2400))</f>
        <v/>
      </c>
      <c r="L2400" s="47" t="str">
        <f aca="false">IFERROR(MATCH(ROW()-4,ポート振替表!$V$5:$V$3507,0),"")</f>
        <v/>
      </c>
    </row>
    <row r="2401" customFormat="false" ht="16.4" hidden="false" customHeight="false" outlineLevel="0" collapsed="false">
      <c r="A2401" s="32" t="str">
        <f aca="false">IF(L2401="","",ROW()-4)</f>
        <v/>
      </c>
      <c r="B2401" s="58" t="str">
        <f aca="false">IF(L2401="","",IF(INDEX(ポート振替表!$W$5:$W$3507,$L2401)="","(なし)",INDEX(ポート振替表!$W$5:$W$3507,$L2401)&amp;""))</f>
        <v/>
      </c>
      <c r="C2401" s="52" t="str">
        <f aca="false">IF(L2401="","",INDEX(ポート振替表!$B$5:$B$3507,$L2401)&amp;" "&amp;INDEX(ポート振替表!$C$5:$C$3507,$L2401)&amp;"  ⇔  "&amp;INDEX(ポート振替表!$H$5:$H$3507,$L2401)&amp;" "&amp;INDEX(ポート振替表!$I$5:$I$3507,$L2401))</f>
        <v/>
      </c>
      <c r="D2401" s="57" t="s">
        <v>158</v>
      </c>
      <c r="E2401" s="59" t="str">
        <f aca="false">IF(L2401="","",IF(INDEX(ポート振替表!$O$5:$O$3507,$L2401)="","(未設定)",INDEX(ポート振替表!$O$5:$O$3507,$L2401)&amp;""))</f>
        <v/>
      </c>
      <c r="F2401" s="52" t="str">
        <f aca="false">IF(L2401="","",INDEX(ポート振替表!$K$5:$K$3507,$L2401)&amp;" "&amp;INDEX(ポート振替表!$L$5:$L$3507,$L2401)&amp;"  ⇔  "&amp;INDEX(ポート振替表!$H$5:$H$3507,$L2401)&amp;" "&amp;INDEX(ポート振替表!$I$5:$I$3507,$L2401))</f>
        <v/>
      </c>
      <c r="G2401" s="57" t="s">
        <v>158</v>
      </c>
      <c r="H2401" s="32" t="str">
        <f aca="false">IF(L2401="","",INDEX(ポート振替表!$N$5:$N$3507,$L2401)&amp;"")</f>
        <v/>
      </c>
      <c r="I2401" s="32" t="str">
        <f aca="false">IF(L2401="","",INDEX(ポート振替表!$P$5:$P$3507,$L2401)&amp;"")</f>
        <v/>
      </c>
      <c r="J2401" s="60" t="str">
        <f aca="false">IF(L2401="","",INDEX(ポート振替表!$M$5:$M$3507,$L2401)&amp;"")</f>
        <v/>
      </c>
      <c r="K2401" s="52" t="str">
        <f aca="false">IF(L2401="","",E2401&amp;CHAR(10)&amp;INDEX(ポート振替表!$K$5:$K$3507,$L2401)&amp;" "&amp;INDEX(ポート振替表!$L$5:$L$3507,$L2401)&amp;CHAR(10)&amp;"⇔ "&amp;INDEX(ポート振替表!$H$5:$H$3507,$L2401)&amp;" "&amp;INDEX(ポート振替表!$I$5:$I$3507,$L2401))</f>
        <v/>
      </c>
      <c r="L2401" s="47" t="str">
        <f aca="false">IFERROR(MATCH(ROW()-4,ポート振替表!$V$5:$V$3507,0),"")</f>
        <v/>
      </c>
    </row>
    <row r="2402" customFormat="false" ht="16.4" hidden="false" customHeight="false" outlineLevel="0" collapsed="false">
      <c r="A2402" s="32" t="str">
        <f aca="false">IF(L2402="","",ROW()-4)</f>
        <v/>
      </c>
      <c r="B2402" s="58" t="str">
        <f aca="false">IF(L2402="","",IF(INDEX(ポート振替表!$W$5:$W$3507,$L2402)="","(なし)",INDEX(ポート振替表!$W$5:$W$3507,$L2402)&amp;""))</f>
        <v/>
      </c>
      <c r="C2402" s="52" t="str">
        <f aca="false">IF(L2402="","",INDEX(ポート振替表!$B$5:$B$3507,$L2402)&amp;" "&amp;INDEX(ポート振替表!$C$5:$C$3507,$L2402)&amp;"  ⇔  "&amp;INDEX(ポート振替表!$H$5:$H$3507,$L2402)&amp;" "&amp;INDEX(ポート振替表!$I$5:$I$3507,$L2402))</f>
        <v/>
      </c>
      <c r="D2402" s="57" t="s">
        <v>158</v>
      </c>
      <c r="E2402" s="59" t="str">
        <f aca="false">IF(L2402="","",IF(INDEX(ポート振替表!$O$5:$O$3507,$L2402)="","(未設定)",INDEX(ポート振替表!$O$5:$O$3507,$L2402)&amp;""))</f>
        <v/>
      </c>
      <c r="F2402" s="52" t="str">
        <f aca="false">IF(L2402="","",INDEX(ポート振替表!$K$5:$K$3507,$L2402)&amp;" "&amp;INDEX(ポート振替表!$L$5:$L$3507,$L2402)&amp;"  ⇔  "&amp;INDEX(ポート振替表!$H$5:$H$3507,$L2402)&amp;" "&amp;INDEX(ポート振替表!$I$5:$I$3507,$L2402))</f>
        <v/>
      </c>
      <c r="G2402" s="57" t="s">
        <v>158</v>
      </c>
      <c r="H2402" s="32" t="str">
        <f aca="false">IF(L2402="","",INDEX(ポート振替表!$N$5:$N$3507,$L2402)&amp;"")</f>
        <v/>
      </c>
      <c r="I2402" s="32" t="str">
        <f aca="false">IF(L2402="","",INDEX(ポート振替表!$P$5:$P$3507,$L2402)&amp;"")</f>
        <v/>
      </c>
      <c r="J2402" s="60" t="str">
        <f aca="false">IF(L2402="","",INDEX(ポート振替表!$M$5:$M$3507,$L2402)&amp;"")</f>
        <v/>
      </c>
      <c r="K2402" s="52" t="str">
        <f aca="false">IF(L2402="","",E2402&amp;CHAR(10)&amp;INDEX(ポート振替表!$K$5:$K$3507,$L2402)&amp;" "&amp;INDEX(ポート振替表!$L$5:$L$3507,$L2402)&amp;CHAR(10)&amp;"⇔ "&amp;INDEX(ポート振替表!$H$5:$H$3507,$L2402)&amp;" "&amp;INDEX(ポート振替表!$I$5:$I$3507,$L2402))</f>
        <v/>
      </c>
      <c r="L2402" s="47" t="str">
        <f aca="false">IFERROR(MATCH(ROW()-4,ポート振替表!$V$5:$V$3507,0),"")</f>
        <v/>
      </c>
    </row>
    <row r="2403" customFormat="false" ht="16.4" hidden="false" customHeight="false" outlineLevel="0" collapsed="false">
      <c r="A2403" s="32" t="str">
        <f aca="false">IF(L2403="","",ROW()-4)</f>
        <v/>
      </c>
      <c r="B2403" s="58" t="str">
        <f aca="false">IF(L2403="","",IF(INDEX(ポート振替表!$W$5:$W$3507,$L2403)="","(なし)",INDEX(ポート振替表!$W$5:$W$3507,$L2403)&amp;""))</f>
        <v/>
      </c>
      <c r="C2403" s="52" t="str">
        <f aca="false">IF(L2403="","",INDEX(ポート振替表!$B$5:$B$3507,$L2403)&amp;" "&amp;INDEX(ポート振替表!$C$5:$C$3507,$L2403)&amp;"  ⇔  "&amp;INDEX(ポート振替表!$H$5:$H$3507,$L2403)&amp;" "&amp;INDEX(ポート振替表!$I$5:$I$3507,$L2403))</f>
        <v/>
      </c>
      <c r="D2403" s="57" t="s">
        <v>158</v>
      </c>
      <c r="E2403" s="59" t="str">
        <f aca="false">IF(L2403="","",IF(INDEX(ポート振替表!$O$5:$O$3507,$L2403)="","(未設定)",INDEX(ポート振替表!$O$5:$O$3507,$L2403)&amp;""))</f>
        <v/>
      </c>
      <c r="F2403" s="52" t="str">
        <f aca="false">IF(L2403="","",INDEX(ポート振替表!$K$5:$K$3507,$L2403)&amp;" "&amp;INDEX(ポート振替表!$L$5:$L$3507,$L2403)&amp;"  ⇔  "&amp;INDEX(ポート振替表!$H$5:$H$3507,$L2403)&amp;" "&amp;INDEX(ポート振替表!$I$5:$I$3507,$L2403))</f>
        <v/>
      </c>
      <c r="G2403" s="57" t="s">
        <v>158</v>
      </c>
      <c r="H2403" s="32" t="str">
        <f aca="false">IF(L2403="","",INDEX(ポート振替表!$N$5:$N$3507,$L2403)&amp;"")</f>
        <v/>
      </c>
      <c r="I2403" s="32" t="str">
        <f aca="false">IF(L2403="","",INDEX(ポート振替表!$P$5:$P$3507,$L2403)&amp;"")</f>
        <v/>
      </c>
      <c r="J2403" s="60" t="str">
        <f aca="false">IF(L2403="","",INDEX(ポート振替表!$M$5:$M$3507,$L2403)&amp;"")</f>
        <v/>
      </c>
      <c r="K2403" s="52" t="str">
        <f aca="false">IF(L2403="","",E2403&amp;CHAR(10)&amp;INDEX(ポート振替表!$K$5:$K$3507,$L2403)&amp;" "&amp;INDEX(ポート振替表!$L$5:$L$3507,$L2403)&amp;CHAR(10)&amp;"⇔ "&amp;INDEX(ポート振替表!$H$5:$H$3507,$L2403)&amp;" "&amp;INDEX(ポート振替表!$I$5:$I$3507,$L2403))</f>
        <v/>
      </c>
      <c r="L2403" s="47" t="str">
        <f aca="false">IFERROR(MATCH(ROW()-4,ポート振替表!$V$5:$V$3507,0),"")</f>
        <v/>
      </c>
    </row>
    <row r="2404" customFormat="false" ht="16.4" hidden="false" customHeight="false" outlineLevel="0" collapsed="false">
      <c r="A2404" s="32" t="str">
        <f aca="false">IF(L2404="","",ROW()-4)</f>
        <v/>
      </c>
      <c r="B2404" s="58" t="str">
        <f aca="false">IF(L2404="","",IF(INDEX(ポート振替表!$W$5:$W$3507,$L2404)="","(なし)",INDEX(ポート振替表!$W$5:$W$3507,$L2404)&amp;""))</f>
        <v/>
      </c>
      <c r="C2404" s="52" t="str">
        <f aca="false">IF(L2404="","",INDEX(ポート振替表!$B$5:$B$3507,$L2404)&amp;" "&amp;INDEX(ポート振替表!$C$5:$C$3507,$L2404)&amp;"  ⇔  "&amp;INDEX(ポート振替表!$H$5:$H$3507,$L2404)&amp;" "&amp;INDEX(ポート振替表!$I$5:$I$3507,$L2404))</f>
        <v/>
      </c>
      <c r="D2404" s="57" t="s">
        <v>158</v>
      </c>
      <c r="E2404" s="59" t="str">
        <f aca="false">IF(L2404="","",IF(INDEX(ポート振替表!$O$5:$O$3507,$L2404)="","(未設定)",INDEX(ポート振替表!$O$5:$O$3507,$L2404)&amp;""))</f>
        <v/>
      </c>
      <c r="F2404" s="52" t="str">
        <f aca="false">IF(L2404="","",INDEX(ポート振替表!$K$5:$K$3507,$L2404)&amp;" "&amp;INDEX(ポート振替表!$L$5:$L$3507,$L2404)&amp;"  ⇔  "&amp;INDEX(ポート振替表!$H$5:$H$3507,$L2404)&amp;" "&amp;INDEX(ポート振替表!$I$5:$I$3507,$L2404))</f>
        <v/>
      </c>
      <c r="G2404" s="57" t="s">
        <v>158</v>
      </c>
      <c r="H2404" s="32" t="str">
        <f aca="false">IF(L2404="","",INDEX(ポート振替表!$N$5:$N$3507,$L2404)&amp;"")</f>
        <v/>
      </c>
      <c r="I2404" s="32" t="str">
        <f aca="false">IF(L2404="","",INDEX(ポート振替表!$P$5:$P$3507,$L2404)&amp;"")</f>
        <v/>
      </c>
      <c r="J2404" s="60" t="str">
        <f aca="false">IF(L2404="","",INDEX(ポート振替表!$M$5:$M$3507,$L2404)&amp;"")</f>
        <v/>
      </c>
      <c r="K2404" s="52" t="str">
        <f aca="false">IF(L2404="","",E2404&amp;CHAR(10)&amp;INDEX(ポート振替表!$K$5:$K$3507,$L2404)&amp;" "&amp;INDEX(ポート振替表!$L$5:$L$3507,$L2404)&amp;CHAR(10)&amp;"⇔ "&amp;INDEX(ポート振替表!$H$5:$H$3507,$L2404)&amp;" "&amp;INDEX(ポート振替表!$I$5:$I$3507,$L2404))</f>
        <v/>
      </c>
      <c r="L2404" s="47" t="str">
        <f aca="false">IFERROR(MATCH(ROW()-4,ポート振替表!$V$5:$V$3507,0),"")</f>
        <v/>
      </c>
    </row>
    <row r="2405" customFormat="false" ht="16.4" hidden="false" customHeight="false" outlineLevel="0" collapsed="false">
      <c r="A2405" s="32" t="str">
        <f aca="false">IF(L2405="","",ROW()-4)</f>
        <v/>
      </c>
      <c r="B2405" s="58" t="str">
        <f aca="false">IF(L2405="","",IF(INDEX(ポート振替表!$W$5:$W$3507,$L2405)="","(なし)",INDEX(ポート振替表!$W$5:$W$3507,$L2405)&amp;""))</f>
        <v/>
      </c>
      <c r="C2405" s="52" t="str">
        <f aca="false">IF(L2405="","",INDEX(ポート振替表!$B$5:$B$3507,$L2405)&amp;" "&amp;INDEX(ポート振替表!$C$5:$C$3507,$L2405)&amp;"  ⇔  "&amp;INDEX(ポート振替表!$H$5:$H$3507,$L2405)&amp;" "&amp;INDEX(ポート振替表!$I$5:$I$3507,$L2405))</f>
        <v/>
      </c>
      <c r="D2405" s="57" t="s">
        <v>158</v>
      </c>
      <c r="E2405" s="59" t="str">
        <f aca="false">IF(L2405="","",IF(INDEX(ポート振替表!$O$5:$O$3507,$L2405)="","(未設定)",INDEX(ポート振替表!$O$5:$O$3507,$L2405)&amp;""))</f>
        <v/>
      </c>
      <c r="F2405" s="52" t="str">
        <f aca="false">IF(L2405="","",INDEX(ポート振替表!$K$5:$K$3507,$L2405)&amp;" "&amp;INDEX(ポート振替表!$L$5:$L$3507,$L2405)&amp;"  ⇔  "&amp;INDEX(ポート振替表!$H$5:$H$3507,$L2405)&amp;" "&amp;INDEX(ポート振替表!$I$5:$I$3507,$L2405))</f>
        <v/>
      </c>
      <c r="G2405" s="57" t="s">
        <v>158</v>
      </c>
      <c r="H2405" s="32" t="str">
        <f aca="false">IF(L2405="","",INDEX(ポート振替表!$N$5:$N$3507,$L2405)&amp;"")</f>
        <v/>
      </c>
      <c r="I2405" s="32" t="str">
        <f aca="false">IF(L2405="","",INDEX(ポート振替表!$P$5:$P$3507,$L2405)&amp;"")</f>
        <v/>
      </c>
      <c r="J2405" s="60" t="str">
        <f aca="false">IF(L2405="","",INDEX(ポート振替表!$M$5:$M$3507,$L2405)&amp;"")</f>
        <v/>
      </c>
      <c r="K2405" s="52" t="str">
        <f aca="false">IF(L2405="","",E2405&amp;CHAR(10)&amp;INDEX(ポート振替表!$K$5:$K$3507,$L2405)&amp;" "&amp;INDEX(ポート振替表!$L$5:$L$3507,$L2405)&amp;CHAR(10)&amp;"⇔ "&amp;INDEX(ポート振替表!$H$5:$H$3507,$L2405)&amp;" "&amp;INDEX(ポート振替表!$I$5:$I$3507,$L2405))</f>
        <v/>
      </c>
      <c r="L2405" s="47" t="str">
        <f aca="false">IFERROR(MATCH(ROW()-4,ポート振替表!$V$5:$V$3507,0),"")</f>
        <v/>
      </c>
    </row>
    <row r="2406" customFormat="false" ht="16.4" hidden="false" customHeight="false" outlineLevel="0" collapsed="false">
      <c r="A2406" s="32" t="str">
        <f aca="false">IF(L2406="","",ROW()-4)</f>
        <v/>
      </c>
      <c r="B2406" s="58" t="str">
        <f aca="false">IF(L2406="","",IF(INDEX(ポート振替表!$W$5:$W$3507,$L2406)="","(なし)",INDEX(ポート振替表!$W$5:$W$3507,$L2406)&amp;""))</f>
        <v/>
      </c>
      <c r="C2406" s="52" t="str">
        <f aca="false">IF(L2406="","",INDEX(ポート振替表!$B$5:$B$3507,$L2406)&amp;" "&amp;INDEX(ポート振替表!$C$5:$C$3507,$L2406)&amp;"  ⇔  "&amp;INDEX(ポート振替表!$H$5:$H$3507,$L2406)&amp;" "&amp;INDEX(ポート振替表!$I$5:$I$3507,$L2406))</f>
        <v/>
      </c>
      <c r="D2406" s="57" t="s">
        <v>158</v>
      </c>
      <c r="E2406" s="59" t="str">
        <f aca="false">IF(L2406="","",IF(INDEX(ポート振替表!$O$5:$O$3507,$L2406)="","(未設定)",INDEX(ポート振替表!$O$5:$O$3507,$L2406)&amp;""))</f>
        <v/>
      </c>
      <c r="F2406" s="52" t="str">
        <f aca="false">IF(L2406="","",INDEX(ポート振替表!$K$5:$K$3507,$L2406)&amp;" "&amp;INDEX(ポート振替表!$L$5:$L$3507,$L2406)&amp;"  ⇔  "&amp;INDEX(ポート振替表!$H$5:$H$3507,$L2406)&amp;" "&amp;INDEX(ポート振替表!$I$5:$I$3507,$L2406))</f>
        <v/>
      </c>
      <c r="G2406" s="57" t="s">
        <v>158</v>
      </c>
      <c r="H2406" s="32" t="str">
        <f aca="false">IF(L2406="","",INDEX(ポート振替表!$N$5:$N$3507,$L2406)&amp;"")</f>
        <v/>
      </c>
      <c r="I2406" s="32" t="str">
        <f aca="false">IF(L2406="","",INDEX(ポート振替表!$P$5:$P$3507,$L2406)&amp;"")</f>
        <v/>
      </c>
      <c r="J2406" s="60" t="str">
        <f aca="false">IF(L2406="","",INDEX(ポート振替表!$M$5:$M$3507,$L2406)&amp;"")</f>
        <v/>
      </c>
      <c r="K2406" s="52" t="str">
        <f aca="false">IF(L2406="","",E2406&amp;CHAR(10)&amp;INDEX(ポート振替表!$K$5:$K$3507,$L2406)&amp;" "&amp;INDEX(ポート振替表!$L$5:$L$3507,$L2406)&amp;CHAR(10)&amp;"⇔ "&amp;INDEX(ポート振替表!$H$5:$H$3507,$L2406)&amp;" "&amp;INDEX(ポート振替表!$I$5:$I$3507,$L2406))</f>
        <v/>
      </c>
      <c r="L2406" s="47" t="str">
        <f aca="false">IFERROR(MATCH(ROW()-4,ポート振替表!$V$5:$V$3507,0),"")</f>
        <v/>
      </c>
    </row>
    <row r="2407" customFormat="false" ht="16.4" hidden="false" customHeight="false" outlineLevel="0" collapsed="false">
      <c r="A2407" s="32" t="str">
        <f aca="false">IF(L2407="","",ROW()-4)</f>
        <v/>
      </c>
      <c r="B2407" s="58" t="str">
        <f aca="false">IF(L2407="","",IF(INDEX(ポート振替表!$W$5:$W$3507,$L2407)="","(なし)",INDEX(ポート振替表!$W$5:$W$3507,$L2407)&amp;""))</f>
        <v/>
      </c>
      <c r="C2407" s="52" t="str">
        <f aca="false">IF(L2407="","",INDEX(ポート振替表!$B$5:$B$3507,$L2407)&amp;" "&amp;INDEX(ポート振替表!$C$5:$C$3507,$L2407)&amp;"  ⇔  "&amp;INDEX(ポート振替表!$H$5:$H$3507,$L2407)&amp;" "&amp;INDEX(ポート振替表!$I$5:$I$3507,$L2407))</f>
        <v/>
      </c>
      <c r="D2407" s="57" t="s">
        <v>158</v>
      </c>
      <c r="E2407" s="59" t="str">
        <f aca="false">IF(L2407="","",IF(INDEX(ポート振替表!$O$5:$O$3507,$L2407)="","(未設定)",INDEX(ポート振替表!$O$5:$O$3507,$L2407)&amp;""))</f>
        <v/>
      </c>
      <c r="F2407" s="52" t="str">
        <f aca="false">IF(L2407="","",INDEX(ポート振替表!$K$5:$K$3507,$L2407)&amp;" "&amp;INDEX(ポート振替表!$L$5:$L$3507,$L2407)&amp;"  ⇔  "&amp;INDEX(ポート振替表!$H$5:$H$3507,$L2407)&amp;" "&amp;INDEX(ポート振替表!$I$5:$I$3507,$L2407))</f>
        <v/>
      </c>
      <c r="G2407" s="57" t="s">
        <v>158</v>
      </c>
      <c r="H2407" s="32" t="str">
        <f aca="false">IF(L2407="","",INDEX(ポート振替表!$N$5:$N$3507,$L2407)&amp;"")</f>
        <v/>
      </c>
      <c r="I2407" s="32" t="str">
        <f aca="false">IF(L2407="","",INDEX(ポート振替表!$P$5:$P$3507,$L2407)&amp;"")</f>
        <v/>
      </c>
      <c r="J2407" s="60" t="str">
        <f aca="false">IF(L2407="","",INDEX(ポート振替表!$M$5:$M$3507,$L2407)&amp;"")</f>
        <v/>
      </c>
      <c r="K2407" s="52" t="str">
        <f aca="false">IF(L2407="","",E2407&amp;CHAR(10)&amp;INDEX(ポート振替表!$K$5:$K$3507,$L2407)&amp;" "&amp;INDEX(ポート振替表!$L$5:$L$3507,$L2407)&amp;CHAR(10)&amp;"⇔ "&amp;INDEX(ポート振替表!$H$5:$H$3507,$L2407)&amp;" "&amp;INDEX(ポート振替表!$I$5:$I$3507,$L2407))</f>
        <v/>
      </c>
      <c r="L2407" s="47" t="str">
        <f aca="false">IFERROR(MATCH(ROW()-4,ポート振替表!$V$5:$V$3507,0),"")</f>
        <v/>
      </c>
    </row>
    <row r="2408" customFormat="false" ht="16.4" hidden="false" customHeight="false" outlineLevel="0" collapsed="false">
      <c r="A2408" s="32" t="str">
        <f aca="false">IF(L2408="","",ROW()-4)</f>
        <v/>
      </c>
      <c r="B2408" s="58" t="str">
        <f aca="false">IF(L2408="","",IF(INDEX(ポート振替表!$W$5:$W$3507,$L2408)="","(なし)",INDEX(ポート振替表!$W$5:$W$3507,$L2408)&amp;""))</f>
        <v/>
      </c>
      <c r="C2408" s="52" t="str">
        <f aca="false">IF(L2408="","",INDEX(ポート振替表!$B$5:$B$3507,$L2408)&amp;" "&amp;INDEX(ポート振替表!$C$5:$C$3507,$L2408)&amp;"  ⇔  "&amp;INDEX(ポート振替表!$H$5:$H$3507,$L2408)&amp;" "&amp;INDEX(ポート振替表!$I$5:$I$3507,$L2408))</f>
        <v/>
      </c>
      <c r="D2408" s="57" t="s">
        <v>158</v>
      </c>
      <c r="E2408" s="59" t="str">
        <f aca="false">IF(L2408="","",IF(INDEX(ポート振替表!$O$5:$O$3507,$L2408)="","(未設定)",INDEX(ポート振替表!$O$5:$O$3507,$L2408)&amp;""))</f>
        <v/>
      </c>
      <c r="F2408" s="52" t="str">
        <f aca="false">IF(L2408="","",INDEX(ポート振替表!$K$5:$K$3507,$L2408)&amp;" "&amp;INDEX(ポート振替表!$L$5:$L$3507,$L2408)&amp;"  ⇔  "&amp;INDEX(ポート振替表!$H$5:$H$3507,$L2408)&amp;" "&amp;INDEX(ポート振替表!$I$5:$I$3507,$L2408))</f>
        <v/>
      </c>
      <c r="G2408" s="57" t="s">
        <v>158</v>
      </c>
      <c r="H2408" s="32" t="str">
        <f aca="false">IF(L2408="","",INDEX(ポート振替表!$N$5:$N$3507,$L2408)&amp;"")</f>
        <v/>
      </c>
      <c r="I2408" s="32" t="str">
        <f aca="false">IF(L2408="","",INDEX(ポート振替表!$P$5:$P$3507,$L2408)&amp;"")</f>
        <v/>
      </c>
      <c r="J2408" s="60" t="str">
        <f aca="false">IF(L2408="","",INDEX(ポート振替表!$M$5:$M$3507,$L2408)&amp;"")</f>
        <v/>
      </c>
      <c r="K2408" s="52" t="str">
        <f aca="false">IF(L2408="","",E2408&amp;CHAR(10)&amp;INDEX(ポート振替表!$K$5:$K$3507,$L2408)&amp;" "&amp;INDEX(ポート振替表!$L$5:$L$3507,$L2408)&amp;CHAR(10)&amp;"⇔ "&amp;INDEX(ポート振替表!$H$5:$H$3507,$L2408)&amp;" "&amp;INDEX(ポート振替表!$I$5:$I$3507,$L2408))</f>
        <v/>
      </c>
      <c r="L2408" s="47" t="str">
        <f aca="false">IFERROR(MATCH(ROW()-4,ポート振替表!$V$5:$V$3507,0),"")</f>
        <v/>
      </c>
    </row>
    <row r="2409" customFormat="false" ht="16.4" hidden="false" customHeight="false" outlineLevel="0" collapsed="false">
      <c r="A2409" s="32" t="str">
        <f aca="false">IF(L2409="","",ROW()-4)</f>
        <v/>
      </c>
      <c r="B2409" s="58" t="str">
        <f aca="false">IF(L2409="","",IF(INDEX(ポート振替表!$W$5:$W$3507,$L2409)="","(なし)",INDEX(ポート振替表!$W$5:$W$3507,$L2409)&amp;""))</f>
        <v/>
      </c>
      <c r="C2409" s="52" t="str">
        <f aca="false">IF(L2409="","",INDEX(ポート振替表!$B$5:$B$3507,$L2409)&amp;" "&amp;INDEX(ポート振替表!$C$5:$C$3507,$L2409)&amp;"  ⇔  "&amp;INDEX(ポート振替表!$H$5:$H$3507,$L2409)&amp;" "&amp;INDEX(ポート振替表!$I$5:$I$3507,$L2409))</f>
        <v/>
      </c>
      <c r="D2409" s="57" t="s">
        <v>158</v>
      </c>
      <c r="E2409" s="59" t="str">
        <f aca="false">IF(L2409="","",IF(INDEX(ポート振替表!$O$5:$O$3507,$L2409)="","(未設定)",INDEX(ポート振替表!$O$5:$O$3507,$L2409)&amp;""))</f>
        <v/>
      </c>
      <c r="F2409" s="52" t="str">
        <f aca="false">IF(L2409="","",INDEX(ポート振替表!$K$5:$K$3507,$L2409)&amp;" "&amp;INDEX(ポート振替表!$L$5:$L$3507,$L2409)&amp;"  ⇔  "&amp;INDEX(ポート振替表!$H$5:$H$3507,$L2409)&amp;" "&amp;INDEX(ポート振替表!$I$5:$I$3507,$L2409))</f>
        <v/>
      </c>
      <c r="G2409" s="57" t="s">
        <v>158</v>
      </c>
      <c r="H2409" s="32" t="str">
        <f aca="false">IF(L2409="","",INDEX(ポート振替表!$N$5:$N$3507,$L2409)&amp;"")</f>
        <v/>
      </c>
      <c r="I2409" s="32" t="str">
        <f aca="false">IF(L2409="","",INDEX(ポート振替表!$P$5:$P$3507,$L2409)&amp;"")</f>
        <v/>
      </c>
      <c r="J2409" s="60" t="str">
        <f aca="false">IF(L2409="","",INDEX(ポート振替表!$M$5:$M$3507,$L2409)&amp;"")</f>
        <v/>
      </c>
      <c r="K2409" s="52" t="str">
        <f aca="false">IF(L2409="","",E2409&amp;CHAR(10)&amp;INDEX(ポート振替表!$K$5:$K$3507,$L2409)&amp;" "&amp;INDEX(ポート振替表!$L$5:$L$3507,$L2409)&amp;CHAR(10)&amp;"⇔ "&amp;INDEX(ポート振替表!$H$5:$H$3507,$L2409)&amp;" "&amp;INDEX(ポート振替表!$I$5:$I$3507,$L2409))</f>
        <v/>
      </c>
      <c r="L2409" s="47" t="str">
        <f aca="false">IFERROR(MATCH(ROW()-4,ポート振替表!$V$5:$V$3507,0),"")</f>
        <v/>
      </c>
    </row>
    <row r="2410" customFormat="false" ht="16.4" hidden="false" customHeight="false" outlineLevel="0" collapsed="false">
      <c r="A2410" s="32" t="str">
        <f aca="false">IF(L2410="","",ROW()-4)</f>
        <v/>
      </c>
      <c r="B2410" s="58" t="str">
        <f aca="false">IF(L2410="","",IF(INDEX(ポート振替表!$W$5:$W$3507,$L2410)="","(なし)",INDEX(ポート振替表!$W$5:$W$3507,$L2410)&amp;""))</f>
        <v/>
      </c>
      <c r="C2410" s="52" t="str">
        <f aca="false">IF(L2410="","",INDEX(ポート振替表!$B$5:$B$3507,$L2410)&amp;" "&amp;INDEX(ポート振替表!$C$5:$C$3507,$L2410)&amp;"  ⇔  "&amp;INDEX(ポート振替表!$H$5:$H$3507,$L2410)&amp;" "&amp;INDEX(ポート振替表!$I$5:$I$3507,$L2410))</f>
        <v/>
      </c>
      <c r="D2410" s="57" t="s">
        <v>158</v>
      </c>
      <c r="E2410" s="59" t="str">
        <f aca="false">IF(L2410="","",IF(INDEX(ポート振替表!$O$5:$O$3507,$L2410)="","(未設定)",INDEX(ポート振替表!$O$5:$O$3507,$L2410)&amp;""))</f>
        <v/>
      </c>
      <c r="F2410" s="52" t="str">
        <f aca="false">IF(L2410="","",INDEX(ポート振替表!$K$5:$K$3507,$L2410)&amp;" "&amp;INDEX(ポート振替表!$L$5:$L$3507,$L2410)&amp;"  ⇔  "&amp;INDEX(ポート振替表!$H$5:$H$3507,$L2410)&amp;" "&amp;INDEX(ポート振替表!$I$5:$I$3507,$L2410))</f>
        <v/>
      </c>
      <c r="G2410" s="57" t="s">
        <v>158</v>
      </c>
      <c r="H2410" s="32" t="str">
        <f aca="false">IF(L2410="","",INDEX(ポート振替表!$N$5:$N$3507,$L2410)&amp;"")</f>
        <v/>
      </c>
      <c r="I2410" s="32" t="str">
        <f aca="false">IF(L2410="","",INDEX(ポート振替表!$P$5:$P$3507,$L2410)&amp;"")</f>
        <v/>
      </c>
      <c r="J2410" s="60" t="str">
        <f aca="false">IF(L2410="","",INDEX(ポート振替表!$M$5:$M$3507,$L2410)&amp;"")</f>
        <v/>
      </c>
      <c r="K2410" s="52" t="str">
        <f aca="false">IF(L2410="","",E2410&amp;CHAR(10)&amp;INDEX(ポート振替表!$K$5:$K$3507,$L2410)&amp;" "&amp;INDEX(ポート振替表!$L$5:$L$3507,$L2410)&amp;CHAR(10)&amp;"⇔ "&amp;INDEX(ポート振替表!$H$5:$H$3507,$L2410)&amp;" "&amp;INDEX(ポート振替表!$I$5:$I$3507,$L2410))</f>
        <v/>
      </c>
      <c r="L2410" s="47" t="str">
        <f aca="false">IFERROR(MATCH(ROW()-4,ポート振替表!$V$5:$V$3507,0),"")</f>
        <v/>
      </c>
    </row>
    <row r="2411" customFormat="false" ht="16.4" hidden="false" customHeight="false" outlineLevel="0" collapsed="false">
      <c r="A2411" s="32" t="str">
        <f aca="false">IF(L2411="","",ROW()-4)</f>
        <v/>
      </c>
      <c r="B2411" s="58" t="str">
        <f aca="false">IF(L2411="","",IF(INDEX(ポート振替表!$W$5:$W$3507,$L2411)="","(なし)",INDEX(ポート振替表!$W$5:$W$3507,$L2411)&amp;""))</f>
        <v/>
      </c>
      <c r="C2411" s="52" t="str">
        <f aca="false">IF(L2411="","",INDEX(ポート振替表!$B$5:$B$3507,$L2411)&amp;" "&amp;INDEX(ポート振替表!$C$5:$C$3507,$L2411)&amp;"  ⇔  "&amp;INDEX(ポート振替表!$H$5:$H$3507,$L2411)&amp;" "&amp;INDEX(ポート振替表!$I$5:$I$3507,$L2411))</f>
        <v/>
      </c>
      <c r="D2411" s="57" t="s">
        <v>158</v>
      </c>
      <c r="E2411" s="59" t="str">
        <f aca="false">IF(L2411="","",IF(INDEX(ポート振替表!$O$5:$O$3507,$L2411)="","(未設定)",INDEX(ポート振替表!$O$5:$O$3507,$L2411)&amp;""))</f>
        <v/>
      </c>
      <c r="F2411" s="52" t="str">
        <f aca="false">IF(L2411="","",INDEX(ポート振替表!$K$5:$K$3507,$L2411)&amp;" "&amp;INDEX(ポート振替表!$L$5:$L$3507,$L2411)&amp;"  ⇔  "&amp;INDEX(ポート振替表!$H$5:$H$3507,$L2411)&amp;" "&amp;INDEX(ポート振替表!$I$5:$I$3507,$L2411))</f>
        <v/>
      </c>
      <c r="G2411" s="57" t="s">
        <v>158</v>
      </c>
      <c r="H2411" s="32" t="str">
        <f aca="false">IF(L2411="","",INDEX(ポート振替表!$N$5:$N$3507,$L2411)&amp;"")</f>
        <v/>
      </c>
      <c r="I2411" s="32" t="str">
        <f aca="false">IF(L2411="","",INDEX(ポート振替表!$P$5:$P$3507,$L2411)&amp;"")</f>
        <v/>
      </c>
      <c r="J2411" s="60" t="str">
        <f aca="false">IF(L2411="","",INDEX(ポート振替表!$M$5:$M$3507,$L2411)&amp;"")</f>
        <v/>
      </c>
      <c r="K2411" s="52" t="str">
        <f aca="false">IF(L2411="","",E2411&amp;CHAR(10)&amp;INDEX(ポート振替表!$K$5:$K$3507,$L2411)&amp;" "&amp;INDEX(ポート振替表!$L$5:$L$3507,$L2411)&amp;CHAR(10)&amp;"⇔ "&amp;INDEX(ポート振替表!$H$5:$H$3507,$L2411)&amp;" "&amp;INDEX(ポート振替表!$I$5:$I$3507,$L2411))</f>
        <v/>
      </c>
      <c r="L2411" s="47" t="str">
        <f aca="false">IFERROR(MATCH(ROW()-4,ポート振替表!$V$5:$V$3507,0),"")</f>
        <v/>
      </c>
    </row>
    <row r="2412" customFormat="false" ht="16.4" hidden="false" customHeight="false" outlineLevel="0" collapsed="false">
      <c r="A2412" s="32" t="str">
        <f aca="false">IF(L2412="","",ROW()-4)</f>
        <v/>
      </c>
      <c r="B2412" s="58" t="str">
        <f aca="false">IF(L2412="","",IF(INDEX(ポート振替表!$W$5:$W$3507,$L2412)="","(なし)",INDEX(ポート振替表!$W$5:$W$3507,$L2412)&amp;""))</f>
        <v/>
      </c>
      <c r="C2412" s="52" t="str">
        <f aca="false">IF(L2412="","",INDEX(ポート振替表!$B$5:$B$3507,$L2412)&amp;" "&amp;INDEX(ポート振替表!$C$5:$C$3507,$L2412)&amp;"  ⇔  "&amp;INDEX(ポート振替表!$H$5:$H$3507,$L2412)&amp;" "&amp;INDEX(ポート振替表!$I$5:$I$3507,$L2412))</f>
        <v/>
      </c>
      <c r="D2412" s="57" t="s">
        <v>158</v>
      </c>
      <c r="E2412" s="59" t="str">
        <f aca="false">IF(L2412="","",IF(INDEX(ポート振替表!$O$5:$O$3507,$L2412)="","(未設定)",INDEX(ポート振替表!$O$5:$O$3507,$L2412)&amp;""))</f>
        <v/>
      </c>
      <c r="F2412" s="52" t="str">
        <f aca="false">IF(L2412="","",INDEX(ポート振替表!$K$5:$K$3507,$L2412)&amp;" "&amp;INDEX(ポート振替表!$L$5:$L$3507,$L2412)&amp;"  ⇔  "&amp;INDEX(ポート振替表!$H$5:$H$3507,$L2412)&amp;" "&amp;INDEX(ポート振替表!$I$5:$I$3507,$L2412))</f>
        <v/>
      </c>
      <c r="G2412" s="57" t="s">
        <v>158</v>
      </c>
      <c r="H2412" s="32" t="str">
        <f aca="false">IF(L2412="","",INDEX(ポート振替表!$N$5:$N$3507,$L2412)&amp;"")</f>
        <v/>
      </c>
      <c r="I2412" s="32" t="str">
        <f aca="false">IF(L2412="","",INDEX(ポート振替表!$P$5:$P$3507,$L2412)&amp;"")</f>
        <v/>
      </c>
      <c r="J2412" s="60" t="str">
        <f aca="false">IF(L2412="","",INDEX(ポート振替表!$M$5:$M$3507,$L2412)&amp;"")</f>
        <v/>
      </c>
      <c r="K2412" s="52" t="str">
        <f aca="false">IF(L2412="","",E2412&amp;CHAR(10)&amp;INDEX(ポート振替表!$K$5:$K$3507,$L2412)&amp;" "&amp;INDEX(ポート振替表!$L$5:$L$3507,$L2412)&amp;CHAR(10)&amp;"⇔ "&amp;INDEX(ポート振替表!$H$5:$H$3507,$L2412)&amp;" "&amp;INDEX(ポート振替表!$I$5:$I$3507,$L2412))</f>
        <v/>
      </c>
      <c r="L2412" s="47" t="str">
        <f aca="false">IFERROR(MATCH(ROW()-4,ポート振替表!$V$5:$V$3507,0),"")</f>
        <v/>
      </c>
    </row>
    <row r="2413" customFormat="false" ht="16.4" hidden="false" customHeight="false" outlineLevel="0" collapsed="false">
      <c r="A2413" s="32" t="str">
        <f aca="false">IF(L2413="","",ROW()-4)</f>
        <v/>
      </c>
      <c r="B2413" s="58" t="str">
        <f aca="false">IF(L2413="","",IF(INDEX(ポート振替表!$W$5:$W$3507,$L2413)="","(なし)",INDEX(ポート振替表!$W$5:$W$3507,$L2413)&amp;""))</f>
        <v/>
      </c>
      <c r="C2413" s="52" t="str">
        <f aca="false">IF(L2413="","",INDEX(ポート振替表!$B$5:$B$3507,$L2413)&amp;" "&amp;INDEX(ポート振替表!$C$5:$C$3507,$L2413)&amp;"  ⇔  "&amp;INDEX(ポート振替表!$H$5:$H$3507,$L2413)&amp;" "&amp;INDEX(ポート振替表!$I$5:$I$3507,$L2413))</f>
        <v/>
      </c>
      <c r="D2413" s="57" t="s">
        <v>158</v>
      </c>
      <c r="E2413" s="59" t="str">
        <f aca="false">IF(L2413="","",IF(INDEX(ポート振替表!$O$5:$O$3507,$L2413)="","(未設定)",INDEX(ポート振替表!$O$5:$O$3507,$L2413)&amp;""))</f>
        <v/>
      </c>
      <c r="F2413" s="52" t="str">
        <f aca="false">IF(L2413="","",INDEX(ポート振替表!$K$5:$K$3507,$L2413)&amp;" "&amp;INDEX(ポート振替表!$L$5:$L$3507,$L2413)&amp;"  ⇔  "&amp;INDEX(ポート振替表!$H$5:$H$3507,$L2413)&amp;" "&amp;INDEX(ポート振替表!$I$5:$I$3507,$L2413))</f>
        <v/>
      </c>
      <c r="G2413" s="57" t="s">
        <v>158</v>
      </c>
      <c r="H2413" s="32" t="str">
        <f aca="false">IF(L2413="","",INDEX(ポート振替表!$N$5:$N$3507,$L2413)&amp;"")</f>
        <v/>
      </c>
      <c r="I2413" s="32" t="str">
        <f aca="false">IF(L2413="","",INDEX(ポート振替表!$P$5:$P$3507,$L2413)&amp;"")</f>
        <v/>
      </c>
      <c r="J2413" s="60" t="str">
        <f aca="false">IF(L2413="","",INDEX(ポート振替表!$M$5:$M$3507,$L2413)&amp;"")</f>
        <v/>
      </c>
      <c r="K2413" s="52" t="str">
        <f aca="false">IF(L2413="","",E2413&amp;CHAR(10)&amp;INDEX(ポート振替表!$K$5:$K$3507,$L2413)&amp;" "&amp;INDEX(ポート振替表!$L$5:$L$3507,$L2413)&amp;CHAR(10)&amp;"⇔ "&amp;INDEX(ポート振替表!$H$5:$H$3507,$L2413)&amp;" "&amp;INDEX(ポート振替表!$I$5:$I$3507,$L2413))</f>
        <v/>
      </c>
      <c r="L2413" s="47" t="str">
        <f aca="false">IFERROR(MATCH(ROW()-4,ポート振替表!$V$5:$V$3507,0),"")</f>
        <v/>
      </c>
    </row>
    <row r="2414" customFormat="false" ht="16.4" hidden="false" customHeight="false" outlineLevel="0" collapsed="false">
      <c r="A2414" s="32" t="str">
        <f aca="false">IF(L2414="","",ROW()-4)</f>
        <v/>
      </c>
      <c r="B2414" s="58" t="str">
        <f aca="false">IF(L2414="","",IF(INDEX(ポート振替表!$W$5:$W$3507,$L2414)="","(なし)",INDEX(ポート振替表!$W$5:$W$3507,$L2414)&amp;""))</f>
        <v/>
      </c>
      <c r="C2414" s="52" t="str">
        <f aca="false">IF(L2414="","",INDEX(ポート振替表!$B$5:$B$3507,$L2414)&amp;" "&amp;INDEX(ポート振替表!$C$5:$C$3507,$L2414)&amp;"  ⇔  "&amp;INDEX(ポート振替表!$H$5:$H$3507,$L2414)&amp;" "&amp;INDEX(ポート振替表!$I$5:$I$3507,$L2414))</f>
        <v/>
      </c>
      <c r="D2414" s="57" t="s">
        <v>158</v>
      </c>
      <c r="E2414" s="59" t="str">
        <f aca="false">IF(L2414="","",IF(INDEX(ポート振替表!$O$5:$O$3507,$L2414)="","(未設定)",INDEX(ポート振替表!$O$5:$O$3507,$L2414)&amp;""))</f>
        <v/>
      </c>
      <c r="F2414" s="52" t="str">
        <f aca="false">IF(L2414="","",INDEX(ポート振替表!$K$5:$K$3507,$L2414)&amp;" "&amp;INDEX(ポート振替表!$L$5:$L$3507,$L2414)&amp;"  ⇔  "&amp;INDEX(ポート振替表!$H$5:$H$3507,$L2414)&amp;" "&amp;INDEX(ポート振替表!$I$5:$I$3507,$L2414))</f>
        <v/>
      </c>
      <c r="G2414" s="57" t="s">
        <v>158</v>
      </c>
      <c r="H2414" s="32" t="str">
        <f aca="false">IF(L2414="","",INDEX(ポート振替表!$N$5:$N$3507,$L2414)&amp;"")</f>
        <v/>
      </c>
      <c r="I2414" s="32" t="str">
        <f aca="false">IF(L2414="","",INDEX(ポート振替表!$P$5:$P$3507,$L2414)&amp;"")</f>
        <v/>
      </c>
      <c r="J2414" s="60" t="str">
        <f aca="false">IF(L2414="","",INDEX(ポート振替表!$M$5:$M$3507,$L2414)&amp;"")</f>
        <v/>
      </c>
      <c r="K2414" s="52" t="str">
        <f aca="false">IF(L2414="","",E2414&amp;CHAR(10)&amp;INDEX(ポート振替表!$K$5:$K$3507,$L2414)&amp;" "&amp;INDEX(ポート振替表!$L$5:$L$3507,$L2414)&amp;CHAR(10)&amp;"⇔ "&amp;INDEX(ポート振替表!$H$5:$H$3507,$L2414)&amp;" "&amp;INDEX(ポート振替表!$I$5:$I$3507,$L2414))</f>
        <v/>
      </c>
      <c r="L2414" s="47" t="str">
        <f aca="false">IFERROR(MATCH(ROW()-4,ポート振替表!$V$5:$V$3507,0),"")</f>
        <v/>
      </c>
    </row>
    <row r="2415" customFormat="false" ht="16.4" hidden="false" customHeight="false" outlineLevel="0" collapsed="false">
      <c r="A2415" s="32" t="str">
        <f aca="false">IF(L2415="","",ROW()-4)</f>
        <v/>
      </c>
      <c r="B2415" s="58" t="str">
        <f aca="false">IF(L2415="","",IF(INDEX(ポート振替表!$W$5:$W$3507,$L2415)="","(なし)",INDEX(ポート振替表!$W$5:$W$3507,$L2415)&amp;""))</f>
        <v/>
      </c>
      <c r="C2415" s="52" t="str">
        <f aca="false">IF(L2415="","",INDEX(ポート振替表!$B$5:$B$3507,$L2415)&amp;" "&amp;INDEX(ポート振替表!$C$5:$C$3507,$L2415)&amp;"  ⇔  "&amp;INDEX(ポート振替表!$H$5:$H$3507,$L2415)&amp;" "&amp;INDEX(ポート振替表!$I$5:$I$3507,$L2415))</f>
        <v/>
      </c>
      <c r="D2415" s="57" t="s">
        <v>158</v>
      </c>
      <c r="E2415" s="59" t="str">
        <f aca="false">IF(L2415="","",IF(INDEX(ポート振替表!$O$5:$O$3507,$L2415)="","(未設定)",INDEX(ポート振替表!$O$5:$O$3507,$L2415)&amp;""))</f>
        <v/>
      </c>
      <c r="F2415" s="52" t="str">
        <f aca="false">IF(L2415="","",INDEX(ポート振替表!$K$5:$K$3507,$L2415)&amp;" "&amp;INDEX(ポート振替表!$L$5:$L$3507,$L2415)&amp;"  ⇔  "&amp;INDEX(ポート振替表!$H$5:$H$3507,$L2415)&amp;" "&amp;INDEX(ポート振替表!$I$5:$I$3507,$L2415))</f>
        <v/>
      </c>
      <c r="G2415" s="57" t="s">
        <v>158</v>
      </c>
      <c r="H2415" s="32" t="str">
        <f aca="false">IF(L2415="","",INDEX(ポート振替表!$N$5:$N$3507,$L2415)&amp;"")</f>
        <v/>
      </c>
      <c r="I2415" s="32" t="str">
        <f aca="false">IF(L2415="","",INDEX(ポート振替表!$P$5:$P$3507,$L2415)&amp;"")</f>
        <v/>
      </c>
      <c r="J2415" s="60" t="str">
        <f aca="false">IF(L2415="","",INDEX(ポート振替表!$M$5:$M$3507,$L2415)&amp;"")</f>
        <v/>
      </c>
      <c r="K2415" s="52" t="str">
        <f aca="false">IF(L2415="","",E2415&amp;CHAR(10)&amp;INDEX(ポート振替表!$K$5:$K$3507,$L2415)&amp;" "&amp;INDEX(ポート振替表!$L$5:$L$3507,$L2415)&amp;CHAR(10)&amp;"⇔ "&amp;INDEX(ポート振替表!$H$5:$H$3507,$L2415)&amp;" "&amp;INDEX(ポート振替表!$I$5:$I$3507,$L2415))</f>
        <v/>
      </c>
      <c r="L2415" s="47" t="str">
        <f aca="false">IFERROR(MATCH(ROW()-4,ポート振替表!$V$5:$V$3507,0),"")</f>
        <v/>
      </c>
    </row>
    <row r="2416" customFormat="false" ht="16.4" hidden="false" customHeight="false" outlineLevel="0" collapsed="false">
      <c r="A2416" s="32" t="str">
        <f aca="false">IF(L2416="","",ROW()-4)</f>
        <v/>
      </c>
      <c r="B2416" s="58" t="str">
        <f aca="false">IF(L2416="","",IF(INDEX(ポート振替表!$W$5:$W$3507,$L2416)="","(なし)",INDEX(ポート振替表!$W$5:$W$3507,$L2416)&amp;""))</f>
        <v/>
      </c>
      <c r="C2416" s="52" t="str">
        <f aca="false">IF(L2416="","",INDEX(ポート振替表!$B$5:$B$3507,$L2416)&amp;" "&amp;INDEX(ポート振替表!$C$5:$C$3507,$L2416)&amp;"  ⇔  "&amp;INDEX(ポート振替表!$H$5:$H$3507,$L2416)&amp;" "&amp;INDEX(ポート振替表!$I$5:$I$3507,$L2416))</f>
        <v/>
      </c>
      <c r="D2416" s="57" t="s">
        <v>158</v>
      </c>
      <c r="E2416" s="59" t="str">
        <f aca="false">IF(L2416="","",IF(INDEX(ポート振替表!$O$5:$O$3507,$L2416)="","(未設定)",INDEX(ポート振替表!$O$5:$O$3507,$L2416)&amp;""))</f>
        <v/>
      </c>
      <c r="F2416" s="52" t="str">
        <f aca="false">IF(L2416="","",INDEX(ポート振替表!$K$5:$K$3507,$L2416)&amp;" "&amp;INDEX(ポート振替表!$L$5:$L$3507,$L2416)&amp;"  ⇔  "&amp;INDEX(ポート振替表!$H$5:$H$3507,$L2416)&amp;" "&amp;INDEX(ポート振替表!$I$5:$I$3507,$L2416))</f>
        <v/>
      </c>
      <c r="G2416" s="57" t="s">
        <v>158</v>
      </c>
      <c r="H2416" s="32" t="str">
        <f aca="false">IF(L2416="","",INDEX(ポート振替表!$N$5:$N$3507,$L2416)&amp;"")</f>
        <v/>
      </c>
      <c r="I2416" s="32" t="str">
        <f aca="false">IF(L2416="","",INDEX(ポート振替表!$P$5:$P$3507,$L2416)&amp;"")</f>
        <v/>
      </c>
      <c r="J2416" s="60" t="str">
        <f aca="false">IF(L2416="","",INDEX(ポート振替表!$M$5:$M$3507,$L2416)&amp;"")</f>
        <v/>
      </c>
      <c r="K2416" s="52" t="str">
        <f aca="false">IF(L2416="","",E2416&amp;CHAR(10)&amp;INDEX(ポート振替表!$K$5:$K$3507,$L2416)&amp;" "&amp;INDEX(ポート振替表!$L$5:$L$3507,$L2416)&amp;CHAR(10)&amp;"⇔ "&amp;INDEX(ポート振替表!$H$5:$H$3507,$L2416)&amp;" "&amp;INDEX(ポート振替表!$I$5:$I$3507,$L2416))</f>
        <v/>
      </c>
      <c r="L2416" s="47" t="str">
        <f aca="false">IFERROR(MATCH(ROW()-4,ポート振替表!$V$5:$V$3507,0),"")</f>
        <v/>
      </c>
    </row>
    <row r="2417" customFormat="false" ht="16.4" hidden="false" customHeight="false" outlineLevel="0" collapsed="false">
      <c r="A2417" s="32" t="str">
        <f aca="false">IF(L2417="","",ROW()-4)</f>
        <v/>
      </c>
      <c r="B2417" s="58" t="str">
        <f aca="false">IF(L2417="","",IF(INDEX(ポート振替表!$W$5:$W$3507,$L2417)="","(なし)",INDEX(ポート振替表!$W$5:$W$3507,$L2417)&amp;""))</f>
        <v/>
      </c>
      <c r="C2417" s="52" t="str">
        <f aca="false">IF(L2417="","",INDEX(ポート振替表!$B$5:$B$3507,$L2417)&amp;" "&amp;INDEX(ポート振替表!$C$5:$C$3507,$L2417)&amp;"  ⇔  "&amp;INDEX(ポート振替表!$H$5:$H$3507,$L2417)&amp;" "&amp;INDEX(ポート振替表!$I$5:$I$3507,$L2417))</f>
        <v/>
      </c>
      <c r="D2417" s="57" t="s">
        <v>158</v>
      </c>
      <c r="E2417" s="59" t="str">
        <f aca="false">IF(L2417="","",IF(INDEX(ポート振替表!$O$5:$O$3507,$L2417)="","(未設定)",INDEX(ポート振替表!$O$5:$O$3507,$L2417)&amp;""))</f>
        <v/>
      </c>
      <c r="F2417" s="52" t="str">
        <f aca="false">IF(L2417="","",INDEX(ポート振替表!$K$5:$K$3507,$L2417)&amp;" "&amp;INDEX(ポート振替表!$L$5:$L$3507,$L2417)&amp;"  ⇔  "&amp;INDEX(ポート振替表!$H$5:$H$3507,$L2417)&amp;" "&amp;INDEX(ポート振替表!$I$5:$I$3507,$L2417))</f>
        <v/>
      </c>
      <c r="G2417" s="57" t="s">
        <v>158</v>
      </c>
      <c r="H2417" s="32" t="str">
        <f aca="false">IF(L2417="","",INDEX(ポート振替表!$N$5:$N$3507,$L2417)&amp;"")</f>
        <v/>
      </c>
      <c r="I2417" s="32" t="str">
        <f aca="false">IF(L2417="","",INDEX(ポート振替表!$P$5:$P$3507,$L2417)&amp;"")</f>
        <v/>
      </c>
      <c r="J2417" s="60" t="str">
        <f aca="false">IF(L2417="","",INDEX(ポート振替表!$M$5:$M$3507,$L2417)&amp;"")</f>
        <v/>
      </c>
      <c r="K2417" s="52" t="str">
        <f aca="false">IF(L2417="","",E2417&amp;CHAR(10)&amp;INDEX(ポート振替表!$K$5:$K$3507,$L2417)&amp;" "&amp;INDEX(ポート振替表!$L$5:$L$3507,$L2417)&amp;CHAR(10)&amp;"⇔ "&amp;INDEX(ポート振替表!$H$5:$H$3507,$L2417)&amp;" "&amp;INDEX(ポート振替表!$I$5:$I$3507,$L2417))</f>
        <v/>
      </c>
      <c r="L2417" s="47" t="str">
        <f aca="false">IFERROR(MATCH(ROW()-4,ポート振替表!$V$5:$V$3507,0),"")</f>
        <v/>
      </c>
    </row>
    <row r="2418" customFormat="false" ht="16.4" hidden="false" customHeight="false" outlineLevel="0" collapsed="false">
      <c r="A2418" s="32" t="str">
        <f aca="false">IF(L2418="","",ROW()-4)</f>
        <v/>
      </c>
      <c r="B2418" s="58" t="str">
        <f aca="false">IF(L2418="","",IF(INDEX(ポート振替表!$W$5:$W$3507,$L2418)="","(なし)",INDEX(ポート振替表!$W$5:$W$3507,$L2418)&amp;""))</f>
        <v/>
      </c>
      <c r="C2418" s="52" t="str">
        <f aca="false">IF(L2418="","",INDEX(ポート振替表!$B$5:$B$3507,$L2418)&amp;" "&amp;INDEX(ポート振替表!$C$5:$C$3507,$L2418)&amp;"  ⇔  "&amp;INDEX(ポート振替表!$H$5:$H$3507,$L2418)&amp;" "&amp;INDEX(ポート振替表!$I$5:$I$3507,$L2418))</f>
        <v/>
      </c>
      <c r="D2418" s="57" t="s">
        <v>158</v>
      </c>
      <c r="E2418" s="59" t="str">
        <f aca="false">IF(L2418="","",IF(INDEX(ポート振替表!$O$5:$O$3507,$L2418)="","(未設定)",INDEX(ポート振替表!$O$5:$O$3507,$L2418)&amp;""))</f>
        <v/>
      </c>
      <c r="F2418" s="52" t="str">
        <f aca="false">IF(L2418="","",INDEX(ポート振替表!$K$5:$K$3507,$L2418)&amp;" "&amp;INDEX(ポート振替表!$L$5:$L$3507,$L2418)&amp;"  ⇔  "&amp;INDEX(ポート振替表!$H$5:$H$3507,$L2418)&amp;" "&amp;INDEX(ポート振替表!$I$5:$I$3507,$L2418))</f>
        <v/>
      </c>
      <c r="G2418" s="57" t="s">
        <v>158</v>
      </c>
      <c r="H2418" s="32" t="str">
        <f aca="false">IF(L2418="","",INDEX(ポート振替表!$N$5:$N$3507,$L2418)&amp;"")</f>
        <v/>
      </c>
      <c r="I2418" s="32" t="str">
        <f aca="false">IF(L2418="","",INDEX(ポート振替表!$P$5:$P$3507,$L2418)&amp;"")</f>
        <v/>
      </c>
      <c r="J2418" s="60" t="str">
        <f aca="false">IF(L2418="","",INDEX(ポート振替表!$M$5:$M$3507,$L2418)&amp;"")</f>
        <v/>
      </c>
      <c r="K2418" s="52" t="str">
        <f aca="false">IF(L2418="","",E2418&amp;CHAR(10)&amp;INDEX(ポート振替表!$K$5:$K$3507,$L2418)&amp;" "&amp;INDEX(ポート振替表!$L$5:$L$3507,$L2418)&amp;CHAR(10)&amp;"⇔ "&amp;INDEX(ポート振替表!$H$5:$H$3507,$L2418)&amp;" "&amp;INDEX(ポート振替表!$I$5:$I$3507,$L2418))</f>
        <v/>
      </c>
      <c r="L2418" s="47" t="str">
        <f aca="false">IFERROR(MATCH(ROW()-4,ポート振替表!$V$5:$V$3507,0),"")</f>
        <v/>
      </c>
    </row>
    <row r="2419" customFormat="false" ht="16.4" hidden="false" customHeight="false" outlineLevel="0" collapsed="false">
      <c r="A2419" s="32" t="str">
        <f aca="false">IF(L2419="","",ROW()-4)</f>
        <v/>
      </c>
      <c r="B2419" s="58" t="str">
        <f aca="false">IF(L2419="","",IF(INDEX(ポート振替表!$W$5:$W$3507,$L2419)="","(なし)",INDEX(ポート振替表!$W$5:$W$3507,$L2419)&amp;""))</f>
        <v/>
      </c>
      <c r="C2419" s="52" t="str">
        <f aca="false">IF(L2419="","",INDEX(ポート振替表!$B$5:$B$3507,$L2419)&amp;" "&amp;INDEX(ポート振替表!$C$5:$C$3507,$L2419)&amp;"  ⇔  "&amp;INDEX(ポート振替表!$H$5:$H$3507,$L2419)&amp;" "&amp;INDEX(ポート振替表!$I$5:$I$3507,$L2419))</f>
        <v/>
      </c>
      <c r="D2419" s="57" t="s">
        <v>158</v>
      </c>
      <c r="E2419" s="59" t="str">
        <f aca="false">IF(L2419="","",IF(INDEX(ポート振替表!$O$5:$O$3507,$L2419)="","(未設定)",INDEX(ポート振替表!$O$5:$O$3507,$L2419)&amp;""))</f>
        <v/>
      </c>
      <c r="F2419" s="52" t="str">
        <f aca="false">IF(L2419="","",INDEX(ポート振替表!$K$5:$K$3507,$L2419)&amp;" "&amp;INDEX(ポート振替表!$L$5:$L$3507,$L2419)&amp;"  ⇔  "&amp;INDEX(ポート振替表!$H$5:$H$3507,$L2419)&amp;" "&amp;INDEX(ポート振替表!$I$5:$I$3507,$L2419))</f>
        <v/>
      </c>
      <c r="G2419" s="57" t="s">
        <v>158</v>
      </c>
      <c r="H2419" s="32" t="str">
        <f aca="false">IF(L2419="","",INDEX(ポート振替表!$N$5:$N$3507,$L2419)&amp;"")</f>
        <v/>
      </c>
      <c r="I2419" s="32" t="str">
        <f aca="false">IF(L2419="","",INDEX(ポート振替表!$P$5:$P$3507,$L2419)&amp;"")</f>
        <v/>
      </c>
      <c r="J2419" s="60" t="str">
        <f aca="false">IF(L2419="","",INDEX(ポート振替表!$M$5:$M$3507,$L2419)&amp;"")</f>
        <v/>
      </c>
      <c r="K2419" s="52" t="str">
        <f aca="false">IF(L2419="","",E2419&amp;CHAR(10)&amp;INDEX(ポート振替表!$K$5:$K$3507,$L2419)&amp;" "&amp;INDEX(ポート振替表!$L$5:$L$3507,$L2419)&amp;CHAR(10)&amp;"⇔ "&amp;INDEX(ポート振替表!$H$5:$H$3507,$L2419)&amp;" "&amp;INDEX(ポート振替表!$I$5:$I$3507,$L2419))</f>
        <v/>
      </c>
      <c r="L2419" s="47" t="str">
        <f aca="false">IFERROR(MATCH(ROW()-4,ポート振替表!$V$5:$V$3507,0),"")</f>
        <v/>
      </c>
    </row>
    <row r="2420" customFormat="false" ht="16.4" hidden="false" customHeight="false" outlineLevel="0" collapsed="false">
      <c r="A2420" s="32" t="str">
        <f aca="false">IF(L2420="","",ROW()-4)</f>
        <v/>
      </c>
      <c r="B2420" s="58" t="str">
        <f aca="false">IF(L2420="","",IF(INDEX(ポート振替表!$W$5:$W$3507,$L2420)="","(なし)",INDEX(ポート振替表!$W$5:$W$3507,$L2420)&amp;""))</f>
        <v/>
      </c>
      <c r="C2420" s="52" t="str">
        <f aca="false">IF(L2420="","",INDEX(ポート振替表!$B$5:$B$3507,$L2420)&amp;" "&amp;INDEX(ポート振替表!$C$5:$C$3507,$L2420)&amp;"  ⇔  "&amp;INDEX(ポート振替表!$H$5:$H$3507,$L2420)&amp;" "&amp;INDEX(ポート振替表!$I$5:$I$3507,$L2420))</f>
        <v/>
      </c>
      <c r="D2420" s="57" t="s">
        <v>158</v>
      </c>
      <c r="E2420" s="59" t="str">
        <f aca="false">IF(L2420="","",IF(INDEX(ポート振替表!$O$5:$O$3507,$L2420)="","(未設定)",INDEX(ポート振替表!$O$5:$O$3507,$L2420)&amp;""))</f>
        <v/>
      </c>
      <c r="F2420" s="52" t="str">
        <f aca="false">IF(L2420="","",INDEX(ポート振替表!$K$5:$K$3507,$L2420)&amp;" "&amp;INDEX(ポート振替表!$L$5:$L$3507,$L2420)&amp;"  ⇔  "&amp;INDEX(ポート振替表!$H$5:$H$3507,$L2420)&amp;" "&amp;INDEX(ポート振替表!$I$5:$I$3507,$L2420))</f>
        <v/>
      </c>
      <c r="G2420" s="57" t="s">
        <v>158</v>
      </c>
      <c r="H2420" s="32" t="str">
        <f aca="false">IF(L2420="","",INDEX(ポート振替表!$N$5:$N$3507,$L2420)&amp;"")</f>
        <v/>
      </c>
      <c r="I2420" s="32" t="str">
        <f aca="false">IF(L2420="","",INDEX(ポート振替表!$P$5:$P$3507,$L2420)&amp;"")</f>
        <v/>
      </c>
      <c r="J2420" s="60" t="str">
        <f aca="false">IF(L2420="","",INDEX(ポート振替表!$M$5:$M$3507,$L2420)&amp;"")</f>
        <v/>
      </c>
      <c r="K2420" s="52" t="str">
        <f aca="false">IF(L2420="","",E2420&amp;CHAR(10)&amp;INDEX(ポート振替表!$K$5:$K$3507,$L2420)&amp;" "&amp;INDEX(ポート振替表!$L$5:$L$3507,$L2420)&amp;CHAR(10)&amp;"⇔ "&amp;INDEX(ポート振替表!$H$5:$H$3507,$L2420)&amp;" "&amp;INDEX(ポート振替表!$I$5:$I$3507,$L2420))</f>
        <v/>
      </c>
      <c r="L2420" s="47" t="str">
        <f aca="false">IFERROR(MATCH(ROW()-4,ポート振替表!$V$5:$V$3507,0),"")</f>
        <v/>
      </c>
    </row>
    <row r="2421" customFormat="false" ht="16.4" hidden="false" customHeight="false" outlineLevel="0" collapsed="false">
      <c r="A2421" s="32" t="str">
        <f aca="false">IF(L2421="","",ROW()-4)</f>
        <v/>
      </c>
      <c r="B2421" s="58" t="str">
        <f aca="false">IF(L2421="","",IF(INDEX(ポート振替表!$W$5:$W$3507,$L2421)="","(なし)",INDEX(ポート振替表!$W$5:$W$3507,$L2421)&amp;""))</f>
        <v/>
      </c>
      <c r="C2421" s="52" t="str">
        <f aca="false">IF(L2421="","",INDEX(ポート振替表!$B$5:$B$3507,$L2421)&amp;" "&amp;INDEX(ポート振替表!$C$5:$C$3507,$L2421)&amp;"  ⇔  "&amp;INDEX(ポート振替表!$H$5:$H$3507,$L2421)&amp;" "&amp;INDEX(ポート振替表!$I$5:$I$3507,$L2421))</f>
        <v/>
      </c>
      <c r="D2421" s="57" t="s">
        <v>158</v>
      </c>
      <c r="E2421" s="59" t="str">
        <f aca="false">IF(L2421="","",IF(INDEX(ポート振替表!$O$5:$O$3507,$L2421)="","(未設定)",INDEX(ポート振替表!$O$5:$O$3507,$L2421)&amp;""))</f>
        <v/>
      </c>
      <c r="F2421" s="52" t="str">
        <f aca="false">IF(L2421="","",INDEX(ポート振替表!$K$5:$K$3507,$L2421)&amp;" "&amp;INDEX(ポート振替表!$L$5:$L$3507,$L2421)&amp;"  ⇔  "&amp;INDEX(ポート振替表!$H$5:$H$3507,$L2421)&amp;" "&amp;INDEX(ポート振替表!$I$5:$I$3507,$L2421))</f>
        <v/>
      </c>
      <c r="G2421" s="57" t="s">
        <v>158</v>
      </c>
      <c r="H2421" s="32" t="str">
        <f aca="false">IF(L2421="","",INDEX(ポート振替表!$N$5:$N$3507,$L2421)&amp;"")</f>
        <v/>
      </c>
      <c r="I2421" s="32" t="str">
        <f aca="false">IF(L2421="","",INDEX(ポート振替表!$P$5:$P$3507,$L2421)&amp;"")</f>
        <v/>
      </c>
      <c r="J2421" s="60" t="str">
        <f aca="false">IF(L2421="","",INDEX(ポート振替表!$M$5:$M$3507,$L2421)&amp;"")</f>
        <v/>
      </c>
      <c r="K2421" s="52" t="str">
        <f aca="false">IF(L2421="","",E2421&amp;CHAR(10)&amp;INDEX(ポート振替表!$K$5:$K$3507,$L2421)&amp;" "&amp;INDEX(ポート振替表!$L$5:$L$3507,$L2421)&amp;CHAR(10)&amp;"⇔ "&amp;INDEX(ポート振替表!$H$5:$H$3507,$L2421)&amp;" "&amp;INDEX(ポート振替表!$I$5:$I$3507,$L2421))</f>
        <v/>
      </c>
      <c r="L2421" s="47" t="str">
        <f aca="false">IFERROR(MATCH(ROW()-4,ポート振替表!$V$5:$V$3507,0),"")</f>
        <v/>
      </c>
    </row>
    <row r="2422" customFormat="false" ht="16.4" hidden="false" customHeight="false" outlineLevel="0" collapsed="false">
      <c r="A2422" s="32" t="str">
        <f aca="false">IF(L2422="","",ROW()-4)</f>
        <v/>
      </c>
      <c r="B2422" s="58" t="str">
        <f aca="false">IF(L2422="","",IF(INDEX(ポート振替表!$W$5:$W$3507,$L2422)="","(なし)",INDEX(ポート振替表!$W$5:$W$3507,$L2422)&amp;""))</f>
        <v/>
      </c>
      <c r="C2422" s="52" t="str">
        <f aca="false">IF(L2422="","",INDEX(ポート振替表!$B$5:$B$3507,$L2422)&amp;" "&amp;INDEX(ポート振替表!$C$5:$C$3507,$L2422)&amp;"  ⇔  "&amp;INDEX(ポート振替表!$H$5:$H$3507,$L2422)&amp;" "&amp;INDEX(ポート振替表!$I$5:$I$3507,$L2422))</f>
        <v/>
      </c>
      <c r="D2422" s="57" t="s">
        <v>158</v>
      </c>
      <c r="E2422" s="59" t="str">
        <f aca="false">IF(L2422="","",IF(INDEX(ポート振替表!$O$5:$O$3507,$L2422)="","(未設定)",INDEX(ポート振替表!$O$5:$O$3507,$L2422)&amp;""))</f>
        <v/>
      </c>
      <c r="F2422" s="52" t="str">
        <f aca="false">IF(L2422="","",INDEX(ポート振替表!$K$5:$K$3507,$L2422)&amp;" "&amp;INDEX(ポート振替表!$L$5:$L$3507,$L2422)&amp;"  ⇔  "&amp;INDEX(ポート振替表!$H$5:$H$3507,$L2422)&amp;" "&amp;INDEX(ポート振替表!$I$5:$I$3507,$L2422))</f>
        <v/>
      </c>
      <c r="G2422" s="57" t="s">
        <v>158</v>
      </c>
      <c r="H2422" s="32" t="str">
        <f aca="false">IF(L2422="","",INDEX(ポート振替表!$N$5:$N$3507,$L2422)&amp;"")</f>
        <v/>
      </c>
      <c r="I2422" s="32" t="str">
        <f aca="false">IF(L2422="","",INDEX(ポート振替表!$P$5:$P$3507,$L2422)&amp;"")</f>
        <v/>
      </c>
      <c r="J2422" s="60" t="str">
        <f aca="false">IF(L2422="","",INDEX(ポート振替表!$M$5:$M$3507,$L2422)&amp;"")</f>
        <v/>
      </c>
      <c r="K2422" s="52" t="str">
        <f aca="false">IF(L2422="","",E2422&amp;CHAR(10)&amp;INDEX(ポート振替表!$K$5:$K$3507,$L2422)&amp;" "&amp;INDEX(ポート振替表!$L$5:$L$3507,$L2422)&amp;CHAR(10)&amp;"⇔ "&amp;INDEX(ポート振替表!$H$5:$H$3507,$L2422)&amp;" "&amp;INDEX(ポート振替表!$I$5:$I$3507,$L2422))</f>
        <v/>
      </c>
      <c r="L2422" s="47" t="str">
        <f aca="false">IFERROR(MATCH(ROW()-4,ポート振替表!$V$5:$V$3507,0),"")</f>
        <v/>
      </c>
    </row>
    <row r="2423" customFormat="false" ht="16.4" hidden="false" customHeight="false" outlineLevel="0" collapsed="false">
      <c r="A2423" s="32" t="str">
        <f aca="false">IF(L2423="","",ROW()-4)</f>
        <v/>
      </c>
      <c r="B2423" s="58" t="str">
        <f aca="false">IF(L2423="","",IF(INDEX(ポート振替表!$W$5:$W$3507,$L2423)="","(なし)",INDEX(ポート振替表!$W$5:$W$3507,$L2423)&amp;""))</f>
        <v/>
      </c>
      <c r="C2423" s="52" t="str">
        <f aca="false">IF(L2423="","",INDEX(ポート振替表!$B$5:$B$3507,$L2423)&amp;" "&amp;INDEX(ポート振替表!$C$5:$C$3507,$L2423)&amp;"  ⇔  "&amp;INDEX(ポート振替表!$H$5:$H$3507,$L2423)&amp;" "&amp;INDEX(ポート振替表!$I$5:$I$3507,$L2423))</f>
        <v/>
      </c>
      <c r="D2423" s="57" t="s">
        <v>158</v>
      </c>
      <c r="E2423" s="59" t="str">
        <f aca="false">IF(L2423="","",IF(INDEX(ポート振替表!$O$5:$O$3507,$L2423)="","(未設定)",INDEX(ポート振替表!$O$5:$O$3507,$L2423)&amp;""))</f>
        <v/>
      </c>
      <c r="F2423" s="52" t="str">
        <f aca="false">IF(L2423="","",INDEX(ポート振替表!$K$5:$K$3507,$L2423)&amp;" "&amp;INDEX(ポート振替表!$L$5:$L$3507,$L2423)&amp;"  ⇔  "&amp;INDEX(ポート振替表!$H$5:$H$3507,$L2423)&amp;" "&amp;INDEX(ポート振替表!$I$5:$I$3507,$L2423))</f>
        <v/>
      </c>
      <c r="G2423" s="57" t="s">
        <v>158</v>
      </c>
      <c r="H2423" s="32" t="str">
        <f aca="false">IF(L2423="","",INDEX(ポート振替表!$N$5:$N$3507,$L2423)&amp;"")</f>
        <v/>
      </c>
      <c r="I2423" s="32" t="str">
        <f aca="false">IF(L2423="","",INDEX(ポート振替表!$P$5:$P$3507,$L2423)&amp;"")</f>
        <v/>
      </c>
      <c r="J2423" s="60" t="str">
        <f aca="false">IF(L2423="","",INDEX(ポート振替表!$M$5:$M$3507,$L2423)&amp;"")</f>
        <v/>
      </c>
      <c r="K2423" s="52" t="str">
        <f aca="false">IF(L2423="","",E2423&amp;CHAR(10)&amp;INDEX(ポート振替表!$K$5:$K$3507,$L2423)&amp;" "&amp;INDEX(ポート振替表!$L$5:$L$3507,$L2423)&amp;CHAR(10)&amp;"⇔ "&amp;INDEX(ポート振替表!$H$5:$H$3507,$L2423)&amp;" "&amp;INDEX(ポート振替表!$I$5:$I$3507,$L2423))</f>
        <v/>
      </c>
      <c r="L2423" s="47" t="str">
        <f aca="false">IFERROR(MATCH(ROW()-4,ポート振替表!$V$5:$V$3507,0),"")</f>
        <v/>
      </c>
    </row>
    <row r="2424" customFormat="false" ht="16.4" hidden="false" customHeight="false" outlineLevel="0" collapsed="false">
      <c r="A2424" s="32" t="str">
        <f aca="false">IF(L2424="","",ROW()-4)</f>
        <v/>
      </c>
      <c r="B2424" s="58" t="str">
        <f aca="false">IF(L2424="","",IF(INDEX(ポート振替表!$W$5:$W$3507,$L2424)="","(なし)",INDEX(ポート振替表!$W$5:$W$3507,$L2424)&amp;""))</f>
        <v/>
      </c>
      <c r="C2424" s="52" t="str">
        <f aca="false">IF(L2424="","",INDEX(ポート振替表!$B$5:$B$3507,$L2424)&amp;" "&amp;INDEX(ポート振替表!$C$5:$C$3507,$L2424)&amp;"  ⇔  "&amp;INDEX(ポート振替表!$H$5:$H$3507,$L2424)&amp;" "&amp;INDEX(ポート振替表!$I$5:$I$3507,$L2424))</f>
        <v/>
      </c>
      <c r="D2424" s="57" t="s">
        <v>158</v>
      </c>
      <c r="E2424" s="59" t="str">
        <f aca="false">IF(L2424="","",IF(INDEX(ポート振替表!$O$5:$O$3507,$L2424)="","(未設定)",INDEX(ポート振替表!$O$5:$O$3507,$L2424)&amp;""))</f>
        <v/>
      </c>
      <c r="F2424" s="52" t="str">
        <f aca="false">IF(L2424="","",INDEX(ポート振替表!$K$5:$K$3507,$L2424)&amp;" "&amp;INDEX(ポート振替表!$L$5:$L$3507,$L2424)&amp;"  ⇔  "&amp;INDEX(ポート振替表!$H$5:$H$3507,$L2424)&amp;" "&amp;INDEX(ポート振替表!$I$5:$I$3507,$L2424))</f>
        <v/>
      </c>
      <c r="G2424" s="57" t="s">
        <v>158</v>
      </c>
      <c r="H2424" s="32" t="str">
        <f aca="false">IF(L2424="","",INDEX(ポート振替表!$N$5:$N$3507,$L2424)&amp;"")</f>
        <v/>
      </c>
      <c r="I2424" s="32" t="str">
        <f aca="false">IF(L2424="","",INDEX(ポート振替表!$P$5:$P$3507,$L2424)&amp;"")</f>
        <v/>
      </c>
      <c r="J2424" s="60" t="str">
        <f aca="false">IF(L2424="","",INDEX(ポート振替表!$M$5:$M$3507,$L2424)&amp;"")</f>
        <v/>
      </c>
      <c r="K2424" s="52" t="str">
        <f aca="false">IF(L2424="","",E2424&amp;CHAR(10)&amp;INDEX(ポート振替表!$K$5:$K$3507,$L2424)&amp;" "&amp;INDEX(ポート振替表!$L$5:$L$3507,$L2424)&amp;CHAR(10)&amp;"⇔ "&amp;INDEX(ポート振替表!$H$5:$H$3507,$L2424)&amp;" "&amp;INDEX(ポート振替表!$I$5:$I$3507,$L2424))</f>
        <v/>
      </c>
      <c r="L2424" s="47" t="str">
        <f aca="false">IFERROR(MATCH(ROW()-4,ポート振替表!$V$5:$V$3507,0),"")</f>
        <v/>
      </c>
    </row>
    <row r="2425" customFormat="false" ht="16.4" hidden="false" customHeight="false" outlineLevel="0" collapsed="false">
      <c r="A2425" s="32" t="str">
        <f aca="false">IF(L2425="","",ROW()-4)</f>
        <v/>
      </c>
      <c r="B2425" s="58" t="str">
        <f aca="false">IF(L2425="","",IF(INDEX(ポート振替表!$W$5:$W$3507,$L2425)="","(なし)",INDEX(ポート振替表!$W$5:$W$3507,$L2425)&amp;""))</f>
        <v/>
      </c>
      <c r="C2425" s="52" t="str">
        <f aca="false">IF(L2425="","",INDEX(ポート振替表!$B$5:$B$3507,$L2425)&amp;" "&amp;INDEX(ポート振替表!$C$5:$C$3507,$L2425)&amp;"  ⇔  "&amp;INDEX(ポート振替表!$H$5:$H$3507,$L2425)&amp;" "&amp;INDEX(ポート振替表!$I$5:$I$3507,$L2425))</f>
        <v/>
      </c>
      <c r="D2425" s="57" t="s">
        <v>158</v>
      </c>
      <c r="E2425" s="59" t="str">
        <f aca="false">IF(L2425="","",IF(INDEX(ポート振替表!$O$5:$O$3507,$L2425)="","(未設定)",INDEX(ポート振替表!$O$5:$O$3507,$L2425)&amp;""))</f>
        <v/>
      </c>
      <c r="F2425" s="52" t="str">
        <f aca="false">IF(L2425="","",INDEX(ポート振替表!$K$5:$K$3507,$L2425)&amp;" "&amp;INDEX(ポート振替表!$L$5:$L$3507,$L2425)&amp;"  ⇔  "&amp;INDEX(ポート振替表!$H$5:$H$3507,$L2425)&amp;" "&amp;INDEX(ポート振替表!$I$5:$I$3507,$L2425))</f>
        <v/>
      </c>
      <c r="G2425" s="57" t="s">
        <v>158</v>
      </c>
      <c r="H2425" s="32" t="str">
        <f aca="false">IF(L2425="","",INDEX(ポート振替表!$N$5:$N$3507,$L2425)&amp;"")</f>
        <v/>
      </c>
      <c r="I2425" s="32" t="str">
        <f aca="false">IF(L2425="","",INDEX(ポート振替表!$P$5:$P$3507,$L2425)&amp;"")</f>
        <v/>
      </c>
      <c r="J2425" s="60" t="str">
        <f aca="false">IF(L2425="","",INDEX(ポート振替表!$M$5:$M$3507,$L2425)&amp;"")</f>
        <v/>
      </c>
      <c r="K2425" s="52" t="str">
        <f aca="false">IF(L2425="","",E2425&amp;CHAR(10)&amp;INDEX(ポート振替表!$K$5:$K$3507,$L2425)&amp;" "&amp;INDEX(ポート振替表!$L$5:$L$3507,$L2425)&amp;CHAR(10)&amp;"⇔ "&amp;INDEX(ポート振替表!$H$5:$H$3507,$L2425)&amp;" "&amp;INDEX(ポート振替表!$I$5:$I$3507,$L2425))</f>
        <v/>
      </c>
      <c r="L2425" s="47" t="str">
        <f aca="false">IFERROR(MATCH(ROW()-4,ポート振替表!$V$5:$V$3507,0),"")</f>
        <v/>
      </c>
    </row>
    <row r="2426" customFormat="false" ht="16.4" hidden="false" customHeight="false" outlineLevel="0" collapsed="false">
      <c r="A2426" s="32" t="str">
        <f aca="false">IF(L2426="","",ROW()-4)</f>
        <v/>
      </c>
      <c r="B2426" s="58" t="str">
        <f aca="false">IF(L2426="","",IF(INDEX(ポート振替表!$W$5:$W$3507,$L2426)="","(なし)",INDEX(ポート振替表!$W$5:$W$3507,$L2426)&amp;""))</f>
        <v/>
      </c>
      <c r="C2426" s="52" t="str">
        <f aca="false">IF(L2426="","",INDEX(ポート振替表!$B$5:$B$3507,$L2426)&amp;" "&amp;INDEX(ポート振替表!$C$5:$C$3507,$L2426)&amp;"  ⇔  "&amp;INDEX(ポート振替表!$H$5:$H$3507,$L2426)&amp;" "&amp;INDEX(ポート振替表!$I$5:$I$3507,$L2426))</f>
        <v/>
      </c>
      <c r="D2426" s="57" t="s">
        <v>158</v>
      </c>
      <c r="E2426" s="59" t="str">
        <f aca="false">IF(L2426="","",IF(INDEX(ポート振替表!$O$5:$O$3507,$L2426)="","(未設定)",INDEX(ポート振替表!$O$5:$O$3507,$L2426)&amp;""))</f>
        <v/>
      </c>
      <c r="F2426" s="52" t="str">
        <f aca="false">IF(L2426="","",INDEX(ポート振替表!$K$5:$K$3507,$L2426)&amp;" "&amp;INDEX(ポート振替表!$L$5:$L$3507,$L2426)&amp;"  ⇔  "&amp;INDEX(ポート振替表!$H$5:$H$3507,$L2426)&amp;" "&amp;INDEX(ポート振替表!$I$5:$I$3507,$L2426))</f>
        <v/>
      </c>
      <c r="G2426" s="57" t="s">
        <v>158</v>
      </c>
      <c r="H2426" s="32" t="str">
        <f aca="false">IF(L2426="","",INDEX(ポート振替表!$N$5:$N$3507,$L2426)&amp;"")</f>
        <v/>
      </c>
      <c r="I2426" s="32" t="str">
        <f aca="false">IF(L2426="","",INDEX(ポート振替表!$P$5:$P$3507,$L2426)&amp;"")</f>
        <v/>
      </c>
      <c r="J2426" s="60" t="str">
        <f aca="false">IF(L2426="","",INDEX(ポート振替表!$M$5:$M$3507,$L2426)&amp;"")</f>
        <v/>
      </c>
      <c r="K2426" s="52" t="str">
        <f aca="false">IF(L2426="","",E2426&amp;CHAR(10)&amp;INDEX(ポート振替表!$K$5:$K$3507,$L2426)&amp;" "&amp;INDEX(ポート振替表!$L$5:$L$3507,$L2426)&amp;CHAR(10)&amp;"⇔ "&amp;INDEX(ポート振替表!$H$5:$H$3507,$L2426)&amp;" "&amp;INDEX(ポート振替表!$I$5:$I$3507,$L2426))</f>
        <v/>
      </c>
      <c r="L2426" s="47" t="str">
        <f aca="false">IFERROR(MATCH(ROW()-4,ポート振替表!$V$5:$V$3507,0),"")</f>
        <v/>
      </c>
    </row>
    <row r="2427" customFormat="false" ht="16.4" hidden="false" customHeight="false" outlineLevel="0" collapsed="false">
      <c r="A2427" s="32" t="str">
        <f aca="false">IF(L2427="","",ROW()-4)</f>
        <v/>
      </c>
      <c r="B2427" s="58" t="str">
        <f aca="false">IF(L2427="","",IF(INDEX(ポート振替表!$W$5:$W$3507,$L2427)="","(なし)",INDEX(ポート振替表!$W$5:$W$3507,$L2427)&amp;""))</f>
        <v/>
      </c>
      <c r="C2427" s="52" t="str">
        <f aca="false">IF(L2427="","",INDEX(ポート振替表!$B$5:$B$3507,$L2427)&amp;" "&amp;INDEX(ポート振替表!$C$5:$C$3507,$L2427)&amp;"  ⇔  "&amp;INDEX(ポート振替表!$H$5:$H$3507,$L2427)&amp;" "&amp;INDEX(ポート振替表!$I$5:$I$3507,$L2427))</f>
        <v/>
      </c>
      <c r="D2427" s="57" t="s">
        <v>158</v>
      </c>
      <c r="E2427" s="59" t="str">
        <f aca="false">IF(L2427="","",IF(INDEX(ポート振替表!$O$5:$O$3507,$L2427)="","(未設定)",INDEX(ポート振替表!$O$5:$O$3507,$L2427)&amp;""))</f>
        <v/>
      </c>
      <c r="F2427" s="52" t="str">
        <f aca="false">IF(L2427="","",INDEX(ポート振替表!$K$5:$K$3507,$L2427)&amp;" "&amp;INDEX(ポート振替表!$L$5:$L$3507,$L2427)&amp;"  ⇔  "&amp;INDEX(ポート振替表!$H$5:$H$3507,$L2427)&amp;" "&amp;INDEX(ポート振替表!$I$5:$I$3507,$L2427))</f>
        <v/>
      </c>
      <c r="G2427" s="57" t="s">
        <v>158</v>
      </c>
      <c r="H2427" s="32" t="str">
        <f aca="false">IF(L2427="","",INDEX(ポート振替表!$N$5:$N$3507,$L2427)&amp;"")</f>
        <v/>
      </c>
      <c r="I2427" s="32" t="str">
        <f aca="false">IF(L2427="","",INDEX(ポート振替表!$P$5:$P$3507,$L2427)&amp;"")</f>
        <v/>
      </c>
      <c r="J2427" s="60" t="str">
        <f aca="false">IF(L2427="","",INDEX(ポート振替表!$M$5:$M$3507,$L2427)&amp;"")</f>
        <v/>
      </c>
      <c r="K2427" s="52" t="str">
        <f aca="false">IF(L2427="","",E2427&amp;CHAR(10)&amp;INDEX(ポート振替表!$K$5:$K$3507,$L2427)&amp;" "&amp;INDEX(ポート振替表!$L$5:$L$3507,$L2427)&amp;CHAR(10)&amp;"⇔ "&amp;INDEX(ポート振替表!$H$5:$H$3507,$L2427)&amp;" "&amp;INDEX(ポート振替表!$I$5:$I$3507,$L2427))</f>
        <v/>
      </c>
      <c r="L2427" s="47" t="str">
        <f aca="false">IFERROR(MATCH(ROW()-4,ポート振替表!$V$5:$V$3507,0),"")</f>
        <v/>
      </c>
    </row>
    <row r="2428" customFormat="false" ht="16.4" hidden="false" customHeight="false" outlineLevel="0" collapsed="false">
      <c r="A2428" s="32" t="str">
        <f aca="false">IF(L2428="","",ROW()-4)</f>
        <v/>
      </c>
      <c r="B2428" s="58" t="str">
        <f aca="false">IF(L2428="","",IF(INDEX(ポート振替表!$W$5:$W$3507,$L2428)="","(なし)",INDEX(ポート振替表!$W$5:$W$3507,$L2428)&amp;""))</f>
        <v/>
      </c>
      <c r="C2428" s="52" t="str">
        <f aca="false">IF(L2428="","",INDEX(ポート振替表!$B$5:$B$3507,$L2428)&amp;" "&amp;INDEX(ポート振替表!$C$5:$C$3507,$L2428)&amp;"  ⇔  "&amp;INDEX(ポート振替表!$H$5:$H$3507,$L2428)&amp;" "&amp;INDEX(ポート振替表!$I$5:$I$3507,$L2428))</f>
        <v/>
      </c>
      <c r="D2428" s="57" t="s">
        <v>158</v>
      </c>
      <c r="E2428" s="59" t="str">
        <f aca="false">IF(L2428="","",IF(INDEX(ポート振替表!$O$5:$O$3507,$L2428)="","(未設定)",INDEX(ポート振替表!$O$5:$O$3507,$L2428)&amp;""))</f>
        <v/>
      </c>
      <c r="F2428" s="52" t="str">
        <f aca="false">IF(L2428="","",INDEX(ポート振替表!$K$5:$K$3507,$L2428)&amp;" "&amp;INDEX(ポート振替表!$L$5:$L$3507,$L2428)&amp;"  ⇔  "&amp;INDEX(ポート振替表!$H$5:$H$3507,$L2428)&amp;" "&amp;INDEX(ポート振替表!$I$5:$I$3507,$L2428))</f>
        <v/>
      </c>
      <c r="G2428" s="57" t="s">
        <v>158</v>
      </c>
      <c r="H2428" s="32" t="str">
        <f aca="false">IF(L2428="","",INDEX(ポート振替表!$N$5:$N$3507,$L2428)&amp;"")</f>
        <v/>
      </c>
      <c r="I2428" s="32" t="str">
        <f aca="false">IF(L2428="","",INDEX(ポート振替表!$P$5:$P$3507,$L2428)&amp;"")</f>
        <v/>
      </c>
      <c r="J2428" s="60" t="str">
        <f aca="false">IF(L2428="","",INDEX(ポート振替表!$M$5:$M$3507,$L2428)&amp;"")</f>
        <v/>
      </c>
      <c r="K2428" s="52" t="str">
        <f aca="false">IF(L2428="","",E2428&amp;CHAR(10)&amp;INDEX(ポート振替表!$K$5:$K$3507,$L2428)&amp;" "&amp;INDEX(ポート振替表!$L$5:$L$3507,$L2428)&amp;CHAR(10)&amp;"⇔ "&amp;INDEX(ポート振替表!$H$5:$H$3507,$L2428)&amp;" "&amp;INDEX(ポート振替表!$I$5:$I$3507,$L2428))</f>
        <v/>
      </c>
      <c r="L2428" s="47" t="str">
        <f aca="false">IFERROR(MATCH(ROW()-4,ポート振替表!$V$5:$V$3507,0),"")</f>
        <v/>
      </c>
    </row>
    <row r="2429" customFormat="false" ht="16.4" hidden="false" customHeight="false" outlineLevel="0" collapsed="false">
      <c r="A2429" s="32" t="str">
        <f aca="false">IF(L2429="","",ROW()-4)</f>
        <v/>
      </c>
      <c r="B2429" s="58" t="str">
        <f aca="false">IF(L2429="","",IF(INDEX(ポート振替表!$W$5:$W$3507,$L2429)="","(なし)",INDEX(ポート振替表!$W$5:$W$3507,$L2429)&amp;""))</f>
        <v/>
      </c>
      <c r="C2429" s="52" t="str">
        <f aca="false">IF(L2429="","",INDEX(ポート振替表!$B$5:$B$3507,$L2429)&amp;" "&amp;INDEX(ポート振替表!$C$5:$C$3507,$L2429)&amp;"  ⇔  "&amp;INDEX(ポート振替表!$H$5:$H$3507,$L2429)&amp;" "&amp;INDEX(ポート振替表!$I$5:$I$3507,$L2429))</f>
        <v/>
      </c>
      <c r="D2429" s="57" t="s">
        <v>158</v>
      </c>
      <c r="E2429" s="59" t="str">
        <f aca="false">IF(L2429="","",IF(INDEX(ポート振替表!$O$5:$O$3507,$L2429)="","(未設定)",INDEX(ポート振替表!$O$5:$O$3507,$L2429)&amp;""))</f>
        <v/>
      </c>
      <c r="F2429" s="52" t="str">
        <f aca="false">IF(L2429="","",INDEX(ポート振替表!$K$5:$K$3507,$L2429)&amp;" "&amp;INDEX(ポート振替表!$L$5:$L$3507,$L2429)&amp;"  ⇔  "&amp;INDEX(ポート振替表!$H$5:$H$3507,$L2429)&amp;" "&amp;INDEX(ポート振替表!$I$5:$I$3507,$L2429))</f>
        <v/>
      </c>
      <c r="G2429" s="57" t="s">
        <v>158</v>
      </c>
      <c r="H2429" s="32" t="str">
        <f aca="false">IF(L2429="","",INDEX(ポート振替表!$N$5:$N$3507,$L2429)&amp;"")</f>
        <v/>
      </c>
      <c r="I2429" s="32" t="str">
        <f aca="false">IF(L2429="","",INDEX(ポート振替表!$P$5:$P$3507,$L2429)&amp;"")</f>
        <v/>
      </c>
      <c r="J2429" s="60" t="str">
        <f aca="false">IF(L2429="","",INDEX(ポート振替表!$M$5:$M$3507,$L2429)&amp;"")</f>
        <v/>
      </c>
      <c r="K2429" s="52" t="str">
        <f aca="false">IF(L2429="","",E2429&amp;CHAR(10)&amp;INDEX(ポート振替表!$K$5:$K$3507,$L2429)&amp;" "&amp;INDEX(ポート振替表!$L$5:$L$3507,$L2429)&amp;CHAR(10)&amp;"⇔ "&amp;INDEX(ポート振替表!$H$5:$H$3507,$L2429)&amp;" "&amp;INDEX(ポート振替表!$I$5:$I$3507,$L2429))</f>
        <v/>
      </c>
      <c r="L2429" s="47" t="str">
        <f aca="false">IFERROR(MATCH(ROW()-4,ポート振替表!$V$5:$V$3507,0),"")</f>
        <v/>
      </c>
    </row>
    <row r="2430" customFormat="false" ht="16.4" hidden="false" customHeight="false" outlineLevel="0" collapsed="false">
      <c r="A2430" s="32" t="str">
        <f aca="false">IF(L2430="","",ROW()-4)</f>
        <v/>
      </c>
      <c r="B2430" s="58" t="str">
        <f aca="false">IF(L2430="","",IF(INDEX(ポート振替表!$W$5:$W$3507,$L2430)="","(なし)",INDEX(ポート振替表!$W$5:$W$3507,$L2430)&amp;""))</f>
        <v/>
      </c>
      <c r="C2430" s="52" t="str">
        <f aca="false">IF(L2430="","",INDEX(ポート振替表!$B$5:$B$3507,$L2430)&amp;" "&amp;INDEX(ポート振替表!$C$5:$C$3507,$L2430)&amp;"  ⇔  "&amp;INDEX(ポート振替表!$H$5:$H$3507,$L2430)&amp;" "&amp;INDEX(ポート振替表!$I$5:$I$3507,$L2430))</f>
        <v/>
      </c>
      <c r="D2430" s="57" t="s">
        <v>158</v>
      </c>
      <c r="E2430" s="59" t="str">
        <f aca="false">IF(L2430="","",IF(INDEX(ポート振替表!$O$5:$O$3507,$L2430)="","(未設定)",INDEX(ポート振替表!$O$5:$O$3507,$L2430)&amp;""))</f>
        <v/>
      </c>
      <c r="F2430" s="52" t="str">
        <f aca="false">IF(L2430="","",INDEX(ポート振替表!$K$5:$K$3507,$L2430)&amp;" "&amp;INDEX(ポート振替表!$L$5:$L$3507,$L2430)&amp;"  ⇔  "&amp;INDEX(ポート振替表!$H$5:$H$3507,$L2430)&amp;" "&amp;INDEX(ポート振替表!$I$5:$I$3507,$L2430))</f>
        <v/>
      </c>
      <c r="G2430" s="57" t="s">
        <v>158</v>
      </c>
      <c r="H2430" s="32" t="str">
        <f aca="false">IF(L2430="","",INDEX(ポート振替表!$N$5:$N$3507,$L2430)&amp;"")</f>
        <v/>
      </c>
      <c r="I2430" s="32" t="str">
        <f aca="false">IF(L2430="","",INDEX(ポート振替表!$P$5:$P$3507,$L2430)&amp;"")</f>
        <v/>
      </c>
      <c r="J2430" s="60" t="str">
        <f aca="false">IF(L2430="","",INDEX(ポート振替表!$M$5:$M$3507,$L2430)&amp;"")</f>
        <v/>
      </c>
      <c r="K2430" s="52" t="str">
        <f aca="false">IF(L2430="","",E2430&amp;CHAR(10)&amp;INDEX(ポート振替表!$K$5:$K$3507,$L2430)&amp;" "&amp;INDEX(ポート振替表!$L$5:$L$3507,$L2430)&amp;CHAR(10)&amp;"⇔ "&amp;INDEX(ポート振替表!$H$5:$H$3507,$L2430)&amp;" "&amp;INDEX(ポート振替表!$I$5:$I$3507,$L2430))</f>
        <v/>
      </c>
      <c r="L2430" s="47" t="str">
        <f aca="false">IFERROR(MATCH(ROW()-4,ポート振替表!$V$5:$V$3507,0),"")</f>
        <v/>
      </c>
    </row>
    <row r="2431" customFormat="false" ht="16.4" hidden="false" customHeight="false" outlineLevel="0" collapsed="false">
      <c r="A2431" s="32" t="str">
        <f aca="false">IF(L2431="","",ROW()-4)</f>
        <v/>
      </c>
      <c r="B2431" s="58" t="str">
        <f aca="false">IF(L2431="","",IF(INDEX(ポート振替表!$W$5:$W$3507,$L2431)="","(なし)",INDEX(ポート振替表!$W$5:$W$3507,$L2431)&amp;""))</f>
        <v/>
      </c>
      <c r="C2431" s="52" t="str">
        <f aca="false">IF(L2431="","",INDEX(ポート振替表!$B$5:$B$3507,$L2431)&amp;" "&amp;INDEX(ポート振替表!$C$5:$C$3507,$L2431)&amp;"  ⇔  "&amp;INDEX(ポート振替表!$H$5:$H$3507,$L2431)&amp;" "&amp;INDEX(ポート振替表!$I$5:$I$3507,$L2431))</f>
        <v/>
      </c>
      <c r="D2431" s="57" t="s">
        <v>158</v>
      </c>
      <c r="E2431" s="59" t="str">
        <f aca="false">IF(L2431="","",IF(INDEX(ポート振替表!$O$5:$O$3507,$L2431)="","(未設定)",INDEX(ポート振替表!$O$5:$O$3507,$L2431)&amp;""))</f>
        <v/>
      </c>
      <c r="F2431" s="52" t="str">
        <f aca="false">IF(L2431="","",INDEX(ポート振替表!$K$5:$K$3507,$L2431)&amp;" "&amp;INDEX(ポート振替表!$L$5:$L$3507,$L2431)&amp;"  ⇔  "&amp;INDEX(ポート振替表!$H$5:$H$3507,$L2431)&amp;" "&amp;INDEX(ポート振替表!$I$5:$I$3507,$L2431))</f>
        <v/>
      </c>
      <c r="G2431" s="57" t="s">
        <v>158</v>
      </c>
      <c r="H2431" s="32" t="str">
        <f aca="false">IF(L2431="","",INDEX(ポート振替表!$N$5:$N$3507,$L2431)&amp;"")</f>
        <v/>
      </c>
      <c r="I2431" s="32" t="str">
        <f aca="false">IF(L2431="","",INDEX(ポート振替表!$P$5:$P$3507,$L2431)&amp;"")</f>
        <v/>
      </c>
      <c r="J2431" s="60" t="str">
        <f aca="false">IF(L2431="","",INDEX(ポート振替表!$M$5:$M$3507,$L2431)&amp;"")</f>
        <v/>
      </c>
      <c r="K2431" s="52" t="str">
        <f aca="false">IF(L2431="","",E2431&amp;CHAR(10)&amp;INDEX(ポート振替表!$K$5:$K$3507,$L2431)&amp;" "&amp;INDEX(ポート振替表!$L$5:$L$3507,$L2431)&amp;CHAR(10)&amp;"⇔ "&amp;INDEX(ポート振替表!$H$5:$H$3507,$L2431)&amp;" "&amp;INDEX(ポート振替表!$I$5:$I$3507,$L2431))</f>
        <v/>
      </c>
      <c r="L2431" s="47" t="str">
        <f aca="false">IFERROR(MATCH(ROW()-4,ポート振替表!$V$5:$V$3507,0),"")</f>
        <v/>
      </c>
    </row>
    <row r="2432" customFormat="false" ht="16.4" hidden="false" customHeight="false" outlineLevel="0" collapsed="false">
      <c r="A2432" s="32" t="str">
        <f aca="false">IF(L2432="","",ROW()-4)</f>
        <v/>
      </c>
      <c r="B2432" s="58" t="str">
        <f aca="false">IF(L2432="","",IF(INDEX(ポート振替表!$W$5:$W$3507,$L2432)="","(なし)",INDEX(ポート振替表!$W$5:$W$3507,$L2432)&amp;""))</f>
        <v/>
      </c>
      <c r="C2432" s="52" t="str">
        <f aca="false">IF(L2432="","",INDEX(ポート振替表!$B$5:$B$3507,$L2432)&amp;" "&amp;INDEX(ポート振替表!$C$5:$C$3507,$L2432)&amp;"  ⇔  "&amp;INDEX(ポート振替表!$H$5:$H$3507,$L2432)&amp;" "&amp;INDEX(ポート振替表!$I$5:$I$3507,$L2432))</f>
        <v/>
      </c>
      <c r="D2432" s="57" t="s">
        <v>158</v>
      </c>
      <c r="E2432" s="59" t="str">
        <f aca="false">IF(L2432="","",IF(INDEX(ポート振替表!$O$5:$O$3507,$L2432)="","(未設定)",INDEX(ポート振替表!$O$5:$O$3507,$L2432)&amp;""))</f>
        <v/>
      </c>
      <c r="F2432" s="52" t="str">
        <f aca="false">IF(L2432="","",INDEX(ポート振替表!$K$5:$K$3507,$L2432)&amp;" "&amp;INDEX(ポート振替表!$L$5:$L$3507,$L2432)&amp;"  ⇔  "&amp;INDEX(ポート振替表!$H$5:$H$3507,$L2432)&amp;" "&amp;INDEX(ポート振替表!$I$5:$I$3507,$L2432))</f>
        <v/>
      </c>
      <c r="G2432" s="57" t="s">
        <v>158</v>
      </c>
      <c r="H2432" s="32" t="str">
        <f aca="false">IF(L2432="","",INDEX(ポート振替表!$N$5:$N$3507,$L2432)&amp;"")</f>
        <v/>
      </c>
      <c r="I2432" s="32" t="str">
        <f aca="false">IF(L2432="","",INDEX(ポート振替表!$P$5:$P$3507,$L2432)&amp;"")</f>
        <v/>
      </c>
      <c r="J2432" s="60" t="str">
        <f aca="false">IF(L2432="","",INDEX(ポート振替表!$M$5:$M$3507,$L2432)&amp;"")</f>
        <v/>
      </c>
      <c r="K2432" s="52" t="str">
        <f aca="false">IF(L2432="","",E2432&amp;CHAR(10)&amp;INDEX(ポート振替表!$K$5:$K$3507,$L2432)&amp;" "&amp;INDEX(ポート振替表!$L$5:$L$3507,$L2432)&amp;CHAR(10)&amp;"⇔ "&amp;INDEX(ポート振替表!$H$5:$H$3507,$L2432)&amp;" "&amp;INDEX(ポート振替表!$I$5:$I$3507,$L2432))</f>
        <v/>
      </c>
      <c r="L2432" s="47" t="str">
        <f aca="false">IFERROR(MATCH(ROW()-4,ポート振替表!$V$5:$V$3507,0),"")</f>
        <v/>
      </c>
    </row>
    <row r="2433" customFormat="false" ht="16.4" hidden="false" customHeight="false" outlineLevel="0" collapsed="false">
      <c r="A2433" s="32" t="str">
        <f aca="false">IF(L2433="","",ROW()-4)</f>
        <v/>
      </c>
      <c r="B2433" s="58" t="str">
        <f aca="false">IF(L2433="","",IF(INDEX(ポート振替表!$W$5:$W$3507,$L2433)="","(なし)",INDEX(ポート振替表!$W$5:$W$3507,$L2433)&amp;""))</f>
        <v/>
      </c>
      <c r="C2433" s="52" t="str">
        <f aca="false">IF(L2433="","",INDEX(ポート振替表!$B$5:$B$3507,$L2433)&amp;" "&amp;INDEX(ポート振替表!$C$5:$C$3507,$L2433)&amp;"  ⇔  "&amp;INDEX(ポート振替表!$H$5:$H$3507,$L2433)&amp;" "&amp;INDEX(ポート振替表!$I$5:$I$3507,$L2433))</f>
        <v/>
      </c>
      <c r="D2433" s="57" t="s">
        <v>158</v>
      </c>
      <c r="E2433" s="59" t="str">
        <f aca="false">IF(L2433="","",IF(INDEX(ポート振替表!$O$5:$O$3507,$L2433)="","(未設定)",INDEX(ポート振替表!$O$5:$O$3507,$L2433)&amp;""))</f>
        <v/>
      </c>
      <c r="F2433" s="52" t="str">
        <f aca="false">IF(L2433="","",INDEX(ポート振替表!$K$5:$K$3507,$L2433)&amp;" "&amp;INDEX(ポート振替表!$L$5:$L$3507,$L2433)&amp;"  ⇔  "&amp;INDEX(ポート振替表!$H$5:$H$3507,$L2433)&amp;" "&amp;INDEX(ポート振替表!$I$5:$I$3507,$L2433))</f>
        <v/>
      </c>
      <c r="G2433" s="57" t="s">
        <v>158</v>
      </c>
      <c r="H2433" s="32" t="str">
        <f aca="false">IF(L2433="","",INDEX(ポート振替表!$N$5:$N$3507,$L2433)&amp;"")</f>
        <v/>
      </c>
      <c r="I2433" s="32" t="str">
        <f aca="false">IF(L2433="","",INDEX(ポート振替表!$P$5:$P$3507,$L2433)&amp;"")</f>
        <v/>
      </c>
      <c r="J2433" s="60" t="str">
        <f aca="false">IF(L2433="","",INDEX(ポート振替表!$M$5:$M$3507,$L2433)&amp;"")</f>
        <v/>
      </c>
      <c r="K2433" s="52" t="str">
        <f aca="false">IF(L2433="","",E2433&amp;CHAR(10)&amp;INDEX(ポート振替表!$K$5:$K$3507,$L2433)&amp;" "&amp;INDEX(ポート振替表!$L$5:$L$3507,$L2433)&amp;CHAR(10)&amp;"⇔ "&amp;INDEX(ポート振替表!$H$5:$H$3507,$L2433)&amp;" "&amp;INDEX(ポート振替表!$I$5:$I$3507,$L2433))</f>
        <v/>
      </c>
      <c r="L2433" s="47" t="str">
        <f aca="false">IFERROR(MATCH(ROW()-4,ポート振替表!$V$5:$V$3507,0),"")</f>
        <v/>
      </c>
    </row>
    <row r="2434" customFormat="false" ht="16.4" hidden="false" customHeight="false" outlineLevel="0" collapsed="false">
      <c r="A2434" s="32" t="str">
        <f aca="false">IF(L2434="","",ROW()-4)</f>
        <v/>
      </c>
      <c r="B2434" s="58" t="str">
        <f aca="false">IF(L2434="","",IF(INDEX(ポート振替表!$W$5:$W$3507,$L2434)="","(なし)",INDEX(ポート振替表!$W$5:$W$3507,$L2434)&amp;""))</f>
        <v/>
      </c>
      <c r="C2434" s="52" t="str">
        <f aca="false">IF(L2434="","",INDEX(ポート振替表!$B$5:$B$3507,$L2434)&amp;" "&amp;INDEX(ポート振替表!$C$5:$C$3507,$L2434)&amp;"  ⇔  "&amp;INDEX(ポート振替表!$H$5:$H$3507,$L2434)&amp;" "&amp;INDEX(ポート振替表!$I$5:$I$3507,$L2434))</f>
        <v/>
      </c>
      <c r="D2434" s="57" t="s">
        <v>158</v>
      </c>
      <c r="E2434" s="59" t="str">
        <f aca="false">IF(L2434="","",IF(INDEX(ポート振替表!$O$5:$O$3507,$L2434)="","(未設定)",INDEX(ポート振替表!$O$5:$O$3507,$L2434)&amp;""))</f>
        <v/>
      </c>
      <c r="F2434" s="52" t="str">
        <f aca="false">IF(L2434="","",INDEX(ポート振替表!$K$5:$K$3507,$L2434)&amp;" "&amp;INDEX(ポート振替表!$L$5:$L$3507,$L2434)&amp;"  ⇔  "&amp;INDEX(ポート振替表!$H$5:$H$3507,$L2434)&amp;" "&amp;INDEX(ポート振替表!$I$5:$I$3507,$L2434))</f>
        <v/>
      </c>
      <c r="G2434" s="57" t="s">
        <v>158</v>
      </c>
      <c r="H2434" s="32" t="str">
        <f aca="false">IF(L2434="","",INDEX(ポート振替表!$N$5:$N$3507,$L2434)&amp;"")</f>
        <v/>
      </c>
      <c r="I2434" s="32" t="str">
        <f aca="false">IF(L2434="","",INDEX(ポート振替表!$P$5:$P$3507,$L2434)&amp;"")</f>
        <v/>
      </c>
      <c r="J2434" s="60" t="str">
        <f aca="false">IF(L2434="","",INDEX(ポート振替表!$M$5:$M$3507,$L2434)&amp;"")</f>
        <v/>
      </c>
      <c r="K2434" s="52" t="str">
        <f aca="false">IF(L2434="","",E2434&amp;CHAR(10)&amp;INDEX(ポート振替表!$K$5:$K$3507,$L2434)&amp;" "&amp;INDEX(ポート振替表!$L$5:$L$3507,$L2434)&amp;CHAR(10)&amp;"⇔ "&amp;INDEX(ポート振替表!$H$5:$H$3507,$L2434)&amp;" "&amp;INDEX(ポート振替表!$I$5:$I$3507,$L2434))</f>
        <v/>
      </c>
      <c r="L2434" s="47" t="str">
        <f aca="false">IFERROR(MATCH(ROW()-4,ポート振替表!$V$5:$V$3507,0),"")</f>
        <v/>
      </c>
    </row>
    <row r="2435" customFormat="false" ht="16.4" hidden="false" customHeight="false" outlineLevel="0" collapsed="false">
      <c r="A2435" s="32" t="str">
        <f aca="false">IF(L2435="","",ROW()-4)</f>
        <v/>
      </c>
      <c r="B2435" s="58" t="str">
        <f aca="false">IF(L2435="","",IF(INDEX(ポート振替表!$W$5:$W$3507,$L2435)="","(なし)",INDEX(ポート振替表!$W$5:$W$3507,$L2435)&amp;""))</f>
        <v/>
      </c>
      <c r="C2435" s="52" t="str">
        <f aca="false">IF(L2435="","",INDEX(ポート振替表!$B$5:$B$3507,$L2435)&amp;" "&amp;INDEX(ポート振替表!$C$5:$C$3507,$L2435)&amp;"  ⇔  "&amp;INDEX(ポート振替表!$H$5:$H$3507,$L2435)&amp;" "&amp;INDEX(ポート振替表!$I$5:$I$3507,$L2435))</f>
        <v/>
      </c>
      <c r="D2435" s="57" t="s">
        <v>158</v>
      </c>
      <c r="E2435" s="59" t="str">
        <f aca="false">IF(L2435="","",IF(INDEX(ポート振替表!$O$5:$O$3507,$L2435)="","(未設定)",INDEX(ポート振替表!$O$5:$O$3507,$L2435)&amp;""))</f>
        <v/>
      </c>
      <c r="F2435" s="52" t="str">
        <f aca="false">IF(L2435="","",INDEX(ポート振替表!$K$5:$K$3507,$L2435)&amp;" "&amp;INDEX(ポート振替表!$L$5:$L$3507,$L2435)&amp;"  ⇔  "&amp;INDEX(ポート振替表!$H$5:$H$3507,$L2435)&amp;" "&amp;INDEX(ポート振替表!$I$5:$I$3507,$L2435))</f>
        <v/>
      </c>
      <c r="G2435" s="57" t="s">
        <v>158</v>
      </c>
      <c r="H2435" s="32" t="str">
        <f aca="false">IF(L2435="","",INDEX(ポート振替表!$N$5:$N$3507,$L2435)&amp;"")</f>
        <v/>
      </c>
      <c r="I2435" s="32" t="str">
        <f aca="false">IF(L2435="","",INDEX(ポート振替表!$P$5:$P$3507,$L2435)&amp;"")</f>
        <v/>
      </c>
      <c r="J2435" s="60" t="str">
        <f aca="false">IF(L2435="","",INDEX(ポート振替表!$M$5:$M$3507,$L2435)&amp;"")</f>
        <v/>
      </c>
      <c r="K2435" s="52" t="str">
        <f aca="false">IF(L2435="","",E2435&amp;CHAR(10)&amp;INDEX(ポート振替表!$K$5:$K$3507,$L2435)&amp;" "&amp;INDEX(ポート振替表!$L$5:$L$3507,$L2435)&amp;CHAR(10)&amp;"⇔ "&amp;INDEX(ポート振替表!$H$5:$H$3507,$L2435)&amp;" "&amp;INDEX(ポート振替表!$I$5:$I$3507,$L2435))</f>
        <v/>
      </c>
      <c r="L2435" s="47" t="str">
        <f aca="false">IFERROR(MATCH(ROW()-4,ポート振替表!$V$5:$V$3507,0),"")</f>
        <v/>
      </c>
    </row>
    <row r="2436" customFormat="false" ht="16.4" hidden="false" customHeight="false" outlineLevel="0" collapsed="false">
      <c r="A2436" s="32" t="str">
        <f aca="false">IF(L2436="","",ROW()-4)</f>
        <v/>
      </c>
      <c r="B2436" s="58" t="str">
        <f aca="false">IF(L2436="","",IF(INDEX(ポート振替表!$W$5:$W$3507,$L2436)="","(なし)",INDEX(ポート振替表!$W$5:$W$3507,$L2436)&amp;""))</f>
        <v/>
      </c>
      <c r="C2436" s="52" t="str">
        <f aca="false">IF(L2436="","",INDEX(ポート振替表!$B$5:$B$3507,$L2436)&amp;" "&amp;INDEX(ポート振替表!$C$5:$C$3507,$L2436)&amp;"  ⇔  "&amp;INDEX(ポート振替表!$H$5:$H$3507,$L2436)&amp;" "&amp;INDEX(ポート振替表!$I$5:$I$3507,$L2436))</f>
        <v/>
      </c>
      <c r="D2436" s="57" t="s">
        <v>158</v>
      </c>
      <c r="E2436" s="59" t="str">
        <f aca="false">IF(L2436="","",IF(INDEX(ポート振替表!$O$5:$O$3507,$L2436)="","(未設定)",INDEX(ポート振替表!$O$5:$O$3507,$L2436)&amp;""))</f>
        <v/>
      </c>
      <c r="F2436" s="52" t="str">
        <f aca="false">IF(L2436="","",INDEX(ポート振替表!$K$5:$K$3507,$L2436)&amp;" "&amp;INDEX(ポート振替表!$L$5:$L$3507,$L2436)&amp;"  ⇔  "&amp;INDEX(ポート振替表!$H$5:$H$3507,$L2436)&amp;" "&amp;INDEX(ポート振替表!$I$5:$I$3507,$L2436))</f>
        <v/>
      </c>
      <c r="G2436" s="57" t="s">
        <v>158</v>
      </c>
      <c r="H2436" s="32" t="str">
        <f aca="false">IF(L2436="","",INDEX(ポート振替表!$N$5:$N$3507,$L2436)&amp;"")</f>
        <v/>
      </c>
      <c r="I2436" s="32" t="str">
        <f aca="false">IF(L2436="","",INDEX(ポート振替表!$P$5:$P$3507,$L2436)&amp;"")</f>
        <v/>
      </c>
      <c r="J2436" s="60" t="str">
        <f aca="false">IF(L2436="","",INDEX(ポート振替表!$M$5:$M$3507,$L2436)&amp;"")</f>
        <v/>
      </c>
      <c r="K2436" s="52" t="str">
        <f aca="false">IF(L2436="","",E2436&amp;CHAR(10)&amp;INDEX(ポート振替表!$K$5:$K$3507,$L2436)&amp;" "&amp;INDEX(ポート振替表!$L$5:$L$3507,$L2436)&amp;CHAR(10)&amp;"⇔ "&amp;INDEX(ポート振替表!$H$5:$H$3507,$L2436)&amp;" "&amp;INDEX(ポート振替表!$I$5:$I$3507,$L2436))</f>
        <v/>
      </c>
      <c r="L2436" s="47" t="str">
        <f aca="false">IFERROR(MATCH(ROW()-4,ポート振替表!$V$5:$V$3507,0),"")</f>
        <v/>
      </c>
    </row>
    <row r="2437" customFormat="false" ht="16.4" hidden="false" customHeight="false" outlineLevel="0" collapsed="false">
      <c r="A2437" s="32" t="str">
        <f aca="false">IF(L2437="","",ROW()-4)</f>
        <v/>
      </c>
      <c r="B2437" s="58" t="str">
        <f aca="false">IF(L2437="","",IF(INDEX(ポート振替表!$W$5:$W$3507,$L2437)="","(なし)",INDEX(ポート振替表!$W$5:$W$3507,$L2437)&amp;""))</f>
        <v/>
      </c>
      <c r="C2437" s="52" t="str">
        <f aca="false">IF(L2437="","",INDEX(ポート振替表!$B$5:$B$3507,$L2437)&amp;" "&amp;INDEX(ポート振替表!$C$5:$C$3507,$L2437)&amp;"  ⇔  "&amp;INDEX(ポート振替表!$H$5:$H$3507,$L2437)&amp;" "&amp;INDEX(ポート振替表!$I$5:$I$3507,$L2437))</f>
        <v/>
      </c>
      <c r="D2437" s="57" t="s">
        <v>158</v>
      </c>
      <c r="E2437" s="59" t="str">
        <f aca="false">IF(L2437="","",IF(INDEX(ポート振替表!$O$5:$O$3507,$L2437)="","(未設定)",INDEX(ポート振替表!$O$5:$O$3507,$L2437)&amp;""))</f>
        <v/>
      </c>
      <c r="F2437" s="52" t="str">
        <f aca="false">IF(L2437="","",INDEX(ポート振替表!$K$5:$K$3507,$L2437)&amp;" "&amp;INDEX(ポート振替表!$L$5:$L$3507,$L2437)&amp;"  ⇔  "&amp;INDEX(ポート振替表!$H$5:$H$3507,$L2437)&amp;" "&amp;INDEX(ポート振替表!$I$5:$I$3507,$L2437))</f>
        <v/>
      </c>
      <c r="G2437" s="57" t="s">
        <v>158</v>
      </c>
      <c r="H2437" s="32" t="str">
        <f aca="false">IF(L2437="","",INDEX(ポート振替表!$N$5:$N$3507,$L2437)&amp;"")</f>
        <v/>
      </c>
      <c r="I2437" s="32" t="str">
        <f aca="false">IF(L2437="","",INDEX(ポート振替表!$P$5:$P$3507,$L2437)&amp;"")</f>
        <v/>
      </c>
      <c r="J2437" s="60" t="str">
        <f aca="false">IF(L2437="","",INDEX(ポート振替表!$M$5:$M$3507,$L2437)&amp;"")</f>
        <v/>
      </c>
      <c r="K2437" s="52" t="str">
        <f aca="false">IF(L2437="","",E2437&amp;CHAR(10)&amp;INDEX(ポート振替表!$K$5:$K$3507,$L2437)&amp;" "&amp;INDEX(ポート振替表!$L$5:$L$3507,$L2437)&amp;CHAR(10)&amp;"⇔ "&amp;INDEX(ポート振替表!$H$5:$H$3507,$L2437)&amp;" "&amp;INDEX(ポート振替表!$I$5:$I$3507,$L2437))</f>
        <v/>
      </c>
      <c r="L2437" s="47" t="str">
        <f aca="false">IFERROR(MATCH(ROW()-4,ポート振替表!$V$5:$V$3507,0),"")</f>
        <v/>
      </c>
    </row>
    <row r="2438" customFormat="false" ht="16.4" hidden="false" customHeight="false" outlineLevel="0" collapsed="false">
      <c r="A2438" s="32" t="str">
        <f aca="false">IF(L2438="","",ROW()-4)</f>
        <v/>
      </c>
      <c r="B2438" s="58" t="str">
        <f aca="false">IF(L2438="","",IF(INDEX(ポート振替表!$W$5:$W$3507,$L2438)="","(なし)",INDEX(ポート振替表!$W$5:$W$3507,$L2438)&amp;""))</f>
        <v/>
      </c>
      <c r="C2438" s="52" t="str">
        <f aca="false">IF(L2438="","",INDEX(ポート振替表!$B$5:$B$3507,$L2438)&amp;" "&amp;INDEX(ポート振替表!$C$5:$C$3507,$L2438)&amp;"  ⇔  "&amp;INDEX(ポート振替表!$H$5:$H$3507,$L2438)&amp;" "&amp;INDEX(ポート振替表!$I$5:$I$3507,$L2438))</f>
        <v/>
      </c>
      <c r="D2438" s="57" t="s">
        <v>158</v>
      </c>
      <c r="E2438" s="59" t="str">
        <f aca="false">IF(L2438="","",IF(INDEX(ポート振替表!$O$5:$O$3507,$L2438)="","(未設定)",INDEX(ポート振替表!$O$5:$O$3507,$L2438)&amp;""))</f>
        <v/>
      </c>
      <c r="F2438" s="52" t="str">
        <f aca="false">IF(L2438="","",INDEX(ポート振替表!$K$5:$K$3507,$L2438)&amp;" "&amp;INDEX(ポート振替表!$L$5:$L$3507,$L2438)&amp;"  ⇔  "&amp;INDEX(ポート振替表!$H$5:$H$3507,$L2438)&amp;" "&amp;INDEX(ポート振替表!$I$5:$I$3507,$L2438))</f>
        <v/>
      </c>
      <c r="G2438" s="57" t="s">
        <v>158</v>
      </c>
      <c r="H2438" s="32" t="str">
        <f aca="false">IF(L2438="","",INDEX(ポート振替表!$N$5:$N$3507,$L2438)&amp;"")</f>
        <v/>
      </c>
      <c r="I2438" s="32" t="str">
        <f aca="false">IF(L2438="","",INDEX(ポート振替表!$P$5:$P$3507,$L2438)&amp;"")</f>
        <v/>
      </c>
      <c r="J2438" s="60" t="str">
        <f aca="false">IF(L2438="","",INDEX(ポート振替表!$M$5:$M$3507,$L2438)&amp;"")</f>
        <v/>
      </c>
      <c r="K2438" s="52" t="str">
        <f aca="false">IF(L2438="","",E2438&amp;CHAR(10)&amp;INDEX(ポート振替表!$K$5:$K$3507,$L2438)&amp;" "&amp;INDEX(ポート振替表!$L$5:$L$3507,$L2438)&amp;CHAR(10)&amp;"⇔ "&amp;INDEX(ポート振替表!$H$5:$H$3507,$L2438)&amp;" "&amp;INDEX(ポート振替表!$I$5:$I$3507,$L2438))</f>
        <v/>
      </c>
      <c r="L2438" s="47" t="str">
        <f aca="false">IFERROR(MATCH(ROW()-4,ポート振替表!$V$5:$V$3507,0),"")</f>
        <v/>
      </c>
    </row>
    <row r="2439" customFormat="false" ht="16.4" hidden="false" customHeight="false" outlineLevel="0" collapsed="false">
      <c r="A2439" s="32" t="str">
        <f aca="false">IF(L2439="","",ROW()-4)</f>
        <v/>
      </c>
      <c r="B2439" s="58" t="str">
        <f aca="false">IF(L2439="","",IF(INDEX(ポート振替表!$W$5:$W$3507,$L2439)="","(なし)",INDEX(ポート振替表!$W$5:$W$3507,$L2439)&amp;""))</f>
        <v/>
      </c>
      <c r="C2439" s="52" t="str">
        <f aca="false">IF(L2439="","",INDEX(ポート振替表!$B$5:$B$3507,$L2439)&amp;" "&amp;INDEX(ポート振替表!$C$5:$C$3507,$L2439)&amp;"  ⇔  "&amp;INDEX(ポート振替表!$H$5:$H$3507,$L2439)&amp;" "&amp;INDEX(ポート振替表!$I$5:$I$3507,$L2439))</f>
        <v/>
      </c>
      <c r="D2439" s="57" t="s">
        <v>158</v>
      </c>
      <c r="E2439" s="59" t="str">
        <f aca="false">IF(L2439="","",IF(INDEX(ポート振替表!$O$5:$O$3507,$L2439)="","(未設定)",INDEX(ポート振替表!$O$5:$O$3507,$L2439)&amp;""))</f>
        <v/>
      </c>
      <c r="F2439" s="52" t="str">
        <f aca="false">IF(L2439="","",INDEX(ポート振替表!$K$5:$K$3507,$L2439)&amp;" "&amp;INDEX(ポート振替表!$L$5:$L$3507,$L2439)&amp;"  ⇔  "&amp;INDEX(ポート振替表!$H$5:$H$3507,$L2439)&amp;" "&amp;INDEX(ポート振替表!$I$5:$I$3507,$L2439))</f>
        <v/>
      </c>
      <c r="G2439" s="57" t="s">
        <v>158</v>
      </c>
      <c r="H2439" s="32" t="str">
        <f aca="false">IF(L2439="","",INDEX(ポート振替表!$N$5:$N$3507,$L2439)&amp;"")</f>
        <v/>
      </c>
      <c r="I2439" s="32" t="str">
        <f aca="false">IF(L2439="","",INDEX(ポート振替表!$P$5:$P$3507,$L2439)&amp;"")</f>
        <v/>
      </c>
      <c r="J2439" s="60" t="str">
        <f aca="false">IF(L2439="","",INDEX(ポート振替表!$M$5:$M$3507,$L2439)&amp;"")</f>
        <v/>
      </c>
      <c r="K2439" s="52" t="str">
        <f aca="false">IF(L2439="","",E2439&amp;CHAR(10)&amp;INDEX(ポート振替表!$K$5:$K$3507,$L2439)&amp;" "&amp;INDEX(ポート振替表!$L$5:$L$3507,$L2439)&amp;CHAR(10)&amp;"⇔ "&amp;INDEX(ポート振替表!$H$5:$H$3507,$L2439)&amp;" "&amp;INDEX(ポート振替表!$I$5:$I$3507,$L2439))</f>
        <v/>
      </c>
      <c r="L2439" s="47" t="str">
        <f aca="false">IFERROR(MATCH(ROW()-4,ポート振替表!$V$5:$V$3507,0),"")</f>
        <v/>
      </c>
    </row>
    <row r="2440" customFormat="false" ht="16.4" hidden="false" customHeight="false" outlineLevel="0" collapsed="false">
      <c r="A2440" s="32" t="str">
        <f aca="false">IF(L2440="","",ROW()-4)</f>
        <v/>
      </c>
      <c r="B2440" s="58" t="str">
        <f aca="false">IF(L2440="","",IF(INDEX(ポート振替表!$W$5:$W$3507,$L2440)="","(なし)",INDEX(ポート振替表!$W$5:$W$3507,$L2440)&amp;""))</f>
        <v/>
      </c>
      <c r="C2440" s="52" t="str">
        <f aca="false">IF(L2440="","",INDEX(ポート振替表!$B$5:$B$3507,$L2440)&amp;" "&amp;INDEX(ポート振替表!$C$5:$C$3507,$L2440)&amp;"  ⇔  "&amp;INDEX(ポート振替表!$H$5:$H$3507,$L2440)&amp;" "&amp;INDEX(ポート振替表!$I$5:$I$3507,$L2440))</f>
        <v/>
      </c>
      <c r="D2440" s="57" t="s">
        <v>158</v>
      </c>
      <c r="E2440" s="59" t="str">
        <f aca="false">IF(L2440="","",IF(INDEX(ポート振替表!$O$5:$O$3507,$L2440)="","(未設定)",INDEX(ポート振替表!$O$5:$O$3507,$L2440)&amp;""))</f>
        <v/>
      </c>
      <c r="F2440" s="52" t="str">
        <f aca="false">IF(L2440="","",INDEX(ポート振替表!$K$5:$K$3507,$L2440)&amp;" "&amp;INDEX(ポート振替表!$L$5:$L$3507,$L2440)&amp;"  ⇔  "&amp;INDEX(ポート振替表!$H$5:$H$3507,$L2440)&amp;" "&amp;INDEX(ポート振替表!$I$5:$I$3507,$L2440))</f>
        <v/>
      </c>
      <c r="G2440" s="57" t="s">
        <v>158</v>
      </c>
      <c r="H2440" s="32" t="str">
        <f aca="false">IF(L2440="","",INDEX(ポート振替表!$N$5:$N$3507,$L2440)&amp;"")</f>
        <v/>
      </c>
      <c r="I2440" s="32" t="str">
        <f aca="false">IF(L2440="","",INDEX(ポート振替表!$P$5:$P$3507,$L2440)&amp;"")</f>
        <v/>
      </c>
      <c r="J2440" s="60" t="str">
        <f aca="false">IF(L2440="","",INDEX(ポート振替表!$M$5:$M$3507,$L2440)&amp;"")</f>
        <v/>
      </c>
      <c r="K2440" s="52" t="str">
        <f aca="false">IF(L2440="","",E2440&amp;CHAR(10)&amp;INDEX(ポート振替表!$K$5:$K$3507,$L2440)&amp;" "&amp;INDEX(ポート振替表!$L$5:$L$3507,$L2440)&amp;CHAR(10)&amp;"⇔ "&amp;INDEX(ポート振替表!$H$5:$H$3507,$L2440)&amp;" "&amp;INDEX(ポート振替表!$I$5:$I$3507,$L2440))</f>
        <v/>
      </c>
      <c r="L2440" s="47" t="str">
        <f aca="false">IFERROR(MATCH(ROW()-4,ポート振替表!$V$5:$V$3507,0),"")</f>
        <v/>
      </c>
    </row>
    <row r="2441" customFormat="false" ht="16.4" hidden="false" customHeight="false" outlineLevel="0" collapsed="false">
      <c r="A2441" s="32" t="str">
        <f aca="false">IF(L2441="","",ROW()-4)</f>
        <v/>
      </c>
      <c r="B2441" s="58" t="str">
        <f aca="false">IF(L2441="","",IF(INDEX(ポート振替表!$W$5:$W$3507,$L2441)="","(なし)",INDEX(ポート振替表!$W$5:$W$3507,$L2441)&amp;""))</f>
        <v/>
      </c>
      <c r="C2441" s="52" t="str">
        <f aca="false">IF(L2441="","",INDEX(ポート振替表!$B$5:$B$3507,$L2441)&amp;" "&amp;INDEX(ポート振替表!$C$5:$C$3507,$L2441)&amp;"  ⇔  "&amp;INDEX(ポート振替表!$H$5:$H$3507,$L2441)&amp;" "&amp;INDEX(ポート振替表!$I$5:$I$3507,$L2441))</f>
        <v/>
      </c>
      <c r="D2441" s="57" t="s">
        <v>158</v>
      </c>
      <c r="E2441" s="59" t="str">
        <f aca="false">IF(L2441="","",IF(INDEX(ポート振替表!$O$5:$O$3507,$L2441)="","(未設定)",INDEX(ポート振替表!$O$5:$O$3507,$L2441)&amp;""))</f>
        <v/>
      </c>
      <c r="F2441" s="52" t="str">
        <f aca="false">IF(L2441="","",INDEX(ポート振替表!$K$5:$K$3507,$L2441)&amp;" "&amp;INDEX(ポート振替表!$L$5:$L$3507,$L2441)&amp;"  ⇔  "&amp;INDEX(ポート振替表!$H$5:$H$3507,$L2441)&amp;" "&amp;INDEX(ポート振替表!$I$5:$I$3507,$L2441))</f>
        <v/>
      </c>
      <c r="G2441" s="57" t="s">
        <v>158</v>
      </c>
      <c r="H2441" s="32" t="str">
        <f aca="false">IF(L2441="","",INDEX(ポート振替表!$N$5:$N$3507,$L2441)&amp;"")</f>
        <v/>
      </c>
      <c r="I2441" s="32" t="str">
        <f aca="false">IF(L2441="","",INDEX(ポート振替表!$P$5:$P$3507,$L2441)&amp;"")</f>
        <v/>
      </c>
      <c r="J2441" s="60" t="str">
        <f aca="false">IF(L2441="","",INDEX(ポート振替表!$M$5:$M$3507,$L2441)&amp;"")</f>
        <v/>
      </c>
      <c r="K2441" s="52" t="str">
        <f aca="false">IF(L2441="","",E2441&amp;CHAR(10)&amp;INDEX(ポート振替表!$K$5:$K$3507,$L2441)&amp;" "&amp;INDEX(ポート振替表!$L$5:$L$3507,$L2441)&amp;CHAR(10)&amp;"⇔ "&amp;INDEX(ポート振替表!$H$5:$H$3507,$L2441)&amp;" "&amp;INDEX(ポート振替表!$I$5:$I$3507,$L2441))</f>
        <v/>
      </c>
      <c r="L2441" s="47" t="str">
        <f aca="false">IFERROR(MATCH(ROW()-4,ポート振替表!$V$5:$V$3507,0),"")</f>
        <v/>
      </c>
    </row>
    <row r="2442" customFormat="false" ht="16.4" hidden="false" customHeight="false" outlineLevel="0" collapsed="false">
      <c r="A2442" s="32" t="str">
        <f aca="false">IF(L2442="","",ROW()-4)</f>
        <v/>
      </c>
      <c r="B2442" s="58" t="str">
        <f aca="false">IF(L2442="","",IF(INDEX(ポート振替表!$W$5:$W$3507,$L2442)="","(なし)",INDEX(ポート振替表!$W$5:$W$3507,$L2442)&amp;""))</f>
        <v/>
      </c>
      <c r="C2442" s="52" t="str">
        <f aca="false">IF(L2442="","",INDEX(ポート振替表!$B$5:$B$3507,$L2442)&amp;" "&amp;INDEX(ポート振替表!$C$5:$C$3507,$L2442)&amp;"  ⇔  "&amp;INDEX(ポート振替表!$H$5:$H$3507,$L2442)&amp;" "&amp;INDEX(ポート振替表!$I$5:$I$3507,$L2442))</f>
        <v/>
      </c>
      <c r="D2442" s="57" t="s">
        <v>158</v>
      </c>
      <c r="E2442" s="59" t="str">
        <f aca="false">IF(L2442="","",IF(INDEX(ポート振替表!$O$5:$O$3507,$L2442)="","(未設定)",INDEX(ポート振替表!$O$5:$O$3507,$L2442)&amp;""))</f>
        <v/>
      </c>
      <c r="F2442" s="52" t="str">
        <f aca="false">IF(L2442="","",INDEX(ポート振替表!$K$5:$K$3507,$L2442)&amp;" "&amp;INDEX(ポート振替表!$L$5:$L$3507,$L2442)&amp;"  ⇔  "&amp;INDEX(ポート振替表!$H$5:$H$3507,$L2442)&amp;" "&amp;INDEX(ポート振替表!$I$5:$I$3507,$L2442))</f>
        <v/>
      </c>
      <c r="G2442" s="57" t="s">
        <v>158</v>
      </c>
      <c r="H2442" s="32" t="str">
        <f aca="false">IF(L2442="","",INDEX(ポート振替表!$N$5:$N$3507,$L2442)&amp;"")</f>
        <v/>
      </c>
      <c r="I2442" s="32" t="str">
        <f aca="false">IF(L2442="","",INDEX(ポート振替表!$P$5:$P$3507,$L2442)&amp;"")</f>
        <v/>
      </c>
      <c r="J2442" s="60" t="str">
        <f aca="false">IF(L2442="","",INDEX(ポート振替表!$M$5:$M$3507,$L2442)&amp;"")</f>
        <v/>
      </c>
      <c r="K2442" s="52" t="str">
        <f aca="false">IF(L2442="","",E2442&amp;CHAR(10)&amp;INDEX(ポート振替表!$K$5:$K$3507,$L2442)&amp;" "&amp;INDEX(ポート振替表!$L$5:$L$3507,$L2442)&amp;CHAR(10)&amp;"⇔ "&amp;INDEX(ポート振替表!$H$5:$H$3507,$L2442)&amp;" "&amp;INDEX(ポート振替表!$I$5:$I$3507,$L2442))</f>
        <v/>
      </c>
      <c r="L2442" s="47" t="str">
        <f aca="false">IFERROR(MATCH(ROW()-4,ポート振替表!$V$5:$V$3507,0),"")</f>
        <v/>
      </c>
    </row>
    <row r="2443" customFormat="false" ht="16.4" hidden="false" customHeight="false" outlineLevel="0" collapsed="false">
      <c r="A2443" s="32" t="str">
        <f aca="false">IF(L2443="","",ROW()-4)</f>
        <v/>
      </c>
      <c r="B2443" s="58" t="str">
        <f aca="false">IF(L2443="","",IF(INDEX(ポート振替表!$W$5:$W$3507,$L2443)="","(なし)",INDEX(ポート振替表!$W$5:$W$3507,$L2443)&amp;""))</f>
        <v/>
      </c>
      <c r="C2443" s="52" t="str">
        <f aca="false">IF(L2443="","",INDEX(ポート振替表!$B$5:$B$3507,$L2443)&amp;" "&amp;INDEX(ポート振替表!$C$5:$C$3507,$L2443)&amp;"  ⇔  "&amp;INDEX(ポート振替表!$H$5:$H$3507,$L2443)&amp;" "&amp;INDEX(ポート振替表!$I$5:$I$3507,$L2443))</f>
        <v/>
      </c>
      <c r="D2443" s="57" t="s">
        <v>158</v>
      </c>
      <c r="E2443" s="59" t="str">
        <f aca="false">IF(L2443="","",IF(INDEX(ポート振替表!$O$5:$O$3507,$L2443)="","(未設定)",INDEX(ポート振替表!$O$5:$O$3507,$L2443)&amp;""))</f>
        <v/>
      </c>
      <c r="F2443" s="52" t="str">
        <f aca="false">IF(L2443="","",INDEX(ポート振替表!$K$5:$K$3507,$L2443)&amp;" "&amp;INDEX(ポート振替表!$L$5:$L$3507,$L2443)&amp;"  ⇔  "&amp;INDEX(ポート振替表!$H$5:$H$3507,$L2443)&amp;" "&amp;INDEX(ポート振替表!$I$5:$I$3507,$L2443))</f>
        <v/>
      </c>
      <c r="G2443" s="57" t="s">
        <v>158</v>
      </c>
      <c r="H2443" s="32" t="str">
        <f aca="false">IF(L2443="","",INDEX(ポート振替表!$N$5:$N$3507,$L2443)&amp;"")</f>
        <v/>
      </c>
      <c r="I2443" s="32" t="str">
        <f aca="false">IF(L2443="","",INDEX(ポート振替表!$P$5:$P$3507,$L2443)&amp;"")</f>
        <v/>
      </c>
      <c r="J2443" s="60" t="str">
        <f aca="false">IF(L2443="","",INDEX(ポート振替表!$M$5:$M$3507,$L2443)&amp;"")</f>
        <v/>
      </c>
      <c r="K2443" s="52" t="str">
        <f aca="false">IF(L2443="","",E2443&amp;CHAR(10)&amp;INDEX(ポート振替表!$K$5:$K$3507,$L2443)&amp;" "&amp;INDEX(ポート振替表!$L$5:$L$3507,$L2443)&amp;CHAR(10)&amp;"⇔ "&amp;INDEX(ポート振替表!$H$5:$H$3507,$L2443)&amp;" "&amp;INDEX(ポート振替表!$I$5:$I$3507,$L2443))</f>
        <v/>
      </c>
      <c r="L2443" s="47" t="str">
        <f aca="false">IFERROR(MATCH(ROW()-4,ポート振替表!$V$5:$V$3507,0),"")</f>
        <v/>
      </c>
    </row>
    <row r="2444" customFormat="false" ht="16.4" hidden="false" customHeight="false" outlineLevel="0" collapsed="false">
      <c r="A2444" s="32" t="str">
        <f aca="false">IF(L2444="","",ROW()-4)</f>
        <v/>
      </c>
      <c r="B2444" s="58" t="str">
        <f aca="false">IF(L2444="","",IF(INDEX(ポート振替表!$W$5:$W$3507,$L2444)="","(なし)",INDEX(ポート振替表!$W$5:$W$3507,$L2444)&amp;""))</f>
        <v/>
      </c>
      <c r="C2444" s="52" t="str">
        <f aca="false">IF(L2444="","",INDEX(ポート振替表!$B$5:$B$3507,$L2444)&amp;" "&amp;INDEX(ポート振替表!$C$5:$C$3507,$L2444)&amp;"  ⇔  "&amp;INDEX(ポート振替表!$H$5:$H$3507,$L2444)&amp;" "&amp;INDEX(ポート振替表!$I$5:$I$3507,$L2444))</f>
        <v/>
      </c>
      <c r="D2444" s="57" t="s">
        <v>158</v>
      </c>
      <c r="E2444" s="59" t="str">
        <f aca="false">IF(L2444="","",IF(INDEX(ポート振替表!$O$5:$O$3507,$L2444)="","(未設定)",INDEX(ポート振替表!$O$5:$O$3507,$L2444)&amp;""))</f>
        <v/>
      </c>
      <c r="F2444" s="52" t="str">
        <f aca="false">IF(L2444="","",INDEX(ポート振替表!$K$5:$K$3507,$L2444)&amp;" "&amp;INDEX(ポート振替表!$L$5:$L$3507,$L2444)&amp;"  ⇔  "&amp;INDEX(ポート振替表!$H$5:$H$3507,$L2444)&amp;" "&amp;INDEX(ポート振替表!$I$5:$I$3507,$L2444))</f>
        <v/>
      </c>
      <c r="G2444" s="57" t="s">
        <v>158</v>
      </c>
      <c r="H2444" s="32" t="str">
        <f aca="false">IF(L2444="","",INDEX(ポート振替表!$N$5:$N$3507,$L2444)&amp;"")</f>
        <v/>
      </c>
      <c r="I2444" s="32" t="str">
        <f aca="false">IF(L2444="","",INDEX(ポート振替表!$P$5:$P$3507,$L2444)&amp;"")</f>
        <v/>
      </c>
      <c r="J2444" s="60" t="str">
        <f aca="false">IF(L2444="","",INDEX(ポート振替表!$M$5:$M$3507,$L2444)&amp;"")</f>
        <v/>
      </c>
      <c r="K2444" s="52" t="str">
        <f aca="false">IF(L2444="","",E2444&amp;CHAR(10)&amp;INDEX(ポート振替表!$K$5:$K$3507,$L2444)&amp;" "&amp;INDEX(ポート振替表!$L$5:$L$3507,$L2444)&amp;CHAR(10)&amp;"⇔ "&amp;INDEX(ポート振替表!$H$5:$H$3507,$L2444)&amp;" "&amp;INDEX(ポート振替表!$I$5:$I$3507,$L2444))</f>
        <v/>
      </c>
      <c r="L2444" s="47" t="str">
        <f aca="false">IFERROR(MATCH(ROW()-4,ポート振替表!$V$5:$V$3507,0),"")</f>
        <v/>
      </c>
    </row>
    <row r="2445" customFormat="false" ht="16.4" hidden="false" customHeight="false" outlineLevel="0" collapsed="false">
      <c r="A2445" s="32" t="str">
        <f aca="false">IF(L2445="","",ROW()-4)</f>
        <v/>
      </c>
      <c r="B2445" s="58" t="str">
        <f aca="false">IF(L2445="","",IF(INDEX(ポート振替表!$W$5:$W$3507,$L2445)="","(なし)",INDEX(ポート振替表!$W$5:$W$3507,$L2445)&amp;""))</f>
        <v/>
      </c>
      <c r="C2445" s="52" t="str">
        <f aca="false">IF(L2445="","",INDEX(ポート振替表!$B$5:$B$3507,$L2445)&amp;" "&amp;INDEX(ポート振替表!$C$5:$C$3507,$L2445)&amp;"  ⇔  "&amp;INDEX(ポート振替表!$H$5:$H$3507,$L2445)&amp;" "&amp;INDEX(ポート振替表!$I$5:$I$3507,$L2445))</f>
        <v/>
      </c>
      <c r="D2445" s="57" t="s">
        <v>158</v>
      </c>
      <c r="E2445" s="59" t="str">
        <f aca="false">IF(L2445="","",IF(INDEX(ポート振替表!$O$5:$O$3507,$L2445)="","(未設定)",INDEX(ポート振替表!$O$5:$O$3507,$L2445)&amp;""))</f>
        <v/>
      </c>
      <c r="F2445" s="52" t="str">
        <f aca="false">IF(L2445="","",INDEX(ポート振替表!$K$5:$K$3507,$L2445)&amp;" "&amp;INDEX(ポート振替表!$L$5:$L$3507,$L2445)&amp;"  ⇔  "&amp;INDEX(ポート振替表!$H$5:$H$3507,$L2445)&amp;" "&amp;INDEX(ポート振替表!$I$5:$I$3507,$L2445))</f>
        <v/>
      </c>
      <c r="G2445" s="57" t="s">
        <v>158</v>
      </c>
      <c r="H2445" s="32" t="str">
        <f aca="false">IF(L2445="","",INDEX(ポート振替表!$N$5:$N$3507,$L2445)&amp;"")</f>
        <v/>
      </c>
      <c r="I2445" s="32" t="str">
        <f aca="false">IF(L2445="","",INDEX(ポート振替表!$P$5:$P$3507,$L2445)&amp;"")</f>
        <v/>
      </c>
      <c r="J2445" s="60" t="str">
        <f aca="false">IF(L2445="","",INDEX(ポート振替表!$M$5:$M$3507,$L2445)&amp;"")</f>
        <v/>
      </c>
      <c r="K2445" s="52" t="str">
        <f aca="false">IF(L2445="","",E2445&amp;CHAR(10)&amp;INDEX(ポート振替表!$K$5:$K$3507,$L2445)&amp;" "&amp;INDEX(ポート振替表!$L$5:$L$3507,$L2445)&amp;CHAR(10)&amp;"⇔ "&amp;INDEX(ポート振替表!$H$5:$H$3507,$L2445)&amp;" "&amp;INDEX(ポート振替表!$I$5:$I$3507,$L2445))</f>
        <v/>
      </c>
      <c r="L2445" s="47" t="str">
        <f aca="false">IFERROR(MATCH(ROW()-4,ポート振替表!$V$5:$V$3507,0),"")</f>
        <v/>
      </c>
    </row>
    <row r="2446" customFormat="false" ht="16.4" hidden="false" customHeight="false" outlineLevel="0" collapsed="false">
      <c r="A2446" s="32" t="str">
        <f aca="false">IF(L2446="","",ROW()-4)</f>
        <v/>
      </c>
      <c r="B2446" s="58" t="str">
        <f aca="false">IF(L2446="","",IF(INDEX(ポート振替表!$W$5:$W$3507,$L2446)="","(なし)",INDEX(ポート振替表!$W$5:$W$3507,$L2446)&amp;""))</f>
        <v/>
      </c>
      <c r="C2446" s="52" t="str">
        <f aca="false">IF(L2446="","",INDEX(ポート振替表!$B$5:$B$3507,$L2446)&amp;" "&amp;INDEX(ポート振替表!$C$5:$C$3507,$L2446)&amp;"  ⇔  "&amp;INDEX(ポート振替表!$H$5:$H$3507,$L2446)&amp;" "&amp;INDEX(ポート振替表!$I$5:$I$3507,$L2446))</f>
        <v/>
      </c>
      <c r="D2446" s="57" t="s">
        <v>158</v>
      </c>
      <c r="E2446" s="59" t="str">
        <f aca="false">IF(L2446="","",IF(INDEX(ポート振替表!$O$5:$O$3507,$L2446)="","(未設定)",INDEX(ポート振替表!$O$5:$O$3507,$L2446)&amp;""))</f>
        <v/>
      </c>
      <c r="F2446" s="52" t="str">
        <f aca="false">IF(L2446="","",INDEX(ポート振替表!$K$5:$K$3507,$L2446)&amp;" "&amp;INDEX(ポート振替表!$L$5:$L$3507,$L2446)&amp;"  ⇔  "&amp;INDEX(ポート振替表!$H$5:$H$3507,$L2446)&amp;" "&amp;INDEX(ポート振替表!$I$5:$I$3507,$L2446))</f>
        <v/>
      </c>
      <c r="G2446" s="57" t="s">
        <v>158</v>
      </c>
      <c r="H2446" s="32" t="str">
        <f aca="false">IF(L2446="","",INDEX(ポート振替表!$N$5:$N$3507,$L2446)&amp;"")</f>
        <v/>
      </c>
      <c r="I2446" s="32" t="str">
        <f aca="false">IF(L2446="","",INDEX(ポート振替表!$P$5:$P$3507,$L2446)&amp;"")</f>
        <v/>
      </c>
      <c r="J2446" s="60" t="str">
        <f aca="false">IF(L2446="","",INDEX(ポート振替表!$M$5:$M$3507,$L2446)&amp;"")</f>
        <v/>
      </c>
      <c r="K2446" s="52" t="str">
        <f aca="false">IF(L2446="","",E2446&amp;CHAR(10)&amp;INDEX(ポート振替表!$K$5:$K$3507,$L2446)&amp;" "&amp;INDEX(ポート振替表!$L$5:$L$3507,$L2446)&amp;CHAR(10)&amp;"⇔ "&amp;INDEX(ポート振替表!$H$5:$H$3507,$L2446)&amp;" "&amp;INDEX(ポート振替表!$I$5:$I$3507,$L2446))</f>
        <v/>
      </c>
      <c r="L2446" s="47" t="str">
        <f aca="false">IFERROR(MATCH(ROW()-4,ポート振替表!$V$5:$V$3507,0),"")</f>
        <v/>
      </c>
    </row>
    <row r="2447" customFormat="false" ht="16.4" hidden="false" customHeight="false" outlineLevel="0" collapsed="false">
      <c r="A2447" s="32" t="str">
        <f aca="false">IF(L2447="","",ROW()-4)</f>
        <v/>
      </c>
      <c r="B2447" s="58" t="str">
        <f aca="false">IF(L2447="","",IF(INDEX(ポート振替表!$W$5:$W$3507,$L2447)="","(なし)",INDEX(ポート振替表!$W$5:$W$3507,$L2447)&amp;""))</f>
        <v/>
      </c>
      <c r="C2447" s="52" t="str">
        <f aca="false">IF(L2447="","",INDEX(ポート振替表!$B$5:$B$3507,$L2447)&amp;" "&amp;INDEX(ポート振替表!$C$5:$C$3507,$L2447)&amp;"  ⇔  "&amp;INDEX(ポート振替表!$H$5:$H$3507,$L2447)&amp;" "&amp;INDEX(ポート振替表!$I$5:$I$3507,$L2447))</f>
        <v/>
      </c>
      <c r="D2447" s="57" t="s">
        <v>158</v>
      </c>
      <c r="E2447" s="59" t="str">
        <f aca="false">IF(L2447="","",IF(INDEX(ポート振替表!$O$5:$O$3507,$L2447)="","(未設定)",INDEX(ポート振替表!$O$5:$O$3507,$L2447)&amp;""))</f>
        <v/>
      </c>
      <c r="F2447" s="52" t="str">
        <f aca="false">IF(L2447="","",INDEX(ポート振替表!$K$5:$K$3507,$L2447)&amp;" "&amp;INDEX(ポート振替表!$L$5:$L$3507,$L2447)&amp;"  ⇔  "&amp;INDEX(ポート振替表!$H$5:$H$3507,$L2447)&amp;" "&amp;INDEX(ポート振替表!$I$5:$I$3507,$L2447))</f>
        <v/>
      </c>
      <c r="G2447" s="57" t="s">
        <v>158</v>
      </c>
      <c r="H2447" s="32" t="str">
        <f aca="false">IF(L2447="","",INDEX(ポート振替表!$N$5:$N$3507,$L2447)&amp;"")</f>
        <v/>
      </c>
      <c r="I2447" s="32" t="str">
        <f aca="false">IF(L2447="","",INDEX(ポート振替表!$P$5:$P$3507,$L2447)&amp;"")</f>
        <v/>
      </c>
      <c r="J2447" s="60" t="str">
        <f aca="false">IF(L2447="","",INDEX(ポート振替表!$M$5:$M$3507,$L2447)&amp;"")</f>
        <v/>
      </c>
      <c r="K2447" s="52" t="str">
        <f aca="false">IF(L2447="","",E2447&amp;CHAR(10)&amp;INDEX(ポート振替表!$K$5:$K$3507,$L2447)&amp;" "&amp;INDEX(ポート振替表!$L$5:$L$3507,$L2447)&amp;CHAR(10)&amp;"⇔ "&amp;INDEX(ポート振替表!$H$5:$H$3507,$L2447)&amp;" "&amp;INDEX(ポート振替表!$I$5:$I$3507,$L2447))</f>
        <v/>
      </c>
      <c r="L2447" s="47" t="str">
        <f aca="false">IFERROR(MATCH(ROW()-4,ポート振替表!$V$5:$V$3507,0),"")</f>
        <v/>
      </c>
    </row>
    <row r="2448" customFormat="false" ht="16.4" hidden="false" customHeight="false" outlineLevel="0" collapsed="false">
      <c r="A2448" s="32" t="str">
        <f aca="false">IF(L2448="","",ROW()-4)</f>
        <v/>
      </c>
      <c r="B2448" s="58" t="str">
        <f aca="false">IF(L2448="","",IF(INDEX(ポート振替表!$W$5:$W$3507,$L2448)="","(なし)",INDEX(ポート振替表!$W$5:$W$3507,$L2448)&amp;""))</f>
        <v/>
      </c>
      <c r="C2448" s="52" t="str">
        <f aca="false">IF(L2448="","",INDEX(ポート振替表!$B$5:$B$3507,$L2448)&amp;" "&amp;INDEX(ポート振替表!$C$5:$C$3507,$L2448)&amp;"  ⇔  "&amp;INDEX(ポート振替表!$H$5:$H$3507,$L2448)&amp;" "&amp;INDEX(ポート振替表!$I$5:$I$3507,$L2448))</f>
        <v/>
      </c>
      <c r="D2448" s="57" t="s">
        <v>158</v>
      </c>
      <c r="E2448" s="59" t="str">
        <f aca="false">IF(L2448="","",IF(INDEX(ポート振替表!$O$5:$O$3507,$L2448)="","(未設定)",INDEX(ポート振替表!$O$5:$O$3507,$L2448)&amp;""))</f>
        <v/>
      </c>
      <c r="F2448" s="52" t="str">
        <f aca="false">IF(L2448="","",INDEX(ポート振替表!$K$5:$K$3507,$L2448)&amp;" "&amp;INDEX(ポート振替表!$L$5:$L$3507,$L2448)&amp;"  ⇔  "&amp;INDEX(ポート振替表!$H$5:$H$3507,$L2448)&amp;" "&amp;INDEX(ポート振替表!$I$5:$I$3507,$L2448))</f>
        <v/>
      </c>
      <c r="G2448" s="57" t="s">
        <v>158</v>
      </c>
      <c r="H2448" s="32" t="str">
        <f aca="false">IF(L2448="","",INDEX(ポート振替表!$N$5:$N$3507,$L2448)&amp;"")</f>
        <v/>
      </c>
      <c r="I2448" s="32" t="str">
        <f aca="false">IF(L2448="","",INDEX(ポート振替表!$P$5:$P$3507,$L2448)&amp;"")</f>
        <v/>
      </c>
      <c r="J2448" s="60" t="str">
        <f aca="false">IF(L2448="","",INDEX(ポート振替表!$M$5:$M$3507,$L2448)&amp;"")</f>
        <v/>
      </c>
      <c r="K2448" s="52" t="str">
        <f aca="false">IF(L2448="","",E2448&amp;CHAR(10)&amp;INDEX(ポート振替表!$K$5:$K$3507,$L2448)&amp;" "&amp;INDEX(ポート振替表!$L$5:$L$3507,$L2448)&amp;CHAR(10)&amp;"⇔ "&amp;INDEX(ポート振替表!$H$5:$H$3507,$L2448)&amp;" "&amp;INDEX(ポート振替表!$I$5:$I$3507,$L2448))</f>
        <v/>
      </c>
      <c r="L2448" s="47" t="str">
        <f aca="false">IFERROR(MATCH(ROW()-4,ポート振替表!$V$5:$V$3507,0),"")</f>
        <v/>
      </c>
    </row>
    <row r="2449" customFormat="false" ht="16.4" hidden="false" customHeight="false" outlineLevel="0" collapsed="false">
      <c r="A2449" s="32" t="str">
        <f aca="false">IF(L2449="","",ROW()-4)</f>
        <v/>
      </c>
      <c r="B2449" s="58" t="str">
        <f aca="false">IF(L2449="","",IF(INDEX(ポート振替表!$W$5:$W$3507,$L2449)="","(なし)",INDEX(ポート振替表!$W$5:$W$3507,$L2449)&amp;""))</f>
        <v/>
      </c>
      <c r="C2449" s="52" t="str">
        <f aca="false">IF(L2449="","",INDEX(ポート振替表!$B$5:$B$3507,$L2449)&amp;" "&amp;INDEX(ポート振替表!$C$5:$C$3507,$L2449)&amp;"  ⇔  "&amp;INDEX(ポート振替表!$H$5:$H$3507,$L2449)&amp;" "&amp;INDEX(ポート振替表!$I$5:$I$3507,$L2449))</f>
        <v/>
      </c>
      <c r="D2449" s="57" t="s">
        <v>158</v>
      </c>
      <c r="E2449" s="59" t="str">
        <f aca="false">IF(L2449="","",IF(INDEX(ポート振替表!$O$5:$O$3507,$L2449)="","(未設定)",INDEX(ポート振替表!$O$5:$O$3507,$L2449)&amp;""))</f>
        <v/>
      </c>
      <c r="F2449" s="52" t="str">
        <f aca="false">IF(L2449="","",INDEX(ポート振替表!$K$5:$K$3507,$L2449)&amp;" "&amp;INDEX(ポート振替表!$L$5:$L$3507,$L2449)&amp;"  ⇔  "&amp;INDEX(ポート振替表!$H$5:$H$3507,$L2449)&amp;" "&amp;INDEX(ポート振替表!$I$5:$I$3507,$L2449))</f>
        <v/>
      </c>
      <c r="G2449" s="57" t="s">
        <v>158</v>
      </c>
      <c r="H2449" s="32" t="str">
        <f aca="false">IF(L2449="","",INDEX(ポート振替表!$N$5:$N$3507,$L2449)&amp;"")</f>
        <v/>
      </c>
      <c r="I2449" s="32" t="str">
        <f aca="false">IF(L2449="","",INDEX(ポート振替表!$P$5:$P$3507,$L2449)&amp;"")</f>
        <v/>
      </c>
      <c r="J2449" s="60" t="str">
        <f aca="false">IF(L2449="","",INDEX(ポート振替表!$M$5:$M$3507,$L2449)&amp;"")</f>
        <v/>
      </c>
      <c r="K2449" s="52" t="str">
        <f aca="false">IF(L2449="","",E2449&amp;CHAR(10)&amp;INDEX(ポート振替表!$K$5:$K$3507,$L2449)&amp;" "&amp;INDEX(ポート振替表!$L$5:$L$3507,$L2449)&amp;CHAR(10)&amp;"⇔ "&amp;INDEX(ポート振替表!$H$5:$H$3507,$L2449)&amp;" "&amp;INDEX(ポート振替表!$I$5:$I$3507,$L2449))</f>
        <v/>
      </c>
      <c r="L2449" s="47" t="str">
        <f aca="false">IFERROR(MATCH(ROW()-4,ポート振替表!$V$5:$V$3507,0),"")</f>
        <v/>
      </c>
    </row>
    <row r="2450" customFormat="false" ht="16.4" hidden="false" customHeight="false" outlineLevel="0" collapsed="false">
      <c r="A2450" s="32" t="str">
        <f aca="false">IF(L2450="","",ROW()-4)</f>
        <v/>
      </c>
      <c r="B2450" s="58" t="str">
        <f aca="false">IF(L2450="","",IF(INDEX(ポート振替表!$W$5:$W$3507,$L2450)="","(なし)",INDEX(ポート振替表!$W$5:$W$3507,$L2450)&amp;""))</f>
        <v/>
      </c>
      <c r="C2450" s="52" t="str">
        <f aca="false">IF(L2450="","",INDEX(ポート振替表!$B$5:$B$3507,$L2450)&amp;" "&amp;INDEX(ポート振替表!$C$5:$C$3507,$L2450)&amp;"  ⇔  "&amp;INDEX(ポート振替表!$H$5:$H$3507,$L2450)&amp;" "&amp;INDEX(ポート振替表!$I$5:$I$3507,$L2450))</f>
        <v/>
      </c>
      <c r="D2450" s="57" t="s">
        <v>158</v>
      </c>
      <c r="E2450" s="59" t="str">
        <f aca="false">IF(L2450="","",IF(INDEX(ポート振替表!$O$5:$O$3507,$L2450)="","(未設定)",INDEX(ポート振替表!$O$5:$O$3507,$L2450)&amp;""))</f>
        <v/>
      </c>
      <c r="F2450" s="52" t="str">
        <f aca="false">IF(L2450="","",INDEX(ポート振替表!$K$5:$K$3507,$L2450)&amp;" "&amp;INDEX(ポート振替表!$L$5:$L$3507,$L2450)&amp;"  ⇔  "&amp;INDEX(ポート振替表!$H$5:$H$3507,$L2450)&amp;" "&amp;INDEX(ポート振替表!$I$5:$I$3507,$L2450))</f>
        <v/>
      </c>
      <c r="G2450" s="57" t="s">
        <v>158</v>
      </c>
      <c r="H2450" s="32" t="str">
        <f aca="false">IF(L2450="","",INDEX(ポート振替表!$N$5:$N$3507,$L2450)&amp;"")</f>
        <v/>
      </c>
      <c r="I2450" s="32" t="str">
        <f aca="false">IF(L2450="","",INDEX(ポート振替表!$P$5:$P$3507,$L2450)&amp;"")</f>
        <v/>
      </c>
      <c r="J2450" s="60" t="str">
        <f aca="false">IF(L2450="","",INDEX(ポート振替表!$M$5:$M$3507,$L2450)&amp;"")</f>
        <v/>
      </c>
      <c r="K2450" s="52" t="str">
        <f aca="false">IF(L2450="","",E2450&amp;CHAR(10)&amp;INDEX(ポート振替表!$K$5:$K$3507,$L2450)&amp;" "&amp;INDEX(ポート振替表!$L$5:$L$3507,$L2450)&amp;CHAR(10)&amp;"⇔ "&amp;INDEX(ポート振替表!$H$5:$H$3507,$L2450)&amp;" "&amp;INDEX(ポート振替表!$I$5:$I$3507,$L2450))</f>
        <v/>
      </c>
      <c r="L2450" s="47" t="str">
        <f aca="false">IFERROR(MATCH(ROW()-4,ポート振替表!$V$5:$V$3507,0),"")</f>
        <v/>
      </c>
    </row>
    <row r="2451" customFormat="false" ht="16.4" hidden="false" customHeight="false" outlineLevel="0" collapsed="false">
      <c r="A2451" s="32" t="str">
        <f aca="false">IF(L2451="","",ROW()-4)</f>
        <v/>
      </c>
      <c r="B2451" s="58" t="str">
        <f aca="false">IF(L2451="","",IF(INDEX(ポート振替表!$W$5:$W$3507,$L2451)="","(なし)",INDEX(ポート振替表!$W$5:$W$3507,$L2451)&amp;""))</f>
        <v/>
      </c>
      <c r="C2451" s="52" t="str">
        <f aca="false">IF(L2451="","",INDEX(ポート振替表!$B$5:$B$3507,$L2451)&amp;" "&amp;INDEX(ポート振替表!$C$5:$C$3507,$L2451)&amp;"  ⇔  "&amp;INDEX(ポート振替表!$H$5:$H$3507,$L2451)&amp;" "&amp;INDEX(ポート振替表!$I$5:$I$3507,$L2451))</f>
        <v/>
      </c>
      <c r="D2451" s="57" t="s">
        <v>158</v>
      </c>
      <c r="E2451" s="59" t="str">
        <f aca="false">IF(L2451="","",IF(INDEX(ポート振替表!$O$5:$O$3507,$L2451)="","(未設定)",INDEX(ポート振替表!$O$5:$O$3507,$L2451)&amp;""))</f>
        <v/>
      </c>
      <c r="F2451" s="52" t="str">
        <f aca="false">IF(L2451="","",INDEX(ポート振替表!$K$5:$K$3507,$L2451)&amp;" "&amp;INDEX(ポート振替表!$L$5:$L$3507,$L2451)&amp;"  ⇔  "&amp;INDEX(ポート振替表!$H$5:$H$3507,$L2451)&amp;" "&amp;INDEX(ポート振替表!$I$5:$I$3507,$L2451))</f>
        <v/>
      </c>
      <c r="G2451" s="57" t="s">
        <v>158</v>
      </c>
      <c r="H2451" s="32" t="str">
        <f aca="false">IF(L2451="","",INDEX(ポート振替表!$N$5:$N$3507,$L2451)&amp;"")</f>
        <v/>
      </c>
      <c r="I2451" s="32" t="str">
        <f aca="false">IF(L2451="","",INDEX(ポート振替表!$P$5:$P$3507,$L2451)&amp;"")</f>
        <v/>
      </c>
      <c r="J2451" s="60" t="str">
        <f aca="false">IF(L2451="","",INDEX(ポート振替表!$M$5:$M$3507,$L2451)&amp;"")</f>
        <v/>
      </c>
      <c r="K2451" s="52" t="str">
        <f aca="false">IF(L2451="","",E2451&amp;CHAR(10)&amp;INDEX(ポート振替表!$K$5:$K$3507,$L2451)&amp;" "&amp;INDEX(ポート振替表!$L$5:$L$3507,$L2451)&amp;CHAR(10)&amp;"⇔ "&amp;INDEX(ポート振替表!$H$5:$H$3507,$L2451)&amp;" "&amp;INDEX(ポート振替表!$I$5:$I$3507,$L2451))</f>
        <v/>
      </c>
      <c r="L2451" s="47" t="str">
        <f aca="false">IFERROR(MATCH(ROW()-4,ポート振替表!$V$5:$V$3507,0),"")</f>
        <v/>
      </c>
    </row>
    <row r="2452" customFormat="false" ht="16.4" hidden="false" customHeight="false" outlineLevel="0" collapsed="false">
      <c r="A2452" s="32" t="str">
        <f aca="false">IF(L2452="","",ROW()-4)</f>
        <v/>
      </c>
      <c r="B2452" s="58" t="str">
        <f aca="false">IF(L2452="","",IF(INDEX(ポート振替表!$W$5:$W$3507,$L2452)="","(なし)",INDEX(ポート振替表!$W$5:$W$3507,$L2452)&amp;""))</f>
        <v/>
      </c>
      <c r="C2452" s="52" t="str">
        <f aca="false">IF(L2452="","",INDEX(ポート振替表!$B$5:$B$3507,$L2452)&amp;" "&amp;INDEX(ポート振替表!$C$5:$C$3507,$L2452)&amp;"  ⇔  "&amp;INDEX(ポート振替表!$H$5:$H$3507,$L2452)&amp;" "&amp;INDEX(ポート振替表!$I$5:$I$3507,$L2452))</f>
        <v/>
      </c>
      <c r="D2452" s="57" t="s">
        <v>158</v>
      </c>
      <c r="E2452" s="59" t="str">
        <f aca="false">IF(L2452="","",IF(INDEX(ポート振替表!$O$5:$O$3507,$L2452)="","(未設定)",INDEX(ポート振替表!$O$5:$O$3507,$L2452)&amp;""))</f>
        <v/>
      </c>
      <c r="F2452" s="52" t="str">
        <f aca="false">IF(L2452="","",INDEX(ポート振替表!$K$5:$K$3507,$L2452)&amp;" "&amp;INDEX(ポート振替表!$L$5:$L$3507,$L2452)&amp;"  ⇔  "&amp;INDEX(ポート振替表!$H$5:$H$3507,$L2452)&amp;" "&amp;INDEX(ポート振替表!$I$5:$I$3507,$L2452))</f>
        <v/>
      </c>
      <c r="G2452" s="57" t="s">
        <v>158</v>
      </c>
      <c r="H2452" s="32" t="str">
        <f aca="false">IF(L2452="","",INDEX(ポート振替表!$N$5:$N$3507,$L2452)&amp;"")</f>
        <v/>
      </c>
      <c r="I2452" s="32" t="str">
        <f aca="false">IF(L2452="","",INDEX(ポート振替表!$P$5:$P$3507,$L2452)&amp;"")</f>
        <v/>
      </c>
      <c r="J2452" s="60" t="str">
        <f aca="false">IF(L2452="","",INDEX(ポート振替表!$M$5:$M$3507,$L2452)&amp;"")</f>
        <v/>
      </c>
      <c r="K2452" s="52" t="str">
        <f aca="false">IF(L2452="","",E2452&amp;CHAR(10)&amp;INDEX(ポート振替表!$K$5:$K$3507,$L2452)&amp;" "&amp;INDEX(ポート振替表!$L$5:$L$3507,$L2452)&amp;CHAR(10)&amp;"⇔ "&amp;INDEX(ポート振替表!$H$5:$H$3507,$L2452)&amp;" "&amp;INDEX(ポート振替表!$I$5:$I$3507,$L2452))</f>
        <v/>
      </c>
      <c r="L2452" s="47" t="str">
        <f aca="false">IFERROR(MATCH(ROW()-4,ポート振替表!$V$5:$V$3507,0),"")</f>
        <v/>
      </c>
    </row>
    <row r="2453" customFormat="false" ht="16.4" hidden="false" customHeight="false" outlineLevel="0" collapsed="false">
      <c r="A2453" s="32" t="str">
        <f aca="false">IF(L2453="","",ROW()-4)</f>
        <v/>
      </c>
      <c r="B2453" s="58" t="str">
        <f aca="false">IF(L2453="","",IF(INDEX(ポート振替表!$W$5:$W$3507,$L2453)="","(なし)",INDEX(ポート振替表!$W$5:$W$3507,$L2453)&amp;""))</f>
        <v/>
      </c>
      <c r="C2453" s="52" t="str">
        <f aca="false">IF(L2453="","",INDEX(ポート振替表!$B$5:$B$3507,$L2453)&amp;" "&amp;INDEX(ポート振替表!$C$5:$C$3507,$L2453)&amp;"  ⇔  "&amp;INDEX(ポート振替表!$H$5:$H$3507,$L2453)&amp;" "&amp;INDEX(ポート振替表!$I$5:$I$3507,$L2453))</f>
        <v/>
      </c>
      <c r="D2453" s="57" t="s">
        <v>158</v>
      </c>
      <c r="E2453" s="59" t="str">
        <f aca="false">IF(L2453="","",IF(INDEX(ポート振替表!$O$5:$O$3507,$L2453)="","(未設定)",INDEX(ポート振替表!$O$5:$O$3507,$L2453)&amp;""))</f>
        <v/>
      </c>
      <c r="F2453" s="52" t="str">
        <f aca="false">IF(L2453="","",INDEX(ポート振替表!$K$5:$K$3507,$L2453)&amp;" "&amp;INDEX(ポート振替表!$L$5:$L$3507,$L2453)&amp;"  ⇔  "&amp;INDEX(ポート振替表!$H$5:$H$3507,$L2453)&amp;" "&amp;INDEX(ポート振替表!$I$5:$I$3507,$L2453))</f>
        <v/>
      </c>
      <c r="G2453" s="57" t="s">
        <v>158</v>
      </c>
      <c r="H2453" s="32" t="str">
        <f aca="false">IF(L2453="","",INDEX(ポート振替表!$N$5:$N$3507,$L2453)&amp;"")</f>
        <v/>
      </c>
      <c r="I2453" s="32" t="str">
        <f aca="false">IF(L2453="","",INDEX(ポート振替表!$P$5:$P$3507,$L2453)&amp;"")</f>
        <v/>
      </c>
      <c r="J2453" s="60" t="str">
        <f aca="false">IF(L2453="","",INDEX(ポート振替表!$M$5:$M$3507,$L2453)&amp;"")</f>
        <v/>
      </c>
      <c r="K2453" s="52" t="str">
        <f aca="false">IF(L2453="","",E2453&amp;CHAR(10)&amp;INDEX(ポート振替表!$K$5:$K$3507,$L2453)&amp;" "&amp;INDEX(ポート振替表!$L$5:$L$3507,$L2453)&amp;CHAR(10)&amp;"⇔ "&amp;INDEX(ポート振替表!$H$5:$H$3507,$L2453)&amp;" "&amp;INDEX(ポート振替表!$I$5:$I$3507,$L2453))</f>
        <v/>
      </c>
      <c r="L2453" s="47" t="str">
        <f aca="false">IFERROR(MATCH(ROW()-4,ポート振替表!$V$5:$V$3507,0),"")</f>
        <v/>
      </c>
    </row>
    <row r="2454" customFormat="false" ht="16.4" hidden="false" customHeight="false" outlineLevel="0" collapsed="false">
      <c r="A2454" s="32" t="str">
        <f aca="false">IF(L2454="","",ROW()-4)</f>
        <v/>
      </c>
      <c r="B2454" s="58" t="str">
        <f aca="false">IF(L2454="","",IF(INDEX(ポート振替表!$W$5:$W$3507,$L2454)="","(なし)",INDEX(ポート振替表!$W$5:$W$3507,$L2454)&amp;""))</f>
        <v/>
      </c>
      <c r="C2454" s="52" t="str">
        <f aca="false">IF(L2454="","",INDEX(ポート振替表!$B$5:$B$3507,$L2454)&amp;" "&amp;INDEX(ポート振替表!$C$5:$C$3507,$L2454)&amp;"  ⇔  "&amp;INDEX(ポート振替表!$H$5:$H$3507,$L2454)&amp;" "&amp;INDEX(ポート振替表!$I$5:$I$3507,$L2454))</f>
        <v/>
      </c>
      <c r="D2454" s="57" t="s">
        <v>158</v>
      </c>
      <c r="E2454" s="59" t="str">
        <f aca="false">IF(L2454="","",IF(INDEX(ポート振替表!$O$5:$O$3507,$L2454)="","(未設定)",INDEX(ポート振替表!$O$5:$O$3507,$L2454)&amp;""))</f>
        <v/>
      </c>
      <c r="F2454" s="52" t="str">
        <f aca="false">IF(L2454="","",INDEX(ポート振替表!$K$5:$K$3507,$L2454)&amp;" "&amp;INDEX(ポート振替表!$L$5:$L$3507,$L2454)&amp;"  ⇔  "&amp;INDEX(ポート振替表!$H$5:$H$3507,$L2454)&amp;" "&amp;INDEX(ポート振替表!$I$5:$I$3507,$L2454))</f>
        <v/>
      </c>
      <c r="G2454" s="57" t="s">
        <v>158</v>
      </c>
      <c r="H2454" s="32" t="str">
        <f aca="false">IF(L2454="","",INDEX(ポート振替表!$N$5:$N$3507,$L2454)&amp;"")</f>
        <v/>
      </c>
      <c r="I2454" s="32" t="str">
        <f aca="false">IF(L2454="","",INDEX(ポート振替表!$P$5:$P$3507,$L2454)&amp;"")</f>
        <v/>
      </c>
      <c r="J2454" s="60" t="str">
        <f aca="false">IF(L2454="","",INDEX(ポート振替表!$M$5:$M$3507,$L2454)&amp;"")</f>
        <v/>
      </c>
      <c r="K2454" s="52" t="str">
        <f aca="false">IF(L2454="","",E2454&amp;CHAR(10)&amp;INDEX(ポート振替表!$K$5:$K$3507,$L2454)&amp;" "&amp;INDEX(ポート振替表!$L$5:$L$3507,$L2454)&amp;CHAR(10)&amp;"⇔ "&amp;INDEX(ポート振替表!$H$5:$H$3507,$L2454)&amp;" "&amp;INDEX(ポート振替表!$I$5:$I$3507,$L2454))</f>
        <v/>
      </c>
      <c r="L2454" s="47" t="str">
        <f aca="false">IFERROR(MATCH(ROW()-4,ポート振替表!$V$5:$V$3507,0),"")</f>
        <v/>
      </c>
    </row>
    <row r="2455" customFormat="false" ht="16.4" hidden="false" customHeight="false" outlineLevel="0" collapsed="false">
      <c r="A2455" s="32" t="str">
        <f aca="false">IF(L2455="","",ROW()-4)</f>
        <v/>
      </c>
      <c r="B2455" s="58" t="str">
        <f aca="false">IF(L2455="","",IF(INDEX(ポート振替表!$W$5:$W$3507,$L2455)="","(なし)",INDEX(ポート振替表!$W$5:$W$3507,$L2455)&amp;""))</f>
        <v/>
      </c>
      <c r="C2455" s="52" t="str">
        <f aca="false">IF(L2455="","",INDEX(ポート振替表!$B$5:$B$3507,$L2455)&amp;" "&amp;INDEX(ポート振替表!$C$5:$C$3507,$L2455)&amp;"  ⇔  "&amp;INDEX(ポート振替表!$H$5:$H$3507,$L2455)&amp;" "&amp;INDEX(ポート振替表!$I$5:$I$3507,$L2455))</f>
        <v/>
      </c>
      <c r="D2455" s="57" t="s">
        <v>158</v>
      </c>
      <c r="E2455" s="59" t="str">
        <f aca="false">IF(L2455="","",IF(INDEX(ポート振替表!$O$5:$O$3507,$L2455)="","(未設定)",INDEX(ポート振替表!$O$5:$O$3507,$L2455)&amp;""))</f>
        <v/>
      </c>
      <c r="F2455" s="52" t="str">
        <f aca="false">IF(L2455="","",INDEX(ポート振替表!$K$5:$K$3507,$L2455)&amp;" "&amp;INDEX(ポート振替表!$L$5:$L$3507,$L2455)&amp;"  ⇔  "&amp;INDEX(ポート振替表!$H$5:$H$3507,$L2455)&amp;" "&amp;INDEX(ポート振替表!$I$5:$I$3507,$L2455))</f>
        <v/>
      </c>
      <c r="G2455" s="57" t="s">
        <v>158</v>
      </c>
      <c r="H2455" s="32" t="str">
        <f aca="false">IF(L2455="","",INDEX(ポート振替表!$N$5:$N$3507,$L2455)&amp;"")</f>
        <v/>
      </c>
      <c r="I2455" s="32" t="str">
        <f aca="false">IF(L2455="","",INDEX(ポート振替表!$P$5:$P$3507,$L2455)&amp;"")</f>
        <v/>
      </c>
      <c r="J2455" s="60" t="str">
        <f aca="false">IF(L2455="","",INDEX(ポート振替表!$M$5:$M$3507,$L2455)&amp;"")</f>
        <v/>
      </c>
      <c r="K2455" s="52" t="str">
        <f aca="false">IF(L2455="","",E2455&amp;CHAR(10)&amp;INDEX(ポート振替表!$K$5:$K$3507,$L2455)&amp;" "&amp;INDEX(ポート振替表!$L$5:$L$3507,$L2455)&amp;CHAR(10)&amp;"⇔ "&amp;INDEX(ポート振替表!$H$5:$H$3507,$L2455)&amp;" "&amp;INDEX(ポート振替表!$I$5:$I$3507,$L2455))</f>
        <v/>
      </c>
      <c r="L2455" s="47" t="str">
        <f aca="false">IFERROR(MATCH(ROW()-4,ポート振替表!$V$5:$V$3507,0),"")</f>
        <v/>
      </c>
    </row>
    <row r="2456" customFormat="false" ht="16.4" hidden="false" customHeight="false" outlineLevel="0" collapsed="false">
      <c r="A2456" s="32" t="str">
        <f aca="false">IF(L2456="","",ROW()-4)</f>
        <v/>
      </c>
      <c r="B2456" s="58" t="str">
        <f aca="false">IF(L2456="","",IF(INDEX(ポート振替表!$W$5:$W$3507,$L2456)="","(なし)",INDEX(ポート振替表!$W$5:$W$3507,$L2456)&amp;""))</f>
        <v/>
      </c>
      <c r="C2456" s="52" t="str">
        <f aca="false">IF(L2456="","",INDEX(ポート振替表!$B$5:$B$3507,$L2456)&amp;" "&amp;INDEX(ポート振替表!$C$5:$C$3507,$L2456)&amp;"  ⇔  "&amp;INDEX(ポート振替表!$H$5:$H$3507,$L2456)&amp;" "&amp;INDEX(ポート振替表!$I$5:$I$3507,$L2456))</f>
        <v/>
      </c>
      <c r="D2456" s="57" t="s">
        <v>158</v>
      </c>
      <c r="E2456" s="59" t="str">
        <f aca="false">IF(L2456="","",IF(INDEX(ポート振替表!$O$5:$O$3507,$L2456)="","(未設定)",INDEX(ポート振替表!$O$5:$O$3507,$L2456)&amp;""))</f>
        <v/>
      </c>
      <c r="F2456" s="52" t="str">
        <f aca="false">IF(L2456="","",INDEX(ポート振替表!$K$5:$K$3507,$L2456)&amp;" "&amp;INDEX(ポート振替表!$L$5:$L$3507,$L2456)&amp;"  ⇔  "&amp;INDEX(ポート振替表!$H$5:$H$3507,$L2456)&amp;" "&amp;INDEX(ポート振替表!$I$5:$I$3507,$L2456))</f>
        <v/>
      </c>
      <c r="G2456" s="57" t="s">
        <v>158</v>
      </c>
      <c r="H2456" s="32" t="str">
        <f aca="false">IF(L2456="","",INDEX(ポート振替表!$N$5:$N$3507,$L2456)&amp;"")</f>
        <v/>
      </c>
      <c r="I2456" s="32" t="str">
        <f aca="false">IF(L2456="","",INDEX(ポート振替表!$P$5:$P$3507,$L2456)&amp;"")</f>
        <v/>
      </c>
      <c r="J2456" s="60" t="str">
        <f aca="false">IF(L2456="","",INDEX(ポート振替表!$M$5:$M$3507,$L2456)&amp;"")</f>
        <v/>
      </c>
      <c r="K2456" s="52" t="str">
        <f aca="false">IF(L2456="","",E2456&amp;CHAR(10)&amp;INDEX(ポート振替表!$K$5:$K$3507,$L2456)&amp;" "&amp;INDEX(ポート振替表!$L$5:$L$3507,$L2456)&amp;CHAR(10)&amp;"⇔ "&amp;INDEX(ポート振替表!$H$5:$H$3507,$L2456)&amp;" "&amp;INDEX(ポート振替表!$I$5:$I$3507,$L2456))</f>
        <v/>
      </c>
      <c r="L2456" s="47" t="str">
        <f aca="false">IFERROR(MATCH(ROW()-4,ポート振替表!$V$5:$V$3507,0),"")</f>
        <v/>
      </c>
    </row>
    <row r="2457" customFormat="false" ht="16.4" hidden="false" customHeight="false" outlineLevel="0" collapsed="false">
      <c r="A2457" s="32" t="str">
        <f aca="false">IF(L2457="","",ROW()-4)</f>
        <v/>
      </c>
      <c r="B2457" s="58" t="str">
        <f aca="false">IF(L2457="","",IF(INDEX(ポート振替表!$W$5:$W$3507,$L2457)="","(なし)",INDEX(ポート振替表!$W$5:$W$3507,$L2457)&amp;""))</f>
        <v/>
      </c>
      <c r="C2457" s="52" t="str">
        <f aca="false">IF(L2457="","",INDEX(ポート振替表!$B$5:$B$3507,$L2457)&amp;" "&amp;INDEX(ポート振替表!$C$5:$C$3507,$L2457)&amp;"  ⇔  "&amp;INDEX(ポート振替表!$H$5:$H$3507,$L2457)&amp;" "&amp;INDEX(ポート振替表!$I$5:$I$3507,$L2457))</f>
        <v/>
      </c>
      <c r="D2457" s="57" t="s">
        <v>158</v>
      </c>
      <c r="E2457" s="59" t="str">
        <f aca="false">IF(L2457="","",IF(INDEX(ポート振替表!$O$5:$O$3507,$L2457)="","(未設定)",INDEX(ポート振替表!$O$5:$O$3507,$L2457)&amp;""))</f>
        <v/>
      </c>
      <c r="F2457" s="52" t="str">
        <f aca="false">IF(L2457="","",INDEX(ポート振替表!$K$5:$K$3507,$L2457)&amp;" "&amp;INDEX(ポート振替表!$L$5:$L$3507,$L2457)&amp;"  ⇔  "&amp;INDEX(ポート振替表!$H$5:$H$3507,$L2457)&amp;" "&amp;INDEX(ポート振替表!$I$5:$I$3507,$L2457))</f>
        <v/>
      </c>
      <c r="G2457" s="57" t="s">
        <v>158</v>
      </c>
      <c r="H2457" s="32" t="str">
        <f aca="false">IF(L2457="","",INDEX(ポート振替表!$N$5:$N$3507,$L2457)&amp;"")</f>
        <v/>
      </c>
      <c r="I2457" s="32" t="str">
        <f aca="false">IF(L2457="","",INDEX(ポート振替表!$P$5:$P$3507,$L2457)&amp;"")</f>
        <v/>
      </c>
      <c r="J2457" s="60" t="str">
        <f aca="false">IF(L2457="","",INDEX(ポート振替表!$M$5:$M$3507,$L2457)&amp;"")</f>
        <v/>
      </c>
      <c r="K2457" s="52" t="str">
        <f aca="false">IF(L2457="","",E2457&amp;CHAR(10)&amp;INDEX(ポート振替表!$K$5:$K$3507,$L2457)&amp;" "&amp;INDEX(ポート振替表!$L$5:$L$3507,$L2457)&amp;CHAR(10)&amp;"⇔ "&amp;INDEX(ポート振替表!$H$5:$H$3507,$L2457)&amp;" "&amp;INDEX(ポート振替表!$I$5:$I$3507,$L2457))</f>
        <v/>
      </c>
      <c r="L2457" s="47" t="str">
        <f aca="false">IFERROR(MATCH(ROW()-4,ポート振替表!$V$5:$V$3507,0),"")</f>
        <v/>
      </c>
    </row>
    <row r="2458" customFormat="false" ht="16.4" hidden="false" customHeight="false" outlineLevel="0" collapsed="false">
      <c r="A2458" s="32" t="str">
        <f aca="false">IF(L2458="","",ROW()-4)</f>
        <v/>
      </c>
      <c r="B2458" s="58" t="str">
        <f aca="false">IF(L2458="","",IF(INDEX(ポート振替表!$W$5:$W$3507,$L2458)="","(なし)",INDEX(ポート振替表!$W$5:$W$3507,$L2458)&amp;""))</f>
        <v/>
      </c>
      <c r="C2458" s="52" t="str">
        <f aca="false">IF(L2458="","",INDEX(ポート振替表!$B$5:$B$3507,$L2458)&amp;" "&amp;INDEX(ポート振替表!$C$5:$C$3507,$L2458)&amp;"  ⇔  "&amp;INDEX(ポート振替表!$H$5:$H$3507,$L2458)&amp;" "&amp;INDEX(ポート振替表!$I$5:$I$3507,$L2458))</f>
        <v/>
      </c>
      <c r="D2458" s="57" t="s">
        <v>158</v>
      </c>
      <c r="E2458" s="59" t="str">
        <f aca="false">IF(L2458="","",IF(INDEX(ポート振替表!$O$5:$O$3507,$L2458)="","(未設定)",INDEX(ポート振替表!$O$5:$O$3507,$L2458)&amp;""))</f>
        <v/>
      </c>
      <c r="F2458" s="52" t="str">
        <f aca="false">IF(L2458="","",INDEX(ポート振替表!$K$5:$K$3507,$L2458)&amp;" "&amp;INDEX(ポート振替表!$L$5:$L$3507,$L2458)&amp;"  ⇔  "&amp;INDEX(ポート振替表!$H$5:$H$3507,$L2458)&amp;" "&amp;INDEX(ポート振替表!$I$5:$I$3507,$L2458))</f>
        <v/>
      </c>
      <c r="G2458" s="57" t="s">
        <v>158</v>
      </c>
      <c r="H2458" s="32" t="str">
        <f aca="false">IF(L2458="","",INDEX(ポート振替表!$N$5:$N$3507,$L2458)&amp;"")</f>
        <v/>
      </c>
      <c r="I2458" s="32" t="str">
        <f aca="false">IF(L2458="","",INDEX(ポート振替表!$P$5:$P$3507,$L2458)&amp;"")</f>
        <v/>
      </c>
      <c r="J2458" s="60" t="str">
        <f aca="false">IF(L2458="","",INDEX(ポート振替表!$M$5:$M$3507,$L2458)&amp;"")</f>
        <v/>
      </c>
      <c r="K2458" s="52" t="str">
        <f aca="false">IF(L2458="","",E2458&amp;CHAR(10)&amp;INDEX(ポート振替表!$K$5:$K$3507,$L2458)&amp;" "&amp;INDEX(ポート振替表!$L$5:$L$3507,$L2458)&amp;CHAR(10)&amp;"⇔ "&amp;INDEX(ポート振替表!$H$5:$H$3507,$L2458)&amp;" "&amp;INDEX(ポート振替表!$I$5:$I$3507,$L2458))</f>
        <v/>
      </c>
      <c r="L2458" s="47" t="str">
        <f aca="false">IFERROR(MATCH(ROW()-4,ポート振替表!$V$5:$V$3507,0),"")</f>
        <v/>
      </c>
    </row>
    <row r="2459" customFormat="false" ht="16.4" hidden="false" customHeight="false" outlineLevel="0" collapsed="false">
      <c r="A2459" s="32" t="str">
        <f aca="false">IF(L2459="","",ROW()-4)</f>
        <v/>
      </c>
      <c r="B2459" s="58" t="str">
        <f aca="false">IF(L2459="","",IF(INDEX(ポート振替表!$W$5:$W$3507,$L2459)="","(なし)",INDEX(ポート振替表!$W$5:$W$3507,$L2459)&amp;""))</f>
        <v/>
      </c>
      <c r="C2459" s="52" t="str">
        <f aca="false">IF(L2459="","",INDEX(ポート振替表!$B$5:$B$3507,$L2459)&amp;" "&amp;INDEX(ポート振替表!$C$5:$C$3507,$L2459)&amp;"  ⇔  "&amp;INDEX(ポート振替表!$H$5:$H$3507,$L2459)&amp;" "&amp;INDEX(ポート振替表!$I$5:$I$3507,$L2459))</f>
        <v/>
      </c>
      <c r="D2459" s="57" t="s">
        <v>158</v>
      </c>
      <c r="E2459" s="59" t="str">
        <f aca="false">IF(L2459="","",IF(INDEX(ポート振替表!$O$5:$O$3507,$L2459)="","(未設定)",INDEX(ポート振替表!$O$5:$O$3507,$L2459)&amp;""))</f>
        <v/>
      </c>
      <c r="F2459" s="52" t="str">
        <f aca="false">IF(L2459="","",INDEX(ポート振替表!$K$5:$K$3507,$L2459)&amp;" "&amp;INDEX(ポート振替表!$L$5:$L$3507,$L2459)&amp;"  ⇔  "&amp;INDEX(ポート振替表!$H$5:$H$3507,$L2459)&amp;" "&amp;INDEX(ポート振替表!$I$5:$I$3507,$L2459))</f>
        <v/>
      </c>
      <c r="G2459" s="57" t="s">
        <v>158</v>
      </c>
      <c r="H2459" s="32" t="str">
        <f aca="false">IF(L2459="","",INDEX(ポート振替表!$N$5:$N$3507,$L2459)&amp;"")</f>
        <v/>
      </c>
      <c r="I2459" s="32" t="str">
        <f aca="false">IF(L2459="","",INDEX(ポート振替表!$P$5:$P$3507,$L2459)&amp;"")</f>
        <v/>
      </c>
      <c r="J2459" s="60" t="str">
        <f aca="false">IF(L2459="","",INDEX(ポート振替表!$M$5:$M$3507,$L2459)&amp;"")</f>
        <v/>
      </c>
      <c r="K2459" s="52" t="str">
        <f aca="false">IF(L2459="","",E2459&amp;CHAR(10)&amp;INDEX(ポート振替表!$K$5:$K$3507,$L2459)&amp;" "&amp;INDEX(ポート振替表!$L$5:$L$3507,$L2459)&amp;CHAR(10)&amp;"⇔ "&amp;INDEX(ポート振替表!$H$5:$H$3507,$L2459)&amp;" "&amp;INDEX(ポート振替表!$I$5:$I$3507,$L2459))</f>
        <v/>
      </c>
      <c r="L2459" s="47" t="str">
        <f aca="false">IFERROR(MATCH(ROW()-4,ポート振替表!$V$5:$V$3507,0),"")</f>
        <v/>
      </c>
    </row>
    <row r="2460" customFormat="false" ht="16.4" hidden="false" customHeight="false" outlineLevel="0" collapsed="false">
      <c r="A2460" s="32" t="str">
        <f aca="false">IF(L2460="","",ROW()-4)</f>
        <v/>
      </c>
      <c r="B2460" s="58" t="str">
        <f aca="false">IF(L2460="","",IF(INDEX(ポート振替表!$W$5:$W$3507,$L2460)="","(なし)",INDEX(ポート振替表!$W$5:$W$3507,$L2460)&amp;""))</f>
        <v/>
      </c>
      <c r="C2460" s="52" t="str">
        <f aca="false">IF(L2460="","",INDEX(ポート振替表!$B$5:$B$3507,$L2460)&amp;" "&amp;INDEX(ポート振替表!$C$5:$C$3507,$L2460)&amp;"  ⇔  "&amp;INDEX(ポート振替表!$H$5:$H$3507,$L2460)&amp;" "&amp;INDEX(ポート振替表!$I$5:$I$3507,$L2460))</f>
        <v/>
      </c>
      <c r="D2460" s="57" t="s">
        <v>158</v>
      </c>
      <c r="E2460" s="59" t="str">
        <f aca="false">IF(L2460="","",IF(INDEX(ポート振替表!$O$5:$O$3507,$L2460)="","(未設定)",INDEX(ポート振替表!$O$5:$O$3507,$L2460)&amp;""))</f>
        <v/>
      </c>
      <c r="F2460" s="52" t="str">
        <f aca="false">IF(L2460="","",INDEX(ポート振替表!$K$5:$K$3507,$L2460)&amp;" "&amp;INDEX(ポート振替表!$L$5:$L$3507,$L2460)&amp;"  ⇔  "&amp;INDEX(ポート振替表!$H$5:$H$3507,$L2460)&amp;" "&amp;INDEX(ポート振替表!$I$5:$I$3507,$L2460))</f>
        <v/>
      </c>
      <c r="G2460" s="57" t="s">
        <v>158</v>
      </c>
      <c r="H2460" s="32" t="str">
        <f aca="false">IF(L2460="","",INDEX(ポート振替表!$N$5:$N$3507,$L2460)&amp;"")</f>
        <v/>
      </c>
      <c r="I2460" s="32" t="str">
        <f aca="false">IF(L2460="","",INDEX(ポート振替表!$P$5:$P$3507,$L2460)&amp;"")</f>
        <v/>
      </c>
      <c r="J2460" s="60" t="str">
        <f aca="false">IF(L2460="","",INDEX(ポート振替表!$M$5:$M$3507,$L2460)&amp;"")</f>
        <v/>
      </c>
      <c r="K2460" s="52" t="str">
        <f aca="false">IF(L2460="","",E2460&amp;CHAR(10)&amp;INDEX(ポート振替表!$K$5:$K$3507,$L2460)&amp;" "&amp;INDEX(ポート振替表!$L$5:$L$3507,$L2460)&amp;CHAR(10)&amp;"⇔ "&amp;INDEX(ポート振替表!$H$5:$H$3507,$L2460)&amp;" "&amp;INDEX(ポート振替表!$I$5:$I$3507,$L2460))</f>
        <v/>
      </c>
      <c r="L2460" s="47" t="str">
        <f aca="false">IFERROR(MATCH(ROW()-4,ポート振替表!$V$5:$V$3507,0),"")</f>
        <v/>
      </c>
    </row>
    <row r="2461" customFormat="false" ht="16.4" hidden="false" customHeight="false" outlineLevel="0" collapsed="false">
      <c r="A2461" s="32" t="str">
        <f aca="false">IF(L2461="","",ROW()-4)</f>
        <v/>
      </c>
      <c r="B2461" s="58" t="str">
        <f aca="false">IF(L2461="","",IF(INDEX(ポート振替表!$W$5:$W$3507,$L2461)="","(なし)",INDEX(ポート振替表!$W$5:$W$3507,$L2461)&amp;""))</f>
        <v/>
      </c>
      <c r="C2461" s="52" t="str">
        <f aca="false">IF(L2461="","",INDEX(ポート振替表!$B$5:$B$3507,$L2461)&amp;" "&amp;INDEX(ポート振替表!$C$5:$C$3507,$L2461)&amp;"  ⇔  "&amp;INDEX(ポート振替表!$H$5:$H$3507,$L2461)&amp;" "&amp;INDEX(ポート振替表!$I$5:$I$3507,$L2461))</f>
        <v/>
      </c>
      <c r="D2461" s="57" t="s">
        <v>158</v>
      </c>
      <c r="E2461" s="59" t="str">
        <f aca="false">IF(L2461="","",IF(INDEX(ポート振替表!$O$5:$O$3507,$L2461)="","(未設定)",INDEX(ポート振替表!$O$5:$O$3507,$L2461)&amp;""))</f>
        <v/>
      </c>
      <c r="F2461" s="52" t="str">
        <f aca="false">IF(L2461="","",INDEX(ポート振替表!$K$5:$K$3507,$L2461)&amp;" "&amp;INDEX(ポート振替表!$L$5:$L$3507,$L2461)&amp;"  ⇔  "&amp;INDEX(ポート振替表!$H$5:$H$3507,$L2461)&amp;" "&amp;INDEX(ポート振替表!$I$5:$I$3507,$L2461))</f>
        <v/>
      </c>
      <c r="G2461" s="57" t="s">
        <v>158</v>
      </c>
      <c r="H2461" s="32" t="str">
        <f aca="false">IF(L2461="","",INDEX(ポート振替表!$N$5:$N$3507,$L2461)&amp;"")</f>
        <v/>
      </c>
      <c r="I2461" s="32" t="str">
        <f aca="false">IF(L2461="","",INDEX(ポート振替表!$P$5:$P$3507,$L2461)&amp;"")</f>
        <v/>
      </c>
      <c r="J2461" s="60" t="str">
        <f aca="false">IF(L2461="","",INDEX(ポート振替表!$M$5:$M$3507,$L2461)&amp;"")</f>
        <v/>
      </c>
      <c r="K2461" s="52" t="str">
        <f aca="false">IF(L2461="","",E2461&amp;CHAR(10)&amp;INDEX(ポート振替表!$K$5:$K$3507,$L2461)&amp;" "&amp;INDEX(ポート振替表!$L$5:$L$3507,$L2461)&amp;CHAR(10)&amp;"⇔ "&amp;INDEX(ポート振替表!$H$5:$H$3507,$L2461)&amp;" "&amp;INDEX(ポート振替表!$I$5:$I$3507,$L2461))</f>
        <v/>
      </c>
      <c r="L2461" s="47" t="str">
        <f aca="false">IFERROR(MATCH(ROW()-4,ポート振替表!$V$5:$V$3507,0),"")</f>
        <v/>
      </c>
    </row>
    <row r="2462" customFormat="false" ht="16.4" hidden="false" customHeight="false" outlineLevel="0" collapsed="false">
      <c r="A2462" s="32" t="str">
        <f aca="false">IF(L2462="","",ROW()-4)</f>
        <v/>
      </c>
      <c r="B2462" s="58" t="str">
        <f aca="false">IF(L2462="","",IF(INDEX(ポート振替表!$W$5:$W$3507,$L2462)="","(なし)",INDEX(ポート振替表!$W$5:$W$3507,$L2462)&amp;""))</f>
        <v/>
      </c>
      <c r="C2462" s="52" t="str">
        <f aca="false">IF(L2462="","",INDEX(ポート振替表!$B$5:$B$3507,$L2462)&amp;" "&amp;INDEX(ポート振替表!$C$5:$C$3507,$L2462)&amp;"  ⇔  "&amp;INDEX(ポート振替表!$H$5:$H$3507,$L2462)&amp;" "&amp;INDEX(ポート振替表!$I$5:$I$3507,$L2462))</f>
        <v/>
      </c>
      <c r="D2462" s="57" t="s">
        <v>158</v>
      </c>
      <c r="E2462" s="59" t="str">
        <f aca="false">IF(L2462="","",IF(INDEX(ポート振替表!$O$5:$O$3507,$L2462)="","(未設定)",INDEX(ポート振替表!$O$5:$O$3507,$L2462)&amp;""))</f>
        <v/>
      </c>
      <c r="F2462" s="52" t="str">
        <f aca="false">IF(L2462="","",INDEX(ポート振替表!$K$5:$K$3507,$L2462)&amp;" "&amp;INDEX(ポート振替表!$L$5:$L$3507,$L2462)&amp;"  ⇔  "&amp;INDEX(ポート振替表!$H$5:$H$3507,$L2462)&amp;" "&amp;INDEX(ポート振替表!$I$5:$I$3507,$L2462))</f>
        <v/>
      </c>
      <c r="G2462" s="57" t="s">
        <v>158</v>
      </c>
      <c r="H2462" s="32" t="str">
        <f aca="false">IF(L2462="","",INDEX(ポート振替表!$N$5:$N$3507,$L2462)&amp;"")</f>
        <v/>
      </c>
      <c r="I2462" s="32" t="str">
        <f aca="false">IF(L2462="","",INDEX(ポート振替表!$P$5:$P$3507,$L2462)&amp;"")</f>
        <v/>
      </c>
      <c r="J2462" s="60" t="str">
        <f aca="false">IF(L2462="","",INDEX(ポート振替表!$M$5:$M$3507,$L2462)&amp;"")</f>
        <v/>
      </c>
      <c r="K2462" s="52" t="str">
        <f aca="false">IF(L2462="","",E2462&amp;CHAR(10)&amp;INDEX(ポート振替表!$K$5:$K$3507,$L2462)&amp;" "&amp;INDEX(ポート振替表!$L$5:$L$3507,$L2462)&amp;CHAR(10)&amp;"⇔ "&amp;INDEX(ポート振替表!$H$5:$H$3507,$L2462)&amp;" "&amp;INDEX(ポート振替表!$I$5:$I$3507,$L2462))</f>
        <v/>
      </c>
      <c r="L2462" s="47" t="str">
        <f aca="false">IFERROR(MATCH(ROW()-4,ポート振替表!$V$5:$V$3507,0),"")</f>
        <v/>
      </c>
    </row>
    <row r="2463" customFormat="false" ht="16.4" hidden="false" customHeight="false" outlineLevel="0" collapsed="false">
      <c r="A2463" s="32" t="str">
        <f aca="false">IF(L2463="","",ROW()-4)</f>
        <v/>
      </c>
      <c r="B2463" s="58" t="str">
        <f aca="false">IF(L2463="","",IF(INDEX(ポート振替表!$W$5:$W$3507,$L2463)="","(なし)",INDEX(ポート振替表!$W$5:$W$3507,$L2463)&amp;""))</f>
        <v/>
      </c>
      <c r="C2463" s="52" t="str">
        <f aca="false">IF(L2463="","",INDEX(ポート振替表!$B$5:$B$3507,$L2463)&amp;" "&amp;INDEX(ポート振替表!$C$5:$C$3507,$L2463)&amp;"  ⇔  "&amp;INDEX(ポート振替表!$H$5:$H$3507,$L2463)&amp;" "&amp;INDEX(ポート振替表!$I$5:$I$3507,$L2463))</f>
        <v/>
      </c>
      <c r="D2463" s="57" t="s">
        <v>158</v>
      </c>
      <c r="E2463" s="59" t="str">
        <f aca="false">IF(L2463="","",IF(INDEX(ポート振替表!$O$5:$O$3507,$L2463)="","(未設定)",INDEX(ポート振替表!$O$5:$O$3507,$L2463)&amp;""))</f>
        <v/>
      </c>
      <c r="F2463" s="52" t="str">
        <f aca="false">IF(L2463="","",INDEX(ポート振替表!$K$5:$K$3507,$L2463)&amp;" "&amp;INDEX(ポート振替表!$L$5:$L$3507,$L2463)&amp;"  ⇔  "&amp;INDEX(ポート振替表!$H$5:$H$3507,$L2463)&amp;" "&amp;INDEX(ポート振替表!$I$5:$I$3507,$L2463))</f>
        <v/>
      </c>
      <c r="G2463" s="57" t="s">
        <v>158</v>
      </c>
      <c r="H2463" s="32" t="str">
        <f aca="false">IF(L2463="","",INDEX(ポート振替表!$N$5:$N$3507,$L2463)&amp;"")</f>
        <v/>
      </c>
      <c r="I2463" s="32" t="str">
        <f aca="false">IF(L2463="","",INDEX(ポート振替表!$P$5:$P$3507,$L2463)&amp;"")</f>
        <v/>
      </c>
      <c r="J2463" s="60" t="str">
        <f aca="false">IF(L2463="","",INDEX(ポート振替表!$M$5:$M$3507,$L2463)&amp;"")</f>
        <v/>
      </c>
      <c r="K2463" s="52" t="str">
        <f aca="false">IF(L2463="","",E2463&amp;CHAR(10)&amp;INDEX(ポート振替表!$K$5:$K$3507,$L2463)&amp;" "&amp;INDEX(ポート振替表!$L$5:$L$3507,$L2463)&amp;CHAR(10)&amp;"⇔ "&amp;INDEX(ポート振替表!$H$5:$H$3507,$L2463)&amp;" "&amp;INDEX(ポート振替表!$I$5:$I$3507,$L2463))</f>
        <v/>
      </c>
      <c r="L2463" s="47" t="str">
        <f aca="false">IFERROR(MATCH(ROW()-4,ポート振替表!$V$5:$V$3507,0),"")</f>
        <v/>
      </c>
    </row>
    <row r="2464" customFormat="false" ht="16.4" hidden="false" customHeight="false" outlineLevel="0" collapsed="false">
      <c r="A2464" s="32" t="str">
        <f aca="false">IF(L2464="","",ROW()-4)</f>
        <v/>
      </c>
      <c r="B2464" s="58" t="str">
        <f aca="false">IF(L2464="","",IF(INDEX(ポート振替表!$W$5:$W$3507,$L2464)="","(なし)",INDEX(ポート振替表!$W$5:$W$3507,$L2464)&amp;""))</f>
        <v/>
      </c>
      <c r="C2464" s="52" t="str">
        <f aca="false">IF(L2464="","",INDEX(ポート振替表!$B$5:$B$3507,$L2464)&amp;" "&amp;INDEX(ポート振替表!$C$5:$C$3507,$L2464)&amp;"  ⇔  "&amp;INDEX(ポート振替表!$H$5:$H$3507,$L2464)&amp;" "&amp;INDEX(ポート振替表!$I$5:$I$3507,$L2464))</f>
        <v/>
      </c>
      <c r="D2464" s="57" t="s">
        <v>158</v>
      </c>
      <c r="E2464" s="59" t="str">
        <f aca="false">IF(L2464="","",IF(INDEX(ポート振替表!$O$5:$O$3507,$L2464)="","(未設定)",INDEX(ポート振替表!$O$5:$O$3507,$L2464)&amp;""))</f>
        <v/>
      </c>
      <c r="F2464" s="52" t="str">
        <f aca="false">IF(L2464="","",INDEX(ポート振替表!$K$5:$K$3507,$L2464)&amp;" "&amp;INDEX(ポート振替表!$L$5:$L$3507,$L2464)&amp;"  ⇔  "&amp;INDEX(ポート振替表!$H$5:$H$3507,$L2464)&amp;" "&amp;INDEX(ポート振替表!$I$5:$I$3507,$L2464))</f>
        <v/>
      </c>
      <c r="G2464" s="57" t="s">
        <v>158</v>
      </c>
      <c r="H2464" s="32" t="str">
        <f aca="false">IF(L2464="","",INDEX(ポート振替表!$N$5:$N$3507,$L2464)&amp;"")</f>
        <v/>
      </c>
      <c r="I2464" s="32" t="str">
        <f aca="false">IF(L2464="","",INDEX(ポート振替表!$P$5:$P$3507,$L2464)&amp;"")</f>
        <v/>
      </c>
      <c r="J2464" s="60" t="str">
        <f aca="false">IF(L2464="","",INDEX(ポート振替表!$M$5:$M$3507,$L2464)&amp;"")</f>
        <v/>
      </c>
      <c r="K2464" s="52" t="str">
        <f aca="false">IF(L2464="","",E2464&amp;CHAR(10)&amp;INDEX(ポート振替表!$K$5:$K$3507,$L2464)&amp;" "&amp;INDEX(ポート振替表!$L$5:$L$3507,$L2464)&amp;CHAR(10)&amp;"⇔ "&amp;INDEX(ポート振替表!$H$5:$H$3507,$L2464)&amp;" "&amp;INDEX(ポート振替表!$I$5:$I$3507,$L2464))</f>
        <v/>
      </c>
      <c r="L2464" s="47" t="str">
        <f aca="false">IFERROR(MATCH(ROW()-4,ポート振替表!$V$5:$V$3507,0),"")</f>
        <v/>
      </c>
    </row>
    <row r="2465" customFormat="false" ht="16.4" hidden="false" customHeight="false" outlineLevel="0" collapsed="false">
      <c r="A2465" s="32" t="str">
        <f aca="false">IF(L2465="","",ROW()-4)</f>
        <v/>
      </c>
      <c r="B2465" s="58" t="str">
        <f aca="false">IF(L2465="","",IF(INDEX(ポート振替表!$W$5:$W$3507,$L2465)="","(なし)",INDEX(ポート振替表!$W$5:$W$3507,$L2465)&amp;""))</f>
        <v/>
      </c>
      <c r="C2465" s="52" t="str">
        <f aca="false">IF(L2465="","",INDEX(ポート振替表!$B$5:$B$3507,$L2465)&amp;" "&amp;INDEX(ポート振替表!$C$5:$C$3507,$L2465)&amp;"  ⇔  "&amp;INDEX(ポート振替表!$H$5:$H$3507,$L2465)&amp;" "&amp;INDEX(ポート振替表!$I$5:$I$3507,$L2465))</f>
        <v/>
      </c>
      <c r="D2465" s="57" t="s">
        <v>158</v>
      </c>
      <c r="E2465" s="59" t="str">
        <f aca="false">IF(L2465="","",IF(INDEX(ポート振替表!$O$5:$O$3507,$L2465)="","(未設定)",INDEX(ポート振替表!$O$5:$O$3507,$L2465)&amp;""))</f>
        <v/>
      </c>
      <c r="F2465" s="52" t="str">
        <f aca="false">IF(L2465="","",INDEX(ポート振替表!$K$5:$K$3507,$L2465)&amp;" "&amp;INDEX(ポート振替表!$L$5:$L$3507,$L2465)&amp;"  ⇔  "&amp;INDEX(ポート振替表!$H$5:$H$3507,$L2465)&amp;" "&amp;INDEX(ポート振替表!$I$5:$I$3507,$L2465))</f>
        <v/>
      </c>
      <c r="G2465" s="57" t="s">
        <v>158</v>
      </c>
      <c r="H2465" s="32" t="str">
        <f aca="false">IF(L2465="","",INDEX(ポート振替表!$N$5:$N$3507,$L2465)&amp;"")</f>
        <v/>
      </c>
      <c r="I2465" s="32" t="str">
        <f aca="false">IF(L2465="","",INDEX(ポート振替表!$P$5:$P$3507,$L2465)&amp;"")</f>
        <v/>
      </c>
      <c r="J2465" s="60" t="str">
        <f aca="false">IF(L2465="","",INDEX(ポート振替表!$M$5:$M$3507,$L2465)&amp;"")</f>
        <v/>
      </c>
      <c r="K2465" s="52" t="str">
        <f aca="false">IF(L2465="","",E2465&amp;CHAR(10)&amp;INDEX(ポート振替表!$K$5:$K$3507,$L2465)&amp;" "&amp;INDEX(ポート振替表!$L$5:$L$3507,$L2465)&amp;CHAR(10)&amp;"⇔ "&amp;INDEX(ポート振替表!$H$5:$H$3507,$L2465)&amp;" "&amp;INDEX(ポート振替表!$I$5:$I$3507,$L2465))</f>
        <v/>
      </c>
      <c r="L2465" s="47" t="str">
        <f aca="false">IFERROR(MATCH(ROW()-4,ポート振替表!$V$5:$V$3507,0),"")</f>
        <v/>
      </c>
    </row>
    <row r="2466" customFormat="false" ht="16.4" hidden="false" customHeight="false" outlineLevel="0" collapsed="false">
      <c r="A2466" s="32" t="str">
        <f aca="false">IF(L2466="","",ROW()-4)</f>
        <v/>
      </c>
      <c r="B2466" s="58" t="str">
        <f aca="false">IF(L2466="","",IF(INDEX(ポート振替表!$W$5:$W$3507,$L2466)="","(なし)",INDEX(ポート振替表!$W$5:$W$3507,$L2466)&amp;""))</f>
        <v/>
      </c>
      <c r="C2466" s="52" t="str">
        <f aca="false">IF(L2466="","",INDEX(ポート振替表!$B$5:$B$3507,$L2466)&amp;" "&amp;INDEX(ポート振替表!$C$5:$C$3507,$L2466)&amp;"  ⇔  "&amp;INDEX(ポート振替表!$H$5:$H$3507,$L2466)&amp;" "&amp;INDEX(ポート振替表!$I$5:$I$3507,$L2466))</f>
        <v/>
      </c>
      <c r="D2466" s="57" t="s">
        <v>158</v>
      </c>
      <c r="E2466" s="59" t="str">
        <f aca="false">IF(L2466="","",IF(INDEX(ポート振替表!$O$5:$O$3507,$L2466)="","(未設定)",INDEX(ポート振替表!$O$5:$O$3507,$L2466)&amp;""))</f>
        <v/>
      </c>
      <c r="F2466" s="52" t="str">
        <f aca="false">IF(L2466="","",INDEX(ポート振替表!$K$5:$K$3507,$L2466)&amp;" "&amp;INDEX(ポート振替表!$L$5:$L$3507,$L2466)&amp;"  ⇔  "&amp;INDEX(ポート振替表!$H$5:$H$3507,$L2466)&amp;" "&amp;INDEX(ポート振替表!$I$5:$I$3507,$L2466))</f>
        <v/>
      </c>
      <c r="G2466" s="57" t="s">
        <v>158</v>
      </c>
      <c r="H2466" s="32" t="str">
        <f aca="false">IF(L2466="","",INDEX(ポート振替表!$N$5:$N$3507,$L2466)&amp;"")</f>
        <v/>
      </c>
      <c r="I2466" s="32" t="str">
        <f aca="false">IF(L2466="","",INDEX(ポート振替表!$P$5:$P$3507,$L2466)&amp;"")</f>
        <v/>
      </c>
      <c r="J2466" s="60" t="str">
        <f aca="false">IF(L2466="","",INDEX(ポート振替表!$M$5:$M$3507,$L2466)&amp;"")</f>
        <v/>
      </c>
      <c r="K2466" s="52" t="str">
        <f aca="false">IF(L2466="","",E2466&amp;CHAR(10)&amp;INDEX(ポート振替表!$K$5:$K$3507,$L2466)&amp;" "&amp;INDEX(ポート振替表!$L$5:$L$3507,$L2466)&amp;CHAR(10)&amp;"⇔ "&amp;INDEX(ポート振替表!$H$5:$H$3507,$L2466)&amp;" "&amp;INDEX(ポート振替表!$I$5:$I$3507,$L2466))</f>
        <v/>
      </c>
      <c r="L2466" s="47" t="str">
        <f aca="false">IFERROR(MATCH(ROW()-4,ポート振替表!$V$5:$V$3507,0),"")</f>
        <v/>
      </c>
    </row>
    <row r="2467" customFormat="false" ht="16.4" hidden="false" customHeight="false" outlineLevel="0" collapsed="false">
      <c r="A2467" s="32" t="str">
        <f aca="false">IF(L2467="","",ROW()-4)</f>
        <v/>
      </c>
      <c r="B2467" s="58" t="str">
        <f aca="false">IF(L2467="","",IF(INDEX(ポート振替表!$W$5:$W$3507,$L2467)="","(なし)",INDEX(ポート振替表!$W$5:$W$3507,$L2467)&amp;""))</f>
        <v/>
      </c>
      <c r="C2467" s="52" t="str">
        <f aca="false">IF(L2467="","",INDEX(ポート振替表!$B$5:$B$3507,$L2467)&amp;" "&amp;INDEX(ポート振替表!$C$5:$C$3507,$L2467)&amp;"  ⇔  "&amp;INDEX(ポート振替表!$H$5:$H$3507,$L2467)&amp;" "&amp;INDEX(ポート振替表!$I$5:$I$3507,$L2467))</f>
        <v/>
      </c>
      <c r="D2467" s="57" t="s">
        <v>158</v>
      </c>
      <c r="E2467" s="59" t="str">
        <f aca="false">IF(L2467="","",IF(INDEX(ポート振替表!$O$5:$O$3507,$L2467)="","(未設定)",INDEX(ポート振替表!$O$5:$O$3507,$L2467)&amp;""))</f>
        <v/>
      </c>
      <c r="F2467" s="52" t="str">
        <f aca="false">IF(L2467="","",INDEX(ポート振替表!$K$5:$K$3507,$L2467)&amp;" "&amp;INDEX(ポート振替表!$L$5:$L$3507,$L2467)&amp;"  ⇔  "&amp;INDEX(ポート振替表!$H$5:$H$3507,$L2467)&amp;" "&amp;INDEX(ポート振替表!$I$5:$I$3507,$L2467))</f>
        <v/>
      </c>
      <c r="G2467" s="57" t="s">
        <v>158</v>
      </c>
      <c r="H2467" s="32" t="str">
        <f aca="false">IF(L2467="","",INDEX(ポート振替表!$N$5:$N$3507,$L2467)&amp;"")</f>
        <v/>
      </c>
      <c r="I2467" s="32" t="str">
        <f aca="false">IF(L2467="","",INDEX(ポート振替表!$P$5:$P$3507,$L2467)&amp;"")</f>
        <v/>
      </c>
      <c r="J2467" s="60" t="str">
        <f aca="false">IF(L2467="","",INDEX(ポート振替表!$M$5:$M$3507,$L2467)&amp;"")</f>
        <v/>
      </c>
      <c r="K2467" s="52" t="str">
        <f aca="false">IF(L2467="","",E2467&amp;CHAR(10)&amp;INDEX(ポート振替表!$K$5:$K$3507,$L2467)&amp;" "&amp;INDEX(ポート振替表!$L$5:$L$3507,$L2467)&amp;CHAR(10)&amp;"⇔ "&amp;INDEX(ポート振替表!$H$5:$H$3507,$L2467)&amp;" "&amp;INDEX(ポート振替表!$I$5:$I$3507,$L2467))</f>
        <v/>
      </c>
      <c r="L2467" s="47" t="str">
        <f aca="false">IFERROR(MATCH(ROW()-4,ポート振替表!$V$5:$V$3507,0),"")</f>
        <v/>
      </c>
    </row>
    <row r="2468" customFormat="false" ht="16.4" hidden="false" customHeight="false" outlineLevel="0" collapsed="false">
      <c r="A2468" s="32" t="str">
        <f aca="false">IF(L2468="","",ROW()-4)</f>
        <v/>
      </c>
      <c r="B2468" s="58" t="str">
        <f aca="false">IF(L2468="","",IF(INDEX(ポート振替表!$W$5:$W$3507,$L2468)="","(なし)",INDEX(ポート振替表!$W$5:$W$3507,$L2468)&amp;""))</f>
        <v/>
      </c>
      <c r="C2468" s="52" t="str">
        <f aca="false">IF(L2468="","",INDEX(ポート振替表!$B$5:$B$3507,$L2468)&amp;" "&amp;INDEX(ポート振替表!$C$5:$C$3507,$L2468)&amp;"  ⇔  "&amp;INDEX(ポート振替表!$H$5:$H$3507,$L2468)&amp;" "&amp;INDEX(ポート振替表!$I$5:$I$3507,$L2468))</f>
        <v/>
      </c>
      <c r="D2468" s="57" t="s">
        <v>158</v>
      </c>
      <c r="E2468" s="59" t="str">
        <f aca="false">IF(L2468="","",IF(INDEX(ポート振替表!$O$5:$O$3507,$L2468)="","(未設定)",INDEX(ポート振替表!$O$5:$O$3507,$L2468)&amp;""))</f>
        <v/>
      </c>
      <c r="F2468" s="52" t="str">
        <f aca="false">IF(L2468="","",INDEX(ポート振替表!$K$5:$K$3507,$L2468)&amp;" "&amp;INDEX(ポート振替表!$L$5:$L$3507,$L2468)&amp;"  ⇔  "&amp;INDEX(ポート振替表!$H$5:$H$3507,$L2468)&amp;" "&amp;INDEX(ポート振替表!$I$5:$I$3507,$L2468))</f>
        <v/>
      </c>
      <c r="G2468" s="57" t="s">
        <v>158</v>
      </c>
      <c r="H2468" s="32" t="str">
        <f aca="false">IF(L2468="","",INDEX(ポート振替表!$N$5:$N$3507,$L2468)&amp;"")</f>
        <v/>
      </c>
      <c r="I2468" s="32" t="str">
        <f aca="false">IF(L2468="","",INDEX(ポート振替表!$P$5:$P$3507,$L2468)&amp;"")</f>
        <v/>
      </c>
      <c r="J2468" s="60" t="str">
        <f aca="false">IF(L2468="","",INDEX(ポート振替表!$M$5:$M$3507,$L2468)&amp;"")</f>
        <v/>
      </c>
      <c r="K2468" s="52" t="str">
        <f aca="false">IF(L2468="","",E2468&amp;CHAR(10)&amp;INDEX(ポート振替表!$K$5:$K$3507,$L2468)&amp;" "&amp;INDEX(ポート振替表!$L$5:$L$3507,$L2468)&amp;CHAR(10)&amp;"⇔ "&amp;INDEX(ポート振替表!$H$5:$H$3507,$L2468)&amp;" "&amp;INDEX(ポート振替表!$I$5:$I$3507,$L2468))</f>
        <v/>
      </c>
      <c r="L2468" s="47" t="str">
        <f aca="false">IFERROR(MATCH(ROW()-4,ポート振替表!$V$5:$V$3507,0),"")</f>
        <v/>
      </c>
    </row>
    <row r="2469" customFormat="false" ht="16.4" hidden="false" customHeight="false" outlineLevel="0" collapsed="false">
      <c r="A2469" s="32" t="str">
        <f aca="false">IF(L2469="","",ROW()-4)</f>
        <v/>
      </c>
      <c r="B2469" s="58" t="str">
        <f aca="false">IF(L2469="","",IF(INDEX(ポート振替表!$W$5:$W$3507,$L2469)="","(なし)",INDEX(ポート振替表!$W$5:$W$3507,$L2469)&amp;""))</f>
        <v/>
      </c>
      <c r="C2469" s="52" t="str">
        <f aca="false">IF(L2469="","",INDEX(ポート振替表!$B$5:$B$3507,$L2469)&amp;" "&amp;INDEX(ポート振替表!$C$5:$C$3507,$L2469)&amp;"  ⇔  "&amp;INDEX(ポート振替表!$H$5:$H$3507,$L2469)&amp;" "&amp;INDEX(ポート振替表!$I$5:$I$3507,$L2469))</f>
        <v/>
      </c>
      <c r="D2469" s="57" t="s">
        <v>158</v>
      </c>
      <c r="E2469" s="59" t="str">
        <f aca="false">IF(L2469="","",IF(INDEX(ポート振替表!$O$5:$O$3507,$L2469)="","(未設定)",INDEX(ポート振替表!$O$5:$O$3507,$L2469)&amp;""))</f>
        <v/>
      </c>
      <c r="F2469" s="52" t="str">
        <f aca="false">IF(L2469="","",INDEX(ポート振替表!$K$5:$K$3507,$L2469)&amp;" "&amp;INDEX(ポート振替表!$L$5:$L$3507,$L2469)&amp;"  ⇔  "&amp;INDEX(ポート振替表!$H$5:$H$3507,$L2469)&amp;" "&amp;INDEX(ポート振替表!$I$5:$I$3507,$L2469))</f>
        <v/>
      </c>
      <c r="G2469" s="57" t="s">
        <v>158</v>
      </c>
      <c r="H2469" s="32" t="str">
        <f aca="false">IF(L2469="","",INDEX(ポート振替表!$N$5:$N$3507,$L2469)&amp;"")</f>
        <v/>
      </c>
      <c r="I2469" s="32" t="str">
        <f aca="false">IF(L2469="","",INDEX(ポート振替表!$P$5:$P$3507,$L2469)&amp;"")</f>
        <v/>
      </c>
      <c r="J2469" s="60" t="str">
        <f aca="false">IF(L2469="","",INDEX(ポート振替表!$M$5:$M$3507,$L2469)&amp;"")</f>
        <v/>
      </c>
      <c r="K2469" s="52" t="str">
        <f aca="false">IF(L2469="","",E2469&amp;CHAR(10)&amp;INDEX(ポート振替表!$K$5:$K$3507,$L2469)&amp;" "&amp;INDEX(ポート振替表!$L$5:$L$3507,$L2469)&amp;CHAR(10)&amp;"⇔ "&amp;INDEX(ポート振替表!$H$5:$H$3507,$L2469)&amp;" "&amp;INDEX(ポート振替表!$I$5:$I$3507,$L2469))</f>
        <v/>
      </c>
      <c r="L2469" s="47" t="str">
        <f aca="false">IFERROR(MATCH(ROW()-4,ポート振替表!$V$5:$V$3507,0),"")</f>
        <v/>
      </c>
    </row>
    <row r="2470" customFormat="false" ht="16.4" hidden="false" customHeight="false" outlineLevel="0" collapsed="false">
      <c r="A2470" s="32" t="str">
        <f aca="false">IF(L2470="","",ROW()-4)</f>
        <v/>
      </c>
      <c r="B2470" s="58" t="str">
        <f aca="false">IF(L2470="","",IF(INDEX(ポート振替表!$W$5:$W$3507,$L2470)="","(なし)",INDEX(ポート振替表!$W$5:$W$3507,$L2470)&amp;""))</f>
        <v/>
      </c>
      <c r="C2470" s="52" t="str">
        <f aca="false">IF(L2470="","",INDEX(ポート振替表!$B$5:$B$3507,$L2470)&amp;" "&amp;INDEX(ポート振替表!$C$5:$C$3507,$L2470)&amp;"  ⇔  "&amp;INDEX(ポート振替表!$H$5:$H$3507,$L2470)&amp;" "&amp;INDEX(ポート振替表!$I$5:$I$3507,$L2470))</f>
        <v/>
      </c>
      <c r="D2470" s="57" t="s">
        <v>158</v>
      </c>
      <c r="E2470" s="59" t="str">
        <f aca="false">IF(L2470="","",IF(INDEX(ポート振替表!$O$5:$O$3507,$L2470)="","(未設定)",INDEX(ポート振替表!$O$5:$O$3507,$L2470)&amp;""))</f>
        <v/>
      </c>
      <c r="F2470" s="52" t="str">
        <f aca="false">IF(L2470="","",INDEX(ポート振替表!$K$5:$K$3507,$L2470)&amp;" "&amp;INDEX(ポート振替表!$L$5:$L$3507,$L2470)&amp;"  ⇔  "&amp;INDEX(ポート振替表!$H$5:$H$3507,$L2470)&amp;" "&amp;INDEX(ポート振替表!$I$5:$I$3507,$L2470))</f>
        <v/>
      </c>
      <c r="G2470" s="57" t="s">
        <v>158</v>
      </c>
      <c r="H2470" s="32" t="str">
        <f aca="false">IF(L2470="","",INDEX(ポート振替表!$N$5:$N$3507,$L2470)&amp;"")</f>
        <v/>
      </c>
      <c r="I2470" s="32" t="str">
        <f aca="false">IF(L2470="","",INDEX(ポート振替表!$P$5:$P$3507,$L2470)&amp;"")</f>
        <v/>
      </c>
      <c r="J2470" s="60" t="str">
        <f aca="false">IF(L2470="","",INDEX(ポート振替表!$M$5:$M$3507,$L2470)&amp;"")</f>
        <v/>
      </c>
      <c r="K2470" s="52" t="str">
        <f aca="false">IF(L2470="","",E2470&amp;CHAR(10)&amp;INDEX(ポート振替表!$K$5:$K$3507,$L2470)&amp;" "&amp;INDEX(ポート振替表!$L$5:$L$3507,$L2470)&amp;CHAR(10)&amp;"⇔ "&amp;INDEX(ポート振替表!$H$5:$H$3507,$L2470)&amp;" "&amp;INDEX(ポート振替表!$I$5:$I$3507,$L2470))</f>
        <v/>
      </c>
      <c r="L2470" s="47" t="str">
        <f aca="false">IFERROR(MATCH(ROW()-4,ポート振替表!$V$5:$V$3507,0),"")</f>
        <v/>
      </c>
    </row>
    <row r="2471" customFormat="false" ht="16.4" hidden="false" customHeight="false" outlineLevel="0" collapsed="false">
      <c r="A2471" s="32" t="str">
        <f aca="false">IF(L2471="","",ROW()-4)</f>
        <v/>
      </c>
      <c r="B2471" s="58" t="str">
        <f aca="false">IF(L2471="","",IF(INDEX(ポート振替表!$W$5:$W$3507,$L2471)="","(なし)",INDEX(ポート振替表!$W$5:$W$3507,$L2471)&amp;""))</f>
        <v/>
      </c>
      <c r="C2471" s="52" t="str">
        <f aca="false">IF(L2471="","",INDEX(ポート振替表!$B$5:$B$3507,$L2471)&amp;" "&amp;INDEX(ポート振替表!$C$5:$C$3507,$L2471)&amp;"  ⇔  "&amp;INDEX(ポート振替表!$H$5:$H$3507,$L2471)&amp;" "&amp;INDEX(ポート振替表!$I$5:$I$3507,$L2471))</f>
        <v/>
      </c>
      <c r="D2471" s="57" t="s">
        <v>158</v>
      </c>
      <c r="E2471" s="59" t="str">
        <f aca="false">IF(L2471="","",IF(INDEX(ポート振替表!$O$5:$O$3507,$L2471)="","(未設定)",INDEX(ポート振替表!$O$5:$O$3507,$L2471)&amp;""))</f>
        <v/>
      </c>
      <c r="F2471" s="52" t="str">
        <f aca="false">IF(L2471="","",INDEX(ポート振替表!$K$5:$K$3507,$L2471)&amp;" "&amp;INDEX(ポート振替表!$L$5:$L$3507,$L2471)&amp;"  ⇔  "&amp;INDEX(ポート振替表!$H$5:$H$3507,$L2471)&amp;" "&amp;INDEX(ポート振替表!$I$5:$I$3507,$L2471))</f>
        <v/>
      </c>
      <c r="G2471" s="57" t="s">
        <v>158</v>
      </c>
      <c r="H2471" s="32" t="str">
        <f aca="false">IF(L2471="","",INDEX(ポート振替表!$N$5:$N$3507,$L2471)&amp;"")</f>
        <v/>
      </c>
      <c r="I2471" s="32" t="str">
        <f aca="false">IF(L2471="","",INDEX(ポート振替表!$P$5:$P$3507,$L2471)&amp;"")</f>
        <v/>
      </c>
      <c r="J2471" s="60" t="str">
        <f aca="false">IF(L2471="","",INDEX(ポート振替表!$M$5:$M$3507,$L2471)&amp;"")</f>
        <v/>
      </c>
      <c r="K2471" s="52" t="str">
        <f aca="false">IF(L2471="","",E2471&amp;CHAR(10)&amp;INDEX(ポート振替表!$K$5:$K$3507,$L2471)&amp;" "&amp;INDEX(ポート振替表!$L$5:$L$3507,$L2471)&amp;CHAR(10)&amp;"⇔ "&amp;INDEX(ポート振替表!$H$5:$H$3507,$L2471)&amp;" "&amp;INDEX(ポート振替表!$I$5:$I$3507,$L2471))</f>
        <v/>
      </c>
      <c r="L2471" s="47" t="str">
        <f aca="false">IFERROR(MATCH(ROW()-4,ポート振替表!$V$5:$V$3507,0),"")</f>
        <v/>
      </c>
    </row>
    <row r="2472" customFormat="false" ht="16.4" hidden="false" customHeight="false" outlineLevel="0" collapsed="false">
      <c r="A2472" s="32" t="str">
        <f aca="false">IF(L2472="","",ROW()-4)</f>
        <v/>
      </c>
      <c r="B2472" s="58" t="str">
        <f aca="false">IF(L2472="","",IF(INDEX(ポート振替表!$W$5:$W$3507,$L2472)="","(なし)",INDEX(ポート振替表!$W$5:$W$3507,$L2472)&amp;""))</f>
        <v/>
      </c>
      <c r="C2472" s="52" t="str">
        <f aca="false">IF(L2472="","",INDEX(ポート振替表!$B$5:$B$3507,$L2472)&amp;" "&amp;INDEX(ポート振替表!$C$5:$C$3507,$L2472)&amp;"  ⇔  "&amp;INDEX(ポート振替表!$H$5:$H$3507,$L2472)&amp;" "&amp;INDEX(ポート振替表!$I$5:$I$3507,$L2472))</f>
        <v/>
      </c>
      <c r="D2472" s="57" t="s">
        <v>158</v>
      </c>
      <c r="E2472" s="59" t="str">
        <f aca="false">IF(L2472="","",IF(INDEX(ポート振替表!$O$5:$O$3507,$L2472)="","(未設定)",INDEX(ポート振替表!$O$5:$O$3507,$L2472)&amp;""))</f>
        <v/>
      </c>
      <c r="F2472" s="52" t="str">
        <f aca="false">IF(L2472="","",INDEX(ポート振替表!$K$5:$K$3507,$L2472)&amp;" "&amp;INDEX(ポート振替表!$L$5:$L$3507,$L2472)&amp;"  ⇔  "&amp;INDEX(ポート振替表!$H$5:$H$3507,$L2472)&amp;" "&amp;INDEX(ポート振替表!$I$5:$I$3507,$L2472))</f>
        <v/>
      </c>
      <c r="G2472" s="57" t="s">
        <v>158</v>
      </c>
      <c r="H2472" s="32" t="str">
        <f aca="false">IF(L2472="","",INDEX(ポート振替表!$N$5:$N$3507,$L2472)&amp;"")</f>
        <v/>
      </c>
      <c r="I2472" s="32" t="str">
        <f aca="false">IF(L2472="","",INDEX(ポート振替表!$P$5:$P$3507,$L2472)&amp;"")</f>
        <v/>
      </c>
      <c r="J2472" s="60" t="str">
        <f aca="false">IF(L2472="","",INDEX(ポート振替表!$M$5:$M$3507,$L2472)&amp;"")</f>
        <v/>
      </c>
      <c r="K2472" s="52" t="str">
        <f aca="false">IF(L2472="","",E2472&amp;CHAR(10)&amp;INDEX(ポート振替表!$K$5:$K$3507,$L2472)&amp;" "&amp;INDEX(ポート振替表!$L$5:$L$3507,$L2472)&amp;CHAR(10)&amp;"⇔ "&amp;INDEX(ポート振替表!$H$5:$H$3507,$L2472)&amp;" "&amp;INDEX(ポート振替表!$I$5:$I$3507,$L2472))</f>
        <v/>
      </c>
      <c r="L2472" s="47" t="str">
        <f aca="false">IFERROR(MATCH(ROW()-4,ポート振替表!$V$5:$V$3507,0),"")</f>
        <v/>
      </c>
    </row>
    <row r="2473" customFormat="false" ht="16.4" hidden="false" customHeight="false" outlineLevel="0" collapsed="false">
      <c r="A2473" s="32" t="str">
        <f aca="false">IF(L2473="","",ROW()-4)</f>
        <v/>
      </c>
      <c r="B2473" s="58" t="str">
        <f aca="false">IF(L2473="","",IF(INDEX(ポート振替表!$W$5:$W$3507,$L2473)="","(なし)",INDEX(ポート振替表!$W$5:$W$3507,$L2473)&amp;""))</f>
        <v/>
      </c>
      <c r="C2473" s="52" t="str">
        <f aca="false">IF(L2473="","",INDEX(ポート振替表!$B$5:$B$3507,$L2473)&amp;" "&amp;INDEX(ポート振替表!$C$5:$C$3507,$L2473)&amp;"  ⇔  "&amp;INDEX(ポート振替表!$H$5:$H$3507,$L2473)&amp;" "&amp;INDEX(ポート振替表!$I$5:$I$3507,$L2473))</f>
        <v/>
      </c>
      <c r="D2473" s="57" t="s">
        <v>158</v>
      </c>
      <c r="E2473" s="59" t="str">
        <f aca="false">IF(L2473="","",IF(INDEX(ポート振替表!$O$5:$O$3507,$L2473)="","(未設定)",INDEX(ポート振替表!$O$5:$O$3507,$L2473)&amp;""))</f>
        <v/>
      </c>
      <c r="F2473" s="52" t="str">
        <f aca="false">IF(L2473="","",INDEX(ポート振替表!$K$5:$K$3507,$L2473)&amp;" "&amp;INDEX(ポート振替表!$L$5:$L$3507,$L2473)&amp;"  ⇔  "&amp;INDEX(ポート振替表!$H$5:$H$3507,$L2473)&amp;" "&amp;INDEX(ポート振替表!$I$5:$I$3507,$L2473))</f>
        <v/>
      </c>
      <c r="G2473" s="57" t="s">
        <v>158</v>
      </c>
      <c r="H2473" s="32" t="str">
        <f aca="false">IF(L2473="","",INDEX(ポート振替表!$N$5:$N$3507,$L2473)&amp;"")</f>
        <v/>
      </c>
      <c r="I2473" s="32" t="str">
        <f aca="false">IF(L2473="","",INDEX(ポート振替表!$P$5:$P$3507,$L2473)&amp;"")</f>
        <v/>
      </c>
      <c r="J2473" s="60" t="str">
        <f aca="false">IF(L2473="","",INDEX(ポート振替表!$M$5:$M$3507,$L2473)&amp;"")</f>
        <v/>
      </c>
      <c r="K2473" s="52" t="str">
        <f aca="false">IF(L2473="","",E2473&amp;CHAR(10)&amp;INDEX(ポート振替表!$K$5:$K$3507,$L2473)&amp;" "&amp;INDEX(ポート振替表!$L$5:$L$3507,$L2473)&amp;CHAR(10)&amp;"⇔ "&amp;INDEX(ポート振替表!$H$5:$H$3507,$L2473)&amp;" "&amp;INDEX(ポート振替表!$I$5:$I$3507,$L2473))</f>
        <v/>
      </c>
      <c r="L2473" s="47" t="str">
        <f aca="false">IFERROR(MATCH(ROW()-4,ポート振替表!$V$5:$V$3507,0),"")</f>
        <v/>
      </c>
    </row>
    <row r="2474" customFormat="false" ht="16.4" hidden="false" customHeight="false" outlineLevel="0" collapsed="false">
      <c r="A2474" s="32" t="str">
        <f aca="false">IF(L2474="","",ROW()-4)</f>
        <v/>
      </c>
      <c r="B2474" s="58" t="str">
        <f aca="false">IF(L2474="","",IF(INDEX(ポート振替表!$W$5:$W$3507,$L2474)="","(なし)",INDEX(ポート振替表!$W$5:$W$3507,$L2474)&amp;""))</f>
        <v/>
      </c>
      <c r="C2474" s="52" t="str">
        <f aca="false">IF(L2474="","",INDEX(ポート振替表!$B$5:$B$3507,$L2474)&amp;" "&amp;INDEX(ポート振替表!$C$5:$C$3507,$L2474)&amp;"  ⇔  "&amp;INDEX(ポート振替表!$H$5:$H$3507,$L2474)&amp;" "&amp;INDEX(ポート振替表!$I$5:$I$3507,$L2474))</f>
        <v/>
      </c>
      <c r="D2474" s="57" t="s">
        <v>158</v>
      </c>
      <c r="E2474" s="59" t="str">
        <f aca="false">IF(L2474="","",IF(INDEX(ポート振替表!$O$5:$O$3507,$L2474)="","(未設定)",INDEX(ポート振替表!$O$5:$O$3507,$L2474)&amp;""))</f>
        <v/>
      </c>
      <c r="F2474" s="52" t="str">
        <f aca="false">IF(L2474="","",INDEX(ポート振替表!$K$5:$K$3507,$L2474)&amp;" "&amp;INDEX(ポート振替表!$L$5:$L$3507,$L2474)&amp;"  ⇔  "&amp;INDEX(ポート振替表!$H$5:$H$3507,$L2474)&amp;" "&amp;INDEX(ポート振替表!$I$5:$I$3507,$L2474))</f>
        <v/>
      </c>
      <c r="G2474" s="57" t="s">
        <v>158</v>
      </c>
      <c r="H2474" s="32" t="str">
        <f aca="false">IF(L2474="","",INDEX(ポート振替表!$N$5:$N$3507,$L2474)&amp;"")</f>
        <v/>
      </c>
      <c r="I2474" s="32" t="str">
        <f aca="false">IF(L2474="","",INDEX(ポート振替表!$P$5:$P$3507,$L2474)&amp;"")</f>
        <v/>
      </c>
      <c r="J2474" s="60" t="str">
        <f aca="false">IF(L2474="","",INDEX(ポート振替表!$M$5:$M$3507,$L2474)&amp;"")</f>
        <v/>
      </c>
      <c r="K2474" s="52" t="str">
        <f aca="false">IF(L2474="","",E2474&amp;CHAR(10)&amp;INDEX(ポート振替表!$K$5:$K$3507,$L2474)&amp;" "&amp;INDEX(ポート振替表!$L$5:$L$3507,$L2474)&amp;CHAR(10)&amp;"⇔ "&amp;INDEX(ポート振替表!$H$5:$H$3507,$L2474)&amp;" "&amp;INDEX(ポート振替表!$I$5:$I$3507,$L2474))</f>
        <v/>
      </c>
      <c r="L2474" s="47" t="str">
        <f aca="false">IFERROR(MATCH(ROW()-4,ポート振替表!$V$5:$V$3507,0),"")</f>
        <v/>
      </c>
    </row>
    <row r="2475" customFormat="false" ht="16.4" hidden="false" customHeight="false" outlineLevel="0" collapsed="false">
      <c r="A2475" s="32" t="str">
        <f aca="false">IF(L2475="","",ROW()-4)</f>
        <v/>
      </c>
      <c r="B2475" s="58" t="str">
        <f aca="false">IF(L2475="","",IF(INDEX(ポート振替表!$W$5:$W$3507,$L2475)="","(なし)",INDEX(ポート振替表!$W$5:$W$3507,$L2475)&amp;""))</f>
        <v/>
      </c>
      <c r="C2475" s="52" t="str">
        <f aca="false">IF(L2475="","",INDEX(ポート振替表!$B$5:$B$3507,$L2475)&amp;" "&amp;INDEX(ポート振替表!$C$5:$C$3507,$L2475)&amp;"  ⇔  "&amp;INDEX(ポート振替表!$H$5:$H$3507,$L2475)&amp;" "&amp;INDEX(ポート振替表!$I$5:$I$3507,$L2475))</f>
        <v/>
      </c>
      <c r="D2475" s="57" t="s">
        <v>158</v>
      </c>
      <c r="E2475" s="59" t="str">
        <f aca="false">IF(L2475="","",IF(INDEX(ポート振替表!$O$5:$O$3507,$L2475)="","(未設定)",INDEX(ポート振替表!$O$5:$O$3507,$L2475)&amp;""))</f>
        <v/>
      </c>
      <c r="F2475" s="52" t="str">
        <f aca="false">IF(L2475="","",INDEX(ポート振替表!$K$5:$K$3507,$L2475)&amp;" "&amp;INDEX(ポート振替表!$L$5:$L$3507,$L2475)&amp;"  ⇔  "&amp;INDEX(ポート振替表!$H$5:$H$3507,$L2475)&amp;" "&amp;INDEX(ポート振替表!$I$5:$I$3507,$L2475))</f>
        <v/>
      </c>
      <c r="G2475" s="57" t="s">
        <v>158</v>
      </c>
      <c r="H2475" s="32" t="str">
        <f aca="false">IF(L2475="","",INDEX(ポート振替表!$N$5:$N$3507,$L2475)&amp;"")</f>
        <v/>
      </c>
      <c r="I2475" s="32" t="str">
        <f aca="false">IF(L2475="","",INDEX(ポート振替表!$P$5:$P$3507,$L2475)&amp;"")</f>
        <v/>
      </c>
      <c r="J2475" s="60" t="str">
        <f aca="false">IF(L2475="","",INDEX(ポート振替表!$M$5:$M$3507,$L2475)&amp;"")</f>
        <v/>
      </c>
      <c r="K2475" s="52" t="str">
        <f aca="false">IF(L2475="","",E2475&amp;CHAR(10)&amp;INDEX(ポート振替表!$K$5:$K$3507,$L2475)&amp;" "&amp;INDEX(ポート振替表!$L$5:$L$3507,$L2475)&amp;CHAR(10)&amp;"⇔ "&amp;INDEX(ポート振替表!$H$5:$H$3507,$L2475)&amp;" "&amp;INDEX(ポート振替表!$I$5:$I$3507,$L2475))</f>
        <v/>
      </c>
      <c r="L2475" s="47" t="str">
        <f aca="false">IFERROR(MATCH(ROW()-4,ポート振替表!$V$5:$V$3507,0),"")</f>
        <v/>
      </c>
    </row>
    <row r="2476" customFormat="false" ht="16.4" hidden="false" customHeight="false" outlineLevel="0" collapsed="false">
      <c r="A2476" s="32" t="str">
        <f aca="false">IF(L2476="","",ROW()-4)</f>
        <v/>
      </c>
      <c r="B2476" s="58" t="str">
        <f aca="false">IF(L2476="","",IF(INDEX(ポート振替表!$W$5:$W$3507,$L2476)="","(なし)",INDEX(ポート振替表!$W$5:$W$3507,$L2476)&amp;""))</f>
        <v/>
      </c>
      <c r="C2476" s="52" t="str">
        <f aca="false">IF(L2476="","",INDEX(ポート振替表!$B$5:$B$3507,$L2476)&amp;" "&amp;INDEX(ポート振替表!$C$5:$C$3507,$L2476)&amp;"  ⇔  "&amp;INDEX(ポート振替表!$H$5:$H$3507,$L2476)&amp;" "&amp;INDEX(ポート振替表!$I$5:$I$3507,$L2476))</f>
        <v/>
      </c>
      <c r="D2476" s="57" t="s">
        <v>158</v>
      </c>
      <c r="E2476" s="59" t="str">
        <f aca="false">IF(L2476="","",IF(INDEX(ポート振替表!$O$5:$O$3507,$L2476)="","(未設定)",INDEX(ポート振替表!$O$5:$O$3507,$L2476)&amp;""))</f>
        <v/>
      </c>
      <c r="F2476" s="52" t="str">
        <f aca="false">IF(L2476="","",INDEX(ポート振替表!$K$5:$K$3507,$L2476)&amp;" "&amp;INDEX(ポート振替表!$L$5:$L$3507,$L2476)&amp;"  ⇔  "&amp;INDEX(ポート振替表!$H$5:$H$3507,$L2476)&amp;" "&amp;INDEX(ポート振替表!$I$5:$I$3507,$L2476))</f>
        <v/>
      </c>
      <c r="G2476" s="57" t="s">
        <v>158</v>
      </c>
      <c r="H2476" s="32" t="str">
        <f aca="false">IF(L2476="","",INDEX(ポート振替表!$N$5:$N$3507,$L2476)&amp;"")</f>
        <v/>
      </c>
      <c r="I2476" s="32" t="str">
        <f aca="false">IF(L2476="","",INDEX(ポート振替表!$P$5:$P$3507,$L2476)&amp;"")</f>
        <v/>
      </c>
      <c r="J2476" s="60" t="str">
        <f aca="false">IF(L2476="","",INDEX(ポート振替表!$M$5:$M$3507,$L2476)&amp;"")</f>
        <v/>
      </c>
      <c r="K2476" s="52" t="str">
        <f aca="false">IF(L2476="","",E2476&amp;CHAR(10)&amp;INDEX(ポート振替表!$K$5:$K$3507,$L2476)&amp;" "&amp;INDEX(ポート振替表!$L$5:$L$3507,$L2476)&amp;CHAR(10)&amp;"⇔ "&amp;INDEX(ポート振替表!$H$5:$H$3507,$L2476)&amp;" "&amp;INDEX(ポート振替表!$I$5:$I$3507,$L2476))</f>
        <v/>
      </c>
      <c r="L2476" s="47" t="str">
        <f aca="false">IFERROR(MATCH(ROW()-4,ポート振替表!$V$5:$V$3507,0),"")</f>
        <v/>
      </c>
    </row>
    <row r="2477" customFormat="false" ht="16.4" hidden="false" customHeight="false" outlineLevel="0" collapsed="false">
      <c r="A2477" s="32" t="str">
        <f aca="false">IF(L2477="","",ROW()-4)</f>
        <v/>
      </c>
      <c r="B2477" s="58" t="str">
        <f aca="false">IF(L2477="","",IF(INDEX(ポート振替表!$W$5:$W$3507,$L2477)="","(なし)",INDEX(ポート振替表!$W$5:$W$3507,$L2477)&amp;""))</f>
        <v/>
      </c>
      <c r="C2477" s="52" t="str">
        <f aca="false">IF(L2477="","",INDEX(ポート振替表!$B$5:$B$3507,$L2477)&amp;" "&amp;INDEX(ポート振替表!$C$5:$C$3507,$L2477)&amp;"  ⇔  "&amp;INDEX(ポート振替表!$H$5:$H$3507,$L2477)&amp;" "&amp;INDEX(ポート振替表!$I$5:$I$3507,$L2477))</f>
        <v/>
      </c>
      <c r="D2477" s="57" t="s">
        <v>158</v>
      </c>
      <c r="E2477" s="59" t="str">
        <f aca="false">IF(L2477="","",IF(INDEX(ポート振替表!$O$5:$O$3507,$L2477)="","(未設定)",INDEX(ポート振替表!$O$5:$O$3507,$L2477)&amp;""))</f>
        <v/>
      </c>
      <c r="F2477" s="52" t="str">
        <f aca="false">IF(L2477="","",INDEX(ポート振替表!$K$5:$K$3507,$L2477)&amp;" "&amp;INDEX(ポート振替表!$L$5:$L$3507,$L2477)&amp;"  ⇔  "&amp;INDEX(ポート振替表!$H$5:$H$3507,$L2477)&amp;" "&amp;INDEX(ポート振替表!$I$5:$I$3507,$L2477))</f>
        <v/>
      </c>
      <c r="G2477" s="57" t="s">
        <v>158</v>
      </c>
      <c r="H2477" s="32" t="str">
        <f aca="false">IF(L2477="","",INDEX(ポート振替表!$N$5:$N$3507,$L2477)&amp;"")</f>
        <v/>
      </c>
      <c r="I2477" s="32" t="str">
        <f aca="false">IF(L2477="","",INDEX(ポート振替表!$P$5:$P$3507,$L2477)&amp;"")</f>
        <v/>
      </c>
      <c r="J2477" s="60" t="str">
        <f aca="false">IF(L2477="","",INDEX(ポート振替表!$M$5:$M$3507,$L2477)&amp;"")</f>
        <v/>
      </c>
      <c r="K2477" s="52" t="str">
        <f aca="false">IF(L2477="","",E2477&amp;CHAR(10)&amp;INDEX(ポート振替表!$K$5:$K$3507,$L2477)&amp;" "&amp;INDEX(ポート振替表!$L$5:$L$3507,$L2477)&amp;CHAR(10)&amp;"⇔ "&amp;INDEX(ポート振替表!$H$5:$H$3507,$L2477)&amp;" "&amp;INDEX(ポート振替表!$I$5:$I$3507,$L2477))</f>
        <v/>
      </c>
      <c r="L2477" s="47" t="str">
        <f aca="false">IFERROR(MATCH(ROW()-4,ポート振替表!$V$5:$V$3507,0),"")</f>
        <v/>
      </c>
    </row>
    <row r="2478" customFormat="false" ht="16.4" hidden="false" customHeight="false" outlineLevel="0" collapsed="false">
      <c r="A2478" s="32" t="str">
        <f aca="false">IF(L2478="","",ROW()-4)</f>
        <v/>
      </c>
      <c r="B2478" s="58" t="str">
        <f aca="false">IF(L2478="","",IF(INDEX(ポート振替表!$W$5:$W$3507,$L2478)="","(なし)",INDEX(ポート振替表!$W$5:$W$3507,$L2478)&amp;""))</f>
        <v/>
      </c>
      <c r="C2478" s="52" t="str">
        <f aca="false">IF(L2478="","",INDEX(ポート振替表!$B$5:$B$3507,$L2478)&amp;" "&amp;INDEX(ポート振替表!$C$5:$C$3507,$L2478)&amp;"  ⇔  "&amp;INDEX(ポート振替表!$H$5:$H$3507,$L2478)&amp;" "&amp;INDEX(ポート振替表!$I$5:$I$3507,$L2478))</f>
        <v/>
      </c>
      <c r="D2478" s="57" t="s">
        <v>158</v>
      </c>
      <c r="E2478" s="59" t="str">
        <f aca="false">IF(L2478="","",IF(INDEX(ポート振替表!$O$5:$O$3507,$L2478)="","(未設定)",INDEX(ポート振替表!$O$5:$O$3507,$L2478)&amp;""))</f>
        <v/>
      </c>
      <c r="F2478" s="52" t="str">
        <f aca="false">IF(L2478="","",INDEX(ポート振替表!$K$5:$K$3507,$L2478)&amp;" "&amp;INDEX(ポート振替表!$L$5:$L$3507,$L2478)&amp;"  ⇔  "&amp;INDEX(ポート振替表!$H$5:$H$3507,$L2478)&amp;" "&amp;INDEX(ポート振替表!$I$5:$I$3507,$L2478))</f>
        <v/>
      </c>
      <c r="G2478" s="57" t="s">
        <v>158</v>
      </c>
      <c r="H2478" s="32" t="str">
        <f aca="false">IF(L2478="","",INDEX(ポート振替表!$N$5:$N$3507,$L2478)&amp;"")</f>
        <v/>
      </c>
      <c r="I2478" s="32" t="str">
        <f aca="false">IF(L2478="","",INDEX(ポート振替表!$P$5:$P$3507,$L2478)&amp;"")</f>
        <v/>
      </c>
      <c r="J2478" s="60" t="str">
        <f aca="false">IF(L2478="","",INDEX(ポート振替表!$M$5:$M$3507,$L2478)&amp;"")</f>
        <v/>
      </c>
      <c r="K2478" s="52" t="str">
        <f aca="false">IF(L2478="","",E2478&amp;CHAR(10)&amp;INDEX(ポート振替表!$K$5:$K$3507,$L2478)&amp;" "&amp;INDEX(ポート振替表!$L$5:$L$3507,$L2478)&amp;CHAR(10)&amp;"⇔ "&amp;INDEX(ポート振替表!$H$5:$H$3507,$L2478)&amp;" "&amp;INDEX(ポート振替表!$I$5:$I$3507,$L2478))</f>
        <v/>
      </c>
      <c r="L2478" s="47" t="str">
        <f aca="false">IFERROR(MATCH(ROW()-4,ポート振替表!$V$5:$V$3507,0),"")</f>
        <v/>
      </c>
    </row>
    <row r="2479" customFormat="false" ht="16.4" hidden="false" customHeight="false" outlineLevel="0" collapsed="false">
      <c r="A2479" s="32" t="str">
        <f aca="false">IF(L2479="","",ROW()-4)</f>
        <v/>
      </c>
      <c r="B2479" s="58" t="str">
        <f aca="false">IF(L2479="","",IF(INDEX(ポート振替表!$W$5:$W$3507,$L2479)="","(なし)",INDEX(ポート振替表!$W$5:$W$3507,$L2479)&amp;""))</f>
        <v/>
      </c>
      <c r="C2479" s="52" t="str">
        <f aca="false">IF(L2479="","",INDEX(ポート振替表!$B$5:$B$3507,$L2479)&amp;" "&amp;INDEX(ポート振替表!$C$5:$C$3507,$L2479)&amp;"  ⇔  "&amp;INDEX(ポート振替表!$H$5:$H$3507,$L2479)&amp;" "&amp;INDEX(ポート振替表!$I$5:$I$3507,$L2479))</f>
        <v/>
      </c>
      <c r="D2479" s="57" t="s">
        <v>158</v>
      </c>
      <c r="E2479" s="59" t="str">
        <f aca="false">IF(L2479="","",IF(INDEX(ポート振替表!$O$5:$O$3507,$L2479)="","(未設定)",INDEX(ポート振替表!$O$5:$O$3507,$L2479)&amp;""))</f>
        <v/>
      </c>
      <c r="F2479" s="52" t="str">
        <f aca="false">IF(L2479="","",INDEX(ポート振替表!$K$5:$K$3507,$L2479)&amp;" "&amp;INDEX(ポート振替表!$L$5:$L$3507,$L2479)&amp;"  ⇔  "&amp;INDEX(ポート振替表!$H$5:$H$3507,$L2479)&amp;" "&amp;INDEX(ポート振替表!$I$5:$I$3507,$L2479))</f>
        <v/>
      </c>
      <c r="G2479" s="57" t="s">
        <v>158</v>
      </c>
      <c r="H2479" s="32" t="str">
        <f aca="false">IF(L2479="","",INDEX(ポート振替表!$N$5:$N$3507,$L2479)&amp;"")</f>
        <v/>
      </c>
      <c r="I2479" s="32" t="str">
        <f aca="false">IF(L2479="","",INDEX(ポート振替表!$P$5:$P$3507,$L2479)&amp;"")</f>
        <v/>
      </c>
      <c r="J2479" s="60" t="str">
        <f aca="false">IF(L2479="","",INDEX(ポート振替表!$M$5:$M$3507,$L2479)&amp;"")</f>
        <v/>
      </c>
      <c r="K2479" s="52" t="str">
        <f aca="false">IF(L2479="","",E2479&amp;CHAR(10)&amp;INDEX(ポート振替表!$K$5:$K$3507,$L2479)&amp;" "&amp;INDEX(ポート振替表!$L$5:$L$3507,$L2479)&amp;CHAR(10)&amp;"⇔ "&amp;INDEX(ポート振替表!$H$5:$H$3507,$L2479)&amp;" "&amp;INDEX(ポート振替表!$I$5:$I$3507,$L2479))</f>
        <v/>
      </c>
      <c r="L2479" s="47" t="str">
        <f aca="false">IFERROR(MATCH(ROW()-4,ポート振替表!$V$5:$V$3507,0),"")</f>
        <v/>
      </c>
    </row>
    <row r="2480" customFormat="false" ht="16.4" hidden="false" customHeight="false" outlineLevel="0" collapsed="false">
      <c r="A2480" s="32" t="str">
        <f aca="false">IF(L2480="","",ROW()-4)</f>
        <v/>
      </c>
      <c r="B2480" s="58" t="str">
        <f aca="false">IF(L2480="","",IF(INDEX(ポート振替表!$W$5:$W$3507,$L2480)="","(なし)",INDEX(ポート振替表!$W$5:$W$3507,$L2480)&amp;""))</f>
        <v/>
      </c>
      <c r="C2480" s="52" t="str">
        <f aca="false">IF(L2480="","",INDEX(ポート振替表!$B$5:$B$3507,$L2480)&amp;" "&amp;INDEX(ポート振替表!$C$5:$C$3507,$L2480)&amp;"  ⇔  "&amp;INDEX(ポート振替表!$H$5:$H$3507,$L2480)&amp;" "&amp;INDEX(ポート振替表!$I$5:$I$3507,$L2480))</f>
        <v/>
      </c>
      <c r="D2480" s="57" t="s">
        <v>158</v>
      </c>
      <c r="E2480" s="59" t="str">
        <f aca="false">IF(L2480="","",IF(INDEX(ポート振替表!$O$5:$O$3507,$L2480)="","(未設定)",INDEX(ポート振替表!$O$5:$O$3507,$L2480)&amp;""))</f>
        <v/>
      </c>
      <c r="F2480" s="52" t="str">
        <f aca="false">IF(L2480="","",INDEX(ポート振替表!$K$5:$K$3507,$L2480)&amp;" "&amp;INDEX(ポート振替表!$L$5:$L$3507,$L2480)&amp;"  ⇔  "&amp;INDEX(ポート振替表!$H$5:$H$3507,$L2480)&amp;" "&amp;INDEX(ポート振替表!$I$5:$I$3507,$L2480))</f>
        <v/>
      </c>
      <c r="G2480" s="57" t="s">
        <v>158</v>
      </c>
      <c r="H2480" s="32" t="str">
        <f aca="false">IF(L2480="","",INDEX(ポート振替表!$N$5:$N$3507,$L2480)&amp;"")</f>
        <v/>
      </c>
      <c r="I2480" s="32" t="str">
        <f aca="false">IF(L2480="","",INDEX(ポート振替表!$P$5:$P$3507,$L2480)&amp;"")</f>
        <v/>
      </c>
      <c r="J2480" s="60" t="str">
        <f aca="false">IF(L2480="","",INDEX(ポート振替表!$M$5:$M$3507,$L2480)&amp;"")</f>
        <v/>
      </c>
      <c r="K2480" s="52" t="str">
        <f aca="false">IF(L2480="","",E2480&amp;CHAR(10)&amp;INDEX(ポート振替表!$K$5:$K$3507,$L2480)&amp;" "&amp;INDEX(ポート振替表!$L$5:$L$3507,$L2480)&amp;CHAR(10)&amp;"⇔ "&amp;INDEX(ポート振替表!$H$5:$H$3507,$L2480)&amp;" "&amp;INDEX(ポート振替表!$I$5:$I$3507,$L2480))</f>
        <v/>
      </c>
      <c r="L2480" s="47" t="str">
        <f aca="false">IFERROR(MATCH(ROW()-4,ポート振替表!$V$5:$V$3507,0),"")</f>
        <v/>
      </c>
    </row>
    <row r="2481" customFormat="false" ht="16.4" hidden="false" customHeight="false" outlineLevel="0" collapsed="false">
      <c r="A2481" s="32" t="str">
        <f aca="false">IF(L2481="","",ROW()-4)</f>
        <v/>
      </c>
      <c r="B2481" s="58" t="str">
        <f aca="false">IF(L2481="","",IF(INDEX(ポート振替表!$W$5:$W$3507,$L2481)="","(なし)",INDEX(ポート振替表!$W$5:$W$3507,$L2481)&amp;""))</f>
        <v/>
      </c>
      <c r="C2481" s="52" t="str">
        <f aca="false">IF(L2481="","",INDEX(ポート振替表!$B$5:$B$3507,$L2481)&amp;" "&amp;INDEX(ポート振替表!$C$5:$C$3507,$L2481)&amp;"  ⇔  "&amp;INDEX(ポート振替表!$H$5:$H$3507,$L2481)&amp;" "&amp;INDEX(ポート振替表!$I$5:$I$3507,$L2481))</f>
        <v/>
      </c>
      <c r="D2481" s="57" t="s">
        <v>158</v>
      </c>
      <c r="E2481" s="59" t="str">
        <f aca="false">IF(L2481="","",IF(INDEX(ポート振替表!$O$5:$O$3507,$L2481)="","(未設定)",INDEX(ポート振替表!$O$5:$O$3507,$L2481)&amp;""))</f>
        <v/>
      </c>
      <c r="F2481" s="52" t="str">
        <f aca="false">IF(L2481="","",INDEX(ポート振替表!$K$5:$K$3507,$L2481)&amp;" "&amp;INDEX(ポート振替表!$L$5:$L$3507,$L2481)&amp;"  ⇔  "&amp;INDEX(ポート振替表!$H$5:$H$3507,$L2481)&amp;" "&amp;INDEX(ポート振替表!$I$5:$I$3507,$L2481))</f>
        <v/>
      </c>
      <c r="G2481" s="57" t="s">
        <v>158</v>
      </c>
      <c r="H2481" s="32" t="str">
        <f aca="false">IF(L2481="","",INDEX(ポート振替表!$N$5:$N$3507,$L2481)&amp;"")</f>
        <v/>
      </c>
      <c r="I2481" s="32" t="str">
        <f aca="false">IF(L2481="","",INDEX(ポート振替表!$P$5:$P$3507,$L2481)&amp;"")</f>
        <v/>
      </c>
      <c r="J2481" s="60" t="str">
        <f aca="false">IF(L2481="","",INDEX(ポート振替表!$M$5:$M$3507,$L2481)&amp;"")</f>
        <v/>
      </c>
      <c r="K2481" s="52" t="str">
        <f aca="false">IF(L2481="","",E2481&amp;CHAR(10)&amp;INDEX(ポート振替表!$K$5:$K$3507,$L2481)&amp;" "&amp;INDEX(ポート振替表!$L$5:$L$3507,$L2481)&amp;CHAR(10)&amp;"⇔ "&amp;INDEX(ポート振替表!$H$5:$H$3507,$L2481)&amp;" "&amp;INDEX(ポート振替表!$I$5:$I$3507,$L2481))</f>
        <v/>
      </c>
      <c r="L2481" s="47" t="str">
        <f aca="false">IFERROR(MATCH(ROW()-4,ポート振替表!$V$5:$V$3507,0),"")</f>
        <v/>
      </c>
    </row>
    <row r="2482" customFormat="false" ht="16.4" hidden="false" customHeight="false" outlineLevel="0" collapsed="false">
      <c r="A2482" s="32" t="str">
        <f aca="false">IF(L2482="","",ROW()-4)</f>
        <v/>
      </c>
      <c r="B2482" s="58" t="str">
        <f aca="false">IF(L2482="","",IF(INDEX(ポート振替表!$W$5:$W$3507,$L2482)="","(なし)",INDEX(ポート振替表!$W$5:$W$3507,$L2482)&amp;""))</f>
        <v/>
      </c>
      <c r="C2482" s="52" t="str">
        <f aca="false">IF(L2482="","",INDEX(ポート振替表!$B$5:$B$3507,$L2482)&amp;" "&amp;INDEX(ポート振替表!$C$5:$C$3507,$L2482)&amp;"  ⇔  "&amp;INDEX(ポート振替表!$H$5:$H$3507,$L2482)&amp;" "&amp;INDEX(ポート振替表!$I$5:$I$3507,$L2482))</f>
        <v/>
      </c>
      <c r="D2482" s="57" t="s">
        <v>158</v>
      </c>
      <c r="E2482" s="59" t="str">
        <f aca="false">IF(L2482="","",IF(INDEX(ポート振替表!$O$5:$O$3507,$L2482)="","(未設定)",INDEX(ポート振替表!$O$5:$O$3507,$L2482)&amp;""))</f>
        <v/>
      </c>
      <c r="F2482" s="52" t="str">
        <f aca="false">IF(L2482="","",INDEX(ポート振替表!$K$5:$K$3507,$L2482)&amp;" "&amp;INDEX(ポート振替表!$L$5:$L$3507,$L2482)&amp;"  ⇔  "&amp;INDEX(ポート振替表!$H$5:$H$3507,$L2482)&amp;" "&amp;INDEX(ポート振替表!$I$5:$I$3507,$L2482))</f>
        <v/>
      </c>
      <c r="G2482" s="57" t="s">
        <v>158</v>
      </c>
      <c r="H2482" s="32" t="str">
        <f aca="false">IF(L2482="","",INDEX(ポート振替表!$N$5:$N$3507,$L2482)&amp;"")</f>
        <v/>
      </c>
      <c r="I2482" s="32" t="str">
        <f aca="false">IF(L2482="","",INDEX(ポート振替表!$P$5:$P$3507,$L2482)&amp;"")</f>
        <v/>
      </c>
      <c r="J2482" s="60" t="str">
        <f aca="false">IF(L2482="","",INDEX(ポート振替表!$M$5:$M$3507,$L2482)&amp;"")</f>
        <v/>
      </c>
      <c r="K2482" s="52" t="str">
        <f aca="false">IF(L2482="","",E2482&amp;CHAR(10)&amp;INDEX(ポート振替表!$K$5:$K$3507,$L2482)&amp;" "&amp;INDEX(ポート振替表!$L$5:$L$3507,$L2482)&amp;CHAR(10)&amp;"⇔ "&amp;INDEX(ポート振替表!$H$5:$H$3507,$L2482)&amp;" "&amp;INDEX(ポート振替表!$I$5:$I$3507,$L2482))</f>
        <v/>
      </c>
      <c r="L2482" s="47" t="str">
        <f aca="false">IFERROR(MATCH(ROW()-4,ポート振替表!$V$5:$V$3507,0),"")</f>
        <v/>
      </c>
    </row>
    <row r="2483" customFormat="false" ht="16.4" hidden="false" customHeight="false" outlineLevel="0" collapsed="false">
      <c r="A2483" s="32" t="str">
        <f aca="false">IF(L2483="","",ROW()-4)</f>
        <v/>
      </c>
      <c r="B2483" s="58" t="str">
        <f aca="false">IF(L2483="","",IF(INDEX(ポート振替表!$W$5:$W$3507,$L2483)="","(なし)",INDEX(ポート振替表!$W$5:$W$3507,$L2483)&amp;""))</f>
        <v/>
      </c>
      <c r="C2483" s="52" t="str">
        <f aca="false">IF(L2483="","",INDEX(ポート振替表!$B$5:$B$3507,$L2483)&amp;" "&amp;INDEX(ポート振替表!$C$5:$C$3507,$L2483)&amp;"  ⇔  "&amp;INDEX(ポート振替表!$H$5:$H$3507,$L2483)&amp;" "&amp;INDEX(ポート振替表!$I$5:$I$3507,$L2483))</f>
        <v/>
      </c>
      <c r="D2483" s="57" t="s">
        <v>158</v>
      </c>
      <c r="E2483" s="59" t="str">
        <f aca="false">IF(L2483="","",IF(INDEX(ポート振替表!$O$5:$O$3507,$L2483)="","(未設定)",INDEX(ポート振替表!$O$5:$O$3507,$L2483)&amp;""))</f>
        <v/>
      </c>
      <c r="F2483" s="52" t="str">
        <f aca="false">IF(L2483="","",INDEX(ポート振替表!$K$5:$K$3507,$L2483)&amp;" "&amp;INDEX(ポート振替表!$L$5:$L$3507,$L2483)&amp;"  ⇔  "&amp;INDEX(ポート振替表!$H$5:$H$3507,$L2483)&amp;" "&amp;INDEX(ポート振替表!$I$5:$I$3507,$L2483))</f>
        <v/>
      </c>
      <c r="G2483" s="57" t="s">
        <v>158</v>
      </c>
      <c r="H2483" s="32" t="str">
        <f aca="false">IF(L2483="","",INDEX(ポート振替表!$N$5:$N$3507,$L2483)&amp;"")</f>
        <v/>
      </c>
      <c r="I2483" s="32" t="str">
        <f aca="false">IF(L2483="","",INDEX(ポート振替表!$P$5:$P$3507,$L2483)&amp;"")</f>
        <v/>
      </c>
      <c r="J2483" s="60" t="str">
        <f aca="false">IF(L2483="","",INDEX(ポート振替表!$M$5:$M$3507,$L2483)&amp;"")</f>
        <v/>
      </c>
      <c r="K2483" s="52" t="str">
        <f aca="false">IF(L2483="","",E2483&amp;CHAR(10)&amp;INDEX(ポート振替表!$K$5:$K$3507,$L2483)&amp;" "&amp;INDEX(ポート振替表!$L$5:$L$3507,$L2483)&amp;CHAR(10)&amp;"⇔ "&amp;INDEX(ポート振替表!$H$5:$H$3507,$L2483)&amp;" "&amp;INDEX(ポート振替表!$I$5:$I$3507,$L2483))</f>
        <v/>
      </c>
      <c r="L2483" s="47" t="str">
        <f aca="false">IFERROR(MATCH(ROW()-4,ポート振替表!$V$5:$V$3507,0),"")</f>
        <v/>
      </c>
    </row>
    <row r="2484" customFormat="false" ht="16.4" hidden="false" customHeight="false" outlineLevel="0" collapsed="false">
      <c r="A2484" s="32" t="str">
        <f aca="false">IF(L2484="","",ROW()-4)</f>
        <v/>
      </c>
      <c r="B2484" s="58" t="str">
        <f aca="false">IF(L2484="","",IF(INDEX(ポート振替表!$W$5:$W$3507,$L2484)="","(なし)",INDEX(ポート振替表!$W$5:$W$3507,$L2484)&amp;""))</f>
        <v/>
      </c>
      <c r="C2484" s="52" t="str">
        <f aca="false">IF(L2484="","",INDEX(ポート振替表!$B$5:$B$3507,$L2484)&amp;" "&amp;INDEX(ポート振替表!$C$5:$C$3507,$L2484)&amp;"  ⇔  "&amp;INDEX(ポート振替表!$H$5:$H$3507,$L2484)&amp;" "&amp;INDEX(ポート振替表!$I$5:$I$3507,$L2484))</f>
        <v/>
      </c>
      <c r="D2484" s="57" t="s">
        <v>158</v>
      </c>
      <c r="E2484" s="59" t="str">
        <f aca="false">IF(L2484="","",IF(INDEX(ポート振替表!$O$5:$O$3507,$L2484)="","(未設定)",INDEX(ポート振替表!$O$5:$O$3507,$L2484)&amp;""))</f>
        <v/>
      </c>
      <c r="F2484" s="52" t="str">
        <f aca="false">IF(L2484="","",INDEX(ポート振替表!$K$5:$K$3507,$L2484)&amp;" "&amp;INDEX(ポート振替表!$L$5:$L$3507,$L2484)&amp;"  ⇔  "&amp;INDEX(ポート振替表!$H$5:$H$3507,$L2484)&amp;" "&amp;INDEX(ポート振替表!$I$5:$I$3507,$L2484))</f>
        <v/>
      </c>
      <c r="G2484" s="57" t="s">
        <v>158</v>
      </c>
      <c r="H2484" s="32" t="str">
        <f aca="false">IF(L2484="","",INDEX(ポート振替表!$N$5:$N$3507,$L2484)&amp;"")</f>
        <v/>
      </c>
      <c r="I2484" s="32" t="str">
        <f aca="false">IF(L2484="","",INDEX(ポート振替表!$P$5:$P$3507,$L2484)&amp;"")</f>
        <v/>
      </c>
      <c r="J2484" s="60" t="str">
        <f aca="false">IF(L2484="","",INDEX(ポート振替表!$M$5:$M$3507,$L2484)&amp;"")</f>
        <v/>
      </c>
      <c r="K2484" s="52" t="str">
        <f aca="false">IF(L2484="","",E2484&amp;CHAR(10)&amp;INDEX(ポート振替表!$K$5:$K$3507,$L2484)&amp;" "&amp;INDEX(ポート振替表!$L$5:$L$3507,$L2484)&amp;CHAR(10)&amp;"⇔ "&amp;INDEX(ポート振替表!$H$5:$H$3507,$L2484)&amp;" "&amp;INDEX(ポート振替表!$I$5:$I$3507,$L2484))</f>
        <v/>
      </c>
      <c r="L2484" s="47" t="str">
        <f aca="false">IFERROR(MATCH(ROW()-4,ポート振替表!$V$5:$V$3507,0),"")</f>
        <v/>
      </c>
    </row>
    <row r="2485" customFormat="false" ht="16.4" hidden="false" customHeight="false" outlineLevel="0" collapsed="false">
      <c r="A2485" s="32" t="str">
        <f aca="false">IF(L2485="","",ROW()-4)</f>
        <v/>
      </c>
      <c r="B2485" s="58" t="str">
        <f aca="false">IF(L2485="","",IF(INDEX(ポート振替表!$W$5:$W$3507,$L2485)="","(なし)",INDEX(ポート振替表!$W$5:$W$3507,$L2485)&amp;""))</f>
        <v/>
      </c>
      <c r="C2485" s="52" t="str">
        <f aca="false">IF(L2485="","",INDEX(ポート振替表!$B$5:$B$3507,$L2485)&amp;" "&amp;INDEX(ポート振替表!$C$5:$C$3507,$L2485)&amp;"  ⇔  "&amp;INDEX(ポート振替表!$H$5:$H$3507,$L2485)&amp;" "&amp;INDEX(ポート振替表!$I$5:$I$3507,$L2485))</f>
        <v/>
      </c>
      <c r="D2485" s="57" t="s">
        <v>158</v>
      </c>
      <c r="E2485" s="59" t="str">
        <f aca="false">IF(L2485="","",IF(INDEX(ポート振替表!$O$5:$O$3507,$L2485)="","(未設定)",INDEX(ポート振替表!$O$5:$O$3507,$L2485)&amp;""))</f>
        <v/>
      </c>
      <c r="F2485" s="52" t="str">
        <f aca="false">IF(L2485="","",INDEX(ポート振替表!$K$5:$K$3507,$L2485)&amp;" "&amp;INDEX(ポート振替表!$L$5:$L$3507,$L2485)&amp;"  ⇔  "&amp;INDEX(ポート振替表!$H$5:$H$3507,$L2485)&amp;" "&amp;INDEX(ポート振替表!$I$5:$I$3507,$L2485))</f>
        <v/>
      </c>
      <c r="G2485" s="57" t="s">
        <v>158</v>
      </c>
      <c r="H2485" s="32" t="str">
        <f aca="false">IF(L2485="","",INDEX(ポート振替表!$N$5:$N$3507,$L2485)&amp;"")</f>
        <v/>
      </c>
      <c r="I2485" s="32" t="str">
        <f aca="false">IF(L2485="","",INDEX(ポート振替表!$P$5:$P$3507,$L2485)&amp;"")</f>
        <v/>
      </c>
      <c r="J2485" s="60" t="str">
        <f aca="false">IF(L2485="","",INDEX(ポート振替表!$M$5:$M$3507,$L2485)&amp;"")</f>
        <v/>
      </c>
      <c r="K2485" s="52" t="str">
        <f aca="false">IF(L2485="","",E2485&amp;CHAR(10)&amp;INDEX(ポート振替表!$K$5:$K$3507,$L2485)&amp;" "&amp;INDEX(ポート振替表!$L$5:$L$3507,$L2485)&amp;CHAR(10)&amp;"⇔ "&amp;INDEX(ポート振替表!$H$5:$H$3507,$L2485)&amp;" "&amp;INDEX(ポート振替表!$I$5:$I$3507,$L2485))</f>
        <v/>
      </c>
      <c r="L2485" s="47" t="str">
        <f aca="false">IFERROR(MATCH(ROW()-4,ポート振替表!$V$5:$V$3507,0),"")</f>
        <v/>
      </c>
    </row>
    <row r="2486" customFormat="false" ht="16.4" hidden="false" customHeight="false" outlineLevel="0" collapsed="false">
      <c r="A2486" s="32" t="str">
        <f aca="false">IF(L2486="","",ROW()-4)</f>
        <v/>
      </c>
      <c r="B2486" s="58" t="str">
        <f aca="false">IF(L2486="","",IF(INDEX(ポート振替表!$W$5:$W$3507,$L2486)="","(なし)",INDEX(ポート振替表!$W$5:$W$3507,$L2486)&amp;""))</f>
        <v/>
      </c>
      <c r="C2486" s="52" t="str">
        <f aca="false">IF(L2486="","",INDEX(ポート振替表!$B$5:$B$3507,$L2486)&amp;" "&amp;INDEX(ポート振替表!$C$5:$C$3507,$L2486)&amp;"  ⇔  "&amp;INDEX(ポート振替表!$H$5:$H$3507,$L2486)&amp;" "&amp;INDEX(ポート振替表!$I$5:$I$3507,$L2486))</f>
        <v/>
      </c>
      <c r="D2486" s="57" t="s">
        <v>158</v>
      </c>
      <c r="E2486" s="59" t="str">
        <f aca="false">IF(L2486="","",IF(INDEX(ポート振替表!$O$5:$O$3507,$L2486)="","(未設定)",INDEX(ポート振替表!$O$5:$O$3507,$L2486)&amp;""))</f>
        <v/>
      </c>
      <c r="F2486" s="52" t="str">
        <f aca="false">IF(L2486="","",INDEX(ポート振替表!$K$5:$K$3507,$L2486)&amp;" "&amp;INDEX(ポート振替表!$L$5:$L$3507,$L2486)&amp;"  ⇔  "&amp;INDEX(ポート振替表!$H$5:$H$3507,$L2486)&amp;" "&amp;INDEX(ポート振替表!$I$5:$I$3507,$L2486))</f>
        <v/>
      </c>
      <c r="G2486" s="57" t="s">
        <v>158</v>
      </c>
      <c r="H2486" s="32" t="str">
        <f aca="false">IF(L2486="","",INDEX(ポート振替表!$N$5:$N$3507,$L2486)&amp;"")</f>
        <v/>
      </c>
      <c r="I2486" s="32" t="str">
        <f aca="false">IF(L2486="","",INDEX(ポート振替表!$P$5:$P$3507,$L2486)&amp;"")</f>
        <v/>
      </c>
      <c r="J2486" s="60" t="str">
        <f aca="false">IF(L2486="","",INDEX(ポート振替表!$M$5:$M$3507,$L2486)&amp;"")</f>
        <v/>
      </c>
      <c r="K2486" s="52" t="str">
        <f aca="false">IF(L2486="","",E2486&amp;CHAR(10)&amp;INDEX(ポート振替表!$K$5:$K$3507,$L2486)&amp;" "&amp;INDEX(ポート振替表!$L$5:$L$3507,$L2486)&amp;CHAR(10)&amp;"⇔ "&amp;INDEX(ポート振替表!$H$5:$H$3507,$L2486)&amp;" "&amp;INDEX(ポート振替表!$I$5:$I$3507,$L2486))</f>
        <v/>
      </c>
      <c r="L2486" s="47" t="str">
        <f aca="false">IFERROR(MATCH(ROW()-4,ポート振替表!$V$5:$V$3507,0),"")</f>
        <v/>
      </c>
    </row>
    <row r="2487" customFormat="false" ht="16.4" hidden="false" customHeight="false" outlineLevel="0" collapsed="false">
      <c r="A2487" s="32" t="str">
        <f aca="false">IF(L2487="","",ROW()-4)</f>
        <v/>
      </c>
      <c r="B2487" s="58" t="str">
        <f aca="false">IF(L2487="","",IF(INDEX(ポート振替表!$W$5:$W$3507,$L2487)="","(なし)",INDEX(ポート振替表!$W$5:$W$3507,$L2487)&amp;""))</f>
        <v/>
      </c>
      <c r="C2487" s="52" t="str">
        <f aca="false">IF(L2487="","",INDEX(ポート振替表!$B$5:$B$3507,$L2487)&amp;" "&amp;INDEX(ポート振替表!$C$5:$C$3507,$L2487)&amp;"  ⇔  "&amp;INDEX(ポート振替表!$H$5:$H$3507,$L2487)&amp;" "&amp;INDEX(ポート振替表!$I$5:$I$3507,$L2487))</f>
        <v/>
      </c>
      <c r="D2487" s="57" t="s">
        <v>158</v>
      </c>
      <c r="E2487" s="59" t="str">
        <f aca="false">IF(L2487="","",IF(INDEX(ポート振替表!$O$5:$O$3507,$L2487)="","(未設定)",INDEX(ポート振替表!$O$5:$O$3507,$L2487)&amp;""))</f>
        <v/>
      </c>
      <c r="F2487" s="52" t="str">
        <f aca="false">IF(L2487="","",INDEX(ポート振替表!$K$5:$K$3507,$L2487)&amp;" "&amp;INDEX(ポート振替表!$L$5:$L$3507,$L2487)&amp;"  ⇔  "&amp;INDEX(ポート振替表!$H$5:$H$3507,$L2487)&amp;" "&amp;INDEX(ポート振替表!$I$5:$I$3507,$L2487))</f>
        <v/>
      </c>
      <c r="G2487" s="57" t="s">
        <v>158</v>
      </c>
      <c r="H2487" s="32" t="str">
        <f aca="false">IF(L2487="","",INDEX(ポート振替表!$N$5:$N$3507,$L2487)&amp;"")</f>
        <v/>
      </c>
      <c r="I2487" s="32" t="str">
        <f aca="false">IF(L2487="","",INDEX(ポート振替表!$P$5:$P$3507,$L2487)&amp;"")</f>
        <v/>
      </c>
      <c r="J2487" s="60" t="str">
        <f aca="false">IF(L2487="","",INDEX(ポート振替表!$M$5:$M$3507,$L2487)&amp;"")</f>
        <v/>
      </c>
      <c r="K2487" s="52" t="str">
        <f aca="false">IF(L2487="","",E2487&amp;CHAR(10)&amp;INDEX(ポート振替表!$K$5:$K$3507,$L2487)&amp;" "&amp;INDEX(ポート振替表!$L$5:$L$3507,$L2487)&amp;CHAR(10)&amp;"⇔ "&amp;INDEX(ポート振替表!$H$5:$H$3507,$L2487)&amp;" "&amp;INDEX(ポート振替表!$I$5:$I$3507,$L2487))</f>
        <v/>
      </c>
      <c r="L2487" s="47" t="str">
        <f aca="false">IFERROR(MATCH(ROW()-4,ポート振替表!$V$5:$V$3507,0),"")</f>
        <v/>
      </c>
    </row>
    <row r="2488" customFormat="false" ht="16.4" hidden="false" customHeight="false" outlineLevel="0" collapsed="false">
      <c r="A2488" s="32" t="str">
        <f aca="false">IF(L2488="","",ROW()-4)</f>
        <v/>
      </c>
      <c r="B2488" s="58" t="str">
        <f aca="false">IF(L2488="","",IF(INDEX(ポート振替表!$W$5:$W$3507,$L2488)="","(なし)",INDEX(ポート振替表!$W$5:$W$3507,$L2488)&amp;""))</f>
        <v/>
      </c>
      <c r="C2488" s="52" t="str">
        <f aca="false">IF(L2488="","",INDEX(ポート振替表!$B$5:$B$3507,$L2488)&amp;" "&amp;INDEX(ポート振替表!$C$5:$C$3507,$L2488)&amp;"  ⇔  "&amp;INDEX(ポート振替表!$H$5:$H$3507,$L2488)&amp;" "&amp;INDEX(ポート振替表!$I$5:$I$3507,$L2488))</f>
        <v/>
      </c>
      <c r="D2488" s="57" t="s">
        <v>158</v>
      </c>
      <c r="E2488" s="59" t="str">
        <f aca="false">IF(L2488="","",IF(INDEX(ポート振替表!$O$5:$O$3507,$L2488)="","(未設定)",INDEX(ポート振替表!$O$5:$O$3507,$L2488)&amp;""))</f>
        <v/>
      </c>
      <c r="F2488" s="52" t="str">
        <f aca="false">IF(L2488="","",INDEX(ポート振替表!$K$5:$K$3507,$L2488)&amp;" "&amp;INDEX(ポート振替表!$L$5:$L$3507,$L2488)&amp;"  ⇔  "&amp;INDEX(ポート振替表!$H$5:$H$3507,$L2488)&amp;" "&amp;INDEX(ポート振替表!$I$5:$I$3507,$L2488))</f>
        <v/>
      </c>
      <c r="G2488" s="57" t="s">
        <v>158</v>
      </c>
      <c r="H2488" s="32" t="str">
        <f aca="false">IF(L2488="","",INDEX(ポート振替表!$N$5:$N$3507,$L2488)&amp;"")</f>
        <v/>
      </c>
      <c r="I2488" s="32" t="str">
        <f aca="false">IF(L2488="","",INDEX(ポート振替表!$P$5:$P$3507,$L2488)&amp;"")</f>
        <v/>
      </c>
      <c r="J2488" s="60" t="str">
        <f aca="false">IF(L2488="","",INDEX(ポート振替表!$M$5:$M$3507,$L2488)&amp;"")</f>
        <v/>
      </c>
      <c r="K2488" s="52" t="str">
        <f aca="false">IF(L2488="","",E2488&amp;CHAR(10)&amp;INDEX(ポート振替表!$K$5:$K$3507,$L2488)&amp;" "&amp;INDEX(ポート振替表!$L$5:$L$3507,$L2488)&amp;CHAR(10)&amp;"⇔ "&amp;INDEX(ポート振替表!$H$5:$H$3507,$L2488)&amp;" "&amp;INDEX(ポート振替表!$I$5:$I$3507,$L2488))</f>
        <v/>
      </c>
      <c r="L2488" s="47" t="str">
        <f aca="false">IFERROR(MATCH(ROW()-4,ポート振替表!$V$5:$V$3507,0),"")</f>
        <v/>
      </c>
    </row>
    <row r="2489" customFormat="false" ht="16.4" hidden="false" customHeight="false" outlineLevel="0" collapsed="false">
      <c r="A2489" s="32" t="str">
        <f aca="false">IF(L2489="","",ROW()-4)</f>
        <v/>
      </c>
      <c r="B2489" s="58" t="str">
        <f aca="false">IF(L2489="","",IF(INDEX(ポート振替表!$W$5:$W$3507,$L2489)="","(なし)",INDEX(ポート振替表!$W$5:$W$3507,$L2489)&amp;""))</f>
        <v/>
      </c>
      <c r="C2489" s="52" t="str">
        <f aca="false">IF(L2489="","",INDEX(ポート振替表!$B$5:$B$3507,$L2489)&amp;" "&amp;INDEX(ポート振替表!$C$5:$C$3507,$L2489)&amp;"  ⇔  "&amp;INDEX(ポート振替表!$H$5:$H$3507,$L2489)&amp;" "&amp;INDEX(ポート振替表!$I$5:$I$3507,$L2489))</f>
        <v/>
      </c>
      <c r="D2489" s="57" t="s">
        <v>158</v>
      </c>
      <c r="E2489" s="59" t="str">
        <f aca="false">IF(L2489="","",IF(INDEX(ポート振替表!$O$5:$O$3507,$L2489)="","(未設定)",INDEX(ポート振替表!$O$5:$O$3507,$L2489)&amp;""))</f>
        <v/>
      </c>
      <c r="F2489" s="52" t="str">
        <f aca="false">IF(L2489="","",INDEX(ポート振替表!$K$5:$K$3507,$L2489)&amp;" "&amp;INDEX(ポート振替表!$L$5:$L$3507,$L2489)&amp;"  ⇔  "&amp;INDEX(ポート振替表!$H$5:$H$3507,$L2489)&amp;" "&amp;INDEX(ポート振替表!$I$5:$I$3507,$L2489))</f>
        <v/>
      </c>
      <c r="G2489" s="57" t="s">
        <v>158</v>
      </c>
      <c r="H2489" s="32" t="str">
        <f aca="false">IF(L2489="","",INDEX(ポート振替表!$N$5:$N$3507,$L2489)&amp;"")</f>
        <v/>
      </c>
      <c r="I2489" s="32" t="str">
        <f aca="false">IF(L2489="","",INDEX(ポート振替表!$P$5:$P$3507,$L2489)&amp;"")</f>
        <v/>
      </c>
      <c r="J2489" s="60" t="str">
        <f aca="false">IF(L2489="","",INDEX(ポート振替表!$M$5:$M$3507,$L2489)&amp;"")</f>
        <v/>
      </c>
      <c r="K2489" s="52" t="str">
        <f aca="false">IF(L2489="","",E2489&amp;CHAR(10)&amp;INDEX(ポート振替表!$K$5:$K$3507,$L2489)&amp;" "&amp;INDEX(ポート振替表!$L$5:$L$3507,$L2489)&amp;CHAR(10)&amp;"⇔ "&amp;INDEX(ポート振替表!$H$5:$H$3507,$L2489)&amp;" "&amp;INDEX(ポート振替表!$I$5:$I$3507,$L2489))</f>
        <v/>
      </c>
      <c r="L2489" s="47" t="str">
        <f aca="false">IFERROR(MATCH(ROW()-4,ポート振替表!$V$5:$V$3507,0),"")</f>
        <v/>
      </c>
    </row>
    <row r="2490" customFormat="false" ht="16.4" hidden="false" customHeight="false" outlineLevel="0" collapsed="false">
      <c r="A2490" s="32" t="str">
        <f aca="false">IF(L2490="","",ROW()-4)</f>
        <v/>
      </c>
      <c r="B2490" s="58" t="str">
        <f aca="false">IF(L2490="","",IF(INDEX(ポート振替表!$W$5:$W$3507,$L2490)="","(なし)",INDEX(ポート振替表!$W$5:$W$3507,$L2490)&amp;""))</f>
        <v/>
      </c>
      <c r="C2490" s="52" t="str">
        <f aca="false">IF(L2490="","",INDEX(ポート振替表!$B$5:$B$3507,$L2490)&amp;" "&amp;INDEX(ポート振替表!$C$5:$C$3507,$L2490)&amp;"  ⇔  "&amp;INDEX(ポート振替表!$H$5:$H$3507,$L2490)&amp;" "&amp;INDEX(ポート振替表!$I$5:$I$3507,$L2490))</f>
        <v/>
      </c>
      <c r="D2490" s="57" t="s">
        <v>158</v>
      </c>
      <c r="E2490" s="59" t="str">
        <f aca="false">IF(L2490="","",IF(INDEX(ポート振替表!$O$5:$O$3507,$L2490)="","(未設定)",INDEX(ポート振替表!$O$5:$O$3507,$L2490)&amp;""))</f>
        <v/>
      </c>
      <c r="F2490" s="52" t="str">
        <f aca="false">IF(L2490="","",INDEX(ポート振替表!$K$5:$K$3507,$L2490)&amp;" "&amp;INDEX(ポート振替表!$L$5:$L$3507,$L2490)&amp;"  ⇔  "&amp;INDEX(ポート振替表!$H$5:$H$3507,$L2490)&amp;" "&amp;INDEX(ポート振替表!$I$5:$I$3507,$L2490))</f>
        <v/>
      </c>
      <c r="G2490" s="57" t="s">
        <v>158</v>
      </c>
      <c r="H2490" s="32" t="str">
        <f aca="false">IF(L2490="","",INDEX(ポート振替表!$N$5:$N$3507,$L2490)&amp;"")</f>
        <v/>
      </c>
      <c r="I2490" s="32" t="str">
        <f aca="false">IF(L2490="","",INDEX(ポート振替表!$P$5:$P$3507,$L2490)&amp;"")</f>
        <v/>
      </c>
      <c r="J2490" s="60" t="str">
        <f aca="false">IF(L2490="","",INDEX(ポート振替表!$M$5:$M$3507,$L2490)&amp;"")</f>
        <v/>
      </c>
      <c r="K2490" s="52" t="str">
        <f aca="false">IF(L2490="","",E2490&amp;CHAR(10)&amp;INDEX(ポート振替表!$K$5:$K$3507,$L2490)&amp;" "&amp;INDEX(ポート振替表!$L$5:$L$3507,$L2490)&amp;CHAR(10)&amp;"⇔ "&amp;INDEX(ポート振替表!$H$5:$H$3507,$L2490)&amp;" "&amp;INDEX(ポート振替表!$I$5:$I$3507,$L2490))</f>
        <v/>
      </c>
      <c r="L2490" s="47" t="str">
        <f aca="false">IFERROR(MATCH(ROW()-4,ポート振替表!$V$5:$V$3507,0),"")</f>
        <v/>
      </c>
    </row>
    <row r="2491" customFormat="false" ht="16.4" hidden="false" customHeight="false" outlineLevel="0" collapsed="false">
      <c r="A2491" s="32" t="str">
        <f aca="false">IF(L2491="","",ROW()-4)</f>
        <v/>
      </c>
      <c r="B2491" s="58" t="str">
        <f aca="false">IF(L2491="","",IF(INDEX(ポート振替表!$W$5:$W$3507,$L2491)="","(なし)",INDEX(ポート振替表!$W$5:$W$3507,$L2491)&amp;""))</f>
        <v/>
      </c>
      <c r="C2491" s="52" t="str">
        <f aca="false">IF(L2491="","",INDEX(ポート振替表!$B$5:$B$3507,$L2491)&amp;" "&amp;INDEX(ポート振替表!$C$5:$C$3507,$L2491)&amp;"  ⇔  "&amp;INDEX(ポート振替表!$H$5:$H$3507,$L2491)&amp;" "&amp;INDEX(ポート振替表!$I$5:$I$3507,$L2491))</f>
        <v/>
      </c>
      <c r="D2491" s="57" t="s">
        <v>158</v>
      </c>
      <c r="E2491" s="59" t="str">
        <f aca="false">IF(L2491="","",IF(INDEX(ポート振替表!$O$5:$O$3507,$L2491)="","(未設定)",INDEX(ポート振替表!$O$5:$O$3507,$L2491)&amp;""))</f>
        <v/>
      </c>
      <c r="F2491" s="52" t="str">
        <f aca="false">IF(L2491="","",INDEX(ポート振替表!$K$5:$K$3507,$L2491)&amp;" "&amp;INDEX(ポート振替表!$L$5:$L$3507,$L2491)&amp;"  ⇔  "&amp;INDEX(ポート振替表!$H$5:$H$3507,$L2491)&amp;" "&amp;INDEX(ポート振替表!$I$5:$I$3507,$L2491))</f>
        <v/>
      </c>
      <c r="G2491" s="57" t="s">
        <v>158</v>
      </c>
      <c r="H2491" s="32" t="str">
        <f aca="false">IF(L2491="","",INDEX(ポート振替表!$N$5:$N$3507,$L2491)&amp;"")</f>
        <v/>
      </c>
      <c r="I2491" s="32" t="str">
        <f aca="false">IF(L2491="","",INDEX(ポート振替表!$P$5:$P$3507,$L2491)&amp;"")</f>
        <v/>
      </c>
      <c r="J2491" s="60" t="str">
        <f aca="false">IF(L2491="","",INDEX(ポート振替表!$M$5:$M$3507,$L2491)&amp;"")</f>
        <v/>
      </c>
      <c r="K2491" s="52" t="str">
        <f aca="false">IF(L2491="","",E2491&amp;CHAR(10)&amp;INDEX(ポート振替表!$K$5:$K$3507,$L2491)&amp;" "&amp;INDEX(ポート振替表!$L$5:$L$3507,$L2491)&amp;CHAR(10)&amp;"⇔ "&amp;INDEX(ポート振替表!$H$5:$H$3507,$L2491)&amp;" "&amp;INDEX(ポート振替表!$I$5:$I$3507,$L2491))</f>
        <v/>
      </c>
      <c r="L2491" s="47" t="str">
        <f aca="false">IFERROR(MATCH(ROW()-4,ポート振替表!$V$5:$V$3507,0),"")</f>
        <v/>
      </c>
    </row>
    <row r="2492" customFormat="false" ht="16.4" hidden="false" customHeight="false" outlineLevel="0" collapsed="false">
      <c r="A2492" s="32" t="str">
        <f aca="false">IF(L2492="","",ROW()-4)</f>
        <v/>
      </c>
      <c r="B2492" s="58" t="str">
        <f aca="false">IF(L2492="","",IF(INDEX(ポート振替表!$W$5:$W$3507,$L2492)="","(なし)",INDEX(ポート振替表!$W$5:$W$3507,$L2492)&amp;""))</f>
        <v/>
      </c>
      <c r="C2492" s="52" t="str">
        <f aca="false">IF(L2492="","",INDEX(ポート振替表!$B$5:$B$3507,$L2492)&amp;" "&amp;INDEX(ポート振替表!$C$5:$C$3507,$L2492)&amp;"  ⇔  "&amp;INDEX(ポート振替表!$H$5:$H$3507,$L2492)&amp;" "&amp;INDEX(ポート振替表!$I$5:$I$3507,$L2492))</f>
        <v/>
      </c>
      <c r="D2492" s="57" t="s">
        <v>158</v>
      </c>
      <c r="E2492" s="59" t="str">
        <f aca="false">IF(L2492="","",IF(INDEX(ポート振替表!$O$5:$O$3507,$L2492)="","(未設定)",INDEX(ポート振替表!$O$5:$O$3507,$L2492)&amp;""))</f>
        <v/>
      </c>
      <c r="F2492" s="52" t="str">
        <f aca="false">IF(L2492="","",INDEX(ポート振替表!$K$5:$K$3507,$L2492)&amp;" "&amp;INDEX(ポート振替表!$L$5:$L$3507,$L2492)&amp;"  ⇔  "&amp;INDEX(ポート振替表!$H$5:$H$3507,$L2492)&amp;" "&amp;INDEX(ポート振替表!$I$5:$I$3507,$L2492))</f>
        <v/>
      </c>
      <c r="G2492" s="57" t="s">
        <v>158</v>
      </c>
      <c r="H2492" s="32" t="str">
        <f aca="false">IF(L2492="","",INDEX(ポート振替表!$N$5:$N$3507,$L2492)&amp;"")</f>
        <v/>
      </c>
      <c r="I2492" s="32" t="str">
        <f aca="false">IF(L2492="","",INDEX(ポート振替表!$P$5:$P$3507,$L2492)&amp;"")</f>
        <v/>
      </c>
      <c r="J2492" s="60" t="str">
        <f aca="false">IF(L2492="","",INDEX(ポート振替表!$M$5:$M$3507,$L2492)&amp;"")</f>
        <v/>
      </c>
      <c r="K2492" s="52" t="str">
        <f aca="false">IF(L2492="","",E2492&amp;CHAR(10)&amp;INDEX(ポート振替表!$K$5:$K$3507,$L2492)&amp;" "&amp;INDEX(ポート振替表!$L$5:$L$3507,$L2492)&amp;CHAR(10)&amp;"⇔ "&amp;INDEX(ポート振替表!$H$5:$H$3507,$L2492)&amp;" "&amp;INDEX(ポート振替表!$I$5:$I$3507,$L2492))</f>
        <v/>
      </c>
      <c r="L2492" s="47" t="str">
        <f aca="false">IFERROR(MATCH(ROW()-4,ポート振替表!$V$5:$V$3507,0),"")</f>
        <v/>
      </c>
    </row>
    <row r="2493" customFormat="false" ht="16.4" hidden="false" customHeight="false" outlineLevel="0" collapsed="false">
      <c r="A2493" s="32" t="str">
        <f aca="false">IF(L2493="","",ROW()-4)</f>
        <v/>
      </c>
      <c r="B2493" s="58" t="str">
        <f aca="false">IF(L2493="","",IF(INDEX(ポート振替表!$W$5:$W$3507,$L2493)="","(なし)",INDEX(ポート振替表!$W$5:$W$3507,$L2493)&amp;""))</f>
        <v/>
      </c>
      <c r="C2493" s="52" t="str">
        <f aca="false">IF(L2493="","",INDEX(ポート振替表!$B$5:$B$3507,$L2493)&amp;" "&amp;INDEX(ポート振替表!$C$5:$C$3507,$L2493)&amp;"  ⇔  "&amp;INDEX(ポート振替表!$H$5:$H$3507,$L2493)&amp;" "&amp;INDEX(ポート振替表!$I$5:$I$3507,$L2493))</f>
        <v/>
      </c>
      <c r="D2493" s="57" t="s">
        <v>158</v>
      </c>
      <c r="E2493" s="59" t="str">
        <f aca="false">IF(L2493="","",IF(INDEX(ポート振替表!$O$5:$O$3507,$L2493)="","(未設定)",INDEX(ポート振替表!$O$5:$O$3507,$L2493)&amp;""))</f>
        <v/>
      </c>
      <c r="F2493" s="52" t="str">
        <f aca="false">IF(L2493="","",INDEX(ポート振替表!$K$5:$K$3507,$L2493)&amp;" "&amp;INDEX(ポート振替表!$L$5:$L$3507,$L2493)&amp;"  ⇔  "&amp;INDEX(ポート振替表!$H$5:$H$3507,$L2493)&amp;" "&amp;INDEX(ポート振替表!$I$5:$I$3507,$L2493))</f>
        <v/>
      </c>
      <c r="G2493" s="57" t="s">
        <v>158</v>
      </c>
      <c r="H2493" s="32" t="str">
        <f aca="false">IF(L2493="","",INDEX(ポート振替表!$N$5:$N$3507,$L2493)&amp;"")</f>
        <v/>
      </c>
      <c r="I2493" s="32" t="str">
        <f aca="false">IF(L2493="","",INDEX(ポート振替表!$P$5:$P$3507,$L2493)&amp;"")</f>
        <v/>
      </c>
      <c r="J2493" s="60" t="str">
        <f aca="false">IF(L2493="","",INDEX(ポート振替表!$M$5:$M$3507,$L2493)&amp;"")</f>
        <v/>
      </c>
      <c r="K2493" s="52" t="str">
        <f aca="false">IF(L2493="","",E2493&amp;CHAR(10)&amp;INDEX(ポート振替表!$K$5:$K$3507,$L2493)&amp;" "&amp;INDEX(ポート振替表!$L$5:$L$3507,$L2493)&amp;CHAR(10)&amp;"⇔ "&amp;INDEX(ポート振替表!$H$5:$H$3507,$L2493)&amp;" "&amp;INDEX(ポート振替表!$I$5:$I$3507,$L2493))</f>
        <v/>
      </c>
      <c r="L2493" s="47" t="str">
        <f aca="false">IFERROR(MATCH(ROW()-4,ポート振替表!$V$5:$V$3507,0),"")</f>
        <v/>
      </c>
    </row>
    <row r="2494" customFormat="false" ht="16.4" hidden="false" customHeight="false" outlineLevel="0" collapsed="false">
      <c r="A2494" s="32" t="str">
        <f aca="false">IF(L2494="","",ROW()-4)</f>
        <v/>
      </c>
      <c r="B2494" s="58" t="str">
        <f aca="false">IF(L2494="","",IF(INDEX(ポート振替表!$W$5:$W$3507,$L2494)="","(なし)",INDEX(ポート振替表!$W$5:$W$3507,$L2494)&amp;""))</f>
        <v/>
      </c>
      <c r="C2494" s="52" t="str">
        <f aca="false">IF(L2494="","",INDEX(ポート振替表!$B$5:$B$3507,$L2494)&amp;" "&amp;INDEX(ポート振替表!$C$5:$C$3507,$L2494)&amp;"  ⇔  "&amp;INDEX(ポート振替表!$H$5:$H$3507,$L2494)&amp;" "&amp;INDEX(ポート振替表!$I$5:$I$3507,$L2494))</f>
        <v/>
      </c>
      <c r="D2494" s="57" t="s">
        <v>158</v>
      </c>
      <c r="E2494" s="59" t="str">
        <f aca="false">IF(L2494="","",IF(INDEX(ポート振替表!$O$5:$O$3507,$L2494)="","(未設定)",INDEX(ポート振替表!$O$5:$O$3507,$L2494)&amp;""))</f>
        <v/>
      </c>
      <c r="F2494" s="52" t="str">
        <f aca="false">IF(L2494="","",INDEX(ポート振替表!$K$5:$K$3507,$L2494)&amp;" "&amp;INDEX(ポート振替表!$L$5:$L$3507,$L2494)&amp;"  ⇔  "&amp;INDEX(ポート振替表!$H$5:$H$3507,$L2494)&amp;" "&amp;INDEX(ポート振替表!$I$5:$I$3507,$L2494))</f>
        <v/>
      </c>
      <c r="G2494" s="57" t="s">
        <v>158</v>
      </c>
      <c r="H2494" s="32" t="str">
        <f aca="false">IF(L2494="","",INDEX(ポート振替表!$N$5:$N$3507,$L2494)&amp;"")</f>
        <v/>
      </c>
      <c r="I2494" s="32" t="str">
        <f aca="false">IF(L2494="","",INDEX(ポート振替表!$P$5:$P$3507,$L2494)&amp;"")</f>
        <v/>
      </c>
      <c r="J2494" s="60" t="str">
        <f aca="false">IF(L2494="","",INDEX(ポート振替表!$M$5:$M$3507,$L2494)&amp;"")</f>
        <v/>
      </c>
      <c r="K2494" s="52" t="str">
        <f aca="false">IF(L2494="","",E2494&amp;CHAR(10)&amp;INDEX(ポート振替表!$K$5:$K$3507,$L2494)&amp;" "&amp;INDEX(ポート振替表!$L$5:$L$3507,$L2494)&amp;CHAR(10)&amp;"⇔ "&amp;INDEX(ポート振替表!$H$5:$H$3507,$L2494)&amp;" "&amp;INDEX(ポート振替表!$I$5:$I$3507,$L2494))</f>
        <v/>
      </c>
      <c r="L2494" s="47" t="str">
        <f aca="false">IFERROR(MATCH(ROW()-4,ポート振替表!$V$5:$V$3507,0),"")</f>
        <v/>
      </c>
    </row>
    <row r="2495" customFormat="false" ht="16.4" hidden="false" customHeight="false" outlineLevel="0" collapsed="false">
      <c r="A2495" s="32" t="str">
        <f aca="false">IF(L2495="","",ROW()-4)</f>
        <v/>
      </c>
      <c r="B2495" s="58" t="str">
        <f aca="false">IF(L2495="","",IF(INDEX(ポート振替表!$W$5:$W$3507,$L2495)="","(なし)",INDEX(ポート振替表!$W$5:$W$3507,$L2495)&amp;""))</f>
        <v/>
      </c>
      <c r="C2495" s="52" t="str">
        <f aca="false">IF(L2495="","",INDEX(ポート振替表!$B$5:$B$3507,$L2495)&amp;" "&amp;INDEX(ポート振替表!$C$5:$C$3507,$L2495)&amp;"  ⇔  "&amp;INDEX(ポート振替表!$H$5:$H$3507,$L2495)&amp;" "&amp;INDEX(ポート振替表!$I$5:$I$3507,$L2495))</f>
        <v/>
      </c>
      <c r="D2495" s="57" t="s">
        <v>158</v>
      </c>
      <c r="E2495" s="59" t="str">
        <f aca="false">IF(L2495="","",IF(INDEX(ポート振替表!$O$5:$O$3507,$L2495)="","(未設定)",INDEX(ポート振替表!$O$5:$O$3507,$L2495)&amp;""))</f>
        <v/>
      </c>
      <c r="F2495" s="52" t="str">
        <f aca="false">IF(L2495="","",INDEX(ポート振替表!$K$5:$K$3507,$L2495)&amp;" "&amp;INDEX(ポート振替表!$L$5:$L$3507,$L2495)&amp;"  ⇔  "&amp;INDEX(ポート振替表!$H$5:$H$3507,$L2495)&amp;" "&amp;INDEX(ポート振替表!$I$5:$I$3507,$L2495))</f>
        <v/>
      </c>
      <c r="G2495" s="57" t="s">
        <v>158</v>
      </c>
      <c r="H2495" s="32" t="str">
        <f aca="false">IF(L2495="","",INDEX(ポート振替表!$N$5:$N$3507,$L2495)&amp;"")</f>
        <v/>
      </c>
      <c r="I2495" s="32" t="str">
        <f aca="false">IF(L2495="","",INDEX(ポート振替表!$P$5:$P$3507,$L2495)&amp;"")</f>
        <v/>
      </c>
      <c r="J2495" s="60" t="str">
        <f aca="false">IF(L2495="","",INDEX(ポート振替表!$M$5:$M$3507,$L2495)&amp;"")</f>
        <v/>
      </c>
      <c r="K2495" s="52" t="str">
        <f aca="false">IF(L2495="","",E2495&amp;CHAR(10)&amp;INDEX(ポート振替表!$K$5:$K$3507,$L2495)&amp;" "&amp;INDEX(ポート振替表!$L$5:$L$3507,$L2495)&amp;CHAR(10)&amp;"⇔ "&amp;INDEX(ポート振替表!$H$5:$H$3507,$L2495)&amp;" "&amp;INDEX(ポート振替表!$I$5:$I$3507,$L2495))</f>
        <v/>
      </c>
      <c r="L2495" s="47" t="str">
        <f aca="false">IFERROR(MATCH(ROW()-4,ポート振替表!$V$5:$V$3507,0),"")</f>
        <v/>
      </c>
    </row>
    <row r="2496" customFormat="false" ht="16.4" hidden="false" customHeight="false" outlineLevel="0" collapsed="false">
      <c r="A2496" s="32" t="str">
        <f aca="false">IF(L2496="","",ROW()-4)</f>
        <v/>
      </c>
      <c r="B2496" s="58" t="str">
        <f aca="false">IF(L2496="","",IF(INDEX(ポート振替表!$W$5:$W$3507,$L2496)="","(なし)",INDEX(ポート振替表!$W$5:$W$3507,$L2496)&amp;""))</f>
        <v/>
      </c>
      <c r="C2496" s="52" t="str">
        <f aca="false">IF(L2496="","",INDEX(ポート振替表!$B$5:$B$3507,$L2496)&amp;" "&amp;INDEX(ポート振替表!$C$5:$C$3507,$L2496)&amp;"  ⇔  "&amp;INDEX(ポート振替表!$H$5:$H$3507,$L2496)&amp;" "&amp;INDEX(ポート振替表!$I$5:$I$3507,$L2496))</f>
        <v/>
      </c>
      <c r="D2496" s="57" t="s">
        <v>158</v>
      </c>
      <c r="E2496" s="59" t="str">
        <f aca="false">IF(L2496="","",IF(INDEX(ポート振替表!$O$5:$O$3507,$L2496)="","(未設定)",INDEX(ポート振替表!$O$5:$O$3507,$L2496)&amp;""))</f>
        <v/>
      </c>
      <c r="F2496" s="52" t="str">
        <f aca="false">IF(L2496="","",INDEX(ポート振替表!$K$5:$K$3507,$L2496)&amp;" "&amp;INDEX(ポート振替表!$L$5:$L$3507,$L2496)&amp;"  ⇔  "&amp;INDEX(ポート振替表!$H$5:$H$3507,$L2496)&amp;" "&amp;INDEX(ポート振替表!$I$5:$I$3507,$L2496))</f>
        <v/>
      </c>
      <c r="G2496" s="57" t="s">
        <v>158</v>
      </c>
      <c r="H2496" s="32" t="str">
        <f aca="false">IF(L2496="","",INDEX(ポート振替表!$N$5:$N$3507,$L2496)&amp;"")</f>
        <v/>
      </c>
      <c r="I2496" s="32" t="str">
        <f aca="false">IF(L2496="","",INDEX(ポート振替表!$P$5:$P$3507,$L2496)&amp;"")</f>
        <v/>
      </c>
      <c r="J2496" s="60" t="str">
        <f aca="false">IF(L2496="","",INDEX(ポート振替表!$M$5:$M$3507,$L2496)&amp;"")</f>
        <v/>
      </c>
      <c r="K2496" s="52" t="str">
        <f aca="false">IF(L2496="","",E2496&amp;CHAR(10)&amp;INDEX(ポート振替表!$K$5:$K$3507,$L2496)&amp;" "&amp;INDEX(ポート振替表!$L$5:$L$3507,$L2496)&amp;CHAR(10)&amp;"⇔ "&amp;INDEX(ポート振替表!$H$5:$H$3507,$L2496)&amp;" "&amp;INDEX(ポート振替表!$I$5:$I$3507,$L2496))</f>
        <v/>
      </c>
      <c r="L2496" s="47" t="str">
        <f aca="false">IFERROR(MATCH(ROW()-4,ポート振替表!$V$5:$V$3507,0),"")</f>
        <v/>
      </c>
    </row>
    <row r="2497" customFormat="false" ht="16.4" hidden="false" customHeight="false" outlineLevel="0" collapsed="false">
      <c r="A2497" s="32" t="str">
        <f aca="false">IF(L2497="","",ROW()-4)</f>
        <v/>
      </c>
      <c r="B2497" s="58" t="str">
        <f aca="false">IF(L2497="","",IF(INDEX(ポート振替表!$W$5:$W$3507,$L2497)="","(なし)",INDEX(ポート振替表!$W$5:$W$3507,$L2497)&amp;""))</f>
        <v/>
      </c>
      <c r="C2497" s="52" t="str">
        <f aca="false">IF(L2497="","",INDEX(ポート振替表!$B$5:$B$3507,$L2497)&amp;" "&amp;INDEX(ポート振替表!$C$5:$C$3507,$L2497)&amp;"  ⇔  "&amp;INDEX(ポート振替表!$H$5:$H$3507,$L2497)&amp;" "&amp;INDEX(ポート振替表!$I$5:$I$3507,$L2497))</f>
        <v/>
      </c>
      <c r="D2497" s="57" t="s">
        <v>158</v>
      </c>
      <c r="E2497" s="59" t="str">
        <f aca="false">IF(L2497="","",IF(INDEX(ポート振替表!$O$5:$O$3507,$L2497)="","(未設定)",INDEX(ポート振替表!$O$5:$O$3507,$L2497)&amp;""))</f>
        <v/>
      </c>
      <c r="F2497" s="52" t="str">
        <f aca="false">IF(L2497="","",INDEX(ポート振替表!$K$5:$K$3507,$L2497)&amp;" "&amp;INDEX(ポート振替表!$L$5:$L$3507,$L2497)&amp;"  ⇔  "&amp;INDEX(ポート振替表!$H$5:$H$3507,$L2497)&amp;" "&amp;INDEX(ポート振替表!$I$5:$I$3507,$L2497))</f>
        <v/>
      </c>
      <c r="G2497" s="57" t="s">
        <v>158</v>
      </c>
      <c r="H2497" s="32" t="str">
        <f aca="false">IF(L2497="","",INDEX(ポート振替表!$N$5:$N$3507,$L2497)&amp;"")</f>
        <v/>
      </c>
      <c r="I2497" s="32" t="str">
        <f aca="false">IF(L2497="","",INDEX(ポート振替表!$P$5:$P$3507,$L2497)&amp;"")</f>
        <v/>
      </c>
      <c r="J2497" s="60" t="str">
        <f aca="false">IF(L2497="","",INDEX(ポート振替表!$M$5:$M$3507,$L2497)&amp;"")</f>
        <v/>
      </c>
      <c r="K2497" s="52" t="str">
        <f aca="false">IF(L2497="","",E2497&amp;CHAR(10)&amp;INDEX(ポート振替表!$K$5:$K$3507,$L2497)&amp;" "&amp;INDEX(ポート振替表!$L$5:$L$3507,$L2497)&amp;CHAR(10)&amp;"⇔ "&amp;INDEX(ポート振替表!$H$5:$H$3507,$L2497)&amp;" "&amp;INDEX(ポート振替表!$I$5:$I$3507,$L2497))</f>
        <v/>
      </c>
      <c r="L2497" s="47" t="str">
        <f aca="false">IFERROR(MATCH(ROW()-4,ポート振替表!$V$5:$V$3507,0),"")</f>
        <v/>
      </c>
    </row>
    <row r="2498" customFormat="false" ht="16.4" hidden="false" customHeight="false" outlineLevel="0" collapsed="false">
      <c r="A2498" s="32" t="str">
        <f aca="false">IF(L2498="","",ROW()-4)</f>
        <v/>
      </c>
      <c r="B2498" s="58" t="str">
        <f aca="false">IF(L2498="","",IF(INDEX(ポート振替表!$W$5:$W$3507,$L2498)="","(なし)",INDEX(ポート振替表!$W$5:$W$3507,$L2498)&amp;""))</f>
        <v/>
      </c>
      <c r="C2498" s="52" t="str">
        <f aca="false">IF(L2498="","",INDEX(ポート振替表!$B$5:$B$3507,$L2498)&amp;" "&amp;INDEX(ポート振替表!$C$5:$C$3507,$L2498)&amp;"  ⇔  "&amp;INDEX(ポート振替表!$H$5:$H$3507,$L2498)&amp;" "&amp;INDEX(ポート振替表!$I$5:$I$3507,$L2498))</f>
        <v/>
      </c>
      <c r="D2498" s="57" t="s">
        <v>158</v>
      </c>
      <c r="E2498" s="59" t="str">
        <f aca="false">IF(L2498="","",IF(INDEX(ポート振替表!$O$5:$O$3507,$L2498)="","(未設定)",INDEX(ポート振替表!$O$5:$O$3507,$L2498)&amp;""))</f>
        <v/>
      </c>
      <c r="F2498" s="52" t="str">
        <f aca="false">IF(L2498="","",INDEX(ポート振替表!$K$5:$K$3507,$L2498)&amp;" "&amp;INDEX(ポート振替表!$L$5:$L$3507,$L2498)&amp;"  ⇔  "&amp;INDEX(ポート振替表!$H$5:$H$3507,$L2498)&amp;" "&amp;INDEX(ポート振替表!$I$5:$I$3507,$L2498))</f>
        <v/>
      </c>
      <c r="G2498" s="57" t="s">
        <v>158</v>
      </c>
      <c r="H2498" s="32" t="str">
        <f aca="false">IF(L2498="","",INDEX(ポート振替表!$N$5:$N$3507,$L2498)&amp;"")</f>
        <v/>
      </c>
      <c r="I2498" s="32" t="str">
        <f aca="false">IF(L2498="","",INDEX(ポート振替表!$P$5:$P$3507,$L2498)&amp;"")</f>
        <v/>
      </c>
      <c r="J2498" s="60" t="str">
        <f aca="false">IF(L2498="","",INDEX(ポート振替表!$M$5:$M$3507,$L2498)&amp;"")</f>
        <v/>
      </c>
      <c r="K2498" s="52" t="str">
        <f aca="false">IF(L2498="","",E2498&amp;CHAR(10)&amp;INDEX(ポート振替表!$K$5:$K$3507,$L2498)&amp;" "&amp;INDEX(ポート振替表!$L$5:$L$3507,$L2498)&amp;CHAR(10)&amp;"⇔ "&amp;INDEX(ポート振替表!$H$5:$H$3507,$L2498)&amp;" "&amp;INDEX(ポート振替表!$I$5:$I$3507,$L2498))</f>
        <v/>
      </c>
      <c r="L2498" s="47" t="str">
        <f aca="false">IFERROR(MATCH(ROW()-4,ポート振替表!$V$5:$V$3507,0),"")</f>
        <v/>
      </c>
    </row>
    <row r="2499" customFormat="false" ht="16.4" hidden="false" customHeight="false" outlineLevel="0" collapsed="false">
      <c r="A2499" s="32" t="str">
        <f aca="false">IF(L2499="","",ROW()-4)</f>
        <v/>
      </c>
      <c r="B2499" s="58" t="str">
        <f aca="false">IF(L2499="","",IF(INDEX(ポート振替表!$W$5:$W$3507,$L2499)="","(なし)",INDEX(ポート振替表!$W$5:$W$3507,$L2499)&amp;""))</f>
        <v/>
      </c>
      <c r="C2499" s="52" t="str">
        <f aca="false">IF(L2499="","",INDEX(ポート振替表!$B$5:$B$3507,$L2499)&amp;" "&amp;INDEX(ポート振替表!$C$5:$C$3507,$L2499)&amp;"  ⇔  "&amp;INDEX(ポート振替表!$H$5:$H$3507,$L2499)&amp;" "&amp;INDEX(ポート振替表!$I$5:$I$3507,$L2499))</f>
        <v/>
      </c>
      <c r="D2499" s="57" t="s">
        <v>158</v>
      </c>
      <c r="E2499" s="59" t="str">
        <f aca="false">IF(L2499="","",IF(INDEX(ポート振替表!$O$5:$O$3507,$L2499)="","(未設定)",INDEX(ポート振替表!$O$5:$O$3507,$L2499)&amp;""))</f>
        <v/>
      </c>
      <c r="F2499" s="52" t="str">
        <f aca="false">IF(L2499="","",INDEX(ポート振替表!$K$5:$K$3507,$L2499)&amp;" "&amp;INDEX(ポート振替表!$L$5:$L$3507,$L2499)&amp;"  ⇔  "&amp;INDEX(ポート振替表!$H$5:$H$3507,$L2499)&amp;" "&amp;INDEX(ポート振替表!$I$5:$I$3507,$L2499))</f>
        <v/>
      </c>
      <c r="G2499" s="57" t="s">
        <v>158</v>
      </c>
      <c r="H2499" s="32" t="str">
        <f aca="false">IF(L2499="","",INDEX(ポート振替表!$N$5:$N$3507,$L2499)&amp;"")</f>
        <v/>
      </c>
      <c r="I2499" s="32" t="str">
        <f aca="false">IF(L2499="","",INDEX(ポート振替表!$P$5:$P$3507,$L2499)&amp;"")</f>
        <v/>
      </c>
      <c r="J2499" s="60" t="str">
        <f aca="false">IF(L2499="","",INDEX(ポート振替表!$M$5:$M$3507,$L2499)&amp;"")</f>
        <v/>
      </c>
      <c r="K2499" s="52" t="str">
        <f aca="false">IF(L2499="","",E2499&amp;CHAR(10)&amp;INDEX(ポート振替表!$K$5:$K$3507,$L2499)&amp;" "&amp;INDEX(ポート振替表!$L$5:$L$3507,$L2499)&amp;CHAR(10)&amp;"⇔ "&amp;INDEX(ポート振替表!$H$5:$H$3507,$L2499)&amp;" "&amp;INDEX(ポート振替表!$I$5:$I$3507,$L2499))</f>
        <v/>
      </c>
      <c r="L2499" s="47" t="str">
        <f aca="false">IFERROR(MATCH(ROW()-4,ポート振替表!$V$5:$V$3507,0),"")</f>
        <v/>
      </c>
    </row>
    <row r="2500" customFormat="false" ht="16.4" hidden="false" customHeight="false" outlineLevel="0" collapsed="false">
      <c r="A2500" s="32" t="str">
        <f aca="false">IF(L2500="","",ROW()-4)</f>
        <v/>
      </c>
      <c r="B2500" s="58" t="str">
        <f aca="false">IF(L2500="","",IF(INDEX(ポート振替表!$W$5:$W$3507,$L2500)="","(なし)",INDEX(ポート振替表!$W$5:$W$3507,$L2500)&amp;""))</f>
        <v/>
      </c>
      <c r="C2500" s="52" t="str">
        <f aca="false">IF(L2500="","",INDEX(ポート振替表!$B$5:$B$3507,$L2500)&amp;" "&amp;INDEX(ポート振替表!$C$5:$C$3507,$L2500)&amp;"  ⇔  "&amp;INDEX(ポート振替表!$H$5:$H$3507,$L2500)&amp;" "&amp;INDEX(ポート振替表!$I$5:$I$3507,$L2500))</f>
        <v/>
      </c>
      <c r="D2500" s="57" t="s">
        <v>158</v>
      </c>
      <c r="E2500" s="59" t="str">
        <f aca="false">IF(L2500="","",IF(INDEX(ポート振替表!$O$5:$O$3507,$L2500)="","(未設定)",INDEX(ポート振替表!$O$5:$O$3507,$L2500)&amp;""))</f>
        <v/>
      </c>
      <c r="F2500" s="52" t="str">
        <f aca="false">IF(L2500="","",INDEX(ポート振替表!$K$5:$K$3507,$L2500)&amp;" "&amp;INDEX(ポート振替表!$L$5:$L$3507,$L2500)&amp;"  ⇔  "&amp;INDEX(ポート振替表!$H$5:$H$3507,$L2500)&amp;" "&amp;INDEX(ポート振替表!$I$5:$I$3507,$L2500))</f>
        <v/>
      </c>
      <c r="G2500" s="57" t="s">
        <v>158</v>
      </c>
      <c r="H2500" s="32" t="str">
        <f aca="false">IF(L2500="","",INDEX(ポート振替表!$N$5:$N$3507,$L2500)&amp;"")</f>
        <v/>
      </c>
      <c r="I2500" s="32" t="str">
        <f aca="false">IF(L2500="","",INDEX(ポート振替表!$P$5:$P$3507,$L2500)&amp;"")</f>
        <v/>
      </c>
      <c r="J2500" s="60" t="str">
        <f aca="false">IF(L2500="","",INDEX(ポート振替表!$M$5:$M$3507,$L2500)&amp;"")</f>
        <v/>
      </c>
      <c r="K2500" s="52" t="str">
        <f aca="false">IF(L2500="","",E2500&amp;CHAR(10)&amp;INDEX(ポート振替表!$K$5:$K$3507,$L2500)&amp;" "&amp;INDEX(ポート振替表!$L$5:$L$3507,$L2500)&amp;CHAR(10)&amp;"⇔ "&amp;INDEX(ポート振替表!$H$5:$H$3507,$L2500)&amp;" "&amp;INDEX(ポート振替表!$I$5:$I$3507,$L2500))</f>
        <v/>
      </c>
      <c r="L2500" s="47" t="str">
        <f aca="false">IFERROR(MATCH(ROW()-4,ポート振替表!$V$5:$V$3507,0),"")</f>
        <v/>
      </c>
    </row>
    <row r="2501" customFormat="false" ht="16.4" hidden="false" customHeight="false" outlineLevel="0" collapsed="false">
      <c r="A2501" s="32" t="str">
        <f aca="false">IF(L2501="","",ROW()-4)</f>
        <v/>
      </c>
      <c r="B2501" s="58" t="str">
        <f aca="false">IF(L2501="","",IF(INDEX(ポート振替表!$W$5:$W$3507,$L2501)="","(なし)",INDEX(ポート振替表!$W$5:$W$3507,$L2501)&amp;""))</f>
        <v/>
      </c>
      <c r="C2501" s="52" t="str">
        <f aca="false">IF(L2501="","",INDEX(ポート振替表!$B$5:$B$3507,$L2501)&amp;" "&amp;INDEX(ポート振替表!$C$5:$C$3507,$L2501)&amp;"  ⇔  "&amp;INDEX(ポート振替表!$H$5:$H$3507,$L2501)&amp;" "&amp;INDEX(ポート振替表!$I$5:$I$3507,$L2501))</f>
        <v/>
      </c>
      <c r="D2501" s="57" t="s">
        <v>158</v>
      </c>
      <c r="E2501" s="59" t="str">
        <f aca="false">IF(L2501="","",IF(INDEX(ポート振替表!$O$5:$O$3507,$L2501)="","(未設定)",INDEX(ポート振替表!$O$5:$O$3507,$L2501)&amp;""))</f>
        <v/>
      </c>
      <c r="F2501" s="52" t="str">
        <f aca="false">IF(L2501="","",INDEX(ポート振替表!$K$5:$K$3507,$L2501)&amp;" "&amp;INDEX(ポート振替表!$L$5:$L$3507,$L2501)&amp;"  ⇔  "&amp;INDEX(ポート振替表!$H$5:$H$3507,$L2501)&amp;" "&amp;INDEX(ポート振替表!$I$5:$I$3507,$L2501))</f>
        <v/>
      </c>
      <c r="G2501" s="57" t="s">
        <v>158</v>
      </c>
      <c r="H2501" s="32" t="str">
        <f aca="false">IF(L2501="","",INDEX(ポート振替表!$N$5:$N$3507,$L2501)&amp;"")</f>
        <v/>
      </c>
      <c r="I2501" s="32" t="str">
        <f aca="false">IF(L2501="","",INDEX(ポート振替表!$P$5:$P$3507,$L2501)&amp;"")</f>
        <v/>
      </c>
      <c r="J2501" s="60" t="str">
        <f aca="false">IF(L2501="","",INDEX(ポート振替表!$M$5:$M$3507,$L2501)&amp;"")</f>
        <v/>
      </c>
      <c r="K2501" s="52" t="str">
        <f aca="false">IF(L2501="","",E2501&amp;CHAR(10)&amp;INDEX(ポート振替表!$K$5:$K$3507,$L2501)&amp;" "&amp;INDEX(ポート振替表!$L$5:$L$3507,$L2501)&amp;CHAR(10)&amp;"⇔ "&amp;INDEX(ポート振替表!$H$5:$H$3507,$L2501)&amp;" "&amp;INDEX(ポート振替表!$I$5:$I$3507,$L2501))</f>
        <v/>
      </c>
      <c r="L2501" s="47" t="str">
        <f aca="false">IFERROR(MATCH(ROW()-4,ポート振替表!$V$5:$V$3507,0),"")</f>
        <v/>
      </c>
    </row>
    <row r="2502" customFormat="false" ht="16.4" hidden="false" customHeight="false" outlineLevel="0" collapsed="false">
      <c r="A2502" s="32" t="str">
        <f aca="false">IF(L2502="","",ROW()-4)</f>
        <v/>
      </c>
      <c r="B2502" s="58" t="str">
        <f aca="false">IF(L2502="","",IF(INDEX(ポート振替表!$W$5:$W$3507,$L2502)="","(なし)",INDEX(ポート振替表!$W$5:$W$3507,$L2502)&amp;""))</f>
        <v/>
      </c>
      <c r="C2502" s="52" t="str">
        <f aca="false">IF(L2502="","",INDEX(ポート振替表!$B$5:$B$3507,$L2502)&amp;" "&amp;INDEX(ポート振替表!$C$5:$C$3507,$L2502)&amp;"  ⇔  "&amp;INDEX(ポート振替表!$H$5:$H$3507,$L2502)&amp;" "&amp;INDEX(ポート振替表!$I$5:$I$3507,$L2502))</f>
        <v/>
      </c>
      <c r="D2502" s="57" t="s">
        <v>158</v>
      </c>
      <c r="E2502" s="59" t="str">
        <f aca="false">IF(L2502="","",IF(INDEX(ポート振替表!$O$5:$O$3507,$L2502)="","(未設定)",INDEX(ポート振替表!$O$5:$O$3507,$L2502)&amp;""))</f>
        <v/>
      </c>
      <c r="F2502" s="52" t="str">
        <f aca="false">IF(L2502="","",INDEX(ポート振替表!$K$5:$K$3507,$L2502)&amp;" "&amp;INDEX(ポート振替表!$L$5:$L$3507,$L2502)&amp;"  ⇔  "&amp;INDEX(ポート振替表!$H$5:$H$3507,$L2502)&amp;" "&amp;INDEX(ポート振替表!$I$5:$I$3507,$L2502))</f>
        <v/>
      </c>
      <c r="G2502" s="57" t="s">
        <v>158</v>
      </c>
      <c r="H2502" s="32" t="str">
        <f aca="false">IF(L2502="","",INDEX(ポート振替表!$N$5:$N$3507,$L2502)&amp;"")</f>
        <v/>
      </c>
      <c r="I2502" s="32" t="str">
        <f aca="false">IF(L2502="","",INDEX(ポート振替表!$P$5:$P$3507,$L2502)&amp;"")</f>
        <v/>
      </c>
      <c r="J2502" s="60" t="str">
        <f aca="false">IF(L2502="","",INDEX(ポート振替表!$M$5:$M$3507,$L2502)&amp;"")</f>
        <v/>
      </c>
      <c r="K2502" s="52" t="str">
        <f aca="false">IF(L2502="","",E2502&amp;CHAR(10)&amp;INDEX(ポート振替表!$K$5:$K$3507,$L2502)&amp;" "&amp;INDEX(ポート振替表!$L$5:$L$3507,$L2502)&amp;CHAR(10)&amp;"⇔ "&amp;INDEX(ポート振替表!$H$5:$H$3507,$L2502)&amp;" "&amp;INDEX(ポート振替表!$I$5:$I$3507,$L2502))</f>
        <v/>
      </c>
      <c r="L2502" s="47" t="str">
        <f aca="false">IFERROR(MATCH(ROW()-4,ポート振替表!$V$5:$V$3507,0),"")</f>
        <v/>
      </c>
    </row>
    <row r="2503" customFormat="false" ht="16.4" hidden="false" customHeight="false" outlineLevel="0" collapsed="false">
      <c r="A2503" s="32" t="str">
        <f aca="false">IF(L2503="","",ROW()-4)</f>
        <v/>
      </c>
      <c r="B2503" s="58" t="str">
        <f aca="false">IF(L2503="","",IF(INDEX(ポート振替表!$W$5:$W$3507,$L2503)="","(なし)",INDEX(ポート振替表!$W$5:$W$3507,$L2503)&amp;""))</f>
        <v/>
      </c>
      <c r="C2503" s="52" t="str">
        <f aca="false">IF(L2503="","",INDEX(ポート振替表!$B$5:$B$3507,$L2503)&amp;" "&amp;INDEX(ポート振替表!$C$5:$C$3507,$L2503)&amp;"  ⇔  "&amp;INDEX(ポート振替表!$H$5:$H$3507,$L2503)&amp;" "&amp;INDEX(ポート振替表!$I$5:$I$3507,$L2503))</f>
        <v/>
      </c>
      <c r="D2503" s="57" t="s">
        <v>158</v>
      </c>
      <c r="E2503" s="59" t="str">
        <f aca="false">IF(L2503="","",IF(INDEX(ポート振替表!$O$5:$O$3507,$L2503)="","(未設定)",INDEX(ポート振替表!$O$5:$O$3507,$L2503)&amp;""))</f>
        <v/>
      </c>
      <c r="F2503" s="52" t="str">
        <f aca="false">IF(L2503="","",INDEX(ポート振替表!$K$5:$K$3507,$L2503)&amp;" "&amp;INDEX(ポート振替表!$L$5:$L$3507,$L2503)&amp;"  ⇔  "&amp;INDEX(ポート振替表!$H$5:$H$3507,$L2503)&amp;" "&amp;INDEX(ポート振替表!$I$5:$I$3507,$L2503))</f>
        <v/>
      </c>
      <c r="G2503" s="57" t="s">
        <v>158</v>
      </c>
      <c r="H2503" s="32" t="str">
        <f aca="false">IF(L2503="","",INDEX(ポート振替表!$N$5:$N$3507,$L2503)&amp;"")</f>
        <v/>
      </c>
      <c r="I2503" s="32" t="str">
        <f aca="false">IF(L2503="","",INDEX(ポート振替表!$P$5:$P$3507,$L2503)&amp;"")</f>
        <v/>
      </c>
      <c r="J2503" s="60" t="str">
        <f aca="false">IF(L2503="","",INDEX(ポート振替表!$M$5:$M$3507,$L2503)&amp;"")</f>
        <v/>
      </c>
      <c r="K2503" s="52" t="str">
        <f aca="false">IF(L2503="","",E2503&amp;CHAR(10)&amp;INDEX(ポート振替表!$K$5:$K$3507,$L2503)&amp;" "&amp;INDEX(ポート振替表!$L$5:$L$3507,$L2503)&amp;CHAR(10)&amp;"⇔ "&amp;INDEX(ポート振替表!$H$5:$H$3507,$L2503)&amp;" "&amp;INDEX(ポート振替表!$I$5:$I$3507,$L2503))</f>
        <v/>
      </c>
      <c r="L2503" s="47" t="str">
        <f aca="false">IFERROR(MATCH(ROW()-4,ポート振替表!$V$5:$V$3507,0),"")</f>
        <v/>
      </c>
    </row>
    <row r="2504" customFormat="false" ht="16.4" hidden="false" customHeight="false" outlineLevel="0" collapsed="false">
      <c r="A2504" s="32" t="str">
        <f aca="false">IF(L2504="","",ROW()-4)</f>
        <v/>
      </c>
      <c r="B2504" s="58" t="str">
        <f aca="false">IF(L2504="","",IF(INDEX(ポート振替表!$W$5:$W$3507,$L2504)="","(なし)",INDEX(ポート振替表!$W$5:$W$3507,$L2504)&amp;""))</f>
        <v/>
      </c>
      <c r="C2504" s="52" t="str">
        <f aca="false">IF(L2504="","",INDEX(ポート振替表!$B$5:$B$3507,$L2504)&amp;" "&amp;INDEX(ポート振替表!$C$5:$C$3507,$L2504)&amp;"  ⇔  "&amp;INDEX(ポート振替表!$H$5:$H$3507,$L2504)&amp;" "&amp;INDEX(ポート振替表!$I$5:$I$3507,$L2504))</f>
        <v/>
      </c>
      <c r="D2504" s="57" t="s">
        <v>158</v>
      </c>
      <c r="E2504" s="59" t="str">
        <f aca="false">IF(L2504="","",IF(INDEX(ポート振替表!$O$5:$O$3507,$L2504)="","(未設定)",INDEX(ポート振替表!$O$5:$O$3507,$L2504)&amp;""))</f>
        <v/>
      </c>
      <c r="F2504" s="52" t="str">
        <f aca="false">IF(L2504="","",INDEX(ポート振替表!$K$5:$K$3507,$L2504)&amp;" "&amp;INDEX(ポート振替表!$L$5:$L$3507,$L2504)&amp;"  ⇔  "&amp;INDEX(ポート振替表!$H$5:$H$3507,$L2504)&amp;" "&amp;INDEX(ポート振替表!$I$5:$I$3507,$L2504))</f>
        <v/>
      </c>
      <c r="G2504" s="57" t="s">
        <v>158</v>
      </c>
      <c r="H2504" s="32" t="str">
        <f aca="false">IF(L2504="","",INDEX(ポート振替表!$N$5:$N$3507,$L2504)&amp;"")</f>
        <v/>
      </c>
      <c r="I2504" s="32" t="str">
        <f aca="false">IF(L2504="","",INDEX(ポート振替表!$P$5:$P$3507,$L2504)&amp;"")</f>
        <v/>
      </c>
      <c r="J2504" s="60" t="str">
        <f aca="false">IF(L2504="","",INDEX(ポート振替表!$M$5:$M$3507,$L2504)&amp;"")</f>
        <v/>
      </c>
      <c r="K2504" s="52" t="str">
        <f aca="false">IF(L2504="","",E2504&amp;CHAR(10)&amp;INDEX(ポート振替表!$K$5:$K$3507,$L2504)&amp;" "&amp;INDEX(ポート振替表!$L$5:$L$3507,$L2504)&amp;CHAR(10)&amp;"⇔ "&amp;INDEX(ポート振替表!$H$5:$H$3507,$L2504)&amp;" "&amp;INDEX(ポート振替表!$I$5:$I$3507,$L2504))</f>
        <v/>
      </c>
      <c r="L2504" s="47" t="str">
        <f aca="false">IFERROR(MATCH(ROW()-4,ポート振替表!$V$5:$V$3507,0),"")</f>
        <v/>
      </c>
    </row>
    <row r="2505" customFormat="false" ht="16.4" hidden="false" customHeight="false" outlineLevel="0" collapsed="false">
      <c r="A2505" s="32" t="str">
        <f aca="false">IF(L2505="","",ROW()-4)</f>
        <v/>
      </c>
      <c r="B2505" s="58" t="str">
        <f aca="false">IF(L2505="","",IF(INDEX(ポート振替表!$W$5:$W$3507,$L2505)="","(なし)",INDEX(ポート振替表!$W$5:$W$3507,$L2505)&amp;""))</f>
        <v/>
      </c>
      <c r="C2505" s="52" t="str">
        <f aca="false">IF(L2505="","",INDEX(ポート振替表!$B$5:$B$3507,$L2505)&amp;" "&amp;INDEX(ポート振替表!$C$5:$C$3507,$L2505)&amp;"  ⇔  "&amp;INDEX(ポート振替表!$H$5:$H$3507,$L2505)&amp;" "&amp;INDEX(ポート振替表!$I$5:$I$3507,$L2505))</f>
        <v/>
      </c>
      <c r="D2505" s="57" t="s">
        <v>158</v>
      </c>
      <c r="E2505" s="59" t="str">
        <f aca="false">IF(L2505="","",IF(INDEX(ポート振替表!$O$5:$O$3507,$L2505)="","(未設定)",INDEX(ポート振替表!$O$5:$O$3507,$L2505)&amp;""))</f>
        <v/>
      </c>
      <c r="F2505" s="52" t="str">
        <f aca="false">IF(L2505="","",INDEX(ポート振替表!$K$5:$K$3507,$L2505)&amp;" "&amp;INDEX(ポート振替表!$L$5:$L$3507,$L2505)&amp;"  ⇔  "&amp;INDEX(ポート振替表!$H$5:$H$3507,$L2505)&amp;" "&amp;INDEX(ポート振替表!$I$5:$I$3507,$L2505))</f>
        <v/>
      </c>
      <c r="G2505" s="57" t="s">
        <v>158</v>
      </c>
      <c r="H2505" s="32" t="str">
        <f aca="false">IF(L2505="","",INDEX(ポート振替表!$N$5:$N$3507,$L2505)&amp;"")</f>
        <v/>
      </c>
      <c r="I2505" s="32" t="str">
        <f aca="false">IF(L2505="","",INDEX(ポート振替表!$P$5:$P$3507,$L2505)&amp;"")</f>
        <v/>
      </c>
      <c r="J2505" s="60" t="str">
        <f aca="false">IF(L2505="","",INDEX(ポート振替表!$M$5:$M$3507,$L2505)&amp;"")</f>
        <v/>
      </c>
      <c r="K2505" s="52" t="str">
        <f aca="false">IF(L2505="","",E2505&amp;CHAR(10)&amp;INDEX(ポート振替表!$K$5:$K$3507,$L2505)&amp;" "&amp;INDEX(ポート振替表!$L$5:$L$3507,$L2505)&amp;CHAR(10)&amp;"⇔ "&amp;INDEX(ポート振替表!$H$5:$H$3507,$L2505)&amp;" "&amp;INDEX(ポート振替表!$I$5:$I$3507,$L2505))</f>
        <v/>
      </c>
      <c r="L2505" s="47" t="str">
        <f aca="false">IFERROR(MATCH(ROW()-4,ポート振替表!$V$5:$V$3507,0),"")</f>
        <v/>
      </c>
    </row>
    <row r="2506" customFormat="false" ht="16.4" hidden="false" customHeight="false" outlineLevel="0" collapsed="false">
      <c r="A2506" s="32" t="str">
        <f aca="false">IF(L2506="","",ROW()-4)</f>
        <v/>
      </c>
      <c r="B2506" s="58" t="str">
        <f aca="false">IF(L2506="","",IF(INDEX(ポート振替表!$W$5:$W$3507,$L2506)="","(なし)",INDEX(ポート振替表!$W$5:$W$3507,$L2506)&amp;""))</f>
        <v/>
      </c>
      <c r="C2506" s="52" t="str">
        <f aca="false">IF(L2506="","",INDEX(ポート振替表!$B$5:$B$3507,$L2506)&amp;" "&amp;INDEX(ポート振替表!$C$5:$C$3507,$L2506)&amp;"  ⇔  "&amp;INDEX(ポート振替表!$H$5:$H$3507,$L2506)&amp;" "&amp;INDEX(ポート振替表!$I$5:$I$3507,$L2506))</f>
        <v/>
      </c>
      <c r="D2506" s="57" t="s">
        <v>158</v>
      </c>
      <c r="E2506" s="59" t="str">
        <f aca="false">IF(L2506="","",IF(INDEX(ポート振替表!$O$5:$O$3507,$L2506)="","(未設定)",INDEX(ポート振替表!$O$5:$O$3507,$L2506)&amp;""))</f>
        <v/>
      </c>
      <c r="F2506" s="52" t="str">
        <f aca="false">IF(L2506="","",INDEX(ポート振替表!$K$5:$K$3507,$L2506)&amp;" "&amp;INDEX(ポート振替表!$L$5:$L$3507,$L2506)&amp;"  ⇔  "&amp;INDEX(ポート振替表!$H$5:$H$3507,$L2506)&amp;" "&amp;INDEX(ポート振替表!$I$5:$I$3507,$L2506))</f>
        <v/>
      </c>
      <c r="G2506" s="57" t="s">
        <v>158</v>
      </c>
      <c r="H2506" s="32" t="str">
        <f aca="false">IF(L2506="","",INDEX(ポート振替表!$N$5:$N$3507,$L2506)&amp;"")</f>
        <v/>
      </c>
      <c r="I2506" s="32" t="str">
        <f aca="false">IF(L2506="","",INDEX(ポート振替表!$P$5:$P$3507,$L2506)&amp;"")</f>
        <v/>
      </c>
      <c r="J2506" s="60" t="str">
        <f aca="false">IF(L2506="","",INDEX(ポート振替表!$M$5:$M$3507,$L2506)&amp;"")</f>
        <v/>
      </c>
      <c r="K2506" s="52" t="str">
        <f aca="false">IF(L2506="","",E2506&amp;CHAR(10)&amp;INDEX(ポート振替表!$K$5:$K$3507,$L2506)&amp;" "&amp;INDEX(ポート振替表!$L$5:$L$3507,$L2506)&amp;CHAR(10)&amp;"⇔ "&amp;INDEX(ポート振替表!$H$5:$H$3507,$L2506)&amp;" "&amp;INDEX(ポート振替表!$I$5:$I$3507,$L2506))</f>
        <v/>
      </c>
      <c r="L2506" s="47" t="str">
        <f aca="false">IFERROR(MATCH(ROW()-4,ポート振替表!$V$5:$V$3507,0),"")</f>
        <v/>
      </c>
    </row>
    <row r="2507" customFormat="false" ht="16.4" hidden="false" customHeight="false" outlineLevel="0" collapsed="false">
      <c r="A2507" s="32" t="str">
        <f aca="false">IF(L2507="","",ROW()-4)</f>
        <v/>
      </c>
      <c r="B2507" s="58" t="str">
        <f aca="false">IF(L2507="","",IF(INDEX(ポート振替表!$W$5:$W$3507,$L2507)="","(なし)",INDEX(ポート振替表!$W$5:$W$3507,$L2507)&amp;""))</f>
        <v/>
      </c>
      <c r="C2507" s="52" t="str">
        <f aca="false">IF(L2507="","",INDEX(ポート振替表!$B$5:$B$3507,$L2507)&amp;" "&amp;INDEX(ポート振替表!$C$5:$C$3507,$L2507)&amp;"  ⇔  "&amp;INDEX(ポート振替表!$H$5:$H$3507,$L2507)&amp;" "&amp;INDEX(ポート振替表!$I$5:$I$3507,$L2507))</f>
        <v/>
      </c>
      <c r="D2507" s="57" t="s">
        <v>158</v>
      </c>
      <c r="E2507" s="59" t="str">
        <f aca="false">IF(L2507="","",IF(INDEX(ポート振替表!$O$5:$O$3507,$L2507)="","(未設定)",INDEX(ポート振替表!$O$5:$O$3507,$L2507)&amp;""))</f>
        <v/>
      </c>
      <c r="F2507" s="52" t="str">
        <f aca="false">IF(L2507="","",INDEX(ポート振替表!$K$5:$K$3507,$L2507)&amp;" "&amp;INDEX(ポート振替表!$L$5:$L$3507,$L2507)&amp;"  ⇔  "&amp;INDEX(ポート振替表!$H$5:$H$3507,$L2507)&amp;" "&amp;INDEX(ポート振替表!$I$5:$I$3507,$L2507))</f>
        <v/>
      </c>
      <c r="G2507" s="57" t="s">
        <v>158</v>
      </c>
      <c r="H2507" s="32" t="str">
        <f aca="false">IF(L2507="","",INDEX(ポート振替表!$N$5:$N$3507,$L2507)&amp;"")</f>
        <v/>
      </c>
      <c r="I2507" s="32" t="str">
        <f aca="false">IF(L2507="","",INDEX(ポート振替表!$P$5:$P$3507,$L2507)&amp;"")</f>
        <v/>
      </c>
      <c r="J2507" s="60" t="str">
        <f aca="false">IF(L2507="","",INDEX(ポート振替表!$M$5:$M$3507,$L2507)&amp;"")</f>
        <v/>
      </c>
      <c r="K2507" s="52" t="str">
        <f aca="false">IF(L2507="","",E2507&amp;CHAR(10)&amp;INDEX(ポート振替表!$K$5:$K$3507,$L2507)&amp;" "&amp;INDEX(ポート振替表!$L$5:$L$3507,$L2507)&amp;CHAR(10)&amp;"⇔ "&amp;INDEX(ポート振替表!$H$5:$H$3507,$L2507)&amp;" "&amp;INDEX(ポート振替表!$I$5:$I$3507,$L2507))</f>
        <v/>
      </c>
      <c r="L2507" s="47" t="str">
        <f aca="false">IFERROR(MATCH(ROW()-4,ポート振替表!$V$5:$V$3507,0),"")</f>
        <v/>
      </c>
    </row>
    <row r="2508" customFormat="false" ht="16.4" hidden="false" customHeight="false" outlineLevel="0" collapsed="false">
      <c r="A2508" s="32" t="str">
        <f aca="false">IF(L2508="","",ROW()-4)</f>
        <v/>
      </c>
      <c r="B2508" s="58" t="str">
        <f aca="false">IF(L2508="","",IF(INDEX(ポート振替表!$W$5:$W$3507,$L2508)="","(なし)",INDEX(ポート振替表!$W$5:$W$3507,$L2508)&amp;""))</f>
        <v/>
      </c>
      <c r="C2508" s="52" t="str">
        <f aca="false">IF(L2508="","",INDEX(ポート振替表!$B$5:$B$3507,$L2508)&amp;" "&amp;INDEX(ポート振替表!$C$5:$C$3507,$L2508)&amp;"  ⇔  "&amp;INDEX(ポート振替表!$H$5:$H$3507,$L2508)&amp;" "&amp;INDEX(ポート振替表!$I$5:$I$3507,$L2508))</f>
        <v/>
      </c>
      <c r="D2508" s="57" t="s">
        <v>158</v>
      </c>
      <c r="E2508" s="59" t="str">
        <f aca="false">IF(L2508="","",IF(INDEX(ポート振替表!$O$5:$O$3507,$L2508)="","(未設定)",INDEX(ポート振替表!$O$5:$O$3507,$L2508)&amp;""))</f>
        <v/>
      </c>
      <c r="F2508" s="52" t="str">
        <f aca="false">IF(L2508="","",INDEX(ポート振替表!$K$5:$K$3507,$L2508)&amp;" "&amp;INDEX(ポート振替表!$L$5:$L$3507,$L2508)&amp;"  ⇔  "&amp;INDEX(ポート振替表!$H$5:$H$3507,$L2508)&amp;" "&amp;INDEX(ポート振替表!$I$5:$I$3507,$L2508))</f>
        <v/>
      </c>
      <c r="G2508" s="57" t="s">
        <v>158</v>
      </c>
      <c r="H2508" s="32" t="str">
        <f aca="false">IF(L2508="","",INDEX(ポート振替表!$N$5:$N$3507,$L2508)&amp;"")</f>
        <v/>
      </c>
      <c r="I2508" s="32" t="str">
        <f aca="false">IF(L2508="","",INDEX(ポート振替表!$P$5:$P$3507,$L2508)&amp;"")</f>
        <v/>
      </c>
      <c r="J2508" s="60" t="str">
        <f aca="false">IF(L2508="","",INDEX(ポート振替表!$M$5:$M$3507,$L2508)&amp;"")</f>
        <v/>
      </c>
      <c r="K2508" s="52" t="str">
        <f aca="false">IF(L2508="","",E2508&amp;CHAR(10)&amp;INDEX(ポート振替表!$K$5:$K$3507,$L2508)&amp;" "&amp;INDEX(ポート振替表!$L$5:$L$3507,$L2508)&amp;CHAR(10)&amp;"⇔ "&amp;INDEX(ポート振替表!$H$5:$H$3507,$L2508)&amp;" "&amp;INDEX(ポート振替表!$I$5:$I$3507,$L2508))</f>
        <v/>
      </c>
      <c r="L2508" s="47" t="str">
        <f aca="false">IFERROR(MATCH(ROW()-4,ポート振替表!$V$5:$V$3507,0),"")</f>
        <v/>
      </c>
    </row>
    <row r="2509" customFormat="false" ht="16.4" hidden="false" customHeight="false" outlineLevel="0" collapsed="false">
      <c r="A2509" s="32" t="str">
        <f aca="false">IF(L2509="","",ROW()-4)</f>
        <v/>
      </c>
      <c r="B2509" s="58" t="str">
        <f aca="false">IF(L2509="","",IF(INDEX(ポート振替表!$W$5:$W$3507,$L2509)="","(なし)",INDEX(ポート振替表!$W$5:$W$3507,$L2509)&amp;""))</f>
        <v/>
      </c>
      <c r="C2509" s="52" t="str">
        <f aca="false">IF(L2509="","",INDEX(ポート振替表!$B$5:$B$3507,$L2509)&amp;" "&amp;INDEX(ポート振替表!$C$5:$C$3507,$L2509)&amp;"  ⇔  "&amp;INDEX(ポート振替表!$H$5:$H$3507,$L2509)&amp;" "&amp;INDEX(ポート振替表!$I$5:$I$3507,$L2509))</f>
        <v/>
      </c>
      <c r="D2509" s="57" t="s">
        <v>158</v>
      </c>
      <c r="E2509" s="59" t="str">
        <f aca="false">IF(L2509="","",IF(INDEX(ポート振替表!$O$5:$O$3507,$L2509)="","(未設定)",INDEX(ポート振替表!$O$5:$O$3507,$L2509)&amp;""))</f>
        <v/>
      </c>
      <c r="F2509" s="52" t="str">
        <f aca="false">IF(L2509="","",INDEX(ポート振替表!$K$5:$K$3507,$L2509)&amp;" "&amp;INDEX(ポート振替表!$L$5:$L$3507,$L2509)&amp;"  ⇔  "&amp;INDEX(ポート振替表!$H$5:$H$3507,$L2509)&amp;" "&amp;INDEX(ポート振替表!$I$5:$I$3507,$L2509))</f>
        <v/>
      </c>
      <c r="G2509" s="57" t="s">
        <v>158</v>
      </c>
      <c r="H2509" s="32" t="str">
        <f aca="false">IF(L2509="","",INDEX(ポート振替表!$N$5:$N$3507,$L2509)&amp;"")</f>
        <v/>
      </c>
      <c r="I2509" s="32" t="str">
        <f aca="false">IF(L2509="","",INDEX(ポート振替表!$P$5:$P$3507,$L2509)&amp;"")</f>
        <v/>
      </c>
      <c r="J2509" s="60" t="str">
        <f aca="false">IF(L2509="","",INDEX(ポート振替表!$M$5:$M$3507,$L2509)&amp;"")</f>
        <v/>
      </c>
      <c r="K2509" s="52" t="str">
        <f aca="false">IF(L2509="","",E2509&amp;CHAR(10)&amp;INDEX(ポート振替表!$K$5:$K$3507,$L2509)&amp;" "&amp;INDEX(ポート振替表!$L$5:$L$3507,$L2509)&amp;CHAR(10)&amp;"⇔ "&amp;INDEX(ポート振替表!$H$5:$H$3507,$L2509)&amp;" "&amp;INDEX(ポート振替表!$I$5:$I$3507,$L2509))</f>
        <v/>
      </c>
      <c r="L2509" s="47" t="str">
        <f aca="false">IFERROR(MATCH(ROW()-4,ポート振替表!$V$5:$V$3507,0),"")</f>
        <v/>
      </c>
    </row>
    <row r="2510" customFormat="false" ht="16.4" hidden="false" customHeight="false" outlineLevel="0" collapsed="false">
      <c r="A2510" s="32" t="str">
        <f aca="false">IF(L2510="","",ROW()-4)</f>
        <v/>
      </c>
      <c r="B2510" s="58" t="str">
        <f aca="false">IF(L2510="","",IF(INDEX(ポート振替表!$W$5:$W$3507,$L2510)="","(なし)",INDEX(ポート振替表!$W$5:$W$3507,$L2510)&amp;""))</f>
        <v/>
      </c>
      <c r="C2510" s="52" t="str">
        <f aca="false">IF(L2510="","",INDEX(ポート振替表!$B$5:$B$3507,$L2510)&amp;" "&amp;INDEX(ポート振替表!$C$5:$C$3507,$L2510)&amp;"  ⇔  "&amp;INDEX(ポート振替表!$H$5:$H$3507,$L2510)&amp;" "&amp;INDEX(ポート振替表!$I$5:$I$3507,$L2510))</f>
        <v/>
      </c>
      <c r="D2510" s="57" t="s">
        <v>158</v>
      </c>
      <c r="E2510" s="59" t="str">
        <f aca="false">IF(L2510="","",IF(INDEX(ポート振替表!$O$5:$O$3507,$L2510)="","(未設定)",INDEX(ポート振替表!$O$5:$O$3507,$L2510)&amp;""))</f>
        <v/>
      </c>
      <c r="F2510" s="52" t="str">
        <f aca="false">IF(L2510="","",INDEX(ポート振替表!$K$5:$K$3507,$L2510)&amp;" "&amp;INDEX(ポート振替表!$L$5:$L$3507,$L2510)&amp;"  ⇔  "&amp;INDEX(ポート振替表!$H$5:$H$3507,$L2510)&amp;" "&amp;INDEX(ポート振替表!$I$5:$I$3507,$L2510))</f>
        <v/>
      </c>
      <c r="G2510" s="57" t="s">
        <v>158</v>
      </c>
      <c r="H2510" s="32" t="str">
        <f aca="false">IF(L2510="","",INDEX(ポート振替表!$N$5:$N$3507,$L2510)&amp;"")</f>
        <v/>
      </c>
      <c r="I2510" s="32" t="str">
        <f aca="false">IF(L2510="","",INDEX(ポート振替表!$P$5:$P$3507,$L2510)&amp;"")</f>
        <v/>
      </c>
      <c r="J2510" s="60" t="str">
        <f aca="false">IF(L2510="","",INDEX(ポート振替表!$M$5:$M$3507,$L2510)&amp;"")</f>
        <v/>
      </c>
      <c r="K2510" s="52" t="str">
        <f aca="false">IF(L2510="","",E2510&amp;CHAR(10)&amp;INDEX(ポート振替表!$K$5:$K$3507,$L2510)&amp;" "&amp;INDEX(ポート振替表!$L$5:$L$3507,$L2510)&amp;CHAR(10)&amp;"⇔ "&amp;INDEX(ポート振替表!$H$5:$H$3507,$L2510)&amp;" "&amp;INDEX(ポート振替表!$I$5:$I$3507,$L2510))</f>
        <v/>
      </c>
      <c r="L2510" s="47" t="str">
        <f aca="false">IFERROR(MATCH(ROW()-4,ポート振替表!$V$5:$V$3507,0),"")</f>
        <v/>
      </c>
    </row>
    <row r="2511" customFormat="false" ht="16.4" hidden="false" customHeight="false" outlineLevel="0" collapsed="false">
      <c r="A2511" s="32" t="str">
        <f aca="false">IF(L2511="","",ROW()-4)</f>
        <v/>
      </c>
      <c r="B2511" s="58" t="str">
        <f aca="false">IF(L2511="","",IF(INDEX(ポート振替表!$W$5:$W$3507,$L2511)="","(なし)",INDEX(ポート振替表!$W$5:$W$3507,$L2511)&amp;""))</f>
        <v/>
      </c>
      <c r="C2511" s="52" t="str">
        <f aca="false">IF(L2511="","",INDEX(ポート振替表!$B$5:$B$3507,$L2511)&amp;" "&amp;INDEX(ポート振替表!$C$5:$C$3507,$L2511)&amp;"  ⇔  "&amp;INDEX(ポート振替表!$H$5:$H$3507,$L2511)&amp;" "&amp;INDEX(ポート振替表!$I$5:$I$3507,$L2511))</f>
        <v/>
      </c>
      <c r="D2511" s="57" t="s">
        <v>158</v>
      </c>
      <c r="E2511" s="59" t="str">
        <f aca="false">IF(L2511="","",IF(INDEX(ポート振替表!$O$5:$O$3507,$L2511)="","(未設定)",INDEX(ポート振替表!$O$5:$O$3507,$L2511)&amp;""))</f>
        <v/>
      </c>
      <c r="F2511" s="52" t="str">
        <f aca="false">IF(L2511="","",INDEX(ポート振替表!$K$5:$K$3507,$L2511)&amp;" "&amp;INDEX(ポート振替表!$L$5:$L$3507,$L2511)&amp;"  ⇔  "&amp;INDEX(ポート振替表!$H$5:$H$3507,$L2511)&amp;" "&amp;INDEX(ポート振替表!$I$5:$I$3507,$L2511))</f>
        <v/>
      </c>
      <c r="G2511" s="57" t="s">
        <v>158</v>
      </c>
      <c r="H2511" s="32" t="str">
        <f aca="false">IF(L2511="","",INDEX(ポート振替表!$N$5:$N$3507,$L2511)&amp;"")</f>
        <v/>
      </c>
      <c r="I2511" s="32" t="str">
        <f aca="false">IF(L2511="","",INDEX(ポート振替表!$P$5:$P$3507,$L2511)&amp;"")</f>
        <v/>
      </c>
      <c r="J2511" s="60" t="str">
        <f aca="false">IF(L2511="","",INDEX(ポート振替表!$M$5:$M$3507,$L2511)&amp;"")</f>
        <v/>
      </c>
      <c r="K2511" s="52" t="str">
        <f aca="false">IF(L2511="","",E2511&amp;CHAR(10)&amp;INDEX(ポート振替表!$K$5:$K$3507,$L2511)&amp;" "&amp;INDEX(ポート振替表!$L$5:$L$3507,$L2511)&amp;CHAR(10)&amp;"⇔ "&amp;INDEX(ポート振替表!$H$5:$H$3507,$L2511)&amp;" "&amp;INDEX(ポート振替表!$I$5:$I$3507,$L2511))</f>
        <v/>
      </c>
      <c r="L2511" s="47" t="str">
        <f aca="false">IFERROR(MATCH(ROW()-4,ポート振替表!$V$5:$V$3507,0),"")</f>
        <v/>
      </c>
    </row>
    <row r="2512" customFormat="false" ht="16.4" hidden="false" customHeight="false" outlineLevel="0" collapsed="false">
      <c r="A2512" s="32" t="str">
        <f aca="false">IF(L2512="","",ROW()-4)</f>
        <v/>
      </c>
      <c r="B2512" s="58" t="str">
        <f aca="false">IF(L2512="","",IF(INDEX(ポート振替表!$W$5:$W$3507,$L2512)="","(なし)",INDEX(ポート振替表!$W$5:$W$3507,$L2512)&amp;""))</f>
        <v/>
      </c>
      <c r="C2512" s="52" t="str">
        <f aca="false">IF(L2512="","",INDEX(ポート振替表!$B$5:$B$3507,$L2512)&amp;" "&amp;INDEX(ポート振替表!$C$5:$C$3507,$L2512)&amp;"  ⇔  "&amp;INDEX(ポート振替表!$H$5:$H$3507,$L2512)&amp;" "&amp;INDEX(ポート振替表!$I$5:$I$3507,$L2512))</f>
        <v/>
      </c>
      <c r="D2512" s="57" t="s">
        <v>158</v>
      </c>
      <c r="E2512" s="59" t="str">
        <f aca="false">IF(L2512="","",IF(INDEX(ポート振替表!$O$5:$O$3507,$L2512)="","(未設定)",INDEX(ポート振替表!$O$5:$O$3507,$L2512)&amp;""))</f>
        <v/>
      </c>
      <c r="F2512" s="52" t="str">
        <f aca="false">IF(L2512="","",INDEX(ポート振替表!$K$5:$K$3507,$L2512)&amp;" "&amp;INDEX(ポート振替表!$L$5:$L$3507,$L2512)&amp;"  ⇔  "&amp;INDEX(ポート振替表!$H$5:$H$3507,$L2512)&amp;" "&amp;INDEX(ポート振替表!$I$5:$I$3507,$L2512))</f>
        <v/>
      </c>
      <c r="G2512" s="57" t="s">
        <v>158</v>
      </c>
      <c r="H2512" s="32" t="str">
        <f aca="false">IF(L2512="","",INDEX(ポート振替表!$N$5:$N$3507,$L2512)&amp;"")</f>
        <v/>
      </c>
      <c r="I2512" s="32" t="str">
        <f aca="false">IF(L2512="","",INDEX(ポート振替表!$P$5:$P$3507,$L2512)&amp;"")</f>
        <v/>
      </c>
      <c r="J2512" s="60" t="str">
        <f aca="false">IF(L2512="","",INDEX(ポート振替表!$M$5:$M$3507,$L2512)&amp;"")</f>
        <v/>
      </c>
      <c r="K2512" s="52" t="str">
        <f aca="false">IF(L2512="","",E2512&amp;CHAR(10)&amp;INDEX(ポート振替表!$K$5:$K$3507,$L2512)&amp;" "&amp;INDEX(ポート振替表!$L$5:$L$3507,$L2512)&amp;CHAR(10)&amp;"⇔ "&amp;INDEX(ポート振替表!$H$5:$H$3507,$L2512)&amp;" "&amp;INDEX(ポート振替表!$I$5:$I$3507,$L2512))</f>
        <v/>
      </c>
      <c r="L2512" s="47" t="str">
        <f aca="false">IFERROR(MATCH(ROW()-4,ポート振替表!$V$5:$V$3507,0),"")</f>
        <v/>
      </c>
    </row>
    <row r="2513" customFormat="false" ht="16.4" hidden="false" customHeight="false" outlineLevel="0" collapsed="false">
      <c r="A2513" s="32" t="str">
        <f aca="false">IF(L2513="","",ROW()-4)</f>
        <v/>
      </c>
      <c r="B2513" s="58" t="str">
        <f aca="false">IF(L2513="","",IF(INDEX(ポート振替表!$W$5:$W$3507,$L2513)="","(なし)",INDEX(ポート振替表!$W$5:$W$3507,$L2513)&amp;""))</f>
        <v/>
      </c>
      <c r="C2513" s="52" t="str">
        <f aca="false">IF(L2513="","",INDEX(ポート振替表!$B$5:$B$3507,$L2513)&amp;" "&amp;INDEX(ポート振替表!$C$5:$C$3507,$L2513)&amp;"  ⇔  "&amp;INDEX(ポート振替表!$H$5:$H$3507,$L2513)&amp;" "&amp;INDEX(ポート振替表!$I$5:$I$3507,$L2513))</f>
        <v/>
      </c>
      <c r="D2513" s="57" t="s">
        <v>158</v>
      </c>
      <c r="E2513" s="59" t="str">
        <f aca="false">IF(L2513="","",IF(INDEX(ポート振替表!$O$5:$O$3507,$L2513)="","(未設定)",INDEX(ポート振替表!$O$5:$O$3507,$L2513)&amp;""))</f>
        <v/>
      </c>
      <c r="F2513" s="52" t="str">
        <f aca="false">IF(L2513="","",INDEX(ポート振替表!$K$5:$K$3507,$L2513)&amp;" "&amp;INDEX(ポート振替表!$L$5:$L$3507,$L2513)&amp;"  ⇔  "&amp;INDEX(ポート振替表!$H$5:$H$3507,$L2513)&amp;" "&amp;INDEX(ポート振替表!$I$5:$I$3507,$L2513))</f>
        <v/>
      </c>
      <c r="G2513" s="57" t="s">
        <v>158</v>
      </c>
      <c r="H2513" s="32" t="str">
        <f aca="false">IF(L2513="","",INDEX(ポート振替表!$N$5:$N$3507,$L2513)&amp;"")</f>
        <v/>
      </c>
      <c r="I2513" s="32" t="str">
        <f aca="false">IF(L2513="","",INDEX(ポート振替表!$P$5:$P$3507,$L2513)&amp;"")</f>
        <v/>
      </c>
      <c r="J2513" s="60" t="str">
        <f aca="false">IF(L2513="","",INDEX(ポート振替表!$M$5:$M$3507,$L2513)&amp;"")</f>
        <v/>
      </c>
      <c r="K2513" s="52" t="str">
        <f aca="false">IF(L2513="","",E2513&amp;CHAR(10)&amp;INDEX(ポート振替表!$K$5:$K$3507,$L2513)&amp;" "&amp;INDEX(ポート振替表!$L$5:$L$3507,$L2513)&amp;CHAR(10)&amp;"⇔ "&amp;INDEX(ポート振替表!$H$5:$H$3507,$L2513)&amp;" "&amp;INDEX(ポート振替表!$I$5:$I$3507,$L2513))</f>
        <v/>
      </c>
      <c r="L2513" s="47" t="str">
        <f aca="false">IFERROR(MATCH(ROW()-4,ポート振替表!$V$5:$V$3507,0),"")</f>
        <v/>
      </c>
    </row>
    <row r="2514" customFormat="false" ht="16.4" hidden="false" customHeight="false" outlineLevel="0" collapsed="false">
      <c r="A2514" s="32" t="str">
        <f aca="false">IF(L2514="","",ROW()-4)</f>
        <v/>
      </c>
      <c r="B2514" s="58" t="str">
        <f aca="false">IF(L2514="","",IF(INDEX(ポート振替表!$W$5:$W$3507,$L2514)="","(なし)",INDEX(ポート振替表!$W$5:$W$3507,$L2514)&amp;""))</f>
        <v/>
      </c>
      <c r="C2514" s="52" t="str">
        <f aca="false">IF(L2514="","",INDEX(ポート振替表!$B$5:$B$3507,$L2514)&amp;" "&amp;INDEX(ポート振替表!$C$5:$C$3507,$L2514)&amp;"  ⇔  "&amp;INDEX(ポート振替表!$H$5:$H$3507,$L2514)&amp;" "&amp;INDEX(ポート振替表!$I$5:$I$3507,$L2514))</f>
        <v/>
      </c>
      <c r="D2514" s="57" t="s">
        <v>158</v>
      </c>
      <c r="E2514" s="59" t="str">
        <f aca="false">IF(L2514="","",IF(INDEX(ポート振替表!$O$5:$O$3507,$L2514)="","(未設定)",INDEX(ポート振替表!$O$5:$O$3507,$L2514)&amp;""))</f>
        <v/>
      </c>
      <c r="F2514" s="52" t="str">
        <f aca="false">IF(L2514="","",INDEX(ポート振替表!$K$5:$K$3507,$L2514)&amp;" "&amp;INDEX(ポート振替表!$L$5:$L$3507,$L2514)&amp;"  ⇔  "&amp;INDEX(ポート振替表!$H$5:$H$3507,$L2514)&amp;" "&amp;INDEX(ポート振替表!$I$5:$I$3507,$L2514))</f>
        <v/>
      </c>
      <c r="G2514" s="57" t="s">
        <v>158</v>
      </c>
      <c r="H2514" s="32" t="str">
        <f aca="false">IF(L2514="","",INDEX(ポート振替表!$N$5:$N$3507,$L2514)&amp;"")</f>
        <v/>
      </c>
      <c r="I2514" s="32" t="str">
        <f aca="false">IF(L2514="","",INDEX(ポート振替表!$P$5:$P$3507,$L2514)&amp;"")</f>
        <v/>
      </c>
      <c r="J2514" s="60" t="str">
        <f aca="false">IF(L2514="","",INDEX(ポート振替表!$M$5:$M$3507,$L2514)&amp;"")</f>
        <v/>
      </c>
      <c r="K2514" s="52" t="str">
        <f aca="false">IF(L2514="","",E2514&amp;CHAR(10)&amp;INDEX(ポート振替表!$K$5:$K$3507,$L2514)&amp;" "&amp;INDEX(ポート振替表!$L$5:$L$3507,$L2514)&amp;CHAR(10)&amp;"⇔ "&amp;INDEX(ポート振替表!$H$5:$H$3507,$L2514)&amp;" "&amp;INDEX(ポート振替表!$I$5:$I$3507,$L2514))</f>
        <v/>
      </c>
      <c r="L2514" s="47" t="str">
        <f aca="false">IFERROR(MATCH(ROW()-4,ポート振替表!$V$5:$V$3507,0),"")</f>
        <v/>
      </c>
    </row>
    <row r="2515" customFormat="false" ht="16.4" hidden="false" customHeight="false" outlineLevel="0" collapsed="false">
      <c r="A2515" s="32" t="str">
        <f aca="false">IF(L2515="","",ROW()-4)</f>
        <v/>
      </c>
      <c r="B2515" s="58" t="str">
        <f aca="false">IF(L2515="","",IF(INDEX(ポート振替表!$W$5:$W$3507,$L2515)="","(なし)",INDEX(ポート振替表!$W$5:$W$3507,$L2515)&amp;""))</f>
        <v/>
      </c>
      <c r="C2515" s="52" t="str">
        <f aca="false">IF(L2515="","",INDEX(ポート振替表!$B$5:$B$3507,$L2515)&amp;" "&amp;INDEX(ポート振替表!$C$5:$C$3507,$L2515)&amp;"  ⇔  "&amp;INDEX(ポート振替表!$H$5:$H$3507,$L2515)&amp;" "&amp;INDEX(ポート振替表!$I$5:$I$3507,$L2515))</f>
        <v/>
      </c>
      <c r="D2515" s="57" t="s">
        <v>158</v>
      </c>
      <c r="E2515" s="59" t="str">
        <f aca="false">IF(L2515="","",IF(INDEX(ポート振替表!$O$5:$O$3507,$L2515)="","(未設定)",INDEX(ポート振替表!$O$5:$O$3507,$L2515)&amp;""))</f>
        <v/>
      </c>
      <c r="F2515" s="52" t="str">
        <f aca="false">IF(L2515="","",INDEX(ポート振替表!$K$5:$K$3507,$L2515)&amp;" "&amp;INDEX(ポート振替表!$L$5:$L$3507,$L2515)&amp;"  ⇔  "&amp;INDEX(ポート振替表!$H$5:$H$3507,$L2515)&amp;" "&amp;INDEX(ポート振替表!$I$5:$I$3507,$L2515))</f>
        <v/>
      </c>
      <c r="G2515" s="57" t="s">
        <v>158</v>
      </c>
      <c r="H2515" s="32" t="str">
        <f aca="false">IF(L2515="","",INDEX(ポート振替表!$N$5:$N$3507,$L2515)&amp;"")</f>
        <v/>
      </c>
      <c r="I2515" s="32" t="str">
        <f aca="false">IF(L2515="","",INDEX(ポート振替表!$P$5:$P$3507,$L2515)&amp;"")</f>
        <v/>
      </c>
      <c r="J2515" s="60" t="str">
        <f aca="false">IF(L2515="","",INDEX(ポート振替表!$M$5:$M$3507,$L2515)&amp;"")</f>
        <v/>
      </c>
      <c r="K2515" s="52" t="str">
        <f aca="false">IF(L2515="","",E2515&amp;CHAR(10)&amp;INDEX(ポート振替表!$K$5:$K$3507,$L2515)&amp;" "&amp;INDEX(ポート振替表!$L$5:$L$3507,$L2515)&amp;CHAR(10)&amp;"⇔ "&amp;INDEX(ポート振替表!$H$5:$H$3507,$L2515)&amp;" "&amp;INDEX(ポート振替表!$I$5:$I$3507,$L2515))</f>
        <v/>
      </c>
      <c r="L2515" s="47" t="str">
        <f aca="false">IFERROR(MATCH(ROW()-4,ポート振替表!$V$5:$V$3507,0),"")</f>
        <v/>
      </c>
    </row>
    <row r="2516" customFormat="false" ht="16.4" hidden="false" customHeight="false" outlineLevel="0" collapsed="false">
      <c r="A2516" s="32" t="str">
        <f aca="false">IF(L2516="","",ROW()-4)</f>
        <v/>
      </c>
      <c r="B2516" s="58" t="str">
        <f aca="false">IF(L2516="","",IF(INDEX(ポート振替表!$W$5:$W$3507,$L2516)="","(なし)",INDEX(ポート振替表!$W$5:$W$3507,$L2516)&amp;""))</f>
        <v/>
      </c>
      <c r="C2516" s="52" t="str">
        <f aca="false">IF(L2516="","",INDEX(ポート振替表!$B$5:$B$3507,$L2516)&amp;" "&amp;INDEX(ポート振替表!$C$5:$C$3507,$L2516)&amp;"  ⇔  "&amp;INDEX(ポート振替表!$H$5:$H$3507,$L2516)&amp;" "&amp;INDEX(ポート振替表!$I$5:$I$3507,$L2516))</f>
        <v/>
      </c>
      <c r="D2516" s="57" t="s">
        <v>158</v>
      </c>
      <c r="E2516" s="59" t="str">
        <f aca="false">IF(L2516="","",IF(INDEX(ポート振替表!$O$5:$O$3507,$L2516)="","(未設定)",INDEX(ポート振替表!$O$5:$O$3507,$L2516)&amp;""))</f>
        <v/>
      </c>
      <c r="F2516" s="52" t="str">
        <f aca="false">IF(L2516="","",INDEX(ポート振替表!$K$5:$K$3507,$L2516)&amp;" "&amp;INDEX(ポート振替表!$L$5:$L$3507,$L2516)&amp;"  ⇔  "&amp;INDEX(ポート振替表!$H$5:$H$3507,$L2516)&amp;" "&amp;INDEX(ポート振替表!$I$5:$I$3507,$L2516))</f>
        <v/>
      </c>
      <c r="G2516" s="57" t="s">
        <v>158</v>
      </c>
      <c r="H2516" s="32" t="str">
        <f aca="false">IF(L2516="","",INDEX(ポート振替表!$N$5:$N$3507,$L2516)&amp;"")</f>
        <v/>
      </c>
      <c r="I2516" s="32" t="str">
        <f aca="false">IF(L2516="","",INDEX(ポート振替表!$P$5:$P$3507,$L2516)&amp;"")</f>
        <v/>
      </c>
      <c r="J2516" s="60" t="str">
        <f aca="false">IF(L2516="","",INDEX(ポート振替表!$M$5:$M$3507,$L2516)&amp;"")</f>
        <v/>
      </c>
      <c r="K2516" s="52" t="str">
        <f aca="false">IF(L2516="","",E2516&amp;CHAR(10)&amp;INDEX(ポート振替表!$K$5:$K$3507,$L2516)&amp;" "&amp;INDEX(ポート振替表!$L$5:$L$3507,$L2516)&amp;CHAR(10)&amp;"⇔ "&amp;INDEX(ポート振替表!$H$5:$H$3507,$L2516)&amp;" "&amp;INDEX(ポート振替表!$I$5:$I$3507,$L2516))</f>
        <v/>
      </c>
      <c r="L2516" s="47" t="str">
        <f aca="false">IFERROR(MATCH(ROW()-4,ポート振替表!$V$5:$V$3507,0),"")</f>
        <v/>
      </c>
    </row>
    <row r="2517" customFormat="false" ht="16.4" hidden="false" customHeight="false" outlineLevel="0" collapsed="false">
      <c r="A2517" s="32" t="str">
        <f aca="false">IF(L2517="","",ROW()-4)</f>
        <v/>
      </c>
      <c r="B2517" s="58" t="str">
        <f aca="false">IF(L2517="","",IF(INDEX(ポート振替表!$W$5:$W$3507,$L2517)="","(なし)",INDEX(ポート振替表!$W$5:$W$3507,$L2517)&amp;""))</f>
        <v/>
      </c>
      <c r="C2517" s="52" t="str">
        <f aca="false">IF(L2517="","",INDEX(ポート振替表!$B$5:$B$3507,$L2517)&amp;" "&amp;INDEX(ポート振替表!$C$5:$C$3507,$L2517)&amp;"  ⇔  "&amp;INDEX(ポート振替表!$H$5:$H$3507,$L2517)&amp;" "&amp;INDEX(ポート振替表!$I$5:$I$3507,$L2517))</f>
        <v/>
      </c>
      <c r="D2517" s="57" t="s">
        <v>158</v>
      </c>
      <c r="E2517" s="59" t="str">
        <f aca="false">IF(L2517="","",IF(INDEX(ポート振替表!$O$5:$O$3507,$L2517)="","(未設定)",INDEX(ポート振替表!$O$5:$O$3507,$L2517)&amp;""))</f>
        <v/>
      </c>
      <c r="F2517" s="52" t="str">
        <f aca="false">IF(L2517="","",INDEX(ポート振替表!$K$5:$K$3507,$L2517)&amp;" "&amp;INDEX(ポート振替表!$L$5:$L$3507,$L2517)&amp;"  ⇔  "&amp;INDEX(ポート振替表!$H$5:$H$3507,$L2517)&amp;" "&amp;INDEX(ポート振替表!$I$5:$I$3507,$L2517))</f>
        <v/>
      </c>
      <c r="G2517" s="57" t="s">
        <v>158</v>
      </c>
      <c r="H2517" s="32" t="str">
        <f aca="false">IF(L2517="","",INDEX(ポート振替表!$N$5:$N$3507,$L2517)&amp;"")</f>
        <v/>
      </c>
      <c r="I2517" s="32" t="str">
        <f aca="false">IF(L2517="","",INDEX(ポート振替表!$P$5:$P$3507,$L2517)&amp;"")</f>
        <v/>
      </c>
      <c r="J2517" s="60" t="str">
        <f aca="false">IF(L2517="","",INDEX(ポート振替表!$M$5:$M$3507,$L2517)&amp;"")</f>
        <v/>
      </c>
      <c r="K2517" s="52" t="str">
        <f aca="false">IF(L2517="","",E2517&amp;CHAR(10)&amp;INDEX(ポート振替表!$K$5:$K$3507,$L2517)&amp;" "&amp;INDEX(ポート振替表!$L$5:$L$3507,$L2517)&amp;CHAR(10)&amp;"⇔ "&amp;INDEX(ポート振替表!$H$5:$H$3507,$L2517)&amp;" "&amp;INDEX(ポート振替表!$I$5:$I$3507,$L2517))</f>
        <v/>
      </c>
      <c r="L2517" s="47" t="str">
        <f aca="false">IFERROR(MATCH(ROW()-4,ポート振替表!$V$5:$V$3507,0),"")</f>
        <v/>
      </c>
    </row>
    <row r="2518" customFormat="false" ht="16.4" hidden="false" customHeight="false" outlineLevel="0" collapsed="false">
      <c r="A2518" s="32" t="str">
        <f aca="false">IF(L2518="","",ROW()-4)</f>
        <v/>
      </c>
      <c r="B2518" s="58" t="str">
        <f aca="false">IF(L2518="","",IF(INDEX(ポート振替表!$W$5:$W$3507,$L2518)="","(なし)",INDEX(ポート振替表!$W$5:$W$3507,$L2518)&amp;""))</f>
        <v/>
      </c>
      <c r="C2518" s="52" t="str">
        <f aca="false">IF(L2518="","",INDEX(ポート振替表!$B$5:$B$3507,$L2518)&amp;" "&amp;INDEX(ポート振替表!$C$5:$C$3507,$L2518)&amp;"  ⇔  "&amp;INDEX(ポート振替表!$H$5:$H$3507,$L2518)&amp;" "&amp;INDEX(ポート振替表!$I$5:$I$3507,$L2518))</f>
        <v/>
      </c>
      <c r="D2518" s="57" t="s">
        <v>158</v>
      </c>
      <c r="E2518" s="59" t="str">
        <f aca="false">IF(L2518="","",IF(INDEX(ポート振替表!$O$5:$O$3507,$L2518)="","(未設定)",INDEX(ポート振替表!$O$5:$O$3507,$L2518)&amp;""))</f>
        <v/>
      </c>
      <c r="F2518" s="52" t="str">
        <f aca="false">IF(L2518="","",INDEX(ポート振替表!$K$5:$K$3507,$L2518)&amp;" "&amp;INDEX(ポート振替表!$L$5:$L$3507,$L2518)&amp;"  ⇔  "&amp;INDEX(ポート振替表!$H$5:$H$3507,$L2518)&amp;" "&amp;INDEX(ポート振替表!$I$5:$I$3507,$L2518))</f>
        <v/>
      </c>
      <c r="G2518" s="57" t="s">
        <v>158</v>
      </c>
      <c r="H2518" s="32" t="str">
        <f aca="false">IF(L2518="","",INDEX(ポート振替表!$N$5:$N$3507,$L2518)&amp;"")</f>
        <v/>
      </c>
      <c r="I2518" s="32" t="str">
        <f aca="false">IF(L2518="","",INDEX(ポート振替表!$P$5:$P$3507,$L2518)&amp;"")</f>
        <v/>
      </c>
      <c r="J2518" s="60" t="str">
        <f aca="false">IF(L2518="","",INDEX(ポート振替表!$M$5:$M$3507,$L2518)&amp;"")</f>
        <v/>
      </c>
      <c r="K2518" s="52" t="str">
        <f aca="false">IF(L2518="","",E2518&amp;CHAR(10)&amp;INDEX(ポート振替表!$K$5:$K$3507,$L2518)&amp;" "&amp;INDEX(ポート振替表!$L$5:$L$3507,$L2518)&amp;CHAR(10)&amp;"⇔ "&amp;INDEX(ポート振替表!$H$5:$H$3507,$L2518)&amp;" "&amp;INDEX(ポート振替表!$I$5:$I$3507,$L2518))</f>
        <v/>
      </c>
      <c r="L2518" s="47" t="str">
        <f aca="false">IFERROR(MATCH(ROW()-4,ポート振替表!$V$5:$V$3507,0),"")</f>
        <v/>
      </c>
    </row>
    <row r="2519" customFormat="false" ht="16.4" hidden="false" customHeight="false" outlineLevel="0" collapsed="false">
      <c r="A2519" s="32" t="str">
        <f aca="false">IF(L2519="","",ROW()-4)</f>
        <v/>
      </c>
      <c r="B2519" s="58" t="str">
        <f aca="false">IF(L2519="","",IF(INDEX(ポート振替表!$W$5:$W$3507,$L2519)="","(なし)",INDEX(ポート振替表!$W$5:$W$3507,$L2519)&amp;""))</f>
        <v/>
      </c>
      <c r="C2519" s="52" t="str">
        <f aca="false">IF(L2519="","",INDEX(ポート振替表!$B$5:$B$3507,$L2519)&amp;" "&amp;INDEX(ポート振替表!$C$5:$C$3507,$L2519)&amp;"  ⇔  "&amp;INDEX(ポート振替表!$H$5:$H$3507,$L2519)&amp;" "&amp;INDEX(ポート振替表!$I$5:$I$3507,$L2519))</f>
        <v/>
      </c>
      <c r="D2519" s="57" t="s">
        <v>158</v>
      </c>
      <c r="E2519" s="59" t="str">
        <f aca="false">IF(L2519="","",IF(INDEX(ポート振替表!$O$5:$O$3507,$L2519)="","(未設定)",INDEX(ポート振替表!$O$5:$O$3507,$L2519)&amp;""))</f>
        <v/>
      </c>
      <c r="F2519" s="52" t="str">
        <f aca="false">IF(L2519="","",INDEX(ポート振替表!$K$5:$K$3507,$L2519)&amp;" "&amp;INDEX(ポート振替表!$L$5:$L$3507,$L2519)&amp;"  ⇔  "&amp;INDEX(ポート振替表!$H$5:$H$3507,$L2519)&amp;" "&amp;INDEX(ポート振替表!$I$5:$I$3507,$L2519))</f>
        <v/>
      </c>
      <c r="G2519" s="57" t="s">
        <v>158</v>
      </c>
      <c r="H2519" s="32" t="str">
        <f aca="false">IF(L2519="","",INDEX(ポート振替表!$N$5:$N$3507,$L2519)&amp;"")</f>
        <v/>
      </c>
      <c r="I2519" s="32" t="str">
        <f aca="false">IF(L2519="","",INDEX(ポート振替表!$P$5:$P$3507,$L2519)&amp;"")</f>
        <v/>
      </c>
      <c r="J2519" s="60" t="str">
        <f aca="false">IF(L2519="","",INDEX(ポート振替表!$M$5:$M$3507,$L2519)&amp;"")</f>
        <v/>
      </c>
      <c r="K2519" s="52" t="str">
        <f aca="false">IF(L2519="","",E2519&amp;CHAR(10)&amp;INDEX(ポート振替表!$K$5:$K$3507,$L2519)&amp;" "&amp;INDEX(ポート振替表!$L$5:$L$3507,$L2519)&amp;CHAR(10)&amp;"⇔ "&amp;INDEX(ポート振替表!$H$5:$H$3507,$L2519)&amp;" "&amp;INDEX(ポート振替表!$I$5:$I$3507,$L2519))</f>
        <v/>
      </c>
      <c r="L2519" s="47" t="str">
        <f aca="false">IFERROR(MATCH(ROW()-4,ポート振替表!$V$5:$V$3507,0),"")</f>
        <v/>
      </c>
    </row>
    <row r="2520" customFormat="false" ht="16.4" hidden="false" customHeight="false" outlineLevel="0" collapsed="false">
      <c r="A2520" s="32" t="str">
        <f aca="false">IF(L2520="","",ROW()-4)</f>
        <v/>
      </c>
      <c r="B2520" s="58" t="str">
        <f aca="false">IF(L2520="","",IF(INDEX(ポート振替表!$W$5:$W$3507,$L2520)="","(なし)",INDEX(ポート振替表!$W$5:$W$3507,$L2520)&amp;""))</f>
        <v/>
      </c>
      <c r="C2520" s="52" t="str">
        <f aca="false">IF(L2520="","",INDEX(ポート振替表!$B$5:$B$3507,$L2520)&amp;" "&amp;INDEX(ポート振替表!$C$5:$C$3507,$L2520)&amp;"  ⇔  "&amp;INDEX(ポート振替表!$H$5:$H$3507,$L2520)&amp;" "&amp;INDEX(ポート振替表!$I$5:$I$3507,$L2520))</f>
        <v/>
      </c>
      <c r="D2520" s="57" t="s">
        <v>158</v>
      </c>
      <c r="E2520" s="59" t="str">
        <f aca="false">IF(L2520="","",IF(INDEX(ポート振替表!$O$5:$O$3507,$L2520)="","(未設定)",INDEX(ポート振替表!$O$5:$O$3507,$L2520)&amp;""))</f>
        <v/>
      </c>
      <c r="F2520" s="52" t="str">
        <f aca="false">IF(L2520="","",INDEX(ポート振替表!$K$5:$K$3507,$L2520)&amp;" "&amp;INDEX(ポート振替表!$L$5:$L$3507,$L2520)&amp;"  ⇔  "&amp;INDEX(ポート振替表!$H$5:$H$3507,$L2520)&amp;" "&amp;INDEX(ポート振替表!$I$5:$I$3507,$L2520))</f>
        <v/>
      </c>
      <c r="G2520" s="57" t="s">
        <v>158</v>
      </c>
      <c r="H2520" s="32" t="str">
        <f aca="false">IF(L2520="","",INDEX(ポート振替表!$N$5:$N$3507,$L2520)&amp;"")</f>
        <v/>
      </c>
      <c r="I2520" s="32" t="str">
        <f aca="false">IF(L2520="","",INDEX(ポート振替表!$P$5:$P$3507,$L2520)&amp;"")</f>
        <v/>
      </c>
      <c r="J2520" s="60" t="str">
        <f aca="false">IF(L2520="","",INDEX(ポート振替表!$M$5:$M$3507,$L2520)&amp;"")</f>
        <v/>
      </c>
      <c r="K2520" s="52" t="str">
        <f aca="false">IF(L2520="","",E2520&amp;CHAR(10)&amp;INDEX(ポート振替表!$K$5:$K$3507,$L2520)&amp;" "&amp;INDEX(ポート振替表!$L$5:$L$3507,$L2520)&amp;CHAR(10)&amp;"⇔ "&amp;INDEX(ポート振替表!$H$5:$H$3507,$L2520)&amp;" "&amp;INDEX(ポート振替表!$I$5:$I$3507,$L2520))</f>
        <v/>
      </c>
      <c r="L2520" s="47" t="str">
        <f aca="false">IFERROR(MATCH(ROW()-4,ポート振替表!$V$5:$V$3507,0),"")</f>
        <v/>
      </c>
    </row>
    <row r="2521" customFormat="false" ht="16.4" hidden="false" customHeight="false" outlineLevel="0" collapsed="false">
      <c r="A2521" s="32" t="str">
        <f aca="false">IF(L2521="","",ROW()-4)</f>
        <v/>
      </c>
      <c r="B2521" s="58" t="str">
        <f aca="false">IF(L2521="","",IF(INDEX(ポート振替表!$W$5:$W$3507,$L2521)="","(なし)",INDEX(ポート振替表!$W$5:$W$3507,$L2521)&amp;""))</f>
        <v/>
      </c>
      <c r="C2521" s="52" t="str">
        <f aca="false">IF(L2521="","",INDEX(ポート振替表!$B$5:$B$3507,$L2521)&amp;" "&amp;INDEX(ポート振替表!$C$5:$C$3507,$L2521)&amp;"  ⇔  "&amp;INDEX(ポート振替表!$H$5:$H$3507,$L2521)&amp;" "&amp;INDEX(ポート振替表!$I$5:$I$3507,$L2521))</f>
        <v/>
      </c>
      <c r="D2521" s="57" t="s">
        <v>158</v>
      </c>
      <c r="E2521" s="59" t="str">
        <f aca="false">IF(L2521="","",IF(INDEX(ポート振替表!$O$5:$O$3507,$L2521)="","(未設定)",INDEX(ポート振替表!$O$5:$O$3507,$L2521)&amp;""))</f>
        <v/>
      </c>
      <c r="F2521" s="52" t="str">
        <f aca="false">IF(L2521="","",INDEX(ポート振替表!$K$5:$K$3507,$L2521)&amp;" "&amp;INDEX(ポート振替表!$L$5:$L$3507,$L2521)&amp;"  ⇔  "&amp;INDEX(ポート振替表!$H$5:$H$3507,$L2521)&amp;" "&amp;INDEX(ポート振替表!$I$5:$I$3507,$L2521))</f>
        <v/>
      </c>
      <c r="G2521" s="57" t="s">
        <v>158</v>
      </c>
      <c r="H2521" s="32" t="str">
        <f aca="false">IF(L2521="","",INDEX(ポート振替表!$N$5:$N$3507,$L2521)&amp;"")</f>
        <v/>
      </c>
      <c r="I2521" s="32" t="str">
        <f aca="false">IF(L2521="","",INDEX(ポート振替表!$P$5:$P$3507,$L2521)&amp;"")</f>
        <v/>
      </c>
      <c r="J2521" s="60" t="str">
        <f aca="false">IF(L2521="","",INDEX(ポート振替表!$M$5:$M$3507,$L2521)&amp;"")</f>
        <v/>
      </c>
      <c r="K2521" s="52" t="str">
        <f aca="false">IF(L2521="","",E2521&amp;CHAR(10)&amp;INDEX(ポート振替表!$K$5:$K$3507,$L2521)&amp;" "&amp;INDEX(ポート振替表!$L$5:$L$3507,$L2521)&amp;CHAR(10)&amp;"⇔ "&amp;INDEX(ポート振替表!$H$5:$H$3507,$L2521)&amp;" "&amp;INDEX(ポート振替表!$I$5:$I$3507,$L2521))</f>
        <v/>
      </c>
      <c r="L2521" s="47" t="str">
        <f aca="false">IFERROR(MATCH(ROW()-4,ポート振替表!$V$5:$V$3507,0),"")</f>
        <v/>
      </c>
    </row>
    <row r="2522" customFormat="false" ht="16.4" hidden="false" customHeight="false" outlineLevel="0" collapsed="false">
      <c r="A2522" s="32" t="str">
        <f aca="false">IF(L2522="","",ROW()-4)</f>
        <v/>
      </c>
      <c r="B2522" s="58" t="str">
        <f aca="false">IF(L2522="","",IF(INDEX(ポート振替表!$W$5:$W$3507,$L2522)="","(なし)",INDEX(ポート振替表!$W$5:$W$3507,$L2522)&amp;""))</f>
        <v/>
      </c>
      <c r="C2522" s="52" t="str">
        <f aca="false">IF(L2522="","",INDEX(ポート振替表!$B$5:$B$3507,$L2522)&amp;" "&amp;INDEX(ポート振替表!$C$5:$C$3507,$L2522)&amp;"  ⇔  "&amp;INDEX(ポート振替表!$H$5:$H$3507,$L2522)&amp;" "&amp;INDEX(ポート振替表!$I$5:$I$3507,$L2522))</f>
        <v/>
      </c>
      <c r="D2522" s="57" t="s">
        <v>158</v>
      </c>
      <c r="E2522" s="59" t="str">
        <f aca="false">IF(L2522="","",IF(INDEX(ポート振替表!$O$5:$O$3507,$L2522)="","(未設定)",INDEX(ポート振替表!$O$5:$O$3507,$L2522)&amp;""))</f>
        <v/>
      </c>
      <c r="F2522" s="52" t="str">
        <f aca="false">IF(L2522="","",INDEX(ポート振替表!$K$5:$K$3507,$L2522)&amp;" "&amp;INDEX(ポート振替表!$L$5:$L$3507,$L2522)&amp;"  ⇔  "&amp;INDEX(ポート振替表!$H$5:$H$3507,$L2522)&amp;" "&amp;INDEX(ポート振替表!$I$5:$I$3507,$L2522))</f>
        <v/>
      </c>
      <c r="G2522" s="57" t="s">
        <v>158</v>
      </c>
      <c r="H2522" s="32" t="str">
        <f aca="false">IF(L2522="","",INDEX(ポート振替表!$N$5:$N$3507,$L2522)&amp;"")</f>
        <v/>
      </c>
      <c r="I2522" s="32" t="str">
        <f aca="false">IF(L2522="","",INDEX(ポート振替表!$P$5:$P$3507,$L2522)&amp;"")</f>
        <v/>
      </c>
      <c r="J2522" s="60" t="str">
        <f aca="false">IF(L2522="","",INDEX(ポート振替表!$M$5:$M$3507,$L2522)&amp;"")</f>
        <v/>
      </c>
      <c r="K2522" s="52" t="str">
        <f aca="false">IF(L2522="","",E2522&amp;CHAR(10)&amp;INDEX(ポート振替表!$K$5:$K$3507,$L2522)&amp;" "&amp;INDEX(ポート振替表!$L$5:$L$3507,$L2522)&amp;CHAR(10)&amp;"⇔ "&amp;INDEX(ポート振替表!$H$5:$H$3507,$L2522)&amp;" "&amp;INDEX(ポート振替表!$I$5:$I$3507,$L2522))</f>
        <v/>
      </c>
      <c r="L2522" s="47" t="str">
        <f aca="false">IFERROR(MATCH(ROW()-4,ポート振替表!$V$5:$V$3507,0),"")</f>
        <v/>
      </c>
    </row>
    <row r="2523" customFormat="false" ht="16.4" hidden="false" customHeight="false" outlineLevel="0" collapsed="false">
      <c r="A2523" s="32" t="str">
        <f aca="false">IF(L2523="","",ROW()-4)</f>
        <v/>
      </c>
      <c r="B2523" s="58" t="str">
        <f aca="false">IF(L2523="","",IF(INDEX(ポート振替表!$W$5:$W$3507,$L2523)="","(なし)",INDEX(ポート振替表!$W$5:$W$3507,$L2523)&amp;""))</f>
        <v/>
      </c>
      <c r="C2523" s="52" t="str">
        <f aca="false">IF(L2523="","",INDEX(ポート振替表!$B$5:$B$3507,$L2523)&amp;" "&amp;INDEX(ポート振替表!$C$5:$C$3507,$L2523)&amp;"  ⇔  "&amp;INDEX(ポート振替表!$H$5:$H$3507,$L2523)&amp;" "&amp;INDEX(ポート振替表!$I$5:$I$3507,$L2523))</f>
        <v/>
      </c>
      <c r="D2523" s="57" t="s">
        <v>158</v>
      </c>
      <c r="E2523" s="59" t="str">
        <f aca="false">IF(L2523="","",IF(INDEX(ポート振替表!$O$5:$O$3507,$L2523)="","(未設定)",INDEX(ポート振替表!$O$5:$O$3507,$L2523)&amp;""))</f>
        <v/>
      </c>
      <c r="F2523" s="52" t="str">
        <f aca="false">IF(L2523="","",INDEX(ポート振替表!$K$5:$K$3507,$L2523)&amp;" "&amp;INDEX(ポート振替表!$L$5:$L$3507,$L2523)&amp;"  ⇔  "&amp;INDEX(ポート振替表!$H$5:$H$3507,$L2523)&amp;" "&amp;INDEX(ポート振替表!$I$5:$I$3507,$L2523))</f>
        <v/>
      </c>
      <c r="G2523" s="57" t="s">
        <v>158</v>
      </c>
      <c r="H2523" s="32" t="str">
        <f aca="false">IF(L2523="","",INDEX(ポート振替表!$N$5:$N$3507,$L2523)&amp;"")</f>
        <v/>
      </c>
      <c r="I2523" s="32" t="str">
        <f aca="false">IF(L2523="","",INDEX(ポート振替表!$P$5:$P$3507,$L2523)&amp;"")</f>
        <v/>
      </c>
      <c r="J2523" s="60" t="str">
        <f aca="false">IF(L2523="","",INDEX(ポート振替表!$M$5:$M$3507,$L2523)&amp;"")</f>
        <v/>
      </c>
      <c r="K2523" s="52" t="str">
        <f aca="false">IF(L2523="","",E2523&amp;CHAR(10)&amp;INDEX(ポート振替表!$K$5:$K$3507,$L2523)&amp;" "&amp;INDEX(ポート振替表!$L$5:$L$3507,$L2523)&amp;CHAR(10)&amp;"⇔ "&amp;INDEX(ポート振替表!$H$5:$H$3507,$L2523)&amp;" "&amp;INDEX(ポート振替表!$I$5:$I$3507,$L2523))</f>
        <v/>
      </c>
      <c r="L2523" s="47" t="str">
        <f aca="false">IFERROR(MATCH(ROW()-4,ポート振替表!$V$5:$V$3507,0),"")</f>
        <v/>
      </c>
    </row>
    <row r="2524" customFormat="false" ht="16.4" hidden="false" customHeight="false" outlineLevel="0" collapsed="false">
      <c r="A2524" s="32" t="str">
        <f aca="false">IF(L2524="","",ROW()-4)</f>
        <v/>
      </c>
      <c r="B2524" s="58" t="str">
        <f aca="false">IF(L2524="","",IF(INDEX(ポート振替表!$W$5:$W$3507,$L2524)="","(なし)",INDEX(ポート振替表!$W$5:$W$3507,$L2524)&amp;""))</f>
        <v/>
      </c>
      <c r="C2524" s="52" t="str">
        <f aca="false">IF(L2524="","",INDEX(ポート振替表!$B$5:$B$3507,$L2524)&amp;" "&amp;INDEX(ポート振替表!$C$5:$C$3507,$L2524)&amp;"  ⇔  "&amp;INDEX(ポート振替表!$H$5:$H$3507,$L2524)&amp;" "&amp;INDEX(ポート振替表!$I$5:$I$3507,$L2524))</f>
        <v/>
      </c>
      <c r="D2524" s="57" t="s">
        <v>158</v>
      </c>
      <c r="E2524" s="59" t="str">
        <f aca="false">IF(L2524="","",IF(INDEX(ポート振替表!$O$5:$O$3507,$L2524)="","(未設定)",INDEX(ポート振替表!$O$5:$O$3507,$L2524)&amp;""))</f>
        <v/>
      </c>
      <c r="F2524" s="52" t="str">
        <f aca="false">IF(L2524="","",INDEX(ポート振替表!$K$5:$K$3507,$L2524)&amp;" "&amp;INDEX(ポート振替表!$L$5:$L$3507,$L2524)&amp;"  ⇔  "&amp;INDEX(ポート振替表!$H$5:$H$3507,$L2524)&amp;" "&amp;INDEX(ポート振替表!$I$5:$I$3507,$L2524))</f>
        <v/>
      </c>
      <c r="G2524" s="57" t="s">
        <v>158</v>
      </c>
      <c r="H2524" s="32" t="str">
        <f aca="false">IF(L2524="","",INDEX(ポート振替表!$N$5:$N$3507,$L2524)&amp;"")</f>
        <v/>
      </c>
      <c r="I2524" s="32" t="str">
        <f aca="false">IF(L2524="","",INDEX(ポート振替表!$P$5:$P$3507,$L2524)&amp;"")</f>
        <v/>
      </c>
      <c r="J2524" s="60" t="str">
        <f aca="false">IF(L2524="","",INDEX(ポート振替表!$M$5:$M$3507,$L2524)&amp;"")</f>
        <v/>
      </c>
      <c r="K2524" s="52" t="str">
        <f aca="false">IF(L2524="","",E2524&amp;CHAR(10)&amp;INDEX(ポート振替表!$K$5:$K$3507,$L2524)&amp;" "&amp;INDEX(ポート振替表!$L$5:$L$3507,$L2524)&amp;CHAR(10)&amp;"⇔ "&amp;INDEX(ポート振替表!$H$5:$H$3507,$L2524)&amp;" "&amp;INDEX(ポート振替表!$I$5:$I$3507,$L2524))</f>
        <v/>
      </c>
      <c r="L2524" s="47" t="str">
        <f aca="false">IFERROR(MATCH(ROW()-4,ポート振替表!$V$5:$V$3507,0),"")</f>
        <v/>
      </c>
    </row>
    <row r="2525" customFormat="false" ht="16.4" hidden="false" customHeight="false" outlineLevel="0" collapsed="false">
      <c r="A2525" s="32" t="str">
        <f aca="false">IF(L2525="","",ROW()-4)</f>
        <v/>
      </c>
      <c r="B2525" s="58" t="str">
        <f aca="false">IF(L2525="","",IF(INDEX(ポート振替表!$W$5:$W$3507,$L2525)="","(なし)",INDEX(ポート振替表!$W$5:$W$3507,$L2525)&amp;""))</f>
        <v/>
      </c>
      <c r="C2525" s="52" t="str">
        <f aca="false">IF(L2525="","",INDEX(ポート振替表!$B$5:$B$3507,$L2525)&amp;" "&amp;INDEX(ポート振替表!$C$5:$C$3507,$L2525)&amp;"  ⇔  "&amp;INDEX(ポート振替表!$H$5:$H$3507,$L2525)&amp;" "&amp;INDEX(ポート振替表!$I$5:$I$3507,$L2525))</f>
        <v/>
      </c>
      <c r="D2525" s="57" t="s">
        <v>158</v>
      </c>
      <c r="E2525" s="59" t="str">
        <f aca="false">IF(L2525="","",IF(INDEX(ポート振替表!$O$5:$O$3507,$L2525)="","(未設定)",INDEX(ポート振替表!$O$5:$O$3507,$L2525)&amp;""))</f>
        <v/>
      </c>
      <c r="F2525" s="52" t="str">
        <f aca="false">IF(L2525="","",INDEX(ポート振替表!$K$5:$K$3507,$L2525)&amp;" "&amp;INDEX(ポート振替表!$L$5:$L$3507,$L2525)&amp;"  ⇔  "&amp;INDEX(ポート振替表!$H$5:$H$3507,$L2525)&amp;" "&amp;INDEX(ポート振替表!$I$5:$I$3507,$L2525))</f>
        <v/>
      </c>
      <c r="G2525" s="57" t="s">
        <v>158</v>
      </c>
      <c r="H2525" s="32" t="str">
        <f aca="false">IF(L2525="","",INDEX(ポート振替表!$N$5:$N$3507,$L2525)&amp;"")</f>
        <v/>
      </c>
      <c r="I2525" s="32" t="str">
        <f aca="false">IF(L2525="","",INDEX(ポート振替表!$P$5:$P$3507,$L2525)&amp;"")</f>
        <v/>
      </c>
      <c r="J2525" s="60" t="str">
        <f aca="false">IF(L2525="","",INDEX(ポート振替表!$M$5:$M$3507,$L2525)&amp;"")</f>
        <v/>
      </c>
      <c r="K2525" s="52" t="str">
        <f aca="false">IF(L2525="","",E2525&amp;CHAR(10)&amp;INDEX(ポート振替表!$K$5:$K$3507,$L2525)&amp;" "&amp;INDEX(ポート振替表!$L$5:$L$3507,$L2525)&amp;CHAR(10)&amp;"⇔ "&amp;INDEX(ポート振替表!$H$5:$H$3507,$L2525)&amp;" "&amp;INDEX(ポート振替表!$I$5:$I$3507,$L2525))</f>
        <v/>
      </c>
      <c r="L2525" s="47" t="str">
        <f aca="false">IFERROR(MATCH(ROW()-4,ポート振替表!$V$5:$V$3507,0),"")</f>
        <v/>
      </c>
    </row>
    <row r="2526" customFormat="false" ht="16.4" hidden="false" customHeight="false" outlineLevel="0" collapsed="false">
      <c r="A2526" s="32" t="str">
        <f aca="false">IF(L2526="","",ROW()-4)</f>
        <v/>
      </c>
      <c r="B2526" s="58" t="str">
        <f aca="false">IF(L2526="","",IF(INDEX(ポート振替表!$W$5:$W$3507,$L2526)="","(なし)",INDEX(ポート振替表!$W$5:$W$3507,$L2526)&amp;""))</f>
        <v/>
      </c>
      <c r="C2526" s="52" t="str">
        <f aca="false">IF(L2526="","",INDEX(ポート振替表!$B$5:$B$3507,$L2526)&amp;" "&amp;INDEX(ポート振替表!$C$5:$C$3507,$L2526)&amp;"  ⇔  "&amp;INDEX(ポート振替表!$H$5:$H$3507,$L2526)&amp;" "&amp;INDEX(ポート振替表!$I$5:$I$3507,$L2526))</f>
        <v/>
      </c>
      <c r="D2526" s="57" t="s">
        <v>158</v>
      </c>
      <c r="E2526" s="59" t="str">
        <f aca="false">IF(L2526="","",IF(INDEX(ポート振替表!$O$5:$O$3507,$L2526)="","(未設定)",INDEX(ポート振替表!$O$5:$O$3507,$L2526)&amp;""))</f>
        <v/>
      </c>
      <c r="F2526" s="52" t="str">
        <f aca="false">IF(L2526="","",INDEX(ポート振替表!$K$5:$K$3507,$L2526)&amp;" "&amp;INDEX(ポート振替表!$L$5:$L$3507,$L2526)&amp;"  ⇔  "&amp;INDEX(ポート振替表!$H$5:$H$3507,$L2526)&amp;" "&amp;INDEX(ポート振替表!$I$5:$I$3507,$L2526))</f>
        <v/>
      </c>
      <c r="G2526" s="57" t="s">
        <v>158</v>
      </c>
      <c r="H2526" s="32" t="str">
        <f aca="false">IF(L2526="","",INDEX(ポート振替表!$N$5:$N$3507,$L2526)&amp;"")</f>
        <v/>
      </c>
      <c r="I2526" s="32" t="str">
        <f aca="false">IF(L2526="","",INDEX(ポート振替表!$P$5:$P$3507,$L2526)&amp;"")</f>
        <v/>
      </c>
      <c r="J2526" s="60" t="str">
        <f aca="false">IF(L2526="","",INDEX(ポート振替表!$M$5:$M$3507,$L2526)&amp;"")</f>
        <v/>
      </c>
      <c r="K2526" s="52" t="str">
        <f aca="false">IF(L2526="","",E2526&amp;CHAR(10)&amp;INDEX(ポート振替表!$K$5:$K$3507,$L2526)&amp;" "&amp;INDEX(ポート振替表!$L$5:$L$3507,$L2526)&amp;CHAR(10)&amp;"⇔ "&amp;INDEX(ポート振替表!$H$5:$H$3507,$L2526)&amp;" "&amp;INDEX(ポート振替表!$I$5:$I$3507,$L2526))</f>
        <v/>
      </c>
      <c r="L2526" s="47" t="str">
        <f aca="false">IFERROR(MATCH(ROW()-4,ポート振替表!$V$5:$V$3507,0),"")</f>
        <v/>
      </c>
    </row>
    <row r="2527" customFormat="false" ht="16.4" hidden="false" customHeight="false" outlineLevel="0" collapsed="false">
      <c r="A2527" s="32" t="str">
        <f aca="false">IF(L2527="","",ROW()-4)</f>
        <v/>
      </c>
      <c r="B2527" s="58" t="str">
        <f aca="false">IF(L2527="","",IF(INDEX(ポート振替表!$W$5:$W$3507,$L2527)="","(なし)",INDEX(ポート振替表!$W$5:$W$3507,$L2527)&amp;""))</f>
        <v/>
      </c>
      <c r="C2527" s="52" t="str">
        <f aca="false">IF(L2527="","",INDEX(ポート振替表!$B$5:$B$3507,$L2527)&amp;" "&amp;INDEX(ポート振替表!$C$5:$C$3507,$L2527)&amp;"  ⇔  "&amp;INDEX(ポート振替表!$H$5:$H$3507,$L2527)&amp;" "&amp;INDEX(ポート振替表!$I$5:$I$3507,$L2527))</f>
        <v/>
      </c>
      <c r="D2527" s="57" t="s">
        <v>158</v>
      </c>
      <c r="E2527" s="59" t="str">
        <f aca="false">IF(L2527="","",IF(INDEX(ポート振替表!$O$5:$O$3507,$L2527)="","(未設定)",INDEX(ポート振替表!$O$5:$O$3507,$L2527)&amp;""))</f>
        <v/>
      </c>
      <c r="F2527" s="52" t="str">
        <f aca="false">IF(L2527="","",INDEX(ポート振替表!$K$5:$K$3507,$L2527)&amp;" "&amp;INDEX(ポート振替表!$L$5:$L$3507,$L2527)&amp;"  ⇔  "&amp;INDEX(ポート振替表!$H$5:$H$3507,$L2527)&amp;" "&amp;INDEX(ポート振替表!$I$5:$I$3507,$L2527))</f>
        <v/>
      </c>
      <c r="G2527" s="57" t="s">
        <v>158</v>
      </c>
      <c r="H2527" s="32" t="str">
        <f aca="false">IF(L2527="","",INDEX(ポート振替表!$N$5:$N$3507,$L2527)&amp;"")</f>
        <v/>
      </c>
      <c r="I2527" s="32" t="str">
        <f aca="false">IF(L2527="","",INDEX(ポート振替表!$P$5:$P$3507,$L2527)&amp;"")</f>
        <v/>
      </c>
      <c r="J2527" s="60" t="str">
        <f aca="false">IF(L2527="","",INDEX(ポート振替表!$M$5:$M$3507,$L2527)&amp;"")</f>
        <v/>
      </c>
      <c r="K2527" s="52" t="str">
        <f aca="false">IF(L2527="","",E2527&amp;CHAR(10)&amp;INDEX(ポート振替表!$K$5:$K$3507,$L2527)&amp;" "&amp;INDEX(ポート振替表!$L$5:$L$3507,$L2527)&amp;CHAR(10)&amp;"⇔ "&amp;INDEX(ポート振替表!$H$5:$H$3507,$L2527)&amp;" "&amp;INDEX(ポート振替表!$I$5:$I$3507,$L2527))</f>
        <v/>
      </c>
      <c r="L2527" s="47" t="str">
        <f aca="false">IFERROR(MATCH(ROW()-4,ポート振替表!$V$5:$V$3507,0),"")</f>
        <v/>
      </c>
    </row>
    <row r="2528" customFormat="false" ht="16.4" hidden="false" customHeight="false" outlineLevel="0" collapsed="false">
      <c r="A2528" s="32" t="str">
        <f aca="false">IF(L2528="","",ROW()-4)</f>
        <v/>
      </c>
      <c r="B2528" s="58" t="str">
        <f aca="false">IF(L2528="","",IF(INDEX(ポート振替表!$W$5:$W$3507,$L2528)="","(なし)",INDEX(ポート振替表!$W$5:$W$3507,$L2528)&amp;""))</f>
        <v/>
      </c>
      <c r="C2528" s="52" t="str">
        <f aca="false">IF(L2528="","",INDEX(ポート振替表!$B$5:$B$3507,$L2528)&amp;" "&amp;INDEX(ポート振替表!$C$5:$C$3507,$L2528)&amp;"  ⇔  "&amp;INDEX(ポート振替表!$H$5:$H$3507,$L2528)&amp;" "&amp;INDEX(ポート振替表!$I$5:$I$3507,$L2528))</f>
        <v/>
      </c>
      <c r="D2528" s="57" t="s">
        <v>158</v>
      </c>
      <c r="E2528" s="59" t="str">
        <f aca="false">IF(L2528="","",IF(INDEX(ポート振替表!$O$5:$O$3507,$L2528)="","(未設定)",INDEX(ポート振替表!$O$5:$O$3507,$L2528)&amp;""))</f>
        <v/>
      </c>
      <c r="F2528" s="52" t="str">
        <f aca="false">IF(L2528="","",INDEX(ポート振替表!$K$5:$K$3507,$L2528)&amp;" "&amp;INDEX(ポート振替表!$L$5:$L$3507,$L2528)&amp;"  ⇔  "&amp;INDEX(ポート振替表!$H$5:$H$3507,$L2528)&amp;" "&amp;INDEX(ポート振替表!$I$5:$I$3507,$L2528))</f>
        <v/>
      </c>
      <c r="G2528" s="57" t="s">
        <v>158</v>
      </c>
      <c r="H2528" s="32" t="str">
        <f aca="false">IF(L2528="","",INDEX(ポート振替表!$N$5:$N$3507,$L2528)&amp;"")</f>
        <v/>
      </c>
      <c r="I2528" s="32" t="str">
        <f aca="false">IF(L2528="","",INDEX(ポート振替表!$P$5:$P$3507,$L2528)&amp;"")</f>
        <v/>
      </c>
      <c r="J2528" s="60" t="str">
        <f aca="false">IF(L2528="","",INDEX(ポート振替表!$M$5:$M$3507,$L2528)&amp;"")</f>
        <v/>
      </c>
      <c r="K2528" s="52" t="str">
        <f aca="false">IF(L2528="","",E2528&amp;CHAR(10)&amp;INDEX(ポート振替表!$K$5:$K$3507,$L2528)&amp;" "&amp;INDEX(ポート振替表!$L$5:$L$3507,$L2528)&amp;CHAR(10)&amp;"⇔ "&amp;INDEX(ポート振替表!$H$5:$H$3507,$L2528)&amp;" "&amp;INDEX(ポート振替表!$I$5:$I$3507,$L2528))</f>
        <v/>
      </c>
      <c r="L2528" s="47" t="str">
        <f aca="false">IFERROR(MATCH(ROW()-4,ポート振替表!$V$5:$V$3507,0),"")</f>
        <v/>
      </c>
    </row>
    <row r="2529" customFormat="false" ht="16.4" hidden="false" customHeight="false" outlineLevel="0" collapsed="false">
      <c r="A2529" s="32" t="str">
        <f aca="false">IF(L2529="","",ROW()-4)</f>
        <v/>
      </c>
      <c r="B2529" s="58" t="str">
        <f aca="false">IF(L2529="","",IF(INDEX(ポート振替表!$W$5:$W$3507,$L2529)="","(なし)",INDEX(ポート振替表!$W$5:$W$3507,$L2529)&amp;""))</f>
        <v/>
      </c>
      <c r="C2529" s="52" t="str">
        <f aca="false">IF(L2529="","",INDEX(ポート振替表!$B$5:$B$3507,$L2529)&amp;" "&amp;INDEX(ポート振替表!$C$5:$C$3507,$L2529)&amp;"  ⇔  "&amp;INDEX(ポート振替表!$H$5:$H$3507,$L2529)&amp;" "&amp;INDEX(ポート振替表!$I$5:$I$3507,$L2529))</f>
        <v/>
      </c>
      <c r="D2529" s="57" t="s">
        <v>158</v>
      </c>
      <c r="E2529" s="59" t="str">
        <f aca="false">IF(L2529="","",IF(INDEX(ポート振替表!$O$5:$O$3507,$L2529)="","(未設定)",INDEX(ポート振替表!$O$5:$O$3507,$L2529)&amp;""))</f>
        <v/>
      </c>
      <c r="F2529" s="52" t="str">
        <f aca="false">IF(L2529="","",INDEX(ポート振替表!$K$5:$K$3507,$L2529)&amp;" "&amp;INDEX(ポート振替表!$L$5:$L$3507,$L2529)&amp;"  ⇔  "&amp;INDEX(ポート振替表!$H$5:$H$3507,$L2529)&amp;" "&amp;INDEX(ポート振替表!$I$5:$I$3507,$L2529))</f>
        <v/>
      </c>
      <c r="G2529" s="57" t="s">
        <v>158</v>
      </c>
      <c r="H2529" s="32" t="str">
        <f aca="false">IF(L2529="","",INDEX(ポート振替表!$N$5:$N$3507,$L2529)&amp;"")</f>
        <v/>
      </c>
      <c r="I2529" s="32" t="str">
        <f aca="false">IF(L2529="","",INDEX(ポート振替表!$P$5:$P$3507,$L2529)&amp;"")</f>
        <v/>
      </c>
      <c r="J2529" s="60" t="str">
        <f aca="false">IF(L2529="","",INDEX(ポート振替表!$M$5:$M$3507,$L2529)&amp;"")</f>
        <v/>
      </c>
      <c r="K2529" s="52" t="str">
        <f aca="false">IF(L2529="","",E2529&amp;CHAR(10)&amp;INDEX(ポート振替表!$K$5:$K$3507,$L2529)&amp;" "&amp;INDEX(ポート振替表!$L$5:$L$3507,$L2529)&amp;CHAR(10)&amp;"⇔ "&amp;INDEX(ポート振替表!$H$5:$H$3507,$L2529)&amp;" "&amp;INDEX(ポート振替表!$I$5:$I$3507,$L2529))</f>
        <v/>
      </c>
      <c r="L2529" s="47" t="str">
        <f aca="false">IFERROR(MATCH(ROW()-4,ポート振替表!$V$5:$V$3507,0),"")</f>
        <v/>
      </c>
    </row>
    <row r="2530" customFormat="false" ht="16.4" hidden="false" customHeight="false" outlineLevel="0" collapsed="false">
      <c r="A2530" s="32" t="str">
        <f aca="false">IF(L2530="","",ROW()-4)</f>
        <v/>
      </c>
      <c r="B2530" s="58" t="str">
        <f aca="false">IF(L2530="","",IF(INDEX(ポート振替表!$W$5:$W$3507,$L2530)="","(なし)",INDEX(ポート振替表!$W$5:$W$3507,$L2530)&amp;""))</f>
        <v/>
      </c>
      <c r="C2530" s="52" t="str">
        <f aca="false">IF(L2530="","",INDEX(ポート振替表!$B$5:$B$3507,$L2530)&amp;" "&amp;INDEX(ポート振替表!$C$5:$C$3507,$L2530)&amp;"  ⇔  "&amp;INDEX(ポート振替表!$H$5:$H$3507,$L2530)&amp;" "&amp;INDEX(ポート振替表!$I$5:$I$3507,$L2530))</f>
        <v/>
      </c>
      <c r="D2530" s="57" t="s">
        <v>158</v>
      </c>
      <c r="E2530" s="59" t="str">
        <f aca="false">IF(L2530="","",IF(INDEX(ポート振替表!$O$5:$O$3507,$L2530)="","(未設定)",INDEX(ポート振替表!$O$5:$O$3507,$L2530)&amp;""))</f>
        <v/>
      </c>
      <c r="F2530" s="52" t="str">
        <f aca="false">IF(L2530="","",INDEX(ポート振替表!$K$5:$K$3507,$L2530)&amp;" "&amp;INDEX(ポート振替表!$L$5:$L$3507,$L2530)&amp;"  ⇔  "&amp;INDEX(ポート振替表!$H$5:$H$3507,$L2530)&amp;" "&amp;INDEX(ポート振替表!$I$5:$I$3507,$L2530))</f>
        <v/>
      </c>
      <c r="G2530" s="57" t="s">
        <v>158</v>
      </c>
      <c r="H2530" s="32" t="str">
        <f aca="false">IF(L2530="","",INDEX(ポート振替表!$N$5:$N$3507,$L2530)&amp;"")</f>
        <v/>
      </c>
      <c r="I2530" s="32" t="str">
        <f aca="false">IF(L2530="","",INDEX(ポート振替表!$P$5:$P$3507,$L2530)&amp;"")</f>
        <v/>
      </c>
      <c r="J2530" s="60" t="str">
        <f aca="false">IF(L2530="","",INDEX(ポート振替表!$M$5:$M$3507,$L2530)&amp;"")</f>
        <v/>
      </c>
      <c r="K2530" s="52" t="str">
        <f aca="false">IF(L2530="","",E2530&amp;CHAR(10)&amp;INDEX(ポート振替表!$K$5:$K$3507,$L2530)&amp;" "&amp;INDEX(ポート振替表!$L$5:$L$3507,$L2530)&amp;CHAR(10)&amp;"⇔ "&amp;INDEX(ポート振替表!$H$5:$H$3507,$L2530)&amp;" "&amp;INDEX(ポート振替表!$I$5:$I$3507,$L2530))</f>
        <v/>
      </c>
      <c r="L2530" s="47" t="str">
        <f aca="false">IFERROR(MATCH(ROW()-4,ポート振替表!$V$5:$V$3507,0),"")</f>
        <v/>
      </c>
    </row>
    <row r="2531" customFormat="false" ht="16.4" hidden="false" customHeight="false" outlineLevel="0" collapsed="false">
      <c r="A2531" s="32" t="str">
        <f aca="false">IF(L2531="","",ROW()-4)</f>
        <v/>
      </c>
      <c r="B2531" s="58" t="str">
        <f aca="false">IF(L2531="","",IF(INDEX(ポート振替表!$W$5:$W$3507,$L2531)="","(なし)",INDEX(ポート振替表!$W$5:$W$3507,$L2531)&amp;""))</f>
        <v/>
      </c>
      <c r="C2531" s="52" t="str">
        <f aca="false">IF(L2531="","",INDEX(ポート振替表!$B$5:$B$3507,$L2531)&amp;" "&amp;INDEX(ポート振替表!$C$5:$C$3507,$L2531)&amp;"  ⇔  "&amp;INDEX(ポート振替表!$H$5:$H$3507,$L2531)&amp;" "&amp;INDEX(ポート振替表!$I$5:$I$3507,$L2531))</f>
        <v/>
      </c>
      <c r="D2531" s="57" t="s">
        <v>158</v>
      </c>
      <c r="E2531" s="59" t="str">
        <f aca="false">IF(L2531="","",IF(INDEX(ポート振替表!$O$5:$O$3507,$L2531)="","(未設定)",INDEX(ポート振替表!$O$5:$O$3507,$L2531)&amp;""))</f>
        <v/>
      </c>
      <c r="F2531" s="52" t="str">
        <f aca="false">IF(L2531="","",INDEX(ポート振替表!$K$5:$K$3507,$L2531)&amp;" "&amp;INDEX(ポート振替表!$L$5:$L$3507,$L2531)&amp;"  ⇔  "&amp;INDEX(ポート振替表!$H$5:$H$3507,$L2531)&amp;" "&amp;INDEX(ポート振替表!$I$5:$I$3507,$L2531))</f>
        <v/>
      </c>
      <c r="G2531" s="57" t="s">
        <v>158</v>
      </c>
      <c r="H2531" s="32" t="str">
        <f aca="false">IF(L2531="","",INDEX(ポート振替表!$N$5:$N$3507,$L2531)&amp;"")</f>
        <v/>
      </c>
      <c r="I2531" s="32" t="str">
        <f aca="false">IF(L2531="","",INDEX(ポート振替表!$P$5:$P$3507,$L2531)&amp;"")</f>
        <v/>
      </c>
      <c r="J2531" s="60" t="str">
        <f aca="false">IF(L2531="","",INDEX(ポート振替表!$M$5:$M$3507,$L2531)&amp;"")</f>
        <v/>
      </c>
      <c r="K2531" s="52" t="str">
        <f aca="false">IF(L2531="","",E2531&amp;CHAR(10)&amp;INDEX(ポート振替表!$K$5:$K$3507,$L2531)&amp;" "&amp;INDEX(ポート振替表!$L$5:$L$3507,$L2531)&amp;CHAR(10)&amp;"⇔ "&amp;INDEX(ポート振替表!$H$5:$H$3507,$L2531)&amp;" "&amp;INDEX(ポート振替表!$I$5:$I$3507,$L2531))</f>
        <v/>
      </c>
      <c r="L2531" s="47" t="str">
        <f aca="false">IFERROR(MATCH(ROW()-4,ポート振替表!$V$5:$V$3507,0),"")</f>
        <v/>
      </c>
    </row>
    <row r="2532" customFormat="false" ht="16.4" hidden="false" customHeight="false" outlineLevel="0" collapsed="false">
      <c r="A2532" s="32" t="str">
        <f aca="false">IF(L2532="","",ROW()-4)</f>
        <v/>
      </c>
      <c r="B2532" s="58" t="str">
        <f aca="false">IF(L2532="","",IF(INDEX(ポート振替表!$W$5:$W$3507,$L2532)="","(なし)",INDEX(ポート振替表!$W$5:$W$3507,$L2532)&amp;""))</f>
        <v/>
      </c>
      <c r="C2532" s="52" t="str">
        <f aca="false">IF(L2532="","",INDEX(ポート振替表!$B$5:$B$3507,$L2532)&amp;" "&amp;INDEX(ポート振替表!$C$5:$C$3507,$L2532)&amp;"  ⇔  "&amp;INDEX(ポート振替表!$H$5:$H$3507,$L2532)&amp;" "&amp;INDEX(ポート振替表!$I$5:$I$3507,$L2532))</f>
        <v/>
      </c>
      <c r="D2532" s="57" t="s">
        <v>158</v>
      </c>
      <c r="E2532" s="59" t="str">
        <f aca="false">IF(L2532="","",IF(INDEX(ポート振替表!$O$5:$O$3507,$L2532)="","(未設定)",INDEX(ポート振替表!$O$5:$O$3507,$L2532)&amp;""))</f>
        <v/>
      </c>
      <c r="F2532" s="52" t="str">
        <f aca="false">IF(L2532="","",INDEX(ポート振替表!$K$5:$K$3507,$L2532)&amp;" "&amp;INDEX(ポート振替表!$L$5:$L$3507,$L2532)&amp;"  ⇔  "&amp;INDEX(ポート振替表!$H$5:$H$3507,$L2532)&amp;" "&amp;INDEX(ポート振替表!$I$5:$I$3507,$L2532))</f>
        <v/>
      </c>
      <c r="G2532" s="57" t="s">
        <v>158</v>
      </c>
      <c r="H2532" s="32" t="str">
        <f aca="false">IF(L2532="","",INDEX(ポート振替表!$N$5:$N$3507,$L2532)&amp;"")</f>
        <v/>
      </c>
      <c r="I2532" s="32" t="str">
        <f aca="false">IF(L2532="","",INDEX(ポート振替表!$P$5:$P$3507,$L2532)&amp;"")</f>
        <v/>
      </c>
      <c r="J2532" s="60" t="str">
        <f aca="false">IF(L2532="","",INDEX(ポート振替表!$M$5:$M$3507,$L2532)&amp;"")</f>
        <v/>
      </c>
      <c r="K2532" s="52" t="str">
        <f aca="false">IF(L2532="","",E2532&amp;CHAR(10)&amp;INDEX(ポート振替表!$K$5:$K$3507,$L2532)&amp;" "&amp;INDEX(ポート振替表!$L$5:$L$3507,$L2532)&amp;CHAR(10)&amp;"⇔ "&amp;INDEX(ポート振替表!$H$5:$H$3507,$L2532)&amp;" "&amp;INDEX(ポート振替表!$I$5:$I$3507,$L2532))</f>
        <v/>
      </c>
      <c r="L2532" s="47" t="str">
        <f aca="false">IFERROR(MATCH(ROW()-4,ポート振替表!$V$5:$V$3507,0),"")</f>
        <v/>
      </c>
    </row>
    <row r="2533" customFormat="false" ht="16.4" hidden="false" customHeight="false" outlineLevel="0" collapsed="false">
      <c r="A2533" s="32" t="str">
        <f aca="false">IF(L2533="","",ROW()-4)</f>
        <v/>
      </c>
      <c r="B2533" s="58" t="str">
        <f aca="false">IF(L2533="","",IF(INDEX(ポート振替表!$W$5:$W$3507,$L2533)="","(なし)",INDEX(ポート振替表!$W$5:$W$3507,$L2533)&amp;""))</f>
        <v/>
      </c>
      <c r="C2533" s="52" t="str">
        <f aca="false">IF(L2533="","",INDEX(ポート振替表!$B$5:$B$3507,$L2533)&amp;" "&amp;INDEX(ポート振替表!$C$5:$C$3507,$L2533)&amp;"  ⇔  "&amp;INDEX(ポート振替表!$H$5:$H$3507,$L2533)&amp;" "&amp;INDEX(ポート振替表!$I$5:$I$3507,$L2533))</f>
        <v/>
      </c>
      <c r="D2533" s="57" t="s">
        <v>158</v>
      </c>
      <c r="E2533" s="59" t="str">
        <f aca="false">IF(L2533="","",IF(INDEX(ポート振替表!$O$5:$O$3507,$L2533)="","(未設定)",INDEX(ポート振替表!$O$5:$O$3507,$L2533)&amp;""))</f>
        <v/>
      </c>
      <c r="F2533" s="52" t="str">
        <f aca="false">IF(L2533="","",INDEX(ポート振替表!$K$5:$K$3507,$L2533)&amp;" "&amp;INDEX(ポート振替表!$L$5:$L$3507,$L2533)&amp;"  ⇔  "&amp;INDEX(ポート振替表!$H$5:$H$3507,$L2533)&amp;" "&amp;INDEX(ポート振替表!$I$5:$I$3507,$L2533))</f>
        <v/>
      </c>
      <c r="G2533" s="57" t="s">
        <v>158</v>
      </c>
      <c r="H2533" s="32" t="str">
        <f aca="false">IF(L2533="","",INDEX(ポート振替表!$N$5:$N$3507,$L2533)&amp;"")</f>
        <v/>
      </c>
      <c r="I2533" s="32" t="str">
        <f aca="false">IF(L2533="","",INDEX(ポート振替表!$P$5:$P$3507,$L2533)&amp;"")</f>
        <v/>
      </c>
      <c r="J2533" s="60" t="str">
        <f aca="false">IF(L2533="","",INDEX(ポート振替表!$M$5:$M$3507,$L2533)&amp;"")</f>
        <v/>
      </c>
      <c r="K2533" s="52" t="str">
        <f aca="false">IF(L2533="","",E2533&amp;CHAR(10)&amp;INDEX(ポート振替表!$K$5:$K$3507,$L2533)&amp;" "&amp;INDEX(ポート振替表!$L$5:$L$3507,$L2533)&amp;CHAR(10)&amp;"⇔ "&amp;INDEX(ポート振替表!$H$5:$H$3507,$L2533)&amp;" "&amp;INDEX(ポート振替表!$I$5:$I$3507,$L2533))</f>
        <v/>
      </c>
      <c r="L2533" s="47" t="str">
        <f aca="false">IFERROR(MATCH(ROW()-4,ポート振替表!$V$5:$V$3507,0),"")</f>
        <v/>
      </c>
    </row>
    <row r="2534" customFormat="false" ht="16.4" hidden="false" customHeight="false" outlineLevel="0" collapsed="false">
      <c r="A2534" s="32" t="str">
        <f aca="false">IF(L2534="","",ROW()-4)</f>
        <v/>
      </c>
      <c r="B2534" s="58" t="str">
        <f aca="false">IF(L2534="","",IF(INDEX(ポート振替表!$W$5:$W$3507,$L2534)="","(なし)",INDEX(ポート振替表!$W$5:$W$3507,$L2534)&amp;""))</f>
        <v/>
      </c>
      <c r="C2534" s="52" t="str">
        <f aca="false">IF(L2534="","",INDEX(ポート振替表!$B$5:$B$3507,$L2534)&amp;" "&amp;INDEX(ポート振替表!$C$5:$C$3507,$L2534)&amp;"  ⇔  "&amp;INDEX(ポート振替表!$H$5:$H$3507,$L2534)&amp;" "&amp;INDEX(ポート振替表!$I$5:$I$3507,$L2534))</f>
        <v/>
      </c>
      <c r="D2534" s="57" t="s">
        <v>158</v>
      </c>
      <c r="E2534" s="59" t="str">
        <f aca="false">IF(L2534="","",IF(INDEX(ポート振替表!$O$5:$O$3507,$L2534)="","(未設定)",INDEX(ポート振替表!$O$5:$O$3507,$L2534)&amp;""))</f>
        <v/>
      </c>
      <c r="F2534" s="52" t="str">
        <f aca="false">IF(L2534="","",INDEX(ポート振替表!$K$5:$K$3507,$L2534)&amp;" "&amp;INDEX(ポート振替表!$L$5:$L$3507,$L2534)&amp;"  ⇔  "&amp;INDEX(ポート振替表!$H$5:$H$3507,$L2534)&amp;" "&amp;INDEX(ポート振替表!$I$5:$I$3507,$L2534))</f>
        <v/>
      </c>
      <c r="G2534" s="57" t="s">
        <v>158</v>
      </c>
      <c r="H2534" s="32" t="str">
        <f aca="false">IF(L2534="","",INDEX(ポート振替表!$N$5:$N$3507,$L2534)&amp;"")</f>
        <v/>
      </c>
      <c r="I2534" s="32" t="str">
        <f aca="false">IF(L2534="","",INDEX(ポート振替表!$P$5:$P$3507,$L2534)&amp;"")</f>
        <v/>
      </c>
      <c r="J2534" s="60" t="str">
        <f aca="false">IF(L2534="","",INDEX(ポート振替表!$M$5:$M$3507,$L2534)&amp;"")</f>
        <v/>
      </c>
      <c r="K2534" s="52" t="str">
        <f aca="false">IF(L2534="","",E2534&amp;CHAR(10)&amp;INDEX(ポート振替表!$K$5:$K$3507,$L2534)&amp;" "&amp;INDEX(ポート振替表!$L$5:$L$3507,$L2534)&amp;CHAR(10)&amp;"⇔ "&amp;INDEX(ポート振替表!$H$5:$H$3507,$L2534)&amp;" "&amp;INDEX(ポート振替表!$I$5:$I$3507,$L2534))</f>
        <v/>
      </c>
      <c r="L2534" s="47" t="str">
        <f aca="false">IFERROR(MATCH(ROW()-4,ポート振替表!$V$5:$V$3507,0),"")</f>
        <v/>
      </c>
    </row>
    <row r="2535" customFormat="false" ht="16.4" hidden="false" customHeight="false" outlineLevel="0" collapsed="false">
      <c r="A2535" s="32" t="str">
        <f aca="false">IF(L2535="","",ROW()-4)</f>
        <v/>
      </c>
      <c r="B2535" s="58" t="str">
        <f aca="false">IF(L2535="","",IF(INDEX(ポート振替表!$W$5:$W$3507,$L2535)="","(なし)",INDEX(ポート振替表!$W$5:$W$3507,$L2535)&amp;""))</f>
        <v/>
      </c>
      <c r="C2535" s="52" t="str">
        <f aca="false">IF(L2535="","",INDEX(ポート振替表!$B$5:$B$3507,$L2535)&amp;" "&amp;INDEX(ポート振替表!$C$5:$C$3507,$L2535)&amp;"  ⇔  "&amp;INDEX(ポート振替表!$H$5:$H$3507,$L2535)&amp;" "&amp;INDEX(ポート振替表!$I$5:$I$3507,$L2535))</f>
        <v/>
      </c>
      <c r="D2535" s="57" t="s">
        <v>158</v>
      </c>
      <c r="E2535" s="59" t="str">
        <f aca="false">IF(L2535="","",IF(INDEX(ポート振替表!$O$5:$O$3507,$L2535)="","(未設定)",INDEX(ポート振替表!$O$5:$O$3507,$L2535)&amp;""))</f>
        <v/>
      </c>
      <c r="F2535" s="52" t="str">
        <f aca="false">IF(L2535="","",INDEX(ポート振替表!$K$5:$K$3507,$L2535)&amp;" "&amp;INDEX(ポート振替表!$L$5:$L$3507,$L2535)&amp;"  ⇔  "&amp;INDEX(ポート振替表!$H$5:$H$3507,$L2535)&amp;" "&amp;INDEX(ポート振替表!$I$5:$I$3507,$L2535))</f>
        <v/>
      </c>
      <c r="G2535" s="57" t="s">
        <v>158</v>
      </c>
      <c r="H2535" s="32" t="str">
        <f aca="false">IF(L2535="","",INDEX(ポート振替表!$N$5:$N$3507,$L2535)&amp;"")</f>
        <v/>
      </c>
      <c r="I2535" s="32" t="str">
        <f aca="false">IF(L2535="","",INDEX(ポート振替表!$P$5:$P$3507,$L2535)&amp;"")</f>
        <v/>
      </c>
      <c r="J2535" s="60" t="str">
        <f aca="false">IF(L2535="","",INDEX(ポート振替表!$M$5:$M$3507,$L2535)&amp;"")</f>
        <v/>
      </c>
      <c r="K2535" s="52" t="str">
        <f aca="false">IF(L2535="","",E2535&amp;CHAR(10)&amp;INDEX(ポート振替表!$K$5:$K$3507,$L2535)&amp;" "&amp;INDEX(ポート振替表!$L$5:$L$3507,$L2535)&amp;CHAR(10)&amp;"⇔ "&amp;INDEX(ポート振替表!$H$5:$H$3507,$L2535)&amp;" "&amp;INDEX(ポート振替表!$I$5:$I$3507,$L2535))</f>
        <v/>
      </c>
      <c r="L2535" s="47" t="str">
        <f aca="false">IFERROR(MATCH(ROW()-4,ポート振替表!$V$5:$V$3507,0),"")</f>
        <v/>
      </c>
    </row>
    <row r="2536" customFormat="false" ht="16.4" hidden="false" customHeight="false" outlineLevel="0" collapsed="false">
      <c r="A2536" s="32" t="str">
        <f aca="false">IF(L2536="","",ROW()-4)</f>
        <v/>
      </c>
      <c r="B2536" s="58" t="str">
        <f aca="false">IF(L2536="","",IF(INDEX(ポート振替表!$W$5:$W$3507,$L2536)="","(なし)",INDEX(ポート振替表!$W$5:$W$3507,$L2536)&amp;""))</f>
        <v/>
      </c>
      <c r="C2536" s="52" t="str">
        <f aca="false">IF(L2536="","",INDEX(ポート振替表!$B$5:$B$3507,$L2536)&amp;" "&amp;INDEX(ポート振替表!$C$5:$C$3507,$L2536)&amp;"  ⇔  "&amp;INDEX(ポート振替表!$H$5:$H$3507,$L2536)&amp;" "&amp;INDEX(ポート振替表!$I$5:$I$3507,$L2536))</f>
        <v/>
      </c>
      <c r="D2536" s="57" t="s">
        <v>158</v>
      </c>
      <c r="E2536" s="59" t="str">
        <f aca="false">IF(L2536="","",IF(INDEX(ポート振替表!$O$5:$O$3507,$L2536)="","(未設定)",INDEX(ポート振替表!$O$5:$O$3507,$L2536)&amp;""))</f>
        <v/>
      </c>
      <c r="F2536" s="52" t="str">
        <f aca="false">IF(L2536="","",INDEX(ポート振替表!$K$5:$K$3507,$L2536)&amp;" "&amp;INDEX(ポート振替表!$L$5:$L$3507,$L2536)&amp;"  ⇔  "&amp;INDEX(ポート振替表!$H$5:$H$3507,$L2536)&amp;" "&amp;INDEX(ポート振替表!$I$5:$I$3507,$L2536))</f>
        <v/>
      </c>
      <c r="G2536" s="57" t="s">
        <v>158</v>
      </c>
      <c r="H2536" s="32" t="str">
        <f aca="false">IF(L2536="","",INDEX(ポート振替表!$N$5:$N$3507,$L2536)&amp;"")</f>
        <v/>
      </c>
      <c r="I2536" s="32" t="str">
        <f aca="false">IF(L2536="","",INDEX(ポート振替表!$P$5:$P$3507,$L2536)&amp;"")</f>
        <v/>
      </c>
      <c r="J2536" s="60" t="str">
        <f aca="false">IF(L2536="","",INDEX(ポート振替表!$M$5:$M$3507,$L2536)&amp;"")</f>
        <v/>
      </c>
      <c r="K2536" s="52" t="str">
        <f aca="false">IF(L2536="","",E2536&amp;CHAR(10)&amp;INDEX(ポート振替表!$K$5:$K$3507,$L2536)&amp;" "&amp;INDEX(ポート振替表!$L$5:$L$3507,$L2536)&amp;CHAR(10)&amp;"⇔ "&amp;INDEX(ポート振替表!$H$5:$H$3507,$L2536)&amp;" "&amp;INDEX(ポート振替表!$I$5:$I$3507,$L2536))</f>
        <v/>
      </c>
      <c r="L2536" s="47" t="str">
        <f aca="false">IFERROR(MATCH(ROW()-4,ポート振替表!$V$5:$V$3507,0),"")</f>
        <v/>
      </c>
    </row>
    <row r="2537" customFormat="false" ht="16.4" hidden="false" customHeight="false" outlineLevel="0" collapsed="false">
      <c r="A2537" s="32" t="str">
        <f aca="false">IF(L2537="","",ROW()-4)</f>
        <v/>
      </c>
      <c r="B2537" s="58" t="str">
        <f aca="false">IF(L2537="","",IF(INDEX(ポート振替表!$W$5:$W$3507,$L2537)="","(なし)",INDEX(ポート振替表!$W$5:$W$3507,$L2537)&amp;""))</f>
        <v/>
      </c>
      <c r="C2537" s="52" t="str">
        <f aca="false">IF(L2537="","",INDEX(ポート振替表!$B$5:$B$3507,$L2537)&amp;" "&amp;INDEX(ポート振替表!$C$5:$C$3507,$L2537)&amp;"  ⇔  "&amp;INDEX(ポート振替表!$H$5:$H$3507,$L2537)&amp;" "&amp;INDEX(ポート振替表!$I$5:$I$3507,$L2537))</f>
        <v/>
      </c>
      <c r="D2537" s="57" t="s">
        <v>158</v>
      </c>
      <c r="E2537" s="59" t="str">
        <f aca="false">IF(L2537="","",IF(INDEX(ポート振替表!$O$5:$O$3507,$L2537)="","(未設定)",INDEX(ポート振替表!$O$5:$O$3507,$L2537)&amp;""))</f>
        <v/>
      </c>
      <c r="F2537" s="52" t="str">
        <f aca="false">IF(L2537="","",INDEX(ポート振替表!$K$5:$K$3507,$L2537)&amp;" "&amp;INDEX(ポート振替表!$L$5:$L$3507,$L2537)&amp;"  ⇔  "&amp;INDEX(ポート振替表!$H$5:$H$3507,$L2537)&amp;" "&amp;INDEX(ポート振替表!$I$5:$I$3507,$L2537))</f>
        <v/>
      </c>
      <c r="G2537" s="57" t="s">
        <v>158</v>
      </c>
      <c r="H2537" s="32" t="str">
        <f aca="false">IF(L2537="","",INDEX(ポート振替表!$N$5:$N$3507,$L2537)&amp;"")</f>
        <v/>
      </c>
      <c r="I2537" s="32" t="str">
        <f aca="false">IF(L2537="","",INDEX(ポート振替表!$P$5:$P$3507,$L2537)&amp;"")</f>
        <v/>
      </c>
      <c r="J2537" s="60" t="str">
        <f aca="false">IF(L2537="","",INDEX(ポート振替表!$M$5:$M$3507,$L2537)&amp;"")</f>
        <v/>
      </c>
      <c r="K2537" s="52" t="str">
        <f aca="false">IF(L2537="","",E2537&amp;CHAR(10)&amp;INDEX(ポート振替表!$K$5:$K$3507,$L2537)&amp;" "&amp;INDEX(ポート振替表!$L$5:$L$3507,$L2537)&amp;CHAR(10)&amp;"⇔ "&amp;INDEX(ポート振替表!$H$5:$H$3507,$L2537)&amp;" "&amp;INDEX(ポート振替表!$I$5:$I$3507,$L2537))</f>
        <v/>
      </c>
      <c r="L2537" s="47" t="str">
        <f aca="false">IFERROR(MATCH(ROW()-4,ポート振替表!$V$5:$V$3507,0),"")</f>
        <v/>
      </c>
    </row>
    <row r="2538" customFormat="false" ht="16.4" hidden="false" customHeight="false" outlineLevel="0" collapsed="false">
      <c r="A2538" s="32" t="str">
        <f aca="false">IF(L2538="","",ROW()-4)</f>
        <v/>
      </c>
      <c r="B2538" s="58" t="str">
        <f aca="false">IF(L2538="","",IF(INDEX(ポート振替表!$W$5:$W$3507,$L2538)="","(なし)",INDEX(ポート振替表!$W$5:$W$3507,$L2538)&amp;""))</f>
        <v/>
      </c>
      <c r="C2538" s="52" t="str">
        <f aca="false">IF(L2538="","",INDEX(ポート振替表!$B$5:$B$3507,$L2538)&amp;" "&amp;INDEX(ポート振替表!$C$5:$C$3507,$L2538)&amp;"  ⇔  "&amp;INDEX(ポート振替表!$H$5:$H$3507,$L2538)&amp;" "&amp;INDEX(ポート振替表!$I$5:$I$3507,$L2538))</f>
        <v/>
      </c>
      <c r="D2538" s="57" t="s">
        <v>158</v>
      </c>
      <c r="E2538" s="59" t="str">
        <f aca="false">IF(L2538="","",IF(INDEX(ポート振替表!$O$5:$O$3507,$L2538)="","(未設定)",INDEX(ポート振替表!$O$5:$O$3507,$L2538)&amp;""))</f>
        <v/>
      </c>
      <c r="F2538" s="52" t="str">
        <f aca="false">IF(L2538="","",INDEX(ポート振替表!$K$5:$K$3507,$L2538)&amp;" "&amp;INDEX(ポート振替表!$L$5:$L$3507,$L2538)&amp;"  ⇔  "&amp;INDEX(ポート振替表!$H$5:$H$3507,$L2538)&amp;" "&amp;INDEX(ポート振替表!$I$5:$I$3507,$L2538))</f>
        <v/>
      </c>
      <c r="G2538" s="57" t="s">
        <v>158</v>
      </c>
      <c r="H2538" s="32" t="str">
        <f aca="false">IF(L2538="","",INDEX(ポート振替表!$N$5:$N$3507,$L2538)&amp;"")</f>
        <v/>
      </c>
      <c r="I2538" s="32" t="str">
        <f aca="false">IF(L2538="","",INDEX(ポート振替表!$P$5:$P$3507,$L2538)&amp;"")</f>
        <v/>
      </c>
      <c r="J2538" s="60" t="str">
        <f aca="false">IF(L2538="","",INDEX(ポート振替表!$M$5:$M$3507,$L2538)&amp;"")</f>
        <v/>
      </c>
      <c r="K2538" s="52" t="str">
        <f aca="false">IF(L2538="","",E2538&amp;CHAR(10)&amp;INDEX(ポート振替表!$K$5:$K$3507,$L2538)&amp;" "&amp;INDEX(ポート振替表!$L$5:$L$3507,$L2538)&amp;CHAR(10)&amp;"⇔ "&amp;INDEX(ポート振替表!$H$5:$H$3507,$L2538)&amp;" "&amp;INDEX(ポート振替表!$I$5:$I$3507,$L2538))</f>
        <v/>
      </c>
      <c r="L2538" s="47" t="str">
        <f aca="false">IFERROR(MATCH(ROW()-4,ポート振替表!$V$5:$V$3507,0),"")</f>
        <v/>
      </c>
    </row>
    <row r="2539" customFormat="false" ht="16.4" hidden="false" customHeight="false" outlineLevel="0" collapsed="false">
      <c r="A2539" s="32" t="str">
        <f aca="false">IF(L2539="","",ROW()-4)</f>
        <v/>
      </c>
      <c r="B2539" s="58" t="str">
        <f aca="false">IF(L2539="","",IF(INDEX(ポート振替表!$W$5:$W$3507,$L2539)="","(なし)",INDEX(ポート振替表!$W$5:$W$3507,$L2539)&amp;""))</f>
        <v/>
      </c>
      <c r="C2539" s="52" t="str">
        <f aca="false">IF(L2539="","",INDEX(ポート振替表!$B$5:$B$3507,$L2539)&amp;" "&amp;INDEX(ポート振替表!$C$5:$C$3507,$L2539)&amp;"  ⇔  "&amp;INDEX(ポート振替表!$H$5:$H$3507,$L2539)&amp;" "&amp;INDEX(ポート振替表!$I$5:$I$3507,$L2539))</f>
        <v/>
      </c>
      <c r="D2539" s="57" t="s">
        <v>158</v>
      </c>
      <c r="E2539" s="59" t="str">
        <f aca="false">IF(L2539="","",IF(INDEX(ポート振替表!$O$5:$O$3507,$L2539)="","(未設定)",INDEX(ポート振替表!$O$5:$O$3507,$L2539)&amp;""))</f>
        <v/>
      </c>
      <c r="F2539" s="52" t="str">
        <f aca="false">IF(L2539="","",INDEX(ポート振替表!$K$5:$K$3507,$L2539)&amp;" "&amp;INDEX(ポート振替表!$L$5:$L$3507,$L2539)&amp;"  ⇔  "&amp;INDEX(ポート振替表!$H$5:$H$3507,$L2539)&amp;" "&amp;INDEX(ポート振替表!$I$5:$I$3507,$L2539))</f>
        <v/>
      </c>
      <c r="G2539" s="57" t="s">
        <v>158</v>
      </c>
      <c r="H2539" s="32" t="str">
        <f aca="false">IF(L2539="","",INDEX(ポート振替表!$N$5:$N$3507,$L2539)&amp;"")</f>
        <v/>
      </c>
      <c r="I2539" s="32" t="str">
        <f aca="false">IF(L2539="","",INDEX(ポート振替表!$P$5:$P$3507,$L2539)&amp;"")</f>
        <v/>
      </c>
      <c r="J2539" s="60" t="str">
        <f aca="false">IF(L2539="","",INDEX(ポート振替表!$M$5:$M$3507,$L2539)&amp;"")</f>
        <v/>
      </c>
      <c r="K2539" s="52" t="str">
        <f aca="false">IF(L2539="","",E2539&amp;CHAR(10)&amp;INDEX(ポート振替表!$K$5:$K$3507,$L2539)&amp;" "&amp;INDEX(ポート振替表!$L$5:$L$3507,$L2539)&amp;CHAR(10)&amp;"⇔ "&amp;INDEX(ポート振替表!$H$5:$H$3507,$L2539)&amp;" "&amp;INDEX(ポート振替表!$I$5:$I$3507,$L2539))</f>
        <v/>
      </c>
      <c r="L2539" s="47" t="str">
        <f aca="false">IFERROR(MATCH(ROW()-4,ポート振替表!$V$5:$V$3507,0),"")</f>
        <v/>
      </c>
    </row>
    <row r="2540" customFormat="false" ht="16.4" hidden="false" customHeight="false" outlineLevel="0" collapsed="false">
      <c r="A2540" s="32" t="str">
        <f aca="false">IF(L2540="","",ROW()-4)</f>
        <v/>
      </c>
      <c r="B2540" s="58" t="str">
        <f aca="false">IF(L2540="","",IF(INDEX(ポート振替表!$W$5:$W$3507,$L2540)="","(なし)",INDEX(ポート振替表!$W$5:$W$3507,$L2540)&amp;""))</f>
        <v/>
      </c>
      <c r="C2540" s="52" t="str">
        <f aca="false">IF(L2540="","",INDEX(ポート振替表!$B$5:$B$3507,$L2540)&amp;" "&amp;INDEX(ポート振替表!$C$5:$C$3507,$L2540)&amp;"  ⇔  "&amp;INDEX(ポート振替表!$H$5:$H$3507,$L2540)&amp;" "&amp;INDEX(ポート振替表!$I$5:$I$3507,$L2540))</f>
        <v/>
      </c>
      <c r="D2540" s="57" t="s">
        <v>158</v>
      </c>
      <c r="E2540" s="59" t="str">
        <f aca="false">IF(L2540="","",IF(INDEX(ポート振替表!$O$5:$O$3507,$L2540)="","(未設定)",INDEX(ポート振替表!$O$5:$O$3507,$L2540)&amp;""))</f>
        <v/>
      </c>
      <c r="F2540" s="52" t="str">
        <f aca="false">IF(L2540="","",INDEX(ポート振替表!$K$5:$K$3507,$L2540)&amp;" "&amp;INDEX(ポート振替表!$L$5:$L$3507,$L2540)&amp;"  ⇔  "&amp;INDEX(ポート振替表!$H$5:$H$3507,$L2540)&amp;" "&amp;INDEX(ポート振替表!$I$5:$I$3507,$L2540))</f>
        <v/>
      </c>
      <c r="G2540" s="57" t="s">
        <v>158</v>
      </c>
      <c r="H2540" s="32" t="str">
        <f aca="false">IF(L2540="","",INDEX(ポート振替表!$N$5:$N$3507,$L2540)&amp;"")</f>
        <v/>
      </c>
      <c r="I2540" s="32" t="str">
        <f aca="false">IF(L2540="","",INDEX(ポート振替表!$P$5:$P$3507,$L2540)&amp;"")</f>
        <v/>
      </c>
      <c r="J2540" s="60" t="str">
        <f aca="false">IF(L2540="","",INDEX(ポート振替表!$M$5:$M$3507,$L2540)&amp;"")</f>
        <v/>
      </c>
      <c r="K2540" s="52" t="str">
        <f aca="false">IF(L2540="","",E2540&amp;CHAR(10)&amp;INDEX(ポート振替表!$K$5:$K$3507,$L2540)&amp;" "&amp;INDEX(ポート振替表!$L$5:$L$3507,$L2540)&amp;CHAR(10)&amp;"⇔ "&amp;INDEX(ポート振替表!$H$5:$H$3507,$L2540)&amp;" "&amp;INDEX(ポート振替表!$I$5:$I$3507,$L2540))</f>
        <v/>
      </c>
      <c r="L2540" s="47" t="str">
        <f aca="false">IFERROR(MATCH(ROW()-4,ポート振替表!$V$5:$V$3507,0),"")</f>
        <v/>
      </c>
    </row>
    <row r="2541" customFormat="false" ht="16.4" hidden="false" customHeight="false" outlineLevel="0" collapsed="false">
      <c r="A2541" s="32" t="str">
        <f aca="false">IF(L2541="","",ROW()-4)</f>
        <v/>
      </c>
      <c r="B2541" s="58" t="str">
        <f aca="false">IF(L2541="","",IF(INDEX(ポート振替表!$W$5:$W$3507,$L2541)="","(なし)",INDEX(ポート振替表!$W$5:$W$3507,$L2541)&amp;""))</f>
        <v/>
      </c>
      <c r="C2541" s="52" t="str">
        <f aca="false">IF(L2541="","",INDEX(ポート振替表!$B$5:$B$3507,$L2541)&amp;" "&amp;INDEX(ポート振替表!$C$5:$C$3507,$L2541)&amp;"  ⇔  "&amp;INDEX(ポート振替表!$H$5:$H$3507,$L2541)&amp;" "&amp;INDEX(ポート振替表!$I$5:$I$3507,$L2541))</f>
        <v/>
      </c>
      <c r="D2541" s="57" t="s">
        <v>158</v>
      </c>
      <c r="E2541" s="59" t="str">
        <f aca="false">IF(L2541="","",IF(INDEX(ポート振替表!$O$5:$O$3507,$L2541)="","(未設定)",INDEX(ポート振替表!$O$5:$O$3507,$L2541)&amp;""))</f>
        <v/>
      </c>
      <c r="F2541" s="52" t="str">
        <f aca="false">IF(L2541="","",INDEX(ポート振替表!$K$5:$K$3507,$L2541)&amp;" "&amp;INDEX(ポート振替表!$L$5:$L$3507,$L2541)&amp;"  ⇔  "&amp;INDEX(ポート振替表!$H$5:$H$3507,$L2541)&amp;" "&amp;INDEX(ポート振替表!$I$5:$I$3507,$L2541))</f>
        <v/>
      </c>
      <c r="G2541" s="57" t="s">
        <v>158</v>
      </c>
      <c r="H2541" s="32" t="str">
        <f aca="false">IF(L2541="","",INDEX(ポート振替表!$N$5:$N$3507,$L2541)&amp;"")</f>
        <v/>
      </c>
      <c r="I2541" s="32" t="str">
        <f aca="false">IF(L2541="","",INDEX(ポート振替表!$P$5:$P$3507,$L2541)&amp;"")</f>
        <v/>
      </c>
      <c r="J2541" s="60" t="str">
        <f aca="false">IF(L2541="","",INDEX(ポート振替表!$M$5:$M$3507,$L2541)&amp;"")</f>
        <v/>
      </c>
      <c r="K2541" s="52" t="str">
        <f aca="false">IF(L2541="","",E2541&amp;CHAR(10)&amp;INDEX(ポート振替表!$K$5:$K$3507,$L2541)&amp;" "&amp;INDEX(ポート振替表!$L$5:$L$3507,$L2541)&amp;CHAR(10)&amp;"⇔ "&amp;INDEX(ポート振替表!$H$5:$H$3507,$L2541)&amp;" "&amp;INDEX(ポート振替表!$I$5:$I$3507,$L2541))</f>
        <v/>
      </c>
      <c r="L2541" s="47" t="str">
        <f aca="false">IFERROR(MATCH(ROW()-4,ポート振替表!$V$5:$V$3507,0),"")</f>
        <v/>
      </c>
    </row>
    <row r="2542" customFormat="false" ht="16.4" hidden="false" customHeight="false" outlineLevel="0" collapsed="false">
      <c r="A2542" s="32" t="str">
        <f aca="false">IF(L2542="","",ROW()-4)</f>
        <v/>
      </c>
      <c r="B2542" s="58" t="str">
        <f aca="false">IF(L2542="","",IF(INDEX(ポート振替表!$W$5:$W$3507,$L2542)="","(なし)",INDEX(ポート振替表!$W$5:$W$3507,$L2542)&amp;""))</f>
        <v/>
      </c>
      <c r="C2542" s="52" t="str">
        <f aca="false">IF(L2542="","",INDEX(ポート振替表!$B$5:$B$3507,$L2542)&amp;" "&amp;INDEX(ポート振替表!$C$5:$C$3507,$L2542)&amp;"  ⇔  "&amp;INDEX(ポート振替表!$H$5:$H$3507,$L2542)&amp;" "&amp;INDEX(ポート振替表!$I$5:$I$3507,$L2542))</f>
        <v/>
      </c>
      <c r="D2542" s="57" t="s">
        <v>158</v>
      </c>
      <c r="E2542" s="59" t="str">
        <f aca="false">IF(L2542="","",IF(INDEX(ポート振替表!$O$5:$O$3507,$L2542)="","(未設定)",INDEX(ポート振替表!$O$5:$O$3507,$L2542)&amp;""))</f>
        <v/>
      </c>
      <c r="F2542" s="52" t="str">
        <f aca="false">IF(L2542="","",INDEX(ポート振替表!$K$5:$K$3507,$L2542)&amp;" "&amp;INDEX(ポート振替表!$L$5:$L$3507,$L2542)&amp;"  ⇔  "&amp;INDEX(ポート振替表!$H$5:$H$3507,$L2542)&amp;" "&amp;INDEX(ポート振替表!$I$5:$I$3507,$L2542))</f>
        <v/>
      </c>
      <c r="G2542" s="57" t="s">
        <v>158</v>
      </c>
      <c r="H2542" s="32" t="str">
        <f aca="false">IF(L2542="","",INDEX(ポート振替表!$N$5:$N$3507,$L2542)&amp;"")</f>
        <v/>
      </c>
      <c r="I2542" s="32" t="str">
        <f aca="false">IF(L2542="","",INDEX(ポート振替表!$P$5:$P$3507,$L2542)&amp;"")</f>
        <v/>
      </c>
      <c r="J2542" s="60" t="str">
        <f aca="false">IF(L2542="","",INDEX(ポート振替表!$M$5:$M$3507,$L2542)&amp;"")</f>
        <v/>
      </c>
      <c r="K2542" s="52" t="str">
        <f aca="false">IF(L2542="","",E2542&amp;CHAR(10)&amp;INDEX(ポート振替表!$K$5:$K$3507,$L2542)&amp;" "&amp;INDEX(ポート振替表!$L$5:$L$3507,$L2542)&amp;CHAR(10)&amp;"⇔ "&amp;INDEX(ポート振替表!$H$5:$H$3507,$L2542)&amp;" "&amp;INDEX(ポート振替表!$I$5:$I$3507,$L2542))</f>
        <v/>
      </c>
      <c r="L2542" s="47" t="str">
        <f aca="false">IFERROR(MATCH(ROW()-4,ポート振替表!$V$5:$V$3507,0),"")</f>
        <v/>
      </c>
    </row>
    <row r="2543" customFormat="false" ht="16.4" hidden="false" customHeight="false" outlineLevel="0" collapsed="false">
      <c r="A2543" s="32" t="str">
        <f aca="false">IF(L2543="","",ROW()-4)</f>
        <v/>
      </c>
      <c r="B2543" s="58" t="str">
        <f aca="false">IF(L2543="","",IF(INDEX(ポート振替表!$W$5:$W$3507,$L2543)="","(なし)",INDEX(ポート振替表!$W$5:$W$3507,$L2543)&amp;""))</f>
        <v/>
      </c>
      <c r="C2543" s="52" t="str">
        <f aca="false">IF(L2543="","",INDEX(ポート振替表!$B$5:$B$3507,$L2543)&amp;" "&amp;INDEX(ポート振替表!$C$5:$C$3507,$L2543)&amp;"  ⇔  "&amp;INDEX(ポート振替表!$H$5:$H$3507,$L2543)&amp;" "&amp;INDEX(ポート振替表!$I$5:$I$3507,$L2543))</f>
        <v/>
      </c>
      <c r="D2543" s="57" t="s">
        <v>158</v>
      </c>
      <c r="E2543" s="59" t="str">
        <f aca="false">IF(L2543="","",IF(INDEX(ポート振替表!$O$5:$O$3507,$L2543)="","(未設定)",INDEX(ポート振替表!$O$5:$O$3507,$L2543)&amp;""))</f>
        <v/>
      </c>
      <c r="F2543" s="52" t="str">
        <f aca="false">IF(L2543="","",INDEX(ポート振替表!$K$5:$K$3507,$L2543)&amp;" "&amp;INDEX(ポート振替表!$L$5:$L$3507,$L2543)&amp;"  ⇔  "&amp;INDEX(ポート振替表!$H$5:$H$3507,$L2543)&amp;" "&amp;INDEX(ポート振替表!$I$5:$I$3507,$L2543))</f>
        <v/>
      </c>
      <c r="G2543" s="57" t="s">
        <v>158</v>
      </c>
      <c r="H2543" s="32" t="str">
        <f aca="false">IF(L2543="","",INDEX(ポート振替表!$N$5:$N$3507,$L2543)&amp;"")</f>
        <v/>
      </c>
      <c r="I2543" s="32" t="str">
        <f aca="false">IF(L2543="","",INDEX(ポート振替表!$P$5:$P$3507,$L2543)&amp;"")</f>
        <v/>
      </c>
      <c r="J2543" s="60" t="str">
        <f aca="false">IF(L2543="","",INDEX(ポート振替表!$M$5:$M$3507,$L2543)&amp;"")</f>
        <v/>
      </c>
      <c r="K2543" s="52" t="str">
        <f aca="false">IF(L2543="","",E2543&amp;CHAR(10)&amp;INDEX(ポート振替表!$K$5:$K$3507,$L2543)&amp;" "&amp;INDEX(ポート振替表!$L$5:$L$3507,$L2543)&amp;CHAR(10)&amp;"⇔ "&amp;INDEX(ポート振替表!$H$5:$H$3507,$L2543)&amp;" "&amp;INDEX(ポート振替表!$I$5:$I$3507,$L2543))</f>
        <v/>
      </c>
      <c r="L2543" s="47" t="str">
        <f aca="false">IFERROR(MATCH(ROW()-4,ポート振替表!$V$5:$V$3507,0),"")</f>
        <v/>
      </c>
    </row>
    <row r="2544" customFormat="false" ht="16.4" hidden="false" customHeight="false" outlineLevel="0" collapsed="false">
      <c r="A2544" s="32" t="str">
        <f aca="false">IF(L2544="","",ROW()-4)</f>
        <v/>
      </c>
      <c r="B2544" s="58" t="str">
        <f aca="false">IF(L2544="","",IF(INDEX(ポート振替表!$W$5:$W$3507,$L2544)="","(なし)",INDEX(ポート振替表!$W$5:$W$3507,$L2544)&amp;""))</f>
        <v/>
      </c>
      <c r="C2544" s="52" t="str">
        <f aca="false">IF(L2544="","",INDEX(ポート振替表!$B$5:$B$3507,$L2544)&amp;" "&amp;INDEX(ポート振替表!$C$5:$C$3507,$L2544)&amp;"  ⇔  "&amp;INDEX(ポート振替表!$H$5:$H$3507,$L2544)&amp;" "&amp;INDEX(ポート振替表!$I$5:$I$3507,$L2544))</f>
        <v/>
      </c>
      <c r="D2544" s="57" t="s">
        <v>158</v>
      </c>
      <c r="E2544" s="59" t="str">
        <f aca="false">IF(L2544="","",IF(INDEX(ポート振替表!$O$5:$O$3507,$L2544)="","(未設定)",INDEX(ポート振替表!$O$5:$O$3507,$L2544)&amp;""))</f>
        <v/>
      </c>
      <c r="F2544" s="52" t="str">
        <f aca="false">IF(L2544="","",INDEX(ポート振替表!$K$5:$K$3507,$L2544)&amp;" "&amp;INDEX(ポート振替表!$L$5:$L$3507,$L2544)&amp;"  ⇔  "&amp;INDEX(ポート振替表!$H$5:$H$3507,$L2544)&amp;" "&amp;INDEX(ポート振替表!$I$5:$I$3507,$L2544))</f>
        <v/>
      </c>
      <c r="G2544" s="57" t="s">
        <v>158</v>
      </c>
      <c r="H2544" s="32" t="str">
        <f aca="false">IF(L2544="","",INDEX(ポート振替表!$N$5:$N$3507,$L2544)&amp;"")</f>
        <v/>
      </c>
      <c r="I2544" s="32" t="str">
        <f aca="false">IF(L2544="","",INDEX(ポート振替表!$P$5:$P$3507,$L2544)&amp;"")</f>
        <v/>
      </c>
      <c r="J2544" s="60" t="str">
        <f aca="false">IF(L2544="","",INDEX(ポート振替表!$M$5:$M$3507,$L2544)&amp;"")</f>
        <v/>
      </c>
      <c r="K2544" s="52" t="str">
        <f aca="false">IF(L2544="","",E2544&amp;CHAR(10)&amp;INDEX(ポート振替表!$K$5:$K$3507,$L2544)&amp;" "&amp;INDEX(ポート振替表!$L$5:$L$3507,$L2544)&amp;CHAR(10)&amp;"⇔ "&amp;INDEX(ポート振替表!$H$5:$H$3507,$L2544)&amp;" "&amp;INDEX(ポート振替表!$I$5:$I$3507,$L2544))</f>
        <v/>
      </c>
      <c r="L2544" s="47" t="str">
        <f aca="false">IFERROR(MATCH(ROW()-4,ポート振替表!$V$5:$V$3507,0),"")</f>
        <v/>
      </c>
    </row>
    <row r="2545" customFormat="false" ht="16.4" hidden="false" customHeight="false" outlineLevel="0" collapsed="false">
      <c r="A2545" s="32" t="str">
        <f aca="false">IF(L2545="","",ROW()-4)</f>
        <v/>
      </c>
      <c r="B2545" s="58" t="str">
        <f aca="false">IF(L2545="","",IF(INDEX(ポート振替表!$W$5:$W$3507,$L2545)="","(なし)",INDEX(ポート振替表!$W$5:$W$3507,$L2545)&amp;""))</f>
        <v/>
      </c>
      <c r="C2545" s="52" t="str">
        <f aca="false">IF(L2545="","",INDEX(ポート振替表!$B$5:$B$3507,$L2545)&amp;" "&amp;INDEX(ポート振替表!$C$5:$C$3507,$L2545)&amp;"  ⇔  "&amp;INDEX(ポート振替表!$H$5:$H$3507,$L2545)&amp;" "&amp;INDEX(ポート振替表!$I$5:$I$3507,$L2545))</f>
        <v/>
      </c>
      <c r="D2545" s="57" t="s">
        <v>158</v>
      </c>
      <c r="E2545" s="59" t="str">
        <f aca="false">IF(L2545="","",IF(INDEX(ポート振替表!$O$5:$O$3507,$L2545)="","(未設定)",INDEX(ポート振替表!$O$5:$O$3507,$L2545)&amp;""))</f>
        <v/>
      </c>
      <c r="F2545" s="52" t="str">
        <f aca="false">IF(L2545="","",INDEX(ポート振替表!$K$5:$K$3507,$L2545)&amp;" "&amp;INDEX(ポート振替表!$L$5:$L$3507,$L2545)&amp;"  ⇔  "&amp;INDEX(ポート振替表!$H$5:$H$3507,$L2545)&amp;" "&amp;INDEX(ポート振替表!$I$5:$I$3507,$L2545))</f>
        <v/>
      </c>
      <c r="G2545" s="57" t="s">
        <v>158</v>
      </c>
      <c r="H2545" s="32" t="str">
        <f aca="false">IF(L2545="","",INDEX(ポート振替表!$N$5:$N$3507,$L2545)&amp;"")</f>
        <v/>
      </c>
      <c r="I2545" s="32" t="str">
        <f aca="false">IF(L2545="","",INDEX(ポート振替表!$P$5:$P$3507,$L2545)&amp;"")</f>
        <v/>
      </c>
      <c r="J2545" s="60" t="str">
        <f aca="false">IF(L2545="","",INDEX(ポート振替表!$M$5:$M$3507,$L2545)&amp;"")</f>
        <v/>
      </c>
      <c r="K2545" s="52" t="str">
        <f aca="false">IF(L2545="","",E2545&amp;CHAR(10)&amp;INDEX(ポート振替表!$K$5:$K$3507,$L2545)&amp;" "&amp;INDEX(ポート振替表!$L$5:$L$3507,$L2545)&amp;CHAR(10)&amp;"⇔ "&amp;INDEX(ポート振替表!$H$5:$H$3507,$L2545)&amp;" "&amp;INDEX(ポート振替表!$I$5:$I$3507,$L2545))</f>
        <v/>
      </c>
      <c r="L2545" s="47" t="str">
        <f aca="false">IFERROR(MATCH(ROW()-4,ポート振替表!$V$5:$V$3507,0),"")</f>
        <v/>
      </c>
    </row>
    <row r="2546" customFormat="false" ht="16.4" hidden="false" customHeight="false" outlineLevel="0" collapsed="false">
      <c r="A2546" s="32" t="str">
        <f aca="false">IF(L2546="","",ROW()-4)</f>
        <v/>
      </c>
      <c r="B2546" s="58" t="str">
        <f aca="false">IF(L2546="","",IF(INDEX(ポート振替表!$W$5:$W$3507,$L2546)="","(なし)",INDEX(ポート振替表!$W$5:$W$3507,$L2546)&amp;""))</f>
        <v/>
      </c>
      <c r="C2546" s="52" t="str">
        <f aca="false">IF(L2546="","",INDEX(ポート振替表!$B$5:$B$3507,$L2546)&amp;" "&amp;INDEX(ポート振替表!$C$5:$C$3507,$L2546)&amp;"  ⇔  "&amp;INDEX(ポート振替表!$H$5:$H$3507,$L2546)&amp;" "&amp;INDEX(ポート振替表!$I$5:$I$3507,$L2546))</f>
        <v/>
      </c>
      <c r="D2546" s="57" t="s">
        <v>158</v>
      </c>
      <c r="E2546" s="59" t="str">
        <f aca="false">IF(L2546="","",IF(INDEX(ポート振替表!$O$5:$O$3507,$L2546)="","(未設定)",INDEX(ポート振替表!$O$5:$O$3507,$L2546)&amp;""))</f>
        <v/>
      </c>
      <c r="F2546" s="52" t="str">
        <f aca="false">IF(L2546="","",INDEX(ポート振替表!$K$5:$K$3507,$L2546)&amp;" "&amp;INDEX(ポート振替表!$L$5:$L$3507,$L2546)&amp;"  ⇔  "&amp;INDEX(ポート振替表!$H$5:$H$3507,$L2546)&amp;" "&amp;INDEX(ポート振替表!$I$5:$I$3507,$L2546))</f>
        <v/>
      </c>
      <c r="G2546" s="57" t="s">
        <v>158</v>
      </c>
      <c r="H2546" s="32" t="str">
        <f aca="false">IF(L2546="","",INDEX(ポート振替表!$N$5:$N$3507,$L2546)&amp;"")</f>
        <v/>
      </c>
      <c r="I2546" s="32" t="str">
        <f aca="false">IF(L2546="","",INDEX(ポート振替表!$P$5:$P$3507,$L2546)&amp;"")</f>
        <v/>
      </c>
      <c r="J2546" s="60" t="str">
        <f aca="false">IF(L2546="","",INDEX(ポート振替表!$M$5:$M$3507,$L2546)&amp;"")</f>
        <v/>
      </c>
      <c r="K2546" s="52" t="str">
        <f aca="false">IF(L2546="","",E2546&amp;CHAR(10)&amp;INDEX(ポート振替表!$K$5:$K$3507,$L2546)&amp;" "&amp;INDEX(ポート振替表!$L$5:$L$3507,$L2546)&amp;CHAR(10)&amp;"⇔ "&amp;INDEX(ポート振替表!$H$5:$H$3507,$L2546)&amp;" "&amp;INDEX(ポート振替表!$I$5:$I$3507,$L2546))</f>
        <v/>
      </c>
      <c r="L2546" s="47" t="str">
        <f aca="false">IFERROR(MATCH(ROW()-4,ポート振替表!$V$5:$V$3507,0),"")</f>
        <v/>
      </c>
    </row>
    <row r="2547" customFormat="false" ht="16.4" hidden="false" customHeight="false" outlineLevel="0" collapsed="false">
      <c r="A2547" s="32" t="str">
        <f aca="false">IF(L2547="","",ROW()-4)</f>
        <v/>
      </c>
      <c r="B2547" s="58" t="str">
        <f aca="false">IF(L2547="","",IF(INDEX(ポート振替表!$W$5:$W$3507,$L2547)="","(なし)",INDEX(ポート振替表!$W$5:$W$3507,$L2547)&amp;""))</f>
        <v/>
      </c>
      <c r="C2547" s="52" t="str">
        <f aca="false">IF(L2547="","",INDEX(ポート振替表!$B$5:$B$3507,$L2547)&amp;" "&amp;INDEX(ポート振替表!$C$5:$C$3507,$L2547)&amp;"  ⇔  "&amp;INDEX(ポート振替表!$H$5:$H$3507,$L2547)&amp;" "&amp;INDEX(ポート振替表!$I$5:$I$3507,$L2547))</f>
        <v/>
      </c>
      <c r="D2547" s="57" t="s">
        <v>158</v>
      </c>
      <c r="E2547" s="59" t="str">
        <f aca="false">IF(L2547="","",IF(INDEX(ポート振替表!$O$5:$O$3507,$L2547)="","(未設定)",INDEX(ポート振替表!$O$5:$O$3507,$L2547)&amp;""))</f>
        <v/>
      </c>
      <c r="F2547" s="52" t="str">
        <f aca="false">IF(L2547="","",INDEX(ポート振替表!$K$5:$K$3507,$L2547)&amp;" "&amp;INDEX(ポート振替表!$L$5:$L$3507,$L2547)&amp;"  ⇔  "&amp;INDEX(ポート振替表!$H$5:$H$3507,$L2547)&amp;" "&amp;INDEX(ポート振替表!$I$5:$I$3507,$L2547))</f>
        <v/>
      </c>
      <c r="G2547" s="57" t="s">
        <v>158</v>
      </c>
      <c r="H2547" s="32" t="str">
        <f aca="false">IF(L2547="","",INDEX(ポート振替表!$N$5:$N$3507,$L2547)&amp;"")</f>
        <v/>
      </c>
      <c r="I2547" s="32" t="str">
        <f aca="false">IF(L2547="","",INDEX(ポート振替表!$P$5:$P$3507,$L2547)&amp;"")</f>
        <v/>
      </c>
      <c r="J2547" s="60" t="str">
        <f aca="false">IF(L2547="","",INDEX(ポート振替表!$M$5:$M$3507,$L2547)&amp;"")</f>
        <v/>
      </c>
      <c r="K2547" s="52" t="str">
        <f aca="false">IF(L2547="","",E2547&amp;CHAR(10)&amp;INDEX(ポート振替表!$K$5:$K$3507,$L2547)&amp;" "&amp;INDEX(ポート振替表!$L$5:$L$3507,$L2547)&amp;CHAR(10)&amp;"⇔ "&amp;INDEX(ポート振替表!$H$5:$H$3507,$L2547)&amp;" "&amp;INDEX(ポート振替表!$I$5:$I$3507,$L2547))</f>
        <v/>
      </c>
      <c r="L2547" s="47" t="str">
        <f aca="false">IFERROR(MATCH(ROW()-4,ポート振替表!$V$5:$V$3507,0),"")</f>
        <v/>
      </c>
    </row>
    <row r="2548" customFormat="false" ht="16.4" hidden="false" customHeight="false" outlineLevel="0" collapsed="false">
      <c r="A2548" s="32" t="str">
        <f aca="false">IF(L2548="","",ROW()-4)</f>
        <v/>
      </c>
      <c r="B2548" s="58" t="str">
        <f aca="false">IF(L2548="","",IF(INDEX(ポート振替表!$W$5:$W$3507,$L2548)="","(なし)",INDEX(ポート振替表!$W$5:$W$3507,$L2548)&amp;""))</f>
        <v/>
      </c>
      <c r="C2548" s="52" t="str">
        <f aca="false">IF(L2548="","",INDEX(ポート振替表!$B$5:$B$3507,$L2548)&amp;" "&amp;INDEX(ポート振替表!$C$5:$C$3507,$L2548)&amp;"  ⇔  "&amp;INDEX(ポート振替表!$H$5:$H$3507,$L2548)&amp;" "&amp;INDEX(ポート振替表!$I$5:$I$3507,$L2548))</f>
        <v/>
      </c>
      <c r="D2548" s="57" t="s">
        <v>158</v>
      </c>
      <c r="E2548" s="59" t="str">
        <f aca="false">IF(L2548="","",IF(INDEX(ポート振替表!$O$5:$O$3507,$L2548)="","(未設定)",INDEX(ポート振替表!$O$5:$O$3507,$L2548)&amp;""))</f>
        <v/>
      </c>
      <c r="F2548" s="52" t="str">
        <f aca="false">IF(L2548="","",INDEX(ポート振替表!$K$5:$K$3507,$L2548)&amp;" "&amp;INDEX(ポート振替表!$L$5:$L$3507,$L2548)&amp;"  ⇔  "&amp;INDEX(ポート振替表!$H$5:$H$3507,$L2548)&amp;" "&amp;INDEX(ポート振替表!$I$5:$I$3507,$L2548))</f>
        <v/>
      </c>
      <c r="G2548" s="57" t="s">
        <v>158</v>
      </c>
      <c r="H2548" s="32" t="str">
        <f aca="false">IF(L2548="","",INDEX(ポート振替表!$N$5:$N$3507,$L2548)&amp;"")</f>
        <v/>
      </c>
      <c r="I2548" s="32" t="str">
        <f aca="false">IF(L2548="","",INDEX(ポート振替表!$P$5:$P$3507,$L2548)&amp;"")</f>
        <v/>
      </c>
      <c r="J2548" s="60" t="str">
        <f aca="false">IF(L2548="","",INDEX(ポート振替表!$M$5:$M$3507,$L2548)&amp;"")</f>
        <v/>
      </c>
      <c r="K2548" s="52" t="str">
        <f aca="false">IF(L2548="","",E2548&amp;CHAR(10)&amp;INDEX(ポート振替表!$K$5:$K$3507,$L2548)&amp;" "&amp;INDEX(ポート振替表!$L$5:$L$3507,$L2548)&amp;CHAR(10)&amp;"⇔ "&amp;INDEX(ポート振替表!$H$5:$H$3507,$L2548)&amp;" "&amp;INDEX(ポート振替表!$I$5:$I$3507,$L2548))</f>
        <v/>
      </c>
      <c r="L2548" s="47" t="str">
        <f aca="false">IFERROR(MATCH(ROW()-4,ポート振替表!$V$5:$V$3507,0),"")</f>
        <v/>
      </c>
    </row>
    <row r="2549" customFormat="false" ht="16.4" hidden="false" customHeight="false" outlineLevel="0" collapsed="false">
      <c r="A2549" s="32" t="str">
        <f aca="false">IF(L2549="","",ROW()-4)</f>
        <v/>
      </c>
      <c r="B2549" s="58" t="str">
        <f aca="false">IF(L2549="","",IF(INDEX(ポート振替表!$W$5:$W$3507,$L2549)="","(なし)",INDEX(ポート振替表!$W$5:$W$3507,$L2549)&amp;""))</f>
        <v/>
      </c>
      <c r="C2549" s="52" t="str">
        <f aca="false">IF(L2549="","",INDEX(ポート振替表!$B$5:$B$3507,$L2549)&amp;" "&amp;INDEX(ポート振替表!$C$5:$C$3507,$L2549)&amp;"  ⇔  "&amp;INDEX(ポート振替表!$H$5:$H$3507,$L2549)&amp;" "&amp;INDEX(ポート振替表!$I$5:$I$3507,$L2549))</f>
        <v/>
      </c>
      <c r="D2549" s="57" t="s">
        <v>158</v>
      </c>
      <c r="E2549" s="59" t="str">
        <f aca="false">IF(L2549="","",IF(INDEX(ポート振替表!$O$5:$O$3507,$L2549)="","(未設定)",INDEX(ポート振替表!$O$5:$O$3507,$L2549)&amp;""))</f>
        <v/>
      </c>
      <c r="F2549" s="52" t="str">
        <f aca="false">IF(L2549="","",INDEX(ポート振替表!$K$5:$K$3507,$L2549)&amp;" "&amp;INDEX(ポート振替表!$L$5:$L$3507,$L2549)&amp;"  ⇔  "&amp;INDEX(ポート振替表!$H$5:$H$3507,$L2549)&amp;" "&amp;INDEX(ポート振替表!$I$5:$I$3507,$L2549))</f>
        <v/>
      </c>
      <c r="G2549" s="57" t="s">
        <v>158</v>
      </c>
      <c r="H2549" s="32" t="str">
        <f aca="false">IF(L2549="","",INDEX(ポート振替表!$N$5:$N$3507,$L2549)&amp;"")</f>
        <v/>
      </c>
      <c r="I2549" s="32" t="str">
        <f aca="false">IF(L2549="","",INDEX(ポート振替表!$P$5:$P$3507,$L2549)&amp;"")</f>
        <v/>
      </c>
      <c r="J2549" s="60" t="str">
        <f aca="false">IF(L2549="","",INDEX(ポート振替表!$M$5:$M$3507,$L2549)&amp;"")</f>
        <v/>
      </c>
      <c r="K2549" s="52" t="str">
        <f aca="false">IF(L2549="","",E2549&amp;CHAR(10)&amp;INDEX(ポート振替表!$K$5:$K$3507,$L2549)&amp;" "&amp;INDEX(ポート振替表!$L$5:$L$3507,$L2549)&amp;CHAR(10)&amp;"⇔ "&amp;INDEX(ポート振替表!$H$5:$H$3507,$L2549)&amp;" "&amp;INDEX(ポート振替表!$I$5:$I$3507,$L2549))</f>
        <v/>
      </c>
      <c r="L2549" s="47" t="str">
        <f aca="false">IFERROR(MATCH(ROW()-4,ポート振替表!$V$5:$V$3507,0),"")</f>
        <v/>
      </c>
    </row>
    <row r="2550" customFormat="false" ht="16.4" hidden="false" customHeight="false" outlineLevel="0" collapsed="false">
      <c r="A2550" s="32" t="str">
        <f aca="false">IF(L2550="","",ROW()-4)</f>
        <v/>
      </c>
      <c r="B2550" s="58" t="str">
        <f aca="false">IF(L2550="","",IF(INDEX(ポート振替表!$W$5:$W$3507,$L2550)="","(なし)",INDEX(ポート振替表!$W$5:$W$3507,$L2550)&amp;""))</f>
        <v/>
      </c>
      <c r="C2550" s="52" t="str">
        <f aca="false">IF(L2550="","",INDEX(ポート振替表!$B$5:$B$3507,$L2550)&amp;" "&amp;INDEX(ポート振替表!$C$5:$C$3507,$L2550)&amp;"  ⇔  "&amp;INDEX(ポート振替表!$H$5:$H$3507,$L2550)&amp;" "&amp;INDEX(ポート振替表!$I$5:$I$3507,$L2550))</f>
        <v/>
      </c>
      <c r="D2550" s="57" t="s">
        <v>158</v>
      </c>
      <c r="E2550" s="59" t="str">
        <f aca="false">IF(L2550="","",IF(INDEX(ポート振替表!$O$5:$O$3507,$L2550)="","(未設定)",INDEX(ポート振替表!$O$5:$O$3507,$L2550)&amp;""))</f>
        <v/>
      </c>
      <c r="F2550" s="52" t="str">
        <f aca="false">IF(L2550="","",INDEX(ポート振替表!$K$5:$K$3507,$L2550)&amp;" "&amp;INDEX(ポート振替表!$L$5:$L$3507,$L2550)&amp;"  ⇔  "&amp;INDEX(ポート振替表!$H$5:$H$3507,$L2550)&amp;" "&amp;INDEX(ポート振替表!$I$5:$I$3507,$L2550))</f>
        <v/>
      </c>
      <c r="G2550" s="57" t="s">
        <v>158</v>
      </c>
      <c r="H2550" s="32" t="str">
        <f aca="false">IF(L2550="","",INDEX(ポート振替表!$N$5:$N$3507,$L2550)&amp;"")</f>
        <v/>
      </c>
      <c r="I2550" s="32" t="str">
        <f aca="false">IF(L2550="","",INDEX(ポート振替表!$P$5:$P$3507,$L2550)&amp;"")</f>
        <v/>
      </c>
      <c r="J2550" s="60" t="str">
        <f aca="false">IF(L2550="","",INDEX(ポート振替表!$M$5:$M$3507,$L2550)&amp;"")</f>
        <v/>
      </c>
      <c r="K2550" s="52" t="str">
        <f aca="false">IF(L2550="","",E2550&amp;CHAR(10)&amp;INDEX(ポート振替表!$K$5:$K$3507,$L2550)&amp;" "&amp;INDEX(ポート振替表!$L$5:$L$3507,$L2550)&amp;CHAR(10)&amp;"⇔ "&amp;INDEX(ポート振替表!$H$5:$H$3507,$L2550)&amp;" "&amp;INDEX(ポート振替表!$I$5:$I$3507,$L2550))</f>
        <v/>
      </c>
      <c r="L2550" s="47" t="str">
        <f aca="false">IFERROR(MATCH(ROW()-4,ポート振替表!$V$5:$V$3507,0),"")</f>
        <v/>
      </c>
    </row>
    <row r="2551" customFormat="false" ht="16.4" hidden="false" customHeight="false" outlineLevel="0" collapsed="false">
      <c r="A2551" s="32" t="str">
        <f aca="false">IF(L2551="","",ROW()-4)</f>
        <v/>
      </c>
      <c r="B2551" s="58" t="str">
        <f aca="false">IF(L2551="","",IF(INDEX(ポート振替表!$W$5:$W$3507,$L2551)="","(なし)",INDEX(ポート振替表!$W$5:$W$3507,$L2551)&amp;""))</f>
        <v/>
      </c>
      <c r="C2551" s="52" t="str">
        <f aca="false">IF(L2551="","",INDEX(ポート振替表!$B$5:$B$3507,$L2551)&amp;" "&amp;INDEX(ポート振替表!$C$5:$C$3507,$L2551)&amp;"  ⇔  "&amp;INDEX(ポート振替表!$H$5:$H$3507,$L2551)&amp;" "&amp;INDEX(ポート振替表!$I$5:$I$3507,$L2551))</f>
        <v/>
      </c>
      <c r="D2551" s="57" t="s">
        <v>158</v>
      </c>
      <c r="E2551" s="59" t="str">
        <f aca="false">IF(L2551="","",IF(INDEX(ポート振替表!$O$5:$O$3507,$L2551)="","(未設定)",INDEX(ポート振替表!$O$5:$O$3507,$L2551)&amp;""))</f>
        <v/>
      </c>
      <c r="F2551" s="52" t="str">
        <f aca="false">IF(L2551="","",INDEX(ポート振替表!$K$5:$K$3507,$L2551)&amp;" "&amp;INDEX(ポート振替表!$L$5:$L$3507,$L2551)&amp;"  ⇔  "&amp;INDEX(ポート振替表!$H$5:$H$3507,$L2551)&amp;" "&amp;INDEX(ポート振替表!$I$5:$I$3507,$L2551))</f>
        <v/>
      </c>
      <c r="G2551" s="57" t="s">
        <v>158</v>
      </c>
      <c r="H2551" s="32" t="str">
        <f aca="false">IF(L2551="","",INDEX(ポート振替表!$N$5:$N$3507,$L2551)&amp;"")</f>
        <v/>
      </c>
      <c r="I2551" s="32" t="str">
        <f aca="false">IF(L2551="","",INDEX(ポート振替表!$P$5:$P$3507,$L2551)&amp;"")</f>
        <v/>
      </c>
      <c r="J2551" s="60" t="str">
        <f aca="false">IF(L2551="","",INDEX(ポート振替表!$M$5:$M$3507,$L2551)&amp;"")</f>
        <v/>
      </c>
      <c r="K2551" s="52" t="str">
        <f aca="false">IF(L2551="","",E2551&amp;CHAR(10)&amp;INDEX(ポート振替表!$K$5:$K$3507,$L2551)&amp;" "&amp;INDEX(ポート振替表!$L$5:$L$3507,$L2551)&amp;CHAR(10)&amp;"⇔ "&amp;INDEX(ポート振替表!$H$5:$H$3507,$L2551)&amp;" "&amp;INDEX(ポート振替表!$I$5:$I$3507,$L2551))</f>
        <v/>
      </c>
      <c r="L2551" s="47" t="str">
        <f aca="false">IFERROR(MATCH(ROW()-4,ポート振替表!$V$5:$V$3507,0),"")</f>
        <v/>
      </c>
    </row>
    <row r="2552" customFormat="false" ht="16.4" hidden="false" customHeight="false" outlineLevel="0" collapsed="false">
      <c r="A2552" s="32" t="str">
        <f aca="false">IF(L2552="","",ROW()-4)</f>
        <v/>
      </c>
      <c r="B2552" s="58" t="str">
        <f aca="false">IF(L2552="","",IF(INDEX(ポート振替表!$W$5:$W$3507,$L2552)="","(なし)",INDEX(ポート振替表!$W$5:$W$3507,$L2552)&amp;""))</f>
        <v/>
      </c>
      <c r="C2552" s="52" t="str">
        <f aca="false">IF(L2552="","",INDEX(ポート振替表!$B$5:$B$3507,$L2552)&amp;" "&amp;INDEX(ポート振替表!$C$5:$C$3507,$L2552)&amp;"  ⇔  "&amp;INDEX(ポート振替表!$H$5:$H$3507,$L2552)&amp;" "&amp;INDEX(ポート振替表!$I$5:$I$3507,$L2552))</f>
        <v/>
      </c>
      <c r="D2552" s="57" t="s">
        <v>158</v>
      </c>
      <c r="E2552" s="59" t="str">
        <f aca="false">IF(L2552="","",IF(INDEX(ポート振替表!$O$5:$O$3507,$L2552)="","(未設定)",INDEX(ポート振替表!$O$5:$O$3507,$L2552)&amp;""))</f>
        <v/>
      </c>
      <c r="F2552" s="52" t="str">
        <f aca="false">IF(L2552="","",INDEX(ポート振替表!$K$5:$K$3507,$L2552)&amp;" "&amp;INDEX(ポート振替表!$L$5:$L$3507,$L2552)&amp;"  ⇔  "&amp;INDEX(ポート振替表!$H$5:$H$3507,$L2552)&amp;" "&amp;INDEX(ポート振替表!$I$5:$I$3507,$L2552))</f>
        <v/>
      </c>
      <c r="G2552" s="57" t="s">
        <v>158</v>
      </c>
      <c r="H2552" s="32" t="str">
        <f aca="false">IF(L2552="","",INDEX(ポート振替表!$N$5:$N$3507,$L2552)&amp;"")</f>
        <v/>
      </c>
      <c r="I2552" s="32" t="str">
        <f aca="false">IF(L2552="","",INDEX(ポート振替表!$P$5:$P$3507,$L2552)&amp;"")</f>
        <v/>
      </c>
      <c r="J2552" s="60" t="str">
        <f aca="false">IF(L2552="","",INDEX(ポート振替表!$M$5:$M$3507,$L2552)&amp;"")</f>
        <v/>
      </c>
      <c r="K2552" s="52" t="str">
        <f aca="false">IF(L2552="","",E2552&amp;CHAR(10)&amp;INDEX(ポート振替表!$K$5:$K$3507,$L2552)&amp;" "&amp;INDEX(ポート振替表!$L$5:$L$3507,$L2552)&amp;CHAR(10)&amp;"⇔ "&amp;INDEX(ポート振替表!$H$5:$H$3507,$L2552)&amp;" "&amp;INDEX(ポート振替表!$I$5:$I$3507,$L2552))</f>
        <v/>
      </c>
      <c r="L2552" s="47" t="str">
        <f aca="false">IFERROR(MATCH(ROW()-4,ポート振替表!$V$5:$V$3507,0),"")</f>
        <v/>
      </c>
    </row>
    <row r="2553" customFormat="false" ht="16.4" hidden="false" customHeight="false" outlineLevel="0" collapsed="false">
      <c r="A2553" s="32" t="str">
        <f aca="false">IF(L2553="","",ROW()-4)</f>
        <v/>
      </c>
      <c r="B2553" s="58" t="str">
        <f aca="false">IF(L2553="","",IF(INDEX(ポート振替表!$W$5:$W$3507,$L2553)="","(なし)",INDEX(ポート振替表!$W$5:$W$3507,$L2553)&amp;""))</f>
        <v/>
      </c>
      <c r="C2553" s="52" t="str">
        <f aca="false">IF(L2553="","",INDEX(ポート振替表!$B$5:$B$3507,$L2553)&amp;" "&amp;INDEX(ポート振替表!$C$5:$C$3507,$L2553)&amp;"  ⇔  "&amp;INDEX(ポート振替表!$H$5:$H$3507,$L2553)&amp;" "&amp;INDEX(ポート振替表!$I$5:$I$3507,$L2553))</f>
        <v/>
      </c>
      <c r="D2553" s="57" t="s">
        <v>158</v>
      </c>
      <c r="E2553" s="59" t="str">
        <f aca="false">IF(L2553="","",IF(INDEX(ポート振替表!$O$5:$O$3507,$L2553)="","(未設定)",INDEX(ポート振替表!$O$5:$O$3507,$L2553)&amp;""))</f>
        <v/>
      </c>
      <c r="F2553" s="52" t="str">
        <f aca="false">IF(L2553="","",INDEX(ポート振替表!$K$5:$K$3507,$L2553)&amp;" "&amp;INDEX(ポート振替表!$L$5:$L$3507,$L2553)&amp;"  ⇔  "&amp;INDEX(ポート振替表!$H$5:$H$3507,$L2553)&amp;" "&amp;INDEX(ポート振替表!$I$5:$I$3507,$L2553))</f>
        <v/>
      </c>
      <c r="G2553" s="57" t="s">
        <v>158</v>
      </c>
      <c r="H2553" s="32" t="str">
        <f aca="false">IF(L2553="","",INDEX(ポート振替表!$N$5:$N$3507,$L2553)&amp;"")</f>
        <v/>
      </c>
      <c r="I2553" s="32" t="str">
        <f aca="false">IF(L2553="","",INDEX(ポート振替表!$P$5:$P$3507,$L2553)&amp;"")</f>
        <v/>
      </c>
      <c r="J2553" s="60" t="str">
        <f aca="false">IF(L2553="","",INDEX(ポート振替表!$M$5:$M$3507,$L2553)&amp;"")</f>
        <v/>
      </c>
      <c r="K2553" s="52" t="str">
        <f aca="false">IF(L2553="","",E2553&amp;CHAR(10)&amp;INDEX(ポート振替表!$K$5:$K$3507,$L2553)&amp;" "&amp;INDEX(ポート振替表!$L$5:$L$3507,$L2553)&amp;CHAR(10)&amp;"⇔ "&amp;INDEX(ポート振替表!$H$5:$H$3507,$L2553)&amp;" "&amp;INDEX(ポート振替表!$I$5:$I$3507,$L2553))</f>
        <v/>
      </c>
      <c r="L2553" s="47" t="str">
        <f aca="false">IFERROR(MATCH(ROW()-4,ポート振替表!$V$5:$V$3507,0),"")</f>
        <v/>
      </c>
    </row>
    <row r="2554" customFormat="false" ht="16.4" hidden="false" customHeight="false" outlineLevel="0" collapsed="false">
      <c r="A2554" s="32" t="str">
        <f aca="false">IF(L2554="","",ROW()-4)</f>
        <v/>
      </c>
      <c r="B2554" s="58" t="str">
        <f aca="false">IF(L2554="","",IF(INDEX(ポート振替表!$W$5:$W$3507,$L2554)="","(なし)",INDEX(ポート振替表!$W$5:$W$3507,$L2554)&amp;""))</f>
        <v/>
      </c>
      <c r="C2554" s="52" t="str">
        <f aca="false">IF(L2554="","",INDEX(ポート振替表!$B$5:$B$3507,$L2554)&amp;" "&amp;INDEX(ポート振替表!$C$5:$C$3507,$L2554)&amp;"  ⇔  "&amp;INDEX(ポート振替表!$H$5:$H$3507,$L2554)&amp;" "&amp;INDEX(ポート振替表!$I$5:$I$3507,$L2554))</f>
        <v/>
      </c>
      <c r="D2554" s="57" t="s">
        <v>158</v>
      </c>
      <c r="E2554" s="59" t="str">
        <f aca="false">IF(L2554="","",IF(INDEX(ポート振替表!$O$5:$O$3507,$L2554)="","(未設定)",INDEX(ポート振替表!$O$5:$O$3507,$L2554)&amp;""))</f>
        <v/>
      </c>
      <c r="F2554" s="52" t="str">
        <f aca="false">IF(L2554="","",INDEX(ポート振替表!$K$5:$K$3507,$L2554)&amp;" "&amp;INDEX(ポート振替表!$L$5:$L$3507,$L2554)&amp;"  ⇔  "&amp;INDEX(ポート振替表!$H$5:$H$3507,$L2554)&amp;" "&amp;INDEX(ポート振替表!$I$5:$I$3507,$L2554))</f>
        <v/>
      </c>
      <c r="G2554" s="57" t="s">
        <v>158</v>
      </c>
      <c r="H2554" s="32" t="str">
        <f aca="false">IF(L2554="","",INDEX(ポート振替表!$N$5:$N$3507,$L2554)&amp;"")</f>
        <v/>
      </c>
      <c r="I2554" s="32" t="str">
        <f aca="false">IF(L2554="","",INDEX(ポート振替表!$P$5:$P$3507,$L2554)&amp;"")</f>
        <v/>
      </c>
      <c r="J2554" s="60" t="str">
        <f aca="false">IF(L2554="","",INDEX(ポート振替表!$M$5:$M$3507,$L2554)&amp;"")</f>
        <v/>
      </c>
      <c r="K2554" s="52" t="str">
        <f aca="false">IF(L2554="","",E2554&amp;CHAR(10)&amp;INDEX(ポート振替表!$K$5:$K$3507,$L2554)&amp;" "&amp;INDEX(ポート振替表!$L$5:$L$3507,$L2554)&amp;CHAR(10)&amp;"⇔ "&amp;INDEX(ポート振替表!$H$5:$H$3507,$L2554)&amp;" "&amp;INDEX(ポート振替表!$I$5:$I$3507,$L2554))</f>
        <v/>
      </c>
      <c r="L2554" s="47" t="str">
        <f aca="false">IFERROR(MATCH(ROW()-4,ポート振替表!$V$5:$V$3507,0),"")</f>
        <v/>
      </c>
    </row>
    <row r="2555" customFormat="false" ht="16.4" hidden="false" customHeight="false" outlineLevel="0" collapsed="false">
      <c r="A2555" s="32" t="str">
        <f aca="false">IF(L2555="","",ROW()-4)</f>
        <v/>
      </c>
      <c r="B2555" s="58" t="str">
        <f aca="false">IF(L2555="","",IF(INDEX(ポート振替表!$W$5:$W$3507,$L2555)="","(なし)",INDEX(ポート振替表!$W$5:$W$3507,$L2555)&amp;""))</f>
        <v/>
      </c>
      <c r="C2555" s="52" t="str">
        <f aca="false">IF(L2555="","",INDEX(ポート振替表!$B$5:$B$3507,$L2555)&amp;" "&amp;INDEX(ポート振替表!$C$5:$C$3507,$L2555)&amp;"  ⇔  "&amp;INDEX(ポート振替表!$H$5:$H$3507,$L2555)&amp;" "&amp;INDEX(ポート振替表!$I$5:$I$3507,$L2555))</f>
        <v/>
      </c>
      <c r="D2555" s="57" t="s">
        <v>158</v>
      </c>
      <c r="E2555" s="59" t="str">
        <f aca="false">IF(L2555="","",IF(INDEX(ポート振替表!$O$5:$O$3507,$L2555)="","(未設定)",INDEX(ポート振替表!$O$5:$O$3507,$L2555)&amp;""))</f>
        <v/>
      </c>
      <c r="F2555" s="52" t="str">
        <f aca="false">IF(L2555="","",INDEX(ポート振替表!$K$5:$K$3507,$L2555)&amp;" "&amp;INDEX(ポート振替表!$L$5:$L$3507,$L2555)&amp;"  ⇔  "&amp;INDEX(ポート振替表!$H$5:$H$3507,$L2555)&amp;" "&amp;INDEX(ポート振替表!$I$5:$I$3507,$L2555))</f>
        <v/>
      </c>
      <c r="G2555" s="57" t="s">
        <v>158</v>
      </c>
      <c r="H2555" s="32" t="str">
        <f aca="false">IF(L2555="","",INDEX(ポート振替表!$N$5:$N$3507,$L2555)&amp;"")</f>
        <v/>
      </c>
      <c r="I2555" s="32" t="str">
        <f aca="false">IF(L2555="","",INDEX(ポート振替表!$P$5:$P$3507,$L2555)&amp;"")</f>
        <v/>
      </c>
      <c r="J2555" s="60" t="str">
        <f aca="false">IF(L2555="","",INDEX(ポート振替表!$M$5:$M$3507,$L2555)&amp;"")</f>
        <v/>
      </c>
      <c r="K2555" s="52" t="str">
        <f aca="false">IF(L2555="","",E2555&amp;CHAR(10)&amp;INDEX(ポート振替表!$K$5:$K$3507,$L2555)&amp;" "&amp;INDEX(ポート振替表!$L$5:$L$3507,$L2555)&amp;CHAR(10)&amp;"⇔ "&amp;INDEX(ポート振替表!$H$5:$H$3507,$L2555)&amp;" "&amp;INDEX(ポート振替表!$I$5:$I$3507,$L2555))</f>
        <v/>
      </c>
      <c r="L2555" s="47" t="str">
        <f aca="false">IFERROR(MATCH(ROW()-4,ポート振替表!$V$5:$V$3507,0),"")</f>
        <v/>
      </c>
    </row>
    <row r="2556" customFormat="false" ht="16.4" hidden="false" customHeight="false" outlineLevel="0" collapsed="false">
      <c r="A2556" s="32" t="str">
        <f aca="false">IF(L2556="","",ROW()-4)</f>
        <v/>
      </c>
      <c r="B2556" s="58" t="str">
        <f aca="false">IF(L2556="","",IF(INDEX(ポート振替表!$W$5:$W$3507,$L2556)="","(なし)",INDEX(ポート振替表!$W$5:$W$3507,$L2556)&amp;""))</f>
        <v/>
      </c>
      <c r="C2556" s="52" t="str">
        <f aca="false">IF(L2556="","",INDEX(ポート振替表!$B$5:$B$3507,$L2556)&amp;" "&amp;INDEX(ポート振替表!$C$5:$C$3507,$L2556)&amp;"  ⇔  "&amp;INDEX(ポート振替表!$H$5:$H$3507,$L2556)&amp;" "&amp;INDEX(ポート振替表!$I$5:$I$3507,$L2556))</f>
        <v/>
      </c>
      <c r="D2556" s="57" t="s">
        <v>158</v>
      </c>
      <c r="E2556" s="59" t="str">
        <f aca="false">IF(L2556="","",IF(INDEX(ポート振替表!$O$5:$O$3507,$L2556)="","(未設定)",INDEX(ポート振替表!$O$5:$O$3507,$L2556)&amp;""))</f>
        <v/>
      </c>
      <c r="F2556" s="52" t="str">
        <f aca="false">IF(L2556="","",INDEX(ポート振替表!$K$5:$K$3507,$L2556)&amp;" "&amp;INDEX(ポート振替表!$L$5:$L$3507,$L2556)&amp;"  ⇔  "&amp;INDEX(ポート振替表!$H$5:$H$3507,$L2556)&amp;" "&amp;INDEX(ポート振替表!$I$5:$I$3507,$L2556))</f>
        <v/>
      </c>
      <c r="G2556" s="57" t="s">
        <v>158</v>
      </c>
      <c r="H2556" s="32" t="str">
        <f aca="false">IF(L2556="","",INDEX(ポート振替表!$N$5:$N$3507,$L2556)&amp;"")</f>
        <v/>
      </c>
      <c r="I2556" s="32" t="str">
        <f aca="false">IF(L2556="","",INDEX(ポート振替表!$P$5:$P$3507,$L2556)&amp;"")</f>
        <v/>
      </c>
      <c r="J2556" s="60" t="str">
        <f aca="false">IF(L2556="","",INDEX(ポート振替表!$M$5:$M$3507,$L2556)&amp;"")</f>
        <v/>
      </c>
      <c r="K2556" s="52" t="str">
        <f aca="false">IF(L2556="","",E2556&amp;CHAR(10)&amp;INDEX(ポート振替表!$K$5:$K$3507,$L2556)&amp;" "&amp;INDEX(ポート振替表!$L$5:$L$3507,$L2556)&amp;CHAR(10)&amp;"⇔ "&amp;INDEX(ポート振替表!$H$5:$H$3507,$L2556)&amp;" "&amp;INDEX(ポート振替表!$I$5:$I$3507,$L2556))</f>
        <v/>
      </c>
      <c r="L2556" s="47" t="str">
        <f aca="false">IFERROR(MATCH(ROW()-4,ポート振替表!$V$5:$V$3507,0),"")</f>
        <v/>
      </c>
    </row>
    <row r="2557" customFormat="false" ht="16.4" hidden="false" customHeight="false" outlineLevel="0" collapsed="false">
      <c r="A2557" s="32" t="str">
        <f aca="false">IF(L2557="","",ROW()-4)</f>
        <v/>
      </c>
      <c r="B2557" s="58" t="str">
        <f aca="false">IF(L2557="","",IF(INDEX(ポート振替表!$W$5:$W$3507,$L2557)="","(なし)",INDEX(ポート振替表!$W$5:$W$3507,$L2557)&amp;""))</f>
        <v/>
      </c>
      <c r="C2557" s="52" t="str">
        <f aca="false">IF(L2557="","",INDEX(ポート振替表!$B$5:$B$3507,$L2557)&amp;" "&amp;INDEX(ポート振替表!$C$5:$C$3507,$L2557)&amp;"  ⇔  "&amp;INDEX(ポート振替表!$H$5:$H$3507,$L2557)&amp;" "&amp;INDEX(ポート振替表!$I$5:$I$3507,$L2557))</f>
        <v/>
      </c>
      <c r="D2557" s="57" t="s">
        <v>158</v>
      </c>
      <c r="E2557" s="59" t="str">
        <f aca="false">IF(L2557="","",IF(INDEX(ポート振替表!$O$5:$O$3507,$L2557)="","(未設定)",INDEX(ポート振替表!$O$5:$O$3507,$L2557)&amp;""))</f>
        <v/>
      </c>
      <c r="F2557" s="52" t="str">
        <f aca="false">IF(L2557="","",INDEX(ポート振替表!$K$5:$K$3507,$L2557)&amp;" "&amp;INDEX(ポート振替表!$L$5:$L$3507,$L2557)&amp;"  ⇔  "&amp;INDEX(ポート振替表!$H$5:$H$3507,$L2557)&amp;" "&amp;INDEX(ポート振替表!$I$5:$I$3507,$L2557))</f>
        <v/>
      </c>
      <c r="G2557" s="57" t="s">
        <v>158</v>
      </c>
      <c r="H2557" s="32" t="str">
        <f aca="false">IF(L2557="","",INDEX(ポート振替表!$N$5:$N$3507,$L2557)&amp;"")</f>
        <v/>
      </c>
      <c r="I2557" s="32" t="str">
        <f aca="false">IF(L2557="","",INDEX(ポート振替表!$P$5:$P$3507,$L2557)&amp;"")</f>
        <v/>
      </c>
      <c r="J2557" s="60" t="str">
        <f aca="false">IF(L2557="","",INDEX(ポート振替表!$M$5:$M$3507,$L2557)&amp;"")</f>
        <v/>
      </c>
      <c r="K2557" s="52" t="str">
        <f aca="false">IF(L2557="","",E2557&amp;CHAR(10)&amp;INDEX(ポート振替表!$K$5:$K$3507,$L2557)&amp;" "&amp;INDEX(ポート振替表!$L$5:$L$3507,$L2557)&amp;CHAR(10)&amp;"⇔ "&amp;INDEX(ポート振替表!$H$5:$H$3507,$L2557)&amp;" "&amp;INDEX(ポート振替表!$I$5:$I$3507,$L2557))</f>
        <v/>
      </c>
      <c r="L2557" s="47" t="str">
        <f aca="false">IFERROR(MATCH(ROW()-4,ポート振替表!$V$5:$V$3507,0),"")</f>
        <v/>
      </c>
    </row>
    <row r="2558" customFormat="false" ht="16.4" hidden="false" customHeight="false" outlineLevel="0" collapsed="false">
      <c r="A2558" s="32" t="str">
        <f aca="false">IF(L2558="","",ROW()-4)</f>
        <v/>
      </c>
      <c r="B2558" s="58" t="str">
        <f aca="false">IF(L2558="","",IF(INDEX(ポート振替表!$W$5:$W$3507,$L2558)="","(なし)",INDEX(ポート振替表!$W$5:$W$3507,$L2558)&amp;""))</f>
        <v/>
      </c>
      <c r="C2558" s="52" t="str">
        <f aca="false">IF(L2558="","",INDEX(ポート振替表!$B$5:$B$3507,$L2558)&amp;" "&amp;INDEX(ポート振替表!$C$5:$C$3507,$L2558)&amp;"  ⇔  "&amp;INDEX(ポート振替表!$H$5:$H$3507,$L2558)&amp;" "&amp;INDEX(ポート振替表!$I$5:$I$3507,$L2558))</f>
        <v/>
      </c>
      <c r="D2558" s="57" t="s">
        <v>158</v>
      </c>
      <c r="E2558" s="59" t="str">
        <f aca="false">IF(L2558="","",IF(INDEX(ポート振替表!$O$5:$O$3507,$L2558)="","(未設定)",INDEX(ポート振替表!$O$5:$O$3507,$L2558)&amp;""))</f>
        <v/>
      </c>
      <c r="F2558" s="52" t="str">
        <f aca="false">IF(L2558="","",INDEX(ポート振替表!$K$5:$K$3507,$L2558)&amp;" "&amp;INDEX(ポート振替表!$L$5:$L$3507,$L2558)&amp;"  ⇔  "&amp;INDEX(ポート振替表!$H$5:$H$3507,$L2558)&amp;" "&amp;INDEX(ポート振替表!$I$5:$I$3507,$L2558))</f>
        <v/>
      </c>
      <c r="G2558" s="57" t="s">
        <v>158</v>
      </c>
      <c r="H2558" s="32" t="str">
        <f aca="false">IF(L2558="","",INDEX(ポート振替表!$N$5:$N$3507,$L2558)&amp;"")</f>
        <v/>
      </c>
      <c r="I2558" s="32" t="str">
        <f aca="false">IF(L2558="","",INDEX(ポート振替表!$P$5:$P$3507,$L2558)&amp;"")</f>
        <v/>
      </c>
      <c r="J2558" s="60" t="str">
        <f aca="false">IF(L2558="","",INDEX(ポート振替表!$M$5:$M$3507,$L2558)&amp;"")</f>
        <v/>
      </c>
      <c r="K2558" s="52" t="str">
        <f aca="false">IF(L2558="","",E2558&amp;CHAR(10)&amp;INDEX(ポート振替表!$K$5:$K$3507,$L2558)&amp;" "&amp;INDEX(ポート振替表!$L$5:$L$3507,$L2558)&amp;CHAR(10)&amp;"⇔ "&amp;INDEX(ポート振替表!$H$5:$H$3507,$L2558)&amp;" "&amp;INDEX(ポート振替表!$I$5:$I$3507,$L2558))</f>
        <v/>
      </c>
      <c r="L2558" s="47" t="str">
        <f aca="false">IFERROR(MATCH(ROW()-4,ポート振替表!$V$5:$V$3507,0),"")</f>
        <v/>
      </c>
    </row>
    <row r="2559" customFormat="false" ht="16.4" hidden="false" customHeight="false" outlineLevel="0" collapsed="false">
      <c r="A2559" s="32" t="str">
        <f aca="false">IF(L2559="","",ROW()-4)</f>
        <v/>
      </c>
      <c r="B2559" s="58" t="str">
        <f aca="false">IF(L2559="","",IF(INDEX(ポート振替表!$W$5:$W$3507,$L2559)="","(なし)",INDEX(ポート振替表!$W$5:$W$3507,$L2559)&amp;""))</f>
        <v/>
      </c>
      <c r="C2559" s="52" t="str">
        <f aca="false">IF(L2559="","",INDEX(ポート振替表!$B$5:$B$3507,$L2559)&amp;" "&amp;INDEX(ポート振替表!$C$5:$C$3507,$L2559)&amp;"  ⇔  "&amp;INDEX(ポート振替表!$H$5:$H$3507,$L2559)&amp;" "&amp;INDEX(ポート振替表!$I$5:$I$3507,$L2559))</f>
        <v/>
      </c>
      <c r="D2559" s="57" t="s">
        <v>158</v>
      </c>
      <c r="E2559" s="59" t="str">
        <f aca="false">IF(L2559="","",IF(INDEX(ポート振替表!$O$5:$O$3507,$L2559)="","(未設定)",INDEX(ポート振替表!$O$5:$O$3507,$L2559)&amp;""))</f>
        <v/>
      </c>
      <c r="F2559" s="52" t="str">
        <f aca="false">IF(L2559="","",INDEX(ポート振替表!$K$5:$K$3507,$L2559)&amp;" "&amp;INDEX(ポート振替表!$L$5:$L$3507,$L2559)&amp;"  ⇔  "&amp;INDEX(ポート振替表!$H$5:$H$3507,$L2559)&amp;" "&amp;INDEX(ポート振替表!$I$5:$I$3507,$L2559))</f>
        <v/>
      </c>
      <c r="G2559" s="57" t="s">
        <v>158</v>
      </c>
      <c r="H2559" s="32" t="str">
        <f aca="false">IF(L2559="","",INDEX(ポート振替表!$N$5:$N$3507,$L2559)&amp;"")</f>
        <v/>
      </c>
      <c r="I2559" s="32" t="str">
        <f aca="false">IF(L2559="","",INDEX(ポート振替表!$P$5:$P$3507,$L2559)&amp;"")</f>
        <v/>
      </c>
      <c r="J2559" s="60" t="str">
        <f aca="false">IF(L2559="","",INDEX(ポート振替表!$M$5:$M$3507,$L2559)&amp;"")</f>
        <v/>
      </c>
      <c r="K2559" s="52" t="str">
        <f aca="false">IF(L2559="","",E2559&amp;CHAR(10)&amp;INDEX(ポート振替表!$K$5:$K$3507,$L2559)&amp;" "&amp;INDEX(ポート振替表!$L$5:$L$3507,$L2559)&amp;CHAR(10)&amp;"⇔ "&amp;INDEX(ポート振替表!$H$5:$H$3507,$L2559)&amp;" "&amp;INDEX(ポート振替表!$I$5:$I$3507,$L2559))</f>
        <v/>
      </c>
      <c r="L2559" s="47" t="str">
        <f aca="false">IFERROR(MATCH(ROW()-4,ポート振替表!$V$5:$V$3507,0),"")</f>
        <v/>
      </c>
    </row>
    <row r="2560" customFormat="false" ht="16.4" hidden="false" customHeight="false" outlineLevel="0" collapsed="false">
      <c r="A2560" s="32" t="str">
        <f aca="false">IF(L2560="","",ROW()-4)</f>
        <v/>
      </c>
      <c r="B2560" s="58" t="str">
        <f aca="false">IF(L2560="","",IF(INDEX(ポート振替表!$W$5:$W$3507,$L2560)="","(なし)",INDEX(ポート振替表!$W$5:$W$3507,$L2560)&amp;""))</f>
        <v/>
      </c>
      <c r="C2560" s="52" t="str">
        <f aca="false">IF(L2560="","",INDEX(ポート振替表!$B$5:$B$3507,$L2560)&amp;" "&amp;INDEX(ポート振替表!$C$5:$C$3507,$L2560)&amp;"  ⇔  "&amp;INDEX(ポート振替表!$H$5:$H$3507,$L2560)&amp;" "&amp;INDEX(ポート振替表!$I$5:$I$3507,$L2560))</f>
        <v/>
      </c>
      <c r="D2560" s="57" t="s">
        <v>158</v>
      </c>
      <c r="E2560" s="59" t="str">
        <f aca="false">IF(L2560="","",IF(INDEX(ポート振替表!$O$5:$O$3507,$L2560)="","(未設定)",INDEX(ポート振替表!$O$5:$O$3507,$L2560)&amp;""))</f>
        <v/>
      </c>
      <c r="F2560" s="52" t="str">
        <f aca="false">IF(L2560="","",INDEX(ポート振替表!$K$5:$K$3507,$L2560)&amp;" "&amp;INDEX(ポート振替表!$L$5:$L$3507,$L2560)&amp;"  ⇔  "&amp;INDEX(ポート振替表!$H$5:$H$3507,$L2560)&amp;" "&amp;INDEX(ポート振替表!$I$5:$I$3507,$L2560))</f>
        <v/>
      </c>
      <c r="G2560" s="57" t="s">
        <v>158</v>
      </c>
      <c r="H2560" s="32" t="str">
        <f aca="false">IF(L2560="","",INDEX(ポート振替表!$N$5:$N$3507,$L2560)&amp;"")</f>
        <v/>
      </c>
      <c r="I2560" s="32" t="str">
        <f aca="false">IF(L2560="","",INDEX(ポート振替表!$P$5:$P$3507,$L2560)&amp;"")</f>
        <v/>
      </c>
      <c r="J2560" s="60" t="str">
        <f aca="false">IF(L2560="","",INDEX(ポート振替表!$M$5:$M$3507,$L2560)&amp;"")</f>
        <v/>
      </c>
      <c r="K2560" s="52" t="str">
        <f aca="false">IF(L2560="","",E2560&amp;CHAR(10)&amp;INDEX(ポート振替表!$K$5:$K$3507,$L2560)&amp;" "&amp;INDEX(ポート振替表!$L$5:$L$3507,$L2560)&amp;CHAR(10)&amp;"⇔ "&amp;INDEX(ポート振替表!$H$5:$H$3507,$L2560)&amp;" "&amp;INDEX(ポート振替表!$I$5:$I$3507,$L2560))</f>
        <v/>
      </c>
      <c r="L2560" s="47" t="str">
        <f aca="false">IFERROR(MATCH(ROW()-4,ポート振替表!$V$5:$V$3507,0),"")</f>
        <v/>
      </c>
    </row>
    <row r="2561" customFormat="false" ht="16.4" hidden="false" customHeight="false" outlineLevel="0" collapsed="false">
      <c r="A2561" s="32" t="str">
        <f aca="false">IF(L2561="","",ROW()-4)</f>
        <v/>
      </c>
      <c r="B2561" s="58" t="str">
        <f aca="false">IF(L2561="","",IF(INDEX(ポート振替表!$W$5:$W$3507,$L2561)="","(なし)",INDEX(ポート振替表!$W$5:$W$3507,$L2561)&amp;""))</f>
        <v/>
      </c>
      <c r="C2561" s="52" t="str">
        <f aca="false">IF(L2561="","",INDEX(ポート振替表!$B$5:$B$3507,$L2561)&amp;" "&amp;INDEX(ポート振替表!$C$5:$C$3507,$L2561)&amp;"  ⇔  "&amp;INDEX(ポート振替表!$H$5:$H$3507,$L2561)&amp;" "&amp;INDEX(ポート振替表!$I$5:$I$3507,$L2561))</f>
        <v/>
      </c>
      <c r="D2561" s="57" t="s">
        <v>158</v>
      </c>
      <c r="E2561" s="59" t="str">
        <f aca="false">IF(L2561="","",IF(INDEX(ポート振替表!$O$5:$O$3507,$L2561)="","(未設定)",INDEX(ポート振替表!$O$5:$O$3507,$L2561)&amp;""))</f>
        <v/>
      </c>
      <c r="F2561" s="52" t="str">
        <f aca="false">IF(L2561="","",INDEX(ポート振替表!$K$5:$K$3507,$L2561)&amp;" "&amp;INDEX(ポート振替表!$L$5:$L$3507,$L2561)&amp;"  ⇔  "&amp;INDEX(ポート振替表!$H$5:$H$3507,$L2561)&amp;" "&amp;INDEX(ポート振替表!$I$5:$I$3507,$L2561))</f>
        <v/>
      </c>
      <c r="G2561" s="57" t="s">
        <v>158</v>
      </c>
      <c r="H2561" s="32" t="str">
        <f aca="false">IF(L2561="","",INDEX(ポート振替表!$N$5:$N$3507,$L2561)&amp;"")</f>
        <v/>
      </c>
      <c r="I2561" s="32" t="str">
        <f aca="false">IF(L2561="","",INDEX(ポート振替表!$P$5:$P$3507,$L2561)&amp;"")</f>
        <v/>
      </c>
      <c r="J2561" s="60" t="str">
        <f aca="false">IF(L2561="","",INDEX(ポート振替表!$M$5:$M$3507,$L2561)&amp;"")</f>
        <v/>
      </c>
      <c r="K2561" s="52" t="str">
        <f aca="false">IF(L2561="","",E2561&amp;CHAR(10)&amp;INDEX(ポート振替表!$K$5:$K$3507,$L2561)&amp;" "&amp;INDEX(ポート振替表!$L$5:$L$3507,$L2561)&amp;CHAR(10)&amp;"⇔ "&amp;INDEX(ポート振替表!$H$5:$H$3507,$L2561)&amp;" "&amp;INDEX(ポート振替表!$I$5:$I$3507,$L2561))</f>
        <v/>
      </c>
      <c r="L2561" s="47" t="str">
        <f aca="false">IFERROR(MATCH(ROW()-4,ポート振替表!$V$5:$V$3507,0),"")</f>
        <v/>
      </c>
    </row>
    <row r="2562" customFormat="false" ht="16.4" hidden="false" customHeight="false" outlineLevel="0" collapsed="false">
      <c r="A2562" s="32" t="str">
        <f aca="false">IF(L2562="","",ROW()-4)</f>
        <v/>
      </c>
      <c r="B2562" s="58" t="str">
        <f aca="false">IF(L2562="","",IF(INDEX(ポート振替表!$W$5:$W$3507,$L2562)="","(なし)",INDEX(ポート振替表!$W$5:$W$3507,$L2562)&amp;""))</f>
        <v/>
      </c>
      <c r="C2562" s="52" t="str">
        <f aca="false">IF(L2562="","",INDEX(ポート振替表!$B$5:$B$3507,$L2562)&amp;" "&amp;INDEX(ポート振替表!$C$5:$C$3507,$L2562)&amp;"  ⇔  "&amp;INDEX(ポート振替表!$H$5:$H$3507,$L2562)&amp;" "&amp;INDEX(ポート振替表!$I$5:$I$3507,$L2562))</f>
        <v/>
      </c>
      <c r="D2562" s="57" t="s">
        <v>158</v>
      </c>
      <c r="E2562" s="59" t="str">
        <f aca="false">IF(L2562="","",IF(INDEX(ポート振替表!$O$5:$O$3507,$L2562)="","(未設定)",INDEX(ポート振替表!$O$5:$O$3507,$L2562)&amp;""))</f>
        <v/>
      </c>
      <c r="F2562" s="52" t="str">
        <f aca="false">IF(L2562="","",INDEX(ポート振替表!$K$5:$K$3507,$L2562)&amp;" "&amp;INDEX(ポート振替表!$L$5:$L$3507,$L2562)&amp;"  ⇔  "&amp;INDEX(ポート振替表!$H$5:$H$3507,$L2562)&amp;" "&amp;INDEX(ポート振替表!$I$5:$I$3507,$L2562))</f>
        <v/>
      </c>
      <c r="G2562" s="57" t="s">
        <v>158</v>
      </c>
      <c r="H2562" s="32" t="str">
        <f aca="false">IF(L2562="","",INDEX(ポート振替表!$N$5:$N$3507,$L2562)&amp;"")</f>
        <v/>
      </c>
      <c r="I2562" s="32" t="str">
        <f aca="false">IF(L2562="","",INDEX(ポート振替表!$P$5:$P$3507,$L2562)&amp;"")</f>
        <v/>
      </c>
      <c r="J2562" s="60" t="str">
        <f aca="false">IF(L2562="","",INDEX(ポート振替表!$M$5:$M$3507,$L2562)&amp;"")</f>
        <v/>
      </c>
      <c r="K2562" s="52" t="str">
        <f aca="false">IF(L2562="","",E2562&amp;CHAR(10)&amp;INDEX(ポート振替表!$K$5:$K$3507,$L2562)&amp;" "&amp;INDEX(ポート振替表!$L$5:$L$3507,$L2562)&amp;CHAR(10)&amp;"⇔ "&amp;INDEX(ポート振替表!$H$5:$H$3507,$L2562)&amp;" "&amp;INDEX(ポート振替表!$I$5:$I$3507,$L2562))</f>
        <v/>
      </c>
      <c r="L2562" s="47" t="str">
        <f aca="false">IFERROR(MATCH(ROW()-4,ポート振替表!$V$5:$V$3507,0),"")</f>
        <v/>
      </c>
    </row>
    <row r="2563" customFormat="false" ht="16.4" hidden="false" customHeight="false" outlineLevel="0" collapsed="false">
      <c r="A2563" s="32" t="str">
        <f aca="false">IF(L2563="","",ROW()-4)</f>
        <v/>
      </c>
      <c r="B2563" s="58" t="str">
        <f aca="false">IF(L2563="","",IF(INDEX(ポート振替表!$W$5:$W$3507,$L2563)="","(なし)",INDEX(ポート振替表!$W$5:$W$3507,$L2563)&amp;""))</f>
        <v/>
      </c>
      <c r="C2563" s="52" t="str">
        <f aca="false">IF(L2563="","",INDEX(ポート振替表!$B$5:$B$3507,$L2563)&amp;" "&amp;INDEX(ポート振替表!$C$5:$C$3507,$L2563)&amp;"  ⇔  "&amp;INDEX(ポート振替表!$H$5:$H$3507,$L2563)&amp;" "&amp;INDEX(ポート振替表!$I$5:$I$3507,$L2563))</f>
        <v/>
      </c>
      <c r="D2563" s="57" t="s">
        <v>158</v>
      </c>
      <c r="E2563" s="59" t="str">
        <f aca="false">IF(L2563="","",IF(INDEX(ポート振替表!$O$5:$O$3507,$L2563)="","(未設定)",INDEX(ポート振替表!$O$5:$O$3507,$L2563)&amp;""))</f>
        <v/>
      </c>
      <c r="F2563" s="52" t="str">
        <f aca="false">IF(L2563="","",INDEX(ポート振替表!$K$5:$K$3507,$L2563)&amp;" "&amp;INDEX(ポート振替表!$L$5:$L$3507,$L2563)&amp;"  ⇔  "&amp;INDEX(ポート振替表!$H$5:$H$3507,$L2563)&amp;" "&amp;INDEX(ポート振替表!$I$5:$I$3507,$L2563))</f>
        <v/>
      </c>
      <c r="G2563" s="57" t="s">
        <v>158</v>
      </c>
      <c r="H2563" s="32" t="str">
        <f aca="false">IF(L2563="","",INDEX(ポート振替表!$N$5:$N$3507,$L2563)&amp;"")</f>
        <v/>
      </c>
      <c r="I2563" s="32" t="str">
        <f aca="false">IF(L2563="","",INDEX(ポート振替表!$P$5:$P$3507,$L2563)&amp;"")</f>
        <v/>
      </c>
      <c r="J2563" s="60" t="str">
        <f aca="false">IF(L2563="","",INDEX(ポート振替表!$M$5:$M$3507,$L2563)&amp;"")</f>
        <v/>
      </c>
      <c r="K2563" s="52" t="str">
        <f aca="false">IF(L2563="","",E2563&amp;CHAR(10)&amp;INDEX(ポート振替表!$K$5:$K$3507,$L2563)&amp;" "&amp;INDEX(ポート振替表!$L$5:$L$3507,$L2563)&amp;CHAR(10)&amp;"⇔ "&amp;INDEX(ポート振替表!$H$5:$H$3507,$L2563)&amp;" "&amp;INDEX(ポート振替表!$I$5:$I$3507,$L2563))</f>
        <v/>
      </c>
      <c r="L2563" s="47" t="str">
        <f aca="false">IFERROR(MATCH(ROW()-4,ポート振替表!$V$5:$V$3507,0),"")</f>
        <v/>
      </c>
    </row>
    <row r="2564" customFormat="false" ht="16.4" hidden="false" customHeight="false" outlineLevel="0" collapsed="false">
      <c r="A2564" s="32" t="str">
        <f aca="false">IF(L2564="","",ROW()-4)</f>
        <v/>
      </c>
      <c r="B2564" s="58" t="str">
        <f aca="false">IF(L2564="","",IF(INDEX(ポート振替表!$W$5:$W$3507,$L2564)="","(なし)",INDEX(ポート振替表!$W$5:$W$3507,$L2564)&amp;""))</f>
        <v/>
      </c>
      <c r="C2564" s="52" t="str">
        <f aca="false">IF(L2564="","",INDEX(ポート振替表!$B$5:$B$3507,$L2564)&amp;" "&amp;INDEX(ポート振替表!$C$5:$C$3507,$L2564)&amp;"  ⇔  "&amp;INDEX(ポート振替表!$H$5:$H$3507,$L2564)&amp;" "&amp;INDEX(ポート振替表!$I$5:$I$3507,$L2564))</f>
        <v/>
      </c>
      <c r="D2564" s="57" t="s">
        <v>158</v>
      </c>
      <c r="E2564" s="59" t="str">
        <f aca="false">IF(L2564="","",IF(INDEX(ポート振替表!$O$5:$O$3507,$L2564)="","(未設定)",INDEX(ポート振替表!$O$5:$O$3507,$L2564)&amp;""))</f>
        <v/>
      </c>
      <c r="F2564" s="52" t="str">
        <f aca="false">IF(L2564="","",INDEX(ポート振替表!$K$5:$K$3507,$L2564)&amp;" "&amp;INDEX(ポート振替表!$L$5:$L$3507,$L2564)&amp;"  ⇔  "&amp;INDEX(ポート振替表!$H$5:$H$3507,$L2564)&amp;" "&amp;INDEX(ポート振替表!$I$5:$I$3507,$L2564))</f>
        <v/>
      </c>
      <c r="G2564" s="57" t="s">
        <v>158</v>
      </c>
      <c r="H2564" s="32" t="str">
        <f aca="false">IF(L2564="","",INDEX(ポート振替表!$N$5:$N$3507,$L2564)&amp;"")</f>
        <v/>
      </c>
      <c r="I2564" s="32" t="str">
        <f aca="false">IF(L2564="","",INDEX(ポート振替表!$P$5:$P$3507,$L2564)&amp;"")</f>
        <v/>
      </c>
      <c r="J2564" s="60" t="str">
        <f aca="false">IF(L2564="","",INDEX(ポート振替表!$M$5:$M$3507,$L2564)&amp;"")</f>
        <v/>
      </c>
      <c r="K2564" s="52" t="str">
        <f aca="false">IF(L2564="","",E2564&amp;CHAR(10)&amp;INDEX(ポート振替表!$K$5:$K$3507,$L2564)&amp;" "&amp;INDEX(ポート振替表!$L$5:$L$3507,$L2564)&amp;CHAR(10)&amp;"⇔ "&amp;INDEX(ポート振替表!$H$5:$H$3507,$L2564)&amp;" "&amp;INDEX(ポート振替表!$I$5:$I$3507,$L2564))</f>
        <v/>
      </c>
      <c r="L2564" s="47" t="str">
        <f aca="false">IFERROR(MATCH(ROW()-4,ポート振替表!$V$5:$V$3507,0),"")</f>
        <v/>
      </c>
    </row>
    <row r="2565" customFormat="false" ht="16.4" hidden="false" customHeight="false" outlineLevel="0" collapsed="false">
      <c r="A2565" s="32" t="str">
        <f aca="false">IF(L2565="","",ROW()-4)</f>
        <v/>
      </c>
      <c r="B2565" s="58" t="str">
        <f aca="false">IF(L2565="","",IF(INDEX(ポート振替表!$W$5:$W$3507,$L2565)="","(なし)",INDEX(ポート振替表!$W$5:$W$3507,$L2565)&amp;""))</f>
        <v/>
      </c>
      <c r="C2565" s="52" t="str">
        <f aca="false">IF(L2565="","",INDEX(ポート振替表!$B$5:$B$3507,$L2565)&amp;" "&amp;INDEX(ポート振替表!$C$5:$C$3507,$L2565)&amp;"  ⇔  "&amp;INDEX(ポート振替表!$H$5:$H$3507,$L2565)&amp;" "&amp;INDEX(ポート振替表!$I$5:$I$3507,$L2565))</f>
        <v/>
      </c>
      <c r="D2565" s="57" t="s">
        <v>158</v>
      </c>
      <c r="E2565" s="59" t="str">
        <f aca="false">IF(L2565="","",IF(INDEX(ポート振替表!$O$5:$O$3507,$L2565)="","(未設定)",INDEX(ポート振替表!$O$5:$O$3507,$L2565)&amp;""))</f>
        <v/>
      </c>
      <c r="F2565" s="52" t="str">
        <f aca="false">IF(L2565="","",INDEX(ポート振替表!$K$5:$K$3507,$L2565)&amp;" "&amp;INDEX(ポート振替表!$L$5:$L$3507,$L2565)&amp;"  ⇔  "&amp;INDEX(ポート振替表!$H$5:$H$3507,$L2565)&amp;" "&amp;INDEX(ポート振替表!$I$5:$I$3507,$L2565))</f>
        <v/>
      </c>
      <c r="G2565" s="57" t="s">
        <v>158</v>
      </c>
      <c r="H2565" s="32" t="str">
        <f aca="false">IF(L2565="","",INDEX(ポート振替表!$N$5:$N$3507,$L2565)&amp;"")</f>
        <v/>
      </c>
      <c r="I2565" s="32" t="str">
        <f aca="false">IF(L2565="","",INDEX(ポート振替表!$P$5:$P$3507,$L2565)&amp;"")</f>
        <v/>
      </c>
      <c r="J2565" s="60" t="str">
        <f aca="false">IF(L2565="","",INDEX(ポート振替表!$M$5:$M$3507,$L2565)&amp;"")</f>
        <v/>
      </c>
      <c r="K2565" s="52" t="str">
        <f aca="false">IF(L2565="","",E2565&amp;CHAR(10)&amp;INDEX(ポート振替表!$K$5:$K$3507,$L2565)&amp;" "&amp;INDEX(ポート振替表!$L$5:$L$3507,$L2565)&amp;CHAR(10)&amp;"⇔ "&amp;INDEX(ポート振替表!$H$5:$H$3507,$L2565)&amp;" "&amp;INDEX(ポート振替表!$I$5:$I$3507,$L2565))</f>
        <v/>
      </c>
      <c r="L2565" s="47" t="str">
        <f aca="false">IFERROR(MATCH(ROW()-4,ポート振替表!$V$5:$V$3507,0),"")</f>
        <v/>
      </c>
    </row>
    <row r="2566" customFormat="false" ht="16.4" hidden="false" customHeight="false" outlineLevel="0" collapsed="false">
      <c r="A2566" s="32" t="str">
        <f aca="false">IF(L2566="","",ROW()-4)</f>
        <v/>
      </c>
      <c r="B2566" s="58" t="str">
        <f aca="false">IF(L2566="","",IF(INDEX(ポート振替表!$W$5:$W$3507,$L2566)="","(なし)",INDEX(ポート振替表!$W$5:$W$3507,$L2566)&amp;""))</f>
        <v/>
      </c>
      <c r="C2566" s="52" t="str">
        <f aca="false">IF(L2566="","",INDEX(ポート振替表!$B$5:$B$3507,$L2566)&amp;" "&amp;INDEX(ポート振替表!$C$5:$C$3507,$L2566)&amp;"  ⇔  "&amp;INDEX(ポート振替表!$H$5:$H$3507,$L2566)&amp;" "&amp;INDEX(ポート振替表!$I$5:$I$3507,$L2566))</f>
        <v/>
      </c>
      <c r="D2566" s="57" t="s">
        <v>158</v>
      </c>
      <c r="E2566" s="59" t="str">
        <f aca="false">IF(L2566="","",IF(INDEX(ポート振替表!$O$5:$O$3507,$L2566)="","(未設定)",INDEX(ポート振替表!$O$5:$O$3507,$L2566)&amp;""))</f>
        <v/>
      </c>
      <c r="F2566" s="52" t="str">
        <f aca="false">IF(L2566="","",INDEX(ポート振替表!$K$5:$K$3507,$L2566)&amp;" "&amp;INDEX(ポート振替表!$L$5:$L$3507,$L2566)&amp;"  ⇔  "&amp;INDEX(ポート振替表!$H$5:$H$3507,$L2566)&amp;" "&amp;INDEX(ポート振替表!$I$5:$I$3507,$L2566))</f>
        <v/>
      </c>
      <c r="G2566" s="57" t="s">
        <v>158</v>
      </c>
      <c r="H2566" s="32" t="str">
        <f aca="false">IF(L2566="","",INDEX(ポート振替表!$N$5:$N$3507,$L2566)&amp;"")</f>
        <v/>
      </c>
      <c r="I2566" s="32" t="str">
        <f aca="false">IF(L2566="","",INDEX(ポート振替表!$P$5:$P$3507,$L2566)&amp;"")</f>
        <v/>
      </c>
      <c r="J2566" s="60" t="str">
        <f aca="false">IF(L2566="","",INDEX(ポート振替表!$M$5:$M$3507,$L2566)&amp;"")</f>
        <v/>
      </c>
      <c r="K2566" s="52" t="str">
        <f aca="false">IF(L2566="","",E2566&amp;CHAR(10)&amp;INDEX(ポート振替表!$K$5:$K$3507,$L2566)&amp;" "&amp;INDEX(ポート振替表!$L$5:$L$3507,$L2566)&amp;CHAR(10)&amp;"⇔ "&amp;INDEX(ポート振替表!$H$5:$H$3507,$L2566)&amp;" "&amp;INDEX(ポート振替表!$I$5:$I$3507,$L2566))</f>
        <v/>
      </c>
      <c r="L2566" s="47" t="str">
        <f aca="false">IFERROR(MATCH(ROW()-4,ポート振替表!$V$5:$V$3507,0),"")</f>
        <v/>
      </c>
    </row>
    <row r="2567" customFormat="false" ht="16.4" hidden="false" customHeight="false" outlineLevel="0" collapsed="false">
      <c r="A2567" s="32" t="str">
        <f aca="false">IF(L2567="","",ROW()-4)</f>
        <v/>
      </c>
      <c r="B2567" s="58" t="str">
        <f aca="false">IF(L2567="","",IF(INDEX(ポート振替表!$W$5:$W$3507,$L2567)="","(なし)",INDEX(ポート振替表!$W$5:$W$3507,$L2567)&amp;""))</f>
        <v/>
      </c>
      <c r="C2567" s="52" t="str">
        <f aca="false">IF(L2567="","",INDEX(ポート振替表!$B$5:$B$3507,$L2567)&amp;" "&amp;INDEX(ポート振替表!$C$5:$C$3507,$L2567)&amp;"  ⇔  "&amp;INDEX(ポート振替表!$H$5:$H$3507,$L2567)&amp;" "&amp;INDEX(ポート振替表!$I$5:$I$3507,$L2567))</f>
        <v/>
      </c>
      <c r="D2567" s="57" t="s">
        <v>158</v>
      </c>
      <c r="E2567" s="59" t="str">
        <f aca="false">IF(L2567="","",IF(INDEX(ポート振替表!$O$5:$O$3507,$L2567)="","(未設定)",INDEX(ポート振替表!$O$5:$O$3507,$L2567)&amp;""))</f>
        <v/>
      </c>
      <c r="F2567" s="52" t="str">
        <f aca="false">IF(L2567="","",INDEX(ポート振替表!$K$5:$K$3507,$L2567)&amp;" "&amp;INDEX(ポート振替表!$L$5:$L$3507,$L2567)&amp;"  ⇔  "&amp;INDEX(ポート振替表!$H$5:$H$3507,$L2567)&amp;" "&amp;INDEX(ポート振替表!$I$5:$I$3507,$L2567))</f>
        <v/>
      </c>
      <c r="G2567" s="57" t="s">
        <v>158</v>
      </c>
      <c r="H2567" s="32" t="str">
        <f aca="false">IF(L2567="","",INDEX(ポート振替表!$N$5:$N$3507,$L2567)&amp;"")</f>
        <v/>
      </c>
      <c r="I2567" s="32" t="str">
        <f aca="false">IF(L2567="","",INDEX(ポート振替表!$P$5:$P$3507,$L2567)&amp;"")</f>
        <v/>
      </c>
      <c r="J2567" s="60" t="str">
        <f aca="false">IF(L2567="","",INDEX(ポート振替表!$M$5:$M$3507,$L2567)&amp;"")</f>
        <v/>
      </c>
      <c r="K2567" s="52" t="str">
        <f aca="false">IF(L2567="","",E2567&amp;CHAR(10)&amp;INDEX(ポート振替表!$K$5:$K$3507,$L2567)&amp;" "&amp;INDEX(ポート振替表!$L$5:$L$3507,$L2567)&amp;CHAR(10)&amp;"⇔ "&amp;INDEX(ポート振替表!$H$5:$H$3507,$L2567)&amp;" "&amp;INDEX(ポート振替表!$I$5:$I$3507,$L2567))</f>
        <v/>
      </c>
      <c r="L2567" s="47" t="str">
        <f aca="false">IFERROR(MATCH(ROW()-4,ポート振替表!$V$5:$V$3507,0),"")</f>
        <v/>
      </c>
    </row>
    <row r="2568" customFormat="false" ht="16.4" hidden="false" customHeight="false" outlineLevel="0" collapsed="false">
      <c r="A2568" s="32" t="str">
        <f aca="false">IF(L2568="","",ROW()-4)</f>
        <v/>
      </c>
      <c r="B2568" s="58" t="str">
        <f aca="false">IF(L2568="","",IF(INDEX(ポート振替表!$W$5:$W$3507,$L2568)="","(なし)",INDEX(ポート振替表!$W$5:$W$3507,$L2568)&amp;""))</f>
        <v/>
      </c>
      <c r="C2568" s="52" t="str">
        <f aca="false">IF(L2568="","",INDEX(ポート振替表!$B$5:$B$3507,$L2568)&amp;" "&amp;INDEX(ポート振替表!$C$5:$C$3507,$L2568)&amp;"  ⇔  "&amp;INDEX(ポート振替表!$H$5:$H$3507,$L2568)&amp;" "&amp;INDEX(ポート振替表!$I$5:$I$3507,$L2568))</f>
        <v/>
      </c>
      <c r="D2568" s="57" t="s">
        <v>158</v>
      </c>
      <c r="E2568" s="59" t="str">
        <f aca="false">IF(L2568="","",IF(INDEX(ポート振替表!$O$5:$O$3507,$L2568)="","(未設定)",INDEX(ポート振替表!$O$5:$O$3507,$L2568)&amp;""))</f>
        <v/>
      </c>
      <c r="F2568" s="52" t="str">
        <f aca="false">IF(L2568="","",INDEX(ポート振替表!$K$5:$K$3507,$L2568)&amp;" "&amp;INDEX(ポート振替表!$L$5:$L$3507,$L2568)&amp;"  ⇔  "&amp;INDEX(ポート振替表!$H$5:$H$3507,$L2568)&amp;" "&amp;INDEX(ポート振替表!$I$5:$I$3507,$L2568))</f>
        <v/>
      </c>
      <c r="G2568" s="57" t="s">
        <v>158</v>
      </c>
      <c r="H2568" s="32" t="str">
        <f aca="false">IF(L2568="","",INDEX(ポート振替表!$N$5:$N$3507,$L2568)&amp;"")</f>
        <v/>
      </c>
      <c r="I2568" s="32" t="str">
        <f aca="false">IF(L2568="","",INDEX(ポート振替表!$P$5:$P$3507,$L2568)&amp;"")</f>
        <v/>
      </c>
      <c r="J2568" s="60" t="str">
        <f aca="false">IF(L2568="","",INDEX(ポート振替表!$M$5:$M$3507,$L2568)&amp;"")</f>
        <v/>
      </c>
      <c r="K2568" s="52" t="str">
        <f aca="false">IF(L2568="","",E2568&amp;CHAR(10)&amp;INDEX(ポート振替表!$K$5:$K$3507,$L2568)&amp;" "&amp;INDEX(ポート振替表!$L$5:$L$3507,$L2568)&amp;CHAR(10)&amp;"⇔ "&amp;INDEX(ポート振替表!$H$5:$H$3507,$L2568)&amp;" "&amp;INDEX(ポート振替表!$I$5:$I$3507,$L2568))</f>
        <v/>
      </c>
      <c r="L2568" s="47" t="str">
        <f aca="false">IFERROR(MATCH(ROW()-4,ポート振替表!$V$5:$V$3507,0),"")</f>
        <v/>
      </c>
    </row>
    <row r="2569" customFormat="false" ht="16.4" hidden="false" customHeight="false" outlineLevel="0" collapsed="false">
      <c r="A2569" s="32" t="str">
        <f aca="false">IF(L2569="","",ROW()-4)</f>
        <v/>
      </c>
      <c r="B2569" s="58" t="str">
        <f aca="false">IF(L2569="","",IF(INDEX(ポート振替表!$W$5:$W$3507,$L2569)="","(なし)",INDEX(ポート振替表!$W$5:$W$3507,$L2569)&amp;""))</f>
        <v/>
      </c>
      <c r="C2569" s="52" t="str">
        <f aca="false">IF(L2569="","",INDEX(ポート振替表!$B$5:$B$3507,$L2569)&amp;" "&amp;INDEX(ポート振替表!$C$5:$C$3507,$L2569)&amp;"  ⇔  "&amp;INDEX(ポート振替表!$H$5:$H$3507,$L2569)&amp;" "&amp;INDEX(ポート振替表!$I$5:$I$3507,$L2569))</f>
        <v/>
      </c>
      <c r="D2569" s="57" t="s">
        <v>158</v>
      </c>
      <c r="E2569" s="59" t="str">
        <f aca="false">IF(L2569="","",IF(INDEX(ポート振替表!$O$5:$O$3507,$L2569)="","(未設定)",INDEX(ポート振替表!$O$5:$O$3507,$L2569)&amp;""))</f>
        <v/>
      </c>
      <c r="F2569" s="52" t="str">
        <f aca="false">IF(L2569="","",INDEX(ポート振替表!$K$5:$K$3507,$L2569)&amp;" "&amp;INDEX(ポート振替表!$L$5:$L$3507,$L2569)&amp;"  ⇔  "&amp;INDEX(ポート振替表!$H$5:$H$3507,$L2569)&amp;" "&amp;INDEX(ポート振替表!$I$5:$I$3507,$L2569))</f>
        <v/>
      </c>
      <c r="G2569" s="57" t="s">
        <v>158</v>
      </c>
      <c r="H2569" s="32" t="str">
        <f aca="false">IF(L2569="","",INDEX(ポート振替表!$N$5:$N$3507,$L2569)&amp;"")</f>
        <v/>
      </c>
      <c r="I2569" s="32" t="str">
        <f aca="false">IF(L2569="","",INDEX(ポート振替表!$P$5:$P$3507,$L2569)&amp;"")</f>
        <v/>
      </c>
      <c r="J2569" s="60" t="str">
        <f aca="false">IF(L2569="","",INDEX(ポート振替表!$M$5:$M$3507,$L2569)&amp;"")</f>
        <v/>
      </c>
      <c r="K2569" s="52" t="str">
        <f aca="false">IF(L2569="","",E2569&amp;CHAR(10)&amp;INDEX(ポート振替表!$K$5:$K$3507,$L2569)&amp;" "&amp;INDEX(ポート振替表!$L$5:$L$3507,$L2569)&amp;CHAR(10)&amp;"⇔ "&amp;INDEX(ポート振替表!$H$5:$H$3507,$L2569)&amp;" "&amp;INDEX(ポート振替表!$I$5:$I$3507,$L2569))</f>
        <v/>
      </c>
      <c r="L2569" s="47" t="str">
        <f aca="false">IFERROR(MATCH(ROW()-4,ポート振替表!$V$5:$V$3507,0),"")</f>
        <v/>
      </c>
    </row>
    <row r="2570" customFormat="false" ht="16.4" hidden="false" customHeight="false" outlineLevel="0" collapsed="false">
      <c r="A2570" s="32" t="str">
        <f aca="false">IF(L2570="","",ROW()-4)</f>
        <v/>
      </c>
      <c r="B2570" s="58" t="str">
        <f aca="false">IF(L2570="","",IF(INDEX(ポート振替表!$W$5:$W$3507,$L2570)="","(なし)",INDEX(ポート振替表!$W$5:$W$3507,$L2570)&amp;""))</f>
        <v/>
      </c>
      <c r="C2570" s="52" t="str">
        <f aca="false">IF(L2570="","",INDEX(ポート振替表!$B$5:$B$3507,$L2570)&amp;" "&amp;INDEX(ポート振替表!$C$5:$C$3507,$L2570)&amp;"  ⇔  "&amp;INDEX(ポート振替表!$H$5:$H$3507,$L2570)&amp;" "&amp;INDEX(ポート振替表!$I$5:$I$3507,$L2570))</f>
        <v/>
      </c>
      <c r="D2570" s="57" t="s">
        <v>158</v>
      </c>
      <c r="E2570" s="59" t="str">
        <f aca="false">IF(L2570="","",IF(INDEX(ポート振替表!$O$5:$O$3507,$L2570)="","(未設定)",INDEX(ポート振替表!$O$5:$O$3507,$L2570)&amp;""))</f>
        <v/>
      </c>
      <c r="F2570" s="52" t="str">
        <f aca="false">IF(L2570="","",INDEX(ポート振替表!$K$5:$K$3507,$L2570)&amp;" "&amp;INDEX(ポート振替表!$L$5:$L$3507,$L2570)&amp;"  ⇔  "&amp;INDEX(ポート振替表!$H$5:$H$3507,$L2570)&amp;" "&amp;INDEX(ポート振替表!$I$5:$I$3507,$L2570))</f>
        <v/>
      </c>
      <c r="G2570" s="57" t="s">
        <v>158</v>
      </c>
      <c r="H2570" s="32" t="str">
        <f aca="false">IF(L2570="","",INDEX(ポート振替表!$N$5:$N$3507,$L2570)&amp;"")</f>
        <v/>
      </c>
      <c r="I2570" s="32" t="str">
        <f aca="false">IF(L2570="","",INDEX(ポート振替表!$P$5:$P$3507,$L2570)&amp;"")</f>
        <v/>
      </c>
      <c r="J2570" s="60" t="str">
        <f aca="false">IF(L2570="","",INDEX(ポート振替表!$M$5:$M$3507,$L2570)&amp;"")</f>
        <v/>
      </c>
      <c r="K2570" s="52" t="str">
        <f aca="false">IF(L2570="","",E2570&amp;CHAR(10)&amp;INDEX(ポート振替表!$K$5:$K$3507,$L2570)&amp;" "&amp;INDEX(ポート振替表!$L$5:$L$3507,$L2570)&amp;CHAR(10)&amp;"⇔ "&amp;INDEX(ポート振替表!$H$5:$H$3507,$L2570)&amp;" "&amp;INDEX(ポート振替表!$I$5:$I$3507,$L2570))</f>
        <v/>
      </c>
      <c r="L2570" s="47" t="str">
        <f aca="false">IFERROR(MATCH(ROW()-4,ポート振替表!$V$5:$V$3507,0),"")</f>
        <v/>
      </c>
    </row>
    <row r="2571" customFormat="false" ht="16.4" hidden="false" customHeight="false" outlineLevel="0" collapsed="false">
      <c r="A2571" s="32" t="str">
        <f aca="false">IF(L2571="","",ROW()-4)</f>
        <v/>
      </c>
      <c r="B2571" s="58" t="str">
        <f aca="false">IF(L2571="","",IF(INDEX(ポート振替表!$W$5:$W$3507,$L2571)="","(なし)",INDEX(ポート振替表!$W$5:$W$3507,$L2571)&amp;""))</f>
        <v/>
      </c>
      <c r="C2571" s="52" t="str">
        <f aca="false">IF(L2571="","",INDEX(ポート振替表!$B$5:$B$3507,$L2571)&amp;" "&amp;INDEX(ポート振替表!$C$5:$C$3507,$L2571)&amp;"  ⇔  "&amp;INDEX(ポート振替表!$H$5:$H$3507,$L2571)&amp;" "&amp;INDEX(ポート振替表!$I$5:$I$3507,$L2571))</f>
        <v/>
      </c>
      <c r="D2571" s="57" t="s">
        <v>158</v>
      </c>
      <c r="E2571" s="59" t="str">
        <f aca="false">IF(L2571="","",IF(INDEX(ポート振替表!$O$5:$O$3507,$L2571)="","(未設定)",INDEX(ポート振替表!$O$5:$O$3507,$L2571)&amp;""))</f>
        <v/>
      </c>
      <c r="F2571" s="52" t="str">
        <f aca="false">IF(L2571="","",INDEX(ポート振替表!$K$5:$K$3507,$L2571)&amp;" "&amp;INDEX(ポート振替表!$L$5:$L$3507,$L2571)&amp;"  ⇔  "&amp;INDEX(ポート振替表!$H$5:$H$3507,$L2571)&amp;" "&amp;INDEX(ポート振替表!$I$5:$I$3507,$L2571))</f>
        <v/>
      </c>
      <c r="G2571" s="57" t="s">
        <v>158</v>
      </c>
      <c r="H2571" s="32" t="str">
        <f aca="false">IF(L2571="","",INDEX(ポート振替表!$N$5:$N$3507,$L2571)&amp;"")</f>
        <v/>
      </c>
      <c r="I2571" s="32" t="str">
        <f aca="false">IF(L2571="","",INDEX(ポート振替表!$P$5:$P$3507,$L2571)&amp;"")</f>
        <v/>
      </c>
      <c r="J2571" s="60" t="str">
        <f aca="false">IF(L2571="","",INDEX(ポート振替表!$M$5:$M$3507,$L2571)&amp;"")</f>
        <v/>
      </c>
      <c r="K2571" s="52" t="str">
        <f aca="false">IF(L2571="","",E2571&amp;CHAR(10)&amp;INDEX(ポート振替表!$K$5:$K$3507,$L2571)&amp;" "&amp;INDEX(ポート振替表!$L$5:$L$3507,$L2571)&amp;CHAR(10)&amp;"⇔ "&amp;INDEX(ポート振替表!$H$5:$H$3507,$L2571)&amp;" "&amp;INDEX(ポート振替表!$I$5:$I$3507,$L2571))</f>
        <v/>
      </c>
      <c r="L2571" s="47" t="str">
        <f aca="false">IFERROR(MATCH(ROW()-4,ポート振替表!$V$5:$V$3507,0),"")</f>
        <v/>
      </c>
    </row>
    <row r="2572" customFormat="false" ht="16.4" hidden="false" customHeight="false" outlineLevel="0" collapsed="false">
      <c r="A2572" s="32" t="str">
        <f aca="false">IF(L2572="","",ROW()-4)</f>
        <v/>
      </c>
      <c r="B2572" s="58" t="str">
        <f aca="false">IF(L2572="","",IF(INDEX(ポート振替表!$W$5:$W$3507,$L2572)="","(なし)",INDEX(ポート振替表!$W$5:$W$3507,$L2572)&amp;""))</f>
        <v/>
      </c>
      <c r="C2572" s="52" t="str">
        <f aca="false">IF(L2572="","",INDEX(ポート振替表!$B$5:$B$3507,$L2572)&amp;" "&amp;INDEX(ポート振替表!$C$5:$C$3507,$L2572)&amp;"  ⇔  "&amp;INDEX(ポート振替表!$H$5:$H$3507,$L2572)&amp;" "&amp;INDEX(ポート振替表!$I$5:$I$3507,$L2572))</f>
        <v/>
      </c>
      <c r="D2572" s="57" t="s">
        <v>158</v>
      </c>
      <c r="E2572" s="59" t="str">
        <f aca="false">IF(L2572="","",IF(INDEX(ポート振替表!$O$5:$O$3507,$L2572)="","(未設定)",INDEX(ポート振替表!$O$5:$O$3507,$L2572)&amp;""))</f>
        <v/>
      </c>
      <c r="F2572" s="52" t="str">
        <f aca="false">IF(L2572="","",INDEX(ポート振替表!$K$5:$K$3507,$L2572)&amp;" "&amp;INDEX(ポート振替表!$L$5:$L$3507,$L2572)&amp;"  ⇔  "&amp;INDEX(ポート振替表!$H$5:$H$3507,$L2572)&amp;" "&amp;INDEX(ポート振替表!$I$5:$I$3507,$L2572))</f>
        <v/>
      </c>
      <c r="G2572" s="57" t="s">
        <v>158</v>
      </c>
      <c r="H2572" s="32" t="str">
        <f aca="false">IF(L2572="","",INDEX(ポート振替表!$N$5:$N$3507,$L2572)&amp;"")</f>
        <v/>
      </c>
      <c r="I2572" s="32" t="str">
        <f aca="false">IF(L2572="","",INDEX(ポート振替表!$P$5:$P$3507,$L2572)&amp;"")</f>
        <v/>
      </c>
      <c r="J2572" s="60" t="str">
        <f aca="false">IF(L2572="","",INDEX(ポート振替表!$M$5:$M$3507,$L2572)&amp;"")</f>
        <v/>
      </c>
      <c r="K2572" s="52" t="str">
        <f aca="false">IF(L2572="","",E2572&amp;CHAR(10)&amp;INDEX(ポート振替表!$K$5:$K$3507,$L2572)&amp;" "&amp;INDEX(ポート振替表!$L$5:$L$3507,$L2572)&amp;CHAR(10)&amp;"⇔ "&amp;INDEX(ポート振替表!$H$5:$H$3507,$L2572)&amp;" "&amp;INDEX(ポート振替表!$I$5:$I$3507,$L2572))</f>
        <v/>
      </c>
      <c r="L2572" s="47" t="str">
        <f aca="false">IFERROR(MATCH(ROW()-4,ポート振替表!$V$5:$V$3507,0),"")</f>
        <v/>
      </c>
    </row>
    <row r="2573" customFormat="false" ht="16.4" hidden="false" customHeight="false" outlineLevel="0" collapsed="false">
      <c r="A2573" s="32" t="str">
        <f aca="false">IF(L2573="","",ROW()-4)</f>
        <v/>
      </c>
      <c r="B2573" s="58" t="str">
        <f aca="false">IF(L2573="","",IF(INDEX(ポート振替表!$W$5:$W$3507,$L2573)="","(なし)",INDEX(ポート振替表!$W$5:$W$3507,$L2573)&amp;""))</f>
        <v/>
      </c>
      <c r="C2573" s="52" t="str">
        <f aca="false">IF(L2573="","",INDEX(ポート振替表!$B$5:$B$3507,$L2573)&amp;" "&amp;INDEX(ポート振替表!$C$5:$C$3507,$L2573)&amp;"  ⇔  "&amp;INDEX(ポート振替表!$H$5:$H$3507,$L2573)&amp;" "&amp;INDEX(ポート振替表!$I$5:$I$3507,$L2573))</f>
        <v/>
      </c>
      <c r="D2573" s="57" t="s">
        <v>158</v>
      </c>
      <c r="E2573" s="59" t="str">
        <f aca="false">IF(L2573="","",IF(INDEX(ポート振替表!$O$5:$O$3507,$L2573)="","(未設定)",INDEX(ポート振替表!$O$5:$O$3507,$L2573)&amp;""))</f>
        <v/>
      </c>
      <c r="F2573" s="52" t="str">
        <f aca="false">IF(L2573="","",INDEX(ポート振替表!$K$5:$K$3507,$L2573)&amp;" "&amp;INDEX(ポート振替表!$L$5:$L$3507,$L2573)&amp;"  ⇔  "&amp;INDEX(ポート振替表!$H$5:$H$3507,$L2573)&amp;" "&amp;INDEX(ポート振替表!$I$5:$I$3507,$L2573))</f>
        <v/>
      </c>
      <c r="G2573" s="57" t="s">
        <v>158</v>
      </c>
      <c r="H2573" s="32" t="str">
        <f aca="false">IF(L2573="","",INDEX(ポート振替表!$N$5:$N$3507,$L2573)&amp;"")</f>
        <v/>
      </c>
      <c r="I2573" s="32" t="str">
        <f aca="false">IF(L2573="","",INDEX(ポート振替表!$P$5:$P$3507,$L2573)&amp;"")</f>
        <v/>
      </c>
      <c r="J2573" s="60" t="str">
        <f aca="false">IF(L2573="","",INDEX(ポート振替表!$M$5:$M$3507,$L2573)&amp;"")</f>
        <v/>
      </c>
      <c r="K2573" s="52" t="str">
        <f aca="false">IF(L2573="","",E2573&amp;CHAR(10)&amp;INDEX(ポート振替表!$K$5:$K$3507,$L2573)&amp;" "&amp;INDEX(ポート振替表!$L$5:$L$3507,$L2573)&amp;CHAR(10)&amp;"⇔ "&amp;INDEX(ポート振替表!$H$5:$H$3507,$L2573)&amp;" "&amp;INDEX(ポート振替表!$I$5:$I$3507,$L2573))</f>
        <v/>
      </c>
      <c r="L2573" s="47" t="str">
        <f aca="false">IFERROR(MATCH(ROW()-4,ポート振替表!$V$5:$V$3507,0),"")</f>
        <v/>
      </c>
    </row>
    <row r="2574" customFormat="false" ht="16.4" hidden="false" customHeight="false" outlineLevel="0" collapsed="false">
      <c r="A2574" s="32" t="str">
        <f aca="false">IF(L2574="","",ROW()-4)</f>
        <v/>
      </c>
      <c r="B2574" s="58" t="str">
        <f aca="false">IF(L2574="","",IF(INDEX(ポート振替表!$W$5:$W$3507,$L2574)="","(なし)",INDEX(ポート振替表!$W$5:$W$3507,$L2574)&amp;""))</f>
        <v/>
      </c>
      <c r="C2574" s="52" t="str">
        <f aca="false">IF(L2574="","",INDEX(ポート振替表!$B$5:$B$3507,$L2574)&amp;" "&amp;INDEX(ポート振替表!$C$5:$C$3507,$L2574)&amp;"  ⇔  "&amp;INDEX(ポート振替表!$H$5:$H$3507,$L2574)&amp;" "&amp;INDEX(ポート振替表!$I$5:$I$3507,$L2574))</f>
        <v/>
      </c>
      <c r="D2574" s="57" t="s">
        <v>158</v>
      </c>
      <c r="E2574" s="59" t="str">
        <f aca="false">IF(L2574="","",IF(INDEX(ポート振替表!$O$5:$O$3507,$L2574)="","(未設定)",INDEX(ポート振替表!$O$5:$O$3507,$L2574)&amp;""))</f>
        <v/>
      </c>
      <c r="F2574" s="52" t="str">
        <f aca="false">IF(L2574="","",INDEX(ポート振替表!$K$5:$K$3507,$L2574)&amp;" "&amp;INDEX(ポート振替表!$L$5:$L$3507,$L2574)&amp;"  ⇔  "&amp;INDEX(ポート振替表!$H$5:$H$3507,$L2574)&amp;" "&amp;INDEX(ポート振替表!$I$5:$I$3507,$L2574))</f>
        <v/>
      </c>
      <c r="G2574" s="57" t="s">
        <v>158</v>
      </c>
      <c r="H2574" s="32" t="str">
        <f aca="false">IF(L2574="","",INDEX(ポート振替表!$N$5:$N$3507,$L2574)&amp;"")</f>
        <v/>
      </c>
      <c r="I2574" s="32" t="str">
        <f aca="false">IF(L2574="","",INDEX(ポート振替表!$P$5:$P$3507,$L2574)&amp;"")</f>
        <v/>
      </c>
      <c r="J2574" s="60" t="str">
        <f aca="false">IF(L2574="","",INDEX(ポート振替表!$M$5:$M$3507,$L2574)&amp;"")</f>
        <v/>
      </c>
      <c r="K2574" s="52" t="str">
        <f aca="false">IF(L2574="","",E2574&amp;CHAR(10)&amp;INDEX(ポート振替表!$K$5:$K$3507,$L2574)&amp;" "&amp;INDEX(ポート振替表!$L$5:$L$3507,$L2574)&amp;CHAR(10)&amp;"⇔ "&amp;INDEX(ポート振替表!$H$5:$H$3507,$L2574)&amp;" "&amp;INDEX(ポート振替表!$I$5:$I$3507,$L2574))</f>
        <v/>
      </c>
      <c r="L2574" s="47" t="str">
        <f aca="false">IFERROR(MATCH(ROW()-4,ポート振替表!$V$5:$V$3507,0),"")</f>
        <v/>
      </c>
    </row>
    <row r="2575" customFormat="false" ht="16.4" hidden="false" customHeight="false" outlineLevel="0" collapsed="false">
      <c r="A2575" s="32" t="str">
        <f aca="false">IF(L2575="","",ROW()-4)</f>
        <v/>
      </c>
      <c r="B2575" s="58" t="str">
        <f aca="false">IF(L2575="","",IF(INDEX(ポート振替表!$W$5:$W$3507,$L2575)="","(なし)",INDEX(ポート振替表!$W$5:$W$3507,$L2575)&amp;""))</f>
        <v/>
      </c>
      <c r="C2575" s="52" t="str">
        <f aca="false">IF(L2575="","",INDEX(ポート振替表!$B$5:$B$3507,$L2575)&amp;" "&amp;INDEX(ポート振替表!$C$5:$C$3507,$L2575)&amp;"  ⇔  "&amp;INDEX(ポート振替表!$H$5:$H$3507,$L2575)&amp;" "&amp;INDEX(ポート振替表!$I$5:$I$3507,$L2575))</f>
        <v/>
      </c>
      <c r="D2575" s="57" t="s">
        <v>158</v>
      </c>
      <c r="E2575" s="59" t="str">
        <f aca="false">IF(L2575="","",IF(INDEX(ポート振替表!$O$5:$O$3507,$L2575)="","(未設定)",INDEX(ポート振替表!$O$5:$O$3507,$L2575)&amp;""))</f>
        <v/>
      </c>
      <c r="F2575" s="52" t="str">
        <f aca="false">IF(L2575="","",INDEX(ポート振替表!$K$5:$K$3507,$L2575)&amp;" "&amp;INDEX(ポート振替表!$L$5:$L$3507,$L2575)&amp;"  ⇔  "&amp;INDEX(ポート振替表!$H$5:$H$3507,$L2575)&amp;" "&amp;INDEX(ポート振替表!$I$5:$I$3507,$L2575))</f>
        <v/>
      </c>
      <c r="G2575" s="57" t="s">
        <v>158</v>
      </c>
      <c r="H2575" s="32" t="str">
        <f aca="false">IF(L2575="","",INDEX(ポート振替表!$N$5:$N$3507,$L2575)&amp;"")</f>
        <v/>
      </c>
      <c r="I2575" s="32" t="str">
        <f aca="false">IF(L2575="","",INDEX(ポート振替表!$P$5:$P$3507,$L2575)&amp;"")</f>
        <v/>
      </c>
      <c r="J2575" s="60" t="str">
        <f aca="false">IF(L2575="","",INDEX(ポート振替表!$M$5:$M$3507,$L2575)&amp;"")</f>
        <v/>
      </c>
      <c r="K2575" s="52" t="str">
        <f aca="false">IF(L2575="","",E2575&amp;CHAR(10)&amp;INDEX(ポート振替表!$K$5:$K$3507,$L2575)&amp;" "&amp;INDEX(ポート振替表!$L$5:$L$3507,$L2575)&amp;CHAR(10)&amp;"⇔ "&amp;INDEX(ポート振替表!$H$5:$H$3507,$L2575)&amp;" "&amp;INDEX(ポート振替表!$I$5:$I$3507,$L2575))</f>
        <v/>
      </c>
      <c r="L2575" s="47" t="str">
        <f aca="false">IFERROR(MATCH(ROW()-4,ポート振替表!$V$5:$V$3507,0),"")</f>
        <v/>
      </c>
    </row>
    <row r="2576" customFormat="false" ht="16.4" hidden="false" customHeight="false" outlineLevel="0" collapsed="false">
      <c r="A2576" s="32" t="str">
        <f aca="false">IF(L2576="","",ROW()-4)</f>
        <v/>
      </c>
      <c r="B2576" s="58" t="str">
        <f aca="false">IF(L2576="","",IF(INDEX(ポート振替表!$W$5:$W$3507,$L2576)="","(なし)",INDEX(ポート振替表!$W$5:$W$3507,$L2576)&amp;""))</f>
        <v/>
      </c>
      <c r="C2576" s="52" t="str">
        <f aca="false">IF(L2576="","",INDEX(ポート振替表!$B$5:$B$3507,$L2576)&amp;" "&amp;INDEX(ポート振替表!$C$5:$C$3507,$L2576)&amp;"  ⇔  "&amp;INDEX(ポート振替表!$H$5:$H$3507,$L2576)&amp;" "&amp;INDEX(ポート振替表!$I$5:$I$3507,$L2576))</f>
        <v/>
      </c>
      <c r="D2576" s="57" t="s">
        <v>158</v>
      </c>
      <c r="E2576" s="59" t="str">
        <f aca="false">IF(L2576="","",IF(INDEX(ポート振替表!$O$5:$O$3507,$L2576)="","(未設定)",INDEX(ポート振替表!$O$5:$O$3507,$L2576)&amp;""))</f>
        <v/>
      </c>
      <c r="F2576" s="52" t="str">
        <f aca="false">IF(L2576="","",INDEX(ポート振替表!$K$5:$K$3507,$L2576)&amp;" "&amp;INDEX(ポート振替表!$L$5:$L$3507,$L2576)&amp;"  ⇔  "&amp;INDEX(ポート振替表!$H$5:$H$3507,$L2576)&amp;" "&amp;INDEX(ポート振替表!$I$5:$I$3507,$L2576))</f>
        <v/>
      </c>
      <c r="G2576" s="57" t="s">
        <v>158</v>
      </c>
      <c r="H2576" s="32" t="str">
        <f aca="false">IF(L2576="","",INDEX(ポート振替表!$N$5:$N$3507,$L2576)&amp;"")</f>
        <v/>
      </c>
      <c r="I2576" s="32" t="str">
        <f aca="false">IF(L2576="","",INDEX(ポート振替表!$P$5:$P$3507,$L2576)&amp;"")</f>
        <v/>
      </c>
      <c r="J2576" s="60" t="str">
        <f aca="false">IF(L2576="","",INDEX(ポート振替表!$M$5:$M$3507,$L2576)&amp;"")</f>
        <v/>
      </c>
      <c r="K2576" s="52" t="str">
        <f aca="false">IF(L2576="","",E2576&amp;CHAR(10)&amp;INDEX(ポート振替表!$K$5:$K$3507,$L2576)&amp;" "&amp;INDEX(ポート振替表!$L$5:$L$3507,$L2576)&amp;CHAR(10)&amp;"⇔ "&amp;INDEX(ポート振替表!$H$5:$H$3507,$L2576)&amp;" "&amp;INDEX(ポート振替表!$I$5:$I$3507,$L2576))</f>
        <v/>
      </c>
      <c r="L2576" s="47" t="str">
        <f aca="false">IFERROR(MATCH(ROW()-4,ポート振替表!$V$5:$V$3507,0),"")</f>
        <v/>
      </c>
    </row>
    <row r="2577" customFormat="false" ht="16.4" hidden="false" customHeight="false" outlineLevel="0" collapsed="false">
      <c r="A2577" s="32" t="str">
        <f aca="false">IF(L2577="","",ROW()-4)</f>
        <v/>
      </c>
      <c r="B2577" s="58" t="str">
        <f aca="false">IF(L2577="","",IF(INDEX(ポート振替表!$W$5:$W$3507,$L2577)="","(なし)",INDEX(ポート振替表!$W$5:$W$3507,$L2577)&amp;""))</f>
        <v/>
      </c>
      <c r="C2577" s="52" t="str">
        <f aca="false">IF(L2577="","",INDEX(ポート振替表!$B$5:$B$3507,$L2577)&amp;" "&amp;INDEX(ポート振替表!$C$5:$C$3507,$L2577)&amp;"  ⇔  "&amp;INDEX(ポート振替表!$H$5:$H$3507,$L2577)&amp;" "&amp;INDEX(ポート振替表!$I$5:$I$3507,$L2577))</f>
        <v/>
      </c>
      <c r="D2577" s="57" t="s">
        <v>158</v>
      </c>
      <c r="E2577" s="59" t="str">
        <f aca="false">IF(L2577="","",IF(INDEX(ポート振替表!$O$5:$O$3507,$L2577)="","(未設定)",INDEX(ポート振替表!$O$5:$O$3507,$L2577)&amp;""))</f>
        <v/>
      </c>
      <c r="F2577" s="52" t="str">
        <f aca="false">IF(L2577="","",INDEX(ポート振替表!$K$5:$K$3507,$L2577)&amp;" "&amp;INDEX(ポート振替表!$L$5:$L$3507,$L2577)&amp;"  ⇔  "&amp;INDEX(ポート振替表!$H$5:$H$3507,$L2577)&amp;" "&amp;INDEX(ポート振替表!$I$5:$I$3507,$L2577))</f>
        <v/>
      </c>
      <c r="G2577" s="57" t="s">
        <v>158</v>
      </c>
      <c r="H2577" s="32" t="str">
        <f aca="false">IF(L2577="","",INDEX(ポート振替表!$N$5:$N$3507,$L2577)&amp;"")</f>
        <v/>
      </c>
      <c r="I2577" s="32" t="str">
        <f aca="false">IF(L2577="","",INDEX(ポート振替表!$P$5:$P$3507,$L2577)&amp;"")</f>
        <v/>
      </c>
      <c r="J2577" s="60" t="str">
        <f aca="false">IF(L2577="","",INDEX(ポート振替表!$M$5:$M$3507,$L2577)&amp;"")</f>
        <v/>
      </c>
      <c r="K2577" s="52" t="str">
        <f aca="false">IF(L2577="","",E2577&amp;CHAR(10)&amp;INDEX(ポート振替表!$K$5:$K$3507,$L2577)&amp;" "&amp;INDEX(ポート振替表!$L$5:$L$3507,$L2577)&amp;CHAR(10)&amp;"⇔ "&amp;INDEX(ポート振替表!$H$5:$H$3507,$L2577)&amp;" "&amp;INDEX(ポート振替表!$I$5:$I$3507,$L2577))</f>
        <v/>
      </c>
      <c r="L2577" s="47" t="str">
        <f aca="false">IFERROR(MATCH(ROW()-4,ポート振替表!$V$5:$V$3507,0),"")</f>
        <v/>
      </c>
    </row>
    <row r="2578" customFormat="false" ht="16.4" hidden="false" customHeight="false" outlineLevel="0" collapsed="false">
      <c r="A2578" s="32" t="str">
        <f aca="false">IF(L2578="","",ROW()-4)</f>
        <v/>
      </c>
      <c r="B2578" s="58" t="str">
        <f aca="false">IF(L2578="","",IF(INDEX(ポート振替表!$W$5:$W$3507,$L2578)="","(なし)",INDEX(ポート振替表!$W$5:$W$3507,$L2578)&amp;""))</f>
        <v/>
      </c>
      <c r="C2578" s="52" t="str">
        <f aca="false">IF(L2578="","",INDEX(ポート振替表!$B$5:$B$3507,$L2578)&amp;" "&amp;INDEX(ポート振替表!$C$5:$C$3507,$L2578)&amp;"  ⇔  "&amp;INDEX(ポート振替表!$H$5:$H$3507,$L2578)&amp;" "&amp;INDEX(ポート振替表!$I$5:$I$3507,$L2578))</f>
        <v/>
      </c>
      <c r="D2578" s="57" t="s">
        <v>158</v>
      </c>
      <c r="E2578" s="59" t="str">
        <f aca="false">IF(L2578="","",IF(INDEX(ポート振替表!$O$5:$O$3507,$L2578)="","(未設定)",INDEX(ポート振替表!$O$5:$O$3507,$L2578)&amp;""))</f>
        <v/>
      </c>
      <c r="F2578" s="52" t="str">
        <f aca="false">IF(L2578="","",INDEX(ポート振替表!$K$5:$K$3507,$L2578)&amp;" "&amp;INDEX(ポート振替表!$L$5:$L$3507,$L2578)&amp;"  ⇔  "&amp;INDEX(ポート振替表!$H$5:$H$3507,$L2578)&amp;" "&amp;INDEX(ポート振替表!$I$5:$I$3507,$L2578))</f>
        <v/>
      </c>
      <c r="G2578" s="57" t="s">
        <v>158</v>
      </c>
      <c r="H2578" s="32" t="str">
        <f aca="false">IF(L2578="","",INDEX(ポート振替表!$N$5:$N$3507,$L2578)&amp;"")</f>
        <v/>
      </c>
      <c r="I2578" s="32" t="str">
        <f aca="false">IF(L2578="","",INDEX(ポート振替表!$P$5:$P$3507,$L2578)&amp;"")</f>
        <v/>
      </c>
      <c r="J2578" s="60" t="str">
        <f aca="false">IF(L2578="","",INDEX(ポート振替表!$M$5:$M$3507,$L2578)&amp;"")</f>
        <v/>
      </c>
      <c r="K2578" s="52" t="str">
        <f aca="false">IF(L2578="","",E2578&amp;CHAR(10)&amp;INDEX(ポート振替表!$K$5:$K$3507,$L2578)&amp;" "&amp;INDEX(ポート振替表!$L$5:$L$3507,$L2578)&amp;CHAR(10)&amp;"⇔ "&amp;INDEX(ポート振替表!$H$5:$H$3507,$L2578)&amp;" "&amp;INDEX(ポート振替表!$I$5:$I$3507,$L2578))</f>
        <v/>
      </c>
      <c r="L2578" s="47" t="str">
        <f aca="false">IFERROR(MATCH(ROW()-4,ポート振替表!$V$5:$V$3507,0),"")</f>
        <v/>
      </c>
    </row>
    <row r="2579" customFormat="false" ht="16.4" hidden="false" customHeight="false" outlineLevel="0" collapsed="false">
      <c r="A2579" s="32" t="str">
        <f aca="false">IF(L2579="","",ROW()-4)</f>
        <v/>
      </c>
      <c r="B2579" s="58" t="str">
        <f aca="false">IF(L2579="","",IF(INDEX(ポート振替表!$W$5:$W$3507,$L2579)="","(なし)",INDEX(ポート振替表!$W$5:$W$3507,$L2579)&amp;""))</f>
        <v/>
      </c>
      <c r="C2579" s="52" t="str">
        <f aca="false">IF(L2579="","",INDEX(ポート振替表!$B$5:$B$3507,$L2579)&amp;" "&amp;INDEX(ポート振替表!$C$5:$C$3507,$L2579)&amp;"  ⇔  "&amp;INDEX(ポート振替表!$H$5:$H$3507,$L2579)&amp;" "&amp;INDEX(ポート振替表!$I$5:$I$3507,$L2579))</f>
        <v/>
      </c>
      <c r="D2579" s="57" t="s">
        <v>158</v>
      </c>
      <c r="E2579" s="59" t="str">
        <f aca="false">IF(L2579="","",IF(INDEX(ポート振替表!$O$5:$O$3507,$L2579)="","(未設定)",INDEX(ポート振替表!$O$5:$O$3507,$L2579)&amp;""))</f>
        <v/>
      </c>
      <c r="F2579" s="52" t="str">
        <f aca="false">IF(L2579="","",INDEX(ポート振替表!$K$5:$K$3507,$L2579)&amp;" "&amp;INDEX(ポート振替表!$L$5:$L$3507,$L2579)&amp;"  ⇔  "&amp;INDEX(ポート振替表!$H$5:$H$3507,$L2579)&amp;" "&amp;INDEX(ポート振替表!$I$5:$I$3507,$L2579))</f>
        <v/>
      </c>
      <c r="G2579" s="57" t="s">
        <v>158</v>
      </c>
      <c r="H2579" s="32" t="str">
        <f aca="false">IF(L2579="","",INDEX(ポート振替表!$N$5:$N$3507,$L2579)&amp;"")</f>
        <v/>
      </c>
      <c r="I2579" s="32" t="str">
        <f aca="false">IF(L2579="","",INDEX(ポート振替表!$P$5:$P$3507,$L2579)&amp;"")</f>
        <v/>
      </c>
      <c r="J2579" s="60" t="str">
        <f aca="false">IF(L2579="","",INDEX(ポート振替表!$M$5:$M$3507,$L2579)&amp;"")</f>
        <v/>
      </c>
      <c r="K2579" s="52" t="str">
        <f aca="false">IF(L2579="","",E2579&amp;CHAR(10)&amp;INDEX(ポート振替表!$K$5:$K$3507,$L2579)&amp;" "&amp;INDEX(ポート振替表!$L$5:$L$3507,$L2579)&amp;CHAR(10)&amp;"⇔ "&amp;INDEX(ポート振替表!$H$5:$H$3507,$L2579)&amp;" "&amp;INDEX(ポート振替表!$I$5:$I$3507,$L2579))</f>
        <v/>
      </c>
      <c r="L2579" s="47" t="str">
        <f aca="false">IFERROR(MATCH(ROW()-4,ポート振替表!$V$5:$V$3507,0),"")</f>
        <v/>
      </c>
    </row>
    <row r="2580" customFormat="false" ht="16.4" hidden="false" customHeight="false" outlineLevel="0" collapsed="false">
      <c r="A2580" s="32" t="str">
        <f aca="false">IF(L2580="","",ROW()-4)</f>
        <v/>
      </c>
      <c r="B2580" s="58" t="str">
        <f aca="false">IF(L2580="","",IF(INDEX(ポート振替表!$W$5:$W$3507,$L2580)="","(なし)",INDEX(ポート振替表!$W$5:$W$3507,$L2580)&amp;""))</f>
        <v/>
      </c>
      <c r="C2580" s="52" t="str">
        <f aca="false">IF(L2580="","",INDEX(ポート振替表!$B$5:$B$3507,$L2580)&amp;" "&amp;INDEX(ポート振替表!$C$5:$C$3507,$L2580)&amp;"  ⇔  "&amp;INDEX(ポート振替表!$H$5:$H$3507,$L2580)&amp;" "&amp;INDEX(ポート振替表!$I$5:$I$3507,$L2580))</f>
        <v/>
      </c>
      <c r="D2580" s="57" t="s">
        <v>158</v>
      </c>
      <c r="E2580" s="59" t="str">
        <f aca="false">IF(L2580="","",IF(INDEX(ポート振替表!$O$5:$O$3507,$L2580)="","(未設定)",INDEX(ポート振替表!$O$5:$O$3507,$L2580)&amp;""))</f>
        <v/>
      </c>
      <c r="F2580" s="52" t="str">
        <f aca="false">IF(L2580="","",INDEX(ポート振替表!$K$5:$K$3507,$L2580)&amp;" "&amp;INDEX(ポート振替表!$L$5:$L$3507,$L2580)&amp;"  ⇔  "&amp;INDEX(ポート振替表!$H$5:$H$3507,$L2580)&amp;" "&amp;INDEX(ポート振替表!$I$5:$I$3507,$L2580))</f>
        <v/>
      </c>
      <c r="G2580" s="57" t="s">
        <v>158</v>
      </c>
      <c r="H2580" s="32" t="str">
        <f aca="false">IF(L2580="","",INDEX(ポート振替表!$N$5:$N$3507,$L2580)&amp;"")</f>
        <v/>
      </c>
      <c r="I2580" s="32" t="str">
        <f aca="false">IF(L2580="","",INDEX(ポート振替表!$P$5:$P$3507,$L2580)&amp;"")</f>
        <v/>
      </c>
      <c r="J2580" s="60" t="str">
        <f aca="false">IF(L2580="","",INDEX(ポート振替表!$M$5:$M$3507,$L2580)&amp;"")</f>
        <v/>
      </c>
      <c r="K2580" s="52" t="str">
        <f aca="false">IF(L2580="","",E2580&amp;CHAR(10)&amp;INDEX(ポート振替表!$K$5:$K$3507,$L2580)&amp;" "&amp;INDEX(ポート振替表!$L$5:$L$3507,$L2580)&amp;CHAR(10)&amp;"⇔ "&amp;INDEX(ポート振替表!$H$5:$H$3507,$L2580)&amp;" "&amp;INDEX(ポート振替表!$I$5:$I$3507,$L2580))</f>
        <v/>
      </c>
      <c r="L2580" s="47" t="str">
        <f aca="false">IFERROR(MATCH(ROW()-4,ポート振替表!$V$5:$V$3507,0),"")</f>
        <v/>
      </c>
    </row>
    <row r="2581" customFormat="false" ht="16.4" hidden="false" customHeight="false" outlineLevel="0" collapsed="false">
      <c r="A2581" s="32" t="str">
        <f aca="false">IF(L2581="","",ROW()-4)</f>
        <v/>
      </c>
      <c r="B2581" s="58" t="str">
        <f aca="false">IF(L2581="","",IF(INDEX(ポート振替表!$W$5:$W$3507,$L2581)="","(なし)",INDEX(ポート振替表!$W$5:$W$3507,$L2581)&amp;""))</f>
        <v/>
      </c>
      <c r="C2581" s="52" t="str">
        <f aca="false">IF(L2581="","",INDEX(ポート振替表!$B$5:$B$3507,$L2581)&amp;" "&amp;INDEX(ポート振替表!$C$5:$C$3507,$L2581)&amp;"  ⇔  "&amp;INDEX(ポート振替表!$H$5:$H$3507,$L2581)&amp;" "&amp;INDEX(ポート振替表!$I$5:$I$3507,$L2581))</f>
        <v/>
      </c>
      <c r="D2581" s="57" t="s">
        <v>158</v>
      </c>
      <c r="E2581" s="59" t="str">
        <f aca="false">IF(L2581="","",IF(INDEX(ポート振替表!$O$5:$O$3507,$L2581)="","(未設定)",INDEX(ポート振替表!$O$5:$O$3507,$L2581)&amp;""))</f>
        <v/>
      </c>
      <c r="F2581" s="52" t="str">
        <f aca="false">IF(L2581="","",INDEX(ポート振替表!$K$5:$K$3507,$L2581)&amp;" "&amp;INDEX(ポート振替表!$L$5:$L$3507,$L2581)&amp;"  ⇔  "&amp;INDEX(ポート振替表!$H$5:$H$3507,$L2581)&amp;" "&amp;INDEX(ポート振替表!$I$5:$I$3507,$L2581))</f>
        <v/>
      </c>
      <c r="G2581" s="57" t="s">
        <v>158</v>
      </c>
      <c r="H2581" s="32" t="str">
        <f aca="false">IF(L2581="","",INDEX(ポート振替表!$N$5:$N$3507,$L2581)&amp;"")</f>
        <v/>
      </c>
      <c r="I2581" s="32" t="str">
        <f aca="false">IF(L2581="","",INDEX(ポート振替表!$P$5:$P$3507,$L2581)&amp;"")</f>
        <v/>
      </c>
      <c r="J2581" s="60" t="str">
        <f aca="false">IF(L2581="","",INDEX(ポート振替表!$M$5:$M$3507,$L2581)&amp;"")</f>
        <v/>
      </c>
      <c r="K2581" s="52" t="str">
        <f aca="false">IF(L2581="","",E2581&amp;CHAR(10)&amp;INDEX(ポート振替表!$K$5:$K$3507,$L2581)&amp;" "&amp;INDEX(ポート振替表!$L$5:$L$3507,$L2581)&amp;CHAR(10)&amp;"⇔ "&amp;INDEX(ポート振替表!$H$5:$H$3507,$L2581)&amp;" "&amp;INDEX(ポート振替表!$I$5:$I$3507,$L2581))</f>
        <v/>
      </c>
      <c r="L2581" s="47" t="str">
        <f aca="false">IFERROR(MATCH(ROW()-4,ポート振替表!$V$5:$V$3507,0),"")</f>
        <v/>
      </c>
    </row>
    <row r="2582" customFormat="false" ht="16.4" hidden="false" customHeight="false" outlineLevel="0" collapsed="false">
      <c r="A2582" s="32" t="str">
        <f aca="false">IF(L2582="","",ROW()-4)</f>
        <v/>
      </c>
      <c r="B2582" s="58" t="str">
        <f aca="false">IF(L2582="","",IF(INDEX(ポート振替表!$W$5:$W$3507,$L2582)="","(なし)",INDEX(ポート振替表!$W$5:$W$3507,$L2582)&amp;""))</f>
        <v/>
      </c>
      <c r="C2582" s="52" t="str">
        <f aca="false">IF(L2582="","",INDEX(ポート振替表!$B$5:$B$3507,$L2582)&amp;" "&amp;INDEX(ポート振替表!$C$5:$C$3507,$L2582)&amp;"  ⇔  "&amp;INDEX(ポート振替表!$H$5:$H$3507,$L2582)&amp;" "&amp;INDEX(ポート振替表!$I$5:$I$3507,$L2582))</f>
        <v/>
      </c>
      <c r="D2582" s="57" t="s">
        <v>158</v>
      </c>
      <c r="E2582" s="59" t="str">
        <f aca="false">IF(L2582="","",IF(INDEX(ポート振替表!$O$5:$O$3507,$L2582)="","(未設定)",INDEX(ポート振替表!$O$5:$O$3507,$L2582)&amp;""))</f>
        <v/>
      </c>
      <c r="F2582" s="52" t="str">
        <f aca="false">IF(L2582="","",INDEX(ポート振替表!$K$5:$K$3507,$L2582)&amp;" "&amp;INDEX(ポート振替表!$L$5:$L$3507,$L2582)&amp;"  ⇔  "&amp;INDEX(ポート振替表!$H$5:$H$3507,$L2582)&amp;" "&amp;INDEX(ポート振替表!$I$5:$I$3507,$L2582))</f>
        <v/>
      </c>
      <c r="G2582" s="57" t="s">
        <v>158</v>
      </c>
      <c r="H2582" s="32" t="str">
        <f aca="false">IF(L2582="","",INDEX(ポート振替表!$N$5:$N$3507,$L2582)&amp;"")</f>
        <v/>
      </c>
      <c r="I2582" s="32" t="str">
        <f aca="false">IF(L2582="","",INDEX(ポート振替表!$P$5:$P$3507,$L2582)&amp;"")</f>
        <v/>
      </c>
      <c r="J2582" s="60" t="str">
        <f aca="false">IF(L2582="","",INDEX(ポート振替表!$M$5:$M$3507,$L2582)&amp;"")</f>
        <v/>
      </c>
      <c r="K2582" s="52" t="str">
        <f aca="false">IF(L2582="","",E2582&amp;CHAR(10)&amp;INDEX(ポート振替表!$K$5:$K$3507,$L2582)&amp;" "&amp;INDEX(ポート振替表!$L$5:$L$3507,$L2582)&amp;CHAR(10)&amp;"⇔ "&amp;INDEX(ポート振替表!$H$5:$H$3507,$L2582)&amp;" "&amp;INDEX(ポート振替表!$I$5:$I$3507,$L2582))</f>
        <v/>
      </c>
      <c r="L2582" s="47" t="str">
        <f aca="false">IFERROR(MATCH(ROW()-4,ポート振替表!$V$5:$V$3507,0),"")</f>
        <v/>
      </c>
    </row>
    <row r="2583" customFormat="false" ht="16.4" hidden="false" customHeight="false" outlineLevel="0" collapsed="false">
      <c r="A2583" s="32" t="str">
        <f aca="false">IF(L2583="","",ROW()-4)</f>
        <v/>
      </c>
      <c r="B2583" s="58" t="str">
        <f aca="false">IF(L2583="","",IF(INDEX(ポート振替表!$W$5:$W$3507,$L2583)="","(なし)",INDEX(ポート振替表!$W$5:$W$3507,$L2583)&amp;""))</f>
        <v/>
      </c>
      <c r="C2583" s="52" t="str">
        <f aca="false">IF(L2583="","",INDEX(ポート振替表!$B$5:$B$3507,$L2583)&amp;" "&amp;INDEX(ポート振替表!$C$5:$C$3507,$L2583)&amp;"  ⇔  "&amp;INDEX(ポート振替表!$H$5:$H$3507,$L2583)&amp;" "&amp;INDEX(ポート振替表!$I$5:$I$3507,$L2583))</f>
        <v/>
      </c>
      <c r="D2583" s="57" t="s">
        <v>158</v>
      </c>
      <c r="E2583" s="59" t="str">
        <f aca="false">IF(L2583="","",IF(INDEX(ポート振替表!$O$5:$O$3507,$L2583)="","(未設定)",INDEX(ポート振替表!$O$5:$O$3507,$L2583)&amp;""))</f>
        <v/>
      </c>
      <c r="F2583" s="52" t="str">
        <f aca="false">IF(L2583="","",INDEX(ポート振替表!$K$5:$K$3507,$L2583)&amp;" "&amp;INDEX(ポート振替表!$L$5:$L$3507,$L2583)&amp;"  ⇔  "&amp;INDEX(ポート振替表!$H$5:$H$3507,$L2583)&amp;" "&amp;INDEX(ポート振替表!$I$5:$I$3507,$L2583))</f>
        <v/>
      </c>
      <c r="G2583" s="57" t="s">
        <v>158</v>
      </c>
      <c r="H2583" s="32" t="str">
        <f aca="false">IF(L2583="","",INDEX(ポート振替表!$N$5:$N$3507,$L2583)&amp;"")</f>
        <v/>
      </c>
      <c r="I2583" s="32" t="str">
        <f aca="false">IF(L2583="","",INDEX(ポート振替表!$P$5:$P$3507,$L2583)&amp;"")</f>
        <v/>
      </c>
      <c r="J2583" s="60" t="str">
        <f aca="false">IF(L2583="","",INDEX(ポート振替表!$M$5:$M$3507,$L2583)&amp;"")</f>
        <v/>
      </c>
      <c r="K2583" s="52" t="str">
        <f aca="false">IF(L2583="","",E2583&amp;CHAR(10)&amp;INDEX(ポート振替表!$K$5:$K$3507,$L2583)&amp;" "&amp;INDEX(ポート振替表!$L$5:$L$3507,$L2583)&amp;CHAR(10)&amp;"⇔ "&amp;INDEX(ポート振替表!$H$5:$H$3507,$L2583)&amp;" "&amp;INDEX(ポート振替表!$I$5:$I$3507,$L2583))</f>
        <v/>
      </c>
      <c r="L2583" s="47" t="str">
        <f aca="false">IFERROR(MATCH(ROW()-4,ポート振替表!$V$5:$V$3507,0),"")</f>
        <v/>
      </c>
    </row>
    <row r="2584" customFormat="false" ht="16.4" hidden="false" customHeight="false" outlineLevel="0" collapsed="false">
      <c r="A2584" s="32" t="str">
        <f aca="false">IF(L2584="","",ROW()-4)</f>
        <v/>
      </c>
      <c r="B2584" s="58" t="str">
        <f aca="false">IF(L2584="","",IF(INDEX(ポート振替表!$W$5:$W$3507,$L2584)="","(なし)",INDEX(ポート振替表!$W$5:$W$3507,$L2584)&amp;""))</f>
        <v/>
      </c>
      <c r="C2584" s="52" t="str">
        <f aca="false">IF(L2584="","",INDEX(ポート振替表!$B$5:$B$3507,$L2584)&amp;" "&amp;INDEX(ポート振替表!$C$5:$C$3507,$L2584)&amp;"  ⇔  "&amp;INDEX(ポート振替表!$H$5:$H$3507,$L2584)&amp;" "&amp;INDEX(ポート振替表!$I$5:$I$3507,$L2584))</f>
        <v/>
      </c>
      <c r="D2584" s="57" t="s">
        <v>158</v>
      </c>
      <c r="E2584" s="59" t="str">
        <f aca="false">IF(L2584="","",IF(INDEX(ポート振替表!$O$5:$O$3507,$L2584)="","(未設定)",INDEX(ポート振替表!$O$5:$O$3507,$L2584)&amp;""))</f>
        <v/>
      </c>
      <c r="F2584" s="52" t="str">
        <f aca="false">IF(L2584="","",INDEX(ポート振替表!$K$5:$K$3507,$L2584)&amp;" "&amp;INDEX(ポート振替表!$L$5:$L$3507,$L2584)&amp;"  ⇔  "&amp;INDEX(ポート振替表!$H$5:$H$3507,$L2584)&amp;" "&amp;INDEX(ポート振替表!$I$5:$I$3507,$L2584))</f>
        <v/>
      </c>
      <c r="G2584" s="57" t="s">
        <v>158</v>
      </c>
      <c r="H2584" s="32" t="str">
        <f aca="false">IF(L2584="","",INDEX(ポート振替表!$N$5:$N$3507,$L2584)&amp;"")</f>
        <v/>
      </c>
      <c r="I2584" s="32" t="str">
        <f aca="false">IF(L2584="","",INDEX(ポート振替表!$P$5:$P$3507,$L2584)&amp;"")</f>
        <v/>
      </c>
      <c r="J2584" s="60" t="str">
        <f aca="false">IF(L2584="","",INDEX(ポート振替表!$M$5:$M$3507,$L2584)&amp;"")</f>
        <v/>
      </c>
      <c r="K2584" s="52" t="str">
        <f aca="false">IF(L2584="","",E2584&amp;CHAR(10)&amp;INDEX(ポート振替表!$K$5:$K$3507,$L2584)&amp;" "&amp;INDEX(ポート振替表!$L$5:$L$3507,$L2584)&amp;CHAR(10)&amp;"⇔ "&amp;INDEX(ポート振替表!$H$5:$H$3507,$L2584)&amp;" "&amp;INDEX(ポート振替表!$I$5:$I$3507,$L2584))</f>
        <v/>
      </c>
      <c r="L2584" s="47" t="str">
        <f aca="false">IFERROR(MATCH(ROW()-4,ポート振替表!$V$5:$V$3507,0),"")</f>
        <v/>
      </c>
    </row>
    <row r="2585" customFormat="false" ht="16.4" hidden="false" customHeight="false" outlineLevel="0" collapsed="false">
      <c r="A2585" s="32" t="str">
        <f aca="false">IF(L2585="","",ROW()-4)</f>
        <v/>
      </c>
      <c r="B2585" s="58" t="str">
        <f aca="false">IF(L2585="","",IF(INDEX(ポート振替表!$W$5:$W$3507,$L2585)="","(なし)",INDEX(ポート振替表!$W$5:$W$3507,$L2585)&amp;""))</f>
        <v/>
      </c>
      <c r="C2585" s="52" t="str">
        <f aca="false">IF(L2585="","",INDEX(ポート振替表!$B$5:$B$3507,$L2585)&amp;" "&amp;INDEX(ポート振替表!$C$5:$C$3507,$L2585)&amp;"  ⇔  "&amp;INDEX(ポート振替表!$H$5:$H$3507,$L2585)&amp;" "&amp;INDEX(ポート振替表!$I$5:$I$3507,$L2585))</f>
        <v/>
      </c>
      <c r="D2585" s="57" t="s">
        <v>158</v>
      </c>
      <c r="E2585" s="59" t="str">
        <f aca="false">IF(L2585="","",IF(INDEX(ポート振替表!$O$5:$O$3507,$L2585)="","(未設定)",INDEX(ポート振替表!$O$5:$O$3507,$L2585)&amp;""))</f>
        <v/>
      </c>
      <c r="F2585" s="52" t="str">
        <f aca="false">IF(L2585="","",INDEX(ポート振替表!$K$5:$K$3507,$L2585)&amp;" "&amp;INDEX(ポート振替表!$L$5:$L$3507,$L2585)&amp;"  ⇔  "&amp;INDEX(ポート振替表!$H$5:$H$3507,$L2585)&amp;" "&amp;INDEX(ポート振替表!$I$5:$I$3507,$L2585))</f>
        <v/>
      </c>
      <c r="G2585" s="57" t="s">
        <v>158</v>
      </c>
      <c r="H2585" s="32" t="str">
        <f aca="false">IF(L2585="","",INDEX(ポート振替表!$N$5:$N$3507,$L2585)&amp;"")</f>
        <v/>
      </c>
      <c r="I2585" s="32" t="str">
        <f aca="false">IF(L2585="","",INDEX(ポート振替表!$P$5:$P$3507,$L2585)&amp;"")</f>
        <v/>
      </c>
      <c r="J2585" s="60" t="str">
        <f aca="false">IF(L2585="","",INDEX(ポート振替表!$M$5:$M$3507,$L2585)&amp;"")</f>
        <v/>
      </c>
      <c r="K2585" s="52" t="str">
        <f aca="false">IF(L2585="","",E2585&amp;CHAR(10)&amp;INDEX(ポート振替表!$K$5:$K$3507,$L2585)&amp;" "&amp;INDEX(ポート振替表!$L$5:$L$3507,$L2585)&amp;CHAR(10)&amp;"⇔ "&amp;INDEX(ポート振替表!$H$5:$H$3507,$L2585)&amp;" "&amp;INDEX(ポート振替表!$I$5:$I$3507,$L2585))</f>
        <v/>
      </c>
      <c r="L2585" s="47" t="str">
        <f aca="false">IFERROR(MATCH(ROW()-4,ポート振替表!$V$5:$V$3507,0),"")</f>
        <v/>
      </c>
    </row>
    <row r="2586" customFormat="false" ht="16.4" hidden="false" customHeight="false" outlineLevel="0" collapsed="false">
      <c r="A2586" s="32" t="str">
        <f aca="false">IF(L2586="","",ROW()-4)</f>
        <v/>
      </c>
      <c r="B2586" s="58" t="str">
        <f aca="false">IF(L2586="","",IF(INDEX(ポート振替表!$W$5:$W$3507,$L2586)="","(なし)",INDEX(ポート振替表!$W$5:$W$3507,$L2586)&amp;""))</f>
        <v/>
      </c>
      <c r="C2586" s="52" t="str">
        <f aca="false">IF(L2586="","",INDEX(ポート振替表!$B$5:$B$3507,$L2586)&amp;" "&amp;INDEX(ポート振替表!$C$5:$C$3507,$L2586)&amp;"  ⇔  "&amp;INDEX(ポート振替表!$H$5:$H$3507,$L2586)&amp;" "&amp;INDEX(ポート振替表!$I$5:$I$3507,$L2586))</f>
        <v/>
      </c>
      <c r="D2586" s="57" t="s">
        <v>158</v>
      </c>
      <c r="E2586" s="59" t="str">
        <f aca="false">IF(L2586="","",IF(INDEX(ポート振替表!$O$5:$O$3507,$L2586)="","(未設定)",INDEX(ポート振替表!$O$5:$O$3507,$L2586)&amp;""))</f>
        <v/>
      </c>
      <c r="F2586" s="52" t="str">
        <f aca="false">IF(L2586="","",INDEX(ポート振替表!$K$5:$K$3507,$L2586)&amp;" "&amp;INDEX(ポート振替表!$L$5:$L$3507,$L2586)&amp;"  ⇔  "&amp;INDEX(ポート振替表!$H$5:$H$3507,$L2586)&amp;" "&amp;INDEX(ポート振替表!$I$5:$I$3507,$L2586))</f>
        <v/>
      </c>
      <c r="G2586" s="57" t="s">
        <v>158</v>
      </c>
      <c r="H2586" s="32" t="str">
        <f aca="false">IF(L2586="","",INDEX(ポート振替表!$N$5:$N$3507,$L2586)&amp;"")</f>
        <v/>
      </c>
      <c r="I2586" s="32" t="str">
        <f aca="false">IF(L2586="","",INDEX(ポート振替表!$P$5:$P$3507,$L2586)&amp;"")</f>
        <v/>
      </c>
      <c r="J2586" s="60" t="str">
        <f aca="false">IF(L2586="","",INDEX(ポート振替表!$M$5:$M$3507,$L2586)&amp;"")</f>
        <v/>
      </c>
      <c r="K2586" s="52" t="str">
        <f aca="false">IF(L2586="","",E2586&amp;CHAR(10)&amp;INDEX(ポート振替表!$K$5:$K$3507,$L2586)&amp;" "&amp;INDEX(ポート振替表!$L$5:$L$3507,$L2586)&amp;CHAR(10)&amp;"⇔ "&amp;INDEX(ポート振替表!$H$5:$H$3507,$L2586)&amp;" "&amp;INDEX(ポート振替表!$I$5:$I$3507,$L2586))</f>
        <v/>
      </c>
      <c r="L2586" s="47" t="str">
        <f aca="false">IFERROR(MATCH(ROW()-4,ポート振替表!$V$5:$V$3507,0),"")</f>
        <v/>
      </c>
    </row>
    <row r="2587" customFormat="false" ht="16.4" hidden="false" customHeight="false" outlineLevel="0" collapsed="false">
      <c r="A2587" s="32" t="str">
        <f aca="false">IF(L2587="","",ROW()-4)</f>
        <v/>
      </c>
      <c r="B2587" s="58" t="str">
        <f aca="false">IF(L2587="","",IF(INDEX(ポート振替表!$W$5:$W$3507,$L2587)="","(なし)",INDEX(ポート振替表!$W$5:$W$3507,$L2587)&amp;""))</f>
        <v/>
      </c>
      <c r="C2587" s="52" t="str">
        <f aca="false">IF(L2587="","",INDEX(ポート振替表!$B$5:$B$3507,$L2587)&amp;" "&amp;INDEX(ポート振替表!$C$5:$C$3507,$L2587)&amp;"  ⇔  "&amp;INDEX(ポート振替表!$H$5:$H$3507,$L2587)&amp;" "&amp;INDEX(ポート振替表!$I$5:$I$3507,$L2587))</f>
        <v/>
      </c>
      <c r="D2587" s="57" t="s">
        <v>158</v>
      </c>
      <c r="E2587" s="59" t="str">
        <f aca="false">IF(L2587="","",IF(INDEX(ポート振替表!$O$5:$O$3507,$L2587)="","(未設定)",INDEX(ポート振替表!$O$5:$O$3507,$L2587)&amp;""))</f>
        <v/>
      </c>
      <c r="F2587" s="52" t="str">
        <f aca="false">IF(L2587="","",INDEX(ポート振替表!$K$5:$K$3507,$L2587)&amp;" "&amp;INDEX(ポート振替表!$L$5:$L$3507,$L2587)&amp;"  ⇔  "&amp;INDEX(ポート振替表!$H$5:$H$3507,$L2587)&amp;" "&amp;INDEX(ポート振替表!$I$5:$I$3507,$L2587))</f>
        <v/>
      </c>
      <c r="G2587" s="57" t="s">
        <v>158</v>
      </c>
      <c r="H2587" s="32" t="str">
        <f aca="false">IF(L2587="","",INDEX(ポート振替表!$N$5:$N$3507,$L2587)&amp;"")</f>
        <v/>
      </c>
      <c r="I2587" s="32" t="str">
        <f aca="false">IF(L2587="","",INDEX(ポート振替表!$P$5:$P$3507,$L2587)&amp;"")</f>
        <v/>
      </c>
      <c r="J2587" s="60" t="str">
        <f aca="false">IF(L2587="","",INDEX(ポート振替表!$M$5:$M$3507,$L2587)&amp;"")</f>
        <v/>
      </c>
      <c r="K2587" s="52" t="str">
        <f aca="false">IF(L2587="","",E2587&amp;CHAR(10)&amp;INDEX(ポート振替表!$K$5:$K$3507,$L2587)&amp;" "&amp;INDEX(ポート振替表!$L$5:$L$3507,$L2587)&amp;CHAR(10)&amp;"⇔ "&amp;INDEX(ポート振替表!$H$5:$H$3507,$L2587)&amp;" "&amp;INDEX(ポート振替表!$I$5:$I$3507,$L2587))</f>
        <v/>
      </c>
      <c r="L2587" s="47" t="str">
        <f aca="false">IFERROR(MATCH(ROW()-4,ポート振替表!$V$5:$V$3507,0),"")</f>
        <v/>
      </c>
    </row>
    <row r="2588" customFormat="false" ht="16.4" hidden="false" customHeight="false" outlineLevel="0" collapsed="false">
      <c r="A2588" s="32" t="str">
        <f aca="false">IF(L2588="","",ROW()-4)</f>
        <v/>
      </c>
      <c r="B2588" s="58" t="str">
        <f aca="false">IF(L2588="","",IF(INDEX(ポート振替表!$W$5:$W$3507,$L2588)="","(なし)",INDEX(ポート振替表!$W$5:$W$3507,$L2588)&amp;""))</f>
        <v/>
      </c>
      <c r="C2588" s="52" t="str">
        <f aca="false">IF(L2588="","",INDEX(ポート振替表!$B$5:$B$3507,$L2588)&amp;" "&amp;INDEX(ポート振替表!$C$5:$C$3507,$L2588)&amp;"  ⇔  "&amp;INDEX(ポート振替表!$H$5:$H$3507,$L2588)&amp;" "&amp;INDEX(ポート振替表!$I$5:$I$3507,$L2588))</f>
        <v/>
      </c>
      <c r="D2588" s="57" t="s">
        <v>158</v>
      </c>
      <c r="E2588" s="59" t="str">
        <f aca="false">IF(L2588="","",IF(INDEX(ポート振替表!$O$5:$O$3507,$L2588)="","(未設定)",INDEX(ポート振替表!$O$5:$O$3507,$L2588)&amp;""))</f>
        <v/>
      </c>
      <c r="F2588" s="52" t="str">
        <f aca="false">IF(L2588="","",INDEX(ポート振替表!$K$5:$K$3507,$L2588)&amp;" "&amp;INDEX(ポート振替表!$L$5:$L$3507,$L2588)&amp;"  ⇔  "&amp;INDEX(ポート振替表!$H$5:$H$3507,$L2588)&amp;" "&amp;INDEX(ポート振替表!$I$5:$I$3507,$L2588))</f>
        <v/>
      </c>
      <c r="G2588" s="57" t="s">
        <v>158</v>
      </c>
      <c r="H2588" s="32" t="str">
        <f aca="false">IF(L2588="","",INDEX(ポート振替表!$N$5:$N$3507,$L2588)&amp;"")</f>
        <v/>
      </c>
      <c r="I2588" s="32" t="str">
        <f aca="false">IF(L2588="","",INDEX(ポート振替表!$P$5:$P$3507,$L2588)&amp;"")</f>
        <v/>
      </c>
      <c r="J2588" s="60" t="str">
        <f aca="false">IF(L2588="","",INDEX(ポート振替表!$M$5:$M$3507,$L2588)&amp;"")</f>
        <v/>
      </c>
      <c r="K2588" s="52" t="str">
        <f aca="false">IF(L2588="","",E2588&amp;CHAR(10)&amp;INDEX(ポート振替表!$K$5:$K$3507,$L2588)&amp;" "&amp;INDEX(ポート振替表!$L$5:$L$3507,$L2588)&amp;CHAR(10)&amp;"⇔ "&amp;INDEX(ポート振替表!$H$5:$H$3507,$L2588)&amp;" "&amp;INDEX(ポート振替表!$I$5:$I$3507,$L2588))</f>
        <v/>
      </c>
      <c r="L2588" s="47" t="str">
        <f aca="false">IFERROR(MATCH(ROW()-4,ポート振替表!$V$5:$V$3507,0),"")</f>
        <v/>
      </c>
    </row>
    <row r="2589" customFormat="false" ht="16.4" hidden="false" customHeight="false" outlineLevel="0" collapsed="false">
      <c r="A2589" s="32" t="str">
        <f aca="false">IF(L2589="","",ROW()-4)</f>
        <v/>
      </c>
      <c r="B2589" s="58" t="str">
        <f aca="false">IF(L2589="","",IF(INDEX(ポート振替表!$W$5:$W$3507,$L2589)="","(なし)",INDEX(ポート振替表!$W$5:$W$3507,$L2589)&amp;""))</f>
        <v/>
      </c>
      <c r="C2589" s="52" t="str">
        <f aca="false">IF(L2589="","",INDEX(ポート振替表!$B$5:$B$3507,$L2589)&amp;" "&amp;INDEX(ポート振替表!$C$5:$C$3507,$L2589)&amp;"  ⇔  "&amp;INDEX(ポート振替表!$H$5:$H$3507,$L2589)&amp;" "&amp;INDEX(ポート振替表!$I$5:$I$3507,$L2589))</f>
        <v/>
      </c>
      <c r="D2589" s="57" t="s">
        <v>158</v>
      </c>
      <c r="E2589" s="59" t="str">
        <f aca="false">IF(L2589="","",IF(INDEX(ポート振替表!$O$5:$O$3507,$L2589)="","(未設定)",INDEX(ポート振替表!$O$5:$O$3507,$L2589)&amp;""))</f>
        <v/>
      </c>
      <c r="F2589" s="52" t="str">
        <f aca="false">IF(L2589="","",INDEX(ポート振替表!$K$5:$K$3507,$L2589)&amp;" "&amp;INDEX(ポート振替表!$L$5:$L$3507,$L2589)&amp;"  ⇔  "&amp;INDEX(ポート振替表!$H$5:$H$3507,$L2589)&amp;" "&amp;INDEX(ポート振替表!$I$5:$I$3507,$L2589))</f>
        <v/>
      </c>
      <c r="G2589" s="57" t="s">
        <v>158</v>
      </c>
      <c r="H2589" s="32" t="str">
        <f aca="false">IF(L2589="","",INDEX(ポート振替表!$N$5:$N$3507,$L2589)&amp;"")</f>
        <v/>
      </c>
      <c r="I2589" s="32" t="str">
        <f aca="false">IF(L2589="","",INDEX(ポート振替表!$P$5:$P$3507,$L2589)&amp;"")</f>
        <v/>
      </c>
      <c r="J2589" s="60" t="str">
        <f aca="false">IF(L2589="","",INDEX(ポート振替表!$M$5:$M$3507,$L2589)&amp;"")</f>
        <v/>
      </c>
      <c r="K2589" s="52" t="str">
        <f aca="false">IF(L2589="","",E2589&amp;CHAR(10)&amp;INDEX(ポート振替表!$K$5:$K$3507,$L2589)&amp;" "&amp;INDEX(ポート振替表!$L$5:$L$3507,$L2589)&amp;CHAR(10)&amp;"⇔ "&amp;INDEX(ポート振替表!$H$5:$H$3507,$L2589)&amp;" "&amp;INDEX(ポート振替表!$I$5:$I$3507,$L2589))</f>
        <v/>
      </c>
      <c r="L2589" s="47" t="str">
        <f aca="false">IFERROR(MATCH(ROW()-4,ポート振替表!$V$5:$V$3507,0),"")</f>
        <v/>
      </c>
    </row>
    <row r="2590" customFormat="false" ht="16.4" hidden="false" customHeight="false" outlineLevel="0" collapsed="false">
      <c r="A2590" s="32" t="str">
        <f aca="false">IF(L2590="","",ROW()-4)</f>
        <v/>
      </c>
      <c r="B2590" s="58" t="str">
        <f aca="false">IF(L2590="","",IF(INDEX(ポート振替表!$W$5:$W$3507,$L2590)="","(なし)",INDEX(ポート振替表!$W$5:$W$3507,$L2590)&amp;""))</f>
        <v/>
      </c>
      <c r="C2590" s="52" t="str">
        <f aca="false">IF(L2590="","",INDEX(ポート振替表!$B$5:$B$3507,$L2590)&amp;" "&amp;INDEX(ポート振替表!$C$5:$C$3507,$L2590)&amp;"  ⇔  "&amp;INDEX(ポート振替表!$H$5:$H$3507,$L2590)&amp;" "&amp;INDEX(ポート振替表!$I$5:$I$3507,$L2590))</f>
        <v/>
      </c>
      <c r="D2590" s="57" t="s">
        <v>158</v>
      </c>
      <c r="E2590" s="59" t="str">
        <f aca="false">IF(L2590="","",IF(INDEX(ポート振替表!$O$5:$O$3507,$L2590)="","(未設定)",INDEX(ポート振替表!$O$5:$O$3507,$L2590)&amp;""))</f>
        <v/>
      </c>
      <c r="F2590" s="52" t="str">
        <f aca="false">IF(L2590="","",INDEX(ポート振替表!$K$5:$K$3507,$L2590)&amp;" "&amp;INDEX(ポート振替表!$L$5:$L$3507,$L2590)&amp;"  ⇔  "&amp;INDEX(ポート振替表!$H$5:$H$3507,$L2590)&amp;" "&amp;INDEX(ポート振替表!$I$5:$I$3507,$L2590))</f>
        <v/>
      </c>
      <c r="G2590" s="57" t="s">
        <v>158</v>
      </c>
      <c r="H2590" s="32" t="str">
        <f aca="false">IF(L2590="","",INDEX(ポート振替表!$N$5:$N$3507,$L2590)&amp;"")</f>
        <v/>
      </c>
      <c r="I2590" s="32" t="str">
        <f aca="false">IF(L2590="","",INDEX(ポート振替表!$P$5:$P$3507,$L2590)&amp;"")</f>
        <v/>
      </c>
      <c r="J2590" s="60" t="str">
        <f aca="false">IF(L2590="","",INDEX(ポート振替表!$M$5:$M$3507,$L2590)&amp;"")</f>
        <v/>
      </c>
      <c r="K2590" s="52" t="str">
        <f aca="false">IF(L2590="","",E2590&amp;CHAR(10)&amp;INDEX(ポート振替表!$K$5:$K$3507,$L2590)&amp;" "&amp;INDEX(ポート振替表!$L$5:$L$3507,$L2590)&amp;CHAR(10)&amp;"⇔ "&amp;INDEX(ポート振替表!$H$5:$H$3507,$L2590)&amp;" "&amp;INDEX(ポート振替表!$I$5:$I$3507,$L2590))</f>
        <v/>
      </c>
      <c r="L2590" s="47" t="str">
        <f aca="false">IFERROR(MATCH(ROW()-4,ポート振替表!$V$5:$V$3507,0),"")</f>
        <v/>
      </c>
    </row>
    <row r="2591" customFormat="false" ht="16.4" hidden="false" customHeight="false" outlineLevel="0" collapsed="false">
      <c r="A2591" s="32" t="str">
        <f aca="false">IF(L2591="","",ROW()-4)</f>
        <v/>
      </c>
      <c r="B2591" s="58" t="str">
        <f aca="false">IF(L2591="","",IF(INDEX(ポート振替表!$W$5:$W$3507,$L2591)="","(なし)",INDEX(ポート振替表!$W$5:$W$3507,$L2591)&amp;""))</f>
        <v/>
      </c>
      <c r="C2591" s="52" t="str">
        <f aca="false">IF(L2591="","",INDEX(ポート振替表!$B$5:$B$3507,$L2591)&amp;" "&amp;INDEX(ポート振替表!$C$5:$C$3507,$L2591)&amp;"  ⇔  "&amp;INDEX(ポート振替表!$H$5:$H$3507,$L2591)&amp;" "&amp;INDEX(ポート振替表!$I$5:$I$3507,$L2591))</f>
        <v/>
      </c>
      <c r="D2591" s="57" t="s">
        <v>158</v>
      </c>
      <c r="E2591" s="59" t="str">
        <f aca="false">IF(L2591="","",IF(INDEX(ポート振替表!$O$5:$O$3507,$L2591)="","(未設定)",INDEX(ポート振替表!$O$5:$O$3507,$L2591)&amp;""))</f>
        <v/>
      </c>
      <c r="F2591" s="52" t="str">
        <f aca="false">IF(L2591="","",INDEX(ポート振替表!$K$5:$K$3507,$L2591)&amp;" "&amp;INDEX(ポート振替表!$L$5:$L$3507,$L2591)&amp;"  ⇔  "&amp;INDEX(ポート振替表!$H$5:$H$3507,$L2591)&amp;" "&amp;INDEX(ポート振替表!$I$5:$I$3507,$L2591))</f>
        <v/>
      </c>
      <c r="G2591" s="57" t="s">
        <v>158</v>
      </c>
      <c r="H2591" s="32" t="str">
        <f aca="false">IF(L2591="","",INDEX(ポート振替表!$N$5:$N$3507,$L2591)&amp;"")</f>
        <v/>
      </c>
      <c r="I2591" s="32" t="str">
        <f aca="false">IF(L2591="","",INDEX(ポート振替表!$P$5:$P$3507,$L2591)&amp;"")</f>
        <v/>
      </c>
      <c r="J2591" s="60" t="str">
        <f aca="false">IF(L2591="","",INDEX(ポート振替表!$M$5:$M$3507,$L2591)&amp;"")</f>
        <v/>
      </c>
      <c r="K2591" s="52" t="str">
        <f aca="false">IF(L2591="","",E2591&amp;CHAR(10)&amp;INDEX(ポート振替表!$K$5:$K$3507,$L2591)&amp;" "&amp;INDEX(ポート振替表!$L$5:$L$3507,$L2591)&amp;CHAR(10)&amp;"⇔ "&amp;INDEX(ポート振替表!$H$5:$H$3507,$L2591)&amp;" "&amp;INDEX(ポート振替表!$I$5:$I$3507,$L2591))</f>
        <v/>
      </c>
      <c r="L2591" s="47" t="str">
        <f aca="false">IFERROR(MATCH(ROW()-4,ポート振替表!$V$5:$V$3507,0),"")</f>
        <v/>
      </c>
    </row>
    <row r="2592" customFormat="false" ht="16.4" hidden="false" customHeight="false" outlineLevel="0" collapsed="false">
      <c r="A2592" s="32" t="str">
        <f aca="false">IF(L2592="","",ROW()-4)</f>
        <v/>
      </c>
      <c r="B2592" s="58" t="str">
        <f aca="false">IF(L2592="","",IF(INDEX(ポート振替表!$W$5:$W$3507,$L2592)="","(なし)",INDEX(ポート振替表!$W$5:$W$3507,$L2592)&amp;""))</f>
        <v/>
      </c>
      <c r="C2592" s="52" t="str">
        <f aca="false">IF(L2592="","",INDEX(ポート振替表!$B$5:$B$3507,$L2592)&amp;" "&amp;INDEX(ポート振替表!$C$5:$C$3507,$L2592)&amp;"  ⇔  "&amp;INDEX(ポート振替表!$H$5:$H$3507,$L2592)&amp;" "&amp;INDEX(ポート振替表!$I$5:$I$3507,$L2592))</f>
        <v/>
      </c>
      <c r="D2592" s="57" t="s">
        <v>158</v>
      </c>
      <c r="E2592" s="59" t="str">
        <f aca="false">IF(L2592="","",IF(INDEX(ポート振替表!$O$5:$O$3507,$L2592)="","(未設定)",INDEX(ポート振替表!$O$5:$O$3507,$L2592)&amp;""))</f>
        <v/>
      </c>
      <c r="F2592" s="52" t="str">
        <f aca="false">IF(L2592="","",INDEX(ポート振替表!$K$5:$K$3507,$L2592)&amp;" "&amp;INDEX(ポート振替表!$L$5:$L$3507,$L2592)&amp;"  ⇔  "&amp;INDEX(ポート振替表!$H$5:$H$3507,$L2592)&amp;" "&amp;INDEX(ポート振替表!$I$5:$I$3507,$L2592))</f>
        <v/>
      </c>
      <c r="G2592" s="57" t="s">
        <v>158</v>
      </c>
      <c r="H2592" s="32" t="str">
        <f aca="false">IF(L2592="","",INDEX(ポート振替表!$N$5:$N$3507,$L2592)&amp;"")</f>
        <v/>
      </c>
      <c r="I2592" s="32" t="str">
        <f aca="false">IF(L2592="","",INDEX(ポート振替表!$P$5:$P$3507,$L2592)&amp;"")</f>
        <v/>
      </c>
      <c r="J2592" s="60" t="str">
        <f aca="false">IF(L2592="","",INDEX(ポート振替表!$M$5:$M$3507,$L2592)&amp;"")</f>
        <v/>
      </c>
      <c r="K2592" s="52" t="str">
        <f aca="false">IF(L2592="","",E2592&amp;CHAR(10)&amp;INDEX(ポート振替表!$K$5:$K$3507,$L2592)&amp;" "&amp;INDEX(ポート振替表!$L$5:$L$3507,$L2592)&amp;CHAR(10)&amp;"⇔ "&amp;INDEX(ポート振替表!$H$5:$H$3507,$L2592)&amp;" "&amp;INDEX(ポート振替表!$I$5:$I$3507,$L2592))</f>
        <v/>
      </c>
      <c r="L2592" s="47" t="str">
        <f aca="false">IFERROR(MATCH(ROW()-4,ポート振替表!$V$5:$V$3507,0),"")</f>
        <v/>
      </c>
    </row>
    <row r="2593" customFormat="false" ht="16.4" hidden="false" customHeight="false" outlineLevel="0" collapsed="false">
      <c r="A2593" s="32" t="str">
        <f aca="false">IF(L2593="","",ROW()-4)</f>
        <v/>
      </c>
      <c r="B2593" s="58" t="str">
        <f aca="false">IF(L2593="","",IF(INDEX(ポート振替表!$W$5:$W$3507,$L2593)="","(なし)",INDEX(ポート振替表!$W$5:$W$3507,$L2593)&amp;""))</f>
        <v/>
      </c>
      <c r="C2593" s="52" t="str">
        <f aca="false">IF(L2593="","",INDEX(ポート振替表!$B$5:$B$3507,$L2593)&amp;" "&amp;INDEX(ポート振替表!$C$5:$C$3507,$L2593)&amp;"  ⇔  "&amp;INDEX(ポート振替表!$H$5:$H$3507,$L2593)&amp;" "&amp;INDEX(ポート振替表!$I$5:$I$3507,$L2593))</f>
        <v/>
      </c>
      <c r="D2593" s="57" t="s">
        <v>158</v>
      </c>
      <c r="E2593" s="59" t="str">
        <f aca="false">IF(L2593="","",IF(INDEX(ポート振替表!$O$5:$O$3507,$L2593)="","(未設定)",INDEX(ポート振替表!$O$5:$O$3507,$L2593)&amp;""))</f>
        <v/>
      </c>
      <c r="F2593" s="52" t="str">
        <f aca="false">IF(L2593="","",INDEX(ポート振替表!$K$5:$K$3507,$L2593)&amp;" "&amp;INDEX(ポート振替表!$L$5:$L$3507,$L2593)&amp;"  ⇔  "&amp;INDEX(ポート振替表!$H$5:$H$3507,$L2593)&amp;" "&amp;INDEX(ポート振替表!$I$5:$I$3507,$L2593))</f>
        <v/>
      </c>
      <c r="G2593" s="57" t="s">
        <v>158</v>
      </c>
      <c r="H2593" s="32" t="str">
        <f aca="false">IF(L2593="","",INDEX(ポート振替表!$N$5:$N$3507,$L2593)&amp;"")</f>
        <v/>
      </c>
      <c r="I2593" s="32" t="str">
        <f aca="false">IF(L2593="","",INDEX(ポート振替表!$P$5:$P$3507,$L2593)&amp;"")</f>
        <v/>
      </c>
      <c r="J2593" s="60" t="str">
        <f aca="false">IF(L2593="","",INDEX(ポート振替表!$M$5:$M$3507,$L2593)&amp;"")</f>
        <v/>
      </c>
      <c r="K2593" s="52" t="str">
        <f aca="false">IF(L2593="","",E2593&amp;CHAR(10)&amp;INDEX(ポート振替表!$K$5:$K$3507,$L2593)&amp;" "&amp;INDEX(ポート振替表!$L$5:$L$3507,$L2593)&amp;CHAR(10)&amp;"⇔ "&amp;INDEX(ポート振替表!$H$5:$H$3507,$L2593)&amp;" "&amp;INDEX(ポート振替表!$I$5:$I$3507,$L2593))</f>
        <v/>
      </c>
      <c r="L2593" s="47" t="str">
        <f aca="false">IFERROR(MATCH(ROW()-4,ポート振替表!$V$5:$V$3507,0),"")</f>
        <v/>
      </c>
    </row>
    <row r="2594" customFormat="false" ht="16.4" hidden="false" customHeight="false" outlineLevel="0" collapsed="false">
      <c r="A2594" s="32" t="str">
        <f aca="false">IF(L2594="","",ROW()-4)</f>
        <v/>
      </c>
      <c r="B2594" s="58" t="str">
        <f aca="false">IF(L2594="","",IF(INDEX(ポート振替表!$W$5:$W$3507,$L2594)="","(なし)",INDEX(ポート振替表!$W$5:$W$3507,$L2594)&amp;""))</f>
        <v/>
      </c>
      <c r="C2594" s="52" t="str">
        <f aca="false">IF(L2594="","",INDEX(ポート振替表!$B$5:$B$3507,$L2594)&amp;" "&amp;INDEX(ポート振替表!$C$5:$C$3507,$L2594)&amp;"  ⇔  "&amp;INDEX(ポート振替表!$H$5:$H$3507,$L2594)&amp;" "&amp;INDEX(ポート振替表!$I$5:$I$3507,$L2594))</f>
        <v/>
      </c>
      <c r="D2594" s="57" t="s">
        <v>158</v>
      </c>
      <c r="E2594" s="59" t="str">
        <f aca="false">IF(L2594="","",IF(INDEX(ポート振替表!$O$5:$O$3507,$L2594)="","(未設定)",INDEX(ポート振替表!$O$5:$O$3507,$L2594)&amp;""))</f>
        <v/>
      </c>
      <c r="F2594" s="52" t="str">
        <f aca="false">IF(L2594="","",INDEX(ポート振替表!$K$5:$K$3507,$L2594)&amp;" "&amp;INDEX(ポート振替表!$L$5:$L$3507,$L2594)&amp;"  ⇔  "&amp;INDEX(ポート振替表!$H$5:$H$3507,$L2594)&amp;" "&amp;INDEX(ポート振替表!$I$5:$I$3507,$L2594))</f>
        <v/>
      </c>
      <c r="G2594" s="57" t="s">
        <v>158</v>
      </c>
      <c r="H2594" s="32" t="str">
        <f aca="false">IF(L2594="","",INDEX(ポート振替表!$N$5:$N$3507,$L2594)&amp;"")</f>
        <v/>
      </c>
      <c r="I2594" s="32" t="str">
        <f aca="false">IF(L2594="","",INDEX(ポート振替表!$P$5:$P$3507,$L2594)&amp;"")</f>
        <v/>
      </c>
      <c r="J2594" s="60" t="str">
        <f aca="false">IF(L2594="","",INDEX(ポート振替表!$M$5:$M$3507,$L2594)&amp;"")</f>
        <v/>
      </c>
      <c r="K2594" s="52" t="str">
        <f aca="false">IF(L2594="","",E2594&amp;CHAR(10)&amp;INDEX(ポート振替表!$K$5:$K$3507,$L2594)&amp;" "&amp;INDEX(ポート振替表!$L$5:$L$3507,$L2594)&amp;CHAR(10)&amp;"⇔ "&amp;INDEX(ポート振替表!$H$5:$H$3507,$L2594)&amp;" "&amp;INDEX(ポート振替表!$I$5:$I$3507,$L2594))</f>
        <v/>
      </c>
      <c r="L2594" s="47" t="str">
        <f aca="false">IFERROR(MATCH(ROW()-4,ポート振替表!$V$5:$V$3507,0),"")</f>
        <v/>
      </c>
    </row>
    <row r="2595" customFormat="false" ht="16.4" hidden="false" customHeight="false" outlineLevel="0" collapsed="false">
      <c r="A2595" s="32" t="str">
        <f aca="false">IF(L2595="","",ROW()-4)</f>
        <v/>
      </c>
      <c r="B2595" s="58" t="str">
        <f aca="false">IF(L2595="","",IF(INDEX(ポート振替表!$W$5:$W$3507,$L2595)="","(なし)",INDEX(ポート振替表!$W$5:$W$3507,$L2595)&amp;""))</f>
        <v/>
      </c>
      <c r="C2595" s="52" t="str">
        <f aca="false">IF(L2595="","",INDEX(ポート振替表!$B$5:$B$3507,$L2595)&amp;" "&amp;INDEX(ポート振替表!$C$5:$C$3507,$L2595)&amp;"  ⇔  "&amp;INDEX(ポート振替表!$H$5:$H$3507,$L2595)&amp;" "&amp;INDEX(ポート振替表!$I$5:$I$3507,$L2595))</f>
        <v/>
      </c>
      <c r="D2595" s="57" t="s">
        <v>158</v>
      </c>
      <c r="E2595" s="59" t="str">
        <f aca="false">IF(L2595="","",IF(INDEX(ポート振替表!$O$5:$O$3507,$L2595)="","(未設定)",INDEX(ポート振替表!$O$5:$O$3507,$L2595)&amp;""))</f>
        <v/>
      </c>
      <c r="F2595" s="52" t="str">
        <f aca="false">IF(L2595="","",INDEX(ポート振替表!$K$5:$K$3507,$L2595)&amp;" "&amp;INDEX(ポート振替表!$L$5:$L$3507,$L2595)&amp;"  ⇔  "&amp;INDEX(ポート振替表!$H$5:$H$3507,$L2595)&amp;" "&amp;INDEX(ポート振替表!$I$5:$I$3507,$L2595))</f>
        <v/>
      </c>
      <c r="G2595" s="57" t="s">
        <v>158</v>
      </c>
      <c r="H2595" s="32" t="str">
        <f aca="false">IF(L2595="","",INDEX(ポート振替表!$N$5:$N$3507,$L2595)&amp;"")</f>
        <v/>
      </c>
      <c r="I2595" s="32" t="str">
        <f aca="false">IF(L2595="","",INDEX(ポート振替表!$P$5:$P$3507,$L2595)&amp;"")</f>
        <v/>
      </c>
      <c r="J2595" s="60" t="str">
        <f aca="false">IF(L2595="","",INDEX(ポート振替表!$M$5:$M$3507,$L2595)&amp;"")</f>
        <v/>
      </c>
      <c r="K2595" s="52" t="str">
        <f aca="false">IF(L2595="","",E2595&amp;CHAR(10)&amp;INDEX(ポート振替表!$K$5:$K$3507,$L2595)&amp;" "&amp;INDEX(ポート振替表!$L$5:$L$3507,$L2595)&amp;CHAR(10)&amp;"⇔ "&amp;INDEX(ポート振替表!$H$5:$H$3507,$L2595)&amp;" "&amp;INDEX(ポート振替表!$I$5:$I$3507,$L2595))</f>
        <v/>
      </c>
      <c r="L2595" s="47" t="str">
        <f aca="false">IFERROR(MATCH(ROW()-4,ポート振替表!$V$5:$V$3507,0),"")</f>
        <v/>
      </c>
    </row>
    <row r="2596" customFormat="false" ht="16.4" hidden="false" customHeight="false" outlineLevel="0" collapsed="false">
      <c r="A2596" s="32" t="str">
        <f aca="false">IF(L2596="","",ROW()-4)</f>
        <v/>
      </c>
      <c r="B2596" s="58" t="str">
        <f aca="false">IF(L2596="","",IF(INDEX(ポート振替表!$W$5:$W$3507,$L2596)="","(なし)",INDEX(ポート振替表!$W$5:$W$3507,$L2596)&amp;""))</f>
        <v/>
      </c>
      <c r="C2596" s="52" t="str">
        <f aca="false">IF(L2596="","",INDEX(ポート振替表!$B$5:$B$3507,$L2596)&amp;" "&amp;INDEX(ポート振替表!$C$5:$C$3507,$L2596)&amp;"  ⇔  "&amp;INDEX(ポート振替表!$H$5:$H$3507,$L2596)&amp;" "&amp;INDEX(ポート振替表!$I$5:$I$3507,$L2596))</f>
        <v/>
      </c>
      <c r="D2596" s="57" t="s">
        <v>158</v>
      </c>
      <c r="E2596" s="59" t="str">
        <f aca="false">IF(L2596="","",IF(INDEX(ポート振替表!$O$5:$O$3507,$L2596)="","(未設定)",INDEX(ポート振替表!$O$5:$O$3507,$L2596)&amp;""))</f>
        <v/>
      </c>
      <c r="F2596" s="52" t="str">
        <f aca="false">IF(L2596="","",INDEX(ポート振替表!$K$5:$K$3507,$L2596)&amp;" "&amp;INDEX(ポート振替表!$L$5:$L$3507,$L2596)&amp;"  ⇔  "&amp;INDEX(ポート振替表!$H$5:$H$3507,$L2596)&amp;" "&amp;INDEX(ポート振替表!$I$5:$I$3507,$L2596))</f>
        <v/>
      </c>
      <c r="G2596" s="57" t="s">
        <v>158</v>
      </c>
      <c r="H2596" s="32" t="str">
        <f aca="false">IF(L2596="","",INDEX(ポート振替表!$N$5:$N$3507,$L2596)&amp;"")</f>
        <v/>
      </c>
      <c r="I2596" s="32" t="str">
        <f aca="false">IF(L2596="","",INDEX(ポート振替表!$P$5:$P$3507,$L2596)&amp;"")</f>
        <v/>
      </c>
      <c r="J2596" s="60" t="str">
        <f aca="false">IF(L2596="","",INDEX(ポート振替表!$M$5:$M$3507,$L2596)&amp;"")</f>
        <v/>
      </c>
      <c r="K2596" s="52" t="str">
        <f aca="false">IF(L2596="","",E2596&amp;CHAR(10)&amp;INDEX(ポート振替表!$K$5:$K$3507,$L2596)&amp;" "&amp;INDEX(ポート振替表!$L$5:$L$3507,$L2596)&amp;CHAR(10)&amp;"⇔ "&amp;INDEX(ポート振替表!$H$5:$H$3507,$L2596)&amp;" "&amp;INDEX(ポート振替表!$I$5:$I$3507,$L2596))</f>
        <v/>
      </c>
      <c r="L2596" s="47" t="str">
        <f aca="false">IFERROR(MATCH(ROW()-4,ポート振替表!$V$5:$V$3507,0),"")</f>
        <v/>
      </c>
    </row>
    <row r="2597" customFormat="false" ht="16.4" hidden="false" customHeight="false" outlineLevel="0" collapsed="false">
      <c r="A2597" s="32" t="str">
        <f aca="false">IF(L2597="","",ROW()-4)</f>
        <v/>
      </c>
      <c r="B2597" s="58" t="str">
        <f aca="false">IF(L2597="","",IF(INDEX(ポート振替表!$W$5:$W$3507,$L2597)="","(なし)",INDEX(ポート振替表!$W$5:$W$3507,$L2597)&amp;""))</f>
        <v/>
      </c>
      <c r="C2597" s="52" t="str">
        <f aca="false">IF(L2597="","",INDEX(ポート振替表!$B$5:$B$3507,$L2597)&amp;" "&amp;INDEX(ポート振替表!$C$5:$C$3507,$L2597)&amp;"  ⇔  "&amp;INDEX(ポート振替表!$H$5:$H$3507,$L2597)&amp;" "&amp;INDEX(ポート振替表!$I$5:$I$3507,$L2597))</f>
        <v/>
      </c>
      <c r="D2597" s="57" t="s">
        <v>158</v>
      </c>
      <c r="E2597" s="59" t="str">
        <f aca="false">IF(L2597="","",IF(INDEX(ポート振替表!$O$5:$O$3507,$L2597)="","(未設定)",INDEX(ポート振替表!$O$5:$O$3507,$L2597)&amp;""))</f>
        <v/>
      </c>
      <c r="F2597" s="52" t="str">
        <f aca="false">IF(L2597="","",INDEX(ポート振替表!$K$5:$K$3507,$L2597)&amp;" "&amp;INDEX(ポート振替表!$L$5:$L$3507,$L2597)&amp;"  ⇔  "&amp;INDEX(ポート振替表!$H$5:$H$3507,$L2597)&amp;" "&amp;INDEX(ポート振替表!$I$5:$I$3507,$L2597))</f>
        <v/>
      </c>
      <c r="G2597" s="57" t="s">
        <v>158</v>
      </c>
      <c r="H2597" s="32" t="str">
        <f aca="false">IF(L2597="","",INDEX(ポート振替表!$N$5:$N$3507,$L2597)&amp;"")</f>
        <v/>
      </c>
      <c r="I2597" s="32" t="str">
        <f aca="false">IF(L2597="","",INDEX(ポート振替表!$P$5:$P$3507,$L2597)&amp;"")</f>
        <v/>
      </c>
      <c r="J2597" s="60" t="str">
        <f aca="false">IF(L2597="","",INDEX(ポート振替表!$M$5:$M$3507,$L2597)&amp;"")</f>
        <v/>
      </c>
      <c r="K2597" s="52" t="str">
        <f aca="false">IF(L2597="","",E2597&amp;CHAR(10)&amp;INDEX(ポート振替表!$K$5:$K$3507,$L2597)&amp;" "&amp;INDEX(ポート振替表!$L$5:$L$3507,$L2597)&amp;CHAR(10)&amp;"⇔ "&amp;INDEX(ポート振替表!$H$5:$H$3507,$L2597)&amp;" "&amp;INDEX(ポート振替表!$I$5:$I$3507,$L2597))</f>
        <v/>
      </c>
      <c r="L2597" s="47" t="str">
        <f aca="false">IFERROR(MATCH(ROW()-4,ポート振替表!$V$5:$V$3507,0),"")</f>
        <v/>
      </c>
    </row>
    <row r="2598" customFormat="false" ht="16.4" hidden="false" customHeight="false" outlineLevel="0" collapsed="false">
      <c r="A2598" s="32" t="str">
        <f aca="false">IF(L2598="","",ROW()-4)</f>
        <v/>
      </c>
      <c r="B2598" s="58" t="str">
        <f aca="false">IF(L2598="","",IF(INDEX(ポート振替表!$W$5:$W$3507,$L2598)="","(なし)",INDEX(ポート振替表!$W$5:$W$3507,$L2598)&amp;""))</f>
        <v/>
      </c>
      <c r="C2598" s="52" t="str">
        <f aca="false">IF(L2598="","",INDEX(ポート振替表!$B$5:$B$3507,$L2598)&amp;" "&amp;INDEX(ポート振替表!$C$5:$C$3507,$L2598)&amp;"  ⇔  "&amp;INDEX(ポート振替表!$H$5:$H$3507,$L2598)&amp;" "&amp;INDEX(ポート振替表!$I$5:$I$3507,$L2598))</f>
        <v/>
      </c>
      <c r="D2598" s="57" t="s">
        <v>158</v>
      </c>
      <c r="E2598" s="59" t="str">
        <f aca="false">IF(L2598="","",IF(INDEX(ポート振替表!$O$5:$O$3507,$L2598)="","(未設定)",INDEX(ポート振替表!$O$5:$O$3507,$L2598)&amp;""))</f>
        <v/>
      </c>
      <c r="F2598" s="52" t="str">
        <f aca="false">IF(L2598="","",INDEX(ポート振替表!$K$5:$K$3507,$L2598)&amp;" "&amp;INDEX(ポート振替表!$L$5:$L$3507,$L2598)&amp;"  ⇔  "&amp;INDEX(ポート振替表!$H$5:$H$3507,$L2598)&amp;" "&amp;INDEX(ポート振替表!$I$5:$I$3507,$L2598))</f>
        <v/>
      </c>
      <c r="G2598" s="57" t="s">
        <v>158</v>
      </c>
      <c r="H2598" s="32" t="str">
        <f aca="false">IF(L2598="","",INDEX(ポート振替表!$N$5:$N$3507,$L2598)&amp;"")</f>
        <v/>
      </c>
      <c r="I2598" s="32" t="str">
        <f aca="false">IF(L2598="","",INDEX(ポート振替表!$P$5:$P$3507,$L2598)&amp;"")</f>
        <v/>
      </c>
      <c r="J2598" s="60" t="str">
        <f aca="false">IF(L2598="","",INDEX(ポート振替表!$M$5:$M$3507,$L2598)&amp;"")</f>
        <v/>
      </c>
      <c r="K2598" s="52" t="str">
        <f aca="false">IF(L2598="","",E2598&amp;CHAR(10)&amp;INDEX(ポート振替表!$K$5:$K$3507,$L2598)&amp;" "&amp;INDEX(ポート振替表!$L$5:$L$3507,$L2598)&amp;CHAR(10)&amp;"⇔ "&amp;INDEX(ポート振替表!$H$5:$H$3507,$L2598)&amp;" "&amp;INDEX(ポート振替表!$I$5:$I$3507,$L2598))</f>
        <v/>
      </c>
      <c r="L2598" s="47" t="str">
        <f aca="false">IFERROR(MATCH(ROW()-4,ポート振替表!$V$5:$V$3507,0),"")</f>
        <v/>
      </c>
    </row>
    <row r="2599" customFormat="false" ht="16.4" hidden="false" customHeight="false" outlineLevel="0" collapsed="false">
      <c r="A2599" s="32" t="str">
        <f aca="false">IF(L2599="","",ROW()-4)</f>
        <v/>
      </c>
      <c r="B2599" s="58" t="str">
        <f aca="false">IF(L2599="","",IF(INDEX(ポート振替表!$W$5:$W$3507,$L2599)="","(なし)",INDEX(ポート振替表!$W$5:$W$3507,$L2599)&amp;""))</f>
        <v/>
      </c>
      <c r="C2599" s="52" t="str">
        <f aca="false">IF(L2599="","",INDEX(ポート振替表!$B$5:$B$3507,$L2599)&amp;" "&amp;INDEX(ポート振替表!$C$5:$C$3507,$L2599)&amp;"  ⇔  "&amp;INDEX(ポート振替表!$H$5:$H$3507,$L2599)&amp;" "&amp;INDEX(ポート振替表!$I$5:$I$3507,$L2599))</f>
        <v/>
      </c>
      <c r="D2599" s="57" t="s">
        <v>158</v>
      </c>
      <c r="E2599" s="59" t="str">
        <f aca="false">IF(L2599="","",IF(INDEX(ポート振替表!$O$5:$O$3507,$L2599)="","(未設定)",INDEX(ポート振替表!$O$5:$O$3507,$L2599)&amp;""))</f>
        <v/>
      </c>
      <c r="F2599" s="52" t="str">
        <f aca="false">IF(L2599="","",INDEX(ポート振替表!$K$5:$K$3507,$L2599)&amp;" "&amp;INDEX(ポート振替表!$L$5:$L$3507,$L2599)&amp;"  ⇔  "&amp;INDEX(ポート振替表!$H$5:$H$3507,$L2599)&amp;" "&amp;INDEX(ポート振替表!$I$5:$I$3507,$L2599))</f>
        <v/>
      </c>
      <c r="G2599" s="57" t="s">
        <v>158</v>
      </c>
      <c r="H2599" s="32" t="str">
        <f aca="false">IF(L2599="","",INDEX(ポート振替表!$N$5:$N$3507,$L2599)&amp;"")</f>
        <v/>
      </c>
      <c r="I2599" s="32" t="str">
        <f aca="false">IF(L2599="","",INDEX(ポート振替表!$P$5:$P$3507,$L2599)&amp;"")</f>
        <v/>
      </c>
      <c r="J2599" s="60" t="str">
        <f aca="false">IF(L2599="","",INDEX(ポート振替表!$M$5:$M$3507,$L2599)&amp;"")</f>
        <v/>
      </c>
      <c r="K2599" s="52" t="str">
        <f aca="false">IF(L2599="","",E2599&amp;CHAR(10)&amp;INDEX(ポート振替表!$K$5:$K$3507,$L2599)&amp;" "&amp;INDEX(ポート振替表!$L$5:$L$3507,$L2599)&amp;CHAR(10)&amp;"⇔ "&amp;INDEX(ポート振替表!$H$5:$H$3507,$L2599)&amp;" "&amp;INDEX(ポート振替表!$I$5:$I$3507,$L2599))</f>
        <v/>
      </c>
      <c r="L2599" s="47" t="str">
        <f aca="false">IFERROR(MATCH(ROW()-4,ポート振替表!$V$5:$V$3507,0),"")</f>
        <v/>
      </c>
    </row>
    <row r="2600" customFormat="false" ht="16.4" hidden="false" customHeight="false" outlineLevel="0" collapsed="false">
      <c r="A2600" s="32" t="str">
        <f aca="false">IF(L2600="","",ROW()-4)</f>
        <v/>
      </c>
      <c r="B2600" s="58" t="str">
        <f aca="false">IF(L2600="","",IF(INDEX(ポート振替表!$W$5:$W$3507,$L2600)="","(なし)",INDEX(ポート振替表!$W$5:$W$3507,$L2600)&amp;""))</f>
        <v/>
      </c>
      <c r="C2600" s="52" t="str">
        <f aca="false">IF(L2600="","",INDEX(ポート振替表!$B$5:$B$3507,$L2600)&amp;" "&amp;INDEX(ポート振替表!$C$5:$C$3507,$L2600)&amp;"  ⇔  "&amp;INDEX(ポート振替表!$H$5:$H$3507,$L2600)&amp;" "&amp;INDEX(ポート振替表!$I$5:$I$3507,$L2600))</f>
        <v/>
      </c>
      <c r="D2600" s="57" t="s">
        <v>158</v>
      </c>
      <c r="E2600" s="59" t="str">
        <f aca="false">IF(L2600="","",IF(INDEX(ポート振替表!$O$5:$O$3507,$L2600)="","(未設定)",INDEX(ポート振替表!$O$5:$O$3507,$L2600)&amp;""))</f>
        <v/>
      </c>
      <c r="F2600" s="52" t="str">
        <f aca="false">IF(L2600="","",INDEX(ポート振替表!$K$5:$K$3507,$L2600)&amp;" "&amp;INDEX(ポート振替表!$L$5:$L$3507,$L2600)&amp;"  ⇔  "&amp;INDEX(ポート振替表!$H$5:$H$3507,$L2600)&amp;" "&amp;INDEX(ポート振替表!$I$5:$I$3507,$L2600))</f>
        <v/>
      </c>
      <c r="G2600" s="57" t="s">
        <v>158</v>
      </c>
      <c r="H2600" s="32" t="str">
        <f aca="false">IF(L2600="","",INDEX(ポート振替表!$N$5:$N$3507,$L2600)&amp;"")</f>
        <v/>
      </c>
      <c r="I2600" s="32" t="str">
        <f aca="false">IF(L2600="","",INDEX(ポート振替表!$P$5:$P$3507,$L2600)&amp;"")</f>
        <v/>
      </c>
      <c r="J2600" s="60" t="str">
        <f aca="false">IF(L2600="","",INDEX(ポート振替表!$M$5:$M$3507,$L2600)&amp;"")</f>
        <v/>
      </c>
      <c r="K2600" s="52" t="str">
        <f aca="false">IF(L2600="","",E2600&amp;CHAR(10)&amp;INDEX(ポート振替表!$K$5:$K$3507,$L2600)&amp;" "&amp;INDEX(ポート振替表!$L$5:$L$3507,$L2600)&amp;CHAR(10)&amp;"⇔ "&amp;INDEX(ポート振替表!$H$5:$H$3507,$L2600)&amp;" "&amp;INDEX(ポート振替表!$I$5:$I$3507,$L2600))</f>
        <v/>
      </c>
      <c r="L2600" s="47" t="str">
        <f aca="false">IFERROR(MATCH(ROW()-4,ポート振替表!$V$5:$V$3507,0),"")</f>
        <v/>
      </c>
    </row>
    <row r="2601" customFormat="false" ht="16.4" hidden="false" customHeight="false" outlineLevel="0" collapsed="false">
      <c r="A2601" s="32" t="str">
        <f aca="false">IF(L2601="","",ROW()-4)</f>
        <v/>
      </c>
      <c r="B2601" s="58" t="str">
        <f aca="false">IF(L2601="","",IF(INDEX(ポート振替表!$W$5:$W$3507,$L2601)="","(なし)",INDEX(ポート振替表!$W$5:$W$3507,$L2601)&amp;""))</f>
        <v/>
      </c>
      <c r="C2601" s="52" t="str">
        <f aca="false">IF(L2601="","",INDEX(ポート振替表!$B$5:$B$3507,$L2601)&amp;" "&amp;INDEX(ポート振替表!$C$5:$C$3507,$L2601)&amp;"  ⇔  "&amp;INDEX(ポート振替表!$H$5:$H$3507,$L2601)&amp;" "&amp;INDEX(ポート振替表!$I$5:$I$3507,$L2601))</f>
        <v/>
      </c>
      <c r="D2601" s="57" t="s">
        <v>158</v>
      </c>
      <c r="E2601" s="59" t="str">
        <f aca="false">IF(L2601="","",IF(INDEX(ポート振替表!$O$5:$O$3507,$L2601)="","(未設定)",INDEX(ポート振替表!$O$5:$O$3507,$L2601)&amp;""))</f>
        <v/>
      </c>
      <c r="F2601" s="52" t="str">
        <f aca="false">IF(L2601="","",INDEX(ポート振替表!$K$5:$K$3507,$L2601)&amp;" "&amp;INDEX(ポート振替表!$L$5:$L$3507,$L2601)&amp;"  ⇔  "&amp;INDEX(ポート振替表!$H$5:$H$3507,$L2601)&amp;" "&amp;INDEX(ポート振替表!$I$5:$I$3507,$L2601))</f>
        <v/>
      </c>
      <c r="G2601" s="57" t="s">
        <v>158</v>
      </c>
      <c r="H2601" s="32" t="str">
        <f aca="false">IF(L2601="","",INDEX(ポート振替表!$N$5:$N$3507,$L2601)&amp;"")</f>
        <v/>
      </c>
      <c r="I2601" s="32" t="str">
        <f aca="false">IF(L2601="","",INDEX(ポート振替表!$P$5:$P$3507,$L2601)&amp;"")</f>
        <v/>
      </c>
      <c r="J2601" s="60" t="str">
        <f aca="false">IF(L2601="","",INDEX(ポート振替表!$M$5:$M$3507,$L2601)&amp;"")</f>
        <v/>
      </c>
      <c r="K2601" s="52" t="str">
        <f aca="false">IF(L2601="","",E2601&amp;CHAR(10)&amp;INDEX(ポート振替表!$K$5:$K$3507,$L2601)&amp;" "&amp;INDEX(ポート振替表!$L$5:$L$3507,$L2601)&amp;CHAR(10)&amp;"⇔ "&amp;INDEX(ポート振替表!$H$5:$H$3507,$L2601)&amp;" "&amp;INDEX(ポート振替表!$I$5:$I$3507,$L2601))</f>
        <v/>
      </c>
      <c r="L2601" s="47" t="str">
        <f aca="false">IFERROR(MATCH(ROW()-4,ポート振替表!$V$5:$V$3507,0),"")</f>
        <v/>
      </c>
    </row>
    <row r="2602" customFormat="false" ht="16.4" hidden="false" customHeight="false" outlineLevel="0" collapsed="false">
      <c r="A2602" s="32" t="str">
        <f aca="false">IF(L2602="","",ROW()-4)</f>
        <v/>
      </c>
      <c r="B2602" s="58" t="str">
        <f aca="false">IF(L2602="","",IF(INDEX(ポート振替表!$W$5:$W$3507,$L2602)="","(なし)",INDEX(ポート振替表!$W$5:$W$3507,$L2602)&amp;""))</f>
        <v/>
      </c>
      <c r="C2602" s="52" t="str">
        <f aca="false">IF(L2602="","",INDEX(ポート振替表!$B$5:$B$3507,$L2602)&amp;" "&amp;INDEX(ポート振替表!$C$5:$C$3507,$L2602)&amp;"  ⇔  "&amp;INDEX(ポート振替表!$H$5:$H$3507,$L2602)&amp;" "&amp;INDEX(ポート振替表!$I$5:$I$3507,$L2602))</f>
        <v/>
      </c>
      <c r="D2602" s="57" t="s">
        <v>158</v>
      </c>
      <c r="E2602" s="59" t="str">
        <f aca="false">IF(L2602="","",IF(INDEX(ポート振替表!$O$5:$O$3507,$L2602)="","(未設定)",INDEX(ポート振替表!$O$5:$O$3507,$L2602)&amp;""))</f>
        <v/>
      </c>
      <c r="F2602" s="52" t="str">
        <f aca="false">IF(L2602="","",INDEX(ポート振替表!$K$5:$K$3507,$L2602)&amp;" "&amp;INDEX(ポート振替表!$L$5:$L$3507,$L2602)&amp;"  ⇔  "&amp;INDEX(ポート振替表!$H$5:$H$3507,$L2602)&amp;" "&amp;INDEX(ポート振替表!$I$5:$I$3507,$L2602))</f>
        <v/>
      </c>
      <c r="G2602" s="57" t="s">
        <v>158</v>
      </c>
      <c r="H2602" s="32" t="str">
        <f aca="false">IF(L2602="","",INDEX(ポート振替表!$N$5:$N$3507,$L2602)&amp;"")</f>
        <v/>
      </c>
      <c r="I2602" s="32" t="str">
        <f aca="false">IF(L2602="","",INDEX(ポート振替表!$P$5:$P$3507,$L2602)&amp;"")</f>
        <v/>
      </c>
      <c r="J2602" s="60" t="str">
        <f aca="false">IF(L2602="","",INDEX(ポート振替表!$M$5:$M$3507,$L2602)&amp;"")</f>
        <v/>
      </c>
      <c r="K2602" s="52" t="str">
        <f aca="false">IF(L2602="","",E2602&amp;CHAR(10)&amp;INDEX(ポート振替表!$K$5:$K$3507,$L2602)&amp;" "&amp;INDEX(ポート振替表!$L$5:$L$3507,$L2602)&amp;CHAR(10)&amp;"⇔ "&amp;INDEX(ポート振替表!$H$5:$H$3507,$L2602)&amp;" "&amp;INDEX(ポート振替表!$I$5:$I$3507,$L2602))</f>
        <v/>
      </c>
      <c r="L2602" s="47" t="str">
        <f aca="false">IFERROR(MATCH(ROW()-4,ポート振替表!$V$5:$V$3507,0),"")</f>
        <v/>
      </c>
    </row>
    <row r="2603" customFormat="false" ht="16.4" hidden="false" customHeight="false" outlineLevel="0" collapsed="false">
      <c r="A2603" s="32" t="str">
        <f aca="false">IF(L2603="","",ROW()-4)</f>
        <v/>
      </c>
      <c r="B2603" s="58" t="str">
        <f aca="false">IF(L2603="","",IF(INDEX(ポート振替表!$W$5:$W$3507,$L2603)="","(なし)",INDEX(ポート振替表!$W$5:$W$3507,$L2603)&amp;""))</f>
        <v/>
      </c>
      <c r="C2603" s="52" t="str">
        <f aca="false">IF(L2603="","",INDEX(ポート振替表!$B$5:$B$3507,$L2603)&amp;" "&amp;INDEX(ポート振替表!$C$5:$C$3507,$L2603)&amp;"  ⇔  "&amp;INDEX(ポート振替表!$H$5:$H$3507,$L2603)&amp;" "&amp;INDEX(ポート振替表!$I$5:$I$3507,$L2603))</f>
        <v/>
      </c>
      <c r="D2603" s="57" t="s">
        <v>158</v>
      </c>
      <c r="E2603" s="59" t="str">
        <f aca="false">IF(L2603="","",IF(INDEX(ポート振替表!$O$5:$O$3507,$L2603)="","(未設定)",INDEX(ポート振替表!$O$5:$O$3507,$L2603)&amp;""))</f>
        <v/>
      </c>
      <c r="F2603" s="52" t="str">
        <f aca="false">IF(L2603="","",INDEX(ポート振替表!$K$5:$K$3507,$L2603)&amp;" "&amp;INDEX(ポート振替表!$L$5:$L$3507,$L2603)&amp;"  ⇔  "&amp;INDEX(ポート振替表!$H$5:$H$3507,$L2603)&amp;" "&amp;INDEX(ポート振替表!$I$5:$I$3507,$L2603))</f>
        <v/>
      </c>
      <c r="G2603" s="57" t="s">
        <v>158</v>
      </c>
      <c r="H2603" s="32" t="str">
        <f aca="false">IF(L2603="","",INDEX(ポート振替表!$N$5:$N$3507,$L2603)&amp;"")</f>
        <v/>
      </c>
      <c r="I2603" s="32" t="str">
        <f aca="false">IF(L2603="","",INDEX(ポート振替表!$P$5:$P$3507,$L2603)&amp;"")</f>
        <v/>
      </c>
      <c r="J2603" s="60" t="str">
        <f aca="false">IF(L2603="","",INDEX(ポート振替表!$M$5:$M$3507,$L2603)&amp;"")</f>
        <v/>
      </c>
      <c r="K2603" s="52" t="str">
        <f aca="false">IF(L2603="","",E2603&amp;CHAR(10)&amp;INDEX(ポート振替表!$K$5:$K$3507,$L2603)&amp;" "&amp;INDEX(ポート振替表!$L$5:$L$3507,$L2603)&amp;CHAR(10)&amp;"⇔ "&amp;INDEX(ポート振替表!$H$5:$H$3507,$L2603)&amp;" "&amp;INDEX(ポート振替表!$I$5:$I$3507,$L2603))</f>
        <v/>
      </c>
      <c r="L2603" s="47" t="str">
        <f aca="false">IFERROR(MATCH(ROW()-4,ポート振替表!$V$5:$V$3507,0),"")</f>
        <v/>
      </c>
    </row>
    <row r="2604" customFormat="false" ht="16.4" hidden="false" customHeight="false" outlineLevel="0" collapsed="false">
      <c r="A2604" s="32" t="str">
        <f aca="false">IF(L2604="","",ROW()-4)</f>
        <v/>
      </c>
      <c r="B2604" s="58" t="str">
        <f aca="false">IF(L2604="","",IF(INDEX(ポート振替表!$W$5:$W$3507,$L2604)="","(なし)",INDEX(ポート振替表!$W$5:$W$3507,$L2604)&amp;""))</f>
        <v/>
      </c>
      <c r="C2604" s="52" t="str">
        <f aca="false">IF(L2604="","",INDEX(ポート振替表!$B$5:$B$3507,$L2604)&amp;" "&amp;INDEX(ポート振替表!$C$5:$C$3507,$L2604)&amp;"  ⇔  "&amp;INDEX(ポート振替表!$H$5:$H$3507,$L2604)&amp;" "&amp;INDEX(ポート振替表!$I$5:$I$3507,$L2604))</f>
        <v/>
      </c>
      <c r="D2604" s="57" t="s">
        <v>158</v>
      </c>
      <c r="E2604" s="59" t="str">
        <f aca="false">IF(L2604="","",IF(INDEX(ポート振替表!$O$5:$O$3507,$L2604)="","(未設定)",INDEX(ポート振替表!$O$5:$O$3507,$L2604)&amp;""))</f>
        <v/>
      </c>
      <c r="F2604" s="52" t="str">
        <f aca="false">IF(L2604="","",INDEX(ポート振替表!$K$5:$K$3507,$L2604)&amp;" "&amp;INDEX(ポート振替表!$L$5:$L$3507,$L2604)&amp;"  ⇔  "&amp;INDEX(ポート振替表!$H$5:$H$3507,$L2604)&amp;" "&amp;INDEX(ポート振替表!$I$5:$I$3507,$L2604))</f>
        <v/>
      </c>
      <c r="G2604" s="57" t="s">
        <v>158</v>
      </c>
      <c r="H2604" s="32" t="str">
        <f aca="false">IF(L2604="","",INDEX(ポート振替表!$N$5:$N$3507,$L2604)&amp;"")</f>
        <v/>
      </c>
      <c r="I2604" s="32" t="str">
        <f aca="false">IF(L2604="","",INDEX(ポート振替表!$P$5:$P$3507,$L2604)&amp;"")</f>
        <v/>
      </c>
      <c r="J2604" s="60" t="str">
        <f aca="false">IF(L2604="","",INDEX(ポート振替表!$M$5:$M$3507,$L2604)&amp;"")</f>
        <v/>
      </c>
      <c r="K2604" s="52" t="str">
        <f aca="false">IF(L2604="","",E2604&amp;CHAR(10)&amp;INDEX(ポート振替表!$K$5:$K$3507,$L2604)&amp;" "&amp;INDEX(ポート振替表!$L$5:$L$3507,$L2604)&amp;CHAR(10)&amp;"⇔ "&amp;INDEX(ポート振替表!$H$5:$H$3507,$L2604)&amp;" "&amp;INDEX(ポート振替表!$I$5:$I$3507,$L2604))</f>
        <v/>
      </c>
      <c r="L2604" s="47" t="str">
        <f aca="false">IFERROR(MATCH(ROW()-4,ポート振替表!$V$5:$V$3507,0),"")</f>
        <v/>
      </c>
    </row>
    <row r="2605" customFormat="false" ht="16.4" hidden="false" customHeight="false" outlineLevel="0" collapsed="false">
      <c r="A2605" s="32" t="str">
        <f aca="false">IF(L2605="","",ROW()-4)</f>
        <v/>
      </c>
      <c r="B2605" s="58" t="str">
        <f aca="false">IF(L2605="","",IF(INDEX(ポート振替表!$W$5:$W$3507,$L2605)="","(なし)",INDEX(ポート振替表!$W$5:$W$3507,$L2605)&amp;""))</f>
        <v/>
      </c>
      <c r="C2605" s="52" t="str">
        <f aca="false">IF(L2605="","",INDEX(ポート振替表!$B$5:$B$3507,$L2605)&amp;" "&amp;INDEX(ポート振替表!$C$5:$C$3507,$L2605)&amp;"  ⇔  "&amp;INDEX(ポート振替表!$H$5:$H$3507,$L2605)&amp;" "&amp;INDEX(ポート振替表!$I$5:$I$3507,$L2605))</f>
        <v/>
      </c>
      <c r="D2605" s="57" t="s">
        <v>158</v>
      </c>
      <c r="E2605" s="59" t="str">
        <f aca="false">IF(L2605="","",IF(INDEX(ポート振替表!$O$5:$O$3507,$L2605)="","(未設定)",INDEX(ポート振替表!$O$5:$O$3507,$L2605)&amp;""))</f>
        <v/>
      </c>
      <c r="F2605" s="52" t="str">
        <f aca="false">IF(L2605="","",INDEX(ポート振替表!$K$5:$K$3507,$L2605)&amp;" "&amp;INDEX(ポート振替表!$L$5:$L$3507,$L2605)&amp;"  ⇔  "&amp;INDEX(ポート振替表!$H$5:$H$3507,$L2605)&amp;" "&amp;INDEX(ポート振替表!$I$5:$I$3507,$L2605))</f>
        <v/>
      </c>
      <c r="G2605" s="57" t="s">
        <v>158</v>
      </c>
      <c r="H2605" s="32" t="str">
        <f aca="false">IF(L2605="","",INDEX(ポート振替表!$N$5:$N$3507,$L2605)&amp;"")</f>
        <v/>
      </c>
      <c r="I2605" s="32" t="str">
        <f aca="false">IF(L2605="","",INDEX(ポート振替表!$P$5:$P$3507,$L2605)&amp;"")</f>
        <v/>
      </c>
      <c r="J2605" s="60" t="str">
        <f aca="false">IF(L2605="","",INDEX(ポート振替表!$M$5:$M$3507,$L2605)&amp;"")</f>
        <v/>
      </c>
      <c r="K2605" s="52" t="str">
        <f aca="false">IF(L2605="","",E2605&amp;CHAR(10)&amp;INDEX(ポート振替表!$K$5:$K$3507,$L2605)&amp;" "&amp;INDEX(ポート振替表!$L$5:$L$3507,$L2605)&amp;CHAR(10)&amp;"⇔ "&amp;INDEX(ポート振替表!$H$5:$H$3507,$L2605)&amp;" "&amp;INDEX(ポート振替表!$I$5:$I$3507,$L2605))</f>
        <v/>
      </c>
      <c r="L2605" s="47" t="str">
        <f aca="false">IFERROR(MATCH(ROW()-4,ポート振替表!$V$5:$V$3507,0),"")</f>
        <v/>
      </c>
    </row>
    <row r="2606" customFormat="false" ht="16.4" hidden="false" customHeight="false" outlineLevel="0" collapsed="false">
      <c r="A2606" s="32" t="str">
        <f aca="false">IF(L2606="","",ROW()-4)</f>
        <v/>
      </c>
      <c r="B2606" s="58" t="str">
        <f aca="false">IF(L2606="","",IF(INDEX(ポート振替表!$W$5:$W$3507,$L2606)="","(なし)",INDEX(ポート振替表!$W$5:$W$3507,$L2606)&amp;""))</f>
        <v/>
      </c>
      <c r="C2606" s="52" t="str">
        <f aca="false">IF(L2606="","",INDEX(ポート振替表!$B$5:$B$3507,$L2606)&amp;" "&amp;INDEX(ポート振替表!$C$5:$C$3507,$L2606)&amp;"  ⇔  "&amp;INDEX(ポート振替表!$H$5:$H$3507,$L2606)&amp;" "&amp;INDEX(ポート振替表!$I$5:$I$3507,$L2606))</f>
        <v/>
      </c>
      <c r="D2606" s="57" t="s">
        <v>158</v>
      </c>
      <c r="E2606" s="59" t="str">
        <f aca="false">IF(L2606="","",IF(INDEX(ポート振替表!$O$5:$O$3507,$L2606)="","(未設定)",INDEX(ポート振替表!$O$5:$O$3507,$L2606)&amp;""))</f>
        <v/>
      </c>
      <c r="F2606" s="52" t="str">
        <f aca="false">IF(L2606="","",INDEX(ポート振替表!$K$5:$K$3507,$L2606)&amp;" "&amp;INDEX(ポート振替表!$L$5:$L$3507,$L2606)&amp;"  ⇔  "&amp;INDEX(ポート振替表!$H$5:$H$3507,$L2606)&amp;" "&amp;INDEX(ポート振替表!$I$5:$I$3507,$L2606))</f>
        <v/>
      </c>
      <c r="G2606" s="57" t="s">
        <v>158</v>
      </c>
      <c r="H2606" s="32" t="str">
        <f aca="false">IF(L2606="","",INDEX(ポート振替表!$N$5:$N$3507,$L2606)&amp;"")</f>
        <v/>
      </c>
      <c r="I2606" s="32" t="str">
        <f aca="false">IF(L2606="","",INDEX(ポート振替表!$P$5:$P$3507,$L2606)&amp;"")</f>
        <v/>
      </c>
      <c r="J2606" s="60" t="str">
        <f aca="false">IF(L2606="","",INDEX(ポート振替表!$M$5:$M$3507,$L2606)&amp;"")</f>
        <v/>
      </c>
      <c r="K2606" s="52" t="str">
        <f aca="false">IF(L2606="","",E2606&amp;CHAR(10)&amp;INDEX(ポート振替表!$K$5:$K$3507,$L2606)&amp;" "&amp;INDEX(ポート振替表!$L$5:$L$3507,$L2606)&amp;CHAR(10)&amp;"⇔ "&amp;INDEX(ポート振替表!$H$5:$H$3507,$L2606)&amp;" "&amp;INDEX(ポート振替表!$I$5:$I$3507,$L2606))</f>
        <v/>
      </c>
      <c r="L2606" s="47" t="str">
        <f aca="false">IFERROR(MATCH(ROW()-4,ポート振替表!$V$5:$V$3507,0),"")</f>
        <v/>
      </c>
    </row>
    <row r="2607" customFormat="false" ht="16.4" hidden="false" customHeight="false" outlineLevel="0" collapsed="false">
      <c r="A2607" s="32" t="str">
        <f aca="false">IF(L2607="","",ROW()-4)</f>
        <v/>
      </c>
      <c r="B2607" s="58" t="str">
        <f aca="false">IF(L2607="","",IF(INDEX(ポート振替表!$W$5:$W$3507,$L2607)="","(なし)",INDEX(ポート振替表!$W$5:$W$3507,$L2607)&amp;""))</f>
        <v/>
      </c>
      <c r="C2607" s="52" t="str">
        <f aca="false">IF(L2607="","",INDEX(ポート振替表!$B$5:$B$3507,$L2607)&amp;" "&amp;INDEX(ポート振替表!$C$5:$C$3507,$L2607)&amp;"  ⇔  "&amp;INDEX(ポート振替表!$H$5:$H$3507,$L2607)&amp;" "&amp;INDEX(ポート振替表!$I$5:$I$3507,$L2607))</f>
        <v/>
      </c>
      <c r="D2607" s="57" t="s">
        <v>158</v>
      </c>
      <c r="E2607" s="59" t="str">
        <f aca="false">IF(L2607="","",IF(INDEX(ポート振替表!$O$5:$O$3507,$L2607)="","(未設定)",INDEX(ポート振替表!$O$5:$O$3507,$L2607)&amp;""))</f>
        <v/>
      </c>
      <c r="F2607" s="52" t="str">
        <f aca="false">IF(L2607="","",INDEX(ポート振替表!$K$5:$K$3507,$L2607)&amp;" "&amp;INDEX(ポート振替表!$L$5:$L$3507,$L2607)&amp;"  ⇔  "&amp;INDEX(ポート振替表!$H$5:$H$3507,$L2607)&amp;" "&amp;INDEX(ポート振替表!$I$5:$I$3507,$L2607))</f>
        <v/>
      </c>
      <c r="G2607" s="57" t="s">
        <v>158</v>
      </c>
      <c r="H2607" s="32" t="str">
        <f aca="false">IF(L2607="","",INDEX(ポート振替表!$N$5:$N$3507,$L2607)&amp;"")</f>
        <v/>
      </c>
      <c r="I2607" s="32" t="str">
        <f aca="false">IF(L2607="","",INDEX(ポート振替表!$P$5:$P$3507,$L2607)&amp;"")</f>
        <v/>
      </c>
      <c r="J2607" s="60" t="str">
        <f aca="false">IF(L2607="","",INDEX(ポート振替表!$M$5:$M$3507,$L2607)&amp;"")</f>
        <v/>
      </c>
      <c r="K2607" s="52" t="str">
        <f aca="false">IF(L2607="","",E2607&amp;CHAR(10)&amp;INDEX(ポート振替表!$K$5:$K$3507,$L2607)&amp;" "&amp;INDEX(ポート振替表!$L$5:$L$3507,$L2607)&amp;CHAR(10)&amp;"⇔ "&amp;INDEX(ポート振替表!$H$5:$H$3507,$L2607)&amp;" "&amp;INDEX(ポート振替表!$I$5:$I$3507,$L2607))</f>
        <v/>
      </c>
      <c r="L2607" s="47" t="str">
        <f aca="false">IFERROR(MATCH(ROW()-4,ポート振替表!$V$5:$V$3507,0),"")</f>
        <v/>
      </c>
    </row>
    <row r="2608" customFormat="false" ht="16.4" hidden="false" customHeight="false" outlineLevel="0" collapsed="false">
      <c r="A2608" s="32" t="str">
        <f aca="false">IF(L2608="","",ROW()-4)</f>
        <v/>
      </c>
      <c r="B2608" s="58" t="str">
        <f aca="false">IF(L2608="","",IF(INDEX(ポート振替表!$W$5:$W$3507,$L2608)="","(なし)",INDEX(ポート振替表!$W$5:$W$3507,$L2608)&amp;""))</f>
        <v/>
      </c>
      <c r="C2608" s="52" t="str">
        <f aca="false">IF(L2608="","",INDEX(ポート振替表!$B$5:$B$3507,$L2608)&amp;" "&amp;INDEX(ポート振替表!$C$5:$C$3507,$L2608)&amp;"  ⇔  "&amp;INDEX(ポート振替表!$H$5:$H$3507,$L2608)&amp;" "&amp;INDEX(ポート振替表!$I$5:$I$3507,$L2608))</f>
        <v/>
      </c>
      <c r="D2608" s="57" t="s">
        <v>158</v>
      </c>
      <c r="E2608" s="59" t="str">
        <f aca="false">IF(L2608="","",IF(INDEX(ポート振替表!$O$5:$O$3507,$L2608)="","(未設定)",INDEX(ポート振替表!$O$5:$O$3507,$L2608)&amp;""))</f>
        <v/>
      </c>
      <c r="F2608" s="52" t="str">
        <f aca="false">IF(L2608="","",INDEX(ポート振替表!$K$5:$K$3507,$L2608)&amp;" "&amp;INDEX(ポート振替表!$L$5:$L$3507,$L2608)&amp;"  ⇔  "&amp;INDEX(ポート振替表!$H$5:$H$3507,$L2608)&amp;" "&amp;INDEX(ポート振替表!$I$5:$I$3507,$L2608))</f>
        <v/>
      </c>
      <c r="G2608" s="57" t="s">
        <v>158</v>
      </c>
      <c r="H2608" s="32" t="str">
        <f aca="false">IF(L2608="","",INDEX(ポート振替表!$N$5:$N$3507,$L2608)&amp;"")</f>
        <v/>
      </c>
      <c r="I2608" s="32" t="str">
        <f aca="false">IF(L2608="","",INDEX(ポート振替表!$P$5:$P$3507,$L2608)&amp;"")</f>
        <v/>
      </c>
      <c r="J2608" s="60" t="str">
        <f aca="false">IF(L2608="","",INDEX(ポート振替表!$M$5:$M$3507,$L2608)&amp;"")</f>
        <v/>
      </c>
      <c r="K2608" s="52" t="str">
        <f aca="false">IF(L2608="","",E2608&amp;CHAR(10)&amp;INDEX(ポート振替表!$K$5:$K$3507,$L2608)&amp;" "&amp;INDEX(ポート振替表!$L$5:$L$3507,$L2608)&amp;CHAR(10)&amp;"⇔ "&amp;INDEX(ポート振替表!$H$5:$H$3507,$L2608)&amp;" "&amp;INDEX(ポート振替表!$I$5:$I$3507,$L2608))</f>
        <v/>
      </c>
      <c r="L2608" s="47" t="str">
        <f aca="false">IFERROR(MATCH(ROW()-4,ポート振替表!$V$5:$V$3507,0),"")</f>
        <v/>
      </c>
    </row>
    <row r="2609" customFormat="false" ht="16.4" hidden="false" customHeight="false" outlineLevel="0" collapsed="false">
      <c r="A2609" s="32" t="str">
        <f aca="false">IF(L2609="","",ROW()-4)</f>
        <v/>
      </c>
      <c r="B2609" s="58" t="str">
        <f aca="false">IF(L2609="","",IF(INDEX(ポート振替表!$W$5:$W$3507,$L2609)="","(なし)",INDEX(ポート振替表!$W$5:$W$3507,$L2609)&amp;""))</f>
        <v/>
      </c>
      <c r="C2609" s="52" t="str">
        <f aca="false">IF(L2609="","",INDEX(ポート振替表!$B$5:$B$3507,$L2609)&amp;" "&amp;INDEX(ポート振替表!$C$5:$C$3507,$L2609)&amp;"  ⇔  "&amp;INDEX(ポート振替表!$H$5:$H$3507,$L2609)&amp;" "&amp;INDEX(ポート振替表!$I$5:$I$3507,$L2609))</f>
        <v/>
      </c>
      <c r="D2609" s="57" t="s">
        <v>158</v>
      </c>
      <c r="E2609" s="59" t="str">
        <f aca="false">IF(L2609="","",IF(INDEX(ポート振替表!$O$5:$O$3507,$L2609)="","(未設定)",INDEX(ポート振替表!$O$5:$O$3507,$L2609)&amp;""))</f>
        <v/>
      </c>
      <c r="F2609" s="52" t="str">
        <f aca="false">IF(L2609="","",INDEX(ポート振替表!$K$5:$K$3507,$L2609)&amp;" "&amp;INDEX(ポート振替表!$L$5:$L$3507,$L2609)&amp;"  ⇔  "&amp;INDEX(ポート振替表!$H$5:$H$3507,$L2609)&amp;" "&amp;INDEX(ポート振替表!$I$5:$I$3507,$L2609))</f>
        <v/>
      </c>
      <c r="G2609" s="57" t="s">
        <v>158</v>
      </c>
      <c r="H2609" s="32" t="str">
        <f aca="false">IF(L2609="","",INDEX(ポート振替表!$N$5:$N$3507,$L2609)&amp;"")</f>
        <v/>
      </c>
      <c r="I2609" s="32" t="str">
        <f aca="false">IF(L2609="","",INDEX(ポート振替表!$P$5:$P$3507,$L2609)&amp;"")</f>
        <v/>
      </c>
      <c r="J2609" s="60" t="str">
        <f aca="false">IF(L2609="","",INDEX(ポート振替表!$M$5:$M$3507,$L2609)&amp;"")</f>
        <v/>
      </c>
      <c r="K2609" s="52" t="str">
        <f aca="false">IF(L2609="","",E2609&amp;CHAR(10)&amp;INDEX(ポート振替表!$K$5:$K$3507,$L2609)&amp;" "&amp;INDEX(ポート振替表!$L$5:$L$3507,$L2609)&amp;CHAR(10)&amp;"⇔ "&amp;INDEX(ポート振替表!$H$5:$H$3507,$L2609)&amp;" "&amp;INDEX(ポート振替表!$I$5:$I$3507,$L2609))</f>
        <v/>
      </c>
      <c r="L2609" s="47" t="str">
        <f aca="false">IFERROR(MATCH(ROW()-4,ポート振替表!$V$5:$V$3507,0),"")</f>
        <v/>
      </c>
    </row>
    <row r="2610" customFormat="false" ht="16.4" hidden="false" customHeight="false" outlineLevel="0" collapsed="false">
      <c r="A2610" s="32" t="str">
        <f aca="false">IF(L2610="","",ROW()-4)</f>
        <v/>
      </c>
      <c r="B2610" s="58" t="str">
        <f aca="false">IF(L2610="","",IF(INDEX(ポート振替表!$W$5:$W$3507,$L2610)="","(なし)",INDEX(ポート振替表!$W$5:$W$3507,$L2610)&amp;""))</f>
        <v/>
      </c>
      <c r="C2610" s="52" t="str">
        <f aca="false">IF(L2610="","",INDEX(ポート振替表!$B$5:$B$3507,$L2610)&amp;" "&amp;INDEX(ポート振替表!$C$5:$C$3507,$L2610)&amp;"  ⇔  "&amp;INDEX(ポート振替表!$H$5:$H$3507,$L2610)&amp;" "&amp;INDEX(ポート振替表!$I$5:$I$3507,$L2610))</f>
        <v/>
      </c>
      <c r="D2610" s="57" t="s">
        <v>158</v>
      </c>
      <c r="E2610" s="59" t="str">
        <f aca="false">IF(L2610="","",IF(INDEX(ポート振替表!$O$5:$O$3507,$L2610)="","(未設定)",INDEX(ポート振替表!$O$5:$O$3507,$L2610)&amp;""))</f>
        <v/>
      </c>
      <c r="F2610" s="52" t="str">
        <f aca="false">IF(L2610="","",INDEX(ポート振替表!$K$5:$K$3507,$L2610)&amp;" "&amp;INDEX(ポート振替表!$L$5:$L$3507,$L2610)&amp;"  ⇔  "&amp;INDEX(ポート振替表!$H$5:$H$3507,$L2610)&amp;" "&amp;INDEX(ポート振替表!$I$5:$I$3507,$L2610))</f>
        <v/>
      </c>
      <c r="G2610" s="57" t="s">
        <v>158</v>
      </c>
      <c r="H2610" s="32" t="str">
        <f aca="false">IF(L2610="","",INDEX(ポート振替表!$N$5:$N$3507,$L2610)&amp;"")</f>
        <v/>
      </c>
      <c r="I2610" s="32" t="str">
        <f aca="false">IF(L2610="","",INDEX(ポート振替表!$P$5:$P$3507,$L2610)&amp;"")</f>
        <v/>
      </c>
      <c r="J2610" s="60" t="str">
        <f aca="false">IF(L2610="","",INDEX(ポート振替表!$M$5:$M$3507,$L2610)&amp;"")</f>
        <v/>
      </c>
      <c r="K2610" s="52" t="str">
        <f aca="false">IF(L2610="","",E2610&amp;CHAR(10)&amp;INDEX(ポート振替表!$K$5:$K$3507,$L2610)&amp;" "&amp;INDEX(ポート振替表!$L$5:$L$3507,$L2610)&amp;CHAR(10)&amp;"⇔ "&amp;INDEX(ポート振替表!$H$5:$H$3507,$L2610)&amp;" "&amp;INDEX(ポート振替表!$I$5:$I$3507,$L2610))</f>
        <v/>
      </c>
      <c r="L2610" s="47" t="str">
        <f aca="false">IFERROR(MATCH(ROW()-4,ポート振替表!$V$5:$V$3507,0),"")</f>
        <v/>
      </c>
    </row>
    <row r="2611" customFormat="false" ht="16.4" hidden="false" customHeight="false" outlineLevel="0" collapsed="false">
      <c r="A2611" s="32" t="str">
        <f aca="false">IF(L2611="","",ROW()-4)</f>
        <v/>
      </c>
      <c r="B2611" s="58" t="str">
        <f aca="false">IF(L2611="","",IF(INDEX(ポート振替表!$W$5:$W$3507,$L2611)="","(なし)",INDEX(ポート振替表!$W$5:$W$3507,$L2611)&amp;""))</f>
        <v/>
      </c>
      <c r="C2611" s="52" t="str">
        <f aca="false">IF(L2611="","",INDEX(ポート振替表!$B$5:$B$3507,$L2611)&amp;" "&amp;INDEX(ポート振替表!$C$5:$C$3507,$L2611)&amp;"  ⇔  "&amp;INDEX(ポート振替表!$H$5:$H$3507,$L2611)&amp;" "&amp;INDEX(ポート振替表!$I$5:$I$3507,$L2611))</f>
        <v/>
      </c>
      <c r="D2611" s="57" t="s">
        <v>158</v>
      </c>
      <c r="E2611" s="59" t="str">
        <f aca="false">IF(L2611="","",IF(INDEX(ポート振替表!$O$5:$O$3507,$L2611)="","(未設定)",INDEX(ポート振替表!$O$5:$O$3507,$L2611)&amp;""))</f>
        <v/>
      </c>
      <c r="F2611" s="52" t="str">
        <f aca="false">IF(L2611="","",INDEX(ポート振替表!$K$5:$K$3507,$L2611)&amp;" "&amp;INDEX(ポート振替表!$L$5:$L$3507,$L2611)&amp;"  ⇔  "&amp;INDEX(ポート振替表!$H$5:$H$3507,$L2611)&amp;" "&amp;INDEX(ポート振替表!$I$5:$I$3507,$L2611))</f>
        <v/>
      </c>
      <c r="G2611" s="57" t="s">
        <v>158</v>
      </c>
      <c r="H2611" s="32" t="str">
        <f aca="false">IF(L2611="","",INDEX(ポート振替表!$N$5:$N$3507,$L2611)&amp;"")</f>
        <v/>
      </c>
      <c r="I2611" s="32" t="str">
        <f aca="false">IF(L2611="","",INDEX(ポート振替表!$P$5:$P$3507,$L2611)&amp;"")</f>
        <v/>
      </c>
      <c r="J2611" s="60" t="str">
        <f aca="false">IF(L2611="","",INDEX(ポート振替表!$M$5:$M$3507,$L2611)&amp;"")</f>
        <v/>
      </c>
      <c r="K2611" s="52" t="str">
        <f aca="false">IF(L2611="","",E2611&amp;CHAR(10)&amp;INDEX(ポート振替表!$K$5:$K$3507,$L2611)&amp;" "&amp;INDEX(ポート振替表!$L$5:$L$3507,$L2611)&amp;CHAR(10)&amp;"⇔ "&amp;INDEX(ポート振替表!$H$5:$H$3507,$L2611)&amp;" "&amp;INDEX(ポート振替表!$I$5:$I$3507,$L2611))</f>
        <v/>
      </c>
      <c r="L2611" s="47" t="str">
        <f aca="false">IFERROR(MATCH(ROW()-4,ポート振替表!$V$5:$V$3507,0),"")</f>
        <v/>
      </c>
    </row>
    <row r="2612" customFormat="false" ht="16.4" hidden="false" customHeight="false" outlineLevel="0" collapsed="false">
      <c r="A2612" s="32" t="str">
        <f aca="false">IF(L2612="","",ROW()-4)</f>
        <v/>
      </c>
      <c r="B2612" s="58" t="str">
        <f aca="false">IF(L2612="","",IF(INDEX(ポート振替表!$W$5:$W$3507,$L2612)="","(なし)",INDEX(ポート振替表!$W$5:$W$3507,$L2612)&amp;""))</f>
        <v/>
      </c>
      <c r="C2612" s="52" t="str">
        <f aca="false">IF(L2612="","",INDEX(ポート振替表!$B$5:$B$3507,$L2612)&amp;" "&amp;INDEX(ポート振替表!$C$5:$C$3507,$L2612)&amp;"  ⇔  "&amp;INDEX(ポート振替表!$H$5:$H$3507,$L2612)&amp;" "&amp;INDEX(ポート振替表!$I$5:$I$3507,$L2612))</f>
        <v/>
      </c>
      <c r="D2612" s="57" t="s">
        <v>158</v>
      </c>
      <c r="E2612" s="59" t="str">
        <f aca="false">IF(L2612="","",IF(INDEX(ポート振替表!$O$5:$O$3507,$L2612)="","(未設定)",INDEX(ポート振替表!$O$5:$O$3507,$L2612)&amp;""))</f>
        <v/>
      </c>
      <c r="F2612" s="52" t="str">
        <f aca="false">IF(L2612="","",INDEX(ポート振替表!$K$5:$K$3507,$L2612)&amp;" "&amp;INDEX(ポート振替表!$L$5:$L$3507,$L2612)&amp;"  ⇔  "&amp;INDEX(ポート振替表!$H$5:$H$3507,$L2612)&amp;" "&amp;INDEX(ポート振替表!$I$5:$I$3507,$L2612))</f>
        <v/>
      </c>
      <c r="G2612" s="57" t="s">
        <v>158</v>
      </c>
      <c r="H2612" s="32" t="str">
        <f aca="false">IF(L2612="","",INDEX(ポート振替表!$N$5:$N$3507,$L2612)&amp;"")</f>
        <v/>
      </c>
      <c r="I2612" s="32" t="str">
        <f aca="false">IF(L2612="","",INDEX(ポート振替表!$P$5:$P$3507,$L2612)&amp;"")</f>
        <v/>
      </c>
      <c r="J2612" s="60" t="str">
        <f aca="false">IF(L2612="","",INDEX(ポート振替表!$M$5:$M$3507,$L2612)&amp;"")</f>
        <v/>
      </c>
      <c r="K2612" s="52" t="str">
        <f aca="false">IF(L2612="","",E2612&amp;CHAR(10)&amp;INDEX(ポート振替表!$K$5:$K$3507,$L2612)&amp;" "&amp;INDEX(ポート振替表!$L$5:$L$3507,$L2612)&amp;CHAR(10)&amp;"⇔ "&amp;INDEX(ポート振替表!$H$5:$H$3507,$L2612)&amp;" "&amp;INDEX(ポート振替表!$I$5:$I$3507,$L2612))</f>
        <v/>
      </c>
      <c r="L2612" s="47" t="str">
        <f aca="false">IFERROR(MATCH(ROW()-4,ポート振替表!$V$5:$V$3507,0),"")</f>
        <v/>
      </c>
    </row>
    <row r="2613" customFormat="false" ht="16.4" hidden="false" customHeight="false" outlineLevel="0" collapsed="false">
      <c r="A2613" s="32" t="str">
        <f aca="false">IF(L2613="","",ROW()-4)</f>
        <v/>
      </c>
      <c r="B2613" s="58" t="str">
        <f aca="false">IF(L2613="","",IF(INDEX(ポート振替表!$W$5:$W$3507,$L2613)="","(なし)",INDEX(ポート振替表!$W$5:$W$3507,$L2613)&amp;""))</f>
        <v/>
      </c>
      <c r="C2613" s="52" t="str">
        <f aca="false">IF(L2613="","",INDEX(ポート振替表!$B$5:$B$3507,$L2613)&amp;" "&amp;INDEX(ポート振替表!$C$5:$C$3507,$L2613)&amp;"  ⇔  "&amp;INDEX(ポート振替表!$H$5:$H$3507,$L2613)&amp;" "&amp;INDEX(ポート振替表!$I$5:$I$3507,$L2613))</f>
        <v/>
      </c>
      <c r="D2613" s="57" t="s">
        <v>158</v>
      </c>
      <c r="E2613" s="59" t="str">
        <f aca="false">IF(L2613="","",IF(INDEX(ポート振替表!$O$5:$O$3507,$L2613)="","(未設定)",INDEX(ポート振替表!$O$5:$O$3507,$L2613)&amp;""))</f>
        <v/>
      </c>
      <c r="F2613" s="52" t="str">
        <f aca="false">IF(L2613="","",INDEX(ポート振替表!$K$5:$K$3507,$L2613)&amp;" "&amp;INDEX(ポート振替表!$L$5:$L$3507,$L2613)&amp;"  ⇔  "&amp;INDEX(ポート振替表!$H$5:$H$3507,$L2613)&amp;" "&amp;INDEX(ポート振替表!$I$5:$I$3507,$L2613))</f>
        <v/>
      </c>
      <c r="G2613" s="57" t="s">
        <v>158</v>
      </c>
      <c r="H2613" s="32" t="str">
        <f aca="false">IF(L2613="","",INDEX(ポート振替表!$N$5:$N$3507,$L2613)&amp;"")</f>
        <v/>
      </c>
      <c r="I2613" s="32" t="str">
        <f aca="false">IF(L2613="","",INDEX(ポート振替表!$P$5:$P$3507,$L2613)&amp;"")</f>
        <v/>
      </c>
      <c r="J2613" s="60" t="str">
        <f aca="false">IF(L2613="","",INDEX(ポート振替表!$M$5:$M$3507,$L2613)&amp;"")</f>
        <v/>
      </c>
      <c r="K2613" s="52" t="str">
        <f aca="false">IF(L2613="","",E2613&amp;CHAR(10)&amp;INDEX(ポート振替表!$K$5:$K$3507,$L2613)&amp;" "&amp;INDEX(ポート振替表!$L$5:$L$3507,$L2613)&amp;CHAR(10)&amp;"⇔ "&amp;INDEX(ポート振替表!$H$5:$H$3507,$L2613)&amp;" "&amp;INDEX(ポート振替表!$I$5:$I$3507,$L2613))</f>
        <v/>
      </c>
      <c r="L2613" s="47" t="str">
        <f aca="false">IFERROR(MATCH(ROW()-4,ポート振替表!$V$5:$V$3507,0),"")</f>
        <v/>
      </c>
    </row>
    <row r="2614" customFormat="false" ht="16.4" hidden="false" customHeight="false" outlineLevel="0" collapsed="false">
      <c r="A2614" s="32" t="str">
        <f aca="false">IF(L2614="","",ROW()-4)</f>
        <v/>
      </c>
      <c r="B2614" s="58" t="str">
        <f aca="false">IF(L2614="","",IF(INDEX(ポート振替表!$W$5:$W$3507,$L2614)="","(なし)",INDEX(ポート振替表!$W$5:$W$3507,$L2614)&amp;""))</f>
        <v/>
      </c>
      <c r="C2614" s="52" t="str">
        <f aca="false">IF(L2614="","",INDEX(ポート振替表!$B$5:$B$3507,$L2614)&amp;" "&amp;INDEX(ポート振替表!$C$5:$C$3507,$L2614)&amp;"  ⇔  "&amp;INDEX(ポート振替表!$H$5:$H$3507,$L2614)&amp;" "&amp;INDEX(ポート振替表!$I$5:$I$3507,$L2614))</f>
        <v/>
      </c>
      <c r="D2614" s="57" t="s">
        <v>158</v>
      </c>
      <c r="E2614" s="59" t="str">
        <f aca="false">IF(L2614="","",IF(INDEX(ポート振替表!$O$5:$O$3507,$L2614)="","(未設定)",INDEX(ポート振替表!$O$5:$O$3507,$L2614)&amp;""))</f>
        <v/>
      </c>
      <c r="F2614" s="52" t="str">
        <f aca="false">IF(L2614="","",INDEX(ポート振替表!$K$5:$K$3507,$L2614)&amp;" "&amp;INDEX(ポート振替表!$L$5:$L$3507,$L2614)&amp;"  ⇔  "&amp;INDEX(ポート振替表!$H$5:$H$3507,$L2614)&amp;" "&amp;INDEX(ポート振替表!$I$5:$I$3507,$L2614))</f>
        <v/>
      </c>
      <c r="G2614" s="57" t="s">
        <v>158</v>
      </c>
      <c r="H2614" s="32" t="str">
        <f aca="false">IF(L2614="","",INDEX(ポート振替表!$N$5:$N$3507,$L2614)&amp;"")</f>
        <v/>
      </c>
      <c r="I2614" s="32" t="str">
        <f aca="false">IF(L2614="","",INDEX(ポート振替表!$P$5:$P$3507,$L2614)&amp;"")</f>
        <v/>
      </c>
      <c r="J2614" s="60" t="str">
        <f aca="false">IF(L2614="","",INDEX(ポート振替表!$M$5:$M$3507,$L2614)&amp;"")</f>
        <v/>
      </c>
      <c r="K2614" s="52" t="str">
        <f aca="false">IF(L2614="","",E2614&amp;CHAR(10)&amp;INDEX(ポート振替表!$K$5:$K$3507,$L2614)&amp;" "&amp;INDEX(ポート振替表!$L$5:$L$3507,$L2614)&amp;CHAR(10)&amp;"⇔ "&amp;INDEX(ポート振替表!$H$5:$H$3507,$L2614)&amp;" "&amp;INDEX(ポート振替表!$I$5:$I$3507,$L2614))</f>
        <v/>
      </c>
      <c r="L2614" s="47" t="str">
        <f aca="false">IFERROR(MATCH(ROW()-4,ポート振替表!$V$5:$V$3507,0),"")</f>
        <v/>
      </c>
    </row>
    <row r="2615" customFormat="false" ht="16.4" hidden="false" customHeight="false" outlineLevel="0" collapsed="false">
      <c r="A2615" s="32" t="str">
        <f aca="false">IF(L2615="","",ROW()-4)</f>
        <v/>
      </c>
      <c r="B2615" s="58" t="str">
        <f aca="false">IF(L2615="","",IF(INDEX(ポート振替表!$W$5:$W$3507,$L2615)="","(なし)",INDEX(ポート振替表!$W$5:$W$3507,$L2615)&amp;""))</f>
        <v/>
      </c>
      <c r="C2615" s="52" t="str">
        <f aca="false">IF(L2615="","",INDEX(ポート振替表!$B$5:$B$3507,$L2615)&amp;" "&amp;INDEX(ポート振替表!$C$5:$C$3507,$L2615)&amp;"  ⇔  "&amp;INDEX(ポート振替表!$H$5:$H$3507,$L2615)&amp;" "&amp;INDEX(ポート振替表!$I$5:$I$3507,$L2615))</f>
        <v/>
      </c>
      <c r="D2615" s="57" t="s">
        <v>158</v>
      </c>
      <c r="E2615" s="59" t="str">
        <f aca="false">IF(L2615="","",IF(INDEX(ポート振替表!$O$5:$O$3507,$L2615)="","(未設定)",INDEX(ポート振替表!$O$5:$O$3507,$L2615)&amp;""))</f>
        <v/>
      </c>
      <c r="F2615" s="52" t="str">
        <f aca="false">IF(L2615="","",INDEX(ポート振替表!$K$5:$K$3507,$L2615)&amp;" "&amp;INDEX(ポート振替表!$L$5:$L$3507,$L2615)&amp;"  ⇔  "&amp;INDEX(ポート振替表!$H$5:$H$3507,$L2615)&amp;" "&amp;INDEX(ポート振替表!$I$5:$I$3507,$L2615))</f>
        <v/>
      </c>
      <c r="G2615" s="57" t="s">
        <v>158</v>
      </c>
      <c r="H2615" s="32" t="str">
        <f aca="false">IF(L2615="","",INDEX(ポート振替表!$N$5:$N$3507,$L2615)&amp;"")</f>
        <v/>
      </c>
      <c r="I2615" s="32" t="str">
        <f aca="false">IF(L2615="","",INDEX(ポート振替表!$P$5:$P$3507,$L2615)&amp;"")</f>
        <v/>
      </c>
      <c r="J2615" s="60" t="str">
        <f aca="false">IF(L2615="","",INDEX(ポート振替表!$M$5:$M$3507,$L2615)&amp;"")</f>
        <v/>
      </c>
      <c r="K2615" s="52" t="str">
        <f aca="false">IF(L2615="","",E2615&amp;CHAR(10)&amp;INDEX(ポート振替表!$K$5:$K$3507,$L2615)&amp;" "&amp;INDEX(ポート振替表!$L$5:$L$3507,$L2615)&amp;CHAR(10)&amp;"⇔ "&amp;INDEX(ポート振替表!$H$5:$H$3507,$L2615)&amp;" "&amp;INDEX(ポート振替表!$I$5:$I$3507,$L2615))</f>
        <v/>
      </c>
      <c r="L2615" s="47" t="str">
        <f aca="false">IFERROR(MATCH(ROW()-4,ポート振替表!$V$5:$V$3507,0),"")</f>
        <v/>
      </c>
    </row>
    <row r="2616" customFormat="false" ht="16.4" hidden="false" customHeight="false" outlineLevel="0" collapsed="false">
      <c r="A2616" s="32" t="str">
        <f aca="false">IF(L2616="","",ROW()-4)</f>
        <v/>
      </c>
      <c r="B2616" s="58" t="str">
        <f aca="false">IF(L2616="","",IF(INDEX(ポート振替表!$W$5:$W$3507,$L2616)="","(なし)",INDEX(ポート振替表!$W$5:$W$3507,$L2616)&amp;""))</f>
        <v/>
      </c>
      <c r="C2616" s="52" t="str">
        <f aca="false">IF(L2616="","",INDEX(ポート振替表!$B$5:$B$3507,$L2616)&amp;" "&amp;INDEX(ポート振替表!$C$5:$C$3507,$L2616)&amp;"  ⇔  "&amp;INDEX(ポート振替表!$H$5:$H$3507,$L2616)&amp;" "&amp;INDEX(ポート振替表!$I$5:$I$3507,$L2616))</f>
        <v/>
      </c>
      <c r="D2616" s="57" t="s">
        <v>158</v>
      </c>
      <c r="E2616" s="59" t="str">
        <f aca="false">IF(L2616="","",IF(INDEX(ポート振替表!$O$5:$O$3507,$L2616)="","(未設定)",INDEX(ポート振替表!$O$5:$O$3507,$L2616)&amp;""))</f>
        <v/>
      </c>
      <c r="F2616" s="52" t="str">
        <f aca="false">IF(L2616="","",INDEX(ポート振替表!$K$5:$K$3507,$L2616)&amp;" "&amp;INDEX(ポート振替表!$L$5:$L$3507,$L2616)&amp;"  ⇔  "&amp;INDEX(ポート振替表!$H$5:$H$3507,$L2616)&amp;" "&amp;INDEX(ポート振替表!$I$5:$I$3507,$L2616))</f>
        <v/>
      </c>
      <c r="G2616" s="57" t="s">
        <v>158</v>
      </c>
      <c r="H2616" s="32" t="str">
        <f aca="false">IF(L2616="","",INDEX(ポート振替表!$N$5:$N$3507,$L2616)&amp;"")</f>
        <v/>
      </c>
      <c r="I2616" s="32" t="str">
        <f aca="false">IF(L2616="","",INDEX(ポート振替表!$P$5:$P$3507,$L2616)&amp;"")</f>
        <v/>
      </c>
      <c r="J2616" s="60" t="str">
        <f aca="false">IF(L2616="","",INDEX(ポート振替表!$M$5:$M$3507,$L2616)&amp;"")</f>
        <v/>
      </c>
      <c r="K2616" s="52" t="str">
        <f aca="false">IF(L2616="","",E2616&amp;CHAR(10)&amp;INDEX(ポート振替表!$K$5:$K$3507,$L2616)&amp;" "&amp;INDEX(ポート振替表!$L$5:$L$3507,$L2616)&amp;CHAR(10)&amp;"⇔ "&amp;INDEX(ポート振替表!$H$5:$H$3507,$L2616)&amp;" "&amp;INDEX(ポート振替表!$I$5:$I$3507,$L2616))</f>
        <v/>
      </c>
      <c r="L2616" s="47" t="str">
        <f aca="false">IFERROR(MATCH(ROW()-4,ポート振替表!$V$5:$V$3507,0),"")</f>
        <v/>
      </c>
    </row>
    <row r="2617" customFormat="false" ht="16.4" hidden="false" customHeight="false" outlineLevel="0" collapsed="false">
      <c r="A2617" s="32" t="str">
        <f aca="false">IF(L2617="","",ROW()-4)</f>
        <v/>
      </c>
      <c r="B2617" s="58" t="str">
        <f aca="false">IF(L2617="","",IF(INDEX(ポート振替表!$W$5:$W$3507,$L2617)="","(なし)",INDEX(ポート振替表!$W$5:$W$3507,$L2617)&amp;""))</f>
        <v/>
      </c>
      <c r="C2617" s="52" t="str">
        <f aca="false">IF(L2617="","",INDEX(ポート振替表!$B$5:$B$3507,$L2617)&amp;" "&amp;INDEX(ポート振替表!$C$5:$C$3507,$L2617)&amp;"  ⇔  "&amp;INDEX(ポート振替表!$H$5:$H$3507,$L2617)&amp;" "&amp;INDEX(ポート振替表!$I$5:$I$3507,$L2617))</f>
        <v/>
      </c>
      <c r="D2617" s="57" t="s">
        <v>158</v>
      </c>
      <c r="E2617" s="59" t="str">
        <f aca="false">IF(L2617="","",IF(INDEX(ポート振替表!$O$5:$O$3507,$L2617)="","(未設定)",INDEX(ポート振替表!$O$5:$O$3507,$L2617)&amp;""))</f>
        <v/>
      </c>
      <c r="F2617" s="52" t="str">
        <f aca="false">IF(L2617="","",INDEX(ポート振替表!$K$5:$K$3507,$L2617)&amp;" "&amp;INDEX(ポート振替表!$L$5:$L$3507,$L2617)&amp;"  ⇔  "&amp;INDEX(ポート振替表!$H$5:$H$3507,$L2617)&amp;" "&amp;INDEX(ポート振替表!$I$5:$I$3507,$L2617))</f>
        <v/>
      </c>
      <c r="G2617" s="57" t="s">
        <v>158</v>
      </c>
      <c r="H2617" s="32" t="str">
        <f aca="false">IF(L2617="","",INDEX(ポート振替表!$N$5:$N$3507,$L2617)&amp;"")</f>
        <v/>
      </c>
      <c r="I2617" s="32" t="str">
        <f aca="false">IF(L2617="","",INDEX(ポート振替表!$P$5:$P$3507,$L2617)&amp;"")</f>
        <v/>
      </c>
      <c r="J2617" s="60" t="str">
        <f aca="false">IF(L2617="","",INDEX(ポート振替表!$M$5:$M$3507,$L2617)&amp;"")</f>
        <v/>
      </c>
      <c r="K2617" s="52" t="str">
        <f aca="false">IF(L2617="","",E2617&amp;CHAR(10)&amp;INDEX(ポート振替表!$K$5:$K$3507,$L2617)&amp;" "&amp;INDEX(ポート振替表!$L$5:$L$3507,$L2617)&amp;CHAR(10)&amp;"⇔ "&amp;INDEX(ポート振替表!$H$5:$H$3507,$L2617)&amp;" "&amp;INDEX(ポート振替表!$I$5:$I$3507,$L2617))</f>
        <v/>
      </c>
      <c r="L2617" s="47" t="str">
        <f aca="false">IFERROR(MATCH(ROW()-4,ポート振替表!$V$5:$V$3507,0),"")</f>
        <v/>
      </c>
    </row>
    <row r="2618" customFormat="false" ht="16.4" hidden="false" customHeight="false" outlineLevel="0" collapsed="false">
      <c r="A2618" s="32" t="str">
        <f aca="false">IF(L2618="","",ROW()-4)</f>
        <v/>
      </c>
      <c r="B2618" s="58" t="str">
        <f aca="false">IF(L2618="","",IF(INDEX(ポート振替表!$W$5:$W$3507,$L2618)="","(なし)",INDEX(ポート振替表!$W$5:$W$3507,$L2618)&amp;""))</f>
        <v/>
      </c>
      <c r="C2618" s="52" t="str">
        <f aca="false">IF(L2618="","",INDEX(ポート振替表!$B$5:$B$3507,$L2618)&amp;" "&amp;INDEX(ポート振替表!$C$5:$C$3507,$L2618)&amp;"  ⇔  "&amp;INDEX(ポート振替表!$H$5:$H$3507,$L2618)&amp;" "&amp;INDEX(ポート振替表!$I$5:$I$3507,$L2618))</f>
        <v/>
      </c>
      <c r="D2618" s="57" t="s">
        <v>158</v>
      </c>
      <c r="E2618" s="59" t="str">
        <f aca="false">IF(L2618="","",IF(INDEX(ポート振替表!$O$5:$O$3507,$L2618)="","(未設定)",INDEX(ポート振替表!$O$5:$O$3507,$L2618)&amp;""))</f>
        <v/>
      </c>
      <c r="F2618" s="52" t="str">
        <f aca="false">IF(L2618="","",INDEX(ポート振替表!$K$5:$K$3507,$L2618)&amp;" "&amp;INDEX(ポート振替表!$L$5:$L$3507,$L2618)&amp;"  ⇔  "&amp;INDEX(ポート振替表!$H$5:$H$3507,$L2618)&amp;" "&amp;INDEX(ポート振替表!$I$5:$I$3507,$L2618))</f>
        <v/>
      </c>
      <c r="G2618" s="57" t="s">
        <v>158</v>
      </c>
      <c r="H2618" s="32" t="str">
        <f aca="false">IF(L2618="","",INDEX(ポート振替表!$N$5:$N$3507,$L2618)&amp;"")</f>
        <v/>
      </c>
      <c r="I2618" s="32" t="str">
        <f aca="false">IF(L2618="","",INDEX(ポート振替表!$P$5:$P$3507,$L2618)&amp;"")</f>
        <v/>
      </c>
      <c r="J2618" s="60" t="str">
        <f aca="false">IF(L2618="","",INDEX(ポート振替表!$M$5:$M$3507,$L2618)&amp;"")</f>
        <v/>
      </c>
      <c r="K2618" s="52" t="str">
        <f aca="false">IF(L2618="","",E2618&amp;CHAR(10)&amp;INDEX(ポート振替表!$K$5:$K$3507,$L2618)&amp;" "&amp;INDEX(ポート振替表!$L$5:$L$3507,$L2618)&amp;CHAR(10)&amp;"⇔ "&amp;INDEX(ポート振替表!$H$5:$H$3507,$L2618)&amp;" "&amp;INDEX(ポート振替表!$I$5:$I$3507,$L2618))</f>
        <v/>
      </c>
      <c r="L2618" s="47" t="str">
        <f aca="false">IFERROR(MATCH(ROW()-4,ポート振替表!$V$5:$V$3507,0),"")</f>
        <v/>
      </c>
    </row>
    <row r="2619" customFormat="false" ht="16.4" hidden="false" customHeight="false" outlineLevel="0" collapsed="false">
      <c r="A2619" s="32" t="str">
        <f aca="false">IF(L2619="","",ROW()-4)</f>
        <v/>
      </c>
      <c r="B2619" s="58" t="str">
        <f aca="false">IF(L2619="","",IF(INDEX(ポート振替表!$W$5:$W$3507,$L2619)="","(なし)",INDEX(ポート振替表!$W$5:$W$3507,$L2619)&amp;""))</f>
        <v/>
      </c>
      <c r="C2619" s="52" t="str">
        <f aca="false">IF(L2619="","",INDEX(ポート振替表!$B$5:$B$3507,$L2619)&amp;" "&amp;INDEX(ポート振替表!$C$5:$C$3507,$L2619)&amp;"  ⇔  "&amp;INDEX(ポート振替表!$H$5:$H$3507,$L2619)&amp;" "&amp;INDEX(ポート振替表!$I$5:$I$3507,$L2619))</f>
        <v/>
      </c>
      <c r="D2619" s="57" t="s">
        <v>158</v>
      </c>
      <c r="E2619" s="59" t="str">
        <f aca="false">IF(L2619="","",IF(INDEX(ポート振替表!$O$5:$O$3507,$L2619)="","(未設定)",INDEX(ポート振替表!$O$5:$O$3507,$L2619)&amp;""))</f>
        <v/>
      </c>
      <c r="F2619" s="52" t="str">
        <f aca="false">IF(L2619="","",INDEX(ポート振替表!$K$5:$K$3507,$L2619)&amp;" "&amp;INDEX(ポート振替表!$L$5:$L$3507,$L2619)&amp;"  ⇔  "&amp;INDEX(ポート振替表!$H$5:$H$3507,$L2619)&amp;" "&amp;INDEX(ポート振替表!$I$5:$I$3507,$L2619))</f>
        <v/>
      </c>
      <c r="G2619" s="57" t="s">
        <v>158</v>
      </c>
      <c r="H2619" s="32" t="str">
        <f aca="false">IF(L2619="","",INDEX(ポート振替表!$N$5:$N$3507,$L2619)&amp;"")</f>
        <v/>
      </c>
      <c r="I2619" s="32" t="str">
        <f aca="false">IF(L2619="","",INDEX(ポート振替表!$P$5:$P$3507,$L2619)&amp;"")</f>
        <v/>
      </c>
      <c r="J2619" s="60" t="str">
        <f aca="false">IF(L2619="","",INDEX(ポート振替表!$M$5:$M$3507,$L2619)&amp;"")</f>
        <v/>
      </c>
      <c r="K2619" s="52" t="str">
        <f aca="false">IF(L2619="","",E2619&amp;CHAR(10)&amp;INDEX(ポート振替表!$K$5:$K$3507,$L2619)&amp;" "&amp;INDEX(ポート振替表!$L$5:$L$3507,$L2619)&amp;CHAR(10)&amp;"⇔ "&amp;INDEX(ポート振替表!$H$5:$H$3507,$L2619)&amp;" "&amp;INDEX(ポート振替表!$I$5:$I$3507,$L2619))</f>
        <v/>
      </c>
      <c r="L2619" s="47" t="str">
        <f aca="false">IFERROR(MATCH(ROW()-4,ポート振替表!$V$5:$V$3507,0),"")</f>
        <v/>
      </c>
    </row>
    <row r="2620" customFormat="false" ht="16.4" hidden="false" customHeight="false" outlineLevel="0" collapsed="false">
      <c r="A2620" s="32" t="str">
        <f aca="false">IF(L2620="","",ROW()-4)</f>
        <v/>
      </c>
      <c r="B2620" s="58" t="str">
        <f aca="false">IF(L2620="","",IF(INDEX(ポート振替表!$W$5:$W$3507,$L2620)="","(なし)",INDEX(ポート振替表!$W$5:$W$3507,$L2620)&amp;""))</f>
        <v/>
      </c>
      <c r="C2620" s="52" t="str">
        <f aca="false">IF(L2620="","",INDEX(ポート振替表!$B$5:$B$3507,$L2620)&amp;" "&amp;INDEX(ポート振替表!$C$5:$C$3507,$L2620)&amp;"  ⇔  "&amp;INDEX(ポート振替表!$H$5:$H$3507,$L2620)&amp;" "&amp;INDEX(ポート振替表!$I$5:$I$3507,$L2620))</f>
        <v/>
      </c>
      <c r="D2620" s="57" t="s">
        <v>158</v>
      </c>
      <c r="E2620" s="59" t="str">
        <f aca="false">IF(L2620="","",IF(INDEX(ポート振替表!$O$5:$O$3507,$L2620)="","(未設定)",INDEX(ポート振替表!$O$5:$O$3507,$L2620)&amp;""))</f>
        <v/>
      </c>
      <c r="F2620" s="52" t="str">
        <f aca="false">IF(L2620="","",INDEX(ポート振替表!$K$5:$K$3507,$L2620)&amp;" "&amp;INDEX(ポート振替表!$L$5:$L$3507,$L2620)&amp;"  ⇔  "&amp;INDEX(ポート振替表!$H$5:$H$3507,$L2620)&amp;" "&amp;INDEX(ポート振替表!$I$5:$I$3507,$L2620))</f>
        <v/>
      </c>
      <c r="G2620" s="57" t="s">
        <v>158</v>
      </c>
      <c r="H2620" s="32" t="str">
        <f aca="false">IF(L2620="","",INDEX(ポート振替表!$N$5:$N$3507,$L2620)&amp;"")</f>
        <v/>
      </c>
      <c r="I2620" s="32" t="str">
        <f aca="false">IF(L2620="","",INDEX(ポート振替表!$P$5:$P$3507,$L2620)&amp;"")</f>
        <v/>
      </c>
      <c r="J2620" s="60" t="str">
        <f aca="false">IF(L2620="","",INDEX(ポート振替表!$M$5:$M$3507,$L2620)&amp;"")</f>
        <v/>
      </c>
      <c r="K2620" s="52" t="str">
        <f aca="false">IF(L2620="","",E2620&amp;CHAR(10)&amp;INDEX(ポート振替表!$K$5:$K$3507,$L2620)&amp;" "&amp;INDEX(ポート振替表!$L$5:$L$3507,$L2620)&amp;CHAR(10)&amp;"⇔ "&amp;INDEX(ポート振替表!$H$5:$H$3507,$L2620)&amp;" "&amp;INDEX(ポート振替表!$I$5:$I$3507,$L2620))</f>
        <v/>
      </c>
      <c r="L2620" s="47" t="str">
        <f aca="false">IFERROR(MATCH(ROW()-4,ポート振替表!$V$5:$V$3507,0),"")</f>
        <v/>
      </c>
    </row>
    <row r="2621" customFormat="false" ht="16.4" hidden="false" customHeight="false" outlineLevel="0" collapsed="false">
      <c r="A2621" s="32" t="str">
        <f aca="false">IF(L2621="","",ROW()-4)</f>
        <v/>
      </c>
      <c r="B2621" s="58" t="str">
        <f aca="false">IF(L2621="","",IF(INDEX(ポート振替表!$W$5:$W$3507,$L2621)="","(なし)",INDEX(ポート振替表!$W$5:$W$3507,$L2621)&amp;""))</f>
        <v/>
      </c>
      <c r="C2621" s="52" t="str">
        <f aca="false">IF(L2621="","",INDEX(ポート振替表!$B$5:$B$3507,$L2621)&amp;" "&amp;INDEX(ポート振替表!$C$5:$C$3507,$L2621)&amp;"  ⇔  "&amp;INDEX(ポート振替表!$H$5:$H$3507,$L2621)&amp;" "&amp;INDEX(ポート振替表!$I$5:$I$3507,$L2621))</f>
        <v/>
      </c>
      <c r="D2621" s="57" t="s">
        <v>158</v>
      </c>
      <c r="E2621" s="59" t="str">
        <f aca="false">IF(L2621="","",IF(INDEX(ポート振替表!$O$5:$O$3507,$L2621)="","(未設定)",INDEX(ポート振替表!$O$5:$O$3507,$L2621)&amp;""))</f>
        <v/>
      </c>
      <c r="F2621" s="52" t="str">
        <f aca="false">IF(L2621="","",INDEX(ポート振替表!$K$5:$K$3507,$L2621)&amp;" "&amp;INDEX(ポート振替表!$L$5:$L$3507,$L2621)&amp;"  ⇔  "&amp;INDEX(ポート振替表!$H$5:$H$3507,$L2621)&amp;" "&amp;INDEX(ポート振替表!$I$5:$I$3507,$L2621))</f>
        <v/>
      </c>
      <c r="G2621" s="57" t="s">
        <v>158</v>
      </c>
      <c r="H2621" s="32" t="str">
        <f aca="false">IF(L2621="","",INDEX(ポート振替表!$N$5:$N$3507,$L2621)&amp;"")</f>
        <v/>
      </c>
      <c r="I2621" s="32" t="str">
        <f aca="false">IF(L2621="","",INDEX(ポート振替表!$P$5:$P$3507,$L2621)&amp;"")</f>
        <v/>
      </c>
      <c r="J2621" s="60" t="str">
        <f aca="false">IF(L2621="","",INDEX(ポート振替表!$M$5:$M$3507,$L2621)&amp;"")</f>
        <v/>
      </c>
      <c r="K2621" s="52" t="str">
        <f aca="false">IF(L2621="","",E2621&amp;CHAR(10)&amp;INDEX(ポート振替表!$K$5:$K$3507,$L2621)&amp;" "&amp;INDEX(ポート振替表!$L$5:$L$3507,$L2621)&amp;CHAR(10)&amp;"⇔ "&amp;INDEX(ポート振替表!$H$5:$H$3507,$L2621)&amp;" "&amp;INDEX(ポート振替表!$I$5:$I$3507,$L2621))</f>
        <v/>
      </c>
      <c r="L2621" s="47" t="str">
        <f aca="false">IFERROR(MATCH(ROW()-4,ポート振替表!$V$5:$V$3507,0),"")</f>
        <v/>
      </c>
    </row>
    <row r="2622" customFormat="false" ht="16.4" hidden="false" customHeight="false" outlineLevel="0" collapsed="false">
      <c r="A2622" s="32" t="str">
        <f aca="false">IF(L2622="","",ROW()-4)</f>
        <v/>
      </c>
      <c r="B2622" s="58" t="str">
        <f aca="false">IF(L2622="","",IF(INDEX(ポート振替表!$W$5:$W$3507,$L2622)="","(なし)",INDEX(ポート振替表!$W$5:$W$3507,$L2622)&amp;""))</f>
        <v/>
      </c>
      <c r="C2622" s="52" t="str">
        <f aca="false">IF(L2622="","",INDEX(ポート振替表!$B$5:$B$3507,$L2622)&amp;" "&amp;INDEX(ポート振替表!$C$5:$C$3507,$L2622)&amp;"  ⇔  "&amp;INDEX(ポート振替表!$H$5:$H$3507,$L2622)&amp;" "&amp;INDEX(ポート振替表!$I$5:$I$3507,$L2622))</f>
        <v/>
      </c>
      <c r="D2622" s="57" t="s">
        <v>158</v>
      </c>
      <c r="E2622" s="59" t="str">
        <f aca="false">IF(L2622="","",IF(INDEX(ポート振替表!$O$5:$O$3507,$L2622)="","(未設定)",INDEX(ポート振替表!$O$5:$O$3507,$L2622)&amp;""))</f>
        <v/>
      </c>
      <c r="F2622" s="52" t="str">
        <f aca="false">IF(L2622="","",INDEX(ポート振替表!$K$5:$K$3507,$L2622)&amp;" "&amp;INDEX(ポート振替表!$L$5:$L$3507,$L2622)&amp;"  ⇔  "&amp;INDEX(ポート振替表!$H$5:$H$3507,$L2622)&amp;" "&amp;INDEX(ポート振替表!$I$5:$I$3507,$L2622))</f>
        <v/>
      </c>
      <c r="G2622" s="57" t="s">
        <v>158</v>
      </c>
      <c r="H2622" s="32" t="str">
        <f aca="false">IF(L2622="","",INDEX(ポート振替表!$N$5:$N$3507,$L2622)&amp;"")</f>
        <v/>
      </c>
      <c r="I2622" s="32" t="str">
        <f aca="false">IF(L2622="","",INDEX(ポート振替表!$P$5:$P$3507,$L2622)&amp;"")</f>
        <v/>
      </c>
      <c r="J2622" s="60" t="str">
        <f aca="false">IF(L2622="","",INDEX(ポート振替表!$M$5:$M$3507,$L2622)&amp;"")</f>
        <v/>
      </c>
      <c r="K2622" s="52" t="str">
        <f aca="false">IF(L2622="","",E2622&amp;CHAR(10)&amp;INDEX(ポート振替表!$K$5:$K$3507,$L2622)&amp;" "&amp;INDEX(ポート振替表!$L$5:$L$3507,$L2622)&amp;CHAR(10)&amp;"⇔ "&amp;INDEX(ポート振替表!$H$5:$H$3507,$L2622)&amp;" "&amp;INDEX(ポート振替表!$I$5:$I$3507,$L2622))</f>
        <v/>
      </c>
      <c r="L2622" s="47" t="str">
        <f aca="false">IFERROR(MATCH(ROW()-4,ポート振替表!$V$5:$V$3507,0),"")</f>
        <v/>
      </c>
    </row>
    <row r="2623" customFormat="false" ht="16.4" hidden="false" customHeight="false" outlineLevel="0" collapsed="false">
      <c r="A2623" s="32" t="str">
        <f aca="false">IF(L2623="","",ROW()-4)</f>
        <v/>
      </c>
      <c r="B2623" s="58" t="str">
        <f aca="false">IF(L2623="","",IF(INDEX(ポート振替表!$W$5:$W$3507,$L2623)="","(なし)",INDEX(ポート振替表!$W$5:$W$3507,$L2623)&amp;""))</f>
        <v/>
      </c>
      <c r="C2623" s="52" t="str">
        <f aca="false">IF(L2623="","",INDEX(ポート振替表!$B$5:$B$3507,$L2623)&amp;" "&amp;INDEX(ポート振替表!$C$5:$C$3507,$L2623)&amp;"  ⇔  "&amp;INDEX(ポート振替表!$H$5:$H$3507,$L2623)&amp;" "&amp;INDEX(ポート振替表!$I$5:$I$3507,$L2623))</f>
        <v/>
      </c>
      <c r="D2623" s="57" t="s">
        <v>158</v>
      </c>
      <c r="E2623" s="59" t="str">
        <f aca="false">IF(L2623="","",IF(INDEX(ポート振替表!$O$5:$O$3507,$L2623)="","(未設定)",INDEX(ポート振替表!$O$5:$O$3507,$L2623)&amp;""))</f>
        <v/>
      </c>
      <c r="F2623" s="52" t="str">
        <f aca="false">IF(L2623="","",INDEX(ポート振替表!$K$5:$K$3507,$L2623)&amp;" "&amp;INDEX(ポート振替表!$L$5:$L$3507,$L2623)&amp;"  ⇔  "&amp;INDEX(ポート振替表!$H$5:$H$3507,$L2623)&amp;" "&amp;INDEX(ポート振替表!$I$5:$I$3507,$L2623))</f>
        <v/>
      </c>
      <c r="G2623" s="57" t="s">
        <v>158</v>
      </c>
      <c r="H2623" s="32" t="str">
        <f aca="false">IF(L2623="","",INDEX(ポート振替表!$N$5:$N$3507,$L2623)&amp;"")</f>
        <v/>
      </c>
      <c r="I2623" s="32" t="str">
        <f aca="false">IF(L2623="","",INDEX(ポート振替表!$P$5:$P$3507,$L2623)&amp;"")</f>
        <v/>
      </c>
      <c r="J2623" s="60" t="str">
        <f aca="false">IF(L2623="","",INDEX(ポート振替表!$M$5:$M$3507,$L2623)&amp;"")</f>
        <v/>
      </c>
      <c r="K2623" s="52" t="str">
        <f aca="false">IF(L2623="","",E2623&amp;CHAR(10)&amp;INDEX(ポート振替表!$K$5:$K$3507,$L2623)&amp;" "&amp;INDEX(ポート振替表!$L$5:$L$3507,$L2623)&amp;CHAR(10)&amp;"⇔ "&amp;INDEX(ポート振替表!$H$5:$H$3507,$L2623)&amp;" "&amp;INDEX(ポート振替表!$I$5:$I$3507,$L2623))</f>
        <v/>
      </c>
      <c r="L2623" s="47" t="str">
        <f aca="false">IFERROR(MATCH(ROW()-4,ポート振替表!$V$5:$V$3507,0),"")</f>
        <v/>
      </c>
    </row>
    <row r="2624" customFormat="false" ht="16.4" hidden="false" customHeight="false" outlineLevel="0" collapsed="false">
      <c r="A2624" s="32" t="str">
        <f aca="false">IF(L2624="","",ROW()-4)</f>
        <v/>
      </c>
      <c r="B2624" s="58" t="str">
        <f aca="false">IF(L2624="","",IF(INDEX(ポート振替表!$W$5:$W$3507,$L2624)="","(なし)",INDEX(ポート振替表!$W$5:$W$3507,$L2624)&amp;""))</f>
        <v/>
      </c>
      <c r="C2624" s="52" t="str">
        <f aca="false">IF(L2624="","",INDEX(ポート振替表!$B$5:$B$3507,$L2624)&amp;" "&amp;INDEX(ポート振替表!$C$5:$C$3507,$L2624)&amp;"  ⇔  "&amp;INDEX(ポート振替表!$H$5:$H$3507,$L2624)&amp;" "&amp;INDEX(ポート振替表!$I$5:$I$3507,$L2624))</f>
        <v/>
      </c>
      <c r="D2624" s="57" t="s">
        <v>158</v>
      </c>
      <c r="E2624" s="59" t="str">
        <f aca="false">IF(L2624="","",IF(INDEX(ポート振替表!$O$5:$O$3507,$L2624)="","(未設定)",INDEX(ポート振替表!$O$5:$O$3507,$L2624)&amp;""))</f>
        <v/>
      </c>
      <c r="F2624" s="52" t="str">
        <f aca="false">IF(L2624="","",INDEX(ポート振替表!$K$5:$K$3507,$L2624)&amp;" "&amp;INDEX(ポート振替表!$L$5:$L$3507,$L2624)&amp;"  ⇔  "&amp;INDEX(ポート振替表!$H$5:$H$3507,$L2624)&amp;" "&amp;INDEX(ポート振替表!$I$5:$I$3507,$L2624))</f>
        <v/>
      </c>
      <c r="G2624" s="57" t="s">
        <v>158</v>
      </c>
      <c r="H2624" s="32" t="str">
        <f aca="false">IF(L2624="","",INDEX(ポート振替表!$N$5:$N$3507,$L2624)&amp;"")</f>
        <v/>
      </c>
      <c r="I2624" s="32" t="str">
        <f aca="false">IF(L2624="","",INDEX(ポート振替表!$P$5:$P$3507,$L2624)&amp;"")</f>
        <v/>
      </c>
      <c r="J2624" s="60" t="str">
        <f aca="false">IF(L2624="","",INDEX(ポート振替表!$M$5:$M$3507,$L2624)&amp;"")</f>
        <v/>
      </c>
      <c r="K2624" s="52" t="str">
        <f aca="false">IF(L2624="","",E2624&amp;CHAR(10)&amp;INDEX(ポート振替表!$K$5:$K$3507,$L2624)&amp;" "&amp;INDEX(ポート振替表!$L$5:$L$3507,$L2624)&amp;CHAR(10)&amp;"⇔ "&amp;INDEX(ポート振替表!$H$5:$H$3507,$L2624)&amp;" "&amp;INDEX(ポート振替表!$I$5:$I$3507,$L2624))</f>
        <v/>
      </c>
      <c r="L2624" s="47" t="str">
        <f aca="false">IFERROR(MATCH(ROW()-4,ポート振替表!$V$5:$V$3507,0),"")</f>
        <v/>
      </c>
    </row>
    <row r="2625" customFormat="false" ht="16.4" hidden="false" customHeight="false" outlineLevel="0" collapsed="false">
      <c r="A2625" s="32" t="str">
        <f aca="false">IF(L2625="","",ROW()-4)</f>
        <v/>
      </c>
      <c r="B2625" s="58" t="str">
        <f aca="false">IF(L2625="","",IF(INDEX(ポート振替表!$W$5:$W$3507,$L2625)="","(なし)",INDEX(ポート振替表!$W$5:$W$3507,$L2625)&amp;""))</f>
        <v/>
      </c>
      <c r="C2625" s="52" t="str">
        <f aca="false">IF(L2625="","",INDEX(ポート振替表!$B$5:$B$3507,$L2625)&amp;" "&amp;INDEX(ポート振替表!$C$5:$C$3507,$L2625)&amp;"  ⇔  "&amp;INDEX(ポート振替表!$H$5:$H$3507,$L2625)&amp;" "&amp;INDEX(ポート振替表!$I$5:$I$3507,$L2625))</f>
        <v/>
      </c>
      <c r="D2625" s="57" t="s">
        <v>158</v>
      </c>
      <c r="E2625" s="59" t="str">
        <f aca="false">IF(L2625="","",IF(INDEX(ポート振替表!$O$5:$O$3507,$L2625)="","(未設定)",INDEX(ポート振替表!$O$5:$O$3507,$L2625)&amp;""))</f>
        <v/>
      </c>
      <c r="F2625" s="52" t="str">
        <f aca="false">IF(L2625="","",INDEX(ポート振替表!$K$5:$K$3507,$L2625)&amp;" "&amp;INDEX(ポート振替表!$L$5:$L$3507,$L2625)&amp;"  ⇔  "&amp;INDEX(ポート振替表!$H$5:$H$3507,$L2625)&amp;" "&amp;INDEX(ポート振替表!$I$5:$I$3507,$L2625))</f>
        <v/>
      </c>
      <c r="G2625" s="57" t="s">
        <v>158</v>
      </c>
      <c r="H2625" s="32" t="str">
        <f aca="false">IF(L2625="","",INDEX(ポート振替表!$N$5:$N$3507,$L2625)&amp;"")</f>
        <v/>
      </c>
      <c r="I2625" s="32" t="str">
        <f aca="false">IF(L2625="","",INDEX(ポート振替表!$P$5:$P$3507,$L2625)&amp;"")</f>
        <v/>
      </c>
      <c r="J2625" s="60" t="str">
        <f aca="false">IF(L2625="","",INDEX(ポート振替表!$M$5:$M$3507,$L2625)&amp;"")</f>
        <v/>
      </c>
      <c r="K2625" s="52" t="str">
        <f aca="false">IF(L2625="","",E2625&amp;CHAR(10)&amp;INDEX(ポート振替表!$K$5:$K$3507,$L2625)&amp;" "&amp;INDEX(ポート振替表!$L$5:$L$3507,$L2625)&amp;CHAR(10)&amp;"⇔ "&amp;INDEX(ポート振替表!$H$5:$H$3507,$L2625)&amp;" "&amp;INDEX(ポート振替表!$I$5:$I$3507,$L2625))</f>
        <v/>
      </c>
      <c r="L2625" s="47" t="str">
        <f aca="false">IFERROR(MATCH(ROW()-4,ポート振替表!$V$5:$V$3507,0),"")</f>
        <v/>
      </c>
    </row>
    <row r="2626" customFormat="false" ht="16.4" hidden="false" customHeight="false" outlineLevel="0" collapsed="false">
      <c r="A2626" s="32" t="str">
        <f aca="false">IF(L2626="","",ROW()-4)</f>
        <v/>
      </c>
      <c r="B2626" s="58" t="str">
        <f aca="false">IF(L2626="","",IF(INDEX(ポート振替表!$W$5:$W$3507,$L2626)="","(なし)",INDEX(ポート振替表!$W$5:$W$3507,$L2626)&amp;""))</f>
        <v/>
      </c>
      <c r="C2626" s="52" t="str">
        <f aca="false">IF(L2626="","",INDEX(ポート振替表!$B$5:$B$3507,$L2626)&amp;" "&amp;INDEX(ポート振替表!$C$5:$C$3507,$L2626)&amp;"  ⇔  "&amp;INDEX(ポート振替表!$H$5:$H$3507,$L2626)&amp;" "&amp;INDEX(ポート振替表!$I$5:$I$3507,$L2626))</f>
        <v/>
      </c>
      <c r="D2626" s="57" t="s">
        <v>158</v>
      </c>
      <c r="E2626" s="59" t="str">
        <f aca="false">IF(L2626="","",IF(INDEX(ポート振替表!$O$5:$O$3507,$L2626)="","(未設定)",INDEX(ポート振替表!$O$5:$O$3507,$L2626)&amp;""))</f>
        <v/>
      </c>
      <c r="F2626" s="52" t="str">
        <f aca="false">IF(L2626="","",INDEX(ポート振替表!$K$5:$K$3507,$L2626)&amp;" "&amp;INDEX(ポート振替表!$L$5:$L$3507,$L2626)&amp;"  ⇔  "&amp;INDEX(ポート振替表!$H$5:$H$3507,$L2626)&amp;" "&amp;INDEX(ポート振替表!$I$5:$I$3507,$L2626))</f>
        <v/>
      </c>
      <c r="G2626" s="57" t="s">
        <v>158</v>
      </c>
      <c r="H2626" s="32" t="str">
        <f aca="false">IF(L2626="","",INDEX(ポート振替表!$N$5:$N$3507,$L2626)&amp;"")</f>
        <v/>
      </c>
      <c r="I2626" s="32" t="str">
        <f aca="false">IF(L2626="","",INDEX(ポート振替表!$P$5:$P$3507,$L2626)&amp;"")</f>
        <v/>
      </c>
      <c r="J2626" s="60" t="str">
        <f aca="false">IF(L2626="","",INDEX(ポート振替表!$M$5:$M$3507,$L2626)&amp;"")</f>
        <v/>
      </c>
      <c r="K2626" s="52" t="str">
        <f aca="false">IF(L2626="","",E2626&amp;CHAR(10)&amp;INDEX(ポート振替表!$K$5:$K$3507,$L2626)&amp;" "&amp;INDEX(ポート振替表!$L$5:$L$3507,$L2626)&amp;CHAR(10)&amp;"⇔ "&amp;INDEX(ポート振替表!$H$5:$H$3507,$L2626)&amp;" "&amp;INDEX(ポート振替表!$I$5:$I$3507,$L2626))</f>
        <v/>
      </c>
      <c r="L2626" s="47" t="str">
        <f aca="false">IFERROR(MATCH(ROW()-4,ポート振替表!$V$5:$V$3507,0),"")</f>
        <v/>
      </c>
    </row>
    <row r="2627" customFormat="false" ht="16.4" hidden="false" customHeight="false" outlineLevel="0" collapsed="false">
      <c r="A2627" s="32" t="str">
        <f aca="false">IF(L2627="","",ROW()-4)</f>
        <v/>
      </c>
      <c r="B2627" s="58" t="str">
        <f aca="false">IF(L2627="","",IF(INDEX(ポート振替表!$W$5:$W$3507,$L2627)="","(なし)",INDEX(ポート振替表!$W$5:$W$3507,$L2627)&amp;""))</f>
        <v/>
      </c>
      <c r="C2627" s="52" t="str">
        <f aca="false">IF(L2627="","",INDEX(ポート振替表!$B$5:$B$3507,$L2627)&amp;" "&amp;INDEX(ポート振替表!$C$5:$C$3507,$L2627)&amp;"  ⇔  "&amp;INDEX(ポート振替表!$H$5:$H$3507,$L2627)&amp;" "&amp;INDEX(ポート振替表!$I$5:$I$3507,$L2627))</f>
        <v/>
      </c>
      <c r="D2627" s="57" t="s">
        <v>158</v>
      </c>
      <c r="E2627" s="59" t="str">
        <f aca="false">IF(L2627="","",IF(INDEX(ポート振替表!$O$5:$O$3507,$L2627)="","(未設定)",INDEX(ポート振替表!$O$5:$O$3507,$L2627)&amp;""))</f>
        <v/>
      </c>
      <c r="F2627" s="52" t="str">
        <f aca="false">IF(L2627="","",INDEX(ポート振替表!$K$5:$K$3507,$L2627)&amp;" "&amp;INDEX(ポート振替表!$L$5:$L$3507,$L2627)&amp;"  ⇔  "&amp;INDEX(ポート振替表!$H$5:$H$3507,$L2627)&amp;" "&amp;INDEX(ポート振替表!$I$5:$I$3507,$L2627))</f>
        <v/>
      </c>
      <c r="G2627" s="57" t="s">
        <v>158</v>
      </c>
      <c r="H2627" s="32" t="str">
        <f aca="false">IF(L2627="","",INDEX(ポート振替表!$N$5:$N$3507,$L2627)&amp;"")</f>
        <v/>
      </c>
      <c r="I2627" s="32" t="str">
        <f aca="false">IF(L2627="","",INDEX(ポート振替表!$P$5:$P$3507,$L2627)&amp;"")</f>
        <v/>
      </c>
      <c r="J2627" s="60" t="str">
        <f aca="false">IF(L2627="","",INDEX(ポート振替表!$M$5:$M$3507,$L2627)&amp;"")</f>
        <v/>
      </c>
      <c r="K2627" s="52" t="str">
        <f aca="false">IF(L2627="","",E2627&amp;CHAR(10)&amp;INDEX(ポート振替表!$K$5:$K$3507,$L2627)&amp;" "&amp;INDEX(ポート振替表!$L$5:$L$3507,$L2627)&amp;CHAR(10)&amp;"⇔ "&amp;INDEX(ポート振替表!$H$5:$H$3507,$L2627)&amp;" "&amp;INDEX(ポート振替表!$I$5:$I$3507,$L2627))</f>
        <v/>
      </c>
      <c r="L2627" s="47" t="str">
        <f aca="false">IFERROR(MATCH(ROW()-4,ポート振替表!$V$5:$V$3507,0),"")</f>
        <v/>
      </c>
    </row>
    <row r="2628" customFormat="false" ht="16.4" hidden="false" customHeight="false" outlineLevel="0" collapsed="false">
      <c r="A2628" s="32" t="str">
        <f aca="false">IF(L2628="","",ROW()-4)</f>
        <v/>
      </c>
      <c r="B2628" s="58" t="str">
        <f aca="false">IF(L2628="","",IF(INDEX(ポート振替表!$W$5:$W$3507,$L2628)="","(なし)",INDEX(ポート振替表!$W$5:$W$3507,$L2628)&amp;""))</f>
        <v/>
      </c>
      <c r="C2628" s="52" t="str">
        <f aca="false">IF(L2628="","",INDEX(ポート振替表!$B$5:$B$3507,$L2628)&amp;" "&amp;INDEX(ポート振替表!$C$5:$C$3507,$L2628)&amp;"  ⇔  "&amp;INDEX(ポート振替表!$H$5:$H$3507,$L2628)&amp;" "&amp;INDEX(ポート振替表!$I$5:$I$3507,$L2628))</f>
        <v/>
      </c>
      <c r="D2628" s="57" t="s">
        <v>158</v>
      </c>
      <c r="E2628" s="59" t="str">
        <f aca="false">IF(L2628="","",IF(INDEX(ポート振替表!$O$5:$O$3507,$L2628)="","(未設定)",INDEX(ポート振替表!$O$5:$O$3507,$L2628)&amp;""))</f>
        <v/>
      </c>
      <c r="F2628" s="52" t="str">
        <f aca="false">IF(L2628="","",INDEX(ポート振替表!$K$5:$K$3507,$L2628)&amp;" "&amp;INDEX(ポート振替表!$L$5:$L$3507,$L2628)&amp;"  ⇔  "&amp;INDEX(ポート振替表!$H$5:$H$3507,$L2628)&amp;" "&amp;INDEX(ポート振替表!$I$5:$I$3507,$L2628))</f>
        <v/>
      </c>
      <c r="G2628" s="57" t="s">
        <v>158</v>
      </c>
      <c r="H2628" s="32" t="str">
        <f aca="false">IF(L2628="","",INDEX(ポート振替表!$N$5:$N$3507,$L2628)&amp;"")</f>
        <v/>
      </c>
      <c r="I2628" s="32" t="str">
        <f aca="false">IF(L2628="","",INDEX(ポート振替表!$P$5:$P$3507,$L2628)&amp;"")</f>
        <v/>
      </c>
      <c r="J2628" s="60" t="str">
        <f aca="false">IF(L2628="","",INDEX(ポート振替表!$M$5:$M$3507,$L2628)&amp;"")</f>
        <v/>
      </c>
      <c r="K2628" s="52" t="str">
        <f aca="false">IF(L2628="","",E2628&amp;CHAR(10)&amp;INDEX(ポート振替表!$K$5:$K$3507,$L2628)&amp;" "&amp;INDEX(ポート振替表!$L$5:$L$3507,$L2628)&amp;CHAR(10)&amp;"⇔ "&amp;INDEX(ポート振替表!$H$5:$H$3507,$L2628)&amp;" "&amp;INDEX(ポート振替表!$I$5:$I$3507,$L2628))</f>
        <v/>
      </c>
      <c r="L2628" s="47" t="str">
        <f aca="false">IFERROR(MATCH(ROW()-4,ポート振替表!$V$5:$V$3507,0),"")</f>
        <v/>
      </c>
    </row>
    <row r="2629" customFormat="false" ht="16.4" hidden="false" customHeight="false" outlineLevel="0" collapsed="false">
      <c r="A2629" s="32" t="str">
        <f aca="false">IF(L2629="","",ROW()-4)</f>
        <v/>
      </c>
      <c r="B2629" s="58" t="str">
        <f aca="false">IF(L2629="","",IF(INDEX(ポート振替表!$W$5:$W$3507,$L2629)="","(なし)",INDEX(ポート振替表!$W$5:$W$3507,$L2629)&amp;""))</f>
        <v/>
      </c>
      <c r="C2629" s="52" t="str">
        <f aca="false">IF(L2629="","",INDEX(ポート振替表!$B$5:$B$3507,$L2629)&amp;" "&amp;INDEX(ポート振替表!$C$5:$C$3507,$L2629)&amp;"  ⇔  "&amp;INDEX(ポート振替表!$H$5:$H$3507,$L2629)&amp;" "&amp;INDEX(ポート振替表!$I$5:$I$3507,$L2629))</f>
        <v/>
      </c>
      <c r="D2629" s="57" t="s">
        <v>158</v>
      </c>
      <c r="E2629" s="59" t="str">
        <f aca="false">IF(L2629="","",IF(INDEX(ポート振替表!$O$5:$O$3507,$L2629)="","(未設定)",INDEX(ポート振替表!$O$5:$O$3507,$L2629)&amp;""))</f>
        <v/>
      </c>
      <c r="F2629" s="52" t="str">
        <f aca="false">IF(L2629="","",INDEX(ポート振替表!$K$5:$K$3507,$L2629)&amp;" "&amp;INDEX(ポート振替表!$L$5:$L$3507,$L2629)&amp;"  ⇔  "&amp;INDEX(ポート振替表!$H$5:$H$3507,$L2629)&amp;" "&amp;INDEX(ポート振替表!$I$5:$I$3507,$L2629))</f>
        <v/>
      </c>
      <c r="G2629" s="57" t="s">
        <v>158</v>
      </c>
      <c r="H2629" s="32" t="str">
        <f aca="false">IF(L2629="","",INDEX(ポート振替表!$N$5:$N$3507,$L2629)&amp;"")</f>
        <v/>
      </c>
      <c r="I2629" s="32" t="str">
        <f aca="false">IF(L2629="","",INDEX(ポート振替表!$P$5:$P$3507,$L2629)&amp;"")</f>
        <v/>
      </c>
      <c r="J2629" s="60" t="str">
        <f aca="false">IF(L2629="","",INDEX(ポート振替表!$M$5:$M$3507,$L2629)&amp;"")</f>
        <v/>
      </c>
      <c r="K2629" s="52" t="str">
        <f aca="false">IF(L2629="","",E2629&amp;CHAR(10)&amp;INDEX(ポート振替表!$K$5:$K$3507,$L2629)&amp;" "&amp;INDEX(ポート振替表!$L$5:$L$3507,$L2629)&amp;CHAR(10)&amp;"⇔ "&amp;INDEX(ポート振替表!$H$5:$H$3507,$L2629)&amp;" "&amp;INDEX(ポート振替表!$I$5:$I$3507,$L2629))</f>
        <v/>
      </c>
      <c r="L2629" s="47" t="str">
        <f aca="false">IFERROR(MATCH(ROW()-4,ポート振替表!$V$5:$V$3507,0),"")</f>
        <v/>
      </c>
    </row>
    <row r="2630" customFormat="false" ht="16.4" hidden="false" customHeight="false" outlineLevel="0" collapsed="false">
      <c r="A2630" s="32" t="str">
        <f aca="false">IF(L2630="","",ROW()-4)</f>
        <v/>
      </c>
      <c r="B2630" s="58" t="str">
        <f aca="false">IF(L2630="","",IF(INDEX(ポート振替表!$W$5:$W$3507,$L2630)="","(なし)",INDEX(ポート振替表!$W$5:$W$3507,$L2630)&amp;""))</f>
        <v/>
      </c>
      <c r="C2630" s="52" t="str">
        <f aca="false">IF(L2630="","",INDEX(ポート振替表!$B$5:$B$3507,$L2630)&amp;" "&amp;INDEX(ポート振替表!$C$5:$C$3507,$L2630)&amp;"  ⇔  "&amp;INDEX(ポート振替表!$H$5:$H$3507,$L2630)&amp;" "&amp;INDEX(ポート振替表!$I$5:$I$3507,$L2630))</f>
        <v/>
      </c>
      <c r="D2630" s="57" t="s">
        <v>158</v>
      </c>
      <c r="E2630" s="59" t="str">
        <f aca="false">IF(L2630="","",IF(INDEX(ポート振替表!$O$5:$O$3507,$L2630)="","(未設定)",INDEX(ポート振替表!$O$5:$O$3507,$L2630)&amp;""))</f>
        <v/>
      </c>
      <c r="F2630" s="52" t="str">
        <f aca="false">IF(L2630="","",INDEX(ポート振替表!$K$5:$K$3507,$L2630)&amp;" "&amp;INDEX(ポート振替表!$L$5:$L$3507,$L2630)&amp;"  ⇔  "&amp;INDEX(ポート振替表!$H$5:$H$3507,$L2630)&amp;" "&amp;INDEX(ポート振替表!$I$5:$I$3507,$L2630))</f>
        <v/>
      </c>
      <c r="G2630" s="57" t="s">
        <v>158</v>
      </c>
      <c r="H2630" s="32" t="str">
        <f aca="false">IF(L2630="","",INDEX(ポート振替表!$N$5:$N$3507,$L2630)&amp;"")</f>
        <v/>
      </c>
      <c r="I2630" s="32" t="str">
        <f aca="false">IF(L2630="","",INDEX(ポート振替表!$P$5:$P$3507,$L2630)&amp;"")</f>
        <v/>
      </c>
      <c r="J2630" s="60" t="str">
        <f aca="false">IF(L2630="","",INDEX(ポート振替表!$M$5:$M$3507,$L2630)&amp;"")</f>
        <v/>
      </c>
      <c r="K2630" s="52" t="str">
        <f aca="false">IF(L2630="","",E2630&amp;CHAR(10)&amp;INDEX(ポート振替表!$K$5:$K$3507,$L2630)&amp;" "&amp;INDEX(ポート振替表!$L$5:$L$3507,$L2630)&amp;CHAR(10)&amp;"⇔ "&amp;INDEX(ポート振替表!$H$5:$H$3507,$L2630)&amp;" "&amp;INDEX(ポート振替表!$I$5:$I$3507,$L2630))</f>
        <v/>
      </c>
      <c r="L2630" s="47" t="str">
        <f aca="false">IFERROR(MATCH(ROW()-4,ポート振替表!$V$5:$V$3507,0),"")</f>
        <v/>
      </c>
    </row>
    <row r="2631" customFormat="false" ht="16.4" hidden="false" customHeight="false" outlineLevel="0" collapsed="false">
      <c r="A2631" s="32" t="str">
        <f aca="false">IF(L2631="","",ROW()-4)</f>
        <v/>
      </c>
      <c r="B2631" s="58" t="str">
        <f aca="false">IF(L2631="","",IF(INDEX(ポート振替表!$W$5:$W$3507,$L2631)="","(なし)",INDEX(ポート振替表!$W$5:$W$3507,$L2631)&amp;""))</f>
        <v/>
      </c>
      <c r="C2631" s="52" t="str">
        <f aca="false">IF(L2631="","",INDEX(ポート振替表!$B$5:$B$3507,$L2631)&amp;" "&amp;INDEX(ポート振替表!$C$5:$C$3507,$L2631)&amp;"  ⇔  "&amp;INDEX(ポート振替表!$H$5:$H$3507,$L2631)&amp;" "&amp;INDEX(ポート振替表!$I$5:$I$3507,$L2631))</f>
        <v/>
      </c>
      <c r="D2631" s="57" t="s">
        <v>158</v>
      </c>
      <c r="E2631" s="59" t="str">
        <f aca="false">IF(L2631="","",IF(INDEX(ポート振替表!$O$5:$O$3507,$L2631)="","(未設定)",INDEX(ポート振替表!$O$5:$O$3507,$L2631)&amp;""))</f>
        <v/>
      </c>
      <c r="F2631" s="52" t="str">
        <f aca="false">IF(L2631="","",INDEX(ポート振替表!$K$5:$K$3507,$L2631)&amp;" "&amp;INDEX(ポート振替表!$L$5:$L$3507,$L2631)&amp;"  ⇔  "&amp;INDEX(ポート振替表!$H$5:$H$3507,$L2631)&amp;" "&amp;INDEX(ポート振替表!$I$5:$I$3507,$L2631))</f>
        <v/>
      </c>
      <c r="G2631" s="57" t="s">
        <v>158</v>
      </c>
      <c r="H2631" s="32" t="str">
        <f aca="false">IF(L2631="","",INDEX(ポート振替表!$N$5:$N$3507,$L2631)&amp;"")</f>
        <v/>
      </c>
      <c r="I2631" s="32" t="str">
        <f aca="false">IF(L2631="","",INDEX(ポート振替表!$P$5:$P$3507,$L2631)&amp;"")</f>
        <v/>
      </c>
      <c r="J2631" s="60" t="str">
        <f aca="false">IF(L2631="","",INDEX(ポート振替表!$M$5:$M$3507,$L2631)&amp;"")</f>
        <v/>
      </c>
      <c r="K2631" s="52" t="str">
        <f aca="false">IF(L2631="","",E2631&amp;CHAR(10)&amp;INDEX(ポート振替表!$K$5:$K$3507,$L2631)&amp;" "&amp;INDEX(ポート振替表!$L$5:$L$3507,$L2631)&amp;CHAR(10)&amp;"⇔ "&amp;INDEX(ポート振替表!$H$5:$H$3507,$L2631)&amp;" "&amp;INDEX(ポート振替表!$I$5:$I$3507,$L2631))</f>
        <v/>
      </c>
      <c r="L2631" s="47" t="str">
        <f aca="false">IFERROR(MATCH(ROW()-4,ポート振替表!$V$5:$V$3507,0),"")</f>
        <v/>
      </c>
    </row>
    <row r="2632" customFormat="false" ht="16.4" hidden="false" customHeight="false" outlineLevel="0" collapsed="false">
      <c r="A2632" s="32" t="str">
        <f aca="false">IF(L2632="","",ROW()-4)</f>
        <v/>
      </c>
      <c r="B2632" s="58" t="str">
        <f aca="false">IF(L2632="","",IF(INDEX(ポート振替表!$W$5:$W$3507,$L2632)="","(なし)",INDEX(ポート振替表!$W$5:$W$3507,$L2632)&amp;""))</f>
        <v/>
      </c>
      <c r="C2632" s="52" t="str">
        <f aca="false">IF(L2632="","",INDEX(ポート振替表!$B$5:$B$3507,$L2632)&amp;" "&amp;INDEX(ポート振替表!$C$5:$C$3507,$L2632)&amp;"  ⇔  "&amp;INDEX(ポート振替表!$H$5:$H$3507,$L2632)&amp;" "&amp;INDEX(ポート振替表!$I$5:$I$3507,$L2632))</f>
        <v/>
      </c>
      <c r="D2632" s="57" t="s">
        <v>158</v>
      </c>
      <c r="E2632" s="59" t="str">
        <f aca="false">IF(L2632="","",IF(INDEX(ポート振替表!$O$5:$O$3507,$L2632)="","(未設定)",INDEX(ポート振替表!$O$5:$O$3507,$L2632)&amp;""))</f>
        <v/>
      </c>
      <c r="F2632" s="52" t="str">
        <f aca="false">IF(L2632="","",INDEX(ポート振替表!$K$5:$K$3507,$L2632)&amp;" "&amp;INDEX(ポート振替表!$L$5:$L$3507,$L2632)&amp;"  ⇔  "&amp;INDEX(ポート振替表!$H$5:$H$3507,$L2632)&amp;" "&amp;INDEX(ポート振替表!$I$5:$I$3507,$L2632))</f>
        <v/>
      </c>
      <c r="G2632" s="57" t="s">
        <v>158</v>
      </c>
      <c r="H2632" s="32" t="str">
        <f aca="false">IF(L2632="","",INDEX(ポート振替表!$N$5:$N$3507,$L2632)&amp;"")</f>
        <v/>
      </c>
      <c r="I2632" s="32" t="str">
        <f aca="false">IF(L2632="","",INDEX(ポート振替表!$P$5:$P$3507,$L2632)&amp;"")</f>
        <v/>
      </c>
      <c r="J2632" s="60" t="str">
        <f aca="false">IF(L2632="","",INDEX(ポート振替表!$M$5:$M$3507,$L2632)&amp;"")</f>
        <v/>
      </c>
      <c r="K2632" s="52" t="str">
        <f aca="false">IF(L2632="","",E2632&amp;CHAR(10)&amp;INDEX(ポート振替表!$K$5:$K$3507,$L2632)&amp;" "&amp;INDEX(ポート振替表!$L$5:$L$3507,$L2632)&amp;CHAR(10)&amp;"⇔ "&amp;INDEX(ポート振替表!$H$5:$H$3507,$L2632)&amp;" "&amp;INDEX(ポート振替表!$I$5:$I$3507,$L2632))</f>
        <v/>
      </c>
      <c r="L2632" s="47" t="str">
        <f aca="false">IFERROR(MATCH(ROW()-4,ポート振替表!$V$5:$V$3507,0),"")</f>
        <v/>
      </c>
    </row>
    <row r="2633" customFormat="false" ht="16.4" hidden="false" customHeight="false" outlineLevel="0" collapsed="false">
      <c r="A2633" s="32" t="str">
        <f aca="false">IF(L2633="","",ROW()-4)</f>
        <v/>
      </c>
      <c r="B2633" s="58" t="str">
        <f aca="false">IF(L2633="","",IF(INDEX(ポート振替表!$W$5:$W$3507,$L2633)="","(なし)",INDEX(ポート振替表!$W$5:$W$3507,$L2633)&amp;""))</f>
        <v/>
      </c>
      <c r="C2633" s="52" t="str">
        <f aca="false">IF(L2633="","",INDEX(ポート振替表!$B$5:$B$3507,$L2633)&amp;" "&amp;INDEX(ポート振替表!$C$5:$C$3507,$L2633)&amp;"  ⇔  "&amp;INDEX(ポート振替表!$H$5:$H$3507,$L2633)&amp;" "&amp;INDEX(ポート振替表!$I$5:$I$3507,$L2633))</f>
        <v/>
      </c>
      <c r="D2633" s="57" t="s">
        <v>158</v>
      </c>
      <c r="E2633" s="59" t="str">
        <f aca="false">IF(L2633="","",IF(INDEX(ポート振替表!$O$5:$O$3507,$L2633)="","(未設定)",INDEX(ポート振替表!$O$5:$O$3507,$L2633)&amp;""))</f>
        <v/>
      </c>
      <c r="F2633" s="52" t="str">
        <f aca="false">IF(L2633="","",INDEX(ポート振替表!$K$5:$K$3507,$L2633)&amp;" "&amp;INDEX(ポート振替表!$L$5:$L$3507,$L2633)&amp;"  ⇔  "&amp;INDEX(ポート振替表!$H$5:$H$3507,$L2633)&amp;" "&amp;INDEX(ポート振替表!$I$5:$I$3507,$L2633))</f>
        <v/>
      </c>
      <c r="G2633" s="57" t="s">
        <v>158</v>
      </c>
      <c r="H2633" s="32" t="str">
        <f aca="false">IF(L2633="","",INDEX(ポート振替表!$N$5:$N$3507,$L2633)&amp;"")</f>
        <v/>
      </c>
      <c r="I2633" s="32" t="str">
        <f aca="false">IF(L2633="","",INDEX(ポート振替表!$P$5:$P$3507,$L2633)&amp;"")</f>
        <v/>
      </c>
      <c r="J2633" s="60" t="str">
        <f aca="false">IF(L2633="","",INDEX(ポート振替表!$M$5:$M$3507,$L2633)&amp;"")</f>
        <v/>
      </c>
      <c r="K2633" s="52" t="str">
        <f aca="false">IF(L2633="","",E2633&amp;CHAR(10)&amp;INDEX(ポート振替表!$K$5:$K$3507,$L2633)&amp;" "&amp;INDEX(ポート振替表!$L$5:$L$3507,$L2633)&amp;CHAR(10)&amp;"⇔ "&amp;INDEX(ポート振替表!$H$5:$H$3507,$L2633)&amp;" "&amp;INDEX(ポート振替表!$I$5:$I$3507,$L2633))</f>
        <v/>
      </c>
      <c r="L2633" s="47" t="str">
        <f aca="false">IFERROR(MATCH(ROW()-4,ポート振替表!$V$5:$V$3507,0),"")</f>
        <v/>
      </c>
    </row>
    <row r="2634" customFormat="false" ht="16.4" hidden="false" customHeight="false" outlineLevel="0" collapsed="false">
      <c r="A2634" s="32" t="str">
        <f aca="false">IF(L2634="","",ROW()-4)</f>
        <v/>
      </c>
      <c r="B2634" s="58" t="str">
        <f aca="false">IF(L2634="","",IF(INDEX(ポート振替表!$W$5:$W$3507,$L2634)="","(なし)",INDEX(ポート振替表!$W$5:$W$3507,$L2634)&amp;""))</f>
        <v/>
      </c>
      <c r="C2634" s="52" t="str">
        <f aca="false">IF(L2634="","",INDEX(ポート振替表!$B$5:$B$3507,$L2634)&amp;" "&amp;INDEX(ポート振替表!$C$5:$C$3507,$L2634)&amp;"  ⇔  "&amp;INDEX(ポート振替表!$H$5:$H$3507,$L2634)&amp;" "&amp;INDEX(ポート振替表!$I$5:$I$3507,$L2634))</f>
        <v/>
      </c>
      <c r="D2634" s="57" t="s">
        <v>158</v>
      </c>
      <c r="E2634" s="59" t="str">
        <f aca="false">IF(L2634="","",IF(INDEX(ポート振替表!$O$5:$O$3507,$L2634)="","(未設定)",INDEX(ポート振替表!$O$5:$O$3507,$L2634)&amp;""))</f>
        <v/>
      </c>
      <c r="F2634" s="52" t="str">
        <f aca="false">IF(L2634="","",INDEX(ポート振替表!$K$5:$K$3507,$L2634)&amp;" "&amp;INDEX(ポート振替表!$L$5:$L$3507,$L2634)&amp;"  ⇔  "&amp;INDEX(ポート振替表!$H$5:$H$3507,$L2634)&amp;" "&amp;INDEX(ポート振替表!$I$5:$I$3507,$L2634))</f>
        <v/>
      </c>
      <c r="G2634" s="57" t="s">
        <v>158</v>
      </c>
      <c r="H2634" s="32" t="str">
        <f aca="false">IF(L2634="","",INDEX(ポート振替表!$N$5:$N$3507,$L2634)&amp;"")</f>
        <v/>
      </c>
      <c r="I2634" s="32" t="str">
        <f aca="false">IF(L2634="","",INDEX(ポート振替表!$P$5:$P$3507,$L2634)&amp;"")</f>
        <v/>
      </c>
      <c r="J2634" s="60" t="str">
        <f aca="false">IF(L2634="","",INDEX(ポート振替表!$M$5:$M$3507,$L2634)&amp;"")</f>
        <v/>
      </c>
      <c r="K2634" s="52" t="str">
        <f aca="false">IF(L2634="","",E2634&amp;CHAR(10)&amp;INDEX(ポート振替表!$K$5:$K$3507,$L2634)&amp;" "&amp;INDEX(ポート振替表!$L$5:$L$3507,$L2634)&amp;CHAR(10)&amp;"⇔ "&amp;INDEX(ポート振替表!$H$5:$H$3507,$L2634)&amp;" "&amp;INDEX(ポート振替表!$I$5:$I$3507,$L2634))</f>
        <v/>
      </c>
      <c r="L2634" s="47" t="str">
        <f aca="false">IFERROR(MATCH(ROW()-4,ポート振替表!$V$5:$V$3507,0),"")</f>
        <v/>
      </c>
    </row>
    <row r="2635" customFormat="false" ht="16.4" hidden="false" customHeight="false" outlineLevel="0" collapsed="false">
      <c r="A2635" s="32" t="str">
        <f aca="false">IF(L2635="","",ROW()-4)</f>
        <v/>
      </c>
      <c r="B2635" s="58" t="str">
        <f aca="false">IF(L2635="","",IF(INDEX(ポート振替表!$W$5:$W$3507,$L2635)="","(なし)",INDEX(ポート振替表!$W$5:$W$3507,$L2635)&amp;""))</f>
        <v/>
      </c>
      <c r="C2635" s="52" t="str">
        <f aca="false">IF(L2635="","",INDEX(ポート振替表!$B$5:$B$3507,$L2635)&amp;" "&amp;INDEX(ポート振替表!$C$5:$C$3507,$L2635)&amp;"  ⇔  "&amp;INDEX(ポート振替表!$H$5:$H$3507,$L2635)&amp;" "&amp;INDEX(ポート振替表!$I$5:$I$3507,$L2635))</f>
        <v/>
      </c>
      <c r="D2635" s="57" t="s">
        <v>158</v>
      </c>
      <c r="E2635" s="59" t="str">
        <f aca="false">IF(L2635="","",IF(INDEX(ポート振替表!$O$5:$O$3507,$L2635)="","(未設定)",INDEX(ポート振替表!$O$5:$O$3507,$L2635)&amp;""))</f>
        <v/>
      </c>
      <c r="F2635" s="52" t="str">
        <f aca="false">IF(L2635="","",INDEX(ポート振替表!$K$5:$K$3507,$L2635)&amp;" "&amp;INDEX(ポート振替表!$L$5:$L$3507,$L2635)&amp;"  ⇔  "&amp;INDEX(ポート振替表!$H$5:$H$3507,$L2635)&amp;" "&amp;INDEX(ポート振替表!$I$5:$I$3507,$L2635))</f>
        <v/>
      </c>
      <c r="G2635" s="57" t="s">
        <v>158</v>
      </c>
      <c r="H2635" s="32" t="str">
        <f aca="false">IF(L2635="","",INDEX(ポート振替表!$N$5:$N$3507,$L2635)&amp;"")</f>
        <v/>
      </c>
      <c r="I2635" s="32" t="str">
        <f aca="false">IF(L2635="","",INDEX(ポート振替表!$P$5:$P$3507,$L2635)&amp;"")</f>
        <v/>
      </c>
      <c r="J2635" s="60" t="str">
        <f aca="false">IF(L2635="","",INDEX(ポート振替表!$M$5:$M$3507,$L2635)&amp;"")</f>
        <v/>
      </c>
      <c r="K2635" s="52" t="str">
        <f aca="false">IF(L2635="","",E2635&amp;CHAR(10)&amp;INDEX(ポート振替表!$K$5:$K$3507,$L2635)&amp;" "&amp;INDEX(ポート振替表!$L$5:$L$3507,$L2635)&amp;CHAR(10)&amp;"⇔ "&amp;INDEX(ポート振替表!$H$5:$H$3507,$L2635)&amp;" "&amp;INDEX(ポート振替表!$I$5:$I$3507,$L2635))</f>
        <v/>
      </c>
      <c r="L2635" s="47" t="str">
        <f aca="false">IFERROR(MATCH(ROW()-4,ポート振替表!$V$5:$V$3507,0),"")</f>
        <v/>
      </c>
    </row>
    <row r="2636" customFormat="false" ht="16.4" hidden="false" customHeight="false" outlineLevel="0" collapsed="false">
      <c r="A2636" s="32" t="str">
        <f aca="false">IF(L2636="","",ROW()-4)</f>
        <v/>
      </c>
      <c r="B2636" s="58" t="str">
        <f aca="false">IF(L2636="","",IF(INDEX(ポート振替表!$W$5:$W$3507,$L2636)="","(なし)",INDEX(ポート振替表!$W$5:$W$3507,$L2636)&amp;""))</f>
        <v/>
      </c>
      <c r="C2636" s="52" t="str">
        <f aca="false">IF(L2636="","",INDEX(ポート振替表!$B$5:$B$3507,$L2636)&amp;" "&amp;INDEX(ポート振替表!$C$5:$C$3507,$L2636)&amp;"  ⇔  "&amp;INDEX(ポート振替表!$H$5:$H$3507,$L2636)&amp;" "&amp;INDEX(ポート振替表!$I$5:$I$3507,$L2636))</f>
        <v/>
      </c>
      <c r="D2636" s="57" t="s">
        <v>158</v>
      </c>
      <c r="E2636" s="59" t="str">
        <f aca="false">IF(L2636="","",IF(INDEX(ポート振替表!$O$5:$O$3507,$L2636)="","(未設定)",INDEX(ポート振替表!$O$5:$O$3507,$L2636)&amp;""))</f>
        <v/>
      </c>
      <c r="F2636" s="52" t="str">
        <f aca="false">IF(L2636="","",INDEX(ポート振替表!$K$5:$K$3507,$L2636)&amp;" "&amp;INDEX(ポート振替表!$L$5:$L$3507,$L2636)&amp;"  ⇔  "&amp;INDEX(ポート振替表!$H$5:$H$3507,$L2636)&amp;" "&amp;INDEX(ポート振替表!$I$5:$I$3507,$L2636))</f>
        <v/>
      </c>
      <c r="G2636" s="57" t="s">
        <v>158</v>
      </c>
      <c r="H2636" s="32" t="str">
        <f aca="false">IF(L2636="","",INDEX(ポート振替表!$N$5:$N$3507,$L2636)&amp;"")</f>
        <v/>
      </c>
      <c r="I2636" s="32" t="str">
        <f aca="false">IF(L2636="","",INDEX(ポート振替表!$P$5:$P$3507,$L2636)&amp;"")</f>
        <v/>
      </c>
      <c r="J2636" s="60" t="str">
        <f aca="false">IF(L2636="","",INDEX(ポート振替表!$M$5:$M$3507,$L2636)&amp;"")</f>
        <v/>
      </c>
      <c r="K2636" s="52" t="str">
        <f aca="false">IF(L2636="","",E2636&amp;CHAR(10)&amp;INDEX(ポート振替表!$K$5:$K$3507,$L2636)&amp;" "&amp;INDEX(ポート振替表!$L$5:$L$3507,$L2636)&amp;CHAR(10)&amp;"⇔ "&amp;INDEX(ポート振替表!$H$5:$H$3507,$L2636)&amp;" "&amp;INDEX(ポート振替表!$I$5:$I$3507,$L2636))</f>
        <v/>
      </c>
      <c r="L2636" s="47" t="str">
        <f aca="false">IFERROR(MATCH(ROW()-4,ポート振替表!$V$5:$V$3507,0),"")</f>
        <v/>
      </c>
    </row>
    <row r="2637" customFormat="false" ht="16.4" hidden="false" customHeight="false" outlineLevel="0" collapsed="false">
      <c r="A2637" s="32" t="str">
        <f aca="false">IF(L2637="","",ROW()-4)</f>
        <v/>
      </c>
      <c r="B2637" s="58" t="str">
        <f aca="false">IF(L2637="","",IF(INDEX(ポート振替表!$W$5:$W$3507,$L2637)="","(なし)",INDEX(ポート振替表!$W$5:$W$3507,$L2637)&amp;""))</f>
        <v/>
      </c>
      <c r="C2637" s="52" t="str">
        <f aca="false">IF(L2637="","",INDEX(ポート振替表!$B$5:$B$3507,$L2637)&amp;" "&amp;INDEX(ポート振替表!$C$5:$C$3507,$L2637)&amp;"  ⇔  "&amp;INDEX(ポート振替表!$H$5:$H$3507,$L2637)&amp;" "&amp;INDEX(ポート振替表!$I$5:$I$3507,$L2637))</f>
        <v/>
      </c>
      <c r="D2637" s="57" t="s">
        <v>158</v>
      </c>
      <c r="E2637" s="59" t="str">
        <f aca="false">IF(L2637="","",IF(INDEX(ポート振替表!$O$5:$O$3507,$L2637)="","(未設定)",INDEX(ポート振替表!$O$5:$O$3507,$L2637)&amp;""))</f>
        <v/>
      </c>
      <c r="F2637" s="52" t="str">
        <f aca="false">IF(L2637="","",INDEX(ポート振替表!$K$5:$K$3507,$L2637)&amp;" "&amp;INDEX(ポート振替表!$L$5:$L$3507,$L2637)&amp;"  ⇔  "&amp;INDEX(ポート振替表!$H$5:$H$3507,$L2637)&amp;" "&amp;INDEX(ポート振替表!$I$5:$I$3507,$L2637))</f>
        <v/>
      </c>
      <c r="G2637" s="57" t="s">
        <v>158</v>
      </c>
      <c r="H2637" s="32" t="str">
        <f aca="false">IF(L2637="","",INDEX(ポート振替表!$N$5:$N$3507,$L2637)&amp;"")</f>
        <v/>
      </c>
      <c r="I2637" s="32" t="str">
        <f aca="false">IF(L2637="","",INDEX(ポート振替表!$P$5:$P$3507,$L2637)&amp;"")</f>
        <v/>
      </c>
      <c r="J2637" s="60" t="str">
        <f aca="false">IF(L2637="","",INDEX(ポート振替表!$M$5:$M$3507,$L2637)&amp;"")</f>
        <v/>
      </c>
      <c r="K2637" s="52" t="str">
        <f aca="false">IF(L2637="","",E2637&amp;CHAR(10)&amp;INDEX(ポート振替表!$K$5:$K$3507,$L2637)&amp;" "&amp;INDEX(ポート振替表!$L$5:$L$3507,$L2637)&amp;CHAR(10)&amp;"⇔ "&amp;INDEX(ポート振替表!$H$5:$H$3507,$L2637)&amp;" "&amp;INDEX(ポート振替表!$I$5:$I$3507,$L2637))</f>
        <v/>
      </c>
      <c r="L2637" s="47" t="str">
        <f aca="false">IFERROR(MATCH(ROW()-4,ポート振替表!$V$5:$V$3507,0),"")</f>
        <v/>
      </c>
    </row>
    <row r="2638" customFormat="false" ht="16.4" hidden="false" customHeight="false" outlineLevel="0" collapsed="false">
      <c r="A2638" s="32" t="str">
        <f aca="false">IF(L2638="","",ROW()-4)</f>
        <v/>
      </c>
      <c r="B2638" s="58" t="str">
        <f aca="false">IF(L2638="","",IF(INDEX(ポート振替表!$W$5:$W$3507,$L2638)="","(なし)",INDEX(ポート振替表!$W$5:$W$3507,$L2638)&amp;""))</f>
        <v/>
      </c>
      <c r="C2638" s="52" t="str">
        <f aca="false">IF(L2638="","",INDEX(ポート振替表!$B$5:$B$3507,$L2638)&amp;" "&amp;INDEX(ポート振替表!$C$5:$C$3507,$L2638)&amp;"  ⇔  "&amp;INDEX(ポート振替表!$H$5:$H$3507,$L2638)&amp;" "&amp;INDEX(ポート振替表!$I$5:$I$3507,$L2638))</f>
        <v/>
      </c>
      <c r="D2638" s="57" t="s">
        <v>158</v>
      </c>
      <c r="E2638" s="59" t="str">
        <f aca="false">IF(L2638="","",IF(INDEX(ポート振替表!$O$5:$O$3507,$L2638)="","(未設定)",INDEX(ポート振替表!$O$5:$O$3507,$L2638)&amp;""))</f>
        <v/>
      </c>
      <c r="F2638" s="52" t="str">
        <f aca="false">IF(L2638="","",INDEX(ポート振替表!$K$5:$K$3507,$L2638)&amp;" "&amp;INDEX(ポート振替表!$L$5:$L$3507,$L2638)&amp;"  ⇔  "&amp;INDEX(ポート振替表!$H$5:$H$3507,$L2638)&amp;" "&amp;INDEX(ポート振替表!$I$5:$I$3507,$L2638))</f>
        <v/>
      </c>
      <c r="G2638" s="57" t="s">
        <v>158</v>
      </c>
      <c r="H2638" s="32" t="str">
        <f aca="false">IF(L2638="","",INDEX(ポート振替表!$N$5:$N$3507,$L2638)&amp;"")</f>
        <v/>
      </c>
      <c r="I2638" s="32" t="str">
        <f aca="false">IF(L2638="","",INDEX(ポート振替表!$P$5:$P$3507,$L2638)&amp;"")</f>
        <v/>
      </c>
      <c r="J2638" s="60" t="str">
        <f aca="false">IF(L2638="","",INDEX(ポート振替表!$M$5:$M$3507,$L2638)&amp;"")</f>
        <v/>
      </c>
      <c r="K2638" s="52" t="str">
        <f aca="false">IF(L2638="","",E2638&amp;CHAR(10)&amp;INDEX(ポート振替表!$K$5:$K$3507,$L2638)&amp;" "&amp;INDEX(ポート振替表!$L$5:$L$3507,$L2638)&amp;CHAR(10)&amp;"⇔ "&amp;INDEX(ポート振替表!$H$5:$H$3507,$L2638)&amp;" "&amp;INDEX(ポート振替表!$I$5:$I$3507,$L2638))</f>
        <v/>
      </c>
      <c r="L2638" s="47" t="str">
        <f aca="false">IFERROR(MATCH(ROW()-4,ポート振替表!$V$5:$V$3507,0),"")</f>
        <v/>
      </c>
    </row>
    <row r="2639" customFormat="false" ht="16.4" hidden="false" customHeight="false" outlineLevel="0" collapsed="false">
      <c r="A2639" s="32" t="str">
        <f aca="false">IF(L2639="","",ROW()-4)</f>
        <v/>
      </c>
      <c r="B2639" s="58" t="str">
        <f aca="false">IF(L2639="","",IF(INDEX(ポート振替表!$W$5:$W$3507,$L2639)="","(なし)",INDEX(ポート振替表!$W$5:$W$3507,$L2639)&amp;""))</f>
        <v/>
      </c>
      <c r="C2639" s="52" t="str">
        <f aca="false">IF(L2639="","",INDEX(ポート振替表!$B$5:$B$3507,$L2639)&amp;" "&amp;INDEX(ポート振替表!$C$5:$C$3507,$L2639)&amp;"  ⇔  "&amp;INDEX(ポート振替表!$H$5:$H$3507,$L2639)&amp;" "&amp;INDEX(ポート振替表!$I$5:$I$3507,$L2639))</f>
        <v/>
      </c>
      <c r="D2639" s="57" t="s">
        <v>158</v>
      </c>
      <c r="E2639" s="59" t="str">
        <f aca="false">IF(L2639="","",IF(INDEX(ポート振替表!$O$5:$O$3507,$L2639)="","(未設定)",INDEX(ポート振替表!$O$5:$O$3507,$L2639)&amp;""))</f>
        <v/>
      </c>
      <c r="F2639" s="52" t="str">
        <f aca="false">IF(L2639="","",INDEX(ポート振替表!$K$5:$K$3507,$L2639)&amp;" "&amp;INDEX(ポート振替表!$L$5:$L$3507,$L2639)&amp;"  ⇔  "&amp;INDEX(ポート振替表!$H$5:$H$3507,$L2639)&amp;" "&amp;INDEX(ポート振替表!$I$5:$I$3507,$L2639))</f>
        <v/>
      </c>
      <c r="G2639" s="57" t="s">
        <v>158</v>
      </c>
      <c r="H2639" s="32" t="str">
        <f aca="false">IF(L2639="","",INDEX(ポート振替表!$N$5:$N$3507,$L2639)&amp;"")</f>
        <v/>
      </c>
      <c r="I2639" s="32" t="str">
        <f aca="false">IF(L2639="","",INDEX(ポート振替表!$P$5:$P$3507,$L2639)&amp;"")</f>
        <v/>
      </c>
      <c r="J2639" s="60" t="str">
        <f aca="false">IF(L2639="","",INDEX(ポート振替表!$M$5:$M$3507,$L2639)&amp;"")</f>
        <v/>
      </c>
      <c r="K2639" s="52" t="str">
        <f aca="false">IF(L2639="","",E2639&amp;CHAR(10)&amp;INDEX(ポート振替表!$K$5:$K$3507,$L2639)&amp;" "&amp;INDEX(ポート振替表!$L$5:$L$3507,$L2639)&amp;CHAR(10)&amp;"⇔ "&amp;INDEX(ポート振替表!$H$5:$H$3507,$L2639)&amp;" "&amp;INDEX(ポート振替表!$I$5:$I$3507,$L2639))</f>
        <v/>
      </c>
      <c r="L2639" s="47" t="str">
        <f aca="false">IFERROR(MATCH(ROW()-4,ポート振替表!$V$5:$V$3507,0),"")</f>
        <v/>
      </c>
    </row>
    <row r="2640" customFormat="false" ht="16.4" hidden="false" customHeight="false" outlineLevel="0" collapsed="false">
      <c r="A2640" s="32" t="str">
        <f aca="false">IF(L2640="","",ROW()-4)</f>
        <v/>
      </c>
      <c r="B2640" s="58" t="str">
        <f aca="false">IF(L2640="","",IF(INDEX(ポート振替表!$W$5:$W$3507,$L2640)="","(なし)",INDEX(ポート振替表!$W$5:$W$3507,$L2640)&amp;""))</f>
        <v/>
      </c>
      <c r="C2640" s="52" t="str">
        <f aca="false">IF(L2640="","",INDEX(ポート振替表!$B$5:$B$3507,$L2640)&amp;" "&amp;INDEX(ポート振替表!$C$5:$C$3507,$L2640)&amp;"  ⇔  "&amp;INDEX(ポート振替表!$H$5:$H$3507,$L2640)&amp;" "&amp;INDEX(ポート振替表!$I$5:$I$3507,$L2640))</f>
        <v/>
      </c>
      <c r="D2640" s="57" t="s">
        <v>158</v>
      </c>
      <c r="E2640" s="59" t="str">
        <f aca="false">IF(L2640="","",IF(INDEX(ポート振替表!$O$5:$O$3507,$L2640)="","(未設定)",INDEX(ポート振替表!$O$5:$O$3507,$L2640)&amp;""))</f>
        <v/>
      </c>
      <c r="F2640" s="52" t="str">
        <f aca="false">IF(L2640="","",INDEX(ポート振替表!$K$5:$K$3507,$L2640)&amp;" "&amp;INDEX(ポート振替表!$L$5:$L$3507,$L2640)&amp;"  ⇔  "&amp;INDEX(ポート振替表!$H$5:$H$3507,$L2640)&amp;" "&amp;INDEX(ポート振替表!$I$5:$I$3507,$L2640))</f>
        <v/>
      </c>
      <c r="G2640" s="57" t="s">
        <v>158</v>
      </c>
      <c r="H2640" s="32" t="str">
        <f aca="false">IF(L2640="","",INDEX(ポート振替表!$N$5:$N$3507,$L2640)&amp;"")</f>
        <v/>
      </c>
      <c r="I2640" s="32" t="str">
        <f aca="false">IF(L2640="","",INDEX(ポート振替表!$P$5:$P$3507,$L2640)&amp;"")</f>
        <v/>
      </c>
      <c r="J2640" s="60" t="str">
        <f aca="false">IF(L2640="","",INDEX(ポート振替表!$M$5:$M$3507,$L2640)&amp;"")</f>
        <v/>
      </c>
      <c r="K2640" s="52" t="str">
        <f aca="false">IF(L2640="","",E2640&amp;CHAR(10)&amp;INDEX(ポート振替表!$K$5:$K$3507,$L2640)&amp;" "&amp;INDEX(ポート振替表!$L$5:$L$3507,$L2640)&amp;CHAR(10)&amp;"⇔ "&amp;INDEX(ポート振替表!$H$5:$H$3507,$L2640)&amp;" "&amp;INDEX(ポート振替表!$I$5:$I$3507,$L2640))</f>
        <v/>
      </c>
      <c r="L2640" s="47" t="str">
        <f aca="false">IFERROR(MATCH(ROW()-4,ポート振替表!$V$5:$V$3507,0),"")</f>
        <v/>
      </c>
    </row>
    <row r="2641" customFormat="false" ht="16.4" hidden="false" customHeight="false" outlineLevel="0" collapsed="false">
      <c r="A2641" s="32" t="str">
        <f aca="false">IF(L2641="","",ROW()-4)</f>
        <v/>
      </c>
      <c r="B2641" s="58" t="str">
        <f aca="false">IF(L2641="","",IF(INDEX(ポート振替表!$W$5:$W$3507,$L2641)="","(なし)",INDEX(ポート振替表!$W$5:$W$3507,$L2641)&amp;""))</f>
        <v/>
      </c>
      <c r="C2641" s="52" t="str">
        <f aca="false">IF(L2641="","",INDEX(ポート振替表!$B$5:$B$3507,$L2641)&amp;" "&amp;INDEX(ポート振替表!$C$5:$C$3507,$L2641)&amp;"  ⇔  "&amp;INDEX(ポート振替表!$H$5:$H$3507,$L2641)&amp;" "&amp;INDEX(ポート振替表!$I$5:$I$3507,$L2641))</f>
        <v/>
      </c>
      <c r="D2641" s="57" t="s">
        <v>158</v>
      </c>
      <c r="E2641" s="59" t="str">
        <f aca="false">IF(L2641="","",IF(INDEX(ポート振替表!$O$5:$O$3507,$L2641)="","(未設定)",INDEX(ポート振替表!$O$5:$O$3507,$L2641)&amp;""))</f>
        <v/>
      </c>
      <c r="F2641" s="52" t="str">
        <f aca="false">IF(L2641="","",INDEX(ポート振替表!$K$5:$K$3507,$L2641)&amp;" "&amp;INDEX(ポート振替表!$L$5:$L$3507,$L2641)&amp;"  ⇔  "&amp;INDEX(ポート振替表!$H$5:$H$3507,$L2641)&amp;" "&amp;INDEX(ポート振替表!$I$5:$I$3507,$L2641))</f>
        <v/>
      </c>
      <c r="G2641" s="57" t="s">
        <v>158</v>
      </c>
      <c r="H2641" s="32" t="str">
        <f aca="false">IF(L2641="","",INDEX(ポート振替表!$N$5:$N$3507,$L2641)&amp;"")</f>
        <v/>
      </c>
      <c r="I2641" s="32" t="str">
        <f aca="false">IF(L2641="","",INDEX(ポート振替表!$P$5:$P$3507,$L2641)&amp;"")</f>
        <v/>
      </c>
      <c r="J2641" s="60" t="str">
        <f aca="false">IF(L2641="","",INDEX(ポート振替表!$M$5:$M$3507,$L2641)&amp;"")</f>
        <v/>
      </c>
      <c r="K2641" s="52" t="str">
        <f aca="false">IF(L2641="","",E2641&amp;CHAR(10)&amp;INDEX(ポート振替表!$K$5:$K$3507,$L2641)&amp;" "&amp;INDEX(ポート振替表!$L$5:$L$3507,$L2641)&amp;CHAR(10)&amp;"⇔ "&amp;INDEX(ポート振替表!$H$5:$H$3507,$L2641)&amp;" "&amp;INDEX(ポート振替表!$I$5:$I$3507,$L2641))</f>
        <v/>
      </c>
      <c r="L2641" s="47" t="str">
        <f aca="false">IFERROR(MATCH(ROW()-4,ポート振替表!$V$5:$V$3507,0),"")</f>
        <v/>
      </c>
    </row>
    <row r="2642" customFormat="false" ht="16.4" hidden="false" customHeight="false" outlineLevel="0" collapsed="false">
      <c r="A2642" s="32" t="str">
        <f aca="false">IF(L2642="","",ROW()-4)</f>
        <v/>
      </c>
      <c r="B2642" s="58" t="str">
        <f aca="false">IF(L2642="","",IF(INDEX(ポート振替表!$W$5:$W$3507,$L2642)="","(なし)",INDEX(ポート振替表!$W$5:$W$3507,$L2642)&amp;""))</f>
        <v/>
      </c>
      <c r="C2642" s="52" t="str">
        <f aca="false">IF(L2642="","",INDEX(ポート振替表!$B$5:$B$3507,$L2642)&amp;" "&amp;INDEX(ポート振替表!$C$5:$C$3507,$L2642)&amp;"  ⇔  "&amp;INDEX(ポート振替表!$H$5:$H$3507,$L2642)&amp;" "&amp;INDEX(ポート振替表!$I$5:$I$3507,$L2642))</f>
        <v/>
      </c>
      <c r="D2642" s="57" t="s">
        <v>158</v>
      </c>
      <c r="E2642" s="59" t="str">
        <f aca="false">IF(L2642="","",IF(INDEX(ポート振替表!$O$5:$O$3507,$L2642)="","(未設定)",INDEX(ポート振替表!$O$5:$O$3507,$L2642)&amp;""))</f>
        <v/>
      </c>
      <c r="F2642" s="52" t="str">
        <f aca="false">IF(L2642="","",INDEX(ポート振替表!$K$5:$K$3507,$L2642)&amp;" "&amp;INDEX(ポート振替表!$L$5:$L$3507,$L2642)&amp;"  ⇔  "&amp;INDEX(ポート振替表!$H$5:$H$3507,$L2642)&amp;" "&amp;INDEX(ポート振替表!$I$5:$I$3507,$L2642))</f>
        <v/>
      </c>
      <c r="G2642" s="57" t="s">
        <v>158</v>
      </c>
      <c r="H2642" s="32" t="str">
        <f aca="false">IF(L2642="","",INDEX(ポート振替表!$N$5:$N$3507,$L2642)&amp;"")</f>
        <v/>
      </c>
      <c r="I2642" s="32" t="str">
        <f aca="false">IF(L2642="","",INDEX(ポート振替表!$P$5:$P$3507,$L2642)&amp;"")</f>
        <v/>
      </c>
      <c r="J2642" s="60" t="str">
        <f aca="false">IF(L2642="","",INDEX(ポート振替表!$M$5:$M$3507,$L2642)&amp;"")</f>
        <v/>
      </c>
      <c r="K2642" s="52" t="str">
        <f aca="false">IF(L2642="","",E2642&amp;CHAR(10)&amp;INDEX(ポート振替表!$K$5:$K$3507,$L2642)&amp;" "&amp;INDEX(ポート振替表!$L$5:$L$3507,$L2642)&amp;CHAR(10)&amp;"⇔ "&amp;INDEX(ポート振替表!$H$5:$H$3507,$L2642)&amp;" "&amp;INDEX(ポート振替表!$I$5:$I$3507,$L2642))</f>
        <v/>
      </c>
      <c r="L2642" s="47" t="str">
        <f aca="false">IFERROR(MATCH(ROW()-4,ポート振替表!$V$5:$V$3507,0),"")</f>
        <v/>
      </c>
    </row>
    <row r="2643" customFormat="false" ht="16.4" hidden="false" customHeight="false" outlineLevel="0" collapsed="false">
      <c r="A2643" s="32" t="str">
        <f aca="false">IF(L2643="","",ROW()-4)</f>
        <v/>
      </c>
      <c r="B2643" s="58" t="str">
        <f aca="false">IF(L2643="","",IF(INDEX(ポート振替表!$W$5:$W$3507,$L2643)="","(なし)",INDEX(ポート振替表!$W$5:$W$3507,$L2643)&amp;""))</f>
        <v/>
      </c>
      <c r="C2643" s="52" t="str">
        <f aca="false">IF(L2643="","",INDEX(ポート振替表!$B$5:$B$3507,$L2643)&amp;" "&amp;INDEX(ポート振替表!$C$5:$C$3507,$L2643)&amp;"  ⇔  "&amp;INDEX(ポート振替表!$H$5:$H$3507,$L2643)&amp;" "&amp;INDEX(ポート振替表!$I$5:$I$3507,$L2643))</f>
        <v/>
      </c>
      <c r="D2643" s="57" t="s">
        <v>158</v>
      </c>
      <c r="E2643" s="59" t="str">
        <f aca="false">IF(L2643="","",IF(INDEX(ポート振替表!$O$5:$O$3507,$L2643)="","(未設定)",INDEX(ポート振替表!$O$5:$O$3507,$L2643)&amp;""))</f>
        <v/>
      </c>
      <c r="F2643" s="52" t="str">
        <f aca="false">IF(L2643="","",INDEX(ポート振替表!$K$5:$K$3507,$L2643)&amp;" "&amp;INDEX(ポート振替表!$L$5:$L$3507,$L2643)&amp;"  ⇔  "&amp;INDEX(ポート振替表!$H$5:$H$3507,$L2643)&amp;" "&amp;INDEX(ポート振替表!$I$5:$I$3507,$L2643))</f>
        <v/>
      </c>
      <c r="G2643" s="57" t="s">
        <v>158</v>
      </c>
      <c r="H2643" s="32" t="str">
        <f aca="false">IF(L2643="","",INDEX(ポート振替表!$N$5:$N$3507,$L2643)&amp;"")</f>
        <v/>
      </c>
      <c r="I2643" s="32" t="str">
        <f aca="false">IF(L2643="","",INDEX(ポート振替表!$P$5:$P$3507,$L2643)&amp;"")</f>
        <v/>
      </c>
      <c r="J2643" s="60" t="str">
        <f aca="false">IF(L2643="","",INDEX(ポート振替表!$M$5:$M$3507,$L2643)&amp;"")</f>
        <v/>
      </c>
      <c r="K2643" s="52" t="str">
        <f aca="false">IF(L2643="","",E2643&amp;CHAR(10)&amp;INDEX(ポート振替表!$K$5:$K$3507,$L2643)&amp;" "&amp;INDEX(ポート振替表!$L$5:$L$3507,$L2643)&amp;CHAR(10)&amp;"⇔ "&amp;INDEX(ポート振替表!$H$5:$H$3507,$L2643)&amp;" "&amp;INDEX(ポート振替表!$I$5:$I$3507,$L2643))</f>
        <v/>
      </c>
      <c r="L2643" s="47" t="str">
        <f aca="false">IFERROR(MATCH(ROW()-4,ポート振替表!$V$5:$V$3507,0),"")</f>
        <v/>
      </c>
    </row>
    <row r="2644" customFormat="false" ht="16.4" hidden="false" customHeight="false" outlineLevel="0" collapsed="false">
      <c r="A2644" s="32" t="str">
        <f aca="false">IF(L2644="","",ROW()-4)</f>
        <v/>
      </c>
      <c r="B2644" s="58" t="str">
        <f aca="false">IF(L2644="","",IF(INDEX(ポート振替表!$W$5:$W$3507,$L2644)="","(なし)",INDEX(ポート振替表!$W$5:$W$3507,$L2644)&amp;""))</f>
        <v/>
      </c>
      <c r="C2644" s="52" t="str">
        <f aca="false">IF(L2644="","",INDEX(ポート振替表!$B$5:$B$3507,$L2644)&amp;" "&amp;INDEX(ポート振替表!$C$5:$C$3507,$L2644)&amp;"  ⇔  "&amp;INDEX(ポート振替表!$H$5:$H$3507,$L2644)&amp;" "&amp;INDEX(ポート振替表!$I$5:$I$3507,$L2644))</f>
        <v/>
      </c>
      <c r="D2644" s="57" t="s">
        <v>158</v>
      </c>
      <c r="E2644" s="59" t="str">
        <f aca="false">IF(L2644="","",IF(INDEX(ポート振替表!$O$5:$O$3507,$L2644)="","(未設定)",INDEX(ポート振替表!$O$5:$O$3507,$L2644)&amp;""))</f>
        <v/>
      </c>
      <c r="F2644" s="52" t="str">
        <f aca="false">IF(L2644="","",INDEX(ポート振替表!$K$5:$K$3507,$L2644)&amp;" "&amp;INDEX(ポート振替表!$L$5:$L$3507,$L2644)&amp;"  ⇔  "&amp;INDEX(ポート振替表!$H$5:$H$3507,$L2644)&amp;" "&amp;INDEX(ポート振替表!$I$5:$I$3507,$L2644))</f>
        <v/>
      </c>
      <c r="G2644" s="57" t="s">
        <v>158</v>
      </c>
      <c r="H2644" s="32" t="str">
        <f aca="false">IF(L2644="","",INDEX(ポート振替表!$N$5:$N$3507,$L2644)&amp;"")</f>
        <v/>
      </c>
      <c r="I2644" s="32" t="str">
        <f aca="false">IF(L2644="","",INDEX(ポート振替表!$P$5:$P$3507,$L2644)&amp;"")</f>
        <v/>
      </c>
      <c r="J2644" s="60" t="str">
        <f aca="false">IF(L2644="","",INDEX(ポート振替表!$M$5:$M$3507,$L2644)&amp;"")</f>
        <v/>
      </c>
      <c r="K2644" s="52" t="str">
        <f aca="false">IF(L2644="","",E2644&amp;CHAR(10)&amp;INDEX(ポート振替表!$K$5:$K$3507,$L2644)&amp;" "&amp;INDEX(ポート振替表!$L$5:$L$3507,$L2644)&amp;CHAR(10)&amp;"⇔ "&amp;INDEX(ポート振替表!$H$5:$H$3507,$L2644)&amp;" "&amp;INDEX(ポート振替表!$I$5:$I$3507,$L2644))</f>
        <v/>
      </c>
      <c r="L2644" s="47" t="str">
        <f aca="false">IFERROR(MATCH(ROW()-4,ポート振替表!$V$5:$V$3507,0),"")</f>
        <v/>
      </c>
    </row>
    <row r="2645" customFormat="false" ht="16.4" hidden="false" customHeight="false" outlineLevel="0" collapsed="false">
      <c r="A2645" s="32" t="str">
        <f aca="false">IF(L2645="","",ROW()-4)</f>
        <v/>
      </c>
      <c r="B2645" s="58" t="str">
        <f aca="false">IF(L2645="","",IF(INDEX(ポート振替表!$W$5:$W$3507,$L2645)="","(なし)",INDEX(ポート振替表!$W$5:$W$3507,$L2645)&amp;""))</f>
        <v/>
      </c>
      <c r="C2645" s="52" t="str">
        <f aca="false">IF(L2645="","",INDEX(ポート振替表!$B$5:$B$3507,$L2645)&amp;" "&amp;INDEX(ポート振替表!$C$5:$C$3507,$L2645)&amp;"  ⇔  "&amp;INDEX(ポート振替表!$H$5:$H$3507,$L2645)&amp;" "&amp;INDEX(ポート振替表!$I$5:$I$3507,$L2645))</f>
        <v/>
      </c>
      <c r="D2645" s="57" t="s">
        <v>158</v>
      </c>
      <c r="E2645" s="59" t="str">
        <f aca="false">IF(L2645="","",IF(INDEX(ポート振替表!$O$5:$O$3507,$L2645)="","(未設定)",INDEX(ポート振替表!$O$5:$O$3507,$L2645)&amp;""))</f>
        <v/>
      </c>
      <c r="F2645" s="52" t="str">
        <f aca="false">IF(L2645="","",INDEX(ポート振替表!$K$5:$K$3507,$L2645)&amp;" "&amp;INDEX(ポート振替表!$L$5:$L$3507,$L2645)&amp;"  ⇔  "&amp;INDEX(ポート振替表!$H$5:$H$3507,$L2645)&amp;" "&amp;INDEX(ポート振替表!$I$5:$I$3507,$L2645))</f>
        <v/>
      </c>
      <c r="G2645" s="57" t="s">
        <v>158</v>
      </c>
      <c r="H2645" s="32" t="str">
        <f aca="false">IF(L2645="","",INDEX(ポート振替表!$N$5:$N$3507,$L2645)&amp;"")</f>
        <v/>
      </c>
      <c r="I2645" s="32" t="str">
        <f aca="false">IF(L2645="","",INDEX(ポート振替表!$P$5:$P$3507,$L2645)&amp;"")</f>
        <v/>
      </c>
      <c r="J2645" s="60" t="str">
        <f aca="false">IF(L2645="","",INDEX(ポート振替表!$M$5:$M$3507,$L2645)&amp;"")</f>
        <v/>
      </c>
      <c r="K2645" s="52" t="str">
        <f aca="false">IF(L2645="","",E2645&amp;CHAR(10)&amp;INDEX(ポート振替表!$K$5:$K$3507,$L2645)&amp;" "&amp;INDEX(ポート振替表!$L$5:$L$3507,$L2645)&amp;CHAR(10)&amp;"⇔ "&amp;INDEX(ポート振替表!$H$5:$H$3507,$L2645)&amp;" "&amp;INDEX(ポート振替表!$I$5:$I$3507,$L2645))</f>
        <v/>
      </c>
      <c r="L2645" s="47" t="str">
        <f aca="false">IFERROR(MATCH(ROW()-4,ポート振替表!$V$5:$V$3507,0),"")</f>
        <v/>
      </c>
    </row>
    <row r="2646" customFormat="false" ht="16.4" hidden="false" customHeight="false" outlineLevel="0" collapsed="false">
      <c r="A2646" s="32" t="str">
        <f aca="false">IF(L2646="","",ROW()-4)</f>
        <v/>
      </c>
      <c r="B2646" s="58" t="str">
        <f aca="false">IF(L2646="","",IF(INDEX(ポート振替表!$W$5:$W$3507,$L2646)="","(なし)",INDEX(ポート振替表!$W$5:$W$3507,$L2646)&amp;""))</f>
        <v/>
      </c>
      <c r="C2646" s="52" t="str">
        <f aca="false">IF(L2646="","",INDEX(ポート振替表!$B$5:$B$3507,$L2646)&amp;" "&amp;INDEX(ポート振替表!$C$5:$C$3507,$L2646)&amp;"  ⇔  "&amp;INDEX(ポート振替表!$H$5:$H$3507,$L2646)&amp;" "&amp;INDEX(ポート振替表!$I$5:$I$3507,$L2646))</f>
        <v/>
      </c>
      <c r="D2646" s="57" t="s">
        <v>158</v>
      </c>
      <c r="E2646" s="59" t="str">
        <f aca="false">IF(L2646="","",IF(INDEX(ポート振替表!$O$5:$O$3507,$L2646)="","(未設定)",INDEX(ポート振替表!$O$5:$O$3507,$L2646)&amp;""))</f>
        <v/>
      </c>
      <c r="F2646" s="52" t="str">
        <f aca="false">IF(L2646="","",INDEX(ポート振替表!$K$5:$K$3507,$L2646)&amp;" "&amp;INDEX(ポート振替表!$L$5:$L$3507,$L2646)&amp;"  ⇔  "&amp;INDEX(ポート振替表!$H$5:$H$3507,$L2646)&amp;" "&amp;INDEX(ポート振替表!$I$5:$I$3507,$L2646))</f>
        <v/>
      </c>
      <c r="G2646" s="57" t="s">
        <v>158</v>
      </c>
      <c r="H2646" s="32" t="str">
        <f aca="false">IF(L2646="","",INDEX(ポート振替表!$N$5:$N$3507,$L2646)&amp;"")</f>
        <v/>
      </c>
      <c r="I2646" s="32" t="str">
        <f aca="false">IF(L2646="","",INDEX(ポート振替表!$P$5:$P$3507,$L2646)&amp;"")</f>
        <v/>
      </c>
      <c r="J2646" s="60" t="str">
        <f aca="false">IF(L2646="","",INDEX(ポート振替表!$M$5:$M$3507,$L2646)&amp;"")</f>
        <v/>
      </c>
      <c r="K2646" s="52" t="str">
        <f aca="false">IF(L2646="","",E2646&amp;CHAR(10)&amp;INDEX(ポート振替表!$K$5:$K$3507,$L2646)&amp;" "&amp;INDEX(ポート振替表!$L$5:$L$3507,$L2646)&amp;CHAR(10)&amp;"⇔ "&amp;INDEX(ポート振替表!$H$5:$H$3507,$L2646)&amp;" "&amp;INDEX(ポート振替表!$I$5:$I$3507,$L2646))</f>
        <v/>
      </c>
      <c r="L2646" s="47" t="str">
        <f aca="false">IFERROR(MATCH(ROW()-4,ポート振替表!$V$5:$V$3507,0),"")</f>
        <v/>
      </c>
    </row>
    <row r="2647" customFormat="false" ht="16.4" hidden="false" customHeight="false" outlineLevel="0" collapsed="false">
      <c r="A2647" s="32" t="str">
        <f aca="false">IF(L2647="","",ROW()-4)</f>
        <v/>
      </c>
      <c r="B2647" s="58" t="str">
        <f aca="false">IF(L2647="","",IF(INDEX(ポート振替表!$W$5:$W$3507,$L2647)="","(なし)",INDEX(ポート振替表!$W$5:$W$3507,$L2647)&amp;""))</f>
        <v/>
      </c>
      <c r="C2647" s="52" t="str">
        <f aca="false">IF(L2647="","",INDEX(ポート振替表!$B$5:$B$3507,$L2647)&amp;" "&amp;INDEX(ポート振替表!$C$5:$C$3507,$L2647)&amp;"  ⇔  "&amp;INDEX(ポート振替表!$H$5:$H$3507,$L2647)&amp;" "&amp;INDEX(ポート振替表!$I$5:$I$3507,$L2647))</f>
        <v/>
      </c>
      <c r="D2647" s="57" t="s">
        <v>158</v>
      </c>
      <c r="E2647" s="59" t="str">
        <f aca="false">IF(L2647="","",IF(INDEX(ポート振替表!$O$5:$O$3507,$L2647)="","(未設定)",INDEX(ポート振替表!$O$5:$O$3507,$L2647)&amp;""))</f>
        <v/>
      </c>
      <c r="F2647" s="52" t="str">
        <f aca="false">IF(L2647="","",INDEX(ポート振替表!$K$5:$K$3507,$L2647)&amp;" "&amp;INDEX(ポート振替表!$L$5:$L$3507,$L2647)&amp;"  ⇔  "&amp;INDEX(ポート振替表!$H$5:$H$3507,$L2647)&amp;" "&amp;INDEX(ポート振替表!$I$5:$I$3507,$L2647))</f>
        <v/>
      </c>
      <c r="G2647" s="57" t="s">
        <v>158</v>
      </c>
      <c r="H2647" s="32" t="str">
        <f aca="false">IF(L2647="","",INDEX(ポート振替表!$N$5:$N$3507,$L2647)&amp;"")</f>
        <v/>
      </c>
      <c r="I2647" s="32" t="str">
        <f aca="false">IF(L2647="","",INDEX(ポート振替表!$P$5:$P$3507,$L2647)&amp;"")</f>
        <v/>
      </c>
      <c r="J2647" s="60" t="str">
        <f aca="false">IF(L2647="","",INDEX(ポート振替表!$M$5:$M$3507,$L2647)&amp;"")</f>
        <v/>
      </c>
      <c r="K2647" s="52" t="str">
        <f aca="false">IF(L2647="","",E2647&amp;CHAR(10)&amp;INDEX(ポート振替表!$K$5:$K$3507,$L2647)&amp;" "&amp;INDEX(ポート振替表!$L$5:$L$3507,$L2647)&amp;CHAR(10)&amp;"⇔ "&amp;INDEX(ポート振替表!$H$5:$H$3507,$L2647)&amp;" "&amp;INDEX(ポート振替表!$I$5:$I$3507,$L2647))</f>
        <v/>
      </c>
      <c r="L2647" s="47" t="str">
        <f aca="false">IFERROR(MATCH(ROW()-4,ポート振替表!$V$5:$V$3507,0),"")</f>
        <v/>
      </c>
    </row>
    <row r="2648" customFormat="false" ht="16.4" hidden="false" customHeight="false" outlineLevel="0" collapsed="false">
      <c r="A2648" s="32" t="str">
        <f aca="false">IF(L2648="","",ROW()-4)</f>
        <v/>
      </c>
      <c r="B2648" s="58" t="str">
        <f aca="false">IF(L2648="","",IF(INDEX(ポート振替表!$W$5:$W$3507,$L2648)="","(なし)",INDEX(ポート振替表!$W$5:$W$3507,$L2648)&amp;""))</f>
        <v/>
      </c>
      <c r="C2648" s="52" t="str">
        <f aca="false">IF(L2648="","",INDEX(ポート振替表!$B$5:$B$3507,$L2648)&amp;" "&amp;INDEX(ポート振替表!$C$5:$C$3507,$L2648)&amp;"  ⇔  "&amp;INDEX(ポート振替表!$H$5:$H$3507,$L2648)&amp;" "&amp;INDEX(ポート振替表!$I$5:$I$3507,$L2648))</f>
        <v/>
      </c>
      <c r="D2648" s="57" t="s">
        <v>158</v>
      </c>
      <c r="E2648" s="59" t="str">
        <f aca="false">IF(L2648="","",IF(INDEX(ポート振替表!$O$5:$O$3507,$L2648)="","(未設定)",INDEX(ポート振替表!$O$5:$O$3507,$L2648)&amp;""))</f>
        <v/>
      </c>
      <c r="F2648" s="52" t="str">
        <f aca="false">IF(L2648="","",INDEX(ポート振替表!$K$5:$K$3507,$L2648)&amp;" "&amp;INDEX(ポート振替表!$L$5:$L$3507,$L2648)&amp;"  ⇔  "&amp;INDEX(ポート振替表!$H$5:$H$3507,$L2648)&amp;" "&amp;INDEX(ポート振替表!$I$5:$I$3507,$L2648))</f>
        <v/>
      </c>
      <c r="G2648" s="57" t="s">
        <v>158</v>
      </c>
      <c r="H2648" s="32" t="str">
        <f aca="false">IF(L2648="","",INDEX(ポート振替表!$N$5:$N$3507,$L2648)&amp;"")</f>
        <v/>
      </c>
      <c r="I2648" s="32" t="str">
        <f aca="false">IF(L2648="","",INDEX(ポート振替表!$P$5:$P$3507,$L2648)&amp;"")</f>
        <v/>
      </c>
      <c r="J2648" s="60" t="str">
        <f aca="false">IF(L2648="","",INDEX(ポート振替表!$M$5:$M$3507,$L2648)&amp;"")</f>
        <v/>
      </c>
      <c r="K2648" s="52" t="str">
        <f aca="false">IF(L2648="","",E2648&amp;CHAR(10)&amp;INDEX(ポート振替表!$K$5:$K$3507,$L2648)&amp;" "&amp;INDEX(ポート振替表!$L$5:$L$3507,$L2648)&amp;CHAR(10)&amp;"⇔ "&amp;INDEX(ポート振替表!$H$5:$H$3507,$L2648)&amp;" "&amp;INDEX(ポート振替表!$I$5:$I$3507,$L2648))</f>
        <v/>
      </c>
      <c r="L2648" s="47" t="str">
        <f aca="false">IFERROR(MATCH(ROW()-4,ポート振替表!$V$5:$V$3507,0),"")</f>
        <v/>
      </c>
    </row>
    <row r="2649" customFormat="false" ht="16.4" hidden="false" customHeight="false" outlineLevel="0" collapsed="false">
      <c r="A2649" s="32" t="str">
        <f aca="false">IF(L2649="","",ROW()-4)</f>
        <v/>
      </c>
      <c r="B2649" s="58" t="str">
        <f aca="false">IF(L2649="","",IF(INDEX(ポート振替表!$W$5:$W$3507,$L2649)="","(なし)",INDEX(ポート振替表!$W$5:$W$3507,$L2649)&amp;""))</f>
        <v/>
      </c>
      <c r="C2649" s="52" t="str">
        <f aca="false">IF(L2649="","",INDEX(ポート振替表!$B$5:$B$3507,$L2649)&amp;" "&amp;INDEX(ポート振替表!$C$5:$C$3507,$L2649)&amp;"  ⇔  "&amp;INDEX(ポート振替表!$H$5:$H$3507,$L2649)&amp;" "&amp;INDEX(ポート振替表!$I$5:$I$3507,$L2649))</f>
        <v/>
      </c>
      <c r="D2649" s="57" t="s">
        <v>158</v>
      </c>
      <c r="E2649" s="59" t="str">
        <f aca="false">IF(L2649="","",IF(INDEX(ポート振替表!$O$5:$O$3507,$L2649)="","(未設定)",INDEX(ポート振替表!$O$5:$O$3507,$L2649)&amp;""))</f>
        <v/>
      </c>
      <c r="F2649" s="52" t="str">
        <f aca="false">IF(L2649="","",INDEX(ポート振替表!$K$5:$K$3507,$L2649)&amp;" "&amp;INDEX(ポート振替表!$L$5:$L$3507,$L2649)&amp;"  ⇔  "&amp;INDEX(ポート振替表!$H$5:$H$3507,$L2649)&amp;" "&amp;INDEX(ポート振替表!$I$5:$I$3507,$L2649))</f>
        <v/>
      </c>
      <c r="G2649" s="57" t="s">
        <v>158</v>
      </c>
      <c r="H2649" s="32" t="str">
        <f aca="false">IF(L2649="","",INDEX(ポート振替表!$N$5:$N$3507,$L2649)&amp;"")</f>
        <v/>
      </c>
      <c r="I2649" s="32" t="str">
        <f aca="false">IF(L2649="","",INDEX(ポート振替表!$P$5:$P$3507,$L2649)&amp;"")</f>
        <v/>
      </c>
      <c r="J2649" s="60" t="str">
        <f aca="false">IF(L2649="","",INDEX(ポート振替表!$M$5:$M$3507,$L2649)&amp;"")</f>
        <v/>
      </c>
      <c r="K2649" s="52" t="str">
        <f aca="false">IF(L2649="","",E2649&amp;CHAR(10)&amp;INDEX(ポート振替表!$K$5:$K$3507,$L2649)&amp;" "&amp;INDEX(ポート振替表!$L$5:$L$3507,$L2649)&amp;CHAR(10)&amp;"⇔ "&amp;INDEX(ポート振替表!$H$5:$H$3507,$L2649)&amp;" "&amp;INDEX(ポート振替表!$I$5:$I$3507,$L2649))</f>
        <v/>
      </c>
      <c r="L2649" s="47" t="str">
        <f aca="false">IFERROR(MATCH(ROW()-4,ポート振替表!$V$5:$V$3507,0),"")</f>
        <v/>
      </c>
    </row>
    <row r="2650" customFormat="false" ht="16.4" hidden="false" customHeight="false" outlineLevel="0" collapsed="false">
      <c r="A2650" s="32" t="str">
        <f aca="false">IF(L2650="","",ROW()-4)</f>
        <v/>
      </c>
      <c r="B2650" s="58" t="str">
        <f aca="false">IF(L2650="","",IF(INDEX(ポート振替表!$W$5:$W$3507,$L2650)="","(なし)",INDEX(ポート振替表!$W$5:$W$3507,$L2650)&amp;""))</f>
        <v/>
      </c>
      <c r="C2650" s="52" t="str">
        <f aca="false">IF(L2650="","",INDEX(ポート振替表!$B$5:$B$3507,$L2650)&amp;" "&amp;INDEX(ポート振替表!$C$5:$C$3507,$L2650)&amp;"  ⇔  "&amp;INDEX(ポート振替表!$H$5:$H$3507,$L2650)&amp;" "&amp;INDEX(ポート振替表!$I$5:$I$3507,$L2650))</f>
        <v/>
      </c>
      <c r="D2650" s="57" t="s">
        <v>158</v>
      </c>
      <c r="E2650" s="59" t="str">
        <f aca="false">IF(L2650="","",IF(INDEX(ポート振替表!$O$5:$O$3507,$L2650)="","(未設定)",INDEX(ポート振替表!$O$5:$O$3507,$L2650)&amp;""))</f>
        <v/>
      </c>
      <c r="F2650" s="52" t="str">
        <f aca="false">IF(L2650="","",INDEX(ポート振替表!$K$5:$K$3507,$L2650)&amp;" "&amp;INDEX(ポート振替表!$L$5:$L$3507,$L2650)&amp;"  ⇔  "&amp;INDEX(ポート振替表!$H$5:$H$3507,$L2650)&amp;" "&amp;INDEX(ポート振替表!$I$5:$I$3507,$L2650))</f>
        <v/>
      </c>
      <c r="G2650" s="57" t="s">
        <v>158</v>
      </c>
      <c r="H2650" s="32" t="str">
        <f aca="false">IF(L2650="","",INDEX(ポート振替表!$N$5:$N$3507,$L2650)&amp;"")</f>
        <v/>
      </c>
      <c r="I2650" s="32" t="str">
        <f aca="false">IF(L2650="","",INDEX(ポート振替表!$P$5:$P$3507,$L2650)&amp;"")</f>
        <v/>
      </c>
      <c r="J2650" s="60" t="str">
        <f aca="false">IF(L2650="","",INDEX(ポート振替表!$M$5:$M$3507,$L2650)&amp;"")</f>
        <v/>
      </c>
      <c r="K2650" s="52" t="str">
        <f aca="false">IF(L2650="","",E2650&amp;CHAR(10)&amp;INDEX(ポート振替表!$K$5:$K$3507,$L2650)&amp;" "&amp;INDEX(ポート振替表!$L$5:$L$3507,$L2650)&amp;CHAR(10)&amp;"⇔ "&amp;INDEX(ポート振替表!$H$5:$H$3507,$L2650)&amp;" "&amp;INDEX(ポート振替表!$I$5:$I$3507,$L2650))</f>
        <v/>
      </c>
      <c r="L2650" s="47" t="str">
        <f aca="false">IFERROR(MATCH(ROW()-4,ポート振替表!$V$5:$V$3507,0),"")</f>
        <v/>
      </c>
    </row>
    <row r="2651" customFormat="false" ht="16.4" hidden="false" customHeight="false" outlineLevel="0" collapsed="false">
      <c r="A2651" s="32" t="str">
        <f aca="false">IF(L2651="","",ROW()-4)</f>
        <v/>
      </c>
      <c r="B2651" s="58" t="str">
        <f aca="false">IF(L2651="","",IF(INDEX(ポート振替表!$W$5:$W$3507,$L2651)="","(なし)",INDEX(ポート振替表!$W$5:$W$3507,$L2651)&amp;""))</f>
        <v/>
      </c>
      <c r="C2651" s="52" t="str">
        <f aca="false">IF(L2651="","",INDEX(ポート振替表!$B$5:$B$3507,$L2651)&amp;" "&amp;INDEX(ポート振替表!$C$5:$C$3507,$L2651)&amp;"  ⇔  "&amp;INDEX(ポート振替表!$H$5:$H$3507,$L2651)&amp;" "&amp;INDEX(ポート振替表!$I$5:$I$3507,$L2651))</f>
        <v/>
      </c>
      <c r="D2651" s="57" t="s">
        <v>158</v>
      </c>
      <c r="E2651" s="59" t="str">
        <f aca="false">IF(L2651="","",IF(INDEX(ポート振替表!$O$5:$O$3507,$L2651)="","(未設定)",INDEX(ポート振替表!$O$5:$O$3507,$L2651)&amp;""))</f>
        <v/>
      </c>
      <c r="F2651" s="52" t="str">
        <f aca="false">IF(L2651="","",INDEX(ポート振替表!$K$5:$K$3507,$L2651)&amp;" "&amp;INDEX(ポート振替表!$L$5:$L$3507,$L2651)&amp;"  ⇔  "&amp;INDEX(ポート振替表!$H$5:$H$3507,$L2651)&amp;" "&amp;INDEX(ポート振替表!$I$5:$I$3507,$L2651))</f>
        <v/>
      </c>
      <c r="G2651" s="57" t="s">
        <v>158</v>
      </c>
      <c r="H2651" s="32" t="str">
        <f aca="false">IF(L2651="","",INDEX(ポート振替表!$N$5:$N$3507,$L2651)&amp;"")</f>
        <v/>
      </c>
      <c r="I2651" s="32" t="str">
        <f aca="false">IF(L2651="","",INDEX(ポート振替表!$P$5:$P$3507,$L2651)&amp;"")</f>
        <v/>
      </c>
      <c r="J2651" s="60" t="str">
        <f aca="false">IF(L2651="","",INDEX(ポート振替表!$M$5:$M$3507,$L2651)&amp;"")</f>
        <v/>
      </c>
      <c r="K2651" s="52" t="str">
        <f aca="false">IF(L2651="","",E2651&amp;CHAR(10)&amp;INDEX(ポート振替表!$K$5:$K$3507,$L2651)&amp;" "&amp;INDEX(ポート振替表!$L$5:$L$3507,$L2651)&amp;CHAR(10)&amp;"⇔ "&amp;INDEX(ポート振替表!$H$5:$H$3507,$L2651)&amp;" "&amp;INDEX(ポート振替表!$I$5:$I$3507,$L2651))</f>
        <v/>
      </c>
      <c r="L2651" s="47" t="str">
        <f aca="false">IFERROR(MATCH(ROW()-4,ポート振替表!$V$5:$V$3507,0),"")</f>
        <v/>
      </c>
    </row>
    <row r="2652" customFormat="false" ht="16.4" hidden="false" customHeight="false" outlineLevel="0" collapsed="false">
      <c r="A2652" s="32" t="str">
        <f aca="false">IF(L2652="","",ROW()-4)</f>
        <v/>
      </c>
      <c r="B2652" s="58" t="str">
        <f aca="false">IF(L2652="","",IF(INDEX(ポート振替表!$W$5:$W$3507,$L2652)="","(なし)",INDEX(ポート振替表!$W$5:$W$3507,$L2652)&amp;""))</f>
        <v/>
      </c>
      <c r="C2652" s="52" t="str">
        <f aca="false">IF(L2652="","",INDEX(ポート振替表!$B$5:$B$3507,$L2652)&amp;" "&amp;INDEX(ポート振替表!$C$5:$C$3507,$L2652)&amp;"  ⇔  "&amp;INDEX(ポート振替表!$H$5:$H$3507,$L2652)&amp;" "&amp;INDEX(ポート振替表!$I$5:$I$3507,$L2652))</f>
        <v/>
      </c>
      <c r="D2652" s="57" t="s">
        <v>158</v>
      </c>
      <c r="E2652" s="59" t="str">
        <f aca="false">IF(L2652="","",IF(INDEX(ポート振替表!$O$5:$O$3507,$L2652)="","(未設定)",INDEX(ポート振替表!$O$5:$O$3507,$L2652)&amp;""))</f>
        <v/>
      </c>
      <c r="F2652" s="52" t="str">
        <f aca="false">IF(L2652="","",INDEX(ポート振替表!$K$5:$K$3507,$L2652)&amp;" "&amp;INDEX(ポート振替表!$L$5:$L$3507,$L2652)&amp;"  ⇔  "&amp;INDEX(ポート振替表!$H$5:$H$3507,$L2652)&amp;" "&amp;INDEX(ポート振替表!$I$5:$I$3507,$L2652))</f>
        <v/>
      </c>
      <c r="G2652" s="57" t="s">
        <v>158</v>
      </c>
      <c r="H2652" s="32" t="str">
        <f aca="false">IF(L2652="","",INDEX(ポート振替表!$N$5:$N$3507,$L2652)&amp;"")</f>
        <v/>
      </c>
      <c r="I2652" s="32" t="str">
        <f aca="false">IF(L2652="","",INDEX(ポート振替表!$P$5:$P$3507,$L2652)&amp;"")</f>
        <v/>
      </c>
      <c r="J2652" s="60" t="str">
        <f aca="false">IF(L2652="","",INDEX(ポート振替表!$M$5:$M$3507,$L2652)&amp;"")</f>
        <v/>
      </c>
      <c r="K2652" s="52" t="str">
        <f aca="false">IF(L2652="","",E2652&amp;CHAR(10)&amp;INDEX(ポート振替表!$K$5:$K$3507,$L2652)&amp;" "&amp;INDEX(ポート振替表!$L$5:$L$3507,$L2652)&amp;CHAR(10)&amp;"⇔ "&amp;INDEX(ポート振替表!$H$5:$H$3507,$L2652)&amp;" "&amp;INDEX(ポート振替表!$I$5:$I$3507,$L2652))</f>
        <v/>
      </c>
      <c r="L2652" s="47" t="str">
        <f aca="false">IFERROR(MATCH(ROW()-4,ポート振替表!$V$5:$V$3507,0),"")</f>
        <v/>
      </c>
    </row>
    <row r="2653" customFormat="false" ht="16.4" hidden="false" customHeight="false" outlineLevel="0" collapsed="false">
      <c r="A2653" s="32" t="str">
        <f aca="false">IF(L2653="","",ROW()-4)</f>
        <v/>
      </c>
      <c r="B2653" s="58" t="str">
        <f aca="false">IF(L2653="","",IF(INDEX(ポート振替表!$W$5:$W$3507,$L2653)="","(なし)",INDEX(ポート振替表!$W$5:$W$3507,$L2653)&amp;""))</f>
        <v/>
      </c>
      <c r="C2653" s="52" t="str">
        <f aca="false">IF(L2653="","",INDEX(ポート振替表!$B$5:$B$3507,$L2653)&amp;" "&amp;INDEX(ポート振替表!$C$5:$C$3507,$L2653)&amp;"  ⇔  "&amp;INDEX(ポート振替表!$H$5:$H$3507,$L2653)&amp;" "&amp;INDEX(ポート振替表!$I$5:$I$3507,$L2653))</f>
        <v/>
      </c>
      <c r="D2653" s="57" t="s">
        <v>158</v>
      </c>
      <c r="E2653" s="59" t="str">
        <f aca="false">IF(L2653="","",IF(INDEX(ポート振替表!$O$5:$O$3507,$L2653)="","(未設定)",INDEX(ポート振替表!$O$5:$O$3507,$L2653)&amp;""))</f>
        <v/>
      </c>
      <c r="F2653" s="52" t="str">
        <f aca="false">IF(L2653="","",INDEX(ポート振替表!$K$5:$K$3507,$L2653)&amp;" "&amp;INDEX(ポート振替表!$L$5:$L$3507,$L2653)&amp;"  ⇔  "&amp;INDEX(ポート振替表!$H$5:$H$3507,$L2653)&amp;" "&amp;INDEX(ポート振替表!$I$5:$I$3507,$L2653))</f>
        <v/>
      </c>
      <c r="G2653" s="57" t="s">
        <v>158</v>
      </c>
      <c r="H2653" s="32" t="str">
        <f aca="false">IF(L2653="","",INDEX(ポート振替表!$N$5:$N$3507,$L2653)&amp;"")</f>
        <v/>
      </c>
      <c r="I2653" s="32" t="str">
        <f aca="false">IF(L2653="","",INDEX(ポート振替表!$P$5:$P$3507,$L2653)&amp;"")</f>
        <v/>
      </c>
      <c r="J2653" s="60" t="str">
        <f aca="false">IF(L2653="","",INDEX(ポート振替表!$M$5:$M$3507,$L2653)&amp;"")</f>
        <v/>
      </c>
      <c r="K2653" s="52" t="str">
        <f aca="false">IF(L2653="","",E2653&amp;CHAR(10)&amp;INDEX(ポート振替表!$K$5:$K$3507,$L2653)&amp;" "&amp;INDEX(ポート振替表!$L$5:$L$3507,$L2653)&amp;CHAR(10)&amp;"⇔ "&amp;INDEX(ポート振替表!$H$5:$H$3507,$L2653)&amp;" "&amp;INDEX(ポート振替表!$I$5:$I$3507,$L2653))</f>
        <v/>
      </c>
      <c r="L2653" s="47" t="str">
        <f aca="false">IFERROR(MATCH(ROW()-4,ポート振替表!$V$5:$V$3507,0),"")</f>
        <v/>
      </c>
    </row>
    <row r="2654" customFormat="false" ht="16.4" hidden="false" customHeight="false" outlineLevel="0" collapsed="false">
      <c r="A2654" s="32" t="str">
        <f aca="false">IF(L2654="","",ROW()-4)</f>
        <v/>
      </c>
      <c r="B2654" s="58" t="str">
        <f aca="false">IF(L2654="","",IF(INDEX(ポート振替表!$W$5:$W$3507,$L2654)="","(なし)",INDEX(ポート振替表!$W$5:$W$3507,$L2654)&amp;""))</f>
        <v/>
      </c>
      <c r="C2654" s="52" t="str">
        <f aca="false">IF(L2654="","",INDEX(ポート振替表!$B$5:$B$3507,$L2654)&amp;" "&amp;INDEX(ポート振替表!$C$5:$C$3507,$L2654)&amp;"  ⇔  "&amp;INDEX(ポート振替表!$H$5:$H$3507,$L2654)&amp;" "&amp;INDEX(ポート振替表!$I$5:$I$3507,$L2654))</f>
        <v/>
      </c>
      <c r="D2654" s="57" t="s">
        <v>158</v>
      </c>
      <c r="E2654" s="59" t="str">
        <f aca="false">IF(L2654="","",IF(INDEX(ポート振替表!$O$5:$O$3507,$L2654)="","(未設定)",INDEX(ポート振替表!$O$5:$O$3507,$L2654)&amp;""))</f>
        <v/>
      </c>
      <c r="F2654" s="52" t="str">
        <f aca="false">IF(L2654="","",INDEX(ポート振替表!$K$5:$K$3507,$L2654)&amp;" "&amp;INDEX(ポート振替表!$L$5:$L$3507,$L2654)&amp;"  ⇔  "&amp;INDEX(ポート振替表!$H$5:$H$3507,$L2654)&amp;" "&amp;INDEX(ポート振替表!$I$5:$I$3507,$L2654))</f>
        <v/>
      </c>
      <c r="G2654" s="57" t="s">
        <v>158</v>
      </c>
      <c r="H2654" s="32" t="str">
        <f aca="false">IF(L2654="","",INDEX(ポート振替表!$N$5:$N$3507,$L2654)&amp;"")</f>
        <v/>
      </c>
      <c r="I2654" s="32" t="str">
        <f aca="false">IF(L2654="","",INDEX(ポート振替表!$P$5:$P$3507,$L2654)&amp;"")</f>
        <v/>
      </c>
      <c r="J2654" s="60" t="str">
        <f aca="false">IF(L2654="","",INDEX(ポート振替表!$M$5:$M$3507,$L2654)&amp;"")</f>
        <v/>
      </c>
      <c r="K2654" s="52" t="str">
        <f aca="false">IF(L2654="","",E2654&amp;CHAR(10)&amp;INDEX(ポート振替表!$K$5:$K$3507,$L2654)&amp;" "&amp;INDEX(ポート振替表!$L$5:$L$3507,$L2654)&amp;CHAR(10)&amp;"⇔ "&amp;INDEX(ポート振替表!$H$5:$H$3507,$L2654)&amp;" "&amp;INDEX(ポート振替表!$I$5:$I$3507,$L2654))</f>
        <v/>
      </c>
      <c r="L2654" s="47" t="str">
        <f aca="false">IFERROR(MATCH(ROW()-4,ポート振替表!$V$5:$V$3507,0),"")</f>
        <v/>
      </c>
    </row>
    <row r="2655" customFormat="false" ht="16.4" hidden="false" customHeight="false" outlineLevel="0" collapsed="false">
      <c r="A2655" s="32" t="str">
        <f aca="false">IF(L2655="","",ROW()-4)</f>
        <v/>
      </c>
      <c r="B2655" s="58" t="str">
        <f aca="false">IF(L2655="","",IF(INDEX(ポート振替表!$W$5:$W$3507,$L2655)="","(なし)",INDEX(ポート振替表!$W$5:$W$3507,$L2655)&amp;""))</f>
        <v/>
      </c>
      <c r="C2655" s="52" t="str">
        <f aca="false">IF(L2655="","",INDEX(ポート振替表!$B$5:$B$3507,$L2655)&amp;" "&amp;INDEX(ポート振替表!$C$5:$C$3507,$L2655)&amp;"  ⇔  "&amp;INDEX(ポート振替表!$H$5:$H$3507,$L2655)&amp;" "&amp;INDEX(ポート振替表!$I$5:$I$3507,$L2655))</f>
        <v/>
      </c>
      <c r="D2655" s="57" t="s">
        <v>158</v>
      </c>
      <c r="E2655" s="59" t="str">
        <f aca="false">IF(L2655="","",IF(INDEX(ポート振替表!$O$5:$O$3507,$L2655)="","(未設定)",INDEX(ポート振替表!$O$5:$O$3507,$L2655)&amp;""))</f>
        <v/>
      </c>
      <c r="F2655" s="52" t="str">
        <f aca="false">IF(L2655="","",INDEX(ポート振替表!$K$5:$K$3507,$L2655)&amp;" "&amp;INDEX(ポート振替表!$L$5:$L$3507,$L2655)&amp;"  ⇔  "&amp;INDEX(ポート振替表!$H$5:$H$3507,$L2655)&amp;" "&amp;INDEX(ポート振替表!$I$5:$I$3507,$L2655))</f>
        <v/>
      </c>
      <c r="G2655" s="57" t="s">
        <v>158</v>
      </c>
      <c r="H2655" s="32" t="str">
        <f aca="false">IF(L2655="","",INDEX(ポート振替表!$N$5:$N$3507,$L2655)&amp;"")</f>
        <v/>
      </c>
      <c r="I2655" s="32" t="str">
        <f aca="false">IF(L2655="","",INDEX(ポート振替表!$P$5:$P$3507,$L2655)&amp;"")</f>
        <v/>
      </c>
      <c r="J2655" s="60" t="str">
        <f aca="false">IF(L2655="","",INDEX(ポート振替表!$M$5:$M$3507,$L2655)&amp;"")</f>
        <v/>
      </c>
      <c r="K2655" s="52" t="str">
        <f aca="false">IF(L2655="","",E2655&amp;CHAR(10)&amp;INDEX(ポート振替表!$K$5:$K$3507,$L2655)&amp;" "&amp;INDEX(ポート振替表!$L$5:$L$3507,$L2655)&amp;CHAR(10)&amp;"⇔ "&amp;INDEX(ポート振替表!$H$5:$H$3507,$L2655)&amp;" "&amp;INDEX(ポート振替表!$I$5:$I$3507,$L2655))</f>
        <v/>
      </c>
      <c r="L2655" s="47" t="str">
        <f aca="false">IFERROR(MATCH(ROW()-4,ポート振替表!$V$5:$V$3507,0),"")</f>
        <v/>
      </c>
    </row>
    <row r="2656" customFormat="false" ht="16.4" hidden="false" customHeight="false" outlineLevel="0" collapsed="false">
      <c r="A2656" s="32" t="str">
        <f aca="false">IF(L2656="","",ROW()-4)</f>
        <v/>
      </c>
      <c r="B2656" s="58" t="str">
        <f aca="false">IF(L2656="","",IF(INDEX(ポート振替表!$W$5:$W$3507,$L2656)="","(なし)",INDEX(ポート振替表!$W$5:$W$3507,$L2656)&amp;""))</f>
        <v/>
      </c>
      <c r="C2656" s="52" t="str">
        <f aca="false">IF(L2656="","",INDEX(ポート振替表!$B$5:$B$3507,$L2656)&amp;" "&amp;INDEX(ポート振替表!$C$5:$C$3507,$L2656)&amp;"  ⇔  "&amp;INDEX(ポート振替表!$H$5:$H$3507,$L2656)&amp;" "&amp;INDEX(ポート振替表!$I$5:$I$3507,$L2656))</f>
        <v/>
      </c>
      <c r="D2656" s="57" t="s">
        <v>158</v>
      </c>
      <c r="E2656" s="59" t="str">
        <f aca="false">IF(L2656="","",IF(INDEX(ポート振替表!$O$5:$O$3507,$L2656)="","(未設定)",INDEX(ポート振替表!$O$5:$O$3507,$L2656)&amp;""))</f>
        <v/>
      </c>
      <c r="F2656" s="52" t="str">
        <f aca="false">IF(L2656="","",INDEX(ポート振替表!$K$5:$K$3507,$L2656)&amp;" "&amp;INDEX(ポート振替表!$L$5:$L$3507,$L2656)&amp;"  ⇔  "&amp;INDEX(ポート振替表!$H$5:$H$3507,$L2656)&amp;" "&amp;INDEX(ポート振替表!$I$5:$I$3507,$L2656))</f>
        <v/>
      </c>
      <c r="G2656" s="57" t="s">
        <v>158</v>
      </c>
      <c r="H2656" s="32" t="str">
        <f aca="false">IF(L2656="","",INDEX(ポート振替表!$N$5:$N$3507,$L2656)&amp;"")</f>
        <v/>
      </c>
      <c r="I2656" s="32" t="str">
        <f aca="false">IF(L2656="","",INDEX(ポート振替表!$P$5:$P$3507,$L2656)&amp;"")</f>
        <v/>
      </c>
      <c r="J2656" s="60" t="str">
        <f aca="false">IF(L2656="","",INDEX(ポート振替表!$M$5:$M$3507,$L2656)&amp;"")</f>
        <v/>
      </c>
      <c r="K2656" s="52" t="str">
        <f aca="false">IF(L2656="","",E2656&amp;CHAR(10)&amp;INDEX(ポート振替表!$K$5:$K$3507,$L2656)&amp;" "&amp;INDEX(ポート振替表!$L$5:$L$3507,$L2656)&amp;CHAR(10)&amp;"⇔ "&amp;INDEX(ポート振替表!$H$5:$H$3507,$L2656)&amp;" "&amp;INDEX(ポート振替表!$I$5:$I$3507,$L2656))</f>
        <v/>
      </c>
      <c r="L2656" s="47" t="str">
        <f aca="false">IFERROR(MATCH(ROW()-4,ポート振替表!$V$5:$V$3507,0),"")</f>
        <v/>
      </c>
    </row>
    <row r="2657" customFormat="false" ht="16.4" hidden="false" customHeight="false" outlineLevel="0" collapsed="false">
      <c r="A2657" s="32" t="str">
        <f aca="false">IF(L2657="","",ROW()-4)</f>
        <v/>
      </c>
      <c r="B2657" s="58" t="str">
        <f aca="false">IF(L2657="","",IF(INDEX(ポート振替表!$W$5:$W$3507,$L2657)="","(なし)",INDEX(ポート振替表!$W$5:$W$3507,$L2657)&amp;""))</f>
        <v/>
      </c>
      <c r="C2657" s="52" t="str">
        <f aca="false">IF(L2657="","",INDEX(ポート振替表!$B$5:$B$3507,$L2657)&amp;" "&amp;INDEX(ポート振替表!$C$5:$C$3507,$L2657)&amp;"  ⇔  "&amp;INDEX(ポート振替表!$H$5:$H$3507,$L2657)&amp;" "&amp;INDEX(ポート振替表!$I$5:$I$3507,$L2657))</f>
        <v/>
      </c>
      <c r="D2657" s="57" t="s">
        <v>158</v>
      </c>
      <c r="E2657" s="59" t="str">
        <f aca="false">IF(L2657="","",IF(INDEX(ポート振替表!$O$5:$O$3507,$L2657)="","(未設定)",INDEX(ポート振替表!$O$5:$O$3507,$L2657)&amp;""))</f>
        <v/>
      </c>
      <c r="F2657" s="52" t="str">
        <f aca="false">IF(L2657="","",INDEX(ポート振替表!$K$5:$K$3507,$L2657)&amp;" "&amp;INDEX(ポート振替表!$L$5:$L$3507,$L2657)&amp;"  ⇔  "&amp;INDEX(ポート振替表!$H$5:$H$3507,$L2657)&amp;" "&amp;INDEX(ポート振替表!$I$5:$I$3507,$L2657))</f>
        <v/>
      </c>
      <c r="G2657" s="57" t="s">
        <v>158</v>
      </c>
      <c r="H2657" s="32" t="str">
        <f aca="false">IF(L2657="","",INDEX(ポート振替表!$N$5:$N$3507,$L2657)&amp;"")</f>
        <v/>
      </c>
      <c r="I2657" s="32" t="str">
        <f aca="false">IF(L2657="","",INDEX(ポート振替表!$P$5:$P$3507,$L2657)&amp;"")</f>
        <v/>
      </c>
      <c r="J2657" s="60" t="str">
        <f aca="false">IF(L2657="","",INDEX(ポート振替表!$M$5:$M$3507,$L2657)&amp;"")</f>
        <v/>
      </c>
      <c r="K2657" s="52" t="str">
        <f aca="false">IF(L2657="","",E2657&amp;CHAR(10)&amp;INDEX(ポート振替表!$K$5:$K$3507,$L2657)&amp;" "&amp;INDEX(ポート振替表!$L$5:$L$3507,$L2657)&amp;CHAR(10)&amp;"⇔ "&amp;INDEX(ポート振替表!$H$5:$H$3507,$L2657)&amp;" "&amp;INDEX(ポート振替表!$I$5:$I$3507,$L2657))</f>
        <v/>
      </c>
      <c r="L2657" s="47" t="str">
        <f aca="false">IFERROR(MATCH(ROW()-4,ポート振替表!$V$5:$V$3507,0),"")</f>
        <v/>
      </c>
    </row>
    <row r="2658" customFormat="false" ht="16.4" hidden="false" customHeight="false" outlineLevel="0" collapsed="false">
      <c r="A2658" s="32" t="str">
        <f aca="false">IF(L2658="","",ROW()-4)</f>
        <v/>
      </c>
      <c r="B2658" s="58" t="str">
        <f aca="false">IF(L2658="","",IF(INDEX(ポート振替表!$W$5:$W$3507,$L2658)="","(なし)",INDEX(ポート振替表!$W$5:$W$3507,$L2658)&amp;""))</f>
        <v/>
      </c>
      <c r="C2658" s="52" t="str">
        <f aca="false">IF(L2658="","",INDEX(ポート振替表!$B$5:$B$3507,$L2658)&amp;" "&amp;INDEX(ポート振替表!$C$5:$C$3507,$L2658)&amp;"  ⇔  "&amp;INDEX(ポート振替表!$H$5:$H$3507,$L2658)&amp;" "&amp;INDEX(ポート振替表!$I$5:$I$3507,$L2658))</f>
        <v/>
      </c>
      <c r="D2658" s="57" t="s">
        <v>158</v>
      </c>
      <c r="E2658" s="59" t="str">
        <f aca="false">IF(L2658="","",IF(INDEX(ポート振替表!$O$5:$O$3507,$L2658)="","(未設定)",INDEX(ポート振替表!$O$5:$O$3507,$L2658)&amp;""))</f>
        <v/>
      </c>
      <c r="F2658" s="52" t="str">
        <f aca="false">IF(L2658="","",INDEX(ポート振替表!$K$5:$K$3507,$L2658)&amp;" "&amp;INDEX(ポート振替表!$L$5:$L$3507,$L2658)&amp;"  ⇔  "&amp;INDEX(ポート振替表!$H$5:$H$3507,$L2658)&amp;" "&amp;INDEX(ポート振替表!$I$5:$I$3507,$L2658))</f>
        <v/>
      </c>
      <c r="G2658" s="57" t="s">
        <v>158</v>
      </c>
      <c r="H2658" s="32" t="str">
        <f aca="false">IF(L2658="","",INDEX(ポート振替表!$N$5:$N$3507,$L2658)&amp;"")</f>
        <v/>
      </c>
      <c r="I2658" s="32" t="str">
        <f aca="false">IF(L2658="","",INDEX(ポート振替表!$P$5:$P$3507,$L2658)&amp;"")</f>
        <v/>
      </c>
      <c r="J2658" s="60" t="str">
        <f aca="false">IF(L2658="","",INDEX(ポート振替表!$M$5:$M$3507,$L2658)&amp;"")</f>
        <v/>
      </c>
      <c r="K2658" s="52" t="str">
        <f aca="false">IF(L2658="","",E2658&amp;CHAR(10)&amp;INDEX(ポート振替表!$K$5:$K$3507,$L2658)&amp;" "&amp;INDEX(ポート振替表!$L$5:$L$3507,$L2658)&amp;CHAR(10)&amp;"⇔ "&amp;INDEX(ポート振替表!$H$5:$H$3507,$L2658)&amp;" "&amp;INDEX(ポート振替表!$I$5:$I$3507,$L2658))</f>
        <v/>
      </c>
      <c r="L2658" s="47" t="str">
        <f aca="false">IFERROR(MATCH(ROW()-4,ポート振替表!$V$5:$V$3507,0),"")</f>
        <v/>
      </c>
    </row>
    <row r="2659" customFormat="false" ht="16.4" hidden="false" customHeight="false" outlineLevel="0" collapsed="false">
      <c r="A2659" s="32" t="str">
        <f aca="false">IF(L2659="","",ROW()-4)</f>
        <v/>
      </c>
      <c r="B2659" s="58" t="str">
        <f aca="false">IF(L2659="","",IF(INDEX(ポート振替表!$W$5:$W$3507,$L2659)="","(なし)",INDEX(ポート振替表!$W$5:$W$3507,$L2659)&amp;""))</f>
        <v/>
      </c>
      <c r="C2659" s="52" t="str">
        <f aca="false">IF(L2659="","",INDEX(ポート振替表!$B$5:$B$3507,$L2659)&amp;" "&amp;INDEX(ポート振替表!$C$5:$C$3507,$L2659)&amp;"  ⇔  "&amp;INDEX(ポート振替表!$H$5:$H$3507,$L2659)&amp;" "&amp;INDEX(ポート振替表!$I$5:$I$3507,$L2659))</f>
        <v/>
      </c>
      <c r="D2659" s="57" t="s">
        <v>158</v>
      </c>
      <c r="E2659" s="59" t="str">
        <f aca="false">IF(L2659="","",IF(INDEX(ポート振替表!$O$5:$O$3507,$L2659)="","(未設定)",INDEX(ポート振替表!$O$5:$O$3507,$L2659)&amp;""))</f>
        <v/>
      </c>
      <c r="F2659" s="52" t="str">
        <f aca="false">IF(L2659="","",INDEX(ポート振替表!$K$5:$K$3507,$L2659)&amp;" "&amp;INDEX(ポート振替表!$L$5:$L$3507,$L2659)&amp;"  ⇔  "&amp;INDEX(ポート振替表!$H$5:$H$3507,$L2659)&amp;" "&amp;INDEX(ポート振替表!$I$5:$I$3507,$L2659))</f>
        <v/>
      </c>
      <c r="G2659" s="57" t="s">
        <v>158</v>
      </c>
      <c r="H2659" s="32" t="str">
        <f aca="false">IF(L2659="","",INDEX(ポート振替表!$N$5:$N$3507,$L2659)&amp;"")</f>
        <v/>
      </c>
      <c r="I2659" s="32" t="str">
        <f aca="false">IF(L2659="","",INDEX(ポート振替表!$P$5:$P$3507,$L2659)&amp;"")</f>
        <v/>
      </c>
      <c r="J2659" s="60" t="str">
        <f aca="false">IF(L2659="","",INDEX(ポート振替表!$M$5:$M$3507,$L2659)&amp;"")</f>
        <v/>
      </c>
      <c r="K2659" s="52" t="str">
        <f aca="false">IF(L2659="","",E2659&amp;CHAR(10)&amp;INDEX(ポート振替表!$K$5:$K$3507,$L2659)&amp;" "&amp;INDEX(ポート振替表!$L$5:$L$3507,$L2659)&amp;CHAR(10)&amp;"⇔ "&amp;INDEX(ポート振替表!$H$5:$H$3507,$L2659)&amp;" "&amp;INDEX(ポート振替表!$I$5:$I$3507,$L2659))</f>
        <v/>
      </c>
      <c r="L2659" s="47" t="str">
        <f aca="false">IFERROR(MATCH(ROW()-4,ポート振替表!$V$5:$V$3507,0),"")</f>
        <v/>
      </c>
    </row>
    <row r="2660" customFormat="false" ht="16.4" hidden="false" customHeight="false" outlineLevel="0" collapsed="false">
      <c r="A2660" s="32" t="str">
        <f aca="false">IF(L2660="","",ROW()-4)</f>
        <v/>
      </c>
      <c r="B2660" s="58" t="str">
        <f aca="false">IF(L2660="","",IF(INDEX(ポート振替表!$W$5:$W$3507,$L2660)="","(なし)",INDEX(ポート振替表!$W$5:$W$3507,$L2660)&amp;""))</f>
        <v/>
      </c>
      <c r="C2660" s="52" t="str">
        <f aca="false">IF(L2660="","",INDEX(ポート振替表!$B$5:$B$3507,$L2660)&amp;" "&amp;INDEX(ポート振替表!$C$5:$C$3507,$L2660)&amp;"  ⇔  "&amp;INDEX(ポート振替表!$H$5:$H$3507,$L2660)&amp;" "&amp;INDEX(ポート振替表!$I$5:$I$3507,$L2660))</f>
        <v/>
      </c>
      <c r="D2660" s="57" t="s">
        <v>158</v>
      </c>
      <c r="E2660" s="59" t="str">
        <f aca="false">IF(L2660="","",IF(INDEX(ポート振替表!$O$5:$O$3507,$L2660)="","(未設定)",INDEX(ポート振替表!$O$5:$O$3507,$L2660)&amp;""))</f>
        <v/>
      </c>
      <c r="F2660" s="52" t="str">
        <f aca="false">IF(L2660="","",INDEX(ポート振替表!$K$5:$K$3507,$L2660)&amp;" "&amp;INDEX(ポート振替表!$L$5:$L$3507,$L2660)&amp;"  ⇔  "&amp;INDEX(ポート振替表!$H$5:$H$3507,$L2660)&amp;" "&amp;INDEX(ポート振替表!$I$5:$I$3507,$L2660))</f>
        <v/>
      </c>
      <c r="G2660" s="57" t="s">
        <v>158</v>
      </c>
      <c r="H2660" s="32" t="str">
        <f aca="false">IF(L2660="","",INDEX(ポート振替表!$N$5:$N$3507,$L2660)&amp;"")</f>
        <v/>
      </c>
      <c r="I2660" s="32" t="str">
        <f aca="false">IF(L2660="","",INDEX(ポート振替表!$P$5:$P$3507,$L2660)&amp;"")</f>
        <v/>
      </c>
      <c r="J2660" s="60" t="str">
        <f aca="false">IF(L2660="","",INDEX(ポート振替表!$M$5:$M$3507,$L2660)&amp;"")</f>
        <v/>
      </c>
      <c r="K2660" s="52" t="str">
        <f aca="false">IF(L2660="","",E2660&amp;CHAR(10)&amp;INDEX(ポート振替表!$K$5:$K$3507,$L2660)&amp;" "&amp;INDEX(ポート振替表!$L$5:$L$3507,$L2660)&amp;CHAR(10)&amp;"⇔ "&amp;INDEX(ポート振替表!$H$5:$H$3507,$L2660)&amp;" "&amp;INDEX(ポート振替表!$I$5:$I$3507,$L2660))</f>
        <v/>
      </c>
      <c r="L2660" s="47" t="str">
        <f aca="false">IFERROR(MATCH(ROW()-4,ポート振替表!$V$5:$V$3507,0),"")</f>
        <v/>
      </c>
    </row>
    <row r="2661" customFormat="false" ht="16.4" hidden="false" customHeight="false" outlineLevel="0" collapsed="false">
      <c r="A2661" s="32" t="str">
        <f aca="false">IF(L2661="","",ROW()-4)</f>
        <v/>
      </c>
      <c r="B2661" s="58" t="str">
        <f aca="false">IF(L2661="","",IF(INDEX(ポート振替表!$W$5:$W$3507,$L2661)="","(なし)",INDEX(ポート振替表!$W$5:$W$3507,$L2661)&amp;""))</f>
        <v/>
      </c>
      <c r="C2661" s="52" t="str">
        <f aca="false">IF(L2661="","",INDEX(ポート振替表!$B$5:$B$3507,$L2661)&amp;" "&amp;INDEX(ポート振替表!$C$5:$C$3507,$L2661)&amp;"  ⇔  "&amp;INDEX(ポート振替表!$H$5:$H$3507,$L2661)&amp;" "&amp;INDEX(ポート振替表!$I$5:$I$3507,$L2661))</f>
        <v/>
      </c>
      <c r="D2661" s="57" t="s">
        <v>158</v>
      </c>
      <c r="E2661" s="59" t="str">
        <f aca="false">IF(L2661="","",IF(INDEX(ポート振替表!$O$5:$O$3507,$L2661)="","(未設定)",INDEX(ポート振替表!$O$5:$O$3507,$L2661)&amp;""))</f>
        <v/>
      </c>
      <c r="F2661" s="52" t="str">
        <f aca="false">IF(L2661="","",INDEX(ポート振替表!$K$5:$K$3507,$L2661)&amp;" "&amp;INDEX(ポート振替表!$L$5:$L$3507,$L2661)&amp;"  ⇔  "&amp;INDEX(ポート振替表!$H$5:$H$3507,$L2661)&amp;" "&amp;INDEX(ポート振替表!$I$5:$I$3507,$L2661))</f>
        <v/>
      </c>
      <c r="G2661" s="57" t="s">
        <v>158</v>
      </c>
      <c r="H2661" s="32" t="str">
        <f aca="false">IF(L2661="","",INDEX(ポート振替表!$N$5:$N$3507,$L2661)&amp;"")</f>
        <v/>
      </c>
      <c r="I2661" s="32" t="str">
        <f aca="false">IF(L2661="","",INDEX(ポート振替表!$P$5:$P$3507,$L2661)&amp;"")</f>
        <v/>
      </c>
      <c r="J2661" s="60" t="str">
        <f aca="false">IF(L2661="","",INDEX(ポート振替表!$M$5:$M$3507,$L2661)&amp;"")</f>
        <v/>
      </c>
      <c r="K2661" s="52" t="str">
        <f aca="false">IF(L2661="","",E2661&amp;CHAR(10)&amp;INDEX(ポート振替表!$K$5:$K$3507,$L2661)&amp;" "&amp;INDEX(ポート振替表!$L$5:$L$3507,$L2661)&amp;CHAR(10)&amp;"⇔ "&amp;INDEX(ポート振替表!$H$5:$H$3507,$L2661)&amp;" "&amp;INDEX(ポート振替表!$I$5:$I$3507,$L2661))</f>
        <v/>
      </c>
      <c r="L2661" s="47" t="str">
        <f aca="false">IFERROR(MATCH(ROW()-4,ポート振替表!$V$5:$V$3507,0),"")</f>
        <v/>
      </c>
    </row>
    <row r="2662" customFormat="false" ht="16.4" hidden="false" customHeight="false" outlineLevel="0" collapsed="false">
      <c r="A2662" s="32" t="str">
        <f aca="false">IF(L2662="","",ROW()-4)</f>
        <v/>
      </c>
      <c r="B2662" s="58" t="str">
        <f aca="false">IF(L2662="","",IF(INDEX(ポート振替表!$W$5:$W$3507,$L2662)="","(なし)",INDEX(ポート振替表!$W$5:$W$3507,$L2662)&amp;""))</f>
        <v/>
      </c>
      <c r="C2662" s="52" t="str">
        <f aca="false">IF(L2662="","",INDEX(ポート振替表!$B$5:$B$3507,$L2662)&amp;" "&amp;INDEX(ポート振替表!$C$5:$C$3507,$L2662)&amp;"  ⇔  "&amp;INDEX(ポート振替表!$H$5:$H$3507,$L2662)&amp;" "&amp;INDEX(ポート振替表!$I$5:$I$3507,$L2662))</f>
        <v/>
      </c>
      <c r="D2662" s="57" t="s">
        <v>158</v>
      </c>
      <c r="E2662" s="59" t="str">
        <f aca="false">IF(L2662="","",IF(INDEX(ポート振替表!$O$5:$O$3507,$L2662)="","(未設定)",INDEX(ポート振替表!$O$5:$O$3507,$L2662)&amp;""))</f>
        <v/>
      </c>
      <c r="F2662" s="52" t="str">
        <f aca="false">IF(L2662="","",INDEX(ポート振替表!$K$5:$K$3507,$L2662)&amp;" "&amp;INDEX(ポート振替表!$L$5:$L$3507,$L2662)&amp;"  ⇔  "&amp;INDEX(ポート振替表!$H$5:$H$3507,$L2662)&amp;" "&amp;INDEX(ポート振替表!$I$5:$I$3507,$L2662))</f>
        <v/>
      </c>
      <c r="G2662" s="57" t="s">
        <v>158</v>
      </c>
      <c r="H2662" s="32" t="str">
        <f aca="false">IF(L2662="","",INDEX(ポート振替表!$N$5:$N$3507,$L2662)&amp;"")</f>
        <v/>
      </c>
      <c r="I2662" s="32" t="str">
        <f aca="false">IF(L2662="","",INDEX(ポート振替表!$P$5:$P$3507,$L2662)&amp;"")</f>
        <v/>
      </c>
      <c r="J2662" s="60" t="str">
        <f aca="false">IF(L2662="","",INDEX(ポート振替表!$M$5:$M$3507,$L2662)&amp;"")</f>
        <v/>
      </c>
      <c r="K2662" s="52" t="str">
        <f aca="false">IF(L2662="","",E2662&amp;CHAR(10)&amp;INDEX(ポート振替表!$K$5:$K$3507,$L2662)&amp;" "&amp;INDEX(ポート振替表!$L$5:$L$3507,$L2662)&amp;CHAR(10)&amp;"⇔ "&amp;INDEX(ポート振替表!$H$5:$H$3507,$L2662)&amp;" "&amp;INDEX(ポート振替表!$I$5:$I$3507,$L2662))</f>
        <v/>
      </c>
      <c r="L2662" s="47" t="str">
        <f aca="false">IFERROR(MATCH(ROW()-4,ポート振替表!$V$5:$V$3507,0),"")</f>
        <v/>
      </c>
    </row>
    <row r="2663" customFormat="false" ht="16.4" hidden="false" customHeight="false" outlineLevel="0" collapsed="false">
      <c r="A2663" s="32" t="str">
        <f aca="false">IF(L2663="","",ROW()-4)</f>
        <v/>
      </c>
      <c r="B2663" s="58" t="str">
        <f aca="false">IF(L2663="","",IF(INDEX(ポート振替表!$W$5:$W$3507,$L2663)="","(なし)",INDEX(ポート振替表!$W$5:$W$3507,$L2663)&amp;""))</f>
        <v/>
      </c>
      <c r="C2663" s="52" t="str">
        <f aca="false">IF(L2663="","",INDEX(ポート振替表!$B$5:$B$3507,$L2663)&amp;" "&amp;INDEX(ポート振替表!$C$5:$C$3507,$L2663)&amp;"  ⇔  "&amp;INDEX(ポート振替表!$H$5:$H$3507,$L2663)&amp;" "&amp;INDEX(ポート振替表!$I$5:$I$3507,$L2663))</f>
        <v/>
      </c>
      <c r="D2663" s="57" t="s">
        <v>158</v>
      </c>
      <c r="E2663" s="59" t="str">
        <f aca="false">IF(L2663="","",IF(INDEX(ポート振替表!$O$5:$O$3507,$L2663)="","(未設定)",INDEX(ポート振替表!$O$5:$O$3507,$L2663)&amp;""))</f>
        <v/>
      </c>
      <c r="F2663" s="52" t="str">
        <f aca="false">IF(L2663="","",INDEX(ポート振替表!$K$5:$K$3507,$L2663)&amp;" "&amp;INDEX(ポート振替表!$L$5:$L$3507,$L2663)&amp;"  ⇔  "&amp;INDEX(ポート振替表!$H$5:$H$3507,$L2663)&amp;" "&amp;INDEX(ポート振替表!$I$5:$I$3507,$L2663))</f>
        <v/>
      </c>
      <c r="G2663" s="57" t="s">
        <v>158</v>
      </c>
      <c r="H2663" s="32" t="str">
        <f aca="false">IF(L2663="","",INDEX(ポート振替表!$N$5:$N$3507,$L2663)&amp;"")</f>
        <v/>
      </c>
      <c r="I2663" s="32" t="str">
        <f aca="false">IF(L2663="","",INDEX(ポート振替表!$P$5:$P$3507,$L2663)&amp;"")</f>
        <v/>
      </c>
      <c r="J2663" s="60" t="str">
        <f aca="false">IF(L2663="","",INDEX(ポート振替表!$M$5:$M$3507,$L2663)&amp;"")</f>
        <v/>
      </c>
      <c r="K2663" s="52" t="str">
        <f aca="false">IF(L2663="","",E2663&amp;CHAR(10)&amp;INDEX(ポート振替表!$K$5:$K$3507,$L2663)&amp;" "&amp;INDEX(ポート振替表!$L$5:$L$3507,$L2663)&amp;CHAR(10)&amp;"⇔ "&amp;INDEX(ポート振替表!$H$5:$H$3507,$L2663)&amp;" "&amp;INDEX(ポート振替表!$I$5:$I$3507,$L2663))</f>
        <v/>
      </c>
      <c r="L2663" s="47" t="str">
        <f aca="false">IFERROR(MATCH(ROW()-4,ポート振替表!$V$5:$V$3507,0),"")</f>
        <v/>
      </c>
    </row>
    <row r="2664" customFormat="false" ht="16.4" hidden="false" customHeight="false" outlineLevel="0" collapsed="false">
      <c r="A2664" s="32" t="str">
        <f aca="false">IF(L2664="","",ROW()-4)</f>
        <v/>
      </c>
      <c r="B2664" s="58" t="str">
        <f aca="false">IF(L2664="","",IF(INDEX(ポート振替表!$W$5:$W$3507,$L2664)="","(なし)",INDEX(ポート振替表!$W$5:$W$3507,$L2664)&amp;""))</f>
        <v/>
      </c>
      <c r="C2664" s="52" t="str">
        <f aca="false">IF(L2664="","",INDEX(ポート振替表!$B$5:$B$3507,$L2664)&amp;" "&amp;INDEX(ポート振替表!$C$5:$C$3507,$L2664)&amp;"  ⇔  "&amp;INDEX(ポート振替表!$H$5:$H$3507,$L2664)&amp;" "&amp;INDEX(ポート振替表!$I$5:$I$3507,$L2664))</f>
        <v/>
      </c>
      <c r="D2664" s="57" t="s">
        <v>158</v>
      </c>
      <c r="E2664" s="59" t="str">
        <f aca="false">IF(L2664="","",IF(INDEX(ポート振替表!$O$5:$O$3507,$L2664)="","(未設定)",INDEX(ポート振替表!$O$5:$O$3507,$L2664)&amp;""))</f>
        <v/>
      </c>
      <c r="F2664" s="52" t="str">
        <f aca="false">IF(L2664="","",INDEX(ポート振替表!$K$5:$K$3507,$L2664)&amp;" "&amp;INDEX(ポート振替表!$L$5:$L$3507,$L2664)&amp;"  ⇔  "&amp;INDEX(ポート振替表!$H$5:$H$3507,$L2664)&amp;" "&amp;INDEX(ポート振替表!$I$5:$I$3507,$L2664))</f>
        <v/>
      </c>
      <c r="G2664" s="57" t="s">
        <v>158</v>
      </c>
      <c r="H2664" s="32" t="str">
        <f aca="false">IF(L2664="","",INDEX(ポート振替表!$N$5:$N$3507,$L2664)&amp;"")</f>
        <v/>
      </c>
      <c r="I2664" s="32" t="str">
        <f aca="false">IF(L2664="","",INDEX(ポート振替表!$P$5:$P$3507,$L2664)&amp;"")</f>
        <v/>
      </c>
      <c r="J2664" s="60" t="str">
        <f aca="false">IF(L2664="","",INDEX(ポート振替表!$M$5:$M$3507,$L2664)&amp;"")</f>
        <v/>
      </c>
      <c r="K2664" s="52" t="str">
        <f aca="false">IF(L2664="","",E2664&amp;CHAR(10)&amp;INDEX(ポート振替表!$K$5:$K$3507,$L2664)&amp;" "&amp;INDEX(ポート振替表!$L$5:$L$3507,$L2664)&amp;CHAR(10)&amp;"⇔ "&amp;INDEX(ポート振替表!$H$5:$H$3507,$L2664)&amp;" "&amp;INDEX(ポート振替表!$I$5:$I$3507,$L2664))</f>
        <v/>
      </c>
      <c r="L2664" s="47" t="str">
        <f aca="false">IFERROR(MATCH(ROW()-4,ポート振替表!$V$5:$V$3507,0),"")</f>
        <v/>
      </c>
    </row>
    <row r="2665" customFormat="false" ht="16.4" hidden="false" customHeight="false" outlineLevel="0" collapsed="false">
      <c r="A2665" s="32" t="str">
        <f aca="false">IF(L2665="","",ROW()-4)</f>
        <v/>
      </c>
      <c r="B2665" s="58" t="str">
        <f aca="false">IF(L2665="","",IF(INDEX(ポート振替表!$W$5:$W$3507,$L2665)="","(なし)",INDEX(ポート振替表!$W$5:$W$3507,$L2665)&amp;""))</f>
        <v/>
      </c>
      <c r="C2665" s="52" t="str">
        <f aca="false">IF(L2665="","",INDEX(ポート振替表!$B$5:$B$3507,$L2665)&amp;" "&amp;INDEX(ポート振替表!$C$5:$C$3507,$L2665)&amp;"  ⇔  "&amp;INDEX(ポート振替表!$H$5:$H$3507,$L2665)&amp;" "&amp;INDEX(ポート振替表!$I$5:$I$3507,$L2665))</f>
        <v/>
      </c>
      <c r="D2665" s="57" t="s">
        <v>158</v>
      </c>
      <c r="E2665" s="59" t="str">
        <f aca="false">IF(L2665="","",IF(INDEX(ポート振替表!$O$5:$O$3507,$L2665)="","(未設定)",INDEX(ポート振替表!$O$5:$O$3507,$L2665)&amp;""))</f>
        <v/>
      </c>
      <c r="F2665" s="52" t="str">
        <f aca="false">IF(L2665="","",INDEX(ポート振替表!$K$5:$K$3507,$L2665)&amp;" "&amp;INDEX(ポート振替表!$L$5:$L$3507,$L2665)&amp;"  ⇔  "&amp;INDEX(ポート振替表!$H$5:$H$3507,$L2665)&amp;" "&amp;INDEX(ポート振替表!$I$5:$I$3507,$L2665))</f>
        <v/>
      </c>
      <c r="G2665" s="57" t="s">
        <v>158</v>
      </c>
      <c r="H2665" s="32" t="str">
        <f aca="false">IF(L2665="","",INDEX(ポート振替表!$N$5:$N$3507,$L2665)&amp;"")</f>
        <v/>
      </c>
      <c r="I2665" s="32" t="str">
        <f aca="false">IF(L2665="","",INDEX(ポート振替表!$P$5:$P$3507,$L2665)&amp;"")</f>
        <v/>
      </c>
      <c r="J2665" s="60" t="str">
        <f aca="false">IF(L2665="","",INDEX(ポート振替表!$M$5:$M$3507,$L2665)&amp;"")</f>
        <v/>
      </c>
      <c r="K2665" s="52" t="str">
        <f aca="false">IF(L2665="","",E2665&amp;CHAR(10)&amp;INDEX(ポート振替表!$K$5:$K$3507,$L2665)&amp;" "&amp;INDEX(ポート振替表!$L$5:$L$3507,$L2665)&amp;CHAR(10)&amp;"⇔ "&amp;INDEX(ポート振替表!$H$5:$H$3507,$L2665)&amp;" "&amp;INDEX(ポート振替表!$I$5:$I$3507,$L2665))</f>
        <v/>
      </c>
      <c r="L2665" s="47" t="str">
        <f aca="false">IFERROR(MATCH(ROW()-4,ポート振替表!$V$5:$V$3507,0),"")</f>
        <v/>
      </c>
    </row>
    <row r="2666" customFormat="false" ht="16.4" hidden="false" customHeight="false" outlineLevel="0" collapsed="false">
      <c r="A2666" s="32" t="str">
        <f aca="false">IF(L2666="","",ROW()-4)</f>
        <v/>
      </c>
      <c r="B2666" s="58" t="str">
        <f aca="false">IF(L2666="","",IF(INDEX(ポート振替表!$W$5:$W$3507,$L2666)="","(なし)",INDEX(ポート振替表!$W$5:$W$3507,$L2666)&amp;""))</f>
        <v/>
      </c>
      <c r="C2666" s="52" t="str">
        <f aca="false">IF(L2666="","",INDEX(ポート振替表!$B$5:$B$3507,$L2666)&amp;" "&amp;INDEX(ポート振替表!$C$5:$C$3507,$L2666)&amp;"  ⇔  "&amp;INDEX(ポート振替表!$H$5:$H$3507,$L2666)&amp;" "&amp;INDEX(ポート振替表!$I$5:$I$3507,$L2666))</f>
        <v/>
      </c>
      <c r="D2666" s="57" t="s">
        <v>158</v>
      </c>
      <c r="E2666" s="59" t="str">
        <f aca="false">IF(L2666="","",IF(INDEX(ポート振替表!$O$5:$O$3507,$L2666)="","(未設定)",INDEX(ポート振替表!$O$5:$O$3507,$L2666)&amp;""))</f>
        <v/>
      </c>
      <c r="F2666" s="52" t="str">
        <f aca="false">IF(L2666="","",INDEX(ポート振替表!$K$5:$K$3507,$L2666)&amp;" "&amp;INDEX(ポート振替表!$L$5:$L$3507,$L2666)&amp;"  ⇔  "&amp;INDEX(ポート振替表!$H$5:$H$3507,$L2666)&amp;" "&amp;INDEX(ポート振替表!$I$5:$I$3507,$L2666))</f>
        <v/>
      </c>
      <c r="G2666" s="57" t="s">
        <v>158</v>
      </c>
      <c r="H2666" s="32" t="str">
        <f aca="false">IF(L2666="","",INDEX(ポート振替表!$N$5:$N$3507,$L2666)&amp;"")</f>
        <v/>
      </c>
      <c r="I2666" s="32" t="str">
        <f aca="false">IF(L2666="","",INDEX(ポート振替表!$P$5:$P$3507,$L2666)&amp;"")</f>
        <v/>
      </c>
      <c r="J2666" s="60" t="str">
        <f aca="false">IF(L2666="","",INDEX(ポート振替表!$M$5:$M$3507,$L2666)&amp;"")</f>
        <v/>
      </c>
      <c r="K2666" s="52" t="str">
        <f aca="false">IF(L2666="","",E2666&amp;CHAR(10)&amp;INDEX(ポート振替表!$K$5:$K$3507,$L2666)&amp;" "&amp;INDEX(ポート振替表!$L$5:$L$3507,$L2666)&amp;CHAR(10)&amp;"⇔ "&amp;INDEX(ポート振替表!$H$5:$H$3507,$L2666)&amp;" "&amp;INDEX(ポート振替表!$I$5:$I$3507,$L2666))</f>
        <v/>
      </c>
      <c r="L2666" s="47" t="str">
        <f aca="false">IFERROR(MATCH(ROW()-4,ポート振替表!$V$5:$V$3507,0),"")</f>
        <v/>
      </c>
    </row>
    <row r="2667" customFormat="false" ht="16.4" hidden="false" customHeight="false" outlineLevel="0" collapsed="false">
      <c r="A2667" s="32" t="str">
        <f aca="false">IF(L2667="","",ROW()-4)</f>
        <v/>
      </c>
      <c r="B2667" s="58" t="str">
        <f aca="false">IF(L2667="","",IF(INDEX(ポート振替表!$W$5:$W$3507,$L2667)="","(なし)",INDEX(ポート振替表!$W$5:$W$3507,$L2667)&amp;""))</f>
        <v/>
      </c>
      <c r="C2667" s="52" t="str">
        <f aca="false">IF(L2667="","",INDEX(ポート振替表!$B$5:$B$3507,$L2667)&amp;" "&amp;INDEX(ポート振替表!$C$5:$C$3507,$L2667)&amp;"  ⇔  "&amp;INDEX(ポート振替表!$H$5:$H$3507,$L2667)&amp;" "&amp;INDEX(ポート振替表!$I$5:$I$3507,$L2667))</f>
        <v/>
      </c>
      <c r="D2667" s="57" t="s">
        <v>158</v>
      </c>
      <c r="E2667" s="59" t="str">
        <f aca="false">IF(L2667="","",IF(INDEX(ポート振替表!$O$5:$O$3507,$L2667)="","(未設定)",INDEX(ポート振替表!$O$5:$O$3507,$L2667)&amp;""))</f>
        <v/>
      </c>
      <c r="F2667" s="52" t="str">
        <f aca="false">IF(L2667="","",INDEX(ポート振替表!$K$5:$K$3507,$L2667)&amp;" "&amp;INDEX(ポート振替表!$L$5:$L$3507,$L2667)&amp;"  ⇔  "&amp;INDEX(ポート振替表!$H$5:$H$3507,$L2667)&amp;" "&amp;INDEX(ポート振替表!$I$5:$I$3507,$L2667))</f>
        <v/>
      </c>
      <c r="G2667" s="57" t="s">
        <v>158</v>
      </c>
      <c r="H2667" s="32" t="str">
        <f aca="false">IF(L2667="","",INDEX(ポート振替表!$N$5:$N$3507,$L2667)&amp;"")</f>
        <v/>
      </c>
      <c r="I2667" s="32" t="str">
        <f aca="false">IF(L2667="","",INDEX(ポート振替表!$P$5:$P$3507,$L2667)&amp;"")</f>
        <v/>
      </c>
      <c r="J2667" s="60" t="str">
        <f aca="false">IF(L2667="","",INDEX(ポート振替表!$M$5:$M$3507,$L2667)&amp;"")</f>
        <v/>
      </c>
      <c r="K2667" s="52" t="str">
        <f aca="false">IF(L2667="","",E2667&amp;CHAR(10)&amp;INDEX(ポート振替表!$K$5:$K$3507,$L2667)&amp;" "&amp;INDEX(ポート振替表!$L$5:$L$3507,$L2667)&amp;CHAR(10)&amp;"⇔ "&amp;INDEX(ポート振替表!$H$5:$H$3507,$L2667)&amp;" "&amp;INDEX(ポート振替表!$I$5:$I$3507,$L2667))</f>
        <v/>
      </c>
      <c r="L2667" s="47" t="str">
        <f aca="false">IFERROR(MATCH(ROW()-4,ポート振替表!$V$5:$V$3507,0),"")</f>
        <v/>
      </c>
    </row>
    <row r="2668" customFormat="false" ht="16.4" hidden="false" customHeight="false" outlineLevel="0" collapsed="false">
      <c r="A2668" s="32" t="str">
        <f aca="false">IF(L2668="","",ROW()-4)</f>
        <v/>
      </c>
      <c r="B2668" s="58" t="str">
        <f aca="false">IF(L2668="","",IF(INDEX(ポート振替表!$W$5:$W$3507,$L2668)="","(なし)",INDEX(ポート振替表!$W$5:$W$3507,$L2668)&amp;""))</f>
        <v/>
      </c>
      <c r="C2668" s="52" t="str">
        <f aca="false">IF(L2668="","",INDEX(ポート振替表!$B$5:$B$3507,$L2668)&amp;" "&amp;INDEX(ポート振替表!$C$5:$C$3507,$L2668)&amp;"  ⇔  "&amp;INDEX(ポート振替表!$H$5:$H$3507,$L2668)&amp;" "&amp;INDEX(ポート振替表!$I$5:$I$3507,$L2668))</f>
        <v/>
      </c>
      <c r="D2668" s="57" t="s">
        <v>158</v>
      </c>
      <c r="E2668" s="59" t="str">
        <f aca="false">IF(L2668="","",IF(INDEX(ポート振替表!$O$5:$O$3507,$L2668)="","(未設定)",INDEX(ポート振替表!$O$5:$O$3507,$L2668)&amp;""))</f>
        <v/>
      </c>
      <c r="F2668" s="52" t="str">
        <f aca="false">IF(L2668="","",INDEX(ポート振替表!$K$5:$K$3507,$L2668)&amp;" "&amp;INDEX(ポート振替表!$L$5:$L$3507,$L2668)&amp;"  ⇔  "&amp;INDEX(ポート振替表!$H$5:$H$3507,$L2668)&amp;" "&amp;INDEX(ポート振替表!$I$5:$I$3507,$L2668))</f>
        <v/>
      </c>
      <c r="G2668" s="57" t="s">
        <v>158</v>
      </c>
      <c r="H2668" s="32" t="str">
        <f aca="false">IF(L2668="","",INDEX(ポート振替表!$N$5:$N$3507,$L2668)&amp;"")</f>
        <v/>
      </c>
      <c r="I2668" s="32" t="str">
        <f aca="false">IF(L2668="","",INDEX(ポート振替表!$P$5:$P$3507,$L2668)&amp;"")</f>
        <v/>
      </c>
      <c r="J2668" s="60" t="str">
        <f aca="false">IF(L2668="","",INDEX(ポート振替表!$M$5:$M$3507,$L2668)&amp;"")</f>
        <v/>
      </c>
      <c r="K2668" s="52" t="str">
        <f aca="false">IF(L2668="","",E2668&amp;CHAR(10)&amp;INDEX(ポート振替表!$K$5:$K$3507,$L2668)&amp;" "&amp;INDEX(ポート振替表!$L$5:$L$3507,$L2668)&amp;CHAR(10)&amp;"⇔ "&amp;INDEX(ポート振替表!$H$5:$H$3507,$L2668)&amp;" "&amp;INDEX(ポート振替表!$I$5:$I$3507,$L2668))</f>
        <v/>
      </c>
      <c r="L2668" s="47" t="str">
        <f aca="false">IFERROR(MATCH(ROW()-4,ポート振替表!$V$5:$V$3507,0),"")</f>
        <v/>
      </c>
    </row>
    <row r="2669" customFormat="false" ht="16.4" hidden="false" customHeight="false" outlineLevel="0" collapsed="false">
      <c r="A2669" s="32" t="str">
        <f aca="false">IF(L2669="","",ROW()-4)</f>
        <v/>
      </c>
      <c r="B2669" s="58" t="str">
        <f aca="false">IF(L2669="","",IF(INDEX(ポート振替表!$W$5:$W$3507,$L2669)="","(なし)",INDEX(ポート振替表!$W$5:$W$3507,$L2669)&amp;""))</f>
        <v/>
      </c>
      <c r="C2669" s="52" t="str">
        <f aca="false">IF(L2669="","",INDEX(ポート振替表!$B$5:$B$3507,$L2669)&amp;" "&amp;INDEX(ポート振替表!$C$5:$C$3507,$L2669)&amp;"  ⇔  "&amp;INDEX(ポート振替表!$H$5:$H$3507,$L2669)&amp;" "&amp;INDEX(ポート振替表!$I$5:$I$3507,$L2669))</f>
        <v/>
      </c>
      <c r="D2669" s="57" t="s">
        <v>158</v>
      </c>
      <c r="E2669" s="59" t="str">
        <f aca="false">IF(L2669="","",IF(INDEX(ポート振替表!$O$5:$O$3507,$L2669)="","(未設定)",INDEX(ポート振替表!$O$5:$O$3507,$L2669)&amp;""))</f>
        <v/>
      </c>
      <c r="F2669" s="52" t="str">
        <f aca="false">IF(L2669="","",INDEX(ポート振替表!$K$5:$K$3507,$L2669)&amp;" "&amp;INDEX(ポート振替表!$L$5:$L$3507,$L2669)&amp;"  ⇔  "&amp;INDEX(ポート振替表!$H$5:$H$3507,$L2669)&amp;" "&amp;INDEX(ポート振替表!$I$5:$I$3507,$L2669))</f>
        <v/>
      </c>
      <c r="G2669" s="57" t="s">
        <v>158</v>
      </c>
      <c r="H2669" s="32" t="str">
        <f aca="false">IF(L2669="","",INDEX(ポート振替表!$N$5:$N$3507,$L2669)&amp;"")</f>
        <v/>
      </c>
      <c r="I2669" s="32" t="str">
        <f aca="false">IF(L2669="","",INDEX(ポート振替表!$P$5:$P$3507,$L2669)&amp;"")</f>
        <v/>
      </c>
      <c r="J2669" s="60" t="str">
        <f aca="false">IF(L2669="","",INDEX(ポート振替表!$M$5:$M$3507,$L2669)&amp;"")</f>
        <v/>
      </c>
      <c r="K2669" s="52" t="str">
        <f aca="false">IF(L2669="","",E2669&amp;CHAR(10)&amp;INDEX(ポート振替表!$K$5:$K$3507,$L2669)&amp;" "&amp;INDEX(ポート振替表!$L$5:$L$3507,$L2669)&amp;CHAR(10)&amp;"⇔ "&amp;INDEX(ポート振替表!$H$5:$H$3507,$L2669)&amp;" "&amp;INDEX(ポート振替表!$I$5:$I$3507,$L2669))</f>
        <v/>
      </c>
      <c r="L2669" s="47" t="str">
        <f aca="false">IFERROR(MATCH(ROW()-4,ポート振替表!$V$5:$V$3507,0),"")</f>
        <v/>
      </c>
    </row>
    <row r="2670" customFormat="false" ht="16.4" hidden="false" customHeight="false" outlineLevel="0" collapsed="false">
      <c r="A2670" s="32" t="str">
        <f aca="false">IF(L2670="","",ROW()-4)</f>
        <v/>
      </c>
      <c r="B2670" s="58" t="str">
        <f aca="false">IF(L2670="","",IF(INDEX(ポート振替表!$W$5:$W$3507,$L2670)="","(なし)",INDEX(ポート振替表!$W$5:$W$3507,$L2670)&amp;""))</f>
        <v/>
      </c>
      <c r="C2670" s="52" t="str">
        <f aca="false">IF(L2670="","",INDEX(ポート振替表!$B$5:$B$3507,$L2670)&amp;" "&amp;INDEX(ポート振替表!$C$5:$C$3507,$L2670)&amp;"  ⇔  "&amp;INDEX(ポート振替表!$H$5:$H$3507,$L2670)&amp;" "&amp;INDEX(ポート振替表!$I$5:$I$3507,$L2670))</f>
        <v/>
      </c>
      <c r="D2670" s="57" t="s">
        <v>158</v>
      </c>
      <c r="E2670" s="59" t="str">
        <f aca="false">IF(L2670="","",IF(INDEX(ポート振替表!$O$5:$O$3507,$L2670)="","(未設定)",INDEX(ポート振替表!$O$5:$O$3507,$L2670)&amp;""))</f>
        <v/>
      </c>
      <c r="F2670" s="52" t="str">
        <f aca="false">IF(L2670="","",INDEX(ポート振替表!$K$5:$K$3507,$L2670)&amp;" "&amp;INDEX(ポート振替表!$L$5:$L$3507,$L2670)&amp;"  ⇔  "&amp;INDEX(ポート振替表!$H$5:$H$3507,$L2670)&amp;" "&amp;INDEX(ポート振替表!$I$5:$I$3507,$L2670))</f>
        <v/>
      </c>
      <c r="G2670" s="57" t="s">
        <v>158</v>
      </c>
      <c r="H2670" s="32" t="str">
        <f aca="false">IF(L2670="","",INDEX(ポート振替表!$N$5:$N$3507,$L2670)&amp;"")</f>
        <v/>
      </c>
      <c r="I2670" s="32" t="str">
        <f aca="false">IF(L2670="","",INDEX(ポート振替表!$P$5:$P$3507,$L2670)&amp;"")</f>
        <v/>
      </c>
      <c r="J2670" s="60" t="str">
        <f aca="false">IF(L2670="","",INDEX(ポート振替表!$M$5:$M$3507,$L2670)&amp;"")</f>
        <v/>
      </c>
      <c r="K2670" s="52" t="str">
        <f aca="false">IF(L2670="","",E2670&amp;CHAR(10)&amp;INDEX(ポート振替表!$K$5:$K$3507,$L2670)&amp;" "&amp;INDEX(ポート振替表!$L$5:$L$3507,$L2670)&amp;CHAR(10)&amp;"⇔ "&amp;INDEX(ポート振替表!$H$5:$H$3507,$L2670)&amp;" "&amp;INDEX(ポート振替表!$I$5:$I$3507,$L2670))</f>
        <v/>
      </c>
      <c r="L2670" s="47" t="str">
        <f aca="false">IFERROR(MATCH(ROW()-4,ポート振替表!$V$5:$V$3507,0),"")</f>
        <v/>
      </c>
    </row>
    <row r="2671" customFormat="false" ht="16.4" hidden="false" customHeight="false" outlineLevel="0" collapsed="false">
      <c r="A2671" s="32" t="str">
        <f aca="false">IF(L2671="","",ROW()-4)</f>
        <v/>
      </c>
      <c r="B2671" s="58" t="str">
        <f aca="false">IF(L2671="","",IF(INDEX(ポート振替表!$W$5:$W$3507,$L2671)="","(なし)",INDEX(ポート振替表!$W$5:$W$3507,$L2671)&amp;""))</f>
        <v/>
      </c>
      <c r="C2671" s="52" t="str">
        <f aca="false">IF(L2671="","",INDEX(ポート振替表!$B$5:$B$3507,$L2671)&amp;" "&amp;INDEX(ポート振替表!$C$5:$C$3507,$L2671)&amp;"  ⇔  "&amp;INDEX(ポート振替表!$H$5:$H$3507,$L2671)&amp;" "&amp;INDEX(ポート振替表!$I$5:$I$3507,$L2671))</f>
        <v/>
      </c>
      <c r="D2671" s="57" t="s">
        <v>158</v>
      </c>
      <c r="E2671" s="59" t="str">
        <f aca="false">IF(L2671="","",IF(INDEX(ポート振替表!$O$5:$O$3507,$L2671)="","(未設定)",INDEX(ポート振替表!$O$5:$O$3507,$L2671)&amp;""))</f>
        <v/>
      </c>
      <c r="F2671" s="52" t="str">
        <f aca="false">IF(L2671="","",INDEX(ポート振替表!$K$5:$K$3507,$L2671)&amp;" "&amp;INDEX(ポート振替表!$L$5:$L$3507,$L2671)&amp;"  ⇔  "&amp;INDEX(ポート振替表!$H$5:$H$3507,$L2671)&amp;" "&amp;INDEX(ポート振替表!$I$5:$I$3507,$L2671))</f>
        <v/>
      </c>
      <c r="G2671" s="57" t="s">
        <v>158</v>
      </c>
      <c r="H2671" s="32" t="str">
        <f aca="false">IF(L2671="","",INDEX(ポート振替表!$N$5:$N$3507,$L2671)&amp;"")</f>
        <v/>
      </c>
      <c r="I2671" s="32" t="str">
        <f aca="false">IF(L2671="","",INDEX(ポート振替表!$P$5:$P$3507,$L2671)&amp;"")</f>
        <v/>
      </c>
      <c r="J2671" s="60" t="str">
        <f aca="false">IF(L2671="","",INDEX(ポート振替表!$M$5:$M$3507,$L2671)&amp;"")</f>
        <v/>
      </c>
      <c r="K2671" s="52" t="str">
        <f aca="false">IF(L2671="","",E2671&amp;CHAR(10)&amp;INDEX(ポート振替表!$K$5:$K$3507,$L2671)&amp;" "&amp;INDEX(ポート振替表!$L$5:$L$3507,$L2671)&amp;CHAR(10)&amp;"⇔ "&amp;INDEX(ポート振替表!$H$5:$H$3507,$L2671)&amp;" "&amp;INDEX(ポート振替表!$I$5:$I$3507,$L2671))</f>
        <v/>
      </c>
      <c r="L2671" s="47" t="str">
        <f aca="false">IFERROR(MATCH(ROW()-4,ポート振替表!$V$5:$V$3507,0),"")</f>
        <v/>
      </c>
    </row>
    <row r="2672" customFormat="false" ht="16.4" hidden="false" customHeight="false" outlineLevel="0" collapsed="false">
      <c r="A2672" s="32" t="str">
        <f aca="false">IF(L2672="","",ROW()-4)</f>
        <v/>
      </c>
      <c r="B2672" s="58" t="str">
        <f aca="false">IF(L2672="","",IF(INDEX(ポート振替表!$W$5:$W$3507,$L2672)="","(なし)",INDEX(ポート振替表!$W$5:$W$3507,$L2672)&amp;""))</f>
        <v/>
      </c>
      <c r="C2672" s="52" t="str">
        <f aca="false">IF(L2672="","",INDEX(ポート振替表!$B$5:$B$3507,$L2672)&amp;" "&amp;INDEX(ポート振替表!$C$5:$C$3507,$L2672)&amp;"  ⇔  "&amp;INDEX(ポート振替表!$H$5:$H$3507,$L2672)&amp;" "&amp;INDEX(ポート振替表!$I$5:$I$3507,$L2672))</f>
        <v/>
      </c>
      <c r="D2672" s="57" t="s">
        <v>158</v>
      </c>
      <c r="E2672" s="59" t="str">
        <f aca="false">IF(L2672="","",IF(INDEX(ポート振替表!$O$5:$O$3507,$L2672)="","(未設定)",INDEX(ポート振替表!$O$5:$O$3507,$L2672)&amp;""))</f>
        <v/>
      </c>
      <c r="F2672" s="52" t="str">
        <f aca="false">IF(L2672="","",INDEX(ポート振替表!$K$5:$K$3507,$L2672)&amp;" "&amp;INDEX(ポート振替表!$L$5:$L$3507,$L2672)&amp;"  ⇔  "&amp;INDEX(ポート振替表!$H$5:$H$3507,$L2672)&amp;" "&amp;INDEX(ポート振替表!$I$5:$I$3507,$L2672))</f>
        <v/>
      </c>
      <c r="G2672" s="57" t="s">
        <v>158</v>
      </c>
      <c r="H2672" s="32" t="str">
        <f aca="false">IF(L2672="","",INDEX(ポート振替表!$N$5:$N$3507,$L2672)&amp;"")</f>
        <v/>
      </c>
      <c r="I2672" s="32" t="str">
        <f aca="false">IF(L2672="","",INDEX(ポート振替表!$P$5:$P$3507,$L2672)&amp;"")</f>
        <v/>
      </c>
      <c r="J2672" s="60" t="str">
        <f aca="false">IF(L2672="","",INDEX(ポート振替表!$M$5:$M$3507,$L2672)&amp;"")</f>
        <v/>
      </c>
      <c r="K2672" s="52" t="str">
        <f aca="false">IF(L2672="","",E2672&amp;CHAR(10)&amp;INDEX(ポート振替表!$K$5:$K$3507,$L2672)&amp;" "&amp;INDEX(ポート振替表!$L$5:$L$3507,$L2672)&amp;CHAR(10)&amp;"⇔ "&amp;INDEX(ポート振替表!$H$5:$H$3507,$L2672)&amp;" "&amp;INDEX(ポート振替表!$I$5:$I$3507,$L2672))</f>
        <v/>
      </c>
      <c r="L2672" s="47" t="str">
        <f aca="false">IFERROR(MATCH(ROW()-4,ポート振替表!$V$5:$V$3507,0),"")</f>
        <v/>
      </c>
    </row>
    <row r="2673" customFormat="false" ht="16.4" hidden="false" customHeight="false" outlineLevel="0" collapsed="false">
      <c r="A2673" s="32" t="str">
        <f aca="false">IF(L2673="","",ROW()-4)</f>
        <v/>
      </c>
      <c r="B2673" s="58" t="str">
        <f aca="false">IF(L2673="","",IF(INDEX(ポート振替表!$W$5:$W$3507,$L2673)="","(なし)",INDEX(ポート振替表!$W$5:$W$3507,$L2673)&amp;""))</f>
        <v/>
      </c>
      <c r="C2673" s="52" t="str">
        <f aca="false">IF(L2673="","",INDEX(ポート振替表!$B$5:$B$3507,$L2673)&amp;" "&amp;INDEX(ポート振替表!$C$5:$C$3507,$L2673)&amp;"  ⇔  "&amp;INDEX(ポート振替表!$H$5:$H$3507,$L2673)&amp;" "&amp;INDEX(ポート振替表!$I$5:$I$3507,$L2673))</f>
        <v/>
      </c>
      <c r="D2673" s="57" t="s">
        <v>158</v>
      </c>
      <c r="E2673" s="59" t="str">
        <f aca="false">IF(L2673="","",IF(INDEX(ポート振替表!$O$5:$O$3507,$L2673)="","(未設定)",INDEX(ポート振替表!$O$5:$O$3507,$L2673)&amp;""))</f>
        <v/>
      </c>
      <c r="F2673" s="52" t="str">
        <f aca="false">IF(L2673="","",INDEX(ポート振替表!$K$5:$K$3507,$L2673)&amp;" "&amp;INDEX(ポート振替表!$L$5:$L$3507,$L2673)&amp;"  ⇔  "&amp;INDEX(ポート振替表!$H$5:$H$3507,$L2673)&amp;" "&amp;INDEX(ポート振替表!$I$5:$I$3507,$L2673))</f>
        <v/>
      </c>
      <c r="G2673" s="57" t="s">
        <v>158</v>
      </c>
      <c r="H2673" s="32" t="str">
        <f aca="false">IF(L2673="","",INDEX(ポート振替表!$N$5:$N$3507,$L2673)&amp;"")</f>
        <v/>
      </c>
      <c r="I2673" s="32" t="str">
        <f aca="false">IF(L2673="","",INDEX(ポート振替表!$P$5:$P$3507,$L2673)&amp;"")</f>
        <v/>
      </c>
      <c r="J2673" s="60" t="str">
        <f aca="false">IF(L2673="","",INDEX(ポート振替表!$M$5:$M$3507,$L2673)&amp;"")</f>
        <v/>
      </c>
      <c r="K2673" s="52" t="str">
        <f aca="false">IF(L2673="","",E2673&amp;CHAR(10)&amp;INDEX(ポート振替表!$K$5:$K$3507,$L2673)&amp;" "&amp;INDEX(ポート振替表!$L$5:$L$3507,$L2673)&amp;CHAR(10)&amp;"⇔ "&amp;INDEX(ポート振替表!$H$5:$H$3507,$L2673)&amp;" "&amp;INDEX(ポート振替表!$I$5:$I$3507,$L2673))</f>
        <v/>
      </c>
      <c r="L2673" s="47" t="str">
        <f aca="false">IFERROR(MATCH(ROW()-4,ポート振替表!$V$5:$V$3507,0),"")</f>
        <v/>
      </c>
    </row>
    <row r="2674" customFormat="false" ht="16.4" hidden="false" customHeight="false" outlineLevel="0" collapsed="false">
      <c r="A2674" s="32" t="str">
        <f aca="false">IF(L2674="","",ROW()-4)</f>
        <v/>
      </c>
      <c r="B2674" s="58" t="str">
        <f aca="false">IF(L2674="","",IF(INDEX(ポート振替表!$W$5:$W$3507,$L2674)="","(なし)",INDEX(ポート振替表!$W$5:$W$3507,$L2674)&amp;""))</f>
        <v/>
      </c>
      <c r="C2674" s="52" t="str">
        <f aca="false">IF(L2674="","",INDEX(ポート振替表!$B$5:$B$3507,$L2674)&amp;" "&amp;INDEX(ポート振替表!$C$5:$C$3507,$L2674)&amp;"  ⇔  "&amp;INDEX(ポート振替表!$H$5:$H$3507,$L2674)&amp;" "&amp;INDEX(ポート振替表!$I$5:$I$3507,$L2674))</f>
        <v/>
      </c>
      <c r="D2674" s="57" t="s">
        <v>158</v>
      </c>
      <c r="E2674" s="59" t="str">
        <f aca="false">IF(L2674="","",IF(INDEX(ポート振替表!$O$5:$O$3507,$L2674)="","(未設定)",INDEX(ポート振替表!$O$5:$O$3507,$L2674)&amp;""))</f>
        <v/>
      </c>
      <c r="F2674" s="52" t="str">
        <f aca="false">IF(L2674="","",INDEX(ポート振替表!$K$5:$K$3507,$L2674)&amp;" "&amp;INDEX(ポート振替表!$L$5:$L$3507,$L2674)&amp;"  ⇔  "&amp;INDEX(ポート振替表!$H$5:$H$3507,$L2674)&amp;" "&amp;INDEX(ポート振替表!$I$5:$I$3507,$L2674))</f>
        <v/>
      </c>
      <c r="G2674" s="57" t="s">
        <v>158</v>
      </c>
      <c r="H2674" s="32" t="str">
        <f aca="false">IF(L2674="","",INDEX(ポート振替表!$N$5:$N$3507,$L2674)&amp;"")</f>
        <v/>
      </c>
      <c r="I2674" s="32" t="str">
        <f aca="false">IF(L2674="","",INDEX(ポート振替表!$P$5:$P$3507,$L2674)&amp;"")</f>
        <v/>
      </c>
      <c r="J2674" s="60" t="str">
        <f aca="false">IF(L2674="","",INDEX(ポート振替表!$M$5:$M$3507,$L2674)&amp;"")</f>
        <v/>
      </c>
      <c r="K2674" s="52" t="str">
        <f aca="false">IF(L2674="","",E2674&amp;CHAR(10)&amp;INDEX(ポート振替表!$K$5:$K$3507,$L2674)&amp;" "&amp;INDEX(ポート振替表!$L$5:$L$3507,$L2674)&amp;CHAR(10)&amp;"⇔ "&amp;INDEX(ポート振替表!$H$5:$H$3507,$L2674)&amp;" "&amp;INDEX(ポート振替表!$I$5:$I$3507,$L2674))</f>
        <v/>
      </c>
      <c r="L2674" s="47" t="str">
        <f aca="false">IFERROR(MATCH(ROW()-4,ポート振替表!$V$5:$V$3507,0),"")</f>
        <v/>
      </c>
    </row>
    <row r="2675" customFormat="false" ht="16.4" hidden="false" customHeight="false" outlineLevel="0" collapsed="false">
      <c r="A2675" s="32" t="str">
        <f aca="false">IF(L2675="","",ROW()-4)</f>
        <v/>
      </c>
      <c r="B2675" s="58" t="str">
        <f aca="false">IF(L2675="","",IF(INDEX(ポート振替表!$W$5:$W$3507,$L2675)="","(なし)",INDEX(ポート振替表!$W$5:$W$3507,$L2675)&amp;""))</f>
        <v/>
      </c>
      <c r="C2675" s="52" t="str">
        <f aca="false">IF(L2675="","",INDEX(ポート振替表!$B$5:$B$3507,$L2675)&amp;" "&amp;INDEX(ポート振替表!$C$5:$C$3507,$L2675)&amp;"  ⇔  "&amp;INDEX(ポート振替表!$H$5:$H$3507,$L2675)&amp;" "&amp;INDEX(ポート振替表!$I$5:$I$3507,$L2675))</f>
        <v/>
      </c>
      <c r="D2675" s="57" t="s">
        <v>158</v>
      </c>
      <c r="E2675" s="59" t="str">
        <f aca="false">IF(L2675="","",IF(INDEX(ポート振替表!$O$5:$O$3507,$L2675)="","(未設定)",INDEX(ポート振替表!$O$5:$O$3507,$L2675)&amp;""))</f>
        <v/>
      </c>
      <c r="F2675" s="52" t="str">
        <f aca="false">IF(L2675="","",INDEX(ポート振替表!$K$5:$K$3507,$L2675)&amp;" "&amp;INDEX(ポート振替表!$L$5:$L$3507,$L2675)&amp;"  ⇔  "&amp;INDEX(ポート振替表!$H$5:$H$3507,$L2675)&amp;" "&amp;INDEX(ポート振替表!$I$5:$I$3507,$L2675))</f>
        <v/>
      </c>
      <c r="G2675" s="57" t="s">
        <v>158</v>
      </c>
      <c r="H2675" s="32" t="str">
        <f aca="false">IF(L2675="","",INDEX(ポート振替表!$N$5:$N$3507,$L2675)&amp;"")</f>
        <v/>
      </c>
      <c r="I2675" s="32" t="str">
        <f aca="false">IF(L2675="","",INDEX(ポート振替表!$P$5:$P$3507,$L2675)&amp;"")</f>
        <v/>
      </c>
      <c r="J2675" s="60" t="str">
        <f aca="false">IF(L2675="","",INDEX(ポート振替表!$M$5:$M$3507,$L2675)&amp;"")</f>
        <v/>
      </c>
      <c r="K2675" s="52" t="str">
        <f aca="false">IF(L2675="","",E2675&amp;CHAR(10)&amp;INDEX(ポート振替表!$K$5:$K$3507,$L2675)&amp;" "&amp;INDEX(ポート振替表!$L$5:$L$3507,$L2675)&amp;CHAR(10)&amp;"⇔ "&amp;INDEX(ポート振替表!$H$5:$H$3507,$L2675)&amp;" "&amp;INDEX(ポート振替表!$I$5:$I$3507,$L2675))</f>
        <v/>
      </c>
      <c r="L2675" s="47" t="str">
        <f aca="false">IFERROR(MATCH(ROW()-4,ポート振替表!$V$5:$V$3507,0),"")</f>
        <v/>
      </c>
    </row>
    <row r="2676" customFormat="false" ht="16.4" hidden="false" customHeight="false" outlineLevel="0" collapsed="false">
      <c r="A2676" s="32" t="str">
        <f aca="false">IF(L2676="","",ROW()-4)</f>
        <v/>
      </c>
      <c r="B2676" s="58" t="str">
        <f aca="false">IF(L2676="","",IF(INDEX(ポート振替表!$W$5:$W$3507,$L2676)="","(なし)",INDEX(ポート振替表!$W$5:$W$3507,$L2676)&amp;""))</f>
        <v/>
      </c>
      <c r="C2676" s="52" t="str">
        <f aca="false">IF(L2676="","",INDEX(ポート振替表!$B$5:$B$3507,$L2676)&amp;" "&amp;INDEX(ポート振替表!$C$5:$C$3507,$L2676)&amp;"  ⇔  "&amp;INDEX(ポート振替表!$H$5:$H$3507,$L2676)&amp;" "&amp;INDEX(ポート振替表!$I$5:$I$3507,$L2676))</f>
        <v/>
      </c>
      <c r="D2676" s="57" t="s">
        <v>158</v>
      </c>
      <c r="E2676" s="59" t="str">
        <f aca="false">IF(L2676="","",IF(INDEX(ポート振替表!$O$5:$O$3507,$L2676)="","(未設定)",INDEX(ポート振替表!$O$5:$O$3507,$L2676)&amp;""))</f>
        <v/>
      </c>
      <c r="F2676" s="52" t="str">
        <f aca="false">IF(L2676="","",INDEX(ポート振替表!$K$5:$K$3507,$L2676)&amp;" "&amp;INDEX(ポート振替表!$L$5:$L$3507,$L2676)&amp;"  ⇔  "&amp;INDEX(ポート振替表!$H$5:$H$3507,$L2676)&amp;" "&amp;INDEX(ポート振替表!$I$5:$I$3507,$L2676))</f>
        <v/>
      </c>
      <c r="G2676" s="57" t="s">
        <v>158</v>
      </c>
      <c r="H2676" s="32" t="str">
        <f aca="false">IF(L2676="","",INDEX(ポート振替表!$N$5:$N$3507,$L2676)&amp;"")</f>
        <v/>
      </c>
      <c r="I2676" s="32" t="str">
        <f aca="false">IF(L2676="","",INDEX(ポート振替表!$P$5:$P$3507,$L2676)&amp;"")</f>
        <v/>
      </c>
      <c r="J2676" s="60" t="str">
        <f aca="false">IF(L2676="","",INDEX(ポート振替表!$M$5:$M$3507,$L2676)&amp;"")</f>
        <v/>
      </c>
      <c r="K2676" s="52" t="str">
        <f aca="false">IF(L2676="","",E2676&amp;CHAR(10)&amp;INDEX(ポート振替表!$K$5:$K$3507,$L2676)&amp;" "&amp;INDEX(ポート振替表!$L$5:$L$3507,$L2676)&amp;CHAR(10)&amp;"⇔ "&amp;INDEX(ポート振替表!$H$5:$H$3507,$L2676)&amp;" "&amp;INDEX(ポート振替表!$I$5:$I$3507,$L2676))</f>
        <v/>
      </c>
      <c r="L2676" s="47" t="str">
        <f aca="false">IFERROR(MATCH(ROW()-4,ポート振替表!$V$5:$V$3507,0),"")</f>
        <v/>
      </c>
    </row>
    <row r="2677" customFormat="false" ht="16.4" hidden="false" customHeight="false" outlineLevel="0" collapsed="false">
      <c r="A2677" s="32" t="str">
        <f aca="false">IF(L2677="","",ROW()-4)</f>
        <v/>
      </c>
      <c r="B2677" s="58" t="str">
        <f aca="false">IF(L2677="","",IF(INDEX(ポート振替表!$W$5:$W$3507,$L2677)="","(なし)",INDEX(ポート振替表!$W$5:$W$3507,$L2677)&amp;""))</f>
        <v/>
      </c>
      <c r="C2677" s="52" t="str">
        <f aca="false">IF(L2677="","",INDEX(ポート振替表!$B$5:$B$3507,$L2677)&amp;" "&amp;INDEX(ポート振替表!$C$5:$C$3507,$L2677)&amp;"  ⇔  "&amp;INDEX(ポート振替表!$H$5:$H$3507,$L2677)&amp;" "&amp;INDEX(ポート振替表!$I$5:$I$3507,$L2677))</f>
        <v/>
      </c>
      <c r="D2677" s="57" t="s">
        <v>158</v>
      </c>
      <c r="E2677" s="59" t="str">
        <f aca="false">IF(L2677="","",IF(INDEX(ポート振替表!$O$5:$O$3507,$L2677)="","(未設定)",INDEX(ポート振替表!$O$5:$O$3507,$L2677)&amp;""))</f>
        <v/>
      </c>
      <c r="F2677" s="52" t="str">
        <f aca="false">IF(L2677="","",INDEX(ポート振替表!$K$5:$K$3507,$L2677)&amp;" "&amp;INDEX(ポート振替表!$L$5:$L$3507,$L2677)&amp;"  ⇔  "&amp;INDEX(ポート振替表!$H$5:$H$3507,$L2677)&amp;" "&amp;INDEX(ポート振替表!$I$5:$I$3507,$L2677))</f>
        <v/>
      </c>
      <c r="G2677" s="57" t="s">
        <v>158</v>
      </c>
      <c r="H2677" s="32" t="str">
        <f aca="false">IF(L2677="","",INDEX(ポート振替表!$N$5:$N$3507,$L2677)&amp;"")</f>
        <v/>
      </c>
      <c r="I2677" s="32" t="str">
        <f aca="false">IF(L2677="","",INDEX(ポート振替表!$P$5:$P$3507,$L2677)&amp;"")</f>
        <v/>
      </c>
      <c r="J2677" s="60" t="str">
        <f aca="false">IF(L2677="","",INDEX(ポート振替表!$M$5:$M$3507,$L2677)&amp;"")</f>
        <v/>
      </c>
      <c r="K2677" s="52" t="str">
        <f aca="false">IF(L2677="","",E2677&amp;CHAR(10)&amp;INDEX(ポート振替表!$K$5:$K$3507,$L2677)&amp;" "&amp;INDEX(ポート振替表!$L$5:$L$3507,$L2677)&amp;CHAR(10)&amp;"⇔ "&amp;INDEX(ポート振替表!$H$5:$H$3507,$L2677)&amp;" "&amp;INDEX(ポート振替表!$I$5:$I$3507,$L2677))</f>
        <v/>
      </c>
      <c r="L2677" s="47" t="str">
        <f aca="false">IFERROR(MATCH(ROW()-4,ポート振替表!$V$5:$V$3507,0),"")</f>
        <v/>
      </c>
    </row>
    <row r="2678" customFormat="false" ht="16.4" hidden="false" customHeight="false" outlineLevel="0" collapsed="false">
      <c r="A2678" s="32" t="str">
        <f aca="false">IF(L2678="","",ROW()-4)</f>
        <v/>
      </c>
      <c r="B2678" s="58" t="str">
        <f aca="false">IF(L2678="","",IF(INDEX(ポート振替表!$W$5:$W$3507,$L2678)="","(なし)",INDEX(ポート振替表!$W$5:$W$3507,$L2678)&amp;""))</f>
        <v/>
      </c>
      <c r="C2678" s="52" t="str">
        <f aca="false">IF(L2678="","",INDEX(ポート振替表!$B$5:$B$3507,$L2678)&amp;" "&amp;INDEX(ポート振替表!$C$5:$C$3507,$L2678)&amp;"  ⇔  "&amp;INDEX(ポート振替表!$H$5:$H$3507,$L2678)&amp;" "&amp;INDEX(ポート振替表!$I$5:$I$3507,$L2678))</f>
        <v/>
      </c>
      <c r="D2678" s="57" t="s">
        <v>158</v>
      </c>
      <c r="E2678" s="59" t="str">
        <f aca="false">IF(L2678="","",IF(INDEX(ポート振替表!$O$5:$O$3507,$L2678)="","(未設定)",INDEX(ポート振替表!$O$5:$O$3507,$L2678)&amp;""))</f>
        <v/>
      </c>
      <c r="F2678" s="52" t="str">
        <f aca="false">IF(L2678="","",INDEX(ポート振替表!$K$5:$K$3507,$L2678)&amp;" "&amp;INDEX(ポート振替表!$L$5:$L$3507,$L2678)&amp;"  ⇔  "&amp;INDEX(ポート振替表!$H$5:$H$3507,$L2678)&amp;" "&amp;INDEX(ポート振替表!$I$5:$I$3507,$L2678))</f>
        <v/>
      </c>
      <c r="G2678" s="57" t="s">
        <v>158</v>
      </c>
      <c r="H2678" s="32" t="str">
        <f aca="false">IF(L2678="","",INDEX(ポート振替表!$N$5:$N$3507,$L2678)&amp;"")</f>
        <v/>
      </c>
      <c r="I2678" s="32" t="str">
        <f aca="false">IF(L2678="","",INDEX(ポート振替表!$P$5:$P$3507,$L2678)&amp;"")</f>
        <v/>
      </c>
      <c r="J2678" s="60" t="str">
        <f aca="false">IF(L2678="","",INDEX(ポート振替表!$M$5:$M$3507,$L2678)&amp;"")</f>
        <v/>
      </c>
      <c r="K2678" s="52" t="str">
        <f aca="false">IF(L2678="","",E2678&amp;CHAR(10)&amp;INDEX(ポート振替表!$K$5:$K$3507,$L2678)&amp;" "&amp;INDEX(ポート振替表!$L$5:$L$3507,$L2678)&amp;CHAR(10)&amp;"⇔ "&amp;INDEX(ポート振替表!$H$5:$H$3507,$L2678)&amp;" "&amp;INDEX(ポート振替表!$I$5:$I$3507,$L2678))</f>
        <v/>
      </c>
      <c r="L2678" s="47" t="str">
        <f aca="false">IFERROR(MATCH(ROW()-4,ポート振替表!$V$5:$V$3507,0),"")</f>
        <v/>
      </c>
    </row>
    <row r="2679" customFormat="false" ht="16.4" hidden="false" customHeight="false" outlineLevel="0" collapsed="false">
      <c r="A2679" s="32" t="str">
        <f aca="false">IF(L2679="","",ROW()-4)</f>
        <v/>
      </c>
      <c r="B2679" s="58" t="str">
        <f aca="false">IF(L2679="","",IF(INDEX(ポート振替表!$W$5:$W$3507,$L2679)="","(なし)",INDEX(ポート振替表!$W$5:$W$3507,$L2679)&amp;""))</f>
        <v/>
      </c>
      <c r="C2679" s="52" t="str">
        <f aca="false">IF(L2679="","",INDEX(ポート振替表!$B$5:$B$3507,$L2679)&amp;" "&amp;INDEX(ポート振替表!$C$5:$C$3507,$L2679)&amp;"  ⇔  "&amp;INDEX(ポート振替表!$H$5:$H$3507,$L2679)&amp;" "&amp;INDEX(ポート振替表!$I$5:$I$3507,$L2679))</f>
        <v/>
      </c>
      <c r="D2679" s="57" t="s">
        <v>158</v>
      </c>
      <c r="E2679" s="59" t="str">
        <f aca="false">IF(L2679="","",IF(INDEX(ポート振替表!$O$5:$O$3507,$L2679)="","(未設定)",INDEX(ポート振替表!$O$5:$O$3507,$L2679)&amp;""))</f>
        <v/>
      </c>
      <c r="F2679" s="52" t="str">
        <f aca="false">IF(L2679="","",INDEX(ポート振替表!$K$5:$K$3507,$L2679)&amp;" "&amp;INDEX(ポート振替表!$L$5:$L$3507,$L2679)&amp;"  ⇔  "&amp;INDEX(ポート振替表!$H$5:$H$3507,$L2679)&amp;" "&amp;INDEX(ポート振替表!$I$5:$I$3507,$L2679))</f>
        <v/>
      </c>
      <c r="G2679" s="57" t="s">
        <v>158</v>
      </c>
      <c r="H2679" s="32" t="str">
        <f aca="false">IF(L2679="","",INDEX(ポート振替表!$N$5:$N$3507,$L2679)&amp;"")</f>
        <v/>
      </c>
      <c r="I2679" s="32" t="str">
        <f aca="false">IF(L2679="","",INDEX(ポート振替表!$P$5:$P$3507,$L2679)&amp;"")</f>
        <v/>
      </c>
      <c r="J2679" s="60" t="str">
        <f aca="false">IF(L2679="","",INDEX(ポート振替表!$M$5:$M$3507,$L2679)&amp;"")</f>
        <v/>
      </c>
      <c r="K2679" s="52" t="str">
        <f aca="false">IF(L2679="","",E2679&amp;CHAR(10)&amp;INDEX(ポート振替表!$K$5:$K$3507,$L2679)&amp;" "&amp;INDEX(ポート振替表!$L$5:$L$3507,$L2679)&amp;CHAR(10)&amp;"⇔ "&amp;INDEX(ポート振替表!$H$5:$H$3507,$L2679)&amp;" "&amp;INDEX(ポート振替表!$I$5:$I$3507,$L2679))</f>
        <v/>
      </c>
      <c r="L2679" s="47" t="str">
        <f aca="false">IFERROR(MATCH(ROW()-4,ポート振替表!$V$5:$V$3507,0),"")</f>
        <v/>
      </c>
    </row>
    <row r="2680" customFormat="false" ht="16.4" hidden="false" customHeight="false" outlineLevel="0" collapsed="false">
      <c r="A2680" s="32" t="str">
        <f aca="false">IF(L2680="","",ROW()-4)</f>
        <v/>
      </c>
      <c r="B2680" s="58" t="str">
        <f aca="false">IF(L2680="","",IF(INDEX(ポート振替表!$W$5:$W$3507,$L2680)="","(なし)",INDEX(ポート振替表!$W$5:$W$3507,$L2680)&amp;""))</f>
        <v/>
      </c>
      <c r="C2680" s="52" t="str">
        <f aca="false">IF(L2680="","",INDEX(ポート振替表!$B$5:$B$3507,$L2680)&amp;" "&amp;INDEX(ポート振替表!$C$5:$C$3507,$L2680)&amp;"  ⇔  "&amp;INDEX(ポート振替表!$H$5:$H$3507,$L2680)&amp;" "&amp;INDEX(ポート振替表!$I$5:$I$3507,$L2680))</f>
        <v/>
      </c>
      <c r="D2680" s="57" t="s">
        <v>158</v>
      </c>
      <c r="E2680" s="59" t="str">
        <f aca="false">IF(L2680="","",IF(INDEX(ポート振替表!$O$5:$O$3507,$L2680)="","(未設定)",INDEX(ポート振替表!$O$5:$O$3507,$L2680)&amp;""))</f>
        <v/>
      </c>
      <c r="F2680" s="52" t="str">
        <f aca="false">IF(L2680="","",INDEX(ポート振替表!$K$5:$K$3507,$L2680)&amp;" "&amp;INDEX(ポート振替表!$L$5:$L$3507,$L2680)&amp;"  ⇔  "&amp;INDEX(ポート振替表!$H$5:$H$3507,$L2680)&amp;" "&amp;INDEX(ポート振替表!$I$5:$I$3507,$L2680))</f>
        <v/>
      </c>
      <c r="G2680" s="57" t="s">
        <v>158</v>
      </c>
      <c r="H2680" s="32" t="str">
        <f aca="false">IF(L2680="","",INDEX(ポート振替表!$N$5:$N$3507,$L2680)&amp;"")</f>
        <v/>
      </c>
      <c r="I2680" s="32" t="str">
        <f aca="false">IF(L2680="","",INDEX(ポート振替表!$P$5:$P$3507,$L2680)&amp;"")</f>
        <v/>
      </c>
      <c r="J2680" s="60" t="str">
        <f aca="false">IF(L2680="","",INDEX(ポート振替表!$M$5:$M$3507,$L2680)&amp;"")</f>
        <v/>
      </c>
      <c r="K2680" s="52" t="str">
        <f aca="false">IF(L2680="","",E2680&amp;CHAR(10)&amp;INDEX(ポート振替表!$K$5:$K$3507,$L2680)&amp;" "&amp;INDEX(ポート振替表!$L$5:$L$3507,$L2680)&amp;CHAR(10)&amp;"⇔ "&amp;INDEX(ポート振替表!$H$5:$H$3507,$L2680)&amp;" "&amp;INDEX(ポート振替表!$I$5:$I$3507,$L2680))</f>
        <v/>
      </c>
      <c r="L2680" s="47" t="str">
        <f aca="false">IFERROR(MATCH(ROW()-4,ポート振替表!$V$5:$V$3507,0),"")</f>
        <v/>
      </c>
    </row>
    <row r="2681" customFormat="false" ht="16.4" hidden="false" customHeight="false" outlineLevel="0" collapsed="false">
      <c r="A2681" s="32" t="str">
        <f aca="false">IF(L2681="","",ROW()-4)</f>
        <v/>
      </c>
      <c r="B2681" s="58" t="str">
        <f aca="false">IF(L2681="","",IF(INDEX(ポート振替表!$W$5:$W$3507,$L2681)="","(なし)",INDEX(ポート振替表!$W$5:$W$3507,$L2681)&amp;""))</f>
        <v/>
      </c>
      <c r="C2681" s="52" t="str">
        <f aca="false">IF(L2681="","",INDEX(ポート振替表!$B$5:$B$3507,$L2681)&amp;" "&amp;INDEX(ポート振替表!$C$5:$C$3507,$L2681)&amp;"  ⇔  "&amp;INDEX(ポート振替表!$H$5:$H$3507,$L2681)&amp;" "&amp;INDEX(ポート振替表!$I$5:$I$3507,$L2681))</f>
        <v/>
      </c>
      <c r="D2681" s="57" t="s">
        <v>158</v>
      </c>
      <c r="E2681" s="59" t="str">
        <f aca="false">IF(L2681="","",IF(INDEX(ポート振替表!$O$5:$O$3507,$L2681)="","(未設定)",INDEX(ポート振替表!$O$5:$O$3507,$L2681)&amp;""))</f>
        <v/>
      </c>
      <c r="F2681" s="52" t="str">
        <f aca="false">IF(L2681="","",INDEX(ポート振替表!$K$5:$K$3507,$L2681)&amp;" "&amp;INDEX(ポート振替表!$L$5:$L$3507,$L2681)&amp;"  ⇔  "&amp;INDEX(ポート振替表!$H$5:$H$3507,$L2681)&amp;" "&amp;INDEX(ポート振替表!$I$5:$I$3507,$L2681))</f>
        <v/>
      </c>
      <c r="G2681" s="57" t="s">
        <v>158</v>
      </c>
      <c r="H2681" s="32" t="str">
        <f aca="false">IF(L2681="","",INDEX(ポート振替表!$N$5:$N$3507,$L2681)&amp;"")</f>
        <v/>
      </c>
      <c r="I2681" s="32" t="str">
        <f aca="false">IF(L2681="","",INDEX(ポート振替表!$P$5:$P$3507,$L2681)&amp;"")</f>
        <v/>
      </c>
      <c r="J2681" s="60" t="str">
        <f aca="false">IF(L2681="","",INDEX(ポート振替表!$M$5:$M$3507,$L2681)&amp;"")</f>
        <v/>
      </c>
      <c r="K2681" s="52" t="str">
        <f aca="false">IF(L2681="","",E2681&amp;CHAR(10)&amp;INDEX(ポート振替表!$K$5:$K$3507,$L2681)&amp;" "&amp;INDEX(ポート振替表!$L$5:$L$3507,$L2681)&amp;CHAR(10)&amp;"⇔ "&amp;INDEX(ポート振替表!$H$5:$H$3507,$L2681)&amp;" "&amp;INDEX(ポート振替表!$I$5:$I$3507,$L2681))</f>
        <v/>
      </c>
      <c r="L2681" s="47" t="str">
        <f aca="false">IFERROR(MATCH(ROW()-4,ポート振替表!$V$5:$V$3507,0),"")</f>
        <v/>
      </c>
    </row>
    <row r="2682" customFormat="false" ht="16.4" hidden="false" customHeight="false" outlineLevel="0" collapsed="false">
      <c r="A2682" s="32" t="str">
        <f aca="false">IF(L2682="","",ROW()-4)</f>
        <v/>
      </c>
      <c r="B2682" s="58" t="str">
        <f aca="false">IF(L2682="","",IF(INDEX(ポート振替表!$W$5:$W$3507,$L2682)="","(なし)",INDEX(ポート振替表!$W$5:$W$3507,$L2682)&amp;""))</f>
        <v/>
      </c>
      <c r="C2682" s="52" t="str">
        <f aca="false">IF(L2682="","",INDEX(ポート振替表!$B$5:$B$3507,$L2682)&amp;" "&amp;INDEX(ポート振替表!$C$5:$C$3507,$L2682)&amp;"  ⇔  "&amp;INDEX(ポート振替表!$H$5:$H$3507,$L2682)&amp;" "&amp;INDEX(ポート振替表!$I$5:$I$3507,$L2682))</f>
        <v/>
      </c>
      <c r="D2682" s="57" t="s">
        <v>158</v>
      </c>
      <c r="E2682" s="59" t="str">
        <f aca="false">IF(L2682="","",IF(INDEX(ポート振替表!$O$5:$O$3507,$L2682)="","(未設定)",INDEX(ポート振替表!$O$5:$O$3507,$L2682)&amp;""))</f>
        <v/>
      </c>
      <c r="F2682" s="52" t="str">
        <f aca="false">IF(L2682="","",INDEX(ポート振替表!$K$5:$K$3507,$L2682)&amp;" "&amp;INDEX(ポート振替表!$L$5:$L$3507,$L2682)&amp;"  ⇔  "&amp;INDEX(ポート振替表!$H$5:$H$3507,$L2682)&amp;" "&amp;INDEX(ポート振替表!$I$5:$I$3507,$L2682))</f>
        <v/>
      </c>
      <c r="G2682" s="57" t="s">
        <v>158</v>
      </c>
      <c r="H2682" s="32" t="str">
        <f aca="false">IF(L2682="","",INDEX(ポート振替表!$N$5:$N$3507,$L2682)&amp;"")</f>
        <v/>
      </c>
      <c r="I2682" s="32" t="str">
        <f aca="false">IF(L2682="","",INDEX(ポート振替表!$P$5:$P$3507,$L2682)&amp;"")</f>
        <v/>
      </c>
      <c r="J2682" s="60" t="str">
        <f aca="false">IF(L2682="","",INDEX(ポート振替表!$M$5:$M$3507,$L2682)&amp;"")</f>
        <v/>
      </c>
      <c r="K2682" s="52" t="str">
        <f aca="false">IF(L2682="","",E2682&amp;CHAR(10)&amp;INDEX(ポート振替表!$K$5:$K$3507,$L2682)&amp;" "&amp;INDEX(ポート振替表!$L$5:$L$3507,$L2682)&amp;CHAR(10)&amp;"⇔ "&amp;INDEX(ポート振替表!$H$5:$H$3507,$L2682)&amp;" "&amp;INDEX(ポート振替表!$I$5:$I$3507,$L2682))</f>
        <v/>
      </c>
      <c r="L2682" s="47" t="str">
        <f aca="false">IFERROR(MATCH(ROW()-4,ポート振替表!$V$5:$V$3507,0),"")</f>
        <v/>
      </c>
    </row>
    <row r="2683" customFormat="false" ht="16.4" hidden="false" customHeight="false" outlineLevel="0" collapsed="false">
      <c r="A2683" s="32" t="str">
        <f aca="false">IF(L2683="","",ROW()-4)</f>
        <v/>
      </c>
      <c r="B2683" s="58" t="str">
        <f aca="false">IF(L2683="","",IF(INDEX(ポート振替表!$W$5:$W$3507,$L2683)="","(なし)",INDEX(ポート振替表!$W$5:$W$3507,$L2683)&amp;""))</f>
        <v/>
      </c>
      <c r="C2683" s="52" t="str">
        <f aca="false">IF(L2683="","",INDEX(ポート振替表!$B$5:$B$3507,$L2683)&amp;" "&amp;INDEX(ポート振替表!$C$5:$C$3507,$L2683)&amp;"  ⇔  "&amp;INDEX(ポート振替表!$H$5:$H$3507,$L2683)&amp;" "&amp;INDEX(ポート振替表!$I$5:$I$3507,$L2683))</f>
        <v/>
      </c>
      <c r="D2683" s="57" t="s">
        <v>158</v>
      </c>
      <c r="E2683" s="59" t="str">
        <f aca="false">IF(L2683="","",IF(INDEX(ポート振替表!$O$5:$O$3507,$L2683)="","(未設定)",INDEX(ポート振替表!$O$5:$O$3507,$L2683)&amp;""))</f>
        <v/>
      </c>
      <c r="F2683" s="52" t="str">
        <f aca="false">IF(L2683="","",INDEX(ポート振替表!$K$5:$K$3507,$L2683)&amp;" "&amp;INDEX(ポート振替表!$L$5:$L$3507,$L2683)&amp;"  ⇔  "&amp;INDEX(ポート振替表!$H$5:$H$3507,$L2683)&amp;" "&amp;INDEX(ポート振替表!$I$5:$I$3507,$L2683))</f>
        <v/>
      </c>
      <c r="G2683" s="57" t="s">
        <v>158</v>
      </c>
      <c r="H2683" s="32" t="str">
        <f aca="false">IF(L2683="","",INDEX(ポート振替表!$N$5:$N$3507,$L2683)&amp;"")</f>
        <v/>
      </c>
      <c r="I2683" s="32" t="str">
        <f aca="false">IF(L2683="","",INDEX(ポート振替表!$P$5:$P$3507,$L2683)&amp;"")</f>
        <v/>
      </c>
      <c r="J2683" s="60" t="str">
        <f aca="false">IF(L2683="","",INDEX(ポート振替表!$M$5:$M$3507,$L2683)&amp;"")</f>
        <v/>
      </c>
      <c r="K2683" s="52" t="str">
        <f aca="false">IF(L2683="","",E2683&amp;CHAR(10)&amp;INDEX(ポート振替表!$K$5:$K$3507,$L2683)&amp;" "&amp;INDEX(ポート振替表!$L$5:$L$3507,$L2683)&amp;CHAR(10)&amp;"⇔ "&amp;INDEX(ポート振替表!$H$5:$H$3507,$L2683)&amp;" "&amp;INDEX(ポート振替表!$I$5:$I$3507,$L2683))</f>
        <v/>
      </c>
      <c r="L2683" s="47" t="str">
        <f aca="false">IFERROR(MATCH(ROW()-4,ポート振替表!$V$5:$V$3507,0),"")</f>
        <v/>
      </c>
    </row>
    <row r="2684" customFormat="false" ht="16.4" hidden="false" customHeight="false" outlineLevel="0" collapsed="false">
      <c r="A2684" s="32" t="str">
        <f aca="false">IF(L2684="","",ROW()-4)</f>
        <v/>
      </c>
      <c r="B2684" s="58" t="str">
        <f aca="false">IF(L2684="","",IF(INDEX(ポート振替表!$W$5:$W$3507,$L2684)="","(なし)",INDEX(ポート振替表!$W$5:$W$3507,$L2684)&amp;""))</f>
        <v/>
      </c>
      <c r="C2684" s="52" t="str">
        <f aca="false">IF(L2684="","",INDEX(ポート振替表!$B$5:$B$3507,$L2684)&amp;" "&amp;INDEX(ポート振替表!$C$5:$C$3507,$L2684)&amp;"  ⇔  "&amp;INDEX(ポート振替表!$H$5:$H$3507,$L2684)&amp;" "&amp;INDEX(ポート振替表!$I$5:$I$3507,$L2684))</f>
        <v/>
      </c>
      <c r="D2684" s="57" t="s">
        <v>158</v>
      </c>
      <c r="E2684" s="59" t="str">
        <f aca="false">IF(L2684="","",IF(INDEX(ポート振替表!$O$5:$O$3507,$L2684)="","(未設定)",INDEX(ポート振替表!$O$5:$O$3507,$L2684)&amp;""))</f>
        <v/>
      </c>
      <c r="F2684" s="52" t="str">
        <f aca="false">IF(L2684="","",INDEX(ポート振替表!$K$5:$K$3507,$L2684)&amp;" "&amp;INDEX(ポート振替表!$L$5:$L$3507,$L2684)&amp;"  ⇔  "&amp;INDEX(ポート振替表!$H$5:$H$3507,$L2684)&amp;" "&amp;INDEX(ポート振替表!$I$5:$I$3507,$L2684))</f>
        <v/>
      </c>
      <c r="G2684" s="57" t="s">
        <v>158</v>
      </c>
      <c r="H2684" s="32" t="str">
        <f aca="false">IF(L2684="","",INDEX(ポート振替表!$N$5:$N$3507,$L2684)&amp;"")</f>
        <v/>
      </c>
      <c r="I2684" s="32" t="str">
        <f aca="false">IF(L2684="","",INDEX(ポート振替表!$P$5:$P$3507,$L2684)&amp;"")</f>
        <v/>
      </c>
      <c r="J2684" s="60" t="str">
        <f aca="false">IF(L2684="","",INDEX(ポート振替表!$M$5:$M$3507,$L2684)&amp;"")</f>
        <v/>
      </c>
      <c r="K2684" s="52" t="str">
        <f aca="false">IF(L2684="","",E2684&amp;CHAR(10)&amp;INDEX(ポート振替表!$K$5:$K$3507,$L2684)&amp;" "&amp;INDEX(ポート振替表!$L$5:$L$3507,$L2684)&amp;CHAR(10)&amp;"⇔ "&amp;INDEX(ポート振替表!$H$5:$H$3507,$L2684)&amp;" "&amp;INDEX(ポート振替表!$I$5:$I$3507,$L2684))</f>
        <v/>
      </c>
      <c r="L2684" s="47" t="str">
        <f aca="false">IFERROR(MATCH(ROW()-4,ポート振替表!$V$5:$V$3507,0),"")</f>
        <v/>
      </c>
    </row>
    <row r="2685" customFormat="false" ht="16.4" hidden="false" customHeight="false" outlineLevel="0" collapsed="false">
      <c r="A2685" s="32" t="str">
        <f aca="false">IF(L2685="","",ROW()-4)</f>
        <v/>
      </c>
      <c r="B2685" s="58" t="str">
        <f aca="false">IF(L2685="","",IF(INDEX(ポート振替表!$W$5:$W$3507,$L2685)="","(なし)",INDEX(ポート振替表!$W$5:$W$3507,$L2685)&amp;""))</f>
        <v/>
      </c>
      <c r="C2685" s="52" t="str">
        <f aca="false">IF(L2685="","",INDEX(ポート振替表!$B$5:$B$3507,$L2685)&amp;" "&amp;INDEX(ポート振替表!$C$5:$C$3507,$L2685)&amp;"  ⇔  "&amp;INDEX(ポート振替表!$H$5:$H$3507,$L2685)&amp;" "&amp;INDEX(ポート振替表!$I$5:$I$3507,$L2685))</f>
        <v/>
      </c>
      <c r="D2685" s="57" t="s">
        <v>158</v>
      </c>
      <c r="E2685" s="59" t="str">
        <f aca="false">IF(L2685="","",IF(INDEX(ポート振替表!$O$5:$O$3507,$L2685)="","(未設定)",INDEX(ポート振替表!$O$5:$O$3507,$L2685)&amp;""))</f>
        <v/>
      </c>
      <c r="F2685" s="52" t="str">
        <f aca="false">IF(L2685="","",INDEX(ポート振替表!$K$5:$K$3507,$L2685)&amp;" "&amp;INDEX(ポート振替表!$L$5:$L$3507,$L2685)&amp;"  ⇔  "&amp;INDEX(ポート振替表!$H$5:$H$3507,$L2685)&amp;" "&amp;INDEX(ポート振替表!$I$5:$I$3507,$L2685))</f>
        <v/>
      </c>
      <c r="G2685" s="57" t="s">
        <v>158</v>
      </c>
      <c r="H2685" s="32" t="str">
        <f aca="false">IF(L2685="","",INDEX(ポート振替表!$N$5:$N$3507,$L2685)&amp;"")</f>
        <v/>
      </c>
      <c r="I2685" s="32" t="str">
        <f aca="false">IF(L2685="","",INDEX(ポート振替表!$P$5:$P$3507,$L2685)&amp;"")</f>
        <v/>
      </c>
      <c r="J2685" s="60" t="str">
        <f aca="false">IF(L2685="","",INDEX(ポート振替表!$M$5:$M$3507,$L2685)&amp;"")</f>
        <v/>
      </c>
      <c r="K2685" s="52" t="str">
        <f aca="false">IF(L2685="","",E2685&amp;CHAR(10)&amp;INDEX(ポート振替表!$K$5:$K$3507,$L2685)&amp;" "&amp;INDEX(ポート振替表!$L$5:$L$3507,$L2685)&amp;CHAR(10)&amp;"⇔ "&amp;INDEX(ポート振替表!$H$5:$H$3507,$L2685)&amp;" "&amp;INDEX(ポート振替表!$I$5:$I$3507,$L2685))</f>
        <v/>
      </c>
      <c r="L2685" s="47" t="str">
        <f aca="false">IFERROR(MATCH(ROW()-4,ポート振替表!$V$5:$V$3507,0),"")</f>
        <v/>
      </c>
    </row>
    <row r="2686" customFormat="false" ht="16.4" hidden="false" customHeight="false" outlineLevel="0" collapsed="false">
      <c r="A2686" s="32" t="str">
        <f aca="false">IF(L2686="","",ROW()-4)</f>
        <v/>
      </c>
      <c r="B2686" s="58" t="str">
        <f aca="false">IF(L2686="","",IF(INDEX(ポート振替表!$W$5:$W$3507,$L2686)="","(なし)",INDEX(ポート振替表!$W$5:$W$3507,$L2686)&amp;""))</f>
        <v/>
      </c>
      <c r="C2686" s="52" t="str">
        <f aca="false">IF(L2686="","",INDEX(ポート振替表!$B$5:$B$3507,$L2686)&amp;" "&amp;INDEX(ポート振替表!$C$5:$C$3507,$L2686)&amp;"  ⇔  "&amp;INDEX(ポート振替表!$H$5:$H$3507,$L2686)&amp;" "&amp;INDEX(ポート振替表!$I$5:$I$3507,$L2686))</f>
        <v/>
      </c>
      <c r="D2686" s="57" t="s">
        <v>158</v>
      </c>
      <c r="E2686" s="59" t="str">
        <f aca="false">IF(L2686="","",IF(INDEX(ポート振替表!$O$5:$O$3507,$L2686)="","(未設定)",INDEX(ポート振替表!$O$5:$O$3507,$L2686)&amp;""))</f>
        <v/>
      </c>
      <c r="F2686" s="52" t="str">
        <f aca="false">IF(L2686="","",INDEX(ポート振替表!$K$5:$K$3507,$L2686)&amp;" "&amp;INDEX(ポート振替表!$L$5:$L$3507,$L2686)&amp;"  ⇔  "&amp;INDEX(ポート振替表!$H$5:$H$3507,$L2686)&amp;" "&amp;INDEX(ポート振替表!$I$5:$I$3507,$L2686))</f>
        <v/>
      </c>
      <c r="G2686" s="57" t="s">
        <v>158</v>
      </c>
      <c r="H2686" s="32" t="str">
        <f aca="false">IF(L2686="","",INDEX(ポート振替表!$N$5:$N$3507,$L2686)&amp;"")</f>
        <v/>
      </c>
      <c r="I2686" s="32" t="str">
        <f aca="false">IF(L2686="","",INDEX(ポート振替表!$P$5:$P$3507,$L2686)&amp;"")</f>
        <v/>
      </c>
      <c r="J2686" s="60" t="str">
        <f aca="false">IF(L2686="","",INDEX(ポート振替表!$M$5:$M$3507,$L2686)&amp;"")</f>
        <v/>
      </c>
      <c r="K2686" s="52" t="str">
        <f aca="false">IF(L2686="","",E2686&amp;CHAR(10)&amp;INDEX(ポート振替表!$K$5:$K$3507,$L2686)&amp;" "&amp;INDEX(ポート振替表!$L$5:$L$3507,$L2686)&amp;CHAR(10)&amp;"⇔ "&amp;INDEX(ポート振替表!$H$5:$H$3507,$L2686)&amp;" "&amp;INDEX(ポート振替表!$I$5:$I$3507,$L2686))</f>
        <v/>
      </c>
      <c r="L2686" s="47" t="str">
        <f aca="false">IFERROR(MATCH(ROW()-4,ポート振替表!$V$5:$V$3507,0),"")</f>
        <v/>
      </c>
    </row>
    <row r="2687" customFormat="false" ht="16.4" hidden="false" customHeight="false" outlineLevel="0" collapsed="false">
      <c r="A2687" s="32" t="str">
        <f aca="false">IF(L2687="","",ROW()-4)</f>
        <v/>
      </c>
      <c r="B2687" s="58" t="str">
        <f aca="false">IF(L2687="","",IF(INDEX(ポート振替表!$W$5:$W$3507,$L2687)="","(なし)",INDEX(ポート振替表!$W$5:$W$3507,$L2687)&amp;""))</f>
        <v/>
      </c>
      <c r="C2687" s="52" t="str">
        <f aca="false">IF(L2687="","",INDEX(ポート振替表!$B$5:$B$3507,$L2687)&amp;" "&amp;INDEX(ポート振替表!$C$5:$C$3507,$L2687)&amp;"  ⇔  "&amp;INDEX(ポート振替表!$H$5:$H$3507,$L2687)&amp;" "&amp;INDEX(ポート振替表!$I$5:$I$3507,$L2687))</f>
        <v/>
      </c>
      <c r="D2687" s="57" t="s">
        <v>158</v>
      </c>
      <c r="E2687" s="59" t="str">
        <f aca="false">IF(L2687="","",IF(INDEX(ポート振替表!$O$5:$O$3507,$L2687)="","(未設定)",INDEX(ポート振替表!$O$5:$O$3507,$L2687)&amp;""))</f>
        <v/>
      </c>
      <c r="F2687" s="52" t="str">
        <f aca="false">IF(L2687="","",INDEX(ポート振替表!$K$5:$K$3507,$L2687)&amp;" "&amp;INDEX(ポート振替表!$L$5:$L$3507,$L2687)&amp;"  ⇔  "&amp;INDEX(ポート振替表!$H$5:$H$3507,$L2687)&amp;" "&amp;INDEX(ポート振替表!$I$5:$I$3507,$L2687))</f>
        <v/>
      </c>
      <c r="G2687" s="57" t="s">
        <v>158</v>
      </c>
      <c r="H2687" s="32" t="str">
        <f aca="false">IF(L2687="","",INDEX(ポート振替表!$N$5:$N$3507,$L2687)&amp;"")</f>
        <v/>
      </c>
      <c r="I2687" s="32" t="str">
        <f aca="false">IF(L2687="","",INDEX(ポート振替表!$P$5:$P$3507,$L2687)&amp;"")</f>
        <v/>
      </c>
      <c r="J2687" s="60" t="str">
        <f aca="false">IF(L2687="","",INDEX(ポート振替表!$M$5:$M$3507,$L2687)&amp;"")</f>
        <v/>
      </c>
      <c r="K2687" s="52" t="str">
        <f aca="false">IF(L2687="","",E2687&amp;CHAR(10)&amp;INDEX(ポート振替表!$K$5:$K$3507,$L2687)&amp;" "&amp;INDEX(ポート振替表!$L$5:$L$3507,$L2687)&amp;CHAR(10)&amp;"⇔ "&amp;INDEX(ポート振替表!$H$5:$H$3507,$L2687)&amp;" "&amp;INDEX(ポート振替表!$I$5:$I$3507,$L2687))</f>
        <v/>
      </c>
      <c r="L2687" s="47" t="str">
        <f aca="false">IFERROR(MATCH(ROW()-4,ポート振替表!$V$5:$V$3507,0),"")</f>
        <v/>
      </c>
    </row>
    <row r="2688" customFormat="false" ht="16.4" hidden="false" customHeight="false" outlineLevel="0" collapsed="false">
      <c r="A2688" s="32" t="str">
        <f aca="false">IF(L2688="","",ROW()-4)</f>
        <v/>
      </c>
      <c r="B2688" s="58" t="str">
        <f aca="false">IF(L2688="","",IF(INDEX(ポート振替表!$W$5:$W$3507,$L2688)="","(なし)",INDEX(ポート振替表!$W$5:$W$3507,$L2688)&amp;""))</f>
        <v/>
      </c>
      <c r="C2688" s="52" t="str">
        <f aca="false">IF(L2688="","",INDEX(ポート振替表!$B$5:$B$3507,$L2688)&amp;" "&amp;INDEX(ポート振替表!$C$5:$C$3507,$L2688)&amp;"  ⇔  "&amp;INDEX(ポート振替表!$H$5:$H$3507,$L2688)&amp;" "&amp;INDEX(ポート振替表!$I$5:$I$3507,$L2688))</f>
        <v/>
      </c>
      <c r="D2688" s="57" t="s">
        <v>158</v>
      </c>
      <c r="E2688" s="59" t="str">
        <f aca="false">IF(L2688="","",IF(INDEX(ポート振替表!$O$5:$O$3507,$L2688)="","(未設定)",INDEX(ポート振替表!$O$5:$O$3507,$L2688)&amp;""))</f>
        <v/>
      </c>
      <c r="F2688" s="52" t="str">
        <f aca="false">IF(L2688="","",INDEX(ポート振替表!$K$5:$K$3507,$L2688)&amp;" "&amp;INDEX(ポート振替表!$L$5:$L$3507,$L2688)&amp;"  ⇔  "&amp;INDEX(ポート振替表!$H$5:$H$3507,$L2688)&amp;" "&amp;INDEX(ポート振替表!$I$5:$I$3507,$L2688))</f>
        <v/>
      </c>
      <c r="G2688" s="57" t="s">
        <v>158</v>
      </c>
      <c r="H2688" s="32" t="str">
        <f aca="false">IF(L2688="","",INDEX(ポート振替表!$N$5:$N$3507,$L2688)&amp;"")</f>
        <v/>
      </c>
      <c r="I2688" s="32" t="str">
        <f aca="false">IF(L2688="","",INDEX(ポート振替表!$P$5:$P$3507,$L2688)&amp;"")</f>
        <v/>
      </c>
      <c r="J2688" s="60" t="str">
        <f aca="false">IF(L2688="","",INDEX(ポート振替表!$M$5:$M$3507,$L2688)&amp;"")</f>
        <v/>
      </c>
      <c r="K2688" s="52" t="str">
        <f aca="false">IF(L2688="","",E2688&amp;CHAR(10)&amp;INDEX(ポート振替表!$K$5:$K$3507,$L2688)&amp;" "&amp;INDEX(ポート振替表!$L$5:$L$3507,$L2688)&amp;CHAR(10)&amp;"⇔ "&amp;INDEX(ポート振替表!$H$5:$H$3507,$L2688)&amp;" "&amp;INDEX(ポート振替表!$I$5:$I$3507,$L2688))</f>
        <v/>
      </c>
      <c r="L2688" s="47" t="str">
        <f aca="false">IFERROR(MATCH(ROW()-4,ポート振替表!$V$5:$V$3507,0),"")</f>
        <v/>
      </c>
    </row>
    <row r="2689" customFormat="false" ht="16.4" hidden="false" customHeight="false" outlineLevel="0" collapsed="false">
      <c r="A2689" s="32" t="str">
        <f aca="false">IF(L2689="","",ROW()-4)</f>
        <v/>
      </c>
      <c r="B2689" s="58" t="str">
        <f aca="false">IF(L2689="","",IF(INDEX(ポート振替表!$W$5:$W$3507,$L2689)="","(なし)",INDEX(ポート振替表!$W$5:$W$3507,$L2689)&amp;""))</f>
        <v/>
      </c>
      <c r="C2689" s="52" t="str">
        <f aca="false">IF(L2689="","",INDEX(ポート振替表!$B$5:$B$3507,$L2689)&amp;" "&amp;INDEX(ポート振替表!$C$5:$C$3507,$L2689)&amp;"  ⇔  "&amp;INDEX(ポート振替表!$H$5:$H$3507,$L2689)&amp;" "&amp;INDEX(ポート振替表!$I$5:$I$3507,$L2689))</f>
        <v/>
      </c>
      <c r="D2689" s="57" t="s">
        <v>158</v>
      </c>
      <c r="E2689" s="59" t="str">
        <f aca="false">IF(L2689="","",IF(INDEX(ポート振替表!$O$5:$O$3507,$L2689)="","(未設定)",INDEX(ポート振替表!$O$5:$O$3507,$L2689)&amp;""))</f>
        <v/>
      </c>
      <c r="F2689" s="52" t="str">
        <f aca="false">IF(L2689="","",INDEX(ポート振替表!$K$5:$K$3507,$L2689)&amp;" "&amp;INDEX(ポート振替表!$L$5:$L$3507,$L2689)&amp;"  ⇔  "&amp;INDEX(ポート振替表!$H$5:$H$3507,$L2689)&amp;" "&amp;INDEX(ポート振替表!$I$5:$I$3507,$L2689))</f>
        <v/>
      </c>
      <c r="G2689" s="57" t="s">
        <v>158</v>
      </c>
      <c r="H2689" s="32" t="str">
        <f aca="false">IF(L2689="","",INDEX(ポート振替表!$N$5:$N$3507,$L2689)&amp;"")</f>
        <v/>
      </c>
      <c r="I2689" s="32" t="str">
        <f aca="false">IF(L2689="","",INDEX(ポート振替表!$P$5:$P$3507,$L2689)&amp;"")</f>
        <v/>
      </c>
      <c r="J2689" s="60" t="str">
        <f aca="false">IF(L2689="","",INDEX(ポート振替表!$M$5:$M$3507,$L2689)&amp;"")</f>
        <v/>
      </c>
      <c r="K2689" s="52" t="str">
        <f aca="false">IF(L2689="","",E2689&amp;CHAR(10)&amp;INDEX(ポート振替表!$K$5:$K$3507,$L2689)&amp;" "&amp;INDEX(ポート振替表!$L$5:$L$3507,$L2689)&amp;CHAR(10)&amp;"⇔ "&amp;INDEX(ポート振替表!$H$5:$H$3507,$L2689)&amp;" "&amp;INDEX(ポート振替表!$I$5:$I$3507,$L2689))</f>
        <v/>
      </c>
      <c r="L2689" s="47" t="str">
        <f aca="false">IFERROR(MATCH(ROW()-4,ポート振替表!$V$5:$V$3507,0),"")</f>
        <v/>
      </c>
    </row>
    <row r="2690" customFormat="false" ht="16.4" hidden="false" customHeight="false" outlineLevel="0" collapsed="false">
      <c r="A2690" s="32" t="str">
        <f aca="false">IF(L2690="","",ROW()-4)</f>
        <v/>
      </c>
      <c r="B2690" s="58" t="str">
        <f aca="false">IF(L2690="","",IF(INDEX(ポート振替表!$W$5:$W$3507,$L2690)="","(なし)",INDEX(ポート振替表!$W$5:$W$3507,$L2690)&amp;""))</f>
        <v/>
      </c>
      <c r="C2690" s="52" t="str">
        <f aca="false">IF(L2690="","",INDEX(ポート振替表!$B$5:$B$3507,$L2690)&amp;" "&amp;INDEX(ポート振替表!$C$5:$C$3507,$L2690)&amp;"  ⇔  "&amp;INDEX(ポート振替表!$H$5:$H$3507,$L2690)&amp;" "&amp;INDEX(ポート振替表!$I$5:$I$3507,$L2690))</f>
        <v/>
      </c>
      <c r="D2690" s="57" t="s">
        <v>158</v>
      </c>
      <c r="E2690" s="59" t="str">
        <f aca="false">IF(L2690="","",IF(INDEX(ポート振替表!$O$5:$O$3507,$L2690)="","(未設定)",INDEX(ポート振替表!$O$5:$O$3507,$L2690)&amp;""))</f>
        <v/>
      </c>
      <c r="F2690" s="52" t="str">
        <f aca="false">IF(L2690="","",INDEX(ポート振替表!$K$5:$K$3507,$L2690)&amp;" "&amp;INDEX(ポート振替表!$L$5:$L$3507,$L2690)&amp;"  ⇔  "&amp;INDEX(ポート振替表!$H$5:$H$3507,$L2690)&amp;" "&amp;INDEX(ポート振替表!$I$5:$I$3507,$L2690))</f>
        <v/>
      </c>
      <c r="G2690" s="57" t="s">
        <v>158</v>
      </c>
      <c r="H2690" s="32" t="str">
        <f aca="false">IF(L2690="","",INDEX(ポート振替表!$N$5:$N$3507,$L2690)&amp;"")</f>
        <v/>
      </c>
      <c r="I2690" s="32" t="str">
        <f aca="false">IF(L2690="","",INDEX(ポート振替表!$P$5:$P$3507,$L2690)&amp;"")</f>
        <v/>
      </c>
      <c r="J2690" s="60" t="str">
        <f aca="false">IF(L2690="","",INDEX(ポート振替表!$M$5:$M$3507,$L2690)&amp;"")</f>
        <v/>
      </c>
      <c r="K2690" s="52" t="str">
        <f aca="false">IF(L2690="","",E2690&amp;CHAR(10)&amp;INDEX(ポート振替表!$K$5:$K$3507,$L2690)&amp;" "&amp;INDEX(ポート振替表!$L$5:$L$3507,$L2690)&amp;CHAR(10)&amp;"⇔ "&amp;INDEX(ポート振替表!$H$5:$H$3507,$L2690)&amp;" "&amp;INDEX(ポート振替表!$I$5:$I$3507,$L2690))</f>
        <v/>
      </c>
      <c r="L2690" s="47" t="str">
        <f aca="false">IFERROR(MATCH(ROW()-4,ポート振替表!$V$5:$V$3507,0),"")</f>
        <v/>
      </c>
    </row>
    <row r="2691" customFormat="false" ht="16.4" hidden="false" customHeight="false" outlineLevel="0" collapsed="false">
      <c r="A2691" s="32" t="str">
        <f aca="false">IF(L2691="","",ROW()-4)</f>
        <v/>
      </c>
      <c r="B2691" s="58" t="str">
        <f aca="false">IF(L2691="","",IF(INDEX(ポート振替表!$W$5:$W$3507,$L2691)="","(なし)",INDEX(ポート振替表!$W$5:$W$3507,$L2691)&amp;""))</f>
        <v/>
      </c>
      <c r="C2691" s="52" t="str">
        <f aca="false">IF(L2691="","",INDEX(ポート振替表!$B$5:$B$3507,$L2691)&amp;" "&amp;INDEX(ポート振替表!$C$5:$C$3507,$L2691)&amp;"  ⇔  "&amp;INDEX(ポート振替表!$H$5:$H$3507,$L2691)&amp;" "&amp;INDEX(ポート振替表!$I$5:$I$3507,$L2691))</f>
        <v/>
      </c>
      <c r="D2691" s="57" t="s">
        <v>158</v>
      </c>
      <c r="E2691" s="59" t="str">
        <f aca="false">IF(L2691="","",IF(INDEX(ポート振替表!$O$5:$O$3507,$L2691)="","(未設定)",INDEX(ポート振替表!$O$5:$O$3507,$L2691)&amp;""))</f>
        <v/>
      </c>
      <c r="F2691" s="52" t="str">
        <f aca="false">IF(L2691="","",INDEX(ポート振替表!$K$5:$K$3507,$L2691)&amp;" "&amp;INDEX(ポート振替表!$L$5:$L$3507,$L2691)&amp;"  ⇔  "&amp;INDEX(ポート振替表!$H$5:$H$3507,$L2691)&amp;" "&amp;INDEX(ポート振替表!$I$5:$I$3507,$L2691))</f>
        <v/>
      </c>
      <c r="G2691" s="57" t="s">
        <v>158</v>
      </c>
      <c r="H2691" s="32" t="str">
        <f aca="false">IF(L2691="","",INDEX(ポート振替表!$N$5:$N$3507,$L2691)&amp;"")</f>
        <v/>
      </c>
      <c r="I2691" s="32" t="str">
        <f aca="false">IF(L2691="","",INDEX(ポート振替表!$P$5:$P$3507,$L2691)&amp;"")</f>
        <v/>
      </c>
      <c r="J2691" s="60" t="str">
        <f aca="false">IF(L2691="","",INDEX(ポート振替表!$M$5:$M$3507,$L2691)&amp;"")</f>
        <v/>
      </c>
      <c r="K2691" s="52" t="str">
        <f aca="false">IF(L2691="","",E2691&amp;CHAR(10)&amp;INDEX(ポート振替表!$K$5:$K$3507,$L2691)&amp;" "&amp;INDEX(ポート振替表!$L$5:$L$3507,$L2691)&amp;CHAR(10)&amp;"⇔ "&amp;INDEX(ポート振替表!$H$5:$H$3507,$L2691)&amp;" "&amp;INDEX(ポート振替表!$I$5:$I$3507,$L2691))</f>
        <v/>
      </c>
      <c r="L2691" s="47" t="str">
        <f aca="false">IFERROR(MATCH(ROW()-4,ポート振替表!$V$5:$V$3507,0),"")</f>
        <v/>
      </c>
    </row>
    <row r="2692" customFormat="false" ht="16.4" hidden="false" customHeight="false" outlineLevel="0" collapsed="false">
      <c r="A2692" s="32" t="str">
        <f aca="false">IF(L2692="","",ROW()-4)</f>
        <v/>
      </c>
      <c r="B2692" s="58" t="str">
        <f aca="false">IF(L2692="","",IF(INDEX(ポート振替表!$W$5:$W$3507,$L2692)="","(なし)",INDEX(ポート振替表!$W$5:$W$3507,$L2692)&amp;""))</f>
        <v/>
      </c>
      <c r="C2692" s="52" t="str">
        <f aca="false">IF(L2692="","",INDEX(ポート振替表!$B$5:$B$3507,$L2692)&amp;" "&amp;INDEX(ポート振替表!$C$5:$C$3507,$L2692)&amp;"  ⇔  "&amp;INDEX(ポート振替表!$H$5:$H$3507,$L2692)&amp;" "&amp;INDEX(ポート振替表!$I$5:$I$3507,$L2692))</f>
        <v/>
      </c>
      <c r="D2692" s="57" t="s">
        <v>158</v>
      </c>
      <c r="E2692" s="59" t="str">
        <f aca="false">IF(L2692="","",IF(INDEX(ポート振替表!$O$5:$O$3507,$L2692)="","(未設定)",INDEX(ポート振替表!$O$5:$O$3507,$L2692)&amp;""))</f>
        <v/>
      </c>
      <c r="F2692" s="52" t="str">
        <f aca="false">IF(L2692="","",INDEX(ポート振替表!$K$5:$K$3507,$L2692)&amp;" "&amp;INDEX(ポート振替表!$L$5:$L$3507,$L2692)&amp;"  ⇔  "&amp;INDEX(ポート振替表!$H$5:$H$3507,$L2692)&amp;" "&amp;INDEX(ポート振替表!$I$5:$I$3507,$L2692))</f>
        <v/>
      </c>
      <c r="G2692" s="57" t="s">
        <v>158</v>
      </c>
      <c r="H2692" s="32" t="str">
        <f aca="false">IF(L2692="","",INDEX(ポート振替表!$N$5:$N$3507,$L2692)&amp;"")</f>
        <v/>
      </c>
      <c r="I2692" s="32" t="str">
        <f aca="false">IF(L2692="","",INDEX(ポート振替表!$P$5:$P$3507,$L2692)&amp;"")</f>
        <v/>
      </c>
      <c r="J2692" s="60" t="str">
        <f aca="false">IF(L2692="","",INDEX(ポート振替表!$M$5:$M$3507,$L2692)&amp;"")</f>
        <v/>
      </c>
      <c r="K2692" s="52" t="str">
        <f aca="false">IF(L2692="","",E2692&amp;CHAR(10)&amp;INDEX(ポート振替表!$K$5:$K$3507,$L2692)&amp;" "&amp;INDEX(ポート振替表!$L$5:$L$3507,$L2692)&amp;CHAR(10)&amp;"⇔ "&amp;INDEX(ポート振替表!$H$5:$H$3507,$L2692)&amp;" "&amp;INDEX(ポート振替表!$I$5:$I$3507,$L2692))</f>
        <v/>
      </c>
      <c r="L2692" s="47" t="str">
        <f aca="false">IFERROR(MATCH(ROW()-4,ポート振替表!$V$5:$V$3507,0),"")</f>
        <v/>
      </c>
    </row>
    <row r="2693" customFormat="false" ht="16.4" hidden="false" customHeight="false" outlineLevel="0" collapsed="false">
      <c r="A2693" s="32" t="str">
        <f aca="false">IF(L2693="","",ROW()-4)</f>
        <v/>
      </c>
      <c r="B2693" s="58" t="str">
        <f aca="false">IF(L2693="","",IF(INDEX(ポート振替表!$W$5:$W$3507,$L2693)="","(なし)",INDEX(ポート振替表!$W$5:$W$3507,$L2693)&amp;""))</f>
        <v/>
      </c>
      <c r="C2693" s="52" t="str">
        <f aca="false">IF(L2693="","",INDEX(ポート振替表!$B$5:$B$3507,$L2693)&amp;" "&amp;INDEX(ポート振替表!$C$5:$C$3507,$L2693)&amp;"  ⇔  "&amp;INDEX(ポート振替表!$H$5:$H$3507,$L2693)&amp;" "&amp;INDEX(ポート振替表!$I$5:$I$3507,$L2693))</f>
        <v/>
      </c>
      <c r="D2693" s="57" t="s">
        <v>158</v>
      </c>
      <c r="E2693" s="59" t="str">
        <f aca="false">IF(L2693="","",IF(INDEX(ポート振替表!$O$5:$O$3507,$L2693)="","(未設定)",INDEX(ポート振替表!$O$5:$O$3507,$L2693)&amp;""))</f>
        <v/>
      </c>
      <c r="F2693" s="52" t="str">
        <f aca="false">IF(L2693="","",INDEX(ポート振替表!$K$5:$K$3507,$L2693)&amp;" "&amp;INDEX(ポート振替表!$L$5:$L$3507,$L2693)&amp;"  ⇔  "&amp;INDEX(ポート振替表!$H$5:$H$3507,$L2693)&amp;" "&amp;INDEX(ポート振替表!$I$5:$I$3507,$L2693))</f>
        <v/>
      </c>
      <c r="G2693" s="57" t="s">
        <v>158</v>
      </c>
      <c r="H2693" s="32" t="str">
        <f aca="false">IF(L2693="","",INDEX(ポート振替表!$N$5:$N$3507,$L2693)&amp;"")</f>
        <v/>
      </c>
      <c r="I2693" s="32" t="str">
        <f aca="false">IF(L2693="","",INDEX(ポート振替表!$P$5:$P$3507,$L2693)&amp;"")</f>
        <v/>
      </c>
      <c r="J2693" s="60" t="str">
        <f aca="false">IF(L2693="","",INDEX(ポート振替表!$M$5:$M$3507,$L2693)&amp;"")</f>
        <v/>
      </c>
      <c r="K2693" s="52" t="str">
        <f aca="false">IF(L2693="","",E2693&amp;CHAR(10)&amp;INDEX(ポート振替表!$K$5:$K$3507,$L2693)&amp;" "&amp;INDEX(ポート振替表!$L$5:$L$3507,$L2693)&amp;CHAR(10)&amp;"⇔ "&amp;INDEX(ポート振替表!$H$5:$H$3507,$L2693)&amp;" "&amp;INDEX(ポート振替表!$I$5:$I$3507,$L2693))</f>
        <v/>
      </c>
      <c r="L2693" s="47" t="str">
        <f aca="false">IFERROR(MATCH(ROW()-4,ポート振替表!$V$5:$V$3507,0),"")</f>
        <v/>
      </c>
    </row>
    <row r="2694" customFormat="false" ht="16.4" hidden="false" customHeight="false" outlineLevel="0" collapsed="false">
      <c r="A2694" s="32" t="str">
        <f aca="false">IF(L2694="","",ROW()-4)</f>
        <v/>
      </c>
      <c r="B2694" s="58" t="str">
        <f aca="false">IF(L2694="","",IF(INDEX(ポート振替表!$W$5:$W$3507,$L2694)="","(なし)",INDEX(ポート振替表!$W$5:$W$3507,$L2694)&amp;""))</f>
        <v/>
      </c>
      <c r="C2694" s="52" t="str">
        <f aca="false">IF(L2694="","",INDEX(ポート振替表!$B$5:$B$3507,$L2694)&amp;" "&amp;INDEX(ポート振替表!$C$5:$C$3507,$L2694)&amp;"  ⇔  "&amp;INDEX(ポート振替表!$H$5:$H$3507,$L2694)&amp;" "&amp;INDEX(ポート振替表!$I$5:$I$3507,$L2694))</f>
        <v/>
      </c>
      <c r="D2694" s="57" t="s">
        <v>158</v>
      </c>
      <c r="E2694" s="59" t="str">
        <f aca="false">IF(L2694="","",IF(INDEX(ポート振替表!$O$5:$O$3507,$L2694)="","(未設定)",INDEX(ポート振替表!$O$5:$O$3507,$L2694)&amp;""))</f>
        <v/>
      </c>
      <c r="F2694" s="52" t="str">
        <f aca="false">IF(L2694="","",INDEX(ポート振替表!$K$5:$K$3507,$L2694)&amp;" "&amp;INDEX(ポート振替表!$L$5:$L$3507,$L2694)&amp;"  ⇔  "&amp;INDEX(ポート振替表!$H$5:$H$3507,$L2694)&amp;" "&amp;INDEX(ポート振替表!$I$5:$I$3507,$L2694))</f>
        <v/>
      </c>
      <c r="G2694" s="57" t="s">
        <v>158</v>
      </c>
      <c r="H2694" s="32" t="str">
        <f aca="false">IF(L2694="","",INDEX(ポート振替表!$N$5:$N$3507,$L2694)&amp;"")</f>
        <v/>
      </c>
      <c r="I2694" s="32" t="str">
        <f aca="false">IF(L2694="","",INDEX(ポート振替表!$P$5:$P$3507,$L2694)&amp;"")</f>
        <v/>
      </c>
      <c r="J2694" s="60" t="str">
        <f aca="false">IF(L2694="","",INDEX(ポート振替表!$M$5:$M$3507,$L2694)&amp;"")</f>
        <v/>
      </c>
      <c r="K2694" s="52" t="str">
        <f aca="false">IF(L2694="","",E2694&amp;CHAR(10)&amp;INDEX(ポート振替表!$K$5:$K$3507,$L2694)&amp;" "&amp;INDEX(ポート振替表!$L$5:$L$3507,$L2694)&amp;CHAR(10)&amp;"⇔ "&amp;INDEX(ポート振替表!$H$5:$H$3507,$L2694)&amp;" "&amp;INDEX(ポート振替表!$I$5:$I$3507,$L2694))</f>
        <v/>
      </c>
      <c r="L2694" s="47" t="str">
        <f aca="false">IFERROR(MATCH(ROW()-4,ポート振替表!$V$5:$V$3507,0),"")</f>
        <v/>
      </c>
    </row>
    <row r="2695" customFormat="false" ht="16.4" hidden="false" customHeight="false" outlineLevel="0" collapsed="false">
      <c r="A2695" s="32" t="str">
        <f aca="false">IF(L2695="","",ROW()-4)</f>
        <v/>
      </c>
      <c r="B2695" s="58" t="str">
        <f aca="false">IF(L2695="","",IF(INDEX(ポート振替表!$W$5:$W$3507,$L2695)="","(なし)",INDEX(ポート振替表!$W$5:$W$3507,$L2695)&amp;""))</f>
        <v/>
      </c>
      <c r="C2695" s="52" t="str">
        <f aca="false">IF(L2695="","",INDEX(ポート振替表!$B$5:$B$3507,$L2695)&amp;" "&amp;INDEX(ポート振替表!$C$5:$C$3507,$L2695)&amp;"  ⇔  "&amp;INDEX(ポート振替表!$H$5:$H$3507,$L2695)&amp;" "&amp;INDEX(ポート振替表!$I$5:$I$3507,$L2695))</f>
        <v/>
      </c>
      <c r="D2695" s="57" t="s">
        <v>158</v>
      </c>
      <c r="E2695" s="59" t="str">
        <f aca="false">IF(L2695="","",IF(INDEX(ポート振替表!$O$5:$O$3507,$L2695)="","(未設定)",INDEX(ポート振替表!$O$5:$O$3507,$L2695)&amp;""))</f>
        <v/>
      </c>
      <c r="F2695" s="52" t="str">
        <f aca="false">IF(L2695="","",INDEX(ポート振替表!$K$5:$K$3507,$L2695)&amp;" "&amp;INDEX(ポート振替表!$L$5:$L$3507,$L2695)&amp;"  ⇔  "&amp;INDEX(ポート振替表!$H$5:$H$3507,$L2695)&amp;" "&amp;INDEX(ポート振替表!$I$5:$I$3507,$L2695))</f>
        <v/>
      </c>
      <c r="G2695" s="57" t="s">
        <v>158</v>
      </c>
      <c r="H2695" s="32" t="str">
        <f aca="false">IF(L2695="","",INDEX(ポート振替表!$N$5:$N$3507,$L2695)&amp;"")</f>
        <v/>
      </c>
      <c r="I2695" s="32" t="str">
        <f aca="false">IF(L2695="","",INDEX(ポート振替表!$P$5:$P$3507,$L2695)&amp;"")</f>
        <v/>
      </c>
      <c r="J2695" s="60" t="str">
        <f aca="false">IF(L2695="","",INDEX(ポート振替表!$M$5:$M$3507,$L2695)&amp;"")</f>
        <v/>
      </c>
      <c r="K2695" s="52" t="str">
        <f aca="false">IF(L2695="","",E2695&amp;CHAR(10)&amp;INDEX(ポート振替表!$K$5:$K$3507,$L2695)&amp;" "&amp;INDEX(ポート振替表!$L$5:$L$3507,$L2695)&amp;CHAR(10)&amp;"⇔ "&amp;INDEX(ポート振替表!$H$5:$H$3507,$L2695)&amp;" "&amp;INDEX(ポート振替表!$I$5:$I$3507,$L2695))</f>
        <v/>
      </c>
      <c r="L2695" s="47" t="str">
        <f aca="false">IFERROR(MATCH(ROW()-4,ポート振替表!$V$5:$V$3507,0),"")</f>
        <v/>
      </c>
    </row>
    <row r="2696" customFormat="false" ht="16.4" hidden="false" customHeight="false" outlineLevel="0" collapsed="false">
      <c r="A2696" s="32" t="str">
        <f aca="false">IF(L2696="","",ROW()-4)</f>
        <v/>
      </c>
      <c r="B2696" s="58" t="str">
        <f aca="false">IF(L2696="","",IF(INDEX(ポート振替表!$W$5:$W$3507,$L2696)="","(なし)",INDEX(ポート振替表!$W$5:$W$3507,$L2696)&amp;""))</f>
        <v/>
      </c>
      <c r="C2696" s="52" t="str">
        <f aca="false">IF(L2696="","",INDEX(ポート振替表!$B$5:$B$3507,$L2696)&amp;" "&amp;INDEX(ポート振替表!$C$5:$C$3507,$L2696)&amp;"  ⇔  "&amp;INDEX(ポート振替表!$H$5:$H$3507,$L2696)&amp;" "&amp;INDEX(ポート振替表!$I$5:$I$3507,$L2696))</f>
        <v/>
      </c>
      <c r="D2696" s="57" t="s">
        <v>158</v>
      </c>
      <c r="E2696" s="59" t="str">
        <f aca="false">IF(L2696="","",IF(INDEX(ポート振替表!$O$5:$O$3507,$L2696)="","(未設定)",INDEX(ポート振替表!$O$5:$O$3507,$L2696)&amp;""))</f>
        <v/>
      </c>
      <c r="F2696" s="52" t="str">
        <f aca="false">IF(L2696="","",INDEX(ポート振替表!$K$5:$K$3507,$L2696)&amp;" "&amp;INDEX(ポート振替表!$L$5:$L$3507,$L2696)&amp;"  ⇔  "&amp;INDEX(ポート振替表!$H$5:$H$3507,$L2696)&amp;" "&amp;INDEX(ポート振替表!$I$5:$I$3507,$L2696))</f>
        <v/>
      </c>
      <c r="G2696" s="57" t="s">
        <v>158</v>
      </c>
      <c r="H2696" s="32" t="str">
        <f aca="false">IF(L2696="","",INDEX(ポート振替表!$N$5:$N$3507,$L2696)&amp;"")</f>
        <v/>
      </c>
      <c r="I2696" s="32" t="str">
        <f aca="false">IF(L2696="","",INDEX(ポート振替表!$P$5:$P$3507,$L2696)&amp;"")</f>
        <v/>
      </c>
      <c r="J2696" s="60" t="str">
        <f aca="false">IF(L2696="","",INDEX(ポート振替表!$M$5:$M$3507,$L2696)&amp;"")</f>
        <v/>
      </c>
      <c r="K2696" s="52" t="str">
        <f aca="false">IF(L2696="","",E2696&amp;CHAR(10)&amp;INDEX(ポート振替表!$K$5:$K$3507,$L2696)&amp;" "&amp;INDEX(ポート振替表!$L$5:$L$3507,$L2696)&amp;CHAR(10)&amp;"⇔ "&amp;INDEX(ポート振替表!$H$5:$H$3507,$L2696)&amp;" "&amp;INDEX(ポート振替表!$I$5:$I$3507,$L2696))</f>
        <v/>
      </c>
      <c r="L2696" s="47" t="str">
        <f aca="false">IFERROR(MATCH(ROW()-4,ポート振替表!$V$5:$V$3507,0),"")</f>
        <v/>
      </c>
    </row>
    <row r="2697" customFormat="false" ht="16.4" hidden="false" customHeight="false" outlineLevel="0" collapsed="false">
      <c r="A2697" s="32" t="str">
        <f aca="false">IF(L2697="","",ROW()-4)</f>
        <v/>
      </c>
      <c r="B2697" s="58" t="str">
        <f aca="false">IF(L2697="","",IF(INDEX(ポート振替表!$W$5:$W$3507,$L2697)="","(なし)",INDEX(ポート振替表!$W$5:$W$3507,$L2697)&amp;""))</f>
        <v/>
      </c>
      <c r="C2697" s="52" t="str">
        <f aca="false">IF(L2697="","",INDEX(ポート振替表!$B$5:$B$3507,$L2697)&amp;" "&amp;INDEX(ポート振替表!$C$5:$C$3507,$L2697)&amp;"  ⇔  "&amp;INDEX(ポート振替表!$H$5:$H$3507,$L2697)&amp;" "&amp;INDEX(ポート振替表!$I$5:$I$3507,$L2697))</f>
        <v/>
      </c>
      <c r="D2697" s="57" t="s">
        <v>158</v>
      </c>
      <c r="E2697" s="59" t="str">
        <f aca="false">IF(L2697="","",IF(INDEX(ポート振替表!$O$5:$O$3507,$L2697)="","(未設定)",INDEX(ポート振替表!$O$5:$O$3507,$L2697)&amp;""))</f>
        <v/>
      </c>
      <c r="F2697" s="52" t="str">
        <f aca="false">IF(L2697="","",INDEX(ポート振替表!$K$5:$K$3507,$L2697)&amp;" "&amp;INDEX(ポート振替表!$L$5:$L$3507,$L2697)&amp;"  ⇔  "&amp;INDEX(ポート振替表!$H$5:$H$3507,$L2697)&amp;" "&amp;INDEX(ポート振替表!$I$5:$I$3507,$L2697))</f>
        <v/>
      </c>
      <c r="G2697" s="57" t="s">
        <v>158</v>
      </c>
      <c r="H2697" s="32" t="str">
        <f aca="false">IF(L2697="","",INDEX(ポート振替表!$N$5:$N$3507,$L2697)&amp;"")</f>
        <v/>
      </c>
      <c r="I2697" s="32" t="str">
        <f aca="false">IF(L2697="","",INDEX(ポート振替表!$P$5:$P$3507,$L2697)&amp;"")</f>
        <v/>
      </c>
      <c r="J2697" s="60" t="str">
        <f aca="false">IF(L2697="","",INDEX(ポート振替表!$M$5:$M$3507,$L2697)&amp;"")</f>
        <v/>
      </c>
      <c r="K2697" s="52" t="str">
        <f aca="false">IF(L2697="","",E2697&amp;CHAR(10)&amp;INDEX(ポート振替表!$K$5:$K$3507,$L2697)&amp;" "&amp;INDEX(ポート振替表!$L$5:$L$3507,$L2697)&amp;CHAR(10)&amp;"⇔ "&amp;INDEX(ポート振替表!$H$5:$H$3507,$L2697)&amp;" "&amp;INDEX(ポート振替表!$I$5:$I$3507,$L2697))</f>
        <v/>
      </c>
      <c r="L2697" s="47" t="str">
        <f aca="false">IFERROR(MATCH(ROW()-4,ポート振替表!$V$5:$V$3507,0),"")</f>
        <v/>
      </c>
    </row>
    <row r="2698" customFormat="false" ht="16.4" hidden="false" customHeight="false" outlineLevel="0" collapsed="false">
      <c r="A2698" s="32" t="str">
        <f aca="false">IF(L2698="","",ROW()-4)</f>
        <v/>
      </c>
      <c r="B2698" s="58" t="str">
        <f aca="false">IF(L2698="","",IF(INDEX(ポート振替表!$W$5:$W$3507,$L2698)="","(なし)",INDEX(ポート振替表!$W$5:$W$3507,$L2698)&amp;""))</f>
        <v/>
      </c>
      <c r="C2698" s="52" t="str">
        <f aca="false">IF(L2698="","",INDEX(ポート振替表!$B$5:$B$3507,$L2698)&amp;" "&amp;INDEX(ポート振替表!$C$5:$C$3507,$L2698)&amp;"  ⇔  "&amp;INDEX(ポート振替表!$H$5:$H$3507,$L2698)&amp;" "&amp;INDEX(ポート振替表!$I$5:$I$3507,$L2698))</f>
        <v/>
      </c>
      <c r="D2698" s="57" t="s">
        <v>158</v>
      </c>
      <c r="E2698" s="59" t="str">
        <f aca="false">IF(L2698="","",IF(INDEX(ポート振替表!$O$5:$O$3507,$L2698)="","(未設定)",INDEX(ポート振替表!$O$5:$O$3507,$L2698)&amp;""))</f>
        <v/>
      </c>
      <c r="F2698" s="52" t="str">
        <f aca="false">IF(L2698="","",INDEX(ポート振替表!$K$5:$K$3507,$L2698)&amp;" "&amp;INDEX(ポート振替表!$L$5:$L$3507,$L2698)&amp;"  ⇔  "&amp;INDEX(ポート振替表!$H$5:$H$3507,$L2698)&amp;" "&amp;INDEX(ポート振替表!$I$5:$I$3507,$L2698))</f>
        <v/>
      </c>
      <c r="G2698" s="57" t="s">
        <v>158</v>
      </c>
      <c r="H2698" s="32" t="str">
        <f aca="false">IF(L2698="","",INDEX(ポート振替表!$N$5:$N$3507,$L2698)&amp;"")</f>
        <v/>
      </c>
      <c r="I2698" s="32" t="str">
        <f aca="false">IF(L2698="","",INDEX(ポート振替表!$P$5:$P$3507,$L2698)&amp;"")</f>
        <v/>
      </c>
      <c r="J2698" s="60" t="str">
        <f aca="false">IF(L2698="","",INDEX(ポート振替表!$M$5:$M$3507,$L2698)&amp;"")</f>
        <v/>
      </c>
      <c r="K2698" s="52" t="str">
        <f aca="false">IF(L2698="","",E2698&amp;CHAR(10)&amp;INDEX(ポート振替表!$K$5:$K$3507,$L2698)&amp;" "&amp;INDEX(ポート振替表!$L$5:$L$3507,$L2698)&amp;CHAR(10)&amp;"⇔ "&amp;INDEX(ポート振替表!$H$5:$H$3507,$L2698)&amp;" "&amp;INDEX(ポート振替表!$I$5:$I$3507,$L2698))</f>
        <v/>
      </c>
      <c r="L2698" s="47" t="str">
        <f aca="false">IFERROR(MATCH(ROW()-4,ポート振替表!$V$5:$V$3507,0),"")</f>
        <v/>
      </c>
    </row>
    <row r="2699" customFormat="false" ht="16.4" hidden="false" customHeight="false" outlineLevel="0" collapsed="false">
      <c r="A2699" s="32" t="str">
        <f aca="false">IF(L2699="","",ROW()-4)</f>
        <v/>
      </c>
      <c r="B2699" s="58" t="str">
        <f aca="false">IF(L2699="","",IF(INDEX(ポート振替表!$W$5:$W$3507,$L2699)="","(なし)",INDEX(ポート振替表!$W$5:$W$3507,$L2699)&amp;""))</f>
        <v/>
      </c>
      <c r="C2699" s="52" t="str">
        <f aca="false">IF(L2699="","",INDEX(ポート振替表!$B$5:$B$3507,$L2699)&amp;" "&amp;INDEX(ポート振替表!$C$5:$C$3507,$L2699)&amp;"  ⇔  "&amp;INDEX(ポート振替表!$H$5:$H$3507,$L2699)&amp;" "&amp;INDEX(ポート振替表!$I$5:$I$3507,$L2699))</f>
        <v/>
      </c>
      <c r="D2699" s="57" t="s">
        <v>158</v>
      </c>
      <c r="E2699" s="59" t="str">
        <f aca="false">IF(L2699="","",IF(INDEX(ポート振替表!$O$5:$O$3507,$L2699)="","(未設定)",INDEX(ポート振替表!$O$5:$O$3507,$L2699)&amp;""))</f>
        <v/>
      </c>
      <c r="F2699" s="52" t="str">
        <f aca="false">IF(L2699="","",INDEX(ポート振替表!$K$5:$K$3507,$L2699)&amp;" "&amp;INDEX(ポート振替表!$L$5:$L$3507,$L2699)&amp;"  ⇔  "&amp;INDEX(ポート振替表!$H$5:$H$3507,$L2699)&amp;" "&amp;INDEX(ポート振替表!$I$5:$I$3507,$L2699))</f>
        <v/>
      </c>
      <c r="G2699" s="57" t="s">
        <v>158</v>
      </c>
      <c r="H2699" s="32" t="str">
        <f aca="false">IF(L2699="","",INDEX(ポート振替表!$N$5:$N$3507,$L2699)&amp;"")</f>
        <v/>
      </c>
      <c r="I2699" s="32" t="str">
        <f aca="false">IF(L2699="","",INDEX(ポート振替表!$P$5:$P$3507,$L2699)&amp;"")</f>
        <v/>
      </c>
      <c r="J2699" s="60" t="str">
        <f aca="false">IF(L2699="","",INDEX(ポート振替表!$M$5:$M$3507,$L2699)&amp;"")</f>
        <v/>
      </c>
      <c r="K2699" s="52" t="str">
        <f aca="false">IF(L2699="","",E2699&amp;CHAR(10)&amp;INDEX(ポート振替表!$K$5:$K$3507,$L2699)&amp;" "&amp;INDEX(ポート振替表!$L$5:$L$3507,$L2699)&amp;CHAR(10)&amp;"⇔ "&amp;INDEX(ポート振替表!$H$5:$H$3507,$L2699)&amp;" "&amp;INDEX(ポート振替表!$I$5:$I$3507,$L2699))</f>
        <v/>
      </c>
      <c r="L2699" s="47" t="str">
        <f aca="false">IFERROR(MATCH(ROW()-4,ポート振替表!$V$5:$V$3507,0),"")</f>
        <v/>
      </c>
    </row>
    <row r="2700" customFormat="false" ht="16.4" hidden="false" customHeight="false" outlineLevel="0" collapsed="false">
      <c r="A2700" s="32" t="str">
        <f aca="false">IF(L2700="","",ROW()-4)</f>
        <v/>
      </c>
      <c r="B2700" s="58" t="str">
        <f aca="false">IF(L2700="","",IF(INDEX(ポート振替表!$W$5:$W$3507,$L2700)="","(なし)",INDEX(ポート振替表!$W$5:$W$3507,$L2700)&amp;""))</f>
        <v/>
      </c>
      <c r="C2700" s="52" t="str">
        <f aca="false">IF(L2700="","",INDEX(ポート振替表!$B$5:$B$3507,$L2700)&amp;" "&amp;INDEX(ポート振替表!$C$5:$C$3507,$L2700)&amp;"  ⇔  "&amp;INDEX(ポート振替表!$H$5:$H$3507,$L2700)&amp;" "&amp;INDEX(ポート振替表!$I$5:$I$3507,$L2700))</f>
        <v/>
      </c>
      <c r="D2700" s="57" t="s">
        <v>158</v>
      </c>
      <c r="E2700" s="59" t="str">
        <f aca="false">IF(L2700="","",IF(INDEX(ポート振替表!$O$5:$O$3507,$L2700)="","(未設定)",INDEX(ポート振替表!$O$5:$O$3507,$L2700)&amp;""))</f>
        <v/>
      </c>
      <c r="F2700" s="52" t="str">
        <f aca="false">IF(L2700="","",INDEX(ポート振替表!$K$5:$K$3507,$L2700)&amp;" "&amp;INDEX(ポート振替表!$L$5:$L$3507,$L2700)&amp;"  ⇔  "&amp;INDEX(ポート振替表!$H$5:$H$3507,$L2700)&amp;" "&amp;INDEX(ポート振替表!$I$5:$I$3507,$L2700))</f>
        <v/>
      </c>
      <c r="G2700" s="57" t="s">
        <v>158</v>
      </c>
      <c r="H2700" s="32" t="str">
        <f aca="false">IF(L2700="","",INDEX(ポート振替表!$N$5:$N$3507,$L2700)&amp;"")</f>
        <v/>
      </c>
      <c r="I2700" s="32" t="str">
        <f aca="false">IF(L2700="","",INDEX(ポート振替表!$P$5:$P$3507,$L2700)&amp;"")</f>
        <v/>
      </c>
      <c r="J2700" s="60" t="str">
        <f aca="false">IF(L2700="","",INDEX(ポート振替表!$M$5:$M$3507,$L2700)&amp;"")</f>
        <v/>
      </c>
      <c r="K2700" s="52" t="str">
        <f aca="false">IF(L2700="","",E2700&amp;CHAR(10)&amp;INDEX(ポート振替表!$K$5:$K$3507,$L2700)&amp;" "&amp;INDEX(ポート振替表!$L$5:$L$3507,$L2700)&amp;CHAR(10)&amp;"⇔ "&amp;INDEX(ポート振替表!$H$5:$H$3507,$L2700)&amp;" "&amp;INDEX(ポート振替表!$I$5:$I$3507,$L2700))</f>
        <v/>
      </c>
      <c r="L2700" s="47" t="str">
        <f aca="false">IFERROR(MATCH(ROW()-4,ポート振替表!$V$5:$V$3507,0),"")</f>
        <v/>
      </c>
    </row>
    <row r="2701" customFormat="false" ht="16.4" hidden="false" customHeight="false" outlineLevel="0" collapsed="false">
      <c r="A2701" s="32" t="str">
        <f aca="false">IF(L2701="","",ROW()-4)</f>
        <v/>
      </c>
      <c r="B2701" s="58" t="str">
        <f aca="false">IF(L2701="","",IF(INDEX(ポート振替表!$W$5:$W$3507,$L2701)="","(なし)",INDEX(ポート振替表!$W$5:$W$3507,$L2701)&amp;""))</f>
        <v/>
      </c>
      <c r="C2701" s="52" t="str">
        <f aca="false">IF(L2701="","",INDEX(ポート振替表!$B$5:$B$3507,$L2701)&amp;" "&amp;INDEX(ポート振替表!$C$5:$C$3507,$L2701)&amp;"  ⇔  "&amp;INDEX(ポート振替表!$H$5:$H$3507,$L2701)&amp;" "&amp;INDEX(ポート振替表!$I$5:$I$3507,$L2701))</f>
        <v/>
      </c>
      <c r="D2701" s="57" t="s">
        <v>158</v>
      </c>
      <c r="E2701" s="59" t="str">
        <f aca="false">IF(L2701="","",IF(INDEX(ポート振替表!$O$5:$O$3507,$L2701)="","(未設定)",INDEX(ポート振替表!$O$5:$O$3507,$L2701)&amp;""))</f>
        <v/>
      </c>
      <c r="F2701" s="52" t="str">
        <f aca="false">IF(L2701="","",INDEX(ポート振替表!$K$5:$K$3507,$L2701)&amp;" "&amp;INDEX(ポート振替表!$L$5:$L$3507,$L2701)&amp;"  ⇔  "&amp;INDEX(ポート振替表!$H$5:$H$3507,$L2701)&amp;" "&amp;INDEX(ポート振替表!$I$5:$I$3507,$L2701))</f>
        <v/>
      </c>
      <c r="G2701" s="57" t="s">
        <v>158</v>
      </c>
      <c r="H2701" s="32" t="str">
        <f aca="false">IF(L2701="","",INDEX(ポート振替表!$N$5:$N$3507,$L2701)&amp;"")</f>
        <v/>
      </c>
      <c r="I2701" s="32" t="str">
        <f aca="false">IF(L2701="","",INDEX(ポート振替表!$P$5:$P$3507,$L2701)&amp;"")</f>
        <v/>
      </c>
      <c r="J2701" s="60" t="str">
        <f aca="false">IF(L2701="","",INDEX(ポート振替表!$M$5:$M$3507,$L2701)&amp;"")</f>
        <v/>
      </c>
      <c r="K2701" s="52" t="str">
        <f aca="false">IF(L2701="","",E2701&amp;CHAR(10)&amp;INDEX(ポート振替表!$K$5:$K$3507,$L2701)&amp;" "&amp;INDEX(ポート振替表!$L$5:$L$3507,$L2701)&amp;CHAR(10)&amp;"⇔ "&amp;INDEX(ポート振替表!$H$5:$H$3507,$L2701)&amp;" "&amp;INDEX(ポート振替表!$I$5:$I$3507,$L2701))</f>
        <v/>
      </c>
      <c r="L2701" s="47" t="str">
        <f aca="false">IFERROR(MATCH(ROW()-4,ポート振替表!$V$5:$V$3507,0),"")</f>
        <v/>
      </c>
    </row>
    <row r="2702" customFormat="false" ht="16.4" hidden="false" customHeight="false" outlineLevel="0" collapsed="false">
      <c r="A2702" s="32" t="str">
        <f aca="false">IF(L2702="","",ROW()-4)</f>
        <v/>
      </c>
      <c r="B2702" s="58" t="str">
        <f aca="false">IF(L2702="","",IF(INDEX(ポート振替表!$W$5:$W$3507,$L2702)="","(なし)",INDEX(ポート振替表!$W$5:$W$3507,$L2702)&amp;""))</f>
        <v/>
      </c>
      <c r="C2702" s="52" t="str">
        <f aca="false">IF(L2702="","",INDEX(ポート振替表!$B$5:$B$3507,$L2702)&amp;" "&amp;INDEX(ポート振替表!$C$5:$C$3507,$L2702)&amp;"  ⇔  "&amp;INDEX(ポート振替表!$H$5:$H$3507,$L2702)&amp;" "&amp;INDEX(ポート振替表!$I$5:$I$3507,$L2702))</f>
        <v/>
      </c>
      <c r="D2702" s="57" t="s">
        <v>158</v>
      </c>
      <c r="E2702" s="59" t="str">
        <f aca="false">IF(L2702="","",IF(INDEX(ポート振替表!$O$5:$O$3507,$L2702)="","(未設定)",INDEX(ポート振替表!$O$5:$O$3507,$L2702)&amp;""))</f>
        <v/>
      </c>
      <c r="F2702" s="52" t="str">
        <f aca="false">IF(L2702="","",INDEX(ポート振替表!$K$5:$K$3507,$L2702)&amp;" "&amp;INDEX(ポート振替表!$L$5:$L$3507,$L2702)&amp;"  ⇔  "&amp;INDEX(ポート振替表!$H$5:$H$3507,$L2702)&amp;" "&amp;INDEX(ポート振替表!$I$5:$I$3507,$L2702))</f>
        <v/>
      </c>
      <c r="G2702" s="57" t="s">
        <v>158</v>
      </c>
      <c r="H2702" s="32" t="str">
        <f aca="false">IF(L2702="","",INDEX(ポート振替表!$N$5:$N$3507,$L2702)&amp;"")</f>
        <v/>
      </c>
      <c r="I2702" s="32" t="str">
        <f aca="false">IF(L2702="","",INDEX(ポート振替表!$P$5:$P$3507,$L2702)&amp;"")</f>
        <v/>
      </c>
      <c r="J2702" s="60" t="str">
        <f aca="false">IF(L2702="","",INDEX(ポート振替表!$M$5:$M$3507,$L2702)&amp;"")</f>
        <v/>
      </c>
      <c r="K2702" s="52" t="str">
        <f aca="false">IF(L2702="","",E2702&amp;CHAR(10)&amp;INDEX(ポート振替表!$K$5:$K$3507,$L2702)&amp;" "&amp;INDEX(ポート振替表!$L$5:$L$3507,$L2702)&amp;CHAR(10)&amp;"⇔ "&amp;INDEX(ポート振替表!$H$5:$H$3507,$L2702)&amp;" "&amp;INDEX(ポート振替表!$I$5:$I$3507,$L2702))</f>
        <v/>
      </c>
      <c r="L2702" s="47" t="str">
        <f aca="false">IFERROR(MATCH(ROW()-4,ポート振替表!$V$5:$V$3507,0),"")</f>
        <v/>
      </c>
    </row>
    <row r="2703" customFormat="false" ht="16.4" hidden="false" customHeight="false" outlineLevel="0" collapsed="false">
      <c r="A2703" s="32" t="str">
        <f aca="false">IF(L2703="","",ROW()-4)</f>
        <v/>
      </c>
      <c r="B2703" s="58" t="str">
        <f aca="false">IF(L2703="","",IF(INDEX(ポート振替表!$W$5:$W$3507,$L2703)="","(なし)",INDEX(ポート振替表!$W$5:$W$3507,$L2703)&amp;""))</f>
        <v/>
      </c>
      <c r="C2703" s="52" t="str">
        <f aca="false">IF(L2703="","",INDEX(ポート振替表!$B$5:$B$3507,$L2703)&amp;" "&amp;INDEX(ポート振替表!$C$5:$C$3507,$L2703)&amp;"  ⇔  "&amp;INDEX(ポート振替表!$H$5:$H$3507,$L2703)&amp;" "&amp;INDEX(ポート振替表!$I$5:$I$3507,$L2703))</f>
        <v/>
      </c>
      <c r="D2703" s="57" t="s">
        <v>158</v>
      </c>
      <c r="E2703" s="59" t="str">
        <f aca="false">IF(L2703="","",IF(INDEX(ポート振替表!$O$5:$O$3507,$L2703)="","(未設定)",INDEX(ポート振替表!$O$5:$O$3507,$L2703)&amp;""))</f>
        <v/>
      </c>
      <c r="F2703" s="52" t="str">
        <f aca="false">IF(L2703="","",INDEX(ポート振替表!$K$5:$K$3507,$L2703)&amp;" "&amp;INDEX(ポート振替表!$L$5:$L$3507,$L2703)&amp;"  ⇔  "&amp;INDEX(ポート振替表!$H$5:$H$3507,$L2703)&amp;" "&amp;INDEX(ポート振替表!$I$5:$I$3507,$L2703))</f>
        <v/>
      </c>
      <c r="G2703" s="57" t="s">
        <v>158</v>
      </c>
      <c r="H2703" s="32" t="str">
        <f aca="false">IF(L2703="","",INDEX(ポート振替表!$N$5:$N$3507,$L2703)&amp;"")</f>
        <v/>
      </c>
      <c r="I2703" s="32" t="str">
        <f aca="false">IF(L2703="","",INDEX(ポート振替表!$P$5:$P$3507,$L2703)&amp;"")</f>
        <v/>
      </c>
      <c r="J2703" s="60" t="str">
        <f aca="false">IF(L2703="","",INDEX(ポート振替表!$M$5:$M$3507,$L2703)&amp;"")</f>
        <v/>
      </c>
      <c r="K2703" s="52" t="str">
        <f aca="false">IF(L2703="","",E2703&amp;CHAR(10)&amp;INDEX(ポート振替表!$K$5:$K$3507,$L2703)&amp;" "&amp;INDEX(ポート振替表!$L$5:$L$3507,$L2703)&amp;CHAR(10)&amp;"⇔ "&amp;INDEX(ポート振替表!$H$5:$H$3507,$L2703)&amp;" "&amp;INDEX(ポート振替表!$I$5:$I$3507,$L2703))</f>
        <v/>
      </c>
      <c r="L2703" s="47" t="str">
        <f aca="false">IFERROR(MATCH(ROW()-4,ポート振替表!$V$5:$V$3507,0),"")</f>
        <v/>
      </c>
    </row>
    <row r="2704" customFormat="false" ht="16.4" hidden="false" customHeight="false" outlineLevel="0" collapsed="false">
      <c r="A2704" s="32" t="str">
        <f aca="false">IF(L2704="","",ROW()-4)</f>
        <v/>
      </c>
      <c r="B2704" s="58" t="str">
        <f aca="false">IF(L2704="","",IF(INDEX(ポート振替表!$W$5:$W$3507,$L2704)="","(なし)",INDEX(ポート振替表!$W$5:$W$3507,$L2704)&amp;""))</f>
        <v/>
      </c>
      <c r="C2704" s="52" t="str">
        <f aca="false">IF(L2704="","",INDEX(ポート振替表!$B$5:$B$3507,$L2704)&amp;" "&amp;INDEX(ポート振替表!$C$5:$C$3507,$L2704)&amp;"  ⇔  "&amp;INDEX(ポート振替表!$H$5:$H$3507,$L2704)&amp;" "&amp;INDEX(ポート振替表!$I$5:$I$3507,$L2704))</f>
        <v/>
      </c>
      <c r="D2704" s="57" t="s">
        <v>158</v>
      </c>
      <c r="E2704" s="59" t="str">
        <f aca="false">IF(L2704="","",IF(INDEX(ポート振替表!$O$5:$O$3507,$L2704)="","(未設定)",INDEX(ポート振替表!$O$5:$O$3507,$L2704)&amp;""))</f>
        <v/>
      </c>
      <c r="F2704" s="52" t="str">
        <f aca="false">IF(L2704="","",INDEX(ポート振替表!$K$5:$K$3507,$L2704)&amp;" "&amp;INDEX(ポート振替表!$L$5:$L$3507,$L2704)&amp;"  ⇔  "&amp;INDEX(ポート振替表!$H$5:$H$3507,$L2704)&amp;" "&amp;INDEX(ポート振替表!$I$5:$I$3507,$L2704))</f>
        <v/>
      </c>
      <c r="G2704" s="57" t="s">
        <v>158</v>
      </c>
      <c r="H2704" s="32" t="str">
        <f aca="false">IF(L2704="","",INDEX(ポート振替表!$N$5:$N$3507,$L2704)&amp;"")</f>
        <v/>
      </c>
      <c r="I2704" s="32" t="str">
        <f aca="false">IF(L2704="","",INDEX(ポート振替表!$P$5:$P$3507,$L2704)&amp;"")</f>
        <v/>
      </c>
      <c r="J2704" s="60" t="str">
        <f aca="false">IF(L2704="","",INDEX(ポート振替表!$M$5:$M$3507,$L2704)&amp;"")</f>
        <v/>
      </c>
      <c r="K2704" s="52" t="str">
        <f aca="false">IF(L2704="","",E2704&amp;CHAR(10)&amp;INDEX(ポート振替表!$K$5:$K$3507,$L2704)&amp;" "&amp;INDEX(ポート振替表!$L$5:$L$3507,$L2704)&amp;CHAR(10)&amp;"⇔ "&amp;INDEX(ポート振替表!$H$5:$H$3507,$L2704)&amp;" "&amp;INDEX(ポート振替表!$I$5:$I$3507,$L2704))</f>
        <v/>
      </c>
      <c r="L2704" s="47" t="str">
        <f aca="false">IFERROR(MATCH(ROW()-4,ポート振替表!$V$5:$V$3507,0),"")</f>
        <v/>
      </c>
    </row>
    <row r="2705" customFormat="false" ht="16.4" hidden="false" customHeight="false" outlineLevel="0" collapsed="false">
      <c r="A2705" s="32" t="str">
        <f aca="false">IF(L2705="","",ROW()-4)</f>
        <v/>
      </c>
      <c r="B2705" s="58" t="str">
        <f aca="false">IF(L2705="","",IF(INDEX(ポート振替表!$W$5:$W$3507,$L2705)="","(なし)",INDEX(ポート振替表!$W$5:$W$3507,$L2705)&amp;""))</f>
        <v/>
      </c>
      <c r="C2705" s="52" t="str">
        <f aca="false">IF(L2705="","",INDEX(ポート振替表!$B$5:$B$3507,$L2705)&amp;" "&amp;INDEX(ポート振替表!$C$5:$C$3507,$L2705)&amp;"  ⇔  "&amp;INDEX(ポート振替表!$H$5:$H$3507,$L2705)&amp;" "&amp;INDEX(ポート振替表!$I$5:$I$3507,$L2705))</f>
        <v/>
      </c>
      <c r="D2705" s="57" t="s">
        <v>158</v>
      </c>
      <c r="E2705" s="59" t="str">
        <f aca="false">IF(L2705="","",IF(INDEX(ポート振替表!$O$5:$O$3507,$L2705)="","(未設定)",INDEX(ポート振替表!$O$5:$O$3507,$L2705)&amp;""))</f>
        <v/>
      </c>
      <c r="F2705" s="52" t="str">
        <f aca="false">IF(L2705="","",INDEX(ポート振替表!$K$5:$K$3507,$L2705)&amp;" "&amp;INDEX(ポート振替表!$L$5:$L$3507,$L2705)&amp;"  ⇔  "&amp;INDEX(ポート振替表!$H$5:$H$3507,$L2705)&amp;" "&amp;INDEX(ポート振替表!$I$5:$I$3507,$L2705))</f>
        <v/>
      </c>
      <c r="G2705" s="57" t="s">
        <v>158</v>
      </c>
      <c r="H2705" s="32" t="str">
        <f aca="false">IF(L2705="","",INDEX(ポート振替表!$N$5:$N$3507,$L2705)&amp;"")</f>
        <v/>
      </c>
      <c r="I2705" s="32" t="str">
        <f aca="false">IF(L2705="","",INDEX(ポート振替表!$P$5:$P$3507,$L2705)&amp;"")</f>
        <v/>
      </c>
      <c r="J2705" s="60" t="str">
        <f aca="false">IF(L2705="","",INDEX(ポート振替表!$M$5:$M$3507,$L2705)&amp;"")</f>
        <v/>
      </c>
      <c r="K2705" s="52" t="str">
        <f aca="false">IF(L2705="","",E2705&amp;CHAR(10)&amp;INDEX(ポート振替表!$K$5:$K$3507,$L2705)&amp;" "&amp;INDEX(ポート振替表!$L$5:$L$3507,$L2705)&amp;CHAR(10)&amp;"⇔ "&amp;INDEX(ポート振替表!$H$5:$H$3507,$L2705)&amp;" "&amp;INDEX(ポート振替表!$I$5:$I$3507,$L2705))</f>
        <v/>
      </c>
      <c r="L2705" s="47" t="str">
        <f aca="false">IFERROR(MATCH(ROW()-4,ポート振替表!$V$5:$V$3507,0),"")</f>
        <v/>
      </c>
    </row>
    <row r="2706" customFormat="false" ht="16.4" hidden="false" customHeight="false" outlineLevel="0" collapsed="false">
      <c r="A2706" s="32" t="str">
        <f aca="false">IF(L2706="","",ROW()-4)</f>
        <v/>
      </c>
      <c r="B2706" s="58" t="str">
        <f aca="false">IF(L2706="","",IF(INDEX(ポート振替表!$W$5:$W$3507,$L2706)="","(なし)",INDEX(ポート振替表!$W$5:$W$3507,$L2706)&amp;""))</f>
        <v/>
      </c>
      <c r="C2706" s="52" t="str">
        <f aca="false">IF(L2706="","",INDEX(ポート振替表!$B$5:$B$3507,$L2706)&amp;" "&amp;INDEX(ポート振替表!$C$5:$C$3507,$L2706)&amp;"  ⇔  "&amp;INDEX(ポート振替表!$H$5:$H$3507,$L2706)&amp;" "&amp;INDEX(ポート振替表!$I$5:$I$3507,$L2706))</f>
        <v/>
      </c>
      <c r="D2706" s="57" t="s">
        <v>158</v>
      </c>
      <c r="E2706" s="59" t="str">
        <f aca="false">IF(L2706="","",IF(INDEX(ポート振替表!$O$5:$O$3507,$L2706)="","(未設定)",INDEX(ポート振替表!$O$5:$O$3507,$L2706)&amp;""))</f>
        <v/>
      </c>
      <c r="F2706" s="52" t="str">
        <f aca="false">IF(L2706="","",INDEX(ポート振替表!$K$5:$K$3507,$L2706)&amp;" "&amp;INDEX(ポート振替表!$L$5:$L$3507,$L2706)&amp;"  ⇔  "&amp;INDEX(ポート振替表!$H$5:$H$3507,$L2706)&amp;" "&amp;INDEX(ポート振替表!$I$5:$I$3507,$L2706))</f>
        <v/>
      </c>
      <c r="G2706" s="57" t="s">
        <v>158</v>
      </c>
      <c r="H2706" s="32" t="str">
        <f aca="false">IF(L2706="","",INDEX(ポート振替表!$N$5:$N$3507,$L2706)&amp;"")</f>
        <v/>
      </c>
      <c r="I2706" s="32" t="str">
        <f aca="false">IF(L2706="","",INDEX(ポート振替表!$P$5:$P$3507,$L2706)&amp;"")</f>
        <v/>
      </c>
      <c r="J2706" s="60" t="str">
        <f aca="false">IF(L2706="","",INDEX(ポート振替表!$M$5:$M$3507,$L2706)&amp;"")</f>
        <v/>
      </c>
      <c r="K2706" s="52" t="str">
        <f aca="false">IF(L2706="","",E2706&amp;CHAR(10)&amp;INDEX(ポート振替表!$K$5:$K$3507,$L2706)&amp;" "&amp;INDEX(ポート振替表!$L$5:$L$3507,$L2706)&amp;CHAR(10)&amp;"⇔ "&amp;INDEX(ポート振替表!$H$5:$H$3507,$L2706)&amp;" "&amp;INDEX(ポート振替表!$I$5:$I$3507,$L2706))</f>
        <v/>
      </c>
      <c r="L2706" s="47" t="str">
        <f aca="false">IFERROR(MATCH(ROW()-4,ポート振替表!$V$5:$V$3507,0),"")</f>
        <v/>
      </c>
    </row>
    <row r="2707" customFormat="false" ht="16.4" hidden="false" customHeight="false" outlineLevel="0" collapsed="false">
      <c r="A2707" s="32" t="str">
        <f aca="false">IF(L2707="","",ROW()-4)</f>
        <v/>
      </c>
      <c r="B2707" s="58" t="str">
        <f aca="false">IF(L2707="","",IF(INDEX(ポート振替表!$W$5:$W$3507,$L2707)="","(なし)",INDEX(ポート振替表!$W$5:$W$3507,$L2707)&amp;""))</f>
        <v/>
      </c>
      <c r="C2707" s="52" t="str">
        <f aca="false">IF(L2707="","",INDEX(ポート振替表!$B$5:$B$3507,$L2707)&amp;" "&amp;INDEX(ポート振替表!$C$5:$C$3507,$L2707)&amp;"  ⇔  "&amp;INDEX(ポート振替表!$H$5:$H$3507,$L2707)&amp;" "&amp;INDEX(ポート振替表!$I$5:$I$3507,$L2707))</f>
        <v/>
      </c>
      <c r="D2707" s="57" t="s">
        <v>158</v>
      </c>
      <c r="E2707" s="59" t="str">
        <f aca="false">IF(L2707="","",IF(INDEX(ポート振替表!$O$5:$O$3507,$L2707)="","(未設定)",INDEX(ポート振替表!$O$5:$O$3507,$L2707)&amp;""))</f>
        <v/>
      </c>
      <c r="F2707" s="52" t="str">
        <f aca="false">IF(L2707="","",INDEX(ポート振替表!$K$5:$K$3507,$L2707)&amp;" "&amp;INDEX(ポート振替表!$L$5:$L$3507,$L2707)&amp;"  ⇔  "&amp;INDEX(ポート振替表!$H$5:$H$3507,$L2707)&amp;" "&amp;INDEX(ポート振替表!$I$5:$I$3507,$L2707))</f>
        <v/>
      </c>
      <c r="G2707" s="57" t="s">
        <v>158</v>
      </c>
      <c r="H2707" s="32" t="str">
        <f aca="false">IF(L2707="","",INDEX(ポート振替表!$N$5:$N$3507,$L2707)&amp;"")</f>
        <v/>
      </c>
      <c r="I2707" s="32" t="str">
        <f aca="false">IF(L2707="","",INDEX(ポート振替表!$P$5:$P$3507,$L2707)&amp;"")</f>
        <v/>
      </c>
      <c r="J2707" s="60" t="str">
        <f aca="false">IF(L2707="","",INDEX(ポート振替表!$M$5:$M$3507,$L2707)&amp;"")</f>
        <v/>
      </c>
      <c r="K2707" s="52" t="str">
        <f aca="false">IF(L2707="","",E2707&amp;CHAR(10)&amp;INDEX(ポート振替表!$K$5:$K$3507,$L2707)&amp;" "&amp;INDEX(ポート振替表!$L$5:$L$3507,$L2707)&amp;CHAR(10)&amp;"⇔ "&amp;INDEX(ポート振替表!$H$5:$H$3507,$L2707)&amp;" "&amp;INDEX(ポート振替表!$I$5:$I$3507,$L2707))</f>
        <v/>
      </c>
      <c r="L2707" s="47" t="str">
        <f aca="false">IFERROR(MATCH(ROW()-4,ポート振替表!$V$5:$V$3507,0),"")</f>
        <v/>
      </c>
    </row>
    <row r="2708" customFormat="false" ht="16.4" hidden="false" customHeight="false" outlineLevel="0" collapsed="false">
      <c r="A2708" s="32" t="str">
        <f aca="false">IF(L2708="","",ROW()-4)</f>
        <v/>
      </c>
      <c r="B2708" s="58" t="str">
        <f aca="false">IF(L2708="","",IF(INDEX(ポート振替表!$W$5:$W$3507,$L2708)="","(なし)",INDEX(ポート振替表!$W$5:$W$3507,$L2708)&amp;""))</f>
        <v/>
      </c>
      <c r="C2708" s="52" t="str">
        <f aca="false">IF(L2708="","",INDEX(ポート振替表!$B$5:$B$3507,$L2708)&amp;" "&amp;INDEX(ポート振替表!$C$5:$C$3507,$L2708)&amp;"  ⇔  "&amp;INDEX(ポート振替表!$H$5:$H$3507,$L2708)&amp;" "&amp;INDEX(ポート振替表!$I$5:$I$3507,$L2708))</f>
        <v/>
      </c>
      <c r="D2708" s="57" t="s">
        <v>158</v>
      </c>
      <c r="E2708" s="59" t="str">
        <f aca="false">IF(L2708="","",IF(INDEX(ポート振替表!$O$5:$O$3507,$L2708)="","(未設定)",INDEX(ポート振替表!$O$5:$O$3507,$L2708)&amp;""))</f>
        <v/>
      </c>
      <c r="F2708" s="52" t="str">
        <f aca="false">IF(L2708="","",INDEX(ポート振替表!$K$5:$K$3507,$L2708)&amp;" "&amp;INDEX(ポート振替表!$L$5:$L$3507,$L2708)&amp;"  ⇔  "&amp;INDEX(ポート振替表!$H$5:$H$3507,$L2708)&amp;" "&amp;INDEX(ポート振替表!$I$5:$I$3507,$L2708))</f>
        <v/>
      </c>
      <c r="G2708" s="57" t="s">
        <v>158</v>
      </c>
      <c r="H2708" s="32" t="str">
        <f aca="false">IF(L2708="","",INDEX(ポート振替表!$N$5:$N$3507,$L2708)&amp;"")</f>
        <v/>
      </c>
      <c r="I2708" s="32" t="str">
        <f aca="false">IF(L2708="","",INDEX(ポート振替表!$P$5:$P$3507,$L2708)&amp;"")</f>
        <v/>
      </c>
      <c r="J2708" s="60" t="str">
        <f aca="false">IF(L2708="","",INDEX(ポート振替表!$M$5:$M$3507,$L2708)&amp;"")</f>
        <v/>
      </c>
      <c r="K2708" s="52" t="str">
        <f aca="false">IF(L2708="","",E2708&amp;CHAR(10)&amp;INDEX(ポート振替表!$K$5:$K$3507,$L2708)&amp;" "&amp;INDEX(ポート振替表!$L$5:$L$3507,$L2708)&amp;CHAR(10)&amp;"⇔ "&amp;INDEX(ポート振替表!$H$5:$H$3507,$L2708)&amp;" "&amp;INDEX(ポート振替表!$I$5:$I$3507,$L2708))</f>
        <v/>
      </c>
      <c r="L2708" s="47" t="str">
        <f aca="false">IFERROR(MATCH(ROW()-4,ポート振替表!$V$5:$V$3507,0),"")</f>
        <v/>
      </c>
    </row>
    <row r="2709" customFormat="false" ht="16.4" hidden="false" customHeight="false" outlineLevel="0" collapsed="false">
      <c r="A2709" s="32" t="str">
        <f aca="false">IF(L2709="","",ROW()-4)</f>
        <v/>
      </c>
      <c r="B2709" s="58" t="str">
        <f aca="false">IF(L2709="","",IF(INDEX(ポート振替表!$W$5:$W$3507,$L2709)="","(なし)",INDEX(ポート振替表!$W$5:$W$3507,$L2709)&amp;""))</f>
        <v/>
      </c>
      <c r="C2709" s="52" t="str">
        <f aca="false">IF(L2709="","",INDEX(ポート振替表!$B$5:$B$3507,$L2709)&amp;" "&amp;INDEX(ポート振替表!$C$5:$C$3507,$L2709)&amp;"  ⇔  "&amp;INDEX(ポート振替表!$H$5:$H$3507,$L2709)&amp;" "&amp;INDEX(ポート振替表!$I$5:$I$3507,$L2709))</f>
        <v/>
      </c>
      <c r="D2709" s="57" t="s">
        <v>158</v>
      </c>
      <c r="E2709" s="59" t="str">
        <f aca="false">IF(L2709="","",IF(INDEX(ポート振替表!$O$5:$O$3507,$L2709)="","(未設定)",INDEX(ポート振替表!$O$5:$O$3507,$L2709)&amp;""))</f>
        <v/>
      </c>
      <c r="F2709" s="52" t="str">
        <f aca="false">IF(L2709="","",INDEX(ポート振替表!$K$5:$K$3507,$L2709)&amp;" "&amp;INDEX(ポート振替表!$L$5:$L$3507,$L2709)&amp;"  ⇔  "&amp;INDEX(ポート振替表!$H$5:$H$3507,$L2709)&amp;" "&amp;INDEX(ポート振替表!$I$5:$I$3507,$L2709))</f>
        <v/>
      </c>
      <c r="G2709" s="57" t="s">
        <v>158</v>
      </c>
      <c r="H2709" s="32" t="str">
        <f aca="false">IF(L2709="","",INDEX(ポート振替表!$N$5:$N$3507,$L2709)&amp;"")</f>
        <v/>
      </c>
      <c r="I2709" s="32" t="str">
        <f aca="false">IF(L2709="","",INDEX(ポート振替表!$P$5:$P$3507,$L2709)&amp;"")</f>
        <v/>
      </c>
      <c r="J2709" s="60" t="str">
        <f aca="false">IF(L2709="","",INDEX(ポート振替表!$M$5:$M$3507,$L2709)&amp;"")</f>
        <v/>
      </c>
      <c r="K2709" s="52" t="str">
        <f aca="false">IF(L2709="","",E2709&amp;CHAR(10)&amp;INDEX(ポート振替表!$K$5:$K$3507,$L2709)&amp;" "&amp;INDEX(ポート振替表!$L$5:$L$3507,$L2709)&amp;CHAR(10)&amp;"⇔ "&amp;INDEX(ポート振替表!$H$5:$H$3507,$L2709)&amp;" "&amp;INDEX(ポート振替表!$I$5:$I$3507,$L2709))</f>
        <v/>
      </c>
      <c r="L2709" s="47" t="str">
        <f aca="false">IFERROR(MATCH(ROW()-4,ポート振替表!$V$5:$V$3507,0),"")</f>
        <v/>
      </c>
    </row>
    <row r="2710" customFormat="false" ht="16.4" hidden="false" customHeight="false" outlineLevel="0" collapsed="false">
      <c r="A2710" s="32" t="str">
        <f aca="false">IF(L2710="","",ROW()-4)</f>
        <v/>
      </c>
      <c r="B2710" s="58" t="str">
        <f aca="false">IF(L2710="","",IF(INDEX(ポート振替表!$W$5:$W$3507,$L2710)="","(なし)",INDEX(ポート振替表!$W$5:$W$3507,$L2710)&amp;""))</f>
        <v/>
      </c>
      <c r="C2710" s="52" t="str">
        <f aca="false">IF(L2710="","",INDEX(ポート振替表!$B$5:$B$3507,$L2710)&amp;" "&amp;INDEX(ポート振替表!$C$5:$C$3507,$L2710)&amp;"  ⇔  "&amp;INDEX(ポート振替表!$H$5:$H$3507,$L2710)&amp;" "&amp;INDEX(ポート振替表!$I$5:$I$3507,$L2710))</f>
        <v/>
      </c>
      <c r="D2710" s="57" t="s">
        <v>158</v>
      </c>
      <c r="E2710" s="59" t="str">
        <f aca="false">IF(L2710="","",IF(INDEX(ポート振替表!$O$5:$O$3507,$L2710)="","(未設定)",INDEX(ポート振替表!$O$5:$O$3507,$L2710)&amp;""))</f>
        <v/>
      </c>
      <c r="F2710" s="52" t="str">
        <f aca="false">IF(L2710="","",INDEX(ポート振替表!$K$5:$K$3507,$L2710)&amp;" "&amp;INDEX(ポート振替表!$L$5:$L$3507,$L2710)&amp;"  ⇔  "&amp;INDEX(ポート振替表!$H$5:$H$3507,$L2710)&amp;" "&amp;INDEX(ポート振替表!$I$5:$I$3507,$L2710))</f>
        <v/>
      </c>
      <c r="G2710" s="57" t="s">
        <v>158</v>
      </c>
      <c r="H2710" s="32" t="str">
        <f aca="false">IF(L2710="","",INDEX(ポート振替表!$N$5:$N$3507,$L2710)&amp;"")</f>
        <v/>
      </c>
      <c r="I2710" s="32" t="str">
        <f aca="false">IF(L2710="","",INDEX(ポート振替表!$P$5:$P$3507,$L2710)&amp;"")</f>
        <v/>
      </c>
      <c r="J2710" s="60" t="str">
        <f aca="false">IF(L2710="","",INDEX(ポート振替表!$M$5:$M$3507,$L2710)&amp;"")</f>
        <v/>
      </c>
      <c r="K2710" s="52" t="str">
        <f aca="false">IF(L2710="","",E2710&amp;CHAR(10)&amp;INDEX(ポート振替表!$K$5:$K$3507,$L2710)&amp;" "&amp;INDEX(ポート振替表!$L$5:$L$3507,$L2710)&amp;CHAR(10)&amp;"⇔ "&amp;INDEX(ポート振替表!$H$5:$H$3507,$L2710)&amp;" "&amp;INDEX(ポート振替表!$I$5:$I$3507,$L2710))</f>
        <v/>
      </c>
      <c r="L2710" s="47" t="str">
        <f aca="false">IFERROR(MATCH(ROW()-4,ポート振替表!$V$5:$V$3507,0),"")</f>
        <v/>
      </c>
    </row>
    <row r="2711" customFormat="false" ht="16.4" hidden="false" customHeight="false" outlineLevel="0" collapsed="false">
      <c r="A2711" s="32" t="str">
        <f aca="false">IF(L2711="","",ROW()-4)</f>
        <v/>
      </c>
      <c r="B2711" s="58" t="str">
        <f aca="false">IF(L2711="","",IF(INDEX(ポート振替表!$W$5:$W$3507,$L2711)="","(なし)",INDEX(ポート振替表!$W$5:$W$3507,$L2711)&amp;""))</f>
        <v/>
      </c>
      <c r="C2711" s="52" t="str">
        <f aca="false">IF(L2711="","",INDEX(ポート振替表!$B$5:$B$3507,$L2711)&amp;" "&amp;INDEX(ポート振替表!$C$5:$C$3507,$L2711)&amp;"  ⇔  "&amp;INDEX(ポート振替表!$H$5:$H$3507,$L2711)&amp;" "&amp;INDEX(ポート振替表!$I$5:$I$3507,$L2711))</f>
        <v/>
      </c>
      <c r="D2711" s="57" t="s">
        <v>158</v>
      </c>
      <c r="E2711" s="59" t="str">
        <f aca="false">IF(L2711="","",IF(INDEX(ポート振替表!$O$5:$O$3507,$L2711)="","(未設定)",INDEX(ポート振替表!$O$5:$O$3507,$L2711)&amp;""))</f>
        <v/>
      </c>
      <c r="F2711" s="52" t="str">
        <f aca="false">IF(L2711="","",INDEX(ポート振替表!$K$5:$K$3507,$L2711)&amp;" "&amp;INDEX(ポート振替表!$L$5:$L$3507,$L2711)&amp;"  ⇔  "&amp;INDEX(ポート振替表!$H$5:$H$3507,$L2711)&amp;" "&amp;INDEX(ポート振替表!$I$5:$I$3507,$L2711))</f>
        <v/>
      </c>
      <c r="G2711" s="57" t="s">
        <v>158</v>
      </c>
      <c r="H2711" s="32" t="str">
        <f aca="false">IF(L2711="","",INDEX(ポート振替表!$N$5:$N$3507,$L2711)&amp;"")</f>
        <v/>
      </c>
      <c r="I2711" s="32" t="str">
        <f aca="false">IF(L2711="","",INDEX(ポート振替表!$P$5:$P$3507,$L2711)&amp;"")</f>
        <v/>
      </c>
      <c r="J2711" s="60" t="str">
        <f aca="false">IF(L2711="","",INDEX(ポート振替表!$M$5:$M$3507,$L2711)&amp;"")</f>
        <v/>
      </c>
      <c r="K2711" s="52" t="str">
        <f aca="false">IF(L2711="","",E2711&amp;CHAR(10)&amp;INDEX(ポート振替表!$K$5:$K$3507,$L2711)&amp;" "&amp;INDEX(ポート振替表!$L$5:$L$3507,$L2711)&amp;CHAR(10)&amp;"⇔ "&amp;INDEX(ポート振替表!$H$5:$H$3507,$L2711)&amp;" "&amp;INDEX(ポート振替表!$I$5:$I$3507,$L2711))</f>
        <v/>
      </c>
      <c r="L2711" s="47" t="str">
        <f aca="false">IFERROR(MATCH(ROW()-4,ポート振替表!$V$5:$V$3507,0),"")</f>
        <v/>
      </c>
    </row>
    <row r="2712" customFormat="false" ht="16.4" hidden="false" customHeight="false" outlineLevel="0" collapsed="false">
      <c r="A2712" s="32" t="str">
        <f aca="false">IF(L2712="","",ROW()-4)</f>
        <v/>
      </c>
      <c r="B2712" s="58" t="str">
        <f aca="false">IF(L2712="","",IF(INDEX(ポート振替表!$W$5:$W$3507,$L2712)="","(なし)",INDEX(ポート振替表!$W$5:$W$3507,$L2712)&amp;""))</f>
        <v/>
      </c>
      <c r="C2712" s="52" t="str">
        <f aca="false">IF(L2712="","",INDEX(ポート振替表!$B$5:$B$3507,$L2712)&amp;" "&amp;INDEX(ポート振替表!$C$5:$C$3507,$L2712)&amp;"  ⇔  "&amp;INDEX(ポート振替表!$H$5:$H$3507,$L2712)&amp;" "&amp;INDEX(ポート振替表!$I$5:$I$3507,$L2712))</f>
        <v/>
      </c>
      <c r="D2712" s="57" t="s">
        <v>158</v>
      </c>
      <c r="E2712" s="59" t="str">
        <f aca="false">IF(L2712="","",IF(INDEX(ポート振替表!$O$5:$O$3507,$L2712)="","(未設定)",INDEX(ポート振替表!$O$5:$O$3507,$L2712)&amp;""))</f>
        <v/>
      </c>
      <c r="F2712" s="52" t="str">
        <f aca="false">IF(L2712="","",INDEX(ポート振替表!$K$5:$K$3507,$L2712)&amp;" "&amp;INDEX(ポート振替表!$L$5:$L$3507,$L2712)&amp;"  ⇔  "&amp;INDEX(ポート振替表!$H$5:$H$3507,$L2712)&amp;" "&amp;INDEX(ポート振替表!$I$5:$I$3507,$L2712))</f>
        <v/>
      </c>
      <c r="G2712" s="57" t="s">
        <v>158</v>
      </c>
      <c r="H2712" s="32" t="str">
        <f aca="false">IF(L2712="","",INDEX(ポート振替表!$N$5:$N$3507,$L2712)&amp;"")</f>
        <v/>
      </c>
      <c r="I2712" s="32" t="str">
        <f aca="false">IF(L2712="","",INDEX(ポート振替表!$P$5:$P$3507,$L2712)&amp;"")</f>
        <v/>
      </c>
      <c r="J2712" s="60" t="str">
        <f aca="false">IF(L2712="","",INDEX(ポート振替表!$M$5:$M$3507,$L2712)&amp;"")</f>
        <v/>
      </c>
      <c r="K2712" s="52" t="str">
        <f aca="false">IF(L2712="","",E2712&amp;CHAR(10)&amp;INDEX(ポート振替表!$K$5:$K$3507,$L2712)&amp;" "&amp;INDEX(ポート振替表!$L$5:$L$3507,$L2712)&amp;CHAR(10)&amp;"⇔ "&amp;INDEX(ポート振替表!$H$5:$H$3507,$L2712)&amp;" "&amp;INDEX(ポート振替表!$I$5:$I$3507,$L2712))</f>
        <v/>
      </c>
      <c r="L2712" s="47" t="str">
        <f aca="false">IFERROR(MATCH(ROW()-4,ポート振替表!$V$5:$V$3507,0),"")</f>
        <v/>
      </c>
    </row>
    <row r="2713" customFormat="false" ht="16.4" hidden="false" customHeight="false" outlineLevel="0" collapsed="false">
      <c r="A2713" s="32" t="str">
        <f aca="false">IF(L2713="","",ROW()-4)</f>
        <v/>
      </c>
      <c r="B2713" s="58" t="str">
        <f aca="false">IF(L2713="","",IF(INDEX(ポート振替表!$W$5:$W$3507,$L2713)="","(なし)",INDEX(ポート振替表!$W$5:$W$3507,$L2713)&amp;""))</f>
        <v/>
      </c>
      <c r="C2713" s="52" t="str">
        <f aca="false">IF(L2713="","",INDEX(ポート振替表!$B$5:$B$3507,$L2713)&amp;" "&amp;INDEX(ポート振替表!$C$5:$C$3507,$L2713)&amp;"  ⇔  "&amp;INDEX(ポート振替表!$H$5:$H$3507,$L2713)&amp;" "&amp;INDEX(ポート振替表!$I$5:$I$3507,$L2713))</f>
        <v/>
      </c>
      <c r="D2713" s="57" t="s">
        <v>158</v>
      </c>
      <c r="E2713" s="59" t="str">
        <f aca="false">IF(L2713="","",IF(INDEX(ポート振替表!$O$5:$O$3507,$L2713)="","(未設定)",INDEX(ポート振替表!$O$5:$O$3507,$L2713)&amp;""))</f>
        <v/>
      </c>
      <c r="F2713" s="52" t="str">
        <f aca="false">IF(L2713="","",INDEX(ポート振替表!$K$5:$K$3507,$L2713)&amp;" "&amp;INDEX(ポート振替表!$L$5:$L$3507,$L2713)&amp;"  ⇔  "&amp;INDEX(ポート振替表!$H$5:$H$3507,$L2713)&amp;" "&amp;INDEX(ポート振替表!$I$5:$I$3507,$L2713))</f>
        <v/>
      </c>
      <c r="G2713" s="57" t="s">
        <v>158</v>
      </c>
      <c r="H2713" s="32" t="str">
        <f aca="false">IF(L2713="","",INDEX(ポート振替表!$N$5:$N$3507,$L2713)&amp;"")</f>
        <v/>
      </c>
      <c r="I2713" s="32" t="str">
        <f aca="false">IF(L2713="","",INDEX(ポート振替表!$P$5:$P$3507,$L2713)&amp;"")</f>
        <v/>
      </c>
      <c r="J2713" s="60" t="str">
        <f aca="false">IF(L2713="","",INDEX(ポート振替表!$M$5:$M$3507,$L2713)&amp;"")</f>
        <v/>
      </c>
      <c r="K2713" s="52" t="str">
        <f aca="false">IF(L2713="","",E2713&amp;CHAR(10)&amp;INDEX(ポート振替表!$K$5:$K$3507,$L2713)&amp;" "&amp;INDEX(ポート振替表!$L$5:$L$3507,$L2713)&amp;CHAR(10)&amp;"⇔ "&amp;INDEX(ポート振替表!$H$5:$H$3507,$L2713)&amp;" "&amp;INDEX(ポート振替表!$I$5:$I$3507,$L2713))</f>
        <v/>
      </c>
      <c r="L2713" s="47" t="str">
        <f aca="false">IFERROR(MATCH(ROW()-4,ポート振替表!$V$5:$V$3507,0),"")</f>
        <v/>
      </c>
    </row>
    <row r="2714" customFormat="false" ht="16.4" hidden="false" customHeight="false" outlineLevel="0" collapsed="false">
      <c r="A2714" s="32" t="str">
        <f aca="false">IF(L2714="","",ROW()-4)</f>
        <v/>
      </c>
      <c r="B2714" s="58" t="str">
        <f aca="false">IF(L2714="","",IF(INDEX(ポート振替表!$W$5:$W$3507,$L2714)="","(なし)",INDEX(ポート振替表!$W$5:$W$3507,$L2714)&amp;""))</f>
        <v/>
      </c>
      <c r="C2714" s="52" t="str">
        <f aca="false">IF(L2714="","",INDEX(ポート振替表!$B$5:$B$3507,$L2714)&amp;" "&amp;INDEX(ポート振替表!$C$5:$C$3507,$L2714)&amp;"  ⇔  "&amp;INDEX(ポート振替表!$H$5:$H$3507,$L2714)&amp;" "&amp;INDEX(ポート振替表!$I$5:$I$3507,$L2714))</f>
        <v/>
      </c>
      <c r="D2714" s="57" t="s">
        <v>158</v>
      </c>
      <c r="E2714" s="59" t="str">
        <f aca="false">IF(L2714="","",IF(INDEX(ポート振替表!$O$5:$O$3507,$L2714)="","(未設定)",INDEX(ポート振替表!$O$5:$O$3507,$L2714)&amp;""))</f>
        <v/>
      </c>
      <c r="F2714" s="52" t="str">
        <f aca="false">IF(L2714="","",INDEX(ポート振替表!$K$5:$K$3507,$L2714)&amp;" "&amp;INDEX(ポート振替表!$L$5:$L$3507,$L2714)&amp;"  ⇔  "&amp;INDEX(ポート振替表!$H$5:$H$3507,$L2714)&amp;" "&amp;INDEX(ポート振替表!$I$5:$I$3507,$L2714))</f>
        <v/>
      </c>
      <c r="G2714" s="57" t="s">
        <v>158</v>
      </c>
      <c r="H2714" s="32" t="str">
        <f aca="false">IF(L2714="","",INDEX(ポート振替表!$N$5:$N$3507,$L2714)&amp;"")</f>
        <v/>
      </c>
      <c r="I2714" s="32" t="str">
        <f aca="false">IF(L2714="","",INDEX(ポート振替表!$P$5:$P$3507,$L2714)&amp;"")</f>
        <v/>
      </c>
      <c r="J2714" s="60" t="str">
        <f aca="false">IF(L2714="","",INDEX(ポート振替表!$M$5:$M$3507,$L2714)&amp;"")</f>
        <v/>
      </c>
      <c r="K2714" s="52" t="str">
        <f aca="false">IF(L2714="","",E2714&amp;CHAR(10)&amp;INDEX(ポート振替表!$K$5:$K$3507,$L2714)&amp;" "&amp;INDEX(ポート振替表!$L$5:$L$3507,$L2714)&amp;CHAR(10)&amp;"⇔ "&amp;INDEX(ポート振替表!$H$5:$H$3507,$L2714)&amp;" "&amp;INDEX(ポート振替表!$I$5:$I$3507,$L2714))</f>
        <v/>
      </c>
      <c r="L2714" s="47" t="str">
        <f aca="false">IFERROR(MATCH(ROW()-4,ポート振替表!$V$5:$V$3507,0),"")</f>
        <v/>
      </c>
    </row>
    <row r="2715" customFormat="false" ht="16.4" hidden="false" customHeight="false" outlineLevel="0" collapsed="false">
      <c r="A2715" s="32" t="str">
        <f aca="false">IF(L2715="","",ROW()-4)</f>
        <v/>
      </c>
      <c r="B2715" s="58" t="str">
        <f aca="false">IF(L2715="","",IF(INDEX(ポート振替表!$W$5:$W$3507,$L2715)="","(なし)",INDEX(ポート振替表!$W$5:$W$3507,$L2715)&amp;""))</f>
        <v/>
      </c>
      <c r="C2715" s="52" t="str">
        <f aca="false">IF(L2715="","",INDEX(ポート振替表!$B$5:$B$3507,$L2715)&amp;" "&amp;INDEX(ポート振替表!$C$5:$C$3507,$L2715)&amp;"  ⇔  "&amp;INDEX(ポート振替表!$H$5:$H$3507,$L2715)&amp;" "&amp;INDEX(ポート振替表!$I$5:$I$3507,$L2715))</f>
        <v/>
      </c>
      <c r="D2715" s="57" t="s">
        <v>158</v>
      </c>
      <c r="E2715" s="59" t="str">
        <f aca="false">IF(L2715="","",IF(INDEX(ポート振替表!$O$5:$O$3507,$L2715)="","(未設定)",INDEX(ポート振替表!$O$5:$O$3507,$L2715)&amp;""))</f>
        <v/>
      </c>
      <c r="F2715" s="52" t="str">
        <f aca="false">IF(L2715="","",INDEX(ポート振替表!$K$5:$K$3507,$L2715)&amp;" "&amp;INDEX(ポート振替表!$L$5:$L$3507,$L2715)&amp;"  ⇔  "&amp;INDEX(ポート振替表!$H$5:$H$3507,$L2715)&amp;" "&amp;INDEX(ポート振替表!$I$5:$I$3507,$L2715))</f>
        <v/>
      </c>
      <c r="G2715" s="57" t="s">
        <v>158</v>
      </c>
      <c r="H2715" s="32" t="str">
        <f aca="false">IF(L2715="","",INDEX(ポート振替表!$N$5:$N$3507,$L2715)&amp;"")</f>
        <v/>
      </c>
      <c r="I2715" s="32" t="str">
        <f aca="false">IF(L2715="","",INDEX(ポート振替表!$P$5:$P$3507,$L2715)&amp;"")</f>
        <v/>
      </c>
      <c r="J2715" s="60" t="str">
        <f aca="false">IF(L2715="","",INDEX(ポート振替表!$M$5:$M$3507,$L2715)&amp;"")</f>
        <v/>
      </c>
      <c r="K2715" s="52" t="str">
        <f aca="false">IF(L2715="","",E2715&amp;CHAR(10)&amp;INDEX(ポート振替表!$K$5:$K$3507,$L2715)&amp;" "&amp;INDEX(ポート振替表!$L$5:$L$3507,$L2715)&amp;CHAR(10)&amp;"⇔ "&amp;INDEX(ポート振替表!$H$5:$H$3507,$L2715)&amp;" "&amp;INDEX(ポート振替表!$I$5:$I$3507,$L2715))</f>
        <v/>
      </c>
      <c r="L2715" s="47" t="str">
        <f aca="false">IFERROR(MATCH(ROW()-4,ポート振替表!$V$5:$V$3507,0),"")</f>
        <v/>
      </c>
    </row>
    <row r="2716" customFormat="false" ht="16.4" hidden="false" customHeight="false" outlineLevel="0" collapsed="false">
      <c r="A2716" s="32" t="str">
        <f aca="false">IF(L2716="","",ROW()-4)</f>
        <v/>
      </c>
      <c r="B2716" s="58" t="str">
        <f aca="false">IF(L2716="","",IF(INDEX(ポート振替表!$W$5:$W$3507,$L2716)="","(なし)",INDEX(ポート振替表!$W$5:$W$3507,$L2716)&amp;""))</f>
        <v/>
      </c>
      <c r="C2716" s="52" t="str">
        <f aca="false">IF(L2716="","",INDEX(ポート振替表!$B$5:$B$3507,$L2716)&amp;" "&amp;INDEX(ポート振替表!$C$5:$C$3507,$L2716)&amp;"  ⇔  "&amp;INDEX(ポート振替表!$H$5:$H$3507,$L2716)&amp;" "&amp;INDEX(ポート振替表!$I$5:$I$3507,$L2716))</f>
        <v/>
      </c>
      <c r="D2716" s="57" t="s">
        <v>158</v>
      </c>
      <c r="E2716" s="59" t="str">
        <f aca="false">IF(L2716="","",IF(INDEX(ポート振替表!$O$5:$O$3507,$L2716)="","(未設定)",INDEX(ポート振替表!$O$5:$O$3507,$L2716)&amp;""))</f>
        <v/>
      </c>
      <c r="F2716" s="52" t="str">
        <f aca="false">IF(L2716="","",INDEX(ポート振替表!$K$5:$K$3507,$L2716)&amp;" "&amp;INDEX(ポート振替表!$L$5:$L$3507,$L2716)&amp;"  ⇔  "&amp;INDEX(ポート振替表!$H$5:$H$3507,$L2716)&amp;" "&amp;INDEX(ポート振替表!$I$5:$I$3507,$L2716))</f>
        <v/>
      </c>
      <c r="G2716" s="57" t="s">
        <v>158</v>
      </c>
      <c r="H2716" s="32" t="str">
        <f aca="false">IF(L2716="","",INDEX(ポート振替表!$N$5:$N$3507,$L2716)&amp;"")</f>
        <v/>
      </c>
      <c r="I2716" s="32" t="str">
        <f aca="false">IF(L2716="","",INDEX(ポート振替表!$P$5:$P$3507,$L2716)&amp;"")</f>
        <v/>
      </c>
      <c r="J2716" s="60" t="str">
        <f aca="false">IF(L2716="","",INDEX(ポート振替表!$M$5:$M$3507,$L2716)&amp;"")</f>
        <v/>
      </c>
      <c r="K2716" s="52" t="str">
        <f aca="false">IF(L2716="","",E2716&amp;CHAR(10)&amp;INDEX(ポート振替表!$K$5:$K$3507,$L2716)&amp;" "&amp;INDEX(ポート振替表!$L$5:$L$3507,$L2716)&amp;CHAR(10)&amp;"⇔ "&amp;INDEX(ポート振替表!$H$5:$H$3507,$L2716)&amp;" "&amp;INDEX(ポート振替表!$I$5:$I$3507,$L2716))</f>
        <v/>
      </c>
      <c r="L2716" s="47" t="str">
        <f aca="false">IFERROR(MATCH(ROW()-4,ポート振替表!$V$5:$V$3507,0),"")</f>
        <v/>
      </c>
    </row>
    <row r="2717" customFormat="false" ht="16.4" hidden="false" customHeight="false" outlineLevel="0" collapsed="false">
      <c r="A2717" s="32" t="str">
        <f aca="false">IF(L2717="","",ROW()-4)</f>
        <v/>
      </c>
      <c r="B2717" s="58" t="str">
        <f aca="false">IF(L2717="","",IF(INDEX(ポート振替表!$W$5:$W$3507,$L2717)="","(なし)",INDEX(ポート振替表!$W$5:$W$3507,$L2717)&amp;""))</f>
        <v/>
      </c>
      <c r="C2717" s="52" t="str">
        <f aca="false">IF(L2717="","",INDEX(ポート振替表!$B$5:$B$3507,$L2717)&amp;" "&amp;INDEX(ポート振替表!$C$5:$C$3507,$L2717)&amp;"  ⇔  "&amp;INDEX(ポート振替表!$H$5:$H$3507,$L2717)&amp;" "&amp;INDEX(ポート振替表!$I$5:$I$3507,$L2717))</f>
        <v/>
      </c>
      <c r="D2717" s="57" t="s">
        <v>158</v>
      </c>
      <c r="E2717" s="59" t="str">
        <f aca="false">IF(L2717="","",IF(INDEX(ポート振替表!$O$5:$O$3507,$L2717)="","(未設定)",INDEX(ポート振替表!$O$5:$O$3507,$L2717)&amp;""))</f>
        <v/>
      </c>
      <c r="F2717" s="52" t="str">
        <f aca="false">IF(L2717="","",INDEX(ポート振替表!$K$5:$K$3507,$L2717)&amp;" "&amp;INDEX(ポート振替表!$L$5:$L$3507,$L2717)&amp;"  ⇔  "&amp;INDEX(ポート振替表!$H$5:$H$3507,$L2717)&amp;" "&amp;INDEX(ポート振替表!$I$5:$I$3507,$L2717))</f>
        <v/>
      </c>
      <c r="G2717" s="57" t="s">
        <v>158</v>
      </c>
      <c r="H2717" s="32" t="str">
        <f aca="false">IF(L2717="","",INDEX(ポート振替表!$N$5:$N$3507,$L2717)&amp;"")</f>
        <v/>
      </c>
      <c r="I2717" s="32" t="str">
        <f aca="false">IF(L2717="","",INDEX(ポート振替表!$P$5:$P$3507,$L2717)&amp;"")</f>
        <v/>
      </c>
      <c r="J2717" s="60" t="str">
        <f aca="false">IF(L2717="","",INDEX(ポート振替表!$M$5:$M$3507,$L2717)&amp;"")</f>
        <v/>
      </c>
      <c r="K2717" s="52" t="str">
        <f aca="false">IF(L2717="","",E2717&amp;CHAR(10)&amp;INDEX(ポート振替表!$K$5:$K$3507,$L2717)&amp;" "&amp;INDEX(ポート振替表!$L$5:$L$3507,$L2717)&amp;CHAR(10)&amp;"⇔ "&amp;INDEX(ポート振替表!$H$5:$H$3507,$L2717)&amp;" "&amp;INDEX(ポート振替表!$I$5:$I$3507,$L2717))</f>
        <v/>
      </c>
      <c r="L2717" s="47" t="str">
        <f aca="false">IFERROR(MATCH(ROW()-4,ポート振替表!$V$5:$V$3507,0),"")</f>
        <v/>
      </c>
    </row>
    <row r="2718" customFormat="false" ht="16.4" hidden="false" customHeight="false" outlineLevel="0" collapsed="false">
      <c r="A2718" s="32" t="str">
        <f aca="false">IF(L2718="","",ROW()-4)</f>
        <v/>
      </c>
      <c r="B2718" s="58" t="str">
        <f aca="false">IF(L2718="","",IF(INDEX(ポート振替表!$W$5:$W$3507,$L2718)="","(なし)",INDEX(ポート振替表!$W$5:$W$3507,$L2718)&amp;""))</f>
        <v/>
      </c>
      <c r="C2718" s="52" t="str">
        <f aca="false">IF(L2718="","",INDEX(ポート振替表!$B$5:$B$3507,$L2718)&amp;" "&amp;INDEX(ポート振替表!$C$5:$C$3507,$L2718)&amp;"  ⇔  "&amp;INDEX(ポート振替表!$H$5:$H$3507,$L2718)&amp;" "&amp;INDEX(ポート振替表!$I$5:$I$3507,$L2718))</f>
        <v/>
      </c>
      <c r="D2718" s="57" t="s">
        <v>158</v>
      </c>
      <c r="E2718" s="59" t="str">
        <f aca="false">IF(L2718="","",IF(INDEX(ポート振替表!$O$5:$O$3507,$L2718)="","(未設定)",INDEX(ポート振替表!$O$5:$O$3507,$L2718)&amp;""))</f>
        <v/>
      </c>
      <c r="F2718" s="52" t="str">
        <f aca="false">IF(L2718="","",INDEX(ポート振替表!$K$5:$K$3507,$L2718)&amp;" "&amp;INDEX(ポート振替表!$L$5:$L$3507,$L2718)&amp;"  ⇔  "&amp;INDEX(ポート振替表!$H$5:$H$3507,$L2718)&amp;" "&amp;INDEX(ポート振替表!$I$5:$I$3507,$L2718))</f>
        <v/>
      </c>
      <c r="G2718" s="57" t="s">
        <v>158</v>
      </c>
      <c r="H2718" s="32" t="str">
        <f aca="false">IF(L2718="","",INDEX(ポート振替表!$N$5:$N$3507,$L2718)&amp;"")</f>
        <v/>
      </c>
      <c r="I2718" s="32" t="str">
        <f aca="false">IF(L2718="","",INDEX(ポート振替表!$P$5:$P$3507,$L2718)&amp;"")</f>
        <v/>
      </c>
      <c r="J2718" s="60" t="str">
        <f aca="false">IF(L2718="","",INDEX(ポート振替表!$M$5:$M$3507,$L2718)&amp;"")</f>
        <v/>
      </c>
      <c r="K2718" s="52" t="str">
        <f aca="false">IF(L2718="","",E2718&amp;CHAR(10)&amp;INDEX(ポート振替表!$K$5:$K$3507,$L2718)&amp;" "&amp;INDEX(ポート振替表!$L$5:$L$3507,$L2718)&amp;CHAR(10)&amp;"⇔ "&amp;INDEX(ポート振替表!$H$5:$H$3507,$L2718)&amp;" "&amp;INDEX(ポート振替表!$I$5:$I$3507,$L2718))</f>
        <v/>
      </c>
      <c r="L2718" s="47" t="str">
        <f aca="false">IFERROR(MATCH(ROW()-4,ポート振替表!$V$5:$V$3507,0),"")</f>
        <v/>
      </c>
    </row>
    <row r="2719" customFormat="false" ht="16.4" hidden="false" customHeight="false" outlineLevel="0" collapsed="false">
      <c r="A2719" s="32" t="str">
        <f aca="false">IF(L2719="","",ROW()-4)</f>
        <v/>
      </c>
      <c r="B2719" s="58" t="str">
        <f aca="false">IF(L2719="","",IF(INDEX(ポート振替表!$W$5:$W$3507,$L2719)="","(なし)",INDEX(ポート振替表!$W$5:$W$3507,$L2719)&amp;""))</f>
        <v/>
      </c>
      <c r="C2719" s="52" t="str">
        <f aca="false">IF(L2719="","",INDEX(ポート振替表!$B$5:$B$3507,$L2719)&amp;" "&amp;INDEX(ポート振替表!$C$5:$C$3507,$L2719)&amp;"  ⇔  "&amp;INDEX(ポート振替表!$H$5:$H$3507,$L2719)&amp;" "&amp;INDEX(ポート振替表!$I$5:$I$3507,$L2719))</f>
        <v/>
      </c>
      <c r="D2719" s="57" t="s">
        <v>158</v>
      </c>
      <c r="E2719" s="59" t="str">
        <f aca="false">IF(L2719="","",IF(INDEX(ポート振替表!$O$5:$O$3507,$L2719)="","(未設定)",INDEX(ポート振替表!$O$5:$O$3507,$L2719)&amp;""))</f>
        <v/>
      </c>
      <c r="F2719" s="52" t="str">
        <f aca="false">IF(L2719="","",INDEX(ポート振替表!$K$5:$K$3507,$L2719)&amp;" "&amp;INDEX(ポート振替表!$L$5:$L$3507,$L2719)&amp;"  ⇔  "&amp;INDEX(ポート振替表!$H$5:$H$3507,$L2719)&amp;" "&amp;INDEX(ポート振替表!$I$5:$I$3507,$L2719))</f>
        <v/>
      </c>
      <c r="G2719" s="57" t="s">
        <v>158</v>
      </c>
      <c r="H2719" s="32" t="str">
        <f aca="false">IF(L2719="","",INDEX(ポート振替表!$N$5:$N$3507,$L2719)&amp;"")</f>
        <v/>
      </c>
      <c r="I2719" s="32" t="str">
        <f aca="false">IF(L2719="","",INDEX(ポート振替表!$P$5:$P$3507,$L2719)&amp;"")</f>
        <v/>
      </c>
      <c r="J2719" s="60" t="str">
        <f aca="false">IF(L2719="","",INDEX(ポート振替表!$M$5:$M$3507,$L2719)&amp;"")</f>
        <v/>
      </c>
      <c r="K2719" s="52" t="str">
        <f aca="false">IF(L2719="","",E2719&amp;CHAR(10)&amp;INDEX(ポート振替表!$K$5:$K$3507,$L2719)&amp;" "&amp;INDEX(ポート振替表!$L$5:$L$3507,$L2719)&amp;CHAR(10)&amp;"⇔ "&amp;INDEX(ポート振替表!$H$5:$H$3507,$L2719)&amp;" "&amp;INDEX(ポート振替表!$I$5:$I$3507,$L2719))</f>
        <v/>
      </c>
      <c r="L2719" s="47" t="str">
        <f aca="false">IFERROR(MATCH(ROW()-4,ポート振替表!$V$5:$V$3507,0),"")</f>
        <v/>
      </c>
    </row>
    <row r="2720" customFormat="false" ht="16.4" hidden="false" customHeight="false" outlineLevel="0" collapsed="false">
      <c r="A2720" s="32" t="str">
        <f aca="false">IF(L2720="","",ROW()-4)</f>
        <v/>
      </c>
      <c r="B2720" s="58" t="str">
        <f aca="false">IF(L2720="","",IF(INDEX(ポート振替表!$W$5:$W$3507,$L2720)="","(なし)",INDEX(ポート振替表!$W$5:$W$3507,$L2720)&amp;""))</f>
        <v/>
      </c>
      <c r="C2720" s="52" t="str">
        <f aca="false">IF(L2720="","",INDEX(ポート振替表!$B$5:$B$3507,$L2720)&amp;" "&amp;INDEX(ポート振替表!$C$5:$C$3507,$L2720)&amp;"  ⇔  "&amp;INDEX(ポート振替表!$H$5:$H$3507,$L2720)&amp;" "&amp;INDEX(ポート振替表!$I$5:$I$3507,$L2720))</f>
        <v/>
      </c>
      <c r="D2720" s="57" t="s">
        <v>158</v>
      </c>
      <c r="E2720" s="59" t="str">
        <f aca="false">IF(L2720="","",IF(INDEX(ポート振替表!$O$5:$O$3507,$L2720)="","(未設定)",INDEX(ポート振替表!$O$5:$O$3507,$L2720)&amp;""))</f>
        <v/>
      </c>
      <c r="F2720" s="52" t="str">
        <f aca="false">IF(L2720="","",INDEX(ポート振替表!$K$5:$K$3507,$L2720)&amp;" "&amp;INDEX(ポート振替表!$L$5:$L$3507,$L2720)&amp;"  ⇔  "&amp;INDEX(ポート振替表!$H$5:$H$3507,$L2720)&amp;" "&amp;INDEX(ポート振替表!$I$5:$I$3507,$L2720))</f>
        <v/>
      </c>
      <c r="G2720" s="57" t="s">
        <v>158</v>
      </c>
      <c r="H2720" s="32" t="str">
        <f aca="false">IF(L2720="","",INDEX(ポート振替表!$N$5:$N$3507,$L2720)&amp;"")</f>
        <v/>
      </c>
      <c r="I2720" s="32" t="str">
        <f aca="false">IF(L2720="","",INDEX(ポート振替表!$P$5:$P$3507,$L2720)&amp;"")</f>
        <v/>
      </c>
      <c r="J2720" s="60" t="str">
        <f aca="false">IF(L2720="","",INDEX(ポート振替表!$M$5:$M$3507,$L2720)&amp;"")</f>
        <v/>
      </c>
      <c r="K2720" s="52" t="str">
        <f aca="false">IF(L2720="","",E2720&amp;CHAR(10)&amp;INDEX(ポート振替表!$K$5:$K$3507,$L2720)&amp;" "&amp;INDEX(ポート振替表!$L$5:$L$3507,$L2720)&amp;CHAR(10)&amp;"⇔ "&amp;INDEX(ポート振替表!$H$5:$H$3507,$L2720)&amp;" "&amp;INDEX(ポート振替表!$I$5:$I$3507,$L2720))</f>
        <v/>
      </c>
      <c r="L2720" s="47" t="str">
        <f aca="false">IFERROR(MATCH(ROW()-4,ポート振替表!$V$5:$V$3507,0),"")</f>
        <v/>
      </c>
    </row>
    <row r="2721" customFormat="false" ht="16.4" hidden="false" customHeight="false" outlineLevel="0" collapsed="false">
      <c r="A2721" s="32" t="str">
        <f aca="false">IF(L2721="","",ROW()-4)</f>
        <v/>
      </c>
      <c r="B2721" s="58" t="str">
        <f aca="false">IF(L2721="","",IF(INDEX(ポート振替表!$W$5:$W$3507,$L2721)="","(なし)",INDEX(ポート振替表!$W$5:$W$3507,$L2721)&amp;""))</f>
        <v/>
      </c>
      <c r="C2721" s="52" t="str">
        <f aca="false">IF(L2721="","",INDEX(ポート振替表!$B$5:$B$3507,$L2721)&amp;" "&amp;INDEX(ポート振替表!$C$5:$C$3507,$L2721)&amp;"  ⇔  "&amp;INDEX(ポート振替表!$H$5:$H$3507,$L2721)&amp;" "&amp;INDEX(ポート振替表!$I$5:$I$3507,$L2721))</f>
        <v/>
      </c>
      <c r="D2721" s="57" t="s">
        <v>158</v>
      </c>
      <c r="E2721" s="59" t="str">
        <f aca="false">IF(L2721="","",IF(INDEX(ポート振替表!$O$5:$O$3507,$L2721)="","(未設定)",INDEX(ポート振替表!$O$5:$O$3507,$L2721)&amp;""))</f>
        <v/>
      </c>
      <c r="F2721" s="52" t="str">
        <f aca="false">IF(L2721="","",INDEX(ポート振替表!$K$5:$K$3507,$L2721)&amp;" "&amp;INDEX(ポート振替表!$L$5:$L$3507,$L2721)&amp;"  ⇔  "&amp;INDEX(ポート振替表!$H$5:$H$3507,$L2721)&amp;" "&amp;INDEX(ポート振替表!$I$5:$I$3507,$L2721))</f>
        <v/>
      </c>
      <c r="G2721" s="57" t="s">
        <v>158</v>
      </c>
      <c r="H2721" s="32" t="str">
        <f aca="false">IF(L2721="","",INDEX(ポート振替表!$N$5:$N$3507,$L2721)&amp;"")</f>
        <v/>
      </c>
      <c r="I2721" s="32" t="str">
        <f aca="false">IF(L2721="","",INDEX(ポート振替表!$P$5:$P$3507,$L2721)&amp;"")</f>
        <v/>
      </c>
      <c r="J2721" s="60" t="str">
        <f aca="false">IF(L2721="","",INDEX(ポート振替表!$M$5:$M$3507,$L2721)&amp;"")</f>
        <v/>
      </c>
      <c r="K2721" s="52" t="str">
        <f aca="false">IF(L2721="","",E2721&amp;CHAR(10)&amp;INDEX(ポート振替表!$K$5:$K$3507,$L2721)&amp;" "&amp;INDEX(ポート振替表!$L$5:$L$3507,$L2721)&amp;CHAR(10)&amp;"⇔ "&amp;INDEX(ポート振替表!$H$5:$H$3507,$L2721)&amp;" "&amp;INDEX(ポート振替表!$I$5:$I$3507,$L2721))</f>
        <v/>
      </c>
      <c r="L2721" s="47" t="str">
        <f aca="false">IFERROR(MATCH(ROW()-4,ポート振替表!$V$5:$V$3507,0),"")</f>
        <v/>
      </c>
    </row>
    <row r="2722" customFormat="false" ht="16.4" hidden="false" customHeight="false" outlineLevel="0" collapsed="false">
      <c r="A2722" s="32" t="str">
        <f aca="false">IF(L2722="","",ROW()-4)</f>
        <v/>
      </c>
      <c r="B2722" s="58" t="str">
        <f aca="false">IF(L2722="","",IF(INDEX(ポート振替表!$W$5:$W$3507,$L2722)="","(なし)",INDEX(ポート振替表!$W$5:$W$3507,$L2722)&amp;""))</f>
        <v/>
      </c>
      <c r="C2722" s="52" t="str">
        <f aca="false">IF(L2722="","",INDEX(ポート振替表!$B$5:$B$3507,$L2722)&amp;" "&amp;INDEX(ポート振替表!$C$5:$C$3507,$L2722)&amp;"  ⇔  "&amp;INDEX(ポート振替表!$H$5:$H$3507,$L2722)&amp;" "&amp;INDEX(ポート振替表!$I$5:$I$3507,$L2722))</f>
        <v/>
      </c>
      <c r="D2722" s="57" t="s">
        <v>158</v>
      </c>
      <c r="E2722" s="59" t="str">
        <f aca="false">IF(L2722="","",IF(INDEX(ポート振替表!$O$5:$O$3507,$L2722)="","(未設定)",INDEX(ポート振替表!$O$5:$O$3507,$L2722)&amp;""))</f>
        <v/>
      </c>
      <c r="F2722" s="52" t="str">
        <f aca="false">IF(L2722="","",INDEX(ポート振替表!$K$5:$K$3507,$L2722)&amp;" "&amp;INDEX(ポート振替表!$L$5:$L$3507,$L2722)&amp;"  ⇔  "&amp;INDEX(ポート振替表!$H$5:$H$3507,$L2722)&amp;" "&amp;INDEX(ポート振替表!$I$5:$I$3507,$L2722))</f>
        <v/>
      </c>
      <c r="G2722" s="57" t="s">
        <v>158</v>
      </c>
      <c r="H2722" s="32" t="str">
        <f aca="false">IF(L2722="","",INDEX(ポート振替表!$N$5:$N$3507,$L2722)&amp;"")</f>
        <v/>
      </c>
      <c r="I2722" s="32" t="str">
        <f aca="false">IF(L2722="","",INDEX(ポート振替表!$P$5:$P$3507,$L2722)&amp;"")</f>
        <v/>
      </c>
      <c r="J2722" s="60" t="str">
        <f aca="false">IF(L2722="","",INDEX(ポート振替表!$M$5:$M$3507,$L2722)&amp;"")</f>
        <v/>
      </c>
      <c r="K2722" s="52" t="str">
        <f aca="false">IF(L2722="","",E2722&amp;CHAR(10)&amp;INDEX(ポート振替表!$K$5:$K$3507,$L2722)&amp;" "&amp;INDEX(ポート振替表!$L$5:$L$3507,$L2722)&amp;CHAR(10)&amp;"⇔ "&amp;INDEX(ポート振替表!$H$5:$H$3507,$L2722)&amp;" "&amp;INDEX(ポート振替表!$I$5:$I$3507,$L2722))</f>
        <v/>
      </c>
      <c r="L2722" s="47" t="str">
        <f aca="false">IFERROR(MATCH(ROW()-4,ポート振替表!$V$5:$V$3507,0),"")</f>
        <v/>
      </c>
    </row>
    <row r="2723" customFormat="false" ht="16.4" hidden="false" customHeight="false" outlineLevel="0" collapsed="false">
      <c r="A2723" s="32" t="str">
        <f aca="false">IF(L2723="","",ROW()-4)</f>
        <v/>
      </c>
      <c r="B2723" s="58" t="str">
        <f aca="false">IF(L2723="","",IF(INDEX(ポート振替表!$W$5:$W$3507,$L2723)="","(なし)",INDEX(ポート振替表!$W$5:$W$3507,$L2723)&amp;""))</f>
        <v/>
      </c>
      <c r="C2723" s="52" t="str">
        <f aca="false">IF(L2723="","",INDEX(ポート振替表!$B$5:$B$3507,$L2723)&amp;" "&amp;INDEX(ポート振替表!$C$5:$C$3507,$L2723)&amp;"  ⇔  "&amp;INDEX(ポート振替表!$H$5:$H$3507,$L2723)&amp;" "&amp;INDEX(ポート振替表!$I$5:$I$3507,$L2723))</f>
        <v/>
      </c>
      <c r="D2723" s="57" t="s">
        <v>158</v>
      </c>
      <c r="E2723" s="59" t="str">
        <f aca="false">IF(L2723="","",IF(INDEX(ポート振替表!$O$5:$O$3507,$L2723)="","(未設定)",INDEX(ポート振替表!$O$5:$O$3507,$L2723)&amp;""))</f>
        <v/>
      </c>
      <c r="F2723" s="52" t="str">
        <f aca="false">IF(L2723="","",INDEX(ポート振替表!$K$5:$K$3507,$L2723)&amp;" "&amp;INDEX(ポート振替表!$L$5:$L$3507,$L2723)&amp;"  ⇔  "&amp;INDEX(ポート振替表!$H$5:$H$3507,$L2723)&amp;" "&amp;INDEX(ポート振替表!$I$5:$I$3507,$L2723))</f>
        <v/>
      </c>
      <c r="G2723" s="57" t="s">
        <v>158</v>
      </c>
      <c r="H2723" s="32" t="str">
        <f aca="false">IF(L2723="","",INDEX(ポート振替表!$N$5:$N$3507,$L2723)&amp;"")</f>
        <v/>
      </c>
      <c r="I2723" s="32" t="str">
        <f aca="false">IF(L2723="","",INDEX(ポート振替表!$P$5:$P$3507,$L2723)&amp;"")</f>
        <v/>
      </c>
      <c r="J2723" s="60" t="str">
        <f aca="false">IF(L2723="","",INDEX(ポート振替表!$M$5:$M$3507,$L2723)&amp;"")</f>
        <v/>
      </c>
      <c r="K2723" s="52" t="str">
        <f aca="false">IF(L2723="","",E2723&amp;CHAR(10)&amp;INDEX(ポート振替表!$K$5:$K$3507,$L2723)&amp;" "&amp;INDEX(ポート振替表!$L$5:$L$3507,$L2723)&amp;CHAR(10)&amp;"⇔ "&amp;INDEX(ポート振替表!$H$5:$H$3507,$L2723)&amp;" "&amp;INDEX(ポート振替表!$I$5:$I$3507,$L2723))</f>
        <v/>
      </c>
      <c r="L2723" s="47" t="str">
        <f aca="false">IFERROR(MATCH(ROW()-4,ポート振替表!$V$5:$V$3507,0),"")</f>
        <v/>
      </c>
    </row>
    <row r="2724" customFormat="false" ht="16.4" hidden="false" customHeight="false" outlineLevel="0" collapsed="false">
      <c r="A2724" s="32" t="str">
        <f aca="false">IF(L2724="","",ROW()-4)</f>
        <v/>
      </c>
      <c r="B2724" s="58" t="str">
        <f aca="false">IF(L2724="","",IF(INDEX(ポート振替表!$W$5:$W$3507,$L2724)="","(なし)",INDEX(ポート振替表!$W$5:$W$3507,$L2724)&amp;""))</f>
        <v/>
      </c>
      <c r="C2724" s="52" t="str">
        <f aca="false">IF(L2724="","",INDEX(ポート振替表!$B$5:$B$3507,$L2724)&amp;" "&amp;INDEX(ポート振替表!$C$5:$C$3507,$L2724)&amp;"  ⇔  "&amp;INDEX(ポート振替表!$H$5:$H$3507,$L2724)&amp;" "&amp;INDEX(ポート振替表!$I$5:$I$3507,$L2724))</f>
        <v/>
      </c>
      <c r="D2724" s="57" t="s">
        <v>158</v>
      </c>
      <c r="E2724" s="59" t="str">
        <f aca="false">IF(L2724="","",IF(INDEX(ポート振替表!$O$5:$O$3507,$L2724)="","(未設定)",INDEX(ポート振替表!$O$5:$O$3507,$L2724)&amp;""))</f>
        <v/>
      </c>
      <c r="F2724" s="52" t="str">
        <f aca="false">IF(L2724="","",INDEX(ポート振替表!$K$5:$K$3507,$L2724)&amp;" "&amp;INDEX(ポート振替表!$L$5:$L$3507,$L2724)&amp;"  ⇔  "&amp;INDEX(ポート振替表!$H$5:$H$3507,$L2724)&amp;" "&amp;INDEX(ポート振替表!$I$5:$I$3507,$L2724))</f>
        <v/>
      </c>
      <c r="G2724" s="57" t="s">
        <v>158</v>
      </c>
      <c r="H2724" s="32" t="str">
        <f aca="false">IF(L2724="","",INDEX(ポート振替表!$N$5:$N$3507,$L2724)&amp;"")</f>
        <v/>
      </c>
      <c r="I2724" s="32" t="str">
        <f aca="false">IF(L2724="","",INDEX(ポート振替表!$P$5:$P$3507,$L2724)&amp;"")</f>
        <v/>
      </c>
      <c r="J2724" s="60" t="str">
        <f aca="false">IF(L2724="","",INDEX(ポート振替表!$M$5:$M$3507,$L2724)&amp;"")</f>
        <v/>
      </c>
      <c r="K2724" s="52" t="str">
        <f aca="false">IF(L2724="","",E2724&amp;CHAR(10)&amp;INDEX(ポート振替表!$K$5:$K$3507,$L2724)&amp;" "&amp;INDEX(ポート振替表!$L$5:$L$3507,$L2724)&amp;CHAR(10)&amp;"⇔ "&amp;INDEX(ポート振替表!$H$5:$H$3507,$L2724)&amp;" "&amp;INDEX(ポート振替表!$I$5:$I$3507,$L2724))</f>
        <v/>
      </c>
      <c r="L2724" s="47" t="str">
        <f aca="false">IFERROR(MATCH(ROW()-4,ポート振替表!$V$5:$V$3507,0),"")</f>
        <v/>
      </c>
    </row>
    <row r="2725" customFormat="false" ht="16.4" hidden="false" customHeight="false" outlineLevel="0" collapsed="false">
      <c r="A2725" s="32" t="str">
        <f aca="false">IF(L2725="","",ROW()-4)</f>
        <v/>
      </c>
      <c r="B2725" s="58" t="str">
        <f aca="false">IF(L2725="","",IF(INDEX(ポート振替表!$W$5:$W$3507,$L2725)="","(なし)",INDEX(ポート振替表!$W$5:$W$3507,$L2725)&amp;""))</f>
        <v/>
      </c>
      <c r="C2725" s="52" t="str">
        <f aca="false">IF(L2725="","",INDEX(ポート振替表!$B$5:$B$3507,$L2725)&amp;" "&amp;INDEX(ポート振替表!$C$5:$C$3507,$L2725)&amp;"  ⇔  "&amp;INDEX(ポート振替表!$H$5:$H$3507,$L2725)&amp;" "&amp;INDEX(ポート振替表!$I$5:$I$3507,$L2725))</f>
        <v/>
      </c>
      <c r="D2725" s="57" t="s">
        <v>158</v>
      </c>
      <c r="E2725" s="59" t="str">
        <f aca="false">IF(L2725="","",IF(INDEX(ポート振替表!$O$5:$O$3507,$L2725)="","(未設定)",INDEX(ポート振替表!$O$5:$O$3507,$L2725)&amp;""))</f>
        <v/>
      </c>
      <c r="F2725" s="52" t="str">
        <f aca="false">IF(L2725="","",INDEX(ポート振替表!$K$5:$K$3507,$L2725)&amp;" "&amp;INDEX(ポート振替表!$L$5:$L$3507,$L2725)&amp;"  ⇔  "&amp;INDEX(ポート振替表!$H$5:$H$3507,$L2725)&amp;" "&amp;INDEX(ポート振替表!$I$5:$I$3507,$L2725))</f>
        <v/>
      </c>
      <c r="G2725" s="57" t="s">
        <v>158</v>
      </c>
      <c r="H2725" s="32" t="str">
        <f aca="false">IF(L2725="","",INDEX(ポート振替表!$N$5:$N$3507,$L2725)&amp;"")</f>
        <v/>
      </c>
      <c r="I2725" s="32" t="str">
        <f aca="false">IF(L2725="","",INDEX(ポート振替表!$P$5:$P$3507,$L2725)&amp;"")</f>
        <v/>
      </c>
      <c r="J2725" s="60" t="str">
        <f aca="false">IF(L2725="","",INDEX(ポート振替表!$M$5:$M$3507,$L2725)&amp;"")</f>
        <v/>
      </c>
      <c r="K2725" s="52" t="str">
        <f aca="false">IF(L2725="","",E2725&amp;CHAR(10)&amp;INDEX(ポート振替表!$K$5:$K$3507,$L2725)&amp;" "&amp;INDEX(ポート振替表!$L$5:$L$3507,$L2725)&amp;CHAR(10)&amp;"⇔ "&amp;INDEX(ポート振替表!$H$5:$H$3507,$L2725)&amp;" "&amp;INDEX(ポート振替表!$I$5:$I$3507,$L2725))</f>
        <v/>
      </c>
      <c r="L2725" s="47" t="str">
        <f aca="false">IFERROR(MATCH(ROW()-4,ポート振替表!$V$5:$V$3507,0),"")</f>
        <v/>
      </c>
    </row>
    <row r="2726" customFormat="false" ht="16.4" hidden="false" customHeight="false" outlineLevel="0" collapsed="false">
      <c r="A2726" s="32" t="str">
        <f aca="false">IF(L2726="","",ROW()-4)</f>
        <v/>
      </c>
      <c r="B2726" s="58" t="str">
        <f aca="false">IF(L2726="","",IF(INDEX(ポート振替表!$W$5:$W$3507,$L2726)="","(なし)",INDEX(ポート振替表!$W$5:$W$3507,$L2726)&amp;""))</f>
        <v/>
      </c>
      <c r="C2726" s="52" t="str">
        <f aca="false">IF(L2726="","",INDEX(ポート振替表!$B$5:$B$3507,$L2726)&amp;" "&amp;INDEX(ポート振替表!$C$5:$C$3507,$L2726)&amp;"  ⇔  "&amp;INDEX(ポート振替表!$H$5:$H$3507,$L2726)&amp;" "&amp;INDEX(ポート振替表!$I$5:$I$3507,$L2726))</f>
        <v/>
      </c>
      <c r="D2726" s="57" t="s">
        <v>158</v>
      </c>
      <c r="E2726" s="59" t="str">
        <f aca="false">IF(L2726="","",IF(INDEX(ポート振替表!$O$5:$O$3507,$L2726)="","(未設定)",INDEX(ポート振替表!$O$5:$O$3507,$L2726)&amp;""))</f>
        <v/>
      </c>
      <c r="F2726" s="52" t="str">
        <f aca="false">IF(L2726="","",INDEX(ポート振替表!$K$5:$K$3507,$L2726)&amp;" "&amp;INDEX(ポート振替表!$L$5:$L$3507,$L2726)&amp;"  ⇔  "&amp;INDEX(ポート振替表!$H$5:$H$3507,$L2726)&amp;" "&amp;INDEX(ポート振替表!$I$5:$I$3507,$L2726))</f>
        <v/>
      </c>
      <c r="G2726" s="57" t="s">
        <v>158</v>
      </c>
      <c r="H2726" s="32" t="str">
        <f aca="false">IF(L2726="","",INDEX(ポート振替表!$N$5:$N$3507,$L2726)&amp;"")</f>
        <v/>
      </c>
      <c r="I2726" s="32" t="str">
        <f aca="false">IF(L2726="","",INDEX(ポート振替表!$P$5:$P$3507,$L2726)&amp;"")</f>
        <v/>
      </c>
      <c r="J2726" s="60" t="str">
        <f aca="false">IF(L2726="","",INDEX(ポート振替表!$M$5:$M$3507,$L2726)&amp;"")</f>
        <v/>
      </c>
      <c r="K2726" s="52" t="str">
        <f aca="false">IF(L2726="","",E2726&amp;CHAR(10)&amp;INDEX(ポート振替表!$K$5:$K$3507,$L2726)&amp;" "&amp;INDEX(ポート振替表!$L$5:$L$3507,$L2726)&amp;CHAR(10)&amp;"⇔ "&amp;INDEX(ポート振替表!$H$5:$H$3507,$L2726)&amp;" "&amp;INDEX(ポート振替表!$I$5:$I$3507,$L2726))</f>
        <v/>
      </c>
      <c r="L2726" s="47" t="str">
        <f aca="false">IFERROR(MATCH(ROW()-4,ポート振替表!$V$5:$V$3507,0),"")</f>
        <v/>
      </c>
    </row>
    <row r="2727" customFormat="false" ht="16.4" hidden="false" customHeight="false" outlineLevel="0" collapsed="false">
      <c r="A2727" s="32" t="str">
        <f aca="false">IF(L2727="","",ROW()-4)</f>
        <v/>
      </c>
      <c r="B2727" s="58" t="str">
        <f aca="false">IF(L2727="","",IF(INDEX(ポート振替表!$W$5:$W$3507,$L2727)="","(なし)",INDEX(ポート振替表!$W$5:$W$3507,$L2727)&amp;""))</f>
        <v/>
      </c>
      <c r="C2727" s="52" t="str">
        <f aca="false">IF(L2727="","",INDEX(ポート振替表!$B$5:$B$3507,$L2727)&amp;" "&amp;INDEX(ポート振替表!$C$5:$C$3507,$L2727)&amp;"  ⇔  "&amp;INDEX(ポート振替表!$H$5:$H$3507,$L2727)&amp;" "&amp;INDEX(ポート振替表!$I$5:$I$3507,$L2727))</f>
        <v/>
      </c>
      <c r="D2727" s="57" t="s">
        <v>158</v>
      </c>
      <c r="E2727" s="59" t="str">
        <f aca="false">IF(L2727="","",IF(INDEX(ポート振替表!$O$5:$O$3507,$L2727)="","(未設定)",INDEX(ポート振替表!$O$5:$O$3507,$L2727)&amp;""))</f>
        <v/>
      </c>
      <c r="F2727" s="52" t="str">
        <f aca="false">IF(L2727="","",INDEX(ポート振替表!$K$5:$K$3507,$L2727)&amp;" "&amp;INDEX(ポート振替表!$L$5:$L$3507,$L2727)&amp;"  ⇔  "&amp;INDEX(ポート振替表!$H$5:$H$3507,$L2727)&amp;" "&amp;INDEX(ポート振替表!$I$5:$I$3507,$L2727))</f>
        <v/>
      </c>
      <c r="G2727" s="57" t="s">
        <v>158</v>
      </c>
      <c r="H2727" s="32" t="str">
        <f aca="false">IF(L2727="","",INDEX(ポート振替表!$N$5:$N$3507,$L2727)&amp;"")</f>
        <v/>
      </c>
      <c r="I2727" s="32" t="str">
        <f aca="false">IF(L2727="","",INDEX(ポート振替表!$P$5:$P$3507,$L2727)&amp;"")</f>
        <v/>
      </c>
      <c r="J2727" s="60" t="str">
        <f aca="false">IF(L2727="","",INDEX(ポート振替表!$M$5:$M$3507,$L2727)&amp;"")</f>
        <v/>
      </c>
      <c r="K2727" s="52" t="str">
        <f aca="false">IF(L2727="","",E2727&amp;CHAR(10)&amp;INDEX(ポート振替表!$K$5:$K$3507,$L2727)&amp;" "&amp;INDEX(ポート振替表!$L$5:$L$3507,$L2727)&amp;CHAR(10)&amp;"⇔ "&amp;INDEX(ポート振替表!$H$5:$H$3507,$L2727)&amp;" "&amp;INDEX(ポート振替表!$I$5:$I$3507,$L2727))</f>
        <v/>
      </c>
      <c r="L2727" s="47" t="str">
        <f aca="false">IFERROR(MATCH(ROW()-4,ポート振替表!$V$5:$V$3507,0),"")</f>
        <v/>
      </c>
    </row>
    <row r="2728" customFormat="false" ht="16.4" hidden="false" customHeight="false" outlineLevel="0" collapsed="false">
      <c r="A2728" s="32" t="str">
        <f aca="false">IF(L2728="","",ROW()-4)</f>
        <v/>
      </c>
      <c r="B2728" s="58" t="str">
        <f aca="false">IF(L2728="","",IF(INDEX(ポート振替表!$W$5:$W$3507,$L2728)="","(なし)",INDEX(ポート振替表!$W$5:$W$3507,$L2728)&amp;""))</f>
        <v/>
      </c>
      <c r="C2728" s="52" t="str">
        <f aca="false">IF(L2728="","",INDEX(ポート振替表!$B$5:$B$3507,$L2728)&amp;" "&amp;INDEX(ポート振替表!$C$5:$C$3507,$L2728)&amp;"  ⇔  "&amp;INDEX(ポート振替表!$H$5:$H$3507,$L2728)&amp;" "&amp;INDEX(ポート振替表!$I$5:$I$3507,$L2728))</f>
        <v/>
      </c>
      <c r="D2728" s="57" t="s">
        <v>158</v>
      </c>
      <c r="E2728" s="59" t="str">
        <f aca="false">IF(L2728="","",IF(INDEX(ポート振替表!$O$5:$O$3507,$L2728)="","(未設定)",INDEX(ポート振替表!$O$5:$O$3507,$L2728)&amp;""))</f>
        <v/>
      </c>
      <c r="F2728" s="52" t="str">
        <f aca="false">IF(L2728="","",INDEX(ポート振替表!$K$5:$K$3507,$L2728)&amp;" "&amp;INDEX(ポート振替表!$L$5:$L$3507,$L2728)&amp;"  ⇔  "&amp;INDEX(ポート振替表!$H$5:$H$3507,$L2728)&amp;" "&amp;INDEX(ポート振替表!$I$5:$I$3507,$L2728))</f>
        <v/>
      </c>
      <c r="G2728" s="57" t="s">
        <v>158</v>
      </c>
      <c r="H2728" s="32" t="str">
        <f aca="false">IF(L2728="","",INDEX(ポート振替表!$N$5:$N$3507,$L2728)&amp;"")</f>
        <v/>
      </c>
      <c r="I2728" s="32" t="str">
        <f aca="false">IF(L2728="","",INDEX(ポート振替表!$P$5:$P$3507,$L2728)&amp;"")</f>
        <v/>
      </c>
      <c r="J2728" s="60" t="str">
        <f aca="false">IF(L2728="","",INDEX(ポート振替表!$M$5:$M$3507,$L2728)&amp;"")</f>
        <v/>
      </c>
      <c r="K2728" s="52" t="str">
        <f aca="false">IF(L2728="","",E2728&amp;CHAR(10)&amp;INDEX(ポート振替表!$K$5:$K$3507,$L2728)&amp;" "&amp;INDEX(ポート振替表!$L$5:$L$3507,$L2728)&amp;CHAR(10)&amp;"⇔ "&amp;INDEX(ポート振替表!$H$5:$H$3507,$L2728)&amp;" "&amp;INDEX(ポート振替表!$I$5:$I$3507,$L2728))</f>
        <v/>
      </c>
      <c r="L2728" s="47" t="str">
        <f aca="false">IFERROR(MATCH(ROW()-4,ポート振替表!$V$5:$V$3507,0),"")</f>
        <v/>
      </c>
    </row>
    <row r="2729" customFormat="false" ht="16.4" hidden="false" customHeight="false" outlineLevel="0" collapsed="false">
      <c r="A2729" s="32" t="str">
        <f aca="false">IF(L2729="","",ROW()-4)</f>
        <v/>
      </c>
      <c r="B2729" s="58" t="str">
        <f aca="false">IF(L2729="","",IF(INDEX(ポート振替表!$W$5:$W$3507,$L2729)="","(なし)",INDEX(ポート振替表!$W$5:$W$3507,$L2729)&amp;""))</f>
        <v/>
      </c>
      <c r="C2729" s="52" t="str">
        <f aca="false">IF(L2729="","",INDEX(ポート振替表!$B$5:$B$3507,$L2729)&amp;" "&amp;INDEX(ポート振替表!$C$5:$C$3507,$L2729)&amp;"  ⇔  "&amp;INDEX(ポート振替表!$H$5:$H$3507,$L2729)&amp;" "&amp;INDEX(ポート振替表!$I$5:$I$3507,$L2729))</f>
        <v/>
      </c>
      <c r="D2729" s="57" t="s">
        <v>158</v>
      </c>
      <c r="E2729" s="59" t="str">
        <f aca="false">IF(L2729="","",IF(INDEX(ポート振替表!$O$5:$O$3507,$L2729)="","(未設定)",INDEX(ポート振替表!$O$5:$O$3507,$L2729)&amp;""))</f>
        <v/>
      </c>
      <c r="F2729" s="52" t="str">
        <f aca="false">IF(L2729="","",INDEX(ポート振替表!$K$5:$K$3507,$L2729)&amp;" "&amp;INDEX(ポート振替表!$L$5:$L$3507,$L2729)&amp;"  ⇔  "&amp;INDEX(ポート振替表!$H$5:$H$3507,$L2729)&amp;" "&amp;INDEX(ポート振替表!$I$5:$I$3507,$L2729))</f>
        <v/>
      </c>
      <c r="G2729" s="57" t="s">
        <v>158</v>
      </c>
      <c r="H2729" s="32" t="str">
        <f aca="false">IF(L2729="","",INDEX(ポート振替表!$N$5:$N$3507,$L2729)&amp;"")</f>
        <v/>
      </c>
      <c r="I2729" s="32" t="str">
        <f aca="false">IF(L2729="","",INDEX(ポート振替表!$P$5:$P$3507,$L2729)&amp;"")</f>
        <v/>
      </c>
      <c r="J2729" s="60" t="str">
        <f aca="false">IF(L2729="","",INDEX(ポート振替表!$M$5:$M$3507,$L2729)&amp;"")</f>
        <v/>
      </c>
      <c r="K2729" s="52" t="str">
        <f aca="false">IF(L2729="","",E2729&amp;CHAR(10)&amp;INDEX(ポート振替表!$K$5:$K$3507,$L2729)&amp;" "&amp;INDEX(ポート振替表!$L$5:$L$3507,$L2729)&amp;CHAR(10)&amp;"⇔ "&amp;INDEX(ポート振替表!$H$5:$H$3507,$L2729)&amp;" "&amp;INDEX(ポート振替表!$I$5:$I$3507,$L2729))</f>
        <v/>
      </c>
      <c r="L2729" s="47" t="str">
        <f aca="false">IFERROR(MATCH(ROW()-4,ポート振替表!$V$5:$V$3507,0),"")</f>
        <v/>
      </c>
    </row>
    <row r="2730" customFormat="false" ht="16.4" hidden="false" customHeight="false" outlineLevel="0" collapsed="false">
      <c r="A2730" s="32" t="str">
        <f aca="false">IF(L2730="","",ROW()-4)</f>
        <v/>
      </c>
      <c r="B2730" s="58" t="str">
        <f aca="false">IF(L2730="","",IF(INDEX(ポート振替表!$W$5:$W$3507,$L2730)="","(なし)",INDEX(ポート振替表!$W$5:$W$3507,$L2730)&amp;""))</f>
        <v/>
      </c>
      <c r="C2730" s="52" t="str">
        <f aca="false">IF(L2730="","",INDEX(ポート振替表!$B$5:$B$3507,$L2730)&amp;" "&amp;INDEX(ポート振替表!$C$5:$C$3507,$L2730)&amp;"  ⇔  "&amp;INDEX(ポート振替表!$H$5:$H$3507,$L2730)&amp;" "&amp;INDEX(ポート振替表!$I$5:$I$3507,$L2730))</f>
        <v/>
      </c>
      <c r="D2730" s="57" t="s">
        <v>158</v>
      </c>
      <c r="E2730" s="59" t="str">
        <f aca="false">IF(L2730="","",IF(INDEX(ポート振替表!$O$5:$O$3507,$L2730)="","(未設定)",INDEX(ポート振替表!$O$5:$O$3507,$L2730)&amp;""))</f>
        <v/>
      </c>
      <c r="F2730" s="52" t="str">
        <f aca="false">IF(L2730="","",INDEX(ポート振替表!$K$5:$K$3507,$L2730)&amp;" "&amp;INDEX(ポート振替表!$L$5:$L$3507,$L2730)&amp;"  ⇔  "&amp;INDEX(ポート振替表!$H$5:$H$3507,$L2730)&amp;" "&amp;INDEX(ポート振替表!$I$5:$I$3507,$L2730))</f>
        <v/>
      </c>
      <c r="G2730" s="57" t="s">
        <v>158</v>
      </c>
      <c r="H2730" s="32" t="str">
        <f aca="false">IF(L2730="","",INDEX(ポート振替表!$N$5:$N$3507,$L2730)&amp;"")</f>
        <v/>
      </c>
      <c r="I2730" s="32" t="str">
        <f aca="false">IF(L2730="","",INDEX(ポート振替表!$P$5:$P$3507,$L2730)&amp;"")</f>
        <v/>
      </c>
      <c r="J2730" s="60" t="str">
        <f aca="false">IF(L2730="","",INDEX(ポート振替表!$M$5:$M$3507,$L2730)&amp;"")</f>
        <v/>
      </c>
      <c r="K2730" s="52" t="str">
        <f aca="false">IF(L2730="","",E2730&amp;CHAR(10)&amp;INDEX(ポート振替表!$K$5:$K$3507,$L2730)&amp;" "&amp;INDEX(ポート振替表!$L$5:$L$3507,$L2730)&amp;CHAR(10)&amp;"⇔ "&amp;INDEX(ポート振替表!$H$5:$H$3507,$L2730)&amp;" "&amp;INDEX(ポート振替表!$I$5:$I$3507,$L2730))</f>
        <v/>
      </c>
      <c r="L2730" s="47" t="str">
        <f aca="false">IFERROR(MATCH(ROW()-4,ポート振替表!$V$5:$V$3507,0),"")</f>
        <v/>
      </c>
    </row>
    <row r="2731" customFormat="false" ht="16.4" hidden="false" customHeight="false" outlineLevel="0" collapsed="false">
      <c r="A2731" s="32" t="str">
        <f aca="false">IF(L2731="","",ROW()-4)</f>
        <v/>
      </c>
      <c r="B2731" s="58" t="str">
        <f aca="false">IF(L2731="","",IF(INDEX(ポート振替表!$W$5:$W$3507,$L2731)="","(なし)",INDEX(ポート振替表!$W$5:$W$3507,$L2731)&amp;""))</f>
        <v/>
      </c>
      <c r="C2731" s="52" t="str">
        <f aca="false">IF(L2731="","",INDEX(ポート振替表!$B$5:$B$3507,$L2731)&amp;" "&amp;INDEX(ポート振替表!$C$5:$C$3507,$L2731)&amp;"  ⇔  "&amp;INDEX(ポート振替表!$H$5:$H$3507,$L2731)&amp;" "&amp;INDEX(ポート振替表!$I$5:$I$3507,$L2731))</f>
        <v/>
      </c>
      <c r="D2731" s="57" t="s">
        <v>158</v>
      </c>
      <c r="E2731" s="59" t="str">
        <f aca="false">IF(L2731="","",IF(INDEX(ポート振替表!$O$5:$O$3507,$L2731)="","(未設定)",INDEX(ポート振替表!$O$5:$O$3507,$L2731)&amp;""))</f>
        <v/>
      </c>
      <c r="F2731" s="52" t="str">
        <f aca="false">IF(L2731="","",INDEX(ポート振替表!$K$5:$K$3507,$L2731)&amp;" "&amp;INDEX(ポート振替表!$L$5:$L$3507,$L2731)&amp;"  ⇔  "&amp;INDEX(ポート振替表!$H$5:$H$3507,$L2731)&amp;" "&amp;INDEX(ポート振替表!$I$5:$I$3507,$L2731))</f>
        <v/>
      </c>
      <c r="G2731" s="57" t="s">
        <v>158</v>
      </c>
      <c r="H2731" s="32" t="str">
        <f aca="false">IF(L2731="","",INDEX(ポート振替表!$N$5:$N$3507,$L2731)&amp;"")</f>
        <v/>
      </c>
      <c r="I2731" s="32" t="str">
        <f aca="false">IF(L2731="","",INDEX(ポート振替表!$P$5:$P$3507,$L2731)&amp;"")</f>
        <v/>
      </c>
      <c r="J2731" s="60" t="str">
        <f aca="false">IF(L2731="","",INDEX(ポート振替表!$M$5:$M$3507,$L2731)&amp;"")</f>
        <v/>
      </c>
      <c r="K2731" s="52" t="str">
        <f aca="false">IF(L2731="","",E2731&amp;CHAR(10)&amp;INDEX(ポート振替表!$K$5:$K$3507,$L2731)&amp;" "&amp;INDEX(ポート振替表!$L$5:$L$3507,$L2731)&amp;CHAR(10)&amp;"⇔ "&amp;INDEX(ポート振替表!$H$5:$H$3507,$L2731)&amp;" "&amp;INDEX(ポート振替表!$I$5:$I$3507,$L2731))</f>
        <v/>
      </c>
      <c r="L2731" s="47" t="str">
        <f aca="false">IFERROR(MATCH(ROW()-4,ポート振替表!$V$5:$V$3507,0),"")</f>
        <v/>
      </c>
    </row>
    <row r="2732" customFormat="false" ht="16.4" hidden="false" customHeight="false" outlineLevel="0" collapsed="false">
      <c r="A2732" s="32" t="str">
        <f aca="false">IF(L2732="","",ROW()-4)</f>
        <v/>
      </c>
      <c r="B2732" s="58" t="str">
        <f aca="false">IF(L2732="","",IF(INDEX(ポート振替表!$W$5:$W$3507,$L2732)="","(なし)",INDEX(ポート振替表!$W$5:$W$3507,$L2732)&amp;""))</f>
        <v/>
      </c>
      <c r="C2732" s="52" t="str">
        <f aca="false">IF(L2732="","",INDEX(ポート振替表!$B$5:$B$3507,$L2732)&amp;" "&amp;INDEX(ポート振替表!$C$5:$C$3507,$L2732)&amp;"  ⇔  "&amp;INDEX(ポート振替表!$H$5:$H$3507,$L2732)&amp;" "&amp;INDEX(ポート振替表!$I$5:$I$3507,$L2732))</f>
        <v/>
      </c>
      <c r="D2732" s="57" t="s">
        <v>158</v>
      </c>
      <c r="E2732" s="59" t="str">
        <f aca="false">IF(L2732="","",IF(INDEX(ポート振替表!$O$5:$O$3507,$L2732)="","(未設定)",INDEX(ポート振替表!$O$5:$O$3507,$L2732)&amp;""))</f>
        <v/>
      </c>
      <c r="F2732" s="52" t="str">
        <f aca="false">IF(L2732="","",INDEX(ポート振替表!$K$5:$K$3507,$L2732)&amp;" "&amp;INDEX(ポート振替表!$L$5:$L$3507,$L2732)&amp;"  ⇔  "&amp;INDEX(ポート振替表!$H$5:$H$3507,$L2732)&amp;" "&amp;INDEX(ポート振替表!$I$5:$I$3507,$L2732))</f>
        <v/>
      </c>
      <c r="G2732" s="57" t="s">
        <v>158</v>
      </c>
      <c r="H2732" s="32" t="str">
        <f aca="false">IF(L2732="","",INDEX(ポート振替表!$N$5:$N$3507,$L2732)&amp;"")</f>
        <v/>
      </c>
      <c r="I2732" s="32" t="str">
        <f aca="false">IF(L2732="","",INDEX(ポート振替表!$P$5:$P$3507,$L2732)&amp;"")</f>
        <v/>
      </c>
      <c r="J2732" s="60" t="str">
        <f aca="false">IF(L2732="","",INDEX(ポート振替表!$M$5:$M$3507,$L2732)&amp;"")</f>
        <v/>
      </c>
      <c r="K2732" s="52" t="str">
        <f aca="false">IF(L2732="","",E2732&amp;CHAR(10)&amp;INDEX(ポート振替表!$K$5:$K$3507,$L2732)&amp;" "&amp;INDEX(ポート振替表!$L$5:$L$3507,$L2732)&amp;CHAR(10)&amp;"⇔ "&amp;INDEX(ポート振替表!$H$5:$H$3507,$L2732)&amp;" "&amp;INDEX(ポート振替表!$I$5:$I$3507,$L2732))</f>
        <v/>
      </c>
      <c r="L2732" s="47" t="str">
        <f aca="false">IFERROR(MATCH(ROW()-4,ポート振替表!$V$5:$V$3507,0),"")</f>
        <v/>
      </c>
    </row>
    <row r="2733" customFormat="false" ht="16.4" hidden="false" customHeight="false" outlineLevel="0" collapsed="false">
      <c r="A2733" s="32" t="str">
        <f aca="false">IF(L2733="","",ROW()-4)</f>
        <v/>
      </c>
      <c r="B2733" s="58" t="str">
        <f aca="false">IF(L2733="","",IF(INDEX(ポート振替表!$W$5:$W$3507,$L2733)="","(なし)",INDEX(ポート振替表!$W$5:$W$3507,$L2733)&amp;""))</f>
        <v/>
      </c>
      <c r="C2733" s="52" t="str">
        <f aca="false">IF(L2733="","",INDEX(ポート振替表!$B$5:$B$3507,$L2733)&amp;" "&amp;INDEX(ポート振替表!$C$5:$C$3507,$L2733)&amp;"  ⇔  "&amp;INDEX(ポート振替表!$H$5:$H$3507,$L2733)&amp;" "&amp;INDEX(ポート振替表!$I$5:$I$3507,$L2733))</f>
        <v/>
      </c>
      <c r="D2733" s="57" t="s">
        <v>158</v>
      </c>
      <c r="E2733" s="59" t="str">
        <f aca="false">IF(L2733="","",IF(INDEX(ポート振替表!$O$5:$O$3507,$L2733)="","(未設定)",INDEX(ポート振替表!$O$5:$O$3507,$L2733)&amp;""))</f>
        <v/>
      </c>
      <c r="F2733" s="52" t="str">
        <f aca="false">IF(L2733="","",INDEX(ポート振替表!$K$5:$K$3507,$L2733)&amp;" "&amp;INDEX(ポート振替表!$L$5:$L$3507,$L2733)&amp;"  ⇔  "&amp;INDEX(ポート振替表!$H$5:$H$3507,$L2733)&amp;" "&amp;INDEX(ポート振替表!$I$5:$I$3507,$L2733))</f>
        <v/>
      </c>
      <c r="G2733" s="57" t="s">
        <v>158</v>
      </c>
      <c r="H2733" s="32" t="str">
        <f aca="false">IF(L2733="","",INDEX(ポート振替表!$N$5:$N$3507,$L2733)&amp;"")</f>
        <v/>
      </c>
      <c r="I2733" s="32" t="str">
        <f aca="false">IF(L2733="","",INDEX(ポート振替表!$P$5:$P$3507,$L2733)&amp;"")</f>
        <v/>
      </c>
      <c r="J2733" s="60" t="str">
        <f aca="false">IF(L2733="","",INDEX(ポート振替表!$M$5:$M$3507,$L2733)&amp;"")</f>
        <v/>
      </c>
      <c r="K2733" s="52" t="str">
        <f aca="false">IF(L2733="","",E2733&amp;CHAR(10)&amp;INDEX(ポート振替表!$K$5:$K$3507,$L2733)&amp;" "&amp;INDEX(ポート振替表!$L$5:$L$3507,$L2733)&amp;CHAR(10)&amp;"⇔ "&amp;INDEX(ポート振替表!$H$5:$H$3507,$L2733)&amp;" "&amp;INDEX(ポート振替表!$I$5:$I$3507,$L2733))</f>
        <v/>
      </c>
      <c r="L2733" s="47" t="str">
        <f aca="false">IFERROR(MATCH(ROW()-4,ポート振替表!$V$5:$V$3507,0),"")</f>
        <v/>
      </c>
    </row>
    <row r="2734" customFormat="false" ht="16.4" hidden="false" customHeight="false" outlineLevel="0" collapsed="false">
      <c r="A2734" s="32" t="str">
        <f aca="false">IF(L2734="","",ROW()-4)</f>
        <v/>
      </c>
      <c r="B2734" s="58" t="str">
        <f aca="false">IF(L2734="","",IF(INDEX(ポート振替表!$W$5:$W$3507,$L2734)="","(なし)",INDEX(ポート振替表!$W$5:$W$3507,$L2734)&amp;""))</f>
        <v/>
      </c>
      <c r="C2734" s="52" t="str">
        <f aca="false">IF(L2734="","",INDEX(ポート振替表!$B$5:$B$3507,$L2734)&amp;" "&amp;INDEX(ポート振替表!$C$5:$C$3507,$L2734)&amp;"  ⇔  "&amp;INDEX(ポート振替表!$H$5:$H$3507,$L2734)&amp;" "&amp;INDEX(ポート振替表!$I$5:$I$3507,$L2734))</f>
        <v/>
      </c>
      <c r="D2734" s="57" t="s">
        <v>158</v>
      </c>
      <c r="E2734" s="59" t="str">
        <f aca="false">IF(L2734="","",IF(INDEX(ポート振替表!$O$5:$O$3507,$L2734)="","(未設定)",INDEX(ポート振替表!$O$5:$O$3507,$L2734)&amp;""))</f>
        <v/>
      </c>
      <c r="F2734" s="52" t="str">
        <f aca="false">IF(L2734="","",INDEX(ポート振替表!$K$5:$K$3507,$L2734)&amp;" "&amp;INDEX(ポート振替表!$L$5:$L$3507,$L2734)&amp;"  ⇔  "&amp;INDEX(ポート振替表!$H$5:$H$3507,$L2734)&amp;" "&amp;INDEX(ポート振替表!$I$5:$I$3507,$L2734))</f>
        <v/>
      </c>
      <c r="G2734" s="57" t="s">
        <v>158</v>
      </c>
      <c r="H2734" s="32" t="str">
        <f aca="false">IF(L2734="","",INDEX(ポート振替表!$N$5:$N$3507,$L2734)&amp;"")</f>
        <v/>
      </c>
      <c r="I2734" s="32" t="str">
        <f aca="false">IF(L2734="","",INDEX(ポート振替表!$P$5:$P$3507,$L2734)&amp;"")</f>
        <v/>
      </c>
      <c r="J2734" s="60" t="str">
        <f aca="false">IF(L2734="","",INDEX(ポート振替表!$M$5:$M$3507,$L2734)&amp;"")</f>
        <v/>
      </c>
      <c r="K2734" s="52" t="str">
        <f aca="false">IF(L2734="","",E2734&amp;CHAR(10)&amp;INDEX(ポート振替表!$K$5:$K$3507,$L2734)&amp;" "&amp;INDEX(ポート振替表!$L$5:$L$3507,$L2734)&amp;CHAR(10)&amp;"⇔ "&amp;INDEX(ポート振替表!$H$5:$H$3507,$L2734)&amp;" "&amp;INDEX(ポート振替表!$I$5:$I$3507,$L2734))</f>
        <v/>
      </c>
      <c r="L2734" s="47" t="str">
        <f aca="false">IFERROR(MATCH(ROW()-4,ポート振替表!$V$5:$V$3507,0),"")</f>
        <v/>
      </c>
    </row>
    <row r="2735" customFormat="false" ht="16.4" hidden="false" customHeight="false" outlineLevel="0" collapsed="false">
      <c r="A2735" s="32" t="str">
        <f aca="false">IF(L2735="","",ROW()-4)</f>
        <v/>
      </c>
      <c r="B2735" s="58" t="str">
        <f aca="false">IF(L2735="","",IF(INDEX(ポート振替表!$W$5:$W$3507,$L2735)="","(なし)",INDEX(ポート振替表!$W$5:$W$3507,$L2735)&amp;""))</f>
        <v/>
      </c>
      <c r="C2735" s="52" t="str">
        <f aca="false">IF(L2735="","",INDEX(ポート振替表!$B$5:$B$3507,$L2735)&amp;" "&amp;INDEX(ポート振替表!$C$5:$C$3507,$L2735)&amp;"  ⇔  "&amp;INDEX(ポート振替表!$H$5:$H$3507,$L2735)&amp;" "&amp;INDEX(ポート振替表!$I$5:$I$3507,$L2735))</f>
        <v/>
      </c>
      <c r="D2735" s="57" t="s">
        <v>158</v>
      </c>
      <c r="E2735" s="59" t="str">
        <f aca="false">IF(L2735="","",IF(INDEX(ポート振替表!$O$5:$O$3507,$L2735)="","(未設定)",INDEX(ポート振替表!$O$5:$O$3507,$L2735)&amp;""))</f>
        <v/>
      </c>
      <c r="F2735" s="52" t="str">
        <f aca="false">IF(L2735="","",INDEX(ポート振替表!$K$5:$K$3507,$L2735)&amp;" "&amp;INDEX(ポート振替表!$L$5:$L$3507,$L2735)&amp;"  ⇔  "&amp;INDEX(ポート振替表!$H$5:$H$3507,$L2735)&amp;" "&amp;INDEX(ポート振替表!$I$5:$I$3507,$L2735))</f>
        <v/>
      </c>
      <c r="G2735" s="57" t="s">
        <v>158</v>
      </c>
      <c r="H2735" s="32" t="str">
        <f aca="false">IF(L2735="","",INDEX(ポート振替表!$N$5:$N$3507,$L2735)&amp;"")</f>
        <v/>
      </c>
      <c r="I2735" s="32" t="str">
        <f aca="false">IF(L2735="","",INDEX(ポート振替表!$P$5:$P$3507,$L2735)&amp;"")</f>
        <v/>
      </c>
      <c r="J2735" s="60" t="str">
        <f aca="false">IF(L2735="","",INDEX(ポート振替表!$M$5:$M$3507,$L2735)&amp;"")</f>
        <v/>
      </c>
      <c r="K2735" s="52" t="str">
        <f aca="false">IF(L2735="","",E2735&amp;CHAR(10)&amp;INDEX(ポート振替表!$K$5:$K$3507,$L2735)&amp;" "&amp;INDEX(ポート振替表!$L$5:$L$3507,$L2735)&amp;CHAR(10)&amp;"⇔ "&amp;INDEX(ポート振替表!$H$5:$H$3507,$L2735)&amp;" "&amp;INDEX(ポート振替表!$I$5:$I$3507,$L2735))</f>
        <v/>
      </c>
      <c r="L2735" s="47" t="str">
        <f aca="false">IFERROR(MATCH(ROW()-4,ポート振替表!$V$5:$V$3507,0),"")</f>
        <v/>
      </c>
    </row>
    <row r="2736" customFormat="false" ht="16.4" hidden="false" customHeight="false" outlineLevel="0" collapsed="false">
      <c r="A2736" s="32" t="str">
        <f aca="false">IF(L2736="","",ROW()-4)</f>
        <v/>
      </c>
      <c r="B2736" s="58" t="str">
        <f aca="false">IF(L2736="","",IF(INDEX(ポート振替表!$W$5:$W$3507,$L2736)="","(なし)",INDEX(ポート振替表!$W$5:$W$3507,$L2736)&amp;""))</f>
        <v/>
      </c>
      <c r="C2736" s="52" t="str">
        <f aca="false">IF(L2736="","",INDEX(ポート振替表!$B$5:$B$3507,$L2736)&amp;" "&amp;INDEX(ポート振替表!$C$5:$C$3507,$L2736)&amp;"  ⇔  "&amp;INDEX(ポート振替表!$H$5:$H$3507,$L2736)&amp;" "&amp;INDEX(ポート振替表!$I$5:$I$3507,$L2736))</f>
        <v/>
      </c>
      <c r="D2736" s="57" t="s">
        <v>158</v>
      </c>
      <c r="E2736" s="59" t="str">
        <f aca="false">IF(L2736="","",IF(INDEX(ポート振替表!$O$5:$O$3507,$L2736)="","(未設定)",INDEX(ポート振替表!$O$5:$O$3507,$L2736)&amp;""))</f>
        <v/>
      </c>
      <c r="F2736" s="52" t="str">
        <f aca="false">IF(L2736="","",INDEX(ポート振替表!$K$5:$K$3507,$L2736)&amp;" "&amp;INDEX(ポート振替表!$L$5:$L$3507,$L2736)&amp;"  ⇔  "&amp;INDEX(ポート振替表!$H$5:$H$3507,$L2736)&amp;" "&amp;INDEX(ポート振替表!$I$5:$I$3507,$L2736))</f>
        <v/>
      </c>
      <c r="G2736" s="57" t="s">
        <v>158</v>
      </c>
      <c r="H2736" s="32" t="str">
        <f aca="false">IF(L2736="","",INDEX(ポート振替表!$N$5:$N$3507,$L2736)&amp;"")</f>
        <v/>
      </c>
      <c r="I2736" s="32" t="str">
        <f aca="false">IF(L2736="","",INDEX(ポート振替表!$P$5:$P$3507,$L2736)&amp;"")</f>
        <v/>
      </c>
      <c r="J2736" s="60" t="str">
        <f aca="false">IF(L2736="","",INDEX(ポート振替表!$M$5:$M$3507,$L2736)&amp;"")</f>
        <v/>
      </c>
      <c r="K2736" s="52" t="str">
        <f aca="false">IF(L2736="","",E2736&amp;CHAR(10)&amp;INDEX(ポート振替表!$K$5:$K$3507,$L2736)&amp;" "&amp;INDEX(ポート振替表!$L$5:$L$3507,$L2736)&amp;CHAR(10)&amp;"⇔ "&amp;INDEX(ポート振替表!$H$5:$H$3507,$L2736)&amp;" "&amp;INDEX(ポート振替表!$I$5:$I$3507,$L2736))</f>
        <v/>
      </c>
      <c r="L2736" s="47" t="str">
        <f aca="false">IFERROR(MATCH(ROW()-4,ポート振替表!$V$5:$V$3507,0),"")</f>
        <v/>
      </c>
    </row>
    <row r="2737" customFormat="false" ht="16.4" hidden="false" customHeight="false" outlineLevel="0" collapsed="false">
      <c r="A2737" s="32" t="str">
        <f aca="false">IF(L2737="","",ROW()-4)</f>
        <v/>
      </c>
      <c r="B2737" s="58" t="str">
        <f aca="false">IF(L2737="","",IF(INDEX(ポート振替表!$W$5:$W$3507,$L2737)="","(なし)",INDEX(ポート振替表!$W$5:$W$3507,$L2737)&amp;""))</f>
        <v/>
      </c>
      <c r="C2737" s="52" t="str">
        <f aca="false">IF(L2737="","",INDEX(ポート振替表!$B$5:$B$3507,$L2737)&amp;" "&amp;INDEX(ポート振替表!$C$5:$C$3507,$L2737)&amp;"  ⇔  "&amp;INDEX(ポート振替表!$H$5:$H$3507,$L2737)&amp;" "&amp;INDEX(ポート振替表!$I$5:$I$3507,$L2737))</f>
        <v/>
      </c>
      <c r="D2737" s="57" t="s">
        <v>158</v>
      </c>
      <c r="E2737" s="59" t="str">
        <f aca="false">IF(L2737="","",IF(INDEX(ポート振替表!$O$5:$O$3507,$L2737)="","(未設定)",INDEX(ポート振替表!$O$5:$O$3507,$L2737)&amp;""))</f>
        <v/>
      </c>
      <c r="F2737" s="52" t="str">
        <f aca="false">IF(L2737="","",INDEX(ポート振替表!$K$5:$K$3507,$L2737)&amp;" "&amp;INDEX(ポート振替表!$L$5:$L$3507,$L2737)&amp;"  ⇔  "&amp;INDEX(ポート振替表!$H$5:$H$3507,$L2737)&amp;" "&amp;INDEX(ポート振替表!$I$5:$I$3507,$L2737))</f>
        <v/>
      </c>
      <c r="G2737" s="57" t="s">
        <v>158</v>
      </c>
      <c r="H2737" s="32" t="str">
        <f aca="false">IF(L2737="","",INDEX(ポート振替表!$N$5:$N$3507,$L2737)&amp;"")</f>
        <v/>
      </c>
      <c r="I2737" s="32" t="str">
        <f aca="false">IF(L2737="","",INDEX(ポート振替表!$P$5:$P$3507,$L2737)&amp;"")</f>
        <v/>
      </c>
      <c r="J2737" s="60" t="str">
        <f aca="false">IF(L2737="","",INDEX(ポート振替表!$M$5:$M$3507,$L2737)&amp;"")</f>
        <v/>
      </c>
      <c r="K2737" s="52" t="str">
        <f aca="false">IF(L2737="","",E2737&amp;CHAR(10)&amp;INDEX(ポート振替表!$K$5:$K$3507,$L2737)&amp;" "&amp;INDEX(ポート振替表!$L$5:$L$3507,$L2737)&amp;CHAR(10)&amp;"⇔ "&amp;INDEX(ポート振替表!$H$5:$H$3507,$L2737)&amp;" "&amp;INDEX(ポート振替表!$I$5:$I$3507,$L2737))</f>
        <v/>
      </c>
      <c r="L2737" s="47" t="str">
        <f aca="false">IFERROR(MATCH(ROW()-4,ポート振替表!$V$5:$V$3507,0),"")</f>
        <v/>
      </c>
    </row>
    <row r="2738" customFormat="false" ht="16.4" hidden="false" customHeight="false" outlineLevel="0" collapsed="false">
      <c r="A2738" s="32" t="str">
        <f aca="false">IF(L2738="","",ROW()-4)</f>
        <v/>
      </c>
      <c r="B2738" s="58" t="str">
        <f aca="false">IF(L2738="","",IF(INDEX(ポート振替表!$W$5:$W$3507,$L2738)="","(なし)",INDEX(ポート振替表!$W$5:$W$3507,$L2738)&amp;""))</f>
        <v/>
      </c>
      <c r="C2738" s="52" t="str">
        <f aca="false">IF(L2738="","",INDEX(ポート振替表!$B$5:$B$3507,$L2738)&amp;" "&amp;INDEX(ポート振替表!$C$5:$C$3507,$L2738)&amp;"  ⇔  "&amp;INDEX(ポート振替表!$H$5:$H$3507,$L2738)&amp;" "&amp;INDEX(ポート振替表!$I$5:$I$3507,$L2738))</f>
        <v/>
      </c>
      <c r="D2738" s="57" t="s">
        <v>158</v>
      </c>
      <c r="E2738" s="59" t="str">
        <f aca="false">IF(L2738="","",IF(INDEX(ポート振替表!$O$5:$O$3507,$L2738)="","(未設定)",INDEX(ポート振替表!$O$5:$O$3507,$L2738)&amp;""))</f>
        <v/>
      </c>
      <c r="F2738" s="52" t="str">
        <f aca="false">IF(L2738="","",INDEX(ポート振替表!$K$5:$K$3507,$L2738)&amp;" "&amp;INDEX(ポート振替表!$L$5:$L$3507,$L2738)&amp;"  ⇔  "&amp;INDEX(ポート振替表!$H$5:$H$3507,$L2738)&amp;" "&amp;INDEX(ポート振替表!$I$5:$I$3507,$L2738))</f>
        <v/>
      </c>
      <c r="G2738" s="57" t="s">
        <v>158</v>
      </c>
      <c r="H2738" s="32" t="str">
        <f aca="false">IF(L2738="","",INDEX(ポート振替表!$N$5:$N$3507,$L2738)&amp;"")</f>
        <v/>
      </c>
      <c r="I2738" s="32" t="str">
        <f aca="false">IF(L2738="","",INDEX(ポート振替表!$P$5:$P$3507,$L2738)&amp;"")</f>
        <v/>
      </c>
      <c r="J2738" s="60" t="str">
        <f aca="false">IF(L2738="","",INDEX(ポート振替表!$M$5:$M$3507,$L2738)&amp;"")</f>
        <v/>
      </c>
      <c r="K2738" s="52" t="str">
        <f aca="false">IF(L2738="","",E2738&amp;CHAR(10)&amp;INDEX(ポート振替表!$K$5:$K$3507,$L2738)&amp;" "&amp;INDEX(ポート振替表!$L$5:$L$3507,$L2738)&amp;CHAR(10)&amp;"⇔ "&amp;INDEX(ポート振替表!$H$5:$H$3507,$L2738)&amp;" "&amp;INDEX(ポート振替表!$I$5:$I$3507,$L2738))</f>
        <v/>
      </c>
      <c r="L2738" s="47" t="str">
        <f aca="false">IFERROR(MATCH(ROW()-4,ポート振替表!$V$5:$V$3507,0),"")</f>
        <v/>
      </c>
    </row>
    <row r="2739" customFormat="false" ht="16.4" hidden="false" customHeight="false" outlineLevel="0" collapsed="false">
      <c r="A2739" s="32" t="str">
        <f aca="false">IF(L2739="","",ROW()-4)</f>
        <v/>
      </c>
      <c r="B2739" s="58" t="str">
        <f aca="false">IF(L2739="","",IF(INDEX(ポート振替表!$W$5:$W$3507,$L2739)="","(なし)",INDEX(ポート振替表!$W$5:$W$3507,$L2739)&amp;""))</f>
        <v/>
      </c>
      <c r="C2739" s="52" t="str">
        <f aca="false">IF(L2739="","",INDEX(ポート振替表!$B$5:$B$3507,$L2739)&amp;" "&amp;INDEX(ポート振替表!$C$5:$C$3507,$L2739)&amp;"  ⇔  "&amp;INDEX(ポート振替表!$H$5:$H$3507,$L2739)&amp;" "&amp;INDEX(ポート振替表!$I$5:$I$3507,$L2739))</f>
        <v/>
      </c>
      <c r="D2739" s="57" t="s">
        <v>158</v>
      </c>
      <c r="E2739" s="59" t="str">
        <f aca="false">IF(L2739="","",IF(INDEX(ポート振替表!$O$5:$O$3507,$L2739)="","(未設定)",INDEX(ポート振替表!$O$5:$O$3507,$L2739)&amp;""))</f>
        <v/>
      </c>
      <c r="F2739" s="52" t="str">
        <f aca="false">IF(L2739="","",INDEX(ポート振替表!$K$5:$K$3507,$L2739)&amp;" "&amp;INDEX(ポート振替表!$L$5:$L$3507,$L2739)&amp;"  ⇔  "&amp;INDEX(ポート振替表!$H$5:$H$3507,$L2739)&amp;" "&amp;INDEX(ポート振替表!$I$5:$I$3507,$L2739))</f>
        <v/>
      </c>
      <c r="G2739" s="57" t="s">
        <v>158</v>
      </c>
      <c r="H2739" s="32" t="str">
        <f aca="false">IF(L2739="","",INDEX(ポート振替表!$N$5:$N$3507,$L2739)&amp;"")</f>
        <v/>
      </c>
      <c r="I2739" s="32" t="str">
        <f aca="false">IF(L2739="","",INDEX(ポート振替表!$P$5:$P$3507,$L2739)&amp;"")</f>
        <v/>
      </c>
      <c r="J2739" s="60" t="str">
        <f aca="false">IF(L2739="","",INDEX(ポート振替表!$M$5:$M$3507,$L2739)&amp;"")</f>
        <v/>
      </c>
      <c r="K2739" s="52" t="str">
        <f aca="false">IF(L2739="","",E2739&amp;CHAR(10)&amp;INDEX(ポート振替表!$K$5:$K$3507,$L2739)&amp;" "&amp;INDEX(ポート振替表!$L$5:$L$3507,$L2739)&amp;CHAR(10)&amp;"⇔ "&amp;INDEX(ポート振替表!$H$5:$H$3507,$L2739)&amp;" "&amp;INDEX(ポート振替表!$I$5:$I$3507,$L2739))</f>
        <v/>
      </c>
      <c r="L2739" s="47" t="str">
        <f aca="false">IFERROR(MATCH(ROW()-4,ポート振替表!$V$5:$V$3507,0),"")</f>
        <v/>
      </c>
    </row>
    <row r="2740" customFormat="false" ht="16.4" hidden="false" customHeight="false" outlineLevel="0" collapsed="false">
      <c r="A2740" s="32" t="str">
        <f aca="false">IF(L2740="","",ROW()-4)</f>
        <v/>
      </c>
      <c r="B2740" s="58" t="str">
        <f aca="false">IF(L2740="","",IF(INDEX(ポート振替表!$W$5:$W$3507,$L2740)="","(なし)",INDEX(ポート振替表!$W$5:$W$3507,$L2740)&amp;""))</f>
        <v/>
      </c>
      <c r="C2740" s="52" t="str">
        <f aca="false">IF(L2740="","",INDEX(ポート振替表!$B$5:$B$3507,$L2740)&amp;" "&amp;INDEX(ポート振替表!$C$5:$C$3507,$L2740)&amp;"  ⇔  "&amp;INDEX(ポート振替表!$H$5:$H$3507,$L2740)&amp;" "&amp;INDEX(ポート振替表!$I$5:$I$3507,$L2740))</f>
        <v/>
      </c>
      <c r="D2740" s="57" t="s">
        <v>158</v>
      </c>
      <c r="E2740" s="59" t="str">
        <f aca="false">IF(L2740="","",IF(INDEX(ポート振替表!$O$5:$O$3507,$L2740)="","(未設定)",INDEX(ポート振替表!$O$5:$O$3507,$L2740)&amp;""))</f>
        <v/>
      </c>
      <c r="F2740" s="52" t="str">
        <f aca="false">IF(L2740="","",INDEX(ポート振替表!$K$5:$K$3507,$L2740)&amp;" "&amp;INDEX(ポート振替表!$L$5:$L$3507,$L2740)&amp;"  ⇔  "&amp;INDEX(ポート振替表!$H$5:$H$3507,$L2740)&amp;" "&amp;INDEX(ポート振替表!$I$5:$I$3507,$L2740))</f>
        <v/>
      </c>
      <c r="G2740" s="57" t="s">
        <v>158</v>
      </c>
      <c r="H2740" s="32" t="str">
        <f aca="false">IF(L2740="","",INDEX(ポート振替表!$N$5:$N$3507,$L2740)&amp;"")</f>
        <v/>
      </c>
      <c r="I2740" s="32" t="str">
        <f aca="false">IF(L2740="","",INDEX(ポート振替表!$P$5:$P$3507,$L2740)&amp;"")</f>
        <v/>
      </c>
      <c r="J2740" s="60" t="str">
        <f aca="false">IF(L2740="","",INDEX(ポート振替表!$M$5:$M$3507,$L2740)&amp;"")</f>
        <v/>
      </c>
      <c r="K2740" s="52" t="str">
        <f aca="false">IF(L2740="","",E2740&amp;CHAR(10)&amp;INDEX(ポート振替表!$K$5:$K$3507,$L2740)&amp;" "&amp;INDEX(ポート振替表!$L$5:$L$3507,$L2740)&amp;CHAR(10)&amp;"⇔ "&amp;INDEX(ポート振替表!$H$5:$H$3507,$L2740)&amp;" "&amp;INDEX(ポート振替表!$I$5:$I$3507,$L2740))</f>
        <v/>
      </c>
      <c r="L2740" s="47" t="str">
        <f aca="false">IFERROR(MATCH(ROW()-4,ポート振替表!$V$5:$V$3507,0),"")</f>
        <v/>
      </c>
    </row>
    <row r="2741" customFormat="false" ht="16.4" hidden="false" customHeight="false" outlineLevel="0" collapsed="false">
      <c r="A2741" s="32" t="str">
        <f aca="false">IF(L2741="","",ROW()-4)</f>
        <v/>
      </c>
      <c r="B2741" s="58" t="str">
        <f aca="false">IF(L2741="","",IF(INDEX(ポート振替表!$W$5:$W$3507,$L2741)="","(なし)",INDEX(ポート振替表!$W$5:$W$3507,$L2741)&amp;""))</f>
        <v/>
      </c>
      <c r="C2741" s="52" t="str">
        <f aca="false">IF(L2741="","",INDEX(ポート振替表!$B$5:$B$3507,$L2741)&amp;" "&amp;INDEX(ポート振替表!$C$5:$C$3507,$L2741)&amp;"  ⇔  "&amp;INDEX(ポート振替表!$H$5:$H$3507,$L2741)&amp;" "&amp;INDEX(ポート振替表!$I$5:$I$3507,$L2741))</f>
        <v/>
      </c>
      <c r="D2741" s="57" t="s">
        <v>158</v>
      </c>
      <c r="E2741" s="59" t="str">
        <f aca="false">IF(L2741="","",IF(INDEX(ポート振替表!$O$5:$O$3507,$L2741)="","(未設定)",INDEX(ポート振替表!$O$5:$O$3507,$L2741)&amp;""))</f>
        <v/>
      </c>
      <c r="F2741" s="52" t="str">
        <f aca="false">IF(L2741="","",INDEX(ポート振替表!$K$5:$K$3507,$L2741)&amp;" "&amp;INDEX(ポート振替表!$L$5:$L$3507,$L2741)&amp;"  ⇔  "&amp;INDEX(ポート振替表!$H$5:$H$3507,$L2741)&amp;" "&amp;INDEX(ポート振替表!$I$5:$I$3507,$L2741))</f>
        <v/>
      </c>
      <c r="G2741" s="57" t="s">
        <v>158</v>
      </c>
      <c r="H2741" s="32" t="str">
        <f aca="false">IF(L2741="","",INDEX(ポート振替表!$N$5:$N$3507,$L2741)&amp;"")</f>
        <v/>
      </c>
      <c r="I2741" s="32" t="str">
        <f aca="false">IF(L2741="","",INDEX(ポート振替表!$P$5:$P$3507,$L2741)&amp;"")</f>
        <v/>
      </c>
      <c r="J2741" s="60" t="str">
        <f aca="false">IF(L2741="","",INDEX(ポート振替表!$M$5:$M$3507,$L2741)&amp;"")</f>
        <v/>
      </c>
      <c r="K2741" s="52" t="str">
        <f aca="false">IF(L2741="","",E2741&amp;CHAR(10)&amp;INDEX(ポート振替表!$K$5:$K$3507,$L2741)&amp;" "&amp;INDEX(ポート振替表!$L$5:$L$3507,$L2741)&amp;CHAR(10)&amp;"⇔ "&amp;INDEX(ポート振替表!$H$5:$H$3507,$L2741)&amp;" "&amp;INDEX(ポート振替表!$I$5:$I$3507,$L2741))</f>
        <v/>
      </c>
      <c r="L2741" s="47" t="str">
        <f aca="false">IFERROR(MATCH(ROW()-4,ポート振替表!$V$5:$V$3507,0),"")</f>
        <v/>
      </c>
    </row>
    <row r="2742" customFormat="false" ht="16.4" hidden="false" customHeight="false" outlineLevel="0" collapsed="false">
      <c r="A2742" s="32" t="str">
        <f aca="false">IF(L2742="","",ROW()-4)</f>
        <v/>
      </c>
      <c r="B2742" s="58" t="str">
        <f aca="false">IF(L2742="","",IF(INDEX(ポート振替表!$W$5:$W$3507,$L2742)="","(なし)",INDEX(ポート振替表!$W$5:$W$3507,$L2742)&amp;""))</f>
        <v/>
      </c>
      <c r="C2742" s="52" t="str">
        <f aca="false">IF(L2742="","",INDEX(ポート振替表!$B$5:$B$3507,$L2742)&amp;" "&amp;INDEX(ポート振替表!$C$5:$C$3507,$L2742)&amp;"  ⇔  "&amp;INDEX(ポート振替表!$H$5:$H$3507,$L2742)&amp;" "&amp;INDEX(ポート振替表!$I$5:$I$3507,$L2742))</f>
        <v/>
      </c>
      <c r="D2742" s="57" t="s">
        <v>158</v>
      </c>
      <c r="E2742" s="59" t="str">
        <f aca="false">IF(L2742="","",IF(INDEX(ポート振替表!$O$5:$O$3507,$L2742)="","(未設定)",INDEX(ポート振替表!$O$5:$O$3507,$L2742)&amp;""))</f>
        <v/>
      </c>
      <c r="F2742" s="52" t="str">
        <f aca="false">IF(L2742="","",INDEX(ポート振替表!$K$5:$K$3507,$L2742)&amp;" "&amp;INDEX(ポート振替表!$L$5:$L$3507,$L2742)&amp;"  ⇔  "&amp;INDEX(ポート振替表!$H$5:$H$3507,$L2742)&amp;" "&amp;INDEX(ポート振替表!$I$5:$I$3507,$L2742))</f>
        <v/>
      </c>
      <c r="G2742" s="57" t="s">
        <v>158</v>
      </c>
      <c r="H2742" s="32" t="str">
        <f aca="false">IF(L2742="","",INDEX(ポート振替表!$N$5:$N$3507,$L2742)&amp;"")</f>
        <v/>
      </c>
      <c r="I2742" s="32" t="str">
        <f aca="false">IF(L2742="","",INDEX(ポート振替表!$P$5:$P$3507,$L2742)&amp;"")</f>
        <v/>
      </c>
      <c r="J2742" s="60" t="str">
        <f aca="false">IF(L2742="","",INDEX(ポート振替表!$M$5:$M$3507,$L2742)&amp;"")</f>
        <v/>
      </c>
      <c r="K2742" s="52" t="str">
        <f aca="false">IF(L2742="","",E2742&amp;CHAR(10)&amp;INDEX(ポート振替表!$K$5:$K$3507,$L2742)&amp;" "&amp;INDEX(ポート振替表!$L$5:$L$3507,$L2742)&amp;CHAR(10)&amp;"⇔ "&amp;INDEX(ポート振替表!$H$5:$H$3507,$L2742)&amp;" "&amp;INDEX(ポート振替表!$I$5:$I$3507,$L2742))</f>
        <v/>
      </c>
      <c r="L2742" s="47" t="str">
        <f aca="false">IFERROR(MATCH(ROW()-4,ポート振替表!$V$5:$V$3507,0),"")</f>
        <v/>
      </c>
    </row>
    <row r="2743" customFormat="false" ht="16.4" hidden="false" customHeight="false" outlineLevel="0" collapsed="false">
      <c r="A2743" s="32" t="str">
        <f aca="false">IF(L2743="","",ROW()-4)</f>
        <v/>
      </c>
      <c r="B2743" s="58" t="str">
        <f aca="false">IF(L2743="","",IF(INDEX(ポート振替表!$W$5:$W$3507,$L2743)="","(なし)",INDEX(ポート振替表!$W$5:$W$3507,$L2743)&amp;""))</f>
        <v/>
      </c>
      <c r="C2743" s="52" t="str">
        <f aca="false">IF(L2743="","",INDEX(ポート振替表!$B$5:$B$3507,$L2743)&amp;" "&amp;INDEX(ポート振替表!$C$5:$C$3507,$L2743)&amp;"  ⇔  "&amp;INDEX(ポート振替表!$H$5:$H$3507,$L2743)&amp;" "&amp;INDEX(ポート振替表!$I$5:$I$3507,$L2743))</f>
        <v/>
      </c>
      <c r="D2743" s="57" t="s">
        <v>158</v>
      </c>
      <c r="E2743" s="59" t="str">
        <f aca="false">IF(L2743="","",IF(INDEX(ポート振替表!$O$5:$O$3507,$L2743)="","(未設定)",INDEX(ポート振替表!$O$5:$O$3507,$L2743)&amp;""))</f>
        <v/>
      </c>
      <c r="F2743" s="52" t="str">
        <f aca="false">IF(L2743="","",INDEX(ポート振替表!$K$5:$K$3507,$L2743)&amp;" "&amp;INDEX(ポート振替表!$L$5:$L$3507,$L2743)&amp;"  ⇔  "&amp;INDEX(ポート振替表!$H$5:$H$3507,$L2743)&amp;" "&amp;INDEX(ポート振替表!$I$5:$I$3507,$L2743))</f>
        <v/>
      </c>
      <c r="G2743" s="57" t="s">
        <v>158</v>
      </c>
      <c r="H2743" s="32" t="str">
        <f aca="false">IF(L2743="","",INDEX(ポート振替表!$N$5:$N$3507,$L2743)&amp;"")</f>
        <v/>
      </c>
      <c r="I2743" s="32" t="str">
        <f aca="false">IF(L2743="","",INDEX(ポート振替表!$P$5:$P$3507,$L2743)&amp;"")</f>
        <v/>
      </c>
      <c r="J2743" s="60" t="str">
        <f aca="false">IF(L2743="","",INDEX(ポート振替表!$M$5:$M$3507,$L2743)&amp;"")</f>
        <v/>
      </c>
      <c r="K2743" s="52" t="str">
        <f aca="false">IF(L2743="","",E2743&amp;CHAR(10)&amp;INDEX(ポート振替表!$K$5:$K$3507,$L2743)&amp;" "&amp;INDEX(ポート振替表!$L$5:$L$3507,$L2743)&amp;CHAR(10)&amp;"⇔ "&amp;INDEX(ポート振替表!$H$5:$H$3507,$L2743)&amp;" "&amp;INDEX(ポート振替表!$I$5:$I$3507,$L2743))</f>
        <v/>
      </c>
      <c r="L2743" s="47" t="str">
        <f aca="false">IFERROR(MATCH(ROW()-4,ポート振替表!$V$5:$V$3507,0),"")</f>
        <v/>
      </c>
    </row>
    <row r="2744" customFormat="false" ht="16.4" hidden="false" customHeight="false" outlineLevel="0" collapsed="false">
      <c r="A2744" s="32" t="str">
        <f aca="false">IF(L2744="","",ROW()-4)</f>
        <v/>
      </c>
      <c r="B2744" s="58" t="str">
        <f aca="false">IF(L2744="","",IF(INDEX(ポート振替表!$W$5:$W$3507,$L2744)="","(なし)",INDEX(ポート振替表!$W$5:$W$3507,$L2744)&amp;""))</f>
        <v/>
      </c>
      <c r="C2744" s="52" t="str">
        <f aca="false">IF(L2744="","",INDEX(ポート振替表!$B$5:$B$3507,$L2744)&amp;" "&amp;INDEX(ポート振替表!$C$5:$C$3507,$L2744)&amp;"  ⇔  "&amp;INDEX(ポート振替表!$H$5:$H$3507,$L2744)&amp;" "&amp;INDEX(ポート振替表!$I$5:$I$3507,$L2744))</f>
        <v/>
      </c>
      <c r="D2744" s="57" t="s">
        <v>158</v>
      </c>
      <c r="E2744" s="59" t="str">
        <f aca="false">IF(L2744="","",IF(INDEX(ポート振替表!$O$5:$O$3507,$L2744)="","(未設定)",INDEX(ポート振替表!$O$5:$O$3507,$L2744)&amp;""))</f>
        <v/>
      </c>
      <c r="F2744" s="52" t="str">
        <f aca="false">IF(L2744="","",INDEX(ポート振替表!$K$5:$K$3507,$L2744)&amp;" "&amp;INDEX(ポート振替表!$L$5:$L$3507,$L2744)&amp;"  ⇔  "&amp;INDEX(ポート振替表!$H$5:$H$3507,$L2744)&amp;" "&amp;INDEX(ポート振替表!$I$5:$I$3507,$L2744))</f>
        <v/>
      </c>
      <c r="G2744" s="57" t="s">
        <v>158</v>
      </c>
      <c r="H2744" s="32" t="str">
        <f aca="false">IF(L2744="","",INDEX(ポート振替表!$N$5:$N$3507,$L2744)&amp;"")</f>
        <v/>
      </c>
      <c r="I2744" s="32" t="str">
        <f aca="false">IF(L2744="","",INDEX(ポート振替表!$P$5:$P$3507,$L2744)&amp;"")</f>
        <v/>
      </c>
      <c r="J2744" s="60" t="str">
        <f aca="false">IF(L2744="","",INDEX(ポート振替表!$M$5:$M$3507,$L2744)&amp;"")</f>
        <v/>
      </c>
      <c r="K2744" s="52" t="str">
        <f aca="false">IF(L2744="","",E2744&amp;CHAR(10)&amp;INDEX(ポート振替表!$K$5:$K$3507,$L2744)&amp;" "&amp;INDEX(ポート振替表!$L$5:$L$3507,$L2744)&amp;CHAR(10)&amp;"⇔ "&amp;INDEX(ポート振替表!$H$5:$H$3507,$L2744)&amp;" "&amp;INDEX(ポート振替表!$I$5:$I$3507,$L2744))</f>
        <v/>
      </c>
      <c r="L2744" s="47" t="str">
        <f aca="false">IFERROR(MATCH(ROW()-4,ポート振替表!$V$5:$V$3507,0),"")</f>
        <v/>
      </c>
    </row>
    <row r="2745" customFormat="false" ht="16.4" hidden="false" customHeight="false" outlineLevel="0" collapsed="false">
      <c r="A2745" s="32" t="str">
        <f aca="false">IF(L2745="","",ROW()-4)</f>
        <v/>
      </c>
      <c r="B2745" s="58" t="str">
        <f aca="false">IF(L2745="","",IF(INDEX(ポート振替表!$W$5:$W$3507,$L2745)="","(なし)",INDEX(ポート振替表!$W$5:$W$3507,$L2745)&amp;""))</f>
        <v/>
      </c>
      <c r="C2745" s="52" t="str">
        <f aca="false">IF(L2745="","",INDEX(ポート振替表!$B$5:$B$3507,$L2745)&amp;" "&amp;INDEX(ポート振替表!$C$5:$C$3507,$L2745)&amp;"  ⇔  "&amp;INDEX(ポート振替表!$H$5:$H$3507,$L2745)&amp;" "&amp;INDEX(ポート振替表!$I$5:$I$3507,$L2745))</f>
        <v/>
      </c>
      <c r="D2745" s="57" t="s">
        <v>158</v>
      </c>
      <c r="E2745" s="59" t="str">
        <f aca="false">IF(L2745="","",IF(INDEX(ポート振替表!$O$5:$O$3507,$L2745)="","(未設定)",INDEX(ポート振替表!$O$5:$O$3507,$L2745)&amp;""))</f>
        <v/>
      </c>
      <c r="F2745" s="52" t="str">
        <f aca="false">IF(L2745="","",INDEX(ポート振替表!$K$5:$K$3507,$L2745)&amp;" "&amp;INDEX(ポート振替表!$L$5:$L$3507,$L2745)&amp;"  ⇔  "&amp;INDEX(ポート振替表!$H$5:$H$3507,$L2745)&amp;" "&amp;INDEX(ポート振替表!$I$5:$I$3507,$L2745))</f>
        <v/>
      </c>
      <c r="G2745" s="57" t="s">
        <v>158</v>
      </c>
      <c r="H2745" s="32" t="str">
        <f aca="false">IF(L2745="","",INDEX(ポート振替表!$N$5:$N$3507,$L2745)&amp;"")</f>
        <v/>
      </c>
      <c r="I2745" s="32" t="str">
        <f aca="false">IF(L2745="","",INDEX(ポート振替表!$P$5:$P$3507,$L2745)&amp;"")</f>
        <v/>
      </c>
      <c r="J2745" s="60" t="str">
        <f aca="false">IF(L2745="","",INDEX(ポート振替表!$M$5:$M$3507,$L2745)&amp;"")</f>
        <v/>
      </c>
      <c r="K2745" s="52" t="str">
        <f aca="false">IF(L2745="","",E2745&amp;CHAR(10)&amp;INDEX(ポート振替表!$K$5:$K$3507,$L2745)&amp;" "&amp;INDEX(ポート振替表!$L$5:$L$3507,$L2745)&amp;CHAR(10)&amp;"⇔ "&amp;INDEX(ポート振替表!$H$5:$H$3507,$L2745)&amp;" "&amp;INDEX(ポート振替表!$I$5:$I$3507,$L2745))</f>
        <v/>
      </c>
      <c r="L2745" s="47" t="str">
        <f aca="false">IFERROR(MATCH(ROW()-4,ポート振替表!$V$5:$V$3507,0),"")</f>
        <v/>
      </c>
    </row>
    <row r="2746" customFormat="false" ht="16.4" hidden="false" customHeight="false" outlineLevel="0" collapsed="false">
      <c r="A2746" s="32" t="str">
        <f aca="false">IF(L2746="","",ROW()-4)</f>
        <v/>
      </c>
      <c r="B2746" s="58" t="str">
        <f aca="false">IF(L2746="","",IF(INDEX(ポート振替表!$W$5:$W$3507,$L2746)="","(なし)",INDEX(ポート振替表!$W$5:$W$3507,$L2746)&amp;""))</f>
        <v/>
      </c>
      <c r="C2746" s="52" t="str">
        <f aca="false">IF(L2746="","",INDEX(ポート振替表!$B$5:$B$3507,$L2746)&amp;" "&amp;INDEX(ポート振替表!$C$5:$C$3507,$L2746)&amp;"  ⇔  "&amp;INDEX(ポート振替表!$H$5:$H$3507,$L2746)&amp;" "&amp;INDEX(ポート振替表!$I$5:$I$3507,$L2746))</f>
        <v/>
      </c>
      <c r="D2746" s="57" t="s">
        <v>158</v>
      </c>
      <c r="E2746" s="59" t="str">
        <f aca="false">IF(L2746="","",IF(INDEX(ポート振替表!$O$5:$O$3507,$L2746)="","(未設定)",INDEX(ポート振替表!$O$5:$O$3507,$L2746)&amp;""))</f>
        <v/>
      </c>
      <c r="F2746" s="52" t="str">
        <f aca="false">IF(L2746="","",INDEX(ポート振替表!$K$5:$K$3507,$L2746)&amp;" "&amp;INDEX(ポート振替表!$L$5:$L$3507,$L2746)&amp;"  ⇔  "&amp;INDEX(ポート振替表!$H$5:$H$3507,$L2746)&amp;" "&amp;INDEX(ポート振替表!$I$5:$I$3507,$L2746))</f>
        <v/>
      </c>
      <c r="G2746" s="57" t="s">
        <v>158</v>
      </c>
      <c r="H2746" s="32" t="str">
        <f aca="false">IF(L2746="","",INDEX(ポート振替表!$N$5:$N$3507,$L2746)&amp;"")</f>
        <v/>
      </c>
      <c r="I2746" s="32" t="str">
        <f aca="false">IF(L2746="","",INDEX(ポート振替表!$P$5:$P$3507,$L2746)&amp;"")</f>
        <v/>
      </c>
      <c r="J2746" s="60" t="str">
        <f aca="false">IF(L2746="","",INDEX(ポート振替表!$M$5:$M$3507,$L2746)&amp;"")</f>
        <v/>
      </c>
      <c r="K2746" s="52" t="str">
        <f aca="false">IF(L2746="","",E2746&amp;CHAR(10)&amp;INDEX(ポート振替表!$K$5:$K$3507,$L2746)&amp;" "&amp;INDEX(ポート振替表!$L$5:$L$3507,$L2746)&amp;CHAR(10)&amp;"⇔ "&amp;INDEX(ポート振替表!$H$5:$H$3507,$L2746)&amp;" "&amp;INDEX(ポート振替表!$I$5:$I$3507,$L2746))</f>
        <v/>
      </c>
      <c r="L2746" s="47" t="str">
        <f aca="false">IFERROR(MATCH(ROW()-4,ポート振替表!$V$5:$V$3507,0),"")</f>
        <v/>
      </c>
    </row>
    <row r="2747" customFormat="false" ht="16.4" hidden="false" customHeight="false" outlineLevel="0" collapsed="false">
      <c r="A2747" s="32" t="str">
        <f aca="false">IF(L2747="","",ROW()-4)</f>
        <v/>
      </c>
      <c r="B2747" s="58" t="str">
        <f aca="false">IF(L2747="","",IF(INDEX(ポート振替表!$W$5:$W$3507,$L2747)="","(なし)",INDEX(ポート振替表!$W$5:$W$3507,$L2747)&amp;""))</f>
        <v/>
      </c>
      <c r="C2747" s="52" t="str">
        <f aca="false">IF(L2747="","",INDEX(ポート振替表!$B$5:$B$3507,$L2747)&amp;" "&amp;INDEX(ポート振替表!$C$5:$C$3507,$L2747)&amp;"  ⇔  "&amp;INDEX(ポート振替表!$H$5:$H$3507,$L2747)&amp;" "&amp;INDEX(ポート振替表!$I$5:$I$3507,$L2747))</f>
        <v/>
      </c>
      <c r="D2747" s="57" t="s">
        <v>158</v>
      </c>
      <c r="E2747" s="59" t="str">
        <f aca="false">IF(L2747="","",IF(INDEX(ポート振替表!$O$5:$O$3507,$L2747)="","(未設定)",INDEX(ポート振替表!$O$5:$O$3507,$L2747)&amp;""))</f>
        <v/>
      </c>
      <c r="F2747" s="52" t="str">
        <f aca="false">IF(L2747="","",INDEX(ポート振替表!$K$5:$K$3507,$L2747)&amp;" "&amp;INDEX(ポート振替表!$L$5:$L$3507,$L2747)&amp;"  ⇔  "&amp;INDEX(ポート振替表!$H$5:$H$3507,$L2747)&amp;" "&amp;INDEX(ポート振替表!$I$5:$I$3507,$L2747))</f>
        <v/>
      </c>
      <c r="G2747" s="57" t="s">
        <v>158</v>
      </c>
      <c r="H2747" s="32" t="str">
        <f aca="false">IF(L2747="","",INDEX(ポート振替表!$N$5:$N$3507,$L2747)&amp;"")</f>
        <v/>
      </c>
      <c r="I2747" s="32" t="str">
        <f aca="false">IF(L2747="","",INDEX(ポート振替表!$P$5:$P$3507,$L2747)&amp;"")</f>
        <v/>
      </c>
      <c r="J2747" s="60" t="str">
        <f aca="false">IF(L2747="","",INDEX(ポート振替表!$M$5:$M$3507,$L2747)&amp;"")</f>
        <v/>
      </c>
      <c r="K2747" s="52" t="str">
        <f aca="false">IF(L2747="","",E2747&amp;CHAR(10)&amp;INDEX(ポート振替表!$K$5:$K$3507,$L2747)&amp;" "&amp;INDEX(ポート振替表!$L$5:$L$3507,$L2747)&amp;CHAR(10)&amp;"⇔ "&amp;INDEX(ポート振替表!$H$5:$H$3507,$L2747)&amp;" "&amp;INDEX(ポート振替表!$I$5:$I$3507,$L2747))</f>
        <v/>
      </c>
      <c r="L2747" s="47" t="str">
        <f aca="false">IFERROR(MATCH(ROW()-4,ポート振替表!$V$5:$V$3507,0),"")</f>
        <v/>
      </c>
    </row>
    <row r="2748" customFormat="false" ht="16.4" hidden="false" customHeight="false" outlineLevel="0" collapsed="false">
      <c r="A2748" s="32" t="str">
        <f aca="false">IF(L2748="","",ROW()-4)</f>
        <v/>
      </c>
      <c r="B2748" s="58" t="str">
        <f aca="false">IF(L2748="","",IF(INDEX(ポート振替表!$W$5:$W$3507,$L2748)="","(なし)",INDEX(ポート振替表!$W$5:$W$3507,$L2748)&amp;""))</f>
        <v/>
      </c>
      <c r="C2748" s="52" t="str">
        <f aca="false">IF(L2748="","",INDEX(ポート振替表!$B$5:$B$3507,$L2748)&amp;" "&amp;INDEX(ポート振替表!$C$5:$C$3507,$L2748)&amp;"  ⇔  "&amp;INDEX(ポート振替表!$H$5:$H$3507,$L2748)&amp;" "&amp;INDEX(ポート振替表!$I$5:$I$3507,$L2748))</f>
        <v/>
      </c>
      <c r="D2748" s="57" t="s">
        <v>158</v>
      </c>
      <c r="E2748" s="59" t="str">
        <f aca="false">IF(L2748="","",IF(INDEX(ポート振替表!$O$5:$O$3507,$L2748)="","(未設定)",INDEX(ポート振替表!$O$5:$O$3507,$L2748)&amp;""))</f>
        <v/>
      </c>
      <c r="F2748" s="52" t="str">
        <f aca="false">IF(L2748="","",INDEX(ポート振替表!$K$5:$K$3507,$L2748)&amp;" "&amp;INDEX(ポート振替表!$L$5:$L$3507,$L2748)&amp;"  ⇔  "&amp;INDEX(ポート振替表!$H$5:$H$3507,$L2748)&amp;" "&amp;INDEX(ポート振替表!$I$5:$I$3507,$L2748))</f>
        <v/>
      </c>
      <c r="G2748" s="57" t="s">
        <v>158</v>
      </c>
      <c r="H2748" s="32" t="str">
        <f aca="false">IF(L2748="","",INDEX(ポート振替表!$N$5:$N$3507,$L2748)&amp;"")</f>
        <v/>
      </c>
      <c r="I2748" s="32" t="str">
        <f aca="false">IF(L2748="","",INDEX(ポート振替表!$P$5:$P$3507,$L2748)&amp;"")</f>
        <v/>
      </c>
      <c r="J2748" s="60" t="str">
        <f aca="false">IF(L2748="","",INDEX(ポート振替表!$M$5:$M$3507,$L2748)&amp;"")</f>
        <v/>
      </c>
      <c r="K2748" s="52" t="str">
        <f aca="false">IF(L2748="","",E2748&amp;CHAR(10)&amp;INDEX(ポート振替表!$K$5:$K$3507,$L2748)&amp;" "&amp;INDEX(ポート振替表!$L$5:$L$3507,$L2748)&amp;CHAR(10)&amp;"⇔ "&amp;INDEX(ポート振替表!$H$5:$H$3507,$L2748)&amp;" "&amp;INDEX(ポート振替表!$I$5:$I$3507,$L2748))</f>
        <v/>
      </c>
      <c r="L2748" s="47" t="str">
        <f aca="false">IFERROR(MATCH(ROW()-4,ポート振替表!$V$5:$V$3507,0),"")</f>
        <v/>
      </c>
    </row>
    <row r="2749" customFormat="false" ht="16.4" hidden="false" customHeight="false" outlineLevel="0" collapsed="false">
      <c r="A2749" s="32" t="str">
        <f aca="false">IF(L2749="","",ROW()-4)</f>
        <v/>
      </c>
      <c r="B2749" s="58" t="str">
        <f aca="false">IF(L2749="","",IF(INDEX(ポート振替表!$W$5:$W$3507,$L2749)="","(なし)",INDEX(ポート振替表!$W$5:$W$3507,$L2749)&amp;""))</f>
        <v/>
      </c>
      <c r="C2749" s="52" t="str">
        <f aca="false">IF(L2749="","",INDEX(ポート振替表!$B$5:$B$3507,$L2749)&amp;" "&amp;INDEX(ポート振替表!$C$5:$C$3507,$L2749)&amp;"  ⇔  "&amp;INDEX(ポート振替表!$H$5:$H$3507,$L2749)&amp;" "&amp;INDEX(ポート振替表!$I$5:$I$3507,$L2749))</f>
        <v/>
      </c>
      <c r="D2749" s="57" t="s">
        <v>158</v>
      </c>
      <c r="E2749" s="59" t="str">
        <f aca="false">IF(L2749="","",IF(INDEX(ポート振替表!$O$5:$O$3507,$L2749)="","(未設定)",INDEX(ポート振替表!$O$5:$O$3507,$L2749)&amp;""))</f>
        <v/>
      </c>
      <c r="F2749" s="52" t="str">
        <f aca="false">IF(L2749="","",INDEX(ポート振替表!$K$5:$K$3507,$L2749)&amp;" "&amp;INDEX(ポート振替表!$L$5:$L$3507,$L2749)&amp;"  ⇔  "&amp;INDEX(ポート振替表!$H$5:$H$3507,$L2749)&amp;" "&amp;INDEX(ポート振替表!$I$5:$I$3507,$L2749))</f>
        <v/>
      </c>
      <c r="G2749" s="57" t="s">
        <v>158</v>
      </c>
      <c r="H2749" s="32" t="str">
        <f aca="false">IF(L2749="","",INDEX(ポート振替表!$N$5:$N$3507,$L2749)&amp;"")</f>
        <v/>
      </c>
      <c r="I2749" s="32" t="str">
        <f aca="false">IF(L2749="","",INDEX(ポート振替表!$P$5:$P$3507,$L2749)&amp;"")</f>
        <v/>
      </c>
      <c r="J2749" s="60" t="str">
        <f aca="false">IF(L2749="","",INDEX(ポート振替表!$M$5:$M$3507,$L2749)&amp;"")</f>
        <v/>
      </c>
      <c r="K2749" s="52" t="str">
        <f aca="false">IF(L2749="","",E2749&amp;CHAR(10)&amp;INDEX(ポート振替表!$K$5:$K$3507,$L2749)&amp;" "&amp;INDEX(ポート振替表!$L$5:$L$3507,$L2749)&amp;CHAR(10)&amp;"⇔ "&amp;INDEX(ポート振替表!$H$5:$H$3507,$L2749)&amp;" "&amp;INDEX(ポート振替表!$I$5:$I$3507,$L2749))</f>
        <v/>
      </c>
      <c r="L2749" s="47" t="str">
        <f aca="false">IFERROR(MATCH(ROW()-4,ポート振替表!$V$5:$V$3507,0),"")</f>
        <v/>
      </c>
    </row>
    <row r="2750" customFormat="false" ht="16.4" hidden="false" customHeight="false" outlineLevel="0" collapsed="false">
      <c r="A2750" s="32" t="str">
        <f aca="false">IF(L2750="","",ROW()-4)</f>
        <v/>
      </c>
      <c r="B2750" s="58" t="str">
        <f aca="false">IF(L2750="","",IF(INDEX(ポート振替表!$W$5:$W$3507,$L2750)="","(なし)",INDEX(ポート振替表!$W$5:$W$3507,$L2750)&amp;""))</f>
        <v/>
      </c>
      <c r="C2750" s="52" t="str">
        <f aca="false">IF(L2750="","",INDEX(ポート振替表!$B$5:$B$3507,$L2750)&amp;" "&amp;INDEX(ポート振替表!$C$5:$C$3507,$L2750)&amp;"  ⇔  "&amp;INDEX(ポート振替表!$H$5:$H$3507,$L2750)&amp;" "&amp;INDEX(ポート振替表!$I$5:$I$3507,$L2750))</f>
        <v/>
      </c>
      <c r="D2750" s="57" t="s">
        <v>158</v>
      </c>
      <c r="E2750" s="59" t="str">
        <f aca="false">IF(L2750="","",IF(INDEX(ポート振替表!$O$5:$O$3507,$L2750)="","(未設定)",INDEX(ポート振替表!$O$5:$O$3507,$L2750)&amp;""))</f>
        <v/>
      </c>
      <c r="F2750" s="52" t="str">
        <f aca="false">IF(L2750="","",INDEX(ポート振替表!$K$5:$K$3507,$L2750)&amp;" "&amp;INDEX(ポート振替表!$L$5:$L$3507,$L2750)&amp;"  ⇔  "&amp;INDEX(ポート振替表!$H$5:$H$3507,$L2750)&amp;" "&amp;INDEX(ポート振替表!$I$5:$I$3507,$L2750))</f>
        <v/>
      </c>
      <c r="G2750" s="57" t="s">
        <v>158</v>
      </c>
      <c r="H2750" s="32" t="str">
        <f aca="false">IF(L2750="","",INDEX(ポート振替表!$N$5:$N$3507,$L2750)&amp;"")</f>
        <v/>
      </c>
      <c r="I2750" s="32" t="str">
        <f aca="false">IF(L2750="","",INDEX(ポート振替表!$P$5:$P$3507,$L2750)&amp;"")</f>
        <v/>
      </c>
      <c r="J2750" s="60" t="str">
        <f aca="false">IF(L2750="","",INDEX(ポート振替表!$M$5:$M$3507,$L2750)&amp;"")</f>
        <v/>
      </c>
      <c r="K2750" s="52" t="str">
        <f aca="false">IF(L2750="","",E2750&amp;CHAR(10)&amp;INDEX(ポート振替表!$K$5:$K$3507,$L2750)&amp;" "&amp;INDEX(ポート振替表!$L$5:$L$3507,$L2750)&amp;CHAR(10)&amp;"⇔ "&amp;INDEX(ポート振替表!$H$5:$H$3507,$L2750)&amp;" "&amp;INDEX(ポート振替表!$I$5:$I$3507,$L2750))</f>
        <v/>
      </c>
      <c r="L2750" s="47" t="str">
        <f aca="false">IFERROR(MATCH(ROW()-4,ポート振替表!$V$5:$V$3507,0),"")</f>
        <v/>
      </c>
    </row>
    <row r="2751" customFormat="false" ht="16.4" hidden="false" customHeight="false" outlineLevel="0" collapsed="false">
      <c r="A2751" s="32" t="str">
        <f aca="false">IF(L2751="","",ROW()-4)</f>
        <v/>
      </c>
      <c r="B2751" s="58" t="str">
        <f aca="false">IF(L2751="","",IF(INDEX(ポート振替表!$W$5:$W$3507,$L2751)="","(なし)",INDEX(ポート振替表!$W$5:$W$3507,$L2751)&amp;""))</f>
        <v/>
      </c>
      <c r="C2751" s="52" t="str">
        <f aca="false">IF(L2751="","",INDEX(ポート振替表!$B$5:$B$3507,$L2751)&amp;" "&amp;INDEX(ポート振替表!$C$5:$C$3507,$L2751)&amp;"  ⇔  "&amp;INDEX(ポート振替表!$H$5:$H$3507,$L2751)&amp;" "&amp;INDEX(ポート振替表!$I$5:$I$3507,$L2751))</f>
        <v/>
      </c>
      <c r="D2751" s="57" t="s">
        <v>158</v>
      </c>
      <c r="E2751" s="59" t="str">
        <f aca="false">IF(L2751="","",IF(INDEX(ポート振替表!$O$5:$O$3507,$L2751)="","(未設定)",INDEX(ポート振替表!$O$5:$O$3507,$L2751)&amp;""))</f>
        <v/>
      </c>
      <c r="F2751" s="52" t="str">
        <f aca="false">IF(L2751="","",INDEX(ポート振替表!$K$5:$K$3507,$L2751)&amp;" "&amp;INDEX(ポート振替表!$L$5:$L$3507,$L2751)&amp;"  ⇔  "&amp;INDEX(ポート振替表!$H$5:$H$3507,$L2751)&amp;" "&amp;INDEX(ポート振替表!$I$5:$I$3507,$L2751))</f>
        <v/>
      </c>
      <c r="G2751" s="57" t="s">
        <v>158</v>
      </c>
      <c r="H2751" s="32" t="str">
        <f aca="false">IF(L2751="","",INDEX(ポート振替表!$N$5:$N$3507,$L2751)&amp;"")</f>
        <v/>
      </c>
      <c r="I2751" s="32" t="str">
        <f aca="false">IF(L2751="","",INDEX(ポート振替表!$P$5:$P$3507,$L2751)&amp;"")</f>
        <v/>
      </c>
      <c r="J2751" s="60" t="str">
        <f aca="false">IF(L2751="","",INDEX(ポート振替表!$M$5:$M$3507,$L2751)&amp;"")</f>
        <v/>
      </c>
      <c r="K2751" s="52" t="str">
        <f aca="false">IF(L2751="","",E2751&amp;CHAR(10)&amp;INDEX(ポート振替表!$K$5:$K$3507,$L2751)&amp;" "&amp;INDEX(ポート振替表!$L$5:$L$3507,$L2751)&amp;CHAR(10)&amp;"⇔ "&amp;INDEX(ポート振替表!$H$5:$H$3507,$L2751)&amp;" "&amp;INDEX(ポート振替表!$I$5:$I$3507,$L2751))</f>
        <v/>
      </c>
      <c r="L2751" s="47" t="str">
        <f aca="false">IFERROR(MATCH(ROW()-4,ポート振替表!$V$5:$V$3507,0),"")</f>
        <v/>
      </c>
    </row>
    <row r="2752" customFormat="false" ht="16.4" hidden="false" customHeight="false" outlineLevel="0" collapsed="false">
      <c r="A2752" s="32" t="str">
        <f aca="false">IF(L2752="","",ROW()-4)</f>
        <v/>
      </c>
      <c r="B2752" s="58" t="str">
        <f aca="false">IF(L2752="","",IF(INDEX(ポート振替表!$W$5:$W$3507,$L2752)="","(なし)",INDEX(ポート振替表!$W$5:$W$3507,$L2752)&amp;""))</f>
        <v/>
      </c>
      <c r="C2752" s="52" t="str">
        <f aca="false">IF(L2752="","",INDEX(ポート振替表!$B$5:$B$3507,$L2752)&amp;" "&amp;INDEX(ポート振替表!$C$5:$C$3507,$L2752)&amp;"  ⇔  "&amp;INDEX(ポート振替表!$H$5:$H$3507,$L2752)&amp;" "&amp;INDEX(ポート振替表!$I$5:$I$3507,$L2752))</f>
        <v/>
      </c>
      <c r="D2752" s="57" t="s">
        <v>158</v>
      </c>
      <c r="E2752" s="59" t="str">
        <f aca="false">IF(L2752="","",IF(INDEX(ポート振替表!$O$5:$O$3507,$L2752)="","(未設定)",INDEX(ポート振替表!$O$5:$O$3507,$L2752)&amp;""))</f>
        <v/>
      </c>
      <c r="F2752" s="52" t="str">
        <f aca="false">IF(L2752="","",INDEX(ポート振替表!$K$5:$K$3507,$L2752)&amp;" "&amp;INDEX(ポート振替表!$L$5:$L$3507,$L2752)&amp;"  ⇔  "&amp;INDEX(ポート振替表!$H$5:$H$3507,$L2752)&amp;" "&amp;INDEX(ポート振替表!$I$5:$I$3507,$L2752))</f>
        <v/>
      </c>
      <c r="G2752" s="57" t="s">
        <v>158</v>
      </c>
      <c r="H2752" s="32" t="str">
        <f aca="false">IF(L2752="","",INDEX(ポート振替表!$N$5:$N$3507,$L2752)&amp;"")</f>
        <v/>
      </c>
      <c r="I2752" s="32" t="str">
        <f aca="false">IF(L2752="","",INDEX(ポート振替表!$P$5:$P$3507,$L2752)&amp;"")</f>
        <v/>
      </c>
      <c r="J2752" s="60" t="str">
        <f aca="false">IF(L2752="","",INDEX(ポート振替表!$M$5:$M$3507,$L2752)&amp;"")</f>
        <v/>
      </c>
      <c r="K2752" s="52" t="str">
        <f aca="false">IF(L2752="","",E2752&amp;CHAR(10)&amp;INDEX(ポート振替表!$K$5:$K$3507,$L2752)&amp;" "&amp;INDEX(ポート振替表!$L$5:$L$3507,$L2752)&amp;CHAR(10)&amp;"⇔ "&amp;INDEX(ポート振替表!$H$5:$H$3507,$L2752)&amp;" "&amp;INDEX(ポート振替表!$I$5:$I$3507,$L2752))</f>
        <v/>
      </c>
      <c r="L2752" s="47" t="str">
        <f aca="false">IFERROR(MATCH(ROW()-4,ポート振替表!$V$5:$V$3507,0),"")</f>
        <v/>
      </c>
    </row>
    <row r="2753" customFormat="false" ht="16.4" hidden="false" customHeight="false" outlineLevel="0" collapsed="false">
      <c r="A2753" s="32" t="str">
        <f aca="false">IF(L2753="","",ROW()-4)</f>
        <v/>
      </c>
      <c r="B2753" s="58" t="str">
        <f aca="false">IF(L2753="","",IF(INDEX(ポート振替表!$W$5:$W$3507,$L2753)="","(なし)",INDEX(ポート振替表!$W$5:$W$3507,$L2753)&amp;""))</f>
        <v/>
      </c>
      <c r="C2753" s="52" t="str">
        <f aca="false">IF(L2753="","",INDEX(ポート振替表!$B$5:$B$3507,$L2753)&amp;" "&amp;INDEX(ポート振替表!$C$5:$C$3507,$L2753)&amp;"  ⇔  "&amp;INDEX(ポート振替表!$H$5:$H$3507,$L2753)&amp;" "&amp;INDEX(ポート振替表!$I$5:$I$3507,$L2753))</f>
        <v/>
      </c>
      <c r="D2753" s="57" t="s">
        <v>158</v>
      </c>
      <c r="E2753" s="59" t="str">
        <f aca="false">IF(L2753="","",IF(INDEX(ポート振替表!$O$5:$O$3507,$L2753)="","(未設定)",INDEX(ポート振替表!$O$5:$O$3507,$L2753)&amp;""))</f>
        <v/>
      </c>
      <c r="F2753" s="52" t="str">
        <f aca="false">IF(L2753="","",INDEX(ポート振替表!$K$5:$K$3507,$L2753)&amp;" "&amp;INDEX(ポート振替表!$L$5:$L$3507,$L2753)&amp;"  ⇔  "&amp;INDEX(ポート振替表!$H$5:$H$3507,$L2753)&amp;" "&amp;INDEX(ポート振替表!$I$5:$I$3507,$L2753))</f>
        <v/>
      </c>
      <c r="G2753" s="57" t="s">
        <v>158</v>
      </c>
      <c r="H2753" s="32" t="str">
        <f aca="false">IF(L2753="","",INDEX(ポート振替表!$N$5:$N$3507,$L2753)&amp;"")</f>
        <v/>
      </c>
      <c r="I2753" s="32" t="str">
        <f aca="false">IF(L2753="","",INDEX(ポート振替表!$P$5:$P$3507,$L2753)&amp;"")</f>
        <v/>
      </c>
      <c r="J2753" s="60" t="str">
        <f aca="false">IF(L2753="","",INDEX(ポート振替表!$M$5:$M$3507,$L2753)&amp;"")</f>
        <v/>
      </c>
      <c r="K2753" s="52" t="str">
        <f aca="false">IF(L2753="","",E2753&amp;CHAR(10)&amp;INDEX(ポート振替表!$K$5:$K$3507,$L2753)&amp;" "&amp;INDEX(ポート振替表!$L$5:$L$3507,$L2753)&amp;CHAR(10)&amp;"⇔ "&amp;INDEX(ポート振替表!$H$5:$H$3507,$L2753)&amp;" "&amp;INDEX(ポート振替表!$I$5:$I$3507,$L2753))</f>
        <v/>
      </c>
      <c r="L2753" s="47" t="str">
        <f aca="false">IFERROR(MATCH(ROW()-4,ポート振替表!$V$5:$V$3507,0),"")</f>
        <v/>
      </c>
    </row>
    <row r="2754" customFormat="false" ht="16.4" hidden="false" customHeight="false" outlineLevel="0" collapsed="false">
      <c r="A2754" s="32" t="str">
        <f aca="false">IF(L2754="","",ROW()-4)</f>
        <v/>
      </c>
      <c r="B2754" s="58" t="str">
        <f aca="false">IF(L2754="","",IF(INDEX(ポート振替表!$W$5:$W$3507,$L2754)="","(なし)",INDEX(ポート振替表!$W$5:$W$3507,$L2754)&amp;""))</f>
        <v/>
      </c>
      <c r="C2754" s="52" t="str">
        <f aca="false">IF(L2754="","",INDEX(ポート振替表!$B$5:$B$3507,$L2754)&amp;" "&amp;INDEX(ポート振替表!$C$5:$C$3507,$L2754)&amp;"  ⇔  "&amp;INDEX(ポート振替表!$H$5:$H$3507,$L2754)&amp;" "&amp;INDEX(ポート振替表!$I$5:$I$3507,$L2754))</f>
        <v/>
      </c>
      <c r="D2754" s="57" t="s">
        <v>158</v>
      </c>
      <c r="E2754" s="59" t="str">
        <f aca="false">IF(L2754="","",IF(INDEX(ポート振替表!$O$5:$O$3507,$L2754)="","(未設定)",INDEX(ポート振替表!$O$5:$O$3507,$L2754)&amp;""))</f>
        <v/>
      </c>
      <c r="F2754" s="52" t="str">
        <f aca="false">IF(L2754="","",INDEX(ポート振替表!$K$5:$K$3507,$L2754)&amp;" "&amp;INDEX(ポート振替表!$L$5:$L$3507,$L2754)&amp;"  ⇔  "&amp;INDEX(ポート振替表!$H$5:$H$3507,$L2754)&amp;" "&amp;INDEX(ポート振替表!$I$5:$I$3507,$L2754))</f>
        <v/>
      </c>
      <c r="G2754" s="57" t="s">
        <v>158</v>
      </c>
      <c r="H2754" s="32" t="str">
        <f aca="false">IF(L2754="","",INDEX(ポート振替表!$N$5:$N$3507,$L2754)&amp;"")</f>
        <v/>
      </c>
      <c r="I2754" s="32" t="str">
        <f aca="false">IF(L2754="","",INDEX(ポート振替表!$P$5:$P$3507,$L2754)&amp;"")</f>
        <v/>
      </c>
      <c r="J2754" s="60" t="str">
        <f aca="false">IF(L2754="","",INDEX(ポート振替表!$M$5:$M$3507,$L2754)&amp;"")</f>
        <v/>
      </c>
      <c r="K2754" s="52" t="str">
        <f aca="false">IF(L2754="","",E2754&amp;CHAR(10)&amp;INDEX(ポート振替表!$K$5:$K$3507,$L2754)&amp;" "&amp;INDEX(ポート振替表!$L$5:$L$3507,$L2754)&amp;CHAR(10)&amp;"⇔ "&amp;INDEX(ポート振替表!$H$5:$H$3507,$L2754)&amp;" "&amp;INDEX(ポート振替表!$I$5:$I$3507,$L2754))</f>
        <v/>
      </c>
      <c r="L2754" s="47" t="str">
        <f aca="false">IFERROR(MATCH(ROW()-4,ポート振替表!$V$5:$V$3507,0),"")</f>
        <v/>
      </c>
    </row>
    <row r="2755" customFormat="false" ht="16.4" hidden="false" customHeight="false" outlineLevel="0" collapsed="false">
      <c r="A2755" s="32" t="str">
        <f aca="false">IF(L2755="","",ROW()-4)</f>
        <v/>
      </c>
      <c r="B2755" s="58" t="str">
        <f aca="false">IF(L2755="","",IF(INDEX(ポート振替表!$W$5:$W$3507,$L2755)="","(なし)",INDEX(ポート振替表!$W$5:$W$3507,$L2755)&amp;""))</f>
        <v/>
      </c>
      <c r="C2755" s="52" t="str">
        <f aca="false">IF(L2755="","",INDEX(ポート振替表!$B$5:$B$3507,$L2755)&amp;" "&amp;INDEX(ポート振替表!$C$5:$C$3507,$L2755)&amp;"  ⇔  "&amp;INDEX(ポート振替表!$H$5:$H$3507,$L2755)&amp;" "&amp;INDEX(ポート振替表!$I$5:$I$3507,$L2755))</f>
        <v/>
      </c>
      <c r="D2755" s="57" t="s">
        <v>158</v>
      </c>
      <c r="E2755" s="59" t="str">
        <f aca="false">IF(L2755="","",IF(INDEX(ポート振替表!$O$5:$O$3507,$L2755)="","(未設定)",INDEX(ポート振替表!$O$5:$O$3507,$L2755)&amp;""))</f>
        <v/>
      </c>
      <c r="F2755" s="52" t="str">
        <f aca="false">IF(L2755="","",INDEX(ポート振替表!$K$5:$K$3507,$L2755)&amp;" "&amp;INDEX(ポート振替表!$L$5:$L$3507,$L2755)&amp;"  ⇔  "&amp;INDEX(ポート振替表!$H$5:$H$3507,$L2755)&amp;" "&amp;INDEX(ポート振替表!$I$5:$I$3507,$L2755))</f>
        <v/>
      </c>
      <c r="G2755" s="57" t="s">
        <v>158</v>
      </c>
      <c r="H2755" s="32" t="str">
        <f aca="false">IF(L2755="","",INDEX(ポート振替表!$N$5:$N$3507,$L2755)&amp;"")</f>
        <v/>
      </c>
      <c r="I2755" s="32" t="str">
        <f aca="false">IF(L2755="","",INDEX(ポート振替表!$P$5:$P$3507,$L2755)&amp;"")</f>
        <v/>
      </c>
      <c r="J2755" s="60" t="str">
        <f aca="false">IF(L2755="","",INDEX(ポート振替表!$M$5:$M$3507,$L2755)&amp;"")</f>
        <v/>
      </c>
      <c r="K2755" s="52" t="str">
        <f aca="false">IF(L2755="","",E2755&amp;CHAR(10)&amp;INDEX(ポート振替表!$K$5:$K$3507,$L2755)&amp;" "&amp;INDEX(ポート振替表!$L$5:$L$3507,$L2755)&amp;CHAR(10)&amp;"⇔ "&amp;INDEX(ポート振替表!$H$5:$H$3507,$L2755)&amp;" "&amp;INDEX(ポート振替表!$I$5:$I$3507,$L2755))</f>
        <v/>
      </c>
      <c r="L2755" s="47" t="str">
        <f aca="false">IFERROR(MATCH(ROW()-4,ポート振替表!$V$5:$V$3507,0),"")</f>
        <v/>
      </c>
    </row>
    <row r="2756" customFormat="false" ht="16.4" hidden="false" customHeight="false" outlineLevel="0" collapsed="false">
      <c r="A2756" s="32" t="str">
        <f aca="false">IF(L2756="","",ROW()-4)</f>
        <v/>
      </c>
      <c r="B2756" s="58" t="str">
        <f aca="false">IF(L2756="","",IF(INDEX(ポート振替表!$W$5:$W$3507,$L2756)="","(なし)",INDEX(ポート振替表!$W$5:$W$3507,$L2756)&amp;""))</f>
        <v/>
      </c>
      <c r="C2756" s="52" t="str">
        <f aca="false">IF(L2756="","",INDEX(ポート振替表!$B$5:$B$3507,$L2756)&amp;" "&amp;INDEX(ポート振替表!$C$5:$C$3507,$L2756)&amp;"  ⇔  "&amp;INDEX(ポート振替表!$H$5:$H$3507,$L2756)&amp;" "&amp;INDEX(ポート振替表!$I$5:$I$3507,$L2756))</f>
        <v/>
      </c>
      <c r="D2756" s="57" t="s">
        <v>158</v>
      </c>
      <c r="E2756" s="59" t="str">
        <f aca="false">IF(L2756="","",IF(INDEX(ポート振替表!$O$5:$O$3507,$L2756)="","(未設定)",INDEX(ポート振替表!$O$5:$O$3507,$L2756)&amp;""))</f>
        <v/>
      </c>
      <c r="F2756" s="52" t="str">
        <f aca="false">IF(L2756="","",INDEX(ポート振替表!$K$5:$K$3507,$L2756)&amp;" "&amp;INDEX(ポート振替表!$L$5:$L$3507,$L2756)&amp;"  ⇔  "&amp;INDEX(ポート振替表!$H$5:$H$3507,$L2756)&amp;" "&amp;INDEX(ポート振替表!$I$5:$I$3507,$L2756))</f>
        <v/>
      </c>
      <c r="G2756" s="57" t="s">
        <v>158</v>
      </c>
      <c r="H2756" s="32" t="str">
        <f aca="false">IF(L2756="","",INDEX(ポート振替表!$N$5:$N$3507,$L2756)&amp;"")</f>
        <v/>
      </c>
      <c r="I2756" s="32" t="str">
        <f aca="false">IF(L2756="","",INDEX(ポート振替表!$P$5:$P$3507,$L2756)&amp;"")</f>
        <v/>
      </c>
      <c r="J2756" s="60" t="str">
        <f aca="false">IF(L2756="","",INDEX(ポート振替表!$M$5:$M$3507,$L2756)&amp;"")</f>
        <v/>
      </c>
      <c r="K2756" s="52" t="str">
        <f aca="false">IF(L2756="","",E2756&amp;CHAR(10)&amp;INDEX(ポート振替表!$K$5:$K$3507,$L2756)&amp;" "&amp;INDEX(ポート振替表!$L$5:$L$3507,$L2756)&amp;CHAR(10)&amp;"⇔ "&amp;INDEX(ポート振替表!$H$5:$H$3507,$L2756)&amp;" "&amp;INDEX(ポート振替表!$I$5:$I$3507,$L2756))</f>
        <v/>
      </c>
      <c r="L2756" s="47" t="str">
        <f aca="false">IFERROR(MATCH(ROW()-4,ポート振替表!$V$5:$V$3507,0),"")</f>
        <v/>
      </c>
    </row>
    <row r="2757" customFormat="false" ht="16.4" hidden="false" customHeight="false" outlineLevel="0" collapsed="false">
      <c r="A2757" s="32" t="str">
        <f aca="false">IF(L2757="","",ROW()-4)</f>
        <v/>
      </c>
      <c r="B2757" s="58" t="str">
        <f aca="false">IF(L2757="","",IF(INDEX(ポート振替表!$W$5:$W$3507,$L2757)="","(なし)",INDEX(ポート振替表!$W$5:$W$3507,$L2757)&amp;""))</f>
        <v/>
      </c>
      <c r="C2757" s="52" t="str">
        <f aca="false">IF(L2757="","",INDEX(ポート振替表!$B$5:$B$3507,$L2757)&amp;" "&amp;INDEX(ポート振替表!$C$5:$C$3507,$L2757)&amp;"  ⇔  "&amp;INDEX(ポート振替表!$H$5:$H$3507,$L2757)&amp;" "&amp;INDEX(ポート振替表!$I$5:$I$3507,$L2757))</f>
        <v/>
      </c>
      <c r="D2757" s="57" t="s">
        <v>158</v>
      </c>
      <c r="E2757" s="59" t="str">
        <f aca="false">IF(L2757="","",IF(INDEX(ポート振替表!$O$5:$O$3507,$L2757)="","(未設定)",INDEX(ポート振替表!$O$5:$O$3507,$L2757)&amp;""))</f>
        <v/>
      </c>
      <c r="F2757" s="52" t="str">
        <f aca="false">IF(L2757="","",INDEX(ポート振替表!$K$5:$K$3507,$L2757)&amp;" "&amp;INDEX(ポート振替表!$L$5:$L$3507,$L2757)&amp;"  ⇔  "&amp;INDEX(ポート振替表!$H$5:$H$3507,$L2757)&amp;" "&amp;INDEX(ポート振替表!$I$5:$I$3507,$L2757))</f>
        <v/>
      </c>
      <c r="G2757" s="57" t="s">
        <v>158</v>
      </c>
      <c r="H2757" s="32" t="str">
        <f aca="false">IF(L2757="","",INDEX(ポート振替表!$N$5:$N$3507,$L2757)&amp;"")</f>
        <v/>
      </c>
      <c r="I2757" s="32" t="str">
        <f aca="false">IF(L2757="","",INDEX(ポート振替表!$P$5:$P$3507,$L2757)&amp;"")</f>
        <v/>
      </c>
      <c r="J2757" s="60" t="str">
        <f aca="false">IF(L2757="","",INDEX(ポート振替表!$M$5:$M$3507,$L2757)&amp;"")</f>
        <v/>
      </c>
      <c r="K2757" s="52" t="str">
        <f aca="false">IF(L2757="","",E2757&amp;CHAR(10)&amp;INDEX(ポート振替表!$K$5:$K$3507,$L2757)&amp;" "&amp;INDEX(ポート振替表!$L$5:$L$3507,$L2757)&amp;CHAR(10)&amp;"⇔ "&amp;INDEX(ポート振替表!$H$5:$H$3507,$L2757)&amp;" "&amp;INDEX(ポート振替表!$I$5:$I$3507,$L2757))</f>
        <v/>
      </c>
      <c r="L2757" s="47" t="str">
        <f aca="false">IFERROR(MATCH(ROW()-4,ポート振替表!$V$5:$V$3507,0),"")</f>
        <v/>
      </c>
    </row>
    <row r="2758" customFormat="false" ht="16.4" hidden="false" customHeight="false" outlineLevel="0" collapsed="false">
      <c r="A2758" s="32" t="str">
        <f aca="false">IF(L2758="","",ROW()-4)</f>
        <v/>
      </c>
      <c r="B2758" s="58" t="str">
        <f aca="false">IF(L2758="","",IF(INDEX(ポート振替表!$W$5:$W$3507,$L2758)="","(なし)",INDEX(ポート振替表!$W$5:$W$3507,$L2758)&amp;""))</f>
        <v/>
      </c>
      <c r="C2758" s="52" t="str">
        <f aca="false">IF(L2758="","",INDEX(ポート振替表!$B$5:$B$3507,$L2758)&amp;" "&amp;INDEX(ポート振替表!$C$5:$C$3507,$L2758)&amp;"  ⇔  "&amp;INDEX(ポート振替表!$H$5:$H$3507,$L2758)&amp;" "&amp;INDEX(ポート振替表!$I$5:$I$3507,$L2758))</f>
        <v/>
      </c>
      <c r="D2758" s="57" t="s">
        <v>158</v>
      </c>
      <c r="E2758" s="59" t="str">
        <f aca="false">IF(L2758="","",IF(INDEX(ポート振替表!$O$5:$O$3507,$L2758)="","(未設定)",INDEX(ポート振替表!$O$5:$O$3507,$L2758)&amp;""))</f>
        <v/>
      </c>
      <c r="F2758" s="52" t="str">
        <f aca="false">IF(L2758="","",INDEX(ポート振替表!$K$5:$K$3507,$L2758)&amp;" "&amp;INDEX(ポート振替表!$L$5:$L$3507,$L2758)&amp;"  ⇔  "&amp;INDEX(ポート振替表!$H$5:$H$3507,$L2758)&amp;" "&amp;INDEX(ポート振替表!$I$5:$I$3507,$L2758))</f>
        <v/>
      </c>
      <c r="G2758" s="57" t="s">
        <v>158</v>
      </c>
      <c r="H2758" s="32" t="str">
        <f aca="false">IF(L2758="","",INDEX(ポート振替表!$N$5:$N$3507,$L2758)&amp;"")</f>
        <v/>
      </c>
      <c r="I2758" s="32" t="str">
        <f aca="false">IF(L2758="","",INDEX(ポート振替表!$P$5:$P$3507,$L2758)&amp;"")</f>
        <v/>
      </c>
      <c r="J2758" s="60" t="str">
        <f aca="false">IF(L2758="","",INDEX(ポート振替表!$M$5:$M$3507,$L2758)&amp;"")</f>
        <v/>
      </c>
      <c r="K2758" s="52" t="str">
        <f aca="false">IF(L2758="","",E2758&amp;CHAR(10)&amp;INDEX(ポート振替表!$K$5:$K$3507,$L2758)&amp;" "&amp;INDEX(ポート振替表!$L$5:$L$3507,$L2758)&amp;CHAR(10)&amp;"⇔ "&amp;INDEX(ポート振替表!$H$5:$H$3507,$L2758)&amp;" "&amp;INDEX(ポート振替表!$I$5:$I$3507,$L2758))</f>
        <v/>
      </c>
      <c r="L2758" s="47" t="str">
        <f aca="false">IFERROR(MATCH(ROW()-4,ポート振替表!$V$5:$V$3507,0),"")</f>
        <v/>
      </c>
    </row>
    <row r="2759" customFormat="false" ht="16.4" hidden="false" customHeight="false" outlineLevel="0" collapsed="false">
      <c r="A2759" s="32" t="str">
        <f aca="false">IF(L2759="","",ROW()-4)</f>
        <v/>
      </c>
      <c r="B2759" s="58" t="str">
        <f aca="false">IF(L2759="","",IF(INDEX(ポート振替表!$W$5:$W$3507,$L2759)="","(なし)",INDEX(ポート振替表!$W$5:$W$3507,$L2759)&amp;""))</f>
        <v/>
      </c>
      <c r="C2759" s="52" t="str">
        <f aca="false">IF(L2759="","",INDEX(ポート振替表!$B$5:$B$3507,$L2759)&amp;" "&amp;INDEX(ポート振替表!$C$5:$C$3507,$L2759)&amp;"  ⇔  "&amp;INDEX(ポート振替表!$H$5:$H$3507,$L2759)&amp;" "&amp;INDEX(ポート振替表!$I$5:$I$3507,$L2759))</f>
        <v/>
      </c>
      <c r="D2759" s="57" t="s">
        <v>158</v>
      </c>
      <c r="E2759" s="59" t="str">
        <f aca="false">IF(L2759="","",IF(INDEX(ポート振替表!$O$5:$O$3507,$L2759)="","(未設定)",INDEX(ポート振替表!$O$5:$O$3507,$L2759)&amp;""))</f>
        <v/>
      </c>
      <c r="F2759" s="52" t="str">
        <f aca="false">IF(L2759="","",INDEX(ポート振替表!$K$5:$K$3507,$L2759)&amp;" "&amp;INDEX(ポート振替表!$L$5:$L$3507,$L2759)&amp;"  ⇔  "&amp;INDEX(ポート振替表!$H$5:$H$3507,$L2759)&amp;" "&amp;INDEX(ポート振替表!$I$5:$I$3507,$L2759))</f>
        <v/>
      </c>
      <c r="G2759" s="57" t="s">
        <v>158</v>
      </c>
      <c r="H2759" s="32" t="str">
        <f aca="false">IF(L2759="","",INDEX(ポート振替表!$N$5:$N$3507,$L2759)&amp;"")</f>
        <v/>
      </c>
      <c r="I2759" s="32" t="str">
        <f aca="false">IF(L2759="","",INDEX(ポート振替表!$P$5:$P$3507,$L2759)&amp;"")</f>
        <v/>
      </c>
      <c r="J2759" s="60" t="str">
        <f aca="false">IF(L2759="","",INDEX(ポート振替表!$M$5:$M$3507,$L2759)&amp;"")</f>
        <v/>
      </c>
      <c r="K2759" s="52" t="str">
        <f aca="false">IF(L2759="","",E2759&amp;CHAR(10)&amp;INDEX(ポート振替表!$K$5:$K$3507,$L2759)&amp;" "&amp;INDEX(ポート振替表!$L$5:$L$3507,$L2759)&amp;CHAR(10)&amp;"⇔ "&amp;INDEX(ポート振替表!$H$5:$H$3507,$L2759)&amp;" "&amp;INDEX(ポート振替表!$I$5:$I$3507,$L2759))</f>
        <v/>
      </c>
      <c r="L2759" s="47" t="str">
        <f aca="false">IFERROR(MATCH(ROW()-4,ポート振替表!$V$5:$V$3507,0),"")</f>
        <v/>
      </c>
    </row>
    <row r="2760" customFormat="false" ht="16.4" hidden="false" customHeight="false" outlineLevel="0" collapsed="false">
      <c r="A2760" s="32" t="str">
        <f aca="false">IF(L2760="","",ROW()-4)</f>
        <v/>
      </c>
      <c r="B2760" s="58" t="str">
        <f aca="false">IF(L2760="","",IF(INDEX(ポート振替表!$W$5:$W$3507,$L2760)="","(なし)",INDEX(ポート振替表!$W$5:$W$3507,$L2760)&amp;""))</f>
        <v/>
      </c>
      <c r="C2760" s="52" t="str">
        <f aca="false">IF(L2760="","",INDEX(ポート振替表!$B$5:$B$3507,$L2760)&amp;" "&amp;INDEX(ポート振替表!$C$5:$C$3507,$L2760)&amp;"  ⇔  "&amp;INDEX(ポート振替表!$H$5:$H$3507,$L2760)&amp;" "&amp;INDEX(ポート振替表!$I$5:$I$3507,$L2760))</f>
        <v/>
      </c>
      <c r="D2760" s="57" t="s">
        <v>158</v>
      </c>
      <c r="E2760" s="59" t="str">
        <f aca="false">IF(L2760="","",IF(INDEX(ポート振替表!$O$5:$O$3507,$L2760)="","(未設定)",INDEX(ポート振替表!$O$5:$O$3507,$L2760)&amp;""))</f>
        <v/>
      </c>
      <c r="F2760" s="52" t="str">
        <f aca="false">IF(L2760="","",INDEX(ポート振替表!$K$5:$K$3507,$L2760)&amp;" "&amp;INDEX(ポート振替表!$L$5:$L$3507,$L2760)&amp;"  ⇔  "&amp;INDEX(ポート振替表!$H$5:$H$3507,$L2760)&amp;" "&amp;INDEX(ポート振替表!$I$5:$I$3507,$L2760))</f>
        <v/>
      </c>
      <c r="G2760" s="57" t="s">
        <v>158</v>
      </c>
      <c r="H2760" s="32" t="str">
        <f aca="false">IF(L2760="","",INDEX(ポート振替表!$N$5:$N$3507,$L2760)&amp;"")</f>
        <v/>
      </c>
      <c r="I2760" s="32" t="str">
        <f aca="false">IF(L2760="","",INDEX(ポート振替表!$P$5:$P$3507,$L2760)&amp;"")</f>
        <v/>
      </c>
      <c r="J2760" s="60" t="str">
        <f aca="false">IF(L2760="","",INDEX(ポート振替表!$M$5:$M$3507,$L2760)&amp;"")</f>
        <v/>
      </c>
      <c r="K2760" s="52" t="str">
        <f aca="false">IF(L2760="","",E2760&amp;CHAR(10)&amp;INDEX(ポート振替表!$K$5:$K$3507,$L2760)&amp;" "&amp;INDEX(ポート振替表!$L$5:$L$3507,$L2760)&amp;CHAR(10)&amp;"⇔ "&amp;INDEX(ポート振替表!$H$5:$H$3507,$L2760)&amp;" "&amp;INDEX(ポート振替表!$I$5:$I$3507,$L2760))</f>
        <v/>
      </c>
      <c r="L2760" s="47" t="str">
        <f aca="false">IFERROR(MATCH(ROW()-4,ポート振替表!$V$5:$V$3507,0),"")</f>
        <v/>
      </c>
    </row>
    <row r="2761" customFormat="false" ht="16.4" hidden="false" customHeight="false" outlineLevel="0" collapsed="false">
      <c r="A2761" s="32" t="str">
        <f aca="false">IF(L2761="","",ROW()-4)</f>
        <v/>
      </c>
      <c r="B2761" s="58" t="str">
        <f aca="false">IF(L2761="","",IF(INDEX(ポート振替表!$W$5:$W$3507,$L2761)="","(なし)",INDEX(ポート振替表!$W$5:$W$3507,$L2761)&amp;""))</f>
        <v/>
      </c>
      <c r="C2761" s="52" t="str">
        <f aca="false">IF(L2761="","",INDEX(ポート振替表!$B$5:$B$3507,$L2761)&amp;" "&amp;INDEX(ポート振替表!$C$5:$C$3507,$L2761)&amp;"  ⇔  "&amp;INDEX(ポート振替表!$H$5:$H$3507,$L2761)&amp;" "&amp;INDEX(ポート振替表!$I$5:$I$3507,$L2761))</f>
        <v/>
      </c>
      <c r="D2761" s="57" t="s">
        <v>158</v>
      </c>
      <c r="E2761" s="59" t="str">
        <f aca="false">IF(L2761="","",IF(INDEX(ポート振替表!$O$5:$O$3507,$L2761)="","(未設定)",INDEX(ポート振替表!$O$5:$O$3507,$L2761)&amp;""))</f>
        <v/>
      </c>
      <c r="F2761" s="52" t="str">
        <f aca="false">IF(L2761="","",INDEX(ポート振替表!$K$5:$K$3507,$L2761)&amp;" "&amp;INDEX(ポート振替表!$L$5:$L$3507,$L2761)&amp;"  ⇔  "&amp;INDEX(ポート振替表!$H$5:$H$3507,$L2761)&amp;" "&amp;INDEX(ポート振替表!$I$5:$I$3507,$L2761))</f>
        <v/>
      </c>
      <c r="G2761" s="57" t="s">
        <v>158</v>
      </c>
      <c r="H2761" s="32" t="str">
        <f aca="false">IF(L2761="","",INDEX(ポート振替表!$N$5:$N$3507,$L2761)&amp;"")</f>
        <v/>
      </c>
      <c r="I2761" s="32" t="str">
        <f aca="false">IF(L2761="","",INDEX(ポート振替表!$P$5:$P$3507,$L2761)&amp;"")</f>
        <v/>
      </c>
      <c r="J2761" s="60" t="str">
        <f aca="false">IF(L2761="","",INDEX(ポート振替表!$M$5:$M$3507,$L2761)&amp;"")</f>
        <v/>
      </c>
      <c r="K2761" s="52" t="str">
        <f aca="false">IF(L2761="","",E2761&amp;CHAR(10)&amp;INDEX(ポート振替表!$K$5:$K$3507,$L2761)&amp;" "&amp;INDEX(ポート振替表!$L$5:$L$3507,$L2761)&amp;CHAR(10)&amp;"⇔ "&amp;INDEX(ポート振替表!$H$5:$H$3507,$L2761)&amp;" "&amp;INDEX(ポート振替表!$I$5:$I$3507,$L2761))</f>
        <v/>
      </c>
      <c r="L2761" s="47" t="str">
        <f aca="false">IFERROR(MATCH(ROW()-4,ポート振替表!$V$5:$V$3507,0),"")</f>
        <v/>
      </c>
    </row>
    <row r="2762" customFormat="false" ht="16.4" hidden="false" customHeight="false" outlineLevel="0" collapsed="false">
      <c r="A2762" s="32" t="str">
        <f aca="false">IF(L2762="","",ROW()-4)</f>
        <v/>
      </c>
      <c r="B2762" s="58" t="str">
        <f aca="false">IF(L2762="","",IF(INDEX(ポート振替表!$W$5:$W$3507,$L2762)="","(なし)",INDEX(ポート振替表!$W$5:$W$3507,$L2762)&amp;""))</f>
        <v/>
      </c>
      <c r="C2762" s="52" t="str">
        <f aca="false">IF(L2762="","",INDEX(ポート振替表!$B$5:$B$3507,$L2762)&amp;" "&amp;INDEX(ポート振替表!$C$5:$C$3507,$L2762)&amp;"  ⇔  "&amp;INDEX(ポート振替表!$H$5:$H$3507,$L2762)&amp;" "&amp;INDEX(ポート振替表!$I$5:$I$3507,$L2762))</f>
        <v/>
      </c>
      <c r="D2762" s="57" t="s">
        <v>158</v>
      </c>
      <c r="E2762" s="59" t="str">
        <f aca="false">IF(L2762="","",IF(INDEX(ポート振替表!$O$5:$O$3507,$L2762)="","(未設定)",INDEX(ポート振替表!$O$5:$O$3507,$L2762)&amp;""))</f>
        <v/>
      </c>
      <c r="F2762" s="52" t="str">
        <f aca="false">IF(L2762="","",INDEX(ポート振替表!$K$5:$K$3507,$L2762)&amp;" "&amp;INDEX(ポート振替表!$L$5:$L$3507,$L2762)&amp;"  ⇔  "&amp;INDEX(ポート振替表!$H$5:$H$3507,$L2762)&amp;" "&amp;INDEX(ポート振替表!$I$5:$I$3507,$L2762))</f>
        <v/>
      </c>
      <c r="G2762" s="57" t="s">
        <v>158</v>
      </c>
      <c r="H2762" s="32" t="str">
        <f aca="false">IF(L2762="","",INDEX(ポート振替表!$N$5:$N$3507,$L2762)&amp;"")</f>
        <v/>
      </c>
      <c r="I2762" s="32" t="str">
        <f aca="false">IF(L2762="","",INDEX(ポート振替表!$P$5:$P$3507,$L2762)&amp;"")</f>
        <v/>
      </c>
      <c r="J2762" s="60" t="str">
        <f aca="false">IF(L2762="","",INDEX(ポート振替表!$M$5:$M$3507,$L2762)&amp;"")</f>
        <v/>
      </c>
      <c r="K2762" s="52" t="str">
        <f aca="false">IF(L2762="","",E2762&amp;CHAR(10)&amp;INDEX(ポート振替表!$K$5:$K$3507,$L2762)&amp;" "&amp;INDEX(ポート振替表!$L$5:$L$3507,$L2762)&amp;CHAR(10)&amp;"⇔ "&amp;INDEX(ポート振替表!$H$5:$H$3507,$L2762)&amp;" "&amp;INDEX(ポート振替表!$I$5:$I$3507,$L2762))</f>
        <v/>
      </c>
      <c r="L2762" s="47" t="str">
        <f aca="false">IFERROR(MATCH(ROW()-4,ポート振替表!$V$5:$V$3507,0),"")</f>
        <v/>
      </c>
    </row>
    <row r="2763" customFormat="false" ht="16.4" hidden="false" customHeight="false" outlineLevel="0" collapsed="false">
      <c r="A2763" s="32" t="str">
        <f aca="false">IF(L2763="","",ROW()-4)</f>
        <v/>
      </c>
      <c r="B2763" s="58" t="str">
        <f aca="false">IF(L2763="","",IF(INDEX(ポート振替表!$W$5:$W$3507,$L2763)="","(なし)",INDEX(ポート振替表!$W$5:$W$3507,$L2763)&amp;""))</f>
        <v/>
      </c>
      <c r="C2763" s="52" t="str">
        <f aca="false">IF(L2763="","",INDEX(ポート振替表!$B$5:$B$3507,$L2763)&amp;" "&amp;INDEX(ポート振替表!$C$5:$C$3507,$L2763)&amp;"  ⇔  "&amp;INDEX(ポート振替表!$H$5:$H$3507,$L2763)&amp;" "&amp;INDEX(ポート振替表!$I$5:$I$3507,$L2763))</f>
        <v/>
      </c>
      <c r="D2763" s="57" t="s">
        <v>158</v>
      </c>
      <c r="E2763" s="59" t="str">
        <f aca="false">IF(L2763="","",IF(INDEX(ポート振替表!$O$5:$O$3507,$L2763)="","(未設定)",INDEX(ポート振替表!$O$5:$O$3507,$L2763)&amp;""))</f>
        <v/>
      </c>
      <c r="F2763" s="52" t="str">
        <f aca="false">IF(L2763="","",INDEX(ポート振替表!$K$5:$K$3507,$L2763)&amp;" "&amp;INDEX(ポート振替表!$L$5:$L$3507,$L2763)&amp;"  ⇔  "&amp;INDEX(ポート振替表!$H$5:$H$3507,$L2763)&amp;" "&amp;INDEX(ポート振替表!$I$5:$I$3507,$L2763))</f>
        <v/>
      </c>
      <c r="G2763" s="57" t="s">
        <v>158</v>
      </c>
      <c r="H2763" s="32" t="str">
        <f aca="false">IF(L2763="","",INDEX(ポート振替表!$N$5:$N$3507,$L2763)&amp;"")</f>
        <v/>
      </c>
      <c r="I2763" s="32" t="str">
        <f aca="false">IF(L2763="","",INDEX(ポート振替表!$P$5:$P$3507,$L2763)&amp;"")</f>
        <v/>
      </c>
      <c r="J2763" s="60" t="str">
        <f aca="false">IF(L2763="","",INDEX(ポート振替表!$M$5:$M$3507,$L2763)&amp;"")</f>
        <v/>
      </c>
      <c r="K2763" s="52" t="str">
        <f aca="false">IF(L2763="","",E2763&amp;CHAR(10)&amp;INDEX(ポート振替表!$K$5:$K$3507,$L2763)&amp;" "&amp;INDEX(ポート振替表!$L$5:$L$3507,$L2763)&amp;CHAR(10)&amp;"⇔ "&amp;INDEX(ポート振替表!$H$5:$H$3507,$L2763)&amp;" "&amp;INDEX(ポート振替表!$I$5:$I$3507,$L2763))</f>
        <v/>
      </c>
      <c r="L2763" s="47" t="str">
        <f aca="false">IFERROR(MATCH(ROW()-4,ポート振替表!$V$5:$V$3507,0),"")</f>
        <v/>
      </c>
    </row>
    <row r="2764" customFormat="false" ht="16.4" hidden="false" customHeight="false" outlineLevel="0" collapsed="false">
      <c r="A2764" s="32" t="str">
        <f aca="false">IF(L2764="","",ROW()-4)</f>
        <v/>
      </c>
      <c r="B2764" s="58" t="str">
        <f aca="false">IF(L2764="","",IF(INDEX(ポート振替表!$W$5:$W$3507,$L2764)="","(なし)",INDEX(ポート振替表!$W$5:$W$3507,$L2764)&amp;""))</f>
        <v/>
      </c>
      <c r="C2764" s="52" t="str">
        <f aca="false">IF(L2764="","",INDEX(ポート振替表!$B$5:$B$3507,$L2764)&amp;" "&amp;INDEX(ポート振替表!$C$5:$C$3507,$L2764)&amp;"  ⇔  "&amp;INDEX(ポート振替表!$H$5:$H$3507,$L2764)&amp;" "&amp;INDEX(ポート振替表!$I$5:$I$3507,$L2764))</f>
        <v/>
      </c>
      <c r="D2764" s="57" t="s">
        <v>158</v>
      </c>
      <c r="E2764" s="59" t="str">
        <f aca="false">IF(L2764="","",IF(INDEX(ポート振替表!$O$5:$O$3507,$L2764)="","(未設定)",INDEX(ポート振替表!$O$5:$O$3507,$L2764)&amp;""))</f>
        <v/>
      </c>
      <c r="F2764" s="52" t="str">
        <f aca="false">IF(L2764="","",INDEX(ポート振替表!$K$5:$K$3507,$L2764)&amp;" "&amp;INDEX(ポート振替表!$L$5:$L$3507,$L2764)&amp;"  ⇔  "&amp;INDEX(ポート振替表!$H$5:$H$3507,$L2764)&amp;" "&amp;INDEX(ポート振替表!$I$5:$I$3507,$L2764))</f>
        <v/>
      </c>
      <c r="G2764" s="57" t="s">
        <v>158</v>
      </c>
      <c r="H2764" s="32" t="str">
        <f aca="false">IF(L2764="","",INDEX(ポート振替表!$N$5:$N$3507,$L2764)&amp;"")</f>
        <v/>
      </c>
      <c r="I2764" s="32" t="str">
        <f aca="false">IF(L2764="","",INDEX(ポート振替表!$P$5:$P$3507,$L2764)&amp;"")</f>
        <v/>
      </c>
      <c r="J2764" s="60" t="str">
        <f aca="false">IF(L2764="","",INDEX(ポート振替表!$M$5:$M$3507,$L2764)&amp;"")</f>
        <v/>
      </c>
      <c r="K2764" s="52" t="str">
        <f aca="false">IF(L2764="","",E2764&amp;CHAR(10)&amp;INDEX(ポート振替表!$K$5:$K$3507,$L2764)&amp;" "&amp;INDEX(ポート振替表!$L$5:$L$3507,$L2764)&amp;CHAR(10)&amp;"⇔ "&amp;INDEX(ポート振替表!$H$5:$H$3507,$L2764)&amp;" "&amp;INDEX(ポート振替表!$I$5:$I$3507,$L2764))</f>
        <v/>
      </c>
      <c r="L2764" s="47" t="str">
        <f aca="false">IFERROR(MATCH(ROW()-4,ポート振替表!$V$5:$V$3507,0),"")</f>
        <v/>
      </c>
    </row>
    <row r="2765" customFormat="false" ht="16.4" hidden="false" customHeight="false" outlineLevel="0" collapsed="false">
      <c r="A2765" s="32" t="str">
        <f aca="false">IF(L2765="","",ROW()-4)</f>
        <v/>
      </c>
      <c r="B2765" s="58" t="str">
        <f aca="false">IF(L2765="","",IF(INDEX(ポート振替表!$W$5:$W$3507,$L2765)="","(なし)",INDEX(ポート振替表!$W$5:$W$3507,$L2765)&amp;""))</f>
        <v/>
      </c>
      <c r="C2765" s="52" t="str">
        <f aca="false">IF(L2765="","",INDEX(ポート振替表!$B$5:$B$3507,$L2765)&amp;" "&amp;INDEX(ポート振替表!$C$5:$C$3507,$L2765)&amp;"  ⇔  "&amp;INDEX(ポート振替表!$H$5:$H$3507,$L2765)&amp;" "&amp;INDEX(ポート振替表!$I$5:$I$3507,$L2765))</f>
        <v/>
      </c>
      <c r="D2765" s="57" t="s">
        <v>158</v>
      </c>
      <c r="E2765" s="59" t="str">
        <f aca="false">IF(L2765="","",IF(INDEX(ポート振替表!$O$5:$O$3507,$L2765)="","(未設定)",INDEX(ポート振替表!$O$5:$O$3507,$L2765)&amp;""))</f>
        <v/>
      </c>
      <c r="F2765" s="52" t="str">
        <f aca="false">IF(L2765="","",INDEX(ポート振替表!$K$5:$K$3507,$L2765)&amp;" "&amp;INDEX(ポート振替表!$L$5:$L$3507,$L2765)&amp;"  ⇔  "&amp;INDEX(ポート振替表!$H$5:$H$3507,$L2765)&amp;" "&amp;INDEX(ポート振替表!$I$5:$I$3507,$L2765))</f>
        <v/>
      </c>
      <c r="G2765" s="57" t="s">
        <v>158</v>
      </c>
      <c r="H2765" s="32" t="str">
        <f aca="false">IF(L2765="","",INDEX(ポート振替表!$N$5:$N$3507,$L2765)&amp;"")</f>
        <v/>
      </c>
      <c r="I2765" s="32" t="str">
        <f aca="false">IF(L2765="","",INDEX(ポート振替表!$P$5:$P$3507,$L2765)&amp;"")</f>
        <v/>
      </c>
      <c r="J2765" s="60" t="str">
        <f aca="false">IF(L2765="","",INDEX(ポート振替表!$M$5:$M$3507,$L2765)&amp;"")</f>
        <v/>
      </c>
      <c r="K2765" s="52" t="str">
        <f aca="false">IF(L2765="","",E2765&amp;CHAR(10)&amp;INDEX(ポート振替表!$K$5:$K$3507,$L2765)&amp;" "&amp;INDEX(ポート振替表!$L$5:$L$3507,$L2765)&amp;CHAR(10)&amp;"⇔ "&amp;INDEX(ポート振替表!$H$5:$H$3507,$L2765)&amp;" "&amp;INDEX(ポート振替表!$I$5:$I$3507,$L2765))</f>
        <v/>
      </c>
      <c r="L2765" s="47" t="str">
        <f aca="false">IFERROR(MATCH(ROW()-4,ポート振替表!$V$5:$V$3507,0),"")</f>
        <v/>
      </c>
    </row>
    <row r="2766" customFormat="false" ht="16.4" hidden="false" customHeight="false" outlineLevel="0" collapsed="false">
      <c r="A2766" s="32" t="str">
        <f aca="false">IF(L2766="","",ROW()-4)</f>
        <v/>
      </c>
      <c r="B2766" s="58" t="str">
        <f aca="false">IF(L2766="","",IF(INDEX(ポート振替表!$W$5:$W$3507,$L2766)="","(なし)",INDEX(ポート振替表!$W$5:$W$3507,$L2766)&amp;""))</f>
        <v/>
      </c>
      <c r="C2766" s="52" t="str">
        <f aca="false">IF(L2766="","",INDEX(ポート振替表!$B$5:$B$3507,$L2766)&amp;" "&amp;INDEX(ポート振替表!$C$5:$C$3507,$L2766)&amp;"  ⇔  "&amp;INDEX(ポート振替表!$H$5:$H$3507,$L2766)&amp;" "&amp;INDEX(ポート振替表!$I$5:$I$3507,$L2766))</f>
        <v/>
      </c>
      <c r="D2766" s="57" t="s">
        <v>158</v>
      </c>
      <c r="E2766" s="59" t="str">
        <f aca="false">IF(L2766="","",IF(INDEX(ポート振替表!$O$5:$O$3507,$L2766)="","(未設定)",INDEX(ポート振替表!$O$5:$O$3507,$L2766)&amp;""))</f>
        <v/>
      </c>
      <c r="F2766" s="52" t="str">
        <f aca="false">IF(L2766="","",INDEX(ポート振替表!$K$5:$K$3507,$L2766)&amp;" "&amp;INDEX(ポート振替表!$L$5:$L$3507,$L2766)&amp;"  ⇔  "&amp;INDEX(ポート振替表!$H$5:$H$3507,$L2766)&amp;" "&amp;INDEX(ポート振替表!$I$5:$I$3507,$L2766))</f>
        <v/>
      </c>
      <c r="G2766" s="57" t="s">
        <v>158</v>
      </c>
      <c r="H2766" s="32" t="str">
        <f aca="false">IF(L2766="","",INDEX(ポート振替表!$N$5:$N$3507,$L2766)&amp;"")</f>
        <v/>
      </c>
      <c r="I2766" s="32" t="str">
        <f aca="false">IF(L2766="","",INDEX(ポート振替表!$P$5:$P$3507,$L2766)&amp;"")</f>
        <v/>
      </c>
      <c r="J2766" s="60" t="str">
        <f aca="false">IF(L2766="","",INDEX(ポート振替表!$M$5:$M$3507,$L2766)&amp;"")</f>
        <v/>
      </c>
      <c r="K2766" s="52" t="str">
        <f aca="false">IF(L2766="","",E2766&amp;CHAR(10)&amp;INDEX(ポート振替表!$K$5:$K$3507,$L2766)&amp;" "&amp;INDEX(ポート振替表!$L$5:$L$3507,$L2766)&amp;CHAR(10)&amp;"⇔ "&amp;INDEX(ポート振替表!$H$5:$H$3507,$L2766)&amp;" "&amp;INDEX(ポート振替表!$I$5:$I$3507,$L2766))</f>
        <v/>
      </c>
      <c r="L2766" s="47" t="str">
        <f aca="false">IFERROR(MATCH(ROW()-4,ポート振替表!$V$5:$V$3507,0),"")</f>
        <v/>
      </c>
    </row>
    <row r="2767" customFormat="false" ht="16.4" hidden="false" customHeight="false" outlineLevel="0" collapsed="false">
      <c r="A2767" s="32" t="str">
        <f aca="false">IF(L2767="","",ROW()-4)</f>
        <v/>
      </c>
      <c r="B2767" s="58" t="str">
        <f aca="false">IF(L2767="","",IF(INDEX(ポート振替表!$W$5:$W$3507,$L2767)="","(なし)",INDEX(ポート振替表!$W$5:$W$3507,$L2767)&amp;""))</f>
        <v/>
      </c>
      <c r="C2767" s="52" t="str">
        <f aca="false">IF(L2767="","",INDEX(ポート振替表!$B$5:$B$3507,$L2767)&amp;" "&amp;INDEX(ポート振替表!$C$5:$C$3507,$L2767)&amp;"  ⇔  "&amp;INDEX(ポート振替表!$H$5:$H$3507,$L2767)&amp;" "&amp;INDEX(ポート振替表!$I$5:$I$3507,$L2767))</f>
        <v/>
      </c>
      <c r="D2767" s="57" t="s">
        <v>158</v>
      </c>
      <c r="E2767" s="59" t="str">
        <f aca="false">IF(L2767="","",IF(INDEX(ポート振替表!$O$5:$O$3507,$L2767)="","(未設定)",INDEX(ポート振替表!$O$5:$O$3507,$L2767)&amp;""))</f>
        <v/>
      </c>
      <c r="F2767" s="52" t="str">
        <f aca="false">IF(L2767="","",INDEX(ポート振替表!$K$5:$K$3507,$L2767)&amp;" "&amp;INDEX(ポート振替表!$L$5:$L$3507,$L2767)&amp;"  ⇔  "&amp;INDEX(ポート振替表!$H$5:$H$3507,$L2767)&amp;" "&amp;INDEX(ポート振替表!$I$5:$I$3507,$L2767))</f>
        <v/>
      </c>
      <c r="G2767" s="57" t="s">
        <v>158</v>
      </c>
      <c r="H2767" s="32" t="str">
        <f aca="false">IF(L2767="","",INDEX(ポート振替表!$N$5:$N$3507,$L2767)&amp;"")</f>
        <v/>
      </c>
      <c r="I2767" s="32" t="str">
        <f aca="false">IF(L2767="","",INDEX(ポート振替表!$P$5:$P$3507,$L2767)&amp;"")</f>
        <v/>
      </c>
      <c r="J2767" s="60" t="str">
        <f aca="false">IF(L2767="","",INDEX(ポート振替表!$M$5:$M$3507,$L2767)&amp;"")</f>
        <v/>
      </c>
      <c r="K2767" s="52" t="str">
        <f aca="false">IF(L2767="","",E2767&amp;CHAR(10)&amp;INDEX(ポート振替表!$K$5:$K$3507,$L2767)&amp;" "&amp;INDEX(ポート振替表!$L$5:$L$3507,$L2767)&amp;CHAR(10)&amp;"⇔ "&amp;INDEX(ポート振替表!$H$5:$H$3507,$L2767)&amp;" "&amp;INDEX(ポート振替表!$I$5:$I$3507,$L2767))</f>
        <v/>
      </c>
      <c r="L2767" s="47" t="str">
        <f aca="false">IFERROR(MATCH(ROW()-4,ポート振替表!$V$5:$V$3507,0),"")</f>
        <v/>
      </c>
    </row>
    <row r="2768" customFormat="false" ht="16.4" hidden="false" customHeight="false" outlineLevel="0" collapsed="false">
      <c r="A2768" s="32" t="str">
        <f aca="false">IF(L2768="","",ROW()-4)</f>
        <v/>
      </c>
      <c r="B2768" s="58" t="str">
        <f aca="false">IF(L2768="","",IF(INDEX(ポート振替表!$W$5:$W$3507,$L2768)="","(なし)",INDEX(ポート振替表!$W$5:$W$3507,$L2768)&amp;""))</f>
        <v/>
      </c>
      <c r="C2768" s="52" t="str">
        <f aca="false">IF(L2768="","",INDEX(ポート振替表!$B$5:$B$3507,$L2768)&amp;" "&amp;INDEX(ポート振替表!$C$5:$C$3507,$L2768)&amp;"  ⇔  "&amp;INDEX(ポート振替表!$H$5:$H$3507,$L2768)&amp;" "&amp;INDEX(ポート振替表!$I$5:$I$3507,$L2768))</f>
        <v/>
      </c>
      <c r="D2768" s="57" t="s">
        <v>158</v>
      </c>
      <c r="E2768" s="59" t="str">
        <f aca="false">IF(L2768="","",IF(INDEX(ポート振替表!$O$5:$O$3507,$L2768)="","(未設定)",INDEX(ポート振替表!$O$5:$O$3507,$L2768)&amp;""))</f>
        <v/>
      </c>
      <c r="F2768" s="52" t="str">
        <f aca="false">IF(L2768="","",INDEX(ポート振替表!$K$5:$K$3507,$L2768)&amp;" "&amp;INDEX(ポート振替表!$L$5:$L$3507,$L2768)&amp;"  ⇔  "&amp;INDEX(ポート振替表!$H$5:$H$3507,$L2768)&amp;" "&amp;INDEX(ポート振替表!$I$5:$I$3507,$L2768))</f>
        <v/>
      </c>
      <c r="G2768" s="57" t="s">
        <v>158</v>
      </c>
      <c r="H2768" s="32" t="str">
        <f aca="false">IF(L2768="","",INDEX(ポート振替表!$N$5:$N$3507,$L2768)&amp;"")</f>
        <v/>
      </c>
      <c r="I2768" s="32" t="str">
        <f aca="false">IF(L2768="","",INDEX(ポート振替表!$P$5:$P$3507,$L2768)&amp;"")</f>
        <v/>
      </c>
      <c r="J2768" s="60" t="str">
        <f aca="false">IF(L2768="","",INDEX(ポート振替表!$M$5:$M$3507,$L2768)&amp;"")</f>
        <v/>
      </c>
      <c r="K2768" s="52" t="str">
        <f aca="false">IF(L2768="","",E2768&amp;CHAR(10)&amp;INDEX(ポート振替表!$K$5:$K$3507,$L2768)&amp;" "&amp;INDEX(ポート振替表!$L$5:$L$3507,$L2768)&amp;CHAR(10)&amp;"⇔ "&amp;INDEX(ポート振替表!$H$5:$H$3507,$L2768)&amp;" "&amp;INDEX(ポート振替表!$I$5:$I$3507,$L2768))</f>
        <v/>
      </c>
      <c r="L2768" s="47" t="str">
        <f aca="false">IFERROR(MATCH(ROW()-4,ポート振替表!$V$5:$V$3507,0),"")</f>
        <v/>
      </c>
    </row>
    <row r="2769" customFormat="false" ht="16.4" hidden="false" customHeight="false" outlineLevel="0" collapsed="false">
      <c r="A2769" s="32" t="str">
        <f aca="false">IF(L2769="","",ROW()-4)</f>
        <v/>
      </c>
      <c r="B2769" s="58" t="str">
        <f aca="false">IF(L2769="","",IF(INDEX(ポート振替表!$W$5:$W$3507,$L2769)="","(なし)",INDEX(ポート振替表!$W$5:$W$3507,$L2769)&amp;""))</f>
        <v/>
      </c>
      <c r="C2769" s="52" t="str">
        <f aca="false">IF(L2769="","",INDEX(ポート振替表!$B$5:$B$3507,$L2769)&amp;" "&amp;INDEX(ポート振替表!$C$5:$C$3507,$L2769)&amp;"  ⇔  "&amp;INDEX(ポート振替表!$H$5:$H$3507,$L2769)&amp;" "&amp;INDEX(ポート振替表!$I$5:$I$3507,$L2769))</f>
        <v/>
      </c>
      <c r="D2769" s="57" t="s">
        <v>158</v>
      </c>
      <c r="E2769" s="59" t="str">
        <f aca="false">IF(L2769="","",IF(INDEX(ポート振替表!$O$5:$O$3507,$L2769)="","(未設定)",INDEX(ポート振替表!$O$5:$O$3507,$L2769)&amp;""))</f>
        <v/>
      </c>
      <c r="F2769" s="52" t="str">
        <f aca="false">IF(L2769="","",INDEX(ポート振替表!$K$5:$K$3507,$L2769)&amp;" "&amp;INDEX(ポート振替表!$L$5:$L$3507,$L2769)&amp;"  ⇔  "&amp;INDEX(ポート振替表!$H$5:$H$3507,$L2769)&amp;" "&amp;INDEX(ポート振替表!$I$5:$I$3507,$L2769))</f>
        <v/>
      </c>
      <c r="G2769" s="57" t="s">
        <v>158</v>
      </c>
      <c r="H2769" s="32" t="str">
        <f aca="false">IF(L2769="","",INDEX(ポート振替表!$N$5:$N$3507,$L2769)&amp;"")</f>
        <v/>
      </c>
      <c r="I2769" s="32" t="str">
        <f aca="false">IF(L2769="","",INDEX(ポート振替表!$P$5:$P$3507,$L2769)&amp;"")</f>
        <v/>
      </c>
      <c r="J2769" s="60" t="str">
        <f aca="false">IF(L2769="","",INDEX(ポート振替表!$M$5:$M$3507,$L2769)&amp;"")</f>
        <v/>
      </c>
      <c r="K2769" s="52" t="str">
        <f aca="false">IF(L2769="","",E2769&amp;CHAR(10)&amp;INDEX(ポート振替表!$K$5:$K$3507,$L2769)&amp;" "&amp;INDEX(ポート振替表!$L$5:$L$3507,$L2769)&amp;CHAR(10)&amp;"⇔ "&amp;INDEX(ポート振替表!$H$5:$H$3507,$L2769)&amp;" "&amp;INDEX(ポート振替表!$I$5:$I$3507,$L2769))</f>
        <v/>
      </c>
      <c r="L2769" s="47" t="str">
        <f aca="false">IFERROR(MATCH(ROW()-4,ポート振替表!$V$5:$V$3507,0),"")</f>
        <v/>
      </c>
    </row>
    <row r="2770" customFormat="false" ht="16.4" hidden="false" customHeight="false" outlineLevel="0" collapsed="false">
      <c r="A2770" s="32" t="str">
        <f aca="false">IF(L2770="","",ROW()-4)</f>
        <v/>
      </c>
      <c r="B2770" s="58" t="str">
        <f aca="false">IF(L2770="","",IF(INDEX(ポート振替表!$W$5:$W$3507,$L2770)="","(なし)",INDEX(ポート振替表!$W$5:$W$3507,$L2770)&amp;""))</f>
        <v/>
      </c>
      <c r="C2770" s="52" t="str">
        <f aca="false">IF(L2770="","",INDEX(ポート振替表!$B$5:$B$3507,$L2770)&amp;" "&amp;INDEX(ポート振替表!$C$5:$C$3507,$L2770)&amp;"  ⇔  "&amp;INDEX(ポート振替表!$H$5:$H$3507,$L2770)&amp;" "&amp;INDEX(ポート振替表!$I$5:$I$3507,$L2770))</f>
        <v/>
      </c>
      <c r="D2770" s="57" t="s">
        <v>158</v>
      </c>
      <c r="E2770" s="59" t="str">
        <f aca="false">IF(L2770="","",IF(INDEX(ポート振替表!$O$5:$O$3507,$L2770)="","(未設定)",INDEX(ポート振替表!$O$5:$O$3507,$L2770)&amp;""))</f>
        <v/>
      </c>
      <c r="F2770" s="52" t="str">
        <f aca="false">IF(L2770="","",INDEX(ポート振替表!$K$5:$K$3507,$L2770)&amp;" "&amp;INDEX(ポート振替表!$L$5:$L$3507,$L2770)&amp;"  ⇔  "&amp;INDEX(ポート振替表!$H$5:$H$3507,$L2770)&amp;" "&amp;INDEX(ポート振替表!$I$5:$I$3507,$L2770))</f>
        <v/>
      </c>
      <c r="G2770" s="57" t="s">
        <v>158</v>
      </c>
      <c r="H2770" s="32" t="str">
        <f aca="false">IF(L2770="","",INDEX(ポート振替表!$N$5:$N$3507,$L2770)&amp;"")</f>
        <v/>
      </c>
      <c r="I2770" s="32" t="str">
        <f aca="false">IF(L2770="","",INDEX(ポート振替表!$P$5:$P$3507,$L2770)&amp;"")</f>
        <v/>
      </c>
      <c r="J2770" s="60" t="str">
        <f aca="false">IF(L2770="","",INDEX(ポート振替表!$M$5:$M$3507,$L2770)&amp;"")</f>
        <v/>
      </c>
      <c r="K2770" s="52" t="str">
        <f aca="false">IF(L2770="","",E2770&amp;CHAR(10)&amp;INDEX(ポート振替表!$K$5:$K$3507,$L2770)&amp;" "&amp;INDEX(ポート振替表!$L$5:$L$3507,$L2770)&amp;CHAR(10)&amp;"⇔ "&amp;INDEX(ポート振替表!$H$5:$H$3507,$L2770)&amp;" "&amp;INDEX(ポート振替表!$I$5:$I$3507,$L2770))</f>
        <v/>
      </c>
      <c r="L2770" s="47" t="str">
        <f aca="false">IFERROR(MATCH(ROW()-4,ポート振替表!$V$5:$V$3507,0),"")</f>
        <v/>
      </c>
    </row>
    <row r="2771" customFormat="false" ht="16.4" hidden="false" customHeight="false" outlineLevel="0" collapsed="false">
      <c r="A2771" s="32" t="str">
        <f aca="false">IF(L2771="","",ROW()-4)</f>
        <v/>
      </c>
      <c r="B2771" s="58" t="str">
        <f aca="false">IF(L2771="","",IF(INDEX(ポート振替表!$W$5:$W$3507,$L2771)="","(なし)",INDEX(ポート振替表!$W$5:$W$3507,$L2771)&amp;""))</f>
        <v/>
      </c>
      <c r="C2771" s="52" t="str">
        <f aca="false">IF(L2771="","",INDEX(ポート振替表!$B$5:$B$3507,$L2771)&amp;" "&amp;INDEX(ポート振替表!$C$5:$C$3507,$L2771)&amp;"  ⇔  "&amp;INDEX(ポート振替表!$H$5:$H$3507,$L2771)&amp;" "&amp;INDEX(ポート振替表!$I$5:$I$3507,$L2771))</f>
        <v/>
      </c>
      <c r="D2771" s="57" t="s">
        <v>158</v>
      </c>
      <c r="E2771" s="59" t="str">
        <f aca="false">IF(L2771="","",IF(INDEX(ポート振替表!$O$5:$O$3507,$L2771)="","(未設定)",INDEX(ポート振替表!$O$5:$O$3507,$L2771)&amp;""))</f>
        <v/>
      </c>
      <c r="F2771" s="52" t="str">
        <f aca="false">IF(L2771="","",INDEX(ポート振替表!$K$5:$K$3507,$L2771)&amp;" "&amp;INDEX(ポート振替表!$L$5:$L$3507,$L2771)&amp;"  ⇔  "&amp;INDEX(ポート振替表!$H$5:$H$3507,$L2771)&amp;" "&amp;INDEX(ポート振替表!$I$5:$I$3507,$L2771))</f>
        <v/>
      </c>
      <c r="G2771" s="57" t="s">
        <v>158</v>
      </c>
      <c r="H2771" s="32" t="str">
        <f aca="false">IF(L2771="","",INDEX(ポート振替表!$N$5:$N$3507,$L2771)&amp;"")</f>
        <v/>
      </c>
      <c r="I2771" s="32" t="str">
        <f aca="false">IF(L2771="","",INDEX(ポート振替表!$P$5:$P$3507,$L2771)&amp;"")</f>
        <v/>
      </c>
      <c r="J2771" s="60" t="str">
        <f aca="false">IF(L2771="","",INDEX(ポート振替表!$M$5:$M$3507,$L2771)&amp;"")</f>
        <v/>
      </c>
      <c r="K2771" s="52" t="str">
        <f aca="false">IF(L2771="","",E2771&amp;CHAR(10)&amp;INDEX(ポート振替表!$K$5:$K$3507,$L2771)&amp;" "&amp;INDEX(ポート振替表!$L$5:$L$3507,$L2771)&amp;CHAR(10)&amp;"⇔ "&amp;INDEX(ポート振替表!$H$5:$H$3507,$L2771)&amp;" "&amp;INDEX(ポート振替表!$I$5:$I$3507,$L2771))</f>
        <v/>
      </c>
      <c r="L2771" s="47" t="str">
        <f aca="false">IFERROR(MATCH(ROW()-4,ポート振替表!$V$5:$V$3507,0),"")</f>
        <v/>
      </c>
    </row>
    <row r="2772" customFormat="false" ht="16.4" hidden="false" customHeight="false" outlineLevel="0" collapsed="false">
      <c r="A2772" s="32" t="str">
        <f aca="false">IF(L2772="","",ROW()-4)</f>
        <v/>
      </c>
      <c r="B2772" s="58" t="str">
        <f aca="false">IF(L2772="","",IF(INDEX(ポート振替表!$W$5:$W$3507,$L2772)="","(なし)",INDEX(ポート振替表!$W$5:$W$3507,$L2772)&amp;""))</f>
        <v/>
      </c>
      <c r="C2772" s="52" t="str">
        <f aca="false">IF(L2772="","",INDEX(ポート振替表!$B$5:$B$3507,$L2772)&amp;" "&amp;INDEX(ポート振替表!$C$5:$C$3507,$L2772)&amp;"  ⇔  "&amp;INDEX(ポート振替表!$H$5:$H$3507,$L2772)&amp;" "&amp;INDEX(ポート振替表!$I$5:$I$3507,$L2772))</f>
        <v/>
      </c>
      <c r="D2772" s="57" t="s">
        <v>158</v>
      </c>
      <c r="E2772" s="59" t="str">
        <f aca="false">IF(L2772="","",IF(INDEX(ポート振替表!$O$5:$O$3507,$L2772)="","(未設定)",INDEX(ポート振替表!$O$5:$O$3507,$L2772)&amp;""))</f>
        <v/>
      </c>
      <c r="F2772" s="52" t="str">
        <f aca="false">IF(L2772="","",INDEX(ポート振替表!$K$5:$K$3507,$L2772)&amp;" "&amp;INDEX(ポート振替表!$L$5:$L$3507,$L2772)&amp;"  ⇔  "&amp;INDEX(ポート振替表!$H$5:$H$3507,$L2772)&amp;" "&amp;INDEX(ポート振替表!$I$5:$I$3507,$L2772))</f>
        <v/>
      </c>
      <c r="G2772" s="57" t="s">
        <v>158</v>
      </c>
      <c r="H2772" s="32" t="str">
        <f aca="false">IF(L2772="","",INDEX(ポート振替表!$N$5:$N$3507,$L2772)&amp;"")</f>
        <v/>
      </c>
      <c r="I2772" s="32" t="str">
        <f aca="false">IF(L2772="","",INDEX(ポート振替表!$P$5:$P$3507,$L2772)&amp;"")</f>
        <v/>
      </c>
      <c r="J2772" s="60" t="str">
        <f aca="false">IF(L2772="","",INDEX(ポート振替表!$M$5:$M$3507,$L2772)&amp;"")</f>
        <v/>
      </c>
      <c r="K2772" s="52" t="str">
        <f aca="false">IF(L2772="","",E2772&amp;CHAR(10)&amp;INDEX(ポート振替表!$K$5:$K$3507,$L2772)&amp;" "&amp;INDEX(ポート振替表!$L$5:$L$3507,$L2772)&amp;CHAR(10)&amp;"⇔ "&amp;INDEX(ポート振替表!$H$5:$H$3507,$L2772)&amp;" "&amp;INDEX(ポート振替表!$I$5:$I$3507,$L2772))</f>
        <v/>
      </c>
      <c r="L2772" s="47" t="str">
        <f aca="false">IFERROR(MATCH(ROW()-4,ポート振替表!$V$5:$V$3507,0),"")</f>
        <v/>
      </c>
    </row>
    <row r="2773" customFormat="false" ht="16.4" hidden="false" customHeight="false" outlineLevel="0" collapsed="false">
      <c r="A2773" s="32" t="str">
        <f aca="false">IF(L2773="","",ROW()-4)</f>
        <v/>
      </c>
      <c r="B2773" s="58" t="str">
        <f aca="false">IF(L2773="","",IF(INDEX(ポート振替表!$W$5:$W$3507,$L2773)="","(なし)",INDEX(ポート振替表!$W$5:$W$3507,$L2773)&amp;""))</f>
        <v/>
      </c>
      <c r="C2773" s="52" t="str">
        <f aca="false">IF(L2773="","",INDEX(ポート振替表!$B$5:$B$3507,$L2773)&amp;" "&amp;INDEX(ポート振替表!$C$5:$C$3507,$L2773)&amp;"  ⇔  "&amp;INDEX(ポート振替表!$H$5:$H$3507,$L2773)&amp;" "&amp;INDEX(ポート振替表!$I$5:$I$3507,$L2773))</f>
        <v/>
      </c>
      <c r="D2773" s="57" t="s">
        <v>158</v>
      </c>
      <c r="E2773" s="59" t="str">
        <f aca="false">IF(L2773="","",IF(INDEX(ポート振替表!$O$5:$O$3507,$L2773)="","(未設定)",INDEX(ポート振替表!$O$5:$O$3507,$L2773)&amp;""))</f>
        <v/>
      </c>
      <c r="F2773" s="52" t="str">
        <f aca="false">IF(L2773="","",INDEX(ポート振替表!$K$5:$K$3507,$L2773)&amp;" "&amp;INDEX(ポート振替表!$L$5:$L$3507,$L2773)&amp;"  ⇔  "&amp;INDEX(ポート振替表!$H$5:$H$3507,$L2773)&amp;" "&amp;INDEX(ポート振替表!$I$5:$I$3507,$L2773))</f>
        <v/>
      </c>
      <c r="G2773" s="57" t="s">
        <v>158</v>
      </c>
      <c r="H2773" s="32" t="str">
        <f aca="false">IF(L2773="","",INDEX(ポート振替表!$N$5:$N$3507,$L2773)&amp;"")</f>
        <v/>
      </c>
      <c r="I2773" s="32" t="str">
        <f aca="false">IF(L2773="","",INDEX(ポート振替表!$P$5:$P$3507,$L2773)&amp;"")</f>
        <v/>
      </c>
      <c r="J2773" s="60" t="str">
        <f aca="false">IF(L2773="","",INDEX(ポート振替表!$M$5:$M$3507,$L2773)&amp;"")</f>
        <v/>
      </c>
      <c r="K2773" s="52" t="str">
        <f aca="false">IF(L2773="","",E2773&amp;CHAR(10)&amp;INDEX(ポート振替表!$K$5:$K$3507,$L2773)&amp;" "&amp;INDEX(ポート振替表!$L$5:$L$3507,$L2773)&amp;CHAR(10)&amp;"⇔ "&amp;INDEX(ポート振替表!$H$5:$H$3507,$L2773)&amp;" "&amp;INDEX(ポート振替表!$I$5:$I$3507,$L2773))</f>
        <v/>
      </c>
      <c r="L2773" s="47" t="str">
        <f aca="false">IFERROR(MATCH(ROW()-4,ポート振替表!$V$5:$V$3507,0),"")</f>
        <v/>
      </c>
    </row>
    <row r="2774" customFormat="false" ht="16.4" hidden="false" customHeight="false" outlineLevel="0" collapsed="false">
      <c r="A2774" s="32" t="str">
        <f aca="false">IF(L2774="","",ROW()-4)</f>
        <v/>
      </c>
      <c r="B2774" s="58" t="str">
        <f aca="false">IF(L2774="","",IF(INDEX(ポート振替表!$W$5:$W$3507,$L2774)="","(なし)",INDEX(ポート振替表!$W$5:$W$3507,$L2774)&amp;""))</f>
        <v/>
      </c>
      <c r="C2774" s="52" t="str">
        <f aca="false">IF(L2774="","",INDEX(ポート振替表!$B$5:$B$3507,$L2774)&amp;" "&amp;INDEX(ポート振替表!$C$5:$C$3507,$L2774)&amp;"  ⇔  "&amp;INDEX(ポート振替表!$H$5:$H$3507,$L2774)&amp;" "&amp;INDEX(ポート振替表!$I$5:$I$3507,$L2774))</f>
        <v/>
      </c>
      <c r="D2774" s="57" t="s">
        <v>158</v>
      </c>
      <c r="E2774" s="59" t="str">
        <f aca="false">IF(L2774="","",IF(INDEX(ポート振替表!$O$5:$O$3507,$L2774)="","(未設定)",INDEX(ポート振替表!$O$5:$O$3507,$L2774)&amp;""))</f>
        <v/>
      </c>
      <c r="F2774" s="52" t="str">
        <f aca="false">IF(L2774="","",INDEX(ポート振替表!$K$5:$K$3507,$L2774)&amp;" "&amp;INDEX(ポート振替表!$L$5:$L$3507,$L2774)&amp;"  ⇔  "&amp;INDEX(ポート振替表!$H$5:$H$3507,$L2774)&amp;" "&amp;INDEX(ポート振替表!$I$5:$I$3507,$L2774))</f>
        <v/>
      </c>
      <c r="G2774" s="57" t="s">
        <v>158</v>
      </c>
      <c r="H2774" s="32" t="str">
        <f aca="false">IF(L2774="","",INDEX(ポート振替表!$N$5:$N$3507,$L2774)&amp;"")</f>
        <v/>
      </c>
      <c r="I2774" s="32" t="str">
        <f aca="false">IF(L2774="","",INDEX(ポート振替表!$P$5:$P$3507,$L2774)&amp;"")</f>
        <v/>
      </c>
      <c r="J2774" s="60" t="str">
        <f aca="false">IF(L2774="","",INDEX(ポート振替表!$M$5:$M$3507,$L2774)&amp;"")</f>
        <v/>
      </c>
      <c r="K2774" s="52" t="str">
        <f aca="false">IF(L2774="","",E2774&amp;CHAR(10)&amp;INDEX(ポート振替表!$K$5:$K$3507,$L2774)&amp;" "&amp;INDEX(ポート振替表!$L$5:$L$3507,$L2774)&amp;CHAR(10)&amp;"⇔ "&amp;INDEX(ポート振替表!$H$5:$H$3507,$L2774)&amp;" "&amp;INDEX(ポート振替表!$I$5:$I$3507,$L2774))</f>
        <v/>
      </c>
      <c r="L2774" s="47" t="str">
        <f aca="false">IFERROR(MATCH(ROW()-4,ポート振替表!$V$5:$V$3507,0),"")</f>
        <v/>
      </c>
    </row>
    <row r="2775" customFormat="false" ht="16.4" hidden="false" customHeight="false" outlineLevel="0" collapsed="false">
      <c r="A2775" s="32" t="str">
        <f aca="false">IF(L2775="","",ROW()-4)</f>
        <v/>
      </c>
      <c r="B2775" s="58" t="str">
        <f aca="false">IF(L2775="","",IF(INDEX(ポート振替表!$W$5:$W$3507,$L2775)="","(なし)",INDEX(ポート振替表!$W$5:$W$3507,$L2775)&amp;""))</f>
        <v/>
      </c>
      <c r="C2775" s="52" t="str">
        <f aca="false">IF(L2775="","",INDEX(ポート振替表!$B$5:$B$3507,$L2775)&amp;" "&amp;INDEX(ポート振替表!$C$5:$C$3507,$L2775)&amp;"  ⇔  "&amp;INDEX(ポート振替表!$H$5:$H$3507,$L2775)&amp;" "&amp;INDEX(ポート振替表!$I$5:$I$3507,$L2775))</f>
        <v/>
      </c>
      <c r="D2775" s="57" t="s">
        <v>158</v>
      </c>
      <c r="E2775" s="59" t="str">
        <f aca="false">IF(L2775="","",IF(INDEX(ポート振替表!$O$5:$O$3507,$L2775)="","(未設定)",INDEX(ポート振替表!$O$5:$O$3507,$L2775)&amp;""))</f>
        <v/>
      </c>
      <c r="F2775" s="52" t="str">
        <f aca="false">IF(L2775="","",INDEX(ポート振替表!$K$5:$K$3507,$L2775)&amp;" "&amp;INDEX(ポート振替表!$L$5:$L$3507,$L2775)&amp;"  ⇔  "&amp;INDEX(ポート振替表!$H$5:$H$3507,$L2775)&amp;" "&amp;INDEX(ポート振替表!$I$5:$I$3507,$L2775))</f>
        <v/>
      </c>
      <c r="G2775" s="57" t="s">
        <v>158</v>
      </c>
      <c r="H2775" s="32" t="str">
        <f aca="false">IF(L2775="","",INDEX(ポート振替表!$N$5:$N$3507,$L2775)&amp;"")</f>
        <v/>
      </c>
      <c r="I2775" s="32" t="str">
        <f aca="false">IF(L2775="","",INDEX(ポート振替表!$P$5:$P$3507,$L2775)&amp;"")</f>
        <v/>
      </c>
      <c r="J2775" s="60" t="str">
        <f aca="false">IF(L2775="","",INDEX(ポート振替表!$M$5:$M$3507,$L2775)&amp;"")</f>
        <v/>
      </c>
      <c r="K2775" s="52" t="str">
        <f aca="false">IF(L2775="","",E2775&amp;CHAR(10)&amp;INDEX(ポート振替表!$K$5:$K$3507,$L2775)&amp;" "&amp;INDEX(ポート振替表!$L$5:$L$3507,$L2775)&amp;CHAR(10)&amp;"⇔ "&amp;INDEX(ポート振替表!$H$5:$H$3507,$L2775)&amp;" "&amp;INDEX(ポート振替表!$I$5:$I$3507,$L2775))</f>
        <v/>
      </c>
      <c r="L2775" s="47" t="str">
        <f aca="false">IFERROR(MATCH(ROW()-4,ポート振替表!$V$5:$V$3507,0),"")</f>
        <v/>
      </c>
    </row>
    <row r="2776" customFormat="false" ht="16.4" hidden="false" customHeight="false" outlineLevel="0" collapsed="false">
      <c r="A2776" s="32" t="str">
        <f aca="false">IF(L2776="","",ROW()-4)</f>
        <v/>
      </c>
      <c r="B2776" s="58" t="str">
        <f aca="false">IF(L2776="","",IF(INDEX(ポート振替表!$W$5:$W$3507,$L2776)="","(なし)",INDEX(ポート振替表!$W$5:$W$3507,$L2776)&amp;""))</f>
        <v/>
      </c>
      <c r="C2776" s="52" t="str">
        <f aca="false">IF(L2776="","",INDEX(ポート振替表!$B$5:$B$3507,$L2776)&amp;" "&amp;INDEX(ポート振替表!$C$5:$C$3507,$L2776)&amp;"  ⇔  "&amp;INDEX(ポート振替表!$H$5:$H$3507,$L2776)&amp;" "&amp;INDEX(ポート振替表!$I$5:$I$3507,$L2776))</f>
        <v/>
      </c>
      <c r="D2776" s="57" t="s">
        <v>158</v>
      </c>
      <c r="E2776" s="59" t="str">
        <f aca="false">IF(L2776="","",IF(INDEX(ポート振替表!$O$5:$O$3507,$L2776)="","(未設定)",INDEX(ポート振替表!$O$5:$O$3507,$L2776)&amp;""))</f>
        <v/>
      </c>
      <c r="F2776" s="52" t="str">
        <f aca="false">IF(L2776="","",INDEX(ポート振替表!$K$5:$K$3507,$L2776)&amp;" "&amp;INDEX(ポート振替表!$L$5:$L$3507,$L2776)&amp;"  ⇔  "&amp;INDEX(ポート振替表!$H$5:$H$3507,$L2776)&amp;" "&amp;INDEX(ポート振替表!$I$5:$I$3507,$L2776))</f>
        <v/>
      </c>
      <c r="G2776" s="57" t="s">
        <v>158</v>
      </c>
      <c r="H2776" s="32" t="str">
        <f aca="false">IF(L2776="","",INDEX(ポート振替表!$N$5:$N$3507,$L2776)&amp;"")</f>
        <v/>
      </c>
      <c r="I2776" s="32" t="str">
        <f aca="false">IF(L2776="","",INDEX(ポート振替表!$P$5:$P$3507,$L2776)&amp;"")</f>
        <v/>
      </c>
      <c r="J2776" s="60" t="str">
        <f aca="false">IF(L2776="","",INDEX(ポート振替表!$M$5:$M$3507,$L2776)&amp;"")</f>
        <v/>
      </c>
      <c r="K2776" s="52" t="str">
        <f aca="false">IF(L2776="","",E2776&amp;CHAR(10)&amp;INDEX(ポート振替表!$K$5:$K$3507,$L2776)&amp;" "&amp;INDEX(ポート振替表!$L$5:$L$3507,$L2776)&amp;CHAR(10)&amp;"⇔ "&amp;INDEX(ポート振替表!$H$5:$H$3507,$L2776)&amp;" "&amp;INDEX(ポート振替表!$I$5:$I$3507,$L2776))</f>
        <v/>
      </c>
      <c r="L2776" s="47" t="str">
        <f aca="false">IFERROR(MATCH(ROW()-4,ポート振替表!$V$5:$V$3507,0),"")</f>
        <v/>
      </c>
    </row>
    <row r="2777" customFormat="false" ht="16.4" hidden="false" customHeight="false" outlineLevel="0" collapsed="false">
      <c r="A2777" s="32" t="str">
        <f aca="false">IF(L2777="","",ROW()-4)</f>
        <v/>
      </c>
      <c r="B2777" s="58" t="str">
        <f aca="false">IF(L2777="","",IF(INDEX(ポート振替表!$W$5:$W$3507,$L2777)="","(なし)",INDEX(ポート振替表!$W$5:$W$3507,$L2777)&amp;""))</f>
        <v/>
      </c>
      <c r="C2777" s="52" t="str">
        <f aca="false">IF(L2777="","",INDEX(ポート振替表!$B$5:$B$3507,$L2777)&amp;" "&amp;INDEX(ポート振替表!$C$5:$C$3507,$L2777)&amp;"  ⇔  "&amp;INDEX(ポート振替表!$H$5:$H$3507,$L2777)&amp;" "&amp;INDEX(ポート振替表!$I$5:$I$3507,$L2777))</f>
        <v/>
      </c>
      <c r="D2777" s="57" t="s">
        <v>158</v>
      </c>
      <c r="E2777" s="59" t="str">
        <f aca="false">IF(L2777="","",IF(INDEX(ポート振替表!$O$5:$O$3507,$L2777)="","(未設定)",INDEX(ポート振替表!$O$5:$O$3507,$L2777)&amp;""))</f>
        <v/>
      </c>
      <c r="F2777" s="52" t="str">
        <f aca="false">IF(L2777="","",INDEX(ポート振替表!$K$5:$K$3507,$L2777)&amp;" "&amp;INDEX(ポート振替表!$L$5:$L$3507,$L2777)&amp;"  ⇔  "&amp;INDEX(ポート振替表!$H$5:$H$3507,$L2777)&amp;" "&amp;INDEX(ポート振替表!$I$5:$I$3507,$L2777))</f>
        <v/>
      </c>
      <c r="G2777" s="57" t="s">
        <v>158</v>
      </c>
      <c r="H2777" s="32" t="str">
        <f aca="false">IF(L2777="","",INDEX(ポート振替表!$N$5:$N$3507,$L2777)&amp;"")</f>
        <v/>
      </c>
      <c r="I2777" s="32" t="str">
        <f aca="false">IF(L2777="","",INDEX(ポート振替表!$P$5:$P$3507,$L2777)&amp;"")</f>
        <v/>
      </c>
      <c r="J2777" s="60" t="str">
        <f aca="false">IF(L2777="","",INDEX(ポート振替表!$M$5:$M$3507,$L2777)&amp;"")</f>
        <v/>
      </c>
      <c r="K2777" s="52" t="str">
        <f aca="false">IF(L2777="","",E2777&amp;CHAR(10)&amp;INDEX(ポート振替表!$K$5:$K$3507,$L2777)&amp;" "&amp;INDEX(ポート振替表!$L$5:$L$3507,$L2777)&amp;CHAR(10)&amp;"⇔ "&amp;INDEX(ポート振替表!$H$5:$H$3507,$L2777)&amp;" "&amp;INDEX(ポート振替表!$I$5:$I$3507,$L2777))</f>
        <v/>
      </c>
      <c r="L2777" s="47" t="str">
        <f aca="false">IFERROR(MATCH(ROW()-4,ポート振替表!$V$5:$V$3507,0),"")</f>
        <v/>
      </c>
    </row>
    <row r="2778" customFormat="false" ht="16.4" hidden="false" customHeight="false" outlineLevel="0" collapsed="false">
      <c r="A2778" s="32" t="str">
        <f aca="false">IF(L2778="","",ROW()-4)</f>
        <v/>
      </c>
      <c r="B2778" s="58" t="str">
        <f aca="false">IF(L2778="","",IF(INDEX(ポート振替表!$W$5:$W$3507,$L2778)="","(なし)",INDEX(ポート振替表!$W$5:$W$3507,$L2778)&amp;""))</f>
        <v/>
      </c>
      <c r="C2778" s="52" t="str">
        <f aca="false">IF(L2778="","",INDEX(ポート振替表!$B$5:$B$3507,$L2778)&amp;" "&amp;INDEX(ポート振替表!$C$5:$C$3507,$L2778)&amp;"  ⇔  "&amp;INDEX(ポート振替表!$H$5:$H$3507,$L2778)&amp;" "&amp;INDEX(ポート振替表!$I$5:$I$3507,$L2778))</f>
        <v/>
      </c>
      <c r="D2778" s="57" t="s">
        <v>158</v>
      </c>
      <c r="E2778" s="59" t="str">
        <f aca="false">IF(L2778="","",IF(INDEX(ポート振替表!$O$5:$O$3507,$L2778)="","(未設定)",INDEX(ポート振替表!$O$5:$O$3507,$L2778)&amp;""))</f>
        <v/>
      </c>
      <c r="F2778" s="52" t="str">
        <f aca="false">IF(L2778="","",INDEX(ポート振替表!$K$5:$K$3507,$L2778)&amp;" "&amp;INDEX(ポート振替表!$L$5:$L$3507,$L2778)&amp;"  ⇔  "&amp;INDEX(ポート振替表!$H$5:$H$3507,$L2778)&amp;" "&amp;INDEX(ポート振替表!$I$5:$I$3507,$L2778))</f>
        <v/>
      </c>
      <c r="G2778" s="57" t="s">
        <v>158</v>
      </c>
      <c r="H2778" s="32" t="str">
        <f aca="false">IF(L2778="","",INDEX(ポート振替表!$N$5:$N$3507,$L2778)&amp;"")</f>
        <v/>
      </c>
      <c r="I2778" s="32" t="str">
        <f aca="false">IF(L2778="","",INDEX(ポート振替表!$P$5:$P$3507,$L2778)&amp;"")</f>
        <v/>
      </c>
      <c r="J2778" s="60" t="str">
        <f aca="false">IF(L2778="","",INDEX(ポート振替表!$M$5:$M$3507,$L2778)&amp;"")</f>
        <v/>
      </c>
      <c r="K2778" s="52" t="str">
        <f aca="false">IF(L2778="","",E2778&amp;CHAR(10)&amp;INDEX(ポート振替表!$K$5:$K$3507,$L2778)&amp;" "&amp;INDEX(ポート振替表!$L$5:$L$3507,$L2778)&amp;CHAR(10)&amp;"⇔ "&amp;INDEX(ポート振替表!$H$5:$H$3507,$L2778)&amp;" "&amp;INDEX(ポート振替表!$I$5:$I$3507,$L2778))</f>
        <v/>
      </c>
      <c r="L2778" s="47" t="str">
        <f aca="false">IFERROR(MATCH(ROW()-4,ポート振替表!$V$5:$V$3507,0),"")</f>
        <v/>
      </c>
    </row>
    <row r="2779" customFormat="false" ht="16.4" hidden="false" customHeight="false" outlineLevel="0" collapsed="false">
      <c r="A2779" s="32" t="str">
        <f aca="false">IF(L2779="","",ROW()-4)</f>
        <v/>
      </c>
      <c r="B2779" s="58" t="str">
        <f aca="false">IF(L2779="","",IF(INDEX(ポート振替表!$W$5:$W$3507,$L2779)="","(なし)",INDEX(ポート振替表!$W$5:$W$3507,$L2779)&amp;""))</f>
        <v/>
      </c>
      <c r="C2779" s="52" t="str">
        <f aca="false">IF(L2779="","",INDEX(ポート振替表!$B$5:$B$3507,$L2779)&amp;" "&amp;INDEX(ポート振替表!$C$5:$C$3507,$L2779)&amp;"  ⇔  "&amp;INDEX(ポート振替表!$H$5:$H$3507,$L2779)&amp;" "&amp;INDEX(ポート振替表!$I$5:$I$3507,$L2779))</f>
        <v/>
      </c>
      <c r="D2779" s="57" t="s">
        <v>158</v>
      </c>
      <c r="E2779" s="59" t="str">
        <f aca="false">IF(L2779="","",IF(INDEX(ポート振替表!$O$5:$O$3507,$L2779)="","(未設定)",INDEX(ポート振替表!$O$5:$O$3507,$L2779)&amp;""))</f>
        <v/>
      </c>
      <c r="F2779" s="52" t="str">
        <f aca="false">IF(L2779="","",INDEX(ポート振替表!$K$5:$K$3507,$L2779)&amp;" "&amp;INDEX(ポート振替表!$L$5:$L$3507,$L2779)&amp;"  ⇔  "&amp;INDEX(ポート振替表!$H$5:$H$3507,$L2779)&amp;" "&amp;INDEX(ポート振替表!$I$5:$I$3507,$L2779))</f>
        <v/>
      </c>
      <c r="G2779" s="57" t="s">
        <v>158</v>
      </c>
      <c r="H2779" s="32" t="str">
        <f aca="false">IF(L2779="","",INDEX(ポート振替表!$N$5:$N$3507,$L2779)&amp;"")</f>
        <v/>
      </c>
      <c r="I2779" s="32" t="str">
        <f aca="false">IF(L2779="","",INDEX(ポート振替表!$P$5:$P$3507,$L2779)&amp;"")</f>
        <v/>
      </c>
      <c r="J2779" s="60" t="str">
        <f aca="false">IF(L2779="","",INDEX(ポート振替表!$M$5:$M$3507,$L2779)&amp;"")</f>
        <v/>
      </c>
      <c r="K2779" s="52" t="str">
        <f aca="false">IF(L2779="","",E2779&amp;CHAR(10)&amp;INDEX(ポート振替表!$K$5:$K$3507,$L2779)&amp;" "&amp;INDEX(ポート振替表!$L$5:$L$3507,$L2779)&amp;CHAR(10)&amp;"⇔ "&amp;INDEX(ポート振替表!$H$5:$H$3507,$L2779)&amp;" "&amp;INDEX(ポート振替表!$I$5:$I$3507,$L2779))</f>
        <v/>
      </c>
      <c r="L2779" s="47" t="str">
        <f aca="false">IFERROR(MATCH(ROW()-4,ポート振替表!$V$5:$V$3507,0),"")</f>
        <v/>
      </c>
    </row>
    <row r="2780" customFormat="false" ht="16.4" hidden="false" customHeight="false" outlineLevel="0" collapsed="false">
      <c r="A2780" s="32" t="str">
        <f aca="false">IF(L2780="","",ROW()-4)</f>
        <v/>
      </c>
      <c r="B2780" s="58" t="str">
        <f aca="false">IF(L2780="","",IF(INDEX(ポート振替表!$W$5:$W$3507,$L2780)="","(なし)",INDEX(ポート振替表!$W$5:$W$3507,$L2780)&amp;""))</f>
        <v/>
      </c>
      <c r="C2780" s="52" t="str">
        <f aca="false">IF(L2780="","",INDEX(ポート振替表!$B$5:$B$3507,$L2780)&amp;" "&amp;INDEX(ポート振替表!$C$5:$C$3507,$L2780)&amp;"  ⇔  "&amp;INDEX(ポート振替表!$H$5:$H$3507,$L2780)&amp;" "&amp;INDEX(ポート振替表!$I$5:$I$3507,$L2780))</f>
        <v/>
      </c>
      <c r="D2780" s="57" t="s">
        <v>158</v>
      </c>
      <c r="E2780" s="59" t="str">
        <f aca="false">IF(L2780="","",IF(INDEX(ポート振替表!$O$5:$O$3507,$L2780)="","(未設定)",INDEX(ポート振替表!$O$5:$O$3507,$L2780)&amp;""))</f>
        <v/>
      </c>
      <c r="F2780" s="52" t="str">
        <f aca="false">IF(L2780="","",INDEX(ポート振替表!$K$5:$K$3507,$L2780)&amp;" "&amp;INDEX(ポート振替表!$L$5:$L$3507,$L2780)&amp;"  ⇔  "&amp;INDEX(ポート振替表!$H$5:$H$3507,$L2780)&amp;" "&amp;INDEX(ポート振替表!$I$5:$I$3507,$L2780))</f>
        <v/>
      </c>
      <c r="G2780" s="57" t="s">
        <v>158</v>
      </c>
      <c r="H2780" s="32" t="str">
        <f aca="false">IF(L2780="","",INDEX(ポート振替表!$N$5:$N$3507,$L2780)&amp;"")</f>
        <v/>
      </c>
      <c r="I2780" s="32" t="str">
        <f aca="false">IF(L2780="","",INDEX(ポート振替表!$P$5:$P$3507,$L2780)&amp;"")</f>
        <v/>
      </c>
      <c r="J2780" s="60" t="str">
        <f aca="false">IF(L2780="","",INDEX(ポート振替表!$M$5:$M$3507,$L2780)&amp;"")</f>
        <v/>
      </c>
      <c r="K2780" s="52" t="str">
        <f aca="false">IF(L2780="","",E2780&amp;CHAR(10)&amp;INDEX(ポート振替表!$K$5:$K$3507,$L2780)&amp;" "&amp;INDEX(ポート振替表!$L$5:$L$3507,$L2780)&amp;CHAR(10)&amp;"⇔ "&amp;INDEX(ポート振替表!$H$5:$H$3507,$L2780)&amp;" "&amp;INDEX(ポート振替表!$I$5:$I$3507,$L2780))</f>
        <v/>
      </c>
      <c r="L2780" s="47" t="str">
        <f aca="false">IFERROR(MATCH(ROW()-4,ポート振替表!$V$5:$V$3507,0),"")</f>
        <v/>
      </c>
    </row>
    <row r="2781" customFormat="false" ht="16.4" hidden="false" customHeight="false" outlineLevel="0" collapsed="false">
      <c r="A2781" s="32" t="str">
        <f aca="false">IF(L2781="","",ROW()-4)</f>
        <v/>
      </c>
      <c r="B2781" s="58" t="str">
        <f aca="false">IF(L2781="","",IF(INDEX(ポート振替表!$W$5:$W$3507,$L2781)="","(なし)",INDEX(ポート振替表!$W$5:$W$3507,$L2781)&amp;""))</f>
        <v/>
      </c>
      <c r="C2781" s="52" t="str">
        <f aca="false">IF(L2781="","",INDEX(ポート振替表!$B$5:$B$3507,$L2781)&amp;" "&amp;INDEX(ポート振替表!$C$5:$C$3507,$L2781)&amp;"  ⇔  "&amp;INDEX(ポート振替表!$H$5:$H$3507,$L2781)&amp;" "&amp;INDEX(ポート振替表!$I$5:$I$3507,$L2781))</f>
        <v/>
      </c>
      <c r="D2781" s="57" t="s">
        <v>158</v>
      </c>
      <c r="E2781" s="59" t="str">
        <f aca="false">IF(L2781="","",IF(INDEX(ポート振替表!$O$5:$O$3507,$L2781)="","(未設定)",INDEX(ポート振替表!$O$5:$O$3507,$L2781)&amp;""))</f>
        <v/>
      </c>
      <c r="F2781" s="52" t="str">
        <f aca="false">IF(L2781="","",INDEX(ポート振替表!$K$5:$K$3507,$L2781)&amp;" "&amp;INDEX(ポート振替表!$L$5:$L$3507,$L2781)&amp;"  ⇔  "&amp;INDEX(ポート振替表!$H$5:$H$3507,$L2781)&amp;" "&amp;INDEX(ポート振替表!$I$5:$I$3507,$L2781))</f>
        <v/>
      </c>
      <c r="G2781" s="57" t="s">
        <v>158</v>
      </c>
      <c r="H2781" s="32" t="str">
        <f aca="false">IF(L2781="","",INDEX(ポート振替表!$N$5:$N$3507,$L2781)&amp;"")</f>
        <v/>
      </c>
      <c r="I2781" s="32" t="str">
        <f aca="false">IF(L2781="","",INDEX(ポート振替表!$P$5:$P$3507,$L2781)&amp;"")</f>
        <v/>
      </c>
      <c r="J2781" s="60" t="str">
        <f aca="false">IF(L2781="","",INDEX(ポート振替表!$M$5:$M$3507,$L2781)&amp;"")</f>
        <v/>
      </c>
      <c r="K2781" s="52" t="str">
        <f aca="false">IF(L2781="","",E2781&amp;CHAR(10)&amp;INDEX(ポート振替表!$K$5:$K$3507,$L2781)&amp;" "&amp;INDEX(ポート振替表!$L$5:$L$3507,$L2781)&amp;CHAR(10)&amp;"⇔ "&amp;INDEX(ポート振替表!$H$5:$H$3507,$L2781)&amp;" "&amp;INDEX(ポート振替表!$I$5:$I$3507,$L2781))</f>
        <v/>
      </c>
      <c r="L2781" s="47" t="str">
        <f aca="false">IFERROR(MATCH(ROW()-4,ポート振替表!$V$5:$V$3507,0),"")</f>
        <v/>
      </c>
    </row>
    <row r="2782" customFormat="false" ht="16.4" hidden="false" customHeight="false" outlineLevel="0" collapsed="false">
      <c r="A2782" s="32" t="str">
        <f aca="false">IF(L2782="","",ROW()-4)</f>
        <v/>
      </c>
      <c r="B2782" s="58" t="str">
        <f aca="false">IF(L2782="","",IF(INDEX(ポート振替表!$W$5:$W$3507,$L2782)="","(なし)",INDEX(ポート振替表!$W$5:$W$3507,$L2782)&amp;""))</f>
        <v/>
      </c>
      <c r="C2782" s="52" t="str">
        <f aca="false">IF(L2782="","",INDEX(ポート振替表!$B$5:$B$3507,$L2782)&amp;" "&amp;INDEX(ポート振替表!$C$5:$C$3507,$L2782)&amp;"  ⇔  "&amp;INDEX(ポート振替表!$H$5:$H$3507,$L2782)&amp;" "&amp;INDEX(ポート振替表!$I$5:$I$3507,$L2782))</f>
        <v/>
      </c>
      <c r="D2782" s="57" t="s">
        <v>158</v>
      </c>
      <c r="E2782" s="59" t="str">
        <f aca="false">IF(L2782="","",IF(INDEX(ポート振替表!$O$5:$O$3507,$L2782)="","(未設定)",INDEX(ポート振替表!$O$5:$O$3507,$L2782)&amp;""))</f>
        <v/>
      </c>
      <c r="F2782" s="52" t="str">
        <f aca="false">IF(L2782="","",INDEX(ポート振替表!$K$5:$K$3507,$L2782)&amp;" "&amp;INDEX(ポート振替表!$L$5:$L$3507,$L2782)&amp;"  ⇔  "&amp;INDEX(ポート振替表!$H$5:$H$3507,$L2782)&amp;" "&amp;INDEX(ポート振替表!$I$5:$I$3507,$L2782))</f>
        <v/>
      </c>
      <c r="G2782" s="57" t="s">
        <v>158</v>
      </c>
      <c r="H2782" s="32" t="str">
        <f aca="false">IF(L2782="","",INDEX(ポート振替表!$N$5:$N$3507,$L2782)&amp;"")</f>
        <v/>
      </c>
      <c r="I2782" s="32" t="str">
        <f aca="false">IF(L2782="","",INDEX(ポート振替表!$P$5:$P$3507,$L2782)&amp;"")</f>
        <v/>
      </c>
      <c r="J2782" s="60" t="str">
        <f aca="false">IF(L2782="","",INDEX(ポート振替表!$M$5:$M$3507,$L2782)&amp;"")</f>
        <v/>
      </c>
      <c r="K2782" s="52" t="str">
        <f aca="false">IF(L2782="","",E2782&amp;CHAR(10)&amp;INDEX(ポート振替表!$K$5:$K$3507,$L2782)&amp;" "&amp;INDEX(ポート振替表!$L$5:$L$3507,$L2782)&amp;CHAR(10)&amp;"⇔ "&amp;INDEX(ポート振替表!$H$5:$H$3507,$L2782)&amp;" "&amp;INDEX(ポート振替表!$I$5:$I$3507,$L2782))</f>
        <v/>
      </c>
      <c r="L2782" s="47" t="str">
        <f aca="false">IFERROR(MATCH(ROW()-4,ポート振替表!$V$5:$V$3507,0),"")</f>
        <v/>
      </c>
    </row>
    <row r="2783" customFormat="false" ht="16.4" hidden="false" customHeight="false" outlineLevel="0" collapsed="false">
      <c r="A2783" s="32" t="str">
        <f aca="false">IF(L2783="","",ROW()-4)</f>
        <v/>
      </c>
      <c r="B2783" s="58" t="str">
        <f aca="false">IF(L2783="","",IF(INDEX(ポート振替表!$W$5:$W$3507,$L2783)="","(なし)",INDEX(ポート振替表!$W$5:$W$3507,$L2783)&amp;""))</f>
        <v/>
      </c>
      <c r="C2783" s="52" t="str">
        <f aca="false">IF(L2783="","",INDEX(ポート振替表!$B$5:$B$3507,$L2783)&amp;" "&amp;INDEX(ポート振替表!$C$5:$C$3507,$L2783)&amp;"  ⇔  "&amp;INDEX(ポート振替表!$H$5:$H$3507,$L2783)&amp;" "&amp;INDEX(ポート振替表!$I$5:$I$3507,$L2783))</f>
        <v/>
      </c>
      <c r="D2783" s="57" t="s">
        <v>158</v>
      </c>
      <c r="E2783" s="59" t="str">
        <f aca="false">IF(L2783="","",IF(INDEX(ポート振替表!$O$5:$O$3507,$L2783)="","(未設定)",INDEX(ポート振替表!$O$5:$O$3507,$L2783)&amp;""))</f>
        <v/>
      </c>
      <c r="F2783" s="52" t="str">
        <f aca="false">IF(L2783="","",INDEX(ポート振替表!$K$5:$K$3507,$L2783)&amp;" "&amp;INDEX(ポート振替表!$L$5:$L$3507,$L2783)&amp;"  ⇔  "&amp;INDEX(ポート振替表!$H$5:$H$3507,$L2783)&amp;" "&amp;INDEX(ポート振替表!$I$5:$I$3507,$L2783))</f>
        <v/>
      </c>
      <c r="G2783" s="57" t="s">
        <v>158</v>
      </c>
      <c r="H2783" s="32" t="str">
        <f aca="false">IF(L2783="","",INDEX(ポート振替表!$N$5:$N$3507,$L2783)&amp;"")</f>
        <v/>
      </c>
      <c r="I2783" s="32" t="str">
        <f aca="false">IF(L2783="","",INDEX(ポート振替表!$P$5:$P$3507,$L2783)&amp;"")</f>
        <v/>
      </c>
      <c r="J2783" s="60" t="str">
        <f aca="false">IF(L2783="","",INDEX(ポート振替表!$M$5:$M$3507,$L2783)&amp;"")</f>
        <v/>
      </c>
      <c r="K2783" s="52" t="str">
        <f aca="false">IF(L2783="","",E2783&amp;CHAR(10)&amp;INDEX(ポート振替表!$K$5:$K$3507,$L2783)&amp;" "&amp;INDEX(ポート振替表!$L$5:$L$3507,$L2783)&amp;CHAR(10)&amp;"⇔ "&amp;INDEX(ポート振替表!$H$5:$H$3507,$L2783)&amp;" "&amp;INDEX(ポート振替表!$I$5:$I$3507,$L2783))</f>
        <v/>
      </c>
      <c r="L2783" s="47" t="str">
        <f aca="false">IFERROR(MATCH(ROW()-4,ポート振替表!$V$5:$V$3507,0),"")</f>
        <v/>
      </c>
    </row>
    <row r="2784" customFormat="false" ht="16.4" hidden="false" customHeight="false" outlineLevel="0" collapsed="false">
      <c r="A2784" s="32" t="str">
        <f aca="false">IF(L2784="","",ROW()-4)</f>
        <v/>
      </c>
      <c r="B2784" s="58" t="str">
        <f aca="false">IF(L2784="","",IF(INDEX(ポート振替表!$W$5:$W$3507,$L2784)="","(なし)",INDEX(ポート振替表!$W$5:$W$3507,$L2784)&amp;""))</f>
        <v/>
      </c>
      <c r="C2784" s="52" t="str">
        <f aca="false">IF(L2784="","",INDEX(ポート振替表!$B$5:$B$3507,$L2784)&amp;" "&amp;INDEX(ポート振替表!$C$5:$C$3507,$L2784)&amp;"  ⇔  "&amp;INDEX(ポート振替表!$H$5:$H$3507,$L2784)&amp;" "&amp;INDEX(ポート振替表!$I$5:$I$3507,$L2784))</f>
        <v/>
      </c>
      <c r="D2784" s="57" t="s">
        <v>158</v>
      </c>
      <c r="E2784" s="59" t="str">
        <f aca="false">IF(L2784="","",IF(INDEX(ポート振替表!$O$5:$O$3507,$L2784)="","(未設定)",INDEX(ポート振替表!$O$5:$O$3507,$L2784)&amp;""))</f>
        <v/>
      </c>
      <c r="F2784" s="52" t="str">
        <f aca="false">IF(L2784="","",INDEX(ポート振替表!$K$5:$K$3507,$L2784)&amp;" "&amp;INDEX(ポート振替表!$L$5:$L$3507,$L2784)&amp;"  ⇔  "&amp;INDEX(ポート振替表!$H$5:$H$3507,$L2784)&amp;" "&amp;INDEX(ポート振替表!$I$5:$I$3507,$L2784))</f>
        <v/>
      </c>
      <c r="G2784" s="57" t="s">
        <v>158</v>
      </c>
      <c r="H2784" s="32" t="str">
        <f aca="false">IF(L2784="","",INDEX(ポート振替表!$N$5:$N$3507,$L2784)&amp;"")</f>
        <v/>
      </c>
      <c r="I2784" s="32" t="str">
        <f aca="false">IF(L2784="","",INDEX(ポート振替表!$P$5:$P$3507,$L2784)&amp;"")</f>
        <v/>
      </c>
      <c r="J2784" s="60" t="str">
        <f aca="false">IF(L2784="","",INDEX(ポート振替表!$M$5:$M$3507,$L2784)&amp;"")</f>
        <v/>
      </c>
      <c r="K2784" s="52" t="str">
        <f aca="false">IF(L2784="","",E2784&amp;CHAR(10)&amp;INDEX(ポート振替表!$K$5:$K$3507,$L2784)&amp;" "&amp;INDEX(ポート振替表!$L$5:$L$3507,$L2784)&amp;CHAR(10)&amp;"⇔ "&amp;INDEX(ポート振替表!$H$5:$H$3507,$L2784)&amp;" "&amp;INDEX(ポート振替表!$I$5:$I$3507,$L2784))</f>
        <v/>
      </c>
      <c r="L2784" s="47" t="str">
        <f aca="false">IFERROR(MATCH(ROW()-4,ポート振替表!$V$5:$V$3507,0),"")</f>
        <v/>
      </c>
    </row>
    <row r="2785" customFormat="false" ht="16.4" hidden="false" customHeight="false" outlineLevel="0" collapsed="false">
      <c r="A2785" s="32" t="str">
        <f aca="false">IF(L2785="","",ROW()-4)</f>
        <v/>
      </c>
      <c r="B2785" s="58" t="str">
        <f aca="false">IF(L2785="","",IF(INDEX(ポート振替表!$W$5:$W$3507,$L2785)="","(なし)",INDEX(ポート振替表!$W$5:$W$3507,$L2785)&amp;""))</f>
        <v/>
      </c>
      <c r="C2785" s="52" t="str">
        <f aca="false">IF(L2785="","",INDEX(ポート振替表!$B$5:$B$3507,$L2785)&amp;" "&amp;INDEX(ポート振替表!$C$5:$C$3507,$L2785)&amp;"  ⇔  "&amp;INDEX(ポート振替表!$H$5:$H$3507,$L2785)&amp;" "&amp;INDEX(ポート振替表!$I$5:$I$3507,$L2785))</f>
        <v/>
      </c>
      <c r="D2785" s="57" t="s">
        <v>158</v>
      </c>
      <c r="E2785" s="59" t="str">
        <f aca="false">IF(L2785="","",IF(INDEX(ポート振替表!$O$5:$O$3507,$L2785)="","(未設定)",INDEX(ポート振替表!$O$5:$O$3507,$L2785)&amp;""))</f>
        <v/>
      </c>
      <c r="F2785" s="52" t="str">
        <f aca="false">IF(L2785="","",INDEX(ポート振替表!$K$5:$K$3507,$L2785)&amp;" "&amp;INDEX(ポート振替表!$L$5:$L$3507,$L2785)&amp;"  ⇔  "&amp;INDEX(ポート振替表!$H$5:$H$3507,$L2785)&amp;" "&amp;INDEX(ポート振替表!$I$5:$I$3507,$L2785))</f>
        <v/>
      </c>
      <c r="G2785" s="57" t="s">
        <v>158</v>
      </c>
      <c r="H2785" s="32" t="str">
        <f aca="false">IF(L2785="","",INDEX(ポート振替表!$N$5:$N$3507,$L2785)&amp;"")</f>
        <v/>
      </c>
      <c r="I2785" s="32" t="str">
        <f aca="false">IF(L2785="","",INDEX(ポート振替表!$P$5:$P$3507,$L2785)&amp;"")</f>
        <v/>
      </c>
      <c r="J2785" s="60" t="str">
        <f aca="false">IF(L2785="","",INDEX(ポート振替表!$M$5:$M$3507,$L2785)&amp;"")</f>
        <v/>
      </c>
      <c r="K2785" s="52" t="str">
        <f aca="false">IF(L2785="","",E2785&amp;CHAR(10)&amp;INDEX(ポート振替表!$K$5:$K$3507,$L2785)&amp;" "&amp;INDEX(ポート振替表!$L$5:$L$3507,$L2785)&amp;CHAR(10)&amp;"⇔ "&amp;INDEX(ポート振替表!$H$5:$H$3507,$L2785)&amp;" "&amp;INDEX(ポート振替表!$I$5:$I$3507,$L2785))</f>
        <v/>
      </c>
      <c r="L2785" s="47" t="str">
        <f aca="false">IFERROR(MATCH(ROW()-4,ポート振替表!$V$5:$V$3507,0),"")</f>
        <v/>
      </c>
    </row>
    <row r="2786" customFormat="false" ht="16.4" hidden="false" customHeight="false" outlineLevel="0" collapsed="false">
      <c r="A2786" s="32" t="str">
        <f aca="false">IF(L2786="","",ROW()-4)</f>
        <v/>
      </c>
      <c r="B2786" s="58" t="str">
        <f aca="false">IF(L2786="","",IF(INDEX(ポート振替表!$W$5:$W$3507,$L2786)="","(なし)",INDEX(ポート振替表!$W$5:$W$3507,$L2786)&amp;""))</f>
        <v/>
      </c>
      <c r="C2786" s="52" t="str">
        <f aca="false">IF(L2786="","",INDEX(ポート振替表!$B$5:$B$3507,$L2786)&amp;" "&amp;INDEX(ポート振替表!$C$5:$C$3507,$L2786)&amp;"  ⇔  "&amp;INDEX(ポート振替表!$H$5:$H$3507,$L2786)&amp;" "&amp;INDEX(ポート振替表!$I$5:$I$3507,$L2786))</f>
        <v/>
      </c>
      <c r="D2786" s="57" t="s">
        <v>158</v>
      </c>
      <c r="E2786" s="59" t="str">
        <f aca="false">IF(L2786="","",IF(INDEX(ポート振替表!$O$5:$O$3507,$L2786)="","(未設定)",INDEX(ポート振替表!$O$5:$O$3507,$L2786)&amp;""))</f>
        <v/>
      </c>
      <c r="F2786" s="52" t="str">
        <f aca="false">IF(L2786="","",INDEX(ポート振替表!$K$5:$K$3507,$L2786)&amp;" "&amp;INDEX(ポート振替表!$L$5:$L$3507,$L2786)&amp;"  ⇔  "&amp;INDEX(ポート振替表!$H$5:$H$3507,$L2786)&amp;" "&amp;INDEX(ポート振替表!$I$5:$I$3507,$L2786))</f>
        <v/>
      </c>
      <c r="G2786" s="57" t="s">
        <v>158</v>
      </c>
      <c r="H2786" s="32" t="str">
        <f aca="false">IF(L2786="","",INDEX(ポート振替表!$N$5:$N$3507,$L2786)&amp;"")</f>
        <v/>
      </c>
      <c r="I2786" s="32" t="str">
        <f aca="false">IF(L2786="","",INDEX(ポート振替表!$P$5:$P$3507,$L2786)&amp;"")</f>
        <v/>
      </c>
      <c r="J2786" s="60" t="str">
        <f aca="false">IF(L2786="","",INDEX(ポート振替表!$M$5:$M$3507,$L2786)&amp;"")</f>
        <v/>
      </c>
      <c r="K2786" s="52" t="str">
        <f aca="false">IF(L2786="","",E2786&amp;CHAR(10)&amp;INDEX(ポート振替表!$K$5:$K$3507,$L2786)&amp;" "&amp;INDEX(ポート振替表!$L$5:$L$3507,$L2786)&amp;CHAR(10)&amp;"⇔ "&amp;INDEX(ポート振替表!$H$5:$H$3507,$L2786)&amp;" "&amp;INDEX(ポート振替表!$I$5:$I$3507,$L2786))</f>
        <v/>
      </c>
      <c r="L2786" s="47" t="str">
        <f aca="false">IFERROR(MATCH(ROW()-4,ポート振替表!$V$5:$V$3507,0),"")</f>
        <v/>
      </c>
    </row>
    <row r="2787" customFormat="false" ht="16.4" hidden="false" customHeight="false" outlineLevel="0" collapsed="false">
      <c r="A2787" s="32" t="str">
        <f aca="false">IF(L2787="","",ROW()-4)</f>
        <v/>
      </c>
      <c r="B2787" s="58" t="str">
        <f aca="false">IF(L2787="","",IF(INDEX(ポート振替表!$W$5:$W$3507,$L2787)="","(なし)",INDEX(ポート振替表!$W$5:$W$3507,$L2787)&amp;""))</f>
        <v/>
      </c>
      <c r="C2787" s="52" t="str">
        <f aca="false">IF(L2787="","",INDEX(ポート振替表!$B$5:$B$3507,$L2787)&amp;" "&amp;INDEX(ポート振替表!$C$5:$C$3507,$L2787)&amp;"  ⇔  "&amp;INDEX(ポート振替表!$H$5:$H$3507,$L2787)&amp;" "&amp;INDEX(ポート振替表!$I$5:$I$3507,$L2787))</f>
        <v/>
      </c>
      <c r="D2787" s="57" t="s">
        <v>158</v>
      </c>
      <c r="E2787" s="59" t="str">
        <f aca="false">IF(L2787="","",IF(INDEX(ポート振替表!$O$5:$O$3507,$L2787)="","(未設定)",INDEX(ポート振替表!$O$5:$O$3507,$L2787)&amp;""))</f>
        <v/>
      </c>
      <c r="F2787" s="52" t="str">
        <f aca="false">IF(L2787="","",INDEX(ポート振替表!$K$5:$K$3507,$L2787)&amp;" "&amp;INDEX(ポート振替表!$L$5:$L$3507,$L2787)&amp;"  ⇔  "&amp;INDEX(ポート振替表!$H$5:$H$3507,$L2787)&amp;" "&amp;INDEX(ポート振替表!$I$5:$I$3507,$L2787))</f>
        <v/>
      </c>
      <c r="G2787" s="57" t="s">
        <v>158</v>
      </c>
      <c r="H2787" s="32" t="str">
        <f aca="false">IF(L2787="","",INDEX(ポート振替表!$N$5:$N$3507,$L2787)&amp;"")</f>
        <v/>
      </c>
      <c r="I2787" s="32" t="str">
        <f aca="false">IF(L2787="","",INDEX(ポート振替表!$P$5:$P$3507,$L2787)&amp;"")</f>
        <v/>
      </c>
      <c r="J2787" s="60" t="str">
        <f aca="false">IF(L2787="","",INDEX(ポート振替表!$M$5:$M$3507,$L2787)&amp;"")</f>
        <v/>
      </c>
      <c r="K2787" s="52" t="str">
        <f aca="false">IF(L2787="","",E2787&amp;CHAR(10)&amp;INDEX(ポート振替表!$K$5:$K$3507,$L2787)&amp;" "&amp;INDEX(ポート振替表!$L$5:$L$3507,$L2787)&amp;CHAR(10)&amp;"⇔ "&amp;INDEX(ポート振替表!$H$5:$H$3507,$L2787)&amp;" "&amp;INDEX(ポート振替表!$I$5:$I$3507,$L2787))</f>
        <v/>
      </c>
      <c r="L2787" s="47" t="str">
        <f aca="false">IFERROR(MATCH(ROW()-4,ポート振替表!$V$5:$V$3507,0),"")</f>
        <v/>
      </c>
    </row>
    <row r="2788" customFormat="false" ht="16.4" hidden="false" customHeight="false" outlineLevel="0" collapsed="false">
      <c r="A2788" s="32" t="str">
        <f aca="false">IF(L2788="","",ROW()-4)</f>
        <v/>
      </c>
      <c r="B2788" s="58" t="str">
        <f aca="false">IF(L2788="","",IF(INDEX(ポート振替表!$W$5:$W$3507,$L2788)="","(なし)",INDEX(ポート振替表!$W$5:$W$3507,$L2788)&amp;""))</f>
        <v/>
      </c>
      <c r="C2788" s="52" t="str">
        <f aca="false">IF(L2788="","",INDEX(ポート振替表!$B$5:$B$3507,$L2788)&amp;" "&amp;INDEX(ポート振替表!$C$5:$C$3507,$L2788)&amp;"  ⇔  "&amp;INDEX(ポート振替表!$H$5:$H$3507,$L2788)&amp;" "&amp;INDEX(ポート振替表!$I$5:$I$3507,$L2788))</f>
        <v/>
      </c>
      <c r="D2788" s="57" t="s">
        <v>158</v>
      </c>
      <c r="E2788" s="59" t="str">
        <f aca="false">IF(L2788="","",IF(INDEX(ポート振替表!$O$5:$O$3507,$L2788)="","(未設定)",INDEX(ポート振替表!$O$5:$O$3507,$L2788)&amp;""))</f>
        <v/>
      </c>
      <c r="F2788" s="52" t="str">
        <f aca="false">IF(L2788="","",INDEX(ポート振替表!$K$5:$K$3507,$L2788)&amp;" "&amp;INDEX(ポート振替表!$L$5:$L$3507,$L2788)&amp;"  ⇔  "&amp;INDEX(ポート振替表!$H$5:$H$3507,$L2788)&amp;" "&amp;INDEX(ポート振替表!$I$5:$I$3507,$L2788))</f>
        <v/>
      </c>
      <c r="G2788" s="57" t="s">
        <v>158</v>
      </c>
      <c r="H2788" s="32" t="str">
        <f aca="false">IF(L2788="","",INDEX(ポート振替表!$N$5:$N$3507,$L2788)&amp;"")</f>
        <v/>
      </c>
      <c r="I2788" s="32" t="str">
        <f aca="false">IF(L2788="","",INDEX(ポート振替表!$P$5:$P$3507,$L2788)&amp;"")</f>
        <v/>
      </c>
      <c r="J2788" s="60" t="str">
        <f aca="false">IF(L2788="","",INDEX(ポート振替表!$M$5:$M$3507,$L2788)&amp;"")</f>
        <v/>
      </c>
      <c r="K2788" s="52" t="str">
        <f aca="false">IF(L2788="","",E2788&amp;CHAR(10)&amp;INDEX(ポート振替表!$K$5:$K$3507,$L2788)&amp;" "&amp;INDEX(ポート振替表!$L$5:$L$3507,$L2788)&amp;CHAR(10)&amp;"⇔ "&amp;INDEX(ポート振替表!$H$5:$H$3507,$L2788)&amp;" "&amp;INDEX(ポート振替表!$I$5:$I$3507,$L2788))</f>
        <v/>
      </c>
      <c r="L2788" s="47" t="str">
        <f aca="false">IFERROR(MATCH(ROW()-4,ポート振替表!$V$5:$V$3507,0),"")</f>
        <v/>
      </c>
    </row>
    <row r="2789" customFormat="false" ht="16.4" hidden="false" customHeight="false" outlineLevel="0" collapsed="false">
      <c r="A2789" s="32" t="str">
        <f aca="false">IF(L2789="","",ROW()-4)</f>
        <v/>
      </c>
      <c r="B2789" s="58" t="str">
        <f aca="false">IF(L2789="","",IF(INDEX(ポート振替表!$W$5:$W$3507,$L2789)="","(なし)",INDEX(ポート振替表!$W$5:$W$3507,$L2789)&amp;""))</f>
        <v/>
      </c>
      <c r="C2789" s="52" t="str">
        <f aca="false">IF(L2789="","",INDEX(ポート振替表!$B$5:$B$3507,$L2789)&amp;" "&amp;INDEX(ポート振替表!$C$5:$C$3507,$L2789)&amp;"  ⇔  "&amp;INDEX(ポート振替表!$H$5:$H$3507,$L2789)&amp;" "&amp;INDEX(ポート振替表!$I$5:$I$3507,$L2789))</f>
        <v/>
      </c>
      <c r="D2789" s="57" t="s">
        <v>158</v>
      </c>
      <c r="E2789" s="59" t="str">
        <f aca="false">IF(L2789="","",IF(INDEX(ポート振替表!$O$5:$O$3507,$L2789)="","(未設定)",INDEX(ポート振替表!$O$5:$O$3507,$L2789)&amp;""))</f>
        <v/>
      </c>
      <c r="F2789" s="52" t="str">
        <f aca="false">IF(L2789="","",INDEX(ポート振替表!$K$5:$K$3507,$L2789)&amp;" "&amp;INDEX(ポート振替表!$L$5:$L$3507,$L2789)&amp;"  ⇔  "&amp;INDEX(ポート振替表!$H$5:$H$3507,$L2789)&amp;" "&amp;INDEX(ポート振替表!$I$5:$I$3507,$L2789))</f>
        <v/>
      </c>
      <c r="G2789" s="57" t="s">
        <v>158</v>
      </c>
      <c r="H2789" s="32" t="str">
        <f aca="false">IF(L2789="","",INDEX(ポート振替表!$N$5:$N$3507,$L2789)&amp;"")</f>
        <v/>
      </c>
      <c r="I2789" s="32" t="str">
        <f aca="false">IF(L2789="","",INDEX(ポート振替表!$P$5:$P$3507,$L2789)&amp;"")</f>
        <v/>
      </c>
      <c r="J2789" s="60" t="str">
        <f aca="false">IF(L2789="","",INDEX(ポート振替表!$M$5:$M$3507,$L2789)&amp;"")</f>
        <v/>
      </c>
      <c r="K2789" s="52" t="str">
        <f aca="false">IF(L2789="","",E2789&amp;CHAR(10)&amp;INDEX(ポート振替表!$K$5:$K$3507,$L2789)&amp;" "&amp;INDEX(ポート振替表!$L$5:$L$3507,$L2789)&amp;CHAR(10)&amp;"⇔ "&amp;INDEX(ポート振替表!$H$5:$H$3507,$L2789)&amp;" "&amp;INDEX(ポート振替表!$I$5:$I$3507,$L2789))</f>
        <v/>
      </c>
      <c r="L2789" s="47" t="str">
        <f aca="false">IFERROR(MATCH(ROW()-4,ポート振替表!$V$5:$V$3507,0),"")</f>
        <v/>
      </c>
    </row>
    <row r="2790" customFormat="false" ht="16.4" hidden="false" customHeight="false" outlineLevel="0" collapsed="false">
      <c r="A2790" s="32" t="str">
        <f aca="false">IF(L2790="","",ROW()-4)</f>
        <v/>
      </c>
      <c r="B2790" s="58" t="str">
        <f aca="false">IF(L2790="","",IF(INDEX(ポート振替表!$W$5:$W$3507,$L2790)="","(なし)",INDEX(ポート振替表!$W$5:$W$3507,$L2790)&amp;""))</f>
        <v/>
      </c>
      <c r="C2790" s="52" t="str">
        <f aca="false">IF(L2790="","",INDEX(ポート振替表!$B$5:$B$3507,$L2790)&amp;" "&amp;INDEX(ポート振替表!$C$5:$C$3507,$L2790)&amp;"  ⇔  "&amp;INDEX(ポート振替表!$H$5:$H$3507,$L2790)&amp;" "&amp;INDEX(ポート振替表!$I$5:$I$3507,$L2790))</f>
        <v/>
      </c>
      <c r="D2790" s="57" t="s">
        <v>158</v>
      </c>
      <c r="E2790" s="59" t="str">
        <f aca="false">IF(L2790="","",IF(INDEX(ポート振替表!$O$5:$O$3507,$L2790)="","(未設定)",INDEX(ポート振替表!$O$5:$O$3507,$L2790)&amp;""))</f>
        <v/>
      </c>
      <c r="F2790" s="52" t="str">
        <f aca="false">IF(L2790="","",INDEX(ポート振替表!$K$5:$K$3507,$L2790)&amp;" "&amp;INDEX(ポート振替表!$L$5:$L$3507,$L2790)&amp;"  ⇔  "&amp;INDEX(ポート振替表!$H$5:$H$3507,$L2790)&amp;" "&amp;INDEX(ポート振替表!$I$5:$I$3507,$L2790))</f>
        <v/>
      </c>
      <c r="G2790" s="57" t="s">
        <v>158</v>
      </c>
      <c r="H2790" s="32" t="str">
        <f aca="false">IF(L2790="","",INDEX(ポート振替表!$N$5:$N$3507,$L2790)&amp;"")</f>
        <v/>
      </c>
      <c r="I2790" s="32" t="str">
        <f aca="false">IF(L2790="","",INDEX(ポート振替表!$P$5:$P$3507,$L2790)&amp;"")</f>
        <v/>
      </c>
      <c r="J2790" s="60" t="str">
        <f aca="false">IF(L2790="","",INDEX(ポート振替表!$M$5:$M$3507,$L2790)&amp;"")</f>
        <v/>
      </c>
      <c r="K2790" s="52" t="str">
        <f aca="false">IF(L2790="","",E2790&amp;CHAR(10)&amp;INDEX(ポート振替表!$K$5:$K$3507,$L2790)&amp;" "&amp;INDEX(ポート振替表!$L$5:$L$3507,$L2790)&amp;CHAR(10)&amp;"⇔ "&amp;INDEX(ポート振替表!$H$5:$H$3507,$L2790)&amp;" "&amp;INDEX(ポート振替表!$I$5:$I$3507,$L2790))</f>
        <v/>
      </c>
      <c r="L2790" s="47" t="str">
        <f aca="false">IFERROR(MATCH(ROW()-4,ポート振替表!$V$5:$V$3507,0),"")</f>
        <v/>
      </c>
    </row>
    <row r="2791" customFormat="false" ht="16.4" hidden="false" customHeight="false" outlineLevel="0" collapsed="false">
      <c r="A2791" s="32" t="str">
        <f aca="false">IF(L2791="","",ROW()-4)</f>
        <v/>
      </c>
      <c r="B2791" s="58" t="str">
        <f aca="false">IF(L2791="","",IF(INDEX(ポート振替表!$W$5:$W$3507,$L2791)="","(なし)",INDEX(ポート振替表!$W$5:$W$3507,$L2791)&amp;""))</f>
        <v/>
      </c>
      <c r="C2791" s="52" t="str">
        <f aca="false">IF(L2791="","",INDEX(ポート振替表!$B$5:$B$3507,$L2791)&amp;" "&amp;INDEX(ポート振替表!$C$5:$C$3507,$L2791)&amp;"  ⇔  "&amp;INDEX(ポート振替表!$H$5:$H$3507,$L2791)&amp;" "&amp;INDEX(ポート振替表!$I$5:$I$3507,$L2791))</f>
        <v/>
      </c>
      <c r="D2791" s="57" t="s">
        <v>158</v>
      </c>
      <c r="E2791" s="59" t="str">
        <f aca="false">IF(L2791="","",IF(INDEX(ポート振替表!$O$5:$O$3507,$L2791)="","(未設定)",INDEX(ポート振替表!$O$5:$O$3507,$L2791)&amp;""))</f>
        <v/>
      </c>
      <c r="F2791" s="52" t="str">
        <f aca="false">IF(L2791="","",INDEX(ポート振替表!$K$5:$K$3507,$L2791)&amp;" "&amp;INDEX(ポート振替表!$L$5:$L$3507,$L2791)&amp;"  ⇔  "&amp;INDEX(ポート振替表!$H$5:$H$3507,$L2791)&amp;" "&amp;INDEX(ポート振替表!$I$5:$I$3507,$L2791))</f>
        <v/>
      </c>
      <c r="G2791" s="57" t="s">
        <v>158</v>
      </c>
      <c r="H2791" s="32" t="str">
        <f aca="false">IF(L2791="","",INDEX(ポート振替表!$N$5:$N$3507,$L2791)&amp;"")</f>
        <v/>
      </c>
      <c r="I2791" s="32" t="str">
        <f aca="false">IF(L2791="","",INDEX(ポート振替表!$P$5:$P$3507,$L2791)&amp;"")</f>
        <v/>
      </c>
      <c r="J2791" s="60" t="str">
        <f aca="false">IF(L2791="","",INDEX(ポート振替表!$M$5:$M$3507,$L2791)&amp;"")</f>
        <v/>
      </c>
      <c r="K2791" s="52" t="str">
        <f aca="false">IF(L2791="","",E2791&amp;CHAR(10)&amp;INDEX(ポート振替表!$K$5:$K$3507,$L2791)&amp;" "&amp;INDEX(ポート振替表!$L$5:$L$3507,$L2791)&amp;CHAR(10)&amp;"⇔ "&amp;INDEX(ポート振替表!$H$5:$H$3507,$L2791)&amp;" "&amp;INDEX(ポート振替表!$I$5:$I$3507,$L2791))</f>
        <v/>
      </c>
      <c r="L2791" s="47" t="str">
        <f aca="false">IFERROR(MATCH(ROW()-4,ポート振替表!$V$5:$V$3507,0),"")</f>
        <v/>
      </c>
    </row>
    <row r="2792" customFormat="false" ht="16.4" hidden="false" customHeight="false" outlineLevel="0" collapsed="false">
      <c r="A2792" s="32" t="str">
        <f aca="false">IF(L2792="","",ROW()-4)</f>
        <v/>
      </c>
      <c r="B2792" s="58" t="str">
        <f aca="false">IF(L2792="","",IF(INDEX(ポート振替表!$W$5:$W$3507,$L2792)="","(なし)",INDEX(ポート振替表!$W$5:$W$3507,$L2792)&amp;""))</f>
        <v/>
      </c>
      <c r="C2792" s="52" t="str">
        <f aca="false">IF(L2792="","",INDEX(ポート振替表!$B$5:$B$3507,$L2792)&amp;" "&amp;INDEX(ポート振替表!$C$5:$C$3507,$L2792)&amp;"  ⇔  "&amp;INDEX(ポート振替表!$H$5:$H$3507,$L2792)&amp;" "&amp;INDEX(ポート振替表!$I$5:$I$3507,$L2792))</f>
        <v/>
      </c>
      <c r="D2792" s="57" t="s">
        <v>158</v>
      </c>
      <c r="E2792" s="59" t="str">
        <f aca="false">IF(L2792="","",IF(INDEX(ポート振替表!$O$5:$O$3507,$L2792)="","(未設定)",INDEX(ポート振替表!$O$5:$O$3507,$L2792)&amp;""))</f>
        <v/>
      </c>
      <c r="F2792" s="52" t="str">
        <f aca="false">IF(L2792="","",INDEX(ポート振替表!$K$5:$K$3507,$L2792)&amp;" "&amp;INDEX(ポート振替表!$L$5:$L$3507,$L2792)&amp;"  ⇔  "&amp;INDEX(ポート振替表!$H$5:$H$3507,$L2792)&amp;" "&amp;INDEX(ポート振替表!$I$5:$I$3507,$L2792))</f>
        <v/>
      </c>
      <c r="G2792" s="57" t="s">
        <v>158</v>
      </c>
      <c r="H2792" s="32" t="str">
        <f aca="false">IF(L2792="","",INDEX(ポート振替表!$N$5:$N$3507,$L2792)&amp;"")</f>
        <v/>
      </c>
      <c r="I2792" s="32" t="str">
        <f aca="false">IF(L2792="","",INDEX(ポート振替表!$P$5:$P$3507,$L2792)&amp;"")</f>
        <v/>
      </c>
      <c r="J2792" s="60" t="str">
        <f aca="false">IF(L2792="","",INDEX(ポート振替表!$M$5:$M$3507,$L2792)&amp;"")</f>
        <v/>
      </c>
      <c r="K2792" s="52" t="str">
        <f aca="false">IF(L2792="","",E2792&amp;CHAR(10)&amp;INDEX(ポート振替表!$K$5:$K$3507,$L2792)&amp;" "&amp;INDEX(ポート振替表!$L$5:$L$3507,$L2792)&amp;CHAR(10)&amp;"⇔ "&amp;INDEX(ポート振替表!$H$5:$H$3507,$L2792)&amp;" "&amp;INDEX(ポート振替表!$I$5:$I$3507,$L2792))</f>
        <v/>
      </c>
      <c r="L2792" s="47" t="str">
        <f aca="false">IFERROR(MATCH(ROW()-4,ポート振替表!$V$5:$V$3507,0),"")</f>
        <v/>
      </c>
    </row>
    <row r="2793" customFormat="false" ht="16.4" hidden="false" customHeight="false" outlineLevel="0" collapsed="false">
      <c r="A2793" s="32" t="str">
        <f aca="false">IF(L2793="","",ROW()-4)</f>
        <v/>
      </c>
      <c r="B2793" s="58" t="str">
        <f aca="false">IF(L2793="","",IF(INDEX(ポート振替表!$W$5:$W$3507,$L2793)="","(なし)",INDEX(ポート振替表!$W$5:$W$3507,$L2793)&amp;""))</f>
        <v/>
      </c>
      <c r="C2793" s="52" t="str">
        <f aca="false">IF(L2793="","",INDEX(ポート振替表!$B$5:$B$3507,$L2793)&amp;" "&amp;INDEX(ポート振替表!$C$5:$C$3507,$L2793)&amp;"  ⇔  "&amp;INDEX(ポート振替表!$H$5:$H$3507,$L2793)&amp;" "&amp;INDEX(ポート振替表!$I$5:$I$3507,$L2793))</f>
        <v/>
      </c>
      <c r="D2793" s="57" t="s">
        <v>158</v>
      </c>
      <c r="E2793" s="59" t="str">
        <f aca="false">IF(L2793="","",IF(INDEX(ポート振替表!$O$5:$O$3507,$L2793)="","(未設定)",INDEX(ポート振替表!$O$5:$O$3507,$L2793)&amp;""))</f>
        <v/>
      </c>
      <c r="F2793" s="52" t="str">
        <f aca="false">IF(L2793="","",INDEX(ポート振替表!$K$5:$K$3507,$L2793)&amp;" "&amp;INDEX(ポート振替表!$L$5:$L$3507,$L2793)&amp;"  ⇔  "&amp;INDEX(ポート振替表!$H$5:$H$3507,$L2793)&amp;" "&amp;INDEX(ポート振替表!$I$5:$I$3507,$L2793))</f>
        <v/>
      </c>
      <c r="G2793" s="57" t="s">
        <v>158</v>
      </c>
      <c r="H2793" s="32" t="str">
        <f aca="false">IF(L2793="","",INDEX(ポート振替表!$N$5:$N$3507,$L2793)&amp;"")</f>
        <v/>
      </c>
      <c r="I2793" s="32" t="str">
        <f aca="false">IF(L2793="","",INDEX(ポート振替表!$P$5:$P$3507,$L2793)&amp;"")</f>
        <v/>
      </c>
      <c r="J2793" s="60" t="str">
        <f aca="false">IF(L2793="","",INDEX(ポート振替表!$M$5:$M$3507,$L2793)&amp;"")</f>
        <v/>
      </c>
      <c r="K2793" s="52" t="str">
        <f aca="false">IF(L2793="","",E2793&amp;CHAR(10)&amp;INDEX(ポート振替表!$K$5:$K$3507,$L2793)&amp;" "&amp;INDEX(ポート振替表!$L$5:$L$3507,$L2793)&amp;CHAR(10)&amp;"⇔ "&amp;INDEX(ポート振替表!$H$5:$H$3507,$L2793)&amp;" "&amp;INDEX(ポート振替表!$I$5:$I$3507,$L2793))</f>
        <v/>
      </c>
      <c r="L2793" s="47" t="str">
        <f aca="false">IFERROR(MATCH(ROW()-4,ポート振替表!$V$5:$V$3507,0),"")</f>
        <v/>
      </c>
    </row>
    <row r="2794" customFormat="false" ht="16.4" hidden="false" customHeight="false" outlineLevel="0" collapsed="false">
      <c r="A2794" s="32" t="str">
        <f aca="false">IF(L2794="","",ROW()-4)</f>
        <v/>
      </c>
      <c r="B2794" s="58" t="str">
        <f aca="false">IF(L2794="","",IF(INDEX(ポート振替表!$W$5:$W$3507,$L2794)="","(なし)",INDEX(ポート振替表!$W$5:$W$3507,$L2794)&amp;""))</f>
        <v/>
      </c>
      <c r="C2794" s="52" t="str">
        <f aca="false">IF(L2794="","",INDEX(ポート振替表!$B$5:$B$3507,$L2794)&amp;" "&amp;INDEX(ポート振替表!$C$5:$C$3507,$L2794)&amp;"  ⇔  "&amp;INDEX(ポート振替表!$H$5:$H$3507,$L2794)&amp;" "&amp;INDEX(ポート振替表!$I$5:$I$3507,$L2794))</f>
        <v/>
      </c>
      <c r="D2794" s="57" t="s">
        <v>158</v>
      </c>
      <c r="E2794" s="59" t="str">
        <f aca="false">IF(L2794="","",IF(INDEX(ポート振替表!$O$5:$O$3507,$L2794)="","(未設定)",INDEX(ポート振替表!$O$5:$O$3507,$L2794)&amp;""))</f>
        <v/>
      </c>
      <c r="F2794" s="52" t="str">
        <f aca="false">IF(L2794="","",INDEX(ポート振替表!$K$5:$K$3507,$L2794)&amp;" "&amp;INDEX(ポート振替表!$L$5:$L$3507,$L2794)&amp;"  ⇔  "&amp;INDEX(ポート振替表!$H$5:$H$3507,$L2794)&amp;" "&amp;INDEX(ポート振替表!$I$5:$I$3507,$L2794))</f>
        <v/>
      </c>
      <c r="G2794" s="57" t="s">
        <v>158</v>
      </c>
      <c r="H2794" s="32" t="str">
        <f aca="false">IF(L2794="","",INDEX(ポート振替表!$N$5:$N$3507,$L2794)&amp;"")</f>
        <v/>
      </c>
      <c r="I2794" s="32" t="str">
        <f aca="false">IF(L2794="","",INDEX(ポート振替表!$P$5:$P$3507,$L2794)&amp;"")</f>
        <v/>
      </c>
      <c r="J2794" s="60" t="str">
        <f aca="false">IF(L2794="","",INDEX(ポート振替表!$M$5:$M$3507,$L2794)&amp;"")</f>
        <v/>
      </c>
      <c r="K2794" s="52" t="str">
        <f aca="false">IF(L2794="","",E2794&amp;CHAR(10)&amp;INDEX(ポート振替表!$K$5:$K$3507,$L2794)&amp;" "&amp;INDEX(ポート振替表!$L$5:$L$3507,$L2794)&amp;CHAR(10)&amp;"⇔ "&amp;INDEX(ポート振替表!$H$5:$H$3507,$L2794)&amp;" "&amp;INDEX(ポート振替表!$I$5:$I$3507,$L2794))</f>
        <v/>
      </c>
      <c r="L2794" s="47" t="str">
        <f aca="false">IFERROR(MATCH(ROW()-4,ポート振替表!$V$5:$V$3507,0),"")</f>
        <v/>
      </c>
    </row>
    <row r="2795" customFormat="false" ht="16.4" hidden="false" customHeight="false" outlineLevel="0" collapsed="false">
      <c r="A2795" s="32" t="str">
        <f aca="false">IF(L2795="","",ROW()-4)</f>
        <v/>
      </c>
      <c r="B2795" s="58" t="str">
        <f aca="false">IF(L2795="","",IF(INDEX(ポート振替表!$W$5:$W$3507,$L2795)="","(なし)",INDEX(ポート振替表!$W$5:$W$3507,$L2795)&amp;""))</f>
        <v/>
      </c>
      <c r="C2795" s="52" t="str">
        <f aca="false">IF(L2795="","",INDEX(ポート振替表!$B$5:$B$3507,$L2795)&amp;" "&amp;INDEX(ポート振替表!$C$5:$C$3507,$L2795)&amp;"  ⇔  "&amp;INDEX(ポート振替表!$H$5:$H$3507,$L2795)&amp;" "&amp;INDEX(ポート振替表!$I$5:$I$3507,$L2795))</f>
        <v/>
      </c>
      <c r="D2795" s="57" t="s">
        <v>158</v>
      </c>
      <c r="E2795" s="59" t="str">
        <f aca="false">IF(L2795="","",IF(INDEX(ポート振替表!$O$5:$O$3507,$L2795)="","(未設定)",INDEX(ポート振替表!$O$5:$O$3507,$L2795)&amp;""))</f>
        <v/>
      </c>
      <c r="F2795" s="52" t="str">
        <f aca="false">IF(L2795="","",INDEX(ポート振替表!$K$5:$K$3507,$L2795)&amp;" "&amp;INDEX(ポート振替表!$L$5:$L$3507,$L2795)&amp;"  ⇔  "&amp;INDEX(ポート振替表!$H$5:$H$3507,$L2795)&amp;" "&amp;INDEX(ポート振替表!$I$5:$I$3507,$L2795))</f>
        <v/>
      </c>
      <c r="G2795" s="57" t="s">
        <v>158</v>
      </c>
      <c r="H2795" s="32" t="str">
        <f aca="false">IF(L2795="","",INDEX(ポート振替表!$N$5:$N$3507,$L2795)&amp;"")</f>
        <v/>
      </c>
      <c r="I2795" s="32" t="str">
        <f aca="false">IF(L2795="","",INDEX(ポート振替表!$P$5:$P$3507,$L2795)&amp;"")</f>
        <v/>
      </c>
      <c r="J2795" s="60" t="str">
        <f aca="false">IF(L2795="","",INDEX(ポート振替表!$M$5:$M$3507,$L2795)&amp;"")</f>
        <v/>
      </c>
      <c r="K2795" s="52" t="str">
        <f aca="false">IF(L2795="","",E2795&amp;CHAR(10)&amp;INDEX(ポート振替表!$K$5:$K$3507,$L2795)&amp;" "&amp;INDEX(ポート振替表!$L$5:$L$3507,$L2795)&amp;CHAR(10)&amp;"⇔ "&amp;INDEX(ポート振替表!$H$5:$H$3507,$L2795)&amp;" "&amp;INDEX(ポート振替表!$I$5:$I$3507,$L2795))</f>
        <v/>
      </c>
      <c r="L2795" s="47" t="str">
        <f aca="false">IFERROR(MATCH(ROW()-4,ポート振替表!$V$5:$V$3507,0),"")</f>
        <v/>
      </c>
    </row>
    <row r="2796" customFormat="false" ht="16.4" hidden="false" customHeight="false" outlineLevel="0" collapsed="false">
      <c r="A2796" s="32" t="str">
        <f aca="false">IF(L2796="","",ROW()-4)</f>
        <v/>
      </c>
      <c r="B2796" s="58" t="str">
        <f aca="false">IF(L2796="","",IF(INDEX(ポート振替表!$W$5:$W$3507,$L2796)="","(なし)",INDEX(ポート振替表!$W$5:$W$3507,$L2796)&amp;""))</f>
        <v/>
      </c>
      <c r="C2796" s="52" t="str">
        <f aca="false">IF(L2796="","",INDEX(ポート振替表!$B$5:$B$3507,$L2796)&amp;" "&amp;INDEX(ポート振替表!$C$5:$C$3507,$L2796)&amp;"  ⇔  "&amp;INDEX(ポート振替表!$H$5:$H$3507,$L2796)&amp;" "&amp;INDEX(ポート振替表!$I$5:$I$3507,$L2796))</f>
        <v/>
      </c>
      <c r="D2796" s="57" t="s">
        <v>158</v>
      </c>
      <c r="E2796" s="59" t="str">
        <f aca="false">IF(L2796="","",IF(INDEX(ポート振替表!$O$5:$O$3507,$L2796)="","(未設定)",INDEX(ポート振替表!$O$5:$O$3507,$L2796)&amp;""))</f>
        <v/>
      </c>
      <c r="F2796" s="52" t="str">
        <f aca="false">IF(L2796="","",INDEX(ポート振替表!$K$5:$K$3507,$L2796)&amp;" "&amp;INDEX(ポート振替表!$L$5:$L$3507,$L2796)&amp;"  ⇔  "&amp;INDEX(ポート振替表!$H$5:$H$3507,$L2796)&amp;" "&amp;INDEX(ポート振替表!$I$5:$I$3507,$L2796))</f>
        <v/>
      </c>
      <c r="G2796" s="57" t="s">
        <v>158</v>
      </c>
      <c r="H2796" s="32" t="str">
        <f aca="false">IF(L2796="","",INDEX(ポート振替表!$N$5:$N$3507,$L2796)&amp;"")</f>
        <v/>
      </c>
      <c r="I2796" s="32" t="str">
        <f aca="false">IF(L2796="","",INDEX(ポート振替表!$P$5:$P$3507,$L2796)&amp;"")</f>
        <v/>
      </c>
      <c r="J2796" s="60" t="str">
        <f aca="false">IF(L2796="","",INDEX(ポート振替表!$M$5:$M$3507,$L2796)&amp;"")</f>
        <v/>
      </c>
      <c r="K2796" s="52" t="str">
        <f aca="false">IF(L2796="","",E2796&amp;CHAR(10)&amp;INDEX(ポート振替表!$K$5:$K$3507,$L2796)&amp;" "&amp;INDEX(ポート振替表!$L$5:$L$3507,$L2796)&amp;CHAR(10)&amp;"⇔ "&amp;INDEX(ポート振替表!$H$5:$H$3507,$L2796)&amp;" "&amp;INDEX(ポート振替表!$I$5:$I$3507,$L2796))</f>
        <v/>
      </c>
      <c r="L2796" s="47" t="str">
        <f aca="false">IFERROR(MATCH(ROW()-4,ポート振替表!$V$5:$V$3507,0),"")</f>
        <v/>
      </c>
    </row>
    <row r="2797" customFormat="false" ht="16.4" hidden="false" customHeight="false" outlineLevel="0" collapsed="false">
      <c r="A2797" s="32" t="str">
        <f aca="false">IF(L2797="","",ROW()-4)</f>
        <v/>
      </c>
      <c r="B2797" s="58" t="str">
        <f aca="false">IF(L2797="","",IF(INDEX(ポート振替表!$W$5:$W$3507,$L2797)="","(なし)",INDEX(ポート振替表!$W$5:$W$3507,$L2797)&amp;""))</f>
        <v/>
      </c>
      <c r="C2797" s="52" t="str">
        <f aca="false">IF(L2797="","",INDEX(ポート振替表!$B$5:$B$3507,$L2797)&amp;" "&amp;INDEX(ポート振替表!$C$5:$C$3507,$L2797)&amp;"  ⇔  "&amp;INDEX(ポート振替表!$H$5:$H$3507,$L2797)&amp;" "&amp;INDEX(ポート振替表!$I$5:$I$3507,$L2797))</f>
        <v/>
      </c>
      <c r="D2797" s="57" t="s">
        <v>158</v>
      </c>
      <c r="E2797" s="59" t="str">
        <f aca="false">IF(L2797="","",IF(INDEX(ポート振替表!$O$5:$O$3507,$L2797)="","(未設定)",INDEX(ポート振替表!$O$5:$O$3507,$L2797)&amp;""))</f>
        <v/>
      </c>
      <c r="F2797" s="52" t="str">
        <f aca="false">IF(L2797="","",INDEX(ポート振替表!$K$5:$K$3507,$L2797)&amp;" "&amp;INDEX(ポート振替表!$L$5:$L$3507,$L2797)&amp;"  ⇔  "&amp;INDEX(ポート振替表!$H$5:$H$3507,$L2797)&amp;" "&amp;INDEX(ポート振替表!$I$5:$I$3507,$L2797))</f>
        <v/>
      </c>
      <c r="G2797" s="57" t="s">
        <v>158</v>
      </c>
      <c r="H2797" s="32" t="str">
        <f aca="false">IF(L2797="","",INDEX(ポート振替表!$N$5:$N$3507,$L2797)&amp;"")</f>
        <v/>
      </c>
      <c r="I2797" s="32" t="str">
        <f aca="false">IF(L2797="","",INDEX(ポート振替表!$P$5:$P$3507,$L2797)&amp;"")</f>
        <v/>
      </c>
      <c r="J2797" s="60" t="str">
        <f aca="false">IF(L2797="","",INDEX(ポート振替表!$M$5:$M$3507,$L2797)&amp;"")</f>
        <v/>
      </c>
      <c r="K2797" s="52" t="str">
        <f aca="false">IF(L2797="","",E2797&amp;CHAR(10)&amp;INDEX(ポート振替表!$K$5:$K$3507,$L2797)&amp;" "&amp;INDEX(ポート振替表!$L$5:$L$3507,$L2797)&amp;CHAR(10)&amp;"⇔ "&amp;INDEX(ポート振替表!$H$5:$H$3507,$L2797)&amp;" "&amp;INDEX(ポート振替表!$I$5:$I$3507,$L2797))</f>
        <v/>
      </c>
      <c r="L2797" s="47" t="str">
        <f aca="false">IFERROR(MATCH(ROW()-4,ポート振替表!$V$5:$V$3507,0),"")</f>
        <v/>
      </c>
    </row>
    <row r="2798" customFormat="false" ht="16.4" hidden="false" customHeight="false" outlineLevel="0" collapsed="false">
      <c r="A2798" s="32" t="str">
        <f aca="false">IF(L2798="","",ROW()-4)</f>
        <v/>
      </c>
      <c r="B2798" s="58" t="str">
        <f aca="false">IF(L2798="","",IF(INDEX(ポート振替表!$W$5:$W$3507,$L2798)="","(なし)",INDEX(ポート振替表!$W$5:$W$3507,$L2798)&amp;""))</f>
        <v/>
      </c>
      <c r="C2798" s="52" t="str">
        <f aca="false">IF(L2798="","",INDEX(ポート振替表!$B$5:$B$3507,$L2798)&amp;" "&amp;INDEX(ポート振替表!$C$5:$C$3507,$L2798)&amp;"  ⇔  "&amp;INDEX(ポート振替表!$H$5:$H$3507,$L2798)&amp;" "&amp;INDEX(ポート振替表!$I$5:$I$3507,$L2798))</f>
        <v/>
      </c>
      <c r="D2798" s="57" t="s">
        <v>158</v>
      </c>
      <c r="E2798" s="59" t="str">
        <f aca="false">IF(L2798="","",IF(INDEX(ポート振替表!$O$5:$O$3507,$L2798)="","(未設定)",INDEX(ポート振替表!$O$5:$O$3507,$L2798)&amp;""))</f>
        <v/>
      </c>
      <c r="F2798" s="52" t="str">
        <f aca="false">IF(L2798="","",INDEX(ポート振替表!$K$5:$K$3507,$L2798)&amp;" "&amp;INDEX(ポート振替表!$L$5:$L$3507,$L2798)&amp;"  ⇔  "&amp;INDEX(ポート振替表!$H$5:$H$3507,$L2798)&amp;" "&amp;INDEX(ポート振替表!$I$5:$I$3507,$L2798))</f>
        <v/>
      </c>
      <c r="G2798" s="57" t="s">
        <v>158</v>
      </c>
      <c r="H2798" s="32" t="str">
        <f aca="false">IF(L2798="","",INDEX(ポート振替表!$N$5:$N$3507,$L2798)&amp;"")</f>
        <v/>
      </c>
      <c r="I2798" s="32" t="str">
        <f aca="false">IF(L2798="","",INDEX(ポート振替表!$P$5:$P$3507,$L2798)&amp;"")</f>
        <v/>
      </c>
      <c r="J2798" s="60" t="str">
        <f aca="false">IF(L2798="","",INDEX(ポート振替表!$M$5:$M$3507,$L2798)&amp;"")</f>
        <v/>
      </c>
      <c r="K2798" s="52" t="str">
        <f aca="false">IF(L2798="","",E2798&amp;CHAR(10)&amp;INDEX(ポート振替表!$K$5:$K$3507,$L2798)&amp;" "&amp;INDEX(ポート振替表!$L$5:$L$3507,$L2798)&amp;CHAR(10)&amp;"⇔ "&amp;INDEX(ポート振替表!$H$5:$H$3507,$L2798)&amp;" "&amp;INDEX(ポート振替表!$I$5:$I$3507,$L2798))</f>
        <v/>
      </c>
      <c r="L2798" s="47" t="str">
        <f aca="false">IFERROR(MATCH(ROW()-4,ポート振替表!$V$5:$V$3507,0),"")</f>
        <v/>
      </c>
    </row>
    <row r="2799" customFormat="false" ht="16.4" hidden="false" customHeight="false" outlineLevel="0" collapsed="false">
      <c r="A2799" s="32" t="str">
        <f aca="false">IF(L2799="","",ROW()-4)</f>
        <v/>
      </c>
      <c r="B2799" s="58" t="str">
        <f aca="false">IF(L2799="","",IF(INDEX(ポート振替表!$W$5:$W$3507,$L2799)="","(なし)",INDEX(ポート振替表!$W$5:$W$3507,$L2799)&amp;""))</f>
        <v/>
      </c>
      <c r="C2799" s="52" t="str">
        <f aca="false">IF(L2799="","",INDEX(ポート振替表!$B$5:$B$3507,$L2799)&amp;" "&amp;INDEX(ポート振替表!$C$5:$C$3507,$L2799)&amp;"  ⇔  "&amp;INDEX(ポート振替表!$H$5:$H$3507,$L2799)&amp;" "&amp;INDEX(ポート振替表!$I$5:$I$3507,$L2799))</f>
        <v/>
      </c>
      <c r="D2799" s="57" t="s">
        <v>158</v>
      </c>
      <c r="E2799" s="59" t="str">
        <f aca="false">IF(L2799="","",IF(INDEX(ポート振替表!$O$5:$O$3507,$L2799)="","(未設定)",INDEX(ポート振替表!$O$5:$O$3507,$L2799)&amp;""))</f>
        <v/>
      </c>
      <c r="F2799" s="52" t="str">
        <f aca="false">IF(L2799="","",INDEX(ポート振替表!$K$5:$K$3507,$L2799)&amp;" "&amp;INDEX(ポート振替表!$L$5:$L$3507,$L2799)&amp;"  ⇔  "&amp;INDEX(ポート振替表!$H$5:$H$3507,$L2799)&amp;" "&amp;INDEX(ポート振替表!$I$5:$I$3507,$L2799))</f>
        <v/>
      </c>
      <c r="G2799" s="57" t="s">
        <v>158</v>
      </c>
      <c r="H2799" s="32" t="str">
        <f aca="false">IF(L2799="","",INDEX(ポート振替表!$N$5:$N$3507,$L2799)&amp;"")</f>
        <v/>
      </c>
      <c r="I2799" s="32" t="str">
        <f aca="false">IF(L2799="","",INDEX(ポート振替表!$P$5:$P$3507,$L2799)&amp;"")</f>
        <v/>
      </c>
      <c r="J2799" s="60" t="str">
        <f aca="false">IF(L2799="","",INDEX(ポート振替表!$M$5:$M$3507,$L2799)&amp;"")</f>
        <v/>
      </c>
      <c r="K2799" s="52" t="str">
        <f aca="false">IF(L2799="","",E2799&amp;CHAR(10)&amp;INDEX(ポート振替表!$K$5:$K$3507,$L2799)&amp;" "&amp;INDEX(ポート振替表!$L$5:$L$3507,$L2799)&amp;CHAR(10)&amp;"⇔ "&amp;INDEX(ポート振替表!$H$5:$H$3507,$L2799)&amp;" "&amp;INDEX(ポート振替表!$I$5:$I$3507,$L2799))</f>
        <v/>
      </c>
      <c r="L2799" s="47" t="str">
        <f aca="false">IFERROR(MATCH(ROW()-4,ポート振替表!$V$5:$V$3507,0),"")</f>
        <v/>
      </c>
    </row>
    <row r="2800" customFormat="false" ht="16.4" hidden="false" customHeight="false" outlineLevel="0" collapsed="false">
      <c r="A2800" s="32" t="str">
        <f aca="false">IF(L2800="","",ROW()-4)</f>
        <v/>
      </c>
      <c r="B2800" s="58" t="str">
        <f aca="false">IF(L2800="","",IF(INDEX(ポート振替表!$W$5:$W$3507,$L2800)="","(なし)",INDEX(ポート振替表!$W$5:$W$3507,$L2800)&amp;""))</f>
        <v/>
      </c>
      <c r="C2800" s="52" t="str">
        <f aca="false">IF(L2800="","",INDEX(ポート振替表!$B$5:$B$3507,$L2800)&amp;" "&amp;INDEX(ポート振替表!$C$5:$C$3507,$L2800)&amp;"  ⇔  "&amp;INDEX(ポート振替表!$H$5:$H$3507,$L2800)&amp;" "&amp;INDEX(ポート振替表!$I$5:$I$3507,$L2800))</f>
        <v/>
      </c>
      <c r="D2800" s="57" t="s">
        <v>158</v>
      </c>
      <c r="E2800" s="59" t="str">
        <f aca="false">IF(L2800="","",IF(INDEX(ポート振替表!$O$5:$O$3507,$L2800)="","(未設定)",INDEX(ポート振替表!$O$5:$O$3507,$L2800)&amp;""))</f>
        <v/>
      </c>
      <c r="F2800" s="52" t="str">
        <f aca="false">IF(L2800="","",INDEX(ポート振替表!$K$5:$K$3507,$L2800)&amp;" "&amp;INDEX(ポート振替表!$L$5:$L$3507,$L2800)&amp;"  ⇔  "&amp;INDEX(ポート振替表!$H$5:$H$3507,$L2800)&amp;" "&amp;INDEX(ポート振替表!$I$5:$I$3507,$L2800))</f>
        <v/>
      </c>
      <c r="G2800" s="57" t="s">
        <v>158</v>
      </c>
      <c r="H2800" s="32" t="str">
        <f aca="false">IF(L2800="","",INDEX(ポート振替表!$N$5:$N$3507,$L2800)&amp;"")</f>
        <v/>
      </c>
      <c r="I2800" s="32" t="str">
        <f aca="false">IF(L2800="","",INDEX(ポート振替表!$P$5:$P$3507,$L2800)&amp;"")</f>
        <v/>
      </c>
      <c r="J2800" s="60" t="str">
        <f aca="false">IF(L2800="","",INDEX(ポート振替表!$M$5:$M$3507,$L2800)&amp;"")</f>
        <v/>
      </c>
      <c r="K2800" s="52" t="str">
        <f aca="false">IF(L2800="","",E2800&amp;CHAR(10)&amp;INDEX(ポート振替表!$K$5:$K$3507,$L2800)&amp;" "&amp;INDEX(ポート振替表!$L$5:$L$3507,$L2800)&amp;CHAR(10)&amp;"⇔ "&amp;INDEX(ポート振替表!$H$5:$H$3507,$L2800)&amp;" "&amp;INDEX(ポート振替表!$I$5:$I$3507,$L2800))</f>
        <v/>
      </c>
      <c r="L2800" s="47" t="str">
        <f aca="false">IFERROR(MATCH(ROW()-4,ポート振替表!$V$5:$V$3507,0),"")</f>
        <v/>
      </c>
    </row>
    <row r="2801" customFormat="false" ht="16.4" hidden="false" customHeight="false" outlineLevel="0" collapsed="false">
      <c r="A2801" s="32" t="str">
        <f aca="false">IF(L2801="","",ROW()-4)</f>
        <v/>
      </c>
      <c r="B2801" s="58" t="str">
        <f aca="false">IF(L2801="","",IF(INDEX(ポート振替表!$W$5:$W$3507,$L2801)="","(なし)",INDEX(ポート振替表!$W$5:$W$3507,$L2801)&amp;""))</f>
        <v/>
      </c>
      <c r="C2801" s="52" t="str">
        <f aca="false">IF(L2801="","",INDEX(ポート振替表!$B$5:$B$3507,$L2801)&amp;" "&amp;INDEX(ポート振替表!$C$5:$C$3507,$L2801)&amp;"  ⇔  "&amp;INDEX(ポート振替表!$H$5:$H$3507,$L2801)&amp;" "&amp;INDEX(ポート振替表!$I$5:$I$3507,$L2801))</f>
        <v/>
      </c>
      <c r="D2801" s="57" t="s">
        <v>158</v>
      </c>
      <c r="E2801" s="59" t="str">
        <f aca="false">IF(L2801="","",IF(INDEX(ポート振替表!$O$5:$O$3507,$L2801)="","(未設定)",INDEX(ポート振替表!$O$5:$O$3507,$L2801)&amp;""))</f>
        <v/>
      </c>
      <c r="F2801" s="52" t="str">
        <f aca="false">IF(L2801="","",INDEX(ポート振替表!$K$5:$K$3507,$L2801)&amp;" "&amp;INDEX(ポート振替表!$L$5:$L$3507,$L2801)&amp;"  ⇔  "&amp;INDEX(ポート振替表!$H$5:$H$3507,$L2801)&amp;" "&amp;INDEX(ポート振替表!$I$5:$I$3507,$L2801))</f>
        <v/>
      </c>
      <c r="G2801" s="57" t="s">
        <v>158</v>
      </c>
      <c r="H2801" s="32" t="str">
        <f aca="false">IF(L2801="","",INDEX(ポート振替表!$N$5:$N$3507,$L2801)&amp;"")</f>
        <v/>
      </c>
      <c r="I2801" s="32" t="str">
        <f aca="false">IF(L2801="","",INDEX(ポート振替表!$P$5:$P$3507,$L2801)&amp;"")</f>
        <v/>
      </c>
      <c r="J2801" s="60" t="str">
        <f aca="false">IF(L2801="","",INDEX(ポート振替表!$M$5:$M$3507,$L2801)&amp;"")</f>
        <v/>
      </c>
      <c r="K2801" s="52" t="str">
        <f aca="false">IF(L2801="","",E2801&amp;CHAR(10)&amp;INDEX(ポート振替表!$K$5:$K$3507,$L2801)&amp;" "&amp;INDEX(ポート振替表!$L$5:$L$3507,$L2801)&amp;CHAR(10)&amp;"⇔ "&amp;INDEX(ポート振替表!$H$5:$H$3507,$L2801)&amp;" "&amp;INDEX(ポート振替表!$I$5:$I$3507,$L2801))</f>
        <v/>
      </c>
      <c r="L2801" s="47" t="str">
        <f aca="false">IFERROR(MATCH(ROW()-4,ポート振替表!$V$5:$V$3507,0),"")</f>
        <v/>
      </c>
    </row>
    <row r="2802" customFormat="false" ht="16.4" hidden="false" customHeight="false" outlineLevel="0" collapsed="false">
      <c r="A2802" s="32" t="str">
        <f aca="false">IF(L2802="","",ROW()-4)</f>
        <v/>
      </c>
      <c r="B2802" s="58" t="str">
        <f aca="false">IF(L2802="","",IF(INDEX(ポート振替表!$W$5:$W$3507,$L2802)="","(なし)",INDEX(ポート振替表!$W$5:$W$3507,$L2802)&amp;""))</f>
        <v/>
      </c>
      <c r="C2802" s="52" t="str">
        <f aca="false">IF(L2802="","",INDEX(ポート振替表!$B$5:$B$3507,$L2802)&amp;" "&amp;INDEX(ポート振替表!$C$5:$C$3507,$L2802)&amp;"  ⇔  "&amp;INDEX(ポート振替表!$H$5:$H$3507,$L2802)&amp;" "&amp;INDEX(ポート振替表!$I$5:$I$3507,$L2802))</f>
        <v/>
      </c>
      <c r="D2802" s="57" t="s">
        <v>158</v>
      </c>
      <c r="E2802" s="59" t="str">
        <f aca="false">IF(L2802="","",IF(INDEX(ポート振替表!$O$5:$O$3507,$L2802)="","(未設定)",INDEX(ポート振替表!$O$5:$O$3507,$L2802)&amp;""))</f>
        <v/>
      </c>
      <c r="F2802" s="52" t="str">
        <f aca="false">IF(L2802="","",INDEX(ポート振替表!$K$5:$K$3507,$L2802)&amp;" "&amp;INDEX(ポート振替表!$L$5:$L$3507,$L2802)&amp;"  ⇔  "&amp;INDEX(ポート振替表!$H$5:$H$3507,$L2802)&amp;" "&amp;INDEX(ポート振替表!$I$5:$I$3507,$L2802))</f>
        <v/>
      </c>
      <c r="G2802" s="57" t="s">
        <v>158</v>
      </c>
      <c r="H2802" s="32" t="str">
        <f aca="false">IF(L2802="","",INDEX(ポート振替表!$N$5:$N$3507,$L2802)&amp;"")</f>
        <v/>
      </c>
      <c r="I2802" s="32" t="str">
        <f aca="false">IF(L2802="","",INDEX(ポート振替表!$P$5:$P$3507,$L2802)&amp;"")</f>
        <v/>
      </c>
      <c r="J2802" s="60" t="str">
        <f aca="false">IF(L2802="","",INDEX(ポート振替表!$M$5:$M$3507,$L2802)&amp;"")</f>
        <v/>
      </c>
      <c r="K2802" s="52" t="str">
        <f aca="false">IF(L2802="","",E2802&amp;CHAR(10)&amp;INDEX(ポート振替表!$K$5:$K$3507,$L2802)&amp;" "&amp;INDEX(ポート振替表!$L$5:$L$3507,$L2802)&amp;CHAR(10)&amp;"⇔ "&amp;INDEX(ポート振替表!$H$5:$H$3507,$L2802)&amp;" "&amp;INDEX(ポート振替表!$I$5:$I$3507,$L2802))</f>
        <v/>
      </c>
      <c r="L2802" s="47" t="str">
        <f aca="false">IFERROR(MATCH(ROW()-4,ポート振替表!$V$5:$V$3507,0),"")</f>
        <v/>
      </c>
    </row>
    <row r="2803" customFormat="false" ht="16.4" hidden="false" customHeight="false" outlineLevel="0" collapsed="false">
      <c r="A2803" s="32" t="str">
        <f aca="false">IF(L2803="","",ROW()-4)</f>
        <v/>
      </c>
      <c r="B2803" s="58" t="str">
        <f aca="false">IF(L2803="","",IF(INDEX(ポート振替表!$W$5:$W$3507,$L2803)="","(なし)",INDEX(ポート振替表!$W$5:$W$3507,$L2803)&amp;""))</f>
        <v/>
      </c>
      <c r="C2803" s="52" t="str">
        <f aca="false">IF(L2803="","",INDEX(ポート振替表!$B$5:$B$3507,$L2803)&amp;" "&amp;INDEX(ポート振替表!$C$5:$C$3507,$L2803)&amp;"  ⇔  "&amp;INDEX(ポート振替表!$H$5:$H$3507,$L2803)&amp;" "&amp;INDEX(ポート振替表!$I$5:$I$3507,$L2803))</f>
        <v/>
      </c>
      <c r="D2803" s="57" t="s">
        <v>158</v>
      </c>
      <c r="E2803" s="59" t="str">
        <f aca="false">IF(L2803="","",IF(INDEX(ポート振替表!$O$5:$O$3507,$L2803)="","(未設定)",INDEX(ポート振替表!$O$5:$O$3507,$L2803)&amp;""))</f>
        <v/>
      </c>
      <c r="F2803" s="52" t="str">
        <f aca="false">IF(L2803="","",INDEX(ポート振替表!$K$5:$K$3507,$L2803)&amp;" "&amp;INDEX(ポート振替表!$L$5:$L$3507,$L2803)&amp;"  ⇔  "&amp;INDEX(ポート振替表!$H$5:$H$3507,$L2803)&amp;" "&amp;INDEX(ポート振替表!$I$5:$I$3507,$L2803))</f>
        <v/>
      </c>
      <c r="G2803" s="57" t="s">
        <v>158</v>
      </c>
      <c r="H2803" s="32" t="str">
        <f aca="false">IF(L2803="","",INDEX(ポート振替表!$N$5:$N$3507,$L2803)&amp;"")</f>
        <v/>
      </c>
      <c r="I2803" s="32" t="str">
        <f aca="false">IF(L2803="","",INDEX(ポート振替表!$P$5:$P$3507,$L2803)&amp;"")</f>
        <v/>
      </c>
      <c r="J2803" s="60" t="str">
        <f aca="false">IF(L2803="","",INDEX(ポート振替表!$M$5:$M$3507,$L2803)&amp;"")</f>
        <v/>
      </c>
      <c r="K2803" s="52" t="str">
        <f aca="false">IF(L2803="","",E2803&amp;CHAR(10)&amp;INDEX(ポート振替表!$K$5:$K$3507,$L2803)&amp;" "&amp;INDEX(ポート振替表!$L$5:$L$3507,$L2803)&amp;CHAR(10)&amp;"⇔ "&amp;INDEX(ポート振替表!$H$5:$H$3507,$L2803)&amp;" "&amp;INDEX(ポート振替表!$I$5:$I$3507,$L2803))</f>
        <v/>
      </c>
      <c r="L2803" s="47" t="str">
        <f aca="false">IFERROR(MATCH(ROW()-4,ポート振替表!$V$5:$V$3507,0),"")</f>
        <v/>
      </c>
    </row>
    <row r="2804" customFormat="false" ht="16.4" hidden="false" customHeight="false" outlineLevel="0" collapsed="false">
      <c r="A2804" s="32" t="str">
        <f aca="false">IF(L2804="","",ROW()-4)</f>
        <v/>
      </c>
      <c r="B2804" s="58" t="str">
        <f aca="false">IF(L2804="","",IF(INDEX(ポート振替表!$W$5:$W$3507,$L2804)="","(なし)",INDEX(ポート振替表!$W$5:$W$3507,$L2804)&amp;""))</f>
        <v/>
      </c>
      <c r="C2804" s="52" t="str">
        <f aca="false">IF(L2804="","",INDEX(ポート振替表!$B$5:$B$3507,$L2804)&amp;" "&amp;INDEX(ポート振替表!$C$5:$C$3507,$L2804)&amp;"  ⇔  "&amp;INDEX(ポート振替表!$H$5:$H$3507,$L2804)&amp;" "&amp;INDEX(ポート振替表!$I$5:$I$3507,$L2804))</f>
        <v/>
      </c>
      <c r="D2804" s="57" t="s">
        <v>158</v>
      </c>
      <c r="E2804" s="59" t="str">
        <f aca="false">IF(L2804="","",IF(INDEX(ポート振替表!$O$5:$O$3507,$L2804)="","(未設定)",INDEX(ポート振替表!$O$5:$O$3507,$L2804)&amp;""))</f>
        <v/>
      </c>
      <c r="F2804" s="52" t="str">
        <f aca="false">IF(L2804="","",INDEX(ポート振替表!$K$5:$K$3507,$L2804)&amp;" "&amp;INDEX(ポート振替表!$L$5:$L$3507,$L2804)&amp;"  ⇔  "&amp;INDEX(ポート振替表!$H$5:$H$3507,$L2804)&amp;" "&amp;INDEX(ポート振替表!$I$5:$I$3507,$L2804))</f>
        <v/>
      </c>
      <c r="G2804" s="57" t="s">
        <v>158</v>
      </c>
      <c r="H2804" s="32" t="str">
        <f aca="false">IF(L2804="","",INDEX(ポート振替表!$N$5:$N$3507,$L2804)&amp;"")</f>
        <v/>
      </c>
      <c r="I2804" s="32" t="str">
        <f aca="false">IF(L2804="","",INDEX(ポート振替表!$P$5:$P$3507,$L2804)&amp;"")</f>
        <v/>
      </c>
      <c r="J2804" s="60" t="str">
        <f aca="false">IF(L2804="","",INDEX(ポート振替表!$M$5:$M$3507,$L2804)&amp;"")</f>
        <v/>
      </c>
      <c r="K2804" s="52" t="str">
        <f aca="false">IF(L2804="","",E2804&amp;CHAR(10)&amp;INDEX(ポート振替表!$K$5:$K$3507,$L2804)&amp;" "&amp;INDEX(ポート振替表!$L$5:$L$3507,$L2804)&amp;CHAR(10)&amp;"⇔ "&amp;INDEX(ポート振替表!$H$5:$H$3507,$L2804)&amp;" "&amp;INDEX(ポート振替表!$I$5:$I$3507,$L2804))</f>
        <v/>
      </c>
      <c r="L2804" s="47" t="str">
        <f aca="false">IFERROR(MATCH(ROW()-4,ポート振替表!$V$5:$V$3507,0),"")</f>
        <v/>
      </c>
    </row>
    <row r="2805" customFormat="false" ht="16.4" hidden="false" customHeight="false" outlineLevel="0" collapsed="false">
      <c r="A2805" s="32" t="str">
        <f aca="false">IF(L2805="","",ROW()-4)</f>
        <v/>
      </c>
      <c r="B2805" s="58" t="str">
        <f aca="false">IF(L2805="","",IF(INDEX(ポート振替表!$W$5:$W$3507,$L2805)="","(なし)",INDEX(ポート振替表!$W$5:$W$3507,$L2805)&amp;""))</f>
        <v/>
      </c>
      <c r="C2805" s="52" t="str">
        <f aca="false">IF(L2805="","",INDEX(ポート振替表!$B$5:$B$3507,$L2805)&amp;" "&amp;INDEX(ポート振替表!$C$5:$C$3507,$L2805)&amp;"  ⇔  "&amp;INDEX(ポート振替表!$H$5:$H$3507,$L2805)&amp;" "&amp;INDEX(ポート振替表!$I$5:$I$3507,$L2805))</f>
        <v/>
      </c>
      <c r="D2805" s="57" t="s">
        <v>158</v>
      </c>
      <c r="E2805" s="59" t="str">
        <f aca="false">IF(L2805="","",IF(INDEX(ポート振替表!$O$5:$O$3507,$L2805)="","(未設定)",INDEX(ポート振替表!$O$5:$O$3507,$L2805)&amp;""))</f>
        <v/>
      </c>
      <c r="F2805" s="52" t="str">
        <f aca="false">IF(L2805="","",INDEX(ポート振替表!$K$5:$K$3507,$L2805)&amp;" "&amp;INDEX(ポート振替表!$L$5:$L$3507,$L2805)&amp;"  ⇔  "&amp;INDEX(ポート振替表!$H$5:$H$3507,$L2805)&amp;" "&amp;INDEX(ポート振替表!$I$5:$I$3507,$L2805))</f>
        <v/>
      </c>
      <c r="G2805" s="57" t="s">
        <v>158</v>
      </c>
      <c r="H2805" s="32" t="str">
        <f aca="false">IF(L2805="","",INDEX(ポート振替表!$N$5:$N$3507,$L2805)&amp;"")</f>
        <v/>
      </c>
      <c r="I2805" s="32" t="str">
        <f aca="false">IF(L2805="","",INDEX(ポート振替表!$P$5:$P$3507,$L2805)&amp;"")</f>
        <v/>
      </c>
      <c r="J2805" s="60" t="str">
        <f aca="false">IF(L2805="","",INDEX(ポート振替表!$M$5:$M$3507,$L2805)&amp;"")</f>
        <v/>
      </c>
      <c r="K2805" s="52" t="str">
        <f aca="false">IF(L2805="","",E2805&amp;CHAR(10)&amp;INDEX(ポート振替表!$K$5:$K$3507,$L2805)&amp;" "&amp;INDEX(ポート振替表!$L$5:$L$3507,$L2805)&amp;CHAR(10)&amp;"⇔ "&amp;INDEX(ポート振替表!$H$5:$H$3507,$L2805)&amp;" "&amp;INDEX(ポート振替表!$I$5:$I$3507,$L2805))</f>
        <v/>
      </c>
      <c r="L2805" s="47" t="str">
        <f aca="false">IFERROR(MATCH(ROW()-4,ポート振替表!$V$5:$V$3507,0),"")</f>
        <v/>
      </c>
    </row>
    <row r="2806" customFormat="false" ht="16.4" hidden="false" customHeight="false" outlineLevel="0" collapsed="false">
      <c r="A2806" s="32" t="str">
        <f aca="false">IF(L2806="","",ROW()-4)</f>
        <v/>
      </c>
      <c r="B2806" s="58" t="str">
        <f aca="false">IF(L2806="","",IF(INDEX(ポート振替表!$W$5:$W$3507,$L2806)="","(なし)",INDEX(ポート振替表!$W$5:$W$3507,$L2806)&amp;""))</f>
        <v/>
      </c>
      <c r="C2806" s="52" t="str">
        <f aca="false">IF(L2806="","",INDEX(ポート振替表!$B$5:$B$3507,$L2806)&amp;" "&amp;INDEX(ポート振替表!$C$5:$C$3507,$L2806)&amp;"  ⇔  "&amp;INDEX(ポート振替表!$H$5:$H$3507,$L2806)&amp;" "&amp;INDEX(ポート振替表!$I$5:$I$3507,$L2806))</f>
        <v/>
      </c>
      <c r="D2806" s="57" t="s">
        <v>158</v>
      </c>
      <c r="E2806" s="59" t="str">
        <f aca="false">IF(L2806="","",IF(INDEX(ポート振替表!$O$5:$O$3507,$L2806)="","(未設定)",INDEX(ポート振替表!$O$5:$O$3507,$L2806)&amp;""))</f>
        <v/>
      </c>
      <c r="F2806" s="52" t="str">
        <f aca="false">IF(L2806="","",INDEX(ポート振替表!$K$5:$K$3507,$L2806)&amp;" "&amp;INDEX(ポート振替表!$L$5:$L$3507,$L2806)&amp;"  ⇔  "&amp;INDEX(ポート振替表!$H$5:$H$3507,$L2806)&amp;" "&amp;INDEX(ポート振替表!$I$5:$I$3507,$L2806))</f>
        <v/>
      </c>
      <c r="G2806" s="57" t="s">
        <v>158</v>
      </c>
      <c r="H2806" s="32" t="str">
        <f aca="false">IF(L2806="","",INDEX(ポート振替表!$N$5:$N$3507,$L2806)&amp;"")</f>
        <v/>
      </c>
      <c r="I2806" s="32" t="str">
        <f aca="false">IF(L2806="","",INDEX(ポート振替表!$P$5:$P$3507,$L2806)&amp;"")</f>
        <v/>
      </c>
      <c r="J2806" s="60" t="str">
        <f aca="false">IF(L2806="","",INDEX(ポート振替表!$M$5:$M$3507,$L2806)&amp;"")</f>
        <v/>
      </c>
      <c r="K2806" s="52" t="str">
        <f aca="false">IF(L2806="","",E2806&amp;CHAR(10)&amp;INDEX(ポート振替表!$K$5:$K$3507,$L2806)&amp;" "&amp;INDEX(ポート振替表!$L$5:$L$3507,$L2806)&amp;CHAR(10)&amp;"⇔ "&amp;INDEX(ポート振替表!$H$5:$H$3507,$L2806)&amp;" "&amp;INDEX(ポート振替表!$I$5:$I$3507,$L2806))</f>
        <v/>
      </c>
      <c r="L2806" s="47" t="str">
        <f aca="false">IFERROR(MATCH(ROW()-4,ポート振替表!$V$5:$V$3507,0),"")</f>
        <v/>
      </c>
    </row>
    <row r="2807" customFormat="false" ht="16.4" hidden="false" customHeight="false" outlineLevel="0" collapsed="false">
      <c r="A2807" s="32" t="str">
        <f aca="false">IF(L2807="","",ROW()-4)</f>
        <v/>
      </c>
      <c r="B2807" s="58" t="str">
        <f aca="false">IF(L2807="","",IF(INDEX(ポート振替表!$W$5:$W$3507,$L2807)="","(なし)",INDEX(ポート振替表!$W$5:$W$3507,$L2807)&amp;""))</f>
        <v/>
      </c>
      <c r="C2807" s="52" t="str">
        <f aca="false">IF(L2807="","",INDEX(ポート振替表!$B$5:$B$3507,$L2807)&amp;" "&amp;INDEX(ポート振替表!$C$5:$C$3507,$L2807)&amp;"  ⇔  "&amp;INDEX(ポート振替表!$H$5:$H$3507,$L2807)&amp;" "&amp;INDEX(ポート振替表!$I$5:$I$3507,$L2807))</f>
        <v/>
      </c>
      <c r="D2807" s="57" t="s">
        <v>158</v>
      </c>
      <c r="E2807" s="59" t="str">
        <f aca="false">IF(L2807="","",IF(INDEX(ポート振替表!$O$5:$O$3507,$L2807)="","(未設定)",INDEX(ポート振替表!$O$5:$O$3507,$L2807)&amp;""))</f>
        <v/>
      </c>
      <c r="F2807" s="52" t="str">
        <f aca="false">IF(L2807="","",INDEX(ポート振替表!$K$5:$K$3507,$L2807)&amp;" "&amp;INDEX(ポート振替表!$L$5:$L$3507,$L2807)&amp;"  ⇔  "&amp;INDEX(ポート振替表!$H$5:$H$3507,$L2807)&amp;" "&amp;INDEX(ポート振替表!$I$5:$I$3507,$L2807))</f>
        <v/>
      </c>
      <c r="G2807" s="57" t="s">
        <v>158</v>
      </c>
      <c r="H2807" s="32" t="str">
        <f aca="false">IF(L2807="","",INDEX(ポート振替表!$N$5:$N$3507,$L2807)&amp;"")</f>
        <v/>
      </c>
      <c r="I2807" s="32" t="str">
        <f aca="false">IF(L2807="","",INDEX(ポート振替表!$P$5:$P$3507,$L2807)&amp;"")</f>
        <v/>
      </c>
      <c r="J2807" s="60" t="str">
        <f aca="false">IF(L2807="","",INDEX(ポート振替表!$M$5:$M$3507,$L2807)&amp;"")</f>
        <v/>
      </c>
      <c r="K2807" s="52" t="str">
        <f aca="false">IF(L2807="","",E2807&amp;CHAR(10)&amp;INDEX(ポート振替表!$K$5:$K$3507,$L2807)&amp;" "&amp;INDEX(ポート振替表!$L$5:$L$3507,$L2807)&amp;CHAR(10)&amp;"⇔ "&amp;INDEX(ポート振替表!$H$5:$H$3507,$L2807)&amp;" "&amp;INDEX(ポート振替表!$I$5:$I$3507,$L2807))</f>
        <v/>
      </c>
      <c r="L2807" s="47" t="str">
        <f aca="false">IFERROR(MATCH(ROW()-4,ポート振替表!$V$5:$V$3507,0),"")</f>
        <v/>
      </c>
    </row>
    <row r="2808" customFormat="false" ht="16.4" hidden="false" customHeight="false" outlineLevel="0" collapsed="false">
      <c r="A2808" s="32" t="str">
        <f aca="false">IF(L2808="","",ROW()-4)</f>
        <v/>
      </c>
      <c r="B2808" s="58" t="str">
        <f aca="false">IF(L2808="","",IF(INDEX(ポート振替表!$W$5:$W$3507,$L2808)="","(なし)",INDEX(ポート振替表!$W$5:$W$3507,$L2808)&amp;""))</f>
        <v/>
      </c>
      <c r="C2808" s="52" t="str">
        <f aca="false">IF(L2808="","",INDEX(ポート振替表!$B$5:$B$3507,$L2808)&amp;" "&amp;INDEX(ポート振替表!$C$5:$C$3507,$L2808)&amp;"  ⇔  "&amp;INDEX(ポート振替表!$H$5:$H$3507,$L2808)&amp;" "&amp;INDEX(ポート振替表!$I$5:$I$3507,$L2808))</f>
        <v/>
      </c>
      <c r="D2808" s="57" t="s">
        <v>158</v>
      </c>
      <c r="E2808" s="59" t="str">
        <f aca="false">IF(L2808="","",IF(INDEX(ポート振替表!$O$5:$O$3507,$L2808)="","(未設定)",INDEX(ポート振替表!$O$5:$O$3507,$L2808)&amp;""))</f>
        <v/>
      </c>
      <c r="F2808" s="52" t="str">
        <f aca="false">IF(L2808="","",INDEX(ポート振替表!$K$5:$K$3507,$L2808)&amp;" "&amp;INDEX(ポート振替表!$L$5:$L$3507,$L2808)&amp;"  ⇔  "&amp;INDEX(ポート振替表!$H$5:$H$3507,$L2808)&amp;" "&amp;INDEX(ポート振替表!$I$5:$I$3507,$L2808))</f>
        <v/>
      </c>
      <c r="G2808" s="57" t="s">
        <v>158</v>
      </c>
      <c r="H2808" s="32" t="str">
        <f aca="false">IF(L2808="","",INDEX(ポート振替表!$N$5:$N$3507,$L2808)&amp;"")</f>
        <v/>
      </c>
      <c r="I2808" s="32" t="str">
        <f aca="false">IF(L2808="","",INDEX(ポート振替表!$P$5:$P$3507,$L2808)&amp;"")</f>
        <v/>
      </c>
      <c r="J2808" s="60" t="str">
        <f aca="false">IF(L2808="","",INDEX(ポート振替表!$M$5:$M$3507,$L2808)&amp;"")</f>
        <v/>
      </c>
      <c r="K2808" s="52" t="str">
        <f aca="false">IF(L2808="","",E2808&amp;CHAR(10)&amp;INDEX(ポート振替表!$K$5:$K$3507,$L2808)&amp;" "&amp;INDEX(ポート振替表!$L$5:$L$3507,$L2808)&amp;CHAR(10)&amp;"⇔ "&amp;INDEX(ポート振替表!$H$5:$H$3507,$L2808)&amp;" "&amp;INDEX(ポート振替表!$I$5:$I$3507,$L2808))</f>
        <v/>
      </c>
      <c r="L2808" s="47" t="str">
        <f aca="false">IFERROR(MATCH(ROW()-4,ポート振替表!$V$5:$V$3507,0),"")</f>
        <v/>
      </c>
    </row>
    <row r="2809" customFormat="false" ht="16.4" hidden="false" customHeight="false" outlineLevel="0" collapsed="false">
      <c r="A2809" s="32" t="str">
        <f aca="false">IF(L2809="","",ROW()-4)</f>
        <v/>
      </c>
      <c r="B2809" s="58" t="str">
        <f aca="false">IF(L2809="","",IF(INDEX(ポート振替表!$W$5:$W$3507,$L2809)="","(なし)",INDEX(ポート振替表!$W$5:$W$3507,$L2809)&amp;""))</f>
        <v/>
      </c>
      <c r="C2809" s="52" t="str">
        <f aca="false">IF(L2809="","",INDEX(ポート振替表!$B$5:$B$3507,$L2809)&amp;" "&amp;INDEX(ポート振替表!$C$5:$C$3507,$L2809)&amp;"  ⇔  "&amp;INDEX(ポート振替表!$H$5:$H$3507,$L2809)&amp;" "&amp;INDEX(ポート振替表!$I$5:$I$3507,$L2809))</f>
        <v/>
      </c>
      <c r="D2809" s="57" t="s">
        <v>158</v>
      </c>
      <c r="E2809" s="59" t="str">
        <f aca="false">IF(L2809="","",IF(INDEX(ポート振替表!$O$5:$O$3507,$L2809)="","(未設定)",INDEX(ポート振替表!$O$5:$O$3507,$L2809)&amp;""))</f>
        <v/>
      </c>
      <c r="F2809" s="52" t="str">
        <f aca="false">IF(L2809="","",INDEX(ポート振替表!$K$5:$K$3507,$L2809)&amp;" "&amp;INDEX(ポート振替表!$L$5:$L$3507,$L2809)&amp;"  ⇔  "&amp;INDEX(ポート振替表!$H$5:$H$3507,$L2809)&amp;" "&amp;INDEX(ポート振替表!$I$5:$I$3507,$L2809))</f>
        <v/>
      </c>
      <c r="G2809" s="57" t="s">
        <v>158</v>
      </c>
      <c r="H2809" s="32" t="str">
        <f aca="false">IF(L2809="","",INDEX(ポート振替表!$N$5:$N$3507,$L2809)&amp;"")</f>
        <v/>
      </c>
      <c r="I2809" s="32" t="str">
        <f aca="false">IF(L2809="","",INDEX(ポート振替表!$P$5:$P$3507,$L2809)&amp;"")</f>
        <v/>
      </c>
      <c r="J2809" s="60" t="str">
        <f aca="false">IF(L2809="","",INDEX(ポート振替表!$M$5:$M$3507,$L2809)&amp;"")</f>
        <v/>
      </c>
      <c r="K2809" s="52" t="str">
        <f aca="false">IF(L2809="","",E2809&amp;CHAR(10)&amp;INDEX(ポート振替表!$K$5:$K$3507,$L2809)&amp;" "&amp;INDEX(ポート振替表!$L$5:$L$3507,$L2809)&amp;CHAR(10)&amp;"⇔ "&amp;INDEX(ポート振替表!$H$5:$H$3507,$L2809)&amp;" "&amp;INDEX(ポート振替表!$I$5:$I$3507,$L2809))</f>
        <v/>
      </c>
      <c r="L2809" s="47" t="str">
        <f aca="false">IFERROR(MATCH(ROW()-4,ポート振替表!$V$5:$V$3507,0),"")</f>
        <v/>
      </c>
    </row>
    <row r="2810" customFormat="false" ht="16.4" hidden="false" customHeight="false" outlineLevel="0" collapsed="false">
      <c r="A2810" s="32" t="str">
        <f aca="false">IF(L2810="","",ROW()-4)</f>
        <v/>
      </c>
      <c r="B2810" s="58" t="str">
        <f aca="false">IF(L2810="","",IF(INDEX(ポート振替表!$W$5:$W$3507,$L2810)="","(なし)",INDEX(ポート振替表!$W$5:$W$3507,$L2810)&amp;""))</f>
        <v/>
      </c>
      <c r="C2810" s="52" t="str">
        <f aca="false">IF(L2810="","",INDEX(ポート振替表!$B$5:$B$3507,$L2810)&amp;" "&amp;INDEX(ポート振替表!$C$5:$C$3507,$L2810)&amp;"  ⇔  "&amp;INDEX(ポート振替表!$H$5:$H$3507,$L2810)&amp;" "&amp;INDEX(ポート振替表!$I$5:$I$3507,$L2810))</f>
        <v/>
      </c>
      <c r="D2810" s="57" t="s">
        <v>158</v>
      </c>
      <c r="E2810" s="59" t="str">
        <f aca="false">IF(L2810="","",IF(INDEX(ポート振替表!$O$5:$O$3507,$L2810)="","(未設定)",INDEX(ポート振替表!$O$5:$O$3507,$L2810)&amp;""))</f>
        <v/>
      </c>
      <c r="F2810" s="52" t="str">
        <f aca="false">IF(L2810="","",INDEX(ポート振替表!$K$5:$K$3507,$L2810)&amp;" "&amp;INDEX(ポート振替表!$L$5:$L$3507,$L2810)&amp;"  ⇔  "&amp;INDEX(ポート振替表!$H$5:$H$3507,$L2810)&amp;" "&amp;INDEX(ポート振替表!$I$5:$I$3507,$L2810))</f>
        <v/>
      </c>
      <c r="G2810" s="57" t="s">
        <v>158</v>
      </c>
      <c r="H2810" s="32" t="str">
        <f aca="false">IF(L2810="","",INDEX(ポート振替表!$N$5:$N$3507,$L2810)&amp;"")</f>
        <v/>
      </c>
      <c r="I2810" s="32" t="str">
        <f aca="false">IF(L2810="","",INDEX(ポート振替表!$P$5:$P$3507,$L2810)&amp;"")</f>
        <v/>
      </c>
      <c r="J2810" s="60" t="str">
        <f aca="false">IF(L2810="","",INDEX(ポート振替表!$M$5:$M$3507,$L2810)&amp;"")</f>
        <v/>
      </c>
      <c r="K2810" s="52" t="str">
        <f aca="false">IF(L2810="","",E2810&amp;CHAR(10)&amp;INDEX(ポート振替表!$K$5:$K$3507,$L2810)&amp;" "&amp;INDEX(ポート振替表!$L$5:$L$3507,$L2810)&amp;CHAR(10)&amp;"⇔ "&amp;INDEX(ポート振替表!$H$5:$H$3507,$L2810)&amp;" "&amp;INDEX(ポート振替表!$I$5:$I$3507,$L2810))</f>
        <v/>
      </c>
      <c r="L2810" s="47" t="str">
        <f aca="false">IFERROR(MATCH(ROW()-4,ポート振替表!$V$5:$V$3507,0),"")</f>
        <v/>
      </c>
    </row>
    <row r="2811" customFormat="false" ht="16.4" hidden="false" customHeight="false" outlineLevel="0" collapsed="false">
      <c r="A2811" s="32" t="str">
        <f aca="false">IF(L2811="","",ROW()-4)</f>
        <v/>
      </c>
      <c r="B2811" s="58" t="str">
        <f aca="false">IF(L2811="","",IF(INDEX(ポート振替表!$W$5:$W$3507,$L2811)="","(なし)",INDEX(ポート振替表!$W$5:$W$3507,$L2811)&amp;""))</f>
        <v/>
      </c>
      <c r="C2811" s="52" t="str">
        <f aca="false">IF(L2811="","",INDEX(ポート振替表!$B$5:$B$3507,$L2811)&amp;" "&amp;INDEX(ポート振替表!$C$5:$C$3507,$L2811)&amp;"  ⇔  "&amp;INDEX(ポート振替表!$H$5:$H$3507,$L2811)&amp;" "&amp;INDEX(ポート振替表!$I$5:$I$3507,$L2811))</f>
        <v/>
      </c>
      <c r="D2811" s="57" t="s">
        <v>158</v>
      </c>
      <c r="E2811" s="59" t="str">
        <f aca="false">IF(L2811="","",IF(INDEX(ポート振替表!$O$5:$O$3507,$L2811)="","(未設定)",INDEX(ポート振替表!$O$5:$O$3507,$L2811)&amp;""))</f>
        <v/>
      </c>
      <c r="F2811" s="52" t="str">
        <f aca="false">IF(L2811="","",INDEX(ポート振替表!$K$5:$K$3507,$L2811)&amp;" "&amp;INDEX(ポート振替表!$L$5:$L$3507,$L2811)&amp;"  ⇔  "&amp;INDEX(ポート振替表!$H$5:$H$3507,$L2811)&amp;" "&amp;INDEX(ポート振替表!$I$5:$I$3507,$L2811))</f>
        <v/>
      </c>
      <c r="G2811" s="57" t="s">
        <v>158</v>
      </c>
      <c r="H2811" s="32" t="str">
        <f aca="false">IF(L2811="","",INDEX(ポート振替表!$N$5:$N$3507,$L2811)&amp;"")</f>
        <v/>
      </c>
      <c r="I2811" s="32" t="str">
        <f aca="false">IF(L2811="","",INDEX(ポート振替表!$P$5:$P$3507,$L2811)&amp;"")</f>
        <v/>
      </c>
      <c r="J2811" s="60" t="str">
        <f aca="false">IF(L2811="","",INDEX(ポート振替表!$M$5:$M$3507,$L2811)&amp;"")</f>
        <v/>
      </c>
      <c r="K2811" s="52" t="str">
        <f aca="false">IF(L2811="","",E2811&amp;CHAR(10)&amp;INDEX(ポート振替表!$K$5:$K$3507,$L2811)&amp;" "&amp;INDEX(ポート振替表!$L$5:$L$3507,$L2811)&amp;CHAR(10)&amp;"⇔ "&amp;INDEX(ポート振替表!$H$5:$H$3507,$L2811)&amp;" "&amp;INDEX(ポート振替表!$I$5:$I$3507,$L2811))</f>
        <v/>
      </c>
      <c r="L2811" s="47" t="str">
        <f aca="false">IFERROR(MATCH(ROW()-4,ポート振替表!$V$5:$V$3507,0),"")</f>
        <v/>
      </c>
    </row>
    <row r="2812" customFormat="false" ht="16.4" hidden="false" customHeight="false" outlineLevel="0" collapsed="false">
      <c r="A2812" s="32" t="str">
        <f aca="false">IF(L2812="","",ROW()-4)</f>
        <v/>
      </c>
      <c r="B2812" s="58" t="str">
        <f aca="false">IF(L2812="","",IF(INDEX(ポート振替表!$W$5:$W$3507,$L2812)="","(なし)",INDEX(ポート振替表!$W$5:$W$3507,$L2812)&amp;""))</f>
        <v/>
      </c>
      <c r="C2812" s="52" t="str">
        <f aca="false">IF(L2812="","",INDEX(ポート振替表!$B$5:$B$3507,$L2812)&amp;" "&amp;INDEX(ポート振替表!$C$5:$C$3507,$L2812)&amp;"  ⇔  "&amp;INDEX(ポート振替表!$H$5:$H$3507,$L2812)&amp;" "&amp;INDEX(ポート振替表!$I$5:$I$3507,$L2812))</f>
        <v/>
      </c>
      <c r="D2812" s="57" t="s">
        <v>158</v>
      </c>
      <c r="E2812" s="59" t="str">
        <f aca="false">IF(L2812="","",IF(INDEX(ポート振替表!$O$5:$O$3507,$L2812)="","(未設定)",INDEX(ポート振替表!$O$5:$O$3507,$L2812)&amp;""))</f>
        <v/>
      </c>
      <c r="F2812" s="52" t="str">
        <f aca="false">IF(L2812="","",INDEX(ポート振替表!$K$5:$K$3507,$L2812)&amp;" "&amp;INDEX(ポート振替表!$L$5:$L$3507,$L2812)&amp;"  ⇔  "&amp;INDEX(ポート振替表!$H$5:$H$3507,$L2812)&amp;" "&amp;INDEX(ポート振替表!$I$5:$I$3507,$L2812))</f>
        <v/>
      </c>
      <c r="G2812" s="57" t="s">
        <v>158</v>
      </c>
      <c r="H2812" s="32" t="str">
        <f aca="false">IF(L2812="","",INDEX(ポート振替表!$N$5:$N$3507,$L2812)&amp;"")</f>
        <v/>
      </c>
      <c r="I2812" s="32" t="str">
        <f aca="false">IF(L2812="","",INDEX(ポート振替表!$P$5:$P$3507,$L2812)&amp;"")</f>
        <v/>
      </c>
      <c r="J2812" s="60" t="str">
        <f aca="false">IF(L2812="","",INDEX(ポート振替表!$M$5:$M$3507,$L2812)&amp;"")</f>
        <v/>
      </c>
      <c r="K2812" s="52" t="str">
        <f aca="false">IF(L2812="","",E2812&amp;CHAR(10)&amp;INDEX(ポート振替表!$K$5:$K$3507,$L2812)&amp;" "&amp;INDEX(ポート振替表!$L$5:$L$3507,$L2812)&amp;CHAR(10)&amp;"⇔ "&amp;INDEX(ポート振替表!$H$5:$H$3507,$L2812)&amp;" "&amp;INDEX(ポート振替表!$I$5:$I$3507,$L2812))</f>
        <v/>
      </c>
      <c r="L2812" s="47" t="str">
        <f aca="false">IFERROR(MATCH(ROW()-4,ポート振替表!$V$5:$V$3507,0),"")</f>
        <v/>
      </c>
    </row>
    <row r="2813" customFormat="false" ht="16.4" hidden="false" customHeight="false" outlineLevel="0" collapsed="false">
      <c r="A2813" s="32" t="str">
        <f aca="false">IF(L2813="","",ROW()-4)</f>
        <v/>
      </c>
      <c r="B2813" s="58" t="str">
        <f aca="false">IF(L2813="","",IF(INDEX(ポート振替表!$W$5:$W$3507,$L2813)="","(なし)",INDEX(ポート振替表!$W$5:$W$3507,$L2813)&amp;""))</f>
        <v/>
      </c>
      <c r="C2813" s="52" t="str">
        <f aca="false">IF(L2813="","",INDEX(ポート振替表!$B$5:$B$3507,$L2813)&amp;" "&amp;INDEX(ポート振替表!$C$5:$C$3507,$L2813)&amp;"  ⇔  "&amp;INDEX(ポート振替表!$H$5:$H$3507,$L2813)&amp;" "&amp;INDEX(ポート振替表!$I$5:$I$3507,$L2813))</f>
        <v/>
      </c>
      <c r="D2813" s="57" t="s">
        <v>158</v>
      </c>
      <c r="E2813" s="59" t="str">
        <f aca="false">IF(L2813="","",IF(INDEX(ポート振替表!$O$5:$O$3507,$L2813)="","(未設定)",INDEX(ポート振替表!$O$5:$O$3507,$L2813)&amp;""))</f>
        <v/>
      </c>
      <c r="F2813" s="52" t="str">
        <f aca="false">IF(L2813="","",INDEX(ポート振替表!$K$5:$K$3507,$L2813)&amp;" "&amp;INDEX(ポート振替表!$L$5:$L$3507,$L2813)&amp;"  ⇔  "&amp;INDEX(ポート振替表!$H$5:$H$3507,$L2813)&amp;" "&amp;INDEX(ポート振替表!$I$5:$I$3507,$L2813))</f>
        <v/>
      </c>
      <c r="G2813" s="57" t="s">
        <v>158</v>
      </c>
      <c r="H2813" s="32" t="str">
        <f aca="false">IF(L2813="","",INDEX(ポート振替表!$N$5:$N$3507,$L2813)&amp;"")</f>
        <v/>
      </c>
      <c r="I2813" s="32" t="str">
        <f aca="false">IF(L2813="","",INDEX(ポート振替表!$P$5:$P$3507,$L2813)&amp;"")</f>
        <v/>
      </c>
      <c r="J2813" s="60" t="str">
        <f aca="false">IF(L2813="","",INDEX(ポート振替表!$M$5:$M$3507,$L2813)&amp;"")</f>
        <v/>
      </c>
      <c r="K2813" s="52" t="str">
        <f aca="false">IF(L2813="","",E2813&amp;CHAR(10)&amp;INDEX(ポート振替表!$K$5:$K$3507,$L2813)&amp;" "&amp;INDEX(ポート振替表!$L$5:$L$3507,$L2813)&amp;CHAR(10)&amp;"⇔ "&amp;INDEX(ポート振替表!$H$5:$H$3507,$L2813)&amp;" "&amp;INDEX(ポート振替表!$I$5:$I$3507,$L2813))</f>
        <v/>
      </c>
      <c r="L2813" s="47" t="str">
        <f aca="false">IFERROR(MATCH(ROW()-4,ポート振替表!$V$5:$V$3507,0),"")</f>
        <v/>
      </c>
    </row>
    <row r="2814" customFormat="false" ht="16.4" hidden="false" customHeight="false" outlineLevel="0" collapsed="false">
      <c r="A2814" s="32" t="str">
        <f aca="false">IF(L2814="","",ROW()-4)</f>
        <v/>
      </c>
      <c r="B2814" s="58" t="str">
        <f aca="false">IF(L2814="","",IF(INDEX(ポート振替表!$W$5:$W$3507,$L2814)="","(なし)",INDEX(ポート振替表!$W$5:$W$3507,$L2814)&amp;""))</f>
        <v/>
      </c>
      <c r="C2814" s="52" t="str">
        <f aca="false">IF(L2814="","",INDEX(ポート振替表!$B$5:$B$3507,$L2814)&amp;" "&amp;INDEX(ポート振替表!$C$5:$C$3507,$L2814)&amp;"  ⇔  "&amp;INDEX(ポート振替表!$H$5:$H$3507,$L2814)&amp;" "&amp;INDEX(ポート振替表!$I$5:$I$3507,$L2814))</f>
        <v/>
      </c>
      <c r="D2814" s="57" t="s">
        <v>158</v>
      </c>
      <c r="E2814" s="59" t="str">
        <f aca="false">IF(L2814="","",IF(INDEX(ポート振替表!$O$5:$O$3507,$L2814)="","(未設定)",INDEX(ポート振替表!$O$5:$O$3507,$L2814)&amp;""))</f>
        <v/>
      </c>
      <c r="F2814" s="52" t="str">
        <f aca="false">IF(L2814="","",INDEX(ポート振替表!$K$5:$K$3507,$L2814)&amp;" "&amp;INDEX(ポート振替表!$L$5:$L$3507,$L2814)&amp;"  ⇔  "&amp;INDEX(ポート振替表!$H$5:$H$3507,$L2814)&amp;" "&amp;INDEX(ポート振替表!$I$5:$I$3507,$L2814))</f>
        <v/>
      </c>
      <c r="G2814" s="57" t="s">
        <v>158</v>
      </c>
      <c r="H2814" s="32" t="str">
        <f aca="false">IF(L2814="","",INDEX(ポート振替表!$N$5:$N$3507,$L2814)&amp;"")</f>
        <v/>
      </c>
      <c r="I2814" s="32" t="str">
        <f aca="false">IF(L2814="","",INDEX(ポート振替表!$P$5:$P$3507,$L2814)&amp;"")</f>
        <v/>
      </c>
      <c r="J2814" s="60" t="str">
        <f aca="false">IF(L2814="","",INDEX(ポート振替表!$M$5:$M$3507,$L2814)&amp;"")</f>
        <v/>
      </c>
      <c r="K2814" s="52" t="str">
        <f aca="false">IF(L2814="","",E2814&amp;CHAR(10)&amp;INDEX(ポート振替表!$K$5:$K$3507,$L2814)&amp;" "&amp;INDEX(ポート振替表!$L$5:$L$3507,$L2814)&amp;CHAR(10)&amp;"⇔ "&amp;INDEX(ポート振替表!$H$5:$H$3507,$L2814)&amp;" "&amp;INDEX(ポート振替表!$I$5:$I$3507,$L2814))</f>
        <v/>
      </c>
      <c r="L2814" s="47" t="str">
        <f aca="false">IFERROR(MATCH(ROW()-4,ポート振替表!$V$5:$V$3507,0),"")</f>
        <v/>
      </c>
    </row>
    <row r="2815" customFormat="false" ht="16.4" hidden="false" customHeight="false" outlineLevel="0" collapsed="false">
      <c r="A2815" s="32" t="str">
        <f aca="false">IF(L2815="","",ROW()-4)</f>
        <v/>
      </c>
      <c r="B2815" s="58" t="str">
        <f aca="false">IF(L2815="","",IF(INDEX(ポート振替表!$W$5:$W$3507,$L2815)="","(なし)",INDEX(ポート振替表!$W$5:$W$3507,$L2815)&amp;""))</f>
        <v/>
      </c>
      <c r="C2815" s="52" t="str">
        <f aca="false">IF(L2815="","",INDEX(ポート振替表!$B$5:$B$3507,$L2815)&amp;" "&amp;INDEX(ポート振替表!$C$5:$C$3507,$L2815)&amp;"  ⇔  "&amp;INDEX(ポート振替表!$H$5:$H$3507,$L2815)&amp;" "&amp;INDEX(ポート振替表!$I$5:$I$3507,$L2815))</f>
        <v/>
      </c>
      <c r="D2815" s="57" t="s">
        <v>158</v>
      </c>
      <c r="E2815" s="59" t="str">
        <f aca="false">IF(L2815="","",IF(INDEX(ポート振替表!$O$5:$O$3507,$L2815)="","(未設定)",INDEX(ポート振替表!$O$5:$O$3507,$L2815)&amp;""))</f>
        <v/>
      </c>
      <c r="F2815" s="52" t="str">
        <f aca="false">IF(L2815="","",INDEX(ポート振替表!$K$5:$K$3507,$L2815)&amp;" "&amp;INDEX(ポート振替表!$L$5:$L$3507,$L2815)&amp;"  ⇔  "&amp;INDEX(ポート振替表!$H$5:$H$3507,$L2815)&amp;" "&amp;INDEX(ポート振替表!$I$5:$I$3507,$L2815))</f>
        <v/>
      </c>
      <c r="G2815" s="57" t="s">
        <v>158</v>
      </c>
      <c r="H2815" s="32" t="str">
        <f aca="false">IF(L2815="","",INDEX(ポート振替表!$N$5:$N$3507,$L2815)&amp;"")</f>
        <v/>
      </c>
      <c r="I2815" s="32" t="str">
        <f aca="false">IF(L2815="","",INDEX(ポート振替表!$P$5:$P$3507,$L2815)&amp;"")</f>
        <v/>
      </c>
      <c r="J2815" s="60" t="str">
        <f aca="false">IF(L2815="","",INDEX(ポート振替表!$M$5:$M$3507,$L2815)&amp;"")</f>
        <v/>
      </c>
      <c r="K2815" s="52" t="str">
        <f aca="false">IF(L2815="","",E2815&amp;CHAR(10)&amp;INDEX(ポート振替表!$K$5:$K$3507,$L2815)&amp;" "&amp;INDEX(ポート振替表!$L$5:$L$3507,$L2815)&amp;CHAR(10)&amp;"⇔ "&amp;INDEX(ポート振替表!$H$5:$H$3507,$L2815)&amp;" "&amp;INDEX(ポート振替表!$I$5:$I$3507,$L2815))</f>
        <v/>
      </c>
      <c r="L2815" s="47" t="str">
        <f aca="false">IFERROR(MATCH(ROW()-4,ポート振替表!$V$5:$V$3507,0),"")</f>
        <v/>
      </c>
    </row>
    <row r="2816" customFormat="false" ht="16.4" hidden="false" customHeight="false" outlineLevel="0" collapsed="false">
      <c r="A2816" s="32" t="str">
        <f aca="false">IF(L2816="","",ROW()-4)</f>
        <v/>
      </c>
      <c r="B2816" s="58" t="str">
        <f aca="false">IF(L2816="","",IF(INDEX(ポート振替表!$W$5:$W$3507,$L2816)="","(なし)",INDEX(ポート振替表!$W$5:$W$3507,$L2816)&amp;""))</f>
        <v/>
      </c>
      <c r="C2816" s="52" t="str">
        <f aca="false">IF(L2816="","",INDEX(ポート振替表!$B$5:$B$3507,$L2816)&amp;" "&amp;INDEX(ポート振替表!$C$5:$C$3507,$L2816)&amp;"  ⇔  "&amp;INDEX(ポート振替表!$H$5:$H$3507,$L2816)&amp;" "&amp;INDEX(ポート振替表!$I$5:$I$3507,$L2816))</f>
        <v/>
      </c>
      <c r="D2816" s="57" t="s">
        <v>158</v>
      </c>
      <c r="E2816" s="59" t="str">
        <f aca="false">IF(L2816="","",IF(INDEX(ポート振替表!$O$5:$O$3507,$L2816)="","(未設定)",INDEX(ポート振替表!$O$5:$O$3507,$L2816)&amp;""))</f>
        <v/>
      </c>
      <c r="F2816" s="52" t="str">
        <f aca="false">IF(L2816="","",INDEX(ポート振替表!$K$5:$K$3507,$L2816)&amp;" "&amp;INDEX(ポート振替表!$L$5:$L$3507,$L2816)&amp;"  ⇔  "&amp;INDEX(ポート振替表!$H$5:$H$3507,$L2816)&amp;" "&amp;INDEX(ポート振替表!$I$5:$I$3507,$L2816))</f>
        <v/>
      </c>
      <c r="G2816" s="57" t="s">
        <v>158</v>
      </c>
      <c r="H2816" s="32" t="str">
        <f aca="false">IF(L2816="","",INDEX(ポート振替表!$N$5:$N$3507,$L2816)&amp;"")</f>
        <v/>
      </c>
      <c r="I2816" s="32" t="str">
        <f aca="false">IF(L2816="","",INDEX(ポート振替表!$P$5:$P$3507,$L2816)&amp;"")</f>
        <v/>
      </c>
      <c r="J2816" s="60" t="str">
        <f aca="false">IF(L2816="","",INDEX(ポート振替表!$M$5:$M$3507,$L2816)&amp;"")</f>
        <v/>
      </c>
      <c r="K2816" s="52" t="str">
        <f aca="false">IF(L2816="","",E2816&amp;CHAR(10)&amp;INDEX(ポート振替表!$K$5:$K$3507,$L2816)&amp;" "&amp;INDEX(ポート振替表!$L$5:$L$3507,$L2816)&amp;CHAR(10)&amp;"⇔ "&amp;INDEX(ポート振替表!$H$5:$H$3507,$L2816)&amp;" "&amp;INDEX(ポート振替表!$I$5:$I$3507,$L2816))</f>
        <v/>
      </c>
      <c r="L2816" s="47" t="str">
        <f aca="false">IFERROR(MATCH(ROW()-4,ポート振替表!$V$5:$V$3507,0),"")</f>
        <v/>
      </c>
    </row>
    <row r="2817" customFormat="false" ht="16.4" hidden="false" customHeight="false" outlineLevel="0" collapsed="false">
      <c r="A2817" s="32" t="str">
        <f aca="false">IF(L2817="","",ROW()-4)</f>
        <v/>
      </c>
      <c r="B2817" s="58" t="str">
        <f aca="false">IF(L2817="","",IF(INDEX(ポート振替表!$W$5:$W$3507,$L2817)="","(なし)",INDEX(ポート振替表!$W$5:$W$3507,$L2817)&amp;""))</f>
        <v/>
      </c>
      <c r="C2817" s="52" t="str">
        <f aca="false">IF(L2817="","",INDEX(ポート振替表!$B$5:$B$3507,$L2817)&amp;" "&amp;INDEX(ポート振替表!$C$5:$C$3507,$L2817)&amp;"  ⇔  "&amp;INDEX(ポート振替表!$H$5:$H$3507,$L2817)&amp;" "&amp;INDEX(ポート振替表!$I$5:$I$3507,$L2817))</f>
        <v/>
      </c>
      <c r="D2817" s="57" t="s">
        <v>158</v>
      </c>
      <c r="E2817" s="59" t="str">
        <f aca="false">IF(L2817="","",IF(INDEX(ポート振替表!$O$5:$O$3507,$L2817)="","(未設定)",INDEX(ポート振替表!$O$5:$O$3507,$L2817)&amp;""))</f>
        <v/>
      </c>
      <c r="F2817" s="52" t="str">
        <f aca="false">IF(L2817="","",INDEX(ポート振替表!$K$5:$K$3507,$L2817)&amp;" "&amp;INDEX(ポート振替表!$L$5:$L$3507,$L2817)&amp;"  ⇔  "&amp;INDEX(ポート振替表!$H$5:$H$3507,$L2817)&amp;" "&amp;INDEX(ポート振替表!$I$5:$I$3507,$L2817))</f>
        <v/>
      </c>
      <c r="G2817" s="57" t="s">
        <v>158</v>
      </c>
      <c r="H2817" s="32" t="str">
        <f aca="false">IF(L2817="","",INDEX(ポート振替表!$N$5:$N$3507,$L2817)&amp;"")</f>
        <v/>
      </c>
      <c r="I2817" s="32" t="str">
        <f aca="false">IF(L2817="","",INDEX(ポート振替表!$P$5:$P$3507,$L2817)&amp;"")</f>
        <v/>
      </c>
      <c r="J2817" s="60" t="str">
        <f aca="false">IF(L2817="","",INDEX(ポート振替表!$M$5:$M$3507,$L2817)&amp;"")</f>
        <v/>
      </c>
      <c r="K2817" s="52" t="str">
        <f aca="false">IF(L2817="","",E2817&amp;CHAR(10)&amp;INDEX(ポート振替表!$K$5:$K$3507,$L2817)&amp;" "&amp;INDEX(ポート振替表!$L$5:$L$3507,$L2817)&amp;CHAR(10)&amp;"⇔ "&amp;INDEX(ポート振替表!$H$5:$H$3507,$L2817)&amp;" "&amp;INDEX(ポート振替表!$I$5:$I$3507,$L2817))</f>
        <v/>
      </c>
      <c r="L2817" s="47" t="str">
        <f aca="false">IFERROR(MATCH(ROW()-4,ポート振替表!$V$5:$V$3507,0),"")</f>
        <v/>
      </c>
    </row>
    <row r="2818" customFormat="false" ht="16.4" hidden="false" customHeight="false" outlineLevel="0" collapsed="false">
      <c r="A2818" s="32" t="str">
        <f aca="false">IF(L2818="","",ROW()-4)</f>
        <v/>
      </c>
      <c r="B2818" s="58" t="str">
        <f aca="false">IF(L2818="","",IF(INDEX(ポート振替表!$W$5:$W$3507,$L2818)="","(なし)",INDEX(ポート振替表!$W$5:$W$3507,$L2818)&amp;""))</f>
        <v/>
      </c>
      <c r="C2818" s="52" t="str">
        <f aca="false">IF(L2818="","",INDEX(ポート振替表!$B$5:$B$3507,$L2818)&amp;" "&amp;INDEX(ポート振替表!$C$5:$C$3507,$L2818)&amp;"  ⇔  "&amp;INDEX(ポート振替表!$H$5:$H$3507,$L2818)&amp;" "&amp;INDEX(ポート振替表!$I$5:$I$3507,$L2818))</f>
        <v/>
      </c>
      <c r="D2818" s="57" t="s">
        <v>158</v>
      </c>
      <c r="E2818" s="59" t="str">
        <f aca="false">IF(L2818="","",IF(INDEX(ポート振替表!$O$5:$O$3507,$L2818)="","(未設定)",INDEX(ポート振替表!$O$5:$O$3507,$L2818)&amp;""))</f>
        <v/>
      </c>
      <c r="F2818" s="52" t="str">
        <f aca="false">IF(L2818="","",INDEX(ポート振替表!$K$5:$K$3507,$L2818)&amp;" "&amp;INDEX(ポート振替表!$L$5:$L$3507,$L2818)&amp;"  ⇔  "&amp;INDEX(ポート振替表!$H$5:$H$3507,$L2818)&amp;" "&amp;INDEX(ポート振替表!$I$5:$I$3507,$L2818))</f>
        <v/>
      </c>
      <c r="G2818" s="57" t="s">
        <v>158</v>
      </c>
      <c r="H2818" s="32" t="str">
        <f aca="false">IF(L2818="","",INDEX(ポート振替表!$N$5:$N$3507,$L2818)&amp;"")</f>
        <v/>
      </c>
      <c r="I2818" s="32" t="str">
        <f aca="false">IF(L2818="","",INDEX(ポート振替表!$P$5:$P$3507,$L2818)&amp;"")</f>
        <v/>
      </c>
      <c r="J2818" s="60" t="str">
        <f aca="false">IF(L2818="","",INDEX(ポート振替表!$M$5:$M$3507,$L2818)&amp;"")</f>
        <v/>
      </c>
      <c r="K2818" s="52" t="str">
        <f aca="false">IF(L2818="","",E2818&amp;CHAR(10)&amp;INDEX(ポート振替表!$K$5:$K$3507,$L2818)&amp;" "&amp;INDEX(ポート振替表!$L$5:$L$3507,$L2818)&amp;CHAR(10)&amp;"⇔ "&amp;INDEX(ポート振替表!$H$5:$H$3507,$L2818)&amp;" "&amp;INDEX(ポート振替表!$I$5:$I$3507,$L2818))</f>
        <v/>
      </c>
      <c r="L2818" s="47" t="str">
        <f aca="false">IFERROR(MATCH(ROW()-4,ポート振替表!$V$5:$V$3507,0),"")</f>
        <v/>
      </c>
    </row>
    <row r="2819" customFormat="false" ht="16.4" hidden="false" customHeight="false" outlineLevel="0" collapsed="false">
      <c r="A2819" s="32" t="str">
        <f aca="false">IF(L2819="","",ROW()-4)</f>
        <v/>
      </c>
      <c r="B2819" s="58" t="str">
        <f aca="false">IF(L2819="","",IF(INDEX(ポート振替表!$W$5:$W$3507,$L2819)="","(なし)",INDEX(ポート振替表!$W$5:$W$3507,$L2819)&amp;""))</f>
        <v/>
      </c>
      <c r="C2819" s="52" t="str">
        <f aca="false">IF(L2819="","",INDEX(ポート振替表!$B$5:$B$3507,$L2819)&amp;" "&amp;INDEX(ポート振替表!$C$5:$C$3507,$L2819)&amp;"  ⇔  "&amp;INDEX(ポート振替表!$H$5:$H$3507,$L2819)&amp;" "&amp;INDEX(ポート振替表!$I$5:$I$3507,$L2819))</f>
        <v/>
      </c>
      <c r="D2819" s="57" t="s">
        <v>158</v>
      </c>
      <c r="E2819" s="59" t="str">
        <f aca="false">IF(L2819="","",IF(INDEX(ポート振替表!$O$5:$O$3507,$L2819)="","(未設定)",INDEX(ポート振替表!$O$5:$O$3507,$L2819)&amp;""))</f>
        <v/>
      </c>
      <c r="F2819" s="52" t="str">
        <f aca="false">IF(L2819="","",INDEX(ポート振替表!$K$5:$K$3507,$L2819)&amp;" "&amp;INDEX(ポート振替表!$L$5:$L$3507,$L2819)&amp;"  ⇔  "&amp;INDEX(ポート振替表!$H$5:$H$3507,$L2819)&amp;" "&amp;INDEX(ポート振替表!$I$5:$I$3507,$L2819))</f>
        <v/>
      </c>
      <c r="G2819" s="57" t="s">
        <v>158</v>
      </c>
      <c r="H2819" s="32" t="str">
        <f aca="false">IF(L2819="","",INDEX(ポート振替表!$N$5:$N$3507,$L2819)&amp;"")</f>
        <v/>
      </c>
      <c r="I2819" s="32" t="str">
        <f aca="false">IF(L2819="","",INDEX(ポート振替表!$P$5:$P$3507,$L2819)&amp;"")</f>
        <v/>
      </c>
      <c r="J2819" s="60" t="str">
        <f aca="false">IF(L2819="","",INDEX(ポート振替表!$M$5:$M$3507,$L2819)&amp;"")</f>
        <v/>
      </c>
      <c r="K2819" s="52" t="str">
        <f aca="false">IF(L2819="","",E2819&amp;CHAR(10)&amp;INDEX(ポート振替表!$K$5:$K$3507,$L2819)&amp;" "&amp;INDEX(ポート振替表!$L$5:$L$3507,$L2819)&amp;CHAR(10)&amp;"⇔ "&amp;INDEX(ポート振替表!$H$5:$H$3507,$L2819)&amp;" "&amp;INDEX(ポート振替表!$I$5:$I$3507,$L2819))</f>
        <v/>
      </c>
      <c r="L2819" s="47" t="str">
        <f aca="false">IFERROR(MATCH(ROW()-4,ポート振替表!$V$5:$V$3507,0),"")</f>
        <v/>
      </c>
    </row>
    <row r="2820" customFormat="false" ht="16.4" hidden="false" customHeight="false" outlineLevel="0" collapsed="false">
      <c r="A2820" s="32" t="str">
        <f aca="false">IF(L2820="","",ROW()-4)</f>
        <v/>
      </c>
      <c r="B2820" s="58" t="str">
        <f aca="false">IF(L2820="","",IF(INDEX(ポート振替表!$W$5:$W$3507,$L2820)="","(なし)",INDEX(ポート振替表!$W$5:$W$3507,$L2820)&amp;""))</f>
        <v/>
      </c>
      <c r="C2820" s="52" t="str">
        <f aca="false">IF(L2820="","",INDEX(ポート振替表!$B$5:$B$3507,$L2820)&amp;" "&amp;INDEX(ポート振替表!$C$5:$C$3507,$L2820)&amp;"  ⇔  "&amp;INDEX(ポート振替表!$H$5:$H$3507,$L2820)&amp;" "&amp;INDEX(ポート振替表!$I$5:$I$3507,$L2820))</f>
        <v/>
      </c>
      <c r="D2820" s="57" t="s">
        <v>158</v>
      </c>
      <c r="E2820" s="59" t="str">
        <f aca="false">IF(L2820="","",IF(INDEX(ポート振替表!$O$5:$O$3507,$L2820)="","(未設定)",INDEX(ポート振替表!$O$5:$O$3507,$L2820)&amp;""))</f>
        <v/>
      </c>
      <c r="F2820" s="52" t="str">
        <f aca="false">IF(L2820="","",INDEX(ポート振替表!$K$5:$K$3507,$L2820)&amp;" "&amp;INDEX(ポート振替表!$L$5:$L$3507,$L2820)&amp;"  ⇔  "&amp;INDEX(ポート振替表!$H$5:$H$3507,$L2820)&amp;" "&amp;INDEX(ポート振替表!$I$5:$I$3507,$L2820))</f>
        <v/>
      </c>
      <c r="G2820" s="57" t="s">
        <v>158</v>
      </c>
      <c r="H2820" s="32" t="str">
        <f aca="false">IF(L2820="","",INDEX(ポート振替表!$N$5:$N$3507,$L2820)&amp;"")</f>
        <v/>
      </c>
      <c r="I2820" s="32" t="str">
        <f aca="false">IF(L2820="","",INDEX(ポート振替表!$P$5:$P$3507,$L2820)&amp;"")</f>
        <v/>
      </c>
      <c r="J2820" s="60" t="str">
        <f aca="false">IF(L2820="","",INDEX(ポート振替表!$M$5:$M$3507,$L2820)&amp;"")</f>
        <v/>
      </c>
      <c r="K2820" s="52" t="str">
        <f aca="false">IF(L2820="","",E2820&amp;CHAR(10)&amp;INDEX(ポート振替表!$K$5:$K$3507,$L2820)&amp;" "&amp;INDEX(ポート振替表!$L$5:$L$3507,$L2820)&amp;CHAR(10)&amp;"⇔ "&amp;INDEX(ポート振替表!$H$5:$H$3507,$L2820)&amp;" "&amp;INDEX(ポート振替表!$I$5:$I$3507,$L2820))</f>
        <v/>
      </c>
      <c r="L2820" s="47" t="str">
        <f aca="false">IFERROR(MATCH(ROW()-4,ポート振替表!$V$5:$V$3507,0),"")</f>
        <v/>
      </c>
    </row>
    <row r="2821" customFormat="false" ht="16.4" hidden="false" customHeight="false" outlineLevel="0" collapsed="false">
      <c r="A2821" s="32" t="str">
        <f aca="false">IF(L2821="","",ROW()-4)</f>
        <v/>
      </c>
      <c r="B2821" s="58" t="str">
        <f aca="false">IF(L2821="","",IF(INDEX(ポート振替表!$W$5:$W$3507,$L2821)="","(なし)",INDEX(ポート振替表!$W$5:$W$3507,$L2821)&amp;""))</f>
        <v/>
      </c>
      <c r="C2821" s="52" t="str">
        <f aca="false">IF(L2821="","",INDEX(ポート振替表!$B$5:$B$3507,$L2821)&amp;" "&amp;INDEX(ポート振替表!$C$5:$C$3507,$L2821)&amp;"  ⇔  "&amp;INDEX(ポート振替表!$H$5:$H$3507,$L2821)&amp;" "&amp;INDEX(ポート振替表!$I$5:$I$3507,$L2821))</f>
        <v/>
      </c>
      <c r="D2821" s="57" t="s">
        <v>158</v>
      </c>
      <c r="E2821" s="59" t="str">
        <f aca="false">IF(L2821="","",IF(INDEX(ポート振替表!$O$5:$O$3507,$L2821)="","(未設定)",INDEX(ポート振替表!$O$5:$O$3507,$L2821)&amp;""))</f>
        <v/>
      </c>
      <c r="F2821" s="52" t="str">
        <f aca="false">IF(L2821="","",INDEX(ポート振替表!$K$5:$K$3507,$L2821)&amp;" "&amp;INDEX(ポート振替表!$L$5:$L$3507,$L2821)&amp;"  ⇔  "&amp;INDEX(ポート振替表!$H$5:$H$3507,$L2821)&amp;" "&amp;INDEX(ポート振替表!$I$5:$I$3507,$L2821))</f>
        <v/>
      </c>
      <c r="G2821" s="57" t="s">
        <v>158</v>
      </c>
      <c r="H2821" s="32" t="str">
        <f aca="false">IF(L2821="","",INDEX(ポート振替表!$N$5:$N$3507,$L2821)&amp;"")</f>
        <v/>
      </c>
      <c r="I2821" s="32" t="str">
        <f aca="false">IF(L2821="","",INDEX(ポート振替表!$P$5:$P$3507,$L2821)&amp;"")</f>
        <v/>
      </c>
      <c r="J2821" s="60" t="str">
        <f aca="false">IF(L2821="","",INDEX(ポート振替表!$M$5:$M$3507,$L2821)&amp;"")</f>
        <v/>
      </c>
      <c r="K2821" s="52" t="str">
        <f aca="false">IF(L2821="","",E2821&amp;CHAR(10)&amp;INDEX(ポート振替表!$K$5:$K$3507,$L2821)&amp;" "&amp;INDEX(ポート振替表!$L$5:$L$3507,$L2821)&amp;CHAR(10)&amp;"⇔ "&amp;INDEX(ポート振替表!$H$5:$H$3507,$L2821)&amp;" "&amp;INDEX(ポート振替表!$I$5:$I$3507,$L2821))</f>
        <v/>
      </c>
      <c r="L2821" s="47" t="str">
        <f aca="false">IFERROR(MATCH(ROW()-4,ポート振替表!$V$5:$V$3507,0),"")</f>
        <v/>
      </c>
    </row>
    <row r="2822" customFormat="false" ht="16.4" hidden="false" customHeight="false" outlineLevel="0" collapsed="false">
      <c r="A2822" s="32" t="str">
        <f aca="false">IF(L2822="","",ROW()-4)</f>
        <v/>
      </c>
      <c r="B2822" s="58" t="str">
        <f aca="false">IF(L2822="","",IF(INDEX(ポート振替表!$W$5:$W$3507,$L2822)="","(なし)",INDEX(ポート振替表!$W$5:$W$3507,$L2822)&amp;""))</f>
        <v/>
      </c>
      <c r="C2822" s="52" t="str">
        <f aca="false">IF(L2822="","",INDEX(ポート振替表!$B$5:$B$3507,$L2822)&amp;" "&amp;INDEX(ポート振替表!$C$5:$C$3507,$L2822)&amp;"  ⇔  "&amp;INDEX(ポート振替表!$H$5:$H$3507,$L2822)&amp;" "&amp;INDEX(ポート振替表!$I$5:$I$3507,$L2822))</f>
        <v/>
      </c>
      <c r="D2822" s="57" t="s">
        <v>158</v>
      </c>
      <c r="E2822" s="59" t="str">
        <f aca="false">IF(L2822="","",IF(INDEX(ポート振替表!$O$5:$O$3507,$L2822)="","(未設定)",INDEX(ポート振替表!$O$5:$O$3507,$L2822)&amp;""))</f>
        <v/>
      </c>
      <c r="F2822" s="52" t="str">
        <f aca="false">IF(L2822="","",INDEX(ポート振替表!$K$5:$K$3507,$L2822)&amp;" "&amp;INDEX(ポート振替表!$L$5:$L$3507,$L2822)&amp;"  ⇔  "&amp;INDEX(ポート振替表!$H$5:$H$3507,$L2822)&amp;" "&amp;INDEX(ポート振替表!$I$5:$I$3507,$L2822))</f>
        <v/>
      </c>
      <c r="G2822" s="57" t="s">
        <v>158</v>
      </c>
      <c r="H2822" s="32" t="str">
        <f aca="false">IF(L2822="","",INDEX(ポート振替表!$N$5:$N$3507,$L2822)&amp;"")</f>
        <v/>
      </c>
      <c r="I2822" s="32" t="str">
        <f aca="false">IF(L2822="","",INDEX(ポート振替表!$P$5:$P$3507,$L2822)&amp;"")</f>
        <v/>
      </c>
      <c r="J2822" s="60" t="str">
        <f aca="false">IF(L2822="","",INDEX(ポート振替表!$M$5:$M$3507,$L2822)&amp;"")</f>
        <v/>
      </c>
      <c r="K2822" s="52" t="str">
        <f aca="false">IF(L2822="","",E2822&amp;CHAR(10)&amp;INDEX(ポート振替表!$K$5:$K$3507,$L2822)&amp;" "&amp;INDEX(ポート振替表!$L$5:$L$3507,$L2822)&amp;CHAR(10)&amp;"⇔ "&amp;INDEX(ポート振替表!$H$5:$H$3507,$L2822)&amp;" "&amp;INDEX(ポート振替表!$I$5:$I$3507,$L2822))</f>
        <v/>
      </c>
      <c r="L2822" s="47" t="str">
        <f aca="false">IFERROR(MATCH(ROW()-4,ポート振替表!$V$5:$V$3507,0),"")</f>
        <v/>
      </c>
    </row>
    <row r="2823" customFormat="false" ht="16.4" hidden="false" customHeight="false" outlineLevel="0" collapsed="false">
      <c r="A2823" s="32" t="str">
        <f aca="false">IF(L2823="","",ROW()-4)</f>
        <v/>
      </c>
      <c r="B2823" s="58" t="str">
        <f aca="false">IF(L2823="","",IF(INDEX(ポート振替表!$W$5:$W$3507,$L2823)="","(なし)",INDEX(ポート振替表!$W$5:$W$3507,$L2823)&amp;""))</f>
        <v/>
      </c>
      <c r="C2823" s="52" t="str">
        <f aca="false">IF(L2823="","",INDEX(ポート振替表!$B$5:$B$3507,$L2823)&amp;" "&amp;INDEX(ポート振替表!$C$5:$C$3507,$L2823)&amp;"  ⇔  "&amp;INDEX(ポート振替表!$H$5:$H$3507,$L2823)&amp;" "&amp;INDEX(ポート振替表!$I$5:$I$3507,$L2823))</f>
        <v/>
      </c>
      <c r="D2823" s="57" t="s">
        <v>158</v>
      </c>
      <c r="E2823" s="59" t="str">
        <f aca="false">IF(L2823="","",IF(INDEX(ポート振替表!$O$5:$O$3507,$L2823)="","(未設定)",INDEX(ポート振替表!$O$5:$O$3507,$L2823)&amp;""))</f>
        <v/>
      </c>
      <c r="F2823" s="52" t="str">
        <f aca="false">IF(L2823="","",INDEX(ポート振替表!$K$5:$K$3507,$L2823)&amp;" "&amp;INDEX(ポート振替表!$L$5:$L$3507,$L2823)&amp;"  ⇔  "&amp;INDEX(ポート振替表!$H$5:$H$3507,$L2823)&amp;" "&amp;INDEX(ポート振替表!$I$5:$I$3507,$L2823))</f>
        <v/>
      </c>
      <c r="G2823" s="57" t="s">
        <v>158</v>
      </c>
      <c r="H2823" s="32" t="str">
        <f aca="false">IF(L2823="","",INDEX(ポート振替表!$N$5:$N$3507,$L2823)&amp;"")</f>
        <v/>
      </c>
      <c r="I2823" s="32" t="str">
        <f aca="false">IF(L2823="","",INDEX(ポート振替表!$P$5:$P$3507,$L2823)&amp;"")</f>
        <v/>
      </c>
      <c r="J2823" s="60" t="str">
        <f aca="false">IF(L2823="","",INDEX(ポート振替表!$M$5:$M$3507,$L2823)&amp;"")</f>
        <v/>
      </c>
      <c r="K2823" s="52" t="str">
        <f aca="false">IF(L2823="","",E2823&amp;CHAR(10)&amp;INDEX(ポート振替表!$K$5:$K$3507,$L2823)&amp;" "&amp;INDEX(ポート振替表!$L$5:$L$3507,$L2823)&amp;CHAR(10)&amp;"⇔ "&amp;INDEX(ポート振替表!$H$5:$H$3507,$L2823)&amp;" "&amp;INDEX(ポート振替表!$I$5:$I$3507,$L2823))</f>
        <v/>
      </c>
      <c r="L2823" s="47" t="str">
        <f aca="false">IFERROR(MATCH(ROW()-4,ポート振替表!$V$5:$V$3507,0),"")</f>
        <v/>
      </c>
    </row>
    <row r="2824" customFormat="false" ht="16.4" hidden="false" customHeight="false" outlineLevel="0" collapsed="false">
      <c r="A2824" s="32" t="str">
        <f aca="false">IF(L2824="","",ROW()-4)</f>
        <v/>
      </c>
      <c r="B2824" s="58" t="str">
        <f aca="false">IF(L2824="","",IF(INDEX(ポート振替表!$W$5:$W$3507,$L2824)="","(なし)",INDEX(ポート振替表!$W$5:$W$3507,$L2824)&amp;""))</f>
        <v/>
      </c>
      <c r="C2824" s="52" t="str">
        <f aca="false">IF(L2824="","",INDEX(ポート振替表!$B$5:$B$3507,$L2824)&amp;" "&amp;INDEX(ポート振替表!$C$5:$C$3507,$L2824)&amp;"  ⇔  "&amp;INDEX(ポート振替表!$H$5:$H$3507,$L2824)&amp;" "&amp;INDEX(ポート振替表!$I$5:$I$3507,$L2824))</f>
        <v/>
      </c>
      <c r="D2824" s="57" t="s">
        <v>158</v>
      </c>
      <c r="E2824" s="59" t="str">
        <f aca="false">IF(L2824="","",IF(INDEX(ポート振替表!$O$5:$O$3507,$L2824)="","(未設定)",INDEX(ポート振替表!$O$5:$O$3507,$L2824)&amp;""))</f>
        <v/>
      </c>
      <c r="F2824" s="52" t="str">
        <f aca="false">IF(L2824="","",INDEX(ポート振替表!$K$5:$K$3507,$L2824)&amp;" "&amp;INDEX(ポート振替表!$L$5:$L$3507,$L2824)&amp;"  ⇔  "&amp;INDEX(ポート振替表!$H$5:$H$3507,$L2824)&amp;" "&amp;INDEX(ポート振替表!$I$5:$I$3507,$L2824))</f>
        <v/>
      </c>
      <c r="G2824" s="57" t="s">
        <v>158</v>
      </c>
      <c r="H2824" s="32" t="str">
        <f aca="false">IF(L2824="","",INDEX(ポート振替表!$N$5:$N$3507,$L2824)&amp;"")</f>
        <v/>
      </c>
      <c r="I2824" s="32" t="str">
        <f aca="false">IF(L2824="","",INDEX(ポート振替表!$P$5:$P$3507,$L2824)&amp;"")</f>
        <v/>
      </c>
      <c r="J2824" s="60" t="str">
        <f aca="false">IF(L2824="","",INDEX(ポート振替表!$M$5:$M$3507,$L2824)&amp;"")</f>
        <v/>
      </c>
      <c r="K2824" s="52" t="str">
        <f aca="false">IF(L2824="","",E2824&amp;CHAR(10)&amp;INDEX(ポート振替表!$K$5:$K$3507,$L2824)&amp;" "&amp;INDEX(ポート振替表!$L$5:$L$3507,$L2824)&amp;CHAR(10)&amp;"⇔ "&amp;INDEX(ポート振替表!$H$5:$H$3507,$L2824)&amp;" "&amp;INDEX(ポート振替表!$I$5:$I$3507,$L2824))</f>
        <v/>
      </c>
      <c r="L2824" s="47" t="str">
        <f aca="false">IFERROR(MATCH(ROW()-4,ポート振替表!$V$5:$V$3507,0),"")</f>
        <v/>
      </c>
    </row>
    <row r="2825" customFormat="false" ht="16.4" hidden="false" customHeight="false" outlineLevel="0" collapsed="false">
      <c r="A2825" s="32" t="str">
        <f aca="false">IF(L2825="","",ROW()-4)</f>
        <v/>
      </c>
      <c r="B2825" s="58" t="str">
        <f aca="false">IF(L2825="","",IF(INDEX(ポート振替表!$W$5:$W$3507,$L2825)="","(なし)",INDEX(ポート振替表!$W$5:$W$3507,$L2825)&amp;""))</f>
        <v/>
      </c>
      <c r="C2825" s="52" t="str">
        <f aca="false">IF(L2825="","",INDEX(ポート振替表!$B$5:$B$3507,$L2825)&amp;" "&amp;INDEX(ポート振替表!$C$5:$C$3507,$L2825)&amp;"  ⇔  "&amp;INDEX(ポート振替表!$H$5:$H$3507,$L2825)&amp;" "&amp;INDEX(ポート振替表!$I$5:$I$3507,$L2825))</f>
        <v/>
      </c>
      <c r="D2825" s="57" t="s">
        <v>158</v>
      </c>
      <c r="E2825" s="59" t="str">
        <f aca="false">IF(L2825="","",IF(INDEX(ポート振替表!$O$5:$O$3507,$L2825)="","(未設定)",INDEX(ポート振替表!$O$5:$O$3507,$L2825)&amp;""))</f>
        <v/>
      </c>
      <c r="F2825" s="52" t="str">
        <f aca="false">IF(L2825="","",INDEX(ポート振替表!$K$5:$K$3507,$L2825)&amp;" "&amp;INDEX(ポート振替表!$L$5:$L$3507,$L2825)&amp;"  ⇔  "&amp;INDEX(ポート振替表!$H$5:$H$3507,$L2825)&amp;" "&amp;INDEX(ポート振替表!$I$5:$I$3507,$L2825))</f>
        <v/>
      </c>
      <c r="G2825" s="57" t="s">
        <v>158</v>
      </c>
      <c r="H2825" s="32" t="str">
        <f aca="false">IF(L2825="","",INDEX(ポート振替表!$N$5:$N$3507,$L2825)&amp;"")</f>
        <v/>
      </c>
      <c r="I2825" s="32" t="str">
        <f aca="false">IF(L2825="","",INDEX(ポート振替表!$P$5:$P$3507,$L2825)&amp;"")</f>
        <v/>
      </c>
      <c r="J2825" s="60" t="str">
        <f aca="false">IF(L2825="","",INDEX(ポート振替表!$M$5:$M$3507,$L2825)&amp;"")</f>
        <v/>
      </c>
      <c r="K2825" s="52" t="str">
        <f aca="false">IF(L2825="","",E2825&amp;CHAR(10)&amp;INDEX(ポート振替表!$K$5:$K$3507,$L2825)&amp;" "&amp;INDEX(ポート振替表!$L$5:$L$3507,$L2825)&amp;CHAR(10)&amp;"⇔ "&amp;INDEX(ポート振替表!$H$5:$H$3507,$L2825)&amp;" "&amp;INDEX(ポート振替表!$I$5:$I$3507,$L2825))</f>
        <v/>
      </c>
      <c r="L2825" s="47" t="str">
        <f aca="false">IFERROR(MATCH(ROW()-4,ポート振替表!$V$5:$V$3507,0),"")</f>
        <v/>
      </c>
    </row>
    <row r="2826" customFormat="false" ht="16.4" hidden="false" customHeight="false" outlineLevel="0" collapsed="false">
      <c r="A2826" s="32" t="str">
        <f aca="false">IF(L2826="","",ROW()-4)</f>
        <v/>
      </c>
      <c r="B2826" s="58" t="str">
        <f aca="false">IF(L2826="","",IF(INDEX(ポート振替表!$W$5:$W$3507,$L2826)="","(なし)",INDEX(ポート振替表!$W$5:$W$3507,$L2826)&amp;""))</f>
        <v/>
      </c>
      <c r="C2826" s="52" t="str">
        <f aca="false">IF(L2826="","",INDEX(ポート振替表!$B$5:$B$3507,$L2826)&amp;" "&amp;INDEX(ポート振替表!$C$5:$C$3507,$L2826)&amp;"  ⇔  "&amp;INDEX(ポート振替表!$H$5:$H$3507,$L2826)&amp;" "&amp;INDEX(ポート振替表!$I$5:$I$3507,$L2826))</f>
        <v/>
      </c>
      <c r="D2826" s="57" t="s">
        <v>158</v>
      </c>
      <c r="E2826" s="59" t="str">
        <f aca="false">IF(L2826="","",IF(INDEX(ポート振替表!$O$5:$O$3507,$L2826)="","(未設定)",INDEX(ポート振替表!$O$5:$O$3507,$L2826)&amp;""))</f>
        <v/>
      </c>
      <c r="F2826" s="52" t="str">
        <f aca="false">IF(L2826="","",INDEX(ポート振替表!$K$5:$K$3507,$L2826)&amp;" "&amp;INDEX(ポート振替表!$L$5:$L$3507,$L2826)&amp;"  ⇔  "&amp;INDEX(ポート振替表!$H$5:$H$3507,$L2826)&amp;" "&amp;INDEX(ポート振替表!$I$5:$I$3507,$L2826))</f>
        <v/>
      </c>
      <c r="G2826" s="57" t="s">
        <v>158</v>
      </c>
      <c r="H2826" s="32" t="str">
        <f aca="false">IF(L2826="","",INDEX(ポート振替表!$N$5:$N$3507,$L2826)&amp;"")</f>
        <v/>
      </c>
      <c r="I2826" s="32" t="str">
        <f aca="false">IF(L2826="","",INDEX(ポート振替表!$P$5:$P$3507,$L2826)&amp;"")</f>
        <v/>
      </c>
      <c r="J2826" s="60" t="str">
        <f aca="false">IF(L2826="","",INDEX(ポート振替表!$M$5:$M$3507,$L2826)&amp;"")</f>
        <v/>
      </c>
      <c r="K2826" s="52" t="str">
        <f aca="false">IF(L2826="","",E2826&amp;CHAR(10)&amp;INDEX(ポート振替表!$K$5:$K$3507,$L2826)&amp;" "&amp;INDEX(ポート振替表!$L$5:$L$3507,$L2826)&amp;CHAR(10)&amp;"⇔ "&amp;INDEX(ポート振替表!$H$5:$H$3507,$L2826)&amp;" "&amp;INDEX(ポート振替表!$I$5:$I$3507,$L2826))</f>
        <v/>
      </c>
      <c r="L2826" s="47" t="str">
        <f aca="false">IFERROR(MATCH(ROW()-4,ポート振替表!$V$5:$V$3507,0),"")</f>
        <v/>
      </c>
    </row>
    <row r="2827" customFormat="false" ht="16.4" hidden="false" customHeight="false" outlineLevel="0" collapsed="false">
      <c r="A2827" s="32" t="str">
        <f aca="false">IF(L2827="","",ROW()-4)</f>
        <v/>
      </c>
      <c r="B2827" s="58" t="str">
        <f aca="false">IF(L2827="","",IF(INDEX(ポート振替表!$W$5:$W$3507,$L2827)="","(なし)",INDEX(ポート振替表!$W$5:$W$3507,$L2827)&amp;""))</f>
        <v/>
      </c>
      <c r="C2827" s="52" t="str">
        <f aca="false">IF(L2827="","",INDEX(ポート振替表!$B$5:$B$3507,$L2827)&amp;" "&amp;INDEX(ポート振替表!$C$5:$C$3507,$L2827)&amp;"  ⇔  "&amp;INDEX(ポート振替表!$H$5:$H$3507,$L2827)&amp;" "&amp;INDEX(ポート振替表!$I$5:$I$3507,$L2827))</f>
        <v/>
      </c>
      <c r="D2827" s="57" t="s">
        <v>158</v>
      </c>
      <c r="E2827" s="59" t="str">
        <f aca="false">IF(L2827="","",IF(INDEX(ポート振替表!$O$5:$O$3507,$L2827)="","(未設定)",INDEX(ポート振替表!$O$5:$O$3507,$L2827)&amp;""))</f>
        <v/>
      </c>
      <c r="F2827" s="52" t="str">
        <f aca="false">IF(L2827="","",INDEX(ポート振替表!$K$5:$K$3507,$L2827)&amp;" "&amp;INDEX(ポート振替表!$L$5:$L$3507,$L2827)&amp;"  ⇔  "&amp;INDEX(ポート振替表!$H$5:$H$3507,$L2827)&amp;" "&amp;INDEX(ポート振替表!$I$5:$I$3507,$L2827))</f>
        <v/>
      </c>
      <c r="G2827" s="57" t="s">
        <v>158</v>
      </c>
      <c r="H2827" s="32" t="str">
        <f aca="false">IF(L2827="","",INDEX(ポート振替表!$N$5:$N$3507,$L2827)&amp;"")</f>
        <v/>
      </c>
      <c r="I2827" s="32" t="str">
        <f aca="false">IF(L2827="","",INDEX(ポート振替表!$P$5:$P$3507,$L2827)&amp;"")</f>
        <v/>
      </c>
      <c r="J2827" s="60" t="str">
        <f aca="false">IF(L2827="","",INDEX(ポート振替表!$M$5:$M$3507,$L2827)&amp;"")</f>
        <v/>
      </c>
      <c r="K2827" s="52" t="str">
        <f aca="false">IF(L2827="","",E2827&amp;CHAR(10)&amp;INDEX(ポート振替表!$K$5:$K$3507,$L2827)&amp;" "&amp;INDEX(ポート振替表!$L$5:$L$3507,$L2827)&amp;CHAR(10)&amp;"⇔ "&amp;INDEX(ポート振替表!$H$5:$H$3507,$L2827)&amp;" "&amp;INDEX(ポート振替表!$I$5:$I$3507,$L2827))</f>
        <v/>
      </c>
      <c r="L2827" s="47" t="str">
        <f aca="false">IFERROR(MATCH(ROW()-4,ポート振替表!$V$5:$V$3507,0),"")</f>
        <v/>
      </c>
    </row>
    <row r="2828" customFormat="false" ht="16.4" hidden="false" customHeight="false" outlineLevel="0" collapsed="false">
      <c r="A2828" s="32" t="str">
        <f aca="false">IF(L2828="","",ROW()-4)</f>
        <v/>
      </c>
      <c r="B2828" s="58" t="str">
        <f aca="false">IF(L2828="","",IF(INDEX(ポート振替表!$W$5:$W$3507,$L2828)="","(なし)",INDEX(ポート振替表!$W$5:$W$3507,$L2828)&amp;""))</f>
        <v/>
      </c>
      <c r="C2828" s="52" t="str">
        <f aca="false">IF(L2828="","",INDEX(ポート振替表!$B$5:$B$3507,$L2828)&amp;" "&amp;INDEX(ポート振替表!$C$5:$C$3507,$L2828)&amp;"  ⇔  "&amp;INDEX(ポート振替表!$H$5:$H$3507,$L2828)&amp;" "&amp;INDEX(ポート振替表!$I$5:$I$3507,$L2828))</f>
        <v/>
      </c>
      <c r="D2828" s="57" t="s">
        <v>158</v>
      </c>
      <c r="E2828" s="59" t="str">
        <f aca="false">IF(L2828="","",IF(INDEX(ポート振替表!$O$5:$O$3507,$L2828)="","(未設定)",INDEX(ポート振替表!$O$5:$O$3507,$L2828)&amp;""))</f>
        <v/>
      </c>
      <c r="F2828" s="52" t="str">
        <f aca="false">IF(L2828="","",INDEX(ポート振替表!$K$5:$K$3507,$L2828)&amp;" "&amp;INDEX(ポート振替表!$L$5:$L$3507,$L2828)&amp;"  ⇔  "&amp;INDEX(ポート振替表!$H$5:$H$3507,$L2828)&amp;" "&amp;INDEX(ポート振替表!$I$5:$I$3507,$L2828))</f>
        <v/>
      </c>
      <c r="G2828" s="57" t="s">
        <v>158</v>
      </c>
      <c r="H2828" s="32" t="str">
        <f aca="false">IF(L2828="","",INDEX(ポート振替表!$N$5:$N$3507,$L2828)&amp;"")</f>
        <v/>
      </c>
      <c r="I2828" s="32" t="str">
        <f aca="false">IF(L2828="","",INDEX(ポート振替表!$P$5:$P$3507,$L2828)&amp;"")</f>
        <v/>
      </c>
      <c r="J2828" s="60" t="str">
        <f aca="false">IF(L2828="","",INDEX(ポート振替表!$M$5:$M$3507,$L2828)&amp;"")</f>
        <v/>
      </c>
      <c r="K2828" s="52" t="str">
        <f aca="false">IF(L2828="","",E2828&amp;CHAR(10)&amp;INDEX(ポート振替表!$K$5:$K$3507,$L2828)&amp;" "&amp;INDEX(ポート振替表!$L$5:$L$3507,$L2828)&amp;CHAR(10)&amp;"⇔ "&amp;INDEX(ポート振替表!$H$5:$H$3507,$L2828)&amp;" "&amp;INDEX(ポート振替表!$I$5:$I$3507,$L2828))</f>
        <v/>
      </c>
      <c r="L2828" s="47" t="str">
        <f aca="false">IFERROR(MATCH(ROW()-4,ポート振替表!$V$5:$V$3507,0),"")</f>
        <v/>
      </c>
    </row>
    <row r="2829" customFormat="false" ht="16.4" hidden="false" customHeight="false" outlineLevel="0" collapsed="false">
      <c r="A2829" s="32" t="str">
        <f aca="false">IF(L2829="","",ROW()-4)</f>
        <v/>
      </c>
      <c r="B2829" s="58" t="str">
        <f aca="false">IF(L2829="","",IF(INDEX(ポート振替表!$W$5:$W$3507,$L2829)="","(なし)",INDEX(ポート振替表!$W$5:$W$3507,$L2829)&amp;""))</f>
        <v/>
      </c>
      <c r="C2829" s="52" t="str">
        <f aca="false">IF(L2829="","",INDEX(ポート振替表!$B$5:$B$3507,$L2829)&amp;" "&amp;INDEX(ポート振替表!$C$5:$C$3507,$L2829)&amp;"  ⇔  "&amp;INDEX(ポート振替表!$H$5:$H$3507,$L2829)&amp;" "&amp;INDEX(ポート振替表!$I$5:$I$3507,$L2829))</f>
        <v/>
      </c>
      <c r="D2829" s="57" t="s">
        <v>158</v>
      </c>
      <c r="E2829" s="59" t="str">
        <f aca="false">IF(L2829="","",IF(INDEX(ポート振替表!$O$5:$O$3507,$L2829)="","(未設定)",INDEX(ポート振替表!$O$5:$O$3507,$L2829)&amp;""))</f>
        <v/>
      </c>
      <c r="F2829" s="52" t="str">
        <f aca="false">IF(L2829="","",INDEX(ポート振替表!$K$5:$K$3507,$L2829)&amp;" "&amp;INDEX(ポート振替表!$L$5:$L$3507,$L2829)&amp;"  ⇔  "&amp;INDEX(ポート振替表!$H$5:$H$3507,$L2829)&amp;" "&amp;INDEX(ポート振替表!$I$5:$I$3507,$L2829))</f>
        <v/>
      </c>
      <c r="G2829" s="57" t="s">
        <v>158</v>
      </c>
      <c r="H2829" s="32" t="str">
        <f aca="false">IF(L2829="","",INDEX(ポート振替表!$N$5:$N$3507,$L2829)&amp;"")</f>
        <v/>
      </c>
      <c r="I2829" s="32" t="str">
        <f aca="false">IF(L2829="","",INDEX(ポート振替表!$P$5:$P$3507,$L2829)&amp;"")</f>
        <v/>
      </c>
      <c r="J2829" s="60" t="str">
        <f aca="false">IF(L2829="","",INDEX(ポート振替表!$M$5:$M$3507,$L2829)&amp;"")</f>
        <v/>
      </c>
      <c r="K2829" s="52" t="str">
        <f aca="false">IF(L2829="","",E2829&amp;CHAR(10)&amp;INDEX(ポート振替表!$K$5:$K$3507,$L2829)&amp;" "&amp;INDEX(ポート振替表!$L$5:$L$3507,$L2829)&amp;CHAR(10)&amp;"⇔ "&amp;INDEX(ポート振替表!$H$5:$H$3507,$L2829)&amp;" "&amp;INDEX(ポート振替表!$I$5:$I$3507,$L2829))</f>
        <v/>
      </c>
      <c r="L2829" s="47" t="str">
        <f aca="false">IFERROR(MATCH(ROW()-4,ポート振替表!$V$5:$V$3507,0),"")</f>
        <v/>
      </c>
    </row>
    <row r="2830" customFormat="false" ht="16.4" hidden="false" customHeight="false" outlineLevel="0" collapsed="false">
      <c r="A2830" s="32" t="str">
        <f aca="false">IF(L2830="","",ROW()-4)</f>
        <v/>
      </c>
      <c r="B2830" s="58" t="str">
        <f aca="false">IF(L2830="","",IF(INDEX(ポート振替表!$W$5:$W$3507,$L2830)="","(なし)",INDEX(ポート振替表!$W$5:$W$3507,$L2830)&amp;""))</f>
        <v/>
      </c>
      <c r="C2830" s="52" t="str">
        <f aca="false">IF(L2830="","",INDEX(ポート振替表!$B$5:$B$3507,$L2830)&amp;" "&amp;INDEX(ポート振替表!$C$5:$C$3507,$L2830)&amp;"  ⇔  "&amp;INDEX(ポート振替表!$H$5:$H$3507,$L2830)&amp;" "&amp;INDEX(ポート振替表!$I$5:$I$3507,$L2830))</f>
        <v/>
      </c>
      <c r="D2830" s="57" t="s">
        <v>158</v>
      </c>
      <c r="E2830" s="59" t="str">
        <f aca="false">IF(L2830="","",IF(INDEX(ポート振替表!$O$5:$O$3507,$L2830)="","(未設定)",INDEX(ポート振替表!$O$5:$O$3507,$L2830)&amp;""))</f>
        <v/>
      </c>
      <c r="F2830" s="52" t="str">
        <f aca="false">IF(L2830="","",INDEX(ポート振替表!$K$5:$K$3507,$L2830)&amp;" "&amp;INDEX(ポート振替表!$L$5:$L$3507,$L2830)&amp;"  ⇔  "&amp;INDEX(ポート振替表!$H$5:$H$3507,$L2830)&amp;" "&amp;INDEX(ポート振替表!$I$5:$I$3507,$L2830))</f>
        <v/>
      </c>
      <c r="G2830" s="57" t="s">
        <v>158</v>
      </c>
      <c r="H2830" s="32" t="str">
        <f aca="false">IF(L2830="","",INDEX(ポート振替表!$N$5:$N$3507,$L2830)&amp;"")</f>
        <v/>
      </c>
      <c r="I2830" s="32" t="str">
        <f aca="false">IF(L2830="","",INDEX(ポート振替表!$P$5:$P$3507,$L2830)&amp;"")</f>
        <v/>
      </c>
      <c r="J2830" s="60" t="str">
        <f aca="false">IF(L2830="","",INDEX(ポート振替表!$M$5:$M$3507,$L2830)&amp;"")</f>
        <v/>
      </c>
      <c r="K2830" s="52" t="str">
        <f aca="false">IF(L2830="","",E2830&amp;CHAR(10)&amp;INDEX(ポート振替表!$K$5:$K$3507,$L2830)&amp;" "&amp;INDEX(ポート振替表!$L$5:$L$3507,$L2830)&amp;CHAR(10)&amp;"⇔ "&amp;INDEX(ポート振替表!$H$5:$H$3507,$L2830)&amp;" "&amp;INDEX(ポート振替表!$I$5:$I$3507,$L2830))</f>
        <v/>
      </c>
      <c r="L2830" s="47" t="str">
        <f aca="false">IFERROR(MATCH(ROW()-4,ポート振替表!$V$5:$V$3507,0),"")</f>
        <v/>
      </c>
    </row>
    <row r="2831" customFormat="false" ht="16.4" hidden="false" customHeight="false" outlineLevel="0" collapsed="false">
      <c r="A2831" s="32" t="str">
        <f aca="false">IF(L2831="","",ROW()-4)</f>
        <v/>
      </c>
      <c r="B2831" s="58" t="str">
        <f aca="false">IF(L2831="","",IF(INDEX(ポート振替表!$W$5:$W$3507,$L2831)="","(なし)",INDEX(ポート振替表!$W$5:$W$3507,$L2831)&amp;""))</f>
        <v/>
      </c>
      <c r="C2831" s="52" t="str">
        <f aca="false">IF(L2831="","",INDEX(ポート振替表!$B$5:$B$3507,$L2831)&amp;" "&amp;INDEX(ポート振替表!$C$5:$C$3507,$L2831)&amp;"  ⇔  "&amp;INDEX(ポート振替表!$H$5:$H$3507,$L2831)&amp;" "&amp;INDEX(ポート振替表!$I$5:$I$3507,$L2831))</f>
        <v/>
      </c>
      <c r="D2831" s="57" t="s">
        <v>158</v>
      </c>
      <c r="E2831" s="59" t="str">
        <f aca="false">IF(L2831="","",IF(INDEX(ポート振替表!$O$5:$O$3507,$L2831)="","(未設定)",INDEX(ポート振替表!$O$5:$O$3507,$L2831)&amp;""))</f>
        <v/>
      </c>
      <c r="F2831" s="52" t="str">
        <f aca="false">IF(L2831="","",INDEX(ポート振替表!$K$5:$K$3507,$L2831)&amp;" "&amp;INDEX(ポート振替表!$L$5:$L$3507,$L2831)&amp;"  ⇔  "&amp;INDEX(ポート振替表!$H$5:$H$3507,$L2831)&amp;" "&amp;INDEX(ポート振替表!$I$5:$I$3507,$L2831))</f>
        <v/>
      </c>
      <c r="G2831" s="57" t="s">
        <v>158</v>
      </c>
      <c r="H2831" s="32" t="str">
        <f aca="false">IF(L2831="","",INDEX(ポート振替表!$N$5:$N$3507,$L2831)&amp;"")</f>
        <v/>
      </c>
      <c r="I2831" s="32" t="str">
        <f aca="false">IF(L2831="","",INDEX(ポート振替表!$P$5:$P$3507,$L2831)&amp;"")</f>
        <v/>
      </c>
      <c r="J2831" s="60" t="str">
        <f aca="false">IF(L2831="","",INDEX(ポート振替表!$M$5:$M$3507,$L2831)&amp;"")</f>
        <v/>
      </c>
      <c r="K2831" s="52" t="str">
        <f aca="false">IF(L2831="","",E2831&amp;CHAR(10)&amp;INDEX(ポート振替表!$K$5:$K$3507,$L2831)&amp;" "&amp;INDEX(ポート振替表!$L$5:$L$3507,$L2831)&amp;CHAR(10)&amp;"⇔ "&amp;INDEX(ポート振替表!$H$5:$H$3507,$L2831)&amp;" "&amp;INDEX(ポート振替表!$I$5:$I$3507,$L2831))</f>
        <v/>
      </c>
      <c r="L2831" s="47" t="str">
        <f aca="false">IFERROR(MATCH(ROW()-4,ポート振替表!$V$5:$V$3507,0),"")</f>
        <v/>
      </c>
    </row>
    <row r="2832" customFormat="false" ht="16.4" hidden="false" customHeight="false" outlineLevel="0" collapsed="false">
      <c r="A2832" s="32" t="str">
        <f aca="false">IF(L2832="","",ROW()-4)</f>
        <v/>
      </c>
      <c r="B2832" s="58" t="str">
        <f aca="false">IF(L2832="","",IF(INDEX(ポート振替表!$W$5:$W$3507,$L2832)="","(なし)",INDEX(ポート振替表!$W$5:$W$3507,$L2832)&amp;""))</f>
        <v/>
      </c>
      <c r="C2832" s="52" t="str">
        <f aca="false">IF(L2832="","",INDEX(ポート振替表!$B$5:$B$3507,$L2832)&amp;" "&amp;INDEX(ポート振替表!$C$5:$C$3507,$L2832)&amp;"  ⇔  "&amp;INDEX(ポート振替表!$H$5:$H$3507,$L2832)&amp;" "&amp;INDEX(ポート振替表!$I$5:$I$3507,$L2832))</f>
        <v/>
      </c>
      <c r="D2832" s="57" t="s">
        <v>158</v>
      </c>
      <c r="E2832" s="59" t="str">
        <f aca="false">IF(L2832="","",IF(INDEX(ポート振替表!$O$5:$O$3507,$L2832)="","(未設定)",INDEX(ポート振替表!$O$5:$O$3507,$L2832)&amp;""))</f>
        <v/>
      </c>
      <c r="F2832" s="52" t="str">
        <f aca="false">IF(L2832="","",INDEX(ポート振替表!$K$5:$K$3507,$L2832)&amp;" "&amp;INDEX(ポート振替表!$L$5:$L$3507,$L2832)&amp;"  ⇔  "&amp;INDEX(ポート振替表!$H$5:$H$3507,$L2832)&amp;" "&amp;INDEX(ポート振替表!$I$5:$I$3507,$L2832))</f>
        <v/>
      </c>
      <c r="G2832" s="57" t="s">
        <v>158</v>
      </c>
      <c r="H2832" s="32" t="str">
        <f aca="false">IF(L2832="","",INDEX(ポート振替表!$N$5:$N$3507,$L2832)&amp;"")</f>
        <v/>
      </c>
      <c r="I2832" s="32" t="str">
        <f aca="false">IF(L2832="","",INDEX(ポート振替表!$P$5:$P$3507,$L2832)&amp;"")</f>
        <v/>
      </c>
      <c r="J2832" s="60" t="str">
        <f aca="false">IF(L2832="","",INDEX(ポート振替表!$M$5:$M$3507,$L2832)&amp;"")</f>
        <v/>
      </c>
      <c r="K2832" s="52" t="str">
        <f aca="false">IF(L2832="","",E2832&amp;CHAR(10)&amp;INDEX(ポート振替表!$K$5:$K$3507,$L2832)&amp;" "&amp;INDEX(ポート振替表!$L$5:$L$3507,$L2832)&amp;CHAR(10)&amp;"⇔ "&amp;INDEX(ポート振替表!$H$5:$H$3507,$L2832)&amp;" "&amp;INDEX(ポート振替表!$I$5:$I$3507,$L2832))</f>
        <v/>
      </c>
      <c r="L2832" s="47" t="str">
        <f aca="false">IFERROR(MATCH(ROW()-4,ポート振替表!$V$5:$V$3507,0),"")</f>
        <v/>
      </c>
    </row>
    <row r="2833" customFormat="false" ht="16.4" hidden="false" customHeight="false" outlineLevel="0" collapsed="false">
      <c r="A2833" s="32" t="str">
        <f aca="false">IF(L2833="","",ROW()-4)</f>
        <v/>
      </c>
      <c r="B2833" s="58" t="str">
        <f aca="false">IF(L2833="","",IF(INDEX(ポート振替表!$W$5:$W$3507,$L2833)="","(なし)",INDEX(ポート振替表!$W$5:$W$3507,$L2833)&amp;""))</f>
        <v/>
      </c>
      <c r="C2833" s="52" t="str">
        <f aca="false">IF(L2833="","",INDEX(ポート振替表!$B$5:$B$3507,$L2833)&amp;" "&amp;INDEX(ポート振替表!$C$5:$C$3507,$L2833)&amp;"  ⇔  "&amp;INDEX(ポート振替表!$H$5:$H$3507,$L2833)&amp;" "&amp;INDEX(ポート振替表!$I$5:$I$3507,$L2833))</f>
        <v/>
      </c>
      <c r="D2833" s="57" t="s">
        <v>158</v>
      </c>
      <c r="E2833" s="59" t="str">
        <f aca="false">IF(L2833="","",IF(INDEX(ポート振替表!$O$5:$O$3507,$L2833)="","(未設定)",INDEX(ポート振替表!$O$5:$O$3507,$L2833)&amp;""))</f>
        <v/>
      </c>
      <c r="F2833" s="52" t="str">
        <f aca="false">IF(L2833="","",INDEX(ポート振替表!$K$5:$K$3507,$L2833)&amp;" "&amp;INDEX(ポート振替表!$L$5:$L$3507,$L2833)&amp;"  ⇔  "&amp;INDEX(ポート振替表!$H$5:$H$3507,$L2833)&amp;" "&amp;INDEX(ポート振替表!$I$5:$I$3507,$L2833))</f>
        <v/>
      </c>
      <c r="G2833" s="57" t="s">
        <v>158</v>
      </c>
      <c r="H2833" s="32" t="str">
        <f aca="false">IF(L2833="","",INDEX(ポート振替表!$N$5:$N$3507,$L2833)&amp;"")</f>
        <v/>
      </c>
      <c r="I2833" s="32" t="str">
        <f aca="false">IF(L2833="","",INDEX(ポート振替表!$P$5:$P$3507,$L2833)&amp;"")</f>
        <v/>
      </c>
      <c r="J2833" s="60" t="str">
        <f aca="false">IF(L2833="","",INDEX(ポート振替表!$M$5:$M$3507,$L2833)&amp;"")</f>
        <v/>
      </c>
      <c r="K2833" s="52" t="str">
        <f aca="false">IF(L2833="","",E2833&amp;CHAR(10)&amp;INDEX(ポート振替表!$K$5:$K$3507,$L2833)&amp;" "&amp;INDEX(ポート振替表!$L$5:$L$3507,$L2833)&amp;CHAR(10)&amp;"⇔ "&amp;INDEX(ポート振替表!$H$5:$H$3507,$L2833)&amp;" "&amp;INDEX(ポート振替表!$I$5:$I$3507,$L2833))</f>
        <v/>
      </c>
      <c r="L2833" s="47" t="str">
        <f aca="false">IFERROR(MATCH(ROW()-4,ポート振替表!$V$5:$V$3507,0),"")</f>
        <v/>
      </c>
    </row>
    <row r="2834" customFormat="false" ht="16.4" hidden="false" customHeight="false" outlineLevel="0" collapsed="false">
      <c r="A2834" s="32" t="str">
        <f aca="false">IF(L2834="","",ROW()-4)</f>
        <v/>
      </c>
      <c r="B2834" s="58" t="str">
        <f aca="false">IF(L2834="","",IF(INDEX(ポート振替表!$W$5:$W$3507,$L2834)="","(なし)",INDEX(ポート振替表!$W$5:$W$3507,$L2834)&amp;""))</f>
        <v/>
      </c>
      <c r="C2834" s="52" t="str">
        <f aca="false">IF(L2834="","",INDEX(ポート振替表!$B$5:$B$3507,$L2834)&amp;" "&amp;INDEX(ポート振替表!$C$5:$C$3507,$L2834)&amp;"  ⇔  "&amp;INDEX(ポート振替表!$H$5:$H$3507,$L2834)&amp;" "&amp;INDEX(ポート振替表!$I$5:$I$3507,$L2834))</f>
        <v/>
      </c>
      <c r="D2834" s="57" t="s">
        <v>158</v>
      </c>
      <c r="E2834" s="59" t="str">
        <f aca="false">IF(L2834="","",IF(INDEX(ポート振替表!$O$5:$O$3507,$L2834)="","(未設定)",INDEX(ポート振替表!$O$5:$O$3507,$L2834)&amp;""))</f>
        <v/>
      </c>
      <c r="F2834" s="52" t="str">
        <f aca="false">IF(L2834="","",INDEX(ポート振替表!$K$5:$K$3507,$L2834)&amp;" "&amp;INDEX(ポート振替表!$L$5:$L$3507,$L2834)&amp;"  ⇔  "&amp;INDEX(ポート振替表!$H$5:$H$3507,$L2834)&amp;" "&amp;INDEX(ポート振替表!$I$5:$I$3507,$L2834))</f>
        <v/>
      </c>
      <c r="G2834" s="57" t="s">
        <v>158</v>
      </c>
      <c r="H2834" s="32" t="str">
        <f aca="false">IF(L2834="","",INDEX(ポート振替表!$N$5:$N$3507,$L2834)&amp;"")</f>
        <v/>
      </c>
      <c r="I2834" s="32" t="str">
        <f aca="false">IF(L2834="","",INDEX(ポート振替表!$P$5:$P$3507,$L2834)&amp;"")</f>
        <v/>
      </c>
      <c r="J2834" s="60" t="str">
        <f aca="false">IF(L2834="","",INDEX(ポート振替表!$M$5:$M$3507,$L2834)&amp;"")</f>
        <v/>
      </c>
      <c r="K2834" s="52" t="str">
        <f aca="false">IF(L2834="","",E2834&amp;CHAR(10)&amp;INDEX(ポート振替表!$K$5:$K$3507,$L2834)&amp;" "&amp;INDEX(ポート振替表!$L$5:$L$3507,$L2834)&amp;CHAR(10)&amp;"⇔ "&amp;INDEX(ポート振替表!$H$5:$H$3507,$L2834)&amp;" "&amp;INDEX(ポート振替表!$I$5:$I$3507,$L2834))</f>
        <v/>
      </c>
      <c r="L2834" s="47" t="str">
        <f aca="false">IFERROR(MATCH(ROW()-4,ポート振替表!$V$5:$V$3507,0),"")</f>
        <v/>
      </c>
    </row>
    <row r="2835" customFormat="false" ht="16.4" hidden="false" customHeight="false" outlineLevel="0" collapsed="false">
      <c r="A2835" s="32" t="str">
        <f aca="false">IF(L2835="","",ROW()-4)</f>
        <v/>
      </c>
      <c r="B2835" s="58" t="str">
        <f aca="false">IF(L2835="","",IF(INDEX(ポート振替表!$W$5:$W$3507,$L2835)="","(なし)",INDEX(ポート振替表!$W$5:$W$3507,$L2835)&amp;""))</f>
        <v/>
      </c>
      <c r="C2835" s="52" t="str">
        <f aca="false">IF(L2835="","",INDEX(ポート振替表!$B$5:$B$3507,$L2835)&amp;" "&amp;INDEX(ポート振替表!$C$5:$C$3507,$L2835)&amp;"  ⇔  "&amp;INDEX(ポート振替表!$H$5:$H$3507,$L2835)&amp;" "&amp;INDEX(ポート振替表!$I$5:$I$3507,$L2835))</f>
        <v/>
      </c>
      <c r="D2835" s="57" t="s">
        <v>158</v>
      </c>
      <c r="E2835" s="59" t="str">
        <f aca="false">IF(L2835="","",IF(INDEX(ポート振替表!$O$5:$O$3507,$L2835)="","(未設定)",INDEX(ポート振替表!$O$5:$O$3507,$L2835)&amp;""))</f>
        <v/>
      </c>
      <c r="F2835" s="52" t="str">
        <f aca="false">IF(L2835="","",INDEX(ポート振替表!$K$5:$K$3507,$L2835)&amp;" "&amp;INDEX(ポート振替表!$L$5:$L$3507,$L2835)&amp;"  ⇔  "&amp;INDEX(ポート振替表!$H$5:$H$3507,$L2835)&amp;" "&amp;INDEX(ポート振替表!$I$5:$I$3507,$L2835))</f>
        <v/>
      </c>
      <c r="G2835" s="57" t="s">
        <v>158</v>
      </c>
      <c r="H2835" s="32" t="str">
        <f aca="false">IF(L2835="","",INDEX(ポート振替表!$N$5:$N$3507,$L2835)&amp;"")</f>
        <v/>
      </c>
      <c r="I2835" s="32" t="str">
        <f aca="false">IF(L2835="","",INDEX(ポート振替表!$P$5:$P$3507,$L2835)&amp;"")</f>
        <v/>
      </c>
      <c r="J2835" s="60" t="str">
        <f aca="false">IF(L2835="","",INDEX(ポート振替表!$M$5:$M$3507,$L2835)&amp;"")</f>
        <v/>
      </c>
      <c r="K2835" s="52" t="str">
        <f aca="false">IF(L2835="","",E2835&amp;CHAR(10)&amp;INDEX(ポート振替表!$K$5:$K$3507,$L2835)&amp;" "&amp;INDEX(ポート振替表!$L$5:$L$3507,$L2835)&amp;CHAR(10)&amp;"⇔ "&amp;INDEX(ポート振替表!$H$5:$H$3507,$L2835)&amp;" "&amp;INDEX(ポート振替表!$I$5:$I$3507,$L2835))</f>
        <v/>
      </c>
      <c r="L2835" s="47" t="str">
        <f aca="false">IFERROR(MATCH(ROW()-4,ポート振替表!$V$5:$V$3507,0),"")</f>
        <v/>
      </c>
    </row>
    <row r="2836" customFormat="false" ht="16.4" hidden="false" customHeight="false" outlineLevel="0" collapsed="false">
      <c r="A2836" s="32" t="str">
        <f aca="false">IF(L2836="","",ROW()-4)</f>
        <v/>
      </c>
      <c r="B2836" s="58" t="str">
        <f aca="false">IF(L2836="","",IF(INDEX(ポート振替表!$W$5:$W$3507,$L2836)="","(なし)",INDEX(ポート振替表!$W$5:$W$3507,$L2836)&amp;""))</f>
        <v/>
      </c>
      <c r="C2836" s="52" t="str">
        <f aca="false">IF(L2836="","",INDEX(ポート振替表!$B$5:$B$3507,$L2836)&amp;" "&amp;INDEX(ポート振替表!$C$5:$C$3507,$L2836)&amp;"  ⇔  "&amp;INDEX(ポート振替表!$H$5:$H$3507,$L2836)&amp;" "&amp;INDEX(ポート振替表!$I$5:$I$3507,$L2836))</f>
        <v/>
      </c>
      <c r="D2836" s="57" t="s">
        <v>158</v>
      </c>
      <c r="E2836" s="59" t="str">
        <f aca="false">IF(L2836="","",IF(INDEX(ポート振替表!$O$5:$O$3507,$L2836)="","(未設定)",INDEX(ポート振替表!$O$5:$O$3507,$L2836)&amp;""))</f>
        <v/>
      </c>
      <c r="F2836" s="52" t="str">
        <f aca="false">IF(L2836="","",INDEX(ポート振替表!$K$5:$K$3507,$L2836)&amp;" "&amp;INDEX(ポート振替表!$L$5:$L$3507,$L2836)&amp;"  ⇔  "&amp;INDEX(ポート振替表!$H$5:$H$3507,$L2836)&amp;" "&amp;INDEX(ポート振替表!$I$5:$I$3507,$L2836))</f>
        <v/>
      </c>
      <c r="G2836" s="57" t="s">
        <v>158</v>
      </c>
      <c r="H2836" s="32" t="str">
        <f aca="false">IF(L2836="","",INDEX(ポート振替表!$N$5:$N$3507,$L2836)&amp;"")</f>
        <v/>
      </c>
      <c r="I2836" s="32" t="str">
        <f aca="false">IF(L2836="","",INDEX(ポート振替表!$P$5:$P$3507,$L2836)&amp;"")</f>
        <v/>
      </c>
      <c r="J2836" s="60" t="str">
        <f aca="false">IF(L2836="","",INDEX(ポート振替表!$M$5:$M$3507,$L2836)&amp;"")</f>
        <v/>
      </c>
      <c r="K2836" s="52" t="str">
        <f aca="false">IF(L2836="","",E2836&amp;CHAR(10)&amp;INDEX(ポート振替表!$K$5:$K$3507,$L2836)&amp;" "&amp;INDEX(ポート振替表!$L$5:$L$3507,$L2836)&amp;CHAR(10)&amp;"⇔ "&amp;INDEX(ポート振替表!$H$5:$H$3507,$L2836)&amp;" "&amp;INDEX(ポート振替表!$I$5:$I$3507,$L2836))</f>
        <v/>
      </c>
      <c r="L2836" s="47" t="str">
        <f aca="false">IFERROR(MATCH(ROW()-4,ポート振替表!$V$5:$V$3507,0),"")</f>
        <v/>
      </c>
    </row>
    <row r="2837" customFormat="false" ht="16.4" hidden="false" customHeight="false" outlineLevel="0" collapsed="false">
      <c r="A2837" s="32" t="str">
        <f aca="false">IF(L2837="","",ROW()-4)</f>
        <v/>
      </c>
      <c r="B2837" s="58" t="str">
        <f aca="false">IF(L2837="","",IF(INDEX(ポート振替表!$W$5:$W$3507,$L2837)="","(なし)",INDEX(ポート振替表!$W$5:$W$3507,$L2837)&amp;""))</f>
        <v/>
      </c>
      <c r="C2837" s="52" t="str">
        <f aca="false">IF(L2837="","",INDEX(ポート振替表!$B$5:$B$3507,$L2837)&amp;" "&amp;INDEX(ポート振替表!$C$5:$C$3507,$L2837)&amp;"  ⇔  "&amp;INDEX(ポート振替表!$H$5:$H$3507,$L2837)&amp;" "&amp;INDEX(ポート振替表!$I$5:$I$3507,$L2837))</f>
        <v/>
      </c>
      <c r="D2837" s="57" t="s">
        <v>158</v>
      </c>
      <c r="E2837" s="59" t="str">
        <f aca="false">IF(L2837="","",IF(INDEX(ポート振替表!$O$5:$O$3507,$L2837)="","(未設定)",INDEX(ポート振替表!$O$5:$O$3507,$L2837)&amp;""))</f>
        <v/>
      </c>
      <c r="F2837" s="52" t="str">
        <f aca="false">IF(L2837="","",INDEX(ポート振替表!$K$5:$K$3507,$L2837)&amp;" "&amp;INDEX(ポート振替表!$L$5:$L$3507,$L2837)&amp;"  ⇔  "&amp;INDEX(ポート振替表!$H$5:$H$3507,$L2837)&amp;" "&amp;INDEX(ポート振替表!$I$5:$I$3507,$L2837))</f>
        <v/>
      </c>
      <c r="G2837" s="57" t="s">
        <v>158</v>
      </c>
      <c r="H2837" s="32" t="str">
        <f aca="false">IF(L2837="","",INDEX(ポート振替表!$N$5:$N$3507,$L2837)&amp;"")</f>
        <v/>
      </c>
      <c r="I2837" s="32" t="str">
        <f aca="false">IF(L2837="","",INDEX(ポート振替表!$P$5:$P$3507,$L2837)&amp;"")</f>
        <v/>
      </c>
      <c r="J2837" s="60" t="str">
        <f aca="false">IF(L2837="","",INDEX(ポート振替表!$M$5:$M$3507,$L2837)&amp;"")</f>
        <v/>
      </c>
      <c r="K2837" s="52" t="str">
        <f aca="false">IF(L2837="","",E2837&amp;CHAR(10)&amp;INDEX(ポート振替表!$K$5:$K$3507,$L2837)&amp;" "&amp;INDEX(ポート振替表!$L$5:$L$3507,$L2837)&amp;CHAR(10)&amp;"⇔ "&amp;INDEX(ポート振替表!$H$5:$H$3507,$L2837)&amp;" "&amp;INDEX(ポート振替表!$I$5:$I$3507,$L2837))</f>
        <v/>
      </c>
      <c r="L2837" s="47" t="str">
        <f aca="false">IFERROR(MATCH(ROW()-4,ポート振替表!$V$5:$V$3507,0),"")</f>
        <v/>
      </c>
    </row>
    <row r="2838" customFormat="false" ht="16.4" hidden="false" customHeight="false" outlineLevel="0" collapsed="false">
      <c r="A2838" s="32" t="str">
        <f aca="false">IF(L2838="","",ROW()-4)</f>
        <v/>
      </c>
      <c r="B2838" s="58" t="str">
        <f aca="false">IF(L2838="","",IF(INDEX(ポート振替表!$W$5:$W$3507,$L2838)="","(なし)",INDEX(ポート振替表!$W$5:$W$3507,$L2838)&amp;""))</f>
        <v/>
      </c>
      <c r="C2838" s="52" t="str">
        <f aca="false">IF(L2838="","",INDEX(ポート振替表!$B$5:$B$3507,$L2838)&amp;" "&amp;INDEX(ポート振替表!$C$5:$C$3507,$L2838)&amp;"  ⇔  "&amp;INDEX(ポート振替表!$H$5:$H$3507,$L2838)&amp;" "&amp;INDEX(ポート振替表!$I$5:$I$3507,$L2838))</f>
        <v/>
      </c>
      <c r="D2838" s="57" t="s">
        <v>158</v>
      </c>
      <c r="E2838" s="59" t="str">
        <f aca="false">IF(L2838="","",IF(INDEX(ポート振替表!$O$5:$O$3507,$L2838)="","(未設定)",INDEX(ポート振替表!$O$5:$O$3507,$L2838)&amp;""))</f>
        <v/>
      </c>
      <c r="F2838" s="52" t="str">
        <f aca="false">IF(L2838="","",INDEX(ポート振替表!$K$5:$K$3507,$L2838)&amp;" "&amp;INDEX(ポート振替表!$L$5:$L$3507,$L2838)&amp;"  ⇔  "&amp;INDEX(ポート振替表!$H$5:$H$3507,$L2838)&amp;" "&amp;INDEX(ポート振替表!$I$5:$I$3507,$L2838))</f>
        <v/>
      </c>
      <c r="G2838" s="57" t="s">
        <v>158</v>
      </c>
      <c r="H2838" s="32" t="str">
        <f aca="false">IF(L2838="","",INDEX(ポート振替表!$N$5:$N$3507,$L2838)&amp;"")</f>
        <v/>
      </c>
      <c r="I2838" s="32" t="str">
        <f aca="false">IF(L2838="","",INDEX(ポート振替表!$P$5:$P$3507,$L2838)&amp;"")</f>
        <v/>
      </c>
      <c r="J2838" s="60" t="str">
        <f aca="false">IF(L2838="","",INDEX(ポート振替表!$M$5:$M$3507,$L2838)&amp;"")</f>
        <v/>
      </c>
      <c r="K2838" s="52" t="str">
        <f aca="false">IF(L2838="","",E2838&amp;CHAR(10)&amp;INDEX(ポート振替表!$K$5:$K$3507,$L2838)&amp;" "&amp;INDEX(ポート振替表!$L$5:$L$3507,$L2838)&amp;CHAR(10)&amp;"⇔ "&amp;INDEX(ポート振替表!$H$5:$H$3507,$L2838)&amp;" "&amp;INDEX(ポート振替表!$I$5:$I$3507,$L2838))</f>
        <v/>
      </c>
      <c r="L2838" s="47" t="str">
        <f aca="false">IFERROR(MATCH(ROW()-4,ポート振替表!$V$5:$V$3507,0),"")</f>
        <v/>
      </c>
    </row>
    <row r="2839" customFormat="false" ht="16.4" hidden="false" customHeight="false" outlineLevel="0" collapsed="false">
      <c r="A2839" s="32" t="str">
        <f aca="false">IF(L2839="","",ROW()-4)</f>
        <v/>
      </c>
      <c r="B2839" s="58" t="str">
        <f aca="false">IF(L2839="","",IF(INDEX(ポート振替表!$W$5:$W$3507,$L2839)="","(なし)",INDEX(ポート振替表!$W$5:$W$3507,$L2839)&amp;""))</f>
        <v/>
      </c>
      <c r="C2839" s="52" t="str">
        <f aca="false">IF(L2839="","",INDEX(ポート振替表!$B$5:$B$3507,$L2839)&amp;" "&amp;INDEX(ポート振替表!$C$5:$C$3507,$L2839)&amp;"  ⇔  "&amp;INDEX(ポート振替表!$H$5:$H$3507,$L2839)&amp;" "&amp;INDEX(ポート振替表!$I$5:$I$3507,$L2839))</f>
        <v/>
      </c>
      <c r="D2839" s="57" t="s">
        <v>158</v>
      </c>
      <c r="E2839" s="59" t="str">
        <f aca="false">IF(L2839="","",IF(INDEX(ポート振替表!$O$5:$O$3507,$L2839)="","(未設定)",INDEX(ポート振替表!$O$5:$O$3507,$L2839)&amp;""))</f>
        <v/>
      </c>
      <c r="F2839" s="52" t="str">
        <f aca="false">IF(L2839="","",INDEX(ポート振替表!$K$5:$K$3507,$L2839)&amp;" "&amp;INDEX(ポート振替表!$L$5:$L$3507,$L2839)&amp;"  ⇔  "&amp;INDEX(ポート振替表!$H$5:$H$3507,$L2839)&amp;" "&amp;INDEX(ポート振替表!$I$5:$I$3507,$L2839))</f>
        <v/>
      </c>
      <c r="G2839" s="57" t="s">
        <v>158</v>
      </c>
      <c r="H2839" s="32" t="str">
        <f aca="false">IF(L2839="","",INDEX(ポート振替表!$N$5:$N$3507,$L2839)&amp;"")</f>
        <v/>
      </c>
      <c r="I2839" s="32" t="str">
        <f aca="false">IF(L2839="","",INDEX(ポート振替表!$P$5:$P$3507,$L2839)&amp;"")</f>
        <v/>
      </c>
      <c r="J2839" s="60" t="str">
        <f aca="false">IF(L2839="","",INDEX(ポート振替表!$M$5:$M$3507,$L2839)&amp;"")</f>
        <v/>
      </c>
      <c r="K2839" s="52" t="str">
        <f aca="false">IF(L2839="","",E2839&amp;CHAR(10)&amp;INDEX(ポート振替表!$K$5:$K$3507,$L2839)&amp;" "&amp;INDEX(ポート振替表!$L$5:$L$3507,$L2839)&amp;CHAR(10)&amp;"⇔ "&amp;INDEX(ポート振替表!$H$5:$H$3507,$L2839)&amp;" "&amp;INDEX(ポート振替表!$I$5:$I$3507,$L2839))</f>
        <v/>
      </c>
      <c r="L2839" s="47" t="str">
        <f aca="false">IFERROR(MATCH(ROW()-4,ポート振替表!$V$5:$V$3507,0),"")</f>
        <v/>
      </c>
    </row>
    <row r="2840" customFormat="false" ht="16.4" hidden="false" customHeight="false" outlineLevel="0" collapsed="false">
      <c r="A2840" s="32" t="str">
        <f aca="false">IF(L2840="","",ROW()-4)</f>
        <v/>
      </c>
      <c r="B2840" s="58" t="str">
        <f aca="false">IF(L2840="","",IF(INDEX(ポート振替表!$W$5:$W$3507,$L2840)="","(なし)",INDEX(ポート振替表!$W$5:$W$3507,$L2840)&amp;""))</f>
        <v/>
      </c>
      <c r="C2840" s="52" t="str">
        <f aca="false">IF(L2840="","",INDEX(ポート振替表!$B$5:$B$3507,$L2840)&amp;" "&amp;INDEX(ポート振替表!$C$5:$C$3507,$L2840)&amp;"  ⇔  "&amp;INDEX(ポート振替表!$H$5:$H$3507,$L2840)&amp;" "&amp;INDEX(ポート振替表!$I$5:$I$3507,$L2840))</f>
        <v/>
      </c>
      <c r="D2840" s="57" t="s">
        <v>158</v>
      </c>
      <c r="E2840" s="59" t="str">
        <f aca="false">IF(L2840="","",IF(INDEX(ポート振替表!$O$5:$O$3507,$L2840)="","(未設定)",INDEX(ポート振替表!$O$5:$O$3507,$L2840)&amp;""))</f>
        <v/>
      </c>
      <c r="F2840" s="52" t="str">
        <f aca="false">IF(L2840="","",INDEX(ポート振替表!$K$5:$K$3507,$L2840)&amp;" "&amp;INDEX(ポート振替表!$L$5:$L$3507,$L2840)&amp;"  ⇔  "&amp;INDEX(ポート振替表!$H$5:$H$3507,$L2840)&amp;" "&amp;INDEX(ポート振替表!$I$5:$I$3507,$L2840))</f>
        <v/>
      </c>
      <c r="G2840" s="57" t="s">
        <v>158</v>
      </c>
      <c r="H2840" s="32" t="str">
        <f aca="false">IF(L2840="","",INDEX(ポート振替表!$N$5:$N$3507,$L2840)&amp;"")</f>
        <v/>
      </c>
      <c r="I2840" s="32" t="str">
        <f aca="false">IF(L2840="","",INDEX(ポート振替表!$P$5:$P$3507,$L2840)&amp;"")</f>
        <v/>
      </c>
      <c r="J2840" s="60" t="str">
        <f aca="false">IF(L2840="","",INDEX(ポート振替表!$M$5:$M$3507,$L2840)&amp;"")</f>
        <v/>
      </c>
      <c r="K2840" s="52" t="str">
        <f aca="false">IF(L2840="","",E2840&amp;CHAR(10)&amp;INDEX(ポート振替表!$K$5:$K$3507,$L2840)&amp;" "&amp;INDEX(ポート振替表!$L$5:$L$3507,$L2840)&amp;CHAR(10)&amp;"⇔ "&amp;INDEX(ポート振替表!$H$5:$H$3507,$L2840)&amp;" "&amp;INDEX(ポート振替表!$I$5:$I$3507,$L2840))</f>
        <v/>
      </c>
      <c r="L2840" s="47" t="str">
        <f aca="false">IFERROR(MATCH(ROW()-4,ポート振替表!$V$5:$V$3507,0),"")</f>
        <v/>
      </c>
    </row>
    <row r="2841" customFormat="false" ht="16.4" hidden="false" customHeight="false" outlineLevel="0" collapsed="false">
      <c r="A2841" s="32" t="str">
        <f aca="false">IF(L2841="","",ROW()-4)</f>
        <v/>
      </c>
      <c r="B2841" s="58" t="str">
        <f aca="false">IF(L2841="","",IF(INDEX(ポート振替表!$W$5:$W$3507,$L2841)="","(なし)",INDEX(ポート振替表!$W$5:$W$3507,$L2841)&amp;""))</f>
        <v/>
      </c>
      <c r="C2841" s="52" t="str">
        <f aca="false">IF(L2841="","",INDEX(ポート振替表!$B$5:$B$3507,$L2841)&amp;" "&amp;INDEX(ポート振替表!$C$5:$C$3507,$L2841)&amp;"  ⇔  "&amp;INDEX(ポート振替表!$H$5:$H$3507,$L2841)&amp;" "&amp;INDEX(ポート振替表!$I$5:$I$3507,$L2841))</f>
        <v/>
      </c>
      <c r="D2841" s="57" t="s">
        <v>158</v>
      </c>
      <c r="E2841" s="59" t="str">
        <f aca="false">IF(L2841="","",IF(INDEX(ポート振替表!$O$5:$O$3507,$L2841)="","(未設定)",INDEX(ポート振替表!$O$5:$O$3507,$L2841)&amp;""))</f>
        <v/>
      </c>
      <c r="F2841" s="52" t="str">
        <f aca="false">IF(L2841="","",INDEX(ポート振替表!$K$5:$K$3507,$L2841)&amp;" "&amp;INDEX(ポート振替表!$L$5:$L$3507,$L2841)&amp;"  ⇔  "&amp;INDEX(ポート振替表!$H$5:$H$3507,$L2841)&amp;" "&amp;INDEX(ポート振替表!$I$5:$I$3507,$L2841))</f>
        <v/>
      </c>
      <c r="G2841" s="57" t="s">
        <v>158</v>
      </c>
      <c r="H2841" s="32" t="str">
        <f aca="false">IF(L2841="","",INDEX(ポート振替表!$N$5:$N$3507,$L2841)&amp;"")</f>
        <v/>
      </c>
      <c r="I2841" s="32" t="str">
        <f aca="false">IF(L2841="","",INDEX(ポート振替表!$P$5:$P$3507,$L2841)&amp;"")</f>
        <v/>
      </c>
      <c r="J2841" s="60" t="str">
        <f aca="false">IF(L2841="","",INDEX(ポート振替表!$M$5:$M$3507,$L2841)&amp;"")</f>
        <v/>
      </c>
      <c r="K2841" s="52" t="str">
        <f aca="false">IF(L2841="","",E2841&amp;CHAR(10)&amp;INDEX(ポート振替表!$K$5:$K$3507,$L2841)&amp;" "&amp;INDEX(ポート振替表!$L$5:$L$3507,$L2841)&amp;CHAR(10)&amp;"⇔ "&amp;INDEX(ポート振替表!$H$5:$H$3507,$L2841)&amp;" "&amp;INDEX(ポート振替表!$I$5:$I$3507,$L2841))</f>
        <v/>
      </c>
      <c r="L2841" s="47" t="str">
        <f aca="false">IFERROR(MATCH(ROW()-4,ポート振替表!$V$5:$V$3507,0),"")</f>
        <v/>
      </c>
    </row>
    <row r="2842" customFormat="false" ht="16.4" hidden="false" customHeight="false" outlineLevel="0" collapsed="false">
      <c r="A2842" s="32" t="str">
        <f aca="false">IF(L2842="","",ROW()-4)</f>
        <v/>
      </c>
      <c r="B2842" s="58" t="str">
        <f aca="false">IF(L2842="","",IF(INDEX(ポート振替表!$W$5:$W$3507,$L2842)="","(なし)",INDEX(ポート振替表!$W$5:$W$3507,$L2842)&amp;""))</f>
        <v/>
      </c>
      <c r="C2842" s="52" t="str">
        <f aca="false">IF(L2842="","",INDEX(ポート振替表!$B$5:$B$3507,$L2842)&amp;" "&amp;INDEX(ポート振替表!$C$5:$C$3507,$L2842)&amp;"  ⇔  "&amp;INDEX(ポート振替表!$H$5:$H$3507,$L2842)&amp;" "&amp;INDEX(ポート振替表!$I$5:$I$3507,$L2842))</f>
        <v/>
      </c>
      <c r="D2842" s="57" t="s">
        <v>158</v>
      </c>
      <c r="E2842" s="59" t="str">
        <f aca="false">IF(L2842="","",IF(INDEX(ポート振替表!$O$5:$O$3507,$L2842)="","(未設定)",INDEX(ポート振替表!$O$5:$O$3507,$L2842)&amp;""))</f>
        <v/>
      </c>
      <c r="F2842" s="52" t="str">
        <f aca="false">IF(L2842="","",INDEX(ポート振替表!$K$5:$K$3507,$L2842)&amp;" "&amp;INDEX(ポート振替表!$L$5:$L$3507,$L2842)&amp;"  ⇔  "&amp;INDEX(ポート振替表!$H$5:$H$3507,$L2842)&amp;" "&amp;INDEX(ポート振替表!$I$5:$I$3507,$L2842))</f>
        <v/>
      </c>
      <c r="G2842" s="57" t="s">
        <v>158</v>
      </c>
      <c r="H2842" s="32" t="str">
        <f aca="false">IF(L2842="","",INDEX(ポート振替表!$N$5:$N$3507,$L2842)&amp;"")</f>
        <v/>
      </c>
      <c r="I2842" s="32" t="str">
        <f aca="false">IF(L2842="","",INDEX(ポート振替表!$P$5:$P$3507,$L2842)&amp;"")</f>
        <v/>
      </c>
      <c r="J2842" s="60" t="str">
        <f aca="false">IF(L2842="","",INDEX(ポート振替表!$M$5:$M$3507,$L2842)&amp;"")</f>
        <v/>
      </c>
      <c r="K2842" s="52" t="str">
        <f aca="false">IF(L2842="","",E2842&amp;CHAR(10)&amp;INDEX(ポート振替表!$K$5:$K$3507,$L2842)&amp;" "&amp;INDEX(ポート振替表!$L$5:$L$3507,$L2842)&amp;CHAR(10)&amp;"⇔ "&amp;INDEX(ポート振替表!$H$5:$H$3507,$L2842)&amp;" "&amp;INDEX(ポート振替表!$I$5:$I$3507,$L2842))</f>
        <v/>
      </c>
      <c r="L2842" s="47" t="str">
        <f aca="false">IFERROR(MATCH(ROW()-4,ポート振替表!$V$5:$V$3507,0),"")</f>
        <v/>
      </c>
    </row>
    <row r="2843" customFormat="false" ht="16.4" hidden="false" customHeight="false" outlineLevel="0" collapsed="false">
      <c r="A2843" s="32" t="str">
        <f aca="false">IF(L2843="","",ROW()-4)</f>
        <v/>
      </c>
      <c r="B2843" s="58" t="str">
        <f aca="false">IF(L2843="","",IF(INDEX(ポート振替表!$W$5:$W$3507,$L2843)="","(なし)",INDEX(ポート振替表!$W$5:$W$3507,$L2843)&amp;""))</f>
        <v/>
      </c>
      <c r="C2843" s="52" t="str">
        <f aca="false">IF(L2843="","",INDEX(ポート振替表!$B$5:$B$3507,$L2843)&amp;" "&amp;INDEX(ポート振替表!$C$5:$C$3507,$L2843)&amp;"  ⇔  "&amp;INDEX(ポート振替表!$H$5:$H$3507,$L2843)&amp;" "&amp;INDEX(ポート振替表!$I$5:$I$3507,$L2843))</f>
        <v/>
      </c>
      <c r="D2843" s="57" t="s">
        <v>158</v>
      </c>
      <c r="E2843" s="59" t="str">
        <f aca="false">IF(L2843="","",IF(INDEX(ポート振替表!$O$5:$O$3507,$L2843)="","(未設定)",INDEX(ポート振替表!$O$5:$O$3507,$L2843)&amp;""))</f>
        <v/>
      </c>
      <c r="F2843" s="52" t="str">
        <f aca="false">IF(L2843="","",INDEX(ポート振替表!$K$5:$K$3507,$L2843)&amp;" "&amp;INDEX(ポート振替表!$L$5:$L$3507,$L2843)&amp;"  ⇔  "&amp;INDEX(ポート振替表!$H$5:$H$3507,$L2843)&amp;" "&amp;INDEX(ポート振替表!$I$5:$I$3507,$L2843))</f>
        <v/>
      </c>
      <c r="G2843" s="57" t="s">
        <v>158</v>
      </c>
      <c r="H2843" s="32" t="str">
        <f aca="false">IF(L2843="","",INDEX(ポート振替表!$N$5:$N$3507,$L2843)&amp;"")</f>
        <v/>
      </c>
      <c r="I2843" s="32" t="str">
        <f aca="false">IF(L2843="","",INDEX(ポート振替表!$P$5:$P$3507,$L2843)&amp;"")</f>
        <v/>
      </c>
      <c r="J2843" s="60" t="str">
        <f aca="false">IF(L2843="","",INDEX(ポート振替表!$M$5:$M$3507,$L2843)&amp;"")</f>
        <v/>
      </c>
      <c r="K2843" s="52" t="str">
        <f aca="false">IF(L2843="","",E2843&amp;CHAR(10)&amp;INDEX(ポート振替表!$K$5:$K$3507,$L2843)&amp;" "&amp;INDEX(ポート振替表!$L$5:$L$3507,$L2843)&amp;CHAR(10)&amp;"⇔ "&amp;INDEX(ポート振替表!$H$5:$H$3507,$L2843)&amp;" "&amp;INDEX(ポート振替表!$I$5:$I$3507,$L2843))</f>
        <v/>
      </c>
      <c r="L2843" s="47" t="str">
        <f aca="false">IFERROR(MATCH(ROW()-4,ポート振替表!$V$5:$V$3507,0),"")</f>
        <v/>
      </c>
    </row>
    <row r="2844" customFormat="false" ht="16.4" hidden="false" customHeight="false" outlineLevel="0" collapsed="false">
      <c r="A2844" s="32" t="str">
        <f aca="false">IF(L2844="","",ROW()-4)</f>
        <v/>
      </c>
      <c r="B2844" s="58" t="str">
        <f aca="false">IF(L2844="","",IF(INDEX(ポート振替表!$W$5:$W$3507,$L2844)="","(なし)",INDEX(ポート振替表!$W$5:$W$3507,$L2844)&amp;""))</f>
        <v/>
      </c>
      <c r="C2844" s="52" t="str">
        <f aca="false">IF(L2844="","",INDEX(ポート振替表!$B$5:$B$3507,$L2844)&amp;" "&amp;INDEX(ポート振替表!$C$5:$C$3507,$L2844)&amp;"  ⇔  "&amp;INDEX(ポート振替表!$H$5:$H$3507,$L2844)&amp;" "&amp;INDEX(ポート振替表!$I$5:$I$3507,$L2844))</f>
        <v/>
      </c>
      <c r="D2844" s="57" t="s">
        <v>158</v>
      </c>
      <c r="E2844" s="59" t="str">
        <f aca="false">IF(L2844="","",IF(INDEX(ポート振替表!$O$5:$O$3507,$L2844)="","(未設定)",INDEX(ポート振替表!$O$5:$O$3507,$L2844)&amp;""))</f>
        <v/>
      </c>
      <c r="F2844" s="52" t="str">
        <f aca="false">IF(L2844="","",INDEX(ポート振替表!$K$5:$K$3507,$L2844)&amp;" "&amp;INDEX(ポート振替表!$L$5:$L$3507,$L2844)&amp;"  ⇔  "&amp;INDEX(ポート振替表!$H$5:$H$3507,$L2844)&amp;" "&amp;INDEX(ポート振替表!$I$5:$I$3507,$L2844))</f>
        <v/>
      </c>
      <c r="G2844" s="57" t="s">
        <v>158</v>
      </c>
      <c r="H2844" s="32" t="str">
        <f aca="false">IF(L2844="","",INDEX(ポート振替表!$N$5:$N$3507,$L2844)&amp;"")</f>
        <v/>
      </c>
      <c r="I2844" s="32" t="str">
        <f aca="false">IF(L2844="","",INDEX(ポート振替表!$P$5:$P$3507,$L2844)&amp;"")</f>
        <v/>
      </c>
      <c r="J2844" s="60" t="str">
        <f aca="false">IF(L2844="","",INDEX(ポート振替表!$M$5:$M$3507,$L2844)&amp;"")</f>
        <v/>
      </c>
      <c r="K2844" s="52" t="str">
        <f aca="false">IF(L2844="","",E2844&amp;CHAR(10)&amp;INDEX(ポート振替表!$K$5:$K$3507,$L2844)&amp;" "&amp;INDEX(ポート振替表!$L$5:$L$3507,$L2844)&amp;CHAR(10)&amp;"⇔ "&amp;INDEX(ポート振替表!$H$5:$H$3507,$L2844)&amp;" "&amp;INDEX(ポート振替表!$I$5:$I$3507,$L2844))</f>
        <v/>
      </c>
      <c r="L2844" s="47" t="str">
        <f aca="false">IFERROR(MATCH(ROW()-4,ポート振替表!$V$5:$V$3507,0),"")</f>
        <v/>
      </c>
    </row>
    <row r="2845" customFormat="false" ht="16.4" hidden="false" customHeight="false" outlineLevel="0" collapsed="false">
      <c r="A2845" s="32" t="str">
        <f aca="false">IF(L2845="","",ROW()-4)</f>
        <v/>
      </c>
      <c r="B2845" s="58" t="str">
        <f aca="false">IF(L2845="","",IF(INDEX(ポート振替表!$W$5:$W$3507,$L2845)="","(なし)",INDEX(ポート振替表!$W$5:$W$3507,$L2845)&amp;""))</f>
        <v/>
      </c>
      <c r="C2845" s="52" t="str">
        <f aca="false">IF(L2845="","",INDEX(ポート振替表!$B$5:$B$3507,$L2845)&amp;" "&amp;INDEX(ポート振替表!$C$5:$C$3507,$L2845)&amp;"  ⇔  "&amp;INDEX(ポート振替表!$H$5:$H$3507,$L2845)&amp;" "&amp;INDEX(ポート振替表!$I$5:$I$3507,$L2845))</f>
        <v/>
      </c>
      <c r="D2845" s="57" t="s">
        <v>158</v>
      </c>
      <c r="E2845" s="59" t="str">
        <f aca="false">IF(L2845="","",IF(INDEX(ポート振替表!$O$5:$O$3507,$L2845)="","(未設定)",INDEX(ポート振替表!$O$5:$O$3507,$L2845)&amp;""))</f>
        <v/>
      </c>
      <c r="F2845" s="52" t="str">
        <f aca="false">IF(L2845="","",INDEX(ポート振替表!$K$5:$K$3507,$L2845)&amp;" "&amp;INDEX(ポート振替表!$L$5:$L$3507,$L2845)&amp;"  ⇔  "&amp;INDEX(ポート振替表!$H$5:$H$3507,$L2845)&amp;" "&amp;INDEX(ポート振替表!$I$5:$I$3507,$L2845))</f>
        <v/>
      </c>
      <c r="G2845" s="57" t="s">
        <v>158</v>
      </c>
      <c r="H2845" s="32" t="str">
        <f aca="false">IF(L2845="","",INDEX(ポート振替表!$N$5:$N$3507,$L2845)&amp;"")</f>
        <v/>
      </c>
      <c r="I2845" s="32" t="str">
        <f aca="false">IF(L2845="","",INDEX(ポート振替表!$P$5:$P$3507,$L2845)&amp;"")</f>
        <v/>
      </c>
      <c r="J2845" s="60" t="str">
        <f aca="false">IF(L2845="","",INDEX(ポート振替表!$M$5:$M$3507,$L2845)&amp;"")</f>
        <v/>
      </c>
      <c r="K2845" s="52" t="str">
        <f aca="false">IF(L2845="","",E2845&amp;CHAR(10)&amp;INDEX(ポート振替表!$K$5:$K$3507,$L2845)&amp;" "&amp;INDEX(ポート振替表!$L$5:$L$3507,$L2845)&amp;CHAR(10)&amp;"⇔ "&amp;INDEX(ポート振替表!$H$5:$H$3507,$L2845)&amp;" "&amp;INDEX(ポート振替表!$I$5:$I$3507,$L2845))</f>
        <v/>
      </c>
      <c r="L2845" s="47" t="str">
        <f aca="false">IFERROR(MATCH(ROW()-4,ポート振替表!$V$5:$V$3507,0),"")</f>
        <v/>
      </c>
    </row>
    <row r="2846" customFormat="false" ht="16.4" hidden="false" customHeight="false" outlineLevel="0" collapsed="false">
      <c r="A2846" s="32" t="str">
        <f aca="false">IF(L2846="","",ROW()-4)</f>
        <v/>
      </c>
      <c r="B2846" s="58" t="str">
        <f aca="false">IF(L2846="","",IF(INDEX(ポート振替表!$W$5:$W$3507,$L2846)="","(なし)",INDEX(ポート振替表!$W$5:$W$3507,$L2846)&amp;""))</f>
        <v/>
      </c>
      <c r="C2846" s="52" t="str">
        <f aca="false">IF(L2846="","",INDEX(ポート振替表!$B$5:$B$3507,$L2846)&amp;" "&amp;INDEX(ポート振替表!$C$5:$C$3507,$L2846)&amp;"  ⇔  "&amp;INDEX(ポート振替表!$H$5:$H$3507,$L2846)&amp;" "&amp;INDEX(ポート振替表!$I$5:$I$3507,$L2846))</f>
        <v/>
      </c>
      <c r="D2846" s="57" t="s">
        <v>158</v>
      </c>
      <c r="E2846" s="59" t="str">
        <f aca="false">IF(L2846="","",IF(INDEX(ポート振替表!$O$5:$O$3507,$L2846)="","(未設定)",INDEX(ポート振替表!$O$5:$O$3507,$L2846)&amp;""))</f>
        <v/>
      </c>
      <c r="F2846" s="52" t="str">
        <f aca="false">IF(L2846="","",INDEX(ポート振替表!$K$5:$K$3507,$L2846)&amp;" "&amp;INDEX(ポート振替表!$L$5:$L$3507,$L2846)&amp;"  ⇔  "&amp;INDEX(ポート振替表!$H$5:$H$3507,$L2846)&amp;" "&amp;INDEX(ポート振替表!$I$5:$I$3507,$L2846))</f>
        <v/>
      </c>
      <c r="G2846" s="57" t="s">
        <v>158</v>
      </c>
      <c r="H2846" s="32" t="str">
        <f aca="false">IF(L2846="","",INDEX(ポート振替表!$N$5:$N$3507,$L2846)&amp;"")</f>
        <v/>
      </c>
      <c r="I2846" s="32" t="str">
        <f aca="false">IF(L2846="","",INDEX(ポート振替表!$P$5:$P$3507,$L2846)&amp;"")</f>
        <v/>
      </c>
      <c r="J2846" s="60" t="str">
        <f aca="false">IF(L2846="","",INDEX(ポート振替表!$M$5:$M$3507,$L2846)&amp;"")</f>
        <v/>
      </c>
      <c r="K2846" s="52" t="str">
        <f aca="false">IF(L2846="","",E2846&amp;CHAR(10)&amp;INDEX(ポート振替表!$K$5:$K$3507,$L2846)&amp;" "&amp;INDEX(ポート振替表!$L$5:$L$3507,$L2846)&amp;CHAR(10)&amp;"⇔ "&amp;INDEX(ポート振替表!$H$5:$H$3507,$L2846)&amp;" "&amp;INDEX(ポート振替表!$I$5:$I$3507,$L2846))</f>
        <v/>
      </c>
      <c r="L2846" s="47" t="str">
        <f aca="false">IFERROR(MATCH(ROW()-4,ポート振替表!$V$5:$V$3507,0),"")</f>
        <v/>
      </c>
    </row>
    <row r="2847" customFormat="false" ht="16.4" hidden="false" customHeight="false" outlineLevel="0" collapsed="false">
      <c r="A2847" s="32" t="str">
        <f aca="false">IF(L2847="","",ROW()-4)</f>
        <v/>
      </c>
      <c r="B2847" s="58" t="str">
        <f aca="false">IF(L2847="","",IF(INDEX(ポート振替表!$W$5:$W$3507,$L2847)="","(なし)",INDEX(ポート振替表!$W$5:$W$3507,$L2847)&amp;""))</f>
        <v/>
      </c>
      <c r="C2847" s="52" t="str">
        <f aca="false">IF(L2847="","",INDEX(ポート振替表!$B$5:$B$3507,$L2847)&amp;" "&amp;INDEX(ポート振替表!$C$5:$C$3507,$L2847)&amp;"  ⇔  "&amp;INDEX(ポート振替表!$H$5:$H$3507,$L2847)&amp;" "&amp;INDEX(ポート振替表!$I$5:$I$3507,$L2847))</f>
        <v/>
      </c>
      <c r="D2847" s="57" t="s">
        <v>158</v>
      </c>
      <c r="E2847" s="59" t="str">
        <f aca="false">IF(L2847="","",IF(INDEX(ポート振替表!$O$5:$O$3507,$L2847)="","(未設定)",INDEX(ポート振替表!$O$5:$O$3507,$L2847)&amp;""))</f>
        <v/>
      </c>
      <c r="F2847" s="52" t="str">
        <f aca="false">IF(L2847="","",INDEX(ポート振替表!$K$5:$K$3507,$L2847)&amp;" "&amp;INDEX(ポート振替表!$L$5:$L$3507,$L2847)&amp;"  ⇔  "&amp;INDEX(ポート振替表!$H$5:$H$3507,$L2847)&amp;" "&amp;INDEX(ポート振替表!$I$5:$I$3507,$L2847))</f>
        <v/>
      </c>
      <c r="G2847" s="57" t="s">
        <v>158</v>
      </c>
      <c r="H2847" s="32" t="str">
        <f aca="false">IF(L2847="","",INDEX(ポート振替表!$N$5:$N$3507,$L2847)&amp;"")</f>
        <v/>
      </c>
      <c r="I2847" s="32" t="str">
        <f aca="false">IF(L2847="","",INDEX(ポート振替表!$P$5:$P$3507,$L2847)&amp;"")</f>
        <v/>
      </c>
      <c r="J2847" s="60" t="str">
        <f aca="false">IF(L2847="","",INDEX(ポート振替表!$M$5:$M$3507,$L2847)&amp;"")</f>
        <v/>
      </c>
      <c r="K2847" s="52" t="str">
        <f aca="false">IF(L2847="","",E2847&amp;CHAR(10)&amp;INDEX(ポート振替表!$K$5:$K$3507,$L2847)&amp;" "&amp;INDEX(ポート振替表!$L$5:$L$3507,$L2847)&amp;CHAR(10)&amp;"⇔ "&amp;INDEX(ポート振替表!$H$5:$H$3507,$L2847)&amp;" "&amp;INDEX(ポート振替表!$I$5:$I$3507,$L2847))</f>
        <v/>
      </c>
      <c r="L2847" s="47" t="str">
        <f aca="false">IFERROR(MATCH(ROW()-4,ポート振替表!$V$5:$V$3507,0),"")</f>
        <v/>
      </c>
    </row>
    <row r="2848" customFormat="false" ht="16.4" hidden="false" customHeight="false" outlineLevel="0" collapsed="false">
      <c r="A2848" s="32" t="str">
        <f aca="false">IF(L2848="","",ROW()-4)</f>
        <v/>
      </c>
      <c r="B2848" s="58" t="str">
        <f aca="false">IF(L2848="","",IF(INDEX(ポート振替表!$W$5:$W$3507,$L2848)="","(なし)",INDEX(ポート振替表!$W$5:$W$3507,$L2848)&amp;""))</f>
        <v/>
      </c>
      <c r="C2848" s="52" t="str">
        <f aca="false">IF(L2848="","",INDEX(ポート振替表!$B$5:$B$3507,$L2848)&amp;" "&amp;INDEX(ポート振替表!$C$5:$C$3507,$L2848)&amp;"  ⇔  "&amp;INDEX(ポート振替表!$H$5:$H$3507,$L2848)&amp;" "&amp;INDEX(ポート振替表!$I$5:$I$3507,$L2848))</f>
        <v/>
      </c>
      <c r="D2848" s="57" t="s">
        <v>158</v>
      </c>
      <c r="E2848" s="59" t="str">
        <f aca="false">IF(L2848="","",IF(INDEX(ポート振替表!$O$5:$O$3507,$L2848)="","(未設定)",INDEX(ポート振替表!$O$5:$O$3507,$L2848)&amp;""))</f>
        <v/>
      </c>
      <c r="F2848" s="52" t="str">
        <f aca="false">IF(L2848="","",INDEX(ポート振替表!$K$5:$K$3507,$L2848)&amp;" "&amp;INDEX(ポート振替表!$L$5:$L$3507,$L2848)&amp;"  ⇔  "&amp;INDEX(ポート振替表!$H$5:$H$3507,$L2848)&amp;" "&amp;INDEX(ポート振替表!$I$5:$I$3507,$L2848))</f>
        <v/>
      </c>
      <c r="G2848" s="57" t="s">
        <v>158</v>
      </c>
      <c r="H2848" s="32" t="str">
        <f aca="false">IF(L2848="","",INDEX(ポート振替表!$N$5:$N$3507,$L2848)&amp;"")</f>
        <v/>
      </c>
      <c r="I2848" s="32" t="str">
        <f aca="false">IF(L2848="","",INDEX(ポート振替表!$P$5:$P$3507,$L2848)&amp;"")</f>
        <v/>
      </c>
      <c r="J2848" s="60" t="str">
        <f aca="false">IF(L2848="","",INDEX(ポート振替表!$M$5:$M$3507,$L2848)&amp;"")</f>
        <v/>
      </c>
      <c r="K2848" s="52" t="str">
        <f aca="false">IF(L2848="","",E2848&amp;CHAR(10)&amp;INDEX(ポート振替表!$K$5:$K$3507,$L2848)&amp;" "&amp;INDEX(ポート振替表!$L$5:$L$3507,$L2848)&amp;CHAR(10)&amp;"⇔ "&amp;INDEX(ポート振替表!$H$5:$H$3507,$L2848)&amp;" "&amp;INDEX(ポート振替表!$I$5:$I$3507,$L2848))</f>
        <v/>
      </c>
      <c r="L2848" s="47" t="str">
        <f aca="false">IFERROR(MATCH(ROW()-4,ポート振替表!$V$5:$V$3507,0),"")</f>
        <v/>
      </c>
    </row>
    <row r="2849" customFormat="false" ht="16.4" hidden="false" customHeight="false" outlineLevel="0" collapsed="false">
      <c r="A2849" s="32" t="str">
        <f aca="false">IF(L2849="","",ROW()-4)</f>
        <v/>
      </c>
      <c r="B2849" s="58" t="str">
        <f aca="false">IF(L2849="","",IF(INDEX(ポート振替表!$W$5:$W$3507,$L2849)="","(なし)",INDEX(ポート振替表!$W$5:$W$3507,$L2849)&amp;""))</f>
        <v/>
      </c>
      <c r="C2849" s="52" t="str">
        <f aca="false">IF(L2849="","",INDEX(ポート振替表!$B$5:$B$3507,$L2849)&amp;" "&amp;INDEX(ポート振替表!$C$5:$C$3507,$L2849)&amp;"  ⇔  "&amp;INDEX(ポート振替表!$H$5:$H$3507,$L2849)&amp;" "&amp;INDEX(ポート振替表!$I$5:$I$3507,$L2849))</f>
        <v/>
      </c>
      <c r="D2849" s="57" t="s">
        <v>158</v>
      </c>
      <c r="E2849" s="59" t="str">
        <f aca="false">IF(L2849="","",IF(INDEX(ポート振替表!$O$5:$O$3507,$L2849)="","(未設定)",INDEX(ポート振替表!$O$5:$O$3507,$L2849)&amp;""))</f>
        <v/>
      </c>
      <c r="F2849" s="52" t="str">
        <f aca="false">IF(L2849="","",INDEX(ポート振替表!$K$5:$K$3507,$L2849)&amp;" "&amp;INDEX(ポート振替表!$L$5:$L$3507,$L2849)&amp;"  ⇔  "&amp;INDEX(ポート振替表!$H$5:$H$3507,$L2849)&amp;" "&amp;INDEX(ポート振替表!$I$5:$I$3507,$L2849))</f>
        <v/>
      </c>
      <c r="G2849" s="57" t="s">
        <v>158</v>
      </c>
      <c r="H2849" s="32" t="str">
        <f aca="false">IF(L2849="","",INDEX(ポート振替表!$N$5:$N$3507,$L2849)&amp;"")</f>
        <v/>
      </c>
      <c r="I2849" s="32" t="str">
        <f aca="false">IF(L2849="","",INDEX(ポート振替表!$P$5:$P$3507,$L2849)&amp;"")</f>
        <v/>
      </c>
      <c r="J2849" s="60" t="str">
        <f aca="false">IF(L2849="","",INDEX(ポート振替表!$M$5:$M$3507,$L2849)&amp;"")</f>
        <v/>
      </c>
      <c r="K2849" s="52" t="str">
        <f aca="false">IF(L2849="","",E2849&amp;CHAR(10)&amp;INDEX(ポート振替表!$K$5:$K$3507,$L2849)&amp;" "&amp;INDEX(ポート振替表!$L$5:$L$3507,$L2849)&amp;CHAR(10)&amp;"⇔ "&amp;INDEX(ポート振替表!$H$5:$H$3507,$L2849)&amp;" "&amp;INDEX(ポート振替表!$I$5:$I$3507,$L2849))</f>
        <v/>
      </c>
      <c r="L2849" s="47" t="str">
        <f aca="false">IFERROR(MATCH(ROW()-4,ポート振替表!$V$5:$V$3507,0),"")</f>
        <v/>
      </c>
    </row>
    <row r="2850" customFormat="false" ht="16.4" hidden="false" customHeight="false" outlineLevel="0" collapsed="false">
      <c r="A2850" s="32" t="str">
        <f aca="false">IF(L2850="","",ROW()-4)</f>
        <v/>
      </c>
      <c r="B2850" s="58" t="str">
        <f aca="false">IF(L2850="","",IF(INDEX(ポート振替表!$W$5:$W$3507,$L2850)="","(なし)",INDEX(ポート振替表!$W$5:$W$3507,$L2850)&amp;""))</f>
        <v/>
      </c>
      <c r="C2850" s="52" t="str">
        <f aca="false">IF(L2850="","",INDEX(ポート振替表!$B$5:$B$3507,$L2850)&amp;" "&amp;INDEX(ポート振替表!$C$5:$C$3507,$L2850)&amp;"  ⇔  "&amp;INDEX(ポート振替表!$H$5:$H$3507,$L2850)&amp;" "&amp;INDEX(ポート振替表!$I$5:$I$3507,$L2850))</f>
        <v/>
      </c>
      <c r="D2850" s="57" t="s">
        <v>158</v>
      </c>
      <c r="E2850" s="59" t="str">
        <f aca="false">IF(L2850="","",IF(INDEX(ポート振替表!$O$5:$O$3507,$L2850)="","(未設定)",INDEX(ポート振替表!$O$5:$O$3507,$L2850)&amp;""))</f>
        <v/>
      </c>
      <c r="F2850" s="52" t="str">
        <f aca="false">IF(L2850="","",INDEX(ポート振替表!$K$5:$K$3507,$L2850)&amp;" "&amp;INDEX(ポート振替表!$L$5:$L$3507,$L2850)&amp;"  ⇔  "&amp;INDEX(ポート振替表!$H$5:$H$3507,$L2850)&amp;" "&amp;INDEX(ポート振替表!$I$5:$I$3507,$L2850))</f>
        <v/>
      </c>
      <c r="G2850" s="57" t="s">
        <v>158</v>
      </c>
      <c r="H2850" s="32" t="str">
        <f aca="false">IF(L2850="","",INDEX(ポート振替表!$N$5:$N$3507,$L2850)&amp;"")</f>
        <v/>
      </c>
      <c r="I2850" s="32" t="str">
        <f aca="false">IF(L2850="","",INDEX(ポート振替表!$P$5:$P$3507,$L2850)&amp;"")</f>
        <v/>
      </c>
      <c r="J2850" s="60" t="str">
        <f aca="false">IF(L2850="","",INDEX(ポート振替表!$M$5:$M$3507,$L2850)&amp;"")</f>
        <v/>
      </c>
      <c r="K2850" s="52" t="str">
        <f aca="false">IF(L2850="","",E2850&amp;CHAR(10)&amp;INDEX(ポート振替表!$K$5:$K$3507,$L2850)&amp;" "&amp;INDEX(ポート振替表!$L$5:$L$3507,$L2850)&amp;CHAR(10)&amp;"⇔ "&amp;INDEX(ポート振替表!$H$5:$H$3507,$L2850)&amp;" "&amp;INDEX(ポート振替表!$I$5:$I$3507,$L2850))</f>
        <v/>
      </c>
      <c r="L2850" s="47" t="str">
        <f aca="false">IFERROR(MATCH(ROW()-4,ポート振替表!$V$5:$V$3507,0),"")</f>
        <v/>
      </c>
    </row>
    <row r="2851" customFormat="false" ht="16.4" hidden="false" customHeight="false" outlineLevel="0" collapsed="false">
      <c r="A2851" s="32" t="str">
        <f aca="false">IF(L2851="","",ROW()-4)</f>
        <v/>
      </c>
      <c r="B2851" s="58" t="str">
        <f aca="false">IF(L2851="","",IF(INDEX(ポート振替表!$W$5:$W$3507,$L2851)="","(なし)",INDEX(ポート振替表!$W$5:$W$3507,$L2851)&amp;""))</f>
        <v/>
      </c>
      <c r="C2851" s="52" t="str">
        <f aca="false">IF(L2851="","",INDEX(ポート振替表!$B$5:$B$3507,$L2851)&amp;" "&amp;INDEX(ポート振替表!$C$5:$C$3507,$L2851)&amp;"  ⇔  "&amp;INDEX(ポート振替表!$H$5:$H$3507,$L2851)&amp;" "&amp;INDEX(ポート振替表!$I$5:$I$3507,$L2851))</f>
        <v/>
      </c>
      <c r="D2851" s="57" t="s">
        <v>158</v>
      </c>
      <c r="E2851" s="59" t="str">
        <f aca="false">IF(L2851="","",IF(INDEX(ポート振替表!$O$5:$O$3507,$L2851)="","(未設定)",INDEX(ポート振替表!$O$5:$O$3507,$L2851)&amp;""))</f>
        <v/>
      </c>
      <c r="F2851" s="52" t="str">
        <f aca="false">IF(L2851="","",INDEX(ポート振替表!$K$5:$K$3507,$L2851)&amp;" "&amp;INDEX(ポート振替表!$L$5:$L$3507,$L2851)&amp;"  ⇔  "&amp;INDEX(ポート振替表!$H$5:$H$3507,$L2851)&amp;" "&amp;INDEX(ポート振替表!$I$5:$I$3507,$L2851))</f>
        <v/>
      </c>
      <c r="G2851" s="57" t="s">
        <v>158</v>
      </c>
      <c r="H2851" s="32" t="str">
        <f aca="false">IF(L2851="","",INDEX(ポート振替表!$N$5:$N$3507,$L2851)&amp;"")</f>
        <v/>
      </c>
      <c r="I2851" s="32" t="str">
        <f aca="false">IF(L2851="","",INDEX(ポート振替表!$P$5:$P$3507,$L2851)&amp;"")</f>
        <v/>
      </c>
      <c r="J2851" s="60" t="str">
        <f aca="false">IF(L2851="","",INDEX(ポート振替表!$M$5:$M$3507,$L2851)&amp;"")</f>
        <v/>
      </c>
      <c r="K2851" s="52" t="str">
        <f aca="false">IF(L2851="","",E2851&amp;CHAR(10)&amp;INDEX(ポート振替表!$K$5:$K$3507,$L2851)&amp;" "&amp;INDEX(ポート振替表!$L$5:$L$3507,$L2851)&amp;CHAR(10)&amp;"⇔ "&amp;INDEX(ポート振替表!$H$5:$H$3507,$L2851)&amp;" "&amp;INDEX(ポート振替表!$I$5:$I$3507,$L2851))</f>
        <v/>
      </c>
      <c r="L2851" s="47" t="str">
        <f aca="false">IFERROR(MATCH(ROW()-4,ポート振替表!$V$5:$V$3507,0),"")</f>
        <v/>
      </c>
    </row>
    <row r="2852" customFormat="false" ht="16.4" hidden="false" customHeight="false" outlineLevel="0" collapsed="false">
      <c r="A2852" s="32" t="str">
        <f aca="false">IF(L2852="","",ROW()-4)</f>
        <v/>
      </c>
      <c r="B2852" s="58" t="str">
        <f aca="false">IF(L2852="","",IF(INDEX(ポート振替表!$W$5:$W$3507,$L2852)="","(なし)",INDEX(ポート振替表!$W$5:$W$3507,$L2852)&amp;""))</f>
        <v/>
      </c>
      <c r="C2852" s="52" t="str">
        <f aca="false">IF(L2852="","",INDEX(ポート振替表!$B$5:$B$3507,$L2852)&amp;" "&amp;INDEX(ポート振替表!$C$5:$C$3507,$L2852)&amp;"  ⇔  "&amp;INDEX(ポート振替表!$H$5:$H$3507,$L2852)&amp;" "&amp;INDEX(ポート振替表!$I$5:$I$3507,$L2852))</f>
        <v/>
      </c>
      <c r="D2852" s="57" t="s">
        <v>158</v>
      </c>
      <c r="E2852" s="59" t="str">
        <f aca="false">IF(L2852="","",IF(INDEX(ポート振替表!$O$5:$O$3507,$L2852)="","(未設定)",INDEX(ポート振替表!$O$5:$O$3507,$L2852)&amp;""))</f>
        <v/>
      </c>
      <c r="F2852" s="52" t="str">
        <f aca="false">IF(L2852="","",INDEX(ポート振替表!$K$5:$K$3507,$L2852)&amp;" "&amp;INDEX(ポート振替表!$L$5:$L$3507,$L2852)&amp;"  ⇔  "&amp;INDEX(ポート振替表!$H$5:$H$3507,$L2852)&amp;" "&amp;INDEX(ポート振替表!$I$5:$I$3507,$L2852))</f>
        <v/>
      </c>
      <c r="G2852" s="57" t="s">
        <v>158</v>
      </c>
      <c r="H2852" s="32" t="str">
        <f aca="false">IF(L2852="","",INDEX(ポート振替表!$N$5:$N$3507,$L2852)&amp;"")</f>
        <v/>
      </c>
      <c r="I2852" s="32" t="str">
        <f aca="false">IF(L2852="","",INDEX(ポート振替表!$P$5:$P$3507,$L2852)&amp;"")</f>
        <v/>
      </c>
      <c r="J2852" s="60" t="str">
        <f aca="false">IF(L2852="","",INDEX(ポート振替表!$M$5:$M$3507,$L2852)&amp;"")</f>
        <v/>
      </c>
      <c r="K2852" s="52" t="str">
        <f aca="false">IF(L2852="","",E2852&amp;CHAR(10)&amp;INDEX(ポート振替表!$K$5:$K$3507,$L2852)&amp;" "&amp;INDEX(ポート振替表!$L$5:$L$3507,$L2852)&amp;CHAR(10)&amp;"⇔ "&amp;INDEX(ポート振替表!$H$5:$H$3507,$L2852)&amp;" "&amp;INDEX(ポート振替表!$I$5:$I$3507,$L2852))</f>
        <v/>
      </c>
      <c r="L2852" s="47" t="str">
        <f aca="false">IFERROR(MATCH(ROW()-4,ポート振替表!$V$5:$V$3507,0),"")</f>
        <v/>
      </c>
    </row>
    <row r="2853" customFormat="false" ht="16.4" hidden="false" customHeight="false" outlineLevel="0" collapsed="false">
      <c r="A2853" s="32" t="str">
        <f aca="false">IF(L2853="","",ROW()-4)</f>
        <v/>
      </c>
      <c r="B2853" s="58" t="str">
        <f aca="false">IF(L2853="","",IF(INDEX(ポート振替表!$W$5:$W$3507,$L2853)="","(なし)",INDEX(ポート振替表!$W$5:$W$3507,$L2853)&amp;""))</f>
        <v/>
      </c>
      <c r="C2853" s="52" t="str">
        <f aca="false">IF(L2853="","",INDEX(ポート振替表!$B$5:$B$3507,$L2853)&amp;" "&amp;INDEX(ポート振替表!$C$5:$C$3507,$L2853)&amp;"  ⇔  "&amp;INDEX(ポート振替表!$H$5:$H$3507,$L2853)&amp;" "&amp;INDEX(ポート振替表!$I$5:$I$3507,$L2853))</f>
        <v/>
      </c>
      <c r="D2853" s="57" t="s">
        <v>158</v>
      </c>
      <c r="E2853" s="59" t="str">
        <f aca="false">IF(L2853="","",IF(INDEX(ポート振替表!$O$5:$O$3507,$L2853)="","(未設定)",INDEX(ポート振替表!$O$5:$O$3507,$L2853)&amp;""))</f>
        <v/>
      </c>
      <c r="F2853" s="52" t="str">
        <f aca="false">IF(L2853="","",INDEX(ポート振替表!$K$5:$K$3507,$L2853)&amp;" "&amp;INDEX(ポート振替表!$L$5:$L$3507,$L2853)&amp;"  ⇔  "&amp;INDEX(ポート振替表!$H$5:$H$3507,$L2853)&amp;" "&amp;INDEX(ポート振替表!$I$5:$I$3507,$L2853))</f>
        <v/>
      </c>
      <c r="G2853" s="57" t="s">
        <v>158</v>
      </c>
      <c r="H2853" s="32" t="str">
        <f aca="false">IF(L2853="","",INDEX(ポート振替表!$N$5:$N$3507,$L2853)&amp;"")</f>
        <v/>
      </c>
      <c r="I2853" s="32" t="str">
        <f aca="false">IF(L2853="","",INDEX(ポート振替表!$P$5:$P$3507,$L2853)&amp;"")</f>
        <v/>
      </c>
      <c r="J2853" s="60" t="str">
        <f aca="false">IF(L2853="","",INDEX(ポート振替表!$M$5:$M$3507,$L2853)&amp;"")</f>
        <v/>
      </c>
      <c r="K2853" s="52" t="str">
        <f aca="false">IF(L2853="","",E2853&amp;CHAR(10)&amp;INDEX(ポート振替表!$K$5:$K$3507,$L2853)&amp;" "&amp;INDEX(ポート振替表!$L$5:$L$3507,$L2853)&amp;CHAR(10)&amp;"⇔ "&amp;INDEX(ポート振替表!$H$5:$H$3507,$L2853)&amp;" "&amp;INDEX(ポート振替表!$I$5:$I$3507,$L2853))</f>
        <v/>
      </c>
      <c r="L2853" s="47" t="str">
        <f aca="false">IFERROR(MATCH(ROW()-4,ポート振替表!$V$5:$V$3507,0),"")</f>
        <v/>
      </c>
    </row>
    <row r="2854" customFormat="false" ht="16.4" hidden="false" customHeight="false" outlineLevel="0" collapsed="false">
      <c r="A2854" s="32" t="str">
        <f aca="false">IF(L2854="","",ROW()-4)</f>
        <v/>
      </c>
      <c r="B2854" s="58" t="str">
        <f aca="false">IF(L2854="","",IF(INDEX(ポート振替表!$W$5:$W$3507,$L2854)="","(なし)",INDEX(ポート振替表!$W$5:$W$3507,$L2854)&amp;""))</f>
        <v/>
      </c>
      <c r="C2854" s="52" t="str">
        <f aca="false">IF(L2854="","",INDEX(ポート振替表!$B$5:$B$3507,$L2854)&amp;" "&amp;INDEX(ポート振替表!$C$5:$C$3507,$L2854)&amp;"  ⇔  "&amp;INDEX(ポート振替表!$H$5:$H$3507,$L2854)&amp;" "&amp;INDEX(ポート振替表!$I$5:$I$3507,$L2854))</f>
        <v/>
      </c>
      <c r="D2854" s="57" t="s">
        <v>158</v>
      </c>
      <c r="E2854" s="59" t="str">
        <f aca="false">IF(L2854="","",IF(INDEX(ポート振替表!$O$5:$O$3507,$L2854)="","(未設定)",INDEX(ポート振替表!$O$5:$O$3507,$L2854)&amp;""))</f>
        <v/>
      </c>
      <c r="F2854" s="52" t="str">
        <f aca="false">IF(L2854="","",INDEX(ポート振替表!$K$5:$K$3507,$L2854)&amp;" "&amp;INDEX(ポート振替表!$L$5:$L$3507,$L2854)&amp;"  ⇔  "&amp;INDEX(ポート振替表!$H$5:$H$3507,$L2854)&amp;" "&amp;INDEX(ポート振替表!$I$5:$I$3507,$L2854))</f>
        <v/>
      </c>
      <c r="G2854" s="57" t="s">
        <v>158</v>
      </c>
      <c r="H2854" s="32" t="str">
        <f aca="false">IF(L2854="","",INDEX(ポート振替表!$N$5:$N$3507,$L2854)&amp;"")</f>
        <v/>
      </c>
      <c r="I2854" s="32" t="str">
        <f aca="false">IF(L2854="","",INDEX(ポート振替表!$P$5:$P$3507,$L2854)&amp;"")</f>
        <v/>
      </c>
      <c r="J2854" s="60" t="str">
        <f aca="false">IF(L2854="","",INDEX(ポート振替表!$M$5:$M$3507,$L2854)&amp;"")</f>
        <v/>
      </c>
      <c r="K2854" s="52" t="str">
        <f aca="false">IF(L2854="","",E2854&amp;CHAR(10)&amp;INDEX(ポート振替表!$K$5:$K$3507,$L2854)&amp;" "&amp;INDEX(ポート振替表!$L$5:$L$3507,$L2854)&amp;CHAR(10)&amp;"⇔ "&amp;INDEX(ポート振替表!$H$5:$H$3507,$L2854)&amp;" "&amp;INDEX(ポート振替表!$I$5:$I$3507,$L2854))</f>
        <v/>
      </c>
      <c r="L2854" s="47" t="str">
        <f aca="false">IFERROR(MATCH(ROW()-4,ポート振替表!$V$5:$V$3507,0),"")</f>
        <v/>
      </c>
    </row>
    <row r="2855" customFormat="false" ht="16.4" hidden="false" customHeight="false" outlineLevel="0" collapsed="false">
      <c r="A2855" s="32" t="str">
        <f aca="false">IF(L2855="","",ROW()-4)</f>
        <v/>
      </c>
      <c r="B2855" s="58" t="str">
        <f aca="false">IF(L2855="","",IF(INDEX(ポート振替表!$W$5:$W$3507,$L2855)="","(なし)",INDEX(ポート振替表!$W$5:$W$3507,$L2855)&amp;""))</f>
        <v/>
      </c>
      <c r="C2855" s="52" t="str">
        <f aca="false">IF(L2855="","",INDEX(ポート振替表!$B$5:$B$3507,$L2855)&amp;" "&amp;INDEX(ポート振替表!$C$5:$C$3507,$L2855)&amp;"  ⇔  "&amp;INDEX(ポート振替表!$H$5:$H$3507,$L2855)&amp;" "&amp;INDEX(ポート振替表!$I$5:$I$3507,$L2855))</f>
        <v/>
      </c>
      <c r="D2855" s="57" t="s">
        <v>158</v>
      </c>
      <c r="E2855" s="59" t="str">
        <f aca="false">IF(L2855="","",IF(INDEX(ポート振替表!$O$5:$O$3507,$L2855)="","(未設定)",INDEX(ポート振替表!$O$5:$O$3507,$L2855)&amp;""))</f>
        <v/>
      </c>
      <c r="F2855" s="52" t="str">
        <f aca="false">IF(L2855="","",INDEX(ポート振替表!$K$5:$K$3507,$L2855)&amp;" "&amp;INDEX(ポート振替表!$L$5:$L$3507,$L2855)&amp;"  ⇔  "&amp;INDEX(ポート振替表!$H$5:$H$3507,$L2855)&amp;" "&amp;INDEX(ポート振替表!$I$5:$I$3507,$L2855))</f>
        <v/>
      </c>
      <c r="G2855" s="57" t="s">
        <v>158</v>
      </c>
      <c r="H2855" s="32" t="str">
        <f aca="false">IF(L2855="","",INDEX(ポート振替表!$N$5:$N$3507,$L2855)&amp;"")</f>
        <v/>
      </c>
      <c r="I2855" s="32" t="str">
        <f aca="false">IF(L2855="","",INDEX(ポート振替表!$P$5:$P$3507,$L2855)&amp;"")</f>
        <v/>
      </c>
      <c r="J2855" s="60" t="str">
        <f aca="false">IF(L2855="","",INDEX(ポート振替表!$M$5:$M$3507,$L2855)&amp;"")</f>
        <v/>
      </c>
      <c r="K2855" s="52" t="str">
        <f aca="false">IF(L2855="","",E2855&amp;CHAR(10)&amp;INDEX(ポート振替表!$K$5:$K$3507,$L2855)&amp;" "&amp;INDEX(ポート振替表!$L$5:$L$3507,$L2855)&amp;CHAR(10)&amp;"⇔ "&amp;INDEX(ポート振替表!$H$5:$H$3507,$L2855)&amp;" "&amp;INDEX(ポート振替表!$I$5:$I$3507,$L2855))</f>
        <v/>
      </c>
      <c r="L2855" s="47" t="str">
        <f aca="false">IFERROR(MATCH(ROW()-4,ポート振替表!$V$5:$V$3507,0),"")</f>
        <v/>
      </c>
    </row>
    <row r="2856" customFormat="false" ht="16.4" hidden="false" customHeight="false" outlineLevel="0" collapsed="false">
      <c r="A2856" s="32" t="str">
        <f aca="false">IF(L2856="","",ROW()-4)</f>
        <v/>
      </c>
      <c r="B2856" s="58" t="str">
        <f aca="false">IF(L2856="","",IF(INDEX(ポート振替表!$W$5:$W$3507,$L2856)="","(なし)",INDEX(ポート振替表!$W$5:$W$3507,$L2856)&amp;""))</f>
        <v/>
      </c>
      <c r="C2856" s="52" t="str">
        <f aca="false">IF(L2856="","",INDEX(ポート振替表!$B$5:$B$3507,$L2856)&amp;" "&amp;INDEX(ポート振替表!$C$5:$C$3507,$L2856)&amp;"  ⇔  "&amp;INDEX(ポート振替表!$H$5:$H$3507,$L2856)&amp;" "&amp;INDEX(ポート振替表!$I$5:$I$3507,$L2856))</f>
        <v/>
      </c>
      <c r="D2856" s="57" t="s">
        <v>158</v>
      </c>
      <c r="E2856" s="59" t="str">
        <f aca="false">IF(L2856="","",IF(INDEX(ポート振替表!$O$5:$O$3507,$L2856)="","(未設定)",INDEX(ポート振替表!$O$5:$O$3507,$L2856)&amp;""))</f>
        <v/>
      </c>
      <c r="F2856" s="52" t="str">
        <f aca="false">IF(L2856="","",INDEX(ポート振替表!$K$5:$K$3507,$L2856)&amp;" "&amp;INDEX(ポート振替表!$L$5:$L$3507,$L2856)&amp;"  ⇔  "&amp;INDEX(ポート振替表!$H$5:$H$3507,$L2856)&amp;" "&amp;INDEX(ポート振替表!$I$5:$I$3507,$L2856))</f>
        <v/>
      </c>
      <c r="G2856" s="57" t="s">
        <v>158</v>
      </c>
      <c r="H2856" s="32" t="str">
        <f aca="false">IF(L2856="","",INDEX(ポート振替表!$N$5:$N$3507,$L2856)&amp;"")</f>
        <v/>
      </c>
      <c r="I2856" s="32" t="str">
        <f aca="false">IF(L2856="","",INDEX(ポート振替表!$P$5:$P$3507,$L2856)&amp;"")</f>
        <v/>
      </c>
      <c r="J2856" s="60" t="str">
        <f aca="false">IF(L2856="","",INDEX(ポート振替表!$M$5:$M$3507,$L2856)&amp;"")</f>
        <v/>
      </c>
      <c r="K2856" s="52" t="str">
        <f aca="false">IF(L2856="","",E2856&amp;CHAR(10)&amp;INDEX(ポート振替表!$K$5:$K$3507,$L2856)&amp;" "&amp;INDEX(ポート振替表!$L$5:$L$3507,$L2856)&amp;CHAR(10)&amp;"⇔ "&amp;INDEX(ポート振替表!$H$5:$H$3507,$L2856)&amp;" "&amp;INDEX(ポート振替表!$I$5:$I$3507,$L2856))</f>
        <v/>
      </c>
      <c r="L2856" s="47" t="str">
        <f aca="false">IFERROR(MATCH(ROW()-4,ポート振替表!$V$5:$V$3507,0),"")</f>
        <v/>
      </c>
    </row>
    <row r="2857" customFormat="false" ht="16.4" hidden="false" customHeight="false" outlineLevel="0" collapsed="false">
      <c r="A2857" s="32" t="str">
        <f aca="false">IF(L2857="","",ROW()-4)</f>
        <v/>
      </c>
      <c r="B2857" s="58" t="str">
        <f aca="false">IF(L2857="","",IF(INDEX(ポート振替表!$W$5:$W$3507,$L2857)="","(なし)",INDEX(ポート振替表!$W$5:$W$3507,$L2857)&amp;""))</f>
        <v/>
      </c>
      <c r="C2857" s="52" t="str">
        <f aca="false">IF(L2857="","",INDEX(ポート振替表!$B$5:$B$3507,$L2857)&amp;" "&amp;INDEX(ポート振替表!$C$5:$C$3507,$L2857)&amp;"  ⇔  "&amp;INDEX(ポート振替表!$H$5:$H$3507,$L2857)&amp;" "&amp;INDEX(ポート振替表!$I$5:$I$3507,$L2857))</f>
        <v/>
      </c>
      <c r="D2857" s="57" t="s">
        <v>158</v>
      </c>
      <c r="E2857" s="59" t="str">
        <f aca="false">IF(L2857="","",IF(INDEX(ポート振替表!$O$5:$O$3507,$L2857)="","(未設定)",INDEX(ポート振替表!$O$5:$O$3507,$L2857)&amp;""))</f>
        <v/>
      </c>
      <c r="F2857" s="52" t="str">
        <f aca="false">IF(L2857="","",INDEX(ポート振替表!$K$5:$K$3507,$L2857)&amp;" "&amp;INDEX(ポート振替表!$L$5:$L$3507,$L2857)&amp;"  ⇔  "&amp;INDEX(ポート振替表!$H$5:$H$3507,$L2857)&amp;" "&amp;INDEX(ポート振替表!$I$5:$I$3507,$L2857))</f>
        <v/>
      </c>
      <c r="G2857" s="57" t="s">
        <v>158</v>
      </c>
      <c r="H2857" s="32" t="str">
        <f aca="false">IF(L2857="","",INDEX(ポート振替表!$N$5:$N$3507,$L2857)&amp;"")</f>
        <v/>
      </c>
      <c r="I2857" s="32" t="str">
        <f aca="false">IF(L2857="","",INDEX(ポート振替表!$P$5:$P$3507,$L2857)&amp;"")</f>
        <v/>
      </c>
      <c r="J2857" s="60" t="str">
        <f aca="false">IF(L2857="","",INDEX(ポート振替表!$M$5:$M$3507,$L2857)&amp;"")</f>
        <v/>
      </c>
      <c r="K2857" s="52" t="str">
        <f aca="false">IF(L2857="","",E2857&amp;CHAR(10)&amp;INDEX(ポート振替表!$K$5:$K$3507,$L2857)&amp;" "&amp;INDEX(ポート振替表!$L$5:$L$3507,$L2857)&amp;CHAR(10)&amp;"⇔ "&amp;INDEX(ポート振替表!$H$5:$H$3507,$L2857)&amp;" "&amp;INDEX(ポート振替表!$I$5:$I$3507,$L2857))</f>
        <v/>
      </c>
      <c r="L2857" s="47" t="str">
        <f aca="false">IFERROR(MATCH(ROW()-4,ポート振替表!$V$5:$V$3507,0),"")</f>
        <v/>
      </c>
    </row>
    <row r="2858" customFormat="false" ht="16.4" hidden="false" customHeight="false" outlineLevel="0" collapsed="false">
      <c r="A2858" s="32" t="str">
        <f aca="false">IF(L2858="","",ROW()-4)</f>
        <v/>
      </c>
      <c r="B2858" s="58" t="str">
        <f aca="false">IF(L2858="","",IF(INDEX(ポート振替表!$W$5:$W$3507,$L2858)="","(なし)",INDEX(ポート振替表!$W$5:$W$3507,$L2858)&amp;""))</f>
        <v/>
      </c>
      <c r="C2858" s="52" t="str">
        <f aca="false">IF(L2858="","",INDEX(ポート振替表!$B$5:$B$3507,$L2858)&amp;" "&amp;INDEX(ポート振替表!$C$5:$C$3507,$L2858)&amp;"  ⇔  "&amp;INDEX(ポート振替表!$H$5:$H$3507,$L2858)&amp;" "&amp;INDEX(ポート振替表!$I$5:$I$3507,$L2858))</f>
        <v/>
      </c>
      <c r="D2858" s="57" t="s">
        <v>158</v>
      </c>
      <c r="E2858" s="59" t="str">
        <f aca="false">IF(L2858="","",IF(INDEX(ポート振替表!$O$5:$O$3507,$L2858)="","(未設定)",INDEX(ポート振替表!$O$5:$O$3507,$L2858)&amp;""))</f>
        <v/>
      </c>
      <c r="F2858" s="52" t="str">
        <f aca="false">IF(L2858="","",INDEX(ポート振替表!$K$5:$K$3507,$L2858)&amp;" "&amp;INDEX(ポート振替表!$L$5:$L$3507,$L2858)&amp;"  ⇔  "&amp;INDEX(ポート振替表!$H$5:$H$3507,$L2858)&amp;" "&amp;INDEX(ポート振替表!$I$5:$I$3507,$L2858))</f>
        <v/>
      </c>
      <c r="G2858" s="57" t="s">
        <v>158</v>
      </c>
      <c r="H2858" s="32" t="str">
        <f aca="false">IF(L2858="","",INDEX(ポート振替表!$N$5:$N$3507,$L2858)&amp;"")</f>
        <v/>
      </c>
      <c r="I2858" s="32" t="str">
        <f aca="false">IF(L2858="","",INDEX(ポート振替表!$P$5:$P$3507,$L2858)&amp;"")</f>
        <v/>
      </c>
      <c r="J2858" s="60" t="str">
        <f aca="false">IF(L2858="","",INDEX(ポート振替表!$M$5:$M$3507,$L2858)&amp;"")</f>
        <v/>
      </c>
      <c r="K2858" s="52" t="str">
        <f aca="false">IF(L2858="","",E2858&amp;CHAR(10)&amp;INDEX(ポート振替表!$K$5:$K$3507,$L2858)&amp;" "&amp;INDEX(ポート振替表!$L$5:$L$3507,$L2858)&amp;CHAR(10)&amp;"⇔ "&amp;INDEX(ポート振替表!$H$5:$H$3507,$L2858)&amp;" "&amp;INDEX(ポート振替表!$I$5:$I$3507,$L2858))</f>
        <v/>
      </c>
      <c r="L2858" s="47" t="str">
        <f aca="false">IFERROR(MATCH(ROW()-4,ポート振替表!$V$5:$V$3507,0),"")</f>
        <v/>
      </c>
    </row>
    <row r="2859" customFormat="false" ht="16.4" hidden="false" customHeight="false" outlineLevel="0" collapsed="false">
      <c r="A2859" s="32" t="str">
        <f aca="false">IF(L2859="","",ROW()-4)</f>
        <v/>
      </c>
      <c r="B2859" s="58" t="str">
        <f aca="false">IF(L2859="","",IF(INDEX(ポート振替表!$W$5:$W$3507,$L2859)="","(なし)",INDEX(ポート振替表!$W$5:$W$3507,$L2859)&amp;""))</f>
        <v/>
      </c>
      <c r="C2859" s="52" t="str">
        <f aca="false">IF(L2859="","",INDEX(ポート振替表!$B$5:$B$3507,$L2859)&amp;" "&amp;INDEX(ポート振替表!$C$5:$C$3507,$L2859)&amp;"  ⇔  "&amp;INDEX(ポート振替表!$H$5:$H$3507,$L2859)&amp;" "&amp;INDEX(ポート振替表!$I$5:$I$3507,$L2859))</f>
        <v/>
      </c>
      <c r="D2859" s="57" t="s">
        <v>158</v>
      </c>
      <c r="E2859" s="59" t="str">
        <f aca="false">IF(L2859="","",IF(INDEX(ポート振替表!$O$5:$O$3507,$L2859)="","(未設定)",INDEX(ポート振替表!$O$5:$O$3507,$L2859)&amp;""))</f>
        <v/>
      </c>
      <c r="F2859" s="52" t="str">
        <f aca="false">IF(L2859="","",INDEX(ポート振替表!$K$5:$K$3507,$L2859)&amp;" "&amp;INDEX(ポート振替表!$L$5:$L$3507,$L2859)&amp;"  ⇔  "&amp;INDEX(ポート振替表!$H$5:$H$3507,$L2859)&amp;" "&amp;INDEX(ポート振替表!$I$5:$I$3507,$L2859))</f>
        <v/>
      </c>
      <c r="G2859" s="57" t="s">
        <v>158</v>
      </c>
      <c r="H2859" s="32" t="str">
        <f aca="false">IF(L2859="","",INDEX(ポート振替表!$N$5:$N$3507,$L2859)&amp;"")</f>
        <v/>
      </c>
      <c r="I2859" s="32" t="str">
        <f aca="false">IF(L2859="","",INDEX(ポート振替表!$P$5:$P$3507,$L2859)&amp;"")</f>
        <v/>
      </c>
      <c r="J2859" s="60" t="str">
        <f aca="false">IF(L2859="","",INDEX(ポート振替表!$M$5:$M$3507,$L2859)&amp;"")</f>
        <v/>
      </c>
      <c r="K2859" s="52" t="str">
        <f aca="false">IF(L2859="","",E2859&amp;CHAR(10)&amp;INDEX(ポート振替表!$K$5:$K$3507,$L2859)&amp;" "&amp;INDEX(ポート振替表!$L$5:$L$3507,$L2859)&amp;CHAR(10)&amp;"⇔ "&amp;INDEX(ポート振替表!$H$5:$H$3507,$L2859)&amp;" "&amp;INDEX(ポート振替表!$I$5:$I$3507,$L2859))</f>
        <v/>
      </c>
      <c r="L2859" s="47" t="str">
        <f aca="false">IFERROR(MATCH(ROW()-4,ポート振替表!$V$5:$V$3507,0),"")</f>
        <v/>
      </c>
    </row>
    <row r="2860" customFormat="false" ht="16.4" hidden="false" customHeight="false" outlineLevel="0" collapsed="false">
      <c r="A2860" s="32" t="str">
        <f aca="false">IF(L2860="","",ROW()-4)</f>
        <v/>
      </c>
      <c r="B2860" s="58" t="str">
        <f aca="false">IF(L2860="","",IF(INDEX(ポート振替表!$W$5:$W$3507,$L2860)="","(なし)",INDEX(ポート振替表!$W$5:$W$3507,$L2860)&amp;""))</f>
        <v/>
      </c>
      <c r="C2860" s="52" t="str">
        <f aca="false">IF(L2860="","",INDEX(ポート振替表!$B$5:$B$3507,$L2860)&amp;" "&amp;INDEX(ポート振替表!$C$5:$C$3507,$L2860)&amp;"  ⇔  "&amp;INDEX(ポート振替表!$H$5:$H$3507,$L2860)&amp;" "&amp;INDEX(ポート振替表!$I$5:$I$3507,$L2860))</f>
        <v/>
      </c>
      <c r="D2860" s="57" t="s">
        <v>158</v>
      </c>
      <c r="E2860" s="59" t="str">
        <f aca="false">IF(L2860="","",IF(INDEX(ポート振替表!$O$5:$O$3507,$L2860)="","(未設定)",INDEX(ポート振替表!$O$5:$O$3507,$L2860)&amp;""))</f>
        <v/>
      </c>
      <c r="F2860" s="52" t="str">
        <f aca="false">IF(L2860="","",INDEX(ポート振替表!$K$5:$K$3507,$L2860)&amp;" "&amp;INDEX(ポート振替表!$L$5:$L$3507,$L2860)&amp;"  ⇔  "&amp;INDEX(ポート振替表!$H$5:$H$3507,$L2860)&amp;" "&amp;INDEX(ポート振替表!$I$5:$I$3507,$L2860))</f>
        <v/>
      </c>
      <c r="G2860" s="57" t="s">
        <v>158</v>
      </c>
      <c r="H2860" s="32" t="str">
        <f aca="false">IF(L2860="","",INDEX(ポート振替表!$N$5:$N$3507,$L2860)&amp;"")</f>
        <v/>
      </c>
      <c r="I2860" s="32" t="str">
        <f aca="false">IF(L2860="","",INDEX(ポート振替表!$P$5:$P$3507,$L2860)&amp;"")</f>
        <v/>
      </c>
      <c r="J2860" s="60" t="str">
        <f aca="false">IF(L2860="","",INDEX(ポート振替表!$M$5:$M$3507,$L2860)&amp;"")</f>
        <v/>
      </c>
      <c r="K2860" s="52" t="str">
        <f aca="false">IF(L2860="","",E2860&amp;CHAR(10)&amp;INDEX(ポート振替表!$K$5:$K$3507,$L2860)&amp;" "&amp;INDEX(ポート振替表!$L$5:$L$3507,$L2860)&amp;CHAR(10)&amp;"⇔ "&amp;INDEX(ポート振替表!$H$5:$H$3507,$L2860)&amp;" "&amp;INDEX(ポート振替表!$I$5:$I$3507,$L2860))</f>
        <v/>
      </c>
      <c r="L2860" s="47" t="str">
        <f aca="false">IFERROR(MATCH(ROW()-4,ポート振替表!$V$5:$V$3507,0),"")</f>
        <v/>
      </c>
    </row>
    <row r="2861" customFormat="false" ht="16.4" hidden="false" customHeight="false" outlineLevel="0" collapsed="false">
      <c r="A2861" s="32" t="str">
        <f aca="false">IF(L2861="","",ROW()-4)</f>
        <v/>
      </c>
      <c r="B2861" s="58" t="str">
        <f aca="false">IF(L2861="","",IF(INDEX(ポート振替表!$W$5:$W$3507,$L2861)="","(なし)",INDEX(ポート振替表!$W$5:$W$3507,$L2861)&amp;""))</f>
        <v/>
      </c>
      <c r="C2861" s="52" t="str">
        <f aca="false">IF(L2861="","",INDEX(ポート振替表!$B$5:$B$3507,$L2861)&amp;" "&amp;INDEX(ポート振替表!$C$5:$C$3507,$L2861)&amp;"  ⇔  "&amp;INDEX(ポート振替表!$H$5:$H$3507,$L2861)&amp;" "&amp;INDEX(ポート振替表!$I$5:$I$3507,$L2861))</f>
        <v/>
      </c>
      <c r="D2861" s="57" t="s">
        <v>158</v>
      </c>
      <c r="E2861" s="59" t="str">
        <f aca="false">IF(L2861="","",IF(INDEX(ポート振替表!$O$5:$O$3507,$L2861)="","(未設定)",INDEX(ポート振替表!$O$5:$O$3507,$L2861)&amp;""))</f>
        <v/>
      </c>
      <c r="F2861" s="52" t="str">
        <f aca="false">IF(L2861="","",INDEX(ポート振替表!$K$5:$K$3507,$L2861)&amp;" "&amp;INDEX(ポート振替表!$L$5:$L$3507,$L2861)&amp;"  ⇔  "&amp;INDEX(ポート振替表!$H$5:$H$3507,$L2861)&amp;" "&amp;INDEX(ポート振替表!$I$5:$I$3507,$L2861))</f>
        <v/>
      </c>
      <c r="G2861" s="57" t="s">
        <v>158</v>
      </c>
      <c r="H2861" s="32" t="str">
        <f aca="false">IF(L2861="","",INDEX(ポート振替表!$N$5:$N$3507,$L2861)&amp;"")</f>
        <v/>
      </c>
      <c r="I2861" s="32" t="str">
        <f aca="false">IF(L2861="","",INDEX(ポート振替表!$P$5:$P$3507,$L2861)&amp;"")</f>
        <v/>
      </c>
      <c r="J2861" s="60" t="str">
        <f aca="false">IF(L2861="","",INDEX(ポート振替表!$M$5:$M$3507,$L2861)&amp;"")</f>
        <v/>
      </c>
      <c r="K2861" s="52" t="str">
        <f aca="false">IF(L2861="","",E2861&amp;CHAR(10)&amp;INDEX(ポート振替表!$K$5:$K$3507,$L2861)&amp;" "&amp;INDEX(ポート振替表!$L$5:$L$3507,$L2861)&amp;CHAR(10)&amp;"⇔ "&amp;INDEX(ポート振替表!$H$5:$H$3507,$L2861)&amp;" "&amp;INDEX(ポート振替表!$I$5:$I$3507,$L2861))</f>
        <v/>
      </c>
      <c r="L2861" s="47" t="str">
        <f aca="false">IFERROR(MATCH(ROW()-4,ポート振替表!$V$5:$V$3507,0),"")</f>
        <v/>
      </c>
    </row>
    <row r="2862" customFormat="false" ht="16.4" hidden="false" customHeight="false" outlineLevel="0" collapsed="false">
      <c r="A2862" s="32" t="str">
        <f aca="false">IF(L2862="","",ROW()-4)</f>
        <v/>
      </c>
      <c r="B2862" s="58" t="str">
        <f aca="false">IF(L2862="","",IF(INDEX(ポート振替表!$W$5:$W$3507,$L2862)="","(なし)",INDEX(ポート振替表!$W$5:$W$3507,$L2862)&amp;""))</f>
        <v/>
      </c>
      <c r="C2862" s="52" t="str">
        <f aca="false">IF(L2862="","",INDEX(ポート振替表!$B$5:$B$3507,$L2862)&amp;" "&amp;INDEX(ポート振替表!$C$5:$C$3507,$L2862)&amp;"  ⇔  "&amp;INDEX(ポート振替表!$H$5:$H$3507,$L2862)&amp;" "&amp;INDEX(ポート振替表!$I$5:$I$3507,$L2862))</f>
        <v/>
      </c>
      <c r="D2862" s="57" t="s">
        <v>158</v>
      </c>
      <c r="E2862" s="59" t="str">
        <f aca="false">IF(L2862="","",IF(INDEX(ポート振替表!$O$5:$O$3507,$L2862)="","(未設定)",INDEX(ポート振替表!$O$5:$O$3507,$L2862)&amp;""))</f>
        <v/>
      </c>
      <c r="F2862" s="52" t="str">
        <f aca="false">IF(L2862="","",INDEX(ポート振替表!$K$5:$K$3507,$L2862)&amp;" "&amp;INDEX(ポート振替表!$L$5:$L$3507,$L2862)&amp;"  ⇔  "&amp;INDEX(ポート振替表!$H$5:$H$3507,$L2862)&amp;" "&amp;INDEX(ポート振替表!$I$5:$I$3507,$L2862))</f>
        <v/>
      </c>
      <c r="G2862" s="57" t="s">
        <v>158</v>
      </c>
      <c r="H2862" s="32" t="str">
        <f aca="false">IF(L2862="","",INDEX(ポート振替表!$N$5:$N$3507,$L2862)&amp;"")</f>
        <v/>
      </c>
      <c r="I2862" s="32" t="str">
        <f aca="false">IF(L2862="","",INDEX(ポート振替表!$P$5:$P$3507,$L2862)&amp;"")</f>
        <v/>
      </c>
      <c r="J2862" s="60" t="str">
        <f aca="false">IF(L2862="","",INDEX(ポート振替表!$M$5:$M$3507,$L2862)&amp;"")</f>
        <v/>
      </c>
      <c r="K2862" s="52" t="str">
        <f aca="false">IF(L2862="","",E2862&amp;CHAR(10)&amp;INDEX(ポート振替表!$K$5:$K$3507,$L2862)&amp;" "&amp;INDEX(ポート振替表!$L$5:$L$3507,$L2862)&amp;CHAR(10)&amp;"⇔ "&amp;INDEX(ポート振替表!$H$5:$H$3507,$L2862)&amp;" "&amp;INDEX(ポート振替表!$I$5:$I$3507,$L2862))</f>
        <v/>
      </c>
      <c r="L2862" s="47" t="str">
        <f aca="false">IFERROR(MATCH(ROW()-4,ポート振替表!$V$5:$V$3507,0),"")</f>
        <v/>
      </c>
    </row>
    <row r="2863" customFormat="false" ht="16.4" hidden="false" customHeight="false" outlineLevel="0" collapsed="false">
      <c r="A2863" s="32" t="str">
        <f aca="false">IF(L2863="","",ROW()-4)</f>
        <v/>
      </c>
      <c r="B2863" s="58" t="str">
        <f aca="false">IF(L2863="","",IF(INDEX(ポート振替表!$W$5:$W$3507,$L2863)="","(なし)",INDEX(ポート振替表!$W$5:$W$3507,$L2863)&amp;""))</f>
        <v/>
      </c>
      <c r="C2863" s="52" t="str">
        <f aca="false">IF(L2863="","",INDEX(ポート振替表!$B$5:$B$3507,$L2863)&amp;" "&amp;INDEX(ポート振替表!$C$5:$C$3507,$L2863)&amp;"  ⇔  "&amp;INDEX(ポート振替表!$H$5:$H$3507,$L2863)&amp;" "&amp;INDEX(ポート振替表!$I$5:$I$3507,$L2863))</f>
        <v/>
      </c>
      <c r="D2863" s="57" t="s">
        <v>158</v>
      </c>
      <c r="E2863" s="59" t="str">
        <f aca="false">IF(L2863="","",IF(INDEX(ポート振替表!$O$5:$O$3507,$L2863)="","(未設定)",INDEX(ポート振替表!$O$5:$O$3507,$L2863)&amp;""))</f>
        <v/>
      </c>
      <c r="F2863" s="52" t="str">
        <f aca="false">IF(L2863="","",INDEX(ポート振替表!$K$5:$K$3507,$L2863)&amp;" "&amp;INDEX(ポート振替表!$L$5:$L$3507,$L2863)&amp;"  ⇔  "&amp;INDEX(ポート振替表!$H$5:$H$3507,$L2863)&amp;" "&amp;INDEX(ポート振替表!$I$5:$I$3507,$L2863))</f>
        <v/>
      </c>
      <c r="G2863" s="57" t="s">
        <v>158</v>
      </c>
      <c r="H2863" s="32" t="str">
        <f aca="false">IF(L2863="","",INDEX(ポート振替表!$N$5:$N$3507,$L2863)&amp;"")</f>
        <v/>
      </c>
      <c r="I2863" s="32" t="str">
        <f aca="false">IF(L2863="","",INDEX(ポート振替表!$P$5:$P$3507,$L2863)&amp;"")</f>
        <v/>
      </c>
      <c r="J2863" s="60" t="str">
        <f aca="false">IF(L2863="","",INDEX(ポート振替表!$M$5:$M$3507,$L2863)&amp;"")</f>
        <v/>
      </c>
      <c r="K2863" s="52" t="str">
        <f aca="false">IF(L2863="","",E2863&amp;CHAR(10)&amp;INDEX(ポート振替表!$K$5:$K$3507,$L2863)&amp;" "&amp;INDEX(ポート振替表!$L$5:$L$3507,$L2863)&amp;CHAR(10)&amp;"⇔ "&amp;INDEX(ポート振替表!$H$5:$H$3507,$L2863)&amp;" "&amp;INDEX(ポート振替表!$I$5:$I$3507,$L2863))</f>
        <v/>
      </c>
      <c r="L2863" s="47" t="str">
        <f aca="false">IFERROR(MATCH(ROW()-4,ポート振替表!$V$5:$V$3507,0),"")</f>
        <v/>
      </c>
    </row>
    <row r="2864" customFormat="false" ht="16.4" hidden="false" customHeight="false" outlineLevel="0" collapsed="false">
      <c r="A2864" s="32" t="str">
        <f aca="false">IF(L2864="","",ROW()-4)</f>
        <v/>
      </c>
      <c r="B2864" s="58" t="str">
        <f aca="false">IF(L2864="","",IF(INDEX(ポート振替表!$W$5:$W$3507,$L2864)="","(なし)",INDEX(ポート振替表!$W$5:$W$3507,$L2864)&amp;""))</f>
        <v/>
      </c>
      <c r="C2864" s="52" t="str">
        <f aca="false">IF(L2864="","",INDEX(ポート振替表!$B$5:$B$3507,$L2864)&amp;" "&amp;INDEX(ポート振替表!$C$5:$C$3507,$L2864)&amp;"  ⇔  "&amp;INDEX(ポート振替表!$H$5:$H$3507,$L2864)&amp;" "&amp;INDEX(ポート振替表!$I$5:$I$3507,$L2864))</f>
        <v/>
      </c>
      <c r="D2864" s="57" t="s">
        <v>158</v>
      </c>
      <c r="E2864" s="59" t="str">
        <f aca="false">IF(L2864="","",IF(INDEX(ポート振替表!$O$5:$O$3507,$L2864)="","(未設定)",INDEX(ポート振替表!$O$5:$O$3507,$L2864)&amp;""))</f>
        <v/>
      </c>
      <c r="F2864" s="52" t="str">
        <f aca="false">IF(L2864="","",INDEX(ポート振替表!$K$5:$K$3507,$L2864)&amp;" "&amp;INDEX(ポート振替表!$L$5:$L$3507,$L2864)&amp;"  ⇔  "&amp;INDEX(ポート振替表!$H$5:$H$3507,$L2864)&amp;" "&amp;INDEX(ポート振替表!$I$5:$I$3507,$L2864))</f>
        <v/>
      </c>
      <c r="G2864" s="57" t="s">
        <v>158</v>
      </c>
      <c r="H2864" s="32" t="str">
        <f aca="false">IF(L2864="","",INDEX(ポート振替表!$N$5:$N$3507,$L2864)&amp;"")</f>
        <v/>
      </c>
      <c r="I2864" s="32" t="str">
        <f aca="false">IF(L2864="","",INDEX(ポート振替表!$P$5:$P$3507,$L2864)&amp;"")</f>
        <v/>
      </c>
      <c r="J2864" s="60" t="str">
        <f aca="false">IF(L2864="","",INDEX(ポート振替表!$M$5:$M$3507,$L2864)&amp;"")</f>
        <v/>
      </c>
      <c r="K2864" s="52" t="str">
        <f aca="false">IF(L2864="","",E2864&amp;CHAR(10)&amp;INDEX(ポート振替表!$K$5:$K$3507,$L2864)&amp;" "&amp;INDEX(ポート振替表!$L$5:$L$3507,$L2864)&amp;CHAR(10)&amp;"⇔ "&amp;INDEX(ポート振替表!$H$5:$H$3507,$L2864)&amp;" "&amp;INDEX(ポート振替表!$I$5:$I$3507,$L2864))</f>
        <v/>
      </c>
      <c r="L2864" s="47" t="str">
        <f aca="false">IFERROR(MATCH(ROW()-4,ポート振替表!$V$5:$V$3507,0),"")</f>
        <v/>
      </c>
    </row>
    <row r="2865" customFormat="false" ht="16.4" hidden="false" customHeight="false" outlineLevel="0" collapsed="false">
      <c r="A2865" s="32" t="str">
        <f aca="false">IF(L2865="","",ROW()-4)</f>
        <v/>
      </c>
      <c r="B2865" s="58" t="str">
        <f aca="false">IF(L2865="","",IF(INDEX(ポート振替表!$W$5:$W$3507,$L2865)="","(なし)",INDEX(ポート振替表!$W$5:$W$3507,$L2865)&amp;""))</f>
        <v/>
      </c>
      <c r="C2865" s="52" t="str">
        <f aca="false">IF(L2865="","",INDEX(ポート振替表!$B$5:$B$3507,$L2865)&amp;" "&amp;INDEX(ポート振替表!$C$5:$C$3507,$L2865)&amp;"  ⇔  "&amp;INDEX(ポート振替表!$H$5:$H$3507,$L2865)&amp;" "&amp;INDEX(ポート振替表!$I$5:$I$3507,$L2865))</f>
        <v/>
      </c>
      <c r="D2865" s="57" t="s">
        <v>158</v>
      </c>
      <c r="E2865" s="59" t="str">
        <f aca="false">IF(L2865="","",IF(INDEX(ポート振替表!$O$5:$O$3507,$L2865)="","(未設定)",INDEX(ポート振替表!$O$5:$O$3507,$L2865)&amp;""))</f>
        <v/>
      </c>
      <c r="F2865" s="52" t="str">
        <f aca="false">IF(L2865="","",INDEX(ポート振替表!$K$5:$K$3507,$L2865)&amp;" "&amp;INDEX(ポート振替表!$L$5:$L$3507,$L2865)&amp;"  ⇔  "&amp;INDEX(ポート振替表!$H$5:$H$3507,$L2865)&amp;" "&amp;INDEX(ポート振替表!$I$5:$I$3507,$L2865))</f>
        <v/>
      </c>
      <c r="G2865" s="57" t="s">
        <v>158</v>
      </c>
      <c r="H2865" s="32" t="str">
        <f aca="false">IF(L2865="","",INDEX(ポート振替表!$N$5:$N$3507,$L2865)&amp;"")</f>
        <v/>
      </c>
      <c r="I2865" s="32" t="str">
        <f aca="false">IF(L2865="","",INDEX(ポート振替表!$P$5:$P$3507,$L2865)&amp;"")</f>
        <v/>
      </c>
      <c r="J2865" s="60" t="str">
        <f aca="false">IF(L2865="","",INDEX(ポート振替表!$M$5:$M$3507,$L2865)&amp;"")</f>
        <v/>
      </c>
      <c r="K2865" s="52" t="str">
        <f aca="false">IF(L2865="","",E2865&amp;CHAR(10)&amp;INDEX(ポート振替表!$K$5:$K$3507,$L2865)&amp;" "&amp;INDEX(ポート振替表!$L$5:$L$3507,$L2865)&amp;CHAR(10)&amp;"⇔ "&amp;INDEX(ポート振替表!$H$5:$H$3507,$L2865)&amp;" "&amp;INDEX(ポート振替表!$I$5:$I$3507,$L2865))</f>
        <v/>
      </c>
      <c r="L2865" s="47" t="str">
        <f aca="false">IFERROR(MATCH(ROW()-4,ポート振替表!$V$5:$V$3507,0),"")</f>
        <v/>
      </c>
    </row>
    <row r="2866" customFormat="false" ht="16.4" hidden="false" customHeight="false" outlineLevel="0" collapsed="false">
      <c r="A2866" s="32" t="str">
        <f aca="false">IF(L2866="","",ROW()-4)</f>
        <v/>
      </c>
      <c r="B2866" s="58" t="str">
        <f aca="false">IF(L2866="","",IF(INDEX(ポート振替表!$W$5:$W$3507,$L2866)="","(なし)",INDEX(ポート振替表!$W$5:$W$3507,$L2866)&amp;""))</f>
        <v/>
      </c>
      <c r="C2866" s="52" t="str">
        <f aca="false">IF(L2866="","",INDEX(ポート振替表!$B$5:$B$3507,$L2866)&amp;" "&amp;INDEX(ポート振替表!$C$5:$C$3507,$L2866)&amp;"  ⇔  "&amp;INDEX(ポート振替表!$H$5:$H$3507,$L2866)&amp;" "&amp;INDEX(ポート振替表!$I$5:$I$3507,$L2866))</f>
        <v/>
      </c>
      <c r="D2866" s="57" t="s">
        <v>158</v>
      </c>
      <c r="E2866" s="59" t="str">
        <f aca="false">IF(L2866="","",IF(INDEX(ポート振替表!$O$5:$O$3507,$L2866)="","(未設定)",INDEX(ポート振替表!$O$5:$O$3507,$L2866)&amp;""))</f>
        <v/>
      </c>
      <c r="F2866" s="52" t="str">
        <f aca="false">IF(L2866="","",INDEX(ポート振替表!$K$5:$K$3507,$L2866)&amp;" "&amp;INDEX(ポート振替表!$L$5:$L$3507,$L2866)&amp;"  ⇔  "&amp;INDEX(ポート振替表!$H$5:$H$3507,$L2866)&amp;" "&amp;INDEX(ポート振替表!$I$5:$I$3507,$L2866))</f>
        <v/>
      </c>
      <c r="G2866" s="57" t="s">
        <v>158</v>
      </c>
      <c r="H2866" s="32" t="str">
        <f aca="false">IF(L2866="","",INDEX(ポート振替表!$N$5:$N$3507,$L2866)&amp;"")</f>
        <v/>
      </c>
      <c r="I2866" s="32" t="str">
        <f aca="false">IF(L2866="","",INDEX(ポート振替表!$P$5:$P$3507,$L2866)&amp;"")</f>
        <v/>
      </c>
      <c r="J2866" s="60" t="str">
        <f aca="false">IF(L2866="","",INDEX(ポート振替表!$M$5:$M$3507,$L2866)&amp;"")</f>
        <v/>
      </c>
      <c r="K2866" s="52" t="str">
        <f aca="false">IF(L2866="","",E2866&amp;CHAR(10)&amp;INDEX(ポート振替表!$K$5:$K$3507,$L2866)&amp;" "&amp;INDEX(ポート振替表!$L$5:$L$3507,$L2866)&amp;CHAR(10)&amp;"⇔ "&amp;INDEX(ポート振替表!$H$5:$H$3507,$L2866)&amp;" "&amp;INDEX(ポート振替表!$I$5:$I$3507,$L2866))</f>
        <v/>
      </c>
      <c r="L2866" s="47" t="str">
        <f aca="false">IFERROR(MATCH(ROW()-4,ポート振替表!$V$5:$V$3507,0),"")</f>
        <v/>
      </c>
    </row>
    <row r="2867" customFormat="false" ht="16.4" hidden="false" customHeight="false" outlineLevel="0" collapsed="false">
      <c r="A2867" s="32" t="str">
        <f aca="false">IF(L2867="","",ROW()-4)</f>
        <v/>
      </c>
      <c r="B2867" s="58" t="str">
        <f aca="false">IF(L2867="","",IF(INDEX(ポート振替表!$W$5:$W$3507,$L2867)="","(なし)",INDEX(ポート振替表!$W$5:$W$3507,$L2867)&amp;""))</f>
        <v/>
      </c>
      <c r="C2867" s="52" t="str">
        <f aca="false">IF(L2867="","",INDEX(ポート振替表!$B$5:$B$3507,$L2867)&amp;" "&amp;INDEX(ポート振替表!$C$5:$C$3507,$L2867)&amp;"  ⇔  "&amp;INDEX(ポート振替表!$H$5:$H$3507,$L2867)&amp;" "&amp;INDEX(ポート振替表!$I$5:$I$3507,$L2867))</f>
        <v/>
      </c>
      <c r="D2867" s="57" t="s">
        <v>158</v>
      </c>
      <c r="E2867" s="59" t="str">
        <f aca="false">IF(L2867="","",IF(INDEX(ポート振替表!$O$5:$O$3507,$L2867)="","(未設定)",INDEX(ポート振替表!$O$5:$O$3507,$L2867)&amp;""))</f>
        <v/>
      </c>
      <c r="F2867" s="52" t="str">
        <f aca="false">IF(L2867="","",INDEX(ポート振替表!$K$5:$K$3507,$L2867)&amp;" "&amp;INDEX(ポート振替表!$L$5:$L$3507,$L2867)&amp;"  ⇔  "&amp;INDEX(ポート振替表!$H$5:$H$3507,$L2867)&amp;" "&amp;INDEX(ポート振替表!$I$5:$I$3507,$L2867))</f>
        <v/>
      </c>
      <c r="G2867" s="57" t="s">
        <v>158</v>
      </c>
      <c r="H2867" s="32" t="str">
        <f aca="false">IF(L2867="","",INDEX(ポート振替表!$N$5:$N$3507,$L2867)&amp;"")</f>
        <v/>
      </c>
      <c r="I2867" s="32" t="str">
        <f aca="false">IF(L2867="","",INDEX(ポート振替表!$P$5:$P$3507,$L2867)&amp;"")</f>
        <v/>
      </c>
      <c r="J2867" s="60" t="str">
        <f aca="false">IF(L2867="","",INDEX(ポート振替表!$M$5:$M$3507,$L2867)&amp;"")</f>
        <v/>
      </c>
      <c r="K2867" s="52" t="str">
        <f aca="false">IF(L2867="","",E2867&amp;CHAR(10)&amp;INDEX(ポート振替表!$K$5:$K$3507,$L2867)&amp;" "&amp;INDEX(ポート振替表!$L$5:$L$3507,$L2867)&amp;CHAR(10)&amp;"⇔ "&amp;INDEX(ポート振替表!$H$5:$H$3507,$L2867)&amp;" "&amp;INDEX(ポート振替表!$I$5:$I$3507,$L2867))</f>
        <v/>
      </c>
      <c r="L2867" s="47" t="str">
        <f aca="false">IFERROR(MATCH(ROW()-4,ポート振替表!$V$5:$V$3507,0),"")</f>
        <v/>
      </c>
    </row>
    <row r="2868" customFormat="false" ht="16.4" hidden="false" customHeight="false" outlineLevel="0" collapsed="false">
      <c r="A2868" s="32" t="str">
        <f aca="false">IF(L2868="","",ROW()-4)</f>
        <v/>
      </c>
      <c r="B2868" s="58" t="str">
        <f aca="false">IF(L2868="","",IF(INDEX(ポート振替表!$W$5:$W$3507,$L2868)="","(なし)",INDEX(ポート振替表!$W$5:$W$3507,$L2868)&amp;""))</f>
        <v/>
      </c>
      <c r="C2868" s="52" t="str">
        <f aca="false">IF(L2868="","",INDEX(ポート振替表!$B$5:$B$3507,$L2868)&amp;" "&amp;INDEX(ポート振替表!$C$5:$C$3507,$L2868)&amp;"  ⇔  "&amp;INDEX(ポート振替表!$H$5:$H$3507,$L2868)&amp;" "&amp;INDEX(ポート振替表!$I$5:$I$3507,$L2868))</f>
        <v/>
      </c>
      <c r="D2868" s="57" t="s">
        <v>158</v>
      </c>
      <c r="E2868" s="59" t="str">
        <f aca="false">IF(L2868="","",IF(INDEX(ポート振替表!$O$5:$O$3507,$L2868)="","(未設定)",INDEX(ポート振替表!$O$5:$O$3507,$L2868)&amp;""))</f>
        <v/>
      </c>
      <c r="F2868" s="52" t="str">
        <f aca="false">IF(L2868="","",INDEX(ポート振替表!$K$5:$K$3507,$L2868)&amp;" "&amp;INDEX(ポート振替表!$L$5:$L$3507,$L2868)&amp;"  ⇔  "&amp;INDEX(ポート振替表!$H$5:$H$3507,$L2868)&amp;" "&amp;INDEX(ポート振替表!$I$5:$I$3507,$L2868))</f>
        <v/>
      </c>
      <c r="G2868" s="57" t="s">
        <v>158</v>
      </c>
      <c r="H2868" s="32" t="str">
        <f aca="false">IF(L2868="","",INDEX(ポート振替表!$N$5:$N$3507,$L2868)&amp;"")</f>
        <v/>
      </c>
      <c r="I2868" s="32" t="str">
        <f aca="false">IF(L2868="","",INDEX(ポート振替表!$P$5:$P$3507,$L2868)&amp;"")</f>
        <v/>
      </c>
      <c r="J2868" s="60" t="str">
        <f aca="false">IF(L2868="","",INDEX(ポート振替表!$M$5:$M$3507,$L2868)&amp;"")</f>
        <v/>
      </c>
      <c r="K2868" s="52" t="str">
        <f aca="false">IF(L2868="","",E2868&amp;CHAR(10)&amp;INDEX(ポート振替表!$K$5:$K$3507,$L2868)&amp;" "&amp;INDEX(ポート振替表!$L$5:$L$3507,$L2868)&amp;CHAR(10)&amp;"⇔ "&amp;INDEX(ポート振替表!$H$5:$H$3507,$L2868)&amp;" "&amp;INDEX(ポート振替表!$I$5:$I$3507,$L2868))</f>
        <v/>
      </c>
      <c r="L2868" s="47" t="str">
        <f aca="false">IFERROR(MATCH(ROW()-4,ポート振替表!$V$5:$V$3507,0),"")</f>
        <v/>
      </c>
    </row>
    <row r="2869" customFormat="false" ht="16.4" hidden="false" customHeight="false" outlineLevel="0" collapsed="false">
      <c r="A2869" s="32" t="str">
        <f aca="false">IF(L2869="","",ROW()-4)</f>
        <v/>
      </c>
      <c r="B2869" s="58" t="str">
        <f aca="false">IF(L2869="","",IF(INDEX(ポート振替表!$W$5:$W$3507,$L2869)="","(なし)",INDEX(ポート振替表!$W$5:$W$3507,$L2869)&amp;""))</f>
        <v/>
      </c>
      <c r="C2869" s="52" t="str">
        <f aca="false">IF(L2869="","",INDEX(ポート振替表!$B$5:$B$3507,$L2869)&amp;" "&amp;INDEX(ポート振替表!$C$5:$C$3507,$L2869)&amp;"  ⇔  "&amp;INDEX(ポート振替表!$H$5:$H$3507,$L2869)&amp;" "&amp;INDEX(ポート振替表!$I$5:$I$3507,$L2869))</f>
        <v/>
      </c>
      <c r="D2869" s="57" t="s">
        <v>158</v>
      </c>
      <c r="E2869" s="59" t="str">
        <f aca="false">IF(L2869="","",IF(INDEX(ポート振替表!$O$5:$O$3507,$L2869)="","(未設定)",INDEX(ポート振替表!$O$5:$O$3507,$L2869)&amp;""))</f>
        <v/>
      </c>
      <c r="F2869" s="52" t="str">
        <f aca="false">IF(L2869="","",INDEX(ポート振替表!$K$5:$K$3507,$L2869)&amp;" "&amp;INDEX(ポート振替表!$L$5:$L$3507,$L2869)&amp;"  ⇔  "&amp;INDEX(ポート振替表!$H$5:$H$3507,$L2869)&amp;" "&amp;INDEX(ポート振替表!$I$5:$I$3507,$L2869))</f>
        <v/>
      </c>
      <c r="G2869" s="57" t="s">
        <v>158</v>
      </c>
      <c r="H2869" s="32" t="str">
        <f aca="false">IF(L2869="","",INDEX(ポート振替表!$N$5:$N$3507,$L2869)&amp;"")</f>
        <v/>
      </c>
      <c r="I2869" s="32" t="str">
        <f aca="false">IF(L2869="","",INDEX(ポート振替表!$P$5:$P$3507,$L2869)&amp;"")</f>
        <v/>
      </c>
      <c r="J2869" s="60" t="str">
        <f aca="false">IF(L2869="","",INDEX(ポート振替表!$M$5:$M$3507,$L2869)&amp;"")</f>
        <v/>
      </c>
      <c r="K2869" s="52" t="str">
        <f aca="false">IF(L2869="","",E2869&amp;CHAR(10)&amp;INDEX(ポート振替表!$K$5:$K$3507,$L2869)&amp;" "&amp;INDEX(ポート振替表!$L$5:$L$3507,$L2869)&amp;CHAR(10)&amp;"⇔ "&amp;INDEX(ポート振替表!$H$5:$H$3507,$L2869)&amp;" "&amp;INDEX(ポート振替表!$I$5:$I$3507,$L2869))</f>
        <v/>
      </c>
      <c r="L2869" s="47" t="str">
        <f aca="false">IFERROR(MATCH(ROW()-4,ポート振替表!$V$5:$V$3507,0),"")</f>
        <v/>
      </c>
    </row>
    <row r="2870" customFormat="false" ht="16.4" hidden="false" customHeight="false" outlineLevel="0" collapsed="false">
      <c r="A2870" s="32" t="str">
        <f aca="false">IF(L2870="","",ROW()-4)</f>
        <v/>
      </c>
      <c r="B2870" s="58" t="str">
        <f aca="false">IF(L2870="","",IF(INDEX(ポート振替表!$W$5:$W$3507,$L2870)="","(なし)",INDEX(ポート振替表!$W$5:$W$3507,$L2870)&amp;""))</f>
        <v/>
      </c>
      <c r="C2870" s="52" t="str">
        <f aca="false">IF(L2870="","",INDEX(ポート振替表!$B$5:$B$3507,$L2870)&amp;" "&amp;INDEX(ポート振替表!$C$5:$C$3507,$L2870)&amp;"  ⇔  "&amp;INDEX(ポート振替表!$H$5:$H$3507,$L2870)&amp;" "&amp;INDEX(ポート振替表!$I$5:$I$3507,$L2870))</f>
        <v/>
      </c>
      <c r="D2870" s="57" t="s">
        <v>158</v>
      </c>
      <c r="E2870" s="59" t="str">
        <f aca="false">IF(L2870="","",IF(INDEX(ポート振替表!$O$5:$O$3507,$L2870)="","(未設定)",INDEX(ポート振替表!$O$5:$O$3507,$L2870)&amp;""))</f>
        <v/>
      </c>
      <c r="F2870" s="52" t="str">
        <f aca="false">IF(L2870="","",INDEX(ポート振替表!$K$5:$K$3507,$L2870)&amp;" "&amp;INDEX(ポート振替表!$L$5:$L$3507,$L2870)&amp;"  ⇔  "&amp;INDEX(ポート振替表!$H$5:$H$3507,$L2870)&amp;" "&amp;INDEX(ポート振替表!$I$5:$I$3507,$L2870))</f>
        <v/>
      </c>
      <c r="G2870" s="57" t="s">
        <v>158</v>
      </c>
      <c r="H2870" s="32" t="str">
        <f aca="false">IF(L2870="","",INDEX(ポート振替表!$N$5:$N$3507,$L2870)&amp;"")</f>
        <v/>
      </c>
      <c r="I2870" s="32" t="str">
        <f aca="false">IF(L2870="","",INDEX(ポート振替表!$P$5:$P$3507,$L2870)&amp;"")</f>
        <v/>
      </c>
      <c r="J2870" s="60" t="str">
        <f aca="false">IF(L2870="","",INDEX(ポート振替表!$M$5:$M$3507,$L2870)&amp;"")</f>
        <v/>
      </c>
      <c r="K2870" s="52" t="str">
        <f aca="false">IF(L2870="","",E2870&amp;CHAR(10)&amp;INDEX(ポート振替表!$K$5:$K$3507,$L2870)&amp;" "&amp;INDEX(ポート振替表!$L$5:$L$3507,$L2870)&amp;CHAR(10)&amp;"⇔ "&amp;INDEX(ポート振替表!$H$5:$H$3507,$L2870)&amp;" "&amp;INDEX(ポート振替表!$I$5:$I$3507,$L2870))</f>
        <v/>
      </c>
      <c r="L2870" s="47" t="str">
        <f aca="false">IFERROR(MATCH(ROW()-4,ポート振替表!$V$5:$V$3507,0),"")</f>
        <v/>
      </c>
    </row>
    <row r="2871" customFormat="false" ht="16.4" hidden="false" customHeight="false" outlineLevel="0" collapsed="false">
      <c r="A2871" s="32" t="str">
        <f aca="false">IF(L2871="","",ROW()-4)</f>
        <v/>
      </c>
      <c r="B2871" s="58" t="str">
        <f aca="false">IF(L2871="","",IF(INDEX(ポート振替表!$W$5:$W$3507,$L2871)="","(なし)",INDEX(ポート振替表!$W$5:$W$3507,$L2871)&amp;""))</f>
        <v/>
      </c>
      <c r="C2871" s="52" t="str">
        <f aca="false">IF(L2871="","",INDEX(ポート振替表!$B$5:$B$3507,$L2871)&amp;" "&amp;INDEX(ポート振替表!$C$5:$C$3507,$L2871)&amp;"  ⇔  "&amp;INDEX(ポート振替表!$H$5:$H$3507,$L2871)&amp;" "&amp;INDEX(ポート振替表!$I$5:$I$3507,$L2871))</f>
        <v/>
      </c>
      <c r="D2871" s="57" t="s">
        <v>158</v>
      </c>
      <c r="E2871" s="59" t="str">
        <f aca="false">IF(L2871="","",IF(INDEX(ポート振替表!$O$5:$O$3507,$L2871)="","(未設定)",INDEX(ポート振替表!$O$5:$O$3507,$L2871)&amp;""))</f>
        <v/>
      </c>
      <c r="F2871" s="52" t="str">
        <f aca="false">IF(L2871="","",INDEX(ポート振替表!$K$5:$K$3507,$L2871)&amp;" "&amp;INDEX(ポート振替表!$L$5:$L$3507,$L2871)&amp;"  ⇔  "&amp;INDEX(ポート振替表!$H$5:$H$3507,$L2871)&amp;" "&amp;INDEX(ポート振替表!$I$5:$I$3507,$L2871))</f>
        <v/>
      </c>
      <c r="G2871" s="57" t="s">
        <v>158</v>
      </c>
      <c r="H2871" s="32" t="str">
        <f aca="false">IF(L2871="","",INDEX(ポート振替表!$N$5:$N$3507,$L2871)&amp;"")</f>
        <v/>
      </c>
      <c r="I2871" s="32" t="str">
        <f aca="false">IF(L2871="","",INDEX(ポート振替表!$P$5:$P$3507,$L2871)&amp;"")</f>
        <v/>
      </c>
      <c r="J2871" s="60" t="str">
        <f aca="false">IF(L2871="","",INDEX(ポート振替表!$M$5:$M$3507,$L2871)&amp;"")</f>
        <v/>
      </c>
      <c r="K2871" s="52" t="str">
        <f aca="false">IF(L2871="","",E2871&amp;CHAR(10)&amp;INDEX(ポート振替表!$K$5:$K$3507,$L2871)&amp;" "&amp;INDEX(ポート振替表!$L$5:$L$3507,$L2871)&amp;CHAR(10)&amp;"⇔ "&amp;INDEX(ポート振替表!$H$5:$H$3507,$L2871)&amp;" "&amp;INDEX(ポート振替表!$I$5:$I$3507,$L2871))</f>
        <v/>
      </c>
      <c r="L2871" s="47" t="str">
        <f aca="false">IFERROR(MATCH(ROW()-4,ポート振替表!$V$5:$V$3507,0),"")</f>
        <v/>
      </c>
    </row>
    <row r="2872" customFormat="false" ht="16.4" hidden="false" customHeight="false" outlineLevel="0" collapsed="false">
      <c r="A2872" s="32" t="str">
        <f aca="false">IF(L2872="","",ROW()-4)</f>
        <v/>
      </c>
      <c r="B2872" s="58" t="str">
        <f aca="false">IF(L2872="","",IF(INDEX(ポート振替表!$W$5:$W$3507,$L2872)="","(なし)",INDEX(ポート振替表!$W$5:$W$3507,$L2872)&amp;""))</f>
        <v/>
      </c>
      <c r="C2872" s="52" t="str">
        <f aca="false">IF(L2872="","",INDEX(ポート振替表!$B$5:$B$3507,$L2872)&amp;" "&amp;INDEX(ポート振替表!$C$5:$C$3507,$L2872)&amp;"  ⇔  "&amp;INDEX(ポート振替表!$H$5:$H$3507,$L2872)&amp;" "&amp;INDEX(ポート振替表!$I$5:$I$3507,$L2872))</f>
        <v/>
      </c>
      <c r="D2872" s="57" t="s">
        <v>158</v>
      </c>
      <c r="E2872" s="59" t="str">
        <f aca="false">IF(L2872="","",IF(INDEX(ポート振替表!$O$5:$O$3507,$L2872)="","(未設定)",INDEX(ポート振替表!$O$5:$O$3507,$L2872)&amp;""))</f>
        <v/>
      </c>
      <c r="F2872" s="52" t="str">
        <f aca="false">IF(L2872="","",INDEX(ポート振替表!$K$5:$K$3507,$L2872)&amp;" "&amp;INDEX(ポート振替表!$L$5:$L$3507,$L2872)&amp;"  ⇔  "&amp;INDEX(ポート振替表!$H$5:$H$3507,$L2872)&amp;" "&amp;INDEX(ポート振替表!$I$5:$I$3507,$L2872))</f>
        <v/>
      </c>
      <c r="G2872" s="57" t="s">
        <v>158</v>
      </c>
      <c r="H2872" s="32" t="str">
        <f aca="false">IF(L2872="","",INDEX(ポート振替表!$N$5:$N$3507,$L2872)&amp;"")</f>
        <v/>
      </c>
      <c r="I2872" s="32" t="str">
        <f aca="false">IF(L2872="","",INDEX(ポート振替表!$P$5:$P$3507,$L2872)&amp;"")</f>
        <v/>
      </c>
      <c r="J2872" s="60" t="str">
        <f aca="false">IF(L2872="","",INDEX(ポート振替表!$M$5:$M$3507,$L2872)&amp;"")</f>
        <v/>
      </c>
      <c r="K2872" s="52" t="str">
        <f aca="false">IF(L2872="","",E2872&amp;CHAR(10)&amp;INDEX(ポート振替表!$K$5:$K$3507,$L2872)&amp;" "&amp;INDEX(ポート振替表!$L$5:$L$3507,$L2872)&amp;CHAR(10)&amp;"⇔ "&amp;INDEX(ポート振替表!$H$5:$H$3507,$L2872)&amp;" "&amp;INDEX(ポート振替表!$I$5:$I$3507,$L2872))</f>
        <v/>
      </c>
      <c r="L2872" s="47" t="str">
        <f aca="false">IFERROR(MATCH(ROW()-4,ポート振替表!$V$5:$V$3507,0),"")</f>
        <v/>
      </c>
    </row>
    <row r="2873" customFormat="false" ht="16.4" hidden="false" customHeight="false" outlineLevel="0" collapsed="false">
      <c r="A2873" s="32" t="str">
        <f aca="false">IF(L2873="","",ROW()-4)</f>
        <v/>
      </c>
      <c r="B2873" s="58" t="str">
        <f aca="false">IF(L2873="","",IF(INDEX(ポート振替表!$W$5:$W$3507,$L2873)="","(なし)",INDEX(ポート振替表!$W$5:$W$3507,$L2873)&amp;""))</f>
        <v/>
      </c>
      <c r="C2873" s="52" t="str">
        <f aca="false">IF(L2873="","",INDEX(ポート振替表!$B$5:$B$3507,$L2873)&amp;" "&amp;INDEX(ポート振替表!$C$5:$C$3507,$L2873)&amp;"  ⇔  "&amp;INDEX(ポート振替表!$H$5:$H$3507,$L2873)&amp;" "&amp;INDEX(ポート振替表!$I$5:$I$3507,$L2873))</f>
        <v/>
      </c>
      <c r="D2873" s="57" t="s">
        <v>158</v>
      </c>
      <c r="E2873" s="59" t="str">
        <f aca="false">IF(L2873="","",IF(INDEX(ポート振替表!$O$5:$O$3507,$L2873)="","(未設定)",INDEX(ポート振替表!$O$5:$O$3507,$L2873)&amp;""))</f>
        <v/>
      </c>
      <c r="F2873" s="52" t="str">
        <f aca="false">IF(L2873="","",INDEX(ポート振替表!$K$5:$K$3507,$L2873)&amp;" "&amp;INDEX(ポート振替表!$L$5:$L$3507,$L2873)&amp;"  ⇔  "&amp;INDEX(ポート振替表!$H$5:$H$3507,$L2873)&amp;" "&amp;INDEX(ポート振替表!$I$5:$I$3507,$L2873))</f>
        <v/>
      </c>
      <c r="G2873" s="57" t="s">
        <v>158</v>
      </c>
      <c r="H2873" s="32" t="str">
        <f aca="false">IF(L2873="","",INDEX(ポート振替表!$N$5:$N$3507,$L2873)&amp;"")</f>
        <v/>
      </c>
      <c r="I2873" s="32" t="str">
        <f aca="false">IF(L2873="","",INDEX(ポート振替表!$P$5:$P$3507,$L2873)&amp;"")</f>
        <v/>
      </c>
      <c r="J2873" s="60" t="str">
        <f aca="false">IF(L2873="","",INDEX(ポート振替表!$M$5:$M$3507,$L2873)&amp;"")</f>
        <v/>
      </c>
      <c r="K2873" s="52" t="str">
        <f aca="false">IF(L2873="","",E2873&amp;CHAR(10)&amp;INDEX(ポート振替表!$K$5:$K$3507,$L2873)&amp;" "&amp;INDEX(ポート振替表!$L$5:$L$3507,$L2873)&amp;CHAR(10)&amp;"⇔ "&amp;INDEX(ポート振替表!$H$5:$H$3507,$L2873)&amp;" "&amp;INDEX(ポート振替表!$I$5:$I$3507,$L2873))</f>
        <v/>
      </c>
      <c r="L2873" s="47" t="str">
        <f aca="false">IFERROR(MATCH(ROW()-4,ポート振替表!$V$5:$V$3507,0),"")</f>
        <v/>
      </c>
    </row>
    <row r="2874" customFormat="false" ht="16.4" hidden="false" customHeight="false" outlineLevel="0" collapsed="false">
      <c r="A2874" s="32" t="str">
        <f aca="false">IF(L2874="","",ROW()-4)</f>
        <v/>
      </c>
      <c r="B2874" s="58" t="str">
        <f aca="false">IF(L2874="","",IF(INDEX(ポート振替表!$W$5:$W$3507,$L2874)="","(なし)",INDEX(ポート振替表!$W$5:$W$3507,$L2874)&amp;""))</f>
        <v/>
      </c>
      <c r="C2874" s="52" t="str">
        <f aca="false">IF(L2874="","",INDEX(ポート振替表!$B$5:$B$3507,$L2874)&amp;" "&amp;INDEX(ポート振替表!$C$5:$C$3507,$L2874)&amp;"  ⇔  "&amp;INDEX(ポート振替表!$H$5:$H$3507,$L2874)&amp;" "&amp;INDEX(ポート振替表!$I$5:$I$3507,$L2874))</f>
        <v/>
      </c>
      <c r="D2874" s="57" t="s">
        <v>158</v>
      </c>
      <c r="E2874" s="59" t="str">
        <f aca="false">IF(L2874="","",IF(INDEX(ポート振替表!$O$5:$O$3507,$L2874)="","(未設定)",INDEX(ポート振替表!$O$5:$O$3507,$L2874)&amp;""))</f>
        <v/>
      </c>
      <c r="F2874" s="52" t="str">
        <f aca="false">IF(L2874="","",INDEX(ポート振替表!$K$5:$K$3507,$L2874)&amp;" "&amp;INDEX(ポート振替表!$L$5:$L$3507,$L2874)&amp;"  ⇔  "&amp;INDEX(ポート振替表!$H$5:$H$3507,$L2874)&amp;" "&amp;INDEX(ポート振替表!$I$5:$I$3507,$L2874))</f>
        <v/>
      </c>
      <c r="G2874" s="57" t="s">
        <v>158</v>
      </c>
      <c r="H2874" s="32" t="str">
        <f aca="false">IF(L2874="","",INDEX(ポート振替表!$N$5:$N$3507,$L2874)&amp;"")</f>
        <v/>
      </c>
      <c r="I2874" s="32" t="str">
        <f aca="false">IF(L2874="","",INDEX(ポート振替表!$P$5:$P$3507,$L2874)&amp;"")</f>
        <v/>
      </c>
      <c r="J2874" s="60" t="str">
        <f aca="false">IF(L2874="","",INDEX(ポート振替表!$M$5:$M$3507,$L2874)&amp;"")</f>
        <v/>
      </c>
      <c r="K2874" s="52" t="str">
        <f aca="false">IF(L2874="","",E2874&amp;CHAR(10)&amp;INDEX(ポート振替表!$K$5:$K$3507,$L2874)&amp;" "&amp;INDEX(ポート振替表!$L$5:$L$3507,$L2874)&amp;CHAR(10)&amp;"⇔ "&amp;INDEX(ポート振替表!$H$5:$H$3507,$L2874)&amp;" "&amp;INDEX(ポート振替表!$I$5:$I$3507,$L2874))</f>
        <v/>
      </c>
      <c r="L2874" s="47" t="str">
        <f aca="false">IFERROR(MATCH(ROW()-4,ポート振替表!$V$5:$V$3507,0),"")</f>
        <v/>
      </c>
    </row>
    <row r="2875" customFormat="false" ht="16.4" hidden="false" customHeight="false" outlineLevel="0" collapsed="false">
      <c r="A2875" s="32" t="str">
        <f aca="false">IF(L2875="","",ROW()-4)</f>
        <v/>
      </c>
      <c r="B2875" s="58" t="str">
        <f aca="false">IF(L2875="","",IF(INDEX(ポート振替表!$W$5:$W$3507,$L2875)="","(なし)",INDEX(ポート振替表!$W$5:$W$3507,$L2875)&amp;""))</f>
        <v/>
      </c>
      <c r="C2875" s="52" t="str">
        <f aca="false">IF(L2875="","",INDEX(ポート振替表!$B$5:$B$3507,$L2875)&amp;" "&amp;INDEX(ポート振替表!$C$5:$C$3507,$L2875)&amp;"  ⇔  "&amp;INDEX(ポート振替表!$H$5:$H$3507,$L2875)&amp;" "&amp;INDEX(ポート振替表!$I$5:$I$3507,$L2875))</f>
        <v/>
      </c>
      <c r="D2875" s="57" t="s">
        <v>158</v>
      </c>
      <c r="E2875" s="59" t="str">
        <f aca="false">IF(L2875="","",IF(INDEX(ポート振替表!$O$5:$O$3507,$L2875)="","(未設定)",INDEX(ポート振替表!$O$5:$O$3507,$L2875)&amp;""))</f>
        <v/>
      </c>
      <c r="F2875" s="52" t="str">
        <f aca="false">IF(L2875="","",INDEX(ポート振替表!$K$5:$K$3507,$L2875)&amp;" "&amp;INDEX(ポート振替表!$L$5:$L$3507,$L2875)&amp;"  ⇔  "&amp;INDEX(ポート振替表!$H$5:$H$3507,$L2875)&amp;" "&amp;INDEX(ポート振替表!$I$5:$I$3507,$L2875))</f>
        <v/>
      </c>
      <c r="G2875" s="57" t="s">
        <v>158</v>
      </c>
      <c r="H2875" s="32" t="str">
        <f aca="false">IF(L2875="","",INDEX(ポート振替表!$N$5:$N$3507,$L2875)&amp;"")</f>
        <v/>
      </c>
      <c r="I2875" s="32" t="str">
        <f aca="false">IF(L2875="","",INDEX(ポート振替表!$P$5:$P$3507,$L2875)&amp;"")</f>
        <v/>
      </c>
      <c r="J2875" s="60" t="str">
        <f aca="false">IF(L2875="","",INDEX(ポート振替表!$M$5:$M$3507,$L2875)&amp;"")</f>
        <v/>
      </c>
      <c r="K2875" s="52" t="str">
        <f aca="false">IF(L2875="","",E2875&amp;CHAR(10)&amp;INDEX(ポート振替表!$K$5:$K$3507,$L2875)&amp;" "&amp;INDEX(ポート振替表!$L$5:$L$3507,$L2875)&amp;CHAR(10)&amp;"⇔ "&amp;INDEX(ポート振替表!$H$5:$H$3507,$L2875)&amp;" "&amp;INDEX(ポート振替表!$I$5:$I$3507,$L2875))</f>
        <v/>
      </c>
      <c r="L2875" s="47" t="str">
        <f aca="false">IFERROR(MATCH(ROW()-4,ポート振替表!$V$5:$V$3507,0),"")</f>
        <v/>
      </c>
    </row>
    <row r="2876" customFormat="false" ht="16.4" hidden="false" customHeight="false" outlineLevel="0" collapsed="false">
      <c r="A2876" s="32" t="str">
        <f aca="false">IF(L2876="","",ROW()-4)</f>
        <v/>
      </c>
      <c r="B2876" s="58" t="str">
        <f aca="false">IF(L2876="","",IF(INDEX(ポート振替表!$W$5:$W$3507,$L2876)="","(なし)",INDEX(ポート振替表!$W$5:$W$3507,$L2876)&amp;""))</f>
        <v/>
      </c>
      <c r="C2876" s="52" t="str">
        <f aca="false">IF(L2876="","",INDEX(ポート振替表!$B$5:$B$3507,$L2876)&amp;" "&amp;INDEX(ポート振替表!$C$5:$C$3507,$L2876)&amp;"  ⇔  "&amp;INDEX(ポート振替表!$H$5:$H$3507,$L2876)&amp;" "&amp;INDEX(ポート振替表!$I$5:$I$3507,$L2876))</f>
        <v/>
      </c>
      <c r="D2876" s="57" t="s">
        <v>158</v>
      </c>
      <c r="E2876" s="59" t="str">
        <f aca="false">IF(L2876="","",IF(INDEX(ポート振替表!$O$5:$O$3507,$L2876)="","(未設定)",INDEX(ポート振替表!$O$5:$O$3507,$L2876)&amp;""))</f>
        <v/>
      </c>
      <c r="F2876" s="52" t="str">
        <f aca="false">IF(L2876="","",INDEX(ポート振替表!$K$5:$K$3507,$L2876)&amp;" "&amp;INDEX(ポート振替表!$L$5:$L$3507,$L2876)&amp;"  ⇔  "&amp;INDEX(ポート振替表!$H$5:$H$3507,$L2876)&amp;" "&amp;INDEX(ポート振替表!$I$5:$I$3507,$L2876))</f>
        <v/>
      </c>
      <c r="G2876" s="57" t="s">
        <v>158</v>
      </c>
      <c r="H2876" s="32" t="str">
        <f aca="false">IF(L2876="","",INDEX(ポート振替表!$N$5:$N$3507,$L2876)&amp;"")</f>
        <v/>
      </c>
      <c r="I2876" s="32" t="str">
        <f aca="false">IF(L2876="","",INDEX(ポート振替表!$P$5:$P$3507,$L2876)&amp;"")</f>
        <v/>
      </c>
      <c r="J2876" s="60" t="str">
        <f aca="false">IF(L2876="","",INDEX(ポート振替表!$M$5:$M$3507,$L2876)&amp;"")</f>
        <v/>
      </c>
      <c r="K2876" s="52" t="str">
        <f aca="false">IF(L2876="","",E2876&amp;CHAR(10)&amp;INDEX(ポート振替表!$K$5:$K$3507,$L2876)&amp;" "&amp;INDEX(ポート振替表!$L$5:$L$3507,$L2876)&amp;CHAR(10)&amp;"⇔ "&amp;INDEX(ポート振替表!$H$5:$H$3507,$L2876)&amp;" "&amp;INDEX(ポート振替表!$I$5:$I$3507,$L2876))</f>
        <v/>
      </c>
      <c r="L2876" s="47" t="str">
        <f aca="false">IFERROR(MATCH(ROW()-4,ポート振替表!$V$5:$V$3507,0),"")</f>
        <v/>
      </c>
    </row>
    <row r="2877" customFormat="false" ht="16.4" hidden="false" customHeight="false" outlineLevel="0" collapsed="false">
      <c r="A2877" s="32" t="str">
        <f aca="false">IF(L2877="","",ROW()-4)</f>
        <v/>
      </c>
      <c r="B2877" s="58" t="str">
        <f aca="false">IF(L2877="","",IF(INDEX(ポート振替表!$W$5:$W$3507,$L2877)="","(なし)",INDEX(ポート振替表!$W$5:$W$3507,$L2877)&amp;""))</f>
        <v/>
      </c>
      <c r="C2877" s="52" t="str">
        <f aca="false">IF(L2877="","",INDEX(ポート振替表!$B$5:$B$3507,$L2877)&amp;" "&amp;INDEX(ポート振替表!$C$5:$C$3507,$L2877)&amp;"  ⇔  "&amp;INDEX(ポート振替表!$H$5:$H$3507,$L2877)&amp;" "&amp;INDEX(ポート振替表!$I$5:$I$3507,$L2877))</f>
        <v/>
      </c>
      <c r="D2877" s="57" t="s">
        <v>158</v>
      </c>
      <c r="E2877" s="59" t="str">
        <f aca="false">IF(L2877="","",IF(INDEX(ポート振替表!$O$5:$O$3507,$L2877)="","(未設定)",INDEX(ポート振替表!$O$5:$O$3507,$L2877)&amp;""))</f>
        <v/>
      </c>
      <c r="F2877" s="52" t="str">
        <f aca="false">IF(L2877="","",INDEX(ポート振替表!$K$5:$K$3507,$L2877)&amp;" "&amp;INDEX(ポート振替表!$L$5:$L$3507,$L2877)&amp;"  ⇔  "&amp;INDEX(ポート振替表!$H$5:$H$3507,$L2877)&amp;" "&amp;INDEX(ポート振替表!$I$5:$I$3507,$L2877))</f>
        <v/>
      </c>
      <c r="G2877" s="57" t="s">
        <v>158</v>
      </c>
      <c r="H2877" s="32" t="str">
        <f aca="false">IF(L2877="","",INDEX(ポート振替表!$N$5:$N$3507,$L2877)&amp;"")</f>
        <v/>
      </c>
      <c r="I2877" s="32" t="str">
        <f aca="false">IF(L2877="","",INDEX(ポート振替表!$P$5:$P$3507,$L2877)&amp;"")</f>
        <v/>
      </c>
      <c r="J2877" s="60" t="str">
        <f aca="false">IF(L2877="","",INDEX(ポート振替表!$M$5:$M$3507,$L2877)&amp;"")</f>
        <v/>
      </c>
      <c r="K2877" s="52" t="str">
        <f aca="false">IF(L2877="","",E2877&amp;CHAR(10)&amp;INDEX(ポート振替表!$K$5:$K$3507,$L2877)&amp;" "&amp;INDEX(ポート振替表!$L$5:$L$3507,$L2877)&amp;CHAR(10)&amp;"⇔ "&amp;INDEX(ポート振替表!$H$5:$H$3507,$L2877)&amp;" "&amp;INDEX(ポート振替表!$I$5:$I$3507,$L2877))</f>
        <v/>
      </c>
      <c r="L2877" s="47" t="str">
        <f aca="false">IFERROR(MATCH(ROW()-4,ポート振替表!$V$5:$V$3507,0),"")</f>
        <v/>
      </c>
    </row>
    <row r="2878" customFormat="false" ht="16.4" hidden="false" customHeight="false" outlineLevel="0" collapsed="false">
      <c r="A2878" s="32" t="str">
        <f aca="false">IF(L2878="","",ROW()-4)</f>
        <v/>
      </c>
      <c r="B2878" s="58" t="str">
        <f aca="false">IF(L2878="","",IF(INDEX(ポート振替表!$W$5:$W$3507,$L2878)="","(なし)",INDEX(ポート振替表!$W$5:$W$3507,$L2878)&amp;""))</f>
        <v/>
      </c>
      <c r="C2878" s="52" t="str">
        <f aca="false">IF(L2878="","",INDEX(ポート振替表!$B$5:$B$3507,$L2878)&amp;" "&amp;INDEX(ポート振替表!$C$5:$C$3507,$L2878)&amp;"  ⇔  "&amp;INDEX(ポート振替表!$H$5:$H$3507,$L2878)&amp;" "&amp;INDEX(ポート振替表!$I$5:$I$3507,$L2878))</f>
        <v/>
      </c>
      <c r="D2878" s="57" t="s">
        <v>158</v>
      </c>
      <c r="E2878" s="59" t="str">
        <f aca="false">IF(L2878="","",IF(INDEX(ポート振替表!$O$5:$O$3507,$L2878)="","(未設定)",INDEX(ポート振替表!$O$5:$O$3507,$L2878)&amp;""))</f>
        <v/>
      </c>
      <c r="F2878" s="52" t="str">
        <f aca="false">IF(L2878="","",INDEX(ポート振替表!$K$5:$K$3507,$L2878)&amp;" "&amp;INDEX(ポート振替表!$L$5:$L$3507,$L2878)&amp;"  ⇔  "&amp;INDEX(ポート振替表!$H$5:$H$3507,$L2878)&amp;" "&amp;INDEX(ポート振替表!$I$5:$I$3507,$L2878))</f>
        <v/>
      </c>
      <c r="G2878" s="57" t="s">
        <v>158</v>
      </c>
      <c r="H2878" s="32" t="str">
        <f aca="false">IF(L2878="","",INDEX(ポート振替表!$N$5:$N$3507,$L2878)&amp;"")</f>
        <v/>
      </c>
      <c r="I2878" s="32" t="str">
        <f aca="false">IF(L2878="","",INDEX(ポート振替表!$P$5:$P$3507,$L2878)&amp;"")</f>
        <v/>
      </c>
      <c r="J2878" s="60" t="str">
        <f aca="false">IF(L2878="","",INDEX(ポート振替表!$M$5:$M$3507,$L2878)&amp;"")</f>
        <v/>
      </c>
      <c r="K2878" s="52" t="str">
        <f aca="false">IF(L2878="","",E2878&amp;CHAR(10)&amp;INDEX(ポート振替表!$K$5:$K$3507,$L2878)&amp;" "&amp;INDEX(ポート振替表!$L$5:$L$3507,$L2878)&amp;CHAR(10)&amp;"⇔ "&amp;INDEX(ポート振替表!$H$5:$H$3507,$L2878)&amp;" "&amp;INDEX(ポート振替表!$I$5:$I$3507,$L2878))</f>
        <v/>
      </c>
      <c r="L2878" s="47" t="str">
        <f aca="false">IFERROR(MATCH(ROW()-4,ポート振替表!$V$5:$V$3507,0),"")</f>
        <v/>
      </c>
    </row>
    <row r="2879" customFormat="false" ht="16.4" hidden="false" customHeight="false" outlineLevel="0" collapsed="false">
      <c r="A2879" s="32" t="str">
        <f aca="false">IF(L2879="","",ROW()-4)</f>
        <v/>
      </c>
      <c r="B2879" s="58" t="str">
        <f aca="false">IF(L2879="","",IF(INDEX(ポート振替表!$W$5:$W$3507,$L2879)="","(なし)",INDEX(ポート振替表!$W$5:$W$3507,$L2879)&amp;""))</f>
        <v/>
      </c>
      <c r="C2879" s="52" t="str">
        <f aca="false">IF(L2879="","",INDEX(ポート振替表!$B$5:$B$3507,$L2879)&amp;" "&amp;INDEX(ポート振替表!$C$5:$C$3507,$L2879)&amp;"  ⇔  "&amp;INDEX(ポート振替表!$H$5:$H$3507,$L2879)&amp;" "&amp;INDEX(ポート振替表!$I$5:$I$3507,$L2879))</f>
        <v/>
      </c>
      <c r="D2879" s="57" t="s">
        <v>158</v>
      </c>
      <c r="E2879" s="59" t="str">
        <f aca="false">IF(L2879="","",IF(INDEX(ポート振替表!$O$5:$O$3507,$L2879)="","(未設定)",INDEX(ポート振替表!$O$5:$O$3507,$L2879)&amp;""))</f>
        <v/>
      </c>
      <c r="F2879" s="52" t="str">
        <f aca="false">IF(L2879="","",INDEX(ポート振替表!$K$5:$K$3507,$L2879)&amp;" "&amp;INDEX(ポート振替表!$L$5:$L$3507,$L2879)&amp;"  ⇔  "&amp;INDEX(ポート振替表!$H$5:$H$3507,$L2879)&amp;" "&amp;INDEX(ポート振替表!$I$5:$I$3507,$L2879))</f>
        <v/>
      </c>
      <c r="G2879" s="57" t="s">
        <v>158</v>
      </c>
      <c r="H2879" s="32" t="str">
        <f aca="false">IF(L2879="","",INDEX(ポート振替表!$N$5:$N$3507,$L2879)&amp;"")</f>
        <v/>
      </c>
      <c r="I2879" s="32" t="str">
        <f aca="false">IF(L2879="","",INDEX(ポート振替表!$P$5:$P$3507,$L2879)&amp;"")</f>
        <v/>
      </c>
      <c r="J2879" s="60" t="str">
        <f aca="false">IF(L2879="","",INDEX(ポート振替表!$M$5:$M$3507,$L2879)&amp;"")</f>
        <v/>
      </c>
      <c r="K2879" s="52" t="str">
        <f aca="false">IF(L2879="","",E2879&amp;CHAR(10)&amp;INDEX(ポート振替表!$K$5:$K$3507,$L2879)&amp;" "&amp;INDEX(ポート振替表!$L$5:$L$3507,$L2879)&amp;CHAR(10)&amp;"⇔ "&amp;INDEX(ポート振替表!$H$5:$H$3507,$L2879)&amp;" "&amp;INDEX(ポート振替表!$I$5:$I$3507,$L2879))</f>
        <v/>
      </c>
      <c r="L2879" s="47" t="str">
        <f aca="false">IFERROR(MATCH(ROW()-4,ポート振替表!$V$5:$V$3507,0),"")</f>
        <v/>
      </c>
    </row>
    <row r="2880" customFormat="false" ht="16.4" hidden="false" customHeight="false" outlineLevel="0" collapsed="false">
      <c r="A2880" s="32" t="str">
        <f aca="false">IF(L2880="","",ROW()-4)</f>
        <v/>
      </c>
      <c r="B2880" s="58" t="str">
        <f aca="false">IF(L2880="","",IF(INDEX(ポート振替表!$W$5:$W$3507,$L2880)="","(なし)",INDEX(ポート振替表!$W$5:$W$3507,$L2880)&amp;""))</f>
        <v/>
      </c>
      <c r="C2880" s="52" t="str">
        <f aca="false">IF(L2880="","",INDEX(ポート振替表!$B$5:$B$3507,$L2880)&amp;" "&amp;INDEX(ポート振替表!$C$5:$C$3507,$L2880)&amp;"  ⇔  "&amp;INDEX(ポート振替表!$H$5:$H$3507,$L2880)&amp;" "&amp;INDEX(ポート振替表!$I$5:$I$3507,$L2880))</f>
        <v/>
      </c>
      <c r="D2880" s="57" t="s">
        <v>158</v>
      </c>
      <c r="E2880" s="59" t="str">
        <f aca="false">IF(L2880="","",IF(INDEX(ポート振替表!$O$5:$O$3507,$L2880)="","(未設定)",INDEX(ポート振替表!$O$5:$O$3507,$L2880)&amp;""))</f>
        <v/>
      </c>
      <c r="F2880" s="52" t="str">
        <f aca="false">IF(L2880="","",INDEX(ポート振替表!$K$5:$K$3507,$L2880)&amp;" "&amp;INDEX(ポート振替表!$L$5:$L$3507,$L2880)&amp;"  ⇔  "&amp;INDEX(ポート振替表!$H$5:$H$3507,$L2880)&amp;" "&amp;INDEX(ポート振替表!$I$5:$I$3507,$L2880))</f>
        <v/>
      </c>
      <c r="G2880" s="57" t="s">
        <v>158</v>
      </c>
      <c r="H2880" s="32" t="str">
        <f aca="false">IF(L2880="","",INDEX(ポート振替表!$N$5:$N$3507,$L2880)&amp;"")</f>
        <v/>
      </c>
      <c r="I2880" s="32" t="str">
        <f aca="false">IF(L2880="","",INDEX(ポート振替表!$P$5:$P$3507,$L2880)&amp;"")</f>
        <v/>
      </c>
      <c r="J2880" s="60" t="str">
        <f aca="false">IF(L2880="","",INDEX(ポート振替表!$M$5:$M$3507,$L2880)&amp;"")</f>
        <v/>
      </c>
      <c r="K2880" s="52" t="str">
        <f aca="false">IF(L2880="","",E2880&amp;CHAR(10)&amp;INDEX(ポート振替表!$K$5:$K$3507,$L2880)&amp;" "&amp;INDEX(ポート振替表!$L$5:$L$3507,$L2880)&amp;CHAR(10)&amp;"⇔ "&amp;INDEX(ポート振替表!$H$5:$H$3507,$L2880)&amp;" "&amp;INDEX(ポート振替表!$I$5:$I$3507,$L2880))</f>
        <v/>
      </c>
      <c r="L2880" s="47" t="str">
        <f aca="false">IFERROR(MATCH(ROW()-4,ポート振替表!$V$5:$V$3507,0),"")</f>
        <v/>
      </c>
    </row>
    <row r="2881" customFormat="false" ht="16.4" hidden="false" customHeight="false" outlineLevel="0" collapsed="false">
      <c r="A2881" s="32" t="str">
        <f aca="false">IF(L2881="","",ROW()-4)</f>
        <v/>
      </c>
      <c r="B2881" s="58" t="str">
        <f aca="false">IF(L2881="","",IF(INDEX(ポート振替表!$W$5:$W$3507,$L2881)="","(なし)",INDEX(ポート振替表!$W$5:$W$3507,$L2881)&amp;""))</f>
        <v/>
      </c>
      <c r="C2881" s="52" t="str">
        <f aca="false">IF(L2881="","",INDEX(ポート振替表!$B$5:$B$3507,$L2881)&amp;" "&amp;INDEX(ポート振替表!$C$5:$C$3507,$L2881)&amp;"  ⇔  "&amp;INDEX(ポート振替表!$H$5:$H$3507,$L2881)&amp;" "&amp;INDEX(ポート振替表!$I$5:$I$3507,$L2881))</f>
        <v/>
      </c>
      <c r="D2881" s="57" t="s">
        <v>158</v>
      </c>
      <c r="E2881" s="59" t="str">
        <f aca="false">IF(L2881="","",IF(INDEX(ポート振替表!$O$5:$O$3507,$L2881)="","(未設定)",INDEX(ポート振替表!$O$5:$O$3507,$L2881)&amp;""))</f>
        <v/>
      </c>
      <c r="F2881" s="52" t="str">
        <f aca="false">IF(L2881="","",INDEX(ポート振替表!$K$5:$K$3507,$L2881)&amp;" "&amp;INDEX(ポート振替表!$L$5:$L$3507,$L2881)&amp;"  ⇔  "&amp;INDEX(ポート振替表!$H$5:$H$3507,$L2881)&amp;" "&amp;INDEX(ポート振替表!$I$5:$I$3507,$L2881))</f>
        <v/>
      </c>
      <c r="G2881" s="57" t="s">
        <v>158</v>
      </c>
      <c r="H2881" s="32" t="str">
        <f aca="false">IF(L2881="","",INDEX(ポート振替表!$N$5:$N$3507,$L2881)&amp;"")</f>
        <v/>
      </c>
      <c r="I2881" s="32" t="str">
        <f aca="false">IF(L2881="","",INDEX(ポート振替表!$P$5:$P$3507,$L2881)&amp;"")</f>
        <v/>
      </c>
      <c r="J2881" s="60" t="str">
        <f aca="false">IF(L2881="","",INDEX(ポート振替表!$M$5:$M$3507,$L2881)&amp;"")</f>
        <v/>
      </c>
      <c r="K2881" s="52" t="str">
        <f aca="false">IF(L2881="","",E2881&amp;CHAR(10)&amp;INDEX(ポート振替表!$K$5:$K$3507,$L2881)&amp;" "&amp;INDEX(ポート振替表!$L$5:$L$3507,$L2881)&amp;CHAR(10)&amp;"⇔ "&amp;INDEX(ポート振替表!$H$5:$H$3507,$L2881)&amp;" "&amp;INDEX(ポート振替表!$I$5:$I$3507,$L2881))</f>
        <v/>
      </c>
      <c r="L2881" s="47" t="str">
        <f aca="false">IFERROR(MATCH(ROW()-4,ポート振替表!$V$5:$V$3507,0),"")</f>
        <v/>
      </c>
    </row>
    <row r="2882" customFormat="false" ht="16.4" hidden="false" customHeight="false" outlineLevel="0" collapsed="false">
      <c r="A2882" s="32" t="str">
        <f aca="false">IF(L2882="","",ROW()-4)</f>
        <v/>
      </c>
      <c r="B2882" s="58" t="str">
        <f aca="false">IF(L2882="","",IF(INDEX(ポート振替表!$W$5:$W$3507,$L2882)="","(なし)",INDEX(ポート振替表!$W$5:$W$3507,$L2882)&amp;""))</f>
        <v/>
      </c>
      <c r="C2882" s="52" t="str">
        <f aca="false">IF(L2882="","",INDEX(ポート振替表!$B$5:$B$3507,$L2882)&amp;" "&amp;INDEX(ポート振替表!$C$5:$C$3507,$L2882)&amp;"  ⇔  "&amp;INDEX(ポート振替表!$H$5:$H$3507,$L2882)&amp;" "&amp;INDEX(ポート振替表!$I$5:$I$3507,$L2882))</f>
        <v/>
      </c>
      <c r="D2882" s="57" t="s">
        <v>158</v>
      </c>
      <c r="E2882" s="59" t="str">
        <f aca="false">IF(L2882="","",IF(INDEX(ポート振替表!$O$5:$O$3507,$L2882)="","(未設定)",INDEX(ポート振替表!$O$5:$O$3507,$L2882)&amp;""))</f>
        <v/>
      </c>
      <c r="F2882" s="52" t="str">
        <f aca="false">IF(L2882="","",INDEX(ポート振替表!$K$5:$K$3507,$L2882)&amp;" "&amp;INDEX(ポート振替表!$L$5:$L$3507,$L2882)&amp;"  ⇔  "&amp;INDEX(ポート振替表!$H$5:$H$3507,$L2882)&amp;" "&amp;INDEX(ポート振替表!$I$5:$I$3507,$L2882))</f>
        <v/>
      </c>
      <c r="G2882" s="57" t="s">
        <v>158</v>
      </c>
      <c r="H2882" s="32" t="str">
        <f aca="false">IF(L2882="","",INDEX(ポート振替表!$N$5:$N$3507,$L2882)&amp;"")</f>
        <v/>
      </c>
      <c r="I2882" s="32" t="str">
        <f aca="false">IF(L2882="","",INDEX(ポート振替表!$P$5:$P$3507,$L2882)&amp;"")</f>
        <v/>
      </c>
      <c r="J2882" s="60" t="str">
        <f aca="false">IF(L2882="","",INDEX(ポート振替表!$M$5:$M$3507,$L2882)&amp;"")</f>
        <v/>
      </c>
      <c r="K2882" s="52" t="str">
        <f aca="false">IF(L2882="","",E2882&amp;CHAR(10)&amp;INDEX(ポート振替表!$K$5:$K$3507,$L2882)&amp;" "&amp;INDEX(ポート振替表!$L$5:$L$3507,$L2882)&amp;CHAR(10)&amp;"⇔ "&amp;INDEX(ポート振替表!$H$5:$H$3507,$L2882)&amp;" "&amp;INDEX(ポート振替表!$I$5:$I$3507,$L2882))</f>
        <v/>
      </c>
      <c r="L2882" s="47" t="str">
        <f aca="false">IFERROR(MATCH(ROW()-4,ポート振替表!$V$5:$V$3507,0),"")</f>
        <v/>
      </c>
    </row>
    <row r="2883" customFormat="false" ht="16.4" hidden="false" customHeight="false" outlineLevel="0" collapsed="false">
      <c r="A2883" s="32" t="str">
        <f aca="false">IF(L2883="","",ROW()-4)</f>
        <v/>
      </c>
      <c r="B2883" s="58" t="str">
        <f aca="false">IF(L2883="","",IF(INDEX(ポート振替表!$W$5:$W$3507,$L2883)="","(なし)",INDEX(ポート振替表!$W$5:$W$3507,$L2883)&amp;""))</f>
        <v/>
      </c>
      <c r="C2883" s="52" t="str">
        <f aca="false">IF(L2883="","",INDEX(ポート振替表!$B$5:$B$3507,$L2883)&amp;" "&amp;INDEX(ポート振替表!$C$5:$C$3507,$L2883)&amp;"  ⇔  "&amp;INDEX(ポート振替表!$H$5:$H$3507,$L2883)&amp;" "&amp;INDEX(ポート振替表!$I$5:$I$3507,$L2883))</f>
        <v/>
      </c>
      <c r="D2883" s="57" t="s">
        <v>158</v>
      </c>
      <c r="E2883" s="59" t="str">
        <f aca="false">IF(L2883="","",IF(INDEX(ポート振替表!$O$5:$O$3507,$L2883)="","(未設定)",INDEX(ポート振替表!$O$5:$O$3507,$L2883)&amp;""))</f>
        <v/>
      </c>
      <c r="F2883" s="52" t="str">
        <f aca="false">IF(L2883="","",INDEX(ポート振替表!$K$5:$K$3507,$L2883)&amp;" "&amp;INDEX(ポート振替表!$L$5:$L$3507,$L2883)&amp;"  ⇔  "&amp;INDEX(ポート振替表!$H$5:$H$3507,$L2883)&amp;" "&amp;INDEX(ポート振替表!$I$5:$I$3507,$L2883))</f>
        <v/>
      </c>
      <c r="G2883" s="57" t="s">
        <v>158</v>
      </c>
      <c r="H2883" s="32" t="str">
        <f aca="false">IF(L2883="","",INDEX(ポート振替表!$N$5:$N$3507,$L2883)&amp;"")</f>
        <v/>
      </c>
      <c r="I2883" s="32" t="str">
        <f aca="false">IF(L2883="","",INDEX(ポート振替表!$P$5:$P$3507,$L2883)&amp;"")</f>
        <v/>
      </c>
      <c r="J2883" s="60" t="str">
        <f aca="false">IF(L2883="","",INDEX(ポート振替表!$M$5:$M$3507,$L2883)&amp;"")</f>
        <v/>
      </c>
      <c r="K2883" s="52" t="str">
        <f aca="false">IF(L2883="","",E2883&amp;CHAR(10)&amp;INDEX(ポート振替表!$K$5:$K$3507,$L2883)&amp;" "&amp;INDEX(ポート振替表!$L$5:$L$3507,$L2883)&amp;CHAR(10)&amp;"⇔ "&amp;INDEX(ポート振替表!$H$5:$H$3507,$L2883)&amp;" "&amp;INDEX(ポート振替表!$I$5:$I$3507,$L2883))</f>
        <v/>
      </c>
      <c r="L2883" s="47" t="str">
        <f aca="false">IFERROR(MATCH(ROW()-4,ポート振替表!$V$5:$V$3507,0),"")</f>
        <v/>
      </c>
    </row>
    <row r="2884" customFormat="false" ht="16.4" hidden="false" customHeight="false" outlineLevel="0" collapsed="false">
      <c r="A2884" s="32" t="str">
        <f aca="false">IF(L2884="","",ROW()-4)</f>
        <v/>
      </c>
      <c r="B2884" s="58" t="str">
        <f aca="false">IF(L2884="","",IF(INDEX(ポート振替表!$W$5:$W$3507,$L2884)="","(なし)",INDEX(ポート振替表!$W$5:$W$3507,$L2884)&amp;""))</f>
        <v/>
      </c>
      <c r="C2884" s="52" t="str">
        <f aca="false">IF(L2884="","",INDEX(ポート振替表!$B$5:$B$3507,$L2884)&amp;" "&amp;INDEX(ポート振替表!$C$5:$C$3507,$L2884)&amp;"  ⇔  "&amp;INDEX(ポート振替表!$H$5:$H$3507,$L2884)&amp;" "&amp;INDEX(ポート振替表!$I$5:$I$3507,$L2884))</f>
        <v/>
      </c>
      <c r="D2884" s="57" t="s">
        <v>158</v>
      </c>
      <c r="E2884" s="59" t="str">
        <f aca="false">IF(L2884="","",IF(INDEX(ポート振替表!$O$5:$O$3507,$L2884)="","(未設定)",INDEX(ポート振替表!$O$5:$O$3507,$L2884)&amp;""))</f>
        <v/>
      </c>
      <c r="F2884" s="52" t="str">
        <f aca="false">IF(L2884="","",INDEX(ポート振替表!$K$5:$K$3507,$L2884)&amp;" "&amp;INDEX(ポート振替表!$L$5:$L$3507,$L2884)&amp;"  ⇔  "&amp;INDEX(ポート振替表!$H$5:$H$3507,$L2884)&amp;" "&amp;INDEX(ポート振替表!$I$5:$I$3507,$L2884))</f>
        <v/>
      </c>
      <c r="G2884" s="57" t="s">
        <v>158</v>
      </c>
      <c r="H2884" s="32" t="str">
        <f aca="false">IF(L2884="","",INDEX(ポート振替表!$N$5:$N$3507,$L2884)&amp;"")</f>
        <v/>
      </c>
      <c r="I2884" s="32" t="str">
        <f aca="false">IF(L2884="","",INDEX(ポート振替表!$P$5:$P$3507,$L2884)&amp;"")</f>
        <v/>
      </c>
      <c r="J2884" s="60" t="str">
        <f aca="false">IF(L2884="","",INDEX(ポート振替表!$M$5:$M$3507,$L2884)&amp;"")</f>
        <v/>
      </c>
      <c r="K2884" s="52" t="str">
        <f aca="false">IF(L2884="","",E2884&amp;CHAR(10)&amp;INDEX(ポート振替表!$K$5:$K$3507,$L2884)&amp;" "&amp;INDEX(ポート振替表!$L$5:$L$3507,$L2884)&amp;CHAR(10)&amp;"⇔ "&amp;INDEX(ポート振替表!$H$5:$H$3507,$L2884)&amp;" "&amp;INDEX(ポート振替表!$I$5:$I$3507,$L2884))</f>
        <v/>
      </c>
      <c r="L2884" s="47" t="str">
        <f aca="false">IFERROR(MATCH(ROW()-4,ポート振替表!$V$5:$V$3507,0),"")</f>
        <v/>
      </c>
    </row>
    <row r="2885" customFormat="false" ht="16.4" hidden="false" customHeight="false" outlineLevel="0" collapsed="false">
      <c r="A2885" s="32" t="str">
        <f aca="false">IF(L2885="","",ROW()-4)</f>
        <v/>
      </c>
      <c r="B2885" s="58" t="str">
        <f aca="false">IF(L2885="","",IF(INDEX(ポート振替表!$W$5:$W$3507,$L2885)="","(なし)",INDEX(ポート振替表!$W$5:$W$3507,$L2885)&amp;""))</f>
        <v/>
      </c>
      <c r="C2885" s="52" t="str">
        <f aca="false">IF(L2885="","",INDEX(ポート振替表!$B$5:$B$3507,$L2885)&amp;" "&amp;INDEX(ポート振替表!$C$5:$C$3507,$L2885)&amp;"  ⇔  "&amp;INDEX(ポート振替表!$H$5:$H$3507,$L2885)&amp;" "&amp;INDEX(ポート振替表!$I$5:$I$3507,$L2885))</f>
        <v/>
      </c>
      <c r="D2885" s="57" t="s">
        <v>158</v>
      </c>
      <c r="E2885" s="59" t="str">
        <f aca="false">IF(L2885="","",IF(INDEX(ポート振替表!$O$5:$O$3507,$L2885)="","(未設定)",INDEX(ポート振替表!$O$5:$O$3507,$L2885)&amp;""))</f>
        <v/>
      </c>
      <c r="F2885" s="52" t="str">
        <f aca="false">IF(L2885="","",INDEX(ポート振替表!$K$5:$K$3507,$L2885)&amp;" "&amp;INDEX(ポート振替表!$L$5:$L$3507,$L2885)&amp;"  ⇔  "&amp;INDEX(ポート振替表!$H$5:$H$3507,$L2885)&amp;" "&amp;INDEX(ポート振替表!$I$5:$I$3507,$L2885))</f>
        <v/>
      </c>
      <c r="G2885" s="57" t="s">
        <v>158</v>
      </c>
      <c r="H2885" s="32" t="str">
        <f aca="false">IF(L2885="","",INDEX(ポート振替表!$N$5:$N$3507,$L2885)&amp;"")</f>
        <v/>
      </c>
      <c r="I2885" s="32" t="str">
        <f aca="false">IF(L2885="","",INDEX(ポート振替表!$P$5:$P$3507,$L2885)&amp;"")</f>
        <v/>
      </c>
      <c r="J2885" s="60" t="str">
        <f aca="false">IF(L2885="","",INDEX(ポート振替表!$M$5:$M$3507,$L2885)&amp;"")</f>
        <v/>
      </c>
      <c r="K2885" s="52" t="str">
        <f aca="false">IF(L2885="","",E2885&amp;CHAR(10)&amp;INDEX(ポート振替表!$K$5:$K$3507,$L2885)&amp;" "&amp;INDEX(ポート振替表!$L$5:$L$3507,$L2885)&amp;CHAR(10)&amp;"⇔ "&amp;INDEX(ポート振替表!$H$5:$H$3507,$L2885)&amp;" "&amp;INDEX(ポート振替表!$I$5:$I$3507,$L2885))</f>
        <v/>
      </c>
      <c r="L2885" s="47" t="str">
        <f aca="false">IFERROR(MATCH(ROW()-4,ポート振替表!$V$5:$V$3507,0),"")</f>
        <v/>
      </c>
    </row>
    <row r="2886" customFormat="false" ht="16.4" hidden="false" customHeight="false" outlineLevel="0" collapsed="false">
      <c r="A2886" s="32" t="str">
        <f aca="false">IF(L2886="","",ROW()-4)</f>
        <v/>
      </c>
      <c r="B2886" s="58" t="str">
        <f aca="false">IF(L2886="","",IF(INDEX(ポート振替表!$W$5:$W$3507,$L2886)="","(なし)",INDEX(ポート振替表!$W$5:$W$3507,$L2886)&amp;""))</f>
        <v/>
      </c>
      <c r="C2886" s="52" t="str">
        <f aca="false">IF(L2886="","",INDEX(ポート振替表!$B$5:$B$3507,$L2886)&amp;" "&amp;INDEX(ポート振替表!$C$5:$C$3507,$L2886)&amp;"  ⇔  "&amp;INDEX(ポート振替表!$H$5:$H$3507,$L2886)&amp;" "&amp;INDEX(ポート振替表!$I$5:$I$3507,$L2886))</f>
        <v/>
      </c>
      <c r="D2886" s="57" t="s">
        <v>158</v>
      </c>
      <c r="E2886" s="59" t="str">
        <f aca="false">IF(L2886="","",IF(INDEX(ポート振替表!$O$5:$O$3507,$L2886)="","(未設定)",INDEX(ポート振替表!$O$5:$O$3507,$L2886)&amp;""))</f>
        <v/>
      </c>
      <c r="F2886" s="52" t="str">
        <f aca="false">IF(L2886="","",INDEX(ポート振替表!$K$5:$K$3507,$L2886)&amp;" "&amp;INDEX(ポート振替表!$L$5:$L$3507,$L2886)&amp;"  ⇔  "&amp;INDEX(ポート振替表!$H$5:$H$3507,$L2886)&amp;" "&amp;INDEX(ポート振替表!$I$5:$I$3507,$L2886))</f>
        <v/>
      </c>
      <c r="G2886" s="57" t="s">
        <v>158</v>
      </c>
      <c r="H2886" s="32" t="str">
        <f aca="false">IF(L2886="","",INDEX(ポート振替表!$N$5:$N$3507,$L2886)&amp;"")</f>
        <v/>
      </c>
      <c r="I2886" s="32" t="str">
        <f aca="false">IF(L2886="","",INDEX(ポート振替表!$P$5:$P$3507,$L2886)&amp;"")</f>
        <v/>
      </c>
      <c r="J2886" s="60" t="str">
        <f aca="false">IF(L2886="","",INDEX(ポート振替表!$M$5:$M$3507,$L2886)&amp;"")</f>
        <v/>
      </c>
      <c r="K2886" s="52" t="str">
        <f aca="false">IF(L2886="","",E2886&amp;CHAR(10)&amp;INDEX(ポート振替表!$K$5:$K$3507,$L2886)&amp;" "&amp;INDEX(ポート振替表!$L$5:$L$3507,$L2886)&amp;CHAR(10)&amp;"⇔ "&amp;INDEX(ポート振替表!$H$5:$H$3507,$L2886)&amp;" "&amp;INDEX(ポート振替表!$I$5:$I$3507,$L2886))</f>
        <v/>
      </c>
      <c r="L2886" s="47" t="str">
        <f aca="false">IFERROR(MATCH(ROW()-4,ポート振替表!$V$5:$V$3507,0),"")</f>
        <v/>
      </c>
    </row>
    <row r="2887" customFormat="false" ht="16.4" hidden="false" customHeight="false" outlineLevel="0" collapsed="false">
      <c r="A2887" s="32" t="str">
        <f aca="false">IF(L2887="","",ROW()-4)</f>
        <v/>
      </c>
      <c r="B2887" s="58" t="str">
        <f aca="false">IF(L2887="","",IF(INDEX(ポート振替表!$W$5:$W$3507,$L2887)="","(なし)",INDEX(ポート振替表!$W$5:$W$3507,$L2887)&amp;""))</f>
        <v/>
      </c>
      <c r="C2887" s="52" t="str">
        <f aca="false">IF(L2887="","",INDEX(ポート振替表!$B$5:$B$3507,$L2887)&amp;" "&amp;INDEX(ポート振替表!$C$5:$C$3507,$L2887)&amp;"  ⇔  "&amp;INDEX(ポート振替表!$H$5:$H$3507,$L2887)&amp;" "&amp;INDEX(ポート振替表!$I$5:$I$3507,$L2887))</f>
        <v/>
      </c>
      <c r="D2887" s="57" t="s">
        <v>158</v>
      </c>
      <c r="E2887" s="59" t="str">
        <f aca="false">IF(L2887="","",IF(INDEX(ポート振替表!$O$5:$O$3507,$L2887)="","(未設定)",INDEX(ポート振替表!$O$5:$O$3507,$L2887)&amp;""))</f>
        <v/>
      </c>
      <c r="F2887" s="52" t="str">
        <f aca="false">IF(L2887="","",INDEX(ポート振替表!$K$5:$K$3507,$L2887)&amp;" "&amp;INDEX(ポート振替表!$L$5:$L$3507,$L2887)&amp;"  ⇔  "&amp;INDEX(ポート振替表!$H$5:$H$3507,$L2887)&amp;" "&amp;INDEX(ポート振替表!$I$5:$I$3507,$L2887))</f>
        <v/>
      </c>
      <c r="G2887" s="57" t="s">
        <v>158</v>
      </c>
      <c r="H2887" s="32" t="str">
        <f aca="false">IF(L2887="","",INDEX(ポート振替表!$N$5:$N$3507,$L2887)&amp;"")</f>
        <v/>
      </c>
      <c r="I2887" s="32" t="str">
        <f aca="false">IF(L2887="","",INDEX(ポート振替表!$P$5:$P$3507,$L2887)&amp;"")</f>
        <v/>
      </c>
      <c r="J2887" s="60" t="str">
        <f aca="false">IF(L2887="","",INDEX(ポート振替表!$M$5:$M$3507,$L2887)&amp;"")</f>
        <v/>
      </c>
      <c r="K2887" s="52" t="str">
        <f aca="false">IF(L2887="","",E2887&amp;CHAR(10)&amp;INDEX(ポート振替表!$K$5:$K$3507,$L2887)&amp;" "&amp;INDEX(ポート振替表!$L$5:$L$3507,$L2887)&amp;CHAR(10)&amp;"⇔ "&amp;INDEX(ポート振替表!$H$5:$H$3507,$L2887)&amp;" "&amp;INDEX(ポート振替表!$I$5:$I$3507,$L2887))</f>
        <v/>
      </c>
      <c r="L2887" s="47" t="str">
        <f aca="false">IFERROR(MATCH(ROW()-4,ポート振替表!$V$5:$V$3507,0),"")</f>
        <v/>
      </c>
    </row>
    <row r="2888" customFormat="false" ht="16.4" hidden="false" customHeight="false" outlineLevel="0" collapsed="false">
      <c r="A2888" s="32" t="str">
        <f aca="false">IF(L2888="","",ROW()-4)</f>
        <v/>
      </c>
      <c r="B2888" s="58" t="str">
        <f aca="false">IF(L2888="","",IF(INDEX(ポート振替表!$W$5:$W$3507,$L2888)="","(なし)",INDEX(ポート振替表!$W$5:$W$3507,$L2888)&amp;""))</f>
        <v/>
      </c>
      <c r="C2888" s="52" t="str">
        <f aca="false">IF(L2888="","",INDEX(ポート振替表!$B$5:$B$3507,$L2888)&amp;" "&amp;INDEX(ポート振替表!$C$5:$C$3507,$L2888)&amp;"  ⇔  "&amp;INDEX(ポート振替表!$H$5:$H$3507,$L2888)&amp;" "&amp;INDEX(ポート振替表!$I$5:$I$3507,$L2888))</f>
        <v/>
      </c>
      <c r="D2888" s="57" t="s">
        <v>158</v>
      </c>
      <c r="E2888" s="59" t="str">
        <f aca="false">IF(L2888="","",IF(INDEX(ポート振替表!$O$5:$O$3507,$L2888)="","(未設定)",INDEX(ポート振替表!$O$5:$O$3507,$L2888)&amp;""))</f>
        <v/>
      </c>
      <c r="F2888" s="52" t="str">
        <f aca="false">IF(L2888="","",INDEX(ポート振替表!$K$5:$K$3507,$L2888)&amp;" "&amp;INDEX(ポート振替表!$L$5:$L$3507,$L2888)&amp;"  ⇔  "&amp;INDEX(ポート振替表!$H$5:$H$3507,$L2888)&amp;" "&amp;INDEX(ポート振替表!$I$5:$I$3507,$L2888))</f>
        <v/>
      </c>
      <c r="G2888" s="57" t="s">
        <v>158</v>
      </c>
      <c r="H2888" s="32" t="str">
        <f aca="false">IF(L2888="","",INDEX(ポート振替表!$N$5:$N$3507,$L2888)&amp;"")</f>
        <v/>
      </c>
      <c r="I2888" s="32" t="str">
        <f aca="false">IF(L2888="","",INDEX(ポート振替表!$P$5:$P$3507,$L2888)&amp;"")</f>
        <v/>
      </c>
      <c r="J2888" s="60" t="str">
        <f aca="false">IF(L2888="","",INDEX(ポート振替表!$M$5:$M$3507,$L2888)&amp;"")</f>
        <v/>
      </c>
      <c r="K2888" s="52" t="str">
        <f aca="false">IF(L2888="","",E2888&amp;CHAR(10)&amp;INDEX(ポート振替表!$K$5:$K$3507,$L2888)&amp;" "&amp;INDEX(ポート振替表!$L$5:$L$3507,$L2888)&amp;CHAR(10)&amp;"⇔ "&amp;INDEX(ポート振替表!$H$5:$H$3507,$L2888)&amp;" "&amp;INDEX(ポート振替表!$I$5:$I$3507,$L2888))</f>
        <v/>
      </c>
      <c r="L2888" s="47" t="str">
        <f aca="false">IFERROR(MATCH(ROW()-4,ポート振替表!$V$5:$V$3507,0),"")</f>
        <v/>
      </c>
    </row>
    <row r="2889" customFormat="false" ht="16.4" hidden="false" customHeight="false" outlineLevel="0" collapsed="false">
      <c r="A2889" s="32" t="str">
        <f aca="false">IF(L2889="","",ROW()-4)</f>
        <v/>
      </c>
      <c r="B2889" s="58" t="str">
        <f aca="false">IF(L2889="","",IF(INDEX(ポート振替表!$W$5:$W$3507,$L2889)="","(なし)",INDEX(ポート振替表!$W$5:$W$3507,$L2889)&amp;""))</f>
        <v/>
      </c>
      <c r="C2889" s="52" t="str">
        <f aca="false">IF(L2889="","",INDEX(ポート振替表!$B$5:$B$3507,$L2889)&amp;" "&amp;INDEX(ポート振替表!$C$5:$C$3507,$L2889)&amp;"  ⇔  "&amp;INDEX(ポート振替表!$H$5:$H$3507,$L2889)&amp;" "&amp;INDEX(ポート振替表!$I$5:$I$3507,$L2889))</f>
        <v/>
      </c>
      <c r="D2889" s="57" t="s">
        <v>158</v>
      </c>
      <c r="E2889" s="59" t="str">
        <f aca="false">IF(L2889="","",IF(INDEX(ポート振替表!$O$5:$O$3507,$L2889)="","(未設定)",INDEX(ポート振替表!$O$5:$O$3507,$L2889)&amp;""))</f>
        <v/>
      </c>
      <c r="F2889" s="52" t="str">
        <f aca="false">IF(L2889="","",INDEX(ポート振替表!$K$5:$K$3507,$L2889)&amp;" "&amp;INDEX(ポート振替表!$L$5:$L$3507,$L2889)&amp;"  ⇔  "&amp;INDEX(ポート振替表!$H$5:$H$3507,$L2889)&amp;" "&amp;INDEX(ポート振替表!$I$5:$I$3507,$L2889))</f>
        <v/>
      </c>
      <c r="G2889" s="57" t="s">
        <v>158</v>
      </c>
      <c r="H2889" s="32" t="str">
        <f aca="false">IF(L2889="","",INDEX(ポート振替表!$N$5:$N$3507,$L2889)&amp;"")</f>
        <v/>
      </c>
      <c r="I2889" s="32" t="str">
        <f aca="false">IF(L2889="","",INDEX(ポート振替表!$P$5:$P$3507,$L2889)&amp;"")</f>
        <v/>
      </c>
      <c r="J2889" s="60" t="str">
        <f aca="false">IF(L2889="","",INDEX(ポート振替表!$M$5:$M$3507,$L2889)&amp;"")</f>
        <v/>
      </c>
      <c r="K2889" s="52" t="str">
        <f aca="false">IF(L2889="","",E2889&amp;CHAR(10)&amp;INDEX(ポート振替表!$K$5:$K$3507,$L2889)&amp;" "&amp;INDEX(ポート振替表!$L$5:$L$3507,$L2889)&amp;CHAR(10)&amp;"⇔ "&amp;INDEX(ポート振替表!$H$5:$H$3507,$L2889)&amp;" "&amp;INDEX(ポート振替表!$I$5:$I$3507,$L2889))</f>
        <v/>
      </c>
      <c r="L2889" s="47" t="str">
        <f aca="false">IFERROR(MATCH(ROW()-4,ポート振替表!$V$5:$V$3507,0),"")</f>
        <v/>
      </c>
    </row>
    <row r="2890" customFormat="false" ht="16.4" hidden="false" customHeight="false" outlineLevel="0" collapsed="false">
      <c r="A2890" s="32" t="str">
        <f aca="false">IF(L2890="","",ROW()-4)</f>
        <v/>
      </c>
      <c r="B2890" s="58" t="str">
        <f aca="false">IF(L2890="","",IF(INDEX(ポート振替表!$W$5:$W$3507,$L2890)="","(なし)",INDEX(ポート振替表!$W$5:$W$3507,$L2890)&amp;""))</f>
        <v/>
      </c>
      <c r="C2890" s="52" t="str">
        <f aca="false">IF(L2890="","",INDEX(ポート振替表!$B$5:$B$3507,$L2890)&amp;" "&amp;INDEX(ポート振替表!$C$5:$C$3507,$L2890)&amp;"  ⇔  "&amp;INDEX(ポート振替表!$H$5:$H$3507,$L2890)&amp;" "&amp;INDEX(ポート振替表!$I$5:$I$3507,$L2890))</f>
        <v/>
      </c>
      <c r="D2890" s="57" t="s">
        <v>158</v>
      </c>
      <c r="E2890" s="59" t="str">
        <f aca="false">IF(L2890="","",IF(INDEX(ポート振替表!$O$5:$O$3507,$L2890)="","(未設定)",INDEX(ポート振替表!$O$5:$O$3507,$L2890)&amp;""))</f>
        <v/>
      </c>
      <c r="F2890" s="52" t="str">
        <f aca="false">IF(L2890="","",INDEX(ポート振替表!$K$5:$K$3507,$L2890)&amp;" "&amp;INDEX(ポート振替表!$L$5:$L$3507,$L2890)&amp;"  ⇔  "&amp;INDEX(ポート振替表!$H$5:$H$3507,$L2890)&amp;" "&amp;INDEX(ポート振替表!$I$5:$I$3507,$L2890))</f>
        <v/>
      </c>
      <c r="G2890" s="57" t="s">
        <v>158</v>
      </c>
      <c r="H2890" s="32" t="str">
        <f aca="false">IF(L2890="","",INDEX(ポート振替表!$N$5:$N$3507,$L2890)&amp;"")</f>
        <v/>
      </c>
      <c r="I2890" s="32" t="str">
        <f aca="false">IF(L2890="","",INDEX(ポート振替表!$P$5:$P$3507,$L2890)&amp;"")</f>
        <v/>
      </c>
      <c r="J2890" s="60" t="str">
        <f aca="false">IF(L2890="","",INDEX(ポート振替表!$M$5:$M$3507,$L2890)&amp;"")</f>
        <v/>
      </c>
      <c r="K2890" s="52" t="str">
        <f aca="false">IF(L2890="","",E2890&amp;CHAR(10)&amp;INDEX(ポート振替表!$K$5:$K$3507,$L2890)&amp;" "&amp;INDEX(ポート振替表!$L$5:$L$3507,$L2890)&amp;CHAR(10)&amp;"⇔ "&amp;INDEX(ポート振替表!$H$5:$H$3507,$L2890)&amp;" "&amp;INDEX(ポート振替表!$I$5:$I$3507,$L2890))</f>
        <v/>
      </c>
      <c r="L2890" s="47" t="str">
        <f aca="false">IFERROR(MATCH(ROW()-4,ポート振替表!$V$5:$V$3507,0),"")</f>
        <v/>
      </c>
    </row>
    <row r="2891" customFormat="false" ht="16.4" hidden="false" customHeight="false" outlineLevel="0" collapsed="false">
      <c r="A2891" s="32" t="str">
        <f aca="false">IF(L2891="","",ROW()-4)</f>
        <v/>
      </c>
      <c r="B2891" s="58" t="str">
        <f aca="false">IF(L2891="","",IF(INDEX(ポート振替表!$W$5:$W$3507,$L2891)="","(なし)",INDEX(ポート振替表!$W$5:$W$3507,$L2891)&amp;""))</f>
        <v/>
      </c>
      <c r="C2891" s="52" t="str">
        <f aca="false">IF(L2891="","",INDEX(ポート振替表!$B$5:$B$3507,$L2891)&amp;" "&amp;INDEX(ポート振替表!$C$5:$C$3507,$L2891)&amp;"  ⇔  "&amp;INDEX(ポート振替表!$H$5:$H$3507,$L2891)&amp;" "&amp;INDEX(ポート振替表!$I$5:$I$3507,$L2891))</f>
        <v/>
      </c>
      <c r="D2891" s="57" t="s">
        <v>158</v>
      </c>
      <c r="E2891" s="59" t="str">
        <f aca="false">IF(L2891="","",IF(INDEX(ポート振替表!$O$5:$O$3507,$L2891)="","(未設定)",INDEX(ポート振替表!$O$5:$O$3507,$L2891)&amp;""))</f>
        <v/>
      </c>
      <c r="F2891" s="52" t="str">
        <f aca="false">IF(L2891="","",INDEX(ポート振替表!$K$5:$K$3507,$L2891)&amp;" "&amp;INDEX(ポート振替表!$L$5:$L$3507,$L2891)&amp;"  ⇔  "&amp;INDEX(ポート振替表!$H$5:$H$3507,$L2891)&amp;" "&amp;INDEX(ポート振替表!$I$5:$I$3507,$L2891))</f>
        <v/>
      </c>
      <c r="G2891" s="57" t="s">
        <v>158</v>
      </c>
      <c r="H2891" s="32" t="str">
        <f aca="false">IF(L2891="","",INDEX(ポート振替表!$N$5:$N$3507,$L2891)&amp;"")</f>
        <v/>
      </c>
      <c r="I2891" s="32" t="str">
        <f aca="false">IF(L2891="","",INDEX(ポート振替表!$P$5:$P$3507,$L2891)&amp;"")</f>
        <v/>
      </c>
      <c r="J2891" s="60" t="str">
        <f aca="false">IF(L2891="","",INDEX(ポート振替表!$M$5:$M$3507,$L2891)&amp;"")</f>
        <v/>
      </c>
      <c r="K2891" s="52" t="str">
        <f aca="false">IF(L2891="","",E2891&amp;CHAR(10)&amp;INDEX(ポート振替表!$K$5:$K$3507,$L2891)&amp;" "&amp;INDEX(ポート振替表!$L$5:$L$3507,$L2891)&amp;CHAR(10)&amp;"⇔ "&amp;INDEX(ポート振替表!$H$5:$H$3507,$L2891)&amp;" "&amp;INDEX(ポート振替表!$I$5:$I$3507,$L2891))</f>
        <v/>
      </c>
      <c r="L2891" s="47" t="str">
        <f aca="false">IFERROR(MATCH(ROW()-4,ポート振替表!$V$5:$V$3507,0),"")</f>
        <v/>
      </c>
    </row>
    <row r="2892" customFormat="false" ht="16.4" hidden="false" customHeight="false" outlineLevel="0" collapsed="false">
      <c r="A2892" s="32" t="str">
        <f aca="false">IF(L2892="","",ROW()-4)</f>
        <v/>
      </c>
      <c r="B2892" s="58" t="str">
        <f aca="false">IF(L2892="","",IF(INDEX(ポート振替表!$W$5:$W$3507,$L2892)="","(なし)",INDEX(ポート振替表!$W$5:$W$3507,$L2892)&amp;""))</f>
        <v/>
      </c>
      <c r="C2892" s="52" t="str">
        <f aca="false">IF(L2892="","",INDEX(ポート振替表!$B$5:$B$3507,$L2892)&amp;" "&amp;INDEX(ポート振替表!$C$5:$C$3507,$L2892)&amp;"  ⇔  "&amp;INDEX(ポート振替表!$H$5:$H$3507,$L2892)&amp;" "&amp;INDEX(ポート振替表!$I$5:$I$3507,$L2892))</f>
        <v/>
      </c>
      <c r="D2892" s="57" t="s">
        <v>158</v>
      </c>
      <c r="E2892" s="59" t="str">
        <f aca="false">IF(L2892="","",IF(INDEX(ポート振替表!$O$5:$O$3507,$L2892)="","(未設定)",INDEX(ポート振替表!$O$5:$O$3507,$L2892)&amp;""))</f>
        <v/>
      </c>
      <c r="F2892" s="52" t="str">
        <f aca="false">IF(L2892="","",INDEX(ポート振替表!$K$5:$K$3507,$L2892)&amp;" "&amp;INDEX(ポート振替表!$L$5:$L$3507,$L2892)&amp;"  ⇔  "&amp;INDEX(ポート振替表!$H$5:$H$3507,$L2892)&amp;" "&amp;INDEX(ポート振替表!$I$5:$I$3507,$L2892))</f>
        <v/>
      </c>
      <c r="G2892" s="57" t="s">
        <v>158</v>
      </c>
      <c r="H2892" s="32" t="str">
        <f aca="false">IF(L2892="","",INDEX(ポート振替表!$N$5:$N$3507,$L2892)&amp;"")</f>
        <v/>
      </c>
      <c r="I2892" s="32" t="str">
        <f aca="false">IF(L2892="","",INDEX(ポート振替表!$P$5:$P$3507,$L2892)&amp;"")</f>
        <v/>
      </c>
      <c r="J2892" s="60" t="str">
        <f aca="false">IF(L2892="","",INDEX(ポート振替表!$M$5:$M$3507,$L2892)&amp;"")</f>
        <v/>
      </c>
      <c r="K2892" s="52" t="str">
        <f aca="false">IF(L2892="","",E2892&amp;CHAR(10)&amp;INDEX(ポート振替表!$K$5:$K$3507,$L2892)&amp;" "&amp;INDEX(ポート振替表!$L$5:$L$3507,$L2892)&amp;CHAR(10)&amp;"⇔ "&amp;INDEX(ポート振替表!$H$5:$H$3507,$L2892)&amp;" "&amp;INDEX(ポート振替表!$I$5:$I$3507,$L2892))</f>
        <v/>
      </c>
      <c r="L2892" s="47" t="str">
        <f aca="false">IFERROR(MATCH(ROW()-4,ポート振替表!$V$5:$V$3507,0),"")</f>
        <v/>
      </c>
    </row>
    <row r="2893" customFormat="false" ht="16.4" hidden="false" customHeight="false" outlineLevel="0" collapsed="false">
      <c r="A2893" s="32" t="str">
        <f aca="false">IF(L2893="","",ROW()-4)</f>
        <v/>
      </c>
      <c r="B2893" s="58" t="str">
        <f aca="false">IF(L2893="","",IF(INDEX(ポート振替表!$W$5:$W$3507,$L2893)="","(なし)",INDEX(ポート振替表!$W$5:$W$3507,$L2893)&amp;""))</f>
        <v/>
      </c>
      <c r="C2893" s="52" t="str">
        <f aca="false">IF(L2893="","",INDEX(ポート振替表!$B$5:$B$3507,$L2893)&amp;" "&amp;INDEX(ポート振替表!$C$5:$C$3507,$L2893)&amp;"  ⇔  "&amp;INDEX(ポート振替表!$H$5:$H$3507,$L2893)&amp;" "&amp;INDEX(ポート振替表!$I$5:$I$3507,$L2893))</f>
        <v/>
      </c>
      <c r="D2893" s="57" t="s">
        <v>158</v>
      </c>
      <c r="E2893" s="59" t="str">
        <f aca="false">IF(L2893="","",IF(INDEX(ポート振替表!$O$5:$O$3507,$L2893)="","(未設定)",INDEX(ポート振替表!$O$5:$O$3507,$L2893)&amp;""))</f>
        <v/>
      </c>
      <c r="F2893" s="52" t="str">
        <f aca="false">IF(L2893="","",INDEX(ポート振替表!$K$5:$K$3507,$L2893)&amp;" "&amp;INDEX(ポート振替表!$L$5:$L$3507,$L2893)&amp;"  ⇔  "&amp;INDEX(ポート振替表!$H$5:$H$3507,$L2893)&amp;" "&amp;INDEX(ポート振替表!$I$5:$I$3507,$L2893))</f>
        <v/>
      </c>
      <c r="G2893" s="57" t="s">
        <v>158</v>
      </c>
      <c r="H2893" s="32" t="str">
        <f aca="false">IF(L2893="","",INDEX(ポート振替表!$N$5:$N$3507,$L2893)&amp;"")</f>
        <v/>
      </c>
      <c r="I2893" s="32" t="str">
        <f aca="false">IF(L2893="","",INDEX(ポート振替表!$P$5:$P$3507,$L2893)&amp;"")</f>
        <v/>
      </c>
      <c r="J2893" s="60" t="str">
        <f aca="false">IF(L2893="","",INDEX(ポート振替表!$M$5:$M$3507,$L2893)&amp;"")</f>
        <v/>
      </c>
      <c r="K2893" s="52" t="str">
        <f aca="false">IF(L2893="","",E2893&amp;CHAR(10)&amp;INDEX(ポート振替表!$K$5:$K$3507,$L2893)&amp;" "&amp;INDEX(ポート振替表!$L$5:$L$3507,$L2893)&amp;CHAR(10)&amp;"⇔ "&amp;INDEX(ポート振替表!$H$5:$H$3507,$L2893)&amp;" "&amp;INDEX(ポート振替表!$I$5:$I$3507,$L2893))</f>
        <v/>
      </c>
      <c r="L2893" s="47" t="str">
        <f aca="false">IFERROR(MATCH(ROW()-4,ポート振替表!$V$5:$V$3507,0),"")</f>
        <v/>
      </c>
    </row>
    <row r="2894" customFormat="false" ht="16.4" hidden="false" customHeight="false" outlineLevel="0" collapsed="false">
      <c r="A2894" s="32" t="str">
        <f aca="false">IF(L2894="","",ROW()-4)</f>
        <v/>
      </c>
      <c r="B2894" s="58" t="str">
        <f aca="false">IF(L2894="","",IF(INDEX(ポート振替表!$W$5:$W$3507,$L2894)="","(なし)",INDEX(ポート振替表!$W$5:$W$3507,$L2894)&amp;""))</f>
        <v/>
      </c>
      <c r="C2894" s="52" t="str">
        <f aca="false">IF(L2894="","",INDEX(ポート振替表!$B$5:$B$3507,$L2894)&amp;" "&amp;INDEX(ポート振替表!$C$5:$C$3507,$L2894)&amp;"  ⇔  "&amp;INDEX(ポート振替表!$H$5:$H$3507,$L2894)&amp;" "&amp;INDEX(ポート振替表!$I$5:$I$3507,$L2894))</f>
        <v/>
      </c>
      <c r="D2894" s="57" t="s">
        <v>158</v>
      </c>
      <c r="E2894" s="59" t="str">
        <f aca="false">IF(L2894="","",IF(INDEX(ポート振替表!$O$5:$O$3507,$L2894)="","(未設定)",INDEX(ポート振替表!$O$5:$O$3507,$L2894)&amp;""))</f>
        <v/>
      </c>
      <c r="F2894" s="52" t="str">
        <f aca="false">IF(L2894="","",INDEX(ポート振替表!$K$5:$K$3507,$L2894)&amp;" "&amp;INDEX(ポート振替表!$L$5:$L$3507,$L2894)&amp;"  ⇔  "&amp;INDEX(ポート振替表!$H$5:$H$3507,$L2894)&amp;" "&amp;INDEX(ポート振替表!$I$5:$I$3507,$L2894))</f>
        <v/>
      </c>
      <c r="G2894" s="57" t="s">
        <v>158</v>
      </c>
      <c r="H2894" s="32" t="str">
        <f aca="false">IF(L2894="","",INDEX(ポート振替表!$N$5:$N$3507,$L2894)&amp;"")</f>
        <v/>
      </c>
      <c r="I2894" s="32" t="str">
        <f aca="false">IF(L2894="","",INDEX(ポート振替表!$P$5:$P$3507,$L2894)&amp;"")</f>
        <v/>
      </c>
      <c r="J2894" s="60" t="str">
        <f aca="false">IF(L2894="","",INDEX(ポート振替表!$M$5:$M$3507,$L2894)&amp;"")</f>
        <v/>
      </c>
      <c r="K2894" s="52" t="str">
        <f aca="false">IF(L2894="","",E2894&amp;CHAR(10)&amp;INDEX(ポート振替表!$K$5:$K$3507,$L2894)&amp;" "&amp;INDEX(ポート振替表!$L$5:$L$3507,$L2894)&amp;CHAR(10)&amp;"⇔ "&amp;INDEX(ポート振替表!$H$5:$H$3507,$L2894)&amp;" "&amp;INDEX(ポート振替表!$I$5:$I$3507,$L2894))</f>
        <v/>
      </c>
      <c r="L2894" s="47" t="str">
        <f aca="false">IFERROR(MATCH(ROW()-4,ポート振替表!$V$5:$V$3507,0),"")</f>
        <v/>
      </c>
    </row>
    <row r="2895" customFormat="false" ht="16.4" hidden="false" customHeight="false" outlineLevel="0" collapsed="false">
      <c r="A2895" s="32" t="str">
        <f aca="false">IF(L2895="","",ROW()-4)</f>
        <v/>
      </c>
      <c r="B2895" s="58" t="str">
        <f aca="false">IF(L2895="","",IF(INDEX(ポート振替表!$W$5:$W$3507,$L2895)="","(なし)",INDEX(ポート振替表!$W$5:$W$3507,$L2895)&amp;""))</f>
        <v/>
      </c>
      <c r="C2895" s="52" t="str">
        <f aca="false">IF(L2895="","",INDEX(ポート振替表!$B$5:$B$3507,$L2895)&amp;" "&amp;INDEX(ポート振替表!$C$5:$C$3507,$L2895)&amp;"  ⇔  "&amp;INDEX(ポート振替表!$H$5:$H$3507,$L2895)&amp;" "&amp;INDEX(ポート振替表!$I$5:$I$3507,$L2895))</f>
        <v/>
      </c>
      <c r="D2895" s="57" t="s">
        <v>158</v>
      </c>
      <c r="E2895" s="59" t="str">
        <f aca="false">IF(L2895="","",IF(INDEX(ポート振替表!$O$5:$O$3507,$L2895)="","(未設定)",INDEX(ポート振替表!$O$5:$O$3507,$L2895)&amp;""))</f>
        <v/>
      </c>
      <c r="F2895" s="52" t="str">
        <f aca="false">IF(L2895="","",INDEX(ポート振替表!$K$5:$K$3507,$L2895)&amp;" "&amp;INDEX(ポート振替表!$L$5:$L$3507,$L2895)&amp;"  ⇔  "&amp;INDEX(ポート振替表!$H$5:$H$3507,$L2895)&amp;" "&amp;INDEX(ポート振替表!$I$5:$I$3507,$L2895))</f>
        <v/>
      </c>
      <c r="G2895" s="57" t="s">
        <v>158</v>
      </c>
      <c r="H2895" s="32" t="str">
        <f aca="false">IF(L2895="","",INDEX(ポート振替表!$N$5:$N$3507,$L2895)&amp;"")</f>
        <v/>
      </c>
      <c r="I2895" s="32" t="str">
        <f aca="false">IF(L2895="","",INDEX(ポート振替表!$P$5:$P$3507,$L2895)&amp;"")</f>
        <v/>
      </c>
      <c r="J2895" s="60" t="str">
        <f aca="false">IF(L2895="","",INDEX(ポート振替表!$M$5:$M$3507,$L2895)&amp;"")</f>
        <v/>
      </c>
      <c r="K2895" s="52" t="str">
        <f aca="false">IF(L2895="","",E2895&amp;CHAR(10)&amp;INDEX(ポート振替表!$K$5:$K$3507,$L2895)&amp;" "&amp;INDEX(ポート振替表!$L$5:$L$3507,$L2895)&amp;CHAR(10)&amp;"⇔ "&amp;INDEX(ポート振替表!$H$5:$H$3507,$L2895)&amp;" "&amp;INDEX(ポート振替表!$I$5:$I$3507,$L2895))</f>
        <v/>
      </c>
      <c r="L2895" s="47" t="str">
        <f aca="false">IFERROR(MATCH(ROW()-4,ポート振替表!$V$5:$V$3507,0),"")</f>
        <v/>
      </c>
    </row>
    <row r="2896" customFormat="false" ht="16.4" hidden="false" customHeight="false" outlineLevel="0" collapsed="false">
      <c r="A2896" s="32" t="str">
        <f aca="false">IF(L2896="","",ROW()-4)</f>
        <v/>
      </c>
      <c r="B2896" s="58" t="str">
        <f aca="false">IF(L2896="","",IF(INDEX(ポート振替表!$W$5:$W$3507,$L2896)="","(なし)",INDEX(ポート振替表!$W$5:$W$3507,$L2896)&amp;""))</f>
        <v/>
      </c>
      <c r="C2896" s="52" t="str">
        <f aca="false">IF(L2896="","",INDEX(ポート振替表!$B$5:$B$3507,$L2896)&amp;" "&amp;INDEX(ポート振替表!$C$5:$C$3507,$L2896)&amp;"  ⇔  "&amp;INDEX(ポート振替表!$H$5:$H$3507,$L2896)&amp;" "&amp;INDEX(ポート振替表!$I$5:$I$3507,$L2896))</f>
        <v/>
      </c>
      <c r="D2896" s="57" t="s">
        <v>158</v>
      </c>
      <c r="E2896" s="59" t="str">
        <f aca="false">IF(L2896="","",IF(INDEX(ポート振替表!$O$5:$O$3507,$L2896)="","(未設定)",INDEX(ポート振替表!$O$5:$O$3507,$L2896)&amp;""))</f>
        <v/>
      </c>
      <c r="F2896" s="52" t="str">
        <f aca="false">IF(L2896="","",INDEX(ポート振替表!$K$5:$K$3507,$L2896)&amp;" "&amp;INDEX(ポート振替表!$L$5:$L$3507,$L2896)&amp;"  ⇔  "&amp;INDEX(ポート振替表!$H$5:$H$3507,$L2896)&amp;" "&amp;INDEX(ポート振替表!$I$5:$I$3507,$L2896))</f>
        <v/>
      </c>
      <c r="G2896" s="57" t="s">
        <v>158</v>
      </c>
      <c r="H2896" s="32" t="str">
        <f aca="false">IF(L2896="","",INDEX(ポート振替表!$N$5:$N$3507,$L2896)&amp;"")</f>
        <v/>
      </c>
      <c r="I2896" s="32" t="str">
        <f aca="false">IF(L2896="","",INDEX(ポート振替表!$P$5:$P$3507,$L2896)&amp;"")</f>
        <v/>
      </c>
      <c r="J2896" s="60" t="str">
        <f aca="false">IF(L2896="","",INDEX(ポート振替表!$M$5:$M$3507,$L2896)&amp;"")</f>
        <v/>
      </c>
      <c r="K2896" s="52" t="str">
        <f aca="false">IF(L2896="","",E2896&amp;CHAR(10)&amp;INDEX(ポート振替表!$K$5:$K$3507,$L2896)&amp;" "&amp;INDEX(ポート振替表!$L$5:$L$3507,$L2896)&amp;CHAR(10)&amp;"⇔ "&amp;INDEX(ポート振替表!$H$5:$H$3507,$L2896)&amp;" "&amp;INDEX(ポート振替表!$I$5:$I$3507,$L2896))</f>
        <v/>
      </c>
      <c r="L2896" s="47" t="str">
        <f aca="false">IFERROR(MATCH(ROW()-4,ポート振替表!$V$5:$V$3507,0),"")</f>
        <v/>
      </c>
    </row>
    <row r="2897" customFormat="false" ht="16.4" hidden="false" customHeight="false" outlineLevel="0" collapsed="false">
      <c r="A2897" s="32" t="str">
        <f aca="false">IF(L2897="","",ROW()-4)</f>
        <v/>
      </c>
      <c r="B2897" s="58" t="str">
        <f aca="false">IF(L2897="","",IF(INDEX(ポート振替表!$W$5:$W$3507,$L2897)="","(なし)",INDEX(ポート振替表!$W$5:$W$3507,$L2897)&amp;""))</f>
        <v/>
      </c>
      <c r="C2897" s="52" t="str">
        <f aca="false">IF(L2897="","",INDEX(ポート振替表!$B$5:$B$3507,$L2897)&amp;" "&amp;INDEX(ポート振替表!$C$5:$C$3507,$L2897)&amp;"  ⇔  "&amp;INDEX(ポート振替表!$H$5:$H$3507,$L2897)&amp;" "&amp;INDEX(ポート振替表!$I$5:$I$3507,$L2897))</f>
        <v/>
      </c>
      <c r="D2897" s="57" t="s">
        <v>158</v>
      </c>
      <c r="E2897" s="59" t="str">
        <f aca="false">IF(L2897="","",IF(INDEX(ポート振替表!$O$5:$O$3507,$L2897)="","(未設定)",INDEX(ポート振替表!$O$5:$O$3507,$L2897)&amp;""))</f>
        <v/>
      </c>
      <c r="F2897" s="52" t="str">
        <f aca="false">IF(L2897="","",INDEX(ポート振替表!$K$5:$K$3507,$L2897)&amp;" "&amp;INDEX(ポート振替表!$L$5:$L$3507,$L2897)&amp;"  ⇔  "&amp;INDEX(ポート振替表!$H$5:$H$3507,$L2897)&amp;" "&amp;INDEX(ポート振替表!$I$5:$I$3507,$L2897))</f>
        <v/>
      </c>
      <c r="G2897" s="57" t="s">
        <v>158</v>
      </c>
      <c r="H2897" s="32" t="str">
        <f aca="false">IF(L2897="","",INDEX(ポート振替表!$N$5:$N$3507,$L2897)&amp;"")</f>
        <v/>
      </c>
      <c r="I2897" s="32" t="str">
        <f aca="false">IF(L2897="","",INDEX(ポート振替表!$P$5:$P$3507,$L2897)&amp;"")</f>
        <v/>
      </c>
      <c r="J2897" s="60" t="str">
        <f aca="false">IF(L2897="","",INDEX(ポート振替表!$M$5:$M$3507,$L2897)&amp;"")</f>
        <v/>
      </c>
      <c r="K2897" s="52" t="str">
        <f aca="false">IF(L2897="","",E2897&amp;CHAR(10)&amp;INDEX(ポート振替表!$K$5:$K$3507,$L2897)&amp;" "&amp;INDEX(ポート振替表!$L$5:$L$3507,$L2897)&amp;CHAR(10)&amp;"⇔ "&amp;INDEX(ポート振替表!$H$5:$H$3507,$L2897)&amp;" "&amp;INDEX(ポート振替表!$I$5:$I$3507,$L2897))</f>
        <v/>
      </c>
      <c r="L2897" s="47" t="str">
        <f aca="false">IFERROR(MATCH(ROW()-4,ポート振替表!$V$5:$V$3507,0),"")</f>
        <v/>
      </c>
    </row>
    <row r="2898" customFormat="false" ht="16.4" hidden="false" customHeight="false" outlineLevel="0" collapsed="false">
      <c r="A2898" s="32" t="str">
        <f aca="false">IF(L2898="","",ROW()-4)</f>
        <v/>
      </c>
      <c r="B2898" s="58" t="str">
        <f aca="false">IF(L2898="","",IF(INDEX(ポート振替表!$W$5:$W$3507,$L2898)="","(なし)",INDEX(ポート振替表!$W$5:$W$3507,$L2898)&amp;""))</f>
        <v/>
      </c>
      <c r="C2898" s="52" t="str">
        <f aca="false">IF(L2898="","",INDEX(ポート振替表!$B$5:$B$3507,$L2898)&amp;" "&amp;INDEX(ポート振替表!$C$5:$C$3507,$L2898)&amp;"  ⇔  "&amp;INDEX(ポート振替表!$H$5:$H$3507,$L2898)&amp;" "&amp;INDEX(ポート振替表!$I$5:$I$3507,$L2898))</f>
        <v/>
      </c>
      <c r="D2898" s="57" t="s">
        <v>158</v>
      </c>
      <c r="E2898" s="59" t="str">
        <f aca="false">IF(L2898="","",IF(INDEX(ポート振替表!$O$5:$O$3507,$L2898)="","(未設定)",INDEX(ポート振替表!$O$5:$O$3507,$L2898)&amp;""))</f>
        <v/>
      </c>
      <c r="F2898" s="52" t="str">
        <f aca="false">IF(L2898="","",INDEX(ポート振替表!$K$5:$K$3507,$L2898)&amp;" "&amp;INDEX(ポート振替表!$L$5:$L$3507,$L2898)&amp;"  ⇔  "&amp;INDEX(ポート振替表!$H$5:$H$3507,$L2898)&amp;" "&amp;INDEX(ポート振替表!$I$5:$I$3507,$L2898))</f>
        <v/>
      </c>
      <c r="G2898" s="57" t="s">
        <v>158</v>
      </c>
      <c r="H2898" s="32" t="str">
        <f aca="false">IF(L2898="","",INDEX(ポート振替表!$N$5:$N$3507,$L2898)&amp;"")</f>
        <v/>
      </c>
      <c r="I2898" s="32" t="str">
        <f aca="false">IF(L2898="","",INDEX(ポート振替表!$P$5:$P$3507,$L2898)&amp;"")</f>
        <v/>
      </c>
      <c r="J2898" s="60" t="str">
        <f aca="false">IF(L2898="","",INDEX(ポート振替表!$M$5:$M$3507,$L2898)&amp;"")</f>
        <v/>
      </c>
      <c r="K2898" s="52" t="str">
        <f aca="false">IF(L2898="","",E2898&amp;CHAR(10)&amp;INDEX(ポート振替表!$K$5:$K$3507,$L2898)&amp;" "&amp;INDEX(ポート振替表!$L$5:$L$3507,$L2898)&amp;CHAR(10)&amp;"⇔ "&amp;INDEX(ポート振替表!$H$5:$H$3507,$L2898)&amp;" "&amp;INDEX(ポート振替表!$I$5:$I$3507,$L2898))</f>
        <v/>
      </c>
      <c r="L2898" s="47" t="str">
        <f aca="false">IFERROR(MATCH(ROW()-4,ポート振替表!$V$5:$V$3507,0),"")</f>
        <v/>
      </c>
    </row>
    <row r="2899" customFormat="false" ht="16.4" hidden="false" customHeight="false" outlineLevel="0" collapsed="false">
      <c r="A2899" s="32" t="str">
        <f aca="false">IF(L2899="","",ROW()-4)</f>
        <v/>
      </c>
      <c r="B2899" s="58" t="str">
        <f aca="false">IF(L2899="","",IF(INDEX(ポート振替表!$W$5:$W$3507,$L2899)="","(なし)",INDEX(ポート振替表!$W$5:$W$3507,$L2899)&amp;""))</f>
        <v/>
      </c>
      <c r="C2899" s="52" t="str">
        <f aca="false">IF(L2899="","",INDEX(ポート振替表!$B$5:$B$3507,$L2899)&amp;" "&amp;INDEX(ポート振替表!$C$5:$C$3507,$L2899)&amp;"  ⇔  "&amp;INDEX(ポート振替表!$H$5:$H$3507,$L2899)&amp;" "&amp;INDEX(ポート振替表!$I$5:$I$3507,$L2899))</f>
        <v/>
      </c>
      <c r="D2899" s="57" t="s">
        <v>158</v>
      </c>
      <c r="E2899" s="59" t="str">
        <f aca="false">IF(L2899="","",IF(INDEX(ポート振替表!$O$5:$O$3507,$L2899)="","(未設定)",INDEX(ポート振替表!$O$5:$O$3507,$L2899)&amp;""))</f>
        <v/>
      </c>
      <c r="F2899" s="52" t="str">
        <f aca="false">IF(L2899="","",INDEX(ポート振替表!$K$5:$K$3507,$L2899)&amp;" "&amp;INDEX(ポート振替表!$L$5:$L$3507,$L2899)&amp;"  ⇔  "&amp;INDEX(ポート振替表!$H$5:$H$3507,$L2899)&amp;" "&amp;INDEX(ポート振替表!$I$5:$I$3507,$L2899))</f>
        <v/>
      </c>
      <c r="G2899" s="57" t="s">
        <v>158</v>
      </c>
      <c r="H2899" s="32" t="str">
        <f aca="false">IF(L2899="","",INDEX(ポート振替表!$N$5:$N$3507,$L2899)&amp;"")</f>
        <v/>
      </c>
      <c r="I2899" s="32" t="str">
        <f aca="false">IF(L2899="","",INDEX(ポート振替表!$P$5:$P$3507,$L2899)&amp;"")</f>
        <v/>
      </c>
      <c r="J2899" s="60" t="str">
        <f aca="false">IF(L2899="","",INDEX(ポート振替表!$M$5:$M$3507,$L2899)&amp;"")</f>
        <v/>
      </c>
      <c r="K2899" s="52" t="str">
        <f aca="false">IF(L2899="","",E2899&amp;CHAR(10)&amp;INDEX(ポート振替表!$K$5:$K$3507,$L2899)&amp;" "&amp;INDEX(ポート振替表!$L$5:$L$3507,$L2899)&amp;CHAR(10)&amp;"⇔ "&amp;INDEX(ポート振替表!$H$5:$H$3507,$L2899)&amp;" "&amp;INDEX(ポート振替表!$I$5:$I$3507,$L2899))</f>
        <v/>
      </c>
      <c r="L2899" s="47" t="str">
        <f aca="false">IFERROR(MATCH(ROW()-4,ポート振替表!$V$5:$V$3507,0),"")</f>
        <v/>
      </c>
    </row>
    <row r="2900" customFormat="false" ht="16.4" hidden="false" customHeight="false" outlineLevel="0" collapsed="false">
      <c r="A2900" s="32" t="str">
        <f aca="false">IF(L2900="","",ROW()-4)</f>
        <v/>
      </c>
      <c r="B2900" s="58" t="str">
        <f aca="false">IF(L2900="","",IF(INDEX(ポート振替表!$W$5:$W$3507,$L2900)="","(なし)",INDEX(ポート振替表!$W$5:$W$3507,$L2900)&amp;""))</f>
        <v/>
      </c>
      <c r="C2900" s="52" t="str">
        <f aca="false">IF(L2900="","",INDEX(ポート振替表!$B$5:$B$3507,$L2900)&amp;" "&amp;INDEX(ポート振替表!$C$5:$C$3507,$L2900)&amp;"  ⇔  "&amp;INDEX(ポート振替表!$H$5:$H$3507,$L2900)&amp;" "&amp;INDEX(ポート振替表!$I$5:$I$3507,$L2900))</f>
        <v/>
      </c>
      <c r="D2900" s="57" t="s">
        <v>158</v>
      </c>
      <c r="E2900" s="59" t="str">
        <f aca="false">IF(L2900="","",IF(INDEX(ポート振替表!$O$5:$O$3507,$L2900)="","(未設定)",INDEX(ポート振替表!$O$5:$O$3507,$L2900)&amp;""))</f>
        <v/>
      </c>
      <c r="F2900" s="52" t="str">
        <f aca="false">IF(L2900="","",INDEX(ポート振替表!$K$5:$K$3507,$L2900)&amp;" "&amp;INDEX(ポート振替表!$L$5:$L$3507,$L2900)&amp;"  ⇔  "&amp;INDEX(ポート振替表!$H$5:$H$3507,$L2900)&amp;" "&amp;INDEX(ポート振替表!$I$5:$I$3507,$L2900))</f>
        <v/>
      </c>
      <c r="G2900" s="57" t="s">
        <v>158</v>
      </c>
      <c r="H2900" s="32" t="str">
        <f aca="false">IF(L2900="","",INDEX(ポート振替表!$N$5:$N$3507,$L2900)&amp;"")</f>
        <v/>
      </c>
      <c r="I2900" s="32" t="str">
        <f aca="false">IF(L2900="","",INDEX(ポート振替表!$P$5:$P$3507,$L2900)&amp;"")</f>
        <v/>
      </c>
      <c r="J2900" s="60" t="str">
        <f aca="false">IF(L2900="","",INDEX(ポート振替表!$M$5:$M$3507,$L2900)&amp;"")</f>
        <v/>
      </c>
      <c r="K2900" s="52" t="str">
        <f aca="false">IF(L2900="","",E2900&amp;CHAR(10)&amp;INDEX(ポート振替表!$K$5:$K$3507,$L2900)&amp;" "&amp;INDEX(ポート振替表!$L$5:$L$3507,$L2900)&amp;CHAR(10)&amp;"⇔ "&amp;INDEX(ポート振替表!$H$5:$H$3507,$L2900)&amp;" "&amp;INDEX(ポート振替表!$I$5:$I$3507,$L2900))</f>
        <v/>
      </c>
      <c r="L2900" s="47" t="str">
        <f aca="false">IFERROR(MATCH(ROW()-4,ポート振替表!$V$5:$V$3507,0),"")</f>
        <v/>
      </c>
    </row>
    <row r="2901" customFormat="false" ht="16.4" hidden="false" customHeight="false" outlineLevel="0" collapsed="false">
      <c r="A2901" s="32" t="str">
        <f aca="false">IF(L2901="","",ROW()-4)</f>
        <v/>
      </c>
      <c r="B2901" s="58" t="str">
        <f aca="false">IF(L2901="","",IF(INDEX(ポート振替表!$W$5:$W$3507,$L2901)="","(なし)",INDEX(ポート振替表!$W$5:$W$3507,$L2901)&amp;""))</f>
        <v/>
      </c>
      <c r="C2901" s="52" t="str">
        <f aca="false">IF(L2901="","",INDEX(ポート振替表!$B$5:$B$3507,$L2901)&amp;" "&amp;INDEX(ポート振替表!$C$5:$C$3507,$L2901)&amp;"  ⇔  "&amp;INDEX(ポート振替表!$H$5:$H$3507,$L2901)&amp;" "&amp;INDEX(ポート振替表!$I$5:$I$3507,$L2901))</f>
        <v/>
      </c>
      <c r="D2901" s="57" t="s">
        <v>158</v>
      </c>
      <c r="E2901" s="59" t="str">
        <f aca="false">IF(L2901="","",IF(INDEX(ポート振替表!$O$5:$O$3507,$L2901)="","(未設定)",INDEX(ポート振替表!$O$5:$O$3507,$L2901)&amp;""))</f>
        <v/>
      </c>
      <c r="F2901" s="52" t="str">
        <f aca="false">IF(L2901="","",INDEX(ポート振替表!$K$5:$K$3507,$L2901)&amp;" "&amp;INDEX(ポート振替表!$L$5:$L$3507,$L2901)&amp;"  ⇔  "&amp;INDEX(ポート振替表!$H$5:$H$3507,$L2901)&amp;" "&amp;INDEX(ポート振替表!$I$5:$I$3507,$L2901))</f>
        <v/>
      </c>
      <c r="G2901" s="57" t="s">
        <v>158</v>
      </c>
      <c r="H2901" s="32" t="str">
        <f aca="false">IF(L2901="","",INDEX(ポート振替表!$N$5:$N$3507,$L2901)&amp;"")</f>
        <v/>
      </c>
      <c r="I2901" s="32" t="str">
        <f aca="false">IF(L2901="","",INDEX(ポート振替表!$P$5:$P$3507,$L2901)&amp;"")</f>
        <v/>
      </c>
      <c r="J2901" s="60" t="str">
        <f aca="false">IF(L2901="","",INDEX(ポート振替表!$M$5:$M$3507,$L2901)&amp;"")</f>
        <v/>
      </c>
      <c r="K2901" s="52" t="str">
        <f aca="false">IF(L2901="","",E2901&amp;CHAR(10)&amp;INDEX(ポート振替表!$K$5:$K$3507,$L2901)&amp;" "&amp;INDEX(ポート振替表!$L$5:$L$3507,$L2901)&amp;CHAR(10)&amp;"⇔ "&amp;INDEX(ポート振替表!$H$5:$H$3507,$L2901)&amp;" "&amp;INDEX(ポート振替表!$I$5:$I$3507,$L2901))</f>
        <v/>
      </c>
      <c r="L2901" s="47" t="str">
        <f aca="false">IFERROR(MATCH(ROW()-4,ポート振替表!$V$5:$V$3507,0),"")</f>
        <v/>
      </c>
    </row>
    <row r="2902" customFormat="false" ht="16.4" hidden="false" customHeight="false" outlineLevel="0" collapsed="false">
      <c r="A2902" s="32" t="str">
        <f aca="false">IF(L2902="","",ROW()-4)</f>
        <v/>
      </c>
      <c r="B2902" s="58" t="str">
        <f aca="false">IF(L2902="","",IF(INDEX(ポート振替表!$W$5:$W$3507,$L2902)="","(なし)",INDEX(ポート振替表!$W$5:$W$3507,$L2902)&amp;""))</f>
        <v/>
      </c>
      <c r="C2902" s="52" t="str">
        <f aca="false">IF(L2902="","",INDEX(ポート振替表!$B$5:$B$3507,$L2902)&amp;" "&amp;INDEX(ポート振替表!$C$5:$C$3507,$L2902)&amp;"  ⇔  "&amp;INDEX(ポート振替表!$H$5:$H$3507,$L2902)&amp;" "&amp;INDEX(ポート振替表!$I$5:$I$3507,$L2902))</f>
        <v/>
      </c>
      <c r="D2902" s="57" t="s">
        <v>158</v>
      </c>
      <c r="E2902" s="59" t="str">
        <f aca="false">IF(L2902="","",IF(INDEX(ポート振替表!$O$5:$O$3507,$L2902)="","(未設定)",INDEX(ポート振替表!$O$5:$O$3507,$L2902)&amp;""))</f>
        <v/>
      </c>
      <c r="F2902" s="52" t="str">
        <f aca="false">IF(L2902="","",INDEX(ポート振替表!$K$5:$K$3507,$L2902)&amp;" "&amp;INDEX(ポート振替表!$L$5:$L$3507,$L2902)&amp;"  ⇔  "&amp;INDEX(ポート振替表!$H$5:$H$3507,$L2902)&amp;" "&amp;INDEX(ポート振替表!$I$5:$I$3507,$L2902))</f>
        <v/>
      </c>
      <c r="G2902" s="57" t="s">
        <v>158</v>
      </c>
      <c r="H2902" s="32" t="str">
        <f aca="false">IF(L2902="","",INDEX(ポート振替表!$N$5:$N$3507,$L2902)&amp;"")</f>
        <v/>
      </c>
      <c r="I2902" s="32" t="str">
        <f aca="false">IF(L2902="","",INDEX(ポート振替表!$P$5:$P$3507,$L2902)&amp;"")</f>
        <v/>
      </c>
      <c r="J2902" s="60" t="str">
        <f aca="false">IF(L2902="","",INDEX(ポート振替表!$M$5:$M$3507,$L2902)&amp;"")</f>
        <v/>
      </c>
      <c r="K2902" s="52" t="str">
        <f aca="false">IF(L2902="","",E2902&amp;CHAR(10)&amp;INDEX(ポート振替表!$K$5:$K$3507,$L2902)&amp;" "&amp;INDEX(ポート振替表!$L$5:$L$3507,$L2902)&amp;CHAR(10)&amp;"⇔ "&amp;INDEX(ポート振替表!$H$5:$H$3507,$L2902)&amp;" "&amp;INDEX(ポート振替表!$I$5:$I$3507,$L2902))</f>
        <v/>
      </c>
      <c r="L2902" s="47" t="str">
        <f aca="false">IFERROR(MATCH(ROW()-4,ポート振替表!$V$5:$V$3507,0),"")</f>
        <v/>
      </c>
    </row>
    <row r="2903" customFormat="false" ht="16.4" hidden="false" customHeight="false" outlineLevel="0" collapsed="false">
      <c r="A2903" s="32" t="str">
        <f aca="false">IF(L2903="","",ROW()-4)</f>
        <v/>
      </c>
      <c r="B2903" s="58" t="str">
        <f aca="false">IF(L2903="","",IF(INDEX(ポート振替表!$W$5:$W$3507,$L2903)="","(なし)",INDEX(ポート振替表!$W$5:$W$3507,$L2903)&amp;""))</f>
        <v/>
      </c>
      <c r="C2903" s="52" t="str">
        <f aca="false">IF(L2903="","",INDEX(ポート振替表!$B$5:$B$3507,$L2903)&amp;" "&amp;INDEX(ポート振替表!$C$5:$C$3507,$L2903)&amp;"  ⇔  "&amp;INDEX(ポート振替表!$H$5:$H$3507,$L2903)&amp;" "&amp;INDEX(ポート振替表!$I$5:$I$3507,$L2903))</f>
        <v/>
      </c>
      <c r="D2903" s="57" t="s">
        <v>158</v>
      </c>
      <c r="E2903" s="59" t="str">
        <f aca="false">IF(L2903="","",IF(INDEX(ポート振替表!$O$5:$O$3507,$L2903)="","(未設定)",INDEX(ポート振替表!$O$5:$O$3507,$L2903)&amp;""))</f>
        <v/>
      </c>
      <c r="F2903" s="52" t="str">
        <f aca="false">IF(L2903="","",INDEX(ポート振替表!$K$5:$K$3507,$L2903)&amp;" "&amp;INDEX(ポート振替表!$L$5:$L$3507,$L2903)&amp;"  ⇔  "&amp;INDEX(ポート振替表!$H$5:$H$3507,$L2903)&amp;" "&amp;INDEX(ポート振替表!$I$5:$I$3507,$L2903))</f>
        <v/>
      </c>
      <c r="G2903" s="57" t="s">
        <v>158</v>
      </c>
      <c r="H2903" s="32" t="str">
        <f aca="false">IF(L2903="","",INDEX(ポート振替表!$N$5:$N$3507,$L2903)&amp;"")</f>
        <v/>
      </c>
      <c r="I2903" s="32" t="str">
        <f aca="false">IF(L2903="","",INDEX(ポート振替表!$P$5:$P$3507,$L2903)&amp;"")</f>
        <v/>
      </c>
      <c r="J2903" s="60" t="str">
        <f aca="false">IF(L2903="","",INDEX(ポート振替表!$M$5:$M$3507,$L2903)&amp;"")</f>
        <v/>
      </c>
      <c r="K2903" s="52" t="str">
        <f aca="false">IF(L2903="","",E2903&amp;CHAR(10)&amp;INDEX(ポート振替表!$K$5:$K$3507,$L2903)&amp;" "&amp;INDEX(ポート振替表!$L$5:$L$3507,$L2903)&amp;CHAR(10)&amp;"⇔ "&amp;INDEX(ポート振替表!$H$5:$H$3507,$L2903)&amp;" "&amp;INDEX(ポート振替表!$I$5:$I$3507,$L2903))</f>
        <v/>
      </c>
      <c r="L2903" s="47" t="str">
        <f aca="false">IFERROR(MATCH(ROW()-4,ポート振替表!$V$5:$V$3507,0),"")</f>
        <v/>
      </c>
    </row>
    <row r="2904" customFormat="false" ht="16.4" hidden="false" customHeight="false" outlineLevel="0" collapsed="false">
      <c r="A2904" s="32" t="str">
        <f aca="false">IF(L2904="","",ROW()-4)</f>
        <v/>
      </c>
      <c r="B2904" s="58" t="str">
        <f aca="false">IF(L2904="","",IF(INDEX(ポート振替表!$W$5:$W$3507,$L2904)="","(なし)",INDEX(ポート振替表!$W$5:$W$3507,$L2904)&amp;""))</f>
        <v/>
      </c>
      <c r="C2904" s="52" t="str">
        <f aca="false">IF(L2904="","",INDEX(ポート振替表!$B$5:$B$3507,$L2904)&amp;" "&amp;INDEX(ポート振替表!$C$5:$C$3507,$L2904)&amp;"  ⇔  "&amp;INDEX(ポート振替表!$H$5:$H$3507,$L2904)&amp;" "&amp;INDEX(ポート振替表!$I$5:$I$3507,$L2904))</f>
        <v/>
      </c>
      <c r="D2904" s="57" t="s">
        <v>158</v>
      </c>
      <c r="E2904" s="59" t="str">
        <f aca="false">IF(L2904="","",IF(INDEX(ポート振替表!$O$5:$O$3507,$L2904)="","(未設定)",INDEX(ポート振替表!$O$5:$O$3507,$L2904)&amp;""))</f>
        <v/>
      </c>
      <c r="F2904" s="52" t="str">
        <f aca="false">IF(L2904="","",INDEX(ポート振替表!$K$5:$K$3507,$L2904)&amp;" "&amp;INDEX(ポート振替表!$L$5:$L$3507,$L2904)&amp;"  ⇔  "&amp;INDEX(ポート振替表!$H$5:$H$3507,$L2904)&amp;" "&amp;INDEX(ポート振替表!$I$5:$I$3507,$L2904))</f>
        <v/>
      </c>
      <c r="G2904" s="57" t="s">
        <v>158</v>
      </c>
      <c r="H2904" s="32" t="str">
        <f aca="false">IF(L2904="","",INDEX(ポート振替表!$N$5:$N$3507,$L2904)&amp;"")</f>
        <v/>
      </c>
      <c r="I2904" s="32" t="str">
        <f aca="false">IF(L2904="","",INDEX(ポート振替表!$P$5:$P$3507,$L2904)&amp;"")</f>
        <v/>
      </c>
      <c r="J2904" s="60" t="str">
        <f aca="false">IF(L2904="","",INDEX(ポート振替表!$M$5:$M$3507,$L2904)&amp;"")</f>
        <v/>
      </c>
      <c r="K2904" s="52" t="str">
        <f aca="false">IF(L2904="","",E2904&amp;CHAR(10)&amp;INDEX(ポート振替表!$K$5:$K$3507,$L2904)&amp;" "&amp;INDEX(ポート振替表!$L$5:$L$3507,$L2904)&amp;CHAR(10)&amp;"⇔ "&amp;INDEX(ポート振替表!$H$5:$H$3507,$L2904)&amp;" "&amp;INDEX(ポート振替表!$I$5:$I$3507,$L2904))</f>
        <v/>
      </c>
      <c r="L2904" s="47" t="str">
        <f aca="false">IFERROR(MATCH(ROW()-4,ポート振替表!$V$5:$V$3507,0),"")</f>
        <v/>
      </c>
    </row>
    <row r="2905" customFormat="false" ht="16.4" hidden="false" customHeight="false" outlineLevel="0" collapsed="false">
      <c r="A2905" s="32" t="str">
        <f aca="false">IF(L2905="","",ROW()-4)</f>
        <v/>
      </c>
      <c r="B2905" s="58" t="str">
        <f aca="false">IF(L2905="","",IF(INDEX(ポート振替表!$W$5:$W$3507,$L2905)="","(なし)",INDEX(ポート振替表!$W$5:$W$3507,$L2905)&amp;""))</f>
        <v/>
      </c>
      <c r="C2905" s="52" t="str">
        <f aca="false">IF(L2905="","",INDEX(ポート振替表!$B$5:$B$3507,$L2905)&amp;" "&amp;INDEX(ポート振替表!$C$5:$C$3507,$L2905)&amp;"  ⇔  "&amp;INDEX(ポート振替表!$H$5:$H$3507,$L2905)&amp;" "&amp;INDEX(ポート振替表!$I$5:$I$3507,$L2905))</f>
        <v/>
      </c>
      <c r="D2905" s="57" t="s">
        <v>158</v>
      </c>
      <c r="E2905" s="59" t="str">
        <f aca="false">IF(L2905="","",IF(INDEX(ポート振替表!$O$5:$O$3507,$L2905)="","(未設定)",INDEX(ポート振替表!$O$5:$O$3507,$L2905)&amp;""))</f>
        <v/>
      </c>
      <c r="F2905" s="52" t="str">
        <f aca="false">IF(L2905="","",INDEX(ポート振替表!$K$5:$K$3507,$L2905)&amp;" "&amp;INDEX(ポート振替表!$L$5:$L$3507,$L2905)&amp;"  ⇔  "&amp;INDEX(ポート振替表!$H$5:$H$3507,$L2905)&amp;" "&amp;INDEX(ポート振替表!$I$5:$I$3507,$L2905))</f>
        <v/>
      </c>
      <c r="G2905" s="57" t="s">
        <v>158</v>
      </c>
      <c r="H2905" s="32" t="str">
        <f aca="false">IF(L2905="","",INDEX(ポート振替表!$N$5:$N$3507,$L2905)&amp;"")</f>
        <v/>
      </c>
      <c r="I2905" s="32" t="str">
        <f aca="false">IF(L2905="","",INDEX(ポート振替表!$P$5:$P$3507,$L2905)&amp;"")</f>
        <v/>
      </c>
      <c r="J2905" s="60" t="str">
        <f aca="false">IF(L2905="","",INDEX(ポート振替表!$M$5:$M$3507,$L2905)&amp;"")</f>
        <v/>
      </c>
      <c r="K2905" s="52" t="str">
        <f aca="false">IF(L2905="","",E2905&amp;CHAR(10)&amp;INDEX(ポート振替表!$K$5:$K$3507,$L2905)&amp;" "&amp;INDEX(ポート振替表!$L$5:$L$3507,$L2905)&amp;CHAR(10)&amp;"⇔ "&amp;INDEX(ポート振替表!$H$5:$H$3507,$L2905)&amp;" "&amp;INDEX(ポート振替表!$I$5:$I$3507,$L2905))</f>
        <v/>
      </c>
      <c r="L2905" s="47" t="str">
        <f aca="false">IFERROR(MATCH(ROW()-4,ポート振替表!$V$5:$V$3507,0),"")</f>
        <v/>
      </c>
    </row>
    <row r="2906" customFormat="false" ht="16.4" hidden="false" customHeight="false" outlineLevel="0" collapsed="false">
      <c r="A2906" s="32" t="str">
        <f aca="false">IF(L2906="","",ROW()-4)</f>
        <v/>
      </c>
      <c r="B2906" s="58" t="str">
        <f aca="false">IF(L2906="","",IF(INDEX(ポート振替表!$W$5:$W$3507,$L2906)="","(なし)",INDEX(ポート振替表!$W$5:$W$3507,$L2906)&amp;""))</f>
        <v/>
      </c>
      <c r="C2906" s="52" t="str">
        <f aca="false">IF(L2906="","",INDEX(ポート振替表!$B$5:$B$3507,$L2906)&amp;" "&amp;INDEX(ポート振替表!$C$5:$C$3507,$L2906)&amp;"  ⇔  "&amp;INDEX(ポート振替表!$H$5:$H$3507,$L2906)&amp;" "&amp;INDEX(ポート振替表!$I$5:$I$3507,$L2906))</f>
        <v/>
      </c>
      <c r="D2906" s="57" t="s">
        <v>158</v>
      </c>
      <c r="E2906" s="59" t="str">
        <f aca="false">IF(L2906="","",IF(INDEX(ポート振替表!$O$5:$O$3507,$L2906)="","(未設定)",INDEX(ポート振替表!$O$5:$O$3507,$L2906)&amp;""))</f>
        <v/>
      </c>
      <c r="F2906" s="52" t="str">
        <f aca="false">IF(L2906="","",INDEX(ポート振替表!$K$5:$K$3507,$L2906)&amp;" "&amp;INDEX(ポート振替表!$L$5:$L$3507,$L2906)&amp;"  ⇔  "&amp;INDEX(ポート振替表!$H$5:$H$3507,$L2906)&amp;" "&amp;INDEX(ポート振替表!$I$5:$I$3507,$L2906))</f>
        <v/>
      </c>
      <c r="G2906" s="57" t="s">
        <v>158</v>
      </c>
      <c r="H2906" s="32" t="str">
        <f aca="false">IF(L2906="","",INDEX(ポート振替表!$N$5:$N$3507,$L2906)&amp;"")</f>
        <v/>
      </c>
      <c r="I2906" s="32" t="str">
        <f aca="false">IF(L2906="","",INDEX(ポート振替表!$P$5:$P$3507,$L2906)&amp;"")</f>
        <v/>
      </c>
      <c r="J2906" s="60" t="str">
        <f aca="false">IF(L2906="","",INDEX(ポート振替表!$M$5:$M$3507,$L2906)&amp;"")</f>
        <v/>
      </c>
      <c r="K2906" s="52" t="str">
        <f aca="false">IF(L2906="","",E2906&amp;CHAR(10)&amp;INDEX(ポート振替表!$K$5:$K$3507,$L2906)&amp;" "&amp;INDEX(ポート振替表!$L$5:$L$3507,$L2906)&amp;CHAR(10)&amp;"⇔ "&amp;INDEX(ポート振替表!$H$5:$H$3507,$L2906)&amp;" "&amp;INDEX(ポート振替表!$I$5:$I$3507,$L2906))</f>
        <v/>
      </c>
      <c r="L2906" s="47" t="str">
        <f aca="false">IFERROR(MATCH(ROW()-4,ポート振替表!$V$5:$V$3507,0),"")</f>
        <v/>
      </c>
    </row>
    <row r="2907" customFormat="false" ht="16.4" hidden="false" customHeight="false" outlineLevel="0" collapsed="false">
      <c r="A2907" s="32" t="str">
        <f aca="false">IF(L2907="","",ROW()-4)</f>
        <v/>
      </c>
      <c r="B2907" s="58" t="str">
        <f aca="false">IF(L2907="","",IF(INDEX(ポート振替表!$W$5:$W$3507,$L2907)="","(なし)",INDEX(ポート振替表!$W$5:$W$3507,$L2907)&amp;""))</f>
        <v/>
      </c>
      <c r="C2907" s="52" t="str">
        <f aca="false">IF(L2907="","",INDEX(ポート振替表!$B$5:$B$3507,$L2907)&amp;" "&amp;INDEX(ポート振替表!$C$5:$C$3507,$L2907)&amp;"  ⇔  "&amp;INDEX(ポート振替表!$H$5:$H$3507,$L2907)&amp;" "&amp;INDEX(ポート振替表!$I$5:$I$3507,$L2907))</f>
        <v/>
      </c>
      <c r="D2907" s="57" t="s">
        <v>158</v>
      </c>
      <c r="E2907" s="59" t="str">
        <f aca="false">IF(L2907="","",IF(INDEX(ポート振替表!$O$5:$O$3507,$L2907)="","(未設定)",INDEX(ポート振替表!$O$5:$O$3507,$L2907)&amp;""))</f>
        <v/>
      </c>
      <c r="F2907" s="52" t="str">
        <f aca="false">IF(L2907="","",INDEX(ポート振替表!$K$5:$K$3507,$L2907)&amp;" "&amp;INDEX(ポート振替表!$L$5:$L$3507,$L2907)&amp;"  ⇔  "&amp;INDEX(ポート振替表!$H$5:$H$3507,$L2907)&amp;" "&amp;INDEX(ポート振替表!$I$5:$I$3507,$L2907))</f>
        <v/>
      </c>
      <c r="G2907" s="57" t="s">
        <v>158</v>
      </c>
      <c r="H2907" s="32" t="str">
        <f aca="false">IF(L2907="","",INDEX(ポート振替表!$N$5:$N$3507,$L2907)&amp;"")</f>
        <v/>
      </c>
      <c r="I2907" s="32" t="str">
        <f aca="false">IF(L2907="","",INDEX(ポート振替表!$P$5:$P$3507,$L2907)&amp;"")</f>
        <v/>
      </c>
      <c r="J2907" s="60" t="str">
        <f aca="false">IF(L2907="","",INDEX(ポート振替表!$M$5:$M$3507,$L2907)&amp;"")</f>
        <v/>
      </c>
      <c r="K2907" s="52" t="str">
        <f aca="false">IF(L2907="","",E2907&amp;CHAR(10)&amp;INDEX(ポート振替表!$K$5:$K$3507,$L2907)&amp;" "&amp;INDEX(ポート振替表!$L$5:$L$3507,$L2907)&amp;CHAR(10)&amp;"⇔ "&amp;INDEX(ポート振替表!$H$5:$H$3507,$L2907)&amp;" "&amp;INDEX(ポート振替表!$I$5:$I$3507,$L2907))</f>
        <v/>
      </c>
      <c r="L2907" s="47" t="str">
        <f aca="false">IFERROR(MATCH(ROW()-4,ポート振替表!$V$5:$V$3507,0),"")</f>
        <v/>
      </c>
    </row>
    <row r="2908" customFormat="false" ht="16.4" hidden="false" customHeight="false" outlineLevel="0" collapsed="false">
      <c r="A2908" s="32" t="str">
        <f aca="false">IF(L2908="","",ROW()-4)</f>
        <v/>
      </c>
      <c r="B2908" s="58" t="str">
        <f aca="false">IF(L2908="","",IF(INDEX(ポート振替表!$W$5:$W$3507,$L2908)="","(なし)",INDEX(ポート振替表!$W$5:$W$3507,$L2908)&amp;""))</f>
        <v/>
      </c>
      <c r="C2908" s="52" t="str">
        <f aca="false">IF(L2908="","",INDEX(ポート振替表!$B$5:$B$3507,$L2908)&amp;" "&amp;INDEX(ポート振替表!$C$5:$C$3507,$L2908)&amp;"  ⇔  "&amp;INDEX(ポート振替表!$H$5:$H$3507,$L2908)&amp;" "&amp;INDEX(ポート振替表!$I$5:$I$3507,$L2908))</f>
        <v/>
      </c>
      <c r="D2908" s="57" t="s">
        <v>158</v>
      </c>
      <c r="E2908" s="59" t="str">
        <f aca="false">IF(L2908="","",IF(INDEX(ポート振替表!$O$5:$O$3507,$L2908)="","(未設定)",INDEX(ポート振替表!$O$5:$O$3507,$L2908)&amp;""))</f>
        <v/>
      </c>
      <c r="F2908" s="52" t="str">
        <f aca="false">IF(L2908="","",INDEX(ポート振替表!$K$5:$K$3507,$L2908)&amp;" "&amp;INDEX(ポート振替表!$L$5:$L$3507,$L2908)&amp;"  ⇔  "&amp;INDEX(ポート振替表!$H$5:$H$3507,$L2908)&amp;" "&amp;INDEX(ポート振替表!$I$5:$I$3507,$L2908))</f>
        <v/>
      </c>
      <c r="G2908" s="57" t="s">
        <v>158</v>
      </c>
      <c r="H2908" s="32" t="str">
        <f aca="false">IF(L2908="","",INDEX(ポート振替表!$N$5:$N$3507,$L2908)&amp;"")</f>
        <v/>
      </c>
      <c r="I2908" s="32" t="str">
        <f aca="false">IF(L2908="","",INDEX(ポート振替表!$P$5:$P$3507,$L2908)&amp;"")</f>
        <v/>
      </c>
      <c r="J2908" s="60" t="str">
        <f aca="false">IF(L2908="","",INDEX(ポート振替表!$M$5:$M$3507,$L2908)&amp;"")</f>
        <v/>
      </c>
      <c r="K2908" s="52" t="str">
        <f aca="false">IF(L2908="","",E2908&amp;CHAR(10)&amp;INDEX(ポート振替表!$K$5:$K$3507,$L2908)&amp;" "&amp;INDEX(ポート振替表!$L$5:$L$3507,$L2908)&amp;CHAR(10)&amp;"⇔ "&amp;INDEX(ポート振替表!$H$5:$H$3507,$L2908)&amp;" "&amp;INDEX(ポート振替表!$I$5:$I$3507,$L2908))</f>
        <v/>
      </c>
      <c r="L2908" s="47" t="str">
        <f aca="false">IFERROR(MATCH(ROW()-4,ポート振替表!$V$5:$V$3507,0),"")</f>
        <v/>
      </c>
    </row>
    <row r="2909" customFormat="false" ht="16.4" hidden="false" customHeight="false" outlineLevel="0" collapsed="false">
      <c r="A2909" s="32" t="str">
        <f aca="false">IF(L2909="","",ROW()-4)</f>
        <v/>
      </c>
      <c r="B2909" s="58" t="str">
        <f aca="false">IF(L2909="","",IF(INDEX(ポート振替表!$W$5:$W$3507,$L2909)="","(なし)",INDEX(ポート振替表!$W$5:$W$3507,$L2909)&amp;""))</f>
        <v/>
      </c>
      <c r="C2909" s="52" t="str">
        <f aca="false">IF(L2909="","",INDEX(ポート振替表!$B$5:$B$3507,$L2909)&amp;" "&amp;INDEX(ポート振替表!$C$5:$C$3507,$L2909)&amp;"  ⇔  "&amp;INDEX(ポート振替表!$H$5:$H$3507,$L2909)&amp;" "&amp;INDEX(ポート振替表!$I$5:$I$3507,$L2909))</f>
        <v/>
      </c>
      <c r="D2909" s="57" t="s">
        <v>158</v>
      </c>
      <c r="E2909" s="59" t="str">
        <f aca="false">IF(L2909="","",IF(INDEX(ポート振替表!$O$5:$O$3507,$L2909)="","(未設定)",INDEX(ポート振替表!$O$5:$O$3507,$L2909)&amp;""))</f>
        <v/>
      </c>
      <c r="F2909" s="52" t="str">
        <f aca="false">IF(L2909="","",INDEX(ポート振替表!$K$5:$K$3507,$L2909)&amp;" "&amp;INDEX(ポート振替表!$L$5:$L$3507,$L2909)&amp;"  ⇔  "&amp;INDEX(ポート振替表!$H$5:$H$3507,$L2909)&amp;" "&amp;INDEX(ポート振替表!$I$5:$I$3507,$L2909))</f>
        <v/>
      </c>
      <c r="G2909" s="57" t="s">
        <v>158</v>
      </c>
      <c r="H2909" s="32" t="str">
        <f aca="false">IF(L2909="","",INDEX(ポート振替表!$N$5:$N$3507,$L2909)&amp;"")</f>
        <v/>
      </c>
      <c r="I2909" s="32" t="str">
        <f aca="false">IF(L2909="","",INDEX(ポート振替表!$P$5:$P$3507,$L2909)&amp;"")</f>
        <v/>
      </c>
      <c r="J2909" s="60" t="str">
        <f aca="false">IF(L2909="","",INDEX(ポート振替表!$M$5:$M$3507,$L2909)&amp;"")</f>
        <v/>
      </c>
      <c r="K2909" s="52" t="str">
        <f aca="false">IF(L2909="","",E2909&amp;CHAR(10)&amp;INDEX(ポート振替表!$K$5:$K$3507,$L2909)&amp;" "&amp;INDEX(ポート振替表!$L$5:$L$3507,$L2909)&amp;CHAR(10)&amp;"⇔ "&amp;INDEX(ポート振替表!$H$5:$H$3507,$L2909)&amp;" "&amp;INDEX(ポート振替表!$I$5:$I$3507,$L2909))</f>
        <v/>
      </c>
      <c r="L2909" s="47" t="str">
        <f aca="false">IFERROR(MATCH(ROW()-4,ポート振替表!$V$5:$V$3507,0),"")</f>
        <v/>
      </c>
    </row>
    <row r="2910" customFormat="false" ht="16.4" hidden="false" customHeight="false" outlineLevel="0" collapsed="false">
      <c r="A2910" s="32" t="str">
        <f aca="false">IF(L2910="","",ROW()-4)</f>
        <v/>
      </c>
      <c r="B2910" s="58" t="str">
        <f aca="false">IF(L2910="","",IF(INDEX(ポート振替表!$W$5:$W$3507,$L2910)="","(なし)",INDEX(ポート振替表!$W$5:$W$3507,$L2910)&amp;""))</f>
        <v/>
      </c>
      <c r="C2910" s="52" t="str">
        <f aca="false">IF(L2910="","",INDEX(ポート振替表!$B$5:$B$3507,$L2910)&amp;" "&amp;INDEX(ポート振替表!$C$5:$C$3507,$L2910)&amp;"  ⇔  "&amp;INDEX(ポート振替表!$H$5:$H$3507,$L2910)&amp;" "&amp;INDEX(ポート振替表!$I$5:$I$3507,$L2910))</f>
        <v/>
      </c>
      <c r="D2910" s="57" t="s">
        <v>158</v>
      </c>
      <c r="E2910" s="59" t="str">
        <f aca="false">IF(L2910="","",IF(INDEX(ポート振替表!$O$5:$O$3507,$L2910)="","(未設定)",INDEX(ポート振替表!$O$5:$O$3507,$L2910)&amp;""))</f>
        <v/>
      </c>
      <c r="F2910" s="52" t="str">
        <f aca="false">IF(L2910="","",INDEX(ポート振替表!$K$5:$K$3507,$L2910)&amp;" "&amp;INDEX(ポート振替表!$L$5:$L$3507,$L2910)&amp;"  ⇔  "&amp;INDEX(ポート振替表!$H$5:$H$3507,$L2910)&amp;" "&amp;INDEX(ポート振替表!$I$5:$I$3507,$L2910))</f>
        <v/>
      </c>
      <c r="G2910" s="57" t="s">
        <v>158</v>
      </c>
      <c r="H2910" s="32" t="str">
        <f aca="false">IF(L2910="","",INDEX(ポート振替表!$N$5:$N$3507,$L2910)&amp;"")</f>
        <v/>
      </c>
      <c r="I2910" s="32" t="str">
        <f aca="false">IF(L2910="","",INDEX(ポート振替表!$P$5:$P$3507,$L2910)&amp;"")</f>
        <v/>
      </c>
      <c r="J2910" s="60" t="str">
        <f aca="false">IF(L2910="","",INDEX(ポート振替表!$M$5:$M$3507,$L2910)&amp;"")</f>
        <v/>
      </c>
      <c r="K2910" s="52" t="str">
        <f aca="false">IF(L2910="","",E2910&amp;CHAR(10)&amp;INDEX(ポート振替表!$K$5:$K$3507,$L2910)&amp;" "&amp;INDEX(ポート振替表!$L$5:$L$3507,$L2910)&amp;CHAR(10)&amp;"⇔ "&amp;INDEX(ポート振替表!$H$5:$H$3507,$L2910)&amp;" "&amp;INDEX(ポート振替表!$I$5:$I$3507,$L2910))</f>
        <v/>
      </c>
      <c r="L2910" s="47" t="str">
        <f aca="false">IFERROR(MATCH(ROW()-4,ポート振替表!$V$5:$V$3507,0),"")</f>
        <v/>
      </c>
    </row>
    <row r="2911" customFormat="false" ht="16.4" hidden="false" customHeight="false" outlineLevel="0" collapsed="false">
      <c r="A2911" s="32" t="str">
        <f aca="false">IF(L2911="","",ROW()-4)</f>
        <v/>
      </c>
      <c r="B2911" s="58" t="str">
        <f aca="false">IF(L2911="","",IF(INDEX(ポート振替表!$W$5:$W$3507,$L2911)="","(なし)",INDEX(ポート振替表!$W$5:$W$3507,$L2911)&amp;""))</f>
        <v/>
      </c>
      <c r="C2911" s="52" t="str">
        <f aca="false">IF(L2911="","",INDEX(ポート振替表!$B$5:$B$3507,$L2911)&amp;" "&amp;INDEX(ポート振替表!$C$5:$C$3507,$L2911)&amp;"  ⇔  "&amp;INDEX(ポート振替表!$H$5:$H$3507,$L2911)&amp;" "&amp;INDEX(ポート振替表!$I$5:$I$3507,$L2911))</f>
        <v/>
      </c>
      <c r="D2911" s="57" t="s">
        <v>158</v>
      </c>
      <c r="E2911" s="59" t="str">
        <f aca="false">IF(L2911="","",IF(INDEX(ポート振替表!$O$5:$O$3507,$L2911)="","(未設定)",INDEX(ポート振替表!$O$5:$O$3507,$L2911)&amp;""))</f>
        <v/>
      </c>
      <c r="F2911" s="52" t="str">
        <f aca="false">IF(L2911="","",INDEX(ポート振替表!$K$5:$K$3507,$L2911)&amp;" "&amp;INDEX(ポート振替表!$L$5:$L$3507,$L2911)&amp;"  ⇔  "&amp;INDEX(ポート振替表!$H$5:$H$3507,$L2911)&amp;" "&amp;INDEX(ポート振替表!$I$5:$I$3507,$L2911))</f>
        <v/>
      </c>
      <c r="G2911" s="57" t="s">
        <v>158</v>
      </c>
      <c r="H2911" s="32" t="str">
        <f aca="false">IF(L2911="","",INDEX(ポート振替表!$N$5:$N$3507,$L2911)&amp;"")</f>
        <v/>
      </c>
      <c r="I2911" s="32" t="str">
        <f aca="false">IF(L2911="","",INDEX(ポート振替表!$P$5:$P$3507,$L2911)&amp;"")</f>
        <v/>
      </c>
      <c r="J2911" s="60" t="str">
        <f aca="false">IF(L2911="","",INDEX(ポート振替表!$M$5:$M$3507,$L2911)&amp;"")</f>
        <v/>
      </c>
      <c r="K2911" s="52" t="str">
        <f aca="false">IF(L2911="","",E2911&amp;CHAR(10)&amp;INDEX(ポート振替表!$K$5:$K$3507,$L2911)&amp;" "&amp;INDEX(ポート振替表!$L$5:$L$3507,$L2911)&amp;CHAR(10)&amp;"⇔ "&amp;INDEX(ポート振替表!$H$5:$H$3507,$L2911)&amp;" "&amp;INDEX(ポート振替表!$I$5:$I$3507,$L2911))</f>
        <v/>
      </c>
      <c r="L2911" s="47" t="str">
        <f aca="false">IFERROR(MATCH(ROW()-4,ポート振替表!$V$5:$V$3507,0),"")</f>
        <v/>
      </c>
    </row>
    <row r="2912" customFormat="false" ht="16.4" hidden="false" customHeight="false" outlineLevel="0" collapsed="false">
      <c r="A2912" s="32" t="str">
        <f aca="false">IF(L2912="","",ROW()-4)</f>
        <v/>
      </c>
      <c r="B2912" s="58" t="str">
        <f aca="false">IF(L2912="","",IF(INDEX(ポート振替表!$W$5:$W$3507,$L2912)="","(なし)",INDEX(ポート振替表!$W$5:$W$3507,$L2912)&amp;""))</f>
        <v/>
      </c>
      <c r="C2912" s="52" t="str">
        <f aca="false">IF(L2912="","",INDEX(ポート振替表!$B$5:$B$3507,$L2912)&amp;" "&amp;INDEX(ポート振替表!$C$5:$C$3507,$L2912)&amp;"  ⇔  "&amp;INDEX(ポート振替表!$H$5:$H$3507,$L2912)&amp;" "&amp;INDEX(ポート振替表!$I$5:$I$3507,$L2912))</f>
        <v/>
      </c>
      <c r="D2912" s="57" t="s">
        <v>158</v>
      </c>
      <c r="E2912" s="59" t="str">
        <f aca="false">IF(L2912="","",IF(INDEX(ポート振替表!$O$5:$O$3507,$L2912)="","(未設定)",INDEX(ポート振替表!$O$5:$O$3507,$L2912)&amp;""))</f>
        <v/>
      </c>
      <c r="F2912" s="52" t="str">
        <f aca="false">IF(L2912="","",INDEX(ポート振替表!$K$5:$K$3507,$L2912)&amp;" "&amp;INDEX(ポート振替表!$L$5:$L$3507,$L2912)&amp;"  ⇔  "&amp;INDEX(ポート振替表!$H$5:$H$3507,$L2912)&amp;" "&amp;INDEX(ポート振替表!$I$5:$I$3507,$L2912))</f>
        <v/>
      </c>
      <c r="G2912" s="57" t="s">
        <v>158</v>
      </c>
      <c r="H2912" s="32" t="str">
        <f aca="false">IF(L2912="","",INDEX(ポート振替表!$N$5:$N$3507,$L2912)&amp;"")</f>
        <v/>
      </c>
      <c r="I2912" s="32" t="str">
        <f aca="false">IF(L2912="","",INDEX(ポート振替表!$P$5:$P$3507,$L2912)&amp;"")</f>
        <v/>
      </c>
      <c r="J2912" s="60" t="str">
        <f aca="false">IF(L2912="","",INDEX(ポート振替表!$M$5:$M$3507,$L2912)&amp;"")</f>
        <v/>
      </c>
      <c r="K2912" s="52" t="str">
        <f aca="false">IF(L2912="","",E2912&amp;CHAR(10)&amp;INDEX(ポート振替表!$K$5:$K$3507,$L2912)&amp;" "&amp;INDEX(ポート振替表!$L$5:$L$3507,$L2912)&amp;CHAR(10)&amp;"⇔ "&amp;INDEX(ポート振替表!$H$5:$H$3507,$L2912)&amp;" "&amp;INDEX(ポート振替表!$I$5:$I$3507,$L2912))</f>
        <v/>
      </c>
      <c r="L2912" s="47" t="str">
        <f aca="false">IFERROR(MATCH(ROW()-4,ポート振替表!$V$5:$V$3507,0),"")</f>
        <v/>
      </c>
    </row>
    <row r="2913" customFormat="false" ht="16.4" hidden="false" customHeight="false" outlineLevel="0" collapsed="false">
      <c r="A2913" s="32" t="str">
        <f aca="false">IF(L2913="","",ROW()-4)</f>
        <v/>
      </c>
      <c r="B2913" s="58" t="str">
        <f aca="false">IF(L2913="","",IF(INDEX(ポート振替表!$W$5:$W$3507,$L2913)="","(なし)",INDEX(ポート振替表!$W$5:$W$3507,$L2913)&amp;""))</f>
        <v/>
      </c>
      <c r="C2913" s="52" t="str">
        <f aca="false">IF(L2913="","",INDEX(ポート振替表!$B$5:$B$3507,$L2913)&amp;" "&amp;INDEX(ポート振替表!$C$5:$C$3507,$L2913)&amp;"  ⇔  "&amp;INDEX(ポート振替表!$H$5:$H$3507,$L2913)&amp;" "&amp;INDEX(ポート振替表!$I$5:$I$3507,$L2913))</f>
        <v/>
      </c>
      <c r="D2913" s="57" t="s">
        <v>158</v>
      </c>
      <c r="E2913" s="59" t="str">
        <f aca="false">IF(L2913="","",IF(INDEX(ポート振替表!$O$5:$O$3507,$L2913)="","(未設定)",INDEX(ポート振替表!$O$5:$O$3507,$L2913)&amp;""))</f>
        <v/>
      </c>
      <c r="F2913" s="52" t="str">
        <f aca="false">IF(L2913="","",INDEX(ポート振替表!$K$5:$K$3507,$L2913)&amp;" "&amp;INDEX(ポート振替表!$L$5:$L$3507,$L2913)&amp;"  ⇔  "&amp;INDEX(ポート振替表!$H$5:$H$3507,$L2913)&amp;" "&amp;INDEX(ポート振替表!$I$5:$I$3507,$L2913))</f>
        <v/>
      </c>
      <c r="G2913" s="57" t="s">
        <v>158</v>
      </c>
      <c r="H2913" s="32" t="str">
        <f aca="false">IF(L2913="","",INDEX(ポート振替表!$N$5:$N$3507,$L2913)&amp;"")</f>
        <v/>
      </c>
      <c r="I2913" s="32" t="str">
        <f aca="false">IF(L2913="","",INDEX(ポート振替表!$P$5:$P$3507,$L2913)&amp;"")</f>
        <v/>
      </c>
      <c r="J2913" s="60" t="str">
        <f aca="false">IF(L2913="","",INDEX(ポート振替表!$M$5:$M$3507,$L2913)&amp;"")</f>
        <v/>
      </c>
      <c r="K2913" s="52" t="str">
        <f aca="false">IF(L2913="","",E2913&amp;CHAR(10)&amp;INDEX(ポート振替表!$K$5:$K$3507,$L2913)&amp;" "&amp;INDEX(ポート振替表!$L$5:$L$3507,$L2913)&amp;CHAR(10)&amp;"⇔ "&amp;INDEX(ポート振替表!$H$5:$H$3507,$L2913)&amp;" "&amp;INDEX(ポート振替表!$I$5:$I$3507,$L2913))</f>
        <v/>
      </c>
      <c r="L2913" s="47" t="str">
        <f aca="false">IFERROR(MATCH(ROW()-4,ポート振替表!$V$5:$V$3507,0),"")</f>
        <v/>
      </c>
    </row>
    <row r="2914" customFormat="false" ht="16.4" hidden="false" customHeight="false" outlineLevel="0" collapsed="false">
      <c r="A2914" s="32" t="str">
        <f aca="false">IF(L2914="","",ROW()-4)</f>
        <v/>
      </c>
      <c r="B2914" s="58" t="str">
        <f aca="false">IF(L2914="","",IF(INDEX(ポート振替表!$W$5:$W$3507,$L2914)="","(なし)",INDEX(ポート振替表!$W$5:$W$3507,$L2914)&amp;""))</f>
        <v/>
      </c>
      <c r="C2914" s="52" t="str">
        <f aca="false">IF(L2914="","",INDEX(ポート振替表!$B$5:$B$3507,$L2914)&amp;" "&amp;INDEX(ポート振替表!$C$5:$C$3507,$L2914)&amp;"  ⇔  "&amp;INDEX(ポート振替表!$H$5:$H$3507,$L2914)&amp;" "&amp;INDEX(ポート振替表!$I$5:$I$3507,$L2914))</f>
        <v/>
      </c>
      <c r="D2914" s="57" t="s">
        <v>158</v>
      </c>
      <c r="E2914" s="59" t="str">
        <f aca="false">IF(L2914="","",IF(INDEX(ポート振替表!$O$5:$O$3507,$L2914)="","(未設定)",INDEX(ポート振替表!$O$5:$O$3507,$L2914)&amp;""))</f>
        <v/>
      </c>
      <c r="F2914" s="52" t="str">
        <f aca="false">IF(L2914="","",INDEX(ポート振替表!$K$5:$K$3507,$L2914)&amp;" "&amp;INDEX(ポート振替表!$L$5:$L$3507,$L2914)&amp;"  ⇔  "&amp;INDEX(ポート振替表!$H$5:$H$3507,$L2914)&amp;" "&amp;INDEX(ポート振替表!$I$5:$I$3507,$L2914))</f>
        <v/>
      </c>
      <c r="G2914" s="57" t="s">
        <v>158</v>
      </c>
      <c r="H2914" s="32" t="str">
        <f aca="false">IF(L2914="","",INDEX(ポート振替表!$N$5:$N$3507,$L2914)&amp;"")</f>
        <v/>
      </c>
      <c r="I2914" s="32" t="str">
        <f aca="false">IF(L2914="","",INDEX(ポート振替表!$P$5:$P$3507,$L2914)&amp;"")</f>
        <v/>
      </c>
      <c r="J2914" s="60" t="str">
        <f aca="false">IF(L2914="","",INDEX(ポート振替表!$M$5:$M$3507,$L2914)&amp;"")</f>
        <v/>
      </c>
      <c r="K2914" s="52" t="str">
        <f aca="false">IF(L2914="","",E2914&amp;CHAR(10)&amp;INDEX(ポート振替表!$K$5:$K$3507,$L2914)&amp;" "&amp;INDEX(ポート振替表!$L$5:$L$3507,$L2914)&amp;CHAR(10)&amp;"⇔ "&amp;INDEX(ポート振替表!$H$5:$H$3507,$L2914)&amp;" "&amp;INDEX(ポート振替表!$I$5:$I$3507,$L2914))</f>
        <v/>
      </c>
      <c r="L2914" s="47" t="str">
        <f aca="false">IFERROR(MATCH(ROW()-4,ポート振替表!$V$5:$V$3507,0),"")</f>
        <v/>
      </c>
    </row>
    <row r="2915" customFormat="false" ht="16.4" hidden="false" customHeight="false" outlineLevel="0" collapsed="false">
      <c r="A2915" s="32" t="str">
        <f aca="false">IF(L2915="","",ROW()-4)</f>
        <v/>
      </c>
      <c r="B2915" s="58" t="str">
        <f aca="false">IF(L2915="","",IF(INDEX(ポート振替表!$W$5:$W$3507,$L2915)="","(なし)",INDEX(ポート振替表!$W$5:$W$3507,$L2915)&amp;""))</f>
        <v/>
      </c>
      <c r="C2915" s="52" t="str">
        <f aca="false">IF(L2915="","",INDEX(ポート振替表!$B$5:$B$3507,$L2915)&amp;" "&amp;INDEX(ポート振替表!$C$5:$C$3507,$L2915)&amp;"  ⇔  "&amp;INDEX(ポート振替表!$H$5:$H$3507,$L2915)&amp;" "&amp;INDEX(ポート振替表!$I$5:$I$3507,$L2915))</f>
        <v/>
      </c>
      <c r="D2915" s="57" t="s">
        <v>158</v>
      </c>
      <c r="E2915" s="59" t="str">
        <f aca="false">IF(L2915="","",IF(INDEX(ポート振替表!$O$5:$O$3507,$L2915)="","(未設定)",INDEX(ポート振替表!$O$5:$O$3507,$L2915)&amp;""))</f>
        <v/>
      </c>
      <c r="F2915" s="52" t="str">
        <f aca="false">IF(L2915="","",INDEX(ポート振替表!$K$5:$K$3507,$L2915)&amp;" "&amp;INDEX(ポート振替表!$L$5:$L$3507,$L2915)&amp;"  ⇔  "&amp;INDEX(ポート振替表!$H$5:$H$3507,$L2915)&amp;" "&amp;INDEX(ポート振替表!$I$5:$I$3507,$L2915))</f>
        <v/>
      </c>
      <c r="G2915" s="57" t="s">
        <v>158</v>
      </c>
      <c r="H2915" s="32" t="str">
        <f aca="false">IF(L2915="","",INDEX(ポート振替表!$N$5:$N$3507,$L2915)&amp;"")</f>
        <v/>
      </c>
      <c r="I2915" s="32" t="str">
        <f aca="false">IF(L2915="","",INDEX(ポート振替表!$P$5:$P$3507,$L2915)&amp;"")</f>
        <v/>
      </c>
      <c r="J2915" s="60" t="str">
        <f aca="false">IF(L2915="","",INDEX(ポート振替表!$M$5:$M$3507,$L2915)&amp;"")</f>
        <v/>
      </c>
      <c r="K2915" s="52" t="str">
        <f aca="false">IF(L2915="","",E2915&amp;CHAR(10)&amp;INDEX(ポート振替表!$K$5:$K$3507,$L2915)&amp;" "&amp;INDEX(ポート振替表!$L$5:$L$3507,$L2915)&amp;CHAR(10)&amp;"⇔ "&amp;INDEX(ポート振替表!$H$5:$H$3507,$L2915)&amp;" "&amp;INDEX(ポート振替表!$I$5:$I$3507,$L2915))</f>
        <v/>
      </c>
      <c r="L2915" s="47" t="str">
        <f aca="false">IFERROR(MATCH(ROW()-4,ポート振替表!$V$5:$V$3507,0),"")</f>
        <v/>
      </c>
    </row>
    <row r="2916" customFormat="false" ht="16.4" hidden="false" customHeight="false" outlineLevel="0" collapsed="false">
      <c r="A2916" s="32" t="str">
        <f aca="false">IF(L2916="","",ROW()-4)</f>
        <v/>
      </c>
      <c r="B2916" s="58" t="str">
        <f aca="false">IF(L2916="","",IF(INDEX(ポート振替表!$W$5:$W$3507,$L2916)="","(なし)",INDEX(ポート振替表!$W$5:$W$3507,$L2916)&amp;""))</f>
        <v/>
      </c>
      <c r="C2916" s="52" t="str">
        <f aca="false">IF(L2916="","",INDEX(ポート振替表!$B$5:$B$3507,$L2916)&amp;" "&amp;INDEX(ポート振替表!$C$5:$C$3507,$L2916)&amp;"  ⇔  "&amp;INDEX(ポート振替表!$H$5:$H$3507,$L2916)&amp;" "&amp;INDEX(ポート振替表!$I$5:$I$3507,$L2916))</f>
        <v/>
      </c>
      <c r="D2916" s="57" t="s">
        <v>158</v>
      </c>
      <c r="E2916" s="59" t="str">
        <f aca="false">IF(L2916="","",IF(INDEX(ポート振替表!$O$5:$O$3507,$L2916)="","(未設定)",INDEX(ポート振替表!$O$5:$O$3507,$L2916)&amp;""))</f>
        <v/>
      </c>
      <c r="F2916" s="52" t="str">
        <f aca="false">IF(L2916="","",INDEX(ポート振替表!$K$5:$K$3507,$L2916)&amp;" "&amp;INDEX(ポート振替表!$L$5:$L$3507,$L2916)&amp;"  ⇔  "&amp;INDEX(ポート振替表!$H$5:$H$3507,$L2916)&amp;" "&amp;INDEX(ポート振替表!$I$5:$I$3507,$L2916))</f>
        <v/>
      </c>
      <c r="G2916" s="57" t="s">
        <v>158</v>
      </c>
      <c r="H2916" s="32" t="str">
        <f aca="false">IF(L2916="","",INDEX(ポート振替表!$N$5:$N$3507,$L2916)&amp;"")</f>
        <v/>
      </c>
      <c r="I2916" s="32" t="str">
        <f aca="false">IF(L2916="","",INDEX(ポート振替表!$P$5:$P$3507,$L2916)&amp;"")</f>
        <v/>
      </c>
      <c r="J2916" s="60" t="str">
        <f aca="false">IF(L2916="","",INDEX(ポート振替表!$M$5:$M$3507,$L2916)&amp;"")</f>
        <v/>
      </c>
      <c r="K2916" s="52" t="str">
        <f aca="false">IF(L2916="","",E2916&amp;CHAR(10)&amp;INDEX(ポート振替表!$K$5:$K$3507,$L2916)&amp;" "&amp;INDEX(ポート振替表!$L$5:$L$3507,$L2916)&amp;CHAR(10)&amp;"⇔ "&amp;INDEX(ポート振替表!$H$5:$H$3507,$L2916)&amp;" "&amp;INDEX(ポート振替表!$I$5:$I$3507,$L2916))</f>
        <v/>
      </c>
      <c r="L2916" s="47" t="str">
        <f aca="false">IFERROR(MATCH(ROW()-4,ポート振替表!$V$5:$V$3507,0),"")</f>
        <v/>
      </c>
    </row>
    <row r="2917" customFormat="false" ht="16.4" hidden="false" customHeight="false" outlineLevel="0" collapsed="false">
      <c r="A2917" s="32" t="str">
        <f aca="false">IF(L2917="","",ROW()-4)</f>
        <v/>
      </c>
      <c r="B2917" s="58" t="str">
        <f aca="false">IF(L2917="","",IF(INDEX(ポート振替表!$W$5:$W$3507,$L2917)="","(なし)",INDEX(ポート振替表!$W$5:$W$3507,$L2917)&amp;""))</f>
        <v/>
      </c>
      <c r="C2917" s="52" t="str">
        <f aca="false">IF(L2917="","",INDEX(ポート振替表!$B$5:$B$3507,$L2917)&amp;" "&amp;INDEX(ポート振替表!$C$5:$C$3507,$L2917)&amp;"  ⇔  "&amp;INDEX(ポート振替表!$H$5:$H$3507,$L2917)&amp;" "&amp;INDEX(ポート振替表!$I$5:$I$3507,$L2917))</f>
        <v/>
      </c>
      <c r="D2917" s="57" t="s">
        <v>158</v>
      </c>
      <c r="E2917" s="59" t="str">
        <f aca="false">IF(L2917="","",IF(INDEX(ポート振替表!$O$5:$O$3507,$L2917)="","(未設定)",INDEX(ポート振替表!$O$5:$O$3507,$L2917)&amp;""))</f>
        <v/>
      </c>
      <c r="F2917" s="52" t="str">
        <f aca="false">IF(L2917="","",INDEX(ポート振替表!$K$5:$K$3507,$L2917)&amp;" "&amp;INDEX(ポート振替表!$L$5:$L$3507,$L2917)&amp;"  ⇔  "&amp;INDEX(ポート振替表!$H$5:$H$3507,$L2917)&amp;" "&amp;INDEX(ポート振替表!$I$5:$I$3507,$L2917))</f>
        <v/>
      </c>
      <c r="G2917" s="57" t="s">
        <v>158</v>
      </c>
      <c r="H2917" s="32" t="str">
        <f aca="false">IF(L2917="","",INDEX(ポート振替表!$N$5:$N$3507,$L2917)&amp;"")</f>
        <v/>
      </c>
      <c r="I2917" s="32" t="str">
        <f aca="false">IF(L2917="","",INDEX(ポート振替表!$P$5:$P$3507,$L2917)&amp;"")</f>
        <v/>
      </c>
      <c r="J2917" s="60" t="str">
        <f aca="false">IF(L2917="","",INDEX(ポート振替表!$M$5:$M$3507,$L2917)&amp;"")</f>
        <v/>
      </c>
      <c r="K2917" s="52" t="str">
        <f aca="false">IF(L2917="","",E2917&amp;CHAR(10)&amp;INDEX(ポート振替表!$K$5:$K$3507,$L2917)&amp;" "&amp;INDEX(ポート振替表!$L$5:$L$3507,$L2917)&amp;CHAR(10)&amp;"⇔ "&amp;INDEX(ポート振替表!$H$5:$H$3507,$L2917)&amp;" "&amp;INDEX(ポート振替表!$I$5:$I$3507,$L2917))</f>
        <v/>
      </c>
      <c r="L2917" s="47" t="str">
        <f aca="false">IFERROR(MATCH(ROW()-4,ポート振替表!$V$5:$V$3507,0),"")</f>
        <v/>
      </c>
    </row>
    <row r="2918" customFormat="false" ht="16.4" hidden="false" customHeight="false" outlineLevel="0" collapsed="false">
      <c r="A2918" s="32" t="str">
        <f aca="false">IF(L2918="","",ROW()-4)</f>
        <v/>
      </c>
      <c r="B2918" s="58" t="str">
        <f aca="false">IF(L2918="","",IF(INDEX(ポート振替表!$W$5:$W$3507,$L2918)="","(なし)",INDEX(ポート振替表!$W$5:$W$3507,$L2918)&amp;""))</f>
        <v/>
      </c>
      <c r="C2918" s="52" t="str">
        <f aca="false">IF(L2918="","",INDEX(ポート振替表!$B$5:$B$3507,$L2918)&amp;" "&amp;INDEX(ポート振替表!$C$5:$C$3507,$L2918)&amp;"  ⇔  "&amp;INDEX(ポート振替表!$H$5:$H$3507,$L2918)&amp;" "&amp;INDEX(ポート振替表!$I$5:$I$3507,$L2918))</f>
        <v/>
      </c>
      <c r="D2918" s="57" t="s">
        <v>158</v>
      </c>
      <c r="E2918" s="59" t="str">
        <f aca="false">IF(L2918="","",IF(INDEX(ポート振替表!$O$5:$O$3507,$L2918)="","(未設定)",INDEX(ポート振替表!$O$5:$O$3507,$L2918)&amp;""))</f>
        <v/>
      </c>
      <c r="F2918" s="52" t="str">
        <f aca="false">IF(L2918="","",INDEX(ポート振替表!$K$5:$K$3507,$L2918)&amp;" "&amp;INDEX(ポート振替表!$L$5:$L$3507,$L2918)&amp;"  ⇔  "&amp;INDEX(ポート振替表!$H$5:$H$3507,$L2918)&amp;" "&amp;INDEX(ポート振替表!$I$5:$I$3507,$L2918))</f>
        <v/>
      </c>
      <c r="G2918" s="57" t="s">
        <v>158</v>
      </c>
      <c r="H2918" s="32" t="str">
        <f aca="false">IF(L2918="","",INDEX(ポート振替表!$N$5:$N$3507,$L2918)&amp;"")</f>
        <v/>
      </c>
      <c r="I2918" s="32" t="str">
        <f aca="false">IF(L2918="","",INDEX(ポート振替表!$P$5:$P$3507,$L2918)&amp;"")</f>
        <v/>
      </c>
      <c r="J2918" s="60" t="str">
        <f aca="false">IF(L2918="","",INDEX(ポート振替表!$M$5:$M$3507,$L2918)&amp;"")</f>
        <v/>
      </c>
      <c r="K2918" s="52" t="str">
        <f aca="false">IF(L2918="","",E2918&amp;CHAR(10)&amp;INDEX(ポート振替表!$K$5:$K$3507,$L2918)&amp;" "&amp;INDEX(ポート振替表!$L$5:$L$3507,$L2918)&amp;CHAR(10)&amp;"⇔ "&amp;INDEX(ポート振替表!$H$5:$H$3507,$L2918)&amp;" "&amp;INDEX(ポート振替表!$I$5:$I$3507,$L2918))</f>
        <v/>
      </c>
      <c r="L2918" s="47" t="str">
        <f aca="false">IFERROR(MATCH(ROW()-4,ポート振替表!$V$5:$V$3507,0),"")</f>
        <v/>
      </c>
    </row>
    <row r="2919" customFormat="false" ht="16.4" hidden="false" customHeight="false" outlineLevel="0" collapsed="false">
      <c r="A2919" s="32" t="str">
        <f aca="false">IF(L2919="","",ROW()-4)</f>
        <v/>
      </c>
      <c r="B2919" s="58" t="str">
        <f aca="false">IF(L2919="","",IF(INDEX(ポート振替表!$W$5:$W$3507,$L2919)="","(なし)",INDEX(ポート振替表!$W$5:$W$3507,$L2919)&amp;""))</f>
        <v/>
      </c>
      <c r="C2919" s="52" t="str">
        <f aca="false">IF(L2919="","",INDEX(ポート振替表!$B$5:$B$3507,$L2919)&amp;" "&amp;INDEX(ポート振替表!$C$5:$C$3507,$L2919)&amp;"  ⇔  "&amp;INDEX(ポート振替表!$H$5:$H$3507,$L2919)&amp;" "&amp;INDEX(ポート振替表!$I$5:$I$3507,$L2919))</f>
        <v/>
      </c>
      <c r="D2919" s="57" t="s">
        <v>158</v>
      </c>
      <c r="E2919" s="59" t="str">
        <f aca="false">IF(L2919="","",IF(INDEX(ポート振替表!$O$5:$O$3507,$L2919)="","(未設定)",INDEX(ポート振替表!$O$5:$O$3507,$L2919)&amp;""))</f>
        <v/>
      </c>
      <c r="F2919" s="52" t="str">
        <f aca="false">IF(L2919="","",INDEX(ポート振替表!$K$5:$K$3507,$L2919)&amp;" "&amp;INDEX(ポート振替表!$L$5:$L$3507,$L2919)&amp;"  ⇔  "&amp;INDEX(ポート振替表!$H$5:$H$3507,$L2919)&amp;" "&amp;INDEX(ポート振替表!$I$5:$I$3507,$L2919))</f>
        <v/>
      </c>
      <c r="G2919" s="57" t="s">
        <v>158</v>
      </c>
      <c r="H2919" s="32" t="str">
        <f aca="false">IF(L2919="","",INDEX(ポート振替表!$N$5:$N$3507,$L2919)&amp;"")</f>
        <v/>
      </c>
      <c r="I2919" s="32" t="str">
        <f aca="false">IF(L2919="","",INDEX(ポート振替表!$P$5:$P$3507,$L2919)&amp;"")</f>
        <v/>
      </c>
      <c r="J2919" s="60" t="str">
        <f aca="false">IF(L2919="","",INDEX(ポート振替表!$M$5:$M$3507,$L2919)&amp;"")</f>
        <v/>
      </c>
      <c r="K2919" s="52" t="str">
        <f aca="false">IF(L2919="","",E2919&amp;CHAR(10)&amp;INDEX(ポート振替表!$K$5:$K$3507,$L2919)&amp;" "&amp;INDEX(ポート振替表!$L$5:$L$3507,$L2919)&amp;CHAR(10)&amp;"⇔ "&amp;INDEX(ポート振替表!$H$5:$H$3507,$L2919)&amp;" "&amp;INDEX(ポート振替表!$I$5:$I$3507,$L2919))</f>
        <v/>
      </c>
      <c r="L2919" s="47" t="str">
        <f aca="false">IFERROR(MATCH(ROW()-4,ポート振替表!$V$5:$V$3507,0),"")</f>
        <v/>
      </c>
    </row>
    <row r="2920" customFormat="false" ht="16.4" hidden="false" customHeight="false" outlineLevel="0" collapsed="false">
      <c r="A2920" s="32" t="str">
        <f aca="false">IF(L2920="","",ROW()-4)</f>
        <v/>
      </c>
      <c r="B2920" s="58" t="str">
        <f aca="false">IF(L2920="","",IF(INDEX(ポート振替表!$W$5:$W$3507,$L2920)="","(なし)",INDEX(ポート振替表!$W$5:$W$3507,$L2920)&amp;""))</f>
        <v/>
      </c>
      <c r="C2920" s="52" t="str">
        <f aca="false">IF(L2920="","",INDEX(ポート振替表!$B$5:$B$3507,$L2920)&amp;" "&amp;INDEX(ポート振替表!$C$5:$C$3507,$L2920)&amp;"  ⇔  "&amp;INDEX(ポート振替表!$H$5:$H$3507,$L2920)&amp;" "&amp;INDEX(ポート振替表!$I$5:$I$3507,$L2920))</f>
        <v/>
      </c>
      <c r="D2920" s="57" t="s">
        <v>158</v>
      </c>
      <c r="E2920" s="59" t="str">
        <f aca="false">IF(L2920="","",IF(INDEX(ポート振替表!$O$5:$O$3507,$L2920)="","(未設定)",INDEX(ポート振替表!$O$5:$O$3507,$L2920)&amp;""))</f>
        <v/>
      </c>
      <c r="F2920" s="52" t="str">
        <f aca="false">IF(L2920="","",INDEX(ポート振替表!$K$5:$K$3507,$L2920)&amp;" "&amp;INDEX(ポート振替表!$L$5:$L$3507,$L2920)&amp;"  ⇔  "&amp;INDEX(ポート振替表!$H$5:$H$3507,$L2920)&amp;" "&amp;INDEX(ポート振替表!$I$5:$I$3507,$L2920))</f>
        <v/>
      </c>
      <c r="G2920" s="57" t="s">
        <v>158</v>
      </c>
      <c r="H2920" s="32" t="str">
        <f aca="false">IF(L2920="","",INDEX(ポート振替表!$N$5:$N$3507,$L2920)&amp;"")</f>
        <v/>
      </c>
      <c r="I2920" s="32" t="str">
        <f aca="false">IF(L2920="","",INDEX(ポート振替表!$P$5:$P$3507,$L2920)&amp;"")</f>
        <v/>
      </c>
      <c r="J2920" s="60" t="str">
        <f aca="false">IF(L2920="","",INDEX(ポート振替表!$M$5:$M$3507,$L2920)&amp;"")</f>
        <v/>
      </c>
      <c r="K2920" s="52" t="str">
        <f aca="false">IF(L2920="","",E2920&amp;CHAR(10)&amp;INDEX(ポート振替表!$K$5:$K$3507,$L2920)&amp;" "&amp;INDEX(ポート振替表!$L$5:$L$3507,$L2920)&amp;CHAR(10)&amp;"⇔ "&amp;INDEX(ポート振替表!$H$5:$H$3507,$L2920)&amp;" "&amp;INDEX(ポート振替表!$I$5:$I$3507,$L2920))</f>
        <v/>
      </c>
      <c r="L2920" s="47" t="str">
        <f aca="false">IFERROR(MATCH(ROW()-4,ポート振替表!$V$5:$V$3507,0),"")</f>
        <v/>
      </c>
    </row>
    <row r="2921" customFormat="false" ht="16.4" hidden="false" customHeight="false" outlineLevel="0" collapsed="false">
      <c r="A2921" s="32" t="str">
        <f aca="false">IF(L2921="","",ROW()-4)</f>
        <v/>
      </c>
      <c r="B2921" s="58" t="str">
        <f aca="false">IF(L2921="","",IF(INDEX(ポート振替表!$W$5:$W$3507,$L2921)="","(なし)",INDEX(ポート振替表!$W$5:$W$3507,$L2921)&amp;""))</f>
        <v/>
      </c>
      <c r="C2921" s="52" t="str">
        <f aca="false">IF(L2921="","",INDEX(ポート振替表!$B$5:$B$3507,$L2921)&amp;" "&amp;INDEX(ポート振替表!$C$5:$C$3507,$L2921)&amp;"  ⇔  "&amp;INDEX(ポート振替表!$H$5:$H$3507,$L2921)&amp;" "&amp;INDEX(ポート振替表!$I$5:$I$3507,$L2921))</f>
        <v/>
      </c>
      <c r="D2921" s="57" t="s">
        <v>158</v>
      </c>
      <c r="E2921" s="59" t="str">
        <f aca="false">IF(L2921="","",IF(INDEX(ポート振替表!$O$5:$O$3507,$L2921)="","(未設定)",INDEX(ポート振替表!$O$5:$O$3507,$L2921)&amp;""))</f>
        <v/>
      </c>
      <c r="F2921" s="52" t="str">
        <f aca="false">IF(L2921="","",INDEX(ポート振替表!$K$5:$K$3507,$L2921)&amp;" "&amp;INDEX(ポート振替表!$L$5:$L$3507,$L2921)&amp;"  ⇔  "&amp;INDEX(ポート振替表!$H$5:$H$3507,$L2921)&amp;" "&amp;INDEX(ポート振替表!$I$5:$I$3507,$L2921))</f>
        <v/>
      </c>
      <c r="G2921" s="57" t="s">
        <v>158</v>
      </c>
      <c r="H2921" s="32" t="str">
        <f aca="false">IF(L2921="","",INDEX(ポート振替表!$N$5:$N$3507,$L2921)&amp;"")</f>
        <v/>
      </c>
      <c r="I2921" s="32" t="str">
        <f aca="false">IF(L2921="","",INDEX(ポート振替表!$P$5:$P$3507,$L2921)&amp;"")</f>
        <v/>
      </c>
      <c r="J2921" s="60" t="str">
        <f aca="false">IF(L2921="","",INDEX(ポート振替表!$M$5:$M$3507,$L2921)&amp;"")</f>
        <v/>
      </c>
      <c r="K2921" s="52" t="str">
        <f aca="false">IF(L2921="","",E2921&amp;CHAR(10)&amp;INDEX(ポート振替表!$K$5:$K$3507,$L2921)&amp;" "&amp;INDEX(ポート振替表!$L$5:$L$3507,$L2921)&amp;CHAR(10)&amp;"⇔ "&amp;INDEX(ポート振替表!$H$5:$H$3507,$L2921)&amp;" "&amp;INDEX(ポート振替表!$I$5:$I$3507,$L2921))</f>
        <v/>
      </c>
      <c r="L2921" s="47" t="str">
        <f aca="false">IFERROR(MATCH(ROW()-4,ポート振替表!$V$5:$V$3507,0),"")</f>
        <v/>
      </c>
    </row>
    <row r="2922" customFormat="false" ht="16.4" hidden="false" customHeight="false" outlineLevel="0" collapsed="false">
      <c r="A2922" s="32" t="str">
        <f aca="false">IF(L2922="","",ROW()-4)</f>
        <v/>
      </c>
      <c r="B2922" s="58" t="str">
        <f aca="false">IF(L2922="","",IF(INDEX(ポート振替表!$W$5:$W$3507,$L2922)="","(なし)",INDEX(ポート振替表!$W$5:$W$3507,$L2922)&amp;""))</f>
        <v/>
      </c>
      <c r="C2922" s="52" t="str">
        <f aca="false">IF(L2922="","",INDEX(ポート振替表!$B$5:$B$3507,$L2922)&amp;" "&amp;INDEX(ポート振替表!$C$5:$C$3507,$L2922)&amp;"  ⇔  "&amp;INDEX(ポート振替表!$H$5:$H$3507,$L2922)&amp;" "&amp;INDEX(ポート振替表!$I$5:$I$3507,$L2922))</f>
        <v/>
      </c>
      <c r="D2922" s="57" t="s">
        <v>158</v>
      </c>
      <c r="E2922" s="59" t="str">
        <f aca="false">IF(L2922="","",IF(INDEX(ポート振替表!$O$5:$O$3507,$L2922)="","(未設定)",INDEX(ポート振替表!$O$5:$O$3507,$L2922)&amp;""))</f>
        <v/>
      </c>
      <c r="F2922" s="52" t="str">
        <f aca="false">IF(L2922="","",INDEX(ポート振替表!$K$5:$K$3507,$L2922)&amp;" "&amp;INDEX(ポート振替表!$L$5:$L$3507,$L2922)&amp;"  ⇔  "&amp;INDEX(ポート振替表!$H$5:$H$3507,$L2922)&amp;" "&amp;INDEX(ポート振替表!$I$5:$I$3507,$L2922))</f>
        <v/>
      </c>
      <c r="G2922" s="57" t="s">
        <v>158</v>
      </c>
      <c r="H2922" s="32" t="str">
        <f aca="false">IF(L2922="","",INDEX(ポート振替表!$N$5:$N$3507,$L2922)&amp;"")</f>
        <v/>
      </c>
      <c r="I2922" s="32" t="str">
        <f aca="false">IF(L2922="","",INDEX(ポート振替表!$P$5:$P$3507,$L2922)&amp;"")</f>
        <v/>
      </c>
      <c r="J2922" s="60" t="str">
        <f aca="false">IF(L2922="","",INDEX(ポート振替表!$M$5:$M$3507,$L2922)&amp;"")</f>
        <v/>
      </c>
      <c r="K2922" s="52" t="str">
        <f aca="false">IF(L2922="","",E2922&amp;CHAR(10)&amp;INDEX(ポート振替表!$K$5:$K$3507,$L2922)&amp;" "&amp;INDEX(ポート振替表!$L$5:$L$3507,$L2922)&amp;CHAR(10)&amp;"⇔ "&amp;INDEX(ポート振替表!$H$5:$H$3507,$L2922)&amp;" "&amp;INDEX(ポート振替表!$I$5:$I$3507,$L2922))</f>
        <v/>
      </c>
      <c r="L2922" s="47" t="str">
        <f aca="false">IFERROR(MATCH(ROW()-4,ポート振替表!$V$5:$V$3507,0),"")</f>
        <v/>
      </c>
    </row>
    <row r="2923" customFormat="false" ht="16.4" hidden="false" customHeight="false" outlineLevel="0" collapsed="false">
      <c r="A2923" s="32" t="str">
        <f aca="false">IF(L2923="","",ROW()-4)</f>
        <v/>
      </c>
      <c r="B2923" s="58" t="str">
        <f aca="false">IF(L2923="","",IF(INDEX(ポート振替表!$W$5:$W$3507,$L2923)="","(なし)",INDEX(ポート振替表!$W$5:$W$3507,$L2923)&amp;""))</f>
        <v/>
      </c>
      <c r="C2923" s="52" t="str">
        <f aca="false">IF(L2923="","",INDEX(ポート振替表!$B$5:$B$3507,$L2923)&amp;" "&amp;INDEX(ポート振替表!$C$5:$C$3507,$L2923)&amp;"  ⇔  "&amp;INDEX(ポート振替表!$H$5:$H$3507,$L2923)&amp;" "&amp;INDEX(ポート振替表!$I$5:$I$3507,$L2923))</f>
        <v/>
      </c>
      <c r="D2923" s="57" t="s">
        <v>158</v>
      </c>
      <c r="E2923" s="59" t="str">
        <f aca="false">IF(L2923="","",IF(INDEX(ポート振替表!$O$5:$O$3507,$L2923)="","(未設定)",INDEX(ポート振替表!$O$5:$O$3507,$L2923)&amp;""))</f>
        <v/>
      </c>
      <c r="F2923" s="52" t="str">
        <f aca="false">IF(L2923="","",INDEX(ポート振替表!$K$5:$K$3507,$L2923)&amp;" "&amp;INDEX(ポート振替表!$L$5:$L$3507,$L2923)&amp;"  ⇔  "&amp;INDEX(ポート振替表!$H$5:$H$3507,$L2923)&amp;" "&amp;INDEX(ポート振替表!$I$5:$I$3507,$L2923))</f>
        <v/>
      </c>
      <c r="G2923" s="57" t="s">
        <v>158</v>
      </c>
      <c r="H2923" s="32" t="str">
        <f aca="false">IF(L2923="","",INDEX(ポート振替表!$N$5:$N$3507,$L2923)&amp;"")</f>
        <v/>
      </c>
      <c r="I2923" s="32" t="str">
        <f aca="false">IF(L2923="","",INDEX(ポート振替表!$P$5:$P$3507,$L2923)&amp;"")</f>
        <v/>
      </c>
      <c r="J2923" s="60" t="str">
        <f aca="false">IF(L2923="","",INDEX(ポート振替表!$M$5:$M$3507,$L2923)&amp;"")</f>
        <v/>
      </c>
      <c r="K2923" s="52" t="str">
        <f aca="false">IF(L2923="","",E2923&amp;CHAR(10)&amp;INDEX(ポート振替表!$K$5:$K$3507,$L2923)&amp;" "&amp;INDEX(ポート振替表!$L$5:$L$3507,$L2923)&amp;CHAR(10)&amp;"⇔ "&amp;INDEX(ポート振替表!$H$5:$H$3507,$L2923)&amp;" "&amp;INDEX(ポート振替表!$I$5:$I$3507,$L2923))</f>
        <v/>
      </c>
      <c r="L2923" s="47" t="str">
        <f aca="false">IFERROR(MATCH(ROW()-4,ポート振替表!$V$5:$V$3507,0),"")</f>
        <v/>
      </c>
    </row>
    <row r="2924" customFormat="false" ht="16.4" hidden="false" customHeight="false" outlineLevel="0" collapsed="false">
      <c r="A2924" s="32" t="str">
        <f aca="false">IF(L2924="","",ROW()-4)</f>
        <v/>
      </c>
      <c r="B2924" s="58" t="str">
        <f aca="false">IF(L2924="","",IF(INDEX(ポート振替表!$W$5:$W$3507,$L2924)="","(なし)",INDEX(ポート振替表!$W$5:$W$3507,$L2924)&amp;""))</f>
        <v/>
      </c>
      <c r="C2924" s="52" t="str">
        <f aca="false">IF(L2924="","",INDEX(ポート振替表!$B$5:$B$3507,$L2924)&amp;" "&amp;INDEX(ポート振替表!$C$5:$C$3507,$L2924)&amp;"  ⇔  "&amp;INDEX(ポート振替表!$H$5:$H$3507,$L2924)&amp;" "&amp;INDEX(ポート振替表!$I$5:$I$3507,$L2924))</f>
        <v/>
      </c>
      <c r="D2924" s="57" t="s">
        <v>158</v>
      </c>
      <c r="E2924" s="59" t="str">
        <f aca="false">IF(L2924="","",IF(INDEX(ポート振替表!$O$5:$O$3507,$L2924)="","(未設定)",INDEX(ポート振替表!$O$5:$O$3507,$L2924)&amp;""))</f>
        <v/>
      </c>
      <c r="F2924" s="52" t="str">
        <f aca="false">IF(L2924="","",INDEX(ポート振替表!$K$5:$K$3507,$L2924)&amp;" "&amp;INDEX(ポート振替表!$L$5:$L$3507,$L2924)&amp;"  ⇔  "&amp;INDEX(ポート振替表!$H$5:$H$3507,$L2924)&amp;" "&amp;INDEX(ポート振替表!$I$5:$I$3507,$L2924))</f>
        <v/>
      </c>
      <c r="G2924" s="57" t="s">
        <v>158</v>
      </c>
      <c r="H2924" s="32" t="str">
        <f aca="false">IF(L2924="","",INDEX(ポート振替表!$N$5:$N$3507,$L2924)&amp;"")</f>
        <v/>
      </c>
      <c r="I2924" s="32" t="str">
        <f aca="false">IF(L2924="","",INDEX(ポート振替表!$P$5:$P$3507,$L2924)&amp;"")</f>
        <v/>
      </c>
      <c r="J2924" s="60" t="str">
        <f aca="false">IF(L2924="","",INDEX(ポート振替表!$M$5:$M$3507,$L2924)&amp;"")</f>
        <v/>
      </c>
      <c r="K2924" s="52" t="str">
        <f aca="false">IF(L2924="","",E2924&amp;CHAR(10)&amp;INDEX(ポート振替表!$K$5:$K$3507,$L2924)&amp;" "&amp;INDEX(ポート振替表!$L$5:$L$3507,$L2924)&amp;CHAR(10)&amp;"⇔ "&amp;INDEX(ポート振替表!$H$5:$H$3507,$L2924)&amp;" "&amp;INDEX(ポート振替表!$I$5:$I$3507,$L2924))</f>
        <v/>
      </c>
      <c r="L2924" s="47" t="str">
        <f aca="false">IFERROR(MATCH(ROW()-4,ポート振替表!$V$5:$V$3507,0),"")</f>
        <v/>
      </c>
    </row>
    <row r="2925" customFormat="false" ht="16.4" hidden="false" customHeight="false" outlineLevel="0" collapsed="false">
      <c r="A2925" s="32" t="str">
        <f aca="false">IF(L2925="","",ROW()-4)</f>
        <v/>
      </c>
      <c r="B2925" s="58" t="str">
        <f aca="false">IF(L2925="","",IF(INDEX(ポート振替表!$W$5:$W$3507,$L2925)="","(なし)",INDEX(ポート振替表!$W$5:$W$3507,$L2925)&amp;""))</f>
        <v/>
      </c>
      <c r="C2925" s="52" t="str">
        <f aca="false">IF(L2925="","",INDEX(ポート振替表!$B$5:$B$3507,$L2925)&amp;" "&amp;INDEX(ポート振替表!$C$5:$C$3507,$L2925)&amp;"  ⇔  "&amp;INDEX(ポート振替表!$H$5:$H$3507,$L2925)&amp;" "&amp;INDEX(ポート振替表!$I$5:$I$3507,$L2925))</f>
        <v/>
      </c>
      <c r="D2925" s="57" t="s">
        <v>158</v>
      </c>
      <c r="E2925" s="59" t="str">
        <f aca="false">IF(L2925="","",IF(INDEX(ポート振替表!$O$5:$O$3507,$L2925)="","(未設定)",INDEX(ポート振替表!$O$5:$O$3507,$L2925)&amp;""))</f>
        <v/>
      </c>
      <c r="F2925" s="52" t="str">
        <f aca="false">IF(L2925="","",INDEX(ポート振替表!$K$5:$K$3507,$L2925)&amp;" "&amp;INDEX(ポート振替表!$L$5:$L$3507,$L2925)&amp;"  ⇔  "&amp;INDEX(ポート振替表!$H$5:$H$3507,$L2925)&amp;" "&amp;INDEX(ポート振替表!$I$5:$I$3507,$L2925))</f>
        <v/>
      </c>
      <c r="G2925" s="57" t="s">
        <v>158</v>
      </c>
      <c r="H2925" s="32" t="str">
        <f aca="false">IF(L2925="","",INDEX(ポート振替表!$N$5:$N$3507,$L2925)&amp;"")</f>
        <v/>
      </c>
      <c r="I2925" s="32" t="str">
        <f aca="false">IF(L2925="","",INDEX(ポート振替表!$P$5:$P$3507,$L2925)&amp;"")</f>
        <v/>
      </c>
      <c r="J2925" s="60" t="str">
        <f aca="false">IF(L2925="","",INDEX(ポート振替表!$M$5:$M$3507,$L2925)&amp;"")</f>
        <v/>
      </c>
      <c r="K2925" s="52" t="str">
        <f aca="false">IF(L2925="","",E2925&amp;CHAR(10)&amp;INDEX(ポート振替表!$K$5:$K$3507,$L2925)&amp;" "&amp;INDEX(ポート振替表!$L$5:$L$3507,$L2925)&amp;CHAR(10)&amp;"⇔ "&amp;INDEX(ポート振替表!$H$5:$H$3507,$L2925)&amp;" "&amp;INDEX(ポート振替表!$I$5:$I$3507,$L2925))</f>
        <v/>
      </c>
      <c r="L2925" s="47" t="str">
        <f aca="false">IFERROR(MATCH(ROW()-4,ポート振替表!$V$5:$V$3507,0),"")</f>
        <v/>
      </c>
    </row>
    <row r="2926" customFormat="false" ht="16.4" hidden="false" customHeight="false" outlineLevel="0" collapsed="false">
      <c r="A2926" s="32" t="str">
        <f aca="false">IF(L2926="","",ROW()-4)</f>
        <v/>
      </c>
      <c r="B2926" s="58" t="str">
        <f aca="false">IF(L2926="","",IF(INDEX(ポート振替表!$W$5:$W$3507,$L2926)="","(なし)",INDEX(ポート振替表!$W$5:$W$3507,$L2926)&amp;""))</f>
        <v/>
      </c>
      <c r="C2926" s="52" t="str">
        <f aca="false">IF(L2926="","",INDEX(ポート振替表!$B$5:$B$3507,$L2926)&amp;" "&amp;INDEX(ポート振替表!$C$5:$C$3507,$L2926)&amp;"  ⇔  "&amp;INDEX(ポート振替表!$H$5:$H$3507,$L2926)&amp;" "&amp;INDEX(ポート振替表!$I$5:$I$3507,$L2926))</f>
        <v/>
      </c>
      <c r="D2926" s="57" t="s">
        <v>158</v>
      </c>
      <c r="E2926" s="59" t="str">
        <f aca="false">IF(L2926="","",IF(INDEX(ポート振替表!$O$5:$O$3507,$L2926)="","(未設定)",INDEX(ポート振替表!$O$5:$O$3507,$L2926)&amp;""))</f>
        <v/>
      </c>
      <c r="F2926" s="52" t="str">
        <f aca="false">IF(L2926="","",INDEX(ポート振替表!$K$5:$K$3507,$L2926)&amp;" "&amp;INDEX(ポート振替表!$L$5:$L$3507,$L2926)&amp;"  ⇔  "&amp;INDEX(ポート振替表!$H$5:$H$3507,$L2926)&amp;" "&amp;INDEX(ポート振替表!$I$5:$I$3507,$L2926))</f>
        <v/>
      </c>
      <c r="G2926" s="57" t="s">
        <v>158</v>
      </c>
      <c r="H2926" s="32" t="str">
        <f aca="false">IF(L2926="","",INDEX(ポート振替表!$N$5:$N$3507,$L2926)&amp;"")</f>
        <v/>
      </c>
      <c r="I2926" s="32" t="str">
        <f aca="false">IF(L2926="","",INDEX(ポート振替表!$P$5:$P$3507,$L2926)&amp;"")</f>
        <v/>
      </c>
      <c r="J2926" s="60" t="str">
        <f aca="false">IF(L2926="","",INDEX(ポート振替表!$M$5:$M$3507,$L2926)&amp;"")</f>
        <v/>
      </c>
      <c r="K2926" s="52" t="str">
        <f aca="false">IF(L2926="","",E2926&amp;CHAR(10)&amp;INDEX(ポート振替表!$K$5:$K$3507,$L2926)&amp;" "&amp;INDEX(ポート振替表!$L$5:$L$3507,$L2926)&amp;CHAR(10)&amp;"⇔ "&amp;INDEX(ポート振替表!$H$5:$H$3507,$L2926)&amp;" "&amp;INDEX(ポート振替表!$I$5:$I$3507,$L2926))</f>
        <v/>
      </c>
      <c r="L2926" s="47" t="str">
        <f aca="false">IFERROR(MATCH(ROW()-4,ポート振替表!$V$5:$V$3507,0),"")</f>
        <v/>
      </c>
    </row>
    <row r="2927" customFormat="false" ht="16.4" hidden="false" customHeight="false" outlineLevel="0" collapsed="false">
      <c r="A2927" s="32" t="str">
        <f aca="false">IF(L2927="","",ROW()-4)</f>
        <v/>
      </c>
      <c r="B2927" s="58" t="str">
        <f aca="false">IF(L2927="","",IF(INDEX(ポート振替表!$W$5:$W$3507,$L2927)="","(なし)",INDEX(ポート振替表!$W$5:$W$3507,$L2927)&amp;""))</f>
        <v/>
      </c>
      <c r="C2927" s="52" t="str">
        <f aca="false">IF(L2927="","",INDEX(ポート振替表!$B$5:$B$3507,$L2927)&amp;" "&amp;INDEX(ポート振替表!$C$5:$C$3507,$L2927)&amp;"  ⇔  "&amp;INDEX(ポート振替表!$H$5:$H$3507,$L2927)&amp;" "&amp;INDEX(ポート振替表!$I$5:$I$3507,$L2927))</f>
        <v/>
      </c>
      <c r="D2927" s="57" t="s">
        <v>158</v>
      </c>
      <c r="E2927" s="59" t="str">
        <f aca="false">IF(L2927="","",IF(INDEX(ポート振替表!$O$5:$O$3507,$L2927)="","(未設定)",INDEX(ポート振替表!$O$5:$O$3507,$L2927)&amp;""))</f>
        <v/>
      </c>
      <c r="F2927" s="52" t="str">
        <f aca="false">IF(L2927="","",INDEX(ポート振替表!$K$5:$K$3507,$L2927)&amp;" "&amp;INDEX(ポート振替表!$L$5:$L$3507,$L2927)&amp;"  ⇔  "&amp;INDEX(ポート振替表!$H$5:$H$3507,$L2927)&amp;" "&amp;INDEX(ポート振替表!$I$5:$I$3507,$L2927))</f>
        <v/>
      </c>
      <c r="G2927" s="57" t="s">
        <v>158</v>
      </c>
      <c r="H2927" s="32" t="str">
        <f aca="false">IF(L2927="","",INDEX(ポート振替表!$N$5:$N$3507,$L2927)&amp;"")</f>
        <v/>
      </c>
      <c r="I2927" s="32" t="str">
        <f aca="false">IF(L2927="","",INDEX(ポート振替表!$P$5:$P$3507,$L2927)&amp;"")</f>
        <v/>
      </c>
      <c r="J2927" s="60" t="str">
        <f aca="false">IF(L2927="","",INDEX(ポート振替表!$M$5:$M$3507,$L2927)&amp;"")</f>
        <v/>
      </c>
      <c r="K2927" s="52" t="str">
        <f aca="false">IF(L2927="","",E2927&amp;CHAR(10)&amp;INDEX(ポート振替表!$K$5:$K$3507,$L2927)&amp;" "&amp;INDEX(ポート振替表!$L$5:$L$3507,$L2927)&amp;CHAR(10)&amp;"⇔ "&amp;INDEX(ポート振替表!$H$5:$H$3507,$L2927)&amp;" "&amp;INDEX(ポート振替表!$I$5:$I$3507,$L2927))</f>
        <v/>
      </c>
      <c r="L2927" s="47" t="str">
        <f aca="false">IFERROR(MATCH(ROW()-4,ポート振替表!$V$5:$V$3507,0),"")</f>
        <v/>
      </c>
    </row>
    <row r="2928" customFormat="false" ht="16.4" hidden="false" customHeight="false" outlineLevel="0" collapsed="false">
      <c r="A2928" s="32" t="str">
        <f aca="false">IF(L2928="","",ROW()-4)</f>
        <v/>
      </c>
      <c r="B2928" s="58" t="str">
        <f aca="false">IF(L2928="","",IF(INDEX(ポート振替表!$W$5:$W$3507,$L2928)="","(なし)",INDEX(ポート振替表!$W$5:$W$3507,$L2928)&amp;""))</f>
        <v/>
      </c>
      <c r="C2928" s="52" t="str">
        <f aca="false">IF(L2928="","",INDEX(ポート振替表!$B$5:$B$3507,$L2928)&amp;" "&amp;INDEX(ポート振替表!$C$5:$C$3507,$L2928)&amp;"  ⇔  "&amp;INDEX(ポート振替表!$H$5:$H$3507,$L2928)&amp;" "&amp;INDEX(ポート振替表!$I$5:$I$3507,$L2928))</f>
        <v/>
      </c>
      <c r="D2928" s="57" t="s">
        <v>158</v>
      </c>
      <c r="E2928" s="59" t="str">
        <f aca="false">IF(L2928="","",IF(INDEX(ポート振替表!$O$5:$O$3507,$L2928)="","(未設定)",INDEX(ポート振替表!$O$5:$O$3507,$L2928)&amp;""))</f>
        <v/>
      </c>
      <c r="F2928" s="52" t="str">
        <f aca="false">IF(L2928="","",INDEX(ポート振替表!$K$5:$K$3507,$L2928)&amp;" "&amp;INDEX(ポート振替表!$L$5:$L$3507,$L2928)&amp;"  ⇔  "&amp;INDEX(ポート振替表!$H$5:$H$3507,$L2928)&amp;" "&amp;INDEX(ポート振替表!$I$5:$I$3507,$L2928))</f>
        <v/>
      </c>
      <c r="G2928" s="57" t="s">
        <v>158</v>
      </c>
      <c r="H2928" s="32" t="str">
        <f aca="false">IF(L2928="","",INDEX(ポート振替表!$N$5:$N$3507,$L2928)&amp;"")</f>
        <v/>
      </c>
      <c r="I2928" s="32" t="str">
        <f aca="false">IF(L2928="","",INDEX(ポート振替表!$P$5:$P$3507,$L2928)&amp;"")</f>
        <v/>
      </c>
      <c r="J2928" s="60" t="str">
        <f aca="false">IF(L2928="","",INDEX(ポート振替表!$M$5:$M$3507,$L2928)&amp;"")</f>
        <v/>
      </c>
      <c r="K2928" s="52" t="str">
        <f aca="false">IF(L2928="","",E2928&amp;CHAR(10)&amp;INDEX(ポート振替表!$K$5:$K$3507,$L2928)&amp;" "&amp;INDEX(ポート振替表!$L$5:$L$3507,$L2928)&amp;CHAR(10)&amp;"⇔ "&amp;INDEX(ポート振替表!$H$5:$H$3507,$L2928)&amp;" "&amp;INDEX(ポート振替表!$I$5:$I$3507,$L2928))</f>
        <v/>
      </c>
      <c r="L2928" s="47" t="str">
        <f aca="false">IFERROR(MATCH(ROW()-4,ポート振替表!$V$5:$V$3507,0),"")</f>
        <v/>
      </c>
    </row>
    <row r="2929" customFormat="false" ht="16.4" hidden="false" customHeight="false" outlineLevel="0" collapsed="false">
      <c r="A2929" s="32" t="str">
        <f aca="false">IF(L2929="","",ROW()-4)</f>
        <v/>
      </c>
      <c r="B2929" s="58" t="str">
        <f aca="false">IF(L2929="","",IF(INDEX(ポート振替表!$W$5:$W$3507,$L2929)="","(なし)",INDEX(ポート振替表!$W$5:$W$3507,$L2929)&amp;""))</f>
        <v/>
      </c>
      <c r="C2929" s="52" t="str">
        <f aca="false">IF(L2929="","",INDEX(ポート振替表!$B$5:$B$3507,$L2929)&amp;" "&amp;INDEX(ポート振替表!$C$5:$C$3507,$L2929)&amp;"  ⇔  "&amp;INDEX(ポート振替表!$H$5:$H$3507,$L2929)&amp;" "&amp;INDEX(ポート振替表!$I$5:$I$3507,$L2929))</f>
        <v/>
      </c>
      <c r="D2929" s="57" t="s">
        <v>158</v>
      </c>
      <c r="E2929" s="59" t="str">
        <f aca="false">IF(L2929="","",IF(INDEX(ポート振替表!$O$5:$O$3507,$L2929)="","(未設定)",INDEX(ポート振替表!$O$5:$O$3507,$L2929)&amp;""))</f>
        <v/>
      </c>
      <c r="F2929" s="52" t="str">
        <f aca="false">IF(L2929="","",INDEX(ポート振替表!$K$5:$K$3507,$L2929)&amp;" "&amp;INDEX(ポート振替表!$L$5:$L$3507,$L2929)&amp;"  ⇔  "&amp;INDEX(ポート振替表!$H$5:$H$3507,$L2929)&amp;" "&amp;INDEX(ポート振替表!$I$5:$I$3507,$L2929))</f>
        <v/>
      </c>
      <c r="G2929" s="57" t="s">
        <v>158</v>
      </c>
      <c r="H2929" s="32" t="str">
        <f aca="false">IF(L2929="","",INDEX(ポート振替表!$N$5:$N$3507,$L2929)&amp;"")</f>
        <v/>
      </c>
      <c r="I2929" s="32" t="str">
        <f aca="false">IF(L2929="","",INDEX(ポート振替表!$P$5:$P$3507,$L2929)&amp;"")</f>
        <v/>
      </c>
      <c r="J2929" s="60" t="str">
        <f aca="false">IF(L2929="","",INDEX(ポート振替表!$M$5:$M$3507,$L2929)&amp;"")</f>
        <v/>
      </c>
      <c r="K2929" s="52" t="str">
        <f aca="false">IF(L2929="","",E2929&amp;CHAR(10)&amp;INDEX(ポート振替表!$K$5:$K$3507,$L2929)&amp;" "&amp;INDEX(ポート振替表!$L$5:$L$3507,$L2929)&amp;CHAR(10)&amp;"⇔ "&amp;INDEX(ポート振替表!$H$5:$H$3507,$L2929)&amp;" "&amp;INDEX(ポート振替表!$I$5:$I$3507,$L2929))</f>
        <v/>
      </c>
      <c r="L2929" s="47" t="str">
        <f aca="false">IFERROR(MATCH(ROW()-4,ポート振替表!$V$5:$V$3507,0),"")</f>
        <v/>
      </c>
    </row>
    <row r="2930" customFormat="false" ht="16.4" hidden="false" customHeight="false" outlineLevel="0" collapsed="false">
      <c r="A2930" s="32" t="str">
        <f aca="false">IF(L2930="","",ROW()-4)</f>
        <v/>
      </c>
      <c r="B2930" s="58" t="str">
        <f aca="false">IF(L2930="","",IF(INDEX(ポート振替表!$W$5:$W$3507,$L2930)="","(なし)",INDEX(ポート振替表!$W$5:$W$3507,$L2930)&amp;""))</f>
        <v/>
      </c>
      <c r="C2930" s="52" t="str">
        <f aca="false">IF(L2930="","",INDEX(ポート振替表!$B$5:$B$3507,$L2930)&amp;" "&amp;INDEX(ポート振替表!$C$5:$C$3507,$L2930)&amp;"  ⇔  "&amp;INDEX(ポート振替表!$H$5:$H$3507,$L2930)&amp;" "&amp;INDEX(ポート振替表!$I$5:$I$3507,$L2930))</f>
        <v/>
      </c>
      <c r="D2930" s="57" t="s">
        <v>158</v>
      </c>
      <c r="E2930" s="59" t="str">
        <f aca="false">IF(L2930="","",IF(INDEX(ポート振替表!$O$5:$O$3507,$L2930)="","(未設定)",INDEX(ポート振替表!$O$5:$O$3507,$L2930)&amp;""))</f>
        <v/>
      </c>
      <c r="F2930" s="52" t="str">
        <f aca="false">IF(L2930="","",INDEX(ポート振替表!$K$5:$K$3507,$L2930)&amp;" "&amp;INDEX(ポート振替表!$L$5:$L$3507,$L2930)&amp;"  ⇔  "&amp;INDEX(ポート振替表!$H$5:$H$3507,$L2930)&amp;" "&amp;INDEX(ポート振替表!$I$5:$I$3507,$L2930))</f>
        <v/>
      </c>
      <c r="G2930" s="57" t="s">
        <v>158</v>
      </c>
      <c r="H2930" s="32" t="str">
        <f aca="false">IF(L2930="","",INDEX(ポート振替表!$N$5:$N$3507,$L2930)&amp;"")</f>
        <v/>
      </c>
      <c r="I2930" s="32" t="str">
        <f aca="false">IF(L2930="","",INDEX(ポート振替表!$P$5:$P$3507,$L2930)&amp;"")</f>
        <v/>
      </c>
      <c r="J2930" s="60" t="str">
        <f aca="false">IF(L2930="","",INDEX(ポート振替表!$M$5:$M$3507,$L2930)&amp;"")</f>
        <v/>
      </c>
      <c r="K2930" s="52" t="str">
        <f aca="false">IF(L2930="","",E2930&amp;CHAR(10)&amp;INDEX(ポート振替表!$K$5:$K$3507,$L2930)&amp;" "&amp;INDEX(ポート振替表!$L$5:$L$3507,$L2930)&amp;CHAR(10)&amp;"⇔ "&amp;INDEX(ポート振替表!$H$5:$H$3507,$L2930)&amp;" "&amp;INDEX(ポート振替表!$I$5:$I$3507,$L2930))</f>
        <v/>
      </c>
      <c r="L2930" s="47" t="str">
        <f aca="false">IFERROR(MATCH(ROW()-4,ポート振替表!$V$5:$V$3507,0),"")</f>
        <v/>
      </c>
    </row>
    <row r="2931" customFormat="false" ht="16.4" hidden="false" customHeight="false" outlineLevel="0" collapsed="false">
      <c r="A2931" s="32" t="str">
        <f aca="false">IF(L2931="","",ROW()-4)</f>
        <v/>
      </c>
      <c r="B2931" s="58" t="str">
        <f aca="false">IF(L2931="","",IF(INDEX(ポート振替表!$W$5:$W$3507,$L2931)="","(なし)",INDEX(ポート振替表!$W$5:$W$3507,$L2931)&amp;""))</f>
        <v/>
      </c>
      <c r="C2931" s="52" t="str">
        <f aca="false">IF(L2931="","",INDEX(ポート振替表!$B$5:$B$3507,$L2931)&amp;" "&amp;INDEX(ポート振替表!$C$5:$C$3507,$L2931)&amp;"  ⇔  "&amp;INDEX(ポート振替表!$H$5:$H$3507,$L2931)&amp;" "&amp;INDEX(ポート振替表!$I$5:$I$3507,$L2931))</f>
        <v/>
      </c>
      <c r="D2931" s="57" t="s">
        <v>158</v>
      </c>
      <c r="E2931" s="59" t="str">
        <f aca="false">IF(L2931="","",IF(INDEX(ポート振替表!$O$5:$O$3507,$L2931)="","(未設定)",INDEX(ポート振替表!$O$5:$O$3507,$L2931)&amp;""))</f>
        <v/>
      </c>
      <c r="F2931" s="52" t="str">
        <f aca="false">IF(L2931="","",INDEX(ポート振替表!$K$5:$K$3507,$L2931)&amp;" "&amp;INDEX(ポート振替表!$L$5:$L$3507,$L2931)&amp;"  ⇔  "&amp;INDEX(ポート振替表!$H$5:$H$3507,$L2931)&amp;" "&amp;INDEX(ポート振替表!$I$5:$I$3507,$L2931))</f>
        <v/>
      </c>
      <c r="G2931" s="57" t="s">
        <v>158</v>
      </c>
      <c r="H2931" s="32" t="str">
        <f aca="false">IF(L2931="","",INDEX(ポート振替表!$N$5:$N$3507,$L2931)&amp;"")</f>
        <v/>
      </c>
      <c r="I2931" s="32" t="str">
        <f aca="false">IF(L2931="","",INDEX(ポート振替表!$P$5:$P$3507,$L2931)&amp;"")</f>
        <v/>
      </c>
      <c r="J2931" s="60" t="str">
        <f aca="false">IF(L2931="","",INDEX(ポート振替表!$M$5:$M$3507,$L2931)&amp;"")</f>
        <v/>
      </c>
      <c r="K2931" s="52" t="str">
        <f aca="false">IF(L2931="","",E2931&amp;CHAR(10)&amp;INDEX(ポート振替表!$K$5:$K$3507,$L2931)&amp;" "&amp;INDEX(ポート振替表!$L$5:$L$3507,$L2931)&amp;CHAR(10)&amp;"⇔ "&amp;INDEX(ポート振替表!$H$5:$H$3507,$L2931)&amp;" "&amp;INDEX(ポート振替表!$I$5:$I$3507,$L2931))</f>
        <v/>
      </c>
      <c r="L2931" s="47" t="str">
        <f aca="false">IFERROR(MATCH(ROW()-4,ポート振替表!$V$5:$V$3507,0),"")</f>
        <v/>
      </c>
    </row>
    <row r="2932" customFormat="false" ht="16.4" hidden="false" customHeight="false" outlineLevel="0" collapsed="false">
      <c r="A2932" s="32" t="str">
        <f aca="false">IF(L2932="","",ROW()-4)</f>
        <v/>
      </c>
      <c r="B2932" s="58" t="str">
        <f aca="false">IF(L2932="","",IF(INDEX(ポート振替表!$W$5:$W$3507,$L2932)="","(なし)",INDEX(ポート振替表!$W$5:$W$3507,$L2932)&amp;""))</f>
        <v/>
      </c>
      <c r="C2932" s="52" t="str">
        <f aca="false">IF(L2932="","",INDEX(ポート振替表!$B$5:$B$3507,$L2932)&amp;" "&amp;INDEX(ポート振替表!$C$5:$C$3507,$L2932)&amp;"  ⇔  "&amp;INDEX(ポート振替表!$H$5:$H$3507,$L2932)&amp;" "&amp;INDEX(ポート振替表!$I$5:$I$3507,$L2932))</f>
        <v/>
      </c>
      <c r="D2932" s="57" t="s">
        <v>158</v>
      </c>
      <c r="E2932" s="59" t="str">
        <f aca="false">IF(L2932="","",IF(INDEX(ポート振替表!$O$5:$O$3507,$L2932)="","(未設定)",INDEX(ポート振替表!$O$5:$O$3507,$L2932)&amp;""))</f>
        <v/>
      </c>
      <c r="F2932" s="52" t="str">
        <f aca="false">IF(L2932="","",INDEX(ポート振替表!$K$5:$K$3507,$L2932)&amp;" "&amp;INDEX(ポート振替表!$L$5:$L$3507,$L2932)&amp;"  ⇔  "&amp;INDEX(ポート振替表!$H$5:$H$3507,$L2932)&amp;" "&amp;INDEX(ポート振替表!$I$5:$I$3507,$L2932))</f>
        <v/>
      </c>
      <c r="G2932" s="57" t="s">
        <v>158</v>
      </c>
      <c r="H2932" s="32" t="str">
        <f aca="false">IF(L2932="","",INDEX(ポート振替表!$N$5:$N$3507,$L2932)&amp;"")</f>
        <v/>
      </c>
      <c r="I2932" s="32" t="str">
        <f aca="false">IF(L2932="","",INDEX(ポート振替表!$P$5:$P$3507,$L2932)&amp;"")</f>
        <v/>
      </c>
      <c r="J2932" s="60" t="str">
        <f aca="false">IF(L2932="","",INDEX(ポート振替表!$M$5:$M$3507,$L2932)&amp;"")</f>
        <v/>
      </c>
      <c r="K2932" s="52" t="str">
        <f aca="false">IF(L2932="","",E2932&amp;CHAR(10)&amp;INDEX(ポート振替表!$K$5:$K$3507,$L2932)&amp;" "&amp;INDEX(ポート振替表!$L$5:$L$3507,$L2932)&amp;CHAR(10)&amp;"⇔ "&amp;INDEX(ポート振替表!$H$5:$H$3507,$L2932)&amp;" "&amp;INDEX(ポート振替表!$I$5:$I$3507,$L2932))</f>
        <v/>
      </c>
      <c r="L2932" s="47" t="str">
        <f aca="false">IFERROR(MATCH(ROW()-4,ポート振替表!$V$5:$V$3507,0),"")</f>
        <v/>
      </c>
    </row>
    <row r="2933" customFormat="false" ht="16.4" hidden="false" customHeight="false" outlineLevel="0" collapsed="false">
      <c r="A2933" s="32" t="str">
        <f aca="false">IF(L2933="","",ROW()-4)</f>
        <v/>
      </c>
      <c r="B2933" s="58" t="str">
        <f aca="false">IF(L2933="","",IF(INDEX(ポート振替表!$W$5:$W$3507,$L2933)="","(なし)",INDEX(ポート振替表!$W$5:$W$3507,$L2933)&amp;""))</f>
        <v/>
      </c>
      <c r="C2933" s="52" t="str">
        <f aca="false">IF(L2933="","",INDEX(ポート振替表!$B$5:$B$3507,$L2933)&amp;" "&amp;INDEX(ポート振替表!$C$5:$C$3507,$L2933)&amp;"  ⇔  "&amp;INDEX(ポート振替表!$H$5:$H$3507,$L2933)&amp;" "&amp;INDEX(ポート振替表!$I$5:$I$3507,$L2933))</f>
        <v/>
      </c>
      <c r="D2933" s="57" t="s">
        <v>158</v>
      </c>
      <c r="E2933" s="59" t="str">
        <f aca="false">IF(L2933="","",IF(INDEX(ポート振替表!$O$5:$O$3507,$L2933)="","(未設定)",INDEX(ポート振替表!$O$5:$O$3507,$L2933)&amp;""))</f>
        <v/>
      </c>
      <c r="F2933" s="52" t="str">
        <f aca="false">IF(L2933="","",INDEX(ポート振替表!$K$5:$K$3507,$L2933)&amp;" "&amp;INDEX(ポート振替表!$L$5:$L$3507,$L2933)&amp;"  ⇔  "&amp;INDEX(ポート振替表!$H$5:$H$3507,$L2933)&amp;" "&amp;INDEX(ポート振替表!$I$5:$I$3507,$L2933))</f>
        <v/>
      </c>
      <c r="G2933" s="57" t="s">
        <v>158</v>
      </c>
      <c r="H2933" s="32" t="str">
        <f aca="false">IF(L2933="","",INDEX(ポート振替表!$N$5:$N$3507,$L2933)&amp;"")</f>
        <v/>
      </c>
      <c r="I2933" s="32" t="str">
        <f aca="false">IF(L2933="","",INDEX(ポート振替表!$P$5:$P$3507,$L2933)&amp;"")</f>
        <v/>
      </c>
      <c r="J2933" s="60" t="str">
        <f aca="false">IF(L2933="","",INDEX(ポート振替表!$M$5:$M$3507,$L2933)&amp;"")</f>
        <v/>
      </c>
      <c r="K2933" s="52" t="str">
        <f aca="false">IF(L2933="","",E2933&amp;CHAR(10)&amp;INDEX(ポート振替表!$K$5:$K$3507,$L2933)&amp;" "&amp;INDEX(ポート振替表!$L$5:$L$3507,$L2933)&amp;CHAR(10)&amp;"⇔ "&amp;INDEX(ポート振替表!$H$5:$H$3507,$L2933)&amp;" "&amp;INDEX(ポート振替表!$I$5:$I$3507,$L2933))</f>
        <v/>
      </c>
      <c r="L2933" s="47" t="str">
        <f aca="false">IFERROR(MATCH(ROW()-4,ポート振替表!$V$5:$V$3507,0),"")</f>
        <v/>
      </c>
    </row>
    <row r="2934" customFormat="false" ht="16.4" hidden="false" customHeight="false" outlineLevel="0" collapsed="false">
      <c r="A2934" s="32" t="str">
        <f aca="false">IF(L2934="","",ROW()-4)</f>
        <v/>
      </c>
      <c r="B2934" s="58" t="str">
        <f aca="false">IF(L2934="","",IF(INDEX(ポート振替表!$W$5:$W$3507,$L2934)="","(なし)",INDEX(ポート振替表!$W$5:$W$3507,$L2934)&amp;""))</f>
        <v/>
      </c>
      <c r="C2934" s="52" t="str">
        <f aca="false">IF(L2934="","",INDEX(ポート振替表!$B$5:$B$3507,$L2934)&amp;" "&amp;INDEX(ポート振替表!$C$5:$C$3507,$L2934)&amp;"  ⇔  "&amp;INDEX(ポート振替表!$H$5:$H$3507,$L2934)&amp;" "&amp;INDEX(ポート振替表!$I$5:$I$3507,$L2934))</f>
        <v/>
      </c>
      <c r="D2934" s="57" t="s">
        <v>158</v>
      </c>
      <c r="E2934" s="59" t="str">
        <f aca="false">IF(L2934="","",IF(INDEX(ポート振替表!$O$5:$O$3507,$L2934)="","(未設定)",INDEX(ポート振替表!$O$5:$O$3507,$L2934)&amp;""))</f>
        <v/>
      </c>
      <c r="F2934" s="52" t="str">
        <f aca="false">IF(L2934="","",INDEX(ポート振替表!$K$5:$K$3507,$L2934)&amp;" "&amp;INDEX(ポート振替表!$L$5:$L$3507,$L2934)&amp;"  ⇔  "&amp;INDEX(ポート振替表!$H$5:$H$3507,$L2934)&amp;" "&amp;INDEX(ポート振替表!$I$5:$I$3507,$L2934))</f>
        <v/>
      </c>
      <c r="G2934" s="57" t="s">
        <v>158</v>
      </c>
      <c r="H2934" s="32" t="str">
        <f aca="false">IF(L2934="","",INDEX(ポート振替表!$N$5:$N$3507,$L2934)&amp;"")</f>
        <v/>
      </c>
      <c r="I2934" s="32" t="str">
        <f aca="false">IF(L2934="","",INDEX(ポート振替表!$P$5:$P$3507,$L2934)&amp;"")</f>
        <v/>
      </c>
      <c r="J2934" s="60" t="str">
        <f aca="false">IF(L2934="","",INDEX(ポート振替表!$M$5:$M$3507,$L2934)&amp;"")</f>
        <v/>
      </c>
      <c r="K2934" s="52" t="str">
        <f aca="false">IF(L2934="","",E2934&amp;CHAR(10)&amp;INDEX(ポート振替表!$K$5:$K$3507,$L2934)&amp;" "&amp;INDEX(ポート振替表!$L$5:$L$3507,$L2934)&amp;CHAR(10)&amp;"⇔ "&amp;INDEX(ポート振替表!$H$5:$H$3507,$L2934)&amp;" "&amp;INDEX(ポート振替表!$I$5:$I$3507,$L2934))</f>
        <v/>
      </c>
      <c r="L2934" s="47" t="str">
        <f aca="false">IFERROR(MATCH(ROW()-4,ポート振替表!$V$5:$V$3507,0),"")</f>
        <v/>
      </c>
    </row>
    <row r="2935" customFormat="false" ht="16.4" hidden="false" customHeight="false" outlineLevel="0" collapsed="false">
      <c r="A2935" s="32" t="str">
        <f aca="false">IF(L2935="","",ROW()-4)</f>
        <v/>
      </c>
      <c r="B2935" s="58" t="str">
        <f aca="false">IF(L2935="","",IF(INDEX(ポート振替表!$W$5:$W$3507,$L2935)="","(なし)",INDEX(ポート振替表!$W$5:$W$3507,$L2935)&amp;""))</f>
        <v/>
      </c>
      <c r="C2935" s="52" t="str">
        <f aca="false">IF(L2935="","",INDEX(ポート振替表!$B$5:$B$3507,$L2935)&amp;" "&amp;INDEX(ポート振替表!$C$5:$C$3507,$L2935)&amp;"  ⇔  "&amp;INDEX(ポート振替表!$H$5:$H$3507,$L2935)&amp;" "&amp;INDEX(ポート振替表!$I$5:$I$3507,$L2935))</f>
        <v/>
      </c>
      <c r="D2935" s="57" t="s">
        <v>158</v>
      </c>
      <c r="E2935" s="59" t="str">
        <f aca="false">IF(L2935="","",IF(INDEX(ポート振替表!$O$5:$O$3507,$L2935)="","(未設定)",INDEX(ポート振替表!$O$5:$O$3507,$L2935)&amp;""))</f>
        <v/>
      </c>
      <c r="F2935" s="52" t="str">
        <f aca="false">IF(L2935="","",INDEX(ポート振替表!$K$5:$K$3507,$L2935)&amp;" "&amp;INDEX(ポート振替表!$L$5:$L$3507,$L2935)&amp;"  ⇔  "&amp;INDEX(ポート振替表!$H$5:$H$3507,$L2935)&amp;" "&amp;INDEX(ポート振替表!$I$5:$I$3507,$L2935))</f>
        <v/>
      </c>
      <c r="G2935" s="57" t="s">
        <v>158</v>
      </c>
      <c r="H2935" s="32" t="str">
        <f aca="false">IF(L2935="","",INDEX(ポート振替表!$N$5:$N$3507,$L2935)&amp;"")</f>
        <v/>
      </c>
      <c r="I2935" s="32" t="str">
        <f aca="false">IF(L2935="","",INDEX(ポート振替表!$P$5:$P$3507,$L2935)&amp;"")</f>
        <v/>
      </c>
      <c r="J2935" s="60" t="str">
        <f aca="false">IF(L2935="","",INDEX(ポート振替表!$M$5:$M$3507,$L2935)&amp;"")</f>
        <v/>
      </c>
      <c r="K2935" s="52" t="str">
        <f aca="false">IF(L2935="","",E2935&amp;CHAR(10)&amp;INDEX(ポート振替表!$K$5:$K$3507,$L2935)&amp;" "&amp;INDEX(ポート振替表!$L$5:$L$3507,$L2935)&amp;CHAR(10)&amp;"⇔ "&amp;INDEX(ポート振替表!$H$5:$H$3507,$L2935)&amp;" "&amp;INDEX(ポート振替表!$I$5:$I$3507,$L2935))</f>
        <v/>
      </c>
      <c r="L2935" s="47" t="str">
        <f aca="false">IFERROR(MATCH(ROW()-4,ポート振替表!$V$5:$V$3507,0),"")</f>
        <v/>
      </c>
    </row>
    <row r="2936" customFormat="false" ht="16.4" hidden="false" customHeight="false" outlineLevel="0" collapsed="false">
      <c r="A2936" s="32" t="str">
        <f aca="false">IF(L2936="","",ROW()-4)</f>
        <v/>
      </c>
      <c r="B2936" s="58" t="str">
        <f aca="false">IF(L2936="","",IF(INDEX(ポート振替表!$W$5:$W$3507,$L2936)="","(なし)",INDEX(ポート振替表!$W$5:$W$3507,$L2936)&amp;""))</f>
        <v/>
      </c>
      <c r="C2936" s="52" t="str">
        <f aca="false">IF(L2936="","",INDEX(ポート振替表!$B$5:$B$3507,$L2936)&amp;" "&amp;INDEX(ポート振替表!$C$5:$C$3507,$L2936)&amp;"  ⇔  "&amp;INDEX(ポート振替表!$H$5:$H$3507,$L2936)&amp;" "&amp;INDEX(ポート振替表!$I$5:$I$3507,$L2936))</f>
        <v/>
      </c>
      <c r="D2936" s="57" t="s">
        <v>158</v>
      </c>
      <c r="E2936" s="59" t="str">
        <f aca="false">IF(L2936="","",IF(INDEX(ポート振替表!$O$5:$O$3507,$L2936)="","(未設定)",INDEX(ポート振替表!$O$5:$O$3507,$L2936)&amp;""))</f>
        <v/>
      </c>
      <c r="F2936" s="52" t="str">
        <f aca="false">IF(L2936="","",INDEX(ポート振替表!$K$5:$K$3507,$L2936)&amp;" "&amp;INDEX(ポート振替表!$L$5:$L$3507,$L2936)&amp;"  ⇔  "&amp;INDEX(ポート振替表!$H$5:$H$3507,$L2936)&amp;" "&amp;INDEX(ポート振替表!$I$5:$I$3507,$L2936))</f>
        <v/>
      </c>
      <c r="G2936" s="57" t="s">
        <v>158</v>
      </c>
      <c r="H2936" s="32" t="str">
        <f aca="false">IF(L2936="","",INDEX(ポート振替表!$N$5:$N$3507,$L2936)&amp;"")</f>
        <v/>
      </c>
      <c r="I2936" s="32" t="str">
        <f aca="false">IF(L2936="","",INDEX(ポート振替表!$P$5:$P$3507,$L2936)&amp;"")</f>
        <v/>
      </c>
      <c r="J2936" s="60" t="str">
        <f aca="false">IF(L2936="","",INDEX(ポート振替表!$M$5:$M$3507,$L2936)&amp;"")</f>
        <v/>
      </c>
      <c r="K2936" s="52" t="str">
        <f aca="false">IF(L2936="","",E2936&amp;CHAR(10)&amp;INDEX(ポート振替表!$K$5:$K$3507,$L2936)&amp;" "&amp;INDEX(ポート振替表!$L$5:$L$3507,$L2936)&amp;CHAR(10)&amp;"⇔ "&amp;INDEX(ポート振替表!$H$5:$H$3507,$L2936)&amp;" "&amp;INDEX(ポート振替表!$I$5:$I$3507,$L2936))</f>
        <v/>
      </c>
      <c r="L2936" s="47" t="str">
        <f aca="false">IFERROR(MATCH(ROW()-4,ポート振替表!$V$5:$V$3507,0),"")</f>
        <v/>
      </c>
    </row>
    <row r="2937" customFormat="false" ht="16.4" hidden="false" customHeight="false" outlineLevel="0" collapsed="false">
      <c r="A2937" s="32" t="str">
        <f aca="false">IF(L2937="","",ROW()-4)</f>
        <v/>
      </c>
      <c r="B2937" s="58" t="str">
        <f aca="false">IF(L2937="","",IF(INDEX(ポート振替表!$W$5:$W$3507,$L2937)="","(なし)",INDEX(ポート振替表!$W$5:$W$3507,$L2937)&amp;""))</f>
        <v/>
      </c>
      <c r="C2937" s="52" t="str">
        <f aca="false">IF(L2937="","",INDEX(ポート振替表!$B$5:$B$3507,$L2937)&amp;" "&amp;INDEX(ポート振替表!$C$5:$C$3507,$L2937)&amp;"  ⇔  "&amp;INDEX(ポート振替表!$H$5:$H$3507,$L2937)&amp;" "&amp;INDEX(ポート振替表!$I$5:$I$3507,$L2937))</f>
        <v/>
      </c>
      <c r="D2937" s="57" t="s">
        <v>158</v>
      </c>
      <c r="E2937" s="59" t="str">
        <f aca="false">IF(L2937="","",IF(INDEX(ポート振替表!$O$5:$O$3507,$L2937)="","(未設定)",INDEX(ポート振替表!$O$5:$O$3507,$L2937)&amp;""))</f>
        <v/>
      </c>
      <c r="F2937" s="52" t="str">
        <f aca="false">IF(L2937="","",INDEX(ポート振替表!$K$5:$K$3507,$L2937)&amp;" "&amp;INDEX(ポート振替表!$L$5:$L$3507,$L2937)&amp;"  ⇔  "&amp;INDEX(ポート振替表!$H$5:$H$3507,$L2937)&amp;" "&amp;INDEX(ポート振替表!$I$5:$I$3507,$L2937))</f>
        <v/>
      </c>
      <c r="G2937" s="57" t="s">
        <v>158</v>
      </c>
      <c r="H2937" s="32" t="str">
        <f aca="false">IF(L2937="","",INDEX(ポート振替表!$N$5:$N$3507,$L2937)&amp;"")</f>
        <v/>
      </c>
      <c r="I2937" s="32" t="str">
        <f aca="false">IF(L2937="","",INDEX(ポート振替表!$P$5:$P$3507,$L2937)&amp;"")</f>
        <v/>
      </c>
      <c r="J2937" s="60" t="str">
        <f aca="false">IF(L2937="","",INDEX(ポート振替表!$M$5:$M$3507,$L2937)&amp;"")</f>
        <v/>
      </c>
      <c r="K2937" s="52" t="str">
        <f aca="false">IF(L2937="","",E2937&amp;CHAR(10)&amp;INDEX(ポート振替表!$K$5:$K$3507,$L2937)&amp;" "&amp;INDEX(ポート振替表!$L$5:$L$3507,$L2937)&amp;CHAR(10)&amp;"⇔ "&amp;INDEX(ポート振替表!$H$5:$H$3507,$L2937)&amp;" "&amp;INDEX(ポート振替表!$I$5:$I$3507,$L2937))</f>
        <v/>
      </c>
      <c r="L2937" s="47" t="str">
        <f aca="false">IFERROR(MATCH(ROW()-4,ポート振替表!$V$5:$V$3507,0),"")</f>
        <v/>
      </c>
    </row>
    <row r="2938" customFormat="false" ht="16.4" hidden="false" customHeight="false" outlineLevel="0" collapsed="false">
      <c r="A2938" s="32" t="str">
        <f aca="false">IF(L2938="","",ROW()-4)</f>
        <v/>
      </c>
      <c r="B2938" s="58" t="str">
        <f aca="false">IF(L2938="","",IF(INDEX(ポート振替表!$W$5:$W$3507,$L2938)="","(なし)",INDEX(ポート振替表!$W$5:$W$3507,$L2938)&amp;""))</f>
        <v/>
      </c>
      <c r="C2938" s="52" t="str">
        <f aca="false">IF(L2938="","",INDEX(ポート振替表!$B$5:$B$3507,$L2938)&amp;" "&amp;INDEX(ポート振替表!$C$5:$C$3507,$L2938)&amp;"  ⇔  "&amp;INDEX(ポート振替表!$H$5:$H$3507,$L2938)&amp;" "&amp;INDEX(ポート振替表!$I$5:$I$3507,$L2938))</f>
        <v/>
      </c>
      <c r="D2938" s="57" t="s">
        <v>158</v>
      </c>
      <c r="E2938" s="59" t="str">
        <f aca="false">IF(L2938="","",IF(INDEX(ポート振替表!$O$5:$O$3507,$L2938)="","(未設定)",INDEX(ポート振替表!$O$5:$O$3507,$L2938)&amp;""))</f>
        <v/>
      </c>
      <c r="F2938" s="52" t="str">
        <f aca="false">IF(L2938="","",INDEX(ポート振替表!$K$5:$K$3507,$L2938)&amp;" "&amp;INDEX(ポート振替表!$L$5:$L$3507,$L2938)&amp;"  ⇔  "&amp;INDEX(ポート振替表!$H$5:$H$3507,$L2938)&amp;" "&amp;INDEX(ポート振替表!$I$5:$I$3507,$L2938))</f>
        <v/>
      </c>
      <c r="G2938" s="57" t="s">
        <v>158</v>
      </c>
      <c r="H2938" s="32" t="str">
        <f aca="false">IF(L2938="","",INDEX(ポート振替表!$N$5:$N$3507,$L2938)&amp;"")</f>
        <v/>
      </c>
      <c r="I2938" s="32" t="str">
        <f aca="false">IF(L2938="","",INDEX(ポート振替表!$P$5:$P$3507,$L2938)&amp;"")</f>
        <v/>
      </c>
      <c r="J2938" s="60" t="str">
        <f aca="false">IF(L2938="","",INDEX(ポート振替表!$M$5:$M$3507,$L2938)&amp;"")</f>
        <v/>
      </c>
      <c r="K2938" s="52" t="str">
        <f aca="false">IF(L2938="","",E2938&amp;CHAR(10)&amp;INDEX(ポート振替表!$K$5:$K$3507,$L2938)&amp;" "&amp;INDEX(ポート振替表!$L$5:$L$3507,$L2938)&amp;CHAR(10)&amp;"⇔ "&amp;INDEX(ポート振替表!$H$5:$H$3507,$L2938)&amp;" "&amp;INDEX(ポート振替表!$I$5:$I$3507,$L2938))</f>
        <v/>
      </c>
      <c r="L2938" s="47" t="str">
        <f aca="false">IFERROR(MATCH(ROW()-4,ポート振替表!$V$5:$V$3507,0),"")</f>
        <v/>
      </c>
    </row>
    <row r="2939" customFormat="false" ht="16.4" hidden="false" customHeight="false" outlineLevel="0" collapsed="false">
      <c r="A2939" s="32" t="str">
        <f aca="false">IF(L2939="","",ROW()-4)</f>
        <v/>
      </c>
      <c r="B2939" s="58" t="str">
        <f aca="false">IF(L2939="","",IF(INDEX(ポート振替表!$W$5:$W$3507,$L2939)="","(なし)",INDEX(ポート振替表!$W$5:$W$3507,$L2939)&amp;""))</f>
        <v/>
      </c>
      <c r="C2939" s="52" t="str">
        <f aca="false">IF(L2939="","",INDEX(ポート振替表!$B$5:$B$3507,$L2939)&amp;" "&amp;INDEX(ポート振替表!$C$5:$C$3507,$L2939)&amp;"  ⇔  "&amp;INDEX(ポート振替表!$H$5:$H$3507,$L2939)&amp;" "&amp;INDEX(ポート振替表!$I$5:$I$3507,$L2939))</f>
        <v/>
      </c>
      <c r="D2939" s="57" t="s">
        <v>158</v>
      </c>
      <c r="E2939" s="59" t="str">
        <f aca="false">IF(L2939="","",IF(INDEX(ポート振替表!$O$5:$O$3507,$L2939)="","(未設定)",INDEX(ポート振替表!$O$5:$O$3507,$L2939)&amp;""))</f>
        <v/>
      </c>
      <c r="F2939" s="52" t="str">
        <f aca="false">IF(L2939="","",INDEX(ポート振替表!$K$5:$K$3507,$L2939)&amp;" "&amp;INDEX(ポート振替表!$L$5:$L$3507,$L2939)&amp;"  ⇔  "&amp;INDEX(ポート振替表!$H$5:$H$3507,$L2939)&amp;" "&amp;INDEX(ポート振替表!$I$5:$I$3507,$L2939))</f>
        <v/>
      </c>
      <c r="G2939" s="57" t="s">
        <v>158</v>
      </c>
      <c r="H2939" s="32" t="str">
        <f aca="false">IF(L2939="","",INDEX(ポート振替表!$N$5:$N$3507,$L2939)&amp;"")</f>
        <v/>
      </c>
      <c r="I2939" s="32" t="str">
        <f aca="false">IF(L2939="","",INDEX(ポート振替表!$P$5:$P$3507,$L2939)&amp;"")</f>
        <v/>
      </c>
      <c r="J2939" s="60" t="str">
        <f aca="false">IF(L2939="","",INDEX(ポート振替表!$M$5:$M$3507,$L2939)&amp;"")</f>
        <v/>
      </c>
      <c r="K2939" s="52" t="str">
        <f aca="false">IF(L2939="","",E2939&amp;CHAR(10)&amp;INDEX(ポート振替表!$K$5:$K$3507,$L2939)&amp;" "&amp;INDEX(ポート振替表!$L$5:$L$3507,$L2939)&amp;CHAR(10)&amp;"⇔ "&amp;INDEX(ポート振替表!$H$5:$H$3507,$L2939)&amp;" "&amp;INDEX(ポート振替表!$I$5:$I$3507,$L2939))</f>
        <v/>
      </c>
      <c r="L2939" s="47" t="str">
        <f aca="false">IFERROR(MATCH(ROW()-4,ポート振替表!$V$5:$V$3507,0),"")</f>
        <v/>
      </c>
    </row>
    <row r="2940" customFormat="false" ht="16.4" hidden="false" customHeight="false" outlineLevel="0" collapsed="false">
      <c r="A2940" s="32" t="str">
        <f aca="false">IF(L2940="","",ROW()-4)</f>
        <v/>
      </c>
      <c r="B2940" s="58" t="str">
        <f aca="false">IF(L2940="","",IF(INDEX(ポート振替表!$W$5:$W$3507,$L2940)="","(なし)",INDEX(ポート振替表!$W$5:$W$3507,$L2940)&amp;""))</f>
        <v/>
      </c>
      <c r="C2940" s="52" t="str">
        <f aca="false">IF(L2940="","",INDEX(ポート振替表!$B$5:$B$3507,$L2940)&amp;" "&amp;INDEX(ポート振替表!$C$5:$C$3507,$L2940)&amp;"  ⇔  "&amp;INDEX(ポート振替表!$H$5:$H$3507,$L2940)&amp;" "&amp;INDEX(ポート振替表!$I$5:$I$3507,$L2940))</f>
        <v/>
      </c>
      <c r="D2940" s="57" t="s">
        <v>158</v>
      </c>
      <c r="E2940" s="59" t="str">
        <f aca="false">IF(L2940="","",IF(INDEX(ポート振替表!$O$5:$O$3507,$L2940)="","(未設定)",INDEX(ポート振替表!$O$5:$O$3507,$L2940)&amp;""))</f>
        <v/>
      </c>
      <c r="F2940" s="52" t="str">
        <f aca="false">IF(L2940="","",INDEX(ポート振替表!$K$5:$K$3507,$L2940)&amp;" "&amp;INDEX(ポート振替表!$L$5:$L$3507,$L2940)&amp;"  ⇔  "&amp;INDEX(ポート振替表!$H$5:$H$3507,$L2940)&amp;" "&amp;INDEX(ポート振替表!$I$5:$I$3507,$L2940))</f>
        <v/>
      </c>
      <c r="G2940" s="57" t="s">
        <v>158</v>
      </c>
      <c r="H2940" s="32" t="str">
        <f aca="false">IF(L2940="","",INDEX(ポート振替表!$N$5:$N$3507,$L2940)&amp;"")</f>
        <v/>
      </c>
      <c r="I2940" s="32" t="str">
        <f aca="false">IF(L2940="","",INDEX(ポート振替表!$P$5:$P$3507,$L2940)&amp;"")</f>
        <v/>
      </c>
      <c r="J2940" s="60" t="str">
        <f aca="false">IF(L2940="","",INDEX(ポート振替表!$M$5:$M$3507,$L2940)&amp;"")</f>
        <v/>
      </c>
      <c r="K2940" s="52" t="str">
        <f aca="false">IF(L2940="","",E2940&amp;CHAR(10)&amp;INDEX(ポート振替表!$K$5:$K$3507,$L2940)&amp;" "&amp;INDEX(ポート振替表!$L$5:$L$3507,$L2940)&amp;CHAR(10)&amp;"⇔ "&amp;INDEX(ポート振替表!$H$5:$H$3507,$L2940)&amp;" "&amp;INDEX(ポート振替表!$I$5:$I$3507,$L2940))</f>
        <v/>
      </c>
      <c r="L2940" s="47" t="str">
        <f aca="false">IFERROR(MATCH(ROW()-4,ポート振替表!$V$5:$V$3507,0),"")</f>
        <v/>
      </c>
    </row>
    <row r="2941" customFormat="false" ht="16.4" hidden="false" customHeight="false" outlineLevel="0" collapsed="false">
      <c r="A2941" s="32" t="str">
        <f aca="false">IF(L2941="","",ROW()-4)</f>
        <v/>
      </c>
      <c r="B2941" s="58" t="str">
        <f aca="false">IF(L2941="","",IF(INDEX(ポート振替表!$W$5:$W$3507,$L2941)="","(なし)",INDEX(ポート振替表!$W$5:$W$3507,$L2941)&amp;""))</f>
        <v/>
      </c>
      <c r="C2941" s="52" t="str">
        <f aca="false">IF(L2941="","",INDEX(ポート振替表!$B$5:$B$3507,$L2941)&amp;" "&amp;INDEX(ポート振替表!$C$5:$C$3507,$L2941)&amp;"  ⇔  "&amp;INDEX(ポート振替表!$H$5:$H$3507,$L2941)&amp;" "&amp;INDEX(ポート振替表!$I$5:$I$3507,$L2941))</f>
        <v/>
      </c>
      <c r="D2941" s="57" t="s">
        <v>158</v>
      </c>
      <c r="E2941" s="59" t="str">
        <f aca="false">IF(L2941="","",IF(INDEX(ポート振替表!$O$5:$O$3507,$L2941)="","(未設定)",INDEX(ポート振替表!$O$5:$O$3507,$L2941)&amp;""))</f>
        <v/>
      </c>
      <c r="F2941" s="52" t="str">
        <f aca="false">IF(L2941="","",INDEX(ポート振替表!$K$5:$K$3507,$L2941)&amp;" "&amp;INDEX(ポート振替表!$L$5:$L$3507,$L2941)&amp;"  ⇔  "&amp;INDEX(ポート振替表!$H$5:$H$3507,$L2941)&amp;" "&amp;INDEX(ポート振替表!$I$5:$I$3507,$L2941))</f>
        <v/>
      </c>
      <c r="G2941" s="57" t="s">
        <v>158</v>
      </c>
      <c r="H2941" s="32" t="str">
        <f aca="false">IF(L2941="","",INDEX(ポート振替表!$N$5:$N$3507,$L2941)&amp;"")</f>
        <v/>
      </c>
      <c r="I2941" s="32" t="str">
        <f aca="false">IF(L2941="","",INDEX(ポート振替表!$P$5:$P$3507,$L2941)&amp;"")</f>
        <v/>
      </c>
      <c r="J2941" s="60" t="str">
        <f aca="false">IF(L2941="","",INDEX(ポート振替表!$M$5:$M$3507,$L2941)&amp;"")</f>
        <v/>
      </c>
      <c r="K2941" s="52" t="str">
        <f aca="false">IF(L2941="","",E2941&amp;CHAR(10)&amp;INDEX(ポート振替表!$K$5:$K$3507,$L2941)&amp;" "&amp;INDEX(ポート振替表!$L$5:$L$3507,$L2941)&amp;CHAR(10)&amp;"⇔ "&amp;INDEX(ポート振替表!$H$5:$H$3507,$L2941)&amp;" "&amp;INDEX(ポート振替表!$I$5:$I$3507,$L2941))</f>
        <v/>
      </c>
      <c r="L2941" s="47" t="str">
        <f aca="false">IFERROR(MATCH(ROW()-4,ポート振替表!$V$5:$V$3507,0),"")</f>
        <v/>
      </c>
    </row>
    <row r="2942" customFormat="false" ht="16.4" hidden="false" customHeight="false" outlineLevel="0" collapsed="false">
      <c r="A2942" s="32" t="str">
        <f aca="false">IF(L2942="","",ROW()-4)</f>
        <v/>
      </c>
      <c r="B2942" s="58" t="str">
        <f aca="false">IF(L2942="","",IF(INDEX(ポート振替表!$W$5:$W$3507,$L2942)="","(なし)",INDEX(ポート振替表!$W$5:$W$3507,$L2942)&amp;""))</f>
        <v/>
      </c>
      <c r="C2942" s="52" t="str">
        <f aca="false">IF(L2942="","",INDEX(ポート振替表!$B$5:$B$3507,$L2942)&amp;" "&amp;INDEX(ポート振替表!$C$5:$C$3507,$L2942)&amp;"  ⇔  "&amp;INDEX(ポート振替表!$H$5:$H$3507,$L2942)&amp;" "&amp;INDEX(ポート振替表!$I$5:$I$3507,$L2942))</f>
        <v/>
      </c>
      <c r="D2942" s="57" t="s">
        <v>158</v>
      </c>
      <c r="E2942" s="59" t="str">
        <f aca="false">IF(L2942="","",IF(INDEX(ポート振替表!$O$5:$O$3507,$L2942)="","(未設定)",INDEX(ポート振替表!$O$5:$O$3507,$L2942)&amp;""))</f>
        <v/>
      </c>
      <c r="F2942" s="52" t="str">
        <f aca="false">IF(L2942="","",INDEX(ポート振替表!$K$5:$K$3507,$L2942)&amp;" "&amp;INDEX(ポート振替表!$L$5:$L$3507,$L2942)&amp;"  ⇔  "&amp;INDEX(ポート振替表!$H$5:$H$3507,$L2942)&amp;" "&amp;INDEX(ポート振替表!$I$5:$I$3507,$L2942))</f>
        <v/>
      </c>
      <c r="G2942" s="57" t="s">
        <v>158</v>
      </c>
      <c r="H2942" s="32" t="str">
        <f aca="false">IF(L2942="","",INDEX(ポート振替表!$N$5:$N$3507,$L2942)&amp;"")</f>
        <v/>
      </c>
      <c r="I2942" s="32" t="str">
        <f aca="false">IF(L2942="","",INDEX(ポート振替表!$P$5:$P$3507,$L2942)&amp;"")</f>
        <v/>
      </c>
      <c r="J2942" s="60" t="str">
        <f aca="false">IF(L2942="","",INDEX(ポート振替表!$M$5:$M$3507,$L2942)&amp;"")</f>
        <v/>
      </c>
      <c r="K2942" s="52" t="str">
        <f aca="false">IF(L2942="","",E2942&amp;CHAR(10)&amp;INDEX(ポート振替表!$K$5:$K$3507,$L2942)&amp;" "&amp;INDEX(ポート振替表!$L$5:$L$3507,$L2942)&amp;CHAR(10)&amp;"⇔ "&amp;INDEX(ポート振替表!$H$5:$H$3507,$L2942)&amp;" "&amp;INDEX(ポート振替表!$I$5:$I$3507,$L2942))</f>
        <v/>
      </c>
      <c r="L2942" s="47" t="str">
        <f aca="false">IFERROR(MATCH(ROW()-4,ポート振替表!$V$5:$V$3507,0),"")</f>
        <v/>
      </c>
    </row>
    <row r="2943" customFormat="false" ht="16.4" hidden="false" customHeight="false" outlineLevel="0" collapsed="false">
      <c r="A2943" s="32" t="str">
        <f aca="false">IF(L2943="","",ROW()-4)</f>
        <v/>
      </c>
      <c r="B2943" s="58" t="str">
        <f aca="false">IF(L2943="","",IF(INDEX(ポート振替表!$W$5:$W$3507,$L2943)="","(なし)",INDEX(ポート振替表!$W$5:$W$3507,$L2943)&amp;""))</f>
        <v/>
      </c>
      <c r="C2943" s="52" t="str">
        <f aca="false">IF(L2943="","",INDEX(ポート振替表!$B$5:$B$3507,$L2943)&amp;" "&amp;INDEX(ポート振替表!$C$5:$C$3507,$L2943)&amp;"  ⇔  "&amp;INDEX(ポート振替表!$H$5:$H$3507,$L2943)&amp;" "&amp;INDEX(ポート振替表!$I$5:$I$3507,$L2943))</f>
        <v/>
      </c>
      <c r="D2943" s="57" t="s">
        <v>158</v>
      </c>
      <c r="E2943" s="59" t="str">
        <f aca="false">IF(L2943="","",IF(INDEX(ポート振替表!$O$5:$O$3507,$L2943)="","(未設定)",INDEX(ポート振替表!$O$5:$O$3507,$L2943)&amp;""))</f>
        <v/>
      </c>
      <c r="F2943" s="52" t="str">
        <f aca="false">IF(L2943="","",INDEX(ポート振替表!$K$5:$K$3507,$L2943)&amp;" "&amp;INDEX(ポート振替表!$L$5:$L$3507,$L2943)&amp;"  ⇔  "&amp;INDEX(ポート振替表!$H$5:$H$3507,$L2943)&amp;" "&amp;INDEX(ポート振替表!$I$5:$I$3507,$L2943))</f>
        <v/>
      </c>
      <c r="G2943" s="57" t="s">
        <v>158</v>
      </c>
      <c r="H2943" s="32" t="str">
        <f aca="false">IF(L2943="","",INDEX(ポート振替表!$N$5:$N$3507,$L2943)&amp;"")</f>
        <v/>
      </c>
      <c r="I2943" s="32" t="str">
        <f aca="false">IF(L2943="","",INDEX(ポート振替表!$P$5:$P$3507,$L2943)&amp;"")</f>
        <v/>
      </c>
      <c r="J2943" s="60" t="str">
        <f aca="false">IF(L2943="","",INDEX(ポート振替表!$M$5:$M$3507,$L2943)&amp;"")</f>
        <v/>
      </c>
      <c r="K2943" s="52" t="str">
        <f aca="false">IF(L2943="","",E2943&amp;CHAR(10)&amp;INDEX(ポート振替表!$K$5:$K$3507,$L2943)&amp;" "&amp;INDEX(ポート振替表!$L$5:$L$3507,$L2943)&amp;CHAR(10)&amp;"⇔ "&amp;INDEX(ポート振替表!$H$5:$H$3507,$L2943)&amp;" "&amp;INDEX(ポート振替表!$I$5:$I$3507,$L2943))</f>
        <v/>
      </c>
      <c r="L2943" s="47" t="str">
        <f aca="false">IFERROR(MATCH(ROW()-4,ポート振替表!$V$5:$V$3507,0),"")</f>
        <v/>
      </c>
    </row>
    <row r="2944" customFormat="false" ht="16.4" hidden="false" customHeight="false" outlineLevel="0" collapsed="false">
      <c r="A2944" s="32" t="str">
        <f aca="false">IF(L2944="","",ROW()-4)</f>
        <v/>
      </c>
      <c r="B2944" s="58" t="str">
        <f aca="false">IF(L2944="","",IF(INDEX(ポート振替表!$W$5:$W$3507,$L2944)="","(なし)",INDEX(ポート振替表!$W$5:$W$3507,$L2944)&amp;""))</f>
        <v/>
      </c>
      <c r="C2944" s="52" t="str">
        <f aca="false">IF(L2944="","",INDEX(ポート振替表!$B$5:$B$3507,$L2944)&amp;" "&amp;INDEX(ポート振替表!$C$5:$C$3507,$L2944)&amp;"  ⇔  "&amp;INDEX(ポート振替表!$H$5:$H$3507,$L2944)&amp;" "&amp;INDEX(ポート振替表!$I$5:$I$3507,$L2944))</f>
        <v/>
      </c>
      <c r="D2944" s="57" t="s">
        <v>158</v>
      </c>
      <c r="E2944" s="59" t="str">
        <f aca="false">IF(L2944="","",IF(INDEX(ポート振替表!$O$5:$O$3507,$L2944)="","(未設定)",INDEX(ポート振替表!$O$5:$O$3507,$L2944)&amp;""))</f>
        <v/>
      </c>
      <c r="F2944" s="52" t="str">
        <f aca="false">IF(L2944="","",INDEX(ポート振替表!$K$5:$K$3507,$L2944)&amp;" "&amp;INDEX(ポート振替表!$L$5:$L$3507,$L2944)&amp;"  ⇔  "&amp;INDEX(ポート振替表!$H$5:$H$3507,$L2944)&amp;" "&amp;INDEX(ポート振替表!$I$5:$I$3507,$L2944))</f>
        <v/>
      </c>
      <c r="G2944" s="57" t="s">
        <v>158</v>
      </c>
      <c r="H2944" s="32" t="str">
        <f aca="false">IF(L2944="","",INDEX(ポート振替表!$N$5:$N$3507,$L2944)&amp;"")</f>
        <v/>
      </c>
      <c r="I2944" s="32" t="str">
        <f aca="false">IF(L2944="","",INDEX(ポート振替表!$P$5:$P$3507,$L2944)&amp;"")</f>
        <v/>
      </c>
      <c r="J2944" s="60" t="str">
        <f aca="false">IF(L2944="","",INDEX(ポート振替表!$M$5:$M$3507,$L2944)&amp;"")</f>
        <v/>
      </c>
      <c r="K2944" s="52" t="str">
        <f aca="false">IF(L2944="","",E2944&amp;CHAR(10)&amp;INDEX(ポート振替表!$K$5:$K$3507,$L2944)&amp;" "&amp;INDEX(ポート振替表!$L$5:$L$3507,$L2944)&amp;CHAR(10)&amp;"⇔ "&amp;INDEX(ポート振替表!$H$5:$H$3507,$L2944)&amp;" "&amp;INDEX(ポート振替表!$I$5:$I$3507,$L2944))</f>
        <v/>
      </c>
      <c r="L2944" s="47" t="str">
        <f aca="false">IFERROR(MATCH(ROW()-4,ポート振替表!$V$5:$V$3507,0),"")</f>
        <v/>
      </c>
    </row>
    <row r="2945" customFormat="false" ht="16.4" hidden="false" customHeight="false" outlineLevel="0" collapsed="false">
      <c r="A2945" s="32" t="str">
        <f aca="false">IF(L2945="","",ROW()-4)</f>
        <v/>
      </c>
      <c r="B2945" s="58" t="str">
        <f aca="false">IF(L2945="","",IF(INDEX(ポート振替表!$W$5:$W$3507,$L2945)="","(なし)",INDEX(ポート振替表!$W$5:$W$3507,$L2945)&amp;""))</f>
        <v/>
      </c>
      <c r="C2945" s="52" t="str">
        <f aca="false">IF(L2945="","",INDEX(ポート振替表!$B$5:$B$3507,$L2945)&amp;" "&amp;INDEX(ポート振替表!$C$5:$C$3507,$L2945)&amp;"  ⇔  "&amp;INDEX(ポート振替表!$H$5:$H$3507,$L2945)&amp;" "&amp;INDEX(ポート振替表!$I$5:$I$3507,$L2945))</f>
        <v/>
      </c>
      <c r="D2945" s="57" t="s">
        <v>158</v>
      </c>
      <c r="E2945" s="59" t="str">
        <f aca="false">IF(L2945="","",IF(INDEX(ポート振替表!$O$5:$O$3507,$L2945)="","(未設定)",INDEX(ポート振替表!$O$5:$O$3507,$L2945)&amp;""))</f>
        <v/>
      </c>
      <c r="F2945" s="52" t="str">
        <f aca="false">IF(L2945="","",INDEX(ポート振替表!$K$5:$K$3507,$L2945)&amp;" "&amp;INDEX(ポート振替表!$L$5:$L$3507,$L2945)&amp;"  ⇔  "&amp;INDEX(ポート振替表!$H$5:$H$3507,$L2945)&amp;" "&amp;INDEX(ポート振替表!$I$5:$I$3507,$L2945))</f>
        <v/>
      </c>
      <c r="G2945" s="57" t="s">
        <v>158</v>
      </c>
      <c r="H2945" s="32" t="str">
        <f aca="false">IF(L2945="","",INDEX(ポート振替表!$N$5:$N$3507,$L2945)&amp;"")</f>
        <v/>
      </c>
      <c r="I2945" s="32" t="str">
        <f aca="false">IF(L2945="","",INDEX(ポート振替表!$P$5:$P$3507,$L2945)&amp;"")</f>
        <v/>
      </c>
      <c r="J2945" s="60" t="str">
        <f aca="false">IF(L2945="","",INDEX(ポート振替表!$M$5:$M$3507,$L2945)&amp;"")</f>
        <v/>
      </c>
      <c r="K2945" s="52" t="str">
        <f aca="false">IF(L2945="","",E2945&amp;CHAR(10)&amp;INDEX(ポート振替表!$K$5:$K$3507,$L2945)&amp;" "&amp;INDEX(ポート振替表!$L$5:$L$3507,$L2945)&amp;CHAR(10)&amp;"⇔ "&amp;INDEX(ポート振替表!$H$5:$H$3507,$L2945)&amp;" "&amp;INDEX(ポート振替表!$I$5:$I$3507,$L2945))</f>
        <v/>
      </c>
      <c r="L2945" s="47" t="str">
        <f aca="false">IFERROR(MATCH(ROW()-4,ポート振替表!$V$5:$V$3507,0),"")</f>
        <v/>
      </c>
    </row>
    <row r="2946" customFormat="false" ht="16.4" hidden="false" customHeight="false" outlineLevel="0" collapsed="false">
      <c r="A2946" s="32" t="str">
        <f aca="false">IF(L2946="","",ROW()-4)</f>
        <v/>
      </c>
      <c r="B2946" s="58" t="str">
        <f aca="false">IF(L2946="","",IF(INDEX(ポート振替表!$W$5:$W$3507,$L2946)="","(なし)",INDEX(ポート振替表!$W$5:$W$3507,$L2946)&amp;""))</f>
        <v/>
      </c>
      <c r="C2946" s="52" t="str">
        <f aca="false">IF(L2946="","",INDEX(ポート振替表!$B$5:$B$3507,$L2946)&amp;" "&amp;INDEX(ポート振替表!$C$5:$C$3507,$L2946)&amp;"  ⇔  "&amp;INDEX(ポート振替表!$H$5:$H$3507,$L2946)&amp;" "&amp;INDEX(ポート振替表!$I$5:$I$3507,$L2946))</f>
        <v/>
      </c>
      <c r="D2946" s="57" t="s">
        <v>158</v>
      </c>
      <c r="E2946" s="59" t="str">
        <f aca="false">IF(L2946="","",IF(INDEX(ポート振替表!$O$5:$O$3507,$L2946)="","(未設定)",INDEX(ポート振替表!$O$5:$O$3507,$L2946)&amp;""))</f>
        <v/>
      </c>
      <c r="F2946" s="52" t="str">
        <f aca="false">IF(L2946="","",INDEX(ポート振替表!$K$5:$K$3507,$L2946)&amp;" "&amp;INDEX(ポート振替表!$L$5:$L$3507,$L2946)&amp;"  ⇔  "&amp;INDEX(ポート振替表!$H$5:$H$3507,$L2946)&amp;" "&amp;INDEX(ポート振替表!$I$5:$I$3507,$L2946))</f>
        <v/>
      </c>
      <c r="G2946" s="57" t="s">
        <v>158</v>
      </c>
      <c r="H2946" s="32" t="str">
        <f aca="false">IF(L2946="","",INDEX(ポート振替表!$N$5:$N$3507,$L2946)&amp;"")</f>
        <v/>
      </c>
      <c r="I2946" s="32" t="str">
        <f aca="false">IF(L2946="","",INDEX(ポート振替表!$P$5:$P$3507,$L2946)&amp;"")</f>
        <v/>
      </c>
      <c r="J2946" s="60" t="str">
        <f aca="false">IF(L2946="","",INDEX(ポート振替表!$M$5:$M$3507,$L2946)&amp;"")</f>
        <v/>
      </c>
      <c r="K2946" s="52" t="str">
        <f aca="false">IF(L2946="","",E2946&amp;CHAR(10)&amp;INDEX(ポート振替表!$K$5:$K$3507,$L2946)&amp;" "&amp;INDEX(ポート振替表!$L$5:$L$3507,$L2946)&amp;CHAR(10)&amp;"⇔ "&amp;INDEX(ポート振替表!$H$5:$H$3507,$L2946)&amp;" "&amp;INDEX(ポート振替表!$I$5:$I$3507,$L2946))</f>
        <v/>
      </c>
      <c r="L2946" s="47" t="str">
        <f aca="false">IFERROR(MATCH(ROW()-4,ポート振替表!$V$5:$V$3507,0),"")</f>
        <v/>
      </c>
    </row>
    <row r="2947" customFormat="false" ht="16.4" hidden="false" customHeight="false" outlineLevel="0" collapsed="false">
      <c r="A2947" s="32" t="str">
        <f aca="false">IF(L2947="","",ROW()-4)</f>
        <v/>
      </c>
      <c r="B2947" s="58" t="str">
        <f aca="false">IF(L2947="","",IF(INDEX(ポート振替表!$W$5:$W$3507,$L2947)="","(なし)",INDEX(ポート振替表!$W$5:$W$3507,$L2947)&amp;""))</f>
        <v/>
      </c>
      <c r="C2947" s="52" t="str">
        <f aca="false">IF(L2947="","",INDEX(ポート振替表!$B$5:$B$3507,$L2947)&amp;" "&amp;INDEX(ポート振替表!$C$5:$C$3507,$L2947)&amp;"  ⇔  "&amp;INDEX(ポート振替表!$H$5:$H$3507,$L2947)&amp;" "&amp;INDEX(ポート振替表!$I$5:$I$3507,$L2947))</f>
        <v/>
      </c>
      <c r="D2947" s="57" t="s">
        <v>158</v>
      </c>
      <c r="E2947" s="59" t="str">
        <f aca="false">IF(L2947="","",IF(INDEX(ポート振替表!$O$5:$O$3507,$L2947)="","(未設定)",INDEX(ポート振替表!$O$5:$O$3507,$L2947)&amp;""))</f>
        <v/>
      </c>
      <c r="F2947" s="52" t="str">
        <f aca="false">IF(L2947="","",INDEX(ポート振替表!$K$5:$K$3507,$L2947)&amp;" "&amp;INDEX(ポート振替表!$L$5:$L$3507,$L2947)&amp;"  ⇔  "&amp;INDEX(ポート振替表!$H$5:$H$3507,$L2947)&amp;" "&amp;INDEX(ポート振替表!$I$5:$I$3507,$L2947))</f>
        <v/>
      </c>
      <c r="G2947" s="57" t="s">
        <v>158</v>
      </c>
      <c r="H2947" s="32" t="str">
        <f aca="false">IF(L2947="","",INDEX(ポート振替表!$N$5:$N$3507,$L2947)&amp;"")</f>
        <v/>
      </c>
      <c r="I2947" s="32" t="str">
        <f aca="false">IF(L2947="","",INDEX(ポート振替表!$P$5:$P$3507,$L2947)&amp;"")</f>
        <v/>
      </c>
      <c r="J2947" s="60" t="str">
        <f aca="false">IF(L2947="","",INDEX(ポート振替表!$M$5:$M$3507,$L2947)&amp;"")</f>
        <v/>
      </c>
      <c r="K2947" s="52" t="str">
        <f aca="false">IF(L2947="","",E2947&amp;CHAR(10)&amp;INDEX(ポート振替表!$K$5:$K$3507,$L2947)&amp;" "&amp;INDEX(ポート振替表!$L$5:$L$3507,$L2947)&amp;CHAR(10)&amp;"⇔ "&amp;INDEX(ポート振替表!$H$5:$H$3507,$L2947)&amp;" "&amp;INDEX(ポート振替表!$I$5:$I$3507,$L2947))</f>
        <v/>
      </c>
      <c r="L2947" s="47" t="str">
        <f aca="false">IFERROR(MATCH(ROW()-4,ポート振替表!$V$5:$V$3507,0),"")</f>
        <v/>
      </c>
    </row>
    <row r="2948" customFormat="false" ht="16.4" hidden="false" customHeight="false" outlineLevel="0" collapsed="false">
      <c r="A2948" s="32" t="str">
        <f aca="false">IF(L2948="","",ROW()-4)</f>
        <v/>
      </c>
      <c r="B2948" s="58" t="str">
        <f aca="false">IF(L2948="","",IF(INDEX(ポート振替表!$W$5:$W$3507,$L2948)="","(なし)",INDEX(ポート振替表!$W$5:$W$3507,$L2948)&amp;""))</f>
        <v/>
      </c>
      <c r="C2948" s="52" t="str">
        <f aca="false">IF(L2948="","",INDEX(ポート振替表!$B$5:$B$3507,$L2948)&amp;" "&amp;INDEX(ポート振替表!$C$5:$C$3507,$L2948)&amp;"  ⇔  "&amp;INDEX(ポート振替表!$H$5:$H$3507,$L2948)&amp;" "&amp;INDEX(ポート振替表!$I$5:$I$3507,$L2948))</f>
        <v/>
      </c>
      <c r="D2948" s="57" t="s">
        <v>158</v>
      </c>
      <c r="E2948" s="59" t="str">
        <f aca="false">IF(L2948="","",IF(INDEX(ポート振替表!$O$5:$O$3507,$L2948)="","(未設定)",INDEX(ポート振替表!$O$5:$O$3507,$L2948)&amp;""))</f>
        <v/>
      </c>
      <c r="F2948" s="52" t="str">
        <f aca="false">IF(L2948="","",INDEX(ポート振替表!$K$5:$K$3507,$L2948)&amp;" "&amp;INDEX(ポート振替表!$L$5:$L$3507,$L2948)&amp;"  ⇔  "&amp;INDEX(ポート振替表!$H$5:$H$3507,$L2948)&amp;" "&amp;INDEX(ポート振替表!$I$5:$I$3507,$L2948))</f>
        <v/>
      </c>
      <c r="G2948" s="57" t="s">
        <v>158</v>
      </c>
      <c r="H2948" s="32" t="str">
        <f aca="false">IF(L2948="","",INDEX(ポート振替表!$N$5:$N$3507,$L2948)&amp;"")</f>
        <v/>
      </c>
      <c r="I2948" s="32" t="str">
        <f aca="false">IF(L2948="","",INDEX(ポート振替表!$P$5:$P$3507,$L2948)&amp;"")</f>
        <v/>
      </c>
      <c r="J2948" s="60" t="str">
        <f aca="false">IF(L2948="","",INDEX(ポート振替表!$M$5:$M$3507,$L2948)&amp;"")</f>
        <v/>
      </c>
      <c r="K2948" s="52" t="str">
        <f aca="false">IF(L2948="","",E2948&amp;CHAR(10)&amp;INDEX(ポート振替表!$K$5:$K$3507,$L2948)&amp;" "&amp;INDEX(ポート振替表!$L$5:$L$3507,$L2948)&amp;CHAR(10)&amp;"⇔ "&amp;INDEX(ポート振替表!$H$5:$H$3507,$L2948)&amp;" "&amp;INDEX(ポート振替表!$I$5:$I$3507,$L2948))</f>
        <v/>
      </c>
      <c r="L2948" s="47" t="str">
        <f aca="false">IFERROR(MATCH(ROW()-4,ポート振替表!$V$5:$V$3507,0),"")</f>
        <v/>
      </c>
    </row>
    <row r="2949" customFormat="false" ht="16.4" hidden="false" customHeight="false" outlineLevel="0" collapsed="false">
      <c r="A2949" s="32" t="str">
        <f aca="false">IF(L2949="","",ROW()-4)</f>
        <v/>
      </c>
      <c r="B2949" s="58" t="str">
        <f aca="false">IF(L2949="","",IF(INDEX(ポート振替表!$W$5:$W$3507,$L2949)="","(なし)",INDEX(ポート振替表!$W$5:$W$3507,$L2949)&amp;""))</f>
        <v/>
      </c>
      <c r="C2949" s="52" t="str">
        <f aca="false">IF(L2949="","",INDEX(ポート振替表!$B$5:$B$3507,$L2949)&amp;" "&amp;INDEX(ポート振替表!$C$5:$C$3507,$L2949)&amp;"  ⇔  "&amp;INDEX(ポート振替表!$H$5:$H$3507,$L2949)&amp;" "&amp;INDEX(ポート振替表!$I$5:$I$3507,$L2949))</f>
        <v/>
      </c>
      <c r="D2949" s="57" t="s">
        <v>158</v>
      </c>
      <c r="E2949" s="59" t="str">
        <f aca="false">IF(L2949="","",IF(INDEX(ポート振替表!$O$5:$O$3507,$L2949)="","(未設定)",INDEX(ポート振替表!$O$5:$O$3507,$L2949)&amp;""))</f>
        <v/>
      </c>
      <c r="F2949" s="52" t="str">
        <f aca="false">IF(L2949="","",INDEX(ポート振替表!$K$5:$K$3507,$L2949)&amp;" "&amp;INDEX(ポート振替表!$L$5:$L$3507,$L2949)&amp;"  ⇔  "&amp;INDEX(ポート振替表!$H$5:$H$3507,$L2949)&amp;" "&amp;INDEX(ポート振替表!$I$5:$I$3507,$L2949))</f>
        <v/>
      </c>
      <c r="G2949" s="57" t="s">
        <v>158</v>
      </c>
      <c r="H2949" s="32" t="str">
        <f aca="false">IF(L2949="","",INDEX(ポート振替表!$N$5:$N$3507,$L2949)&amp;"")</f>
        <v/>
      </c>
      <c r="I2949" s="32" t="str">
        <f aca="false">IF(L2949="","",INDEX(ポート振替表!$P$5:$P$3507,$L2949)&amp;"")</f>
        <v/>
      </c>
      <c r="J2949" s="60" t="str">
        <f aca="false">IF(L2949="","",INDEX(ポート振替表!$M$5:$M$3507,$L2949)&amp;"")</f>
        <v/>
      </c>
      <c r="K2949" s="52" t="str">
        <f aca="false">IF(L2949="","",E2949&amp;CHAR(10)&amp;INDEX(ポート振替表!$K$5:$K$3507,$L2949)&amp;" "&amp;INDEX(ポート振替表!$L$5:$L$3507,$L2949)&amp;CHAR(10)&amp;"⇔ "&amp;INDEX(ポート振替表!$H$5:$H$3507,$L2949)&amp;" "&amp;INDEX(ポート振替表!$I$5:$I$3507,$L2949))</f>
        <v/>
      </c>
      <c r="L2949" s="47" t="str">
        <f aca="false">IFERROR(MATCH(ROW()-4,ポート振替表!$V$5:$V$3507,0),"")</f>
        <v/>
      </c>
    </row>
    <row r="2950" customFormat="false" ht="16.4" hidden="false" customHeight="false" outlineLevel="0" collapsed="false">
      <c r="A2950" s="32" t="str">
        <f aca="false">IF(L2950="","",ROW()-4)</f>
        <v/>
      </c>
      <c r="B2950" s="58" t="str">
        <f aca="false">IF(L2950="","",IF(INDEX(ポート振替表!$W$5:$W$3507,$L2950)="","(なし)",INDEX(ポート振替表!$W$5:$W$3507,$L2950)&amp;""))</f>
        <v/>
      </c>
      <c r="C2950" s="52" t="str">
        <f aca="false">IF(L2950="","",INDEX(ポート振替表!$B$5:$B$3507,$L2950)&amp;" "&amp;INDEX(ポート振替表!$C$5:$C$3507,$L2950)&amp;"  ⇔  "&amp;INDEX(ポート振替表!$H$5:$H$3507,$L2950)&amp;" "&amp;INDEX(ポート振替表!$I$5:$I$3507,$L2950))</f>
        <v/>
      </c>
      <c r="D2950" s="57" t="s">
        <v>158</v>
      </c>
      <c r="E2950" s="59" t="str">
        <f aca="false">IF(L2950="","",IF(INDEX(ポート振替表!$O$5:$O$3507,$L2950)="","(未設定)",INDEX(ポート振替表!$O$5:$O$3507,$L2950)&amp;""))</f>
        <v/>
      </c>
      <c r="F2950" s="52" t="str">
        <f aca="false">IF(L2950="","",INDEX(ポート振替表!$K$5:$K$3507,$L2950)&amp;" "&amp;INDEX(ポート振替表!$L$5:$L$3507,$L2950)&amp;"  ⇔  "&amp;INDEX(ポート振替表!$H$5:$H$3507,$L2950)&amp;" "&amp;INDEX(ポート振替表!$I$5:$I$3507,$L2950))</f>
        <v/>
      </c>
      <c r="G2950" s="57" t="s">
        <v>158</v>
      </c>
      <c r="H2950" s="32" t="str">
        <f aca="false">IF(L2950="","",INDEX(ポート振替表!$N$5:$N$3507,$L2950)&amp;"")</f>
        <v/>
      </c>
      <c r="I2950" s="32" t="str">
        <f aca="false">IF(L2950="","",INDEX(ポート振替表!$P$5:$P$3507,$L2950)&amp;"")</f>
        <v/>
      </c>
      <c r="J2950" s="60" t="str">
        <f aca="false">IF(L2950="","",INDEX(ポート振替表!$M$5:$M$3507,$L2950)&amp;"")</f>
        <v/>
      </c>
      <c r="K2950" s="52" t="str">
        <f aca="false">IF(L2950="","",E2950&amp;CHAR(10)&amp;INDEX(ポート振替表!$K$5:$K$3507,$L2950)&amp;" "&amp;INDEX(ポート振替表!$L$5:$L$3507,$L2950)&amp;CHAR(10)&amp;"⇔ "&amp;INDEX(ポート振替表!$H$5:$H$3507,$L2950)&amp;" "&amp;INDEX(ポート振替表!$I$5:$I$3507,$L2950))</f>
        <v/>
      </c>
      <c r="L2950" s="47" t="str">
        <f aca="false">IFERROR(MATCH(ROW()-4,ポート振替表!$V$5:$V$3507,0),"")</f>
        <v/>
      </c>
    </row>
    <row r="2951" customFormat="false" ht="16.4" hidden="false" customHeight="false" outlineLevel="0" collapsed="false">
      <c r="A2951" s="32" t="str">
        <f aca="false">IF(L2951="","",ROW()-4)</f>
        <v/>
      </c>
      <c r="B2951" s="58" t="str">
        <f aca="false">IF(L2951="","",IF(INDEX(ポート振替表!$W$5:$W$3507,$L2951)="","(なし)",INDEX(ポート振替表!$W$5:$W$3507,$L2951)&amp;""))</f>
        <v/>
      </c>
      <c r="C2951" s="52" t="str">
        <f aca="false">IF(L2951="","",INDEX(ポート振替表!$B$5:$B$3507,$L2951)&amp;" "&amp;INDEX(ポート振替表!$C$5:$C$3507,$L2951)&amp;"  ⇔  "&amp;INDEX(ポート振替表!$H$5:$H$3507,$L2951)&amp;" "&amp;INDEX(ポート振替表!$I$5:$I$3507,$L2951))</f>
        <v/>
      </c>
      <c r="D2951" s="57" t="s">
        <v>158</v>
      </c>
      <c r="E2951" s="59" t="str">
        <f aca="false">IF(L2951="","",IF(INDEX(ポート振替表!$O$5:$O$3507,$L2951)="","(未設定)",INDEX(ポート振替表!$O$5:$O$3507,$L2951)&amp;""))</f>
        <v/>
      </c>
      <c r="F2951" s="52" t="str">
        <f aca="false">IF(L2951="","",INDEX(ポート振替表!$K$5:$K$3507,$L2951)&amp;" "&amp;INDEX(ポート振替表!$L$5:$L$3507,$L2951)&amp;"  ⇔  "&amp;INDEX(ポート振替表!$H$5:$H$3507,$L2951)&amp;" "&amp;INDEX(ポート振替表!$I$5:$I$3507,$L2951))</f>
        <v/>
      </c>
      <c r="G2951" s="57" t="s">
        <v>158</v>
      </c>
      <c r="H2951" s="32" t="str">
        <f aca="false">IF(L2951="","",INDEX(ポート振替表!$N$5:$N$3507,$L2951)&amp;"")</f>
        <v/>
      </c>
      <c r="I2951" s="32" t="str">
        <f aca="false">IF(L2951="","",INDEX(ポート振替表!$P$5:$P$3507,$L2951)&amp;"")</f>
        <v/>
      </c>
      <c r="J2951" s="60" t="str">
        <f aca="false">IF(L2951="","",INDEX(ポート振替表!$M$5:$M$3507,$L2951)&amp;"")</f>
        <v/>
      </c>
      <c r="K2951" s="52" t="str">
        <f aca="false">IF(L2951="","",E2951&amp;CHAR(10)&amp;INDEX(ポート振替表!$K$5:$K$3507,$L2951)&amp;" "&amp;INDEX(ポート振替表!$L$5:$L$3507,$L2951)&amp;CHAR(10)&amp;"⇔ "&amp;INDEX(ポート振替表!$H$5:$H$3507,$L2951)&amp;" "&amp;INDEX(ポート振替表!$I$5:$I$3507,$L2951))</f>
        <v/>
      </c>
      <c r="L2951" s="47" t="str">
        <f aca="false">IFERROR(MATCH(ROW()-4,ポート振替表!$V$5:$V$3507,0),"")</f>
        <v/>
      </c>
    </row>
    <row r="2952" customFormat="false" ht="16.4" hidden="false" customHeight="false" outlineLevel="0" collapsed="false">
      <c r="A2952" s="32" t="str">
        <f aca="false">IF(L2952="","",ROW()-4)</f>
        <v/>
      </c>
      <c r="B2952" s="58" t="str">
        <f aca="false">IF(L2952="","",IF(INDEX(ポート振替表!$W$5:$W$3507,$L2952)="","(なし)",INDEX(ポート振替表!$W$5:$W$3507,$L2952)&amp;""))</f>
        <v/>
      </c>
      <c r="C2952" s="52" t="str">
        <f aca="false">IF(L2952="","",INDEX(ポート振替表!$B$5:$B$3507,$L2952)&amp;" "&amp;INDEX(ポート振替表!$C$5:$C$3507,$L2952)&amp;"  ⇔  "&amp;INDEX(ポート振替表!$H$5:$H$3507,$L2952)&amp;" "&amp;INDEX(ポート振替表!$I$5:$I$3507,$L2952))</f>
        <v/>
      </c>
      <c r="D2952" s="57" t="s">
        <v>158</v>
      </c>
      <c r="E2952" s="59" t="str">
        <f aca="false">IF(L2952="","",IF(INDEX(ポート振替表!$O$5:$O$3507,$L2952)="","(未設定)",INDEX(ポート振替表!$O$5:$O$3507,$L2952)&amp;""))</f>
        <v/>
      </c>
      <c r="F2952" s="52" t="str">
        <f aca="false">IF(L2952="","",INDEX(ポート振替表!$K$5:$K$3507,$L2952)&amp;" "&amp;INDEX(ポート振替表!$L$5:$L$3507,$L2952)&amp;"  ⇔  "&amp;INDEX(ポート振替表!$H$5:$H$3507,$L2952)&amp;" "&amp;INDEX(ポート振替表!$I$5:$I$3507,$L2952))</f>
        <v/>
      </c>
      <c r="G2952" s="57" t="s">
        <v>158</v>
      </c>
      <c r="H2952" s="32" t="str">
        <f aca="false">IF(L2952="","",INDEX(ポート振替表!$N$5:$N$3507,$L2952)&amp;"")</f>
        <v/>
      </c>
      <c r="I2952" s="32" t="str">
        <f aca="false">IF(L2952="","",INDEX(ポート振替表!$P$5:$P$3507,$L2952)&amp;"")</f>
        <v/>
      </c>
      <c r="J2952" s="60" t="str">
        <f aca="false">IF(L2952="","",INDEX(ポート振替表!$M$5:$M$3507,$L2952)&amp;"")</f>
        <v/>
      </c>
      <c r="K2952" s="52" t="str">
        <f aca="false">IF(L2952="","",E2952&amp;CHAR(10)&amp;INDEX(ポート振替表!$K$5:$K$3507,$L2952)&amp;" "&amp;INDEX(ポート振替表!$L$5:$L$3507,$L2952)&amp;CHAR(10)&amp;"⇔ "&amp;INDEX(ポート振替表!$H$5:$H$3507,$L2952)&amp;" "&amp;INDEX(ポート振替表!$I$5:$I$3507,$L2952))</f>
        <v/>
      </c>
      <c r="L2952" s="47" t="str">
        <f aca="false">IFERROR(MATCH(ROW()-4,ポート振替表!$V$5:$V$3507,0),"")</f>
        <v/>
      </c>
    </row>
    <row r="2953" customFormat="false" ht="16.4" hidden="false" customHeight="false" outlineLevel="0" collapsed="false">
      <c r="A2953" s="32" t="str">
        <f aca="false">IF(L2953="","",ROW()-4)</f>
        <v/>
      </c>
      <c r="B2953" s="58" t="str">
        <f aca="false">IF(L2953="","",IF(INDEX(ポート振替表!$W$5:$W$3507,$L2953)="","(なし)",INDEX(ポート振替表!$W$5:$W$3507,$L2953)&amp;""))</f>
        <v/>
      </c>
      <c r="C2953" s="52" t="str">
        <f aca="false">IF(L2953="","",INDEX(ポート振替表!$B$5:$B$3507,$L2953)&amp;" "&amp;INDEX(ポート振替表!$C$5:$C$3507,$L2953)&amp;"  ⇔  "&amp;INDEX(ポート振替表!$H$5:$H$3507,$L2953)&amp;" "&amp;INDEX(ポート振替表!$I$5:$I$3507,$L2953))</f>
        <v/>
      </c>
      <c r="D2953" s="57" t="s">
        <v>158</v>
      </c>
      <c r="E2953" s="59" t="str">
        <f aca="false">IF(L2953="","",IF(INDEX(ポート振替表!$O$5:$O$3507,$L2953)="","(未設定)",INDEX(ポート振替表!$O$5:$O$3507,$L2953)&amp;""))</f>
        <v/>
      </c>
      <c r="F2953" s="52" t="str">
        <f aca="false">IF(L2953="","",INDEX(ポート振替表!$K$5:$K$3507,$L2953)&amp;" "&amp;INDEX(ポート振替表!$L$5:$L$3507,$L2953)&amp;"  ⇔  "&amp;INDEX(ポート振替表!$H$5:$H$3507,$L2953)&amp;" "&amp;INDEX(ポート振替表!$I$5:$I$3507,$L2953))</f>
        <v/>
      </c>
      <c r="G2953" s="57" t="s">
        <v>158</v>
      </c>
      <c r="H2953" s="32" t="str">
        <f aca="false">IF(L2953="","",INDEX(ポート振替表!$N$5:$N$3507,$L2953)&amp;"")</f>
        <v/>
      </c>
      <c r="I2953" s="32" t="str">
        <f aca="false">IF(L2953="","",INDEX(ポート振替表!$P$5:$P$3507,$L2953)&amp;"")</f>
        <v/>
      </c>
      <c r="J2953" s="60" t="str">
        <f aca="false">IF(L2953="","",INDEX(ポート振替表!$M$5:$M$3507,$L2953)&amp;"")</f>
        <v/>
      </c>
      <c r="K2953" s="52" t="str">
        <f aca="false">IF(L2953="","",E2953&amp;CHAR(10)&amp;INDEX(ポート振替表!$K$5:$K$3507,$L2953)&amp;" "&amp;INDEX(ポート振替表!$L$5:$L$3507,$L2953)&amp;CHAR(10)&amp;"⇔ "&amp;INDEX(ポート振替表!$H$5:$H$3507,$L2953)&amp;" "&amp;INDEX(ポート振替表!$I$5:$I$3507,$L2953))</f>
        <v/>
      </c>
      <c r="L2953" s="47" t="str">
        <f aca="false">IFERROR(MATCH(ROW()-4,ポート振替表!$V$5:$V$3507,0),"")</f>
        <v/>
      </c>
    </row>
    <row r="2954" customFormat="false" ht="16.4" hidden="false" customHeight="false" outlineLevel="0" collapsed="false">
      <c r="A2954" s="32" t="str">
        <f aca="false">IF(L2954="","",ROW()-4)</f>
        <v/>
      </c>
      <c r="B2954" s="58" t="str">
        <f aca="false">IF(L2954="","",IF(INDEX(ポート振替表!$W$5:$W$3507,$L2954)="","(なし)",INDEX(ポート振替表!$W$5:$W$3507,$L2954)&amp;""))</f>
        <v/>
      </c>
      <c r="C2954" s="52" t="str">
        <f aca="false">IF(L2954="","",INDEX(ポート振替表!$B$5:$B$3507,$L2954)&amp;" "&amp;INDEX(ポート振替表!$C$5:$C$3507,$L2954)&amp;"  ⇔  "&amp;INDEX(ポート振替表!$H$5:$H$3507,$L2954)&amp;" "&amp;INDEX(ポート振替表!$I$5:$I$3507,$L2954))</f>
        <v/>
      </c>
      <c r="D2954" s="57" t="s">
        <v>158</v>
      </c>
      <c r="E2954" s="59" t="str">
        <f aca="false">IF(L2954="","",IF(INDEX(ポート振替表!$O$5:$O$3507,$L2954)="","(未設定)",INDEX(ポート振替表!$O$5:$O$3507,$L2954)&amp;""))</f>
        <v/>
      </c>
      <c r="F2954" s="52" t="str">
        <f aca="false">IF(L2954="","",INDEX(ポート振替表!$K$5:$K$3507,$L2954)&amp;" "&amp;INDEX(ポート振替表!$L$5:$L$3507,$L2954)&amp;"  ⇔  "&amp;INDEX(ポート振替表!$H$5:$H$3507,$L2954)&amp;" "&amp;INDEX(ポート振替表!$I$5:$I$3507,$L2954))</f>
        <v/>
      </c>
      <c r="G2954" s="57" t="s">
        <v>158</v>
      </c>
      <c r="H2954" s="32" t="str">
        <f aca="false">IF(L2954="","",INDEX(ポート振替表!$N$5:$N$3507,$L2954)&amp;"")</f>
        <v/>
      </c>
      <c r="I2954" s="32" t="str">
        <f aca="false">IF(L2954="","",INDEX(ポート振替表!$P$5:$P$3507,$L2954)&amp;"")</f>
        <v/>
      </c>
      <c r="J2954" s="60" t="str">
        <f aca="false">IF(L2954="","",INDEX(ポート振替表!$M$5:$M$3507,$L2954)&amp;"")</f>
        <v/>
      </c>
      <c r="K2954" s="52" t="str">
        <f aca="false">IF(L2954="","",E2954&amp;CHAR(10)&amp;INDEX(ポート振替表!$K$5:$K$3507,$L2954)&amp;" "&amp;INDEX(ポート振替表!$L$5:$L$3507,$L2954)&amp;CHAR(10)&amp;"⇔ "&amp;INDEX(ポート振替表!$H$5:$H$3507,$L2954)&amp;" "&amp;INDEX(ポート振替表!$I$5:$I$3507,$L2954))</f>
        <v/>
      </c>
      <c r="L2954" s="47" t="str">
        <f aca="false">IFERROR(MATCH(ROW()-4,ポート振替表!$V$5:$V$3507,0),"")</f>
        <v/>
      </c>
    </row>
    <row r="2955" customFormat="false" ht="16.4" hidden="false" customHeight="false" outlineLevel="0" collapsed="false">
      <c r="A2955" s="32" t="str">
        <f aca="false">IF(L2955="","",ROW()-4)</f>
        <v/>
      </c>
      <c r="B2955" s="58" t="str">
        <f aca="false">IF(L2955="","",IF(INDEX(ポート振替表!$W$5:$W$3507,$L2955)="","(なし)",INDEX(ポート振替表!$W$5:$W$3507,$L2955)&amp;""))</f>
        <v/>
      </c>
      <c r="C2955" s="52" t="str">
        <f aca="false">IF(L2955="","",INDEX(ポート振替表!$B$5:$B$3507,$L2955)&amp;" "&amp;INDEX(ポート振替表!$C$5:$C$3507,$L2955)&amp;"  ⇔  "&amp;INDEX(ポート振替表!$H$5:$H$3507,$L2955)&amp;" "&amp;INDEX(ポート振替表!$I$5:$I$3507,$L2955))</f>
        <v/>
      </c>
      <c r="D2955" s="57" t="s">
        <v>158</v>
      </c>
      <c r="E2955" s="59" t="str">
        <f aca="false">IF(L2955="","",IF(INDEX(ポート振替表!$O$5:$O$3507,$L2955)="","(未設定)",INDEX(ポート振替表!$O$5:$O$3507,$L2955)&amp;""))</f>
        <v/>
      </c>
      <c r="F2955" s="52" t="str">
        <f aca="false">IF(L2955="","",INDEX(ポート振替表!$K$5:$K$3507,$L2955)&amp;" "&amp;INDEX(ポート振替表!$L$5:$L$3507,$L2955)&amp;"  ⇔  "&amp;INDEX(ポート振替表!$H$5:$H$3507,$L2955)&amp;" "&amp;INDEX(ポート振替表!$I$5:$I$3507,$L2955))</f>
        <v/>
      </c>
      <c r="G2955" s="57" t="s">
        <v>158</v>
      </c>
      <c r="H2955" s="32" t="str">
        <f aca="false">IF(L2955="","",INDEX(ポート振替表!$N$5:$N$3507,$L2955)&amp;"")</f>
        <v/>
      </c>
      <c r="I2955" s="32" t="str">
        <f aca="false">IF(L2955="","",INDEX(ポート振替表!$P$5:$P$3507,$L2955)&amp;"")</f>
        <v/>
      </c>
      <c r="J2955" s="60" t="str">
        <f aca="false">IF(L2955="","",INDEX(ポート振替表!$M$5:$M$3507,$L2955)&amp;"")</f>
        <v/>
      </c>
      <c r="K2955" s="52" t="str">
        <f aca="false">IF(L2955="","",E2955&amp;CHAR(10)&amp;INDEX(ポート振替表!$K$5:$K$3507,$L2955)&amp;" "&amp;INDEX(ポート振替表!$L$5:$L$3507,$L2955)&amp;CHAR(10)&amp;"⇔ "&amp;INDEX(ポート振替表!$H$5:$H$3507,$L2955)&amp;" "&amp;INDEX(ポート振替表!$I$5:$I$3507,$L2955))</f>
        <v/>
      </c>
      <c r="L2955" s="47" t="str">
        <f aca="false">IFERROR(MATCH(ROW()-4,ポート振替表!$V$5:$V$3507,0),"")</f>
        <v/>
      </c>
    </row>
    <row r="2956" customFormat="false" ht="16.4" hidden="false" customHeight="false" outlineLevel="0" collapsed="false">
      <c r="A2956" s="32" t="str">
        <f aca="false">IF(L2956="","",ROW()-4)</f>
        <v/>
      </c>
      <c r="B2956" s="58" t="str">
        <f aca="false">IF(L2956="","",IF(INDEX(ポート振替表!$W$5:$W$3507,$L2956)="","(なし)",INDEX(ポート振替表!$W$5:$W$3507,$L2956)&amp;""))</f>
        <v/>
      </c>
      <c r="C2956" s="52" t="str">
        <f aca="false">IF(L2956="","",INDEX(ポート振替表!$B$5:$B$3507,$L2956)&amp;" "&amp;INDEX(ポート振替表!$C$5:$C$3507,$L2956)&amp;"  ⇔  "&amp;INDEX(ポート振替表!$H$5:$H$3507,$L2956)&amp;" "&amp;INDEX(ポート振替表!$I$5:$I$3507,$L2956))</f>
        <v/>
      </c>
      <c r="D2956" s="57" t="s">
        <v>158</v>
      </c>
      <c r="E2956" s="59" t="str">
        <f aca="false">IF(L2956="","",IF(INDEX(ポート振替表!$O$5:$O$3507,$L2956)="","(未設定)",INDEX(ポート振替表!$O$5:$O$3507,$L2956)&amp;""))</f>
        <v/>
      </c>
      <c r="F2956" s="52" t="str">
        <f aca="false">IF(L2956="","",INDEX(ポート振替表!$K$5:$K$3507,$L2956)&amp;" "&amp;INDEX(ポート振替表!$L$5:$L$3507,$L2956)&amp;"  ⇔  "&amp;INDEX(ポート振替表!$H$5:$H$3507,$L2956)&amp;" "&amp;INDEX(ポート振替表!$I$5:$I$3507,$L2956))</f>
        <v/>
      </c>
      <c r="G2956" s="57" t="s">
        <v>158</v>
      </c>
      <c r="H2956" s="32" t="str">
        <f aca="false">IF(L2956="","",INDEX(ポート振替表!$N$5:$N$3507,$L2956)&amp;"")</f>
        <v/>
      </c>
      <c r="I2956" s="32" t="str">
        <f aca="false">IF(L2956="","",INDEX(ポート振替表!$P$5:$P$3507,$L2956)&amp;"")</f>
        <v/>
      </c>
      <c r="J2956" s="60" t="str">
        <f aca="false">IF(L2956="","",INDEX(ポート振替表!$M$5:$M$3507,$L2956)&amp;"")</f>
        <v/>
      </c>
      <c r="K2956" s="52" t="str">
        <f aca="false">IF(L2956="","",E2956&amp;CHAR(10)&amp;INDEX(ポート振替表!$K$5:$K$3507,$L2956)&amp;" "&amp;INDEX(ポート振替表!$L$5:$L$3507,$L2956)&amp;CHAR(10)&amp;"⇔ "&amp;INDEX(ポート振替表!$H$5:$H$3507,$L2956)&amp;" "&amp;INDEX(ポート振替表!$I$5:$I$3507,$L2956))</f>
        <v/>
      </c>
      <c r="L2956" s="47" t="str">
        <f aca="false">IFERROR(MATCH(ROW()-4,ポート振替表!$V$5:$V$3507,0),"")</f>
        <v/>
      </c>
    </row>
    <row r="2957" customFormat="false" ht="16.4" hidden="false" customHeight="false" outlineLevel="0" collapsed="false">
      <c r="A2957" s="32" t="str">
        <f aca="false">IF(L2957="","",ROW()-4)</f>
        <v/>
      </c>
      <c r="B2957" s="58" t="str">
        <f aca="false">IF(L2957="","",IF(INDEX(ポート振替表!$W$5:$W$3507,$L2957)="","(なし)",INDEX(ポート振替表!$W$5:$W$3507,$L2957)&amp;""))</f>
        <v/>
      </c>
      <c r="C2957" s="52" t="str">
        <f aca="false">IF(L2957="","",INDEX(ポート振替表!$B$5:$B$3507,$L2957)&amp;" "&amp;INDEX(ポート振替表!$C$5:$C$3507,$L2957)&amp;"  ⇔  "&amp;INDEX(ポート振替表!$H$5:$H$3507,$L2957)&amp;" "&amp;INDEX(ポート振替表!$I$5:$I$3507,$L2957))</f>
        <v/>
      </c>
      <c r="D2957" s="57" t="s">
        <v>158</v>
      </c>
      <c r="E2957" s="59" t="str">
        <f aca="false">IF(L2957="","",IF(INDEX(ポート振替表!$O$5:$O$3507,$L2957)="","(未設定)",INDEX(ポート振替表!$O$5:$O$3507,$L2957)&amp;""))</f>
        <v/>
      </c>
      <c r="F2957" s="52" t="str">
        <f aca="false">IF(L2957="","",INDEX(ポート振替表!$K$5:$K$3507,$L2957)&amp;" "&amp;INDEX(ポート振替表!$L$5:$L$3507,$L2957)&amp;"  ⇔  "&amp;INDEX(ポート振替表!$H$5:$H$3507,$L2957)&amp;" "&amp;INDEX(ポート振替表!$I$5:$I$3507,$L2957))</f>
        <v/>
      </c>
      <c r="G2957" s="57" t="s">
        <v>158</v>
      </c>
      <c r="H2957" s="32" t="str">
        <f aca="false">IF(L2957="","",INDEX(ポート振替表!$N$5:$N$3507,$L2957)&amp;"")</f>
        <v/>
      </c>
      <c r="I2957" s="32" t="str">
        <f aca="false">IF(L2957="","",INDEX(ポート振替表!$P$5:$P$3507,$L2957)&amp;"")</f>
        <v/>
      </c>
      <c r="J2957" s="60" t="str">
        <f aca="false">IF(L2957="","",INDEX(ポート振替表!$M$5:$M$3507,$L2957)&amp;"")</f>
        <v/>
      </c>
      <c r="K2957" s="52" t="str">
        <f aca="false">IF(L2957="","",E2957&amp;CHAR(10)&amp;INDEX(ポート振替表!$K$5:$K$3507,$L2957)&amp;" "&amp;INDEX(ポート振替表!$L$5:$L$3507,$L2957)&amp;CHAR(10)&amp;"⇔ "&amp;INDEX(ポート振替表!$H$5:$H$3507,$L2957)&amp;" "&amp;INDEX(ポート振替表!$I$5:$I$3507,$L2957))</f>
        <v/>
      </c>
      <c r="L2957" s="47" t="str">
        <f aca="false">IFERROR(MATCH(ROW()-4,ポート振替表!$V$5:$V$3507,0),"")</f>
        <v/>
      </c>
    </row>
    <row r="2958" customFormat="false" ht="16.4" hidden="false" customHeight="false" outlineLevel="0" collapsed="false">
      <c r="A2958" s="32" t="str">
        <f aca="false">IF(L2958="","",ROW()-4)</f>
        <v/>
      </c>
      <c r="B2958" s="58" t="str">
        <f aca="false">IF(L2958="","",IF(INDEX(ポート振替表!$W$5:$W$3507,$L2958)="","(なし)",INDEX(ポート振替表!$W$5:$W$3507,$L2958)&amp;""))</f>
        <v/>
      </c>
      <c r="C2958" s="52" t="str">
        <f aca="false">IF(L2958="","",INDEX(ポート振替表!$B$5:$B$3507,$L2958)&amp;" "&amp;INDEX(ポート振替表!$C$5:$C$3507,$L2958)&amp;"  ⇔  "&amp;INDEX(ポート振替表!$H$5:$H$3507,$L2958)&amp;" "&amp;INDEX(ポート振替表!$I$5:$I$3507,$L2958))</f>
        <v/>
      </c>
      <c r="D2958" s="57" t="s">
        <v>158</v>
      </c>
      <c r="E2958" s="59" t="str">
        <f aca="false">IF(L2958="","",IF(INDEX(ポート振替表!$O$5:$O$3507,$L2958)="","(未設定)",INDEX(ポート振替表!$O$5:$O$3507,$L2958)&amp;""))</f>
        <v/>
      </c>
      <c r="F2958" s="52" t="str">
        <f aca="false">IF(L2958="","",INDEX(ポート振替表!$K$5:$K$3507,$L2958)&amp;" "&amp;INDEX(ポート振替表!$L$5:$L$3507,$L2958)&amp;"  ⇔  "&amp;INDEX(ポート振替表!$H$5:$H$3507,$L2958)&amp;" "&amp;INDEX(ポート振替表!$I$5:$I$3507,$L2958))</f>
        <v/>
      </c>
      <c r="G2958" s="57" t="s">
        <v>158</v>
      </c>
      <c r="H2958" s="32" t="str">
        <f aca="false">IF(L2958="","",INDEX(ポート振替表!$N$5:$N$3507,$L2958)&amp;"")</f>
        <v/>
      </c>
      <c r="I2958" s="32" t="str">
        <f aca="false">IF(L2958="","",INDEX(ポート振替表!$P$5:$P$3507,$L2958)&amp;"")</f>
        <v/>
      </c>
      <c r="J2958" s="60" t="str">
        <f aca="false">IF(L2958="","",INDEX(ポート振替表!$M$5:$M$3507,$L2958)&amp;"")</f>
        <v/>
      </c>
      <c r="K2958" s="52" t="str">
        <f aca="false">IF(L2958="","",E2958&amp;CHAR(10)&amp;INDEX(ポート振替表!$K$5:$K$3507,$L2958)&amp;" "&amp;INDEX(ポート振替表!$L$5:$L$3507,$L2958)&amp;CHAR(10)&amp;"⇔ "&amp;INDEX(ポート振替表!$H$5:$H$3507,$L2958)&amp;" "&amp;INDEX(ポート振替表!$I$5:$I$3507,$L2958))</f>
        <v/>
      </c>
      <c r="L2958" s="47" t="str">
        <f aca="false">IFERROR(MATCH(ROW()-4,ポート振替表!$V$5:$V$3507,0),"")</f>
        <v/>
      </c>
    </row>
    <row r="2959" customFormat="false" ht="16.4" hidden="false" customHeight="false" outlineLevel="0" collapsed="false">
      <c r="A2959" s="32" t="str">
        <f aca="false">IF(L2959="","",ROW()-4)</f>
        <v/>
      </c>
      <c r="B2959" s="58" t="str">
        <f aca="false">IF(L2959="","",IF(INDEX(ポート振替表!$W$5:$W$3507,$L2959)="","(なし)",INDEX(ポート振替表!$W$5:$W$3507,$L2959)&amp;""))</f>
        <v/>
      </c>
      <c r="C2959" s="52" t="str">
        <f aca="false">IF(L2959="","",INDEX(ポート振替表!$B$5:$B$3507,$L2959)&amp;" "&amp;INDEX(ポート振替表!$C$5:$C$3507,$L2959)&amp;"  ⇔  "&amp;INDEX(ポート振替表!$H$5:$H$3507,$L2959)&amp;" "&amp;INDEX(ポート振替表!$I$5:$I$3507,$L2959))</f>
        <v/>
      </c>
      <c r="D2959" s="57" t="s">
        <v>158</v>
      </c>
      <c r="E2959" s="59" t="str">
        <f aca="false">IF(L2959="","",IF(INDEX(ポート振替表!$O$5:$O$3507,$L2959)="","(未設定)",INDEX(ポート振替表!$O$5:$O$3507,$L2959)&amp;""))</f>
        <v/>
      </c>
      <c r="F2959" s="52" t="str">
        <f aca="false">IF(L2959="","",INDEX(ポート振替表!$K$5:$K$3507,$L2959)&amp;" "&amp;INDEX(ポート振替表!$L$5:$L$3507,$L2959)&amp;"  ⇔  "&amp;INDEX(ポート振替表!$H$5:$H$3507,$L2959)&amp;" "&amp;INDEX(ポート振替表!$I$5:$I$3507,$L2959))</f>
        <v/>
      </c>
      <c r="G2959" s="57" t="s">
        <v>158</v>
      </c>
      <c r="H2959" s="32" t="str">
        <f aca="false">IF(L2959="","",INDEX(ポート振替表!$N$5:$N$3507,$L2959)&amp;"")</f>
        <v/>
      </c>
      <c r="I2959" s="32" t="str">
        <f aca="false">IF(L2959="","",INDEX(ポート振替表!$P$5:$P$3507,$L2959)&amp;"")</f>
        <v/>
      </c>
      <c r="J2959" s="60" t="str">
        <f aca="false">IF(L2959="","",INDEX(ポート振替表!$M$5:$M$3507,$L2959)&amp;"")</f>
        <v/>
      </c>
      <c r="K2959" s="52" t="str">
        <f aca="false">IF(L2959="","",E2959&amp;CHAR(10)&amp;INDEX(ポート振替表!$K$5:$K$3507,$L2959)&amp;" "&amp;INDEX(ポート振替表!$L$5:$L$3507,$L2959)&amp;CHAR(10)&amp;"⇔ "&amp;INDEX(ポート振替表!$H$5:$H$3507,$L2959)&amp;" "&amp;INDEX(ポート振替表!$I$5:$I$3507,$L2959))</f>
        <v/>
      </c>
      <c r="L2959" s="47" t="str">
        <f aca="false">IFERROR(MATCH(ROW()-4,ポート振替表!$V$5:$V$3507,0),"")</f>
        <v/>
      </c>
    </row>
    <row r="2960" customFormat="false" ht="16.4" hidden="false" customHeight="false" outlineLevel="0" collapsed="false">
      <c r="A2960" s="32" t="str">
        <f aca="false">IF(L2960="","",ROW()-4)</f>
        <v/>
      </c>
      <c r="B2960" s="58" t="str">
        <f aca="false">IF(L2960="","",IF(INDEX(ポート振替表!$W$5:$W$3507,$L2960)="","(なし)",INDEX(ポート振替表!$W$5:$W$3507,$L2960)&amp;""))</f>
        <v/>
      </c>
      <c r="C2960" s="52" t="str">
        <f aca="false">IF(L2960="","",INDEX(ポート振替表!$B$5:$B$3507,$L2960)&amp;" "&amp;INDEX(ポート振替表!$C$5:$C$3507,$L2960)&amp;"  ⇔  "&amp;INDEX(ポート振替表!$H$5:$H$3507,$L2960)&amp;" "&amp;INDEX(ポート振替表!$I$5:$I$3507,$L2960))</f>
        <v/>
      </c>
      <c r="D2960" s="57" t="s">
        <v>158</v>
      </c>
      <c r="E2960" s="59" t="str">
        <f aca="false">IF(L2960="","",IF(INDEX(ポート振替表!$O$5:$O$3507,$L2960)="","(未設定)",INDEX(ポート振替表!$O$5:$O$3507,$L2960)&amp;""))</f>
        <v/>
      </c>
      <c r="F2960" s="52" t="str">
        <f aca="false">IF(L2960="","",INDEX(ポート振替表!$K$5:$K$3507,$L2960)&amp;" "&amp;INDEX(ポート振替表!$L$5:$L$3507,$L2960)&amp;"  ⇔  "&amp;INDEX(ポート振替表!$H$5:$H$3507,$L2960)&amp;" "&amp;INDEX(ポート振替表!$I$5:$I$3507,$L2960))</f>
        <v/>
      </c>
      <c r="G2960" s="57" t="s">
        <v>158</v>
      </c>
      <c r="H2960" s="32" t="str">
        <f aca="false">IF(L2960="","",INDEX(ポート振替表!$N$5:$N$3507,$L2960)&amp;"")</f>
        <v/>
      </c>
      <c r="I2960" s="32" t="str">
        <f aca="false">IF(L2960="","",INDEX(ポート振替表!$P$5:$P$3507,$L2960)&amp;"")</f>
        <v/>
      </c>
      <c r="J2960" s="60" t="str">
        <f aca="false">IF(L2960="","",INDEX(ポート振替表!$M$5:$M$3507,$L2960)&amp;"")</f>
        <v/>
      </c>
      <c r="K2960" s="52" t="str">
        <f aca="false">IF(L2960="","",E2960&amp;CHAR(10)&amp;INDEX(ポート振替表!$K$5:$K$3507,$L2960)&amp;" "&amp;INDEX(ポート振替表!$L$5:$L$3507,$L2960)&amp;CHAR(10)&amp;"⇔ "&amp;INDEX(ポート振替表!$H$5:$H$3507,$L2960)&amp;" "&amp;INDEX(ポート振替表!$I$5:$I$3507,$L2960))</f>
        <v/>
      </c>
      <c r="L2960" s="47" t="str">
        <f aca="false">IFERROR(MATCH(ROW()-4,ポート振替表!$V$5:$V$3507,0),"")</f>
        <v/>
      </c>
    </row>
    <row r="2961" customFormat="false" ht="16.4" hidden="false" customHeight="false" outlineLevel="0" collapsed="false">
      <c r="A2961" s="32" t="str">
        <f aca="false">IF(L2961="","",ROW()-4)</f>
        <v/>
      </c>
      <c r="B2961" s="58" t="str">
        <f aca="false">IF(L2961="","",IF(INDEX(ポート振替表!$W$5:$W$3507,$L2961)="","(なし)",INDEX(ポート振替表!$W$5:$W$3507,$L2961)&amp;""))</f>
        <v/>
      </c>
      <c r="C2961" s="52" t="str">
        <f aca="false">IF(L2961="","",INDEX(ポート振替表!$B$5:$B$3507,$L2961)&amp;" "&amp;INDEX(ポート振替表!$C$5:$C$3507,$L2961)&amp;"  ⇔  "&amp;INDEX(ポート振替表!$H$5:$H$3507,$L2961)&amp;" "&amp;INDEX(ポート振替表!$I$5:$I$3507,$L2961))</f>
        <v/>
      </c>
      <c r="D2961" s="57" t="s">
        <v>158</v>
      </c>
      <c r="E2961" s="59" t="str">
        <f aca="false">IF(L2961="","",IF(INDEX(ポート振替表!$O$5:$O$3507,$L2961)="","(未設定)",INDEX(ポート振替表!$O$5:$O$3507,$L2961)&amp;""))</f>
        <v/>
      </c>
      <c r="F2961" s="52" t="str">
        <f aca="false">IF(L2961="","",INDEX(ポート振替表!$K$5:$K$3507,$L2961)&amp;" "&amp;INDEX(ポート振替表!$L$5:$L$3507,$L2961)&amp;"  ⇔  "&amp;INDEX(ポート振替表!$H$5:$H$3507,$L2961)&amp;" "&amp;INDEX(ポート振替表!$I$5:$I$3507,$L2961))</f>
        <v/>
      </c>
      <c r="G2961" s="57" t="s">
        <v>158</v>
      </c>
      <c r="H2961" s="32" t="str">
        <f aca="false">IF(L2961="","",INDEX(ポート振替表!$N$5:$N$3507,$L2961)&amp;"")</f>
        <v/>
      </c>
      <c r="I2961" s="32" t="str">
        <f aca="false">IF(L2961="","",INDEX(ポート振替表!$P$5:$P$3507,$L2961)&amp;"")</f>
        <v/>
      </c>
      <c r="J2961" s="60" t="str">
        <f aca="false">IF(L2961="","",INDEX(ポート振替表!$M$5:$M$3507,$L2961)&amp;"")</f>
        <v/>
      </c>
      <c r="K2961" s="52" t="str">
        <f aca="false">IF(L2961="","",E2961&amp;CHAR(10)&amp;INDEX(ポート振替表!$K$5:$K$3507,$L2961)&amp;" "&amp;INDEX(ポート振替表!$L$5:$L$3507,$L2961)&amp;CHAR(10)&amp;"⇔ "&amp;INDEX(ポート振替表!$H$5:$H$3507,$L2961)&amp;" "&amp;INDEX(ポート振替表!$I$5:$I$3507,$L2961))</f>
        <v/>
      </c>
      <c r="L2961" s="47" t="str">
        <f aca="false">IFERROR(MATCH(ROW()-4,ポート振替表!$V$5:$V$3507,0),"")</f>
        <v/>
      </c>
    </row>
    <row r="2962" customFormat="false" ht="16.4" hidden="false" customHeight="false" outlineLevel="0" collapsed="false">
      <c r="A2962" s="32" t="str">
        <f aca="false">IF(L2962="","",ROW()-4)</f>
        <v/>
      </c>
      <c r="B2962" s="58" t="str">
        <f aca="false">IF(L2962="","",IF(INDEX(ポート振替表!$W$5:$W$3507,$L2962)="","(なし)",INDEX(ポート振替表!$W$5:$W$3507,$L2962)&amp;""))</f>
        <v/>
      </c>
      <c r="C2962" s="52" t="str">
        <f aca="false">IF(L2962="","",INDEX(ポート振替表!$B$5:$B$3507,$L2962)&amp;" "&amp;INDEX(ポート振替表!$C$5:$C$3507,$L2962)&amp;"  ⇔  "&amp;INDEX(ポート振替表!$H$5:$H$3507,$L2962)&amp;" "&amp;INDEX(ポート振替表!$I$5:$I$3507,$L2962))</f>
        <v/>
      </c>
      <c r="D2962" s="57" t="s">
        <v>158</v>
      </c>
      <c r="E2962" s="59" t="str">
        <f aca="false">IF(L2962="","",IF(INDEX(ポート振替表!$O$5:$O$3507,$L2962)="","(未設定)",INDEX(ポート振替表!$O$5:$O$3507,$L2962)&amp;""))</f>
        <v/>
      </c>
      <c r="F2962" s="52" t="str">
        <f aca="false">IF(L2962="","",INDEX(ポート振替表!$K$5:$K$3507,$L2962)&amp;" "&amp;INDEX(ポート振替表!$L$5:$L$3507,$L2962)&amp;"  ⇔  "&amp;INDEX(ポート振替表!$H$5:$H$3507,$L2962)&amp;" "&amp;INDEX(ポート振替表!$I$5:$I$3507,$L2962))</f>
        <v/>
      </c>
      <c r="G2962" s="57" t="s">
        <v>158</v>
      </c>
      <c r="H2962" s="32" t="str">
        <f aca="false">IF(L2962="","",INDEX(ポート振替表!$N$5:$N$3507,$L2962)&amp;"")</f>
        <v/>
      </c>
      <c r="I2962" s="32" t="str">
        <f aca="false">IF(L2962="","",INDEX(ポート振替表!$P$5:$P$3507,$L2962)&amp;"")</f>
        <v/>
      </c>
      <c r="J2962" s="60" t="str">
        <f aca="false">IF(L2962="","",INDEX(ポート振替表!$M$5:$M$3507,$L2962)&amp;"")</f>
        <v/>
      </c>
      <c r="K2962" s="52" t="str">
        <f aca="false">IF(L2962="","",E2962&amp;CHAR(10)&amp;INDEX(ポート振替表!$K$5:$K$3507,$L2962)&amp;" "&amp;INDEX(ポート振替表!$L$5:$L$3507,$L2962)&amp;CHAR(10)&amp;"⇔ "&amp;INDEX(ポート振替表!$H$5:$H$3507,$L2962)&amp;" "&amp;INDEX(ポート振替表!$I$5:$I$3507,$L2962))</f>
        <v/>
      </c>
      <c r="L2962" s="47" t="str">
        <f aca="false">IFERROR(MATCH(ROW()-4,ポート振替表!$V$5:$V$3507,0),"")</f>
        <v/>
      </c>
    </row>
    <row r="2963" customFormat="false" ht="16.4" hidden="false" customHeight="false" outlineLevel="0" collapsed="false">
      <c r="A2963" s="32" t="str">
        <f aca="false">IF(L2963="","",ROW()-4)</f>
        <v/>
      </c>
      <c r="B2963" s="58" t="str">
        <f aca="false">IF(L2963="","",IF(INDEX(ポート振替表!$W$5:$W$3507,$L2963)="","(なし)",INDEX(ポート振替表!$W$5:$W$3507,$L2963)&amp;""))</f>
        <v/>
      </c>
      <c r="C2963" s="52" t="str">
        <f aca="false">IF(L2963="","",INDEX(ポート振替表!$B$5:$B$3507,$L2963)&amp;" "&amp;INDEX(ポート振替表!$C$5:$C$3507,$L2963)&amp;"  ⇔  "&amp;INDEX(ポート振替表!$H$5:$H$3507,$L2963)&amp;" "&amp;INDEX(ポート振替表!$I$5:$I$3507,$L2963))</f>
        <v/>
      </c>
      <c r="D2963" s="57" t="s">
        <v>158</v>
      </c>
      <c r="E2963" s="59" t="str">
        <f aca="false">IF(L2963="","",IF(INDEX(ポート振替表!$O$5:$O$3507,$L2963)="","(未設定)",INDEX(ポート振替表!$O$5:$O$3507,$L2963)&amp;""))</f>
        <v/>
      </c>
      <c r="F2963" s="52" t="str">
        <f aca="false">IF(L2963="","",INDEX(ポート振替表!$K$5:$K$3507,$L2963)&amp;" "&amp;INDEX(ポート振替表!$L$5:$L$3507,$L2963)&amp;"  ⇔  "&amp;INDEX(ポート振替表!$H$5:$H$3507,$L2963)&amp;" "&amp;INDEX(ポート振替表!$I$5:$I$3507,$L2963))</f>
        <v/>
      </c>
      <c r="G2963" s="57" t="s">
        <v>158</v>
      </c>
      <c r="H2963" s="32" t="str">
        <f aca="false">IF(L2963="","",INDEX(ポート振替表!$N$5:$N$3507,$L2963)&amp;"")</f>
        <v/>
      </c>
      <c r="I2963" s="32" t="str">
        <f aca="false">IF(L2963="","",INDEX(ポート振替表!$P$5:$P$3507,$L2963)&amp;"")</f>
        <v/>
      </c>
      <c r="J2963" s="60" t="str">
        <f aca="false">IF(L2963="","",INDEX(ポート振替表!$M$5:$M$3507,$L2963)&amp;"")</f>
        <v/>
      </c>
      <c r="K2963" s="52" t="str">
        <f aca="false">IF(L2963="","",E2963&amp;CHAR(10)&amp;INDEX(ポート振替表!$K$5:$K$3507,$L2963)&amp;" "&amp;INDEX(ポート振替表!$L$5:$L$3507,$L2963)&amp;CHAR(10)&amp;"⇔ "&amp;INDEX(ポート振替表!$H$5:$H$3507,$L2963)&amp;" "&amp;INDEX(ポート振替表!$I$5:$I$3507,$L2963))</f>
        <v/>
      </c>
      <c r="L2963" s="47" t="str">
        <f aca="false">IFERROR(MATCH(ROW()-4,ポート振替表!$V$5:$V$3507,0),"")</f>
        <v/>
      </c>
    </row>
    <row r="2964" customFormat="false" ht="16.4" hidden="false" customHeight="false" outlineLevel="0" collapsed="false">
      <c r="A2964" s="32" t="str">
        <f aca="false">IF(L2964="","",ROW()-4)</f>
        <v/>
      </c>
      <c r="B2964" s="58" t="str">
        <f aca="false">IF(L2964="","",IF(INDEX(ポート振替表!$W$5:$W$3507,$L2964)="","(なし)",INDEX(ポート振替表!$W$5:$W$3507,$L2964)&amp;""))</f>
        <v/>
      </c>
      <c r="C2964" s="52" t="str">
        <f aca="false">IF(L2964="","",INDEX(ポート振替表!$B$5:$B$3507,$L2964)&amp;" "&amp;INDEX(ポート振替表!$C$5:$C$3507,$L2964)&amp;"  ⇔  "&amp;INDEX(ポート振替表!$H$5:$H$3507,$L2964)&amp;" "&amp;INDEX(ポート振替表!$I$5:$I$3507,$L2964))</f>
        <v/>
      </c>
      <c r="D2964" s="57" t="s">
        <v>158</v>
      </c>
      <c r="E2964" s="59" t="str">
        <f aca="false">IF(L2964="","",IF(INDEX(ポート振替表!$O$5:$O$3507,$L2964)="","(未設定)",INDEX(ポート振替表!$O$5:$O$3507,$L2964)&amp;""))</f>
        <v/>
      </c>
      <c r="F2964" s="52" t="str">
        <f aca="false">IF(L2964="","",INDEX(ポート振替表!$K$5:$K$3507,$L2964)&amp;" "&amp;INDEX(ポート振替表!$L$5:$L$3507,$L2964)&amp;"  ⇔  "&amp;INDEX(ポート振替表!$H$5:$H$3507,$L2964)&amp;" "&amp;INDEX(ポート振替表!$I$5:$I$3507,$L2964))</f>
        <v/>
      </c>
      <c r="G2964" s="57" t="s">
        <v>158</v>
      </c>
      <c r="H2964" s="32" t="str">
        <f aca="false">IF(L2964="","",INDEX(ポート振替表!$N$5:$N$3507,$L2964)&amp;"")</f>
        <v/>
      </c>
      <c r="I2964" s="32" t="str">
        <f aca="false">IF(L2964="","",INDEX(ポート振替表!$P$5:$P$3507,$L2964)&amp;"")</f>
        <v/>
      </c>
      <c r="J2964" s="60" t="str">
        <f aca="false">IF(L2964="","",INDEX(ポート振替表!$M$5:$M$3507,$L2964)&amp;"")</f>
        <v/>
      </c>
      <c r="K2964" s="52" t="str">
        <f aca="false">IF(L2964="","",E2964&amp;CHAR(10)&amp;INDEX(ポート振替表!$K$5:$K$3507,$L2964)&amp;" "&amp;INDEX(ポート振替表!$L$5:$L$3507,$L2964)&amp;CHAR(10)&amp;"⇔ "&amp;INDEX(ポート振替表!$H$5:$H$3507,$L2964)&amp;" "&amp;INDEX(ポート振替表!$I$5:$I$3507,$L2964))</f>
        <v/>
      </c>
      <c r="L2964" s="47" t="str">
        <f aca="false">IFERROR(MATCH(ROW()-4,ポート振替表!$V$5:$V$3507,0),"")</f>
        <v/>
      </c>
    </row>
    <row r="2965" customFormat="false" ht="16.4" hidden="false" customHeight="false" outlineLevel="0" collapsed="false">
      <c r="A2965" s="32" t="str">
        <f aca="false">IF(L2965="","",ROW()-4)</f>
        <v/>
      </c>
      <c r="B2965" s="58" t="str">
        <f aca="false">IF(L2965="","",IF(INDEX(ポート振替表!$W$5:$W$3507,$L2965)="","(なし)",INDEX(ポート振替表!$W$5:$W$3507,$L2965)&amp;""))</f>
        <v/>
      </c>
      <c r="C2965" s="52" t="str">
        <f aca="false">IF(L2965="","",INDEX(ポート振替表!$B$5:$B$3507,$L2965)&amp;" "&amp;INDEX(ポート振替表!$C$5:$C$3507,$L2965)&amp;"  ⇔  "&amp;INDEX(ポート振替表!$H$5:$H$3507,$L2965)&amp;" "&amp;INDEX(ポート振替表!$I$5:$I$3507,$L2965))</f>
        <v/>
      </c>
      <c r="D2965" s="57" t="s">
        <v>158</v>
      </c>
      <c r="E2965" s="59" t="str">
        <f aca="false">IF(L2965="","",IF(INDEX(ポート振替表!$O$5:$O$3507,$L2965)="","(未設定)",INDEX(ポート振替表!$O$5:$O$3507,$L2965)&amp;""))</f>
        <v/>
      </c>
      <c r="F2965" s="52" t="str">
        <f aca="false">IF(L2965="","",INDEX(ポート振替表!$K$5:$K$3507,$L2965)&amp;" "&amp;INDEX(ポート振替表!$L$5:$L$3507,$L2965)&amp;"  ⇔  "&amp;INDEX(ポート振替表!$H$5:$H$3507,$L2965)&amp;" "&amp;INDEX(ポート振替表!$I$5:$I$3507,$L2965))</f>
        <v/>
      </c>
      <c r="G2965" s="57" t="s">
        <v>158</v>
      </c>
      <c r="H2965" s="32" t="str">
        <f aca="false">IF(L2965="","",INDEX(ポート振替表!$N$5:$N$3507,$L2965)&amp;"")</f>
        <v/>
      </c>
      <c r="I2965" s="32" t="str">
        <f aca="false">IF(L2965="","",INDEX(ポート振替表!$P$5:$P$3507,$L2965)&amp;"")</f>
        <v/>
      </c>
      <c r="J2965" s="60" t="str">
        <f aca="false">IF(L2965="","",INDEX(ポート振替表!$M$5:$M$3507,$L2965)&amp;"")</f>
        <v/>
      </c>
      <c r="K2965" s="52" t="str">
        <f aca="false">IF(L2965="","",E2965&amp;CHAR(10)&amp;INDEX(ポート振替表!$K$5:$K$3507,$L2965)&amp;" "&amp;INDEX(ポート振替表!$L$5:$L$3507,$L2965)&amp;CHAR(10)&amp;"⇔ "&amp;INDEX(ポート振替表!$H$5:$H$3507,$L2965)&amp;" "&amp;INDEX(ポート振替表!$I$5:$I$3507,$L2965))</f>
        <v/>
      </c>
      <c r="L2965" s="47" t="str">
        <f aca="false">IFERROR(MATCH(ROW()-4,ポート振替表!$V$5:$V$3507,0),"")</f>
        <v/>
      </c>
    </row>
    <row r="2966" customFormat="false" ht="16.4" hidden="false" customHeight="false" outlineLevel="0" collapsed="false">
      <c r="A2966" s="32" t="str">
        <f aca="false">IF(L2966="","",ROW()-4)</f>
        <v/>
      </c>
      <c r="B2966" s="58" t="str">
        <f aca="false">IF(L2966="","",IF(INDEX(ポート振替表!$W$5:$W$3507,$L2966)="","(なし)",INDEX(ポート振替表!$W$5:$W$3507,$L2966)&amp;""))</f>
        <v/>
      </c>
      <c r="C2966" s="52" t="str">
        <f aca="false">IF(L2966="","",INDEX(ポート振替表!$B$5:$B$3507,$L2966)&amp;" "&amp;INDEX(ポート振替表!$C$5:$C$3507,$L2966)&amp;"  ⇔  "&amp;INDEX(ポート振替表!$H$5:$H$3507,$L2966)&amp;" "&amp;INDEX(ポート振替表!$I$5:$I$3507,$L2966))</f>
        <v/>
      </c>
      <c r="D2966" s="57" t="s">
        <v>158</v>
      </c>
      <c r="E2966" s="59" t="str">
        <f aca="false">IF(L2966="","",IF(INDEX(ポート振替表!$O$5:$O$3507,$L2966)="","(未設定)",INDEX(ポート振替表!$O$5:$O$3507,$L2966)&amp;""))</f>
        <v/>
      </c>
      <c r="F2966" s="52" t="str">
        <f aca="false">IF(L2966="","",INDEX(ポート振替表!$K$5:$K$3507,$L2966)&amp;" "&amp;INDEX(ポート振替表!$L$5:$L$3507,$L2966)&amp;"  ⇔  "&amp;INDEX(ポート振替表!$H$5:$H$3507,$L2966)&amp;" "&amp;INDEX(ポート振替表!$I$5:$I$3507,$L2966))</f>
        <v/>
      </c>
      <c r="G2966" s="57" t="s">
        <v>158</v>
      </c>
      <c r="H2966" s="32" t="str">
        <f aca="false">IF(L2966="","",INDEX(ポート振替表!$N$5:$N$3507,$L2966)&amp;"")</f>
        <v/>
      </c>
      <c r="I2966" s="32" t="str">
        <f aca="false">IF(L2966="","",INDEX(ポート振替表!$P$5:$P$3507,$L2966)&amp;"")</f>
        <v/>
      </c>
      <c r="J2966" s="60" t="str">
        <f aca="false">IF(L2966="","",INDEX(ポート振替表!$M$5:$M$3507,$L2966)&amp;"")</f>
        <v/>
      </c>
      <c r="K2966" s="52" t="str">
        <f aca="false">IF(L2966="","",E2966&amp;CHAR(10)&amp;INDEX(ポート振替表!$K$5:$K$3507,$L2966)&amp;" "&amp;INDEX(ポート振替表!$L$5:$L$3507,$L2966)&amp;CHAR(10)&amp;"⇔ "&amp;INDEX(ポート振替表!$H$5:$H$3507,$L2966)&amp;" "&amp;INDEX(ポート振替表!$I$5:$I$3507,$L2966))</f>
        <v/>
      </c>
      <c r="L2966" s="47" t="str">
        <f aca="false">IFERROR(MATCH(ROW()-4,ポート振替表!$V$5:$V$3507,0),"")</f>
        <v/>
      </c>
    </row>
    <row r="2967" customFormat="false" ht="16.4" hidden="false" customHeight="false" outlineLevel="0" collapsed="false">
      <c r="A2967" s="32" t="str">
        <f aca="false">IF(L2967="","",ROW()-4)</f>
        <v/>
      </c>
      <c r="B2967" s="58" t="str">
        <f aca="false">IF(L2967="","",IF(INDEX(ポート振替表!$W$5:$W$3507,$L2967)="","(なし)",INDEX(ポート振替表!$W$5:$W$3507,$L2967)&amp;""))</f>
        <v/>
      </c>
      <c r="C2967" s="52" t="str">
        <f aca="false">IF(L2967="","",INDEX(ポート振替表!$B$5:$B$3507,$L2967)&amp;" "&amp;INDEX(ポート振替表!$C$5:$C$3507,$L2967)&amp;"  ⇔  "&amp;INDEX(ポート振替表!$H$5:$H$3507,$L2967)&amp;" "&amp;INDEX(ポート振替表!$I$5:$I$3507,$L2967))</f>
        <v/>
      </c>
      <c r="D2967" s="57" t="s">
        <v>158</v>
      </c>
      <c r="E2967" s="59" t="str">
        <f aca="false">IF(L2967="","",IF(INDEX(ポート振替表!$O$5:$O$3507,$L2967)="","(未設定)",INDEX(ポート振替表!$O$5:$O$3507,$L2967)&amp;""))</f>
        <v/>
      </c>
      <c r="F2967" s="52" t="str">
        <f aca="false">IF(L2967="","",INDEX(ポート振替表!$K$5:$K$3507,$L2967)&amp;" "&amp;INDEX(ポート振替表!$L$5:$L$3507,$L2967)&amp;"  ⇔  "&amp;INDEX(ポート振替表!$H$5:$H$3507,$L2967)&amp;" "&amp;INDEX(ポート振替表!$I$5:$I$3507,$L2967))</f>
        <v/>
      </c>
      <c r="G2967" s="57" t="s">
        <v>158</v>
      </c>
      <c r="H2967" s="32" t="str">
        <f aca="false">IF(L2967="","",INDEX(ポート振替表!$N$5:$N$3507,$L2967)&amp;"")</f>
        <v/>
      </c>
      <c r="I2967" s="32" t="str">
        <f aca="false">IF(L2967="","",INDEX(ポート振替表!$P$5:$P$3507,$L2967)&amp;"")</f>
        <v/>
      </c>
      <c r="J2967" s="60" t="str">
        <f aca="false">IF(L2967="","",INDEX(ポート振替表!$M$5:$M$3507,$L2967)&amp;"")</f>
        <v/>
      </c>
      <c r="K2967" s="52" t="str">
        <f aca="false">IF(L2967="","",E2967&amp;CHAR(10)&amp;INDEX(ポート振替表!$K$5:$K$3507,$L2967)&amp;" "&amp;INDEX(ポート振替表!$L$5:$L$3507,$L2967)&amp;CHAR(10)&amp;"⇔ "&amp;INDEX(ポート振替表!$H$5:$H$3507,$L2967)&amp;" "&amp;INDEX(ポート振替表!$I$5:$I$3507,$L2967))</f>
        <v/>
      </c>
      <c r="L2967" s="47" t="str">
        <f aca="false">IFERROR(MATCH(ROW()-4,ポート振替表!$V$5:$V$3507,0),"")</f>
        <v/>
      </c>
    </row>
    <row r="2968" customFormat="false" ht="16.4" hidden="false" customHeight="false" outlineLevel="0" collapsed="false">
      <c r="A2968" s="32" t="str">
        <f aca="false">IF(L2968="","",ROW()-4)</f>
        <v/>
      </c>
      <c r="B2968" s="58" t="str">
        <f aca="false">IF(L2968="","",IF(INDEX(ポート振替表!$W$5:$W$3507,$L2968)="","(なし)",INDEX(ポート振替表!$W$5:$W$3507,$L2968)&amp;""))</f>
        <v/>
      </c>
      <c r="C2968" s="52" t="str">
        <f aca="false">IF(L2968="","",INDEX(ポート振替表!$B$5:$B$3507,$L2968)&amp;" "&amp;INDEX(ポート振替表!$C$5:$C$3507,$L2968)&amp;"  ⇔  "&amp;INDEX(ポート振替表!$H$5:$H$3507,$L2968)&amp;" "&amp;INDEX(ポート振替表!$I$5:$I$3507,$L2968))</f>
        <v/>
      </c>
      <c r="D2968" s="57" t="s">
        <v>158</v>
      </c>
      <c r="E2968" s="59" t="str">
        <f aca="false">IF(L2968="","",IF(INDEX(ポート振替表!$O$5:$O$3507,$L2968)="","(未設定)",INDEX(ポート振替表!$O$5:$O$3507,$L2968)&amp;""))</f>
        <v/>
      </c>
      <c r="F2968" s="52" t="str">
        <f aca="false">IF(L2968="","",INDEX(ポート振替表!$K$5:$K$3507,$L2968)&amp;" "&amp;INDEX(ポート振替表!$L$5:$L$3507,$L2968)&amp;"  ⇔  "&amp;INDEX(ポート振替表!$H$5:$H$3507,$L2968)&amp;" "&amp;INDEX(ポート振替表!$I$5:$I$3507,$L2968))</f>
        <v/>
      </c>
      <c r="G2968" s="57" t="s">
        <v>158</v>
      </c>
      <c r="H2968" s="32" t="str">
        <f aca="false">IF(L2968="","",INDEX(ポート振替表!$N$5:$N$3507,$L2968)&amp;"")</f>
        <v/>
      </c>
      <c r="I2968" s="32" t="str">
        <f aca="false">IF(L2968="","",INDEX(ポート振替表!$P$5:$P$3507,$L2968)&amp;"")</f>
        <v/>
      </c>
      <c r="J2968" s="60" t="str">
        <f aca="false">IF(L2968="","",INDEX(ポート振替表!$M$5:$M$3507,$L2968)&amp;"")</f>
        <v/>
      </c>
      <c r="K2968" s="52" t="str">
        <f aca="false">IF(L2968="","",E2968&amp;CHAR(10)&amp;INDEX(ポート振替表!$K$5:$K$3507,$L2968)&amp;" "&amp;INDEX(ポート振替表!$L$5:$L$3507,$L2968)&amp;CHAR(10)&amp;"⇔ "&amp;INDEX(ポート振替表!$H$5:$H$3507,$L2968)&amp;" "&amp;INDEX(ポート振替表!$I$5:$I$3507,$L2968))</f>
        <v/>
      </c>
      <c r="L2968" s="47" t="str">
        <f aca="false">IFERROR(MATCH(ROW()-4,ポート振替表!$V$5:$V$3507,0),"")</f>
        <v/>
      </c>
    </row>
    <row r="2969" customFormat="false" ht="16.4" hidden="false" customHeight="false" outlineLevel="0" collapsed="false">
      <c r="A2969" s="32" t="str">
        <f aca="false">IF(L2969="","",ROW()-4)</f>
        <v/>
      </c>
      <c r="B2969" s="58" t="str">
        <f aca="false">IF(L2969="","",IF(INDEX(ポート振替表!$W$5:$W$3507,$L2969)="","(なし)",INDEX(ポート振替表!$W$5:$W$3507,$L2969)&amp;""))</f>
        <v/>
      </c>
      <c r="C2969" s="52" t="str">
        <f aca="false">IF(L2969="","",INDEX(ポート振替表!$B$5:$B$3507,$L2969)&amp;" "&amp;INDEX(ポート振替表!$C$5:$C$3507,$L2969)&amp;"  ⇔  "&amp;INDEX(ポート振替表!$H$5:$H$3507,$L2969)&amp;" "&amp;INDEX(ポート振替表!$I$5:$I$3507,$L2969))</f>
        <v/>
      </c>
      <c r="D2969" s="57" t="s">
        <v>158</v>
      </c>
      <c r="E2969" s="59" t="str">
        <f aca="false">IF(L2969="","",IF(INDEX(ポート振替表!$O$5:$O$3507,$L2969)="","(未設定)",INDEX(ポート振替表!$O$5:$O$3507,$L2969)&amp;""))</f>
        <v/>
      </c>
      <c r="F2969" s="52" t="str">
        <f aca="false">IF(L2969="","",INDEX(ポート振替表!$K$5:$K$3507,$L2969)&amp;" "&amp;INDEX(ポート振替表!$L$5:$L$3507,$L2969)&amp;"  ⇔  "&amp;INDEX(ポート振替表!$H$5:$H$3507,$L2969)&amp;" "&amp;INDEX(ポート振替表!$I$5:$I$3507,$L2969))</f>
        <v/>
      </c>
      <c r="G2969" s="57" t="s">
        <v>158</v>
      </c>
      <c r="H2969" s="32" t="str">
        <f aca="false">IF(L2969="","",INDEX(ポート振替表!$N$5:$N$3507,$L2969)&amp;"")</f>
        <v/>
      </c>
      <c r="I2969" s="32" t="str">
        <f aca="false">IF(L2969="","",INDEX(ポート振替表!$P$5:$P$3507,$L2969)&amp;"")</f>
        <v/>
      </c>
      <c r="J2969" s="60" t="str">
        <f aca="false">IF(L2969="","",INDEX(ポート振替表!$M$5:$M$3507,$L2969)&amp;"")</f>
        <v/>
      </c>
      <c r="K2969" s="52" t="str">
        <f aca="false">IF(L2969="","",E2969&amp;CHAR(10)&amp;INDEX(ポート振替表!$K$5:$K$3507,$L2969)&amp;" "&amp;INDEX(ポート振替表!$L$5:$L$3507,$L2969)&amp;CHAR(10)&amp;"⇔ "&amp;INDEX(ポート振替表!$H$5:$H$3507,$L2969)&amp;" "&amp;INDEX(ポート振替表!$I$5:$I$3507,$L2969))</f>
        <v/>
      </c>
      <c r="L2969" s="47" t="str">
        <f aca="false">IFERROR(MATCH(ROW()-4,ポート振替表!$V$5:$V$3507,0),"")</f>
        <v/>
      </c>
    </row>
    <row r="2970" customFormat="false" ht="16.4" hidden="false" customHeight="false" outlineLevel="0" collapsed="false">
      <c r="A2970" s="32" t="str">
        <f aca="false">IF(L2970="","",ROW()-4)</f>
        <v/>
      </c>
      <c r="B2970" s="58" t="str">
        <f aca="false">IF(L2970="","",IF(INDEX(ポート振替表!$W$5:$W$3507,$L2970)="","(なし)",INDEX(ポート振替表!$W$5:$W$3507,$L2970)&amp;""))</f>
        <v/>
      </c>
      <c r="C2970" s="52" t="str">
        <f aca="false">IF(L2970="","",INDEX(ポート振替表!$B$5:$B$3507,$L2970)&amp;" "&amp;INDEX(ポート振替表!$C$5:$C$3507,$L2970)&amp;"  ⇔  "&amp;INDEX(ポート振替表!$H$5:$H$3507,$L2970)&amp;" "&amp;INDEX(ポート振替表!$I$5:$I$3507,$L2970))</f>
        <v/>
      </c>
      <c r="D2970" s="57" t="s">
        <v>158</v>
      </c>
      <c r="E2970" s="59" t="str">
        <f aca="false">IF(L2970="","",IF(INDEX(ポート振替表!$O$5:$O$3507,$L2970)="","(未設定)",INDEX(ポート振替表!$O$5:$O$3507,$L2970)&amp;""))</f>
        <v/>
      </c>
      <c r="F2970" s="52" t="str">
        <f aca="false">IF(L2970="","",INDEX(ポート振替表!$K$5:$K$3507,$L2970)&amp;" "&amp;INDEX(ポート振替表!$L$5:$L$3507,$L2970)&amp;"  ⇔  "&amp;INDEX(ポート振替表!$H$5:$H$3507,$L2970)&amp;" "&amp;INDEX(ポート振替表!$I$5:$I$3507,$L2970))</f>
        <v/>
      </c>
      <c r="G2970" s="57" t="s">
        <v>158</v>
      </c>
      <c r="H2970" s="32" t="str">
        <f aca="false">IF(L2970="","",INDEX(ポート振替表!$N$5:$N$3507,$L2970)&amp;"")</f>
        <v/>
      </c>
      <c r="I2970" s="32" t="str">
        <f aca="false">IF(L2970="","",INDEX(ポート振替表!$P$5:$P$3507,$L2970)&amp;"")</f>
        <v/>
      </c>
      <c r="J2970" s="60" t="str">
        <f aca="false">IF(L2970="","",INDEX(ポート振替表!$M$5:$M$3507,$L2970)&amp;"")</f>
        <v/>
      </c>
      <c r="K2970" s="52" t="str">
        <f aca="false">IF(L2970="","",E2970&amp;CHAR(10)&amp;INDEX(ポート振替表!$K$5:$K$3507,$L2970)&amp;" "&amp;INDEX(ポート振替表!$L$5:$L$3507,$L2970)&amp;CHAR(10)&amp;"⇔ "&amp;INDEX(ポート振替表!$H$5:$H$3507,$L2970)&amp;" "&amp;INDEX(ポート振替表!$I$5:$I$3507,$L2970))</f>
        <v/>
      </c>
      <c r="L2970" s="47" t="str">
        <f aca="false">IFERROR(MATCH(ROW()-4,ポート振替表!$V$5:$V$3507,0),"")</f>
        <v/>
      </c>
    </row>
    <row r="2971" customFormat="false" ht="16.4" hidden="false" customHeight="false" outlineLevel="0" collapsed="false">
      <c r="A2971" s="32" t="str">
        <f aca="false">IF(L2971="","",ROW()-4)</f>
        <v/>
      </c>
      <c r="B2971" s="58" t="str">
        <f aca="false">IF(L2971="","",IF(INDEX(ポート振替表!$W$5:$W$3507,$L2971)="","(なし)",INDEX(ポート振替表!$W$5:$W$3507,$L2971)&amp;""))</f>
        <v/>
      </c>
      <c r="C2971" s="52" t="str">
        <f aca="false">IF(L2971="","",INDEX(ポート振替表!$B$5:$B$3507,$L2971)&amp;" "&amp;INDEX(ポート振替表!$C$5:$C$3507,$L2971)&amp;"  ⇔  "&amp;INDEX(ポート振替表!$H$5:$H$3507,$L2971)&amp;" "&amp;INDEX(ポート振替表!$I$5:$I$3507,$L2971))</f>
        <v/>
      </c>
      <c r="D2971" s="57" t="s">
        <v>158</v>
      </c>
      <c r="E2971" s="59" t="str">
        <f aca="false">IF(L2971="","",IF(INDEX(ポート振替表!$O$5:$O$3507,$L2971)="","(未設定)",INDEX(ポート振替表!$O$5:$O$3507,$L2971)&amp;""))</f>
        <v/>
      </c>
      <c r="F2971" s="52" t="str">
        <f aca="false">IF(L2971="","",INDEX(ポート振替表!$K$5:$K$3507,$L2971)&amp;" "&amp;INDEX(ポート振替表!$L$5:$L$3507,$L2971)&amp;"  ⇔  "&amp;INDEX(ポート振替表!$H$5:$H$3507,$L2971)&amp;" "&amp;INDEX(ポート振替表!$I$5:$I$3507,$L2971))</f>
        <v/>
      </c>
      <c r="G2971" s="57" t="s">
        <v>158</v>
      </c>
      <c r="H2971" s="32" t="str">
        <f aca="false">IF(L2971="","",INDEX(ポート振替表!$N$5:$N$3507,$L2971)&amp;"")</f>
        <v/>
      </c>
      <c r="I2971" s="32" t="str">
        <f aca="false">IF(L2971="","",INDEX(ポート振替表!$P$5:$P$3507,$L2971)&amp;"")</f>
        <v/>
      </c>
      <c r="J2971" s="60" t="str">
        <f aca="false">IF(L2971="","",INDEX(ポート振替表!$M$5:$M$3507,$L2971)&amp;"")</f>
        <v/>
      </c>
      <c r="K2971" s="52" t="str">
        <f aca="false">IF(L2971="","",E2971&amp;CHAR(10)&amp;INDEX(ポート振替表!$K$5:$K$3507,$L2971)&amp;" "&amp;INDEX(ポート振替表!$L$5:$L$3507,$L2971)&amp;CHAR(10)&amp;"⇔ "&amp;INDEX(ポート振替表!$H$5:$H$3507,$L2971)&amp;" "&amp;INDEX(ポート振替表!$I$5:$I$3507,$L2971))</f>
        <v/>
      </c>
      <c r="L2971" s="47" t="str">
        <f aca="false">IFERROR(MATCH(ROW()-4,ポート振替表!$V$5:$V$3507,0),"")</f>
        <v/>
      </c>
    </row>
    <row r="2972" customFormat="false" ht="16.4" hidden="false" customHeight="false" outlineLevel="0" collapsed="false">
      <c r="A2972" s="32" t="str">
        <f aca="false">IF(L2972="","",ROW()-4)</f>
        <v/>
      </c>
      <c r="B2972" s="58" t="str">
        <f aca="false">IF(L2972="","",IF(INDEX(ポート振替表!$W$5:$W$3507,$L2972)="","(なし)",INDEX(ポート振替表!$W$5:$W$3507,$L2972)&amp;""))</f>
        <v/>
      </c>
      <c r="C2972" s="52" t="str">
        <f aca="false">IF(L2972="","",INDEX(ポート振替表!$B$5:$B$3507,$L2972)&amp;" "&amp;INDEX(ポート振替表!$C$5:$C$3507,$L2972)&amp;"  ⇔  "&amp;INDEX(ポート振替表!$H$5:$H$3507,$L2972)&amp;" "&amp;INDEX(ポート振替表!$I$5:$I$3507,$L2972))</f>
        <v/>
      </c>
      <c r="D2972" s="57" t="s">
        <v>158</v>
      </c>
      <c r="E2972" s="59" t="str">
        <f aca="false">IF(L2972="","",IF(INDEX(ポート振替表!$O$5:$O$3507,$L2972)="","(未設定)",INDEX(ポート振替表!$O$5:$O$3507,$L2972)&amp;""))</f>
        <v/>
      </c>
      <c r="F2972" s="52" t="str">
        <f aca="false">IF(L2972="","",INDEX(ポート振替表!$K$5:$K$3507,$L2972)&amp;" "&amp;INDEX(ポート振替表!$L$5:$L$3507,$L2972)&amp;"  ⇔  "&amp;INDEX(ポート振替表!$H$5:$H$3507,$L2972)&amp;" "&amp;INDEX(ポート振替表!$I$5:$I$3507,$L2972))</f>
        <v/>
      </c>
      <c r="G2972" s="57" t="s">
        <v>158</v>
      </c>
      <c r="H2972" s="32" t="str">
        <f aca="false">IF(L2972="","",INDEX(ポート振替表!$N$5:$N$3507,$L2972)&amp;"")</f>
        <v/>
      </c>
      <c r="I2972" s="32" t="str">
        <f aca="false">IF(L2972="","",INDEX(ポート振替表!$P$5:$P$3507,$L2972)&amp;"")</f>
        <v/>
      </c>
      <c r="J2972" s="60" t="str">
        <f aca="false">IF(L2972="","",INDEX(ポート振替表!$M$5:$M$3507,$L2972)&amp;"")</f>
        <v/>
      </c>
      <c r="K2972" s="52" t="str">
        <f aca="false">IF(L2972="","",E2972&amp;CHAR(10)&amp;INDEX(ポート振替表!$K$5:$K$3507,$L2972)&amp;" "&amp;INDEX(ポート振替表!$L$5:$L$3507,$L2972)&amp;CHAR(10)&amp;"⇔ "&amp;INDEX(ポート振替表!$H$5:$H$3507,$L2972)&amp;" "&amp;INDEX(ポート振替表!$I$5:$I$3507,$L2972))</f>
        <v/>
      </c>
      <c r="L2972" s="47" t="str">
        <f aca="false">IFERROR(MATCH(ROW()-4,ポート振替表!$V$5:$V$3507,0),"")</f>
        <v/>
      </c>
    </row>
    <row r="2973" customFormat="false" ht="16.4" hidden="false" customHeight="false" outlineLevel="0" collapsed="false">
      <c r="A2973" s="32" t="str">
        <f aca="false">IF(L2973="","",ROW()-4)</f>
        <v/>
      </c>
      <c r="B2973" s="58" t="str">
        <f aca="false">IF(L2973="","",IF(INDEX(ポート振替表!$W$5:$W$3507,$L2973)="","(なし)",INDEX(ポート振替表!$W$5:$W$3507,$L2973)&amp;""))</f>
        <v/>
      </c>
      <c r="C2973" s="52" t="str">
        <f aca="false">IF(L2973="","",INDEX(ポート振替表!$B$5:$B$3507,$L2973)&amp;" "&amp;INDEX(ポート振替表!$C$5:$C$3507,$L2973)&amp;"  ⇔  "&amp;INDEX(ポート振替表!$H$5:$H$3507,$L2973)&amp;" "&amp;INDEX(ポート振替表!$I$5:$I$3507,$L2973))</f>
        <v/>
      </c>
      <c r="D2973" s="57" t="s">
        <v>158</v>
      </c>
      <c r="E2973" s="59" t="str">
        <f aca="false">IF(L2973="","",IF(INDEX(ポート振替表!$O$5:$O$3507,$L2973)="","(未設定)",INDEX(ポート振替表!$O$5:$O$3507,$L2973)&amp;""))</f>
        <v/>
      </c>
      <c r="F2973" s="52" t="str">
        <f aca="false">IF(L2973="","",INDEX(ポート振替表!$K$5:$K$3507,$L2973)&amp;" "&amp;INDEX(ポート振替表!$L$5:$L$3507,$L2973)&amp;"  ⇔  "&amp;INDEX(ポート振替表!$H$5:$H$3507,$L2973)&amp;" "&amp;INDEX(ポート振替表!$I$5:$I$3507,$L2973))</f>
        <v/>
      </c>
      <c r="G2973" s="57" t="s">
        <v>158</v>
      </c>
      <c r="H2973" s="32" t="str">
        <f aca="false">IF(L2973="","",INDEX(ポート振替表!$N$5:$N$3507,$L2973)&amp;"")</f>
        <v/>
      </c>
      <c r="I2973" s="32" t="str">
        <f aca="false">IF(L2973="","",INDEX(ポート振替表!$P$5:$P$3507,$L2973)&amp;"")</f>
        <v/>
      </c>
      <c r="J2973" s="60" t="str">
        <f aca="false">IF(L2973="","",INDEX(ポート振替表!$M$5:$M$3507,$L2973)&amp;"")</f>
        <v/>
      </c>
      <c r="K2973" s="52" t="str">
        <f aca="false">IF(L2973="","",E2973&amp;CHAR(10)&amp;INDEX(ポート振替表!$K$5:$K$3507,$L2973)&amp;" "&amp;INDEX(ポート振替表!$L$5:$L$3507,$L2973)&amp;CHAR(10)&amp;"⇔ "&amp;INDEX(ポート振替表!$H$5:$H$3507,$L2973)&amp;" "&amp;INDEX(ポート振替表!$I$5:$I$3507,$L2973))</f>
        <v/>
      </c>
      <c r="L2973" s="47" t="str">
        <f aca="false">IFERROR(MATCH(ROW()-4,ポート振替表!$V$5:$V$3507,0),"")</f>
        <v/>
      </c>
    </row>
    <row r="2974" customFormat="false" ht="16.4" hidden="false" customHeight="false" outlineLevel="0" collapsed="false">
      <c r="A2974" s="32" t="str">
        <f aca="false">IF(L2974="","",ROW()-4)</f>
        <v/>
      </c>
      <c r="B2974" s="58" t="str">
        <f aca="false">IF(L2974="","",IF(INDEX(ポート振替表!$W$5:$W$3507,$L2974)="","(なし)",INDEX(ポート振替表!$W$5:$W$3507,$L2974)&amp;""))</f>
        <v/>
      </c>
      <c r="C2974" s="52" t="str">
        <f aca="false">IF(L2974="","",INDEX(ポート振替表!$B$5:$B$3507,$L2974)&amp;" "&amp;INDEX(ポート振替表!$C$5:$C$3507,$L2974)&amp;"  ⇔  "&amp;INDEX(ポート振替表!$H$5:$H$3507,$L2974)&amp;" "&amp;INDEX(ポート振替表!$I$5:$I$3507,$L2974))</f>
        <v/>
      </c>
      <c r="D2974" s="57" t="s">
        <v>158</v>
      </c>
      <c r="E2974" s="59" t="str">
        <f aca="false">IF(L2974="","",IF(INDEX(ポート振替表!$O$5:$O$3507,$L2974)="","(未設定)",INDEX(ポート振替表!$O$5:$O$3507,$L2974)&amp;""))</f>
        <v/>
      </c>
      <c r="F2974" s="52" t="str">
        <f aca="false">IF(L2974="","",INDEX(ポート振替表!$K$5:$K$3507,$L2974)&amp;" "&amp;INDEX(ポート振替表!$L$5:$L$3507,$L2974)&amp;"  ⇔  "&amp;INDEX(ポート振替表!$H$5:$H$3507,$L2974)&amp;" "&amp;INDEX(ポート振替表!$I$5:$I$3507,$L2974))</f>
        <v/>
      </c>
      <c r="G2974" s="57" t="s">
        <v>158</v>
      </c>
      <c r="H2974" s="32" t="str">
        <f aca="false">IF(L2974="","",INDEX(ポート振替表!$N$5:$N$3507,$L2974)&amp;"")</f>
        <v/>
      </c>
      <c r="I2974" s="32" t="str">
        <f aca="false">IF(L2974="","",INDEX(ポート振替表!$P$5:$P$3507,$L2974)&amp;"")</f>
        <v/>
      </c>
      <c r="J2974" s="60" t="str">
        <f aca="false">IF(L2974="","",INDEX(ポート振替表!$M$5:$M$3507,$L2974)&amp;"")</f>
        <v/>
      </c>
      <c r="K2974" s="52" t="str">
        <f aca="false">IF(L2974="","",E2974&amp;CHAR(10)&amp;INDEX(ポート振替表!$K$5:$K$3507,$L2974)&amp;" "&amp;INDEX(ポート振替表!$L$5:$L$3507,$L2974)&amp;CHAR(10)&amp;"⇔ "&amp;INDEX(ポート振替表!$H$5:$H$3507,$L2974)&amp;" "&amp;INDEX(ポート振替表!$I$5:$I$3507,$L2974))</f>
        <v/>
      </c>
      <c r="L2974" s="47" t="str">
        <f aca="false">IFERROR(MATCH(ROW()-4,ポート振替表!$V$5:$V$3507,0),"")</f>
        <v/>
      </c>
    </row>
    <row r="2975" customFormat="false" ht="16.4" hidden="false" customHeight="false" outlineLevel="0" collapsed="false">
      <c r="A2975" s="32" t="str">
        <f aca="false">IF(L2975="","",ROW()-4)</f>
        <v/>
      </c>
      <c r="B2975" s="58" t="str">
        <f aca="false">IF(L2975="","",IF(INDEX(ポート振替表!$W$5:$W$3507,$L2975)="","(なし)",INDEX(ポート振替表!$W$5:$W$3507,$L2975)&amp;""))</f>
        <v/>
      </c>
      <c r="C2975" s="52" t="str">
        <f aca="false">IF(L2975="","",INDEX(ポート振替表!$B$5:$B$3507,$L2975)&amp;" "&amp;INDEX(ポート振替表!$C$5:$C$3507,$L2975)&amp;"  ⇔  "&amp;INDEX(ポート振替表!$H$5:$H$3507,$L2975)&amp;" "&amp;INDEX(ポート振替表!$I$5:$I$3507,$L2975))</f>
        <v/>
      </c>
      <c r="D2975" s="57" t="s">
        <v>158</v>
      </c>
      <c r="E2975" s="59" t="str">
        <f aca="false">IF(L2975="","",IF(INDEX(ポート振替表!$O$5:$O$3507,$L2975)="","(未設定)",INDEX(ポート振替表!$O$5:$O$3507,$L2975)&amp;""))</f>
        <v/>
      </c>
      <c r="F2975" s="52" t="str">
        <f aca="false">IF(L2975="","",INDEX(ポート振替表!$K$5:$K$3507,$L2975)&amp;" "&amp;INDEX(ポート振替表!$L$5:$L$3507,$L2975)&amp;"  ⇔  "&amp;INDEX(ポート振替表!$H$5:$H$3507,$L2975)&amp;" "&amp;INDEX(ポート振替表!$I$5:$I$3507,$L2975))</f>
        <v/>
      </c>
      <c r="G2975" s="57" t="s">
        <v>158</v>
      </c>
      <c r="H2975" s="32" t="str">
        <f aca="false">IF(L2975="","",INDEX(ポート振替表!$N$5:$N$3507,$L2975)&amp;"")</f>
        <v/>
      </c>
      <c r="I2975" s="32" t="str">
        <f aca="false">IF(L2975="","",INDEX(ポート振替表!$P$5:$P$3507,$L2975)&amp;"")</f>
        <v/>
      </c>
      <c r="J2975" s="60" t="str">
        <f aca="false">IF(L2975="","",INDEX(ポート振替表!$M$5:$M$3507,$L2975)&amp;"")</f>
        <v/>
      </c>
      <c r="K2975" s="52" t="str">
        <f aca="false">IF(L2975="","",E2975&amp;CHAR(10)&amp;INDEX(ポート振替表!$K$5:$K$3507,$L2975)&amp;" "&amp;INDEX(ポート振替表!$L$5:$L$3507,$L2975)&amp;CHAR(10)&amp;"⇔ "&amp;INDEX(ポート振替表!$H$5:$H$3507,$L2975)&amp;" "&amp;INDEX(ポート振替表!$I$5:$I$3507,$L2975))</f>
        <v/>
      </c>
      <c r="L2975" s="47" t="str">
        <f aca="false">IFERROR(MATCH(ROW()-4,ポート振替表!$V$5:$V$3507,0),"")</f>
        <v/>
      </c>
    </row>
    <row r="2976" customFormat="false" ht="16.4" hidden="false" customHeight="false" outlineLevel="0" collapsed="false">
      <c r="A2976" s="32" t="str">
        <f aca="false">IF(L2976="","",ROW()-4)</f>
        <v/>
      </c>
      <c r="B2976" s="58" t="str">
        <f aca="false">IF(L2976="","",IF(INDEX(ポート振替表!$W$5:$W$3507,$L2976)="","(なし)",INDEX(ポート振替表!$W$5:$W$3507,$L2976)&amp;""))</f>
        <v/>
      </c>
      <c r="C2976" s="52" t="str">
        <f aca="false">IF(L2976="","",INDEX(ポート振替表!$B$5:$B$3507,$L2976)&amp;" "&amp;INDEX(ポート振替表!$C$5:$C$3507,$L2976)&amp;"  ⇔  "&amp;INDEX(ポート振替表!$H$5:$H$3507,$L2976)&amp;" "&amp;INDEX(ポート振替表!$I$5:$I$3507,$L2976))</f>
        <v/>
      </c>
      <c r="D2976" s="57" t="s">
        <v>158</v>
      </c>
      <c r="E2976" s="59" t="str">
        <f aca="false">IF(L2976="","",IF(INDEX(ポート振替表!$O$5:$O$3507,$L2976)="","(未設定)",INDEX(ポート振替表!$O$5:$O$3507,$L2976)&amp;""))</f>
        <v/>
      </c>
      <c r="F2976" s="52" t="str">
        <f aca="false">IF(L2976="","",INDEX(ポート振替表!$K$5:$K$3507,$L2976)&amp;" "&amp;INDEX(ポート振替表!$L$5:$L$3507,$L2976)&amp;"  ⇔  "&amp;INDEX(ポート振替表!$H$5:$H$3507,$L2976)&amp;" "&amp;INDEX(ポート振替表!$I$5:$I$3507,$L2976))</f>
        <v/>
      </c>
      <c r="G2976" s="57" t="s">
        <v>158</v>
      </c>
      <c r="H2976" s="32" t="str">
        <f aca="false">IF(L2976="","",INDEX(ポート振替表!$N$5:$N$3507,$L2976)&amp;"")</f>
        <v/>
      </c>
      <c r="I2976" s="32" t="str">
        <f aca="false">IF(L2976="","",INDEX(ポート振替表!$P$5:$P$3507,$L2976)&amp;"")</f>
        <v/>
      </c>
      <c r="J2976" s="60" t="str">
        <f aca="false">IF(L2976="","",INDEX(ポート振替表!$M$5:$M$3507,$L2976)&amp;"")</f>
        <v/>
      </c>
      <c r="K2976" s="52" t="str">
        <f aca="false">IF(L2976="","",E2976&amp;CHAR(10)&amp;INDEX(ポート振替表!$K$5:$K$3507,$L2976)&amp;" "&amp;INDEX(ポート振替表!$L$5:$L$3507,$L2976)&amp;CHAR(10)&amp;"⇔ "&amp;INDEX(ポート振替表!$H$5:$H$3507,$L2976)&amp;" "&amp;INDEX(ポート振替表!$I$5:$I$3507,$L2976))</f>
        <v/>
      </c>
      <c r="L2976" s="47" t="str">
        <f aca="false">IFERROR(MATCH(ROW()-4,ポート振替表!$V$5:$V$3507,0),"")</f>
        <v/>
      </c>
    </row>
    <row r="2977" customFormat="false" ht="16.4" hidden="false" customHeight="false" outlineLevel="0" collapsed="false">
      <c r="A2977" s="32" t="str">
        <f aca="false">IF(L2977="","",ROW()-4)</f>
        <v/>
      </c>
      <c r="B2977" s="58" t="str">
        <f aca="false">IF(L2977="","",IF(INDEX(ポート振替表!$W$5:$W$3507,$L2977)="","(なし)",INDEX(ポート振替表!$W$5:$W$3507,$L2977)&amp;""))</f>
        <v/>
      </c>
      <c r="C2977" s="52" t="str">
        <f aca="false">IF(L2977="","",INDEX(ポート振替表!$B$5:$B$3507,$L2977)&amp;" "&amp;INDEX(ポート振替表!$C$5:$C$3507,$L2977)&amp;"  ⇔  "&amp;INDEX(ポート振替表!$H$5:$H$3507,$L2977)&amp;" "&amp;INDEX(ポート振替表!$I$5:$I$3507,$L2977))</f>
        <v/>
      </c>
      <c r="D2977" s="57" t="s">
        <v>158</v>
      </c>
      <c r="E2977" s="59" t="str">
        <f aca="false">IF(L2977="","",IF(INDEX(ポート振替表!$O$5:$O$3507,$L2977)="","(未設定)",INDEX(ポート振替表!$O$5:$O$3507,$L2977)&amp;""))</f>
        <v/>
      </c>
      <c r="F2977" s="52" t="str">
        <f aca="false">IF(L2977="","",INDEX(ポート振替表!$K$5:$K$3507,$L2977)&amp;" "&amp;INDEX(ポート振替表!$L$5:$L$3507,$L2977)&amp;"  ⇔  "&amp;INDEX(ポート振替表!$H$5:$H$3507,$L2977)&amp;" "&amp;INDEX(ポート振替表!$I$5:$I$3507,$L2977))</f>
        <v/>
      </c>
      <c r="G2977" s="57" t="s">
        <v>158</v>
      </c>
      <c r="H2977" s="32" t="str">
        <f aca="false">IF(L2977="","",INDEX(ポート振替表!$N$5:$N$3507,$L2977)&amp;"")</f>
        <v/>
      </c>
      <c r="I2977" s="32" t="str">
        <f aca="false">IF(L2977="","",INDEX(ポート振替表!$P$5:$P$3507,$L2977)&amp;"")</f>
        <v/>
      </c>
      <c r="J2977" s="60" t="str">
        <f aca="false">IF(L2977="","",INDEX(ポート振替表!$M$5:$M$3507,$L2977)&amp;"")</f>
        <v/>
      </c>
      <c r="K2977" s="52" t="str">
        <f aca="false">IF(L2977="","",E2977&amp;CHAR(10)&amp;INDEX(ポート振替表!$K$5:$K$3507,$L2977)&amp;" "&amp;INDEX(ポート振替表!$L$5:$L$3507,$L2977)&amp;CHAR(10)&amp;"⇔ "&amp;INDEX(ポート振替表!$H$5:$H$3507,$L2977)&amp;" "&amp;INDEX(ポート振替表!$I$5:$I$3507,$L2977))</f>
        <v/>
      </c>
      <c r="L2977" s="47" t="str">
        <f aca="false">IFERROR(MATCH(ROW()-4,ポート振替表!$V$5:$V$3507,0),"")</f>
        <v/>
      </c>
    </row>
    <row r="2978" customFormat="false" ht="16.4" hidden="false" customHeight="false" outlineLevel="0" collapsed="false">
      <c r="A2978" s="32" t="str">
        <f aca="false">IF(L2978="","",ROW()-4)</f>
        <v/>
      </c>
      <c r="B2978" s="58" t="str">
        <f aca="false">IF(L2978="","",IF(INDEX(ポート振替表!$W$5:$W$3507,$L2978)="","(なし)",INDEX(ポート振替表!$W$5:$W$3507,$L2978)&amp;""))</f>
        <v/>
      </c>
      <c r="C2978" s="52" t="str">
        <f aca="false">IF(L2978="","",INDEX(ポート振替表!$B$5:$B$3507,$L2978)&amp;" "&amp;INDEX(ポート振替表!$C$5:$C$3507,$L2978)&amp;"  ⇔  "&amp;INDEX(ポート振替表!$H$5:$H$3507,$L2978)&amp;" "&amp;INDEX(ポート振替表!$I$5:$I$3507,$L2978))</f>
        <v/>
      </c>
      <c r="D2978" s="57" t="s">
        <v>158</v>
      </c>
      <c r="E2978" s="59" t="str">
        <f aca="false">IF(L2978="","",IF(INDEX(ポート振替表!$O$5:$O$3507,$L2978)="","(未設定)",INDEX(ポート振替表!$O$5:$O$3507,$L2978)&amp;""))</f>
        <v/>
      </c>
      <c r="F2978" s="52" t="str">
        <f aca="false">IF(L2978="","",INDEX(ポート振替表!$K$5:$K$3507,$L2978)&amp;" "&amp;INDEX(ポート振替表!$L$5:$L$3507,$L2978)&amp;"  ⇔  "&amp;INDEX(ポート振替表!$H$5:$H$3507,$L2978)&amp;" "&amp;INDEX(ポート振替表!$I$5:$I$3507,$L2978))</f>
        <v/>
      </c>
      <c r="G2978" s="57" t="s">
        <v>158</v>
      </c>
      <c r="H2978" s="32" t="str">
        <f aca="false">IF(L2978="","",INDEX(ポート振替表!$N$5:$N$3507,$L2978)&amp;"")</f>
        <v/>
      </c>
      <c r="I2978" s="32" t="str">
        <f aca="false">IF(L2978="","",INDEX(ポート振替表!$P$5:$P$3507,$L2978)&amp;"")</f>
        <v/>
      </c>
      <c r="J2978" s="60" t="str">
        <f aca="false">IF(L2978="","",INDEX(ポート振替表!$M$5:$M$3507,$L2978)&amp;"")</f>
        <v/>
      </c>
      <c r="K2978" s="52" t="str">
        <f aca="false">IF(L2978="","",E2978&amp;CHAR(10)&amp;INDEX(ポート振替表!$K$5:$K$3507,$L2978)&amp;" "&amp;INDEX(ポート振替表!$L$5:$L$3507,$L2978)&amp;CHAR(10)&amp;"⇔ "&amp;INDEX(ポート振替表!$H$5:$H$3507,$L2978)&amp;" "&amp;INDEX(ポート振替表!$I$5:$I$3507,$L2978))</f>
        <v/>
      </c>
      <c r="L2978" s="47" t="str">
        <f aca="false">IFERROR(MATCH(ROW()-4,ポート振替表!$V$5:$V$3507,0),"")</f>
        <v/>
      </c>
    </row>
    <row r="2979" customFormat="false" ht="16.4" hidden="false" customHeight="false" outlineLevel="0" collapsed="false">
      <c r="A2979" s="32" t="str">
        <f aca="false">IF(L2979="","",ROW()-4)</f>
        <v/>
      </c>
      <c r="B2979" s="58" t="str">
        <f aca="false">IF(L2979="","",IF(INDEX(ポート振替表!$W$5:$W$3507,$L2979)="","(なし)",INDEX(ポート振替表!$W$5:$W$3507,$L2979)&amp;""))</f>
        <v/>
      </c>
      <c r="C2979" s="52" t="str">
        <f aca="false">IF(L2979="","",INDEX(ポート振替表!$B$5:$B$3507,$L2979)&amp;" "&amp;INDEX(ポート振替表!$C$5:$C$3507,$L2979)&amp;"  ⇔  "&amp;INDEX(ポート振替表!$H$5:$H$3507,$L2979)&amp;" "&amp;INDEX(ポート振替表!$I$5:$I$3507,$L2979))</f>
        <v/>
      </c>
      <c r="D2979" s="57" t="s">
        <v>158</v>
      </c>
      <c r="E2979" s="59" t="str">
        <f aca="false">IF(L2979="","",IF(INDEX(ポート振替表!$O$5:$O$3507,$L2979)="","(未設定)",INDEX(ポート振替表!$O$5:$O$3507,$L2979)&amp;""))</f>
        <v/>
      </c>
      <c r="F2979" s="52" t="str">
        <f aca="false">IF(L2979="","",INDEX(ポート振替表!$K$5:$K$3507,$L2979)&amp;" "&amp;INDEX(ポート振替表!$L$5:$L$3507,$L2979)&amp;"  ⇔  "&amp;INDEX(ポート振替表!$H$5:$H$3507,$L2979)&amp;" "&amp;INDEX(ポート振替表!$I$5:$I$3507,$L2979))</f>
        <v/>
      </c>
      <c r="G2979" s="57" t="s">
        <v>158</v>
      </c>
      <c r="H2979" s="32" t="str">
        <f aca="false">IF(L2979="","",INDEX(ポート振替表!$N$5:$N$3507,$L2979)&amp;"")</f>
        <v/>
      </c>
      <c r="I2979" s="32" t="str">
        <f aca="false">IF(L2979="","",INDEX(ポート振替表!$P$5:$P$3507,$L2979)&amp;"")</f>
        <v/>
      </c>
      <c r="J2979" s="60" t="str">
        <f aca="false">IF(L2979="","",INDEX(ポート振替表!$M$5:$M$3507,$L2979)&amp;"")</f>
        <v/>
      </c>
      <c r="K2979" s="52" t="str">
        <f aca="false">IF(L2979="","",E2979&amp;CHAR(10)&amp;INDEX(ポート振替表!$K$5:$K$3507,$L2979)&amp;" "&amp;INDEX(ポート振替表!$L$5:$L$3507,$L2979)&amp;CHAR(10)&amp;"⇔ "&amp;INDEX(ポート振替表!$H$5:$H$3507,$L2979)&amp;" "&amp;INDEX(ポート振替表!$I$5:$I$3507,$L2979))</f>
        <v/>
      </c>
      <c r="L2979" s="47" t="str">
        <f aca="false">IFERROR(MATCH(ROW()-4,ポート振替表!$V$5:$V$3507,0),"")</f>
        <v/>
      </c>
    </row>
    <row r="2980" customFormat="false" ht="16.4" hidden="false" customHeight="false" outlineLevel="0" collapsed="false">
      <c r="A2980" s="32" t="str">
        <f aca="false">IF(L2980="","",ROW()-4)</f>
        <v/>
      </c>
      <c r="B2980" s="58" t="str">
        <f aca="false">IF(L2980="","",IF(INDEX(ポート振替表!$W$5:$W$3507,$L2980)="","(なし)",INDEX(ポート振替表!$W$5:$W$3507,$L2980)&amp;""))</f>
        <v/>
      </c>
      <c r="C2980" s="52" t="str">
        <f aca="false">IF(L2980="","",INDEX(ポート振替表!$B$5:$B$3507,$L2980)&amp;" "&amp;INDEX(ポート振替表!$C$5:$C$3507,$L2980)&amp;"  ⇔  "&amp;INDEX(ポート振替表!$H$5:$H$3507,$L2980)&amp;" "&amp;INDEX(ポート振替表!$I$5:$I$3507,$L2980))</f>
        <v/>
      </c>
      <c r="D2980" s="57" t="s">
        <v>158</v>
      </c>
      <c r="E2980" s="59" t="str">
        <f aca="false">IF(L2980="","",IF(INDEX(ポート振替表!$O$5:$O$3507,$L2980)="","(未設定)",INDEX(ポート振替表!$O$5:$O$3507,$L2980)&amp;""))</f>
        <v/>
      </c>
      <c r="F2980" s="52" t="str">
        <f aca="false">IF(L2980="","",INDEX(ポート振替表!$K$5:$K$3507,$L2980)&amp;" "&amp;INDEX(ポート振替表!$L$5:$L$3507,$L2980)&amp;"  ⇔  "&amp;INDEX(ポート振替表!$H$5:$H$3507,$L2980)&amp;" "&amp;INDEX(ポート振替表!$I$5:$I$3507,$L2980))</f>
        <v/>
      </c>
      <c r="G2980" s="57" t="s">
        <v>158</v>
      </c>
      <c r="H2980" s="32" t="str">
        <f aca="false">IF(L2980="","",INDEX(ポート振替表!$N$5:$N$3507,$L2980)&amp;"")</f>
        <v/>
      </c>
      <c r="I2980" s="32" t="str">
        <f aca="false">IF(L2980="","",INDEX(ポート振替表!$P$5:$P$3507,$L2980)&amp;"")</f>
        <v/>
      </c>
      <c r="J2980" s="60" t="str">
        <f aca="false">IF(L2980="","",INDEX(ポート振替表!$M$5:$M$3507,$L2980)&amp;"")</f>
        <v/>
      </c>
      <c r="K2980" s="52" t="str">
        <f aca="false">IF(L2980="","",E2980&amp;CHAR(10)&amp;INDEX(ポート振替表!$K$5:$K$3507,$L2980)&amp;" "&amp;INDEX(ポート振替表!$L$5:$L$3507,$L2980)&amp;CHAR(10)&amp;"⇔ "&amp;INDEX(ポート振替表!$H$5:$H$3507,$L2980)&amp;" "&amp;INDEX(ポート振替表!$I$5:$I$3507,$L2980))</f>
        <v/>
      </c>
      <c r="L2980" s="47" t="str">
        <f aca="false">IFERROR(MATCH(ROW()-4,ポート振替表!$V$5:$V$3507,0),"")</f>
        <v/>
      </c>
    </row>
    <row r="2981" customFormat="false" ht="16.4" hidden="false" customHeight="false" outlineLevel="0" collapsed="false">
      <c r="A2981" s="32" t="str">
        <f aca="false">IF(L2981="","",ROW()-4)</f>
        <v/>
      </c>
      <c r="B2981" s="58" t="str">
        <f aca="false">IF(L2981="","",IF(INDEX(ポート振替表!$W$5:$W$3507,$L2981)="","(なし)",INDEX(ポート振替表!$W$5:$W$3507,$L2981)&amp;""))</f>
        <v/>
      </c>
      <c r="C2981" s="52" t="str">
        <f aca="false">IF(L2981="","",INDEX(ポート振替表!$B$5:$B$3507,$L2981)&amp;" "&amp;INDEX(ポート振替表!$C$5:$C$3507,$L2981)&amp;"  ⇔  "&amp;INDEX(ポート振替表!$H$5:$H$3507,$L2981)&amp;" "&amp;INDEX(ポート振替表!$I$5:$I$3507,$L2981))</f>
        <v/>
      </c>
      <c r="D2981" s="57" t="s">
        <v>158</v>
      </c>
      <c r="E2981" s="59" t="str">
        <f aca="false">IF(L2981="","",IF(INDEX(ポート振替表!$O$5:$O$3507,$L2981)="","(未設定)",INDEX(ポート振替表!$O$5:$O$3507,$L2981)&amp;""))</f>
        <v/>
      </c>
      <c r="F2981" s="52" t="str">
        <f aca="false">IF(L2981="","",INDEX(ポート振替表!$K$5:$K$3507,$L2981)&amp;" "&amp;INDEX(ポート振替表!$L$5:$L$3507,$L2981)&amp;"  ⇔  "&amp;INDEX(ポート振替表!$H$5:$H$3507,$L2981)&amp;" "&amp;INDEX(ポート振替表!$I$5:$I$3507,$L2981))</f>
        <v/>
      </c>
      <c r="G2981" s="57" t="s">
        <v>158</v>
      </c>
      <c r="H2981" s="32" t="str">
        <f aca="false">IF(L2981="","",INDEX(ポート振替表!$N$5:$N$3507,$L2981)&amp;"")</f>
        <v/>
      </c>
      <c r="I2981" s="32" t="str">
        <f aca="false">IF(L2981="","",INDEX(ポート振替表!$P$5:$P$3507,$L2981)&amp;"")</f>
        <v/>
      </c>
      <c r="J2981" s="60" t="str">
        <f aca="false">IF(L2981="","",INDEX(ポート振替表!$M$5:$M$3507,$L2981)&amp;"")</f>
        <v/>
      </c>
      <c r="K2981" s="52" t="str">
        <f aca="false">IF(L2981="","",E2981&amp;CHAR(10)&amp;INDEX(ポート振替表!$K$5:$K$3507,$L2981)&amp;" "&amp;INDEX(ポート振替表!$L$5:$L$3507,$L2981)&amp;CHAR(10)&amp;"⇔ "&amp;INDEX(ポート振替表!$H$5:$H$3507,$L2981)&amp;" "&amp;INDEX(ポート振替表!$I$5:$I$3507,$L2981))</f>
        <v/>
      </c>
      <c r="L2981" s="47" t="str">
        <f aca="false">IFERROR(MATCH(ROW()-4,ポート振替表!$V$5:$V$3507,0),"")</f>
        <v/>
      </c>
    </row>
    <row r="2982" customFormat="false" ht="16.4" hidden="false" customHeight="false" outlineLevel="0" collapsed="false">
      <c r="A2982" s="32" t="str">
        <f aca="false">IF(L2982="","",ROW()-4)</f>
        <v/>
      </c>
      <c r="B2982" s="58" t="str">
        <f aca="false">IF(L2982="","",IF(INDEX(ポート振替表!$W$5:$W$3507,$L2982)="","(なし)",INDEX(ポート振替表!$W$5:$W$3507,$L2982)&amp;""))</f>
        <v/>
      </c>
      <c r="C2982" s="52" t="str">
        <f aca="false">IF(L2982="","",INDEX(ポート振替表!$B$5:$B$3507,$L2982)&amp;" "&amp;INDEX(ポート振替表!$C$5:$C$3507,$L2982)&amp;"  ⇔  "&amp;INDEX(ポート振替表!$H$5:$H$3507,$L2982)&amp;" "&amp;INDEX(ポート振替表!$I$5:$I$3507,$L2982))</f>
        <v/>
      </c>
      <c r="D2982" s="57" t="s">
        <v>158</v>
      </c>
      <c r="E2982" s="59" t="str">
        <f aca="false">IF(L2982="","",IF(INDEX(ポート振替表!$O$5:$O$3507,$L2982)="","(未設定)",INDEX(ポート振替表!$O$5:$O$3507,$L2982)&amp;""))</f>
        <v/>
      </c>
      <c r="F2982" s="52" t="str">
        <f aca="false">IF(L2982="","",INDEX(ポート振替表!$K$5:$K$3507,$L2982)&amp;" "&amp;INDEX(ポート振替表!$L$5:$L$3507,$L2982)&amp;"  ⇔  "&amp;INDEX(ポート振替表!$H$5:$H$3507,$L2982)&amp;" "&amp;INDEX(ポート振替表!$I$5:$I$3507,$L2982))</f>
        <v/>
      </c>
      <c r="G2982" s="57" t="s">
        <v>158</v>
      </c>
      <c r="H2982" s="32" t="str">
        <f aca="false">IF(L2982="","",INDEX(ポート振替表!$N$5:$N$3507,$L2982)&amp;"")</f>
        <v/>
      </c>
      <c r="I2982" s="32" t="str">
        <f aca="false">IF(L2982="","",INDEX(ポート振替表!$P$5:$P$3507,$L2982)&amp;"")</f>
        <v/>
      </c>
      <c r="J2982" s="60" t="str">
        <f aca="false">IF(L2982="","",INDEX(ポート振替表!$M$5:$M$3507,$L2982)&amp;"")</f>
        <v/>
      </c>
      <c r="K2982" s="52" t="str">
        <f aca="false">IF(L2982="","",E2982&amp;CHAR(10)&amp;INDEX(ポート振替表!$K$5:$K$3507,$L2982)&amp;" "&amp;INDEX(ポート振替表!$L$5:$L$3507,$L2982)&amp;CHAR(10)&amp;"⇔ "&amp;INDEX(ポート振替表!$H$5:$H$3507,$L2982)&amp;" "&amp;INDEX(ポート振替表!$I$5:$I$3507,$L2982))</f>
        <v/>
      </c>
      <c r="L2982" s="47" t="str">
        <f aca="false">IFERROR(MATCH(ROW()-4,ポート振替表!$V$5:$V$3507,0),"")</f>
        <v/>
      </c>
    </row>
    <row r="2983" customFormat="false" ht="16.4" hidden="false" customHeight="false" outlineLevel="0" collapsed="false">
      <c r="A2983" s="32" t="str">
        <f aca="false">IF(L2983="","",ROW()-4)</f>
        <v/>
      </c>
      <c r="B2983" s="58" t="str">
        <f aca="false">IF(L2983="","",IF(INDEX(ポート振替表!$W$5:$W$3507,$L2983)="","(なし)",INDEX(ポート振替表!$W$5:$W$3507,$L2983)&amp;""))</f>
        <v/>
      </c>
      <c r="C2983" s="52" t="str">
        <f aca="false">IF(L2983="","",INDEX(ポート振替表!$B$5:$B$3507,$L2983)&amp;" "&amp;INDEX(ポート振替表!$C$5:$C$3507,$L2983)&amp;"  ⇔  "&amp;INDEX(ポート振替表!$H$5:$H$3507,$L2983)&amp;" "&amp;INDEX(ポート振替表!$I$5:$I$3507,$L2983))</f>
        <v/>
      </c>
      <c r="D2983" s="57" t="s">
        <v>158</v>
      </c>
      <c r="E2983" s="59" t="str">
        <f aca="false">IF(L2983="","",IF(INDEX(ポート振替表!$O$5:$O$3507,$L2983)="","(未設定)",INDEX(ポート振替表!$O$5:$O$3507,$L2983)&amp;""))</f>
        <v/>
      </c>
      <c r="F2983" s="52" t="str">
        <f aca="false">IF(L2983="","",INDEX(ポート振替表!$K$5:$K$3507,$L2983)&amp;" "&amp;INDEX(ポート振替表!$L$5:$L$3507,$L2983)&amp;"  ⇔  "&amp;INDEX(ポート振替表!$H$5:$H$3507,$L2983)&amp;" "&amp;INDEX(ポート振替表!$I$5:$I$3507,$L2983))</f>
        <v/>
      </c>
      <c r="G2983" s="57" t="s">
        <v>158</v>
      </c>
      <c r="H2983" s="32" t="str">
        <f aca="false">IF(L2983="","",INDEX(ポート振替表!$N$5:$N$3507,$L2983)&amp;"")</f>
        <v/>
      </c>
      <c r="I2983" s="32" t="str">
        <f aca="false">IF(L2983="","",INDEX(ポート振替表!$P$5:$P$3507,$L2983)&amp;"")</f>
        <v/>
      </c>
      <c r="J2983" s="60" t="str">
        <f aca="false">IF(L2983="","",INDEX(ポート振替表!$M$5:$M$3507,$L2983)&amp;"")</f>
        <v/>
      </c>
      <c r="K2983" s="52" t="str">
        <f aca="false">IF(L2983="","",E2983&amp;CHAR(10)&amp;INDEX(ポート振替表!$K$5:$K$3507,$L2983)&amp;" "&amp;INDEX(ポート振替表!$L$5:$L$3507,$L2983)&amp;CHAR(10)&amp;"⇔ "&amp;INDEX(ポート振替表!$H$5:$H$3507,$L2983)&amp;" "&amp;INDEX(ポート振替表!$I$5:$I$3507,$L2983))</f>
        <v/>
      </c>
      <c r="L2983" s="47" t="str">
        <f aca="false">IFERROR(MATCH(ROW()-4,ポート振替表!$V$5:$V$3507,0),"")</f>
        <v/>
      </c>
    </row>
    <row r="2984" customFormat="false" ht="16.4" hidden="false" customHeight="false" outlineLevel="0" collapsed="false">
      <c r="A2984" s="32" t="str">
        <f aca="false">IF(L2984="","",ROW()-4)</f>
        <v/>
      </c>
      <c r="B2984" s="58" t="str">
        <f aca="false">IF(L2984="","",IF(INDEX(ポート振替表!$W$5:$W$3507,$L2984)="","(なし)",INDEX(ポート振替表!$W$5:$W$3507,$L2984)&amp;""))</f>
        <v/>
      </c>
      <c r="C2984" s="52" t="str">
        <f aca="false">IF(L2984="","",INDEX(ポート振替表!$B$5:$B$3507,$L2984)&amp;" "&amp;INDEX(ポート振替表!$C$5:$C$3507,$L2984)&amp;"  ⇔  "&amp;INDEX(ポート振替表!$H$5:$H$3507,$L2984)&amp;" "&amp;INDEX(ポート振替表!$I$5:$I$3507,$L2984))</f>
        <v/>
      </c>
      <c r="D2984" s="57" t="s">
        <v>158</v>
      </c>
      <c r="E2984" s="59" t="str">
        <f aca="false">IF(L2984="","",IF(INDEX(ポート振替表!$O$5:$O$3507,$L2984)="","(未設定)",INDEX(ポート振替表!$O$5:$O$3507,$L2984)&amp;""))</f>
        <v/>
      </c>
      <c r="F2984" s="52" t="str">
        <f aca="false">IF(L2984="","",INDEX(ポート振替表!$K$5:$K$3507,$L2984)&amp;" "&amp;INDEX(ポート振替表!$L$5:$L$3507,$L2984)&amp;"  ⇔  "&amp;INDEX(ポート振替表!$H$5:$H$3507,$L2984)&amp;" "&amp;INDEX(ポート振替表!$I$5:$I$3507,$L2984))</f>
        <v/>
      </c>
      <c r="G2984" s="57" t="s">
        <v>158</v>
      </c>
      <c r="H2984" s="32" t="str">
        <f aca="false">IF(L2984="","",INDEX(ポート振替表!$N$5:$N$3507,$L2984)&amp;"")</f>
        <v/>
      </c>
      <c r="I2984" s="32" t="str">
        <f aca="false">IF(L2984="","",INDEX(ポート振替表!$P$5:$P$3507,$L2984)&amp;"")</f>
        <v/>
      </c>
      <c r="J2984" s="60" t="str">
        <f aca="false">IF(L2984="","",INDEX(ポート振替表!$M$5:$M$3507,$L2984)&amp;"")</f>
        <v/>
      </c>
      <c r="K2984" s="52" t="str">
        <f aca="false">IF(L2984="","",E2984&amp;CHAR(10)&amp;INDEX(ポート振替表!$K$5:$K$3507,$L2984)&amp;" "&amp;INDEX(ポート振替表!$L$5:$L$3507,$L2984)&amp;CHAR(10)&amp;"⇔ "&amp;INDEX(ポート振替表!$H$5:$H$3507,$L2984)&amp;" "&amp;INDEX(ポート振替表!$I$5:$I$3507,$L2984))</f>
        <v/>
      </c>
      <c r="L2984" s="47" t="str">
        <f aca="false">IFERROR(MATCH(ROW()-4,ポート振替表!$V$5:$V$3507,0),"")</f>
        <v/>
      </c>
    </row>
    <row r="2985" customFormat="false" ht="16.4" hidden="false" customHeight="false" outlineLevel="0" collapsed="false">
      <c r="A2985" s="32" t="str">
        <f aca="false">IF(L2985="","",ROW()-4)</f>
        <v/>
      </c>
      <c r="B2985" s="58" t="str">
        <f aca="false">IF(L2985="","",IF(INDEX(ポート振替表!$W$5:$W$3507,$L2985)="","(なし)",INDEX(ポート振替表!$W$5:$W$3507,$L2985)&amp;""))</f>
        <v/>
      </c>
      <c r="C2985" s="52" t="str">
        <f aca="false">IF(L2985="","",INDEX(ポート振替表!$B$5:$B$3507,$L2985)&amp;" "&amp;INDEX(ポート振替表!$C$5:$C$3507,$L2985)&amp;"  ⇔  "&amp;INDEX(ポート振替表!$H$5:$H$3507,$L2985)&amp;" "&amp;INDEX(ポート振替表!$I$5:$I$3507,$L2985))</f>
        <v/>
      </c>
      <c r="D2985" s="57" t="s">
        <v>158</v>
      </c>
      <c r="E2985" s="59" t="str">
        <f aca="false">IF(L2985="","",IF(INDEX(ポート振替表!$O$5:$O$3507,$L2985)="","(未設定)",INDEX(ポート振替表!$O$5:$O$3507,$L2985)&amp;""))</f>
        <v/>
      </c>
      <c r="F2985" s="52" t="str">
        <f aca="false">IF(L2985="","",INDEX(ポート振替表!$K$5:$K$3507,$L2985)&amp;" "&amp;INDEX(ポート振替表!$L$5:$L$3507,$L2985)&amp;"  ⇔  "&amp;INDEX(ポート振替表!$H$5:$H$3507,$L2985)&amp;" "&amp;INDEX(ポート振替表!$I$5:$I$3507,$L2985))</f>
        <v/>
      </c>
      <c r="G2985" s="57" t="s">
        <v>158</v>
      </c>
      <c r="H2985" s="32" t="str">
        <f aca="false">IF(L2985="","",INDEX(ポート振替表!$N$5:$N$3507,$L2985)&amp;"")</f>
        <v/>
      </c>
      <c r="I2985" s="32" t="str">
        <f aca="false">IF(L2985="","",INDEX(ポート振替表!$P$5:$P$3507,$L2985)&amp;"")</f>
        <v/>
      </c>
      <c r="J2985" s="60" t="str">
        <f aca="false">IF(L2985="","",INDEX(ポート振替表!$M$5:$M$3507,$L2985)&amp;"")</f>
        <v/>
      </c>
      <c r="K2985" s="52" t="str">
        <f aca="false">IF(L2985="","",E2985&amp;CHAR(10)&amp;INDEX(ポート振替表!$K$5:$K$3507,$L2985)&amp;" "&amp;INDEX(ポート振替表!$L$5:$L$3507,$L2985)&amp;CHAR(10)&amp;"⇔ "&amp;INDEX(ポート振替表!$H$5:$H$3507,$L2985)&amp;" "&amp;INDEX(ポート振替表!$I$5:$I$3507,$L2985))</f>
        <v/>
      </c>
      <c r="L2985" s="47" t="str">
        <f aca="false">IFERROR(MATCH(ROW()-4,ポート振替表!$V$5:$V$3507,0),"")</f>
        <v/>
      </c>
    </row>
    <row r="2986" customFormat="false" ht="16.4" hidden="false" customHeight="false" outlineLevel="0" collapsed="false">
      <c r="A2986" s="32" t="str">
        <f aca="false">IF(L2986="","",ROW()-4)</f>
        <v/>
      </c>
      <c r="B2986" s="58" t="str">
        <f aca="false">IF(L2986="","",IF(INDEX(ポート振替表!$W$5:$W$3507,$L2986)="","(なし)",INDEX(ポート振替表!$W$5:$W$3507,$L2986)&amp;""))</f>
        <v/>
      </c>
      <c r="C2986" s="52" t="str">
        <f aca="false">IF(L2986="","",INDEX(ポート振替表!$B$5:$B$3507,$L2986)&amp;" "&amp;INDEX(ポート振替表!$C$5:$C$3507,$L2986)&amp;"  ⇔  "&amp;INDEX(ポート振替表!$H$5:$H$3507,$L2986)&amp;" "&amp;INDEX(ポート振替表!$I$5:$I$3507,$L2986))</f>
        <v/>
      </c>
      <c r="D2986" s="57" t="s">
        <v>158</v>
      </c>
      <c r="E2986" s="59" t="str">
        <f aca="false">IF(L2986="","",IF(INDEX(ポート振替表!$O$5:$O$3507,$L2986)="","(未設定)",INDEX(ポート振替表!$O$5:$O$3507,$L2986)&amp;""))</f>
        <v/>
      </c>
      <c r="F2986" s="52" t="str">
        <f aca="false">IF(L2986="","",INDEX(ポート振替表!$K$5:$K$3507,$L2986)&amp;" "&amp;INDEX(ポート振替表!$L$5:$L$3507,$L2986)&amp;"  ⇔  "&amp;INDEX(ポート振替表!$H$5:$H$3507,$L2986)&amp;" "&amp;INDEX(ポート振替表!$I$5:$I$3507,$L2986))</f>
        <v/>
      </c>
      <c r="G2986" s="57" t="s">
        <v>158</v>
      </c>
      <c r="H2986" s="32" t="str">
        <f aca="false">IF(L2986="","",INDEX(ポート振替表!$N$5:$N$3507,$L2986)&amp;"")</f>
        <v/>
      </c>
      <c r="I2986" s="32" t="str">
        <f aca="false">IF(L2986="","",INDEX(ポート振替表!$P$5:$P$3507,$L2986)&amp;"")</f>
        <v/>
      </c>
      <c r="J2986" s="60" t="str">
        <f aca="false">IF(L2986="","",INDEX(ポート振替表!$M$5:$M$3507,$L2986)&amp;"")</f>
        <v/>
      </c>
      <c r="K2986" s="52" t="str">
        <f aca="false">IF(L2986="","",E2986&amp;CHAR(10)&amp;INDEX(ポート振替表!$K$5:$K$3507,$L2986)&amp;" "&amp;INDEX(ポート振替表!$L$5:$L$3507,$L2986)&amp;CHAR(10)&amp;"⇔ "&amp;INDEX(ポート振替表!$H$5:$H$3507,$L2986)&amp;" "&amp;INDEX(ポート振替表!$I$5:$I$3507,$L2986))</f>
        <v/>
      </c>
      <c r="L2986" s="47" t="str">
        <f aca="false">IFERROR(MATCH(ROW()-4,ポート振替表!$V$5:$V$3507,0),"")</f>
        <v/>
      </c>
    </row>
    <row r="2987" customFormat="false" ht="16.4" hidden="false" customHeight="false" outlineLevel="0" collapsed="false">
      <c r="A2987" s="32" t="str">
        <f aca="false">IF(L2987="","",ROW()-4)</f>
        <v/>
      </c>
      <c r="B2987" s="58" t="str">
        <f aca="false">IF(L2987="","",IF(INDEX(ポート振替表!$W$5:$W$3507,$L2987)="","(なし)",INDEX(ポート振替表!$W$5:$W$3507,$L2987)&amp;""))</f>
        <v/>
      </c>
      <c r="C2987" s="52" t="str">
        <f aca="false">IF(L2987="","",INDEX(ポート振替表!$B$5:$B$3507,$L2987)&amp;" "&amp;INDEX(ポート振替表!$C$5:$C$3507,$L2987)&amp;"  ⇔  "&amp;INDEX(ポート振替表!$H$5:$H$3507,$L2987)&amp;" "&amp;INDEX(ポート振替表!$I$5:$I$3507,$L2987))</f>
        <v/>
      </c>
      <c r="D2987" s="57" t="s">
        <v>158</v>
      </c>
      <c r="E2987" s="59" t="str">
        <f aca="false">IF(L2987="","",IF(INDEX(ポート振替表!$O$5:$O$3507,$L2987)="","(未設定)",INDEX(ポート振替表!$O$5:$O$3507,$L2987)&amp;""))</f>
        <v/>
      </c>
      <c r="F2987" s="52" t="str">
        <f aca="false">IF(L2987="","",INDEX(ポート振替表!$K$5:$K$3507,$L2987)&amp;" "&amp;INDEX(ポート振替表!$L$5:$L$3507,$L2987)&amp;"  ⇔  "&amp;INDEX(ポート振替表!$H$5:$H$3507,$L2987)&amp;" "&amp;INDEX(ポート振替表!$I$5:$I$3507,$L2987))</f>
        <v/>
      </c>
      <c r="G2987" s="57" t="s">
        <v>158</v>
      </c>
      <c r="H2987" s="32" t="str">
        <f aca="false">IF(L2987="","",INDEX(ポート振替表!$N$5:$N$3507,$L2987)&amp;"")</f>
        <v/>
      </c>
      <c r="I2987" s="32" t="str">
        <f aca="false">IF(L2987="","",INDEX(ポート振替表!$P$5:$P$3507,$L2987)&amp;"")</f>
        <v/>
      </c>
      <c r="J2987" s="60" t="str">
        <f aca="false">IF(L2987="","",INDEX(ポート振替表!$M$5:$M$3507,$L2987)&amp;"")</f>
        <v/>
      </c>
      <c r="K2987" s="52" t="str">
        <f aca="false">IF(L2987="","",E2987&amp;CHAR(10)&amp;INDEX(ポート振替表!$K$5:$K$3507,$L2987)&amp;" "&amp;INDEX(ポート振替表!$L$5:$L$3507,$L2987)&amp;CHAR(10)&amp;"⇔ "&amp;INDEX(ポート振替表!$H$5:$H$3507,$L2987)&amp;" "&amp;INDEX(ポート振替表!$I$5:$I$3507,$L2987))</f>
        <v/>
      </c>
      <c r="L2987" s="47" t="str">
        <f aca="false">IFERROR(MATCH(ROW()-4,ポート振替表!$V$5:$V$3507,0),"")</f>
        <v/>
      </c>
    </row>
    <row r="2988" customFormat="false" ht="16.4" hidden="false" customHeight="false" outlineLevel="0" collapsed="false">
      <c r="A2988" s="32" t="str">
        <f aca="false">IF(L2988="","",ROW()-4)</f>
        <v/>
      </c>
      <c r="B2988" s="58" t="str">
        <f aca="false">IF(L2988="","",IF(INDEX(ポート振替表!$W$5:$W$3507,$L2988)="","(なし)",INDEX(ポート振替表!$W$5:$W$3507,$L2988)&amp;""))</f>
        <v/>
      </c>
      <c r="C2988" s="52" t="str">
        <f aca="false">IF(L2988="","",INDEX(ポート振替表!$B$5:$B$3507,$L2988)&amp;" "&amp;INDEX(ポート振替表!$C$5:$C$3507,$L2988)&amp;"  ⇔  "&amp;INDEX(ポート振替表!$H$5:$H$3507,$L2988)&amp;" "&amp;INDEX(ポート振替表!$I$5:$I$3507,$L2988))</f>
        <v/>
      </c>
      <c r="D2988" s="57" t="s">
        <v>158</v>
      </c>
      <c r="E2988" s="59" t="str">
        <f aca="false">IF(L2988="","",IF(INDEX(ポート振替表!$O$5:$O$3507,$L2988)="","(未設定)",INDEX(ポート振替表!$O$5:$O$3507,$L2988)&amp;""))</f>
        <v/>
      </c>
      <c r="F2988" s="52" t="str">
        <f aca="false">IF(L2988="","",INDEX(ポート振替表!$K$5:$K$3507,$L2988)&amp;" "&amp;INDEX(ポート振替表!$L$5:$L$3507,$L2988)&amp;"  ⇔  "&amp;INDEX(ポート振替表!$H$5:$H$3507,$L2988)&amp;" "&amp;INDEX(ポート振替表!$I$5:$I$3507,$L2988))</f>
        <v/>
      </c>
      <c r="G2988" s="57" t="s">
        <v>158</v>
      </c>
      <c r="H2988" s="32" t="str">
        <f aca="false">IF(L2988="","",INDEX(ポート振替表!$N$5:$N$3507,$L2988)&amp;"")</f>
        <v/>
      </c>
      <c r="I2988" s="32" t="str">
        <f aca="false">IF(L2988="","",INDEX(ポート振替表!$P$5:$P$3507,$L2988)&amp;"")</f>
        <v/>
      </c>
      <c r="J2988" s="60" t="str">
        <f aca="false">IF(L2988="","",INDEX(ポート振替表!$M$5:$M$3507,$L2988)&amp;"")</f>
        <v/>
      </c>
      <c r="K2988" s="52" t="str">
        <f aca="false">IF(L2988="","",E2988&amp;CHAR(10)&amp;INDEX(ポート振替表!$K$5:$K$3507,$L2988)&amp;" "&amp;INDEX(ポート振替表!$L$5:$L$3507,$L2988)&amp;CHAR(10)&amp;"⇔ "&amp;INDEX(ポート振替表!$H$5:$H$3507,$L2988)&amp;" "&amp;INDEX(ポート振替表!$I$5:$I$3507,$L2988))</f>
        <v/>
      </c>
      <c r="L2988" s="47" t="str">
        <f aca="false">IFERROR(MATCH(ROW()-4,ポート振替表!$V$5:$V$3507,0),"")</f>
        <v/>
      </c>
    </row>
    <row r="2989" customFormat="false" ht="16.4" hidden="false" customHeight="false" outlineLevel="0" collapsed="false">
      <c r="A2989" s="32" t="str">
        <f aca="false">IF(L2989="","",ROW()-4)</f>
        <v/>
      </c>
      <c r="B2989" s="58" t="str">
        <f aca="false">IF(L2989="","",IF(INDEX(ポート振替表!$W$5:$W$3507,$L2989)="","(なし)",INDEX(ポート振替表!$W$5:$W$3507,$L2989)&amp;""))</f>
        <v/>
      </c>
      <c r="C2989" s="52" t="str">
        <f aca="false">IF(L2989="","",INDEX(ポート振替表!$B$5:$B$3507,$L2989)&amp;" "&amp;INDEX(ポート振替表!$C$5:$C$3507,$L2989)&amp;"  ⇔  "&amp;INDEX(ポート振替表!$H$5:$H$3507,$L2989)&amp;" "&amp;INDEX(ポート振替表!$I$5:$I$3507,$L2989))</f>
        <v/>
      </c>
      <c r="D2989" s="57" t="s">
        <v>158</v>
      </c>
      <c r="E2989" s="59" t="str">
        <f aca="false">IF(L2989="","",IF(INDEX(ポート振替表!$O$5:$O$3507,$L2989)="","(未設定)",INDEX(ポート振替表!$O$5:$O$3507,$L2989)&amp;""))</f>
        <v/>
      </c>
      <c r="F2989" s="52" t="str">
        <f aca="false">IF(L2989="","",INDEX(ポート振替表!$K$5:$K$3507,$L2989)&amp;" "&amp;INDEX(ポート振替表!$L$5:$L$3507,$L2989)&amp;"  ⇔  "&amp;INDEX(ポート振替表!$H$5:$H$3507,$L2989)&amp;" "&amp;INDEX(ポート振替表!$I$5:$I$3507,$L2989))</f>
        <v/>
      </c>
      <c r="G2989" s="57" t="s">
        <v>158</v>
      </c>
      <c r="H2989" s="32" t="str">
        <f aca="false">IF(L2989="","",INDEX(ポート振替表!$N$5:$N$3507,$L2989)&amp;"")</f>
        <v/>
      </c>
      <c r="I2989" s="32" t="str">
        <f aca="false">IF(L2989="","",INDEX(ポート振替表!$P$5:$P$3507,$L2989)&amp;"")</f>
        <v/>
      </c>
      <c r="J2989" s="60" t="str">
        <f aca="false">IF(L2989="","",INDEX(ポート振替表!$M$5:$M$3507,$L2989)&amp;"")</f>
        <v/>
      </c>
      <c r="K2989" s="52" t="str">
        <f aca="false">IF(L2989="","",E2989&amp;CHAR(10)&amp;INDEX(ポート振替表!$K$5:$K$3507,$L2989)&amp;" "&amp;INDEX(ポート振替表!$L$5:$L$3507,$L2989)&amp;CHAR(10)&amp;"⇔ "&amp;INDEX(ポート振替表!$H$5:$H$3507,$L2989)&amp;" "&amp;INDEX(ポート振替表!$I$5:$I$3507,$L2989))</f>
        <v/>
      </c>
      <c r="L2989" s="47" t="str">
        <f aca="false">IFERROR(MATCH(ROW()-4,ポート振替表!$V$5:$V$3507,0),"")</f>
        <v/>
      </c>
    </row>
    <row r="2990" customFormat="false" ht="16.4" hidden="false" customHeight="false" outlineLevel="0" collapsed="false">
      <c r="A2990" s="32" t="str">
        <f aca="false">IF(L2990="","",ROW()-4)</f>
        <v/>
      </c>
      <c r="B2990" s="58" t="str">
        <f aca="false">IF(L2990="","",IF(INDEX(ポート振替表!$W$5:$W$3507,$L2990)="","(なし)",INDEX(ポート振替表!$W$5:$W$3507,$L2990)&amp;""))</f>
        <v/>
      </c>
      <c r="C2990" s="52" t="str">
        <f aca="false">IF(L2990="","",INDEX(ポート振替表!$B$5:$B$3507,$L2990)&amp;" "&amp;INDEX(ポート振替表!$C$5:$C$3507,$L2990)&amp;"  ⇔  "&amp;INDEX(ポート振替表!$H$5:$H$3507,$L2990)&amp;" "&amp;INDEX(ポート振替表!$I$5:$I$3507,$L2990))</f>
        <v/>
      </c>
      <c r="D2990" s="57" t="s">
        <v>158</v>
      </c>
      <c r="E2990" s="59" t="str">
        <f aca="false">IF(L2990="","",IF(INDEX(ポート振替表!$O$5:$O$3507,$L2990)="","(未設定)",INDEX(ポート振替表!$O$5:$O$3507,$L2990)&amp;""))</f>
        <v/>
      </c>
      <c r="F2990" s="52" t="str">
        <f aca="false">IF(L2990="","",INDEX(ポート振替表!$K$5:$K$3507,$L2990)&amp;" "&amp;INDEX(ポート振替表!$L$5:$L$3507,$L2990)&amp;"  ⇔  "&amp;INDEX(ポート振替表!$H$5:$H$3507,$L2990)&amp;" "&amp;INDEX(ポート振替表!$I$5:$I$3507,$L2990))</f>
        <v/>
      </c>
      <c r="G2990" s="57" t="s">
        <v>158</v>
      </c>
      <c r="H2990" s="32" t="str">
        <f aca="false">IF(L2990="","",INDEX(ポート振替表!$N$5:$N$3507,$L2990)&amp;"")</f>
        <v/>
      </c>
      <c r="I2990" s="32" t="str">
        <f aca="false">IF(L2990="","",INDEX(ポート振替表!$P$5:$P$3507,$L2990)&amp;"")</f>
        <v/>
      </c>
      <c r="J2990" s="60" t="str">
        <f aca="false">IF(L2990="","",INDEX(ポート振替表!$M$5:$M$3507,$L2990)&amp;"")</f>
        <v/>
      </c>
      <c r="K2990" s="52" t="str">
        <f aca="false">IF(L2990="","",E2990&amp;CHAR(10)&amp;INDEX(ポート振替表!$K$5:$K$3507,$L2990)&amp;" "&amp;INDEX(ポート振替表!$L$5:$L$3507,$L2990)&amp;CHAR(10)&amp;"⇔ "&amp;INDEX(ポート振替表!$H$5:$H$3507,$L2990)&amp;" "&amp;INDEX(ポート振替表!$I$5:$I$3507,$L2990))</f>
        <v/>
      </c>
      <c r="L2990" s="47" t="str">
        <f aca="false">IFERROR(MATCH(ROW()-4,ポート振替表!$V$5:$V$3507,0),"")</f>
        <v/>
      </c>
    </row>
    <row r="2991" customFormat="false" ht="16.4" hidden="false" customHeight="false" outlineLevel="0" collapsed="false">
      <c r="A2991" s="32" t="str">
        <f aca="false">IF(L2991="","",ROW()-4)</f>
        <v/>
      </c>
      <c r="B2991" s="58" t="str">
        <f aca="false">IF(L2991="","",IF(INDEX(ポート振替表!$W$5:$W$3507,$L2991)="","(なし)",INDEX(ポート振替表!$W$5:$W$3507,$L2991)&amp;""))</f>
        <v/>
      </c>
      <c r="C2991" s="52" t="str">
        <f aca="false">IF(L2991="","",INDEX(ポート振替表!$B$5:$B$3507,$L2991)&amp;" "&amp;INDEX(ポート振替表!$C$5:$C$3507,$L2991)&amp;"  ⇔  "&amp;INDEX(ポート振替表!$H$5:$H$3507,$L2991)&amp;" "&amp;INDEX(ポート振替表!$I$5:$I$3507,$L2991))</f>
        <v/>
      </c>
      <c r="D2991" s="57" t="s">
        <v>158</v>
      </c>
      <c r="E2991" s="59" t="str">
        <f aca="false">IF(L2991="","",IF(INDEX(ポート振替表!$O$5:$O$3507,$L2991)="","(未設定)",INDEX(ポート振替表!$O$5:$O$3507,$L2991)&amp;""))</f>
        <v/>
      </c>
      <c r="F2991" s="52" t="str">
        <f aca="false">IF(L2991="","",INDEX(ポート振替表!$K$5:$K$3507,$L2991)&amp;" "&amp;INDEX(ポート振替表!$L$5:$L$3507,$L2991)&amp;"  ⇔  "&amp;INDEX(ポート振替表!$H$5:$H$3507,$L2991)&amp;" "&amp;INDEX(ポート振替表!$I$5:$I$3507,$L2991))</f>
        <v/>
      </c>
      <c r="G2991" s="57" t="s">
        <v>158</v>
      </c>
      <c r="H2991" s="32" t="str">
        <f aca="false">IF(L2991="","",INDEX(ポート振替表!$N$5:$N$3507,$L2991)&amp;"")</f>
        <v/>
      </c>
      <c r="I2991" s="32" t="str">
        <f aca="false">IF(L2991="","",INDEX(ポート振替表!$P$5:$P$3507,$L2991)&amp;"")</f>
        <v/>
      </c>
      <c r="J2991" s="60" t="str">
        <f aca="false">IF(L2991="","",INDEX(ポート振替表!$M$5:$M$3507,$L2991)&amp;"")</f>
        <v/>
      </c>
      <c r="K2991" s="52" t="str">
        <f aca="false">IF(L2991="","",E2991&amp;CHAR(10)&amp;INDEX(ポート振替表!$K$5:$K$3507,$L2991)&amp;" "&amp;INDEX(ポート振替表!$L$5:$L$3507,$L2991)&amp;CHAR(10)&amp;"⇔ "&amp;INDEX(ポート振替表!$H$5:$H$3507,$L2991)&amp;" "&amp;INDEX(ポート振替表!$I$5:$I$3507,$L2991))</f>
        <v/>
      </c>
      <c r="L2991" s="47" t="str">
        <f aca="false">IFERROR(MATCH(ROW()-4,ポート振替表!$V$5:$V$3507,0),"")</f>
        <v/>
      </c>
    </row>
    <row r="2992" customFormat="false" ht="16.4" hidden="false" customHeight="false" outlineLevel="0" collapsed="false">
      <c r="A2992" s="32" t="str">
        <f aca="false">IF(L2992="","",ROW()-4)</f>
        <v/>
      </c>
      <c r="B2992" s="58" t="str">
        <f aca="false">IF(L2992="","",IF(INDEX(ポート振替表!$W$5:$W$3507,$L2992)="","(なし)",INDEX(ポート振替表!$W$5:$W$3507,$L2992)&amp;""))</f>
        <v/>
      </c>
      <c r="C2992" s="52" t="str">
        <f aca="false">IF(L2992="","",INDEX(ポート振替表!$B$5:$B$3507,$L2992)&amp;" "&amp;INDEX(ポート振替表!$C$5:$C$3507,$L2992)&amp;"  ⇔  "&amp;INDEX(ポート振替表!$H$5:$H$3507,$L2992)&amp;" "&amp;INDEX(ポート振替表!$I$5:$I$3507,$L2992))</f>
        <v/>
      </c>
      <c r="D2992" s="57" t="s">
        <v>158</v>
      </c>
      <c r="E2992" s="59" t="str">
        <f aca="false">IF(L2992="","",IF(INDEX(ポート振替表!$O$5:$O$3507,$L2992)="","(未設定)",INDEX(ポート振替表!$O$5:$O$3507,$L2992)&amp;""))</f>
        <v/>
      </c>
      <c r="F2992" s="52" t="str">
        <f aca="false">IF(L2992="","",INDEX(ポート振替表!$K$5:$K$3507,$L2992)&amp;" "&amp;INDEX(ポート振替表!$L$5:$L$3507,$L2992)&amp;"  ⇔  "&amp;INDEX(ポート振替表!$H$5:$H$3507,$L2992)&amp;" "&amp;INDEX(ポート振替表!$I$5:$I$3507,$L2992))</f>
        <v/>
      </c>
      <c r="G2992" s="57" t="s">
        <v>158</v>
      </c>
      <c r="H2992" s="32" t="str">
        <f aca="false">IF(L2992="","",INDEX(ポート振替表!$N$5:$N$3507,$L2992)&amp;"")</f>
        <v/>
      </c>
      <c r="I2992" s="32" t="str">
        <f aca="false">IF(L2992="","",INDEX(ポート振替表!$P$5:$P$3507,$L2992)&amp;"")</f>
        <v/>
      </c>
      <c r="J2992" s="60" t="str">
        <f aca="false">IF(L2992="","",INDEX(ポート振替表!$M$5:$M$3507,$L2992)&amp;"")</f>
        <v/>
      </c>
      <c r="K2992" s="52" t="str">
        <f aca="false">IF(L2992="","",E2992&amp;CHAR(10)&amp;INDEX(ポート振替表!$K$5:$K$3507,$L2992)&amp;" "&amp;INDEX(ポート振替表!$L$5:$L$3507,$L2992)&amp;CHAR(10)&amp;"⇔ "&amp;INDEX(ポート振替表!$H$5:$H$3507,$L2992)&amp;" "&amp;INDEX(ポート振替表!$I$5:$I$3507,$L2992))</f>
        <v/>
      </c>
      <c r="L2992" s="47" t="str">
        <f aca="false">IFERROR(MATCH(ROW()-4,ポート振替表!$V$5:$V$3507,0),"")</f>
        <v/>
      </c>
    </row>
    <row r="2993" customFormat="false" ht="16.4" hidden="false" customHeight="false" outlineLevel="0" collapsed="false">
      <c r="A2993" s="32" t="str">
        <f aca="false">IF(L2993="","",ROW()-4)</f>
        <v/>
      </c>
      <c r="B2993" s="58" t="str">
        <f aca="false">IF(L2993="","",IF(INDEX(ポート振替表!$W$5:$W$3507,$L2993)="","(なし)",INDEX(ポート振替表!$W$5:$W$3507,$L2993)&amp;""))</f>
        <v/>
      </c>
      <c r="C2993" s="52" t="str">
        <f aca="false">IF(L2993="","",INDEX(ポート振替表!$B$5:$B$3507,$L2993)&amp;" "&amp;INDEX(ポート振替表!$C$5:$C$3507,$L2993)&amp;"  ⇔  "&amp;INDEX(ポート振替表!$H$5:$H$3507,$L2993)&amp;" "&amp;INDEX(ポート振替表!$I$5:$I$3507,$L2993))</f>
        <v/>
      </c>
      <c r="D2993" s="57" t="s">
        <v>158</v>
      </c>
      <c r="E2993" s="59" t="str">
        <f aca="false">IF(L2993="","",IF(INDEX(ポート振替表!$O$5:$O$3507,$L2993)="","(未設定)",INDEX(ポート振替表!$O$5:$O$3507,$L2993)&amp;""))</f>
        <v/>
      </c>
      <c r="F2993" s="52" t="str">
        <f aca="false">IF(L2993="","",INDEX(ポート振替表!$K$5:$K$3507,$L2993)&amp;" "&amp;INDEX(ポート振替表!$L$5:$L$3507,$L2993)&amp;"  ⇔  "&amp;INDEX(ポート振替表!$H$5:$H$3507,$L2993)&amp;" "&amp;INDEX(ポート振替表!$I$5:$I$3507,$L2993))</f>
        <v/>
      </c>
      <c r="G2993" s="57" t="s">
        <v>158</v>
      </c>
      <c r="H2993" s="32" t="str">
        <f aca="false">IF(L2993="","",INDEX(ポート振替表!$N$5:$N$3507,$L2993)&amp;"")</f>
        <v/>
      </c>
      <c r="I2993" s="32" t="str">
        <f aca="false">IF(L2993="","",INDEX(ポート振替表!$P$5:$P$3507,$L2993)&amp;"")</f>
        <v/>
      </c>
      <c r="J2993" s="60" t="str">
        <f aca="false">IF(L2993="","",INDEX(ポート振替表!$M$5:$M$3507,$L2993)&amp;"")</f>
        <v/>
      </c>
      <c r="K2993" s="52" t="str">
        <f aca="false">IF(L2993="","",E2993&amp;CHAR(10)&amp;INDEX(ポート振替表!$K$5:$K$3507,$L2993)&amp;" "&amp;INDEX(ポート振替表!$L$5:$L$3507,$L2993)&amp;CHAR(10)&amp;"⇔ "&amp;INDEX(ポート振替表!$H$5:$H$3507,$L2993)&amp;" "&amp;INDEX(ポート振替表!$I$5:$I$3507,$L2993))</f>
        <v/>
      </c>
      <c r="L2993" s="47" t="str">
        <f aca="false">IFERROR(MATCH(ROW()-4,ポート振替表!$V$5:$V$3507,0),"")</f>
        <v/>
      </c>
    </row>
    <row r="2994" customFormat="false" ht="16.4" hidden="false" customHeight="false" outlineLevel="0" collapsed="false">
      <c r="A2994" s="32" t="str">
        <f aca="false">IF(L2994="","",ROW()-4)</f>
        <v/>
      </c>
      <c r="B2994" s="58" t="str">
        <f aca="false">IF(L2994="","",IF(INDEX(ポート振替表!$W$5:$W$3507,$L2994)="","(なし)",INDEX(ポート振替表!$W$5:$W$3507,$L2994)&amp;""))</f>
        <v/>
      </c>
      <c r="C2994" s="52" t="str">
        <f aca="false">IF(L2994="","",INDEX(ポート振替表!$B$5:$B$3507,$L2994)&amp;" "&amp;INDEX(ポート振替表!$C$5:$C$3507,$L2994)&amp;"  ⇔  "&amp;INDEX(ポート振替表!$H$5:$H$3507,$L2994)&amp;" "&amp;INDEX(ポート振替表!$I$5:$I$3507,$L2994))</f>
        <v/>
      </c>
      <c r="D2994" s="57" t="s">
        <v>158</v>
      </c>
      <c r="E2994" s="59" t="str">
        <f aca="false">IF(L2994="","",IF(INDEX(ポート振替表!$O$5:$O$3507,$L2994)="","(未設定)",INDEX(ポート振替表!$O$5:$O$3507,$L2994)&amp;""))</f>
        <v/>
      </c>
      <c r="F2994" s="52" t="str">
        <f aca="false">IF(L2994="","",INDEX(ポート振替表!$K$5:$K$3507,$L2994)&amp;" "&amp;INDEX(ポート振替表!$L$5:$L$3507,$L2994)&amp;"  ⇔  "&amp;INDEX(ポート振替表!$H$5:$H$3507,$L2994)&amp;" "&amp;INDEX(ポート振替表!$I$5:$I$3507,$L2994))</f>
        <v/>
      </c>
      <c r="G2994" s="57" t="s">
        <v>158</v>
      </c>
      <c r="H2994" s="32" t="str">
        <f aca="false">IF(L2994="","",INDEX(ポート振替表!$N$5:$N$3507,$L2994)&amp;"")</f>
        <v/>
      </c>
      <c r="I2994" s="32" t="str">
        <f aca="false">IF(L2994="","",INDEX(ポート振替表!$P$5:$P$3507,$L2994)&amp;"")</f>
        <v/>
      </c>
      <c r="J2994" s="60" t="str">
        <f aca="false">IF(L2994="","",INDEX(ポート振替表!$M$5:$M$3507,$L2994)&amp;"")</f>
        <v/>
      </c>
      <c r="K2994" s="52" t="str">
        <f aca="false">IF(L2994="","",E2994&amp;CHAR(10)&amp;INDEX(ポート振替表!$K$5:$K$3507,$L2994)&amp;" "&amp;INDEX(ポート振替表!$L$5:$L$3507,$L2994)&amp;CHAR(10)&amp;"⇔ "&amp;INDEX(ポート振替表!$H$5:$H$3507,$L2994)&amp;" "&amp;INDEX(ポート振替表!$I$5:$I$3507,$L2994))</f>
        <v/>
      </c>
      <c r="L2994" s="47" t="str">
        <f aca="false">IFERROR(MATCH(ROW()-4,ポート振替表!$V$5:$V$3507,0),"")</f>
        <v/>
      </c>
    </row>
    <row r="2995" customFormat="false" ht="16.4" hidden="false" customHeight="false" outlineLevel="0" collapsed="false">
      <c r="A2995" s="32" t="str">
        <f aca="false">IF(L2995="","",ROW()-4)</f>
        <v/>
      </c>
      <c r="B2995" s="58" t="str">
        <f aca="false">IF(L2995="","",IF(INDEX(ポート振替表!$W$5:$W$3507,$L2995)="","(なし)",INDEX(ポート振替表!$W$5:$W$3507,$L2995)&amp;""))</f>
        <v/>
      </c>
      <c r="C2995" s="52" t="str">
        <f aca="false">IF(L2995="","",INDEX(ポート振替表!$B$5:$B$3507,$L2995)&amp;" "&amp;INDEX(ポート振替表!$C$5:$C$3507,$L2995)&amp;"  ⇔  "&amp;INDEX(ポート振替表!$H$5:$H$3507,$L2995)&amp;" "&amp;INDEX(ポート振替表!$I$5:$I$3507,$L2995))</f>
        <v/>
      </c>
      <c r="D2995" s="57" t="s">
        <v>158</v>
      </c>
      <c r="E2995" s="59" t="str">
        <f aca="false">IF(L2995="","",IF(INDEX(ポート振替表!$O$5:$O$3507,$L2995)="","(未設定)",INDEX(ポート振替表!$O$5:$O$3507,$L2995)&amp;""))</f>
        <v/>
      </c>
      <c r="F2995" s="52" t="str">
        <f aca="false">IF(L2995="","",INDEX(ポート振替表!$K$5:$K$3507,$L2995)&amp;" "&amp;INDEX(ポート振替表!$L$5:$L$3507,$L2995)&amp;"  ⇔  "&amp;INDEX(ポート振替表!$H$5:$H$3507,$L2995)&amp;" "&amp;INDEX(ポート振替表!$I$5:$I$3507,$L2995))</f>
        <v/>
      </c>
      <c r="G2995" s="57" t="s">
        <v>158</v>
      </c>
      <c r="H2995" s="32" t="str">
        <f aca="false">IF(L2995="","",INDEX(ポート振替表!$N$5:$N$3507,$L2995)&amp;"")</f>
        <v/>
      </c>
      <c r="I2995" s="32" t="str">
        <f aca="false">IF(L2995="","",INDEX(ポート振替表!$P$5:$P$3507,$L2995)&amp;"")</f>
        <v/>
      </c>
      <c r="J2995" s="60" t="str">
        <f aca="false">IF(L2995="","",INDEX(ポート振替表!$M$5:$M$3507,$L2995)&amp;"")</f>
        <v/>
      </c>
      <c r="K2995" s="52" t="str">
        <f aca="false">IF(L2995="","",E2995&amp;CHAR(10)&amp;INDEX(ポート振替表!$K$5:$K$3507,$L2995)&amp;" "&amp;INDEX(ポート振替表!$L$5:$L$3507,$L2995)&amp;CHAR(10)&amp;"⇔ "&amp;INDEX(ポート振替表!$H$5:$H$3507,$L2995)&amp;" "&amp;INDEX(ポート振替表!$I$5:$I$3507,$L2995))</f>
        <v/>
      </c>
      <c r="L2995" s="47" t="str">
        <f aca="false">IFERROR(MATCH(ROW()-4,ポート振替表!$V$5:$V$3507,0),"")</f>
        <v/>
      </c>
    </row>
    <row r="2996" customFormat="false" ht="16.4" hidden="false" customHeight="false" outlineLevel="0" collapsed="false">
      <c r="A2996" s="32" t="str">
        <f aca="false">IF(L2996="","",ROW()-4)</f>
        <v/>
      </c>
      <c r="B2996" s="58" t="str">
        <f aca="false">IF(L2996="","",IF(INDEX(ポート振替表!$W$5:$W$3507,$L2996)="","(なし)",INDEX(ポート振替表!$W$5:$W$3507,$L2996)&amp;""))</f>
        <v/>
      </c>
      <c r="C2996" s="52" t="str">
        <f aca="false">IF(L2996="","",INDEX(ポート振替表!$B$5:$B$3507,$L2996)&amp;" "&amp;INDEX(ポート振替表!$C$5:$C$3507,$L2996)&amp;"  ⇔  "&amp;INDEX(ポート振替表!$H$5:$H$3507,$L2996)&amp;" "&amp;INDEX(ポート振替表!$I$5:$I$3507,$L2996))</f>
        <v/>
      </c>
      <c r="D2996" s="57" t="s">
        <v>158</v>
      </c>
      <c r="E2996" s="59" t="str">
        <f aca="false">IF(L2996="","",IF(INDEX(ポート振替表!$O$5:$O$3507,$L2996)="","(未設定)",INDEX(ポート振替表!$O$5:$O$3507,$L2996)&amp;""))</f>
        <v/>
      </c>
      <c r="F2996" s="52" t="str">
        <f aca="false">IF(L2996="","",INDEX(ポート振替表!$K$5:$K$3507,$L2996)&amp;" "&amp;INDEX(ポート振替表!$L$5:$L$3507,$L2996)&amp;"  ⇔  "&amp;INDEX(ポート振替表!$H$5:$H$3507,$L2996)&amp;" "&amp;INDEX(ポート振替表!$I$5:$I$3507,$L2996))</f>
        <v/>
      </c>
      <c r="G2996" s="57" t="s">
        <v>158</v>
      </c>
      <c r="H2996" s="32" t="str">
        <f aca="false">IF(L2996="","",INDEX(ポート振替表!$N$5:$N$3507,$L2996)&amp;"")</f>
        <v/>
      </c>
      <c r="I2996" s="32" t="str">
        <f aca="false">IF(L2996="","",INDEX(ポート振替表!$P$5:$P$3507,$L2996)&amp;"")</f>
        <v/>
      </c>
      <c r="J2996" s="60" t="str">
        <f aca="false">IF(L2996="","",INDEX(ポート振替表!$M$5:$M$3507,$L2996)&amp;"")</f>
        <v/>
      </c>
      <c r="K2996" s="52" t="str">
        <f aca="false">IF(L2996="","",E2996&amp;CHAR(10)&amp;INDEX(ポート振替表!$K$5:$K$3507,$L2996)&amp;" "&amp;INDEX(ポート振替表!$L$5:$L$3507,$L2996)&amp;CHAR(10)&amp;"⇔ "&amp;INDEX(ポート振替表!$H$5:$H$3507,$L2996)&amp;" "&amp;INDEX(ポート振替表!$I$5:$I$3507,$L2996))</f>
        <v/>
      </c>
      <c r="L2996" s="47" t="str">
        <f aca="false">IFERROR(MATCH(ROW()-4,ポート振替表!$V$5:$V$3507,0),"")</f>
        <v/>
      </c>
    </row>
    <row r="2997" customFormat="false" ht="16.4" hidden="false" customHeight="false" outlineLevel="0" collapsed="false">
      <c r="A2997" s="32" t="str">
        <f aca="false">IF(L2997="","",ROW()-4)</f>
        <v/>
      </c>
      <c r="B2997" s="58" t="str">
        <f aca="false">IF(L2997="","",IF(INDEX(ポート振替表!$W$5:$W$3507,$L2997)="","(なし)",INDEX(ポート振替表!$W$5:$W$3507,$L2997)&amp;""))</f>
        <v/>
      </c>
      <c r="C2997" s="52" t="str">
        <f aca="false">IF(L2997="","",INDEX(ポート振替表!$B$5:$B$3507,$L2997)&amp;" "&amp;INDEX(ポート振替表!$C$5:$C$3507,$L2997)&amp;"  ⇔  "&amp;INDEX(ポート振替表!$H$5:$H$3507,$L2997)&amp;" "&amp;INDEX(ポート振替表!$I$5:$I$3507,$L2997))</f>
        <v/>
      </c>
      <c r="D2997" s="57" t="s">
        <v>158</v>
      </c>
      <c r="E2997" s="59" t="str">
        <f aca="false">IF(L2997="","",IF(INDEX(ポート振替表!$O$5:$O$3507,$L2997)="","(未設定)",INDEX(ポート振替表!$O$5:$O$3507,$L2997)&amp;""))</f>
        <v/>
      </c>
      <c r="F2997" s="52" t="str">
        <f aca="false">IF(L2997="","",INDEX(ポート振替表!$K$5:$K$3507,$L2997)&amp;" "&amp;INDEX(ポート振替表!$L$5:$L$3507,$L2997)&amp;"  ⇔  "&amp;INDEX(ポート振替表!$H$5:$H$3507,$L2997)&amp;" "&amp;INDEX(ポート振替表!$I$5:$I$3507,$L2997))</f>
        <v/>
      </c>
      <c r="G2997" s="57" t="s">
        <v>158</v>
      </c>
      <c r="H2997" s="32" t="str">
        <f aca="false">IF(L2997="","",INDEX(ポート振替表!$N$5:$N$3507,$L2997)&amp;"")</f>
        <v/>
      </c>
      <c r="I2997" s="32" t="str">
        <f aca="false">IF(L2997="","",INDEX(ポート振替表!$P$5:$P$3507,$L2997)&amp;"")</f>
        <v/>
      </c>
      <c r="J2997" s="60" t="str">
        <f aca="false">IF(L2997="","",INDEX(ポート振替表!$M$5:$M$3507,$L2997)&amp;"")</f>
        <v/>
      </c>
      <c r="K2997" s="52" t="str">
        <f aca="false">IF(L2997="","",E2997&amp;CHAR(10)&amp;INDEX(ポート振替表!$K$5:$K$3507,$L2997)&amp;" "&amp;INDEX(ポート振替表!$L$5:$L$3507,$L2997)&amp;CHAR(10)&amp;"⇔ "&amp;INDEX(ポート振替表!$H$5:$H$3507,$L2997)&amp;" "&amp;INDEX(ポート振替表!$I$5:$I$3507,$L2997))</f>
        <v/>
      </c>
      <c r="L2997" s="47" t="str">
        <f aca="false">IFERROR(MATCH(ROW()-4,ポート振替表!$V$5:$V$3507,0),"")</f>
        <v/>
      </c>
    </row>
    <row r="2998" customFormat="false" ht="16.4" hidden="false" customHeight="false" outlineLevel="0" collapsed="false">
      <c r="A2998" s="32" t="str">
        <f aca="false">IF(L2998="","",ROW()-4)</f>
        <v/>
      </c>
      <c r="B2998" s="58" t="str">
        <f aca="false">IF(L2998="","",IF(INDEX(ポート振替表!$W$5:$W$3507,$L2998)="","(なし)",INDEX(ポート振替表!$W$5:$W$3507,$L2998)&amp;""))</f>
        <v/>
      </c>
      <c r="C2998" s="52" t="str">
        <f aca="false">IF(L2998="","",INDEX(ポート振替表!$B$5:$B$3507,$L2998)&amp;" "&amp;INDEX(ポート振替表!$C$5:$C$3507,$L2998)&amp;"  ⇔  "&amp;INDEX(ポート振替表!$H$5:$H$3507,$L2998)&amp;" "&amp;INDEX(ポート振替表!$I$5:$I$3507,$L2998))</f>
        <v/>
      </c>
      <c r="D2998" s="57" t="s">
        <v>158</v>
      </c>
      <c r="E2998" s="59" t="str">
        <f aca="false">IF(L2998="","",IF(INDEX(ポート振替表!$O$5:$O$3507,$L2998)="","(未設定)",INDEX(ポート振替表!$O$5:$O$3507,$L2998)&amp;""))</f>
        <v/>
      </c>
      <c r="F2998" s="52" t="str">
        <f aca="false">IF(L2998="","",INDEX(ポート振替表!$K$5:$K$3507,$L2998)&amp;" "&amp;INDEX(ポート振替表!$L$5:$L$3507,$L2998)&amp;"  ⇔  "&amp;INDEX(ポート振替表!$H$5:$H$3507,$L2998)&amp;" "&amp;INDEX(ポート振替表!$I$5:$I$3507,$L2998))</f>
        <v/>
      </c>
      <c r="G2998" s="57" t="s">
        <v>158</v>
      </c>
      <c r="H2998" s="32" t="str">
        <f aca="false">IF(L2998="","",INDEX(ポート振替表!$N$5:$N$3507,$L2998)&amp;"")</f>
        <v/>
      </c>
      <c r="I2998" s="32" t="str">
        <f aca="false">IF(L2998="","",INDEX(ポート振替表!$P$5:$P$3507,$L2998)&amp;"")</f>
        <v/>
      </c>
      <c r="J2998" s="60" t="str">
        <f aca="false">IF(L2998="","",INDEX(ポート振替表!$M$5:$M$3507,$L2998)&amp;"")</f>
        <v/>
      </c>
      <c r="K2998" s="52" t="str">
        <f aca="false">IF(L2998="","",E2998&amp;CHAR(10)&amp;INDEX(ポート振替表!$K$5:$K$3507,$L2998)&amp;" "&amp;INDEX(ポート振替表!$L$5:$L$3507,$L2998)&amp;CHAR(10)&amp;"⇔ "&amp;INDEX(ポート振替表!$H$5:$H$3507,$L2998)&amp;" "&amp;INDEX(ポート振替表!$I$5:$I$3507,$L2998))</f>
        <v/>
      </c>
      <c r="L2998" s="47" t="str">
        <f aca="false">IFERROR(MATCH(ROW()-4,ポート振替表!$V$5:$V$3507,0),"")</f>
        <v/>
      </c>
    </row>
    <row r="2999" customFormat="false" ht="16.4" hidden="false" customHeight="false" outlineLevel="0" collapsed="false">
      <c r="A2999" s="32" t="str">
        <f aca="false">IF(L2999="","",ROW()-4)</f>
        <v/>
      </c>
      <c r="B2999" s="58" t="str">
        <f aca="false">IF(L2999="","",IF(INDEX(ポート振替表!$W$5:$W$3507,$L2999)="","(なし)",INDEX(ポート振替表!$W$5:$W$3507,$L2999)&amp;""))</f>
        <v/>
      </c>
      <c r="C2999" s="52" t="str">
        <f aca="false">IF(L2999="","",INDEX(ポート振替表!$B$5:$B$3507,$L2999)&amp;" "&amp;INDEX(ポート振替表!$C$5:$C$3507,$L2999)&amp;"  ⇔  "&amp;INDEX(ポート振替表!$H$5:$H$3507,$L2999)&amp;" "&amp;INDEX(ポート振替表!$I$5:$I$3507,$L2999))</f>
        <v/>
      </c>
      <c r="D2999" s="57" t="s">
        <v>158</v>
      </c>
      <c r="E2999" s="59" t="str">
        <f aca="false">IF(L2999="","",IF(INDEX(ポート振替表!$O$5:$O$3507,$L2999)="","(未設定)",INDEX(ポート振替表!$O$5:$O$3507,$L2999)&amp;""))</f>
        <v/>
      </c>
      <c r="F2999" s="52" t="str">
        <f aca="false">IF(L2999="","",INDEX(ポート振替表!$K$5:$K$3507,$L2999)&amp;" "&amp;INDEX(ポート振替表!$L$5:$L$3507,$L2999)&amp;"  ⇔  "&amp;INDEX(ポート振替表!$H$5:$H$3507,$L2999)&amp;" "&amp;INDEX(ポート振替表!$I$5:$I$3507,$L2999))</f>
        <v/>
      </c>
      <c r="G2999" s="57" t="s">
        <v>158</v>
      </c>
      <c r="H2999" s="32" t="str">
        <f aca="false">IF(L2999="","",INDEX(ポート振替表!$N$5:$N$3507,$L2999)&amp;"")</f>
        <v/>
      </c>
      <c r="I2999" s="32" t="str">
        <f aca="false">IF(L2999="","",INDEX(ポート振替表!$P$5:$P$3507,$L2999)&amp;"")</f>
        <v/>
      </c>
      <c r="J2999" s="60" t="str">
        <f aca="false">IF(L2999="","",INDEX(ポート振替表!$M$5:$M$3507,$L2999)&amp;"")</f>
        <v/>
      </c>
      <c r="K2999" s="52" t="str">
        <f aca="false">IF(L2999="","",E2999&amp;CHAR(10)&amp;INDEX(ポート振替表!$K$5:$K$3507,$L2999)&amp;" "&amp;INDEX(ポート振替表!$L$5:$L$3507,$L2999)&amp;CHAR(10)&amp;"⇔ "&amp;INDEX(ポート振替表!$H$5:$H$3507,$L2999)&amp;" "&amp;INDEX(ポート振替表!$I$5:$I$3507,$L2999))</f>
        <v/>
      </c>
      <c r="L2999" s="47" t="str">
        <f aca="false">IFERROR(MATCH(ROW()-4,ポート振替表!$V$5:$V$3507,0),"")</f>
        <v/>
      </c>
    </row>
    <row r="3000" customFormat="false" ht="16.4" hidden="false" customHeight="false" outlineLevel="0" collapsed="false">
      <c r="A3000" s="32" t="str">
        <f aca="false">IF(L3000="","",ROW()-4)</f>
        <v/>
      </c>
      <c r="B3000" s="58" t="str">
        <f aca="false">IF(L3000="","",IF(INDEX(ポート振替表!$W$5:$W$3507,$L3000)="","(なし)",INDEX(ポート振替表!$W$5:$W$3507,$L3000)&amp;""))</f>
        <v/>
      </c>
      <c r="C3000" s="52" t="str">
        <f aca="false">IF(L3000="","",INDEX(ポート振替表!$B$5:$B$3507,$L3000)&amp;" "&amp;INDEX(ポート振替表!$C$5:$C$3507,$L3000)&amp;"  ⇔  "&amp;INDEX(ポート振替表!$H$5:$H$3507,$L3000)&amp;" "&amp;INDEX(ポート振替表!$I$5:$I$3507,$L3000))</f>
        <v/>
      </c>
      <c r="D3000" s="57" t="s">
        <v>158</v>
      </c>
      <c r="E3000" s="59" t="str">
        <f aca="false">IF(L3000="","",IF(INDEX(ポート振替表!$O$5:$O$3507,$L3000)="","(未設定)",INDEX(ポート振替表!$O$5:$O$3507,$L3000)&amp;""))</f>
        <v/>
      </c>
      <c r="F3000" s="52" t="str">
        <f aca="false">IF(L3000="","",INDEX(ポート振替表!$K$5:$K$3507,$L3000)&amp;" "&amp;INDEX(ポート振替表!$L$5:$L$3507,$L3000)&amp;"  ⇔  "&amp;INDEX(ポート振替表!$H$5:$H$3507,$L3000)&amp;" "&amp;INDEX(ポート振替表!$I$5:$I$3507,$L3000))</f>
        <v/>
      </c>
      <c r="G3000" s="57" t="s">
        <v>158</v>
      </c>
      <c r="H3000" s="32" t="str">
        <f aca="false">IF(L3000="","",INDEX(ポート振替表!$N$5:$N$3507,$L3000)&amp;"")</f>
        <v/>
      </c>
      <c r="I3000" s="32" t="str">
        <f aca="false">IF(L3000="","",INDEX(ポート振替表!$P$5:$P$3507,$L3000)&amp;"")</f>
        <v/>
      </c>
      <c r="J3000" s="60" t="str">
        <f aca="false">IF(L3000="","",INDEX(ポート振替表!$M$5:$M$3507,$L3000)&amp;"")</f>
        <v/>
      </c>
      <c r="K3000" s="52" t="str">
        <f aca="false">IF(L3000="","",E3000&amp;CHAR(10)&amp;INDEX(ポート振替表!$K$5:$K$3507,$L3000)&amp;" "&amp;INDEX(ポート振替表!$L$5:$L$3507,$L3000)&amp;CHAR(10)&amp;"⇔ "&amp;INDEX(ポート振替表!$H$5:$H$3507,$L3000)&amp;" "&amp;INDEX(ポート振替表!$I$5:$I$3507,$L3000))</f>
        <v/>
      </c>
      <c r="L3000" s="47" t="str">
        <f aca="false">IFERROR(MATCH(ROW()-4,ポート振替表!$V$5:$V$3507,0),"")</f>
        <v/>
      </c>
    </row>
    <row r="3001" customFormat="false" ht="16.4" hidden="false" customHeight="false" outlineLevel="0" collapsed="false">
      <c r="A3001" s="32" t="str">
        <f aca="false">IF(L3001="","",ROW()-4)</f>
        <v/>
      </c>
      <c r="B3001" s="58" t="str">
        <f aca="false">IF(L3001="","",IF(INDEX(ポート振替表!$W$5:$W$3507,$L3001)="","(なし)",INDEX(ポート振替表!$W$5:$W$3507,$L3001)&amp;""))</f>
        <v/>
      </c>
      <c r="C3001" s="52" t="str">
        <f aca="false">IF(L3001="","",INDEX(ポート振替表!$B$5:$B$3507,$L3001)&amp;" "&amp;INDEX(ポート振替表!$C$5:$C$3507,$L3001)&amp;"  ⇔  "&amp;INDEX(ポート振替表!$H$5:$H$3507,$L3001)&amp;" "&amp;INDEX(ポート振替表!$I$5:$I$3507,$L3001))</f>
        <v/>
      </c>
      <c r="D3001" s="57" t="s">
        <v>158</v>
      </c>
      <c r="E3001" s="59" t="str">
        <f aca="false">IF(L3001="","",IF(INDEX(ポート振替表!$O$5:$O$3507,$L3001)="","(未設定)",INDEX(ポート振替表!$O$5:$O$3507,$L3001)&amp;""))</f>
        <v/>
      </c>
      <c r="F3001" s="52" t="str">
        <f aca="false">IF(L3001="","",INDEX(ポート振替表!$K$5:$K$3507,$L3001)&amp;" "&amp;INDEX(ポート振替表!$L$5:$L$3507,$L3001)&amp;"  ⇔  "&amp;INDEX(ポート振替表!$H$5:$H$3507,$L3001)&amp;" "&amp;INDEX(ポート振替表!$I$5:$I$3507,$L3001))</f>
        <v/>
      </c>
      <c r="G3001" s="57" t="s">
        <v>158</v>
      </c>
      <c r="H3001" s="32" t="str">
        <f aca="false">IF(L3001="","",INDEX(ポート振替表!$N$5:$N$3507,$L3001)&amp;"")</f>
        <v/>
      </c>
      <c r="I3001" s="32" t="str">
        <f aca="false">IF(L3001="","",INDEX(ポート振替表!$P$5:$P$3507,$L3001)&amp;"")</f>
        <v/>
      </c>
      <c r="J3001" s="60" t="str">
        <f aca="false">IF(L3001="","",INDEX(ポート振替表!$M$5:$M$3507,$L3001)&amp;"")</f>
        <v/>
      </c>
      <c r="K3001" s="52" t="str">
        <f aca="false">IF(L3001="","",E3001&amp;CHAR(10)&amp;INDEX(ポート振替表!$K$5:$K$3507,$L3001)&amp;" "&amp;INDEX(ポート振替表!$L$5:$L$3507,$L3001)&amp;CHAR(10)&amp;"⇔ "&amp;INDEX(ポート振替表!$H$5:$H$3507,$L3001)&amp;" "&amp;INDEX(ポート振替表!$I$5:$I$3507,$L3001))</f>
        <v/>
      </c>
      <c r="L3001" s="47" t="str">
        <f aca="false">IFERROR(MATCH(ROW()-4,ポート振替表!$V$5:$V$3507,0),"")</f>
        <v/>
      </c>
    </row>
    <row r="3002" customFormat="false" ht="16.4" hidden="false" customHeight="false" outlineLevel="0" collapsed="false">
      <c r="A3002" s="32" t="str">
        <f aca="false">IF(L3002="","",ROW()-4)</f>
        <v/>
      </c>
      <c r="B3002" s="58" t="str">
        <f aca="false">IF(L3002="","",IF(INDEX(ポート振替表!$W$5:$W$3507,$L3002)="","(なし)",INDEX(ポート振替表!$W$5:$W$3507,$L3002)&amp;""))</f>
        <v/>
      </c>
      <c r="C3002" s="52" t="str">
        <f aca="false">IF(L3002="","",INDEX(ポート振替表!$B$5:$B$3507,$L3002)&amp;" "&amp;INDEX(ポート振替表!$C$5:$C$3507,$L3002)&amp;"  ⇔  "&amp;INDEX(ポート振替表!$H$5:$H$3507,$L3002)&amp;" "&amp;INDEX(ポート振替表!$I$5:$I$3507,$L3002))</f>
        <v/>
      </c>
      <c r="D3002" s="57" t="s">
        <v>158</v>
      </c>
      <c r="E3002" s="59" t="str">
        <f aca="false">IF(L3002="","",IF(INDEX(ポート振替表!$O$5:$O$3507,$L3002)="","(未設定)",INDEX(ポート振替表!$O$5:$O$3507,$L3002)&amp;""))</f>
        <v/>
      </c>
      <c r="F3002" s="52" t="str">
        <f aca="false">IF(L3002="","",INDEX(ポート振替表!$K$5:$K$3507,$L3002)&amp;" "&amp;INDEX(ポート振替表!$L$5:$L$3507,$L3002)&amp;"  ⇔  "&amp;INDEX(ポート振替表!$H$5:$H$3507,$L3002)&amp;" "&amp;INDEX(ポート振替表!$I$5:$I$3507,$L3002))</f>
        <v/>
      </c>
      <c r="G3002" s="57" t="s">
        <v>158</v>
      </c>
      <c r="H3002" s="32" t="str">
        <f aca="false">IF(L3002="","",INDEX(ポート振替表!$N$5:$N$3507,$L3002)&amp;"")</f>
        <v/>
      </c>
      <c r="I3002" s="32" t="str">
        <f aca="false">IF(L3002="","",INDEX(ポート振替表!$P$5:$P$3507,$L3002)&amp;"")</f>
        <v/>
      </c>
      <c r="J3002" s="60" t="str">
        <f aca="false">IF(L3002="","",INDEX(ポート振替表!$M$5:$M$3507,$L3002)&amp;"")</f>
        <v/>
      </c>
      <c r="K3002" s="52" t="str">
        <f aca="false">IF(L3002="","",E3002&amp;CHAR(10)&amp;INDEX(ポート振替表!$K$5:$K$3507,$L3002)&amp;" "&amp;INDEX(ポート振替表!$L$5:$L$3507,$L3002)&amp;CHAR(10)&amp;"⇔ "&amp;INDEX(ポート振替表!$H$5:$H$3507,$L3002)&amp;" "&amp;INDEX(ポート振替表!$I$5:$I$3507,$L3002))</f>
        <v/>
      </c>
      <c r="L3002" s="47" t="str">
        <f aca="false">IFERROR(MATCH(ROW()-4,ポート振替表!$V$5:$V$3507,0),"")</f>
        <v/>
      </c>
    </row>
    <row r="3003" customFormat="false" ht="16.4" hidden="false" customHeight="false" outlineLevel="0" collapsed="false">
      <c r="A3003" s="32" t="str">
        <f aca="false">IF(L3003="","",ROW()-4)</f>
        <v/>
      </c>
      <c r="B3003" s="58" t="str">
        <f aca="false">IF(L3003="","",IF(INDEX(ポート振替表!$W$5:$W$3507,$L3003)="","(なし)",INDEX(ポート振替表!$W$5:$W$3507,$L3003)&amp;""))</f>
        <v/>
      </c>
      <c r="C3003" s="52" t="str">
        <f aca="false">IF(L3003="","",INDEX(ポート振替表!$B$5:$B$3507,$L3003)&amp;" "&amp;INDEX(ポート振替表!$C$5:$C$3507,$L3003)&amp;"  ⇔  "&amp;INDEX(ポート振替表!$H$5:$H$3507,$L3003)&amp;" "&amp;INDEX(ポート振替表!$I$5:$I$3507,$L3003))</f>
        <v/>
      </c>
      <c r="D3003" s="57" t="s">
        <v>158</v>
      </c>
      <c r="E3003" s="59" t="str">
        <f aca="false">IF(L3003="","",IF(INDEX(ポート振替表!$O$5:$O$3507,$L3003)="","(未設定)",INDEX(ポート振替表!$O$5:$O$3507,$L3003)&amp;""))</f>
        <v/>
      </c>
      <c r="F3003" s="52" t="str">
        <f aca="false">IF(L3003="","",INDEX(ポート振替表!$K$5:$K$3507,$L3003)&amp;" "&amp;INDEX(ポート振替表!$L$5:$L$3507,$L3003)&amp;"  ⇔  "&amp;INDEX(ポート振替表!$H$5:$H$3507,$L3003)&amp;" "&amp;INDEX(ポート振替表!$I$5:$I$3507,$L3003))</f>
        <v/>
      </c>
      <c r="G3003" s="57" t="s">
        <v>158</v>
      </c>
      <c r="H3003" s="32" t="str">
        <f aca="false">IF(L3003="","",INDEX(ポート振替表!$N$5:$N$3507,$L3003)&amp;"")</f>
        <v/>
      </c>
      <c r="I3003" s="32" t="str">
        <f aca="false">IF(L3003="","",INDEX(ポート振替表!$P$5:$P$3507,$L3003)&amp;"")</f>
        <v/>
      </c>
      <c r="J3003" s="60" t="str">
        <f aca="false">IF(L3003="","",INDEX(ポート振替表!$M$5:$M$3507,$L3003)&amp;"")</f>
        <v/>
      </c>
      <c r="K3003" s="52" t="str">
        <f aca="false">IF(L3003="","",E3003&amp;CHAR(10)&amp;INDEX(ポート振替表!$K$5:$K$3507,$L3003)&amp;" "&amp;INDEX(ポート振替表!$L$5:$L$3507,$L3003)&amp;CHAR(10)&amp;"⇔ "&amp;INDEX(ポート振替表!$H$5:$H$3507,$L3003)&amp;" "&amp;INDEX(ポート振替表!$I$5:$I$3507,$L3003))</f>
        <v/>
      </c>
      <c r="L3003" s="47" t="str">
        <f aca="false">IFERROR(MATCH(ROW()-4,ポート振替表!$V$5:$V$3507,0),"")</f>
        <v/>
      </c>
    </row>
    <row r="3004" customFormat="false" ht="16.4" hidden="false" customHeight="false" outlineLevel="0" collapsed="false">
      <c r="A3004" s="32" t="str">
        <f aca="false">IF(L3004="","",ROW()-4)</f>
        <v/>
      </c>
      <c r="B3004" s="58" t="str">
        <f aca="false">IF(L3004="","",IF(INDEX(ポート振替表!$W$5:$W$3507,$L3004)="","(なし)",INDEX(ポート振替表!$W$5:$W$3507,$L3004)&amp;""))</f>
        <v/>
      </c>
      <c r="C3004" s="52" t="str">
        <f aca="false">IF(L3004="","",INDEX(ポート振替表!$B$5:$B$3507,$L3004)&amp;" "&amp;INDEX(ポート振替表!$C$5:$C$3507,$L3004)&amp;"  ⇔  "&amp;INDEX(ポート振替表!$H$5:$H$3507,$L3004)&amp;" "&amp;INDEX(ポート振替表!$I$5:$I$3507,$L3004))</f>
        <v/>
      </c>
      <c r="D3004" s="57" t="s">
        <v>158</v>
      </c>
      <c r="E3004" s="59" t="str">
        <f aca="false">IF(L3004="","",IF(INDEX(ポート振替表!$O$5:$O$3507,$L3004)="","(未設定)",INDEX(ポート振替表!$O$5:$O$3507,$L3004)&amp;""))</f>
        <v/>
      </c>
      <c r="F3004" s="52" t="str">
        <f aca="false">IF(L3004="","",INDEX(ポート振替表!$K$5:$K$3507,$L3004)&amp;" "&amp;INDEX(ポート振替表!$L$5:$L$3507,$L3004)&amp;"  ⇔  "&amp;INDEX(ポート振替表!$H$5:$H$3507,$L3004)&amp;" "&amp;INDEX(ポート振替表!$I$5:$I$3507,$L3004))</f>
        <v/>
      </c>
      <c r="G3004" s="57" t="s">
        <v>158</v>
      </c>
      <c r="H3004" s="32" t="str">
        <f aca="false">IF(L3004="","",INDEX(ポート振替表!$N$5:$N$3507,$L3004)&amp;"")</f>
        <v/>
      </c>
      <c r="I3004" s="32" t="str">
        <f aca="false">IF(L3004="","",INDEX(ポート振替表!$P$5:$P$3507,$L3004)&amp;"")</f>
        <v/>
      </c>
      <c r="J3004" s="60" t="str">
        <f aca="false">IF(L3004="","",INDEX(ポート振替表!$M$5:$M$3507,$L3004)&amp;"")</f>
        <v/>
      </c>
      <c r="K3004" s="52" t="str">
        <f aca="false">IF(L3004="","",E3004&amp;CHAR(10)&amp;INDEX(ポート振替表!$K$5:$K$3507,$L3004)&amp;" "&amp;INDEX(ポート振替表!$L$5:$L$3507,$L3004)&amp;CHAR(10)&amp;"⇔ "&amp;INDEX(ポート振替表!$H$5:$H$3507,$L3004)&amp;" "&amp;INDEX(ポート振替表!$I$5:$I$3507,$L3004))</f>
        <v/>
      </c>
      <c r="L3004" s="47" t="str">
        <f aca="false">IFERROR(MATCH(ROW()-4,ポート振替表!$V$5:$V$3507,0),"")</f>
        <v/>
      </c>
    </row>
    <row r="3005" customFormat="false" ht="16.4" hidden="false" customHeight="false" outlineLevel="0" collapsed="false">
      <c r="A3005" s="32" t="str">
        <f aca="false">IF(L3005="","",ROW()-4)</f>
        <v/>
      </c>
      <c r="B3005" s="58" t="str">
        <f aca="false">IF(L3005="","",IF(INDEX(ポート振替表!$W$5:$W$3507,$L3005)="","(なし)",INDEX(ポート振替表!$W$5:$W$3507,$L3005)&amp;""))</f>
        <v/>
      </c>
      <c r="C3005" s="52" t="str">
        <f aca="false">IF(L3005="","",INDEX(ポート振替表!$B$5:$B$3507,$L3005)&amp;" "&amp;INDEX(ポート振替表!$C$5:$C$3507,$L3005)&amp;"  ⇔  "&amp;INDEX(ポート振替表!$H$5:$H$3507,$L3005)&amp;" "&amp;INDEX(ポート振替表!$I$5:$I$3507,$L3005))</f>
        <v/>
      </c>
      <c r="D3005" s="57" t="s">
        <v>158</v>
      </c>
      <c r="E3005" s="59" t="str">
        <f aca="false">IF(L3005="","",IF(INDEX(ポート振替表!$O$5:$O$3507,$L3005)="","(未設定)",INDEX(ポート振替表!$O$5:$O$3507,$L3005)&amp;""))</f>
        <v/>
      </c>
      <c r="F3005" s="52" t="str">
        <f aca="false">IF(L3005="","",INDEX(ポート振替表!$K$5:$K$3507,$L3005)&amp;" "&amp;INDEX(ポート振替表!$L$5:$L$3507,$L3005)&amp;"  ⇔  "&amp;INDEX(ポート振替表!$H$5:$H$3507,$L3005)&amp;" "&amp;INDEX(ポート振替表!$I$5:$I$3507,$L3005))</f>
        <v/>
      </c>
      <c r="G3005" s="57" t="s">
        <v>158</v>
      </c>
      <c r="H3005" s="32" t="str">
        <f aca="false">IF(L3005="","",INDEX(ポート振替表!$N$5:$N$3507,$L3005)&amp;"")</f>
        <v/>
      </c>
      <c r="I3005" s="32" t="str">
        <f aca="false">IF(L3005="","",INDEX(ポート振替表!$P$5:$P$3507,$L3005)&amp;"")</f>
        <v/>
      </c>
      <c r="J3005" s="60" t="str">
        <f aca="false">IF(L3005="","",INDEX(ポート振替表!$M$5:$M$3507,$L3005)&amp;"")</f>
        <v/>
      </c>
      <c r="K3005" s="52" t="str">
        <f aca="false">IF(L3005="","",E3005&amp;CHAR(10)&amp;INDEX(ポート振替表!$K$5:$K$3507,$L3005)&amp;" "&amp;INDEX(ポート振替表!$L$5:$L$3507,$L3005)&amp;CHAR(10)&amp;"⇔ "&amp;INDEX(ポート振替表!$H$5:$H$3507,$L3005)&amp;" "&amp;INDEX(ポート振替表!$I$5:$I$3507,$L3005))</f>
        <v/>
      </c>
      <c r="L3005" s="47" t="str">
        <f aca="false">IFERROR(MATCH(ROW()-4,ポート振替表!$V$5:$V$3507,0),"")</f>
        <v/>
      </c>
    </row>
    <row r="3006" customFormat="false" ht="16.4" hidden="false" customHeight="false" outlineLevel="0" collapsed="false">
      <c r="A3006" s="32" t="str">
        <f aca="false">IF(L3006="","",ROW()-4)</f>
        <v/>
      </c>
      <c r="B3006" s="58" t="str">
        <f aca="false">IF(L3006="","",IF(INDEX(ポート振替表!$W$5:$W$3507,$L3006)="","(なし)",INDEX(ポート振替表!$W$5:$W$3507,$L3006)&amp;""))</f>
        <v/>
      </c>
      <c r="C3006" s="52" t="str">
        <f aca="false">IF(L3006="","",INDEX(ポート振替表!$B$5:$B$3507,$L3006)&amp;" "&amp;INDEX(ポート振替表!$C$5:$C$3507,$L3006)&amp;"  ⇔  "&amp;INDEX(ポート振替表!$H$5:$H$3507,$L3006)&amp;" "&amp;INDEX(ポート振替表!$I$5:$I$3507,$L3006))</f>
        <v/>
      </c>
      <c r="D3006" s="57" t="s">
        <v>158</v>
      </c>
      <c r="E3006" s="59" t="str">
        <f aca="false">IF(L3006="","",IF(INDEX(ポート振替表!$O$5:$O$3507,$L3006)="","(未設定)",INDEX(ポート振替表!$O$5:$O$3507,$L3006)&amp;""))</f>
        <v/>
      </c>
      <c r="F3006" s="52" t="str">
        <f aca="false">IF(L3006="","",INDEX(ポート振替表!$K$5:$K$3507,$L3006)&amp;" "&amp;INDEX(ポート振替表!$L$5:$L$3507,$L3006)&amp;"  ⇔  "&amp;INDEX(ポート振替表!$H$5:$H$3507,$L3006)&amp;" "&amp;INDEX(ポート振替表!$I$5:$I$3507,$L3006))</f>
        <v/>
      </c>
      <c r="G3006" s="57" t="s">
        <v>158</v>
      </c>
      <c r="H3006" s="32" t="str">
        <f aca="false">IF(L3006="","",INDEX(ポート振替表!$N$5:$N$3507,$L3006)&amp;"")</f>
        <v/>
      </c>
      <c r="I3006" s="32" t="str">
        <f aca="false">IF(L3006="","",INDEX(ポート振替表!$P$5:$P$3507,$L3006)&amp;"")</f>
        <v/>
      </c>
      <c r="J3006" s="60" t="str">
        <f aca="false">IF(L3006="","",INDEX(ポート振替表!$M$5:$M$3507,$L3006)&amp;"")</f>
        <v/>
      </c>
      <c r="K3006" s="52" t="str">
        <f aca="false">IF(L3006="","",E3006&amp;CHAR(10)&amp;INDEX(ポート振替表!$K$5:$K$3507,$L3006)&amp;" "&amp;INDEX(ポート振替表!$L$5:$L$3507,$L3006)&amp;CHAR(10)&amp;"⇔ "&amp;INDEX(ポート振替表!$H$5:$H$3507,$L3006)&amp;" "&amp;INDEX(ポート振替表!$I$5:$I$3507,$L3006))</f>
        <v/>
      </c>
      <c r="L3006" s="47" t="str">
        <f aca="false">IFERROR(MATCH(ROW()-4,ポート振替表!$V$5:$V$3507,0),"")</f>
        <v/>
      </c>
    </row>
    <row r="3007" customFormat="false" ht="16.4" hidden="false" customHeight="false" outlineLevel="0" collapsed="false">
      <c r="A3007" s="32" t="str">
        <f aca="false">IF(L3007="","",ROW()-4)</f>
        <v/>
      </c>
      <c r="B3007" s="58" t="str">
        <f aca="false">IF(L3007="","",IF(INDEX(ポート振替表!$W$5:$W$3507,$L3007)="","(なし)",INDEX(ポート振替表!$W$5:$W$3507,$L3007)&amp;""))</f>
        <v/>
      </c>
      <c r="C3007" s="52" t="str">
        <f aca="false">IF(L3007="","",INDEX(ポート振替表!$B$5:$B$3507,$L3007)&amp;" "&amp;INDEX(ポート振替表!$C$5:$C$3507,$L3007)&amp;"  ⇔  "&amp;INDEX(ポート振替表!$H$5:$H$3507,$L3007)&amp;" "&amp;INDEX(ポート振替表!$I$5:$I$3507,$L3007))</f>
        <v/>
      </c>
      <c r="D3007" s="57" t="s">
        <v>158</v>
      </c>
      <c r="E3007" s="59" t="str">
        <f aca="false">IF(L3007="","",IF(INDEX(ポート振替表!$O$5:$O$3507,$L3007)="","(未設定)",INDEX(ポート振替表!$O$5:$O$3507,$L3007)&amp;""))</f>
        <v/>
      </c>
      <c r="F3007" s="52" t="str">
        <f aca="false">IF(L3007="","",INDEX(ポート振替表!$K$5:$K$3507,$L3007)&amp;" "&amp;INDEX(ポート振替表!$L$5:$L$3507,$L3007)&amp;"  ⇔  "&amp;INDEX(ポート振替表!$H$5:$H$3507,$L3007)&amp;" "&amp;INDEX(ポート振替表!$I$5:$I$3507,$L3007))</f>
        <v/>
      </c>
      <c r="G3007" s="57" t="s">
        <v>158</v>
      </c>
      <c r="H3007" s="32" t="str">
        <f aca="false">IF(L3007="","",INDEX(ポート振替表!$N$5:$N$3507,$L3007)&amp;"")</f>
        <v/>
      </c>
      <c r="I3007" s="32" t="str">
        <f aca="false">IF(L3007="","",INDEX(ポート振替表!$P$5:$P$3507,$L3007)&amp;"")</f>
        <v/>
      </c>
      <c r="J3007" s="60" t="str">
        <f aca="false">IF(L3007="","",INDEX(ポート振替表!$M$5:$M$3507,$L3007)&amp;"")</f>
        <v/>
      </c>
      <c r="K3007" s="52" t="str">
        <f aca="false">IF(L3007="","",E3007&amp;CHAR(10)&amp;INDEX(ポート振替表!$K$5:$K$3507,$L3007)&amp;" "&amp;INDEX(ポート振替表!$L$5:$L$3507,$L3007)&amp;CHAR(10)&amp;"⇔ "&amp;INDEX(ポート振替表!$H$5:$H$3507,$L3007)&amp;" "&amp;INDEX(ポート振替表!$I$5:$I$3507,$L3007))</f>
        <v/>
      </c>
      <c r="L3007" s="47" t="str">
        <f aca="false">IFERROR(MATCH(ROW()-4,ポート振替表!$V$5:$V$3507,0),"")</f>
        <v/>
      </c>
    </row>
    <row r="3008" customFormat="false" ht="16.4" hidden="false" customHeight="false" outlineLevel="0" collapsed="false">
      <c r="A3008" s="32" t="str">
        <f aca="false">IF(L3008="","",ROW()-4)</f>
        <v/>
      </c>
      <c r="B3008" s="58" t="str">
        <f aca="false">IF(L3008="","",IF(INDEX(ポート振替表!$W$5:$W$3507,$L3008)="","(なし)",INDEX(ポート振替表!$W$5:$W$3507,$L3008)&amp;""))</f>
        <v/>
      </c>
      <c r="C3008" s="52" t="str">
        <f aca="false">IF(L3008="","",INDEX(ポート振替表!$B$5:$B$3507,$L3008)&amp;" "&amp;INDEX(ポート振替表!$C$5:$C$3507,$L3008)&amp;"  ⇔  "&amp;INDEX(ポート振替表!$H$5:$H$3507,$L3008)&amp;" "&amp;INDEX(ポート振替表!$I$5:$I$3507,$L3008))</f>
        <v/>
      </c>
      <c r="D3008" s="57" t="s">
        <v>158</v>
      </c>
      <c r="E3008" s="59" t="str">
        <f aca="false">IF(L3008="","",IF(INDEX(ポート振替表!$O$5:$O$3507,$L3008)="","(未設定)",INDEX(ポート振替表!$O$5:$O$3507,$L3008)&amp;""))</f>
        <v/>
      </c>
      <c r="F3008" s="52" t="str">
        <f aca="false">IF(L3008="","",INDEX(ポート振替表!$K$5:$K$3507,$L3008)&amp;" "&amp;INDEX(ポート振替表!$L$5:$L$3507,$L3008)&amp;"  ⇔  "&amp;INDEX(ポート振替表!$H$5:$H$3507,$L3008)&amp;" "&amp;INDEX(ポート振替表!$I$5:$I$3507,$L3008))</f>
        <v/>
      </c>
      <c r="G3008" s="57" t="s">
        <v>158</v>
      </c>
      <c r="H3008" s="32" t="str">
        <f aca="false">IF(L3008="","",INDEX(ポート振替表!$N$5:$N$3507,$L3008)&amp;"")</f>
        <v/>
      </c>
      <c r="I3008" s="32" t="str">
        <f aca="false">IF(L3008="","",INDEX(ポート振替表!$P$5:$P$3507,$L3008)&amp;"")</f>
        <v/>
      </c>
      <c r="J3008" s="60" t="str">
        <f aca="false">IF(L3008="","",INDEX(ポート振替表!$M$5:$M$3507,$L3008)&amp;"")</f>
        <v/>
      </c>
      <c r="K3008" s="52" t="str">
        <f aca="false">IF(L3008="","",E3008&amp;CHAR(10)&amp;INDEX(ポート振替表!$K$5:$K$3507,$L3008)&amp;" "&amp;INDEX(ポート振替表!$L$5:$L$3507,$L3008)&amp;CHAR(10)&amp;"⇔ "&amp;INDEX(ポート振替表!$H$5:$H$3507,$L3008)&amp;" "&amp;INDEX(ポート振替表!$I$5:$I$3507,$L3008))</f>
        <v/>
      </c>
      <c r="L3008" s="47" t="str">
        <f aca="false">IFERROR(MATCH(ROW()-4,ポート振替表!$V$5:$V$3507,0),"")</f>
        <v/>
      </c>
    </row>
    <row r="3009" customFormat="false" ht="16.4" hidden="false" customHeight="false" outlineLevel="0" collapsed="false">
      <c r="A3009" s="32" t="str">
        <f aca="false">IF(L3009="","",ROW()-4)</f>
        <v/>
      </c>
      <c r="B3009" s="58" t="str">
        <f aca="false">IF(L3009="","",IF(INDEX(ポート振替表!$W$5:$W$3507,$L3009)="","(なし)",INDEX(ポート振替表!$W$5:$W$3507,$L3009)&amp;""))</f>
        <v/>
      </c>
      <c r="C3009" s="52" t="str">
        <f aca="false">IF(L3009="","",INDEX(ポート振替表!$B$5:$B$3507,$L3009)&amp;" "&amp;INDEX(ポート振替表!$C$5:$C$3507,$L3009)&amp;"  ⇔  "&amp;INDEX(ポート振替表!$H$5:$H$3507,$L3009)&amp;" "&amp;INDEX(ポート振替表!$I$5:$I$3507,$L3009))</f>
        <v/>
      </c>
      <c r="D3009" s="57" t="s">
        <v>158</v>
      </c>
      <c r="E3009" s="59" t="str">
        <f aca="false">IF(L3009="","",IF(INDEX(ポート振替表!$O$5:$O$3507,$L3009)="","(未設定)",INDEX(ポート振替表!$O$5:$O$3507,$L3009)&amp;""))</f>
        <v/>
      </c>
      <c r="F3009" s="52" t="str">
        <f aca="false">IF(L3009="","",INDEX(ポート振替表!$K$5:$K$3507,$L3009)&amp;" "&amp;INDEX(ポート振替表!$L$5:$L$3507,$L3009)&amp;"  ⇔  "&amp;INDEX(ポート振替表!$H$5:$H$3507,$L3009)&amp;" "&amp;INDEX(ポート振替表!$I$5:$I$3507,$L3009))</f>
        <v/>
      </c>
      <c r="G3009" s="57" t="s">
        <v>158</v>
      </c>
      <c r="H3009" s="32" t="str">
        <f aca="false">IF(L3009="","",INDEX(ポート振替表!$N$5:$N$3507,$L3009)&amp;"")</f>
        <v/>
      </c>
      <c r="I3009" s="32" t="str">
        <f aca="false">IF(L3009="","",INDEX(ポート振替表!$P$5:$P$3507,$L3009)&amp;"")</f>
        <v/>
      </c>
      <c r="J3009" s="60" t="str">
        <f aca="false">IF(L3009="","",INDEX(ポート振替表!$M$5:$M$3507,$L3009)&amp;"")</f>
        <v/>
      </c>
      <c r="K3009" s="52" t="str">
        <f aca="false">IF(L3009="","",E3009&amp;CHAR(10)&amp;INDEX(ポート振替表!$K$5:$K$3507,$L3009)&amp;" "&amp;INDEX(ポート振替表!$L$5:$L$3507,$L3009)&amp;CHAR(10)&amp;"⇔ "&amp;INDEX(ポート振替表!$H$5:$H$3507,$L3009)&amp;" "&amp;INDEX(ポート振替表!$I$5:$I$3507,$L3009))</f>
        <v/>
      </c>
      <c r="L3009" s="47" t="str">
        <f aca="false">IFERROR(MATCH(ROW()-4,ポート振替表!$V$5:$V$3507,0),"")</f>
        <v/>
      </c>
    </row>
    <row r="3010" customFormat="false" ht="16.4" hidden="false" customHeight="false" outlineLevel="0" collapsed="false">
      <c r="A3010" s="32" t="str">
        <f aca="false">IF(L3010="","",ROW()-4)</f>
        <v/>
      </c>
      <c r="B3010" s="58" t="str">
        <f aca="false">IF(L3010="","",IF(INDEX(ポート振替表!$W$5:$W$3507,$L3010)="","(なし)",INDEX(ポート振替表!$W$5:$W$3507,$L3010)&amp;""))</f>
        <v/>
      </c>
      <c r="C3010" s="52" t="str">
        <f aca="false">IF(L3010="","",INDEX(ポート振替表!$B$5:$B$3507,$L3010)&amp;" "&amp;INDEX(ポート振替表!$C$5:$C$3507,$L3010)&amp;"  ⇔  "&amp;INDEX(ポート振替表!$H$5:$H$3507,$L3010)&amp;" "&amp;INDEX(ポート振替表!$I$5:$I$3507,$L3010))</f>
        <v/>
      </c>
      <c r="D3010" s="57" t="s">
        <v>158</v>
      </c>
      <c r="E3010" s="59" t="str">
        <f aca="false">IF(L3010="","",IF(INDEX(ポート振替表!$O$5:$O$3507,$L3010)="","(未設定)",INDEX(ポート振替表!$O$5:$O$3507,$L3010)&amp;""))</f>
        <v/>
      </c>
      <c r="F3010" s="52" t="str">
        <f aca="false">IF(L3010="","",INDEX(ポート振替表!$K$5:$K$3507,$L3010)&amp;" "&amp;INDEX(ポート振替表!$L$5:$L$3507,$L3010)&amp;"  ⇔  "&amp;INDEX(ポート振替表!$H$5:$H$3507,$L3010)&amp;" "&amp;INDEX(ポート振替表!$I$5:$I$3507,$L3010))</f>
        <v/>
      </c>
      <c r="G3010" s="57" t="s">
        <v>158</v>
      </c>
      <c r="H3010" s="32" t="str">
        <f aca="false">IF(L3010="","",INDEX(ポート振替表!$N$5:$N$3507,$L3010)&amp;"")</f>
        <v/>
      </c>
      <c r="I3010" s="32" t="str">
        <f aca="false">IF(L3010="","",INDEX(ポート振替表!$P$5:$P$3507,$L3010)&amp;"")</f>
        <v/>
      </c>
      <c r="J3010" s="60" t="str">
        <f aca="false">IF(L3010="","",INDEX(ポート振替表!$M$5:$M$3507,$L3010)&amp;"")</f>
        <v/>
      </c>
      <c r="K3010" s="52" t="str">
        <f aca="false">IF(L3010="","",E3010&amp;CHAR(10)&amp;INDEX(ポート振替表!$K$5:$K$3507,$L3010)&amp;" "&amp;INDEX(ポート振替表!$L$5:$L$3507,$L3010)&amp;CHAR(10)&amp;"⇔ "&amp;INDEX(ポート振替表!$H$5:$H$3507,$L3010)&amp;" "&amp;INDEX(ポート振替表!$I$5:$I$3507,$L3010))</f>
        <v/>
      </c>
      <c r="L3010" s="47" t="str">
        <f aca="false">IFERROR(MATCH(ROW()-4,ポート振替表!$V$5:$V$3507,0),"")</f>
        <v/>
      </c>
    </row>
    <row r="3011" customFormat="false" ht="16.4" hidden="false" customHeight="false" outlineLevel="0" collapsed="false">
      <c r="A3011" s="32" t="str">
        <f aca="false">IF(L3011="","",ROW()-4)</f>
        <v/>
      </c>
      <c r="B3011" s="58" t="str">
        <f aca="false">IF(L3011="","",IF(INDEX(ポート振替表!$W$5:$W$3507,$L3011)="","(なし)",INDEX(ポート振替表!$W$5:$W$3507,$L3011)&amp;""))</f>
        <v/>
      </c>
      <c r="C3011" s="52" t="str">
        <f aca="false">IF(L3011="","",INDEX(ポート振替表!$B$5:$B$3507,$L3011)&amp;" "&amp;INDEX(ポート振替表!$C$5:$C$3507,$L3011)&amp;"  ⇔  "&amp;INDEX(ポート振替表!$H$5:$H$3507,$L3011)&amp;" "&amp;INDEX(ポート振替表!$I$5:$I$3507,$L3011))</f>
        <v/>
      </c>
      <c r="D3011" s="57" t="s">
        <v>158</v>
      </c>
      <c r="E3011" s="59" t="str">
        <f aca="false">IF(L3011="","",IF(INDEX(ポート振替表!$O$5:$O$3507,$L3011)="","(未設定)",INDEX(ポート振替表!$O$5:$O$3507,$L3011)&amp;""))</f>
        <v/>
      </c>
      <c r="F3011" s="52" t="str">
        <f aca="false">IF(L3011="","",INDEX(ポート振替表!$K$5:$K$3507,$L3011)&amp;" "&amp;INDEX(ポート振替表!$L$5:$L$3507,$L3011)&amp;"  ⇔  "&amp;INDEX(ポート振替表!$H$5:$H$3507,$L3011)&amp;" "&amp;INDEX(ポート振替表!$I$5:$I$3507,$L3011))</f>
        <v/>
      </c>
      <c r="G3011" s="57" t="s">
        <v>158</v>
      </c>
      <c r="H3011" s="32" t="str">
        <f aca="false">IF(L3011="","",INDEX(ポート振替表!$N$5:$N$3507,$L3011)&amp;"")</f>
        <v/>
      </c>
      <c r="I3011" s="32" t="str">
        <f aca="false">IF(L3011="","",INDEX(ポート振替表!$P$5:$P$3507,$L3011)&amp;"")</f>
        <v/>
      </c>
      <c r="J3011" s="60" t="str">
        <f aca="false">IF(L3011="","",INDEX(ポート振替表!$M$5:$M$3507,$L3011)&amp;"")</f>
        <v/>
      </c>
      <c r="K3011" s="52" t="str">
        <f aca="false">IF(L3011="","",E3011&amp;CHAR(10)&amp;INDEX(ポート振替表!$K$5:$K$3507,$L3011)&amp;" "&amp;INDEX(ポート振替表!$L$5:$L$3507,$L3011)&amp;CHAR(10)&amp;"⇔ "&amp;INDEX(ポート振替表!$H$5:$H$3507,$L3011)&amp;" "&amp;INDEX(ポート振替表!$I$5:$I$3507,$L3011))</f>
        <v/>
      </c>
      <c r="L3011" s="47" t="str">
        <f aca="false">IFERROR(MATCH(ROW()-4,ポート振替表!$V$5:$V$3507,0),"")</f>
        <v/>
      </c>
    </row>
    <row r="3012" customFormat="false" ht="16.4" hidden="false" customHeight="false" outlineLevel="0" collapsed="false">
      <c r="A3012" s="32" t="str">
        <f aca="false">IF(L3012="","",ROW()-4)</f>
        <v/>
      </c>
      <c r="B3012" s="58" t="str">
        <f aca="false">IF(L3012="","",IF(INDEX(ポート振替表!$W$5:$W$3507,$L3012)="","(なし)",INDEX(ポート振替表!$W$5:$W$3507,$L3012)&amp;""))</f>
        <v/>
      </c>
      <c r="C3012" s="52" t="str">
        <f aca="false">IF(L3012="","",INDEX(ポート振替表!$B$5:$B$3507,$L3012)&amp;" "&amp;INDEX(ポート振替表!$C$5:$C$3507,$L3012)&amp;"  ⇔  "&amp;INDEX(ポート振替表!$H$5:$H$3507,$L3012)&amp;" "&amp;INDEX(ポート振替表!$I$5:$I$3507,$L3012))</f>
        <v/>
      </c>
      <c r="D3012" s="57" t="s">
        <v>158</v>
      </c>
      <c r="E3012" s="59" t="str">
        <f aca="false">IF(L3012="","",IF(INDEX(ポート振替表!$O$5:$O$3507,$L3012)="","(未設定)",INDEX(ポート振替表!$O$5:$O$3507,$L3012)&amp;""))</f>
        <v/>
      </c>
      <c r="F3012" s="52" t="str">
        <f aca="false">IF(L3012="","",INDEX(ポート振替表!$K$5:$K$3507,$L3012)&amp;" "&amp;INDEX(ポート振替表!$L$5:$L$3507,$L3012)&amp;"  ⇔  "&amp;INDEX(ポート振替表!$H$5:$H$3507,$L3012)&amp;" "&amp;INDEX(ポート振替表!$I$5:$I$3507,$L3012))</f>
        <v/>
      </c>
      <c r="G3012" s="57" t="s">
        <v>158</v>
      </c>
      <c r="H3012" s="32" t="str">
        <f aca="false">IF(L3012="","",INDEX(ポート振替表!$N$5:$N$3507,$L3012)&amp;"")</f>
        <v/>
      </c>
      <c r="I3012" s="32" t="str">
        <f aca="false">IF(L3012="","",INDEX(ポート振替表!$P$5:$P$3507,$L3012)&amp;"")</f>
        <v/>
      </c>
      <c r="J3012" s="60" t="str">
        <f aca="false">IF(L3012="","",INDEX(ポート振替表!$M$5:$M$3507,$L3012)&amp;"")</f>
        <v/>
      </c>
      <c r="K3012" s="52" t="str">
        <f aca="false">IF(L3012="","",E3012&amp;CHAR(10)&amp;INDEX(ポート振替表!$K$5:$K$3507,$L3012)&amp;" "&amp;INDEX(ポート振替表!$L$5:$L$3507,$L3012)&amp;CHAR(10)&amp;"⇔ "&amp;INDEX(ポート振替表!$H$5:$H$3507,$L3012)&amp;" "&amp;INDEX(ポート振替表!$I$5:$I$3507,$L3012))</f>
        <v/>
      </c>
      <c r="L3012" s="47" t="str">
        <f aca="false">IFERROR(MATCH(ROW()-4,ポート振替表!$V$5:$V$3507,0),"")</f>
        <v/>
      </c>
    </row>
    <row r="3013" customFormat="false" ht="16.4" hidden="false" customHeight="false" outlineLevel="0" collapsed="false">
      <c r="A3013" s="32" t="str">
        <f aca="false">IF(L3013="","",ROW()-4)</f>
        <v/>
      </c>
      <c r="B3013" s="58" t="str">
        <f aca="false">IF(L3013="","",IF(INDEX(ポート振替表!$W$5:$W$3507,$L3013)="","(なし)",INDEX(ポート振替表!$W$5:$W$3507,$L3013)&amp;""))</f>
        <v/>
      </c>
      <c r="C3013" s="52" t="str">
        <f aca="false">IF(L3013="","",INDEX(ポート振替表!$B$5:$B$3507,$L3013)&amp;" "&amp;INDEX(ポート振替表!$C$5:$C$3507,$L3013)&amp;"  ⇔  "&amp;INDEX(ポート振替表!$H$5:$H$3507,$L3013)&amp;" "&amp;INDEX(ポート振替表!$I$5:$I$3507,$L3013))</f>
        <v/>
      </c>
      <c r="D3013" s="57" t="s">
        <v>158</v>
      </c>
      <c r="E3013" s="59" t="str">
        <f aca="false">IF(L3013="","",IF(INDEX(ポート振替表!$O$5:$O$3507,$L3013)="","(未設定)",INDEX(ポート振替表!$O$5:$O$3507,$L3013)&amp;""))</f>
        <v/>
      </c>
      <c r="F3013" s="52" t="str">
        <f aca="false">IF(L3013="","",INDEX(ポート振替表!$K$5:$K$3507,$L3013)&amp;" "&amp;INDEX(ポート振替表!$L$5:$L$3507,$L3013)&amp;"  ⇔  "&amp;INDEX(ポート振替表!$H$5:$H$3507,$L3013)&amp;" "&amp;INDEX(ポート振替表!$I$5:$I$3507,$L3013))</f>
        <v/>
      </c>
      <c r="G3013" s="57" t="s">
        <v>158</v>
      </c>
      <c r="H3013" s="32" t="str">
        <f aca="false">IF(L3013="","",INDEX(ポート振替表!$N$5:$N$3507,$L3013)&amp;"")</f>
        <v/>
      </c>
      <c r="I3013" s="32" t="str">
        <f aca="false">IF(L3013="","",INDEX(ポート振替表!$P$5:$P$3507,$L3013)&amp;"")</f>
        <v/>
      </c>
      <c r="J3013" s="60" t="str">
        <f aca="false">IF(L3013="","",INDEX(ポート振替表!$M$5:$M$3507,$L3013)&amp;"")</f>
        <v/>
      </c>
      <c r="K3013" s="52" t="str">
        <f aca="false">IF(L3013="","",E3013&amp;CHAR(10)&amp;INDEX(ポート振替表!$K$5:$K$3507,$L3013)&amp;" "&amp;INDEX(ポート振替表!$L$5:$L$3507,$L3013)&amp;CHAR(10)&amp;"⇔ "&amp;INDEX(ポート振替表!$H$5:$H$3507,$L3013)&amp;" "&amp;INDEX(ポート振替表!$I$5:$I$3507,$L3013))</f>
        <v/>
      </c>
      <c r="L3013" s="47" t="str">
        <f aca="false">IFERROR(MATCH(ROW()-4,ポート振替表!$V$5:$V$3507,0),"")</f>
        <v/>
      </c>
    </row>
    <row r="3014" customFormat="false" ht="16.4" hidden="false" customHeight="false" outlineLevel="0" collapsed="false">
      <c r="A3014" s="32" t="str">
        <f aca="false">IF(L3014="","",ROW()-4)</f>
        <v/>
      </c>
      <c r="B3014" s="58" t="str">
        <f aca="false">IF(L3014="","",IF(INDEX(ポート振替表!$W$5:$W$3507,$L3014)="","(なし)",INDEX(ポート振替表!$W$5:$W$3507,$L3014)&amp;""))</f>
        <v/>
      </c>
      <c r="C3014" s="52" t="str">
        <f aca="false">IF(L3014="","",INDEX(ポート振替表!$B$5:$B$3507,$L3014)&amp;" "&amp;INDEX(ポート振替表!$C$5:$C$3507,$L3014)&amp;"  ⇔  "&amp;INDEX(ポート振替表!$H$5:$H$3507,$L3014)&amp;" "&amp;INDEX(ポート振替表!$I$5:$I$3507,$L3014))</f>
        <v/>
      </c>
      <c r="D3014" s="57" t="s">
        <v>158</v>
      </c>
      <c r="E3014" s="59" t="str">
        <f aca="false">IF(L3014="","",IF(INDEX(ポート振替表!$O$5:$O$3507,$L3014)="","(未設定)",INDEX(ポート振替表!$O$5:$O$3507,$L3014)&amp;""))</f>
        <v/>
      </c>
      <c r="F3014" s="52" t="str">
        <f aca="false">IF(L3014="","",INDEX(ポート振替表!$K$5:$K$3507,$L3014)&amp;" "&amp;INDEX(ポート振替表!$L$5:$L$3507,$L3014)&amp;"  ⇔  "&amp;INDEX(ポート振替表!$H$5:$H$3507,$L3014)&amp;" "&amp;INDEX(ポート振替表!$I$5:$I$3507,$L3014))</f>
        <v/>
      </c>
      <c r="G3014" s="57" t="s">
        <v>158</v>
      </c>
      <c r="H3014" s="32" t="str">
        <f aca="false">IF(L3014="","",INDEX(ポート振替表!$N$5:$N$3507,$L3014)&amp;"")</f>
        <v/>
      </c>
      <c r="I3014" s="32" t="str">
        <f aca="false">IF(L3014="","",INDEX(ポート振替表!$P$5:$P$3507,$L3014)&amp;"")</f>
        <v/>
      </c>
      <c r="J3014" s="60" t="str">
        <f aca="false">IF(L3014="","",INDEX(ポート振替表!$M$5:$M$3507,$L3014)&amp;"")</f>
        <v/>
      </c>
      <c r="K3014" s="52" t="str">
        <f aca="false">IF(L3014="","",E3014&amp;CHAR(10)&amp;INDEX(ポート振替表!$K$5:$K$3507,$L3014)&amp;" "&amp;INDEX(ポート振替表!$L$5:$L$3507,$L3014)&amp;CHAR(10)&amp;"⇔ "&amp;INDEX(ポート振替表!$H$5:$H$3507,$L3014)&amp;" "&amp;INDEX(ポート振替表!$I$5:$I$3507,$L3014))</f>
        <v/>
      </c>
      <c r="L3014" s="47" t="str">
        <f aca="false">IFERROR(MATCH(ROW()-4,ポート振替表!$V$5:$V$3507,0),"")</f>
        <v/>
      </c>
    </row>
    <row r="3015" customFormat="false" ht="16.4" hidden="false" customHeight="false" outlineLevel="0" collapsed="false">
      <c r="A3015" s="32" t="str">
        <f aca="false">IF(L3015="","",ROW()-4)</f>
        <v/>
      </c>
      <c r="B3015" s="58" t="str">
        <f aca="false">IF(L3015="","",IF(INDEX(ポート振替表!$W$5:$W$3507,$L3015)="","(なし)",INDEX(ポート振替表!$W$5:$W$3507,$L3015)&amp;""))</f>
        <v/>
      </c>
      <c r="C3015" s="52" t="str">
        <f aca="false">IF(L3015="","",INDEX(ポート振替表!$B$5:$B$3507,$L3015)&amp;" "&amp;INDEX(ポート振替表!$C$5:$C$3507,$L3015)&amp;"  ⇔  "&amp;INDEX(ポート振替表!$H$5:$H$3507,$L3015)&amp;" "&amp;INDEX(ポート振替表!$I$5:$I$3507,$L3015))</f>
        <v/>
      </c>
      <c r="D3015" s="57" t="s">
        <v>158</v>
      </c>
      <c r="E3015" s="59" t="str">
        <f aca="false">IF(L3015="","",IF(INDEX(ポート振替表!$O$5:$O$3507,$L3015)="","(未設定)",INDEX(ポート振替表!$O$5:$O$3507,$L3015)&amp;""))</f>
        <v/>
      </c>
      <c r="F3015" s="52" t="str">
        <f aca="false">IF(L3015="","",INDEX(ポート振替表!$K$5:$K$3507,$L3015)&amp;" "&amp;INDEX(ポート振替表!$L$5:$L$3507,$L3015)&amp;"  ⇔  "&amp;INDEX(ポート振替表!$H$5:$H$3507,$L3015)&amp;" "&amp;INDEX(ポート振替表!$I$5:$I$3507,$L3015))</f>
        <v/>
      </c>
      <c r="G3015" s="57" t="s">
        <v>158</v>
      </c>
      <c r="H3015" s="32" t="str">
        <f aca="false">IF(L3015="","",INDEX(ポート振替表!$N$5:$N$3507,$L3015)&amp;"")</f>
        <v/>
      </c>
      <c r="I3015" s="32" t="str">
        <f aca="false">IF(L3015="","",INDEX(ポート振替表!$P$5:$P$3507,$L3015)&amp;"")</f>
        <v/>
      </c>
      <c r="J3015" s="60" t="str">
        <f aca="false">IF(L3015="","",INDEX(ポート振替表!$M$5:$M$3507,$L3015)&amp;"")</f>
        <v/>
      </c>
      <c r="K3015" s="52" t="str">
        <f aca="false">IF(L3015="","",E3015&amp;CHAR(10)&amp;INDEX(ポート振替表!$K$5:$K$3507,$L3015)&amp;" "&amp;INDEX(ポート振替表!$L$5:$L$3507,$L3015)&amp;CHAR(10)&amp;"⇔ "&amp;INDEX(ポート振替表!$H$5:$H$3507,$L3015)&amp;" "&amp;INDEX(ポート振替表!$I$5:$I$3507,$L3015))</f>
        <v/>
      </c>
      <c r="L3015" s="47" t="str">
        <f aca="false">IFERROR(MATCH(ROW()-4,ポート振替表!$V$5:$V$3507,0),"")</f>
        <v/>
      </c>
    </row>
    <row r="3016" customFormat="false" ht="16.4" hidden="false" customHeight="false" outlineLevel="0" collapsed="false">
      <c r="A3016" s="32" t="str">
        <f aca="false">IF(L3016="","",ROW()-4)</f>
        <v/>
      </c>
      <c r="B3016" s="58" t="str">
        <f aca="false">IF(L3016="","",IF(INDEX(ポート振替表!$W$5:$W$3507,$L3016)="","(なし)",INDEX(ポート振替表!$W$5:$W$3507,$L3016)&amp;""))</f>
        <v/>
      </c>
      <c r="C3016" s="52" t="str">
        <f aca="false">IF(L3016="","",INDEX(ポート振替表!$B$5:$B$3507,$L3016)&amp;" "&amp;INDEX(ポート振替表!$C$5:$C$3507,$L3016)&amp;"  ⇔  "&amp;INDEX(ポート振替表!$H$5:$H$3507,$L3016)&amp;" "&amp;INDEX(ポート振替表!$I$5:$I$3507,$L3016))</f>
        <v/>
      </c>
      <c r="D3016" s="57" t="s">
        <v>158</v>
      </c>
      <c r="E3016" s="59" t="str">
        <f aca="false">IF(L3016="","",IF(INDEX(ポート振替表!$O$5:$O$3507,$L3016)="","(未設定)",INDEX(ポート振替表!$O$5:$O$3507,$L3016)&amp;""))</f>
        <v/>
      </c>
      <c r="F3016" s="52" t="str">
        <f aca="false">IF(L3016="","",INDEX(ポート振替表!$K$5:$K$3507,$L3016)&amp;" "&amp;INDEX(ポート振替表!$L$5:$L$3507,$L3016)&amp;"  ⇔  "&amp;INDEX(ポート振替表!$H$5:$H$3507,$L3016)&amp;" "&amp;INDEX(ポート振替表!$I$5:$I$3507,$L3016))</f>
        <v/>
      </c>
      <c r="G3016" s="57" t="s">
        <v>158</v>
      </c>
      <c r="H3016" s="32" t="str">
        <f aca="false">IF(L3016="","",INDEX(ポート振替表!$N$5:$N$3507,$L3016)&amp;"")</f>
        <v/>
      </c>
      <c r="I3016" s="32" t="str">
        <f aca="false">IF(L3016="","",INDEX(ポート振替表!$P$5:$P$3507,$L3016)&amp;"")</f>
        <v/>
      </c>
      <c r="J3016" s="60" t="str">
        <f aca="false">IF(L3016="","",INDEX(ポート振替表!$M$5:$M$3507,$L3016)&amp;"")</f>
        <v/>
      </c>
      <c r="K3016" s="52" t="str">
        <f aca="false">IF(L3016="","",E3016&amp;CHAR(10)&amp;INDEX(ポート振替表!$K$5:$K$3507,$L3016)&amp;" "&amp;INDEX(ポート振替表!$L$5:$L$3507,$L3016)&amp;CHAR(10)&amp;"⇔ "&amp;INDEX(ポート振替表!$H$5:$H$3507,$L3016)&amp;" "&amp;INDEX(ポート振替表!$I$5:$I$3507,$L3016))</f>
        <v/>
      </c>
      <c r="L3016" s="47" t="str">
        <f aca="false">IFERROR(MATCH(ROW()-4,ポート振替表!$V$5:$V$3507,0),"")</f>
        <v/>
      </c>
    </row>
    <row r="3017" customFormat="false" ht="16.4" hidden="false" customHeight="false" outlineLevel="0" collapsed="false">
      <c r="A3017" s="32" t="str">
        <f aca="false">IF(L3017="","",ROW()-4)</f>
        <v/>
      </c>
      <c r="B3017" s="58" t="str">
        <f aca="false">IF(L3017="","",IF(INDEX(ポート振替表!$W$5:$W$3507,$L3017)="","(なし)",INDEX(ポート振替表!$W$5:$W$3507,$L3017)&amp;""))</f>
        <v/>
      </c>
      <c r="C3017" s="52" t="str">
        <f aca="false">IF(L3017="","",INDEX(ポート振替表!$B$5:$B$3507,$L3017)&amp;" "&amp;INDEX(ポート振替表!$C$5:$C$3507,$L3017)&amp;"  ⇔  "&amp;INDEX(ポート振替表!$H$5:$H$3507,$L3017)&amp;" "&amp;INDEX(ポート振替表!$I$5:$I$3507,$L3017))</f>
        <v/>
      </c>
      <c r="D3017" s="57" t="s">
        <v>158</v>
      </c>
      <c r="E3017" s="59" t="str">
        <f aca="false">IF(L3017="","",IF(INDEX(ポート振替表!$O$5:$O$3507,$L3017)="","(未設定)",INDEX(ポート振替表!$O$5:$O$3507,$L3017)&amp;""))</f>
        <v/>
      </c>
      <c r="F3017" s="52" t="str">
        <f aca="false">IF(L3017="","",INDEX(ポート振替表!$K$5:$K$3507,$L3017)&amp;" "&amp;INDEX(ポート振替表!$L$5:$L$3507,$L3017)&amp;"  ⇔  "&amp;INDEX(ポート振替表!$H$5:$H$3507,$L3017)&amp;" "&amp;INDEX(ポート振替表!$I$5:$I$3507,$L3017))</f>
        <v/>
      </c>
      <c r="G3017" s="57" t="s">
        <v>158</v>
      </c>
      <c r="H3017" s="32" t="str">
        <f aca="false">IF(L3017="","",INDEX(ポート振替表!$N$5:$N$3507,$L3017)&amp;"")</f>
        <v/>
      </c>
      <c r="I3017" s="32" t="str">
        <f aca="false">IF(L3017="","",INDEX(ポート振替表!$P$5:$P$3507,$L3017)&amp;"")</f>
        <v/>
      </c>
      <c r="J3017" s="60" t="str">
        <f aca="false">IF(L3017="","",INDEX(ポート振替表!$M$5:$M$3507,$L3017)&amp;"")</f>
        <v/>
      </c>
      <c r="K3017" s="52" t="str">
        <f aca="false">IF(L3017="","",E3017&amp;CHAR(10)&amp;INDEX(ポート振替表!$K$5:$K$3507,$L3017)&amp;" "&amp;INDEX(ポート振替表!$L$5:$L$3507,$L3017)&amp;CHAR(10)&amp;"⇔ "&amp;INDEX(ポート振替表!$H$5:$H$3507,$L3017)&amp;" "&amp;INDEX(ポート振替表!$I$5:$I$3507,$L3017))</f>
        <v/>
      </c>
      <c r="L3017" s="47" t="str">
        <f aca="false">IFERROR(MATCH(ROW()-4,ポート振替表!$V$5:$V$3507,0),"")</f>
        <v/>
      </c>
    </row>
    <row r="3018" customFormat="false" ht="16.4" hidden="false" customHeight="false" outlineLevel="0" collapsed="false">
      <c r="A3018" s="32" t="str">
        <f aca="false">IF(L3018="","",ROW()-4)</f>
        <v/>
      </c>
      <c r="B3018" s="58" t="str">
        <f aca="false">IF(L3018="","",IF(INDEX(ポート振替表!$W$5:$W$3507,$L3018)="","(なし)",INDEX(ポート振替表!$W$5:$W$3507,$L3018)&amp;""))</f>
        <v/>
      </c>
      <c r="C3018" s="52" t="str">
        <f aca="false">IF(L3018="","",INDEX(ポート振替表!$B$5:$B$3507,$L3018)&amp;" "&amp;INDEX(ポート振替表!$C$5:$C$3507,$L3018)&amp;"  ⇔  "&amp;INDEX(ポート振替表!$H$5:$H$3507,$L3018)&amp;" "&amp;INDEX(ポート振替表!$I$5:$I$3507,$L3018))</f>
        <v/>
      </c>
      <c r="D3018" s="57" t="s">
        <v>158</v>
      </c>
      <c r="E3018" s="59" t="str">
        <f aca="false">IF(L3018="","",IF(INDEX(ポート振替表!$O$5:$O$3507,$L3018)="","(未設定)",INDEX(ポート振替表!$O$5:$O$3507,$L3018)&amp;""))</f>
        <v/>
      </c>
      <c r="F3018" s="52" t="str">
        <f aca="false">IF(L3018="","",INDEX(ポート振替表!$K$5:$K$3507,$L3018)&amp;" "&amp;INDEX(ポート振替表!$L$5:$L$3507,$L3018)&amp;"  ⇔  "&amp;INDEX(ポート振替表!$H$5:$H$3507,$L3018)&amp;" "&amp;INDEX(ポート振替表!$I$5:$I$3507,$L3018))</f>
        <v/>
      </c>
      <c r="G3018" s="57" t="s">
        <v>158</v>
      </c>
      <c r="H3018" s="32" t="str">
        <f aca="false">IF(L3018="","",INDEX(ポート振替表!$N$5:$N$3507,$L3018)&amp;"")</f>
        <v/>
      </c>
      <c r="I3018" s="32" t="str">
        <f aca="false">IF(L3018="","",INDEX(ポート振替表!$P$5:$P$3507,$L3018)&amp;"")</f>
        <v/>
      </c>
      <c r="J3018" s="60" t="str">
        <f aca="false">IF(L3018="","",INDEX(ポート振替表!$M$5:$M$3507,$L3018)&amp;"")</f>
        <v/>
      </c>
      <c r="K3018" s="52" t="str">
        <f aca="false">IF(L3018="","",E3018&amp;CHAR(10)&amp;INDEX(ポート振替表!$K$5:$K$3507,$L3018)&amp;" "&amp;INDEX(ポート振替表!$L$5:$L$3507,$L3018)&amp;CHAR(10)&amp;"⇔ "&amp;INDEX(ポート振替表!$H$5:$H$3507,$L3018)&amp;" "&amp;INDEX(ポート振替表!$I$5:$I$3507,$L3018))</f>
        <v/>
      </c>
      <c r="L3018" s="47" t="str">
        <f aca="false">IFERROR(MATCH(ROW()-4,ポート振替表!$V$5:$V$3507,0),"")</f>
        <v/>
      </c>
    </row>
    <row r="3019" customFormat="false" ht="16.4" hidden="false" customHeight="false" outlineLevel="0" collapsed="false">
      <c r="A3019" s="32" t="str">
        <f aca="false">IF(L3019="","",ROW()-4)</f>
        <v/>
      </c>
      <c r="B3019" s="58" t="str">
        <f aca="false">IF(L3019="","",IF(INDEX(ポート振替表!$W$5:$W$3507,$L3019)="","(なし)",INDEX(ポート振替表!$W$5:$W$3507,$L3019)&amp;""))</f>
        <v/>
      </c>
      <c r="C3019" s="52" t="str">
        <f aca="false">IF(L3019="","",INDEX(ポート振替表!$B$5:$B$3507,$L3019)&amp;" "&amp;INDEX(ポート振替表!$C$5:$C$3507,$L3019)&amp;"  ⇔  "&amp;INDEX(ポート振替表!$H$5:$H$3507,$L3019)&amp;" "&amp;INDEX(ポート振替表!$I$5:$I$3507,$L3019))</f>
        <v/>
      </c>
      <c r="D3019" s="57" t="s">
        <v>158</v>
      </c>
      <c r="E3019" s="59" t="str">
        <f aca="false">IF(L3019="","",IF(INDEX(ポート振替表!$O$5:$O$3507,$L3019)="","(未設定)",INDEX(ポート振替表!$O$5:$O$3507,$L3019)&amp;""))</f>
        <v/>
      </c>
      <c r="F3019" s="52" t="str">
        <f aca="false">IF(L3019="","",INDEX(ポート振替表!$K$5:$K$3507,$L3019)&amp;" "&amp;INDEX(ポート振替表!$L$5:$L$3507,$L3019)&amp;"  ⇔  "&amp;INDEX(ポート振替表!$H$5:$H$3507,$L3019)&amp;" "&amp;INDEX(ポート振替表!$I$5:$I$3507,$L3019))</f>
        <v/>
      </c>
      <c r="G3019" s="57" t="s">
        <v>158</v>
      </c>
      <c r="H3019" s="32" t="str">
        <f aca="false">IF(L3019="","",INDEX(ポート振替表!$N$5:$N$3507,$L3019)&amp;"")</f>
        <v/>
      </c>
      <c r="I3019" s="32" t="str">
        <f aca="false">IF(L3019="","",INDEX(ポート振替表!$P$5:$P$3507,$L3019)&amp;"")</f>
        <v/>
      </c>
      <c r="J3019" s="60" t="str">
        <f aca="false">IF(L3019="","",INDEX(ポート振替表!$M$5:$M$3507,$L3019)&amp;"")</f>
        <v/>
      </c>
      <c r="K3019" s="52" t="str">
        <f aca="false">IF(L3019="","",E3019&amp;CHAR(10)&amp;INDEX(ポート振替表!$K$5:$K$3507,$L3019)&amp;" "&amp;INDEX(ポート振替表!$L$5:$L$3507,$L3019)&amp;CHAR(10)&amp;"⇔ "&amp;INDEX(ポート振替表!$H$5:$H$3507,$L3019)&amp;" "&amp;INDEX(ポート振替表!$I$5:$I$3507,$L3019))</f>
        <v/>
      </c>
      <c r="L3019" s="47" t="str">
        <f aca="false">IFERROR(MATCH(ROW()-4,ポート振替表!$V$5:$V$3507,0),"")</f>
        <v/>
      </c>
    </row>
    <row r="3020" customFormat="false" ht="16.4" hidden="false" customHeight="false" outlineLevel="0" collapsed="false">
      <c r="A3020" s="32" t="str">
        <f aca="false">IF(L3020="","",ROW()-4)</f>
        <v/>
      </c>
      <c r="B3020" s="58" t="str">
        <f aca="false">IF(L3020="","",IF(INDEX(ポート振替表!$W$5:$W$3507,$L3020)="","(なし)",INDEX(ポート振替表!$W$5:$W$3507,$L3020)&amp;""))</f>
        <v/>
      </c>
      <c r="C3020" s="52" t="str">
        <f aca="false">IF(L3020="","",INDEX(ポート振替表!$B$5:$B$3507,$L3020)&amp;" "&amp;INDEX(ポート振替表!$C$5:$C$3507,$L3020)&amp;"  ⇔  "&amp;INDEX(ポート振替表!$H$5:$H$3507,$L3020)&amp;" "&amp;INDEX(ポート振替表!$I$5:$I$3507,$L3020))</f>
        <v/>
      </c>
      <c r="D3020" s="57" t="s">
        <v>158</v>
      </c>
      <c r="E3020" s="59" t="str">
        <f aca="false">IF(L3020="","",IF(INDEX(ポート振替表!$O$5:$O$3507,$L3020)="","(未設定)",INDEX(ポート振替表!$O$5:$O$3507,$L3020)&amp;""))</f>
        <v/>
      </c>
      <c r="F3020" s="52" t="str">
        <f aca="false">IF(L3020="","",INDEX(ポート振替表!$K$5:$K$3507,$L3020)&amp;" "&amp;INDEX(ポート振替表!$L$5:$L$3507,$L3020)&amp;"  ⇔  "&amp;INDEX(ポート振替表!$H$5:$H$3507,$L3020)&amp;" "&amp;INDEX(ポート振替表!$I$5:$I$3507,$L3020))</f>
        <v/>
      </c>
      <c r="G3020" s="57" t="s">
        <v>158</v>
      </c>
      <c r="H3020" s="32" t="str">
        <f aca="false">IF(L3020="","",INDEX(ポート振替表!$N$5:$N$3507,$L3020)&amp;"")</f>
        <v/>
      </c>
      <c r="I3020" s="32" t="str">
        <f aca="false">IF(L3020="","",INDEX(ポート振替表!$P$5:$P$3507,$L3020)&amp;"")</f>
        <v/>
      </c>
      <c r="J3020" s="60" t="str">
        <f aca="false">IF(L3020="","",INDEX(ポート振替表!$M$5:$M$3507,$L3020)&amp;"")</f>
        <v/>
      </c>
      <c r="K3020" s="52" t="str">
        <f aca="false">IF(L3020="","",E3020&amp;CHAR(10)&amp;INDEX(ポート振替表!$K$5:$K$3507,$L3020)&amp;" "&amp;INDEX(ポート振替表!$L$5:$L$3507,$L3020)&amp;CHAR(10)&amp;"⇔ "&amp;INDEX(ポート振替表!$H$5:$H$3507,$L3020)&amp;" "&amp;INDEX(ポート振替表!$I$5:$I$3507,$L3020))</f>
        <v/>
      </c>
      <c r="L3020" s="47" t="str">
        <f aca="false">IFERROR(MATCH(ROW()-4,ポート振替表!$V$5:$V$3507,0),"")</f>
        <v/>
      </c>
    </row>
    <row r="3021" customFormat="false" ht="16.4" hidden="false" customHeight="false" outlineLevel="0" collapsed="false">
      <c r="A3021" s="32" t="str">
        <f aca="false">IF(L3021="","",ROW()-4)</f>
        <v/>
      </c>
      <c r="B3021" s="58" t="str">
        <f aca="false">IF(L3021="","",IF(INDEX(ポート振替表!$W$5:$W$3507,$L3021)="","(なし)",INDEX(ポート振替表!$W$5:$W$3507,$L3021)&amp;""))</f>
        <v/>
      </c>
      <c r="C3021" s="52" t="str">
        <f aca="false">IF(L3021="","",INDEX(ポート振替表!$B$5:$B$3507,$L3021)&amp;" "&amp;INDEX(ポート振替表!$C$5:$C$3507,$L3021)&amp;"  ⇔  "&amp;INDEX(ポート振替表!$H$5:$H$3507,$L3021)&amp;" "&amp;INDEX(ポート振替表!$I$5:$I$3507,$L3021))</f>
        <v/>
      </c>
      <c r="D3021" s="57" t="s">
        <v>158</v>
      </c>
      <c r="E3021" s="59" t="str">
        <f aca="false">IF(L3021="","",IF(INDEX(ポート振替表!$O$5:$O$3507,$L3021)="","(未設定)",INDEX(ポート振替表!$O$5:$O$3507,$L3021)&amp;""))</f>
        <v/>
      </c>
      <c r="F3021" s="52" t="str">
        <f aca="false">IF(L3021="","",INDEX(ポート振替表!$K$5:$K$3507,$L3021)&amp;" "&amp;INDEX(ポート振替表!$L$5:$L$3507,$L3021)&amp;"  ⇔  "&amp;INDEX(ポート振替表!$H$5:$H$3507,$L3021)&amp;" "&amp;INDEX(ポート振替表!$I$5:$I$3507,$L3021))</f>
        <v/>
      </c>
      <c r="G3021" s="57" t="s">
        <v>158</v>
      </c>
      <c r="H3021" s="32" t="str">
        <f aca="false">IF(L3021="","",INDEX(ポート振替表!$N$5:$N$3507,$L3021)&amp;"")</f>
        <v/>
      </c>
      <c r="I3021" s="32" t="str">
        <f aca="false">IF(L3021="","",INDEX(ポート振替表!$P$5:$P$3507,$L3021)&amp;"")</f>
        <v/>
      </c>
      <c r="J3021" s="60" t="str">
        <f aca="false">IF(L3021="","",INDEX(ポート振替表!$M$5:$M$3507,$L3021)&amp;"")</f>
        <v/>
      </c>
      <c r="K3021" s="52" t="str">
        <f aca="false">IF(L3021="","",E3021&amp;CHAR(10)&amp;INDEX(ポート振替表!$K$5:$K$3507,$L3021)&amp;" "&amp;INDEX(ポート振替表!$L$5:$L$3507,$L3021)&amp;CHAR(10)&amp;"⇔ "&amp;INDEX(ポート振替表!$H$5:$H$3507,$L3021)&amp;" "&amp;INDEX(ポート振替表!$I$5:$I$3507,$L3021))</f>
        <v/>
      </c>
      <c r="L3021" s="47" t="str">
        <f aca="false">IFERROR(MATCH(ROW()-4,ポート振替表!$V$5:$V$3507,0),"")</f>
        <v/>
      </c>
    </row>
    <row r="3022" customFormat="false" ht="16.4" hidden="false" customHeight="false" outlineLevel="0" collapsed="false">
      <c r="A3022" s="32" t="str">
        <f aca="false">IF(L3022="","",ROW()-4)</f>
        <v/>
      </c>
      <c r="B3022" s="58" t="str">
        <f aca="false">IF(L3022="","",IF(INDEX(ポート振替表!$W$5:$W$3507,$L3022)="","(なし)",INDEX(ポート振替表!$W$5:$W$3507,$L3022)&amp;""))</f>
        <v/>
      </c>
      <c r="C3022" s="52" t="str">
        <f aca="false">IF(L3022="","",INDEX(ポート振替表!$B$5:$B$3507,$L3022)&amp;" "&amp;INDEX(ポート振替表!$C$5:$C$3507,$L3022)&amp;"  ⇔  "&amp;INDEX(ポート振替表!$H$5:$H$3507,$L3022)&amp;" "&amp;INDEX(ポート振替表!$I$5:$I$3507,$L3022))</f>
        <v/>
      </c>
      <c r="D3022" s="57" t="s">
        <v>158</v>
      </c>
      <c r="E3022" s="59" t="str">
        <f aca="false">IF(L3022="","",IF(INDEX(ポート振替表!$O$5:$O$3507,$L3022)="","(未設定)",INDEX(ポート振替表!$O$5:$O$3507,$L3022)&amp;""))</f>
        <v/>
      </c>
      <c r="F3022" s="52" t="str">
        <f aca="false">IF(L3022="","",INDEX(ポート振替表!$K$5:$K$3507,$L3022)&amp;" "&amp;INDEX(ポート振替表!$L$5:$L$3507,$L3022)&amp;"  ⇔  "&amp;INDEX(ポート振替表!$H$5:$H$3507,$L3022)&amp;" "&amp;INDEX(ポート振替表!$I$5:$I$3507,$L3022))</f>
        <v/>
      </c>
      <c r="G3022" s="57" t="s">
        <v>158</v>
      </c>
      <c r="H3022" s="32" t="str">
        <f aca="false">IF(L3022="","",INDEX(ポート振替表!$N$5:$N$3507,$L3022)&amp;"")</f>
        <v/>
      </c>
      <c r="I3022" s="32" t="str">
        <f aca="false">IF(L3022="","",INDEX(ポート振替表!$P$5:$P$3507,$L3022)&amp;"")</f>
        <v/>
      </c>
      <c r="J3022" s="60" t="str">
        <f aca="false">IF(L3022="","",INDEX(ポート振替表!$M$5:$M$3507,$L3022)&amp;"")</f>
        <v/>
      </c>
      <c r="K3022" s="52" t="str">
        <f aca="false">IF(L3022="","",E3022&amp;CHAR(10)&amp;INDEX(ポート振替表!$K$5:$K$3507,$L3022)&amp;" "&amp;INDEX(ポート振替表!$L$5:$L$3507,$L3022)&amp;CHAR(10)&amp;"⇔ "&amp;INDEX(ポート振替表!$H$5:$H$3507,$L3022)&amp;" "&amp;INDEX(ポート振替表!$I$5:$I$3507,$L3022))</f>
        <v/>
      </c>
      <c r="L3022" s="47" t="str">
        <f aca="false">IFERROR(MATCH(ROW()-4,ポート振替表!$V$5:$V$3507,0),"")</f>
        <v/>
      </c>
    </row>
    <row r="3023" customFormat="false" ht="16.4" hidden="false" customHeight="false" outlineLevel="0" collapsed="false">
      <c r="A3023" s="32" t="str">
        <f aca="false">IF(L3023="","",ROW()-4)</f>
        <v/>
      </c>
      <c r="B3023" s="58" t="str">
        <f aca="false">IF(L3023="","",IF(INDEX(ポート振替表!$W$5:$W$3507,$L3023)="","(なし)",INDEX(ポート振替表!$W$5:$W$3507,$L3023)&amp;""))</f>
        <v/>
      </c>
      <c r="C3023" s="52" t="str">
        <f aca="false">IF(L3023="","",INDEX(ポート振替表!$B$5:$B$3507,$L3023)&amp;" "&amp;INDEX(ポート振替表!$C$5:$C$3507,$L3023)&amp;"  ⇔  "&amp;INDEX(ポート振替表!$H$5:$H$3507,$L3023)&amp;" "&amp;INDEX(ポート振替表!$I$5:$I$3507,$L3023))</f>
        <v/>
      </c>
      <c r="D3023" s="57" t="s">
        <v>158</v>
      </c>
      <c r="E3023" s="59" t="str">
        <f aca="false">IF(L3023="","",IF(INDEX(ポート振替表!$O$5:$O$3507,$L3023)="","(未設定)",INDEX(ポート振替表!$O$5:$O$3507,$L3023)&amp;""))</f>
        <v/>
      </c>
      <c r="F3023" s="52" t="str">
        <f aca="false">IF(L3023="","",INDEX(ポート振替表!$K$5:$K$3507,$L3023)&amp;" "&amp;INDEX(ポート振替表!$L$5:$L$3507,$L3023)&amp;"  ⇔  "&amp;INDEX(ポート振替表!$H$5:$H$3507,$L3023)&amp;" "&amp;INDEX(ポート振替表!$I$5:$I$3507,$L3023))</f>
        <v/>
      </c>
      <c r="G3023" s="57" t="s">
        <v>158</v>
      </c>
      <c r="H3023" s="32" t="str">
        <f aca="false">IF(L3023="","",INDEX(ポート振替表!$N$5:$N$3507,$L3023)&amp;"")</f>
        <v/>
      </c>
      <c r="I3023" s="32" t="str">
        <f aca="false">IF(L3023="","",INDEX(ポート振替表!$P$5:$P$3507,$L3023)&amp;"")</f>
        <v/>
      </c>
      <c r="J3023" s="60" t="str">
        <f aca="false">IF(L3023="","",INDEX(ポート振替表!$M$5:$M$3507,$L3023)&amp;"")</f>
        <v/>
      </c>
      <c r="K3023" s="52" t="str">
        <f aca="false">IF(L3023="","",E3023&amp;CHAR(10)&amp;INDEX(ポート振替表!$K$5:$K$3507,$L3023)&amp;" "&amp;INDEX(ポート振替表!$L$5:$L$3507,$L3023)&amp;CHAR(10)&amp;"⇔ "&amp;INDEX(ポート振替表!$H$5:$H$3507,$L3023)&amp;" "&amp;INDEX(ポート振替表!$I$5:$I$3507,$L3023))</f>
        <v/>
      </c>
      <c r="L3023" s="47" t="str">
        <f aca="false">IFERROR(MATCH(ROW()-4,ポート振替表!$V$5:$V$3507,0),"")</f>
        <v/>
      </c>
    </row>
    <row r="3024" customFormat="false" ht="16.4" hidden="false" customHeight="false" outlineLevel="0" collapsed="false">
      <c r="A3024" s="32" t="str">
        <f aca="false">IF(L3024="","",ROW()-4)</f>
        <v/>
      </c>
      <c r="B3024" s="58" t="str">
        <f aca="false">IF(L3024="","",IF(INDEX(ポート振替表!$W$5:$W$3507,$L3024)="","(なし)",INDEX(ポート振替表!$W$5:$W$3507,$L3024)&amp;""))</f>
        <v/>
      </c>
      <c r="C3024" s="52" t="str">
        <f aca="false">IF(L3024="","",INDEX(ポート振替表!$B$5:$B$3507,$L3024)&amp;" "&amp;INDEX(ポート振替表!$C$5:$C$3507,$L3024)&amp;"  ⇔  "&amp;INDEX(ポート振替表!$H$5:$H$3507,$L3024)&amp;" "&amp;INDEX(ポート振替表!$I$5:$I$3507,$L3024))</f>
        <v/>
      </c>
      <c r="D3024" s="57" t="s">
        <v>158</v>
      </c>
      <c r="E3024" s="59" t="str">
        <f aca="false">IF(L3024="","",IF(INDEX(ポート振替表!$O$5:$O$3507,$L3024)="","(未設定)",INDEX(ポート振替表!$O$5:$O$3507,$L3024)&amp;""))</f>
        <v/>
      </c>
      <c r="F3024" s="52" t="str">
        <f aca="false">IF(L3024="","",INDEX(ポート振替表!$K$5:$K$3507,$L3024)&amp;" "&amp;INDEX(ポート振替表!$L$5:$L$3507,$L3024)&amp;"  ⇔  "&amp;INDEX(ポート振替表!$H$5:$H$3507,$L3024)&amp;" "&amp;INDEX(ポート振替表!$I$5:$I$3507,$L3024))</f>
        <v/>
      </c>
      <c r="G3024" s="57" t="s">
        <v>158</v>
      </c>
      <c r="H3024" s="32" t="str">
        <f aca="false">IF(L3024="","",INDEX(ポート振替表!$N$5:$N$3507,$L3024)&amp;"")</f>
        <v/>
      </c>
      <c r="I3024" s="32" t="str">
        <f aca="false">IF(L3024="","",INDEX(ポート振替表!$P$5:$P$3507,$L3024)&amp;"")</f>
        <v/>
      </c>
      <c r="J3024" s="60" t="str">
        <f aca="false">IF(L3024="","",INDEX(ポート振替表!$M$5:$M$3507,$L3024)&amp;"")</f>
        <v/>
      </c>
      <c r="K3024" s="52" t="str">
        <f aca="false">IF(L3024="","",E3024&amp;CHAR(10)&amp;INDEX(ポート振替表!$K$5:$K$3507,$L3024)&amp;" "&amp;INDEX(ポート振替表!$L$5:$L$3507,$L3024)&amp;CHAR(10)&amp;"⇔ "&amp;INDEX(ポート振替表!$H$5:$H$3507,$L3024)&amp;" "&amp;INDEX(ポート振替表!$I$5:$I$3507,$L3024))</f>
        <v/>
      </c>
      <c r="L3024" s="47" t="str">
        <f aca="false">IFERROR(MATCH(ROW()-4,ポート振替表!$V$5:$V$3507,0),"")</f>
        <v/>
      </c>
    </row>
    <row r="3025" customFormat="false" ht="16.4" hidden="false" customHeight="false" outlineLevel="0" collapsed="false">
      <c r="A3025" s="32" t="str">
        <f aca="false">IF(L3025="","",ROW()-4)</f>
        <v/>
      </c>
      <c r="B3025" s="58" t="str">
        <f aca="false">IF(L3025="","",IF(INDEX(ポート振替表!$W$5:$W$3507,$L3025)="","(なし)",INDEX(ポート振替表!$W$5:$W$3507,$L3025)&amp;""))</f>
        <v/>
      </c>
      <c r="C3025" s="52" t="str">
        <f aca="false">IF(L3025="","",INDEX(ポート振替表!$B$5:$B$3507,$L3025)&amp;" "&amp;INDEX(ポート振替表!$C$5:$C$3507,$L3025)&amp;"  ⇔  "&amp;INDEX(ポート振替表!$H$5:$H$3507,$L3025)&amp;" "&amp;INDEX(ポート振替表!$I$5:$I$3507,$L3025))</f>
        <v/>
      </c>
      <c r="D3025" s="57" t="s">
        <v>158</v>
      </c>
      <c r="E3025" s="59" t="str">
        <f aca="false">IF(L3025="","",IF(INDEX(ポート振替表!$O$5:$O$3507,$L3025)="","(未設定)",INDEX(ポート振替表!$O$5:$O$3507,$L3025)&amp;""))</f>
        <v/>
      </c>
      <c r="F3025" s="52" t="str">
        <f aca="false">IF(L3025="","",INDEX(ポート振替表!$K$5:$K$3507,$L3025)&amp;" "&amp;INDEX(ポート振替表!$L$5:$L$3507,$L3025)&amp;"  ⇔  "&amp;INDEX(ポート振替表!$H$5:$H$3507,$L3025)&amp;" "&amp;INDEX(ポート振替表!$I$5:$I$3507,$L3025))</f>
        <v/>
      </c>
      <c r="G3025" s="57" t="s">
        <v>158</v>
      </c>
      <c r="H3025" s="32" t="str">
        <f aca="false">IF(L3025="","",INDEX(ポート振替表!$N$5:$N$3507,$L3025)&amp;"")</f>
        <v/>
      </c>
      <c r="I3025" s="32" t="str">
        <f aca="false">IF(L3025="","",INDEX(ポート振替表!$P$5:$P$3507,$L3025)&amp;"")</f>
        <v/>
      </c>
      <c r="J3025" s="60" t="str">
        <f aca="false">IF(L3025="","",INDEX(ポート振替表!$M$5:$M$3507,$L3025)&amp;"")</f>
        <v/>
      </c>
      <c r="K3025" s="52" t="str">
        <f aca="false">IF(L3025="","",E3025&amp;CHAR(10)&amp;INDEX(ポート振替表!$K$5:$K$3507,$L3025)&amp;" "&amp;INDEX(ポート振替表!$L$5:$L$3507,$L3025)&amp;CHAR(10)&amp;"⇔ "&amp;INDEX(ポート振替表!$H$5:$H$3507,$L3025)&amp;" "&amp;INDEX(ポート振替表!$I$5:$I$3507,$L3025))</f>
        <v/>
      </c>
      <c r="L3025" s="47" t="str">
        <f aca="false">IFERROR(MATCH(ROW()-4,ポート振替表!$V$5:$V$3507,0),"")</f>
        <v/>
      </c>
    </row>
    <row r="3026" customFormat="false" ht="16.4" hidden="false" customHeight="false" outlineLevel="0" collapsed="false">
      <c r="A3026" s="32" t="str">
        <f aca="false">IF(L3026="","",ROW()-4)</f>
        <v/>
      </c>
      <c r="B3026" s="58" t="str">
        <f aca="false">IF(L3026="","",IF(INDEX(ポート振替表!$W$5:$W$3507,$L3026)="","(なし)",INDEX(ポート振替表!$W$5:$W$3507,$L3026)&amp;""))</f>
        <v/>
      </c>
      <c r="C3026" s="52" t="str">
        <f aca="false">IF(L3026="","",INDEX(ポート振替表!$B$5:$B$3507,$L3026)&amp;" "&amp;INDEX(ポート振替表!$C$5:$C$3507,$L3026)&amp;"  ⇔  "&amp;INDEX(ポート振替表!$H$5:$H$3507,$L3026)&amp;" "&amp;INDEX(ポート振替表!$I$5:$I$3507,$L3026))</f>
        <v/>
      </c>
      <c r="D3026" s="57" t="s">
        <v>158</v>
      </c>
      <c r="E3026" s="59" t="str">
        <f aca="false">IF(L3026="","",IF(INDEX(ポート振替表!$O$5:$O$3507,$L3026)="","(未設定)",INDEX(ポート振替表!$O$5:$O$3507,$L3026)&amp;""))</f>
        <v/>
      </c>
      <c r="F3026" s="52" t="str">
        <f aca="false">IF(L3026="","",INDEX(ポート振替表!$K$5:$K$3507,$L3026)&amp;" "&amp;INDEX(ポート振替表!$L$5:$L$3507,$L3026)&amp;"  ⇔  "&amp;INDEX(ポート振替表!$H$5:$H$3507,$L3026)&amp;" "&amp;INDEX(ポート振替表!$I$5:$I$3507,$L3026))</f>
        <v/>
      </c>
      <c r="G3026" s="57" t="s">
        <v>158</v>
      </c>
      <c r="H3026" s="32" t="str">
        <f aca="false">IF(L3026="","",INDEX(ポート振替表!$N$5:$N$3507,$L3026)&amp;"")</f>
        <v/>
      </c>
      <c r="I3026" s="32" t="str">
        <f aca="false">IF(L3026="","",INDEX(ポート振替表!$P$5:$P$3507,$L3026)&amp;"")</f>
        <v/>
      </c>
      <c r="J3026" s="60" t="str">
        <f aca="false">IF(L3026="","",INDEX(ポート振替表!$M$5:$M$3507,$L3026)&amp;"")</f>
        <v/>
      </c>
      <c r="K3026" s="52" t="str">
        <f aca="false">IF(L3026="","",E3026&amp;CHAR(10)&amp;INDEX(ポート振替表!$K$5:$K$3507,$L3026)&amp;" "&amp;INDEX(ポート振替表!$L$5:$L$3507,$L3026)&amp;CHAR(10)&amp;"⇔ "&amp;INDEX(ポート振替表!$H$5:$H$3507,$L3026)&amp;" "&amp;INDEX(ポート振替表!$I$5:$I$3507,$L3026))</f>
        <v/>
      </c>
      <c r="L3026" s="47" t="str">
        <f aca="false">IFERROR(MATCH(ROW()-4,ポート振替表!$V$5:$V$3507,0),"")</f>
        <v/>
      </c>
    </row>
    <row r="3027" customFormat="false" ht="16.4" hidden="false" customHeight="false" outlineLevel="0" collapsed="false">
      <c r="A3027" s="32" t="str">
        <f aca="false">IF(L3027="","",ROW()-4)</f>
        <v/>
      </c>
      <c r="B3027" s="58" t="str">
        <f aca="false">IF(L3027="","",IF(INDEX(ポート振替表!$W$5:$W$3507,$L3027)="","(なし)",INDEX(ポート振替表!$W$5:$W$3507,$L3027)&amp;""))</f>
        <v/>
      </c>
      <c r="C3027" s="52" t="str">
        <f aca="false">IF(L3027="","",INDEX(ポート振替表!$B$5:$B$3507,$L3027)&amp;" "&amp;INDEX(ポート振替表!$C$5:$C$3507,$L3027)&amp;"  ⇔  "&amp;INDEX(ポート振替表!$H$5:$H$3507,$L3027)&amp;" "&amp;INDEX(ポート振替表!$I$5:$I$3507,$L3027))</f>
        <v/>
      </c>
      <c r="D3027" s="57" t="s">
        <v>158</v>
      </c>
      <c r="E3027" s="59" t="str">
        <f aca="false">IF(L3027="","",IF(INDEX(ポート振替表!$O$5:$O$3507,$L3027)="","(未設定)",INDEX(ポート振替表!$O$5:$O$3507,$L3027)&amp;""))</f>
        <v/>
      </c>
      <c r="F3027" s="52" t="str">
        <f aca="false">IF(L3027="","",INDEX(ポート振替表!$K$5:$K$3507,$L3027)&amp;" "&amp;INDEX(ポート振替表!$L$5:$L$3507,$L3027)&amp;"  ⇔  "&amp;INDEX(ポート振替表!$H$5:$H$3507,$L3027)&amp;" "&amp;INDEX(ポート振替表!$I$5:$I$3507,$L3027))</f>
        <v/>
      </c>
      <c r="G3027" s="57" t="s">
        <v>158</v>
      </c>
      <c r="H3027" s="32" t="str">
        <f aca="false">IF(L3027="","",INDEX(ポート振替表!$N$5:$N$3507,$L3027)&amp;"")</f>
        <v/>
      </c>
      <c r="I3027" s="32" t="str">
        <f aca="false">IF(L3027="","",INDEX(ポート振替表!$P$5:$P$3507,$L3027)&amp;"")</f>
        <v/>
      </c>
      <c r="J3027" s="60" t="str">
        <f aca="false">IF(L3027="","",INDEX(ポート振替表!$M$5:$M$3507,$L3027)&amp;"")</f>
        <v/>
      </c>
      <c r="K3027" s="52" t="str">
        <f aca="false">IF(L3027="","",E3027&amp;CHAR(10)&amp;INDEX(ポート振替表!$K$5:$K$3507,$L3027)&amp;" "&amp;INDEX(ポート振替表!$L$5:$L$3507,$L3027)&amp;CHAR(10)&amp;"⇔ "&amp;INDEX(ポート振替表!$H$5:$H$3507,$L3027)&amp;" "&amp;INDEX(ポート振替表!$I$5:$I$3507,$L3027))</f>
        <v/>
      </c>
      <c r="L3027" s="47" t="str">
        <f aca="false">IFERROR(MATCH(ROW()-4,ポート振替表!$V$5:$V$3507,0),"")</f>
        <v/>
      </c>
    </row>
    <row r="3028" customFormat="false" ht="16.4" hidden="false" customHeight="false" outlineLevel="0" collapsed="false">
      <c r="A3028" s="32" t="str">
        <f aca="false">IF(L3028="","",ROW()-4)</f>
        <v/>
      </c>
      <c r="B3028" s="58" t="str">
        <f aca="false">IF(L3028="","",IF(INDEX(ポート振替表!$W$5:$W$3507,$L3028)="","(なし)",INDEX(ポート振替表!$W$5:$W$3507,$L3028)&amp;""))</f>
        <v/>
      </c>
      <c r="C3028" s="52" t="str">
        <f aca="false">IF(L3028="","",INDEX(ポート振替表!$B$5:$B$3507,$L3028)&amp;" "&amp;INDEX(ポート振替表!$C$5:$C$3507,$L3028)&amp;"  ⇔  "&amp;INDEX(ポート振替表!$H$5:$H$3507,$L3028)&amp;" "&amp;INDEX(ポート振替表!$I$5:$I$3507,$L3028))</f>
        <v/>
      </c>
      <c r="D3028" s="57" t="s">
        <v>158</v>
      </c>
      <c r="E3028" s="59" t="str">
        <f aca="false">IF(L3028="","",IF(INDEX(ポート振替表!$O$5:$O$3507,$L3028)="","(未設定)",INDEX(ポート振替表!$O$5:$O$3507,$L3028)&amp;""))</f>
        <v/>
      </c>
      <c r="F3028" s="52" t="str">
        <f aca="false">IF(L3028="","",INDEX(ポート振替表!$K$5:$K$3507,$L3028)&amp;" "&amp;INDEX(ポート振替表!$L$5:$L$3507,$L3028)&amp;"  ⇔  "&amp;INDEX(ポート振替表!$H$5:$H$3507,$L3028)&amp;" "&amp;INDEX(ポート振替表!$I$5:$I$3507,$L3028))</f>
        <v/>
      </c>
      <c r="G3028" s="57" t="s">
        <v>158</v>
      </c>
      <c r="H3028" s="32" t="str">
        <f aca="false">IF(L3028="","",INDEX(ポート振替表!$N$5:$N$3507,$L3028)&amp;"")</f>
        <v/>
      </c>
      <c r="I3028" s="32" t="str">
        <f aca="false">IF(L3028="","",INDEX(ポート振替表!$P$5:$P$3507,$L3028)&amp;"")</f>
        <v/>
      </c>
      <c r="J3028" s="60" t="str">
        <f aca="false">IF(L3028="","",INDEX(ポート振替表!$M$5:$M$3507,$L3028)&amp;"")</f>
        <v/>
      </c>
      <c r="K3028" s="52" t="str">
        <f aca="false">IF(L3028="","",E3028&amp;CHAR(10)&amp;INDEX(ポート振替表!$K$5:$K$3507,$L3028)&amp;" "&amp;INDEX(ポート振替表!$L$5:$L$3507,$L3028)&amp;CHAR(10)&amp;"⇔ "&amp;INDEX(ポート振替表!$H$5:$H$3507,$L3028)&amp;" "&amp;INDEX(ポート振替表!$I$5:$I$3507,$L3028))</f>
        <v/>
      </c>
      <c r="L3028" s="47" t="str">
        <f aca="false">IFERROR(MATCH(ROW()-4,ポート振替表!$V$5:$V$3507,0),"")</f>
        <v/>
      </c>
    </row>
    <row r="3029" customFormat="false" ht="16.4" hidden="false" customHeight="false" outlineLevel="0" collapsed="false">
      <c r="A3029" s="32" t="str">
        <f aca="false">IF(L3029="","",ROW()-4)</f>
        <v/>
      </c>
      <c r="B3029" s="58" t="str">
        <f aca="false">IF(L3029="","",IF(INDEX(ポート振替表!$W$5:$W$3507,$L3029)="","(なし)",INDEX(ポート振替表!$W$5:$W$3507,$L3029)&amp;""))</f>
        <v/>
      </c>
      <c r="C3029" s="52" t="str">
        <f aca="false">IF(L3029="","",INDEX(ポート振替表!$B$5:$B$3507,$L3029)&amp;" "&amp;INDEX(ポート振替表!$C$5:$C$3507,$L3029)&amp;"  ⇔  "&amp;INDEX(ポート振替表!$H$5:$H$3507,$L3029)&amp;" "&amp;INDEX(ポート振替表!$I$5:$I$3507,$L3029))</f>
        <v/>
      </c>
      <c r="D3029" s="57" t="s">
        <v>158</v>
      </c>
      <c r="E3029" s="59" t="str">
        <f aca="false">IF(L3029="","",IF(INDEX(ポート振替表!$O$5:$O$3507,$L3029)="","(未設定)",INDEX(ポート振替表!$O$5:$O$3507,$L3029)&amp;""))</f>
        <v/>
      </c>
      <c r="F3029" s="52" t="str">
        <f aca="false">IF(L3029="","",INDEX(ポート振替表!$K$5:$K$3507,$L3029)&amp;" "&amp;INDEX(ポート振替表!$L$5:$L$3507,$L3029)&amp;"  ⇔  "&amp;INDEX(ポート振替表!$H$5:$H$3507,$L3029)&amp;" "&amp;INDEX(ポート振替表!$I$5:$I$3507,$L3029))</f>
        <v/>
      </c>
      <c r="G3029" s="57" t="s">
        <v>158</v>
      </c>
      <c r="H3029" s="32" t="str">
        <f aca="false">IF(L3029="","",INDEX(ポート振替表!$N$5:$N$3507,$L3029)&amp;"")</f>
        <v/>
      </c>
      <c r="I3029" s="32" t="str">
        <f aca="false">IF(L3029="","",INDEX(ポート振替表!$P$5:$P$3507,$L3029)&amp;"")</f>
        <v/>
      </c>
      <c r="J3029" s="60" t="str">
        <f aca="false">IF(L3029="","",INDEX(ポート振替表!$M$5:$M$3507,$L3029)&amp;"")</f>
        <v/>
      </c>
      <c r="K3029" s="52" t="str">
        <f aca="false">IF(L3029="","",E3029&amp;CHAR(10)&amp;INDEX(ポート振替表!$K$5:$K$3507,$L3029)&amp;" "&amp;INDEX(ポート振替表!$L$5:$L$3507,$L3029)&amp;CHAR(10)&amp;"⇔ "&amp;INDEX(ポート振替表!$H$5:$H$3507,$L3029)&amp;" "&amp;INDEX(ポート振替表!$I$5:$I$3507,$L3029))</f>
        <v/>
      </c>
      <c r="L3029" s="47" t="str">
        <f aca="false">IFERROR(MATCH(ROW()-4,ポート振替表!$V$5:$V$3507,0),"")</f>
        <v/>
      </c>
    </row>
    <row r="3030" customFormat="false" ht="16.4" hidden="false" customHeight="false" outlineLevel="0" collapsed="false">
      <c r="A3030" s="32" t="str">
        <f aca="false">IF(L3030="","",ROW()-4)</f>
        <v/>
      </c>
      <c r="B3030" s="58" t="str">
        <f aca="false">IF(L3030="","",IF(INDEX(ポート振替表!$W$5:$W$3507,$L3030)="","(なし)",INDEX(ポート振替表!$W$5:$W$3507,$L3030)&amp;""))</f>
        <v/>
      </c>
      <c r="C3030" s="52" t="str">
        <f aca="false">IF(L3030="","",INDEX(ポート振替表!$B$5:$B$3507,$L3030)&amp;" "&amp;INDEX(ポート振替表!$C$5:$C$3507,$L3030)&amp;"  ⇔  "&amp;INDEX(ポート振替表!$H$5:$H$3507,$L3030)&amp;" "&amp;INDEX(ポート振替表!$I$5:$I$3507,$L3030))</f>
        <v/>
      </c>
      <c r="D3030" s="57" t="s">
        <v>158</v>
      </c>
      <c r="E3030" s="59" t="str">
        <f aca="false">IF(L3030="","",IF(INDEX(ポート振替表!$O$5:$O$3507,$L3030)="","(未設定)",INDEX(ポート振替表!$O$5:$O$3507,$L3030)&amp;""))</f>
        <v/>
      </c>
      <c r="F3030" s="52" t="str">
        <f aca="false">IF(L3030="","",INDEX(ポート振替表!$K$5:$K$3507,$L3030)&amp;" "&amp;INDEX(ポート振替表!$L$5:$L$3507,$L3030)&amp;"  ⇔  "&amp;INDEX(ポート振替表!$H$5:$H$3507,$L3030)&amp;" "&amp;INDEX(ポート振替表!$I$5:$I$3507,$L3030))</f>
        <v/>
      </c>
      <c r="G3030" s="57" t="s">
        <v>158</v>
      </c>
      <c r="H3030" s="32" t="str">
        <f aca="false">IF(L3030="","",INDEX(ポート振替表!$N$5:$N$3507,$L3030)&amp;"")</f>
        <v/>
      </c>
      <c r="I3030" s="32" t="str">
        <f aca="false">IF(L3030="","",INDEX(ポート振替表!$P$5:$P$3507,$L3030)&amp;"")</f>
        <v/>
      </c>
      <c r="J3030" s="60" t="str">
        <f aca="false">IF(L3030="","",INDEX(ポート振替表!$M$5:$M$3507,$L3030)&amp;"")</f>
        <v/>
      </c>
      <c r="K3030" s="52" t="str">
        <f aca="false">IF(L3030="","",E3030&amp;CHAR(10)&amp;INDEX(ポート振替表!$K$5:$K$3507,$L3030)&amp;" "&amp;INDEX(ポート振替表!$L$5:$L$3507,$L3030)&amp;CHAR(10)&amp;"⇔ "&amp;INDEX(ポート振替表!$H$5:$H$3507,$L3030)&amp;" "&amp;INDEX(ポート振替表!$I$5:$I$3507,$L3030))</f>
        <v/>
      </c>
      <c r="L3030" s="47" t="str">
        <f aca="false">IFERROR(MATCH(ROW()-4,ポート振替表!$V$5:$V$3507,0),"")</f>
        <v/>
      </c>
    </row>
    <row r="3031" customFormat="false" ht="16.4" hidden="false" customHeight="false" outlineLevel="0" collapsed="false">
      <c r="A3031" s="32" t="str">
        <f aca="false">IF(L3031="","",ROW()-4)</f>
        <v/>
      </c>
      <c r="B3031" s="58" t="str">
        <f aca="false">IF(L3031="","",IF(INDEX(ポート振替表!$W$5:$W$3507,$L3031)="","(なし)",INDEX(ポート振替表!$W$5:$W$3507,$L3031)&amp;""))</f>
        <v/>
      </c>
      <c r="C3031" s="52" t="str">
        <f aca="false">IF(L3031="","",INDEX(ポート振替表!$B$5:$B$3507,$L3031)&amp;" "&amp;INDEX(ポート振替表!$C$5:$C$3507,$L3031)&amp;"  ⇔  "&amp;INDEX(ポート振替表!$H$5:$H$3507,$L3031)&amp;" "&amp;INDEX(ポート振替表!$I$5:$I$3507,$L3031))</f>
        <v/>
      </c>
      <c r="D3031" s="57" t="s">
        <v>158</v>
      </c>
      <c r="E3031" s="59" t="str">
        <f aca="false">IF(L3031="","",IF(INDEX(ポート振替表!$O$5:$O$3507,$L3031)="","(未設定)",INDEX(ポート振替表!$O$5:$O$3507,$L3031)&amp;""))</f>
        <v/>
      </c>
      <c r="F3031" s="52" t="str">
        <f aca="false">IF(L3031="","",INDEX(ポート振替表!$K$5:$K$3507,$L3031)&amp;" "&amp;INDEX(ポート振替表!$L$5:$L$3507,$L3031)&amp;"  ⇔  "&amp;INDEX(ポート振替表!$H$5:$H$3507,$L3031)&amp;" "&amp;INDEX(ポート振替表!$I$5:$I$3507,$L3031))</f>
        <v/>
      </c>
      <c r="G3031" s="57" t="s">
        <v>158</v>
      </c>
      <c r="H3031" s="32" t="str">
        <f aca="false">IF(L3031="","",INDEX(ポート振替表!$N$5:$N$3507,$L3031)&amp;"")</f>
        <v/>
      </c>
      <c r="I3031" s="32" t="str">
        <f aca="false">IF(L3031="","",INDEX(ポート振替表!$P$5:$P$3507,$L3031)&amp;"")</f>
        <v/>
      </c>
      <c r="J3031" s="60" t="str">
        <f aca="false">IF(L3031="","",INDEX(ポート振替表!$M$5:$M$3507,$L3031)&amp;"")</f>
        <v/>
      </c>
      <c r="K3031" s="52" t="str">
        <f aca="false">IF(L3031="","",E3031&amp;CHAR(10)&amp;INDEX(ポート振替表!$K$5:$K$3507,$L3031)&amp;" "&amp;INDEX(ポート振替表!$L$5:$L$3507,$L3031)&amp;CHAR(10)&amp;"⇔ "&amp;INDEX(ポート振替表!$H$5:$H$3507,$L3031)&amp;" "&amp;INDEX(ポート振替表!$I$5:$I$3507,$L3031))</f>
        <v/>
      </c>
      <c r="L3031" s="47" t="str">
        <f aca="false">IFERROR(MATCH(ROW()-4,ポート振替表!$V$5:$V$3507,0),"")</f>
        <v/>
      </c>
    </row>
    <row r="3032" customFormat="false" ht="16.4" hidden="false" customHeight="false" outlineLevel="0" collapsed="false">
      <c r="A3032" s="32" t="str">
        <f aca="false">IF(L3032="","",ROW()-4)</f>
        <v/>
      </c>
      <c r="B3032" s="58" t="str">
        <f aca="false">IF(L3032="","",IF(INDEX(ポート振替表!$W$5:$W$3507,$L3032)="","(なし)",INDEX(ポート振替表!$W$5:$W$3507,$L3032)&amp;""))</f>
        <v/>
      </c>
      <c r="C3032" s="52" t="str">
        <f aca="false">IF(L3032="","",INDEX(ポート振替表!$B$5:$B$3507,$L3032)&amp;" "&amp;INDEX(ポート振替表!$C$5:$C$3507,$L3032)&amp;"  ⇔  "&amp;INDEX(ポート振替表!$H$5:$H$3507,$L3032)&amp;" "&amp;INDEX(ポート振替表!$I$5:$I$3507,$L3032))</f>
        <v/>
      </c>
      <c r="D3032" s="57" t="s">
        <v>158</v>
      </c>
      <c r="E3032" s="59" t="str">
        <f aca="false">IF(L3032="","",IF(INDEX(ポート振替表!$O$5:$O$3507,$L3032)="","(未設定)",INDEX(ポート振替表!$O$5:$O$3507,$L3032)&amp;""))</f>
        <v/>
      </c>
      <c r="F3032" s="52" t="str">
        <f aca="false">IF(L3032="","",INDEX(ポート振替表!$K$5:$K$3507,$L3032)&amp;" "&amp;INDEX(ポート振替表!$L$5:$L$3507,$L3032)&amp;"  ⇔  "&amp;INDEX(ポート振替表!$H$5:$H$3507,$L3032)&amp;" "&amp;INDEX(ポート振替表!$I$5:$I$3507,$L3032))</f>
        <v/>
      </c>
      <c r="G3032" s="57" t="s">
        <v>158</v>
      </c>
      <c r="H3032" s="32" t="str">
        <f aca="false">IF(L3032="","",INDEX(ポート振替表!$N$5:$N$3507,$L3032)&amp;"")</f>
        <v/>
      </c>
      <c r="I3032" s="32" t="str">
        <f aca="false">IF(L3032="","",INDEX(ポート振替表!$P$5:$P$3507,$L3032)&amp;"")</f>
        <v/>
      </c>
      <c r="J3032" s="60" t="str">
        <f aca="false">IF(L3032="","",INDEX(ポート振替表!$M$5:$M$3507,$L3032)&amp;"")</f>
        <v/>
      </c>
      <c r="K3032" s="52" t="str">
        <f aca="false">IF(L3032="","",E3032&amp;CHAR(10)&amp;INDEX(ポート振替表!$K$5:$K$3507,$L3032)&amp;" "&amp;INDEX(ポート振替表!$L$5:$L$3507,$L3032)&amp;CHAR(10)&amp;"⇔ "&amp;INDEX(ポート振替表!$H$5:$H$3507,$L3032)&amp;" "&amp;INDEX(ポート振替表!$I$5:$I$3507,$L3032))</f>
        <v/>
      </c>
      <c r="L3032" s="47" t="str">
        <f aca="false">IFERROR(MATCH(ROW()-4,ポート振替表!$V$5:$V$3507,0),"")</f>
        <v/>
      </c>
    </row>
    <row r="3033" customFormat="false" ht="16.4" hidden="false" customHeight="false" outlineLevel="0" collapsed="false">
      <c r="A3033" s="32" t="str">
        <f aca="false">IF(L3033="","",ROW()-4)</f>
        <v/>
      </c>
      <c r="B3033" s="58" t="str">
        <f aca="false">IF(L3033="","",IF(INDEX(ポート振替表!$W$5:$W$3507,$L3033)="","(なし)",INDEX(ポート振替表!$W$5:$W$3507,$L3033)&amp;""))</f>
        <v/>
      </c>
      <c r="C3033" s="52" t="str">
        <f aca="false">IF(L3033="","",INDEX(ポート振替表!$B$5:$B$3507,$L3033)&amp;" "&amp;INDEX(ポート振替表!$C$5:$C$3507,$L3033)&amp;"  ⇔  "&amp;INDEX(ポート振替表!$H$5:$H$3507,$L3033)&amp;" "&amp;INDEX(ポート振替表!$I$5:$I$3507,$L3033))</f>
        <v/>
      </c>
      <c r="D3033" s="57" t="s">
        <v>158</v>
      </c>
      <c r="E3033" s="59" t="str">
        <f aca="false">IF(L3033="","",IF(INDEX(ポート振替表!$O$5:$O$3507,$L3033)="","(未設定)",INDEX(ポート振替表!$O$5:$O$3507,$L3033)&amp;""))</f>
        <v/>
      </c>
      <c r="F3033" s="52" t="str">
        <f aca="false">IF(L3033="","",INDEX(ポート振替表!$K$5:$K$3507,$L3033)&amp;" "&amp;INDEX(ポート振替表!$L$5:$L$3507,$L3033)&amp;"  ⇔  "&amp;INDEX(ポート振替表!$H$5:$H$3507,$L3033)&amp;" "&amp;INDEX(ポート振替表!$I$5:$I$3507,$L3033))</f>
        <v/>
      </c>
      <c r="G3033" s="57" t="s">
        <v>158</v>
      </c>
      <c r="H3033" s="32" t="str">
        <f aca="false">IF(L3033="","",INDEX(ポート振替表!$N$5:$N$3507,$L3033)&amp;"")</f>
        <v/>
      </c>
      <c r="I3033" s="32" t="str">
        <f aca="false">IF(L3033="","",INDEX(ポート振替表!$P$5:$P$3507,$L3033)&amp;"")</f>
        <v/>
      </c>
      <c r="J3033" s="60" t="str">
        <f aca="false">IF(L3033="","",INDEX(ポート振替表!$M$5:$M$3507,$L3033)&amp;"")</f>
        <v/>
      </c>
      <c r="K3033" s="52" t="str">
        <f aca="false">IF(L3033="","",E3033&amp;CHAR(10)&amp;INDEX(ポート振替表!$K$5:$K$3507,$L3033)&amp;" "&amp;INDEX(ポート振替表!$L$5:$L$3507,$L3033)&amp;CHAR(10)&amp;"⇔ "&amp;INDEX(ポート振替表!$H$5:$H$3507,$L3033)&amp;" "&amp;INDEX(ポート振替表!$I$5:$I$3507,$L3033))</f>
        <v/>
      </c>
      <c r="L3033" s="47" t="str">
        <f aca="false">IFERROR(MATCH(ROW()-4,ポート振替表!$V$5:$V$3507,0),"")</f>
        <v/>
      </c>
    </row>
    <row r="3034" customFormat="false" ht="16.4" hidden="false" customHeight="false" outlineLevel="0" collapsed="false">
      <c r="A3034" s="32" t="str">
        <f aca="false">IF(L3034="","",ROW()-4)</f>
        <v/>
      </c>
      <c r="B3034" s="58" t="str">
        <f aca="false">IF(L3034="","",IF(INDEX(ポート振替表!$W$5:$W$3507,$L3034)="","(なし)",INDEX(ポート振替表!$W$5:$W$3507,$L3034)&amp;""))</f>
        <v/>
      </c>
      <c r="C3034" s="52" t="str">
        <f aca="false">IF(L3034="","",INDEX(ポート振替表!$B$5:$B$3507,$L3034)&amp;" "&amp;INDEX(ポート振替表!$C$5:$C$3507,$L3034)&amp;"  ⇔  "&amp;INDEX(ポート振替表!$H$5:$H$3507,$L3034)&amp;" "&amp;INDEX(ポート振替表!$I$5:$I$3507,$L3034))</f>
        <v/>
      </c>
      <c r="D3034" s="57" t="s">
        <v>158</v>
      </c>
      <c r="E3034" s="59" t="str">
        <f aca="false">IF(L3034="","",IF(INDEX(ポート振替表!$O$5:$O$3507,$L3034)="","(未設定)",INDEX(ポート振替表!$O$5:$O$3507,$L3034)&amp;""))</f>
        <v/>
      </c>
      <c r="F3034" s="52" t="str">
        <f aca="false">IF(L3034="","",INDEX(ポート振替表!$K$5:$K$3507,$L3034)&amp;" "&amp;INDEX(ポート振替表!$L$5:$L$3507,$L3034)&amp;"  ⇔  "&amp;INDEX(ポート振替表!$H$5:$H$3507,$L3034)&amp;" "&amp;INDEX(ポート振替表!$I$5:$I$3507,$L3034))</f>
        <v/>
      </c>
      <c r="G3034" s="57" t="s">
        <v>158</v>
      </c>
      <c r="H3034" s="32" t="str">
        <f aca="false">IF(L3034="","",INDEX(ポート振替表!$N$5:$N$3507,$L3034)&amp;"")</f>
        <v/>
      </c>
      <c r="I3034" s="32" t="str">
        <f aca="false">IF(L3034="","",INDEX(ポート振替表!$P$5:$P$3507,$L3034)&amp;"")</f>
        <v/>
      </c>
      <c r="J3034" s="60" t="str">
        <f aca="false">IF(L3034="","",INDEX(ポート振替表!$M$5:$M$3507,$L3034)&amp;"")</f>
        <v/>
      </c>
      <c r="K3034" s="52" t="str">
        <f aca="false">IF(L3034="","",E3034&amp;CHAR(10)&amp;INDEX(ポート振替表!$K$5:$K$3507,$L3034)&amp;" "&amp;INDEX(ポート振替表!$L$5:$L$3507,$L3034)&amp;CHAR(10)&amp;"⇔ "&amp;INDEX(ポート振替表!$H$5:$H$3507,$L3034)&amp;" "&amp;INDEX(ポート振替表!$I$5:$I$3507,$L3034))</f>
        <v/>
      </c>
      <c r="L3034" s="47" t="str">
        <f aca="false">IFERROR(MATCH(ROW()-4,ポート振替表!$V$5:$V$3507,0),"")</f>
        <v/>
      </c>
    </row>
    <row r="3035" customFormat="false" ht="16.4" hidden="false" customHeight="false" outlineLevel="0" collapsed="false">
      <c r="A3035" s="32" t="str">
        <f aca="false">IF(L3035="","",ROW()-4)</f>
        <v/>
      </c>
      <c r="B3035" s="58" t="str">
        <f aca="false">IF(L3035="","",IF(INDEX(ポート振替表!$W$5:$W$3507,$L3035)="","(なし)",INDEX(ポート振替表!$W$5:$W$3507,$L3035)&amp;""))</f>
        <v/>
      </c>
      <c r="C3035" s="52" t="str">
        <f aca="false">IF(L3035="","",INDEX(ポート振替表!$B$5:$B$3507,$L3035)&amp;" "&amp;INDEX(ポート振替表!$C$5:$C$3507,$L3035)&amp;"  ⇔  "&amp;INDEX(ポート振替表!$H$5:$H$3507,$L3035)&amp;" "&amp;INDEX(ポート振替表!$I$5:$I$3507,$L3035))</f>
        <v/>
      </c>
      <c r="D3035" s="57" t="s">
        <v>158</v>
      </c>
      <c r="E3035" s="59" t="str">
        <f aca="false">IF(L3035="","",IF(INDEX(ポート振替表!$O$5:$O$3507,$L3035)="","(未設定)",INDEX(ポート振替表!$O$5:$O$3507,$L3035)&amp;""))</f>
        <v/>
      </c>
      <c r="F3035" s="52" t="str">
        <f aca="false">IF(L3035="","",INDEX(ポート振替表!$K$5:$K$3507,$L3035)&amp;" "&amp;INDEX(ポート振替表!$L$5:$L$3507,$L3035)&amp;"  ⇔  "&amp;INDEX(ポート振替表!$H$5:$H$3507,$L3035)&amp;" "&amp;INDEX(ポート振替表!$I$5:$I$3507,$L3035))</f>
        <v/>
      </c>
      <c r="G3035" s="57" t="s">
        <v>158</v>
      </c>
      <c r="H3035" s="32" t="str">
        <f aca="false">IF(L3035="","",INDEX(ポート振替表!$N$5:$N$3507,$L3035)&amp;"")</f>
        <v/>
      </c>
      <c r="I3035" s="32" t="str">
        <f aca="false">IF(L3035="","",INDEX(ポート振替表!$P$5:$P$3507,$L3035)&amp;"")</f>
        <v/>
      </c>
      <c r="J3035" s="60" t="str">
        <f aca="false">IF(L3035="","",INDEX(ポート振替表!$M$5:$M$3507,$L3035)&amp;"")</f>
        <v/>
      </c>
      <c r="K3035" s="52" t="str">
        <f aca="false">IF(L3035="","",E3035&amp;CHAR(10)&amp;INDEX(ポート振替表!$K$5:$K$3507,$L3035)&amp;" "&amp;INDEX(ポート振替表!$L$5:$L$3507,$L3035)&amp;CHAR(10)&amp;"⇔ "&amp;INDEX(ポート振替表!$H$5:$H$3507,$L3035)&amp;" "&amp;INDEX(ポート振替表!$I$5:$I$3507,$L3035))</f>
        <v/>
      </c>
      <c r="L3035" s="47" t="str">
        <f aca="false">IFERROR(MATCH(ROW()-4,ポート振替表!$V$5:$V$3507,0),"")</f>
        <v/>
      </c>
    </row>
    <row r="3036" customFormat="false" ht="16.4" hidden="false" customHeight="false" outlineLevel="0" collapsed="false">
      <c r="A3036" s="32" t="str">
        <f aca="false">IF(L3036="","",ROW()-4)</f>
        <v/>
      </c>
      <c r="B3036" s="58" t="str">
        <f aca="false">IF(L3036="","",IF(INDEX(ポート振替表!$W$5:$W$3507,$L3036)="","(なし)",INDEX(ポート振替表!$W$5:$W$3507,$L3036)&amp;""))</f>
        <v/>
      </c>
      <c r="C3036" s="52" t="str">
        <f aca="false">IF(L3036="","",INDEX(ポート振替表!$B$5:$B$3507,$L3036)&amp;" "&amp;INDEX(ポート振替表!$C$5:$C$3507,$L3036)&amp;"  ⇔  "&amp;INDEX(ポート振替表!$H$5:$H$3507,$L3036)&amp;" "&amp;INDEX(ポート振替表!$I$5:$I$3507,$L3036))</f>
        <v/>
      </c>
      <c r="D3036" s="57" t="s">
        <v>158</v>
      </c>
      <c r="E3036" s="59" t="str">
        <f aca="false">IF(L3036="","",IF(INDEX(ポート振替表!$O$5:$O$3507,$L3036)="","(未設定)",INDEX(ポート振替表!$O$5:$O$3507,$L3036)&amp;""))</f>
        <v/>
      </c>
      <c r="F3036" s="52" t="str">
        <f aca="false">IF(L3036="","",INDEX(ポート振替表!$K$5:$K$3507,$L3036)&amp;" "&amp;INDEX(ポート振替表!$L$5:$L$3507,$L3036)&amp;"  ⇔  "&amp;INDEX(ポート振替表!$H$5:$H$3507,$L3036)&amp;" "&amp;INDEX(ポート振替表!$I$5:$I$3507,$L3036))</f>
        <v/>
      </c>
      <c r="G3036" s="57" t="s">
        <v>158</v>
      </c>
      <c r="H3036" s="32" t="str">
        <f aca="false">IF(L3036="","",INDEX(ポート振替表!$N$5:$N$3507,$L3036)&amp;"")</f>
        <v/>
      </c>
      <c r="I3036" s="32" t="str">
        <f aca="false">IF(L3036="","",INDEX(ポート振替表!$P$5:$P$3507,$L3036)&amp;"")</f>
        <v/>
      </c>
      <c r="J3036" s="60" t="str">
        <f aca="false">IF(L3036="","",INDEX(ポート振替表!$M$5:$M$3507,$L3036)&amp;"")</f>
        <v/>
      </c>
      <c r="K3036" s="52" t="str">
        <f aca="false">IF(L3036="","",E3036&amp;CHAR(10)&amp;INDEX(ポート振替表!$K$5:$K$3507,$L3036)&amp;" "&amp;INDEX(ポート振替表!$L$5:$L$3507,$L3036)&amp;CHAR(10)&amp;"⇔ "&amp;INDEX(ポート振替表!$H$5:$H$3507,$L3036)&amp;" "&amp;INDEX(ポート振替表!$I$5:$I$3507,$L3036))</f>
        <v/>
      </c>
      <c r="L3036" s="47" t="str">
        <f aca="false">IFERROR(MATCH(ROW()-4,ポート振替表!$V$5:$V$3507,0),"")</f>
        <v/>
      </c>
    </row>
    <row r="3037" customFormat="false" ht="16.4" hidden="false" customHeight="false" outlineLevel="0" collapsed="false">
      <c r="A3037" s="32" t="str">
        <f aca="false">IF(L3037="","",ROW()-4)</f>
        <v/>
      </c>
      <c r="B3037" s="58" t="str">
        <f aca="false">IF(L3037="","",IF(INDEX(ポート振替表!$W$5:$W$3507,$L3037)="","(なし)",INDEX(ポート振替表!$W$5:$W$3507,$L3037)&amp;""))</f>
        <v/>
      </c>
      <c r="C3037" s="52" t="str">
        <f aca="false">IF(L3037="","",INDEX(ポート振替表!$B$5:$B$3507,$L3037)&amp;" "&amp;INDEX(ポート振替表!$C$5:$C$3507,$L3037)&amp;"  ⇔  "&amp;INDEX(ポート振替表!$H$5:$H$3507,$L3037)&amp;" "&amp;INDEX(ポート振替表!$I$5:$I$3507,$L3037))</f>
        <v/>
      </c>
      <c r="D3037" s="57" t="s">
        <v>158</v>
      </c>
      <c r="E3037" s="59" t="str">
        <f aca="false">IF(L3037="","",IF(INDEX(ポート振替表!$O$5:$O$3507,$L3037)="","(未設定)",INDEX(ポート振替表!$O$5:$O$3507,$L3037)&amp;""))</f>
        <v/>
      </c>
      <c r="F3037" s="52" t="str">
        <f aca="false">IF(L3037="","",INDEX(ポート振替表!$K$5:$K$3507,$L3037)&amp;" "&amp;INDEX(ポート振替表!$L$5:$L$3507,$L3037)&amp;"  ⇔  "&amp;INDEX(ポート振替表!$H$5:$H$3507,$L3037)&amp;" "&amp;INDEX(ポート振替表!$I$5:$I$3507,$L3037))</f>
        <v/>
      </c>
      <c r="G3037" s="57" t="s">
        <v>158</v>
      </c>
      <c r="H3037" s="32" t="str">
        <f aca="false">IF(L3037="","",INDEX(ポート振替表!$N$5:$N$3507,$L3037)&amp;"")</f>
        <v/>
      </c>
      <c r="I3037" s="32" t="str">
        <f aca="false">IF(L3037="","",INDEX(ポート振替表!$P$5:$P$3507,$L3037)&amp;"")</f>
        <v/>
      </c>
      <c r="J3037" s="60" t="str">
        <f aca="false">IF(L3037="","",INDEX(ポート振替表!$M$5:$M$3507,$L3037)&amp;"")</f>
        <v/>
      </c>
      <c r="K3037" s="52" t="str">
        <f aca="false">IF(L3037="","",E3037&amp;CHAR(10)&amp;INDEX(ポート振替表!$K$5:$K$3507,$L3037)&amp;" "&amp;INDEX(ポート振替表!$L$5:$L$3507,$L3037)&amp;CHAR(10)&amp;"⇔ "&amp;INDEX(ポート振替表!$H$5:$H$3507,$L3037)&amp;" "&amp;INDEX(ポート振替表!$I$5:$I$3507,$L3037))</f>
        <v/>
      </c>
      <c r="L3037" s="47" t="str">
        <f aca="false">IFERROR(MATCH(ROW()-4,ポート振替表!$V$5:$V$3507,0),"")</f>
        <v/>
      </c>
    </row>
    <row r="3038" customFormat="false" ht="16.4" hidden="false" customHeight="false" outlineLevel="0" collapsed="false">
      <c r="A3038" s="32" t="str">
        <f aca="false">IF(L3038="","",ROW()-4)</f>
        <v/>
      </c>
      <c r="B3038" s="58" t="str">
        <f aca="false">IF(L3038="","",IF(INDEX(ポート振替表!$W$5:$W$3507,$L3038)="","(なし)",INDEX(ポート振替表!$W$5:$W$3507,$L3038)&amp;""))</f>
        <v/>
      </c>
      <c r="C3038" s="52" t="str">
        <f aca="false">IF(L3038="","",INDEX(ポート振替表!$B$5:$B$3507,$L3038)&amp;" "&amp;INDEX(ポート振替表!$C$5:$C$3507,$L3038)&amp;"  ⇔  "&amp;INDEX(ポート振替表!$H$5:$H$3507,$L3038)&amp;" "&amp;INDEX(ポート振替表!$I$5:$I$3507,$L3038))</f>
        <v/>
      </c>
      <c r="D3038" s="57" t="s">
        <v>158</v>
      </c>
      <c r="E3038" s="59" t="str">
        <f aca="false">IF(L3038="","",IF(INDEX(ポート振替表!$O$5:$O$3507,$L3038)="","(未設定)",INDEX(ポート振替表!$O$5:$O$3507,$L3038)&amp;""))</f>
        <v/>
      </c>
      <c r="F3038" s="52" t="str">
        <f aca="false">IF(L3038="","",INDEX(ポート振替表!$K$5:$K$3507,$L3038)&amp;" "&amp;INDEX(ポート振替表!$L$5:$L$3507,$L3038)&amp;"  ⇔  "&amp;INDEX(ポート振替表!$H$5:$H$3507,$L3038)&amp;" "&amp;INDEX(ポート振替表!$I$5:$I$3507,$L3038))</f>
        <v/>
      </c>
      <c r="G3038" s="57" t="s">
        <v>158</v>
      </c>
      <c r="H3038" s="32" t="str">
        <f aca="false">IF(L3038="","",INDEX(ポート振替表!$N$5:$N$3507,$L3038)&amp;"")</f>
        <v/>
      </c>
      <c r="I3038" s="32" t="str">
        <f aca="false">IF(L3038="","",INDEX(ポート振替表!$P$5:$P$3507,$L3038)&amp;"")</f>
        <v/>
      </c>
      <c r="J3038" s="60" t="str">
        <f aca="false">IF(L3038="","",INDEX(ポート振替表!$M$5:$M$3507,$L3038)&amp;"")</f>
        <v/>
      </c>
      <c r="K3038" s="52" t="str">
        <f aca="false">IF(L3038="","",E3038&amp;CHAR(10)&amp;INDEX(ポート振替表!$K$5:$K$3507,$L3038)&amp;" "&amp;INDEX(ポート振替表!$L$5:$L$3507,$L3038)&amp;CHAR(10)&amp;"⇔ "&amp;INDEX(ポート振替表!$H$5:$H$3507,$L3038)&amp;" "&amp;INDEX(ポート振替表!$I$5:$I$3507,$L3038))</f>
        <v/>
      </c>
      <c r="L3038" s="47" t="str">
        <f aca="false">IFERROR(MATCH(ROW()-4,ポート振替表!$V$5:$V$3507,0),"")</f>
        <v/>
      </c>
    </row>
    <row r="3039" customFormat="false" ht="16.4" hidden="false" customHeight="false" outlineLevel="0" collapsed="false">
      <c r="A3039" s="32" t="str">
        <f aca="false">IF(L3039="","",ROW()-4)</f>
        <v/>
      </c>
      <c r="B3039" s="58" t="str">
        <f aca="false">IF(L3039="","",IF(INDEX(ポート振替表!$W$5:$W$3507,$L3039)="","(なし)",INDEX(ポート振替表!$W$5:$W$3507,$L3039)&amp;""))</f>
        <v/>
      </c>
      <c r="C3039" s="52" t="str">
        <f aca="false">IF(L3039="","",INDEX(ポート振替表!$B$5:$B$3507,$L3039)&amp;" "&amp;INDEX(ポート振替表!$C$5:$C$3507,$L3039)&amp;"  ⇔  "&amp;INDEX(ポート振替表!$H$5:$H$3507,$L3039)&amp;" "&amp;INDEX(ポート振替表!$I$5:$I$3507,$L3039))</f>
        <v/>
      </c>
      <c r="D3039" s="57" t="s">
        <v>158</v>
      </c>
      <c r="E3039" s="59" t="str">
        <f aca="false">IF(L3039="","",IF(INDEX(ポート振替表!$O$5:$O$3507,$L3039)="","(未設定)",INDEX(ポート振替表!$O$5:$O$3507,$L3039)&amp;""))</f>
        <v/>
      </c>
      <c r="F3039" s="52" t="str">
        <f aca="false">IF(L3039="","",INDEX(ポート振替表!$K$5:$K$3507,$L3039)&amp;" "&amp;INDEX(ポート振替表!$L$5:$L$3507,$L3039)&amp;"  ⇔  "&amp;INDEX(ポート振替表!$H$5:$H$3507,$L3039)&amp;" "&amp;INDEX(ポート振替表!$I$5:$I$3507,$L3039))</f>
        <v/>
      </c>
      <c r="G3039" s="57" t="s">
        <v>158</v>
      </c>
      <c r="H3039" s="32" t="str">
        <f aca="false">IF(L3039="","",INDEX(ポート振替表!$N$5:$N$3507,$L3039)&amp;"")</f>
        <v/>
      </c>
      <c r="I3039" s="32" t="str">
        <f aca="false">IF(L3039="","",INDEX(ポート振替表!$P$5:$P$3507,$L3039)&amp;"")</f>
        <v/>
      </c>
      <c r="J3039" s="60" t="str">
        <f aca="false">IF(L3039="","",INDEX(ポート振替表!$M$5:$M$3507,$L3039)&amp;"")</f>
        <v/>
      </c>
      <c r="K3039" s="52" t="str">
        <f aca="false">IF(L3039="","",E3039&amp;CHAR(10)&amp;INDEX(ポート振替表!$K$5:$K$3507,$L3039)&amp;" "&amp;INDEX(ポート振替表!$L$5:$L$3507,$L3039)&amp;CHAR(10)&amp;"⇔ "&amp;INDEX(ポート振替表!$H$5:$H$3507,$L3039)&amp;" "&amp;INDEX(ポート振替表!$I$5:$I$3507,$L3039))</f>
        <v/>
      </c>
      <c r="L3039" s="47" t="str">
        <f aca="false">IFERROR(MATCH(ROW()-4,ポート振替表!$V$5:$V$3507,0),"")</f>
        <v/>
      </c>
    </row>
    <row r="3040" customFormat="false" ht="16.4" hidden="false" customHeight="false" outlineLevel="0" collapsed="false">
      <c r="A3040" s="32" t="str">
        <f aca="false">IF(L3040="","",ROW()-4)</f>
        <v/>
      </c>
      <c r="B3040" s="58" t="str">
        <f aca="false">IF(L3040="","",IF(INDEX(ポート振替表!$W$5:$W$3507,$L3040)="","(なし)",INDEX(ポート振替表!$W$5:$W$3507,$L3040)&amp;""))</f>
        <v/>
      </c>
      <c r="C3040" s="52" t="str">
        <f aca="false">IF(L3040="","",INDEX(ポート振替表!$B$5:$B$3507,$L3040)&amp;" "&amp;INDEX(ポート振替表!$C$5:$C$3507,$L3040)&amp;"  ⇔  "&amp;INDEX(ポート振替表!$H$5:$H$3507,$L3040)&amp;" "&amp;INDEX(ポート振替表!$I$5:$I$3507,$L3040))</f>
        <v/>
      </c>
      <c r="D3040" s="57" t="s">
        <v>158</v>
      </c>
      <c r="E3040" s="59" t="str">
        <f aca="false">IF(L3040="","",IF(INDEX(ポート振替表!$O$5:$O$3507,$L3040)="","(未設定)",INDEX(ポート振替表!$O$5:$O$3507,$L3040)&amp;""))</f>
        <v/>
      </c>
      <c r="F3040" s="52" t="str">
        <f aca="false">IF(L3040="","",INDEX(ポート振替表!$K$5:$K$3507,$L3040)&amp;" "&amp;INDEX(ポート振替表!$L$5:$L$3507,$L3040)&amp;"  ⇔  "&amp;INDEX(ポート振替表!$H$5:$H$3507,$L3040)&amp;" "&amp;INDEX(ポート振替表!$I$5:$I$3507,$L3040))</f>
        <v/>
      </c>
      <c r="G3040" s="57" t="s">
        <v>158</v>
      </c>
      <c r="H3040" s="32" t="str">
        <f aca="false">IF(L3040="","",INDEX(ポート振替表!$N$5:$N$3507,$L3040)&amp;"")</f>
        <v/>
      </c>
      <c r="I3040" s="32" t="str">
        <f aca="false">IF(L3040="","",INDEX(ポート振替表!$P$5:$P$3507,$L3040)&amp;"")</f>
        <v/>
      </c>
      <c r="J3040" s="60" t="str">
        <f aca="false">IF(L3040="","",INDEX(ポート振替表!$M$5:$M$3507,$L3040)&amp;"")</f>
        <v/>
      </c>
      <c r="K3040" s="52" t="str">
        <f aca="false">IF(L3040="","",E3040&amp;CHAR(10)&amp;INDEX(ポート振替表!$K$5:$K$3507,$L3040)&amp;" "&amp;INDEX(ポート振替表!$L$5:$L$3507,$L3040)&amp;CHAR(10)&amp;"⇔ "&amp;INDEX(ポート振替表!$H$5:$H$3507,$L3040)&amp;" "&amp;INDEX(ポート振替表!$I$5:$I$3507,$L3040))</f>
        <v/>
      </c>
      <c r="L3040" s="47" t="str">
        <f aca="false">IFERROR(MATCH(ROW()-4,ポート振替表!$V$5:$V$3507,0),"")</f>
        <v/>
      </c>
    </row>
    <row r="3041" customFormat="false" ht="16.4" hidden="false" customHeight="false" outlineLevel="0" collapsed="false">
      <c r="A3041" s="32" t="str">
        <f aca="false">IF(L3041="","",ROW()-4)</f>
        <v/>
      </c>
      <c r="B3041" s="58" t="str">
        <f aca="false">IF(L3041="","",IF(INDEX(ポート振替表!$W$5:$W$3507,$L3041)="","(なし)",INDEX(ポート振替表!$W$5:$W$3507,$L3041)&amp;""))</f>
        <v/>
      </c>
      <c r="C3041" s="52" t="str">
        <f aca="false">IF(L3041="","",INDEX(ポート振替表!$B$5:$B$3507,$L3041)&amp;" "&amp;INDEX(ポート振替表!$C$5:$C$3507,$L3041)&amp;"  ⇔  "&amp;INDEX(ポート振替表!$H$5:$H$3507,$L3041)&amp;" "&amp;INDEX(ポート振替表!$I$5:$I$3507,$L3041))</f>
        <v/>
      </c>
      <c r="D3041" s="57" t="s">
        <v>158</v>
      </c>
      <c r="E3041" s="59" t="str">
        <f aca="false">IF(L3041="","",IF(INDEX(ポート振替表!$O$5:$O$3507,$L3041)="","(未設定)",INDEX(ポート振替表!$O$5:$O$3507,$L3041)&amp;""))</f>
        <v/>
      </c>
      <c r="F3041" s="52" t="str">
        <f aca="false">IF(L3041="","",INDEX(ポート振替表!$K$5:$K$3507,$L3041)&amp;" "&amp;INDEX(ポート振替表!$L$5:$L$3507,$L3041)&amp;"  ⇔  "&amp;INDEX(ポート振替表!$H$5:$H$3507,$L3041)&amp;" "&amp;INDEX(ポート振替表!$I$5:$I$3507,$L3041))</f>
        <v/>
      </c>
      <c r="G3041" s="57" t="s">
        <v>158</v>
      </c>
      <c r="H3041" s="32" t="str">
        <f aca="false">IF(L3041="","",INDEX(ポート振替表!$N$5:$N$3507,$L3041)&amp;"")</f>
        <v/>
      </c>
      <c r="I3041" s="32" t="str">
        <f aca="false">IF(L3041="","",INDEX(ポート振替表!$P$5:$P$3507,$L3041)&amp;"")</f>
        <v/>
      </c>
      <c r="J3041" s="60" t="str">
        <f aca="false">IF(L3041="","",INDEX(ポート振替表!$M$5:$M$3507,$L3041)&amp;"")</f>
        <v/>
      </c>
      <c r="K3041" s="52" t="str">
        <f aca="false">IF(L3041="","",E3041&amp;CHAR(10)&amp;INDEX(ポート振替表!$K$5:$K$3507,$L3041)&amp;" "&amp;INDEX(ポート振替表!$L$5:$L$3507,$L3041)&amp;CHAR(10)&amp;"⇔ "&amp;INDEX(ポート振替表!$H$5:$H$3507,$L3041)&amp;" "&amp;INDEX(ポート振替表!$I$5:$I$3507,$L3041))</f>
        <v/>
      </c>
      <c r="L3041" s="47" t="str">
        <f aca="false">IFERROR(MATCH(ROW()-4,ポート振替表!$V$5:$V$3507,0),"")</f>
        <v/>
      </c>
    </row>
    <row r="3042" customFormat="false" ht="16.4" hidden="false" customHeight="false" outlineLevel="0" collapsed="false">
      <c r="A3042" s="32" t="str">
        <f aca="false">IF(L3042="","",ROW()-4)</f>
        <v/>
      </c>
      <c r="B3042" s="58" t="str">
        <f aca="false">IF(L3042="","",IF(INDEX(ポート振替表!$W$5:$W$3507,$L3042)="","(なし)",INDEX(ポート振替表!$W$5:$W$3507,$L3042)&amp;""))</f>
        <v/>
      </c>
      <c r="C3042" s="52" t="str">
        <f aca="false">IF(L3042="","",INDEX(ポート振替表!$B$5:$B$3507,$L3042)&amp;" "&amp;INDEX(ポート振替表!$C$5:$C$3507,$L3042)&amp;"  ⇔  "&amp;INDEX(ポート振替表!$H$5:$H$3507,$L3042)&amp;" "&amp;INDEX(ポート振替表!$I$5:$I$3507,$L3042))</f>
        <v/>
      </c>
      <c r="D3042" s="57" t="s">
        <v>158</v>
      </c>
      <c r="E3042" s="59" t="str">
        <f aca="false">IF(L3042="","",IF(INDEX(ポート振替表!$O$5:$O$3507,$L3042)="","(未設定)",INDEX(ポート振替表!$O$5:$O$3507,$L3042)&amp;""))</f>
        <v/>
      </c>
      <c r="F3042" s="52" t="str">
        <f aca="false">IF(L3042="","",INDEX(ポート振替表!$K$5:$K$3507,$L3042)&amp;" "&amp;INDEX(ポート振替表!$L$5:$L$3507,$L3042)&amp;"  ⇔  "&amp;INDEX(ポート振替表!$H$5:$H$3507,$L3042)&amp;" "&amp;INDEX(ポート振替表!$I$5:$I$3507,$L3042))</f>
        <v/>
      </c>
      <c r="G3042" s="57" t="s">
        <v>158</v>
      </c>
      <c r="H3042" s="32" t="str">
        <f aca="false">IF(L3042="","",INDEX(ポート振替表!$N$5:$N$3507,$L3042)&amp;"")</f>
        <v/>
      </c>
      <c r="I3042" s="32" t="str">
        <f aca="false">IF(L3042="","",INDEX(ポート振替表!$P$5:$P$3507,$L3042)&amp;"")</f>
        <v/>
      </c>
      <c r="J3042" s="60" t="str">
        <f aca="false">IF(L3042="","",INDEX(ポート振替表!$M$5:$M$3507,$L3042)&amp;"")</f>
        <v/>
      </c>
      <c r="K3042" s="52" t="str">
        <f aca="false">IF(L3042="","",E3042&amp;CHAR(10)&amp;INDEX(ポート振替表!$K$5:$K$3507,$L3042)&amp;" "&amp;INDEX(ポート振替表!$L$5:$L$3507,$L3042)&amp;CHAR(10)&amp;"⇔ "&amp;INDEX(ポート振替表!$H$5:$H$3507,$L3042)&amp;" "&amp;INDEX(ポート振替表!$I$5:$I$3507,$L3042))</f>
        <v/>
      </c>
      <c r="L3042" s="47" t="str">
        <f aca="false">IFERROR(MATCH(ROW()-4,ポート振替表!$V$5:$V$3507,0),"")</f>
        <v/>
      </c>
    </row>
    <row r="3043" customFormat="false" ht="16.4" hidden="false" customHeight="false" outlineLevel="0" collapsed="false">
      <c r="A3043" s="32" t="str">
        <f aca="false">IF(L3043="","",ROW()-4)</f>
        <v/>
      </c>
      <c r="B3043" s="58" t="str">
        <f aca="false">IF(L3043="","",IF(INDEX(ポート振替表!$W$5:$W$3507,$L3043)="","(なし)",INDEX(ポート振替表!$W$5:$W$3507,$L3043)&amp;""))</f>
        <v/>
      </c>
      <c r="C3043" s="52" t="str">
        <f aca="false">IF(L3043="","",INDEX(ポート振替表!$B$5:$B$3507,$L3043)&amp;" "&amp;INDEX(ポート振替表!$C$5:$C$3507,$L3043)&amp;"  ⇔  "&amp;INDEX(ポート振替表!$H$5:$H$3507,$L3043)&amp;" "&amp;INDEX(ポート振替表!$I$5:$I$3507,$L3043))</f>
        <v/>
      </c>
      <c r="D3043" s="57" t="s">
        <v>158</v>
      </c>
      <c r="E3043" s="59" t="str">
        <f aca="false">IF(L3043="","",IF(INDEX(ポート振替表!$O$5:$O$3507,$L3043)="","(未設定)",INDEX(ポート振替表!$O$5:$O$3507,$L3043)&amp;""))</f>
        <v/>
      </c>
      <c r="F3043" s="52" t="str">
        <f aca="false">IF(L3043="","",INDEX(ポート振替表!$K$5:$K$3507,$L3043)&amp;" "&amp;INDEX(ポート振替表!$L$5:$L$3507,$L3043)&amp;"  ⇔  "&amp;INDEX(ポート振替表!$H$5:$H$3507,$L3043)&amp;" "&amp;INDEX(ポート振替表!$I$5:$I$3507,$L3043))</f>
        <v/>
      </c>
      <c r="G3043" s="57" t="s">
        <v>158</v>
      </c>
      <c r="H3043" s="32" t="str">
        <f aca="false">IF(L3043="","",INDEX(ポート振替表!$N$5:$N$3507,$L3043)&amp;"")</f>
        <v/>
      </c>
      <c r="I3043" s="32" t="str">
        <f aca="false">IF(L3043="","",INDEX(ポート振替表!$P$5:$P$3507,$L3043)&amp;"")</f>
        <v/>
      </c>
      <c r="J3043" s="60" t="str">
        <f aca="false">IF(L3043="","",INDEX(ポート振替表!$M$5:$M$3507,$L3043)&amp;"")</f>
        <v/>
      </c>
      <c r="K3043" s="52" t="str">
        <f aca="false">IF(L3043="","",E3043&amp;CHAR(10)&amp;INDEX(ポート振替表!$K$5:$K$3507,$L3043)&amp;" "&amp;INDEX(ポート振替表!$L$5:$L$3507,$L3043)&amp;CHAR(10)&amp;"⇔ "&amp;INDEX(ポート振替表!$H$5:$H$3507,$L3043)&amp;" "&amp;INDEX(ポート振替表!$I$5:$I$3507,$L3043))</f>
        <v/>
      </c>
      <c r="L3043" s="47" t="str">
        <f aca="false">IFERROR(MATCH(ROW()-4,ポート振替表!$V$5:$V$3507,0),"")</f>
        <v/>
      </c>
    </row>
    <row r="3044" customFormat="false" ht="16.4" hidden="false" customHeight="false" outlineLevel="0" collapsed="false">
      <c r="A3044" s="32" t="str">
        <f aca="false">IF(L3044="","",ROW()-4)</f>
        <v/>
      </c>
      <c r="B3044" s="58" t="str">
        <f aca="false">IF(L3044="","",IF(INDEX(ポート振替表!$W$5:$W$3507,$L3044)="","(なし)",INDEX(ポート振替表!$W$5:$W$3507,$L3044)&amp;""))</f>
        <v/>
      </c>
      <c r="C3044" s="52" t="str">
        <f aca="false">IF(L3044="","",INDEX(ポート振替表!$B$5:$B$3507,$L3044)&amp;" "&amp;INDEX(ポート振替表!$C$5:$C$3507,$L3044)&amp;"  ⇔  "&amp;INDEX(ポート振替表!$H$5:$H$3507,$L3044)&amp;" "&amp;INDEX(ポート振替表!$I$5:$I$3507,$L3044))</f>
        <v/>
      </c>
      <c r="D3044" s="57" t="s">
        <v>158</v>
      </c>
      <c r="E3044" s="59" t="str">
        <f aca="false">IF(L3044="","",IF(INDEX(ポート振替表!$O$5:$O$3507,$L3044)="","(未設定)",INDEX(ポート振替表!$O$5:$O$3507,$L3044)&amp;""))</f>
        <v/>
      </c>
      <c r="F3044" s="52" t="str">
        <f aca="false">IF(L3044="","",INDEX(ポート振替表!$K$5:$K$3507,$L3044)&amp;" "&amp;INDEX(ポート振替表!$L$5:$L$3507,$L3044)&amp;"  ⇔  "&amp;INDEX(ポート振替表!$H$5:$H$3507,$L3044)&amp;" "&amp;INDEX(ポート振替表!$I$5:$I$3507,$L3044))</f>
        <v/>
      </c>
      <c r="G3044" s="57" t="s">
        <v>158</v>
      </c>
      <c r="H3044" s="32" t="str">
        <f aca="false">IF(L3044="","",INDEX(ポート振替表!$N$5:$N$3507,$L3044)&amp;"")</f>
        <v/>
      </c>
      <c r="I3044" s="32" t="str">
        <f aca="false">IF(L3044="","",INDEX(ポート振替表!$P$5:$P$3507,$L3044)&amp;"")</f>
        <v/>
      </c>
      <c r="J3044" s="60" t="str">
        <f aca="false">IF(L3044="","",INDEX(ポート振替表!$M$5:$M$3507,$L3044)&amp;"")</f>
        <v/>
      </c>
      <c r="K3044" s="52" t="str">
        <f aca="false">IF(L3044="","",E3044&amp;CHAR(10)&amp;INDEX(ポート振替表!$K$5:$K$3507,$L3044)&amp;" "&amp;INDEX(ポート振替表!$L$5:$L$3507,$L3044)&amp;CHAR(10)&amp;"⇔ "&amp;INDEX(ポート振替表!$H$5:$H$3507,$L3044)&amp;" "&amp;INDEX(ポート振替表!$I$5:$I$3507,$L3044))</f>
        <v/>
      </c>
      <c r="L3044" s="47" t="str">
        <f aca="false">IFERROR(MATCH(ROW()-4,ポート振替表!$V$5:$V$3507,0),"")</f>
        <v/>
      </c>
    </row>
    <row r="3045" customFormat="false" ht="16.4" hidden="false" customHeight="false" outlineLevel="0" collapsed="false">
      <c r="A3045" s="32" t="str">
        <f aca="false">IF(L3045="","",ROW()-4)</f>
        <v/>
      </c>
      <c r="B3045" s="58" t="str">
        <f aca="false">IF(L3045="","",IF(INDEX(ポート振替表!$W$5:$W$3507,$L3045)="","(なし)",INDEX(ポート振替表!$W$5:$W$3507,$L3045)&amp;""))</f>
        <v/>
      </c>
      <c r="C3045" s="52" t="str">
        <f aca="false">IF(L3045="","",INDEX(ポート振替表!$B$5:$B$3507,$L3045)&amp;" "&amp;INDEX(ポート振替表!$C$5:$C$3507,$L3045)&amp;"  ⇔  "&amp;INDEX(ポート振替表!$H$5:$H$3507,$L3045)&amp;" "&amp;INDEX(ポート振替表!$I$5:$I$3507,$L3045))</f>
        <v/>
      </c>
      <c r="D3045" s="57" t="s">
        <v>158</v>
      </c>
      <c r="E3045" s="59" t="str">
        <f aca="false">IF(L3045="","",IF(INDEX(ポート振替表!$O$5:$O$3507,$L3045)="","(未設定)",INDEX(ポート振替表!$O$5:$O$3507,$L3045)&amp;""))</f>
        <v/>
      </c>
      <c r="F3045" s="52" t="str">
        <f aca="false">IF(L3045="","",INDEX(ポート振替表!$K$5:$K$3507,$L3045)&amp;" "&amp;INDEX(ポート振替表!$L$5:$L$3507,$L3045)&amp;"  ⇔  "&amp;INDEX(ポート振替表!$H$5:$H$3507,$L3045)&amp;" "&amp;INDEX(ポート振替表!$I$5:$I$3507,$L3045))</f>
        <v/>
      </c>
      <c r="G3045" s="57" t="s">
        <v>158</v>
      </c>
      <c r="H3045" s="32" t="str">
        <f aca="false">IF(L3045="","",INDEX(ポート振替表!$N$5:$N$3507,$L3045)&amp;"")</f>
        <v/>
      </c>
      <c r="I3045" s="32" t="str">
        <f aca="false">IF(L3045="","",INDEX(ポート振替表!$P$5:$P$3507,$L3045)&amp;"")</f>
        <v/>
      </c>
      <c r="J3045" s="60" t="str">
        <f aca="false">IF(L3045="","",INDEX(ポート振替表!$M$5:$M$3507,$L3045)&amp;"")</f>
        <v/>
      </c>
      <c r="K3045" s="52" t="str">
        <f aca="false">IF(L3045="","",E3045&amp;CHAR(10)&amp;INDEX(ポート振替表!$K$5:$K$3507,$L3045)&amp;" "&amp;INDEX(ポート振替表!$L$5:$L$3507,$L3045)&amp;CHAR(10)&amp;"⇔ "&amp;INDEX(ポート振替表!$H$5:$H$3507,$L3045)&amp;" "&amp;INDEX(ポート振替表!$I$5:$I$3507,$L3045))</f>
        <v/>
      </c>
      <c r="L3045" s="47" t="str">
        <f aca="false">IFERROR(MATCH(ROW()-4,ポート振替表!$V$5:$V$3507,0),"")</f>
        <v/>
      </c>
    </row>
    <row r="3046" customFormat="false" ht="16.4" hidden="false" customHeight="false" outlineLevel="0" collapsed="false">
      <c r="A3046" s="32" t="str">
        <f aca="false">IF(L3046="","",ROW()-4)</f>
        <v/>
      </c>
      <c r="B3046" s="58" t="str">
        <f aca="false">IF(L3046="","",IF(INDEX(ポート振替表!$W$5:$W$3507,$L3046)="","(なし)",INDEX(ポート振替表!$W$5:$W$3507,$L3046)&amp;""))</f>
        <v/>
      </c>
      <c r="C3046" s="52" t="str">
        <f aca="false">IF(L3046="","",INDEX(ポート振替表!$B$5:$B$3507,$L3046)&amp;" "&amp;INDEX(ポート振替表!$C$5:$C$3507,$L3046)&amp;"  ⇔  "&amp;INDEX(ポート振替表!$H$5:$H$3507,$L3046)&amp;" "&amp;INDEX(ポート振替表!$I$5:$I$3507,$L3046))</f>
        <v/>
      </c>
      <c r="D3046" s="57" t="s">
        <v>158</v>
      </c>
      <c r="E3046" s="59" t="str">
        <f aca="false">IF(L3046="","",IF(INDEX(ポート振替表!$O$5:$O$3507,$L3046)="","(未設定)",INDEX(ポート振替表!$O$5:$O$3507,$L3046)&amp;""))</f>
        <v/>
      </c>
      <c r="F3046" s="52" t="str">
        <f aca="false">IF(L3046="","",INDEX(ポート振替表!$K$5:$K$3507,$L3046)&amp;" "&amp;INDEX(ポート振替表!$L$5:$L$3507,$L3046)&amp;"  ⇔  "&amp;INDEX(ポート振替表!$H$5:$H$3507,$L3046)&amp;" "&amp;INDEX(ポート振替表!$I$5:$I$3507,$L3046))</f>
        <v/>
      </c>
      <c r="G3046" s="57" t="s">
        <v>158</v>
      </c>
      <c r="H3046" s="32" t="str">
        <f aca="false">IF(L3046="","",INDEX(ポート振替表!$N$5:$N$3507,$L3046)&amp;"")</f>
        <v/>
      </c>
      <c r="I3046" s="32" t="str">
        <f aca="false">IF(L3046="","",INDEX(ポート振替表!$P$5:$P$3507,$L3046)&amp;"")</f>
        <v/>
      </c>
      <c r="J3046" s="60" t="str">
        <f aca="false">IF(L3046="","",INDEX(ポート振替表!$M$5:$M$3507,$L3046)&amp;"")</f>
        <v/>
      </c>
      <c r="K3046" s="52" t="str">
        <f aca="false">IF(L3046="","",E3046&amp;CHAR(10)&amp;INDEX(ポート振替表!$K$5:$K$3507,$L3046)&amp;" "&amp;INDEX(ポート振替表!$L$5:$L$3507,$L3046)&amp;CHAR(10)&amp;"⇔ "&amp;INDEX(ポート振替表!$H$5:$H$3507,$L3046)&amp;" "&amp;INDEX(ポート振替表!$I$5:$I$3507,$L3046))</f>
        <v/>
      </c>
      <c r="L3046" s="47" t="str">
        <f aca="false">IFERROR(MATCH(ROW()-4,ポート振替表!$V$5:$V$3507,0),"")</f>
        <v/>
      </c>
    </row>
    <row r="3047" customFormat="false" ht="16.4" hidden="false" customHeight="false" outlineLevel="0" collapsed="false">
      <c r="A3047" s="32" t="str">
        <f aca="false">IF(L3047="","",ROW()-4)</f>
        <v/>
      </c>
      <c r="B3047" s="58" t="str">
        <f aca="false">IF(L3047="","",IF(INDEX(ポート振替表!$W$5:$W$3507,$L3047)="","(なし)",INDEX(ポート振替表!$W$5:$W$3507,$L3047)&amp;""))</f>
        <v/>
      </c>
      <c r="C3047" s="52" t="str">
        <f aca="false">IF(L3047="","",INDEX(ポート振替表!$B$5:$B$3507,$L3047)&amp;" "&amp;INDEX(ポート振替表!$C$5:$C$3507,$L3047)&amp;"  ⇔  "&amp;INDEX(ポート振替表!$H$5:$H$3507,$L3047)&amp;" "&amp;INDEX(ポート振替表!$I$5:$I$3507,$L3047))</f>
        <v/>
      </c>
      <c r="D3047" s="57" t="s">
        <v>158</v>
      </c>
      <c r="E3047" s="59" t="str">
        <f aca="false">IF(L3047="","",IF(INDEX(ポート振替表!$O$5:$O$3507,$L3047)="","(未設定)",INDEX(ポート振替表!$O$5:$O$3507,$L3047)&amp;""))</f>
        <v/>
      </c>
      <c r="F3047" s="52" t="str">
        <f aca="false">IF(L3047="","",INDEX(ポート振替表!$K$5:$K$3507,$L3047)&amp;" "&amp;INDEX(ポート振替表!$L$5:$L$3507,$L3047)&amp;"  ⇔  "&amp;INDEX(ポート振替表!$H$5:$H$3507,$L3047)&amp;" "&amp;INDEX(ポート振替表!$I$5:$I$3507,$L3047))</f>
        <v/>
      </c>
      <c r="G3047" s="57" t="s">
        <v>158</v>
      </c>
      <c r="H3047" s="32" t="str">
        <f aca="false">IF(L3047="","",INDEX(ポート振替表!$N$5:$N$3507,$L3047)&amp;"")</f>
        <v/>
      </c>
      <c r="I3047" s="32" t="str">
        <f aca="false">IF(L3047="","",INDEX(ポート振替表!$P$5:$P$3507,$L3047)&amp;"")</f>
        <v/>
      </c>
      <c r="J3047" s="60" t="str">
        <f aca="false">IF(L3047="","",INDEX(ポート振替表!$M$5:$M$3507,$L3047)&amp;"")</f>
        <v/>
      </c>
      <c r="K3047" s="52" t="str">
        <f aca="false">IF(L3047="","",E3047&amp;CHAR(10)&amp;INDEX(ポート振替表!$K$5:$K$3507,$L3047)&amp;" "&amp;INDEX(ポート振替表!$L$5:$L$3507,$L3047)&amp;CHAR(10)&amp;"⇔ "&amp;INDEX(ポート振替表!$H$5:$H$3507,$L3047)&amp;" "&amp;INDEX(ポート振替表!$I$5:$I$3507,$L3047))</f>
        <v/>
      </c>
      <c r="L3047" s="47" t="str">
        <f aca="false">IFERROR(MATCH(ROW()-4,ポート振替表!$V$5:$V$3507,0),"")</f>
        <v/>
      </c>
    </row>
    <row r="3048" customFormat="false" ht="16.4" hidden="false" customHeight="false" outlineLevel="0" collapsed="false">
      <c r="A3048" s="32" t="str">
        <f aca="false">IF(L3048="","",ROW()-4)</f>
        <v/>
      </c>
      <c r="B3048" s="58" t="str">
        <f aca="false">IF(L3048="","",IF(INDEX(ポート振替表!$W$5:$W$3507,$L3048)="","(なし)",INDEX(ポート振替表!$W$5:$W$3507,$L3048)&amp;""))</f>
        <v/>
      </c>
      <c r="C3048" s="52" t="str">
        <f aca="false">IF(L3048="","",INDEX(ポート振替表!$B$5:$B$3507,$L3048)&amp;" "&amp;INDEX(ポート振替表!$C$5:$C$3507,$L3048)&amp;"  ⇔  "&amp;INDEX(ポート振替表!$H$5:$H$3507,$L3048)&amp;" "&amp;INDEX(ポート振替表!$I$5:$I$3507,$L3048))</f>
        <v/>
      </c>
      <c r="D3048" s="57" t="s">
        <v>158</v>
      </c>
      <c r="E3048" s="59" t="str">
        <f aca="false">IF(L3048="","",IF(INDEX(ポート振替表!$O$5:$O$3507,$L3048)="","(未設定)",INDEX(ポート振替表!$O$5:$O$3507,$L3048)&amp;""))</f>
        <v/>
      </c>
      <c r="F3048" s="52" t="str">
        <f aca="false">IF(L3048="","",INDEX(ポート振替表!$K$5:$K$3507,$L3048)&amp;" "&amp;INDEX(ポート振替表!$L$5:$L$3507,$L3048)&amp;"  ⇔  "&amp;INDEX(ポート振替表!$H$5:$H$3507,$L3048)&amp;" "&amp;INDEX(ポート振替表!$I$5:$I$3507,$L3048))</f>
        <v/>
      </c>
      <c r="G3048" s="57" t="s">
        <v>158</v>
      </c>
      <c r="H3048" s="32" t="str">
        <f aca="false">IF(L3048="","",INDEX(ポート振替表!$N$5:$N$3507,$L3048)&amp;"")</f>
        <v/>
      </c>
      <c r="I3048" s="32" t="str">
        <f aca="false">IF(L3048="","",INDEX(ポート振替表!$P$5:$P$3507,$L3048)&amp;"")</f>
        <v/>
      </c>
      <c r="J3048" s="60" t="str">
        <f aca="false">IF(L3048="","",INDEX(ポート振替表!$M$5:$M$3507,$L3048)&amp;"")</f>
        <v/>
      </c>
      <c r="K3048" s="52" t="str">
        <f aca="false">IF(L3048="","",E3048&amp;CHAR(10)&amp;INDEX(ポート振替表!$K$5:$K$3507,$L3048)&amp;" "&amp;INDEX(ポート振替表!$L$5:$L$3507,$L3048)&amp;CHAR(10)&amp;"⇔ "&amp;INDEX(ポート振替表!$H$5:$H$3507,$L3048)&amp;" "&amp;INDEX(ポート振替表!$I$5:$I$3507,$L3048))</f>
        <v/>
      </c>
      <c r="L3048" s="47" t="str">
        <f aca="false">IFERROR(MATCH(ROW()-4,ポート振替表!$V$5:$V$3507,0),"")</f>
        <v/>
      </c>
    </row>
    <row r="3049" customFormat="false" ht="16.4" hidden="false" customHeight="false" outlineLevel="0" collapsed="false">
      <c r="A3049" s="32" t="str">
        <f aca="false">IF(L3049="","",ROW()-4)</f>
        <v/>
      </c>
      <c r="B3049" s="58" t="str">
        <f aca="false">IF(L3049="","",IF(INDEX(ポート振替表!$W$5:$W$3507,$L3049)="","(なし)",INDEX(ポート振替表!$W$5:$W$3507,$L3049)&amp;""))</f>
        <v/>
      </c>
      <c r="C3049" s="52" t="str">
        <f aca="false">IF(L3049="","",INDEX(ポート振替表!$B$5:$B$3507,$L3049)&amp;" "&amp;INDEX(ポート振替表!$C$5:$C$3507,$L3049)&amp;"  ⇔  "&amp;INDEX(ポート振替表!$H$5:$H$3507,$L3049)&amp;" "&amp;INDEX(ポート振替表!$I$5:$I$3507,$L3049))</f>
        <v/>
      </c>
      <c r="D3049" s="57" t="s">
        <v>158</v>
      </c>
      <c r="E3049" s="59" t="str">
        <f aca="false">IF(L3049="","",IF(INDEX(ポート振替表!$O$5:$O$3507,$L3049)="","(未設定)",INDEX(ポート振替表!$O$5:$O$3507,$L3049)&amp;""))</f>
        <v/>
      </c>
      <c r="F3049" s="52" t="str">
        <f aca="false">IF(L3049="","",INDEX(ポート振替表!$K$5:$K$3507,$L3049)&amp;" "&amp;INDEX(ポート振替表!$L$5:$L$3507,$L3049)&amp;"  ⇔  "&amp;INDEX(ポート振替表!$H$5:$H$3507,$L3049)&amp;" "&amp;INDEX(ポート振替表!$I$5:$I$3507,$L3049))</f>
        <v/>
      </c>
      <c r="G3049" s="57" t="s">
        <v>158</v>
      </c>
      <c r="H3049" s="32" t="str">
        <f aca="false">IF(L3049="","",INDEX(ポート振替表!$N$5:$N$3507,$L3049)&amp;"")</f>
        <v/>
      </c>
      <c r="I3049" s="32" t="str">
        <f aca="false">IF(L3049="","",INDEX(ポート振替表!$P$5:$P$3507,$L3049)&amp;"")</f>
        <v/>
      </c>
      <c r="J3049" s="60" t="str">
        <f aca="false">IF(L3049="","",INDEX(ポート振替表!$M$5:$M$3507,$L3049)&amp;"")</f>
        <v/>
      </c>
      <c r="K3049" s="52" t="str">
        <f aca="false">IF(L3049="","",E3049&amp;CHAR(10)&amp;INDEX(ポート振替表!$K$5:$K$3507,$L3049)&amp;" "&amp;INDEX(ポート振替表!$L$5:$L$3507,$L3049)&amp;CHAR(10)&amp;"⇔ "&amp;INDEX(ポート振替表!$H$5:$H$3507,$L3049)&amp;" "&amp;INDEX(ポート振替表!$I$5:$I$3507,$L3049))</f>
        <v/>
      </c>
      <c r="L3049" s="47" t="str">
        <f aca="false">IFERROR(MATCH(ROW()-4,ポート振替表!$V$5:$V$3507,0),"")</f>
        <v/>
      </c>
    </row>
    <row r="3050" customFormat="false" ht="16.4" hidden="false" customHeight="false" outlineLevel="0" collapsed="false">
      <c r="A3050" s="32" t="str">
        <f aca="false">IF(L3050="","",ROW()-4)</f>
        <v/>
      </c>
      <c r="B3050" s="58" t="str">
        <f aca="false">IF(L3050="","",IF(INDEX(ポート振替表!$W$5:$W$3507,$L3050)="","(なし)",INDEX(ポート振替表!$W$5:$W$3507,$L3050)&amp;""))</f>
        <v/>
      </c>
      <c r="C3050" s="52" t="str">
        <f aca="false">IF(L3050="","",INDEX(ポート振替表!$B$5:$B$3507,$L3050)&amp;" "&amp;INDEX(ポート振替表!$C$5:$C$3507,$L3050)&amp;"  ⇔  "&amp;INDEX(ポート振替表!$H$5:$H$3507,$L3050)&amp;" "&amp;INDEX(ポート振替表!$I$5:$I$3507,$L3050))</f>
        <v/>
      </c>
      <c r="D3050" s="57" t="s">
        <v>158</v>
      </c>
      <c r="E3050" s="59" t="str">
        <f aca="false">IF(L3050="","",IF(INDEX(ポート振替表!$O$5:$O$3507,$L3050)="","(未設定)",INDEX(ポート振替表!$O$5:$O$3507,$L3050)&amp;""))</f>
        <v/>
      </c>
      <c r="F3050" s="52" t="str">
        <f aca="false">IF(L3050="","",INDEX(ポート振替表!$K$5:$K$3507,$L3050)&amp;" "&amp;INDEX(ポート振替表!$L$5:$L$3507,$L3050)&amp;"  ⇔  "&amp;INDEX(ポート振替表!$H$5:$H$3507,$L3050)&amp;" "&amp;INDEX(ポート振替表!$I$5:$I$3507,$L3050))</f>
        <v/>
      </c>
      <c r="G3050" s="57" t="s">
        <v>158</v>
      </c>
      <c r="H3050" s="32" t="str">
        <f aca="false">IF(L3050="","",INDEX(ポート振替表!$N$5:$N$3507,$L3050)&amp;"")</f>
        <v/>
      </c>
      <c r="I3050" s="32" t="str">
        <f aca="false">IF(L3050="","",INDEX(ポート振替表!$P$5:$P$3507,$L3050)&amp;"")</f>
        <v/>
      </c>
      <c r="J3050" s="60" t="str">
        <f aca="false">IF(L3050="","",INDEX(ポート振替表!$M$5:$M$3507,$L3050)&amp;"")</f>
        <v/>
      </c>
      <c r="K3050" s="52" t="str">
        <f aca="false">IF(L3050="","",E3050&amp;CHAR(10)&amp;INDEX(ポート振替表!$K$5:$K$3507,$L3050)&amp;" "&amp;INDEX(ポート振替表!$L$5:$L$3507,$L3050)&amp;CHAR(10)&amp;"⇔ "&amp;INDEX(ポート振替表!$H$5:$H$3507,$L3050)&amp;" "&amp;INDEX(ポート振替表!$I$5:$I$3507,$L3050))</f>
        <v/>
      </c>
      <c r="L3050" s="47" t="str">
        <f aca="false">IFERROR(MATCH(ROW()-4,ポート振替表!$V$5:$V$3507,0),"")</f>
        <v/>
      </c>
    </row>
    <row r="3051" customFormat="false" ht="16.4" hidden="false" customHeight="false" outlineLevel="0" collapsed="false">
      <c r="A3051" s="32" t="str">
        <f aca="false">IF(L3051="","",ROW()-4)</f>
        <v/>
      </c>
      <c r="B3051" s="58" t="str">
        <f aca="false">IF(L3051="","",IF(INDEX(ポート振替表!$W$5:$W$3507,$L3051)="","(なし)",INDEX(ポート振替表!$W$5:$W$3507,$L3051)&amp;""))</f>
        <v/>
      </c>
      <c r="C3051" s="52" t="str">
        <f aca="false">IF(L3051="","",INDEX(ポート振替表!$B$5:$B$3507,$L3051)&amp;" "&amp;INDEX(ポート振替表!$C$5:$C$3507,$L3051)&amp;"  ⇔  "&amp;INDEX(ポート振替表!$H$5:$H$3507,$L3051)&amp;" "&amp;INDEX(ポート振替表!$I$5:$I$3507,$L3051))</f>
        <v/>
      </c>
      <c r="D3051" s="57" t="s">
        <v>158</v>
      </c>
      <c r="E3051" s="59" t="str">
        <f aca="false">IF(L3051="","",IF(INDEX(ポート振替表!$O$5:$O$3507,$L3051)="","(未設定)",INDEX(ポート振替表!$O$5:$O$3507,$L3051)&amp;""))</f>
        <v/>
      </c>
      <c r="F3051" s="52" t="str">
        <f aca="false">IF(L3051="","",INDEX(ポート振替表!$K$5:$K$3507,$L3051)&amp;" "&amp;INDEX(ポート振替表!$L$5:$L$3507,$L3051)&amp;"  ⇔  "&amp;INDEX(ポート振替表!$H$5:$H$3507,$L3051)&amp;" "&amp;INDEX(ポート振替表!$I$5:$I$3507,$L3051))</f>
        <v/>
      </c>
      <c r="G3051" s="57" t="s">
        <v>158</v>
      </c>
      <c r="H3051" s="32" t="str">
        <f aca="false">IF(L3051="","",INDEX(ポート振替表!$N$5:$N$3507,$L3051)&amp;"")</f>
        <v/>
      </c>
      <c r="I3051" s="32" t="str">
        <f aca="false">IF(L3051="","",INDEX(ポート振替表!$P$5:$P$3507,$L3051)&amp;"")</f>
        <v/>
      </c>
      <c r="J3051" s="60" t="str">
        <f aca="false">IF(L3051="","",INDEX(ポート振替表!$M$5:$M$3507,$L3051)&amp;"")</f>
        <v/>
      </c>
      <c r="K3051" s="52" t="str">
        <f aca="false">IF(L3051="","",E3051&amp;CHAR(10)&amp;INDEX(ポート振替表!$K$5:$K$3507,$L3051)&amp;" "&amp;INDEX(ポート振替表!$L$5:$L$3507,$L3051)&amp;CHAR(10)&amp;"⇔ "&amp;INDEX(ポート振替表!$H$5:$H$3507,$L3051)&amp;" "&amp;INDEX(ポート振替表!$I$5:$I$3507,$L3051))</f>
        <v/>
      </c>
      <c r="L3051" s="47" t="str">
        <f aca="false">IFERROR(MATCH(ROW()-4,ポート振替表!$V$5:$V$3507,0),"")</f>
        <v/>
      </c>
    </row>
    <row r="3052" customFormat="false" ht="16.4" hidden="false" customHeight="false" outlineLevel="0" collapsed="false">
      <c r="A3052" s="32" t="str">
        <f aca="false">IF(L3052="","",ROW()-4)</f>
        <v/>
      </c>
      <c r="B3052" s="58" t="str">
        <f aca="false">IF(L3052="","",IF(INDEX(ポート振替表!$W$5:$W$3507,$L3052)="","(なし)",INDEX(ポート振替表!$W$5:$W$3507,$L3052)&amp;""))</f>
        <v/>
      </c>
      <c r="C3052" s="52" t="str">
        <f aca="false">IF(L3052="","",INDEX(ポート振替表!$B$5:$B$3507,$L3052)&amp;" "&amp;INDEX(ポート振替表!$C$5:$C$3507,$L3052)&amp;"  ⇔  "&amp;INDEX(ポート振替表!$H$5:$H$3507,$L3052)&amp;" "&amp;INDEX(ポート振替表!$I$5:$I$3507,$L3052))</f>
        <v/>
      </c>
      <c r="D3052" s="57" t="s">
        <v>158</v>
      </c>
      <c r="E3052" s="59" t="str">
        <f aca="false">IF(L3052="","",IF(INDEX(ポート振替表!$O$5:$O$3507,$L3052)="","(未設定)",INDEX(ポート振替表!$O$5:$O$3507,$L3052)&amp;""))</f>
        <v/>
      </c>
      <c r="F3052" s="52" t="str">
        <f aca="false">IF(L3052="","",INDEX(ポート振替表!$K$5:$K$3507,$L3052)&amp;" "&amp;INDEX(ポート振替表!$L$5:$L$3507,$L3052)&amp;"  ⇔  "&amp;INDEX(ポート振替表!$H$5:$H$3507,$L3052)&amp;" "&amp;INDEX(ポート振替表!$I$5:$I$3507,$L3052))</f>
        <v/>
      </c>
      <c r="G3052" s="57" t="s">
        <v>158</v>
      </c>
      <c r="H3052" s="32" t="str">
        <f aca="false">IF(L3052="","",INDEX(ポート振替表!$N$5:$N$3507,$L3052)&amp;"")</f>
        <v/>
      </c>
      <c r="I3052" s="32" t="str">
        <f aca="false">IF(L3052="","",INDEX(ポート振替表!$P$5:$P$3507,$L3052)&amp;"")</f>
        <v/>
      </c>
      <c r="J3052" s="60" t="str">
        <f aca="false">IF(L3052="","",INDEX(ポート振替表!$M$5:$M$3507,$L3052)&amp;"")</f>
        <v/>
      </c>
      <c r="K3052" s="52" t="str">
        <f aca="false">IF(L3052="","",E3052&amp;CHAR(10)&amp;INDEX(ポート振替表!$K$5:$K$3507,$L3052)&amp;" "&amp;INDEX(ポート振替表!$L$5:$L$3507,$L3052)&amp;CHAR(10)&amp;"⇔ "&amp;INDEX(ポート振替表!$H$5:$H$3507,$L3052)&amp;" "&amp;INDEX(ポート振替表!$I$5:$I$3507,$L3052))</f>
        <v/>
      </c>
      <c r="L3052" s="47" t="str">
        <f aca="false">IFERROR(MATCH(ROW()-4,ポート振替表!$V$5:$V$3507,0),"")</f>
        <v/>
      </c>
    </row>
    <row r="3053" customFormat="false" ht="16.4" hidden="false" customHeight="false" outlineLevel="0" collapsed="false">
      <c r="A3053" s="32" t="str">
        <f aca="false">IF(L3053="","",ROW()-4)</f>
        <v/>
      </c>
      <c r="B3053" s="58" t="str">
        <f aca="false">IF(L3053="","",IF(INDEX(ポート振替表!$W$5:$W$3507,$L3053)="","(なし)",INDEX(ポート振替表!$W$5:$W$3507,$L3053)&amp;""))</f>
        <v/>
      </c>
      <c r="C3053" s="52" t="str">
        <f aca="false">IF(L3053="","",INDEX(ポート振替表!$B$5:$B$3507,$L3053)&amp;" "&amp;INDEX(ポート振替表!$C$5:$C$3507,$L3053)&amp;"  ⇔  "&amp;INDEX(ポート振替表!$H$5:$H$3507,$L3053)&amp;" "&amp;INDEX(ポート振替表!$I$5:$I$3507,$L3053))</f>
        <v/>
      </c>
      <c r="D3053" s="57" t="s">
        <v>158</v>
      </c>
      <c r="E3053" s="59" t="str">
        <f aca="false">IF(L3053="","",IF(INDEX(ポート振替表!$O$5:$O$3507,$L3053)="","(未設定)",INDEX(ポート振替表!$O$5:$O$3507,$L3053)&amp;""))</f>
        <v/>
      </c>
      <c r="F3053" s="52" t="str">
        <f aca="false">IF(L3053="","",INDEX(ポート振替表!$K$5:$K$3507,$L3053)&amp;" "&amp;INDEX(ポート振替表!$L$5:$L$3507,$L3053)&amp;"  ⇔  "&amp;INDEX(ポート振替表!$H$5:$H$3507,$L3053)&amp;" "&amp;INDEX(ポート振替表!$I$5:$I$3507,$L3053))</f>
        <v/>
      </c>
      <c r="G3053" s="57" t="s">
        <v>158</v>
      </c>
      <c r="H3053" s="32" t="str">
        <f aca="false">IF(L3053="","",INDEX(ポート振替表!$N$5:$N$3507,$L3053)&amp;"")</f>
        <v/>
      </c>
      <c r="I3053" s="32" t="str">
        <f aca="false">IF(L3053="","",INDEX(ポート振替表!$P$5:$P$3507,$L3053)&amp;"")</f>
        <v/>
      </c>
      <c r="J3053" s="60" t="str">
        <f aca="false">IF(L3053="","",INDEX(ポート振替表!$M$5:$M$3507,$L3053)&amp;"")</f>
        <v/>
      </c>
      <c r="K3053" s="52" t="str">
        <f aca="false">IF(L3053="","",E3053&amp;CHAR(10)&amp;INDEX(ポート振替表!$K$5:$K$3507,$L3053)&amp;" "&amp;INDEX(ポート振替表!$L$5:$L$3507,$L3053)&amp;CHAR(10)&amp;"⇔ "&amp;INDEX(ポート振替表!$H$5:$H$3507,$L3053)&amp;" "&amp;INDEX(ポート振替表!$I$5:$I$3507,$L3053))</f>
        <v/>
      </c>
      <c r="L3053" s="47" t="str">
        <f aca="false">IFERROR(MATCH(ROW()-4,ポート振替表!$V$5:$V$3507,0),"")</f>
        <v/>
      </c>
    </row>
    <row r="3054" customFormat="false" ht="16.4" hidden="false" customHeight="false" outlineLevel="0" collapsed="false">
      <c r="A3054" s="32" t="str">
        <f aca="false">IF(L3054="","",ROW()-4)</f>
        <v/>
      </c>
      <c r="B3054" s="58" t="str">
        <f aca="false">IF(L3054="","",IF(INDEX(ポート振替表!$W$5:$W$3507,$L3054)="","(なし)",INDEX(ポート振替表!$W$5:$W$3507,$L3054)&amp;""))</f>
        <v/>
      </c>
      <c r="C3054" s="52" t="str">
        <f aca="false">IF(L3054="","",INDEX(ポート振替表!$B$5:$B$3507,$L3054)&amp;" "&amp;INDEX(ポート振替表!$C$5:$C$3507,$L3054)&amp;"  ⇔  "&amp;INDEX(ポート振替表!$H$5:$H$3507,$L3054)&amp;" "&amp;INDEX(ポート振替表!$I$5:$I$3507,$L3054))</f>
        <v/>
      </c>
      <c r="D3054" s="57" t="s">
        <v>158</v>
      </c>
      <c r="E3054" s="59" t="str">
        <f aca="false">IF(L3054="","",IF(INDEX(ポート振替表!$O$5:$O$3507,$L3054)="","(未設定)",INDEX(ポート振替表!$O$5:$O$3507,$L3054)&amp;""))</f>
        <v/>
      </c>
      <c r="F3054" s="52" t="str">
        <f aca="false">IF(L3054="","",INDEX(ポート振替表!$K$5:$K$3507,$L3054)&amp;" "&amp;INDEX(ポート振替表!$L$5:$L$3507,$L3054)&amp;"  ⇔  "&amp;INDEX(ポート振替表!$H$5:$H$3507,$L3054)&amp;" "&amp;INDEX(ポート振替表!$I$5:$I$3507,$L3054))</f>
        <v/>
      </c>
      <c r="G3054" s="57" t="s">
        <v>158</v>
      </c>
      <c r="H3054" s="32" t="str">
        <f aca="false">IF(L3054="","",INDEX(ポート振替表!$N$5:$N$3507,$L3054)&amp;"")</f>
        <v/>
      </c>
      <c r="I3054" s="32" t="str">
        <f aca="false">IF(L3054="","",INDEX(ポート振替表!$P$5:$P$3507,$L3054)&amp;"")</f>
        <v/>
      </c>
      <c r="J3054" s="60" t="str">
        <f aca="false">IF(L3054="","",INDEX(ポート振替表!$M$5:$M$3507,$L3054)&amp;"")</f>
        <v/>
      </c>
      <c r="K3054" s="52" t="str">
        <f aca="false">IF(L3054="","",E3054&amp;CHAR(10)&amp;INDEX(ポート振替表!$K$5:$K$3507,$L3054)&amp;" "&amp;INDEX(ポート振替表!$L$5:$L$3507,$L3054)&amp;CHAR(10)&amp;"⇔ "&amp;INDEX(ポート振替表!$H$5:$H$3507,$L3054)&amp;" "&amp;INDEX(ポート振替表!$I$5:$I$3507,$L3054))</f>
        <v/>
      </c>
      <c r="L3054" s="47" t="str">
        <f aca="false">IFERROR(MATCH(ROW()-4,ポート振替表!$V$5:$V$3507,0),"")</f>
        <v/>
      </c>
    </row>
    <row r="3055" customFormat="false" ht="16.4" hidden="false" customHeight="false" outlineLevel="0" collapsed="false">
      <c r="A3055" s="32" t="str">
        <f aca="false">IF(L3055="","",ROW()-4)</f>
        <v/>
      </c>
      <c r="B3055" s="58" t="str">
        <f aca="false">IF(L3055="","",IF(INDEX(ポート振替表!$W$5:$W$3507,$L3055)="","(なし)",INDEX(ポート振替表!$W$5:$W$3507,$L3055)&amp;""))</f>
        <v/>
      </c>
      <c r="C3055" s="52" t="str">
        <f aca="false">IF(L3055="","",INDEX(ポート振替表!$B$5:$B$3507,$L3055)&amp;" "&amp;INDEX(ポート振替表!$C$5:$C$3507,$L3055)&amp;"  ⇔  "&amp;INDEX(ポート振替表!$H$5:$H$3507,$L3055)&amp;" "&amp;INDEX(ポート振替表!$I$5:$I$3507,$L3055))</f>
        <v/>
      </c>
      <c r="D3055" s="57" t="s">
        <v>158</v>
      </c>
      <c r="E3055" s="59" t="str">
        <f aca="false">IF(L3055="","",IF(INDEX(ポート振替表!$O$5:$O$3507,$L3055)="","(未設定)",INDEX(ポート振替表!$O$5:$O$3507,$L3055)&amp;""))</f>
        <v/>
      </c>
      <c r="F3055" s="52" t="str">
        <f aca="false">IF(L3055="","",INDEX(ポート振替表!$K$5:$K$3507,$L3055)&amp;" "&amp;INDEX(ポート振替表!$L$5:$L$3507,$L3055)&amp;"  ⇔  "&amp;INDEX(ポート振替表!$H$5:$H$3507,$L3055)&amp;" "&amp;INDEX(ポート振替表!$I$5:$I$3507,$L3055))</f>
        <v/>
      </c>
      <c r="G3055" s="57" t="s">
        <v>158</v>
      </c>
      <c r="H3055" s="32" t="str">
        <f aca="false">IF(L3055="","",INDEX(ポート振替表!$N$5:$N$3507,$L3055)&amp;"")</f>
        <v/>
      </c>
      <c r="I3055" s="32" t="str">
        <f aca="false">IF(L3055="","",INDEX(ポート振替表!$P$5:$P$3507,$L3055)&amp;"")</f>
        <v/>
      </c>
      <c r="J3055" s="60" t="str">
        <f aca="false">IF(L3055="","",INDEX(ポート振替表!$M$5:$M$3507,$L3055)&amp;"")</f>
        <v/>
      </c>
      <c r="K3055" s="52" t="str">
        <f aca="false">IF(L3055="","",E3055&amp;CHAR(10)&amp;INDEX(ポート振替表!$K$5:$K$3507,$L3055)&amp;" "&amp;INDEX(ポート振替表!$L$5:$L$3507,$L3055)&amp;CHAR(10)&amp;"⇔ "&amp;INDEX(ポート振替表!$H$5:$H$3507,$L3055)&amp;" "&amp;INDEX(ポート振替表!$I$5:$I$3507,$L3055))</f>
        <v/>
      </c>
      <c r="L3055" s="47" t="str">
        <f aca="false">IFERROR(MATCH(ROW()-4,ポート振替表!$V$5:$V$3507,0),"")</f>
        <v/>
      </c>
    </row>
    <row r="3056" customFormat="false" ht="16.4" hidden="false" customHeight="false" outlineLevel="0" collapsed="false">
      <c r="A3056" s="32" t="str">
        <f aca="false">IF(L3056="","",ROW()-4)</f>
        <v/>
      </c>
      <c r="B3056" s="58" t="str">
        <f aca="false">IF(L3056="","",IF(INDEX(ポート振替表!$W$5:$W$3507,$L3056)="","(なし)",INDEX(ポート振替表!$W$5:$W$3507,$L3056)&amp;""))</f>
        <v/>
      </c>
      <c r="C3056" s="52" t="str">
        <f aca="false">IF(L3056="","",INDEX(ポート振替表!$B$5:$B$3507,$L3056)&amp;" "&amp;INDEX(ポート振替表!$C$5:$C$3507,$L3056)&amp;"  ⇔  "&amp;INDEX(ポート振替表!$H$5:$H$3507,$L3056)&amp;" "&amp;INDEX(ポート振替表!$I$5:$I$3507,$L3056))</f>
        <v/>
      </c>
      <c r="D3056" s="57" t="s">
        <v>158</v>
      </c>
      <c r="E3056" s="59" t="str">
        <f aca="false">IF(L3056="","",IF(INDEX(ポート振替表!$O$5:$O$3507,$L3056)="","(未設定)",INDEX(ポート振替表!$O$5:$O$3507,$L3056)&amp;""))</f>
        <v/>
      </c>
      <c r="F3056" s="52" t="str">
        <f aca="false">IF(L3056="","",INDEX(ポート振替表!$K$5:$K$3507,$L3056)&amp;" "&amp;INDEX(ポート振替表!$L$5:$L$3507,$L3056)&amp;"  ⇔  "&amp;INDEX(ポート振替表!$H$5:$H$3507,$L3056)&amp;" "&amp;INDEX(ポート振替表!$I$5:$I$3507,$L3056))</f>
        <v/>
      </c>
      <c r="G3056" s="57" t="s">
        <v>158</v>
      </c>
      <c r="H3056" s="32" t="str">
        <f aca="false">IF(L3056="","",INDEX(ポート振替表!$N$5:$N$3507,$L3056)&amp;"")</f>
        <v/>
      </c>
      <c r="I3056" s="32" t="str">
        <f aca="false">IF(L3056="","",INDEX(ポート振替表!$P$5:$P$3507,$L3056)&amp;"")</f>
        <v/>
      </c>
      <c r="J3056" s="60" t="str">
        <f aca="false">IF(L3056="","",INDEX(ポート振替表!$M$5:$M$3507,$L3056)&amp;"")</f>
        <v/>
      </c>
      <c r="K3056" s="52" t="str">
        <f aca="false">IF(L3056="","",E3056&amp;CHAR(10)&amp;INDEX(ポート振替表!$K$5:$K$3507,$L3056)&amp;" "&amp;INDEX(ポート振替表!$L$5:$L$3507,$L3056)&amp;CHAR(10)&amp;"⇔ "&amp;INDEX(ポート振替表!$H$5:$H$3507,$L3056)&amp;" "&amp;INDEX(ポート振替表!$I$5:$I$3507,$L3056))</f>
        <v/>
      </c>
      <c r="L3056" s="47" t="str">
        <f aca="false">IFERROR(MATCH(ROW()-4,ポート振替表!$V$5:$V$3507,0),"")</f>
        <v/>
      </c>
    </row>
    <row r="3057" customFormat="false" ht="16.4" hidden="false" customHeight="false" outlineLevel="0" collapsed="false">
      <c r="A3057" s="32" t="str">
        <f aca="false">IF(L3057="","",ROW()-4)</f>
        <v/>
      </c>
      <c r="B3057" s="58" t="str">
        <f aca="false">IF(L3057="","",IF(INDEX(ポート振替表!$W$5:$W$3507,$L3057)="","(なし)",INDEX(ポート振替表!$W$5:$W$3507,$L3057)&amp;""))</f>
        <v/>
      </c>
      <c r="C3057" s="52" t="str">
        <f aca="false">IF(L3057="","",INDEX(ポート振替表!$B$5:$B$3507,$L3057)&amp;" "&amp;INDEX(ポート振替表!$C$5:$C$3507,$L3057)&amp;"  ⇔  "&amp;INDEX(ポート振替表!$H$5:$H$3507,$L3057)&amp;" "&amp;INDEX(ポート振替表!$I$5:$I$3507,$L3057))</f>
        <v/>
      </c>
      <c r="D3057" s="57" t="s">
        <v>158</v>
      </c>
      <c r="E3057" s="59" t="str">
        <f aca="false">IF(L3057="","",IF(INDEX(ポート振替表!$O$5:$O$3507,$L3057)="","(未設定)",INDEX(ポート振替表!$O$5:$O$3507,$L3057)&amp;""))</f>
        <v/>
      </c>
      <c r="F3057" s="52" t="str">
        <f aca="false">IF(L3057="","",INDEX(ポート振替表!$K$5:$K$3507,$L3057)&amp;" "&amp;INDEX(ポート振替表!$L$5:$L$3507,$L3057)&amp;"  ⇔  "&amp;INDEX(ポート振替表!$H$5:$H$3507,$L3057)&amp;" "&amp;INDEX(ポート振替表!$I$5:$I$3507,$L3057))</f>
        <v/>
      </c>
      <c r="G3057" s="57" t="s">
        <v>158</v>
      </c>
      <c r="H3057" s="32" t="str">
        <f aca="false">IF(L3057="","",INDEX(ポート振替表!$N$5:$N$3507,$L3057)&amp;"")</f>
        <v/>
      </c>
      <c r="I3057" s="32" t="str">
        <f aca="false">IF(L3057="","",INDEX(ポート振替表!$P$5:$P$3507,$L3057)&amp;"")</f>
        <v/>
      </c>
      <c r="J3057" s="60" t="str">
        <f aca="false">IF(L3057="","",INDEX(ポート振替表!$M$5:$M$3507,$L3057)&amp;"")</f>
        <v/>
      </c>
      <c r="K3057" s="52" t="str">
        <f aca="false">IF(L3057="","",E3057&amp;CHAR(10)&amp;INDEX(ポート振替表!$K$5:$K$3507,$L3057)&amp;" "&amp;INDEX(ポート振替表!$L$5:$L$3507,$L3057)&amp;CHAR(10)&amp;"⇔ "&amp;INDEX(ポート振替表!$H$5:$H$3507,$L3057)&amp;" "&amp;INDEX(ポート振替表!$I$5:$I$3507,$L3057))</f>
        <v/>
      </c>
      <c r="L3057" s="47" t="str">
        <f aca="false">IFERROR(MATCH(ROW()-4,ポート振替表!$V$5:$V$3507,0),"")</f>
        <v/>
      </c>
    </row>
    <row r="3058" customFormat="false" ht="16.4" hidden="false" customHeight="false" outlineLevel="0" collapsed="false">
      <c r="A3058" s="32" t="str">
        <f aca="false">IF(L3058="","",ROW()-4)</f>
        <v/>
      </c>
      <c r="B3058" s="58" t="str">
        <f aca="false">IF(L3058="","",IF(INDEX(ポート振替表!$W$5:$W$3507,$L3058)="","(なし)",INDEX(ポート振替表!$W$5:$W$3507,$L3058)&amp;""))</f>
        <v/>
      </c>
      <c r="C3058" s="52" t="str">
        <f aca="false">IF(L3058="","",INDEX(ポート振替表!$B$5:$B$3507,$L3058)&amp;" "&amp;INDEX(ポート振替表!$C$5:$C$3507,$L3058)&amp;"  ⇔  "&amp;INDEX(ポート振替表!$H$5:$H$3507,$L3058)&amp;" "&amp;INDEX(ポート振替表!$I$5:$I$3507,$L3058))</f>
        <v/>
      </c>
      <c r="D3058" s="57" t="s">
        <v>158</v>
      </c>
      <c r="E3058" s="59" t="str">
        <f aca="false">IF(L3058="","",IF(INDEX(ポート振替表!$O$5:$O$3507,$L3058)="","(未設定)",INDEX(ポート振替表!$O$5:$O$3507,$L3058)&amp;""))</f>
        <v/>
      </c>
      <c r="F3058" s="52" t="str">
        <f aca="false">IF(L3058="","",INDEX(ポート振替表!$K$5:$K$3507,$L3058)&amp;" "&amp;INDEX(ポート振替表!$L$5:$L$3507,$L3058)&amp;"  ⇔  "&amp;INDEX(ポート振替表!$H$5:$H$3507,$L3058)&amp;" "&amp;INDEX(ポート振替表!$I$5:$I$3507,$L3058))</f>
        <v/>
      </c>
      <c r="G3058" s="57" t="s">
        <v>158</v>
      </c>
      <c r="H3058" s="32" t="str">
        <f aca="false">IF(L3058="","",INDEX(ポート振替表!$N$5:$N$3507,$L3058)&amp;"")</f>
        <v/>
      </c>
      <c r="I3058" s="32" t="str">
        <f aca="false">IF(L3058="","",INDEX(ポート振替表!$P$5:$P$3507,$L3058)&amp;"")</f>
        <v/>
      </c>
      <c r="J3058" s="60" t="str">
        <f aca="false">IF(L3058="","",INDEX(ポート振替表!$M$5:$M$3507,$L3058)&amp;"")</f>
        <v/>
      </c>
      <c r="K3058" s="52" t="str">
        <f aca="false">IF(L3058="","",E3058&amp;CHAR(10)&amp;INDEX(ポート振替表!$K$5:$K$3507,$L3058)&amp;" "&amp;INDEX(ポート振替表!$L$5:$L$3507,$L3058)&amp;CHAR(10)&amp;"⇔ "&amp;INDEX(ポート振替表!$H$5:$H$3507,$L3058)&amp;" "&amp;INDEX(ポート振替表!$I$5:$I$3507,$L3058))</f>
        <v/>
      </c>
      <c r="L3058" s="47" t="str">
        <f aca="false">IFERROR(MATCH(ROW()-4,ポート振替表!$V$5:$V$3507,0),"")</f>
        <v/>
      </c>
    </row>
    <row r="3059" customFormat="false" ht="16.4" hidden="false" customHeight="false" outlineLevel="0" collapsed="false">
      <c r="A3059" s="32" t="str">
        <f aca="false">IF(L3059="","",ROW()-4)</f>
        <v/>
      </c>
      <c r="B3059" s="58" t="str">
        <f aca="false">IF(L3059="","",IF(INDEX(ポート振替表!$W$5:$W$3507,$L3059)="","(なし)",INDEX(ポート振替表!$W$5:$W$3507,$L3059)&amp;""))</f>
        <v/>
      </c>
      <c r="C3059" s="52" t="str">
        <f aca="false">IF(L3059="","",INDEX(ポート振替表!$B$5:$B$3507,$L3059)&amp;" "&amp;INDEX(ポート振替表!$C$5:$C$3507,$L3059)&amp;"  ⇔  "&amp;INDEX(ポート振替表!$H$5:$H$3507,$L3059)&amp;" "&amp;INDEX(ポート振替表!$I$5:$I$3507,$L3059))</f>
        <v/>
      </c>
      <c r="D3059" s="57" t="s">
        <v>158</v>
      </c>
      <c r="E3059" s="59" t="str">
        <f aca="false">IF(L3059="","",IF(INDEX(ポート振替表!$O$5:$O$3507,$L3059)="","(未設定)",INDEX(ポート振替表!$O$5:$O$3507,$L3059)&amp;""))</f>
        <v/>
      </c>
      <c r="F3059" s="52" t="str">
        <f aca="false">IF(L3059="","",INDEX(ポート振替表!$K$5:$K$3507,$L3059)&amp;" "&amp;INDEX(ポート振替表!$L$5:$L$3507,$L3059)&amp;"  ⇔  "&amp;INDEX(ポート振替表!$H$5:$H$3507,$L3059)&amp;" "&amp;INDEX(ポート振替表!$I$5:$I$3507,$L3059))</f>
        <v/>
      </c>
      <c r="G3059" s="57" t="s">
        <v>158</v>
      </c>
      <c r="H3059" s="32" t="str">
        <f aca="false">IF(L3059="","",INDEX(ポート振替表!$N$5:$N$3507,$L3059)&amp;"")</f>
        <v/>
      </c>
      <c r="I3059" s="32" t="str">
        <f aca="false">IF(L3059="","",INDEX(ポート振替表!$P$5:$P$3507,$L3059)&amp;"")</f>
        <v/>
      </c>
      <c r="J3059" s="60" t="str">
        <f aca="false">IF(L3059="","",INDEX(ポート振替表!$M$5:$M$3507,$L3059)&amp;"")</f>
        <v/>
      </c>
      <c r="K3059" s="52" t="str">
        <f aca="false">IF(L3059="","",E3059&amp;CHAR(10)&amp;INDEX(ポート振替表!$K$5:$K$3507,$L3059)&amp;" "&amp;INDEX(ポート振替表!$L$5:$L$3507,$L3059)&amp;CHAR(10)&amp;"⇔ "&amp;INDEX(ポート振替表!$H$5:$H$3507,$L3059)&amp;" "&amp;INDEX(ポート振替表!$I$5:$I$3507,$L3059))</f>
        <v/>
      </c>
      <c r="L3059" s="47" t="str">
        <f aca="false">IFERROR(MATCH(ROW()-4,ポート振替表!$V$5:$V$3507,0),"")</f>
        <v/>
      </c>
    </row>
    <row r="3060" customFormat="false" ht="16.4" hidden="false" customHeight="false" outlineLevel="0" collapsed="false">
      <c r="A3060" s="32" t="str">
        <f aca="false">IF(L3060="","",ROW()-4)</f>
        <v/>
      </c>
      <c r="B3060" s="58" t="str">
        <f aca="false">IF(L3060="","",IF(INDEX(ポート振替表!$W$5:$W$3507,$L3060)="","(なし)",INDEX(ポート振替表!$W$5:$W$3507,$L3060)&amp;""))</f>
        <v/>
      </c>
      <c r="C3060" s="52" t="str">
        <f aca="false">IF(L3060="","",INDEX(ポート振替表!$B$5:$B$3507,$L3060)&amp;" "&amp;INDEX(ポート振替表!$C$5:$C$3507,$L3060)&amp;"  ⇔  "&amp;INDEX(ポート振替表!$H$5:$H$3507,$L3060)&amp;" "&amp;INDEX(ポート振替表!$I$5:$I$3507,$L3060))</f>
        <v/>
      </c>
      <c r="D3060" s="57" t="s">
        <v>158</v>
      </c>
      <c r="E3060" s="59" t="str">
        <f aca="false">IF(L3060="","",IF(INDEX(ポート振替表!$O$5:$O$3507,$L3060)="","(未設定)",INDEX(ポート振替表!$O$5:$O$3507,$L3060)&amp;""))</f>
        <v/>
      </c>
      <c r="F3060" s="52" t="str">
        <f aca="false">IF(L3060="","",INDEX(ポート振替表!$K$5:$K$3507,$L3060)&amp;" "&amp;INDEX(ポート振替表!$L$5:$L$3507,$L3060)&amp;"  ⇔  "&amp;INDEX(ポート振替表!$H$5:$H$3507,$L3060)&amp;" "&amp;INDEX(ポート振替表!$I$5:$I$3507,$L3060))</f>
        <v/>
      </c>
      <c r="G3060" s="57" t="s">
        <v>158</v>
      </c>
      <c r="H3060" s="32" t="str">
        <f aca="false">IF(L3060="","",INDEX(ポート振替表!$N$5:$N$3507,$L3060)&amp;"")</f>
        <v/>
      </c>
      <c r="I3060" s="32" t="str">
        <f aca="false">IF(L3060="","",INDEX(ポート振替表!$P$5:$P$3507,$L3060)&amp;"")</f>
        <v/>
      </c>
      <c r="J3060" s="60" t="str">
        <f aca="false">IF(L3060="","",INDEX(ポート振替表!$M$5:$M$3507,$L3060)&amp;"")</f>
        <v/>
      </c>
      <c r="K3060" s="52" t="str">
        <f aca="false">IF(L3060="","",E3060&amp;CHAR(10)&amp;INDEX(ポート振替表!$K$5:$K$3507,$L3060)&amp;" "&amp;INDEX(ポート振替表!$L$5:$L$3507,$L3060)&amp;CHAR(10)&amp;"⇔ "&amp;INDEX(ポート振替表!$H$5:$H$3507,$L3060)&amp;" "&amp;INDEX(ポート振替表!$I$5:$I$3507,$L3060))</f>
        <v/>
      </c>
      <c r="L3060" s="47" t="str">
        <f aca="false">IFERROR(MATCH(ROW()-4,ポート振替表!$V$5:$V$3507,0),"")</f>
        <v/>
      </c>
    </row>
    <row r="3061" customFormat="false" ht="16.4" hidden="false" customHeight="false" outlineLevel="0" collapsed="false">
      <c r="A3061" s="32" t="str">
        <f aca="false">IF(L3061="","",ROW()-4)</f>
        <v/>
      </c>
      <c r="B3061" s="58" t="str">
        <f aca="false">IF(L3061="","",IF(INDEX(ポート振替表!$W$5:$W$3507,$L3061)="","(なし)",INDEX(ポート振替表!$W$5:$W$3507,$L3061)&amp;""))</f>
        <v/>
      </c>
      <c r="C3061" s="52" t="str">
        <f aca="false">IF(L3061="","",INDEX(ポート振替表!$B$5:$B$3507,$L3061)&amp;" "&amp;INDEX(ポート振替表!$C$5:$C$3507,$L3061)&amp;"  ⇔  "&amp;INDEX(ポート振替表!$H$5:$H$3507,$L3061)&amp;" "&amp;INDEX(ポート振替表!$I$5:$I$3507,$L3061))</f>
        <v/>
      </c>
      <c r="D3061" s="57" t="s">
        <v>158</v>
      </c>
      <c r="E3061" s="59" t="str">
        <f aca="false">IF(L3061="","",IF(INDEX(ポート振替表!$O$5:$O$3507,$L3061)="","(未設定)",INDEX(ポート振替表!$O$5:$O$3507,$L3061)&amp;""))</f>
        <v/>
      </c>
      <c r="F3061" s="52" t="str">
        <f aca="false">IF(L3061="","",INDEX(ポート振替表!$K$5:$K$3507,$L3061)&amp;" "&amp;INDEX(ポート振替表!$L$5:$L$3507,$L3061)&amp;"  ⇔  "&amp;INDEX(ポート振替表!$H$5:$H$3507,$L3061)&amp;" "&amp;INDEX(ポート振替表!$I$5:$I$3507,$L3061))</f>
        <v/>
      </c>
      <c r="G3061" s="57" t="s">
        <v>158</v>
      </c>
      <c r="H3061" s="32" t="str">
        <f aca="false">IF(L3061="","",INDEX(ポート振替表!$N$5:$N$3507,$L3061)&amp;"")</f>
        <v/>
      </c>
      <c r="I3061" s="32" t="str">
        <f aca="false">IF(L3061="","",INDEX(ポート振替表!$P$5:$P$3507,$L3061)&amp;"")</f>
        <v/>
      </c>
      <c r="J3061" s="60" t="str">
        <f aca="false">IF(L3061="","",INDEX(ポート振替表!$M$5:$M$3507,$L3061)&amp;"")</f>
        <v/>
      </c>
      <c r="K3061" s="52" t="str">
        <f aca="false">IF(L3061="","",E3061&amp;CHAR(10)&amp;INDEX(ポート振替表!$K$5:$K$3507,$L3061)&amp;" "&amp;INDEX(ポート振替表!$L$5:$L$3507,$L3061)&amp;CHAR(10)&amp;"⇔ "&amp;INDEX(ポート振替表!$H$5:$H$3507,$L3061)&amp;" "&amp;INDEX(ポート振替表!$I$5:$I$3507,$L3061))</f>
        <v/>
      </c>
      <c r="L3061" s="47" t="str">
        <f aca="false">IFERROR(MATCH(ROW()-4,ポート振替表!$V$5:$V$3507,0),"")</f>
        <v/>
      </c>
    </row>
    <row r="3062" customFormat="false" ht="16.4" hidden="false" customHeight="false" outlineLevel="0" collapsed="false">
      <c r="A3062" s="32" t="str">
        <f aca="false">IF(L3062="","",ROW()-4)</f>
        <v/>
      </c>
      <c r="B3062" s="58" t="str">
        <f aca="false">IF(L3062="","",IF(INDEX(ポート振替表!$W$5:$W$3507,$L3062)="","(なし)",INDEX(ポート振替表!$W$5:$W$3507,$L3062)&amp;""))</f>
        <v/>
      </c>
      <c r="C3062" s="52" t="str">
        <f aca="false">IF(L3062="","",INDEX(ポート振替表!$B$5:$B$3507,$L3062)&amp;" "&amp;INDEX(ポート振替表!$C$5:$C$3507,$L3062)&amp;"  ⇔  "&amp;INDEX(ポート振替表!$H$5:$H$3507,$L3062)&amp;" "&amp;INDEX(ポート振替表!$I$5:$I$3507,$L3062))</f>
        <v/>
      </c>
      <c r="D3062" s="57" t="s">
        <v>158</v>
      </c>
      <c r="E3062" s="59" t="str">
        <f aca="false">IF(L3062="","",IF(INDEX(ポート振替表!$O$5:$O$3507,$L3062)="","(未設定)",INDEX(ポート振替表!$O$5:$O$3507,$L3062)&amp;""))</f>
        <v/>
      </c>
      <c r="F3062" s="52" t="str">
        <f aca="false">IF(L3062="","",INDEX(ポート振替表!$K$5:$K$3507,$L3062)&amp;" "&amp;INDEX(ポート振替表!$L$5:$L$3507,$L3062)&amp;"  ⇔  "&amp;INDEX(ポート振替表!$H$5:$H$3507,$L3062)&amp;" "&amp;INDEX(ポート振替表!$I$5:$I$3507,$L3062))</f>
        <v/>
      </c>
      <c r="G3062" s="57" t="s">
        <v>158</v>
      </c>
      <c r="H3062" s="32" t="str">
        <f aca="false">IF(L3062="","",INDEX(ポート振替表!$N$5:$N$3507,$L3062)&amp;"")</f>
        <v/>
      </c>
      <c r="I3062" s="32" t="str">
        <f aca="false">IF(L3062="","",INDEX(ポート振替表!$P$5:$P$3507,$L3062)&amp;"")</f>
        <v/>
      </c>
      <c r="J3062" s="60" t="str">
        <f aca="false">IF(L3062="","",INDEX(ポート振替表!$M$5:$M$3507,$L3062)&amp;"")</f>
        <v/>
      </c>
      <c r="K3062" s="52" t="str">
        <f aca="false">IF(L3062="","",E3062&amp;CHAR(10)&amp;INDEX(ポート振替表!$K$5:$K$3507,$L3062)&amp;" "&amp;INDEX(ポート振替表!$L$5:$L$3507,$L3062)&amp;CHAR(10)&amp;"⇔ "&amp;INDEX(ポート振替表!$H$5:$H$3507,$L3062)&amp;" "&amp;INDEX(ポート振替表!$I$5:$I$3507,$L3062))</f>
        <v/>
      </c>
      <c r="L3062" s="47" t="str">
        <f aca="false">IFERROR(MATCH(ROW()-4,ポート振替表!$V$5:$V$3507,0),"")</f>
        <v/>
      </c>
    </row>
    <row r="3063" customFormat="false" ht="16.4" hidden="false" customHeight="false" outlineLevel="0" collapsed="false">
      <c r="A3063" s="32" t="str">
        <f aca="false">IF(L3063="","",ROW()-4)</f>
        <v/>
      </c>
      <c r="B3063" s="58" t="str">
        <f aca="false">IF(L3063="","",IF(INDEX(ポート振替表!$W$5:$W$3507,$L3063)="","(なし)",INDEX(ポート振替表!$W$5:$W$3507,$L3063)&amp;""))</f>
        <v/>
      </c>
      <c r="C3063" s="52" t="str">
        <f aca="false">IF(L3063="","",INDEX(ポート振替表!$B$5:$B$3507,$L3063)&amp;" "&amp;INDEX(ポート振替表!$C$5:$C$3507,$L3063)&amp;"  ⇔  "&amp;INDEX(ポート振替表!$H$5:$H$3507,$L3063)&amp;" "&amp;INDEX(ポート振替表!$I$5:$I$3507,$L3063))</f>
        <v/>
      </c>
      <c r="D3063" s="57" t="s">
        <v>158</v>
      </c>
      <c r="E3063" s="59" t="str">
        <f aca="false">IF(L3063="","",IF(INDEX(ポート振替表!$O$5:$O$3507,$L3063)="","(未設定)",INDEX(ポート振替表!$O$5:$O$3507,$L3063)&amp;""))</f>
        <v/>
      </c>
      <c r="F3063" s="52" t="str">
        <f aca="false">IF(L3063="","",INDEX(ポート振替表!$K$5:$K$3507,$L3063)&amp;" "&amp;INDEX(ポート振替表!$L$5:$L$3507,$L3063)&amp;"  ⇔  "&amp;INDEX(ポート振替表!$H$5:$H$3507,$L3063)&amp;" "&amp;INDEX(ポート振替表!$I$5:$I$3507,$L3063))</f>
        <v/>
      </c>
      <c r="G3063" s="57" t="s">
        <v>158</v>
      </c>
      <c r="H3063" s="32" t="str">
        <f aca="false">IF(L3063="","",INDEX(ポート振替表!$N$5:$N$3507,$L3063)&amp;"")</f>
        <v/>
      </c>
      <c r="I3063" s="32" t="str">
        <f aca="false">IF(L3063="","",INDEX(ポート振替表!$P$5:$P$3507,$L3063)&amp;"")</f>
        <v/>
      </c>
      <c r="J3063" s="60" t="str">
        <f aca="false">IF(L3063="","",INDEX(ポート振替表!$M$5:$M$3507,$L3063)&amp;"")</f>
        <v/>
      </c>
      <c r="K3063" s="52" t="str">
        <f aca="false">IF(L3063="","",E3063&amp;CHAR(10)&amp;INDEX(ポート振替表!$K$5:$K$3507,$L3063)&amp;" "&amp;INDEX(ポート振替表!$L$5:$L$3507,$L3063)&amp;CHAR(10)&amp;"⇔ "&amp;INDEX(ポート振替表!$H$5:$H$3507,$L3063)&amp;" "&amp;INDEX(ポート振替表!$I$5:$I$3507,$L3063))</f>
        <v/>
      </c>
      <c r="L3063" s="47" t="str">
        <f aca="false">IFERROR(MATCH(ROW()-4,ポート振替表!$V$5:$V$3507,0),"")</f>
        <v/>
      </c>
    </row>
    <row r="3064" customFormat="false" ht="16.4" hidden="false" customHeight="false" outlineLevel="0" collapsed="false">
      <c r="A3064" s="32" t="str">
        <f aca="false">IF(L3064="","",ROW()-4)</f>
        <v/>
      </c>
      <c r="B3064" s="58" t="str">
        <f aca="false">IF(L3064="","",IF(INDEX(ポート振替表!$W$5:$W$3507,$L3064)="","(なし)",INDEX(ポート振替表!$W$5:$W$3507,$L3064)&amp;""))</f>
        <v/>
      </c>
      <c r="C3064" s="52" t="str">
        <f aca="false">IF(L3064="","",INDEX(ポート振替表!$B$5:$B$3507,$L3064)&amp;" "&amp;INDEX(ポート振替表!$C$5:$C$3507,$L3064)&amp;"  ⇔  "&amp;INDEX(ポート振替表!$H$5:$H$3507,$L3064)&amp;" "&amp;INDEX(ポート振替表!$I$5:$I$3507,$L3064))</f>
        <v/>
      </c>
      <c r="D3064" s="57" t="s">
        <v>158</v>
      </c>
      <c r="E3064" s="59" t="str">
        <f aca="false">IF(L3064="","",IF(INDEX(ポート振替表!$O$5:$O$3507,$L3064)="","(未設定)",INDEX(ポート振替表!$O$5:$O$3507,$L3064)&amp;""))</f>
        <v/>
      </c>
      <c r="F3064" s="52" t="str">
        <f aca="false">IF(L3064="","",INDEX(ポート振替表!$K$5:$K$3507,$L3064)&amp;" "&amp;INDEX(ポート振替表!$L$5:$L$3507,$L3064)&amp;"  ⇔  "&amp;INDEX(ポート振替表!$H$5:$H$3507,$L3064)&amp;" "&amp;INDEX(ポート振替表!$I$5:$I$3507,$L3064))</f>
        <v/>
      </c>
      <c r="G3064" s="57" t="s">
        <v>158</v>
      </c>
      <c r="H3064" s="32" t="str">
        <f aca="false">IF(L3064="","",INDEX(ポート振替表!$N$5:$N$3507,$L3064)&amp;"")</f>
        <v/>
      </c>
      <c r="I3064" s="32" t="str">
        <f aca="false">IF(L3064="","",INDEX(ポート振替表!$P$5:$P$3507,$L3064)&amp;"")</f>
        <v/>
      </c>
      <c r="J3064" s="60" t="str">
        <f aca="false">IF(L3064="","",INDEX(ポート振替表!$M$5:$M$3507,$L3064)&amp;"")</f>
        <v/>
      </c>
      <c r="K3064" s="52" t="str">
        <f aca="false">IF(L3064="","",E3064&amp;CHAR(10)&amp;INDEX(ポート振替表!$K$5:$K$3507,$L3064)&amp;" "&amp;INDEX(ポート振替表!$L$5:$L$3507,$L3064)&amp;CHAR(10)&amp;"⇔ "&amp;INDEX(ポート振替表!$H$5:$H$3507,$L3064)&amp;" "&amp;INDEX(ポート振替表!$I$5:$I$3507,$L3064))</f>
        <v/>
      </c>
      <c r="L3064" s="47" t="str">
        <f aca="false">IFERROR(MATCH(ROW()-4,ポート振替表!$V$5:$V$3507,0),"")</f>
        <v/>
      </c>
    </row>
    <row r="3065" customFormat="false" ht="16.4" hidden="false" customHeight="false" outlineLevel="0" collapsed="false">
      <c r="A3065" s="32" t="str">
        <f aca="false">IF(L3065="","",ROW()-4)</f>
        <v/>
      </c>
      <c r="B3065" s="58" t="str">
        <f aca="false">IF(L3065="","",IF(INDEX(ポート振替表!$W$5:$W$3507,$L3065)="","(なし)",INDEX(ポート振替表!$W$5:$W$3507,$L3065)&amp;""))</f>
        <v/>
      </c>
      <c r="C3065" s="52" t="str">
        <f aca="false">IF(L3065="","",INDEX(ポート振替表!$B$5:$B$3507,$L3065)&amp;" "&amp;INDEX(ポート振替表!$C$5:$C$3507,$L3065)&amp;"  ⇔  "&amp;INDEX(ポート振替表!$H$5:$H$3507,$L3065)&amp;" "&amp;INDEX(ポート振替表!$I$5:$I$3507,$L3065))</f>
        <v/>
      </c>
      <c r="D3065" s="57" t="s">
        <v>158</v>
      </c>
      <c r="E3065" s="59" t="str">
        <f aca="false">IF(L3065="","",IF(INDEX(ポート振替表!$O$5:$O$3507,$L3065)="","(未設定)",INDEX(ポート振替表!$O$5:$O$3507,$L3065)&amp;""))</f>
        <v/>
      </c>
      <c r="F3065" s="52" t="str">
        <f aca="false">IF(L3065="","",INDEX(ポート振替表!$K$5:$K$3507,$L3065)&amp;" "&amp;INDEX(ポート振替表!$L$5:$L$3507,$L3065)&amp;"  ⇔  "&amp;INDEX(ポート振替表!$H$5:$H$3507,$L3065)&amp;" "&amp;INDEX(ポート振替表!$I$5:$I$3507,$L3065))</f>
        <v/>
      </c>
      <c r="G3065" s="57" t="s">
        <v>158</v>
      </c>
      <c r="H3065" s="32" t="str">
        <f aca="false">IF(L3065="","",INDEX(ポート振替表!$N$5:$N$3507,$L3065)&amp;"")</f>
        <v/>
      </c>
      <c r="I3065" s="32" t="str">
        <f aca="false">IF(L3065="","",INDEX(ポート振替表!$P$5:$P$3507,$L3065)&amp;"")</f>
        <v/>
      </c>
      <c r="J3065" s="60" t="str">
        <f aca="false">IF(L3065="","",INDEX(ポート振替表!$M$5:$M$3507,$L3065)&amp;"")</f>
        <v/>
      </c>
      <c r="K3065" s="52" t="str">
        <f aca="false">IF(L3065="","",E3065&amp;CHAR(10)&amp;INDEX(ポート振替表!$K$5:$K$3507,$L3065)&amp;" "&amp;INDEX(ポート振替表!$L$5:$L$3507,$L3065)&amp;CHAR(10)&amp;"⇔ "&amp;INDEX(ポート振替表!$H$5:$H$3507,$L3065)&amp;" "&amp;INDEX(ポート振替表!$I$5:$I$3507,$L3065))</f>
        <v/>
      </c>
      <c r="L3065" s="47" t="str">
        <f aca="false">IFERROR(MATCH(ROW()-4,ポート振替表!$V$5:$V$3507,0),"")</f>
        <v/>
      </c>
    </row>
    <row r="3066" customFormat="false" ht="16.4" hidden="false" customHeight="false" outlineLevel="0" collapsed="false">
      <c r="A3066" s="32" t="str">
        <f aca="false">IF(L3066="","",ROW()-4)</f>
        <v/>
      </c>
      <c r="B3066" s="58" t="str">
        <f aca="false">IF(L3066="","",IF(INDEX(ポート振替表!$W$5:$W$3507,$L3066)="","(なし)",INDEX(ポート振替表!$W$5:$W$3507,$L3066)&amp;""))</f>
        <v/>
      </c>
      <c r="C3066" s="52" t="str">
        <f aca="false">IF(L3066="","",INDEX(ポート振替表!$B$5:$B$3507,$L3066)&amp;" "&amp;INDEX(ポート振替表!$C$5:$C$3507,$L3066)&amp;"  ⇔  "&amp;INDEX(ポート振替表!$H$5:$H$3507,$L3066)&amp;" "&amp;INDEX(ポート振替表!$I$5:$I$3507,$L3066))</f>
        <v/>
      </c>
      <c r="D3066" s="57" t="s">
        <v>158</v>
      </c>
      <c r="E3066" s="59" t="str">
        <f aca="false">IF(L3066="","",IF(INDEX(ポート振替表!$O$5:$O$3507,$L3066)="","(未設定)",INDEX(ポート振替表!$O$5:$O$3507,$L3066)&amp;""))</f>
        <v/>
      </c>
      <c r="F3066" s="52" t="str">
        <f aca="false">IF(L3066="","",INDEX(ポート振替表!$K$5:$K$3507,$L3066)&amp;" "&amp;INDEX(ポート振替表!$L$5:$L$3507,$L3066)&amp;"  ⇔  "&amp;INDEX(ポート振替表!$H$5:$H$3507,$L3066)&amp;" "&amp;INDEX(ポート振替表!$I$5:$I$3507,$L3066))</f>
        <v/>
      </c>
      <c r="G3066" s="57" t="s">
        <v>158</v>
      </c>
      <c r="H3066" s="32" t="str">
        <f aca="false">IF(L3066="","",INDEX(ポート振替表!$N$5:$N$3507,$L3066)&amp;"")</f>
        <v/>
      </c>
      <c r="I3066" s="32" t="str">
        <f aca="false">IF(L3066="","",INDEX(ポート振替表!$P$5:$P$3507,$L3066)&amp;"")</f>
        <v/>
      </c>
      <c r="J3066" s="60" t="str">
        <f aca="false">IF(L3066="","",INDEX(ポート振替表!$M$5:$M$3507,$L3066)&amp;"")</f>
        <v/>
      </c>
      <c r="K3066" s="52" t="str">
        <f aca="false">IF(L3066="","",E3066&amp;CHAR(10)&amp;INDEX(ポート振替表!$K$5:$K$3507,$L3066)&amp;" "&amp;INDEX(ポート振替表!$L$5:$L$3507,$L3066)&amp;CHAR(10)&amp;"⇔ "&amp;INDEX(ポート振替表!$H$5:$H$3507,$L3066)&amp;" "&amp;INDEX(ポート振替表!$I$5:$I$3507,$L3066))</f>
        <v/>
      </c>
      <c r="L3066" s="47" t="str">
        <f aca="false">IFERROR(MATCH(ROW()-4,ポート振替表!$V$5:$V$3507,0),"")</f>
        <v/>
      </c>
    </row>
    <row r="3067" customFormat="false" ht="16.4" hidden="false" customHeight="false" outlineLevel="0" collapsed="false">
      <c r="A3067" s="32" t="str">
        <f aca="false">IF(L3067="","",ROW()-4)</f>
        <v/>
      </c>
      <c r="B3067" s="58" t="str">
        <f aca="false">IF(L3067="","",IF(INDEX(ポート振替表!$W$5:$W$3507,$L3067)="","(なし)",INDEX(ポート振替表!$W$5:$W$3507,$L3067)&amp;""))</f>
        <v/>
      </c>
      <c r="C3067" s="52" t="str">
        <f aca="false">IF(L3067="","",INDEX(ポート振替表!$B$5:$B$3507,$L3067)&amp;" "&amp;INDEX(ポート振替表!$C$5:$C$3507,$L3067)&amp;"  ⇔  "&amp;INDEX(ポート振替表!$H$5:$H$3507,$L3067)&amp;" "&amp;INDEX(ポート振替表!$I$5:$I$3507,$L3067))</f>
        <v/>
      </c>
      <c r="D3067" s="57" t="s">
        <v>158</v>
      </c>
      <c r="E3067" s="59" t="str">
        <f aca="false">IF(L3067="","",IF(INDEX(ポート振替表!$O$5:$O$3507,$L3067)="","(未設定)",INDEX(ポート振替表!$O$5:$O$3507,$L3067)&amp;""))</f>
        <v/>
      </c>
      <c r="F3067" s="52" t="str">
        <f aca="false">IF(L3067="","",INDEX(ポート振替表!$K$5:$K$3507,$L3067)&amp;" "&amp;INDEX(ポート振替表!$L$5:$L$3507,$L3067)&amp;"  ⇔  "&amp;INDEX(ポート振替表!$H$5:$H$3507,$L3067)&amp;" "&amp;INDEX(ポート振替表!$I$5:$I$3507,$L3067))</f>
        <v/>
      </c>
      <c r="G3067" s="57" t="s">
        <v>158</v>
      </c>
      <c r="H3067" s="32" t="str">
        <f aca="false">IF(L3067="","",INDEX(ポート振替表!$N$5:$N$3507,$L3067)&amp;"")</f>
        <v/>
      </c>
      <c r="I3067" s="32" t="str">
        <f aca="false">IF(L3067="","",INDEX(ポート振替表!$P$5:$P$3507,$L3067)&amp;"")</f>
        <v/>
      </c>
      <c r="J3067" s="60" t="str">
        <f aca="false">IF(L3067="","",INDEX(ポート振替表!$M$5:$M$3507,$L3067)&amp;"")</f>
        <v/>
      </c>
      <c r="K3067" s="52" t="str">
        <f aca="false">IF(L3067="","",E3067&amp;CHAR(10)&amp;INDEX(ポート振替表!$K$5:$K$3507,$L3067)&amp;" "&amp;INDEX(ポート振替表!$L$5:$L$3507,$L3067)&amp;CHAR(10)&amp;"⇔ "&amp;INDEX(ポート振替表!$H$5:$H$3507,$L3067)&amp;" "&amp;INDEX(ポート振替表!$I$5:$I$3507,$L3067))</f>
        <v/>
      </c>
      <c r="L3067" s="47" t="str">
        <f aca="false">IFERROR(MATCH(ROW()-4,ポート振替表!$V$5:$V$3507,0),"")</f>
        <v/>
      </c>
    </row>
    <row r="3068" customFormat="false" ht="16.4" hidden="false" customHeight="false" outlineLevel="0" collapsed="false">
      <c r="A3068" s="32" t="str">
        <f aca="false">IF(L3068="","",ROW()-4)</f>
        <v/>
      </c>
      <c r="B3068" s="58" t="str">
        <f aca="false">IF(L3068="","",IF(INDEX(ポート振替表!$W$5:$W$3507,$L3068)="","(なし)",INDEX(ポート振替表!$W$5:$W$3507,$L3068)&amp;""))</f>
        <v/>
      </c>
      <c r="C3068" s="52" t="str">
        <f aca="false">IF(L3068="","",INDEX(ポート振替表!$B$5:$B$3507,$L3068)&amp;" "&amp;INDEX(ポート振替表!$C$5:$C$3507,$L3068)&amp;"  ⇔  "&amp;INDEX(ポート振替表!$H$5:$H$3507,$L3068)&amp;" "&amp;INDEX(ポート振替表!$I$5:$I$3507,$L3068))</f>
        <v/>
      </c>
      <c r="D3068" s="57" t="s">
        <v>158</v>
      </c>
      <c r="E3068" s="59" t="str">
        <f aca="false">IF(L3068="","",IF(INDEX(ポート振替表!$O$5:$O$3507,$L3068)="","(未設定)",INDEX(ポート振替表!$O$5:$O$3507,$L3068)&amp;""))</f>
        <v/>
      </c>
      <c r="F3068" s="52" t="str">
        <f aca="false">IF(L3068="","",INDEX(ポート振替表!$K$5:$K$3507,$L3068)&amp;" "&amp;INDEX(ポート振替表!$L$5:$L$3507,$L3068)&amp;"  ⇔  "&amp;INDEX(ポート振替表!$H$5:$H$3507,$L3068)&amp;" "&amp;INDEX(ポート振替表!$I$5:$I$3507,$L3068))</f>
        <v/>
      </c>
      <c r="G3068" s="57" t="s">
        <v>158</v>
      </c>
      <c r="H3068" s="32" t="str">
        <f aca="false">IF(L3068="","",INDEX(ポート振替表!$N$5:$N$3507,$L3068)&amp;"")</f>
        <v/>
      </c>
      <c r="I3068" s="32" t="str">
        <f aca="false">IF(L3068="","",INDEX(ポート振替表!$P$5:$P$3507,$L3068)&amp;"")</f>
        <v/>
      </c>
      <c r="J3068" s="60" t="str">
        <f aca="false">IF(L3068="","",INDEX(ポート振替表!$M$5:$M$3507,$L3068)&amp;"")</f>
        <v/>
      </c>
      <c r="K3068" s="52" t="str">
        <f aca="false">IF(L3068="","",E3068&amp;CHAR(10)&amp;INDEX(ポート振替表!$K$5:$K$3507,$L3068)&amp;" "&amp;INDEX(ポート振替表!$L$5:$L$3507,$L3068)&amp;CHAR(10)&amp;"⇔ "&amp;INDEX(ポート振替表!$H$5:$H$3507,$L3068)&amp;" "&amp;INDEX(ポート振替表!$I$5:$I$3507,$L3068))</f>
        <v/>
      </c>
      <c r="L3068" s="47" t="str">
        <f aca="false">IFERROR(MATCH(ROW()-4,ポート振替表!$V$5:$V$3507,0),"")</f>
        <v/>
      </c>
    </row>
    <row r="3069" customFormat="false" ht="16.4" hidden="false" customHeight="false" outlineLevel="0" collapsed="false">
      <c r="A3069" s="32" t="str">
        <f aca="false">IF(L3069="","",ROW()-4)</f>
        <v/>
      </c>
      <c r="B3069" s="58" t="str">
        <f aca="false">IF(L3069="","",IF(INDEX(ポート振替表!$W$5:$W$3507,$L3069)="","(なし)",INDEX(ポート振替表!$W$5:$W$3507,$L3069)&amp;""))</f>
        <v/>
      </c>
      <c r="C3069" s="52" t="str">
        <f aca="false">IF(L3069="","",INDEX(ポート振替表!$B$5:$B$3507,$L3069)&amp;" "&amp;INDEX(ポート振替表!$C$5:$C$3507,$L3069)&amp;"  ⇔  "&amp;INDEX(ポート振替表!$H$5:$H$3507,$L3069)&amp;" "&amp;INDEX(ポート振替表!$I$5:$I$3507,$L3069))</f>
        <v/>
      </c>
      <c r="D3069" s="57" t="s">
        <v>158</v>
      </c>
      <c r="E3069" s="59" t="str">
        <f aca="false">IF(L3069="","",IF(INDEX(ポート振替表!$O$5:$O$3507,$L3069)="","(未設定)",INDEX(ポート振替表!$O$5:$O$3507,$L3069)&amp;""))</f>
        <v/>
      </c>
      <c r="F3069" s="52" t="str">
        <f aca="false">IF(L3069="","",INDEX(ポート振替表!$K$5:$K$3507,$L3069)&amp;" "&amp;INDEX(ポート振替表!$L$5:$L$3507,$L3069)&amp;"  ⇔  "&amp;INDEX(ポート振替表!$H$5:$H$3507,$L3069)&amp;" "&amp;INDEX(ポート振替表!$I$5:$I$3507,$L3069))</f>
        <v/>
      </c>
      <c r="G3069" s="57" t="s">
        <v>158</v>
      </c>
      <c r="H3069" s="32" t="str">
        <f aca="false">IF(L3069="","",INDEX(ポート振替表!$N$5:$N$3507,$L3069)&amp;"")</f>
        <v/>
      </c>
      <c r="I3069" s="32" t="str">
        <f aca="false">IF(L3069="","",INDEX(ポート振替表!$P$5:$P$3507,$L3069)&amp;"")</f>
        <v/>
      </c>
      <c r="J3069" s="60" t="str">
        <f aca="false">IF(L3069="","",INDEX(ポート振替表!$M$5:$M$3507,$L3069)&amp;"")</f>
        <v/>
      </c>
      <c r="K3069" s="52" t="str">
        <f aca="false">IF(L3069="","",E3069&amp;CHAR(10)&amp;INDEX(ポート振替表!$K$5:$K$3507,$L3069)&amp;" "&amp;INDEX(ポート振替表!$L$5:$L$3507,$L3069)&amp;CHAR(10)&amp;"⇔ "&amp;INDEX(ポート振替表!$H$5:$H$3507,$L3069)&amp;" "&amp;INDEX(ポート振替表!$I$5:$I$3507,$L3069))</f>
        <v/>
      </c>
      <c r="L3069" s="47" t="str">
        <f aca="false">IFERROR(MATCH(ROW()-4,ポート振替表!$V$5:$V$3507,0),"")</f>
        <v/>
      </c>
    </row>
    <row r="3070" customFormat="false" ht="16.4" hidden="false" customHeight="false" outlineLevel="0" collapsed="false">
      <c r="A3070" s="32" t="str">
        <f aca="false">IF(L3070="","",ROW()-4)</f>
        <v/>
      </c>
      <c r="B3070" s="58" t="str">
        <f aca="false">IF(L3070="","",IF(INDEX(ポート振替表!$W$5:$W$3507,$L3070)="","(なし)",INDEX(ポート振替表!$W$5:$W$3507,$L3070)&amp;""))</f>
        <v/>
      </c>
      <c r="C3070" s="52" t="str">
        <f aca="false">IF(L3070="","",INDEX(ポート振替表!$B$5:$B$3507,$L3070)&amp;" "&amp;INDEX(ポート振替表!$C$5:$C$3507,$L3070)&amp;"  ⇔  "&amp;INDEX(ポート振替表!$H$5:$H$3507,$L3070)&amp;" "&amp;INDEX(ポート振替表!$I$5:$I$3507,$L3070))</f>
        <v/>
      </c>
      <c r="D3070" s="57" t="s">
        <v>158</v>
      </c>
      <c r="E3070" s="59" t="str">
        <f aca="false">IF(L3070="","",IF(INDEX(ポート振替表!$O$5:$O$3507,$L3070)="","(未設定)",INDEX(ポート振替表!$O$5:$O$3507,$L3070)&amp;""))</f>
        <v/>
      </c>
      <c r="F3070" s="52" t="str">
        <f aca="false">IF(L3070="","",INDEX(ポート振替表!$K$5:$K$3507,$L3070)&amp;" "&amp;INDEX(ポート振替表!$L$5:$L$3507,$L3070)&amp;"  ⇔  "&amp;INDEX(ポート振替表!$H$5:$H$3507,$L3070)&amp;" "&amp;INDEX(ポート振替表!$I$5:$I$3507,$L3070))</f>
        <v/>
      </c>
      <c r="G3070" s="57" t="s">
        <v>158</v>
      </c>
      <c r="H3070" s="32" t="str">
        <f aca="false">IF(L3070="","",INDEX(ポート振替表!$N$5:$N$3507,$L3070)&amp;"")</f>
        <v/>
      </c>
      <c r="I3070" s="32" t="str">
        <f aca="false">IF(L3070="","",INDEX(ポート振替表!$P$5:$P$3507,$L3070)&amp;"")</f>
        <v/>
      </c>
      <c r="J3070" s="60" t="str">
        <f aca="false">IF(L3070="","",INDEX(ポート振替表!$M$5:$M$3507,$L3070)&amp;"")</f>
        <v/>
      </c>
      <c r="K3070" s="52" t="str">
        <f aca="false">IF(L3070="","",E3070&amp;CHAR(10)&amp;INDEX(ポート振替表!$K$5:$K$3507,$L3070)&amp;" "&amp;INDEX(ポート振替表!$L$5:$L$3507,$L3070)&amp;CHAR(10)&amp;"⇔ "&amp;INDEX(ポート振替表!$H$5:$H$3507,$L3070)&amp;" "&amp;INDEX(ポート振替表!$I$5:$I$3507,$L3070))</f>
        <v/>
      </c>
      <c r="L3070" s="47" t="str">
        <f aca="false">IFERROR(MATCH(ROW()-4,ポート振替表!$V$5:$V$3507,0),"")</f>
        <v/>
      </c>
    </row>
    <row r="3071" customFormat="false" ht="16.4" hidden="false" customHeight="false" outlineLevel="0" collapsed="false">
      <c r="A3071" s="32" t="str">
        <f aca="false">IF(L3071="","",ROW()-4)</f>
        <v/>
      </c>
      <c r="B3071" s="58" t="str">
        <f aca="false">IF(L3071="","",IF(INDEX(ポート振替表!$W$5:$W$3507,$L3071)="","(なし)",INDEX(ポート振替表!$W$5:$W$3507,$L3071)&amp;""))</f>
        <v/>
      </c>
      <c r="C3071" s="52" t="str">
        <f aca="false">IF(L3071="","",INDEX(ポート振替表!$B$5:$B$3507,$L3071)&amp;" "&amp;INDEX(ポート振替表!$C$5:$C$3507,$L3071)&amp;"  ⇔  "&amp;INDEX(ポート振替表!$H$5:$H$3507,$L3071)&amp;" "&amp;INDEX(ポート振替表!$I$5:$I$3507,$L3071))</f>
        <v/>
      </c>
      <c r="D3071" s="57" t="s">
        <v>158</v>
      </c>
      <c r="E3071" s="59" t="str">
        <f aca="false">IF(L3071="","",IF(INDEX(ポート振替表!$O$5:$O$3507,$L3071)="","(未設定)",INDEX(ポート振替表!$O$5:$O$3507,$L3071)&amp;""))</f>
        <v/>
      </c>
      <c r="F3071" s="52" t="str">
        <f aca="false">IF(L3071="","",INDEX(ポート振替表!$K$5:$K$3507,$L3071)&amp;" "&amp;INDEX(ポート振替表!$L$5:$L$3507,$L3071)&amp;"  ⇔  "&amp;INDEX(ポート振替表!$H$5:$H$3507,$L3071)&amp;" "&amp;INDEX(ポート振替表!$I$5:$I$3507,$L3071))</f>
        <v/>
      </c>
      <c r="G3071" s="57" t="s">
        <v>158</v>
      </c>
      <c r="H3071" s="32" t="str">
        <f aca="false">IF(L3071="","",INDEX(ポート振替表!$N$5:$N$3507,$L3071)&amp;"")</f>
        <v/>
      </c>
      <c r="I3071" s="32" t="str">
        <f aca="false">IF(L3071="","",INDEX(ポート振替表!$P$5:$P$3507,$L3071)&amp;"")</f>
        <v/>
      </c>
      <c r="J3071" s="60" t="str">
        <f aca="false">IF(L3071="","",INDEX(ポート振替表!$M$5:$M$3507,$L3071)&amp;"")</f>
        <v/>
      </c>
      <c r="K3071" s="52" t="str">
        <f aca="false">IF(L3071="","",E3071&amp;CHAR(10)&amp;INDEX(ポート振替表!$K$5:$K$3507,$L3071)&amp;" "&amp;INDEX(ポート振替表!$L$5:$L$3507,$L3071)&amp;CHAR(10)&amp;"⇔ "&amp;INDEX(ポート振替表!$H$5:$H$3507,$L3071)&amp;" "&amp;INDEX(ポート振替表!$I$5:$I$3507,$L3071))</f>
        <v/>
      </c>
      <c r="L3071" s="47" t="str">
        <f aca="false">IFERROR(MATCH(ROW()-4,ポート振替表!$V$5:$V$3507,0),"")</f>
        <v/>
      </c>
    </row>
    <row r="3072" customFormat="false" ht="16.4" hidden="false" customHeight="false" outlineLevel="0" collapsed="false">
      <c r="A3072" s="32" t="str">
        <f aca="false">IF(L3072="","",ROW()-4)</f>
        <v/>
      </c>
      <c r="B3072" s="58" t="str">
        <f aca="false">IF(L3072="","",IF(INDEX(ポート振替表!$W$5:$W$3507,$L3072)="","(なし)",INDEX(ポート振替表!$W$5:$W$3507,$L3072)&amp;""))</f>
        <v/>
      </c>
      <c r="C3072" s="52" t="str">
        <f aca="false">IF(L3072="","",INDEX(ポート振替表!$B$5:$B$3507,$L3072)&amp;" "&amp;INDEX(ポート振替表!$C$5:$C$3507,$L3072)&amp;"  ⇔  "&amp;INDEX(ポート振替表!$H$5:$H$3507,$L3072)&amp;" "&amp;INDEX(ポート振替表!$I$5:$I$3507,$L3072))</f>
        <v/>
      </c>
      <c r="D3072" s="57" t="s">
        <v>158</v>
      </c>
      <c r="E3072" s="59" t="str">
        <f aca="false">IF(L3072="","",IF(INDEX(ポート振替表!$O$5:$O$3507,$L3072)="","(未設定)",INDEX(ポート振替表!$O$5:$O$3507,$L3072)&amp;""))</f>
        <v/>
      </c>
      <c r="F3072" s="52" t="str">
        <f aca="false">IF(L3072="","",INDEX(ポート振替表!$K$5:$K$3507,$L3072)&amp;" "&amp;INDEX(ポート振替表!$L$5:$L$3507,$L3072)&amp;"  ⇔  "&amp;INDEX(ポート振替表!$H$5:$H$3507,$L3072)&amp;" "&amp;INDEX(ポート振替表!$I$5:$I$3507,$L3072))</f>
        <v/>
      </c>
      <c r="G3072" s="57" t="s">
        <v>158</v>
      </c>
      <c r="H3072" s="32" t="str">
        <f aca="false">IF(L3072="","",INDEX(ポート振替表!$N$5:$N$3507,$L3072)&amp;"")</f>
        <v/>
      </c>
      <c r="I3072" s="32" t="str">
        <f aca="false">IF(L3072="","",INDEX(ポート振替表!$P$5:$P$3507,$L3072)&amp;"")</f>
        <v/>
      </c>
      <c r="J3072" s="60" t="str">
        <f aca="false">IF(L3072="","",INDEX(ポート振替表!$M$5:$M$3507,$L3072)&amp;"")</f>
        <v/>
      </c>
      <c r="K3072" s="52" t="str">
        <f aca="false">IF(L3072="","",E3072&amp;CHAR(10)&amp;INDEX(ポート振替表!$K$5:$K$3507,$L3072)&amp;" "&amp;INDEX(ポート振替表!$L$5:$L$3507,$L3072)&amp;CHAR(10)&amp;"⇔ "&amp;INDEX(ポート振替表!$H$5:$H$3507,$L3072)&amp;" "&amp;INDEX(ポート振替表!$I$5:$I$3507,$L3072))</f>
        <v/>
      </c>
      <c r="L3072" s="47" t="str">
        <f aca="false">IFERROR(MATCH(ROW()-4,ポート振替表!$V$5:$V$3507,0),"")</f>
        <v/>
      </c>
    </row>
    <row r="3073" customFormat="false" ht="16.4" hidden="false" customHeight="false" outlineLevel="0" collapsed="false">
      <c r="A3073" s="32" t="str">
        <f aca="false">IF(L3073="","",ROW()-4)</f>
        <v/>
      </c>
      <c r="B3073" s="58" t="str">
        <f aca="false">IF(L3073="","",IF(INDEX(ポート振替表!$W$5:$W$3507,$L3073)="","(なし)",INDEX(ポート振替表!$W$5:$W$3507,$L3073)&amp;""))</f>
        <v/>
      </c>
      <c r="C3073" s="52" t="str">
        <f aca="false">IF(L3073="","",INDEX(ポート振替表!$B$5:$B$3507,$L3073)&amp;" "&amp;INDEX(ポート振替表!$C$5:$C$3507,$L3073)&amp;"  ⇔  "&amp;INDEX(ポート振替表!$H$5:$H$3507,$L3073)&amp;" "&amp;INDEX(ポート振替表!$I$5:$I$3507,$L3073))</f>
        <v/>
      </c>
      <c r="D3073" s="57" t="s">
        <v>158</v>
      </c>
      <c r="E3073" s="59" t="str">
        <f aca="false">IF(L3073="","",IF(INDEX(ポート振替表!$O$5:$O$3507,$L3073)="","(未設定)",INDEX(ポート振替表!$O$5:$O$3507,$L3073)&amp;""))</f>
        <v/>
      </c>
      <c r="F3073" s="52" t="str">
        <f aca="false">IF(L3073="","",INDEX(ポート振替表!$K$5:$K$3507,$L3073)&amp;" "&amp;INDEX(ポート振替表!$L$5:$L$3507,$L3073)&amp;"  ⇔  "&amp;INDEX(ポート振替表!$H$5:$H$3507,$L3073)&amp;" "&amp;INDEX(ポート振替表!$I$5:$I$3507,$L3073))</f>
        <v/>
      </c>
      <c r="G3073" s="57" t="s">
        <v>158</v>
      </c>
      <c r="H3073" s="32" t="str">
        <f aca="false">IF(L3073="","",INDEX(ポート振替表!$N$5:$N$3507,$L3073)&amp;"")</f>
        <v/>
      </c>
      <c r="I3073" s="32" t="str">
        <f aca="false">IF(L3073="","",INDEX(ポート振替表!$P$5:$P$3507,$L3073)&amp;"")</f>
        <v/>
      </c>
      <c r="J3073" s="60" t="str">
        <f aca="false">IF(L3073="","",INDEX(ポート振替表!$M$5:$M$3507,$L3073)&amp;"")</f>
        <v/>
      </c>
      <c r="K3073" s="52" t="str">
        <f aca="false">IF(L3073="","",E3073&amp;CHAR(10)&amp;INDEX(ポート振替表!$K$5:$K$3507,$L3073)&amp;" "&amp;INDEX(ポート振替表!$L$5:$L$3507,$L3073)&amp;CHAR(10)&amp;"⇔ "&amp;INDEX(ポート振替表!$H$5:$H$3507,$L3073)&amp;" "&amp;INDEX(ポート振替表!$I$5:$I$3507,$L3073))</f>
        <v/>
      </c>
      <c r="L3073" s="47" t="str">
        <f aca="false">IFERROR(MATCH(ROW()-4,ポート振替表!$V$5:$V$3507,0),"")</f>
        <v/>
      </c>
    </row>
    <row r="3074" customFormat="false" ht="16.4" hidden="false" customHeight="false" outlineLevel="0" collapsed="false">
      <c r="A3074" s="32" t="str">
        <f aca="false">IF(L3074="","",ROW()-4)</f>
        <v/>
      </c>
      <c r="B3074" s="58" t="str">
        <f aca="false">IF(L3074="","",IF(INDEX(ポート振替表!$W$5:$W$3507,$L3074)="","(なし)",INDEX(ポート振替表!$W$5:$W$3507,$L3074)&amp;""))</f>
        <v/>
      </c>
      <c r="C3074" s="52" t="str">
        <f aca="false">IF(L3074="","",INDEX(ポート振替表!$B$5:$B$3507,$L3074)&amp;" "&amp;INDEX(ポート振替表!$C$5:$C$3507,$L3074)&amp;"  ⇔  "&amp;INDEX(ポート振替表!$H$5:$H$3507,$L3074)&amp;" "&amp;INDEX(ポート振替表!$I$5:$I$3507,$L3074))</f>
        <v/>
      </c>
      <c r="D3074" s="57" t="s">
        <v>158</v>
      </c>
      <c r="E3074" s="59" t="str">
        <f aca="false">IF(L3074="","",IF(INDEX(ポート振替表!$O$5:$O$3507,$L3074)="","(未設定)",INDEX(ポート振替表!$O$5:$O$3507,$L3074)&amp;""))</f>
        <v/>
      </c>
      <c r="F3074" s="52" t="str">
        <f aca="false">IF(L3074="","",INDEX(ポート振替表!$K$5:$K$3507,$L3074)&amp;" "&amp;INDEX(ポート振替表!$L$5:$L$3507,$L3074)&amp;"  ⇔  "&amp;INDEX(ポート振替表!$H$5:$H$3507,$L3074)&amp;" "&amp;INDEX(ポート振替表!$I$5:$I$3507,$L3074))</f>
        <v/>
      </c>
      <c r="G3074" s="57" t="s">
        <v>158</v>
      </c>
      <c r="H3074" s="32" t="str">
        <f aca="false">IF(L3074="","",INDEX(ポート振替表!$N$5:$N$3507,$L3074)&amp;"")</f>
        <v/>
      </c>
      <c r="I3074" s="32" t="str">
        <f aca="false">IF(L3074="","",INDEX(ポート振替表!$P$5:$P$3507,$L3074)&amp;"")</f>
        <v/>
      </c>
      <c r="J3074" s="60" t="str">
        <f aca="false">IF(L3074="","",INDEX(ポート振替表!$M$5:$M$3507,$L3074)&amp;"")</f>
        <v/>
      </c>
      <c r="K3074" s="52" t="str">
        <f aca="false">IF(L3074="","",E3074&amp;CHAR(10)&amp;INDEX(ポート振替表!$K$5:$K$3507,$L3074)&amp;" "&amp;INDEX(ポート振替表!$L$5:$L$3507,$L3074)&amp;CHAR(10)&amp;"⇔ "&amp;INDEX(ポート振替表!$H$5:$H$3507,$L3074)&amp;" "&amp;INDEX(ポート振替表!$I$5:$I$3507,$L3074))</f>
        <v/>
      </c>
      <c r="L3074" s="47" t="str">
        <f aca="false">IFERROR(MATCH(ROW()-4,ポート振替表!$V$5:$V$3507,0),"")</f>
        <v/>
      </c>
    </row>
    <row r="3075" customFormat="false" ht="16.4" hidden="false" customHeight="false" outlineLevel="0" collapsed="false">
      <c r="A3075" s="32" t="str">
        <f aca="false">IF(L3075="","",ROW()-4)</f>
        <v/>
      </c>
      <c r="B3075" s="58" t="str">
        <f aca="false">IF(L3075="","",IF(INDEX(ポート振替表!$W$5:$W$3507,$L3075)="","(なし)",INDEX(ポート振替表!$W$5:$W$3507,$L3075)&amp;""))</f>
        <v/>
      </c>
      <c r="C3075" s="52" t="str">
        <f aca="false">IF(L3075="","",INDEX(ポート振替表!$B$5:$B$3507,$L3075)&amp;" "&amp;INDEX(ポート振替表!$C$5:$C$3507,$L3075)&amp;"  ⇔  "&amp;INDEX(ポート振替表!$H$5:$H$3507,$L3075)&amp;" "&amp;INDEX(ポート振替表!$I$5:$I$3507,$L3075))</f>
        <v/>
      </c>
      <c r="D3075" s="57" t="s">
        <v>158</v>
      </c>
      <c r="E3075" s="59" t="str">
        <f aca="false">IF(L3075="","",IF(INDEX(ポート振替表!$O$5:$O$3507,$L3075)="","(未設定)",INDEX(ポート振替表!$O$5:$O$3507,$L3075)&amp;""))</f>
        <v/>
      </c>
      <c r="F3075" s="52" t="str">
        <f aca="false">IF(L3075="","",INDEX(ポート振替表!$K$5:$K$3507,$L3075)&amp;" "&amp;INDEX(ポート振替表!$L$5:$L$3507,$L3075)&amp;"  ⇔  "&amp;INDEX(ポート振替表!$H$5:$H$3507,$L3075)&amp;" "&amp;INDEX(ポート振替表!$I$5:$I$3507,$L3075))</f>
        <v/>
      </c>
      <c r="G3075" s="57" t="s">
        <v>158</v>
      </c>
      <c r="H3075" s="32" t="str">
        <f aca="false">IF(L3075="","",INDEX(ポート振替表!$N$5:$N$3507,$L3075)&amp;"")</f>
        <v/>
      </c>
      <c r="I3075" s="32" t="str">
        <f aca="false">IF(L3075="","",INDEX(ポート振替表!$P$5:$P$3507,$L3075)&amp;"")</f>
        <v/>
      </c>
      <c r="J3075" s="60" t="str">
        <f aca="false">IF(L3075="","",INDEX(ポート振替表!$M$5:$M$3507,$L3075)&amp;"")</f>
        <v/>
      </c>
      <c r="K3075" s="52" t="str">
        <f aca="false">IF(L3075="","",E3075&amp;CHAR(10)&amp;INDEX(ポート振替表!$K$5:$K$3507,$L3075)&amp;" "&amp;INDEX(ポート振替表!$L$5:$L$3507,$L3075)&amp;CHAR(10)&amp;"⇔ "&amp;INDEX(ポート振替表!$H$5:$H$3507,$L3075)&amp;" "&amp;INDEX(ポート振替表!$I$5:$I$3507,$L3075))</f>
        <v/>
      </c>
      <c r="L3075" s="47" t="str">
        <f aca="false">IFERROR(MATCH(ROW()-4,ポート振替表!$V$5:$V$3507,0),"")</f>
        <v/>
      </c>
    </row>
    <row r="3076" customFormat="false" ht="16.4" hidden="false" customHeight="false" outlineLevel="0" collapsed="false">
      <c r="A3076" s="32" t="str">
        <f aca="false">IF(L3076="","",ROW()-4)</f>
        <v/>
      </c>
      <c r="B3076" s="58" t="str">
        <f aca="false">IF(L3076="","",IF(INDEX(ポート振替表!$W$5:$W$3507,$L3076)="","(なし)",INDEX(ポート振替表!$W$5:$W$3507,$L3076)&amp;""))</f>
        <v/>
      </c>
      <c r="C3076" s="52" t="str">
        <f aca="false">IF(L3076="","",INDEX(ポート振替表!$B$5:$B$3507,$L3076)&amp;" "&amp;INDEX(ポート振替表!$C$5:$C$3507,$L3076)&amp;"  ⇔  "&amp;INDEX(ポート振替表!$H$5:$H$3507,$L3076)&amp;" "&amp;INDEX(ポート振替表!$I$5:$I$3507,$L3076))</f>
        <v/>
      </c>
      <c r="D3076" s="57" t="s">
        <v>158</v>
      </c>
      <c r="E3076" s="59" t="str">
        <f aca="false">IF(L3076="","",IF(INDEX(ポート振替表!$O$5:$O$3507,$L3076)="","(未設定)",INDEX(ポート振替表!$O$5:$O$3507,$L3076)&amp;""))</f>
        <v/>
      </c>
      <c r="F3076" s="52" t="str">
        <f aca="false">IF(L3076="","",INDEX(ポート振替表!$K$5:$K$3507,$L3076)&amp;" "&amp;INDEX(ポート振替表!$L$5:$L$3507,$L3076)&amp;"  ⇔  "&amp;INDEX(ポート振替表!$H$5:$H$3507,$L3076)&amp;" "&amp;INDEX(ポート振替表!$I$5:$I$3507,$L3076))</f>
        <v/>
      </c>
      <c r="G3076" s="57" t="s">
        <v>158</v>
      </c>
      <c r="H3076" s="32" t="str">
        <f aca="false">IF(L3076="","",INDEX(ポート振替表!$N$5:$N$3507,$L3076)&amp;"")</f>
        <v/>
      </c>
      <c r="I3076" s="32" t="str">
        <f aca="false">IF(L3076="","",INDEX(ポート振替表!$P$5:$P$3507,$L3076)&amp;"")</f>
        <v/>
      </c>
      <c r="J3076" s="60" t="str">
        <f aca="false">IF(L3076="","",INDEX(ポート振替表!$M$5:$M$3507,$L3076)&amp;"")</f>
        <v/>
      </c>
      <c r="K3076" s="52" t="str">
        <f aca="false">IF(L3076="","",E3076&amp;CHAR(10)&amp;INDEX(ポート振替表!$K$5:$K$3507,$L3076)&amp;" "&amp;INDEX(ポート振替表!$L$5:$L$3507,$L3076)&amp;CHAR(10)&amp;"⇔ "&amp;INDEX(ポート振替表!$H$5:$H$3507,$L3076)&amp;" "&amp;INDEX(ポート振替表!$I$5:$I$3507,$L3076))</f>
        <v/>
      </c>
      <c r="L3076" s="47" t="str">
        <f aca="false">IFERROR(MATCH(ROW()-4,ポート振替表!$V$5:$V$3507,0),"")</f>
        <v/>
      </c>
    </row>
    <row r="3077" customFormat="false" ht="16.4" hidden="false" customHeight="false" outlineLevel="0" collapsed="false">
      <c r="A3077" s="32" t="str">
        <f aca="false">IF(L3077="","",ROW()-4)</f>
        <v/>
      </c>
      <c r="B3077" s="58" t="str">
        <f aca="false">IF(L3077="","",IF(INDEX(ポート振替表!$W$5:$W$3507,$L3077)="","(なし)",INDEX(ポート振替表!$W$5:$W$3507,$L3077)&amp;""))</f>
        <v/>
      </c>
      <c r="C3077" s="52" t="str">
        <f aca="false">IF(L3077="","",INDEX(ポート振替表!$B$5:$B$3507,$L3077)&amp;" "&amp;INDEX(ポート振替表!$C$5:$C$3507,$L3077)&amp;"  ⇔  "&amp;INDEX(ポート振替表!$H$5:$H$3507,$L3077)&amp;" "&amp;INDEX(ポート振替表!$I$5:$I$3507,$L3077))</f>
        <v/>
      </c>
      <c r="D3077" s="57" t="s">
        <v>158</v>
      </c>
      <c r="E3077" s="59" t="str">
        <f aca="false">IF(L3077="","",IF(INDEX(ポート振替表!$O$5:$O$3507,$L3077)="","(未設定)",INDEX(ポート振替表!$O$5:$O$3507,$L3077)&amp;""))</f>
        <v/>
      </c>
      <c r="F3077" s="52" t="str">
        <f aca="false">IF(L3077="","",INDEX(ポート振替表!$K$5:$K$3507,$L3077)&amp;" "&amp;INDEX(ポート振替表!$L$5:$L$3507,$L3077)&amp;"  ⇔  "&amp;INDEX(ポート振替表!$H$5:$H$3507,$L3077)&amp;" "&amp;INDEX(ポート振替表!$I$5:$I$3507,$L3077))</f>
        <v/>
      </c>
      <c r="G3077" s="57" t="s">
        <v>158</v>
      </c>
      <c r="H3077" s="32" t="str">
        <f aca="false">IF(L3077="","",INDEX(ポート振替表!$N$5:$N$3507,$L3077)&amp;"")</f>
        <v/>
      </c>
      <c r="I3077" s="32" t="str">
        <f aca="false">IF(L3077="","",INDEX(ポート振替表!$P$5:$P$3507,$L3077)&amp;"")</f>
        <v/>
      </c>
      <c r="J3077" s="60" t="str">
        <f aca="false">IF(L3077="","",INDEX(ポート振替表!$M$5:$M$3507,$L3077)&amp;"")</f>
        <v/>
      </c>
      <c r="K3077" s="52" t="str">
        <f aca="false">IF(L3077="","",E3077&amp;CHAR(10)&amp;INDEX(ポート振替表!$K$5:$K$3507,$L3077)&amp;" "&amp;INDEX(ポート振替表!$L$5:$L$3507,$L3077)&amp;CHAR(10)&amp;"⇔ "&amp;INDEX(ポート振替表!$H$5:$H$3507,$L3077)&amp;" "&amp;INDEX(ポート振替表!$I$5:$I$3507,$L3077))</f>
        <v/>
      </c>
      <c r="L3077" s="47" t="str">
        <f aca="false">IFERROR(MATCH(ROW()-4,ポート振替表!$V$5:$V$3507,0),"")</f>
        <v/>
      </c>
    </row>
    <row r="3078" customFormat="false" ht="16.4" hidden="false" customHeight="false" outlineLevel="0" collapsed="false">
      <c r="A3078" s="32" t="str">
        <f aca="false">IF(L3078="","",ROW()-4)</f>
        <v/>
      </c>
      <c r="B3078" s="58" t="str">
        <f aca="false">IF(L3078="","",IF(INDEX(ポート振替表!$W$5:$W$3507,$L3078)="","(なし)",INDEX(ポート振替表!$W$5:$W$3507,$L3078)&amp;""))</f>
        <v/>
      </c>
      <c r="C3078" s="52" t="str">
        <f aca="false">IF(L3078="","",INDEX(ポート振替表!$B$5:$B$3507,$L3078)&amp;" "&amp;INDEX(ポート振替表!$C$5:$C$3507,$L3078)&amp;"  ⇔  "&amp;INDEX(ポート振替表!$H$5:$H$3507,$L3078)&amp;" "&amp;INDEX(ポート振替表!$I$5:$I$3507,$L3078))</f>
        <v/>
      </c>
      <c r="D3078" s="57" t="s">
        <v>158</v>
      </c>
      <c r="E3078" s="59" t="str">
        <f aca="false">IF(L3078="","",IF(INDEX(ポート振替表!$O$5:$O$3507,$L3078)="","(未設定)",INDEX(ポート振替表!$O$5:$O$3507,$L3078)&amp;""))</f>
        <v/>
      </c>
      <c r="F3078" s="52" t="str">
        <f aca="false">IF(L3078="","",INDEX(ポート振替表!$K$5:$K$3507,$L3078)&amp;" "&amp;INDEX(ポート振替表!$L$5:$L$3507,$L3078)&amp;"  ⇔  "&amp;INDEX(ポート振替表!$H$5:$H$3507,$L3078)&amp;" "&amp;INDEX(ポート振替表!$I$5:$I$3507,$L3078))</f>
        <v/>
      </c>
      <c r="G3078" s="57" t="s">
        <v>158</v>
      </c>
      <c r="H3078" s="32" t="str">
        <f aca="false">IF(L3078="","",INDEX(ポート振替表!$N$5:$N$3507,$L3078)&amp;"")</f>
        <v/>
      </c>
      <c r="I3078" s="32" t="str">
        <f aca="false">IF(L3078="","",INDEX(ポート振替表!$P$5:$P$3507,$L3078)&amp;"")</f>
        <v/>
      </c>
      <c r="J3078" s="60" t="str">
        <f aca="false">IF(L3078="","",INDEX(ポート振替表!$M$5:$M$3507,$L3078)&amp;"")</f>
        <v/>
      </c>
      <c r="K3078" s="52" t="str">
        <f aca="false">IF(L3078="","",E3078&amp;CHAR(10)&amp;INDEX(ポート振替表!$K$5:$K$3507,$L3078)&amp;" "&amp;INDEX(ポート振替表!$L$5:$L$3507,$L3078)&amp;CHAR(10)&amp;"⇔ "&amp;INDEX(ポート振替表!$H$5:$H$3507,$L3078)&amp;" "&amp;INDEX(ポート振替表!$I$5:$I$3507,$L3078))</f>
        <v/>
      </c>
      <c r="L3078" s="47" t="str">
        <f aca="false">IFERROR(MATCH(ROW()-4,ポート振替表!$V$5:$V$3507,0),"")</f>
        <v/>
      </c>
    </row>
    <row r="3079" customFormat="false" ht="16.4" hidden="false" customHeight="false" outlineLevel="0" collapsed="false">
      <c r="A3079" s="32" t="str">
        <f aca="false">IF(L3079="","",ROW()-4)</f>
        <v/>
      </c>
      <c r="B3079" s="58" t="str">
        <f aca="false">IF(L3079="","",IF(INDEX(ポート振替表!$W$5:$W$3507,$L3079)="","(なし)",INDEX(ポート振替表!$W$5:$W$3507,$L3079)&amp;""))</f>
        <v/>
      </c>
      <c r="C3079" s="52" t="str">
        <f aca="false">IF(L3079="","",INDEX(ポート振替表!$B$5:$B$3507,$L3079)&amp;" "&amp;INDEX(ポート振替表!$C$5:$C$3507,$L3079)&amp;"  ⇔  "&amp;INDEX(ポート振替表!$H$5:$H$3507,$L3079)&amp;" "&amp;INDEX(ポート振替表!$I$5:$I$3507,$L3079))</f>
        <v/>
      </c>
      <c r="D3079" s="57" t="s">
        <v>158</v>
      </c>
      <c r="E3079" s="59" t="str">
        <f aca="false">IF(L3079="","",IF(INDEX(ポート振替表!$O$5:$O$3507,$L3079)="","(未設定)",INDEX(ポート振替表!$O$5:$O$3507,$L3079)&amp;""))</f>
        <v/>
      </c>
      <c r="F3079" s="52" t="str">
        <f aca="false">IF(L3079="","",INDEX(ポート振替表!$K$5:$K$3507,$L3079)&amp;" "&amp;INDEX(ポート振替表!$L$5:$L$3507,$L3079)&amp;"  ⇔  "&amp;INDEX(ポート振替表!$H$5:$H$3507,$L3079)&amp;" "&amp;INDEX(ポート振替表!$I$5:$I$3507,$L3079))</f>
        <v/>
      </c>
      <c r="G3079" s="57" t="s">
        <v>158</v>
      </c>
      <c r="H3079" s="32" t="str">
        <f aca="false">IF(L3079="","",INDEX(ポート振替表!$N$5:$N$3507,$L3079)&amp;"")</f>
        <v/>
      </c>
      <c r="I3079" s="32" t="str">
        <f aca="false">IF(L3079="","",INDEX(ポート振替表!$P$5:$P$3507,$L3079)&amp;"")</f>
        <v/>
      </c>
      <c r="J3079" s="60" t="str">
        <f aca="false">IF(L3079="","",INDEX(ポート振替表!$M$5:$M$3507,$L3079)&amp;"")</f>
        <v/>
      </c>
      <c r="K3079" s="52" t="str">
        <f aca="false">IF(L3079="","",E3079&amp;CHAR(10)&amp;INDEX(ポート振替表!$K$5:$K$3507,$L3079)&amp;" "&amp;INDEX(ポート振替表!$L$5:$L$3507,$L3079)&amp;CHAR(10)&amp;"⇔ "&amp;INDEX(ポート振替表!$H$5:$H$3507,$L3079)&amp;" "&amp;INDEX(ポート振替表!$I$5:$I$3507,$L3079))</f>
        <v/>
      </c>
      <c r="L3079" s="47" t="str">
        <f aca="false">IFERROR(MATCH(ROW()-4,ポート振替表!$V$5:$V$3507,0),"")</f>
        <v/>
      </c>
    </row>
    <row r="3080" customFormat="false" ht="16.4" hidden="false" customHeight="false" outlineLevel="0" collapsed="false">
      <c r="A3080" s="32" t="str">
        <f aca="false">IF(L3080="","",ROW()-4)</f>
        <v/>
      </c>
      <c r="B3080" s="58" t="str">
        <f aca="false">IF(L3080="","",IF(INDEX(ポート振替表!$W$5:$W$3507,$L3080)="","(なし)",INDEX(ポート振替表!$W$5:$W$3507,$L3080)&amp;""))</f>
        <v/>
      </c>
      <c r="C3080" s="52" t="str">
        <f aca="false">IF(L3080="","",INDEX(ポート振替表!$B$5:$B$3507,$L3080)&amp;" "&amp;INDEX(ポート振替表!$C$5:$C$3507,$L3080)&amp;"  ⇔  "&amp;INDEX(ポート振替表!$H$5:$H$3507,$L3080)&amp;" "&amp;INDEX(ポート振替表!$I$5:$I$3507,$L3080))</f>
        <v/>
      </c>
      <c r="D3080" s="57" t="s">
        <v>158</v>
      </c>
      <c r="E3080" s="59" t="str">
        <f aca="false">IF(L3080="","",IF(INDEX(ポート振替表!$O$5:$O$3507,$L3080)="","(未設定)",INDEX(ポート振替表!$O$5:$O$3507,$L3080)&amp;""))</f>
        <v/>
      </c>
      <c r="F3080" s="52" t="str">
        <f aca="false">IF(L3080="","",INDEX(ポート振替表!$K$5:$K$3507,$L3080)&amp;" "&amp;INDEX(ポート振替表!$L$5:$L$3507,$L3080)&amp;"  ⇔  "&amp;INDEX(ポート振替表!$H$5:$H$3507,$L3080)&amp;" "&amp;INDEX(ポート振替表!$I$5:$I$3507,$L3080))</f>
        <v/>
      </c>
      <c r="G3080" s="57" t="s">
        <v>158</v>
      </c>
      <c r="H3080" s="32" t="str">
        <f aca="false">IF(L3080="","",INDEX(ポート振替表!$N$5:$N$3507,$L3080)&amp;"")</f>
        <v/>
      </c>
      <c r="I3080" s="32" t="str">
        <f aca="false">IF(L3080="","",INDEX(ポート振替表!$P$5:$P$3507,$L3080)&amp;"")</f>
        <v/>
      </c>
      <c r="J3080" s="60" t="str">
        <f aca="false">IF(L3080="","",INDEX(ポート振替表!$M$5:$M$3507,$L3080)&amp;"")</f>
        <v/>
      </c>
      <c r="K3080" s="52" t="str">
        <f aca="false">IF(L3080="","",E3080&amp;CHAR(10)&amp;INDEX(ポート振替表!$K$5:$K$3507,$L3080)&amp;" "&amp;INDEX(ポート振替表!$L$5:$L$3507,$L3080)&amp;CHAR(10)&amp;"⇔ "&amp;INDEX(ポート振替表!$H$5:$H$3507,$L3080)&amp;" "&amp;INDEX(ポート振替表!$I$5:$I$3507,$L3080))</f>
        <v/>
      </c>
      <c r="L3080" s="47" t="str">
        <f aca="false">IFERROR(MATCH(ROW()-4,ポート振替表!$V$5:$V$3507,0),"")</f>
        <v/>
      </c>
    </row>
    <row r="3081" customFormat="false" ht="16.4" hidden="false" customHeight="false" outlineLevel="0" collapsed="false">
      <c r="A3081" s="32" t="str">
        <f aca="false">IF(L3081="","",ROW()-4)</f>
        <v/>
      </c>
      <c r="B3081" s="58" t="str">
        <f aca="false">IF(L3081="","",IF(INDEX(ポート振替表!$W$5:$W$3507,$L3081)="","(なし)",INDEX(ポート振替表!$W$5:$W$3507,$L3081)&amp;""))</f>
        <v/>
      </c>
      <c r="C3081" s="52" t="str">
        <f aca="false">IF(L3081="","",INDEX(ポート振替表!$B$5:$B$3507,$L3081)&amp;" "&amp;INDEX(ポート振替表!$C$5:$C$3507,$L3081)&amp;"  ⇔  "&amp;INDEX(ポート振替表!$H$5:$H$3507,$L3081)&amp;" "&amp;INDEX(ポート振替表!$I$5:$I$3507,$L3081))</f>
        <v/>
      </c>
      <c r="D3081" s="57" t="s">
        <v>158</v>
      </c>
      <c r="E3081" s="59" t="str">
        <f aca="false">IF(L3081="","",IF(INDEX(ポート振替表!$O$5:$O$3507,$L3081)="","(未設定)",INDEX(ポート振替表!$O$5:$O$3507,$L3081)&amp;""))</f>
        <v/>
      </c>
      <c r="F3081" s="52" t="str">
        <f aca="false">IF(L3081="","",INDEX(ポート振替表!$K$5:$K$3507,$L3081)&amp;" "&amp;INDEX(ポート振替表!$L$5:$L$3507,$L3081)&amp;"  ⇔  "&amp;INDEX(ポート振替表!$H$5:$H$3507,$L3081)&amp;" "&amp;INDEX(ポート振替表!$I$5:$I$3507,$L3081))</f>
        <v/>
      </c>
      <c r="G3081" s="57" t="s">
        <v>158</v>
      </c>
      <c r="H3081" s="32" t="str">
        <f aca="false">IF(L3081="","",INDEX(ポート振替表!$N$5:$N$3507,$L3081)&amp;"")</f>
        <v/>
      </c>
      <c r="I3081" s="32" t="str">
        <f aca="false">IF(L3081="","",INDEX(ポート振替表!$P$5:$P$3507,$L3081)&amp;"")</f>
        <v/>
      </c>
      <c r="J3081" s="60" t="str">
        <f aca="false">IF(L3081="","",INDEX(ポート振替表!$M$5:$M$3507,$L3081)&amp;"")</f>
        <v/>
      </c>
      <c r="K3081" s="52" t="str">
        <f aca="false">IF(L3081="","",E3081&amp;CHAR(10)&amp;INDEX(ポート振替表!$K$5:$K$3507,$L3081)&amp;" "&amp;INDEX(ポート振替表!$L$5:$L$3507,$L3081)&amp;CHAR(10)&amp;"⇔ "&amp;INDEX(ポート振替表!$H$5:$H$3507,$L3081)&amp;" "&amp;INDEX(ポート振替表!$I$5:$I$3507,$L3081))</f>
        <v/>
      </c>
      <c r="L3081" s="47" t="str">
        <f aca="false">IFERROR(MATCH(ROW()-4,ポート振替表!$V$5:$V$3507,0),"")</f>
        <v/>
      </c>
    </row>
    <row r="3082" customFormat="false" ht="16.4" hidden="false" customHeight="false" outlineLevel="0" collapsed="false">
      <c r="A3082" s="32" t="str">
        <f aca="false">IF(L3082="","",ROW()-4)</f>
        <v/>
      </c>
      <c r="B3082" s="58" t="str">
        <f aca="false">IF(L3082="","",IF(INDEX(ポート振替表!$W$5:$W$3507,$L3082)="","(なし)",INDEX(ポート振替表!$W$5:$W$3507,$L3082)&amp;""))</f>
        <v/>
      </c>
      <c r="C3082" s="52" t="str">
        <f aca="false">IF(L3082="","",INDEX(ポート振替表!$B$5:$B$3507,$L3082)&amp;" "&amp;INDEX(ポート振替表!$C$5:$C$3507,$L3082)&amp;"  ⇔  "&amp;INDEX(ポート振替表!$H$5:$H$3507,$L3082)&amp;" "&amp;INDEX(ポート振替表!$I$5:$I$3507,$L3082))</f>
        <v/>
      </c>
      <c r="D3082" s="57" t="s">
        <v>158</v>
      </c>
      <c r="E3082" s="59" t="str">
        <f aca="false">IF(L3082="","",IF(INDEX(ポート振替表!$O$5:$O$3507,$L3082)="","(未設定)",INDEX(ポート振替表!$O$5:$O$3507,$L3082)&amp;""))</f>
        <v/>
      </c>
      <c r="F3082" s="52" t="str">
        <f aca="false">IF(L3082="","",INDEX(ポート振替表!$K$5:$K$3507,$L3082)&amp;" "&amp;INDEX(ポート振替表!$L$5:$L$3507,$L3082)&amp;"  ⇔  "&amp;INDEX(ポート振替表!$H$5:$H$3507,$L3082)&amp;" "&amp;INDEX(ポート振替表!$I$5:$I$3507,$L3082))</f>
        <v/>
      </c>
      <c r="G3082" s="57" t="s">
        <v>158</v>
      </c>
      <c r="H3082" s="32" t="str">
        <f aca="false">IF(L3082="","",INDEX(ポート振替表!$N$5:$N$3507,$L3082)&amp;"")</f>
        <v/>
      </c>
      <c r="I3082" s="32" t="str">
        <f aca="false">IF(L3082="","",INDEX(ポート振替表!$P$5:$P$3507,$L3082)&amp;"")</f>
        <v/>
      </c>
      <c r="J3082" s="60" t="str">
        <f aca="false">IF(L3082="","",INDEX(ポート振替表!$M$5:$M$3507,$L3082)&amp;"")</f>
        <v/>
      </c>
      <c r="K3082" s="52" t="str">
        <f aca="false">IF(L3082="","",E3082&amp;CHAR(10)&amp;INDEX(ポート振替表!$K$5:$K$3507,$L3082)&amp;" "&amp;INDEX(ポート振替表!$L$5:$L$3507,$L3082)&amp;CHAR(10)&amp;"⇔ "&amp;INDEX(ポート振替表!$H$5:$H$3507,$L3082)&amp;" "&amp;INDEX(ポート振替表!$I$5:$I$3507,$L3082))</f>
        <v/>
      </c>
      <c r="L3082" s="47" t="str">
        <f aca="false">IFERROR(MATCH(ROW()-4,ポート振替表!$V$5:$V$3507,0),"")</f>
        <v/>
      </c>
    </row>
    <row r="3083" customFormat="false" ht="16.4" hidden="false" customHeight="false" outlineLevel="0" collapsed="false">
      <c r="A3083" s="32" t="str">
        <f aca="false">IF(L3083="","",ROW()-4)</f>
        <v/>
      </c>
      <c r="B3083" s="58" t="str">
        <f aca="false">IF(L3083="","",IF(INDEX(ポート振替表!$W$5:$W$3507,$L3083)="","(なし)",INDEX(ポート振替表!$W$5:$W$3507,$L3083)&amp;""))</f>
        <v/>
      </c>
      <c r="C3083" s="52" t="str">
        <f aca="false">IF(L3083="","",INDEX(ポート振替表!$B$5:$B$3507,$L3083)&amp;" "&amp;INDEX(ポート振替表!$C$5:$C$3507,$L3083)&amp;"  ⇔  "&amp;INDEX(ポート振替表!$H$5:$H$3507,$L3083)&amp;" "&amp;INDEX(ポート振替表!$I$5:$I$3507,$L3083))</f>
        <v/>
      </c>
      <c r="D3083" s="57" t="s">
        <v>158</v>
      </c>
      <c r="E3083" s="59" t="str">
        <f aca="false">IF(L3083="","",IF(INDEX(ポート振替表!$O$5:$O$3507,$L3083)="","(未設定)",INDEX(ポート振替表!$O$5:$O$3507,$L3083)&amp;""))</f>
        <v/>
      </c>
      <c r="F3083" s="52" t="str">
        <f aca="false">IF(L3083="","",INDEX(ポート振替表!$K$5:$K$3507,$L3083)&amp;" "&amp;INDEX(ポート振替表!$L$5:$L$3507,$L3083)&amp;"  ⇔  "&amp;INDEX(ポート振替表!$H$5:$H$3507,$L3083)&amp;" "&amp;INDEX(ポート振替表!$I$5:$I$3507,$L3083))</f>
        <v/>
      </c>
      <c r="G3083" s="57" t="s">
        <v>158</v>
      </c>
      <c r="H3083" s="32" t="str">
        <f aca="false">IF(L3083="","",INDEX(ポート振替表!$N$5:$N$3507,$L3083)&amp;"")</f>
        <v/>
      </c>
      <c r="I3083" s="32" t="str">
        <f aca="false">IF(L3083="","",INDEX(ポート振替表!$P$5:$P$3507,$L3083)&amp;"")</f>
        <v/>
      </c>
      <c r="J3083" s="60" t="str">
        <f aca="false">IF(L3083="","",INDEX(ポート振替表!$M$5:$M$3507,$L3083)&amp;"")</f>
        <v/>
      </c>
      <c r="K3083" s="52" t="str">
        <f aca="false">IF(L3083="","",E3083&amp;CHAR(10)&amp;INDEX(ポート振替表!$K$5:$K$3507,$L3083)&amp;" "&amp;INDEX(ポート振替表!$L$5:$L$3507,$L3083)&amp;CHAR(10)&amp;"⇔ "&amp;INDEX(ポート振替表!$H$5:$H$3507,$L3083)&amp;" "&amp;INDEX(ポート振替表!$I$5:$I$3507,$L3083))</f>
        <v/>
      </c>
      <c r="L3083" s="47" t="str">
        <f aca="false">IFERROR(MATCH(ROW()-4,ポート振替表!$V$5:$V$3507,0),"")</f>
        <v/>
      </c>
    </row>
    <row r="3084" customFormat="false" ht="16.4" hidden="false" customHeight="false" outlineLevel="0" collapsed="false">
      <c r="A3084" s="32" t="str">
        <f aca="false">IF(L3084="","",ROW()-4)</f>
        <v/>
      </c>
      <c r="B3084" s="58" t="str">
        <f aca="false">IF(L3084="","",IF(INDEX(ポート振替表!$W$5:$W$3507,$L3084)="","(なし)",INDEX(ポート振替表!$W$5:$W$3507,$L3084)&amp;""))</f>
        <v/>
      </c>
      <c r="C3084" s="52" t="str">
        <f aca="false">IF(L3084="","",INDEX(ポート振替表!$B$5:$B$3507,$L3084)&amp;" "&amp;INDEX(ポート振替表!$C$5:$C$3507,$L3084)&amp;"  ⇔  "&amp;INDEX(ポート振替表!$H$5:$H$3507,$L3084)&amp;" "&amp;INDEX(ポート振替表!$I$5:$I$3507,$L3084))</f>
        <v/>
      </c>
      <c r="D3084" s="57" t="s">
        <v>158</v>
      </c>
      <c r="E3084" s="59" t="str">
        <f aca="false">IF(L3084="","",IF(INDEX(ポート振替表!$O$5:$O$3507,$L3084)="","(未設定)",INDEX(ポート振替表!$O$5:$O$3507,$L3084)&amp;""))</f>
        <v/>
      </c>
      <c r="F3084" s="52" t="str">
        <f aca="false">IF(L3084="","",INDEX(ポート振替表!$K$5:$K$3507,$L3084)&amp;" "&amp;INDEX(ポート振替表!$L$5:$L$3507,$L3084)&amp;"  ⇔  "&amp;INDEX(ポート振替表!$H$5:$H$3507,$L3084)&amp;" "&amp;INDEX(ポート振替表!$I$5:$I$3507,$L3084))</f>
        <v/>
      </c>
      <c r="G3084" s="57" t="s">
        <v>158</v>
      </c>
      <c r="H3084" s="32" t="str">
        <f aca="false">IF(L3084="","",INDEX(ポート振替表!$N$5:$N$3507,$L3084)&amp;"")</f>
        <v/>
      </c>
      <c r="I3084" s="32" t="str">
        <f aca="false">IF(L3084="","",INDEX(ポート振替表!$P$5:$P$3507,$L3084)&amp;"")</f>
        <v/>
      </c>
      <c r="J3084" s="60" t="str">
        <f aca="false">IF(L3084="","",INDEX(ポート振替表!$M$5:$M$3507,$L3084)&amp;"")</f>
        <v/>
      </c>
      <c r="K3084" s="52" t="str">
        <f aca="false">IF(L3084="","",E3084&amp;CHAR(10)&amp;INDEX(ポート振替表!$K$5:$K$3507,$L3084)&amp;" "&amp;INDEX(ポート振替表!$L$5:$L$3507,$L3084)&amp;CHAR(10)&amp;"⇔ "&amp;INDEX(ポート振替表!$H$5:$H$3507,$L3084)&amp;" "&amp;INDEX(ポート振替表!$I$5:$I$3507,$L3084))</f>
        <v/>
      </c>
      <c r="L3084" s="47" t="str">
        <f aca="false">IFERROR(MATCH(ROW()-4,ポート振替表!$V$5:$V$3507,0),"")</f>
        <v/>
      </c>
    </row>
    <row r="3085" customFormat="false" ht="16.4" hidden="false" customHeight="false" outlineLevel="0" collapsed="false">
      <c r="A3085" s="32" t="str">
        <f aca="false">IF(L3085="","",ROW()-4)</f>
        <v/>
      </c>
      <c r="B3085" s="58" t="str">
        <f aca="false">IF(L3085="","",IF(INDEX(ポート振替表!$W$5:$W$3507,$L3085)="","(なし)",INDEX(ポート振替表!$W$5:$W$3507,$L3085)&amp;""))</f>
        <v/>
      </c>
      <c r="C3085" s="52" t="str">
        <f aca="false">IF(L3085="","",INDEX(ポート振替表!$B$5:$B$3507,$L3085)&amp;" "&amp;INDEX(ポート振替表!$C$5:$C$3507,$L3085)&amp;"  ⇔  "&amp;INDEX(ポート振替表!$H$5:$H$3507,$L3085)&amp;" "&amp;INDEX(ポート振替表!$I$5:$I$3507,$L3085))</f>
        <v/>
      </c>
      <c r="D3085" s="57" t="s">
        <v>158</v>
      </c>
      <c r="E3085" s="59" t="str">
        <f aca="false">IF(L3085="","",IF(INDEX(ポート振替表!$O$5:$O$3507,$L3085)="","(未設定)",INDEX(ポート振替表!$O$5:$O$3507,$L3085)&amp;""))</f>
        <v/>
      </c>
      <c r="F3085" s="52" t="str">
        <f aca="false">IF(L3085="","",INDEX(ポート振替表!$K$5:$K$3507,$L3085)&amp;" "&amp;INDEX(ポート振替表!$L$5:$L$3507,$L3085)&amp;"  ⇔  "&amp;INDEX(ポート振替表!$H$5:$H$3507,$L3085)&amp;" "&amp;INDEX(ポート振替表!$I$5:$I$3507,$L3085))</f>
        <v/>
      </c>
      <c r="G3085" s="57" t="s">
        <v>158</v>
      </c>
      <c r="H3085" s="32" t="str">
        <f aca="false">IF(L3085="","",INDEX(ポート振替表!$N$5:$N$3507,$L3085)&amp;"")</f>
        <v/>
      </c>
      <c r="I3085" s="32" t="str">
        <f aca="false">IF(L3085="","",INDEX(ポート振替表!$P$5:$P$3507,$L3085)&amp;"")</f>
        <v/>
      </c>
      <c r="J3085" s="60" t="str">
        <f aca="false">IF(L3085="","",INDEX(ポート振替表!$M$5:$M$3507,$L3085)&amp;"")</f>
        <v/>
      </c>
      <c r="K3085" s="52" t="str">
        <f aca="false">IF(L3085="","",E3085&amp;CHAR(10)&amp;INDEX(ポート振替表!$K$5:$K$3507,$L3085)&amp;" "&amp;INDEX(ポート振替表!$L$5:$L$3507,$L3085)&amp;CHAR(10)&amp;"⇔ "&amp;INDEX(ポート振替表!$H$5:$H$3507,$L3085)&amp;" "&amp;INDEX(ポート振替表!$I$5:$I$3507,$L3085))</f>
        <v/>
      </c>
      <c r="L3085" s="47" t="str">
        <f aca="false">IFERROR(MATCH(ROW()-4,ポート振替表!$V$5:$V$3507,0),"")</f>
        <v/>
      </c>
    </row>
    <row r="3086" customFormat="false" ht="16.4" hidden="false" customHeight="false" outlineLevel="0" collapsed="false">
      <c r="A3086" s="32" t="str">
        <f aca="false">IF(L3086="","",ROW()-4)</f>
        <v/>
      </c>
      <c r="B3086" s="58" t="str">
        <f aca="false">IF(L3086="","",IF(INDEX(ポート振替表!$W$5:$W$3507,$L3086)="","(なし)",INDEX(ポート振替表!$W$5:$W$3507,$L3086)&amp;""))</f>
        <v/>
      </c>
      <c r="C3086" s="52" t="str">
        <f aca="false">IF(L3086="","",INDEX(ポート振替表!$B$5:$B$3507,$L3086)&amp;" "&amp;INDEX(ポート振替表!$C$5:$C$3507,$L3086)&amp;"  ⇔  "&amp;INDEX(ポート振替表!$H$5:$H$3507,$L3086)&amp;" "&amp;INDEX(ポート振替表!$I$5:$I$3507,$L3086))</f>
        <v/>
      </c>
      <c r="D3086" s="57" t="s">
        <v>158</v>
      </c>
      <c r="E3086" s="59" t="str">
        <f aca="false">IF(L3086="","",IF(INDEX(ポート振替表!$O$5:$O$3507,$L3086)="","(未設定)",INDEX(ポート振替表!$O$5:$O$3507,$L3086)&amp;""))</f>
        <v/>
      </c>
      <c r="F3086" s="52" t="str">
        <f aca="false">IF(L3086="","",INDEX(ポート振替表!$K$5:$K$3507,$L3086)&amp;" "&amp;INDEX(ポート振替表!$L$5:$L$3507,$L3086)&amp;"  ⇔  "&amp;INDEX(ポート振替表!$H$5:$H$3507,$L3086)&amp;" "&amp;INDEX(ポート振替表!$I$5:$I$3507,$L3086))</f>
        <v/>
      </c>
      <c r="G3086" s="57" t="s">
        <v>158</v>
      </c>
      <c r="H3086" s="32" t="str">
        <f aca="false">IF(L3086="","",INDEX(ポート振替表!$N$5:$N$3507,$L3086)&amp;"")</f>
        <v/>
      </c>
      <c r="I3086" s="32" t="str">
        <f aca="false">IF(L3086="","",INDEX(ポート振替表!$P$5:$P$3507,$L3086)&amp;"")</f>
        <v/>
      </c>
      <c r="J3086" s="60" t="str">
        <f aca="false">IF(L3086="","",INDEX(ポート振替表!$M$5:$M$3507,$L3086)&amp;"")</f>
        <v/>
      </c>
      <c r="K3086" s="52" t="str">
        <f aca="false">IF(L3086="","",E3086&amp;CHAR(10)&amp;INDEX(ポート振替表!$K$5:$K$3507,$L3086)&amp;" "&amp;INDEX(ポート振替表!$L$5:$L$3507,$L3086)&amp;CHAR(10)&amp;"⇔ "&amp;INDEX(ポート振替表!$H$5:$H$3507,$L3086)&amp;" "&amp;INDEX(ポート振替表!$I$5:$I$3507,$L3086))</f>
        <v/>
      </c>
      <c r="L3086" s="47" t="str">
        <f aca="false">IFERROR(MATCH(ROW()-4,ポート振替表!$V$5:$V$3507,0),"")</f>
        <v/>
      </c>
    </row>
    <row r="3087" customFormat="false" ht="16.4" hidden="false" customHeight="false" outlineLevel="0" collapsed="false">
      <c r="A3087" s="32" t="str">
        <f aca="false">IF(L3087="","",ROW()-4)</f>
        <v/>
      </c>
      <c r="B3087" s="58" t="str">
        <f aca="false">IF(L3087="","",IF(INDEX(ポート振替表!$W$5:$W$3507,$L3087)="","(なし)",INDEX(ポート振替表!$W$5:$W$3507,$L3087)&amp;""))</f>
        <v/>
      </c>
      <c r="C3087" s="52" t="str">
        <f aca="false">IF(L3087="","",INDEX(ポート振替表!$B$5:$B$3507,$L3087)&amp;" "&amp;INDEX(ポート振替表!$C$5:$C$3507,$L3087)&amp;"  ⇔  "&amp;INDEX(ポート振替表!$H$5:$H$3507,$L3087)&amp;" "&amp;INDEX(ポート振替表!$I$5:$I$3507,$L3087))</f>
        <v/>
      </c>
      <c r="D3087" s="57" t="s">
        <v>158</v>
      </c>
      <c r="E3087" s="59" t="str">
        <f aca="false">IF(L3087="","",IF(INDEX(ポート振替表!$O$5:$O$3507,$L3087)="","(未設定)",INDEX(ポート振替表!$O$5:$O$3507,$L3087)&amp;""))</f>
        <v/>
      </c>
      <c r="F3087" s="52" t="str">
        <f aca="false">IF(L3087="","",INDEX(ポート振替表!$K$5:$K$3507,$L3087)&amp;" "&amp;INDEX(ポート振替表!$L$5:$L$3507,$L3087)&amp;"  ⇔  "&amp;INDEX(ポート振替表!$H$5:$H$3507,$L3087)&amp;" "&amp;INDEX(ポート振替表!$I$5:$I$3507,$L3087))</f>
        <v/>
      </c>
      <c r="G3087" s="57" t="s">
        <v>158</v>
      </c>
      <c r="H3087" s="32" t="str">
        <f aca="false">IF(L3087="","",INDEX(ポート振替表!$N$5:$N$3507,$L3087)&amp;"")</f>
        <v/>
      </c>
      <c r="I3087" s="32" t="str">
        <f aca="false">IF(L3087="","",INDEX(ポート振替表!$P$5:$P$3507,$L3087)&amp;"")</f>
        <v/>
      </c>
      <c r="J3087" s="60" t="str">
        <f aca="false">IF(L3087="","",INDEX(ポート振替表!$M$5:$M$3507,$L3087)&amp;"")</f>
        <v/>
      </c>
      <c r="K3087" s="52" t="str">
        <f aca="false">IF(L3087="","",E3087&amp;CHAR(10)&amp;INDEX(ポート振替表!$K$5:$K$3507,$L3087)&amp;" "&amp;INDEX(ポート振替表!$L$5:$L$3507,$L3087)&amp;CHAR(10)&amp;"⇔ "&amp;INDEX(ポート振替表!$H$5:$H$3507,$L3087)&amp;" "&amp;INDEX(ポート振替表!$I$5:$I$3507,$L3087))</f>
        <v/>
      </c>
      <c r="L3087" s="47" t="str">
        <f aca="false">IFERROR(MATCH(ROW()-4,ポート振替表!$V$5:$V$3507,0),"")</f>
        <v/>
      </c>
    </row>
    <row r="3088" customFormat="false" ht="16.4" hidden="false" customHeight="false" outlineLevel="0" collapsed="false">
      <c r="A3088" s="32" t="str">
        <f aca="false">IF(L3088="","",ROW()-4)</f>
        <v/>
      </c>
      <c r="B3088" s="58" t="str">
        <f aca="false">IF(L3088="","",IF(INDEX(ポート振替表!$W$5:$W$3507,$L3088)="","(なし)",INDEX(ポート振替表!$W$5:$W$3507,$L3088)&amp;""))</f>
        <v/>
      </c>
      <c r="C3088" s="52" t="str">
        <f aca="false">IF(L3088="","",INDEX(ポート振替表!$B$5:$B$3507,$L3088)&amp;" "&amp;INDEX(ポート振替表!$C$5:$C$3507,$L3088)&amp;"  ⇔  "&amp;INDEX(ポート振替表!$H$5:$H$3507,$L3088)&amp;" "&amp;INDEX(ポート振替表!$I$5:$I$3507,$L3088))</f>
        <v/>
      </c>
      <c r="D3088" s="57" t="s">
        <v>158</v>
      </c>
      <c r="E3088" s="59" t="str">
        <f aca="false">IF(L3088="","",IF(INDEX(ポート振替表!$O$5:$O$3507,$L3088)="","(未設定)",INDEX(ポート振替表!$O$5:$O$3507,$L3088)&amp;""))</f>
        <v/>
      </c>
      <c r="F3088" s="52" t="str">
        <f aca="false">IF(L3088="","",INDEX(ポート振替表!$K$5:$K$3507,$L3088)&amp;" "&amp;INDEX(ポート振替表!$L$5:$L$3507,$L3088)&amp;"  ⇔  "&amp;INDEX(ポート振替表!$H$5:$H$3507,$L3088)&amp;" "&amp;INDEX(ポート振替表!$I$5:$I$3507,$L3088))</f>
        <v/>
      </c>
      <c r="G3088" s="57" t="s">
        <v>158</v>
      </c>
      <c r="H3088" s="32" t="str">
        <f aca="false">IF(L3088="","",INDEX(ポート振替表!$N$5:$N$3507,$L3088)&amp;"")</f>
        <v/>
      </c>
      <c r="I3088" s="32" t="str">
        <f aca="false">IF(L3088="","",INDEX(ポート振替表!$P$5:$P$3507,$L3088)&amp;"")</f>
        <v/>
      </c>
      <c r="J3088" s="60" t="str">
        <f aca="false">IF(L3088="","",INDEX(ポート振替表!$M$5:$M$3507,$L3088)&amp;"")</f>
        <v/>
      </c>
      <c r="K3088" s="52" t="str">
        <f aca="false">IF(L3088="","",E3088&amp;CHAR(10)&amp;INDEX(ポート振替表!$K$5:$K$3507,$L3088)&amp;" "&amp;INDEX(ポート振替表!$L$5:$L$3507,$L3088)&amp;CHAR(10)&amp;"⇔ "&amp;INDEX(ポート振替表!$H$5:$H$3507,$L3088)&amp;" "&amp;INDEX(ポート振替表!$I$5:$I$3507,$L3088))</f>
        <v/>
      </c>
      <c r="L3088" s="47" t="str">
        <f aca="false">IFERROR(MATCH(ROW()-4,ポート振替表!$V$5:$V$3507,0),"")</f>
        <v/>
      </c>
    </row>
    <row r="3089" customFormat="false" ht="16.4" hidden="false" customHeight="false" outlineLevel="0" collapsed="false">
      <c r="A3089" s="32" t="str">
        <f aca="false">IF(L3089="","",ROW()-4)</f>
        <v/>
      </c>
      <c r="B3089" s="58" t="str">
        <f aca="false">IF(L3089="","",IF(INDEX(ポート振替表!$W$5:$W$3507,$L3089)="","(なし)",INDEX(ポート振替表!$W$5:$W$3507,$L3089)&amp;""))</f>
        <v/>
      </c>
      <c r="C3089" s="52" t="str">
        <f aca="false">IF(L3089="","",INDEX(ポート振替表!$B$5:$B$3507,$L3089)&amp;" "&amp;INDEX(ポート振替表!$C$5:$C$3507,$L3089)&amp;"  ⇔  "&amp;INDEX(ポート振替表!$H$5:$H$3507,$L3089)&amp;" "&amp;INDEX(ポート振替表!$I$5:$I$3507,$L3089))</f>
        <v/>
      </c>
      <c r="D3089" s="57" t="s">
        <v>158</v>
      </c>
      <c r="E3089" s="59" t="str">
        <f aca="false">IF(L3089="","",IF(INDEX(ポート振替表!$O$5:$O$3507,$L3089)="","(未設定)",INDEX(ポート振替表!$O$5:$O$3507,$L3089)&amp;""))</f>
        <v/>
      </c>
      <c r="F3089" s="52" t="str">
        <f aca="false">IF(L3089="","",INDEX(ポート振替表!$K$5:$K$3507,$L3089)&amp;" "&amp;INDEX(ポート振替表!$L$5:$L$3507,$L3089)&amp;"  ⇔  "&amp;INDEX(ポート振替表!$H$5:$H$3507,$L3089)&amp;" "&amp;INDEX(ポート振替表!$I$5:$I$3507,$L3089))</f>
        <v/>
      </c>
      <c r="G3089" s="57" t="s">
        <v>158</v>
      </c>
      <c r="H3089" s="32" t="str">
        <f aca="false">IF(L3089="","",INDEX(ポート振替表!$N$5:$N$3507,$L3089)&amp;"")</f>
        <v/>
      </c>
      <c r="I3089" s="32" t="str">
        <f aca="false">IF(L3089="","",INDEX(ポート振替表!$P$5:$P$3507,$L3089)&amp;"")</f>
        <v/>
      </c>
      <c r="J3089" s="60" t="str">
        <f aca="false">IF(L3089="","",INDEX(ポート振替表!$M$5:$M$3507,$L3089)&amp;"")</f>
        <v/>
      </c>
      <c r="K3089" s="52" t="str">
        <f aca="false">IF(L3089="","",E3089&amp;CHAR(10)&amp;INDEX(ポート振替表!$K$5:$K$3507,$L3089)&amp;" "&amp;INDEX(ポート振替表!$L$5:$L$3507,$L3089)&amp;CHAR(10)&amp;"⇔ "&amp;INDEX(ポート振替表!$H$5:$H$3507,$L3089)&amp;" "&amp;INDEX(ポート振替表!$I$5:$I$3507,$L3089))</f>
        <v/>
      </c>
      <c r="L3089" s="47" t="str">
        <f aca="false">IFERROR(MATCH(ROW()-4,ポート振替表!$V$5:$V$3507,0),"")</f>
        <v/>
      </c>
    </row>
    <row r="3090" customFormat="false" ht="16.4" hidden="false" customHeight="false" outlineLevel="0" collapsed="false">
      <c r="A3090" s="32" t="str">
        <f aca="false">IF(L3090="","",ROW()-4)</f>
        <v/>
      </c>
      <c r="B3090" s="58" t="str">
        <f aca="false">IF(L3090="","",IF(INDEX(ポート振替表!$W$5:$W$3507,$L3090)="","(なし)",INDEX(ポート振替表!$W$5:$W$3507,$L3090)&amp;""))</f>
        <v/>
      </c>
      <c r="C3090" s="52" t="str">
        <f aca="false">IF(L3090="","",INDEX(ポート振替表!$B$5:$B$3507,$L3090)&amp;" "&amp;INDEX(ポート振替表!$C$5:$C$3507,$L3090)&amp;"  ⇔  "&amp;INDEX(ポート振替表!$H$5:$H$3507,$L3090)&amp;" "&amp;INDEX(ポート振替表!$I$5:$I$3507,$L3090))</f>
        <v/>
      </c>
      <c r="D3090" s="57" t="s">
        <v>158</v>
      </c>
      <c r="E3090" s="59" t="str">
        <f aca="false">IF(L3090="","",IF(INDEX(ポート振替表!$O$5:$O$3507,$L3090)="","(未設定)",INDEX(ポート振替表!$O$5:$O$3507,$L3090)&amp;""))</f>
        <v/>
      </c>
      <c r="F3090" s="52" t="str">
        <f aca="false">IF(L3090="","",INDEX(ポート振替表!$K$5:$K$3507,$L3090)&amp;" "&amp;INDEX(ポート振替表!$L$5:$L$3507,$L3090)&amp;"  ⇔  "&amp;INDEX(ポート振替表!$H$5:$H$3507,$L3090)&amp;" "&amp;INDEX(ポート振替表!$I$5:$I$3507,$L3090))</f>
        <v/>
      </c>
      <c r="G3090" s="57" t="s">
        <v>158</v>
      </c>
      <c r="H3090" s="32" t="str">
        <f aca="false">IF(L3090="","",INDEX(ポート振替表!$N$5:$N$3507,$L3090)&amp;"")</f>
        <v/>
      </c>
      <c r="I3090" s="32" t="str">
        <f aca="false">IF(L3090="","",INDEX(ポート振替表!$P$5:$P$3507,$L3090)&amp;"")</f>
        <v/>
      </c>
      <c r="J3090" s="60" t="str">
        <f aca="false">IF(L3090="","",INDEX(ポート振替表!$M$5:$M$3507,$L3090)&amp;"")</f>
        <v/>
      </c>
      <c r="K3090" s="52" t="str">
        <f aca="false">IF(L3090="","",E3090&amp;CHAR(10)&amp;INDEX(ポート振替表!$K$5:$K$3507,$L3090)&amp;" "&amp;INDEX(ポート振替表!$L$5:$L$3507,$L3090)&amp;CHAR(10)&amp;"⇔ "&amp;INDEX(ポート振替表!$H$5:$H$3507,$L3090)&amp;" "&amp;INDEX(ポート振替表!$I$5:$I$3507,$L3090))</f>
        <v/>
      </c>
      <c r="L3090" s="47" t="str">
        <f aca="false">IFERROR(MATCH(ROW()-4,ポート振替表!$V$5:$V$3507,0),"")</f>
        <v/>
      </c>
    </row>
    <row r="3091" customFormat="false" ht="16.4" hidden="false" customHeight="false" outlineLevel="0" collapsed="false">
      <c r="A3091" s="32" t="str">
        <f aca="false">IF(L3091="","",ROW()-4)</f>
        <v/>
      </c>
      <c r="B3091" s="58" t="str">
        <f aca="false">IF(L3091="","",IF(INDEX(ポート振替表!$W$5:$W$3507,$L3091)="","(なし)",INDEX(ポート振替表!$W$5:$W$3507,$L3091)&amp;""))</f>
        <v/>
      </c>
      <c r="C3091" s="52" t="str">
        <f aca="false">IF(L3091="","",INDEX(ポート振替表!$B$5:$B$3507,$L3091)&amp;" "&amp;INDEX(ポート振替表!$C$5:$C$3507,$L3091)&amp;"  ⇔  "&amp;INDEX(ポート振替表!$H$5:$H$3507,$L3091)&amp;" "&amp;INDEX(ポート振替表!$I$5:$I$3507,$L3091))</f>
        <v/>
      </c>
      <c r="D3091" s="57" t="s">
        <v>158</v>
      </c>
      <c r="E3091" s="59" t="str">
        <f aca="false">IF(L3091="","",IF(INDEX(ポート振替表!$O$5:$O$3507,$L3091)="","(未設定)",INDEX(ポート振替表!$O$5:$O$3507,$L3091)&amp;""))</f>
        <v/>
      </c>
      <c r="F3091" s="52" t="str">
        <f aca="false">IF(L3091="","",INDEX(ポート振替表!$K$5:$K$3507,$L3091)&amp;" "&amp;INDEX(ポート振替表!$L$5:$L$3507,$L3091)&amp;"  ⇔  "&amp;INDEX(ポート振替表!$H$5:$H$3507,$L3091)&amp;" "&amp;INDEX(ポート振替表!$I$5:$I$3507,$L3091))</f>
        <v/>
      </c>
      <c r="G3091" s="57" t="s">
        <v>158</v>
      </c>
      <c r="H3091" s="32" t="str">
        <f aca="false">IF(L3091="","",INDEX(ポート振替表!$N$5:$N$3507,$L3091)&amp;"")</f>
        <v/>
      </c>
      <c r="I3091" s="32" t="str">
        <f aca="false">IF(L3091="","",INDEX(ポート振替表!$P$5:$P$3507,$L3091)&amp;"")</f>
        <v/>
      </c>
      <c r="J3091" s="60" t="str">
        <f aca="false">IF(L3091="","",INDEX(ポート振替表!$M$5:$M$3507,$L3091)&amp;"")</f>
        <v/>
      </c>
      <c r="K3091" s="52" t="str">
        <f aca="false">IF(L3091="","",E3091&amp;CHAR(10)&amp;INDEX(ポート振替表!$K$5:$K$3507,$L3091)&amp;" "&amp;INDEX(ポート振替表!$L$5:$L$3507,$L3091)&amp;CHAR(10)&amp;"⇔ "&amp;INDEX(ポート振替表!$H$5:$H$3507,$L3091)&amp;" "&amp;INDEX(ポート振替表!$I$5:$I$3507,$L3091))</f>
        <v/>
      </c>
      <c r="L3091" s="47" t="str">
        <f aca="false">IFERROR(MATCH(ROW()-4,ポート振替表!$V$5:$V$3507,0),"")</f>
        <v/>
      </c>
    </row>
    <row r="3092" customFormat="false" ht="16.4" hidden="false" customHeight="false" outlineLevel="0" collapsed="false">
      <c r="A3092" s="32" t="str">
        <f aca="false">IF(L3092="","",ROW()-4)</f>
        <v/>
      </c>
      <c r="B3092" s="58" t="str">
        <f aca="false">IF(L3092="","",IF(INDEX(ポート振替表!$W$5:$W$3507,$L3092)="","(なし)",INDEX(ポート振替表!$W$5:$W$3507,$L3092)&amp;""))</f>
        <v/>
      </c>
      <c r="C3092" s="52" t="str">
        <f aca="false">IF(L3092="","",INDEX(ポート振替表!$B$5:$B$3507,$L3092)&amp;" "&amp;INDEX(ポート振替表!$C$5:$C$3507,$L3092)&amp;"  ⇔  "&amp;INDEX(ポート振替表!$H$5:$H$3507,$L3092)&amp;" "&amp;INDEX(ポート振替表!$I$5:$I$3507,$L3092))</f>
        <v/>
      </c>
      <c r="D3092" s="57" t="s">
        <v>158</v>
      </c>
      <c r="E3092" s="59" t="str">
        <f aca="false">IF(L3092="","",IF(INDEX(ポート振替表!$O$5:$O$3507,$L3092)="","(未設定)",INDEX(ポート振替表!$O$5:$O$3507,$L3092)&amp;""))</f>
        <v/>
      </c>
      <c r="F3092" s="52" t="str">
        <f aca="false">IF(L3092="","",INDEX(ポート振替表!$K$5:$K$3507,$L3092)&amp;" "&amp;INDEX(ポート振替表!$L$5:$L$3507,$L3092)&amp;"  ⇔  "&amp;INDEX(ポート振替表!$H$5:$H$3507,$L3092)&amp;" "&amp;INDEX(ポート振替表!$I$5:$I$3507,$L3092))</f>
        <v/>
      </c>
      <c r="G3092" s="57" t="s">
        <v>158</v>
      </c>
      <c r="H3092" s="32" t="str">
        <f aca="false">IF(L3092="","",INDEX(ポート振替表!$N$5:$N$3507,$L3092)&amp;"")</f>
        <v/>
      </c>
      <c r="I3092" s="32" t="str">
        <f aca="false">IF(L3092="","",INDEX(ポート振替表!$P$5:$P$3507,$L3092)&amp;"")</f>
        <v/>
      </c>
      <c r="J3092" s="60" t="str">
        <f aca="false">IF(L3092="","",INDEX(ポート振替表!$M$5:$M$3507,$L3092)&amp;"")</f>
        <v/>
      </c>
      <c r="K3092" s="52" t="str">
        <f aca="false">IF(L3092="","",E3092&amp;CHAR(10)&amp;INDEX(ポート振替表!$K$5:$K$3507,$L3092)&amp;" "&amp;INDEX(ポート振替表!$L$5:$L$3507,$L3092)&amp;CHAR(10)&amp;"⇔ "&amp;INDEX(ポート振替表!$H$5:$H$3507,$L3092)&amp;" "&amp;INDEX(ポート振替表!$I$5:$I$3507,$L3092))</f>
        <v/>
      </c>
      <c r="L3092" s="47" t="str">
        <f aca="false">IFERROR(MATCH(ROW()-4,ポート振替表!$V$5:$V$3507,0),"")</f>
        <v/>
      </c>
    </row>
    <row r="3093" customFormat="false" ht="16.4" hidden="false" customHeight="false" outlineLevel="0" collapsed="false">
      <c r="A3093" s="32" t="str">
        <f aca="false">IF(L3093="","",ROW()-4)</f>
        <v/>
      </c>
      <c r="B3093" s="58" t="str">
        <f aca="false">IF(L3093="","",IF(INDEX(ポート振替表!$W$5:$W$3507,$L3093)="","(なし)",INDEX(ポート振替表!$W$5:$W$3507,$L3093)&amp;""))</f>
        <v/>
      </c>
      <c r="C3093" s="52" t="str">
        <f aca="false">IF(L3093="","",INDEX(ポート振替表!$B$5:$B$3507,$L3093)&amp;" "&amp;INDEX(ポート振替表!$C$5:$C$3507,$L3093)&amp;"  ⇔  "&amp;INDEX(ポート振替表!$H$5:$H$3507,$L3093)&amp;" "&amp;INDEX(ポート振替表!$I$5:$I$3507,$L3093))</f>
        <v/>
      </c>
      <c r="D3093" s="57" t="s">
        <v>158</v>
      </c>
      <c r="E3093" s="59" t="str">
        <f aca="false">IF(L3093="","",IF(INDEX(ポート振替表!$O$5:$O$3507,$L3093)="","(未設定)",INDEX(ポート振替表!$O$5:$O$3507,$L3093)&amp;""))</f>
        <v/>
      </c>
      <c r="F3093" s="52" t="str">
        <f aca="false">IF(L3093="","",INDEX(ポート振替表!$K$5:$K$3507,$L3093)&amp;" "&amp;INDEX(ポート振替表!$L$5:$L$3507,$L3093)&amp;"  ⇔  "&amp;INDEX(ポート振替表!$H$5:$H$3507,$L3093)&amp;" "&amp;INDEX(ポート振替表!$I$5:$I$3507,$L3093))</f>
        <v/>
      </c>
      <c r="G3093" s="57" t="s">
        <v>158</v>
      </c>
      <c r="H3093" s="32" t="str">
        <f aca="false">IF(L3093="","",INDEX(ポート振替表!$N$5:$N$3507,$L3093)&amp;"")</f>
        <v/>
      </c>
      <c r="I3093" s="32" t="str">
        <f aca="false">IF(L3093="","",INDEX(ポート振替表!$P$5:$P$3507,$L3093)&amp;"")</f>
        <v/>
      </c>
      <c r="J3093" s="60" t="str">
        <f aca="false">IF(L3093="","",INDEX(ポート振替表!$M$5:$M$3507,$L3093)&amp;"")</f>
        <v/>
      </c>
      <c r="K3093" s="52" t="str">
        <f aca="false">IF(L3093="","",E3093&amp;CHAR(10)&amp;INDEX(ポート振替表!$K$5:$K$3507,$L3093)&amp;" "&amp;INDEX(ポート振替表!$L$5:$L$3507,$L3093)&amp;CHAR(10)&amp;"⇔ "&amp;INDEX(ポート振替表!$H$5:$H$3507,$L3093)&amp;" "&amp;INDEX(ポート振替表!$I$5:$I$3507,$L3093))</f>
        <v/>
      </c>
      <c r="L3093" s="47" t="str">
        <f aca="false">IFERROR(MATCH(ROW()-4,ポート振替表!$V$5:$V$3507,0),"")</f>
        <v/>
      </c>
    </row>
    <row r="3094" customFormat="false" ht="16.4" hidden="false" customHeight="false" outlineLevel="0" collapsed="false">
      <c r="A3094" s="32" t="str">
        <f aca="false">IF(L3094="","",ROW()-4)</f>
        <v/>
      </c>
      <c r="B3094" s="58" t="str">
        <f aca="false">IF(L3094="","",IF(INDEX(ポート振替表!$W$5:$W$3507,$L3094)="","(なし)",INDEX(ポート振替表!$W$5:$W$3507,$L3094)&amp;""))</f>
        <v/>
      </c>
      <c r="C3094" s="52" t="str">
        <f aca="false">IF(L3094="","",INDEX(ポート振替表!$B$5:$B$3507,$L3094)&amp;" "&amp;INDEX(ポート振替表!$C$5:$C$3507,$L3094)&amp;"  ⇔  "&amp;INDEX(ポート振替表!$H$5:$H$3507,$L3094)&amp;" "&amp;INDEX(ポート振替表!$I$5:$I$3507,$L3094))</f>
        <v/>
      </c>
      <c r="D3094" s="57" t="s">
        <v>158</v>
      </c>
      <c r="E3094" s="59" t="str">
        <f aca="false">IF(L3094="","",IF(INDEX(ポート振替表!$O$5:$O$3507,$L3094)="","(未設定)",INDEX(ポート振替表!$O$5:$O$3507,$L3094)&amp;""))</f>
        <v/>
      </c>
      <c r="F3094" s="52" t="str">
        <f aca="false">IF(L3094="","",INDEX(ポート振替表!$K$5:$K$3507,$L3094)&amp;" "&amp;INDEX(ポート振替表!$L$5:$L$3507,$L3094)&amp;"  ⇔  "&amp;INDEX(ポート振替表!$H$5:$H$3507,$L3094)&amp;" "&amp;INDEX(ポート振替表!$I$5:$I$3507,$L3094))</f>
        <v/>
      </c>
      <c r="G3094" s="57" t="s">
        <v>158</v>
      </c>
      <c r="H3094" s="32" t="str">
        <f aca="false">IF(L3094="","",INDEX(ポート振替表!$N$5:$N$3507,$L3094)&amp;"")</f>
        <v/>
      </c>
      <c r="I3094" s="32" t="str">
        <f aca="false">IF(L3094="","",INDEX(ポート振替表!$P$5:$P$3507,$L3094)&amp;"")</f>
        <v/>
      </c>
      <c r="J3094" s="60" t="str">
        <f aca="false">IF(L3094="","",INDEX(ポート振替表!$M$5:$M$3507,$L3094)&amp;"")</f>
        <v/>
      </c>
      <c r="K3094" s="52" t="str">
        <f aca="false">IF(L3094="","",E3094&amp;CHAR(10)&amp;INDEX(ポート振替表!$K$5:$K$3507,$L3094)&amp;" "&amp;INDEX(ポート振替表!$L$5:$L$3507,$L3094)&amp;CHAR(10)&amp;"⇔ "&amp;INDEX(ポート振替表!$H$5:$H$3507,$L3094)&amp;" "&amp;INDEX(ポート振替表!$I$5:$I$3507,$L3094))</f>
        <v/>
      </c>
      <c r="L3094" s="47" t="str">
        <f aca="false">IFERROR(MATCH(ROW()-4,ポート振替表!$V$5:$V$3507,0),"")</f>
        <v/>
      </c>
    </row>
    <row r="3095" customFormat="false" ht="16.4" hidden="false" customHeight="false" outlineLevel="0" collapsed="false">
      <c r="A3095" s="32" t="str">
        <f aca="false">IF(L3095="","",ROW()-4)</f>
        <v/>
      </c>
      <c r="B3095" s="58" t="str">
        <f aca="false">IF(L3095="","",IF(INDEX(ポート振替表!$W$5:$W$3507,$L3095)="","(なし)",INDEX(ポート振替表!$W$5:$W$3507,$L3095)&amp;""))</f>
        <v/>
      </c>
      <c r="C3095" s="52" t="str">
        <f aca="false">IF(L3095="","",INDEX(ポート振替表!$B$5:$B$3507,$L3095)&amp;" "&amp;INDEX(ポート振替表!$C$5:$C$3507,$L3095)&amp;"  ⇔  "&amp;INDEX(ポート振替表!$H$5:$H$3507,$L3095)&amp;" "&amp;INDEX(ポート振替表!$I$5:$I$3507,$L3095))</f>
        <v/>
      </c>
      <c r="D3095" s="57" t="s">
        <v>158</v>
      </c>
      <c r="E3095" s="59" t="str">
        <f aca="false">IF(L3095="","",IF(INDEX(ポート振替表!$O$5:$O$3507,$L3095)="","(未設定)",INDEX(ポート振替表!$O$5:$O$3507,$L3095)&amp;""))</f>
        <v/>
      </c>
      <c r="F3095" s="52" t="str">
        <f aca="false">IF(L3095="","",INDEX(ポート振替表!$K$5:$K$3507,$L3095)&amp;" "&amp;INDEX(ポート振替表!$L$5:$L$3507,$L3095)&amp;"  ⇔  "&amp;INDEX(ポート振替表!$H$5:$H$3507,$L3095)&amp;" "&amp;INDEX(ポート振替表!$I$5:$I$3507,$L3095))</f>
        <v/>
      </c>
      <c r="G3095" s="57" t="s">
        <v>158</v>
      </c>
      <c r="H3095" s="32" t="str">
        <f aca="false">IF(L3095="","",INDEX(ポート振替表!$N$5:$N$3507,$L3095)&amp;"")</f>
        <v/>
      </c>
      <c r="I3095" s="32" t="str">
        <f aca="false">IF(L3095="","",INDEX(ポート振替表!$P$5:$P$3507,$L3095)&amp;"")</f>
        <v/>
      </c>
      <c r="J3095" s="60" t="str">
        <f aca="false">IF(L3095="","",INDEX(ポート振替表!$M$5:$M$3507,$L3095)&amp;"")</f>
        <v/>
      </c>
      <c r="K3095" s="52" t="str">
        <f aca="false">IF(L3095="","",E3095&amp;CHAR(10)&amp;INDEX(ポート振替表!$K$5:$K$3507,$L3095)&amp;" "&amp;INDEX(ポート振替表!$L$5:$L$3507,$L3095)&amp;CHAR(10)&amp;"⇔ "&amp;INDEX(ポート振替表!$H$5:$H$3507,$L3095)&amp;" "&amp;INDEX(ポート振替表!$I$5:$I$3507,$L3095))</f>
        <v/>
      </c>
      <c r="L3095" s="47" t="str">
        <f aca="false">IFERROR(MATCH(ROW()-4,ポート振替表!$V$5:$V$3507,0),"")</f>
        <v/>
      </c>
    </row>
    <row r="3096" customFormat="false" ht="16.4" hidden="false" customHeight="false" outlineLevel="0" collapsed="false">
      <c r="A3096" s="32" t="str">
        <f aca="false">IF(L3096="","",ROW()-4)</f>
        <v/>
      </c>
      <c r="B3096" s="58" t="str">
        <f aca="false">IF(L3096="","",IF(INDEX(ポート振替表!$W$5:$W$3507,$L3096)="","(なし)",INDEX(ポート振替表!$W$5:$W$3507,$L3096)&amp;""))</f>
        <v/>
      </c>
      <c r="C3096" s="52" t="str">
        <f aca="false">IF(L3096="","",INDEX(ポート振替表!$B$5:$B$3507,$L3096)&amp;" "&amp;INDEX(ポート振替表!$C$5:$C$3507,$L3096)&amp;"  ⇔  "&amp;INDEX(ポート振替表!$H$5:$H$3507,$L3096)&amp;" "&amp;INDEX(ポート振替表!$I$5:$I$3507,$L3096))</f>
        <v/>
      </c>
      <c r="D3096" s="57" t="s">
        <v>158</v>
      </c>
      <c r="E3096" s="59" t="str">
        <f aca="false">IF(L3096="","",IF(INDEX(ポート振替表!$O$5:$O$3507,$L3096)="","(未設定)",INDEX(ポート振替表!$O$5:$O$3507,$L3096)&amp;""))</f>
        <v/>
      </c>
      <c r="F3096" s="52" t="str">
        <f aca="false">IF(L3096="","",INDEX(ポート振替表!$K$5:$K$3507,$L3096)&amp;" "&amp;INDEX(ポート振替表!$L$5:$L$3507,$L3096)&amp;"  ⇔  "&amp;INDEX(ポート振替表!$H$5:$H$3507,$L3096)&amp;" "&amp;INDEX(ポート振替表!$I$5:$I$3507,$L3096))</f>
        <v/>
      </c>
      <c r="G3096" s="57" t="s">
        <v>158</v>
      </c>
      <c r="H3096" s="32" t="str">
        <f aca="false">IF(L3096="","",INDEX(ポート振替表!$N$5:$N$3507,$L3096)&amp;"")</f>
        <v/>
      </c>
      <c r="I3096" s="32" t="str">
        <f aca="false">IF(L3096="","",INDEX(ポート振替表!$P$5:$P$3507,$L3096)&amp;"")</f>
        <v/>
      </c>
      <c r="J3096" s="60" t="str">
        <f aca="false">IF(L3096="","",INDEX(ポート振替表!$M$5:$M$3507,$L3096)&amp;"")</f>
        <v/>
      </c>
      <c r="K3096" s="52" t="str">
        <f aca="false">IF(L3096="","",E3096&amp;CHAR(10)&amp;INDEX(ポート振替表!$K$5:$K$3507,$L3096)&amp;" "&amp;INDEX(ポート振替表!$L$5:$L$3507,$L3096)&amp;CHAR(10)&amp;"⇔ "&amp;INDEX(ポート振替表!$H$5:$H$3507,$L3096)&amp;" "&amp;INDEX(ポート振替表!$I$5:$I$3507,$L3096))</f>
        <v/>
      </c>
      <c r="L3096" s="47" t="str">
        <f aca="false">IFERROR(MATCH(ROW()-4,ポート振替表!$V$5:$V$3507,0),"")</f>
        <v/>
      </c>
    </row>
    <row r="3097" customFormat="false" ht="16.4" hidden="false" customHeight="false" outlineLevel="0" collapsed="false">
      <c r="A3097" s="32" t="str">
        <f aca="false">IF(L3097="","",ROW()-4)</f>
        <v/>
      </c>
      <c r="B3097" s="58" t="str">
        <f aca="false">IF(L3097="","",IF(INDEX(ポート振替表!$W$5:$W$3507,$L3097)="","(なし)",INDEX(ポート振替表!$W$5:$W$3507,$L3097)&amp;""))</f>
        <v/>
      </c>
      <c r="C3097" s="52" t="str">
        <f aca="false">IF(L3097="","",INDEX(ポート振替表!$B$5:$B$3507,$L3097)&amp;" "&amp;INDEX(ポート振替表!$C$5:$C$3507,$L3097)&amp;"  ⇔  "&amp;INDEX(ポート振替表!$H$5:$H$3507,$L3097)&amp;" "&amp;INDEX(ポート振替表!$I$5:$I$3507,$L3097))</f>
        <v/>
      </c>
      <c r="D3097" s="57" t="s">
        <v>158</v>
      </c>
      <c r="E3097" s="59" t="str">
        <f aca="false">IF(L3097="","",IF(INDEX(ポート振替表!$O$5:$O$3507,$L3097)="","(未設定)",INDEX(ポート振替表!$O$5:$O$3507,$L3097)&amp;""))</f>
        <v/>
      </c>
      <c r="F3097" s="52" t="str">
        <f aca="false">IF(L3097="","",INDEX(ポート振替表!$K$5:$K$3507,$L3097)&amp;" "&amp;INDEX(ポート振替表!$L$5:$L$3507,$L3097)&amp;"  ⇔  "&amp;INDEX(ポート振替表!$H$5:$H$3507,$L3097)&amp;" "&amp;INDEX(ポート振替表!$I$5:$I$3507,$L3097))</f>
        <v/>
      </c>
      <c r="G3097" s="57" t="s">
        <v>158</v>
      </c>
      <c r="H3097" s="32" t="str">
        <f aca="false">IF(L3097="","",INDEX(ポート振替表!$N$5:$N$3507,$L3097)&amp;"")</f>
        <v/>
      </c>
      <c r="I3097" s="32" t="str">
        <f aca="false">IF(L3097="","",INDEX(ポート振替表!$P$5:$P$3507,$L3097)&amp;"")</f>
        <v/>
      </c>
      <c r="J3097" s="60" t="str">
        <f aca="false">IF(L3097="","",INDEX(ポート振替表!$M$5:$M$3507,$L3097)&amp;"")</f>
        <v/>
      </c>
      <c r="K3097" s="52" t="str">
        <f aca="false">IF(L3097="","",E3097&amp;CHAR(10)&amp;INDEX(ポート振替表!$K$5:$K$3507,$L3097)&amp;" "&amp;INDEX(ポート振替表!$L$5:$L$3507,$L3097)&amp;CHAR(10)&amp;"⇔ "&amp;INDEX(ポート振替表!$H$5:$H$3507,$L3097)&amp;" "&amp;INDEX(ポート振替表!$I$5:$I$3507,$L3097))</f>
        <v/>
      </c>
      <c r="L3097" s="47" t="str">
        <f aca="false">IFERROR(MATCH(ROW()-4,ポート振替表!$V$5:$V$3507,0),"")</f>
        <v/>
      </c>
    </row>
    <row r="3098" customFormat="false" ht="16.4" hidden="false" customHeight="false" outlineLevel="0" collapsed="false">
      <c r="A3098" s="32" t="str">
        <f aca="false">IF(L3098="","",ROW()-4)</f>
        <v/>
      </c>
      <c r="B3098" s="58" t="str">
        <f aca="false">IF(L3098="","",IF(INDEX(ポート振替表!$W$5:$W$3507,$L3098)="","(なし)",INDEX(ポート振替表!$W$5:$W$3507,$L3098)&amp;""))</f>
        <v/>
      </c>
      <c r="C3098" s="52" t="str">
        <f aca="false">IF(L3098="","",INDEX(ポート振替表!$B$5:$B$3507,$L3098)&amp;" "&amp;INDEX(ポート振替表!$C$5:$C$3507,$L3098)&amp;"  ⇔  "&amp;INDEX(ポート振替表!$H$5:$H$3507,$L3098)&amp;" "&amp;INDEX(ポート振替表!$I$5:$I$3507,$L3098))</f>
        <v/>
      </c>
      <c r="D3098" s="57" t="s">
        <v>158</v>
      </c>
      <c r="E3098" s="59" t="str">
        <f aca="false">IF(L3098="","",IF(INDEX(ポート振替表!$O$5:$O$3507,$L3098)="","(未設定)",INDEX(ポート振替表!$O$5:$O$3507,$L3098)&amp;""))</f>
        <v/>
      </c>
      <c r="F3098" s="52" t="str">
        <f aca="false">IF(L3098="","",INDEX(ポート振替表!$K$5:$K$3507,$L3098)&amp;" "&amp;INDEX(ポート振替表!$L$5:$L$3507,$L3098)&amp;"  ⇔  "&amp;INDEX(ポート振替表!$H$5:$H$3507,$L3098)&amp;" "&amp;INDEX(ポート振替表!$I$5:$I$3507,$L3098))</f>
        <v/>
      </c>
      <c r="G3098" s="57" t="s">
        <v>158</v>
      </c>
      <c r="H3098" s="32" t="str">
        <f aca="false">IF(L3098="","",INDEX(ポート振替表!$N$5:$N$3507,$L3098)&amp;"")</f>
        <v/>
      </c>
      <c r="I3098" s="32" t="str">
        <f aca="false">IF(L3098="","",INDEX(ポート振替表!$P$5:$P$3507,$L3098)&amp;"")</f>
        <v/>
      </c>
      <c r="J3098" s="60" t="str">
        <f aca="false">IF(L3098="","",INDEX(ポート振替表!$M$5:$M$3507,$L3098)&amp;"")</f>
        <v/>
      </c>
      <c r="K3098" s="52" t="str">
        <f aca="false">IF(L3098="","",E3098&amp;CHAR(10)&amp;INDEX(ポート振替表!$K$5:$K$3507,$L3098)&amp;" "&amp;INDEX(ポート振替表!$L$5:$L$3507,$L3098)&amp;CHAR(10)&amp;"⇔ "&amp;INDEX(ポート振替表!$H$5:$H$3507,$L3098)&amp;" "&amp;INDEX(ポート振替表!$I$5:$I$3507,$L3098))</f>
        <v/>
      </c>
      <c r="L3098" s="47" t="str">
        <f aca="false">IFERROR(MATCH(ROW()-4,ポート振替表!$V$5:$V$3507,0),"")</f>
        <v/>
      </c>
    </row>
    <row r="3099" customFormat="false" ht="16.4" hidden="false" customHeight="false" outlineLevel="0" collapsed="false">
      <c r="A3099" s="32" t="str">
        <f aca="false">IF(L3099="","",ROW()-4)</f>
        <v/>
      </c>
      <c r="B3099" s="58" t="str">
        <f aca="false">IF(L3099="","",IF(INDEX(ポート振替表!$W$5:$W$3507,$L3099)="","(なし)",INDEX(ポート振替表!$W$5:$W$3507,$L3099)&amp;""))</f>
        <v/>
      </c>
      <c r="C3099" s="52" t="str">
        <f aca="false">IF(L3099="","",INDEX(ポート振替表!$B$5:$B$3507,$L3099)&amp;" "&amp;INDEX(ポート振替表!$C$5:$C$3507,$L3099)&amp;"  ⇔  "&amp;INDEX(ポート振替表!$H$5:$H$3507,$L3099)&amp;" "&amp;INDEX(ポート振替表!$I$5:$I$3507,$L3099))</f>
        <v/>
      </c>
      <c r="D3099" s="57" t="s">
        <v>158</v>
      </c>
      <c r="E3099" s="59" t="str">
        <f aca="false">IF(L3099="","",IF(INDEX(ポート振替表!$O$5:$O$3507,$L3099)="","(未設定)",INDEX(ポート振替表!$O$5:$O$3507,$L3099)&amp;""))</f>
        <v/>
      </c>
      <c r="F3099" s="52" t="str">
        <f aca="false">IF(L3099="","",INDEX(ポート振替表!$K$5:$K$3507,$L3099)&amp;" "&amp;INDEX(ポート振替表!$L$5:$L$3507,$L3099)&amp;"  ⇔  "&amp;INDEX(ポート振替表!$H$5:$H$3507,$L3099)&amp;" "&amp;INDEX(ポート振替表!$I$5:$I$3507,$L3099))</f>
        <v/>
      </c>
      <c r="G3099" s="57" t="s">
        <v>158</v>
      </c>
      <c r="H3099" s="32" t="str">
        <f aca="false">IF(L3099="","",INDEX(ポート振替表!$N$5:$N$3507,$L3099)&amp;"")</f>
        <v/>
      </c>
      <c r="I3099" s="32" t="str">
        <f aca="false">IF(L3099="","",INDEX(ポート振替表!$P$5:$P$3507,$L3099)&amp;"")</f>
        <v/>
      </c>
      <c r="J3099" s="60" t="str">
        <f aca="false">IF(L3099="","",INDEX(ポート振替表!$M$5:$M$3507,$L3099)&amp;"")</f>
        <v/>
      </c>
      <c r="K3099" s="52" t="str">
        <f aca="false">IF(L3099="","",E3099&amp;CHAR(10)&amp;INDEX(ポート振替表!$K$5:$K$3507,$L3099)&amp;" "&amp;INDEX(ポート振替表!$L$5:$L$3507,$L3099)&amp;CHAR(10)&amp;"⇔ "&amp;INDEX(ポート振替表!$H$5:$H$3507,$L3099)&amp;" "&amp;INDEX(ポート振替表!$I$5:$I$3507,$L3099))</f>
        <v/>
      </c>
      <c r="L3099" s="47" t="str">
        <f aca="false">IFERROR(MATCH(ROW()-4,ポート振替表!$V$5:$V$3507,0),"")</f>
        <v/>
      </c>
    </row>
    <row r="3100" customFormat="false" ht="16.4" hidden="false" customHeight="false" outlineLevel="0" collapsed="false">
      <c r="A3100" s="32" t="str">
        <f aca="false">IF(L3100="","",ROW()-4)</f>
        <v/>
      </c>
      <c r="B3100" s="58" t="str">
        <f aca="false">IF(L3100="","",IF(INDEX(ポート振替表!$W$5:$W$3507,$L3100)="","(なし)",INDEX(ポート振替表!$W$5:$W$3507,$L3100)&amp;""))</f>
        <v/>
      </c>
      <c r="C3100" s="52" t="str">
        <f aca="false">IF(L3100="","",INDEX(ポート振替表!$B$5:$B$3507,$L3100)&amp;" "&amp;INDEX(ポート振替表!$C$5:$C$3507,$L3100)&amp;"  ⇔  "&amp;INDEX(ポート振替表!$H$5:$H$3507,$L3100)&amp;" "&amp;INDEX(ポート振替表!$I$5:$I$3507,$L3100))</f>
        <v/>
      </c>
      <c r="D3100" s="57" t="s">
        <v>158</v>
      </c>
      <c r="E3100" s="59" t="str">
        <f aca="false">IF(L3100="","",IF(INDEX(ポート振替表!$O$5:$O$3507,$L3100)="","(未設定)",INDEX(ポート振替表!$O$5:$O$3507,$L3100)&amp;""))</f>
        <v/>
      </c>
      <c r="F3100" s="52" t="str">
        <f aca="false">IF(L3100="","",INDEX(ポート振替表!$K$5:$K$3507,$L3100)&amp;" "&amp;INDEX(ポート振替表!$L$5:$L$3507,$L3100)&amp;"  ⇔  "&amp;INDEX(ポート振替表!$H$5:$H$3507,$L3100)&amp;" "&amp;INDEX(ポート振替表!$I$5:$I$3507,$L3100))</f>
        <v/>
      </c>
      <c r="G3100" s="57" t="s">
        <v>158</v>
      </c>
      <c r="H3100" s="32" t="str">
        <f aca="false">IF(L3100="","",INDEX(ポート振替表!$N$5:$N$3507,$L3100)&amp;"")</f>
        <v/>
      </c>
      <c r="I3100" s="32" t="str">
        <f aca="false">IF(L3100="","",INDEX(ポート振替表!$P$5:$P$3507,$L3100)&amp;"")</f>
        <v/>
      </c>
      <c r="J3100" s="60" t="str">
        <f aca="false">IF(L3100="","",INDEX(ポート振替表!$M$5:$M$3507,$L3100)&amp;"")</f>
        <v/>
      </c>
      <c r="K3100" s="52" t="str">
        <f aca="false">IF(L3100="","",E3100&amp;CHAR(10)&amp;INDEX(ポート振替表!$K$5:$K$3507,$L3100)&amp;" "&amp;INDEX(ポート振替表!$L$5:$L$3507,$L3100)&amp;CHAR(10)&amp;"⇔ "&amp;INDEX(ポート振替表!$H$5:$H$3507,$L3100)&amp;" "&amp;INDEX(ポート振替表!$I$5:$I$3507,$L3100))</f>
        <v/>
      </c>
      <c r="L3100" s="47" t="str">
        <f aca="false">IFERROR(MATCH(ROW()-4,ポート振替表!$V$5:$V$3507,0),"")</f>
        <v/>
      </c>
    </row>
    <row r="3101" customFormat="false" ht="16.4" hidden="false" customHeight="false" outlineLevel="0" collapsed="false">
      <c r="A3101" s="32" t="str">
        <f aca="false">IF(L3101="","",ROW()-4)</f>
        <v/>
      </c>
      <c r="B3101" s="58" t="str">
        <f aca="false">IF(L3101="","",IF(INDEX(ポート振替表!$W$5:$W$3507,$L3101)="","(なし)",INDEX(ポート振替表!$W$5:$W$3507,$L3101)&amp;""))</f>
        <v/>
      </c>
      <c r="C3101" s="52" t="str">
        <f aca="false">IF(L3101="","",INDEX(ポート振替表!$B$5:$B$3507,$L3101)&amp;" "&amp;INDEX(ポート振替表!$C$5:$C$3507,$L3101)&amp;"  ⇔  "&amp;INDEX(ポート振替表!$H$5:$H$3507,$L3101)&amp;" "&amp;INDEX(ポート振替表!$I$5:$I$3507,$L3101))</f>
        <v/>
      </c>
      <c r="D3101" s="57" t="s">
        <v>158</v>
      </c>
      <c r="E3101" s="59" t="str">
        <f aca="false">IF(L3101="","",IF(INDEX(ポート振替表!$O$5:$O$3507,$L3101)="","(未設定)",INDEX(ポート振替表!$O$5:$O$3507,$L3101)&amp;""))</f>
        <v/>
      </c>
      <c r="F3101" s="52" t="str">
        <f aca="false">IF(L3101="","",INDEX(ポート振替表!$K$5:$K$3507,$L3101)&amp;" "&amp;INDEX(ポート振替表!$L$5:$L$3507,$L3101)&amp;"  ⇔  "&amp;INDEX(ポート振替表!$H$5:$H$3507,$L3101)&amp;" "&amp;INDEX(ポート振替表!$I$5:$I$3507,$L3101))</f>
        <v/>
      </c>
      <c r="G3101" s="57" t="s">
        <v>158</v>
      </c>
      <c r="H3101" s="32" t="str">
        <f aca="false">IF(L3101="","",INDEX(ポート振替表!$N$5:$N$3507,$L3101)&amp;"")</f>
        <v/>
      </c>
      <c r="I3101" s="32" t="str">
        <f aca="false">IF(L3101="","",INDEX(ポート振替表!$P$5:$P$3507,$L3101)&amp;"")</f>
        <v/>
      </c>
      <c r="J3101" s="60" t="str">
        <f aca="false">IF(L3101="","",INDEX(ポート振替表!$M$5:$M$3507,$L3101)&amp;"")</f>
        <v/>
      </c>
      <c r="K3101" s="52" t="str">
        <f aca="false">IF(L3101="","",E3101&amp;CHAR(10)&amp;INDEX(ポート振替表!$K$5:$K$3507,$L3101)&amp;" "&amp;INDEX(ポート振替表!$L$5:$L$3507,$L3101)&amp;CHAR(10)&amp;"⇔ "&amp;INDEX(ポート振替表!$H$5:$H$3507,$L3101)&amp;" "&amp;INDEX(ポート振替表!$I$5:$I$3507,$L3101))</f>
        <v/>
      </c>
      <c r="L3101" s="47" t="str">
        <f aca="false">IFERROR(MATCH(ROW()-4,ポート振替表!$V$5:$V$3507,0),"")</f>
        <v/>
      </c>
    </row>
    <row r="3102" customFormat="false" ht="16.4" hidden="false" customHeight="false" outlineLevel="0" collapsed="false">
      <c r="A3102" s="32" t="str">
        <f aca="false">IF(L3102="","",ROW()-4)</f>
        <v/>
      </c>
      <c r="B3102" s="58" t="str">
        <f aca="false">IF(L3102="","",IF(INDEX(ポート振替表!$W$5:$W$3507,$L3102)="","(なし)",INDEX(ポート振替表!$W$5:$W$3507,$L3102)&amp;""))</f>
        <v/>
      </c>
      <c r="C3102" s="52" t="str">
        <f aca="false">IF(L3102="","",INDEX(ポート振替表!$B$5:$B$3507,$L3102)&amp;" "&amp;INDEX(ポート振替表!$C$5:$C$3507,$L3102)&amp;"  ⇔  "&amp;INDEX(ポート振替表!$H$5:$H$3507,$L3102)&amp;" "&amp;INDEX(ポート振替表!$I$5:$I$3507,$L3102))</f>
        <v/>
      </c>
      <c r="D3102" s="57" t="s">
        <v>158</v>
      </c>
      <c r="E3102" s="59" t="str">
        <f aca="false">IF(L3102="","",IF(INDEX(ポート振替表!$O$5:$O$3507,$L3102)="","(未設定)",INDEX(ポート振替表!$O$5:$O$3507,$L3102)&amp;""))</f>
        <v/>
      </c>
      <c r="F3102" s="52" t="str">
        <f aca="false">IF(L3102="","",INDEX(ポート振替表!$K$5:$K$3507,$L3102)&amp;" "&amp;INDEX(ポート振替表!$L$5:$L$3507,$L3102)&amp;"  ⇔  "&amp;INDEX(ポート振替表!$H$5:$H$3507,$L3102)&amp;" "&amp;INDEX(ポート振替表!$I$5:$I$3507,$L3102))</f>
        <v/>
      </c>
      <c r="G3102" s="57" t="s">
        <v>158</v>
      </c>
      <c r="H3102" s="32" t="str">
        <f aca="false">IF(L3102="","",INDEX(ポート振替表!$N$5:$N$3507,$L3102)&amp;"")</f>
        <v/>
      </c>
      <c r="I3102" s="32" t="str">
        <f aca="false">IF(L3102="","",INDEX(ポート振替表!$P$5:$P$3507,$L3102)&amp;"")</f>
        <v/>
      </c>
      <c r="J3102" s="60" t="str">
        <f aca="false">IF(L3102="","",INDEX(ポート振替表!$M$5:$M$3507,$L3102)&amp;"")</f>
        <v/>
      </c>
      <c r="K3102" s="52" t="str">
        <f aca="false">IF(L3102="","",E3102&amp;CHAR(10)&amp;INDEX(ポート振替表!$K$5:$K$3507,$L3102)&amp;" "&amp;INDEX(ポート振替表!$L$5:$L$3507,$L3102)&amp;CHAR(10)&amp;"⇔ "&amp;INDEX(ポート振替表!$H$5:$H$3507,$L3102)&amp;" "&amp;INDEX(ポート振替表!$I$5:$I$3507,$L3102))</f>
        <v/>
      </c>
      <c r="L3102" s="47" t="str">
        <f aca="false">IFERROR(MATCH(ROW()-4,ポート振替表!$V$5:$V$3507,0),"")</f>
        <v/>
      </c>
    </row>
    <row r="3103" customFormat="false" ht="16.4" hidden="false" customHeight="false" outlineLevel="0" collapsed="false">
      <c r="A3103" s="32" t="str">
        <f aca="false">IF(L3103="","",ROW()-4)</f>
        <v/>
      </c>
      <c r="B3103" s="58" t="str">
        <f aca="false">IF(L3103="","",IF(INDEX(ポート振替表!$W$5:$W$3507,$L3103)="","(なし)",INDEX(ポート振替表!$W$5:$W$3507,$L3103)&amp;""))</f>
        <v/>
      </c>
      <c r="C3103" s="52" t="str">
        <f aca="false">IF(L3103="","",INDEX(ポート振替表!$B$5:$B$3507,$L3103)&amp;" "&amp;INDEX(ポート振替表!$C$5:$C$3507,$L3103)&amp;"  ⇔  "&amp;INDEX(ポート振替表!$H$5:$H$3507,$L3103)&amp;" "&amp;INDEX(ポート振替表!$I$5:$I$3507,$L3103))</f>
        <v/>
      </c>
      <c r="D3103" s="57" t="s">
        <v>158</v>
      </c>
      <c r="E3103" s="59" t="str">
        <f aca="false">IF(L3103="","",IF(INDEX(ポート振替表!$O$5:$O$3507,$L3103)="","(未設定)",INDEX(ポート振替表!$O$5:$O$3507,$L3103)&amp;""))</f>
        <v/>
      </c>
      <c r="F3103" s="52" t="str">
        <f aca="false">IF(L3103="","",INDEX(ポート振替表!$K$5:$K$3507,$L3103)&amp;" "&amp;INDEX(ポート振替表!$L$5:$L$3507,$L3103)&amp;"  ⇔  "&amp;INDEX(ポート振替表!$H$5:$H$3507,$L3103)&amp;" "&amp;INDEX(ポート振替表!$I$5:$I$3507,$L3103))</f>
        <v/>
      </c>
      <c r="G3103" s="57" t="s">
        <v>158</v>
      </c>
      <c r="H3103" s="32" t="str">
        <f aca="false">IF(L3103="","",INDEX(ポート振替表!$N$5:$N$3507,$L3103)&amp;"")</f>
        <v/>
      </c>
      <c r="I3103" s="32" t="str">
        <f aca="false">IF(L3103="","",INDEX(ポート振替表!$P$5:$P$3507,$L3103)&amp;"")</f>
        <v/>
      </c>
      <c r="J3103" s="60" t="str">
        <f aca="false">IF(L3103="","",INDEX(ポート振替表!$M$5:$M$3507,$L3103)&amp;"")</f>
        <v/>
      </c>
      <c r="K3103" s="52" t="str">
        <f aca="false">IF(L3103="","",E3103&amp;CHAR(10)&amp;INDEX(ポート振替表!$K$5:$K$3507,$L3103)&amp;" "&amp;INDEX(ポート振替表!$L$5:$L$3507,$L3103)&amp;CHAR(10)&amp;"⇔ "&amp;INDEX(ポート振替表!$H$5:$H$3507,$L3103)&amp;" "&amp;INDEX(ポート振替表!$I$5:$I$3507,$L3103))</f>
        <v/>
      </c>
      <c r="L3103" s="47" t="str">
        <f aca="false">IFERROR(MATCH(ROW()-4,ポート振替表!$V$5:$V$3507,0),"")</f>
        <v/>
      </c>
    </row>
    <row r="3104" customFormat="false" ht="16.4" hidden="false" customHeight="false" outlineLevel="0" collapsed="false">
      <c r="A3104" s="32" t="str">
        <f aca="false">IF(L3104="","",ROW()-4)</f>
        <v/>
      </c>
      <c r="B3104" s="58" t="str">
        <f aca="false">IF(L3104="","",IF(INDEX(ポート振替表!$W$5:$W$3507,$L3104)="","(なし)",INDEX(ポート振替表!$W$5:$W$3507,$L3104)&amp;""))</f>
        <v/>
      </c>
      <c r="C3104" s="52" t="str">
        <f aca="false">IF(L3104="","",INDEX(ポート振替表!$B$5:$B$3507,$L3104)&amp;" "&amp;INDEX(ポート振替表!$C$5:$C$3507,$L3104)&amp;"  ⇔  "&amp;INDEX(ポート振替表!$H$5:$H$3507,$L3104)&amp;" "&amp;INDEX(ポート振替表!$I$5:$I$3507,$L3104))</f>
        <v/>
      </c>
      <c r="D3104" s="57" t="s">
        <v>158</v>
      </c>
      <c r="E3104" s="59" t="str">
        <f aca="false">IF(L3104="","",IF(INDEX(ポート振替表!$O$5:$O$3507,$L3104)="","(未設定)",INDEX(ポート振替表!$O$5:$O$3507,$L3104)&amp;""))</f>
        <v/>
      </c>
      <c r="F3104" s="52" t="str">
        <f aca="false">IF(L3104="","",INDEX(ポート振替表!$K$5:$K$3507,$L3104)&amp;" "&amp;INDEX(ポート振替表!$L$5:$L$3507,$L3104)&amp;"  ⇔  "&amp;INDEX(ポート振替表!$H$5:$H$3507,$L3104)&amp;" "&amp;INDEX(ポート振替表!$I$5:$I$3507,$L3104))</f>
        <v/>
      </c>
      <c r="G3104" s="57" t="s">
        <v>158</v>
      </c>
      <c r="H3104" s="32" t="str">
        <f aca="false">IF(L3104="","",INDEX(ポート振替表!$N$5:$N$3507,$L3104)&amp;"")</f>
        <v/>
      </c>
      <c r="I3104" s="32" t="str">
        <f aca="false">IF(L3104="","",INDEX(ポート振替表!$P$5:$P$3507,$L3104)&amp;"")</f>
        <v/>
      </c>
      <c r="J3104" s="60" t="str">
        <f aca="false">IF(L3104="","",INDEX(ポート振替表!$M$5:$M$3507,$L3104)&amp;"")</f>
        <v/>
      </c>
      <c r="K3104" s="52" t="str">
        <f aca="false">IF(L3104="","",E3104&amp;CHAR(10)&amp;INDEX(ポート振替表!$K$5:$K$3507,$L3104)&amp;" "&amp;INDEX(ポート振替表!$L$5:$L$3507,$L3104)&amp;CHAR(10)&amp;"⇔ "&amp;INDEX(ポート振替表!$H$5:$H$3507,$L3104)&amp;" "&amp;INDEX(ポート振替表!$I$5:$I$3507,$L3104))</f>
        <v/>
      </c>
      <c r="L3104" s="47" t="str">
        <f aca="false">IFERROR(MATCH(ROW()-4,ポート振替表!$V$5:$V$3507,0),"")</f>
        <v/>
      </c>
    </row>
    <row r="3105" customFormat="false" ht="16.4" hidden="false" customHeight="false" outlineLevel="0" collapsed="false">
      <c r="A3105" s="32" t="str">
        <f aca="false">IF(L3105="","",ROW()-4)</f>
        <v/>
      </c>
      <c r="B3105" s="58" t="str">
        <f aca="false">IF(L3105="","",IF(INDEX(ポート振替表!$W$5:$W$3507,$L3105)="","(なし)",INDEX(ポート振替表!$W$5:$W$3507,$L3105)&amp;""))</f>
        <v/>
      </c>
      <c r="C3105" s="52" t="str">
        <f aca="false">IF(L3105="","",INDEX(ポート振替表!$B$5:$B$3507,$L3105)&amp;" "&amp;INDEX(ポート振替表!$C$5:$C$3507,$L3105)&amp;"  ⇔  "&amp;INDEX(ポート振替表!$H$5:$H$3507,$L3105)&amp;" "&amp;INDEX(ポート振替表!$I$5:$I$3507,$L3105))</f>
        <v/>
      </c>
      <c r="D3105" s="57" t="s">
        <v>158</v>
      </c>
      <c r="E3105" s="59" t="str">
        <f aca="false">IF(L3105="","",IF(INDEX(ポート振替表!$O$5:$O$3507,$L3105)="","(未設定)",INDEX(ポート振替表!$O$5:$O$3507,$L3105)&amp;""))</f>
        <v/>
      </c>
      <c r="F3105" s="52" t="str">
        <f aca="false">IF(L3105="","",INDEX(ポート振替表!$K$5:$K$3507,$L3105)&amp;" "&amp;INDEX(ポート振替表!$L$5:$L$3507,$L3105)&amp;"  ⇔  "&amp;INDEX(ポート振替表!$H$5:$H$3507,$L3105)&amp;" "&amp;INDEX(ポート振替表!$I$5:$I$3507,$L3105))</f>
        <v/>
      </c>
      <c r="G3105" s="57" t="s">
        <v>158</v>
      </c>
      <c r="H3105" s="32" t="str">
        <f aca="false">IF(L3105="","",INDEX(ポート振替表!$N$5:$N$3507,$L3105)&amp;"")</f>
        <v/>
      </c>
      <c r="I3105" s="32" t="str">
        <f aca="false">IF(L3105="","",INDEX(ポート振替表!$P$5:$P$3507,$L3105)&amp;"")</f>
        <v/>
      </c>
      <c r="J3105" s="60" t="str">
        <f aca="false">IF(L3105="","",INDEX(ポート振替表!$M$5:$M$3507,$L3105)&amp;"")</f>
        <v/>
      </c>
      <c r="K3105" s="52" t="str">
        <f aca="false">IF(L3105="","",E3105&amp;CHAR(10)&amp;INDEX(ポート振替表!$K$5:$K$3507,$L3105)&amp;" "&amp;INDEX(ポート振替表!$L$5:$L$3507,$L3105)&amp;CHAR(10)&amp;"⇔ "&amp;INDEX(ポート振替表!$H$5:$H$3507,$L3105)&amp;" "&amp;INDEX(ポート振替表!$I$5:$I$3507,$L3105))</f>
        <v/>
      </c>
      <c r="L3105" s="47" t="str">
        <f aca="false">IFERROR(MATCH(ROW()-4,ポート振替表!$V$5:$V$3507,0),"")</f>
        <v/>
      </c>
    </row>
    <row r="3106" customFormat="false" ht="16.4" hidden="false" customHeight="false" outlineLevel="0" collapsed="false">
      <c r="A3106" s="32" t="str">
        <f aca="false">IF(L3106="","",ROW()-4)</f>
        <v/>
      </c>
      <c r="B3106" s="58" t="str">
        <f aca="false">IF(L3106="","",IF(INDEX(ポート振替表!$W$5:$W$3507,$L3106)="","(なし)",INDEX(ポート振替表!$W$5:$W$3507,$L3106)&amp;""))</f>
        <v/>
      </c>
      <c r="C3106" s="52" t="str">
        <f aca="false">IF(L3106="","",INDEX(ポート振替表!$B$5:$B$3507,$L3106)&amp;" "&amp;INDEX(ポート振替表!$C$5:$C$3507,$L3106)&amp;"  ⇔  "&amp;INDEX(ポート振替表!$H$5:$H$3507,$L3106)&amp;" "&amp;INDEX(ポート振替表!$I$5:$I$3507,$L3106))</f>
        <v/>
      </c>
      <c r="D3106" s="57" t="s">
        <v>158</v>
      </c>
      <c r="E3106" s="59" t="str">
        <f aca="false">IF(L3106="","",IF(INDEX(ポート振替表!$O$5:$O$3507,$L3106)="","(未設定)",INDEX(ポート振替表!$O$5:$O$3507,$L3106)&amp;""))</f>
        <v/>
      </c>
      <c r="F3106" s="52" t="str">
        <f aca="false">IF(L3106="","",INDEX(ポート振替表!$K$5:$K$3507,$L3106)&amp;" "&amp;INDEX(ポート振替表!$L$5:$L$3507,$L3106)&amp;"  ⇔  "&amp;INDEX(ポート振替表!$H$5:$H$3507,$L3106)&amp;" "&amp;INDEX(ポート振替表!$I$5:$I$3507,$L3106))</f>
        <v/>
      </c>
      <c r="G3106" s="57" t="s">
        <v>158</v>
      </c>
      <c r="H3106" s="32" t="str">
        <f aca="false">IF(L3106="","",INDEX(ポート振替表!$N$5:$N$3507,$L3106)&amp;"")</f>
        <v/>
      </c>
      <c r="I3106" s="32" t="str">
        <f aca="false">IF(L3106="","",INDEX(ポート振替表!$P$5:$P$3507,$L3106)&amp;"")</f>
        <v/>
      </c>
      <c r="J3106" s="60" t="str">
        <f aca="false">IF(L3106="","",INDEX(ポート振替表!$M$5:$M$3507,$L3106)&amp;"")</f>
        <v/>
      </c>
      <c r="K3106" s="52" t="str">
        <f aca="false">IF(L3106="","",E3106&amp;CHAR(10)&amp;INDEX(ポート振替表!$K$5:$K$3507,$L3106)&amp;" "&amp;INDEX(ポート振替表!$L$5:$L$3507,$L3106)&amp;CHAR(10)&amp;"⇔ "&amp;INDEX(ポート振替表!$H$5:$H$3507,$L3106)&amp;" "&amp;INDEX(ポート振替表!$I$5:$I$3507,$L3106))</f>
        <v/>
      </c>
      <c r="L3106" s="47" t="str">
        <f aca="false">IFERROR(MATCH(ROW()-4,ポート振替表!$V$5:$V$3507,0),"")</f>
        <v/>
      </c>
    </row>
    <row r="3107" customFormat="false" ht="16.4" hidden="false" customHeight="false" outlineLevel="0" collapsed="false">
      <c r="A3107" s="32" t="str">
        <f aca="false">IF(L3107="","",ROW()-4)</f>
        <v/>
      </c>
      <c r="B3107" s="58" t="str">
        <f aca="false">IF(L3107="","",IF(INDEX(ポート振替表!$W$5:$W$3507,$L3107)="","(なし)",INDEX(ポート振替表!$W$5:$W$3507,$L3107)&amp;""))</f>
        <v/>
      </c>
      <c r="C3107" s="52" t="str">
        <f aca="false">IF(L3107="","",INDEX(ポート振替表!$B$5:$B$3507,$L3107)&amp;" "&amp;INDEX(ポート振替表!$C$5:$C$3507,$L3107)&amp;"  ⇔  "&amp;INDEX(ポート振替表!$H$5:$H$3507,$L3107)&amp;" "&amp;INDEX(ポート振替表!$I$5:$I$3507,$L3107))</f>
        <v/>
      </c>
      <c r="D3107" s="57" t="s">
        <v>158</v>
      </c>
      <c r="E3107" s="59" t="str">
        <f aca="false">IF(L3107="","",IF(INDEX(ポート振替表!$O$5:$O$3507,$L3107)="","(未設定)",INDEX(ポート振替表!$O$5:$O$3507,$L3107)&amp;""))</f>
        <v/>
      </c>
      <c r="F3107" s="52" t="str">
        <f aca="false">IF(L3107="","",INDEX(ポート振替表!$K$5:$K$3507,$L3107)&amp;" "&amp;INDEX(ポート振替表!$L$5:$L$3507,$L3107)&amp;"  ⇔  "&amp;INDEX(ポート振替表!$H$5:$H$3507,$L3107)&amp;" "&amp;INDEX(ポート振替表!$I$5:$I$3507,$L3107))</f>
        <v/>
      </c>
      <c r="G3107" s="57" t="s">
        <v>158</v>
      </c>
      <c r="H3107" s="32" t="str">
        <f aca="false">IF(L3107="","",INDEX(ポート振替表!$N$5:$N$3507,$L3107)&amp;"")</f>
        <v/>
      </c>
      <c r="I3107" s="32" t="str">
        <f aca="false">IF(L3107="","",INDEX(ポート振替表!$P$5:$P$3507,$L3107)&amp;"")</f>
        <v/>
      </c>
      <c r="J3107" s="60" t="str">
        <f aca="false">IF(L3107="","",INDEX(ポート振替表!$M$5:$M$3507,$L3107)&amp;"")</f>
        <v/>
      </c>
      <c r="K3107" s="52" t="str">
        <f aca="false">IF(L3107="","",E3107&amp;CHAR(10)&amp;INDEX(ポート振替表!$K$5:$K$3507,$L3107)&amp;" "&amp;INDEX(ポート振替表!$L$5:$L$3507,$L3107)&amp;CHAR(10)&amp;"⇔ "&amp;INDEX(ポート振替表!$H$5:$H$3507,$L3107)&amp;" "&amp;INDEX(ポート振替表!$I$5:$I$3507,$L3107))</f>
        <v/>
      </c>
      <c r="L3107" s="47" t="str">
        <f aca="false">IFERROR(MATCH(ROW()-4,ポート振替表!$V$5:$V$3507,0),"")</f>
        <v/>
      </c>
    </row>
    <row r="3108" customFormat="false" ht="16.4" hidden="false" customHeight="false" outlineLevel="0" collapsed="false">
      <c r="A3108" s="32" t="str">
        <f aca="false">IF(L3108="","",ROW()-4)</f>
        <v/>
      </c>
      <c r="B3108" s="58" t="str">
        <f aca="false">IF(L3108="","",IF(INDEX(ポート振替表!$W$5:$W$3507,$L3108)="","(なし)",INDEX(ポート振替表!$W$5:$W$3507,$L3108)&amp;""))</f>
        <v/>
      </c>
      <c r="C3108" s="52" t="str">
        <f aca="false">IF(L3108="","",INDEX(ポート振替表!$B$5:$B$3507,$L3108)&amp;" "&amp;INDEX(ポート振替表!$C$5:$C$3507,$L3108)&amp;"  ⇔  "&amp;INDEX(ポート振替表!$H$5:$H$3507,$L3108)&amp;" "&amp;INDEX(ポート振替表!$I$5:$I$3507,$L3108))</f>
        <v/>
      </c>
      <c r="D3108" s="57" t="s">
        <v>158</v>
      </c>
      <c r="E3108" s="59" t="str">
        <f aca="false">IF(L3108="","",IF(INDEX(ポート振替表!$O$5:$O$3507,$L3108)="","(未設定)",INDEX(ポート振替表!$O$5:$O$3507,$L3108)&amp;""))</f>
        <v/>
      </c>
      <c r="F3108" s="52" t="str">
        <f aca="false">IF(L3108="","",INDEX(ポート振替表!$K$5:$K$3507,$L3108)&amp;" "&amp;INDEX(ポート振替表!$L$5:$L$3507,$L3108)&amp;"  ⇔  "&amp;INDEX(ポート振替表!$H$5:$H$3507,$L3108)&amp;" "&amp;INDEX(ポート振替表!$I$5:$I$3507,$L3108))</f>
        <v/>
      </c>
      <c r="G3108" s="57" t="s">
        <v>158</v>
      </c>
      <c r="H3108" s="32" t="str">
        <f aca="false">IF(L3108="","",INDEX(ポート振替表!$N$5:$N$3507,$L3108)&amp;"")</f>
        <v/>
      </c>
      <c r="I3108" s="32" t="str">
        <f aca="false">IF(L3108="","",INDEX(ポート振替表!$P$5:$P$3507,$L3108)&amp;"")</f>
        <v/>
      </c>
      <c r="J3108" s="60" t="str">
        <f aca="false">IF(L3108="","",INDEX(ポート振替表!$M$5:$M$3507,$L3108)&amp;"")</f>
        <v/>
      </c>
      <c r="K3108" s="52" t="str">
        <f aca="false">IF(L3108="","",E3108&amp;CHAR(10)&amp;INDEX(ポート振替表!$K$5:$K$3507,$L3108)&amp;" "&amp;INDEX(ポート振替表!$L$5:$L$3507,$L3108)&amp;CHAR(10)&amp;"⇔ "&amp;INDEX(ポート振替表!$H$5:$H$3507,$L3108)&amp;" "&amp;INDEX(ポート振替表!$I$5:$I$3507,$L3108))</f>
        <v/>
      </c>
      <c r="L3108" s="47" t="str">
        <f aca="false">IFERROR(MATCH(ROW()-4,ポート振替表!$V$5:$V$3507,0),"")</f>
        <v/>
      </c>
    </row>
    <row r="3109" customFormat="false" ht="16.4" hidden="false" customHeight="false" outlineLevel="0" collapsed="false">
      <c r="A3109" s="32" t="str">
        <f aca="false">IF(L3109="","",ROW()-4)</f>
        <v/>
      </c>
      <c r="B3109" s="58" t="str">
        <f aca="false">IF(L3109="","",IF(INDEX(ポート振替表!$W$5:$W$3507,$L3109)="","(なし)",INDEX(ポート振替表!$W$5:$W$3507,$L3109)&amp;""))</f>
        <v/>
      </c>
      <c r="C3109" s="52" t="str">
        <f aca="false">IF(L3109="","",INDEX(ポート振替表!$B$5:$B$3507,$L3109)&amp;" "&amp;INDEX(ポート振替表!$C$5:$C$3507,$L3109)&amp;"  ⇔  "&amp;INDEX(ポート振替表!$H$5:$H$3507,$L3109)&amp;" "&amp;INDEX(ポート振替表!$I$5:$I$3507,$L3109))</f>
        <v/>
      </c>
      <c r="D3109" s="57" t="s">
        <v>158</v>
      </c>
      <c r="E3109" s="59" t="str">
        <f aca="false">IF(L3109="","",IF(INDEX(ポート振替表!$O$5:$O$3507,$L3109)="","(未設定)",INDEX(ポート振替表!$O$5:$O$3507,$L3109)&amp;""))</f>
        <v/>
      </c>
      <c r="F3109" s="52" t="str">
        <f aca="false">IF(L3109="","",INDEX(ポート振替表!$K$5:$K$3507,$L3109)&amp;" "&amp;INDEX(ポート振替表!$L$5:$L$3507,$L3109)&amp;"  ⇔  "&amp;INDEX(ポート振替表!$H$5:$H$3507,$L3109)&amp;" "&amp;INDEX(ポート振替表!$I$5:$I$3507,$L3109))</f>
        <v/>
      </c>
      <c r="G3109" s="57" t="s">
        <v>158</v>
      </c>
      <c r="H3109" s="32" t="str">
        <f aca="false">IF(L3109="","",INDEX(ポート振替表!$N$5:$N$3507,$L3109)&amp;"")</f>
        <v/>
      </c>
      <c r="I3109" s="32" t="str">
        <f aca="false">IF(L3109="","",INDEX(ポート振替表!$P$5:$P$3507,$L3109)&amp;"")</f>
        <v/>
      </c>
      <c r="J3109" s="60" t="str">
        <f aca="false">IF(L3109="","",INDEX(ポート振替表!$M$5:$M$3507,$L3109)&amp;"")</f>
        <v/>
      </c>
      <c r="K3109" s="52" t="str">
        <f aca="false">IF(L3109="","",E3109&amp;CHAR(10)&amp;INDEX(ポート振替表!$K$5:$K$3507,$L3109)&amp;" "&amp;INDEX(ポート振替表!$L$5:$L$3507,$L3109)&amp;CHAR(10)&amp;"⇔ "&amp;INDEX(ポート振替表!$H$5:$H$3507,$L3109)&amp;" "&amp;INDEX(ポート振替表!$I$5:$I$3507,$L3109))</f>
        <v/>
      </c>
      <c r="L3109" s="47" t="str">
        <f aca="false">IFERROR(MATCH(ROW()-4,ポート振替表!$V$5:$V$3507,0),"")</f>
        <v/>
      </c>
    </row>
    <row r="3110" customFormat="false" ht="16.4" hidden="false" customHeight="false" outlineLevel="0" collapsed="false">
      <c r="A3110" s="32" t="str">
        <f aca="false">IF(L3110="","",ROW()-4)</f>
        <v/>
      </c>
      <c r="B3110" s="58" t="str">
        <f aca="false">IF(L3110="","",IF(INDEX(ポート振替表!$W$5:$W$3507,$L3110)="","(なし)",INDEX(ポート振替表!$W$5:$W$3507,$L3110)&amp;""))</f>
        <v/>
      </c>
      <c r="C3110" s="52" t="str">
        <f aca="false">IF(L3110="","",INDEX(ポート振替表!$B$5:$B$3507,$L3110)&amp;" "&amp;INDEX(ポート振替表!$C$5:$C$3507,$L3110)&amp;"  ⇔  "&amp;INDEX(ポート振替表!$H$5:$H$3507,$L3110)&amp;" "&amp;INDEX(ポート振替表!$I$5:$I$3507,$L3110))</f>
        <v/>
      </c>
      <c r="D3110" s="57" t="s">
        <v>158</v>
      </c>
      <c r="E3110" s="59" t="str">
        <f aca="false">IF(L3110="","",IF(INDEX(ポート振替表!$O$5:$O$3507,$L3110)="","(未設定)",INDEX(ポート振替表!$O$5:$O$3507,$L3110)&amp;""))</f>
        <v/>
      </c>
      <c r="F3110" s="52" t="str">
        <f aca="false">IF(L3110="","",INDEX(ポート振替表!$K$5:$K$3507,$L3110)&amp;" "&amp;INDEX(ポート振替表!$L$5:$L$3507,$L3110)&amp;"  ⇔  "&amp;INDEX(ポート振替表!$H$5:$H$3507,$L3110)&amp;" "&amp;INDEX(ポート振替表!$I$5:$I$3507,$L3110))</f>
        <v/>
      </c>
      <c r="G3110" s="57" t="s">
        <v>158</v>
      </c>
      <c r="H3110" s="32" t="str">
        <f aca="false">IF(L3110="","",INDEX(ポート振替表!$N$5:$N$3507,$L3110)&amp;"")</f>
        <v/>
      </c>
      <c r="I3110" s="32" t="str">
        <f aca="false">IF(L3110="","",INDEX(ポート振替表!$P$5:$P$3507,$L3110)&amp;"")</f>
        <v/>
      </c>
      <c r="J3110" s="60" t="str">
        <f aca="false">IF(L3110="","",INDEX(ポート振替表!$M$5:$M$3507,$L3110)&amp;"")</f>
        <v/>
      </c>
      <c r="K3110" s="52" t="str">
        <f aca="false">IF(L3110="","",E3110&amp;CHAR(10)&amp;INDEX(ポート振替表!$K$5:$K$3507,$L3110)&amp;" "&amp;INDEX(ポート振替表!$L$5:$L$3507,$L3110)&amp;CHAR(10)&amp;"⇔ "&amp;INDEX(ポート振替表!$H$5:$H$3507,$L3110)&amp;" "&amp;INDEX(ポート振替表!$I$5:$I$3507,$L3110))</f>
        <v/>
      </c>
      <c r="L3110" s="47" t="str">
        <f aca="false">IFERROR(MATCH(ROW()-4,ポート振替表!$V$5:$V$3507,0),"")</f>
        <v/>
      </c>
    </row>
    <row r="3111" customFormat="false" ht="16.4" hidden="false" customHeight="false" outlineLevel="0" collapsed="false">
      <c r="A3111" s="32" t="str">
        <f aca="false">IF(L3111="","",ROW()-4)</f>
        <v/>
      </c>
      <c r="B3111" s="58" t="str">
        <f aca="false">IF(L3111="","",IF(INDEX(ポート振替表!$W$5:$W$3507,$L3111)="","(なし)",INDEX(ポート振替表!$W$5:$W$3507,$L3111)&amp;""))</f>
        <v/>
      </c>
      <c r="C3111" s="52" t="str">
        <f aca="false">IF(L3111="","",INDEX(ポート振替表!$B$5:$B$3507,$L3111)&amp;" "&amp;INDEX(ポート振替表!$C$5:$C$3507,$L3111)&amp;"  ⇔  "&amp;INDEX(ポート振替表!$H$5:$H$3507,$L3111)&amp;" "&amp;INDEX(ポート振替表!$I$5:$I$3507,$L3111))</f>
        <v/>
      </c>
      <c r="D3111" s="57" t="s">
        <v>158</v>
      </c>
      <c r="E3111" s="59" t="str">
        <f aca="false">IF(L3111="","",IF(INDEX(ポート振替表!$O$5:$O$3507,$L3111)="","(未設定)",INDEX(ポート振替表!$O$5:$O$3507,$L3111)&amp;""))</f>
        <v/>
      </c>
      <c r="F3111" s="52" t="str">
        <f aca="false">IF(L3111="","",INDEX(ポート振替表!$K$5:$K$3507,$L3111)&amp;" "&amp;INDEX(ポート振替表!$L$5:$L$3507,$L3111)&amp;"  ⇔  "&amp;INDEX(ポート振替表!$H$5:$H$3507,$L3111)&amp;" "&amp;INDEX(ポート振替表!$I$5:$I$3507,$L3111))</f>
        <v/>
      </c>
      <c r="G3111" s="57" t="s">
        <v>158</v>
      </c>
      <c r="H3111" s="32" t="str">
        <f aca="false">IF(L3111="","",INDEX(ポート振替表!$N$5:$N$3507,$L3111)&amp;"")</f>
        <v/>
      </c>
      <c r="I3111" s="32" t="str">
        <f aca="false">IF(L3111="","",INDEX(ポート振替表!$P$5:$P$3507,$L3111)&amp;"")</f>
        <v/>
      </c>
      <c r="J3111" s="60" t="str">
        <f aca="false">IF(L3111="","",INDEX(ポート振替表!$M$5:$M$3507,$L3111)&amp;"")</f>
        <v/>
      </c>
      <c r="K3111" s="52" t="str">
        <f aca="false">IF(L3111="","",E3111&amp;CHAR(10)&amp;INDEX(ポート振替表!$K$5:$K$3507,$L3111)&amp;" "&amp;INDEX(ポート振替表!$L$5:$L$3507,$L3111)&amp;CHAR(10)&amp;"⇔ "&amp;INDEX(ポート振替表!$H$5:$H$3507,$L3111)&amp;" "&amp;INDEX(ポート振替表!$I$5:$I$3507,$L3111))</f>
        <v/>
      </c>
      <c r="L3111" s="47" t="str">
        <f aca="false">IFERROR(MATCH(ROW()-4,ポート振替表!$V$5:$V$3507,0),"")</f>
        <v/>
      </c>
    </row>
    <row r="3112" customFormat="false" ht="16.4" hidden="false" customHeight="false" outlineLevel="0" collapsed="false">
      <c r="A3112" s="32" t="str">
        <f aca="false">IF(L3112="","",ROW()-4)</f>
        <v/>
      </c>
      <c r="B3112" s="58" t="str">
        <f aca="false">IF(L3112="","",IF(INDEX(ポート振替表!$W$5:$W$3507,$L3112)="","(なし)",INDEX(ポート振替表!$W$5:$W$3507,$L3112)&amp;""))</f>
        <v/>
      </c>
      <c r="C3112" s="52" t="str">
        <f aca="false">IF(L3112="","",INDEX(ポート振替表!$B$5:$B$3507,$L3112)&amp;" "&amp;INDEX(ポート振替表!$C$5:$C$3507,$L3112)&amp;"  ⇔  "&amp;INDEX(ポート振替表!$H$5:$H$3507,$L3112)&amp;" "&amp;INDEX(ポート振替表!$I$5:$I$3507,$L3112))</f>
        <v/>
      </c>
      <c r="D3112" s="57" t="s">
        <v>158</v>
      </c>
      <c r="E3112" s="59" t="str">
        <f aca="false">IF(L3112="","",IF(INDEX(ポート振替表!$O$5:$O$3507,$L3112)="","(未設定)",INDEX(ポート振替表!$O$5:$O$3507,$L3112)&amp;""))</f>
        <v/>
      </c>
      <c r="F3112" s="52" t="str">
        <f aca="false">IF(L3112="","",INDEX(ポート振替表!$K$5:$K$3507,$L3112)&amp;" "&amp;INDEX(ポート振替表!$L$5:$L$3507,$L3112)&amp;"  ⇔  "&amp;INDEX(ポート振替表!$H$5:$H$3507,$L3112)&amp;" "&amp;INDEX(ポート振替表!$I$5:$I$3507,$L3112))</f>
        <v/>
      </c>
      <c r="G3112" s="57" t="s">
        <v>158</v>
      </c>
      <c r="H3112" s="32" t="str">
        <f aca="false">IF(L3112="","",INDEX(ポート振替表!$N$5:$N$3507,$L3112)&amp;"")</f>
        <v/>
      </c>
      <c r="I3112" s="32" t="str">
        <f aca="false">IF(L3112="","",INDEX(ポート振替表!$P$5:$P$3507,$L3112)&amp;"")</f>
        <v/>
      </c>
      <c r="J3112" s="60" t="str">
        <f aca="false">IF(L3112="","",INDEX(ポート振替表!$M$5:$M$3507,$L3112)&amp;"")</f>
        <v/>
      </c>
      <c r="K3112" s="52" t="str">
        <f aca="false">IF(L3112="","",E3112&amp;CHAR(10)&amp;INDEX(ポート振替表!$K$5:$K$3507,$L3112)&amp;" "&amp;INDEX(ポート振替表!$L$5:$L$3507,$L3112)&amp;CHAR(10)&amp;"⇔ "&amp;INDEX(ポート振替表!$H$5:$H$3507,$L3112)&amp;" "&amp;INDEX(ポート振替表!$I$5:$I$3507,$L3112))</f>
        <v/>
      </c>
      <c r="L3112" s="47" t="str">
        <f aca="false">IFERROR(MATCH(ROW()-4,ポート振替表!$V$5:$V$3507,0),"")</f>
        <v/>
      </c>
    </row>
    <row r="3113" customFormat="false" ht="16.4" hidden="false" customHeight="false" outlineLevel="0" collapsed="false">
      <c r="A3113" s="32" t="str">
        <f aca="false">IF(L3113="","",ROW()-4)</f>
        <v/>
      </c>
      <c r="B3113" s="58" t="str">
        <f aca="false">IF(L3113="","",IF(INDEX(ポート振替表!$W$5:$W$3507,$L3113)="","(なし)",INDEX(ポート振替表!$W$5:$W$3507,$L3113)&amp;""))</f>
        <v/>
      </c>
      <c r="C3113" s="52" t="str">
        <f aca="false">IF(L3113="","",INDEX(ポート振替表!$B$5:$B$3507,$L3113)&amp;" "&amp;INDEX(ポート振替表!$C$5:$C$3507,$L3113)&amp;"  ⇔  "&amp;INDEX(ポート振替表!$H$5:$H$3507,$L3113)&amp;" "&amp;INDEX(ポート振替表!$I$5:$I$3507,$L3113))</f>
        <v/>
      </c>
      <c r="D3113" s="57" t="s">
        <v>158</v>
      </c>
      <c r="E3113" s="59" t="str">
        <f aca="false">IF(L3113="","",IF(INDEX(ポート振替表!$O$5:$O$3507,$L3113)="","(未設定)",INDEX(ポート振替表!$O$5:$O$3507,$L3113)&amp;""))</f>
        <v/>
      </c>
      <c r="F3113" s="52" t="str">
        <f aca="false">IF(L3113="","",INDEX(ポート振替表!$K$5:$K$3507,$L3113)&amp;" "&amp;INDEX(ポート振替表!$L$5:$L$3507,$L3113)&amp;"  ⇔  "&amp;INDEX(ポート振替表!$H$5:$H$3507,$L3113)&amp;" "&amp;INDEX(ポート振替表!$I$5:$I$3507,$L3113))</f>
        <v/>
      </c>
      <c r="G3113" s="57" t="s">
        <v>158</v>
      </c>
      <c r="H3113" s="32" t="str">
        <f aca="false">IF(L3113="","",INDEX(ポート振替表!$N$5:$N$3507,$L3113)&amp;"")</f>
        <v/>
      </c>
      <c r="I3113" s="32" t="str">
        <f aca="false">IF(L3113="","",INDEX(ポート振替表!$P$5:$P$3507,$L3113)&amp;"")</f>
        <v/>
      </c>
      <c r="J3113" s="60" t="str">
        <f aca="false">IF(L3113="","",INDEX(ポート振替表!$M$5:$M$3507,$L3113)&amp;"")</f>
        <v/>
      </c>
      <c r="K3113" s="52" t="str">
        <f aca="false">IF(L3113="","",E3113&amp;CHAR(10)&amp;INDEX(ポート振替表!$K$5:$K$3507,$L3113)&amp;" "&amp;INDEX(ポート振替表!$L$5:$L$3507,$L3113)&amp;CHAR(10)&amp;"⇔ "&amp;INDEX(ポート振替表!$H$5:$H$3507,$L3113)&amp;" "&amp;INDEX(ポート振替表!$I$5:$I$3507,$L3113))</f>
        <v/>
      </c>
      <c r="L3113" s="47" t="str">
        <f aca="false">IFERROR(MATCH(ROW()-4,ポート振替表!$V$5:$V$3507,0),"")</f>
        <v/>
      </c>
    </row>
    <row r="3114" customFormat="false" ht="16.4" hidden="false" customHeight="false" outlineLevel="0" collapsed="false">
      <c r="A3114" s="32" t="str">
        <f aca="false">IF(L3114="","",ROW()-4)</f>
        <v/>
      </c>
      <c r="B3114" s="58" t="str">
        <f aca="false">IF(L3114="","",IF(INDEX(ポート振替表!$W$5:$W$3507,$L3114)="","(なし)",INDEX(ポート振替表!$W$5:$W$3507,$L3114)&amp;""))</f>
        <v/>
      </c>
      <c r="C3114" s="52" t="str">
        <f aca="false">IF(L3114="","",INDEX(ポート振替表!$B$5:$B$3507,$L3114)&amp;" "&amp;INDEX(ポート振替表!$C$5:$C$3507,$L3114)&amp;"  ⇔  "&amp;INDEX(ポート振替表!$H$5:$H$3507,$L3114)&amp;" "&amp;INDEX(ポート振替表!$I$5:$I$3507,$L3114))</f>
        <v/>
      </c>
      <c r="D3114" s="57" t="s">
        <v>158</v>
      </c>
      <c r="E3114" s="59" t="str">
        <f aca="false">IF(L3114="","",IF(INDEX(ポート振替表!$O$5:$O$3507,$L3114)="","(未設定)",INDEX(ポート振替表!$O$5:$O$3507,$L3114)&amp;""))</f>
        <v/>
      </c>
      <c r="F3114" s="52" t="str">
        <f aca="false">IF(L3114="","",INDEX(ポート振替表!$K$5:$K$3507,$L3114)&amp;" "&amp;INDEX(ポート振替表!$L$5:$L$3507,$L3114)&amp;"  ⇔  "&amp;INDEX(ポート振替表!$H$5:$H$3507,$L3114)&amp;" "&amp;INDEX(ポート振替表!$I$5:$I$3507,$L3114))</f>
        <v/>
      </c>
      <c r="G3114" s="57" t="s">
        <v>158</v>
      </c>
      <c r="H3114" s="32" t="str">
        <f aca="false">IF(L3114="","",INDEX(ポート振替表!$N$5:$N$3507,$L3114)&amp;"")</f>
        <v/>
      </c>
      <c r="I3114" s="32" t="str">
        <f aca="false">IF(L3114="","",INDEX(ポート振替表!$P$5:$P$3507,$L3114)&amp;"")</f>
        <v/>
      </c>
      <c r="J3114" s="60" t="str">
        <f aca="false">IF(L3114="","",INDEX(ポート振替表!$M$5:$M$3507,$L3114)&amp;"")</f>
        <v/>
      </c>
      <c r="K3114" s="52" t="str">
        <f aca="false">IF(L3114="","",E3114&amp;CHAR(10)&amp;INDEX(ポート振替表!$K$5:$K$3507,$L3114)&amp;" "&amp;INDEX(ポート振替表!$L$5:$L$3507,$L3114)&amp;CHAR(10)&amp;"⇔ "&amp;INDEX(ポート振替表!$H$5:$H$3507,$L3114)&amp;" "&amp;INDEX(ポート振替表!$I$5:$I$3507,$L3114))</f>
        <v/>
      </c>
      <c r="L3114" s="47" t="str">
        <f aca="false">IFERROR(MATCH(ROW()-4,ポート振替表!$V$5:$V$3507,0),"")</f>
        <v/>
      </c>
    </row>
    <row r="3115" customFormat="false" ht="16.4" hidden="false" customHeight="false" outlineLevel="0" collapsed="false">
      <c r="A3115" s="32" t="str">
        <f aca="false">IF(L3115="","",ROW()-4)</f>
        <v/>
      </c>
      <c r="B3115" s="58" t="str">
        <f aca="false">IF(L3115="","",IF(INDEX(ポート振替表!$W$5:$W$3507,$L3115)="","(なし)",INDEX(ポート振替表!$W$5:$W$3507,$L3115)&amp;""))</f>
        <v/>
      </c>
      <c r="C3115" s="52" t="str">
        <f aca="false">IF(L3115="","",INDEX(ポート振替表!$B$5:$B$3507,$L3115)&amp;" "&amp;INDEX(ポート振替表!$C$5:$C$3507,$L3115)&amp;"  ⇔  "&amp;INDEX(ポート振替表!$H$5:$H$3507,$L3115)&amp;" "&amp;INDEX(ポート振替表!$I$5:$I$3507,$L3115))</f>
        <v/>
      </c>
      <c r="D3115" s="57" t="s">
        <v>158</v>
      </c>
      <c r="E3115" s="59" t="str">
        <f aca="false">IF(L3115="","",IF(INDEX(ポート振替表!$O$5:$O$3507,$L3115)="","(未設定)",INDEX(ポート振替表!$O$5:$O$3507,$L3115)&amp;""))</f>
        <v/>
      </c>
      <c r="F3115" s="52" t="str">
        <f aca="false">IF(L3115="","",INDEX(ポート振替表!$K$5:$K$3507,$L3115)&amp;" "&amp;INDEX(ポート振替表!$L$5:$L$3507,$L3115)&amp;"  ⇔  "&amp;INDEX(ポート振替表!$H$5:$H$3507,$L3115)&amp;" "&amp;INDEX(ポート振替表!$I$5:$I$3507,$L3115))</f>
        <v/>
      </c>
      <c r="G3115" s="57" t="s">
        <v>158</v>
      </c>
      <c r="H3115" s="32" t="str">
        <f aca="false">IF(L3115="","",INDEX(ポート振替表!$N$5:$N$3507,$L3115)&amp;"")</f>
        <v/>
      </c>
      <c r="I3115" s="32" t="str">
        <f aca="false">IF(L3115="","",INDEX(ポート振替表!$P$5:$P$3507,$L3115)&amp;"")</f>
        <v/>
      </c>
      <c r="J3115" s="60" t="str">
        <f aca="false">IF(L3115="","",INDEX(ポート振替表!$M$5:$M$3507,$L3115)&amp;"")</f>
        <v/>
      </c>
      <c r="K3115" s="52" t="str">
        <f aca="false">IF(L3115="","",E3115&amp;CHAR(10)&amp;INDEX(ポート振替表!$K$5:$K$3507,$L3115)&amp;" "&amp;INDEX(ポート振替表!$L$5:$L$3507,$L3115)&amp;CHAR(10)&amp;"⇔ "&amp;INDEX(ポート振替表!$H$5:$H$3507,$L3115)&amp;" "&amp;INDEX(ポート振替表!$I$5:$I$3507,$L3115))</f>
        <v/>
      </c>
      <c r="L3115" s="47" t="str">
        <f aca="false">IFERROR(MATCH(ROW()-4,ポート振替表!$V$5:$V$3507,0),"")</f>
        <v/>
      </c>
    </row>
    <row r="3116" customFormat="false" ht="16.4" hidden="false" customHeight="false" outlineLevel="0" collapsed="false">
      <c r="A3116" s="32" t="str">
        <f aca="false">IF(L3116="","",ROW()-4)</f>
        <v/>
      </c>
      <c r="B3116" s="58" t="str">
        <f aca="false">IF(L3116="","",IF(INDEX(ポート振替表!$W$5:$W$3507,$L3116)="","(なし)",INDEX(ポート振替表!$W$5:$W$3507,$L3116)&amp;""))</f>
        <v/>
      </c>
      <c r="C3116" s="52" t="str">
        <f aca="false">IF(L3116="","",INDEX(ポート振替表!$B$5:$B$3507,$L3116)&amp;" "&amp;INDEX(ポート振替表!$C$5:$C$3507,$L3116)&amp;"  ⇔  "&amp;INDEX(ポート振替表!$H$5:$H$3507,$L3116)&amp;" "&amp;INDEX(ポート振替表!$I$5:$I$3507,$L3116))</f>
        <v/>
      </c>
      <c r="D3116" s="57" t="s">
        <v>158</v>
      </c>
      <c r="E3116" s="59" t="str">
        <f aca="false">IF(L3116="","",IF(INDEX(ポート振替表!$O$5:$O$3507,$L3116)="","(未設定)",INDEX(ポート振替表!$O$5:$O$3507,$L3116)&amp;""))</f>
        <v/>
      </c>
      <c r="F3116" s="52" t="str">
        <f aca="false">IF(L3116="","",INDEX(ポート振替表!$K$5:$K$3507,$L3116)&amp;" "&amp;INDEX(ポート振替表!$L$5:$L$3507,$L3116)&amp;"  ⇔  "&amp;INDEX(ポート振替表!$H$5:$H$3507,$L3116)&amp;" "&amp;INDEX(ポート振替表!$I$5:$I$3507,$L3116))</f>
        <v/>
      </c>
      <c r="G3116" s="57" t="s">
        <v>158</v>
      </c>
      <c r="H3116" s="32" t="str">
        <f aca="false">IF(L3116="","",INDEX(ポート振替表!$N$5:$N$3507,$L3116)&amp;"")</f>
        <v/>
      </c>
      <c r="I3116" s="32" t="str">
        <f aca="false">IF(L3116="","",INDEX(ポート振替表!$P$5:$P$3507,$L3116)&amp;"")</f>
        <v/>
      </c>
      <c r="J3116" s="60" t="str">
        <f aca="false">IF(L3116="","",INDEX(ポート振替表!$M$5:$M$3507,$L3116)&amp;"")</f>
        <v/>
      </c>
      <c r="K3116" s="52" t="str">
        <f aca="false">IF(L3116="","",E3116&amp;CHAR(10)&amp;INDEX(ポート振替表!$K$5:$K$3507,$L3116)&amp;" "&amp;INDEX(ポート振替表!$L$5:$L$3507,$L3116)&amp;CHAR(10)&amp;"⇔ "&amp;INDEX(ポート振替表!$H$5:$H$3507,$L3116)&amp;" "&amp;INDEX(ポート振替表!$I$5:$I$3507,$L3116))</f>
        <v/>
      </c>
      <c r="L3116" s="47" t="str">
        <f aca="false">IFERROR(MATCH(ROW()-4,ポート振替表!$V$5:$V$3507,0),"")</f>
        <v/>
      </c>
    </row>
    <row r="3117" customFormat="false" ht="16.4" hidden="false" customHeight="false" outlineLevel="0" collapsed="false">
      <c r="A3117" s="32" t="str">
        <f aca="false">IF(L3117="","",ROW()-4)</f>
        <v/>
      </c>
      <c r="B3117" s="58" t="str">
        <f aca="false">IF(L3117="","",IF(INDEX(ポート振替表!$W$5:$W$3507,$L3117)="","(なし)",INDEX(ポート振替表!$W$5:$W$3507,$L3117)&amp;""))</f>
        <v/>
      </c>
      <c r="C3117" s="52" t="str">
        <f aca="false">IF(L3117="","",INDEX(ポート振替表!$B$5:$B$3507,$L3117)&amp;" "&amp;INDEX(ポート振替表!$C$5:$C$3507,$L3117)&amp;"  ⇔  "&amp;INDEX(ポート振替表!$H$5:$H$3507,$L3117)&amp;" "&amp;INDEX(ポート振替表!$I$5:$I$3507,$L3117))</f>
        <v/>
      </c>
      <c r="D3117" s="57" t="s">
        <v>158</v>
      </c>
      <c r="E3117" s="59" t="str">
        <f aca="false">IF(L3117="","",IF(INDEX(ポート振替表!$O$5:$O$3507,$L3117)="","(未設定)",INDEX(ポート振替表!$O$5:$O$3507,$L3117)&amp;""))</f>
        <v/>
      </c>
      <c r="F3117" s="52" t="str">
        <f aca="false">IF(L3117="","",INDEX(ポート振替表!$K$5:$K$3507,$L3117)&amp;" "&amp;INDEX(ポート振替表!$L$5:$L$3507,$L3117)&amp;"  ⇔  "&amp;INDEX(ポート振替表!$H$5:$H$3507,$L3117)&amp;" "&amp;INDEX(ポート振替表!$I$5:$I$3507,$L3117))</f>
        <v/>
      </c>
      <c r="G3117" s="57" t="s">
        <v>158</v>
      </c>
      <c r="H3117" s="32" t="str">
        <f aca="false">IF(L3117="","",INDEX(ポート振替表!$N$5:$N$3507,$L3117)&amp;"")</f>
        <v/>
      </c>
      <c r="I3117" s="32" t="str">
        <f aca="false">IF(L3117="","",INDEX(ポート振替表!$P$5:$P$3507,$L3117)&amp;"")</f>
        <v/>
      </c>
      <c r="J3117" s="60" t="str">
        <f aca="false">IF(L3117="","",INDEX(ポート振替表!$M$5:$M$3507,$L3117)&amp;"")</f>
        <v/>
      </c>
      <c r="K3117" s="52" t="str">
        <f aca="false">IF(L3117="","",E3117&amp;CHAR(10)&amp;INDEX(ポート振替表!$K$5:$K$3507,$L3117)&amp;" "&amp;INDEX(ポート振替表!$L$5:$L$3507,$L3117)&amp;CHAR(10)&amp;"⇔ "&amp;INDEX(ポート振替表!$H$5:$H$3507,$L3117)&amp;" "&amp;INDEX(ポート振替表!$I$5:$I$3507,$L3117))</f>
        <v/>
      </c>
      <c r="L3117" s="47" t="str">
        <f aca="false">IFERROR(MATCH(ROW()-4,ポート振替表!$V$5:$V$3507,0),"")</f>
        <v/>
      </c>
    </row>
    <row r="3118" customFormat="false" ht="16.4" hidden="false" customHeight="false" outlineLevel="0" collapsed="false">
      <c r="A3118" s="32" t="str">
        <f aca="false">IF(L3118="","",ROW()-4)</f>
        <v/>
      </c>
      <c r="B3118" s="58" t="str">
        <f aca="false">IF(L3118="","",IF(INDEX(ポート振替表!$W$5:$W$3507,$L3118)="","(なし)",INDEX(ポート振替表!$W$5:$W$3507,$L3118)&amp;""))</f>
        <v/>
      </c>
      <c r="C3118" s="52" t="str">
        <f aca="false">IF(L3118="","",INDEX(ポート振替表!$B$5:$B$3507,$L3118)&amp;" "&amp;INDEX(ポート振替表!$C$5:$C$3507,$L3118)&amp;"  ⇔  "&amp;INDEX(ポート振替表!$H$5:$H$3507,$L3118)&amp;" "&amp;INDEX(ポート振替表!$I$5:$I$3507,$L3118))</f>
        <v/>
      </c>
      <c r="D3118" s="57" t="s">
        <v>158</v>
      </c>
      <c r="E3118" s="59" t="str">
        <f aca="false">IF(L3118="","",IF(INDEX(ポート振替表!$O$5:$O$3507,$L3118)="","(未設定)",INDEX(ポート振替表!$O$5:$O$3507,$L3118)&amp;""))</f>
        <v/>
      </c>
      <c r="F3118" s="52" t="str">
        <f aca="false">IF(L3118="","",INDEX(ポート振替表!$K$5:$K$3507,$L3118)&amp;" "&amp;INDEX(ポート振替表!$L$5:$L$3507,$L3118)&amp;"  ⇔  "&amp;INDEX(ポート振替表!$H$5:$H$3507,$L3118)&amp;" "&amp;INDEX(ポート振替表!$I$5:$I$3507,$L3118))</f>
        <v/>
      </c>
      <c r="G3118" s="57" t="s">
        <v>158</v>
      </c>
      <c r="H3118" s="32" t="str">
        <f aca="false">IF(L3118="","",INDEX(ポート振替表!$N$5:$N$3507,$L3118)&amp;"")</f>
        <v/>
      </c>
      <c r="I3118" s="32" t="str">
        <f aca="false">IF(L3118="","",INDEX(ポート振替表!$P$5:$P$3507,$L3118)&amp;"")</f>
        <v/>
      </c>
      <c r="J3118" s="60" t="str">
        <f aca="false">IF(L3118="","",INDEX(ポート振替表!$M$5:$M$3507,$L3118)&amp;"")</f>
        <v/>
      </c>
      <c r="K3118" s="52" t="str">
        <f aca="false">IF(L3118="","",E3118&amp;CHAR(10)&amp;INDEX(ポート振替表!$K$5:$K$3507,$L3118)&amp;" "&amp;INDEX(ポート振替表!$L$5:$L$3507,$L3118)&amp;CHAR(10)&amp;"⇔ "&amp;INDEX(ポート振替表!$H$5:$H$3507,$L3118)&amp;" "&amp;INDEX(ポート振替表!$I$5:$I$3507,$L3118))</f>
        <v/>
      </c>
      <c r="L3118" s="47" t="str">
        <f aca="false">IFERROR(MATCH(ROW()-4,ポート振替表!$V$5:$V$3507,0),"")</f>
        <v/>
      </c>
    </row>
    <row r="3119" customFormat="false" ht="16.4" hidden="false" customHeight="false" outlineLevel="0" collapsed="false">
      <c r="A3119" s="32" t="str">
        <f aca="false">IF(L3119="","",ROW()-4)</f>
        <v/>
      </c>
      <c r="B3119" s="58" t="str">
        <f aca="false">IF(L3119="","",IF(INDEX(ポート振替表!$W$5:$W$3507,$L3119)="","(なし)",INDEX(ポート振替表!$W$5:$W$3507,$L3119)&amp;""))</f>
        <v/>
      </c>
      <c r="C3119" s="52" t="str">
        <f aca="false">IF(L3119="","",INDEX(ポート振替表!$B$5:$B$3507,$L3119)&amp;" "&amp;INDEX(ポート振替表!$C$5:$C$3507,$L3119)&amp;"  ⇔  "&amp;INDEX(ポート振替表!$H$5:$H$3507,$L3119)&amp;" "&amp;INDEX(ポート振替表!$I$5:$I$3507,$L3119))</f>
        <v/>
      </c>
      <c r="D3119" s="57" t="s">
        <v>158</v>
      </c>
      <c r="E3119" s="59" t="str">
        <f aca="false">IF(L3119="","",IF(INDEX(ポート振替表!$O$5:$O$3507,$L3119)="","(未設定)",INDEX(ポート振替表!$O$5:$O$3507,$L3119)&amp;""))</f>
        <v/>
      </c>
      <c r="F3119" s="52" t="str">
        <f aca="false">IF(L3119="","",INDEX(ポート振替表!$K$5:$K$3507,$L3119)&amp;" "&amp;INDEX(ポート振替表!$L$5:$L$3507,$L3119)&amp;"  ⇔  "&amp;INDEX(ポート振替表!$H$5:$H$3507,$L3119)&amp;" "&amp;INDEX(ポート振替表!$I$5:$I$3507,$L3119))</f>
        <v/>
      </c>
      <c r="G3119" s="57" t="s">
        <v>158</v>
      </c>
      <c r="H3119" s="32" t="str">
        <f aca="false">IF(L3119="","",INDEX(ポート振替表!$N$5:$N$3507,$L3119)&amp;"")</f>
        <v/>
      </c>
      <c r="I3119" s="32" t="str">
        <f aca="false">IF(L3119="","",INDEX(ポート振替表!$P$5:$P$3507,$L3119)&amp;"")</f>
        <v/>
      </c>
      <c r="J3119" s="60" t="str">
        <f aca="false">IF(L3119="","",INDEX(ポート振替表!$M$5:$M$3507,$L3119)&amp;"")</f>
        <v/>
      </c>
      <c r="K3119" s="52" t="str">
        <f aca="false">IF(L3119="","",E3119&amp;CHAR(10)&amp;INDEX(ポート振替表!$K$5:$K$3507,$L3119)&amp;" "&amp;INDEX(ポート振替表!$L$5:$L$3507,$L3119)&amp;CHAR(10)&amp;"⇔ "&amp;INDEX(ポート振替表!$H$5:$H$3507,$L3119)&amp;" "&amp;INDEX(ポート振替表!$I$5:$I$3507,$L3119))</f>
        <v/>
      </c>
      <c r="L3119" s="47" t="str">
        <f aca="false">IFERROR(MATCH(ROW()-4,ポート振替表!$V$5:$V$3507,0),"")</f>
        <v/>
      </c>
    </row>
    <row r="3120" customFormat="false" ht="16.4" hidden="false" customHeight="false" outlineLevel="0" collapsed="false">
      <c r="A3120" s="32" t="str">
        <f aca="false">IF(L3120="","",ROW()-4)</f>
        <v/>
      </c>
      <c r="B3120" s="58" t="str">
        <f aca="false">IF(L3120="","",IF(INDEX(ポート振替表!$W$5:$W$3507,$L3120)="","(なし)",INDEX(ポート振替表!$W$5:$W$3507,$L3120)&amp;""))</f>
        <v/>
      </c>
      <c r="C3120" s="52" t="str">
        <f aca="false">IF(L3120="","",INDEX(ポート振替表!$B$5:$B$3507,$L3120)&amp;" "&amp;INDEX(ポート振替表!$C$5:$C$3507,$L3120)&amp;"  ⇔  "&amp;INDEX(ポート振替表!$H$5:$H$3507,$L3120)&amp;" "&amp;INDEX(ポート振替表!$I$5:$I$3507,$L3120))</f>
        <v/>
      </c>
      <c r="D3120" s="57" t="s">
        <v>158</v>
      </c>
      <c r="E3120" s="59" t="str">
        <f aca="false">IF(L3120="","",IF(INDEX(ポート振替表!$O$5:$O$3507,$L3120)="","(未設定)",INDEX(ポート振替表!$O$5:$O$3507,$L3120)&amp;""))</f>
        <v/>
      </c>
      <c r="F3120" s="52" t="str">
        <f aca="false">IF(L3120="","",INDEX(ポート振替表!$K$5:$K$3507,$L3120)&amp;" "&amp;INDEX(ポート振替表!$L$5:$L$3507,$L3120)&amp;"  ⇔  "&amp;INDEX(ポート振替表!$H$5:$H$3507,$L3120)&amp;" "&amp;INDEX(ポート振替表!$I$5:$I$3507,$L3120))</f>
        <v/>
      </c>
      <c r="G3120" s="57" t="s">
        <v>158</v>
      </c>
      <c r="H3120" s="32" t="str">
        <f aca="false">IF(L3120="","",INDEX(ポート振替表!$N$5:$N$3507,$L3120)&amp;"")</f>
        <v/>
      </c>
      <c r="I3120" s="32" t="str">
        <f aca="false">IF(L3120="","",INDEX(ポート振替表!$P$5:$P$3507,$L3120)&amp;"")</f>
        <v/>
      </c>
      <c r="J3120" s="60" t="str">
        <f aca="false">IF(L3120="","",INDEX(ポート振替表!$M$5:$M$3507,$L3120)&amp;"")</f>
        <v/>
      </c>
      <c r="K3120" s="52" t="str">
        <f aca="false">IF(L3120="","",E3120&amp;CHAR(10)&amp;INDEX(ポート振替表!$K$5:$K$3507,$L3120)&amp;" "&amp;INDEX(ポート振替表!$L$5:$L$3507,$L3120)&amp;CHAR(10)&amp;"⇔ "&amp;INDEX(ポート振替表!$H$5:$H$3507,$L3120)&amp;" "&amp;INDEX(ポート振替表!$I$5:$I$3507,$L3120))</f>
        <v/>
      </c>
      <c r="L3120" s="47" t="str">
        <f aca="false">IFERROR(MATCH(ROW()-4,ポート振替表!$V$5:$V$3507,0),"")</f>
        <v/>
      </c>
    </row>
    <row r="3121" customFormat="false" ht="16.4" hidden="false" customHeight="false" outlineLevel="0" collapsed="false">
      <c r="A3121" s="32" t="str">
        <f aca="false">IF(L3121="","",ROW()-4)</f>
        <v/>
      </c>
      <c r="B3121" s="58" t="str">
        <f aca="false">IF(L3121="","",IF(INDEX(ポート振替表!$W$5:$W$3507,$L3121)="","(なし)",INDEX(ポート振替表!$W$5:$W$3507,$L3121)&amp;""))</f>
        <v/>
      </c>
      <c r="C3121" s="52" t="str">
        <f aca="false">IF(L3121="","",INDEX(ポート振替表!$B$5:$B$3507,$L3121)&amp;" "&amp;INDEX(ポート振替表!$C$5:$C$3507,$L3121)&amp;"  ⇔  "&amp;INDEX(ポート振替表!$H$5:$H$3507,$L3121)&amp;" "&amp;INDEX(ポート振替表!$I$5:$I$3507,$L3121))</f>
        <v/>
      </c>
      <c r="D3121" s="57" t="s">
        <v>158</v>
      </c>
      <c r="E3121" s="59" t="str">
        <f aca="false">IF(L3121="","",IF(INDEX(ポート振替表!$O$5:$O$3507,$L3121)="","(未設定)",INDEX(ポート振替表!$O$5:$O$3507,$L3121)&amp;""))</f>
        <v/>
      </c>
      <c r="F3121" s="52" t="str">
        <f aca="false">IF(L3121="","",INDEX(ポート振替表!$K$5:$K$3507,$L3121)&amp;" "&amp;INDEX(ポート振替表!$L$5:$L$3507,$L3121)&amp;"  ⇔  "&amp;INDEX(ポート振替表!$H$5:$H$3507,$L3121)&amp;" "&amp;INDEX(ポート振替表!$I$5:$I$3507,$L3121))</f>
        <v/>
      </c>
      <c r="G3121" s="57" t="s">
        <v>158</v>
      </c>
      <c r="H3121" s="32" t="str">
        <f aca="false">IF(L3121="","",INDEX(ポート振替表!$N$5:$N$3507,$L3121)&amp;"")</f>
        <v/>
      </c>
      <c r="I3121" s="32" t="str">
        <f aca="false">IF(L3121="","",INDEX(ポート振替表!$P$5:$P$3507,$L3121)&amp;"")</f>
        <v/>
      </c>
      <c r="J3121" s="60" t="str">
        <f aca="false">IF(L3121="","",INDEX(ポート振替表!$M$5:$M$3507,$L3121)&amp;"")</f>
        <v/>
      </c>
      <c r="K3121" s="52" t="str">
        <f aca="false">IF(L3121="","",E3121&amp;CHAR(10)&amp;INDEX(ポート振替表!$K$5:$K$3507,$L3121)&amp;" "&amp;INDEX(ポート振替表!$L$5:$L$3507,$L3121)&amp;CHAR(10)&amp;"⇔ "&amp;INDEX(ポート振替表!$H$5:$H$3507,$L3121)&amp;" "&amp;INDEX(ポート振替表!$I$5:$I$3507,$L3121))</f>
        <v/>
      </c>
      <c r="L3121" s="47" t="str">
        <f aca="false">IFERROR(MATCH(ROW()-4,ポート振替表!$V$5:$V$3507,0),"")</f>
        <v/>
      </c>
    </row>
    <row r="3122" customFormat="false" ht="16.4" hidden="false" customHeight="false" outlineLevel="0" collapsed="false">
      <c r="A3122" s="32" t="str">
        <f aca="false">IF(L3122="","",ROW()-4)</f>
        <v/>
      </c>
      <c r="B3122" s="58" t="str">
        <f aca="false">IF(L3122="","",IF(INDEX(ポート振替表!$W$5:$W$3507,$L3122)="","(なし)",INDEX(ポート振替表!$W$5:$W$3507,$L3122)&amp;""))</f>
        <v/>
      </c>
      <c r="C3122" s="52" t="str">
        <f aca="false">IF(L3122="","",INDEX(ポート振替表!$B$5:$B$3507,$L3122)&amp;" "&amp;INDEX(ポート振替表!$C$5:$C$3507,$L3122)&amp;"  ⇔  "&amp;INDEX(ポート振替表!$H$5:$H$3507,$L3122)&amp;" "&amp;INDEX(ポート振替表!$I$5:$I$3507,$L3122))</f>
        <v/>
      </c>
      <c r="D3122" s="57" t="s">
        <v>158</v>
      </c>
      <c r="E3122" s="59" t="str">
        <f aca="false">IF(L3122="","",IF(INDEX(ポート振替表!$O$5:$O$3507,$L3122)="","(未設定)",INDEX(ポート振替表!$O$5:$O$3507,$L3122)&amp;""))</f>
        <v/>
      </c>
      <c r="F3122" s="52" t="str">
        <f aca="false">IF(L3122="","",INDEX(ポート振替表!$K$5:$K$3507,$L3122)&amp;" "&amp;INDEX(ポート振替表!$L$5:$L$3507,$L3122)&amp;"  ⇔  "&amp;INDEX(ポート振替表!$H$5:$H$3507,$L3122)&amp;" "&amp;INDEX(ポート振替表!$I$5:$I$3507,$L3122))</f>
        <v/>
      </c>
      <c r="G3122" s="57" t="s">
        <v>158</v>
      </c>
      <c r="H3122" s="32" t="str">
        <f aca="false">IF(L3122="","",INDEX(ポート振替表!$N$5:$N$3507,$L3122)&amp;"")</f>
        <v/>
      </c>
      <c r="I3122" s="32" t="str">
        <f aca="false">IF(L3122="","",INDEX(ポート振替表!$P$5:$P$3507,$L3122)&amp;"")</f>
        <v/>
      </c>
      <c r="J3122" s="60" t="str">
        <f aca="false">IF(L3122="","",INDEX(ポート振替表!$M$5:$M$3507,$L3122)&amp;"")</f>
        <v/>
      </c>
      <c r="K3122" s="52" t="str">
        <f aca="false">IF(L3122="","",E3122&amp;CHAR(10)&amp;INDEX(ポート振替表!$K$5:$K$3507,$L3122)&amp;" "&amp;INDEX(ポート振替表!$L$5:$L$3507,$L3122)&amp;CHAR(10)&amp;"⇔ "&amp;INDEX(ポート振替表!$H$5:$H$3507,$L3122)&amp;" "&amp;INDEX(ポート振替表!$I$5:$I$3507,$L3122))</f>
        <v/>
      </c>
      <c r="L3122" s="47" t="str">
        <f aca="false">IFERROR(MATCH(ROW()-4,ポート振替表!$V$5:$V$3507,0),"")</f>
        <v/>
      </c>
    </row>
    <row r="3123" customFormat="false" ht="16.4" hidden="false" customHeight="false" outlineLevel="0" collapsed="false">
      <c r="A3123" s="32" t="str">
        <f aca="false">IF(L3123="","",ROW()-4)</f>
        <v/>
      </c>
      <c r="B3123" s="58" t="str">
        <f aca="false">IF(L3123="","",IF(INDEX(ポート振替表!$W$5:$W$3507,$L3123)="","(なし)",INDEX(ポート振替表!$W$5:$W$3507,$L3123)&amp;""))</f>
        <v/>
      </c>
      <c r="C3123" s="52" t="str">
        <f aca="false">IF(L3123="","",INDEX(ポート振替表!$B$5:$B$3507,$L3123)&amp;" "&amp;INDEX(ポート振替表!$C$5:$C$3507,$L3123)&amp;"  ⇔  "&amp;INDEX(ポート振替表!$H$5:$H$3507,$L3123)&amp;" "&amp;INDEX(ポート振替表!$I$5:$I$3507,$L3123))</f>
        <v/>
      </c>
      <c r="D3123" s="57" t="s">
        <v>158</v>
      </c>
      <c r="E3123" s="59" t="str">
        <f aca="false">IF(L3123="","",IF(INDEX(ポート振替表!$O$5:$O$3507,$L3123)="","(未設定)",INDEX(ポート振替表!$O$5:$O$3507,$L3123)&amp;""))</f>
        <v/>
      </c>
      <c r="F3123" s="52" t="str">
        <f aca="false">IF(L3123="","",INDEX(ポート振替表!$K$5:$K$3507,$L3123)&amp;" "&amp;INDEX(ポート振替表!$L$5:$L$3507,$L3123)&amp;"  ⇔  "&amp;INDEX(ポート振替表!$H$5:$H$3507,$L3123)&amp;" "&amp;INDEX(ポート振替表!$I$5:$I$3507,$L3123))</f>
        <v/>
      </c>
      <c r="G3123" s="57" t="s">
        <v>158</v>
      </c>
      <c r="H3123" s="32" t="str">
        <f aca="false">IF(L3123="","",INDEX(ポート振替表!$N$5:$N$3507,$L3123)&amp;"")</f>
        <v/>
      </c>
      <c r="I3123" s="32" t="str">
        <f aca="false">IF(L3123="","",INDEX(ポート振替表!$P$5:$P$3507,$L3123)&amp;"")</f>
        <v/>
      </c>
      <c r="J3123" s="60" t="str">
        <f aca="false">IF(L3123="","",INDEX(ポート振替表!$M$5:$M$3507,$L3123)&amp;"")</f>
        <v/>
      </c>
      <c r="K3123" s="52" t="str">
        <f aca="false">IF(L3123="","",E3123&amp;CHAR(10)&amp;INDEX(ポート振替表!$K$5:$K$3507,$L3123)&amp;" "&amp;INDEX(ポート振替表!$L$5:$L$3507,$L3123)&amp;CHAR(10)&amp;"⇔ "&amp;INDEX(ポート振替表!$H$5:$H$3507,$L3123)&amp;" "&amp;INDEX(ポート振替表!$I$5:$I$3507,$L3123))</f>
        <v/>
      </c>
      <c r="L3123" s="47" t="str">
        <f aca="false">IFERROR(MATCH(ROW()-4,ポート振替表!$V$5:$V$3507,0),"")</f>
        <v/>
      </c>
    </row>
    <row r="3124" customFormat="false" ht="16.4" hidden="false" customHeight="false" outlineLevel="0" collapsed="false">
      <c r="A3124" s="32" t="str">
        <f aca="false">IF(L3124="","",ROW()-4)</f>
        <v/>
      </c>
      <c r="B3124" s="58" t="str">
        <f aca="false">IF(L3124="","",IF(INDEX(ポート振替表!$W$5:$W$3507,$L3124)="","(なし)",INDEX(ポート振替表!$W$5:$W$3507,$L3124)&amp;""))</f>
        <v/>
      </c>
      <c r="C3124" s="52" t="str">
        <f aca="false">IF(L3124="","",INDEX(ポート振替表!$B$5:$B$3507,$L3124)&amp;" "&amp;INDEX(ポート振替表!$C$5:$C$3507,$L3124)&amp;"  ⇔  "&amp;INDEX(ポート振替表!$H$5:$H$3507,$L3124)&amp;" "&amp;INDEX(ポート振替表!$I$5:$I$3507,$L3124))</f>
        <v/>
      </c>
      <c r="D3124" s="57" t="s">
        <v>158</v>
      </c>
      <c r="E3124" s="59" t="str">
        <f aca="false">IF(L3124="","",IF(INDEX(ポート振替表!$O$5:$O$3507,$L3124)="","(未設定)",INDEX(ポート振替表!$O$5:$O$3507,$L3124)&amp;""))</f>
        <v/>
      </c>
      <c r="F3124" s="52" t="str">
        <f aca="false">IF(L3124="","",INDEX(ポート振替表!$K$5:$K$3507,$L3124)&amp;" "&amp;INDEX(ポート振替表!$L$5:$L$3507,$L3124)&amp;"  ⇔  "&amp;INDEX(ポート振替表!$H$5:$H$3507,$L3124)&amp;" "&amp;INDEX(ポート振替表!$I$5:$I$3507,$L3124))</f>
        <v/>
      </c>
      <c r="G3124" s="57" t="s">
        <v>158</v>
      </c>
      <c r="H3124" s="32" t="str">
        <f aca="false">IF(L3124="","",INDEX(ポート振替表!$N$5:$N$3507,$L3124)&amp;"")</f>
        <v/>
      </c>
      <c r="I3124" s="32" t="str">
        <f aca="false">IF(L3124="","",INDEX(ポート振替表!$P$5:$P$3507,$L3124)&amp;"")</f>
        <v/>
      </c>
      <c r="J3124" s="60" t="str">
        <f aca="false">IF(L3124="","",INDEX(ポート振替表!$M$5:$M$3507,$L3124)&amp;"")</f>
        <v/>
      </c>
      <c r="K3124" s="52" t="str">
        <f aca="false">IF(L3124="","",E3124&amp;CHAR(10)&amp;INDEX(ポート振替表!$K$5:$K$3507,$L3124)&amp;" "&amp;INDEX(ポート振替表!$L$5:$L$3507,$L3124)&amp;CHAR(10)&amp;"⇔ "&amp;INDEX(ポート振替表!$H$5:$H$3507,$L3124)&amp;" "&amp;INDEX(ポート振替表!$I$5:$I$3507,$L3124))</f>
        <v/>
      </c>
      <c r="L3124" s="47" t="str">
        <f aca="false">IFERROR(MATCH(ROW()-4,ポート振替表!$V$5:$V$3507,0),"")</f>
        <v/>
      </c>
    </row>
    <row r="3125" customFormat="false" ht="16.4" hidden="false" customHeight="false" outlineLevel="0" collapsed="false">
      <c r="A3125" s="32" t="str">
        <f aca="false">IF(L3125="","",ROW()-4)</f>
        <v/>
      </c>
      <c r="B3125" s="58" t="str">
        <f aca="false">IF(L3125="","",IF(INDEX(ポート振替表!$W$5:$W$3507,$L3125)="","(なし)",INDEX(ポート振替表!$W$5:$W$3507,$L3125)&amp;""))</f>
        <v/>
      </c>
      <c r="C3125" s="52" t="str">
        <f aca="false">IF(L3125="","",INDEX(ポート振替表!$B$5:$B$3507,$L3125)&amp;" "&amp;INDEX(ポート振替表!$C$5:$C$3507,$L3125)&amp;"  ⇔  "&amp;INDEX(ポート振替表!$H$5:$H$3507,$L3125)&amp;" "&amp;INDEX(ポート振替表!$I$5:$I$3507,$L3125))</f>
        <v/>
      </c>
      <c r="D3125" s="57" t="s">
        <v>158</v>
      </c>
      <c r="E3125" s="59" t="str">
        <f aca="false">IF(L3125="","",IF(INDEX(ポート振替表!$O$5:$O$3507,$L3125)="","(未設定)",INDEX(ポート振替表!$O$5:$O$3507,$L3125)&amp;""))</f>
        <v/>
      </c>
      <c r="F3125" s="52" t="str">
        <f aca="false">IF(L3125="","",INDEX(ポート振替表!$K$5:$K$3507,$L3125)&amp;" "&amp;INDEX(ポート振替表!$L$5:$L$3507,$L3125)&amp;"  ⇔  "&amp;INDEX(ポート振替表!$H$5:$H$3507,$L3125)&amp;" "&amp;INDEX(ポート振替表!$I$5:$I$3507,$L3125))</f>
        <v/>
      </c>
      <c r="G3125" s="57" t="s">
        <v>158</v>
      </c>
      <c r="H3125" s="32" t="str">
        <f aca="false">IF(L3125="","",INDEX(ポート振替表!$N$5:$N$3507,$L3125)&amp;"")</f>
        <v/>
      </c>
      <c r="I3125" s="32" t="str">
        <f aca="false">IF(L3125="","",INDEX(ポート振替表!$P$5:$P$3507,$L3125)&amp;"")</f>
        <v/>
      </c>
      <c r="J3125" s="60" t="str">
        <f aca="false">IF(L3125="","",INDEX(ポート振替表!$M$5:$M$3507,$L3125)&amp;"")</f>
        <v/>
      </c>
      <c r="K3125" s="52" t="str">
        <f aca="false">IF(L3125="","",E3125&amp;CHAR(10)&amp;INDEX(ポート振替表!$K$5:$K$3507,$L3125)&amp;" "&amp;INDEX(ポート振替表!$L$5:$L$3507,$L3125)&amp;CHAR(10)&amp;"⇔ "&amp;INDEX(ポート振替表!$H$5:$H$3507,$L3125)&amp;" "&amp;INDEX(ポート振替表!$I$5:$I$3507,$L3125))</f>
        <v/>
      </c>
      <c r="L3125" s="47" t="str">
        <f aca="false">IFERROR(MATCH(ROW()-4,ポート振替表!$V$5:$V$3507,0),"")</f>
        <v/>
      </c>
    </row>
    <row r="3126" customFormat="false" ht="16.4" hidden="false" customHeight="false" outlineLevel="0" collapsed="false">
      <c r="A3126" s="32" t="str">
        <f aca="false">IF(L3126="","",ROW()-4)</f>
        <v/>
      </c>
      <c r="B3126" s="58" t="str">
        <f aca="false">IF(L3126="","",IF(INDEX(ポート振替表!$W$5:$W$3507,$L3126)="","(なし)",INDEX(ポート振替表!$W$5:$W$3507,$L3126)&amp;""))</f>
        <v/>
      </c>
      <c r="C3126" s="52" t="str">
        <f aca="false">IF(L3126="","",INDEX(ポート振替表!$B$5:$B$3507,$L3126)&amp;" "&amp;INDEX(ポート振替表!$C$5:$C$3507,$L3126)&amp;"  ⇔  "&amp;INDEX(ポート振替表!$H$5:$H$3507,$L3126)&amp;" "&amp;INDEX(ポート振替表!$I$5:$I$3507,$L3126))</f>
        <v/>
      </c>
      <c r="D3126" s="57" t="s">
        <v>158</v>
      </c>
      <c r="E3126" s="59" t="str">
        <f aca="false">IF(L3126="","",IF(INDEX(ポート振替表!$O$5:$O$3507,$L3126)="","(未設定)",INDEX(ポート振替表!$O$5:$O$3507,$L3126)&amp;""))</f>
        <v/>
      </c>
      <c r="F3126" s="52" t="str">
        <f aca="false">IF(L3126="","",INDEX(ポート振替表!$K$5:$K$3507,$L3126)&amp;" "&amp;INDEX(ポート振替表!$L$5:$L$3507,$L3126)&amp;"  ⇔  "&amp;INDEX(ポート振替表!$H$5:$H$3507,$L3126)&amp;" "&amp;INDEX(ポート振替表!$I$5:$I$3507,$L3126))</f>
        <v/>
      </c>
      <c r="G3126" s="57" t="s">
        <v>158</v>
      </c>
      <c r="H3126" s="32" t="str">
        <f aca="false">IF(L3126="","",INDEX(ポート振替表!$N$5:$N$3507,$L3126)&amp;"")</f>
        <v/>
      </c>
      <c r="I3126" s="32" t="str">
        <f aca="false">IF(L3126="","",INDEX(ポート振替表!$P$5:$P$3507,$L3126)&amp;"")</f>
        <v/>
      </c>
      <c r="J3126" s="60" t="str">
        <f aca="false">IF(L3126="","",INDEX(ポート振替表!$M$5:$M$3507,$L3126)&amp;"")</f>
        <v/>
      </c>
      <c r="K3126" s="52" t="str">
        <f aca="false">IF(L3126="","",E3126&amp;CHAR(10)&amp;INDEX(ポート振替表!$K$5:$K$3507,$L3126)&amp;" "&amp;INDEX(ポート振替表!$L$5:$L$3507,$L3126)&amp;CHAR(10)&amp;"⇔ "&amp;INDEX(ポート振替表!$H$5:$H$3507,$L3126)&amp;" "&amp;INDEX(ポート振替表!$I$5:$I$3507,$L3126))</f>
        <v/>
      </c>
      <c r="L3126" s="47" t="str">
        <f aca="false">IFERROR(MATCH(ROW()-4,ポート振替表!$V$5:$V$3507,0),"")</f>
        <v/>
      </c>
    </row>
    <row r="3127" customFormat="false" ht="16.4" hidden="false" customHeight="false" outlineLevel="0" collapsed="false">
      <c r="A3127" s="32" t="str">
        <f aca="false">IF(L3127="","",ROW()-4)</f>
        <v/>
      </c>
      <c r="B3127" s="58" t="str">
        <f aca="false">IF(L3127="","",IF(INDEX(ポート振替表!$W$5:$W$3507,$L3127)="","(なし)",INDEX(ポート振替表!$W$5:$W$3507,$L3127)&amp;""))</f>
        <v/>
      </c>
      <c r="C3127" s="52" t="str">
        <f aca="false">IF(L3127="","",INDEX(ポート振替表!$B$5:$B$3507,$L3127)&amp;" "&amp;INDEX(ポート振替表!$C$5:$C$3507,$L3127)&amp;"  ⇔  "&amp;INDEX(ポート振替表!$H$5:$H$3507,$L3127)&amp;" "&amp;INDEX(ポート振替表!$I$5:$I$3507,$L3127))</f>
        <v/>
      </c>
      <c r="D3127" s="57" t="s">
        <v>158</v>
      </c>
      <c r="E3127" s="59" t="str">
        <f aca="false">IF(L3127="","",IF(INDEX(ポート振替表!$O$5:$O$3507,$L3127)="","(未設定)",INDEX(ポート振替表!$O$5:$O$3507,$L3127)&amp;""))</f>
        <v/>
      </c>
      <c r="F3127" s="52" t="str">
        <f aca="false">IF(L3127="","",INDEX(ポート振替表!$K$5:$K$3507,$L3127)&amp;" "&amp;INDEX(ポート振替表!$L$5:$L$3507,$L3127)&amp;"  ⇔  "&amp;INDEX(ポート振替表!$H$5:$H$3507,$L3127)&amp;" "&amp;INDEX(ポート振替表!$I$5:$I$3507,$L3127))</f>
        <v/>
      </c>
      <c r="G3127" s="57" t="s">
        <v>158</v>
      </c>
      <c r="H3127" s="32" t="str">
        <f aca="false">IF(L3127="","",INDEX(ポート振替表!$N$5:$N$3507,$L3127)&amp;"")</f>
        <v/>
      </c>
      <c r="I3127" s="32" t="str">
        <f aca="false">IF(L3127="","",INDEX(ポート振替表!$P$5:$P$3507,$L3127)&amp;"")</f>
        <v/>
      </c>
      <c r="J3127" s="60" t="str">
        <f aca="false">IF(L3127="","",INDEX(ポート振替表!$M$5:$M$3507,$L3127)&amp;"")</f>
        <v/>
      </c>
      <c r="K3127" s="52" t="str">
        <f aca="false">IF(L3127="","",E3127&amp;CHAR(10)&amp;INDEX(ポート振替表!$K$5:$K$3507,$L3127)&amp;" "&amp;INDEX(ポート振替表!$L$5:$L$3507,$L3127)&amp;CHAR(10)&amp;"⇔ "&amp;INDEX(ポート振替表!$H$5:$H$3507,$L3127)&amp;" "&amp;INDEX(ポート振替表!$I$5:$I$3507,$L3127))</f>
        <v/>
      </c>
      <c r="L3127" s="47" t="str">
        <f aca="false">IFERROR(MATCH(ROW()-4,ポート振替表!$V$5:$V$3507,0),"")</f>
        <v/>
      </c>
    </row>
    <row r="3128" customFormat="false" ht="16.4" hidden="false" customHeight="false" outlineLevel="0" collapsed="false">
      <c r="A3128" s="32" t="str">
        <f aca="false">IF(L3128="","",ROW()-4)</f>
        <v/>
      </c>
      <c r="B3128" s="58" t="str">
        <f aca="false">IF(L3128="","",IF(INDEX(ポート振替表!$W$5:$W$3507,$L3128)="","(なし)",INDEX(ポート振替表!$W$5:$W$3507,$L3128)&amp;""))</f>
        <v/>
      </c>
      <c r="C3128" s="52" t="str">
        <f aca="false">IF(L3128="","",INDEX(ポート振替表!$B$5:$B$3507,$L3128)&amp;" "&amp;INDEX(ポート振替表!$C$5:$C$3507,$L3128)&amp;"  ⇔  "&amp;INDEX(ポート振替表!$H$5:$H$3507,$L3128)&amp;" "&amp;INDEX(ポート振替表!$I$5:$I$3507,$L3128))</f>
        <v/>
      </c>
      <c r="D3128" s="57" t="s">
        <v>158</v>
      </c>
      <c r="E3128" s="59" t="str">
        <f aca="false">IF(L3128="","",IF(INDEX(ポート振替表!$O$5:$O$3507,$L3128)="","(未設定)",INDEX(ポート振替表!$O$5:$O$3507,$L3128)&amp;""))</f>
        <v/>
      </c>
      <c r="F3128" s="52" t="str">
        <f aca="false">IF(L3128="","",INDEX(ポート振替表!$K$5:$K$3507,$L3128)&amp;" "&amp;INDEX(ポート振替表!$L$5:$L$3507,$L3128)&amp;"  ⇔  "&amp;INDEX(ポート振替表!$H$5:$H$3507,$L3128)&amp;" "&amp;INDEX(ポート振替表!$I$5:$I$3507,$L3128))</f>
        <v/>
      </c>
      <c r="G3128" s="57" t="s">
        <v>158</v>
      </c>
      <c r="H3128" s="32" t="str">
        <f aca="false">IF(L3128="","",INDEX(ポート振替表!$N$5:$N$3507,$L3128)&amp;"")</f>
        <v/>
      </c>
      <c r="I3128" s="32" t="str">
        <f aca="false">IF(L3128="","",INDEX(ポート振替表!$P$5:$P$3507,$L3128)&amp;"")</f>
        <v/>
      </c>
      <c r="J3128" s="60" t="str">
        <f aca="false">IF(L3128="","",INDEX(ポート振替表!$M$5:$M$3507,$L3128)&amp;"")</f>
        <v/>
      </c>
      <c r="K3128" s="52" t="str">
        <f aca="false">IF(L3128="","",E3128&amp;CHAR(10)&amp;INDEX(ポート振替表!$K$5:$K$3507,$L3128)&amp;" "&amp;INDEX(ポート振替表!$L$5:$L$3507,$L3128)&amp;CHAR(10)&amp;"⇔ "&amp;INDEX(ポート振替表!$H$5:$H$3507,$L3128)&amp;" "&amp;INDEX(ポート振替表!$I$5:$I$3507,$L3128))</f>
        <v/>
      </c>
      <c r="L3128" s="47" t="str">
        <f aca="false">IFERROR(MATCH(ROW()-4,ポート振替表!$V$5:$V$3507,0),"")</f>
        <v/>
      </c>
    </row>
    <row r="3129" customFormat="false" ht="16.4" hidden="false" customHeight="false" outlineLevel="0" collapsed="false">
      <c r="A3129" s="32" t="str">
        <f aca="false">IF(L3129="","",ROW()-4)</f>
        <v/>
      </c>
      <c r="B3129" s="58" t="str">
        <f aca="false">IF(L3129="","",IF(INDEX(ポート振替表!$W$5:$W$3507,$L3129)="","(なし)",INDEX(ポート振替表!$W$5:$W$3507,$L3129)&amp;""))</f>
        <v/>
      </c>
      <c r="C3129" s="52" t="str">
        <f aca="false">IF(L3129="","",INDEX(ポート振替表!$B$5:$B$3507,$L3129)&amp;" "&amp;INDEX(ポート振替表!$C$5:$C$3507,$L3129)&amp;"  ⇔  "&amp;INDEX(ポート振替表!$H$5:$H$3507,$L3129)&amp;" "&amp;INDEX(ポート振替表!$I$5:$I$3507,$L3129))</f>
        <v/>
      </c>
      <c r="D3129" s="57" t="s">
        <v>158</v>
      </c>
      <c r="E3129" s="59" t="str">
        <f aca="false">IF(L3129="","",IF(INDEX(ポート振替表!$O$5:$O$3507,$L3129)="","(未設定)",INDEX(ポート振替表!$O$5:$O$3507,$L3129)&amp;""))</f>
        <v/>
      </c>
      <c r="F3129" s="52" t="str">
        <f aca="false">IF(L3129="","",INDEX(ポート振替表!$K$5:$K$3507,$L3129)&amp;" "&amp;INDEX(ポート振替表!$L$5:$L$3507,$L3129)&amp;"  ⇔  "&amp;INDEX(ポート振替表!$H$5:$H$3507,$L3129)&amp;" "&amp;INDEX(ポート振替表!$I$5:$I$3507,$L3129))</f>
        <v/>
      </c>
      <c r="G3129" s="57" t="s">
        <v>158</v>
      </c>
      <c r="H3129" s="32" t="str">
        <f aca="false">IF(L3129="","",INDEX(ポート振替表!$N$5:$N$3507,$L3129)&amp;"")</f>
        <v/>
      </c>
      <c r="I3129" s="32" t="str">
        <f aca="false">IF(L3129="","",INDEX(ポート振替表!$P$5:$P$3507,$L3129)&amp;"")</f>
        <v/>
      </c>
      <c r="J3129" s="60" t="str">
        <f aca="false">IF(L3129="","",INDEX(ポート振替表!$M$5:$M$3507,$L3129)&amp;"")</f>
        <v/>
      </c>
      <c r="K3129" s="52" t="str">
        <f aca="false">IF(L3129="","",E3129&amp;CHAR(10)&amp;INDEX(ポート振替表!$K$5:$K$3507,$L3129)&amp;" "&amp;INDEX(ポート振替表!$L$5:$L$3507,$L3129)&amp;CHAR(10)&amp;"⇔ "&amp;INDEX(ポート振替表!$H$5:$H$3507,$L3129)&amp;" "&amp;INDEX(ポート振替表!$I$5:$I$3507,$L3129))</f>
        <v/>
      </c>
      <c r="L3129" s="47" t="str">
        <f aca="false">IFERROR(MATCH(ROW()-4,ポート振替表!$V$5:$V$3507,0),"")</f>
        <v/>
      </c>
    </row>
    <row r="3130" customFormat="false" ht="16.4" hidden="false" customHeight="false" outlineLevel="0" collapsed="false">
      <c r="A3130" s="32" t="str">
        <f aca="false">IF(L3130="","",ROW()-4)</f>
        <v/>
      </c>
      <c r="B3130" s="58" t="str">
        <f aca="false">IF(L3130="","",IF(INDEX(ポート振替表!$W$5:$W$3507,$L3130)="","(なし)",INDEX(ポート振替表!$W$5:$W$3507,$L3130)&amp;""))</f>
        <v/>
      </c>
      <c r="C3130" s="52" t="str">
        <f aca="false">IF(L3130="","",INDEX(ポート振替表!$B$5:$B$3507,$L3130)&amp;" "&amp;INDEX(ポート振替表!$C$5:$C$3507,$L3130)&amp;"  ⇔  "&amp;INDEX(ポート振替表!$H$5:$H$3507,$L3130)&amp;" "&amp;INDEX(ポート振替表!$I$5:$I$3507,$L3130))</f>
        <v/>
      </c>
      <c r="D3130" s="57" t="s">
        <v>158</v>
      </c>
      <c r="E3130" s="59" t="str">
        <f aca="false">IF(L3130="","",IF(INDEX(ポート振替表!$O$5:$O$3507,$L3130)="","(未設定)",INDEX(ポート振替表!$O$5:$O$3507,$L3130)&amp;""))</f>
        <v/>
      </c>
      <c r="F3130" s="52" t="str">
        <f aca="false">IF(L3130="","",INDEX(ポート振替表!$K$5:$K$3507,$L3130)&amp;" "&amp;INDEX(ポート振替表!$L$5:$L$3507,$L3130)&amp;"  ⇔  "&amp;INDEX(ポート振替表!$H$5:$H$3507,$L3130)&amp;" "&amp;INDEX(ポート振替表!$I$5:$I$3507,$L3130))</f>
        <v/>
      </c>
      <c r="G3130" s="57" t="s">
        <v>158</v>
      </c>
      <c r="H3130" s="32" t="str">
        <f aca="false">IF(L3130="","",INDEX(ポート振替表!$N$5:$N$3507,$L3130)&amp;"")</f>
        <v/>
      </c>
      <c r="I3130" s="32" t="str">
        <f aca="false">IF(L3130="","",INDEX(ポート振替表!$P$5:$P$3507,$L3130)&amp;"")</f>
        <v/>
      </c>
      <c r="J3130" s="60" t="str">
        <f aca="false">IF(L3130="","",INDEX(ポート振替表!$M$5:$M$3507,$L3130)&amp;"")</f>
        <v/>
      </c>
      <c r="K3130" s="52" t="str">
        <f aca="false">IF(L3130="","",E3130&amp;CHAR(10)&amp;INDEX(ポート振替表!$K$5:$K$3507,$L3130)&amp;" "&amp;INDEX(ポート振替表!$L$5:$L$3507,$L3130)&amp;CHAR(10)&amp;"⇔ "&amp;INDEX(ポート振替表!$H$5:$H$3507,$L3130)&amp;" "&amp;INDEX(ポート振替表!$I$5:$I$3507,$L3130))</f>
        <v/>
      </c>
      <c r="L3130" s="47" t="str">
        <f aca="false">IFERROR(MATCH(ROW()-4,ポート振替表!$V$5:$V$3507,0),"")</f>
        <v/>
      </c>
    </row>
    <row r="3131" customFormat="false" ht="16.4" hidden="false" customHeight="false" outlineLevel="0" collapsed="false">
      <c r="A3131" s="32" t="str">
        <f aca="false">IF(L3131="","",ROW()-4)</f>
        <v/>
      </c>
      <c r="B3131" s="58" t="str">
        <f aca="false">IF(L3131="","",IF(INDEX(ポート振替表!$W$5:$W$3507,$L3131)="","(なし)",INDEX(ポート振替表!$W$5:$W$3507,$L3131)&amp;""))</f>
        <v/>
      </c>
      <c r="C3131" s="52" t="str">
        <f aca="false">IF(L3131="","",INDEX(ポート振替表!$B$5:$B$3507,$L3131)&amp;" "&amp;INDEX(ポート振替表!$C$5:$C$3507,$L3131)&amp;"  ⇔  "&amp;INDEX(ポート振替表!$H$5:$H$3507,$L3131)&amp;" "&amp;INDEX(ポート振替表!$I$5:$I$3507,$L3131))</f>
        <v/>
      </c>
      <c r="D3131" s="57" t="s">
        <v>158</v>
      </c>
      <c r="E3131" s="59" t="str">
        <f aca="false">IF(L3131="","",IF(INDEX(ポート振替表!$O$5:$O$3507,$L3131)="","(未設定)",INDEX(ポート振替表!$O$5:$O$3507,$L3131)&amp;""))</f>
        <v/>
      </c>
      <c r="F3131" s="52" t="str">
        <f aca="false">IF(L3131="","",INDEX(ポート振替表!$K$5:$K$3507,$L3131)&amp;" "&amp;INDEX(ポート振替表!$L$5:$L$3507,$L3131)&amp;"  ⇔  "&amp;INDEX(ポート振替表!$H$5:$H$3507,$L3131)&amp;" "&amp;INDEX(ポート振替表!$I$5:$I$3507,$L3131))</f>
        <v/>
      </c>
      <c r="G3131" s="57" t="s">
        <v>158</v>
      </c>
      <c r="H3131" s="32" t="str">
        <f aca="false">IF(L3131="","",INDEX(ポート振替表!$N$5:$N$3507,$L3131)&amp;"")</f>
        <v/>
      </c>
      <c r="I3131" s="32" t="str">
        <f aca="false">IF(L3131="","",INDEX(ポート振替表!$P$5:$P$3507,$L3131)&amp;"")</f>
        <v/>
      </c>
      <c r="J3131" s="60" t="str">
        <f aca="false">IF(L3131="","",INDEX(ポート振替表!$M$5:$M$3507,$L3131)&amp;"")</f>
        <v/>
      </c>
      <c r="K3131" s="52" t="str">
        <f aca="false">IF(L3131="","",E3131&amp;CHAR(10)&amp;INDEX(ポート振替表!$K$5:$K$3507,$L3131)&amp;" "&amp;INDEX(ポート振替表!$L$5:$L$3507,$L3131)&amp;CHAR(10)&amp;"⇔ "&amp;INDEX(ポート振替表!$H$5:$H$3507,$L3131)&amp;" "&amp;INDEX(ポート振替表!$I$5:$I$3507,$L3131))</f>
        <v/>
      </c>
      <c r="L3131" s="47" t="str">
        <f aca="false">IFERROR(MATCH(ROW()-4,ポート振替表!$V$5:$V$3507,0),"")</f>
        <v/>
      </c>
    </row>
    <row r="3132" customFormat="false" ht="16.4" hidden="false" customHeight="false" outlineLevel="0" collapsed="false">
      <c r="A3132" s="32" t="str">
        <f aca="false">IF(L3132="","",ROW()-4)</f>
        <v/>
      </c>
      <c r="B3132" s="58" t="str">
        <f aca="false">IF(L3132="","",IF(INDEX(ポート振替表!$W$5:$W$3507,$L3132)="","(なし)",INDEX(ポート振替表!$W$5:$W$3507,$L3132)&amp;""))</f>
        <v/>
      </c>
      <c r="C3132" s="52" t="str">
        <f aca="false">IF(L3132="","",INDEX(ポート振替表!$B$5:$B$3507,$L3132)&amp;" "&amp;INDEX(ポート振替表!$C$5:$C$3507,$L3132)&amp;"  ⇔  "&amp;INDEX(ポート振替表!$H$5:$H$3507,$L3132)&amp;" "&amp;INDEX(ポート振替表!$I$5:$I$3507,$L3132))</f>
        <v/>
      </c>
      <c r="D3132" s="57" t="s">
        <v>158</v>
      </c>
      <c r="E3132" s="59" t="str">
        <f aca="false">IF(L3132="","",IF(INDEX(ポート振替表!$O$5:$O$3507,$L3132)="","(未設定)",INDEX(ポート振替表!$O$5:$O$3507,$L3132)&amp;""))</f>
        <v/>
      </c>
      <c r="F3132" s="52" t="str">
        <f aca="false">IF(L3132="","",INDEX(ポート振替表!$K$5:$K$3507,$L3132)&amp;" "&amp;INDEX(ポート振替表!$L$5:$L$3507,$L3132)&amp;"  ⇔  "&amp;INDEX(ポート振替表!$H$5:$H$3507,$L3132)&amp;" "&amp;INDEX(ポート振替表!$I$5:$I$3507,$L3132))</f>
        <v/>
      </c>
      <c r="G3132" s="57" t="s">
        <v>158</v>
      </c>
      <c r="H3132" s="32" t="str">
        <f aca="false">IF(L3132="","",INDEX(ポート振替表!$N$5:$N$3507,$L3132)&amp;"")</f>
        <v/>
      </c>
      <c r="I3132" s="32" t="str">
        <f aca="false">IF(L3132="","",INDEX(ポート振替表!$P$5:$P$3507,$L3132)&amp;"")</f>
        <v/>
      </c>
      <c r="J3132" s="60" t="str">
        <f aca="false">IF(L3132="","",INDEX(ポート振替表!$M$5:$M$3507,$L3132)&amp;"")</f>
        <v/>
      </c>
      <c r="K3132" s="52" t="str">
        <f aca="false">IF(L3132="","",E3132&amp;CHAR(10)&amp;INDEX(ポート振替表!$K$5:$K$3507,$L3132)&amp;" "&amp;INDEX(ポート振替表!$L$5:$L$3507,$L3132)&amp;CHAR(10)&amp;"⇔ "&amp;INDEX(ポート振替表!$H$5:$H$3507,$L3132)&amp;" "&amp;INDEX(ポート振替表!$I$5:$I$3507,$L3132))</f>
        <v/>
      </c>
      <c r="L3132" s="47" t="str">
        <f aca="false">IFERROR(MATCH(ROW()-4,ポート振替表!$V$5:$V$3507,0),"")</f>
        <v/>
      </c>
    </row>
    <row r="3133" customFormat="false" ht="16.4" hidden="false" customHeight="false" outlineLevel="0" collapsed="false">
      <c r="A3133" s="32" t="str">
        <f aca="false">IF(L3133="","",ROW()-4)</f>
        <v/>
      </c>
      <c r="B3133" s="58" t="str">
        <f aca="false">IF(L3133="","",IF(INDEX(ポート振替表!$W$5:$W$3507,$L3133)="","(なし)",INDEX(ポート振替表!$W$5:$W$3507,$L3133)&amp;""))</f>
        <v/>
      </c>
      <c r="C3133" s="52" t="str">
        <f aca="false">IF(L3133="","",INDEX(ポート振替表!$B$5:$B$3507,$L3133)&amp;" "&amp;INDEX(ポート振替表!$C$5:$C$3507,$L3133)&amp;"  ⇔  "&amp;INDEX(ポート振替表!$H$5:$H$3507,$L3133)&amp;" "&amp;INDEX(ポート振替表!$I$5:$I$3507,$L3133))</f>
        <v/>
      </c>
      <c r="D3133" s="57" t="s">
        <v>158</v>
      </c>
      <c r="E3133" s="59" t="str">
        <f aca="false">IF(L3133="","",IF(INDEX(ポート振替表!$O$5:$O$3507,$L3133)="","(未設定)",INDEX(ポート振替表!$O$5:$O$3507,$L3133)&amp;""))</f>
        <v/>
      </c>
      <c r="F3133" s="52" t="str">
        <f aca="false">IF(L3133="","",INDEX(ポート振替表!$K$5:$K$3507,$L3133)&amp;" "&amp;INDEX(ポート振替表!$L$5:$L$3507,$L3133)&amp;"  ⇔  "&amp;INDEX(ポート振替表!$H$5:$H$3507,$L3133)&amp;" "&amp;INDEX(ポート振替表!$I$5:$I$3507,$L3133))</f>
        <v/>
      </c>
      <c r="G3133" s="57" t="s">
        <v>158</v>
      </c>
      <c r="H3133" s="32" t="str">
        <f aca="false">IF(L3133="","",INDEX(ポート振替表!$N$5:$N$3507,$L3133)&amp;"")</f>
        <v/>
      </c>
      <c r="I3133" s="32" t="str">
        <f aca="false">IF(L3133="","",INDEX(ポート振替表!$P$5:$P$3507,$L3133)&amp;"")</f>
        <v/>
      </c>
      <c r="J3133" s="60" t="str">
        <f aca="false">IF(L3133="","",INDEX(ポート振替表!$M$5:$M$3507,$L3133)&amp;"")</f>
        <v/>
      </c>
      <c r="K3133" s="52" t="str">
        <f aca="false">IF(L3133="","",E3133&amp;CHAR(10)&amp;INDEX(ポート振替表!$K$5:$K$3507,$L3133)&amp;" "&amp;INDEX(ポート振替表!$L$5:$L$3507,$L3133)&amp;CHAR(10)&amp;"⇔ "&amp;INDEX(ポート振替表!$H$5:$H$3507,$L3133)&amp;" "&amp;INDEX(ポート振替表!$I$5:$I$3507,$L3133))</f>
        <v/>
      </c>
      <c r="L3133" s="47" t="str">
        <f aca="false">IFERROR(MATCH(ROW()-4,ポート振替表!$V$5:$V$3507,0),"")</f>
        <v/>
      </c>
    </row>
    <row r="3134" customFormat="false" ht="16.4" hidden="false" customHeight="false" outlineLevel="0" collapsed="false">
      <c r="A3134" s="32" t="str">
        <f aca="false">IF(L3134="","",ROW()-4)</f>
        <v/>
      </c>
      <c r="B3134" s="58" t="str">
        <f aca="false">IF(L3134="","",IF(INDEX(ポート振替表!$W$5:$W$3507,$L3134)="","(なし)",INDEX(ポート振替表!$W$5:$W$3507,$L3134)&amp;""))</f>
        <v/>
      </c>
      <c r="C3134" s="52" t="str">
        <f aca="false">IF(L3134="","",INDEX(ポート振替表!$B$5:$B$3507,$L3134)&amp;" "&amp;INDEX(ポート振替表!$C$5:$C$3507,$L3134)&amp;"  ⇔  "&amp;INDEX(ポート振替表!$H$5:$H$3507,$L3134)&amp;" "&amp;INDEX(ポート振替表!$I$5:$I$3507,$L3134))</f>
        <v/>
      </c>
      <c r="D3134" s="57" t="s">
        <v>158</v>
      </c>
      <c r="E3134" s="59" t="str">
        <f aca="false">IF(L3134="","",IF(INDEX(ポート振替表!$O$5:$O$3507,$L3134)="","(未設定)",INDEX(ポート振替表!$O$5:$O$3507,$L3134)&amp;""))</f>
        <v/>
      </c>
      <c r="F3134" s="52" t="str">
        <f aca="false">IF(L3134="","",INDEX(ポート振替表!$K$5:$K$3507,$L3134)&amp;" "&amp;INDEX(ポート振替表!$L$5:$L$3507,$L3134)&amp;"  ⇔  "&amp;INDEX(ポート振替表!$H$5:$H$3507,$L3134)&amp;" "&amp;INDEX(ポート振替表!$I$5:$I$3507,$L3134))</f>
        <v/>
      </c>
      <c r="G3134" s="57" t="s">
        <v>158</v>
      </c>
      <c r="H3134" s="32" t="str">
        <f aca="false">IF(L3134="","",INDEX(ポート振替表!$N$5:$N$3507,$L3134)&amp;"")</f>
        <v/>
      </c>
      <c r="I3134" s="32" t="str">
        <f aca="false">IF(L3134="","",INDEX(ポート振替表!$P$5:$P$3507,$L3134)&amp;"")</f>
        <v/>
      </c>
      <c r="J3134" s="60" t="str">
        <f aca="false">IF(L3134="","",INDEX(ポート振替表!$M$5:$M$3507,$L3134)&amp;"")</f>
        <v/>
      </c>
      <c r="K3134" s="52" t="str">
        <f aca="false">IF(L3134="","",E3134&amp;CHAR(10)&amp;INDEX(ポート振替表!$K$5:$K$3507,$L3134)&amp;" "&amp;INDEX(ポート振替表!$L$5:$L$3507,$L3134)&amp;CHAR(10)&amp;"⇔ "&amp;INDEX(ポート振替表!$H$5:$H$3507,$L3134)&amp;" "&amp;INDEX(ポート振替表!$I$5:$I$3507,$L3134))</f>
        <v/>
      </c>
      <c r="L3134" s="47" t="str">
        <f aca="false">IFERROR(MATCH(ROW()-4,ポート振替表!$V$5:$V$3507,0),"")</f>
        <v/>
      </c>
    </row>
    <row r="3135" customFormat="false" ht="16.4" hidden="false" customHeight="false" outlineLevel="0" collapsed="false">
      <c r="A3135" s="32" t="str">
        <f aca="false">IF(L3135="","",ROW()-4)</f>
        <v/>
      </c>
      <c r="B3135" s="58" t="str">
        <f aca="false">IF(L3135="","",IF(INDEX(ポート振替表!$W$5:$W$3507,$L3135)="","(なし)",INDEX(ポート振替表!$W$5:$W$3507,$L3135)&amp;""))</f>
        <v/>
      </c>
      <c r="C3135" s="52" t="str">
        <f aca="false">IF(L3135="","",INDEX(ポート振替表!$B$5:$B$3507,$L3135)&amp;" "&amp;INDEX(ポート振替表!$C$5:$C$3507,$L3135)&amp;"  ⇔  "&amp;INDEX(ポート振替表!$H$5:$H$3507,$L3135)&amp;" "&amp;INDEX(ポート振替表!$I$5:$I$3507,$L3135))</f>
        <v/>
      </c>
      <c r="D3135" s="57" t="s">
        <v>158</v>
      </c>
      <c r="E3135" s="59" t="str">
        <f aca="false">IF(L3135="","",IF(INDEX(ポート振替表!$O$5:$O$3507,$L3135)="","(未設定)",INDEX(ポート振替表!$O$5:$O$3507,$L3135)&amp;""))</f>
        <v/>
      </c>
      <c r="F3135" s="52" t="str">
        <f aca="false">IF(L3135="","",INDEX(ポート振替表!$K$5:$K$3507,$L3135)&amp;" "&amp;INDEX(ポート振替表!$L$5:$L$3507,$L3135)&amp;"  ⇔  "&amp;INDEX(ポート振替表!$H$5:$H$3507,$L3135)&amp;" "&amp;INDEX(ポート振替表!$I$5:$I$3507,$L3135))</f>
        <v/>
      </c>
      <c r="G3135" s="57" t="s">
        <v>158</v>
      </c>
      <c r="H3135" s="32" t="str">
        <f aca="false">IF(L3135="","",INDEX(ポート振替表!$N$5:$N$3507,$L3135)&amp;"")</f>
        <v/>
      </c>
      <c r="I3135" s="32" t="str">
        <f aca="false">IF(L3135="","",INDEX(ポート振替表!$P$5:$P$3507,$L3135)&amp;"")</f>
        <v/>
      </c>
      <c r="J3135" s="60" t="str">
        <f aca="false">IF(L3135="","",INDEX(ポート振替表!$M$5:$M$3507,$L3135)&amp;"")</f>
        <v/>
      </c>
      <c r="K3135" s="52" t="str">
        <f aca="false">IF(L3135="","",E3135&amp;CHAR(10)&amp;INDEX(ポート振替表!$K$5:$K$3507,$L3135)&amp;" "&amp;INDEX(ポート振替表!$L$5:$L$3507,$L3135)&amp;CHAR(10)&amp;"⇔ "&amp;INDEX(ポート振替表!$H$5:$H$3507,$L3135)&amp;" "&amp;INDEX(ポート振替表!$I$5:$I$3507,$L3135))</f>
        <v/>
      </c>
      <c r="L3135" s="47" t="str">
        <f aca="false">IFERROR(MATCH(ROW()-4,ポート振替表!$V$5:$V$3507,0),"")</f>
        <v/>
      </c>
    </row>
    <row r="3136" customFormat="false" ht="16.4" hidden="false" customHeight="false" outlineLevel="0" collapsed="false">
      <c r="A3136" s="32" t="str">
        <f aca="false">IF(L3136="","",ROW()-4)</f>
        <v/>
      </c>
      <c r="B3136" s="58" t="str">
        <f aca="false">IF(L3136="","",IF(INDEX(ポート振替表!$W$5:$W$3507,$L3136)="","(なし)",INDEX(ポート振替表!$W$5:$W$3507,$L3136)&amp;""))</f>
        <v/>
      </c>
      <c r="C3136" s="52" t="str">
        <f aca="false">IF(L3136="","",INDEX(ポート振替表!$B$5:$B$3507,$L3136)&amp;" "&amp;INDEX(ポート振替表!$C$5:$C$3507,$L3136)&amp;"  ⇔  "&amp;INDEX(ポート振替表!$H$5:$H$3507,$L3136)&amp;" "&amp;INDEX(ポート振替表!$I$5:$I$3507,$L3136))</f>
        <v/>
      </c>
      <c r="D3136" s="57" t="s">
        <v>158</v>
      </c>
      <c r="E3136" s="59" t="str">
        <f aca="false">IF(L3136="","",IF(INDEX(ポート振替表!$O$5:$O$3507,$L3136)="","(未設定)",INDEX(ポート振替表!$O$5:$O$3507,$L3136)&amp;""))</f>
        <v/>
      </c>
      <c r="F3136" s="52" t="str">
        <f aca="false">IF(L3136="","",INDEX(ポート振替表!$K$5:$K$3507,$L3136)&amp;" "&amp;INDEX(ポート振替表!$L$5:$L$3507,$L3136)&amp;"  ⇔  "&amp;INDEX(ポート振替表!$H$5:$H$3507,$L3136)&amp;" "&amp;INDEX(ポート振替表!$I$5:$I$3507,$L3136))</f>
        <v/>
      </c>
      <c r="G3136" s="57" t="s">
        <v>158</v>
      </c>
      <c r="H3136" s="32" t="str">
        <f aca="false">IF(L3136="","",INDEX(ポート振替表!$N$5:$N$3507,$L3136)&amp;"")</f>
        <v/>
      </c>
      <c r="I3136" s="32" t="str">
        <f aca="false">IF(L3136="","",INDEX(ポート振替表!$P$5:$P$3507,$L3136)&amp;"")</f>
        <v/>
      </c>
      <c r="J3136" s="60" t="str">
        <f aca="false">IF(L3136="","",INDEX(ポート振替表!$M$5:$M$3507,$L3136)&amp;"")</f>
        <v/>
      </c>
      <c r="K3136" s="52" t="str">
        <f aca="false">IF(L3136="","",E3136&amp;CHAR(10)&amp;INDEX(ポート振替表!$K$5:$K$3507,$L3136)&amp;" "&amp;INDEX(ポート振替表!$L$5:$L$3507,$L3136)&amp;CHAR(10)&amp;"⇔ "&amp;INDEX(ポート振替表!$H$5:$H$3507,$L3136)&amp;" "&amp;INDEX(ポート振替表!$I$5:$I$3507,$L3136))</f>
        <v/>
      </c>
      <c r="L3136" s="47" t="str">
        <f aca="false">IFERROR(MATCH(ROW()-4,ポート振替表!$V$5:$V$3507,0),"")</f>
        <v/>
      </c>
    </row>
    <row r="3137" customFormat="false" ht="16.4" hidden="false" customHeight="false" outlineLevel="0" collapsed="false">
      <c r="A3137" s="32" t="str">
        <f aca="false">IF(L3137="","",ROW()-4)</f>
        <v/>
      </c>
      <c r="B3137" s="58" t="str">
        <f aca="false">IF(L3137="","",IF(INDEX(ポート振替表!$W$5:$W$3507,$L3137)="","(なし)",INDEX(ポート振替表!$W$5:$W$3507,$L3137)&amp;""))</f>
        <v/>
      </c>
      <c r="C3137" s="52" t="str">
        <f aca="false">IF(L3137="","",INDEX(ポート振替表!$B$5:$B$3507,$L3137)&amp;" "&amp;INDEX(ポート振替表!$C$5:$C$3507,$L3137)&amp;"  ⇔  "&amp;INDEX(ポート振替表!$H$5:$H$3507,$L3137)&amp;" "&amp;INDEX(ポート振替表!$I$5:$I$3507,$L3137))</f>
        <v/>
      </c>
      <c r="D3137" s="57" t="s">
        <v>158</v>
      </c>
      <c r="E3137" s="59" t="str">
        <f aca="false">IF(L3137="","",IF(INDEX(ポート振替表!$O$5:$O$3507,$L3137)="","(未設定)",INDEX(ポート振替表!$O$5:$O$3507,$L3137)&amp;""))</f>
        <v/>
      </c>
      <c r="F3137" s="52" t="str">
        <f aca="false">IF(L3137="","",INDEX(ポート振替表!$K$5:$K$3507,$L3137)&amp;" "&amp;INDEX(ポート振替表!$L$5:$L$3507,$L3137)&amp;"  ⇔  "&amp;INDEX(ポート振替表!$H$5:$H$3507,$L3137)&amp;" "&amp;INDEX(ポート振替表!$I$5:$I$3507,$L3137))</f>
        <v/>
      </c>
      <c r="G3137" s="57" t="s">
        <v>158</v>
      </c>
      <c r="H3137" s="32" t="str">
        <f aca="false">IF(L3137="","",INDEX(ポート振替表!$N$5:$N$3507,$L3137)&amp;"")</f>
        <v/>
      </c>
      <c r="I3137" s="32" t="str">
        <f aca="false">IF(L3137="","",INDEX(ポート振替表!$P$5:$P$3507,$L3137)&amp;"")</f>
        <v/>
      </c>
      <c r="J3137" s="60" t="str">
        <f aca="false">IF(L3137="","",INDEX(ポート振替表!$M$5:$M$3507,$L3137)&amp;"")</f>
        <v/>
      </c>
      <c r="K3137" s="52" t="str">
        <f aca="false">IF(L3137="","",E3137&amp;CHAR(10)&amp;INDEX(ポート振替表!$K$5:$K$3507,$L3137)&amp;" "&amp;INDEX(ポート振替表!$L$5:$L$3507,$L3137)&amp;CHAR(10)&amp;"⇔ "&amp;INDEX(ポート振替表!$H$5:$H$3507,$L3137)&amp;" "&amp;INDEX(ポート振替表!$I$5:$I$3507,$L3137))</f>
        <v/>
      </c>
      <c r="L3137" s="47" t="str">
        <f aca="false">IFERROR(MATCH(ROW()-4,ポート振替表!$V$5:$V$3507,0),"")</f>
        <v/>
      </c>
    </row>
    <row r="3138" customFormat="false" ht="16.4" hidden="false" customHeight="false" outlineLevel="0" collapsed="false">
      <c r="A3138" s="32" t="str">
        <f aca="false">IF(L3138="","",ROW()-4)</f>
        <v/>
      </c>
      <c r="B3138" s="58" t="str">
        <f aca="false">IF(L3138="","",IF(INDEX(ポート振替表!$W$5:$W$3507,$L3138)="","(なし)",INDEX(ポート振替表!$W$5:$W$3507,$L3138)&amp;""))</f>
        <v/>
      </c>
      <c r="C3138" s="52" t="str">
        <f aca="false">IF(L3138="","",INDEX(ポート振替表!$B$5:$B$3507,$L3138)&amp;" "&amp;INDEX(ポート振替表!$C$5:$C$3507,$L3138)&amp;"  ⇔  "&amp;INDEX(ポート振替表!$H$5:$H$3507,$L3138)&amp;" "&amp;INDEX(ポート振替表!$I$5:$I$3507,$L3138))</f>
        <v/>
      </c>
      <c r="D3138" s="57" t="s">
        <v>158</v>
      </c>
      <c r="E3138" s="59" t="str">
        <f aca="false">IF(L3138="","",IF(INDEX(ポート振替表!$O$5:$O$3507,$L3138)="","(未設定)",INDEX(ポート振替表!$O$5:$O$3507,$L3138)&amp;""))</f>
        <v/>
      </c>
      <c r="F3138" s="52" t="str">
        <f aca="false">IF(L3138="","",INDEX(ポート振替表!$K$5:$K$3507,$L3138)&amp;" "&amp;INDEX(ポート振替表!$L$5:$L$3507,$L3138)&amp;"  ⇔  "&amp;INDEX(ポート振替表!$H$5:$H$3507,$L3138)&amp;" "&amp;INDEX(ポート振替表!$I$5:$I$3507,$L3138))</f>
        <v/>
      </c>
      <c r="G3138" s="57" t="s">
        <v>158</v>
      </c>
      <c r="H3138" s="32" t="str">
        <f aca="false">IF(L3138="","",INDEX(ポート振替表!$N$5:$N$3507,$L3138)&amp;"")</f>
        <v/>
      </c>
      <c r="I3138" s="32" t="str">
        <f aca="false">IF(L3138="","",INDEX(ポート振替表!$P$5:$P$3507,$L3138)&amp;"")</f>
        <v/>
      </c>
      <c r="J3138" s="60" t="str">
        <f aca="false">IF(L3138="","",INDEX(ポート振替表!$M$5:$M$3507,$L3138)&amp;"")</f>
        <v/>
      </c>
      <c r="K3138" s="52" t="str">
        <f aca="false">IF(L3138="","",E3138&amp;CHAR(10)&amp;INDEX(ポート振替表!$K$5:$K$3507,$L3138)&amp;" "&amp;INDEX(ポート振替表!$L$5:$L$3507,$L3138)&amp;CHAR(10)&amp;"⇔ "&amp;INDEX(ポート振替表!$H$5:$H$3507,$L3138)&amp;" "&amp;INDEX(ポート振替表!$I$5:$I$3507,$L3138))</f>
        <v/>
      </c>
      <c r="L3138" s="47" t="str">
        <f aca="false">IFERROR(MATCH(ROW()-4,ポート振替表!$V$5:$V$3507,0),"")</f>
        <v/>
      </c>
    </row>
    <row r="3139" customFormat="false" ht="16.4" hidden="false" customHeight="false" outlineLevel="0" collapsed="false">
      <c r="A3139" s="32" t="str">
        <f aca="false">IF(L3139="","",ROW()-4)</f>
        <v/>
      </c>
      <c r="B3139" s="58" t="str">
        <f aca="false">IF(L3139="","",IF(INDEX(ポート振替表!$W$5:$W$3507,$L3139)="","(なし)",INDEX(ポート振替表!$W$5:$W$3507,$L3139)&amp;""))</f>
        <v/>
      </c>
      <c r="C3139" s="52" t="str">
        <f aca="false">IF(L3139="","",INDEX(ポート振替表!$B$5:$B$3507,$L3139)&amp;" "&amp;INDEX(ポート振替表!$C$5:$C$3507,$L3139)&amp;"  ⇔  "&amp;INDEX(ポート振替表!$H$5:$H$3507,$L3139)&amp;" "&amp;INDEX(ポート振替表!$I$5:$I$3507,$L3139))</f>
        <v/>
      </c>
      <c r="D3139" s="57" t="s">
        <v>158</v>
      </c>
      <c r="E3139" s="59" t="str">
        <f aca="false">IF(L3139="","",IF(INDEX(ポート振替表!$O$5:$O$3507,$L3139)="","(未設定)",INDEX(ポート振替表!$O$5:$O$3507,$L3139)&amp;""))</f>
        <v/>
      </c>
      <c r="F3139" s="52" t="str">
        <f aca="false">IF(L3139="","",INDEX(ポート振替表!$K$5:$K$3507,$L3139)&amp;" "&amp;INDEX(ポート振替表!$L$5:$L$3507,$L3139)&amp;"  ⇔  "&amp;INDEX(ポート振替表!$H$5:$H$3507,$L3139)&amp;" "&amp;INDEX(ポート振替表!$I$5:$I$3507,$L3139))</f>
        <v/>
      </c>
      <c r="G3139" s="57" t="s">
        <v>158</v>
      </c>
      <c r="H3139" s="32" t="str">
        <f aca="false">IF(L3139="","",INDEX(ポート振替表!$N$5:$N$3507,$L3139)&amp;"")</f>
        <v/>
      </c>
      <c r="I3139" s="32" t="str">
        <f aca="false">IF(L3139="","",INDEX(ポート振替表!$P$5:$P$3507,$L3139)&amp;"")</f>
        <v/>
      </c>
      <c r="J3139" s="60" t="str">
        <f aca="false">IF(L3139="","",INDEX(ポート振替表!$M$5:$M$3507,$L3139)&amp;"")</f>
        <v/>
      </c>
      <c r="K3139" s="52" t="str">
        <f aca="false">IF(L3139="","",E3139&amp;CHAR(10)&amp;INDEX(ポート振替表!$K$5:$K$3507,$L3139)&amp;" "&amp;INDEX(ポート振替表!$L$5:$L$3507,$L3139)&amp;CHAR(10)&amp;"⇔ "&amp;INDEX(ポート振替表!$H$5:$H$3507,$L3139)&amp;" "&amp;INDEX(ポート振替表!$I$5:$I$3507,$L3139))</f>
        <v/>
      </c>
      <c r="L3139" s="47" t="str">
        <f aca="false">IFERROR(MATCH(ROW()-4,ポート振替表!$V$5:$V$3507,0),"")</f>
        <v/>
      </c>
    </row>
    <row r="3140" customFormat="false" ht="16.4" hidden="false" customHeight="false" outlineLevel="0" collapsed="false">
      <c r="A3140" s="32" t="str">
        <f aca="false">IF(L3140="","",ROW()-4)</f>
        <v/>
      </c>
      <c r="B3140" s="58" t="str">
        <f aca="false">IF(L3140="","",IF(INDEX(ポート振替表!$W$5:$W$3507,$L3140)="","(なし)",INDEX(ポート振替表!$W$5:$W$3507,$L3140)&amp;""))</f>
        <v/>
      </c>
      <c r="C3140" s="52" t="str">
        <f aca="false">IF(L3140="","",INDEX(ポート振替表!$B$5:$B$3507,$L3140)&amp;" "&amp;INDEX(ポート振替表!$C$5:$C$3507,$L3140)&amp;"  ⇔  "&amp;INDEX(ポート振替表!$H$5:$H$3507,$L3140)&amp;" "&amp;INDEX(ポート振替表!$I$5:$I$3507,$L3140))</f>
        <v/>
      </c>
      <c r="D3140" s="57" t="s">
        <v>158</v>
      </c>
      <c r="E3140" s="59" t="str">
        <f aca="false">IF(L3140="","",IF(INDEX(ポート振替表!$O$5:$O$3507,$L3140)="","(未設定)",INDEX(ポート振替表!$O$5:$O$3507,$L3140)&amp;""))</f>
        <v/>
      </c>
      <c r="F3140" s="52" t="str">
        <f aca="false">IF(L3140="","",INDEX(ポート振替表!$K$5:$K$3507,$L3140)&amp;" "&amp;INDEX(ポート振替表!$L$5:$L$3507,$L3140)&amp;"  ⇔  "&amp;INDEX(ポート振替表!$H$5:$H$3507,$L3140)&amp;" "&amp;INDEX(ポート振替表!$I$5:$I$3507,$L3140))</f>
        <v/>
      </c>
      <c r="G3140" s="57" t="s">
        <v>158</v>
      </c>
      <c r="H3140" s="32" t="str">
        <f aca="false">IF(L3140="","",INDEX(ポート振替表!$N$5:$N$3507,$L3140)&amp;"")</f>
        <v/>
      </c>
      <c r="I3140" s="32" t="str">
        <f aca="false">IF(L3140="","",INDEX(ポート振替表!$P$5:$P$3507,$L3140)&amp;"")</f>
        <v/>
      </c>
      <c r="J3140" s="60" t="str">
        <f aca="false">IF(L3140="","",INDEX(ポート振替表!$M$5:$M$3507,$L3140)&amp;"")</f>
        <v/>
      </c>
      <c r="K3140" s="52" t="str">
        <f aca="false">IF(L3140="","",E3140&amp;CHAR(10)&amp;INDEX(ポート振替表!$K$5:$K$3507,$L3140)&amp;" "&amp;INDEX(ポート振替表!$L$5:$L$3507,$L3140)&amp;CHAR(10)&amp;"⇔ "&amp;INDEX(ポート振替表!$H$5:$H$3507,$L3140)&amp;" "&amp;INDEX(ポート振替表!$I$5:$I$3507,$L3140))</f>
        <v/>
      </c>
      <c r="L3140" s="47" t="str">
        <f aca="false">IFERROR(MATCH(ROW()-4,ポート振替表!$V$5:$V$3507,0),"")</f>
        <v/>
      </c>
    </row>
    <row r="3141" customFormat="false" ht="16.4" hidden="false" customHeight="false" outlineLevel="0" collapsed="false">
      <c r="A3141" s="32" t="str">
        <f aca="false">IF(L3141="","",ROW()-4)</f>
        <v/>
      </c>
      <c r="B3141" s="58" t="str">
        <f aca="false">IF(L3141="","",IF(INDEX(ポート振替表!$W$5:$W$3507,$L3141)="","(なし)",INDEX(ポート振替表!$W$5:$W$3507,$L3141)&amp;""))</f>
        <v/>
      </c>
      <c r="C3141" s="52" t="str">
        <f aca="false">IF(L3141="","",INDEX(ポート振替表!$B$5:$B$3507,$L3141)&amp;" "&amp;INDEX(ポート振替表!$C$5:$C$3507,$L3141)&amp;"  ⇔  "&amp;INDEX(ポート振替表!$H$5:$H$3507,$L3141)&amp;" "&amp;INDEX(ポート振替表!$I$5:$I$3507,$L3141))</f>
        <v/>
      </c>
      <c r="D3141" s="57" t="s">
        <v>158</v>
      </c>
      <c r="E3141" s="59" t="str">
        <f aca="false">IF(L3141="","",IF(INDEX(ポート振替表!$O$5:$O$3507,$L3141)="","(未設定)",INDEX(ポート振替表!$O$5:$O$3507,$L3141)&amp;""))</f>
        <v/>
      </c>
      <c r="F3141" s="52" t="str">
        <f aca="false">IF(L3141="","",INDEX(ポート振替表!$K$5:$K$3507,$L3141)&amp;" "&amp;INDEX(ポート振替表!$L$5:$L$3507,$L3141)&amp;"  ⇔  "&amp;INDEX(ポート振替表!$H$5:$H$3507,$L3141)&amp;" "&amp;INDEX(ポート振替表!$I$5:$I$3507,$L3141))</f>
        <v/>
      </c>
      <c r="G3141" s="57" t="s">
        <v>158</v>
      </c>
      <c r="H3141" s="32" t="str">
        <f aca="false">IF(L3141="","",INDEX(ポート振替表!$N$5:$N$3507,$L3141)&amp;"")</f>
        <v/>
      </c>
      <c r="I3141" s="32" t="str">
        <f aca="false">IF(L3141="","",INDEX(ポート振替表!$P$5:$P$3507,$L3141)&amp;"")</f>
        <v/>
      </c>
      <c r="J3141" s="60" t="str">
        <f aca="false">IF(L3141="","",INDEX(ポート振替表!$M$5:$M$3507,$L3141)&amp;"")</f>
        <v/>
      </c>
      <c r="K3141" s="52" t="str">
        <f aca="false">IF(L3141="","",E3141&amp;CHAR(10)&amp;INDEX(ポート振替表!$K$5:$K$3507,$L3141)&amp;" "&amp;INDEX(ポート振替表!$L$5:$L$3507,$L3141)&amp;CHAR(10)&amp;"⇔ "&amp;INDEX(ポート振替表!$H$5:$H$3507,$L3141)&amp;" "&amp;INDEX(ポート振替表!$I$5:$I$3507,$L3141))</f>
        <v/>
      </c>
      <c r="L3141" s="47" t="str">
        <f aca="false">IFERROR(MATCH(ROW()-4,ポート振替表!$V$5:$V$3507,0),"")</f>
        <v/>
      </c>
    </row>
    <row r="3142" customFormat="false" ht="16.4" hidden="false" customHeight="false" outlineLevel="0" collapsed="false">
      <c r="A3142" s="32" t="str">
        <f aca="false">IF(L3142="","",ROW()-4)</f>
        <v/>
      </c>
      <c r="B3142" s="58" t="str">
        <f aca="false">IF(L3142="","",IF(INDEX(ポート振替表!$W$5:$W$3507,$L3142)="","(なし)",INDEX(ポート振替表!$W$5:$W$3507,$L3142)&amp;""))</f>
        <v/>
      </c>
      <c r="C3142" s="52" t="str">
        <f aca="false">IF(L3142="","",INDEX(ポート振替表!$B$5:$B$3507,$L3142)&amp;" "&amp;INDEX(ポート振替表!$C$5:$C$3507,$L3142)&amp;"  ⇔  "&amp;INDEX(ポート振替表!$H$5:$H$3507,$L3142)&amp;" "&amp;INDEX(ポート振替表!$I$5:$I$3507,$L3142))</f>
        <v/>
      </c>
      <c r="D3142" s="57" t="s">
        <v>158</v>
      </c>
      <c r="E3142" s="59" t="str">
        <f aca="false">IF(L3142="","",IF(INDEX(ポート振替表!$O$5:$O$3507,$L3142)="","(未設定)",INDEX(ポート振替表!$O$5:$O$3507,$L3142)&amp;""))</f>
        <v/>
      </c>
      <c r="F3142" s="52" t="str">
        <f aca="false">IF(L3142="","",INDEX(ポート振替表!$K$5:$K$3507,$L3142)&amp;" "&amp;INDEX(ポート振替表!$L$5:$L$3507,$L3142)&amp;"  ⇔  "&amp;INDEX(ポート振替表!$H$5:$H$3507,$L3142)&amp;" "&amp;INDEX(ポート振替表!$I$5:$I$3507,$L3142))</f>
        <v/>
      </c>
      <c r="G3142" s="57" t="s">
        <v>158</v>
      </c>
      <c r="H3142" s="32" t="str">
        <f aca="false">IF(L3142="","",INDEX(ポート振替表!$N$5:$N$3507,$L3142)&amp;"")</f>
        <v/>
      </c>
      <c r="I3142" s="32" t="str">
        <f aca="false">IF(L3142="","",INDEX(ポート振替表!$P$5:$P$3507,$L3142)&amp;"")</f>
        <v/>
      </c>
      <c r="J3142" s="60" t="str">
        <f aca="false">IF(L3142="","",INDEX(ポート振替表!$M$5:$M$3507,$L3142)&amp;"")</f>
        <v/>
      </c>
      <c r="K3142" s="52" t="str">
        <f aca="false">IF(L3142="","",E3142&amp;CHAR(10)&amp;INDEX(ポート振替表!$K$5:$K$3507,$L3142)&amp;" "&amp;INDEX(ポート振替表!$L$5:$L$3507,$L3142)&amp;CHAR(10)&amp;"⇔ "&amp;INDEX(ポート振替表!$H$5:$H$3507,$L3142)&amp;" "&amp;INDEX(ポート振替表!$I$5:$I$3507,$L3142))</f>
        <v/>
      </c>
      <c r="L3142" s="47" t="str">
        <f aca="false">IFERROR(MATCH(ROW()-4,ポート振替表!$V$5:$V$3507,0),"")</f>
        <v/>
      </c>
    </row>
    <row r="3143" customFormat="false" ht="16.4" hidden="false" customHeight="false" outlineLevel="0" collapsed="false">
      <c r="A3143" s="32" t="str">
        <f aca="false">IF(L3143="","",ROW()-4)</f>
        <v/>
      </c>
      <c r="B3143" s="58" t="str">
        <f aca="false">IF(L3143="","",IF(INDEX(ポート振替表!$W$5:$W$3507,$L3143)="","(なし)",INDEX(ポート振替表!$W$5:$W$3507,$L3143)&amp;""))</f>
        <v/>
      </c>
      <c r="C3143" s="52" t="str">
        <f aca="false">IF(L3143="","",INDEX(ポート振替表!$B$5:$B$3507,$L3143)&amp;" "&amp;INDEX(ポート振替表!$C$5:$C$3507,$L3143)&amp;"  ⇔  "&amp;INDEX(ポート振替表!$H$5:$H$3507,$L3143)&amp;" "&amp;INDEX(ポート振替表!$I$5:$I$3507,$L3143))</f>
        <v/>
      </c>
      <c r="D3143" s="57" t="s">
        <v>158</v>
      </c>
      <c r="E3143" s="59" t="str">
        <f aca="false">IF(L3143="","",IF(INDEX(ポート振替表!$O$5:$O$3507,$L3143)="","(未設定)",INDEX(ポート振替表!$O$5:$O$3507,$L3143)&amp;""))</f>
        <v/>
      </c>
      <c r="F3143" s="52" t="str">
        <f aca="false">IF(L3143="","",INDEX(ポート振替表!$K$5:$K$3507,$L3143)&amp;" "&amp;INDEX(ポート振替表!$L$5:$L$3507,$L3143)&amp;"  ⇔  "&amp;INDEX(ポート振替表!$H$5:$H$3507,$L3143)&amp;" "&amp;INDEX(ポート振替表!$I$5:$I$3507,$L3143))</f>
        <v/>
      </c>
      <c r="G3143" s="57" t="s">
        <v>158</v>
      </c>
      <c r="H3143" s="32" t="str">
        <f aca="false">IF(L3143="","",INDEX(ポート振替表!$N$5:$N$3507,$L3143)&amp;"")</f>
        <v/>
      </c>
      <c r="I3143" s="32" t="str">
        <f aca="false">IF(L3143="","",INDEX(ポート振替表!$P$5:$P$3507,$L3143)&amp;"")</f>
        <v/>
      </c>
      <c r="J3143" s="60" t="str">
        <f aca="false">IF(L3143="","",INDEX(ポート振替表!$M$5:$M$3507,$L3143)&amp;"")</f>
        <v/>
      </c>
      <c r="K3143" s="52" t="str">
        <f aca="false">IF(L3143="","",E3143&amp;CHAR(10)&amp;INDEX(ポート振替表!$K$5:$K$3507,$L3143)&amp;" "&amp;INDEX(ポート振替表!$L$5:$L$3507,$L3143)&amp;CHAR(10)&amp;"⇔ "&amp;INDEX(ポート振替表!$H$5:$H$3507,$L3143)&amp;" "&amp;INDEX(ポート振替表!$I$5:$I$3507,$L3143))</f>
        <v/>
      </c>
      <c r="L3143" s="47" t="str">
        <f aca="false">IFERROR(MATCH(ROW()-4,ポート振替表!$V$5:$V$3507,0),"")</f>
        <v/>
      </c>
    </row>
    <row r="3144" customFormat="false" ht="16.4" hidden="false" customHeight="false" outlineLevel="0" collapsed="false">
      <c r="A3144" s="32" t="str">
        <f aca="false">IF(L3144="","",ROW()-4)</f>
        <v/>
      </c>
      <c r="B3144" s="58" t="str">
        <f aca="false">IF(L3144="","",IF(INDEX(ポート振替表!$W$5:$W$3507,$L3144)="","(なし)",INDEX(ポート振替表!$W$5:$W$3507,$L3144)&amp;""))</f>
        <v/>
      </c>
      <c r="C3144" s="52" t="str">
        <f aca="false">IF(L3144="","",INDEX(ポート振替表!$B$5:$B$3507,$L3144)&amp;" "&amp;INDEX(ポート振替表!$C$5:$C$3507,$L3144)&amp;"  ⇔  "&amp;INDEX(ポート振替表!$H$5:$H$3507,$L3144)&amp;" "&amp;INDEX(ポート振替表!$I$5:$I$3507,$L3144))</f>
        <v/>
      </c>
      <c r="D3144" s="57" t="s">
        <v>158</v>
      </c>
      <c r="E3144" s="59" t="str">
        <f aca="false">IF(L3144="","",IF(INDEX(ポート振替表!$O$5:$O$3507,$L3144)="","(未設定)",INDEX(ポート振替表!$O$5:$O$3507,$L3144)&amp;""))</f>
        <v/>
      </c>
      <c r="F3144" s="52" t="str">
        <f aca="false">IF(L3144="","",INDEX(ポート振替表!$K$5:$K$3507,$L3144)&amp;" "&amp;INDEX(ポート振替表!$L$5:$L$3507,$L3144)&amp;"  ⇔  "&amp;INDEX(ポート振替表!$H$5:$H$3507,$L3144)&amp;" "&amp;INDEX(ポート振替表!$I$5:$I$3507,$L3144))</f>
        <v/>
      </c>
      <c r="G3144" s="57" t="s">
        <v>158</v>
      </c>
      <c r="H3144" s="32" t="str">
        <f aca="false">IF(L3144="","",INDEX(ポート振替表!$N$5:$N$3507,$L3144)&amp;"")</f>
        <v/>
      </c>
      <c r="I3144" s="32" t="str">
        <f aca="false">IF(L3144="","",INDEX(ポート振替表!$P$5:$P$3507,$L3144)&amp;"")</f>
        <v/>
      </c>
      <c r="J3144" s="60" t="str">
        <f aca="false">IF(L3144="","",INDEX(ポート振替表!$M$5:$M$3507,$L3144)&amp;"")</f>
        <v/>
      </c>
      <c r="K3144" s="52" t="str">
        <f aca="false">IF(L3144="","",E3144&amp;CHAR(10)&amp;INDEX(ポート振替表!$K$5:$K$3507,$L3144)&amp;" "&amp;INDEX(ポート振替表!$L$5:$L$3507,$L3144)&amp;CHAR(10)&amp;"⇔ "&amp;INDEX(ポート振替表!$H$5:$H$3507,$L3144)&amp;" "&amp;INDEX(ポート振替表!$I$5:$I$3507,$L3144))</f>
        <v/>
      </c>
      <c r="L3144" s="47" t="str">
        <f aca="false">IFERROR(MATCH(ROW()-4,ポート振替表!$V$5:$V$3507,0),"")</f>
        <v/>
      </c>
    </row>
    <row r="3145" customFormat="false" ht="16.4" hidden="false" customHeight="false" outlineLevel="0" collapsed="false">
      <c r="A3145" s="32" t="str">
        <f aca="false">IF(L3145="","",ROW()-4)</f>
        <v/>
      </c>
      <c r="B3145" s="58" t="str">
        <f aca="false">IF(L3145="","",IF(INDEX(ポート振替表!$W$5:$W$3507,$L3145)="","(なし)",INDEX(ポート振替表!$W$5:$W$3507,$L3145)&amp;""))</f>
        <v/>
      </c>
      <c r="C3145" s="52" t="str">
        <f aca="false">IF(L3145="","",INDEX(ポート振替表!$B$5:$B$3507,$L3145)&amp;" "&amp;INDEX(ポート振替表!$C$5:$C$3507,$L3145)&amp;"  ⇔  "&amp;INDEX(ポート振替表!$H$5:$H$3507,$L3145)&amp;" "&amp;INDEX(ポート振替表!$I$5:$I$3507,$L3145))</f>
        <v/>
      </c>
      <c r="D3145" s="57" t="s">
        <v>158</v>
      </c>
      <c r="E3145" s="59" t="str">
        <f aca="false">IF(L3145="","",IF(INDEX(ポート振替表!$O$5:$O$3507,$L3145)="","(未設定)",INDEX(ポート振替表!$O$5:$O$3507,$L3145)&amp;""))</f>
        <v/>
      </c>
      <c r="F3145" s="52" t="str">
        <f aca="false">IF(L3145="","",INDEX(ポート振替表!$K$5:$K$3507,$L3145)&amp;" "&amp;INDEX(ポート振替表!$L$5:$L$3507,$L3145)&amp;"  ⇔  "&amp;INDEX(ポート振替表!$H$5:$H$3507,$L3145)&amp;" "&amp;INDEX(ポート振替表!$I$5:$I$3507,$L3145))</f>
        <v/>
      </c>
      <c r="G3145" s="57" t="s">
        <v>158</v>
      </c>
      <c r="H3145" s="32" t="str">
        <f aca="false">IF(L3145="","",INDEX(ポート振替表!$N$5:$N$3507,$L3145)&amp;"")</f>
        <v/>
      </c>
      <c r="I3145" s="32" t="str">
        <f aca="false">IF(L3145="","",INDEX(ポート振替表!$P$5:$P$3507,$L3145)&amp;"")</f>
        <v/>
      </c>
      <c r="J3145" s="60" t="str">
        <f aca="false">IF(L3145="","",INDEX(ポート振替表!$M$5:$M$3507,$L3145)&amp;"")</f>
        <v/>
      </c>
      <c r="K3145" s="52" t="str">
        <f aca="false">IF(L3145="","",E3145&amp;CHAR(10)&amp;INDEX(ポート振替表!$K$5:$K$3507,$L3145)&amp;" "&amp;INDEX(ポート振替表!$L$5:$L$3507,$L3145)&amp;CHAR(10)&amp;"⇔ "&amp;INDEX(ポート振替表!$H$5:$H$3507,$L3145)&amp;" "&amp;INDEX(ポート振替表!$I$5:$I$3507,$L3145))</f>
        <v/>
      </c>
      <c r="L3145" s="47" t="str">
        <f aca="false">IFERROR(MATCH(ROW()-4,ポート振替表!$V$5:$V$3507,0),"")</f>
        <v/>
      </c>
    </row>
    <row r="3146" customFormat="false" ht="16.4" hidden="false" customHeight="false" outlineLevel="0" collapsed="false">
      <c r="A3146" s="32" t="str">
        <f aca="false">IF(L3146="","",ROW()-4)</f>
        <v/>
      </c>
      <c r="B3146" s="58" t="str">
        <f aca="false">IF(L3146="","",IF(INDEX(ポート振替表!$W$5:$W$3507,$L3146)="","(なし)",INDEX(ポート振替表!$W$5:$W$3507,$L3146)&amp;""))</f>
        <v/>
      </c>
      <c r="C3146" s="52" t="str">
        <f aca="false">IF(L3146="","",INDEX(ポート振替表!$B$5:$B$3507,$L3146)&amp;" "&amp;INDEX(ポート振替表!$C$5:$C$3507,$L3146)&amp;"  ⇔  "&amp;INDEX(ポート振替表!$H$5:$H$3507,$L3146)&amp;" "&amp;INDEX(ポート振替表!$I$5:$I$3507,$L3146))</f>
        <v/>
      </c>
      <c r="D3146" s="57" t="s">
        <v>158</v>
      </c>
      <c r="E3146" s="59" t="str">
        <f aca="false">IF(L3146="","",IF(INDEX(ポート振替表!$O$5:$O$3507,$L3146)="","(未設定)",INDEX(ポート振替表!$O$5:$O$3507,$L3146)&amp;""))</f>
        <v/>
      </c>
      <c r="F3146" s="52" t="str">
        <f aca="false">IF(L3146="","",INDEX(ポート振替表!$K$5:$K$3507,$L3146)&amp;" "&amp;INDEX(ポート振替表!$L$5:$L$3507,$L3146)&amp;"  ⇔  "&amp;INDEX(ポート振替表!$H$5:$H$3507,$L3146)&amp;" "&amp;INDEX(ポート振替表!$I$5:$I$3507,$L3146))</f>
        <v/>
      </c>
      <c r="G3146" s="57" t="s">
        <v>158</v>
      </c>
      <c r="H3146" s="32" t="str">
        <f aca="false">IF(L3146="","",INDEX(ポート振替表!$N$5:$N$3507,$L3146)&amp;"")</f>
        <v/>
      </c>
      <c r="I3146" s="32" t="str">
        <f aca="false">IF(L3146="","",INDEX(ポート振替表!$P$5:$P$3507,$L3146)&amp;"")</f>
        <v/>
      </c>
      <c r="J3146" s="60" t="str">
        <f aca="false">IF(L3146="","",INDEX(ポート振替表!$M$5:$M$3507,$L3146)&amp;"")</f>
        <v/>
      </c>
      <c r="K3146" s="52" t="str">
        <f aca="false">IF(L3146="","",E3146&amp;CHAR(10)&amp;INDEX(ポート振替表!$K$5:$K$3507,$L3146)&amp;" "&amp;INDEX(ポート振替表!$L$5:$L$3507,$L3146)&amp;CHAR(10)&amp;"⇔ "&amp;INDEX(ポート振替表!$H$5:$H$3507,$L3146)&amp;" "&amp;INDEX(ポート振替表!$I$5:$I$3507,$L3146))</f>
        <v/>
      </c>
      <c r="L3146" s="47" t="str">
        <f aca="false">IFERROR(MATCH(ROW()-4,ポート振替表!$V$5:$V$3507,0),"")</f>
        <v/>
      </c>
    </row>
    <row r="3147" customFormat="false" ht="16.4" hidden="false" customHeight="false" outlineLevel="0" collapsed="false">
      <c r="A3147" s="32" t="str">
        <f aca="false">IF(L3147="","",ROW()-4)</f>
        <v/>
      </c>
      <c r="B3147" s="58" t="str">
        <f aca="false">IF(L3147="","",IF(INDEX(ポート振替表!$W$5:$W$3507,$L3147)="","(なし)",INDEX(ポート振替表!$W$5:$W$3507,$L3147)&amp;""))</f>
        <v/>
      </c>
      <c r="C3147" s="52" t="str">
        <f aca="false">IF(L3147="","",INDEX(ポート振替表!$B$5:$B$3507,$L3147)&amp;" "&amp;INDEX(ポート振替表!$C$5:$C$3507,$L3147)&amp;"  ⇔  "&amp;INDEX(ポート振替表!$H$5:$H$3507,$L3147)&amp;" "&amp;INDEX(ポート振替表!$I$5:$I$3507,$L3147))</f>
        <v/>
      </c>
      <c r="D3147" s="57" t="s">
        <v>158</v>
      </c>
      <c r="E3147" s="59" t="str">
        <f aca="false">IF(L3147="","",IF(INDEX(ポート振替表!$O$5:$O$3507,$L3147)="","(未設定)",INDEX(ポート振替表!$O$5:$O$3507,$L3147)&amp;""))</f>
        <v/>
      </c>
      <c r="F3147" s="52" t="str">
        <f aca="false">IF(L3147="","",INDEX(ポート振替表!$K$5:$K$3507,$L3147)&amp;" "&amp;INDEX(ポート振替表!$L$5:$L$3507,$L3147)&amp;"  ⇔  "&amp;INDEX(ポート振替表!$H$5:$H$3507,$L3147)&amp;" "&amp;INDEX(ポート振替表!$I$5:$I$3507,$L3147))</f>
        <v/>
      </c>
      <c r="G3147" s="57" t="s">
        <v>158</v>
      </c>
      <c r="H3147" s="32" t="str">
        <f aca="false">IF(L3147="","",INDEX(ポート振替表!$N$5:$N$3507,$L3147)&amp;"")</f>
        <v/>
      </c>
      <c r="I3147" s="32" t="str">
        <f aca="false">IF(L3147="","",INDEX(ポート振替表!$P$5:$P$3507,$L3147)&amp;"")</f>
        <v/>
      </c>
      <c r="J3147" s="60" t="str">
        <f aca="false">IF(L3147="","",INDEX(ポート振替表!$M$5:$M$3507,$L3147)&amp;"")</f>
        <v/>
      </c>
      <c r="K3147" s="52" t="str">
        <f aca="false">IF(L3147="","",E3147&amp;CHAR(10)&amp;INDEX(ポート振替表!$K$5:$K$3507,$L3147)&amp;" "&amp;INDEX(ポート振替表!$L$5:$L$3507,$L3147)&amp;CHAR(10)&amp;"⇔ "&amp;INDEX(ポート振替表!$H$5:$H$3507,$L3147)&amp;" "&amp;INDEX(ポート振替表!$I$5:$I$3507,$L3147))</f>
        <v/>
      </c>
      <c r="L3147" s="47" t="str">
        <f aca="false">IFERROR(MATCH(ROW()-4,ポート振替表!$V$5:$V$3507,0),"")</f>
        <v/>
      </c>
    </row>
    <row r="3148" customFormat="false" ht="16.4" hidden="false" customHeight="false" outlineLevel="0" collapsed="false">
      <c r="A3148" s="32" t="str">
        <f aca="false">IF(L3148="","",ROW()-4)</f>
        <v/>
      </c>
      <c r="B3148" s="58" t="str">
        <f aca="false">IF(L3148="","",IF(INDEX(ポート振替表!$W$5:$W$3507,$L3148)="","(なし)",INDEX(ポート振替表!$W$5:$W$3507,$L3148)&amp;""))</f>
        <v/>
      </c>
      <c r="C3148" s="52" t="str">
        <f aca="false">IF(L3148="","",INDEX(ポート振替表!$B$5:$B$3507,$L3148)&amp;" "&amp;INDEX(ポート振替表!$C$5:$C$3507,$L3148)&amp;"  ⇔  "&amp;INDEX(ポート振替表!$H$5:$H$3507,$L3148)&amp;" "&amp;INDEX(ポート振替表!$I$5:$I$3507,$L3148))</f>
        <v/>
      </c>
      <c r="D3148" s="57" t="s">
        <v>158</v>
      </c>
      <c r="E3148" s="59" t="str">
        <f aca="false">IF(L3148="","",IF(INDEX(ポート振替表!$O$5:$O$3507,$L3148)="","(未設定)",INDEX(ポート振替表!$O$5:$O$3507,$L3148)&amp;""))</f>
        <v/>
      </c>
      <c r="F3148" s="52" t="str">
        <f aca="false">IF(L3148="","",INDEX(ポート振替表!$K$5:$K$3507,$L3148)&amp;" "&amp;INDEX(ポート振替表!$L$5:$L$3507,$L3148)&amp;"  ⇔  "&amp;INDEX(ポート振替表!$H$5:$H$3507,$L3148)&amp;" "&amp;INDEX(ポート振替表!$I$5:$I$3507,$L3148))</f>
        <v/>
      </c>
      <c r="G3148" s="57" t="s">
        <v>158</v>
      </c>
      <c r="H3148" s="32" t="str">
        <f aca="false">IF(L3148="","",INDEX(ポート振替表!$N$5:$N$3507,$L3148)&amp;"")</f>
        <v/>
      </c>
      <c r="I3148" s="32" t="str">
        <f aca="false">IF(L3148="","",INDEX(ポート振替表!$P$5:$P$3507,$L3148)&amp;"")</f>
        <v/>
      </c>
      <c r="J3148" s="60" t="str">
        <f aca="false">IF(L3148="","",INDEX(ポート振替表!$M$5:$M$3507,$L3148)&amp;"")</f>
        <v/>
      </c>
      <c r="K3148" s="52" t="str">
        <f aca="false">IF(L3148="","",E3148&amp;CHAR(10)&amp;INDEX(ポート振替表!$K$5:$K$3507,$L3148)&amp;" "&amp;INDEX(ポート振替表!$L$5:$L$3507,$L3148)&amp;CHAR(10)&amp;"⇔ "&amp;INDEX(ポート振替表!$H$5:$H$3507,$L3148)&amp;" "&amp;INDEX(ポート振替表!$I$5:$I$3507,$L3148))</f>
        <v/>
      </c>
      <c r="L3148" s="47" t="str">
        <f aca="false">IFERROR(MATCH(ROW()-4,ポート振替表!$V$5:$V$3507,0),"")</f>
        <v/>
      </c>
    </row>
    <row r="3149" customFormat="false" ht="16.4" hidden="false" customHeight="false" outlineLevel="0" collapsed="false">
      <c r="A3149" s="32" t="str">
        <f aca="false">IF(L3149="","",ROW()-4)</f>
        <v/>
      </c>
      <c r="B3149" s="58" t="str">
        <f aca="false">IF(L3149="","",IF(INDEX(ポート振替表!$W$5:$W$3507,$L3149)="","(なし)",INDEX(ポート振替表!$W$5:$W$3507,$L3149)&amp;""))</f>
        <v/>
      </c>
      <c r="C3149" s="52" t="str">
        <f aca="false">IF(L3149="","",INDEX(ポート振替表!$B$5:$B$3507,$L3149)&amp;" "&amp;INDEX(ポート振替表!$C$5:$C$3507,$L3149)&amp;"  ⇔  "&amp;INDEX(ポート振替表!$H$5:$H$3507,$L3149)&amp;" "&amp;INDEX(ポート振替表!$I$5:$I$3507,$L3149))</f>
        <v/>
      </c>
      <c r="D3149" s="57" t="s">
        <v>158</v>
      </c>
      <c r="E3149" s="59" t="str">
        <f aca="false">IF(L3149="","",IF(INDEX(ポート振替表!$O$5:$O$3507,$L3149)="","(未設定)",INDEX(ポート振替表!$O$5:$O$3507,$L3149)&amp;""))</f>
        <v/>
      </c>
      <c r="F3149" s="52" t="str">
        <f aca="false">IF(L3149="","",INDEX(ポート振替表!$K$5:$K$3507,$L3149)&amp;" "&amp;INDEX(ポート振替表!$L$5:$L$3507,$L3149)&amp;"  ⇔  "&amp;INDEX(ポート振替表!$H$5:$H$3507,$L3149)&amp;" "&amp;INDEX(ポート振替表!$I$5:$I$3507,$L3149))</f>
        <v/>
      </c>
      <c r="G3149" s="57" t="s">
        <v>158</v>
      </c>
      <c r="H3149" s="32" t="str">
        <f aca="false">IF(L3149="","",INDEX(ポート振替表!$N$5:$N$3507,$L3149)&amp;"")</f>
        <v/>
      </c>
      <c r="I3149" s="32" t="str">
        <f aca="false">IF(L3149="","",INDEX(ポート振替表!$P$5:$P$3507,$L3149)&amp;"")</f>
        <v/>
      </c>
      <c r="J3149" s="60" t="str">
        <f aca="false">IF(L3149="","",INDEX(ポート振替表!$M$5:$M$3507,$L3149)&amp;"")</f>
        <v/>
      </c>
      <c r="K3149" s="52" t="str">
        <f aca="false">IF(L3149="","",E3149&amp;CHAR(10)&amp;INDEX(ポート振替表!$K$5:$K$3507,$L3149)&amp;" "&amp;INDEX(ポート振替表!$L$5:$L$3507,$L3149)&amp;CHAR(10)&amp;"⇔ "&amp;INDEX(ポート振替表!$H$5:$H$3507,$L3149)&amp;" "&amp;INDEX(ポート振替表!$I$5:$I$3507,$L3149))</f>
        <v/>
      </c>
      <c r="L3149" s="47" t="str">
        <f aca="false">IFERROR(MATCH(ROW()-4,ポート振替表!$V$5:$V$3507,0),"")</f>
        <v/>
      </c>
    </row>
    <row r="3150" customFormat="false" ht="16.4" hidden="false" customHeight="false" outlineLevel="0" collapsed="false">
      <c r="A3150" s="32" t="str">
        <f aca="false">IF(L3150="","",ROW()-4)</f>
        <v/>
      </c>
      <c r="B3150" s="58" t="str">
        <f aca="false">IF(L3150="","",IF(INDEX(ポート振替表!$W$5:$W$3507,$L3150)="","(なし)",INDEX(ポート振替表!$W$5:$W$3507,$L3150)&amp;""))</f>
        <v/>
      </c>
      <c r="C3150" s="52" t="str">
        <f aca="false">IF(L3150="","",INDEX(ポート振替表!$B$5:$B$3507,$L3150)&amp;" "&amp;INDEX(ポート振替表!$C$5:$C$3507,$L3150)&amp;"  ⇔  "&amp;INDEX(ポート振替表!$H$5:$H$3507,$L3150)&amp;" "&amp;INDEX(ポート振替表!$I$5:$I$3507,$L3150))</f>
        <v/>
      </c>
      <c r="D3150" s="57" t="s">
        <v>158</v>
      </c>
      <c r="E3150" s="59" t="str">
        <f aca="false">IF(L3150="","",IF(INDEX(ポート振替表!$O$5:$O$3507,$L3150)="","(未設定)",INDEX(ポート振替表!$O$5:$O$3507,$L3150)&amp;""))</f>
        <v/>
      </c>
      <c r="F3150" s="52" t="str">
        <f aca="false">IF(L3150="","",INDEX(ポート振替表!$K$5:$K$3507,$L3150)&amp;" "&amp;INDEX(ポート振替表!$L$5:$L$3507,$L3150)&amp;"  ⇔  "&amp;INDEX(ポート振替表!$H$5:$H$3507,$L3150)&amp;" "&amp;INDEX(ポート振替表!$I$5:$I$3507,$L3150))</f>
        <v/>
      </c>
      <c r="G3150" s="57" t="s">
        <v>158</v>
      </c>
      <c r="H3150" s="32" t="str">
        <f aca="false">IF(L3150="","",INDEX(ポート振替表!$N$5:$N$3507,$L3150)&amp;"")</f>
        <v/>
      </c>
      <c r="I3150" s="32" t="str">
        <f aca="false">IF(L3150="","",INDEX(ポート振替表!$P$5:$P$3507,$L3150)&amp;"")</f>
        <v/>
      </c>
      <c r="J3150" s="60" t="str">
        <f aca="false">IF(L3150="","",INDEX(ポート振替表!$M$5:$M$3507,$L3150)&amp;"")</f>
        <v/>
      </c>
      <c r="K3150" s="52" t="str">
        <f aca="false">IF(L3150="","",E3150&amp;CHAR(10)&amp;INDEX(ポート振替表!$K$5:$K$3507,$L3150)&amp;" "&amp;INDEX(ポート振替表!$L$5:$L$3507,$L3150)&amp;CHAR(10)&amp;"⇔ "&amp;INDEX(ポート振替表!$H$5:$H$3507,$L3150)&amp;" "&amp;INDEX(ポート振替表!$I$5:$I$3507,$L3150))</f>
        <v/>
      </c>
      <c r="L3150" s="47" t="str">
        <f aca="false">IFERROR(MATCH(ROW()-4,ポート振替表!$V$5:$V$3507,0),"")</f>
        <v/>
      </c>
    </row>
    <row r="3151" customFormat="false" ht="16.4" hidden="false" customHeight="false" outlineLevel="0" collapsed="false">
      <c r="A3151" s="32" t="str">
        <f aca="false">IF(L3151="","",ROW()-4)</f>
        <v/>
      </c>
      <c r="B3151" s="58" t="str">
        <f aca="false">IF(L3151="","",IF(INDEX(ポート振替表!$W$5:$W$3507,$L3151)="","(なし)",INDEX(ポート振替表!$W$5:$W$3507,$L3151)&amp;""))</f>
        <v/>
      </c>
      <c r="C3151" s="52" t="str">
        <f aca="false">IF(L3151="","",INDEX(ポート振替表!$B$5:$B$3507,$L3151)&amp;" "&amp;INDEX(ポート振替表!$C$5:$C$3507,$L3151)&amp;"  ⇔  "&amp;INDEX(ポート振替表!$H$5:$H$3507,$L3151)&amp;" "&amp;INDEX(ポート振替表!$I$5:$I$3507,$L3151))</f>
        <v/>
      </c>
      <c r="D3151" s="57" t="s">
        <v>158</v>
      </c>
      <c r="E3151" s="59" t="str">
        <f aca="false">IF(L3151="","",IF(INDEX(ポート振替表!$O$5:$O$3507,$L3151)="","(未設定)",INDEX(ポート振替表!$O$5:$O$3507,$L3151)&amp;""))</f>
        <v/>
      </c>
      <c r="F3151" s="52" t="str">
        <f aca="false">IF(L3151="","",INDEX(ポート振替表!$K$5:$K$3507,$L3151)&amp;" "&amp;INDEX(ポート振替表!$L$5:$L$3507,$L3151)&amp;"  ⇔  "&amp;INDEX(ポート振替表!$H$5:$H$3507,$L3151)&amp;" "&amp;INDEX(ポート振替表!$I$5:$I$3507,$L3151))</f>
        <v/>
      </c>
      <c r="G3151" s="57" t="s">
        <v>158</v>
      </c>
      <c r="H3151" s="32" t="str">
        <f aca="false">IF(L3151="","",INDEX(ポート振替表!$N$5:$N$3507,$L3151)&amp;"")</f>
        <v/>
      </c>
      <c r="I3151" s="32" t="str">
        <f aca="false">IF(L3151="","",INDEX(ポート振替表!$P$5:$P$3507,$L3151)&amp;"")</f>
        <v/>
      </c>
      <c r="J3151" s="60" t="str">
        <f aca="false">IF(L3151="","",INDEX(ポート振替表!$M$5:$M$3507,$L3151)&amp;"")</f>
        <v/>
      </c>
      <c r="K3151" s="52" t="str">
        <f aca="false">IF(L3151="","",E3151&amp;CHAR(10)&amp;INDEX(ポート振替表!$K$5:$K$3507,$L3151)&amp;" "&amp;INDEX(ポート振替表!$L$5:$L$3507,$L3151)&amp;CHAR(10)&amp;"⇔ "&amp;INDEX(ポート振替表!$H$5:$H$3507,$L3151)&amp;" "&amp;INDEX(ポート振替表!$I$5:$I$3507,$L3151))</f>
        <v/>
      </c>
      <c r="L3151" s="47" t="str">
        <f aca="false">IFERROR(MATCH(ROW()-4,ポート振替表!$V$5:$V$3507,0),"")</f>
        <v/>
      </c>
    </row>
    <row r="3152" customFormat="false" ht="16.4" hidden="false" customHeight="false" outlineLevel="0" collapsed="false">
      <c r="A3152" s="32" t="str">
        <f aca="false">IF(L3152="","",ROW()-4)</f>
        <v/>
      </c>
      <c r="B3152" s="58" t="str">
        <f aca="false">IF(L3152="","",IF(INDEX(ポート振替表!$W$5:$W$3507,$L3152)="","(なし)",INDEX(ポート振替表!$W$5:$W$3507,$L3152)&amp;""))</f>
        <v/>
      </c>
      <c r="C3152" s="52" t="str">
        <f aca="false">IF(L3152="","",INDEX(ポート振替表!$B$5:$B$3507,$L3152)&amp;" "&amp;INDEX(ポート振替表!$C$5:$C$3507,$L3152)&amp;"  ⇔  "&amp;INDEX(ポート振替表!$H$5:$H$3507,$L3152)&amp;" "&amp;INDEX(ポート振替表!$I$5:$I$3507,$L3152))</f>
        <v/>
      </c>
      <c r="D3152" s="57" t="s">
        <v>158</v>
      </c>
      <c r="E3152" s="59" t="str">
        <f aca="false">IF(L3152="","",IF(INDEX(ポート振替表!$O$5:$O$3507,$L3152)="","(未設定)",INDEX(ポート振替表!$O$5:$O$3507,$L3152)&amp;""))</f>
        <v/>
      </c>
      <c r="F3152" s="52" t="str">
        <f aca="false">IF(L3152="","",INDEX(ポート振替表!$K$5:$K$3507,$L3152)&amp;" "&amp;INDEX(ポート振替表!$L$5:$L$3507,$L3152)&amp;"  ⇔  "&amp;INDEX(ポート振替表!$H$5:$H$3507,$L3152)&amp;" "&amp;INDEX(ポート振替表!$I$5:$I$3507,$L3152))</f>
        <v/>
      </c>
      <c r="G3152" s="57" t="s">
        <v>158</v>
      </c>
      <c r="H3152" s="32" t="str">
        <f aca="false">IF(L3152="","",INDEX(ポート振替表!$N$5:$N$3507,$L3152)&amp;"")</f>
        <v/>
      </c>
      <c r="I3152" s="32" t="str">
        <f aca="false">IF(L3152="","",INDEX(ポート振替表!$P$5:$P$3507,$L3152)&amp;"")</f>
        <v/>
      </c>
      <c r="J3152" s="60" t="str">
        <f aca="false">IF(L3152="","",INDEX(ポート振替表!$M$5:$M$3507,$L3152)&amp;"")</f>
        <v/>
      </c>
      <c r="K3152" s="52" t="str">
        <f aca="false">IF(L3152="","",E3152&amp;CHAR(10)&amp;INDEX(ポート振替表!$K$5:$K$3507,$L3152)&amp;" "&amp;INDEX(ポート振替表!$L$5:$L$3507,$L3152)&amp;CHAR(10)&amp;"⇔ "&amp;INDEX(ポート振替表!$H$5:$H$3507,$L3152)&amp;" "&amp;INDEX(ポート振替表!$I$5:$I$3507,$L3152))</f>
        <v/>
      </c>
      <c r="L3152" s="47" t="str">
        <f aca="false">IFERROR(MATCH(ROW()-4,ポート振替表!$V$5:$V$3507,0),"")</f>
        <v/>
      </c>
    </row>
    <row r="3153" customFormat="false" ht="16.4" hidden="false" customHeight="false" outlineLevel="0" collapsed="false">
      <c r="A3153" s="32" t="str">
        <f aca="false">IF(L3153="","",ROW()-4)</f>
        <v/>
      </c>
      <c r="B3153" s="58" t="str">
        <f aca="false">IF(L3153="","",IF(INDEX(ポート振替表!$W$5:$W$3507,$L3153)="","(なし)",INDEX(ポート振替表!$W$5:$W$3507,$L3153)&amp;""))</f>
        <v/>
      </c>
      <c r="C3153" s="52" t="str">
        <f aca="false">IF(L3153="","",INDEX(ポート振替表!$B$5:$B$3507,$L3153)&amp;" "&amp;INDEX(ポート振替表!$C$5:$C$3507,$L3153)&amp;"  ⇔  "&amp;INDEX(ポート振替表!$H$5:$H$3507,$L3153)&amp;" "&amp;INDEX(ポート振替表!$I$5:$I$3507,$L3153))</f>
        <v/>
      </c>
      <c r="D3153" s="57" t="s">
        <v>158</v>
      </c>
      <c r="E3153" s="59" t="str">
        <f aca="false">IF(L3153="","",IF(INDEX(ポート振替表!$O$5:$O$3507,$L3153)="","(未設定)",INDEX(ポート振替表!$O$5:$O$3507,$L3153)&amp;""))</f>
        <v/>
      </c>
      <c r="F3153" s="52" t="str">
        <f aca="false">IF(L3153="","",INDEX(ポート振替表!$K$5:$K$3507,$L3153)&amp;" "&amp;INDEX(ポート振替表!$L$5:$L$3507,$L3153)&amp;"  ⇔  "&amp;INDEX(ポート振替表!$H$5:$H$3507,$L3153)&amp;" "&amp;INDEX(ポート振替表!$I$5:$I$3507,$L3153))</f>
        <v/>
      </c>
      <c r="G3153" s="57" t="s">
        <v>158</v>
      </c>
      <c r="H3153" s="32" t="str">
        <f aca="false">IF(L3153="","",INDEX(ポート振替表!$N$5:$N$3507,$L3153)&amp;"")</f>
        <v/>
      </c>
      <c r="I3153" s="32" t="str">
        <f aca="false">IF(L3153="","",INDEX(ポート振替表!$P$5:$P$3507,$L3153)&amp;"")</f>
        <v/>
      </c>
      <c r="J3153" s="60" t="str">
        <f aca="false">IF(L3153="","",INDEX(ポート振替表!$M$5:$M$3507,$L3153)&amp;"")</f>
        <v/>
      </c>
      <c r="K3153" s="52" t="str">
        <f aca="false">IF(L3153="","",E3153&amp;CHAR(10)&amp;INDEX(ポート振替表!$K$5:$K$3507,$L3153)&amp;" "&amp;INDEX(ポート振替表!$L$5:$L$3507,$L3153)&amp;CHAR(10)&amp;"⇔ "&amp;INDEX(ポート振替表!$H$5:$H$3507,$L3153)&amp;" "&amp;INDEX(ポート振替表!$I$5:$I$3507,$L3153))</f>
        <v/>
      </c>
      <c r="L3153" s="47" t="str">
        <f aca="false">IFERROR(MATCH(ROW()-4,ポート振替表!$V$5:$V$3507,0),"")</f>
        <v/>
      </c>
    </row>
    <row r="3154" customFormat="false" ht="16.4" hidden="false" customHeight="false" outlineLevel="0" collapsed="false">
      <c r="A3154" s="32" t="str">
        <f aca="false">IF(L3154="","",ROW()-4)</f>
        <v/>
      </c>
      <c r="B3154" s="58" t="str">
        <f aca="false">IF(L3154="","",IF(INDEX(ポート振替表!$W$5:$W$3507,$L3154)="","(なし)",INDEX(ポート振替表!$W$5:$W$3507,$L3154)&amp;""))</f>
        <v/>
      </c>
      <c r="C3154" s="52" t="str">
        <f aca="false">IF(L3154="","",INDEX(ポート振替表!$B$5:$B$3507,$L3154)&amp;" "&amp;INDEX(ポート振替表!$C$5:$C$3507,$L3154)&amp;"  ⇔  "&amp;INDEX(ポート振替表!$H$5:$H$3507,$L3154)&amp;" "&amp;INDEX(ポート振替表!$I$5:$I$3507,$L3154))</f>
        <v/>
      </c>
      <c r="D3154" s="57" t="s">
        <v>158</v>
      </c>
      <c r="E3154" s="59" t="str">
        <f aca="false">IF(L3154="","",IF(INDEX(ポート振替表!$O$5:$O$3507,$L3154)="","(未設定)",INDEX(ポート振替表!$O$5:$O$3507,$L3154)&amp;""))</f>
        <v/>
      </c>
      <c r="F3154" s="52" t="str">
        <f aca="false">IF(L3154="","",INDEX(ポート振替表!$K$5:$K$3507,$L3154)&amp;" "&amp;INDEX(ポート振替表!$L$5:$L$3507,$L3154)&amp;"  ⇔  "&amp;INDEX(ポート振替表!$H$5:$H$3507,$L3154)&amp;" "&amp;INDEX(ポート振替表!$I$5:$I$3507,$L3154))</f>
        <v/>
      </c>
      <c r="G3154" s="57" t="s">
        <v>158</v>
      </c>
      <c r="H3154" s="32" t="str">
        <f aca="false">IF(L3154="","",INDEX(ポート振替表!$N$5:$N$3507,$L3154)&amp;"")</f>
        <v/>
      </c>
      <c r="I3154" s="32" t="str">
        <f aca="false">IF(L3154="","",INDEX(ポート振替表!$P$5:$P$3507,$L3154)&amp;"")</f>
        <v/>
      </c>
      <c r="J3154" s="60" t="str">
        <f aca="false">IF(L3154="","",INDEX(ポート振替表!$M$5:$M$3507,$L3154)&amp;"")</f>
        <v/>
      </c>
      <c r="K3154" s="52" t="str">
        <f aca="false">IF(L3154="","",E3154&amp;CHAR(10)&amp;INDEX(ポート振替表!$K$5:$K$3507,$L3154)&amp;" "&amp;INDEX(ポート振替表!$L$5:$L$3507,$L3154)&amp;CHAR(10)&amp;"⇔ "&amp;INDEX(ポート振替表!$H$5:$H$3507,$L3154)&amp;" "&amp;INDEX(ポート振替表!$I$5:$I$3507,$L3154))</f>
        <v/>
      </c>
      <c r="L3154" s="47" t="str">
        <f aca="false">IFERROR(MATCH(ROW()-4,ポート振替表!$V$5:$V$3507,0),"")</f>
        <v/>
      </c>
    </row>
    <row r="3155" customFormat="false" ht="16.4" hidden="false" customHeight="false" outlineLevel="0" collapsed="false">
      <c r="A3155" s="32" t="str">
        <f aca="false">IF(L3155="","",ROW()-4)</f>
        <v/>
      </c>
      <c r="B3155" s="58" t="str">
        <f aca="false">IF(L3155="","",IF(INDEX(ポート振替表!$W$5:$W$3507,$L3155)="","(なし)",INDEX(ポート振替表!$W$5:$W$3507,$L3155)&amp;""))</f>
        <v/>
      </c>
      <c r="C3155" s="52" t="str">
        <f aca="false">IF(L3155="","",INDEX(ポート振替表!$B$5:$B$3507,$L3155)&amp;" "&amp;INDEX(ポート振替表!$C$5:$C$3507,$L3155)&amp;"  ⇔  "&amp;INDEX(ポート振替表!$H$5:$H$3507,$L3155)&amp;" "&amp;INDEX(ポート振替表!$I$5:$I$3507,$L3155))</f>
        <v/>
      </c>
      <c r="D3155" s="57" t="s">
        <v>158</v>
      </c>
      <c r="E3155" s="59" t="str">
        <f aca="false">IF(L3155="","",IF(INDEX(ポート振替表!$O$5:$O$3507,$L3155)="","(未設定)",INDEX(ポート振替表!$O$5:$O$3507,$L3155)&amp;""))</f>
        <v/>
      </c>
      <c r="F3155" s="52" t="str">
        <f aca="false">IF(L3155="","",INDEX(ポート振替表!$K$5:$K$3507,$L3155)&amp;" "&amp;INDEX(ポート振替表!$L$5:$L$3507,$L3155)&amp;"  ⇔  "&amp;INDEX(ポート振替表!$H$5:$H$3507,$L3155)&amp;" "&amp;INDEX(ポート振替表!$I$5:$I$3507,$L3155))</f>
        <v/>
      </c>
      <c r="G3155" s="57" t="s">
        <v>158</v>
      </c>
      <c r="H3155" s="32" t="str">
        <f aca="false">IF(L3155="","",INDEX(ポート振替表!$N$5:$N$3507,$L3155)&amp;"")</f>
        <v/>
      </c>
      <c r="I3155" s="32" t="str">
        <f aca="false">IF(L3155="","",INDEX(ポート振替表!$P$5:$P$3507,$L3155)&amp;"")</f>
        <v/>
      </c>
      <c r="J3155" s="60" t="str">
        <f aca="false">IF(L3155="","",INDEX(ポート振替表!$M$5:$M$3507,$L3155)&amp;"")</f>
        <v/>
      </c>
      <c r="K3155" s="52" t="str">
        <f aca="false">IF(L3155="","",E3155&amp;CHAR(10)&amp;INDEX(ポート振替表!$K$5:$K$3507,$L3155)&amp;" "&amp;INDEX(ポート振替表!$L$5:$L$3507,$L3155)&amp;CHAR(10)&amp;"⇔ "&amp;INDEX(ポート振替表!$H$5:$H$3507,$L3155)&amp;" "&amp;INDEX(ポート振替表!$I$5:$I$3507,$L3155))</f>
        <v/>
      </c>
      <c r="L3155" s="47" t="str">
        <f aca="false">IFERROR(MATCH(ROW()-4,ポート振替表!$V$5:$V$3507,0),"")</f>
        <v/>
      </c>
    </row>
    <row r="3156" customFormat="false" ht="16.4" hidden="false" customHeight="false" outlineLevel="0" collapsed="false">
      <c r="A3156" s="32" t="str">
        <f aca="false">IF(L3156="","",ROW()-4)</f>
        <v/>
      </c>
      <c r="B3156" s="58" t="str">
        <f aca="false">IF(L3156="","",IF(INDEX(ポート振替表!$W$5:$W$3507,$L3156)="","(なし)",INDEX(ポート振替表!$W$5:$W$3507,$L3156)&amp;""))</f>
        <v/>
      </c>
      <c r="C3156" s="52" t="str">
        <f aca="false">IF(L3156="","",INDEX(ポート振替表!$B$5:$B$3507,$L3156)&amp;" "&amp;INDEX(ポート振替表!$C$5:$C$3507,$L3156)&amp;"  ⇔  "&amp;INDEX(ポート振替表!$H$5:$H$3507,$L3156)&amp;" "&amp;INDEX(ポート振替表!$I$5:$I$3507,$L3156))</f>
        <v/>
      </c>
      <c r="D3156" s="57" t="s">
        <v>158</v>
      </c>
      <c r="E3156" s="59" t="str">
        <f aca="false">IF(L3156="","",IF(INDEX(ポート振替表!$O$5:$O$3507,$L3156)="","(未設定)",INDEX(ポート振替表!$O$5:$O$3507,$L3156)&amp;""))</f>
        <v/>
      </c>
      <c r="F3156" s="52" t="str">
        <f aca="false">IF(L3156="","",INDEX(ポート振替表!$K$5:$K$3507,$L3156)&amp;" "&amp;INDEX(ポート振替表!$L$5:$L$3507,$L3156)&amp;"  ⇔  "&amp;INDEX(ポート振替表!$H$5:$H$3507,$L3156)&amp;" "&amp;INDEX(ポート振替表!$I$5:$I$3507,$L3156))</f>
        <v/>
      </c>
      <c r="G3156" s="57" t="s">
        <v>158</v>
      </c>
      <c r="H3156" s="32" t="str">
        <f aca="false">IF(L3156="","",INDEX(ポート振替表!$N$5:$N$3507,$L3156)&amp;"")</f>
        <v/>
      </c>
      <c r="I3156" s="32" t="str">
        <f aca="false">IF(L3156="","",INDEX(ポート振替表!$P$5:$P$3507,$L3156)&amp;"")</f>
        <v/>
      </c>
      <c r="J3156" s="60" t="str">
        <f aca="false">IF(L3156="","",INDEX(ポート振替表!$M$5:$M$3507,$L3156)&amp;"")</f>
        <v/>
      </c>
      <c r="K3156" s="52" t="str">
        <f aca="false">IF(L3156="","",E3156&amp;CHAR(10)&amp;INDEX(ポート振替表!$K$5:$K$3507,$L3156)&amp;" "&amp;INDEX(ポート振替表!$L$5:$L$3507,$L3156)&amp;CHAR(10)&amp;"⇔ "&amp;INDEX(ポート振替表!$H$5:$H$3507,$L3156)&amp;" "&amp;INDEX(ポート振替表!$I$5:$I$3507,$L3156))</f>
        <v/>
      </c>
      <c r="L3156" s="47" t="str">
        <f aca="false">IFERROR(MATCH(ROW()-4,ポート振替表!$V$5:$V$3507,0),"")</f>
        <v/>
      </c>
    </row>
    <row r="3157" customFormat="false" ht="16.4" hidden="false" customHeight="false" outlineLevel="0" collapsed="false">
      <c r="A3157" s="32" t="str">
        <f aca="false">IF(L3157="","",ROW()-4)</f>
        <v/>
      </c>
      <c r="B3157" s="58" t="str">
        <f aca="false">IF(L3157="","",IF(INDEX(ポート振替表!$W$5:$W$3507,$L3157)="","(なし)",INDEX(ポート振替表!$W$5:$W$3507,$L3157)&amp;""))</f>
        <v/>
      </c>
      <c r="C3157" s="52" t="str">
        <f aca="false">IF(L3157="","",INDEX(ポート振替表!$B$5:$B$3507,$L3157)&amp;" "&amp;INDEX(ポート振替表!$C$5:$C$3507,$L3157)&amp;"  ⇔  "&amp;INDEX(ポート振替表!$H$5:$H$3507,$L3157)&amp;" "&amp;INDEX(ポート振替表!$I$5:$I$3507,$L3157))</f>
        <v/>
      </c>
      <c r="D3157" s="57" t="s">
        <v>158</v>
      </c>
      <c r="E3157" s="59" t="str">
        <f aca="false">IF(L3157="","",IF(INDEX(ポート振替表!$O$5:$O$3507,$L3157)="","(未設定)",INDEX(ポート振替表!$O$5:$O$3507,$L3157)&amp;""))</f>
        <v/>
      </c>
      <c r="F3157" s="52" t="str">
        <f aca="false">IF(L3157="","",INDEX(ポート振替表!$K$5:$K$3507,$L3157)&amp;" "&amp;INDEX(ポート振替表!$L$5:$L$3507,$L3157)&amp;"  ⇔  "&amp;INDEX(ポート振替表!$H$5:$H$3507,$L3157)&amp;" "&amp;INDEX(ポート振替表!$I$5:$I$3507,$L3157))</f>
        <v/>
      </c>
      <c r="G3157" s="57" t="s">
        <v>158</v>
      </c>
      <c r="H3157" s="32" t="str">
        <f aca="false">IF(L3157="","",INDEX(ポート振替表!$N$5:$N$3507,$L3157)&amp;"")</f>
        <v/>
      </c>
      <c r="I3157" s="32" t="str">
        <f aca="false">IF(L3157="","",INDEX(ポート振替表!$P$5:$P$3507,$L3157)&amp;"")</f>
        <v/>
      </c>
      <c r="J3157" s="60" t="str">
        <f aca="false">IF(L3157="","",INDEX(ポート振替表!$M$5:$M$3507,$L3157)&amp;"")</f>
        <v/>
      </c>
      <c r="K3157" s="52" t="str">
        <f aca="false">IF(L3157="","",E3157&amp;CHAR(10)&amp;INDEX(ポート振替表!$K$5:$K$3507,$L3157)&amp;" "&amp;INDEX(ポート振替表!$L$5:$L$3507,$L3157)&amp;CHAR(10)&amp;"⇔ "&amp;INDEX(ポート振替表!$H$5:$H$3507,$L3157)&amp;" "&amp;INDEX(ポート振替表!$I$5:$I$3507,$L3157))</f>
        <v/>
      </c>
      <c r="L3157" s="47" t="str">
        <f aca="false">IFERROR(MATCH(ROW()-4,ポート振替表!$V$5:$V$3507,0),"")</f>
        <v/>
      </c>
    </row>
    <row r="3158" customFormat="false" ht="16.4" hidden="false" customHeight="false" outlineLevel="0" collapsed="false">
      <c r="A3158" s="32" t="str">
        <f aca="false">IF(L3158="","",ROW()-4)</f>
        <v/>
      </c>
      <c r="B3158" s="58" t="str">
        <f aca="false">IF(L3158="","",IF(INDEX(ポート振替表!$W$5:$W$3507,$L3158)="","(なし)",INDEX(ポート振替表!$W$5:$W$3507,$L3158)&amp;""))</f>
        <v/>
      </c>
      <c r="C3158" s="52" t="str">
        <f aca="false">IF(L3158="","",INDEX(ポート振替表!$B$5:$B$3507,$L3158)&amp;" "&amp;INDEX(ポート振替表!$C$5:$C$3507,$L3158)&amp;"  ⇔  "&amp;INDEX(ポート振替表!$H$5:$H$3507,$L3158)&amp;" "&amp;INDEX(ポート振替表!$I$5:$I$3507,$L3158))</f>
        <v/>
      </c>
      <c r="D3158" s="57" t="s">
        <v>158</v>
      </c>
      <c r="E3158" s="59" t="str">
        <f aca="false">IF(L3158="","",IF(INDEX(ポート振替表!$O$5:$O$3507,$L3158)="","(未設定)",INDEX(ポート振替表!$O$5:$O$3507,$L3158)&amp;""))</f>
        <v/>
      </c>
      <c r="F3158" s="52" t="str">
        <f aca="false">IF(L3158="","",INDEX(ポート振替表!$K$5:$K$3507,$L3158)&amp;" "&amp;INDEX(ポート振替表!$L$5:$L$3507,$L3158)&amp;"  ⇔  "&amp;INDEX(ポート振替表!$H$5:$H$3507,$L3158)&amp;" "&amp;INDEX(ポート振替表!$I$5:$I$3507,$L3158))</f>
        <v/>
      </c>
      <c r="G3158" s="57" t="s">
        <v>158</v>
      </c>
      <c r="H3158" s="32" t="str">
        <f aca="false">IF(L3158="","",INDEX(ポート振替表!$N$5:$N$3507,$L3158)&amp;"")</f>
        <v/>
      </c>
      <c r="I3158" s="32" t="str">
        <f aca="false">IF(L3158="","",INDEX(ポート振替表!$P$5:$P$3507,$L3158)&amp;"")</f>
        <v/>
      </c>
      <c r="J3158" s="60" t="str">
        <f aca="false">IF(L3158="","",INDEX(ポート振替表!$M$5:$M$3507,$L3158)&amp;"")</f>
        <v/>
      </c>
      <c r="K3158" s="52" t="str">
        <f aca="false">IF(L3158="","",E3158&amp;CHAR(10)&amp;INDEX(ポート振替表!$K$5:$K$3507,$L3158)&amp;" "&amp;INDEX(ポート振替表!$L$5:$L$3507,$L3158)&amp;CHAR(10)&amp;"⇔ "&amp;INDEX(ポート振替表!$H$5:$H$3507,$L3158)&amp;" "&amp;INDEX(ポート振替表!$I$5:$I$3507,$L3158))</f>
        <v/>
      </c>
      <c r="L3158" s="47" t="str">
        <f aca="false">IFERROR(MATCH(ROW()-4,ポート振替表!$V$5:$V$3507,0),"")</f>
        <v/>
      </c>
    </row>
    <row r="3159" customFormat="false" ht="16.4" hidden="false" customHeight="false" outlineLevel="0" collapsed="false">
      <c r="A3159" s="32" t="str">
        <f aca="false">IF(L3159="","",ROW()-4)</f>
        <v/>
      </c>
      <c r="B3159" s="58" t="str">
        <f aca="false">IF(L3159="","",IF(INDEX(ポート振替表!$W$5:$W$3507,$L3159)="","(なし)",INDEX(ポート振替表!$W$5:$W$3507,$L3159)&amp;""))</f>
        <v/>
      </c>
      <c r="C3159" s="52" t="str">
        <f aca="false">IF(L3159="","",INDEX(ポート振替表!$B$5:$B$3507,$L3159)&amp;" "&amp;INDEX(ポート振替表!$C$5:$C$3507,$L3159)&amp;"  ⇔  "&amp;INDEX(ポート振替表!$H$5:$H$3507,$L3159)&amp;" "&amp;INDEX(ポート振替表!$I$5:$I$3507,$L3159))</f>
        <v/>
      </c>
      <c r="D3159" s="57" t="s">
        <v>158</v>
      </c>
      <c r="E3159" s="59" t="str">
        <f aca="false">IF(L3159="","",IF(INDEX(ポート振替表!$O$5:$O$3507,$L3159)="","(未設定)",INDEX(ポート振替表!$O$5:$O$3507,$L3159)&amp;""))</f>
        <v/>
      </c>
      <c r="F3159" s="52" t="str">
        <f aca="false">IF(L3159="","",INDEX(ポート振替表!$K$5:$K$3507,$L3159)&amp;" "&amp;INDEX(ポート振替表!$L$5:$L$3507,$L3159)&amp;"  ⇔  "&amp;INDEX(ポート振替表!$H$5:$H$3507,$L3159)&amp;" "&amp;INDEX(ポート振替表!$I$5:$I$3507,$L3159))</f>
        <v/>
      </c>
      <c r="G3159" s="57" t="s">
        <v>158</v>
      </c>
      <c r="H3159" s="32" t="str">
        <f aca="false">IF(L3159="","",INDEX(ポート振替表!$N$5:$N$3507,$L3159)&amp;"")</f>
        <v/>
      </c>
      <c r="I3159" s="32" t="str">
        <f aca="false">IF(L3159="","",INDEX(ポート振替表!$P$5:$P$3507,$L3159)&amp;"")</f>
        <v/>
      </c>
      <c r="J3159" s="60" t="str">
        <f aca="false">IF(L3159="","",INDEX(ポート振替表!$M$5:$M$3507,$L3159)&amp;"")</f>
        <v/>
      </c>
      <c r="K3159" s="52" t="str">
        <f aca="false">IF(L3159="","",E3159&amp;CHAR(10)&amp;INDEX(ポート振替表!$K$5:$K$3507,$L3159)&amp;" "&amp;INDEX(ポート振替表!$L$5:$L$3507,$L3159)&amp;CHAR(10)&amp;"⇔ "&amp;INDEX(ポート振替表!$H$5:$H$3507,$L3159)&amp;" "&amp;INDEX(ポート振替表!$I$5:$I$3507,$L3159))</f>
        <v/>
      </c>
      <c r="L3159" s="47" t="str">
        <f aca="false">IFERROR(MATCH(ROW()-4,ポート振替表!$V$5:$V$3507,0),"")</f>
        <v/>
      </c>
    </row>
    <row r="3160" customFormat="false" ht="16.4" hidden="false" customHeight="false" outlineLevel="0" collapsed="false">
      <c r="A3160" s="32" t="str">
        <f aca="false">IF(L3160="","",ROW()-4)</f>
        <v/>
      </c>
      <c r="B3160" s="58" t="str">
        <f aca="false">IF(L3160="","",IF(INDEX(ポート振替表!$W$5:$W$3507,$L3160)="","(なし)",INDEX(ポート振替表!$W$5:$W$3507,$L3160)&amp;""))</f>
        <v/>
      </c>
      <c r="C3160" s="52" t="str">
        <f aca="false">IF(L3160="","",INDEX(ポート振替表!$B$5:$B$3507,$L3160)&amp;" "&amp;INDEX(ポート振替表!$C$5:$C$3507,$L3160)&amp;"  ⇔  "&amp;INDEX(ポート振替表!$H$5:$H$3507,$L3160)&amp;" "&amp;INDEX(ポート振替表!$I$5:$I$3507,$L3160))</f>
        <v/>
      </c>
      <c r="D3160" s="57" t="s">
        <v>158</v>
      </c>
      <c r="E3160" s="59" t="str">
        <f aca="false">IF(L3160="","",IF(INDEX(ポート振替表!$O$5:$O$3507,$L3160)="","(未設定)",INDEX(ポート振替表!$O$5:$O$3507,$L3160)&amp;""))</f>
        <v/>
      </c>
      <c r="F3160" s="52" t="str">
        <f aca="false">IF(L3160="","",INDEX(ポート振替表!$K$5:$K$3507,$L3160)&amp;" "&amp;INDEX(ポート振替表!$L$5:$L$3507,$L3160)&amp;"  ⇔  "&amp;INDEX(ポート振替表!$H$5:$H$3507,$L3160)&amp;" "&amp;INDEX(ポート振替表!$I$5:$I$3507,$L3160))</f>
        <v/>
      </c>
      <c r="G3160" s="57" t="s">
        <v>158</v>
      </c>
      <c r="H3160" s="32" t="str">
        <f aca="false">IF(L3160="","",INDEX(ポート振替表!$N$5:$N$3507,$L3160)&amp;"")</f>
        <v/>
      </c>
      <c r="I3160" s="32" t="str">
        <f aca="false">IF(L3160="","",INDEX(ポート振替表!$P$5:$P$3507,$L3160)&amp;"")</f>
        <v/>
      </c>
      <c r="J3160" s="60" t="str">
        <f aca="false">IF(L3160="","",INDEX(ポート振替表!$M$5:$M$3507,$L3160)&amp;"")</f>
        <v/>
      </c>
      <c r="K3160" s="52" t="str">
        <f aca="false">IF(L3160="","",E3160&amp;CHAR(10)&amp;INDEX(ポート振替表!$K$5:$K$3507,$L3160)&amp;" "&amp;INDEX(ポート振替表!$L$5:$L$3507,$L3160)&amp;CHAR(10)&amp;"⇔ "&amp;INDEX(ポート振替表!$H$5:$H$3507,$L3160)&amp;" "&amp;INDEX(ポート振替表!$I$5:$I$3507,$L3160))</f>
        <v/>
      </c>
      <c r="L3160" s="47" t="str">
        <f aca="false">IFERROR(MATCH(ROW()-4,ポート振替表!$V$5:$V$3507,0),"")</f>
        <v/>
      </c>
    </row>
    <row r="3161" customFormat="false" ht="16.4" hidden="false" customHeight="false" outlineLevel="0" collapsed="false">
      <c r="A3161" s="32" t="str">
        <f aca="false">IF(L3161="","",ROW()-4)</f>
        <v/>
      </c>
      <c r="B3161" s="58" t="str">
        <f aca="false">IF(L3161="","",IF(INDEX(ポート振替表!$W$5:$W$3507,$L3161)="","(なし)",INDEX(ポート振替表!$W$5:$W$3507,$L3161)&amp;""))</f>
        <v/>
      </c>
      <c r="C3161" s="52" t="str">
        <f aca="false">IF(L3161="","",INDEX(ポート振替表!$B$5:$B$3507,$L3161)&amp;" "&amp;INDEX(ポート振替表!$C$5:$C$3507,$L3161)&amp;"  ⇔  "&amp;INDEX(ポート振替表!$H$5:$H$3507,$L3161)&amp;" "&amp;INDEX(ポート振替表!$I$5:$I$3507,$L3161))</f>
        <v/>
      </c>
      <c r="D3161" s="57" t="s">
        <v>158</v>
      </c>
      <c r="E3161" s="59" t="str">
        <f aca="false">IF(L3161="","",IF(INDEX(ポート振替表!$O$5:$O$3507,$L3161)="","(未設定)",INDEX(ポート振替表!$O$5:$O$3507,$L3161)&amp;""))</f>
        <v/>
      </c>
      <c r="F3161" s="52" t="str">
        <f aca="false">IF(L3161="","",INDEX(ポート振替表!$K$5:$K$3507,$L3161)&amp;" "&amp;INDEX(ポート振替表!$L$5:$L$3507,$L3161)&amp;"  ⇔  "&amp;INDEX(ポート振替表!$H$5:$H$3507,$L3161)&amp;" "&amp;INDEX(ポート振替表!$I$5:$I$3507,$L3161))</f>
        <v/>
      </c>
      <c r="G3161" s="57" t="s">
        <v>158</v>
      </c>
      <c r="H3161" s="32" t="str">
        <f aca="false">IF(L3161="","",INDEX(ポート振替表!$N$5:$N$3507,$L3161)&amp;"")</f>
        <v/>
      </c>
      <c r="I3161" s="32" t="str">
        <f aca="false">IF(L3161="","",INDEX(ポート振替表!$P$5:$P$3507,$L3161)&amp;"")</f>
        <v/>
      </c>
      <c r="J3161" s="60" t="str">
        <f aca="false">IF(L3161="","",INDEX(ポート振替表!$M$5:$M$3507,$L3161)&amp;"")</f>
        <v/>
      </c>
      <c r="K3161" s="52" t="str">
        <f aca="false">IF(L3161="","",E3161&amp;CHAR(10)&amp;INDEX(ポート振替表!$K$5:$K$3507,$L3161)&amp;" "&amp;INDEX(ポート振替表!$L$5:$L$3507,$L3161)&amp;CHAR(10)&amp;"⇔ "&amp;INDEX(ポート振替表!$H$5:$H$3507,$L3161)&amp;" "&amp;INDEX(ポート振替表!$I$5:$I$3507,$L3161))</f>
        <v/>
      </c>
      <c r="L3161" s="47" t="str">
        <f aca="false">IFERROR(MATCH(ROW()-4,ポート振替表!$V$5:$V$3507,0),"")</f>
        <v/>
      </c>
    </row>
    <row r="3162" customFormat="false" ht="16.4" hidden="false" customHeight="false" outlineLevel="0" collapsed="false">
      <c r="A3162" s="32" t="str">
        <f aca="false">IF(L3162="","",ROW()-4)</f>
        <v/>
      </c>
      <c r="B3162" s="58" t="str">
        <f aca="false">IF(L3162="","",IF(INDEX(ポート振替表!$W$5:$W$3507,$L3162)="","(なし)",INDEX(ポート振替表!$W$5:$W$3507,$L3162)&amp;""))</f>
        <v/>
      </c>
      <c r="C3162" s="52" t="str">
        <f aca="false">IF(L3162="","",INDEX(ポート振替表!$B$5:$B$3507,$L3162)&amp;" "&amp;INDEX(ポート振替表!$C$5:$C$3507,$L3162)&amp;"  ⇔  "&amp;INDEX(ポート振替表!$H$5:$H$3507,$L3162)&amp;" "&amp;INDEX(ポート振替表!$I$5:$I$3507,$L3162))</f>
        <v/>
      </c>
      <c r="D3162" s="57" t="s">
        <v>158</v>
      </c>
      <c r="E3162" s="59" t="str">
        <f aca="false">IF(L3162="","",IF(INDEX(ポート振替表!$O$5:$O$3507,$L3162)="","(未設定)",INDEX(ポート振替表!$O$5:$O$3507,$L3162)&amp;""))</f>
        <v/>
      </c>
      <c r="F3162" s="52" t="str">
        <f aca="false">IF(L3162="","",INDEX(ポート振替表!$K$5:$K$3507,$L3162)&amp;" "&amp;INDEX(ポート振替表!$L$5:$L$3507,$L3162)&amp;"  ⇔  "&amp;INDEX(ポート振替表!$H$5:$H$3507,$L3162)&amp;" "&amp;INDEX(ポート振替表!$I$5:$I$3507,$L3162))</f>
        <v/>
      </c>
      <c r="G3162" s="57" t="s">
        <v>158</v>
      </c>
      <c r="H3162" s="32" t="str">
        <f aca="false">IF(L3162="","",INDEX(ポート振替表!$N$5:$N$3507,$L3162)&amp;"")</f>
        <v/>
      </c>
      <c r="I3162" s="32" t="str">
        <f aca="false">IF(L3162="","",INDEX(ポート振替表!$P$5:$P$3507,$L3162)&amp;"")</f>
        <v/>
      </c>
      <c r="J3162" s="60" t="str">
        <f aca="false">IF(L3162="","",INDEX(ポート振替表!$M$5:$M$3507,$L3162)&amp;"")</f>
        <v/>
      </c>
      <c r="K3162" s="52" t="str">
        <f aca="false">IF(L3162="","",E3162&amp;CHAR(10)&amp;INDEX(ポート振替表!$K$5:$K$3507,$L3162)&amp;" "&amp;INDEX(ポート振替表!$L$5:$L$3507,$L3162)&amp;CHAR(10)&amp;"⇔ "&amp;INDEX(ポート振替表!$H$5:$H$3507,$L3162)&amp;" "&amp;INDEX(ポート振替表!$I$5:$I$3507,$L3162))</f>
        <v/>
      </c>
      <c r="L3162" s="47" t="str">
        <f aca="false">IFERROR(MATCH(ROW()-4,ポート振替表!$V$5:$V$3507,0),"")</f>
        <v/>
      </c>
    </row>
    <row r="3163" customFormat="false" ht="16.4" hidden="false" customHeight="false" outlineLevel="0" collapsed="false">
      <c r="A3163" s="32" t="str">
        <f aca="false">IF(L3163="","",ROW()-4)</f>
        <v/>
      </c>
      <c r="B3163" s="58" t="str">
        <f aca="false">IF(L3163="","",IF(INDEX(ポート振替表!$W$5:$W$3507,$L3163)="","(なし)",INDEX(ポート振替表!$W$5:$W$3507,$L3163)&amp;""))</f>
        <v/>
      </c>
      <c r="C3163" s="52" t="str">
        <f aca="false">IF(L3163="","",INDEX(ポート振替表!$B$5:$B$3507,$L3163)&amp;" "&amp;INDEX(ポート振替表!$C$5:$C$3507,$L3163)&amp;"  ⇔  "&amp;INDEX(ポート振替表!$H$5:$H$3507,$L3163)&amp;" "&amp;INDEX(ポート振替表!$I$5:$I$3507,$L3163))</f>
        <v/>
      </c>
      <c r="D3163" s="57" t="s">
        <v>158</v>
      </c>
      <c r="E3163" s="59" t="str">
        <f aca="false">IF(L3163="","",IF(INDEX(ポート振替表!$O$5:$O$3507,$L3163)="","(未設定)",INDEX(ポート振替表!$O$5:$O$3507,$L3163)&amp;""))</f>
        <v/>
      </c>
      <c r="F3163" s="52" t="str">
        <f aca="false">IF(L3163="","",INDEX(ポート振替表!$K$5:$K$3507,$L3163)&amp;" "&amp;INDEX(ポート振替表!$L$5:$L$3507,$L3163)&amp;"  ⇔  "&amp;INDEX(ポート振替表!$H$5:$H$3507,$L3163)&amp;" "&amp;INDEX(ポート振替表!$I$5:$I$3507,$L3163))</f>
        <v/>
      </c>
      <c r="G3163" s="57" t="s">
        <v>158</v>
      </c>
      <c r="H3163" s="32" t="str">
        <f aca="false">IF(L3163="","",INDEX(ポート振替表!$N$5:$N$3507,$L3163)&amp;"")</f>
        <v/>
      </c>
      <c r="I3163" s="32" t="str">
        <f aca="false">IF(L3163="","",INDEX(ポート振替表!$P$5:$P$3507,$L3163)&amp;"")</f>
        <v/>
      </c>
      <c r="J3163" s="60" t="str">
        <f aca="false">IF(L3163="","",INDEX(ポート振替表!$M$5:$M$3507,$L3163)&amp;"")</f>
        <v/>
      </c>
      <c r="K3163" s="52" t="str">
        <f aca="false">IF(L3163="","",E3163&amp;CHAR(10)&amp;INDEX(ポート振替表!$K$5:$K$3507,$L3163)&amp;" "&amp;INDEX(ポート振替表!$L$5:$L$3507,$L3163)&amp;CHAR(10)&amp;"⇔ "&amp;INDEX(ポート振替表!$H$5:$H$3507,$L3163)&amp;" "&amp;INDEX(ポート振替表!$I$5:$I$3507,$L3163))</f>
        <v/>
      </c>
      <c r="L3163" s="47" t="str">
        <f aca="false">IFERROR(MATCH(ROW()-4,ポート振替表!$V$5:$V$3507,0),"")</f>
        <v/>
      </c>
    </row>
    <row r="3164" customFormat="false" ht="16.4" hidden="false" customHeight="false" outlineLevel="0" collapsed="false">
      <c r="A3164" s="32" t="str">
        <f aca="false">IF(L3164="","",ROW()-4)</f>
        <v/>
      </c>
      <c r="B3164" s="58" t="str">
        <f aca="false">IF(L3164="","",IF(INDEX(ポート振替表!$W$5:$W$3507,$L3164)="","(なし)",INDEX(ポート振替表!$W$5:$W$3507,$L3164)&amp;""))</f>
        <v/>
      </c>
      <c r="C3164" s="52" t="str">
        <f aca="false">IF(L3164="","",INDEX(ポート振替表!$B$5:$B$3507,$L3164)&amp;" "&amp;INDEX(ポート振替表!$C$5:$C$3507,$L3164)&amp;"  ⇔  "&amp;INDEX(ポート振替表!$H$5:$H$3507,$L3164)&amp;" "&amp;INDEX(ポート振替表!$I$5:$I$3507,$L3164))</f>
        <v/>
      </c>
      <c r="D3164" s="57" t="s">
        <v>158</v>
      </c>
      <c r="E3164" s="59" t="str">
        <f aca="false">IF(L3164="","",IF(INDEX(ポート振替表!$O$5:$O$3507,$L3164)="","(未設定)",INDEX(ポート振替表!$O$5:$O$3507,$L3164)&amp;""))</f>
        <v/>
      </c>
      <c r="F3164" s="52" t="str">
        <f aca="false">IF(L3164="","",INDEX(ポート振替表!$K$5:$K$3507,$L3164)&amp;" "&amp;INDEX(ポート振替表!$L$5:$L$3507,$L3164)&amp;"  ⇔  "&amp;INDEX(ポート振替表!$H$5:$H$3507,$L3164)&amp;" "&amp;INDEX(ポート振替表!$I$5:$I$3507,$L3164))</f>
        <v/>
      </c>
      <c r="G3164" s="57" t="s">
        <v>158</v>
      </c>
      <c r="H3164" s="32" t="str">
        <f aca="false">IF(L3164="","",INDEX(ポート振替表!$N$5:$N$3507,$L3164)&amp;"")</f>
        <v/>
      </c>
      <c r="I3164" s="32" t="str">
        <f aca="false">IF(L3164="","",INDEX(ポート振替表!$P$5:$P$3507,$L3164)&amp;"")</f>
        <v/>
      </c>
      <c r="J3164" s="60" t="str">
        <f aca="false">IF(L3164="","",INDEX(ポート振替表!$M$5:$M$3507,$L3164)&amp;"")</f>
        <v/>
      </c>
      <c r="K3164" s="52" t="str">
        <f aca="false">IF(L3164="","",E3164&amp;CHAR(10)&amp;INDEX(ポート振替表!$K$5:$K$3507,$L3164)&amp;" "&amp;INDEX(ポート振替表!$L$5:$L$3507,$L3164)&amp;CHAR(10)&amp;"⇔ "&amp;INDEX(ポート振替表!$H$5:$H$3507,$L3164)&amp;" "&amp;INDEX(ポート振替表!$I$5:$I$3507,$L3164))</f>
        <v/>
      </c>
      <c r="L3164" s="47" t="str">
        <f aca="false">IFERROR(MATCH(ROW()-4,ポート振替表!$V$5:$V$3507,0),"")</f>
        <v/>
      </c>
    </row>
    <row r="3165" customFormat="false" ht="16.4" hidden="false" customHeight="false" outlineLevel="0" collapsed="false">
      <c r="A3165" s="32" t="str">
        <f aca="false">IF(L3165="","",ROW()-4)</f>
        <v/>
      </c>
      <c r="B3165" s="58" t="str">
        <f aca="false">IF(L3165="","",IF(INDEX(ポート振替表!$W$5:$W$3507,$L3165)="","(なし)",INDEX(ポート振替表!$W$5:$W$3507,$L3165)&amp;""))</f>
        <v/>
      </c>
      <c r="C3165" s="52" t="str">
        <f aca="false">IF(L3165="","",INDEX(ポート振替表!$B$5:$B$3507,$L3165)&amp;" "&amp;INDEX(ポート振替表!$C$5:$C$3507,$L3165)&amp;"  ⇔  "&amp;INDEX(ポート振替表!$H$5:$H$3507,$L3165)&amp;" "&amp;INDEX(ポート振替表!$I$5:$I$3507,$L3165))</f>
        <v/>
      </c>
      <c r="D3165" s="57" t="s">
        <v>158</v>
      </c>
      <c r="E3165" s="59" t="str">
        <f aca="false">IF(L3165="","",IF(INDEX(ポート振替表!$O$5:$O$3507,$L3165)="","(未設定)",INDEX(ポート振替表!$O$5:$O$3507,$L3165)&amp;""))</f>
        <v/>
      </c>
      <c r="F3165" s="52" t="str">
        <f aca="false">IF(L3165="","",INDEX(ポート振替表!$K$5:$K$3507,$L3165)&amp;" "&amp;INDEX(ポート振替表!$L$5:$L$3507,$L3165)&amp;"  ⇔  "&amp;INDEX(ポート振替表!$H$5:$H$3507,$L3165)&amp;" "&amp;INDEX(ポート振替表!$I$5:$I$3507,$L3165))</f>
        <v/>
      </c>
      <c r="G3165" s="57" t="s">
        <v>158</v>
      </c>
      <c r="H3165" s="32" t="str">
        <f aca="false">IF(L3165="","",INDEX(ポート振替表!$N$5:$N$3507,$L3165)&amp;"")</f>
        <v/>
      </c>
      <c r="I3165" s="32" t="str">
        <f aca="false">IF(L3165="","",INDEX(ポート振替表!$P$5:$P$3507,$L3165)&amp;"")</f>
        <v/>
      </c>
      <c r="J3165" s="60" t="str">
        <f aca="false">IF(L3165="","",INDEX(ポート振替表!$M$5:$M$3507,$L3165)&amp;"")</f>
        <v/>
      </c>
      <c r="K3165" s="52" t="str">
        <f aca="false">IF(L3165="","",E3165&amp;CHAR(10)&amp;INDEX(ポート振替表!$K$5:$K$3507,$L3165)&amp;" "&amp;INDEX(ポート振替表!$L$5:$L$3507,$L3165)&amp;CHAR(10)&amp;"⇔ "&amp;INDEX(ポート振替表!$H$5:$H$3507,$L3165)&amp;" "&amp;INDEX(ポート振替表!$I$5:$I$3507,$L3165))</f>
        <v/>
      </c>
      <c r="L3165" s="47" t="str">
        <f aca="false">IFERROR(MATCH(ROW()-4,ポート振替表!$V$5:$V$3507,0),"")</f>
        <v/>
      </c>
    </row>
    <row r="3166" customFormat="false" ht="16.4" hidden="false" customHeight="false" outlineLevel="0" collapsed="false">
      <c r="A3166" s="32" t="str">
        <f aca="false">IF(L3166="","",ROW()-4)</f>
        <v/>
      </c>
      <c r="B3166" s="58" t="str">
        <f aca="false">IF(L3166="","",IF(INDEX(ポート振替表!$W$5:$W$3507,$L3166)="","(なし)",INDEX(ポート振替表!$W$5:$W$3507,$L3166)&amp;""))</f>
        <v/>
      </c>
      <c r="C3166" s="52" t="str">
        <f aca="false">IF(L3166="","",INDEX(ポート振替表!$B$5:$B$3507,$L3166)&amp;" "&amp;INDEX(ポート振替表!$C$5:$C$3507,$L3166)&amp;"  ⇔  "&amp;INDEX(ポート振替表!$H$5:$H$3507,$L3166)&amp;" "&amp;INDEX(ポート振替表!$I$5:$I$3507,$L3166))</f>
        <v/>
      </c>
      <c r="D3166" s="57" t="s">
        <v>158</v>
      </c>
      <c r="E3166" s="59" t="str">
        <f aca="false">IF(L3166="","",IF(INDEX(ポート振替表!$O$5:$O$3507,$L3166)="","(未設定)",INDEX(ポート振替表!$O$5:$O$3507,$L3166)&amp;""))</f>
        <v/>
      </c>
      <c r="F3166" s="52" t="str">
        <f aca="false">IF(L3166="","",INDEX(ポート振替表!$K$5:$K$3507,$L3166)&amp;" "&amp;INDEX(ポート振替表!$L$5:$L$3507,$L3166)&amp;"  ⇔  "&amp;INDEX(ポート振替表!$H$5:$H$3507,$L3166)&amp;" "&amp;INDEX(ポート振替表!$I$5:$I$3507,$L3166))</f>
        <v/>
      </c>
      <c r="G3166" s="57" t="s">
        <v>158</v>
      </c>
      <c r="H3166" s="32" t="str">
        <f aca="false">IF(L3166="","",INDEX(ポート振替表!$N$5:$N$3507,$L3166)&amp;"")</f>
        <v/>
      </c>
      <c r="I3166" s="32" t="str">
        <f aca="false">IF(L3166="","",INDEX(ポート振替表!$P$5:$P$3507,$L3166)&amp;"")</f>
        <v/>
      </c>
      <c r="J3166" s="60" t="str">
        <f aca="false">IF(L3166="","",INDEX(ポート振替表!$M$5:$M$3507,$L3166)&amp;"")</f>
        <v/>
      </c>
      <c r="K3166" s="52" t="str">
        <f aca="false">IF(L3166="","",E3166&amp;CHAR(10)&amp;INDEX(ポート振替表!$K$5:$K$3507,$L3166)&amp;" "&amp;INDEX(ポート振替表!$L$5:$L$3507,$L3166)&amp;CHAR(10)&amp;"⇔ "&amp;INDEX(ポート振替表!$H$5:$H$3507,$L3166)&amp;" "&amp;INDEX(ポート振替表!$I$5:$I$3507,$L3166))</f>
        <v/>
      </c>
      <c r="L3166" s="47" t="str">
        <f aca="false">IFERROR(MATCH(ROW()-4,ポート振替表!$V$5:$V$3507,0),"")</f>
        <v/>
      </c>
    </row>
    <row r="3167" customFormat="false" ht="16.4" hidden="false" customHeight="false" outlineLevel="0" collapsed="false">
      <c r="A3167" s="32" t="str">
        <f aca="false">IF(L3167="","",ROW()-4)</f>
        <v/>
      </c>
      <c r="B3167" s="58" t="str">
        <f aca="false">IF(L3167="","",IF(INDEX(ポート振替表!$W$5:$W$3507,$L3167)="","(なし)",INDEX(ポート振替表!$W$5:$W$3507,$L3167)&amp;""))</f>
        <v/>
      </c>
      <c r="C3167" s="52" t="str">
        <f aca="false">IF(L3167="","",INDEX(ポート振替表!$B$5:$B$3507,$L3167)&amp;" "&amp;INDEX(ポート振替表!$C$5:$C$3507,$L3167)&amp;"  ⇔  "&amp;INDEX(ポート振替表!$H$5:$H$3507,$L3167)&amp;" "&amp;INDEX(ポート振替表!$I$5:$I$3507,$L3167))</f>
        <v/>
      </c>
      <c r="D3167" s="57" t="s">
        <v>158</v>
      </c>
      <c r="E3167" s="59" t="str">
        <f aca="false">IF(L3167="","",IF(INDEX(ポート振替表!$O$5:$O$3507,$L3167)="","(未設定)",INDEX(ポート振替表!$O$5:$O$3507,$L3167)&amp;""))</f>
        <v/>
      </c>
      <c r="F3167" s="52" t="str">
        <f aca="false">IF(L3167="","",INDEX(ポート振替表!$K$5:$K$3507,$L3167)&amp;" "&amp;INDEX(ポート振替表!$L$5:$L$3507,$L3167)&amp;"  ⇔  "&amp;INDEX(ポート振替表!$H$5:$H$3507,$L3167)&amp;" "&amp;INDEX(ポート振替表!$I$5:$I$3507,$L3167))</f>
        <v/>
      </c>
      <c r="G3167" s="57" t="s">
        <v>158</v>
      </c>
      <c r="H3167" s="32" t="str">
        <f aca="false">IF(L3167="","",INDEX(ポート振替表!$N$5:$N$3507,$L3167)&amp;"")</f>
        <v/>
      </c>
      <c r="I3167" s="32" t="str">
        <f aca="false">IF(L3167="","",INDEX(ポート振替表!$P$5:$P$3507,$L3167)&amp;"")</f>
        <v/>
      </c>
      <c r="J3167" s="60" t="str">
        <f aca="false">IF(L3167="","",INDEX(ポート振替表!$M$5:$M$3507,$L3167)&amp;"")</f>
        <v/>
      </c>
      <c r="K3167" s="52" t="str">
        <f aca="false">IF(L3167="","",E3167&amp;CHAR(10)&amp;INDEX(ポート振替表!$K$5:$K$3507,$L3167)&amp;" "&amp;INDEX(ポート振替表!$L$5:$L$3507,$L3167)&amp;CHAR(10)&amp;"⇔ "&amp;INDEX(ポート振替表!$H$5:$H$3507,$L3167)&amp;" "&amp;INDEX(ポート振替表!$I$5:$I$3507,$L3167))</f>
        <v/>
      </c>
      <c r="L3167" s="47" t="str">
        <f aca="false">IFERROR(MATCH(ROW()-4,ポート振替表!$V$5:$V$3507,0),"")</f>
        <v/>
      </c>
    </row>
    <row r="3168" customFormat="false" ht="16.4" hidden="false" customHeight="false" outlineLevel="0" collapsed="false">
      <c r="A3168" s="32" t="str">
        <f aca="false">IF(L3168="","",ROW()-4)</f>
        <v/>
      </c>
      <c r="B3168" s="58" t="str">
        <f aca="false">IF(L3168="","",IF(INDEX(ポート振替表!$W$5:$W$3507,$L3168)="","(なし)",INDEX(ポート振替表!$W$5:$W$3507,$L3168)&amp;""))</f>
        <v/>
      </c>
      <c r="C3168" s="52" t="str">
        <f aca="false">IF(L3168="","",INDEX(ポート振替表!$B$5:$B$3507,$L3168)&amp;" "&amp;INDEX(ポート振替表!$C$5:$C$3507,$L3168)&amp;"  ⇔  "&amp;INDEX(ポート振替表!$H$5:$H$3507,$L3168)&amp;" "&amp;INDEX(ポート振替表!$I$5:$I$3507,$L3168))</f>
        <v/>
      </c>
      <c r="D3168" s="57" t="s">
        <v>158</v>
      </c>
      <c r="E3168" s="59" t="str">
        <f aca="false">IF(L3168="","",IF(INDEX(ポート振替表!$O$5:$O$3507,$L3168)="","(未設定)",INDEX(ポート振替表!$O$5:$O$3507,$L3168)&amp;""))</f>
        <v/>
      </c>
      <c r="F3168" s="52" t="str">
        <f aca="false">IF(L3168="","",INDEX(ポート振替表!$K$5:$K$3507,$L3168)&amp;" "&amp;INDEX(ポート振替表!$L$5:$L$3507,$L3168)&amp;"  ⇔  "&amp;INDEX(ポート振替表!$H$5:$H$3507,$L3168)&amp;" "&amp;INDEX(ポート振替表!$I$5:$I$3507,$L3168))</f>
        <v/>
      </c>
      <c r="G3168" s="57" t="s">
        <v>158</v>
      </c>
      <c r="H3168" s="32" t="str">
        <f aca="false">IF(L3168="","",INDEX(ポート振替表!$N$5:$N$3507,$L3168)&amp;"")</f>
        <v/>
      </c>
      <c r="I3168" s="32" t="str">
        <f aca="false">IF(L3168="","",INDEX(ポート振替表!$P$5:$P$3507,$L3168)&amp;"")</f>
        <v/>
      </c>
      <c r="J3168" s="60" t="str">
        <f aca="false">IF(L3168="","",INDEX(ポート振替表!$M$5:$M$3507,$L3168)&amp;"")</f>
        <v/>
      </c>
      <c r="K3168" s="52" t="str">
        <f aca="false">IF(L3168="","",E3168&amp;CHAR(10)&amp;INDEX(ポート振替表!$K$5:$K$3507,$L3168)&amp;" "&amp;INDEX(ポート振替表!$L$5:$L$3507,$L3168)&amp;CHAR(10)&amp;"⇔ "&amp;INDEX(ポート振替表!$H$5:$H$3507,$L3168)&amp;" "&amp;INDEX(ポート振替表!$I$5:$I$3507,$L3168))</f>
        <v/>
      </c>
      <c r="L3168" s="47" t="str">
        <f aca="false">IFERROR(MATCH(ROW()-4,ポート振替表!$V$5:$V$3507,0),"")</f>
        <v/>
      </c>
    </row>
    <row r="3169" customFormat="false" ht="16.4" hidden="false" customHeight="false" outlineLevel="0" collapsed="false">
      <c r="A3169" s="32" t="str">
        <f aca="false">IF(L3169="","",ROW()-4)</f>
        <v/>
      </c>
      <c r="B3169" s="58" t="str">
        <f aca="false">IF(L3169="","",IF(INDEX(ポート振替表!$W$5:$W$3507,$L3169)="","(なし)",INDEX(ポート振替表!$W$5:$W$3507,$L3169)&amp;""))</f>
        <v/>
      </c>
      <c r="C3169" s="52" t="str">
        <f aca="false">IF(L3169="","",INDEX(ポート振替表!$B$5:$B$3507,$L3169)&amp;" "&amp;INDEX(ポート振替表!$C$5:$C$3507,$L3169)&amp;"  ⇔  "&amp;INDEX(ポート振替表!$H$5:$H$3507,$L3169)&amp;" "&amp;INDEX(ポート振替表!$I$5:$I$3507,$L3169))</f>
        <v/>
      </c>
      <c r="D3169" s="57" t="s">
        <v>158</v>
      </c>
      <c r="E3169" s="59" t="str">
        <f aca="false">IF(L3169="","",IF(INDEX(ポート振替表!$O$5:$O$3507,$L3169)="","(未設定)",INDEX(ポート振替表!$O$5:$O$3507,$L3169)&amp;""))</f>
        <v/>
      </c>
      <c r="F3169" s="52" t="str">
        <f aca="false">IF(L3169="","",INDEX(ポート振替表!$K$5:$K$3507,$L3169)&amp;" "&amp;INDEX(ポート振替表!$L$5:$L$3507,$L3169)&amp;"  ⇔  "&amp;INDEX(ポート振替表!$H$5:$H$3507,$L3169)&amp;" "&amp;INDEX(ポート振替表!$I$5:$I$3507,$L3169))</f>
        <v/>
      </c>
      <c r="G3169" s="57" t="s">
        <v>158</v>
      </c>
      <c r="H3169" s="32" t="str">
        <f aca="false">IF(L3169="","",INDEX(ポート振替表!$N$5:$N$3507,$L3169)&amp;"")</f>
        <v/>
      </c>
      <c r="I3169" s="32" t="str">
        <f aca="false">IF(L3169="","",INDEX(ポート振替表!$P$5:$P$3507,$L3169)&amp;"")</f>
        <v/>
      </c>
      <c r="J3169" s="60" t="str">
        <f aca="false">IF(L3169="","",INDEX(ポート振替表!$M$5:$M$3507,$L3169)&amp;"")</f>
        <v/>
      </c>
      <c r="K3169" s="52" t="str">
        <f aca="false">IF(L3169="","",E3169&amp;CHAR(10)&amp;INDEX(ポート振替表!$K$5:$K$3507,$L3169)&amp;" "&amp;INDEX(ポート振替表!$L$5:$L$3507,$L3169)&amp;CHAR(10)&amp;"⇔ "&amp;INDEX(ポート振替表!$H$5:$H$3507,$L3169)&amp;" "&amp;INDEX(ポート振替表!$I$5:$I$3507,$L3169))</f>
        <v/>
      </c>
      <c r="L3169" s="47" t="str">
        <f aca="false">IFERROR(MATCH(ROW()-4,ポート振替表!$V$5:$V$3507,0),"")</f>
        <v/>
      </c>
    </row>
    <row r="3170" customFormat="false" ht="16.4" hidden="false" customHeight="false" outlineLevel="0" collapsed="false">
      <c r="A3170" s="32" t="str">
        <f aca="false">IF(L3170="","",ROW()-4)</f>
        <v/>
      </c>
      <c r="B3170" s="58" t="str">
        <f aca="false">IF(L3170="","",IF(INDEX(ポート振替表!$W$5:$W$3507,$L3170)="","(なし)",INDEX(ポート振替表!$W$5:$W$3507,$L3170)&amp;""))</f>
        <v/>
      </c>
      <c r="C3170" s="52" t="str">
        <f aca="false">IF(L3170="","",INDEX(ポート振替表!$B$5:$B$3507,$L3170)&amp;" "&amp;INDEX(ポート振替表!$C$5:$C$3507,$L3170)&amp;"  ⇔  "&amp;INDEX(ポート振替表!$H$5:$H$3507,$L3170)&amp;" "&amp;INDEX(ポート振替表!$I$5:$I$3507,$L3170))</f>
        <v/>
      </c>
      <c r="D3170" s="57" t="s">
        <v>158</v>
      </c>
      <c r="E3170" s="59" t="str">
        <f aca="false">IF(L3170="","",IF(INDEX(ポート振替表!$O$5:$O$3507,$L3170)="","(未設定)",INDEX(ポート振替表!$O$5:$O$3507,$L3170)&amp;""))</f>
        <v/>
      </c>
      <c r="F3170" s="52" t="str">
        <f aca="false">IF(L3170="","",INDEX(ポート振替表!$K$5:$K$3507,$L3170)&amp;" "&amp;INDEX(ポート振替表!$L$5:$L$3507,$L3170)&amp;"  ⇔  "&amp;INDEX(ポート振替表!$H$5:$H$3507,$L3170)&amp;" "&amp;INDEX(ポート振替表!$I$5:$I$3507,$L3170))</f>
        <v/>
      </c>
      <c r="G3170" s="57" t="s">
        <v>158</v>
      </c>
      <c r="H3170" s="32" t="str">
        <f aca="false">IF(L3170="","",INDEX(ポート振替表!$N$5:$N$3507,$L3170)&amp;"")</f>
        <v/>
      </c>
      <c r="I3170" s="32" t="str">
        <f aca="false">IF(L3170="","",INDEX(ポート振替表!$P$5:$P$3507,$L3170)&amp;"")</f>
        <v/>
      </c>
      <c r="J3170" s="60" t="str">
        <f aca="false">IF(L3170="","",INDEX(ポート振替表!$M$5:$M$3507,$L3170)&amp;"")</f>
        <v/>
      </c>
      <c r="K3170" s="52" t="str">
        <f aca="false">IF(L3170="","",E3170&amp;CHAR(10)&amp;INDEX(ポート振替表!$K$5:$K$3507,$L3170)&amp;" "&amp;INDEX(ポート振替表!$L$5:$L$3507,$L3170)&amp;CHAR(10)&amp;"⇔ "&amp;INDEX(ポート振替表!$H$5:$H$3507,$L3170)&amp;" "&amp;INDEX(ポート振替表!$I$5:$I$3507,$L3170))</f>
        <v/>
      </c>
      <c r="L3170" s="47" t="str">
        <f aca="false">IFERROR(MATCH(ROW()-4,ポート振替表!$V$5:$V$3507,0),"")</f>
        <v/>
      </c>
    </row>
    <row r="3171" customFormat="false" ht="16.4" hidden="false" customHeight="false" outlineLevel="0" collapsed="false">
      <c r="A3171" s="32" t="str">
        <f aca="false">IF(L3171="","",ROW()-4)</f>
        <v/>
      </c>
      <c r="B3171" s="58" t="str">
        <f aca="false">IF(L3171="","",IF(INDEX(ポート振替表!$W$5:$W$3507,$L3171)="","(なし)",INDEX(ポート振替表!$W$5:$W$3507,$L3171)&amp;""))</f>
        <v/>
      </c>
      <c r="C3171" s="52" t="str">
        <f aca="false">IF(L3171="","",INDEX(ポート振替表!$B$5:$B$3507,$L3171)&amp;" "&amp;INDEX(ポート振替表!$C$5:$C$3507,$L3171)&amp;"  ⇔  "&amp;INDEX(ポート振替表!$H$5:$H$3507,$L3171)&amp;" "&amp;INDEX(ポート振替表!$I$5:$I$3507,$L3171))</f>
        <v/>
      </c>
      <c r="D3171" s="57" t="s">
        <v>158</v>
      </c>
      <c r="E3171" s="59" t="str">
        <f aca="false">IF(L3171="","",IF(INDEX(ポート振替表!$O$5:$O$3507,$L3171)="","(未設定)",INDEX(ポート振替表!$O$5:$O$3507,$L3171)&amp;""))</f>
        <v/>
      </c>
      <c r="F3171" s="52" t="str">
        <f aca="false">IF(L3171="","",INDEX(ポート振替表!$K$5:$K$3507,$L3171)&amp;" "&amp;INDEX(ポート振替表!$L$5:$L$3507,$L3171)&amp;"  ⇔  "&amp;INDEX(ポート振替表!$H$5:$H$3507,$L3171)&amp;" "&amp;INDEX(ポート振替表!$I$5:$I$3507,$L3171))</f>
        <v/>
      </c>
      <c r="G3171" s="57" t="s">
        <v>158</v>
      </c>
      <c r="H3171" s="32" t="str">
        <f aca="false">IF(L3171="","",INDEX(ポート振替表!$N$5:$N$3507,$L3171)&amp;"")</f>
        <v/>
      </c>
      <c r="I3171" s="32" t="str">
        <f aca="false">IF(L3171="","",INDEX(ポート振替表!$P$5:$P$3507,$L3171)&amp;"")</f>
        <v/>
      </c>
      <c r="J3171" s="60" t="str">
        <f aca="false">IF(L3171="","",INDEX(ポート振替表!$M$5:$M$3507,$L3171)&amp;"")</f>
        <v/>
      </c>
      <c r="K3171" s="52" t="str">
        <f aca="false">IF(L3171="","",E3171&amp;CHAR(10)&amp;INDEX(ポート振替表!$K$5:$K$3507,$L3171)&amp;" "&amp;INDEX(ポート振替表!$L$5:$L$3507,$L3171)&amp;CHAR(10)&amp;"⇔ "&amp;INDEX(ポート振替表!$H$5:$H$3507,$L3171)&amp;" "&amp;INDEX(ポート振替表!$I$5:$I$3507,$L3171))</f>
        <v/>
      </c>
      <c r="L3171" s="47" t="str">
        <f aca="false">IFERROR(MATCH(ROW()-4,ポート振替表!$V$5:$V$3507,0),"")</f>
        <v/>
      </c>
    </row>
    <row r="3172" customFormat="false" ht="16.4" hidden="false" customHeight="false" outlineLevel="0" collapsed="false">
      <c r="A3172" s="32" t="str">
        <f aca="false">IF(L3172="","",ROW()-4)</f>
        <v/>
      </c>
      <c r="B3172" s="58" t="str">
        <f aca="false">IF(L3172="","",IF(INDEX(ポート振替表!$W$5:$W$3507,$L3172)="","(なし)",INDEX(ポート振替表!$W$5:$W$3507,$L3172)&amp;""))</f>
        <v/>
      </c>
      <c r="C3172" s="52" t="str">
        <f aca="false">IF(L3172="","",INDEX(ポート振替表!$B$5:$B$3507,$L3172)&amp;" "&amp;INDEX(ポート振替表!$C$5:$C$3507,$L3172)&amp;"  ⇔  "&amp;INDEX(ポート振替表!$H$5:$H$3507,$L3172)&amp;" "&amp;INDEX(ポート振替表!$I$5:$I$3507,$L3172))</f>
        <v/>
      </c>
      <c r="D3172" s="57" t="s">
        <v>158</v>
      </c>
      <c r="E3172" s="59" t="str">
        <f aca="false">IF(L3172="","",IF(INDEX(ポート振替表!$O$5:$O$3507,$L3172)="","(未設定)",INDEX(ポート振替表!$O$5:$O$3507,$L3172)&amp;""))</f>
        <v/>
      </c>
      <c r="F3172" s="52" t="str">
        <f aca="false">IF(L3172="","",INDEX(ポート振替表!$K$5:$K$3507,$L3172)&amp;" "&amp;INDEX(ポート振替表!$L$5:$L$3507,$L3172)&amp;"  ⇔  "&amp;INDEX(ポート振替表!$H$5:$H$3507,$L3172)&amp;" "&amp;INDEX(ポート振替表!$I$5:$I$3507,$L3172))</f>
        <v/>
      </c>
      <c r="G3172" s="57" t="s">
        <v>158</v>
      </c>
      <c r="H3172" s="32" t="str">
        <f aca="false">IF(L3172="","",INDEX(ポート振替表!$N$5:$N$3507,$L3172)&amp;"")</f>
        <v/>
      </c>
      <c r="I3172" s="32" t="str">
        <f aca="false">IF(L3172="","",INDEX(ポート振替表!$P$5:$P$3507,$L3172)&amp;"")</f>
        <v/>
      </c>
      <c r="J3172" s="60" t="str">
        <f aca="false">IF(L3172="","",INDEX(ポート振替表!$M$5:$M$3507,$L3172)&amp;"")</f>
        <v/>
      </c>
      <c r="K3172" s="52" t="str">
        <f aca="false">IF(L3172="","",E3172&amp;CHAR(10)&amp;INDEX(ポート振替表!$K$5:$K$3507,$L3172)&amp;" "&amp;INDEX(ポート振替表!$L$5:$L$3507,$L3172)&amp;CHAR(10)&amp;"⇔ "&amp;INDEX(ポート振替表!$H$5:$H$3507,$L3172)&amp;" "&amp;INDEX(ポート振替表!$I$5:$I$3507,$L3172))</f>
        <v/>
      </c>
      <c r="L3172" s="47" t="str">
        <f aca="false">IFERROR(MATCH(ROW()-4,ポート振替表!$V$5:$V$3507,0),"")</f>
        <v/>
      </c>
    </row>
    <row r="3173" customFormat="false" ht="16.4" hidden="false" customHeight="false" outlineLevel="0" collapsed="false">
      <c r="A3173" s="32" t="str">
        <f aca="false">IF(L3173="","",ROW()-4)</f>
        <v/>
      </c>
      <c r="B3173" s="58" t="str">
        <f aca="false">IF(L3173="","",IF(INDEX(ポート振替表!$W$5:$W$3507,$L3173)="","(なし)",INDEX(ポート振替表!$W$5:$W$3507,$L3173)&amp;""))</f>
        <v/>
      </c>
      <c r="C3173" s="52" t="str">
        <f aca="false">IF(L3173="","",INDEX(ポート振替表!$B$5:$B$3507,$L3173)&amp;" "&amp;INDEX(ポート振替表!$C$5:$C$3507,$L3173)&amp;"  ⇔  "&amp;INDEX(ポート振替表!$H$5:$H$3507,$L3173)&amp;" "&amp;INDEX(ポート振替表!$I$5:$I$3507,$L3173))</f>
        <v/>
      </c>
      <c r="D3173" s="57" t="s">
        <v>158</v>
      </c>
      <c r="E3173" s="59" t="str">
        <f aca="false">IF(L3173="","",IF(INDEX(ポート振替表!$O$5:$O$3507,$L3173)="","(未設定)",INDEX(ポート振替表!$O$5:$O$3507,$L3173)&amp;""))</f>
        <v/>
      </c>
      <c r="F3173" s="52" t="str">
        <f aca="false">IF(L3173="","",INDEX(ポート振替表!$K$5:$K$3507,$L3173)&amp;" "&amp;INDEX(ポート振替表!$L$5:$L$3507,$L3173)&amp;"  ⇔  "&amp;INDEX(ポート振替表!$H$5:$H$3507,$L3173)&amp;" "&amp;INDEX(ポート振替表!$I$5:$I$3507,$L3173))</f>
        <v/>
      </c>
      <c r="G3173" s="57" t="s">
        <v>158</v>
      </c>
      <c r="H3173" s="32" t="str">
        <f aca="false">IF(L3173="","",INDEX(ポート振替表!$N$5:$N$3507,$L3173)&amp;"")</f>
        <v/>
      </c>
      <c r="I3173" s="32" t="str">
        <f aca="false">IF(L3173="","",INDEX(ポート振替表!$P$5:$P$3507,$L3173)&amp;"")</f>
        <v/>
      </c>
      <c r="J3173" s="60" t="str">
        <f aca="false">IF(L3173="","",INDEX(ポート振替表!$M$5:$M$3507,$L3173)&amp;"")</f>
        <v/>
      </c>
      <c r="K3173" s="52" t="str">
        <f aca="false">IF(L3173="","",E3173&amp;CHAR(10)&amp;INDEX(ポート振替表!$K$5:$K$3507,$L3173)&amp;" "&amp;INDEX(ポート振替表!$L$5:$L$3507,$L3173)&amp;CHAR(10)&amp;"⇔ "&amp;INDEX(ポート振替表!$H$5:$H$3507,$L3173)&amp;" "&amp;INDEX(ポート振替表!$I$5:$I$3507,$L3173))</f>
        <v/>
      </c>
      <c r="L3173" s="47" t="str">
        <f aca="false">IFERROR(MATCH(ROW()-4,ポート振替表!$V$5:$V$3507,0),"")</f>
        <v/>
      </c>
    </row>
    <row r="3174" customFormat="false" ht="16.4" hidden="false" customHeight="false" outlineLevel="0" collapsed="false">
      <c r="A3174" s="32" t="str">
        <f aca="false">IF(L3174="","",ROW()-4)</f>
        <v/>
      </c>
      <c r="B3174" s="58" t="str">
        <f aca="false">IF(L3174="","",IF(INDEX(ポート振替表!$W$5:$W$3507,$L3174)="","(なし)",INDEX(ポート振替表!$W$5:$W$3507,$L3174)&amp;""))</f>
        <v/>
      </c>
      <c r="C3174" s="52" t="str">
        <f aca="false">IF(L3174="","",INDEX(ポート振替表!$B$5:$B$3507,$L3174)&amp;" "&amp;INDEX(ポート振替表!$C$5:$C$3507,$L3174)&amp;"  ⇔  "&amp;INDEX(ポート振替表!$H$5:$H$3507,$L3174)&amp;" "&amp;INDEX(ポート振替表!$I$5:$I$3507,$L3174))</f>
        <v/>
      </c>
      <c r="D3174" s="57" t="s">
        <v>158</v>
      </c>
      <c r="E3174" s="59" t="str">
        <f aca="false">IF(L3174="","",IF(INDEX(ポート振替表!$O$5:$O$3507,$L3174)="","(未設定)",INDEX(ポート振替表!$O$5:$O$3507,$L3174)&amp;""))</f>
        <v/>
      </c>
      <c r="F3174" s="52" t="str">
        <f aca="false">IF(L3174="","",INDEX(ポート振替表!$K$5:$K$3507,$L3174)&amp;" "&amp;INDEX(ポート振替表!$L$5:$L$3507,$L3174)&amp;"  ⇔  "&amp;INDEX(ポート振替表!$H$5:$H$3507,$L3174)&amp;" "&amp;INDEX(ポート振替表!$I$5:$I$3507,$L3174))</f>
        <v/>
      </c>
      <c r="G3174" s="57" t="s">
        <v>158</v>
      </c>
      <c r="H3174" s="32" t="str">
        <f aca="false">IF(L3174="","",INDEX(ポート振替表!$N$5:$N$3507,$L3174)&amp;"")</f>
        <v/>
      </c>
      <c r="I3174" s="32" t="str">
        <f aca="false">IF(L3174="","",INDEX(ポート振替表!$P$5:$P$3507,$L3174)&amp;"")</f>
        <v/>
      </c>
      <c r="J3174" s="60" t="str">
        <f aca="false">IF(L3174="","",INDEX(ポート振替表!$M$5:$M$3507,$L3174)&amp;"")</f>
        <v/>
      </c>
      <c r="K3174" s="52" t="str">
        <f aca="false">IF(L3174="","",E3174&amp;CHAR(10)&amp;INDEX(ポート振替表!$K$5:$K$3507,$L3174)&amp;" "&amp;INDEX(ポート振替表!$L$5:$L$3507,$L3174)&amp;CHAR(10)&amp;"⇔ "&amp;INDEX(ポート振替表!$H$5:$H$3507,$L3174)&amp;" "&amp;INDEX(ポート振替表!$I$5:$I$3507,$L3174))</f>
        <v/>
      </c>
      <c r="L3174" s="47" t="str">
        <f aca="false">IFERROR(MATCH(ROW()-4,ポート振替表!$V$5:$V$3507,0),"")</f>
        <v/>
      </c>
    </row>
    <row r="3175" customFormat="false" ht="16.4" hidden="false" customHeight="false" outlineLevel="0" collapsed="false">
      <c r="A3175" s="32" t="str">
        <f aca="false">IF(L3175="","",ROW()-4)</f>
        <v/>
      </c>
      <c r="B3175" s="58" t="str">
        <f aca="false">IF(L3175="","",IF(INDEX(ポート振替表!$W$5:$W$3507,$L3175)="","(なし)",INDEX(ポート振替表!$W$5:$W$3507,$L3175)&amp;""))</f>
        <v/>
      </c>
      <c r="C3175" s="52" t="str">
        <f aca="false">IF(L3175="","",INDEX(ポート振替表!$B$5:$B$3507,$L3175)&amp;" "&amp;INDEX(ポート振替表!$C$5:$C$3507,$L3175)&amp;"  ⇔  "&amp;INDEX(ポート振替表!$H$5:$H$3507,$L3175)&amp;" "&amp;INDEX(ポート振替表!$I$5:$I$3507,$L3175))</f>
        <v/>
      </c>
      <c r="D3175" s="57" t="s">
        <v>158</v>
      </c>
      <c r="E3175" s="59" t="str">
        <f aca="false">IF(L3175="","",IF(INDEX(ポート振替表!$O$5:$O$3507,$L3175)="","(未設定)",INDEX(ポート振替表!$O$5:$O$3507,$L3175)&amp;""))</f>
        <v/>
      </c>
      <c r="F3175" s="52" t="str">
        <f aca="false">IF(L3175="","",INDEX(ポート振替表!$K$5:$K$3507,$L3175)&amp;" "&amp;INDEX(ポート振替表!$L$5:$L$3507,$L3175)&amp;"  ⇔  "&amp;INDEX(ポート振替表!$H$5:$H$3507,$L3175)&amp;" "&amp;INDEX(ポート振替表!$I$5:$I$3507,$L3175))</f>
        <v/>
      </c>
      <c r="G3175" s="57" t="s">
        <v>158</v>
      </c>
      <c r="H3175" s="32" t="str">
        <f aca="false">IF(L3175="","",INDEX(ポート振替表!$N$5:$N$3507,$L3175)&amp;"")</f>
        <v/>
      </c>
      <c r="I3175" s="32" t="str">
        <f aca="false">IF(L3175="","",INDEX(ポート振替表!$P$5:$P$3507,$L3175)&amp;"")</f>
        <v/>
      </c>
      <c r="J3175" s="60" t="str">
        <f aca="false">IF(L3175="","",INDEX(ポート振替表!$M$5:$M$3507,$L3175)&amp;"")</f>
        <v/>
      </c>
      <c r="K3175" s="52" t="str">
        <f aca="false">IF(L3175="","",E3175&amp;CHAR(10)&amp;INDEX(ポート振替表!$K$5:$K$3507,$L3175)&amp;" "&amp;INDEX(ポート振替表!$L$5:$L$3507,$L3175)&amp;CHAR(10)&amp;"⇔ "&amp;INDEX(ポート振替表!$H$5:$H$3507,$L3175)&amp;" "&amp;INDEX(ポート振替表!$I$5:$I$3507,$L3175))</f>
        <v/>
      </c>
      <c r="L3175" s="47" t="str">
        <f aca="false">IFERROR(MATCH(ROW()-4,ポート振替表!$V$5:$V$3507,0),"")</f>
        <v/>
      </c>
    </row>
    <row r="3176" customFormat="false" ht="16.4" hidden="false" customHeight="false" outlineLevel="0" collapsed="false">
      <c r="A3176" s="32" t="str">
        <f aca="false">IF(L3176="","",ROW()-4)</f>
        <v/>
      </c>
      <c r="B3176" s="58" t="str">
        <f aca="false">IF(L3176="","",IF(INDEX(ポート振替表!$W$5:$W$3507,$L3176)="","(なし)",INDEX(ポート振替表!$W$5:$W$3507,$L3176)&amp;""))</f>
        <v/>
      </c>
      <c r="C3176" s="52" t="str">
        <f aca="false">IF(L3176="","",INDEX(ポート振替表!$B$5:$B$3507,$L3176)&amp;" "&amp;INDEX(ポート振替表!$C$5:$C$3507,$L3176)&amp;"  ⇔  "&amp;INDEX(ポート振替表!$H$5:$H$3507,$L3176)&amp;" "&amp;INDEX(ポート振替表!$I$5:$I$3507,$L3176))</f>
        <v/>
      </c>
      <c r="D3176" s="57" t="s">
        <v>158</v>
      </c>
      <c r="E3176" s="59" t="str">
        <f aca="false">IF(L3176="","",IF(INDEX(ポート振替表!$O$5:$O$3507,$L3176)="","(未設定)",INDEX(ポート振替表!$O$5:$O$3507,$L3176)&amp;""))</f>
        <v/>
      </c>
      <c r="F3176" s="52" t="str">
        <f aca="false">IF(L3176="","",INDEX(ポート振替表!$K$5:$K$3507,$L3176)&amp;" "&amp;INDEX(ポート振替表!$L$5:$L$3507,$L3176)&amp;"  ⇔  "&amp;INDEX(ポート振替表!$H$5:$H$3507,$L3176)&amp;" "&amp;INDEX(ポート振替表!$I$5:$I$3507,$L3176))</f>
        <v/>
      </c>
      <c r="G3176" s="57" t="s">
        <v>158</v>
      </c>
      <c r="H3176" s="32" t="str">
        <f aca="false">IF(L3176="","",INDEX(ポート振替表!$N$5:$N$3507,$L3176)&amp;"")</f>
        <v/>
      </c>
      <c r="I3176" s="32" t="str">
        <f aca="false">IF(L3176="","",INDEX(ポート振替表!$P$5:$P$3507,$L3176)&amp;"")</f>
        <v/>
      </c>
      <c r="J3176" s="60" t="str">
        <f aca="false">IF(L3176="","",INDEX(ポート振替表!$M$5:$M$3507,$L3176)&amp;"")</f>
        <v/>
      </c>
      <c r="K3176" s="52" t="str">
        <f aca="false">IF(L3176="","",E3176&amp;CHAR(10)&amp;INDEX(ポート振替表!$K$5:$K$3507,$L3176)&amp;" "&amp;INDEX(ポート振替表!$L$5:$L$3507,$L3176)&amp;CHAR(10)&amp;"⇔ "&amp;INDEX(ポート振替表!$H$5:$H$3507,$L3176)&amp;" "&amp;INDEX(ポート振替表!$I$5:$I$3507,$L3176))</f>
        <v/>
      </c>
      <c r="L3176" s="47" t="str">
        <f aca="false">IFERROR(MATCH(ROW()-4,ポート振替表!$V$5:$V$3507,0),"")</f>
        <v/>
      </c>
    </row>
    <row r="3177" customFormat="false" ht="16.4" hidden="false" customHeight="false" outlineLevel="0" collapsed="false">
      <c r="A3177" s="32" t="str">
        <f aca="false">IF(L3177="","",ROW()-4)</f>
        <v/>
      </c>
      <c r="B3177" s="58" t="str">
        <f aca="false">IF(L3177="","",IF(INDEX(ポート振替表!$W$5:$W$3507,$L3177)="","(なし)",INDEX(ポート振替表!$W$5:$W$3507,$L3177)&amp;""))</f>
        <v/>
      </c>
      <c r="C3177" s="52" t="str">
        <f aca="false">IF(L3177="","",INDEX(ポート振替表!$B$5:$B$3507,$L3177)&amp;" "&amp;INDEX(ポート振替表!$C$5:$C$3507,$L3177)&amp;"  ⇔  "&amp;INDEX(ポート振替表!$H$5:$H$3507,$L3177)&amp;" "&amp;INDEX(ポート振替表!$I$5:$I$3507,$L3177))</f>
        <v/>
      </c>
      <c r="D3177" s="57" t="s">
        <v>158</v>
      </c>
      <c r="E3177" s="59" t="str">
        <f aca="false">IF(L3177="","",IF(INDEX(ポート振替表!$O$5:$O$3507,$L3177)="","(未設定)",INDEX(ポート振替表!$O$5:$O$3507,$L3177)&amp;""))</f>
        <v/>
      </c>
      <c r="F3177" s="52" t="str">
        <f aca="false">IF(L3177="","",INDEX(ポート振替表!$K$5:$K$3507,$L3177)&amp;" "&amp;INDEX(ポート振替表!$L$5:$L$3507,$L3177)&amp;"  ⇔  "&amp;INDEX(ポート振替表!$H$5:$H$3507,$L3177)&amp;" "&amp;INDEX(ポート振替表!$I$5:$I$3507,$L3177))</f>
        <v/>
      </c>
      <c r="G3177" s="57" t="s">
        <v>158</v>
      </c>
      <c r="H3177" s="32" t="str">
        <f aca="false">IF(L3177="","",INDEX(ポート振替表!$N$5:$N$3507,$L3177)&amp;"")</f>
        <v/>
      </c>
      <c r="I3177" s="32" t="str">
        <f aca="false">IF(L3177="","",INDEX(ポート振替表!$P$5:$P$3507,$L3177)&amp;"")</f>
        <v/>
      </c>
      <c r="J3177" s="60" t="str">
        <f aca="false">IF(L3177="","",INDEX(ポート振替表!$M$5:$M$3507,$L3177)&amp;"")</f>
        <v/>
      </c>
      <c r="K3177" s="52" t="str">
        <f aca="false">IF(L3177="","",E3177&amp;CHAR(10)&amp;INDEX(ポート振替表!$K$5:$K$3507,$L3177)&amp;" "&amp;INDEX(ポート振替表!$L$5:$L$3507,$L3177)&amp;CHAR(10)&amp;"⇔ "&amp;INDEX(ポート振替表!$H$5:$H$3507,$L3177)&amp;" "&amp;INDEX(ポート振替表!$I$5:$I$3507,$L3177))</f>
        <v/>
      </c>
      <c r="L3177" s="47" t="str">
        <f aca="false">IFERROR(MATCH(ROW()-4,ポート振替表!$V$5:$V$3507,0),"")</f>
        <v/>
      </c>
    </row>
    <row r="3178" customFormat="false" ht="16.4" hidden="false" customHeight="false" outlineLevel="0" collapsed="false">
      <c r="A3178" s="32" t="str">
        <f aca="false">IF(L3178="","",ROW()-4)</f>
        <v/>
      </c>
      <c r="B3178" s="58" t="str">
        <f aca="false">IF(L3178="","",IF(INDEX(ポート振替表!$W$5:$W$3507,$L3178)="","(なし)",INDEX(ポート振替表!$W$5:$W$3507,$L3178)&amp;""))</f>
        <v/>
      </c>
      <c r="C3178" s="52" t="str">
        <f aca="false">IF(L3178="","",INDEX(ポート振替表!$B$5:$B$3507,$L3178)&amp;" "&amp;INDEX(ポート振替表!$C$5:$C$3507,$L3178)&amp;"  ⇔  "&amp;INDEX(ポート振替表!$H$5:$H$3507,$L3178)&amp;" "&amp;INDEX(ポート振替表!$I$5:$I$3507,$L3178))</f>
        <v/>
      </c>
      <c r="D3178" s="57" t="s">
        <v>158</v>
      </c>
      <c r="E3178" s="59" t="str">
        <f aca="false">IF(L3178="","",IF(INDEX(ポート振替表!$O$5:$O$3507,$L3178)="","(未設定)",INDEX(ポート振替表!$O$5:$O$3507,$L3178)&amp;""))</f>
        <v/>
      </c>
      <c r="F3178" s="52" t="str">
        <f aca="false">IF(L3178="","",INDEX(ポート振替表!$K$5:$K$3507,$L3178)&amp;" "&amp;INDEX(ポート振替表!$L$5:$L$3507,$L3178)&amp;"  ⇔  "&amp;INDEX(ポート振替表!$H$5:$H$3507,$L3178)&amp;" "&amp;INDEX(ポート振替表!$I$5:$I$3507,$L3178))</f>
        <v/>
      </c>
      <c r="G3178" s="57" t="s">
        <v>158</v>
      </c>
      <c r="H3178" s="32" t="str">
        <f aca="false">IF(L3178="","",INDEX(ポート振替表!$N$5:$N$3507,$L3178)&amp;"")</f>
        <v/>
      </c>
      <c r="I3178" s="32" t="str">
        <f aca="false">IF(L3178="","",INDEX(ポート振替表!$P$5:$P$3507,$L3178)&amp;"")</f>
        <v/>
      </c>
      <c r="J3178" s="60" t="str">
        <f aca="false">IF(L3178="","",INDEX(ポート振替表!$M$5:$M$3507,$L3178)&amp;"")</f>
        <v/>
      </c>
      <c r="K3178" s="52" t="str">
        <f aca="false">IF(L3178="","",E3178&amp;CHAR(10)&amp;INDEX(ポート振替表!$K$5:$K$3507,$L3178)&amp;" "&amp;INDEX(ポート振替表!$L$5:$L$3507,$L3178)&amp;CHAR(10)&amp;"⇔ "&amp;INDEX(ポート振替表!$H$5:$H$3507,$L3178)&amp;" "&amp;INDEX(ポート振替表!$I$5:$I$3507,$L3178))</f>
        <v/>
      </c>
      <c r="L3178" s="47" t="str">
        <f aca="false">IFERROR(MATCH(ROW()-4,ポート振替表!$V$5:$V$3507,0),"")</f>
        <v/>
      </c>
    </row>
    <row r="3179" customFormat="false" ht="16.4" hidden="false" customHeight="false" outlineLevel="0" collapsed="false">
      <c r="A3179" s="32" t="str">
        <f aca="false">IF(L3179="","",ROW()-4)</f>
        <v/>
      </c>
      <c r="B3179" s="58" t="str">
        <f aca="false">IF(L3179="","",IF(INDEX(ポート振替表!$W$5:$W$3507,$L3179)="","(なし)",INDEX(ポート振替表!$W$5:$W$3507,$L3179)&amp;""))</f>
        <v/>
      </c>
      <c r="C3179" s="52" t="str">
        <f aca="false">IF(L3179="","",INDEX(ポート振替表!$B$5:$B$3507,$L3179)&amp;" "&amp;INDEX(ポート振替表!$C$5:$C$3507,$L3179)&amp;"  ⇔  "&amp;INDEX(ポート振替表!$H$5:$H$3507,$L3179)&amp;" "&amp;INDEX(ポート振替表!$I$5:$I$3507,$L3179))</f>
        <v/>
      </c>
      <c r="D3179" s="57" t="s">
        <v>158</v>
      </c>
      <c r="E3179" s="59" t="str">
        <f aca="false">IF(L3179="","",IF(INDEX(ポート振替表!$O$5:$O$3507,$L3179)="","(未設定)",INDEX(ポート振替表!$O$5:$O$3507,$L3179)&amp;""))</f>
        <v/>
      </c>
      <c r="F3179" s="52" t="str">
        <f aca="false">IF(L3179="","",INDEX(ポート振替表!$K$5:$K$3507,$L3179)&amp;" "&amp;INDEX(ポート振替表!$L$5:$L$3507,$L3179)&amp;"  ⇔  "&amp;INDEX(ポート振替表!$H$5:$H$3507,$L3179)&amp;" "&amp;INDEX(ポート振替表!$I$5:$I$3507,$L3179))</f>
        <v/>
      </c>
      <c r="G3179" s="57" t="s">
        <v>158</v>
      </c>
      <c r="H3179" s="32" t="str">
        <f aca="false">IF(L3179="","",INDEX(ポート振替表!$N$5:$N$3507,$L3179)&amp;"")</f>
        <v/>
      </c>
      <c r="I3179" s="32" t="str">
        <f aca="false">IF(L3179="","",INDEX(ポート振替表!$P$5:$P$3507,$L3179)&amp;"")</f>
        <v/>
      </c>
      <c r="J3179" s="60" t="str">
        <f aca="false">IF(L3179="","",INDEX(ポート振替表!$M$5:$M$3507,$L3179)&amp;"")</f>
        <v/>
      </c>
      <c r="K3179" s="52" t="str">
        <f aca="false">IF(L3179="","",E3179&amp;CHAR(10)&amp;INDEX(ポート振替表!$K$5:$K$3507,$L3179)&amp;" "&amp;INDEX(ポート振替表!$L$5:$L$3507,$L3179)&amp;CHAR(10)&amp;"⇔ "&amp;INDEX(ポート振替表!$H$5:$H$3507,$L3179)&amp;" "&amp;INDEX(ポート振替表!$I$5:$I$3507,$L3179))</f>
        <v/>
      </c>
      <c r="L3179" s="47" t="str">
        <f aca="false">IFERROR(MATCH(ROW()-4,ポート振替表!$V$5:$V$3507,0),"")</f>
        <v/>
      </c>
    </row>
    <row r="3180" customFormat="false" ht="16.4" hidden="false" customHeight="false" outlineLevel="0" collapsed="false">
      <c r="A3180" s="32" t="str">
        <f aca="false">IF(L3180="","",ROW()-4)</f>
        <v/>
      </c>
      <c r="B3180" s="58" t="str">
        <f aca="false">IF(L3180="","",IF(INDEX(ポート振替表!$W$5:$W$3507,$L3180)="","(なし)",INDEX(ポート振替表!$W$5:$W$3507,$L3180)&amp;""))</f>
        <v/>
      </c>
      <c r="C3180" s="52" t="str">
        <f aca="false">IF(L3180="","",INDEX(ポート振替表!$B$5:$B$3507,$L3180)&amp;" "&amp;INDEX(ポート振替表!$C$5:$C$3507,$L3180)&amp;"  ⇔  "&amp;INDEX(ポート振替表!$H$5:$H$3507,$L3180)&amp;" "&amp;INDEX(ポート振替表!$I$5:$I$3507,$L3180))</f>
        <v/>
      </c>
      <c r="D3180" s="57" t="s">
        <v>158</v>
      </c>
      <c r="E3180" s="59" t="str">
        <f aca="false">IF(L3180="","",IF(INDEX(ポート振替表!$O$5:$O$3507,$L3180)="","(未設定)",INDEX(ポート振替表!$O$5:$O$3507,$L3180)&amp;""))</f>
        <v/>
      </c>
      <c r="F3180" s="52" t="str">
        <f aca="false">IF(L3180="","",INDEX(ポート振替表!$K$5:$K$3507,$L3180)&amp;" "&amp;INDEX(ポート振替表!$L$5:$L$3507,$L3180)&amp;"  ⇔  "&amp;INDEX(ポート振替表!$H$5:$H$3507,$L3180)&amp;" "&amp;INDEX(ポート振替表!$I$5:$I$3507,$L3180))</f>
        <v/>
      </c>
      <c r="G3180" s="57" t="s">
        <v>158</v>
      </c>
      <c r="H3180" s="32" t="str">
        <f aca="false">IF(L3180="","",INDEX(ポート振替表!$N$5:$N$3507,$L3180)&amp;"")</f>
        <v/>
      </c>
      <c r="I3180" s="32" t="str">
        <f aca="false">IF(L3180="","",INDEX(ポート振替表!$P$5:$P$3507,$L3180)&amp;"")</f>
        <v/>
      </c>
      <c r="J3180" s="60" t="str">
        <f aca="false">IF(L3180="","",INDEX(ポート振替表!$M$5:$M$3507,$L3180)&amp;"")</f>
        <v/>
      </c>
      <c r="K3180" s="52" t="str">
        <f aca="false">IF(L3180="","",E3180&amp;CHAR(10)&amp;INDEX(ポート振替表!$K$5:$K$3507,$L3180)&amp;" "&amp;INDEX(ポート振替表!$L$5:$L$3507,$L3180)&amp;CHAR(10)&amp;"⇔ "&amp;INDEX(ポート振替表!$H$5:$H$3507,$L3180)&amp;" "&amp;INDEX(ポート振替表!$I$5:$I$3507,$L3180))</f>
        <v/>
      </c>
      <c r="L3180" s="47" t="str">
        <f aca="false">IFERROR(MATCH(ROW()-4,ポート振替表!$V$5:$V$3507,0),"")</f>
        <v/>
      </c>
    </row>
    <row r="3181" customFormat="false" ht="16.4" hidden="false" customHeight="false" outlineLevel="0" collapsed="false">
      <c r="A3181" s="32" t="str">
        <f aca="false">IF(L3181="","",ROW()-4)</f>
        <v/>
      </c>
      <c r="B3181" s="58" t="str">
        <f aca="false">IF(L3181="","",IF(INDEX(ポート振替表!$W$5:$W$3507,$L3181)="","(なし)",INDEX(ポート振替表!$W$5:$W$3507,$L3181)&amp;""))</f>
        <v/>
      </c>
      <c r="C3181" s="52" t="str">
        <f aca="false">IF(L3181="","",INDEX(ポート振替表!$B$5:$B$3507,$L3181)&amp;" "&amp;INDEX(ポート振替表!$C$5:$C$3507,$L3181)&amp;"  ⇔  "&amp;INDEX(ポート振替表!$H$5:$H$3507,$L3181)&amp;" "&amp;INDEX(ポート振替表!$I$5:$I$3507,$L3181))</f>
        <v/>
      </c>
      <c r="D3181" s="57" t="s">
        <v>158</v>
      </c>
      <c r="E3181" s="59" t="str">
        <f aca="false">IF(L3181="","",IF(INDEX(ポート振替表!$O$5:$O$3507,$L3181)="","(未設定)",INDEX(ポート振替表!$O$5:$O$3507,$L3181)&amp;""))</f>
        <v/>
      </c>
      <c r="F3181" s="52" t="str">
        <f aca="false">IF(L3181="","",INDEX(ポート振替表!$K$5:$K$3507,$L3181)&amp;" "&amp;INDEX(ポート振替表!$L$5:$L$3507,$L3181)&amp;"  ⇔  "&amp;INDEX(ポート振替表!$H$5:$H$3507,$L3181)&amp;" "&amp;INDEX(ポート振替表!$I$5:$I$3507,$L3181))</f>
        <v/>
      </c>
      <c r="G3181" s="57" t="s">
        <v>158</v>
      </c>
      <c r="H3181" s="32" t="str">
        <f aca="false">IF(L3181="","",INDEX(ポート振替表!$N$5:$N$3507,$L3181)&amp;"")</f>
        <v/>
      </c>
      <c r="I3181" s="32" t="str">
        <f aca="false">IF(L3181="","",INDEX(ポート振替表!$P$5:$P$3507,$L3181)&amp;"")</f>
        <v/>
      </c>
      <c r="J3181" s="60" t="str">
        <f aca="false">IF(L3181="","",INDEX(ポート振替表!$M$5:$M$3507,$L3181)&amp;"")</f>
        <v/>
      </c>
      <c r="K3181" s="52" t="str">
        <f aca="false">IF(L3181="","",E3181&amp;CHAR(10)&amp;INDEX(ポート振替表!$K$5:$K$3507,$L3181)&amp;" "&amp;INDEX(ポート振替表!$L$5:$L$3507,$L3181)&amp;CHAR(10)&amp;"⇔ "&amp;INDEX(ポート振替表!$H$5:$H$3507,$L3181)&amp;" "&amp;INDEX(ポート振替表!$I$5:$I$3507,$L3181))</f>
        <v/>
      </c>
      <c r="L3181" s="47" t="str">
        <f aca="false">IFERROR(MATCH(ROW()-4,ポート振替表!$V$5:$V$3507,0),"")</f>
        <v/>
      </c>
    </row>
    <row r="3182" customFormat="false" ht="16.4" hidden="false" customHeight="false" outlineLevel="0" collapsed="false">
      <c r="A3182" s="32" t="str">
        <f aca="false">IF(L3182="","",ROW()-4)</f>
        <v/>
      </c>
      <c r="B3182" s="58" t="str">
        <f aca="false">IF(L3182="","",IF(INDEX(ポート振替表!$W$5:$W$3507,$L3182)="","(なし)",INDEX(ポート振替表!$W$5:$W$3507,$L3182)&amp;""))</f>
        <v/>
      </c>
      <c r="C3182" s="52" t="str">
        <f aca="false">IF(L3182="","",INDEX(ポート振替表!$B$5:$B$3507,$L3182)&amp;" "&amp;INDEX(ポート振替表!$C$5:$C$3507,$L3182)&amp;"  ⇔  "&amp;INDEX(ポート振替表!$H$5:$H$3507,$L3182)&amp;" "&amp;INDEX(ポート振替表!$I$5:$I$3507,$L3182))</f>
        <v/>
      </c>
      <c r="D3182" s="57" t="s">
        <v>158</v>
      </c>
      <c r="E3182" s="59" t="str">
        <f aca="false">IF(L3182="","",IF(INDEX(ポート振替表!$O$5:$O$3507,$L3182)="","(未設定)",INDEX(ポート振替表!$O$5:$O$3507,$L3182)&amp;""))</f>
        <v/>
      </c>
      <c r="F3182" s="52" t="str">
        <f aca="false">IF(L3182="","",INDEX(ポート振替表!$K$5:$K$3507,$L3182)&amp;" "&amp;INDEX(ポート振替表!$L$5:$L$3507,$L3182)&amp;"  ⇔  "&amp;INDEX(ポート振替表!$H$5:$H$3507,$L3182)&amp;" "&amp;INDEX(ポート振替表!$I$5:$I$3507,$L3182))</f>
        <v/>
      </c>
      <c r="G3182" s="57" t="s">
        <v>158</v>
      </c>
      <c r="H3182" s="32" t="str">
        <f aca="false">IF(L3182="","",INDEX(ポート振替表!$N$5:$N$3507,$L3182)&amp;"")</f>
        <v/>
      </c>
      <c r="I3182" s="32" t="str">
        <f aca="false">IF(L3182="","",INDEX(ポート振替表!$P$5:$P$3507,$L3182)&amp;"")</f>
        <v/>
      </c>
      <c r="J3182" s="60" t="str">
        <f aca="false">IF(L3182="","",INDEX(ポート振替表!$M$5:$M$3507,$L3182)&amp;"")</f>
        <v/>
      </c>
      <c r="K3182" s="52" t="str">
        <f aca="false">IF(L3182="","",E3182&amp;CHAR(10)&amp;INDEX(ポート振替表!$K$5:$K$3507,$L3182)&amp;" "&amp;INDEX(ポート振替表!$L$5:$L$3507,$L3182)&amp;CHAR(10)&amp;"⇔ "&amp;INDEX(ポート振替表!$H$5:$H$3507,$L3182)&amp;" "&amp;INDEX(ポート振替表!$I$5:$I$3507,$L3182))</f>
        <v/>
      </c>
      <c r="L3182" s="47" t="str">
        <f aca="false">IFERROR(MATCH(ROW()-4,ポート振替表!$V$5:$V$3507,0),"")</f>
        <v/>
      </c>
    </row>
    <row r="3183" customFormat="false" ht="16.4" hidden="false" customHeight="false" outlineLevel="0" collapsed="false">
      <c r="A3183" s="32" t="str">
        <f aca="false">IF(L3183="","",ROW()-4)</f>
        <v/>
      </c>
      <c r="B3183" s="58" t="str">
        <f aca="false">IF(L3183="","",IF(INDEX(ポート振替表!$W$5:$W$3507,$L3183)="","(なし)",INDEX(ポート振替表!$W$5:$W$3507,$L3183)&amp;""))</f>
        <v/>
      </c>
      <c r="C3183" s="52" t="str">
        <f aca="false">IF(L3183="","",INDEX(ポート振替表!$B$5:$B$3507,$L3183)&amp;" "&amp;INDEX(ポート振替表!$C$5:$C$3507,$L3183)&amp;"  ⇔  "&amp;INDEX(ポート振替表!$H$5:$H$3507,$L3183)&amp;" "&amp;INDEX(ポート振替表!$I$5:$I$3507,$L3183))</f>
        <v/>
      </c>
      <c r="D3183" s="57" t="s">
        <v>158</v>
      </c>
      <c r="E3183" s="59" t="str">
        <f aca="false">IF(L3183="","",IF(INDEX(ポート振替表!$O$5:$O$3507,$L3183)="","(未設定)",INDEX(ポート振替表!$O$5:$O$3507,$L3183)&amp;""))</f>
        <v/>
      </c>
      <c r="F3183" s="52" t="str">
        <f aca="false">IF(L3183="","",INDEX(ポート振替表!$K$5:$K$3507,$L3183)&amp;" "&amp;INDEX(ポート振替表!$L$5:$L$3507,$L3183)&amp;"  ⇔  "&amp;INDEX(ポート振替表!$H$5:$H$3507,$L3183)&amp;" "&amp;INDEX(ポート振替表!$I$5:$I$3507,$L3183))</f>
        <v/>
      </c>
      <c r="G3183" s="57" t="s">
        <v>158</v>
      </c>
      <c r="H3183" s="32" t="str">
        <f aca="false">IF(L3183="","",INDEX(ポート振替表!$N$5:$N$3507,$L3183)&amp;"")</f>
        <v/>
      </c>
      <c r="I3183" s="32" t="str">
        <f aca="false">IF(L3183="","",INDEX(ポート振替表!$P$5:$P$3507,$L3183)&amp;"")</f>
        <v/>
      </c>
      <c r="J3183" s="60" t="str">
        <f aca="false">IF(L3183="","",INDEX(ポート振替表!$M$5:$M$3507,$L3183)&amp;"")</f>
        <v/>
      </c>
      <c r="K3183" s="52" t="str">
        <f aca="false">IF(L3183="","",E3183&amp;CHAR(10)&amp;INDEX(ポート振替表!$K$5:$K$3507,$L3183)&amp;" "&amp;INDEX(ポート振替表!$L$5:$L$3507,$L3183)&amp;CHAR(10)&amp;"⇔ "&amp;INDEX(ポート振替表!$H$5:$H$3507,$L3183)&amp;" "&amp;INDEX(ポート振替表!$I$5:$I$3507,$L3183))</f>
        <v/>
      </c>
      <c r="L3183" s="47" t="str">
        <f aca="false">IFERROR(MATCH(ROW()-4,ポート振替表!$V$5:$V$3507,0),"")</f>
        <v/>
      </c>
    </row>
    <row r="3184" customFormat="false" ht="16.4" hidden="false" customHeight="false" outlineLevel="0" collapsed="false">
      <c r="A3184" s="32" t="str">
        <f aca="false">IF(L3184="","",ROW()-4)</f>
        <v/>
      </c>
      <c r="B3184" s="58" t="str">
        <f aca="false">IF(L3184="","",IF(INDEX(ポート振替表!$W$5:$W$3507,$L3184)="","(なし)",INDEX(ポート振替表!$W$5:$W$3507,$L3184)&amp;""))</f>
        <v/>
      </c>
      <c r="C3184" s="52" t="str">
        <f aca="false">IF(L3184="","",INDEX(ポート振替表!$B$5:$B$3507,$L3184)&amp;" "&amp;INDEX(ポート振替表!$C$5:$C$3507,$L3184)&amp;"  ⇔  "&amp;INDEX(ポート振替表!$H$5:$H$3507,$L3184)&amp;" "&amp;INDEX(ポート振替表!$I$5:$I$3507,$L3184))</f>
        <v/>
      </c>
      <c r="D3184" s="57" t="s">
        <v>158</v>
      </c>
      <c r="E3184" s="59" t="str">
        <f aca="false">IF(L3184="","",IF(INDEX(ポート振替表!$O$5:$O$3507,$L3184)="","(未設定)",INDEX(ポート振替表!$O$5:$O$3507,$L3184)&amp;""))</f>
        <v/>
      </c>
      <c r="F3184" s="52" t="str">
        <f aca="false">IF(L3184="","",INDEX(ポート振替表!$K$5:$K$3507,$L3184)&amp;" "&amp;INDEX(ポート振替表!$L$5:$L$3507,$L3184)&amp;"  ⇔  "&amp;INDEX(ポート振替表!$H$5:$H$3507,$L3184)&amp;" "&amp;INDEX(ポート振替表!$I$5:$I$3507,$L3184))</f>
        <v/>
      </c>
      <c r="G3184" s="57" t="s">
        <v>158</v>
      </c>
      <c r="H3184" s="32" t="str">
        <f aca="false">IF(L3184="","",INDEX(ポート振替表!$N$5:$N$3507,$L3184)&amp;"")</f>
        <v/>
      </c>
      <c r="I3184" s="32" t="str">
        <f aca="false">IF(L3184="","",INDEX(ポート振替表!$P$5:$P$3507,$L3184)&amp;"")</f>
        <v/>
      </c>
      <c r="J3184" s="60" t="str">
        <f aca="false">IF(L3184="","",INDEX(ポート振替表!$M$5:$M$3507,$L3184)&amp;"")</f>
        <v/>
      </c>
      <c r="K3184" s="52" t="str">
        <f aca="false">IF(L3184="","",E3184&amp;CHAR(10)&amp;INDEX(ポート振替表!$K$5:$K$3507,$L3184)&amp;" "&amp;INDEX(ポート振替表!$L$5:$L$3507,$L3184)&amp;CHAR(10)&amp;"⇔ "&amp;INDEX(ポート振替表!$H$5:$H$3507,$L3184)&amp;" "&amp;INDEX(ポート振替表!$I$5:$I$3507,$L3184))</f>
        <v/>
      </c>
      <c r="L3184" s="47" t="str">
        <f aca="false">IFERROR(MATCH(ROW()-4,ポート振替表!$V$5:$V$3507,0),"")</f>
        <v/>
      </c>
    </row>
    <row r="3185" customFormat="false" ht="16.4" hidden="false" customHeight="false" outlineLevel="0" collapsed="false">
      <c r="A3185" s="32" t="str">
        <f aca="false">IF(L3185="","",ROW()-4)</f>
        <v/>
      </c>
      <c r="B3185" s="58" t="str">
        <f aca="false">IF(L3185="","",IF(INDEX(ポート振替表!$W$5:$W$3507,$L3185)="","(なし)",INDEX(ポート振替表!$W$5:$W$3507,$L3185)&amp;""))</f>
        <v/>
      </c>
      <c r="C3185" s="52" t="str">
        <f aca="false">IF(L3185="","",INDEX(ポート振替表!$B$5:$B$3507,$L3185)&amp;" "&amp;INDEX(ポート振替表!$C$5:$C$3507,$L3185)&amp;"  ⇔  "&amp;INDEX(ポート振替表!$H$5:$H$3507,$L3185)&amp;" "&amp;INDEX(ポート振替表!$I$5:$I$3507,$L3185))</f>
        <v/>
      </c>
      <c r="D3185" s="57" t="s">
        <v>158</v>
      </c>
      <c r="E3185" s="59" t="str">
        <f aca="false">IF(L3185="","",IF(INDEX(ポート振替表!$O$5:$O$3507,$L3185)="","(未設定)",INDEX(ポート振替表!$O$5:$O$3507,$L3185)&amp;""))</f>
        <v/>
      </c>
      <c r="F3185" s="52" t="str">
        <f aca="false">IF(L3185="","",INDEX(ポート振替表!$K$5:$K$3507,$L3185)&amp;" "&amp;INDEX(ポート振替表!$L$5:$L$3507,$L3185)&amp;"  ⇔  "&amp;INDEX(ポート振替表!$H$5:$H$3507,$L3185)&amp;" "&amp;INDEX(ポート振替表!$I$5:$I$3507,$L3185))</f>
        <v/>
      </c>
      <c r="G3185" s="57" t="s">
        <v>158</v>
      </c>
      <c r="H3185" s="32" t="str">
        <f aca="false">IF(L3185="","",INDEX(ポート振替表!$N$5:$N$3507,$L3185)&amp;"")</f>
        <v/>
      </c>
      <c r="I3185" s="32" t="str">
        <f aca="false">IF(L3185="","",INDEX(ポート振替表!$P$5:$P$3507,$L3185)&amp;"")</f>
        <v/>
      </c>
      <c r="J3185" s="60" t="str">
        <f aca="false">IF(L3185="","",INDEX(ポート振替表!$M$5:$M$3507,$L3185)&amp;"")</f>
        <v/>
      </c>
      <c r="K3185" s="52" t="str">
        <f aca="false">IF(L3185="","",E3185&amp;CHAR(10)&amp;INDEX(ポート振替表!$K$5:$K$3507,$L3185)&amp;" "&amp;INDEX(ポート振替表!$L$5:$L$3507,$L3185)&amp;CHAR(10)&amp;"⇔ "&amp;INDEX(ポート振替表!$H$5:$H$3507,$L3185)&amp;" "&amp;INDEX(ポート振替表!$I$5:$I$3507,$L3185))</f>
        <v/>
      </c>
      <c r="L3185" s="47" t="str">
        <f aca="false">IFERROR(MATCH(ROW()-4,ポート振替表!$V$5:$V$3507,0),"")</f>
        <v/>
      </c>
    </row>
    <row r="3186" customFormat="false" ht="16.4" hidden="false" customHeight="false" outlineLevel="0" collapsed="false">
      <c r="A3186" s="32" t="str">
        <f aca="false">IF(L3186="","",ROW()-4)</f>
        <v/>
      </c>
      <c r="B3186" s="58" t="str">
        <f aca="false">IF(L3186="","",IF(INDEX(ポート振替表!$W$5:$W$3507,$L3186)="","(なし)",INDEX(ポート振替表!$W$5:$W$3507,$L3186)&amp;""))</f>
        <v/>
      </c>
      <c r="C3186" s="52" t="str">
        <f aca="false">IF(L3186="","",INDEX(ポート振替表!$B$5:$B$3507,$L3186)&amp;" "&amp;INDEX(ポート振替表!$C$5:$C$3507,$L3186)&amp;"  ⇔  "&amp;INDEX(ポート振替表!$H$5:$H$3507,$L3186)&amp;" "&amp;INDEX(ポート振替表!$I$5:$I$3507,$L3186))</f>
        <v/>
      </c>
      <c r="D3186" s="57" t="s">
        <v>158</v>
      </c>
      <c r="E3186" s="59" t="str">
        <f aca="false">IF(L3186="","",IF(INDEX(ポート振替表!$O$5:$O$3507,$L3186)="","(未設定)",INDEX(ポート振替表!$O$5:$O$3507,$L3186)&amp;""))</f>
        <v/>
      </c>
      <c r="F3186" s="52" t="str">
        <f aca="false">IF(L3186="","",INDEX(ポート振替表!$K$5:$K$3507,$L3186)&amp;" "&amp;INDEX(ポート振替表!$L$5:$L$3507,$L3186)&amp;"  ⇔  "&amp;INDEX(ポート振替表!$H$5:$H$3507,$L3186)&amp;" "&amp;INDEX(ポート振替表!$I$5:$I$3507,$L3186))</f>
        <v/>
      </c>
      <c r="G3186" s="57" t="s">
        <v>158</v>
      </c>
      <c r="H3186" s="32" t="str">
        <f aca="false">IF(L3186="","",INDEX(ポート振替表!$N$5:$N$3507,$L3186)&amp;"")</f>
        <v/>
      </c>
      <c r="I3186" s="32" t="str">
        <f aca="false">IF(L3186="","",INDEX(ポート振替表!$P$5:$P$3507,$L3186)&amp;"")</f>
        <v/>
      </c>
      <c r="J3186" s="60" t="str">
        <f aca="false">IF(L3186="","",INDEX(ポート振替表!$M$5:$M$3507,$L3186)&amp;"")</f>
        <v/>
      </c>
      <c r="K3186" s="52" t="str">
        <f aca="false">IF(L3186="","",E3186&amp;CHAR(10)&amp;INDEX(ポート振替表!$K$5:$K$3507,$L3186)&amp;" "&amp;INDEX(ポート振替表!$L$5:$L$3507,$L3186)&amp;CHAR(10)&amp;"⇔ "&amp;INDEX(ポート振替表!$H$5:$H$3507,$L3186)&amp;" "&amp;INDEX(ポート振替表!$I$5:$I$3507,$L3186))</f>
        <v/>
      </c>
      <c r="L3186" s="47" t="str">
        <f aca="false">IFERROR(MATCH(ROW()-4,ポート振替表!$V$5:$V$3507,0),"")</f>
        <v/>
      </c>
    </row>
    <row r="3187" customFormat="false" ht="16.4" hidden="false" customHeight="false" outlineLevel="0" collapsed="false">
      <c r="A3187" s="32" t="str">
        <f aca="false">IF(L3187="","",ROW()-4)</f>
        <v/>
      </c>
      <c r="B3187" s="58" t="str">
        <f aca="false">IF(L3187="","",IF(INDEX(ポート振替表!$W$5:$W$3507,$L3187)="","(なし)",INDEX(ポート振替表!$W$5:$W$3507,$L3187)&amp;""))</f>
        <v/>
      </c>
      <c r="C3187" s="52" t="str">
        <f aca="false">IF(L3187="","",INDEX(ポート振替表!$B$5:$B$3507,$L3187)&amp;" "&amp;INDEX(ポート振替表!$C$5:$C$3507,$L3187)&amp;"  ⇔  "&amp;INDEX(ポート振替表!$H$5:$H$3507,$L3187)&amp;" "&amp;INDEX(ポート振替表!$I$5:$I$3507,$L3187))</f>
        <v/>
      </c>
      <c r="D3187" s="57" t="s">
        <v>158</v>
      </c>
      <c r="E3187" s="59" t="str">
        <f aca="false">IF(L3187="","",IF(INDEX(ポート振替表!$O$5:$O$3507,$L3187)="","(未設定)",INDEX(ポート振替表!$O$5:$O$3507,$L3187)&amp;""))</f>
        <v/>
      </c>
      <c r="F3187" s="52" t="str">
        <f aca="false">IF(L3187="","",INDEX(ポート振替表!$K$5:$K$3507,$L3187)&amp;" "&amp;INDEX(ポート振替表!$L$5:$L$3507,$L3187)&amp;"  ⇔  "&amp;INDEX(ポート振替表!$H$5:$H$3507,$L3187)&amp;" "&amp;INDEX(ポート振替表!$I$5:$I$3507,$L3187))</f>
        <v/>
      </c>
      <c r="G3187" s="57" t="s">
        <v>158</v>
      </c>
      <c r="H3187" s="32" t="str">
        <f aca="false">IF(L3187="","",INDEX(ポート振替表!$N$5:$N$3507,$L3187)&amp;"")</f>
        <v/>
      </c>
      <c r="I3187" s="32" t="str">
        <f aca="false">IF(L3187="","",INDEX(ポート振替表!$P$5:$P$3507,$L3187)&amp;"")</f>
        <v/>
      </c>
      <c r="J3187" s="60" t="str">
        <f aca="false">IF(L3187="","",INDEX(ポート振替表!$M$5:$M$3507,$L3187)&amp;"")</f>
        <v/>
      </c>
      <c r="K3187" s="52" t="str">
        <f aca="false">IF(L3187="","",E3187&amp;CHAR(10)&amp;INDEX(ポート振替表!$K$5:$K$3507,$L3187)&amp;" "&amp;INDEX(ポート振替表!$L$5:$L$3507,$L3187)&amp;CHAR(10)&amp;"⇔ "&amp;INDEX(ポート振替表!$H$5:$H$3507,$L3187)&amp;" "&amp;INDEX(ポート振替表!$I$5:$I$3507,$L3187))</f>
        <v/>
      </c>
      <c r="L3187" s="47" t="str">
        <f aca="false">IFERROR(MATCH(ROW()-4,ポート振替表!$V$5:$V$3507,0),"")</f>
        <v/>
      </c>
    </row>
    <row r="3188" customFormat="false" ht="16.4" hidden="false" customHeight="false" outlineLevel="0" collapsed="false">
      <c r="A3188" s="32" t="str">
        <f aca="false">IF(L3188="","",ROW()-4)</f>
        <v/>
      </c>
      <c r="B3188" s="58" t="str">
        <f aca="false">IF(L3188="","",IF(INDEX(ポート振替表!$W$5:$W$3507,$L3188)="","(なし)",INDEX(ポート振替表!$W$5:$W$3507,$L3188)&amp;""))</f>
        <v/>
      </c>
      <c r="C3188" s="52" t="str">
        <f aca="false">IF(L3188="","",INDEX(ポート振替表!$B$5:$B$3507,$L3188)&amp;" "&amp;INDEX(ポート振替表!$C$5:$C$3507,$L3188)&amp;"  ⇔  "&amp;INDEX(ポート振替表!$H$5:$H$3507,$L3188)&amp;" "&amp;INDEX(ポート振替表!$I$5:$I$3507,$L3188))</f>
        <v/>
      </c>
      <c r="D3188" s="57" t="s">
        <v>158</v>
      </c>
      <c r="E3188" s="59" t="str">
        <f aca="false">IF(L3188="","",IF(INDEX(ポート振替表!$O$5:$O$3507,$L3188)="","(未設定)",INDEX(ポート振替表!$O$5:$O$3507,$L3188)&amp;""))</f>
        <v/>
      </c>
      <c r="F3188" s="52" t="str">
        <f aca="false">IF(L3188="","",INDEX(ポート振替表!$K$5:$K$3507,$L3188)&amp;" "&amp;INDEX(ポート振替表!$L$5:$L$3507,$L3188)&amp;"  ⇔  "&amp;INDEX(ポート振替表!$H$5:$H$3507,$L3188)&amp;" "&amp;INDEX(ポート振替表!$I$5:$I$3507,$L3188))</f>
        <v/>
      </c>
      <c r="G3188" s="57" t="s">
        <v>158</v>
      </c>
      <c r="H3188" s="32" t="str">
        <f aca="false">IF(L3188="","",INDEX(ポート振替表!$N$5:$N$3507,$L3188)&amp;"")</f>
        <v/>
      </c>
      <c r="I3188" s="32" t="str">
        <f aca="false">IF(L3188="","",INDEX(ポート振替表!$P$5:$P$3507,$L3188)&amp;"")</f>
        <v/>
      </c>
      <c r="J3188" s="60" t="str">
        <f aca="false">IF(L3188="","",INDEX(ポート振替表!$M$5:$M$3507,$L3188)&amp;"")</f>
        <v/>
      </c>
      <c r="K3188" s="52" t="str">
        <f aca="false">IF(L3188="","",E3188&amp;CHAR(10)&amp;INDEX(ポート振替表!$K$5:$K$3507,$L3188)&amp;" "&amp;INDEX(ポート振替表!$L$5:$L$3507,$L3188)&amp;CHAR(10)&amp;"⇔ "&amp;INDEX(ポート振替表!$H$5:$H$3507,$L3188)&amp;" "&amp;INDEX(ポート振替表!$I$5:$I$3507,$L3188))</f>
        <v/>
      </c>
      <c r="L3188" s="47" t="str">
        <f aca="false">IFERROR(MATCH(ROW()-4,ポート振替表!$V$5:$V$3507,0),"")</f>
        <v/>
      </c>
    </row>
    <row r="3189" customFormat="false" ht="16.4" hidden="false" customHeight="false" outlineLevel="0" collapsed="false">
      <c r="A3189" s="32" t="str">
        <f aca="false">IF(L3189="","",ROW()-4)</f>
        <v/>
      </c>
      <c r="B3189" s="58" t="str">
        <f aca="false">IF(L3189="","",IF(INDEX(ポート振替表!$W$5:$W$3507,$L3189)="","(なし)",INDEX(ポート振替表!$W$5:$W$3507,$L3189)&amp;""))</f>
        <v/>
      </c>
      <c r="C3189" s="52" t="str">
        <f aca="false">IF(L3189="","",INDEX(ポート振替表!$B$5:$B$3507,$L3189)&amp;" "&amp;INDEX(ポート振替表!$C$5:$C$3507,$L3189)&amp;"  ⇔  "&amp;INDEX(ポート振替表!$H$5:$H$3507,$L3189)&amp;" "&amp;INDEX(ポート振替表!$I$5:$I$3507,$L3189))</f>
        <v/>
      </c>
      <c r="D3189" s="57" t="s">
        <v>158</v>
      </c>
      <c r="E3189" s="59" t="str">
        <f aca="false">IF(L3189="","",IF(INDEX(ポート振替表!$O$5:$O$3507,$L3189)="","(未設定)",INDEX(ポート振替表!$O$5:$O$3507,$L3189)&amp;""))</f>
        <v/>
      </c>
      <c r="F3189" s="52" t="str">
        <f aca="false">IF(L3189="","",INDEX(ポート振替表!$K$5:$K$3507,$L3189)&amp;" "&amp;INDEX(ポート振替表!$L$5:$L$3507,$L3189)&amp;"  ⇔  "&amp;INDEX(ポート振替表!$H$5:$H$3507,$L3189)&amp;" "&amp;INDEX(ポート振替表!$I$5:$I$3507,$L3189))</f>
        <v/>
      </c>
      <c r="G3189" s="57" t="s">
        <v>158</v>
      </c>
      <c r="H3189" s="32" t="str">
        <f aca="false">IF(L3189="","",INDEX(ポート振替表!$N$5:$N$3507,$L3189)&amp;"")</f>
        <v/>
      </c>
      <c r="I3189" s="32" t="str">
        <f aca="false">IF(L3189="","",INDEX(ポート振替表!$P$5:$P$3507,$L3189)&amp;"")</f>
        <v/>
      </c>
      <c r="J3189" s="60" t="str">
        <f aca="false">IF(L3189="","",INDEX(ポート振替表!$M$5:$M$3507,$L3189)&amp;"")</f>
        <v/>
      </c>
      <c r="K3189" s="52" t="str">
        <f aca="false">IF(L3189="","",E3189&amp;CHAR(10)&amp;INDEX(ポート振替表!$K$5:$K$3507,$L3189)&amp;" "&amp;INDEX(ポート振替表!$L$5:$L$3507,$L3189)&amp;CHAR(10)&amp;"⇔ "&amp;INDEX(ポート振替表!$H$5:$H$3507,$L3189)&amp;" "&amp;INDEX(ポート振替表!$I$5:$I$3507,$L3189))</f>
        <v/>
      </c>
      <c r="L3189" s="47" t="str">
        <f aca="false">IFERROR(MATCH(ROW()-4,ポート振替表!$V$5:$V$3507,0),"")</f>
        <v/>
      </c>
    </row>
    <row r="3190" customFormat="false" ht="16.4" hidden="false" customHeight="false" outlineLevel="0" collapsed="false">
      <c r="A3190" s="32" t="str">
        <f aca="false">IF(L3190="","",ROW()-4)</f>
        <v/>
      </c>
      <c r="B3190" s="58" t="str">
        <f aca="false">IF(L3190="","",IF(INDEX(ポート振替表!$W$5:$W$3507,$L3190)="","(なし)",INDEX(ポート振替表!$W$5:$W$3507,$L3190)&amp;""))</f>
        <v/>
      </c>
      <c r="C3190" s="52" t="str">
        <f aca="false">IF(L3190="","",INDEX(ポート振替表!$B$5:$B$3507,$L3190)&amp;" "&amp;INDEX(ポート振替表!$C$5:$C$3507,$L3190)&amp;"  ⇔  "&amp;INDEX(ポート振替表!$H$5:$H$3507,$L3190)&amp;" "&amp;INDEX(ポート振替表!$I$5:$I$3507,$L3190))</f>
        <v/>
      </c>
      <c r="D3190" s="57" t="s">
        <v>158</v>
      </c>
      <c r="E3190" s="59" t="str">
        <f aca="false">IF(L3190="","",IF(INDEX(ポート振替表!$O$5:$O$3507,$L3190)="","(未設定)",INDEX(ポート振替表!$O$5:$O$3507,$L3190)&amp;""))</f>
        <v/>
      </c>
      <c r="F3190" s="52" t="str">
        <f aca="false">IF(L3190="","",INDEX(ポート振替表!$K$5:$K$3507,$L3190)&amp;" "&amp;INDEX(ポート振替表!$L$5:$L$3507,$L3190)&amp;"  ⇔  "&amp;INDEX(ポート振替表!$H$5:$H$3507,$L3190)&amp;" "&amp;INDEX(ポート振替表!$I$5:$I$3507,$L3190))</f>
        <v/>
      </c>
      <c r="G3190" s="57" t="s">
        <v>158</v>
      </c>
      <c r="H3190" s="32" t="str">
        <f aca="false">IF(L3190="","",INDEX(ポート振替表!$N$5:$N$3507,$L3190)&amp;"")</f>
        <v/>
      </c>
      <c r="I3190" s="32" t="str">
        <f aca="false">IF(L3190="","",INDEX(ポート振替表!$P$5:$P$3507,$L3190)&amp;"")</f>
        <v/>
      </c>
      <c r="J3190" s="60" t="str">
        <f aca="false">IF(L3190="","",INDEX(ポート振替表!$M$5:$M$3507,$L3190)&amp;"")</f>
        <v/>
      </c>
      <c r="K3190" s="52" t="str">
        <f aca="false">IF(L3190="","",E3190&amp;CHAR(10)&amp;INDEX(ポート振替表!$K$5:$K$3507,$L3190)&amp;" "&amp;INDEX(ポート振替表!$L$5:$L$3507,$L3190)&amp;CHAR(10)&amp;"⇔ "&amp;INDEX(ポート振替表!$H$5:$H$3507,$L3190)&amp;" "&amp;INDEX(ポート振替表!$I$5:$I$3507,$L3190))</f>
        <v/>
      </c>
      <c r="L3190" s="47" t="str">
        <f aca="false">IFERROR(MATCH(ROW()-4,ポート振替表!$V$5:$V$3507,0),"")</f>
        <v/>
      </c>
    </row>
    <row r="3191" customFormat="false" ht="16.4" hidden="false" customHeight="false" outlineLevel="0" collapsed="false">
      <c r="A3191" s="32" t="str">
        <f aca="false">IF(L3191="","",ROW()-4)</f>
        <v/>
      </c>
      <c r="B3191" s="58" t="str">
        <f aca="false">IF(L3191="","",IF(INDEX(ポート振替表!$W$5:$W$3507,$L3191)="","(なし)",INDEX(ポート振替表!$W$5:$W$3507,$L3191)&amp;""))</f>
        <v/>
      </c>
      <c r="C3191" s="52" t="str">
        <f aca="false">IF(L3191="","",INDEX(ポート振替表!$B$5:$B$3507,$L3191)&amp;" "&amp;INDEX(ポート振替表!$C$5:$C$3507,$L3191)&amp;"  ⇔  "&amp;INDEX(ポート振替表!$H$5:$H$3507,$L3191)&amp;" "&amp;INDEX(ポート振替表!$I$5:$I$3507,$L3191))</f>
        <v/>
      </c>
      <c r="D3191" s="57" t="s">
        <v>158</v>
      </c>
      <c r="E3191" s="59" t="str">
        <f aca="false">IF(L3191="","",IF(INDEX(ポート振替表!$O$5:$O$3507,$L3191)="","(未設定)",INDEX(ポート振替表!$O$5:$O$3507,$L3191)&amp;""))</f>
        <v/>
      </c>
      <c r="F3191" s="52" t="str">
        <f aca="false">IF(L3191="","",INDEX(ポート振替表!$K$5:$K$3507,$L3191)&amp;" "&amp;INDEX(ポート振替表!$L$5:$L$3507,$L3191)&amp;"  ⇔  "&amp;INDEX(ポート振替表!$H$5:$H$3507,$L3191)&amp;" "&amp;INDEX(ポート振替表!$I$5:$I$3507,$L3191))</f>
        <v/>
      </c>
      <c r="G3191" s="57" t="s">
        <v>158</v>
      </c>
      <c r="H3191" s="32" t="str">
        <f aca="false">IF(L3191="","",INDEX(ポート振替表!$N$5:$N$3507,$L3191)&amp;"")</f>
        <v/>
      </c>
      <c r="I3191" s="32" t="str">
        <f aca="false">IF(L3191="","",INDEX(ポート振替表!$P$5:$P$3507,$L3191)&amp;"")</f>
        <v/>
      </c>
      <c r="J3191" s="60" t="str">
        <f aca="false">IF(L3191="","",INDEX(ポート振替表!$M$5:$M$3507,$L3191)&amp;"")</f>
        <v/>
      </c>
      <c r="K3191" s="52" t="str">
        <f aca="false">IF(L3191="","",E3191&amp;CHAR(10)&amp;INDEX(ポート振替表!$K$5:$K$3507,$L3191)&amp;" "&amp;INDEX(ポート振替表!$L$5:$L$3507,$L3191)&amp;CHAR(10)&amp;"⇔ "&amp;INDEX(ポート振替表!$H$5:$H$3507,$L3191)&amp;" "&amp;INDEX(ポート振替表!$I$5:$I$3507,$L3191))</f>
        <v/>
      </c>
      <c r="L3191" s="47" t="str">
        <f aca="false">IFERROR(MATCH(ROW()-4,ポート振替表!$V$5:$V$3507,0),"")</f>
        <v/>
      </c>
    </row>
    <row r="3192" customFormat="false" ht="16.4" hidden="false" customHeight="false" outlineLevel="0" collapsed="false">
      <c r="A3192" s="32" t="str">
        <f aca="false">IF(L3192="","",ROW()-4)</f>
        <v/>
      </c>
      <c r="B3192" s="58" t="str">
        <f aca="false">IF(L3192="","",IF(INDEX(ポート振替表!$W$5:$W$3507,$L3192)="","(なし)",INDEX(ポート振替表!$W$5:$W$3507,$L3192)&amp;""))</f>
        <v/>
      </c>
      <c r="C3192" s="52" t="str">
        <f aca="false">IF(L3192="","",INDEX(ポート振替表!$B$5:$B$3507,$L3192)&amp;" "&amp;INDEX(ポート振替表!$C$5:$C$3507,$L3192)&amp;"  ⇔  "&amp;INDEX(ポート振替表!$H$5:$H$3507,$L3192)&amp;" "&amp;INDEX(ポート振替表!$I$5:$I$3507,$L3192))</f>
        <v/>
      </c>
      <c r="D3192" s="57" t="s">
        <v>158</v>
      </c>
      <c r="E3192" s="59" t="str">
        <f aca="false">IF(L3192="","",IF(INDEX(ポート振替表!$O$5:$O$3507,$L3192)="","(未設定)",INDEX(ポート振替表!$O$5:$O$3507,$L3192)&amp;""))</f>
        <v/>
      </c>
      <c r="F3192" s="52" t="str">
        <f aca="false">IF(L3192="","",INDEX(ポート振替表!$K$5:$K$3507,$L3192)&amp;" "&amp;INDEX(ポート振替表!$L$5:$L$3507,$L3192)&amp;"  ⇔  "&amp;INDEX(ポート振替表!$H$5:$H$3507,$L3192)&amp;" "&amp;INDEX(ポート振替表!$I$5:$I$3507,$L3192))</f>
        <v/>
      </c>
      <c r="G3192" s="57" t="s">
        <v>158</v>
      </c>
      <c r="H3192" s="32" t="str">
        <f aca="false">IF(L3192="","",INDEX(ポート振替表!$N$5:$N$3507,$L3192)&amp;"")</f>
        <v/>
      </c>
      <c r="I3192" s="32" t="str">
        <f aca="false">IF(L3192="","",INDEX(ポート振替表!$P$5:$P$3507,$L3192)&amp;"")</f>
        <v/>
      </c>
      <c r="J3192" s="60" t="str">
        <f aca="false">IF(L3192="","",INDEX(ポート振替表!$M$5:$M$3507,$L3192)&amp;"")</f>
        <v/>
      </c>
      <c r="K3192" s="52" t="str">
        <f aca="false">IF(L3192="","",E3192&amp;CHAR(10)&amp;INDEX(ポート振替表!$K$5:$K$3507,$L3192)&amp;" "&amp;INDEX(ポート振替表!$L$5:$L$3507,$L3192)&amp;CHAR(10)&amp;"⇔ "&amp;INDEX(ポート振替表!$H$5:$H$3507,$L3192)&amp;" "&amp;INDEX(ポート振替表!$I$5:$I$3507,$L3192))</f>
        <v/>
      </c>
      <c r="L3192" s="47" t="str">
        <f aca="false">IFERROR(MATCH(ROW()-4,ポート振替表!$V$5:$V$3507,0),"")</f>
        <v/>
      </c>
    </row>
    <row r="3193" customFormat="false" ht="16.4" hidden="false" customHeight="false" outlineLevel="0" collapsed="false">
      <c r="A3193" s="32" t="str">
        <f aca="false">IF(L3193="","",ROW()-4)</f>
        <v/>
      </c>
      <c r="B3193" s="58" t="str">
        <f aca="false">IF(L3193="","",IF(INDEX(ポート振替表!$W$5:$W$3507,$L3193)="","(なし)",INDEX(ポート振替表!$W$5:$W$3507,$L3193)&amp;""))</f>
        <v/>
      </c>
      <c r="C3193" s="52" t="str">
        <f aca="false">IF(L3193="","",INDEX(ポート振替表!$B$5:$B$3507,$L3193)&amp;" "&amp;INDEX(ポート振替表!$C$5:$C$3507,$L3193)&amp;"  ⇔  "&amp;INDEX(ポート振替表!$H$5:$H$3507,$L3193)&amp;" "&amp;INDEX(ポート振替表!$I$5:$I$3507,$L3193))</f>
        <v/>
      </c>
      <c r="D3193" s="57" t="s">
        <v>158</v>
      </c>
      <c r="E3193" s="59" t="str">
        <f aca="false">IF(L3193="","",IF(INDEX(ポート振替表!$O$5:$O$3507,$L3193)="","(未設定)",INDEX(ポート振替表!$O$5:$O$3507,$L3193)&amp;""))</f>
        <v/>
      </c>
      <c r="F3193" s="52" t="str">
        <f aca="false">IF(L3193="","",INDEX(ポート振替表!$K$5:$K$3507,$L3193)&amp;" "&amp;INDEX(ポート振替表!$L$5:$L$3507,$L3193)&amp;"  ⇔  "&amp;INDEX(ポート振替表!$H$5:$H$3507,$L3193)&amp;" "&amp;INDEX(ポート振替表!$I$5:$I$3507,$L3193))</f>
        <v/>
      </c>
      <c r="G3193" s="57" t="s">
        <v>158</v>
      </c>
      <c r="H3193" s="32" t="str">
        <f aca="false">IF(L3193="","",INDEX(ポート振替表!$N$5:$N$3507,$L3193)&amp;"")</f>
        <v/>
      </c>
      <c r="I3193" s="32" t="str">
        <f aca="false">IF(L3193="","",INDEX(ポート振替表!$P$5:$P$3507,$L3193)&amp;"")</f>
        <v/>
      </c>
      <c r="J3193" s="60" t="str">
        <f aca="false">IF(L3193="","",INDEX(ポート振替表!$M$5:$M$3507,$L3193)&amp;"")</f>
        <v/>
      </c>
      <c r="K3193" s="52" t="str">
        <f aca="false">IF(L3193="","",E3193&amp;CHAR(10)&amp;INDEX(ポート振替表!$K$5:$K$3507,$L3193)&amp;" "&amp;INDEX(ポート振替表!$L$5:$L$3507,$L3193)&amp;CHAR(10)&amp;"⇔ "&amp;INDEX(ポート振替表!$H$5:$H$3507,$L3193)&amp;" "&amp;INDEX(ポート振替表!$I$5:$I$3507,$L3193))</f>
        <v/>
      </c>
      <c r="L3193" s="47" t="str">
        <f aca="false">IFERROR(MATCH(ROW()-4,ポート振替表!$V$5:$V$3507,0),"")</f>
        <v/>
      </c>
    </row>
    <row r="3194" customFormat="false" ht="16.4" hidden="false" customHeight="false" outlineLevel="0" collapsed="false">
      <c r="A3194" s="32" t="str">
        <f aca="false">IF(L3194="","",ROW()-4)</f>
        <v/>
      </c>
      <c r="B3194" s="58" t="str">
        <f aca="false">IF(L3194="","",IF(INDEX(ポート振替表!$W$5:$W$3507,$L3194)="","(なし)",INDEX(ポート振替表!$W$5:$W$3507,$L3194)&amp;""))</f>
        <v/>
      </c>
      <c r="C3194" s="52" t="str">
        <f aca="false">IF(L3194="","",INDEX(ポート振替表!$B$5:$B$3507,$L3194)&amp;" "&amp;INDEX(ポート振替表!$C$5:$C$3507,$L3194)&amp;"  ⇔  "&amp;INDEX(ポート振替表!$H$5:$H$3507,$L3194)&amp;" "&amp;INDEX(ポート振替表!$I$5:$I$3507,$L3194))</f>
        <v/>
      </c>
      <c r="D3194" s="57" t="s">
        <v>158</v>
      </c>
      <c r="E3194" s="59" t="str">
        <f aca="false">IF(L3194="","",IF(INDEX(ポート振替表!$O$5:$O$3507,$L3194)="","(未設定)",INDEX(ポート振替表!$O$5:$O$3507,$L3194)&amp;""))</f>
        <v/>
      </c>
      <c r="F3194" s="52" t="str">
        <f aca="false">IF(L3194="","",INDEX(ポート振替表!$K$5:$K$3507,$L3194)&amp;" "&amp;INDEX(ポート振替表!$L$5:$L$3507,$L3194)&amp;"  ⇔  "&amp;INDEX(ポート振替表!$H$5:$H$3507,$L3194)&amp;" "&amp;INDEX(ポート振替表!$I$5:$I$3507,$L3194))</f>
        <v/>
      </c>
      <c r="G3194" s="57" t="s">
        <v>158</v>
      </c>
      <c r="H3194" s="32" t="str">
        <f aca="false">IF(L3194="","",INDEX(ポート振替表!$N$5:$N$3507,$L3194)&amp;"")</f>
        <v/>
      </c>
      <c r="I3194" s="32" t="str">
        <f aca="false">IF(L3194="","",INDEX(ポート振替表!$P$5:$P$3507,$L3194)&amp;"")</f>
        <v/>
      </c>
      <c r="J3194" s="60" t="str">
        <f aca="false">IF(L3194="","",INDEX(ポート振替表!$M$5:$M$3507,$L3194)&amp;"")</f>
        <v/>
      </c>
      <c r="K3194" s="52" t="str">
        <f aca="false">IF(L3194="","",E3194&amp;CHAR(10)&amp;INDEX(ポート振替表!$K$5:$K$3507,$L3194)&amp;" "&amp;INDEX(ポート振替表!$L$5:$L$3507,$L3194)&amp;CHAR(10)&amp;"⇔ "&amp;INDEX(ポート振替表!$H$5:$H$3507,$L3194)&amp;" "&amp;INDEX(ポート振替表!$I$5:$I$3507,$L3194))</f>
        <v/>
      </c>
      <c r="L3194" s="47" t="str">
        <f aca="false">IFERROR(MATCH(ROW()-4,ポート振替表!$V$5:$V$3507,0),"")</f>
        <v/>
      </c>
    </row>
    <row r="3195" customFormat="false" ht="16.4" hidden="false" customHeight="false" outlineLevel="0" collapsed="false">
      <c r="A3195" s="32" t="str">
        <f aca="false">IF(L3195="","",ROW()-4)</f>
        <v/>
      </c>
      <c r="B3195" s="58" t="str">
        <f aca="false">IF(L3195="","",IF(INDEX(ポート振替表!$W$5:$W$3507,$L3195)="","(なし)",INDEX(ポート振替表!$W$5:$W$3507,$L3195)&amp;""))</f>
        <v/>
      </c>
      <c r="C3195" s="52" t="str">
        <f aca="false">IF(L3195="","",INDEX(ポート振替表!$B$5:$B$3507,$L3195)&amp;" "&amp;INDEX(ポート振替表!$C$5:$C$3507,$L3195)&amp;"  ⇔  "&amp;INDEX(ポート振替表!$H$5:$H$3507,$L3195)&amp;" "&amp;INDEX(ポート振替表!$I$5:$I$3507,$L3195))</f>
        <v/>
      </c>
      <c r="D3195" s="57" t="s">
        <v>158</v>
      </c>
      <c r="E3195" s="59" t="str">
        <f aca="false">IF(L3195="","",IF(INDEX(ポート振替表!$O$5:$O$3507,$L3195)="","(未設定)",INDEX(ポート振替表!$O$5:$O$3507,$L3195)&amp;""))</f>
        <v/>
      </c>
      <c r="F3195" s="52" t="str">
        <f aca="false">IF(L3195="","",INDEX(ポート振替表!$K$5:$K$3507,$L3195)&amp;" "&amp;INDEX(ポート振替表!$L$5:$L$3507,$L3195)&amp;"  ⇔  "&amp;INDEX(ポート振替表!$H$5:$H$3507,$L3195)&amp;" "&amp;INDEX(ポート振替表!$I$5:$I$3507,$L3195))</f>
        <v/>
      </c>
      <c r="G3195" s="57" t="s">
        <v>158</v>
      </c>
      <c r="H3195" s="32" t="str">
        <f aca="false">IF(L3195="","",INDEX(ポート振替表!$N$5:$N$3507,$L3195)&amp;"")</f>
        <v/>
      </c>
      <c r="I3195" s="32" t="str">
        <f aca="false">IF(L3195="","",INDEX(ポート振替表!$P$5:$P$3507,$L3195)&amp;"")</f>
        <v/>
      </c>
      <c r="J3195" s="60" t="str">
        <f aca="false">IF(L3195="","",INDEX(ポート振替表!$M$5:$M$3507,$L3195)&amp;"")</f>
        <v/>
      </c>
      <c r="K3195" s="52" t="str">
        <f aca="false">IF(L3195="","",E3195&amp;CHAR(10)&amp;INDEX(ポート振替表!$K$5:$K$3507,$L3195)&amp;" "&amp;INDEX(ポート振替表!$L$5:$L$3507,$L3195)&amp;CHAR(10)&amp;"⇔ "&amp;INDEX(ポート振替表!$H$5:$H$3507,$L3195)&amp;" "&amp;INDEX(ポート振替表!$I$5:$I$3507,$L3195))</f>
        <v/>
      </c>
      <c r="L3195" s="47" t="str">
        <f aca="false">IFERROR(MATCH(ROW()-4,ポート振替表!$V$5:$V$3507,0),"")</f>
        <v/>
      </c>
    </row>
    <row r="3196" customFormat="false" ht="16.4" hidden="false" customHeight="false" outlineLevel="0" collapsed="false">
      <c r="A3196" s="32" t="str">
        <f aca="false">IF(L3196="","",ROW()-4)</f>
        <v/>
      </c>
      <c r="B3196" s="58" t="str">
        <f aca="false">IF(L3196="","",IF(INDEX(ポート振替表!$W$5:$W$3507,$L3196)="","(なし)",INDEX(ポート振替表!$W$5:$W$3507,$L3196)&amp;""))</f>
        <v/>
      </c>
      <c r="C3196" s="52" t="str">
        <f aca="false">IF(L3196="","",INDEX(ポート振替表!$B$5:$B$3507,$L3196)&amp;" "&amp;INDEX(ポート振替表!$C$5:$C$3507,$L3196)&amp;"  ⇔  "&amp;INDEX(ポート振替表!$H$5:$H$3507,$L3196)&amp;" "&amp;INDEX(ポート振替表!$I$5:$I$3507,$L3196))</f>
        <v/>
      </c>
      <c r="D3196" s="57" t="s">
        <v>158</v>
      </c>
      <c r="E3196" s="59" t="str">
        <f aca="false">IF(L3196="","",IF(INDEX(ポート振替表!$O$5:$O$3507,$L3196)="","(未設定)",INDEX(ポート振替表!$O$5:$O$3507,$L3196)&amp;""))</f>
        <v/>
      </c>
      <c r="F3196" s="52" t="str">
        <f aca="false">IF(L3196="","",INDEX(ポート振替表!$K$5:$K$3507,$L3196)&amp;" "&amp;INDEX(ポート振替表!$L$5:$L$3507,$L3196)&amp;"  ⇔  "&amp;INDEX(ポート振替表!$H$5:$H$3507,$L3196)&amp;" "&amp;INDEX(ポート振替表!$I$5:$I$3507,$L3196))</f>
        <v/>
      </c>
      <c r="G3196" s="57" t="s">
        <v>158</v>
      </c>
      <c r="H3196" s="32" t="str">
        <f aca="false">IF(L3196="","",INDEX(ポート振替表!$N$5:$N$3507,$L3196)&amp;"")</f>
        <v/>
      </c>
      <c r="I3196" s="32" t="str">
        <f aca="false">IF(L3196="","",INDEX(ポート振替表!$P$5:$P$3507,$L3196)&amp;"")</f>
        <v/>
      </c>
      <c r="J3196" s="60" t="str">
        <f aca="false">IF(L3196="","",INDEX(ポート振替表!$M$5:$M$3507,$L3196)&amp;"")</f>
        <v/>
      </c>
      <c r="K3196" s="52" t="str">
        <f aca="false">IF(L3196="","",E3196&amp;CHAR(10)&amp;INDEX(ポート振替表!$K$5:$K$3507,$L3196)&amp;" "&amp;INDEX(ポート振替表!$L$5:$L$3507,$L3196)&amp;CHAR(10)&amp;"⇔ "&amp;INDEX(ポート振替表!$H$5:$H$3507,$L3196)&amp;" "&amp;INDEX(ポート振替表!$I$5:$I$3507,$L3196))</f>
        <v/>
      </c>
      <c r="L3196" s="47" t="str">
        <f aca="false">IFERROR(MATCH(ROW()-4,ポート振替表!$V$5:$V$3507,0),"")</f>
        <v/>
      </c>
    </row>
    <row r="3197" customFormat="false" ht="16.4" hidden="false" customHeight="false" outlineLevel="0" collapsed="false">
      <c r="A3197" s="32" t="str">
        <f aca="false">IF(L3197="","",ROW()-4)</f>
        <v/>
      </c>
      <c r="B3197" s="58" t="str">
        <f aca="false">IF(L3197="","",IF(INDEX(ポート振替表!$W$5:$W$3507,$L3197)="","(なし)",INDEX(ポート振替表!$W$5:$W$3507,$L3197)&amp;""))</f>
        <v/>
      </c>
      <c r="C3197" s="52" t="str">
        <f aca="false">IF(L3197="","",INDEX(ポート振替表!$B$5:$B$3507,$L3197)&amp;" "&amp;INDEX(ポート振替表!$C$5:$C$3507,$L3197)&amp;"  ⇔  "&amp;INDEX(ポート振替表!$H$5:$H$3507,$L3197)&amp;" "&amp;INDEX(ポート振替表!$I$5:$I$3507,$L3197))</f>
        <v/>
      </c>
      <c r="D3197" s="57" t="s">
        <v>158</v>
      </c>
      <c r="E3197" s="59" t="str">
        <f aca="false">IF(L3197="","",IF(INDEX(ポート振替表!$O$5:$O$3507,$L3197)="","(未設定)",INDEX(ポート振替表!$O$5:$O$3507,$L3197)&amp;""))</f>
        <v/>
      </c>
      <c r="F3197" s="52" t="str">
        <f aca="false">IF(L3197="","",INDEX(ポート振替表!$K$5:$K$3507,$L3197)&amp;" "&amp;INDEX(ポート振替表!$L$5:$L$3507,$L3197)&amp;"  ⇔  "&amp;INDEX(ポート振替表!$H$5:$H$3507,$L3197)&amp;" "&amp;INDEX(ポート振替表!$I$5:$I$3507,$L3197))</f>
        <v/>
      </c>
      <c r="G3197" s="57" t="s">
        <v>158</v>
      </c>
      <c r="H3197" s="32" t="str">
        <f aca="false">IF(L3197="","",INDEX(ポート振替表!$N$5:$N$3507,$L3197)&amp;"")</f>
        <v/>
      </c>
      <c r="I3197" s="32" t="str">
        <f aca="false">IF(L3197="","",INDEX(ポート振替表!$P$5:$P$3507,$L3197)&amp;"")</f>
        <v/>
      </c>
      <c r="J3197" s="60" t="str">
        <f aca="false">IF(L3197="","",INDEX(ポート振替表!$M$5:$M$3507,$L3197)&amp;"")</f>
        <v/>
      </c>
      <c r="K3197" s="52" t="str">
        <f aca="false">IF(L3197="","",E3197&amp;CHAR(10)&amp;INDEX(ポート振替表!$K$5:$K$3507,$L3197)&amp;" "&amp;INDEX(ポート振替表!$L$5:$L$3507,$L3197)&amp;CHAR(10)&amp;"⇔ "&amp;INDEX(ポート振替表!$H$5:$H$3507,$L3197)&amp;" "&amp;INDEX(ポート振替表!$I$5:$I$3507,$L3197))</f>
        <v/>
      </c>
      <c r="L3197" s="47" t="str">
        <f aca="false">IFERROR(MATCH(ROW()-4,ポート振替表!$V$5:$V$3507,0),"")</f>
        <v/>
      </c>
    </row>
    <row r="3198" customFormat="false" ht="16.4" hidden="false" customHeight="false" outlineLevel="0" collapsed="false">
      <c r="A3198" s="32" t="str">
        <f aca="false">IF(L3198="","",ROW()-4)</f>
        <v/>
      </c>
      <c r="B3198" s="58" t="str">
        <f aca="false">IF(L3198="","",IF(INDEX(ポート振替表!$W$5:$W$3507,$L3198)="","(なし)",INDEX(ポート振替表!$W$5:$W$3507,$L3198)&amp;""))</f>
        <v/>
      </c>
      <c r="C3198" s="52" t="str">
        <f aca="false">IF(L3198="","",INDEX(ポート振替表!$B$5:$B$3507,$L3198)&amp;" "&amp;INDEX(ポート振替表!$C$5:$C$3507,$L3198)&amp;"  ⇔  "&amp;INDEX(ポート振替表!$H$5:$H$3507,$L3198)&amp;" "&amp;INDEX(ポート振替表!$I$5:$I$3507,$L3198))</f>
        <v/>
      </c>
      <c r="D3198" s="57" t="s">
        <v>158</v>
      </c>
      <c r="E3198" s="59" t="str">
        <f aca="false">IF(L3198="","",IF(INDEX(ポート振替表!$O$5:$O$3507,$L3198)="","(未設定)",INDEX(ポート振替表!$O$5:$O$3507,$L3198)&amp;""))</f>
        <v/>
      </c>
      <c r="F3198" s="52" t="str">
        <f aca="false">IF(L3198="","",INDEX(ポート振替表!$K$5:$K$3507,$L3198)&amp;" "&amp;INDEX(ポート振替表!$L$5:$L$3507,$L3198)&amp;"  ⇔  "&amp;INDEX(ポート振替表!$H$5:$H$3507,$L3198)&amp;" "&amp;INDEX(ポート振替表!$I$5:$I$3507,$L3198))</f>
        <v/>
      </c>
      <c r="G3198" s="57" t="s">
        <v>158</v>
      </c>
      <c r="H3198" s="32" t="str">
        <f aca="false">IF(L3198="","",INDEX(ポート振替表!$N$5:$N$3507,$L3198)&amp;"")</f>
        <v/>
      </c>
      <c r="I3198" s="32" t="str">
        <f aca="false">IF(L3198="","",INDEX(ポート振替表!$P$5:$P$3507,$L3198)&amp;"")</f>
        <v/>
      </c>
      <c r="J3198" s="60" t="str">
        <f aca="false">IF(L3198="","",INDEX(ポート振替表!$M$5:$M$3507,$L3198)&amp;"")</f>
        <v/>
      </c>
      <c r="K3198" s="52" t="str">
        <f aca="false">IF(L3198="","",E3198&amp;CHAR(10)&amp;INDEX(ポート振替表!$K$5:$K$3507,$L3198)&amp;" "&amp;INDEX(ポート振替表!$L$5:$L$3507,$L3198)&amp;CHAR(10)&amp;"⇔ "&amp;INDEX(ポート振替表!$H$5:$H$3507,$L3198)&amp;" "&amp;INDEX(ポート振替表!$I$5:$I$3507,$L3198))</f>
        <v/>
      </c>
      <c r="L3198" s="47" t="str">
        <f aca="false">IFERROR(MATCH(ROW()-4,ポート振替表!$V$5:$V$3507,0),"")</f>
        <v/>
      </c>
    </row>
    <row r="3199" customFormat="false" ht="16.4" hidden="false" customHeight="false" outlineLevel="0" collapsed="false">
      <c r="A3199" s="32" t="str">
        <f aca="false">IF(L3199="","",ROW()-4)</f>
        <v/>
      </c>
      <c r="B3199" s="58" t="str">
        <f aca="false">IF(L3199="","",IF(INDEX(ポート振替表!$W$5:$W$3507,$L3199)="","(なし)",INDEX(ポート振替表!$W$5:$W$3507,$L3199)&amp;""))</f>
        <v/>
      </c>
      <c r="C3199" s="52" t="str">
        <f aca="false">IF(L3199="","",INDEX(ポート振替表!$B$5:$B$3507,$L3199)&amp;" "&amp;INDEX(ポート振替表!$C$5:$C$3507,$L3199)&amp;"  ⇔  "&amp;INDEX(ポート振替表!$H$5:$H$3507,$L3199)&amp;" "&amp;INDEX(ポート振替表!$I$5:$I$3507,$L3199))</f>
        <v/>
      </c>
      <c r="D3199" s="57" t="s">
        <v>158</v>
      </c>
      <c r="E3199" s="59" t="str">
        <f aca="false">IF(L3199="","",IF(INDEX(ポート振替表!$O$5:$O$3507,$L3199)="","(未設定)",INDEX(ポート振替表!$O$5:$O$3507,$L3199)&amp;""))</f>
        <v/>
      </c>
      <c r="F3199" s="52" t="str">
        <f aca="false">IF(L3199="","",INDEX(ポート振替表!$K$5:$K$3507,$L3199)&amp;" "&amp;INDEX(ポート振替表!$L$5:$L$3507,$L3199)&amp;"  ⇔  "&amp;INDEX(ポート振替表!$H$5:$H$3507,$L3199)&amp;" "&amp;INDEX(ポート振替表!$I$5:$I$3507,$L3199))</f>
        <v/>
      </c>
      <c r="G3199" s="57" t="s">
        <v>158</v>
      </c>
      <c r="H3199" s="32" t="str">
        <f aca="false">IF(L3199="","",INDEX(ポート振替表!$N$5:$N$3507,$L3199)&amp;"")</f>
        <v/>
      </c>
      <c r="I3199" s="32" t="str">
        <f aca="false">IF(L3199="","",INDEX(ポート振替表!$P$5:$P$3507,$L3199)&amp;"")</f>
        <v/>
      </c>
      <c r="J3199" s="60" t="str">
        <f aca="false">IF(L3199="","",INDEX(ポート振替表!$M$5:$M$3507,$L3199)&amp;"")</f>
        <v/>
      </c>
      <c r="K3199" s="52" t="str">
        <f aca="false">IF(L3199="","",E3199&amp;CHAR(10)&amp;INDEX(ポート振替表!$K$5:$K$3507,$L3199)&amp;" "&amp;INDEX(ポート振替表!$L$5:$L$3507,$L3199)&amp;CHAR(10)&amp;"⇔ "&amp;INDEX(ポート振替表!$H$5:$H$3507,$L3199)&amp;" "&amp;INDEX(ポート振替表!$I$5:$I$3507,$L3199))</f>
        <v/>
      </c>
      <c r="L3199" s="47" t="str">
        <f aca="false">IFERROR(MATCH(ROW()-4,ポート振替表!$V$5:$V$3507,0),"")</f>
        <v/>
      </c>
    </row>
    <row r="3200" customFormat="false" ht="16.4" hidden="false" customHeight="false" outlineLevel="0" collapsed="false">
      <c r="A3200" s="32" t="str">
        <f aca="false">IF(L3200="","",ROW()-4)</f>
        <v/>
      </c>
      <c r="B3200" s="58" t="str">
        <f aca="false">IF(L3200="","",IF(INDEX(ポート振替表!$W$5:$W$3507,$L3200)="","(なし)",INDEX(ポート振替表!$W$5:$W$3507,$L3200)&amp;""))</f>
        <v/>
      </c>
      <c r="C3200" s="52" t="str">
        <f aca="false">IF(L3200="","",INDEX(ポート振替表!$B$5:$B$3507,$L3200)&amp;" "&amp;INDEX(ポート振替表!$C$5:$C$3507,$L3200)&amp;"  ⇔  "&amp;INDEX(ポート振替表!$H$5:$H$3507,$L3200)&amp;" "&amp;INDEX(ポート振替表!$I$5:$I$3507,$L3200))</f>
        <v/>
      </c>
      <c r="D3200" s="57" t="s">
        <v>158</v>
      </c>
      <c r="E3200" s="59" t="str">
        <f aca="false">IF(L3200="","",IF(INDEX(ポート振替表!$O$5:$O$3507,$L3200)="","(未設定)",INDEX(ポート振替表!$O$5:$O$3507,$L3200)&amp;""))</f>
        <v/>
      </c>
      <c r="F3200" s="52" t="str">
        <f aca="false">IF(L3200="","",INDEX(ポート振替表!$K$5:$K$3507,$L3200)&amp;" "&amp;INDEX(ポート振替表!$L$5:$L$3507,$L3200)&amp;"  ⇔  "&amp;INDEX(ポート振替表!$H$5:$H$3507,$L3200)&amp;" "&amp;INDEX(ポート振替表!$I$5:$I$3507,$L3200))</f>
        <v/>
      </c>
      <c r="G3200" s="57" t="s">
        <v>158</v>
      </c>
      <c r="H3200" s="32" t="str">
        <f aca="false">IF(L3200="","",INDEX(ポート振替表!$N$5:$N$3507,$L3200)&amp;"")</f>
        <v/>
      </c>
      <c r="I3200" s="32" t="str">
        <f aca="false">IF(L3200="","",INDEX(ポート振替表!$P$5:$P$3507,$L3200)&amp;"")</f>
        <v/>
      </c>
      <c r="J3200" s="60" t="str">
        <f aca="false">IF(L3200="","",INDEX(ポート振替表!$M$5:$M$3507,$L3200)&amp;"")</f>
        <v/>
      </c>
      <c r="K3200" s="52" t="str">
        <f aca="false">IF(L3200="","",E3200&amp;CHAR(10)&amp;INDEX(ポート振替表!$K$5:$K$3507,$L3200)&amp;" "&amp;INDEX(ポート振替表!$L$5:$L$3507,$L3200)&amp;CHAR(10)&amp;"⇔ "&amp;INDEX(ポート振替表!$H$5:$H$3507,$L3200)&amp;" "&amp;INDEX(ポート振替表!$I$5:$I$3507,$L3200))</f>
        <v/>
      </c>
      <c r="L3200" s="47" t="str">
        <f aca="false">IFERROR(MATCH(ROW()-4,ポート振替表!$V$5:$V$3507,0),"")</f>
        <v/>
      </c>
    </row>
    <row r="3201" customFormat="false" ht="16.4" hidden="false" customHeight="false" outlineLevel="0" collapsed="false">
      <c r="A3201" s="32" t="str">
        <f aca="false">IF(L3201="","",ROW()-4)</f>
        <v/>
      </c>
      <c r="B3201" s="58" t="str">
        <f aca="false">IF(L3201="","",IF(INDEX(ポート振替表!$W$5:$W$3507,$L3201)="","(なし)",INDEX(ポート振替表!$W$5:$W$3507,$L3201)&amp;""))</f>
        <v/>
      </c>
      <c r="C3201" s="52" t="str">
        <f aca="false">IF(L3201="","",INDEX(ポート振替表!$B$5:$B$3507,$L3201)&amp;" "&amp;INDEX(ポート振替表!$C$5:$C$3507,$L3201)&amp;"  ⇔  "&amp;INDEX(ポート振替表!$H$5:$H$3507,$L3201)&amp;" "&amp;INDEX(ポート振替表!$I$5:$I$3507,$L3201))</f>
        <v/>
      </c>
      <c r="D3201" s="57" t="s">
        <v>158</v>
      </c>
      <c r="E3201" s="59" t="str">
        <f aca="false">IF(L3201="","",IF(INDEX(ポート振替表!$O$5:$O$3507,$L3201)="","(未設定)",INDEX(ポート振替表!$O$5:$O$3507,$L3201)&amp;""))</f>
        <v/>
      </c>
      <c r="F3201" s="52" t="str">
        <f aca="false">IF(L3201="","",INDEX(ポート振替表!$K$5:$K$3507,$L3201)&amp;" "&amp;INDEX(ポート振替表!$L$5:$L$3507,$L3201)&amp;"  ⇔  "&amp;INDEX(ポート振替表!$H$5:$H$3507,$L3201)&amp;" "&amp;INDEX(ポート振替表!$I$5:$I$3507,$L3201))</f>
        <v/>
      </c>
      <c r="G3201" s="57" t="s">
        <v>158</v>
      </c>
      <c r="H3201" s="32" t="str">
        <f aca="false">IF(L3201="","",INDEX(ポート振替表!$N$5:$N$3507,$L3201)&amp;"")</f>
        <v/>
      </c>
      <c r="I3201" s="32" t="str">
        <f aca="false">IF(L3201="","",INDEX(ポート振替表!$P$5:$P$3507,$L3201)&amp;"")</f>
        <v/>
      </c>
      <c r="J3201" s="60" t="str">
        <f aca="false">IF(L3201="","",INDEX(ポート振替表!$M$5:$M$3507,$L3201)&amp;"")</f>
        <v/>
      </c>
      <c r="K3201" s="52" t="str">
        <f aca="false">IF(L3201="","",E3201&amp;CHAR(10)&amp;INDEX(ポート振替表!$K$5:$K$3507,$L3201)&amp;" "&amp;INDEX(ポート振替表!$L$5:$L$3507,$L3201)&amp;CHAR(10)&amp;"⇔ "&amp;INDEX(ポート振替表!$H$5:$H$3507,$L3201)&amp;" "&amp;INDEX(ポート振替表!$I$5:$I$3507,$L3201))</f>
        <v/>
      </c>
      <c r="L3201" s="47" t="str">
        <f aca="false">IFERROR(MATCH(ROW()-4,ポート振替表!$V$5:$V$3507,0),"")</f>
        <v/>
      </c>
    </row>
    <row r="3202" customFormat="false" ht="16.4" hidden="false" customHeight="false" outlineLevel="0" collapsed="false">
      <c r="A3202" s="32" t="str">
        <f aca="false">IF(L3202="","",ROW()-4)</f>
        <v/>
      </c>
      <c r="B3202" s="58" t="str">
        <f aca="false">IF(L3202="","",IF(INDEX(ポート振替表!$W$5:$W$3507,$L3202)="","(なし)",INDEX(ポート振替表!$W$5:$W$3507,$L3202)&amp;""))</f>
        <v/>
      </c>
      <c r="C3202" s="52" t="str">
        <f aca="false">IF(L3202="","",INDEX(ポート振替表!$B$5:$B$3507,$L3202)&amp;" "&amp;INDEX(ポート振替表!$C$5:$C$3507,$L3202)&amp;"  ⇔  "&amp;INDEX(ポート振替表!$H$5:$H$3507,$L3202)&amp;" "&amp;INDEX(ポート振替表!$I$5:$I$3507,$L3202))</f>
        <v/>
      </c>
      <c r="D3202" s="57" t="s">
        <v>158</v>
      </c>
      <c r="E3202" s="59" t="str">
        <f aca="false">IF(L3202="","",IF(INDEX(ポート振替表!$O$5:$O$3507,$L3202)="","(未設定)",INDEX(ポート振替表!$O$5:$O$3507,$L3202)&amp;""))</f>
        <v/>
      </c>
      <c r="F3202" s="52" t="str">
        <f aca="false">IF(L3202="","",INDEX(ポート振替表!$K$5:$K$3507,$L3202)&amp;" "&amp;INDEX(ポート振替表!$L$5:$L$3507,$L3202)&amp;"  ⇔  "&amp;INDEX(ポート振替表!$H$5:$H$3507,$L3202)&amp;" "&amp;INDEX(ポート振替表!$I$5:$I$3507,$L3202))</f>
        <v/>
      </c>
      <c r="G3202" s="57" t="s">
        <v>158</v>
      </c>
      <c r="H3202" s="32" t="str">
        <f aca="false">IF(L3202="","",INDEX(ポート振替表!$N$5:$N$3507,$L3202)&amp;"")</f>
        <v/>
      </c>
      <c r="I3202" s="32" t="str">
        <f aca="false">IF(L3202="","",INDEX(ポート振替表!$P$5:$P$3507,$L3202)&amp;"")</f>
        <v/>
      </c>
      <c r="J3202" s="60" t="str">
        <f aca="false">IF(L3202="","",INDEX(ポート振替表!$M$5:$M$3507,$L3202)&amp;"")</f>
        <v/>
      </c>
      <c r="K3202" s="52" t="str">
        <f aca="false">IF(L3202="","",E3202&amp;CHAR(10)&amp;INDEX(ポート振替表!$K$5:$K$3507,$L3202)&amp;" "&amp;INDEX(ポート振替表!$L$5:$L$3507,$L3202)&amp;CHAR(10)&amp;"⇔ "&amp;INDEX(ポート振替表!$H$5:$H$3507,$L3202)&amp;" "&amp;INDEX(ポート振替表!$I$5:$I$3507,$L3202))</f>
        <v/>
      </c>
      <c r="L3202" s="47" t="str">
        <f aca="false">IFERROR(MATCH(ROW()-4,ポート振替表!$V$5:$V$3507,0),"")</f>
        <v/>
      </c>
    </row>
    <row r="3203" customFormat="false" ht="16.4" hidden="false" customHeight="false" outlineLevel="0" collapsed="false">
      <c r="A3203" s="32" t="str">
        <f aca="false">IF(L3203="","",ROW()-4)</f>
        <v/>
      </c>
      <c r="B3203" s="58" t="str">
        <f aca="false">IF(L3203="","",IF(INDEX(ポート振替表!$W$5:$W$3507,$L3203)="","(なし)",INDEX(ポート振替表!$W$5:$W$3507,$L3203)&amp;""))</f>
        <v/>
      </c>
      <c r="C3203" s="52" t="str">
        <f aca="false">IF(L3203="","",INDEX(ポート振替表!$B$5:$B$3507,$L3203)&amp;" "&amp;INDEX(ポート振替表!$C$5:$C$3507,$L3203)&amp;"  ⇔  "&amp;INDEX(ポート振替表!$H$5:$H$3507,$L3203)&amp;" "&amp;INDEX(ポート振替表!$I$5:$I$3507,$L3203))</f>
        <v/>
      </c>
      <c r="D3203" s="57" t="s">
        <v>158</v>
      </c>
      <c r="E3203" s="59" t="str">
        <f aca="false">IF(L3203="","",IF(INDEX(ポート振替表!$O$5:$O$3507,$L3203)="","(未設定)",INDEX(ポート振替表!$O$5:$O$3507,$L3203)&amp;""))</f>
        <v/>
      </c>
      <c r="F3203" s="52" t="str">
        <f aca="false">IF(L3203="","",INDEX(ポート振替表!$K$5:$K$3507,$L3203)&amp;" "&amp;INDEX(ポート振替表!$L$5:$L$3507,$L3203)&amp;"  ⇔  "&amp;INDEX(ポート振替表!$H$5:$H$3507,$L3203)&amp;" "&amp;INDEX(ポート振替表!$I$5:$I$3507,$L3203))</f>
        <v/>
      </c>
      <c r="G3203" s="57" t="s">
        <v>158</v>
      </c>
      <c r="H3203" s="32" t="str">
        <f aca="false">IF(L3203="","",INDEX(ポート振替表!$N$5:$N$3507,$L3203)&amp;"")</f>
        <v/>
      </c>
      <c r="I3203" s="32" t="str">
        <f aca="false">IF(L3203="","",INDEX(ポート振替表!$P$5:$P$3507,$L3203)&amp;"")</f>
        <v/>
      </c>
      <c r="J3203" s="60" t="str">
        <f aca="false">IF(L3203="","",INDEX(ポート振替表!$M$5:$M$3507,$L3203)&amp;"")</f>
        <v/>
      </c>
      <c r="K3203" s="52" t="str">
        <f aca="false">IF(L3203="","",E3203&amp;CHAR(10)&amp;INDEX(ポート振替表!$K$5:$K$3507,$L3203)&amp;" "&amp;INDEX(ポート振替表!$L$5:$L$3507,$L3203)&amp;CHAR(10)&amp;"⇔ "&amp;INDEX(ポート振替表!$H$5:$H$3507,$L3203)&amp;" "&amp;INDEX(ポート振替表!$I$5:$I$3507,$L3203))</f>
        <v/>
      </c>
      <c r="L3203" s="47" t="str">
        <f aca="false">IFERROR(MATCH(ROW()-4,ポート振替表!$V$5:$V$3507,0),"")</f>
        <v/>
      </c>
    </row>
    <row r="3204" customFormat="false" ht="16.4" hidden="false" customHeight="false" outlineLevel="0" collapsed="false">
      <c r="A3204" s="32" t="str">
        <f aca="false">IF(L3204="","",ROW()-4)</f>
        <v/>
      </c>
      <c r="B3204" s="58" t="str">
        <f aca="false">IF(L3204="","",IF(INDEX(ポート振替表!$W$5:$W$3507,$L3204)="","(なし)",INDEX(ポート振替表!$W$5:$W$3507,$L3204)&amp;""))</f>
        <v/>
      </c>
      <c r="C3204" s="52" t="str">
        <f aca="false">IF(L3204="","",INDEX(ポート振替表!$B$5:$B$3507,$L3204)&amp;" "&amp;INDEX(ポート振替表!$C$5:$C$3507,$L3204)&amp;"  ⇔  "&amp;INDEX(ポート振替表!$H$5:$H$3507,$L3204)&amp;" "&amp;INDEX(ポート振替表!$I$5:$I$3507,$L3204))</f>
        <v/>
      </c>
      <c r="D3204" s="57" t="s">
        <v>158</v>
      </c>
      <c r="E3204" s="59" t="str">
        <f aca="false">IF(L3204="","",IF(INDEX(ポート振替表!$O$5:$O$3507,$L3204)="","(未設定)",INDEX(ポート振替表!$O$5:$O$3507,$L3204)&amp;""))</f>
        <v/>
      </c>
      <c r="F3204" s="52" t="str">
        <f aca="false">IF(L3204="","",INDEX(ポート振替表!$K$5:$K$3507,$L3204)&amp;" "&amp;INDEX(ポート振替表!$L$5:$L$3507,$L3204)&amp;"  ⇔  "&amp;INDEX(ポート振替表!$H$5:$H$3507,$L3204)&amp;" "&amp;INDEX(ポート振替表!$I$5:$I$3507,$L3204))</f>
        <v/>
      </c>
      <c r="G3204" s="57" t="s">
        <v>158</v>
      </c>
      <c r="H3204" s="32" t="str">
        <f aca="false">IF(L3204="","",INDEX(ポート振替表!$N$5:$N$3507,$L3204)&amp;"")</f>
        <v/>
      </c>
      <c r="I3204" s="32" t="str">
        <f aca="false">IF(L3204="","",INDEX(ポート振替表!$P$5:$P$3507,$L3204)&amp;"")</f>
        <v/>
      </c>
      <c r="J3204" s="60" t="str">
        <f aca="false">IF(L3204="","",INDEX(ポート振替表!$M$5:$M$3507,$L3204)&amp;"")</f>
        <v/>
      </c>
      <c r="K3204" s="52" t="str">
        <f aca="false">IF(L3204="","",E3204&amp;CHAR(10)&amp;INDEX(ポート振替表!$K$5:$K$3507,$L3204)&amp;" "&amp;INDEX(ポート振替表!$L$5:$L$3507,$L3204)&amp;CHAR(10)&amp;"⇔ "&amp;INDEX(ポート振替表!$H$5:$H$3507,$L3204)&amp;" "&amp;INDEX(ポート振替表!$I$5:$I$3507,$L3204))</f>
        <v/>
      </c>
      <c r="L3204" s="47" t="str">
        <f aca="false">IFERROR(MATCH(ROW()-4,ポート振替表!$V$5:$V$3507,0),"")</f>
        <v/>
      </c>
    </row>
    <row r="3205" customFormat="false" ht="16.4" hidden="false" customHeight="false" outlineLevel="0" collapsed="false">
      <c r="A3205" s="32" t="str">
        <f aca="false">IF(L3205="","",ROW()-4)</f>
        <v/>
      </c>
      <c r="B3205" s="58" t="str">
        <f aca="false">IF(L3205="","",IF(INDEX(ポート振替表!$W$5:$W$3507,$L3205)="","(なし)",INDEX(ポート振替表!$W$5:$W$3507,$L3205)&amp;""))</f>
        <v/>
      </c>
      <c r="C3205" s="52" t="str">
        <f aca="false">IF(L3205="","",INDEX(ポート振替表!$B$5:$B$3507,$L3205)&amp;" "&amp;INDEX(ポート振替表!$C$5:$C$3507,$L3205)&amp;"  ⇔  "&amp;INDEX(ポート振替表!$H$5:$H$3507,$L3205)&amp;" "&amp;INDEX(ポート振替表!$I$5:$I$3507,$L3205))</f>
        <v/>
      </c>
      <c r="D3205" s="57" t="s">
        <v>158</v>
      </c>
      <c r="E3205" s="59" t="str">
        <f aca="false">IF(L3205="","",IF(INDEX(ポート振替表!$O$5:$O$3507,$L3205)="","(未設定)",INDEX(ポート振替表!$O$5:$O$3507,$L3205)&amp;""))</f>
        <v/>
      </c>
      <c r="F3205" s="52" t="str">
        <f aca="false">IF(L3205="","",INDEX(ポート振替表!$K$5:$K$3507,$L3205)&amp;" "&amp;INDEX(ポート振替表!$L$5:$L$3507,$L3205)&amp;"  ⇔  "&amp;INDEX(ポート振替表!$H$5:$H$3507,$L3205)&amp;" "&amp;INDEX(ポート振替表!$I$5:$I$3507,$L3205))</f>
        <v/>
      </c>
      <c r="G3205" s="57" t="s">
        <v>158</v>
      </c>
      <c r="H3205" s="32" t="str">
        <f aca="false">IF(L3205="","",INDEX(ポート振替表!$N$5:$N$3507,$L3205)&amp;"")</f>
        <v/>
      </c>
      <c r="I3205" s="32" t="str">
        <f aca="false">IF(L3205="","",INDEX(ポート振替表!$P$5:$P$3507,$L3205)&amp;"")</f>
        <v/>
      </c>
      <c r="J3205" s="60" t="str">
        <f aca="false">IF(L3205="","",INDEX(ポート振替表!$M$5:$M$3507,$L3205)&amp;"")</f>
        <v/>
      </c>
      <c r="K3205" s="52" t="str">
        <f aca="false">IF(L3205="","",E3205&amp;CHAR(10)&amp;INDEX(ポート振替表!$K$5:$K$3507,$L3205)&amp;" "&amp;INDEX(ポート振替表!$L$5:$L$3507,$L3205)&amp;CHAR(10)&amp;"⇔ "&amp;INDEX(ポート振替表!$H$5:$H$3507,$L3205)&amp;" "&amp;INDEX(ポート振替表!$I$5:$I$3507,$L3205))</f>
        <v/>
      </c>
      <c r="L3205" s="47" t="str">
        <f aca="false">IFERROR(MATCH(ROW()-4,ポート振替表!$V$5:$V$3507,0),"")</f>
        <v/>
      </c>
    </row>
    <row r="3206" customFormat="false" ht="16.4" hidden="false" customHeight="false" outlineLevel="0" collapsed="false">
      <c r="A3206" s="32" t="str">
        <f aca="false">IF(L3206="","",ROW()-4)</f>
        <v/>
      </c>
      <c r="B3206" s="58" t="str">
        <f aca="false">IF(L3206="","",IF(INDEX(ポート振替表!$W$5:$W$3507,$L3206)="","(なし)",INDEX(ポート振替表!$W$5:$W$3507,$L3206)&amp;""))</f>
        <v/>
      </c>
      <c r="C3206" s="52" t="str">
        <f aca="false">IF(L3206="","",INDEX(ポート振替表!$B$5:$B$3507,$L3206)&amp;" "&amp;INDEX(ポート振替表!$C$5:$C$3507,$L3206)&amp;"  ⇔  "&amp;INDEX(ポート振替表!$H$5:$H$3507,$L3206)&amp;" "&amp;INDEX(ポート振替表!$I$5:$I$3507,$L3206))</f>
        <v/>
      </c>
      <c r="D3206" s="57" t="s">
        <v>158</v>
      </c>
      <c r="E3206" s="59" t="str">
        <f aca="false">IF(L3206="","",IF(INDEX(ポート振替表!$O$5:$O$3507,$L3206)="","(未設定)",INDEX(ポート振替表!$O$5:$O$3507,$L3206)&amp;""))</f>
        <v/>
      </c>
      <c r="F3206" s="52" t="str">
        <f aca="false">IF(L3206="","",INDEX(ポート振替表!$K$5:$K$3507,$L3206)&amp;" "&amp;INDEX(ポート振替表!$L$5:$L$3507,$L3206)&amp;"  ⇔  "&amp;INDEX(ポート振替表!$H$5:$H$3507,$L3206)&amp;" "&amp;INDEX(ポート振替表!$I$5:$I$3507,$L3206))</f>
        <v/>
      </c>
      <c r="G3206" s="57" t="s">
        <v>158</v>
      </c>
      <c r="H3206" s="32" t="str">
        <f aca="false">IF(L3206="","",INDEX(ポート振替表!$N$5:$N$3507,$L3206)&amp;"")</f>
        <v/>
      </c>
      <c r="I3206" s="32" t="str">
        <f aca="false">IF(L3206="","",INDEX(ポート振替表!$P$5:$P$3507,$L3206)&amp;"")</f>
        <v/>
      </c>
      <c r="J3206" s="60" t="str">
        <f aca="false">IF(L3206="","",INDEX(ポート振替表!$M$5:$M$3507,$L3206)&amp;"")</f>
        <v/>
      </c>
      <c r="K3206" s="52" t="str">
        <f aca="false">IF(L3206="","",E3206&amp;CHAR(10)&amp;INDEX(ポート振替表!$K$5:$K$3507,$L3206)&amp;" "&amp;INDEX(ポート振替表!$L$5:$L$3507,$L3206)&amp;CHAR(10)&amp;"⇔ "&amp;INDEX(ポート振替表!$H$5:$H$3507,$L3206)&amp;" "&amp;INDEX(ポート振替表!$I$5:$I$3507,$L3206))</f>
        <v/>
      </c>
      <c r="L3206" s="47" t="str">
        <f aca="false">IFERROR(MATCH(ROW()-4,ポート振替表!$V$5:$V$3507,0),"")</f>
        <v/>
      </c>
    </row>
    <row r="3207" customFormat="false" ht="16.4" hidden="false" customHeight="false" outlineLevel="0" collapsed="false">
      <c r="A3207" s="32" t="str">
        <f aca="false">IF(L3207="","",ROW()-4)</f>
        <v/>
      </c>
      <c r="B3207" s="58" t="str">
        <f aca="false">IF(L3207="","",IF(INDEX(ポート振替表!$W$5:$W$3507,$L3207)="","(なし)",INDEX(ポート振替表!$W$5:$W$3507,$L3207)&amp;""))</f>
        <v/>
      </c>
      <c r="C3207" s="52" t="str">
        <f aca="false">IF(L3207="","",INDEX(ポート振替表!$B$5:$B$3507,$L3207)&amp;" "&amp;INDEX(ポート振替表!$C$5:$C$3507,$L3207)&amp;"  ⇔  "&amp;INDEX(ポート振替表!$H$5:$H$3507,$L3207)&amp;" "&amp;INDEX(ポート振替表!$I$5:$I$3507,$L3207))</f>
        <v/>
      </c>
      <c r="D3207" s="57" t="s">
        <v>158</v>
      </c>
      <c r="E3207" s="59" t="str">
        <f aca="false">IF(L3207="","",IF(INDEX(ポート振替表!$O$5:$O$3507,$L3207)="","(未設定)",INDEX(ポート振替表!$O$5:$O$3507,$L3207)&amp;""))</f>
        <v/>
      </c>
      <c r="F3207" s="52" t="str">
        <f aca="false">IF(L3207="","",INDEX(ポート振替表!$K$5:$K$3507,$L3207)&amp;" "&amp;INDEX(ポート振替表!$L$5:$L$3507,$L3207)&amp;"  ⇔  "&amp;INDEX(ポート振替表!$H$5:$H$3507,$L3207)&amp;" "&amp;INDEX(ポート振替表!$I$5:$I$3507,$L3207))</f>
        <v/>
      </c>
      <c r="G3207" s="57" t="s">
        <v>158</v>
      </c>
      <c r="H3207" s="32" t="str">
        <f aca="false">IF(L3207="","",INDEX(ポート振替表!$N$5:$N$3507,$L3207)&amp;"")</f>
        <v/>
      </c>
      <c r="I3207" s="32" t="str">
        <f aca="false">IF(L3207="","",INDEX(ポート振替表!$P$5:$P$3507,$L3207)&amp;"")</f>
        <v/>
      </c>
      <c r="J3207" s="60" t="str">
        <f aca="false">IF(L3207="","",INDEX(ポート振替表!$M$5:$M$3507,$L3207)&amp;"")</f>
        <v/>
      </c>
      <c r="K3207" s="52" t="str">
        <f aca="false">IF(L3207="","",E3207&amp;CHAR(10)&amp;INDEX(ポート振替表!$K$5:$K$3507,$L3207)&amp;" "&amp;INDEX(ポート振替表!$L$5:$L$3507,$L3207)&amp;CHAR(10)&amp;"⇔ "&amp;INDEX(ポート振替表!$H$5:$H$3507,$L3207)&amp;" "&amp;INDEX(ポート振替表!$I$5:$I$3507,$L3207))</f>
        <v/>
      </c>
      <c r="L3207" s="47" t="str">
        <f aca="false">IFERROR(MATCH(ROW()-4,ポート振替表!$V$5:$V$3507,0),"")</f>
        <v/>
      </c>
    </row>
    <row r="3208" customFormat="false" ht="16.4" hidden="false" customHeight="false" outlineLevel="0" collapsed="false">
      <c r="A3208" s="32" t="str">
        <f aca="false">IF(L3208="","",ROW()-4)</f>
        <v/>
      </c>
      <c r="B3208" s="58" t="str">
        <f aca="false">IF(L3208="","",IF(INDEX(ポート振替表!$W$5:$W$3507,$L3208)="","(なし)",INDEX(ポート振替表!$W$5:$W$3507,$L3208)&amp;""))</f>
        <v/>
      </c>
      <c r="C3208" s="52" t="str">
        <f aca="false">IF(L3208="","",INDEX(ポート振替表!$B$5:$B$3507,$L3208)&amp;" "&amp;INDEX(ポート振替表!$C$5:$C$3507,$L3208)&amp;"  ⇔  "&amp;INDEX(ポート振替表!$H$5:$H$3507,$L3208)&amp;" "&amp;INDEX(ポート振替表!$I$5:$I$3507,$L3208))</f>
        <v/>
      </c>
      <c r="D3208" s="57" t="s">
        <v>158</v>
      </c>
      <c r="E3208" s="59" t="str">
        <f aca="false">IF(L3208="","",IF(INDEX(ポート振替表!$O$5:$O$3507,$L3208)="","(未設定)",INDEX(ポート振替表!$O$5:$O$3507,$L3208)&amp;""))</f>
        <v/>
      </c>
      <c r="F3208" s="52" t="str">
        <f aca="false">IF(L3208="","",INDEX(ポート振替表!$K$5:$K$3507,$L3208)&amp;" "&amp;INDEX(ポート振替表!$L$5:$L$3507,$L3208)&amp;"  ⇔  "&amp;INDEX(ポート振替表!$H$5:$H$3507,$L3208)&amp;" "&amp;INDEX(ポート振替表!$I$5:$I$3507,$L3208))</f>
        <v/>
      </c>
      <c r="G3208" s="57" t="s">
        <v>158</v>
      </c>
      <c r="H3208" s="32" t="str">
        <f aca="false">IF(L3208="","",INDEX(ポート振替表!$N$5:$N$3507,$L3208)&amp;"")</f>
        <v/>
      </c>
      <c r="I3208" s="32" t="str">
        <f aca="false">IF(L3208="","",INDEX(ポート振替表!$P$5:$P$3507,$L3208)&amp;"")</f>
        <v/>
      </c>
      <c r="J3208" s="60" t="str">
        <f aca="false">IF(L3208="","",INDEX(ポート振替表!$M$5:$M$3507,$L3208)&amp;"")</f>
        <v/>
      </c>
      <c r="K3208" s="52" t="str">
        <f aca="false">IF(L3208="","",E3208&amp;CHAR(10)&amp;INDEX(ポート振替表!$K$5:$K$3507,$L3208)&amp;" "&amp;INDEX(ポート振替表!$L$5:$L$3507,$L3208)&amp;CHAR(10)&amp;"⇔ "&amp;INDEX(ポート振替表!$H$5:$H$3507,$L3208)&amp;" "&amp;INDEX(ポート振替表!$I$5:$I$3507,$L3208))</f>
        <v/>
      </c>
      <c r="L3208" s="47" t="str">
        <f aca="false">IFERROR(MATCH(ROW()-4,ポート振替表!$V$5:$V$3507,0),"")</f>
        <v/>
      </c>
    </row>
    <row r="3209" customFormat="false" ht="16.4" hidden="false" customHeight="false" outlineLevel="0" collapsed="false">
      <c r="A3209" s="32" t="str">
        <f aca="false">IF(L3209="","",ROW()-4)</f>
        <v/>
      </c>
      <c r="B3209" s="58" t="str">
        <f aca="false">IF(L3209="","",IF(INDEX(ポート振替表!$W$5:$W$3507,$L3209)="","(なし)",INDEX(ポート振替表!$W$5:$W$3507,$L3209)&amp;""))</f>
        <v/>
      </c>
      <c r="C3209" s="52" t="str">
        <f aca="false">IF(L3209="","",INDEX(ポート振替表!$B$5:$B$3507,$L3209)&amp;" "&amp;INDEX(ポート振替表!$C$5:$C$3507,$L3209)&amp;"  ⇔  "&amp;INDEX(ポート振替表!$H$5:$H$3507,$L3209)&amp;" "&amp;INDEX(ポート振替表!$I$5:$I$3507,$L3209))</f>
        <v/>
      </c>
      <c r="D3209" s="57" t="s">
        <v>158</v>
      </c>
      <c r="E3209" s="59" t="str">
        <f aca="false">IF(L3209="","",IF(INDEX(ポート振替表!$O$5:$O$3507,$L3209)="","(未設定)",INDEX(ポート振替表!$O$5:$O$3507,$L3209)&amp;""))</f>
        <v/>
      </c>
      <c r="F3209" s="52" t="str">
        <f aca="false">IF(L3209="","",INDEX(ポート振替表!$K$5:$K$3507,$L3209)&amp;" "&amp;INDEX(ポート振替表!$L$5:$L$3507,$L3209)&amp;"  ⇔  "&amp;INDEX(ポート振替表!$H$5:$H$3507,$L3209)&amp;" "&amp;INDEX(ポート振替表!$I$5:$I$3507,$L3209))</f>
        <v/>
      </c>
      <c r="G3209" s="57" t="s">
        <v>158</v>
      </c>
      <c r="H3209" s="32" t="str">
        <f aca="false">IF(L3209="","",INDEX(ポート振替表!$N$5:$N$3507,$L3209)&amp;"")</f>
        <v/>
      </c>
      <c r="I3209" s="32" t="str">
        <f aca="false">IF(L3209="","",INDEX(ポート振替表!$P$5:$P$3507,$L3209)&amp;"")</f>
        <v/>
      </c>
      <c r="J3209" s="60" t="str">
        <f aca="false">IF(L3209="","",INDEX(ポート振替表!$M$5:$M$3507,$L3209)&amp;"")</f>
        <v/>
      </c>
      <c r="K3209" s="52" t="str">
        <f aca="false">IF(L3209="","",E3209&amp;CHAR(10)&amp;INDEX(ポート振替表!$K$5:$K$3507,$L3209)&amp;" "&amp;INDEX(ポート振替表!$L$5:$L$3507,$L3209)&amp;CHAR(10)&amp;"⇔ "&amp;INDEX(ポート振替表!$H$5:$H$3507,$L3209)&amp;" "&amp;INDEX(ポート振替表!$I$5:$I$3507,$L3209))</f>
        <v/>
      </c>
      <c r="L3209" s="47" t="str">
        <f aca="false">IFERROR(MATCH(ROW()-4,ポート振替表!$V$5:$V$3507,0),"")</f>
        <v/>
      </c>
    </row>
    <row r="3210" customFormat="false" ht="16.4" hidden="false" customHeight="false" outlineLevel="0" collapsed="false">
      <c r="A3210" s="32" t="str">
        <f aca="false">IF(L3210="","",ROW()-4)</f>
        <v/>
      </c>
      <c r="B3210" s="58" t="str">
        <f aca="false">IF(L3210="","",IF(INDEX(ポート振替表!$W$5:$W$3507,$L3210)="","(なし)",INDEX(ポート振替表!$W$5:$W$3507,$L3210)&amp;""))</f>
        <v/>
      </c>
      <c r="C3210" s="52" t="str">
        <f aca="false">IF(L3210="","",INDEX(ポート振替表!$B$5:$B$3507,$L3210)&amp;" "&amp;INDEX(ポート振替表!$C$5:$C$3507,$L3210)&amp;"  ⇔  "&amp;INDEX(ポート振替表!$H$5:$H$3507,$L3210)&amp;" "&amp;INDEX(ポート振替表!$I$5:$I$3507,$L3210))</f>
        <v/>
      </c>
      <c r="D3210" s="57" t="s">
        <v>158</v>
      </c>
      <c r="E3210" s="59" t="str">
        <f aca="false">IF(L3210="","",IF(INDEX(ポート振替表!$O$5:$O$3507,$L3210)="","(未設定)",INDEX(ポート振替表!$O$5:$O$3507,$L3210)&amp;""))</f>
        <v/>
      </c>
      <c r="F3210" s="52" t="str">
        <f aca="false">IF(L3210="","",INDEX(ポート振替表!$K$5:$K$3507,$L3210)&amp;" "&amp;INDEX(ポート振替表!$L$5:$L$3507,$L3210)&amp;"  ⇔  "&amp;INDEX(ポート振替表!$H$5:$H$3507,$L3210)&amp;" "&amp;INDEX(ポート振替表!$I$5:$I$3507,$L3210))</f>
        <v/>
      </c>
      <c r="G3210" s="57" t="s">
        <v>158</v>
      </c>
      <c r="H3210" s="32" t="str">
        <f aca="false">IF(L3210="","",INDEX(ポート振替表!$N$5:$N$3507,$L3210)&amp;"")</f>
        <v/>
      </c>
      <c r="I3210" s="32" t="str">
        <f aca="false">IF(L3210="","",INDEX(ポート振替表!$P$5:$P$3507,$L3210)&amp;"")</f>
        <v/>
      </c>
      <c r="J3210" s="60" t="str">
        <f aca="false">IF(L3210="","",INDEX(ポート振替表!$M$5:$M$3507,$L3210)&amp;"")</f>
        <v/>
      </c>
      <c r="K3210" s="52" t="str">
        <f aca="false">IF(L3210="","",E3210&amp;CHAR(10)&amp;INDEX(ポート振替表!$K$5:$K$3507,$L3210)&amp;" "&amp;INDEX(ポート振替表!$L$5:$L$3507,$L3210)&amp;CHAR(10)&amp;"⇔ "&amp;INDEX(ポート振替表!$H$5:$H$3507,$L3210)&amp;" "&amp;INDEX(ポート振替表!$I$5:$I$3507,$L3210))</f>
        <v/>
      </c>
      <c r="L3210" s="47" t="str">
        <f aca="false">IFERROR(MATCH(ROW()-4,ポート振替表!$V$5:$V$3507,0),"")</f>
        <v/>
      </c>
    </row>
    <row r="3211" customFormat="false" ht="16.4" hidden="false" customHeight="false" outlineLevel="0" collapsed="false">
      <c r="A3211" s="32" t="str">
        <f aca="false">IF(L3211="","",ROW()-4)</f>
        <v/>
      </c>
      <c r="B3211" s="58" t="str">
        <f aca="false">IF(L3211="","",IF(INDEX(ポート振替表!$W$5:$W$3507,$L3211)="","(なし)",INDEX(ポート振替表!$W$5:$W$3507,$L3211)&amp;""))</f>
        <v/>
      </c>
      <c r="C3211" s="52" t="str">
        <f aca="false">IF(L3211="","",INDEX(ポート振替表!$B$5:$B$3507,$L3211)&amp;" "&amp;INDEX(ポート振替表!$C$5:$C$3507,$L3211)&amp;"  ⇔  "&amp;INDEX(ポート振替表!$H$5:$H$3507,$L3211)&amp;" "&amp;INDEX(ポート振替表!$I$5:$I$3507,$L3211))</f>
        <v/>
      </c>
      <c r="D3211" s="57" t="s">
        <v>158</v>
      </c>
      <c r="E3211" s="59" t="str">
        <f aca="false">IF(L3211="","",IF(INDEX(ポート振替表!$O$5:$O$3507,$L3211)="","(未設定)",INDEX(ポート振替表!$O$5:$O$3507,$L3211)&amp;""))</f>
        <v/>
      </c>
      <c r="F3211" s="52" t="str">
        <f aca="false">IF(L3211="","",INDEX(ポート振替表!$K$5:$K$3507,$L3211)&amp;" "&amp;INDEX(ポート振替表!$L$5:$L$3507,$L3211)&amp;"  ⇔  "&amp;INDEX(ポート振替表!$H$5:$H$3507,$L3211)&amp;" "&amp;INDEX(ポート振替表!$I$5:$I$3507,$L3211))</f>
        <v/>
      </c>
      <c r="G3211" s="57" t="s">
        <v>158</v>
      </c>
      <c r="H3211" s="32" t="str">
        <f aca="false">IF(L3211="","",INDEX(ポート振替表!$N$5:$N$3507,$L3211)&amp;"")</f>
        <v/>
      </c>
      <c r="I3211" s="32" t="str">
        <f aca="false">IF(L3211="","",INDEX(ポート振替表!$P$5:$P$3507,$L3211)&amp;"")</f>
        <v/>
      </c>
      <c r="J3211" s="60" t="str">
        <f aca="false">IF(L3211="","",INDEX(ポート振替表!$M$5:$M$3507,$L3211)&amp;"")</f>
        <v/>
      </c>
      <c r="K3211" s="52" t="str">
        <f aca="false">IF(L3211="","",E3211&amp;CHAR(10)&amp;INDEX(ポート振替表!$K$5:$K$3507,$L3211)&amp;" "&amp;INDEX(ポート振替表!$L$5:$L$3507,$L3211)&amp;CHAR(10)&amp;"⇔ "&amp;INDEX(ポート振替表!$H$5:$H$3507,$L3211)&amp;" "&amp;INDEX(ポート振替表!$I$5:$I$3507,$L3211))</f>
        <v/>
      </c>
      <c r="L3211" s="47" t="str">
        <f aca="false">IFERROR(MATCH(ROW()-4,ポート振替表!$V$5:$V$3507,0),"")</f>
        <v/>
      </c>
    </row>
    <row r="3212" customFormat="false" ht="16.4" hidden="false" customHeight="false" outlineLevel="0" collapsed="false">
      <c r="A3212" s="32" t="str">
        <f aca="false">IF(L3212="","",ROW()-4)</f>
        <v/>
      </c>
      <c r="B3212" s="58" t="str">
        <f aca="false">IF(L3212="","",IF(INDEX(ポート振替表!$W$5:$W$3507,$L3212)="","(なし)",INDEX(ポート振替表!$W$5:$W$3507,$L3212)&amp;""))</f>
        <v/>
      </c>
      <c r="C3212" s="52" t="str">
        <f aca="false">IF(L3212="","",INDEX(ポート振替表!$B$5:$B$3507,$L3212)&amp;" "&amp;INDEX(ポート振替表!$C$5:$C$3507,$L3212)&amp;"  ⇔  "&amp;INDEX(ポート振替表!$H$5:$H$3507,$L3212)&amp;" "&amp;INDEX(ポート振替表!$I$5:$I$3507,$L3212))</f>
        <v/>
      </c>
      <c r="D3212" s="57" t="s">
        <v>158</v>
      </c>
      <c r="E3212" s="59" t="str">
        <f aca="false">IF(L3212="","",IF(INDEX(ポート振替表!$O$5:$O$3507,$L3212)="","(未設定)",INDEX(ポート振替表!$O$5:$O$3507,$L3212)&amp;""))</f>
        <v/>
      </c>
      <c r="F3212" s="52" t="str">
        <f aca="false">IF(L3212="","",INDEX(ポート振替表!$K$5:$K$3507,$L3212)&amp;" "&amp;INDEX(ポート振替表!$L$5:$L$3507,$L3212)&amp;"  ⇔  "&amp;INDEX(ポート振替表!$H$5:$H$3507,$L3212)&amp;" "&amp;INDEX(ポート振替表!$I$5:$I$3507,$L3212))</f>
        <v/>
      </c>
      <c r="G3212" s="57" t="s">
        <v>158</v>
      </c>
      <c r="H3212" s="32" t="str">
        <f aca="false">IF(L3212="","",INDEX(ポート振替表!$N$5:$N$3507,$L3212)&amp;"")</f>
        <v/>
      </c>
      <c r="I3212" s="32" t="str">
        <f aca="false">IF(L3212="","",INDEX(ポート振替表!$P$5:$P$3507,$L3212)&amp;"")</f>
        <v/>
      </c>
      <c r="J3212" s="60" t="str">
        <f aca="false">IF(L3212="","",INDEX(ポート振替表!$M$5:$M$3507,$L3212)&amp;"")</f>
        <v/>
      </c>
      <c r="K3212" s="52" t="str">
        <f aca="false">IF(L3212="","",E3212&amp;CHAR(10)&amp;INDEX(ポート振替表!$K$5:$K$3507,$L3212)&amp;" "&amp;INDEX(ポート振替表!$L$5:$L$3507,$L3212)&amp;CHAR(10)&amp;"⇔ "&amp;INDEX(ポート振替表!$H$5:$H$3507,$L3212)&amp;" "&amp;INDEX(ポート振替表!$I$5:$I$3507,$L3212))</f>
        <v/>
      </c>
      <c r="L3212" s="47" t="str">
        <f aca="false">IFERROR(MATCH(ROW()-4,ポート振替表!$V$5:$V$3507,0),"")</f>
        <v/>
      </c>
    </row>
    <row r="3213" customFormat="false" ht="16.4" hidden="false" customHeight="false" outlineLevel="0" collapsed="false">
      <c r="A3213" s="32" t="str">
        <f aca="false">IF(L3213="","",ROW()-4)</f>
        <v/>
      </c>
      <c r="B3213" s="58" t="str">
        <f aca="false">IF(L3213="","",IF(INDEX(ポート振替表!$W$5:$W$3507,$L3213)="","(なし)",INDEX(ポート振替表!$W$5:$W$3507,$L3213)&amp;""))</f>
        <v/>
      </c>
      <c r="C3213" s="52" t="str">
        <f aca="false">IF(L3213="","",INDEX(ポート振替表!$B$5:$B$3507,$L3213)&amp;" "&amp;INDEX(ポート振替表!$C$5:$C$3507,$L3213)&amp;"  ⇔  "&amp;INDEX(ポート振替表!$H$5:$H$3507,$L3213)&amp;" "&amp;INDEX(ポート振替表!$I$5:$I$3507,$L3213))</f>
        <v/>
      </c>
      <c r="D3213" s="57" t="s">
        <v>158</v>
      </c>
      <c r="E3213" s="59" t="str">
        <f aca="false">IF(L3213="","",IF(INDEX(ポート振替表!$O$5:$O$3507,$L3213)="","(未設定)",INDEX(ポート振替表!$O$5:$O$3507,$L3213)&amp;""))</f>
        <v/>
      </c>
      <c r="F3213" s="52" t="str">
        <f aca="false">IF(L3213="","",INDEX(ポート振替表!$K$5:$K$3507,$L3213)&amp;" "&amp;INDEX(ポート振替表!$L$5:$L$3507,$L3213)&amp;"  ⇔  "&amp;INDEX(ポート振替表!$H$5:$H$3507,$L3213)&amp;" "&amp;INDEX(ポート振替表!$I$5:$I$3507,$L3213))</f>
        <v/>
      </c>
      <c r="G3213" s="57" t="s">
        <v>158</v>
      </c>
      <c r="H3213" s="32" t="str">
        <f aca="false">IF(L3213="","",INDEX(ポート振替表!$N$5:$N$3507,$L3213)&amp;"")</f>
        <v/>
      </c>
      <c r="I3213" s="32" t="str">
        <f aca="false">IF(L3213="","",INDEX(ポート振替表!$P$5:$P$3507,$L3213)&amp;"")</f>
        <v/>
      </c>
      <c r="J3213" s="60" t="str">
        <f aca="false">IF(L3213="","",INDEX(ポート振替表!$M$5:$M$3507,$L3213)&amp;"")</f>
        <v/>
      </c>
      <c r="K3213" s="52" t="str">
        <f aca="false">IF(L3213="","",E3213&amp;CHAR(10)&amp;INDEX(ポート振替表!$K$5:$K$3507,$L3213)&amp;" "&amp;INDEX(ポート振替表!$L$5:$L$3507,$L3213)&amp;CHAR(10)&amp;"⇔ "&amp;INDEX(ポート振替表!$H$5:$H$3507,$L3213)&amp;" "&amp;INDEX(ポート振替表!$I$5:$I$3507,$L3213))</f>
        <v/>
      </c>
      <c r="L3213" s="47" t="str">
        <f aca="false">IFERROR(MATCH(ROW()-4,ポート振替表!$V$5:$V$3507,0),"")</f>
        <v/>
      </c>
    </row>
    <row r="3214" customFormat="false" ht="16.4" hidden="false" customHeight="false" outlineLevel="0" collapsed="false">
      <c r="A3214" s="32" t="str">
        <f aca="false">IF(L3214="","",ROW()-4)</f>
        <v/>
      </c>
      <c r="B3214" s="58" t="str">
        <f aca="false">IF(L3214="","",IF(INDEX(ポート振替表!$W$5:$W$3507,$L3214)="","(なし)",INDEX(ポート振替表!$W$5:$W$3507,$L3214)&amp;""))</f>
        <v/>
      </c>
      <c r="C3214" s="52" t="str">
        <f aca="false">IF(L3214="","",INDEX(ポート振替表!$B$5:$B$3507,$L3214)&amp;" "&amp;INDEX(ポート振替表!$C$5:$C$3507,$L3214)&amp;"  ⇔  "&amp;INDEX(ポート振替表!$H$5:$H$3507,$L3214)&amp;" "&amp;INDEX(ポート振替表!$I$5:$I$3507,$L3214))</f>
        <v/>
      </c>
      <c r="D3214" s="57" t="s">
        <v>158</v>
      </c>
      <c r="E3214" s="59" t="str">
        <f aca="false">IF(L3214="","",IF(INDEX(ポート振替表!$O$5:$O$3507,$L3214)="","(未設定)",INDEX(ポート振替表!$O$5:$O$3507,$L3214)&amp;""))</f>
        <v/>
      </c>
      <c r="F3214" s="52" t="str">
        <f aca="false">IF(L3214="","",INDEX(ポート振替表!$K$5:$K$3507,$L3214)&amp;" "&amp;INDEX(ポート振替表!$L$5:$L$3507,$L3214)&amp;"  ⇔  "&amp;INDEX(ポート振替表!$H$5:$H$3507,$L3214)&amp;" "&amp;INDEX(ポート振替表!$I$5:$I$3507,$L3214))</f>
        <v/>
      </c>
      <c r="G3214" s="57" t="s">
        <v>158</v>
      </c>
      <c r="H3214" s="32" t="str">
        <f aca="false">IF(L3214="","",INDEX(ポート振替表!$N$5:$N$3507,$L3214)&amp;"")</f>
        <v/>
      </c>
      <c r="I3214" s="32" t="str">
        <f aca="false">IF(L3214="","",INDEX(ポート振替表!$P$5:$P$3507,$L3214)&amp;"")</f>
        <v/>
      </c>
      <c r="J3214" s="60" t="str">
        <f aca="false">IF(L3214="","",INDEX(ポート振替表!$M$5:$M$3507,$L3214)&amp;"")</f>
        <v/>
      </c>
      <c r="K3214" s="52" t="str">
        <f aca="false">IF(L3214="","",E3214&amp;CHAR(10)&amp;INDEX(ポート振替表!$K$5:$K$3507,$L3214)&amp;" "&amp;INDEX(ポート振替表!$L$5:$L$3507,$L3214)&amp;CHAR(10)&amp;"⇔ "&amp;INDEX(ポート振替表!$H$5:$H$3507,$L3214)&amp;" "&amp;INDEX(ポート振替表!$I$5:$I$3507,$L3214))</f>
        <v/>
      </c>
      <c r="L3214" s="47" t="str">
        <f aca="false">IFERROR(MATCH(ROW()-4,ポート振替表!$V$5:$V$3507,0),"")</f>
        <v/>
      </c>
    </row>
    <row r="3215" customFormat="false" ht="16.4" hidden="false" customHeight="false" outlineLevel="0" collapsed="false">
      <c r="A3215" s="32" t="str">
        <f aca="false">IF(L3215="","",ROW()-4)</f>
        <v/>
      </c>
      <c r="B3215" s="58" t="str">
        <f aca="false">IF(L3215="","",IF(INDEX(ポート振替表!$W$5:$W$3507,$L3215)="","(なし)",INDEX(ポート振替表!$W$5:$W$3507,$L3215)&amp;""))</f>
        <v/>
      </c>
      <c r="C3215" s="52" t="str">
        <f aca="false">IF(L3215="","",INDEX(ポート振替表!$B$5:$B$3507,$L3215)&amp;" "&amp;INDEX(ポート振替表!$C$5:$C$3507,$L3215)&amp;"  ⇔  "&amp;INDEX(ポート振替表!$H$5:$H$3507,$L3215)&amp;" "&amp;INDEX(ポート振替表!$I$5:$I$3507,$L3215))</f>
        <v/>
      </c>
      <c r="D3215" s="57" t="s">
        <v>158</v>
      </c>
      <c r="E3215" s="59" t="str">
        <f aca="false">IF(L3215="","",IF(INDEX(ポート振替表!$O$5:$O$3507,$L3215)="","(未設定)",INDEX(ポート振替表!$O$5:$O$3507,$L3215)&amp;""))</f>
        <v/>
      </c>
      <c r="F3215" s="52" t="str">
        <f aca="false">IF(L3215="","",INDEX(ポート振替表!$K$5:$K$3507,$L3215)&amp;" "&amp;INDEX(ポート振替表!$L$5:$L$3507,$L3215)&amp;"  ⇔  "&amp;INDEX(ポート振替表!$H$5:$H$3507,$L3215)&amp;" "&amp;INDEX(ポート振替表!$I$5:$I$3507,$L3215))</f>
        <v/>
      </c>
      <c r="G3215" s="57" t="s">
        <v>158</v>
      </c>
      <c r="H3215" s="32" t="str">
        <f aca="false">IF(L3215="","",INDEX(ポート振替表!$N$5:$N$3507,$L3215)&amp;"")</f>
        <v/>
      </c>
      <c r="I3215" s="32" t="str">
        <f aca="false">IF(L3215="","",INDEX(ポート振替表!$P$5:$P$3507,$L3215)&amp;"")</f>
        <v/>
      </c>
      <c r="J3215" s="60" t="str">
        <f aca="false">IF(L3215="","",INDEX(ポート振替表!$M$5:$M$3507,$L3215)&amp;"")</f>
        <v/>
      </c>
      <c r="K3215" s="52" t="str">
        <f aca="false">IF(L3215="","",E3215&amp;CHAR(10)&amp;INDEX(ポート振替表!$K$5:$K$3507,$L3215)&amp;" "&amp;INDEX(ポート振替表!$L$5:$L$3507,$L3215)&amp;CHAR(10)&amp;"⇔ "&amp;INDEX(ポート振替表!$H$5:$H$3507,$L3215)&amp;" "&amp;INDEX(ポート振替表!$I$5:$I$3507,$L3215))</f>
        <v/>
      </c>
      <c r="L3215" s="47" t="str">
        <f aca="false">IFERROR(MATCH(ROW()-4,ポート振替表!$V$5:$V$3507,0),"")</f>
        <v/>
      </c>
    </row>
    <row r="3216" customFormat="false" ht="16.4" hidden="false" customHeight="false" outlineLevel="0" collapsed="false">
      <c r="A3216" s="32" t="str">
        <f aca="false">IF(L3216="","",ROW()-4)</f>
        <v/>
      </c>
      <c r="B3216" s="58" t="str">
        <f aca="false">IF(L3216="","",IF(INDEX(ポート振替表!$W$5:$W$3507,$L3216)="","(なし)",INDEX(ポート振替表!$W$5:$W$3507,$L3216)&amp;""))</f>
        <v/>
      </c>
      <c r="C3216" s="52" t="str">
        <f aca="false">IF(L3216="","",INDEX(ポート振替表!$B$5:$B$3507,$L3216)&amp;" "&amp;INDEX(ポート振替表!$C$5:$C$3507,$L3216)&amp;"  ⇔  "&amp;INDEX(ポート振替表!$H$5:$H$3507,$L3216)&amp;" "&amp;INDEX(ポート振替表!$I$5:$I$3507,$L3216))</f>
        <v/>
      </c>
      <c r="D3216" s="57" t="s">
        <v>158</v>
      </c>
      <c r="E3216" s="59" t="str">
        <f aca="false">IF(L3216="","",IF(INDEX(ポート振替表!$O$5:$O$3507,$L3216)="","(未設定)",INDEX(ポート振替表!$O$5:$O$3507,$L3216)&amp;""))</f>
        <v/>
      </c>
      <c r="F3216" s="52" t="str">
        <f aca="false">IF(L3216="","",INDEX(ポート振替表!$K$5:$K$3507,$L3216)&amp;" "&amp;INDEX(ポート振替表!$L$5:$L$3507,$L3216)&amp;"  ⇔  "&amp;INDEX(ポート振替表!$H$5:$H$3507,$L3216)&amp;" "&amp;INDEX(ポート振替表!$I$5:$I$3507,$L3216))</f>
        <v/>
      </c>
      <c r="G3216" s="57" t="s">
        <v>158</v>
      </c>
      <c r="H3216" s="32" t="str">
        <f aca="false">IF(L3216="","",INDEX(ポート振替表!$N$5:$N$3507,$L3216)&amp;"")</f>
        <v/>
      </c>
      <c r="I3216" s="32" t="str">
        <f aca="false">IF(L3216="","",INDEX(ポート振替表!$P$5:$P$3507,$L3216)&amp;"")</f>
        <v/>
      </c>
      <c r="J3216" s="60" t="str">
        <f aca="false">IF(L3216="","",INDEX(ポート振替表!$M$5:$M$3507,$L3216)&amp;"")</f>
        <v/>
      </c>
      <c r="K3216" s="52" t="str">
        <f aca="false">IF(L3216="","",E3216&amp;CHAR(10)&amp;INDEX(ポート振替表!$K$5:$K$3507,$L3216)&amp;" "&amp;INDEX(ポート振替表!$L$5:$L$3507,$L3216)&amp;CHAR(10)&amp;"⇔ "&amp;INDEX(ポート振替表!$H$5:$H$3507,$L3216)&amp;" "&amp;INDEX(ポート振替表!$I$5:$I$3507,$L3216))</f>
        <v/>
      </c>
      <c r="L3216" s="47" t="str">
        <f aca="false">IFERROR(MATCH(ROW()-4,ポート振替表!$V$5:$V$3507,0),"")</f>
        <v/>
      </c>
    </row>
    <row r="3217" customFormat="false" ht="16.4" hidden="false" customHeight="false" outlineLevel="0" collapsed="false">
      <c r="A3217" s="32" t="str">
        <f aca="false">IF(L3217="","",ROW()-4)</f>
        <v/>
      </c>
      <c r="B3217" s="58" t="str">
        <f aca="false">IF(L3217="","",IF(INDEX(ポート振替表!$W$5:$W$3507,$L3217)="","(なし)",INDEX(ポート振替表!$W$5:$W$3507,$L3217)&amp;""))</f>
        <v/>
      </c>
      <c r="C3217" s="52" t="str">
        <f aca="false">IF(L3217="","",INDEX(ポート振替表!$B$5:$B$3507,$L3217)&amp;" "&amp;INDEX(ポート振替表!$C$5:$C$3507,$L3217)&amp;"  ⇔  "&amp;INDEX(ポート振替表!$H$5:$H$3507,$L3217)&amp;" "&amp;INDEX(ポート振替表!$I$5:$I$3507,$L3217))</f>
        <v/>
      </c>
      <c r="D3217" s="57" t="s">
        <v>158</v>
      </c>
      <c r="E3217" s="59" t="str">
        <f aca="false">IF(L3217="","",IF(INDEX(ポート振替表!$O$5:$O$3507,$L3217)="","(未設定)",INDEX(ポート振替表!$O$5:$O$3507,$L3217)&amp;""))</f>
        <v/>
      </c>
      <c r="F3217" s="52" t="str">
        <f aca="false">IF(L3217="","",INDEX(ポート振替表!$K$5:$K$3507,$L3217)&amp;" "&amp;INDEX(ポート振替表!$L$5:$L$3507,$L3217)&amp;"  ⇔  "&amp;INDEX(ポート振替表!$H$5:$H$3507,$L3217)&amp;" "&amp;INDEX(ポート振替表!$I$5:$I$3507,$L3217))</f>
        <v/>
      </c>
      <c r="G3217" s="57" t="s">
        <v>158</v>
      </c>
      <c r="H3217" s="32" t="str">
        <f aca="false">IF(L3217="","",INDEX(ポート振替表!$N$5:$N$3507,$L3217)&amp;"")</f>
        <v/>
      </c>
      <c r="I3217" s="32" t="str">
        <f aca="false">IF(L3217="","",INDEX(ポート振替表!$P$5:$P$3507,$L3217)&amp;"")</f>
        <v/>
      </c>
      <c r="J3217" s="60" t="str">
        <f aca="false">IF(L3217="","",INDEX(ポート振替表!$M$5:$M$3507,$L3217)&amp;"")</f>
        <v/>
      </c>
      <c r="K3217" s="52" t="str">
        <f aca="false">IF(L3217="","",E3217&amp;CHAR(10)&amp;INDEX(ポート振替表!$K$5:$K$3507,$L3217)&amp;" "&amp;INDEX(ポート振替表!$L$5:$L$3507,$L3217)&amp;CHAR(10)&amp;"⇔ "&amp;INDEX(ポート振替表!$H$5:$H$3507,$L3217)&amp;" "&amp;INDEX(ポート振替表!$I$5:$I$3507,$L3217))</f>
        <v/>
      </c>
      <c r="L3217" s="47" t="str">
        <f aca="false">IFERROR(MATCH(ROW()-4,ポート振替表!$V$5:$V$3507,0),"")</f>
        <v/>
      </c>
    </row>
    <row r="3218" customFormat="false" ht="16.4" hidden="false" customHeight="false" outlineLevel="0" collapsed="false">
      <c r="A3218" s="32" t="str">
        <f aca="false">IF(L3218="","",ROW()-4)</f>
        <v/>
      </c>
      <c r="B3218" s="58" t="str">
        <f aca="false">IF(L3218="","",IF(INDEX(ポート振替表!$W$5:$W$3507,$L3218)="","(なし)",INDEX(ポート振替表!$W$5:$W$3507,$L3218)&amp;""))</f>
        <v/>
      </c>
      <c r="C3218" s="52" t="str">
        <f aca="false">IF(L3218="","",INDEX(ポート振替表!$B$5:$B$3507,$L3218)&amp;" "&amp;INDEX(ポート振替表!$C$5:$C$3507,$L3218)&amp;"  ⇔  "&amp;INDEX(ポート振替表!$H$5:$H$3507,$L3218)&amp;" "&amp;INDEX(ポート振替表!$I$5:$I$3507,$L3218))</f>
        <v/>
      </c>
      <c r="D3218" s="57" t="s">
        <v>158</v>
      </c>
      <c r="E3218" s="59" t="str">
        <f aca="false">IF(L3218="","",IF(INDEX(ポート振替表!$O$5:$O$3507,$L3218)="","(未設定)",INDEX(ポート振替表!$O$5:$O$3507,$L3218)&amp;""))</f>
        <v/>
      </c>
      <c r="F3218" s="52" t="str">
        <f aca="false">IF(L3218="","",INDEX(ポート振替表!$K$5:$K$3507,$L3218)&amp;" "&amp;INDEX(ポート振替表!$L$5:$L$3507,$L3218)&amp;"  ⇔  "&amp;INDEX(ポート振替表!$H$5:$H$3507,$L3218)&amp;" "&amp;INDEX(ポート振替表!$I$5:$I$3507,$L3218))</f>
        <v/>
      </c>
      <c r="G3218" s="57" t="s">
        <v>158</v>
      </c>
      <c r="H3218" s="32" t="str">
        <f aca="false">IF(L3218="","",INDEX(ポート振替表!$N$5:$N$3507,$L3218)&amp;"")</f>
        <v/>
      </c>
      <c r="I3218" s="32" t="str">
        <f aca="false">IF(L3218="","",INDEX(ポート振替表!$P$5:$P$3507,$L3218)&amp;"")</f>
        <v/>
      </c>
      <c r="J3218" s="60" t="str">
        <f aca="false">IF(L3218="","",INDEX(ポート振替表!$M$5:$M$3507,$L3218)&amp;"")</f>
        <v/>
      </c>
      <c r="K3218" s="52" t="str">
        <f aca="false">IF(L3218="","",E3218&amp;CHAR(10)&amp;INDEX(ポート振替表!$K$5:$K$3507,$L3218)&amp;" "&amp;INDEX(ポート振替表!$L$5:$L$3507,$L3218)&amp;CHAR(10)&amp;"⇔ "&amp;INDEX(ポート振替表!$H$5:$H$3507,$L3218)&amp;" "&amp;INDEX(ポート振替表!$I$5:$I$3507,$L3218))</f>
        <v/>
      </c>
      <c r="L3218" s="47" t="str">
        <f aca="false">IFERROR(MATCH(ROW()-4,ポート振替表!$V$5:$V$3507,0),"")</f>
        <v/>
      </c>
    </row>
    <row r="3219" customFormat="false" ht="16.4" hidden="false" customHeight="false" outlineLevel="0" collapsed="false">
      <c r="A3219" s="32" t="str">
        <f aca="false">IF(L3219="","",ROW()-4)</f>
        <v/>
      </c>
      <c r="B3219" s="58" t="str">
        <f aca="false">IF(L3219="","",IF(INDEX(ポート振替表!$W$5:$W$3507,$L3219)="","(なし)",INDEX(ポート振替表!$W$5:$W$3507,$L3219)&amp;""))</f>
        <v/>
      </c>
      <c r="C3219" s="52" t="str">
        <f aca="false">IF(L3219="","",INDEX(ポート振替表!$B$5:$B$3507,$L3219)&amp;" "&amp;INDEX(ポート振替表!$C$5:$C$3507,$L3219)&amp;"  ⇔  "&amp;INDEX(ポート振替表!$H$5:$H$3507,$L3219)&amp;" "&amp;INDEX(ポート振替表!$I$5:$I$3507,$L3219))</f>
        <v/>
      </c>
      <c r="D3219" s="57" t="s">
        <v>158</v>
      </c>
      <c r="E3219" s="59" t="str">
        <f aca="false">IF(L3219="","",IF(INDEX(ポート振替表!$O$5:$O$3507,$L3219)="","(未設定)",INDEX(ポート振替表!$O$5:$O$3507,$L3219)&amp;""))</f>
        <v/>
      </c>
      <c r="F3219" s="52" t="str">
        <f aca="false">IF(L3219="","",INDEX(ポート振替表!$K$5:$K$3507,$L3219)&amp;" "&amp;INDEX(ポート振替表!$L$5:$L$3507,$L3219)&amp;"  ⇔  "&amp;INDEX(ポート振替表!$H$5:$H$3507,$L3219)&amp;" "&amp;INDEX(ポート振替表!$I$5:$I$3507,$L3219))</f>
        <v/>
      </c>
      <c r="G3219" s="57" t="s">
        <v>158</v>
      </c>
      <c r="H3219" s="32" t="str">
        <f aca="false">IF(L3219="","",INDEX(ポート振替表!$N$5:$N$3507,$L3219)&amp;"")</f>
        <v/>
      </c>
      <c r="I3219" s="32" t="str">
        <f aca="false">IF(L3219="","",INDEX(ポート振替表!$P$5:$P$3507,$L3219)&amp;"")</f>
        <v/>
      </c>
      <c r="J3219" s="60" t="str">
        <f aca="false">IF(L3219="","",INDEX(ポート振替表!$M$5:$M$3507,$L3219)&amp;"")</f>
        <v/>
      </c>
      <c r="K3219" s="52" t="str">
        <f aca="false">IF(L3219="","",E3219&amp;CHAR(10)&amp;INDEX(ポート振替表!$K$5:$K$3507,$L3219)&amp;" "&amp;INDEX(ポート振替表!$L$5:$L$3507,$L3219)&amp;CHAR(10)&amp;"⇔ "&amp;INDEX(ポート振替表!$H$5:$H$3507,$L3219)&amp;" "&amp;INDEX(ポート振替表!$I$5:$I$3507,$L3219))</f>
        <v/>
      </c>
      <c r="L3219" s="47" t="str">
        <f aca="false">IFERROR(MATCH(ROW()-4,ポート振替表!$V$5:$V$3507,0),"")</f>
        <v/>
      </c>
    </row>
    <row r="3220" customFormat="false" ht="16.4" hidden="false" customHeight="false" outlineLevel="0" collapsed="false">
      <c r="A3220" s="32" t="str">
        <f aca="false">IF(L3220="","",ROW()-4)</f>
        <v/>
      </c>
      <c r="B3220" s="58" t="str">
        <f aca="false">IF(L3220="","",IF(INDEX(ポート振替表!$W$5:$W$3507,$L3220)="","(なし)",INDEX(ポート振替表!$W$5:$W$3507,$L3220)&amp;""))</f>
        <v/>
      </c>
      <c r="C3220" s="52" t="str">
        <f aca="false">IF(L3220="","",INDEX(ポート振替表!$B$5:$B$3507,$L3220)&amp;" "&amp;INDEX(ポート振替表!$C$5:$C$3507,$L3220)&amp;"  ⇔  "&amp;INDEX(ポート振替表!$H$5:$H$3507,$L3220)&amp;" "&amp;INDEX(ポート振替表!$I$5:$I$3507,$L3220))</f>
        <v/>
      </c>
      <c r="D3220" s="57" t="s">
        <v>158</v>
      </c>
      <c r="E3220" s="59" t="str">
        <f aca="false">IF(L3220="","",IF(INDEX(ポート振替表!$O$5:$O$3507,$L3220)="","(未設定)",INDEX(ポート振替表!$O$5:$O$3507,$L3220)&amp;""))</f>
        <v/>
      </c>
      <c r="F3220" s="52" t="str">
        <f aca="false">IF(L3220="","",INDEX(ポート振替表!$K$5:$K$3507,$L3220)&amp;" "&amp;INDEX(ポート振替表!$L$5:$L$3507,$L3220)&amp;"  ⇔  "&amp;INDEX(ポート振替表!$H$5:$H$3507,$L3220)&amp;" "&amp;INDEX(ポート振替表!$I$5:$I$3507,$L3220))</f>
        <v/>
      </c>
      <c r="G3220" s="57" t="s">
        <v>158</v>
      </c>
      <c r="H3220" s="32" t="str">
        <f aca="false">IF(L3220="","",INDEX(ポート振替表!$N$5:$N$3507,$L3220)&amp;"")</f>
        <v/>
      </c>
      <c r="I3220" s="32" t="str">
        <f aca="false">IF(L3220="","",INDEX(ポート振替表!$P$5:$P$3507,$L3220)&amp;"")</f>
        <v/>
      </c>
      <c r="J3220" s="60" t="str">
        <f aca="false">IF(L3220="","",INDEX(ポート振替表!$M$5:$M$3507,$L3220)&amp;"")</f>
        <v/>
      </c>
      <c r="K3220" s="52" t="str">
        <f aca="false">IF(L3220="","",E3220&amp;CHAR(10)&amp;INDEX(ポート振替表!$K$5:$K$3507,$L3220)&amp;" "&amp;INDEX(ポート振替表!$L$5:$L$3507,$L3220)&amp;CHAR(10)&amp;"⇔ "&amp;INDEX(ポート振替表!$H$5:$H$3507,$L3220)&amp;" "&amp;INDEX(ポート振替表!$I$5:$I$3507,$L3220))</f>
        <v/>
      </c>
      <c r="L3220" s="47" t="str">
        <f aca="false">IFERROR(MATCH(ROW()-4,ポート振替表!$V$5:$V$3507,0),"")</f>
        <v/>
      </c>
    </row>
    <row r="3221" customFormat="false" ht="16.4" hidden="false" customHeight="false" outlineLevel="0" collapsed="false">
      <c r="A3221" s="32" t="str">
        <f aca="false">IF(L3221="","",ROW()-4)</f>
        <v/>
      </c>
      <c r="B3221" s="58" t="str">
        <f aca="false">IF(L3221="","",IF(INDEX(ポート振替表!$W$5:$W$3507,$L3221)="","(なし)",INDEX(ポート振替表!$W$5:$W$3507,$L3221)&amp;""))</f>
        <v/>
      </c>
      <c r="C3221" s="52" t="str">
        <f aca="false">IF(L3221="","",INDEX(ポート振替表!$B$5:$B$3507,$L3221)&amp;" "&amp;INDEX(ポート振替表!$C$5:$C$3507,$L3221)&amp;"  ⇔  "&amp;INDEX(ポート振替表!$H$5:$H$3507,$L3221)&amp;" "&amp;INDEX(ポート振替表!$I$5:$I$3507,$L3221))</f>
        <v/>
      </c>
      <c r="D3221" s="57" t="s">
        <v>158</v>
      </c>
      <c r="E3221" s="59" t="str">
        <f aca="false">IF(L3221="","",IF(INDEX(ポート振替表!$O$5:$O$3507,$L3221)="","(未設定)",INDEX(ポート振替表!$O$5:$O$3507,$L3221)&amp;""))</f>
        <v/>
      </c>
      <c r="F3221" s="52" t="str">
        <f aca="false">IF(L3221="","",INDEX(ポート振替表!$K$5:$K$3507,$L3221)&amp;" "&amp;INDEX(ポート振替表!$L$5:$L$3507,$L3221)&amp;"  ⇔  "&amp;INDEX(ポート振替表!$H$5:$H$3507,$L3221)&amp;" "&amp;INDEX(ポート振替表!$I$5:$I$3507,$L3221))</f>
        <v/>
      </c>
      <c r="G3221" s="57" t="s">
        <v>158</v>
      </c>
      <c r="H3221" s="32" t="str">
        <f aca="false">IF(L3221="","",INDEX(ポート振替表!$N$5:$N$3507,$L3221)&amp;"")</f>
        <v/>
      </c>
      <c r="I3221" s="32" t="str">
        <f aca="false">IF(L3221="","",INDEX(ポート振替表!$P$5:$P$3507,$L3221)&amp;"")</f>
        <v/>
      </c>
      <c r="J3221" s="60" t="str">
        <f aca="false">IF(L3221="","",INDEX(ポート振替表!$M$5:$M$3507,$L3221)&amp;"")</f>
        <v/>
      </c>
      <c r="K3221" s="52" t="str">
        <f aca="false">IF(L3221="","",E3221&amp;CHAR(10)&amp;INDEX(ポート振替表!$K$5:$K$3507,$L3221)&amp;" "&amp;INDEX(ポート振替表!$L$5:$L$3507,$L3221)&amp;CHAR(10)&amp;"⇔ "&amp;INDEX(ポート振替表!$H$5:$H$3507,$L3221)&amp;" "&amp;INDEX(ポート振替表!$I$5:$I$3507,$L3221))</f>
        <v/>
      </c>
      <c r="L3221" s="47" t="str">
        <f aca="false">IFERROR(MATCH(ROW()-4,ポート振替表!$V$5:$V$3507,0),"")</f>
        <v/>
      </c>
    </row>
    <row r="3222" customFormat="false" ht="16.4" hidden="false" customHeight="false" outlineLevel="0" collapsed="false">
      <c r="A3222" s="32" t="str">
        <f aca="false">IF(L3222="","",ROW()-4)</f>
        <v/>
      </c>
      <c r="B3222" s="58" t="str">
        <f aca="false">IF(L3222="","",IF(INDEX(ポート振替表!$W$5:$W$3507,$L3222)="","(なし)",INDEX(ポート振替表!$W$5:$W$3507,$L3222)&amp;""))</f>
        <v/>
      </c>
      <c r="C3222" s="52" t="str">
        <f aca="false">IF(L3222="","",INDEX(ポート振替表!$B$5:$B$3507,$L3222)&amp;" "&amp;INDEX(ポート振替表!$C$5:$C$3507,$L3222)&amp;"  ⇔  "&amp;INDEX(ポート振替表!$H$5:$H$3507,$L3222)&amp;" "&amp;INDEX(ポート振替表!$I$5:$I$3507,$L3222))</f>
        <v/>
      </c>
      <c r="D3222" s="57" t="s">
        <v>158</v>
      </c>
      <c r="E3222" s="59" t="str">
        <f aca="false">IF(L3222="","",IF(INDEX(ポート振替表!$O$5:$O$3507,$L3222)="","(未設定)",INDEX(ポート振替表!$O$5:$O$3507,$L3222)&amp;""))</f>
        <v/>
      </c>
      <c r="F3222" s="52" t="str">
        <f aca="false">IF(L3222="","",INDEX(ポート振替表!$K$5:$K$3507,$L3222)&amp;" "&amp;INDEX(ポート振替表!$L$5:$L$3507,$L3222)&amp;"  ⇔  "&amp;INDEX(ポート振替表!$H$5:$H$3507,$L3222)&amp;" "&amp;INDEX(ポート振替表!$I$5:$I$3507,$L3222))</f>
        <v/>
      </c>
      <c r="G3222" s="57" t="s">
        <v>158</v>
      </c>
      <c r="H3222" s="32" t="str">
        <f aca="false">IF(L3222="","",INDEX(ポート振替表!$N$5:$N$3507,$L3222)&amp;"")</f>
        <v/>
      </c>
      <c r="I3222" s="32" t="str">
        <f aca="false">IF(L3222="","",INDEX(ポート振替表!$P$5:$P$3507,$L3222)&amp;"")</f>
        <v/>
      </c>
      <c r="J3222" s="60" t="str">
        <f aca="false">IF(L3222="","",INDEX(ポート振替表!$M$5:$M$3507,$L3222)&amp;"")</f>
        <v/>
      </c>
      <c r="K3222" s="52" t="str">
        <f aca="false">IF(L3222="","",E3222&amp;CHAR(10)&amp;INDEX(ポート振替表!$K$5:$K$3507,$L3222)&amp;" "&amp;INDEX(ポート振替表!$L$5:$L$3507,$L3222)&amp;CHAR(10)&amp;"⇔ "&amp;INDEX(ポート振替表!$H$5:$H$3507,$L3222)&amp;" "&amp;INDEX(ポート振替表!$I$5:$I$3507,$L3222))</f>
        <v/>
      </c>
      <c r="L3222" s="47" t="str">
        <f aca="false">IFERROR(MATCH(ROW()-4,ポート振替表!$V$5:$V$3507,0),"")</f>
        <v/>
      </c>
    </row>
    <row r="3223" customFormat="false" ht="16.4" hidden="false" customHeight="false" outlineLevel="0" collapsed="false">
      <c r="A3223" s="32" t="str">
        <f aca="false">IF(L3223="","",ROW()-4)</f>
        <v/>
      </c>
      <c r="B3223" s="58" t="str">
        <f aca="false">IF(L3223="","",IF(INDEX(ポート振替表!$W$5:$W$3507,$L3223)="","(なし)",INDEX(ポート振替表!$W$5:$W$3507,$L3223)&amp;""))</f>
        <v/>
      </c>
      <c r="C3223" s="52" t="str">
        <f aca="false">IF(L3223="","",INDEX(ポート振替表!$B$5:$B$3507,$L3223)&amp;" "&amp;INDEX(ポート振替表!$C$5:$C$3507,$L3223)&amp;"  ⇔  "&amp;INDEX(ポート振替表!$H$5:$H$3507,$L3223)&amp;" "&amp;INDEX(ポート振替表!$I$5:$I$3507,$L3223))</f>
        <v/>
      </c>
      <c r="D3223" s="57" t="s">
        <v>158</v>
      </c>
      <c r="E3223" s="59" t="str">
        <f aca="false">IF(L3223="","",IF(INDEX(ポート振替表!$O$5:$O$3507,$L3223)="","(未設定)",INDEX(ポート振替表!$O$5:$O$3507,$L3223)&amp;""))</f>
        <v/>
      </c>
      <c r="F3223" s="52" t="str">
        <f aca="false">IF(L3223="","",INDEX(ポート振替表!$K$5:$K$3507,$L3223)&amp;" "&amp;INDEX(ポート振替表!$L$5:$L$3507,$L3223)&amp;"  ⇔  "&amp;INDEX(ポート振替表!$H$5:$H$3507,$L3223)&amp;" "&amp;INDEX(ポート振替表!$I$5:$I$3507,$L3223))</f>
        <v/>
      </c>
      <c r="G3223" s="57" t="s">
        <v>158</v>
      </c>
      <c r="H3223" s="32" t="str">
        <f aca="false">IF(L3223="","",INDEX(ポート振替表!$N$5:$N$3507,$L3223)&amp;"")</f>
        <v/>
      </c>
      <c r="I3223" s="32" t="str">
        <f aca="false">IF(L3223="","",INDEX(ポート振替表!$P$5:$P$3507,$L3223)&amp;"")</f>
        <v/>
      </c>
      <c r="J3223" s="60" t="str">
        <f aca="false">IF(L3223="","",INDEX(ポート振替表!$M$5:$M$3507,$L3223)&amp;"")</f>
        <v/>
      </c>
      <c r="K3223" s="52" t="str">
        <f aca="false">IF(L3223="","",E3223&amp;CHAR(10)&amp;INDEX(ポート振替表!$K$5:$K$3507,$L3223)&amp;" "&amp;INDEX(ポート振替表!$L$5:$L$3507,$L3223)&amp;CHAR(10)&amp;"⇔ "&amp;INDEX(ポート振替表!$H$5:$H$3507,$L3223)&amp;" "&amp;INDEX(ポート振替表!$I$5:$I$3507,$L3223))</f>
        <v/>
      </c>
      <c r="L3223" s="47" t="str">
        <f aca="false">IFERROR(MATCH(ROW()-4,ポート振替表!$V$5:$V$3507,0),"")</f>
        <v/>
      </c>
    </row>
    <row r="3224" customFormat="false" ht="16.4" hidden="false" customHeight="false" outlineLevel="0" collapsed="false">
      <c r="A3224" s="32" t="str">
        <f aca="false">IF(L3224="","",ROW()-4)</f>
        <v/>
      </c>
      <c r="B3224" s="58" t="str">
        <f aca="false">IF(L3224="","",IF(INDEX(ポート振替表!$W$5:$W$3507,$L3224)="","(なし)",INDEX(ポート振替表!$W$5:$W$3507,$L3224)&amp;""))</f>
        <v/>
      </c>
      <c r="C3224" s="52" t="str">
        <f aca="false">IF(L3224="","",INDEX(ポート振替表!$B$5:$B$3507,$L3224)&amp;" "&amp;INDEX(ポート振替表!$C$5:$C$3507,$L3224)&amp;"  ⇔  "&amp;INDEX(ポート振替表!$H$5:$H$3507,$L3224)&amp;" "&amp;INDEX(ポート振替表!$I$5:$I$3507,$L3224))</f>
        <v/>
      </c>
      <c r="D3224" s="57" t="s">
        <v>158</v>
      </c>
      <c r="E3224" s="59" t="str">
        <f aca="false">IF(L3224="","",IF(INDEX(ポート振替表!$O$5:$O$3507,$L3224)="","(未設定)",INDEX(ポート振替表!$O$5:$O$3507,$L3224)&amp;""))</f>
        <v/>
      </c>
      <c r="F3224" s="52" t="str">
        <f aca="false">IF(L3224="","",INDEX(ポート振替表!$K$5:$K$3507,$L3224)&amp;" "&amp;INDEX(ポート振替表!$L$5:$L$3507,$L3224)&amp;"  ⇔  "&amp;INDEX(ポート振替表!$H$5:$H$3507,$L3224)&amp;" "&amp;INDEX(ポート振替表!$I$5:$I$3507,$L3224))</f>
        <v/>
      </c>
      <c r="G3224" s="57" t="s">
        <v>158</v>
      </c>
      <c r="H3224" s="32" t="str">
        <f aca="false">IF(L3224="","",INDEX(ポート振替表!$N$5:$N$3507,$L3224)&amp;"")</f>
        <v/>
      </c>
      <c r="I3224" s="32" t="str">
        <f aca="false">IF(L3224="","",INDEX(ポート振替表!$P$5:$P$3507,$L3224)&amp;"")</f>
        <v/>
      </c>
      <c r="J3224" s="60" t="str">
        <f aca="false">IF(L3224="","",INDEX(ポート振替表!$M$5:$M$3507,$L3224)&amp;"")</f>
        <v/>
      </c>
      <c r="K3224" s="52" t="str">
        <f aca="false">IF(L3224="","",E3224&amp;CHAR(10)&amp;INDEX(ポート振替表!$K$5:$K$3507,$L3224)&amp;" "&amp;INDEX(ポート振替表!$L$5:$L$3507,$L3224)&amp;CHAR(10)&amp;"⇔ "&amp;INDEX(ポート振替表!$H$5:$H$3507,$L3224)&amp;" "&amp;INDEX(ポート振替表!$I$5:$I$3507,$L3224))</f>
        <v/>
      </c>
      <c r="L3224" s="47" t="str">
        <f aca="false">IFERROR(MATCH(ROW()-4,ポート振替表!$V$5:$V$3507,0),"")</f>
        <v/>
      </c>
    </row>
    <row r="3225" customFormat="false" ht="16.4" hidden="false" customHeight="false" outlineLevel="0" collapsed="false">
      <c r="A3225" s="32" t="str">
        <f aca="false">IF(L3225="","",ROW()-4)</f>
        <v/>
      </c>
      <c r="B3225" s="58" t="str">
        <f aca="false">IF(L3225="","",IF(INDEX(ポート振替表!$W$5:$W$3507,$L3225)="","(なし)",INDEX(ポート振替表!$W$5:$W$3507,$L3225)&amp;""))</f>
        <v/>
      </c>
      <c r="C3225" s="52" t="str">
        <f aca="false">IF(L3225="","",INDEX(ポート振替表!$B$5:$B$3507,$L3225)&amp;" "&amp;INDEX(ポート振替表!$C$5:$C$3507,$L3225)&amp;"  ⇔  "&amp;INDEX(ポート振替表!$H$5:$H$3507,$L3225)&amp;" "&amp;INDEX(ポート振替表!$I$5:$I$3507,$L3225))</f>
        <v/>
      </c>
      <c r="D3225" s="57" t="s">
        <v>158</v>
      </c>
      <c r="E3225" s="59" t="str">
        <f aca="false">IF(L3225="","",IF(INDEX(ポート振替表!$O$5:$O$3507,$L3225)="","(未設定)",INDEX(ポート振替表!$O$5:$O$3507,$L3225)&amp;""))</f>
        <v/>
      </c>
      <c r="F3225" s="52" t="str">
        <f aca="false">IF(L3225="","",INDEX(ポート振替表!$K$5:$K$3507,$L3225)&amp;" "&amp;INDEX(ポート振替表!$L$5:$L$3507,$L3225)&amp;"  ⇔  "&amp;INDEX(ポート振替表!$H$5:$H$3507,$L3225)&amp;" "&amp;INDEX(ポート振替表!$I$5:$I$3507,$L3225))</f>
        <v/>
      </c>
      <c r="G3225" s="57" t="s">
        <v>158</v>
      </c>
      <c r="H3225" s="32" t="str">
        <f aca="false">IF(L3225="","",INDEX(ポート振替表!$N$5:$N$3507,$L3225)&amp;"")</f>
        <v/>
      </c>
      <c r="I3225" s="32" t="str">
        <f aca="false">IF(L3225="","",INDEX(ポート振替表!$P$5:$P$3507,$L3225)&amp;"")</f>
        <v/>
      </c>
      <c r="J3225" s="60" t="str">
        <f aca="false">IF(L3225="","",INDEX(ポート振替表!$M$5:$M$3507,$L3225)&amp;"")</f>
        <v/>
      </c>
      <c r="K3225" s="52" t="str">
        <f aca="false">IF(L3225="","",E3225&amp;CHAR(10)&amp;INDEX(ポート振替表!$K$5:$K$3507,$L3225)&amp;" "&amp;INDEX(ポート振替表!$L$5:$L$3507,$L3225)&amp;CHAR(10)&amp;"⇔ "&amp;INDEX(ポート振替表!$H$5:$H$3507,$L3225)&amp;" "&amp;INDEX(ポート振替表!$I$5:$I$3507,$L3225))</f>
        <v/>
      </c>
      <c r="L3225" s="47" t="str">
        <f aca="false">IFERROR(MATCH(ROW()-4,ポート振替表!$V$5:$V$3507,0),"")</f>
        <v/>
      </c>
    </row>
    <row r="3226" customFormat="false" ht="16.4" hidden="false" customHeight="false" outlineLevel="0" collapsed="false">
      <c r="A3226" s="32" t="str">
        <f aca="false">IF(L3226="","",ROW()-4)</f>
        <v/>
      </c>
      <c r="B3226" s="58" t="str">
        <f aca="false">IF(L3226="","",IF(INDEX(ポート振替表!$W$5:$W$3507,$L3226)="","(なし)",INDEX(ポート振替表!$W$5:$W$3507,$L3226)&amp;""))</f>
        <v/>
      </c>
      <c r="C3226" s="52" t="str">
        <f aca="false">IF(L3226="","",INDEX(ポート振替表!$B$5:$B$3507,$L3226)&amp;" "&amp;INDEX(ポート振替表!$C$5:$C$3507,$L3226)&amp;"  ⇔  "&amp;INDEX(ポート振替表!$H$5:$H$3507,$L3226)&amp;" "&amp;INDEX(ポート振替表!$I$5:$I$3507,$L3226))</f>
        <v/>
      </c>
      <c r="D3226" s="57" t="s">
        <v>158</v>
      </c>
      <c r="E3226" s="59" t="str">
        <f aca="false">IF(L3226="","",IF(INDEX(ポート振替表!$O$5:$O$3507,$L3226)="","(未設定)",INDEX(ポート振替表!$O$5:$O$3507,$L3226)&amp;""))</f>
        <v/>
      </c>
      <c r="F3226" s="52" t="str">
        <f aca="false">IF(L3226="","",INDEX(ポート振替表!$K$5:$K$3507,$L3226)&amp;" "&amp;INDEX(ポート振替表!$L$5:$L$3507,$L3226)&amp;"  ⇔  "&amp;INDEX(ポート振替表!$H$5:$H$3507,$L3226)&amp;" "&amp;INDEX(ポート振替表!$I$5:$I$3507,$L3226))</f>
        <v/>
      </c>
      <c r="G3226" s="57" t="s">
        <v>158</v>
      </c>
      <c r="H3226" s="32" t="str">
        <f aca="false">IF(L3226="","",INDEX(ポート振替表!$N$5:$N$3507,$L3226)&amp;"")</f>
        <v/>
      </c>
      <c r="I3226" s="32" t="str">
        <f aca="false">IF(L3226="","",INDEX(ポート振替表!$P$5:$P$3507,$L3226)&amp;"")</f>
        <v/>
      </c>
      <c r="J3226" s="60" t="str">
        <f aca="false">IF(L3226="","",INDEX(ポート振替表!$M$5:$M$3507,$L3226)&amp;"")</f>
        <v/>
      </c>
      <c r="K3226" s="52" t="str">
        <f aca="false">IF(L3226="","",E3226&amp;CHAR(10)&amp;INDEX(ポート振替表!$K$5:$K$3507,$L3226)&amp;" "&amp;INDEX(ポート振替表!$L$5:$L$3507,$L3226)&amp;CHAR(10)&amp;"⇔ "&amp;INDEX(ポート振替表!$H$5:$H$3507,$L3226)&amp;" "&amp;INDEX(ポート振替表!$I$5:$I$3507,$L3226))</f>
        <v/>
      </c>
      <c r="L3226" s="47" t="str">
        <f aca="false">IFERROR(MATCH(ROW()-4,ポート振替表!$V$5:$V$3507,0),"")</f>
        <v/>
      </c>
    </row>
    <row r="3227" customFormat="false" ht="16.4" hidden="false" customHeight="false" outlineLevel="0" collapsed="false">
      <c r="A3227" s="32" t="str">
        <f aca="false">IF(L3227="","",ROW()-4)</f>
        <v/>
      </c>
      <c r="B3227" s="58" t="str">
        <f aca="false">IF(L3227="","",IF(INDEX(ポート振替表!$W$5:$W$3507,$L3227)="","(なし)",INDEX(ポート振替表!$W$5:$W$3507,$L3227)&amp;""))</f>
        <v/>
      </c>
      <c r="C3227" s="52" t="str">
        <f aca="false">IF(L3227="","",INDEX(ポート振替表!$B$5:$B$3507,$L3227)&amp;" "&amp;INDEX(ポート振替表!$C$5:$C$3507,$L3227)&amp;"  ⇔  "&amp;INDEX(ポート振替表!$H$5:$H$3507,$L3227)&amp;" "&amp;INDEX(ポート振替表!$I$5:$I$3507,$L3227))</f>
        <v/>
      </c>
      <c r="D3227" s="57" t="s">
        <v>158</v>
      </c>
      <c r="E3227" s="59" t="str">
        <f aca="false">IF(L3227="","",IF(INDEX(ポート振替表!$O$5:$O$3507,$L3227)="","(未設定)",INDEX(ポート振替表!$O$5:$O$3507,$L3227)&amp;""))</f>
        <v/>
      </c>
      <c r="F3227" s="52" t="str">
        <f aca="false">IF(L3227="","",INDEX(ポート振替表!$K$5:$K$3507,$L3227)&amp;" "&amp;INDEX(ポート振替表!$L$5:$L$3507,$L3227)&amp;"  ⇔  "&amp;INDEX(ポート振替表!$H$5:$H$3507,$L3227)&amp;" "&amp;INDEX(ポート振替表!$I$5:$I$3507,$L3227))</f>
        <v/>
      </c>
      <c r="G3227" s="57" t="s">
        <v>158</v>
      </c>
      <c r="H3227" s="32" t="str">
        <f aca="false">IF(L3227="","",INDEX(ポート振替表!$N$5:$N$3507,$L3227)&amp;"")</f>
        <v/>
      </c>
      <c r="I3227" s="32" t="str">
        <f aca="false">IF(L3227="","",INDEX(ポート振替表!$P$5:$P$3507,$L3227)&amp;"")</f>
        <v/>
      </c>
      <c r="J3227" s="60" t="str">
        <f aca="false">IF(L3227="","",INDEX(ポート振替表!$M$5:$M$3507,$L3227)&amp;"")</f>
        <v/>
      </c>
      <c r="K3227" s="52" t="str">
        <f aca="false">IF(L3227="","",E3227&amp;CHAR(10)&amp;INDEX(ポート振替表!$K$5:$K$3507,$L3227)&amp;" "&amp;INDEX(ポート振替表!$L$5:$L$3507,$L3227)&amp;CHAR(10)&amp;"⇔ "&amp;INDEX(ポート振替表!$H$5:$H$3507,$L3227)&amp;" "&amp;INDEX(ポート振替表!$I$5:$I$3507,$L3227))</f>
        <v/>
      </c>
      <c r="L3227" s="47" t="str">
        <f aca="false">IFERROR(MATCH(ROW()-4,ポート振替表!$V$5:$V$3507,0),"")</f>
        <v/>
      </c>
    </row>
    <row r="3228" customFormat="false" ht="16.4" hidden="false" customHeight="false" outlineLevel="0" collapsed="false">
      <c r="A3228" s="32" t="str">
        <f aca="false">IF(L3228="","",ROW()-4)</f>
        <v/>
      </c>
      <c r="B3228" s="58" t="str">
        <f aca="false">IF(L3228="","",IF(INDEX(ポート振替表!$W$5:$W$3507,$L3228)="","(なし)",INDEX(ポート振替表!$W$5:$W$3507,$L3228)&amp;""))</f>
        <v/>
      </c>
      <c r="C3228" s="52" t="str">
        <f aca="false">IF(L3228="","",INDEX(ポート振替表!$B$5:$B$3507,$L3228)&amp;" "&amp;INDEX(ポート振替表!$C$5:$C$3507,$L3228)&amp;"  ⇔  "&amp;INDEX(ポート振替表!$H$5:$H$3507,$L3228)&amp;" "&amp;INDEX(ポート振替表!$I$5:$I$3507,$L3228))</f>
        <v/>
      </c>
      <c r="D3228" s="57" t="s">
        <v>158</v>
      </c>
      <c r="E3228" s="59" t="str">
        <f aca="false">IF(L3228="","",IF(INDEX(ポート振替表!$O$5:$O$3507,$L3228)="","(未設定)",INDEX(ポート振替表!$O$5:$O$3507,$L3228)&amp;""))</f>
        <v/>
      </c>
      <c r="F3228" s="52" t="str">
        <f aca="false">IF(L3228="","",INDEX(ポート振替表!$K$5:$K$3507,$L3228)&amp;" "&amp;INDEX(ポート振替表!$L$5:$L$3507,$L3228)&amp;"  ⇔  "&amp;INDEX(ポート振替表!$H$5:$H$3507,$L3228)&amp;" "&amp;INDEX(ポート振替表!$I$5:$I$3507,$L3228))</f>
        <v/>
      </c>
      <c r="G3228" s="57" t="s">
        <v>158</v>
      </c>
      <c r="H3228" s="32" t="str">
        <f aca="false">IF(L3228="","",INDEX(ポート振替表!$N$5:$N$3507,$L3228)&amp;"")</f>
        <v/>
      </c>
      <c r="I3228" s="32" t="str">
        <f aca="false">IF(L3228="","",INDEX(ポート振替表!$P$5:$P$3507,$L3228)&amp;"")</f>
        <v/>
      </c>
      <c r="J3228" s="60" t="str">
        <f aca="false">IF(L3228="","",INDEX(ポート振替表!$M$5:$M$3507,$L3228)&amp;"")</f>
        <v/>
      </c>
      <c r="K3228" s="52" t="str">
        <f aca="false">IF(L3228="","",E3228&amp;CHAR(10)&amp;INDEX(ポート振替表!$K$5:$K$3507,$L3228)&amp;" "&amp;INDEX(ポート振替表!$L$5:$L$3507,$L3228)&amp;CHAR(10)&amp;"⇔ "&amp;INDEX(ポート振替表!$H$5:$H$3507,$L3228)&amp;" "&amp;INDEX(ポート振替表!$I$5:$I$3507,$L3228))</f>
        <v/>
      </c>
      <c r="L3228" s="47" t="str">
        <f aca="false">IFERROR(MATCH(ROW()-4,ポート振替表!$V$5:$V$3507,0),"")</f>
        <v/>
      </c>
    </row>
    <row r="3229" customFormat="false" ht="16.4" hidden="false" customHeight="false" outlineLevel="0" collapsed="false">
      <c r="A3229" s="32" t="str">
        <f aca="false">IF(L3229="","",ROW()-4)</f>
        <v/>
      </c>
      <c r="B3229" s="58" t="str">
        <f aca="false">IF(L3229="","",IF(INDEX(ポート振替表!$W$5:$W$3507,$L3229)="","(なし)",INDEX(ポート振替表!$W$5:$W$3507,$L3229)&amp;""))</f>
        <v/>
      </c>
      <c r="C3229" s="52" t="str">
        <f aca="false">IF(L3229="","",INDEX(ポート振替表!$B$5:$B$3507,$L3229)&amp;" "&amp;INDEX(ポート振替表!$C$5:$C$3507,$L3229)&amp;"  ⇔  "&amp;INDEX(ポート振替表!$H$5:$H$3507,$L3229)&amp;" "&amp;INDEX(ポート振替表!$I$5:$I$3507,$L3229))</f>
        <v/>
      </c>
      <c r="D3229" s="57" t="s">
        <v>158</v>
      </c>
      <c r="E3229" s="59" t="str">
        <f aca="false">IF(L3229="","",IF(INDEX(ポート振替表!$O$5:$O$3507,$L3229)="","(未設定)",INDEX(ポート振替表!$O$5:$O$3507,$L3229)&amp;""))</f>
        <v/>
      </c>
      <c r="F3229" s="52" t="str">
        <f aca="false">IF(L3229="","",INDEX(ポート振替表!$K$5:$K$3507,$L3229)&amp;" "&amp;INDEX(ポート振替表!$L$5:$L$3507,$L3229)&amp;"  ⇔  "&amp;INDEX(ポート振替表!$H$5:$H$3507,$L3229)&amp;" "&amp;INDEX(ポート振替表!$I$5:$I$3507,$L3229))</f>
        <v/>
      </c>
      <c r="G3229" s="57" t="s">
        <v>158</v>
      </c>
      <c r="H3229" s="32" t="str">
        <f aca="false">IF(L3229="","",INDEX(ポート振替表!$N$5:$N$3507,$L3229)&amp;"")</f>
        <v/>
      </c>
      <c r="I3229" s="32" t="str">
        <f aca="false">IF(L3229="","",INDEX(ポート振替表!$P$5:$P$3507,$L3229)&amp;"")</f>
        <v/>
      </c>
      <c r="J3229" s="60" t="str">
        <f aca="false">IF(L3229="","",INDEX(ポート振替表!$M$5:$M$3507,$L3229)&amp;"")</f>
        <v/>
      </c>
      <c r="K3229" s="52" t="str">
        <f aca="false">IF(L3229="","",E3229&amp;CHAR(10)&amp;INDEX(ポート振替表!$K$5:$K$3507,$L3229)&amp;" "&amp;INDEX(ポート振替表!$L$5:$L$3507,$L3229)&amp;CHAR(10)&amp;"⇔ "&amp;INDEX(ポート振替表!$H$5:$H$3507,$L3229)&amp;" "&amp;INDEX(ポート振替表!$I$5:$I$3507,$L3229))</f>
        <v/>
      </c>
      <c r="L3229" s="47" t="str">
        <f aca="false">IFERROR(MATCH(ROW()-4,ポート振替表!$V$5:$V$3507,0),"")</f>
        <v/>
      </c>
    </row>
    <row r="3230" customFormat="false" ht="16.4" hidden="false" customHeight="false" outlineLevel="0" collapsed="false">
      <c r="A3230" s="32" t="str">
        <f aca="false">IF(L3230="","",ROW()-4)</f>
        <v/>
      </c>
      <c r="B3230" s="58" t="str">
        <f aca="false">IF(L3230="","",IF(INDEX(ポート振替表!$W$5:$W$3507,$L3230)="","(なし)",INDEX(ポート振替表!$W$5:$W$3507,$L3230)&amp;""))</f>
        <v/>
      </c>
      <c r="C3230" s="52" t="str">
        <f aca="false">IF(L3230="","",INDEX(ポート振替表!$B$5:$B$3507,$L3230)&amp;" "&amp;INDEX(ポート振替表!$C$5:$C$3507,$L3230)&amp;"  ⇔  "&amp;INDEX(ポート振替表!$H$5:$H$3507,$L3230)&amp;" "&amp;INDEX(ポート振替表!$I$5:$I$3507,$L3230))</f>
        <v/>
      </c>
      <c r="D3230" s="57" t="s">
        <v>158</v>
      </c>
      <c r="E3230" s="59" t="str">
        <f aca="false">IF(L3230="","",IF(INDEX(ポート振替表!$O$5:$O$3507,$L3230)="","(未設定)",INDEX(ポート振替表!$O$5:$O$3507,$L3230)&amp;""))</f>
        <v/>
      </c>
      <c r="F3230" s="52" t="str">
        <f aca="false">IF(L3230="","",INDEX(ポート振替表!$K$5:$K$3507,$L3230)&amp;" "&amp;INDEX(ポート振替表!$L$5:$L$3507,$L3230)&amp;"  ⇔  "&amp;INDEX(ポート振替表!$H$5:$H$3507,$L3230)&amp;" "&amp;INDEX(ポート振替表!$I$5:$I$3507,$L3230))</f>
        <v/>
      </c>
      <c r="G3230" s="57" t="s">
        <v>158</v>
      </c>
      <c r="H3230" s="32" t="str">
        <f aca="false">IF(L3230="","",INDEX(ポート振替表!$N$5:$N$3507,$L3230)&amp;"")</f>
        <v/>
      </c>
      <c r="I3230" s="32" t="str">
        <f aca="false">IF(L3230="","",INDEX(ポート振替表!$P$5:$P$3507,$L3230)&amp;"")</f>
        <v/>
      </c>
      <c r="J3230" s="60" t="str">
        <f aca="false">IF(L3230="","",INDEX(ポート振替表!$M$5:$M$3507,$L3230)&amp;"")</f>
        <v/>
      </c>
      <c r="K3230" s="52" t="str">
        <f aca="false">IF(L3230="","",E3230&amp;CHAR(10)&amp;INDEX(ポート振替表!$K$5:$K$3507,$L3230)&amp;" "&amp;INDEX(ポート振替表!$L$5:$L$3507,$L3230)&amp;CHAR(10)&amp;"⇔ "&amp;INDEX(ポート振替表!$H$5:$H$3507,$L3230)&amp;" "&amp;INDEX(ポート振替表!$I$5:$I$3507,$L3230))</f>
        <v/>
      </c>
      <c r="L3230" s="47" t="str">
        <f aca="false">IFERROR(MATCH(ROW()-4,ポート振替表!$V$5:$V$3507,0),"")</f>
        <v/>
      </c>
    </row>
    <row r="3231" customFormat="false" ht="16.4" hidden="false" customHeight="false" outlineLevel="0" collapsed="false">
      <c r="A3231" s="32" t="str">
        <f aca="false">IF(L3231="","",ROW()-4)</f>
        <v/>
      </c>
      <c r="B3231" s="58" t="str">
        <f aca="false">IF(L3231="","",IF(INDEX(ポート振替表!$W$5:$W$3507,$L3231)="","(なし)",INDEX(ポート振替表!$W$5:$W$3507,$L3231)&amp;""))</f>
        <v/>
      </c>
      <c r="C3231" s="52" t="str">
        <f aca="false">IF(L3231="","",INDEX(ポート振替表!$B$5:$B$3507,$L3231)&amp;" "&amp;INDEX(ポート振替表!$C$5:$C$3507,$L3231)&amp;"  ⇔  "&amp;INDEX(ポート振替表!$H$5:$H$3507,$L3231)&amp;" "&amp;INDEX(ポート振替表!$I$5:$I$3507,$L3231))</f>
        <v/>
      </c>
      <c r="D3231" s="57" t="s">
        <v>158</v>
      </c>
      <c r="E3231" s="59" t="str">
        <f aca="false">IF(L3231="","",IF(INDEX(ポート振替表!$O$5:$O$3507,$L3231)="","(未設定)",INDEX(ポート振替表!$O$5:$O$3507,$L3231)&amp;""))</f>
        <v/>
      </c>
      <c r="F3231" s="52" t="str">
        <f aca="false">IF(L3231="","",INDEX(ポート振替表!$K$5:$K$3507,$L3231)&amp;" "&amp;INDEX(ポート振替表!$L$5:$L$3507,$L3231)&amp;"  ⇔  "&amp;INDEX(ポート振替表!$H$5:$H$3507,$L3231)&amp;" "&amp;INDEX(ポート振替表!$I$5:$I$3507,$L3231))</f>
        <v/>
      </c>
      <c r="G3231" s="57" t="s">
        <v>158</v>
      </c>
      <c r="H3231" s="32" t="str">
        <f aca="false">IF(L3231="","",INDEX(ポート振替表!$N$5:$N$3507,$L3231)&amp;"")</f>
        <v/>
      </c>
      <c r="I3231" s="32" t="str">
        <f aca="false">IF(L3231="","",INDEX(ポート振替表!$P$5:$P$3507,$L3231)&amp;"")</f>
        <v/>
      </c>
      <c r="J3231" s="60" t="str">
        <f aca="false">IF(L3231="","",INDEX(ポート振替表!$M$5:$M$3507,$L3231)&amp;"")</f>
        <v/>
      </c>
      <c r="K3231" s="52" t="str">
        <f aca="false">IF(L3231="","",E3231&amp;CHAR(10)&amp;INDEX(ポート振替表!$K$5:$K$3507,$L3231)&amp;" "&amp;INDEX(ポート振替表!$L$5:$L$3507,$L3231)&amp;CHAR(10)&amp;"⇔ "&amp;INDEX(ポート振替表!$H$5:$H$3507,$L3231)&amp;" "&amp;INDEX(ポート振替表!$I$5:$I$3507,$L3231))</f>
        <v/>
      </c>
      <c r="L3231" s="47" t="str">
        <f aca="false">IFERROR(MATCH(ROW()-4,ポート振替表!$V$5:$V$3507,0),"")</f>
        <v/>
      </c>
    </row>
    <row r="3232" customFormat="false" ht="16.4" hidden="false" customHeight="false" outlineLevel="0" collapsed="false">
      <c r="A3232" s="32" t="str">
        <f aca="false">IF(L3232="","",ROW()-4)</f>
        <v/>
      </c>
      <c r="B3232" s="58" t="str">
        <f aca="false">IF(L3232="","",IF(INDEX(ポート振替表!$W$5:$W$3507,$L3232)="","(なし)",INDEX(ポート振替表!$W$5:$W$3507,$L3232)&amp;""))</f>
        <v/>
      </c>
      <c r="C3232" s="52" t="str">
        <f aca="false">IF(L3232="","",INDEX(ポート振替表!$B$5:$B$3507,$L3232)&amp;" "&amp;INDEX(ポート振替表!$C$5:$C$3507,$L3232)&amp;"  ⇔  "&amp;INDEX(ポート振替表!$H$5:$H$3507,$L3232)&amp;" "&amp;INDEX(ポート振替表!$I$5:$I$3507,$L3232))</f>
        <v/>
      </c>
      <c r="D3232" s="57" t="s">
        <v>158</v>
      </c>
      <c r="E3232" s="59" t="str">
        <f aca="false">IF(L3232="","",IF(INDEX(ポート振替表!$O$5:$O$3507,$L3232)="","(未設定)",INDEX(ポート振替表!$O$5:$O$3507,$L3232)&amp;""))</f>
        <v/>
      </c>
      <c r="F3232" s="52" t="str">
        <f aca="false">IF(L3232="","",INDEX(ポート振替表!$K$5:$K$3507,$L3232)&amp;" "&amp;INDEX(ポート振替表!$L$5:$L$3507,$L3232)&amp;"  ⇔  "&amp;INDEX(ポート振替表!$H$5:$H$3507,$L3232)&amp;" "&amp;INDEX(ポート振替表!$I$5:$I$3507,$L3232))</f>
        <v/>
      </c>
      <c r="G3232" s="57" t="s">
        <v>158</v>
      </c>
      <c r="H3232" s="32" t="str">
        <f aca="false">IF(L3232="","",INDEX(ポート振替表!$N$5:$N$3507,$L3232)&amp;"")</f>
        <v/>
      </c>
      <c r="I3232" s="32" t="str">
        <f aca="false">IF(L3232="","",INDEX(ポート振替表!$P$5:$P$3507,$L3232)&amp;"")</f>
        <v/>
      </c>
      <c r="J3232" s="60" t="str">
        <f aca="false">IF(L3232="","",INDEX(ポート振替表!$M$5:$M$3507,$L3232)&amp;"")</f>
        <v/>
      </c>
      <c r="K3232" s="52" t="str">
        <f aca="false">IF(L3232="","",E3232&amp;CHAR(10)&amp;INDEX(ポート振替表!$K$5:$K$3507,$L3232)&amp;" "&amp;INDEX(ポート振替表!$L$5:$L$3507,$L3232)&amp;CHAR(10)&amp;"⇔ "&amp;INDEX(ポート振替表!$H$5:$H$3507,$L3232)&amp;" "&amp;INDEX(ポート振替表!$I$5:$I$3507,$L3232))</f>
        <v/>
      </c>
      <c r="L3232" s="47" t="str">
        <f aca="false">IFERROR(MATCH(ROW()-4,ポート振替表!$V$5:$V$3507,0),"")</f>
        <v/>
      </c>
    </row>
    <row r="3233" customFormat="false" ht="16.4" hidden="false" customHeight="false" outlineLevel="0" collapsed="false">
      <c r="A3233" s="32" t="str">
        <f aca="false">IF(L3233="","",ROW()-4)</f>
        <v/>
      </c>
      <c r="B3233" s="58" t="str">
        <f aca="false">IF(L3233="","",IF(INDEX(ポート振替表!$W$5:$W$3507,$L3233)="","(なし)",INDEX(ポート振替表!$W$5:$W$3507,$L3233)&amp;""))</f>
        <v/>
      </c>
      <c r="C3233" s="52" t="str">
        <f aca="false">IF(L3233="","",INDEX(ポート振替表!$B$5:$B$3507,$L3233)&amp;" "&amp;INDEX(ポート振替表!$C$5:$C$3507,$L3233)&amp;"  ⇔  "&amp;INDEX(ポート振替表!$H$5:$H$3507,$L3233)&amp;" "&amp;INDEX(ポート振替表!$I$5:$I$3507,$L3233))</f>
        <v/>
      </c>
      <c r="D3233" s="57" t="s">
        <v>158</v>
      </c>
      <c r="E3233" s="59" t="str">
        <f aca="false">IF(L3233="","",IF(INDEX(ポート振替表!$O$5:$O$3507,$L3233)="","(未設定)",INDEX(ポート振替表!$O$5:$O$3507,$L3233)&amp;""))</f>
        <v/>
      </c>
      <c r="F3233" s="52" t="str">
        <f aca="false">IF(L3233="","",INDEX(ポート振替表!$K$5:$K$3507,$L3233)&amp;" "&amp;INDEX(ポート振替表!$L$5:$L$3507,$L3233)&amp;"  ⇔  "&amp;INDEX(ポート振替表!$H$5:$H$3507,$L3233)&amp;" "&amp;INDEX(ポート振替表!$I$5:$I$3507,$L3233))</f>
        <v/>
      </c>
      <c r="G3233" s="57" t="s">
        <v>158</v>
      </c>
      <c r="H3233" s="32" t="str">
        <f aca="false">IF(L3233="","",INDEX(ポート振替表!$N$5:$N$3507,$L3233)&amp;"")</f>
        <v/>
      </c>
      <c r="I3233" s="32" t="str">
        <f aca="false">IF(L3233="","",INDEX(ポート振替表!$P$5:$P$3507,$L3233)&amp;"")</f>
        <v/>
      </c>
      <c r="J3233" s="60" t="str">
        <f aca="false">IF(L3233="","",INDEX(ポート振替表!$M$5:$M$3507,$L3233)&amp;"")</f>
        <v/>
      </c>
      <c r="K3233" s="52" t="str">
        <f aca="false">IF(L3233="","",E3233&amp;CHAR(10)&amp;INDEX(ポート振替表!$K$5:$K$3507,$L3233)&amp;" "&amp;INDEX(ポート振替表!$L$5:$L$3507,$L3233)&amp;CHAR(10)&amp;"⇔ "&amp;INDEX(ポート振替表!$H$5:$H$3507,$L3233)&amp;" "&amp;INDEX(ポート振替表!$I$5:$I$3507,$L3233))</f>
        <v/>
      </c>
      <c r="L3233" s="47" t="str">
        <f aca="false">IFERROR(MATCH(ROW()-4,ポート振替表!$V$5:$V$3507,0),"")</f>
        <v/>
      </c>
    </row>
    <row r="3234" customFormat="false" ht="16.4" hidden="false" customHeight="false" outlineLevel="0" collapsed="false">
      <c r="A3234" s="32" t="str">
        <f aca="false">IF(L3234="","",ROW()-4)</f>
        <v/>
      </c>
      <c r="B3234" s="58" t="str">
        <f aca="false">IF(L3234="","",IF(INDEX(ポート振替表!$W$5:$W$3507,$L3234)="","(なし)",INDEX(ポート振替表!$W$5:$W$3507,$L3234)&amp;""))</f>
        <v/>
      </c>
      <c r="C3234" s="52" t="str">
        <f aca="false">IF(L3234="","",INDEX(ポート振替表!$B$5:$B$3507,$L3234)&amp;" "&amp;INDEX(ポート振替表!$C$5:$C$3507,$L3234)&amp;"  ⇔  "&amp;INDEX(ポート振替表!$H$5:$H$3507,$L3234)&amp;" "&amp;INDEX(ポート振替表!$I$5:$I$3507,$L3234))</f>
        <v/>
      </c>
      <c r="D3234" s="57" t="s">
        <v>158</v>
      </c>
      <c r="E3234" s="59" t="str">
        <f aca="false">IF(L3234="","",IF(INDEX(ポート振替表!$O$5:$O$3507,$L3234)="","(未設定)",INDEX(ポート振替表!$O$5:$O$3507,$L3234)&amp;""))</f>
        <v/>
      </c>
      <c r="F3234" s="52" t="str">
        <f aca="false">IF(L3234="","",INDEX(ポート振替表!$K$5:$K$3507,$L3234)&amp;" "&amp;INDEX(ポート振替表!$L$5:$L$3507,$L3234)&amp;"  ⇔  "&amp;INDEX(ポート振替表!$H$5:$H$3507,$L3234)&amp;" "&amp;INDEX(ポート振替表!$I$5:$I$3507,$L3234))</f>
        <v/>
      </c>
      <c r="G3234" s="57" t="s">
        <v>158</v>
      </c>
      <c r="H3234" s="32" t="str">
        <f aca="false">IF(L3234="","",INDEX(ポート振替表!$N$5:$N$3507,$L3234)&amp;"")</f>
        <v/>
      </c>
      <c r="I3234" s="32" t="str">
        <f aca="false">IF(L3234="","",INDEX(ポート振替表!$P$5:$P$3507,$L3234)&amp;"")</f>
        <v/>
      </c>
      <c r="J3234" s="60" t="str">
        <f aca="false">IF(L3234="","",INDEX(ポート振替表!$M$5:$M$3507,$L3234)&amp;"")</f>
        <v/>
      </c>
      <c r="K3234" s="52" t="str">
        <f aca="false">IF(L3234="","",E3234&amp;CHAR(10)&amp;INDEX(ポート振替表!$K$5:$K$3507,$L3234)&amp;" "&amp;INDEX(ポート振替表!$L$5:$L$3507,$L3234)&amp;CHAR(10)&amp;"⇔ "&amp;INDEX(ポート振替表!$H$5:$H$3507,$L3234)&amp;" "&amp;INDEX(ポート振替表!$I$5:$I$3507,$L3234))</f>
        <v/>
      </c>
      <c r="L3234" s="47" t="str">
        <f aca="false">IFERROR(MATCH(ROW()-4,ポート振替表!$V$5:$V$3507,0),"")</f>
        <v/>
      </c>
    </row>
    <row r="3235" customFormat="false" ht="16.4" hidden="false" customHeight="false" outlineLevel="0" collapsed="false">
      <c r="A3235" s="32" t="str">
        <f aca="false">IF(L3235="","",ROW()-4)</f>
        <v/>
      </c>
      <c r="B3235" s="58" t="str">
        <f aca="false">IF(L3235="","",IF(INDEX(ポート振替表!$W$5:$W$3507,$L3235)="","(なし)",INDEX(ポート振替表!$W$5:$W$3507,$L3235)&amp;""))</f>
        <v/>
      </c>
      <c r="C3235" s="52" t="str">
        <f aca="false">IF(L3235="","",INDEX(ポート振替表!$B$5:$B$3507,$L3235)&amp;" "&amp;INDEX(ポート振替表!$C$5:$C$3507,$L3235)&amp;"  ⇔  "&amp;INDEX(ポート振替表!$H$5:$H$3507,$L3235)&amp;" "&amp;INDEX(ポート振替表!$I$5:$I$3507,$L3235))</f>
        <v/>
      </c>
      <c r="D3235" s="57" t="s">
        <v>158</v>
      </c>
      <c r="E3235" s="59" t="str">
        <f aca="false">IF(L3235="","",IF(INDEX(ポート振替表!$O$5:$O$3507,$L3235)="","(未設定)",INDEX(ポート振替表!$O$5:$O$3507,$L3235)&amp;""))</f>
        <v/>
      </c>
      <c r="F3235" s="52" t="str">
        <f aca="false">IF(L3235="","",INDEX(ポート振替表!$K$5:$K$3507,$L3235)&amp;" "&amp;INDEX(ポート振替表!$L$5:$L$3507,$L3235)&amp;"  ⇔  "&amp;INDEX(ポート振替表!$H$5:$H$3507,$L3235)&amp;" "&amp;INDEX(ポート振替表!$I$5:$I$3507,$L3235))</f>
        <v/>
      </c>
      <c r="G3235" s="57" t="s">
        <v>158</v>
      </c>
      <c r="H3235" s="32" t="str">
        <f aca="false">IF(L3235="","",INDEX(ポート振替表!$N$5:$N$3507,$L3235)&amp;"")</f>
        <v/>
      </c>
      <c r="I3235" s="32" t="str">
        <f aca="false">IF(L3235="","",INDEX(ポート振替表!$P$5:$P$3507,$L3235)&amp;"")</f>
        <v/>
      </c>
      <c r="J3235" s="60" t="str">
        <f aca="false">IF(L3235="","",INDEX(ポート振替表!$M$5:$M$3507,$L3235)&amp;"")</f>
        <v/>
      </c>
      <c r="K3235" s="52" t="str">
        <f aca="false">IF(L3235="","",E3235&amp;CHAR(10)&amp;INDEX(ポート振替表!$K$5:$K$3507,$L3235)&amp;" "&amp;INDEX(ポート振替表!$L$5:$L$3507,$L3235)&amp;CHAR(10)&amp;"⇔ "&amp;INDEX(ポート振替表!$H$5:$H$3507,$L3235)&amp;" "&amp;INDEX(ポート振替表!$I$5:$I$3507,$L3235))</f>
        <v/>
      </c>
      <c r="L3235" s="47" t="str">
        <f aca="false">IFERROR(MATCH(ROW()-4,ポート振替表!$V$5:$V$3507,0),"")</f>
        <v/>
      </c>
    </row>
    <row r="3236" customFormat="false" ht="16.4" hidden="false" customHeight="false" outlineLevel="0" collapsed="false">
      <c r="A3236" s="32" t="str">
        <f aca="false">IF(L3236="","",ROW()-4)</f>
        <v/>
      </c>
      <c r="B3236" s="58" t="str">
        <f aca="false">IF(L3236="","",IF(INDEX(ポート振替表!$W$5:$W$3507,$L3236)="","(なし)",INDEX(ポート振替表!$W$5:$W$3507,$L3236)&amp;""))</f>
        <v/>
      </c>
      <c r="C3236" s="52" t="str">
        <f aca="false">IF(L3236="","",INDEX(ポート振替表!$B$5:$B$3507,$L3236)&amp;" "&amp;INDEX(ポート振替表!$C$5:$C$3507,$L3236)&amp;"  ⇔  "&amp;INDEX(ポート振替表!$H$5:$H$3507,$L3236)&amp;" "&amp;INDEX(ポート振替表!$I$5:$I$3507,$L3236))</f>
        <v/>
      </c>
      <c r="D3236" s="57" t="s">
        <v>158</v>
      </c>
      <c r="E3236" s="59" t="str">
        <f aca="false">IF(L3236="","",IF(INDEX(ポート振替表!$O$5:$O$3507,$L3236)="","(未設定)",INDEX(ポート振替表!$O$5:$O$3507,$L3236)&amp;""))</f>
        <v/>
      </c>
      <c r="F3236" s="52" t="str">
        <f aca="false">IF(L3236="","",INDEX(ポート振替表!$K$5:$K$3507,$L3236)&amp;" "&amp;INDEX(ポート振替表!$L$5:$L$3507,$L3236)&amp;"  ⇔  "&amp;INDEX(ポート振替表!$H$5:$H$3507,$L3236)&amp;" "&amp;INDEX(ポート振替表!$I$5:$I$3507,$L3236))</f>
        <v/>
      </c>
      <c r="G3236" s="57" t="s">
        <v>158</v>
      </c>
      <c r="H3236" s="32" t="str">
        <f aca="false">IF(L3236="","",INDEX(ポート振替表!$N$5:$N$3507,$L3236)&amp;"")</f>
        <v/>
      </c>
      <c r="I3236" s="32" t="str">
        <f aca="false">IF(L3236="","",INDEX(ポート振替表!$P$5:$P$3507,$L3236)&amp;"")</f>
        <v/>
      </c>
      <c r="J3236" s="60" t="str">
        <f aca="false">IF(L3236="","",INDEX(ポート振替表!$M$5:$M$3507,$L3236)&amp;"")</f>
        <v/>
      </c>
      <c r="K3236" s="52" t="str">
        <f aca="false">IF(L3236="","",E3236&amp;CHAR(10)&amp;INDEX(ポート振替表!$K$5:$K$3507,$L3236)&amp;" "&amp;INDEX(ポート振替表!$L$5:$L$3507,$L3236)&amp;CHAR(10)&amp;"⇔ "&amp;INDEX(ポート振替表!$H$5:$H$3507,$L3236)&amp;" "&amp;INDEX(ポート振替表!$I$5:$I$3507,$L3236))</f>
        <v/>
      </c>
      <c r="L3236" s="47" t="str">
        <f aca="false">IFERROR(MATCH(ROW()-4,ポート振替表!$V$5:$V$3507,0),"")</f>
        <v/>
      </c>
    </row>
    <row r="3237" customFormat="false" ht="16.4" hidden="false" customHeight="false" outlineLevel="0" collapsed="false">
      <c r="A3237" s="32" t="str">
        <f aca="false">IF(L3237="","",ROW()-4)</f>
        <v/>
      </c>
      <c r="B3237" s="58" t="str">
        <f aca="false">IF(L3237="","",IF(INDEX(ポート振替表!$W$5:$W$3507,$L3237)="","(なし)",INDEX(ポート振替表!$W$5:$W$3507,$L3237)&amp;""))</f>
        <v/>
      </c>
      <c r="C3237" s="52" t="str">
        <f aca="false">IF(L3237="","",INDEX(ポート振替表!$B$5:$B$3507,$L3237)&amp;" "&amp;INDEX(ポート振替表!$C$5:$C$3507,$L3237)&amp;"  ⇔  "&amp;INDEX(ポート振替表!$H$5:$H$3507,$L3237)&amp;" "&amp;INDEX(ポート振替表!$I$5:$I$3507,$L3237))</f>
        <v/>
      </c>
      <c r="D3237" s="57" t="s">
        <v>158</v>
      </c>
      <c r="E3237" s="59" t="str">
        <f aca="false">IF(L3237="","",IF(INDEX(ポート振替表!$O$5:$O$3507,$L3237)="","(未設定)",INDEX(ポート振替表!$O$5:$O$3507,$L3237)&amp;""))</f>
        <v/>
      </c>
      <c r="F3237" s="52" t="str">
        <f aca="false">IF(L3237="","",INDEX(ポート振替表!$K$5:$K$3507,$L3237)&amp;" "&amp;INDEX(ポート振替表!$L$5:$L$3507,$L3237)&amp;"  ⇔  "&amp;INDEX(ポート振替表!$H$5:$H$3507,$L3237)&amp;" "&amp;INDEX(ポート振替表!$I$5:$I$3507,$L3237))</f>
        <v/>
      </c>
      <c r="G3237" s="57" t="s">
        <v>158</v>
      </c>
      <c r="H3237" s="32" t="str">
        <f aca="false">IF(L3237="","",INDEX(ポート振替表!$N$5:$N$3507,$L3237)&amp;"")</f>
        <v/>
      </c>
      <c r="I3237" s="32" t="str">
        <f aca="false">IF(L3237="","",INDEX(ポート振替表!$P$5:$P$3507,$L3237)&amp;"")</f>
        <v/>
      </c>
      <c r="J3237" s="60" t="str">
        <f aca="false">IF(L3237="","",INDEX(ポート振替表!$M$5:$M$3507,$L3237)&amp;"")</f>
        <v/>
      </c>
      <c r="K3237" s="52" t="str">
        <f aca="false">IF(L3237="","",E3237&amp;CHAR(10)&amp;INDEX(ポート振替表!$K$5:$K$3507,$L3237)&amp;" "&amp;INDEX(ポート振替表!$L$5:$L$3507,$L3237)&amp;CHAR(10)&amp;"⇔ "&amp;INDEX(ポート振替表!$H$5:$H$3507,$L3237)&amp;" "&amp;INDEX(ポート振替表!$I$5:$I$3507,$L3237))</f>
        <v/>
      </c>
      <c r="L3237" s="47" t="str">
        <f aca="false">IFERROR(MATCH(ROW()-4,ポート振替表!$V$5:$V$3507,0),"")</f>
        <v/>
      </c>
    </row>
    <row r="3238" customFormat="false" ht="16.4" hidden="false" customHeight="false" outlineLevel="0" collapsed="false">
      <c r="A3238" s="32" t="str">
        <f aca="false">IF(L3238="","",ROW()-4)</f>
        <v/>
      </c>
      <c r="B3238" s="58" t="str">
        <f aca="false">IF(L3238="","",IF(INDEX(ポート振替表!$W$5:$W$3507,$L3238)="","(なし)",INDEX(ポート振替表!$W$5:$W$3507,$L3238)&amp;""))</f>
        <v/>
      </c>
      <c r="C3238" s="52" t="str">
        <f aca="false">IF(L3238="","",INDEX(ポート振替表!$B$5:$B$3507,$L3238)&amp;" "&amp;INDEX(ポート振替表!$C$5:$C$3507,$L3238)&amp;"  ⇔  "&amp;INDEX(ポート振替表!$H$5:$H$3507,$L3238)&amp;" "&amp;INDEX(ポート振替表!$I$5:$I$3507,$L3238))</f>
        <v/>
      </c>
      <c r="D3238" s="57" t="s">
        <v>158</v>
      </c>
      <c r="E3238" s="59" t="str">
        <f aca="false">IF(L3238="","",IF(INDEX(ポート振替表!$O$5:$O$3507,$L3238)="","(未設定)",INDEX(ポート振替表!$O$5:$O$3507,$L3238)&amp;""))</f>
        <v/>
      </c>
      <c r="F3238" s="52" t="str">
        <f aca="false">IF(L3238="","",INDEX(ポート振替表!$K$5:$K$3507,$L3238)&amp;" "&amp;INDEX(ポート振替表!$L$5:$L$3507,$L3238)&amp;"  ⇔  "&amp;INDEX(ポート振替表!$H$5:$H$3507,$L3238)&amp;" "&amp;INDEX(ポート振替表!$I$5:$I$3507,$L3238))</f>
        <v/>
      </c>
      <c r="G3238" s="57" t="s">
        <v>158</v>
      </c>
      <c r="H3238" s="32" t="str">
        <f aca="false">IF(L3238="","",INDEX(ポート振替表!$N$5:$N$3507,$L3238)&amp;"")</f>
        <v/>
      </c>
      <c r="I3238" s="32" t="str">
        <f aca="false">IF(L3238="","",INDEX(ポート振替表!$P$5:$P$3507,$L3238)&amp;"")</f>
        <v/>
      </c>
      <c r="J3238" s="60" t="str">
        <f aca="false">IF(L3238="","",INDEX(ポート振替表!$M$5:$M$3507,$L3238)&amp;"")</f>
        <v/>
      </c>
      <c r="K3238" s="52" t="str">
        <f aca="false">IF(L3238="","",E3238&amp;CHAR(10)&amp;INDEX(ポート振替表!$K$5:$K$3507,$L3238)&amp;" "&amp;INDEX(ポート振替表!$L$5:$L$3507,$L3238)&amp;CHAR(10)&amp;"⇔ "&amp;INDEX(ポート振替表!$H$5:$H$3507,$L3238)&amp;" "&amp;INDEX(ポート振替表!$I$5:$I$3507,$L3238))</f>
        <v/>
      </c>
      <c r="L3238" s="47" t="str">
        <f aca="false">IFERROR(MATCH(ROW()-4,ポート振替表!$V$5:$V$3507,0),"")</f>
        <v/>
      </c>
    </row>
    <row r="3239" customFormat="false" ht="16.4" hidden="false" customHeight="false" outlineLevel="0" collapsed="false">
      <c r="A3239" s="32" t="str">
        <f aca="false">IF(L3239="","",ROW()-4)</f>
        <v/>
      </c>
      <c r="B3239" s="58" t="str">
        <f aca="false">IF(L3239="","",IF(INDEX(ポート振替表!$W$5:$W$3507,$L3239)="","(なし)",INDEX(ポート振替表!$W$5:$W$3507,$L3239)&amp;""))</f>
        <v/>
      </c>
      <c r="C3239" s="52" t="str">
        <f aca="false">IF(L3239="","",INDEX(ポート振替表!$B$5:$B$3507,$L3239)&amp;" "&amp;INDEX(ポート振替表!$C$5:$C$3507,$L3239)&amp;"  ⇔  "&amp;INDEX(ポート振替表!$H$5:$H$3507,$L3239)&amp;" "&amp;INDEX(ポート振替表!$I$5:$I$3507,$L3239))</f>
        <v/>
      </c>
      <c r="D3239" s="57" t="s">
        <v>158</v>
      </c>
      <c r="E3239" s="59" t="str">
        <f aca="false">IF(L3239="","",IF(INDEX(ポート振替表!$O$5:$O$3507,$L3239)="","(未設定)",INDEX(ポート振替表!$O$5:$O$3507,$L3239)&amp;""))</f>
        <v/>
      </c>
      <c r="F3239" s="52" t="str">
        <f aca="false">IF(L3239="","",INDEX(ポート振替表!$K$5:$K$3507,$L3239)&amp;" "&amp;INDEX(ポート振替表!$L$5:$L$3507,$L3239)&amp;"  ⇔  "&amp;INDEX(ポート振替表!$H$5:$H$3507,$L3239)&amp;" "&amp;INDEX(ポート振替表!$I$5:$I$3507,$L3239))</f>
        <v/>
      </c>
      <c r="G3239" s="57" t="s">
        <v>158</v>
      </c>
      <c r="H3239" s="32" t="str">
        <f aca="false">IF(L3239="","",INDEX(ポート振替表!$N$5:$N$3507,$L3239)&amp;"")</f>
        <v/>
      </c>
      <c r="I3239" s="32" t="str">
        <f aca="false">IF(L3239="","",INDEX(ポート振替表!$P$5:$P$3507,$L3239)&amp;"")</f>
        <v/>
      </c>
      <c r="J3239" s="60" t="str">
        <f aca="false">IF(L3239="","",INDEX(ポート振替表!$M$5:$M$3507,$L3239)&amp;"")</f>
        <v/>
      </c>
      <c r="K3239" s="52" t="str">
        <f aca="false">IF(L3239="","",E3239&amp;CHAR(10)&amp;INDEX(ポート振替表!$K$5:$K$3507,$L3239)&amp;" "&amp;INDEX(ポート振替表!$L$5:$L$3507,$L3239)&amp;CHAR(10)&amp;"⇔ "&amp;INDEX(ポート振替表!$H$5:$H$3507,$L3239)&amp;" "&amp;INDEX(ポート振替表!$I$5:$I$3507,$L3239))</f>
        <v/>
      </c>
      <c r="L3239" s="47" t="str">
        <f aca="false">IFERROR(MATCH(ROW()-4,ポート振替表!$V$5:$V$3507,0),"")</f>
        <v/>
      </c>
    </row>
    <row r="3240" customFormat="false" ht="16.4" hidden="false" customHeight="false" outlineLevel="0" collapsed="false">
      <c r="A3240" s="32" t="str">
        <f aca="false">IF(L3240="","",ROW()-4)</f>
        <v/>
      </c>
      <c r="B3240" s="58" t="str">
        <f aca="false">IF(L3240="","",IF(INDEX(ポート振替表!$W$5:$W$3507,$L3240)="","(なし)",INDEX(ポート振替表!$W$5:$W$3507,$L3240)&amp;""))</f>
        <v/>
      </c>
      <c r="C3240" s="52" t="str">
        <f aca="false">IF(L3240="","",INDEX(ポート振替表!$B$5:$B$3507,$L3240)&amp;" "&amp;INDEX(ポート振替表!$C$5:$C$3507,$L3240)&amp;"  ⇔  "&amp;INDEX(ポート振替表!$H$5:$H$3507,$L3240)&amp;" "&amp;INDEX(ポート振替表!$I$5:$I$3507,$L3240))</f>
        <v/>
      </c>
      <c r="D3240" s="57" t="s">
        <v>158</v>
      </c>
      <c r="E3240" s="59" t="str">
        <f aca="false">IF(L3240="","",IF(INDEX(ポート振替表!$O$5:$O$3507,$L3240)="","(未設定)",INDEX(ポート振替表!$O$5:$O$3507,$L3240)&amp;""))</f>
        <v/>
      </c>
      <c r="F3240" s="52" t="str">
        <f aca="false">IF(L3240="","",INDEX(ポート振替表!$K$5:$K$3507,$L3240)&amp;" "&amp;INDEX(ポート振替表!$L$5:$L$3507,$L3240)&amp;"  ⇔  "&amp;INDEX(ポート振替表!$H$5:$H$3507,$L3240)&amp;" "&amp;INDEX(ポート振替表!$I$5:$I$3507,$L3240))</f>
        <v/>
      </c>
      <c r="G3240" s="57" t="s">
        <v>158</v>
      </c>
      <c r="H3240" s="32" t="str">
        <f aca="false">IF(L3240="","",INDEX(ポート振替表!$N$5:$N$3507,$L3240)&amp;"")</f>
        <v/>
      </c>
      <c r="I3240" s="32" t="str">
        <f aca="false">IF(L3240="","",INDEX(ポート振替表!$P$5:$P$3507,$L3240)&amp;"")</f>
        <v/>
      </c>
      <c r="J3240" s="60" t="str">
        <f aca="false">IF(L3240="","",INDEX(ポート振替表!$M$5:$M$3507,$L3240)&amp;"")</f>
        <v/>
      </c>
      <c r="K3240" s="52" t="str">
        <f aca="false">IF(L3240="","",E3240&amp;CHAR(10)&amp;INDEX(ポート振替表!$K$5:$K$3507,$L3240)&amp;" "&amp;INDEX(ポート振替表!$L$5:$L$3507,$L3240)&amp;CHAR(10)&amp;"⇔ "&amp;INDEX(ポート振替表!$H$5:$H$3507,$L3240)&amp;" "&amp;INDEX(ポート振替表!$I$5:$I$3507,$L3240))</f>
        <v/>
      </c>
      <c r="L3240" s="47" t="str">
        <f aca="false">IFERROR(MATCH(ROW()-4,ポート振替表!$V$5:$V$3507,0),"")</f>
        <v/>
      </c>
    </row>
    <row r="3241" customFormat="false" ht="16.4" hidden="false" customHeight="false" outlineLevel="0" collapsed="false">
      <c r="A3241" s="32" t="str">
        <f aca="false">IF(L3241="","",ROW()-4)</f>
        <v/>
      </c>
      <c r="B3241" s="58" t="str">
        <f aca="false">IF(L3241="","",IF(INDEX(ポート振替表!$W$5:$W$3507,$L3241)="","(なし)",INDEX(ポート振替表!$W$5:$W$3507,$L3241)&amp;""))</f>
        <v/>
      </c>
      <c r="C3241" s="52" t="str">
        <f aca="false">IF(L3241="","",INDEX(ポート振替表!$B$5:$B$3507,$L3241)&amp;" "&amp;INDEX(ポート振替表!$C$5:$C$3507,$L3241)&amp;"  ⇔  "&amp;INDEX(ポート振替表!$H$5:$H$3507,$L3241)&amp;" "&amp;INDEX(ポート振替表!$I$5:$I$3507,$L3241))</f>
        <v/>
      </c>
      <c r="D3241" s="57" t="s">
        <v>158</v>
      </c>
      <c r="E3241" s="59" t="str">
        <f aca="false">IF(L3241="","",IF(INDEX(ポート振替表!$O$5:$O$3507,$L3241)="","(未設定)",INDEX(ポート振替表!$O$5:$O$3507,$L3241)&amp;""))</f>
        <v/>
      </c>
      <c r="F3241" s="52" t="str">
        <f aca="false">IF(L3241="","",INDEX(ポート振替表!$K$5:$K$3507,$L3241)&amp;" "&amp;INDEX(ポート振替表!$L$5:$L$3507,$L3241)&amp;"  ⇔  "&amp;INDEX(ポート振替表!$H$5:$H$3507,$L3241)&amp;" "&amp;INDEX(ポート振替表!$I$5:$I$3507,$L3241))</f>
        <v/>
      </c>
      <c r="G3241" s="57" t="s">
        <v>158</v>
      </c>
      <c r="H3241" s="32" t="str">
        <f aca="false">IF(L3241="","",INDEX(ポート振替表!$N$5:$N$3507,$L3241)&amp;"")</f>
        <v/>
      </c>
      <c r="I3241" s="32" t="str">
        <f aca="false">IF(L3241="","",INDEX(ポート振替表!$P$5:$P$3507,$L3241)&amp;"")</f>
        <v/>
      </c>
      <c r="J3241" s="60" t="str">
        <f aca="false">IF(L3241="","",INDEX(ポート振替表!$M$5:$M$3507,$L3241)&amp;"")</f>
        <v/>
      </c>
      <c r="K3241" s="52" t="str">
        <f aca="false">IF(L3241="","",E3241&amp;CHAR(10)&amp;INDEX(ポート振替表!$K$5:$K$3507,$L3241)&amp;" "&amp;INDEX(ポート振替表!$L$5:$L$3507,$L3241)&amp;CHAR(10)&amp;"⇔ "&amp;INDEX(ポート振替表!$H$5:$H$3507,$L3241)&amp;" "&amp;INDEX(ポート振替表!$I$5:$I$3507,$L3241))</f>
        <v/>
      </c>
      <c r="L3241" s="47" t="str">
        <f aca="false">IFERROR(MATCH(ROW()-4,ポート振替表!$V$5:$V$3507,0),"")</f>
        <v/>
      </c>
    </row>
    <row r="3242" customFormat="false" ht="16.4" hidden="false" customHeight="false" outlineLevel="0" collapsed="false">
      <c r="A3242" s="32" t="str">
        <f aca="false">IF(L3242="","",ROW()-4)</f>
        <v/>
      </c>
      <c r="B3242" s="58" t="str">
        <f aca="false">IF(L3242="","",IF(INDEX(ポート振替表!$W$5:$W$3507,$L3242)="","(なし)",INDEX(ポート振替表!$W$5:$W$3507,$L3242)&amp;""))</f>
        <v/>
      </c>
      <c r="C3242" s="52" t="str">
        <f aca="false">IF(L3242="","",INDEX(ポート振替表!$B$5:$B$3507,$L3242)&amp;" "&amp;INDEX(ポート振替表!$C$5:$C$3507,$L3242)&amp;"  ⇔  "&amp;INDEX(ポート振替表!$H$5:$H$3507,$L3242)&amp;" "&amp;INDEX(ポート振替表!$I$5:$I$3507,$L3242))</f>
        <v/>
      </c>
      <c r="D3242" s="57" t="s">
        <v>158</v>
      </c>
      <c r="E3242" s="59" t="str">
        <f aca="false">IF(L3242="","",IF(INDEX(ポート振替表!$O$5:$O$3507,$L3242)="","(未設定)",INDEX(ポート振替表!$O$5:$O$3507,$L3242)&amp;""))</f>
        <v/>
      </c>
      <c r="F3242" s="52" t="str">
        <f aca="false">IF(L3242="","",INDEX(ポート振替表!$K$5:$K$3507,$L3242)&amp;" "&amp;INDEX(ポート振替表!$L$5:$L$3507,$L3242)&amp;"  ⇔  "&amp;INDEX(ポート振替表!$H$5:$H$3507,$L3242)&amp;" "&amp;INDEX(ポート振替表!$I$5:$I$3507,$L3242))</f>
        <v/>
      </c>
      <c r="G3242" s="57" t="s">
        <v>158</v>
      </c>
      <c r="H3242" s="32" t="str">
        <f aca="false">IF(L3242="","",INDEX(ポート振替表!$N$5:$N$3507,$L3242)&amp;"")</f>
        <v/>
      </c>
      <c r="I3242" s="32" t="str">
        <f aca="false">IF(L3242="","",INDEX(ポート振替表!$P$5:$P$3507,$L3242)&amp;"")</f>
        <v/>
      </c>
      <c r="J3242" s="60" t="str">
        <f aca="false">IF(L3242="","",INDEX(ポート振替表!$M$5:$M$3507,$L3242)&amp;"")</f>
        <v/>
      </c>
      <c r="K3242" s="52" t="str">
        <f aca="false">IF(L3242="","",E3242&amp;CHAR(10)&amp;INDEX(ポート振替表!$K$5:$K$3507,$L3242)&amp;" "&amp;INDEX(ポート振替表!$L$5:$L$3507,$L3242)&amp;CHAR(10)&amp;"⇔ "&amp;INDEX(ポート振替表!$H$5:$H$3507,$L3242)&amp;" "&amp;INDEX(ポート振替表!$I$5:$I$3507,$L3242))</f>
        <v/>
      </c>
      <c r="L3242" s="47" t="str">
        <f aca="false">IFERROR(MATCH(ROW()-4,ポート振替表!$V$5:$V$3507,0),"")</f>
        <v/>
      </c>
    </row>
    <row r="3243" customFormat="false" ht="16.4" hidden="false" customHeight="false" outlineLevel="0" collapsed="false">
      <c r="A3243" s="32" t="str">
        <f aca="false">IF(L3243="","",ROW()-4)</f>
        <v/>
      </c>
      <c r="B3243" s="58" t="str">
        <f aca="false">IF(L3243="","",IF(INDEX(ポート振替表!$W$5:$W$3507,$L3243)="","(なし)",INDEX(ポート振替表!$W$5:$W$3507,$L3243)&amp;""))</f>
        <v/>
      </c>
      <c r="C3243" s="52" t="str">
        <f aca="false">IF(L3243="","",INDEX(ポート振替表!$B$5:$B$3507,$L3243)&amp;" "&amp;INDEX(ポート振替表!$C$5:$C$3507,$L3243)&amp;"  ⇔  "&amp;INDEX(ポート振替表!$H$5:$H$3507,$L3243)&amp;" "&amp;INDEX(ポート振替表!$I$5:$I$3507,$L3243))</f>
        <v/>
      </c>
      <c r="D3243" s="57" t="s">
        <v>158</v>
      </c>
      <c r="E3243" s="59" t="str">
        <f aca="false">IF(L3243="","",IF(INDEX(ポート振替表!$O$5:$O$3507,$L3243)="","(未設定)",INDEX(ポート振替表!$O$5:$O$3507,$L3243)&amp;""))</f>
        <v/>
      </c>
      <c r="F3243" s="52" t="str">
        <f aca="false">IF(L3243="","",INDEX(ポート振替表!$K$5:$K$3507,$L3243)&amp;" "&amp;INDEX(ポート振替表!$L$5:$L$3507,$L3243)&amp;"  ⇔  "&amp;INDEX(ポート振替表!$H$5:$H$3507,$L3243)&amp;" "&amp;INDEX(ポート振替表!$I$5:$I$3507,$L3243))</f>
        <v/>
      </c>
      <c r="G3243" s="57" t="s">
        <v>158</v>
      </c>
      <c r="H3243" s="32" t="str">
        <f aca="false">IF(L3243="","",INDEX(ポート振替表!$N$5:$N$3507,$L3243)&amp;"")</f>
        <v/>
      </c>
      <c r="I3243" s="32" t="str">
        <f aca="false">IF(L3243="","",INDEX(ポート振替表!$P$5:$P$3507,$L3243)&amp;"")</f>
        <v/>
      </c>
      <c r="J3243" s="60" t="str">
        <f aca="false">IF(L3243="","",INDEX(ポート振替表!$M$5:$M$3507,$L3243)&amp;"")</f>
        <v/>
      </c>
      <c r="K3243" s="52" t="str">
        <f aca="false">IF(L3243="","",E3243&amp;CHAR(10)&amp;INDEX(ポート振替表!$K$5:$K$3507,$L3243)&amp;" "&amp;INDEX(ポート振替表!$L$5:$L$3507,$L3243)&amp;CHAR(10)&amp;"⇔ "&amp;INDEX(ポート振替表!$H$5:$H$3507,$L3243)&amp;" "&amp;INDEX(ポート振替表!$I$5:$I$3507,$L3243))</f>
        <v/>
      </c>
      <c r="L3243" s="47" t="str">
        <f aca="false">IFERROR(MATCH(ROW()-4,ポート振替表!$V$5:$V$3507,0),"")</f>
        <v/>
      </c>
    </row>
    <row r="3244" customFormat="false" ht="16.4" hidden="false" customHeight="false" outlineLevel="0" collapsed="false">
      <c r="A3244" s="32" t="str">
        <f aca="false">IF(L3244="","",ROW()-4)</f>
        <v/>
      </c>
      <c r="B3244" s="58" t="str">
        <f aca="false">IF(L3244="","",IF(INDEX(ポート振替表!$W$5:$W$3507,$L3244)="","(なし)",INDEX(ポート振替表!$W$5:$W$3507,$L3244)&amp;""))</f>
        <v/>
      </c>
      <c r="C3244" s="52" t="str">
        <f aca="false">IF(L3244="","",INDEX(ポート振替表!$B$5:$B$3507,$L3244)&amp;" "&amp;INDEX(ポート振替表!$C$5:$C$3507,$L3244)&amp;"  ⇔  "&amp;INDEX(ポート振替表!$H$5:$H$3507,$L3244)&amp;" "&amp;INDEX(ポート振替表!$I$5:$I$3507,$L3244))</f>
        <v/>
      </c>
      <c r="D3244" s="57" t="s">
        <v>158</v>
      </c>
      <c r="E3244" s="59" t="str">
        <f aca="false">IF(L3244="","",IF(INDEX(ポート振替表!$O$5:$O$3507,$L3244)="","(未設定)",INDEX(ポート振替表!$O$5:$O$3507,$L3244)&amp;""))</f>
        <v/>
      </c>
      <c r="F3244" s="52" t="str">
        <f aca="false">IF(L3244="","",INDEX(ポート振替表!$K$5:$K$3507,$L3244)&amp;" "&amp;INDEX(ポート振替表!$L$5:$L$3507,$L3244)&amp;"  ⇔  "&amp;INDEX(ポート振替表!$H$5:$H$3507,$L3244)&amp;" "&amp;INDEX(ポート振替表!$I$5:$I$3507,$L3244))</f>
        <v/>
      </c>
      <c r="G3244" s="57" t="s">
        <v>158</v>
      </c>
      <c r="H3244" s="32" t="str">
        <f aca="false">IF(L3244="","",INDEX(ポート振替表!$N$5:$N$3507,$L3244)&amp;"")</f>
        <v/>
      </c>
      <c r="I3244" s="32" t="str">
        <f aca="false">IF(L3244="","",INDEX(ポート振替表!$P$5:$P$3507,$L3244)&amp;"")</f>
        <v/>
      </c>
      <c r="J3244" s="60" t="str">
        <f aca="false">IF(L3244="","",INDEX(ポート振替表!$M$5:$M$3507,$L3244)&amp;"")</f>
        <v/>
      </c>
      <c r="K3244" s="52" t="str">
        <f aca="false">IF(L3244="","",E3244&amp;CHAR(10)&amp;INDEX(ポート振替表!$K$5:$K$3507,$L3244)&amp;" "&amp;INDEX(ポート振替表!$L$5:$L$3507,$L3244)&amp;CHAR(10)&amp;"⇔ "&amp;INDEX(ポート振替表!$H$5:$H$3507,$L3244)&amp;" "&amp;INDEX(ポート振替表!$I$5:$I$3507,$L3244))</f>
        <v/>
      </c>
      <c r="L3244" s="47" t="str">
        <f aca="false">IFERROR(MATCH(ROW()-4,ポート振替表!$V$5:$V$3507,0),"")</f>
        <v/>
      </c>
    </row>
    <row r="3245" customFormat="false" ht="16.4" hidden="false" customHeight="false" outlineLevel="0" collapsed="false">
      <c r="A3245" s="32" t="str">
        <f aca="false">IF(L3245="","",ROW()-4)</f>
        <v/>
      </c>
      <c r="B3245" s="58" t="str">
        <f aca="false">IF(L3245="","",IF(INDEX(ポート振替表!$W$5:$W$3507,$L3245)="","(なし)",INDEX(ポート振替表!$W$5:$W$3507,$L3245)&amp;""))</f>
        <v/>
      </c>
      <c r="C3245" s="52" t="str">
        <f aca="false">IF(L3245="","",INDEX(ポート振替表!$B$5:$B$3507,$L3245)&amp;" "&amp;INDEX(ポート振替表!$C$5:$C$3507,$L3245)&amp;"  ⇔  "&amp;INDEX(ポート振替表!$H$5:$H$3507,$L3245)&amp;" "&amp;INDEX(ポート振替表!$I$5:$I$3507,$L3245))</f>
        <v/>
      </c>
      <c r="D3245" s="57" t="s">
        <v>158</v>
      </c>
      <c r="E3245" s="59" t="str">
        <f aca="false">IF(L3245="","",IF(INDEX(ポート振替表!$O$5:$O$3507,$L3245)="","(未設定)",INDEX(ポート振替表!$O$5:$O$3507,$L3245)&amp;""))</f>
        <v/>
      </c>
      <c r="F3245" s="52" t="str">
        <f aca="false">IF(L3245="","",INDEX(ポート振替表!$K$5:$K$3507,$L3245)&amp;" "&amp;INDEX(ポート振替表!$L$5:$L$3507,$L3245)&amp;"  ⇔  "&amp;INDEX(ポート振替表!$H$5:$H$3507,$L3245)&amp;" "&amp;INDEX(ポート振替表!$I$5:$I$3507,$L3245))</f>
        <v/>
      </c>
      <c r="G3245" s="57" t="s">
        <v>158</v>
      </c>
      <c r="H3245" s="32" t="str">
        <f aca="false">IF(L3245="","",INDEX(ポート振替表!$N$5:$N$3507,$L3245)&amp;"")</f>
        <v/>
      </c>
      <c r="I3245" s="32" t="str">
        <f aca="false">IF(L3245="","",INDEX(ポート振替表!$P$5:$P$3507,$L3245)&amp;"")</f>
        <v/>
      </c>
      <c r="J3245" s="60" t="str">
        <f aca="false">IF(L3245="","",INDEX(ポート振替表!$M$5:$M$3507,$L3245)&amp;"")</f>
        <v/>
      </c>
      <c r="K3245" s="52" t="str">
        <f aca="false">IF(L3245="","",E3245&amp;CHAR(10)&amp;INDEX(ポート振替表!$K$5:$K$3507,$L3245)&amp;" "&amp;INDEX(ポート振替表!$L$5:$L$3507,$L3245)&amp;CHAR(10)&amp;"⇔ "&amp;INDEX(ポート振替表!$H$5:$H$3507,$L3245)&amp;" "&amp;INDEX(ポート振替表!$I$5:$I$3507,$L3245))</f>
        <v/>
      </c>
      <c r="L3245" s="47" t="str">
        <f aca="false">IFERROR(MATCH(ROW()-4,ポート振替表!$V$5:$V$3507,0),"")</f>
        <v/>
      </c>
    </row>
    <row r="3246" customFormat="false" ht="16.4" hidden="false" customHeight="false" outlineLevel="0" collapsed="false">
      <c r="A3246" s="32" t="str">
        <f aca="false">IF(L3246="","",ROW()-4)</f>
        <v/>
      </c>
      <c r="B3246" s="58" t="str">
        <f aca="false">IF(L3246="","",IF(INDEX(ポート振替表!$W$5:$W$3507,$L3246)="","(なし)",INDEX(ポート振替表!$W$5:$W$3507,$L3246)&amp;""))</f>
        <v/>
      </c>
      <c r="C3246" s="52" t="str">
        <f aca="false">IF(L3246="","",INDEX(ポート振替表!$B$5:$B$3507,$L3246)&amp;" "&amp;INDEX(ポート振替表!$C$5:$C$3507,$L3246)&amp;"  ⇔  "&amp;INDEX(ポート振替表!$H$5:$H$3507,$L3246)&amp;" "&amp;INDEX(ポート振替表!$I$5:$I$3507,$L3246))</f>
        <v/>
      </c>
      <c r="D3246" s="57" t="s">
        <v>158</v>
      </c>
      <c r="E3246" s="59" t="str">
        <f aca="false">IF(L3246="","",IF(INDEX(ポート振替表!$O$5:$O$3507,$L3246)="","(未設定)",INDEX(ポート振替表!$O$5:$O$3507,$L3246)&amp;""))</f>
        <v/>
      </c>
      <c r="F3246" s="52" t="str">
        <f aca="false">IF(L3246="","",INDEX(ポート振替表!$K$5:$K$3507,$L3246)&amp;" "&amp;INDEX(ポート振替表!$L$5:$L$3507,$L3246)&amp;"  ⇔  "&amp;INDEX(ポート振替表!$H$5:$H$3507,$L3246)&amp;" "&amp;INDEX(ポート振替表!$I$5:$I$3507,$L3246))</f>
        <v/>
      </c>
      <c r="G3246" s="57" t="s">
        <v>158</v>
      </c>
      <c r="H3246" s="32" t="str">
        <f aca="false">IF(L3246="","",INDEX(ポート振替表!$N$5:$N$3507,$L3246)&amp;"")</f>
        <v/>
      </c>
      <c r="I3246" s="32" t="str">
        <f aca="false">IF(L3246="","",INDEX(ポート振替表!$P$5:$P$3507,$L3246)&amp;"")</f>
        <v/>
      </c>
      <c r="J3246" s="60" t="str">
        <f aca="false">IF(L3246="","",INDEX(ポート振替表!$M$5:$M$3507,$L3246)&amp;"")</f>
        <v/>
      </c>
      <c r="K3246" s="52" t="str">
        <f aca="false">IF(L3246="","",E3246&amp;CHAR(10)&amp;INDEX(ポート振替表!$K$5:$K$3507,$L3246)&amp;" "&amp;INDEX(ポート振替表!$L$5:$L$3507,$L3246)&amp;CHAR(10)&amp;"⇔ "&amp;INDEX(ポート振替表!$H$5:$H$3507,$L3246)&amp;" "&amp;INDEX(ポート振替表!$I$5:$I$3507,$L3246))</f>
        <v/>
      </c>
      <c r="L3246" s="47" t="str">
        <f aca="false">IFERROR(MATCH(ROW()-4,ポート振替表!$V$5:$V$3507,0),"")</f>
        <v/>
      </c>
    </row>
    <row r="3247" customFormat="false" ht="16.4" hidden="false" customHeight="false" outlineLevel="0" collapsed="false">
      <c r="A3247" s="32" t="str">
        <f aca="false">IF(L3247="","",ROW()-4)</f>
        <v/>
      </c>
      <c r="B3247" s="58" t="str">
        <f aca="false">IF(L3247="","",IF(INDEX(ポート振替表!$W$5:$W$3507,$L3247)="","(なし)",INDEX(ポート振替表!$W$5:$W$3507,$L3247)&amp;""))</f>
        <v/>
      </c>
      <c r="C3247" s="52" t="str">
        <f aca="false">IF(L3247="","",INDEX(ポート振替表!$B$5:$B$3507,$L3247)&amp;" "&amp;INDEX(ポート振替表!$C$5:$C$3507,$L3247)&amp;"  ⇔  "&amp;INDEX(ポート振替表!$H$5:$H$3507,$L3247)&amp;" "&amp;INDEX(ポート振替表!$I$5:$I$3507,$L3247))</f>
        <v/>
      </c>
      <c r="D3247" s="57" t="s">
        <v>158</v>
      </c>
      <c r="E3247" s="59" t="str">
        <f aca="false">IF(L3247="","",IF(INDEX(ポート振替表!$O$5:$O$3507,$L3247)="","(未設定)",INDEX(ポート振替表!$O$5:$O$3507,$L3247)&amp;""))</f>
        <v/>
      </c>
      <c r="F3247" s="52" t="str">
        <f aca="false">IF(L3247="","",INDEX(ポート振替表!$K$5:$K$3507,$L3247)&amp;" "&amp;INDEX(ポート振替表!$L$5:$L$3507,$L3247)&amp;"  ⇔  "&amp;INDEX(ポート振替表!$H$5:$H$3507,$L3247)&amp;" "&amp;INDEX(ポート振替表!$I$5:$I$3507,$L3247))</f>
        <v/>
      </c>
      <c r="G3247" s="57" t="s">
        <v>158</v>
      </c>
      <c r="H3247" s="32" t="str">
        <f aca="false">IF(L3247="","",INDEX(ポート振替表!$N$5:$N$3507,$L3247)&amp;"")</f>
        <v/>
      </c>
      <c r="I3247" s="32" t="str">
        <f aca="false">IF(L3247="","",INDEX(ポート振替表!$P$5:$P$3507,$L3247)&amp;"")</f>
        <v/>
      </c>
      <c r="J3247" s="60" t="str">
        <f aca="false">IF(L3247="","",INDEX(ポート振替表!$M$5:$M$3507,$L3247)&amp;"")</f>
        <v/>
      </c>
      <c r="K3247" s="52" t="str">
        <f aca="false">IF(L3247="","",E3247&amp;CHAR(10)&amp;INDEX(ポート振替表!$K$5:$K$3507,$L3247)&amp;" "&amp;INDEX(ポート振替表!$L$5:$L$3507,$L3247)&amp;CHAR(10)&amp;"⇔ "&amp;INDEX(ポート振替表!$H$5:$H$3507,$L3247)&amp;" "&amp;INDEX(ポート振替表!$I$5:$I$3507,$L3247))</f>
        <v/>
      </c>
      <c r="L3247" s="47" t="str">
        <f aca="false">IFERROR(MATCH(ROW()-4,ポート振替表!$V$5:$V$3507,0),"")</f>
        <v/>
      </c>
    </row>
    <row r="3248" customFormat="false" ht="16.4" hidden="false" customHeight="false" outlineLevel="0" collapsed="false">
      <c r="A3248" s="32" t="str">
        <f aca="false">IF(L3248="","",ROW()-4)</f>
        <v/>
      </c>
      <c r="B3248" s="58" t="str">
        <f aca="false">IF(L3248="","",IF(INDEX(ポート振替表!$W$5:$W$3507,$L3248)="","(なし)",INDEX(ポート振替表!$W$5:$W$3507,$L3248)&amp;""))</f>
        <v/>
      </c>
      <c r="C3248" s="52" t="str">
        <f aca="false">IF(L3248="","",INDEX(ポート振替表!$B$5:$B$3507,$L3248)&amp;" "&amp;INDEX(ポート振替表!$C$5:$C$3507,$L3248)&amp;"  ⇔  "&amp;INDEX(ポート振替表!$H$5:$H$3507,$L3248)&amp;" "&amp;INDEX(ポート振替表!$I$5:$I$3507,$L3248))</f>
        <v/>
      </c>
      <c r="D3248" s="57" t="s">
        <v>158</v>
      </c>
      <c r="E3248" s="59" t="str">
        <f aca="false">IF(L3248="","",IF(INDEX(ポート振替表!$O$5:$O$3507,$L3248)="","(未設定)",INDEX(ポート振替表!$O$5:$O$3507,$L3248)&amp;""))</f>
        <v/>
      </c>
      <c r="F3248" s="52" t="str">
        <f aca="false">IF(L3248="","",INDEX(ポート振替表!$K$5:$K$3507,$L3248)&amp;" "&amp;INDEX(ポート振替表!$L$5:$L$3507,$L3248)&amp;"  ⇔  "&amp;INDEX(ポート振替表!$H$5:$H$3507,$L3248)&amp;" "&amp;INDEX(ポート振替表!$I$5:$I$3507,$L3248))</f>
        <v/>
      </c>
      <c r="G3248" s="57" t="s">
        <v>158</v>
      </c>
      <c r="H3248" s="32" t="str">
        <f aca="false">IF(L3248="","",INDEX(ポート振替表!$N$5:$N$3507,$L3248)&amp;"")</f>
        <v/>
      </c>
      <c r="I3248" s="32" t="str">
        <f aca="false">IF(L3248="","",INDEX(ポート振替表!$P$5:$P$3507,$L3248)&amp;"")</f>
        <v/>
      </c>
      <c r="J3248" s="60" t="str">
        <f aca="false">IF(L3248="","",INDEX(ポート振替表!$M$5:$M$3507,$L3248)&amp;"")</f>
        <v/>
      </c>
      <c r="K3248" s="52" t="str">
        <f aca="false">IF(L3248="","",E3248&amp;CHAR(10)&amp;INDEX(ポート振替表!$K$5:$K$3507,$L3248)&amp;" "&amp;INDEX(ポート振替表!$L$5:$L$3507,$L3248)&amp;CHAR(10)&amp;"⇔ "&amp;INDEX(ポート振替表!$H$5:$H$3507,$L3248)&amp;" "&amp;INDEX(ポート振替表!$I$5:$I$3507,$L3248))</f>
        <v/>
      </c>
      <c r="L3248" s="47" t="str">
        <f aca="false">IFERROR(MATCH(ROW()-4,ポート振替表!$V$5:$V$3507,0),"")</f>
        <v/>
      </c>
    </row>
    <row r="3249" customFormat="false" ht="16.4" hidden="false" customHeight="false" outlineLevel="0" collapsed="false">
      <c r="A3249" s="32" t="str">
        <f aca="false">IF(L3249="","",ROW()-4)</f>
        <v/>
      </c>
      <c r="B3249" s="58" t="str">
        <f aca="false">IF(L3249="","",IF(INDEX(ポート振替表!$W$5:$W$3507,$L3249)="","(なし)",INDEX(ポート振替表!$W$5:$W$3507,$L3249)&amp;""))</f>
        <v/>
      </c>
      <c r="C3249" s="52" t="str">
        <f aca="false">IF(L3249="","",INDEX(ポート振替表!$B$5:$B$3507,$L3249)&amp;" "&amp;INDEX(ポート振替表!$C$5:$C$3507,$L3249)&amp;"  ⇔  "&amp;INDEX(ポート振替表!$H$5:$H$3507,$L3249)&amp;" "&amp;INDEX(ポート振替表!$I$5:$I$3507,$L3249))</f>
        <v/>
      </c>
      <c r="D3249" s="57" t="s">
        <v>158</v>
      </c>
      <c r="E3249" s="59" t="str">
        <f aca="false">IF(L3249="","",IF(INDEX(ポート振替表!$O$5:$O$3507,$L3249)="","(未設定)",INDEX(ポート振替表!$O$5:$O$3507,$L3249)&amp;""))</f>
        <v/>
      </c>
      <c r="F3249" s="52" t="str">
        <f aca="false">IF(L3249="","",INDEX(ポート振替表!$K$5:$K$3507,$L3249)&amp;" "&amp;INDEX(ポート振替表!$L$5:$L$3507,$L3249)&amp;"  ⇔  "&amp;INDEX(ポート振替表!$H$5:$H$3507,$L3249)&amp;" "&amp;INDEX(ポート振替表!$I$5:$I$3507,$L3249))</f>
        <v/>
      </c>
      <c r="G3249" s="57" t="s">
        <v>158</v>
      </c>
      <c r="H3249" s="32" t="str">
        <f aca="false">IF(L3249="","",INDEX(ポート振替表!$N$5:$N$3507,$L3249)&amp;"")</f>
        <v/>
      </c>
      <c r="I3249" s="32" t="str">
        <f aca="false">IF(L3249="","",INDEX(ポート振替表!$P$5:$P$3507,$L3249)&amp;"")</f>
        <v/>
      </c>
      <c r="J3249" s="60" t="str">
        <f aca="false">IF(L3249="","",INDEX(ポート振替表!$M$5:$M$3507,$L3249)&amp;"")</f>
        <v/>
      </c>
      <c r="K3249" s="52" t="str">
        <f aca="false">IF(L3249="","",E3249&amp;CHAR(10)&amp;INDEX(ポート振替表!$K$5:$K$3507,$L3249)&amp;" "&amp;INDEX(ポート振替表!$L$5:$L$3507,$L3249)&amp;CHAR(10)&amp;"⇔ "&amp;INDEX(ポート振替表!$H$5:$H$3507,$L3249)&amp;" "&amp;INDEX(ポート振替表!$I$5:$I$3507,$L3249))</f>
        <v/>
      </c>
      <c r="L3249" s="47" t="str">
        <f aca="false">IFERROR(MATCH(ROW()-4,ポート振替表!$V$5:$V$3507,0),"")</f>
        <v/>
      </c>
    </row>
    <row r="3250" customFormat="false" ht="16.4" hidden="false" customHeight="false" outlineLevel="0" collapsed="false">
      <c r="A3250" s="32" t="str">
        <f aca="false">IF(L3250="","",ROW()-4)</f>
        <v/>
      </c>
      <c r="B3250" s="58" t="str">
        <f aca="false">IF(L3250="","",IF(INDEX(ポート振替表!$W$5:$W$3507,$L3250)="","(なし)",INDEX(ポート振替表!$W$5:$W$3507,$L3250)&amp;""))</f>
        <v/>
      </c>
      <c r="C3250" s="52" t="str">
        <f aca="false">IF(L3250="","",INDEX(ポート振替表!$B$5:$B$3507,$L3250)&amp;" "&amp;INDEX(ポート振替表!$C$5:$C$3507,$L3250)&amp;"  ⇔  "&amp;INDEX(ポート振替表!$H$5:$H$3507,$L3250)&amp;" "&amp;INDEX(ポート振替表!$I$5:$I$3507,$L3250))</f>
        <v/>
      </c>
      <c r="D3250" s="57" t="s">
        <v>158</v>
      </c>
      <c r="E3250" s="59" t="str">
        <f aca="false">IF(L3250="","",IF(INDEX(ポート振替表!$O$5:$O$3507,$L3250)="","(未設定)",INDEX(ポート振替表!$O$5:$O$3507,$L3250)&amp;""))</f>
        <v/>
      </c>
      <c r="F3250" s="52" t="str">
        <f aca="false">IF(L3250="","",INDEX(ポート振替表!$K$5:$K$3507,$L3250)&amp;" "&amp;INDEX(ポート振替表!$L$5:$L$3507,$L3250)&amp;"  ⇔  "&amp;INDEX(ポート振替表!$H$5:$H$3507,$L3250)&amp;" "&amp;INDEX(ポート振替表!$I$5:$I$3507,$L3250))</f>
        <v/>
      </c>
      <c r="G3250" s="57" t="s">
        <v>158</v>
      </c>
      <c r="H3250" s="32" t="str">
        <f aca="false">IF(L3250="","",INDEX(ポート振替表!$N$5:$N$3507,$L3250)&amp;"")</f>
        <v/>
      </c>
      <c r="I3250" s="32" t="str">
        <f aca="false">IF(L3250="","",INDEX(ポート振替表!$P$5:$P$3507,$L3250)&amp;"")</f>
        <v/>
      </c>
      <c r="J3250" s="60" t="str">
        <f aca="false">IF(L3250="","",INDEX(ポート振替表!$M$5:$M$3507,$L3250)&amp;"")</f>
        <v/>
      </c>
      <c r="K3250" s="52" t="str">
        <f aca="false">IF(L3250="","",E3250&amp;CHAR(10)&amp;INDEX(ポート振替表!$K$5:$K$3507,$L3250)&amp;" "&amp;INDEX(ポート振替表!$L$5:$L$3507,$L3250)&amp;CHAR(10)&amp;"⇔ "&amp;INDEX(ポート振替表!$H$5:$H$3507,$L3250)&amp;" "&amp;INDEX(ポート振替表!$I$5:$I$3507,$L3250))</f>
        <v/>
      </c>
      <c r="L3250" s="47" t="str">
        <f aca="false">IFERROR(MATCH(ROW()-4,ポート振替表!$V$5:$V$3507,0),"")</f>
        <v/>
      </c>
    </row>
    <row r="3251" customFormat="false" ht="16.4" hidden="false" customHeight="false" outlineLevel="0" collapsed="false">
      <c r="A3251" s="32" t="str">
        <f aca="false">IF(L3251="","",ROW()-4)</f>
        <v/>
      </c>
      <c r="B3251" s="58" t="str">
        <f aca="false">IF(L3251="","",IF(INDEX(ポート振替表!$W$5:$W$3507,$L3251)="","(なし)",INDEX(ポート振替表!$W$5:$W$3507,$L3251)&amp;""))</f>
        <v/>
      </c>
      <c r="C3251" s="52" t="str">
        <f aca="false">IF(L3251="","",INDEX(ポート振替表!$B$5:$B$3507,$L3251)&amp;" "&amp;INDEX(ポート振替表!$C$5:$C$3507,$L3251)&amp;"  ⇔  "&amp;INDEX(ポート振替表!$H$5:$H$3507,$L3251)&amp;" "&amp;INDEX(ポート振替表!$I$5:$I$3507,$L3251))</f>
        <v/>
      </c>
      <c r="D3251" s="57" t="s">
        <v>158</v>
      </c>
      <c r="E3251" s="59" t="str">
        <f aca="false">IF(L3251="","",IF(INDEX(ポート振替表!$O$5:$O$3507,$L3251)="","(未設定)",INDEX(ポート振替表!$O$5:$O$3507,$L3251)&amp;""))</f>
        <v/>
      </c>
      <c r="F3251" s="52" t="str">
        <f aca="false">IF(L3251="","",INDEX(ポート振替表!$K$5:$K$3507,$L3251)&amp;" "&amp;INDEX(ポート振替表!$L$5:$L$3507,$L3251)&amp;"  ⇔  "&amp;INDEX(ポート振替表!$H$5:$H$3507,$L3251)&amp;" "&amp;INDEX(ポート振替表!$I$5:$I$3507,$L3251))</f>
        <v/>
      </c>
      <c r="G3251" s="57" t="s">
        <v>158</v>
      </c>
      <c r="H3251" s="32" t="str">
        <f aca="false">IF(L3251="","",INDEX(ポート振替表!$N$5:$N$3507,$L3251)&amp;"")</f>
        <v/>
      </c>
      <c r="I3251" s="32" t="str">
        <f aca="false">IF(L3251="","",INDEX(ポート振替表!$P$5:$P$3507,$L3251)&amp;"")</f>
        <v/>
      </c>
      <c r="J3251" s="60" t="str">
        <f aca="false">IF(L3251="","",INDEX(ポート振替表!$M$5:$M$3507,$L3251)&amp;"")</f>
        <v/>
      </c>
      <c r="K3251" s="52" t="str">
        <f aca="false">IF(L3251="","",E3251&amp;CHAR(10)&amp;INDEX(ポート振替表!$K$5:$K$3507,$L3251)&amp;" "&amp;INDEX(ポート振替表!$L$5:$L$3507,$L3251)&amp;CHAR(10)&amp;"⇔ "&amp;INDEX(ポート振替表!$H$5:$H$3507,$L3251)&amp;" "&amp;INDEX(ポート振替表!$I$5:$I$3507,$L3251))</f>
        <v/>
      </c>
      <c r="L3251" s="47" t="str">
        <f aca="false">IFERROR(MATCH(ROW()-4,ポート振替表!$V$5:$V$3507,0),"")</f>
        <v/>
      </c>
    </row>
    <row r="3252" customFormat="false" ht="16.4" hidden="false" customHeight="false" outlineLevel="0" collapsed="false">
      <c r="A3252" s="32" t="str">
        <f aca="false">IF(L3252="","",ROW()-4)</f>
        <v/>
      </c>
      <c r="B3252" s="58" t="str">
        <f aca="false">IF(L3252="","",IF(INDEX(ポート振替表!$W$5:$W$3507,$L3252)="","(なし)",INDEX(ポート振替表!$W$5:$W$3507,$L3252)&amp;""))</f>
        <v/>
      </c>
      <c r="C3252" s="52" t="str">
        <f aca="false">IF(L3252="","",INDEX(ポート振替表!$B$5:$B$3507,$L3252)&amp;" "&amp;INDEX(ポート振替表!$C$5:$C$3507,$L3252)&amp;"  ⇔  "&amp;INDEX(ポート振替表!$H$5:$H$3507,$L3252)&amp;" "&amp;INDEX(ポート振替表!$I$5:$I$3507,$L3252))</f>
        <v/>
      </c>
      <c r="D3252" s="57" t="s">
        <v>158</v>
      </c>
      <c r="E3252" s="59" t="str">
        <f aca="false">IF(L3252="","",IF(INDEX(ポート振替表!$O$5:$O$3507,$L3252)="","(未設定)",INDEX(ポート振替表!$O$5:$O$3507,$L3252)&amp;""))</f>
        <v/>
      </c>
      <c r="F3252" s="52" t="str">
        <f aca="false">IF(L3252="","",INDEX(ポート振替表!$K$5:$K$3507,$L3252)&amp;" "&amp;INDEX(ポート振替表!$L$5:$L$3507,$L3252)&amp;"  ⇔  "&amp;INDEX(ポート振替表!$H$5:$H$3507,$L3252)&amp;" "&amp;INDEX(ポート振替表!$I$5:$I$3507,$L3252))</f>
        <v/>
      </c>
      <c r="G3252" s="57" t="s">
        <v>158</v>
      </c>
      <c r="H3252" s="32" t="str">
        <f aca="false">IF(L3252="","",INDEX(ポート振替表!$N$5:$N$3507,$L3252)&amp;"")</f>
        <v/>
      </c>
      <c r="I3252" s="32" t="str">
        <f aca="false">IF(L3252="","",INDEX(ポート振替表!$P$5:$P$3507,$L3252)&amp;"")</f>
        <v/>
      </c>
      <c r="J3252" s="60" t="str">
        <f aca="false">IF(L3252="","",INDEX(ポート振替表!$M$5:$M$3507,$L3252)&amp;"")</f>
        <v/>
      </c>
      <c r="K3252" s="52" t="str">
        <f aca="false">IF(L3252="","",E3252&amp;CHAR(10)&amp;INDEX(ポート振替表!$K$5:$K$3507,$L3252)&amp;" "&amp;INDEX(ポート振替表!$L$5:$L$3507,$L3252)&amp;CHAR(10)&amp;"⇔ "&amp;INDEX(ポート振替表!$H$5:$H$3507,$L3252)&amp;" "&amp;INDEX(ポート振替表!$I$5:$I$3507,$L3252))</f>
        <v/>
      </c>
      <c r="L3252" s="47" t="str">
        <f aca="false">IFERROR(MATCH(ROW()-4,ポート振替表!$V$5:$V$3507,0),"")</f>
        <v/>
      </c>
    </row>
    <row r="3253" customFormat="false" ht="16.4" hidden="false" customHeight="false" outlineLevel="0" collapsed="false">
      <c r="A3253" s="32" t="str">
        <f aca="false">IF(L3253="","",ROW()-4)</f>
        <v/>
      </c>
      <c r="B3253" s="58" t="str">
        <f aca="false">IF(L3253="","",IF(INDEX(ポート振替表!$W$5:$W$3507,$L3253)="","(なし)",INDEX(ポート振替表!$W$5:$W$3507,$L3253)&amp;""))</f>
        <v/>
      </c>
      <c r="C3253" s="52" t="str">
        <f aca="false">IF(L3253="","",INDEX(ポート振替表!$B$5:$B$3507,$L3253)&amp;" "&amp;INDEX(ポート振替表!$C$5:$C$3507,$L3253)&amp;"  ⇔  "&amp;INDEX(ポート振替表!$H$5:$H$3507,$L3253)&amp;" "&amp;INDEX(ポート振替表!$I$5:$I$3507,$L3253))</f>
        <v/>
      </c>
      <c r="D3253" s="57" t="s">
        <v>158</v>
      </c>
      <c r="E3253" s="59" t="str">
        <f aca="false">IF(L3253="","",IF(INDEX(ポート振替表!$O$5:$O$3507,$L3253)="","(未設定)",INDEX(ポート振替表!$O$5:$O$3507,$L3253)&amp;""))</f>
        <v/>
      </c>
      <c r="F3253" s="52" t="str">
        <f aca="false">IF(L3253="","",INDEX(ポート振替表!$K$5:$K$3507,$L3253)&amp;" "&amp;INDEX(ポート振替表!$L$5:$L$3507,$L3253)&amp;"  ⇔  "&amp;INDEX(ポート振替表!$H$5:$H$3507,$L3253)&amp;" "&amp;INDEX(ポート振替表!$I$5:$I$3507,$L3253))</f>
        <v/>
      </c>
      <c r="G3253" s="57" t="s">
        <v>158</v>
      </c>
      <c r="H3253" s="32" t="str">
        <f aca="false">IF(L3253="","",INDEX(ポート振替表!$N$5:$N$3507,$L3253)&amp;"")</f>
        <v/>
      </c>
      <c r="I3253" s="32" t="str">
        <f aca="false">IF(L3253="","",INDEX(ポート振替表!$P$5:$P$3507,$L3253)&amp;"")</f>
        <v/>
      </c>
      <c r="J3253" s="60" t="str">
        <f aca="false">IF(L3253="","",INDEX(ポート振替表!$M$5:$M$3507,$L3253)&amp;"")</f>
        <v/>
      </c>
      <c r="K3253" s="52" t="str">
        <f aca="false">IF(L3253="","",E3253&amp;CHAR(10)&amp;INDEX(ポート振替表!$K$5:$K$3507,$L3253)&amp;" "&amp;INDEX(ポート振替表!$L$5:$L$3507,$L3253)&amp;CHAR(10)&amp;"⇔ "&amp;INDEX(ポート振替表!$H$5:$H$3507,$L3253)&amp;" "&amp;INDEX(ポート振替表!$I$5:$I$3507,$L3253))</f>
        <v/>
      </c>
      <c r="L3253" s="47" t="str">
        <f aca="false">IFERROR(MATCH(ROW()-4,ポート振替表!$V$5:$V$3507,0),"")</f>
        <v/>
      </c>
    </row>
    <row r="3254" customFormat="false" ht="16.4" hidden="false" customHeight="false" outlineLevel="0" collapsed="false">
      <c r="A3254" s="32" t="str">
        <f aca="false">IF(L3254="","",ROW()-4)</f>
        <v/>
      </c>
      <c r="B3254" s="58" t="str">
        <f aca="false">IF(L3254="","",IF(INDEX(ポート振替表!$W$5:$W$3507,$L3254)="","(なし)",INDEX(ポート振替表!$W$5:$W$3507,$L3254)&amp;""))</f>
        <v/>
      </c>
      <c r="C3254" s="52" t="str">
        <f aca="false">IF(L3254="","",INDEX(ポート振替表!$B$5:$B$3507,$L3254)&amp;" "&amp;INDEX(ポート振替表!$C$5:$C$3507,$L3254)&amp;"  ⇔  "&amp;INDEX(ポート振替表!$H$5:$H$3507,$L3254)&amp;" "&amp;INDEX(ポート振替表!$I$5:$I$3507,$L3254))</f>
        <v/>
      </c>
      <c r="D3254" s="57" t="s">
        <v>158</v>
      </c>
      <c r="E3254" s="59" t="str">
        <f aca="false">IF(L3254="","",IF(INDEX(ポート振替表!$O$5:$O$3507,$L3254)="","(未設定)",INDEX(ポート振替表!$O$5:$O$3507,$L3254)&amp;""))</f>
        <v/>
      </c>
      <c r="F3254" s="52" t="str">
        <f aca="false">IF(L3254="","",INDEX(ポート振替表!$K$5:$K$3507,$L3254)&amp;" "&amp;INDEX(ポート振替表!$L$5:$L$3507,$L3254)&amp;"  ⇔  "&amp;INDEX(ポート振替表!$H$5:$H$3507,$L3254)&amp;" "&amp;INDEX(ポート振替表!$I$5:$I$3507,$L3254))</f>
        <v/>
      </c>
      <c r="G3254" s="57" t="s">
        <v>158</v>
      </c>
      <c r="H3254" s="32" t="str">
        <f aca="false">IF(L3254="","",INDEX(ポート振替表!$N$5:$N$3507,$L3254)&amp;"")</f>
        <v/>
      </c>
      <c r="I3254" s="32" t="str">
        <f aca="false">IF(L3254="","",INDEX(ポート振替表!$P$5:$P$3507,$L3254)&amp;"")</f>
        <v/>
      </c>
      <c r="J3254" s="60" t="str">
        <f aca="false">IF(L3254="","",INDEX(ポート振替表!$M$5:$M$3507,$L3254)&amp;"")</f>
        <v/>
      </c>
      <c r="K3254" s="52" t="str">
        <f aca="false">IF(L3254="","",E3254&amp;CHAR(10)&amp;INDEX(ポート振替表!$K$5:$K$3507,$L3254)&amp;" "&amp;INDEX(ポート振替表!$L$5:$L$3507,$L3254)&amp;CHAR(10)&amp;"⇔ "&amp;INDEX(ポート振替表!$H$5:$H$3507,$L3254)&amp;" "&amp;INDEX(ポート振替表!$I$5:$I$3507,$L3254))</f>
        <v/>
      </c>
      <c r="L3254" s="47" t="str">
        <f aca="false">IFERROR(MATCH(ROW()-4,ポート振替表!$V$5:$V$3507,0),"")</f>
        <v/>
      </c>
    </row>
    <row r="3255" customFormat="false" ht="16.4" hidden="false" customHeight="false" outlineLevel="0" collapsed="false">
      <c r="A3255" s="32" t="str">
        <f aca="false">IF(L3255="","",ROW()-4)</f>
        <v/>
      </c>
      <c r="B3255" s="58" t="str">
        <f aca="false">IF(L3255="","",IF(INDEX(ポート振替表!$W$5:$W$3507,$L3255)="","(なし)",INDEX(ポート振替表!$W$5:$W$3507,$L3255)&amp;""))</f>
        <v/>
      </c>
      <c r="C3255" s="52" t="str">
        <f aca="false">IF(L3255="","",INDEX(ポート振替表!$B$5:$B$3507,$L3255)&amp;" "&amp;INDEX(ポート振替表!$C$5:$C$3507,$L3255)&amp;"  ⇔  "&amp;INDEX(ポート振替表!$H$5:$H$3507,$L3255)&amp;" "&amp;INDEX(ポート振替表!$I$5:$I$3507,$L3255))</f>
        <v/>
      </c>
      <c r="D3255" s="57" t="s">
        <v>158</v>
      </c>
      <c r="E3255" s="59" t="str">
        <f aca="false">IF(L3255="","",IF(INDEX(ポート振替表!$O$5:$O$3507,$L3255)="","(未設定)",INDEX(ポート振替表!$O$5:$O$3507,$L3255)&amp;""))</f>
        <v/>
      </c>
      <c r="F3255" s="52" t="str">
        <f aca="false">IF(L3255="","",INDEX(ポート振替表!$K$5:$K$3507,$L3255)&amp;" "&amp;INDEX(ポート振替表!$L$5:$L$3507,$L3255)&amp;"  ⇔  "&amp;INDEX(ポート振替表!$H$5:$H$3507,$L3255)&amp;" "&amp;INDEX(ポート振替表!$I$5:$I$3507,$L3255))</f>
        <v/>
      </c>
      <c r="G3255" s="57" t="s">
        <v>158</v>
      </c>
      <c r="H3255" s="32" t="str">
        <f aca="false">IF(L3255="","",INDEX(ポート振替表!$N$5:$N$3507,$L3255)&amp;"")</f>
        <v/>
      </c>
      <c r="I3255" s="32" t="str">
        <f aca="false">IF(L3255="","",INDEX(ポート振替表!$P$5:$P$3507,$L3255)&amp;"")</f>
        <v/>
      </c>
      <c r="J3255" s="60" t="str">
        <f aca="false">IF(L3255="","",INDEX(ポート振替表!$M$5:$M$3507,$L3255)&amp;"")</f>
        <v/>
      </c>
      <c r="K3255" s="52" t="str">
        <f aca="false">IF(L3255="","",E3255&amp;CHAR(10)&amp;INDEX(ポート振替表!$K$5:$K$3507,$L3255)&amp;" "&amp;INDEX(ポート振替表!$L$5:$L$3507,$L3255)&amp;CHAR(10)&amp;"⇔ "&amp;INDEX(ポート振替表!$H$5:$H$3507,$L3255)&amp;" "&amp;INDEX(ポート振替表!$I$5:$I$3507,$L3255))</f>
        <v/>
      </c>
      <c r="L3255" s="47" t="str">
        <f aca="false">IFERROR(MATCH(ROW()-4,ポート振替表!$V$5:$V$3507,0),"")</f>
        <v/>
      </c>
    </row>
    <row r="3256" customFormat="false" ht="16.4" hidden="false" customHeight="false" outlineLevel="0" collapsed="false">
      <c r="A3256" s="32" t="str">
        <f aca="false">IF(L3256="","",ROW()-4)</f>
        <v/>
      </c>
      <c r="B3256" s="58" t="str">
        <f aca="false">IF(L3256="","",IF(INDEX(ポート振替表!$W$5:$W$3507,$L3256)="","(なし)",INDEX(ポート振替表!$W$5:$W$3507,$L3256)&amp;""))</f>
        <v/>
      </c>
      <c r="C3256" s="52" t="str">
        <f aca="false">IF(L3256="","",INDEX(ポート振替表!$B$5:$B$3507,$L3256)&amp;" "&amp;INDEX(ポート振替表!$C$5:$C$3507,$L3256)&amp;"  ⇔  "&amp;INDEX(ポート振替表!$H$5:$H$3507,$L3256)&amp;" "&amp;INDEX(ポート振替表!$I$5:$I$3507,$L3256))</f>
        <v/>
      </c>
      <c r="D3256" s="57" t="s">
        <v>158</v>
      </c>
      <c r="E3256" s="59" t="str">
        <f aca="false">IF(L3256="","",IF(INDEX(ポート振替表!$O$5:$O$3507,$L3256)="","(未設定)",INDEX(ポート振替表!$O$5:$O$3507,$L3256)&amp;""))</f>
        <v/>
      </c>
      <c r="F3256" s="52" t="str">
        <f aca="false">IF(L3256="","",INDEX(ポート振替表!$K$5:$K$3507,$L3256)&amp;" "&amp;INDEX(ポート振替表!$L$5:$L$3507,$L3256)&amp;"  ⇔  "&amp;INDEX(ポート振替表!$H$5:$H$3507,$L3256)&amp;" "&amp;INDEX(ポート振替表!$I$5:$I$3507,$L3256))</f>
        <v/>
      </c>
      <c r="G3256" s="57" t="s">
        <v>158</v>
      </c>
      <c r="H3256" s="32" t="str">
        <f aca="false">IF(L3256="","",INDEX(ポート振替表!$N$5:$N$3507,$L3256)&amp;"")</f>
        <v/>
      </c>
      <c r="I3256" s="32" t="str">
        <f aca="false">IF(L3256="","",INDEX(ポート振替表!$P$5:$P$3507,$L3256)&amp;"")</f>
        <v/>
      </c>
      <c r="J3256" s="60" t="str">
        <f aca="false">IF(L3256="","",INDEX(ポート振替表!$M$5:$M$3507,$L3256)&amp;"")</f>
        <v/>
      </c>
      <c r="K3256" s="52" t="str">
        <f aca="false">IF(L3256="","",E3256&amp;CHAR(10)&amp;INDEX(ポート振替表!$K$5:$K$3507,$L3256)&amp;" "&amp;INDEX(ポート振替表!$L$5:$L$3507,$L3256)&amp;CHAR(10)&amp;"⇔ "&amp;INDEX(ポート振替表!$H$5:$H$3507,$L3256)&amp;" "&amp;INDEX(ポート振替表!$I$5:$I$3507,$L3256))</f>
        <v/>
      </c>
      <c r="L3256" s="47" t="str">
        <f aca="false">IFERROR(MATCH(ROW()-4,ポート振替表!$V$5:$V$3507,0),"")</f>
        <v/>
      </c>
    </row>
    <row r="3257" customFormat="false" ht="16.4" hidden="false" customHeight="false" outlineLevel="0" collapsed="false">
      <c r="A3257" s="32" t="str">
        <f aca="false">IF(L3257="","",ROW()-4)</f>
        <v/>
      </c>
      <c r="B3257" s="58" t="str">
        <f aca="false">IF(L3257="","",IF(INDEX(ポート振替表!$W$5:$W$3507,$L3257)="","(なし)",INDEX(ポート振替表!$W$5:$W$3507,$L3257)&amp;""))</f>
        <v/>
      </c>
      <c r="C3257" s="52" t="str">
        <f aca="false">IF(L3257="","",INDEX(ポート振替表!$B$5:$B$3507,$L3257)&amp;" "&amp;INDEX(ポート振替表!$C$5:$C$3507,$L3257)&amp;"  ⇔  "&amp;INDEX(ポート振替表!$H$5:$H$3507,$L3257)&amp;" "&amp;INDEX(ポート振替表!$I$5:$I$3507,$L3257))</f>
        <v/>
      </c>
      <c r="D3257" s="57" t="s">
        <v>158</v>
      </c>
      <c r="E3257" s="59" t="str">
        <f aca="false">IF(L3257="","",IF(INDEX(ポート振替表!$O$5:$O$3507,$L3257)="","(未設定)",INDEX(ポート振替表!$O$5:$O$3507,$L3257)&amp;""))</f>
        <v/>
      </c>
      <c r="F3257" s="52" t="str">
        <f aca="false">IF(L3257="","",INDEX(ポート振替表!$K$5:$K$3507,$L3257)&amp;" "&amp;INDEX(ポート振替表!$L$5:$L$3507,$L3257)&amp;"  ⇔  "&amp;INDEX(ポート振替表!$H$5:$H$3507,$L3257)&amp;" "&amp;INDEX(ポート振替表!$I$5:$I$3507,$L3257))</f>
        <v/>
      </c>
      <c r="G3257" s="57" t="s">
        <v>158</v>
      </c>
      <c r="H3257" s="32" t="str">
        <f aca="false">IF(L3257="","",INDEX(ポート振替表!$N$5:$N$3507,$L3257)&amp;"")</f>
        <v/>
      </c>
      <c r="I3257" s="32" t="str">
        <f aca="false">IF(L3257="","",INDEX(ポート振替表!$P$5:$P$3507,$L3257)&amp;"")</f>
        <v/>
      </c>
      <c r="J3257" s="60" t="str">
        <f aca="false">IF(L3257="","",INDEX(ポート振替表!$M$5:$M$3507,$L3257)&amp;"")</f>
        <v/>
      </c>
      <c r="K3257" s="52" t="str">
        <f aca="false">IF(L3257="","",E3257&amp;CHAR(10)&amp;INDEX(ポート振替表!$K$5:$K$3507,$L3257)&amp;" "&amp;INDEX(ポート振替表!$L$5:$L$3507,$L3257)&amp;CHAR(10)&amp;"⇔ "&amp;INDEX(ポート振替表!$H$5:$H$3507,$L3257)&amp;" "&amp;INDEX(ポート振替表!$I$5:$I$3507,$L3257))</f>
        <v/>
      </c>
      <c r="L3257" s="47" t="str">
        <f aca="false">IFERROR(MATCH(ROW()-4,ポート振替表!$V$5:$V$3507,0),"")</f>
        <v/>
      </c>
    </row>
    <row r="3258" customFormat="false" ht="16.4" hidden="false" customHeight="false" outlineLevel="0" collapsed="false">
      <c r="A3258" s="32" t="str">
        <f aca="false">IF(L3258="","",ROW()-4)</f>
        <v/>
      </c>
      <c r="B3258" s="58" t="str">
        <f aca="false">IF(L3258="","",IF(INDEX(ポート振替表!$W$5:$W$3507,$L3258)="","(なし)",INDEX(ポート振替表!$W$5:$W$3507,$L3258)&amp;""))</f>
        <v/>
      </c>
      <c r="C3258" s="52" t="str">
        <f aca="false">IF(L3258="","",INDEX(ポート振替表!$B$5:$B$3507,$L3258)&amp;" "&amp;INDEX(ポート振替表!$C$5:$C$3507,$L3258)&amp;"  ⇔  "&amp;INDEX(ポート振替表!$H$5:$H$3507,$L3258)&amp;" "&amp;INDEX(ポート振替表!$I$5:$I$3507,$L3258))</f>
        <v/>
      </c>
      <c r="D3258" s="57" t="s">
        <v>158</v>
      </c>
      <c r="E3258" s="59" t="str">
        <f aca="false">IF(L3258="","",IF(INDEX(ポート振替表!$O$5:$O$3507,$L3258)="","(未設定)",INDEX(ポート振替表!$O$5:$O$3507,$L3258)&amp;""))</f>
        <v/>
      </c>
      <c r="F3258" s="52" t="str">
        <f aca="false">IF(L3258="","",INDEX(ポート振替表!$K$5:$K$3507,$L3258)&amp;" "&amp;INDEX(ポート振替表!$L$5:$L$3507,$L3258)&amp;"  ⇔  "&amp;INDEX(ポート振替表!$H$5:$H$3507,$L3258)&amp;" "&amp;INDEX(ポート振替表!$I$5:$I$3507,$L3258))</f>
        <v/>
      </c>
      <c r="G3258" s="57" t="s">
        <v>158</v>
      </c>
      <c r="H3258" s="32" t="str">
        <f aca="false">IF(L3258="","",INDEX(ポート振替表!$N$5:$N$3507,$L3258)&amp;"")</f>
        <v/>
      </c>
      <c r="I3258" s="32" t="str">
        <f aca="false">IF(L3258="","",INDEX(ポート振替表!$P$5:$P$3507,$L3258)&amp;"")</f>
        <v/>
      </c>
      <c r="J3258" s="60" t="str">
        <f aca="false">IF(L3258="","",INDEX(ポート振替表!$M$5:$M$3507,$L3258)&amp;"")</f>
        <v/>
      </c>
      <c r="K3258" s="52" t="str">
        <f aca="false">IF(L3258="","",E3258&amp;CHAR(10)&amp;INDEX(ポート振替表!$K$5:$K$3507,$L3258)&amp;" "&amp;INDEX(ポート振替表!$L$5:$L$3507,$L3258)&amp;CHAR(10)&amp;"⇔ "&amp;INDEX(ポート振替表!$H$5:$H$3507,$L3258)&amp;" "&amp;INDEX(ポート振替表!$I$5:$I$3507,$L3258))</f>
        <v/>
      </c>
      <c r="L3258" s="47" t="str">
        <f aca="false">IFERROR(MATCH(ROW()-4,ポート振替表!$V$5:$V$3507,0),"")</f>
        <v/>
      </c>
    </row>
    <row r="3259" customFormat="false" ht="16.4" hidden="false" customHeight="false" outlineLevel="0" collapsed="false">
      <c r="A3259" s="32" t="str">
        <f aca="false">IF(L3259="","",ROW()-4)</f>
        <v/>
      </c>
      <c r="B3259" s="58" t="str">
        <f aca="false">IF(L3259="","",IF(INDEX(ポート振替表!$W$5:$W$3507,$L3259)="","(なし)",INDEX(ポート振替表!$W$5:$W$3507,$L3259)&amp;""))</f>
        <v/>
      </c>
      <c r="C3259" s="52" t="str">
        <f aca="false">IF(L3259="","",INDEX(ポート振替表!$B$5:$B$3507,$L3259)&amp;" "&amp;INDEX(ポート振替表!$C$5:$C$3507,$L3259)&amp;"  ⇔  "&amp;INDEX(ポート振替表!$H$5:$H$3507,$L3259)&amp;" "&amp;INDEX(ポート振替表!$I$5:$I$3507,$L3259))</f>
        <v/>
      </c>
      <c r="D3259" s="57" t="s">
        <v>158</v>
      </c>
      <c r="E3259" s="59" t="str">
        <f aca="false">IF(L3259="","",IF(INDEX(ポート振替表!$O$5:$O$3507,$L3259)="","(未設定)",INDEX(ポート振替表!$O$5:$O$3507,$L3259)&amp;""))</f>
        <v/>
      </c>
      <c r="F3259" s="52" t="str">
        <f aca="false">IF(L3259="","",INDEX(ポート振替表!$K$5:$K$3507,$L3259)&amp;" "&amp;INDEX(ポート振替表!$L$5:$L$3507,$L3259)&amp;"  ⇔  "&amp;INDEX(ポート振替表!$H$5:$H$3507,$L3259)&amp;" "&amp;INDEX(ポート振替表!$I$5:$I$3507,$L3259))</f>
        <v/>
      </c>
      <c r="G3259" s="57" t="s">
        <v>158</v>
      </c>
      <c r="H3259" s="32" t="str">
        <f aca="false">IF(L3259="","",INDEX(ポート振替表!$N$5:$N$3507,$L3259)&amp;"")</f>
        <v/>
      </c>
      <c r="I3259" s="32" t="str">
        <f aca="false">IF(L3259="","",INDEX(ポート振替表!$P$5:$P$3507,$L3259)&amp;"")</f>
        <v/>
      </c>
      <c r="J3259" s="60" t="str">
        <f aca="false">IF(L3259="","",INDEX(ポート振替表!$M$5:$M$3507,$L3259)&amp;"")</f>
        <v/>
      </c>
      <c r="K3259" s="52" t="str">
        <f aca="false">IF(L3259="","",E3259&amp;CHAR(10)&amp;INDEX(ポート振替表!$K$5:$K$3507,$L3259)&amp;" "&amp;INDEX(ポート振替表!$L$5:$L$3507,$L3259)&amp;CHAR(10)&amp;"⇔ "&amp;INDEX(ポート振替表!$H$5:$H$3507,$L3259)&amp;" "&amp;INDEX(ポート振替表!$I$5:$I$3507,$L3259))</f>
        <v/>
      </c>
      <c r="L3259" s="47" t="str">
        <f aca="false">IFERROR(MATCH(ROW()-4,ポート振替表!$V$5:$V$3507,0),"")</f>
        <v/>
      </c>
    </row>
    <row r="3260" customFormat="false" ht="16.4" hidden="false" customHeight="false" outlineLevel="0" collapsed="false">
      <c r="A3260" s="32" t="str">
        <f aca="false">IF(L3260="","",ROW()-4)</f>
        <v/>
      </c>
      <c r="B3260" s="58" t="str">
        <f aca="false">IF(L3260="","",IF(INDEX(ポート振替表!$W$5:$W$3507,$L3260)="","(なし)",INDEX(ポート振替表!$W$5:$W$3507,$L3260)&amp;""))</f>
        <v/>
      </c>
      <c r="C3260" s="52" t="str">
        <f aca="false">IF(L3260="","",INDEX(ポート振替表!$B$5:$B$3507,$L3260)&amp;" "&amp;INDEX(ポート振替表!$C$5:$C$3507,$L3260)&amp;"  ⇔  "&amp;INDEX(ポート振替表!$H$5:$H$3507,$L3260)&amp;" "&amp;INDEX(ポート振替表!$I$5:$I$3507,$L3260))</f>
        <v/>
      </c>
      <c r="D3260" s="57" t="s">
        <v>158</v>
      </c>
      <c r="E3260" s="59" t="str">
        <f aca="false">IF(L3260="","",IF(INDEX(ポート振替表!$O$5:$O$3507,$L3260)="","(未設定)",INDEX(ポート振替表!$O$5:$O$3507,$L3260)&amp;""))</f>
        <v/>
      </c>
      <c r="F3260" s="52" t="str">
        <f aca="false">IF(L3260="","",INDEX(ポート振替表!$K$5:$K$3507,$L3260)&amp;" "&amp;INDEX(ポート振替表!$L$5:$L$3507,$L3260)&amp;"  ⇔  "&amp;INDEX(ポート振替表!$H$5:$H$3507,$L3260)&amp;" "&amp;INDEX(ポート振替表!$I$5:$I$3507,$L3260))</f>
        <v/>
      </c>
      <c r="G3260" s="57" t="s">
        <v>158</v>
      </c>
      <c r="H3260" s="32" t="str">
        <f aca="false">IF(L3260="","",INDEX(ポート振替表!$N$5:$N$3507,$L3260)&amp;"")</f>
        <v/>
      </c>
      <c r="I3260" s="32" t="str">
        <f aca="false">IF(L3260="","",INDEX(ポート振替表!$P$5:$P$3507,$L3260)&amp;"")</f>
        <v/>
      </c>
      <c r="J3260" s="60" t="str">
        <f aca="false">IF(L3260="","",INDEX(ポート振替表!$M$5:$M$3507,$L3260)&amp;"")</f>
        <v/>
      </c>
      <c r="K3260" s="52" t="str">
        <f aca="false">IF(L3260="","",E3260&amp;CHAR(10)&amp;INDEX(ポート振替表!$K$5:$K$3507,$L3260)&amp;" "&amp;INDEX(ポート振替表!$L$5:$L$3507,$L3260)&amp;CHAR(10)&amp;"⇔ "&amp;INDEX(ポート振替表!$H$5:$H$3507,$L3260)&amp;" "&amp;INDEX(ポート振替表!$I$5:$I$3507,$L3260))</f>
        <v/>
      </c>
      <c r="L3260" s="47" t="str">
        <f aca="false">IFERROR(MATCH(ROW()-4,ポート振替表!$V$5:$V$3507,0),"")</f>
        <v/>
      </c>
    </row>
    <row r="3261" customFormat="false" ht="16.4" hidden="false" customHeight="false" outlineLevel="0" collapsed="false">
      <c r="A3261" s="32" t="str">
        <f aca="false">IF(L3261="","",ROW()-4)</f>
        <v/>
      </c>
      <c r="B3261" s="58" t="str">
        <f aca="false">IF(L3261="","",IF(INDEX(ポート振替表!$W$5:$W$3507,$L3261)="","(なし)",INDEX(ポート振替表!$W$5:$W$3507,$L3261)&amp;""))</f>
        <v/>
      </c>
      <c r="C3261" s="52" t="str">
        <f aca="false">IF(L3261="","",INDEX(ポート振替表!$B$5:$B$3507,$L3261)&amp;" "&amp;INDEX(ポート振替表!$C$5:$C$3507,$L3261)&amp;"  ⇔  "&amp;INDEX(ポート振替表!$H$5:$H$3507,$L3261)&amp;" "&amp;INDEX(ポート振替表!$I$5:$I$3507,$L3261))</f>
        <v/>
      </c>
      <c r="D3261" s="57" t="s">
        <v>158</v>
      </c>
      <c r="E3261" s="59" t="str">
        <f aca="false">IF(L3261="","",IF(INDEX(ポート振替表!$O$5:$O$3507,$L3261)="","(未設定)",INDEX(ポート振替表!$O$5:$O$3507,$L3261)&amp;""))</f>
        <v/>
      </c>
      <c r="F3261" s="52" t="str">
        <f aca="false">IF(L3261="","",INDEX(ポート振替表!$K$5:$K$3507,$L3261)&amp;" "&amp;INDEX(ポート振替表!$L$5:$L$3507,$L3261)&amp;"  ⇔  "&amp;INDEX(ポート振替表!$H$5:$H$3507,$L3261)&amp;" "&amp;INDEX(ポート振替表!$I$5:$I$3507,$L3261))</f>
        <v/>
      </c>
      <c r="G3261" s="57" t="s">
        <v>158</v>
      </c>
      <c r="H3261" s="32" t="str">
        <f aca="false">IF(L3261="","",INDEX(ポート振替表!$N$5:$N$3507,$L3261)&amp;"")</f>
        <v/>
      </c>
      <c r="I3261" s="32" t="str">
        <f aca="false">IF(L3261="","",INDEX(ポート振替表!$P$5:$P$3507,$L3261)&amp;"")</f>
        <v/>
      </c>
      <c r="J3261" s="60" t="str">
        <f aca="false">IF(L3261="","",INDEX(ポート振替表!$M$5:$M$3507,$L3261)&amp;"")</f>
        <v/>
      </c>
      <c r="K3261" s="52" t="str">
        <f aca="false">IF(L3261="","",E3261&amp;CHAR(10)&amp;INDEX(ポート振替表!$K$5:$K$3507,$L3261)&amp;" "&amp;INDEX(ポート振替表!$L$5:$L$3507,$L3261)&amp;CHAR(10)&amp;"⇔ "&amp;INDEX(ポート振替表!$H$5:$H$3507,$L3261)&amp;" "&amp;INDEX(ポート振替表!$I$5:$I$3507,$L3261))</f>
        <v/>
      </c>
      <c r="L3261" s="47" t="str">
        <f aca="false">IFERROR(MATCH(ROW()-4,ポート振替表!$V$5:$V$3507,0),"")</f>
        <v/>
      </c>
    </row>
    <row r="3262" customFormat="false" ht="16.4" hidden="false" customHeight="false" outlineLevel="0" collapsed="false">
      <c r="A3262" s="32" t="str">
        <f aca="false">IF(L3262="","",ROW()-4)</f>
        <v/>
      </c>
      <c r="B3262" s="58" t="str">
        <f aca="false">IF(L3262="","",IF(INDEX(ポート振替表!$W$5:$W$3507,$L3262)="","(なし)",INDEX(ポート振替表!$W$5:$W$3507,$L3262)&amp;""))</f>
        <v/>
      </c>
      <c r="C3262" s="52" t="str">
        <f aca="false">IF(L3262="","",INDEX(ポート振替表!$B$5:$B$3507,$L3262)&amp;" "&amp;INDEX(ポート振替表!$C$5:$C$3507,$L3262)&amp;"  ⇔  "&amp;INDEX(ポート振替表!$H$5:$H$3507,$L3262)&amp;" "&amp;INDEX(ポート振替表!$I$5:$I$3507,$L3262))</f>
        <v/>
      </c>
      <c r="D3262" s="57" t="s">
        <v>158</v>
      </c>
      <c r="E3262" s="59" t="str">
        <f aca="false">IF(L3262="","",IF(INDEX(ポート振替表!$O$5:$O$3507,$L3262)="","(未設定)",INDEX(ポート振替表!$O$5:$O$3507,$L3262)&amp;""))</f>
        <v/>
      </c>
      <c r="F3262" s="52" t="str">
        <f aca="false">IF(L3262="","",INDEX(ポート振替表!$K$5:$K$3507,$L3262)&amp;" "&amp;INDEX(ポート振替表!$L$5:$L$3507,$L3262)&amp;"  ⇔  "&amp;INDEX(ポート振替表!$H$5:$H$3507,$L3262)&amp;" "&amp;INDEX(ポート振替表!$I$5:$I$3507,$L3262))</f>
        <v/>
      </c>
      <c r="G3262" s="57" t="s">
        <v>158</v>
      </c>
      <c r="H3262" s="32" t="str">
        <f aca="false">IF(L3262="","",INDEX(ポート振替表!$N$5:$N$3507,$L3262)&amp;"")</f>
        <v/>
      </c>
      <c r="I3262" s="32" t="str">
        <f aca="false">IF(L3262="","",INDEX(ポート振替表!$P$5:$P$3507,$L3262)&amp;"")</f>
        <v/>
      </c>
      <c r="J3262" s="60" t="str">
        <f aca="false">IF(L3262="","",INDEX(ポート振替表!$M$5:$M$3507,$L3262)&amp;"")</f>
        <v/>
      </c>
      <c r="K3262" s="52" t="str">
        <f aca="false">IF(L3262="","",E3262&amp;CHAR(10)&amp;INDEX(ポート振替表!$K$5:$K$3507,$L3262)&amp;" "&amp;INDEX(ポート振替表!$L$5:$L$3507,$L3262)&amp;CHAR(10)&amp;"⇔ "&amp;INDEX(ポート振替表!$H$5:$H$3507,$L3262)&amp;" "&amp;INDEX(ポート振替表!$I$5:$I$3507,$L3262))</f>
        <v/>
      </c>
      <c r="L3262" s="47" t="str">
        <f aca="false">IFERROR(MATCH(ROW()-4,ポート振替表!$V$5:$V$3507,0),"")</f>
        <v/>
      </c>
    </row>
    <row r="3263" customFormat="false" ht="16.4" hidden="false" customHeight="false" outlineLevel="0" collapsed="false">
      <c r="A3263" s="32" t="str">
        <f aca="false">IF(L3263="","",ROW()-4)</f>
        <v/>
      </c>
      <c r="B3263" s="58" t="str">
        <f aca="false">IF(L3263="","",IF(INDEX(ポート振替表!$W$5:$W$3507,$L3263)="","(なし)",INDEX(ポート振替表!$W$5:$W$3507,$L3263)&amp;""))</f>
        <v/>
      </c>
      <c r="C3263" s="52" t="str">
        <f aca="false">IF(L3263="","",INDEX(ポート振替表!$B$5:$B$3507,$L3263)&amp;" "&amp;INDEX(ポート振替表!$C$5:$C$3507,$L3263)&amp;"  ⇔  "&amp;INDEX(ポート振替表!$H$5:$H$3507,$L3263)&amp;" "&amp;INDEX(ポート振替表!$I$5:$I$3507,$L3263))</f>
        <v/>
      </c>
      <c r="D3263" s="57" t="s">
        <v>158</v>
      </c>
      <c r="E3263" s="59" t="str">
        <f aca="false">IF(L3263="","",IF(INDEX(ポート振替表!$O$5:$O$3507,$L3263)="","(未設定)",INDEX(ポート振替表!$O$5:$O$3507,$L3263)&amp;""))</f>
        <v/>
      </c>
      <c r="F3263" s="52" t="str">
        <f aca="false">IF(L3263="","",INDEX(ポート振替表!$K$5:$K$3507,$L3263)&amp;" "&amp;INDEX(ポート振替表!$L$5:$L$3507,$L3263)&amp;"  ⇔  "&amp;INDEX(ポート振替表!$H$5:$H$3507,$L3263)&amp;" "&amp;INDEX(ポート振替表!$I$5:$I$3507,$L3263))</f>
        <v/>
      </c>
      <c r="G3263" s="57" t="s">
        <v>158</v>
      </c>
      <c r="H3263" s="32" t="str">
        <f aca="false">IF(L3263="","",INDEX(ポート振替表!$N$5:$N$3507,$L3263)&amp;"")</f>
        <v/>
      </c>
      <c r="I3263" s="32" t="str">
        <f aca="false">IF(L3263="","",INDEX(ポート振替表!$P$5:$P$3507,$L3263)&amp;"")</f>
        <v/>
      </c>
      <c r="J3263" s="60" t="str">
        <f aca="false">IF(L3263="","",INDEX(ポート振替表!$M$5:$M$3507,$L3263)&amp;"")</f>
        <v/>
      </c>
      <c r="K3263" s="52" t="str">
        <f aca="false">IF(L3263="","",E3263&amp;CHAR(10)&amp;INDEX(ポート振替表!$K$5:$K$3507,$L3263)&amp;" "&amp;INDEX(ポート振替表!$L$5:$L$3507,$L3263)&amp;CHAR(10)&amp;"⇔ "&amp;INDEX(ポート振替表!$H$5:$H$3507,$L3263)&amp;" "&amp;INDEX(ポート振替表!$I$5:$I$3507,$L3263))</f>
        <v/>
      </c>
      <c r="L3263" s="47" t="str">
        <f aca="false">IFERROR(MATCH(ROW()-4,ポート振替表!$V$5:$V$3507,0),"")</f>
        <v/>
      </c>
    </row>
    <row r="3264" customFormat="false" ht="16.4" hidden="false" customHeight="false" outlineLevel="0" collapsed="false">
      <c r="A3264" s="32" t="str">
        <f aca="false">IF(L3264="","",ROW()-4)</f>
        <v/>
      </c>
      <c r="B3264" s="58" t="str">
        <f aca="false">IF(L3264="","",IF(INDEX(ポート振替表!$W$5:$W$3507,$L3264)="","(なし)",INDEX(ポート振替表!$W$5:$W$3507,$L3264)&amp;""))</f>
        <v/>
      </c>
      <c r="C3264" s="52" t="str">
        <f aca="false">IF(L3264="","",INDEX(ポート振替表!$B$5:$B$3507,$L3264)&amp;" "&amp;INDEX(ポート振替表!$C$5:$C$3507,$L3264)&amp;"  ⇔  "&amp;INDEX(ポート振替表!$H$5:$H$3507,$L3264)&amp;" "&amp;INDEX(ポート振替表!$I$5:$I$3507,$L3264))</f>
        <v/>
      </c>
      <c r="D3264" s="57" t="s">
        <v>158</v>
      </c>
      <c r="E3264" s="59" t="str">
        <f aca="false">IF(L3264="","",IF(INDEX(ポート振替表!$O$5:$O$3507,$L3264)="","(未設定)",INDEX(ポート振替表!$O$5:$O$3507,$L3264)&amp;""))</f>
        <v/>
      </c>
      <c r="F3264" s="52" t="str">
        <f aca="false">IF(L3264="","",INDEX(ポート振替表!$K$5:$K$3507,$L3264)&amp;" "&amp;INDEX(ポート振替表!$L$5:$L$3507,$L3264)&amp;"  ⇔  "&amp;INDEX(ポート振替表!$H$5:$H$3507,$L3264)&amp;" "&amp;INDEX(ポート振替表!$I$5:$I$3507,$L3264))</f>
        <v/>
      </c>
      <c r="G3264" s="57" t="s">
        <v>158</v>
      </c>
      <c r="H3264" s="32" t="str">
        <f aca="false">IF(L3264="","",INDEX(ポート振替表!$N$5:$N$3507,$L3264)&amp;"")</f>
        <v/>
      </c>
      <c r="I3264" s="32" t="str">
        <f aca="false">IF(L3264="","",INDEX(ポート振替表!$P$5:$P$3507,$L3264)&amp;"")</f>
        <v/>
      </c>
      <c r="J3264" s="60" t="str">
        <f aca="false">IF(L3264="","",INDEX(ポート振替表!$M$5:$M$3507,$L3264)&amp;"")</f>
        <v/>
      </c>
      <c r="K3264" s="52" t="str">
        <f aca="false">IF(L3264="","",E3264&amp;CHAR(10)&amp;INDEX(ポート振替表!$K$5:$K$3507,$L3264)&amp;" "&amp;INDEX(ポート振替表!$L$5:$L$3507,$L3264)&amp;CHAR(10)&amp;"⇔ "&amp;INDEX(ポート振替表!$H$5:$H$3507,$L3264)&amp;" "&amp;INDEX(ポート振替表!$I$5:$I$3507,$L3264))</f>
        <v/>
      </c>
      <c r="L3264" s="47" t="str">
        <f aca="false">IFERROR(MATCH(ROW()-4,ポート振替表!$V$5:$V$3507,0),"")</f>
        <v/>
      </c>
    </row>
    <row r="3265" customFormat="false" ht="16.4" hidden="false" customHeight="false" outlineLevel="0" collapsed="false">
      <c r="A3265" s="32" t="str">
        <f aca="false">IF(L3265="","",ROW()-4)</f>
        <v/>
      </c>
      <c r="B3265" s="58" t="str">
        <f aca="false">IF(L3265="","",IF(INDEX(ポート振替表!$W$5:$W$3507,$L3265)="","(なし)",INDEX(ポート振替表!$W$5:$W$3507,$L3265)&amp;""))</f>
        <v/>
      </c>
      <c r="C3265" s="52" t="str">
        <f aca="false">IF(L3265="","",INDEX(ポート振替表!$B$5:$B$3507,$L3265)&amp;" "&amp;INDEX(ポート振替表!$C$5:$C$3507,$L3265)&amp;"  ⇔  "&amp;INDEX(ポート振替表!$H$5:$H$3507,$L3265)&amp;" "&amp;INDEX(ポート振替表!$I$5:$I$3507,$L3265))</f>
        <v/>
      </c>
      <c r="D3265" s="57" t="s">
        <v>158</v>
      </c>
      <c r="E3265" s="59" t="str">
        <f aca="false">IF(L3265="","",IF(INDEX(ポート振替表!$O$5:$O$3507,$L3265)="","(未設定)",INDEX(ポート振替表!$O$5:$O$3507,$L3265)&amp;""))</f>
        <v/>
      </c>
      <c r="F3265" s="52" t="str">
        <f aca="false">IF(L3265="","",INDEX(ポート振替表!$K$5:$K$3507,$L3265)&amp;" "&amp;INDEX(ポート振替表!$L$5:$L$3507,$L3265)&amp;"  ⇔  "&amp;INDEX(ポート振替表!$H$5:$H$3507,$L3265)&amp;" "&amp;INDEX(ポート振替表!$I$5:$I$3507,$L3265))</f>
        <v/>
      </c>
      <c r="G3265" s="57" t="s">
        <v>158</v>
      </c>
      <c r="H3265" s="32" t="str">
        <f aca="false">IF(L3265="","",INDEX(ポート振替表!$N$5:$N$3507,$L3265)&amp;"")</f>
        <v/>
      </c>
      <c r="I3265" s="32" t="str">
        <f aca="false">IF(L3265="","",INDEX(ポート振替表!$P$5:$P$3507,$L3265)&amp;"")</f>
        <v/>
      </c>
      <c r="J3265" s="60" t="str">
        <f aca="false">IF(L3265="","",INDEX(ポート振替表!$M$5:$M$3507,$L3265)&amp;"")</f>
        <v/>
      </c>
      <c r="K3265" s="52" t="str">
        <f aca="false">IF(L3265="","",E3265&amp;CHAR(10)&amp;INDEX(ポート振替表!$K$5:$K$3507,$L3265)&amp;" "&amp;INDEX(ポート振替表!$L$5:$L$3507,$L3265)&amp;CHAR(10)&amp;"⇔ "&amp;INDEX(ポート振替表!$H$5:$H$3507,$L3265)&amp;" "&amp;INDEX(ポート振替表!$I$5:$I$3507,$L3265))</f>
        <v/>
      </c>
      <c r="L3265" s="47" t="str">
        <f aca="false">IFERROR(MATCH(ROW()-4,ポート振替表!$V$5:$V$3507,0),"")</f>
        <v/>
      </c>
    </row>
    <row r="3266" customFormat="false" ht="16.4" hidden="false" customHeight="false" outlineLevel="0" collapsed="false">
      <c r="A3266" s="32" t="str">
        <f aca="false">IF(L3266="","",ROW()-4)</f>
        <v/>
      </c>
      <c r="B3266" s="58" t="str">
        <f aca="false">IF(L3266="","",IF(INDEX(ポート振替表!$W$5:$W$3507,$L3266)="","(なし)",INDEX(ポート振替表!$W$5:$W$3507,$L3266)&amp;""))</f>
        <v/>
      </c>
      <c r="C3266" s="52" t="str">
        <f aca="false">IF(L3266="","",INDEX(ポート振替表!$B$5:$B$3507,$L3266)&amp;" "&amp;INDEX(ポート振替表!$C$5:$C$3507,$L3266)&amp;"  ⇔  "&amp;INDEX(ポート振替表!$H$5:$H$3507,$L3266)&amp;" "&amp;INDEX(ポート振替表!$I$5:$I$3507,$L3266))</f>
        <v/>
      </c>
      <c r="D3266" s="57" t="s">
        <v>158</v>
      </c>
      <c r="E3266" s="59" t="str">
        <f aca="false">IF(L3266="","",IF(INDEX(ポート振替表!$O$5:$O$3507,$L3266)="","(未設定)",INDEX(ポート振替表!$O$5:$O$3507,$L3266)&amp;""))</f>
        <v/>
      </c>
      <c r="F3266" s="52" t="str">
        <f aca="false">IF(L3266="","",INDEX(ポート振替表!$K$5:$K$3507,$L3266)&amp;" "&amp;INDEX(ポート振替表!$L$5:$L$3507,$L3266)&amp;"  ⇔  "&amp;INDEX(ポート振替表!$H$5:$H$3507,$L3266)&amp;" "&amp;INDEX(ポート振替表!$I$5:$I$3507,$L3266))</f>
        <v/>
      </c>
      <c r="G3266" s="57" t="s">
        <v>158</v>
      </c>
      <c r="H3266" s="32" t="str">
        <f aca="false">IF(L3266="","",INDEX(ポート振替表!$N$5:$N$3507,$L3266)&amp;"")</f>
        <v/>
      </c>
      <c r="I3266" s="32" t="str">
        <f aca="false">IF(L3266="","",INDEX(ポート振替表!$P$5:$P$3507,$L3266)&amp;"")</f>
        <v/>
      </c>
      <c r="J3266" s="60" t="str">
        <f aca="false">IF(L3266="","",INDEX(ポート振替表!$M$5:$M$3507,$L3266)&amp;"")</f>
        <v/>
      </c>
      <c r="K3266" s="52" t="str">
        <f aca="false">IF(L3266="","",E3266&amp;CHAR(10)&amp;INDEX(ポート振替表!$K$5:$K$3507,$L3266)&amp;" "&amp;INDEX(ポート振替表!$L$5:$L$3507,$L3266)&amp;CHAR(10)&amp;"⇔ "&amp;INDEX(ポート振替表!$H$5:$H$3507,$L3266)&amp;" "&amp;INDEX(ポート振替表!$I$5:$I$3507,$L3266))</f>
        <v/>
      </c>
      <c r="L3266" s="47" t="str">
        <f aca="false">IFERROR(MATCH(ROW()-4,ポート振替表!$V$5:$V$3507,0),"")</f>
        <v/>
      </c>
    </row>
    <row r="3267" customFormat="false" ht="16.4" hidden="false" customHeight="false" outlineLevel="0" collapsed="false">
      <c r="A3267" s="32" t="str">
        <f aca="false">IF(L3267="","",ROW()-4)</f>
        <v/>
      </c>
      <c r="B3267" s="58" t="str">
        <f aca="false">IF(L3267="","",IF(INDEX(ポート振替表!$W$5:$W$3507,$L3267)="","(なし)",INDEX(ポート振替表!$W$5:$W$3507,$L3267)&amp;""))</f>
        <v/>
      </c>
      <c r="C3267" s="52" t="str">
        <f aca="false">IF(L3267="","",INDEX(ポート振替表!$B$5:$B$3507,$L3267)&amp;" "&amp;INDEX(ポート振替表!$C$5:$C$3507,$L3267)&amp;"  ⇔  "&amp;INDEX(ポート振替表!$H$5:$H$3507,$L3267)&amp;" "&amp;INDEX(ポート振替表!$I$5:$I$3507,$L3267))</f>
        <v/>
      </c>
      <c r="D3267" s="57" t="s">
        <v>158</v>
      </c>
      <c r="E3267" s="59" t="str">
        <f aca="false">IF(L3267="","",IF(INDEX(ポート振替表!$O$5:$O$3507,$L3267)="","(未設定)",INDEX(ポート振替表!$O$5:$O$3507,$L3267)&amp;""))</f>
        <v/>
      </c>
      <c r="F3267" s="52" t="str">
        <f aca="false">IF(L3267="","",INDEX(ポート振替表!$K$5:$K$3507,$L3267)&amp;" "&amp;INDEX(ポート振替表!$L$5:$L$3507,$L3267)&amp;"  ⇔  "&amp;INDEX(ポート振替表!$H$5:$H$3507,$L3267)&amp;" "&amp;INDEX(ポート振替表!$I$5:$I$3507,$L3267))</f>
        <v/>
      </c>
      <c r="G3267" s="57" t="s">
        <v>158</v>
      </c>
      <c r="H3267" s="32" t="str">
        <f aca="false">IF(L3267="","",INDEX(ポート振替表!$N$5:$N$3507,$L3267)&amp;"")</f>
        <v/>
      </c>
      <c r="I3267" s="32" t="str">
        <f aca="false">IF(L3267="","",INDEX(ポート振替表!$P$5:$P$3507,$L3267)&amp;"")</f>
        <v/>
      </c>
      <c r="J3267" s="60" t="str">
        <f aca="false">IF(L3267="","",INDEX(ポート振替表!$M$5:$M$3507,$L3267)&amp;"")</f>
        <v/>
      </c>
      <c r="K3267" s="52" t="str">
        <f aca="false">IF(L3267="","",E3267&amp;CHAR(10)&amp;INDEX(ポート振替表!$K$5:$K$3507,$L3267)&amp;" "&amp;INDEX(ポート振替表!$L$5:$L$3507,$L3267)&amp;CHAR(10)&amp;"⇔ "&amp;INDEX(ポート振替表!$H$5:$H$3507,$L3267)&amp;" "&amp;INDEX(ポート振替表!$I$5:$I$3507,$L3267))</f>
        <v/>
      </c>
      <c r="L3267" s="47" t="str">
        <f aca="false">IFERROR(MATCH(ROW()-4,ポート振替表!$V$5:$V$3507,0),"")</f>
        <v/>
      </c>
    </row>
    <row r="3268" customFormat="false" ht="16.4" hidden="false" customHeight="false" outlineLevel="0" collapsed="false">
      <c r="A3268" s="32" t="str">
        <f aca="false">IF(L3268="","",ROW()-4)</f>
        <v/>
      </c>
      <c r="B3268" s="58" t="str">
        <f aca="false">IF(L3268="","",IF(INDEX(ポート振替表!$W$5:$W$3507,$L3268)="","(なし)",INDEX(ポート振替表!$W$5:$W$3507,$L3268)&amp;""))</f>
        <v/>
      </c>
      <c r="C3268" s="52" t="str">
        <f aca="false">IF(L3268="","",INDEX(ポート振替表!$B$5:$B$3507,$L3268)&amp;" "&amp;INDEX(ポート振替表!$C$5:$C$3507,$L3268)&amp;"  ⇔  "&amp;INDEX(ポート振替表!$H$5:$H$3507,$L3268)&amp;" "&amp;INDEX(ポート振替表!$I$5:$I$3507,$L3268))</f>
        <v/>
      </c>
      <c r="D3268" s="57" t="s">
        <v>158</v>
      </c>
      <c r="E3268" s="59" t="str">
        <f aca="false">IF(L3268="","",IF(INDEX(ポート振替表!$O$5:$O$3507,$L3268)="","(未設定)",INDEX(ポート振替表!$O$5:$O$3507,$L3268)&amp;""))</f>
        <v/>
      </c>
      <c r="F3268" s="52" t="str">
        <f aca="false">IF(L3268="","",INDEX(ポート振替表!$K$5:$K$3507,$L3268)&amp;" "&amp;INDEX(ポート振替表!$L$5:$L$3507,$L3268)&amp;"  ⇔  "&amp;INDEX(ポート振替表!$H$5:$H$3507,$L3268)&amp;" "&amp;INDEX(ポート振替表!$I$5:$I$3507,$L3268))</f>
        <v/>
      </c>
      <c r="G3268" s="57" t="s">
        <v>158</v>
      </c>
      <c r="H3268" s="32" t="str">
        <f aca="false">IF(L3268="","",INDEX(ポート振替表!$N$5:$N$3507,$L3268)&amp;"")</f>
        <v/>
      </c>
      <c r="I3268" s="32" t="str">
        <f aca="false">IF(L3268="","",INDEX(ポート振替表!$P$5:$P$3507,$L3268)&amp;"")</f>
        <v/>
      </c>
      <c r="J3268" s="60" t="str">
        <f aca="false">IF(L3268="","",INDEX(ポート振替表!$M$5:$M$3507,$L3268)&amp;"")</f>
        <v/>
      </c>
      <c r="K3268" s="52" t="str">
        <f aca="false">IF(L3268="","",E3268&amp;CHAR(10)&amp;INDEX(ポート振替表!$K$5:$K$3507,$L3268)&amp;" "&amp;INDEX(ポート振替表!$L$5:$L$3507,$L3268)&amp;CHAR(10)&amp;"⇔ "&amp;INDEX(ポート振替表!$H$5:$H$3507,$L3268)&amp;" "&amp;INDEX(ポート振替表!$I$5:$I$3507,$L3268))</f>
        <v/>
      </c>
      <c r="L3268" s="47" t="str">
        <f aca="false">IFERROR(MATCH(ROW()-4,ポート振替表!$V$5:$V$3507,0),"")</f>
        <v/>
      </c>
    </row>
    <row r="3269" customFormat="false" ht="16.4" hidden="false" customHeight="false" outlineLevel="0" collapsed="false">
      <c r="A3269" s="32" t="str">
        <f aca="false">IF(L3269="","",ROW()-4)</f>
        <v/>
      </c>
      <c r="B3269" s="58" t="str">
        <f aca="false">IF(L3269="","",IF(INDEX(ポート振替表!$W$5:$W$3507,$L3269)="","(なし)",INDEX(ポート振替表!$W$5:$W$3507,$L3269)&amp;""))</f>
        <v/>
      </c>
      <c r="C3269" s="52" t="str">
        <f aca="false">IF(L3269="","",INDEX(ポート振替表!$B$5:$B$3507,$L3269)&amp;" "&amp;INDEX(ポート振替表!$C$5:$C$3507,$L3269)&amp;"  ⇔  "&amp;INDEX(ポート振替表!$H$5:$H$3507,$L3269)&amp;" "&amp;INDEX(ポート振替表!$I$5:$I$3507,$L3269))</f>
        <v/>
      </c>
      <c r="D3269" s="57" t="s">
        <v>158</v>
      </c>
      <c r="E3269" s="59" t="str">
        <f aca="false">IF(L3269="","",IF(INDEX(ポート振替表!$O$5:$O$3507,$L3269)="","(未設定)",INDEX(ポート振替表!$O$5:$O$3507,$L3269)&amp;""))</f>
        <v/>
      </c>
      <c r="F3269" s="52" t="str">
        <f aca="false">IF(L3269="","",INDEX(ポート振替表!$K$5:$K$3507,$L3269)&amp;" "&amp;INDEX(ポート振替表!$L$5:$L$3507,$L3269)&amp;"  ⇔  "&amp;INDEX(ポート振替表!$H$5:$H$3507,$L3269)&amp;" "&amp;INDEX(ポート振替表!$I$5:$I$3507,$L3269))</f>
        <v/>
      </c>
      <c r="G3269" s="57" t="s">
        <v>158</v>
      </c>
      <c r="H3269" s="32" t="str">
        <f aca="false">IF(L3269="","",INDEX(ポート振替表!$N$5:$N$3507,$L3269)&amp;"")</f>
        <v/>
      </c>
      <c r="I3269" s="32" t="str">
        <f aca="false">IF(L3269="","",INDEX(ポート振替表!$P$5:$P$3507,$L3269)&amp;"")</f>
        <v/>
      </c>
      <c r="J3269" s="60" t="str">
        <f aca="false">IF(L3269="","",INDEX(ポート振替表!$M$5:$M$3507,$L3269)&amp;"")</f>
        <v/>
      </c>
      <c r="K3269" s="52" t="str">
        <f aca="false">IF(L3269="","",E3269&amp;CHAR(10)&amp;INDEX(ポート振替表!$K$5:$K$3507,$L3269)&amp;" "&amp;INDEX(ポート振替表!$L$5:$L$3507,$L3269)&amp;CHAR(10)&amp;"⇔ "&amp;INDEX(ポート振替表!$H$5:$H$3507,$L3269)&amp;" "&amp;INDEX(ポート振替表!$I$5:$I$3507,$L3269))</f>
        <v/>
      </c>
      <c r="L3269" s="47" t="str">
        <f aca="false">IFERROR(MATCH(ROW()-4,ポート振替表!$V$5:$V$3507,0),"")</f>
        <v/>
      </c>
    </row>
    <row r="3270" customFormat="false" ht="16.4" hidden="false" customHeight="false" outlineLevel="0" collapsed="false">
      <c r="A3270" s="32" t="str">
        <f aca="false">IF(L3270="","",ROW()-4)</f>
        <v/>
      </c>
      <c r="B3270" s="58" t="str">
        <f aca="false">IF(L3270="","",IF(INDEX(ポート振替表!$W$5:$W$3507,$L3270)="","(なし)",INDEX(ポート振替表!$W$5:$W$3507,$L3270)&amp;""))</f>
        <v/>
      </c>
      <c r="C3270" s="52" t="str">
        <f aca="false">IF(L3270="","",INDEX(ポート振替表!$B$5:$B$3507,$L3270)&amp;" "&amp;INDEX(ポート振替表!$C$5:$C$3507,$L3270)&amp;"  ⇔  "&amp;INDEX(ポート振替表!$H$5:$H$3507,$L3270)&amp;" "&amp;INDEX(ポート振替表!$I$5:$I$3507,$L3270))</f>
        <v/>
      </c>
      <c r="D3270" s="57" t="s">
        <v>158</v>
      </c>
      <c r="E3270" s="59" t="str">
        <f aca="false">IF(L3270="","",IF(INDEX(ポート振替表!$O$5:$O$3507,$L3270)="","(未設定)",INDEX(ポート振替表!$O$5:$O$3507,$L3270)&amp;""))</f>
        <v/>
      </c>
      <c r="F3270" s="52" t="str">
        <f aca="false">IF(L3270="","",INDEX(ポート振替表!$K$5:$K$3507,$L3270)&amp;" "&amp;INDEX(ポート振替表!$L$5:$L$3507,$L3270)&amp;"  ⇔  "&amp;INDEX(ポート振替表!$H$5:$H$3507,$L3270)&amp;" "&amp;INDEX(ポート振替表!$I$5:$I$3507,$L3270))</f>
        <v/>
      </c>
      <c r="G3270" s="57" t="s">
        <v>158</v>
      </c>
      <c r="H3270" s="32" t="str">
        <f aca="false">IF(L3270="","",INDEX(ポート振替表!$N$5:$N$3507,$L3270)&amp;"")</f>
        <v/>
      </c>
      <c r="I3270" s="32" t="str">
        <f aca="false">IF(L3270="","",INDEX(ポート振替表!$P$5:$P$3507,$L3270)&amp;"")</f>
        <v/>
      </c>
      <c r="J3270" s="60" t="str">
        <f aca="false">IF(L3270="","",INDEX(ポート振替表!$M$5:$M$3507,$L3270)&amp;"")</f>
        <v/>
      </c>
      <c r="K3270" s="52" t="str">
        <f aca="false">IF(L3270="","",E3270&amp;CHAR(10)&amp;INDEX(ポート振替表!$K$5:$K$3507,$L3270)&amp;" "&amp;INDEX(ポート振替表!$L$5:$L$3507,$L3270)&amp;CHAR(10)&amp;"⇔ "&amp;INDEX(ポート振替表!$H$5:$H$3507,$L3270)&amp;" "&amp;INDEX(ポート振替表!$I$5:$I$3507,$L3270))</f>
        <v/>
      </c>
      <c r="L3270" s="47" t="str">
        <f aca="false">IFERROR(MATCH(ROW()-4,ポート振替表!$V$5:$V$3507,0),"")</f>
        <v/>
      </c>
    </row>
    <row r="3271" customFormat="false" ht="16.4" hidden="false" customHeight="false" outlineLevel="0" collapsed="false">
      <c r="A3271" s="32" t="str">
        <f aca="false">IF(L3271="","",ROW()-4)</f>
        <v/>
      </c>
      <c r="B3271" s="58" t="str">
        <f aca="false">IF(L3271="","",IF(INDEX(ポート振替表!$W$5:$W$3507,$L3271)="","(なし)",INDEX(ポート振替表!$W$5:$W$3507,$L3271)&amp;""))</f>
        <v/>
      </c>
      <c r="C3271" s="52" t="str">
        <f aca="false">IF(L3271="","",INDEX(ポート振替表!$B$5:$B$3507,$L3271)&amp;" "&amp;INDEX(ポート振替表!$C$5:$C$3507,$L3271)&amp;"  ⇔  "&amp;INDEX(ポート振替表!$H$5:$H$3507,$L3271)&amp;" "&amp;INDEX(ポート振替表!$I$5:$I$3507,$L3271))</f>
        <v/>
      </c>
      <c r="D3271" s="57" t="s">
        <v>158</v>
      </c>
      <c r="E3271" s="59" t="str">
        <f aca="false">IF(L3271="","",IF(INDEX(ポート振替表!$O$5:$O$3507,$L3271)="","(未設定)",INDEX(ポート振替表!$O$5:$O$3507,$L3271)&amp;""))</f>
        <v/>
      </c>
      <c r="F3271" s="52" t="str">
        <f aca="false">IF(L3271="","",INDEX(ポート振替表!$K$5:$K$3507,$L3271)&amp;" "&amp;INDEX(ポート振替表!$L$5:$L$3507,$L3271)&amp;"  ⇔  "&amp;INDEX(ポート振替表!$H$5:$H$3507,$L3271)&amp;" "&amp;INDEX(ポート振替表!$I$5:$I$3507,$L3271))</f>
        <v/>
      </c>
      <c r="G3271" s="57" t="s">
        <v>158</v>
      </c>
      <c r="H3271" s="32" t="str">
        <f aca="false">IF(L3271="","",INDEX(ポート振替表!$N$5:$N$3507,$L3271)&amp;"")</f>
        <v/>
      </c>
      <c r="I3271" s="32" t="str">
        <f aca="false">IF(L3271="","",INDEX(ポート振替表!$P$5:$P$3507,$L3271)&amp;"")</f>
        <v/>
      </c>
      <c r="J3271" s="60" t="str">
        <f aca="false">IF(L3271="","",INDEX(ポート振替表!$M$5:$M$3507,$L3271)&amp;"")</f>
        <v/>
      </c>
      <c r="K3271" s="52" t="str">
        <f aca="false">IF(L3271="","",E3271&amp;CHAR(10)&amp;INDEX(ポート振替表!$K$5:$K$3507,$L3271)&amp;" "&amp;INDEX(ポート振替表!$L$5:$L$3507,$L3271)&amp;CHAR(10)&amp;"⇔ "&amp;INDEX(ポート振替表!$H$5:$H$3507,$L3271)&amp;" "&amp;INDEX(ポート振替表!$I$5:$I$3507,$L3271))</f>
        <v/>
      </c>
      <c r="L3271" s="47" t="str">
        <f aca="false">IFERROR(MATCH(ROW()-4,ポート振替表!$V$5:$V$3507,0),"")</f>
        <v/>
      </c>
    </row>
    <row r="3272" customFormat="false" ht="16.4" hidden="false" customHeight="false" outlineLevel="0" collapsed="false">
      <c r="A3272" s="32" t="str">
        <f aca="false">IF(L3272="","",ROW()-4)</f>
        <v/>
      </c>
      <c r="B3272" s="58" t="str">
        <f aca="false">IF(L3272="","",IF(INDEX(ポート振替表!$W$5:$W$3507,$L3272)="","(なし)",INDEX(ポート振替表!$W$5:$W$3507,$L3272)&amp;""))</f>
        <v/>
      </c>
      <c r="C3272" s="52" t="str">
        <f aca="false">IF(L3272="","",INDEX(ポート振替表!$B$5:$B$3507,$L3272)&amp;" "&amp;INDEX(ポート振替表!$C$5:$C$3507,$L3272)&amp;"  ⇔  "&amp;INDEX(ポート振替表!$H$5:$H$3507,$L3272)&amp;" "&amp;INDEX(ポート振替表!$I$5:$I$3507,$L3272))</f>
        <v/>
      </c>
      <c r="D3272" s="57" t="s">
        <v>158</v>
      </c>
      <c r="E3272" s="59" t="str">
        <f aca="false">IF(L3272="","",IF(INDEX(ポート振替表!$O$5:$O$3507,$L3272)="","(未設定)",INDEX(ポート振替表!$O$5:$O$3507,$L3272)&amp;""))</f>
        <v/>
      </c>
      <c r="F3272" s="52" t="str">
        <f aca="false">IF(L3272="","",INDEX(ポート振替表!$K$5:$K$3507,$L3272)&amp;" "&amp;INDEX(ポート振替表!$L$5:$L$3507,$L3272)&amp;"  ⇔  "&amp;INDEX(ポート振替表!$H$5:$H$3507,$L3272)&amp;" "&amp;INDEX(ポート振替表!$I$5:$I$3507,$L3272))</f>
        <v/>
      </c>
      <c r="G3272" s="57" t="s">
        <v>158</v>
      </c>
      <c r="H3272" s="32" t="str">
        <f aca="false">IF(L3272="","",INDEX(ポート振替表!$N$5:$N$3507,$L3272)&amp;"")</f>
        <v/>
      </c>
      <c r="I3272" s="32" t="str">
        <f aca="false">IF(L3272="","",INDEX(ポート振替表!$P$5:$P$3507,$L3272)&amp;"")</f>
        <v/>
      </c>
      <c r="J3272" s="60" t="str">
        <f aca="false">IF(L3272="","",INDEX(ポート振替表!$M$5:$M$3507,$L3272)&amp;"")</f>
        <v/>
      </c>
      <c r="K3272" s="52" t="str">
        <f aca="false">IF(L3272="","",E3272&amp;CHAR(10)&amp;INDEX(ポート振替表!$K$5:$K$3507,$L3272)&amp;" "&amp;INDEX(ポート振替表!$L$5:$L$3507,$L3272)&amp;CHAR(10)&amp;"⇔ "&amp;INDEX(ポート振替表!$H$5:$H$3507,$L3272)&amp;" "&amp;INDEX(ポート振替表!$I$5:$I$3507,$L3272))</f>
        <v/>
      </c>
      <c r="L3272" s="47" t="str">
        <f aca="false">IFERROR(MATCH(ROW()-4,ポート振替表!$V$5:$V$3507,0),"")</f>
        <v/>
      </c>
    </row>
    <row r="3273" customFormat="false" ht="16.4" hidden="false" customHeight="false" outlineLevel="0" collapsed="false">
      <c r="A3273" s="32" t="str">
        <f aca="false">IF(L3273="","",ROW()-4)</f>
        <v/>
      </c>
      <c r="B3273" s="58" t="str">
        <f aca="false">IF(L3273="","",IF(INDEX(ポート振替表!$W$5:$W$3507,$L3273)="","(なし)",INDEX(ポート振替表!$W$5:$W$3507,$L3273)&amp;""))</f>
        <v/>
      </c>
      <c r="C3273" s="52" t="str">
        <f aca="false">IF(L3273="","",INDEX(ポート振替表!$B$5:$B$3507,$L3273)&amp;" "&amp;INDEX(ポート振替表!$C$5:$C$3507,$L3273)&amp;"  ⇔  "&amp;INDEX(ポート振替表!$H$5:$H$3507,$L3273)&amp;" "&amp;INDEX(ポート振替表!$I$5:$I$3507,$L3273))</f>
        <v/>
      </c>
      <c r="D3273" s="57" t="s">
        <v>158</v>
      </c>
      <c r="E3273" s="59" t="str">
        <f aca="false">IF(L3273="","",IF(INDEX(ポート振替表!$O$5:$O$3507,$L3273)="","(未設定)",INDEX(ポート振替表!$O$5:$O$3507,$L3273)&amp;""))</f>
        <v/>
      </c>
      <c r="F3273" s="52" t="str">
        <f aca="false">IF(L3273="","",INDEX(ポート振替表!$K$5:$K$3507,$L3273)&amp;" "&amp;INDEX(ポート振替表!$L$5:$L$3507,$L3273)&amp;"  ⇔  "&amp;INDEX(ポート振替表!$H$5:$H$3507,$L3273)&amp;" "&amp;INDEX(ポート振替表!$I$5:$I$3507,$L3273))</f>
        <v/>
      </c>
      <c r="G3273" s="57" t="s">
        <v>158</v>
      </c>
      <c r="H3273" s="32" t="str">
        <f aca="false">IF(L3273="","",INDEX(ポート振替表!$N$5:$N$3507,$L3273)&amp;"")</f>
        <v/>
      </c>
      <c r="I3273" s="32" t="str">
        <f aca="false">IF(L3273="","",INDEX(ポート振替表!$P$5:$P$3507,$L3273)&amp;"")</f>
        <v/>
      </c>
      <c r="J3273" s="60" t="str">
        <f aca="false">IF(L3273="","",INDEX(ポート振替表!$M$5:$M$3507,$L3273)&amp;"")</f>
        <v/>
      </c>
      <c r="K3273" s="52" t="str">
        <f aca="false">IF(L3273="","",E3273&amp;CHAR(10)&amp;INDEX(ポート振替表!$K$5:$K$3507,$L3273)&amp;" "&amp;INDEX(ポート振替表!$L$5:$L$3507,$L3273)&amp;CHAR(10)&amp;"⇔ "&amp;INDEX(ポート振替表!$H$5:$H$3507,$L3273)&amp;" "&amp;INDEX(ポート振替表!$I$5:$I$3507,$L3273))</f>
        <v/>
      </c>
      <c r="L3273" s="47" t="str">
        <f aca="false">IFERROR(MATCH(ROW()-4,ポート振替表!$V$5:$V$3507,0),"")</f>
        <v/>
      </c>
    </row>
    <row r="3274" customFormat="false" ht="16.4" hidden="false" customHeight="false" outlineLevel="0" collapsed="false">
      <c r="A3274" s="32" t="str">
        <f aca="false">IF(L3274="","",ROW()-4)</f>
        <v/>
      </c>
      <c r="B3274" s="58" t="str">
        <f aca="false">IF(L3274="","",IF(INDEX(ポート振替表!$W$5:$W$3507,$L3274)="","(なし)",INDEX(ポート振替表!$W$5:$W$3507,$L3274)&amp;""))</f>
        <v/>
      </c>
      <c r="C3274" s="52" t="str">
        <f aca="false">IF(L3274="","",INDEX(ポート振替表!$B$5:$B$3507,$L3274)&amp;" "&amp;INDEX(ポート振替表!$C$5:$C$3507,$L3274)&amp;"  ⇔  "&amp;INDEX(ポート振替表!$H$5:$H$3507,$L3274)&amp;" "&amp;INDEX(ポート振替表!$I$5:$I$3507,$L3274))</f>
        <v/>
      </c>
      <c r="D3274" s="57" t="s">
        <v>158</v>
      </c>
      <c r="E3274" s="59" t="str">
        <f aca="false">IF(L3274="","",IF(INDEX(ポート振替表!$O$5:$O$3507,$L3274)="","(未設定)",INDEX(ポート振替表!$O$5:$O$3507,$L3274)&amp;""))</f>
        <v/>
      </c>
      <c r="F3274" s="52" t="str">
        <f aca="false">IF(L3274="","",INDEX(ポート振替表!$K$5:$K$3507,$L3274)&amp;" "&amp;INDEX(ポート振替表!$L$5:$L$3507,$L3274)&amp;"  ⇔  "&amp;INDEX(ポート振替表!$H$5:$H$3507,$L3274)&amp;" "&amp;INDEX(ポート振替表!$I$5:$I$3507,$L3274))</f>
        <v/>
      </c>
      <c r="G3274" s="57" t="s">
        <v>158</v>
      </c>
      <c r="H3274" s="32" t="str">
        <f aca="false">IF(L3274="","",INDEX(ポート振替表!$N$5:$N$3507,$L3274)&amp;"")</f>
        <v/>
      </c>
      <c r="I3274" s="32" t="str">
        <f aca="false">IF(L3274="","",INDEX(ポート振替表!$P$5:$P$3507,$L3274)&amp;"")</f>
        <v/>
      </c>
      <c r="J3274" s="60" t="str">
        <f aca="false">IF(L3274="","",INDEX(ポート振替表!$M$5:$M$3507,$L3274)&amp;"")</f>
        <v/>
      </c>
      <c r="K3274" s="52" t="str">
        <f aca="false">IF(L3274="","",E3274&amp;CHAR(10)&amp;INDEX(ポート振替表!$K$5:$K$3507,$L3274)&amp;" "&amp;INDEX(ポート振替表!$L$5:$L$3507,$L3274)&amp;CHAR(10)&amp;"⇔ "&amp;INDEX(ポート振替表!$H$5:$H$3507,$L3274)&amp;" "&amp;INDEX(ポート振替表!$I$5:$I$3507,$L3274))</f>
        <v/>
      </c>
      <c r="L3274" s="47" t="str">
        <f aca="false">IFERROR(MATCH(ROW()-4,ポート振替表!$V$5:$V$3507,0),"")</f>
        <v/>
      </c>
    </row>
    <row r="3275" customFormat="false" ht="16.4" hidden="false" customHeight="false" outlineLevel="0" collapsed="false">
      <c r="A3275" s="32" t="str">
        <f aca="false">IF(L3275="","",ROW()-4)</f>
        <v/>
      </c>
      <c r="B3275" s="58" t="str">
        <f aca="false">IF(L3275="","",IF(INDEX(ポート振替表!$W$5:$W$3507,$L3275)="","(なし)",INDEX(ポート振替表!$W$5:$W$3507,$L3275)&amp;""))</f>
        <v/>
      </c>
      <c r="C3275" s="52" t="str">
        <f aca="false">IF(L3275="","",INDEX(ポート振替表!$B$5:$B$3507,$L3275)&amp;" "&amp;INDEX(ポート振替表!$C$5:$C$3507,$L3275)&amp;"  ⇔  "&amp;INDEX(ポート振替表!$H$5:$H$3507,$L3275)&amp;" "&amp;INDEX(ポート振替表!$I$5:$I$3507,$L3275))</f>
        <v/>
      </c>
      <c r="D3275" s="57" t="s">
        <v>158</v>
      </c>
      <c r="E3275" s="59" t="str">
        <f aca="false">IF(L3275="","",IF(INDEX(ポート振替表!$O$5:$O$3507,$L3275)="","(未設定)",INDEX(ポート振替表!$O$5:$O$3507,$L3275)&amp;""))</f>
        <v/>
      </c>
      <c r="F3275" s="52" t="str">
        <f aca="false">IF(L3275="","",INDEX(ポート振替表!$K$5:$K$3507,$L3275)&amp;" "&amp;INDEX(ポート振替表!$L$5:$L$3507,$L3275)&amp;"  ⇔  "&amp;INDEX(ポート振替表!$H$5:$H$3507,$L3275)&amp;" "&amp;INDEX(ポート振替表!$I$5:$I$3507,$L3275))</f>
        <v/>
      </c>
      <c r="G3275" s="57" t="s">
        <v>158</v>
      </c>
      <c r="H3275" s="32" t="str">
        <f aca="false">IF(L3275="","",INDEX(ポート振替表!$N$5:$N$3507,$L3275)&amp;"")</f>
        <v/>
      </c>
      <c r="I3275" s="32" t="str">
        <f aca="false">IF(L3275="","",INDEX(ポート振替表!$P$5:$P$3507,$L3275)&amp;"")</f>
        <v/>
      </c>
      <c r="J3275" s="60" t="str">
        <f aca="false">IF(L3275="","",INDEX(ポート振替表!$M$5:$M$3507,$L3275)&amp;"")</f>
        <v/>
      </c>
      <c r="K3275" s="52" t="str">
        <f aca="false">IF(L3275="","",E3275&amp;CHAR(10)&amp;INDEX(ポート振替表!$K$5:$K$3507,$L3275)&amp;" "&amp;INDEX(ポート振替表!$L$5:$L$3507,$L3275)&amp;CHAR(10)&amp;"⇔ "&amp;INDEX(ポート振替表!$H$5:$H$3507,$L3275)&amp;" "&amp;INDEX(ポート振替表!$I$5:$I$3507,$L3275))</f>
        <v/>
      </c>
      <c r="L3275" s="47" t="str">
        <f aca="false">IFERROR(MATCH(ROW()-4,ポート振替表!$V$5:$V$3507,0),"")</f>
        <v/>
      </c>
    </row>
    <row r="3276" customFormat="false" ht="16.4" hidden="false" customHeight="false" outlineLevel="0" collapsed="false">
      <c r="A3276" s="32" t="str">
        <f aca="false">IF(L3276="","",ROW()-4)</f>
        <v/>
      </c>
      <c r="B3276" s="58" t="str">
        <f aca="false">IF(L3276="","",IF(INDEX(ポート振替表!$W$5:$W$3507,$L3276)="","(なし)",INDEX(ポート振替表!$W$5:$W$3507,$L3276)&amp;""))</f>
        <v/>
      </c>
      <c r="C3276" s="52" t="str">
        <f aca="false">IF(L3276="","",INDEX(ポート振替表!$B$5:$B$3507,$L3276)&amp;" "&amp;INDEX(ポート振替表!$C$5:$C$3507,$L3276)&amp;"  ⇔  "&amp;INDEX(ポート振替表!$H$5:$H$3507,$L3276)&amp;" "&amp;INDEX(ポート振替表!$I$5:$I$3507,$L3276))</f>
        <v/>
      </c>
      <c r="D3276" s="57" t="s">
        <v>158</v>
      </c>
      <c r="E3276" s="59" t="str">
        <f aca="false">IF(L3276="","",IF(INDEX(ポート振替表!$O$5:$O$3507,$L3276)="","(未設定)",INDEX(ポート振替表!$O$5:$O$3507,$L3276)&amp;""))</f>
        <v/>
      </c>
      <c r="F3276" s="52" t="str">
        <f aca="false">IF(L3276="","",INDEX(ポート振替表!$K$5:$K$3507,$L3276)&amp;" "&amp;INDEX(ポート振替表!$L$5:$L$3507,$L3276)&amp;"  ⇔  "&amp;INDEX(ポート振替表!$H$5:$H$3507,$L3276)&amp;" "&amp;INDEX(ポート振替表!$I$5:$I$3507,$L3276))</f>
        <v/>
      </c>
      <c r="G3276" s="57" t="s">
        <v>158</v>
      </c>
      <c r="H3276" s="32" t="str">
        <f aca="false">IF(L3276="","",INDEX(ポート振替表!$N$5:$N$3507,$L3276)&amp;"")</f>
        <v/>
      </c>
      <c r="I3276" s="32" t="str">
        <f aca="false">IF(L3276="","",INDEX(ポート振替表!$P$5:$P$3507,$L3276)&amp;"")</f>
        <v/>
      </c>
      <c r="J3276" s="60" t="str">
        <f aca="false">IF(L3276="","",INDEX(ポート振替表!$M$5:$M$3507,$L3276)&amp;"")</f>
        <v/>
      </c>
      <c r="K3276" s="52" t="str">
        <f aca="false">IF(L3276="","",E3276&amp;CHAR(10)&amp;INDEX(ポート振替表!$K$5:$K$3507,$L3276)&amp;" "&amp;INDEX(ポート振替表!$L$5:$L$3507,$L3276)&amp;CHAR(10)&amp;"⇔ "&amp;INDEX(ポート振替表!$H$5:$H$3507,$L3276)&amp;" "&amp;INDEX(ポート振替表!$I$5:$I$3507,$L3276))</f>
        <v/>
      </c>
      <c r="L3276" s="47" t="str">
        <f aca="false">IFERROR(MATCH(ROW()-4,ポート振替表!$V$5:$V$3507,0),"")</f>
        <v/>
      </c>
    </row>
    <row r="3277" customFormat="false" ht="16.4" hidden="false" customHeight="false" outlineLevel="0" collapsed="false">
      <c r="A3277" s="32" t="str">
        <f aca="false">IF(L3277="","",ROW()-4)</f>
        <v/>
      </c>
      <c r="B3277" s="58" t="str">
        <f aca="false">IF(L3277="","",IF(INDEX(ポート振替表!$W$5:$W$3507,$L3277)="","(なし)",INDEX(ポート振替表!$W$5:$W$3507,$L3277)&amp;""))</f>
        <v/>
      </c>
      <c r="C3277" s="52" t="str">
        <f aca="false">IF(L3277="","",INDEX(ポート振替表!$B$5:$B$3507,$L3277)&amp;" "&amp;INDEX(ポート振替表!$C$5:$C$3507,$L3277)&amp;"  ⇔  "&amp;INDEX(ポート振替表!$H$5:$H$3507,$L3277)&amp;" "&amp;INDEX(ポート振替表!$I$5:$I$3507,$L3277))</f>
        <v/>
      </c>
      <c r="D3277" s="57" t="s">
        <v>158</v>
      </c>
      <c r="E3277" s="59" t="str">
        <f aca="false">IF(L3277="","",IF(INDEX(ポート振替表!$O$5:$O$3507,$L3277)="","(未設定)",INDEX(ポート振替表!$O$5:$O$3507,$L3277)&amp;""))</f>
        <v/>
      </c>
      <c r="F3277" s="52" t="str">
        <f aca="false">IF(L3277="","",INDEX(ポート振替表!$K$5:$K$3507,$L3277)&amp;" "&amp;INDEX(ポート振替表!$L$5:$L$3507,$L3277)&amp;"  ⇔  "&amp;INDEX(ポート振替表!$H$5:$H$3507,$L3277)&amp;" "&amp;INDEX(ポート振替表!$I$5:$I$3507,$L3277))</f>
        <v/>
      </c>
      <c r="G3277" s="57" t="s">
        <v>158</v>
      </c>
      <c r="H3277" s="32" t="str">
        <f aca="false">IF(L3277="","",INDEX(ポート振替表!$N$5:$N$3507,$L3277)&amp;"")</f>
        <v/>
      </c>
      <c r="I3277" s="32" t="str">
        <f aca="false">IF(L3277="","",INDEX(ポート振替表!$P$5:$P$3507,$L3277)&amp;"")</f>
        <v/>
      </c>
      <c r="J3277" s="60" t="str">
        <f aca="false">IF(L3277="","",INDEX(ポート振替表!$M$5:$M$3507,$L3277)&amp;"")</f>
        <v/>
      </c>
      <c r="K3277" s="52" t="str">
        <f aca="false">IF(L3277="","",E3277&amp;CHAR(10)&amp;INDEX(ポート振替表!$K$5:$K$3507,$L3277)&amp;" "&amp;INDEX(ポート振替表!$L$5:$L$3507,$L3277)&amp;CHAR(10)&amp;"⇔ "&amp;INDEX(ポート振替表!$H$5:$H$3507,$L3277)&amp;" "&amp;INDEX(ポート振替表!$I$5:$I$3507,$L3277))</f>
        <v/>
      </c>
      <c r="L3277" s="47" t="str">
        <f aca="false">IFERROR(MATCH(ROW()-4,ポート振替表!$V$5:$V$3507,0),"")</f>
        <v/>
      </c>
    </row>
    <row r="3278" customFormat="false" ht="16.4" hidden="false" customHeight="false" outlineLevel="0" collapsed="false">
      <c r="A3278" s="32" t="str">
        <f aca="false">IF(L3278="","",ROW()-4)</f>
        <v/>
      </c>
      <c r="B3278" s="58" t="str">
        <f aca="false">IF(L3278="","",IF(INDEX(ポート振替表!$W$5:$W$3507,$L3278)="","(なし)",INDEX(ポート振替表!$W$5:$W$3507,$L3278)&amp;""))</f>
        <v/>
      </c>
      <c r="C3278" s="52" t="str">
        <f aca="false">IF(L3278="","",INDEX(ポート振替表!$B$5:$B$3507,$L3278)&amp;" "&amp;INDEX(ポート振替表!$C$5:$C$3507,$L3278)&amp;"  ⇔  "&amp;INDEX(ポート振替表!$H$5:$H$3507,$L3278)&amp;" "&amp;INDEX(ポート振替表!$I$5:$I$3507,$L3278))</f>
        <v/>
      </c>
      <c r="D3278" s="57" t="s">
        <v>158</v>
      </c>
      <c r="E3278" s="59" t="str">
        <f aca="false">IF(L3278="","",IF(INDEX(ポート振替表!$O$5:$O$3507,$L3278)="","(未設定)",INDEX(ポート振替表!$O$5:$O$3507,$L3278)&amp;""))</f>
        <v/>
      </c>
      <c r="F3278" s="52" t="str">
        <f aca="false">IF(L3278="","",INDEX(ポート振替表!$K$5:$K$3507,$L3278)&amp;" "&amp;INDEX(ポート振替表!$L$5:$L$3507,$L3278)&amp;"  ⇔  "&amp;INDEX(ポート振替表!$H$5:$H$3507,$L3278)&amp;" "&amp;INDEX(ポート振替表!$I$5:$I$3507,$L3278))</f>
        <v/>
      </c>
      <c r="G3278" s="57" t="s">
        <v>158</v>
      </c>
      <c r="H3278" s="32" t="str">
        <f aca="false">IF(L3278="","",INDEX(ポート振替表!$N$5:$N$3507,$L3278)&amp;"")</f>
        <v/>
      </c>
      <c r="I3278" s="32" t="str">
        <f aca="false">IF(L3278="","",INDEX(ポート振替表!$P$5:$P$3507,$L3278)&amp;"")</f>
        <v/>
      </c>
      <c r="J3278" s="60" t="str">
        <f aca="false">IF(L3278="","",INDEX(ポート振替表!$M$5:$M$3507,$L3278)&amp;"")</f>
        <v/>
      </c>
      <c r="K3278" s="52" t="str">
        <f aca="false">IF(L3278="","",E3278&amp;CHAR(10)&amp;INDEX(ポート振替表!$K$5:$K$3507,$L3278)&amp;" "&amp;INDEX(ポート振替表!$L$5:$L$3507,$L3278)&amp;CHAR(10)&amp;"⇔ "&amp;INDEX(ポート振替表!$H$5:$H$3507,$L3278)&amp;" "&amp;INDEX(ポート振替表!$I$5:$I$3507,$L3278))</f>
        <v/>
      </c>
      <c r="L3278" s="47" t="str">
        <f aca="false">IFERROR(MATCH(ROW()-4,ポート振替表!$V$5:$V$3507,0),"")</f>
        <v/>
      </c>
    </row>
    <row r="3279" customFormat="false" ht="16.4" hidden="false" customHeight="false" outlineLevel="0" collapsed="false">
      <c r="A3279" s="32" t="str">
        <f aca="false">IF(L3279="","",ROW()-4)</f>
        <v/>
      </c>
      <c r="B3279" s="58" t="str">
        <f aca="false">IF(L3279="","",IF(INDEX(ポート振替表!$W$5:$W$3507,$L3279)="","(なし)",INDEX(ポート振替表!$W$5:$W$3507,$L3279)&amp;""))</f>
        <v/>
      </c>
      <c r="C3279" s="52" t="str">
        <f aca="false">IF(L3279="","",INDEX(ポート振替表!$B$5:$B$3507,$L3279)&amp;" "&amp;INDEX(ポート振替表!$C$5:$C$3507,$L3279)&amp;"  ⇔  "&amp;INDEX(ポート振替表!$H$5:$H$3507,$L3279)&amp;" "&amp;INDEX(ポート振替表!$I$5:$I$3507,$L3279))</f>
        <v/>
      </c>
      <c r="D3279" s="57" t="s">
        <v>158</v>
      </c>
      <c r="E3279" s="59" t="str">
        <f aca="false">IF(L3279="","",IF(INDEX(ポート振替表!$O$5:$O$3507,$L3279)="","(未設定)",INDEX(ポート振替表!$O$5:$O$3507,$L3279)&amp;""))</f>
        <v/>
      </c>
      <c r="F3279" s="52" t="str">
        <f aca="false">IF(L3279="","",INDEX(ポート振替表!$K$5:$K$3507,$L3279)&amp;" "&amp;INDEX(ポート振替表!$L$5:$L$3507,$L3279)&amp;"  ⇔  "&amp;INDEX(ポート振替表!$H$5:$H$3507,$L3279)&amp;" "&amp;INDEX(ポート振替表!$I$5:$I$3507,$L3279))</f>
        <v/>
      </c>
      <c r="G3279" s="57" t="s">
        <v>158</v>
      </c>
      <c r="H3279" s="32" t="str">
        <f aca="false">IF(L3279="","",INDEX(ポート振替表!$N$5:$N$3507,$L3279)&amp;"")</f>
        <v/>
      </c>
      <c r="I3279" s="32" t="str">
        <f aca="false">IF(L3279="","",INDEX(ポート振替表!$P$5:$P$3507,$L3279)&amp;"")</f>
        <v/>
      </c>
      <c r="J3279" s="60" t="str">
        <f aca="false">IF(L3279="","",INDEX(ポート振替表!$M$5:$M$3507,$L3279)&amp;"")</f>
        <v/>
      </c>
      <c r="K3279" s="52" t="str">
        <f aca="false">IF(L3279="","",E3279&amp;CHAR(10)&amp;INDEX(ポート振替表!$K$5:$K$3507,$L3279)&amp;" "&amp;INDEX(ポート振替表!$L$5:$L$3507,$L3279)&amp;CHAR(10)&amp;"⇔ "&amp;INDEX(ポート振替表!$H$5:$H$3507,$L3279)&amp;" "&amp;INDEX(ポート振替表!$I$5:$I$3507,$L3279))</f>
        <v/>
      </c>
      <c r="L3279" s="47" t="str">
        <f aca="false">IFERROR(MATCH(ROW()-4,ポート振替表!$V$5:$V$3507,0),"")</f>
        <v/>
      </c>
    </row>
    <row r="3280" customFormat="false" ht="16.4" hidden="false" customHeight="false" outlineLevel="0" collapsed="false">
      <c r="A3280" s="32" t="str">
        <f aca="false">IF(L3280="","",ROW()-4)</f>
        <v/>
      </c>
      <c r="B3280" s="58" t="str">
        <f aca="false">IF(L3280="","",IF(INDEX(ポート振替表!$W$5:$W$3507,$L3280)="","(なし)",INDEX(ポート振替表!$W$5:$W$3507,$L3280)&amp;""))</f>
        <v/>
      </c>
      <c r="C3280" s="52" t="str">
        <f aca="false">IF(L3280="","",INDEX(ポート振替表!$B$5:$B$3507,$L3280)&amp;" "&amp;INDEX(ポート振替表!$C$5:$C$3507,$L3280)&amp;"  ⇔  "&amp;INDEX(ポート振替表!$H$5:$H$3507,$L3280)&amp;" "&amp;INDEX(ポート振替表!$I$5:$I$3507,$L3280))</f>
        <v/>
      </c>
      <c r="D3280" s="57" t="s">
        <v>158</v>
      </c>
      <c r="E3280" s="59" t="str">
        <f aca="false">IF(L3280="","",IF(INDEX(ポート振替表!$O$5:$O$3507,$L3280)="","(未設定)",INDEX(ポート振替表!$O$5:$O$3507,$L3280)&amp;""))</f>
        <v/>
      </c>
      <c r="F3280" s="52" t="str">
        <f aca="false">IF(L3280="","",INDEX(ポート振替表!$K$5:$K$3507,$L3280)&amp;" "&amp;INDEX(ポート振替表!$L$5:$L$3507,$L3280)&amp;"  ⇔  "&amp;INDEX(ポート振替表!$H$5:$H$3507,$L3280)&amp;" "&amp;INDEX(ポート振替表!$I$5:$I$3507,$L3280))</f>
        <v/>
      </c>
      <c r="G3280" s="57" t="s">
        <v>158</v>
      </c>
      <c r="H3280" s="32" t="str">
        <f aca="false">IF(L3280="","",INDEX(ポート振替表!$N$5:$N$3507,$L3280)&amp;"")</f>
        <v/>
      </c>
      <c r="I3280" s="32" t="str">
        <f aca="false">IF(L3280="","",INDEX(ポート振替表!$P$5:$P$3507,$L3280)&amp;"")</f>
        <v/>
      </c>
      <c r="J3280" s="60" t="str">
        <f aca="false">IF(L3280="","",INDEX(ポート振替表!$M$5:$M$3507,$L3280)&amp;"")</f>
        <v/>
      </c>
      <c r="K3280" s="52" t="str">
        <f aca="false">IF(L3280="","",E3280&amp;CHAR(10)&amp;INDEX(ポート振替表!$K$5:$K$3507,$L3280)&amp;" "&amp;INDEX(ポート振替表!$L$5:$L$3507,$L3280)&amp;CHAR(10)&amp;"⇔ "&amp;INDEX(ポート振替表!$H$5:$H$3507,$L3280)&amp;" "&amp;INDEX(ポート振替表!$I$5:$I$3507,$L3280))</f>
        <v/>
      </c>
      <c r="L3280" s="47" t="str">
        <f aca="false">IFERROR(MATCH(ROW()-4,ポート振替表!$V$5:$V$3507,0),"")</f>
        <v/>
      </c>
    </row>
    <row r="3281" customFormat="false" ht="16.4" hidden="false" customHeight="false" outlineLevel="0" collapsed="false">
      <c r="A3281" s="32" t="str">
        <f aca="false">IF(L3281="","",ROW()-4)</f>
        <v/>
      </c>
      <c r="B3281" s="58" t="str">
        <f aca="false">IF(L3281="","",IF(INDEX(ポート振替表!$W$5:$W$3507,$L3281)="","(なし)",INDEX(ポート振替表!$W$5:$W$3507,$L3281)&amp;""))</f>
        <v/>
      </c>
      <c r="C3281" s="52" t="str">
        <f aca="false">IF(L3281="","",INDEX(ポート振替表!$B$5:$B$3507,$L3281)&amp;" "&amp;INDEX(ポート振替表!$C$5:$C$3507,$L3281)&amp;"  ⇔  "&amp;INDEX(ポート振替表!$H$5:$H$3507,$L3281)&amp;" "&amp;INDEX(ポート振替表!$I$5:$I$3507,$L3281))</f>
        <v/>
      </c>
      <c r="D3281" s="57" t="s">
        <v>158</v>
      </c>
      <c r="E3281" s="59" t="str">
        <f aca="false">IF(L3281="","",IF(INDEX(ポート振替表!$O$5:$O$3507,$L3281)="","(未設定)",INDEX(ポート振替表!$O$5:$O$3507,$L3281)&amp;""))</f>
        <v/>
      </c>
      <c r="F3281" s="52" t="str">
        <f aca="false">IF(L3281="","",INDEX(ポート振替表!$K$5:$K$3507,$L3281)&amp;" "&amp;INDEX(ポート振替表!$L$5:$L$3507,$L3281)&amp;"  ⇔  "&amp;INDEX(ポート振替表!$H$5:$H$3507,$L3281)&amp;" "&amp;INDEX(ポート振替表!$I$5:$I$3507,$L3281))</f>
        <v/>
      </c>
      <c r="G3281" s="57" t="s">
        <v>158</v>
      </c>
      <c r="H3281" s="32" t="str">
        <f aca="false">IF(L3281="","",INDEX(ポート振替表!$N$5:$N$3507,$L3281)&amp;"")</f>
        <v/>
      </c>
      <c r="I3281" s="32" t="str">
        <f aca="false">IF(L3281="","",INDEX(ポート振替表!$P$5:$P$3507,$L3281)&amp;"")</f>
        <v/>
      </c>
      <c r="J3281" s="60" t="str">
        <f aca="false">IF(L3281="","",INDEX(ポート振替表!$M$5:$M$3507,$L3281)&amp;"")</f>
        <v/>
      </c>
      <c r="K3281" s="52" t="str">
        <f aca="false">IF(L3281="","",E3281&amp;CHAR(10)&amp;INDEX(ポート振替表!$K$5:$K$3507,$L3281)&amp;" "&amp;INDEX(ポート振替表!$L$5:$L$3507,$L3281)&amp;CHAR(10)&amp;"⇔ "&amp;INDEX(ポート振替表!$H$5:$H$3507,$L3281)&amp;" "&amp;INDEX(ポート振替表!$I$5:$I$3507,$L3281))</f>
        <v/>
      </c>
      <c r="L3281" s="47" t="str">
        <f aca="false">IFERROR(MATCH(ROW()-4,ポート振替表!$V$5:$V$3507,0),"")</f>
        <v/>
      </c>
    </row>
    <row r="3282" customFormat="false" ht="16.4" hidden="false" customHeight="false" outlineLevel="0" collapsed="false">
      <c r="A3282" s="32" t="str">
        <f aca="false">IF(L3282="","",ROW()-4)</f>
        <v/>
      </c>
      <c r="B3282" s="58" t="str">
        <f aca="false">IF(L3282="","",IF(INDEX(ポート振替表!$W$5:$W$3507,$L3282)="","(なし)",INDEX(ポート振替表!$W$5:$W$3507,$L3282)&amp;""))</f>
        <v/>
      </c>
      <c r="C3282" s="52" t="str">
        <f aca="false">IF(L3282="","",INDEX(ポート振替表!$B$5:$B$3507,$L3282)&amp;" "&amp;INDEX(ポート振替表!$C$5:$C$3507,$L3282)&amp;"  ⇔  "&amp;INDEX(ポート振替表!$H$5:$H$3507,$L3282)&amp;" "&amp;INDEX(ポート振替表!$I$5:$I$3507,$L3282))</f>
        <v/>
      </c>
      <c r="D3282" s="57" t="s">
        <v>158</v>
      </c>
      <c r="E3282" s="59" t="str">
        <f aca="false">IF(L3282="","",IF(INDEX(ポート振替表!$O$5:$O$3507,$L3282)="","(未設定)",INDEX(ポート振替表!$O$5:$O$3507,$L3282)&amp;""))</f>
        <v/>
      </c>
      <c r="F3282" s="52" t="str">
        <f aca="false">IF(L3282="","",INDEX(ポート振替表!$K$5:$K$3507,$L3282)&amp;" "&amp;INDEX(ポート振替表!$L$5:$L$3507,$L3282)&amp;"  ⇔  "&amp;INDEX(ポート振替表!$H$5:$H$3507,$L3282)&amp;" "&amp;INDEX(ポート振替表!$I$5:$I$3507,$L3282))</f>
        <v/>
      </c>
      <c r="G3282" s="57" t="s">
        <v>158</v>
      </c>
      <c r="H3282" s="32" t="str">
        <f aca="false">IF(L3282="","",INDEX(ポート振替表!$N$5:$N$3507,$L3282)&amp;"")</f>
        <v/>
      </c>
      <c r="I3282" s="32" t="str">
        <f aca="false">IF(L3282="","",INDEX(ポート振替表!$P$5:$P$3507,$L3282)&amp;"")</f>
        <v/>
      </c>
      <c r="J3282" s="60" t="str">
        <f aca="false">IF(L3282="","",INDEX(ポート振替表!$M$5:$M$3507,$L3282)&amp;"")</f>
        <v/>
      </c>
      <c r="K3282" s="52" t="str">
        <f aca="false">IF(L3282="","",E3282&amp;CHAR(10)&amp;INDEX(ポート振替表!$K$5:$K$3507,$L3282)&amp;" "&amp;INDEX(ポート振替表!$L$5:$L$3507,$L3282)&amp;CHAR(10)&amp;"⇔ "&amp;INDEX(ポート振替表!$H$5:$H$3507,$L3282)&amp;" "&amp;INDEX(ポート振替表!$I$5:$I$3507,$L3282))</f>
        <v/>
      </c>
      <c r="L3282" s="47" t="str">
        <f aca="false">IFERROR(MATCH(ROW()-4,ポート振替表!$V$5:$V$3507,0),"")</f>
        <v/>
      </c>
    </row>
    <row r="3283" customFormat="false" ht="16.4" hidden="false" customHeight="false" outlineLevel="0" collapsed="false">
      <c r="A3283" s="32" t="str">
        <f aca="false">IF(L3283="","",ROW()-4)</f>
        <v/>
      </c>
      <c r="B3283" s="58" t="str">
        <f aca="false">IF(L3283="","",IF(INDEX(ポート振替表!$W$5:$W$3507,$L3283)="","(なし)",INDEX(ポート振替表!$W$5:$W$3507,$L3283)&amp;""))</f>
        <v/>
      </c>
      <c r="C3283" s="52" t="str">
        <f aca="false">IF(L3283="","",INDEX(ポート振替表!$B$5:$B$3507,$L3283)&amp;" "&amp;INDEX(ポート振替表!$C$5:$C$3507,$L3283)&amp;"  ⇔  "&amp;INDEX(ポート振替表!$H$5:$H$3507,$L3283)&amp;" "&amp;INDEX(ポート振替表!$I$5:$I$3507,$L3283))</f>
        <v/>
      </c>
      <c r="D3283" s="57" t="s">
        <v>158</v>
      </c>
      <c r="E3283" s="59" t="str">
        <f aca="false">IF(L3283="","",IF(INDEX(ポート振替表!$O$5:$O$3507,$L3283)="","(未設定)",INDEX(ポート振替表!$O$5:$O$3507,$L3283)&amp;""))</f>
        <v/>
      </c>
      <c r="F3283" s="52" t="str">
        <f aca="false">IF(L3283="","",INDEX(ポート振替表!$K$5:$K$3507,$L3283)&amp;" "&amp;INDEX(ポート振替表!$L$5:$L$3507,$L3283)&amp;"  ⇔  "&amp;INDEX(ポート振替表!$H$5:$H$3507,$L3283)&amp;" "&amp;INDEX(ポート振替表!$I$5:$I$3507,$L3283))</f>
        <v/>
      </c>
      <c r="G3283" s="57" t="s">
        <v>158</v>
      </c>
      <c r="H3283" s="32" t="str">
        <f aca="false">IF(L3283="","",INDEX(ポート振替表!$N$5:$N$3507,$L3283)&amp;"")</f>
        <v/>
      </c>
      <c r="I3283" s="32" t="str">
        <f aca="false">IF(L3283="","",INDEX(ポート振替表!$P$5:$P$3507,$L3283)&amp;"")</f>
        <v/>
      </c>
      <c r="J3283" s="60" t="str">
        <f aca="false">IF(L3283="","",INDEX(ポート振替表!$M$5:$M$3507,$L3283)&amp;"")</f>
        <v/>
      </c>
      <c r="K3283" s="52" t="str">
        <f aca="false">IF(L3283="","",E3283&amp;CHAR(10)&amp;INDEX(ポート振替表!$K$5:$K$3507,$L3283)&amp;" "&amp;INDEX(ポート振替表!$L$5:$L$3507,$L3283)&amp;CHAR(10)&amp;"⇔ "&amp;INDEX(ポート振替表!$H$5:$H$3507,$L3283)&amp;" "&amp;INDEX(ポート振替表!$I$5:$I$3507,$L3283))</f>
        <v/>
      </c>
      <c r="L3283" s="47" t="str">
        <f aca="false">IFERROR(MATCH(ROW()-4,ポート振替表!$V$5:$V$3507,0),"")</f>
        <v/>
      </c>
    </row>
    <row r="3284" customFormat="false" ht="16.4" hidden="false" customHeight="false" outlineLevel="0" collapsed="false">
      <c r="A3284" s="32" t="str">
        <f aca="false">IF(L3284="","",ROW()-4)</f>
        <v/>
      </c>
      <c r="B3284" s="58" t="str">
        <f aca="false">IF(L3284="","",IF(INDEX(ポート振替表!$W$5:$W$3507,$L3284)="","(なし)",INDEX(ポート振替表!$W$5:$W$3507,$L3284)&amp;""))</f>
        <v/>
      </c>
      <c r="C3284" s="52" t="str">
        <f aca="false">IF(L3284="","",INDEX(ポート振替表!$B$5:$B$3507,$L3284)&amp;" "&amp;INDEX(ポート振替表!$C$5:$C$3507,$L3284)&amp;"  ⇔  "&amp;INDEX(ポート振替表!$H$5:$H$3507,$L3284)&amp;" "&amp;INDEX(ポート振替表!$I$5:$I$3507,$L3284))</f>
        <v/>
      </c>
      <c r="D3284" s="57" t="s">
        <v>158</v>
      </c>
      <c r="E3284" s="59" t="str">
        <f aca="false">IF(L3284="","",IF(INDEX(ポート振替表!$O$5:$O$3507,$L3284)="","(未設定)",INDEX(ポート振替表!$O$5:$O$3507,$L3284)&amp;""))</f>
        <v/>
      </c>
      <c r="F3284" s="52" t="str">
        <f aca="false">IF(L3284="","",INDEX(ポート振替表!$K$5:$K$3507,$L3284)&amp;" "&amp;INDEX(ポート振替表!$L$5:$L$3507,$L3284)&amp;"  ⇔  "&amp;INDEX(ポート振替表!$H$5:$H$3507,$L3284)&amp;" "&amp;INDEX(ポート振替表!$I$5:$I$3507,$L3284))</f>
        <v/>
      </c>
      <c r="G3284" s="57" t="s">
        <v>158</v>
      </c>
      <c r="H3284" s="32" t="str">
        <f aca="false">IF(L3284="","",INDEX(ポート振替表!$N$5:$N$3507,$L3284)&amp;"")</f>
        <v/>
      </c>
      <c r="I3284" s="32" t="str">
        <f aca="false">IF(L3284="","",INDEX(ポート振替表!$P$5:$P$3507,$L3284)&amp;"")</f>
        <v/>
      </c>
      <c r="J3284" s="60" t="str">
        <f aca="false">IF(L3284="","",INDEX(ポート振替表!$M$5:$M$3507,$L3284)&amp;"")</f>
        <v/>
      </c>
      <c r="K3284" s="52" t="str">
        <f aca="false">IF(L3284="","",E3284&amp;CHAR(10)&amp;INDEX(ポート振替表!$K$5:$K$3507,$L3284)&amp;" "&amp;INDEX(ポート振替表!$L$5:$L$3507,$L3284)&amp;CHAR(10)&amp;"⇔ "&amp;INDEX(ポート振替表!$H$5:$H$3507,$L3284)&amp;" "&amp;INDEX(ポート振替表!$I$5:$I$3507,$L3284))</f>
        <v/>
      </c>
      <c r="L3284" s="47" t="str">
        <f aca="false">IFERROR(MATCH(ROW()-4,ポート振替表!$V$5:$V$3507,0),"")</f>
        <v/>
      </c>
    </row>
    <row r="3285" customFormat="false" ht="16.4" hidden="false" customHeight="false" outlineLevel="0" collapsed="false">
      <c r="A3285" s="32" t="str">
        <f aca="false">IF(L3285="","",ROW()-4)</f>
        <v/>
      </c>
      <c r="B3285" s="58" t="str">
        <f aca="false">IF(L3285="","",IF(INDEX(ポート振替表!$W$5:$W$3507,$L3285)="","(なし)",INDEX(ポート振替表!$W$5:$W$3507,$L3285)&amp;""))</f>
        <v/>
      </c>
      <c r="C3285" s="52" t="str">
        <f aca="false">IF(L3285="","",INDEX(ポート振替表!$B$5:$B$3507,$L3285)&amp;" "&amp;INDEX(ポート振替表!$C$5:$C$3507,$L3285)&amp;"  ⇔  "&amp;INDEX(ポート振替表!$H$5:$H$3507,$L3285)&amp;" "&amp;INDEX(ポート振替表!$I$5:$I$3507,$L3285))</f>
        <v/>
      </c>
      <c r="D3285" s="57" t="s">
        <v>158</v>
      </c>
      <c r="E3285" s="59" t="str">
        <f aca="false">IF(L3285="","",IF(INDEX(ポート振替表!$O$5:$O$3507,$L3285)="","(未設定)",INDEX(ポート振替表!$O$5:$O$3507,$L3285)&amp;""))</f>
        <v/>
      </c>
      <c r="F3285" s="52" t="str">
        <f aca="false">IF(L3285="","",INDEX(ポート振替表!$K$5:$K$3507,$L3285)&amp;" "&amp;INDEX(ポート振替表!$L$5:$L$3507,$L3285)&amp;"  ⇔  "&amp;INDEX(ポート振替表!$H$5:$H$3507,$L3285)&amp;" "&amp;INDEX(ポート振替表!$I$5:$I$3507,$L3285))</f>
        <v/>
      </c>
      <c r="G3285" s="57" t="s">
        <v>158</v>
      </c>
      <c r="H3285" s="32" t="str">
        <f aca="false">IF(L3285="","",INDEX(ポート振替表!$N$5:$N$3507,$L3285)&amp;"")</f>
        <v/>
      </c>
      <c r="I3285" s="32" t="str">
        <f aca="false">IF(L3285="","",INDEX(ポート振替表!$P$5:$P$3507,$L3285)&amp;"")</f>
        <v/>
      </c>
      <c r="J3285" s="60" t="str">
        <f aca="false">IF(L3285="","",INDEX(ポート振替表!$M$5:$M$3507,$L3285)&amp;"")</f>
        <v/>
      </c>
      <c r="K3285" s="52" t="str">
        <f aca="false">IF(L3285="","",E3285&amp;CHAR(10)&amp;INDEX(ポート振替表!$K$5:$K$3507,$L3285)&amp;" "&amp;INDEX(ポート振替表!$L$5:$L$3507,$L3285)&amp;CHAR(10)&amp;"⇔ "&amp;INDEX(ポート振替表!$H$5:$H$3507,$L3285)&amp;" "&amp;INDEX(ポート振替表!$I$5:$I$3507,$L3285))</f>
        <v/>
      </c>
      <c r="L3285" s="47" t="str">
        <f aca="false">IFERROR(MATCH(ROW()-4,ポート振替表!$V$5:$V$3507,0),"")</f>
        <v/>
      </c>
    </row>
    <row r="3286" customFormat="false" ht="16.4" hidden="false" customHeight="false" outlineLevel="0" collapsed="false">
      <c r="A3286" s="32" t="str">
        <f aca="false">IF(L3286="","",ROW()-4)</f>
        <v/>
      </c>
      <c r="B3286" s="58" t="str">
        <f aca="false">IF(L3286="","",IF(INDEX(ポート振替表!$W$5:$W$3507,$L3286)="","(なし)",INDEX(ポート振替表!$W$5:$W$3507,$L3286)&amp;""))</f>
        <v/>
      </c>
      <c r="C3286" s="52" t="str">
        <f aca="false">IF(L3286="","",INDEX(ポート振替表!$B$5:$B$3507,$L3286)&amp;" "&amp;INDEX(ポート振替表!$C$5:$C$3507,$L3286)&amp;"  ⇔  "&amp;INDEX(ポート振替表!$H$5:$H$3507,$L3286)&amp;" "&amp;INDEX(ポート振替表!$I$5:$I$3507,$L3286))</f>
        <v/>
      </c>
      <c r="D3286" s="57" t="s">
        <v>158</v>
      </c>
      <c r="E3286" s="59" t="str">
        <f aca="false">IF(L3286="","",IF(INDEX(ポート振替表!$O$5:$O$3507,$L3286)="","(未設定)",INDEX(ポート振替表!$O$5:$O$3507,$L3286)&amp;""))</f>
        <v/>
      </c>
      <c r="F3286" s="52" t="str">
        <f aca="false">IF(L3286="","",INDEX(ポート振替表!$K$5:$K$3507,$L3286)&amp;" "&amp;INDEX(ポート振替表!$L$5:$L$3507,$L3286)&amp;"  ⇔  "&amp;INDEX(ポート振替表!$H$5:$H$3507,$L3286)&amp;" "&amp;INDEX(ポート振替表!$I$5:$I$3507,$L3286))</f>
        <v/>
      </c>
      <c r="G3286" s="57" t="s">
        <v>158</v>
      </c>
      <c r="H3286" s="32" t="str">
        <f aca="false">IF(L3286="","",INDEX(ポート振替表!$N$5:$N$3507,$L3286)&amp;"")</f>
        <v/>
      </c>
      <c r="I3286" s="32" t="str">
        <f aca="false">IF(L3286="","",INDEX(ポート振替表!$P$5:$P$3507,$L3286)&amp;"")</f>
        <v/>
      </c>
      <c r="J3286" s="60" t="str">
        <f aca="false">IF(L3286="","",INDEX(ポート振替表!$M$5:$M$3507,$L3286)&amp;"")</f>
        <v/>
      </c>
      <c r="K3286" s="52" t="str">
        <f aca="false">IF(L3286="","",E3286&amp;CHAR(10)&amp;INDEX(ポート振替表!$K$5:$K$3507,$L3286)&amp;" "&amp;INDEX(ポート振替表!$L$5:$L$3507,$L3286)&amp;CHAR(10)&amp;"⇔ "&amp;INDEX(ポート振替表!$H$5:$H$3507,$L3286)&amp;" "&amp;INDEX(ポート振替表!$I$5:$I$3507,$L3286))</f>
        <v/>
      </c>
      <c r="L3286" s="47" t="str">
        <f aca="false">IFERROR(MATCH(ROW()-4,ポート振替表!$V$5:$V$3507,0),"")</f>
        <v/>
      </c>
    </row>
    <row r="3287" customFormat="false" ht="16.4" hidden="false" customHeight="false" outlineLevel="0" collapsed="false">
      <c r="A3287" s="32" t="str">
        <f aca="false">IF(L3287="","",ROW()-4)</f>
        <v/>
      </c>
      <c r="B3287" s="58" t="str">
        <f aca="false">IF(L3287="","",IF(INDEX(ポート振替表!$W$5:$W$3507,$L3287)="","(なし)",INDEX(ポート振替表!$W$5:$W$3507,$L3287)&amp;""))</f>
        <v/>
      </c>
      <c r="C3287" s="52" t="str">
        <f aca="false">IF(L3287="","",INDEX(ポート振替表!$B$5:$B$3507,$L3287)&amp;" "&amp;INDEX(ポート振替表!$C$5:$C$3507,$L3287)&amp;"  ⇔  "&amp;INDEX(ポート振替表!$H$5:$H$3507,$L3287)&amp;" "&amp;INDEX(ポート振替表!$I$5:$I$3507,$L3287))</f>
        <v/>
      </c>
      <c r="D3287" s="57" t="s">
        <v>158</v>
      </c>
      <c r="E3287" s="59" t="str">
        <f aca="false">IF(L3287="","",IF(INDEX(ポート振替表!$O$5:$O$3507,$L3287)="","(未設定)",INDEX(ポート振替表!$O$5:$O$3507,$L3287)&amp;""))</f>
        <v/>
      </c>
      <c r="F3287" s="52" t="str">
        <f aca="false">IF(L3287="","",INDEX(ポート振替表!$K$5:$K$3507,$L3287)&amp;" "&amp;INDEX(ポート振替表!$L$5:$L$3507,$L3287)&amp;"  ⇔  "&amp;INDEX(ポート振替表!$H$5:$H$3507,$L3287)&amp;" "&amp;INDEX(ポート振替表!$I$5:$I$3507,$L3287))</f>
        <v/>
      </c>
      <c r="G3287" s="57" t="s">
        <v>158</v>
      </c>
      <c r="H3287" s="32" t="str">
        <f aca="false">IF(L3287="","",INDEX(ポート振替表!$N$5:$N$3507,$L3287)&amp;"")</f>
        <v/>
      </c>
      <c r="I3287" s="32" t="str">
        <f aca="false">IF(L3287="","",INDEX(ポート振替表!$P$5:$P$3507,$L3287)&amp;"")</f>
        <v/>
      </c>
      <c r="J3287" s="60" t="str">
        <f aca="false">IF(L3287="","",INDEX(ポート振替表!$M$5:$M$3507,$L3287)&amp;"")</f>
        <v/>
      </c>
      <c r="K3287" s="52" t="str">
        <f aca="false">IF(L3287="","",E3287&amp;CHAR(10)&amp;INDEX(ポート振替表!$K$5:$K$3507,$L3287)&amp;" "&amp;INDEX(ポート振替表!$L$5:$L$3507,$L3287)&amp;CHAR(10)&amp;"⇔ "&amp;INDEX(ポート振替表!$H$5:$H$3507,$L3287)&amp;" "&amp;INDEX(ポート振替表!$I$5:$I$3507,$L3287))</f>
        <v/>
      </c>
      <c r="L3287" s="47" t="str">
        <f aca="false">IFERROR(MATCH(ROW()-4,ポート振替表!$V$5:$V$3507,0),"")</f>
        <v/>
      </c>
    </row>
    <row r="3288" customFormat="false" ht="16.4" hidden="false" customHeight="false" outlineLevel="0" collapsed="false">
      <c r="A3288" s="32" t="str">
        <f aca="false">IF(L3288="","",ROW()-4)</f>
        <v/>
      </c>
      <c r="B3288" s="58" t="str">
        <f aca="false">IF(L3288="","",IF(INDEX(ポート振替表!$W$5:$W$3507,$L3288)="","(なし)",INDEX(ポート振替表!$W$5:$W$3507,$L3288)&amp;""))</f>
        <v/>
      </c>
      <c r="C3288" s="52" t="str">
        <f aca="false">IF(L3288="","",INDEX(ポート振替表!$B$5:$B$3507,$L3288)&amp;" "&amp;INDEX(ポート振替表!$C$5:$C$3507,$L3288)&amp;"  ⇔  "&amp;INDEX(ポート振替表!$H$5:$H$3507,$L3288)&amp;" "&amp;INDEX(ポート振替表!$I$5:$I$3507,$L3288))</f>
        <v/>
      </c>
      <c r="D3288" s="57" t="s">
        <v>158</v>
      </c>
      <c r="E3288" s="59" t="str">
        <f aca="false">IF(L3288="","",IF(INDEX(ポート振替表!$O$5:$O$3507,$L3288)="","(未設定)",INDEX(ポート振替表!$O$5:$O$3507,$L3288)&amp;""))</f>
        <v/>
      </c>
      <c r="F3288" s="52" t="str">
        <f aca="false">IF(L3288="","",INDEX(ポート振替表!$K$5:$K$3507,$L3288)&amp;" "&amp;INDEX(ポート振替表!$L$5:$L$3507,$L3288)&amp;"  ⇔  "&amp;INDEX(ポート振替表!$H$5:$H$3507,$L3288)&amp;" "&amp;INDEX(ポート振替表!$I$5:$I$3507,$L3288))</f>
        <v/>
      </c>
      <c r="G3288" s="57" t="s">
        <v>158</v>
      </c>
      <c r="H3288" s="32" t="str">
        <f aca="false">IF(L3288="","",INDEX(ポート振替表!$N$5:$N$3507,$L3288)&amp;"")</f>
        <v/>
      </c>
      <c r="I3288" s="32" t="str">
        <f aca="false">IF(L3288="","",INDEX(ポート振替表!$P$5:$P$3507,$L3288)&amp;"")</f>
        <v/>
      </c>
      <c r="J3288" s="60" t="str">
        <f aca="false">IF(L3288="","",INDEX(ポート振替表!$M$5:$M$3507,$L3288)&amp;"")</f>
        <v/>
      </c>
      <c r="K3288" s="52" t="str">
        <f aca="false">IF(L3288="","",E3288&amp;CHAR(10)&amp;INDEX(ポート振替表!$K$5:$K$3507,$L3288)&amp;" "&amp;INDEX(ポート振替表!$L$5:$L$3507,$L3288)&amp;CHAR(10)&amp;"⇔ "&amp;INDEX(ポート振替表!$H$5:$H$3507,$L3288)&amp;" "&amp;INDEX(ポート振替表!$I$5:$I$3507,$L3288))</f>
        <v/>
      </c>
      <c r="L3288" s="47" t="str">
        <f aca="false">IFERROR(MATCH(ROW()-4,ポート振替表!$V$5:$V$3507,0),"")</f>
        <v/>
      </c>
    </row>
    <row r="3289" customFormat="false" ht="16.4" hidden="false" customHeight="false" outlineLevel="0" collapsed="false">
      <c r="A3289" s="32" t="str">
        <f aca="false">IF(L3289="","",ROW()-4)</f>
        <v/>
      </c>
      <c r="B3289" s="58" t="str">
        <f aca="false">IF(L3289="","",IF(INDEX(ポート振替表!$W$5:$W$3507,$L3289)="","(なし)",INDEX(ポート振替表!$W$5:$W$3507,$L3289)&amp;""))</f>
        <v/>
      </c>
      <c r="C3289" s="52" t="str">
        <f aca="false">IF(L3289="","",INDEX(ポート振替表!$B$5:$B$3507,$L3289)&amp;" "&amp;INDEX(ポート振替表!$C$5:$C$3507,$L3289)&amp;"  ⇔  "&amp;INDEX(ポート振替表!$H$5:$H$3507,$L3289)&amp;" "&amp;INDEX(ポート振替表!$I$5:$I$3507,$L3289))</f>
        <v/>
      </c>
      <c r="D3289" s="57" t="s">
        <v>158</v>
      </c>
      <c r="E3289" s="59" t="str">
        <f aca="false">IF(L3289="","",IF(INDEX(ポート振替表!$O$5:$O$3507,$L3289)="","(未設定)",INDEX(ポート振替表!$O$5:$O$3507,$L3289)&amp;""))</f>
        <v/>
      </c>
      <c r="F3289" s="52" t="str">
        <f aca="false">IF(L3289="","",INDEX(ポート振替表!$K$5:$K$3507,$L3289)&amp;" "&amp;INDEX(ポート振替表!$L$5:$L$3507,$L3289)&amp;"  ⇔  "&amp;INDEX(ポート振替表!$H$5:$H$3507,$L3289)&amp;" "&amp;INDEX(ポート振替表!$I$5:$I$3507,$L3289))</f>
        <v/>
      </c>
      <c r="G3289" s="57" t="s">
        <v>158</v>
      </c>
      <c r="H3289" s="32" t="str">
        <f aca="false">IF(L3289="","",INDEX(ポート振替表!$N$5:$N$3507,$L3289)&amp;"")</f>
        <v/>
      </c>
      <c r="I3289" s="32" t="str">
        <f aca="false">IF(L3289="","",INDEX(ポート振替表!$P$5:$P$3507,$L3289)&amp;"")</f>
        <v/>
      </c>
      <c r="J3289" s="60" t="str">
        <f aca="false">IF(L3289="","",INDEX(ポート振替表!$M$5:$M$3507,$L3289)&amp;"")</f>
        <v/>
      </c>
      <c r="K3289" s="52" t="str">
        <f aca="false">IF(L3289="","",E3289&amp;CHAR(10)&amp;INDEX(ポート振替表!$K$5:$K$3507,$L3289)&amp;" "&amp;INDEX(ポート振替表!$L$5:$L$3507,$L3289)&amp;CHAR(10)&amp;"⇔ "&amp;INDEX(ポート振替表!$H$5:$H$3507,$L3289)&amp;" "&amp;INDEX(ポート振替表!$I$5:$I$3507,$L3289))</f>
        <v/>
      </c>
      <c r="L3289" s="47" t="str">
        <f aca="false">IFERROR(MATCH(ROW()-4,ポート振替表!$V$5:$V$3507,0),"")</f>
        <v/>
      </c>
    </row>
    <row r="3290" customFormat="false" ht="16.4" hidden="false" customHeight="false" outlineLevel="0" collapsed="false">
      <c r="A3290" s="32" t="str">
        <f aca="false">IF(L3290="","",ROW()-4)</f>
        <v/>
      </c>
      <c r="B3290" s="58" t="str">
        <f aca="false">IF(L3290="","",IF(INDEX(ポート振替表!$W$5:$W$3507,$L3290)="","(なし)",INDEX(ポート振替表!$W$5:$W$3507,$L3290)&amp;""))</f>
        <v/>
      </c>
      <c r="C3290" s="52" t="str">
        <f aca="false">IF(L3290="","",INDEX(ポート振替表!$B$5:$B$3507,$L3290)&amp;" "&amp;INDEX(ポート振替表!$C$5:$C$3507,$L3290)&amp;"  ⇔  "&amp;INDEX(ポート振替表!$H$5:$H$3507,$L3290)&amp;" "&amp;INDEX(ポート振替表!$I$5:$I$3507,$L3290))</f>
        <v/>
      </c>
      <c r="D3290" s="57" t="s">
        <v>158</v>
      </c>
      <c r="E3290" s="59" t="str">
        <f aca="false">IF(L3290="","",IF(INDEX(ポート振替表!$O$5:$O$3507,$L3290)="","(未設定)",INDEX(ポート振替表!$O$5:$O$3507,$L3290)&amp;""))</f>
        <v/>
      </c>
      <c r="F3290" s="52" t="str">
        <f aca="false">IF(L3290="","",INDEX(ポート振替表!$K$5:$K$3507,$L3290)&amp;" "&amp;INDEX(ポート振替表!$L$5:$L$3507,$L3290)&amp;"  ⇔  "&amp;INDEX(ポート振替表!$H$5:$H$3507,$L3290)&amp;" "&amp;INDEX(ポート振替表!$I$5:$I$3507,$L3290))</f>
        <v/>
      </c>
      <c r="G3290" s="57" t="s">
        <v>158</v>
      </c>
      <c r="H3290" s="32" t="str">
        <f aca="false">IF(L3290="","",INDEX(ポート振替表!$N$5:$N$3507,$L3290)&amp;"")</f>
        <v/>
      </c>
      <c r="I3290" s="32" t="str">
        <f aca="false">IF(L3290="","",INDEX(ポート振替表!$P$5:$P$3507,$L3290)&amp;"")</f>
        <v/>
      </c>
      <c r="J3290" s="60" t="str">
        <f aca="false">IF(L3290="","",INDEX(ポート振替表!$M$5:$M$3507,$L3290)&amp;"")</f>
        <v/>
      </c>
      <c r="K3290" s="52" t="str">
        <f aca="false">IF(L3290="","",E3290&amp;CHAR(10)&amp;INDEX(ポート振替表!$K$5:$K$3507,$L3290)&amp;" "&amp;INDEX(ポート振替表!$L$5:$L$3507,$L3290)&amp;CHAR(10)&amp;"⇔ "&amp;INDEX(ポート振替表!$H$5:$H$3507,$L3290)&amp;" "&amp;INDEX(ポート振替表!$I$5:$I$3507,$L3290))</f>
        <v/>
      </c>
      <c r="L3290" s="47" t="str">
        <f aca="false">IFERROR(MATCH(ROW()-4,ポート振替表!$V$5:$V$3507,0),"")</f>
        <v/>
      </c>
    </row>
    <row r="3291" customFormat="false" ht="16.4" hidden="false" customHeight="false" outlineLevel="0" collapsed="false">
      <c r="A3291" s="32" t="str">
        <f aca="false">IF(L3291="","",ROW()-4)</f>
        <v/>
      </c>
      <c r="B3291" s="58" t="str">
        <f aca="false">IF(L3291="","",IF(INDEX(ポート振替表!$W$5:$W$3507,$L3291)="","(なし)",INDEX(ポート振替表!$W$5:$W$3507,$L3291)&amp;""))</f>
        <v/>
      </c>
      <c r="C3291" s="52" t="str">
        <f aca="false">IF(L3291="","",INDEX(ポート振替表!$B$5:$B$3507,$L3291)&amp;" "&amp;INDEX(ポート振替表!$C$5:$C$3507,$L3291)&amp;"  ⇔  "&amp;INDEX(ポート振替表!$H$5:$H$3507,$L3291)&amp;" "&amp;INDEX(ポート振替表!$I$5:$I$3507,$L3291))</f>
        <v/>
      </c>
      <c r="D3291" s="57" t="s">
        <v>158</v>
      </c>
      <c r="E3291" s="59" t="str">
        <f aca="false">IF(L3291="","",IF(INDEX(ポート振替表!$O$5:$O$3507,$L3291)="","(未設定)",INDEX(ポート振替表!$O$5:$O$3507,$L3291)&amp;""))</f>
        <v/>
      </c>
      <c r="F3291" s="52" t="str">
        <f aca="false">IF(L3291="","",INDEX(ポート振替表!$K$5:$K$3507,$L3291)&amp;" "&amp;INDEX(ポート振替表!$L$5:$L$3507,$L3291)&amp;"  ⇔  "&amp;INDEX(ポート振替表!$H$5:$H$3507,$L3291)&amp;" "&amp;INDEX(ポート振替表!$I$5:$I$3507,$L3291))</f>
        <v/>
      </c>
      <c r="G3291" s="57" t="s">
        <v>158</v>
      </c>
      <c r="H3291" s="32" t="str">
        <f aca="false">IF(L3291="","",INDEX(ポート振替表!$N$5:$N$3507,$L3291)&amp;"")</f>
        <v/>
      </c>
      <c r="I3291" s="32" t="str">
        <f aca="false">IF(L3291="","",INDEX(ポート振替表!$P$5:$P$3507,$L3291)&amp;"")</f>
        <v/>
      </c>
      <c r="J3291" s="60" t="str">
        <f aca="false">IF(L3291="","",INDEX(ポート振替表!$M$5:$M$3507,$L3291)&amp;"")</f>
        <v/>
      </c>
      <c r="K3291" s="52" t="str">
        <f aca="false">IF(L3291="","",E3291&amp;CHAR(10)&amp;INDEX(ポート振替表!$K$5:$K$3507,$L3291)&amp;" "&amp;INDEX(ポート振替表!$L$5:$L$3507,$L3291)&amp;CHAR(10)&amp;"⇔ "&amp;INDEX(ポート振替表!$H$5:$H$3507,$L3291)&amp;" "&amp;INDEX(ポート振替表!$I$5:$I$3507,$L3291))</f>
        <v/>
      </c>
      <c r="L3291" s="47" t="str">
        <f aca="false">IFERROR(MATCH(ROW()-4,ポート振替表!$V$5:$V$3507,0),"")</f>
        <v/>
      </c>
    </row>
    <row r="3292" customFormat="false" ht="16.4" hidden="false" customHeight="false" outlineLevel="0" collapsed="false">
      <c r="A3292" s="32" t="str">
        <f aca="false">IF(L3292="","",ROW()-4)</f>
        <v/>
      </c>
      <c r="B3292" s="58" t="str">
        <f aca="false">IF(L3292="","",IF(INDEX(ポート振替表!$W$5:$W$3507,$L3292)="","(なし)",INDEX(ポート振替表!$W$5:$W$3507,$L3292)&amp;""))</f>
        <v/>
      </c>
      <c r="C3292" s="52" t="str">
        <f aca="false">IF(L3292="","",INDEX(ポート振替表!$B$5:$B$3507,$L3292)&amp;" "&amp;INDEX(ポート振替表!$C$5:$C$3507,$L3292)&amp;"  ⇔  "&amp;INDEX(ポート振替表!$H$5:$H$3507,$L3292)&amp;" "&amp;INDEX(ポート振替表!$I$5:$I$3507,$L3292))</f>
        <v/>
      </c>
      <c r="D3292" s="57" t="s">
        <v>158</v>
      </c>
      <c r="E3292" s="59" t="str">
        <f aca="false">IF(L3292="","",IF(INDEX(ポート振替表!$O$5:$O$3507,$L3292)="","(未設定)",INDEX(ポート振替表!$O$5:$O$3507,$L3292)&amp;""))</f>
        <v/>
      </c>
      <c r="F3292" s="52" t="str">
        <f aca="false">IF(L3292="","",INDEX(ポート振替表!$K$5:$K$3507,$L3292)&amp;" "&amp;INDEX(ポート振替表!$L$5:$L$3507,$L3292)&amp;"  ⇔  "&amp;INDEX(ポート振替表!$H$5:$H$3507,$L3292)&amp;" "&amp;INDEX(ポート振替表!$I$5:$I$3507,$L3292))</f>
        <v/>
      </c>
      <c r="G3292" s="57" t="s">
        <v>158</v>
      </c>
      <c r="H3292" s="32" t="str">
        <f aca="false">IF(L3292="","",INDEX(ポート振替表!$N$5:$N$3507,$L3292)&amp;"")</f>
        <v/>
      </c>
      <c r="I3292" s="32" t="str">
        <f aca="false">IF(L3292="","",INDEX(ポート振替表!$P$5:$P$3507,$L3292)&amp;"")</f>
        <v/>
      </c>
      <c r="J3292" s="60" t="str">
        <f aca="false">IF(L3292="","",INDEX(ポート振替表!$M$5:$M$3507,$L3292)&amp;"")</f>
        <v/>
      </c>
      <c r="K3292" s="52" t="str">
        <f aca="false">IF(L3292="","",E3292&amp;CHAR(10)&amp;INDEX(ポート振替表!$K$5:$K$3507,$L3292)&amp;" "&amp;INDEX(ポート振替表!$L$5:$L$3507,$L3292)&amp;CHAR(10)&amp;"⇔ "&amp;INDEX(ポート振替表!$H$5:$H$3507,$L3292)&amp;" "&amp;INDEX(ポート振替表!$I$5:$I$3507,$L3292))</f>
        <v/>
      </c>
      <c r="L3292" s="47" t="str">
        <f aca="false">IFERROR(MATCH(ROW()-4,ポート振替表!$V$5:$V$3507,0),"")</f>
        <v/>
      </c>
    </row>
    <row r="3293" customFormat="false" ht="16.4" hidden="false" customHeight="false" outlineLevel="0" collapsed="false">
      <c r="A3293" s="32" t="str">
        <f aca="false">IF(L3293="","",ROW()-4)</f>
        <v/>
      </c>
      <c r="B3293" s="58" t="str">
        <f aca="false">IF(L3293="","",IF(INDEX(ポート振替表!$W$5:$W$3507,$L3293)="","(なし)",INDEX(ポート振替表!$W$5:$W$3507,$L3293)&amp;""))</f>
        <v/>
      </c>
      <c r="C3293" s="52" t="str">
        <f aca="false">IF(L3293="","",INDEX(ポート振替表!$B$5:$B$3507,$L3293)&amp;" "&amp;INDEX(ポート振替表!$C$5:$C$3507,$L3293)&amp;"  ⇔  "&amp;INDEX(ポート振替表!$H$5:$H$3507,$L3293)&amp;" "&amp;INDEX(ポート振替表!$I$5:$I$3507,$L3293))</f>
        <v/>
      </c>
      <c r="D3293" s="57" t="s">
        <v>158</v>
      </c>
      <c r="E3293" s="59" t="str">
        <f aca="false">IF(L3293="","",IF(INDEX(ポート振替表!$O$5:$O$3507,$L3293)="","(未設定)",INDEX(ポート振替表!$O$5:$O$3507,$L3293)&amp;""))</f>
        <v/>
      </c>
      <c r="F3293" s="52" t="str">
        <f aca="false">IF(L3293="","",INDEX(ポート振替表!$K$5:$K$3507,$L3293)&amp;" "&amp;INDEX(ポート振替表!$L$5:$L$3507,$L3293)&amp;"  ⇔  "&amp;INDEX(ポート振替表!$H$5:$H$3507,$L3293)&amp;" "&amp;INDEX(ポート振替表!$I$5:$I$3507,$L3293))</f>
        <v/>
      </c>
      <c r="G3293" s="57" t="s">
        <v>158</v>
      </c>
      <c r="H3293" s="32" t="str">
        <f aca="false">IF(L3293="","",INDEX(ポート振替表!$N$5:$N$3507,$L3293)&amp;"")</f>
        <v/>
      </c>
      <c r="I3293" s="32" t="str">
        <f aca="false">IF(L3293="","",INDEX(ポート振替表!$P$5:$P$3507,$L3293)&amp;"")</f>
        <v/>
      </c>
      <c r="J3293" s="60" t="str">
        <f aca="false">IF(L3293="","",INDEX(ポート振替表!$M$5:$M$3507,$L3293)&amp;"")</f>
        <v/>
      </c>
      <c r="K3293" s="52" t="str">
        <f aca="false">IF(L3293="","",E3293&amp;CHAR(10)&amp;INDEX(ポート振替表!$K$5:$K$3507,$L3293)&amp;" "&amp;INDEX(ポート振替表!$L$5:$L$3507,$L3293)&amp;CHAR(10)&amp;"⇔ "&amp;INDEX(ポート振替表!$H$5:$H$3507,$L3293)&amp;" "&amp;INDEX(ポート振替表!$I$5:$I$3507,$L3293))</f>
        <v/>
      </c>
      <c r="L3293" s="47" t="str">
        <f aca="false">IFERROR(MATCH(ROW()-4,ポート振替表!$V$5:$V$3507,0),"")</f>
        <v/>
      </c>
    </row>
    <row r="3294" customFormat="false" ht="16.4" hidden="false" customHeight="false" outlineLevel="0" collapsed="false">
      <c r="A3294" s="32" t="str">
        <f aca="false">IF(L3294="","",ROW()-4)</f>
        <v/>
      </c>
      <c r="B3294" s="58" t="str">
        <f aca="false">IF(L3294="","",IF(INDEX(ポート振替表!$W$5:$W$3507,$L3294)="","(なし)",INDEX(ポート振替表!$W$5:$W$3507,$L3294)&amp;""))</f>
        <v/>
      </c>
      <c r="C3294" s="52" t="str">
        <f aca="false">IF(L3294="","",INDEX(ポート振替表!$B$5:$B$3507,$L3294)&amp;" "&amp;INDEX(ポート振替表!$C$5:$C$3507,$L3294)&amp;"  ⇔  "&amp;INDEX(ポート振替表!$H$5:$H$3507,$L3294)&amp;" "&amp;INDEX(ポート振替表!$I$5:$I$3507,$L3294))</f>
        <v/>
      </c>
      <c r="D3294" s="57" t="s">
        <v>158</v>
      </c>
      <c r="E3294" s="59" t="str">
        <f aca="false">IF(L3294="","",IF(INDEX(ポート振替表!$O$5:$O$3507,$L3294)="","(未設定)",INDEX(ポート振替表!$O$5:$O$3507,$L3294)&amp;""))</f>
        <v/>
      </c>
      <c r="F3294" s="52" t="str">
        <f aca="false">IF(L3294="","",INDEX(ポート振替表!$K$5:$K$3507,$L3294)&amp;" "&amp;INDEX(ポート振替表!$L$5:$L$3507,$L3294)&amp;"  ⇔  "&amp;INDEX(ポート振替表!$H$5:$H$3507,$L3294)&amp;" "&amp;INDEX(ポート振替表!$I$5:$I$3507,$L3294))</f>
        <v/>
      </c>
      <c r="G3294" s="57" t="s">
        <v>158</v>
      </c>
      <c r="H3294" s="32" t="str">
        <f aca="false">IF(L3294="","",INDEX(ポート振替表!$N$5:$N$3507,$L3294)&amp;"")</f>
        <v/>
      </c>
      <c r="I3294" s="32" t="str">
        <f aca="false">IF(L3294="","",INDEX(ポート振替表!$P$5:$P$3507,$L3294)&amp;"")</f>
        <v/>
      </c>
      <c r="J3294" s="60" t="str">
        <f aca="false">IF(L3294="","",INDEX(ポート振替表!$M$5:$M$3507,$L3294)&amp;"")</f>
        <v/>
      </c>
      <c r="K3294" s="52" t="str">
        <f aca="false">IF(L3294="","",E3294&amp;CHAR(10)&amp;INDEX(ポート振替表!$K$5:$K$3507,$L3294)&amp;" "&amp;INDEX(ポート振替表!$L$5:$L$3507,$L3294)&amp;CHAR(10)&amp;"⇔ "&amp;INDEX(ポート振替表!$H$5:$H$3507,$L3294)&amp;" "&amp;INDEX(ポート振替表!$I$5:$I$3507,$L3294))</f>
        <v/>
      </c>
      <c r="L3294" s="47" t="str">
        <f aca="false">IFERROR(MATCH(ROW()-4,ポート振替表!$V$5:$V$3507,0),"")</f>
        <v/>
      </c>
    </row>
    <row r="3295" customFormat="false" ht="16.4" hidden="false" customHeight="false" outlineLevel="0" collapsed="false">
      <c r="A3295" s="32" t="str">
        <f aca="false">IF(L3295="","",ROW()-4)</f>
        <v/>
      </c>
      <c r="B3295" s="58" t="str">
        <f aca="false">IF(L3295="","",IF(INDEX(ポート振替表!$W$5:$W$3507,$L3295)="","(なし)",INDEX(ポート振替表!$W$5:$W$3507,$L3295)&amp;""))</f>
        <v/>
      </c>
      <c r="C3295" s="52" t="str">
        <f aca="false">IF(L3295="","",INDEX(ポート振替表!$B$5:$B$3507,$L3295)&amp;" "&amp;INDEX(ポート振替表!$C$5:$C$3507,$L3295)&amp;"  ⇔  "&amp;INDEX(ポート振替表!$H$5:$H$3507,$L3295)&amp;" "&amp;INDEX(ポート振替表!$I$5:$I$3507,$L3295))</f>
        <v/>
      </c>
      <c r="D3295" s="57" t="s">
        <v>158</v>
      </c>
      <c r="E3295" s="59" t="str">
        <f aca="false">IF(L3295="","",IF(INDEX(ポート振替表!$O$5:$O$3507,$L3295)="","(未設定)",INDEX(ポート振替表!$O$5:$O$3507,$L3295)&amp;""))</f>
        <v/>
      </c>
      <c r="F3295" s="52" t="str">
        <f aca="false">IF(L3295="","",INDEX(ポート振替表!$K$5:$K$3507,$L3295)&amp;" "&amp;INDEX(ポート振替表!$L$5:$L$3507,$L3295)&amp;"  ⇔  "&amp;INDEX(ポート振替表!$H$5:$H$3507,$L3295)&amp;" "&amp;INDEX(ポート振替表!$I$5:$I$3507,$L3295))</f>
        <v/>
      </c>
      <c r="G3295" s="57" t="s">
        <v>158</v>
      </c>
      <c r="H3295" s="32" t="str">
        <f aca="false">IF(L3295="","",INDEX(ポート振替表!$N$5:$N$3507,$L3295)&amp;"")</f>
        <v/>
      </c>
      <c r="I3295" s="32" t="str">
        <f aca="false">IF(L3295="","",INDEX(ポート振替表!$P$5:$P$3507,$L3295)&amp;"")</f>
        <v/>
      </c>
      <c r="J3295" s="60" t="str">
        <f aca="false">IF(L3295="","",INDEX(ポート振替表!$M$5:$M$3507,$L3295)&amp;"")</f>
        <v/>
      </c>
      <c r="K3295" s="52" t="str">
        <f aca="false">IF(L3295="","",E3295&amp;CHAR(10)&amp;INDEX(ポート振替表!$K$5:$K$3507,$L3295)&amp;" "&amp;INDEX(ポート振替表!$L$5:$L$3507,$L3295)&amp;CHAR(10)&amp;"⇔ "&amp;INDEX(ポート振替表!$H$5:$H$3507,$L3295)&amp;" "&amp;INDEX(ポート振替表!$I$5:$I$3507,$L3295))</f>
        <v/>
      </c>
      <c r="L3295" s="47" t="str">
        <f aca="false">IFERROR(MATCH(ROW()-4,ポート振替表!$V$5:$V$3507,0),"")</f>
        <v/>
      </c>
    </row>
    <row r="3296" customFormat="false" ht="16.4" hidden="false" customHeight="false" outlineLevel="0" collapsed="false">
      <c r="A3296" s="32" t="str">
        <f aca="false">IF(L3296="","",ROW()-4)</f>
        <v/>
      </c>
      <c r="B3296" s="58" t="str">
        <f aca="false">IF(L3296="","",IF(INDEX(ポート振替表!$W$5:$W$3507,$L3296)="","(なし)",INDEX(ポート振替表!$W$5:$W$3507,$L3296)&amp;""))</f>
        <v/>
      </c>
      <c r="C3296" s="52" t="str">
        <f aca="false">IF(L3296="","",INDEX(ポート振替表!$B$5:$B$3507,$L3296)&amp;" "&amp;INDEX(ポート振替表!$C$5:$C$3507,$L3296)&amp;"  ⇔  "&amp;INDEX(ポート振替表!$H$5:$H$3507,$L3296)&amp;" "&amp;INDEX(ポート振替表!$I$5:$I$3507,$L3296))</f>
        <v/>
      </c>
      <c r="D3296" s="57" t="s">
        <v>158</v>
      </c>
      <c r="E3296" s="59" t="str">
        <f aca="false">IF(L3296="","",IF(INDEX(ポート振替表!$O$5:$O$3507,$L3296)="","(未設定)",INDEX(ポート振替表!$O$5:$O$3507,$L3296)&amp;""))</f>
        <v/>
      </c>
      <c r="F3296" s="52" t="str">
        <f aca="false">IF(L3296="","",INDEX(ポート振替表!$K$5:$K$3507,$L3296)&amp;" "&amp;INDEX(ポート振替表!$L$5:$L$3507,$L3296)&amp;"  ⇔  "&amp;INDEX(ポート振替表!$H$5:$H$3507,$L3296)&amp;" "&amp;INDEX(ポート振替表!$I$5:$I$3507,$L3296))</f>
        <v/>
      </c>
      <c r="G3296" s="57" t="s">
        <v>158</v>
      </c>
      <c r="H3296" s="32" t="str">
        <f aca="false">IF(L3296="","",INDEX(ポート振替表!$N$5:$N$3507,$L3296)&amp;"")</f>
        <v/>
      </c>
      <c r="I3296" s="32" t="str">
        <f aca="false">IF(L3296="","",INDEX(ポート振替表!$P$5:$P$3507,$L3296)&amp;"")</f>
        <v/>
      </c>
      <c r="J3296" s="60" t="str">
        <f aca="false">IF(L3296="","",INDEX(ポート振替表!$M$5:$M$3507,$L3296)&amp;"")</f>
        <v/>
      </c>
      <c r="K3296" s="52" t="str">
        <f aca="false">IF(L3296="","",E3296&amp;CHAR(10)&amp;INDEX(ポート振替表!$K$5:$K$3507,$L3296)&amp;" "&amp;INDEX(ポート振替表!$L$5:$L$3507,$L3296)&amp;CHAR(10)&amp;"⇔ "&amp;INDEX(ポート振替表!$H$5:$H$3507,$L3296)&amp;" "&amp;INDEX(ポート振替表!$I$5:$I$3507,$L3296))</f>
        <v/>
      </c>
      <c r="L3296" s="47" t="str">
        <f aca="false">IFERROR(MATCH(ROW()-4,ポート振替表!$V$5:$V$3507,0),"")</f>
        <v/>
      </c>
    </row>
    <row r="3297" customFormat="false" ht="16.4" hidden="false" customHeight="false" outlineLevel="0" collapsed="false">
      <c r="A3297" s="32" t="str">
        <f aca="false">IF(L3297="","",ROW()-4)</f>
        <v/>
      </c>
      <c r="B3297" s="58" t="str">
        <f aca="false">IF(L3297="","",IF(INDEX(ポート振替表!$W$5:$W$3507,$L3297)="","(なし)",INDEX(ポート振替表!$W$5:$W$3507,$L3297)&amp;""))</f>
        <v/>
      </c>
      <c r="C3297" s="52" t="str">
        <f aca="false">IF(L3297="","",INDEX(ポート振替表!$B$5:$B$3507,$L3297)&amp;" "&amp;INDEX(ポート振替表!$C$5:$C$3507,$L3297)&amp;"  ⇔  "&amp;INDEX(ポート振替表!$H$5:$H$3507,$L3297)&amp;" "&amp;INDEX(ポート振替表!$I$5:$I$3507,$L3297))</f>
        <v/>
      </c>
      <c r="D3297" s="57" t="s">
        <v>158</v>
      </c>
      <c r="E3297" s="59" t="str">
        <f aca="false">IF(L3297="","",IF(INDEX(ポート振替表!$O$5:$O$3507,$L3297)="","(未設定)",INDEX(ポート振替表!$O$5:$O$3507,$L3297)&amp;""))</f>
        <v/>
      </c>
      <c r="F3297" s="52" t="str">
        <f aca="false">IF(L3297="","",INDEX(ポート振替表!$K$5:$K$3507,$L3297)&amp;" "&amp;INDEX(ポート振替表!$L$5:$L$3507,$L3297)&amp;"  ⇔  "&amp;INDEX(ポート振替表!$H$5:$H$3507,$L3297)&amp;" "&amp;INDEX(ポート振替表!$I$5:$I$3507,$L3297))</f>
        <v/>
      </c>
      <c r="G3297" s="57" t="s">
        <v>158</v>
      </c>
      <c r="H3297" s="32" t="str">
        <f aca="false">IF(L3297="","",INDEX(ポート振替表!$N$5:$N$3507,$L3297)&amp;"")</f>
        <v/>
      </c>
      <c r="I3297" s="32" t="str">
        <f aca="false">IF(L3297="","",INDEX(ポート振替表!$P$5:$P$3507,$L3297)&amp;"")</f>
        <v/>
      </c>
      <c r="J3297" s="60" t="str">
        <f aca="false">IF(L3297="","",INDEX(ポート振替表!$M$5:$M$3507,$L3297)&amp;"")</f>
        <v/>
      </c>
      <c r="K3297" s="52" t="str">
        <f aca="false">IF(L3297="","",E3297&amp;CHAR(10)&amp;INDEX(ポート振替表!$K$5:$K$3507,$L3297)&amp;" "&amp;INDEX(ポート振替表!$L$5:$L$3507,$L3297)&amp;CHAR(10)&amp;"⇔ "&amp;INDEX(ポート振替表!$H$5:$H$3507,$L3297)&amp;" "&amp;INDEX(ポート振替表!$I$5:$I$3507,$L3297))</f>
        <v/>
      </c>
      <c r="L3297" s="47" t="str">
        <f aca="false">IFERROR(MATCH(ROW()-4,ポート振替表!$V$5:$V$3507,0),"")</f>
        <v/>
      </c>
    </row>
    <row r="3298" customFormat="false" ht="16.4" hidden="false" customHeight="false" outlineLevel="0" collapsed="false">
      <c r="A3298" s="32" t="str">
        <f aca="false">IF(L3298="","",ROW()-4)</f>
        <v/>
      </c>
      <c r="B3298" s="58" t="str">
        <f aca="false">IF(L3298="","",IF(INDEX(ポート振替表!$W$5:$W$3507,$L3298)="","(なし)",INDEX(ポート振替表!$W$5:$W$3507,$L3298)&amp;""))</f>
        <v/>
      </c>
      <c r="C3298" s="52" t="str">
        <f aca="false">IF(L3298="","",INDEX(ポート振替表!$B$5:$B$3507,$L3298)&amp;" "&amp;INDEX(ポート振替表!$C$5:$C$3507,$L3298)&amp;"  ⇔  "&amp;INDEX(ポート振替表!$H$5:$H$3507,$L3298)&amp;" "&amp;INDEX(ポート振替表!$I$5:$I$3507,$L3298))</f>
        <v/>
      </c>
      <c r="D3298" s="57" t="s">
        <v>158</v>
      </c>
      <c r="E3298" s="59" t="str">
        <f aca="false">IF(L3298="","",IF(INDEX(ポート振替表!$O$5:$O$3507,$L3298)="","(未設定)",INDEX(ポート振替表!$O$5:$O$3507,$L3298)&amp;""))</f>
        <v/>
      </c>
      <c r="F3298" s="52" t="str">
        <f aca="false">IF(L3298="","",INDEX(ポート振替表!$K$5:$K$3507,$L3298)&amp;" "&amp;INDEX(ポート振替表!$L$5:$L$3507,$L3298)&amp;"  ⇔  "&amp;INDEX(ポート振替表!$H$5:$H$3507,$L3298)&amp;" "&amp;INDEX(ポート振替表!$I$5:$I$3507,$L3298))</f>
        <v/>
      </c>
      <c r="G3298" s="57" t="s">
        <v>158</v>
      </c>
      <c r="H3298" s="32" t="str">
        <f aca="false">IF(L3298="","",INDEX(ポート振替表!$N$5:$N$3507,$L3298)&amp;"")</f>
        <v/>
      </c>
      <c r="I3298" s="32" t="str">
        <f aca="false">IF(L3298="","",INDEX(ポート振替表!$P$5:$P$3507,$L3298)&amp;"")</f>
        <v/>
      </c>
      <c r="J3298" s="60" t="str">
        <f aca="false">IF(L3298="","",INDEX(ポート振替表!$M$5:$M$3507,$L3298)&amp;"")</f>
        <v/>
      </c>
      <c r="K3298" s="52" t="str">
        <f aca="false">IF(L3298="","",E3298&amp;CHAR(10)&amp;INDEX(ポート振替表!$K$5:$K$3507,$L3298)&amp;" "&amp;INDEX(ポート振替表!$L$5:$L$3507,$L3298)&amp;CHAR(10)&amp;"⇔ "&amp;INDEX(ポート振替表!$H$5:$H$3507,$L3298)&amp;" "&amp;INDEX(ポート振替表!$I$5:$I$3507,$L3298))</f>
        <v/>
      </c>
      <c r="L3298" s="47" t="str">
        <f aca="false">IFERROR(MATCH(ROW()-4,ポート振替表!$V$5:$V$3507,0),"")</f>
        <v/>
      </c>
    </row>
    <row r="3299" customFormat="false" ht="16.4" hidden="false" customHeight="false" outlineLevel="0" collapsed="false">
      <c r="A3299" s="32" t="str">
        <f aca="false">IF(L3299="","",ROW()-4)</f>
        <v/>
      </c>
      <c r="B3299" s="58" t="str">
        <f aca="false">IF(L3299="","",IF(INDEX(ポート振替表!$W$5:$W$3507,$L3299)="","(なし)",INDEX(ポート振替表!$W$5:$W$3507,$L3299)&amp;""))</f>
        <v/>
      </c>
      <c r="C3299" s="52" t="str">
        <f aca="false">IF(L3299="","",INDEX(ポート振替表!$B$5:$B$3507,$L3299)&amp;" "&amp;INDEX(ポート振替表!$C$5:$C$3507,$L3299)&amp;"  ⇔  "&amp;INDEX(ポート振替表!$H$5:$H$3507,$L3299)&amp;" "&amp;INDEX(ポート振替表!$I$5:$I$3507,$L3299))</f>
        <v/>
      </c>
      <c r="D3299" s="57" t="s">
        <v>158</v>
      </c>
      <c r="E3299" s="59" t="str">
        <f aca="false">IF(L3299="","",IF(INDEX(ポート振替表!$O$5:$O$3507,$L3299)="","(未設定)",INDEX(ポート振替表!$O$5:$O$3507,$L3299)&amp;""))</f>
        <v/>
      </c>
      <c r="F3299" s="52" t="str">
        <f aca="false">IF(L3299="","",INDEX(ポート振替表!$K$5:$K$3507,$L3299)&amp;" "&amp;INDEX(ポート振替表!$L$5:$L$3507,$L3299)&amp;"  ⇔  "&amp;INDEX(ポート振替表!$H$5:$H$3507,$L3299)&amp;" "&amp;INDEX(ポート振替表!$I$5:$I$3507,$L3299))</f>
        <v/>
      </c>
      <c r="G3299" s="57" t="s">
        <v>158</v>
      </c>
      <c r="H3299" s="32" t="str">
        <f aca="false">IF(L3299="","",INDEX(ポート振替表!$N$5:$N$3507,$L3299)&amp;"")</f>
        <v/>
      </c>
      <c r="I3299" s="32" t="str">
        <f aca="false">IF(L3299="","",INDEX(ポート振替表!$P$5:$P$3507,$L3299)&amp;"")</f>
        <v/>
      </c>
      <c r="J3299" s="60" t="str">
        <f aca="false">IF(L3299="","",INDEX(ポート振替表!$M$5:$M$3507,$L3299)&amp;"")</f>
        <v/>
      </c>
      <c r="K3299" s="52" t="str">
        <f aca="false">IF(L3299="","",E3299&amp;CHAR(10)&amp;INDEX(ポート振替表!$K$5:$K$3507,$L3299)&amp;" "&amp;INDEX(ポート振替表!$L$5:$L$3507,$L3299)&amp;CHAR(10)&amp;"⇔ "&amp;INDEX(ポート振替表!$H$5:$H$3507,$L3299)&amp;" "&amp;INDEX(ポート振替表!$I$5:$I$3507,$L3299))</f>
        <v/>
      </c>
      <c r="L3299" s="47" t="str">
        <f aca="false">IFERROR(MATCH(ROW()-4,ポート振替表!$V$5:$V$3507,0),"")</f>
        <v/>
      </c>
    </row>
    <row r="3300" customFormat="false" ht="16.4" hidden="false" customHeight="false" outlineLevel="0" collapsed="false">
      <c r="A3300" s="32" t="str">
        <f aca="false">IF(L3300="","",ROW()-4)</f>
        <v/>
      </c>
      <c r="B3300" s="58" t="str">
        <f aca="false">IF(L3300="","",IF(INDEX(ポート振替表!$W$5:$W$3507,$L3300)="","(なし)",INDEX(ポート振替表!$W$5:$W$3507,$L3300)&amp;""))</f>
        <v/>
      </c>
      <c r="C3300" s="52" t="str">
        <f aca="false">IF(L3300="","",INDEX(ポート振替表!$B$5:$B$3507,$L3300)&amp;" "&amp;INDEX(ポート振替表!$C$5:$C$3507,$L3300)&amp;"  ⇔  "&amp;INDEX(ポート振替表!$H$5:$H$3507,$L3300)&amp;" "&amp;INDEX(ポート振替表!$I$5:$I$3507,$L3300))</f>
        <v/>
      </c>
      <c r="D3300" s="57" t="s">
        <v>158</v>
      </c>
      <c r="E3300" s="59" t="str">
        <f aca="false">IF(L3300="","",IF(INDEX(ポート振替表!$O$5:$O$3507,$L3300)="","(未設定)",INDEX(ポート振替表!$O$5:$O$3507,$L3300)&amp;""))</f>
        <v/>
      </c>
      <c r="F3300" s="52" t="str">
        <f aca="false">IF(L3300="","",INDEX(ポート振替表!$K$5:$K$3507,$L3300)&amp;" "&amp;INDEX(ポート振替表!$L$5:$L$3507,$L3300)&amp;"  ⇔  "&amp;INDEX(ポート振替表!$H$5:$H$3507,$L3300)&amp;" "&amp;INDEX(ポート振替表!$I$5:$I$3507,$L3300))</f>
        <v/>
      </c>
      <c r="G3300" s="57" t="s">
        <v>158</v>
      </c>
      <c r="H3300" s="32" t="str">
        <f aca="false">IF(L3300="","",INDEX(ポート振替表!$N$5:$N$3507,$L3300)&amp;"")</f>
        <v/>
      </c>
      <c r="I3300" s="32" t="str">
        <f aca="false">IF(L3300="","",INDEX(ポート振替表!$P$5:$P$3507,$L3300)&amp;"")</f>
        <v/>
      </c>
      <c r="J3300" s="60" t="str">
        <f aca="false">IF(L3300="","",INDEX(ポート振替表!$M$5:$M$3507,$L3300)&amp;"")</f>
        <v/>
      </c>
      <c r="K3300" s="52" t="str">
        <f aca="false">IF(L3300="","",E3300&amp;CHAR(10)&amp;INDEX(ポート振替表!$K$5:$K$3507,$L3300)&amp;" "&amp;INDEX(ポート振替表!$L$5:$L$3507,$L3300)&amp;CHAR(10)&amp;"⇔ "&amp;INDEX(ポート振替表!$H$5:$H$3507,$L3300)&amp;" "&amp;INDEX(ポート振替表!$I$5:$I$3507,$L3300))</f>
        <v/>
      </c>
      <c r="L3300" s="47" t="str">
        <f aca="false">IFERROR(MATCH(ROW()-4,ポート振替表!$V$5:$V$3507,0),"")</f>
        <v/>
      </c>
    </row>
    <row r="3301" customFormat="false" ht="16.4" hidden="false" customHeight="false" outlineLevel="0" collapsed="false">
      <c r="A3301" s="32" t="str">
        <f aca="false">IF(L3301="","",ROW()-4)</f>
        <v/>
      </c>
      <c r="B3301" s="58" t="str">
        <f aca="false">IF(L3301="","",IF(INDEX(ポート振替表!$W$5:$W$3507,$L3301)="","(なし)",INDEX(ポート振替表!$W$5:$W$3507,$L3301)&amp;""))</f>
        <v/>
      </c>
      <c r="C3301" s="52" t="str">
        <f aca="false">IF(L3301="","",INDEX(ポート振替表!$B$5:$B$3507,$L3301)&amp;" "&amp;INDEX(ポート振替表!$C$5:$C$3507,$L3301)&amp;"  ⇔  "&amp;INDEX(ポート振替表!$H$5:$H$3507,$L3301)&amp;" "&amp;INDEX(ポート振替表!$I$5:$I$3507,$L3301))</f>
        <v/>
      </c>
      <c r="D3301" s="57" t="s">
        <v>158</v>
      </c>
      <c r="E3301" s="59" t="str">
        <f aca="false">IF(L3301="","",IF(INDEX(ポート振替表!$O$5:$O$3507,$L3301)="","(未設定)",INDEX(ポート振替表!$O$5:$O$3507,$L3301)&amp;""))</f>
        <v/>
      </c>
      <c r="F3301" s="52" t="str">
        <f aca="false">IF(L3301="","",INDEX(ポート振替表!$K$5:$K$3507,$L3301)&amp;" "&amp;INDEX(ポート振替表!$L$5:$L$3507,$L3301)&amp;"  ⇔  "&amp;INDEX(ポート振替表!$H$5:$H$3507,$L3301)&amp;" "&amp;INDEX(ポート振替表!$I$5:$I$3507,$L3301))</f>
        <v/>
      </c>
      <c r="G3301" s="57" t="s">
        <v>158</v>
      </c>
      <c r="H3301" s="32" t="str">
        <f aca="false">IF(L3301="","",INDEX(ポート振替表!$N$5:$N$3507,$L3301)&amp;"")</f>
        <v/>
      </c>
      <c r="I3301" s="32" t="str">
        <f aca="false">IF(L3301="","",INDEX(ポート振替表!$P$5:$P$3507,$L3301)&amp;"")</f>
        <v/>
      </c>
      <c r="J3301" s="60" t="str">
        <f aca="false">IF(L3301="","",INDEX(ポート振替表!$M$5:$M$3507,$L3301)&amp;"")</f>
        <v/>
      </c>
      <c r="K3301" s="52" t="str">
        <f aca="false">IF(L3301="","",E3301&amp;CHAR(10)&amp;INDEX(ポート振替表!$K$5:$K$3507,$L3301)&amp;" "&amp;INDEX(ポート振替表!$L$5:$L$3507,$L3301)&amp;CHAR(10)&amp;"⇔ "&amp;INDEX(ポート振替表!$H$5:$H$3507,$L3301)&amp;" "&amp;INDEX(ポート振替表!$I$5:$I$3507,$L3301))</f>
        <v/>
      </c>
      <c r="L3301" s="47" t="str">
        <f aca="false">IFERROR(MATCH(ROW()-4,ポート振替表!$V$5:$V$3507,0),"")</f>
        <v/>
      </c>
    </row>
    <row r="3302" customFormat="false" ht="16.4" hidden="false" customHeight="false" outlineLevel="0" collapsed="false">
      <c r="A3302" s="32" t="str">
        <f aca="false">IF(L3302="","",ROW()-4)</f>
        <v/>
      </c>
      <c r="B3302" s="58" t="str">
        <f aca="false">IF(L3302="","",IF(INDEX(ポート振替表!$W$5:$W$3507,$L3302)="","(なし)",INDEX(ポート振替表!$W$5:$W$3507,$L3302)&amp;""))</f>
        <v/>
      </c>
      <c r="C3302" s="52" t="str">
        <f aca="false">IF(L3302="","",INDEX(ポート振替表!$B$5:$B$3507,$L3302)&amp;" "&amp;INDEX(ポート振替表!$C$5:$C$3507,$L3302)&amp;"  ⇔  "&amp;INDEX(ポート振替表!$H$5:$H$3507,$L3302)&amp;" "&amp;INDEX(ポート振替表!$I$5:$I$3507,$L3302))</f>
        <v/>
      </c>
      <c r="D3302" s="57" t="s">
        <v>158</v>
      </c>
      <c r="E3302" s="59" t="str">
        <f aca="false">IF(L3302="","",IF(INDEX(ポート振替表!$O$5:$O$3507,$L3302)="","(未設定)",INDEX(ポート振替表!$O$5:$O$3507,$L3302)&amp;""))</f>
        <v/>
      </c>
      <c r="F3302" s="52" t="str">
        <f aca="false">IF(L3302="","",INDEX(ポート振替表!$K$5:$K$3507,$L3302)&amp;" "&amp;INDEX(ポート振替表!$L$5:$L$3507,$L3302)&amp;"  ⇔  "&amp;INDEX(ポート振替表!$H$5:$H$3507,$L3302)&amp;" "&amp;INDEX(ポート振替表!$I$5:$I$3507,$L3302))</f>
        <v/>
      </c>
      <c r="G3302" s="57" t="s">
        <v>158</v>
      </c>
      <c r="H3302" s="32" t="str">
        <f aca="false">IF(L3302="","",INDEX(ポート振替表!$N$5:$N$3507,$L3302)&amp;"")</f>
        <v/>
      </c>
      <c r="I3302" s="32" t="str">
        <f aca="false">IF(L3302="","",INDEX(ポート振替表!$P$5:$P$3507,$L3302)&amp;"")</f>
        <v/>
      </c>
      <c r="J3302" s="60" t="str">
        <f aca="false">IF(L3302="","",INDEX(ポート振替表!$M$5:$M$3507,$L3302)&amp;"")</f>
        <v/>
      </c>
      <c r="K3302" s="52" t="str">
        <f aca="false">IF(L3302="","",E3302&amp;CHAR(10)&amp;INDEX(ポート振替表!$K$5:$K$3507,$L3302)&amp;" "&amp;INDEX(ポート振替表!$L$5:$L$3507,$L3302)&amp;CHAR(10)&amp;"⇔ "&amp;INDEX(ポート振替表!$H$5:$H$3507,$L3302)&amp;" "&amp;INDEX(ポート振替表!$I$5:$I$3507,$L3302))</f>
        <v/>
      </c>
      <c r="L3302" s="47" t="str">
        <f aca="false">IFERROR(MATCH(ROW()-4,ポート振替表!$V$5:$V$3507,0),"")</f>
        <v/>
      </c>
    </row>
    <row r="3303" customFormat="false" ht="16.4" hidden="false" customHeight="false" outlineLevel="0" collapsed="false">
      <c r="A3303" s="32" t="str">
        <f aca="false">IF(L3303="","",ROW()-4)</f>
        <v/>
      </c>
      <c r="B3303" s="58" t="str">
        <f aca="false">IF(L3303="","",IF(INDEX(ポート振替表!$W$5:$W$3507,$L3303)="","(なし)",INDEX(ポート振替表!$W$5:$W$3507,$L3303)&amp;""))</f>
        <v/>
      </c>
      <c r="C3303" s="52" t="str">
        <f aca="false">IF(L3303="","",INDEX(ポート振替表!$B$5:$B$3507,$L3303)&amp;" "&amp;INDEX(ポート振替表!$C$5:$C$3507,$L3303)&amp;"  ⇔  "&amp;INDEX(ポート振替表!$H$5:$H$3507,$L3303)&amp;" "&amp;INDEX(ポート振替表!$I$5:$I$3507,$L3303))</f>
        <v/>
      </c>
      <c r="D3303" s="57" t="s">
        <v>158</v>
      </c>
      <c r="E3303" s="59" t="str">
        <f aca="false">IF(L3303="","",IF(INDEX(ポート振替表!$O$5:$O$3507,$L3303)="","(未設定)",INDEX(ポート振替表!$O$5:$O$3507,$L3303)&amp;""))</f>
        <v/>
      </c>
      <c r="F3303" s="52" t="str">
        <f aca="false">IF(L3303="","",INDEX(ポート振替表!$K$5:$K$3507,$L3303)&amp;" "&amp;INDEX(ポート振替表!$L$5:$L$3507,$L3303)&amp;"  ⇔  "&amp;INDEX(ポート振替表!$H$5:$H$3507,$L3303)&amp;" "&amp;INDEX(ポート振替表!$I$5:$I$3507,$L3303))</f>
        <v/>
      </c>
      <c r="G3303" s="57" t="s">
        <v>158</v>
      </c>
      <c r="H3303" s="32" t="str">
        <f aca="false">IF(L3303="","",INDEX(ポート振替表!$N$5:$N$3507,$L3303)&amp;"")</f>
        <v/>
      </c>
      <c r="I3303" s="32" t="str">
        <f aca="false">IF(L3303="","",INDEX(ポート振替表!$P$5:$P$3507,$L3303)&amp;"")</f>
        <v/>
      </c>
      <c r="J3303" s="60" t="str">
        <f aca="false">IF(L3303="","",INDEX(ポート振替表!$M$5:$M$3507,$L3303)&amp;"")</f>
        <v/>
      </c>
      <c r="K3303" s="52" t="str">
        <f aca="false">IF(L3303="","",E3303&amp;CHAR(10)&amp;INDEX(ポート振替表!$K$5:$K$3507,$L3303)&amp;" "&amp;INDEX(ポート振替表!$L$5:$L$3507,$L3303)&amp;CHAR(10)&amp;"⇔ "&amp;INDEX(ポート振替表!$H$5:$H$3507,$L3303)&amp;" "&amp;INDEX(ポート振替表!$I$5:$I$3507,$L3303))</f>
        <v/>
      </c>
      <c r="L3303" s="47" t="str">
        <f aca="false">IFERROR(MATCH(ROW()-4,ポート振替表!$V$5:$V$3507,0),"")</f>
        <v/>
      </c>
    </row>
    <row r="3304" customFormat="false" ht="16.4" hidden="false" customHeight="false" outlineLevel="0" collapsed="false">
      <c r="A3304" s="32" t="str">
        <f aca="false">IF(L3304="","",ROW()-4)</f>
        <v/>
      </c>
      <c r="B3304" s="58" t="str">
        <f aca="false">IF(L3304="","",IF(INDEX(ポート振替表!$W$5:$W$3507,$L3304)="","(なし)",INDEX(ポート振替表!$W$5:$W$3507,$L3304)&amp;""))</f>
        <v/>
      </c>
      <c r="C3304" s="52" t="str">
        <f aca="false">IF(L3304="","",INDEX(ポート振替表!$B$5:$B$3507,$L3304)&amp;" "&amp;INDEX(ポート振替表!$C$5:$C$3507,$L3304)&amp;"  ⇔  "&amp;INDEX(ポート振替表!$H$5:$H$3507,$L3304)&amp;" "&amp;INDEX(ポート振替表!$I$5:$I$3507,$L3304))</f>
        <v/>
      </c>
      <c r="D3304" s="57" t="s">
        <v>158</v>
      </c>
      <c r="E3304" s="59" t="str">
        <f aca="false">IF(L3304="","",IF(INDEX(ポート振替表!$O$5:$O$3507,$L3304)="","(未設定)",INDEX(ポート振替表!$O$5:$O$3507,$L3304)&amp;""))</f>
        <v/>
      </c>
      <c r="F3304" s="52" t="str">
        <f aca="false">IF(L3304="","",INDEX(ポート振替表!$K$5:$K$3507,$L3304)&amp;" "&amp;INDEX(ポート振替表!$L$5:$L$3507,$L3304)&amp;"  ⇔  "&amp;INDEX(ポート振替表!$H$5:$H$3507,$L3304)&amp;" "&amp;INDEX(ポート振替表!$I$5:$I$3507,$L3304))</f>
        <v/>
      </c>
      <c r="G3304" s="57" t="s">
        <v>158</v>
      </c>
      <c r="H3304" s="32" t="str">
        <f aca="false">IF(L3304="","",INDEX(ポート振替表!$N$5:$N$3507,$L3304)&amp;"")</f>
        <v/>
      </c>
      <c r="I3304" s="32" t="str">
        <f aca="false">IF(L3304="","",INDEX(ポート振替表!$P$5:$P$3507,$L3304)&amp;"")</f>
        <v/>
      </c>
      <c r="J3304" s="60" t="str">
        <f aca="false">IF(L3304="","",INDEX(ポート振替表!$M$5:$M$3507,$L3304)&amp;"")</f>
        <v/>
      </c>
      <c r="K3304" s="52" t="str">
        <f aca="false">IF(L3304="","",E3304&amp;CHAR(10)&amp;INDEX(ポート振替表!$K$5:$K$3507,$L3304)&amp;" "&amp;INDEX(ポート振替表!$L$5:$L$3507,$L3304)&amp;CHAR(10)&amp;"⇔ "&amp;INDEX(ポート振替表!$H$5:$H$3507,$L3304)&amp;" "&amp;INDEX(ポート振替表!$I$5:$I$3507,$L3304))</f>
        <v/>
      </c>
      <c r="L3304" s="47" t="str">
        <f aca="false">IFERROR(MATCH(ROW()-4,ポート振替表!$V$5:$V$3507,0),"")</f>
        <v/>
      </c>
    </row>
    <row r="3305" customFormat="false" ht="16.4" hidden="false" customHeight="false" outlineLevel="0" collapsed="false">
      <c r="A3305" s="32" t="str">
        <f aca="false">IF(L3305="","",ROW()-4)</f>
        <v/>
      </c>
      <c r="B3305" s="58" t="str">
        <f aca="false">IF(L3305="","",IF(INDEX(ポート振替表!$W$5:$W$3507,$L3305)="","(なし)",INDEX(ポート振替表!$W$5:$W$3507,$L3305)&amp;""))</f>
        <v/>
      </c>
      <c r="C3305" s="52" t="str">
        <f aca="false">IF(L3305="","",INDEX(ポート振替表!$B$5:$B$3507,$L3305)&amp;" "&amp;INDEX(ポート振替表!$C$5:$C$3507,$L3305)&amp;"  ⇔  "&amp;INDEX(ポート振替表!$H$5:$H$3507,$L3305)&amp;" "&amp;INDEX(ポート振替表!$I$5:$I$3507,$L3305))</f>
        <v/>
      </c>
      <c r="D3305" s="57" t="s">
        <v>158</v>
      </c>
      <c r="E3305" s="59" t="str">
        <f aca="false">IF(L3305="","",IF(INDEX(ポート振替表!$O$5:$O$3507,$L3305)="","(未設定)",INDEX(ポート振替表!$O$5:$O$3507,$L3305)&amp;""))</f>
        <v/>
      </c>
      <c r="F3305" s="52" t="str">
        <f aca="false">IF(L3305="","",INDEX(ポート振替表!$K$5:$K$3507,$L3305)&amp;" "&amp;INDEX(ポート振替表!$L$5:$L$3507,$L3305)&amp;"  ⇔  "&amp;INDEX(ポート振替表!$H$5:$H$3507,$L3305)&amp;" "&amp;INDEX(ポート振替表!$I$5:$I$3507,$L3305))</f>
        <v/>
      </c>
      <c r="G3305" s="57" t="s">
        <v>158</v>
      </c>
      <c r="H3305" s="32" t="str">
        <f aca="false">IF(L3305="","",INDEX(ポート振替表!$N$5:$N$3507,$L3305)&amp;"")</f>
        <v/>
      </c>
      <c r="I3305" s="32" t="str">
        <f aca="false">IF(L3305="","",INDEX(ポート振替表!$P$5:$P$3507,$L3305)&amp;"")</f>
        <v/>
      </c>
      <c r="J3305" s="60" t="str">
        <f aca="false">IF(L3305="","",INDEX(ポート振替表!$M$5:$M$3507,$L3305)&amp;"")</f>
        <v/>
      </c>
      <c r="K3305" s="52" t="str">
        <f aca="false">IF(L3305="","",E3305&amp;CHAR(10)&amp;INDEX(ポート振替表!$K$5:$K$3507,$L3305)&amp;" "&amp;INDEX(ポート振替表!$L$5:$L$3507,$L3305)&amp;CHAR(10)&amp;"⇔ "&amp;INDEX(ポート振替表!$H$5:$H$3507,$L3305)&amp;" "&amp;INDEX(ポート振替表!$I$5:$I$3507,$L3305))</f>
        <v/>
      </c>
      <c r="L3305" s="47" t="str">
        <f aca="false">IFERROR(MATCH(ROW()-4,ポート振替表!$V$5:$V$3507,0),"")</f>
        <v/>
      </c>
    </row>
    <row r="3306" customFormat="false" ht="16.4" hidden="false" customHeight="false" outlineLevel="0" collapsed="false">
      <c r="A3306" s="32" t="str">
        <f aca="false">IF(L3306="","",ROW()-4)</f>
        <v/>
      </c>
      <c r="B3306" s="58" t="str">
        <f aca="false">IF(L3306="","",IF(INDEX(ポート振替表!$W$5:$W$3507,$L3306)="","(なし)",INDEX(ポート振替表!$W$5:$W$3507,$L3306)&amp;""))</f>
        <v/>
      </c>
      <c r="C3306" s="52" t="str">
        <f aca="false">IF(L3306="","",INDEX(ポート振替表!$B$5:$B$3507,$L3306)&amp;" "&amp;INDEX(ポート振替表!$C$5:$C$3507,$L3306)&amp;"  ⇔  "&amp;INDEX(ポート振替表!$H$5:$H$3507,$L3306)&amp;" "&amp;INDEX(ポート振替表!$I$5:$I$3507,$L3306))</f>
        <v/>
      </c>
      <c r="D3306" s="57" t="s">
        <v>158</v>
      </c>
      <c r="E3306" s="59" t="str">
        <f aca="false">IF(L3306="","",IF(INDEX(ポート振替表!$O$5:$O$3507,$L3306)="","(未設定)",INDEX(ポート振替表!$O$5:$O$3507,$L3306)&amp;""))</f>
        <v/>
      </c>
      <c r="F3306" s="52" t="str">
        <f aca="false">IF(L3306="","",INDEX(ポート振替表!$K$5:$K$3507,$L3306)&amp;" "&amp;INDEX(ポート振替表!$L$5:$L$3507,$L3306)&amp;"  ⇔  "&amp;INDEX(ポート振替表!$H$5:$H$3507,$L3306)&amp;" "&amp;INDEX(ポート振替表!$I$5:$I$3507,$L3306))</f>
        <v/>
      </c>
      <c r="G3306" s="57" t="s">
        <v>158</v>
      </c>
      <c r="H3306" s="32" t="str">
        <f aca="false">IF(L3306="","",INDEX(ポート振替表!$N$5:$N$3507,$L3306)&amp;"")</f>
        <v/>
      </c>
      <c r="I3306" s="32" t="str">
        <f aca="false">IF(L3306="","",INDEX(ポート振替表!$P$5:$P$3507,$L3306)&amp;"")</f>
        <v/>
      </c>
      <c r="J3306" s="60" t="str">
        <f aca="false">IF(L3306="","",INDEX(ポート振替表!$M$5:$M$3507,$L3306)&amp;"")</f>
        <v/>
      </c>
      <c r="K3306" s="52" t="str">
        <f aca="false">IF(L3306="","",E3306&amp;CHAR(10)&amp;INDEX(ポート振替表!$K$5:$K$3507,$L3306)&amp;" "&amp;INDEX(ポート振替表!$L$5:$L$3507,$L3306)&amp;CHAR(10)&amp;"⇔ "&amp;INDEX(ポート振替表!$H$5:$H$3507,$L3306)&amp;" "&amp;INDEX(ポート振替表!$I$5:$I$3507,$L3306))</f>
        <v/>
      </c>
      <c r="L3306" s="47" t="str">
        <f aca="false">IFERROR(MATCH(ROW()-4,ポート振替表!$V$5:$V$3507,0),"")</f>
        <v/>
      </c>
    </row>
    <row r="3307" customFormat="false" ht="16.4" hidden="false" customHeight="false" outlineLevel="0" collapsed="false">
      <c r="A3307" s="32" t="str">
        <f aca="false">IF(L3307="","",ROW()-4)</f>
        <v/>
      </c>
      <c r="B3307" s="58" t="str">
        <f aca="false">IF(L3307="","",IF(INDEX(ポート振替表!$W$5:$W$3507,$L3307)="","(なし)",INDEX(ポート振替表!$W$5:$W$3507,$L3307)&amp;""))</f>
        <v/>
      </c>
      <c r="C3307" s="52" t="str">
        <f aca="false">IF(L3307="","",INDEX(ポート振替表!$B$5:$B$3507,$L3307)&amp;" "&amp;INDEX(ポート振替表!$C$5:$C$3507,$L3307)&amp;"  ⇔  "&amp;INDEX(ポート振替表!$H$5:$H$3507,$L3307)&amp;" "&amp;INDEX(ポート振替表!$I$5:$I$3507,$L3307))</f>
        <v/>
      </c>
      <c r="D3307" s="57" t="s">
        <v>158</v>
      </c>
      <c r="E3307" s="59" t="str">
        <f aca="false">IF(L3307="","",IF(INDEX(ポート振替表!$O$5:$O$3507,$L3307)="","(未設定)",INDEX(ポート振替表!$O$5:$O$3507,$L3307)&amp;""))</f>
        <v/>
      </c>
      <c r="F3307" s="52" t="str">
        <f aca="false">IF(L3307="","",INDEX(ポート振替表!$K$5:$K$3507,$L3307)&amp;" "&amp;INDEX(ポート振替表!$L$5:$L$3507,$L3307)&amp;"  ⇔  "&amp;INDEX(ポート振替表!$H$5:$H$3507,$L3307)&amp;" "&amp;INDEX(ポート振替表!$I$5:$I$3507,$L3307))</f>
        <v/>
      </c>
      <c r="G3307" s="57" t="s">
        <v>158</v>
      </c>
      <c r="H3307" s="32" t="str">
        <f aca="false">IF(L3307="","",INDEX(ポート振替表!$N$5:$N$3507,$L3307)&amp;"")</f>
        <v/>
      </c>
      <c r="I3307" s="32" t="str">
        <f aca="false">IF(L3307="","",INDEX(ポート振替表!$P$5:$P$3507,$L3307)&amp;"")</f>
        <v/>
      </c>
      <c r="J3307" s="60" t="str">
        <f aca="false">IF(L3307="","",INDEX(ポート振替表!$M$5:$M$3507,$L3307)&amp;"")</f>
        <v/>
      </c>
      <c r="K3307" s="52" t="str">
        <f aca="false">IF(L3307="","",E3307&amp;CHAR(10)&amp;INDEX(ポート振替表!$K$5:$K$3507,$L3307)&amp;" "&amp;INDEX(ポート振替表!$L$5:$L$3507,$L3307)&amp;CHAR(10)&amp;"⇔ "&amp;INDEX(ポート振替表!$H$5:$H$3507,$L3307)&amp;" "&amp;INDEX(ポート振替表!$I$5:$I$3507,$L3307))</f>
        <v/>
      </c>
      <c r="L3307" s="47" t="str">
        <f aca="false">IFERROR(MATCH(ROW()-4,ポート振替表!$V$5:$V$3507,0),"")</f>
        <v/>
      </c>
    </row>
    <row r="3308" customFormat="false" ht="16.4" hidden="false" customHeight="false" outlineLevel="0" collapsed="false">
      <c r="A3308" s="32" t="str">
        <f aca="false">IF(L3308="","",ROW()-4)</f>
        <v/>
      </c>
      <c r="B3308" s="58" t="str">
        <f aca="false">IF(L3308="","",IF(INDEX(ポート振替表!$W$5:$W$3507,$L3308)="","(なし)",INDEX(ポート振替表!$W$5:$W$3507,$L3308)&amp;""))</f>
        <v/>
      </c>
      <c r="C3308" s="52" t="str">
        <f aca="false">IF(L3308="","",INDEX(ポート振替表!$B$5:$B$3507,$L3308)&amp;" "&amp;INDEX(ポート振替表!$C$5:$C$3507,$L3308)&amp;"  ⇔  "&amp;INDEX(ポート振替表!$H$5:$H$3507,$L3308)&amp;" "&amp;INDEX(ポート振替表!$I$5:$I$3507,$L3308))</f>
        <v/>
      </c>
      <c r="D3308" s="57" t="s">
        <v>158</v>
      </c>
      <c r="E3308" s="59" t="str">
        <f aca="false">IF(L3308="","",IF(INDEX(ポート振替表!$O$5:$O$3507,$L3308)="","(未設定)",INDEX(ポート振替表!$O$5:$O$3507,$L3308)&amp;""))</f>
        <v/>
      </c>
      <c r="F3308" s="52" t="str">
        <f aca="false">IF(L3308="","",INDEX(ポート振替表!$K$5:$K$3507,$L3308)&amp;" "&amp;INDEX(ポート振替表!$L$5:$L$3507,$L3308)&amp;"  ⇔  "&amp;INDEX(ポート振替表!$H$5:$H$3507,$L3308)&amp;" "&amp;INDEX(ポート振替表!$I$5:$I$3507,$L3308))</f>
        <v/>
      </c>
      <c r="G3308" s="57" t="s">
        <v>158</v>
      </c>
      <c r="H3308" s="32" t="str">
        <f aca="false">IF(L3308="","",INDEX(ポート振替表!$N$5:$N$3507,$L3308)&amp;"")</f>
        <v/>
      </c>
      <c r="I3308" s="32" t="str">
        <f aca="false">IF(L3308="","",INDEX(ポート振替表!$P$5:$P$3507,$L3308)&amp;"")</f>
        <v/>
      </c>
      <c r="J3308" s="60" t="str">
        <f aca="false">IF(L3308="","",INDEX(ポート振替表!$M$5:$M$3507,$L3308)&amp;"")</f>
        <v/>
      </c>
      <c r="K3308" s="52" t="str">
        <f aca="false">IF(L3308="","",E3308&amp;CHAR(10)&amp;INDEX(ポート振替表!$K$5:$K$3507,$L3308)&amp;" "&amp;INDEX(ポート振替表!$L$5:$L$3507,$L3308)&amp;CHAR(10)&amp;"⇔ "&amp;INDEX(ポート振替表!$H$5:$H$3507,$L3308)&amp;" "&amp;INDEX(ポート振替表!$I$5:$I$3507,$L3308))</f>
        <v/>
      </c>
      <c r="L3308" s="47" t="str">
        <f aca="false">IFERROR(MATCH(ROW()-4,ポート振替表!$V$5:$V$3507,0),"")</f>
        <v/>
      </c>
    </row>
    <row r="3309" customFormat="false" ht="16.4" hidden="false" customHeight="false" outlineLevel="0" collapsed="false">
      <c r="A3309" s="32" t="str">
        <f aca="false">IF(L3309="","",ROW()-4)</f>
        <v/>
      </c>
      <c r="B3309" s="58" t="str">
        <f aca="false">IF(L3309="","",IF(INDEX(ポート振替表!$W$5:$W$3507,$L3309)="","(なし)",INDEX(ポート振替表!$W$5:$W$3507,$L3309)&amp;""))</f>
        <v/>
      </c>
      <c r="C3309" s="52" t="str">
        <f aca="false">IF(L3309="","",INDEX(ポート振替表!$B$5:$B$3507,$L3309)&amp;" "&amp;INDEX(ポート振替表!$C$5:$C$3507,$L3309)&amp;"  ⇔  "&amp;INDEX(ポート振替表!$H$5:$H$3507,$L3309)&amp;" "&amp;INDEX(ポート振替表!$I$5:$I$3507,$L3309))</f>
        <v/>
      </c>
      <c r="D3309" s="57" t="s">
        <v>158</v>
      </c>
      <c r="E3309" s="59" t="str">
        <f aca="false">IF(L3309="","",IF(INDEX(ポート振替表!$O$5:$O$3507,$L3309)="","(未設定)",INDEX(ポート振替表!$O$5:$O$3507,$L3309)&amp;""))</f>
        <v/>
      </c>
      <c r="F3309" s="52" t="str">
        <f aca="false">IF(L3309="","",INDEX(ポート振替表!$K$5:$K$3507,$L3309)&amp;" "&amp;INDEX(ポート振替表!$L$5:$L$3507,$L3309)&amp;"  ⇔  "&amp;INDEX(ポート振替表!$H$5:$H$3507,$L3309)&amp;" "&amp;INDEX(ポート振替表!$I$5:$I$3507,$L3309))</f>
        <v/>
      </c>
      <c r="G3309" s="57" t="s">
        <v>158</v>
      </c>
      <c r="H3309" s="32" t="str">
        <f aca="false">IF(L3309="","",INDEX(ポート振替表!$N$5:$N$3507,$L3309)&amp;"")</f>
        <v/>
      </c>
      <c r="I3309" s="32" t="str">
        <f aca="false">IF(L3309="","",INDEX(ポート振替表!$P$5:$P$3507,$L3309)&amp;"")</f>
        <v/>
      </c>
      <c r="J3309" s="60" t="str">
        <f aca="false">IF(L3309="","",INDEX(ポート振替表!$M$5:$M$3507,$L3309)&amp;"")</f>
        <v/>
      </c>
      <c r="K3309" s="52" t="str">
        <f aca="false">IF(L3309="","",E3309&amp;CHAR(10)&amp;INDEX(ポート振替表!$K$5:$K$3507,$L3309)&amp;" "&amp;INDEX(ポート振替表!$L$5:$L$3507,$L3309)&amp;CHAR(10)&amp;"⇔ "&amp;INDEX(ポート振替表!$H$5:$H$3507,$L3309)&amp;" "&amp;INDEX(ポート振替表!$I$5:$I$3507,$L3309))</f>
        <v/>
      </c>
      <c r="L3309" s="47" t="str">
        <f aca="false">IFERROR(MATCH(ROW()-4,ポート振替表!$V$5:$V$3507,0),"")</f>
        <v/>
      </c>
    </row>
    <row r="3310" customFormat="false" ht="16.4" hidden="false" customHeight="false" outlineLevel="0" collapsed="false">
      <c r="A3310" s="32" t="str">
        <f aca="false">IF(L3310="","",ROW()-4)</f>
        <v/>
      </c>
      <c r="B3310" s="58" t="str">
        <f aca="false">IF(L3310="","",IF(INDEX(ポート振替表!$W$5:$W$3507,$L3310)="","(なし)",INDEX(ポート振替表!$W$5:$W$3507,$L3310)&amp;""))</f>
        <v/>
      </c>
      <c r="C3310" s="52" t="str">
        <f aca="false">IF(L3310="","",INDEX(ポート振替表!$B$5:$B$3507,$L3310)&amp;" "&amp;INDEX(ポート振替表!$C$5:$C$3507,$L3310)&amp;"  ⇔  "&amp;INDEX(ポート振替表!$H$5:$H$3507,$L3310)&amp;" "&amp;INDEX(ポート振替表!$I$5:$I$3507,$L3310))</f>
        <v/>
      </c>
      <c r="D3310" s="57" t="s">
        <v>158</v>
      </c>
      <c r="E3310" s="59" t="str">
        <f aca="false">IF(L3310="","",IF(INDEX(ポート振替表!$O$5:$O$3507,$L3310)="","(未設定)",INDEX(ポート振替表!$O$5:$O$3507,$L3310)&amp;""))</f>
        <v/>
      </c>
      <c r="F3310" s="52" t="str">
        <f aca="false">IF(L3310="","",INDEX(ポート振替表!$K$5:$K$3507,$L3310)&amp;" "&amp;INDEX(ポート振替表!$L$5:$L$3507,$L3310)&amp;"  ⇔  "&amp;INDEX(ポート振替表!$H$5:$H$3507,$L3310)&amp;" "&amp;INDEX(ポート振替表!$I$5:$I$3507,$L3310))</f>
        <v/>
      </c>
      <c r="G3310" s="57" t="s">
        <v>158</v>
      </c>
      <c r="H3310" s="32" t="str">
        <f aca="false">IF(L3310="","",INDEX(ポート振替表!$N$5:$N$3507,$L3310)&amp;"")</f>
        <v/>
      </c>
      <c r="I3310" s="32" t="str">
        <f aca="false">IF(L3310="","",INDEX(ポート振替表!$P$5:$P$3507,$L3310)&amp;"")</f>
        <v/>
      </c>
      <c r="J3310" s="60" t="str">
        <f aca="false">IF(L3310="","",INDEX(ポート振替表!$M$5:$M$3507,$L3310)&amp;"")</f>
        <v/>
      </c>
      <c r="K3310" s="52" t="str">
        <f aca="false">IF(L3310="","",E3310&amp;CHAR(10)&amp;INDEX(ポート振替表!$K$5:$K$3507,$L3310)&amp;" "&amp;INDEX(ポート振替表!$L$5:$L$3507,$L3310)&amp;CHAR(10)&amp;"⇔ "&amp;INDEX(ポート振替表!$H$5:$H$3507,$L3310)&amp;" "&amp;INDEX(ポート振替表!$I$5:$I$3507,$L3310))</f>
        <v/>
      </c>
      <c r="L3310" s="47" t="str">
        <f aca="false">IFERROR(MATCH(ROW()-4,ポート振替表!$V$5:$V$3507,0),"")</f>
        <v/>
      </c>
    </row>
    <row r="3311" customFormat="false" ht="16.4" hidden="false" customHeight="false" outlineLevel="0" collapsed="false">
      <c r="A3311" s="32" t="str">
        <f aca="false">IF(L3311="","",ROW()-4)</f>
        <v/>
      </c>
      <c r="B3311" s="58" t="str">
        <f aca="false">IF(L3311="","",IF(INDEX(ポート振替表!$W$5:$W$3507,$L3311)="","(なし)",INDEX(ポート振替表!$W$5:$W$3507,$L3311)&amp;""))</f>
        <v/>
      </c>
      <c r="C3311" s="52" t="str">
        <f aca="false">IF(L3311="","",INDEX(ポート振替表!$B$5:$B$3507,$L3311)&amp;" "&amp;INDEX(ポート振替表!$C$5:$C$3507,$L3311)&amp;"  ⇔  "&amp;INDEX(ポート振替表!$H$5:$H$3507,$L3311)&amp;" "&amp;INDEX(ポート振替表!$I$5:$I$3507,$L3311))</f>
        <v/>
      </c>
      <c r="D3311" s="57" t="s">
        <v>158</v>
      </c>
      <c r="E3311" s="59" t="str">
        <f aca="false">IF(L3311="","",IF(INDEX(ポート振替表!$O$5:$O$3507,$L3311)="","(未設定)",INDEX(ポート振替表!$O$5:$O$3507,$L3311)&amp;""))</f>
        <v/>
      </c>
      <c r="F3311" s="52" t="str">
        <f aca="false">IF(L3311="","",INDEX(ポート振替表!$K$5:$K$3507,$L3311)&amp;" "&amp;INDEX(ポート振替表!$L$5:$L$3507,$L3311)&amp;"  ⇔  "&amp;INDEX(ポート振替表!$H$5:$H$3507,$L3311)&amp;" "&amp;INDEX(ポート振替表!$I$5:$I$3507,$L3311))</f>
        <v/>
      </c>
      <c r="G3311" s="57" t="s">
        <v>158</v>
      </c>
      <c r="H3311" s="32" t="str">
        <f aca="false">IF(L3311="","",INDEX(ポート振替表!$N$5:$N$3507,$L3311)&amp;"")</f>
        <v/>
      </c>
      <c r="I3311" s="32" t="str">
        <f aca="false">IF(L3311="","",INDEX(ポート振替表!$P$5:$P$3507,$L3311)&amp;"")</f>
        <v/>
      </c>
      <c r="J3311" s="60" t="str">
        <f aca="false">IF(L3311="","",INDEX(ポート振替表!$M$5:$M$3507,$L3311)&amp;"")</f>
        <v/>
      </c>
      <c r="K3311" s="52" t="str">
        <f aca="false">IF(L3311="","",E3311&amp;CHAR(10)&amp;INDEX(ポート振替表!$K$5:$K$3507,$L3311)&amp;" "&amp;INDEX(ポート振替表!$L$5:$L$3507,$L3311)&amp;CHAR(10)&amp;"⇔ "&amp;INDEX(ポート振替表!$H$5:$H$3507,$L3311)&amp;" "&amp;INDEX(ポート振替表!$I$5:$I$3507,$L3311))</f>
        <v/>
      </c>
      <c r="L3311" s="47" t="str">
        <f aca="false">IFERROR(MATCH(ROW()-4,ポート振替表!$V$5:$V$3507,0),"")</f>
        <v/>
      </c>
    </row>
    <row r="3312" customFormat="false" ht="16.4" hidden="false" customHeight="false" outlineLevel="0" collapsed="false">
      <c r="A3312" s="32" t="str">
        <f aca="false">IF(L3312="","",ROW()-4)</f>
        <v/>
      </c>
      <c r="B3312" s="58" t="str">
        <f aca="false">IF(L3312="","",IF(INDEX(ポート振替表!$W$5:$W$3507,$L3312)="","(なし)",INDEX(ポート振替表!$W$5:$W$3507,$L3312)&amp;""))</f>
        <v/>
      </c>
      <c r="C3312" s="52" t="str">
        <f aca="false">IF(L3312="","",INDEX(ポート振替表!$B$5:$B$3507,$L3312)&amp;" "&amp;INDEX(ポート振替表!$C$5:$C$3507,$L3312)&amp;"  ⇔  "&amp;INDEX(ポート振替表!$H$5:$H$3507,$L3312)&amp;" "&amp;INDEX(ポート振替表!$I$5:$I$3507,$L3312))</f>
        <v/>
      </c>
      <c r="D3312" s="57" t="s">
        <v>158</v>
      </c>
      <c r="E3312" s="59" t="str">
        <f aca="false">IF(L3312="","",IF(INDEX(ポート振替表!$O$5:$O$3507,$L3312)="","(未設定)",INDEX(ポート振替表!$O$5:$O$3507,$L3312)&amp;""))</f>
        <v/>
      </c>
      <c r="F3312" s="52" t="str">
        <f aca="false">IF(L3312="","",INDEX(ポート振替表!$K$5:$K$3507,$L3312)&amp;" "&amp;INDEX(ポート振替表!$L$5:$L$3507,$L3312)&amp;"  ⇔  "&amp;INDEX(ポート振替表!$H$5:$H$3507,$L3312)&amp;" "&amp;INDEX(ポート振替表!$I$5:$I$3507,$L3312))</f>
        <v/>
      </c>
      <c r="G3312" s="57" t="s">
        <v>158</v>
      </c>
      <c r="H3312" s="32" t="str">
        <f aca="false">IF(L3312="","",INDEX(ポート振替表!$N$5:$N$3507,$L3312)&amp;"")</f>
        <v/>
      </c>
      <c r="I3312" s="32" t="str">
        <f aca="false">IF(L3312="","",INDEX(ポート振替表!$P$5:$P$3507,$L3312)&amp;"")</f>
        <v/>
      </c>
      <c r="J3312" s="60" t="str">
        <f aca="false">IF(L3312="","",INDEX(ポート振替表!$M$5:$M$3507,$L3312)&amp;"")</f>
        <v/>
      </c>
      <c r="K3312" s="52" t="str">
        <f aca="false">IF(L3312="","",E3312&amp;CHAR(10)&amp;INDEX(ポート振替表!$K$5:$K$3507,$L3312)&amp;" "&amp;INDEX(ポート振替表!$L$5:$L$3507,$L3312)&amp;CHAR(10)&amp;"⇔ "&amp;INDEX(ポート振替表!$H$5:$H$3507,$L3312)&amp;" "&amp;INDEX(ポート振替表!$I$5:$I$3507,$L3312))</f>
        <v/>
      </c>
      <c r="L3312" s="47" t="str">
        <f aca="false">IFERROR(MATCH(ROW()-4,ポート振替表!$V$5:$V$3507,0),"")</f>
        <v/>
      </c>
    </row>
    <row r="3313" customFormat="false" ht="16.4" hidden="false" customHeight="false" outlineLevel="0" collapsed="false">
      <c r="A3313" s="32" t="str">
        <f aca="false">IF(L3313="","",ROW()-4)</f>
        <v/>
      </c>
      <c r="B3313" s="58" t="str">
        <f aca="false">IF(L3313="","",IF(INDEX(ポート振替表!$W$5:$W$3507,$L3313)="","(なし)",INDEX(ポート振替表!$W$5:$W$3507,$L3313)&amp;""))</f>
        <v/>
      </c>
      <c r="C3313" s="52" t="str">
        <f aca="false">IF(L3313="","",INDEX(ポート振替表!$B$5:$B$3507,$L3313)&amp;" "&amp;INDEX(ポート振替表!$C$5:$C$3507,$L3313)&amp;"  ⇔  "&amp;INDEX(ポート振替表!$H$5:$H$3507,$L3313)&amp;" "&amp;INDEX(ポート振替表!$I$5:$I$3507,$L3313))</f>
        <v/>
      </c>
      <c r="D3313" s="57" t="s">
        <v>158</v>
      </c>
      <c r="E3313" s="59" t="str">
        <f aca="false">IF(L3313="","",IF(INDEX(ポート振替表!$O$5:$O$3507,$L3313)="","(未設定)",INDEX(ポート振替表!$O$5:$O$3507,$L3313)&amp;""))</f>
        <v/>
      </c>
      <c r="F3313" s="52" t="str">
        <f aca="false">IF(L3313="","",INDEX(ポート振替表!$K$5:$K$3507,$L3313)&amp;" "&amp;INDEX(ポート振替表!$L$5:$L$3507,$L3313)&amp;"  ⇔  "&amp;INDEX(ポート振替表!$H$5:$H$3507,$L3313)&amp;" "&amp;INDEX(ポート振替表!$I$5:$I$3507,$L3313))</f>
        <v/>
      </c>
      <c r="G3313" s="57" t="s">
        <v>158</v>
      </c>
      <c r="H3313" s="32" t="str">
        <f aca="false">IF(L3313="","",INDEX(ポート振替表!$N$5:$N$3507,$L3313)&amp;"")</f>
        <v/>
      </c>
      <c r="I3313" s="32" t="str">
        <f aca="false">IF(L3313="","",INDEX(ポート振替表!$P$5:$P$3507,$L3313)&amp;"")</f>
        <v/>
      </c>
      <c r="J3313" s="60" t="str">
        <f aca="false">IF(L3313="","",INDEX(ポート振替表!$M$5:$M$3507,$L3313)&amp;"")</f>
        <v/>
      </c>
      <c r="K3313" s="52" t="str">
        <f aca="false">IF(L3313="","",E3313&amp;CHAR(10)&amp;INDEX(ポート振替表!$K$5:$K$3507,$L3313)&amp;" "&amp;INDEX(ポート振替表!$L$5:$L$3507,$L3313)&amp;CHAR(10)&amp;"⇔ "&amp;INDEX(ポート振替表!$H$5:$H$3507,$L3313)&amp;" "&amp;INDEX(ポート振替表!$I$5:$I$3507,$L3313))</f>
        <v/>
      </c>
      <c r="L3313" s="47" t="str">
        <f aca="false">IFERROR(MATCH(ROW()-4,ポート振替表!$V$5:$V$3507,0),"")</f>
        <v/>
      </c>
    </row>
    <row r="3314" customFormat="false" ht="16.4" hidden="false" customHeight="false" outlineLevel="0" collapsed="false">
      <c r="A3314" s="32" t="str">
        <f aca="false">IF(L3314="","",ROW()-4)</f>
        <v/>
      </c>
      <c r="B3314" s="58" t="str">
        <f aca="false">IF(L3314="","",IF(INDEX(ポート振替表!$W$5:$W$3507,$L3314)="","(なし)",INDEX(ポート振替表!$W$5:$W$3507,$L3314)&amp;""))</f>
        <v/>
      </c>
      <c r="C3314" s="52" t="str">
        <f aca="false">IF(L3314="","",INDEX(ポート振替表!$B$5:$B$3507,$L3314)&amp;" "&amp;INDEX(ポート振替表!$C$5:$C$3507,$L3314)&amp;"  ⇔  "&amp;INDEX(ポート振替表!$H$5:$H$3507,$L3314)&amp;" "&amp;INDEX(ポート振替表!$I$5:$I$3507,$L3314))</f>
        <v/>
      </c>
      <c r="D3314" s="57" t="s">
        <v>158</v>
      </c>
      <c r="E3314" s="59" t="str">
        <f aca="false">IF(L3314="","",IF(INDEX(ポート振替表!$O$5:$O$3507,$L3314)="","(未設定)",INDEX(ポート振替表!$O$5:$O$3507,$L3314)&amp;""))</f>
        <v/>
      </c>
      <c r="F3314" s="52" t="str">
        <f aca="false">IF(L3314="","",INDEX(ポート振替表!$K$5:$K$3507,$L3314)&amp;" "&amp;INDEX(ポート振替表!$L$5:$L$3507,$L3314)&amp;"  ⇔  "&amp;INDEX(ポート振替表!$H$5:$H$3507,$L3314)&amp;" "&amp;INDEX(ポート振替表!$I$5:$I$3507,$L3314))</f>
        <v/>
      </c>
      <c r="G3314" s="57" t="s">
        <v>158</v>
      </c>
      <c r="H3314" s="32" t="str">
        <f aca="false">IF(L3314="","",INDEX(ポート振替表!$N$5:$N$3507,$L3314)&amp;"")</f>
        <v/>
      </c>
      <c r="I3314" s="32" t="str">
        <f aca="false">IF(L3314="","",INDEX(ポート振替表!$P$5:$P$3507,$L3314)&amp;"")</f>
        <v/>
      </c>
      <c r="J3314" s="60" t="str">
        <f aca="false">IF(L3314="","",INDEX(ポート振替表!$M$5:$M$3507,$L3314)&amp;"")</f>
        <v/>
      </c>
      <c r="K3314" s="52" t="str">
        <f aca="false">IF(L3314="","",E3314&amp;CHAR(10)&amp;INDEX(ポート振替表!$K$5:$K$3507,$L3314)&amp;" "&amp;INDEX(ポート振替表!$L$5:$L$3507,$L3314)&amp;CHAR(10)&amp;"⇔ "&amp;INDEX(ポート振替表!$H$5:$H$3507,$L3314)&amp;" "&amp;INDEX(ポート振替表!$I$5:$I$3507,$L3314))</f>
        <v/>
      </c>
      <c r="L3314" s="47" t="str">
        <f aca="false">IFERROR(MATCH(ROW()-4,ポート振替表!$V$5:$V$3507,0),"")</f>
        <v/>
      </c>
    </row>
    <row r="3315" customFormat="false" ht="16.4" hidden="false" customHeight="false" outlineLevel="0" collapsed="false">
      <c r="A3315" s="32" t="str">
        <f aca="false">IF(L3315="","",ROW()-4)</f>
        <v/>
      </c>
      <c r="B3315" s="58" t="str">
        <f aca="false">IF(L3315="","",IF(INDEX(ポート振替表!$W$5:$W$3507,$L3315)="","(なし)",INDEX(ポート振替表!$W$5:$W$3507,$L3315)&amp;""))</f>
        <v/>
      </c>
      <c r="C3315" s="52" t="str">
        <f aca="false">IF(L3315="","",INDEX(ポート振替表!$B$5:$B$3507,$L3315)&amp;" "&amp;INDEX(ポート振替表!$C$5:$C$3507,$L3315)&amp;"  ⇔  "&amp;INDEX(ポート振替表!$H$5:$H$3507,$L3315)&amp;" "&amp;INDEX(ポート振替表!$I$5:$I$3507,$L3315))</f>
        <v/>
      </c>
      <c r="D3315" s="57" t="s">
        <v>158</v>
      </c>
      <c r="E3315" s="59" t="str">
        <f aca="false">IF(L3315="","",IF(INDEX(ポート振替表!$O$5:$O$3507,$L3315)="","(未設定)",INDEX(ポート振替表!$O$5:$O$3507,$L3315)&amp;""))</f>
        <v/>
      </c>
      <c r="F3315" s="52" t="str">
        <f aca="false">IF(L3315="","",INDEX(ポート振替表!$K$5:$K$3507,$L3315)&amp;" "&amp;INDEX(ポート振替表!$L$5:$L$3507,$L3315)&amp;"  ⇔  "&amp;INDEX(ポート振替表!$H$5:$H$3507,$L3315)&amp;" "&amp;INDEX(ポート振替表!$I$5:$I$3507,$L3315))</f>
        <v/>
      </c>
      <c r="G3315" s="57" t="s">
        <v>158</v>
      </c>
      <c r="H3315" s="32" t="str">
        <f aca="false">IF(L3315="","",INDEX(ポート振替表!$N$5:$N$3507,$L3315)&amp;"")</f>
        <v/>
      </c>
      <c r="I3315" s="32" t="str">
        <f aca="false">IF(L3315="","",INDEX(ポート振替表!$P$5:$P$3507,$L3315)&amp;"")</f>
        <v/>
      </c>
      <c r="J3315" s="60" t="str">
        <f aca="false">IF(L3315="","",INDEX(ポート振替表!$M$5:$M$3507,$L3315)&amp;"")</f>
        <v/>
      </c>
      <c r="K3315" s="52" t="str">
        <f aca="false">IF(L3315="","",E3315&amp;CHAR(10)&amp;INDEX(ポート振替表!$K$5:$K$3507,$L3315)&amp;" "&amp;INDEX(ポート振替表!$L$5:$L$3507,$L3315)&amp;CHAR(10)&amp;"⇔ "&amp;INDEX(ポート振替表!$H$5:$H$3507,$L3315)&amp;" "&amp;INDEX(ポート振替表!$I$5:$I$3507,$L3315))</f>
        <v/>
      </c>
      <c r="L3315" s="47" t="str">
        <f aca="false">IFERROR(MATCH(ROW()-4,ポート振替表!$V$5:$V$3507,0),"")</f>
        <v/>
      </c>
    </row>
    <row r="3316" customFormat="false" ht="16.4" hidden="false" customHeight="false" outlineLevel="0" collapsed="false">
      <c r="A3316" s="32" t="str">
        <f aca="false">IF(L3316="","",ROW()-4)</f>
        <v/>
      </c>
      <c r="B3316" s="58" t="str">
        <f aca="false">IF(L3316="","",IF(INDEX(ポート振替表!$W$5:$W$3507,$L3316)="","(なし)",INDEX(ポート振替表!$W$5:$W$3507,$L3316)&amp;""))</f>
        <v/>
      </c>
      <c r="C3316" s="52" t="str">
        <f aca="false">IF(L3316="","",INDEX(ポート振替表!$B$5:$B$3507,$L3316)&amp;" "&amp;INDEX(ポート振替表!$C$5:$C$3507,$L3316)&amp;"  ⇔  "&amp;INDEX(ポート振替表!$H$5:$H$3507,$L3316)&amp;" "&amp;INDEX(ポート振替表!$I$5:$I$3507,$L3316))</f>
        <v/>
      </c>
      <c r="D3316" s="57" t="s">
        <v>158</v>
      </c>
      <c r="E3316" s="59" t="str">
        <f aca="false">IF(L3316="","",IF(INDEX(ポート振替表!$O$5:$O$3507,$L3316)="","(未設定)",INDEX(ポート振替表!$O$5:$O$3507,$L3316)&amp;""))</f>
        <v/>
      </c>
      <c r="F3316" s="52" t="str">
        <f aca="false">IF(L3316="","",INDEX(ポート振替表!$K$5:$K$3507,$L3316)&amp;" "&amp;INDEX(ポート振替表!$L$5:$L$3507,$L3316)&amp;"  ⇔  "&amp;INDEX(ポート振替表!$H$5:$H$3507,$L3316)&amp;" "&amp;INDEX(ポート振替表!$I$5:$I$3507,$L3316))</f>
        <v/>
      </c>
      <c r="G3316" s="57" t="s">
        <v>158</v>
      </c>
      <c r="H3316" s="32" t="str">
        <f aca="false">IF(L3316="","",INDEX(ポート振替表!$N$5:$N$3507,$L3316)&amp;"")</f>
        <v/>
      </c>
      <c r="I3316" s="32" t="str">
        <f aca="false">IF(L3316="","",INDEX(ポート振替表!$P$5:$P$3507,$L3316)&amp;"")</f>
        <v/>
      </c>
      <c r="J3316" s="60" t="str">
        <f aca="false">IF(L3316="","",INDEX(ポート振替表!$M$5:$M$3507,$L3316)&amp;"")</f>
        <v/>
      </c>
      <c r="K3316" s="52" t="str">
        <f aca="false">IF(L3316="","",E3316&amp;CHAR(10)&amp;INDEX(ポート振替表!$K$5:$K$3507,$L3316)&amp;" "&amp;INDEX(ポート振替表!$L$5:$L$3507,$L3316)&amp;CHAR(10)&amp;"⇔ "&amp;INDEX(ポート振替表!$H$5:$H$3507,$L3316)&amp;" "&amp;INDEX(ポート振替表!$I$5:$I$3507,$L3316))</f>
        <v/>
      </c>
      <c r="L3316" s="47" t="str">
        <f aca="false">IFERROR(MATCH(ROW()-4,ポート振替表!$V$5:$V$3507,0),"")</f>
        <v/>
      </c>
    </row>
    <row r="3317" customFormat="false" ht="16.4" hidden="false" customHeight="false" outlineLevel="0" collapsed="false">
      <c r="A3317" s="32" t="str">
        <f aca="false">IF(L3317="","",ROW()-4)</f>
        <v/>
      </c>
      <c r="B3317" s="58" t="str">
        <f aca="false">IF(L3317="","",IF(INDEX(ポート振替表!$W$5:$W$3507,$L3317)="","(なし)",INDEX(ポート振替表!$W$5:$W$3507,$L3317)&amp;""))</f>
        <v/>
      </c>
      <c r="C3317" s="52" t="str">
        <f aca="false">IF(L3317="","",INDEX(ポート振替表!$B$5:$B$3507,$L3317)&amp;" "&amp;INDEX(ポート振替表!$C$5:$C$3507,$L3317)&amp;"  ⇔  "&amp;INDEX(ポート振替表!$H$5:$H$3507,$L3317)&amp;" "&amp;INDEX(ポート振替表!$I$5:$I$3507,$L3317))</f>
        <v/>
      </c>
      <c r="D3317" s="57" t="s">
        <v>158</v>
      </c>
      <c r="E3317" s="59" t="str">
        <f aca="false">IF(L3317="","",IF(INDEX(ポート振替表!$O$5:$O$3507,$L3317)="","(未設定)",INDEX(ポート振替表!$O$5:$O$3507,$L3317)&amp;""))</f>
        <v/>
      </c>
      <c r="F3317" s="52" t="str">
        <f aca="false">IF(L3317="","",INDEX(ポート振替表!$K$5:$K$3507,$L3317)&amp;" "&amp;INDEX(ポート振替表!$L$5:$L$3507,$L3317)&amp;"  ⇔  "&amp;INDEX(ポート振替表!$H$5:$H$3507,$L3317)&amp;" "&amp;INDEX(ポート振替表!$I$5:$I$3507,$L3317))</f>
        <v/>
      </c>
      <c r="G3317" s="57" t="s">
        <v>158</v>
      </c>
      <c r="H3317" s="32" t="str">
        <f aca="false">IF(L3317="","",INDEX(ポート振替表!$N$5:$N$3507,$L3317)&amp;"")</f>
        <v/>
      </c>
      <c r="I3317" s="32" t="str">
        <f aca="false">IF(L3317="","",INDEX(ポート振替表!$P$5:$P$3507,$L3317)&amp;"")</f>
        <v/>
      </c>
      <c r="J3317" s="60" t="str">
        <f aca="false">IF(L3317="","",INDEX(ポート振替表!$M$5:$M$3507,$L3317)&amp;"")</f>
        <v/>
      </c>
      <c r="K3317" s="52" t="str">
        <f aca="false">IF(L3317="","",E3317&amp;CHAR(10)&amp;INDEX(ポート振替表!$K$5:$K$3507,$L3317)&amp;" "&amp;INDEX(ポート振替表!$L$5:$L$3507,$L3317)&amp;CHAR(10)&amp;"⇔ "&amp;INDEX(ポート振替表!$H$5:$H$3507,$L3317)&amp;" "&amp;INDEX(ポート振替表!$I$5:$I$3507,$L3317))</f>
        <v/>
      </c>
      <c r="L3317" s="47" t="str">
        <f aca="false">IFERROR(MATCH(ROW()-4,ポート振替表!$V$5:$V$3507,0),"")</f>
        <v/>
      </c>
    </row>
    <row r="3318" customFormat="false" ht="16.4" hidden="false" customHeight="false" outlineLevel="0" collapsed="false">
      <c r="A3318" s="32" t="str">
        <f aca="false">IF(L3318="","",ROW()-4)</f>
        <v/>
      </c>
      <c r="B3318" s="58" t="str">
        <f aca="false">IF(L3318="","",IF(INDEX(ポート振替表!$W$5:$W$3507,$L3318)="","(なし)",INDEX(ポート振替表!$W$5:$W$3507,$L3318)&amp;""))</f>
        <v/>
      </c>
      <c r="C3318" s="52" t="str">
        <f aca="false">IF(L3318="","",INDEX(ポート振替表!$B$5:$B$3507,$L3318)&amp;" "&amp;INDEX(ポート振替表!$C$5:$C$3507,$L3318)&amp;"  ⇔  "&amp;INDEX(ポート振替表!$H$5:$H$3507,$L3318)&amp;" "&amp;INDEX(ポート振替表!$I$5:$I$3507,$L3318))</f>
        <v/>
      </c>
      <c r="D3318" s="57" t="s">
        <v>158</v>
      </c>
      <c r="E3318" s="59" t="str">
        <f aca="false">IF(L3318="","",IF(INDEX(ポート振替表!$O$5:$O$3507,$L3318)="","(未設定)",INDEX(ポート振替表!$O$5:$O$3507,$L3318)&amp;""))</f>
        <v/>
      </c>
      <c r="F3318" s="52" t="str">
        <f aca="false">IF(L3318="","",INDEX(ポート振替表!$K$5:$K$3507,$L3318)&amp;" "&amp;INDEX(ポート振替表!$L$5:$L$3507,$L3318)&amp;"  ⇔  "&amp;INDEX(ポート振替表!$H$5:$H$3507,$L3318)&amp;" "&amp;INDEX(ポート振替表!$I$5:$I$3507,$L3318))</f>
        <v/>
      </c>
      <c r="G3318" s="57" t="s">
        <v>158</v>
      </c>
      <c r="H3318" s="32" t="str">
        <f aca="false">IF(L3318="","",INDEX(ポート振替表!$N$5:$N$3507,$L3318)&amp;"")</f>
        <v/>
      </c>
      <c r="I3318" s="32" t="str">
        <f aca="false">IF(L3318="","",INDEX(ポート振替表!$P$5:$P$3507,$L3318)&amp;"")</f>
        <v/>
      </c>
      <c r="J3318" s="60" t="str">
        <f aca="false">IF(L3318="","",INDEX(ポート振替表!$M$5:$M$3507,$L3318)&amp;"")</f>
        <v/>
      </c>
      <c r="K3318" s="52" t="str">
        <f aca="false">IF(L3318="","",E3318&amp;CHAR(10)&amp;INDEX(ポート振替表!$K$5:$K$3507,$L3318)&amp;" "&amp;INDEX(ポート振替表!$L$5:$L$3507,$L3318)&amp;CHAR(10)&amp;"⇔ "&amp;INDEX(ポート振替表!$H$5:$H$3507,$L3318)&amp;" "&amp;INDEX(ポート振替表!$I$5:$I$3507,$L3318))</f>
        <v/>
      </c>
      <c r="L3318" s="47" t="str">
        <f aca="false">IFERROR(MATCH(ROW()-4,ポート振替表!$V$5:$V$3507,0),"")</f>
        <v/>
      </c>
    </row>
    <row r="3319" customFormat="false" ht="16.4" hidden="false" customHeight="false" outlineLevel="0" collapsed="false">
      <c r="A3319" s="32" t="str">
        <f aca="false">IF(L3319="","",ROW()-4)</f>
        <v/>
      </c>
      <c r="B3319" s="58" t="str">
        <f aca="false">IF(L3319="","",IF(INDEX(ポート振替表!$W$5:$W$3507,$L3319)="","(なし)",INDEX(ポート振替表!$W$5:$W$3507,$L3319)&amp;""))</f>
        <v/>
      </c>
      <c r="C3319" s="52" t="str">
        <f aca="false">IF(L3319="","",INDEX(ポート振替表!$B$5:$B$3507,$L3319)&amp;" "&amp;INDEX(ポート振替表!$C$5:$C$3507,$L3319)&amp;"  ⇔  "&amp;INDEX(ポート振替表!$H$5:$H$3507,$L3319)&amp;" "&amp;INDEX(ポート振替表!$I$5:$I$3507,$L3319))</f>
        <v/>
      </c>
      <c r="D3319" s="57" t="s">
        <v>158</v>
      </c>
      <c r="E3319" s="59" t="str">
        <f aca="false">IF(L3319="","",IF(INDEX(ポート振替表!$O$5:$O$3507,$L3319)="","(未設定)",INDEX(ポート振替表!$O$5:$O$3507,$L3319)&amp;""))</f>
        <v/>
      </c>
      <c r="F3319" s="52" t="str">
        <f aca="false">IF(L3319="","",INDEX(ポート振替表!$K$5:$K$3507,$L3319)&amp;" "&amp;INDEX(ポート振替表!$L$5:$L$3507,$L3319)&amp;"  ⇔  "&amp;INDEX(ポート振替表!$H$5:$H$3507,$L3319)&amp;" "&amp;INDEX(ポート振替表!$I$5:$I$3507,$L3319))</f>
        <v/>
      </c>
      <c r="G3319" s="57" t="s">
        <v>158</v>
      </c>
      <c r="H3319" s="32" t="str">
        <f aca="false">IF(L3319="","",INDEX(ポート振替表!$N$5:$N$3507,$L3319)&amp;"")</f>
        <v/>
      </c>
      <c r="I3319" s="32" t="str">
        <f aca="false">IF(L3319="","",INDEX(ポート振替表!$P$5:$P$3507,$L3319)&amp;"")</f>
        <v/>
      </c>
      <c r="J3319" s="60" t="str">
        <f aca="false">IF(L3319="","",INDEX(ポート振替表!$M$5:$M$3507,$L3319)&amp;"")</f>
        <v/>
      </c>
      <c r="K3319" s="52" t="str">
        <f aca="false">IF(L3319="","",E3319&amp;CHAR(10)&amp;INDEX(ポート振替表!$K$5:$K$3507,$L3319)&amp;" "&amp;INDEX(ポート振替表!$L$5:$L$3507,$L3319)&amp;CHAR(10)&amp;"⇔ "&amp;INDEX(ポート振替表!$H$5:$H$3507,$L3319)&amp;" "&amp;INDEX(ポート振替表!$I$5:$I$3507,$L3319))</f>
        <v/>
      </c>
      <c r="L3319" s="47" t="str">
        <f aca="false">IFERROR(MATCH(ROW()-4,ポート振替表!$V$5:$V$3507,0),"")</f>
        <v/>
      </c>
    </row>
    <row r="3320" customFormat="false" ht="16.4" hidden="false" customHeight="false" outlineLevel="0" collapsed="false">
      <c r="A3320" s="32" t="str">
        <f aca="false">IF(L3320="","",ROW()-4)</f>
        <v/>
      </c>
      <c r="B3320" s="58" t="str">
        <f aca="false">IF(L3320="","",IF(INDEX(ポート振替表!$W$5:$W$3507,$L3320)="","(なし)",INDEX(ポート振替表!$W$5:$W$3507,$L3320)&amp;""))</f>
        <v/>
      </c>
      <c r="C3320" s="52" t="str">
        <f aca="false">IF(L3320="","",INDEX(ポート振替表!$B$5:$B$3507,$L3320)&amp;" "&amp;INDEX(ポート振替表!$C$5:$C$3507,$L3320)&amp;"  ⇔  "&amp;INDEX(ポート振替表!$H$5:$H$3507,$L3320)&amp;" "&amp;INDEX(ポート振替表!$I$5:$I$3507,$L3320))</f>
        <v/>
      </c>
      <c r="D3320" s="57" t="s">
        <v>158</v>
      </c>
      <c r="E3320" s="59" t="str">
        <f aca="false">IF(L3320="","",IF(INDEX(ポート振替表!$O$5:$O$3507,$L3320)="","(未設定)",INDEX(ポート振替表!$O$5:$O$3507,$L3320)&amp;""))</f>
        <v/>
      </c>
      <c r="F3320" s="52" t="str">
        <f aca="false">IF(L3320="","",INDEX(ポート振替表!$K$5:$K$3507,$L3320)&amp;" "&amp;INDEX(ポート振替表!$L$5:$L$3507,$L3320)&amp;"  ⇔  "&amp;INDEX(ポート振替表!$H$5:$H$3507,$L3320)&amp;" "&amp;INDEX(ポート振替表!$I$5:$I$3507,$L3320))</f>
        <v/>
      </c>
      <c r="G3320" s="57" t="s">
        <v>158</v>
      </c>
      <c r="H3320" s="32" t="str">
        <f aca="false">IF(L3320="","",INDEX(ポート振替表!$N$5:$N$3507,$L3320)&amp;"")</f>
        <v/>
      </c>
      <c r="I3320" s="32" t="str">
        <f aca="false">IF(L3320="","",INDEX(ポート振替表!$P$5:$P$3507,$L3320)&amp;"")</f>
        <v/>
      </c>
      <c r="J3320" s="60" t="str">
        <f aca="false">IF(L3320="","",INDEX(ポート振替表!$M$5:$M$3507,$L3320)&amp;"")</f>
        <v/>
      </c>
      <c r="K3320" s="52" t="str">
        <f aca="false">IF(L3320="","",E3320&amp;CHAR(10)&amp;INDEX(ポート振替表!$K$5:$K$3507,$L3320)&amp;" "&amp;INDEX(ポート振替表!$L$5:$L$3507,$L3320)&amp;CHAR(10)&amp;"⇔ "&amp;INDEX(ポート振替表!$H$5:$H$3507,$L3320)&amp;" "&amp;INDEX(ポート振替表!$I$5:$I$3507,$L3320))</f>
        <v/>
      </c>
      <c r="L3320" s="47" t="str">
        <f aca="false">IFERROR(MATCH(ROW()-4,ポート振替表!$V$5:$V$3507,0),"")</f>
        <v/>
      </c>
    </row>
    <row r="3321" customFormat="false" ht="16.4" hidden="false" customHeight="false" outlineLevel="0" collapsed="false">
      <c r="A3321" s="32" t="str">
        <f aca="false">IF(L3321="","",ROW()-4)</f>
        <v/>
      </c>
      <c r="B3321" s="58" t="str">
        <f aca="false">IF(L3321="","",IF(INDEX(ポート振替表!$W$5:$W$3507,$L3321)="","(なし)",INDEX(ポート振替表!$W$5:$W$3507,$L3321)&amp;""))</f>
        <v/>
      </c>
      <c r="C3321" s="52" t="str">
        <f aca="false">IF(L3321="","",INDEX(ポート振替表!$B$5:$B$3507,$L3321)&amp;" "&amp;INDEX(ポート振替表!$C$5:$C$3507,$L3321)&amp;"  ⇔  "&amp;INDEX(ポート振替表!$H$5:$H$3507,$L3321)&amp;" "&amp;INDEX(ポート振替表!$I$5:$I$3507,$L3321))</f>
        <v/>
      </c>
      <c r="D3321" s="57" t="s">
        <v>158</v>
      </c>
      <c r="E3321" s="59" t="str">
        <f aca="false">IF(L3321="","",IF(INDEX(ポート振替表!$O$5:$O$3507,$L3321)="","(未設定)",INDEX(ポート振替表!$O$5:$O$3507,$L3321)&amp;""))</f>
        <v/>
      </c>
      <c r="F3321" s="52" t="str">
        <f aca="false">IF(L3321="","",INDEX(ポート振替表!$K$5:$K$3507,$L3321)&amp;" "&amp;INDEX(ポート振替表!$L$5:$L$3507,$L3321)&amp;"  ⇔  "&amp;INDEX(ポート振替表!$H$5:$H$3507,$L3321)&amp;" "&amp;INDEX(ポート振替表!$I$5:$I$3507,$L3321))</f>
        <v/>
      </c>
      <c r="G3321" s="57" t="s">
        <v>158</v>
      </c>
      <c r="H3321" s="32" t="str">
        <f aca="false">IF(L3321="","",INDEX(ポート振替表!$N$5:$N$3507,$L3321)&amp;"")</f>
        <v/>
      </c>
      <c r="I3321" s="32" t="str">
        <f aca="false">IF(L3321="","",INDEX(ポート振替表!$P$5:$P$3507,$L3321)&amp;"")</f>
        <v/>
      </c>
      <c r="J3321" s="60" t="str">
        <f aca="false">IF(L3321="","",INDEX(ポート振替表!$M$5:$M$3507,$L3321)&amp;"")</f>
        <v/>
      </c>
      <c r="K3321" s="52" t="str">
        <f aca="false">IF(L3321="","",E3321&amp;CHAR(10)&amp;INDEX(ポート振替表!$K$5:$K$3507,$L3321)&amp;" "&amp;INDEX(ポート振替表!$L$5:$L$3507,$L3321)&amp;CHAR(10)&amp;"⇔ "&amp;INDEX(ポート振替表!$H$5:$H$3507,$L3321)&amp;" "&amp;INDEX(ポート振替表!$I$5:$I$3507,$L3321))</f>
        <v/>
      </c>
      <c r="L3321" s="47" t="str">
        <f aca="false">IFERROR(MATCH(ROW()-4,ポート振替表!$V$5:$V$3507,0),"")</f>
        <v/>
      </c>
    </row>
    <row r="3322" customFormat="false" ht="16.4" hidden="false" customHeight="false" outlineLevel="0" collapsed="false">
      <c r="A3322" s="32" t="str">
        <f aca="false">IF(L3322="","",ROW()-4)</f>
        <v/>
      </c>
      <c r="B3322" s="58" t="str">
        <f aca="false">IF(L3322="","",IF(INDEX(ポート振替表!$W$5:$W$3507,$L3322)="","(なし)",INDEX(ポート振替表!$W$5:$W$3507,$L3322)&amp;""))</f>
        <v/>
      </c>
      <c r="C3322" s="52" t="str">
        <f aca="false">IF(L3322="","",INDEX(ポート振替表!$B$5:$B$3507,$L3322)&amp;" "&amp;INDEX(ポート振替表!$C$5:$C$3507,$L3322)&amp;"  ⇔  "&amp;INDEX(ポート振替表!$H$5:$H$3507,$L3322)&amp;" "&amp;INDEX(ポート振替表!$I$5:$I$3507,$L3322))</f>
        <v/>
      </c>
      <c r="D3322" s="57" t="s">
        <v>158</v>
      </c>
      <c r="E3322" s="59" t="str">
        <f aca="false">IF(L3322="","",IF(INDEX(ポート振替表!$O$5:$O$3507,$L3322)="","(未設定)",INDEX(ポート振替表!$O$5:$O$3507,$L3322)&amp;""))</f>
        <v/>
      </c>
      <c r="F3322" s="52" t="str">
        <f aca="false">IF(L3322="","",INDEX(ポート振替表!$K$5:$K$3507,$L3322)&amp;" "&amp;INDEX(ポート振替表!$L$5:$L$3507,$L3322)&amp;"  ⇔  "&amp;INDEX(ポート振替表!$H$5:$H$3507,$L3322)&amp;" "&amp;INDEX(ポート振替表!$I$5:$I$3507,$L3322))</f>
        <v/>
      </c>
      <c r="G3322" s="57" t="s">
        <v>158</v>
      </c>
      <c r="H3322" s="32" t="str">
        <f aca="false">IF(L3322="","",INDEX(ポート振替表!$N$5:$N$3507,$L3322)&amp;"")</f>
        <v/>
      </c>
      <c r="I3322" s="32" t="str">
        <f aca="false">IF(L3322="","",INDEX(ポート振替表!$P$5:$P$3507,$L3322)&amp;"")</f>
        <v/>
      </c>
      <c r="J3322" s="60" t="str">
        <f aca="false">IF(L3322="","",INDEX(ポート振替表!$M$5:$M$3507,$L3322)&amp;"")</f>
        <v/>
      </c>
      <c r="K3322" s="52" t="str">
        <f aca="false">IF(L3322="","",E3322&amp;CHAR(10)&amp;INDEX(ポート振替表!$K$5:$K$3507,$L3322)&amp;" "&amp;INDEX(ポート振替表!$L$5:$L$3507,$L3322)&amp;CHAR(10)&amp;"⇔ "&amp;INDEX(ポート振替表!$H$5:$H$3507,$L3322)&amp;" "&amp;INDEX(ポート振替表!$I$5:$I$3507,$L3322))</f>
        <v/>
      </c>
      <c r="L3322" s="47" t="str">
        <f aca="false">IFERROR(MATCH(ROW()-4,ポート振替表!$V$5:$V$3507,0),"")</f>
        <v/>
      </c>
    </row>
    <row r="3323" customFormat="false" ht="16.4" hidden="false" customHeight="false" outlineLevel="0" collapsed="false">
      <c r="A3323" s="32" t="str">
        <f aca="false">IF(L3323="","",ROW()-4)</f>
        <v/>
      </c>
      <c r="B3323" s="58" t="str">
        <f aca="false">IF(L3323="","",IF(INDEX(ポート振替表!$W$5:$W$3507,$L3323)="","(なし)",INDEX(ポート振替表!$W$5:$W$3507,$L3323)&amp;""))</f>
        <v/>
      </c>
      <c r="C3323" s="52" t="str">
        <f aca="false">IF(L3323="","",INDEX(ポート振替表!$B$5:$B$3507,$L3323)&amp;" "&amp;INDEX(ポート振替表!$C$5:$C$3507,$L3323)&amp;"  ⇔  "&amp;INDEX(ポート振替表!$H$5:$H$3507,$L3323)&amp;" "&amp;INDEX(ポート振替表!$I$5:$I$3507,$L3323))</f>
        <v/>
      </c>
      <c r="D3323" s="57" t="s">
        <v>158</v>
      </c>
      <c r="E3323" s="59" t="str">
        <f aca="false">IF(L3323="","",IF(INDEX(ポート振替表!$O$5:$O$3507,$L3323)="","(未設定)",INDEX(ポート振替表!$O$5:$O$3507,$L3323)&amp;""))</f>
        <v/>
      </c>
      <c r="F3323" s="52" t="str">
        <f aca="false">IF(L3323="","",INDEX(ポート振替表!$K$5:$K$3507,$L3323)&amp;" "&amp;INDEX(ポート振替表!$L$5:$L$3507,$L3323)&amp;"  ⇔  "&amp;INDEX(ポート振替表!$H$5:$H$3507,$L3323)&amp;" "&amp;INDEX(ポート振替表!$I$5:$I$3507,$L3323))</f>
        <v/>
      </c>
      <c r="G3323" s="57" t="s">
        <v>158</v>
      </c>
      <c r="H3323" s="32" t="str">
        <f aca="false">IF(L3323="","",INDEX(ポート振替表!$N$5:$N$3507,$L3323)&amp;"")</f>
        <v/>
      </c>
      <c r="I3323" s="32" t="str">
        <f aca="false">IF(L3323="","",INDEX(ポート振替表!$P$5:$P$3507,$L3323)&amp;"")</f>
        <v/>
      </c>
      <c r="J3323" s="60" t="str">
        <f aca="false">IF(L3323="","",INDEX(ポート振替表!$M$5:$M$3507,$L3323)&amp;"")</f>
        <v/>
      </c>
      <c r="K3323" s="52" t="str">
        <f aca="false">IF(L3323="","",E3323&amp;CHAR(10)&amp;INDEX(ポート振替表!$K$5:$K$3507,$L3323)&amp;" "&amp;INDEX(ポート振替表!$L$5:$L$3507,$L3323)&amp;CHAR(10)&amp;"⇔ "&amp;INDEX(ポート振替表!$H$5:$H$3507,$L3323)&amp;" "&amp;INDEX(ポート振替表!$I$5:$I$3507,$L3323))</f>
        <v/>
      </c>
      <c r="L3323" s="47" t="str">
        <f aca="false">IFERROR(MATCH(ROW()-4,ポート振替表!$V$5:$V$3507,0),"")</f>
        <v/>
      </c>
    </row>
    <row r="3324" customFormat="false" ht="16.4" hidden="false" customHeight="false" outlineLevel="0" collapsed="false">
      <c r="A3324" s="32" t="str">
        <f aca="false">IF(L3324="","",ROW()-4)</f>
        <v/>
      </c>
      <c r="B3324" s="58" t="str">
        <f aca="false">IF(L3324="","",IF(INDEX(ポート振替表!$W$5:$W$3507,$L3324)="","(なし)",INDEX(ポート振替表!$W$5:$W$3507,$L3324)&amp;""))</f>
        <v/>
      </c>
      <c r="C3324" s="52" t="str">
        <f aca="false">IF(L3324="","",INDEX(ポート振替表!$B$5:$B$3507,$L3324)&amp;" "&amp;INDEX(ポート振替表!$C$5:$C$3507,$L3324)&amp;"  ⇔  "&amp;INDEX(ポート振替表!$H$5:$H$3507,$L3324)&amp;" "&amp;INDEX(ポート振替表!$I$5:$I$3507,$L3324))</f>
        <v/>
      </c>
      <c r="D3324" s="57" t="s">
        <v>158</v>
      </c>
      <c r="E3324" s="59" t="str">
        <f aca="false">IF(L3324="","",IF(INDEX(ポート振替表!$O$5:$O$3507,$L3324)="","(未設定)",INDEX(ポート振替表!$O$5:$O$3507,$L3324)&amp;""))</f>
        <v/>
      </c>
      <c r="F3324" s="52" t="str">
        <f aca="false">IF(L3324="","",INDEX(ポート振替表!$K$5:$K$3507,$L3324)&amp;" "&amp;INDEX(ポート振替表!$L$5:$L$3507,$L3324)&amp;"  ⇔  "&amp;INDEX(ポート振替表!$H$5:$H$3507,$L3324)&amp;" "&amp;INDEX(ポート振替表!$I$5:$I$3507,$L3324))</f>
        <v/>
      </c>
      <c r="G3324" s="57" t="s">
        <v>158</v>
      </c>
      <c r="H3324" s="32" t="str">
        <f aca="false">IF(L3324="","",INDEX(ポート振替表!$N$5:$N$3507,$L3324)&amp;"")</f>
        <v/>
      </c>
      <c r="I3324" s="32" t="str">
        <f aca="false">IF(L3324="","",INDEX(ポート振替表!$P$5:$P$3507,$L3324)&amp;"")</f>
        <v/>
      </c>
      <c r="J3324" s="60" t="str">
        <f aca="false">IF(L3324="","",INDEX(ポート振替表!$M$5:$M$3507,$L3324)&amp;"")</f>
        <v/>
      </c>
      <c r="K3324" s="52" t="str">
        <f aca="false">IF(L3324="","",E3324&amp;CHAR(10)&amp;INDEX(ポート振替表!$K$5:$K$3507,$L3324)&amp;" "&amp;INDEX(ポート振替表!$L$5:$L$3507,$L3324)&amp;CHAR(10)&amp;"⇔ "&amp;INDEX(ポート振替表!$H$5:$H$3507,$L3324)&amp;" "&amp;INDEX(ポート振替表!$I$5:$I$3507,$L3324))</f>
        <v/>
      </c>
      <c r="L3324" s="47" t="str">
        <f aca="false">IFERROR(MATCH(ROW()-4,ポート振替表!$V$5:$V$3507,0),"")</f>
        <v/>
      </c>
    </row>
    <row r="3325" customFormat="false" ht="16.4" hidden="false" customHeight="false" outlineLevel="0" collapsed="false">
      <c r="A3325" s="32" t="str">
        <f aca="false">IF(L3325="","",ROW()-4)</f>
        <v/>
      </c>
      <c r="B3325" s="58" t="str">
        <f aca="false">IF(L3325="","",IF(INDEX(ポート振替表!$W$5:$W$3507,$L3325)="","(なし)",INDEX(ポート振替表!$W$5:$W$3507,$L3325)&amp;""))</f>
        <v/>
      </c>
      <c r="C3325" s="52" t="str">
        <f aca="false">IF(L3325="","",INDEX(ポート振替表!$B$5:$B$3507,$L3325)&amp;" "&amp;INDEX(ポート振替表!$C$5:$C$3507,$L3325)&amp;"  ⇔  "&amp;INDEX(ポート振替表!$H$5:$H$3507,$L3325)&amp;" "&amp;INDEX(ポート振替表!$I$5:$I$3507,$L3325))</f>
        <v/>
      </c>
      <c r="D3325" s="57" t="s">
        <v>158</v>
      </c>
      <c r="E3325" s="59" t="str">
        <f aca="false">IF(L3325="","",IF(INDEX(ポート振替表!$O$5:$O$3507,$L3325)="","(未設定)",INDEX(ポート振替表!$O$5:$O$3507,$L3325)&amp;""))</f>
        <v/>
      </c>
      <c r="F3325" s="52" t="str">
        <f aca="false">IF(L3325="","",INDEX(ポート振替表!$K$5:$K$3507,$L3325)&amp;" "&amp;INDEX(ポート振替表!$L$5:$L$3507,$L3325)&amp;"  ⇔  "&amp;INDEX(ポート振替表!$H$5:$H$3507,$L3325)&amp;" "&amp;INDEX(ポート振替表!$I$5:$I$3507,$L3325))</f>
        <v/>
      </c>
      <c r="G3325" s="57" t="s">
        <v>158</v>
      </c>
      <c r="H3325" s="32" t="str">
        <f aca="false">IF(L3325="","",INDEX(ポート振替表!$N$5:$N$3507,$L3325)&amp;"")</f>
        <v/>
      </c>
      <c r="I3325" s="32" t="str">
        <f aca="false">IF(L3325="","",INDEX(ポート振替表!$P$5:$P$3507,$L3325)&amp;"")</f>
        <v/>
      </c>
      <c r="J3325" s="60" t="str">
        <f aca="false">IF(L3325="","",INDEX(ポート振替表!$M$5:$M$3507,$L3325)&amp;"")</f>
        <v/>
      </c>
      <c r="K3325" s="52" t="str">
        <f aca="false">IF(L3325="","",E3325&amp;CHAR(10)&amp;INDEX(ポート振替表!$K$5:$K$3507,$L3325)&amp;" "&amp;INDEX(ポート振替表!$L$5:$L$3507,$L3325)&amp;CHAR(10)&amp;"⇔ "&amp;INDEX(ポート振替表!$H$5:$H$3507,$L3325)&amp;" "&amp;INDEX(ポート振替表!$I$5:$I$3507,$L3325))</f>
        <v/>
      </c>
      <c r="L3325" s="47" t="str">
        <f aca="false">IFERROR(MATCH(ROW()-4,ポート振替表!$V$5:$V$3507,0),"")</f>
        <v/>
      </c>
    </row>
    <row r="3326" customFormat="false" ht="16.4" hidden="false" customHeight="false" outlineLevel="0" collapsed="false">
      <c r="A3326" s="32" t="str">
        <f aca="false">IF(L3326="","",ROW()-4)</f>
        <v/>
      </c>
      <c r="B3326" s="58" t="str">
        <f aca="false">IF(L3326="","",IF(INDEX(ポート振替表!$W$5:$W$3507,$L3326)="","(なし)",INDEX(ポート振替表!$W$5:$W$3507,$L3326)&amp;""))</f>
        <v/>
      </c>
      <c r="C3326" s="52" t="str">
        <f aca="false">IF(L3326="","",INDEX(ポート振替表!$B$5:$B$3507,$L3326)&amp;" "&amp;INDEX(ポート振替表!$C$5:$C$3507,$L3326)&amp;"  ⇔  "&amp;INDEX(ポート振替表!$H$5:$H$3507,$L3326)&amp;" "&amp;INDEX(ポート振替表!$I$5:$I$3507,$L3326))</f>
        <v/>
      </c>
      <c r="D3326" s="57" t="s">
        <v>158</v>
      </c>
      <c r="E3326" s="59" t="str">
        <f aca="false">IF(L3326="","",IF(INDEX(ポート振替表!$O$5:$O$3507,$L3326)="","(未設定)",INDEX(ポート振替表!$O$5:$O$3507,$L3326)&amp;""))</f>
        <v/>
      </c>
      <c r="F3326" s="52" t="str">
        <f aca="false">IF(L3326="","",INDEX(ポート振替表!$K$5:$K$3507,$L3326)&amp;" "&amp;INDEX(ポート振替表!$L$5:$L$3507,$L3326)&amp;"  ⇔  "&amp;INDEX(ポート振替表!$H$5:$H$3507,$L3326)&amp;" "&amp;INDEX(ポート振替表!$I$5:$I$3507,$L3326))</f>
        <v/>
      </c>
      <c r="G3326" s="57" t="s">
        <v>158</v>
      </c>
      <c r="H3326" s="32" t="str">
        <f aca="false">IF(L3326="","",INDEX(ポート振替表!$N$5:$N$3507,$L3326)&amp;"")</f>
        <v/>
      </c>
      <c r="I3326" s="32" t="str">
        <f aca="false">IF(L3326="","",INDEX(ポート振替表!$P$5:$P$3507,$L3326)&amp;"")</f>
        <v/>
      </c>
      <c r="J3326" s="60" t="str">
        <f aca="false">IF(L3326="","",INDEX(ポート振替表!$M$5:$M$3507,$L3326)&amp;"")</f>
        <v/>
      </c>
      <c r="K3326" s="52" t="str">
        <f aca="false">IF(L3326="","",E3326&amp;CHAR(10)&amp;INDEX(ポート振替表!$K$5:$K$3507,$L3326)&amp;" "&amp;INDEX(ポート振替表!$L$5:$L$3507,$L3326)&amp;CHAR(10)&amp;"⇔ "&amp;INDEX(ポート振替表!$H$5:$H$3507,$L3326)&amp;" "&amp;INDEX(ポート振替表!$I$5:$I$3507,$L3326))</f>
        <v/>
      </c>
      <c r="L3326" s="47" t="str">
        <f aca="false">IFERROR(MATCH(ROW()-4,ポート振替表!$V$5:$V$3507,0),"")</f>
        <v/>
      </c>
    </row>
    <row r="3327" customFormat="false" ht="16.4" hidden="false" customHeight="false" outlineLevel="0" collapsed="false">
      <c r="A3327" s="32" t="str">
        <f aca="false">IF(L3327="","",ROW()-4)</f>
        <v/>
      </c>
      <c r="B3327" s="58" t="str">
        <f aca="false">IF(L3327="","",IF(INDEX(ポート振替表!$W$5:$W$3507,$L3327)="","(なし)",INDEX(ポート振替表!$W$5:$W$3507,$L3327)&amp;""))</f>
        <v/>
      </c>
      <c r="C3327" s="52" t="str">
        <f aca="false">IF(L3327="","",INDEX(ポート振替表!$B$5:$B$3507,$L3327)&amp;" "&amp;INDEX(ポート振替表!$C$5:$C$3507,$L3327)&amp;"  ⇔  "&amp;INDEX(ポート振替表!$H$5:$H$3507,$L3327)&amp;" "&amp;INDEX(ポート振替表!$I$5:$I$3507,$L3327))</f>
        <v/>
      </c>
      <c r="D3327" s="57" t="s">
        <v>158</v>
      </c>
      <c r="E3327" s="59" t="str">
        <f aca="false">IF(L3327="","",IF(INDEX(ポート振替表!$O$5:$O$3507,$L3327)="","(未設定)",INDEX(ポート振替表!$O$5:$O$3507,$L3327)&amp;""))</f>
        <v/>
      </c>
      <c r="F3327" s="52" t="str">
        <f aca="false">IF(L3327="","",INDEX(ポート振替表!$K$5:$K$3507,$L3327)&amp;" "&amp;INDEX(ポート振替表!$L$5:$L$3507,$L3327)&amp;"  ⇔  "&amp;INDEX(ポート振替表!$H$5:$H$3507,$L3327)&amp;" "&amp;INDEX(ポート振替表!$I$5:$I$3507,$L3327))</f>
        <v/>
      </c>
      <c r="G3327" s="57" t="s">
        <v>158</v>
      </c>
      <c r="H3327" s="32" t="str">
        <f aca="false">IF(L3327="","",INDEX(ポート振替表!$N$5:$N$3507,$L3327)&amp;"")</f>
        <v/>
      </c>
      <c r="I3327" s="32" t="str">
        <f aca="false">IF(L3327="","",INDEX(ポート振替表!$P$5:$P$3507,$L3327)&amp;"")</f>
        <v/>
      </c>
      <c r="J3327" s="60" t="str">
        <f aca="false">IF(L3327="","",INDEX(ポート振替表!$M$5:$M$3507,$L3327)&amp;"")</f>
        <v/>
      </c>
      <c r="K3327" s="52" t="str">
        <f aca="false">IF(L3327="","",E3327&amp;CHAR(10)&amp;INDEX(ポート振替表!$K$5:$K$3507,$L3327)&amp;" "&amp;INDEX(ポート振替表!$L$5:$L$3507,$L3327)&amp;CHAR(10)&amp;"⇔ "&amp;INDEX(ポート振替表!$H$5:$H$3507,$L3327)&amp;" "&amp;INDEX(ポート振替表!$I$5:$I$3507,$L3327))</f>
        <v/>
      </c>
      <c r="L3327" s="47" t="str">
        <f aca="false">IFERROR(MATCH(ROW()-4,ポート振替表!$V$5:$V$3507,0),"")</f>
        <v/>
      </c>
    </row>
    <row r="3328" customFormat="false" ht="16.4" hidden="false" customHeight="false" outlineLevel="0" collapsed="false">
      <c r="A3328" s="32" t="str">
        <f aca="false">IF(L3328="","",ROW()-4)</f>
        <v/>
      </c>
      <c r="B3328" s="58" t="str">
        <f aca="false">IF(L3328="","",IF(INDEX(ポート振替表!$W$5:$W$3507,$L3328)="","(なし)",INDEX(ポート振替表!$W$5:$W$3507,$L3328)&amp;""))</f>
        <v/>
      </c>
      <c r="C3328" s="52" t="str">
        <f aca="false">IF(L3328="","",INDEX(ポート振替表!$B$5:$B$3507,$L3328)&amp;" "&amp;INDEX(ポート振替表!$C$5:$C$3507,$L3328)&amp;"  ⇔  "&amp;INDEX(ポート振替表!$H$5:$H$3507,$L3328)&amp;" "&amp;INDEX(ポート振替表!$I$5:$I$3507,$L3328))</f>
        <v/>
      </c>
      <c r="D3328" s="57" t="s">
        <v>158</v>
      </c>
      <c r="E3328" s="59" t="str">
        <f aca="false">IF(L3328="","",IF(INDEX(ポート振替表!$O$5:$O$3507,$L3328)="","(未設定)",INDEX(ポート振替表!$O$5:$O$3507,$L3328)&amp;""))</f>
        <v/>
      </c>
      <c r="F3328" s="52" t="str">
        <f aca="false">IF(L3328="","",INDEX(ポート振替表!$K$5:$K$3507,$L3328)&amp;" "&amp;INDEX(ポート振替表!$L$5:$L$3507,$L3328)&amp;"  ⇔  "&amp;INDEX(ポート振替表!$H$5:$H$3507,$L3328)&amp;" "&amp;INDEX(ポート振替表!$I$5:$I$3507,$L3328))</f>
        <v/>
      </c>
      <c r="G3328" s="57" t="s">
        <v>158</v>
      </c>
      <c r="H3328" s="32" t="str">
        <f aca="false">IF(L3328="","",INDEX(ポート振替表!$N$5:$N$3507,$L3328)&amp;"")</f>
        <v/>
      </c>
      <c r="I3328" s="32" t="str">
        <f aca="false">IF(L3328="","",INDEX(ポート振替表!$P$5:$P$3507,$L3328)&amp;"")</f>
        <v/>
      </c>
      <c r="J3328" s="60" t="str">
        <f aca="false">IF(L3328="","",INDEX(ポート振替表!$M$5:$M$3507,$L3328)&amp;"")</f>
        <v/>
      </c>
      <c r="K3328" s="52" t="str">
        <f aca="false">IF(L3328="","",E3328&amp;CHAR(10)&amp;INDEX(ポート振替表!$K$5:$K$3507,$L3328)&amp;" "&amp;INDEX(ポート振替表!$L$5:$L$3507,$L3328)&amp;CHAR(10)&amp;"⇔ "&amp;INDEX(ポート振替表!$H$5:$H$3507,$L3328)&amp;" "&amp;INDEX(ポート振替表!$I$5:$I$3507,$L3328))</f>
        <v/>
      </c>
      <c r="L3328" s="47" t="str">
        <f aca="false">IFERROR(MATCH(ROW()-4,ポート振替表!$V$5:$V$3507,0),"")</f>
        <v/>
      </c>
    </row>
    <row r="3329" customFormat="false" ht="16.4" hidden="false" customHeight="false" outlineLevel="0" collapsed="false">
      <c r="A3329" s="32" t="str">
        <f aca="false">IF(L3329="","",ROW()-4)</f>
        <v/>
      </c>
      <c r="B3329" s="58" t="str">
        <f aca="false">IF(L3329="","",IF(INDEX(ポート振替表!$W$5:$W$3507,$L3329)="","(なし)",INDEX(ポート振替表!$W$5:$W$3507,$L3329)&amp;""))</f>
        <v/>
      </c>
      <c r="C3329" s="52" t="str">
        <f aca="false">IF(L3329="","",INDEX(ポート振替表!$B$5:$B$3507,$L3329)&amp;" "&amp;INDEX(ポート振替表!$C$5:$C$3507,$L3329)&amp;"  ⇔  "&amp;INDEX(ポート振替表!$H$5:$H$3507,$L3329)&amp;" "&amp;INDEX(ポート振替表!$I$5:$I$3507,$L3329))</f>
        <v/>
      </c>
      <c r="D3329" s="57" t="s">
        <v>158</v>
      </c>
      <c r="E3329" s="59" t="str">
        <f aca="false">IF(L3329="","",IF(INDEX(ポート振替表!$O$5:$O$3507,$L3329)="","(未設定)",INDEX(ポート振替表!$O$5:$O$3507,$L3329)&amp;""))</f>
        <v/>
      </c>
      <c r="F3329" s="52" t="str">
        <f aca="false">IF(L3329="","",INDEX(ポート振替表!$K$5:$K$3507,$L3329)&amp;" "&amp;INDEX(ポート振替表!$L$5:$L$3507,$L3329)&amp;"  ⇔  "&amp;INDEX(ポート振替表!$H$5:$H$3507,$L3329)&amp;" "&amp;INDEX(ポート振替表!$I$5:$I$3507,$L3329))</f>
        <v/>
      </c>
      <c r="G3329" s="57" t="s">
        <v>158</v>
      </c>
      <c r="H3329" s="32" t="str">
        <f aca="false">IF(L3329="","",INDEX(ポート振替表!$N$5:$N$3507,$L3329)&amp;"")</f>
        <v/>
      </c>
      <c r="I3329" s="32" t="str">
        <f aca="false">IF(L3329="","",INDEX(ポート振替表!$P$5:$P$3507,$L3329)&amp;"")</f>
        <v/>
      </c>
      <c r="J3329" s="60" t="str">
        <f aca="false">IF(L3329="","",INDEX(ポート振替表!$M$5:$M$3507,$L3329)&amp;"")</f>
        <v/>
      </c>
      <c r="K3329" s="52" t="str">
        <f aca="false">IF(L3329="","",E3329&amp;CHAR(10)&amp;INDEX(ポート振替表!$K$5:$K$3507,$L3329)&amp;" "&amp;INDEX(ポート振替表!$L$5:$L$3507,$L3329)&amp;CHAR(10)&amp;"⇔ "&amp;INDEX(ポート振替表!$H$5:$H$3507,$L3329)&amp;" "&amp;INDEX(ポート振替表!$I$5:$I$3507,$L3329))</f>
        <v/>
      </c>
      <c r="L3329" s="47" t="str">
        <f aca="false">IFERROR(MATCH(ROW()-4,ポート振替表!$V$5:$V$3507,0),"")</f>
        <v/>
      </c>
    </row>
    <row r="3330" customFormat="false" ht="16.4" hidden="false" customHeight="false" outlineLevel="0" collapsed="false">
      <c r="A3330" s="32" t="str">
        <f aca="false">IF(L3330="","",ROW()-4)</f>
        <v/>
      </c>
      <c r="B3330" s="58" t="str">
        <f aca="false">IF(L3330="","",IF(INDEX(ポート振替表!$W$5:$W$3507,$L3330)="","(なし)",INDEX(ポート振替表!$W$5:$W$3507,$L3330)&amp;""))</f>
        <v/>
      </c>
      <c r="C3330" s="52" t="str">
        <f aca="false">IF(L3330="","",INDEX(ポート振替表!$B$5:$B$3507,$L3330)&amp;" "&amp;INDEX(ポート振替表!$C$5:$C$3507,$L3330)&amp;"  ⇔  "&amp;INDEX(ポート振替表!$H$5:$H$3507,$L3330)&amp;" "&amp;INDEX(ポート振替表!$I$5:$I$3507,$L3330))</f>
        <v/>
      </c>
      <c r="D3330" s="57" t="s">
        <v>158</v>
      </c>
      <c r="E3330" s="59" t="str">
        <f aca="false">IF(L3330="","",IF(INDEX(ポート振替表!$O$5:$O$3507,$L3330)="","(未設定)",INDEX(ポート振替表!$O$5:$O$3507,$L3330)&amp;""))</f>
        <v/>
      </c>
      <c r="F3330" s="52" t="str">
        <f aca="false">IF(L3330="","",INDEX(ポート振替表!$K$5:$K$3507,$L3330)&amp;" "&amp;INDEX(ポート振替表!$L$5:$L$3507,$L3330)&amp;"  ⇔  "&amp;INDEX(ポート振替表!$H$5:$H$3507,$L3330)&amp;" "&amp;INDEX(ポート振替表!$I$5:$I$3507,$L3330))</f>
        <v/>
      </c>
      <c r="G3330" s="57" t="s">
        <v>158</v>
      </c>
      <c r="H3330" s="32" t="str">
        <f aca="false">IF(L3330="","",INDEX(ポート振替表!$N$5:$N$3507,$L3330)&amp;"")</f>
        <v/>
      </c>
      <c r="I3330" s="32" t="str">
        <f aca="false">IF(L3330="","",INDEX(ポート振替表!$P$5:$P$3507,$L3330)&amp;"")</f>
        <v/>
      </c>
      <c r="J3330" s="60" t="str">
        <f aca="false">IF(L3330="","",INDEX(ポート振替表!$M$5:$M$3507,$L3330)&amp;"")</f>
        <v/>
      </c>
      <c r="K3330" s="52" t="str">
        <f aca="false">IF(L3330="","",E3330&amp;CHAR(10)&amp;INDEX(ポート振替表!$K$5:$K$3507,$L3330)&amp;" "&amp;INDEX(ポート振替表!$L$5:$L$3507,$L3330)&amp;CHAR(10)&amp;"⇔ "&amp;INDEX(ポート振替表!$H$5:$H$3507,$L3330)&amp;" "&amp;INDEX(ポート振替表!$I$5:$I$3507,$L3330))</f>
        <v/>
      </c>
      <c r="L3330" s="47" t="str">
        <f aca="false">IFERROR(MATCH(ROW()-4,ポート振替表!$V$5:$V$3507,0),"")</f>
        <v/>
      </c>
    </row>
    <row r="3331" customFormat="false" ht="16.4" hidden="false" customHeight="false" outlineLevel="0" collapsed="false">
      <c r="A3331" s="32" t="str">
        <f aca="false">IF(L3331="","",ROW()-4)</f>
        <v/>
      </c>
      <c r="B3331" s="58" t="str">
        <f aca="false">IF(L3331="","",IF(INDEX(ポート振替表!$W$5:$W$3507,$L3331)="","(なし)",INDEX(ポート振替表!$W$5:$W$3507,$L3331)&amp;""))</f>
        <v/>
      </c>
      <c r="C3331" s="52" t="str">
        <f aca="false">IF(L3331="","",INDEX(ポート振替表!$B$5:$B$3507,$L3331)&amp;" "&amp;INDEX(ポート振替表!$C$5:$C$3507,$L3331)&amp;"  ⇔  "&amp;INDEX(ポート振替表!$H$5:$H$3507,$L3331)&amp;" "&amp;INDEX(ポート振替表!$I$5:$I$3507,$L3331))</f>
        <v/>
      </c>
      <c r="D3331" s="57" t="s">
        <v>158</v>
      </c>
      <c r="E3331" s="59" t="str">
        <f aca="false">IF(L3331="","",IF(INDEX(ポート振替表!$O$5:$O$3507,$L3331)="","(未設定)",INDEX(ポート振替表!$O$5:$O$3507,$L3331)&amp;""))</f>
        <v/>
      </c>
      <c r="F3331" s="52" t="str">
        <f aca="false">IF(L3331="","",INDEX(ポート振替表!$K$5:$K$3507,$L3331)&amp;" "&amp;INDEX(ポート振替表!$L$5:$L$3507,$L3331)&amp;"  ⇔  "&amp;INDEX(ポート振替表!$H$5:$H$3507,$L3331)&amp;" "&amp;INDEX(ポート振替表!$I$5:$I$3507,$L3331))</f>
        <v/>
      </c>
      <c r="G3331" s="57" t="s">
        <v>158</v>
      </c>
      <c r="H3331" s="32" t="str">
        <f aca="false">IF(L3331="","",INDEX(ポート振替表!$N$5:$N$3507,$L3331)&amp;"")</f>
        <v/>
      </c>
      <c r="I3331" s="32" t="str">
        <f aca="false">IF(L3331="","",INDEX(ポート振替表!$P$5:$P$3507,$L3331)&amp;"")</f>
        <v/>
      </c>
      <c r="J3331" s="60" t="str">
        <f aca="false">IF(L3331="","",INDEX(ポート振替表!$M$5:$M$3507,$L3331)&amp;"")</f>
        <v/>
      </c>
      <c r="K3331" s="52" t="str">
        <f aca="false">IF(L3331="","",E3331&amp;CHAR(10)&amp;INDEX(ポート振替表!$K$5:$K$3507,$L3331)&amp;" "&amp;INDEX(ポート振替表!$L$5:$L$3507,$L3331)&amp;CHAR(10)&amp;"⇔ "&amp;INDEX(ポート振替表!$H$5:$H$3507,$L3331)&amp;" "&amp;INDEX(ポート振替表!$I$5:$I$3507,$L3331))</f>
        <v/>
      </c>
      <c r="L3331" s="47" t="str">
        <f aca="false">IFERROR(MATCH(ROW()-4,ポート振替表!$V$5:$V$3507,0),"")</f>
        <v/>
      </c>
    </row>
    <row r="3332" customFormat="false" ht="16.4" hidden="false" customHeight="false" outlineLevel="0" collapsed="false">
      <c r="A3332" s="32" t="str">
        <f aca="false">IF(L3332="","",ROW()-4)</f>
        <v/>
      </c>
      <c r="B3332" s="58" t="str">
        <f aca="false">IF(L3332="","",IF(INDEX(ポート振替表!$W$5:$W$3507,$L3332)="","(なし)",INDEX(ポート振替表!$W$5:$W$3507,$L3332)&amp;""))</f>
        <v/>
      </c>
      <c r="C3332" s="52" t="str">
        <f aca="false">IF(L3332="","",INDEX(ポート振替表!$B$5:$B$3507,$L3332)&amp;" "&amp;INDEX(ポート振替表!$C$5:$C$3507,$L3332)&amp;"  ⇔  "&amp;INDEX(ポート振替表!$H$5:$H$3507,$L3332)&amp;" "&amp;INDEX(ポート振替表!$I$5:$I$3507,$L3332))</f>
        <v/>
      </c>
      <c r="D3332" s="57" t="s">
        <v>158</v>
      </c>
      <c r="E3332" s="59" t="str">
        <f aca="false">IF(L3332="","",IF(INDEX(ポート振替表!$O$5:$O$3507,$L3332)="","(未設定)",INDEX(ポート振替表!$O$5:$O$3507,$L3332)&amp;""))</f>
        <v/>
      </c>
      <c r="F3332" s="52" t="str">
        <f aca="false">IF(L3332="","",INDEX(ポート振替表!$K$5:$K$3507,$L3332)&amp;" "&amp;INDEX(ポート振替表!$L$5:$L$3507,$L3332)&amp;"  ⇔  "&amp;INDEX(ポート振替表!$H$5:$H$3507,$L3332)&amp;" "&amp;INDEX(ポート振替表!$I$5:$I$3507,$L3332))</f>
        <v/>
      </c>
      <c r="G3332" s="57" t="s">
        <v>158</v>
      </c>
      <c r="H3332" s="32" t="str">
        <f aca="false">IF(L3332="","",INDEX(ポート振替表!$N$5:$N$3507,$L3332)&amp;"")</f>
        <v/>
      </c>
      <c r="I3332" s="32" t="str">
        <f aca="false">IF(L3332="","",INDEX(ポート振替表!$P$5:$P$3507,$L3332)&amp;"")</f>
        <v/>
      </c>
      <c r="J3332" s="60" t="str">
        <f aca="false">IF(L3332="","",INDEX(ポート振替表!$M$5:$M$3507,$L3332)&amp;"")</f>
        <v/>
      </c>
      <c r="K3332" s="52" t="str">
        <f aca="false">IF(L3332="","",E3332&amp;CHAR(10)&amp;INDEX(ポート振替表!$K$5:$K$3507,$L3332)&amp;" "&amp;INDEX(ポート振替表!$L$5:$L$3507,$L3332)&amp;CHAR(10)&amp;"⇔ "&amp;INDEX(ポート振替表!$H$5:$H$3507,$L3332)&amp;" "&amp;INDEX(ポート振替表!$I$5:$I$3507,$L3332))</f>
        <v/>
      </c>
      <c r="L3332" s="47" t="str">
        <f aca="false">IFERROR(MATCH(ROW()-4,ポート振替表!$V$5:$V$3507,0),"")</f>
        <v/>
      </c>
    </row>
    <row r="3333" customFormat="false" ht="16.4" hidden="false" customHeight="false" outlineLevel="0" collapsed="false">
      <c r="A3333" s="32" t="str">
        <f aca="false">IF(L3333="","",ROW()-4)</f>
        <v/>
      </c>
      <c r="B3333" s="58" t="str">
        <f aca="false">IF(L3333="","",IF(INDEX(ポート振替表!$W$5:$W$3507,$L3333)="","(なし)",INDEX(ポート振替表!$W$5:$W$3507,$L3333)&amp;""))</f>
        <v/>
      </c>
      <c r="C3333" s="52" t="str">
        <f aca="false">IF(L3333="","",INDEX(ポート振替表!$B$5:$B$3507,$L3333)&amp;" "&amp;INDEX(ポート振替表!$C$5:$C$3507,$L3333)&amp;"  ⇔  "&amp;INDEX(ポート振替表!$H$5:$H$3507,$L3333)&amp;" "&amp;INDEX(ポート振替表!$I$5:$I$3507,$L3333))</f>
        <v/>
      </c>
      <c r="D3333" s="57" t="s">
        <v>158</v>
      </c>
      <c r="E3333" s="59" t="str">
        <f aca="false">IF(L3333="","",IF(INDEX(ポート振替表!$O$5:$O$3507,$L3333)="","(未設定)",INDEX(ポート振替表!$O$5:$O$3507,$L3333)&amp;""))</f>
        <v/>
      </c>
      <c r="F3333" s="52" t="str">
        <f aca="false">IF(L3333="","",INDEX(ポート振替表!$K$5:$K$3507,$L3333)&amp;" "&amp;INDEX(ポート振替表!$L$5:$L$3507,$L3333)&amp;"  ⇔  "&amp;INDEX(ポート振替表!$H$5:$H$3507,$L3333)&amp;" "&amp;INDEX(ポート振替表!$I$5:$I$3507,$L3333))</f>
        <v/>
      </c>
      <c r="G3333" s="57" t="s">
        <v>158</v>
      </c>
      <c r="H3333" s="32" t="str">
        <f aca="false">IF(L3333="","",INDEX(ポート振替表!$N$5:$N$3507,$L3333)&amp;"")</f>
        <v/>
      </c>
      <c r="I3333" s="32" t="str">
        <f aca="false">IF(L3333="","",INDEX(ポート振替表!$P$5:$P$3507,$L3333)&amp;"")</f>
        <v/>
      </c>
      <c r="J3333" s="60" t="str">
        <f aca="false">IF(L3333="","",INDEX(ポート振替表!$M$5:$M$3507,$L3333)&amp;"")</f>
        <v/>
      </c>
      <c r="K3333" s="52" t="str">
        <f aca="false">IF(L3333="","",E3333&amp;CHAR(10)&amp;INDEX(ポート振替表!$K$5:$K$3507,$L3333)&amp;" "&amp;INDEX(ポート振替表!$L$5:$L$3507,$L3333)&amp;CHAR(10)&amp;"⇔ "&amp;INDEX(ポート振替表!$H$5:$H$3507,$L3333)&amp;" "&amp;INDEX(ポート振替表!$I$5:$I$3507,$L3333))</f>
        <v/>
      </c>
      <c r="L3333" s="47" t="str">
        <f aca="false">IFERROR(MATCH(ROW()-4,ポート振替表!$V$5:$V$3507,0),"")</f>
        <v/>
      </c>
    </row>
    <row r="3334" customFormat="false" ht="16.4" hidden="false" customHeight="false" outlineLevel="0" collapsed="false">
      <c r="A3334" s="32" t="str">
        <f aca="false">IF(L3334="","",ROW()-4)</f>
        <v/>
      </c>
      <c r="B3334" s="58" t="str">
        <f aca="false">IF(L3334="","",IF(INDEX(ポート振替表!$W$5:$W$3507,$L3334)="","(なし)",INDEX(ポート振替表!$W$5:$W$3507,$L3334)&amp;""))</f>
        <v/>
      </c>
      <c r="C3334" s="52" t="str">
        <f aca="false">IF(L3334="","",INDEX(ポート振替表!$B$5:$B$3507,$L3334)&amp;" "&amp;INDEX(ポート振替表!$C$5:$C$3507,$L3334)&amp;"  ⇔  "&amp;INDEX(ポート振替表!$H$5:$H$3507,$L3334)&amp;" "&amp;INDEX(ポート振替表!$I$5:$I$3507,$L3334))</f>
        <v/>
      </c>
      <c r="D3334" s="57" t="s">
        <v>158</v>
      </c>
      <c r="E3334" s="59" t="str">
        <f aca="false">IF(L3334="","",IF(INDEX(ポート振替表!$O$5:$O$3507,$L3334)="","(未設定)",INDEX(ポート振替表!$O$5:$O$3507,$L3334)&amp;""))</f>
        <v/>
      </c>
      <c r="F3334" s="52" t="str">
        <f aca="false">IF(L3334="","",INDEX(ポート振替表!$K$5:$K$3507,$L3334)&amp;" "&amp;INDEX(ポート振替表!$L$5:$L$3507,$L3334)&amp;"  ⇔  "&amp;INDEX(ポート振替表!$H$5:$H$3507,$L3334)&amp;" "&amp;INDEX(ポート振替表!$I$5:$I$3507,$L3334))</f>
        <v/>
      </c>
      <c r="G3334" s="57" t="s">
        <v>158</v>
      </c>
      <c r="H3334" s="32" t="str">
        <f aca="false">IF(L3334="","",INDEX(ポート振替表!$N$5:$N$3507,$L3334)&amp;"")</f>
        <v/>
      </c>
      <c r="I3334" s="32" t="str">
        <f aca="false">IF(L3334="","",INDEX(ポート振替表!$P$5:$P$3507,$L3334)&amp;"")</f>
        <v/>
      </c>
      <c r="J3334" s="60" t="str">
        <f aca="false">IF(L3334="","",INDEX(ポート振替表!$M$5:$M$3507,$L3334)&amp;"")</f>
        <v/>
      </c>
      <c r="K3334" s="52" t="str">
        <f aca="false">IF(L3334="","",E3334&amp;CHAR(10)&amp;INDEX(ポート振替表!$K$5:$K$3507,$L3334)&amp;" "&amp;INDEX(ポート振替表!$L$5:$L$3507,$L3334)&amp;CHAR(10)&amp;"⇔ "&amp;INDEX(ポート振替表!$H$5:$H$3507,$L3334)&amp;" "&amp;INDEX(ポート振替表!$I$5:$I$3507,$L3334))</f>
        <v/>
      </c>
      <c r="L3334" s="47" t="str">
        <f aca="false">IFERROR(MATCH(ROW()-4,ポート振替表!$V$5:$V$3507,0),"")</f>
        <v/>
      </c>
    </row>
    <row r="3335" customFormat="false" ht="16.4" hidden="false" customHeight="false" outlineLevel="0" collapsed="false">
      <c r="A3335" s="32" t="str">
        <f aca="false">IF(L3335="","",ROW()-4)</f>
        <v/>
      </c>
      <c r="B3335" s="58" t="str">
        <f aca="false">IF(L3335="","",IF(INDEX(ポート振替表!$W$5:$W$3507,$L3335)="","(なし)",INDEX(ポート振替表!$W$5:$W$3507,$L3335)&amp;""))</f>
        <v/>
      </c>
      <c r="C3335" s="52" t="str">
        <f aca="false">IF(L3335="","",INDEX(ポート振替表!$B$5:$B$3507,$L3335)&amp;" "&amp;INDEX(ポート振替表!$C$5:$C$3507,$L3335)&amp;"  ⇔  "&amp;INDEX(ポート振替表!$H$5:$H$3507,$L3335)&amp;" "&amp;INDEX(ポート振替表!$I$5:$I$3507,$L3335))</f>
        <v/>
      </c>
      <c r="D3335" s="57" t="s">
        <v>158</v>
      </c>
      <c r="E3335" s="59" t="str">
        <f aca="false">IF(L3335="","",IF(INDEX(ポート振替表!$O$5:$O$3507,$L3335)="","(未設定)",INDEX(ポート振替表!$O$5:$O$3507,$L3335)&amp;""))</f>
        <v/>
      </c>
      <c r="F3335" s="52" t="str">
        <f aca="false">IF(L3335="","",INDEX(ポート振替表!$K$5:$K$3507,$L3335)&amp;" "&amp;INDEX(ポート振替表!$L$5:$L$3507,$L3335)&amp;"  ⇔  "&amp;INDEX(ポート振替表!$H$5:$H$3507,$L3335)&amp;" "&amp;INDEX(ポート振替表!$I$5:$I$3507,$L3335))</f>
        <v/>
      </c>
      <c r="G3335" s="57" t="s">
        <v>158</v>
      </c>
      <c r="H3335" s="32" t="str">
        <f aca="false">IF(L3335="","",INDEX(ポート振替表!$N$5:$N$3507,$L3335)&amp;"")</f>
        <v/>
      </c>
      <c r="I3335" s="32" t="str">
        <f aca="false">IF(L3335="","",INDEX(ポート振替表!$P$5:$P$3507,$L3335)&amp;"")</f>
        <v/>
      </c>
      <c r="J3335" s="60" t="str">
        <f aca="false">IF(L3335="","",INDEX(ポート振替表!$M$5:$M$3507,$L3335)&amp;"")</f>
        <v/>
      </c>
      <c r="K3335" s="52" t="str">
        <f aca="false">IF(L3335="","",E3335&amp;CHAR(10)&amp;INDEX(ポート振替表!$K$5:$K$3507,$L3335)&amp;" "&amp;INDEX(ポート振替表!$L$5:$L$3507,$L3335)&amp;CHAR(10)&amp;"⇔ "&amp;INDEX(ポート振替表!$H$5:$H$3507,$L3335)&amp;" "&amp;INDEX(ポート振替表!$I$5:$I$3507,$L3335))</f>
        <v/>
      </c>
      <c r="L3335" s="47" t="str">
        <f aca="false">IFERROR(MATCH(ROW()-4,ポート振替表!$V$5:$V$3507,0),"")</f>
        <v/>
      </c>
    </row>
    <row r="3336" customFormat="false" ht="16.4" hidden="false" customHeight="false" outlineLevel="0" collapsed="false">
      <c r="A3336" s="32" t="str">
        <f aca="false">IF(L3336="","",ROW()-4)</f>
        <v/>
      </c>
      <c r="B3336" s="58" t="str">
        <f aca="false">IF(L3336="","",IF(INDEX(ポート振替表!$W$5:$W$3507,$L3336)="","(なし)",INDEX(ポート振替表!$W$5:$W$3507,$L3336)&amp;""))</f>
        <v/>
      </c>
      <c r="C3336" s="52" t="str">
        <f aca="false">IF(L3336="","",INDEX(ポート振替表!$B$5:$B$3507,$L3336)&amp;" "&amp;INDEX(ポート振替表!$C$5:$C$3507,$L3336)&amp;"  ⇔  "&amp;INDEX(ポート振替表!$H$5:$H$3507,$L3336)&amp;" "&amp;INDEX(ポート振替表!$I$5:$I$3507,$L3336))</f>
        <v/>
      </c>
      <c r="D3336" s="57" t="s">
        <v>158</v>
      </c>
      <c r="E3336" s="59" t="str">
        <f aca="false">IF(L3336="","",IF(INDEX(ポート振替表!$O$5:$O$3507,$L3336)="","(未設定)",INDEX(ポート振替表!$O$5:$O$3507,$L3336)&amp;""))</f>
        <v/>
      </c>
      <c r="F3336" s="52" t="str">
        <f aca="false">IF(L3336="","",INDEX(ポート振替表!$K$5:$K$3507,$L3336)&amp;" "&amp;INDEX(ポート振替表!$L$5:$L$3507,$L3336)&amp;"  ⇔  "&amp;INDEX(ポート振替表!$H$5:$H$3507,$L3336)&amp;" "&amp;INDEX(ポート振替表!$I$5:$I$3507,$L3336))</f>
        <v/>
      </c>
      <c r="G3336" s="57" t="s">
        <v>158</v>
      </c>
      <c r="H3336" s="32" t="str">
        <f aca="false">IF(L3336="","",INDEX(ポート振替表!$N$5:$N$3507,$L3336)&amp;"")</f>
        <v/>
      </c>
      <c r="I3336" s="32" t="str">
        <f aca="false">IF(L3336="","",INDEX(ポート振替表!$P$5:$P$3507,$L3336)&amp;"")</f>
        <v/>
      </c>
      <c r="J3336" s="60" t="str">
        <f aca="false">IF(L3336="","",INDEX(ポート振替表!$M$5:$M$3507,$L3336)&amp;"")</f>
        <v/>
      </c>
      <c r="K3336" s="52" t="str">
        <f aca="false">IF(L3336="","",E3336&amp;CHAR(10)&amp;INDEX(ポート振替表!$K$5:$K$3507,$L3336)&amp;" "&amp;INDEX(ポート振替表!$L$5:$L$3507,$L3336)&amp;CHAR(10)&amp;"⇔ "&amp;INDEX(ポート振替表!$H$5:$H$3507,$L3336)&amp;" "&amp;INDEX(ポート振替表!$I$5:$I$3507,$L3336))</f>
        <v/>
      </c>
      <c r="L3336" s="47" t="str">
        <f aca="false">IFERROR(MATCH(ROW()-4,ポート振替表!$V$5:$V$3507,0),"")</f>
        <v/>
      </c>
    </row>
    <row r="3337" customFormat="false" ht="16.4" hidden="false" customHeight="false" outlineLevel="0" collapsed="false">
      <c r="A3337" s="32" t="str">
        <f aca="false">IF(L3337="","",ROW()-4)</f>
        <v/>
      </c>
      <c r="B3337" s="58" t="str">
        <f aca="false">IF(L3337="","",IF(INDEX(ポート振替表!$W$5:$W$3507,$L3337)="","(なし)",INDEX(ポート振替表!$W$5:$W$3507,$L3337)&amp;""))</f>
        <v/>
      </c>
      <c r="C3337" s="52" t="str">
        <f aca="false">IF(L3337="","",INDEX(ポート振替表!$B$5:$B$3507,$L3337)&amp;" "&amp;INDEX(ポート振替表!$C$5:$C$3507,$L3337)&amp;"  ⇔  "&amp;INDEX(ポート振替表!$H$5:$H$3507,$L3337)&amp;" "&amp;INDEX(ポート振替表!$I$5:$I$3507,$L3337))</f>
        <v/>
      </c>
      <c r="D3337" s="57" t="s">
        <v>158</v>
      </c>
      <c r="E3337" s="59" t="str">
        <f aca="false">IF(L3337="","",IF(INDEX(ポート振替表!$O$5:$O$3507,$L3337)="","(未設定)",INDEX(ポート振替表!$O$5:$O$3507,$L3337)&amp;""))</f>
        <v/>
      </c>
      <c r="F3337" s="52" t="str">
        <f aca="false">IF(L3337="","",INDEX(ポート振替表!$K$5:$K$3507,$L3337)&amp;" "&amp;INDEX(ポート振替表!$L$5:$L$3507,$L3337)&amp;"  ⇔  "&amp;INDEX(ポート振替表!$H$5:$H$3507,$L3337)&amp;" "&amp;INDEX(ポート振替表!$I$5:$I$3507,$L3337))</f>
        <v/>
      </c>
      <c r="G3337" s="57" t="s">
        <v>158</v>
      </c>
      <c r="H3337" s="32" t="str">
        <f aca="false">IF(L3337="","",INDEX(ポート振替表!$N$5:$N$3507,$L3337)&amp;"")</f>
        <v/>
      </c>
      <c r="I3337" s="32" t="str">
        <f aca="false">IF(L3337="","",INDEX(ポート振替表!$P$5:$P$3507,$L3337)&amp;"")</f>
        <v/>
      </c>
      <c r="J3337" s="60" t="str">
        <f aca="false">IF(L3337="","",INDEX(ポート振替表!$M$5:$M$3507,$L3337)&amp;"")</f>
        <v/>
      </c>
      <c r="K3337" s="52" t="str">
        <f aca="false">IF(L3337="","",E3337&amp;CHAR(10)&amp;INDEX(ポート振替表!$K$5:$K$3507,$L3337)&amp;" "&amp;INDEX(ポート振替表!$L$5:$L$3507,$L3337)&amp;CHAR(10)&amp;"⇔ "&amp;INDEX(ポート振替表!$H$5:$H$3507,$L3337)&amp;" "&amp;INDEX(ポート振替表!$I$5:$I$3507,$L3337))</f>
        <v/>
      </c>
      <c r="L3337" s="47" t="str">
        <f aca="false">IFERROR(MATCH(ROW()-4,ポート振替表!$V$5:$V$3507,0),"")</f>
        <v/>
      </c>
    </row>
    <row r="3338" customFormat="false" ht="16.4" hidden="false" customHeight="false" outlineLevel="0" collapsed="false">
      <c r="A3338" s="32" t="str">
        <f aca="false">IF(L3338="","",ROW()-4)</f>
        <v/>
      </c>
      <c r="B3338" s="58" t="str">
        <f aca="false">IF(L3338="","",IF(INDEX(ポート振替表!$W$5:$W$3507,$L3338)="","(なし)",INDEX(ポート振替表!$W$5:$W$3507,$L3338)&amp;""))</f>
        <v/>
      </c>
      <c r="C3338" s="52" t="str">
        <f aca="false">IF(L3338="","",INDEX(ポート振替表!$B$5:$B$3507,$L3338)&amp;" "&amp;INDEX(ポート振替表!$C$5:$C$3507,$L3338)&amp;"  ⇔  "&amp;INDEX(ポート振替表!$H$5:$H$3507,$L3338)&amp;" "&amp;INDEX(ポート振替表!$I$5:$I$3507,$L3338))</f>
        <v/>
      </c>
      <c r="D3338" s="57" t="s">
        <v>158</v>
      </c>
      <c r="E3338" s="59" t="str">
        <f aca="false">IF(L3338="","",IF(INDEX(ポート振替表!$O$5:$O$3507,$L3338)="","(未設定)",INDEX(ポート振替表!$O$5:$O$3507,$L3338)&amp;""))</f>
        <v/>
      </c>
      <c r="F3338" s="52" t="str">
        <f aca="false">IF(L3338="","",INDEX(ポート振替表!$K$5:$K$3507,$L3338)&amp;" "&amp;INDEX(ポート振替表!$L$5:$L$3507,$L3338)&amp;"  ⇔  "&amp;INDEX(ポート振替表!$H$5:$H$3507,$L3338)&amp;" "&amp;INDEX(ポート振替表!$I$5:$I$3507,$L3338))</f>
        <v/>
      </c>
      <c r="G3338" s="57" t="s">
        <v>158</v>
      </c>
      <c r="H3338" s="32" t="str">
        <f aca="false">IF(L3338="","",INDEX(ポート振替表!$N$5:$N$3507,$L3338)&amp;"")</f>
        <v/>
      </c>
      <c r="I3338" s="32" t="str">
        <f aca="false">IF(L3338="","",INDEX(ポート振替表!$P$5:$P$3507,$L3338)&amp;"")</f>
        <v/>
      </c>
      <c r="J3338" s="60" t="str">
        <f aca="false">IF(L3338="","",INDEX(ポート振替表!$M$5:$M$3507,$L3338)&amp;"")</f>
        <v/>
      </c>
      <c r="K3338" s="52" t="str">
        <f aca="false">IF(L3338="","",E3338&amp;CHAR(10)&amp;INDEX(ポート振替表!$K$5:$K$3507,$L3338)&amp;" "&amp;INDEX(ポート振替表!$L$5:$L$3507,$L3338)&amp;CHAR(10)&amp;"⇔ "&amp;INDEX(ポート振替表!$H$5:$H$3507,$L3338)&amp;" "&amp;INDEX(ポート振替表!$I$5:$I$3507,$L3338))</f>
        <v/>
      </c>
      <c r="L3338" s="47" t="str">
        <f aca="false">IFERROR(MATCH(ROW()-4,ポート振替表!$V$5:$V$3507,0),"")</f>
        <v/>
      </c>
    </row>
    <row r="3339" customFormat="false" ht="16.4" hidden="false" customHeight="false" outlineLevel="0" collapsed="false">
      <c r="A3339" s="32" t="str">
        <f aca="false">IF(L3339="","",ROW()-4)</f>
        <v/>
      </c>
      <c r="B3339" s="58" t="str">
        <f aca="false">IF(L3339="","",IF(INDEX(ポート振替表!$W$5:$W$3507,$L3339)="","(なし)",INDEX(ポート振替表!$W$5:$W$3507,$L3339)&amp;""))</f>
        <v/>
      </c>
      <c r="C3339" s="52" t="str">
        <f aca="false">IF(L3339="","",INDEX(ポート振替表!$B$5:$B$3507,$L3339)&amp;" "&amp;INDEX(ポート振替表!$C$5:$C$3507,$L3339)&amp;"  ⇔  "&amp;INDEX(ポート振替表!$H$5:$H$3507,$L3339)&amp;" "&amp;INDEX(ポート振替表!$I$5:$I$3507,$L3339))</f>
        <v/>
      </c>
      <c r="D3339" s="57" t="s">
        <v>158</v>
      </c>
      <c r="E3339" s="59" t="str">
        <f aca="false">IF(L3339="","",IF(INDEX(ポート振替表!$O$5:$O$3507,$L3339)="","(未設定)",INDEX(ポート振替表!$O$5:$O$3507,$L3339)&amp;""))</f>
        <v/>
      </c>
      <c r="F3339" s="52" t="str">
        <f aca="false">IF(L3339="","",INDEX(ポート振替表!$K$5:$K$3507,$L3339)&amp;" "&amp;INDEX(ポート振替表!$L$5:$L$3507,$L3339)&amp;"  ⇔  "&amp;INDEX(ポート振替表!$H$5:$H$3507,$L3339)&amp;" "&amp;INDEX(ポート振替表!$I$5:$I$3507,$L3339))</f>
        <v/>
      </c>
      <c r="G3339" s="57" t="s">
        <v>158</v>
      </c>
      <c r="H3339" s="32" t="str">
        <f aca="false">IF(L3339="","",INDEX(ポート振替表!$N$5:$N$3507,$L3339)&amp;"")</f>
        <v/>
      </c>
      <c r="I3339" s="32" t="str">
        <f aca="false">IF(L3339="","",INDEX(ポート振替表!$P$5:$P$3507,$L3339)&amp;"")</f>
        <v/>
      </c>
      <c r="J3339" s="60" t="str">
        <f aca="false">IF(L3339="","",INDEX(ポート振替表!$M$5:$M$3507,$L3339)&amp;"")</f>
        <v/>
      </c>
      <c r="K3339" s="52" t="str">
        <f aca="false">IF(L3339="","",E3339&amp;CHAR(10)&amp;INDEX(ポート振替表!$K$5:$K$3507,$L3339)&amp;" "&amp;INDEX(ポート振替表!$L$5:$L$3507,$L3339)&amp;CHAR(10)&amp;"⇔ "&amp;INDEX(ポート振替表!$H$5:$H$3507,$L3339)&amp;" "&amp;INDEX(ポート振替表!$I$5:$I$3507,$L3339))</f>
        <v/>
      </c>
      <c r="L3339" s="47" t="str">
        <f aca="false">IFERROR(MATCH(ROW()-4,ポート振替表!$V$5:$V$3507,0),"")</f>
        <v/>
      </c>
    </row>
    <row r="3340" customFormat="false" ht="16.4" hidden="false" customHeight="false" outlineLevel="0" collapsed="false">
      <c r="A3340" s="32" t="str">
        <f aca="false">IF(L3340="","",ROW()-4)</f>
        <v/>
      </c>
      <c r="B3340" s="58" t="str">
        <f aca="false">IF(L3340="","",IF(INDEX(ポート振替表!$W$5:$W$3507,$L3340)="","(なし)",INDEX(ポート振替表!$W$5:$W$3507,$L3340)&amp;""))</f>
        <v/>
      </c>
      <c r="C3340" s="52" t="str">
        <f aca="false">IF(L3340="","",INDEX(ポート振替表!$B$5:$B$3507,$L3340)&amp;" "&amp;INDEX(ポート振替表!$C$5:$C$3507,$L3340)&amp;"  ⇔  "&amp;INDEX(ポート振替表!$H$5:$H$3507,$L3340)&amp;" "&amp;INDEX(ポート振替表!$I$5:$I$3507,$L3340))</f>
        <v/>
      </c>
      <c r="D3340" s="57" t="s">
        <v>158</v>
      </c>
      <c r="E3340" s="59" t="str">
        <f aca="false">IF(L3340="","",IF(INDEX(ポート振替表!$O$5:$O$3507,$L3340)="","(未設定)",INDEX(ポート振替表!$O$5:$O$3507,$L3340)&amp;""))</f>
        <v/>
      </c>
      <c r="F3340" s="52" t="str">
        <f aca="false">IF(L3340="","",INDEX(ポート振替表!$K$5:$K$3507,$L3340)&amp;" "&amp;INDEX(ポート振替表!$L$5:$L$3507,$L3340)&amp;"  ⇔  "&amp;INDEX(ポート振替表!$H$5:$H$3507,$L3340)&amp;" "&amp;INDEX(ポート振替表!$I$5:$I$3507,$L3340))</f>
        <v/>
      </c>
      <c r="G3340" s="57" t="s">
        <v>158</v>
      </c>
      <c r="H3340" s="32" t="str">
        <f aca="false">IF(L3340="","",INDEX(ポート振替表!$N$5:$N$3507,$L3340)&amp;"")</f>
        <v/>
      </c>
      <c r="I3340" s="32" t="str">
        <f aca="false">IF(L3340="","",INDEX(ポート振替表!$P$5:$P$3507,$L3340)&amp;"")</f>
        <v/>
      </c>
      <c r="J3340" s="60" t="str">
        <f aca="false">IF(L3340="","",INDEX(ポート振替表!$M$5:$M$3507,$L3340)&amp;"")</f>
        <v/>
      </c>
      <c r="K3340" s="52" t="str">
        <f aca="false">IF(L3340="","",E3340&amp;CHAR(10)&amp;INDEX(ポート振替表!$K$5:$K$3507,$L3340)&amp;" "&amp;INDEX(ポート振替表!$L$5:$L$3507,$L3340)&amp;CHAR(10)&amp;"⇔ "&amp;INDEX(ポート振替表!$H$5:$H$3507,$L3340)&amp;" "&amp;INDEX(ポート振替表!$I$5:$I$3507,$L3340))</f>
        <v/>
      </c>
      <c r="L3340" s="47" t="str">
        <f aca="false">IFERROR(MATCH(ROW()-4,ポート振替表!$V$5:$V$3507,0),"")</f>
        <v/>
      </c>
    </row>
    <row r="3341" customFormat="false" ht="16.4" hidden="false" customHeight="false" outlineLevel="0" collapsed="false">
      <c r="A3341" s="32" t="str">
        <f aca="false">IF(L3341="","",ROW()-4)</f>
        <v/>
      </c>
      <c r="B3341" s="58" t="str">
        <f aca="false">IF(L3341="","",IF(INDEX(ポート振替表!$W$5:$W$3507,$L3341)="","(なし)",INDEX(ポート振替表!$W$5:$W$3507,$L3341)&amp;""))</f>
        <v/>
      </c>
      <c r="C3341" s="52" t="str">
        <f aca="false">IF(L3341="","",INDEX(ポート振替表!$B$5:$B$3507,$L3341)&amp;" "&amp;INDEX(ポート振替表!$C$5:$C$3507,$L3341)&amp;"  ⇔  "&amp;INDEX(ポート振替表!$H$5:$H$3507,$L3341)&amp;" "&amp;INDEX(ポート振替表!$I$5:$I$3507,$L3341))</f>
        <v/>
      </c>
      <c r="D3341" s="57" t="s">
        <v>158</v>
      </c>
      <c r="E3341" s="59" t="str">
        <f aca="false">IF(L3341="","",IF(INDEX(ポート振替表!$O$5:$O$3507,$L3341)="","(未設定)",INDEX(ポート振替表!$O$5:$O$3507,$L3341)&amp;""))</f>
        <v/>
      </c>
      <c r="F3341" s="52" t="str">
        <f aca="false">IF(L3341="","",INDEX(ポート振替表!$K$5:$K$3507,$L3341)&amp;" "&amp;INDEX(ポート振替表!$L$5:$L$3507,$L3341)&amp;"  ⇔  "&amp;INDEX(ポート振替表!$H$5:$H$3507,$L3341)&amp;" "&amp;INDEX(ポート振替表!$I$5:$I$3507,$L3341))</f>
        <v/>
      </c>
      <c r="G3341" s="57" t="s">
        <v>158</v>
      </c>
      <c r="H3341" s="32" t="str">
        <f aca="false">IF(L3341="","",INDEX(ポート振替表!$N$5:$N$3507,$L3341)&amp;"")</f>
        <v/>
      </c>
      <c r="I3341" s="32" t="str">
        <f aca="false">IF(L3341="","",INDEX(ポート振替表!$P$5:$P$3507,$L3341)&amp;"")</f>
        <v/>
      </c>
      <c r="J3341" s="60" t="str">
        <f aca="false">IF(L3341="","",INDEX(ポート振替表!$M$5:$M$3507,$L3341)&amp;"")</f>
        <v/>
      </c>
      <c r="K3341" s="52" t="str">
        <f aca="false">IF(L3341="","",E3341&amp;CHAR(10)&amp;INDEX(ポート振替表!$K$5:$K$3507,$L3341)&amp;" "&amp;INDEX(ポート振替表!$L$5:$L$3507,$L3341)&amp;CHAR(10)&amp;"⇔ "&amp;INDEX(ポート振替表!$H$5:$H$3507,$L3341)&amp;" "&amp;INDEX(ポート振替表!$I$5:$I$3507,$L3341))</f>
        <v/>
      </c>
      <c r="L3341" s="47" t="str">
        <f aca="false">IFERROR(MATCH(ROW()-4,ポート振替表!$V$5:$V$3507,0),"")</f>
        <v/>
      </c>
    </row>
    <row r="3342" customFormat="false" ht="16.4" hidden="false" customHeight="false" outlineLevel="0" collapsed="false">
      <c r="A3342" s="32" t="str">
        <f aca="false">IF(L3342="","",ROW()-4)</f>
        <v/>
      </c>
      <c r="B3342" s="58" t="str">
        <f aca="false">IF(L3342="","",IF(INDEX(ポート振替表!$W$5:$W$3507,$L3342)="","(なし)",INDEX(ポート振替表!$W$5:$W$3507,$L3342)&amp;""))</f>
        <v/>
      </c>
      <c r="C3342" s="52" t="str">
        <f aca="false">IF(L3342="","",INDEX(ポート振替表!$B$5:$B$3507,$L3342)&amp;" "&amp;INDEX(ポート振替表!$C$5:$C$3507,$L3342)&amp;"  ⇔  "&amp;INDEX(ポート振替表!$H$5:$H$3507,$L3342)&amp;" "&amp;INDEX(ポート振替表!$I$5:$I$3507,$L3342))</f>
        <v/>
      </c>
      <c r="D3342" s="57" t="s">
        <v>158</v>
      </c>
      <c r="E3342" s="59" t="str">
        <f aca="false">IF(L3342="","",IF(INDEX(ポート振替表!$O$5:$O$3507,$L3342)="","(未設定)",INDEX(ポート振替表!$O$5:$O$3507,$L3342)&amp;""))</f>
        <v/>
      </c>
      <c r="F3342" s="52" t="str">
        <f aca="false">IF(L3342="","",INDEX(ポート振替表!$K$5:$K$3507,$L3342)&amp;" "&amp;INDEX(ポート振替表!$L$5:$L$3507,$L3342)&amp;"  ⇔  "&amp;INDEX(ポート振替表!$H$5:$H$3507,$L3342)&amp;" "&amp;INDEX(ポート振替表!$I$5:$I$3507,$L3342))</f>
        <v/>
      </c>
      <c r="G3342" s="57" t="s">
        <v>158</v>
      </c>
      <c r="H3342" s="32" t="str">
        <f aca="false">IF(L3342="","",INDEX(ポート振替表!$N$5:$N$3507,$L3342)&amp;"")</f>
        <v/>
      </c>
      <c r="I3342" s="32" t="str">
        <f aca="false">IF(L3342="","",INDEX(ポート振替表!$P$5:$P$3507,$L3342)&amp;"")</f>
        <v/>
      </c>
      <c r="J3342" s="60" t="str">
        <f aca="false">IF(L3342="","",INDEX(ポート振替表!$M$5:$M$3507,$L3342)&amp;"")</f>
        <v/>
      </c>
      <c r="K3342" s="52" t="str">
        <f aca="false">IF(L3342="","",E3342&amp;CHAR(10)&amp;INDEX(ポート振替表!$K$5:$K$3507,$L3342)&amp;" "&amp;INDEX(ポート振替表!$L$5:$L$3507,$L3342)&amp;CHAR(10)&amp;"⇔ "&amp;INDEX(ポート振替表!$H$5:$H$3507,$L3342)&amp;" "&amp;INDEX(ポート振替表!$I$5:$I$3507,$L3342))</f>
        <v/>
      </c>
      <c r="L3342" s="47" t="str">
        <f aca="false">IFERROR(MATCH(ROW()-4,ポート振替表!$V$5:$V$3507,0),"")</f>
        <v/>
      </c>
    </row>
    <row r="3343" customFormat="false" ht="16.4" hidden="false" customHeight="false" outlineLevel="0" collapsed="false">
      <c r="A3343" s="32" t="str">
        <f aca="false">IF(L3343="","",ROW()-4)</f>
        <v/>
      </c>
      <c r="B3343" s="58" t="str">
        <f aca="false">IF(L3343="","",IF(INDEX(ポート振替表!$W$5:$W$3507,$L3343)="","(なし)",INDEX(ポート振替表!$W$5:$W$3507,$L3343)&amp;""))</f>
        <v/>
      </c>
      <c r="C3343" s="52" t="str">
        <f aca="false">IF(L3343="","",INDEX(ポート振替表!$B$5:$B$3507,$L3343)&amp;" "&amp;INDEX(ポート振替表!$C$5:$C$3507,$L3343)&amp;"  ⇔  "&amp;INDEX(ポート振替表!$H$5:$H$3507,$L3343)&amp;" "&amp;INDEX(ポート振替表!$I$5:$I$3507,$L3343))</f>
        <v/>
      </c>
      <c r="D3343" s="57" t="s">
        <v>158</v>
      </c>
      <c r="E3343" s="59" t="str">
        <f aca="false">IF(L3343="","",IF(INDEX(ポート振替表!$O$5:$O$3507,$L3343)="","(未設定)",INDEX(ポート振替表!$O$5:$O$3507,$L3343)&amp;""))</f>
        <v/>
      </c>
      <c r="F3343" s="52" t="str">
        <f aca="false">IF(L3343="","",INDEX(ポート振替表!$K$5:$K$3507,$L3343)&amp;" "&amp;INDEX(ポート振替表!$L$5:$L$3507,$L3343)&amp;"  ⇔  "&amp;INDEX(ポート振替表!$H$5:$H$3507,$L3343)&amp;" "&amp;INDEX(ポート振替表!$I$5:$I$3507,$L3343))</f>
        <v/>
      </c>
      <c r="G3343" s="57" t="s">
        <v>158</v>
      </c>
      <c r="H3343" s="32" t="str">
        <f aca="false">IF(L3343="","",INDEX(ポート振替表!$N$5:$N$3507,$L3343)&amp;"")</f>
        <v/>
      </c>
      <c r="I3343" s="32" t="str">
        <f aca="false">IF(L3343="","",INDEX(ポート振替表!$P$5:$P$3507,$L3343)&amp;"")</f>
        <v/>
      </c>
      <c r="J3343" s="60" t="str">
        <f aca="false">IF(L3343="","",INDEX(ポート振替表!$M$5:$M$3507,$L3343)&amp;"")</f>
        <v/>
      </c>
      <c r="K3343" s="52" t="str">
        <f aca="false">IF(L3343="","",E3343&amp;CHAR(10)&amp;INDEX(ポート振替表!$K$5:$K$3507,$L3343)&amp;" "&amp;INDEX(ポート振替表!$L$5:$L$3507,$L3343)&amp;CHAR(10)&amp;"⇔ "&amp;INDEX(ポート振替表!$H$5:$H$3507,$L3343)&amp;" "&amp;INDEX(ポート振替表!$I$5:$I$3507,$L3343))</f>
        <v/>
      </c>
      <c r="L3343" s="47" t="str">
        <f aca="false">IFERROR(MATCH(ROW()-4,ポート振替表!$V$5:$V$3507,0),"")</f>
        <v/>
      </c>
    </row>
    <row r="3344" customFormat="false" ht="16.4" hidden="false" customHeight="false" outlineLevel="0" collapsed="false">
      <c r="A3344" s="32" t="str">
        <f aca="false">IF(L3344="","",ROW()-4)</f>
        <v/>
      </c>
      <c r="B3344" s="58" t="str">
        <f aca="false">IF(L3344="","",IF(INDEX(ポート振替表!$W$5:$W$3507,$L3344)="","(なし)",INDEX(ポート振替表!$W$5:$W$3507,$L3344)&amp;""))</f>
        <v/>
      </c>
      <c r="C3344" s="52" t="str">
        <f aca="false">IF(L3344="","",INDEX(ポート振替表!$B$5:$B$3507,$L3344)&amp;" "&amp;INDEX(ポート振替表!$C$5:$C$3507,$L3344)&amp;"  ⇔  "&amp;INDEX(ポート振替表!$H$5:$H$3507,$L3344)&amp;" "&amp;INDEX(ポート振替表!$I$5:$I$3507,$L3344))</f>
        <v/>
      </c>
      <c r="D3344" s="57" t="s">
        <v>158</v>
      </c>
      <c r="E3344" s="59" t="str">
        <f aca="false">IF(L3344="","",IF(INDEX(ポート振替表!$O$5:$O$3507,$L3344)="","(未設定)",INDEX(ポート振替表!$O$5:$O$3507,$L3344)&amp;""))</f>
        <v/>
      </c>
      <c r="F3344" s="52" t="str">
        <f aca="false">IF(L3344="","",INDEX(ポート振替表!$K$5:$K$3507,$L3344)&amp;" "&amp;INDEX(ポート振替表!$L$5:$L$3507,$L3344)&amp;"  ⇔  "&amp;INDEX(ポート振替表!$H$5:$H$3507,$L3344)&amp;" "&amp;INDEX(ポート振替表!$I$5:$I$3507,$L3344))</f>
        <v/>
      </c>
      <c r="G3344" s="57" t="s">
        <v>158</v>
      </c>
      <c r="H3344" s="32" t="str">
        <f aca="false">IF(L3344="","",INDEX(ポート振替表!$N$5:$N$3507,$L3344)&amp;"")</f>
        <v/>
      </c>
      <c r="I3344" s="32" t="str">
        <f aca="false">IF(L3344="","",INDEX(ポート振替表!$P$5:$P$3507,$L3344)&amp;"")</f>
        <v/>
      </c>
      <c r="J3344" s="60" t="str">
        <f aca="false">IF(L3344="","",INDEX(ポート振替表!$M$5:$M$3507,$L3344)&amp;"")</f>
        <v/>
      </c>
      <c r="K3344" s="52" t="str">
        <f aca="false">IF(L3344="","",E3344&amp;CHAR(10)&amp;INDEX(ポート振替表!$K$5:$K$3507,$L3344)&amp;" "&amp;INDEX(ポート振替表!$L$5:$L$3507,$L3344)&amp;CHAR(10)&amp;"⇔ "&amp;INDEX(ポート振替表!$H$5:$H$3507,$L3344)&amp;" "&amp;INDEX(ポート振替表!$I$5:$I$3507,$L3344))</f>
        <v/>
      </c>
      <c r="L3344" s="47" t="str">
        <f aca="false">IFERROR(MATCH(ROW()-4,ポート振替表!$V$5:$V$3507,0),"")</f>
        <v/>
      </c>
    </row>
    <row r="3345" customFormat="false" ht="16.4" hidden="false" customHeight="false" outlineLevel="0" collapsed="false">
      <c r="A3345" s="32" t="str">
        <f aca="false">IF(L3345="","",ROW()-4)</f>
        <v/>
      </c>
      <c r="B3345" s="58" t="str">
        <f aca="false">IF(L3345="","",IF(INDEX(ポート振替表!$W$5:$W$3507,$L3345)="","(なし)",INDEX(ポート振替表!$W$5:$W$3507,$L3345)&amp;""))</f>
        <v/>
      </c>
      <c r="C3345" s="52" t="str">
        <f aca="false">IF(L3345="","",INDEX(ポート振替表!$B$5:$B$3507,$L3345)&amp;" "&amp;INDEX(ポート振替表!$C$5:$C$3507,$L3345)&amp;"  ⇔  "&amp;INDEX(ポート振替表!$H$5:$H$3507,$L3345)&amp;" "&amp;INDEX(ポート振替表!$I$5:$I$3507,$L3345))</f>
        <v/>
      </c>
      <c r="D3345" s="57" t="s">
        <v>158</v>
      </c>
      <c r="E3345" s="59" t="str">
        <f aca="false">IF(L3345="","",IF(INDEX(ポート振替表!$O$5:$O$3507,$L3345)="","(未設定)",INDEX(ポート振替表!$O$5:$O$3507,$L3345)&amp;""))</f>
        <v/>
      </c>
      <c r="F3345" s="52" t="str">
        <f aca="false">IF(L3345="","",INDEX(ポート振替表!$K$5:$K$3507,$L3345)&amp;" "&amp;INDEX(ポート振替表!$L$5:$L$3507,$L3345)&amp;"  ⇔  "&amp;INDEX(ポート振替表!$H$5:$H$3507,$L3345)&amp;" "&amp;INDEX(ポート振替表!$I$5:$I$3507,$L3345))</f>
        <v/>
      </c>
      <c r="G3345" s="57" t="s">
        <v>158</v>
      </c>
      <c r="H3345" s="32" t="str">
        <f aca="false">IF(L3345="","",INDEX(ポート振替表!$N$5:$N$3507,$L3345)&amp;"")</f>
        <v/>
      </c>
      <c r="I3345" s="32" t="str">
        <f aca="false">IF(L3345="","",INDEX(ポート振替表!$P$5:$P$3507,$L3345)&amp;"")</f>
        <v/>
      </c>
      <c r="J3345" s="60" t="str">
        <f aca="false">IF(L3345="","",INDEX(ポート振替表!$M$5:$M$3507,$L3345)&amp;"")</f>
        <v/>
      </c>
      <c r="K3345" s="52" t="str">
        <f aca="false">IF(L3345="","",E3345&amp;CHAR(10)&amp;INDEX(ポート振替表!$K$5:$K$3507,$L3345)&amp;" "&amp;INDEX(ポート振替表!$L$5:$L$3507,$L3345)&amp;CHAR(10)&amp;"⇔ "&amp;INDEX(ポート振替表!$H$5:$H$3507,$L3345)&amp;" "&amp;INDEX(ポート振替表!$I$5:$I$3507,$L3345))</f>
        <v/>
      </c>
      <c r="L3345" s="47" t="str">
        <f aca="false">IFERROR(MATCH(ROW()-4,ポート振替表!$V$5:$V$3507,0),"")</f>
        <v/>
      </c>
    </row>
    <row r="3346" customFormat="false" ht="16.4" hidden="false" customHeight="false" outlineLevel="0" collapsed="false">
      <c r="A3346" s="32" t="str">
        <f aca="false">IF(L3346="","",ROW()-4)</f>
        <v/>
      </c>
      <c r="B3346" s="58" t="str">
        <f aca="false">IF(L3346="","",IF(INDEX(ポート振替表!$W$5:$W$3507,$L3346)="","(なし)",INDEX(ポート振替表!$W$5:$W$3507,$L3346)&amp;""))</f>
        <v/>
      </c>
      <c r="C3346" s="52" t="str">
        <f aca="false">IF(L3346="","",INDEX(ポート振替表!$B$5:$B$3507,$L3346)&amp;" "&amp;INDEX(ポート振替表!$C$5:$C$3507,$L3346)&amp;"  ⇔  "&amp;INDEX(ポート振替表!$H$5:$H$3507,$L3346)&amp;" "&amp;INDEX(ポート振替表!$I$5:$I$3507,$L3346))</f>
        <v/>
      </c>
      <c r="D3346" s="57" t="s">
        <v>158</v>
      </c>
      <c r="E3346" s="59" t="str">
        <f aca="false">IF(L3346="","",IF(INDEX(ポート振替表!$O$5:$O$3507,$L3346)="","(未設定)",INDEX(ポート振替表!$O$5:$O$3507,$L3346)&amp;""))</f>
        <v/>
      </c>
      <c r="F3346" s="52" t="str">
        <f aca="false">IF(L3346="","",INDEX(ポート振替表!$K$5:$K$3507,$L3346)&amp;" "&amp;INDEX(ポート振替表!$L$5:$L$3507,$L3346)&amp;"  ⇔  "&amp;INDEX(ポート振替表!$H$5:$H$3507,$L3346)&amp;" "&amp;INDEX(ポート振替表!$I$5:$I$3507,$L3346))</f>
        <v/>
      </c>
      <c r="G3346" s="57" t="s">
        <v>158</v>
      </c>
      <c r="H3346" s="32" t="str">
        <f aca="false">IF(L3346="","",INDEX(ポート振替表!$N$5:$N$3507,$L3346)&amp;"")</f>
        <v/>
      </c>
      <c r="I3346" s="32" t="str">
        <f aca="false">IF(L3346="","",INDEX(ポート振替表!$P$5:$P$3507,$L3346)&amp;"")</f>
        <v/>
      </c>
      <c r="J3346" s="60" t="str">
        <f aca="false">IF(L3346="","",INDEX(ポート振替表!$M$5:$M$3507,$L3346)&amp;"")</f>
        <v/>
      </c>
      <c r="K3346" s="52" t="str">
        <f aca="false">IF(L3346="","",E3346&amp;CHAR(10)&amp;INDEX(ポート振替表!$K$5:$K$3507,$L3346)&amp;" "&amp;INDEX(ポート振替表!$L$5:$L$3507,$L3346)&amp;CHAR(10)&amp;"⇔ "&amp;INDEX(ポート振替表!$H$5:$H$3507,$L3346)&amp;" "&amp;INDEX(ポート振替表!$I$5:$I$3507,$L3346))</f>
        <v/>
      </c>
      <c r="L3346" s="47" t="str">
        <f aca="false">IFERROR(MATCH(ROW()-4,ポート振替表!$V$5:$V$3507,0),"")</f>
        <v/>
      </c>
    </row>
    <row r="3347" customFormat="false" ht="16.4" hidden="false" customHeight="false" outlineLevel="0" collapsed="false">
      <c r="A3347" s="32" t="str">
        <f aca="false">IF(L3347="","",ROW()-4)</f>
        <v/>
      </c>
      <c r="B3347" s="58" t="str">
        <f aca="false">IF(L3347="","",IF(INDEX(ポート振替表!$W$5:$W$3507,$L3347)="","(なし)",INDEX(ポート振替表!$W$5:$W$3507,$L3347)&amp;""))</f>
        <v/>
      </c>
      <c r="C3347" s="52" t="str">
        <f aca="false">IF(L3347="","",INDEX(ポート振替表!$B$5:$B$3507,$L3347)&amp;" "&amp;INDEX(ポート振替表!$C$5:$C$3507,$L3347)&amp;"  ⇔  "&amp;INDEX(ポート振替表!$H$5:$H$3507,$L3347)&amp;" "&amp;INDEX(ポート振替表!$I$5:$I$3507,$L3347))</f>
        <v/>
      </c>
      <c r="D3347" s="57" t="s">
        <v>158</v>
      </c>
      <c r="E3347" s="59" t="str">
        <f aca="false">IF(L3347="","",IF(INDEX(ポート振替表!$O$5:$O$3507,$L3347)="","(未設定)",INDEX(ポート振替表!$O$5:$O$3507,$L3347)&amp;""))</f>
        <v/>
      </c>
      <c r="F3347" s="52" t="str">
        <f aca="false">IF(L3347="","",INDEX(ポート振替表!$K$5:$K$3507,$L3347)&amp;" "&amp;INDEX(ポート振替表!$L$5:$L$3507,$L3347)&amp;"  ⇔  "&amp;INDEX(ポート振替表!$H$5:$H$3507,$L3347)&amp;" "&amp;INDEX(ポート振替表!$I$5:$I$3507,$L3347))</f>
        <v/>
      </c>
      <c r="G3347" s="57" t="s">
        <v>158</v>
      </c>
      <c r="H3347" s="32" t="str">
        <f aca="false">IF(L3347="","",INDEX(ポート振替表!$N$5:$N$3507,$L3347)&amp;"")</f>
        <v/>
      </c>
      <c r="I3347" s="32" t="str">
        <f aca="false">IF(L3347="","",INDEX(ポート振替表!$P$5:$P$3507,$L3347)&amp;"")</f>
        <v/>
      </c>
      <c r="J3347" s="60" t="str">
        <f aca="false">IF(L3347="","",INDEX(ポート振替表!$M$5:$M$3507,$L3347)&amp;"")</f>
        <v/>
      </c>
      <c r="K3347" s="52" t="str">
        <f aca="false">IF(L3347="","",E3347&amp;CHAR(10)&amp;INDEX(ポート振替表!$K$5:$K$3507,$L3347)&amp;" "&amp;INDEX(ポート振替表!$L$5:$L$3507,$L3347)&amp;CHAR(10)&amp;"⇔ "&amp;INDEX(ポート振替表!$H$5:$H$3507,$L3347)&amp;" "&amp;INDEX(ポート振替表!$I$5:$I$3507,$L3347))</f>
        <v/>
      </c>
      <c r="L3347" s="47" t="str">
        <f aca="false">IFERROR(MATCH(ROW()-4,ポート振替表!$V$5:$V$3507,0),"")</f>
        <v/>
      </c>
    </row>
    <row r="3348" customFormat="false" ht="16.4" hidden="false" customHeight="false" outlineLevel="0" collapsed="false">
      <c r="A3348" s="32" t="str">
        <f aca="false">IF(L3348="","",ROW()-4)</f>
        <v/>
      </c>
      <c r="B3348" s="58" t="str">
        <f aca="false">IF(L3348="","",IF(INDEX(ポート振替表!$W$5:$W$3507,$L3348)="","(なし)",INDEX(ポート振替表!$W$5:$W$3507,$L3348)&amp;""))</f>
        <v/>
      </c>
      <c r="C3348" s="52" t="str">
        <f aca="false">IF(L3348="","",INDEX(ポート振替表!$B$5:$B$3507,$L3348)&amp;" "&amp;INDEX(ポート振替表!$C$5:$C$3507,$L3348)&amp;"  ⇔  "&amp;INDEX(ポート振替表!$H$5:$H$3507,$L3348)&amp;" "&amp;INDEX(ポート振替表!$I$5:$I$3507,$L3348))</f>
        <v/>
      </c>
      <c r="D3348" s="57" t="s">
        <v>158</v>
      </c>
      <c r="E3348" s="59" t="str">
        <f aca="false">IF(L3348="","",IF(INDEX(ポート振替表!$O$5:$O$3507,$L3348)="","(未設定)",INDEX(ポート振替表!$O$5:$O$3507,$L3348)&amp;""))</f>
        <v/>
      </c>
      <c r="F3348" s="52" t="str">
        <f aca="false">IF(L3348="","",INDEX(ポート振替表!$K$5:$K$3507,$L3348)&amp;" "&amp;INDEX(ポート振替表!$L$5:$L$3507,$L3348)&amp;"  ⇔  "&amp;INDEX(ポート振替表!$H$5:$H$3507,$L3348)&amp;" "&amp;INDEX(ポート振替表!$I$5:$I$3507,$L3348))</f>
        <v/>
      </c>
      <c r="G3348" s="57" t="s">
        <v>158</v>
      </c>
      <c r="H3348" s="32" t="str">
        <f aca="false">IF(L3348="","",INDEX(ポート振替表!$N$5:$N$3507,$L3348)&amp;"")</f>
        <v/>
      </c>
      <c r="I3348" s="32" t="str">
        <f aca="false">IF(L3348="","",INDEX(ポート振替表!$P$5:$P$3507,$L3348)&amp;"")</f>
        <v/>
      </c>
      <c r="J3348" s="60" t="str">
        <f aca="false">IF(L3348="","",INDEX(ポート振替表!$M$5:$M$3507,$L3348)&amp;"")</f>
        <v/>
      </c>
      <c r="K3348" s="52" t="str">
        <f aca="false">IF(L3348="","",E3348&amp;CHAR(10)&amp;INDEX(ポート振替表!$K$5:$K$3507,$L3348)&amp;" "&amp;INDEX(ポート振替表!$L$5:$L$3507,$L3348)&amp;CHAR(10)&amp;"⇔ "&amp;INDEX(ポート振替表!$H$5:$H$3507,$L3348)&amp;" "&amp;INDEX(ポート振替表!$I$5:$I$3507,$L3348))</f>
        <v/>
      </c>
      <c r="L3348" s="47" t="str">
        <f aca="false">IFERROR(MATCH(ROW()-4,ポート振替表!$V$5:$V$3507,0),"")</f>
        <v/>
      </c>
    </row>
    <row r="3349" customFormat="false" ht="16.4" hidden="false" customHeight="false" outlineLevel="0" collapsed="false">
      <c r="A3349" s="32" t="str">
        <f aca="false">IF(L3349="","",ROW()-4)</f>
        <v/>
      </c>
      <c r="B3349" s="58" t="str">
        <f aca="false">IF(L3349="","",IF(INDEX(ポート振替表!$W$5:$W$3507,$L3349)="","(なし)",INDEX(ポート振替表!$W$5:$W$3507,$L3349)&amp;""))</f>
        <v/>
      </c>
      <c r="C3349" s="52" t="str">
        <f aca="false">IF(L3349="","",INDEX(ポート振替表!$B$5:$B$3507,$L3349)&amp;" "&amp;INDEX(ポート振替表!$C$5:$C$3507,$L3349)&amp;"  ⇔  "&amp;INDEX(ポート振替表!$H$5:$H$3507,$L3349)&amp;" "&amp;INDEX(ポート振替表!$I$5:$I$3507,$L3349))</f>
        <v/>
      </c>
      <c r="D3349" s="57" t="s">
        <v>158</v>
      </c>
      <c r="E3349" s="59" t="str">
        <f aca="false">IF(L3349="","",IF(INDEX(ポート振替表!$O$5:$O$3507,$L3349)="","(未設定)",INDEX(ポート振替表!$O$5:$O$3507,$L3349)&amp;""))</f>
        <v/>
      </c>
      <c r="F3349" s="52" t="str">
        <f aca="false">IF(L3349="","",INDEX(ポート振替表!$K$5:$K$3507,$L3349)&amp;" "&amp;INDEX(ポート振替表!$L$5:$L$3507,$L3349)&amp;"  ⇔  "&amp;INDEX(ポート振替表!$H$5:$H$3507,$L3349)&amp;" "&amp;INDEX(ポート振替表!$I$5:$I$3507,$L3349))</f>
        <v/>
      </c>
      <c r="G3349" s="57" t="s">
        <v>158</v>
      </c>
      <c r="H3349" s="32" t="str">
        <f aca="false">IF(L3349="","",INDEX(ポート振替表!$N$5:$N$3507,$L3349)&amp;"")</f>
        <v/>
      </c>
      <c r="I3349" s="32" t="str">
        <f aca="false">IF(L3349="","",INDEX(ポート振替表!$P$5:$P$3507,$L3349)&amp;"")</f>
        <v/>
      </c>
      <c r="J3349" s="60" t="str">
        <f aca="false">IF(L3349="","",INDEX(ポート振替表!$M$5:$M$3507,$L3349)&amp;"")</f>
        <v/>
      </c>
      <c r="K3349" s="52" t="str">
        <f aca="false">IF(L3349="","",E3349&amp;CHAR(10)&amp;INDEX(ポート振替表!$K$5:$K$3507,$L3349)&amp;" "&amp;INDEX(ポート振替表!$L$5:$L$3507,$L3349)&amp;CHAR(10)&amp;"⇔ "&amp;INDEX(ポート振替表!$H$5:$H$3507,$L3349)&amp;" "&amp;INDEX(ポート振替表!$I$5:$I$3507,$L3349))</f>
        <v/>
      </c>
      <c r="L3349" s="47" t="str">
        <f aca="false">IFERROR(MATCH(ROW()-4,ポート振替表!$V$5:$V$3507,0),"")</f>
        <v/>
      </c>
    </row>
    <row r="3350" customFormat="false" ht="16.4" hidden="false" customHeight="false" outlineLevel="0" collapsed="false">
      <c r="A3350" s="32" t="str">
        <f aca="false">IF(L3350="","",ROW()-4)</f>
        <v/>
      </c>
      <c r="B3350" s="58" t="str">
        <f aca="false">IF(L3350="","",IF(INDEX(ポート振替表!$W$5:$W$3507,$L3350)="","(なし)",INDEX(ポート振替表!$W$5:$W$3507,$L3350)&amp;""))</f>
        <v/>
      </c>
      <c r="C3350" s="52" t="str">
        <f aca="false">IF(L3350="","",INDEX(ポート振替表!$B$5:$B$3507,$L3350)&amp;" "&amp;INDEX(ポート振替表!$C$5:$C$3507,$L3350)&amp;"  ⇔  "&amp;INDEX(ポート振替表!$H$5:$H$3507,$L3350)&amp;" "&amp;INDEX(ポート振替表!$I$5:$I$3507,$L3350))</f>
        <v/>
      </c>
      <c r="D3350" s="57" t="s">
        <v>158</v>
      </c>
      <c r="E3350" s="59" t="str">
        <f aca="false">IF(L3350="","",IF(INDEX(ポート振替表!$O$5:$O$3507,$L3350)="","(未設定)",INDEX(ポート振替表!$O$5:$O$3507,$L3350)&amp;""))</f>
        <v/>
      </c>
      <c r="F3350" s="52" t="str">
        <f aca="false">IF(L3350="","",INDEX(ポート振替表!$K$5:$K$3507,$L3350)&amp;" "&amp;INDEX(ポート振替表!$L$5:$L$3507,$L3350)&amp;"  ⇔  "&amp;INDEX(ポート振替表!$H$5:$H$3507,$L3350)&amp;" "&amp;INDEX(ポート振替表!$I$5:$I$3507,$L3350))</f>
        <v/>
      </c>
      <c r="G3350" s="57" t="s">
        <v>158</v>
      </c>
      <c r="H3350" s="32" t="str">
        <f aca="false">IF(L3350="","",INDEX(ポート振替表!$N$5:$N$3507,$L3350)&amp;"")</f>
        <v/>
      </c>
      <c r="I3350" s="32" t="str">
        <f aca="false">IF(L3350="","",INDEX(ポート振替表!$P$5:$P$3507,$L3350)&amp;"")</f>
        <v/>
      </c>
      <c r="J3350" s="60" t="str">
        <f aca="false">IF(L3350="","",INDEX(ポート振替表!$M$5:$M$3507,$L3350)&amp;"")</f>
        <v/>
      </c>
      <c r="K3350" s="52" t="str">
        <f aca="false">IF(L3350="","",E3350&amp;CHAR(10)&amp;INDEX(ポート振替表!$K$5:$K$3507,$L3350)&amp;" "&amp;INDEX(ポート振替表!$L$5:$L$3507,$L3350)&amp;CHAR(10)&amp;"⇔ "&amp;INDEX(ポート振替表!$H$5:$H$3507,$L3350)&amp;" "&amp;INDEX(ポート振替表!$I$5:$I$3507,$L3350))</f>
        <v/>
      </c>
      <c r="L3350" s="47" t="str">
        <f aca="false">IFERROR(MATCH(ROW()-4,ポート振替表!$V$5:$V$3507,0),"")</f>
        <v/>
      </c>
    </row>
    <row r="3351" customFormat="false" ht="16.4" hidden="false" customHeight="false" outlineLevel="0" collapsed="false">
      <c r="A3351" s="32" t="str">
        <f aca="false">IF(L3351="","",ROW()-4)</f>
        <v/>
      </c>
      <c r="B3351" s="58" t="str">
        <f aca="false">IF(L3351="","",IF(INDEX(ポート振替表!$W$5:$W$3507,$L3351)="","(なし)",INDEX(ポート振替表!$W$5:$W$3507,$L3351)&amp;""))</f>
        <v/>
      </c>
      <c r="C3351" s="52" t="str">
        <f aca="false">IF(L3351="","",INDEX(ポート振替表!$B$5:$B$3507,$L3351)&amp;" "&amp;INDEX(ポート振替表!$C$5:$C$3507,$L3351)&amp;"  ⇔  "&amp;INDEX(ポート振替表!$H$5:$H$3507,$L3351)&amp;" "&amp;INDEX(ポート振替表!$I$5:$I$3507,$L3351))</f>
        <v/>
      </c>
      <c r="D3351" s="57" t="s">
        <v>158</v>
      </c>
      <c r="E3351" s="59" t="str">
        <f aca="false">IF(L3351="","",IF(INDEX(ポート振替表!$O$5:$O$3507,$L3351)="","(未設定)",INDEX(ポート振替表!$O$5:$O$3507,$L3351)&amp;""))</f>
        <v/>
      </c>
      <c r="F3351" s="52" t="str">
        <f aca="false">IF(L3351="","",INDEX(ポート振替表!$K$5:$K$3507,$L3351)&amp;" "&amp;INDEX(ポート振替表!$L$5:$L$3507,$L3351)&amp;"  ⇔  "&amp;INDEX(ポート振替表!$H$5:$H$3507,$L3351)&amp;" "&amp;INDEX(ポート振替表!$I$5:$I$3507,$L3351))</f>
        <v/>
      </c>
      <c r="G3351" s="57" t="s">
        <v>158</v>
      </c>
      <c r="H3351" s="32" t="str">
        <f aca="false">IF(L3351="","",INDEX(ポート振替表!$N$5:$N$3507,$L3351)&amp;"")</f>
        <v/>
      </c>
      <c r="I3351" s="32" t="str">
        <f aca="false">IF(L3351="","",INDEX(ポート振替表!$P$5:$P$3507,$L3351)&amp;"")</f>
        <v/>
      </c>
      <c r="J3351" s="60" t="str">
        <f aca="false">IF(L3351="","",INDEX(ポート振替表!$M$5:$M$3507,$L3351)&amp;"")</f>
        <v/>
      </c>
      <c r="K3351" s="52" t="str">
        <f aca="false">IF(L3351="","",E3351&amp;CHAR(10)&amp;INDEX(ポート振替表!$K$5:$K$3507,$L3351)&amp;" "&amp;INDEX(ポート振替表!$L$5:$L$3507,$L3351)&amp;CHAR(10)&amp;"⇔ "&amp;INDEX(ポート振替表!$H$5:$H$3507,$L3351)&amp;" "&amp;INDEX(ポート振替表!$I$5:$I$3507,$L3351))</f>
        <v/>
      </c>
      <c r="L3351" s="47" t="str">
        <f aca="false">IFERROR(MATCH(ROW()-4,ポート振替表!$V$5:$V$3507,0),"")</f>
        <v/>
      </c>
    </row>
    <row r="3352" customFormat="false" ht="16.4" hidden="false" customHeight="false" outlineLevel="0" collapsed="false">
      <c r="A3352" s="32" t="str">
        <f aca="false">IF(L3352="","",ROW()-4)</f>
        <v/>
      </c>
      <c r="B3352" s="58" t="str">
        <f aca="false">IF(L3352="","",IF(INDEX(ポート振替表!$W$5:$W$3507,$L3352)="","(なし)",INDEX(ポート振替表!$W$5:$W$3507,$L3352)&amp;""))</f>
        <v/>
      </c>
      <c r="C3352" s="52" t="str">
        <f aca="false">IF(L3352="","",INDEX(ポート振替表!$B$5:$B$3507,$L3352)&amp;" "&amp;INDEX(ポート振替表!$C$5:$C$3507,$L3352)&amp;"  ⇔  "&amp;INDEX(ポート振替表!$H$5:$H$3507,$L3352)&amp;" "&amp;INDEX(ポート振替表!$I$5:$I$3507,$L3352))</f>
        <v/>
      </c>
      <c r="D3352" s="57" t="s">
        <v>158</v>
      </c>
      <c r="E3352" s="59" t="str">
        <f aca="false">IF(L3352="","",IF(INDEX(ポート振替表!$O$5:$O$3507,$L3352)="","(未設定)",INDEX(ポート振替表!$O$5:$O$3507,$L3352)&amp;""))</f>
        <v/>
      </c>
      <c r="F3352" s="52" t="str">
        <f aca="false">IF(L3352="","",INDEX(ポート振替表!$K$5:$K$3507,$L3352)&amp;" "&amp;INDEX(ポート振替表!$L$5:$L$3507,$L3352)&amp;"  ⇔  "&amp;INDEX(ポート振替表!$H$5:$H$3507,$L3352)&amp;" "&amp;INDEX(ポート振替表!$I$5:$I$3507,$L3352))</f>
        <v/>
      </c>
      <c r="G3352" s="57" t="s">
        <v>158</v>
      </c>
      <c r="H3352" s="32" t="str">
        <f aca="false">IF(L3352="","",INDEX(ポート振替表!$N$5:$N$3507,$L3352)&amp;"")</f>
        <v/>
      </c>
      <c r="I3352" s="32" t="str">
        <f aca="false">IF(L3352="","",INDEX(ポート振替表!$P$5:$P$3507,$L3352)&amp;"")</f>
        <v/>
      </c>
      <c r="J3352" s="60" t="str">
        <f aca="false">IF(L3352="","",INDEX(ポート振替表!$M$5:$M$3507,$L3352)&amp;"")</f>
        <v/>
      </c>
      <c r="K3352" s="52" t="str">
        <f aca="false">IF(L3352="","",E3352&amp;CHAR(10)&amp;INDEX(ポート振替表!$K$5:$K$3507,$L3352)&amp;" "&amp;INDEX(ポート振替表!$L$5:$L$3507,$L3352)&amp;CHAR(10)&amp;"⇔ "&amp;INDEX(ポート振替表!$H$5:$H$3507,$L3352)&amp;" "&amp;INDEX(ポート振替表!$I$5:$I$3507,$L3352))</f>
        <v/>
      </c>
      <c r="L3352" s="47" t="str">
        <f aca="false">IFERROR(MATCH(ROW()-4,ポート振替表!$V$5:$V$3507,0),"")</f>
        <v/>
      </c>
    </row>
    <row r="3353" customFormat="false" ht="16.4" hidden="false" customHeight="false" outlineLevel="0" collapsed="false">
      <c r="A3353" s="32" t="str">
        <f aca="false">IF(L3353="","",ROW()-4)</f>
        <v/>
      </c>
      <c r="B3353" s="58" t="str">
        <f aca="false">IF(L3353="","",IF(INDEX(ポート振替表!$W$5:$W$3507,$L3353)="","(なし)",INDEX(ポート振替表!$W$5:$W$3507,$L3353)&amp;""))</f>
        <v/>
      </c>
      <c r="C3353" s="52" t="str">
        <f aca="false">IF(L3353="","",INDEX(ポート振替表!$B$5:$B$3507,$L3353)&amp;" "&amp;INDEX(ポート振替表!$C$5:$C$3507,$L3353)&amp;"  ⇔  "&amp;INDEX(ポート振替表!$H$5:$H$3507,$L3353)&amp;" "&amp;INDEX(ポート振替表!$I$5:$I$3507,$L3353))</f>
        <v/>
      </c>
      <c r="D3353" s="57" t="s">
        <v>158</v>
      </c>
      <c r="E3353" s="59" t="str">
        <f aca="false">IF(L3353="","",IF(INDEX(ポート振替表!$O$5:$O$3507,$L3353)="","(未設定)",INDEX(ポート振替表!$O$5:$O$3507,$L3353)&amp;""))</f>
        <v/>
      </c>
      <c r="F3353" s="52" t="str">
        <f aca="false">IF(L3353="","",INDEX(ポート振替表!$K$5:$K$3507,$L3353)&amp;" "&amp;INDEX(ポート振替表!$L$5:$L$3507,$L3353)&amp;"  ⇔  "&amp;INDEX(ポート振替表!$H$5:$H$3507,$L3353)&amp;" "&amp;INDEX(ポート振替表!$I$5:$I$3507,$L3353))</f>
        <v/>
      </c>
      <c r="G3353" s="57" t="s">
        <v>158</v>
      </c>
      <c r="H3353" s="32" t="str">
        <f aca="false">IF(L3353="","",INDEX(ポート振替表!$N$5:$N$3507,$L3353)&amp;"")</f>
        <v/>
      </c>
      <c r="I3353" s="32" t="str">
        <f aca="false">IF(L3353="","",INDEX(ポート振替表!$P$5:$P$3507,$L3353)&amp;"")</f>
        <v/>
      </c>
      <c r="J3353" s="60" t="str">
        <f aca="false">IF(L3353="","",INDEX(ポート振替表!$M$5:$M$3507,$L3353)&amp;"")</f>
        <v/>
      </c>
      <c r="K3353" s="52" t="str">
        <f aca="false">IF(L3353="","",E3353&amp;CHAR(10)&amp;INDEX(ポート振替表!$K$5:$K$3507,$L3353)&amp;" "&amp;INDEX(ポート振替表!$L$5:$L$3507,$L3353)&amp;CHAR(10)&amp;"⇔ "&amp;INDEX(ポート振替表!$H$5:$H$3507,$L3353)&amp;" "&amp;INDEX(ポート振替表!$I$5:$I$3507,$L3353))</f>
        <v/>
      </c>
      <c r="L3353" s="47" t="str">
        <f aca="false">IFERROR(MATCH(ROW()-4,ポート振替表!$V$5:$V$3507,0),"")</f>
        <v/>
      </c>
    </row>
    <row r="3354" customFormat="false" ht="16.4" hidden="false" customHeight="false" outlineLevel="0" collapsed="false">
      <c r="A3354" s="32" t="str">
        <f aca="false">IF(L3354="","",ROW()-4)</f>
        <v/>
      </c>
      <c r="B3354" s="58" t="str">
        <f aca="false">IF(L3354="","",IF(INDEX(ポート振替表!$W$5:$W$3507,$L3354)="","(なし)",INDEX(ポート振替表!$W$5:$W$3507,$L3354)&amp;""))</f>
        <v/>
      </c>
      <c r="C3354" s="52" t="str">
        <f aca="false">IF(L3354="","",INDEX(ポート振替表!$B$5:$B$3507,$L3354)&amp;" "&amp;INDEX(ポート振替表!$C$5:$C$3507,$L3354)&amp;"  ⇔  "&amp;INDEX(ポート振替表!$H$5:$H$3507,$L3354)&amp;" "&amp;INDEX(ポート振替表!$I$5:$I$3507,$L3354))</f>
        <v/>
      </c>
      <c r="D3354" s="57" t="s">
        <v>158</v>
      </c>
      <c r="E3354" s="59" t="str">
        <f aca="false">IF(L3354="","",IF(INDEX(ポート振替表!$O$5:$O$3507,$L3354)="","(未設定)",INDEX(ポート振替表!$O$5:$O$3507,$L3354)&amp;""))</f>
        <v/>
      </c>
      <c r="F3354" s="52" t="str">
        <f aca="false">IF(L3354="","",INDEX(ポート振替表!$K$5:$K$3507,$L3354)&amp;" "&amp;INDEX(ポート振替表!$L$5:$L$3507,$L3354)&amp;"  ⇔  "&amp;INDEX(ポート振替表!$H$5:$H$3507,$L3354)&amp;" "&amp;INDEX(ポート振替表!$I$5:$I$3507,$L3354))</f>
        <v/>
      </c>
      <c r="G3354" s="57" t="s">
        <v>158</v>
      </c>
      <c r="H3354" s="32" t="str">
        <f aca="false">IF(L3354="","",INDEX(ポート振替表!$N$5:$N$3507,$L3354)&amp;"")</f>
        <v/>
      </c>
      <c r="I3354" s="32" t="str">
        <f aca="false">IF(L3354="","",INDEX(ポート振替表!$P$5:$P$3507,$L3354)&amp;"")</f>
        <v/>
      </c>
      <c r="J3354" s="60" t="str">
        <f aca="false">IF(L3354="","",INDEX(ポート振替表!$M$5:$M$3507,$L3354)&amp;"")</f>
        <v/>
      </c>
      <c r="K3354" s="52" t="str">
        <f aca="false">IF(L3354="","",E3354&amp;CHAR(10)&amp;INDEX(ポート振替表!$K$5:$K$3507,$L3354)&amp;" "&amp;INDEX(ポート振替表!$L$5:$L$3507,$L3354)&amp;CHAR(10)&amp;"⇔ "&amp;INDEX(ポート振替表!$H$5:$H$3507,$L3354)&amp;" "&amp;INDEX(ポート振替表!$I$5:$I$3507,$L3354))</f>
        <v/>
      </c>
      <c r="L3354" s="47" t="str">
        <f aca="false">IFERROR(MATCH(ROW()-4,ポート振替表!$V$5:$V$3507,0),"")</f>
        <v/>
      </c>
    </row>
    <row r="3355" customFormat="false" ht="16.4" hidden="false" customHeight="false" outlineLevel="0" collapsed="false">
      <c r="A3355" s="32" t="str">
        <f aca="false">IF(L3355="","",ROW()-4)</f>
        <v/>
      </c>
      <c r="B3355" s="58" t="str">
        <f aca="false">IF(L3355="","",IF(INDEX(ポート振替表!$W$5:$W$3507,$L3355)="","(なし)",INDEX(ポート振替表!$W$5:$W$3507,$L3355)&amp;""))</f>
        <v/>
      </c>
      <c r="C3355" s="52" t="str">
        <f aca="false">IF(L3355="","",INDEX(ポート振替表!$B$5:$B$3507,$L3355)&amp;" "&amp;INDEX(ポート振替表!$C$5:$C$3507,$L3355)&amp;"  ⇔  "&amp;INDEX(ポート振替表!$H$5:$H$3507,$L3355)&amp;" "&amp;INDEX(ポート振替表!$I$5:$I$3507,$L3355))</f>
        <v/>
      </c>
      <c r="D3355" s="57" t="s">
        <v>158</v>
      </c>
      <c r="E3355" s="59" t="str">
        <f aca="false">IF(L3355="","",IF(INDEX(ポート振替表!$O$5:$O$3507,$L3355)="","(未設定)",INDEX(ポート振替表!$O$5:$O$3507,$L3355)&amp;""))</f>
        <v/>
      </c>
      <c r="F3355" s="52" t="str">
        <f aca="false">IF(L3355="","",INDEX(ポート振替表!$K$5:$K$3507,$L3355)&amp;" "&amp;INDEX(ポート振替表!$L$5:$L$3507,$L3355)&amp;"  ⇔  "&amp;INDEX(ポート振替表!$H$5:$H$3507,$L3355)&amp;" "&amp;INDEX(ポート振替表!$I$5:$I$3507,$L3355))</f>
        <v/>
      </c>
      <c r="G3355" s="57" t="s">
        <v>158</v>
      </c>
      <c r="H3355" s="32" t="str">
        <f aca="false">IF(L3355="","",INDEX(ポート振替表!$N$5:$N$3507,$L3355)&amp;"")</f>
        <v/>
      </c>
      <c r="I3355" s="32" t="str">
        <f aca="false">IF(L3355="","",INDEX(ポート振替表!$P$5:$P$3507,$L3355)&amp;"")</f>
        <v/>
      </c>
      <c r="J3355" s="60" t="str">
        <f aca="false">IF(L3355="","",INDEX(ポート振替表!$M$5:$M$3507,$L3355)&amp;"")</f>
        <v/>
      </c>
      <c r="K3355" s="52" t="str">
        <f aca="false">IF(L3355="","",E3355&amp;CHAR(10)&amp;INDEX(ポート振替表!$K$5:$K$3507,$L3355)&amp;" "&amp;INDEX(ポート振替表!$L$5:$L$3507,$L3355)&amp;CHAR(10)&amp;"⇔ "&amp;INDEX(ポート振替表!$H$5:$H$3507,$L3355)&amp;" "&amp;INDEX(ポート振替表!$I$5:$I$3507,$L3355))</f>
        <v/>
      </c>
      <c r="L3355" s="47" t="str">
        <f aca="false">IFERROR(MATCH(ROW()-4,ポート振替表!$V$5:$V$3507,0),"")</f>
        <v/>
      </c>
    </row>
    <row r="3356" customFormat="false" ht="16.4" hidden="false" customHeight="false" outlineLevel="0" collapsed="false">
      <c r="A3356" s="32" t="str">
        <f aca="false">IF(L3356="","",ROW()-4)</f>
        <v/>
      </c>
      <c r="B3356" s="58" t="str">
        <f aca="false">IF(L3356="","",IF(INDEX(ポート振替表!$W$5:$W$3507,$L3356)="","(なし)",INDEX(ポート振替表!$W$5:$W$3507,$L3356)&amp;""))</f>
        <v/>
      </c>
      <c r="C3356" s="52" t="str">
        <f aca="false">IF(L3356="","",INDEX(ポート振替表!$B$5:$B$3507,$L3356)&amp;" "&amp;INDEX(ポート振替表!$C$5:$C$3507,$L3356)&amp;"  ⇔  "&amp;INDEX(ポート振替表!$H$5:$H$3507,$L3356)&amp;" "&amp;INDEX(ポート振替表!$I$5:$I$3507,$L3356))</f>
        <v/>
      </c>
      <c r="D3356" s="57" t="s">
        <v>158</v>
      </c>
      <c r="E3356" s="59" t="str">
        <f aca="false">IF(L3356="","",IF(INDEX(ポート振替表!$O$5:$O$3507,$L3356)="","(未設定)",INDEX(ポート振替表!$O$5:$O$3507,$L3356)&amp;""))</f>
        <v/>
      </c>
      <c r="F3356" s="52" t="str">
        <f aca="false">IF(L3356="","",INDEX(ポート振替表!$K$5:$K$3507,$L3356)&amp;" "&amp;INDEX(ポート振替表!$L$5:$L$3507,$L3356)&amp;"  ⇔  "&amp;INDEX(ポート振替表!$H$5:$H$3507,$L3356)&amp;" "&amp;INDEX(ポート振替表!$I$5:$I$3507,$L3356))</f>
        <v/>
      </c>
      <c r="G3356" s="57" t="s">
        <v>158</v>
      </c>
      <c r="H3356" s="32" t="str">
        <f aca="false">IF(L3356="","",INDEX(ポート振替表!$N$5:$N$3507,$L3356)&amp;"")</f>
        <v/>
      </c>
      <c r="I3356" s="32" t="str">
        <f aca="false">IF(L3356="","",INDEX(ポート振替表!$P$5:$P$3507,$L3356)&amp;"")</f>
        <v/>
      </c>
      <c r="J3356" s="60" t="str">
        <f aca="false">IF(L3356="","",INDEX(ポート振替表!$M$5:$M$3507,$L3356)&amp;"")</f>
        <v/>
      </c>
      <c r="K3356" s="52" t="str">
        <f aca="false">IF(L3356="","",E3356&amp;CHAR(10)&amp;INDEX(ポート振替表!$K$5:$K$3507,$L3356)&amp;" "&amp;INDEX(ポート振替表!$L$5:$L$3507,$L3356)&amp;CHAR(10)&amp;"⇔ "&amp;INDEX(ポート振替表!$H$5:$H$3507,$L3356)&amp;" "&amp;INDEX(ポート振替表!$I$5:$I$3507,$L3356))</f>
        <v/>
      </c>
      <c r="L3356" s="47" t="str">
        <f aca="false">IFERROR(MATCH(ROW()-4,ポート振替表!$V$5:$V$3507,0),"")</f>
        <v/>
      </c>
    </row>
    <row r="3357" customFormat="false" ht="16.4" hidden="false" customHeight="false" outlineLevel="0" collapsed="false">
      <c r="A3357" s="32" t="str">
        <f aca="false">IF(L3357="","",ROW()-4)</f>
        <v/>
      </c>
      <c r="B3357" s="58" t="str">
        <f aca="false">IF(L3357="","",IF(INDEX(ポート振替表!$W$5:$W$3507,$L3357)="","(なし)",INDEX(ポート振替表!$W$5:$W$3507,$L3357)&amp;""))</f>
        <v/>
      </c>
      <c r="C3357" s="52" t="str">
        <f aca="false">IF(L3357="","",INDEX(ポート振替表!$B$5:$B$3507,$L3357)&amp;" "&amp;INDEX(ポート振替表!$C$5:$C$3507,$L3357)&amp;"  ⇔  "&amp;INDEX(ポート振替表!$H$5:$H$3507,$L3357)&amp;" "&amp;INDEX(ポート振替表!$I$5:$I$3507,$L3357))</f>
        <v/>
      </c>
      <c r="D3357" s="57" t="s">
        <v>158</v>
      </c>
      <c r="E3357" s="59" t="str">
        <f aca="false">IF(L3357="","",IF(INDEX(ポート振替表!$O$5:$O$3507,$L3357)="","(未設定)",INDEX(ポート振替表!$O$5:$O$3507,$L3357)&amp;""))</f>
        <v/>
      </c>
      <c r="F3357" s="52" t="str">
        <f aca="false">IF(L3357="","",INDEX(ポート振替表!$K$5:$K$3507,$L3357)&amp;" "&amp;INDEX(ポート振替表!$L$5:$L$3507,$L3357)&amp;"  ⇔  "&amp;INDEX(ポート振替表!$H$5:$H$3507,$L3357)&amp;" "&amp;INDEX(ポート振替表!$I$5:$I$3507,$L3357))</f>
        <v/>
      </c>
      <c r="G3357" s="57" t="s">
        <v>158</v>
      </c>
      <c r="H3357" s="32" t="str">
        <f aca="false">IF(L3357="","",INDEX(ポート振替表!$N$5:$N$3507,$L3357)&amp;"")</f>
        <v/>
      </c>
      <c r="I3357" s="32" t="str">
        <f aca="false">IF(L3357="","",INDEX(ポート振替表!$P$5:$P$3507,$L3357)&amp;"")</f>
        <v/>
      </c>
      <c r="J3357" s="60" t="str">
        <f aca="false">IF(L3357="","",INDEX(ポート振替表!$M$5:$M$3507,$L3357)&amp;"")</f>
        <v/>
      </c>
      <c r="K3357" s="52" t="str">
        <f aca="false">IF(L3357="","",E3357&amp;CHAR(10)&amp;INDEX(ポート振替表!$K$5:$K$3507,$L3357)&amp;" "&amp;INDEX(ポート振替表!$L$5:$L$3507,$L3357)&amp;CHAR(10)&amp;"⇔ "&amp;INDEX(ポート振替表!$H$5:$H$3507,$L3357)&amp;" "&amp;INDEX(ポート振替表!$I$5:$I$3507,$L3357))</f>
        <v/>
      </c>
      <c r="L3357" s="47" t="str">
        <f aca="false">IFERROR(MATCH(ROW()-4,ポート振替表!$V$5:$V$3507,0),"")</f>
        <v/>
      </c>
    </row>
    <row r="3358" customFormat="false" ht="16.4" hidden="false" customHeight="false" outlineLevel="0" collapsed="false">
      <c r="A3358" s="32" t="str">
        <f aca="false">IF(L3358="","",ROW()-4)</f>
        <v/>
      </c>
      <c r="B3358" s="58" t="str">
        <f aca="false">IF(L3358="","",IF(INDEX(ポート振替表!$W$5:$W$3507,$L3358)="","(なし)",INDEX(ポート振替表!$W$5:$W$3507,$L3358)&amp;""))</f>
        <v/>
      </c>
      <c r="C3358" s="52" t="str">
        <f aca="false">IF(L3358="","",INDEX(ポート振替表!$B$5:$B$3507,$L3358)&amp;" "&amp;INDEX(ポート振替表!$C$5:$C$3507,$L3358)&amp;"  ⇔  "&amp;INDEX(ポート振替表!$H$5:$H$3507,$L3358)&amp;" "&amp;INDEX(ポート振替表!$I$5:$I$3507,$L3358))</f>
        <v/>
      </c>
      <c r="D3358" s="57" t="s">
        <v>158</v>
      </c>
      <c r="E3358" s="59" t="str">
        <f aca="false">IF(L3358="","",IF(INDEX(ポート振替表!$O$5:$O$3507,$L3358)="","(未設定)",INDEX(ポート振替表!$O$5:$O$3507,$L3358)&amp;""))</f>
        <v/>
      </c>
      <c r="F3358" s="52" t="str">
        <f aca="false">IF(L3358="","",INDEX(ポート振替表!$K$5:$K$3507,$L3358)&amp;" "&amp;INDEX(ポート振替表!$L$5:$L$3507,$L3358)&amp;"  ⇔  "&amp;INDEX(ポート振替表!$H$5:$H$3507,$L3358)&amp;" "&amp;INDEX(ポート振替表!$I$5:$I$3507,$L3358))</f>
        <v/>
      </c>
      <c r="G3358" s="57" t="s">
        <v>158</v>
      </c>
      <c r="H3358" s="32" t="str">
        <f aca="false">IF(L3358="","",INDEX(ポート振替表!$N$5:$N$3507,$L3358)&amp;"")</f>
        <v/>
      </c>
      <c r="I3358" s="32" t="str">
        <f aca="false">IF(L3358="","",INDEX(ポート振替表!$P$5:$P$3507,$L3358)&amp;"")</f>
        <v/>
      </c>
      <c r="J3358" s="60" t="str">
        <f aca="false">IF(L3358="","",INDEX(ポート振替表!$M$5:$M$3507,$L3358)&amp;"")</f>
        <v/>
      </c>
      <c r="K3358" s="52" t="str">
        <f aca="false">IF(L3358="","",E3358&amp;CHAR(10)&amp;INDEX(ポート振替表!$K$5:$K$3507,$L3358)&amp;" "&amp;INDEX(ポート振替表!$L$5:$L$3507,$L3358)&amp;CHAR(10)&amp;"⇔ "&amp;INDEX(ポート振替表!$H$5:$H$3507,$L3358)&amp;" "&amp;INDEX(ポート振替表!$I$5:$I$3507,$L3358))</f>
        <v/>
      </c>
      <c r="L3358" s="47" t="str">
        <f aca="false">IFERROR(MATCH(ROW()-4,ポート振替表!$V$5:$V$3507,0),"")</f>
        <v/>
      </c>
    </row>
    <row r="3359" customFormat="false" ht="16.4" hidden="false" customHeight="false" outlineLevel="0" collapsed="false">
      <c r="A3359" s="32" t="str">
        <f aca="false">IF(L3359="","",ROW()-4)</f>
        <v/>
      </c>
      <c r="B3359" s="58" t="str">
        <f aca="false">IF(L3359="","",IF(INDEX(ポート振替表!$W$5:$W$3507,$L3359)="","(なし)",INDEX(ポート振替表!$W$5:$W$3507,$L3359)&amp;""))</f>
        <v/>
      </c>
      <c r="C3359" s="52" t="str">
        <f aca="false">IF(L3359="","",INDEX(ポート振替表!$B$5:$B$3507,$L3359)&amp;" "&amp;INDEX(ポート振替表!$C$5:$C$3507,$L3359)&amp;"  ⇔  "&amp;INDEX(ポート振替表!$H$5:$H$3507,$L3359)&amp;" "&amp;INDEX(ポート振替表!$I$5:$I$3507,$L3359))</f>
        <v/>
      </c>
      <c r="D3359" s="57" t="s">
        <v>158</v>
      </c>
      <c r="E3359" s="59" t="str">
        <f aca="false">IF(L3359="","",IF(INDEX(ポート振替表!$O$5:$O$3507,$L3359)="","(未設定)",INDEX(ポート振替表!$O$5:$O$3507,$L3359)&amp;""))</f>
        <v/>
      </c>
      <c r="F3359" s="52" t="str">
        <f aca="false">IF(L3359="","",INDEX(ポート振替表!$K$5:$K$3507,$L3359)&amp;" "&amp;INDEX(ポート振替表!$L$5:$L$3507,$L3359)&amp;"  ⇔  "&amp;INDEX(ポート振替表!$H$5:$H$3507,$L3359)&amp;" "&amp;INDEX(ポート振替表!$I$5:$I$3507,$L3359))</f>
        <v/>
      </c>
      <c r="G3359" s="57" t="s">
        <v>158</v>
      </c>
      <c r="H3359" s="32" t="str">
        <f aca="false">IF(L3359="","",INDEX(ポート振替表!$N$5:$N$3507,$L3359)&amp;"")</f>
        <v/>
      </c>
      <c r="I3359" s="32" t="str">
        <f aca="false">IF(L3359="","",INDEX(ポート振替表!$P$5:$P$3507,$L3359)&amp;"")</f>
        <v/>
      </c>
      <c r="J3359" s="60" t="str">
        <f aca="false">IF(L3359="","",INDEX(ポート振替表!$M$5:$M$3507,$L3359)&amp;"")</f>
        <v/>
      </c>
      <c r="K3359" s="52" t="str">
        <f aca="false">IF(L3359="","",E3359&amp;CHAR(10)&amp;INDEX(ポート振替表!$K$5:$K$3507,$L3359)&amp;" "&amp;INDEX(ポート振替表!$L$5:$L$3507,$L3359)&amp;CHAR(10)&amp;"⇔ "&amp;INDEX(ポート振替表!$H$5:$H$3507,$L3359)&amp;" "&amp;INDEX(ポート振替表!$I$5:$I$3507,$L3359))</f>
        <v/>
      </c>
      <c r="L3359" s="47" t="str">
        <f aca="false">IFERROR(MATCH(ROW()-4,ポート振替表!$V$5:$V$3507,0),"")</f>
        <v/>
      </c>
    </row>
    <row r="3360" customFormat="false" ht="16.4" hidden="false" customHeight="false" outlineLevel="0" collapsed="false">
      <c r="A3360" s="32" t="str">
        <f aca="false">IF(L3360="","",ROW()-4)</f>
        <v/>
      </c>
      <c r="B3360" s="58" t="str">
        <f aca="false">IF(L3360="","",IF(INDEX(ポート振替表!$W$5:$W$3507,$L3360)="","(なし)",INDEX(ポート振替表!$W$5:$W$3507,$L3360)&amp;""))</f>
        <v/>
      </c>
      <c r="C3360" s="52" t="str">
        <f aca="false">IF(L3360="","",INDEX(ポート振替表!$B$5:$B$3507,$L3360)&amp;" "&amp;INDEX(ポート振替表!$C$5:$C$3507,$L3360)&amp;"  ⇔  "&amp;INDEX(ポート振替表!$H$5:$H$3507,$L3360)&amp;" "&amp;INDEX(ポート振替表!$I$5:$I$3507,$L3360))</f>
        <v/>
      </c>
      <c r="D3360" s="57" t="s">
        <v>158</v>
      </c>
      <c r="E3360" s="59" t="str">
        <f aca="false">IF(L3360="","",IF(INDEX(ポート振替表!$O$5:$O$3507,$L3360)="","(未設定)",INDEX(ポート振替表!$O$5:$O$3507,$L3360)&amp;""))</f>
        <v/>
      </c>
      <c r="F3360" s="52" t="str">
        <f aca="false">IF(L3360="","",INDEX(ポート振替表!$K$5:$K$3507,$L3360)&amp;" "&amp;INDEX(ポート振替表!$L$5:$L$3507,$L3360)&amp;"  ⇔  "&amp;INDEX(ポート振替表!$H$5:$H$3507,$L3360)&amp;" "&amp;INDEX(ポート振替表!$I$5:$I$3507,$L3360))</f>
        <v/>
      </c>
      <c r="G3360" s="57" t="s">
        <v>158</v>
      </c>
      <c r="H3360" s="32" t="str">
        <f aca="false">IF(L3360="","",INDEX(ポート振替表!$N$5:$N$3507,$L3360)&amp;"")</f>
        <v/>
      </c>
      <c r="I3360" s="32" t="str">
        <f aca="false">IF(L3360="","",INDEX(ポート振替表!$P$5:$P$3507,$L3360)&amp;"")</f>
        <v/>
      </c>
      <c r="J3360" s="60" t="str">
        <f aca="false">IF(L3360="","",INDEX(ポート振替表!$M$5:$M$3507,$L3360)&amp;"")</f>
        <v/>
      </c>
      <c r="K3360" s="52" t="str">
        <f aca="false">IF(L3360="","",E3360&amp;CHAR(10)&amp;INDEX(ポート振替表!$K$5:$K$3507,$L3360)&amp;" "&amp;INDEX(ポート振替表!$L$5:$L$3507,$L3360)&amp;CHAR(10)&amp;"⇔ "&amp;INDEX(ポート振替表!$H$5:$H$3507,$L3360)&amp;" "&amp;INDEX(ポート振替表!$I$5:$I$3507,$L3360))</f>
        <v/>
      </c>
      <c r="L3360" s="47" t="str">
        <f aca="false">IFERROR(MATCH(ROW()-4,ポート振替表!$V$5:$V$3507,0),"")</f>
        <v/>
      </c>
    </row>
    <row r="3361" customFormat="false" ht="16.4" hidden="false" customHeight="false" outlineLevel="0" collapsed="false">
      <c r="A3361" s="32" t="str">
        <f aca="false">IF(L3361="","",ROW()-4)</f>
        <v/>
      </c>
      <c r="B3361" s="58" t="str">
        <f aca="false">IF(L3361="","",IF(INDEX(ポート振替表!$W$5:$W$3507,$L3361)="","(なし)",INDEX(ポート振替表!$W$5:$W$3507,$L3361)&amp;""))</f>
        <v/>
      </c>
      <c r="C3361" s="52" t="str">
        <f aca="false">IF(L3361="","",INDEX(ポート振替表!$B$5:$B$3507,$L3361)&amp;" "&amp;INDEX(ポート振替表!$C$5:$C$3507,$L3361)&amp;"  ⇔  "&amp;INDEX(ポート振替表!$H$5:$H$3507,$L3361)&amp;" "&amp;INDEX(ポート振替表!$I$5:$I$3507,$L3361))</f>
        <v/>
      </c>
      <c r="D3361" s="57" t="s">
        <v>158</v>
      </c>
      <c r="E3361" s="59" t="str">
        <f aca="false">IF(L3361="","",IF(INDEX(ポート振替表!$O$5:$O$3507,$L3361)="","(未設定)",INDEX(ポート振替表!$O$5:$O$3507,$L3361)&amp;""))</f>
        <v/>
      </c>
      <c r="F3361" s="52" t="str">
        <f aca="false">IF(L3361="","",INDEX(ポート振替表!$K$5:$K$3507,$L3361)&amp;" "&amp;INDEX(ポート振替表!$L$5:$L$3507,$L3361)&amp;"  ⇔  "&amp;INDEX(ポート振替表!$H$5:$H$3507,$L3361)&amp;" "&amp;INDEX(ポート振替表!$I$5:$I$3507,$L3361))</f>
        <v/>
      </c>
      <c r="G3361" s="57" t="s">
        <v>158</v>
      </c>
      <c r="H3361" s="32" t="str">
        <f aca="false">IF(L3361="","",INDEX(ポート振替表!$N$5:$N$3507,$L3361)&amp;"")</f>
        <v/>
      </c>
      <c r="I3361" s="32" t="str">
        <f aca="false">IF(L3361="","",INDEX(ポート振替表!$P$5:$P$3507,$L3361)&amp;"")</f>
        <v/>
      </c>
      <c r="J3361" s="60" t="str">
        <f aca="false">IF(L3361="","",INDEX(ポート振替表!$M$5:$M$3507,$L3361)&amp;"")</f>
        <v/>
      </c>
      <c r="K3361" s="52" t="str">
        <f aca="false">IF(L3361="","",E3361&amp;CHAR(10)&amp;INDEX(ポート振替表!$K$5:$K$3507,$L3361)&amp;" "&amp;INDEX(ポート振替表!$L$5:$L$3507,$L3361)&amp;CHAR(10)&amp;"⇔ "&amp;INDEX(ポート振替表!$H$5:$H$3507,$L3361)&amp;" "&amp;INDEX(ポート振替表!$I$5:$I$3507,$L3361))</f>
        <v/>
      </c>
      <c r="L3361" s="47" t="str">
        <f aca="false">IFERROR(MATCH(ROW()-4,ポート振替表!$V$5:$V$3507,0),"")</f>
        <v/>
      </c>
    </row>
    <row r="3362" customFormat="false" ht="16.4" hidden="false" customHeight="false" outlineLevel="0" collapsed="false">
      <c r="A3362" s="32" t="str">
        <f aca="false">IF(L3362="","",ROW()-4)</f>
        <v/>
      </c>
      <c r="B3362" s="58" t="str">
        <f aca="false">IF(L3362="","",IF(INDEX(ポート振替表!$W$5:$W$3507,$L3362)="","(なし)",INDEX(ポート振替表!$W$5:$W$3507,$L3362)&amp;""))</f>
        <v/>
      </c>
      <c r="C3362" s="52" t="str">
        <f aca="false">IF(L3362="","",INDEX(ポート振替表!$B$5:$B$3507,$L3362)&amp;" "&amp;INDEX(ポート振替表!$C$5:$C$3507,$L3362)&amp;"  ⇔  "&amp;INDEX(ポート振替表!$H$5:$H$3507,$L3362)&amp;" "&amp;INDEX(ポート振替表!$I$5:$I$3507,$L3362))</f>
        <v/>
      </c>
      <c r="D3362" s="57" t="s">
        <v>158</v>
      </c>
      <c r="E3362" s="59" t="str">
        <f aca="false">IF(L3362="","",IF(INDEX(ポート振替表!$O$5:$O$3507,$L3362)="","(未設定)",INDEX(ポート振替表!$O$5:$O$3507,$L3362)&amp;""))</f>
        <v/>
      </c>
      <c r="F3362" s="52" t="str">
        <f aca="false">IF(L3362="","",INDEX(ポート振替表!$K$5:$K$3507,$L3362)&amp;" "&amp;INDEX(ポート振替表!$L$5:$L$3507,$L3362)&amp;"  ⇔  "&amp;INDEX(ポート振替表!$H$5:$H$3507,$L3362)&amp;" "&amp;INDEX(ポート振替表!$I$5:$I$3507,$L3362))</f>
        <v/>
      </c>
      <c r="G3362" s="57" t="s">
        <v>158</v>
      </c>
      <c r="H3362" s="32" t="str">
        <f aca="false">IF(L3362="","",INDEX(ポート振替表!$N$5:$N$3507,$L3362)&amp;"")</f>
        <v/>
      </c>
      <c r="I3362" s="32" t="str">
        <f aca="false">IF(L3362="","",INDEX(ポート振替表!$P$5:$P$3507,$L3362)&amp;"")</f>
        <v/>
      </c>
      <c r="J3362" s="60" t="str">
        <f aca="false">IF(L3362="","",INDEX(ポート振替表!$M$5:$M$3507,$L3362)&amp;"")</f>
        <v/>
      </c>
      <c r="K3362" s="52" t="str">
        <f aca="false">IF(L3362="","",E3362&amp;CHAR(10)&amp;INDEX(ポート振替表!$K$5:$K$3507,$L3362)&amp;" "&amp;INDEX(ポート振替表!$L$5:$L$3507,$L3362)&amp;CHAR(10)&amp;"⇔ "&amp;INDEX(ポート振替表!$H$5:$H$3507,$L3362)&amp;" "&amp;INDEX(ポート振替表!$I$5:$I$3507,$L3362))</f>
        <v/>
      </c>
      <c r="L3362" s="47" t="str">
        <f aca="false">IFERROR(MATCH(ROW()-4,ポート振替表!$V$5:$V$3507,0),"")</f>
        <v/>
      </c>
    </row>
    <row r="3363" customFormat="false" ht="16.4" hidden="false" customHeight="false" outlineLevel="0" collapsed="false">
      <c r="A3363" s="32" t="str">
        <f aca="false">IF(L3363="","",ROW()-4)</f>
        <v/>
      </c>
      <c r="B3363" s="58" t="str">
        <f aca="false">IF(L3363="","",IF(INDEX(ポート振替表!$W$5:$W$3507,$L3363)="","(なし)",INDEX(ポート振替表!$W$5:$W$3507,$L3363)&amp;""))</f>
        <v/>
      </c>
      <c r="C3363" s="52" t="str">
        <f aca="false">IF(L3363="","",INDEX(ポート振替表!$B$5:$B$3507,$L3363)&amp;" "&amp;INDEX(ポート振替表!$C$5:$C$3507,$L3363)&amp;"  ⇔  "&amp;INDEX(ポート振替表!$H$5:$H$3507,$L3363)&amp;" "&amp;INDEX(ポート振替表!$I$5:$I$3507,$L3363))</f>
        <v/>
      </c>
      <c r="D3363" s="57" t="s">
        <v>158</v>
      </c>
      <c r="E3363" s="59" t="str">
        <f aca="false">IF(L3363="","",IF(INDEX(ポート振替表!$O$5:$O$3507,$L3363)="","(未設定)",INDEX(ポート振替表!$O$5:$O$3507,$L3363)&amp;""))</f>
        <v/>
      </c>
      <c r="F3363" s="52" t="str">
        <f aca="false">IF(L3363="","",INDEX(ポート振替表!$K$5:$K$3507,$L3363)&amp;" "&amp;INDEX(ポート振替表!$L$5:$L$3507,$L3363)&amp;"  ⇔  "&amp;INDEX(ポート振替表!$H$5:$H$3507,$L3363)&amp;" "&amp;INDEX(ポート振替表!$I$5:$I$3507,$L3363))</f>
        <v/>
      </c>
      <c r="G3363" s="57" t="s">
        <v>158</v>
      </c>
      <c r="H3363" s="32" t="str">
        <f aca="false">IF(L3363="","",INDEX(ポート振替表!$N$5:$N$3507,$L3363)&amp;"")</f>
        <v/>
      </c>
      <c r="I3363" s="32" t="str">
        <f aca="false">IF(L3363="","",INDEX(ポート振替表!$P$5:$P$3507,$L3363)&amp;"")</f>
        <v/>
      </c>
      <c r="J3363" s="60" t="str">
        <f aca="false">IF(L3363="","",INDEX(ポート振替表!$M$5:$M$3507,$L3363)&amp;"")</f>
        <v/>
      </c>
      <c r="K3363" s="52" t="str">
        <f aca="false">IF(L3363="","",E3363&amp;CHAR(10)&amp;INDEX(ポート振替表!$K$5:$K$3507,$L3363)&amp;" "&amp;INDEX(ポート振替表!$L$5:$L$3507,$L3363)&amp;CHAR(10)&amp;"⇔ "&amp;INDEX(ポート振替表!$H$5:$H$3507,$L3363)&amp;" "&amp;INDEX(ポート振替表!$I$5:$I$3507,$L3363))</f>
        <v/>
      </c>
      <c r="L3363" s="47" t="str">
        <f aca="false">IFERROR(MATCH(ROW()-4,ポート振替表!$V$5:$V$3507,0),"")</f>
        <v/>
      </c>
    </row>
    <row r="3364" customFormat="false" ht="16.4" hidden="false" customHeight="false" outlineLevel="0" collapsed="false">
      <c r="A3364" s="32" t="str">
        <f aca="false">IF(L3364="","",ROW()-4)</f>
        <v/>
      </c>
      <c r="B3364" s="58" t="str">
        <f aca="false">IF(L3364="","",IF(INDEX(ポート振替表!$W$5:$W$3507,$L3364)="","(なし)",INDEX(ポート振替表!$W$5:$W$3507,$L3364)&amp;""))</f>
        <v/>
      </c>
      <c r="C3364" s="52" t="str">
        <f aca="false">IF(L3364="","",INDEX(ポート振替表!$B$5:$B$3507,$L3364)&amp;" "&amp;INDEX(ポート振替表!$C$5:$C$3507,$L3364)&amp;"  ⇔  "&amp;INDEX(ポート振替表!$H$5:$H$3507,$L3364)&amp;" "&amp;INDEX(ポート振替表!$I$5:$I$3507,$L3364))</f>
        <v/>
      </c>
      <c r="D3364" s="57" t="s">
        <v>158</v>
      </c>
      <c r="E3364" s="59" t="str">
        <f aca="false">IF(L3364="","",IF(INDEX(ポート振替表!$O$5:$O$3507,$L3364)="","(未設定)",INDEX(ポート振替表!$O$5:$O$3507,$L3364)&amp;""))</f>
        <v/>
      </c>
      <c r="F3364" s="52" t="str">
        <f aca="false">IF(L3364="","",INDEX(ポート振替表!$K$5:$K$3507,$L3364)&amp;" "&amp;INDEX(ポート振替表!$L$5:$L$3507,$L3364)&amp;"  ⇔  "&amp;INDEX(ポート振替表!$H$5:$H$3507,$L3364)&amp;" "&amp;INDEX(ポート振替表!$I$5:$I$3507,$L3364))</f>
        <v/>
      </c>
      <c r="G3364" s="57" t="s">
        <v>158</v>
      </c>
      <c r="H3364" s="32" t="str">
        <f aca="false">IF(L3364="","",INDEX(ポート振替表!$N$5:$N$3507,$L3364)&amp;"")</f>
        <v/>
      </c>
      <c r="I3364" s="32" t="str">
        <f aca="false">IF(L3364="","",INDEX(ポート振替表!$P$5:$P$3507,$L3364)&amp;"")</f>
        <v/>
      </c>
      <c r="J3364" s="60" t="str">
        <f aca="false">IF(L3364="","",INDEX(ポート振替表!$M$5:$M$3507,$L3364)&amp;"")</f>
        <v/>
      </c>
      <c r="K3364" s="52" t="str">
        <f aca="false">IF(L3364="","",E3364&amp;CHAR(10)&amp;INDEX(ポート振替表!$K$5:$K$3507,$L3364)&amp;" "&amp;INDEX(ポート振替表!$L$5:$L$3507,$L3364)&amp;CHAR(10)&amp;"⇔ "&amp;INDEX(ポート振替表!$H$5:$H$3507,$L3364)&amp;" "&amp;INDEX(ポート振替表!$I$5:$I$3507,$L3364))</f>
        <v/>
      </c>
      <c r="L3364" s="47" t="str">
        <f aca="false">IFERROR(MATCH(ROW()-4,ポート振替表!$V$5:$V$3507,0),"")</f>
        <v/>
      </c>
    </row>
    <row r="3365" customFormat="false" ht="16.4" hidden="false" customHeight="false" outlineLevel="0" collapsed="false">
      <c r="A3365" s="32" t="str">
        <f aca="false">IF(L3365="","",ROW()-4)</f>
        <v/>
      </c>
      <c r="B3365" s="58" t="str">
        <f aca="false">IF(L3365="","",IF(INDEX(ポート振替表!$W$5:$W$3507,$L3365)="","(なし)",INDEX(ポート振替表!$W$5:$W$3507,$L3365)&amp;""))</f>
        <v/>
      </c>
      <c r="C3365" s="52" t="str">
        <f aca="false">IF(L3365="","",INDEX(ポート振替表!$B$5:$B$3507,$L3365)&amp;" "&amp;INDEX(ポート振替表!$C$5:$C$3507,$L3365)&amp;"  ⇔  "&amp;INDEX(ポート振替表!$H$5:$H$3507,$L3365)&amp;" "&amp;INDEX(ポート振替表!$I$5:$I$3507,$L3365))</f>
        <v/>
      </c>
      <c r="D3365" s="57" t="s">
        <v>158</v>
      </c>
      <c r="E3365" s="59" t="str">
        <f aca="false">IF(L3365="","",IF(INDEX(ポート振替表!$O$5:$O$3507,$L3365)="","(未設定)",INDEX(ポート振替表!$O$5:$O$3507,$L3365)&amp;""))</f>
        <v/>
      </c>
      <c r="F3365" s="52" t="str">
        <f aca="false">IF(L3365="","",INDEX(ポート振替表!$K$5:$K$3507,$L3365)&amp;" "&amp;INDEX(ポート振替表!$L$5:$L$3507,$L3365)&amp;"  ⇔  "&amp;INDEX(ポート振替表!$H$5:$H$3507,$L3365)&amp;" "&amp;INDEX(ポート振替表!$I$5:$I$3507,$L3365))</f>
        <v/>
      </c>
      <c r="G3365" s="57" t="s">
        <v>158</v>
      </c>
      <c r="H3365" s="32" t="str">
        <f aca="false">IF(L3365="","",INDEX(ポート振替表!$N$5:$N$3507,$L3365)&amp;"")</f>
        <v/>
      </c>
      <c r="I3365" s="32" t="str">
        <f aca="false">IF(L3365="","",INDEX(ポート振替表!$P$5:$P$3507,$L3365)&amp;"")</f>
        <v/>
      </c>
      <c r="J3365" s="60" t="str">
        <f aca="false">IF(L3365="","",INDEX(ポート振替表!$M$5:$M$3507,$L3365)&amp;"")</f>
        <v/>
      </c>
      <c r="K3365" s="52" t="str">
        <f aca="false">IF(L3365="","",E3365&amp;CHAR(10)&amp;INDEX(ポート振替表!$K$5:$K$3507,$L3365)&amp;" "&amp;INDEX(ポート振替表!$L$5:$L$3507,$L3365)&amp;CHAR(10)&amp;"⇔ "&amp;INDEX(ポート振替表!$H$5:$H$3507,$L3365)&amp;" "&amp;INDEX(ポート振替表!$I$5:$I$3507,$L3365))</f>
        <v/>
      </c>
      <c r="L3365" s="47" t="str">
        <f aca="false">IFERROR(MATCH(ROW()-4,ポート振替表!$V$5:$V$3507,0),"")</f>
        <v/>
      </c>
    </row>
    <row r="3366" customFormat="false" ht="16.4" hidden="false" customHeight="false" outlineLevel="0" collapsed="false">
      <c r="A3366" s="32" t="str">
        <f aca="false">IF(L3366="","",ROW()-4)</f>
        <v/>
      </c>
      <c r="B3366" s="58" t="str">
        <f aca="false">IF(L3366="","",IF(INDEX(ポート振替表!$W$5:$W$3507,$L3366)="","(なし)",INDEX(ポート振替表!$W$5:$W$3507,$L3366)&amp;""))</f>
        <v/>
      </c>
      <c r="C3366" s="52" t="str">
        <f aca="false">IF(L3366="","",INDEX(ポート振替表!$B$5:$B$3507,$L3366)&amp;" "&amp;INDEX(ポート振替表!$C$5:$C$3507,$L3366)&amp;"  ⇔  "&amp;INDEX(ポート振替表!$H$5:$H$3507,$L3366)&amp;" "&amp;INDEX(ポート振替表!$I$5:$I$3507,$L3366))</f>
        <v/>
      </c>
      <c r="D3366" s="57" t="s">
        <v>158</v>
      </c>
      <c r="E3366" s="59" t="str">
        <f aca="false">IF(L3366="","",IF(INDEX(ポート振替表!$O$5:$O$3507,$L3366)="","(未設定)",INDEX(ポート振替表!$O$5:$O$3507,$L3366)&amp;""))</f>
        <v/>
      </c>
      <c r="F3366" s="52" t="str">
        <f aca="false">IF(L3366="","",INDEX(ポート振替表!$K$5:$K$3507,$L3366)&amp;" "&amp;INDEX(ポート振替表!$L$5:$L$3507,$L3366)&amp;"  ⇔  "&amp;INDEX(ポート振替表!$H$5:$H$3507,$L3366)&amp;" "&amp;INDEX(ポート振替表!$I$5:$I$3507,$L3366))</f>
        <v/>
      </c>
      <c r="G3366" s="57" t="s">
        <v>158</v>
      </c>
      <c r="H3366" s="32" t="str">
        <f aca="false">IF(L3366="","",INDEX(ポート振替表!$N$5:$N$3507,$L3366)&amp;"")</f>
        <v/>
      </c>
      <c r="I3366" s="32" t="str">
        <f aca="false">IF(L3366="","",INDEX(ポート振替表!$P$5:$P$3507,$L3366)&amp;"")</f>
        <v/>
      </c>
      <c r="J3366" s="60" t="str">
        <f aca="false">IF(L3366="","",INDEX(ポート振替表!$M$5:$M$3507,$L3366)&amp;"")</f>
        <v/>
      </c>
      <c r="K3366" s="52" t="str">
        <f aca="false">IF(L3366="","",E3366&amp;CHAR(10)&amp;INDEX(ポート振替表!$K$5:$K$3507,$L3366)&amp;" "&amp;INDEX(ポート振替表!$L$5:$L$3507,$L3366)&amp;CHAR(10)&amp;"⇔ "&amp;INDEX(ポート振替表!$H$5:$H$3507,$L3366)&amp;" "&amp;INDEX(ポート振替表!$I$5:$I$3507,$L3366))</f>
        <v/>
      </c>
      <c r="L3366" s="47" t="str">
        <f aca="false">IFERROR(MATCH(ROW()-4,ポート振替表!$V$5:$V$3507,0),"")</f>
        <v/>
      </c>
    </row>
    <row r="3367" customFormat="false" ht="16.4" hidden="false" customHeight="false" outlineLevel="0" collapsed="false">
      <c r="A3367" s="32" t="str">
        <f aca="false">IF(L3367="","",ROW()-4)</f>
        <v/>
      </c>
      <c r="B3367" s="58" t="str">
        <f aca="false">IF(L3367="","",IF(INDEX(ポート振替表!$W$5:$W$3507,$L3367)="","(なし)",INDEX(ポート振替表!$W$5:$W$3507,$L3367)&amp;""))</f>
        <v/>
      </c>
      <c r="C3367" s="52" t="str">
        <f aca="false">IF(L3367="","",INDEX(ポート振替表!$B$5:$B$3507,$L3367)&amp;" "&amp;INDEX(ポート振替表!$C$5:$C$3507,$L3367)&amp;"  ⇔  "&amp;INDEX(ポート振替表!$H$5:$H$3507,$L3367)&amp;" "&amp;INDEX(ポート振替表!$I$5:$I$3507,$L3367))</f>
        <v/>
      </c>
      <c r="D3367" s="57" t="s">
        <v>158</v>
      </c>
      <c r="E3367" s="59" t="str">
        <f aca="false">IF(L3367="","",IF(INDEX(ポート振替表!$O$5:$O$3507,$L3367)="","(未設定)",INDEX(ポート振替表!$O$5:$O$3507,$L3367)&amp;""))</f>
        <v/>
      </c>
      <c r="F3367" s="52" t="str">
        <f aca="false">IF(L3367="","",INDEX(ポート振替表!$K$5:$K$3507,$L3367)&amp;" "&amp;INDEX(ポート振替表!$L$5:$L$3507,$L3367)&amp;"  ⇔  "&amp;INDEX(ポート振替表!$H$5:$H$3507,$L3367)&amp;" "&amp;INDEX(ポート振替表!$I$5:$I$3507,$L3367))</f>
        <v/>
      </c>
      <c r="G3367" s="57" t="s">
        <v>158</v>
      </c>
      <c r="H3367" s="32" t="str">
        <f aca="false">IF(L3367="","",INDEX(ポート振替表!$N$5:$N$3507,$L3367)&amp;"")</f>
        <v/>
      </c>
      <c r="I3367" s="32" t="str">
        <f aca="false">IF(L3367="","",INDEX(ポート振替表!$P$5:$P$3507,$L3367)&amp;"")</f>
        <v/>
      </c>
      <c r="J3367" s="60" t="str">
        <f aca="false">IF(L3367="","",INDEX(ポート振替表!$M$5:$M$3507,$L3367)&amp;"")</f>
        <v/>
      </c>
      <c r="K3367" s="52" t="str">
        <f aca="false">IF(L3367="","",E3367&amp;CHAR(10)&amp;INDEX(ポート振替表!$K$5:$K$3507,$L3367)&amp;" "&amp;INDEX(ポート振替表!$L$5:$L$3507,$L3367)&amp;CHAR(10)&amp;"⇔ "&amp;INDEX(ポート振替表!$H$5:$H$3507,$L3367)&amp;" "&amp;INDEX(ポート振替表!$I$5:$I$3507,$L3367))</f>
        <v/>
      </c>
      <c r="L3367" s="47" t="str">
        <f aca="false">IFERROR(MATCH(ROW()-4,ポート振替表!$V$5:$V$3507,0),"")</f>
        <v/>
      </c>
    </row>
    <row r="3368" customFormat="false" ht="16.4" hidden="false" customHeight="false" outlineLevel="0" collapsed="false">
      <c r="A3368" s="32" t="str">
        <f aca="false">IF(L3368="","",ROW()-4)</f>
        <v/>
      </c>
      <c r="B3368" s="58" t="str">
        <f aca="false">IF(L3368="","",IF(INDEX(ポート振替表!$W$5:$W$3507,$L3368)="","(なし)",INDEX(ポート振替表!$W$5:$W$3507,$L3368)&amp;""))</f>
        <v/>
      </c>
      <c r="C3368" s="52" t="str">
        <f aca="false">IF(L3368="","",INDEX(ポート振替表!$B$5:$B$3507,$L3368)&amp;" "&amp;INDEX(ポート振替表!$C$5:$C$3507,$L3368)&amp;"  ⇔  "&amp;INDEX(ポート振替表!$H$5:$H$3507,$L3368)&amp;" "&amp;INDEX(ポート振替表!$I$5:$I$3507,$L3368))</f>
        <v/>
      </c>
      <c r="D3368" s="57" t="s">
        <v>158</v>
      </c>
      <c r="E3368" s="59" t="str">
        <f aca="false">IF(L3368="","",IF(INDEX(ポート振替表!$O$5:$O$3507,$L3368)="","(未設定)",INDEX(ポート振替表!$O$5:$O$3507,$L3368)&amp;""))</f>
        <v/>
      </c>
      <c r="F3368" s="52" t="str">
        <f aca="false">IF(L3368="","",INDEX(ポート振替表!$K$5:$K$3507,$L3368)&amp;" "&amp;INDEX(ポート振替表!$L$5:$L$3507,$L3368)&amp;"  ⇔  "&amp;INDEX(ポート振替表!$H$5:$H$3507,$L3368)&amp;" "&amp;INDEX(ポート振替表!$I$5:$I$3507,$L3368))</f>
        <v/>
      </c>
      <c r="G3368" s="57" t="s">
        <v>158</v>
      </c>
      <c r="H3368" s="32" t="str">
        <f aca="false">IF(L3368="","",INDEX(ポート振替表!$N$5:$N$3507,$L3368)&amp;"")</f>
        <v/>
      </c>
      <c r="I3368" s="32" t="str">
        <f aca="false">IF(L3368="","",INDEX(ポート振替表!$P$5:$P$3507,$L3368)&amp;"")</f>
        <v/>
      </c>
      <c r="J3368" s="60" t="str">
        <f aca="false">IF(L3368="","",INDEX(ポート振替表!$M$5:$M$3507,$L3368)&amp;"")</f>
        <v/>
      </c>
      <c r="K3368" s="52" t="str">
        <f aca="false">IF(L3368="","",E3368&amp;CHAR(10)&amp;INDEX(ポート振替表!$K$5:$K$3507,$L3368)&amp;" "&amp;INDEX(ポート振替表!$L$5:$L$3507,$L3368)&amp;CHAR(10)&amp;"⇔ "&amp;INDEX(ポート振替表!$H$5:$H$3507,$L3368)&amp;" "&amp;INDEX(ポート振替表!$I$5:$I$3507,$L3368))</f>
        <v/>
      </c>
      <c r="L3368" s="47" t="str">
        <f aca="false">IFERROR(MATCH(ROW()-4,ポート振替表!$V$5:$V$3507,0),"")</f>
        <v/>
      </c>
    </row>
    <row r="3369" customFormat="false" ht="16.4" hidden="false" customHeight="false" outlineLevel="0" collapsed="false">
      <c r="A3369" s="32" t="str">
        <f aca="false">IF(L3369="","",ROW()-4)</f>
        <v/>
      </c>
      <c r="B3369" s="58" t="str">
        <f aca="false">IF(L3369="","",IF(INDEX(ポート振替表!$W$5:$W$3507,$L3369)="","(なし)",INDEX(ポート振替表!$W$5:$W$3507,$L3369)&amp;""))</f>
        <v/>
      </c>
      <c r="C3369" s="52" t="str">
        <f aca="false">IF(L3369="","",INDEX(ポート振替表!$B$5:$B$3507,$L3369)&amp;" "&amp;INDEX(ポート振替表!$C$5:$C$3507,$L3369)&amp;"  ⇔  "&amp;INDEX(ポート振替表!$H$5:$H$3507,$L3369)&amp;" "&amp;INDEX(ポート振替表!$I$5:$I$3507,$L3369))</f>
        <v/>
      </c>
      <c r="D3369" s="57" t="s">
        <v>158</v>
      </c>
      <c r="E3369" s="59" t="str">
        <f aca="false">IF(L3369="","",IF(INDEX(ポート振替表!$O$5:$O$3507,$L3369)="","(未設定)",INDEX(ポート振替表!$O$5:$O$3507,$L3369)&amp;""))</f>
        <v/>
      </c>
      <c r="F3369" s="52" t="str">
        <f aca="false">IF(L3369="","",INDEX(ポート振替表!$K$5:$K$3507,$L3369)&amp;" "&amp;INDEX(ポート振替表!$L$5:$L$3507,$L3369)&amp;"  ⇔  "&amp;INDEX(ポート振替表!$H$5:$H$3507,$L3369)&amp;" "&amp;INDEX(ポート振替表!$I$5:$I$3507,$L3369))</f>
        <v/>
      </c>
      <c r="G3369" s="57" t="s">
        <v>158</v>
      </c>
      <c r="H3369" s="32" t="str">
        <f aca="false">IF(L3369="","",INDEX(ポート振替表!$N$5:$N$3507,$L3369)&amp;"")</f>
        <v/>
      </c>
      <c r="I3369" s="32" t="str">
        <f aca="false">IF(L3369="","",INDEX(ポート振替表!$P$5:$P$3507,$L3369)&amp;"")</f>
        <v/>
      </c>
      <c r="J3369" s="60" t="str">
        <f aca="false">IF(L3369="","",INDEX(ポート振替表!$M$5:$M$3507,$L3369)&amp;"")</f>
        <v/>
      </c>
      <c r="K3369" s="52" t="str">
        <f aca="false">IF(L3369="","",E3369&amp;CHAR(10)&amp;INDEX(ポート振替表!$K$5:$K$3507,$L3369)&amp;" "&amp;INDEX(ポート振替表!$L$5:$L$3507,$L3369)&amp;CHAR(10)&amp;"⇔ "&amp;INDEX(ポート振替表!$H$5:$H$3507,$L3369)&amp;" "&amp;INDEX(ポート振替表!$I$5:$I$3507,$L3369))</f>
        <v/>
      </c>
      <c r="L3369" s="47" t="str">
        <f aca="false">IFERROR(MATCH(ROW()-4,ポート振替表!$V$5:$V$3507,0),"")</f>
        <v/>
      </c>
    </row>
    <row r="3370" customFormat="false" ht="16.4" hidden="false" customHeight="false" outlineLevel="0" collapsed="false">
      <c r="A3370" s="32" t="str">
        <f aca="false">IF(L3370="","",ROW()-4)</f>
        <v/>
      </c>
      <c r="B3370" s="58" t="str">
        <f aca="false">IF(L3370="","",IF(INDEX(ポート振替表!$W$5:$W$3507,$L3370)="","(なし)",INDEX(ポート振替表!$W$5:$W$3507,$L3370)&amp;""))</f>
        <v/>
      </c>
      <c r="C3370" s="52" t="str">
        <f aca="false">IF(L3370="","",INDEX(ポート振替表!$B$5:$B$3507,$L3370)&amp;" "&amp;INDEX(ポート振替表!$C$5:$C$3507,$L3370)&amp;"  ⇔  "&amp;INDEX(ポート振替表!$H$5:$H$3507,$L3370)&amp;" "&amp;INDEX(ポート振替表!$I$5:$I$3507,$L3370))</f>
        <v/>
      </c>
      <c r="D3370" s="57" t="s">
        <v>158</v>
      </c>
      <c r="E3370" s="59" t="str">
        <f aca="false">IF(L3370="","",IF(INDEX(ポート振替表!$O$5:$O$3507,$L3370)="","(未設定)",INDEX(ポート振替表!$O$5:$O$3507,$L3370)&amp;""))</f>
        <v/>
      </c>
      <c r="F3370" s="52" t="str">
        <f aca="false">IF(L3370="","",INDEX(ポート振替表!$K$5:$K$3507,$L3370)&amp;" "&amp;INDEX(ポート振替表!$L$5:$L$3507,$L3370)&amp;"  ⇔  "&amp;INDEX(ポート振替表!$H$5:$H$3507,$L3370)&amp;" "&amp;INDEX(ポート振替表!$I$5:$I$3507,$L3370))</f>
        <v/>
      </c>
      <c r="G3370" s="57" t="s">
        <v>158</v>
      </c>
      <c r="H3370" s="32" t="str">
        <f aca="false">IF(L3370="","",INDEX(ポート振替表!$N$5:$N$3507,$L3370)&amp;"")</f>
        <v/>
      </c>
      <c r="I3370" s="32" t="str">
        <f aca="false">IF(L3370="","",INDEX(ポート振替表!$P$5:$P$3507,$L3370)&amp;"")</f>
        <v/>
      </c>
      <c r="J3370" s="60" t="str">
        <f aca="false">IF(L3370="","",INDEX(ポート振替表!$M$5:$M$3507,$L3370)&amp;"")</f>
        <v/>
      </c>
      <c r="K3370" s="52" t="str">
        <f aca="false">IF(L3370="","",E3370&amp;CHAR(10)&amp;INDEX(ポート振替表!$K$5:$K$3507,$L3370)&amp;" "&amp;INDEX(ポート振替表!$L$5:$L$3507,$L3370)&amp;CHAR(10)&amp;"⇔ "&amp;INDEX(ポート振替表!$H$5:$H$3507,$L3370)&amp;" "&amp;INDEX(ポート振替表!$I$5:$I$3507,$L3370))</f>
        <v/>
      </c>
      <c r="L3370" s="47" t="str">
        <f aca="false">IFERROR(MATCH(ROW()-4,ポート振替表!$V$5:$V$3507,0),"")</f>
        <v/>
      </c>
    </row>
    <row r="3371" customFormat="false" ht="16.4" hidden="false" customHeight="false" outlineLevel="0" collapsed="false">
      <c r="A3371" s="32" t="str">
        <f aca="false">IF(L3371="","",ROW()-4)</f>
        <v/>
      </c>
      <c r="B3371" s="58" t="str">
        <f aca="false">IF(L3371="","",IF(INDEX(ポート振替表!$W$5:$W$3507,$L3371)="","(なし)",INDEX(ポート振替表!$W$5:$W$3507,$L3371)&amp;""))</f>
        <v/>
      </c>
      <c r="C3371" s="52" t="str">
        <f aca="false">IF(L3371="","",INDEX(ポート振替表!$B$5:$B$3507,$L3371)&amp;" "&amp;INDEX(ポート振替表!$C$5:$C$3507,$L3371)&amp;"  ⇔  "&amp;INDEX(ポート振替表!$H$5:$H$3507,$L3371)&amp;" "&amp;INDEX(ポート振替表!$I$5:$I$3507,$L3371))</f>
        <v/>
      </c>
      <c r="D3371" s="57" t="s">
        <v>158</v>
      </c>
      <c r="E3371" s="59" t="str">
        <f aca="false">IF(L3371="","",IF(INDEX(ポート振替表!$O$5:$O$3507,$L3371)="","(未設定)",INDEX(ポート振替表!$O$5:$O$3507,$L3371)&amp;""))</f>
        <v/>
      </c>
      <c r="F3371" s="52" t="str">
        <f aca="false">IF(L3371="","",INDEX(ポート振替表!$K$5:$K$3507,$L3371)&amp;" "&amp;INDEX(ポート振替表!$L$5:$L$3507,$L3371)&amp;"  ⇔  "&amp;INDEX(ポート振替表!$H$5:$H$3507,$L3371)&amp;" "&amp;INDEX(ポート振替表!$I$5:$I$3507,$L3371))</f>
        <v/>
      </c>
      <c r="G3371" s="57" t="s">
        <v>158</v>
      </c>
      <c r="H3371" s="32" t="str">
        <f aca="false">IF(L3371="","",INDEX(ポート振替表!$N$5:$N$3507,$L3371)&amp;"")</f>
        <v/>
      </c>
      <c r="I3371" s="32" t="str">
        <f aca="false">IF(L3371="","",INDEX(ポート振替表!$P$5:$P$3507,$L3371)&amp;"")</f>
        <v/>
      </c>
      <c r="J3371" s="60" t="str">
        <f aca="false">IF(L3371="","",INDEX(ポート振替表!$M$5:$M$3507,$L3371)&amp;"")</f>
        <v/>
      </c>
      <c r="K3371" s="52" t="str">
        <f aca="false">IF(L3371="","",E3371&amp;CHAR(10)&amp;INDEX(ポート振替表!$K$5:$K$3507,$L3371)&amp;" "&amp;INDEX(ポート振替表!$L$5:$L$3507,$L3371)&amp;CHAR(10)&amp;"⇔ "&amp;INDEX(ポート振替表!$H$5:$H$3507,$L3371)&amp;" "&amp;INDEX(ポート振替表!$I$5:$I$3507,$L3371))</f>
        <v/>
      </c>
      <c r="L3371" s="47" t="str">
        <f aca="false">IFERROR(MATCH(ROW()-4,ポート振替表!$V$5:$V$3507,0),"")</f>
        <v/>
      </c>
    </row>
    <row r="3372" customFormat="false" ht="16.4" hidden="false" customHeight="false" outlineLevel="0" collapsed="false">
      <c r="A3372" s="32" t="str">
        <f aca="false">IF(L3372="","",ROW()-4)</f>
        <v/>
      </c>
      <c r="B3372" s="58" t="str">
        <f aca="false">IF(L3372="","",IF(INDEX(ポート振替表!$W$5:$W$3507,$L3372)="","(なし)",INDEX(ポート振替表!$W$5:$W$3507,$L3372)&amp;""))</f>
        <v/>
      </c>
      <c r="C3372" s="52" t="str">
        <f aca="false">IF(L3372="","",INDEX(ポート振替表!$B$5:$B$3507,$L3372)&amp;" "&amp;INDEX(ポート振替表!$C$5:$C$3507,$L3372)&amp;"  ⇔  "&amp;INDEX(ポート振替表!$H$5:$H$3507,$L3372)&amp;" "&amp;INDEX(ポート振替表!$I$5:$I$3507,$L3372))</f>
        <v/>
      </c>
      <c r="D3372" s="57" t="s">
        <v>158</v>
      </c>
      <c r="E3372" s="59" t="str">
        <f aca="false">IF(L3372="","",IF(INDEX(ポート振替表!$O$5:$O$3507,$L3372)="","(未設定)",INDEX(ポート振替表!$O$5:$O$3507,$L3372)&amp;""))</f>
        <v/>
      </c>
      <c r="F3372" s="52" t="str">
        <f aca="false">IF(L3372="","",INDEX(ポート振替表!$K$5:$K$3507,$L3372)&amp;" "&amp;INDEX(ポート振替表!$L$5:$L$3507,$L3372)&amp;"  ⇔  "&amp;INDEX(ポート振替表!$H$5:$H$3507,$L3372)&amp;" "&amp;INDEX(ポート振替表!$I$5:$I$3507,$L3372))</f>
        <v/>
      </c>
      <c r="G3372" s="57" t="s">
        <v>158</v>
      </c>
      <c r="H3372" s="32" t="str">
        <f aca="false">IF(L3372="","",INDEX(ポート振替表!$N$5:$N$3507,$L3372)&amp;"")</f>
        <v/>
      </c>
      <c r="I3372" s="32" t="str">
        <f aca="false">IF(L3372="","",INDEX(ポート振替表!$P$5:$P$3507,$L3372)&amp;"")</f>
        <v/>
      </c>
      <c r="J3372" s="60" t="str">
        <f aca="false">IF(L3372="","",INDEX(ポート振替表!$M$5:$M$3507,$L3372)&amp;"")</f>
        <v/>
      </c>
      <c r="K3372" s="52" t="str">
        <f aca="false">IF(L3372="","",E3372&amp;CHAR(10)&amp;INDEX(ポート振替表!$K$5:$K$3507,$L3372)&amp;" "&amp;INDEX(ポート振替表!$L$5:$L$3507,$L3372)&amp;CHAR(10)&amp;"⇔ "&amp;INDEX(ポート振替表!$H$5:$H$3507,$L3372)&amp;" "&amp;INDEX(ポート振替表!$I$5:$I$3507,$L3372))</f>
        <v/>
      </c>
      <c r="L3372" s="47" t="str">
        <f aca="false">IFERROR(MATCH(ROW()-4,ポート振替表!$V$5:$V$3507,0),"")</f>
        <v/>
      </c>
    </row>
    <row r="3373" customFormat="false" ht="16.4" hidden="false" customHeight="false" outlineLevel="0" collapsed="false">
      <c r="A3373" s="32" t="str">
        <f aca="false">IF(L3373="","",ROW()-4)</f>
        <v/>
      </c>
      <c r="B3373" s="58" t="str">
        <f aca="false">IF(L3373="","",IF(INDEX(ポート振替表!$W$5:$W$3507,$L3373)="","(なし)",INDEX(ポート振替表!$W$5:$W$3507,$L3373)&amp;""))</f>
        <v/>
      </c>
      <c r="C3373" s="52" t="str">
        <f aca="false">IF(L3373="","",INDEX(ポート振替表!$B$5:$B$3507,$L3373)&amp;" "&amp;INDEX(ポート振替表!$C$5:$C$3507,$L3373)&amp;"  ⇔  "&amp;INDEX(ポート振替表!$H$5:$H$3507,$L3373)&amp;" "&amp;INDEX(ポート振替表!$I$5:$I$3507,$L3373))</f>
        <v/>
      </c>
      <c r="D3373" s="57" t="s">
        <v>158</v>
      </c>
      <c r="E3373" s="59" t="str">
        <f aca="false">IF(L3373="","",IF(INDEX(ポート振替表!$O$5:$O$3507,$L3373)="","(未設定)",INDEX(ポート振替表!$O$5:$O$3507,$L3373)&amp;""))</f>
        <v/>
      </c>
      <c r="F3373" s="52" t="str">
        <f aca="false">IF(L3373="","",INDEX(ポート振替表!$K$5:$K$3507,$L3373)&amp;" "&amp;INDEX(ポート振替表!$L$5:$L$3507,$L3373)&amp;"  ⇔  "&amp;INDEX(ポート振替表!$H$5:$H$3507,$L3373)&amp;" "&amp;INDEX(ポート振替表!$I$5:$I$3507,$L3373))</f>
        <v/>
      </c>
      <c r="G3373" s="57" t="s">
        <v>158</v>
      </c>
      <c r="H3373" s="32" t="str">
        <f aca="false">IF(L3373="","",INDEX(ポート振替表!$N$5:$N$3507,$L3373)&amp;"")</f>
        <v/>
      </c>
      <c r="I3373" s="32" t="str">
        <f aca="false">IF(L3373="","",INDEX(ポート振替表!$P$5:$P$3507,$L3373)&amp;"")</f>
        <v/>
      </c>
      <c r="J3373" s="60" t="str">
        <f aca="false">IF(L3373="","",INDEX(ポート振替表!$M$5:$M$3507,$L3373)&amp;"")</f>
        <v/>
      </c>
      <c r="K3373" s="52" t="str">
        <f aca="false">IF(L3373="","",E3373&amp;CHAR(10)&amp;INDEX(ポート振替表!$K$5:$K$3507,$L3373)&amp;" "&amp;INDEX(ポート振替表!$L$5:$L$3507,$L3373)&amp;CHAR(10)&amp;"⇔ "&amp;INDEX(ポート振替表!$H$5:$H$3507,$L3373)&amp;" "&amp;INDEX(ポート振替表!$I$5:$I$3507,$L3373))</f>
        <v/>
      </c>
      <c r="L3373" s="47" t="str">
        <f aca="false">IFERROR(MATCH(ROW()-4,ポート振替表!$V$5:$V$3507,0),"")</f>
        <v/>
      </c>
    </row>
    <row r="3374" customFormat="false" ht="16.4" hidden="false" customHeight="false" outlineLevel="0" collapsed="false">
      <c r="A3374" s="32" t="str">
        <f aca="false">IF(L3374="","",ROW()-4)</f>
        <v/>
      </c>
      <c r="B3374" s="58" t="str">
        <f aca="false">IF(L3374="","",IF(INDEX(ポート振替表!$W$5:$W$3507,$L3374)="","(なし)",INDEX(ポート振替表!$W$5:$W$3507,$L3374)&amp;""))</f>
        <v/>
      </c>
      <c r="C3374" s="52" t="str">
        <f aca="false">IF(L3374="","",INDEX(ポート振替表!$B$5:$B$3507,$L3374)&amp;" "&amp;INDEX(ポート振替表!$C$5:$C$3507,$L3374)&amp;"  ⇔  "&amp;INDEX(ポート振替表!$H$5:$H$3507,$L3374)&amp;" "&amp;INDEX(ポート振替表!$I$5:$I$3507,$L3374))</f>
        <v/>
      </c>
      <c r="D3374" s="57" t="s">
        <v>158</v>
      </c>
      <c r="E3374" s="59" t="str">
        <f aca="false">IF(L3374="","",IF(INDEX(ポート振替表!$O$5:$O$3507,$L3374)="","(未設定)",INDEX(ポート振替表!$O$5:$O$3507,$L3374)&amp;""))</f>
        <v/>
      </c>
      <c r="F3374" s="52" t="str">
        <f aca="false">IF(L3374="","",INDEX(ポート振替表!$K$5:$K$3507,$L3374)&amp;" "&amp;INDEX(ポート振替表!$L$5:$L$3507,$L3374)&amp;"  ⇔  "&amp;INDEX(ポート振替表!$H$5:$H$3507,$L3374)&amp;" "&amp;INDEX(ポート振替表!$I$5:$I$3507,$L3374))</f>
        <v/>
      </c>
      <c r="G3374" s="57" t="s">
        <v>158</v>
      </c>
      <c r="H3374" s="32" t="str">
        <f aca="false">IF(L3374="","",INDEX(ポート振替表!$N$5:$N$3507,$L3374)&amp;"")</f>
        <v/>
      </c>
      <c r="I3374" s="32" t="str">
        <f aca="false">IF(L3374="","",INDEX(ポート振替表!$P$5:$P$3507,$L3374)&amp;"")</f>
        <v/>
      </c>
      <c r="J3374" s="60" t="str">
        <f aca="false">IF(L3374="","",INDEX(ポート振替表!$M$5:$M$3507,$L3374)&amp;"")</f>
        <v/>
      </c>
      <c r="K3374" s="52" t="str">
        <f aca="false">IF(L3374="","",E3374&amp;CHAR(10)&amp;INDEX(ポート振替表!$K$5:$K$3507,$L3374)&amp;" "&amp;INDEX(ポート振替表!$L$5:$L$3507,$L3374)&amp;CHAR(10)&amp;"⇔ "&amp;INDEX(ポート振替表!$H$5:$H$3507,$L3374)&amp;" "&amp;INDEX(ポート振替表!$I$5:$I$3507,$L3374))</f>
        <v/>
      </c>
      <c r="L3374" s="47" t="str">
        <f aca="false">IFERROR(MATCH(ROW()-4,ポート振替表!$V$5:$V$3507,0),"")</f>
        <v/>
      </c>
    </row>
    <row r="3375" customFormat="false" ht="16.4" hidden="false" customHeight="false" outlineLevel="0" collapsed="false">
      <c r="A3375" s="32" t="str">
        <f aca="false">IF(L3375="","",ROW()-4)</f>
        <v/>
      </c>
      <c r="B3375" s="58" t="str">
        <f aca="false">IF(L3375="","",IF(INDEX(ポート振替表!$W$5:$W$3507,$L3375)="","(なし)",INDEX(ポート振替表!$W$5:$W$3507,$L3375)&amp;""))</f>
        <v/>
      </c>
      <c r="C3375" s="52" t="str">
        <f aca="false">IF(L3375="","",INDEX(ポート振替表!$B$5:$B$3507,$L3375)&amp;" "&amp;INDEX(ポート振替表!$C$5:$C$3507,$L3375)&amp;"  ⇔  "&amp;INDEX(ポート振替表!$H$5:$H$3507,$L3375)&amp;" "&amp;INDEX(ポート振替表!$I$5:$I$3507,$L3375))</f>
        <v/>
      </c>
      <c r="D3375" s="57" t="s">
        <v>158</v>
      </c>
      <c r="E3375" s="59" t="str">
        <f aca="false">IF(L3375="","",IF(INDEX(ポート振替表!$O$5:$O$3507,$L3375)="","(未設定)",INDEX(ポート振替表!$O$5:$O$3507,$L3375)&amp;""))</f>
        <v/>
      </c>
      <c r="F3375" s="52" t="str">
        <f aca="false">IF(L3375="","",INDEX(ポート振替表!$K$5:$K$3507,$L3375)&amp;" "&amp;INDEX(ポート振替表!$L$5:$L$3507,$L3375)&amp;"  ⇔  "&amp;INDEX(ポート振替表!$H$5:$H$3507,$L3375)&amp;" "&amp;INDEX(ポート振替表!$I$5:$I$3507,$L3375))</f>
        <v/>
      </c>
      <c r="G3375" s="57" t="s">
        <v>158</v>
      </c>
      <c r="H3375" s="32" t="str">
        <f aca="false">IF(L3375="","",INDEX(ポート振替表!$N$5:$N$3507,$L3375)&amp;"")</f>
        <v/>
      </c>
      <c r="I3375" s="32" t="str">
        <f aca="false">IF(L3375="","",INDEX(ポート振替表!$P$5:$P$3507,$L3375)&amp;"")</f>
        <v/>
      </c>
      <c r="J3375" s="60" t="str">
        <f aca="false">IF(L3375="","",INDEX(ポート振替表!$M$5:$M$3507,$L3375)&amp;"")</f>
        <v/>
      </c>
      <c r="K3375" s="52" t="str">
        <f aca="false">IF(L3375="","",E3375&amp;CHAR(10)&amp;INDEX(ポート振替表!$K$5:$K$3507,$L3375)&amp;" "&amp;INDEX(ポート振替表!$L$5:$L$3507,$L3375)&amp;CHAR(10)&amp;"⇔ "&amp;INDEX(ポート振替表!$H$5:$H$3507,$L3375)&amp;" "&amp;INDEX(ポート振替表!$I$5:$I$3507,$L3375))</f>
        <v/>
      </c>
      <c r="L3375" s="47" t="str">
        <f aca="false">IFERROR(MATCH(ROW()-4,ポート振替表!$V$5:$V$3507,0),"")</f>
        <v/>
      </c>
    </row>
    <row r="3376" customFormat="false" ht="16.4" hidden="false" customHeight="false" outlineLevel="0" collapsed="false">
      <c r="A3376" s="32" t="str">
        <f aca="false">IF(L3376="","",ROW()-4)</f>
        <v/>
      </c>
      <c r="B3376" s="58" t="str">
        <f aca="false">IF(L3376="","",IF(INDEX(ポート振替表!$W$5:$W$3507,$L3376)="","(なし)",INDEX(ポート振替表!$W$5:$W$3507,$L3376)&amp;""))</f>
        <v/>
      </c>
      <c r="C3376" s="52" t="str">
        <f aca="false">IF(L3376="","",INDEX(ポート振替表!$B$5:$B$3507,$L3376)&amp;" "&amp;INDEX(ポート振替表!$C$5:$C$3507,$L3376)&amp;"  ⇔  "&amp;INDEX(ポート振替表!$H$5:$H$3507,$L3376)&amp;" "&amp;INDEX(ポート振替表!$I$5:$I$3507,$L3376))</f>
        <v/>
      </c>
      <c r="D3376" s="57" t="s">
        <v>158</v>
      </c>
      <c r="E3376" s="59" t="str">
        <f aca="false">IF(L3376="","",IF(INDEX(ポート振替表!$O$5:$O$3507,$L3376)="","(未設定)",INDEX(ポート振替表!$O$5:$O$3507,$L3376)&amp;""))</f>
        <v/>
      </c>
      <c r="F3376" s="52" t="str">
        <f aca="false">IF(L3376="","",INDEX(ポート振替表!$K$5:$K$3507,$L3376)&amp;" "&amp;INDEX(ポート振替表!$L$5:$L$3507,$L3376)&amp;"  ⇔  "&amp;INDEX(ポート振替表!$H$5:$H$3507,$L3376)&amp;" "&amp;INDEX(ポート振替表!$I$5:$I$3507,$L3376))</f>
        <v/>
      </c>
      <c r="G3376" s="57" t="s">
        <v>158</v>
      </c>
      <c r="H3376" s="32" t="str">
        <f aca="false">IF(L3376="","",INDEX(ポート振替表!$N$5:$N$3507,$L3376)&amp;"")</f>
        <v/>
      </c>
      <c r="I3376" s="32" t="str">
        <f aca="false">IF(L3376="","",INDEX(ポート振替表!$P$5:$P$3507,$L3376)&amp;"")</f>
        <v/>
      </c>
      <c r="J3376" s="60" t="str">
        <f aca="false">IF(L3376="","",INDEX(ポート振替表!$M$5:$M$3507,$L3376)&amp;"")</f>
        <v/>
      </c>
      <c r="K3376" s="52" t="str">
        <f aca="false">IF(L3376="","",E3376&amp;CHAR(10)&amp;INDEX(ポート振替表!$K$5:$K$3507,$L3376)&amp;" "&amp;INDEX(ポート振替表!$L$5:$L$3507,$L3376)&amp;CHAR(10)&amp;"⇔ "&amp;INDEX(ポート振替表!$H$5:$H$3507,$L3376)&amp;" "&amp;INDEX(ポート振替表!$I$5:$I$3507,$L3376))</f>
        <v/>
      </c>
      <c r="L3376" s="47" t="str">
        <f aca="false">IFERROR(MATCH(ROW()-4,ポート振替表!$V$5:$V$3507,0),"")</f>
        <v/>
      </c>
    </row>
    <row r="3377" customFormat="false" ht="16.4" hidden="false" customHeight="false" outlineLevel="0" collapsed="false">
      <c r="A3377" s="32" t="str">
        <f aca="false">IF(L3377="","",ROW()-4)</f>
        <v/>
      </c>
      <c r="B3377" s="58" t="str">
        <f aca="false">IF(L3377="","",IF(INDEX(ポート振替表!$W$5:$W$3507,$L3377)="","(なし)",INDEX(ポート振替表!$W$5:$W$3507,$L3377)&amp;""))</f>
        <v/>
      </c>
      <c r="C3377" s="52" t="str">
        <f aca="false">IF(L3377="","",INDEX(ポート振替表!$B$5:$B$3507,$L3377)&amp;" "&amp;INDEX(ポート振替表!$C$5:$C$3507,$L3377)&amp;"  ⇔  "&amp;INDEX(ポート振替表!$H$5:$H$3507,$L3377)&amp;" "&amp;INDEX(ポート振替表!$I$5:$I$3507,$L3377))</f>
        <v/>
      </c>
      <c r="D3377" s="57" t="s">
        <v>158</v>
      </c>
      <c r="E3377" s="59" t="str">
        <f aca="false">IF(L3377="","",IF(INDEX(ポート振替表!$O$5:$O$3507,$L3377)="","(未設定)",INDEX(ポート振替表!$O$5:$O$3507,$L3377)&amp;""))</f>
        <v/>
      </c>
      <c r="F3377" s="52" t="str">
        <f aca="false">IF(L3377="","",INDEX(ポート振替表!$K$5:$K$3507,$L3377)&amp;" "&amp;INDEX(ポート振替表!$L$5:$L$3507,$L3377)&amp;"  ⇔  "&amp;INDEX(ポート振替表!$H$5:$H$3507,$L3377)&amp;" "&amp;INDEX(ポート振替表!$I$5:$I$3507,$L3377))</f>
        <v/>
      </c>
      <c r="G3377" s="57" t="s">
        <v>158</v>
      </c>
      <c r="H3377" s="32" t="str">
        <f aca="false">IF(L3377="","",INDEX(ポート振替表!$N$5:$N$3507,$L3377)&amp;"")</f>
        <v/>
      </c>
      <c r="I3377" s="32" t="str">
        <f aca="false">IF(L3377="","",INDEX(ポート振替表!$P$5:$P$3507,$L3377)&amp;"")</f>
        <v/>
      </c>
      <c r="J3377" s="60" t="str">
        <f aca="false">IF(L3377="","",INDEX(ポート振替表!$M$5:$M$3507,$L3377)&amp;"")</f>
        <v/>
      </c>
      <c r="K3377" s="52" t="str">
        <f aca="false">IF(L3377="","",E3377&amp;CHAR(10)&amp;INDEX(ポート振替表!$K$5:$K$3507,$L3377)&amp;" "&amp;INDEX(ポート振替表!$L$5:$L$3507,$L3377)&amp;CHAR(10)&amp;"⇔ "&amp;INDEX(ポート振替表!$H$5:$H$3507,$L3377)&amp;" "&amp;INDEX(ポート振替表!$I$5:$I$3507,$L3377))</f>
        <v/>
      </c>
      <c r="L3377" s="47" t="str">
        <f aca="false">IFERROR(MATCH(ROW()-4,ポート振替表!$V$5:$V$3507,0),"")</f>
        <v/>
      </c>
    </row>
    <row r="3378" customFormat="false" ht="16.4" hidden="false" customHeight="false" outlineLevel="0" collapsed="false">
      <c r="A3378" s="32" t="str">
        <f aca="false">IF(L3378="","",ROW()-4)</f>
        <v/>
      </c>
      <c r="B3378" s="58" t="str">
        <f aca="false">IF(L3378="","",IF(INDEX(ポート振替表!$W$5:$W$3507,$L3378)="","(なし)",INDEX(ポート振替表!$W$5:$W$3507,$L3378)&amp;""))</f>
        <v/>
      </c>
      <c r="C3378" s="52" t="str">
        <f aca="false">IF(L3378="","",INDEX(ポート振替表!$B$5:$B$3507,$L3378)&amp;" "&amp;INDEX(ポート振替表!$C$5:$C$3507,$L3378)&amp;"  ⇔  "&amp;INDEX(ポート振替表!$H$5:$H$3507,$L3378)&amp;" "&amp;INDEX(ポート振替表!$I$5:$I$3507,$L3378))</f>
        <v/>
      </c>
      <c r="D3378" s="57" t="s">
        <v>158</v>
      </c>
      <c r="E3378" s="59" t="str">
        <f aca="false">IF(L3378="","",IF(INDEX(ポート振替表!$O$5:$O$3507,$L3378)="","(未設定)",INDEX(ポート振替表!$O$5:$O$3507,$L3378)&amp;""))</f>
        <v/>
      </c>
      <c r="F3378" s="52" t="str">
        <f aca="false">IF(L3378="","",INDEX(ポート振替表!$K$5:$K$3507,$L3378)&amp;" "&amp;INDEX(ポート振替表!$L$5:$L$3507,$L3378)&amp;"  ⇔  "&amp;INDEX(ポート振替表!$H$5:$H$3507,$L3378)&amp;" "&amp;INDEX(ポート振替表!$I$5:$I$3507,$L3378))</f>
        <v/>
      </c>
      <c r="G3378" s="57" t="s">
        <v>158</v>
      </c>
      <c r="H3378" s="32" t="str">
        <f aca="false">IF(L3378="","",INDEX(ポート振替表!$N$5:$N$3507,$L3378)&amp;"")</f>
        <v/>
      </c>
      <c r="I3378" s="32" t="str">
        <f aca="false">IF(L3378="","",INDEX(ポート振替表!$P$5:$P$3507,$L3378)&amp;"")</f>
        <v/>
      </c>
      <c r="J3378" s="60" t="str">
        <f aca="false">IF(L3378="","",INDEX(ポート振替表!$M$5:$M$3507,$L3378)&amp;"")</f>
        <v/>
      </c>
      <c r="K3378" s="52" t="str">
        <f aca="false">IF(L3378="","",E3378&amp;CHAR(10)&amp;INDEX(ポート振替表!$K$5:$K$3507,$L3378)&amp;" "&amp;INDEX(ポート振替表!$L$5:$L$3507,$L3378)&amp;CHAR(10)&amp;"⇔ "&amp;INDEX(ポート振替表!$H$5:$H$3507,$L3378)&amp;" "&amp;INDEX(ポート振替表!$I$5:$I$3507,$L3378))</f>
        <v/>
      </c>
      <c r="L3378" s="47" t="str">
        <f aca="false">IFERROR(MATCH(ROW()-4,ポート振替表!$V$5:$V$3507,0),"")</f>
        <v/>
      </c>
    </row>
    <row r="3379" customFormat="false" ht="16.4" hidden="false" customHeight="false" outlineLevel="0" collapsed="false">
      <c r="A3379" s="32" t="str">
        <f aca="false">IF(L3379="","",ROW()-4)</f>
        <v/>
      </c>
      <c r="B3379" s="58" t="str">
        <f aca="false">IF(L3379="","",IF(INDEX(ポート振替表!$W$5:$W$3507,$L3379)="","(なし)",INDEX(ポート振替表!$W$5:$W$3507,$L3379)&amp;""))</f>
        <v/>
      </c>
      <c r="C3379" s="52" t="str">
        <f aca="false">IF(L3379="","",INDEX(ポート振替表!$B$5:$B$3507,$L3379)&amp;" "&amp;INDEX(ポート振替表!$C$5:$C$3507,$L3379)&amp;"  ⇔  "&amp;INDEX(ポート振替表!$H$5:$H$3507,$L3379)&amp;" "&amp;INDEX(ポート振替表!$I$5:$I$3507,$L3379))</f>
        <v/>
      </c>
      <c r="D3379" s="57" t="s">
        <v>158</v>
      </c>
      <c r="E3379" s="59" t="str">
        <f aca="false">IF(L3379="","",IF(INDEX(ポート振替表!$O$5:$O$3507,$L3379)="","(未設定)",INDEX(ポート振替表!$O$5:$O$3507,$L3379)&amp;""))</f>
        <v/>
      </c>
      <c r="F3379" s="52" t="str">
        <f aca="false">IF(L3379="","",INDEX(ポート振替表!$K$5:$K$3507,$L3379)&amp;" "&amp;INDEX(ポート振替表!$L$5:$L$3507,$L3379)&amp;"  ⇔  "&amp;INDEX(ポート振替表!$H$5:$H$3507,$L3379)&amp;" "&amp;INDEX(ポート振替表!$I$5:$I$3507,$L3379))</f>
        <v/>
      </c>
      <c r="G3379" s="57" t="s">
        <v>158</v>
      </c>
      <c r="H3379" s="32" t="str">
        <f aca="false">IF(L3379="","",INDEX(ポート振替表!$N$5:$N$3507,$L3379)&amp;"")</f>
        <v/>
      </c>
      <c r="I3379" s="32" t="str">
        <f aca="false">IF(L3379="","",INDEX(ポート振替表!$P$5:$P$3507,$L3379)&amp;"")</f>
        <v/>
      </c>
      <c r="J3379" s="60" t="str">
        <f aca="false">IF(L3379="","",INDEX(ポート振替表!$M$5:$M$3507,$L3379)&amp;"")</f>
        <v/>
      </c>
      <c r="K3379" s="52" t="str">
        <f aca="false">IF(L3379="","",E3379&amp;CHAR(10)&amp;INDEX(ポート振替表!$K$5:$K$3507,$L3379)&amp;" "&amp;INDEX(ポート振替表!$L$5:$L$3507,$L3379)&amp;CHAR(10)&amp;"⇔ "&amp;INDEX(ポート振替表!$H$5:$H$3507,$L3379)&amp;" "&amp;INDEX(ポート振替表!$I$5:$I$3507,$L3379))</f>
        <v/>
      </c>
      <c r="L3379" s="47" t="str">
        <f aca="false">IFERROR(MATCH(ROW()-4,ポート振替表!$V$5:$V$3507,0),"")</f>
        <v/>
      </c>
    </row>
    <row r="3380" customFormat="false" ht="16.4" hidden="false" customHeight="false" outlineLevel="0" collapsed="false">
      <c r="A3380" s="32" t="str">
        <f aca="false">IF(L3380="","",ROW()-4)</f>
        <v/>
      </c>
      <c r="B3380" s="58" t="str">
        <f aca="false">IF(L3380="","",IF(INDEX(ポート振替表!$W$5:$W$3507,$L3380)="","(なし)",INDEX(ポート振替表!$W$5:$W$3507,$L3380)&amp;""))</f>
        <v/>
      </c>
      <c r="C3380" s="52" t="str">
        <f aca="false">IF(L3380="","",INDEX(ポート振替表!$B$5:$B$3507,$L3380)&amp;" "&amp;INDEX(ポート振替表!$C$5:$C$3507,$L3380)&amp;"  ⇔  "&amp;INDEX(ポート振替表!$H$5:$H$3507,$L3380)&amp;" "&amp;INDEX(ポート振替表!$I$5:$I$3507,$L3380))</f>
        <v/>
      </c>
      <c r="D3380" s="57" t="s">
        <v>158</v>
      </c>
      <c r="E3380" s="59" t="str">
        <f aca="false">IF(L3380="","",IF(INDEX(ポート振替表!$O$5:$O$3507,$L3380)="","(未設定)",INDEX(ポート振替表!$O$5:$O$3507,$L3380)&amp;""))</f>
        <v/>
      </c>
      <c r="F3380" s="52" t="str">
        <f aca="false">IF(L3380="","",INDEX(ポート振替表!$K$5:$K$3507,$L3380)&amp;" "&amp;INDEX(ポート振替表!$L$5:$L$3507,$L3380)&amp;"  ⇔  "&amp;INDEX(ポート振替表!$H$5:$H$3507,$L3380)&amp;" "&amp;INDEX(ポート振替表!$I$5:$I$3507,$L3380))</f>
        <v/>
      </c>
      <c r="G3380" s="57" t="s">
        <v>158</v>
      </c>
      <c r="H3380" s="32" t="str">
        <f aca="false">IF(L3380="","",INDEX(ポート振替表!$N$5:$N$3507,$L3380)&amp;"")</f>
        <v/>
      </c>
      <c r="I3380" s="32" t="str">
        <f aca="false">IF(L3380="","",INDEX(ポート振替表!$P$5:$P$3507,$L3380)&amp;"")</f>
        <v/>
      </c>
      <c r="J3380" s="60" t="str">
        <f aca="false">IF(L3380="","",INDEX(ポート振替表!$M$5:$M$3507,$L3380)&amp;"")</f>
        <v/>
      </c>
      <c r="K3380" s="52" t="str">
        <f aca="false">IF(L3380="","",E3380&amp;CHAR(10)&amp;INDEX(ポート振替表!$K$5:$K$3507,$L3380)&amp;" "&amp;INDEX(ポート振替表!$L$5:$L$3507,$L3380)&amp;CHAR(10)&amp;"⇔ "&amp;INDEX(ポート振替表!$H$5:$H$3507,$L3380)&amp;" "&amp;INDEX(ポート振替表!$I$5:$I$3507,$L3380))</f>
        <v/>
      </c>
      <c r="L3380" s="47" t="str">
        <f aca="false">IFERROR(MATCH(ROW()-4,ポート振替表!$V$5:$V$3507,0),"")</f>
        <v/>
      </c>
    </row>
    <row r="3381" customFormat="false" ht="16.4" hidden="false" customHeight="false" outlineLevel="0" collapsed="false">
      <c r="A3381" s="32" t="str">
        <f aca="false">IF(L3381="","",ROW()-4)</f>
        <v/>
      </c>
      <c r="B3381" s="58" t="str">
        <f aca="false">IF(L3381="","",IF(INDEX(ポート振替表!$W$5:$W$3507,$L3381)="","(なし)",INDEX(ポート振替表!$W$5:$W$3507,$L3381)&amp;""))</f>
        <v/>
      </c>
      <c r="C3381" s="52" t="str">
        <f aca="false">IF(L3381="","",INDEX(ポート振替表!$B$5:$B$3507,$L3381)&amp;" "&amp;INDEX(ポート振替表!$C$5:$C$3507,$L3381)&amp;"  ⇔  "&amp;INDEX(ポート振替表!$H$5:$H$3507,$L3381)&amp;" "&amp;INDEX(ポート振替表!$I$5:$I$3507,$L3381))</f>
        <v/>
      </c>
      <c r="D3381" s="57" t="s">
        <v>158</v>
      </c>
      <c r="E3381" s="59" t="str">
        <f aca="false">IF(L3381="","",IF(INDEX(ポート振替表!$O$5:$O$3507,$L3381)="","(未設定)",INDEX(ポート振替表!$O$5:$O$3507,$L3381)&amp;""))</f>
        <v/>
      </c>
      <c r="F3381" s="52" t="str">
        <f aca="false">IF(L3381="","",INDEX(ポート振替表!$K$5:$K$3507,$L3381)&amp;" "&amp;INDEX(ポート振替表!$L$5:$L$3507,$L3381)&amp;"  ⇔  "&amp;INDEX(ポート振替表!$H$5:$H$3507,$L3381)&amp;" "&amp;INDEX(ポート振替表!$I$5:$I$3507,$L3381))</f>
        <v/>
      </c>
      <c r="G3381" s="57" t="s">
        <v>158</v>
      </c>
      <c r="H3381" s="32" t="str">
        <f aca="false">IF(L3381="","",INDEX(ポート振替表!$N$5:$N$3507,$L3381)&amp;"")</f>
        <v/>
      </c>
      <c r="I3381" s="32" t="str">
        <f aca="false">IF(L3381="","",INDEX(ポート振替表!$P$5:$P$3507,$L3381)&amp;"")</f>
        <v/>
      </c>
      <c r="J3381" s="60" t="str">
        <f aca="false">IF(L3381="","",INDEX(ポート振替表!$M$5:$M$3507,$L3381)&amp;"")</f>
        <v/>
      </c>
      <c r="K3381" s="52" t="str">
        <f aca="false">IF(L3381="","",E3381&amp;CHAR(10)&amp;INDEX(ポート振替表!$K$5:$K$3507,$L3381)&amp;" "&amp;INDEX(ポート振替表!$L$5:$L$3507,$L3381)&amp;CHAR(10)&amp;"⇔ "&amp;INDEX(ポート振替表!$H$5:$H$3507,$L3381)&amp;" "&amp;INDEX(ポート振替表!$I$5:$I$3507,$L3381))</f>
        <v/>
      </c>
      <c r="L3381" s="47" t="str">
        <f aca="false">IFERROR(MATCH(ROW()-4,ポート振替表!$V$5:$V$3507,0),"")</f>
        <v/>
      </c>
    </row>
    <row r="3382" customFormat="false" ht="16.4" hidden="false" customHeight="false" outlineLevel="0" collapsed="false">
      <c r="A3382" s="32" t="str">
        <f aca="false">IF(L3382="","",ROW()-4)</f>
        <v/>
      </c>
      <c r="B3382" s="58" t="str">
        <f aca="false">IF(L3382="","",IF(INDEX(ポート振替表!$W$5:$W$3507,$L3382)="","(なし)",INDEX(ポート振替表!$W$5:$W$3507,$L3382)&amp;""))</f>
        <v/>
      </c>
      <c r="C3382" s="52" t="str">
        <f aca="false">IF(L3382="","",INDEX(ポート振替表!$B$5:$B$3507,$L3382)&amp;" "&amp;INDEX(ポート振替表!$C$5:$C$3507,$L3382)&amp;"  ⇔  "&amp;INDEX(ポート振替表!$H$5:$H$3507,$L3382)&amp;" "&amp;INDEX(ポート振替表!$I$5:$I$3507,$L3382))</f>
        <v/>
      </c>
      <c r="D3382" s="57" t="s">
        <v>158</v>
      </c>
      <c r="E3382" s="59" t="str">
        <f aca="false">IF(L3382="","",IF(INDEX(ポート振替表!$O$5:$O$3507,$L3382)="","(未設定)",INDEX(ポート振替表!$O$5:$O$3507,$L3382)&amp;""))</f>
        <v/>
      </c>
      <c r="F3382" s="52" t="str">
        <f aca="false">IF(L3382="","",INDEX(ポート振替表!$K$5:$K$3507,$L3382)&amp;" "&amp;INDEX(ポート振替表!$L$5:$L$3507,$L3382)&amp;"  ⇔  "&amp;INDEX(ポート振替表!$H$5:$H$3507,$L3382)&amp;" "&amp;INDEX(ポート振替表!$I$5:$I$3507,$L3382))</f>
        <v/>
      </c>
      <c r="G3382" s="57" t="s">
        <v>158</v>
      </c>
      <c r="H3382" s="32" t="str">
        <f aca="false">IF(L3382="","",INDEX(ポート振替表!$N$5:$N$3507,$L3382)&amp;"")</f>
        <v/>
      </c>
      <c r="I3382" s="32" t="str">
        <f aca="false">IF(L3382="","",INDEX(ポート振替表!$P$5:$P$3507,$L3382)&amp;"")</f>
        <v/>
      </c>
      <c r="J3382" s="60" t="str">
        <f aca="false">IF(L3382="","",INDEX(ポート振替表!$M$5:$M$3507,$L3382)&amp;"")</f>
        <v/>
      </c>
      <c r="K3382" s="52" t="str">
        <f aca="false">IF(L3382="","",E3382&amp;CHAR(10)&amp;INDEX(ポート振替表!$K$5:$K$3507,$L3382)&amp;" "&amp;INDEX(ポート振替表!$L$5:$L$3507,$L3382)&amp;CHAR(10)&amp;"⇔ "&amp;INDEX(ポート振替表!$H$5:$H$3507,$L3382)&amp;" "&amp;INDEX(ポート振替表!$I$5:$I$3507,$L3382))</f>
        <v/>
      </c>
      <c r="L3382" s="47" t="str">
        <f aca="false">IFERROR(MATCH(ROW()-4,ポート振替表!$V$5:$V$3507,0),"")</f>
        <v/>
      </c>
    </row>
    <row r="3383" customFormat="false" ht="16.4" hidden="false" customHeight="false" outlineLevel="0" collapsed="false">
      <c r="A3383" s="32" t="str">
        <f aca="false">IF(L3383="","",ROW()-4)</f>
        <v/>
      </c>
      <c r="B3383" s="58" t="str">
        <f aca="false">IF(L3383="","",IF(INDEX(ポート振替表!$W$5:$W$3507,$L3383)="","(なし)",INDEX(ポート振替表!$W$5:$W$3507,$L3383)&amp;""))</f>
        <v/>
      </c>
      <c r="C3383" s="52" t="str">
        <f aca="false">IF(L3383="","",INDEX(ポート振替表!$B$5:$B$3507,$L3383)&amp;" "&amp;INDEX(ポート振替表!$C$5:$C$3507,$L3383)&amp;"  ⇔  "&amp;INDEX(ポート振替表!$H$5:$H$3507,$L3383)&amp;" "&amp;INDEX(ポート振替表!$I$5:$I$3507,$L3383))</f>
        <v/>
      </c>
      <c r="D3383" s="57" t="s">
        <v>158</v>
      </c>
      <c r="E3383" s="59" t="str">
        <f aca="false">IF(L3383="","",IF(INDEX(ポート振替表!$O$5:$O$3507,$L3383)="","(未設定)",INDEX(ポート振替表!$O$5:$O$3507,$L3383)&amp;""))</f>
        <v/>
      </c>
      <c r="F3383" s="52" t="str">
        <f aca="false">IF(L3383="","",INDEX(ポート振替表!$K$5:$K$3507,$L3383)&amp;" "&amp;INDEX(ポート振替表!$L$5:$L$3507,$L3383)&amp;"  ⇔  "&amp;INDEX(ポート振替表!$H$5:$H$3507,$L3383)&amp;" "&amp;INDEX(ポート振替表!$I$5:$I$3507,$L3383))</f>
        <v/>
      </c>
      <c r="G3383" s="57" t="s">
        <v>158</v>
      </c>
      <c r="H3383" s="32" t="str">
        <f aca="false">IF(L3383="","",INDEX(ポート振替表!$N$5:$N$3507,$L3383)&amp;"")</f>
        <v/>
      </c>
      <c r="I3383" s="32" t="str">
        <f aca="false">IF(L3383="","",INDEX(ポート振替表!$P$5:$P$3507,$L3383)&amp;"")</f>
        <v/>
      </c>
      <c r="J3383" s="60" t="str">
        <f aca="false">IF(L3383="","",INDEX(ポート振替表!$M$5:$M$3507,$L3383)&amp;"")</f>
        <v/>
      </c>
      <c r="K3383" s="52" t="str">
        <f aca="false">IF(L3383="","",E3383&amp;CHAR(10)&amp;INDEX(ポート振替表!$K$5:$K$3507,$L3383)&amp;" "&amp;INDEX(ポート振替表!$L$5:$L$3507,$L3383)&amp;CHAR(10)&amp;"⇔ "&amp;INDEX(ポート振替表!$H$5:$H$3507,$L3383)&amp;" "&amp;INDEX(ポート振替表!$I$5:$I$3507,$L3383))</f>
        <v/>
      </c>
      <c r="L3383" s="47" t="str">
        <f aca="false">IFERROR(MATCH(ROW()-4,ポート振替表!$V$5:$V$3507,0),"")</f>
        <v/>
      </c>
    </row>
    <row r="3384" customFormat="false" ht="16.4" hidden="false" customHeight="false" outlineLevel="0" collapsed="false">
      <c r="A3384" s="32" t="str">
        <f aca="false">IF(L3384="","",ROW()-4)</f>
        <v/>
      </c>
      <c r="B3384" s="58" t="str">
        <f aca="false">IF(L3384="","",IF(INDEX(ポート振替表!$W$5:$W$3507,$L3384)="","(なし)",INDEX(ポート振替表!$W$5:$W$3507,$L3384)&amp;""))</f>
        <v/>
      </c>
      <c r="C3384" s="52" t="str">
        <f aca="false">IF(L3384="","",INDEX(ポート振替表!$B$5:$B$3507,$L3384)&amp;" "&amp;INDEX(ポート振替表!$C$5:$C$3507,$L3384)&amp;"  ⇔  "&amp;INDEX(ポート振替表!$H$5:$H$3507,$L3384)&amp;" "&amp;INDEX(ポート振替表!$I$5:$I$3507,$L3384))</f>
        <v/>
      </c>
      <c r="D3384" s="57" t="s">
        <v>158</v>
      </c>
      <c r="E3384" s="59" t="str">
        <f aca="false">IF(L3384="","",IF(INDEX(ポート振替表!$O$5:$O$3507,$L3384)="","(未設定)",INDEX(ポート振替表!$O$5:$O$3507,$L3384)&amp;""))</f>
        <v/>
      </c>
      <c r="F3384" s="52" t="str">
        <f aca="false">IF(L3384="","",INDEX(ポート振替表!$K$5:$K$3507,$L3384)&amp;" "&amp;INDEX(ポート振替表!$L$5:$L$3507,$L3384)&amp;"  ⇔  "&amp;INDEX(ポート振替表!$H$5:$H$3507,$L3384)&amp;" "&amp;INDEX(ポート振替表!$I$5:$I$3507,$L3384))</f>
        <v/>
      </c>
      <c r="G3384" s="57" t="s">
        <v>158</v>
      </c>
      <c r="H3384" s="32" t="str">
        <f aca="false">IF(L3384="","",INDEX(ポート振替表!$N$5:$N$3507,$L3384)&amp;"")</f>
        <v/>
      </c>
      <c r="I3384" s="32" t="str">
        <f aca="false">IF(L3384="","",INDEX(ポート振替表!$P$5:$P$3507,$L3384)&amp;"")</f>
        <v/>
      </c>
      <c r="J3384" s="60" t="str">
        <f aca="false">IF(L3384="","",INDEX(ポート振替表!$M$5:$M$3507,$L3384)&amp;"")</f>
        <v/>
      </c>
      <c r="K3384" s="52" t="str">
        <f aca="false">IF(L3384="","",E3384&amp;CHAR(10)&amp;INDEX(ポート振替表!$K$5:$K$3507,$L3384)&amp;" "&amp;INDEX(ポート振替表!$L$5:$L$3507,$L3384)&amp;CHAR(10)&amp;"⇔ "&amp;INDEX(ポート振替表!$H$5:$H$3507,$L3384)&amp;" "&amp;INDEX(ポート振替表!$I$5:$I$3507,$L3384))</f>
        <v/>
      </c>
      <c r="L3384" s="47" t="str">
        <f aca="false">IFERROR(MATCH(ROW()-4,ポート振替表!$V$5:$V$3507,0),"")</f>
        <v/>
      </c>
    </row>
    <row r="3385" customFormat="false" ht="16.4" hidden="false" customHeight="false" outlineLevel="0" collapsed="false">
      <c r="A3385" s="32" t="str">
        <f aca="false">IF(L3385="","",ROW()-4)</f>
        <v/>
      </c>
      <c r="B3385" s="58" t="str">
        <f aca="false">IF(L3385="","",IF(INDEX(ポート振替表!$W$5:$W$3507,$L3385)="","(なし)",INDEX(ポート振替表!$W$5:$W$3507,$L3385)&amp;""))</f>
        <v/>
      </c>
      <c r="C3385" s="52" t="str">
        <f aca="false">IF(L3385="","",INDEX(ポート振替表!$B$5:$B$3507,$L3385)&amp;" "&amp;INDEX(ポート振替表!$C$5:$C$3507,$L3385)&amp;"  ⇔  "&amp;INDEX(ポート振替表!$H$5:$H$3507,$L3385)&amp;" "&amp;INDEX(ポート振替表!$I$5:$I$3507,$L3385))</f>
        <v/>
      </c>
      <c r="D3385" s="57" t="s">
        <v>158</v>
      </c>
      <c r="E3385" s="59" t="str">
        <f aca="false">IF(L3385="","",IF(INDEX(ポート振替表!$O$5:$O$3507,$L3385)="","(未設定)",INDEX(ポート振替表!$O$5:$O$3507,$L3385)&amp;""))</f>
        <v/>
      </c>
      <c r="F3385" s="52" t="str">
        <f aca="false">IF(L3385="","",INDEX(ポート振替表!$K$5:$K$3507,$L3385)&amp;" "&amp;INDEX(ポート振替表!$L$5:$L$3507,$L3385)&amp;"  ⇔  "&amp;INDEX(ポート振替表!$H$5:$H$3507,$L3385)&amp;" "&amp;INDEX(ポート振替表!$I$5:$I$3507,$L3385))</f>
        <v/>
      </c>
      <c r="G3385" s="57" t="s">
        <v>158</v>
      </c>
      <c r="H3385" s="32" t="str">
        <f aca="false">IF(L3385="","",INDEX(ポート振替表!$N$5:$N$3507,$L3385)&amp;"")</f>
        <v/>
      </c>
      <c r="I3385" s="32" t="str">
        <f aca="false">IF(L3385="","",INDEX(ポート振替表!$P$5:$P$3507,$L3385)&amp;"")</f>
        <v/>
      </c>
      <c r="J3385" s="60" t="str">
        <f aca="false">IF(L3385="","",INDEX(ポート振替表!$M$5:$M$3507,$L3385)&amp;"")</f>
        <v/>
      </c>
      <c r="K3385" s="52" t="str">
        <f aca="false">IF(L3385="","",E3385&amp;CHAR(10)&amp;INDEX(ポート振替表!$K$5:$K$3507,$L3385)&amp;" "&amp;INDEX(ポート振替表!$L$5:$L$3507,$L3385)&amp;CHAR(10)&amp;"⇔ "&amp;INDEX(ポート振替表!$H$5:$H$3507,$L3385)&amp;" "&amp;INDEX(ポート振替表!$I$5:$I$3507,$L3385))</f>
        <v/>
      </c>
      <c r="L3385" s="47" t="str">
        <f aca="false">IFERROR(MATCH(ROW()-4,ポート振替表!$V$5:$V$3507,0),"")</f>
        <v/>
      </c>
    </row>
    <row r="3386" customFormat="false" ht="16.4" hidden="false" customHeight="false" outlineLevel="0" collapsed="false">
      <c r="A3386" s="32" t="str">
        <f aca="false">IF(L3386="","",ROW()-4)</f>
        <v/>
      </c>
      <c r="B3386" s="58" t="str">
        <f aca="false">IF(L3386="","",IF(INDEX(ポート振替表!$W$5:$W$3507,$L3386)="","(なし)",INDEX(ポート振替表!$W$5:$W$3507,$L3386)&amp;""))</f>
        <v/>
      </c>
      <c r="C3386" s="52" t="str">
        <f aca="false">IF(L3386="","",INDEX(ポート振替表!$B$5:$B$3507,$L3386)&amp;" "&amp;INDEX(ポート振替表!$C$5:$C$3507,$L3386)&amp;"  ⇔  "&amp;INDEX(ポート振替表!$H$5:$H$3507,$L3386)&amp;" "&amp;INDEX(ポート振替表!$I$5:$I$3507,$L3386))</f>
        <v/>
      </c>
      <c r="D3386" s="57" t="s">
        <v>158</v>
      </c>
      <c r="E3386" s="59" t="str">
        <f aca="false">IF(L3386="","",IF(INDEX(ポート振替表!$O$5:$O$3507,$L3386)="","(未設定)",INDEX(ポート振替表!$O$5:$O$3507,$L3386)&amp;""))</f>
        <v/>
      </c>
      <c r="F3386" s="52" t="str">
        <f aca="false">IF(L3386="","",INDEX(ポート振替表!$K$5:$K$3507,$L3386)&amp;" "&amp;INDEX(ポート振替表!$L$5:$L$3507,$L3386)&amp;"  ⇔  "&amp;INDEX(ポート振替表!$H$5:$H$3507,$L3386)&amp;" "&amp;INDEX(ポート振替表!$I$5:$I$3507,$L3386))</f>
        <v/>
      </c>
      <c r="G3386" s="57" t="s">
        <v>158</v>
      </c>
      <c r="H3386" s="32" t="str">
        <f aca="false">IF(L3386="","",INDEX(ポート振替表!$N$5:$N$3507,$L3386)&amp;"")</f>
        <v/>
      </c>
      <c r="I3386" s="32" t="str">
        <f aca="false">IF(L3386="","",INDEX(ポート振替表!$P$5:$P$3507,$L3386)&amp;"")</f>
        <v/>
      </c>
      <c r="J3386" s="60" t="str">
        <f aca="false">IF(L3386="","",INDEX(ポート振替表!$M$5:$M$3507,$L3386)&amp;"")</f>
        <v/>
      </c>
      <c r="K3386" s="52" t="str">
        <f aca="false">IF(L3386="","",E3386&amp;CHAR(10)&amp;INDEX(ポート振替表!$K$5:$K$3507,$L3386)&amp;" "&amp;INDEX(ポート振替表!$L$5:$L$3507,$L3386)&amp;CHAR(10)&amp;"⇔ "&amp;INDEX(ポート振替表!$H$5:$H$3507,$L3386)&amp;" "&amp;INDEX(ポート振替表!$I$5:$I$3507,$L3386))</f>
        <v/>
      </c>
      <c r="L3386" s="47" t="str">
        <f aca="false">IFERROR(MATCH(ROW()-4,ポート振替表!$V$5:$V$3507,0),"")</f>
        <v/>
      </c>
    </row>
    <row r="3387" customFormat="false" ht="16.4" hidden="false" customHeight="false" outlineLevel="0" collapsed="false">
      <c r="A3387" s="32" t="str">
        <f aca="false">IF(L3387="","",ROW()-4)</f>
        <v/>
      </c>
      <c r="B3387" s="58" t="str">
        <f aca="false">IF(L3387="","",IF(INDEX(ポート振替表!$W$5:$W$3507,$L3387)="","(なし)",INDEX(ポート振替表!$W$5:$W$3507,$L3387)&amp;""))</f>
        <v/>
      </c>
      <c r="C3387" s="52" t="str">
        <f aca="false">IF(L3387="","",INDEX(ポート振替表!$B$5:$B$3507,$L3387)&amp;" "&amp;INDEX(ポート振替表!$C$5:$C$3507,$L3387)&amp;"  ⇔  "&amp;INDEX(ポート振替表!$H$5:$H$3507,$L3387)&amp;" "&amp;INDEX(ポート振替表!$I$5:$I$3507,$L3387))</f>
        <v/>
      </c>
      <c r="D3387" s="57" t="s">
        <v>158</v>
      </c>
      <c r="E3387" s="59" t="str">
        <f aca="false">IF(L3387="","",IF(INDEX(ポート振替表!$O$5:$O$3507,$L3387)="","(未設定)",INDEX(ポート振替表!$O$5:$O$3507,$L3387)&amp;""))</f>
        <v/>
      </c>
      <c r="F3387" s="52" t="str">
        <f aca="false">IF(L3387="","",INDEX(ポート振替表!$K$5:$K$3507,$L3387)&amp;" "&amp;INDEX(ポート振替表!$L$5:$L$3507,$L3387)&amp;"  ⇔  "&amp;INDEX(ポート振替表!$H$5:$H$3507,$L3387)&amp;" "&amp;INDEX(ポート振替表!$I$5:$I$3507,$L3387))</f>
        <v/>
      </c>
      <c r="G3387" s="57" t="s">
        <v>158</v>
      </c>
      <c r="H3387" s="32" t="str">
        <f aca="false">IF(L3387="","",INDEX(ポート振替表!$N$5:$N$3507,$L3387)&amp;"")</f>
        <v/>
      </c>
      <c r="I3387" s="32" t="str">
        <f aca="false">IF(L3387="","",INDEX(ポート振替表!$P$5:$P$3507,$L3387)&amp;"")</f>
        <v/>
      </c>
      <c r="J3387" s="60" t="str">
        <f aca="false">IF(L3387="","",INDEX(ポート振替表!$M$5:$M$3507,$L3387)&amp;"")</f>
        <v/>
      </c>
      <c r="K3387" s="52" t="str">
        <f aca="false">IF(L3387="","",E3387&amp;CHAR(10)&amp;INDEX(ポート振替表!$K$5:$K$3507,$L3387)&amp;" "&amp;INDEX(ポート振替表!$L$5:$L$3507,$L3387)&amp;CHAR(10)&amp;"⇔ "&amp;INDEX(ポート振替表!$H$5:$H$3507,$L3387)&amp;" "&amp;INDEX(ポート振替表!$I$5:$I$3507,$L3387))</f>
        <v/>
      </c>
      <c r="L3387" s="47" t="str">
        <f aca="false">IFERROR(MATCH(ROW()-4,ポート振替表!$V$5:$V$3507,0),"")</f>
        <v/>
      </c>
    </row>
    <row r="3388" customFormat="false" ht="16.4" hidden="false" customHeight="false" outlineLevel="0" collapsed="false">
      <c r="A3388" s="32" t="str">
        <f aca="false">IF(L3388="","",ROW()-4)</f>
        <v/>
      </c>
      <c r="B3388" s="58" t="str">
        <f aca="false">IF(L3388="","",IF(INDEX(ポート振替表!$W$5:$W$3507,$L3388)="","(なし)",INDEX(ポート振替表!$W$5:$W$3507,$L3388)&amp;""))</f>
        <v/>
      </c>
      <c r="C3388" s="52" t="str">
        <f aca="false">IF(L3388="","",INDEX(ポート振替表!$B$5:$B$3507,$L3388)&amp;" "&amp;INDEX(ポート振替表!$C$5:$C$3507,$L3388)&amp;"  ⇔  "&amp;INDEX(ポート振替表!$H$5:$H$3507,$L3388)&amp;" "&amp;INDEX(ポート振替表!$I$5:$I$3507,$L3388))</f>
        <v/>
      </c>
      <c r="D3388" s="57" t="s">
        <v>158</v>
      </c>
      <c r="E3388" s="59" t="str">
        <f aca="false">IF(L3388="","",IF(INDEX(ポート振替表!$O$5:$O$3507,$L3388)="","(未設定)",INDEX(ポート振替表!$O$5:$O$3507,$L3388)&amp;""))</f>
        <v/>
      </c>
      <c r="F3388" s="52" t="str">
        <f aca="false">IF(L3388="","",INDEX(ポート振替表!$K$5:$K$3507,$L3388)&amp;" "&amp;INDEX(ポート振替表!$L$5:$L$3507,$L3388)&amp;"  ⇔  "&amp;INDEX(ポート振替表!$H$5:$H$3507,$L3388)&amp;" "&amp;INDEX(ポート振替表!$I$5:$I$3507,$L3388))</f>
        <v/>
      </c>
      <c r="G3388" s="57" t="s">
        <v>158</v>
      </c>
      <c r="H3388" s="32" t="str">
        <f aca="false">IF(L3388="","",INDEX(ポート振替表!$N$5:$N$3507,$L3388)&amp;"")</f>
        <v/>
      </c>
      <c r="I3388" s="32" t="str">
        <f aca="false">IF(L3388="","",INDEX(ポート振替表!$P$5:$P$3507,$L3388)&amp;"")</f>
        <v/>
      </c>
      <c r="J3388" s="60" t="str">
        <f aca="false">IF(L3388="","",INDEX(ポート振替表!$M$5:$M$3507,$L3388)&amp;"")</f>
        <v/>
      </c>
      <c r="K3388" s="52" t="str">
        <f aca="false">IF(L3388="","",E3388&amp;CHAR(10)&amp;INDEX(ポート振替表!$K$5:$K$3507,$L3388)&amp;" "&amp;INDEX(ポート振替表!$L$5:$L$3507,$L3388)&amp;CHAR(10)&amp;"⇔ "&amp;INDEX(ポート振替表!$H$5:$H$3507,$L3388)&amp;" "&amp;INDEX(ポート振替表!$I$5:$I$3507,$L3388))</f>
        <v/>
      </c>
      <c r="L3388" s="47" t="str">
        <f aca="false">IFERROR(MATCH(ROW()-4,ポート振替表!$V$5:$V$3507,0),"")</f>
        <v/>
      </c>
    </row>
    <row r="3389" customFormat="false" ht="16.4" hidden="false" customHeight="false" outlineLevel="0" collapsed="false">
      <c r="A3389" s="32" t="str">
        <f aca="false">IF(L3389="","",ROW()-4)</f>
        <v/>
      </c>
      <c r="B3389" s="58" t="str">
        <f aca="false">IF(L3389="","",IF(INDEX(ポート振替表!$W$5:$W$3507,$L3389)="","(なし)",INDEX(ポート振替表!$W$5:$W$3507,$L3389)&amp;""))</f>
        <v/>
      </c>
      <c r="C3389" s="52" t="str">
        <f aca="false">IF(L3389="","",INDEX(ポート振替表!$B$5:$B$3507,$L3389)&amp;" "&amp;INDEX(ポート振替表!$C$5:$C$3507,$L3389)&amp;"  ⇔  "&amp;INDEX(ポート振替表!$H$5:$H$3507,$L3389)&amp;" "&amp;INDEX(ポート振替表!$I$5:$I$3507,$L3389))</f>
        <v/>
      </c>
      <c r="D3389" s="57" t="s">
        <v>158</v>
      </c>
      <c r="E3389" s="59" t="str">
        <f aca="false">IF(L3389="","",IF(INDEX(ポート振替表!$O$5:$O$3507,$L3389)="","(未設定)",INDEX(ポート振替表!$O$5:$O$3507,$L3389)&amp;""))</f>
        <v/>
      </c>
      <c r="F3389" s="52" t="str">
        <f aca="false">IF(L3389="","",INDEX(ポート振替表!$K$5:$K$3507,$L3389)&amp;" "&amp;INDEX(ポート振替表!$L$5:$L$3507,$L3389)&amp;"  ⇔  "&amp;INDEX(ポート振替表!$H$5:$H$3507,$L3389)&amp;" "&amp;INDEX(ポート振替表!$I$5:$I$3507,$L3389))</f>
        <v/>
      </c>
      <c r="G3389" s="57" t="s">
        <v>158</v>
      </c>
      <c r="H3389" s="32" t="str">
        <f aca="false">IF(L3389="","",INDEX(ポート振替表!$N$5:$N$3507,$L3389)&amp;"")</f>
        <v/>
      </c>
      <c r="I3389" s="32" t="str">
        <f aca="false">IF(L3389="","",INDEX(ポート振替表!$P$5:$P$3507,$L3389)&amp;"")</f>
        <v/>
      </c>
      <c r="J3389" s="60" t="str">
        <f aca="false">IF(L3389="","",INDEX(ポート振替表!$M$5:$M$3507,$L3389)&amp;"")</f>
        <v/>
      </c>
      <c r="K3389" s="52" t="str">
        <f aca="false">IF(L3389="","",E3389&amp;CHAR(10)&amp;INDEX(ポート振替表!$K$5:$K$3507,$L3389)&amp;" "&amp;INDEX(ポート振替表!$L$5:$L$3507,$L3389)&amp;CHAR(10)&amp;"⇔ "&amp;INDEX(ポート振替表!$H$5:$H$3507,$L3389)&amp;" "&amp;INDEX(ポート振替表!$I$5:$I$3507,$L3389))</f>
        <v/>
      </c>
      <c r="L3389" s="47" t="str">
        <f aca="false">IFERROR(MATCH(ROW()-4,ポート振替表!$V$5:$V$3507,0),"")</f>
        <v/>
      </c>
    </row>
    <row r="3390" customFormat="false" ht="16.4" hidden="false" customHeight="false" outlineLevel="0" collapsed="false">
      <c r="A3390" s="32" t="str">
        <f aca="false">IF(L3390="","",ROW()-4)</f>
        <v/>
      </c>
      <c r="B3390" s="58" t="str">
        <f aca="false">IF(L3390="","",IF(INDEX(ポート振替表!$W$5:$W$3507,$L3390)="","(なし)",INDEX(ポート振替表!$W$5:$W$3507,$L3390)&amp;""))</f>
        <v/>
      </c>
      <c r="C3390" s="52" t="str">
        <f aca="false">IF(L3390="","",INDEX(ポート振替表!$B$5:$B$3507,$L3390)&amp;" "&amp;INDEX(ポート振替表!$C$5:$C$3507,$L3390)&amp;"  ⇔  "&amp;INDEX(ポート振替表!$H$5:$H$3507,$L3390)&amp;" "&amp;INDEX(ポート振替表!$I$5:$I$3507,$L3390))</f>
        <v/>
      </c>
      <c r="D3390" s="57" t="s">
        <v>158</v>
      </c>
      <c r="E3390" s="59" t="str">
        <f aca="false">IF(L3390="","",IF(INDEX(ポート振替表!$O$5:$O$3507,$L3390)="","(未設定)",INDEX(ポート振替表!$O$5:$O$3507,$L3390)&amp;""))</f>
        <v/>
      </c>
      <c r="F3390" s="52" t="str">
        <f aca="false">IF(L3390="","",INDEX(ポート振替表!$K$5:$K$3507,$L3390)&amp;" "&amp;INDEX(ポート振替表!$L$5:$L$3507,$L3390)&amp;"  ⇔  "&amp;INDEX(ポート振替表!$H$5:$H$3507,$L3390)&amp;" "&amp;INDEX(ポート振替表!$I$5:$I$3507,$L3390))</f>
        <v/>
      </c>
      <c r="G3390" s="57" t="s">
        <v>158</v>
      </c>
      <c r="H3390" s="32" t="str">
        <f aca="false">IF(L3390="","",INDEX(ポート振替表!$N$5:$N$3507,$L3390)&amp;"")</f>
        <v/>
      </c>
      <c r="I3390" s="32" t="str">
        <f aca="false">IF(L3390="","",INDEX(ポート振替表!$P$5:$P$3507,$L3390)&amp;"")</f>
        <v/>
      </c>
      <c r="J3390" s="60" t="str">
        <f aca="false">IF(L3390="","",INDEX(ポート振替表!$M$5:$M$3507,$L3390)&amp;"")</f>
        <v/>
      </c>
      <c r="K3390" s="52" t="str">
        <f aca="false">IF(L3390="","",E3390&amp;CHAR(10)&amp;INDEX(ポート振替表!$K$5:$K$3507,$L3390)&amp;" "&amp;INDEX(ポート振替表!$L$5:$L$3507,$L3390)&amp;CHAR(10)&amp;"⇔ "&amp;INDEX(ポート振替表!$H$5:$H$3507,$L3390)&amp;" "&amp;INDEX(ポート振替表!$I$5:$I$3507,$L3390))</f>
        <v/>
      </c>
      <c r="L3390" s="47" t="str">
        <f aca="false">IFERROR(MATCH(ROW()-4,ポート振替表!$V$5:$V$3507,0),"")</f>
        <v/>
      </c>
    </row>
    <row r="3391" customFormat="false" ht="16.4" hidden="false" customHeight="false" outlineLevel="0" collapsed="false">
      <c r="A3391" s="32" t="str">
        <f aca="false">IF(L3391="","",ROW()-4)</f>
        <v/>
      </c>
      <c r="B3391" s="58" t="str">
        <f aca="false">IF(L3391="","",IF(INDEX(ポート振替表!$W$5:$W$3507,$L3391)="","(なし)",INDEX(ポート振替表!$W$5:$W$3507,$L3391)&amp;""))</f>
        <v/>
      </c>
      <c r="C3391" s="52" t="str">
        <f aca="false">IF(L3391="","",INDEX(ポート振替表!$B$5:$B$3507,$L3391)&amp;" "&amp;INDEX(ポート振替表!$C$5:$C$3507,$L3391)&amp;"  ⇔  "&amp;INDEX(ポート振替表!$H$5:$H$3507,$L3391)&amp;" "&amp;INDEX(ポート振替表!$I$5:$I$3507,$L3391))</f>
        <v/>
      </c>
      <c r="D3391" s="57" t="s">
        <v>158</v>
      </c>
      <c r="E3391" s="59" t="str">
        <f aca="false">IF(L3391="","",IF(INDEX(ポート振替表!$O$5:$O$3507,$L3391)="","(未設定)",INDEX(ポート振替表!$O$5:$O$3507,$L3391)&amp;""))</f>
        <v/>
      </c>
      <c r="F3391" s="52" t="str">
        <f aca="false">IF(L3391="","",INDEX(ポート振替表!$K$5:$K$3507,$L3391)&amp;" "&amp;INDEX(ポート振替表!$L$5:$L$3507,$L3391)&amp;"  ⇔  "&amp;INDEX(ポート振替表!$H$5:$H$3507,$L3391)&amp;" "&amp;INDEX(ポート振替表!$I$5:$I$3507,$L3391))</f>
        <v/>
      </c>
      <c r="G3391" s="57" t="s">
        <v>158</v>
      </c>
      <c r="H3391" s="32" t="str">
        <f aca="false">IF(L3391="","",INDEX(ポート振替表!$N$5:$N$3507,$L3391)&amp;"")</f>
        <v/>
      </c>
      <c r="I3391" s="32" t="str">
        <f aca="false">IF(L3391="","",INDEX(ポート振替表!$P$5:$P$3507,$L3391)&amp;"")</f>
        <v/>
      </c>
      <c r="J3391" s="60" t="str">
        <f aca="false">IF(L3391="","",INDEX(ポート振替表!$M$5:$M$3507,$L3391)&amp;"")</f>
        <v/>
      </c>
      <c r="K3391" s="52" t="str">
        <f aca="false">IF(L3391="","",E3391&amp;CHAR(10)&amp;INDEX(ポート振替表!$K$5:$K$3507,$L3391)&amp;" "&amp;INDEX(ポート振替表!$L$5:$L$3507,$L3391)&amp;CHAR(10)&amp;"⇔ "&amp;INDEX(ポート振替表!$H$5:$H$3507,$L3391)&amp;" "&amp;INDEX(ポート振替表!$I$5:$I$3507,$L3391))</f>
        <v/>
      </c>
      <c r="L3391" s="47" t="str">
        <f aca="false">IFERROR(MATCH(ROW()-4,ポート振替表!$V$5:$V$3507,0),"")</f>
        <v/>
      </c>
    </row>
    <row r="3392" customFormat="false" ht="16.4" hidden="false" customHeight="false" outlineLevel="0" collapsed="false">
      <c r="A3392" s="32" t="str">
        <f aca="false">IF(L3392="","",ROW()-4)</f>
        <v/>
      </c>
      <c r="B3392" s="58" t="str">
        <f aca="false">IF(L3392="","",IF(INDEX(ポート振替表!$W$5:$W$3507,$L3392)="","(なし)",INDEX(ポート振替表!$W$5:$W$3507,$L3392)&amp;""))</f>
        <v/>
      </c>
      <c r="C3392" s="52" t="str">
        <f aca="false">IF(L3392="","",INDEX(ポート振替表!$B$5:$B$3507,$L3392)&amp;" "&amp;INDEX(ポート振替表!$C$5:$C$3507,$L3392)&amp;"  ⇔  "&amp;INDEX(ポート振替表!$H$5:$H$3507,$L3392)&amp;" "&amp;INDEX(ポート振替表!$I$5:$I$3507,$L3392))</f>
        <v/>
      </c>
      <c r="D3392" s="57" t="s">
        <v>158</v>
      </c>
      <c r="E3392" s="59" t="str">
        <f aca="false">IF(L3392="","",IF(INDEX(ポート振替表!$O$5:$O$3507,$L3392)="","(未設定)",INDEX(ポート振替表!$O$5:$O$3507,$L3392)&amp;""))</f>
        <v/>
      </c>
      <c r="F3392" s="52" t="str">
        <f aca="false">IF(L3392="","",INDEX(ポート振替表!$K$5:$K$3507,$L3392)&amp;" "&amp;INDEX(ポート振替表!$L$5:$L$3507,$L3392)&amp;"  ⇔  "&amp;INDEX(ポート振替表!$H$5:$H$3507,$L3392)&amp;" "&amp;INDEX(ポート振替表!$I$5:$I$3507,$L3392))</f>
        <v/>
      </c>
      <c r="G3392" s="57" t="s">
        <v>158</v>
      </c>
      <c r="H3392" s="32" t="str">
        <f aca="false">IF(L3392="","",INDEX(ポート振替表!$N$5:$N$3507,$L3392)&amp;"")</f>
        <v/>
      </c>
      <c r="I3392" s="32" t="str">
        <f aca="false">IF(L3392="","",INDEX(ポート振替表!$P$5:$P$3507,$L3392)&amp;"")</f>
        <v/>
      </c>
      <c r="J3392" s="60" t="str">
        <f aca="false">IF(L3392="","",INDEX(ポート振替表!$M$5:$M$3507,$L3392)&amp;"")</f>
        <v/>
      </c>
      <c r="K3392" s="52" t="str">
        <f aca="false">IF(L3392="","",E3392&amp;CHAR(10)&amp;INDEX(ポート振替表!$K$5:$K$3507,$L3392)&amp;" "&amp;INDEX(ポート振替表!$L$5:$L$3507,$L3392)&amp;CHAR(10)&amp;"⇔ "&amp;INDEX(ポート振替表!$H$5:$H$3507,$L3392)&amp;" "&amp;INDEX(ポート振替表!$I$5:$I$3507,$L3392))</f>
        <v/>
      </c>
      <c r="L3392" s="47" t="str">
        <f aca="false">IFERROR(MATCH(ROW()-4,ポート振替表!$V$5:$V$3507,0),"")</f>
        <v/>
      </c>
    </row>
    <row r="3393" customFormat="false" ht="16.4" hidden="false" customHeight="false" outlineLevel="0" collapsed="false">
      <c r="A3393" s="32" t="str">
        <f aca="false">IF(L3393="","",ROW()-4)</f>
        <v/>
      </c>
      <c r="B3393" s="58" t="str">
        <f aca="false">IF(L3393="","",IF(INDEX(ポート振替表!$W$5:$W$3507,$L3393)="","(なし)",INDEX(ポート振替表!$W$5:$W$3507,$L3393)&amp;""))</f>
        <v/>
      </c>
      <c r="C3393" s="52" t="str">
        <f aca="false">IF(L3393="","",INDEX(ポート振替表!$B$5:$B$3507,$L3393)&amp;" "&amp;INDEX(ポート振替表!$C$5:$C$3507,$L3393)&amp;"  ⇔  "&amp;INDEX(ポート振替表!$H$5:$H$3507,$L3393)&amp;" "&amp;INDEX(ポート振替表!$I$5:$I$3507,$L3393))</f>
        <v/>
      </c>
      <c r="D3393" s="57" t="s">
        <v>158</v>
      </c>
      <c r="E3393" s="59" t="str">
        <f aca="false">IF(L3393="","",IF(INDEX(ポート振替表!$O$5:$O$3507,$L3393)="","(未設定)",INDEX(ポート振替表!$O$5:$O$3507,$L3393)&amp;""))</f>
        <v/>
      </c>
      <c r="F3393" s="52" t="str">
        <f aca="false">IF(L3393="","",INDEX(ポート振替表!$K$5:$K$3507,$L3393)&amp;" "&amp;INDEX(ポート振替表!$L$5:$L$3507,$L3393)&amp;"  ⇔  "&amp;INDEX(ポート振替表!$H$5:$H$3507,$L3393)&amp;" "&amp;INDEX(ポート振替表!$I$5:$I$3507,$L3393))</f>
        <v/>
      </c>
      <c r="G3393" s="57" t="s">
        <v>158</v>
      </c>
      <c r="H3393" s="32" t="str">
        <f aca="false">IF(L3393="","",INDEX(ポート振替表!$N$5:$N$3507,$L3393)&amp;"")</f>
        <v/>
      </c>
      <c r="I3393" s="32" t="str">
        <f aca="false">IF(L3393="","",INDEX(ポート振替表!$P$5:$P$3507,$L3393)&amp;"")</f>
        <v/>
      </c>
      <c r="J3393" s="60" t="str">
        <f aca="false">IF(L3393="","",INDEX(ポート振替表!$M$5:$M$3507,$L3393)&amp;"")</f>
        <v/>
      </c>
      <c r="K3393" s="52" t="str">
        <f aca="false">IF(L3393="","",E3393&amp;CHAR(10)&amp;INDEX(ポート振替表!$K$5:$K$3507,$L3393)&amp;" "&amp;INDEX(ポート振替表!$L$5:$L$3507,$L3393)&amp;CHAR(10)&amp;"⇔ "&amp;INDEX(ポート振替表!$H$5:$H$3507,$L3393)&amp;" "&amp;INDEX(ポート振替表!$I$5:$I$3507,$L3393))</f>
        <v/>
      </c>
      <c r="L3393" s="47" t="str">
        <f aca="false">IFERROR(MATCH(ROW()-4,ポート振替表!$V$5:$V$3507,0),"")</f>
        <v/>
      </c>
    </row>
    <row r="3394" customFormat="false" ht="16.4" hidden="false" customHeight="false" outlineLevel="0" collapsed="false">
      <c r="A3394" s="32" t="str">
        <f aca="false">IF(L3394="","",ROW()-4)</f>
        <v/>
      </c>
      <c r="B3394" s="58" t="str">
        <f aca="false">IF(L3394="","",IF(INDEX(ポート振替表!$W$5:$W$3507,$L3394)="","(なし)",INDEX(ポート振替表!$W$5:$W$3507,$L3394)&amp;""))</f>
        <v/>
      </c>
      <c r="C3394" s="52" t="str">
        <f aca="false">IF(L3394="","",INDEX(ポート振替表!$B$5:$B$3507,$L3394)&amp;" "&amp;INDEX(ポート振替表!$C$5:$C$3507,$L3394)&amp;"  ⇔  "&amp;INDEX(ポート振替表!$H$5:$H$3507,$L3394)&amp;" "&amp;INDEX(ポート振替表!$I$5:$I$3507,$L3394))</f>
        <v/>
      </c>
      <c r="D3394" s="57" t="s">
        <v>158</v>
      </c>
      <c r="E3394" s="59" t="str">
        <f aca="false">IF(L3394="","",IF(INDEX(ポート振替表!$O$5:$O$3507,$L3394)="","(未設定)",INDEX(ポート振替表!$O$5:$O$3507,$L3394)&amp;""))</f>
        <v/>
      </c>
      <c r="F3394" s="52" t="str">
        <f aca="false">IF(L3394="","",INDEX(ポート振替表!$K$5:$K$3507,$L3394)&amp;" "&amp;INDEX(ポート振替表!$L$5:$L$3507,$L3394)&amp;"  ⇔  "&amp;INDEX(ポート振替表!$H$5:$H$3507,$L3394)&amp;" "&amp;INDEX(ポート振替表!$I$5:$I$3507,$L3394))</f>
        <v/>
      </c>
      <c r="G3394" s="57" t="s">
        <v>158</v>
      </c>
      <c r="H3394" s="32" t="str">
        <f aca="false">IF(L3394="","",INDEX(ポート振替表!$N$5:$N$3507,$L3394)&amp;"")</f>
        <v/>
      </c>
      <c r="I3394" s="32" t="str">
        <f aca="false">IF(L3394="","",INDEX(ポート振替表!$P$5:$P$3507,$L3394)&amp;"")</f>
        <v/>
      </c>
      <c r="J3394" s="60" t="str">
        <f aca="false">IF(L3394="","",INDEX(ポート振替表!$M$5:$M$3507,$L3394)&amp;"")</f>
        <v/>
      </c>
      <c r="K3394" s="52" t="str">
        <f aca="false">IF(L3394="","",E3394&amp;CHAR(10)&amp;INDEX(ポート振替表!$K$5:$K$3507,$L3394)&amp;" "&amp;INDEX(ポート振替表!$L$5:$L$3507,$L3394)&amp;CHAR(10)&amp;"⇔ "&amp;INDEX(ポート振替表!$H$5:$H$3507,$L3394)&amp;" "&amp;INDEX(ポート振替表!$I$5:$I$3507,$L3394))</f>
        <v/>
      </c>
      <c r="L3394" s="47" t="str">
        <f aca="false">IFERROR(MATCH(ROW()-4,ポート振替表!$V$5:$V$3507,0),"")</f>
        <v/>
      </c>
    </row>
    <row r="3395" customFormat="false" ht="16.4" hidden="false" customHeight="false" outlineLevel="0" collapsed="false">
      <c r="A3395" s="32" t="str">
        <f aca="false">IF(L3395="","",ROW()-4)</f>
        <v/>
      </c>
      <c r="B3395" s="58" t="str">
        <f aca="false">IF(L3395="","",IF(INDEX(ポート振替表!$W$5:$W$3507,$L3395)="","(なし)",INDEX(ポート振替表!$W$5:$W$3507,$L3395)&amp;""))</f>
        <v/>
      </c>
      <c r="C3395" s="52" t="str">
        <f aca="false">IF(L3395="","",INDEX(ポート振替表!$B$5:$B$3507,$L3395)&amp;" "&amp;INDEX(ポート振替表!$C$5:$C$3507,$L3395)&amp;"  ⇔  "&amp;INDEX(ポート振替表!$H$5:$H$3507,$L3395)&amp;" "&amp;INDEX(ポート振替表!$I$5:$I$3507,$L3395))</f>
        <v/>
      </c>
      <c r="D3395" s="57" t="s">
        <v>158</v>
      </c>
      <c r="E3395" s="59" t="str">
        <f aca="false">IF(L3395="","",IF(INDEX(ポート振替表!$O$5:$O$3507,$L3395)="","(未設定)",INDEX(ポート振替表!$O$5:$O$3507,$L3395)&amp;""))</f>
        <v/>
      </c>
      <c r="F3395" s="52" t="str">
        <f aca="false">IF(L3395="","",INDEX(ポート振替表!$K$5:$K$3507,$L3395)&amp;" "&amp;INDEX(ポート振替表!$L$5:$L$3507,$L3395)&amp;"  ⇔  "&amp;INDEX(ポート振替表!$H$5:$H$3507,$L3395)&amp;" "&amp;INDEX(ポート振替表!$I$5:$I$3507,$L3395))</f>
        <v/>
      </c>
      <c r="G3395" s="57" t="s">
        <v>158</v>
      </c>
      <c r="H3395" s="32" t="str">
        <f aca="false">IF(L3395="","",INDEX(ポート振替表!$N$5:$N$3507,$L3395)&amp;"")</f>
        <v/>
      </c>
      <c r="I3395" s="32" t="str">
        <f aca="false">IF(L3395="","",INDEX(ポート振替表!$P$5:$P$3507,$L3395)&amp;"")</f>
        <v/>
      </c>
      <c r="J3395" s="60" t="str">
        <f aca="false">IF(L3395="","",INDEX(ポート振替表!$M$5:$M$3507,$L3395)&amp;"")</f>
        <v/>
      </c>
      <c r="K3395" s="52" t="str">
        <f aca="false">IF(L3395="","",E3395&amp;CHAR(10)&amp;INDEX(ポート振替表!$K$5:$K$3507,$L3395)&amp;" "&amp;INDEX(ポート振替表!$L$5:$L$3507,$L3395)&amp;CHAR(10)&amp;"⇔ "&amp;INDEX(ポート振替表!$H$5:$H$3507,$L3395)&amp;" "&amp;INDEX(ポート振替表!$I$5:$I$3507,$L3395))</f>
        <v/>
      </c>
      <c r="L3395" s="47" t="str">
        <f aca="false">IFERROR(MATCH(ROW()-4,ポート振替表!$V$5:$V$3507,0),"")</f>
        <v/>
      </c>
    </row>
    <row r="3396" customFormat="false" ht="16.4" hidden="false" customHeight="false" outlineLevel="0" collapsed="false">
      <c r="A3396" s="32" t="str">
        <f aca="false">IF(L3396="","",ROW()-4)</f>
        <v/>
      </c>
      <c r="B3396" s="58" t="str">
        <f aca="false">IF(L3396="","",IF(INDEX(ポート振替表!$W$5:$W$3507,$L3396)="","(なし)",INDEX(ポート振替表!$W$5:$W$3507,$L3396)&amp;""))</f>
        <v/>
      </c>
      <c r="C3396" s="52" t="str">
        <f aca="false">IF(L3396="","",INDEX(ポート振替表!$B$5:$B$3507,$L3396)&amp;" "&amp;INDEX(ポート振替表!$C$5:$C$3507,$L3396)&amp;"  ⇔  "&amp;INDEX(ポート振替表!$H$5:$H$3507,$L3396)&amp;" "&amp;INDEX(ポート振替表!$I$5:$I$3507,$L3396))</f>
        <v/>
      </c>
      <c r="D3396" s="57" t="s">
        <v>158</v>
      </c>
      <c r="E3396" s="59" t="str">
        <f aca="false">IF(L3396="","",IF(INDEX(ポート振替表!$O$5:$O$3507,$L3396)="","(未設定)",INDEX(ポート振替表!$O$5:$O$3507,$L3396)&amp;""))</f>
        <v/>
      </c>
      <c r="F3396" s="52" t="str">
        <f aca="false">IF(L3396="","",INDEX(ポート振替表!$K$5:$K$3507,$L3396)&amp;" "&amp;INDEX(ポート振替表!$L$5:$L$3507,$L3396)&amp;"  ⇔  "&amp;INDEX(ポート振替表!$H$5:$H$3507,$L3396)&amp;" "&amp;INDEX(ポート振替表!$I$5:$I$3507,$L3396))</f>
        <v/>
      </c>
      <c r="G3396" s="57" t="s">
        <v>158</v>
      </c>
      <c r="H3396" s="32" t="str">
        <f aca="false">IF(L3396="","",INDEX(ポート振替表!$N$5:$N$3507,$L3396)&amp;"")</f>
        <v/>
      </c>
      <c r="I3396" s="32" t="str">
        <f aca="false">IF(L3396="","",INDEX(ポート振替表!$P$5:$P$3507,$L3396)&amp;"")</f>
        <v/>
      </c>
      <c r="J3396" s="60" t="str">
        <f aca="false">IF(L3396="","",INDEX(ポート振替表!$M$5:$M$3507,$L3396)&amp;"")</f>
        <v/>
      </c>
      <c r="K3396" s="52" t="str">
        <f aca="false">IF(L3396="","",E3396&amp;CHAR(10)&amp;INDEX(ポート振替表!$K$5:$K$3507,$L3396)&amp;" "&amp;INDEX(ポート振替表!$L$5:$L$3507,$L3396)&amp;CHAR(10)&amp;"⇔ "&amp;INDEX(ポート振替表!$H$5:$H$3507,$L3396)&amp;" "&amp;INDEX(ポート振替表!$I$5:$I$3507,$L3396))</f>
        <v/>
      </c>
      <c r="L3396" s="47" t="str">
        <f aca="false">IFERROR(MATCH(ROW()-4,ポート振替表!$V$5:$V$3507,0),"")</f>
        <v/>
      </c>
    </row>
    <row r="3397" customFormat="false" ht="16.4" hidden="false" customHeight="false" outlineLevel="0" collapsed="false">
      <c r="A3397" s="32" t="str">
        <f aca="false">IF(L3397="","",ROW()-4)</f>
        <v/>
      </c>
      <c r="B3397" s="58" t="str">
        <f aca="false">IF(L3397="","",IF(INDEX(ポート振替表!$W$5:$W$3507,$L3397)="","(なし)",INDEX(ポート振替表!$W$5:$W$3507,$L3397)&amp;""))</f>
        <v/>
      </c>
      <c r="C3397" s="52" t="str">
        <f aca="false">IF(L3397="","",INDEX(ポート振替表!$B$5:$B$3507,$L3397)&amp;" "&amp;INDEX(ポート振替表!$C$5:$C$3507,$L3397)&amp;"  ⇔  "&amp;INDEX(ポート振替表!$H$5:$H$3507,$L3397)&amp;" "&amp;INDEX(ポート振替表!$I$5:$I$3507,$L3397))</f>
        <v/>
      </c>
      <c r="D3397" s="57" t="s">
        <v>158</v>
      </c>
      <c r="E3397" s="59" t="str">
        <f aca="false">IF(L3397="","",IF(INDEX(ポート振替表!$O$5:$O$3507,$L3397)="","(未設定)",INDEX(ポート振替表!$O$5:$O$3507,$L3397)&amp;""))</f>
        <v/>
      </c>
      <c r="F3397" s="52" t="str">
        <f aca="false">IF(L3397="","",INDEX(ポート振替表!$K$5:$K$3507,$L3397)&amp;" "&amp;INDEX(ポート振替表!$L$5:$L$3507,$L3397)&amp;"  ⇔  "&amp;INDEX(ポート振替表!$H$5:$H$3507,$L3397)&amp;" "&amp;INDEX(ポート振替表!$I$5:$I$3507,$L3397))</f>
        <v/>
      </c>
      <c r="G3397" s="57" t="s">
        <v>158</v>
      </c>
      <c r="H3397" s="32" t="str">
        <f aca="false">IF(L3397="","",INDEX(ポート振替表!$N$5:$N$3507,$L3397)&amp;"")</f>
        <v/>
      </c>
      <c r="I3397" s="32" t="str">
        <f aca="false">IF(L3397="","",INDEX(ポート振替表!$P$5:$P$3507,$L3397)&amp;"")</f>
        <v/>
      </c>
      <c r="J3397" s="60" t="str">
        <f aca="false">IF(L3397="","",INDEX(ポート振替表!$M$5:$M$3507,$L3397)&amp;"")</f>
        <v/>
      </c>
      <c r="K3397" s="52" t="str">
        <f aca="false">IF(L3397="","",E3397&amp;CHAR(10)&amp;INDEX(ポート振替表!$K$5:$K$3507,$L3397)&amp;" "&amp;INDEX(ポート振替表!$L$5:$L$3507,$L3397)&amp;CHAR(10)&amp;"⇔ "&amp;INDEX(ポート振替表!$H$5:$H$3507,$L3397)&amp;" "&amp;INDEX(ポート振替表!$I$5:$I$3507,$L3397))</f>
        <v/>
      </c>
      <c r="L3397" s="47" t="str">
        <f aca="false">IFERROR(MATCH(ROW()-4,ポート振替表!$V$5:$V$3507,0),"")</f>
        <v/>
      </c>
    </row>
    <row r="3398" customFormat="false" ht="16.4" hidden="false" customHeight="false" outlineLevel="0" collapsed="false">
      <c r="A3398" s="32" t="str">
        <f aca="false">IF(L3398="","",ROW()-4)</f>
        <v/>
      </c>
      <c r="B3398" s="58" t="str">
        <f aca="false">IF(L3398="","",IF(INDEX(ポート振替表!$W$5:$W$3507,$L3398)="","(なし)",INDEX(ポート振替表!$W$5:$W$3507,$L3398)&amp;""))</f>
        <v/>
      </c>
      <c r="C3398" s="52" t="str">
        <f aca="false">IF(L3398="","",INDEX(ポート振替表!$B$5:$B$3507,$L3398)&amp;" "&amp;INDEX(ポート振替表!$C$5:$C$3507,$L3398)&amp;"  ⇔  "&amp;INDEX(ポート振替表!$H$5:$H$3507,$L3398)&amp;" "&amp;INDEX(ポート振替表!$I$5:$I$3507,$L3398))</f>
        <v/>
      </c>
      <c r="D3398" s="57" t="s">
        <v>158</v>
      </c>
      <c r="E3398" s="59" t="str">
        <f aca="false">IF(L3398="","",IF(INDEX(ポート振替表!$O$5:$O$3507,$L3398)="","(未設定)",INDEX(ポート振替表!$O$5:$O$3507,$L3398)&amp;""))</f>
        <v/>
      </c>
      <c r="F3398" s="52" t="str">
        <f aca="false">IF(L3398="","",INDEX(ポート振替表!$K$5:$K$3507,$L3398)&amp;" "&amp;INDEX(ポート振替表!$L$5:$L$3507,$L3398)&amp;"  ⇔  "&amp;INDEX(ポート振替表!$H$5:$H$3507,$L3398)&amp;" "&amp;INDEX(ポート振替表!$I$5:$I$3507,$L3398))</f>
        <v/>
      </c>
      <c r="G3398" s="57" t="s">
        <v>158</v>
      </c>
      <c r="H3398" s="32" t="str">
        <f aca="false">IF(L3398="","",INDEX(ポート振替表!$N$5:$N$3507,$L3398)&amp;"")</f>
        <v/>
      </c>
      <c r="I3398" s="32" t="str">
        <f aca="false">IF(L3398="","",INDEX(ポート振替表!$P$5:$P$3507,$L3398)&amp;"")</f>
        <v/>
      </c>
      <c r="J3398" s="60" t="str">
        <f aca="false">IF(L3398="","",INDEX(ポート振替表!$M$5:$M$3507,$L3398)&amp;"")</f>
        <v/>
      </c>
      <c r="K3398" s="52" t="str">
        <f aca="false">IF(L3398="","",E3398&amp;CHAR(10)&amp;INDEX(ポート振替表!$K$5:$K$3507,$L3398)&amp;" "&amp;INDEX(ポート振替表!$L$5:$L$3507,$L3398)&amp;CHAR(10)&amp;"⇔ "&amp;INDEX(ポート振替表!$H$5:$H$3507,$L3398)&amp;" "&amp;INDEX(ポート振替表!$I$5:$I$3507,$L3398))</f>
        <v/>
      </c>
      <c r="L3398" s="47" t="str">
        <f aca="false">IFERROR(MATCH(ROW()-4,ポート振替表!$V$5:$V$3507,0),"")</f>
        <v/>
      </c>
    </row>
    <row r="3399" customFormat="false" ht="16.4" hidden="false" customHeight="false" outlineLevel="0" collapsed="false">
      <c r="A3399" s="32" t="str">
        <f aca="false">IF(L3399="","",ROW()-4)</f>
        <v/>
      </c>
      <c r="B3399" s="58" t="str">
        <f aca="false">IF(L3399="","",IF(INDEX(ポート振替表!$W$5:$W$3507,$L3399)="","(なし)",INDEX(ポート振替表!$W$5:$W$3507,$L3399)&amp;""))</f>
        <v/>
      </c>
      <c r="C3399" s="52" t="str">
        <f aca="false">IF(L3399="","",INDEX(ポート振替表!$B$5:$B$3507,$L3399)&amp;" "&amp;INDEX(ポート振替表!$C$5:$C$3507,$L3399)&amp;"  ⇔  "&amp;INDEX(ポート振替表!$H$5:$H$3507,$L3399)&amp;" "&amp;INDEX(ポート振替表!$I$5:$I$3507,$L3399))</f>
        <v/>
      </c>
      <c r="D3399" s="57" t="s">
        <v>158</v>
      </c>
      <c r="E3399" s="59" t="str">
        <f aca="false">IF(L3399="","",IF(INDEX(ポート振替表!$O$5:$O$3507,$L3399)="","(未設定)",INDEX(ポート振替表!$O$5:$O$3507,$L3399)&amp;""))</f>
        <v/>
      </c>
      <c r="F3399" s="52" t="str">
        <f aca="false">IF(L3399="","",INDEX(ポート振替表!$K$5:$K$3507,$L3399)&amp;" "&amp;INDEX(ポート振替表!$L$5:$L$3507,$L3399)&amp;"  ⇔  "&amp;INDEX(ポート振替表!$H$5:$H$3507,$L3399)&amp;" "&amp;INDEX(ポート振替表!$I$5:$I$3507,$L3399))</f>
        <v/>
      </c>
      <c r="G3399" s="57" t="s">
        <v>158</v>
      </c>
      <c r="H3399" s="32" t="str">
        <f aca="false">IF(L3399="","",INDEX(ポート振替表!$N$5:$N$3507,$L3399)&amp;"")</f>
        <v/>
      </c>
      <c r="I3399" s="32" t="str">
        <f aca="false">IF(L3399="","",INDEX(ポート振替表!$P$5:$P$3507,$L3399)&amp;"")</f>
        <v/>
      </c>
      <c r="J3399" s="60" t="str">
        <f aca="false">IF(L3399="","",INDEX(ポート振替表!$M$5:$M$3507,$L3399)&amp;"")</f>
        <v/>
      </c>
      <c r="K3399" s="52" t="str">
        <f aca="false">IF(L3399="","",E3399&amp;CHAR(10)&amp;INDEX(ポート振替表!$K$5:$K$3507,$L3399)&amp;" "&amp;INDEX(ポート振替表!$L$5:$L$3507,$L3399)&amp;CHAR(10)&amp;"⇔ "&amp;INDEX(ポート振替表!$H$5:$H$3507,$L3399)&amp;" "&amp;INDEX(ポート振替表!$I$5:$I$3507,$L3399))</f>
        <v/>
      </c>
      <c r="L3399" s="47" t="str">
        <f aca="false">IFERROR(MATCH(ROW()-4,ポート振替表!$V$5:$V$3507,0),"")</f>
        <v/>
      </c>
    </row>
    <row r="3400" customFormat="false" ht="16.4" hidden="false" customHeight="false" outlineLevel="0" collapsed="false">
      <c r="A3400" s="32" t="str">
        <f aca="false">IF(L3400="","",ROW()-4)</f>
        <v/>
      </c>
      <c r="B3400" s="58" t="str">
        <f aca="false">IF(L3400="","",IF(INDEX(ポート振替表!$W$5:$W$3507,$L3400)="","(なし)",INDEX(ポート振替表!$W$5:$W$3507,$L3400)&amp;""))</f>
        <v/>
      </c>
      <c r="C3400" s="52" t="str">
        <f aca="false">IF(L3400="","",INDEX(ポート振替表!$B$5:$B$3507,$L3400)&amp;" "&amp;INDEX(ポート振替表!$C$5:$C$3507,$L3400)&amp;"  ⇔  "&amp;INDEX(ポート振替表!$H$5:$H$3507,$L3400)&amp;" "&amp;INDEX(ポート振替表!$I$5:$I$3507,$L3400))</f>
        <v/>
      </c>
      <c r="D3400" s="57" t="s">
        <v>158</v>
      </c>
      <c r="E3400" s="59" t="str">
        <f aca="false">IF(L3400="","",IF(INDEX(ポート振替表!$O$5:$O$3507,$L3400)="","(未設定)",INDEX(ポート振替表!$O$5:$O$3507,$L3400)&amp;""))</f>
        <v/>
      </c>
      <c r="F3400" s="52" t="str">
        <f aca="false">IF(L3400="","",INDEX(ポート振替表!$K$5:$K$3507,$L3400)&amp;" "&amp;INDEX(ポート振替表!$L$5:$L$3507,$L3400)&amp;"  ⇔  "&amp;INDEX(ポート振替表!$H$5:$H$3507,$L3400)&amp;" "&amp;INDEX(ポート振替表!$I$5:$I$3507,$L3400))</f>
        <v/>
      </c>
      <c r="G3400" s="57" t="s">
        <v>158</v>
      </c>
      <c r="H3400" s="32" t="str">
        <f aca="false">IF(L3400="","",INDEX(ポート振替表!$N$5:$N$3507,$L3400)&amp;"")</f>
        <v/>
      </c>
      <c r="I3400" s="32" t="str">
        <f aca="false">IF(L3400="","",INDEX(ポート振替表!$P$5:$P$3507,$L3400)&amp;"")</f>
        <v/>
      </c>
      <c r="J3400" s="60" t="str">
        <f aca="false">IF(L3400="","",INDEX(ポート振替表!$M$5:$M$3507,$L3400)&amp;"")</f>
        <v/>
      </c>
      <c r="K3400" s="52" t="str">
        <f aca="false">IF(L3400="","",E3400&amp;CHAR(10)&amp;INDEX(ポート振替表!$K$5:$K$3507,$L3400)&amp;" "&amp;INDEX(ポート振替表!$L$5:$L$3507,$L3400)&amp;CHAR(10)&amp;"⇔ "&amp;INDEX(ポート振替表!$H$5:$H$3507,$L3400)&amp;" "&amp;INDEX(ポート振替表!$I$5:$I$3507,$L3400))</f>
        <v/>
      </c>
      <c r="L3400" s="47" t="str">
        <f aca="false">IFERROR(MATCH(ROW()-4,ポート振替表!$V$5:$V$3507,0),"")</f>
        <v/>
      </c>
    </row>
    <row r="3401" customFormat="false" ht="16.4" hidden="false" customHeight="false" outlineLevel="0" collapsed="false">
      <c r="A3401" s="32" t="str">
        <f aca="false">IF(L3401="","",ROW()-4)</f>
        <v/>
      </c>
      <c r="B3401" s="58" t="str">
        <f aca="false">IF(L3401="","",IF(INDEX(ポート振替表!$W$5:$W$3507,$L3401)="","(なし)",INDEX(ポート振替表!$W$5:$W$3507,$L3401)&amp;""))</f>
        <v/>
      </c>
      <c r="C3401" s="52" t="str">
        <f aca="false">IF(L3401="","",INDEX(ポート振替表!$B$5:$B$3507,$L3401)&amp;" "&amp;INDEX(ポート振替表!$C$5:$C$3507,$L3401)&amp;"  ⇔  "&amp;INDEX(ポート振替表!$H$5:$H$3507,$L3401)&amp;" "&amp;INDEX(ポート振替表!$I$5:$I$3507,$L3401))</f>
        <v/>
      </c>
      <c r="D3401" s="57" t="s">
        <v>158</v>
      </c>
      <c r="E3401" s="59" t="str">
        <f aca="false">IF(L3401="","",IF(INDEX(ポート振替表!$O$5:$O$3507,$L3401)="","(未設定)",INDEX(ポート振替表!$O$5:$O$3507,$L3401)&amp;""))</f>
        <v/>
      </c>
      <c r="F3401" s="52" t="str">
        <f aca="false">IF(L3401="","",INDEX(ポート振替表!$K$5:$K$3507,$L3401)&amp;" "&amp;INDEX(ポート振替表!$L$5:$L$3507,$L3401)&amp;"  ⇔  "&amp;INDEX(ポート振替表!$H$5:$H$3507,$L3401)&amp;" "&amp;INDEX(ポート振替表!$I$5:$I$3507,$L3401))</f>
        <v/>
      </c>
      <c r="G3401" s="57" t="s">
        <v>158</v>
      </c>
      <c r="H3401" s="32" t="str">
        <f aca="false">IF(L3401="","",INDEX(ポート振替表!$N$5:$N$3507,$L3401)&amp;"")</f>
        <v/>
      </c>
      <c r="I3401" s="32" t="str">
        <f aca="false">IF(L3401="","",INDEX(ポート振替表!$P$5:$P$3507,$L3401)&amp;"")</f>
        <v/>
      </c>
      <c r="J3401" s="60" t="str">
        <f aca="false">IF(L3401="","",INDEX(ポート振替表!$M$5:$M$3507,$L3401)&amp;"")</f>
        <v/>
      </c>
      <c r="K3401" s="52" t="str">
        <f aca="false">IF(L3401="","",E3401&amp;CHAR(10)&amp;INDEX(ポート振替表!$K$5:$K$3507,$L3401)&amp;" "&amp;INDEX(ポート振替表!$L$5:$L$3507,$L3401)&amp;CHAR(10)&amp;"⇔ "&amp;INDEX(ポート振替表!$H$5:$H$3507,$L3401)&amp;" "&amp;INDEX(ポート振替表!$I$5:$I$3507,$L3401))</f>
        <v/>
      </c>
      <c r="L3401" s="47" t="str">
        <f aca="false">IFERROR(MATCH(ROW()-4,ポート振替表!$V$5:$V$3507,0),"")</f>
        <v/>
      </c>
    </row>
    <row r="3402" customFormat="false" ht="16.4" hidden="false" customHeight="false" outlineLevel="0" collapsed="false">
      <c r="A3402" s="32" t="str">
        <f aca="false">IF(L3402="","",ROW()-4)</f>
        <v/>
      </c>
      <c r="B3402" s="58" t="str">
        <f aca="false">IF(L3402="","",IF(INDEX(ポート振替表!$W$5:$W$3507,$L3402)="","(なし)",INDEX(ポート振替表!$W$5:$W$3507,$L3402)&amp;""))</f>
        <v/>
      </c>
      <c r="C3402" s="52" t="str">
        <f aca="false">IF(L3402="","",INDEX(ポート振替表!$B$5:$B$3507,$L3402)&amp;" "&amp;INDEX(ポート振替表!$C$5:$C$3507,$L3402)&amp;"  ⇔  "&amp;INDEX(ポート振替表!$H$5:$H$3507,$L3402)&amp;" "&amp;INDEX(ポート振替表!$I$5:$I$3507,$L3402))</f>
        <v/>
      </c>
      <c r="D3402" s="57" t="s">
        <v>158</v>
      </c>
      <c r="E3402" s="59" t="str">
        <f aca="false">IF(L3402="","",IF(INDEX(ポート振替表!$O$5:$O$3507,$L3402)="","(未設定)",INDEX(ポート振替表!$O$5:$O$3507,$L3402)&amp;""))</f>
        <v/>
      </c>
      <c r="F3402" s="52" t="str">
        <f aca="false">IF(L3402="","",INDEX(ポート振替表!$K$5:$K$3507,$L3402)&amp;" "&amp;INDEX(ポート振替表!$L$5:$L$3507,$L3402)&amp;"  ⇔  "&amp;INDEX(ポート振替表!$H$5:$H$3507,$L3402)&amp;" "&amp;INDEX(ポート振替表!$I$5:$I$3507,$L3402))</f>
        <v/>
      </c>
      <c r="G3402" s="57" t="s">
        <v>158</v>
      </c>
      <c r="H3402" s="32" t="str">
        <f aca="false">IF(L3402="","",INDEX(ポート振替表!$N$5:$N$3507,$L3402)&amp;"")</f>
        <v/>
      </c>
      <c r="I3402" s="32" t="str">
        <f aca="false">IF(L3402="","",INDEX(ポート振替表!$P$5:$P$3507,$L3402)&amp;"")</f>
        <v/>
      </c>
      <c r="J3402" s="60" t="str">
        <f aca="false">IF(L3402="","",INDEX(ポート振替表!$M$5:$M$3507,$L3402)&amp;"")</f>
        <v/>
      </c>
      <c r="K3402" s="52" t="str">
        <f aca="false">IF(L3402="","",E3402&amp;CHAR(10)&amp;INDEX(ポート振替表!$K$5:$K$3507,$L3402)&amp;" "&amp;INDEX(ポート振替表!$L$5:$L$3507,$L3402)&amp;CHAR(10)&amp;"⇔ "&amp;INDEX(ポート振替表!$H$5:$H$3507,$L3402)&amp;" "&amp;INDEX(ポート振替表!$I$5:$I$3507,$L3402))</f>
        <v/>
      </c>
      <c r="L3402" s="47" t="str">
        <f aca="false">IFERROR(MATCH(ROW()-4,ポート振替表!$V$5:$V$3507,0),"")</f>
        <v/>
      </c>
    </row>
    <row r="3403" customFormat="false" ht="16.4" hidden="false" customHeight="false" outlineLevel="0" collapsed="false">
      <c r="A3403" s="32" t="str">
        <f aca="false">IF(L3403="","",ROW()-4)</f>
        <v/>
      </c>
      <c r="B3403" s="58" t="str">
        <f aca="false">IF(L3403="","",IF(INDEX(ポート振替表!$W$5:$W$3507,$L3403)="","(なし)",INDEX(ポート振替表!$W$5:$W$3507,$L3403)&amp;""))</f>
        <v/>
      </c>
      <c r="C3403" s="52" t="str">
        <f aca="false">IF(L3403="","",INDEX(ポート振替表!$B$5:$B$3507,$L3403)&amp;" "&amp;INDEX(ポート振替表!$C$5:$C$3507,$L3403)&amp;"  ⇔  "&amp;INDEX(ポート振替表!$H$5:$H$3507,$L3403)&amp;" "&amp;INDEX(ポート振替表!$I$5:$I$3507,$L3403))</f>
        <v/>
      </c>
      <c r="D3403" s="57" t="s">
        <v>158</v>
      </c>
      <c r="E3403" s="59" t="str">
        <f aca="false">IF(L3403="","",IF(INDEX(ポート振替表!$O$5:$O$3507,$L3403)="","(未設定)",INDEX(ポート振替表!$O$5:$O$3507,$L3403)&amp;""))</f>
        <v/>
      </c>
      <c r="F3403" s="52" t="str">
        <f aca="false">IF(L3403="","",INDEX(ポート振替表!$K$5:$K$3507,$L3403)&amp;" "&amp;INDEX(ポート振替表!$L$5:$L$3507,$L3403)&amp;"  ⇔  "&amp;INDEX(ポート振替表!$H$5:$H$3507,$L3403)&amp;" "&amp;INDEX(ポート振替表!$I$5:$I$3507,$L3403))</f>
        <v/>
      </c>
      <c r="G3403" s="57" t="s">
        <v>158</v>
      </c>
      <c r="H3403" s="32" t="str">
        <f aca="false">IF(L3403="","",INDEX(ポート振替表!$N$5:$N$3507,$L3403)&amp;"")</f>
        <v/>
      </c>
      <c r="I3403" s="32" t="str">
        <f aca="false">IF(L3403="","",INDEX(ポート振替表!$P$5:$P$3507,$L3403)&amp;"")</f>
        <v/>
      </c>
      <c r="J3403" s="60" t="str">
        <f aca="false">IF(L3403="","",INDEX(ポート振替表!$M$5:$M$3507,$L3403)&amp;"")</f>
        <v/>
      </c>
      <c r="K3403" s="52" t="str">
        <f aca="false">IF(L3403="","",E3403&amp;CHAR(10)&amp;INDEX(ポート振替表!$K$5:$K$3507,$L3403)&amp;" "&amp;INDEX(ポート振替表!$L$5:$L$3507,$L3403)&amp;CHAR(10)&amp;"⇔ "&amp;INDEX(ポート振替表!$H$5:$H$3507,$L3403)&amp;" "&amp;INDEX(ポート振替表!$I$5:$I$3507,$L3403))</f>
        <v/>
      </c>
      <c r="L3403" s="47" t="str">
        <f aca="false">IFERROR(MATCH(ROW()-4,ポート振替表!$V$5:$V$3507,0),"")</f>
        <v/>
      </c>
    </row>
    <row r="3404" customFormat="false" ht="16.4" hidden="false" customHeight="false" outlineLevel="0" collapsed="false">
      <c r="A3404" s="32" t="str">
        <f aca="false">IF(L3404="","",ROW()-4)</f>
        <v/>
      </c>
      <c r="B3404" s="58" t="str">
        <f aca="false">IF(L3404="","",IF(INDEX(ポート振替表!$W$5:$W$3507,$L3404)="","(なし)",INDEX(ポート振替表!$W$5:$W$3507,$L3404)&amp;""))</f>
        <v/>
      </c>
      <c r="C3404" s="52" t="str">
        <f aca="false">IF(L3404="","",INDEX(ポート振替表!$B$5:$B$3507,$L3404)&amp;" "&amp;INDEX(ポート振替表!$C$5:$C$3507,$L3404)&amp;"  ⇔  "&amp;INDEX(ポート振替表!$H$5:$H$3507,$L3404)&amp;" "&amp;INDEX(ポート振替表!$I$5:$I$3507,$L3404))</f>
        <v/>
      </c>
      <c r="D3404" s="57" t="s">
        <v>158</v>
      </c>
      <c r="E3404" s="59" t="str">
        <f aca="false">IF(L3404="","",IF(INDEX(ポート振替表!$O$5:$O$3507,$L3404)="","(未設定)",INDEX(ポート振替表!$O$5:$O$3507,$L3404)&amp;""))</f>
        <v/>
      </c>
      <c r="F3404" s="52" t="str">
        <f aca="false">IF(L3404="","",INDEX(ポート振替表!$K$5:$K$3507,$L3404)&amp;" "&amp;INDEX(ポート振替表!$L$5:$L$3507,$L3404)&amp;"  ⇔  "&amp;INDEX(ポート振替表!$H$5:$H$3507,$L3404)&amp;" "&amp;INDEX(ポート振替表!$I$5:$I$3507,$L3404))</f>
        <v/>
      </c>
      <c r="G3404" s="57" t="s">
        <v>158</v>
      </c>
      <c r="H3404" s="32" t="str">
        <f aca="false">IF(L3404="","",INDEX(ポート振替表!$N$5:$N$3507,$L3404)&amp;"")</f>
        <v/>
      </c>
      <c r="I3404" s="32" t="str">
        <f aca="false">IF(L3404="","",INDEX(ポート振替表!$P$5:$P$3507,$L3404)&amp;"")</f>
        <v/>
      </c>
      <c r="J3404" s="60" t="str">
        <f aca="false">IF(L3404="","",INDEX(ポート振替表!$M$5:$M$3507,$L3404)&amp;"")</f>
        <v/>
      </c>
      <c r="K3404" s="52" t="str">
        <f aca="false">IF(L3404="","",E3404&amp;CHAR(10)&amp;INDEX(ポート振替表!$K$5:$K$3507,$L3404)&amp;" "&amp;INDEX(ポート振替表!$L$5:$L$3507,$L3404)&amp;CHAR(10)&amp;"⇔ "&amp;INDEX(ポート振替表!$H$5:$H$3507,$L3404)&amp;" "&amp;INDEX(ポート振替表!$I$5:$I$3507,$L3404))</f>
        <v/>
      </c>
      <c r="L3404" s="47" t="str">
        <f aca="false">IFERROR(MATCH(ROW()-4,ポート振替表!$V$5:$V$3507,0),"")</f>
        <v/>
      </c>
    </row>
    <row r="3405" customFormat="false" ht="16.4" hidden="false" customHeight="false" outlineLevel="0" collapsed="false">
      <c r="A3405" s="32" t="str">
        <f aca="false">IF(L3405="","",ROW()-4)</f>
        <v/>
      </c>
      <c r="B3405" s="58" t="str">
        <f aca="false">IF(L3405="","",IF(INDEX(ポート振替表!$W$5:$W$3507,$L3405)="","(なし)",INDEX(ポート振替表!$W$5:$W$3507,$L3405)&amp;""))</f>
        <v/>
      </c>
      <c r="C3405" s="52" t="str">
        <f aca="false">IF(L3405="","",INDEX(ポート振替表!$B$5:$B$3507,$L3405)&amp;" "&amp;INDEX(ポート振替表!$C$5:$C$3507,$L3405)&amp;"  ⇔  "&amp;INDEX(ポート振替表!$H$5:$H$3507,$L3405)&amp;" "&amp;INDEX(ポート振替表!$I$5:$I$3507,$L3405))</f>
        <v/>
      </c>
      <c r="D3405" s="57" t="s">
        <v>158</v>
      </c>
      <c r="E3405" s="59" t="str">
        <f aca="false">IF(L3405="","",IF(INDEX(ポート振替表!$O$5:$O$3507,$L3405)="","(未設定)",INDEX(ポート振替表!$O$5:$O$3507,$L3405)&amp;""))</f>
        <v/>
      </c>
      <c r="F3405" s="52" t="str">
        <f aca="false">IF(L3405="","",INDEX(ポート振替表!$K$5:$K$3507,$L3405)&amp;" "&amp;INDEX(ポート振替表!$L$5:$L$3507,$L3405)&amp;"  ⇔  "&amp;INDEX(ポート振替表!$H$5:$H$3507,$L3405)&amp;" "&amp;INDEX(ポート振替表!$I$5:$I$3507,$L3405))</f>
        <v/>
      </c>
      <c r="G3405" s="57" t="s">
        <v>158</v>
      </c>
      <c r="H3405" s="32" t="str">
        <f aca="false">IF(L3405="","",INDEX(ポート振替表!$N$5:$N$3507,$L3405)&amp;"")</f>
        <v/>
      </c>
      <c r="I3405" s="32" t="str">
        <f aca="false">IF(L3405="","",INDEX(ポート振替表!$P$5:$P$3507,$L3405)&amp;"")</f>
        <v/>
      </c>
      <c r="J3405" s="60" t="str">
        <f aca="false">IF(L3405="","",INDEX(ポート振替表!$M$5:$M$3507,$L3405)&amp;"")</f>
        <v/>
      </c>
      <c r="K3405" s="52" t="str">
        <f aca="false">IF(L3405="","",E3405&amp;CHAR(10)&amp;INDEX(ポート振替表!$K$5:$K$3507,$L3405)&amp;" "&amp;INDEX(ポート振替表!$L$5:$L$3507,$L3405)&amp;CHAR(10)&amp;"⇔ "&amp;INDEX(ポート振替表!$H$5:$H$3507,$L3405)&amp;" "&amp;INDEX(ポート振替表!$I$5:$I$3507,$L3405))</f>
        <v/>
      </c>
      <c r="L3405" s="47" t="str">
        <f aca="false">IFERROR(MATCH(ROW()-4,ポート振替表!$V$5:$V$3507,0),"")</f>
        <v/>
      </c>
    </row>
    <row r="3406" customFormat="false" ht="16.4" hidden="false" customHeight="false" outlineLevel="0" collapsed="false">
      <c r="A3406" s="32" t="str">
        <f aca="false">IF(L3406="","",ROW()-4)</f>
        <v/>
      </c>
      <c r="B3406" s="58" t="str">
        <f aca="false">IF(L3406="","",IF(INDEX(ポート振替表!$W$5:$W$3507,$L3406)="","(なし)",INDEX(ポート振替表!$W$5:$W$3507,$L3406)&amp;""))</f>
        <v/>
      </c>
      <c r="C3406" s="52" t="str">
        <f aca="false">IF(L3406="","",INDEX(ポート振替表!$B$5:$B$3507,$L3406)&amp;" "&amp;INDEX(ポート振替表!$C$5:$C$3507,$L3406)&amp;"  ⇔  "&amp;INDEX(ポート振替表!$H$5:$H$3507,$L3406)&amp;" "&amp;INDEX(ポート振替表!$I$5:$I$3507,$L3406))</f>
        <v/>
      </c>
      <c r="D3406" s="57" t="s">
        <v>158</v>
      </c>
      <c r="E3406" s="59" t="str">
        <f aca="false">IF(L3406="","",IF(INDEX(ポート振替表!$O$5:$O$3507,$L3406)="","(未設定)",INDEX(ポート振替表!$O$5:$O$3507,$L3406)&amp;""))</f>
        <v/>
      </c>
      <c r="F3406" s="52" t="str">
        <f aca="false">IF(L3406="","",INDEX(ポート振替表!$K$5:$K$3507,$L3406)&amp;" "&amp;INDEX(ポート振替表!$L$5:$L$3507,$L3406)&amp;"  ⇔  "&amp;INDEX(ポート振替表!$H$5:$H$3507,$L3406)&amp;" "&amp;INDEX(ポート振替表!$I$5:$I$3507,$L3406))</f>
        <v/>
      </c>
      <c r="G3406" s="57" t="s">
        <v>158</v>
      </c>
      <c r="H3406" s="32" t="str">
        <f aca="false">IF(L3406="","",INDEX(ポート振替表!$N$5:$N$3507,$L3406)&amp;"")</f>
        <v/>
      </c>
      <c r="I3406" s="32" t="str">
        <f aca="false">IF(L3406="","",INDEX(ポート振替表!$P$5:$P$3507,$L3406)&amp;"")</f>
        <v/>
      </c>
      <c r="J3406" s="60" t="str">
        <f aca="false">IF(L3406="","",INDEX(ポート振替表!$M$5:$M$3507,$L3406)&amp;"")</f>
        <v/>
      </c>
      <c r="K3406" s="52" t="str">
        <f aca="false">IF(L3406="","",E3406&amp;CHAR(10)&amp;INDEX(ポート振替表!$K$5:$K$3507,$L3406)&amp;" "&amp;INDEX(ポート振替表!$L$5:$L$3507,$L3406)&amp;CHAR(10)&amp;"⇔ "&amp;INDEX(ポート振替表!$H$5:$H$3507,$L3406)&amp;" "&amp;INDEX(ポート振替表!$I$5:$I$3507,$L3406))</f>
        <v/>
      </c>
      <c r="L3406" s="47" t="str">
        <f aca="false">IFERROR(MATCH(ROW()-4,ポート振替表!$V$5:$V$3507,0),"")</f>
        <v/>
      </c>
    </row>
    <row r="3407" customFormat="false" ht="16.4" hidden="false" customHeight="false" outlineLevel="0" collapsed="false">
      <c r="A3407" s="32" t="str">
        <f aca="false">IF(L3407="","",ROW()-4)</f>
        <v/>
      </c>
      <c r="B3407" s="58" t="str">
        <f aca="false">IF(L3407="","",IF(INDEX(ポート振替表!$W$5:$W$3507,$L3407)="","(なし)",INDEX(ポート振替表!$W$5:$W$3507,$L3407)&amp;""))</f>
        <v/>
      </c>
      <c r="C3407" s="52" t="str">
        <f aca="false">IF(L3407="","",INDEX(ポート振替表!$B$5:$B$3507,$L3407)&amp;" "&amp;INDEX(ポート振替表!$C$5:$C$3507,$L3407)&amp;"  ⇔  "&amp;INDEX(ポート振替表!$H$5:$H$3507,$L3407)&amp;" "&amp;INDEX(ポート振替表!$I$5:$I$3507,$L3407))</f>
        <v/>
      </c>
      <c r="D3407" s="57" t="s">
        <v>158</v>
      </c>
      <c r="E3407" s="59" t="str">
        <f aca="false">IF(L3407="","",IF(INDEX(ポート振替表!$O$5:$O$3507,$L3407)="","(未設定)",INDEX(ポート振替表!$O$5:$O$3507,$L3407)&amp;""))</f>
        <v/>
      </c>
      <c r="F3407" s="52" t="str">
        <f aca="false">IF(L3407="","",INDEX(ポート振替表!$K$5:$K$3507,$L3407)&amp;" "&amp;INDEX(ポート振替表!$L$5:$L$3507,$L3407)&amp;"  ⇔  "&amp;INDEX(ポート振替表!$H$5:$H$3507,$L3407)&amp;" "&amp;INDEX(ポート振替表!$I$5:$I$3507,$L3407))</f>
        <v/>
      </c>
      <c r="G3407" s="57" t="s">
        <v>158</v>
      </c>
      <c r="H3407" s="32" t="str">
        <f aca="false">IF(L3407="","",INDEX(ポート振替表!$N$5:$N$3507,$L3407)&amp;"")</f>
        <v/>
      </c>
      <c r="I3407" s="32" t="str">
        <f aca="false">IF(L3407="","",INDEX(ポート振替表!$P$5:$P$3507,$L3407)&amp;"")</f>
        <v/>
      </c>
      <c r="J3407" s="60" t="str">
        <f aca="false">IF(L3407="","",INDEX(ポート振替表!$M$5:$M$3507,$L3407)&amp;"")</f>
        <v/>
      </c>
      <c r="K3407" s="52" t="str">
        <f aca="false">IF(L3407="","",E3407&amp;CHAR(10)&amp;INDEX(ポート振替表!$K$5:$K$3507,$L3407)&amp;" "&amp;INDEX(ポート振替表!$L$5:$L$3507,$L3407)&amp;CHAR(10)&amp;"⇔ "&amp;INDEX(ポート振替表!$H$5:$H$3507,$L3407)&amp;" "&amp;INDEX(ポート振替表!$I$5:$I$3507,$L3407))</f>
        <v/>
      </c>
      <c r="L3407" s="47" t="str">
        <f aca="false">IFERROR(MATCH(ROW()-4,ポート振替表!$V$5:$V$3507,0),"")</f>
        <v/>
      </c>
    </row>
    <row r="3408" customFormat="false" ht="16.4" hidden="false" customHeight="false" outlineLevel="0" collapsed="false">
      <c r="A3408" s="32" t="str">
        <f aca="false">IF(L3408="","",ROW()-4)</f>
        <v/>
      </c>
      <c r="B3408" s="58" t="str">
        <f aca="false">IF(L3408="","",IF(INDEX(ポート振替表!$W$5:$W$3507,$L3408)="","(なし)",INDEX(ポート振替表!$W$5:$W$3507,$L3408)&amp;""))</f>
        <v/>
      </c>
      <c r="C3408" s="52" t="str">
        <f aca="false">IF(L3408="","",INDEX(ポート振替表!$B$5:$B$3507,$L3408)&amp;" "&amp;INDEX(ポート振替表!$C$5:$C$3507,$L3408)&amp;"  ⇔  "&amp;INDEX(ポート振替表!$H$5:$H$3507,$L3408)&amp;" "&amp;INDEX(ポート振替表!$I$5:$I$3507,$L3408))</f>
        <v/>
      </c>
      <c r="D3408" s="57" t="s">
        <v>158</v>
      </c>
      <c r="E3408" s="59" t="str">
        <f aca="false">IF(L3408="","",IF(INDEX(ポート振替表!$O$5:$O$3507,$L3408)="","(未設定)",INDEX(ポート振替表!$O$5:$O$3507,$L3408)&amp;""))</f>
        <v/>
      </c>
      <c r="F3408" s="52" t="str">
        <f aca="false">IF(L3408="","",INDEX(ポート振替表!$K$5:$K$3507,$L3408)&amp;" "&amp;INDEX(ポート振替表!$L$5:$L$3507,$L3408)&amp;"  ⇔  "&amp;INDEX(ポート振替表!$H$5:$H$3507,$L3408)&amp;" "&amp;INDEX(ポート振替表!$I$5:$I$3507,$L3408))</f>
        <v/>
      </c>
      <c r="G3408" s="57" t="s">
        <v>158</v>
      </c>
      <c r="H3408" s="32" t="str">
        <f aca="false">IF(L3408="","",INDEX(ポート振替表!$N$5:$N$3507,$L3408)&amp;"")</f>
        <v/>
      </c>
      <c r="I3408" s="32" t="str">
        <f aca="false">IF(L3408="","",INDEX(ポート振替表!$P$5:$P$3507,$L3408)&amp;"")</f>
        <v/>
      </c>
      <c r="J3408" s="60" t="str">
        <f aca="false">IF(L3408="","",INDEX(ポート振替表!$M$5:$M$3507,$L3408)&amp;"")</f>
        <v/>
      </c>
      <c r="K3408" s="52" t="str">
        <f aca="false">IF(L3408="","",E3408&amp;CHAR(10)&amp;INDEX(ポート振替表!$K$5:$K$3507,$L3408)&amp;" "&amp;INDEX(ポート振替表!$L$5:$L$3507,$L3408)&amp;CHAR(10)&amp;"⇔ "&amp;INDEX(ポート振替表!$H$5:$H$3507,$L3408)&amp;" "&amp;INDEX(ポート振替表!$I$5:$I$3507,$L3408))</f>
        <v/>
      </c>
      <c r="L3408" s="47" t="str">
        <f aca="false">IFERROR(MATCH(ROW()-4,ポート振替表!$V$5:$V$3507,0),"")</f>
        <v/>
      </c>
    </row>
    <row r="3409" customFormat="false" ht="16.4" hidden="false" customHeight="false" outlineLevel="0" collapsed="false">
      <c r="A3409" s="32" t="str">
        <f aca="false">IF(L3409="","",ROW()-4)</f>
        <v/>
      </c>
      <c r="B3409" s="58" t="str">
        <f aca="false">IF(L3409="","",IF(INDEX(ポート振替表!$W$5:$W$3507,$L3409)="","(なし)",INDEX(ポート振替表!$W$5:$W$3507,$L3409)&amp;""))</f>
        <v/>
      </c>
      <c r="C3409" s="52" t="str">
        <f aca="false">IF(L3409="","",INDEX(ポート振替表!$B$5:$B$3507,$L3409)&amp;" "&amp;INDEX(ポート振替表!$C$5:$C$3507,$L3409)&amp;"  ⇔  "&amp;INDEX(ポート振替表!$H$5:$H$3507,$L3409)&amp;" "&amp;INDEX(ポート振替表!$I$5:$I$3507,$L3409))</f>
        <v/>
      </c>
      <c r="D3409" s="57" t="s">
        <v>158</v>
      </c>
      <c r="E3409" s="59" t="str">
        <f aca="false">IF(L3409="","",IF(INDEX(ポート振替表!$O$5:$O$3507,$L3409)="","(未設定)",INDEX(ポート振替表!$O$5:$O$3507,$L3409)&amp;""))</f>
        <v/>
      </c>
      <c r="F3409" s="52" t="str">
        <f aca="false">IF(L3409="","",INDEX(ポート振替表!$K$5:$K$3507,$L3409)&amp;" "&amp;INDEX(ポート振替表!$L$5:$L$3507,$L3409)&amp;"  ⇔  "&amp;INDEX(ポート振替表!$H$5:$H$3507,$L3409)&amp;" "&amp;INDEX(ポート振替表!$I$5:$I$3507,$L3409))</f>
        <v/>
      </c>
      <c r="G3409" s="57" t="s">
        <v>158</v>
      </c>
      <c r="H3409" s="32" t="str">
        <f aca="false">IF(L3409="","",INDEX(ポート振替表!$N$5:$N$3507,$L3409)&amp;"")</f>
        <v/>
      </c>
      <c r="I3409" s="32" t="str">
        <f aca="false">IF(L3409="","",INDEX(ポート振替表!$P$5:$P$3507,$L3409)&amp;"")</f>
        <v/>
      </c>
      <c r="J3409" s="60" t="str">
        <f aca="false">IF(L3409="","",INDEX(ポート振替表!$M$5:$M$3507,$L3409)&amp;"")</f>
        <v/>
      </c>
      <c r="K3409" s="52" t="str">
        <f aca="false">IF(L3409="","",E3409&amp;CHAR(10)&amp;INDEX(ポート振替表!$K$5:$K$3507,$L3409)&amp;" "&amp;INDEX(ポート振替表!$L$5:$L$3507,$L3409)&amp;CHAR(10)&amp;"⇔ "&amp;INDEX(ポート振替表!$H$5:$H$3507,$L3409)&amp;" "&amp;INDEX(ポート振替表!$I$5:$I$3507,$L3409))</f>
        <v/>
      </c>
      <c r="L3409" s="47" t="str">
        <f aca="false">IFERROR(MATCH(ROW()-4,ポート振替表!$V$5:$V$3507,0),"")</f>
        <v/>
      </c>
    </row>
    <row r="3410" customFormat="false" ht="16.4" hidden="false" customHeight="false" outlineLevel="0" collapsed="false">
      <c r="A3410" s="32" t="str">
        <f aca="false">IF(L3410="","",ROW()-4)</f>
        <v/>
      </c>
      <c r="B3410" s="58" t="str">
        <f aca="false">IF(L3410="","",IF(INDEX(ポート振替表!$W$5:$W$3507,$L3410)="","(なし)",INDEX(ポート振替表!$W$5:$W$3507,$L3410)&amp;""))</f>
        <v/>
      </c>
      <c r="C3410" s="52" t="str">
        <f aca="false">IF(L3410="","",INDEX(ポート振替表!$B$5:$B$3507,$L3410)&amp;" "&amp;INDEX(ポート振替表!$C$5:$C$3507,$L3410)&amp;"  ⇔  "&amp;INDEX(ポート振替表!$H$5:$H$3507,$L3410)&amp;" "&amp;INDEX(ポート振替表!$I$5:$I$3507,$L3410))</f>
        <v/>
      </c>
      <c r="D3410" s="57" t="s">
        <v>158</v>
      </c>
      <c r="E3410" s="59" t="str">
        <f aca="false">IF(L3410="","",IF(INDEX(ポート振替表!$O$5:$O$3507,$L3410)="","(未設定)",INDEX(ポート振替表!$O$5:$O$3507,$L3410)&amp;""))</f>
        <v/>
      </c>
      <c r="F3410" s="52" t="str">
        <f aca="false">IF(L3410="","",INDEX(ポート振替表!$K$5:$K$3507,$L3410)&amp;" "&amp;INDEX(ポート振替表!$L$5:$L$3507,$L3410)&amp;"  ⇔  "&amp;INDEX(ポート振替表!$H$5:$H$3507,$L3410)&amp;" "&amp;INDEX(ポート振替表!$I$5:$I$3507,$L3410))</f>
        <v/>
      </c>
      <c r="G3410" s="57" t="s">
        <v>158</v>
      </c>
      <c r="H3410" s="32" t="str">
        <f aca="false">IF(L3410="","",INDEX(ポート振替表!$N$5:$N$3507,$L3410)&amp;"")</f>
        <v/>
      </c>
      <c r="I3410" s="32" t="str">
        <f aca="false">IF(L3410="","",INDEX(ポート振替表!$P$5:$P$3507,$L3410)&amp;"")</f>
        <v/>
      </c>
      <c r="J3410" s="60" t="str">
        <f aca="false">IF(L3410="","",INDEX(ポート振替表!$M$5:$M$3507,$L3410)&amp;"")</f>
        <v/>
      </c>
      <c r="K3410" s="52" t="str">
        <f aca="false">IF(L3410="","",E3410&amp;CHAR(10)&amp;INDEX(ポート振替表!$K$5:$K$3507,$L3410)&amp;" "&amp;INDEX(ポート振替表!$L$5:$L$3507,$L3410)&amp;CHAR(10)&amp;"⇔ "&amp;INDEX(ポート振替表!$H$5:$H$3507,$L3410)&amp;" "&amp;INDEX(ポート振替表!$I$5:$I$3507,$L3410))</f>
        <v/>
      </c>
      <c r="L3410" s="47" t="str">
        <f aca="false">IFERROR(MATCH(ROW()-4,ポート振替表!$V$5:$V$3507,0),"")</f>
        <v/>
      </c>
    </row>
    <row r="3411" customFormat="false" ht="16.4" hidden="false" customHeight="false" outlineLevel="0" collapsed="false">
      <c r="A3411" s="32" t="str">
        <f aca="false">IF(L3411="","",ROW()-4)</f>
        <v/>
      </c>
      <c r="B3411" s="58" t="str">
        <f aca="false">IF(L3411="","",IF(INDEX(ポート振替表!$W$5:$W$3507,$L3411)="","(なし)",INDEX(ポート振替表!$W$5:$W$3507,$L3411)&amp;""))</f>
        <v/>
      </c>
      <c r="C3411" s="52" t="str">
        <f aca="false">IF(L3411="","",INDEX(ポート振替表!$B$5:$B$3507,$L3411)&amp;" "&amp;INDEX(ポート振替表!$C$5:$C$3507,$L3411)&amp;"  ⇔  "&amp;INDEX(ポート振替表!$H$5:$H$3507,$L3411)&amp;" "&amp;INDEX(ポート振替表!$I$5:$I$3507,$L3411))</f>
        <v/>
      </c>
      <c r="D3411" s="57" t="s">
        <v>158</v>
      </c>
      <c r="E3411" s="59" t="str">
        <f aca="false">IF(L3411="","",IF(INDEX(ポート振替表!$O$5:$O$3507,$L3411)="","(未設定)",INDEX(ポート振替表!$O$5:$O$3507,$L3411)&amp;""))</f>
        <v/>
      </c>
      <c r="F3411" s="52" t="str">
        <f aca="false">IF(L3411="","",INDEX(ポート振替表!$K$5:$K$3507,$L3411)&amp;" "&amp;INDEX(ポート振替表!$L$5:$L$3507,$L3411)&amp;"  ⇔  "&amp;INDEX(ポート振替表!$H$5:$H$3507,$L3411)&amp;" "&amp;INDEX(ポート振替表!$I$5:$I$3507,$L3411))</f>
        <v/>
      </c>
      <c r="G3411" s="57" t="s">
        <v>158</v>
      </c>
      <c r="H3411" s="32" t="str">
        <f aca="false">IF(L3411="","",INDEX(ポート振替表!$N$5:$N$3507,$L3411)&amp;"")</f>
        <v/>
      </c>
      <c r="I3411" s="32" t="str">
        <f aca="false">IF(L3411="","",INDEX(ポート振替表!$P$5:$P$3507,$L3411)&amp;"")</f>
        <v/>
      </c>
      <c r="J3411" s="60" t="str">
        <f aca="false">IF(L3411="","",INDEX(ポート振替表!$M$5:$M$3507,$L3411)&amp;"")</f>
        <v/>
      </c>
      <c r="K3411" s="52" t="str">
        <f aca="false">IF(L3411="","",E3411&amp;CHAR(10)&amp;INDEX(ポート振替表!$K$5:$K$3507,$L3411)&amp;" "&amp;INDEX(ポート振替表!$L$5:$L$3507,$L3411)&amp;CHAR(10)&amp;"⇔ "&amp;INDEX(ポート振替表!$H$5:$H$3507,$L3411)&amp;" "&amp;INDEX(ポート振替表!$I$5:$I$3507,$L3411))</f>
        <v/>
      </c>
      <c r="L3411" s="47" t="str">
        <f aca="false">IFERROR(MATCH(ROW()-4,ポート振替表!$V$5:$V$3507,0),"")</f>
        <v/>
      </c>
    </row>
    <row r="3412" customFormat="false" ht="16.4" hidden="false" customHeight="false" outlineLevel="0" collapsed="false">
      <c r="A3412" s="32" t="str">
        <f aca="false">IF(L3412="","",ROW()-4)</f>
        <v/>
      </c>
      <c r="B3412" s="58" t="str">
        <f aca="false">IF(L3412="","",IF(INDEX(ポート振替表!$W$5:$W$3507,$L3412)="","(なし)",INDEX(ポート振替表!$W$5:$W$3507,$L3412)&amp;""))</f>
        <v/>
      </c>
      <c r="C3412" s="52" t="str">
        <f aca="false">IF(L3412="","",INDEX(ポート振替表!$B$5:$B$3507,$L3412)&amp;" "&amp;INDEX(ポート振替表!$C$5:$C$3507,$L3412)&amp;"  ⇔  "&amp;INDEX(ポート振替表!$H$5:$H$3507,$L3412)&amp;" "&amp;INDEX(ポート振替表!$I$5:$I$3507,$L3412))</f>
        <v/>
      </c>
      <c r="D3412" s="57" t="s">
        <v>158</v>
      </c>
      <c r="E3412" s="59" t="str">
        <f aca="false">IF(L3412="","",IF(INDEX(ポート振替表!$O$5:$O$3507,$L3412)="","(未設定)",INDEX(ポート振替表!$O$5:$O$3507,$L3412)&amp;""))</f>
        <v/>
      </c>
      <c r="F3412" s="52" t="str">
        <f aca="false">IF(L3412="","",INDEX(ポート振替表!$K$5:$K$3507,$L3412)&amp;" "&amp;INDEX(ポート振替表!$L$5:$L$3507,$L3412)&amp;"  ⇔  "&amp;INDEX(ポート振替表!$H$5:$H$3507,$L3412)&amp;" "&amp;INDEX(ポート振替表!$I$5:$I$3507,$L3412))</f>
        <v/>
      </c>
      <c r="G3412" s="57" t="s">
        <v>158</v>
      </c>
      <c r="H3412" s="32" t="str">
        <f aca="false">IF(L3412="","",INDEX(ポート振替表!$N$5:$N$3507,$L3412)&amp;"")</f>
        <v/>
      </c>
      <c r="I3412" s="32" t="str">
        <f aca="false">IF(L3412="","",INDEX(ポート振替表!$P$5:$P$3507,$L3412)&amp;"")</f>
        <v/>
      </c>
      <c r="J3412" s="60" t="str">
        <f aca="false">IF(L3412="","",INDEX(ポート振替表!$M$5:$M$3507,$L3412)&amp;"")</f>
        <v/>
      </c>
      <c r="K3412" s="52" t="str">
        <f aca="false">IF(L3412="","",E3412&amp;CHAR(10)&amp;INDEX(ポート振替表!$K$5:$K$3507,$L3412)&amp;" "&amp;INDEX(ポート振替表!$L$5:$L$3507,$L3412)&amp;CHAR(10)&amp;"⇔ "&amp;INDEX(ポート振替表!$H$5:$H$3507,$L3412)&amp;" "&amp;INDEX(ポート振替表!$I$5:$I$3507,$L3412))</f>
        <v/>
      </c>
      <c r="L3412" s="47" t="str">
        <f aca="false">IFERROR(MATCH(ROW()-4,ポート振替表!$V$5:$V$3507,0),"")</f>
        <v/>
      </c>
    </row>
    <row r="3413" customFormat="false" ht="16.4" hidden="false" customHeight="false" outlineLevel="0" collapsed="false">
      <c r="A3413" s="32" t="str">
        <f aca="false">IF(L3413="","",ROW()-4)</f>
        <v/>
      </c>
      <c r="B3413" s="58" t="str">
        <f aca="false">IF(L3413="","",IF(INDEX(ポート振替表!$W$5:$W$3507,$L3413)="","(なし)",INDEX(ポート振替表!$W$5:$W$3507,$L3413)&amp;""))</f>
        <v/>
      </c>
      <c r="C3413" s="52" t="str">
        <f aca="false">IF(L3413="","",INDEX(ポート振替表!$B$5:$B$3507,$L3413)&amp;" "&amp;INDEX(ポート振替表!$C$5:$C$3507,$L3413)&amp;"  ⇔  "&amp;INDEX(ポート振替表!$H$5:$H$3507,$L3413)&amp;" "&amp;INDEX(ポート振替表!$I$5:$I$3507,$L3413))</f>
        <v/>
      </c>
      <c r="D3413" s="57" t="s">
        <v>158</v>
      </c>
      <c r="E3413" s="59" t="str">
        <f aca="false">IF(L3413="","",IF(INDEX(ポート振替表!$O$5:$O$3507,$L3413)="","(未設定)",INDEX(ポート振替表!$O$5:$O$3507,$L3413)&amp;""))</f>
        <v/>
      </c>
      <c r="F3413" s="52" t="str">
        <f aca="false">IF(L3413="","",INDEX(ポート振替表!$K$5:$K$3507,$L3413)&amp;" "&amp;INDEX(ポート振替表!$L$5:$L$3507,$L3413)&amp;"  ⇔  "&amp;INDEX(ポート振替表!$H$5:$H$3507,$L3413)&amp;" "&amp;INDEX(ポート振替表!$I$5:$I$3507,$L3413))</f>
        <v/>
      </c>
      <c r="G3413" s="57" t="s">
        <v>158</v>
      </c>
      <c r="H3413" s="32" t="str">
        <f aca="false">IF(L3413="","",INDEX(ポート振替表!$N$5:$N$3507,$L3413)&amp;"")</f>
        <v/>
      </c>
      <c r="I3413" s="32" t="str">
        <f aca="false">IF(L3413="","",INDEX(ポート振替表!$P$5:$P$3507,$L3413)&amp;"")</f>
        <v/>
      </c>
      <c r="J3413" s="60" t="str">
        <f aca="false">IF(L3413="","",INDEX(ポート振替表!$M$5:$M$3507,$L3413)&amp;"")</f>
        <v/>
      </c>
      <c r="K3413" s="52" t="str">
        <f aca="false">IF(L3413="","",E3413&amp;CHAR(10)&amp;INDEX(ポート振替表!$K$5:$K$3507,$L3413)&amp;" "&amp;INDEX(ポート振替表!$L$5:$L$3507,$L3413)&amp;CHAR(10)&amp;"⇔ "&amp;INDEX(ポート振替表!$H$5:$H$3507,$L3413)&amp;" "&amp;INDEX(ポート振替表!$I$5:$I$3507,$L3413))</f>
        <v/>
      </c>
      <c r="L3413" s="47" t="str">
        <f aca="false">IFERROR(MATCH(ROW()-4,ポート振替表!$V$5:$V$3507,0),"")</f>
        <v/>
      </c>
    </row>
    <row r="3414" customFormat="false" ht="16.4" hidden="false" customHeight="false" outlineLevel="0" collapsed="false">
      <c r="A3414" s="32" t="str">
        <f aca="false">IF(L3414="","",ROW()-4)</f>
        <v/>
      </c>
      <c r="B3414" s="58" t="str">
        <f aca="false">IF(L3414="","",IF(INDEX(ポート振替表!$W$5:$W$3507,$L3414)="","(なし)",INDEX(ポート振替表!$W$5:$W$3507,$L3414)&amp;""))</f>
        <v/>
      </c>
      <c r="C3414" s="52" t="str">
        <f aca="false">IF(L3414="","",INDEX(ポート振替表!$B$5:$B$3507,$L3414)&amp;" "&amp;INDEX(ポート振替表!$C$5:$C$3507,$L3414)&amp;"  ⇔  "&amp;INDEX(ポート振替表!$H$5:$H$3507,$L3414)&amp;" "&amp;INDEX(ポート振替表!$I$5:$I$3507,$L3414))</f>
        <v/>
      </c>
      <c r="D3414" s="57" t="s">
        <v>158</v>
      </c>
      <c r="E3414" s="59" t="str">
        <f aca="false">IF(L3414="","",IF(INDEX(ポート振替表!$O$5:$O$3507,$L3414)="","(未設定)",INDEX(ポート振替表!$O$5:$O$3507,$L3414)&amp;""))</f>
        <v/>
      </c>
      <c r="F3414" s="52" t="str">
        <f aca="false">IF(L3414="","",INDEX(ポート振替表!$K$5:$K$3507,$L3414)&amp;" "&amp;INDEX(ポート振替表!$L$5:$L$3507,$L3414)&amp;"  ⇔  "&amp;INDEX(ポート振替表!$H$5:$H$3507,$L3414)&amp;" "&amp;INDEX(ポート振替表!$I$5:$I$3507,$L3414))</f>
        <v/>
      </c>
      <c r="G3414" s="57" t="s">
        <v>158</v>
      </c>
      <c r="H3414" s="32" t="str">
        <f aca="false">IF(L3414="","",INDEX(ポート振替表!$N$5:$N$3507,$L3414)&amp;"")</f>
        <v/>
      </c>
      <c r="I3414" s="32" t="str">
        <f aca="false">IF(L3414="","",INDEX(ポート振替表!$P$5:$P$3507,$L3414)&amp;"")</f>
        <v/>
      </c>
      <c r="J3414" s="60" t="str">
        <f aca="false">IF(L3414="","",INDEX(ポート振替表!$M$5:$M$3507,$L3414)&amp;"")</f>
        <v/>
      </c>
      <c r="K3414" s="52" t="str">
        <f aca="false">IF(L3414="","",E3414&amp;CHAR(10)&amp;INDEX(ポート振替表!$K$5:$K$3507,$L3414)&amp;" "&amp;INDEX(ポート振替表!$L$5:$L$3507,$L3414)&amp;CHAR(10)&amp;"⇔ "&amp;INDEX(ポート振替表!$H$5:$H$3507,$L3414)&amp;" "&amp;INDEX(ポート振替表!$I$5:$I$3507,$L3414))</f>
        <v/>
      </c>
      <c r="L3414" s="47" t="str">
        <f aca="false">IFERROR(MATCH(ROW()-4,ポート振替表!$V$5:$V$3507,0),"")</f>
        <v/>
      </c>
    </row>
    <row r="3415" customFormat="false" ht="16.4" hidden="false" customHeight="false" outlineLevel="0" collapsed="false">
      <c r="A3415" s="32" t="str">
        <f aca="false">IF(L3415="","",ROW()-4)</f>
        <v/>
      </c>
      <c r="B3415" s="58" t="str">
        <f aca="false">IF(L3415="","",IF(INDEX(ポート振替表!$W$5:$W$3507,$L3415)="","(なし)",INDEX(ポート振替表!$W$5:$W$3507,$L3415)&amp;""))</f>
        <v/>
      </c>
      <c r="C3415" s="52" t="str">
        <f aca="false">IF(L3415="","",INDEX(ポート振替表!$B$5:$B$3507,$L3415)&amp;" "&amp;INDEX(ポート振替表!$C$5:$C$3507,$L3415)&amp;"  ⇔  "&amp;INDEX(ポート振替表!$H$5:$H$3507,$L3415)&amp;" "&amp;INDEX(ポート振替表!$I$5:$I$3507,$L3415))</f>
        <v/>
      </c>
      <c r="D3415" s="57" t="s">
        <v>158</v>
      </c>
      <c r="E3415" s="59" t="str">
        <f aca="false">IF(L3415="","",IF(INDEX(ポート振替表!$O$5:$O$3507,$L3415)="","(未設定)",INDEX(ポート振替表!$O$5:$O$3507,$L3415)&amp;""))</f>
        <v/>
      </c>
      <c r="F3415" s="52" t="str">
        <f aca="false">IF(L3415="","",INDEX(ポート振替表!$K$5:$K$3507,$L3415)&amp;" "&amp;INDEX(ポート振替表!$L$5:$L$3507,$L3415)&amp;"  ⇔  "&amp;INDEX(ポート振替表!$H$5:$H$3507,$L3415)&amp;" "&amp;INDEX(ポート振替表!$I$5:$I$3507,$L3415))</f>
        <v/>
      </c>
      <c r="G3415" s="57" t="s">
        <v>158</v>
      </c>
      <c r="H3415" s="32" t="str">
        <f aca="false">IF(L3415="","",INDEX(ポート振替表!$N$5:$N$3507,$L3415)&amp;"")</f>
        <v/>
      </c>
      <c r="I3415" s="32" t="str">
        <f aca="false">IF(L3415="","",INDEX(ポート振替表!$P$5:$P$3507,$L3415)&amp;"")</f>
        <v/>
      </c>
      <c r="J3415" s="60" t="str">
        <f aca="false">IF(L3415="","",INDEX(ポート振替表!$M$5:$M$3507,$L3415)&amp;"")</f>
        <v/>
      </c>
      <c r="K3415" s="52" t="str">
        <f aca="false">IF(L3415="","",E3415&amp;CHAR(10)&amp;INDEX(ポート振替表!$K$5:$K$3507,$L3415)&amp;" "&amp;INDEX(ポート振替表!$L$5:$L$3507,$L3415)&amp;CHAR(10)&amp;"⇔ "&amp;INDEX(ポート振替表!$H$5:$H$3507,$L3415)&amp;" "&amp;INDEX(ポート振替表!$I$5:$I$3507,$L3415))</f>
        <v/>
      </c>
      <c r="L3415" s="47" t="str">
        <f aca="false">IFERROR(MATCH(ROW()-4,ポート振替表!$V$5:$V$3507,0),"")</f>
        <v/>
      </c>
    </row>
    <row r="3416" customFormat="false" ht="16.4" hidden="false" customHeight="false" outlineLevel="0" collapsed="false">
      <c r="A3416" s="32" t="str">
        <f aca="false">IF(L3416="","",ROW()-4)</f>
        <v/>
      </c>
      <c r="B3416" s="58" t="str">
        <f aca="false">IF(L3416="","",IF(INDEX(ポート振替表!$W$5:$W$3507,$L3416)="","(なし)",INDEX(ポート振替表!$W$5:$W$3507,$L3416)&amp;""))</f>
        <v/>
      </c>
      <c r="C3416" s="52" t="str">
        <f aca="false">IF(L3416="","",INDEX(ポート振替表!$B$5:$B$3507,$L3416)&amp;" "&amp;INDEX(ポート振替表!$C$5:$C$3507,$L3416)&amp;"  ⇔  "&amp;INDEX(ポート振替表!$H$5:$H$3507,$L3416)&amp;" "&amp;INDEX(ポート振替表!$I$5:$I$3507,$L3416))</f>
        <v/>
      </c>
      <c r="D3416" s="57" t="s">
        <v>158</v>
      </c>
      <c r="E3416" s="59" t="str">
        <f aca="false">IF(L3416="","",IF(INDEX(ポート振替表!$O$5:$O$3507,$L3416)="","(未設定)",INDEX(ポート振替表!$O$5:$O$3507,$L3416)&amp;""))</f>
        <v/>
      </c>
      <c r="F3416" s="52" t="str">
        <f aca="false">IF(L3416="","",INDEX(ポート振替表!$K$5:$K$3507,$L3416)&amp;" "&amp;INDEX(ポート振替表!$L$5:$L$3507,$L3416)&amp;"  ⇔  "&amp;INDEX(ポート振替表!$H$5:$H$3507,$L3416)&amp;" "&amp;INDEX(ポート振替表!$I$5:$I$3507,$L3416))</f>
        <v/>
      </c>
      <c r="G3416" s="57" t="s">
        <v>158</v>
      </c>
      <c r="H3416" s="32" t="str">
        <f aca="false">IF(L3416="","",INDEX(ポート振替表!$N$5:$N$3507,$L3416)&amp;"")</f>
        <v/>
      </c>
      <c r="I3416" s="32" t="str">
        <f aca="false">IF(L3416="","",INDEX(ポート振替表!$P$5:$P$3507,$L3416)&amp;"")</f>
        <v/>
      </c>
      <c r="J3416" s="60" t="str">
        <f aca="false">IF(L3416="","",INDEX(ポート振替表!$M$5:$M$3507,$L3416)&amp;"")</f>
        <v/>
      </c>
      <c r="K3416" s="52" t="str">
        <f aca="false">IF(L3416="","",E3416&amp;CHAR(10)&amp;INDEX(ポート振替表!$K$5:$K$3507,$L3416)&amp;" "&amp;INDEX(ポート振替表!$L$5:$L$3507,$L3416)&amp;CHAR(10)&amp;"⇔ "&amp;INDEX(ポート振替表!$H$5:$H$3507,$L3416)&amp;" "&amp;INDEX(ポート振替表!$I$5:$I$3507,$L3416))</f>
        <v/>
      </c>
      <c r="L3416" s="47" t="str">
        <f aca="false">IFERROR(MATCH(ROW()-4,ポート振替表!$V$5:$V$3507,0),"")</f>
        <v/>
      </c>
    </row>
    <row r="3417" customFormat="false" ht="16.4" hidden="false" customHeight="false" outlineLevel="0" collapsed="false">
      <c r="A3417" s="32" t="str">
        <f aca="false">IF(L3417="","",ROW()-4)</f>
        <v/>
      </c>
      <c r="B3417" s="58" t="str">
        <f aca="false">IF(L3417="","",IF(INDEX(ポート振替表!$W$5:$W$3507,$L3417)="","(なし)",INDEX(ポート振替表!$W$5:$W$3507,$L3417)&amp;""))</f>
        <v/>
      </c>
      <c r="C3417" s="52" t="str">
        <f aca="false">IF(L3417="","",INDEX(ポート振替表!$B$5:$B$3507,$L3417)&amp;" "&amp;INDEX(ポート振替表!$C$5:$C$3507,$L3417)&amp;"  ⇔  "&amp;INDEX(ポート振替表!$H$5:$H$3507,$L3417)&amp;" "&amp;INDEX(ポート振替表!$I$5:$I$3507,$L3417))</f>
        <v/>
      </c>
      <c r="D3417" s="57" t="s">
        <v>158</v>
      </c>
      <c r="E3417" s="59" t="str">
        <f aca="false">IF(L3417="","",IF(INDEX(ポート振替表!$O$5:$O$3507,$L3417)="","(未設定)",INDEX(ポート振替表!$O$5:$O$3507,$L3417)&amp;""))</f>
        <v/>
      </c>
      <c r="F3417" s="52" t="str">
        <f aca="false">IF(L3417="","",INDEX(ポート振替表!$K$5:$K$3507,$L3417)&amp;" "&amp;INDEX(ポート振替表!$L$5:$L$3507,$L3417)&amp;"  ⇔  "&amp;INDEX(ポート振替表!$H$5:$H$3507,$L3417)&amp;" "&amp;INDEX(ポート振替表!$I$5:$I$3507,$L3417))</f>
        <v/>
      </c>
      <c r="G3417" s="57" t="s">
        <v>158</v>
      </c>
      <c r="H3417" s="32" t="str">
        <f aca="false">IF(L3417="","",INDEX(ポート振替表!$N$5:$N$3507,$L3417)&amp;"")</f>
        <v/>
      </c>
      <c r="I3417" s="32" t="str">
        <f aca="false">IF(L3417="","",INDEX(ポート振替表!$P$5:$P$3507,$L3417)&amp;"")</f>
        <v/>
      </c>
      <c r="J3417" s="60" t="str">
        <f aca="false">IF(L3417="","",INDEX(ポート振替表!$M$5:$M$3507,$L3417)&amp;"")</f>
        <v/>
      </c>
      <c r="K3417" s="52" t="str">
        <f aca="false">IF(L3417="","",E3417&amp;CHAR(10)&amp;INDEX(ポート振替表!$K$5:$K$3507,$L3417)&amp;" "&amp;INDEX(ポート振替表!$L$5:$L$3507,$L3417)&amp;CHAR(10)&amp;"⇔ "&amp;INDEX(ポート振替表!$H$5:$H$3507,$L3417)&amp;" "&amp;INDEX(ポート振替表!$I$5:$I$3507,$L3417))</f>
        <v/>
      </c>
      <c r="L3417" s="47" t="str">
        <f aca="false">IFERROR(MATCH(ROW()-4,ポート振替表!$V$5:$V$3507,0),"")</f>
        <v/>
      </c>
    </row>
    <row r="3418" customFormat="false" ht="16.4" hidden="false" customHeight="false" outlineLevel="0" collapsed="false">
      <c r="A3418" s="32" t="str">
        <f aca="false">IF(L3418="","",ROW()-4)</f>
        <v/>
      </c>
      <c r="B3418" s="58" t="str">
        <f aca="false">IF(L3418="","",IF(INDEX(ポート振替表!$W$5:$W$3507,$L3418)="","(なし)",INDEX(ポート振替表!$W$5:$W$3507,$L3418)&amp;""))</f>
        <v/>
      </c>
      <c r="C3418" s="52" t="str">
        <f aca="false">IF(L3418="","",INDEX(ポート振替表!$B$5:$B$3507,$L3418)&amp;" "&amp;INDEX(ポート振替表!$C$5:$C$3507,$L3418)&amp;"  ⇔  "&amp;INDEX(ポート振替表!$H$5:$H$3507,$L3418)&amp;" "&amp;INDEX(ポート振替表!$I$5:$I$3507,$L3418))</f>
        <v/>
      </c>
      <c r="D3418" s="57" t="s">
        <v>158</v>
      </c>
      <c r="E3418" s="59" t="str">
        <f aca="false">IF(L3418="","",IF(INDEX(ポート振替表!$O$5:$O$3507,$L3418)="","(未設定)",INDEX(ポート振替表!$O$5:$O$3507,$L3418)&amp;""))</f>
        <v/>
      </c>
      <c r="F3418" s="52" t="str">
        <f aca="false">IF(L3418="","",INDEX(ポート振替表!$K$5:$K$3507,$L3418)&amp;" "&amp;INDEX(ポート振替表!$L$5:$L$3507,$L3418)&amp;"  ⇔  "&amp;INDEX(ポート振替表!$H$5:$H$3507,$L3418)&amp;" "&amp;INDEX(ポート振替表!$I$5:$I$3507,$L3418))</f>
        <v/>
      </c>
      <c r="G3418" s="57" t="s">
        <v>158</v>
      </c>
      <c r="H3418" s="32" t="str">
        <f aca="false">IF(L3418="","",INDEX(ポート振替表!$N$5:$N$3507,$L3418)&amp;"")</f>
        <v/>
      </c>
      <c r="I3418" s="32" t="str">
        <f aca="false">IF(L3418="","",INDEX(ポート振替表!$P$5:$P$3507,$L3418)&amp;"")</f>
        <v/>
      </c>
      <c r="J3418" s="60" t="str">
        <f aca="false">IF(L3418="","",INDEX(ポート振替表!$M$5:$M$3507,$L3418)&amp;"")</f>
        <v/>
      </c>
      <c r="K3418" s="52" t="str">
        <f aca="false">IF(L3418="","",E3418&amp;CHAR(10)&amp;INDEX(ポート振替表!$K$5:$K$3507,$L3418)&amp;" "&amp;INDEX(ポート振替表!$L$5:$L$3507,$L3418)&amp;CHAR(10)&amp;"⇔ "&amp;INDEX(ポート振替表!$H$5:$H$3507,$L3418)&amp;" "&amp;INDEX(ポート振替表!$I$5:$I$3507,$L3418))</f>
        <v/>
      </c>
      <c r="L3418" s="47" t="str">
        <f aca="false">IFERROR(MATCH(ROW()-4,ポート振替表!$V$5:$V$3507,0),"")</f>
        <v/>
      </c>
    </row>
    <row r="3419" customFormat="false" ht="16.4" hidden="false" customHeight="false" outlineLevel="0" collapsed="false">
      <c r="A3419" s="32" t="str">
        <f aca="false">IF(L3419="","",ROW()-4)</f>
        <v/>
      </c>
      <c r="B3419" s="58" t="str">
        <f aca="false">IF(L3419="","",IF(INDEX(ポート振替表!$W$5:$W$3507,$L3419)="","(なし)",INDEX(ポート振替表!$W$5:$W$3507,$L3419)&amp;""))</f>
        <v/>
      </c>
      <c r="C3419" s="52" t="str">
        <f aca="false">IF(L3419="","",INDEX(ポート振替表!$B$5:$B$3507,$L3419)&amp;" "&amp;INDEX(ポート振替表!$C$5:$C$3507,$L3419)&amp;"  ⇔  "&amp;INDEX(ポート振替表!$H$5:$H$3507,$L3419)&amp;" "&amp;INDEX(ポート振替表!$I$5:$I$3507,$L3419))</f>
        <v/>
      </c>
      <c r="D3419" s="57" t="s">
        <v>158</v>
      </c>
      <c r="E3419" s="59" t="str">
        <f aca="false">IF(L3419="","",IF(INDEX(ポート振替表!$O$5:$O$3507,$L3419)="","(未設定)",INDEX(ポート振替表!$O$5:$O$3507,$L3419)&amp;""))</f>
        <v/>
      </c>
      <c r="F3419" s="52" t="str">
        <f aca="false">IF(L3419="","",INDEX(ポート振替表!$K$5:$K$3507,$L3419)&amp;" "&amp;INDEX(ポート振替表!$L$5:$L$3507,$L3419)&amp;"  ⇔  "&amp;INDEX(ポート振替表!$H$5:$H$3507,$L3419)&amp;" "&amp;INDEX(ポート振替表!$I$5:$I$3507,$L3419))</f>
        <v/>
      </c>
      <c r="G3419" s="57" t="s">
        <v>158</v>
      </c>
      <c r="H3419" s="32" t="str">
        <f aca="false">IF(L3419="","",INDEX(ポート振替表!$N$5:$N$3507,$L3419)&amp;"")</f>
        <v/>
      </c>
      <c r="I3419" s="32" t="str">
        <f aca="false">IF(L3419="","",INDEX(ポート振替表!$P$5:$P$3507,$L3419)&amp;"")</f>
        <v/>
      </c>
      <c r="J3419" s="60" t="str">
        <f aca="false">IF(L3419="","",INDEX(ポート振替表!$M$5:$M$3507,$L3419)&amp;"")</f>
        <v/>
      </c>
      <c r="K3419" s="52" t="str">
        <f aca="false">IF(L3419="","",E3419&amp;CHAR(10)&amp;INDEX(ポート振替表!$K$5:$K$3507,$L3419)&amp;" "&amp;INDEX(ポート振替表!$L$5:$L$3507,$L3419)&amp;CHAR(10)&amp;"⇔ "&amp;INDEX(ポート振替表!$H$5:$H$3507,$L3419)&amp;" "&amp;INDEX(ポート振替表!$I$5:$I$3507,$L3419))</f>
        <v/>
      </c>
      <c r="L3419" s="47" t="str">
        <f aca="false">IFERROR(MATCH(ROW()-4,ポート振替表!$V$5:$V$3507,0),"")</f>
        <v/>
      </c>
    </row>
    <row r="3420" customFormat="false" ht="16.4" hidden="false" customHeight="false" outlineLevel="0" collapsed="false">
      <c r="A3420" s="32" t="str">
        <f aca="false">IF(L3420="","",ROW()-4)</f>
        <v/>
      </c>
      <c r="B3420" s="58" t="str">
        <f aca="false">IF(L3420="","",IF(INDEX(ポート振替表!$W$5:$W$3507,$L3420)="","(なし)",INDEX(ポート振替表!$W$5:$W$3507,$L3420)&amp;""))</f>
        <v/>
      </c>
      <c r="C3420" s="52" t="str">
        <f aca="false">IF(L3420="","",INDEX(ポート振替表!$B$5:$B$3507,$L3420)&amp;" "&amp;INDEX(ポート振替表!$C$5:$C$3507,$L3420)&amp;"  ⇔  "&amp;INDEX(ポート振替表!$H$5:$H$3507,$L3420)&amp;" "&amp;INDEX(ポート振替表!$I$5:$I$3507,$L3420))</f>
        <v/>
      </c>
      <c r="D3420" s="57" t="s">
        <v>158</v>
      </c>
      <c r="E3420" s="59" t="str">
        <f aca="false">IF(L3420="","",IF(INDEX(ポート振替表!$O$5:$O$3507,$L3420)="","(未設定)",INDEX(ポート振替表!$O$5:$O$3507,$L3420)&amp;""))</f>
        <v/>
      </c>
      <c r="F3420" s="52" t="str">
        <f aca="false">IF(L3420="","",INDEX(ポート振替表!$K$5:$K$3507,$L3420)&amp;" "&amp;INDEX(ポート振替表!$L$5:$L$3507,$L3420)&amp;"  ⇔  "&amp;INDEX(ポート振替表!$H$5:$H$3507,$L3420)&amp;" "&amp;INDEX(ポート振替表!$I$5:$I$3507,$L3420))</f>
        <v/>
      </c>
      <c r="G3420" s="57" t="s">
        <v>158</v>
      </c>
      <c r="H3420" s="32" t="str">
        <f aca="false">IF(L3420="","",INDEX(ポート振替表!$N$5:$N$3507,$L3420)&amp;"")</f>
        <v/>
      </c>
      <c r="I3420" s="32" t="str">
        <f aca="false">IF(L3420="","",INDEX(ポート振替表!$P$5:$P$3507,$L3420)&amp;"")</f>
        <v/>
      </c>
      <c r="J3420" s="60" t="str">
        <f aca="false">IF(L3420="","",INDEX(ポート振替表!$M$5:$M$3507,$L3420)&amp;"")</f>
        <v/>
      </c>
      <c r="K3420" s="52" t="str">
        <f aca="false">IF(L3420="","",E3420&amp;CHAR(10)&amp;INDEX(ポート振替表!$K$5:$K$3507,$L3420)&amp;" "&amp;INDEX(ポート振替表!$L$5:$L$3507,$L3420)&amp;CHAR(10)&amp;"⇔ "&amp;INDEX(ポート振替表!$H$5:$H$3507,$L3420)&amp;" "&amp;INDEX(ポート振替表!$I$5:$I$3507,$L3420))</f>
        <v/>
      </c>
      <c r="L3420" s="47" t="str">
        <f aca="false">IFERROR(MATCH(ROW()-4,ポート振替表!$V$5:$V$3507,0),"")</f>
        <v/>
      </c>
    </row>
    <row r="3421" customFormat="false" ht="16.4" hidden="false" customHeight="false" outlineLevel="0" collapsed="false">
      <c r="A3421" s="32" t="str">
        <f aca="false">IF(L3421="","",ROW()-4)</f>
        <v/>
      </c>
      <c r="B3421" s="58" t="str">
        <f aca="false">IF(L3421="","",IF(INDEX(ポート振替表!$W$5:$W$3507,$L3421)="","(なし)",INDEX(ポート振替表!$W$5:$W$3507,$L3421)&amp;""))</f>
        <v/>
      </c>
      <c r="C3421" s="52" t="str">
        <f aca="false">IF(L3421="","",INDEX(ポート振替表!$B$5:$B$3507,$L3421)&amp;" "&amp;INDEX(ポート振替表!$C$5:$C$3507,$L3421)&amp;"  ⇔  "&amp;INDEX(ポート振替表!$H$5:$H$3507,$L3421)&amp;" "&amp;INDEX(ポート振替表!$I$5:$I$3507,$L3421))</f>
        <v/>
      </c>
      <c r="D3421" s="57" t="s">
        <v>158</v>
      </c>
      <c r="E3421" s="59" t="str">
        <f aca="false">IF(L3421="","",IF(INDEX(ポート振替表!$O$5:$O$3507,$L3421)="","(未設定)",INDEX(ポート振替表!$O$5:$O$3507,$L3421)&amp;""))</f>
        <v/>
      </c>
      <c r="F3421" s="52" t="str">
        <f aca="false">IF(L3421="","",INDEX(ポート振替表!$K$5:$K$3507,$L3421)&amp;" "&amp;INDEX(ポート振替表!$L$5:$L$3507,$L3421)&amp;"  ⇔  "&amp;INDEX(ポート振替表!$H$5:$H$3507,$L3421)&amp;" "&amp;INDEX(ポート振替表!$I$5:$I$3507,$L3421))</f>
        <v/>
      </c>
      <c r="G3421" s="57" t="s">
        <v>158</v>
      </c>
      <c r="H3421" s="32" t="str">
        <f aca="false">IF(L3421="","",INDEX(ポート振替表!$N$5:$N$3507,$L3421)&amp;"")</f>
        <v/>
      </c>
      <c r="I3421" s="32" t="str">
        <f aca="false">IF(L3421="","",INDEX(ポート振替表!$P$5:$P$3507,$L3421)&amp;"")</f>
        <v/>
      </c>
      <c r="J3421" s="60" t="str">
        <f aca="false">IF(L3421="","",INDEX(ポート振替表!$M$5:$M$3507,$L3421)&amp;"")</f>
        <v/>
      </c>
      <c r="K3421" s="52" t="str">
        <f aca="false">IF(L3421="","",E3421&amp;CHAR(10)&amp;INDEX(ポート振替表!$K$5:$K$3507,$L3421)&amp;" "&amp;INDEX(ポート振替表!$L$5:$L$3507,$L3421)&amp;CHAR(10)&amp;"⇔ "&amp;INDEX(ポート振替表!$H$5:$H$3507,$L3421)&amp;" "&amp;INDEX(ポート振替表!$I$5:$I$3507,$L3421))</f>
        <v/>
      </c>
      <c r="L3421" s="47" t="str">
        <f aca="false">IFERROR(MATCH(ROW()-4,ポート振替表!$V$5:$V$3507,0),"")</f>
        <v/>
      </c>
    </row>
    <row r="3422" customFormat="false" ht="16.4" hidden="false" customHeight="false" outlineLevel="0" collapsed="false">
      <c r="A3422" s="32" t="str">
        <f aca="false">IF(L3422="","",ROW()-4)</f>
        <v/>
      </c>
      <c r="B3422" s="58" t="str">
        <f aca="false">IF(L3422="","",IF(INDEX(ポート振替表!$W$5:$W$3507,$L3422)="","(なし)",INDEX(ポート振替表!$W$5:$W$3507,$L3422)&amp;""))</f>
        <v/>
      </c>
      <c r="C3422" s="52" t="str">
        <f aca="false">IF(L3422="","",INDEX(ポート振替表!$B$5:$B$3507,$L3422)&amp;" "&amp;INDEX(ポート振替表!$C$5:$C$3507,$L3422)&amp;"  ⇔  "&amp;INDEX(ポート振替表!$H$5:$H$3507,$L3422)&amp;" "&amp;INDEX(ポート振替表!$I$5:$I$3507,$L3422))</f>
        <v/>
      </c>
      <c r="D3422" s="57" t="s">
        <v>158</v>
      </c>
      <c r="E3422" s="59" t="str">
        <f aca="false">IF(L3422="","",IF(INDEX(ポート振替表!$O$5:$O$3507,$L3422)="","(未設定)",INDEX(ポート振替表!$O$5:$O$3507,$L3422)&amp;""))</f>
        <v/>
      </c>
      <c r="F3422" s="52" t="str">
        <f aca="false">IF(L3422="","",INDEX(ポート振替表!$K$5:$K$3507,$L3422)&amp;" "&amp;INDEX(ポート振替表!$L$5:$L$3507,$L3422)&amp;"  ⇔  "&amp;INDEX(ポート振替表!$H$5:$H$3507,$L3422)&amp;" "&amp;INDEX(ポート振替表!$I$5:$I$3507,$L3422))</f>
        <v/>
      </c>
      <c r="G3422" s="57" t="s">
        <v>158</v>
      </c>
      <c r="H3422" s="32" t="str">
        <f aca="false">IF(L3422="","",INDEX(ポート振替表!$N$5:$N$3507,$L3422)&amp;"")</f>
        <v/>
      </c>
      <c r="I3422" s="32" t="str">
        <f aca="false">IF(L3422="","",INDEX(ポート振替表!$P$5:$P$3507,$L3422)&amp;"")</f>
        <v/>
      </c>
      <c r="J3422" s="60" t="str">
        <f aca="false">IF(L3422="","",INDEX(ポート振替表!$M$5:$M$3507,$L3422)&amp;"")</f>
        <v/>
      </c>
      <c r="K3422" s="52" t="str">
        <f aca="false">IF(L3422="","",E3422&amp;CHAR(10)&amp;INDEX(ポート振替表!$K$5:$K$3507,$L3422)&amp;" "&amp;INDEX(ポート振替表!$L$5:$L$3507,$L3422)&amp;CHAR(10)&amp;"⇔ "&amp;INDEX(ポート振替表!$H$5:$H$3507,$L3422)&amp;" "&amp;INDEX(ポート振替表!$I$5:$I$3507,$L3422))</f>
        <v/>
      </c>
      <c r="L3422" s="47" t="str">
        <f aca="false">IFERROR(MATCH(ROW()-4,ポート振替表!$V$5:$V$3507,0),"")</f>
        <v/>
      </c>
    </row>
    <row r="3423" customFormat="false" ht="16.4" hidden="false" customHeight="false" outlineLevel="0" collapsed="false">
      <c r="A3423" s="32" t="str">
        <f aca="false">IF(L3423="","",ROW()-4)</f>
        <v/>
      </c>
      <c r="B3423" s="58" t="str">
        <f aca="false">IF(L3423="","",IF(INDEX(ポート振替表!$W$5:$W$3507,$L3423)="","(なし)",INDEX(ポート振替表!$W$5:$W$3507,$L3423)&amp;""))</f>
        <v/>
      </c>
      <c r="C3423" s="52" t="str">
        <f aca="false">IF(L3423="","",INDEX(ポート振替表!$B$5:$B$3507,$L3423)&amp;" "&amp;INDEX(ポート振替表!$C$5:$C$3507,$L3423)&amp;"  ⇔  "&amp;INDEX(ポート振替表!$H$5:$H$3507,$L3423)&amp;" "&amp;INDEX(ポート振替表!$I$5:$I$3507,$L3423))</f>
        <v/>
      </c>
      <c r="D3423" s="57" t="s">
        <v>158</v>
      </c>
      <c r="E3423" s="59" t="str">
        <f aca="false">IF(L3423="","",IF(INDEX(ポート振替表!$O$5:$O$3507,$L3423)="","(未設定)",INDEX(ポート振替表!$O$5:$O$3507,$L3423)&amp;""))</f>
        <v/>
      </c>
      <c r="F3423" s="52" t="str">
        <f aca="false">IF(L3423="","",INDEX(ポート振替表!$K$5:$K$3507,$L3423)&amp;" "&amp;INDEX(ポート振替表!$L$5:$L$3507,$L3423)&amp;"  ⇔  "&amp;INDEX(ポート振替表!$H$5:$H$3507,$L3423)&amp;" "&amp;INDEX(ポート振替表!$I$5:$I$3507,$L3423))</f>
        <v/>
      </c>
      <c r="G3423" s="57" t="s">
        <v>158</v>
      </c>
      <c r="H3423" s="32" t="str">
        <f aca="false">IF(L3423="","",INDEX(ポート振替表!$N$5:$N$3507,$L3423)&amp;"")</f>
        <v/>
      </c>
      <c r="I3423" s="32" t="str">
        <f aca="false">IF(L3423="","",INDEX(ポート振替表!$P$5:$P$3507,$L3423)&amp;"")</f>
        <v/>
      </c>
      <c r="J3423" s="60" t="str">
        <f aca="false">IF(L3423="","",INDEX(ポート振替表!$M$5:$M$3507,$L3423)&amp;"")</f>
        <v/>
      </c>
      <c r="K3423" s="52" t="str">
        <f aca="false">IF(L3423="","",E3423&amp;CHAR(10)&amp;INDEX(ポート振替表!$K$5:$K$3507,$L3423)&amp;" "&amp;INDEX(ポート振替表!$L$5:$L$3507,$L3423)&amp;CHAR(10)&amp;"⇔ "&amp;INDEX(ポート振替表!$H$5:$H$3507,$L3423)&amp;" "&amp;INDEX(ポート振替表!$I$5:$I$3507,$L3423))</f>
        <v/>
      </c>
      <c r="L3423" s="47" t="str">
        <f aca="false">IFERROR(MATCH(ROW()-4,ポート振替表!$V$5:$V$3507,0),"")</f>
        <v/>
      </c>
    </row>
    <row r="3424" customFormat="false" ht="16.4" hidden="false" customHeight="false" outlineLevel="0" collapsed="false">
      <c r="A3424" s="32" t="str">
        <f aca="false">IF(L3424="","",ROW()-4)</f>
        <v/>
      </c>
      <c r="B3424" s="58" t="str">
        <f aca="false">IF(L3424="","",IF(INDEX(ポート振替表!$W$5:$W$3507,$L3424)="","(なし)",INDEX(ポート振替表!$W$5:$W$3507,$L3424)&amp;""))</f>
        <v/>
      </c>
      <c r="C3424" s="52" t="str">
        <f aca="false">IF(L3424="","",INDEX(ポート振替表!$B$5:$B$3507,$L3424)&amp;" "&amp;INDEX(ポート振替表!$C$5:$C$3507,$L3424)&amp;"  ⇔  "&amp;INDEX(ポート振替表!$H$5:$H$3507,$L3424)&amp;" "&amp;INDEX(ポート振替表!$I$5:$I$3507,$L3424))</f>
        <v/>
      </c>
      <c r="D3424" s="57" t="s">
        <v>158</v>
      </c>
      <c r="E3424" s="59" t="str">
        <f aca="false">IF(L3424="","",IF(INDEX(ポート振替表!$O$5:$O$3507,$L3424)="","(未設定)",INDEX(ポート振替表!$O$5:$O$3507,$L3424)&amp;""))</f>
        <v/>
      </c>
      <c r="F3424" s="52" t="str">
        <f aca="false">IF(L3424="","",INDEX(ポート振替表!$K$5:$K$3507,$L3424)&amp;" "&amp;INDEX(ポート振替表!$L$5:$L$3507,$L3424)&amp;"  ⇔  "&amp;INDEX(ポート振替表!$H$5:$H$3507,$L3424)&amp;" "&amp;INDEX(ポート振替表!$I$5:$I$3507,$L3424))</f>
        <v/>
      </c>
      <c r="G3424" s="57" t="s">
        <v>158</v>
      </c>
      <c r="H3424" s="32" t="str">
        <f aca="false">IF(L3424="","",INDEX(ポート振替表!$N$5:$N$3507,$L3424)&amp;"")</f>
        <v/>
      </c>
      <c r="I3424" s="32" t="str">
        <f aca="false">IF(L3424="","",INDEX(ポート振替表!$P$5:$P$3507,$L3424)&amp;"")</f>
        <v/>
      </c>
      <c r="J3424" s="60" t="str">
        <f aca="false">IF(L3424="","",INDEX(ポート振替表!$M$5:$M$3507,$L3424)&amp;"")</f>
        <v/>
      </c>
      <c r="K3424" s="52" t="str">
        <f aca="false">IF(L3424="","",E3424&amp;CHAR(10)&amp;INDEX(ポート振替表!$K$5:$K$3507,$L3424)&amp;" "&amp;INDEX(ポート振替表!$L$5:$L$3507,$L3424)&amp;CHAR(10)&amp;"⇔ "&amp;INDEX(ポート振替表!$H$5:$H$3507,$L3424)&amp;" "&amp;INDEX(ポート振替表!$I$5:$I$3507,$L3424))</f>
        <v/>
      </c>
      <c r="L3424" s="47" t="str">
        <f aca="false">IFERROR(MATCH(ROW()-4,ポート振替表!$V$5:$V$3507,0),"")</f>
        <v/>
      </c>
    </row>
    <row r="3425" customFormat="false" ht="16.4" hidden="false" customHeight="false" outlineLevel="0" collapsed="false">
      <c r="A3425" s="32" t="str">
        <f aca="false">IF(L3425="","",ROW()-4)</f>
        <v/>
      </c>
      <c r="B3425" s="58" t="str">
        <f aca="false">IF(L3425="","",IF(INDEX(ポート振替表!$W$5:$W$3507,$L3425)="","(なし)",INDEX(ポート振替表!$W$5:$W$3507,$L3425)&amp;""))</f>
        <v/>
      </c>
      <c r="C3425" s="52" t="str">
        <f aca="false">IF(L3425="","",INDEX(ポート振替表!$B$5:$B$3507,$L3425)&amp;" "&amp;INDEX(ポート振替表!$C$5:$C$3507,$L3425)&amp;"  ⇔  "&amp;INDEX(ポート振替表!$H$5:$H$3507,$L3425)&amp;" "&amp;INDEX(ポート振替表!$I$5:$I$3507,$L3425))</f>
        <v/>
      </c>
      <c r="D3425" s="57" t="s">
        <v>158</v>
      </c>
      <c r="E3425" s="59" t="str">
        <f aca="false">IF(L3425="","",IF(INDEX(ポート振替表!$O$5:$O$3507,$L3425)="","(未設定)",INDEX(ポート振替表!$O$5:$O$3507,$L3425)&amp;""))</f>
        <v/>
      </c>
      <c r="F3425" s="52" t="str">
        <f aca="false">IF(L3425="","",INDEX(ポート振替表!$K$5:$K$3507,$L3425)&amp;" "&amp;INDEX(ポート振替表!$L$5:$L$3507,$L3425)&amp;"  ⇔  "&amp;INDEX(ポート振替表!$H$5:$H$3507,$L3425)&amp;" "&amp;INDEX(ポート振替表!$I$5:$I$3507,$L3425))</f>
        <v/>
      </c>
      <c r="G3425" s="57" t="s">
        <v>158</v>
      </c>
      <c r="H3425" s="32" t="str">
        <f aca="false">IF(L3425="","",INDEX(ポート振替表!$N$5:$N$3507,$L3425)&amp;"")</f>
        <v/>
      </c>
      <c r="I3425" s="32" t="str">
        <f aca="false">IF(L3425="","",INDEX(ポート振替表!$P$5:$P$3507,$L3425)&amp;"")</f>
        <v/>
      </c>
      <c r="J3425" s="60" t="str">
        <f aca="false">IF(L3425="","",INDEX(ポート振替表!$M$5:$M$3507,$L3425)&amp;"")</f>
        <v/>
      </c>
      <c r="K3425" s="52" t="str">
        <f aca="false">IF(L3425="","",E3425&amp;CHAR(10)&amp;INDEX(ポート振替表!$K$5:$K$3507,$L3425)&amp;" "&amp;INDEX(ポート振替表!$L$5:$L$3507,$L3425)&amp;CHAR(10)&amp;"⇔ "&amp;INDEX(ポート振替表!$H$5:$H$3507,$L3425)&amp;" "&amp;INDEX(ポート振替表!$I$5:$I$3507,$L3425))</f>
        <v/>
      </c>
      <c r="L3425" s="47" t="str">
        <f aca="false">IFERROR(MATCH(ROW()-4,ポート振替表!$V$5:$V$3507,0),"")</f>
        <v/>
      </c>
    </row>
    <row r="3426" customFormat="false" ht="16.4" hidden="false" customHeight="false" outlineLevel="0" collapsed="false">
      <c r="A3426" s="32" t="str">
        <f aca="false">IF(L3426="","",ROW()-4)</f>
        <v/>
      </c>
      <c r="B3426" s="58" t="str">
        <f aca="false">IF(L3426="","",IF(INDEX(ポート振替表!$W$5:$W$3507,$L3426)="","(なし)",INDEX(ポート振替表!$W$5:$W$3507,$L3426)&amp;""))</f>
        <v/>
      </c>
      <c r="C3426" s="52" t="str">
        <f aca="false">IF(L3426="","",INDEX(ポート振替表!$B$5:$B$3507,$L3426)&amp;" "&amp;INDEX(ポート振替表!$C$5:$C$3507,$L3426)&amp;"  ⇔  "&amp;INDEX(ポート振替表!$H$5:$H$3507,$L3426)&amp;" "&amp;INDEX(ポート振替表!$I$5:$I$3507,$L3426))</f>
        <v/>
      </c>
      <c r="D3426" s="57" t="s">
        <v>158</v>
      </c>
      <c r="E3426" s="59" t="str">
        <f aca="false">IF(L3426="","",IF(INDEX(ポート振替表!$O$5:$O$3507,$L3426)="","(未設定)",INDEX(ポート振替表!$O$5:$O$3507,$L3426)&amp;""))</f>
        <v/>
      </c>
      <c r="F3426" s="52" t="str">
        <f aca="false">IF(L3426="","",INDEX(ポート振替表!$K$5:$K$3507,$L3426)&amp;" "&amp;INDEX(ポート振替表!$L$5:$L$3507,$L3426)&amp;"  ⇔  "&amp;INDEX(ポート振替表!$H$5:$H$3507,$L3426)&amp;" "&amp;INDEX(ポート振替表!$I$5:$I$3507,$L3426))</f>
        <v/>
      </c>
      <c r="G3426" s="57" t="s">
        <v>158</v>
      </c>
      <c r="H3426" s="32" t="str">
        <f aca="false">IF(L3426="","",INDEX(ポート振替表!$N$5:$N$3507,$L3426)&amp;"")</f>
        <v/>
      </c>
      <c r="I3426" s="32" t="str">
        <f aca="false">IF(L3426="","",INDEX(ポート振替表!$P$5:$P$3507,$L3426)&amp;"")</f>
        <v/>
      </c>
      <c r="J3426" s="60" t="str">
        <f aca="false">IF(L3426="","",INDEX(ポート振替表!$M$5:$M$3507,$L3426)&amp;"")</f>
        <v/>
      </c>
      <c r="K3426" s="52" t="str">
        <f aca="false">IF(L3426="","",E3426&amp;CHAR(10)&amp;INDEX(ポート振替表!$K$5:$K$3507,$L3426)&amp;" "&amp;INDEX(ポート振替表!$L$5:$L$3507,$L3426)&amp;CHAR(10)&amp;"⇔ "&amp;INDEX(ポート振替表!$H$5:$H$3507,$L3426)&amp;" "&amp;INDEX(ポート振替表!$I$5:$I$3507,$L3426))</f>
        <v/>
      </c>
      <c r="L3426" s="47" t="str">
        <f aca="false">IFERROR(MATCH(ROW()-4,ポート振替表!$V$5:$V$3507,0),"")</f>
        <v/>
      </c>
    </row>
    <row r="3427" customFormat="false" ht="16.4" hidden="false" customHeight="false" outlineLevel="0" collapsed="false">
      <c r="A3427" s="32" t="str">
        <f aca="false">IF(L3427="","",ROW()-4)</f>
        <v/>
      </c>
      <c r="B3427" s="58" t="str">
        <f aca="false">IF(L3427="","",IF(INDEX(ポート振替表!$W$5:$W$3507,$L3427)="","(なし)",INDEX(ポート振替表!$W$5:$W$3507,$L3427)&amp;""))</f>
        <v/>
      </c>
      <c r="C3427" s="52" t="str">
        <f aca="false">IF(L3427="","",INDEX(ポート振替表!$B$5:$B$3507,$L3427)&amp;" "&amp;INDEX(ポート振替表!$C$5:$C$3507,$L3427)&amp;"  ⇔  "&amp;INDEX(ポート振替表!$H$5:$H$3507,$L3427)&amp;" "&amp;INDEX(ポート振替表!$I$5:$I$3507,$L3427))</f>
        <v/>
      </c>
      <c r="D3427" s="57" t="s">
        <v>158</v>
      </c>
      <c r="E3427" s="59" t="str">
        <f aca="false">IF(L3427="","",IF(INDEX(ポート振替表!$O$5:$O$3507,$L3427)="","(未設定)",INDEX(ポート振替表!$O$5:$O$3507,$L3427)&amp;""))</f>
        <v/>
      </c>
      <c r="F3427" s="52" t="str">
        <f aca="false">IF(L3427="","",INDEX(ポート振替表!$K$5:$K$3507,$L3427)&amp;" "&amp;INDEX(ポート振替表!$L$5:$L$3507,$L3427)&amp;"  ⇔  "&amp;INDEX(ポート振替表!$H$5:$H$3507,$L3427)&amp;" "&amp;INDEX(ポート振替表!$I$5:$I$3507,$L3427))</f>
        <v/>
      </c>
      <c r="G3427" s="57" t="s">
        <v>158</v>
      </c>
      <c r="H3427" s="32" t="str">
        <f aca="false">IF(L3427="","",INDEX(ポート振替表!$N$5:$N$3507,$L3427)&amp;"")</f>
        <v/>
      </c>
      <c r="I3427" s="32" t="str">
        <f aca="false">IF(L3427="","",INDEX(ポート振替表!$P$5:$P$3507,$L3427)&amp;"")</f>
        <v/>
      </c>
      <c r="J3427" s="60" t="str">
        <f aca="false">IF(L3427="","",INDEX(ポート振替表!$M$5:$M$3507,$L3427)&amp;"")</f>
        <v/>
      </c>
      <c r="K3427" s="52" t="str">
        <f aca="false">IF(L3427="","",E3427&amp;CHAR(10)&amp;INDEX(ポート振替表!$K$5:$K$3507,$L3427)&amp;" "&amp;INDEX(ポート振替表!$L$5:$L$3507,$L3427)&amp;CHAR(10)&amp;"⇔ "&amp;INDEX(ポート振替表!$H$5:$H$3507,$L3427)&amp;" "&amp;INDEX(ポート振替表!$I$5:$I$3507,$L3427))</f>
        <v/>
      </c>
      <c r="L3427" s="47" t="str">
        <f aca="false">IFERROR(MATCH(ROW()-4,ポート振替表!$V$5:$V$3507,0),"")</f>
        <v/>
      </c>
    </row>
    <row r="3428" customFormat="false" ht="16.4" hidden="false" customHeight="false" outlineLevel="0" collapsed="false">
      <c r="A3428" s="32" t="str">
        <f aca="false">IF(L3428="","",ROW()-4)</f>
        <v/>
      </c>
      <c r="B3428" s="58" t="str">
        <f aca="false">IF(L3428="","",IF(INDEX(ポート振替表!$W$5:$W$3507,$L3428)="","(なし)",INDEX(ポート振替表!$W$5:$W$3507,$L3428)&amp;""))</f>
        <v/>
      </c>
      <c r="C3428" s="52" t="str">
        <f aca="false">IF(L3428="","",INDEX(ポート振替表!$B$5:$B$3507,$L3428)&amp;" "&amp;INDEX(ポート振替表!$C$5:$C$3507,$L3428)&amp;"  ⇔  "&amp;INDEX(ポート振替表!$H$5:$H$3507,$L3428)&amp;" "&amp;INDEX(ポート振替表!$I$5:$I$3507,$L3428))</f>
        <v/>
      </c>
      <c r="D3428" s="57" t="s">
        <v>158</v>
      </c>
      <c r="E3428" s="59" t="str">
        <f aca="false">IF(L3428="","",IF(INDEX(ポート振替表!$O$5:$O$3507,$L3428)="","(未設定)",INDEX(ポート振替表!$O$5:$O$3507,$L3428)&amp;""))</f>
        <v/>
      </c>
      <c r="F3428" s="52" t="str">
        <f aca="false">IF(L3428="","",INDEX(ポート振替表!$K$5:$K$3507,$L3428)&amp;" "&amp;INDEX(ポート振替表!$L$5:$L$3507,$L3428)&amp;"  ⇔  "&amp;INDEX(ポート振替表!$H$5:$H$3507,$L3428)&amp;" "&amp;INDEX(ポート振替表!$I$5:$I$3507,$L3428))</f>
        <v/>
      </c>
      <c r="G3428" s="57" t="s">
        <v>158</v>
      </c>
      <c r="H3428" s="32" t="str">
        <f aca="false">IF(L3428="","",INDEX(ポート振替表!$N$5:$N$3507,$L3428)&amp;"")</f>
        <v/>
      </c>
      <c r="I3428" s="32" t="str">
        <f aca="false">IF(L3428="","",INDEX(ポート振替表!$P$5:$P$3507,$L3428)&amp;"")</f>
        <v/>
      </c>
      <c r="J3428" s="60" t="str">
        <f aca="false">IF(L3428="","",INDEX(ポート振替表!$M$5:$M$3507,$L3428)&amp;"")</f>
        <v/>
      </c>
      <c r="K3428" s="52" t="str">
        <f aca="false">IF(L3428="","",E3428&amp;CHAR(10)&amp;INDEX(ポート振替表!$K$5:$K$3507,$L3428)&amp;" "&amp;INDEX(ポート振替表!$L$5:$L$3507,$L3428)&amp;CHAR(10)&amp;"⇔ "&amp;INDEX(ポート振替表!$H$5:$H$3507,$L3428)&amp;" "&amp;INDEX(ポート振替表!$I$5:$I$3507,$L3428))</f>
        <v/>
      </c>
      <c r="L3428" s="47" t="str">
        <f aca="false">IFERROR(MATCH(ROW()-4,ポート振替表!$V$5:$V$3507,0),"")</f>
        <v/>
      </c>
    </row>
    <row r="3429" customFormat="false" ht="16.4" hidden="false" customHeight="false" outlineLevel="0" collapsed="false">
      <c r="A3429" s="32" t="str">
        <f aca="false">IF(L3429="","",ROW()-4)</f>
        <v/>
      </c>
      <c r="B3429" s="58" t="str">
        <f aca="false">IF(L3429="","",IF(INDEX(ポート振替表!$W$5:$W$3507,$L3429)="","(なし)",INDEX(ポート振替表!$W$5:$W$3507,$L3429)&amp;""))</f>
        <v/>
      </c>
      <c r="C3429" s="52" t="str">
        <f aca="false">IF(L3429="","",INDEX(ポート振替表!$B$5:$B$3507,$L3429)&amp;" "&amp;INDEX(ポート振替表!$C$5:$C$3507,$L3429)&amp;"  ⇔  "&amp;INDEX(ポート振替表!$H$5:$H$3507,$L3429)&amp;" "&amp;INDEX(ポート振替表!$I$5:$I$3507,$L3429))</f>
        <v/>
      </c>
      <c r="D3429" s="57" t="s">
        <v>158</v>
      </c>
      <c r="E3429" s="59" t="str">
        <f aca="false">IF(L3429="","",IF(INDEX(ポート振替表!$O$5:$O$3507,$L3429)="","(未設定)",INDEX(ポート振替表!$O$5:$O$3507,$L3429)&amp;""))</f>
        <v/>
      </c>
      <c r="F3429" s="52" t="str">
        <f aca="false">IF(L3429="","",INDEX(ポート振替表!$K$5:$K$3507,$L3429)&amp;" "&amp;INDEX(ポート振替表!$L$5:$L$3507,$L3429)&amp;"  ⇔  "&amp;INDEX(ポート振替表!$H$5:$H$3507,$L3429)&amp;" "&amp;INDEX(ポート振替表!$I$5:$I$3507,$L3429))</f>
        <v/>
      </c>
      <c r="G3429" s="57" t="s">
        <v>158</v>
      </c>
      <c r="H3429" s="32" t="str">
        <f aca="false">IF(L3429="","",INDEX(ポート振替表!$N$5:$N$3507,$L3429)&amp;"")</f>
        <v/>
      </c>
      <c r="I3429" s="32" t="str">
        <f aca="false">IF(L3429="","",INDEX(ポート振替表!$P$5:$P$3507,$L3429)&amp;"")</f>
        <v/>
      </c>
      <c r="J3429" s="60" t="str">
        <f aca="false">IF(L3429="","",INDEX(ポート振替表!$M$5:$M$3507,$L3429)&amp;"")</f>
        <v/>
      </c>
      <c r="K3429" s="52" t="str">
        <f aca="false">IF(L3429="","",E3429&amp;CHAR(10)&amp;INDEX(ポート振替表!$K$5:$K$3507,$L3429)&amp;" "&amp;INDEX(ポート振替表!$L$5:$L$3507,$L3429)&amp;CHAR(10)&amp;"⇔ "&amp;INDEX(ポート振替表!$H$5:$H$3507,$L3429)&amp;" "&amp;INDEX(ポート振替表!$I$5:$I$3507,$L3429))</f>
        <v/>
      </c>
      <c r="L3429" s="47" t="str">
        <f aca="false">IFERROR(MATCH(ROW()-4,ポート振替表!$V$5:$V$3507,0),"")</f>
        <v/>
      </c>
    </row>
    <row r="3430" customFormat="false" ht="16.4" hidden="false" customHeight="false" outlineLevel="0" collapsed="false">
      <c r="A3430" s="32" t="str">
        <f aca="false">IF(L3430="","",ROW()-4)</f>
        <v/>
      </c>
      <c r="B3430" s="58" t="str">
        <f aca="false">IF(L3430="","",IF(INDEX(ポート振替表!$W$5:$W$3507,$L3430)="","(なし)",INDEX(ポート振替表!$W$5:$W$3507,$L3430)&amp;""))</f>
        <v/>
      </c>
      <c r="C3430" s="52" t="str">
        <f aca="false">IF(L3430="","",INDEX(ポート振替表!$B$5:$B$3507,$L3430)&amp;" "&amp;INDEX(ポート振替表!$C$5:$C$3507,$L3430)&amp;"  ⇔  "&amp;INDEX(ポート振替表!$H$5:$H$3507,$L3430)&amp;" "&amp;INDEX(ポート振替表!$I$5:$I$3507,$L3430))</f>
        <v/>
      </c>
      <c r="D3430" s="57" t="s">
        <v>158</v>
      </c>
      <c r="E3430" s="59" t="str">
        <f aca="false">IF(L3430="","",IF(INDEX(ポート振替表!$O$5:$O$3507,$L3430)="","(未設定)",INDEX(ポート振替表!$O$5:$O$3507,$L3430)&amp;""))</f>
        <v/>
      </c>
      <c r="F3430" s="52" t="str">
        <f aca="false">IF(L3430="","",INDEX(ポート振替表!$K$5:$K$3507,$L3430)&amp;" "&amp;INDEX(ポート振替表!$L$5:$L$3507,$L3430)&amp;"  ⇔  "&amp;INDEX(ポート振替表!$H$5:$H$3507,$L3430)&amp;" "&amp;INDEX(ポート振替表!$I$5:$I$3507,$L3430))</f>
        <v/>
      </c>
      <c r="G3430" s="57" t="s">
        <v>158</v>
      </c>
      <c r="H3430" s="32" t="str">
        <f aca="false">IF(L3430="","",INDEX(ポート振替表!$N$5:$N$3507,$L3430)&amp;"")</f>
        <v/>
      </c>
      <c r="I3430" s="32" t="str">
        <f aca="false">IF(L3430="","",INDEX(ポート振替表!$P$5:$P$3507,$L3430)&amp;"")</f>
        <v/>
      </c>
      <c r="J3430" s="60" t="str">
        <f aca="false">IF(L3430="","",INDEX(ポート振替表!$M$5:$M$3507,$L3430)&amp;"")</f>
        <v/>
      </c>
      <c r="K3430" s="52" t="str">
        <f aca="false">IF(L3430="","",E3430&amp;CHAR(10)&amp;INDEX(ポート振替表!$K$5:$K$3507,$L3430)&amp;" "&amp;INDEX(ポート振替表!$L$5:$L$3507,$L3430)&amp;CHAR(10)&amp;"⇔ "&amp;INDEX(ポート振替表!$H$5:$H$3507,$L3430)&amp;" "&amp;INDEX(ポート振替表!$I$5:$I$3507,$L3430))</f>
        <v/>
      </c>
      <c r="L3430" s="47" t="str">
        <f aca="false">IFERROR(MATCH(ROW()-4,ポート振替表!$V$5:$V$3507,0),"")</f>
        <v/>
      </c>
    </row>
    <row r="3431" customFormat="false" ht="16.4" hidden="false" customHeight="false" outlineLevel="0" collapsed="false">
      <c r="A3431" s="32" t="str">
        <f aca="false">IF(L3431="","",ROW()-4)</f>
        <v/>
      </c>
      <c r="B3431" s="58" t="str">
        <f aca="false">IF(L3431="","",IF(INDEX(ポート振替表!$W$5:$W$3507,$L3431)="","(なし)",INDEX(ポート振替表!$W$5:$W$3507,$L3431)&amp;""))</f>
        <v/>
      </c>
      <c r="C3431" s="52" t="str">
        <f aca="false">IF(L3431="","",INDEX(ポート振替表!$B$5:$B$3507,$L3431)&amp;" "&amp;INDEX(ポート振替表!$C$5:$C$3507,$L3431)&amp;"  ⇔  "&amp;INDEX(ポート振替表!$H$5:$H$3507,$L3431)&amp;" "&amp;INDEX(ポート振替表!$I$5:$I$3507,$L3431))</f>
        <v/>
      </c>
      <c r="D3431" s="57" t="s">
        <v>158</v>
      </c>
      <c r="E3431" s="59" t="str">
        <f aca="false">IF(L3431="","",IF(INDEX(ポート振替表!$O$5:$O$3507,$L3431)="","(未設定)",INDEX(ポート振替表!$O$5:$O$3507,$L3431)&amp;""))</f>
        <v/>
      </c>
      <c r="F3431" s="52" t="str">
        <f aca="false">IF(L3431="","",INDEX(ポート振替表!$K$5:$K$3507,$L3431)&amp;" "&amp;INDEX(ポート振替表!$L$5:$L$3507,$L3431)&amp;"  ⇔  "&amp;INDEX(ポート振替表!$H$5:$H$3507,$L3431)&amp;" "&amp;INDEX(ポート振替表!$I$5:$I$3507,$L3431))</f>
        <v/>
      </c>
      <c r="G3431" s="57" t="s">
        <v>158</v>
      </c>
      <c r="H3431" s="32" t="str">
        <f aca="false">IF(L3431="","",INDEX(ポート振替表!$N$5:$N$3507,$L3431)&amp;"")</f>
        <v/>
      </c>
      <c r="I3431" s="32" t="str">
        <f aca="false">IF(L3431="","",INDEX(ポート振替表!$P$5:$P$3507,$L3431)&amp;"")</f>
        <v/>
      </c>
      <c r="J3431" s="60" t="str">
        <f aca="false">IF(L3431="","",INDEX(ポート振替表!$M$5:$M$3507,$L3431)&amp;"")</f>
        <v/>
      </c>
      <c r="K3431" s="52" t="str">
        <f aca="false">IF(L3431="","",E3431&amp;CHAR(10)&amp;INDEX(ポート振替表!$K$5:$K$3507,$L3431)&amp;" "&amp;INDEX(ポート振替表!$L$5:$L$3507,$L3431)&amp;CHAR(10)&amp;"⇔ "&amp;INDEX(ポート振替表!$H$5:$H$3507,$L3431)&amp;" "&amp;INDEX(ポート振替表!$I$5:$I$3507,$L3431))</f>
        <v/>
      </c>
      <c r="L3431" s="47" t="str">
        <f aca="false">IFERROR(MATCH(ROW()-4,ポート振替表!$V$5:$V$3507,0),"")</f>
        <v/>
      </c>
    </row>
    <row r="3432" customFormat="false" ht="16.4" hidden="false" customHeight="false" outlineLevel="0" collapsed="false">
      <c r="A3432" s="32" t="str">
        <f aca="false">IF(L3432="","",ROW()-4)</f>
        <v/>
      </c>
      <c r="B3432" s="58" t="str">
        <f aca="false">IF(L3432="","",IF(INDEX(ポート振替表!$W$5:$W$3507,$L3432)="","(なし)",INDEX(ポート振替表!$W$5:$W$3507,$L3432)&amp;""))</f>
        <v/>
      </c>
      <c r="C3432" s="52" t="str">
        <f aca="false">IF(L3432="","",INDEX(ポート振替表!$B$5:$B$3507,$L3432)&amp;" "&amp;INDEX(ポート振替表!$C$5:$C$3507,$L3432)&amp;"  ⇔  "&amp;INDEX(ポート振替表!$H$5:$H$3507,$L3432)&amp;" "&amp;INDEX(ポート振替表!$I$5:$I$3507,$L3432))</f>
        <v/>
      </c>
      <c r="D3432" s="57" t="s">
        <v>158</v>
      </c>
      <c r="E3432" s="59" t="str">
        <f aca="false">IF(L3432="","",IF(INDEX(ポート振替表!$O$5:$O$3507,$L3432)="","(未設定)",INDEX(ポート振替表!$O$5:$O$3507,$L3432)&amp;""))</f>
        <v/>
      </c>
      <c r="F3432" s="52" t="str">
        <f aca="false">IF(L3432="","",INDEX(ポート振替表!$K$5:$K$3507,$L3432)&amp;" "&amp;INDEX(ポート振替表!$L$5:$L$3507,$L3432)&amp;"  ⇔  "&amp;INDEX(ポート振替表!$H$5:$H$3507,$L3432)&amp;" "&amp;INDEX(ポート振替表!$I$5:$I$3507,$L3432))</f>
        <v/>
      </c>
      <c r="G3432" s="57" t="s">
        <v>158</v>
      </c>
      <c r="H3432" s="32" t="str">
        <f aca="false">IF(L3432="","",INDEX(ポート振替表!$N$5:$N$3507,$L3432)&amp;"")</f>
        <v/>
      </c>
      <c r="I3432" s="32" t="str">
        <f aca="false">IF(L3432="","",INDEX(ポート振替表!$P$5:$P$3507,$L3432)&amp;"")</f>
        <v/>
      </c>
      <c r="J3432" s="60" t="str">
        <f aca="false">IF(L3432="","",INDEX(ポート振替表!$M$5:$M$3507,$L3432)&amp;"")</f>
        <v/>
      </c>
      <c r="K3432" s="52" t="str">
        <f aca="false">IF(L3432="","",E3432&amp;CHAR(10)&amp;INDEX(ポート振替表!$K$5:$K$3507,$L3432)&amp;" "&amp;INDEX(ポート振替表!$L$5:$L$3507,$L3432)&amp;CHAR(10)&amp;"⇔ "&amp;INDEX(ポート振替表!$H$5:$H$3507,$L3432)&amp;" "&amp;INDEX(ポート振替表!$I$5:$I$3507,$L3432))</f>
        <v/>
      </c>
      <c r="L3432" s="47" t="str">
        <f aca="false">IFERROR(MATCH(ROW()-4,ポート振替表!$V$5:$V$3507,0),"")</f>
        <v/>
      </c>
    </row>
    <row r="3433" customFormat="false" ht="16.4" hidden="false" customHeight="false" outlineLevel="0" collapsed="false">
      <c r="A3433" s="32" t="str">
        <f aca="false">IF(L3433="","",ROW()-4)</f>
        <v/>
      </c>
      <c r="B3433" s="58" t="str">
        <f aca="false">IF(L3433="","",IF(INDEX(ポート振替表!$W$5:$W$3507,$L3433)="","(なし)",INDEX(ポート振替表!$W$5:$W$3507,$L3433)&amp;""))</f>
        <v/>
      </c>
      <c r="C3433" s="52" t="str">
        <f aca="false">IF(L3433="","",INDEX(ポート振替表!$B$5:$B$3507,$L3433)&amp;" "&amp;INDEX(ポート振替表!$C$5:$C$3507,$L3433)&amp;"  ⇔  "&amp;INDEX(ポート振替表!$H$5:$H$3507,$L3433)&amp;" "&amp;INDEX(ポート振替表!$I$5:$I$3507,$L3433))</f>
        <v/>
      </c>
      <c r="D3433" s="57" t="s">
        <v>158</v>
      </c>
      <c r="E3433" s="59" t="str">
        <f aca="false">IF(L3433="","",IF(INDEX(ポート振替表!$O$5:$O$3507,$L3433)="","(未設定)",INDEX(ポート振替表!$O$5:$O$3507,$L3433)&amp;""))</f>
        <v/>
      </c>
      <c r="F3433" s="52" t="str">
        <f aca="false">IF(L3433="","",INDEX(ポート振替表!$K$5:$K$3507,$L3433)&amp;" "&amp;INDEX(ポート振替表!$L$5:$L$3507,$L3433)&amp;"  ⇔  "&amp;INDEX(ポート振替表!$H$5:$H$3507,$L3433)&amp;" "&amp;INDEX(ポート振替表!$I$5:$I$3507,$L3433))</f>
        <v/>
      </c>
      <c r="G3433" s="57" t="s">
        <v>158</v>
      </c>
      <c r="H3433" s="32" t="str">
        <f aca="false">IF(L3433="","",INDEX(ポート振替表!$N$5:$N$3507,$L3433)&amp;"")</f>
        <v/>
      </c>
      <c r="I3433" s="32" t="str">
        <f aca="false">IF(L3433="","",INDEX(ポート振替表!$P$5:$P$3507,$L3433)&amp;"")</f>
        <v/>
      </c>
      <c r="J3433" s="60" t="str">
        <f aca="false">IF(L3433="","",INDEX(ポート振替表!$M$5:$M$3507,$L3433)&amp;"")</f>
        <v/>
      </c>
      <c r="K3433" s="52" t="str">
        <f aca="false">IF(L3433="","",E3433&amp;CHAR(10)&amp;INDEX(ポート振替表!$K$5:$K$3507,$L3433)&amp;" "&amp;INDEX(ポート振替表!$L$5:$L$3507,$L3433)&amp;CHAR(10)&amp;"⇔ "&amp;INDEX(ポート振替表!$H$5:$H$3507,$L3433)&amp;" "&amp;INDEX(ポート振替表!$I$5:$I$3507,$L3433))</f>
        <v/>
      </c>
      <c r="L3433" s="47" t="str">
        <f aca="false">IFERROR(MATCH(ROW()-4,ポート振替表!$V$5:$V$3507,0),"")</f>
        <v/>
      </c>
    </row>
    <row r="3434" customFormat="false" ht="16.4" hidden="false" customHeight="false" outlineLevel="0" collapsed="false">
      <c r="A3434" s="32" t="str">
        <f aca="false">IF(L3434="","",ROW()-4)</f>
        <v/>
      </c>
      <c r="B3434" s="58" t="str">
        <f aca="false">IF(L3434="","",IF(INDEX(ポート振替表!$W$5:$W$3507,$L3434)="","(なし)",INDEX(ポート振替表!$W$5:$W$3507,$L3434)&amp;""))</f>
        <v/>
      </c>
      <c r="C3434" s="52" t="str">
        <f aca="false">IF(L3434="","",INDEX(ポート振替表!$B$5:$B$3507,$L3434)&amp;" "&amp;INDEX(ポート振替表!$C$5:$C$3507,$L3434)&amp;"  ⇔  "&amp;INDEX(ポート振替表!$H$5:$H$3507,$L3434)&amp;" "&amp;INDEX(ポート振替表!$I$5:$I$3507,$L3434))</f>
        <v/>
      </c>
      <c r="D3434" s="57" t="s">
        <v>158</v>
      </c>
      <c r="E3434" s="59" t="str">
        <f aca="false">IF(L3434="","",IF(INDEX(ポート振替表!$O$5:$O$3507,$L3434)="","(未設定)",INDEX(ポート振替表!$O$5:$O$3507,$L3434)&amp;""))</f>
        <v/>
      </c>
      <c r="F3434" s="52" t="str">
        <f aca="false">IF(L3434="","",INDEX(ポート振替表!$K$5:$K$3507,$L3434)&amp;" "&amp;INDEX(ポート振替表!$L$5:$L$3507,$L3434)&amp;"  ⇔  "&amp;INDEX(ポート振替表!$H$5:$H$3507,$L3434)&amp;" "&amp;INDEX(ポート振替表!$I$5:$I$3507,$L3434))</f>
        <v/>
      </c>
      <c r="G3434" s="57" t="s">
        <v>158</v>
      </c>
      <c r="H3434" s="32" t="str">
        <f aca="false">IF(L3434="","",INDEX(ポート振替表!$N$5:$N$3507,$L3434)&amp;"")</f>
        <v/>
      </c>
      <c r="I3434" s="32" t="str">
        <f aca="false">IF(L3434="","",INDEX(ポート振替表!$P$5:$P$3507,$L3434)&amp;"")</f>
        <v/>
      </c>
      <c r="J3434" s="60" t="str">
        <f aca="false">IF(L3434="","",INDEX(ポート振替表!$M$5:$M$3507,$L3434)&amp;"")</f>
        <v/>
      </c>
      <c r="K3434" s="52" t="str">
        <f aca="false">IF(L3434="","",E3434&amp;CHAR(10)&amp;INDEX(ポート振替表!$K$5:$K$3507,$L3434)&amp;" "&amp;INDEX(ポート振替表!$L$5:$L$3507,$L3434)&amp;CHAR(10)&amp;"⇔ "&amp;INDEX(ポート振替表!$H$5:$H$3507,$L3434)&amp;" "&amp;INDEX(ポート振替表!$I$5:$I$3507,$L3434))</f>
        <v/>
      </c>
      <c r="L3434" s="47" t="str">
        <f aca="false">IFERROR(MATCH(ROW()-4,ポート振替表!$V$5:$V$3507,0),"")</f>
        <v/>
      </c>
    </row>
    <row r="3435" customFormat="false" ht="16.4" hidden="false" customHeight="false" outlineLevel="0" collapsed="false">
      <c r="A3435" s="32" t="str">
        <f aca="false">IF(L3435="","",ROW()-4)</f>
        <v/>
      </c>
      <c r="B3435" s="58" t="str">
        <f aca="false">IF(L3435="","",IF(INDEX(ポート振替表!$W$5:$W$3507,$L3435)="","(なし)",INDEX(ポート振替表!$W$5:$W$3507,$L3435)&amp;""))</f>
        <v/>
      </c>
      <c r="C3435" s="52" t="str">
        <f aca="false">IF(L3435="","",INDEX(ポート振替表!$B$5:$B$3507,$L3435)&amp;" "&amp;INDEX(ポート振替表!$C$5:$C$3507,$L3435)&amp;"  ⇔  "&amp;INDEX(ポート振替表!$H$5:$H$3507,$L3435)&amp;" "&amp;INDEX(ポート振替表!$I$5:$I$3507,$L3435))</f>
        <v/>
      </c>
      <c r="D3435" s="57" t="s">
        <v>158</v>
      </c>
      <c r="E3435" s="59" t="str">
        <f aca="false">IF(L3435="","",IF(INDEX(ポート振替表!$O$5:$O$3507,$L3435)="","(未設定)",INDEX(ポート振替表!$O$5:$O$3507,$L3435)&amp;""))</f>
        <v/>
      </c>
      <c r="F3435" s="52" t="str">
        <f aca="false">IF(L3435="","",INDEX(ポート振替表!$K$5:$K$3507,$L3435)&amp;" "&amp;INDEX(ポート振替表!$L$5:$L$3507,$L3435)&amp;"  ⇔  "&amp;INDEX(ポート振替表!$H$5:$H$3507,$L3435)&amp;" "&amp;INDEX(ポート振替表!$I$5:$I$3507,$L3435))</f>
        <v/>
      </c>
      <c r="G3435" s="57" t="s">
        <v>158</v>
      </c>
      <c r="H3435" s="32" t="str">
        <f aca="false">IF(L3435="","",INDEX(ポート振替表!$N$5:$N$3507,$L3435)&amp;"")</f>
        <v/>
      </c>
      <c r="I3435" s="32" t="str">
        <f aca="false">IF(L3435="","",INDEX(ポート振替表!$P$5:$P$3507,$L3435)&amp;"")</f>
        <v/>
      </c>
      <c r="J3435" s="60" t="str">
        <f aca="false">IF(L3435="","",INDEX(ポート振替表!$M$5:$M$3507,$L3435)&amp;"")</f>
        <v/>
      </c>
      <c r="K3435" s="52" t="str">
        <f aca="false">IF(L3435="","",E3435&amp;CHAR(10)&amp;INDEX(ポート振替表!$K$5:$K$3507,$L3435)&amp;" "&amp;INDEX(ポート振替表!$L$5:$L$3507,$L3435)&amp;CHAR(10)&amp;"⇔ "&amp;INDEX(ポート振替表!$H$5:$H$3507,$L3435)&amp;" "&amp;INDEX(ポート振替表!$I$5:$I$3507,$L3435))</f>
        <v/>
      </c>
      <c r="L3435" s="47" t="str">
        <f aca="false">IFERROR(MATCH(ROW()-4,ポート振替表!$V$5:$V$3507,0),"")</f>
        <v/>
      </c>
    </row>
    <row r="3436" customFormat="false" ht="16.4" hidden="false" customHeight="false" outlineLevel="0" collapsed="false">
      <c r="A3436" s="32" t="str">
        <f aca="false">IF(L3436="","",ROW()-4)</f>
        <v/>
      </c>
      <c r="B3436" s="58" t="str">
        <f aca="false">IF(L3436="","",IF(INDEX(ポート振替表!$W$5:$W$3507,$L3436)="","(なし)",INDEX(ポート振替表!$W$5:$W$3507,$L3436)&amp;""))</f>
        <v/>
      </c>
      <c r="C3436" s="52" t="str">
        <f aca="false">IF(L3436="","",INDEX(ポート振替表!$B$5:$B$3507,$L3436)&amp;" "&amp;INDEX(ポート振替表!$C$5:$C$3507,$L3436)&amp;"  ⇔  "&amp;INDEX(ポート振替表!$H$5:$H$3507,$L3436)&amp;" "&amp;INDEX(ポート振替表!$I$5:$I$3507,$L3436))</f>
        <v/>
      </c>
      <c r="D3436" s="57" t="s">
        <v>158</v>
      </c>
      <c r="E3436" s="59" t="str">
        <f aca="false">IF(L3436="","",IF(INDEX(ポート振替表!$O$5:$O$3507,$L3436)="","(未設定)",INDEX(ポート振替表!$O$5:$O$3507,$L3436)&amp;""))</f>
        <v/>
      </c>
      <c r="F3436" s="52" t="str">
        <f aca="false">IF(L3436="","",INDEX(ポート振替表!$K$5:$K$3507,$L3436)&amp;" "&amp;INDEX(ポート振替表!$L$5:$L$3507,$L3436)&amp;"  ⇔  "&amp;INDEX(ポート振替表!$H$5:$H$3507,$L3436)&amp;" "&amp;INDEX(ポート振替表!$I$5:$I$3507,$L3436))</f>
        <v/>
      </c>
      <c r="G3436" s="57" t="s">
        <v>158</v>
      </c>
      <c r="H3436" s="32" t="str">
        <f aca="false">IF(L3436="","",INDEX(ポート振替表!$N$5:$N$3507,$L3436)&amp;"")</f>
        <v/>
      </c>
      <c r="I3436" s="32" t="str">
        <f aca="false">IF(L3436="","",INDEX(ポート振替表!$P$5:$P$3507,$L3436)&amp;"")</f>
        <v/>
      </c>
      <c r="J3436" s="60" t="str">
        <f aca="false">IF(L3436="","",INDEX(ポート振替表!$M$5:$M$3507,$L3436)&amp;"")</f>
        <v/>
      </c>
      <c r="K3436" s="52" t="str">
        <f aca="false">IF(L3436="","",E3436&amp;CHAR(10)&amp;INDEX(ポート振替表!$K$5:$K$3507,$L3436)&amp;" "&amp;INDEX(ポート振替表!$L$5:$L$3507,$L3436)&amp;CHAR(10)&amp;"⇔ "&amp;INDEX(ポート振替表!$H$5:$H$3507,$L3436)&amp;" "&amp;INDEX(ポート振替表!$I$5:$I$3507,$L3436))</f>
        <v/>
      </c>
      <c r="L3436" s="47" t="str">
        <f aca="false">IFERROR(MATCH(ROW()-4,ポート振替表!$V$5:$V$3507,0),"")</f>
        <v/>
      </c>
    </row>
    <row r="3437" customFormat="false" ht="16.4" hidden="false" customHeight="false" outlineLevel="0" collapsed="false">
      <c r="A3437" s="32" t="str">
        <f aca="false">IF(L3437="","",ROW()-4)</f>
        <v/>
      </c>
      <c r="B3437" s="58" t="str">
        <f aca="false">IF(L3437="","",IF(INDEX(ポート振替表!$W$5:$W$3507,$L3437)="","(なし)",INDEX(ポート振替表!$W$5:$W$3507,$L3437)&amp;""))</f>
        <v/>
      </c>
      <c r="C3437" s="52" t="str">
        <f aca="false">IF(L3437="","",INDEX(ポート振替表!$B$5:$B$3507,$L3437)&amp;" "&amp;INDEX(ポート振替表!$C$5:$C$3507,$L3437)&amp;"  ⇔  "&amp;INDEX(ポート振替表!$H$5:$H$3507,$L3437)&amp;" "&amp;INDEX(ポート振替表!$I$5:$I$3507,$L3437))</f>
        <v/>
      </c>
      <c r="D3437" s="57" t="s">
        <v>158</v>
      </c>
      <c r="E3437" s="59" t="str">
        <f aca="false">IF(L3437="","",IF(INDEX(ポート振替表!$O$5:$O$3507,$L3437)="","(未設定)",INDEX(ポート振替表!$O$5:$O$3507,$L3437)&amp;""))</f>
        <v/>
      </c>
      <c r="F3437" s="52" t="str">
        <f aca="false">IF(L3437="","",INDEX(ポート振替表!$K$5:$K$3507,$L3437)&amp;" "&amp;INDEX(ポート振替表!$L$5:$L$3507,$L3437)&amp;"  ⇔  "&amp;INDEX(ポート振替表!$H$5:$H$3507,$L3437)&amp;" "&amp;INDEX(ポート振替表!$I$5:$I$3507,$L3437))</f>
        <v/>
      </c>
      <c r="G3437" s="57" t="s">
        <v>158</v>
      </c>
      <c r="H3437" s="32" t="str">
        <f aca="false">IF(L3437="","",INDEX(ポート振替表!$N$5:$N$3507,$L3437)&amp;"")</f>
        <v/>
      </c>
      <c r="I3437" s="32" t="str">
        <f aca="false">IF(L3437="","",INDEX(ポート振替表!$P$5:$P$3507,$L3437)&amp;"")</f>
        <v/>
      </c>
      <c r="J3437" s="60" t="str">
        <f aca="false">IF(L3437="","",INDEX(ポート振替表!$M$5:$M$3507,$L3437)&amp;"")</f>
        <v/>
      </c>
      <c r="K3437" s="52" t="str">
        <f aca="false">IF(L3437="","",E3437&amp;CHAR(10)&amp;INDEX(ポート振替表!$K$5:$K$3507,$L3437)&amp;" "&amp;INDEX(ポート振替表!$L$5:$L$3507,$L3437)&amp;CHAR(10)&amp;"⇔ "&amp;INDEX(ポート振替表!$H$5:$H$3507,$L3437)&amp;" "&amp;INDEX(ポート振替表!$I$5:$I$3507,$L3437))</f>
        <v/>
      </c>
      <c r="L3437" s="47" t="str">
        <f aca="false">IFERROR(MATCH(ROW()-4,ポート振替表!$V$5:$V$3507,0),"")</f>
        <v/>
      </c>
    </row>
    <row r="3438" customFormat="false" ht="16.4" hidden="false" customHeight="false" outlineLevel="0" collapsed="false">
      <c r="A3438" s="32" t="str">
        <f aca="false">IF(L3438="","",ROW()-4)</f>
        <v/>
      </c>
      <c r="B3438" s="58" t="str">
        <f aca="false">IF(L3438="","",IF(INDEX(ポート振替表!$W$5:$W$3507,$L3438)="","(なし)",INDEX(ポート振替表!$W$5:$W$3507,$L3438)&amp;""))</f>
        <v/>
      </c>
      <c r="C3438" s="52" t="str">
        <f aca="false">IF(L3438="","",INDEX(ポート振替表!$B$5:$B$3507,$L3438)&amp;" "&amp;INDEX(ポート振替表!$C$5:$C$3507,$L3438)&amp;"  ⇔  "&amp;INDEX(ポート振替表!$H$5:$H$3507,$L3438)&amp;" "&amp;INDEX(ポート振替表!$I$5:$I$3507,$L3438))</f>
        <v/>
      </c>
      <c r="D3438" s="57" t="s">
        <v>158</v>
      </c>
      <c r="E3438" s="59" t="str">
        <f aca="false">IF(L3438="","",IF(INDEX(ポート振替表!$O$5:$O$3507,$L3438)="","(未設定)",INDEX(ポート振替表!$O$5:$O$3507,$L3438)&amp;""))</f>
        <v/>
      </c>
      <c r="F3438" s="52" t="str">
        <f aca="false">IF(L3438="","",INDEX(ポート振替表!$K$5:$K$3507,$L3438)&amp;" "&amp;INDEX(ポート振替表!$L$5:$L$3507,$L3438)&amp;"  ⇔  "&amp;INDEX(ポート振替表!$H$5:$H$3507,$L3438)&amp;" "&amp;INDEX(ポート振替表!$I$5:$I$3507,$L3438))</f>
        <v/>
      </c>
      <c r="G3438" s="57" t="s">
        <v>158</v>
      </c>
      <c r="H3438" s="32" t="str">
        <f aca="false">IF(L3438="","",INDEX(ポート振替表!$N$5:$N$3507,$L3438)&amp;"")</f>
        <v/>
      </c>
      <c r="I3438" s="32" t="str">
        <f aca="false">IF(L3438="","",INDEX(ポート振替表!$P$5:$P$3507,$L3438)&amp;"")</f>
        <v/>
      </c>
      <c r="J3438" s="60" t="str">
        <f aca="false">IF(L3438="","",INDEX(ポート振替表!$M$5:$M$3507,$L3438)&amp;"")</f>
        <v/>
      </c>
      <c r="K3438" s="52" t="str">
        <f aca="false">IF(L3438="","",E3438&amp;CHAR(10)&amp;INDEX(ポート振替表!$K$5:$K$3507,$L3438)&amp;" "&amp;INDEX(ポート振替表!$L$5:$L$3507,$L3438)&amp;CHAR(10)&amp;"⇔ "&amp;INDEX(ポート振替表!$H$5:$H$3507,$L3438)&amp;" "&amp;INDEX(ポート振替表!$I$5:$I$3507,$L3438))</f>
        <v/>
      </c>
      <c r="L3438" s="47" t="str">
        <f aca="false">IFERROR(MATCH(ROW()-4,ポート振替表!$V$5:$V$3507,0),"")</f>
        <v/>
      </c>
    </row>
    <row r="3439" customFormat="false" ht="16.4" hidden="false" customHeight="false" outlineLevel="0" collapsed="false">
      <c r="A3439" s="32" t="str">
        <f aca="false">IF(L3439="","",ROW()-4)</f>
        <v/>
      </c>
      <c r="B3439" s="58" t="str">
        <f aca="false">IF(L3439="","",IF(INDEX(ポート振替表!$W$5:$W$3507,$L3439)="","(なし)",INDEX(ポート振替表!$W$5:$W$3507,$L3439)&amp;""))</f>
        <v/>
      </c>
      <c r="C3439" s="52" t="str">
        <f aca="false">IF(L3439="","",INDEX(ポート振替表!$B$5:$B$3507,$L3439)&amp;" "&amp;INDEX(ポート振替表!$C$5:$C$3507,$L3439)&amp;"  ⇔  "&amp;INDEX(ポート振替表!$H$5:$H$3507,$L3439)&amp;" "&amp;INDEX(ポート振替表!$I$5:$I$3507,$L3439))</f>
        <v/>
      </c>
      <c r="D3439" s="57" t="s">
        <v>158</v>
      </c>
      <c r="E3439" s="59" t="str">
        <f aca="false">IF(L3439="","",IF(INDEX(ポート振替表!$O$5:$O$3507,$L3439)="","(未設定)",INDEX(ポート振替表!$O$5:$O$3507,$L3439)&amp;""))</f>
        <v/>
      </c>
      <c r="F3439" s="52" t="str">
        <f aca="false">IF(L3439="","",INDEX(ポート振替表!$K$5:$K$3507,$L3439)&amp;" "&amp;INDEX(ポート振替表!$L$5:$L$3507,$L3439)&amp;"  ⇔  "&amp;INDEX(ポート振替表!$H$5:$H$3507,$L3439)&amp;" "&amp;INDEX(ポート振替表!$I$5:$I$3507,$L3439))</f>
        <v/>
      </c>
      <c r="G3439" s="57" t="s">
        <v>158</v>
      </c>
      <c r="H3439" s="32" t="str">
        <f aca="false">IF(L3439="","",INDEX(ポート振替表!$N$5:$N$3507,$L3439)&amp;"")</f>
        <v/>
      </c>
      <c r="I3439" s="32" t="str">
        <f aca="false">IF(L3439="","",INDEX(ポート振替表!$P$5:$P$3507,$L3439)&amp;"")</f>
        <v/>
      </c>
      <c r="J3439" s="60" t="str">
        <f aca="false">IF(L3439="","",INDEX(ポート振替表!$M$5:$M$3507,$L3439)&amp;"")</f>
        <v/>
      </c>
      <c r="K3439" s="52" t="str">
        <f aca="false">IF(L3439="","",E3439&amp;CHAR(10)&amp;INDEX(ポート振替表!$K$5:$K$3507,$L3439)&amp;" "&amp;INDEX(ポート振替表!$L$5:$L$3507,$L3439)&amp;CHAR(10)&amp;"⇔ "&amp;INDEX(ポート振替表!$H$5:$H$3507,$L3439)&amp;" "&amp;INDEX(ポート振替表!$I$5:$I$3507,$L3439))</f>
        <v/>
      </c>
      <c r="L3439" s="47" t="str">
        <f aca="false">IFERROR(MATCH(ROW()-4,ポート振替表!$V$5:$V$3507,0),"")</f>
        <v/>
      </c>
    </row>
    <row r="3440" customFormat="false" ht="16.4" hidden="false" customHeight="false" outlineLevel="0" collapsed="false">
      <c r="A3440" s="32" t="str">
        <f aca="false">IF(L3440="","",ROW()-4)</f>
        <v/>
      </c>
      <c r="B3440" s="58" t="str">
        <f aca="false">IF(L3440="","",IF(INDEX(ポート振替表!$W$5:$W$3507,$L3440)="","(なし)",INDEX(ポート振替表!$W$5:$W$3507,$L3440)&amp;""))</f>
        <v/>
      </c>
      <c r="C3440" s="52" t="str">
        <f aca="false">IF(L3440="","",INDEX(ポート振替表!$B$5:$B$3507,$L3440)&amp;" "&amp;INDEX(ポート振替表!$C$5:$C$3507,$L3440)&amp;"  ⇔  "&amp;INDEX(ポート振替表!$H$5:$H$3507,$L3440)&amp;" "&amp;INDEX(ポート振替表!$I$5:$I$3507,$L3440))</f>
        <v/>
      </c>
      <c r="D3440" s="57" t="s">
        <v>158</v>
      </c>
      <c r="E3440" s="59" t="str">
        <f aca="false">IF(L3440="","",IF(INDEX(ポート振替表!$O$5:$O$3507,$L3440)="","(未設定)",INDEX(ポート振替表!$O$5:$O$3507,$L3440)&amp;""))</f>
        <v/>
      </c>
      <c r="F3440" s="52" t="str">
        <f aca="false">IF(L3440="","",INDEX(ポート振替表!$K$5:$K$3507,$L3440)&amp;" "&amp;INDEX(ポート振替表!$L$5:$L$3507,$L3440)&amp;"  ⇔  "&amp;INDEX(ポート振替表!$H$5:$H$3507,$L3440)&amp;" "&amp;INDEX(ポート振替表!$I$5:$I$3507,$L3440))</f>
        <v/>
      </c>
      <c r="G3440" s="57" t="s">
        <v>158</v>
      </c>
      <c r="H3440" s="32" t="str">
        <f aca="false">IF(L3440="","",INDEX(ポート振替表!$N$5:$N$3507,$L3440)&amp;"")</f>
        <v/>
      </c>
      <c r="I3440" s="32" t="str">
        <f aca="false">IF(L3440="","",INDEX(ポート振替表!$P$5:$P$3507,$L3440)&amp;"")</f>
        <v/>
      </c>
      <c r="J3440" s="60" t="str">
        <f aca="false">IF(L3440="","",INDEX(ポート振替表!$M$5:$M$3507,$L3440)&amp;"")</f>
        <v/>
      </c>
      <c r="K3440" s="52" t="str">
        <f aca="false">IF(L3440="","",E3440&amp;CHAR(10)&amp;INDEX(ポート振替表!$K$5:$K$3507,$L3440)&amp;" "&amp;INDEX(ポート振替表!$L$5:$L$3507,$L3440)&amp;CHAR(10)&amp;"⇔ "&amp;INDEX(ポート振替表!$H$5:$H$3507,$L3440)&amp;" "&amp;INDEX(ポート振替表!$I$5:$I$3507,$L3440))</f>
        <v/>
      </c>
      <c r="L3440" s="47" t="str">
        <f aca="false">IFERROR(MATCH(ROW()-4,ポート振替表!$V$5:$V$3507,0),"")</f>
        <v/>
      </c>
    </row>
    <row r="3441" customFormat="false" ht="16.4" hidden="false" customHeight="false" outlineLevel="0" collapsed="false">
      <c r="A3441" s="32" t="str">
        <f aca="false">IF(L3441="","",ROW()-4)</f>
        <v/>
      </c>
      <c r="B3441" s="58" t="str">
        <f aca="false">IF(L3441="","",IF(INDEX(ポート振替表!$W$5:$W$3507,$L3441)="","(なし)",INDEX(ポート振替表!$W$5:$W$3507,$L3441)&amp;""))</f>
        <v/>
      </c>
      <c r="C3441" s="52" t="str">
        <f aca="false">IF(L3441="","",INDEX(ポート振替表!$B$5:$B$3507,$L3441)&amp;" "&amp;INDEX(ポート振替表!$C$5:$C$3507,$L3441)&amp;"  ⇔  "&amp;INDEX(ポート振替表!$H$5:$H$3507,$L3441)&amp;" "&amp;INDEX(ポート振替表!$I$5:$I$3507,$L3441))</f>
        <v/>
      </c>
      <c r="D3441" s="57" t="s">
        <v>158</v>
      </c>
      <c r="E3441" s="59" t="str">
        <f aca="false">IF(L3441="","",IF(INDEX(ポート振替表!$O$5:$O$3507,$L3441)="","(未設定)",INDEX(ポート振替表!$O$5:$O$3507,$L3441)&amp;""))</f>
        <v/>
      </c>
      <c r="F3441" s="52" t="str">
        <f aca="false">IF(L3441="","",INDEX(ポート振替表!$K$5:$K$3507,$L3441)&amp;" "&amp;INDEX(ポート振替表!$L$5:$L$3507,$L3441)&amp;"  ⇔  "&amp;INDEX(ポート振替表!$H$5:$H$3507,$L3441)&amp;" "&amp;INDEX(ポート振替表!$I$5:$I$3507,$L3441))</f>
        <v/>
      </c>
      <c r="G3441" s="57" t="s">
        <v>158</v>
      </c>
      <c r="H3441" s="32" t="str">
        <f aca="false">IF(L3441="","",INDEX(ポート振替表!$N$5:$N$3507,$L3441)&amp;"")</f>
        <v/>
      </c>
      <c r="I3441" s="32" t="str">
        <f aca="false">IF(L3441="","",INDEX(ポート振替表!$P$5:$P$3507,$L3441)&amp;"")</f>
        <v/>
      </c>
      <c r="J3441" s="60" t="str">
        <f aca="false">IF(L3441="","",INDEX(ポート振替表!$M$5:$M$3507,$L3441)&amp;"")</f>
        <v/>
      </c>
      <c r="K3441" s="52" t="str">
        <f aca="false">IF(L3441="","",E3441&amp;CHAR(10)&amp;INDEX(ポート振替表!$K$5:$K$3507,$L3441)&amp;" "&amp;INDEX(ポート振替表!$L$5:$L$3507,$L3441)&amp;CHAR(10)&amp;"⇔ "&amp;INDEX(ポート振替表!$H$5:$H$3507,$L3441)&amp;" "&amp;INDEX(ポート振替表!$I$5:$I$3507,$L3441))</f>
        <v/>
      </c>
      <c r="L3441" s="47" t="str">
        <f aca="false">IFERROR(MATCH(ROW()-4,ポート振替表!$V$5:$V$3507,0),"")</f>
        <v/>
      </c>
    </row>
    <row r="3442" customFormat="false" ht="16.4" hidden="false" customHeight="false" outlineLevel="0" collapsed="false">
      <c r="A3442" s="32" t="str">
        <f aca="false">IF(L3442="","",ROW()-4)</f>
        <v/>
      </c>
      <c r="B3442" s="58" t="str">
        <f aca="false">IF(L3442="","",IF(INDEX(ポート振替表!$W$5:$W$3507,$L3442)="","(なし)",INDEX(ポート振替表!$W$5:$W$3507,$L3442)&amp;""))</f>
        <v/>
      </c>
      <c r="C3442" s="52" t="str">
        <f aca="false">IF(L3442="","",INDEX(ポート振替表!$B$5:$B$3507,$L3442)&amp;" "&amp;INDEX(ポート振替表!$C$5:$C$3507,$L3442)&amp;"  ⇔  "&amp;INDEX(ポート振替表!$H$5:$H$3507,$L3442)&amp;" "&amp;INDEX(ポート振替表!$I$5:$I$3507,$L3442))</f>
        <v/>
      </c>
      <c r="D3442" s="57" t="s">
        <v>158</v>
      </c>
      <c r="E3442" s="59" t="str">
        <f aca="false">IF(L3442="","",IF(INDEX(ポート振替表!$O$5:$O$3507,$L3442)="","(未設定)",INDEX(ポート振替表!$O$5:$O$3507,$L3442)&amp;""))</f>
        <v/>
      </c>
      <c r="F3442" s="52" t="str">
        <f aca="false">IF(L3442="","",INDEX(ポート振替表!$K$5:$K$3507,$L3442)&amp;" "&amp;INDEX(ポート振替表!$L$5:$L$3507,$L3442)&amp;"  ⇔  "&amp;INDEX(ポート振替表!$H$5:$H$3507,$L3442)&amp;" "&amp;INDEX(ポート振替表!$I$5:$I$3507,$L3442))</f>
        <v/>
      </c>
      <c r="G3442" s="57" t="s">
        <v>158</v>
      </c>
      <c r="H3442" s="32" t="str">
        <f aca="false">IF(L3442="","",INDEX(ポート振替表!$N$5:$N$3507,$L3442)&amp;"")</f>
        <v/>
      </c>
      <c r="I3442" s="32" t="str">
        <f aca="false">IF(L3442="","",INDEX(ポート振替表!$P$5:$P$3507,$L3442)&amp;"")</f>
        <v/>
      </c>
      <c r="J3442" s="60" t="str">
        <f aca="false">IF(L3442="","",INDEX(ポート振替表!$M$5:$M$3507,$L3442)&amp;"")</f>
        <v/>
      </c>
      <c r="K3442" s="52" t="str">
        <f aca="false">IF(L3442="","",E3442&amp;CHAR(10)&amp;INDEX(ポート振替表!$K$5:$K$3507,$L3442)&amp;" "&amp;INDEX(ポート振替表!$L$5:$L$3507,$L3442)&amp;CHAR(10)&amp;"⇔ "&amp;INDEX(ポート振替表!$H$5:$H$3507,$L3442)&amp;" "&amp;INDEX(ポート振替表!$I$5:$I$3507,$L3442))</f>
        <v/>
      </c>
      <c r="L3442" s="47" t="str">
        <f aca="false">IFERROR(MATCH(ROW()-4,ポート振替表!$V$5:$V$3507,0),"")</f>
        <v/>
      </c>
    </row>
    <row r="3443" customFormat="false" ht="16.4" hidden="false" customHeight="false" outlineLevel="0" collapsed="false">
      <c r="A3443" s="32" t="str">
        <f aca="false">IF(L3443="","",ROW()-4)</f>
        <v/>
      </c>
      <c r="B3443" s="58" t="str">
        <f aca="false">IF(L3443="","",IF(INDEX(ポート振替表!$W$5:$W$3507,$L3443)="","(なし)",INDEX(ポート振替表!$W$5:$W$3507,$L3443)&amp;""))</f>
        <v/>
      </c>
      <c r="C3443" s="52" t="str">
        <f aca="false">IF(L3443="","",INDEX(ポート振替表!$B$5:$B$3507,$L3443)&amp;" "&amp;INDEX(ポート振替表!$C$5:$C$3507,$L3443)&amp;"  ⇔  "&amp;INDEX(ポート振替表!$H$5:$H$3507,$L3443)&amp;" "&amp;INDEX(ポート振替表!$I$5:$I$3507,$L3443))</f>
        <v/>
      </c>
      <c r="D3443" s="57" t="s">
        <v>158</v>
      </c>
      <c r="E3443" s="59" t="str">
        <f aca="false">IF(L3443="","",IF(INDEX(ポート振替表!$O$5:$O$3507,$L3443)="","(未設定)",INDEX(ポート振替表!$O$5:$O$3507,$L3443)&amp;""))</f>
        <v/>
      </c>
      <c r="F3443" s="52" t="str">
        <f aca="false">IF(L3443="","",INDEX(ポート振替表!$K$5:$K$3507,$L3443)&amp;" "&amp;INDEX(ポート振替表!$L$5:$L$3507,$L3443)&amp;"  ⇔  "&amp;INDEX(ポート振替表!$H$5:$H$3507,$L3443)&amp;" "&amp;INDEX(ポート振替表!$I$5:$I$3507,$L3443))</f>
        <v/>
      </c>
      <c r="G3443" s="57" t="s">
        <v>158</v>
      </c>
      <c r="H3443" s="32" t="str">
        <f aca="false">IF(L3443="","",INDEX(ポート振替表!$N$5:$N$3507,$L3443)&amp;"")</f>
        <v/>
      </c>
      <c r="I3443" s="32" t="str">
        <f aca="false">IF(L3443="","",INDEX(ポート振替表!$P$5:$P$3507,$L3443)&amp;"")</f>
        <v/>
      </c>
      <c r="J3443" s="60" t="str">
        <f aca="false">IF(L3443="","",INDEX(ポート振替表!$M$5:$M$3507,$L3443)&amp;"")</f>
        <v/>
      </c>
      <c r="K3443" s="52" t="str">
        <f aca="false">IF(L3443="","",E3443&amp;CHAR(10)&amp;INDEX(ポート振替表!$K$5:$K$3507,$L3443)&amp;" "&amp;INDEX(ポート振替表!$L$5:$L$3507,$L3443)&amp;CHAR(10)&amp;"⇔ "&amp;INDEX(ポート振替表!$H$5:$H$3507,$L3443)&amp;" "&amp;INDEX(ポート振替表!$I$5:$I$3507,$L3443))</f>
        <v/>
      </c>
      <c r="L3443" s="47" t="str">
        <f aca="false">IFERROR(MATCH(ROW()-4,ポート振替表!$V$5:$V$3507,0),"")</f>
        <v/>
      </c>
    </row>
    <row r="3444" customFormat="false" ht="16.4" hidden="false" customHeight="false" outlineLevel="0" collapsed="false">
      <c r="A3444" s="32" t="str">
        <f aca="false">IF(L3444="","",ROW()-4)</f>
        <v/>
      </c>
      <c r="B3444" s="58" t="str">
        <f aca="false">IF(L3444="","",IF(INDEX(ポート振替表!$W$5:$W$3507,$L3444)="","(なし)",INDEX(ポート振替表!$W$5:$W$3507,$L3444)&amp;""))</f>
        <v/>
      </c>
      <c r="C3444" s="52" t="str">
        <f aca="false">IF(L3444="","",INDEX(ポート振替表!$B$5:$B$3507,$L3444)&amp;" "&amp;INDEX(ポート振替表!$C$5:$C$3507,$L3444)&amp;"  ⇔  "&amp;INDEX(ポート振替表!$H$5:$H$3507,$L3444)&amp;" "&amp;INDEX(ポート振替表!$I$5:$I$3507,$L3444))</f>
        <v/>
      </c>
      <c r="D3444" s="57" t="s">
        <v>158</v>
      </c>
      <c r="E3444" s="59" t="str">
        <f aca="false">IF(L3444="","",IF(INDEX(ポート振替表!$O$5:$O$3507,$L3444)="","(未設定)",INDEX(ポート振替表!$O$5:$O$3507,$L3444)&amp;""))</f>
        <v/>
      </c>
      <c r="F3444" s="52" t="str">
        <f aca="false">IF(L3444="","",INDEX(ポート振替表!$K$5:$K$3507,$L3444)&amp;" "&amp;INDEX(ポート振替表!$L$5:$L$3507,$L3444)&amp;"  ⇔  "&amp;INDEX(ポート振替表!$H$5:$H$3507,$L3444)&amp;" "&amp;INDEX(ポート振替表!$I$5:$I$3507,$L3444))</f>
        <v/>
      </c>
      <c r="G3444" s="57" t="s">
        <v>158</v>
      </c>
      <c r="H3444" s="32" t="str">
        <f aca="false">IF(L3444="","",INDEX(ポート振替表!$N$5:$N$3507,$L3444)&amp;"")</f>
        <v/>
      </c>
      <c r="I3444" s="32" t="str">
        <f aca="false">IF(L3444="","",INDEX(ポート振替表!$P$5:$P$3507,$L3444)&amp;"")</f>
        <v/>
      </c>
      <c r="J3444" s="60" t="str">
        <f aca="false">IF(L3444="","",INDEX(ポート振替表!$M$5:$M$3507,$L3444)&amp;"")</f>
        <v/>
      </c>
      <c r="K3444" s="52" t="str">
        <f aca="false">IF(L3444="","",E3444&amp;CHAR(10)&amp;INDEX(ポート振替表!$K$5:$K$3507,$L3444)&amp;" "&amp;INDEX(ポート振替表!$L$5:$L$3507,$L3444)&amp;CHAR(10)&amp;"⇔ "&amp;INDEX(ポート振替表!$H$5:$H$3507,$L3444)&amp;" "&amp;INDEX(ポート振替表!$I$5:$I$3507,$L3444))</f>
        <v/>
      </c>
      <c r="L3444" s="47" t="str">
        <f aca="false">IFERROR(MATCH(ROW()-4,ポート振替表!$V$5:$V$3507,0),"")</f>
        <v/>
      </c>
    </row>
    <row r="3445" customFormat="false" ht="16.4" hidden="false" customHeight="false" outlineLevel="0" collapsed="false">
      <c r="A3445" s="32" t="str">
        <f aca="false">IF(L3445="","",ROW()-4)</f>
        <v/>
      </c>
      <c r="B3445" s="58" t="str">
        <f aca="false">IF(L3445="","",IF(INDEX(ポート振替表!$W$5:$W$3507,$L3445)="","(なし)",INDEX(ポート振替表!$W$5:$W$3507,$L3445)&amp;""))</f>
        <v/>
      </c>
      <c r="C3445" s="52" t="str">
        <f aca="false">IF(L3445="","",INDEX(ポート振替表!$B$5:$B$3507,$L3445)&amp;" "&amp;INDEX(ポート振替表!$C$5:$C$3507,$L3445)&amp;"  ⇔  "&amp;INDEX(ポート振替表!$H$5:$H$3507,$L3445)&amp;" "&amp;INDEX(ポート振替表!$I$5:$I$3507,$L3445))</f>
        <v/>
      </c>
      <c r="D3445" s="57" t="s">
        <v>158</v>
      </c>
      <c r="E3445" s="59" t="str">
        <f aca="false">IF(L3445="","",IF(INDEX(ポート振替表!$O$5:$O$3507,$L3445)="","(未設定)",INDEX(ポート振替表!$O$5:$O$3507,$L3445)&amp;""))</f>
        <v/>
      </c>
      <c r="F3445" s="52" t="str">
        <f aca="false">IF(L3445="","",INDEX(ポート振替表!$K$5:$K$3507,$L3445)&amp;" "&amp;INDEX(ポート振替表!$L$5:$L$3507,$L3445)&amp;"  ⇔  "&amp;INDEX(ポート振替表!$H$5:$H$3507,$L3445)&amp;" "&amp;INDEX(ポート振替表!$I$5:$I$3507,$L3445))</f>
        <v/>
      </c>
      <c r="G3445" s="57" t="s">
        <v>158</v>
      </c>
      <c r="H3445" s="32" t="str">
        <f aca="false">IF(L3445="","",INDEX(ポート振替表!$N$5:$N$3507,$L3445)&amp;"")</f>
        <v/>
      </c>
      <c r="I3445" s="32" t="str">
        <f aca="false">IF(L3445="","",INDEX(ポート振替表!$P$5:$P$3507,$L3445)&amp;"")</f>
        <v/>
      </c>
      <c r="J3445" s="60" t="str">
        <f aca="false">IF(L3445="","",INDEX(ポート振替表!$M$5:$M$3507,$L3445)&amp;"")</f>
        <v/>
      </c>
      <c r="K3445" s="52" t="str">
        <f aca="false">IF(L3445="","",E3445&amp;CHAR(10)&amp;INDEX(ポート振替表!$K$5:$K$3507,$L3445)&amp;" "&amp;INDEX(ポート振替表!$L$5:$L$3507,$L3445)&amp;CHAR(10)&amp;"⇔ "&amp;INDEX(ポート振替表!$H$5:$H$3507,$L3445)&amp;" "&amp;INDEX(ポート振替表!$I$5:$I$3507,$L3445))</f>
        <v/>
      </c>
      <c r="L3445" s="47" t="str">
        <f aca="false">IFERROR(MATCH(ROW()-4,ポート振替表!$V$5:$V$3507,0),"")</f>
        <v/>
      </c>
    </row>
    <row r="3446" customFormat="false" ht="16.4" hidden="false" customHeight="false" outlineLevel="0" collapsed="false">
      <c r="A3446" s="32" t="str">
        <f aca="false">IF(L3446="","",ROW()-4)</f>
        <v/>
      </c>
      <c r="B3446" s="58" t="str">
        <f aca="false">IF(L3446="","",IF(INDEX(ポート振替表!$W$5:$W$3507,$L3446)="","(なし)",INDEX(ポート振替表!$W$5:$W$3507,$L3446)&amp;""))</f>
        <v/>
      </c>
      <c r="C3446" s="52" t="str">
        <f aca="false">IF(L3446="","",INDEX(ポート振替表!$B$5:$B$3507,$L3446)&amp;" "&amp;INDEX(ポート振替表!$C$5:$C$3507,$L3446)&amp;"  ⇔  "&amp;INDEX(ポート振替表!$H$5:$H$3507,$L3446)&amp;" "&amp;INDEX(ポート振替表!$I$5:$I$3507,$L3446))</f>
        <v/>
      </c>
      <c r="D3446" s="57" t="s">
        <v>158</v>
      </c>
      <c r="E3446" s="59" t="str">
        <f aca="false">IF(L3446="","",IF(INDEX(ポート振替表!$O$5:$O$3507,$L3446)="","(未設定)",INDEX(ポート振替表!$O$5:$O$3507,$L3446)&amp;""))</f>
        <v/>
      </c>
      <c r="F3446" s="52" t="str">
        <f aca="false">IF(L3446="","",INDEX(ポート振替表!$K$5:$K$3507,$L3446)&amp;" "&amp;INDEX(ポート振替表!$L$5:$L$3507,$L3446)&amp;"  ⇔  "&amp;INDEX(ポート振替表!$H$5:$H$3507,$L3446)&amp;" "&amp;INDEX(ポート振替表!$I$5:$I$3507,$L3446))</f>
        <v/>
      </c>
      <c r="G3446" s="57" t="s">
        <v>158</v>
      </c>
      <c r="H3446" s="32" t="str">
        <f aca="false">IF(L3446="","",INDEX(ポート振替表!$N$5:$N$3507,$L3446)&amp;"")</f>
        <v/>
      </c>
      <c r="I3446" s="32" t="str">
        <f aca="false">IF(L3446="","",INDEX(ポート振替表!$P$5:$P$3507,$L3446)&amp;"")</f>
        <v/>
      </c>
      <c r="J3446" s="60" t="str">
        <f aca="false">IF(L3446="","",INDEX(ポート振替表!$M$5:$M$3507,$L3446)&amp;"")</f>
        <v/>
      </c>
      <c r="K3446" s="52" t="str">
        <f aca="false">IF(L3446="","",E3446&amp;CHAR(10)&amp;INDEX(ポート振替表!$K$5:$K$3507,$L3446)&amp;" "&amp;INDEX(ポート振替表!$L$5:$L$3507,$L3446)&amp;CHAR(10)&amp;"⇔ "&amp;INDEX(ポート振替表!$H$5:$H$3507,$L3446)&amp;" "&amp;INDEX(ポート振替表!$I$5:$I$3507,$L3446))</f>
        <v/>
      </c>
      <c r="L3446" s="47" t="str">
        <f aca="false">IFERROR(MATCH(ROW()-4,ポート振替表!$V$5:$V$3507,0),"")</f>
        <v/>
      </c>
    </row>
    <row r="3447" customFormat="false" ht="16.4" hidden="false" customHeight="false" outlineLevel="0" collapsed="false">
      <c r="A3447" s="32" t="str">
        <f aca="false">IF(L3447="","",ROW()-4)</f>
        <v/>
      </c>
      <c r="B3447" s="58" t="str">
        <f aca="false">IF(L3447="","",IF(INDEX(ポート振替表!$W$5:$W$3507,$L3447)="","(なし)",INDEX(ポート振替表!$W$5:$W$3507,$L3447)&amp;""))</f>
        <v/>
      </c>
      <c r="C3447" s="52" t="str">
        <f aca="false">IF(L3447="","",INDEX(ポート振替表!$B$5:$B$3507,$L3447)&amp;" "&amp;INDEX(ポート振替表!$C$5:$C$3507,$L3447)&amp;"  ⇔  "&amp;INDEX(ポート振替表!$H$5:$H$3507,$L3447)&amp;" "&amp;INDEX(ポート振替表!$I$5:$I$3507,$L3447))</f>
        <v/>
      </c>
      <c r="D3447" s="57" t="s">
        <v>158</v>
      </c>
      <c r="E3447" s="59" t="str">
        <f aca="false">IF(L3447="","",IF(INDEX(ポート振替表!$O$5:$O$3507,$L3447)="","(未設定)",INDEX(ポート振替表!$O$5:$O$3507,$L3447)&amp;""))</f>
        <v/>
      </c>
      <c r="F3447" s="52" t="str">
        <f aca="false">IF(L3447="","",INDEX(ポート振替表!$K$5:$K$3507,$L3447)&amp;" "&amp;INDEX(ポート振替表!$L$5:$L$3507,$L3447)&amp;"  ⇔  "&amp;INDEX(ポート振替表!$H$5:$H$3507,$L3447)&amp;" "&amp;INDEX(ポート振替表!$I$5:$I$3507,$L3447))</f>
        <v/>
      </c>
      <c r="G3447" s="57" t="s">
        <v>158</v>
      </c>
      <c r="H3447" s="32" t="str">
        <f aca="false">IF(L3447="","",INDEX(ポート振替表!$N$5:$N$3507,$L3447)&amp;"")</f>
        <v/>
      </c>
      <c r="I3447" s="32" t="str">
        <f aca="false">IF(L3447="","",INDEX(ポート振替表!$P$5:$P$3507,$L3447)&amp;"")</f>
        <v/>
      </c>
      <c r="J3447" s="60" t="str">
        <f aca="false">IF(L3447="","",INDEX(ポート振替表!$M$5:$M$3507,$L3447)&amp;"")</f>
        <v/>
      </c>
      <c r="K3447" s="52" t="str">
        <f aca="false">IF(L3447="","",E3447&amp;CHAR(10)&amp;INDEX(ポート振替表!$K$5:$K$3507,$L3447)&amp;" "&amp;INDEX(ポート振替表!$L$5:$L$3507,$L3447)&amp;CHAR(10)&amp;"⇔ "&amp;INDEX(ポート振替表!$H$5:$H$3507,$L3447)&amp;" "&amp;INDEX(ポート振替表!$I$5:$I$3507,$L3447))</f>
        <v/>
      </c>
      <c r="L3447" s="47" t="str">
        <f aca="false">IFERROR(MATCH(ROW()-4,ポート振替表!$V$5:$V$3507,0),"")</f>
        <v/>
      </c>
    </row>
    <row r="3448" customFormat="false" ht="16.4" hidden="false" customHeight="false" outlineLevel="0" collapsed="false">
      <c r="A3448" s="32" t="str">
        <f aca="false">IF(L3448="","",ROW()-4)</f>
        <v/>
      </c>
      <c r="B3448" s="58" t="str">
        <f aca="false">IF(L3448="","",IF(INDEX(ポート振替表!$W$5:$W$3507,$L3448)="","(なし)",INDEX(ポート振替表!$W$5:$W$3507,$L3448)&amp;""))</f>
        <v/>
      </c>
      <c r="C3448" s="52" t="str">
        <f aca="false">IF(L3448="","",INDEX(ポート振替表!$B$5:$B$3507,$L3448)&amp;" "&amp;INDEX(ポート振替表!$C$5:$C$3507,$L3448)&amp;"  ⇔  "&amp;INDEX(ポート振替表!$H$5:$H$3507,$L3448)&amp;" "&amp;INDEX(ポート振替表!$I$5:$I$3507,$L3448))</f>
        <v/>
      </c>
      <c r="D3448" s="57" t="s">
        <v>158</v>
      </c>
      <c r="E3448" s="59" t="str">
        <f aca="false">IF(L3448="","",IF(INDEX(ポート振替表!$O$5:$O$3507,$L3448)="","(未設定)",INDEX(ポート振替表!$O$5:$O$3507,$L3448)&amp;""))</f>
        <v/>
      </c>
      <c r="F3448" s="52" t="str">
        <f aca="false">IF(L3448="","",INDEX(ポート振替表!$K$5:$K$3507,$L3448)&amp;" "&amp;INDEX(ポート振替表!$L$5:$L$3507,$L3448)&amp;"  ⇔  "&amp;INDEX(ポート振替表!$H$5:$H$3507,$L3448)&amp;" "&amp;INDEX(ポート振替表!$I$5:$I$3507,$L3448))</f>
        <v/>
      </c>
      <c r="G3448" s="57" t="s">
        <v>158</v>
      </c>
      <c r="H3448" s="32" t="str">
        <f aca="false">IF(L3448="","",INDEX(ポート振替表!$N$5:$N$3507,$L3448)&amp;"")</f>
        <v/>
      </c>
      <c r="I3448" s="32" t="str">
        <f aca="false">IF(L3448="","",INDEX(ポート振替表!$P$5:$P$3507,$L3448)&amp;"")</f>
        <v/>
      </c>
      <c r="J3448" s="60" t="str">
        <f aca="false">IF(L3448="","",INDEX(ポート振替表!$M$5:$M$3507,$L3448)&amp;"")</f>
        <v/>
      </c>
      <c r="K3448" s="52" t="str">
        <f aca="false">IF(L3448="","",E3448&amp;CHAR(10)&amp;INDEX(ポート振替表!$K$5:$K$3507,$L3448)&amp;" "&amp;INDEX(ポート振替表!$L$5:$L$3507,$L3448)&amp;CHAR(10)&amp;"⇔ "&amp;INDEX(ポート振替表!$H$5:$H$3507,$L3448)&amp;" "&amp;INDEX(ポート振替表!$I$5:$I$3507,$L3448))</f>
        <v/>
      </c>
      <c r="L3448" s="47" t="str">
        <f aca="false">IFERROR(MATCH(ROW()-4,ポート振替表!$V$5:$V$3507,0),"")</f>
        <v/>
      </c>
    </row>
    <row r="3449" customFormat="false" ht="16.4" hidden="false" customHeight="false" outlineLevel="0" collapsed="false">
      <c r="A3449" s="32" t="str">
        <f aca="false">IF(L3449="","",ROW()-4)</f>
        <v/>
      </c>
      <c r="B3449" s="58" t="str">
        <f aca="false">IF(L3449="","",IF(INDEX(ポート振替表!$W$5:$W$3507,$L3449)="","(なし)",INDEX(ポート振替表!$W$5:$W$3507,$L3449)&amp;""))</f>
        <v/>
      </c>
      <c r="C3449" s="52" t="str">
        <f aca="false">IF(L3449="","",INDEX(ポート振替表!$B$5:$B$3507,$L3449)&amp;" "&amp;INDEX(ポート振替表!$C$5:$C$3507,$L3449)&amp;"  ⇔  "&amp;INDEX(ポート振替表!$H$5:$H$3507,$L3449)&amp;" "&amp;INDEX(ポート振替表!$I$5:$I$3507,$L3449))</f>
        <v/>
      </c>
      <c r="D3449" s="57" t="s">
        <v>158</v>
      </c>
      <c r="E3449" s="59" t="str">
        <f aca="false">IF(L3449="","",IF(INDEX(ポート振替表!$O$5:$O$3507,$L3449)="","(未設定)",INDEX(ポート振替表!$O$5:$O$3507,$L3449)&amp;""))</f>
        <v/>
      </c>
      <c r="F3449" s="52" t="str">
        <f aca="false">IF(L3449="","",INDEX(ポート振替表!$K$5:$K$3507,$L3449)&amp;" "&amp;INDEX(ポート振替表!$L$5:$L$3507,$L3449)&amp;"  ⇔  "&amp;INDEX(ポート振替表!$H$5:$H$3507,$L3449)&amp;" "&amp;INDEX(ポート振替表!$I$5:$I$3507,$L3449))</f>
        <v/>
      </c>
      <c r="G3449" s="57" t="s">
        <v>158</v>
      </c>
      <c r="H3449" s="32" t="str">
        <f aca="false">IF(L3449="","",INDEX(ポート振替表!$N$5:$N$3507,$L3449)&amp;"")</f>
        <v/>
      </c>
      <c r="I3449" s="32" t="str">
        <f aca="false">IF(L3449="","",INDEX(ポート振替表!$P$5:$P$3507,$L3449)&amp;"")</f>
        <v/>
      </c>
      <c r="J3449" s="60" t="str">
        <f aca="false">IF(L3449="","",INDEX(ポート振替表!$M$5:$M$3507,$L3449)&amp;"")</f>
        <v/>
      </c>
      <c r="K3449" s="52" t="str">
        <f aca="false">IF(L3449="","",E3449&amp;CHAR(10)&amp;INDEX(ポート振替表!$K$5:$K$3507,$L3449)&amp;" "&amp;INDEX(ポート振替表!$L$5:$L$3507,$L3449)&amp;CHAR(10)&amp;"⇔ "&amp;INDEX(ポート振替表!$H$5:$H$3507,$L3449)&amp;" "&amp;INDEX(ポート振替表!$I$5:$I$3507,$L3449))</f>
        <v/>
      </c>
      <c r="L3449" s="47" t="str">
        <f aca="false">IFERROR(MATCH(ROW()-4,ポート振替表!$V$5:$V$3507,0),"")</f>
        <v/>
      </c>
    </row>
    <row r="3450" customFormat="false" ht="16.4" hidden="false" customHeight="false" outlineLevel="0" collapsed="false">
      <c r="A3450" s="32" t="str">
        <f aca="false">IF(L3450="","",ROW()-4)</f>
        <v/>
      </c>
      <c r="B3450" s="58" t="str">
        <f aca="false">IF(L3450="","",IF(INDEX(ポート振替表!$W$5:$W$3507,$L3450)="","(なし)",INDEX(ポート振替表!$W$5:$W$3507,$L3450)&amp;""))</f>
        <v/>
      </c>
      <c r="C3450" s="52" t="str">
        <f aca="false">IF(L3450="","",INDEX(ポート振替表!$B$5:$B$3507,$L3450)&amp;" "&amp;INDEX(ポート振替表!$C$5:$C$3507,$L3450)&amp;"  ⇔  "&amp;INDEX(ポート振替表!$H$5:$H$3507,$L3450)&amp;" "&amp;INDEX(ポート振替表!$I$5:$I$3507,$L3450))</f>
        <v/>
      </c>
      <c r="D3450" s="57" t="s">
        <v>158</v>
      </c>
      <c r="E3450" s="59" t="str">
        <f aca="false">IF(L3450="","",IF(INDEX(ポート振替表!$O$5:$O$3507,$L3450)="","(未設定)",INDEX(ポート振替表!$O$5:$O$3507,$L3450)&amp;""))</f>
        <v/>
      </c>
      <c r="F3450" s="52" t="str">
        <f aca="false">IF(L3450="","",INDEX(ポート振替表!$K$5:$K$3507,$L3450)&amp;" "&amp;INDEX(ポート振替表!$L$5:$L$3507,$L3450)&amp;"  ⇔  "&amp;INDEX(ポート振替表!$H$5:$H$3507,$L3450)&amp;" "&amp;INDEX(ポート振替表!$I$5:$I$3507,$L3450))</f>
        <v/>
      </c>
      <c r="G3450" s="57" t="s">
        <v>158</v>
      </c>
      <c r="H3450" s="32" t="str">
        <f aca="false">IF(L3450="","",INDEX(ポート振替表!$N$5:$N$3507,$L3450)&amp;"")</f>
        <v/>
      </c>
      <c r="I3450" s="32" t="str">
        <f aca="false">IF(L3450="","",INDEX(ポート振替表!$P$5:$P$3507,$L3450)&amp;"")</f>
        <v/>
      </c>
      <c r="J3450" s="60" t="str">
        <f aca="false">IF(L3450="","",INDEX(ポート振替表!$M$5:$M$3507,$L3450)&amp;"")</f>
        <v/>
      </c>
      <c r="K3450" s="52" t="str">
        <f aca="false">IF(L3450="","",E3450&amp;CHAR(10)&amp;INDEX(ポート振替表!$K$5:$K$3507,$L3450)&amp;" "&amp;INDEX(ポート振替表!$L$5:$L$3507,$L3450)&amp;CHAR(10)&amp;"⇔ "&amp;INDEX(ポート振替表!$H$5:$H$3507,$L3450)&amp;" "&amp;INDEX(ポート振替表!$I$5:$I$3507,$L3450))</f>
        <v/>
      </c>
      <c r="L3450" s="47" t="str">
        <f aca="false">IFERROR(MATCH(ROW()-4,ポート振替表!$V$5:$V$3507,0),"")</f>
        <v/>
      </c>
    </row>
    <row r="3451" customFormat="false" ht="16.4" hidden="false" customHeight="false" outlineLevel="0" collapsed="false">
      <c r="A3451" s="32" t="str">
        <f aca="false">IF(L3451="","",ROW()-4)</f>
        <v/>
      </c>
      <c r="B3451" s="58" t="str">
        <f aca="false">IF(L3451="","",IF(INDEX(ポート振替表!$W$5:$W$3507,$L3451)="","(なし)",INDEX(ポート振替表!$W$5:$W$3507,$L3451)&amp;""))</f>
        <v/>
      </c>
      <c r="C3451" s="52" t="str">
        <f aca="false">IF(L3451="","",INDEX(ポート振替表!$B$5:$B$3507,$L3451)&amp;" "&amp;INDEX(ポート振替表!$C$5:$C$3507,$L3451)&amp;"  ⇔  "&amp;INDEX(ポート振替表!$H$5:$H$3507,$L3451)&amp;" "&amp;INDEX(ポート振替表!$I$5:$I$3507,$L3451))</f>
        <v/>
      </c>
      <c r="D3451" s="57" t="s">
        <v>158</v>
      </c>
      <c r="E3451" s="59" t="str">
        <f aca="false">IF(L3451="","",IF(INDEX(ポート振替表!$O$5:$O$3507,$L3451)="","(未設定)",INDEX(ポート振替表!$O$5:$O$3507,$L3451)&amp;""))</f>
        <v/>
      </c>
      <c r="F3451" s="52" t="str">
        <f aca="false">IF(L3451="","",INDEX(ポート振替表!$K$5:$K$3507,$L3451)&amp;" "&amp;INDEX(ポート振替表!$L$5:$L$3507,$L3451)&amp;"  ⇔  "&amp;INDEX(ポート振替表!$H$5:$H$3507,$L3451)&amp;" "&amp;INDEX(ポート振替表!$I$5:$I$3507,$L3451))</f>
        <v/>
      </c>
      <c r="G3451" s="57" t="s">
        <v>158</v>
      </c>
      <c r="H3451" s="32" t="str">
        <f aca="false">IF(L3451="","",INDEX(ポート振替表!$N$5:$N$3507,$L3451)&amp;"")</f>
        <v/>
      </c>
      <c r="I3451" s="32" t="str">
        <f aca="false">IF(L3451="","",INDEX(ポート振替表!$P$5:$P$3507,$L3451)&amp;"")</f>
        <v/>
      </c>
      <c r="J3451" s="60" t="str">
        <f aca="false">IF(L3451="","",INDEX(ポート振替表!$M$5:$M$3507,$L3451)&amp;"")</f>
        <v/>
      </c>
      <c r="K3451" s="52" t="str">
        <f aca="false">IF(L3451="","",E3451&amp;CHAR(10)&amp;INDEX(ポート振替表!$K$5:$K$3507,$L3451)&amp;" "&amp;INDEX(ポート振替表!$L$5:$L$3507,$L3451)&amp;CHAR(10)&amp;"⇔ "&amp;INDEX(ポート振替表!$H$5:$H$3507,$L3451)&amp;" "&amp;INDEX(ポート振替表!$I$5:$I$3507,$L3451))</f>
        <v/>
      </c>
      <c r="L3451" s="47" t="str">
        <f aca="false">IFERROR(MATCH(ROW()-4,ポート振替表!$V$5:$V$3507,0),"")</f>
        <v/>
      </c>
    </row>
    <row r="3452" customFormat="false" ht="16.4" hidden="false" customHeight="false" outlineLevel="0" collapsed="false">
      <c r="A3452" s="32" t="str">
        <f aca="false">IF(L3452="","",ROW()-4)</f>
        <v/>
      </c>
      <c r="B3452" s="58" t="str">
        <f aca="false">IF(L3452="","",IF(INDEX(ポート振替表!$W$5:$W$3507,$L3452)="","(なし)",INDEX(ポート振替表!$W$5:$W$3507,$L3452)&amp;""))</f>
        <v/>
      </c>
      <c r="C3452" s="52" t="str">
        <f aca="false">IF(L3452="","",INDEX(ポート振替表!$B$5:$B$3507,$L3452)&amp;" "&amp;INDEX(ポート振替表!$C$5:$C$3507,$L3452)&amp;"  ⇔  "&amp;INDEX(ポート振替表!$H$5:$H$3507,$L3452)&amp;" "&amp;INDEX(ポート振替表!$I$5:$I$3507,$L3452))</f>
        <v/>
      </c>
      <c r="D3452" s="57" t="s">
        <v>158</v>
      </c>
      <c r="E3452" s="59" t="str">
        <f aca="false">IF(L3452="","",IF(INDEX(ポート振替表!$O$5:$O$3507,$L3452)="","(未設定)",INDEX(ポート振替表!$O$5:$O$3507,$L3452)&amp;""))</f>
        <v/>
      </c>
      <c r="F3452" s="52" t="str">
        <f aca="false">IF(L3452="","",INDEX(ポート振替表!$K$5:$K$3507,$L3452)&amp;" "&amp;INDEX(ポート振替表!$L$5:$L$3507,$L3452)&amp;"  ⇔  "&amp;INDEX(ポート振替表!$H$5:$H$3507,$L3452)&amp;" "&amp;INDEX(ポート振替表!$I$5:$I$3507,$L3452))</f>
        <v/>
      </c>
      <c r="G3452" s="57" t="s">
        <v>158</v>
      </c>
      <c r="H3452" s="32" t="str">
        <f aca="false">IF(L3452="","",INDEX(ポート振替表!$N$5:$N$3507,$L3452)&amp;"")</f>
        <v/>
      </c>
      <c r="I3452" s="32" t="str">
        <f aca="false">IF(L3452="","",INDEX(ポート振替表!$P$5:$P$3507,$L3452)&amp;"")</f>
        <v/>
      </c>
      <c r="J3452" s="60" t="str">
        <f aca="false">IF(L3452="","",INDEX(ポート振替表!$M$5:$M$3507,$L3452)&amp;"")</f>
        <v/>
      </c>
      <c r="K3452" s="52" t="str">
        <f aca="false">IF(L3452="","",E3452&amp;CHAR(10)&amp;INDEX(ポート振替表!$K$5:$K$3507,$L3452)&amp;" "&amp;INDEX(ポート振替表!$L$5:$L$3507,$L3452)&amp;CHAR(10)&amp;"⇔ "&amp;INDEX(ポート振替表!$H$5:$H$3507,$L3452)&amp;" "&amp;INDEX(ポート振替表!$I$5:$I$3507,$L3452))</f>
        <v/>
      </c>
      <c r="L3452" s="47" t="str">
        <f aca="false">IFERROR(MATCH(ROW()-4,ポート振替表!$V$5:$V$3507,0),"")</f>
        <v/>
      </c>
    </row>
    <row r="3453" customFormat="false" ht="16.4" hidden="false" customHeight="false" outlineLevel="0" collapsed="false">
      <c r="A3453" s="32" t="str">
        <f aca="false">IF(L3453="","",ROW()-4)</f>
        <v/>
      </c>
      <c r="B3453" s="58" t="str">
        <f aca="false">IF(L3453="","",IF(INDEX(ポート振替表!$W$5:$W$3507,$L3453)="","(なし)",INDEX(ポート振替表!$W$5:$W$3507,$L3453)&amp;""))</f>
        <v/>
      </c>
      <c r="C3453" s="52" t="str">
        <f aca="false">IF(L3453="","",INDEX(ポート振替表!$B$5:$B$3507,$L3453)&amp;" "&amp;INDEX(ポート振替表!$C$5:$C$3507,$L3453)&amp;"  ⇔  "&amp;INDEX(ポート振替表!$H$5:$H$3507,$L3453)&amp;" "&amp;INDEX(ポート振替表!$I$5:$I$3507,$L3453))</f>
        <v/>
      </c>
      <c r="D3453" s="57" t="s">
        <v>158</v>
      </c>
      <c r="E3453" s="59" t="str">
        <f aca="false">IF(L3453="","",IF(INDEX(ポート振替表!$O$5:$O$3507,$L3453)="","(未設定)",INDEX(ポート振替表!$O$5:$O$3507,$L3453)&amp;""))</f>
        <v/>
      </c>
      <c r="F3453" s="52" t="str">
        <f aca="false">IF(L3453="","",INDEX(ポート振替表!$K$5:$K$3507,$L3453)&amp;" "&amp;INDEX(ポート振替表!$L$5:$L$3507,$L3453)&amp;"  ⇔  "&amp;INDEX(ポート振替表!$H$5:$H$3507,$L3453)&amp;" "&amp;INDEX(ポート振替表!$I$5:$I$3507,$L3453))</f>
        <v/>
      </c>
      <c r="G3453" s="57" t="s">
        <v>158</v>
      </c>
      <c r="H3453" s="32" t="str">
        <f aca="false">IF(L3453="","",INDEX(ポート振替表!$N$5:$N$3507,$L3453)&amp;"")</f>
        <v/>
      </c>
      <c r="I3453" s="32" t="str">
        <f aca="false">IF(L3453="","",INDEX(ポート振替表!$P$5:$P$3507,$L3453)&amp;"")</f>
        <v/>
      </c>
      <c r="J3453" s="60" t="str">
        <f aca="false">IF(L3453="","",INDEX(ポート振替表!$M$5:$M$3507,$L3453)&amp;"")</f>
        <v/>
      </c>
      <c r="K3453" s="52" t="str">
        <f aca="false">IF(L3453="","",E3453&amp;CHAR(10)&amp;INDEX(ポート振替表!$K$5:$K$3507,$L3453)&amp;" "&amp;INDEX(ポート振替表!$L$5:$L$3507,$L3453)&amp;CHAR(10)&amp;"⇔ "&amp;INDEX(ポート振替表!$H$5:$H$3507,$L3453)&amp;" "&amp;INDEX(ポート振替表!$I$5:$I$3507,$L3453))</f>
        <v/>
      </c>
      <c r="L3453" s="47" t="str">
        <f aca="false">IFERROR(MATCH(ROW()-4,ポート振替表!$V$5:$V$3507,0),"")</f>
        <v/>
      </c>
    </row>
    <row r="3454" customFormat="false" ht="16.4" hidden="false" customHeight="false" outlineLevel="0" collapsed="false">
      <c r="A3454" s="32" t="str">
        <f aca="false">IF(L3454="","",ROW()-4)</f>
        <v/>
      </c>
      <c r="B3454" s="58" t="str">
        <f aca="false">IF(L3454="","",IF(INDEX(ポート振替表!$W$5:$W$3507,$L3454)="","(なし)",INDEX(ポート振替表!$W$5:$W$3507,$L3454)&amp;""))</f>
        <v/>
      </c>
      <c r="C3454" s="52" t="str">
        <f aca="false">IF(L3454="","",INDEX(ポート振替表!$B$5:$B$3507,$L3454)&amp;" "&amp;INDEX(ポート振替表!$C$5:$C$3507,$L3454)&amp;"  ⇔  "&amp;INDEX(ポート振替表!$H$5:$H$3507,$L3454)&amp;" "&amp;INDEX(ポート振替表!$I$5:$I$3507,$L3454))</f>
        <v/>
      </c>
      <c r="D3454" s="57" t="s">
        <v>158</v>
      </c>
      <c r="E3454" s="59" t="str">
        <f aca="false">IF(L3454="","",IF(INDEX(ポート振替表!$O$5:$O$3507,$L3454)="","(未設定)",INDEX(ポート振替表!$O$5:$O$3507,$L3454)&amp;""))</f>
        <v/>
      </c>
      <c r="F3454" s="52" t="str">
        <f aca="false">IF(L3454="","",INDEX(ポート振替表!$K$5:$K$3507,$L3454)&amp;" "&amp;INDEX(ポート振替表!$L$5:$L$3507,$L3454)&amp;"  ⇔  "&amp;INDEX(ポート振替表!$H$5:$H$3507,$L3454)&amp;" "&amp;INDEX(ポート振替表!$I$5:$I$3507,$L3454))</f>
        <v/>
      </c>
      <c r="G3454" s="57" t="s">
        <v>158</v>
      </c>
      <c r="H3454" s="32" t="str">
        <f aca="false">IF(L3454="","",INDEX(ポート振替表!$N$5:$N$3507,$L3454)&amp;"")</f>
        <v/>
      </c>
      <c r="I3454" s="32" t="str">
        <f aca="false">IF(L3454="","",INDEX(ポート振替表!$P$5:$P$3507,$L3454)&amp;"")</f>
        <v/>
      </c>
      <c r="J3454" s="60" t="str">
        <f aca="false">IF(L3454="","",INDEX(ポート振替表!$M$5:$M$3507,$L3454)&amp;"")</f>
        <v/>
      </c>
      <c r="K3454" s="52" t="str">
        <f aca="false">IF(L3454="","",E3454&amp;CHAR(10)&amp;INDEX(ポート振替表!$K$5:$K$3507,$L3454)&amp;" "&amp;INDEX(ポート振替表!$L$5:$L$3507,$L3454)&amp;CHAR(10)&amp;"⇔ "&amp;INDEX(ポート振替表!$H$5:$H$3507,$L3454)&amp;" "&amp;INDEX(ポート振替表!$I$5:$I$3507,$L3454))</f>
        <v/>
      </c>
      <c r="L3454" s="47" t="str">
        <f aca="false">IFERROR(MATCH(ROW()-4,ポート振替表!$V$5:$V$3507,0),"")</f>
        <v/>
      </c>
    </row>
    <row r="3455" customFormat="false" ht="16.4" hidden="false" customHeight="false" outlineLevel="0" collapsed="false">
      <c r="A3455" s="32" t="str">
        <f aca="false">IF(L3455="","",ROW()-4)</f>
        <v/>
      </c>
      <c r="B3455" s="58" t="str">
        <f aca="false">IF(L3455="","",IF(INDEX(ポート振替表!$W$5:$W$3507,$L3455)="","(なし)",INDEX(ポート振替表!$W$5:$W$3507,$L3455)&amp;""))</f>
        <v/>
      </c>
      <c r="C3455" s="52" t="str">
        <f aca="false">IF(L3455="","",INDEX(ポート振替表!$B$5:$B$3507,$L3455)&amp;" "&amp;INDEX(ポート振替表!$C$5:$C$3507,$L3455)&amp;"  ⇔  "&amp;INDEX(ポート振替表!$H$5:$H$3507,$L3455)&amp;" "&amp;INDEX(ポート振替表!$I$5:$I$3507,$L3455))</f>
        <v/>
      </c>
      <c r="D3455" s="57" t="s">
        <v>158</v>
      </c>
      <c r="E3455" s="59" t="str">
        <f aca="false">IF(L3455="","",IF(INDEX(ポート振替表!$O$5:$O$3507,$L3455)="","(未設定)",INDEX(ポート振替表!$O$5:$O$3507,$L3455)&amp;""))</f>
        <v/>
      </c>
      <c r="F3455" s="52" t="str">
        <f aca="false">IF(L3455="","",INDEX(ポート振替表!$K$5:$K$3507,$L3455)&amp;" "&amp;INDEX(ポート振替表!$L$5:$L$3507,$L3455)&amp;"  ⇔  "&amp;INDEX(ポート振替表!$H$5:$H$3507,$L3455)&amp;" "&amp;INDEX(ポート振替表!$I$5:$I$3507,$L3455))</f>
        <v/>
      </c>
      <c r="G3455" s="57" t="s">
        <v>158</v>
      </c>
      <c r="H3455" s="32" t="str">
        <f aca="false">IF(L3455="","",INDEX(ポート振替表!$N$5:$N$3507,$L3455)&amp;"")</f>
        <v/>
      </c>
      <c r="I3455" s="32" t="str">
        <f aca="false">IF(L3455="","",INDEX(ポート振替表!$P$5:$P$3507,$L3455)&amp;"")</f>
        <v/>
      </c>
      <c r="J3455" s="60" t="str">
        <f aca="false">IF(L3455="","",INDEX(ポート振替表!$M$5:$M$3507,$L3455)&amp;"")</f>
        <v/>
      </c>
      <c r="K3455" s="52" t="str">
        <f aca="false">IF(L3455="","",E3455&amp;CHAR(10)&amp;INDEX(ポート振替表!$K$5:$K$3507,$L3455)&amp;" "&amp;INDEX(ポート振替表!$L$5:$L$3507,$L3455)&amp;CHAR(10)&amp;"⇔ "&amp;INDEX(ポート振替表!$H$5:$H$3507,$L3455)&amp;" "&amp;INDEX(ポート振替表!$I$5:$I$3507,$L3455))</f>
        <v/>
      </c>
      <c r="L3455" s="47" t="str">
        <f aca="false">IFERROR(MATCH(ROW()-4,ポート振替表!$V$5:$V$3507,0),"")</f>
        <v/>
      </c>
    </row>
    <row r="3456" customFormat="false" ht="16.4" hidden="false" customHeight="false" outlineLevel="0" collapsed="false">
      <c r="A3456" s="32" t="str">
        <f aca="false">IF(L3456="","",ROW()-4)</f>
        <v/>
      </c>
      <c r="B3456" s="58" t="str">
        <f aca="false">IF(L3456="","",IF(INDEX(ポート振替表!$W$5:$W$3507,$L3456)="","(なし)",INDEX(ポート振替表!$W$5:$W$3507,$L3456)&amp;""))</f>
        <v/>
      </c>
      <c r="C3456" s="52" t="str">
        <f aca="false">IF(L3456="","",INDEX(ポート振替表!$B$5:$B$3507,$L3456)&amp;" "&amp;INDEX(ポート振替表!$C$5:$C$3507,$L3456)&amp;"  ⇔  "&amp;INDEX(ポート振替表!$H$5:$H$3507,$L3456)&amp;" "&amp;INDEX(ポート振替表!$I$5:$I$3507,$L3456))</f>
        <v/>
      </c>
      <c r="D3456" s="57" t="s">
        <v>158</v>
      </c>
      <c r="E3456" s="59" t="str">
        <f aca="false">IF(L3456="","",IF(INDEX(ポート振替表!$O$5:$O$3507,$L3456)="","(未設定)",INDEX(ポート振替表!$O$5:$O$3507,$L3456)&amp;""))</f>
        <v/>
      </c>
      <c r="F3456" s="52" t="str">
        <f aca="false">IF(L3456="","",INDEX(ポート振替表!$K$5:$K$3507,$L3456)&amp;" "&amp;INDEX(ポート振替表!$L$5:$L$3507,$L3456)&amp;"  ⇔  "&amp;INDEX(ポート振替表!$H$5:$H$3507,$L3456)&amp;" "&amp;INDEX(ポート振替表!$I$5:$I$3507,$L3456))</f>
        <v/>
      </c>
      <c r="G3456" s="57" t="s">
        <v>158</v>
      </c>
      <c r="H3456" s="32" t="str">
        <f aca="false">IF(L3456="","",INDEX(ポート振替表!$N$5:$N$3507,$L3456)&amp;"")</f>
        <v/>
      </c>
      <c r="I3456" s="32" t="str">
        <f aca="false">IF(L3456="","",INDEX(ポート振替表!$P$5:$P$3507,$L3456)&amp;"")</f>
        <v/>
      </c>
      <c r="J3456" s="60" t="str">
        <f aca="false">IF(L3456="","",INDEX(ポート振替表!$M$5:$M$3507,$L3456)&amp;"")</f>
        <v/>
      </c>
      <c r="K3456" s="52" t="str">
        <f aca="false">IF(L3456="","",E3456&amp;CHAR(10)&amp;INDEX(ポート振替表!$K$5:$K$3507,$L3456)&amp;" "&amp;INDEX(ポート振替表!$L$5:$L$3507,$L3456)&amp;CHAR(10)&amp;"⇔ "&amp;INDEX(ポート振替表!$H$5:$H$3507,$L3456)&amp;" "&amp;INDEX(ポート振替表!$I$5:$I$3507,$L3456))</f>
        <v/>
      </c>
      <c r="L3456" s="47" t="str">
        <f aca="false">IFERROR(MATCH(ROW()-4,ポート振替表!$V$5:$V$3507,0),"")</f>
        <v/>
      </c>
    </row>
    <row r="3457" customFormat="false" ht="16.4" hidden="false" customHeight="false" outlineLevel="0" collapsed="false">
      <c r="A3457" s="32" t="str">
        <f aca="false">IF(L3457="","",ROW()-4)</f>
        <v/>
      </c>
      <c r="B3457" s="58" t="str">
        <f aca="false">IF(L3457="","",IF(INDEX(ポート振替表!$W$5:$W$3507,$L3457)="","(なし)",INDEX(ポート振替表!$W$5:$W$3507,$L3457)&amp;""))</f>
        <v/>
      </c>
      <c r="C3457" s="52" t="str">
        <f aca="false">IF(L3457="","",INDEX(ポート振替表!$B$5:$B$3507,$L3457)&amp;" "&amp;INDEX(ポート振替表!$C$5:$C$3507,$L3457)&amp;"  ⇔  "&amp;INDEX(ポート振替表!$H$5:$H$3507,$L3457)&amp;" "&amp;INDEX(ポート振替表!$I$5:$I$3507,$L3457))</f>
        <v/>
      </c>
      <c r="D3457" s="57" t="s">
        <v>158</v>
      </c>
      <c r="E3457" s="59" t="str">
        <f aca="false">IF(L3457="","",IF(INDEX(ポート振替表!$O$5:$O$3507,$L3457)="","(未設定)",INDEX(ポート振替表!$O$5:$O$3507,$L3457)&amp;""))</f>
        <v/>
      </c>
      <c r="F3457" s="52" t="str">
        <f aca="false">IF(L3457="","",INDEX(ポート振替表!$K$5:$K$3507,$L3457)&amp;" "&amp;INDEX(ポート振替表!$L$5:$L$3507,$L3457)&amp;"  ⇔  "&amp;INDEX(ポート振替表!$H$5:$H$3507,$L3457)&amp;" "&amp;INDEX(ポート振替表!$I$5:$I$3507,$L3457))</f>
        <v/>
      </c>
      <c r="G3457" s="57" t="s">
        <v>158</v>
      </c>
      <c r="H3457" s="32" t="str">
        <f aca="false">IF(L3457="","",INDEX(ポート振替表!$N$5:$N$3507,$L3457)&amp;"")</f>
        <v/>
      </c>
      <c r="I3457" s="32" t="str">
        <f aca="false">IF(L3457="","",INDEX(ポート振替表!$P$5:$P$3507,$L3457)&amp;"")</f>
        <v/>
      </c>
      <c r="J3457" s="60" t="str">
        <f aca="false">IF(L3457="","",INDEX(ポート振替表!$M$5:$M$3507,$L3457)&amp;"")</f>
        <v/>
      </c>
      <c r="K3457" s="52" t="str">
        <f aca="false">IF(L3457="","",E3457&amp;CHAR(10)&amp;INDEX(ポート振替表!$K$5:$K$3507,$L3457)&amp;" "&amp;INDEX(ポート振替表!$L$5:$L$3507,$L3457)&amp;CHAR(10)&amp;"⇔ "&amp;INDEX(ポート振替表!$H$5:$H$3507,$L3457)&amp;" "&amp;INDEX(ポート振替表!$I$5:$I$3507,$L3457))</f>
        <v/>
      </c>
      <c r="L3457" s="47" t="str">
        <f aca="false">IFERROR(MATCH(ROW()-4,ポート振替表!$V$5:$V$3507,0),"")</f>
        <v/>
      </c>
    </row>
    <row r="3458" customFormat="false" ht="16.4" hidden="false" customHeight="false" outlineLevel="0" collapsed="false">
      <c r="A3458" s="32" t="str">
        <f aca="false">IF(L3458="","",ROW()-4)</f>
        <v/>
      </c>
      <c r="B3458" s="58" t="str">
        <f aca="false">IF(L3458="","",IF(INDEX(ポート振替表!$W$5:$W$3507,$L3458)="","(なし)",INDEX(ポート振替表!$W$5:$W$3507,$L3458)&amp;""))</f>
        <v/>
      </c>
      <c r="C3458" s="52" t="str">
        <f aca="false">IF(L3458="","",INDEX(ポート振替表!$B$5:$B$3507,$L3458)&amp;" "&amp;INDEX(ポート振替表!$C$5:$C$3507,$L3458)&amp;"  ⇔  "&amp;INDEX(ポート振替表!$H$5:$H$3507,$L3458)&amp;" "&amp;INDEX(ポート振替表!$I$5:$I$3507,$L3458))</f>
        <v/>
      </c>
      <c r="D3458" s="57" t="s">
        <v>158</v>
      </c>
      <c r="E3458" s="59" t="str">
        <f aca="false">IF(L3458="","",IF(INDEX(ポート振替表!$O$5:$O$3507,$L3458)="","(未設定)",INDEX(ポート振替表!$O$5:$O$3507,$L3458)&amp;""))</f>
        <v/>
      </c>
      <c r="F3458" s="52" t="str">
        <f aca="false">IF(L3458="","",INDEX(ポート振替表!$K$5:$K$3507,$L3458)&amp;" "&amp;INDEX(ポート振替表!$L$5:$L$3507,$L3458)&amp;"  ⇔  "&amp;INDEX(ポート振替表!$H$5:$H$3507,$L3458)&amp;" "&amp;INDEX(ポート振替表!$I$5:$I$3507,$L3458))</f>
        <v/>
      </c>
      <c r="G3458" s="57" t="s">
        <v>158</v>
      </c>
      <c r="H3458" s="32" t="str">
        <f aca="false">IF(L3458="","",INDEX(ポート振替表!$N$5:$N$3507,$L3458)&amp;"")</f>
        <v/>
      </c>
      <c r="I3458" s="32" t="str">
        <f aca="false">IF(L3458="","",INDEX(ポート振替表!$P$5:$P$3507,$L3458)&amp;"")</f>
        <v/>
      </c>
      <c r="J3458" s="60" t="str">
        <f aca="false">IF(L3458="","",INDEX(ポート振替表!$M$5:$M$3507,$L3458)&amp;"")</f>
        <v/>
      </c>
      <c r="K3458" s="52" t="str">
        <f aca="false">IF(L3458="","",E3458&amp;CHAR(10)&amp;INDEX(ポート振替表!$K$5:$K$3507,$L3458)&amp;" "&amp;INDEX(ポート振替表!$L$5:$L$3507,$L3458)&amp;CHAR(10)&amp;"⇔ "&amp;INDEX(ポート振替表!$H$5:$H$3507,$L3458)&amp;" "&amp;INDEX(ポート振替表!$I$5:$I$3507,$L3458))</f>
        <v/>
      </c>
      <c r="L3458" s="47" t="str">
        <f aca="false">IFERROR(MATCH(ROW()-4,ポート振替表!$V$5:$V$3507,0),"")</f>
        <v/>
      </c>
    </row>
    <row r="3459" customFormat="false" ht="16.4" hidden="false" customHeight="false" outlineLevel="0" collapsed="false">
      <c r="A3459" s="32" t="str">
        <f aca="false">IF(L3459="","",ROW()-4)</f>
        <v/>
      </c>
      <c r="B3459" s="58" t="str">
        <f aca="false">IF(L3459="","",IF(INDEX(ポート振替表!$W$5:$W$3507,$L3459)="","(なし)",INDEX(ポート振替表!$W$5:$W$3507,$L3459)&amp;""))</f>
        <v/>
      </c>
      <c r="C3459" s="52" t="str">
        <f aca="false">IF(L3459="","",INDEX(ポート振替表!$B$5:$B$3507,$L3459)&amp;" "&amp;INDEX(ポート振替表!$C$5:$C$3507,$L3459)&amp;"  ⇔  "&amp;INDEX(ポート振替表!$H$5:$H$3507,$L3459)&amp;" "&amp;INDEX(ポート振替表!$I$5:$I$3507,$L3459))</f>
        <v/>
      </c>
      <c r="D3459" s="57" t="s">
        <v>158</v>
      </c>
      <c r="E3459" s="59" t="str">
        <f aca="false">IF(L3459="","",IF(INDEX(ポート振替表!$O$5:$O$3507,$L3459)="","(未設定)",INDEX(ポート振替表!$O$5:$O$3507,$L3459)&amp;""))</f>
        <v/>
      </c>
      <c r="F3459" s="52" t="str">
        <f aca="false">IF(L3459="","",INDEX(ポート振替表!$K$5:$K$3507,$L3459)&amp;" "&amp;INDEX(ポート振替表!$L$5:$L$3507,$L3459)&amp;"  ⇔  "&amp;INDEX(ポート振替表!$H$5:$H$3507,$L3459)&amp;" "&amp;INDEX(ポート振替表!$I$5:$I$3507,$L3459))</f>
        <v/>
      </c>
      <c r="G3459" s="57" t="s">
        <v>158</v>
      </c>
      <c r="H3459" s="32" t="str">
        <f aca="false">IF(L3459="","",INDEX(ポート振替表!$N$5:$N$3507,$L3459)&amp;"")</f>
        <v/>
      </c>
      <c r="I3459" s="32" t="str">
        <f aca="false">IF(L3459="","",INDEX(ポート振替表!$P$5:$P$3507,$L3459)&amp;"")</f>
        <v/>
      </c>
      <c r="J3459" s="60" t="str">
        <f aca="false">IF(L3459="","",INDEX(ポート振替表!$M$5:$M$3507,$L3459)&amp;"")</f>
        <v/>
      </c>
      <c r="K3459" s="52" t="str">
        <f aca="false">IF(L3459="","",E3459&amp;CHAR(10)&amp;INDEX(ポート振替表!$K$5:$K$3507,$L3459)&amp;" "&amp;INDEX(ポート振替表!$L$5:$L$3507,$L3459)&amp;CHAR(10)&amp;"⇔ "&amp;INDEX(ポート振替表!$H$5:$H$3507,$L3459)&amp;" "&amp;INDEX(ポート振替表!$I$5:$I$3507,$L3459))</f>
        <v/>
      </c>
      <c r="L3459" s="47" t="str">
        <f aca="false">IFERROR(MATCH(ROW()-4,ポート振替表!$V$5:$V$3507,0),"")</f>
        <v/>
      </c>
    </row>
    <row r="3460" customFormat="false" ht="16.4" hidden="false" customHeight="false" outlineLevel="0" collapsed="false">
      <c r="A3460" s="32" t="str">
        <f aca="false">IF(L3460="","",ROW()-4)</f>
        <v/>
      </c>
      <c r="B3460" s="58" t="str">
        <f aca="false">IF(L3460="","",IF(INDEX(ポート振替表!$W$5:$W$3507,$L3460)="","(なし)",INDEX(ポート振替表!$W$5:$W$3507,$L3460)&amp;""))</f>
        <v/>
      </c>
      <c r="C3460" s="52" t="str">
        <f aca="false">IF(L3460="","",INDEX(ポート振替表!$B$5:$B$3507,$L3460)&amp;" "&amp;INDEX(ポート振替表!$C$5:$C$3507,$L3460)&amp;"  ⇔  "&amp;INDEX(ポート振替表!$H$5:$H$3507,$L3460)&amp;" "&amp;INDEX(ポート振替表!$I$5:$I$3507,$L3460))</f>
        <v/>
      </c>
      <c r="D3460" s="57" t="s">
        <v>158</v>
      </c>
      <c r="E3460" s="59" t="str">
        <f aca="false">IF(L3460="","",IF(INDEX(ポート振替表!$O$5:$O$3507,$L3460)="","(未設定)",INDEX(ポート振替表!$O$5:$O$3507,$L3460)&amp;""))</f>
        <v/>
      </c>
      <c r="F3460" s="52" t="str">
        <f aca="false">IF(L3460="","",INDEX(ポート振替表!$K$5:$K$3507,$L3460)&amp;" "&amp;INDEX(ポート振替表!$L$5:$L$3507,$L3460)&amp;"  ⇔  "&amp;INDEX(ポート振替表!$H$5:$H$3507,$L3460)&amp;" "&amp;INDEX(ポート振替表!$I$5:$I$3507,$L3460))</f>
        <v/>
      </c>
      <c r="G3460" s="57" t="s">
        <v>158</v>
      </c>
      <c r="H3460" s="32" t="str">
        <f aca="false">IF(L3460="","",INDEX(ポート振替表!$N$5:$N$3507,$L3460)&amp;"")</f>
        <v/>
      </c>
      <c r="I3460" s="32" t="str">
        <f aca="false">IF(L3460="","",INDEX(ポート振替表!$P$5:$P$3507,$L3460)&amp;"")</f>
        <v/>
      </c>
      <c r="J3460" s="60" t="str">
        <f aca="false">IF(L3460="","",INDEX(ポート振替表!$M$5:$M$3507,$L3460)&amp;"")</f>
        <v/>
      </c>
      <c r="K3460" s="52" t="str">
        <f aca="false">IF(L3460="","",E3460&amp;CHAR(10)&amp;INDEX(ポート振替表!$K$5:$K$3507,$L3460)&amp;" "&amp;INDEX(ポート振替表!$L$5:$L$3507,$L3460)&amp;CHAR(10)&amp;"⇔ "&amp;INDEX(ポート振替表!$H$5:$H$3507,$L3460)&amp;" "&amp;INDEX(ポート振替表!$I$5:$I$3507,$L3460))</f>
        <v/>
      </c>
      <c r="L3460" s="47" t="str">
        <f aca="false">IFERROR(MATCH(ROW()-4,ポート振替表!$V$5:$V$3507,0),"")</f>
        <v/>
      </c>
    </row>
    <row r="3461" customFormat="false" ht="16.4" hidden="false" customHeight="false" outlineLevel="0" collapsed="false">
      <c r="A3461" s="32" t="str">
        <f aca="false">IF(L3461="","",ROW()-4)</f>
        <v/>
      </c>
      <c r="B3461" s="58" t="str">
        <f aca="false">IF(L3461="","",IF(INDEX(ポート振替表!$W$5:$W$3507,$L3461)="","(なし)",INDEX(ポート振替表!$W$5:$W$3507,$L3461)&amp;""))</f>
        <v/>
      </c>
      <c r="C3461" s="52" t="str">
        <f aca="false">IF(L3461="","",INDEX(ポート振替表!$B$5:$B$3507,$L3461)&amp;" "&amp;INDEX(ポート振替表!$C$5:$C$3507,$L3461)&amp;"  ⇔  "&amp;INDEX(ポート振替表!$H$5:$H$3507,$L3461)&amp;" "&amp;INDEX(ポート振替表!$I$5:$I$3507,$L3461))</f>
        <v/>
      </c>
      <c r="D3461" s="57" t="s">
        <v>158</v>
      </c>
      <c r="E3461" s="59" t="str">
        <f aca="false">IF(L3461="","",IF(INDEX(ポート振替表!$O$5:$O$3507,$L3461)="","(未設定)",INDEX(ポート振替表!$O$5:$O$3507,$L3461)&amp;""))</f>
        <v/>
      </c>
      <c r="F3461" s="52" t="str">
        <f aca="false">IF(L3461="","",INDEX(ポート振替表!$K$5:$K$3507,$L3461)&amp;" "&amp;INDEX(ポート振替表!$L$5:$L$3507,$L3461)&amp;"  ⇔  "&amp;INDEX(ポート振替表!$H$5:$H$3507,$L3461)&amp;" "&amp;INDEX(ポート振替表!$I$5:$I$3507,$L3461))</f>
        <v/>
      </c>
      <c r="G3461" s="57" t="s">
        <v>158</v>
      </c>
      <c r="H3461" s="32" t="str">
        <f aca="false">IF(L3461="","",INDEX(ポート振替表!$N$5:$N$3507,$L3461)&amp;"")</f>
        <v/>
      </c>
      <c r="I3461" s="32" t="str">
        <f aca="false">IF(L3461="","",INDEX(ポート振替表!$P$5:$P$3507,$L3461)&amp;"")</f>
        <v/>
      </c>
      <c r="J3461" s="60" t="str">
        <f aca="false">IF(L3461="","",INDEX(ポート振替表!$M$5:$M$3507,$L3461)&amp;"")</f>
        <v/>
      </c>
      <c r="K3461" s="52" t="str">
        <f aca="false">IF(L3461="","",E3461&amp;CHAR(10)&amp;INDEX(ポート振替表!$K$5:$K$3507,$L3461)&amp;" "&amp;INDEX(ポート振替表!$L$5:$L$3507,$L3461)&amp;CHAR(10)&amp;"⇔ "&amp;INDEX(ポート振替表!$H$5:$H$3507,$L3461)&amp;" "&amp;INDEX(ポート振替表!$I$5:$I$3507,$L3461))</f>
        <v/>
      </c>
      <c r="L3461" s="47" t="str">
        <f aca="false">IFERROR(MATCH(ROW()-4,ポート振替表!$V$5:$V$3507,0),"")</f>
        <v/>
      </c>
    </row>
    <row r="3462" customFormat="false" ht="16.4" hidden="false" customHeight="false" outlineLevel="0" collapsed="false">
      <c r="A3462" s="32" t="str">
        <f aca="false">IF(L3462="","",ROW()-4)</f>
        <v/>
      </c>
      <c r="B3462" s="58" t="str">
        <f aca="false">IF(L3462="","",IF(INDEX(ポート振替表!$W$5:$W$3507,$L3462)="","(なし)",INDEX(ポート振替表!$W$5:$W$3507,$L3462)&amp;""))</f>
        <v/>
      </c>
      <c r="C3462" s="52" t="str">
        <f aca="false">IF(L3462="","",INDEX(ポート振替表!$B$5:$B$3507,$L3462)&amp;" "&amp;INDEX(ポート振替表!$C$5:$C$3507,$L3462)&amp;"  ⇔  "&amp;INDEX(ポート振替表!$H$5:$H$3507,$L3462)&amp;" "&amp;INDEX(ポート振替表!$I$5:$I$3507,$L3462))</f>
        <v/>
      </c>
      <c r="D3462" s="57" t="s">
        <v>158</v>
      </c>
      <c r="E3462" s="59" t="str">
        <f aca="false">IF(L3462="","",IF(INDEX(ポート振替表!$O$5:$O$3507,$L3462)="","(未設定)",INDEX(ポート振替表!$O$5:$O$3507,$L3462)&amp;""))</f>
        <v/>
      </c>
      <c r="F3462" s="52" t="str">
        <f aca="false">IF(L3462="","",INDEX(ポート振替表!$K$5:$K$3507,$L3462)&amp;" "&amp;INDEX(ポート振替表!$L$5:$L$3507,$L3462)&amp;"  ⇔  "&amp;INDEX(ポート振替表!$H$5:$H$3507,$L3462)&amp;" "&amp;INDEX(ポート振替表!$I$5:$I$3507,$L3462))</f>
        <v/>
      </c>
      <c r="G3462" s="57" t="s">
        <v>158</v>
      </c>
      <c r="H3462" s="32" t="str">
        <f aca="false">IF(L3462="","",INDEX(ポート振替表!$N$5:$N$3507,$L3462)&amp;"")</f>
        <v/>
      </c>
      <c r="I3462" s="32" t="str">
        <f aca="false">IF(L3462="","",INDEX(ポート振替表!$P$5:$P$3507,$L3462)&amp;"")</f>
        <v/>
      </c>
      <c r="J3462" s="60" t="str">
        <f aca="false">IF(L3462="","",INDEX(ポート振替表!$M$5:$M$3507,$L3462)&amp;"")</f>
        <v/>
      </c>
      <c r="K3462" s="52" t="str">
        <f aca="false">IF(L3462="","",E3462&amp;CHAR(10)&amp;INDEX(ポート振替表!$K$5:$K$3507,$L3462)&amp;" "&amp;INDEX(ポート振替表!$L$5:$L$3507,$L3462)&amp;CHAR(10)&amp;"⇔ "&amp;INDEX(ポート振替表!$H$5:$H$3507,$L3462)&amp;" "&amp;INDEX(ポート振替表!$I$5:$I$3507,$L3462))</f>
        <v/>
      </c>
      <c r="L3462" s="47" t="str">
        <f aca="false">IFERROR(MATCH(ROW()-4,ポート振替表!$V$5:$V$3507,0),"")</f>
        <v/>
      </c>
    </row>
    <row r="3463" customFormat="false" ht="16.4" hidden="false" customHeight="false" outlineLevel="0" collapsed="false">
      <c r="A3463" s="32" t="str">
        <f aca="false">IF(L3463="","",ROW()-4)</f>
        <v/>
      </c>
      <c r="B3463" s="58" t="str">
        <f aca="false">IF(L3463="","",IF(INDEX(ポート振替表!$W$5:$W$3507,$L3463)="","(なし)",INDEX(ポート振替表!$W$5:$W$3507,$L3463)&amp;""))</f>
        <v/>
      </c>
      <c r="C3463" s="52" t="str">
        <f aca="false">IF(L3463="","",INDEX(ポート振替表!$B$5:$B$3507,$L3463)&amp;" "&amp;INDEX(ポート振替表!$C$5:$C$3507,$L3463)&amp;"  ⇔  "&amp;INDEX(ポート振替表!$H$5:$H$3507,$L3463)&amp;" "&amp;INDEX(ポート振替表!$I$5:$I$3507,$L3463))</f>
        <v/>
      </c>
      <c r="D3463" s="57" t="s">
        <v>158</v>
      </c>
      <c r="E3463" s="59" t="str">
        <f aca="false">IF(L3463="","",IF(INDEX(ポート振替表!$O$5:$O$3507,$L3463)="","(未設定)",INDEX(ポート振替表!$O$5:$O$3507,$L3463)&amp;""))</f>
        <v/>
      </c>
      <c r="F3463" s="52" t="str">
        <f aca="false">IF(L3463="","",INDEX(ポート振替表!$K$5:$K$3507,$L3463)&amp;" "&amp;INDEX(ポート振替表!$L$5:$L$3507,$L3463)&amp;"  ⇔  "&amp;INDEX(ポート振替表!$H$5:$H$3507,$L3463)&amp;" "&amp;INDEX(ポート振替表!$I$5:$I$3507,$L3463))</f>
        <v/>
      </c>
      <c r="G3463" s="57" t="s">
        <v>158</v>
      </c>
      <c r="H3463" s="32" t="str">
        <f aca="false">IF(L3463="","",INDEX(ポート振替表!$N$5:$N$3507,$L3463)&amp;"")</f>
        <v/>
      </c>
      <c r="I3463" s="32" t="str">
        <f aca="false">IF(L3463="","",INDEX(ポート振替表!$P$5:$P$3507,$L3463)&amp;"")</f>
        <v/>
      </c>
      <c r="J3463" s="60" t="str">
        <f aca="false">IF(L3463="","",INDEX(ポート振替表!$M$5:$M$3507,$L3463)&amp;"")</f>
        <v/>
      </c>
      <c r="K3463" s="52" t="str">
        <f aca="false">IF(L3463="","",E3463&amp;CHAR(10)&amp;INDEX(ポート振替表!$K$5:$K$3507,$L3463)&amp;" "&amp;INDEX(ポート振替表!$L$5:$L$3507,$L3463)&amp;CHAR(10)&amp;"⇔ "&amp;INDEX(ポート振替表!$H$5:$H$3507,$L3463)&amp;" "&amp;INDEX(ポート振替表!$I$5:$I$3507,$L3463))</f>
        <v/>
      </c>
      <c r="L3463" s="47" t="str">
        <f aca="false">IFERROR(MATCH(ROW()-4,ポート振替表!$V$5:$V$3507,0),"")</f>
        <v/>
      </c>
    </row>
    <row r="3464" customFormat="false" ht="16.4" hidden="false" customHeight="false" outlineLevel="0" collapsed="false">
      <c r="A3464" s="32" t="str">
        <f aca="false">IF(L3464="","",ROW()-4)</f>
        <v/>
      </c>
      <c r="B3464" s="58" t="str">
        <f aca="false">IF(L3464="","",IF(INDEX(ポート振替表!$W$5:$W$3507,$L3464)="","(なし)",INDEX(ポート振替表!$W$5:$W$3507,$L3464)&amp;""))</f>
        <v/>
      </c>
      <c r="C3464" s="52" t="str">
        <f aca="false">IF(L3464="","",INDEX(ポート振替表!$B$5:$B$3507,$L3464)&amp;" "&amp;INDEX(ポート振替表!$C$5:$C$3507,$L3464)&amp;"  ⇔  "&amp;INDEX(ポート振替表!$H$5:$H$3507,$L3464)&amp;" "&amp;INDEX(ポート振替表!$I$5:$I$3507,$L3464))</f>
        <v/>
      </c>
      <c r="D3464" s="57" t="s">
        <v>158</v>
      </c>
      <c r="E3464" s="59" t="str">
        <f aca="false">IF(L3464="","",IF(INDEX(ポート振替表!$O$5:$O$3507,$L3464)="","(未設定)",INDEX(ポート振替表!$O$5:$O$3507,$L3464)&amp;""))</f>
        <v/>
      </c>
      <c r="F3464" s="52" t="str">
        <f aca="false">IF(L3464="","",INDEX(ポート振替表!$K$5:$K$3507,$L3464)&amp;" "&amp;INDEX(ポート振替表!$L$5:$L$3507,$L3464)&amp;"  ⇔  "&amp;INDEX(ポート振替表!$H$5:$H$3507,$L3464)&amp;" "&amp;INDEX(ポート振替表!$I$5:$I$3507,$L3464))</f>
        <v/>
      </c>
      <c r="G3464" s="57" t="s">
        <v>158</v>
      </c>
      <c r="H3464" s="32" t="str">
        <f aca="false">IF(L3464="","",INDEX(ポート振替表!$N$5:$N$3507,$L3464)&amp;"")</f>
        <v/>
      </c>
      <c r="I3464" s="32" t="str">
        <f aca="false">IF(L3464="","",INDEX(ポート振替表!$P$5:$P$3507,$L3464)&amp;"")</f>
        <v/>
      </c>
      <c r="J3464" s="60" t="str">
        <f aca="false">IF(L3464="","",INDEX(ポート振替表!$M$5:$M$3507,$L3464)&amp;"")</f>
        <v/>
      </c>
      <c r="K3464" s="52" t="str">
        <f aca="false">IF(L3464="","",E3464&amp;CHAR(10)&amp;INDEX(ポート振替表!$K$5:$K$3507,$L3464)&amp;" "&amp;INDEX(ポート振替表!$L$5:$L$3507,$L3464)&amp;CHAR(10)&amp;"⇔ "&amp;INDEX(ポート振替表!$H$5:$H$3507,$L3464)&amp;" "&amp;INDEX(ポート振替表!$I$5:$I$3507,$L3464))</f>
        <v/>
      </c>
      <c r="L3464" s="47" t="str">
        <f aca="false">IFERROR(MATCH(ROW()-4,ポート振替表!$V$5:$V$3507,0),"")</f>
        <v/>
      </c>
    </row>
    <row r="3465" customFormat="false" ht="16.4" hidden="false" customHeight="false" outlineLevel="0" collapsed="false">
      <c r="A3465" s="32" t="str">
        <f aca="false">IF(L3465="","",ROW()-4)</f>
        <v/>
      </c>
      <c r="B3465" s="58" t="str">
        <f aca="false">IF(L3465="","",IF(INDEX(ポート振替表!$W$5:$W$3507,$L3465)="","(なし)",INDEX(ポート振替表!$W$5:$W$3507,$L3465)&amp;""))</f>
        <v/>
      </c>
      <c r="C3465" s="52" t="str">
        <f aca="false">IF(L3465="","",INDEX(ポート振替表!$B$5:$B$3507,$L3465)&amp;" "&amp;INDEX(ポート振替表!$C$5:$C$3507,$L3465)&amp;"  ⇔  "&amp;INDEX(ポート振替表!$H$5:$H$3507,$L3465)&amp;" "&amp;INDEX(ポート振替表!$I$5:$I$3507,$L3465))</f>
        <v/>
      </c>
      <c r="D3465" s="57" t="s">
        <v>158</v>
      </c>
      <c r="E3465" s="59" t="str">
        <f aca="false">IF(L3465="","",IF(INDEX(ポート振替表!$O$5:$O$3507,$L3465)="","(未設定)",INDEX(ポート振替表!$O$5:$O$3507,$L3465)&amp;""))</f>
        <v/>
      </c>
      <c r="F3465" s="52" t="str">
        <f aca="false">IF(L3465="","",INDEX(ポート振替表!$K$5:$K$3507,$L3465)&amp;" "&amp;INDEX(ポート振替表!$L$5:$L$3507,$L3465)&amp;"  ⇔  "&amp;INDEX(ポート振替表!$H$5:$H$3507,$L3465)&amp;" "&amp;INDEX(ポート振替表!$I$5:$I$3507,$L3465))</f>
        <v/>
      </c>
      <c r="G3465" s="57" t="s">
        <v>158</v>
      </c>
      <c r="H3465" s="32" t="str">
        <f aca="false">IF(L3465="","",INDEX(ポート振替表!$N$5:$N$3507,$L3465)&amp;"")</f>
        <v/>
      </c>
      <c r="I3465" s="32" t="str">
        <f aca="false">IF(L3465="","",INDEX(ポート振替表!$P$5:$P$3507,$L3465)&amp;"")</f>
        <v/>
      </c>
      <c r="J3465" s="60" t="str">
        <f aca="false">IF(L3465="","",INDEX(ポート振替表!$M$5:$M$3507,$L3465)&amp;"")</f>
        <v/>
      </c>
      <c r="K3465" s="52" t="str">
        <f aca="false">IF(L3465="","",E3465&amp;CHAR(10)&amp;INDEX(ポート振替表!$K$5:$K$3507,$L3465)&amp;" "&amp;INDEX(ポート振替表!$L$5:$L$3507,$L3465)&amp;CHAR(10)&amp;"⇔ "&amp;INDEX(ポート振替表!$H$5:$H$3507,$L3465)&amp;" "&amp;INDEX(ポート振替表!$I$5:$I$3507,$L3465))</f>
        <v/>
      </c>
      <c r="L3465" s="47" t="str">
        <f aca="false">IFERROR(MATCH(ROW()-4,ポート振替表!$V$5:$V$3507,0),"")</f>
        <v/>
      </c>
    </row>
    <row r="3466" customFormat="false" ht="16.4" hidden="false" customHeight="false" outlineLevel="0" collapsed="false">
      <c r="A3466" s="32" t="str">
        <f aca="false">IF(L3466="","",ROW()-4)</f>
        <v/>
      </c>
      <c r="B3466" s="58" t="str">
        <f aca="false">IF(L3466="","",IF(INDEX(ポート振替表!$W$5:$W$3507,$L3466)="","(なし)",INDEX(ポート振替表!$W$5:$W$3507,$L3466)&amp;""))</f>
        <v/>
      </c>
      <c r="C3466" s="52" t="str">
        <f aca="false">IF(L3466="","",INDEX(ポート振替表!$B$5:$B$3507,$L3466)&amp;" "&amp;INDEX(ポート振替表!$C$5:$C$3507,$L3466)&amp;"  ⇔  "&amp;INDEX(ポート振替表!$H$5:$H$3507,$L3466)&amp;" "&amp;INDEX(ポート振替表!$I$5:$I$3507,$L3466))</f>
        <v/>
      </c>
      <c r="D3466" s="57" t="s">
        <v>158</v>
      </c>
      <c r="E3466" s="59" t="str">
        <f aca="false">IF(L3466="","",IF(INDEX(ポート振替表!$O$5:$O$3507,$L3466)="","(未設定)",INDEX(ポート振替表!$O$5:$O$3507,$L3466)&amp;""))</f>
        <v/>
      </c>
      <c r="F3466" s="52" t="str">
        <f aca="false">IF(L3466="","",INDEX(ポート振替表!$K$5:$K$3507,$L3466)&amp;" "&amp;INDEX(ポート振替表!$L$5:$L$3507,$L3466)&amp;"  ⇔  "&amp;INDEX(ポート振替表!$H$5:$H$3507,$L3466)&amp;" "&amp;INDEX(ポート振替表!$I$5:$I$3507,$L3466))</f>
        <v/>
      </c>
      <c r="G3466" s="57" t="s">
        <v>158</v>
      </c>
      <c r="H3466" s="32" t="str">
        <f aca="false">IF(L3466="","",INDEX(ポート振替表!$N$5:$N$3507,$L3466)&amp;"")</f>
        <v/>
      </c>
      <c r="I3466" s="32" t="str">
        <f aca="false">IF(L3466="","",INDEX(ポート振替表!$P$5:$P$3507,$L3466)&amp;"")</f>
        <v/>
      </c>
      <c r="J3466" s="60" t="str">
        <f aca="false">IF(L3466="","",INDEX(ポート振替表!$M$5:$M$3507,$L3466)&amp;"")</f>
        <v/>
      </c>
      <c r="K3466" s="52" t="str">
        <f aca="false">IF(L3466="","",E3466&amp;CHAR(10)&amp;INDEX(ポート振替表!$K$5:$K$3507,$L3466)&amp;" "&amp;INDEX(ポート振替表!$L$5:$L$3507,$L3466)&amp;CHAR(10)&amp;"⇔ "&amp;INDEX(ポート振替表!$H$5:$H$3507,$L3466)&amp;" "&amp;INDEX(ポート振替表!$I$5:$I$3507,$L3466))</f>
        <v/>
      </c>
      <c r="L3466" s="47" t="str">
        <f aca="false">IFERROR(MATCH(ROW()-4,ポート振替表!$V$5:$V$3507,0),"")</f>
        <v/>
      </c>
    </row>
    <row r="3467" customFormat="false" ht="16.4" hidden="false" customHeight="false" outlineLevel="0" collapsed="false">
      <c r="A3467" s="32" t="str">
        <f aca="false">IF(L3467="","",ROW()-4)</f>
        <v/>
      </c>
      <c r="B3467" s="58" t="str">
        <f aca="false">IF(L3467="","",IF(INDEX(ポート振替表!$W$5:$W$3507,$L3467)="","(なし)",INDEX(ポート振替表!$W$5:$W$3507,$L3467)&amp;""))</f>
        <v/>
      </c>
      <c r="C3467" s="52" t="str">
        <f aca="false">IF(L3467="","",INDEX(ポート振替表!$B$5:$B$3507,$L3467)&amp;" "&amp;INDEX(ポート振替表!$C$5:$C$3507,$L3467)&amp;"  ⇔  "&amp;INDEX(ポート振替表!$H$5:$H$3507,$L3467)&amp;" "&amp;INDEX(ポート振替表!$I$5:$I$3507,$L3467))</f>
        <v/>
      </c>
      <c r="D3467" s="57" t="s">
        <v>158</v>
      </c>
      <c r="E3467" s="59" t="str">
        <f aca="false">IF(L3467="","",IF(INDEX(ポート振替表!$O$5:$O$3507,$L3467)="","(未設定)",INDEX(ポート振替表!$O$5:$O$3507,$L3467)&amp;""))</f>
        <v/>
      </c>
      <c r="F3467" s="52" t="str">
        <f aca="false">IF(L3467="","",INDEX(ポート振替表!$K$5:$K$3507,$L3467)&amp;" "&amp;INDEX(ポート振替表!$L$5:$L$3507,$L3467)&amp;"  ⇔  "&amp;INDEX(ポート振替表!$H$5:$H$3507,$L3467)&amp;" "&amp;INDEX(ポート振替表!$I$5:$I$3507,$L3467))</f>
        <v/>
      </c>
      <c r="G3467" s="57" t="s">
        <v>158</v>
      </c>
      <c r="H3467" s="32" t="str">
        <f aca="false">IF(L3467="","",INDEX(ポート振替表!$N$5:$N$3507,$L3467)&amp;"")</f>
        <v/>
      </c>
      <c r="I3467" s="32" t="str">
        <f aca="false">IF(L3467="","",INDEX(ポート振替表!$P$5:$P$3507,$L3467)&amp;"")</f>
        <v/>
      </c>
      <c r="J3467" s="60" t="str">
        <f aca="false">IF(L3467="","",INDEX(ポート振替表!$M$5:$M$3507,$L3467)&amp;"")</f>
        <v/>
      </c>
      <c r="K3467" s="52" t="str">
        <f aca="false">IF(L3467="","",E3467&amp;CHAR(10)&amp;INDEX(ポート振替表!$K$5:$K$3507,$L3467)&amp;" "&amp;INDEX(ポート振替表!$L$5:$L$3507,$L3467)&amp;CHAR(10)&amp;"⇔ "&amp;INDEX(ポート振替表!$H$5:$H$3507,$L3467)&amp;" "&amp;INDEX(ポート振替表!$I$5:$I$3507,$L3467))</f>
        <v/>
      </c>
      <c r="L3467" s="47" t="str">
        <f aca="false">IFERROR(MATCH(ROW()-4,ポート振替表!$V$5:$V$3507,0),"")</f>
        <v/>
      </c>
    </row>
    <row r="3468" customFormat="false" ht="16.4" hidden="false" customHeight="false" outlineLevel="0" collapsed="false">
      <c r="A3468" s="32" t="str">
        <f aca="false">IF(L3468="","",ROW()-4)</f>
        <v/>
      </c>
      <c r="B3468" s="58" t="str">
        <f aca="false">IF(L3468="","",IF(INDEX(ポート振替表!$W$5:$W$3507,$L3468)="","(なし)",INDEX(ポート振替表!$W$5:$W$3507,$L3468)&amp;""))</f>
        <v/>
      </c>
      <c r="C3468" s="52" t="str">
        <f aca="false">IF(L3468="","",INDEX(ポート振替表!$B$5:$B$3507,$L3468)&amp;" "&amp;INDEX(ポート振替表!$C$5:$C$3507,$L3468)&amp;"  ⇔  "&amp;INDEX(ポート振替表!$H$5:$H$3507,$L3468)&amp;" "&amp;INDEX(ポート振替表!$I$5:$I$3507,$L3468))</f>
        <v/>
      </c>
      <c r="D3468" s="57" t="s">
        <v>158</v>
      </c>
      <c r="E3468" s="59" t="str">
        <f aca="false">IF(L3468="","",IF(INDEX(ポート振替表!$O$5:$O$3507,$L3468)="","(未設定)",INDEX(ポート振替表!$O$5:$O$3507,$L3468)&amp;""))</f>
        <v/>
      </c>
      <c r="F3468" s="52" t="str">
        <f aca="false">IF(L3468="","",INDEX(ポート振替表!$K$5:$K$3507,$L3468)&amp;" "&amp;INDEX(ポート振替表!$L$5:$L$3507,$L3468)&amp;"  ⇔  "&amp;INDEX(ポート振替表!$H$5:$H$3507,$L3468)&amp;" "&amp;INDEX(ポート振替表!$I$5:$I$3507,$L3468))</f>
        <v/>
      </c>
      <c r="G3468" s="57" t="s">
        <v>158</v>
      </c>
      <c r="H3468" s="32" t="str">
        <f aca="false">IF(L3468="","",INDEX(ポート振替表!$N$5:$N$3507,$L3468)&amp;"")</f>
        <v/>
      </c>
      <c r="I3468" s="32" t="str">
        <f aca="false">IF(L3468="","",INDEX(ポート振替表!$P$5:$P$3507,$L3468)&amp;"")</f>
        <v/>
      </c>
      <c r="J3468" s="60" t="str">
        <f aca="false">IF(L3468="","",INDEX(ポート振替表!$M$5:$M$3507,$L3468)&amp;"")</f>
        <v/>
      </c>
      <c r="K3468" s="52" t="str">
        <f aca="false">IF(L3468="","",E3468&amp;CHAR(10)&amp;INDEX(ポート振替表!$K$5:$K$3507,$L3468)&amp;" "&amp;INDEX(ポート振替表!$L$5:$L$3507,$L3468)&amp;CHAR(10)&amp;"⇔ "&amp;INDEX(ポート振替表!$H$5:$H$3507,$L3468)&amp;" "&amp;INDEX(ポート振替表!$I$5:$I$3507,$L3468))</f>
        <v/>
      </c>
      <c r="L3468" s="47" t="str">
        <f aca="false">IFERROR(MATCH(ROW()-4,ポート振替表!$V$5:$V$3507,0),"")</f>
        <v/>
      </c>
    </row>
    <row r="3469" customFormat="false" ht="16.4" hidden="false" customHeight="false" outlineLevel="0" collapsed="false">
      <c r="A3469" s="32" t="str">
        <f aca="false">IF(L3469="","",ROW()-4)</f>
        <v/>
      </c>
      <c r="B3469" s="58" t="str">
        <f aca="false">IF(L3469="","",IF(INDEX(ポート振替表!$W$5:$W$3507,$L3469)="","(なし)",INDEX(ポート振替表!$W$5:$W$3507,$L3469)&amp;""))</f>
        <v/>
      </c>
      <c r="C3469" s="52" t="str">
        <f aca="false">IF(L3469="","",INDEX(ポート振替表!$B$5:$B$3507,$L3469)&amp;" "&amp;INDEX(ポート振替表!$C$5:$C$3507,$L3469)&amp;"  ⇔  "&amp;INDEX(ポート振替表!$H$5:$H$3507,$L3469)&amp;" "&amp;INDEX(ポート振替表!$I$5:$I$3507,$L3469))</f>
        <v/>
      </c>
      <c r="D3469" s="57" t="s">
        <v>158</v>
      </c>
      <c r="E3469" s="59" t="str">
        <f aca="false">IF(L3469="","",IF(INDEX(ポート振替表!$O$5:$O$3507,$L3469)="","(未設定)",INDEX(ポート振替表!$O$5:$O$3507,$L3469)&amp;""))</f>
        <v/>
      </c>
      <c r="F3469" s="52" t="str">
        <f aca="false">IF(L3469="","",INDEX(ポート振替表!$K$5:$K$3507,$L3469)&amp;" "&amp;INDEX(ポート振替表!$L$5:$L$3507,$L3469)&amp;"  ⇔  "&amp;INDEX(ポート振替表!$H$5:$H$3507,$L3469)&amp;" "&amp;INDEX(ポート振替表!$I$5:$I$3507,$L3469))</f>
        <v/>
      </c>
      <c r="G3469" s="57" t="s">
        <v>158</v>
      </c>
      <c r="H3469" s="32" t="str">
        <f aca="false">IF(L3469="","",INDEX(ポート振替表!$N$5:$N$3507,$L3469)&amp;"")</f>
        <v/>
      </c>
      <c r="I3469" s="32" t="str">
        <f aca="false">IF(L3469="","",INDEX(ポート振替表!$P$5:$P$3507,$L3469)&amp;"")</f>
        <v/>
      </c>
      <c r="J3469" s="60" t="str">
        <f aca="false">IF(L3469="","",INDEX(ポート振替表!$M$5:$M$3507,$L3469)&amp;"")</f>
        <v/>
      </c>
      <c r="K3469" s="52" t="str">
        <f aca="false">IF(L3469="","",E3469&amp;CHAR(10)&amp;INDEX(ポート振替表!$K$5:$K$3507,$L3469)&amp;" "&amp;INDEX(ポート振替表!$L$5:$L$3507,$L3469)&amp;CHAR(10)&amp;"⇔ "&amp;INDEX(ポート振替表!$H$5:$H$3507,$L3469)&amp;" "&amp;INDEX(ポート振替表!$I$5:$I$3507,$L3469))</f>
        <v/>
      </c>
      <c r="L3469" s="47" t="str">
        <f aca="false">IFERROR(MATCH(ROW()-4,ポート振替表!$V$5:$V$3507,0),"")</f>
        <v/>
      </c>
    </row>
    <row r="3470" customFormat="false" ht="16.4" hidden="false" customHeight="false" outlineLevel="0" collapsed="false">
      <c r="A3470" s="32" t="str">
        <f aca="false">IF(L3470="","",ROW()-4)</f>
        <v/>
      </c>
      <c r="B3470" s="58" t="str">
        <f aca="false">IF(L3470="","",IF(INDEX(ポート振替表!$W$5:$W$3507,$L3470)="","(なし)",INDEX(ポート振替表!$W$5:$W$3507,$L3470)&amp;""))</f>
        <v/>
      </c>
      <c r="C3470" s="52" t="str">
        <f aca="false">IF(L3470="","",INDEX(ポート振替表!$B$5:$B$3507,$L3470)&amp;" "&amp;INDEX(ポート振替表!$C$5:$C$3507,$L3470)&amp;"  ⇔  "&amp;INDEX(ポート振替表!$H$5:$H$3507,$L3470)&amp;" "&amp;INDEX(ポート振替表!$I$5:$I$3507,$L3470))</f>
        <v/>
      </c>
      <c r="D3470" s="57" t="s">
        <v>158</v>
      </c>
      <c r="E3470" s="59" t="str">
        <f aca="false">IF(L3470="","",IF(INDEX(ポート振替表!$O$5:$O$3507,$L3470)="","(未設定)",INDEX(ポート振替表!$O$5:$O$3507,$L3470)&amp;""))</f>
        <v/>
      </c>
      <c r="F3470" s="52" t="str">
        <f aca="false">IF(L3470="","",INDEX(ポート振替表!$K$5:$K$3507,$L3470)&amp;" "&amp;INDEX(ポート振替表!$L$5:$L$3507,$L3470)&amp;"  ⇔  "&amp;INDEX(ポート振替表!$H$5:$H$3507,$L3470)&amp;" "&amp;INDEX(ポート振替表!$I$5:$I$3507,$L3470))</f>
        <v/>
      </c>
      <c r="G3470" s="57" t="s">
        <v>158</v>
      </c>
      <c r="H3470" s="32" t="str">
        <f aca="false">IF(L3470="","",INDEX(ポート振替表!$N$5:$N$3507,$L3470)&amp;"")</f>
        <v/>
      </c>
      <c r="I3470" s="32" t="str">
        <f aca="false">IF(L3470="","",INDEX(ポート振替表!$P$5:$P$3507,$L3470)&amp;"")</f>
        <v/>
      </c>
      <c r="J3470" s="60" t="str">
        <f aca="false">IF(L3470="","",INDEX(ポート振替表!$M$5:$M$3507,$L3470)&amp;"")</f>
        <v/>
      </c>
      <c r="K3470" s="52" t="str">
        <f aca="false">IF(L3470="","",E3470&amp;CHAR(10)&amp;INDEX(ポート振替表!$K$5:$K$3507,$L3470)&amp;" "&amp;INDEX(ポート振替表!$L$5:$L$3507,$L3470)&amp;CHAR(10)&amp;"⇔ "&amp;INDEX(ポート振替表!$H$5:$H$3507,$L3470)&amp;" "&amp;INDEX(ポート振替表!$I$5:$I$3507,$L3470))</f>
        <v/>
      </c>
      <c r="L3470" s="47" t="str">
        <f aca="false">IFERROR(MATCH(ROW()-4,ポート振替表!$V$5:$V$3507,0),"")</f>
        <v/>
      </c>
    </row>
    <row r="3471" customFormat="false" ht="16.4" hidden="false" customHeight="false" outlineLevel="0" collapsed="false">
      <c r="A3471" s="32" t="str">
        <f aca="false">IF(L3471="","",ROW()-4)</f>
        <v/>
      </c>
      <c r="B3471" s="58" t="str">
        <f aca="false">IF(L3471="","",IF(INDEX(ポート振替表!$W$5:$W$3507,$L3471)="","(なし)",INDEX(ポート振替表!$W$5:$W$3507,$L3471)&amp;""))</f>
        <v/>
      </c>
      <c r="C3471" s="52" t="str">
        <f aca="false">IF(L3471="","",INDEX(ポート振替表!$B$5:$B$3507,$L3471)&amp;" "&amp;INDEX(ポート振替表!$C$5:$C$3507,$L3471)&amp;"  ⇔  "&amp;INDEX(ポート振替表!$H$5:$H$3507,$L3471)&amp;" "&amp;INDEX(ポート振替表!$I$5:$I$3507,$L3471))</f>
        <v/>
      </c>
      <c r="D3471" s="57" t="s">
        <v>158</v>
      </c>
      <c r="E3471" s="59" t="str">
        <f aca="false">IF(L3471="","",IF(INDEX(ポート振替表!$O$5:$O$3507,$L3471)="","(未設定)",INDEX(ポート振替表!$O$5:$O$3507,$L3471)&amp;""))</f>
        <v/>
      </c>
      <c r="F3471" s="52" t="str">
        <f aca="false">IF(L3471="","",INDEX(ポート振替表!$K$5:$K$3507,$L3471)&amp;" "&amp;INDEX(ポート振替表!$L$5:$L$3507,$L3471)&amp;"  ⇔  "&amp;INDEX(ポート振替表!$H$5:$H$3507,$L3471)&amp;" "&amp;INDEX(ポート振替表!$I$5:$I$3507,$L3471))</f>
        <v/>
      </c>
      <c r="G3471" s="57" t="s">
        <v>158</v>
      </c>
      <c r="H3471" s="32" t="str">
        <f aca="false">IF(L3471="","",INDEX(ポート振替表!$N$5:$N$3507,$L3471)&amp;"")</f>
        <v/>
      </c>
      <c r="I3471" s="32" t="str">
        <f aca="false">IF(L3471="","",INDEX(ポート振替表!$P$5:$P$3507,$L3471)&amp;"")</f>
        <v/>
      </c>
      <c r="J3471" s="60" t="str">
        <f aca="false">IF(L3471="","",INDEX(ポート振替表!$M$5:$M$3507,$L3471)&amp;"")</f>
        <v/>
      </c>
      <c r="K3471" s="52" t="str">
        <f aca="false">IF(L3471="","",E3471&amp;CHAR(10)&amp;INDEX(ポート振替表!$K$5:$K$3507,$L3471)&amp;" "&amp;INDEX(ポート振替表!$L$5:$L$3507,$L3471)&amp;CHAR(10)&amp;"⇔ "&amp;INDEX(ポート振替表!$H$5:$H$3507,$L3471)&amp;" "&amp;INDEX(ポート振替表!$I$5:$I$3507,$L3471))</f>
        <v/>
      </c>
      <c r="L3471" s="47" t="str">
        <f aca="false">IFERROR(MATCH(ROW()-4,ポート振替表!$V$5:$V$3507,0),"")</f>
        <v/>
      </c>
    </row>
    <row r="3472" customFormat="false" ht="16.4" hidden="false" customHeight="false" outlineLevel="0" collapsed="false">
      <c r="A3472" s="32" t="str">
        <f aca="false">IF(L3472="","",ROW()-4)</f>
        <v/>
      </c>
      <c r="B3472" s="58" t="str">
        <f aca="false">IF(L3472="","",IF(INDEX(ポート振替表!$W$5:$W$3507,$L3472)="","(なし)",INDEX(ポート振替表!$W$5:$W$3507,$L3472)&amp;""))</f>
        <v/>
      </c>
      <c r="C3472" s="52" t="str">
        <f aca="false">IF(L3472="","",INDEX(ポート振替表!$B$5:$B$3507,$L3472)&amp;" "&amp;INDEX(ポート振替表!$C$5:$C$3507,$L3472)&amp;"  ⇔  "&amp;INDEX(ポート振替表!$H$5:$H$3507,$L3472)&amp;" "&amp;INDEX(ポート振替表!$I$5:$I$3507,$L3472))</f>
        <v/>
      </c>
      <c r="D3472" s="57" t="s">
        <v>158</v>
      </c>
      <c r="E3472" s="59" t="str">
        <f aca="false">IF(L3472="","",IF(INDEX(ポート振替表!$O$5:$O$3507,$L3472)="","(未設定)",INDEX(ポート振替表!$O$5:$O$3507,$L3472)&amp;""))</f>
        <v/>
      </c>
      <c r="F3472" s="52" t="str">
        <f aca="false">IF(L3472="","",INDEX(ポート振替表!$K$5:$K$3507,$L3472)&amp;" "&amp;INDEX(ポート振替表!$L$5:$L$3507,$L3472)&amp;"  ⇔  "&amp;INDEX(ポート振替表!$H$5:$H$3507,$L3472)&amp;" "&amp;INDEX(ポート振替表!$I$5:$I$3507,$L3472))</f>
        <v/>
      </c>
      <c r="G3472" s="57" t="s">
        <v>158</v>
      </c>
      <c r="H3472" s="32" t="str">
        <f aca="false">IF(L3472="","",INDEX(ポート振替表!$N$5:$N$3507,$L3472)&amp;"")</f>
        <v/>
      </c>
      <c r="I3472" s="32" t="str">
        <f aca="false">IF(L3472="","",INDEX(ポート振替表!$P$5:$P$3507,$L3472)&amp;"")</f>
        <v/>
      </c>
      <c r="J3472" s="60" t="str">
        <f aca="false">IF(L3472="","",INDEX(ポート振替表!$M$5:$M$3507,$L3472)&amp;"")</f>
        <v/>
      </c>
      <c r="K3472" s="52" t="str">
        <f aca="false">IF(L3472="","",E3472&amp;CHAR(10)&amp;INDEX(ポート振替表!$K$5:$K$3507,$L3472)&amp;" "&amp;INDEX(ポート振替表!$L$5:$L$3507,$L3472)&amp;CHAR(10)&amp;"⇔ "&amp;INDEX(ポート振替表!$H$5:$H$3507,$L3472)&amp;" "&amp;INDEX(ポート振替表!$I$5:$I$3507,$L3472))</f>
        <v/>
      </c>
      <c r="L3472" s="47" t="str">
        <f aca="false">IFERROR(MATCH(ROW()-4,ポート振替表!$V$5:$V$3507,0),"")</f>
        <v/>
      </c>
    </row>
    <row r="3473" customFormat="false" ht="16.4" hidden="false" customHeight="false" outlineLevel="0" collapsed="false">
      <c r="A3473" s="32" t="str">
        <f aca="false">IF(L3473="","",ROW()-4)</f>
        <v/>
      </c>
      <c r="B3473" s="58" t="str">
        <f aca="false">IF(L3473="","",IF(INDEX(ポート振替表!$W$5:$W$3507,$L3473)="","(なし)",INDEX(ポート振替表!$W$5:$W$3507,$L3473)&amp;""))</f>
        <v/>
      </c>
      <c r="C3473" s="52" t="str">
        <f aca="false">IF(L3473="","",INDEX(ポート振替表!$B$5:$B$3507,$L3473)&amp;" "&amp;INDEX(ポート振替表!$C$5:$C$3507,$L3473)&amp;"  ⇔  "&amp;INDEX(ポート振替表!$H$5:$H$3507,$L3473)&amp;" "&amp;INDEX(ポート振替表!$I$5:$I$3507,$L3473))</f>
        <v/>
      </c>
      <c r="D3473" s="57" t="s">
        <v>158</v>
      </c>
      <c r="E3473" s="59" t="str">
        <f aca="false">IF(L3473="","",IF(INDEX(ポート振替表!$O$5:$O$3507,$L3473)="","(未設定)",INDEX(ポート振替表!$O$5:$O$3507,$L3473)&amp;""))</f>
        <v/>
      </c>
      <c r="F3473" s="52" t="str">
        <f aca="false">IF(L3473="","",INDEX(ポート振替表!$K$5:$K$3507,$L3473)&amp;" "&amp;INDEX(ポート振替表!$L$5:$L$3507,$L3473)&amp;"  ⇔  "&amp;INDEX(ポート振替表!$H$5:$H$3507,$L3473)&amp;" "&amp;INDEX(ポート振替表!$I$5:$I$3507,$L3473))</f>
        <v/>
      </c>
      <c r="G3473" s="57" t="s">
        <v>158</v>
      </c>
      <c r="H3473" s="32" t="str">
        <f aca="false">IF(L3473="","",INDEX(ポート振替表!$N$5:$N$3507,$L3473)&amp;"")</f>
        <v/>
      </c>
      <c r="I3473" s="32" t="str">
        <f aca="false">IF(L3473="","",INDEX(ポート振替表!$P$5:$P$3507,$L3473)&amp;"")</f>
        <v/>
      </c>
      <c r="J3473" s="60" t="str">
        <f aca="false">IF(L3473="","",INDEX(ポート振替表!$M$5:$M$3507,$L3473)&amp;"")</f>
        <v/>
      </c>
      <c r="K3473" s="52" t="str">
        <f aca="false">IF(L3473="","",E3473&amp;CHAR(10)&amp;INDEX(ポート振替表!$K$5:$K$3507,$L3473)&amp;" "&amp;INDEX(ポート振替表!$L$5:$L$3507,$L3473)&amp;CHAR(10)&amp;"⇔ "&amp;INDEX(ポート振替表!$H$5:$H$3507,$L3473)&amp;" "&amp;INDEX(ポート振替表!$I$5:$I$3507,$L3473))</f>
        <v/>
      </c>
      <c r="L3473" s="47" t="str">
        <f aca="false">IFERROR(MATCH(ROW()-4,ポート振替表!$V$5:$V$3507,0),"")</f>
        <v/>
      </c>
    </row>
    <row r="3474" customFormat="false" ht="16.4" hidden="false" customHeight="false" outlineLevel="0" collapsed="false">
      <c r="A3474" s="32" t="str">
        <f aca="false">IF(L3474="","",ROW()-4)</f>
        <v/>
      </c>
      <c r="B3474" s="58" t="str">
        <f aca="false">IF(L3474="","",IF(INDEX(ポート振替表!$W$5:$W$3507,$L3474)="","(なし)",INDEX(ポート振替表!$W$5:$W$3507,$L3474)&amp;""))</f>
        <v/>
      </c>
      <c r="C3474" s="52" t="str">
        <f aca="false">IF(L3474="","",INDEX(ポート振替表!$B$5:$B$3507,$L3474)&amp;" "&amp;INDEX(ポート振替表!$C$5:$C$3507,$L3474)&amp;"  ⇔  "&amp;INDEX(ポート振替表!$H$5:$H$3507,$L3474)&amp;" "&amp;INDEX(ポート振替表!$I$5:$I$3507,$L3474))</f>
        <v/>
      </c>
      <c r="D3474" s="57" t="s">
        <v>158</v>
      </c>
      <c r="E3474" s="59" t="str">
        <f aca="false">IF(L3474="","",IF(INDEX(ポート振替表!$O$5:$O$3507,$L3474)="","(未設定)",INDEX(ポート振替表!$O$5:$O$3507,$L3474)&amp;""))</f>
        <v/>
      </c>
      <c r="F3474" s="52" t="str">
        <f aca="false">IF(L3474="","",INDEX(ポート振替表!$K$5:$K$3507,$L3474)&amp;" "&amp;INDEX(ポート振替表!$L$5:$L$3507,$L3474)&amp;"  ⇔  "&amp;INDEX(ポート振替表!$H$5:$H$3507,$L3474)&amp;" "&amp;INDEX(ポート振替表!$I$5:$I$3507,$L3474))</f>
        <v/>
      </c>
      <c r="G3474" s="57" t="s">
        <v>158</v>
      </c>
      <c r="H3474" s="32" t="str">
        <f aca="false">IF(L3474="","",INDEX(ポート振替表!$N$5:$N$3507,$L3474)&amp;"")</f>
        <v/>
      </c>
      <c r="I3474" s="32" t="str">
        <f aca="false">IF(L3474="","",INDEX(ポート振替表!$P$5:$P$3507,$L3474)&amp;"")</f>
        <v/>
      </c>
      <c r="J3474" s="60" t="str">
        <f aca="false">IF(L3474="","",INDEX(ポート振替表!$M$5:$M$3507,$L3474)&amp;"")</f>
        <v/>
      </c>
      <c r="K3474" s="52" t="str">
        <f aca="false">IF(L3474="","",E3474&amp;CHAR(10)&amp;INDEX(ポート振替表!$K$5:$K$3507,$L3474)&amp;" "&amp;INDEX(ポート振替表!$L$5:$L$3507,$L3474)&amp;CHAR(10)&amp;"⇔ "&amp;INDEX(ポート振替表!$H$5:$H$3507,$L3474)&amp;" "&amp;INDEX(ポート振替表!$I$5:$I$3507,$L3474))</f>
        <v/>
      </c>
      <c r="L3474" s="47" t="str">
        <f aca="false">IFERROR(MATCH(ROW()-4,ポート振替表!$V$5:$V$3507,0),"")</f>
        <v/>
      </c>
    </row>
    <row r="3475" customFormat="false" ht="16.4" hidden="false" customHeight="false" outlineLevel="0" collapsed="false">
      <c r="A3475" s="32" t="str">
        <f aca="false">IF(L3475="","",ROW()-4)</f>
        <v/>
      </c>
      <c r="B3475" s="58" t="str">
        <f aca="false">IF(L3475="","",IF(INDEX(ポート振替表!$W$5:$W$3507,$L3475)="","(なし)",INDEX(ポート振替表!$W$5:$W$3507,$L3475)&amp;""))</f>
        <v/>
      </c>
      <c r="C3475" s="52" t="str">
        <f aca="false">IF(L3475="","",INDEX(ポート振替表!$B$5:$B$3507,$L3475)&amp;" "&amp;INDEX(ポート振替表!$C$5:$C$3507,$L3475)&amp;"  ⇔  "&amp;INDEX(ポート振替表!$H$5:$H$3507,$L3475)&amp;" "&amp;INDEX(ポート振替表!$I$5:$I$3507,$L3475))</f>
        <v/>
      </c>
      <c r="D3475" s="57" t="s">
        <v>158</v>
      </c>
      <c r="E3475" s="59" t="str">
        <f aca="false">IF(L3475="","",IF(INDEX(ポート振替表!$O$5:$O$3507,$L3475)="","(未設定)",INDEX(ポート振替表!$O$5:$O$3507,$L3475)&amp;""))</f>
        <v/>
      </c>
      <c r="F3475" s="52" t="str">
        <f aca="false">IF(L3475="","",INDEX(ポート振替表!$K$5:$K$3507,$L3475)&amp;" "&amp;INDEX(ポート振替表!$L$5:$L$3507,$L3475)&amp;"  ⇔  "&amp;INDEX(ポート振替表!$H$5:$H$3507,$L3475)&amp;" "&amp;INDEX(ポート振替表!$I$5:$I$3507,$L3475))</f>
        <v/>
      </c>
      <c r="G3475" s="57" t="s">
        <v>158</v>
      </c>
      <c r="H3475" s="32" t="str">
        <f aca="false">IF(L3475="","",INDEX(ポート振替表!$N$5:$N$3507,$L3475)&amp;"")</f>
        <v/>
      </c>
      <c r="I3475" s="32" t="str">
        <f aca="false">IF(L3475="","",INDEX(ポート振替表!$P$5:$P$3507,$L3475)&amp;"")</f>
        <v/>
      </c>
      <c r="J3475" s="60" t="str">
        <f aca="false">IF(L3475="","",INDEX(ポート振替表!$M$5:$M$3507,$L3475)&amp;"")</f>
        <v/>
      </c>
      <c r="K3475" s="52" t="str">
        <f aca="false">IF(L3475="","",E3475&amp;CHAR(10)&amp;INDEX(ポート振替表!$K$5:$K$3507,$L3475)&amp;" "&amp;INDEX(ポート振替表!$L$5:$L$3507,$L3475)&amp;CHAR(10)&amp;"⇔ "&amp;INDEX(ポート振替表!$H$5:$H$3507,$L3475)&amp;" "&amp;INDEX(ポート振替表!$I$5:$I$3507,$L3475))</f>
        <v/>
      </c>
      <c r="L3475" s="47" t="str">
        <f aca="false">IFERROR(MATCH(ROW()-4,ポート振替表!$V$5:$V$3507,0),"")</f>
        <v/>
      </c>
    </row>
    <row r="3476" customFormat="false" ht="16.4" hidden="false" customHeight="false" outlineLevel="0" collapsed="false">
      <c r="A3476" s="32" t="str">
        <f aca="false">IF(L3476="","",ROW()-4)</f>
        <v/>
      </c>
      <c r="B3476" s="58" t="str">
        <f aca="false">IF(L3476="","",IF(INDEX(ポート振替表!$W$5:$W$3507,$L3476)="","(なし)",INDEX(ポート振替表!$W$5:$W$3507,$L3476)&amp;""))</f>
        <v/>
      </c>
      <c r="C3476" s="52" t="str">
        <f aca="false">IF(L3476="","",INDEX(ポート振替表!$B$5:$B$3507,$L3476)&amp;" "&amp;INDEX(ポート振替表!$C$5:$C$3507,$L3476)&amp;"  ⇔  "&amp;INDEX(ポート振替表!$H$5:$H$3507,$L3476)&amp;" "&amp;INDEX(ポート振替表!$I$5:$I$3507,$L3476))</f>
        <v/>
      </c>
      <c r="D3476" s="57" t="s">
        <v>158</v>
      </c>
      <c r="E3476" s="59" t="str">
        <f aca="false">IF(L3476="","",IF(INDEX(ポート振替表!$O$5:$O$3507,$L3476)="","(未設定)",INDEX(ポート振替表!$O$5:$O$3507,$L3476)&amp;""))</f>
        <v/>
      </c>
      <c r="F3476" s="52" t="str">
        <f aca="false">IF(L3476="","",INDEX(ポート振替表!$K$5:$K$3507,$L3476)&amp;" "&amp;INDEX(ポート振替表!$L$5:$L$3507,$L3476)&amp;"  ⇔  "&amp;INDEX(ポート振替表!$H$5:$H$3507,$L3476)&amp;" "&amp;INDEX(ポート振替表!$I$5:$I$3507,$L3476))</f>
        <v/>
      </c>
      <c r="G3476" s="57" t="s">
        <v>158</v>
      </c>
      <c r="H3476" s="32" t="str">
        <f aca="false">IF(L3476="","",INDEX(ポート振替表!$N$5:$N$3507,$L3476)&amp;"")</f>
        <v/>
      </c>
      <c r="I3476" s="32" t="str">
        <f aca="false">IF(L3476="","",INDEX(ポート振替表!$P$5:$P$3507,$L3476)&amp;"")</f>
        <v/>
      </c>
      <c r="J3476" s="60" t="str">
        <f aca="false">IF(L3476="","",INDEX(ポート振替表!$M$5:$M$3507,$L3476)&amp;"")</f>
        <v/>
      </c>
      <c r="K3476" s="52" t="str">
        <f aca="false">IF(L3476="","",E3476&amp;CHAR(10)&amp;INDEX(ポート振替表!$K$5:$K$3507,$L3476)&amp;" "&amp;INDEX(ポート振替表!$L$5:$L$3507,$L3476)&amp;CHAR(10)&amp;"⇔ "&amp;INDEX(ポート振替表!$H$5:$H$3507,$L3476)&amp;" "&amp;INDEX(ポート振替表!$I$5:$I$3507,$L3476))</f>
        <v/>
      </c>
      <c r="L3476" s="47" t="str">
        <f aca="false">IFERROR(MATCH(ROW()-4,ポート振替表!$V$5:$V$3507,0),"")</f>
        <v/>
      </c>
    </row>
    <row r="3477" customFormat="false" ht="16.4" hidden="false" customHeight="false" outlineLevel="0" collapsed="false">
      <c r="A3477" s="32" t="str">
        <f aca="false">IF(L3477="","",ROW()-4)</f>
        <v/>
      </c>
      <c r="B3477" s="58" t="str">
        <f aca="false">IF(L3477="","",IF(INDEX(ポート振替表!$W$5:$W$3507,$L3477)="","(なし)",INDEX(ポート振替表!$W$5:$W$3507,$L3477)&amp;""))</f>
        <v/>
      </c>
      <c r="C3477" s="52" t="str">
        <f aca="false">IF(L3477="","",INDEX(ポート振替表!$B$5:$B$3507,$L3477)&amp;" "&amp;INDEX(ポート振替表!$C$5:$C$3507,$L3477)&amp;"  ⇔  "&amp;INDEX(ポート振替表!$H$5:$H$3507,$L3477)&amp;" "&amp;INDEX(ポート振替表!$I$5:$I$3507,$L3477))</f>
        <v/>
      </c>
      <c r="D3477" s="57" t="s">
        <v>158</v>
      </c>
      <c r="E3477" s="59" t="str">
        <f aca="false">IF(L3477="","",IF(INDEX(ポート振替表!$O$5:$O$3507,$L3477)="","(未設定)",INDEX(ポート振替表!$O$5:$O$3507,$L3477)&amp;""))</f>
        <v/>
      </c>
      <c r="F3477" s="52" t="str">
        <f aca="false">IF(L3477="","",INDEX(ポート振替表!$K$5:$K$3507,$L3477)&amp;" "&amp;INDEX(ポート振替表!$L$5:$L$3507,$L3477)&amp;"  ⇔  "&amp;INDEX(ポート振替表!$H$5:$H$3507,$L3477)&amp;" "&amp;INDEX(ポート振替表!$I$5:$I$3507,$L3477))</f>
        <v/>
      </c>
      <c r="G3477" s="57" t="s">
        <v>158</v>
      </c>
      <c r="H3477" s="32" t="str">
        <f aca="false">IF(L3477="","",INDEX(ポート振替表!$N$5:$N$3507,$L3477)&amp;"")</f>
        <v/>
      </c>
      <c r="I3477" s="32" t="str">
        <f aca="false">IF(L3477="","",INDEX(ポート振替表!$P$5:$P$3507,$L3477)&amp;"")</f>
        <v/>
      </c>
      <c r="J3477" s="60" t="str">
        <f aca="false">IF(L3477="","",INDEX(ポート振替表!$M$5:$M$3507,$L3477)&amp;"")</f>
        <v/>
      </c>
      <c r="K3477" s="52" t="str">
        <f aca="false">IF(L3477="","",E3477&amp;CHAR(10)&amp;INDEX(ポート振替表!$K$5:$K$3507,$L3477)&amp;" "&amp;INDEX(ポート振替表!$L$5:$L$3507,$L3477)&amp;CHAR(10)&amp;"⇔ "&amp;INDEX(ポート振替表!$H$5:$H$3507,$L3477)&amp;" "&amp;INDEX(ポート振替表!$I$5:$I$3507,$L3477))</f>
        <v/>
      </c>
      <c r="L3477" s="47" t="str">
        <f aca="false">IFERROR(MATCH(ROW()-4,ポート振替表!$V$5:$V$3507,0),"")</f>
        <v/>
      </c>
    </row>
    <row r="3478" customFormat="false" ht="16.4" hidden="false" customHeight="false" outlineLevel="0" collapsed="false">
      <c r="A3478" s="32" t="str">
        <f aca="false">IF(L3478="","",ROW()-4)</f>
        <v/>
      </c>
      <c r="B3478" s="58" t="str">
        <f aca="false">IF(L3478="","",IF(INDEX(ポート振替表!$W$5:$W$3507,$L3478)="","(なし)",INDEX(ポート振替表!$W$5:$W$3507,$L3478)&amp;""))</f>
        <v/>
      </c>
      <c r="C3478" s="52" t="str">
        <f aca="false">IF(L3478="","",INDEX(ポート振替表!$B$5:$B$3507,$L3478)&amp;" "&amp;INDEX(ポート振替表!$C$5:$C$3507,$L3478)&amp;"  ⇔  "&amp;INDEX(ポート振替表!$H$5:$H$3507,$L3478)&amp;" "&amp;INDEX(ポート振替表!$I$5:$I$3507,$L3478))</f>
        <v/>
      </c>
      <c r="D3478" s="57" t="s">
        <v>158</v>
      </c>
      <c r="E3478" s="59" t="str">
        <f aca="false">IF(L3478="","",IF(INDEX(ポート振替表!$O$5:$O$3507,$L3478)="","(未設定)",INDEX(ポート振替表!$O$5:$O$3507,$L3478)&amp;""))</f>
        <v/>
      </c>
      <c r="F3478" s="52" t="str">
        <f aca="false">IF(L3478="","",INDEX(ポート振替表!$K$5:$K$3507,$L3478)&amp;" "&amp;INDEX(ポート振替表!$L$5:$L$3507,$L3478)&amp;"  ⇔  "&amp;INDEX(ポート振替表!$H$5:$H$3507,$L3478)&amp;" "&amp;INDEX(ポート振替表!$I$5:$I$3507,$L3478))</f>
        <v/>
      </c>
      <c r="G3478" s="57" t="s">
        <v>158</v>
      </c>
      <c r="H3478" s="32" t="str">
        <f aca="false">IF(L3478="","",INDEX(ポート振替表!$N$5:$N$3507,$L3478)&amp;"")</f>
        <v/>
      </c>
      <c r="I3478" s="32" t="str">
        <f aca="false">IF(L3478="","",INDEX(ポート振替表!$P$5:$P$3507,$L3478)&amp;"")</f>
        <v/>
      </c>
      <c r="J3478" s="60" t="str">
        <f aca="false">IF(L3478="","",INDEX(ポート振替表!$M$5:$M$3507,$L3478)&amp;"")</f>
        <v/>
      </c>
      <c r="K3478" s="52" t="str">
        <f aca="false">IF(L3478="","",E3478&amp;CHAR(10)&amp;INDEX(ポート振替表!$K$5:$K$3507,$L3478)&amp;" "&amp;INDEX(ポート振替表!$L$5:$L$3507,$L3478)&amp;CHAR(10)&amp;"⇔ "&amp;INDEX(ポート振替表!$H$5:$H$3507,$L3478)&amp;" "&amp;INDEX(ポート振替表!$I$5:$I$3507,$L3478))</f>
        <v/>
      </c>
      <c r="L3478" s="47" t="str">
        <f aca="false">IFERROR(MATCH(ROW()-4,ポート振替表!$V$5:$V$3507,0),"")</f>
        <v/>
      </c>
    </row>
    <row r="3479" customFormat="false" ht="16.4" hidden="false" customHeight="false" outlineLevel="0" collapsed="false">
      <c r="A3479" s="32" t="str">
        <f aca="false">IF(L3479="","",ROW()-4)</f>
        <v/>
      </c>
      <c r="B3479" s="58" t="str">
        <f aca="false">IF(L3479="","",IF(INDEX(ポート振替表!$W$5:$W$3507,$L3479)="","(なし)",INDEX(ポート振替表!$W$5:$W$3507,$L3479)&amp;""))</f>
        <v/>
      </c>
      <c r="C3479" s="52" t="str">
        <f aca="false">IF(L3479="","",INDEX(ポート振替表!$B$5:$B$3507,$L3479)&amp;" "&amp;INDEX(ポート振替表!$C$5:$C$3507,$L3479)&amp;"  ⇔  "&amp;INDEX(ポート振替表!$H$5:$H$3507,$L3479)&amp;" "&amp;INDEX(ポート振替表!$I$5:$I$3507,$L3479))</f>
        <v/>
      </c>
      <c r="D3479" s="57" t="s">
        <v>158</v>
      </c>
      <c r="E3479" s="59" t="str">
        <f aca="false">IF(L3479="","",IF(INDEX(ポート振替表!$O$5:$O$3507,$L3479)="","(未設定)",INDEX(ポート振替表!$O$5:$O$3507,$L3479)&amp;""))</f>
        <v/>
      </c>
      <c r="F3479" s="52" t="str">
        <f aca="false">IF(L3479="","",INDEX(ポート振替表!$K$5:$K$3507,$L3479)&amp;" "&amp;INDEX(ポート振替表!$L$5:$L$3507,$L3479)&amp;"  ⇔  "&amp;INDEX(ポート振替表!$H$5:$H$3507,$L3479)&amp;" "&amp;INDEX(ポート振替表!$I$5:$I$3507,$L3479))</f>
        <v/>
      </c>
      <c r="G3479" s="57" t="s">
        <v>158</v>
      </c>
      <c r="H3479" s="32" t="str">
        <f aca="false">IF(L3479="","",INDEX(ポート振替表!$N$5:$N$3507,$L3479)&amp;"")</f>
        <v/>
      </c>
      <c r="I3479" s="32" t="str">
        <f aca="false">IF(L3479="","",INDEX(ポート振替表!$P$5:$P$3507,$L3479)&amp;"")</f>
        <v/>
      </c>
      <c r="J3479" s="60" t="str">
        <f aca="false">IF(L3479="","",INDEX(ポート振替表!$M$5:$M$3507,$L3479)&amp;"")</f>
        <v/>
      </c>
      <c r="K3479" s="52" t="str">
        <f aca="false">IF(L3479="","",E3479&amp;CHAR(10)&amp;INDEX(ポート振替表!$K$5:$K$3507,$L3479)&amp;" "&amp;INDEX(ポート振替表!$L$5:$L$3507,$L3479)&amp;CHAR(10)&amp;"⇔ "&amp;INDEX(ポート振替表!$H$5:$H$3507,$L3479)&amp;" "&amp;INDEX(ポート振替表!$I$5:$I$3507,$L3479))</f>
        <v/>
      </c>
      <c r="L3479" s="47" t="str">
        <f aca="false">IFERROR(MATCH(ROW()-4,ポート振替表!$V$5:$V$3507,0),"")</f>
        <v/>
      </c>
    </row>
    <row r="3480" customFormat="false" ht="16.4" hidden="false" customHeight="false" outlineLevel="0" collapsed="false">
      <c r="A3480" s="32" t="str">
        <f aca="false">IF(L3480="","",ROW()-4)</f>
        <v/>
      </c>
      <c r="B3480" s="58" t="str">
        <f aca="false">IF(L3480="","",IF(INDEX(ポート振替表!$W$5:$W$3507,$L3480)="","(なし)",INDEX(ポート振替表!$W$5:$W$3507,$L3480)&amp;""))</f>
        <v/>
      </c>
      <c r="C3480" s="52" t="str">
        <f aca="false">IF(L3480="","",INDEX(ポート振替表!$B$5:$B$3507,$L3480)&amp;" "&amp;INDEX(ポート振替表!$C$5:$C$3507,$L3480)&amp;"  ⇔  "&amp;INDEX(ポート振替表!$H$5:$H$3507,$L3480)&amp;" "&amp;INDEX(ポート振替表!$I$5:$I$3507,$L3480))</f>
        <v/>
      </c>
      <c r="D3480" s="57" t="s">
        <v>158</v>
      </c>
      <c r="E3480" s="59" t="str">
        <f aca="false">IF(L3480="","",IF(INDEX(ポート振替表!$O$5:$O$3507,$L3480)="","(未設定)",INDEX(ポート振替表!$O$5:$O$3507,$L3480)&amp;""))</f>
        <v/>
      </c>
      <c r="F3480" s="52" t="str">
        <f aca="false">IF(L3480="","",INDEX(ポート振替表!$K$5:$K$3507,$L3480)&amp;" "&amp;INDEX(ポート振替表!$L$5:$L$3507,$L3480)&amp;"  ⇔  "&amp;INDEX(ポート振替表!$H$5:$H$3507,$L3480)&amp;" "&amp;INDEX(ポート振替表!$I$5:$I$3507,$L3480))</f>
        <v/>
      </c>
      <c r="G3480" s="57" t="s">
        <v>158</v>
      </c>
      <c r="H3480" s="32" t="str">
        <f aca="false">IF(L3480="","",INDEX(ポート振替表!$N$5:$N$3507,$L3480)&amp;"")</f>
        <v/>
      </c>
      <c r="I3480" s="32" t="str">
        <f aca="false">IF(L3480="","",INDEX(ポート振替表!$P$5:$P$3507,$L3480)&amp;"")</f>
        <v/>
      </c>
      <c r="J3480" s="60" t="str">
        <f aca="false">IF(L3480="","",INDEX(ポート振替表!$M$5:$M$3507,$L3480)&amp;"")</f>
        <v/>
      </c>
      <c r="K3480" s="52" t="str">
        <f aca="false">IF(L3480="","",E3480&amp;CHAR(10)&amp;INDEX(ポート振替表!$K$5:$K$3507,$L3480)&amp;" "&amp;INDEX(ポート振替表!$L$5:$L$3507,$L3480)&amp;CHAR(10)&amp;"⇔ "&amp;INDEX(ポート振替表!$H$5:$H$3507,$L3480)&amp;" "&amp;INDEX(ポート振替表!$I$5:$I$3507,$L3480))</f>
        <v/>
      </c>
      <c r="L3480" s="47" t="str">
        <f aca="false">IFERROR(MATCH(ROW()-4,ポート振替表!$V$5:$V$3507,0),"")</f>
        <v/>
      </c>
    </row>
    <row r="3481" customFormat="false" ht="16.4" hidden="false" customHeight="false" outlineLevel="0" collapsed="false">
      <c r="A3481" s="32" t="str">
        <f aca="false">IF(L3481="","",ROW()-4)</f>
        <v/>
      </c>
      <c r="B3481" s="58" t="str">
        <f aca="false">IF(L3481="","",IF(INDEX(ポート振替表!$W$5:$W$3507,$L3481)="","(なし)",INDEX(ポート振替表!$W$5:$W$3507,$L3481)&amp;""))</f>
        <v/>
      </c>
      <c r="C3481" s="52" t="str">
        <f aca="false">IF(L3481="","",INDEX(ポート振替表!$B$5:$B$3507,$L3481)&amp;" "&amp;INDEX(ポート振替表!$C$5:$C$3507,$L3481)&amp;"  ⇔  "&amp;INDEX(ポート振替表!$H$5:$H$3507,$L3481)&amp;" "&amp;INDEX(ポート振替表!$I$5:$I$3507,$L3481))</f>
        <v/>
      </c>
      <c r="D3481" s="57" t="s">
        <v>158</v>
      </c>
      <c r="E3481" s="59" t="str">
        <f aca="false">IF(L3481="","",IF(INDEX(ポート振替表!$O$5:$O$3507,$L3481)="","(未設定)",INDEX(ポート振替表!$O$5:$O$3507,$L3481)&amp;""))</f>
        <v/>
      </c>
      <c r="F3481" s="52" t="str">
        <f aca="false">IF(L3481="","",INDEX(ポート振替表!$K$5:$K$3507,$L3481)&amp;" "&amp;INDEX(ポート振替表!$L$5:$L$3507,$L3481)&amp;"  ⇔  "&amp;INDEX(ポート振替表!$H$5:$H$3507,$L3481)&amp;" "&amp;INDEX(ポート振替表!$I$5:$I$3507,$L3481))</f>
        <v/>
      </c>
      <c r="G3481" s="57" t="s">
        <v>158</v>
      </c>
      <c r="H3481" s="32" t="str">
        <f aca="false">IF(L3481="","",INDEX(ポート振替表!$N$5:$N$3507,$L3481)&amp;"")</f>
        <v/>
      </c>
      <c r="I3481" s="32" t="str">
        <f aca="false">IF(L3481="","",INDEX(ポート振替表!$P$5:$P$3507,$L3481)&amp;"")</f>
        <v/>
      </c>
      <c r="J3481" s="60" t="str">
        <f aca="false">IF(L3481="","",INDEX(ポート振替表!$M$5:$M$3507,$L3481)&amp;"")</f>
        <v/>
      </c>
      <c r="K3481" s="52" t="str">
        <f aca="false">IF(L3481="","",E3481&amp;CHAR(10)&amp;INDEX(ポート振替表!$K$5:$K$3507,$L3481)&amp;" "&amp;INDEX(ポート振替表!$L$5:$L$3507,$L3481)&amp;CHAR(10)&amp;"⇔ "&amp;INDEX(ポート振替表!$H$5:$H$3507,$L3481)&amp;" "&amp;INDEX(ポート振替表!$I$5:$I$3507,$L3481))</f>
        <v/>
      </c>
      <c r="L3481" s="47" t="str">
        <f aca="false">IFERROR(MATCH(ROW()-4,ポート振替表!$V$5:$V$3507,0),"")</f>
        <v/>
      </c>
    </row>
    <row r="3482" customFormat="false" ht="16.4" hidden="false" customHeight="false" outlineLevel="0" collapsed="false">
      <c r="A3482" s="32" t="str">
        <f aca="false">IF(L3482="","",ROW()-4)</f>
        <v/>
      </c>
      <c r="B3482" s="58" t="str">
        <f aca="false">IF(L3482="","",IF(INDEX(ポート振替表!$W$5:$W$3507,$L3482)="","(なし)",INDEX(ポート振替表!$W$5:$W$3507,$L3482)&amp;""))</f>
        <v/>
      </c>
      <c r="C3482" s="52" t="str">
        <f aca="false">IF(L3482="","",INDEX(ポート振替表!$B$5:$B$3507,$L3482)&amp;" "&amp;INDEX(ポート振替表!$C$5:$C$3507,$L3482)&amp;"  ⇔  "&amp;INDEX(ポート振替表!$H$5:$H$3507,$L3482)&amp;" "&amp;INDEX(ポート振替表!$I$5:$I$3507,$L3482))</f>
        <v/>
      </c>
      <c r="D3482" s="57" t="s">
        <v>158</v>
      </c>
      <c r="E3482" s="59" t="str">
        <f aca="false">IF(L3482="","",IF(INDEX(ポート振替表!$O$5:$O$3507,$L3482)="","(未設定)",INDEX(ポート振替表!$O$5:$O$3507,$L3482)&amp;""))</f>
        <v/>
      </c>
      <c r="F3482" s="52" t="str">
        <f aca="false">IF(L3482="","",INDEX(ポート振替表!$K$5:$K$3507,$L3482)&amp;" "&amp;INDEX(ポート振替表!$L$5:$L$3507,$L3482)&amp;"  ⇔  "&amp;INDEX(ポート振替表!$H$5:$H$3507,$L3482)&amp;" "&amp;INDEX(ポート振替表!$I$5:$I$3507,$L3482))</f>
        <v/>
      </c>
      <c r="G3482" s="57" t="s">
        <v>158</v>
      </c>
      <c r="H3482" s="32" t="str">
        <f aca="false">IF(L3482="","",INDEX(ポート振替表!$N$5:$N$3507,$L3482)&amp;"")</f>
        <v/>
      </c>
      <c r="I3482" s="32" t="str">
        <f aca="false">IF(L3482="","",INDEX(ポート振替表!$P$5:$P$3507,$L3482)&amp;"")</f>
        <v/>
      </c>
      <c r="J3482" s="60" t="str">
        <f aca="false">IF(L3482="","",INDEX(ポート振替表!$M$5:$M$3507,$L3482)&amp;"")</f>
        <v/>
      </c>
      <c r="K3482" s="52" t="str">
        <f aca="false">IF(L3482="","",E3482&amp;CHAR(10)&amp;INDEX(ポート振替表!$K$5:$K$3507,$L3482)&amp;" "&amp;INDEX(ポート振替表!$L$5:$L$3507,$L3482)&amp;CHAR(10)&amp;"⇔ "&amp;INDEX(ポート振替表!$H$5:$H$3507,$L3482)&amp;" "&amp;INDEX(ポート振替表!$I$5:$I$3507,$L3482))</f>
        <v/>
      </c>
      <c r="L3482" s="47" t="str">
        <f aca="false">IFERROR(MATCH(ROW()-4,ポート振替表!$V$5:$V$3507,0),"")</f>
        <v/>
      </c>
    </row>
    <row r="3483" customFormat="false" ht="16.4" hidden="false" customHeight="false" outlineLevel="0" collapsed="false">
      <c r="A3483" s="32" t="str">
        <f aca="false">IF(L3483="","",ROW()-4)</f>
        <v/>
      </c>
      <c r="B3483" s="58" t="str">
        <f aca="false">IF(L3483="","",IF(INDEX(ポート振替表!$W$5:$W$3507,$L3483)="","(なし)",INDEX(ポート振替表!$W$5:$W$3507,$L3483)&amp;""))</f>
        <v/>
      </c>
      <c r="C3483" s="52" t="str">
        <f aca="false">IF(L3483="","",INDEX(ポート振替表!$B$5:$B$3507,$L3483)&amp;" "&amp;INDEX(ポート振替表!$C$5:$C$3507,$L3483)&amp;"  ⇔  "&amp;INDEX(ポート振替表!$H$5:$H$3507,$L3483)&amp;" "&amp;INDEX(ポート振替表!$I$5:$I$3507,$L3483))</f>
        <v/>
      </c>
      <c r="D3483" s="57" t="s">
        <v>158</v>
      </c>
      <c r="E3483" s="59" t="str">
        <f aca="false">IF(L3483="","",IF(INDEX(ポート振替表!$O$5:$O$3507,$L3483)="","(未設定)",INDEX(ポート振替表!$O$5:$O$3507,$L3483)&amp;""))</f>
        <v/>
      </c>
      <c r="F3483" s="52" t="str">
        <f aca="false">IF(L3483="","",INDEX(ポート振替表!$K$5:$K$3507,$L3483)&amp;" "&amp;INDEX(ポート振替表!$L$5:$L$3507,$L3483)&amp;"  ⇔  "&amp;INDEX(ポート振替表!$H$5:$H$3507,$L3483)&amp;" "&amp;INDEX(ポート振替表!$I$5:$I$3507,$L3483))</f>
        <v/>
      </c>
      <c r="G3483" s="57" t="s">
        <v>158</v>
      </c>
      <c r="H3483" s="32" t="str">
        <f aca="false">IF(L3483="","",INDEX(ポート振替表!$N$5:$N$3507,$L3483)&amp;"")</f>
        <v/>
      </c>
      <c r="I3483" s="32" t="str">
        <f aca="false">IF(L3483="","",INDEX(ポート振替表!$P$5:$P$3507,$L3483)&amp;"")</f>
        <v/>
      </c>
      <c r="J3483" s="60" t="str">
        <f aca="false">IF(L3483="","",INDEX(ポート振替表!$M$5:$M$3507,$L3483)&amp;"")</f>
        <v/>
      </c>
      <c r="K3483" s="52" t="str">
        <f aca="false">IF(L3483="","",E3483&amp;CHAR(10)&amp;INDEX(ポート振替表!$K$5:$K$3507,$L3483)&amp;" "&amp;INDEX(ポート振替表!$L$5:$L$3507,$L3483)&amp;CHAR(10)&amp;"⇔ "&amp;INDEX(ポート振替表!$H$5:$H$3507,$L3483)&amp;" "&amp;INDEX(ポート振替表!$I$5:$I$3507,$L3483))</f>
        <v/>
      </c>
      <c r="L3483" s="47" t="str">
        <f aca="false">IFERROR(MATCH(ROW()-4,ポート振替表!$V$5:$V$3507,0),"")</f>
        <v/>
      </c>
    </row>
    <row r="3484" customFormat="false" ht="16.4" hidden="false" customHeight="false" outlineLevel="0" collapsed="false">
      <c r="A3484" s="32" t="str">
        <f aca="false">IF(L3484="","",ROW()-4)</f>
        <v/>
      </c>
      <c r="B3484" s="58" t="str">
        <f aca="false">IF(L3484="","",IF(INDEX(ポート振替表!$W$5:$W$3507,$L3484)="","(なし)",INDEX(ポート振替表!$W$5:$W$3507,$L3484)&amp;""))</f>
        <v/>
      </c>
      <c r="C3484" s="52" t="str">
        <f aca="false">IF(L3484="","",INDEX(ポート振替表!$B$5:$B$3507,$L3484)&amp;" "&amp;INDEX(ポート振替表!$C$5:$C$3507,$L3484)&amp;"  ⇔  "&amp;INDEX(ポート振替表!$H$5:$H$3507,$L3484)&amp;" "&amp;INDEX(ポート振替表!$I$5:$I$3507,$L3484))</f>
        <v/>
      </c>
      <c r="D3484" s="57" t="s">
        <v>158</v>
      </c>
      <c r="E3484" s="59" t="str">
        <f aca="false">IF(L3484="","",IF(INDEX(ポート振替表!$O$5:$O$3507,$L3484)="","(未設定)",INDEX(ポート振替表!$O$5:$O$3507,$L3484)&amp;""))</f>
        <v/>
      </c>
      <c r="F3484" s="52" t="str">
        <f aca="false">IF(L3484="","",INDEX(ポート振替表!$K$5:$K$3507,$L3484)&amp;" "&amp;INDEX(ポート振替表!$L$5:$L$3507,$L3484)&amp;"  ⇔  "&amp;INDEX(ポート振替表!$H$5:$H$3507,$L3484)&amp;" "&amp;INDEX(ポート振替表!$I$5:$I$3507,$L3484))</f>
        <v/>
      </c>
      <c r="G3484" s="57" t="s">
        <v>158</v>
      </c>
      <c r="H3484" s="32" t="str">
        <f aca="false">IF(L3484="","",INDEX(ポート振替表!$N$5:$N$3507,$L3484)&amp;"")</f>
        <v/>
      </c>
      <c r="I3484" s="32" t="str">
        <f aca="false">IF(L3484="","",INDEX(ポート振替表!$P$5:$P$3507,$L3484)&amp;"")</f>
        <v/>
      </c>
      <c r="J3484" s="60" t="str">
        <f aca="false">IF(L3484="","",INDEX(ポート振替表!$M$5:$M$3507,$L3484)&amp;"")</f>
        <v/>
      </c>
      <c r="K3484" s="52" t="str">
        <f aca="false">IF(L3484="","",E3484&amp;CHAR(10)&amp;INDEX(ポート振替表!$K$5:$K$3507,$L3484)&amp;" "&amp;INDEX(ポート振替表!$L$5:$L$3507,$L3484)&amp;CHAR(10)&amp;"⇔ "&amp;INDEX(ポート振替表!$H$5:$H$3507,$L3484)&amp;" "&amp;INDEX(ポート振替表!$I$5:$I$3507,$L3484))</f>
        <v/>
      </c>
      <c r="L3484" s="47" t="str">
        <f aca="false">IFERROR(MATCH(ROW()-4,ポート振替表!$V$5:$V$3507,0),"")</f>
        <v/>
      </c>
    </row>
    <row r="3485" customFormat="false" ht="16.4" hidden="false" customHeight="false" outlineLevel="0" collapsed="false">
      <c r="A3485" s="32" t="str">
        <f aca="false">IF(L3485="","",ROW()-4)</f>
        <v/>
      </c>
      <c r="B3485" s="58" t="str">
        <f aca="false">IF(L3485="","",IF(INDEX(ポート振替表!$W$5:$W$3507,$L3485)="","(なし)",INDEX(ポート振替表!$W$5:$W$3507,$L3485)&amp;""))</f>
        <v/>
      </c>
      <c r="C3485" s="52" t="str">
        <f aca="false">IF(L3485="","",INDEX(ポート振替表!$B$5:$B$3507,$L3485)&amp;" "&amp;INDEX(ポート振替表!$C$5:$C$3507,$L3485)&amp;"  ⇔  "&amp;INDEX(ポート振替表!$H$5:$H$3507,$L3485)&amp;" "&amp;INDEX(ポート振替表!$I$5:$I$3507,$L3485))</f>
        <v/>
      </c>
      <c r="D3485" s="57" t="s">
        <v>158</v>
      </c>
      <c r="E3485" s="59" t="str">
        <f aca="false">IF(L3485="","",IF(INDEX(ポート振替表!$O$5:$O$3507,$L3485)="","(未設定)",INDEX(ポート振替表!$O$5:$O$3507,$L3485)&amp;""))</f>
        <v/>
      </c>
      <c r="F3485" s="52" t="str">
        <f aca="false">IF(L3485="","",INDEX(ポート振替表!$K$5:$K$3507,$L3485)&amp;" "&amp;INDEX(ポート振替表!$L$5:$L$3507,$L3485)&amp;"  ⇔  "&amp;INDEX(ポート振替表!$H$5:$H$3507,$L3485)&amp;" "&amp;INDEX(ポート振替表!$I$5:$I$3507,$L3485))</f>
        <v/>
      </c>
      <c r="G3485" s="57" t="s">
        <v>158</v>
      </c>
      <c r="H3485" s="32" t="str">
        <f aca="false">IF(L3485="","",INDEX(ポート振替表!$N$5:$N$3507,$L3485)&amp;"")</f>
        <v/>
      </c>
      <c r="I3485" s="32" t="str">
        <f aca="false">IF(L3485="","",INDEX(ポート振替表!$P$5:$P$3507,$L3485)&amp;"")</f>
        <v/>
      </c>
      <c r="J3485" s="60" t="str">
        <f aca="false">IF(L3485="","",INDEX(ポート振替表!$M$5:$M$3507,$L3485)&amp;"")</f>
        <v/>
      </c>
      <c r="K3485" s="52" t="str">
        <f aca="false">IF(L3485="","",E3485&amp;CHAR(10)&amp;INDEX(ポート振替表!$K$5:$K$3507,$L3485)&amp;" "&amp;INDEX(ポート振替表!$L$5:$L$3507,$L3485)&amp;CHAR(10)&amp;"⇔ "&amp;INDEX(ポート振替表!$H$5:$H$3507,$L3485)&amp;" "&amp;INDEX(ポート振替表!$I$5:$I$3507,$L3485))</f>
        <v/>
      </c>
      <c r="L3485" s="47" t="str">
        <f aca="false">IFERROR(MATCH(ROW()-4,ポート振替表!$V$5:$V$3507,0),"")</f>
        <v/>
      </c>
    </row>
    <row r="3486" customFormat="false" ht="16.4" hidden="false" customHeight="false" outlineLevel="0" collapsed="false">
      <c r="A3486" s="32" t="str">
        <f aca="false">IF(L3486="","",ROW()-4)</f>
        <v/>
      </c>
      <c r="B3486" s="58" t="str">
        <f aca="false">IF(L3486="","",IF(INDEX(ポート振替表!$W$5:$W$3507,$L3486)="","(なし)",INDEX(ポート振替表!$W$5:$W$3507,$L3486)&amp;""))</f>
        <v/>
      </c>
      <c r="C3486" s="52" t="str">
        <f aca="false">IF(L3486="","",INDEX(ポート振替表!$B$5:$B$3507,$L3486)&amp;" "&amp;INDEX(ポート振替表!$C$5:$C$3507,$L3486)&amp;"  ⇔  "&amp;INDEX(ポート振替表!$H$5:$H$3507,$L3486)&amp;" "&amp;INDEX(ポート振替表!$I$5:$I$3507,$L3486))</f>
        <v/>
      </c>
      <c r="D3486" s="57" t="s">
        <v>158</v>
      </c>
      <c r="E3486" s="59" t="str">
        <f aca="false">IF(L3486="","",IF(INDEX(ポート振替表!$O$5:$O$3507,$L3486)="","(未設定)",INDEX(ポート振替表!$O$5:$O$3507,$L3486)&amp;""))</f>
        <v/>
      </c>
      <c r="F3486" s="52" t="str">
        <f aca="false">IF(L3486="","",INDEX(ポート振替表!$K$5:$K$3507,$L3486)&amp;" "&amp;INDEX(ポート振替表!$L$5:$L$3507,$L3486)&amp;"  ⇔  "&amp;INDEX(ポート振替表!$H$5:$H$3507,$L3486)&amp;" "&amp;INDEX(ポート振替表!$I$5:$I$3507,$L3486))</f>
        <v/>
      </c>
      <c r="G3486" s="57" t="s">
        <v>158</v>
      </c>
      <c r="H3486" s="32" t="str">
        <f aca="false">IF(L3486="","",INDEX(ポート振替表!$N$5:$N$3507,$L3486)&amp;"")</f>
        <v/>
      </c>
      <c r="I3486" s="32" t="str">
        <f aca="false">IF(L3486="","",INDEX(ポート振替表!$P$5:$P$3507,$L3486)&amp;"")</f>
        <v/>
      </c>
      <c r="J3486" s="60" t="str">
        <f aca="false">IF(L3486="","",INDEX(ポート振替表!$M$5:$M$3507,$L3486)&amp;"")</f>
        <v/>
      </c>
      <c r="K3486" s="52" t="str">
        <f aca="false">IF(L3486="","",E3486&amp;CHAR(10)&amp;INDEX(ポート振替表!$K$5:$K$3507,$L3486)&amp;" "&amp;INDEX(ポート振替表!$L$5:$L$3507,$L3486)&amp;CHAR(10)&amp;"⇔ "&amp;INDEX(ポート振替表!$H$5:$H$3507,$L3486)&amp;" "&amp;INDEX(ポート振替表!$I$5:$I$3507,$L3486))</f>
        <v/>
      </c>
      <c r="L3486" s="47" t="str">
        <f aca="false">IFERROR(MATCH(ROW()-4,ポート振替表!$V$5:$V$3507,0),"")</f>
        <v/>
      </c>
    </row>
    <row r="3487" customFormat="false" ht="16.4" hidden="false" customHeight="false" outlineLevel="0" collapsed="false">
      <c r="A3487" s="32" t="str">
        <f aca="false">IF(L3487="","",ROW()-4)</f>
        <v/>
      </c>
      <c r="B3487" s="58" t="str">
        <f aca="false">IF(L3487="","",IF(INDEX(ポート振替表!$W$5:$W$3507,$L3487)="","(なし)",INDEX(ポート振替表!$W$5:$W$3507,$L3487)&amp;""))</f>
        <v/>
      </c>
      <c r="C3487" s="52" t="str">
        <f aca="false">IF(L3487="","",INDEX(ポート振替表!$B$5:$B$3507,$L3487)&amp;" "&amp;INDEX(ポート振替表!$C$5:$C$3507,$L3487)&amp;"  ⇔  "&amp;INDEX(ポート振替表!$H$5:$H$3507,$L3487)&amp;" "&amp;INDEX(ポート振替表!$I$5:$I$3507,$L3487))</f>
        <v/>
      </c>
      <c r="D3487" s="57" t="s">
        <v>158</v>
      </c>
      <c r="E3487" s="59" t="str">
        <f aca="false">IF(L3487="","",IF(INDEX(ポート振替表!$O$5:$O$3507,$L3487)="","(未設定)",INDEX(ポート振替表!$O$5:$O$3507,$L3487)&amp;""))</f>
        <v/>
      </c>
      <c r="F3487" s="52" t="str">
        <f aca="false">IF(L3487="","",INDEX(ポート振替表!$K$5:$K$3507,$L3487)&amp;" "&amp;INDEX(ポート振替表!$L$5:$L$3507,$L3487)&amp;"  ⇔  "&amp;INDEX(ポート振替表!$H$5:$H$3507,$L3487)&amp;" "&amp;INDEX(ポート振替表!$I$5:$I$3507,$L3487))</f>
        <v/>
      </c>
      <c r="G3487" s="57" t="s">
        <v>158</v>
      </c>
      <c r="H3487" s="32" t="str">
        <f aca="false">IF(L3487="","",INDEX(ポート振替表!$N$5:$N$3507,$L3487)&amp;"")</f>
        <v/>
      </c>
      <c r="I3487" s="32" t="str">
        <f aca="false">IF(L3487="","",INDEX(ポート振替表!$P$5:$P$3507,$L3487)&amp;"")</f>
        <v/>
      </c>
      <c r="J3487" s="60" t="str">
        <f aca="false">IF(L3487="","",INDEX(ポート振替表!$M$5:$M$3507,$L3487)&amp;"")</f>
        <v/>
      </c>
      <c r="K3487" s="52" t="str">
        <f aca="false">IF(L3487="","",E3487&amp;CHAR(10)&amp;INDEX(ポート振替表!$K$5:$K$3507,$L3487)&amp;" "&amp;INDEX(ポート振替表!$L$5:$L$3507,$L3487)&amp;CHAR(10)&amp;"⇔ "&amp;INDEX(ポート振替表!$H$5:$H$3507,$L3487)&amp;" "&amp;INDEX(ポート振替表!$I$5:$I$3507,$L3487))</f>
        <v/>
      </c>
      <c r="L3487" s="47" t="str">
        <f aca="false">IFERROR(MATCH(ROW()-4,ポート振替表!$V$5:$V$3507,0),"")</f>
        <v/>
      </c>
    </row>
    <row r="3488" customFormat="false" ht="16.4" hidden="false" customHeight="false" outlineLevel="0" collapsed="false">
      <c r="A3488" s="32" t="str">
        <f aca="false">IF(L3488="","",ROW()-4)</f>
        <v/>
      </c>
      <c r="B3488" s="58" t="str">
        <f aca="false">IF(L3488="","",IF(INDEX(ポート振替表!$W$5:$W$3507,$L3488)="","(なし)",INDEX(ポート振替表!$W$5:$W$3507,$L3488)&amp;""))</f>
        <v/>
      </c>
      <c r="C3488" s="52" t="str">
        <f aca="false">IF(L3488="","",INDEX(ポート振替表!$B$5:$B$3507,$L3488)&amp;" "&amp;INDEX(ポート振替表!$C$5:$C$3507,$L3488)&amp;"  ⇔  "&amp;INDEX(ポート振替表!$H$5:$H$3507,$L3488)&amp;" "&amp;INDEX(ポート振替表!$I$5:$I$3507,$L3488))</f>
        <v/>
      </c>
      <c r="D3488" s="57" t="s">
        <v>158</v>
      </c>
      <c r="E3488" s="59" t="str">
        <f aca="false">IF(L3488="","",IF(INDEX(ポート振替表!$O$5:$O$3507,$L3488)="","(未設定)",INDEX(ポート振替表!$O$5:$O$3507,$L3488)&amp;""))</f>
        <v/>
      </c>
      <c r="F3488" s="52" t="str">
        <f aca="false">IF(L3488="","",INDEX(ポート振替表!$K$5:$K$3507,$L3488)&amp;" "&amp;INDEX(ポート振替表!$L$5:$L$3507,$L3488)&amp;"  ⇔  "&amp;INDEX(ポート振替表!$H$5:$H$3507,$L3488)&amp;" "&amp;INDEX(ポート振替表!$I$5:$I$3507,$L3488))</f>
        <v/>
      </c>
      <c r="G3488" s="57" t="s">
        <v>158</v>
      </c>
      <c r="H3488" s="32" t="str">
        <f aca="false">IF(L3488="","",INDEX(ポート振替表!$N$5:$N$3507,$L3488)&amp;"")</f>
        <v/>
      </c>
      <c r="I3488" s="32" t="str">
        <f aca="false">IF(L3488="","",INDEX(ポート振替表!$P$5:$P$3507,$L3488)&amp;"")</f>
        <v/>
      </c>
      <c r="J3488" s="60" t="str">
        <f aca="false">IF(L3488="","",INDEX(ポート振替表!$M$5:$M$3507,$L3488)&amp;"")</f>
        <v/>
      </c>
      <c r="K3488" s="52" t="str">
        <f aca="false">IF(L3488="","",E3488&amp;CHAR(10)&amp;INDEX(ポート振替表!$K$5:$K$3507,$L3488)&amp;" "&amp;INDEX(ポート振替表!$L$5:$L$3507,$L3488)&amp;CHAR(10)&amp;"⇔ "&amp;INDEX(ポート振替表!$H$5:$H$3507,$L3488)&amp;" "&amp;INDEX(ポート振替表!$I$5:$I$3507,$L3488))</f>
        <v/>
      </c>
      <c r="L3488" s="47" t="str">
        <f aca="false">IFERROR(MATCH(ROW()-4,ポート振替表!$V$5:$V$3507,0),"")</f>
        <v/>
      </c>
    </row>
    <row r="3489" customFormat="false" ht="16.4" hidden="false" customHeight="false" outlineLevel="0" collapsed="false">
      <c r="A3489" s="32" t="str">
        <f aca="false">IF(L3489="","",ROW()-4)</f>
        <v/>
      </c>
      <c r="B3489" s="58" t="str">
        <f aca="false">IF(L3489="","",IF(INDEX(ポート振替表!$W$5:$W$3507,$L3489)="","(なし)",INDEX(ポート振替表!$W$5:$W$3507,$L3489)&amp;""))</f>
        <v/>
      </c>
      <c r="C3489" s="52" t="str">
        <f aca="false">IF(L3489="","",INDEX(ポート振替表!$B$5:$B$3507,$L3489)&amp;" "&amp;INDEX(ポート振替表!$C$5:$C$3507,$L3489)&amp;"  ⇔  "&amp;INDEX(ポート振替表!$H$5:$H$3507,$L3489)&amp;" "&amp;INDEX(ポート振替表!$I$5:$I$3507,$L3489))</f>
        <v/>
      </c>
      <c r="D3489" s="57" t="s">
        <v>158</v>
      </c>
      <c r="E3489" s="59" t="str">
        <f aca="false">IF(L3489="","",IF(INDEX(ポート振替表!$O$5:$O$3507,$L3489)="","(未設定)",INDEX(ポート振替表!$O$5:$O$3507,$L3489)&amp;""))</f>
        <v/>
      </c>
      <c r="F3489" s="52" t="str">
        <f aca="false">IF(L3489="","",INDEX(ポート振替表!$K$5:$K$3507,$L3489)&amp;" "&amp;INDEX(ポート振替表!$L$5:$L$3507,$L3489)&amp;"  ⇔  "&amp;INDEX(ポート振替表!$H$5:$H$3507,$L3489)&amp;" "&amp;INDEX(ポート振替表!$I$5:$I$3507,$L3489))</f>
        <v/>
      </c>
      <c r="G3489" s="57" t="s">
        <v>158</v>
      </c>
      <c r="H3489" s="32" t="str">
        <f aca="false">IF(L3489="","",INDEX(ポート振替表!$N$5:$N$3507,$L3489)&amp;"")</f>
        <v/>
      </c>
      <c r="I3489" s="32" t="str">
        <f aca="false">IF(L3489="","",INDEX(ポート振替表!$P$5:$P$3507,$L3489)&amp;"")</f>
        <v/>
      </c>
      <c r="J3489" s="60" t="str">
        <f aca="false">IF(L3489="","",INDEX(ポート振替表!$M$5:$M$3507,$L3489)&amp;"")</f>
        <v/>
      </c>
      <c r="K3489" s="52" t="str">
        <f aca="false">IF(L3489="","",E3489&amp;CHAR(10)&amp;INDEX(ポート振替表!$K$5:$K$3507,$L3489)&amp;" "&amp;INDEX(ポート振替表!$L$5:$L$3507,$L3489)&amp;CHAR(10)&amp;"⇔ "&amp;INDEX(ポート振替表!$H$5:$H$3507,$L3489)&amp;" "&amp;INDEX(ポート振替表!$I$5:$I$3507,$L3489))</f>
        <v/>
      </c>
      <c r="L3489" s="47" t="str">
        <f aca="false">IFERROR(MATCH(ROW()-4,ポート振替表!$V$5:$V$3507,0),"")</f>
        <v/>
      </c>
    </row>
    <row r="3490" customFormat="false" ht="16.4" hidden="false" customHeight="false" outlineLevel="0" collapsed="false">
      <c r="A3490" s="32" t="str">
        <f aca="false">IF(L3490="","",ROW()-4)</f>
        <v/>
      </c>
      <c r="B3490" s="58" t="str">
        <f aca="false">IF(L3490="","",IF(INDEX(ポート振替表!$W$5:$W$3507,$L3490)="","(なし)",INDEX(ポート振替表!$W$5:$W$3507,$L3490)&amp;""))</f>
        <v/>
      </c>
      <c r="C3490" s="52" t="str">
        <f aca="false">IF(L3490="","",INDEX(ポート振替表!$B$5:$B$3507,$L3490)&amp;" "&amp;INDEX(ポート振替表!$C$5:$C$3507,$L3490)&amp;"  ⇔  "&amp;INDEX(ポート振替表!$H$5:$H$3507,$L3490)&amp;" "&amp;INDEX(ポート振替表!$I$5:$I$3507,$L3490))</f>
        <v/>
      </c>
      <c r="D3490" s="57" t="s">
        <v>158</v>
      </c>
      <c r="E3490" s="59" t="str">
        <f aca="false">IF(L3490="","",IF(INDEX(ポート振替表!$O$5:$O$3507,$L3490)="","(未設定)",INDEX(ポート振替表!$O$5:$O$3507,$L3490)&amp;""))</f>
        <v/>
      </c>
      <c r="F3490" s="52" t="str">
        <f aca="false">IF(L3490="","",INDEX(ポート振替表!$K$5:$K$3507,$L3490)&amp;" "&amp;INDEX(ポート振替表!$L$5:$L$3507,$L3490)&amp;"  ⇔  "&amp;INDEX(ポート振替表!$H$5:$H$3507,$L3490)&amp;" "&amp;INDEX(ポート振替表!$I$5:$I$3507,$L3490))</f>
        <v/>
      </c>
      <c r="G3490" s="57" t="s">
        <v>158</v>
      </c>
      <c r="H3490" s="32" t="str">
        <f aca="false">IF(L3490="","",INDEX(ポート振替表!$N$5:$N$3507,$L3490)&amp;"")</f>
        <v/>
      </c>
      <c r="I3490" s="32" t="str">
        <f aca="false">IF(L3490="","",INDEX(ポート振替表!$P$5:$P$3507,$L3490)&amp;"")</f>
        <v/>
      </c>
      <c r="J3490" s="60" t="str">
        <f aca="false">IF(L3490="","",INDEX(ポート振替表!$M$5:$M$3507,$L3490)&amp;"")</f>
        <v/>
      </c>
      <c r="K3490" s="52" t="str">
        <f aca="false">IF(L3490="","",E3490&amp;CHAR(10)&amp;INDEX(ポート振替表!$K$5:$K$3507,$L3490)&amp;" "&amp;INDEX(ポート振替表!$L$5:$L$3507,$L3490)&amp;CHAR(10)&amp;"⇔ "&amp;INDEX(ポート振替表!$H$5:$H$3507,$L3490)&amp;" "&amp;INDEX(ポート振替表!$I$5:$I$3507,$L3490))</f>
        <v/>
      </c>
      <c r="L3490" s="47" t="str">
        <f aca="false">IFERROR(MATCH(ROW()-4,ポート振替表!$V$5:$V$3507,0),"")</f>
        <v/>
      </c>
    </row>
    <row r="3491" customFormat="false" ht="16.4" hidden="false" customHeight="false" outlineLevel="0" collapsed="false">
      <c r="A3491" s="32" t="str">
        <f aca="false">IF(L3491="","",ROW()-4)</f>
        <v/>
      </c>
      <c r="B3491" s="58" t="str">
        <f aca="false">IF(L3491="","",IF(INDEX(ポート振替表!$W$5:$W$3507,$L3491)="","(なし)",INDEX(ポート振替表!$W$5:$W$3507,$L3491)&amp;""))</f>
        <v/>
      </c>
      <c r="C3491" s="52" t="str">
        <f aca="false">IF(L3491="","",INDEX(ポート振替表!$B$5:$B$3507,$L3491)&amp;" "&amp;INDEX(ポート振替表!$C$5:$C$3507,$L3491)&amp;"  ⇔  "&amp;INDEX(ポート振替表!$H$5:$H$3507,$L3491)&amp;" "&amp;INDEX(ポート振替表!$I$5:$I$3507,$L3491))</f>
        <v/>
      </c>
      <c r="D3491" s="57" t="s">
        <v>158</v>
      </c>
      <c r="E3491" s="59" t="str">
        <f aca="false">IF(L3491="","",IF(INDEX(ポート振替表!$O$5:$O$3507,$L3491)="","(未設定)",INDEX(ポート振替表!$O$5:$O$3507,$L3491)&amp;""))</f>
        <v/>
      </c>
      <c r="F3491" s="52" t="str">
        <f aca="false">IF(L3491="","",INDEX(ポート振替表!$K$5:$K$3507,$L3491)&amp;" "&amp;INDEX(ポート振替表!$L$5:$L$3507,$L3491)&amp;"  ⇔  "&amp;INDEX(ポート振替表!$H$5:$H$3507,$L3491)&amp;" "&amp;INDEX(ポート振替表!$I$5:$I$3507,$L3491))</f>
        <v/>
      </c>
      <c r="G3491" s="57" t="s">
        <v>158</v>
      </c>
      <c r="H3491" s="32" t="str">
        <f aca="false">IF(L3491="","",INDEX(ポート振替表!$N$5:$N$3507,$L3491)&amp;"")</f>
        <v/>
      </c>
      <c r="I3491" s="32" t="str">
        <f aca="false">IF(L3491="","",INDEX(ポート振替表!$P$5:$P$3507,$L3491)&amp;"")</f>
        <v/>
      </c>
      <c r="J3491" s="60" t="str">
        <f aca="false">IF(L3491="","",INDEX(ポート振替表!$M$5:$M$3507,$L3491)&amp;"")</f>
        <v/>
      </c>
      <c r="K3491" s="52" t="str">
        <f aca="false">IF(L3491="","",E3491&amp;CHAR(10)&amp;INDEX(ポート振替表!$K$5:$K$3507,$L3491)&amp;" "&amp;INDEX(ポート振替表!$L$5:$L$3507,$L3491)&amp;CHAR(10)&amp;"⇔ "&amp;INDEX(ポート振替表!$H$5:$H$3507,$L3491)&amp;" "&amp;INDEX(ポート振替表!$I$5:$I$3507,$L3491))</f>
        <v/>
      </c>
      <c r="L3491" s="47" t="str">
        <f aca="false">IFERROR(MATCH(ROW()-4,ポート振替表!$V$5:$V$3507,0),"")</f>
        <v/>
      </c>
    </row>
    <row r="3492" customFormat="false" ht="16.4" hidden="false" customHeight="false" outlineLevel="0" collapsed="false">
      <c r="A3492" s="32" t="str">
        <f aca="false">IF(L3492="","",ROW()-4)</f>
        <v/>
      </c>
      <c r="B3492" s="58" t="str">
        <f aca="false">IF(L3492="","",IF(INDEX(ポート振替表!$W$5:$W$3507,$L3492)="","(なし)",INDEX(ポート振替表!$W$5:$W$3507,$L3492)&amp;""))</f>
        <v/>
      </c>
      <c r="C3492" s="52" t="str">
        <f aca="false">IF(L3492="","",INDEX(ポート振替表!$B$5:$B$3507,$L3492)&amp;" "&amp;INDEX(ポート振替表!$C$5:$C$3507,$L3492)&amp;"  ⇔  "&amp;INDEX(ポート振替表!$H$5:$H$3507,$L3492)&amp;" "&amp;INDEX(ポート振替表!$I$5:$I$3507,$L3492))</f>
        <v/>
      </c>
      <c r="D3492" s="57" t="s">
        <v>158</v>
      </c>
      <c r="E3492" s="59" t="str">
        <f aca="false">IF(L3492="","",IF(INDEX(ポート振替表!$O$5:$O$3507,$L3492)="","(未設定)",INDEX(ポート振替表!$O$5:$O$3507,$L3492)&amp;""))</f>
        <v/>
      </c>
      <c r="F3492" s="52" t="str">
        <f aca="false">IF(L3492="","",INDEX(ポート振替表!$K$5:$K$3507,$L3492)&amp;" "&amp;INDEX(ポート振替表!$L$5:$L$3507,$L3492)&amp;"  ⇔  "&amp;INDEX(ポート振替表!$H$5:$H$3507,$L3492)&amp;" "&amp;INDEX(ポート振替表!$I$5:$I$3507,$L3492))</f>
        <v/>
      </c>
      <c r="G3492" s="57" t="s">
        <v>158</v>
      </c>
      <c r="H3492" s="32" t="str">
        <f aca="false">IF(L3492="","",INDEX(ポート振替表!$N$5:$N$3507,$L3492)&amp;"")</f>
        <v/>
      </c>
      <c r="I3492" s="32" t="str">
        <f aca="false">IF(L3492="","",INDEX(ポート振替表!$P$5:$P$3507,$L3492)&amp;"")</f>
        <v/>
      </c>
      <c r="J3492" s="60" t="str">
        <f aca="false">IF(L3492="","",INDEX(ポート振替表!$M$5:$M$3507,$L3492)&amp;"")</f>
        <v/>
      </c>
      <c r="K3492" s="52" t="str">
        <f aca="false">IF(L3492="","",E3492&amp;CHAR(10)&amp;INDEX(ポート振替表!$K$5:$K$3507,$L3492)&amp;" "&amp;INDEX(ポート振替表!$L$5:$L$3507,$L3492)&amp;CHAR(10)&amp;"⇔ "&amp;INDEX(ポート振替表!$H$5:$H$3507,$L3492)&amp;" "&amp;INDEX(ポート振替表!$I$5:$I$3507,$L3492))</f>
        <v/>
      </c>
      <c r="L3492" s="47" t="str">
        <f aca="false">IFERROR(MATCH(ROW()-4,ポート振替表!$V$5:$V$3507,0),"")</f>
        <v/>
      </c>
    </row>
    <row r="3493" customFormat="false" ht="16.4" hidden="false" customHeight="false" outlineLevel="0" collapsed="false">
      <c r="A3493" s="32" t="str">
        <f aca="false">IF(L3493="","",ROW()-4)</f>
        <v/>
      </c>
      <c r="B3493" s="58" t="str">
        <f aca="false">IF(L3493="","",IF(INDEX(ポート振替表!$W$5:$W$3507,$L3493)="","(なし)",INDEX(ポート振替表!$W$5:$W$3507,$L3493)&amp;""))</f>
        <v/>
      </c>
      <c r="C3493" s="52" t="str">
        <f aca="false">IF(L3493="","",INDEX(ポート振替表!$B$5:$B$3507,$L3493)&amp;" "&amp;INDEX(ポート振替表!$C$5:$C$3507,$L3493)&amp;"  ⇔  "&amp;INDEX(ポート振替表!$H$5:$H$3507,$L3493)&amp;" "&amp;INDEX(ポート振替表!$I$5:$I$3507,$L3493))</f>
        <v/>
      </c>
      <c r="D3493" s="57" t="s">
        <v>158</v>
      </c>
      <c r="E3493" s="59" t="str">
        <f aca="false">IF(L3493="","",IF(INDEX(ポート振替表!$O$5:$O$3507,$L3493)="","(未設定)",INDEX(ポート振替表!$O$5:$O$3507,$L3493)&amp;""))</f>
        <v/>
      </c>
      <c r="F3493" s="52" t="str">
        <f aca="false">IF(L3493="","",INDEX(ポート振替表!$K$5:$K$3507,$L3493)&amp;" "&amp;INDEX(ポート振替表!$L$5:$L$3507,$L3493)&amp;"  ⇔  "&amp;INDEX(ポート振替表!$H$5:$H$3507,$L3493)&amp;" "&amp;INDEX(ポート振替表!$I$5:$I$3507,$L3493))</f>
        <v/>
      </c>
      <c r="G3493" s="57" t="s">
        <v>158</v>
      </c>
      <c r="H3493" s="32" t="str">
        <f aca="false">IF(L3493="","",INDEX(ポート振替表!$N$5:$N$3507,$L3493)&amp;"")</f>
        <v/>
      </c>
      <c r="I3493" s="32" t="str">
        <f aca="false">IF(L3493="","",INDEX(ポート振替表!$P$5:$P$3507,$L3493)&amp;"")</f>
        <v/>
      </c>
      <c r="J3493" s="60" t="str">
        <f aca="false">IF(L3493="","",INDEX(ポート振替表!$M$5:$M$3507,$L3493)&amp;"")</f>
        <v/>
      </c>
      <c r="K3493" s="52" t="str">
        <f aca="false">IF(L3493="","",E3493&amp;CHAR(10)&amp;INDEX(ポート振替表!$K$5:$K$3507,$L3493)&amp;" "&amp;INDEX(ポート振替表!$L$5:$L$3507,$L3493)&amp;CHAR(10)&amp;"⇔ "&amp;INDEX(ポート振替表!$H$5:$H$3507,$L3493)&amp;" "&amp;INDEX(ポート振替表!$I$5:$I$3507,$L3493))</f>
        <v/>
      </c>
      <c r="L3493" s="47" t="str">
        <f aca="false">IFERROR(MATCH(ROW()-4,ポート振替表!$V$5:$V$3507,0),"")</f>
        <v/>
      </c>
    </row>
    <row r="3494" customFormat="false" ht="16.4" hidden="false" customHeight="false" outlineLevel="0" collapsed="false">
      <c r="A3494" s="32" t="str">
        <f aca="false">IF(L3494="","",ROW()-4)</f>
        <v/>
      </c>
      <c r="B3494" s="58" t="str">
        <f aca="false">IF(L3494="","",IF(INDEX(ポート振替表!$W$5:$W$3507,$L3494)="","(なし)",INDEX(ポート振替表!$W$5:$W$3507,$L3494)&amp;""))</f>
        <v/>
      </c>
      <c r="C3494" s="52" t="str">
        <f aca="false">IF(L3494="","",INDEX(ポート振替表!$B$5:$B$3507,$L3494)&amp;" "&amp;INDEX(ポート振替表!$C$5:$C$3507,$L3494)&amp;"  ⇔  "&amp;INDEX(ポート振替表!$H$5:$H$3507,$L3494)&amp;" "&amp;INDEX(ポート振替表!$I$5:$I$3507,$L3494))</f>
        <v/>
      </c>
      <c r="D3494" s="57" t="s">
        <v>158</v>
      </c>
      <c r="E3494" s="59" t="str">
        <f aca="false">IF(L3494="","",IF(INDEX(ポート振替表!$O$5:$O$3507,$L3494)="","(未設定)",INDEX(ポート振替表!$O$5:$O$3507,$L3494)&amp;""))</f>
        <v/>
      </c>
      <c r="F3494" s="52" t="str">
        <f aca="false">IF(L3494="","",INDEX(ポート振替表!$K$5:$K$3507,$L3494)&amp;" "&amp;INDEX(ポート振替表!$L$5:$L$3507,$L3494)&amp;"  ⇔  "&amp;INDEX(ポート振替表!$H$5:$H$3507,$L3494)&amp;" "&amp;INDEX(ポート振替表!$I$5:$I$3507,$L3494))</f>
        <v/>
      </c>
      <c r="G3494" s="57" t="s">
        <v>158</v>
      </c>
      <c r="H3494" s="32" t="str">
        <f aca="false">IF(L3494="","",INDEX(ポート振替表!$N$5:$N$3507,$L3494)&amp;"")</f>
        <v/>
      </c>
      <c r="I3494" s="32" t="str">
        <f aca="false">IF(L3494="","",INDEX(ポート振替表!$P$5:$P$3507,$L3494)&amp;"")</f>
        <v/>
      </c>
      <c r="J3494" s="60" t="str">
        <f aca="false">IF(L3494="","",INDEX(ポート振替表!$M$5:$M$3507,$L3494)&amp;"")</f>
        <v/>
      </c>
      <c r="K3494" s="52" t="str">
        <f aca="false">IF(L3494="","",E3494&amp;CHAR(10)&amp;INDEX(ポート振替表!$K$5:$K$3507,$L3494)&amp;" "&amp;INDEX(ポート振替表!$L$5:$L$3507,$L3494)&amp;CHAR(10)&amp;"⇔ "&amp;INDEX(ポート振替表!$H$5:$H$3507,$L3494)&amp;" "&amp;INDEX(ポート振替表!$I$5:$I$3507,$L3494))</f>
        <v/>
      </c>
      <c r="L3494" s="47" t="str">
        <f aca="false">IFERROR(MATCH(ROW()-4,ポート振替表!$V$5:$V$3507,0),"")</f>
        <v/>
      </c>
    </row>
    <row r="3495" customFormat="false" ht="16.4" hidden="false" customHeight="false" outlineLevel="0" collapsed="false">
      <c r="A3495" s="32" t="str">
        <f aca="false">IF(L3495="","",ROW()-4)</f>
        <v/>
      </c>
      <c r="B3495" s="58" t="str">
        <f aca="false">IF(L3495="","",IF(INDEX(ポート振替表!$W$5:$W$3507,$L3495)="","(なし)",INDEX(ポート振替表!$W$5:$W$3507,$L3495)&amp;""))</f>
        <v/>
      </c>
      <c r="C3495" s="52" t="str">
        <f aca="false">IF(L3495="","",INDEX(ポート振替表!$B$5:$B$3507,$L3495)&amp;" "&amp;INDEX(ポート振替表!$C$5:$C$3507,$L3495)&amp;"  ⇔  "&amp;INDEX(ポート振替表!$H$5:$H$3507,$L3495)&amp;" "&amp;INDEX(ポート振替表!$I$5:$I$3507,$L3495))</f>
        <v/>
      </c>
      <c r="D3495" s="57" t="s">
        <v>158</v>
      </c>
      <c r="E3495" s="59" t="str">
        <f aca="false">IF(L3495="","",IF(INDEX(ポート振替表!$O$5:$O$3507,$L3495)="","(未設定)",INDEX(ポート振替表!$O$5:$O$3507,$L3495)&amp;""))</f>
        <v/>
      </c>
      <c r="F3495" s="52" t="str">
        <f aca="false">IF(L3495="","",INDEX(ポート振替表!$K$5:$K$3507,$L3495)&amp;" "&amp;INDEX(ポート振替表!$L$5:$L$3507,$L3495)&amp;"  ⇔  "&amp;INDEX(ポート振替表!$H$5:$H$3507,$L3495)&amp;" "&amp;INDEX(ポート振替表!$I$5:$I$3507,$L3495))</f>
        <v/>
      </c>
      <c r="G3495" s="57" t="s">
        <v>158</v>
      </c>
      <c r="H3495" s="32" t="str">
        <f aca="false">IF(L3495="","",INDEX(ポート振替表!$N$5:$N$3507,$L3495)&amp;"")</f>
        <v/>
      </c>
      <c r="I3495" s="32" t="str">
        <f aca="false">IF(L3495="","",INDEX(ポート振替表!$P$5:$P$3507,$L3495)&amp;"")</f>
        <v/>
      </c>
      <c r="J3495" s="60" t="str">
        <f aca="false">IF(L3495="","",INDEX(ポート振替表!$M$5:$M$3507,$L3495)&amp;"")</f>
        <v/>
      </c>
      <c r="K3495" s="52" t="str">
        <f aca="false">IF(L3495="","",E3495&amp;CHAR(10)&amp;INDEX(ポート振替表!$K$5:$K$3507,$L3495)&amp;" "&amp;INDEX(ポート振替表!$L$5:$L$3507,$L3495)&amp;CHAR(10)&amp;"⇔ "&amp;INDEX(ポート振替表!$H$5:$H$3507,$L3495)&amp;" "&amp;INDEX(ポート振替表!$I$5:$I$3507,$L3495))</f>
        <v/>
      </c>
      <c r="L3495" s="47" t="str">
        <f aca="false">IFERROR(MATCH(ROW()-4,ポート振替表!$V$5:$V$3507,0),"")</f>
        <v/>
      </c>
    </row>
    <row r="3496" customFormat="false" ht="16.4" hidden="false" customHeight="false" outlineLevel="0" collapsed="false">
      <c r="A3496" s="32" t="str">
        <f aca="false">IF(L3496="","",ROW()-4)</f>
        <v/>
      </c>
      <c r="B3496" s="58" t="str">
        <f aca="false">IF(L3496="","",IF(INDEX(ポート振替表!$W$5:$W$3507,$L3496)="","(なし)",INDEX(ポート振替表!$W$5:$W$3507,$L3496)&amp;""))</f>
        <v/>
      </c>
      <c r="C3496" s="52" t="str">
        <f aca="false">IF(L3496="","",INDEX(ポート振替表!$B$5:$B$3507,$L3496)&amp;" "&amp;INDEX(ポート振替表!$C$5:$C$3507,$L3496)&amp;"  ⇔  "&amp;INDEX(ポート振替表!$H$5:$H$3507,$L3496)&amp;" "&amp;INDEX(ポート振替表!$I$5:$I$3507,$L3496))</f>
        <v/>
      </c>
      <c r="D3496" s="57" t="s">
        <v>158</v>
      </c>
      <c r="E3496" s="59" t="str">
        <f aca="false">IF(L3496="","",IF(INDEX(ポート振替表!$O$5:$O$3507,$L3496)="","(未設定)",INDEX(ポート振替表!$O$5:$O$3507,$L3496)&amp;""))</f>
        <v/>
      </c>
      <c r="F3496" s="52" t="str">
        <f aca="false">IF(L3496="","",INDEX(ポート振替表!$K$5:$K$3507,$L3496)&amp;" "&amp;INDEX(ポート振替表!$L$5:$L$3507,$L3496)&amp;"  ⇔  "&amp;INDEX(ポート振替表!$H$5:$H$3507,$L3496)&amp;" "&amp;INDEX(ポート振替表!$I$5:$I$3507,$L3496))</f>
        <v/>
      </c>
      <c r="G3496" s="57" t="s">
        <v>158</v>
      </c>
      <c r="H3496" s="32" t="str">
        <f aca="false">IF(L3496="","",INDEX(ポート振替表!$N$5:$N$3507,$L3496)&amp;"")</f>
        <v/>
      </c>
      <c r="I3496" s="32" t="str">
        <f aca="false">IF(L3496="","",INDEX(ポート振替表!$P$5:$P$3507,$L3496)&amp;"")</f>
        <v/>
      </c>
      <c r="J3496" s="60" t="str">
        <f aca="false">IF(L3496="","",INDEX(ポート振替表!$M$5:$M$3507,$L3496)&amp;"")</f>
        <v/>
      </c>
      <c r="K3496" s="52" t="str">
        <f aca="false">IF(L3496="","",E3496&amp;CHAR(10)&amp;INDEX(ポート振替表!$K$5:$K$3507,$L3496)&amp;" "&amp;INDEX(ポート振替表!$L$5:$L$3507,$L3496)&amp;CHAR(10)&amp;"⇔ "&amp;INDEX(ポート振替表!$H$5:$H$3507,$L3496)&amp;" "&amp;INDEX(ポート振替表!$I$5:$I$3507,$L3496))</f>
        <v/>
      </c>
      <c r="L3496" s="47" t="str">
        <f aca="false">IFERROR(MATCH(ROW()-4,ポート振替表!$V$5:$V$3507,0),"")</f>
        <v/>
      </c>
    </row>
    <row r="3497" customFormat="false" ht="16.4" hidden="false" customHeight="false" outlineLevel="0" collapsed="false">
      <c r="A3497" s="32" t="str">
        <f aca="false">IF(L3497="","",ROW()-4)</f>
        <v/>
      </c>
      <c r="B3497" s="58" t="str">
        <f aca="false">IF(L3497="","",IF(INDEX(ポート振替表!$W$5:$W$3507,$L3497)="","(なし)",INDEX(ポート振替表!$W$5:$W$3507,$L3497)&amp;""))</f>
        <v/>
      </c>
      <c r="C3497" s="52" t="str">
        <f aca="false">IF(L3497="","",INDEX(ポート振替表!$B$5:$B$3507,$L3497)&amp;" "&amp;INDEX(ポート振替表!$C$5:$C$3507,$L3497)&amp;"  ⇔  "&amp;INDEX(ポート振替表!$H$5:$H$3507,$L3497)&amp;" "&amp;INDEX(ポート振替表!$I$5:$I$3507,$L3497))</f>
        <v/>
      </c>
      <c r="D3497" s="57" t="s">
        <v>158</v>
      </c>
      <c r="E3497" s="59" t="str">
        <f aca="false">IF(L3497="","",IF(INDEX(ポート振替表!$O$5:$O$3507,$L3497)="","(未設定)",INDEX(ポート振替表!$O$5:$O$3507,$L3497)&amp;""))</f>
        <v/>
      </c>
      <c r="F3497" s="52" t="str">
        <f aca="false">IF(L3497="","",INDEX(ポート振替表!$K$5:$K$3507,$L3497)&amp;" "&amp;INDEX(ポート振替表!$L$5:$L$3507,$L3497)&amp;"  ⇔  "&amp;INDEX(ポート振替表!$H$5:$H$3507,$L3497)&amp;" "&amp;INDEX(ポート振替表!$I$5:$I$3507,$L3497))</f>
        <v/>
      </c>
      <c r="G3497" s="57" t="s">
        <v>158</v>
      </c>
      <c r="H3497" s="32" t="str">
        <f aca="false">IF(L3497="","",INDEX(ポート振替表!$N$5:$N$3507,$L3497)&amp;"")</f>
        <v/>
      </c>
      <c r="I3497" s="32" t="str">
        <f aca="false">IF(L3497="","",INDEX(ポート振替表!$P$5:$P$3507,$L3497)&amp;"")</f>
        <v/>
      </c>
      <c r="J3497" s="60" t="str">
        <f aca="false">IF(L3497="","",INDEX(ポート振替表!$M$5:$M$3507,$L3497)&amp;"")</f>
        <v/>
      </c>
      <c r="K3497" s="52" t="str">
        <f aca="false">IF(L3497="","",E3497&amp;CHAR(10)&amp;INDEX(ポート振替表!$K$5:$K$3507,$L3497)&amp;" "&amp;INDEX(ポート振替表!$L$5:$L$3507,$L3497)&amp;CHAR(10)&amp;"⇔ "&amp;INDEX(ポート振替表!$H$5:$H$3507,$L3497)&amp;" "&amp;INDEX(ポート振替表!$I$5:$I$3507,$L3497))</f>
        <v/>
      </c>
      <c r="L3497" s="47" t="str">
        <f aca="false">IFERROR(MATCH(ROW()-4,ポート振替表!$V$5:$V$3507,0),"")</f>
        <v/>
      </c>
    </row>
    <row r="3498" customFormat="false" ht="16.4" hidden="false" customHeight="false" outlineLevel="0" collapsed="false">
      <c r="A3498" s="32" t="str">
        <f aca="false">IF(L3498="","",ROW()-4)</f>
        <v/>
      </c>
      <c r="B3498" s="58" t="str">
        <f aca="false">IF(L3498="","",IF(INDEX(ポート振替表!$W$5:$W$3507,$L3498)="","(なし)",INDEX(ポート振替表!$W$5:$W$3507,$L3498)&amp;""))</f>
        <v/>
      </c>
      <c r="C3498" s="52" t="str">
        <f aca="false">IF(L3498="","",INDEX(ポート振替表!$B$5:$B$3507,$L3498)&amp;" "&amp;INDEX(ポート振替表!$C$5:$C$3507,$L3498)&amp;"  ⇔  "&amp;INDEX(ポート振替表!$H$5:$H$3507,$L3498)&amp;" "&amp;INDEX(ポート振替表!$I$5:$I$3507,$L3498))</f>
        <v/>
      </c>
      <c r="D3498" s="57" t="s">
        <v>158</v>
      </c>
      <c r="E3498" s="59" t="str">
        <f aca="false">IF(L3498="","",IF(INDEX(ポート振替表!$O$5:$O$3507,$L3498)="","(未設定)",INDEX(ポート振替表!$O$5:$O$3507,$L3498)&amp;""))</f>
        <v/>
      </c>
      <c r="F3498" s="52" t="str">
        <f aca="false">IF(L3498="","",INDEX(ポート振替表!$K$5:$K$3507,$L3498)&amp;" "&amp;INDEX(ポート振替表!$L$5:$L$3507,$L3498)&amp;"  ⇔  "&amp;INDEX(ポート振替表!$H$5:$H$3507,$L3498)&amp;" "&amp;INDEX(ポート振替表!$I$5:$I$3507,$L3498))</f>
        <v/>
      </c>
      <c r="G3498" s="57" t="s">
        <v>158</v>
      </c>
      <c r="H3498" s="32" t="str">
        <f aca="false">IF(L3498="","",INDEX(ポート振替表!$N$5:$N$3507,$L3498)&amp;"")</f>
        <v/>
      </c>
      <c r="I3498" s="32" t="str">
        <f aca="false">IF(L3498="","",INDEX(ポート振替表!$P$5:$P$3507,$L3498)&amp;"")</f>
        <v/>
      </c>
      <c r="J3498" s="60" t="str">
        <f aca="false">IF(L3498="","",INDEX(ポート振替表!$M$5:$M$3507,$L3498)&amp;"")</f>
        <v/>
      </c>
      <c r="K3498" s="52" t="str">
        <f aca="false">IF(L3498="","",E3498&amp;CHAR(10)&amp;INDEX(ポート振替表!$K$5:$K$3507,$L3498)&amp;" "&amp;INDEX(ポート振替表!$L$5:$L$3507,$L3498)&amp;CHAR(10)&amp;"⇔ "&amp;INDEX(ポート振替表!$H$5:$H$3507,$L3498)&amp;" "&amp;INDEX(ポート振替表!$I$5:$I$3507,$L3498))</f>
        <v/>
      </c>
      <c r="L3498" s="47" t="str">
        <f aca="false">IFERROR(MATCH(ROW()-4,ポート振替表!$V$5:$V$3507,0),"")</f>
        <v/>
      </c>
    </row>
    <row r="3499" customFormat="false" ht="16.4" hidden="false" customHeight="false" outlineLevel="0" collapsed="false">
      <c r="A3499" s="32" t="str">
        <f aca="false">IF(L3499="","",ROW()-4)</f>
        <v/>
      </c>
      <c r="B3499" s="58" t="str">
        <f aca="false">IF(L3499="","",IF(INDEX(ポート振替表!$W$5:$W$3507,$L3499)="","(なし)",INDEX(ポート振替表!$W$5:$W$3507,$L3499)&amp;""))</f>
        <v/>
      </c>
      <c r="C3499" s="52" t="str">
        <f aca="false">IF(L3499="","",INDEX(ポート振替表!$B$5:$B$3507,$L3499)&amp;" "&amp;INDEX(ポート振替表!$C$5:$C$3507,$L3499)&amp;"  ⇔  "&amp;INDEX(ポート振替表!$H$5:$H$3507,$L3499)&amp;" "&amp;INDEX(ポート振替表!$I$5:$I$3507,$L3499))</f>
        <v/>
      </c>
      <c r="D3499" s="57" t="s">
        <v>158</v>
      </c>
      <c r="E3499" s="59" t="str">
        <f aca="false">IF(L3499="","",IF(INDEX(ポート振替表!$O$5:$O$3507,$L3499)="","(未設定)",INDEX(ポート振替表!$O$5:$O$3507,$L3499)&amp;""))</f>
        <v/>
      </c>
      <c r="F3499" s="52" t="str">
        <f aca="false">IF(L3499="","",INDEX(ポート振替表!$K$5:$K$3507,$L3499)&amp;" "&amp;INDEX(ポート振替表!$L$5:$L$3507,$L3499)&amp;"  ⇔  "&amp;INDEX(ポート振替表!$H$5:$H$3507,$L3499)&amp;" "&amp;INDEX(ポート振替表!$I$5:$I$3507,$L3499))</f>
        <v/>
      </c>
      <c r="G3499" s="57" t="s">
        <v>158</v>
      </c>
      <c r="H3499" s="32" t="str">
        <f aca="false">IF(L3499="","",INDEX(ポート振替表!$N$5:$N$3507,$L3499)&amp;"")</f>
        <v/>
      </c>
      <c r="I3499" s="32" t="str">
        <f aca="false">IF(L3499="","",INDEX(ポート振替表!$P$5:$P$3507,$L3499)&amp;"")</f>
        <v/>
      </c>
      <c r="J3499" s="60" t="str">
        <f aca="false">IF(L3499="","",INDEX(ポート振替表!$M$5:$M$3507,$L3499)&amp;"")</f>
        <v/>
      </c>
      <c r="K3499" s="52" t="str">
        <f aca="false">IF(L3499="","",E3499&amp;CHAR(10)&amp;INDEX(ポート振替表!$K$5:$K$3507,$L3499)&amp;" "&amp;INDEX(ポート振替表!$L$5:$L$3507,$L3499)&amp;CHAR(10)&amp;"⇔ "&amp;INDEX(ポート振替表!$H$5:$H$3507,$L3499)&amp;" "&amp;INDEX(ポート振替表!$I$5:$I$3507,$L3499))</f>
        <v/>
      </c>
      <c r="L3499" s="47" t="str">
        <f aca="false">IFERROR(MATCH(ROW()-4,ポート振替表!$V$5:$V$3507,0),"")</f>
        <v/>
      </c>
    </row>
    <row r="3500" customFormat="false" ht="16.4" hidden="false" customHeight="false" outlineLevel="0" collapsed="false">
      <c r="A3500" s="32" t="str">
        <f aca="false">IF(L3500="","",ROW()-4)</f>
        <v/>
      </c>
      <c r="B3500" s="58" t="str">
        <f aca="false">IF(L3500="","",IF(INDEX(ポート振替表!$W$5:$W$3507,$L3500)="","(なし)",INDEX(ポート振替表!$W$5:$W$3507,$L3500)&amp;""))</f>
        <v/>
      </c>
      <c r="C3500" s="52" t="str">
        <f aca="false">IF(L3500="","",INDEX(ポート振替表!$B$5:$B$3507,$L3500)&amp;" "&amp;INDEX(ポート振替表!$C$5:$C$3507,$L3500)&amp;"  ⇔  "&amp;INDEX(ポート振替表!$H$5:$H$3507,$L3500)&amp;" "&amp;INDEX(ポート振替表!$I$5:$I$3507,$L3500))</f>
        <v/>
      </c>
      <c r="D3500" s="57" t="s">
        <v>158</v>
      </c>
      <c r="E3500" s="59" t="str">
        <f aca="false">IF(L3500="","",IF(INDEX(ポート振替表!$O$5:$O$3507,$L3500)="","(未設定)",INDEX(ポート振替表!$O$5:$O$3507,$L3500)&amp;""))</f>
        <v/>
      </c>
      <c r="F3500" s="52" t="str">
        <f aca="false">IF(L3500="","",INDEX(ポート振替表!$K$5:$K$3507,$L3500)&amp;" "&amp;INDEX(ポート振替表!$L$5:$L$3507,$L3500)&amp;"  ⇔  "&amp;INDEX(ポート振替表!$H$5:$H$3507,$L3500)&amp;" "&amp;INDEX(ポート振替表!$I$5:$I$3507,$L3500))</f>
        <v/>
      </c>
      <c r="G3500" s="57" t="s">
        <v>158</v>
      </c>
      <c r="H3500" s="32" t="str">
        <f aca="false">IF(L3500="","",INDEX(ポート振替表!$N$5:$N$3507,$L3500)&amp;"")</f>
        <v/>
      </c>
      <c r="I3500" s="32" t="str">
        <f aca="false">IF(L3500="","",INDEX(ポート振替表!$P$5:$P$3507,$L3500)&amp;"")</f>
        <v/>
      </c>
      <c r="J3500" s="60" t="str">
        <f aca="false">IF(L3500="","",INDEX(ポート振替表!$M$5:$M$3507,$L3500)&amp;"")</f>
        <v/>
      </c>
      <c r="K3500" s="52" t="str">
        <f aca="false">IF(L3500="","",E3500&amp;CHAR(10)&amp;INDEX(ポート振替表!$K$5:$K$3507,$L3500)&amp;" "&amp;INDEX(ポート振替表!$L$5:$L$3507,$L3500)&amp;CHAR(10)&amp;"⇔ "&amp;INDEX(ポート振替表!$H$5:$H$3507,$L3500)&amp;" "&amp;INDEX(ポート振替表!$I$5:$I$3507,$L3500))</f>
        <v/>
      </c>
      <c r="L3500" s="47" t="str">
        <f aca="false">IFERROR(MATCH(ROW()-4,ポート振替表!$V$5:$V$3507,0),"")</f>
        <v/>
      </c>
    </row>
    <row r="3501" customFormat="false" ht="16.4" hidden="false" customHeight="false" outlineLevel="0" collapsed="false">
      <c r="A3501" s="32" t="str">
        <f aca="false">IF(L3501="","",ROW()-4)</f>
        <v/>
      </c>
      <c r="B3501" s="58" t="str">
        <f aca="false">IF(L3501="","",IF(INDEX(ポート振替表!$W$5:$W$3507,$L3501)="","(なし)",INDEX(ポート振替表!$W$5:$W$3507,$L3501)&amp;""))</f>
        <v/>
      </c>
      <c r="C3501" s="52" t="str">
        <f aca="false">IF(L3501="","",INDEX(ポート振替表!$B$5:$B$3507,$L3501)&amp;" "&amp;INDEX(ポート振替表!$C$5:$C$3507,$L3501)&amp;"  ⇔  "&amp;INDEX(ポート振替表!$H$5:$H$3507,$L3501)&amp;" "&amp;INDEX(ポート振替表!$I$5:$I$3507,$L3501))</f>
        <v/>
      </c>
      <c r="D3501" s="57" t="s">
        <v>158</v>
      </c>
      <c r="E3501" s="59" t="str">
        <f aca="false">IF(L3501="","",IF(INDEX(ポート振替表!$O$5:$O$3507,$L3501)="","(未設定)",INDEX(ポート振替表!$O$5:$O$3507,$L3501)&amp;""))</f>
        <v/>
      </c>
      <c r="F3501" s="52" t="str">
        <f aca="false">IF(L3501="","",INDEX(ポート振替表!$K$5:$K$3507,$L3501)&amp;" "&amp;INDEX(ポート振替表!$L$5:$L$3507,$L3501)&amp;"  ⇔  "&amp;INDEX(ポート振替表!$H$5:$H$3507,$L3501)&amp;" "&amp;INDEX(ポート振替表!$I$5:$I$3507,$L3501))</f>
        <v/>
      </c>
      <c r="G3501" s="57" t="s">
        <v>158</v>
      </c>
      <c r="H3501" s="32" t="str">
        <f aca="false">IF(L3501="","",INDEX(ポート振替表!$N$5:$N$3507,$L3501)&amp;"")</f>
        <v/>
      </c>
      <c r="I3501" s="32" t="str">
        <f aca="false">IF(L3501="","",INDEX(ポート振替表!$P$5:$P$3507,$L3501)&amp;"")</f>
        <v/>
      </c>
      <c r="J3501" s="60" t="str">
        <f aca="false">IF(L3501="","",INDEX(ポート振替表!$M$5:$M$3507,$L3501)&amp;"")</f>
        <v/>
      </c>
      <c r="K3501" s="52" t="str">
        <f aca="false">IF(L3501="","",E3501&amp;CHAR(10)&amp;INDEX(ポート振替表!$K$5:$K$3507,$L3501)&amp;" "&amp;INDEX(ポート振替表!$L$5:$L$3507,$L3501)&amp;CHAR(10)&amp;"⇔ "&amp;INDEX(ポート振替表!$H$5:$H$3507,$L3501)&amp;" "&amp;INDEX(ポート振替表!$I$5:$I$3507,$L3501))</f>
        <v/>
      </c>
      <c r="L3501" s="47" t="str">
        <f aca="false">IFERROR(MATCH(ROW()-4,ポート振替表!$V$5:$V$3507,0),"")</f>
        <v/>
      </c>
    </row>
    <row r="3502" customFormat="false" ht="16.4" hidden="false" customHeight="false" outlineLevel="0" collapsed="false">
      <c r="A3502" s="32" t="str">
        <f aca="false">IF(L3502="","",ROW()-4)</f>
        <v/>
      </c>
      <c r="B3502" s="58" t="str">
        <f aca="false">IF(L3502="","",IF(INDEX(ポート振替表!$W$5:$W$3507,$L3502)="","(なし)",INDEX(ポート振替表!$W$5:$W$3507,$L3502)&amp;""))</f>
        <v/>
      </c>
      <c r="C3502" s="52" t="str">
        <f aca="false">IF(L3502="","",INDEX(ポート振替表!$B$5:$B$3507,$L3502)&amp;" "&amp;INDEX(ポート振替表!$C$5:$C$3507,$L3502)&amp;"  ⇔  "&amp;INDEX(ポート振替表!$H$5:$H$3507,$L3502)&amp;" "&amp;INDEX(ポート振替表!$I$5:$I$3507,$L3502))</f>
        <v/>
      </c>
      <c r="D3502" s="57" t="s">
        <v>158</v>
      </c>
      <c r="E3502" s="59" t="str">
        <f aca="false">IF(L3502="","",IF(INDEX(ポート振替表!$O$5:$O$3507,$L3502)="","(未設定)",INDEX(ポート振替表!$O$5:$O$3507,$L3502)&amp;""))</f>
        <v/>
      </c>
      <c r="F3502" s="52" t="str">
        <f aca="false">IF(L3502="","",INDEX(ポート振替表!$K$5:$K$3507,$L3502)&amp;" "&amp;INDEX(ポート振替表!$L$5:$L$3507,$L3502)&amp;"  ⇔  "&amp;INDEX(ポート振替表!$H$5:$H$3507,$L3502)&amp;" "&amp;INDEX(ポート振替表!$I$5:$I$3507,$L3502))</f>
        <v/>
      </c>
      <c r="G3502" s="57" t="s">
        <v>158</v>
      </c>
      <c r="H3502" s="32" t="str">
        <f aca="false">IF(L3502="","",INDEX(ポート振替表!$N$5:$N$3507,$L3502)&amp;"")</f>
        <v/>
      </c>
      <c r="I3502" s="32" t="str">
        <f aca="false">IF(L3502="","",INDEX(ポート振替表!$P$5:$P$3507,$L3502)&amp;"")</f>
        <v/>
      </c>
      <c r="J3502" s="60" t="str">
        <f aca="false">IF(L3502="","",INDEX(ポート振替表!$M$5:$M$3507,$L3502)&amp;"")</f>
        <v/>
      </c>
      <c r="K3502" s="52" t="str">
        <f aca="false">IF(L3502="","",E3502&amp;CHAR(10)&amp;INDEX(ポート振替表!$K$5:$K$3507,$L3502)&amp;" "&amp;INDEX(ポート振替表!$L$5:$L$3507,$L3502)&amp;CHAR(10)&amp;"⇔ "&amp;INDEX(ポート振替表!$H$5:$H$3507,$L3502)&amp;" "&amp;INDEX(ポート振替表!$I$5:$I$3507,$L3502))</f>
        <v/>
      </c>
      <c r="L3502" s="47" t="str">
        <f aca="false">IFERROR(MATCH(ROW()-4,ポート振替表!$V$5:$V$3507,0),"")</f>
        <v/>
      </c>
    </row>
    <row r="3503" customFormat="false" ht="16.4" hidden="false" customHeight="false" outlineLevel="0" collapsed="false">
      <c r="A3503" s="32" t="str">
        <f aca="false">IF(L3503="","",ROW()-4)</f>
        <v/>
      </c>
      <c r="B3503" s="58" t="str">
        <f aca="false">IF(L3503="","",IF(INDEX(ポート振替表!$W$5:$W$3507,$L3503)="","(なし)",INDEX(ポート振替表!$W$5:$W$3507,$L3503)&amp;""))</f>
        <v/>
      </c>
      <c r="C3503" s="52" t="str">
        <f aca="false">IF(L3503="","",INDEX(ポート振替表!$B$5:$B$3507,$L3503)&amp;" "&amp;INDEX(ポート振替表!$C$5:$C$3507,$L3503)&amp;"  ⇔  "&amp;INDEX(ポート振替表!$H$5:$H$3507,$L3503)&amp;" "&amp;INDEX(ポート振替表!$I$5:$I$3507,$L3503))</f>
        <v/>
      </c>
      <c r="D3503" s="57" t="s">
        <v>158</v>
      </c>
      <c r="E3503" s="59" t="str">
        <f aca="false">IF(L3503="","",IF(INDEX(ポート振替表!$O$5:$O$3507,$L3503)="","(未設定)",INDEX(ポート振替表!$O$5:$O$3507,$L3503)&amp;""))</f>
        <v/>
      </c>
      <c r="F3503" s="52" t="str">
        <f aca="false">IF(L3503="","",INDEX(ポート振替表!$K$5:$K$3507,$L3503)&amp;" "&amp;INDEX(ポート振替表!$L$5:$L$3507,$L3503)&amp;"  ⇔  "&amp;INDEX(ポート振替表!$H$5:$H$3507,$L3503)&amp;" "&amp;INDEX(ポート振替表!$I$5:$I$3507,$L3503))</f>
        <v/>
      </c>
      <c r="G3503" s="57" t="s">
        <v>158</v>
      </c>
      <c r="H3503" s="32" t="str">
        <f aca="false">IF(L3503="","",INDEX(ポート振替表!$N$5:$N$3507,$L3503)&amp;"")</f>
        <v/>
      </c>
      <c r="I3503" s="32" t="str">
        <f aca="false">IF(L3503="","",INDEX(ポート振替表!$P$5:$P$3507,$L3503)&amp;"")</f>
        <v/>
      </c>
      <c r="J3503" s="60" t="str">
        <f aca="false">IF(L3503="","",INDEX(ポート振替表!$M$5:$M$3507,$L3503)&amp;"")</f>
        <v/>
      </c>
      <c r="K3503" s="52" t="str">
        <f aca="false">IF(L3503="","",E3503&amp;CHAR(10)&amp;INDEX(ポート振替表!$K$5:$K$3507,$L3503)&amp;" "&amp;INDEX(ポート振替表!$L$5:$L$3507,$L3503)&amp;CHAR(10)&amp;"⇔ "&amp;INDEX(ポート振替表!$H$5:$H$3507,$L3503)&amp;" "&amp;INDEX(ポート振替表!$I$5:$I$3507,$L3503))</f>
        <v/>
      </c>
      <c r="L3503" s="47" t="str">
        <f aca="false">IFERROR(MATCH(ROW()-4,ポート振替表!$V$5:$V$3507,0),"")</f>
        <v/>
      </c>
    </row>
    <row r="3504" customFormat="false" ht="16.4" hidden="false" customHeight="false" outlineLevel="0" collapsed="false">
      <c r="A3504" s="32" t="str">
        <f aca="false">IF(L3504="","",ROW()-4)</f>
        <v/>
      </c>
      <c r="B3504" s="58" t="str">
        <f aca="false">IF(L3504="","",IF(INDEX(ポート振替表!$W$5:$W$3507,$L3504)="","(なし)",INDEX(ポート振替表!$W$5:$W$3507,$L3504)&amp;""))</f>
        <v/>
      </c>
      <c r="C3504" s="52" t="str">
        <f aca="false">IF(L3504="","",INDEX(ポート振替表!$B$5:$B$3507,$L3504)&amp;" "&amp;INDEX(ポート振替表!$C$5:$C$3507,$L3504)&amp;"  ⇔  "&amp;INDEX(ポート振替表!$H$5:$H$3507,$L3504)&amp;" "&amp;INDEX(ポート振替表!$I$5:$I$3507,$L3504))</f>
        <v/>
      </c>
      <c r="D3504" s="57" t="s">
        <v>158</v>
      </c>
      <c r="E3504" s="59" t="str">
        <f aca="false">IF(L3504="","",IF(INDEX(ポート振替表!$O$5:$O$3507,$L3504)="","(未設定)",INDEX(ポート振替表!$O$5:$O$3507,$L3504)&amp;""))</f>
        <v/>
      </c>
      <c r="F3504" s="52" t="str">
        <f aca="false">IF(L3504="","",INDEX(ポート振替表!$K$5:$K$3507,$L3504)&amp;" "&amp;INDEX(ポート振替表!$L$5:$L$3507,$L3504)&amp;"  ⇔  "&amp;INDEX(ポート振替表!$H$5:$H$3507,$L3504)&amp;" "&amp;INDEX(ポート振替表!$I$5:$I$3507,$L3504))</f>
        <v/>
      </c>
      <c r="G3504" s="57" t="s">
        <v>158</v>
      </c>
      <c r="H3504" s="32" t="str">
        <f aca="false">IF(L3504="","",INDEX(ポート振替表!$N$5:$N$3507,$L3504)&amp;"")</f>
        <v/>
      </c>
      <c r="I3504" s="32" t="str">
        <f aca="false">IF(L3504="","",INDEX(ポート振替表!$P$5:$P$3507,$L3504)&amp;"")</f>
        <v/>
      </c>
      <c r="J3504" s="60" t="str">
        <f aca="false">IF(L3504="","",INDEX(ポート振替表!$M$5:$M$3507,$L3504)&amp;"")</f>
        <v/>
      </c>
      <c r="K3504" s="52" t="str">
        <f aca="false">IF(L3504="","",E3504&amp;CHAR(10)&amp;INDEX(ポート振替表!$K$5:$K$3507,$L3504)&amp;" "&amp;INDEX(ポート振替表!$L$5:$L$3507,$L3504)&amp;CHAR(10)&amp;"⇔ "&amp;INDEX(ポート振替表!$H$5:$H$3507,$L3504)&amp;" "&amp;INDEX(ポート振替表!$I$5:$I$3507,$L3504))</f>
        <v/>
      </c>
      <c r="L3504" s="47" t="str">
        <f aca="false">IFERROR(MATCH(ROW()-4,ポート振替表!$V$5:$V$3507,0),"")</f>
        <v/>
      </c>
    </row>
    <row r="3505" customFormat="false" ht="16.4" hidden="false" customHeight="false" outlineLevel="0" collapsed="false">
      <c r="A3505" s="32" t="str">
        <f aca="false">IF(L3505="","",ROW()-4)</f>
        <v/>
      </c>
      <c r="B3505" s="58" t="str">
        <f aca="false">IF(L3505="","",IF(INDEX(ポート振替表!$W$5:$W$3507,$L3505)="","(なし)",INDEX(ポート振替表!$W$5:$W$3507,$L3505)&amp;""))</f>
        <v/>
      </c>
      <c r="C3505" s="52" t="str">
        <f aca="false">IF(L3505="","",INDEX(ポート振替表!$B$5:$B$3507,$L3505)&amp;" "&amp;INDEX(ポート振替表!$C$5:$C$3507,$L3505)&amp;"  ⇔  "&amp;INDEX(ポート振替表!$H$5:$H$3507,$L3505)&amp;" "&amp;INDEX(ポート振替表!$I$5:$I$3507,$L3505))</f>
        <v/>
      </c>
      <c r="D3505" s="57" t="s">
        <v>158</v>
      </c>
      <c r="E3505" s="59" t="str">
        <f aca="false">IF(L3505="","",IF(INDEX(ポート振替表!$O$5:$O$3507,$L3505)="","(未設定)",INDEX(ポート振替表!$O$5:$O$3507,$L3505)&amp;""))</f>
        <v/>
      </c>
      <c r="F3505" s="52" t="str">
        <f aca="false">IF(L3505="","",INDEX(ポート振替表!$K$5:$K$3507,$L3505)&amp;" "&amp;INDEX(ポート振替表!$L$5:$L$3507,$L3505)&amp;"  ⇔  "&amp;INDEX(ポート振替表!$H$5:$H$3507,$L3505)&amp;" "&amp;INDEX(ポート振替表!$I$5:$I$3507,$L3505))</f>
        <v/>
      </c>
      <c r="G3505" s="57" t="s">
        <v>158</v>
      </c>
      <c r="H3505" s="32" t="str">
        <f aca="false">IF(L3505="","",INDEX(ポート振替表!$N$5:$N$3507,$L3505)&amp;"")</f>
        <v/>
      </c>
      <c r="I3505" s="32" t="str">
        <f aca="false">IF(L3505="","",INDEX(ポート振替表!$P$5:$P$3507,$L3505)&amp;"")</f>
        <v/>
      </c>
      <c r="J3505" s="60" t="str">
        <f aca="false">IF(L3505="","",INDEX(ポート振替表!$M$5:$M$3507,$L3505)&amp;"")</f>
        <v/>
      </c>
      <c r="K3505" s="52" t="str">
        <f aca="false">IF(L3505="","",E3505&amp;CHAR(10)&amp;INDEX(ポート振替表!$K$5:$K$3507,$L3505)&amp;" "&amp;INDEX(ポート振替表!$L$5:$L$3507,$L3505)&amp;CHAR(10)&amp;"⇔ "&amp;INDEX(ポート振替表!$H$5:$H$3507,$L3505)&amp;" "&amp;INDEX(ポート振替表!$I$5:$I$3507,$L3505))</f>
        <v/>
      </c>
      <c r="L3505" s="47" t="str">
        <f aca="false">IFERROR(MATCH(ROW()-4,ポート振替表!$V$5:$V$3507,0),"")</f>
        <v/>
      </c>
    </row>
    <row r="3506" customFormat="false" ht="16.4" hidden="false" customHeight="false" outlineLevel="0" collapsed="false">
      <c r="A3506" s="32" t="str">
        <f aca="false">IF(L3506="","",ROW()-4)</f>
        <v/>
      </c>
      <c r="B3506" s="58" t="str">
        <f aca="false">IF(L3506="","",IF(INDEX(ポート振替表!$W$5:$W$3507,$L3506)="","(なし)",INDEX(ポート振替表!$W$5:$W$3507,$L3506)&amp;""))</f>
        <v/>
      </c>
      <c r="C3506" s="52" t="str">
        <f aca="false">IF(L3506="","",INDEX(ポート振替表!$B$5:$B$3507,$L3506)&amp;" "&amp;INDEX(ポート振替表!$C$5:$C$3507,$L3506)&amp;"  ⇔  "&amp;INDEX(ポート振替表!$H$5:$H$3507,$L3506)&amp;" "&amp;INDEX(ポート振替表!$I$5:$I$3507,$L3506))</f>
        <v/>
      </c>
      <c r="D3506" s="57" t="s">
        <v>158</v>
      </c>
      <c r="E3506" s="59" t="str">
        <f aca="false">IF(L3506="","",IF(INDEX(ポート振替表!$O$5:$O$3507,$L3506)="","(未設定)",INDEX(ポート振替表!$O$5:$O$3507,$L3506)&amp;""))</f>
        <v/>
      </c>
      <c r="F3506" s="52" t="str">
        <f aca="false">IF(L3506="","",INDEX(ポート振替表!$K$5:$K$3507,$L3506)&amp;" "&amp;INDEX(ポート振替表!$L$5:$L$3507,$L3506)&amp;"  ⇔  "&amp;INDEX(ポート振替表!$H$5:$H$3507,$L3506)&amp;" "&amp;INDEX(ポート振替表!$I$5:$I$3507,$L3506))</f>
        <v/>
      </c>
      <c r="G3506" s="57" t="s">
        <v>158</v>
      </c>
      <c r="H3506" s="32" t="str">
        <f aca="false">IF(L3506="","",INDEX(ポート振替表!$N$5:$N$3507,$L3506)&amp;"")</f>
        <v/>
      </c>
      <c r="I3506" s="32" t="str">
        <f aca="false">IF(L3506="","",INDEX(ポート振替表!$P$5:$P$3507,$L3506)&amp;"")</f>
        <v/>
      </c>
      <c r="J3506" s="60" t="str">
        <f aca="false">IF(L3506="","",INDEX(ポート振替表!$M$5:$M$3507,$L3506)&amp;"")</f>
        <v/>
      </c>
      <c r="K3506" s="52" t="str">
        <f aca="false">IF(L3506="","",E3506&amp;CHAR(10)&amp;INDEX(ポート振替表!$K$5:$K$3507,$L3506)&amp;" "&amp;INDEX(ポート振替表!$L$5:$L$3507,$L3506)&amp;CHAR(10)&amp;"⇔ "&amp;INDEX(ポート振替表!$H$5:$H$3507,$L3506)&amp;" "&amp;INDEX(ポート振替表!$I$5:$I$3507,$L3506))</f>
        <v/>
      </c>
      <c r="L3506" s="47" t="str">
        <f aca="false">IFERROR(MATCH(ROW()-4,ポート振替表!$V$5:$V$3507,0),"")</f>
        <v/>
      </c>
    </row>
    <row r="3507" customFormat="false" ht="16.4" hidden="false" customHeight="false" outlineLevel="0" collapsed="false">
      <c r="A3507" s="32" t="str">
        <f aca="false">IF(L3507="","",ROW()-4)</f>
        <v/>
      </c>
      <c r="B3507" s="58" t="str">
        <f aca="false">IF(L3507="","",IF(INDEX(ポート振替表!$W$5:$W$3507,$L3507)="","(なし)",INDEX(ポート振替表!$W$5:$W$3507,$L3507)&amp;""))</f>
        <v/>
      </c>
      <c r="C3507" s="52" t="str">
        <f aca="false">IF(L3507="","",INDEX(ポート振替表!$B$5:$B$3507,$L3507)&amp;" "&amp;INDEX(ポート振替表!$C$5:$C$3507,$L3507)&amp;"  ⇔  "&amp;INDEX(ポート振替表!$H$5:$H$3507,$L3507)&amp;" "&amp;INDEX(ポート振替表!$I$5:$I$3507,$L3507))</f>
        <v/>
      </c>
      <c r="D3507" s="57" t="s">
        <v>158</v>
      </c>
      <c r="E3507" s="59" t="str">
        <f aca="false">IF(L3507="","",IF(INDEX(ポート振替表!$O$5:$O$3507,$L3507)="","(未設定)",INDEX(ポート振替表!$O$5:$O$3507,$L3507)&amp;""))</f>
        <v/>
      </c>
      <c r="F3507" s="52" t="str">
        <f aca="false">IF(L3507="","",INDEX(ポート振替表!$K$5:$K$3507,$L3507)&amp;" "&amp;INDEX(ポート振替表!$L$5:$L$3507,$L3507)&amp;"  ⇔  "&amp;INDEX(ポート振替表!$H$5:$H$3507,$L3507)&amp;" "&amp;INDEX(ポート振替表!$I$5:$I$3507,$L3507))</f>
        <v/>
      </c>
      <c r="G3507" s="57" t="s">
        <v>158</v>
      </c>
      <c r="H3507" s="32" t="str">
        <f aca="false">IF(L3507="","",INDEX(ポート振替表!$N$5:$N$3507,$L3507)&amp;"")</f>
        <v/>
      </c>
      <c r="I3507" s="32" t="str">
        <f aca="false">IF(L3507="","",INDEX(ポート振替表!$P$5:$P$3507,$L3507)&amp;"")</f>
        <v/>
      </c>
      <c r="J3507" s="60" t="str">
        <f aca="false">IF(L3507="","",INDEX(ポート振替表!$M$5:$M$3507,$L3507)&amp;"")</f>
        <v/>
      </c>
      <c r="K3507" s="52" t="str">
        <f aca="false">IF(L3507="","",E3507&amp;CHAR(10)&amp;INDEX(ポート振替表!$K$5:$K$3507,$L3507)&amp;" "&amp;INDEX(ポート振替表!$L$5:$L$3507,$L3507)&amp;CHAR(10)&amp;"⇔ "&amp;INDEX(ポート振替表!$H$5:$H$3507,$L3507)&amp;" "&amp;INDEX(ポート振替表!$I$5:$I$3507,$L3507))</f>
        <v/>
      </c>
      <c r="L3507" s="47" t="str">
        <f aca="false">IFERROR(MATCH(ROW()-4,ポート振替表!$V$5:$V$3507,0),"")</f>
        <v/>
      </c>
    </row>
  </sheetData>
  <autoFilter ref="A4:L3507"/>
  <mergeCells count="3">
    <mergeCell ref="B3:D3"/>
    <mergeCell ref="E3:G3"/>
    <mergeCell ref="H3:L3"/>
  </mergeCells>
  <conditionalFormatting sqref="I5:I3507">
    <cfRule type="cellIs" priority="2" operator="equal" aboveAverage="0" equalAverage="0" bottom="0" percent="0" rank="0" text="" dxfId="8">
      <formula>"疎通確認済"</formula>
    </cfRule>
    <cfRule type="cellIs" priority="3" operator="equal" aboveAverage="0" equalAverage="0" bottom="0" percent="0" rank="0" text="" dxfId="20">
      <formula>"切替済"</formula>
    </cfRule>
    <cfRule type="cellIs" priority="4" operator="equal" aboveAverage="0" equalAverage="0" bottom="0" percent="0" rank="0" text="" dxfId="21">
      <formula>"準備済"</formula>
    </cfRule>
    <cfRule type="cellIs" priority="5" operator="equal" aboveAverage="0" equalAverage="0" bottom="0" percent="0" rank="0" text="" dxfId="22">
      <formula>"保留"</formula>
    </cfRule>
  </conditionalFormatting>
  <conditionalFormatting sqref="J5:J3507">
    <cfRule type="cellIs" priority="6" operator="equal" aboveAverage="0" equalAverage="0" bottom="0" percent="0" rank="0" text="" dxfId="19">
      <formula>"変更"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4" min="1" style="0" width="20"/>
  </cols>
  <sheetData>
    <row r="1" customFormat="false" ht="17.15" hidden="false" customHeight="false" outlineLevel="0" collapsed="false">
      <c r="A1" s="61" t="s">
        <v>172</v>
      </c>
    </row>
    <row r="3" customFormat="false" ht="15" hidden="false" customHeight="false" outlineLevel="0" collapsed="false">
      <c r="A3" s="22" t="s">
        <v>173</v>
      </c>
      <c r="B3" s="22" t="s">
        <v>94</v>
      </c>
      <c r="C3" s="22" t="s">
        <v>101</v>
      </c>
      <c r="D3" s="22" t="s">
        <v>103</v>
      </c>
      <c r="F3" s="51" t="s">
        <v>174</v>
      </c>
    </row>
    <row r="4" customFormat="false" ht="15" hidden="false" customHeight="false" outlineLevel="0" collapsed="false">
      <c r="A4" s="13" t="s">
        <v>111</v>
      </c>
      <c r="B4" s="13" t="s">
        <v>124</v>
      </c>
      <c r="C4" s="13" t="s">
        <v>175</v>
      </c>
      <c r="D4" s="9" t="s">
        <v>36</v>
      </c>
    </row>
    <row r="5" customFormat="false" ht="15" hidden="false" customHeight="false" outlineLevel="0" collapsed="false">
      <c r="A5" s="13" t="s">
        <v>134</v>
      </c>
      <c r="B5" s="13" t="s">
        <v>176</v>
      </c>
      <c r="C5" s="13" t="s">
        <v>117</v>
      </c>
      <c r="D5" s="9" t="s">
        <v>38</v>
      </c>
    </row>
    <row r="6" customFormat="false" ht="15" hidden="false" customHeight="false" outlineLevel="0" collapsed="false">
      <c r="A6" s="13" t="s">
        <v>177</v>
      </c>
      <c r="B6" s="13" t="s">
        <v>178</v>
      </c>
      <c r="C6" s="13" t="s">
        <v>129</v>
      </c>
      <c r="D6" s="9" t="s">
        <v>40</v>
      </c>
    </row>
    <row r="7" customFormat="false" ht="15" hidden="false" customHeight="false" outlineLevel="0" collapsed="false">
      <c r="A7" s="13" t="s">
        <v>179</v>
      </c>
      <c r="B7" s="13" t="s">
        <v>113</v>
      </c>
      <c r="C7" s="9" t="s">
        <v>180</v>
      </c>
      <c r="D7" s="9" t="s">
        <v>42</v>
      </c>
    </row>
    <row r="8" customFormat="false" ht="15" hidden="false" customHeight="false" outlineLevel="0" collapsed="false">
      <c r="A8" s="13" t="s">
        <v>181</v>
      </c>
      <c r="B8" s="13" t="s">
        <v>182</v>
      </c>
      <c r="C8" s="9" t="s">
        <v>183</v>
      </c>
      <c r="D8" s="9" t="s">
        <v>44</v>
      </c>
    </row>
    <row r="9" customFormat="false" ht="15" hidden="false" customHeight="false" outlineLevel="0" collapsed="false">
      <c r="A9" s="9" t="s">
        <v>184</v>
      </c>
      <c r="B9" s="13" t="s">
        <v>185</v>
      </c>
      <c r="C9" s="13" t="s">
        <v>186</v>
      </c>
      <c r="D9" s="9"/>
    </row>
    <row r="10" customFormat="false" ht="15" hidden="false" customHeight="false" outlineLevel="0" collapsed="false">
      <c r="A10" s="9" t="s">
        <v>187</v>
      </c>
      <c r="B10" s="13" t="s">
        <v>188</v>
      </c>
      <c r="C10" s="13" t="s">
        <v>189</v>
      </c>
      <c r="D10" s="9"/>
    </row>
    <row r="11" customFormat="false" ht="15" hidden="false" customHeight="false" outlineLevel="0" collapsed="false">
      <c r="A11" s="9"/>
      <c r="B11" s="13" t="s">
        <v>190</v>
      </c>
      <c r="C11" s="9" t="s">
        <v>191</v>
      </c>
      <c r="D11" s="9"/>
    </row>
    <row r="12" customFormat="false" ht="15" hidden="false" customHeight="false" outlineLevel="0" collapsed="false">
      <c r="A12" s="9"/>
      <c r="B12" s="9"/>
      <c r="C12" s="9"/>
      <c r="D12" s="9"/>
    </row>
    <row r="13" customFormat="false" ht="15" hidden="false" customHeight="false" outlineLevel="0" collapsed="false">
      <c r="A13" s="9"/>
      <c r="B13" s="9"/>
      <c r="C13" s="9"/>
      <c r="D13" s="9"/>
    </row>
    <row r="14" customFormat="false" ht="15" hidden="false" customHeight="false" outlineLevel="0" collapsed="false">
      <c r="A14" s="9"/>
      <c r="B14" s="9"/>
      <c r="C14" s="9"/>
      <c r="D14" s="9"/>
    </row>
    <row r="15" customFormat="false" ht="15" hidden="false" customHeight="false" outlineLevel="0" collapsed="false">
      <c r="A15" s="9"/>
      <c r="B15" s="9"/>
      <c r="C15" s="9"/>
      <c r="D15" s="9"/>
    </row>
    <row r="16" customFormat="false" ht="15" hidden="false" customHeight="false" outlineLevel="0" collapsed="false">
      <c r="A16" s="9"/>
      <c r="B16" s="9"/>
      <c r="C16" s="9"/>
      <c r="D16" s="9"/>
    </row>
    <row r="17" customFormat="false" ht="15" hidden="false" customHeight="false" outlineLevel="0" collapsed="false">
      <c r="A17" s="9"/>
      <c r="B17" s="9"/>
      <c r="C17" s="9"/>
      <c r="D17" s="9"/>
    </row>
    <row r="18" customFormat="false" ht="15" hidden="false" customHeight="false" outlineLevel="0" collapsed="false">
      <c r="A18" s="9"/>
      <c r="B18" s="9"/>
      <c r="C18" s="9"/>
      <c r="D18" s="9"/>
    </row>
    <row r="19" customFormat="false" ht="15" hidden="false" customHeight="false" outlineLevel="0" collapsed="false">
      <c r="A19" s="9"/>
      <c r="B19" s="9"/>
      <c r="C19" s="9"/>
      <c r="D19" s="9"/>
    </row>
    <row r="20" customFormat="false" ht="15" hidden="false" customHeight="false" outlineLevel="0" collapsed="false">
      <c r="A20" s="9"/>
      <c r="B20" s="9"/>
      <c r="C20" s="9"/>
      <c r="D20" s="9"/>
    </row>
    <row r="21" customFormat="false" ht="15" hidden="false" customHeight="false" outlineLevel="0" collapsed="false">
      <c r="A21" s="9"/>
      <c r="B21" s="9"/>
      <c r="C21" s="9"/>
      <c r="D21" s="9"/>
    </row>
    <row r="22" customFormat="false" ht="15" hidden="false" customHeight="false" outlineLevel="0" collapsed="false">
      <c r="A22" s="9"/>
      <c r="B22" s="9"/>
      <c r="C22" s="9"/>
      <c r="D22" s="9"/>
    </row>
    <row r="23" customFormat="false" ht="15" hidden="false" customHeight="false" outlineLevel="0" collapsed="false">
      <c r="A23" s="9"/>
      <c r="B23" s="9"/>
      <c r="C23" s="9"/>
      <c r="D2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2026-10-20T09:24:50Z</dcterms:created>
  <dc:creator>openpyxl</dc:creator>
  <dc:description/>
  <dc:language>en-US</dc:language>
  <cp:lastModifiedBy/>
  <dcterms:modified xsi:type="dcterms:W3CDTF">2026-10-20T09:25:00Z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